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chiara/Desktop/TESI DA CONSEGNARE/"/>
    </mc:Choice>
  </mc:AlternateContent>
  <xr:revisionPtr revIDLastSave="0" documentId="13_ncr:1_{A4686EA7-EFF6-B349-A13A-C2AA031F413B}" xr6:coauthVersionLast="47" xr6:coauthVersionMax="47" xr10:uidLastSave="{00000000-0000-0000-0000-000000000000}"/>
  <bookViews>
    <workbookView xWindow="0" yWindow="500" windowWidth="28800" windowHeight="12760" activeTab="2" xr2:uid="{00000000-000D-0000-FFFF-FFFF00000000}"/>
  </bookViews>
  <sheets>
    <sheet name="DATASET" sheetId="1" r:id="rId1"/>
    <sheet name="INDICE COMPENSATIVO" sheetId="2" r:id="rId2"/>
    <sheet name="INDICE NON COMPENSATIVO" sheetId="3" r:id="rId3"/>
    <sheet name="ILI INDEX"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E2" i="4" l="1"/>
  <c r="DB2" i="4"/>
  <c r="DA2" i="4"/>
  <c r="CZ2" i="4"/>
  <c r="CY2" i="4"/>
  <c r="CX2" i="4"/>
  <c r="CW2" i="4"/>
  <c r="CM2" i="4"/>
  <c r="CN312" i="4" s="1"/>
  <c r="CL2" i="4"/>
  <c r="CN304" i="4"/>
  <c r="CN308" i="4"/>
  <c r="CN315" i="4"/>
  <c r="CN316" i="4"/>
  <c r="CN320" i="4"/>
  <c r="CN322" i="4"/>
  <c r="CN326" i="4"/>
  <c r="CN327" i="4"/>
  <c r="CN331" i="4"/>
  <c r="CN332" i="4"/>
  <c r="CN334" i="4"/>
  <c r="CN335" i="4"/>
  <c r="CN336" i="4"/>
  <c r="CN338" i="4"/>
  <c r="CN339" i="4"/>
  <c r="CN340" i="4"/>
  <c r="CI2" i="4"/>
  <c r="CJ302" i="4" s="1"/>
  <c r="CH2" i="4"/>
  <c r="CJ300" i="4"/>
  <c r="CJ306" i="4"/>
  <c r="CJ311" i="4"/>
  <c r="CJ316" i="4"/>
  <c r="CJ322" i="4"/>
  <c r="CJ327" i="4"/>
  <c r="CJ332" i="4"/>
  <c r="CJ338" i="4"/>
  <c r="CE2" i="4"/>
  <c r="CF312" i="4" s="1"/>
  <c r="CD2" i="4"/>
  <c r="CF300" i="4"/>
  <c r="CF304" i="4"/>
  <c r="CF308" i="4"/>
  <c r="CF314" i="4"/>
  <c r="CF315" i="4"/>
  <c r="CF316" i="4"/>
  <c r="CF319" i="4"/>
  <c r="CF320" i="4"/>
  <c r="CF322" i="4"/>
  <c r="CF323" i="4"/>
  <c r="CF324" i="4"/>
  <c r="CF326" i="4"/>
  <c r="CF327" i="4"/>
  <c r="CF328" i="4"/>
  <c r="CF330" i="4"/>
  <c r="CF331" i="4"/>
  <c r="CF332" i="4"/>
  <c r="CF334" i="4"/>
  <c r="CF335" i="4"/>
  <c r="CF336" i="4"/>
  <c r="CF338" i="4"/>
  <c r="CF339" i="4"/>
  <c r="CF340" i="4"/>
  <c r="CA2" i="4"/>
  <c r="CB312" i="4" s="1"/>
  <c r="BZ2" i="4"/>
  <c r="CB308" i="4"/>
  <c r="CB319" i="4"/>
  <c r="CB324" i="4"/>
  <c r="CB330" i="4"/>
  <c r="CB335" i="4"/>
  <c r="CB338" i="4"/>
  <c r="CB339" i="4"/>
  <c r="CB340" i="4"/>
  <c r="BV2" i="4"/>
  <c r="BW312" i="4" s="1"/>
  <c r="BU2" i="4"/>
  <c r="BW308" i="4"/>
  <c r="BW324" i="4"/>
  <c r="BW340" i="4"/>
  <c r="BR2" i="4"/>
  <c r="BS312" i="4" s="1"/>
  <c r="BQ2" i="4"/>
  <c r="BS308" i="4"/>
  <c r="BS324" i="4"/>
  <c r="BS340" i="4"/>
  <c r="BN2" i="4"/>
  <c r="BO300" i="4" s="1"/>
  <c r="BM2" i="4"/>
  <c r="BO299" i="4"/>
  <c r="BO303" i="4"/>
  <c r="BO307" i="4"/>
  <c r="BO311" i="4"/>
  <c r="BO315" i="4"/>
  <c r="BO319" i="4"/>
  <c r="BO321" i="4"/>
  <c r="BO322" i="4"/>
  <c r="BO323" i="4"/>
  <c r="BO325" i="4"/>
  <c r="BO326" i="4"/>
  <c r="BO327" i="4"/>
  <c r="BO329" i="4"/>
  <c r="BO330" i="4"/>
  <c r="BO331" i="4"/>
  <c r="BO333" i="4"/>
  <c r="BO334" i="4"/>
  <c r="BO335" i="4"/>
  <c r="BO337" i="4"/>
  <c r="BO338" i="4"/>
  <c r="BO339" i="4"/>
  <c r="BO341" i="4"/>
  <c r="BJ2" i="4"/>
  <c r="BK300" i="4" s="1"/>
  <c r="BI2" i="4"/>
  <c r="BK304" i="4"/>
  <c r="BK308" i="4"/>
  <c r="BK312" i="4"/>
  <c r="BK316" i="4"/>
  <c r="BK318" i="4"/>
  <c r="BK319" i="4"/>
  <c r="BK320" i="4"/>
  <c r="BK322" i="4"/>
  <c r="BK323" i="4"/>
  <c r="BK324" i="4"/>
  <c r="BK326" i="4"/>
  <c r="BK327" i="4"/>
  <c r="BK328" i="4"/>
  <c r="BK330" i="4"/>
  <c r="BK331" i="4"/>
  <c r="BK332" i="4"/>
  <c r="BK334" i="4"/>
  <c r="BK335" i="4"/>
  <c r="BK336" i="4"/>
  <c r="BK338" i="4"/>
  <c r="BK339" i="4"/>
  <c r="BK340" i="4"/>
  <c r="AZ2" i="4"/>
  <c r="BA300" i="4" s="1"/>
  <c r="AY2" i="4"/>
  <c r="BA297" i="4"/>
  <c r="BA298" i="4"/>
  <c r="BA299" i="4"/>
  <c r="BA301" i="4"/>
  <c r="BA302" i="4"/>
  <c r="BA303" i="4"/>
  <c r="BA304" i="4"/>
  <c r="BA305" i="4"/>
  <c r="BA306" i="4"/>
  <c r="BA307" i="4"/>
  <c r="BA308" i="4"/>
  <c r="BA309" i="4"/>
  <c r="BA310" i="4"/>
  <c r="BA311" i="4"/>
  <c r="BA312" i="4"/>
  <c r="BA313" i="4"/>
  <c r="BA314" i="4"/>
  <c r="BA315" i="4"/>
  <c r="BA316" i="4"/>
  <c r="BA317" i="4"/>
  <c r="BA318" i="4"/>
  <c r="BA319" i="4"/>
  <c r="BA320" i="4"/>
  <c r="BA321" i="4"/>
  <c r="BA322" i="4"/>
  <c r="BA323" i="4"/>
  <c r="BA324" i="4"/>
  <c r="BA325" i="4"/>
  <c r="BA326" i="4"/>
  <c r="BA327" i="4"/>
  <c r="BA328" i="4"/>
  <c r="BA329" i="4"/>
  <c r="BA330" i="4"/>
  <c r="BA331" i="4"/>
  <c r="BA332" i="4"/>
  <c r="BA333" i="4"/>
  <c r="BA334" i="4"/>
  <c r="BA335" i="4"/>
  <c r="BA336" i="4"/>
  <c r="BA337" i="4"/>
  <c r="BA338" i="4"/>
  <c r="BA339" i="4"/>
  <c r="BA340" i="4"/>
  <c r="BA341" i="4"/>
  <c r="AV2" i="4"/>
  <c r="AW312" i="4" s="1"/>
  <c r="AU2" i="4"/>
  <c r="AW304" i="4"/>
  <c r="AW308" i="4"/>
  <c r="AW320" i="4"/>
  <c r="AW324" i="4"/>
  <c r="AW336" i="4"/>
  <c r="AW340" i="4"/>
  <c r="AR2" i="4"/>
  <c r="AS300" i="4" s="1"/>
  <c r="AQ2" i="4"/>
  <c r="AS297" i="4"/>
  <c r="AS298" i="4"/>
  <c r="AS299" i="4"/>
  <c r="AS301" i="4"/>
  <c r="AS302" i="4"/>
  <c r="AS303" i="4"/>
  <c r="AS305" i="4"/>
  <c r="AS306" i="4"/>
  <c r="AS307" i="4"/>
  <c r="AS308" i="4"/>
  <c r="AS309" i="4"/>
  <c r="AS310" i="4"/>
  <c r="AS311" i="4"/>
  <c r="AS312" i="4"/>
  <c r="AS313" i="4"/>
  <c r="AS314" i="4"/>
  <c r="AS315" i="4"/>
  <c r="AS316" i="4"/>
  <c r="AS317" i="4"/>
  <c r="AS318" i="4"/>
  <c r="AS319" i="4"/>
  <c r="AS320" i="4"/>
  <c r="AS321" i="4"/>
  <c r="AS322" i="4"/>
  <c r="AS323" i="4"/>
  <c r="AS324" i="4"/>
  <c r="AS325" i="4"/>
  <c r="AS326" i="4"/>
  <c r="AS327" i="4"/>
  <c r="AS328" i="4"/>
  <c r="AS329" i="4"/>
  <c r="AS330" i="4"/>
  <c r="AS331" i="4"/>
  <c r="AS332" i="4"/>
  <c r="AS333" i="4"/>
  <c r="AS334" i="4"/>
  <c r="AS335" i="4"/>
  <c r="AS336" i="4"/>
  <c r="AS337" i="4"/>
  <c r="AS338" i="4"/>
  <c r="AS339" i="4"/>
  <c r="AS340" i="4"/>
  <c r="AS341" i="4"/>
  <c r="AN2" i="4"/>
  <c r="AO312" i="4" s="1"/>
  <c r="AM2" i="4"/>
  <c r="AO300" i="4"/>
  <c r="AO304" i="4"/>
  <c r="AO308" i="4"/>
  <c r="AO316" i="4"/>
  <c r="AO320" i="4"/>
  <c r="AO324" i="4"/>
  <c r="AO332" i="4"/>
  <c r="AO336" i="4"/>
  <c r="AO340" i="4"/>
  <c r="AJ2" i="4"/>
  <c r="AK304" i="4" s="1"/>
  <c r="AI2" i="4"/>
  <c r="AK300" i="4"/>
  <c r="AK302" i="4"/>
  <c r="AK303" i="4"/>
  <c r="AK306" i="4"/>
  <c r="AK307" i="4"/>
  <c r="AK308" i="4"/>
  <c r="AK311" i="4"/>
  <c r="AK312" i="4"/>
  <c r="AK314" i="4"/>
  <c r="AK316" i="4"/>
  <c r="AK318" i="4"/>
  <c r="AK319" i="4"/>
  <c r="AK322" i="4"/>
  <c r="AK323" i="4"/>
  <c r="AK324" i="4"/>
  <c r="AK327" i="4"/>
  <c r="AK328" i="4"/>
  <c r="AK330" i="4"/>
  <c r="AK332" i="4"/>
  <c r="AK334" i="4"/>
  <c r="AK335" i="4"/>
  <c r="AK338" i="4"/>
  <c r="AK339" i="4"/>
  <c r="AK340" i="4"/>
  <c r="AF2" i="4"/>
  <c r="AG302" i="4" s="1"/>
  <c r="AE2" i="4"/>
  <c r="AG298" i="4"/>
  <c r="AG299" i="4"/>
  <c r="AG300" i="4"/>
  <c r="AG303" i="4"/>
  <c r="AG304" i="4"/>
  <c r="AG306" i="4"/>
  <c r="AG307" i="4"/>
  <c r="AG308" i="4"/>
  <c r="AG310" i="4"/>
  <c r="AG311" i="4"/>
  <c r="AG312" i="4"/>
  <c r="AG314" i="4"/>
  <c r="AG315" i="4"/>
  <c r="AG316" i="4"/>
  <c r="AG318" i="4"/>
  <c r="AG319" i="4"/>
  <c r="AG320" i="4"/>
  <c r="AG322" i="4"/>
  <c r="AG323" i="4"/>
  <c r="AG324" i="4"/>
  <c r="AG326" i="4"/>
  <c r="AG327" i="4"/>
  <c r="AG328" i="4"/>
  <c r="AG330" i="4"/>
  <c r="AG331" i="4"/>
  <c r="AG332" i="4"/>
  <c r="AG334" i="4"/>
  <c r="AG335" i="4"/>
  <c r="AG336" i="4"/>
  <c r="AG338" i="4"/>
  <c r="AG339" i="4"/>
  <c r="AG340"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B2" i="4"/>
  <c r="AA2"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X2" i="4"/>
  <c r="W2" i="4"/>
  <c r="T2" i="4"/>
  <c r="U300" i="4" s="1"/>
  <c r="S2" i="4"/>
  <c r="U297" i="4"/>
  <c r="U298" i="4"/>
  <c r="U299" i="4"/>
  <c r="U301" i="4"/>
  <c r="U302" i="4"/>
  <c r="U303" i="4"/>
  <c r="U305" i="4"/>
  <c r="U306" i="4"/>
  <c r="U307" i="4"/>
  <c r="U309" i="4"/>
  <c r="U310" i="4"/>
  <c r="U311" i="4"/>
  <c r="U313" i="4"/>
  <c r="U314" i="4"/>
  <c r="U315" i="4"/>
  <c r="U317" i="4"/>
  <c r="U318" i="4"/>
  <c r="U319" i="4"/>
  <c r="U321" i="4"/>
  <c r="U322" i="4"/>
  <c r="U323" i="4"/>
  <c r="U325" i="4"/>
  <c r="U326" i="4"/>
  <c r="U327" i="4"/>
  <c r="U329" i="4"/>
  <c r="U330" i="4"/>
  <c r="U331" i="4"/>
  <c r="U333" i="4"/>
  <c r="U334" i="4"/>
  <c r="U335" i="4"/>
  <c r="U337" i="4"/>
  <c r="U338" i="4"/>
  <c r="U339" i="4"/>
  <c r="U340" i="4"/>
  <c r="U341" i="4"/>
  <c r="P2" i="4"/>
  <c r="Q312" i="4" s="1"/>
  <c r="O2" i="4"/>
  <c r="L2" i="4"/>
  <c r="M297" i="4" s="1"/>
  <c r="K2" i="4"/>
  <c r="H2" i="4"/>
  <c r="I303" i="4" s="1"/>
  <c r="G2" i="4"/>
  <c r="Q300" i="4"/>
  <c r="Q304" i="4"/>
  <c r="Q308" i="4"/>
  <c r="Q316" i="4"/>
  <c r="Q320" i="4"/>
  <c r="Q324" i="4"/>
  <c r="Q332" i="4"/>
  <c r="Q334" i="4"/>
  <c r="Q335" i="4"/>
  <c r="Q338" i="4"/>
  <c r="Q339" i="4"/>
  <c r="Q340" i="4"/>
  <c r="M301" i="4"/>
  <c r="M303" i="4"/>
  <c r="M304" i="4"/>
  <c r="M307" i="4"/>
  <c r="M308" i="4"/>
  <c r="M309" i="4"/>
  <c r="M312" i="4"/>
  <c r="M313" i="4"/>
  <c r="M315" i="4"/>
  <c r="M317" i="4"/>
  <c r="M319" i="4"/>
  <c r="M320" i="4"/>
  <c r="M323" i="4"/>
  <c r="M324" i="4"/>
  <c r="M325" i="4"/>
  <c r="M328" i="4"/>
  <c r="M329" i="4"/>
  <c r="M331" i="4"/>
  <c r="M332" i="4"/>
  <c r="M333" i="4"/>
  <c r="M335" i="4"/>
  <c r="M336" i="4"/>
  <c r="M337" i="4"/>
  <c r="M339" i="4"/>
  <c r="M340" i="4"/>
  <c r="M341" i="4"/>
  <c r="I302" i="4"/>
  <c r="I306" i="4"/>
  <c r="I310" i="4"/>
  <c r="I314" i="4"/>
  <c r="I318" i="4"/>
  <c r="I322" i="4"/>
  <c r="I326" i="4"/>
  <c r="I330" i="4"/>
  <c r="I334" i="4"/>
  <c r="I338" i="4"/>
  <c r="I298" i="4"/>
  <c r="CZ297" i="4"/>
  <c r="CZ298" i="4"/>
  <c r="CZ299" i="4"/>
  <c r="CZ300" i="4"/>
  <c r="CZ301" i="4"/>
  <c r="CZ302" i="4"/>
  <c r="CZ303" i="4"/>
  <c r="CZ304" i="4"/>
  <c r="CZ305" i="4"/>
  <c r="CZ306" i="4"/>
  <c r="CZ307" i="4"/>
  <c r="CZ308" i="4"/>
  <c r="CZ309" i="4"/>
  <c r="CZ310" i="4"/>
  <c r="CZ311" i="4"/>
  <c r="CZ312" i="4"/>
  <c r="CZ313" i="4"/>
  <c r="CZ314" i="4"/>
  <c r="CZ315" i="4"/>
  <c r="CZ316" i="4"/>
  <c r="CZ317" i="4"/>
  <c r="CZ318" i="4"/>
  <c r="CZ319" i="4"/>
  <c r="CZ320" i="4"/>
  <c r="CZ321" i="4"/>
  <c r="CZ322" i="4"/>
  <c r="CZ323" i="4"/>
  <c r="CZ324" i="4"/>
  <c r="CZ325" i="4"/>
  <c r="CZ326" i="4"/>
  <c r="CZ327" i="4"/>
  <c r="CZ328" i="4"/>
  <c r="CZ329" i="4"/>
  <c r="CZ330" i="4"/>
  <c r="CZ331" i="4"/>
  <c r="CZ332" i="4"/>
  <c r="CZ333" i="4"/>
  <c r="CZ334" i="4"/>
  <c r="CZ335" i="4"/>
  <c r="CZ336" i="4"/>
  <c r="CZ337" i="4"/>
  <c r="CZ338" i="4"/>
  <c r="CZ339" i="4"/>
  <c r="CZ340" i="4"/>
  <c r="CZ341" i="4"/>
  <c r="CZ342" i="4"/>
  <c r="CZ343" i="4"/>
  <c r="CZ344" i="4"/>
  <c r="CZ345" i="4"/>
  <c r="CZ346" i="4"/>
  <c r="CZ347" i="4"/>
  <c r="CZ348" i="4"/>
  <c r="CZ349" i="4"/>
  <c r="CZ350" i="4"/>
  <c r="CZ351" i="4"/>
  <c r="CZ352" i="4"/>
  <c r="CZ353" i="4"/>
  <c r="CZ354" i="4"/>
  <c r="CZ355" i="4"/>
  <c r="CZ356" i="4"/>
  <c r="CZ357" i="4"/>
  <c r="CZ358" i="4"/>
  <c r="CZ359" i="4"/>
  <c r="CZ360" i="4"/>
  <c r="CZ361" i="4"/>
  <c r="CZ362" i="4"/>
  <c r="CZ363" i="4"/>
  <c r="CZ364" i="4"/>
  <c r="CZ365" i="4"/>
  <c r="CZ366" i="4"/>
  <c r="CZ367" i="4"/>
  <c r="CZ368" i="4"/>
  <c r="CZ369" i="4"/>
  <c r="CZ370" i="4"/>
  <c r="CZ371" i="4"/>
  <c r="CZ372" i="4"/>
  <c r="CZ373" i="4"/>
  <c r="CZ374" i="4"/>
  <c r="CZ375" i="4"/>
  <c r="CZ376" i="4"/>
  <c r="CZ377" i="4"/>
  <c r="CZ378" i="4"/>
  <c r="CZ379" i="4"/>
  <c r="CZ380" i="4"/>
  <c r="CZ381" i="4"/>
  <c r="CZ382" i="4"/>
  <c r="CZ383" i="4"/>
  <c r="CZ384" i="4"/>
  <c r="CZ385" i="4"/>
  <c r="CZ386" i="4"/>
  <c r="CZ387" i="4"/>
  <c r="CZ388" i="4"/>
  <c r="CZ389" i="4"/>
  <c r="CZ390" i="4"/>
  <c r="CZ391" i="4"/>
  <c r="CZ392" i="4"/>
  <c r="CZ393" i="4"/>
  <c r="CZ394" i="4"/>
  <c r="CZ395" i="4"/>
  <c r="CZ396" i="4"/>
  <c r="CZ397" i="4"/>
  <c r="CZ398" i="4"/>
  <c r="CZ399" i="4"/>
  <c r="CZ400" i="4"/>
  <c r="CZ401" i="4"/>
  <c r="CZ402" i="4"/>
  <c r="CZ403" i="4"/>
  <c r="CZ404" i="4"/>
  <c r="CZ405" i="4"/>
  <c r="CZ406" i="4"/>
  <c r="CZ407" i="4"/>
  <c r="CZ408" i="4"/>
  <c r="CZ409" i="4"/>
  <c r="CZ410" i="4"/>
  <c r="CZ411" i="4"/>
  <c r="CZ412" i="4"/>
  <c r="CZ413" i="4"/>
  <c r="CZ414" i="4"/>
  <c r="CZ415" i="4"/>
  <c r="CZ416" i="4"/>
  <c r="CZ417" i="4"/>
  <c r="CZ418" i="4"/>
  <c r="CZ419" i="4"/>
  <c r="CZ420" i="4"/>
  <c r="CZ421" i="4"/>
  <c r="CZ422" i="4"/>
  <c r="CZ423" i="4"/>
  <c r="CZ424" i="4"/>
  <c r="CZ425" i="4"/>
  <c r="CZ426" i="4"/>
  <c r="CZ427" i="4"/>
  <c r="CZ428" i="4"/>
  <c r="CZ429" i="4"/>
  <c r="CZ430" i="4"/>
  <c r="CZ431" i="4"/>
  <c r="CZ432" i="4"/>
  <c r="CZ433" i="4"/>
  <c r="CZ434" i="4"/>
  <c r="CZ435" i="4"/>
  <c r="CZ436" i="4"/>
  <c r="CZ437" i="4"/>
  <c r="CZ438" i="4"/>
  <c r="CZ439" i="4"/>
  <c r="CZ440" i="4"/>
  <c r="CZ441" i="4"/>
  <c r="CZ442" i="4"/>
  <c r="CZ443" i="4"/>
  <c r="CZ444" i="4"/>
  <c r="CZ445" i="4"/>
  <c r="CZ446" i="4"/>
  <c r="CZ447" i="4"/>
  <c r="CZ448" i="4"/>
  <c r="CZ449" i="4"/>
  <c r="CZ450" i="4"/>
  <c r="CZ451" i="4"/>
  <c r="CZ452" i="4"/>
  <c r="CZ453" i="4"/>
  <c r="CZ454" i="4"/>
  <c r="CZ455" i="4"/>
  <c r="CZ456" i="4"/>
  <c r="CZ457" i="4"/>
  <c r="CZ458" i="4"/>
  <c r="CZ459" i="4"/>
  <c r="CZ460" i="4"/>
  <c r="CZ461" i="4"/>
  <c r="CZ462" i="4"/>
  <c r="CZ463" i="4"/>
  <c r="CZ464" i="4"/>
  <c r="CZ465" i="4"/>
  <c r="CZ466" i="4"/>
  <c r="CZ467" i="4"/>
  <c r="CZ468" i="4"/>
  <c r="CZ469" i="4"/>
  <c r="CZ470" i="4"/>
  <c r="CZ471" i="4"/>
  <c r="CZ472" i="4"/>
  <c r="CZ473" i="4"/>
  <c r="CZ474" i="4"/>
  <c r="CZ475" i="4"/>
  <c r="CZ476" i="4"/>
  <c r="CZ477" i="4"/>
  <c r="CZ478" i="4"/>
  <c r="CZ479" i="4"/>
  <c r="CZ480" i="4"/>
  <c r="CZ481" i="4"/>
  <c r="CZ482" i="4"/>
  <c r="CZ483" i="4"/>
  <c r="CZ484" i="4"/>
  <c r="CZ485" i="4"/>
  <c r="CZ486" i="4"/>
  <c r="CZ487" i="4"/>
  <c r="CZ488" i="4"/>
  <c r="CZ489" i="4"/>
  <c r="CZ490" i="4"/>
  <c r="CZ491" i="4"/>
  <c r="CZ492" i="4"/>
  <c r="CZ493" i="4"/>
  <c r="CZ494" i="4"/>
  <c r="CZ495" i="4"/>
  <c r="CZ496" i="4"/>
  <c r="CZ497" i="4"/>
  <c r="CZ498" i="4"/>
  <c r="CZ499" i="4"/>
  <c r="CZ500" i="4"/>
  <c r="CZ501" i="4"/>
  <c r="CZ502" i="4"/>
  <c r="CZ503" i="4"/>
  <c r="CZ504" i="4"/>
  <c r="CZ505" i="4"/>
  <c r="CZ506" i="4"/>
  <c r="CZ507" i="4"/>
  <c r="CZ508" i="4"/>
  <c r="CZ509" i="4"/>
  <c r="CZ510" i="4"/>
  <c r="CZ511" i="4"/>
  <c r="CZ512" i="4"/>
  <c r="CZ513" i="4"/>
  <c r="CZ514" i="4"/>
  <c r="CZ515" i="4"/>
  <c r="CZ516" i="4"/>
  <c r="CZ517" i="4"/>
  <c r="CZ518" i="4"/>
  <c r="CZ519" i="4"/>
  <c r="CZ520" i="4"/>
  <c r="CZ521" i="4"/>
  <c r="CZ522" i="4"/>
  <c r="CZ523" i="4"/>
  <c r="CZ524" i="4"/>
  <c r="CZ525" i="4"/>
  <c r="CZ526" i="4"/>
  <c r="CZ527" i="4"/>
  <c r="CZ528" i="4"/>
  <c r="CZ529" i="4"/>
  <c r="CZ530" i="4"/>
  <c r="CZ531" i="4"/>
  <c r="CZ532" i="4"/>
  <c r="CZ533" i="4"/>
  <c r="CZ534" i="4"/>
  <c r="CZ535" i="4"/>
  <c r="CZ536" i="4"/>
  <c r="CZ537" i="4"/>
  <c r="CZ538" i="4"/>
  <c r="CZ539" i="4"/>
  <c r="CZ540" i="4"/>
  <c r="CZ541" i="4"/>
  <c r="CZ542" i="4"/>
  <c r="CZ543" i="4"/>
  <c r="CZ544" i="4"/>
  <c r="CZ545" i="4"/>
  <c r="CZ546" i="4"/>
  <c r="CZ547" i="4"/>
  <c r="CZ548" i="4"/>
  <c r="CZ549" i="4"/>
  <c r="CZ550" i="4"/>
  <c r="CZ551" i="4"/>
  <c r="CZ552" i="4"/>
  <c r="CZ553" i="4"/>
  <c r="CZ554" i="4"/>
  <c r="CZ555" i="4"/>
  <c r="CZ556" i="4"/>
  <c r="CZ557" i="4"/>
  <c r="CZ558" i="4"/>
  <c r="CZ559" i="4"/>
  <c r="CZ560" i="4"/>
  <c r="CZ561" i="4"/>
  <c r="CZ562" i="4"/>
  <c r="CZ563" i="4"/>
  <c r="CZ564" i="4"/>
  <c r="CZ565" i="4"/>
  <c r="CZ566" i="4"/>
  <c r="CZ567" i="4"/>
  <c r="CZ568" i="4"/>
  <c r="CZ569" i="4"/>
  <c r="CZ570" i="4"/>
  <c r="CZ571" i="4"/>
  <c r="CZ572" i="4"/>
  <c r="CZ573" i="4"/>
  <c r="CZ574" i="4"/>
  <c r="CZ575" i="4"/>
  <c r="CZ576" i="4"/>
  <c r="CZ577" i="4"/>
  <c r="CZ578" i="4"/>
  <c r="CZ579" i="4"/>
  <c r="CZ580" i="4"/>
  <c r="CZ581" i="4"/>
  <c r="CZ582" i="4"/>
  <c r="CZ583" i="4"/>
  <c r="CZ584" i="4"/>
  <c r="CZ585" i="4"/>
  <c r="CZ586" i="4"/>
  <c r="CZ587" i="4"/>
  <c r="CZ588" i="4"/>
  <c r="CZ589" i="4"/>
  <c r="CZ590" i="4"/>
  <c r="CZ591" i="4"/>
  <c r="CZ592" i="4"/>
  <c r="CZ593" i="4"/>
  <c r="CZ594" i="4"/>
  <c r="CZ595" i="4"/>
  <c r="CZ596" i="4"/>
  <c r="CZ597" i="4"/>
  <c r="CZ598" i="4"/>
  <c r="CZ599" i="4"/>
  <c r="CZ600" i="4"/>
  <c r="CZ601" i="4"/>
  <c r="CZ602" i="4"/>
  <c r="CZ603" i="4"/>
  <c r="CZ604" i="4"/>
  <c r="CZ605" i="4"/>
  <c r="CZ606" i="4"/>
  <c r="CZ607" i="4"/>
  <c r="CZ608" i="4"/>
  <c r="CZ609" i="4"/>
  <c r="CZ610" i="4"/>
  <c r="CZ611" i="4"/>
  <c r="CZ612" i="4"/>
  <c r="CZ613" i="4"/>
  <c r="CZ614" i="4"/>
  <c r="CZ615" i="4"/>
  <c r="CZ616" i="4"/>
  <c r="CZ617" i="4"/>
  <c r="CZ618" i="4"/>
  <c r="CZ619" i="4"/>
  <c r="CZ620" i="4"/>
  <c r="CZ621" i="4"/>
  <c r="CZ622" i="4"/>
  <c r="CZ623" i="4"/>
  <c r="CZ624" i="4"/>
  <c r="CZ625" i="4"/>
  <c r="CZ626" i="4"/>
  <c r="CZ627" i="4"/>
  <c r="CZ628" i="4"/>
  <c r="CZ629" i="4"/>
  <c r="CZ630" i="4"/>
  <c r="CZ631" i="4"/>
  <c r="CZ632" i="4"/>
  <c r="CZ633" i="4"/>
  <c r="CZ634" i="4"/>
  <c r="CZ635" i="4"/>
  <c r="CZ636" i="4"/>
  <c r="CZ637" i="4"/>
  <c r="CZ638" i="4"/>
  <c r="CZ639" i="4"/>
  <c r="CZ640" i="4"/>
  <c r="CZ641" i="4"/>
  <c r="CZ642" i="4"/>
  <c r="CZ643" i="4"/>
  <c r="CZ644" i="4"/>
  <c r="CZ645" i="4"/>
  <c r="CZ646" i="4"/>
  <c r="CZ647" i="4"/>
  <c r="CZ648" i="4"/>
  <c r="CZ649" i="4"/>
  <c r="CZ650" i="4"/>
  <c r="CZ651" i="4"/>
  <c r="CZ652" i="4"/>
  <c r="CZ653" i="4"/>
  <c r="CZ654" i="4"/>
  <c r="CZ655" i="4"/>
  <c r="CZ656" i="4"/>
  <c r="CZ657" i="4"/>
  <c r="CZ658" i="4"/>
  <c r="CZ659" i="4"/>
  <c r="CZ660" i="4"/>
  <c r="CZ661" i="4"/>
  <c r="CZ662" i="4"/>
  <c r="CZ663" i="4"/>
  <c r="CZ664" i="4"/>
  <c r="CZ665" i="4"/>
  <c r="CZ666" i="4"/>
  <c r="CZ667" i="4"/>
  <c r="CZ668" i="4"/>
  <c r="CZ669" i="4"/>
  <c r="CZ670" i="4"/>
  <c r="CZ671" i="4"/>
  <c r="CZ672" i="4"/>
  <c r="CZ673" i="4"/>
  <c r="CZ674" i="4"/>
  <c r="CZ675" i="4"/>
  <c r="CZ676" i="4"/>
  <c r="CZ677" i="4"/>
  <c r="CZ678" i="4"/>
  <c r="CZ679" i="4"/>
  <c r="CZ680" i="4"/>
  <c r="CZ681" i="4"/>
  <c r="CZ682" i="4"/>
  <c r="CZ683" i="4"/>
  <c r="CZ684" i="4"/>
  <c r="CZ685" i="4"/>
  <c r="CZ686" i="4"/>
  <c r="CZ687" i="4"/>
  <c r="CZ688" i="4"/>
  <c r="CZ689" i="4"/>
  <c r="CZ690" i="4"/>
  <c r="CZ691" i="4"/>
  <c r="CZ692" i="4"/>
  <c r="CZ693" i="4"/>
  <c r="CZ694" i="4"/>
  <c r="CZ695" i="4"/>
  <c r="CZ696" i="4"/>
  <c r="CZ697" i="4"/>
  <c r="CZ698" i="4"/>
  <c r="CZ699" i="4"/>
  <c r="CZ700" i="4"/>
  <c r="CZ701" i="4"/>
  <c r="CZ702" i="4"/>
  <c r="CZ703" i="4"/>
  <c r="CZ704" i="4"/>
  <c r="CZ705" i="4"/>
  <c r="CZ706" i="4"/>
  <c r="CZ707" i="4"/>
  <c r="CZ708" i="4"/>
  <c r="CZ709" i="4"/>
  <c r="CZ710" i="4"/>
  <c r="CZ711" i="4"/>
  <c r="CZ712" i="4"/>
  <c r="CZ713" i="4"/>
  <c r="CZ714" i="4"/>
  <c r="CZ715" i="4"/>
  <c r="CZ716" i="4"/>
  <c r="CZ717" i="4"/>
  <c r="CZ718" i="4"/>
  <c r="CZ719" i="4"/>
  <c r="CZ720" i="4"/>
  <c r="CZ721" i="4"/>
  <c r="CZ722" i="4"/>
  <c r="CZ723" i="4"/>
  <c r="CZ724" i="4"/>
  <c r="CZ725" i="4"/>
  <c r="CZ726" i="4"/>
  <c r="CZ727" i="4"/>
  <c r="CZ728" i="4"/>
  <c r="CZ729" i="4"/>
  <c r="CZ730" i="4"/>
  <c r="CZ731" i="4"/>
  <c r="CZ732" i="4"/>
  <c r="CZ733" i="4"/>
  <c r="CZ734" i="4"/>
  <c r="CZ735" i="4"/>
  <c r="CZ736" i="4"/>
  <c r="CZ737" i="4"/>
  <c r="CZ738" i="4"/>
  <c r="CZ739" i="4"/>
  <c r="CZ740" i="4"/>
  <c r="CZ741" i="4"/>
  <c r="CZ742" i="4"/>
  <c r="CZ743" i="4"/>
  <c r="CZ744" i="4"/>
  <c r="CZ745" i="4"/>
  <c r="CZ746" i="4"/>
  <c r="CZ747" i="4"/>
  <c r="CZ748" i="4"/>
  <c r="CZ749" i="4"/>
  <c r="CZ750" i="4"/>
  <c r="CZ751" i="4"/>
  <c r="CZ752" i="4"/>
  <c r="CZ753" i="4"/>
  <c r="CZ754" i="4"/>
  <c r="CZ755" i="4"/>
  <c r="CZ756" i="4"/>
  <c r="CZ757" i="4"/>
  <c r="CZ758" i="4"/>
  <c r="CZ759" i="4"/>
  <c r="CZ760" i="4"/>
  <c r="CZ761" i="4"/>
  <c r="CZ762" i="4"/>
  <c r="CZ763" i="4"/>
  <c r="CZ764" i="4"/>
  <c r="CZ765" i="4"/>
  <c r="CZ766" i="4"/>
  <c r="CZ767" i="4"/>
  <c r="CZ768" i="4"/>
  <c r="CZ769" i="4"/>
  <c r="CZ770" i="4"/>
  <c r="CZ771" i="4"/>
  <c r="CZ772" i="4"/>
  <c r="CZ773" i="4"/>
  <c r="CZ774" i="4"/>
  <c r="CZ775" i="4"/>
  <c r="CZ776" i="4"/>
  <c r="CZ777" i="4"/>
  <c r="CZ778" i="4"/>
  <c r="CZ779" i="4"/>
  <c r="CZ780" i="4"/>
  <c r="CZ781" i="4"/>
  <c r="CZ782" i="4"/>
  <c r="CZ783" i="4"/>
  <c r="CZ784" i="4"/>
  <c r="CZ785" i="4"/>
  <c r="CZ786" i="4"/>
  <c r="CZ787" i="4"/>
  <c r="CZ788" i="4"/>
  <c r="CZ789" i="4"/>
  <c r="CZ790" i="4"/>
  <c r="CZ791" i="4"/>
  <c r="CZ792" i="4"/>
  <c r="CZ793" i="4"/>
  <c r="CZ794" i="4"/>
  <c r="CZ795" i="4"/>
  <c r="CZ796" i="4"/>
  <c r="CZ797" i="4"/>
  <c r="CZ798" i="4"/>
  <c r="CZ799" i="4"/>
  <c r="CZ800" i="4"/>
  <c r="CZ801" i="4"/>
  <c r="CZ802" i="4"/>
  <c r="CZ803" i="4"/>
  <c r="CZ804" i="4"/>
  <c r="CZ805" i="4"/>
  <c r="CZ806" i="4"/>
  <c r="CZ807" i="4"/>
  <c r="CZ808" i="4"/>
  <c r="CZ809" i="4"/>
  <c r="CZ810" i="4"/>
  <c r="CZ811" i="4"/>
  <c r="CZ812" i="4"/>
  <c r="CZ813" i="4"/>
  <c r="CZ814" i="4"/>
  <c r="CZ815" i="4"/>
  <c r="CZ816" i="4"/>
  <c r="CZ817" i="4"/>
  <c r="CZ818" i="4"/>
  <c r="CZ819" i="4"/>
  <c r="CZ820" i="4"/>
  <c r="CZ821" i="4"/>
  <c r="CZ822" i="4"/>
  <c r="CZ823" i="4"/>
  <c r="CZ824" i="4"/>
  <c r="CZ825" i="4"/>
  <c r="CZ826" i="4"/>
  <c r="CZ827" i="4"/>
  <c r="CZ828" i="4"/>
  <c r="CZ829" i="4"/>
  <c r="CZ830" i="4"/>
  <c r="CZ831" i="4"/>
  <c r="CZ832" i="4"/>
  <c r="CZ833" i="4"/>
  <c r="CZ834" i="4"/>
  <c r="CZ835" i="4"/>
  <c r="CZ836" i="4"/>
  <c r="CZ837" i="4"/>
  <c r="CZ838" i="4"/>
  <c r="CZ839" i="4"/>
  <c r="CZ840" i="4"/>
  <c r="CZ841" i="4"/>
  <c r="CZ842" i="4"/>
  <c r="CZ843" i="4"/>
  <c r="CZ844" i="4"/>
  <c r="CZ845" i="4"/>
  <c r="CZ846" i="4"/>
  <c r="CZ847" i="4"/>
  <c r="CZ848" i="4"/>
  <c r="CZ849" i="4"/>
  <c r="CZ850" i="4"/>
  <c r="CZ851" i="4"/>
  <c r="CZ852" i="4"/>
  <c r="CZ853" i="4"/>
  <c r="CZ854" i="4"/>
  <c r="CZ855" i="4"/>
  <c r="CZ856" i="4"/>
  <c r="CZ857" i="4"/>
  <c r="CZ858" i="4"/>
  <c r="CZ859" i="4"/>
  <c r="CZ860" i="4"/>
  <c r="CZ861" i="4"/>
  <c r="CZ862" i="4"/>
  <c r="CZ863" i="4"/>
  <c r="CZ864" i="4"/>
  <c r="CZ865" i="4"/>
  <c r="CZ866" i="4"/>
  <c r="CZ867" i="4"/>
  <c r="CZ868" i="4"/>
  <c r="CZ869" i="4"/>
  <c r="CZ870" i="4"/>
  <c r="CZ871" i="4"/>
  <c r="CZ872" i="4"/>
  <c r="CZ873" i="4"/>
  <c r="CZ874" i="4"/>
  <c r="CZ875" i="4"/>
  <c r="CZ876" i="4"/>
  <c r="CZ877" i="4"/>
  <c r="CZ878" i="4"/>
  <c r="CZ879" i="4"/>
  <c r="CZ880" i="4"/>
  <c r="CZ881" i="4"/>
  <c r="CZ882" i="4"/>
  <c r="CZ883" i="4"/>
  <c r="CZ884" i="4"/>
  <c r="CZ885" i="4"/>
  <c r="CZ886" i="4"/>
  <c r="CZ887" i="4"/>
  <c r="CZ888" i="4"/>
  <c r="CZ889" i="4"/>
  <c r="CZ890" i="4"/>
  <c r="CZ891" i="4"/>
  <c r="CZ892" i="4"/>
  <c r="CZ893" i="4"/>
  <c r="CZ894" i="4"/>
  <c r="CZ895" i="4"/>
  <c r="CZ896" i="4"/>
  <c r="CZ897" i="4"/>
  <c r="CZ898" i="4"/>
  <c r="CZ899" i="4"/>
  <c r="CZ900" i="4"/>
  <c r="CZ901" i="4"/>
  <c r="CZ902" i="4"/>
  <c r="CZ903" i="4"/>
  <c r="CZ904" i="4"/>
  <c r="CZ905" i="4"/>
  <c r="CZ906" i="4"/>
  <c r="CZ907" i="4"/>
  <c r="CZ908" i="4"/>
  <c r="CZ909" i="4"/>
  <c r="CZ910" i="4"/>
  <c r="CZ911" i="4"/>
  <c r="CZ912" i="4"/>
  <c r="CZ913" i="4"/>
  <c r="CZ914" i="4"/>
  <c r="CZ915" i="4"/>
  <c r="CZ916" i="4"/>
  <c r="CZ917" i="4"/>
  <c r="CZ918" i="4"/>
  <c r="CZ919" i="4"/>
  <c r="CZ920" i="4"/>
  <c r="CZ921" i="4"/>
  <c r="CZ922" i="4"/>
  <c r="CZ923" i="4"/>
  <c r="CZ924" i="4"/>
  <c r="CZ925" i="4"/>
  <c r="CZ926" i="4"/>
  <c r="CZ927" i="4"/>
  <c r="CZ928" i="4"/>
  <c r="CZ929" i="4"/>
  <c r="CZ930" i="4"/>
  <c r="CZ931" i="4"/>
  <c r="CZ932" i="4"/>
  <c r="CZ933" i="4"/>
  <c r="CZ934" i="4"/>
  <c r="CZ935" i="4"/>
  <c r="CZ936" i="4"/>
  <c r="CZ937" i="4"/>
  <c r="CZ938" i="4"/>
  <c r="CZ939" i="4"/>
  <c r="CZ940" i="4"/>
  <c r="CZ941" i="4"/>
  <c r="CZ942" i="4"/>
  <c r="CZ943" i="4"/>
  <c r="CZ944" i="4"/>
  <c r="CZ945" i="4"/>
  <c r="CZ946" i="4"/>
  <c r="CZ947" i="4"/>
  <c r="CZ948" i="4"/>
  <c r="CZ949" i="4"/>
  <c r="CZ950" i="4"/>
  <c r="CZ951" i="4"/>
  <c r="CZ952" i="4"/>
  <c r="CZ953" i="4"/>
  <c r="CZ954" i="4"/>
  <c r="CZ955" i="4"/>
  <c r="CZ956" i="4"/>
  <c r="CZ957" i="4"/>
  <c r="CZ958" i="4"/>
  <c r="CZ959" i="4"/>
  <c r="CZ960" i="4"/>
  <c r="CZ961" i="4"/>
  <c r="CZ962" i="4"/>
  <c r="CZ963" i="4"/>
  <c r="CZ964" i="4"/>
  <c r="CZ965" i="4"/>
  <c r="CZ966" i="4"/>
  <c r="CZ967" i="4"/>
  <c r="CZ968" i="4"/>
  <c r="CZ969" i="4"/>
  <c r="CZ970" i="4"/>
  <c r="CZ971" i="4"/>
  <c r="CZ972" i="4"/>
  <c r="CZ973" i="4"/>
  <c r="CZ974" i="4"/>
  <c r="CZ975" i="4"/>
  <c r="CZ976" i="4"/>
  <c r="CZ977" i="4"/>
  <c r="CZ978" i="4"/>
  <c r="CZ979" i="4"/>
  <c r="CZ980" i="4"/>
  <c r="CZ981" i="4"/>
  <c r="CZ982" i="4"/>
  <c r="CZ983" i="4"/>
  <c r="CZ984" i="4"/>
  <c r="CZ985" i="4"/>
  <c r="CZ986" i="4"/>
  <c r="CZ987" i="4"/>
  <c r="CZ988" i="4"/>
  <c r="CZ989" i="4"/>
  <c r="CZ990" i="4"/>
  <c r="CZ991" i="4"/>
  <c r="CZ992" i="4"/>
  <c r="CZ993" i="4"/>
  <c r="CZ994" i="4"/>
  <c r="CZ995" i="4"/>
  <c r="CZ996" i="4"/>
  <c r="CZ997" i="4"/>
  <c r="CZ998" i="4"/>
  <c r="CZ999" i="4"/>
  <c r="CZ1000" i="4"/>
  <c r="CZ1001" i="4"/>
  <c r="CZ1002" i="4"/>
  <c r="CZ1003" i="4"/>
  <c r="CZ1004" i="4"/>
  <c r="CZ1005" i="4"/>
  <c r="CZ1006" i="4"/>
  <c r="CZ1007" i="4"/>
  <c r="CZ1008" i="4"/>
  <c r="CZ1009" i="4"/>
  <c r="CZ1010" i="4"/>
  <c r="CZ1011" i="4"/>
  <c r="CZ1012" i="4"/>
  <c r="CZ1013" i="4"/>
  <c r="CZ1014" i="4"/>
  <c r="CZ1015" i="4"/>
  <c r="CZ1016" i="4"/>
  <c r="CZ1017" i="4"/>
  <c r="CZ1018" i="4"/>
  <c r="CZ1019" i="4"/>
  <c r="CZ1020" i="4"/>
  <c r="CZ1021" i="4"/>
  <c r="CZ1022" i="4"/>
  <c r="CZ1023" i="4"/>
  <c r="CZ1024" i="4"/>
  <c r="CZ1025" i="4"/>
  <c r="CZ1026" i="4"/>
  <c r="CZ1027" i="4"/>
  <c r="CZ1028" i="4"/>
  <c r="CZ1029" i="4"/>
  <c r="CZ1030" i="4"/>
  <c r="CZ1031" i="4"/>
  <c r="CZ1032" i="4"/>
  <c r="CZ1033" i="4"/>
  <c r="CZ1034" i="4"/>
  <c r="CZ1035" i="4"/>
  <c r="CZ1036" i="4"/>
  <c r="CZ1037" i="4"/>
  <c r="CZ1038" i="4"/>
  <c r="CZ1039" i="4"/>
  <c r="CZ1040" i="4"/>
  <c r="CZ1041" i="4"/>
  <c r="CZ1042" i="4"/>
  <c r="CZ1043" i="4"/>
  <c r="CZ1044" i="4"/>
  <c r="CZ1045" i="4"/>
  <c r="CZ1046" i="4"/>
  <c r="CZ1047" i="4"/>
  <c r="CZ1048" i="4"/>
  <c r="CT975" i="4"/>
  <c r="CT976" i="4"/>
  <c r="CT977" i="4"/>
  <c r="CT978" i="4"/>
  <c r="CT979" i="4"/>
  <c r="CT980" i="4"/>
  <c r="CT981" i="4"/>
  <c r="CT982" i="4"/>
  <c r="CT983" i="4"/>
  <c r="CT984" i="4"/>
  <c r="CT985" i="4"/>
  <c r="CT986" i="4"/>
  <c r="CT987" i="4"/>
  <c r="CT988" i="4"/>
  <c r="CT989" i="4"/>
  <c r="CT990" i="4"/>
  <c r="CT991" i="4"/>
  <c r="CT992" i="4"/>
  <c r="CT993" i="4"/>
  <c r="CT994" i="4"/>
  <c r="CT995" i="4"/>
  <c r="CT996" i="4"/>
  <c r="CT997" i="4"/>
  <c r="CT998" i="4"/>
  <c r="CT999" i="4"/>
  <c r="CT1000" i="4"/>
  <c r="CT1001" i="4"/>
  <c r="CT1002" i="4"/>
  <c r="CT1003" i="4"/>
  <c r="CT1004" i="4"/>
  <c r="CT1005" i="4"/>
  <c r="CT1006" i="4"/>
  <c r="CT1007" i="4"/>
  <c r="CT1008" i="4"/>
  <c r="CT1009" i="4"/>
  <c r="CT1010" i="4"/>
  <c r="CT1011" i="4"/>
  <c r="CT1012" i="4"/>
  <c r="CT1013" i="4"/>
  <c r="CT1014" i="4"/>
  <c r="CT1015" i="4"/>
  <c r="CT1016" i="4"/>
  <c r="CT1017" i="4"/>
  <c r="CT1018" i="4"/>
  <c r="CT1019" i="4"/>
  <c r="CT1020" i="4"/>
  <c r="CT1021" i="4"/>
  <c r="CT1022" i="4"/>
  <c r="CT1023" i="4"/>
  <c r="CT1024" i="4"/>
  <c r="CT1025" i="4"/>
  <c r="CT1026" i="4"/>
  <c r="CT1027" i="4"/>
  <c r="CT1028" i="4"/>
  <c r="CT1029" i="4"/>
  <c r="CT1030" i="4"/>
  <c r="CT1031" i="4"/>
  <c r="CT1032" i="4"/>
  <c r="CT1033" i="4"/>
  <c r="CT1034" i="4"/>
  <c r="CT1035" i="4"/>
  <c r="CT1036" i="4"/>
  <c r="CT1037" i="4"/>
  <c r="CT1038" i="4"/>
  <c r="CT1039" i="4"/>
  <c r="CT1040" i="4"/>
  <c r="CT1041" i="4"/>
  <c r="CT1042" i="4"/>
  <c r="CT1043" i="4"/>
  <c r="CT1044" i="4"/>
  <c r="CT1045" i="4"/>
  <c r="CT1046" i="4"/>
  <c r="CT1047" i="4"/>
  <c r="CT1048" i="4"/>
  <c r="CT1049" i="4"/>
  <c r="CT1050" i="4"/>
  <c r="CT1051" i="4"/>
  <c r="CT1052" i="4"/>
  <c r="CT1053" i="4"/>
  <c r="CT1054" i="4"/>
  <c r="CT1055" i="4"/>
  <c r="CT1056" i="4"/>
  <c r="CT1057" i="4"/>
  <c r="CT1058" i="4"/>
  <c r="CT1059" i="4"/>
  <c r="CT1060" i="4"/>
  <c r="CT1061" i="4"/>
  <c r="CT1062" i="4"/>
  <c r="CT1063" i="4"/>
  <c r="CT1064" i="4"/>
  <c r="CT1065" i="4"/>
  <c r="CT1066" i="4"/>
  <c r="CT1067" i="4"/>
  <c r="CT1068" i="4"/>
  <c r="CT1069" i="4"/>
  <c r="CT1070" i="4"/>
  <c r="CT1071" i="4"/>
  <c r="CT1072" i="4"/>
  <c r="CT1073" i="4"/>
  <c r="CT1074" i="4"/>
  <c r="CT1075" i="4"/>
  <c r="CT1076" i="4"/>
  <c r="CT1077" i="4"/>
  <c r="CT1078" i="4"/>
  <c r="CT1079" i="4"/>
  <c r="CT1080" i="4"/>
  <c r="CT1081" i="4"/>
  <c r="CT1082" i="4"/>
  <c r="CT1083" i="4"/>
  <c r="CT1084" i="4"/>
  <c r="CT1085" i="4"/>
  <c r="CT1086" i="4"/>
  <c r="CT1087" i="4"/>
  <c r="CT1088" i="4"/>
  <c r="CT1089" i="4"/>
  <c r="CT1090" i="4"/>
  <c r="CT1091" i="4"/>
  <c r="CT1092" i="4"/>
  <c r="CT1093" i="4"/>
  <c r="CT1094" i="4"/>
  <c r="CT1095" i="4"/>
  <c r="CT1096" i="4"/>
  <c r="CT1097" i="4"/>
  <c r="CS975" i="4"/>
  <c r="CS976" i="4"/>
  <c r="CS977" i="4"/>
  <c r="CS978" i="4"/>
  <c r="CS979" i="4"/>
  <c r="CS980" i="4"/>
  <c r="CS981" i="4"/>
  <c r="CS982" i="4"/>
  <c r="CS983" i="4"/>
  <c r="CS984" i="4"/>
  <c r="CS985" i="4"/>
  <c r="CS986" i="4"/>
  <c r="CS987" i="4"/>
  <c r="CS988" i="4"/>
  <c r="CS989" i="4"/>
  <c r="CS990" i="4"/>
  <c r="CS991" i="4"/>
  <c r="CS992" i="4"/>
  <c r="CS993" i="4"/>
  <c r="CS994" i="4"/>
  <c r="CS995" i="4"/>
  <c r="CS996" i="4"/>
  <c r="CS997" i="4"/>
  <c r="CS998" i="4"/>
  <c r="CS999" i="4"/>
  <c r="CS1000" i="4"/>
  <c r="CS1001" i="4"/>
  <c r="CS1002" i="4"/>
  <c r="CS1003" i="4"/>
  <c r="CS1004" i="4"/>
  <c r="CS1005" i="4"/>
  <c r="CS1006" i="4"/>
  <c r="CS1007" i="4"/>
  <c r="CS1008" i="4"/>
  <c r="CS1009" i="4"/>
  <c r="CS1010" i="4"/>
  <c r="CS1011" i="4"/>
  <c r="CS1012" i="4"/>
  <c r="CS1013" i="4"/>
  <c r="CS1014" i="4"/>
  <c r="CS1015" i="4"/>
  <c r="CS1016" i="4"/>
  <c r="CS1017" i="4"/>
  <c r="CS1018" i="4"/>
  <c r="CS1019" i="4"/>
  <c r="CS1020" i="4"/>
  <c r="CS1021" i="4"/>
  <c r="CS1022" i="4"/>
  <c r="CS1023" i="4"/>
  <c r="CS1024" i="4"/>
  <c r="CS1025" i="4"/>
  <c r="CS1026" i="4"/>
  <c r="CS1027" i="4"/>
  <c r="CS1028" i="4"/>
  <c r="CS1029" i="4"/>
  <c r="CS1030" i="4"/>
  <c r="CS1031" i="4"/>
  <c r="CS1032" i="4"/>
  <c r="CS1033" i="4"/>
  <c r="CS1034" i="4"/>
  <c r="CS1035" i="4"/>
  <c r="CS1036" i="4"/>
  <c r="CS1037" i="4"/>
  <c r="CS1038" i="4"/>
  <c r="CS1039" i="4"/>
  <c r="CS1040" i="4"/>
  <c r="CS1041" i="4"/>
  <c r="CS1042" i="4"/>
  <c r="CS1043" i="4"/>
  <c r="CS1044" i="4"/>
  <c r="CS1045" i="4"/>
  <c r="CS1046" i="4"/>
  <c r="CS1047" i="4"/>
  <c r="CS1048" i="4"/>
  <c r="CS1049" i="4"/>
  <c r="CS1050" i="4"/>
  <c r="CS1051" i="4"/>
  <c r="CS1052" i="4"/>
  <c r="CS1053" i="4"/>
  <c r="CS1054" i="4"/>
  <c r="CS1055" i="4"/>
  <c r="CS1056" i="4"/>
  <c r="CS1057" i="4"/>
  <c r="CS1058" i="4"/>
  <c r="CS1059" i="4"/>
  <c r="CS1060" i="4"/>
  <c r="CS1061" i="4"/>
  <c r="CN26" i="4"/>
  <c r="CN61" i="4"/>
  <c r="CN93" i="4"/>
  <c r="CN125" i="4"/>
  <c r="CN157" i="4"/>
  <c r="CN181" i="4"/>
  <c r="CN197" i="4"/>
  <c r="CN213" i="4"/>
  <c r="CN229" i="4"/>
  <c r="CN245" i="4"/>
  <c r="CN261" i="4"/>
  <c r="CN277" i="4"/>
  <c r="CN293" i="4"/>
  <c r="BS296"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CT904" i="4" s="1"/>
  <c r="I905" i="4"/>
  <c r="CT905" i="4" s="1"/>
  <c r="I906" i="4"/>
  <c r="CT906" i="4" s="1"/>
  <c r="I907" i="4"/>
  <c r="CT907" i="4" s="1"/>
  <c r="I908" i="4"/>
  <c r="CT908" i="4" s="1"/>
  <c r="I909" i="4"/>
  <c r="CT909" i="4" s="1"/>
  <c r="I910" i="4"/>
  <c r="CT910" i="4" s="1"/>
  <c r="I911" i="4"/>
  <c r="CT911" i="4" s="1"/>
  <c r="I912" i="4"/>
  <c r="CT912" i="4" s="1"/>
  <c r="I913" i="4"/>
  <c r="CT913" i="4" s="1"/>
  <c r="I914" i="4"/>
  <c r="CT914" i="4" s="1"/>
  <c r="I915" i="4"/>
  <c r="CT915" i="4" s="1"/>
  <c r="I916" i="4"/>
  <c r="CT916" i="4" s="1"/>
  <c r="I917" i="4"/>
  <c r="CT917" i="4" s="1"/>
  <c r="I918" i="4"/>
  <c r="CT918" i="4" s="1"/>
  <c r="I919" i="4"/>
  <c r="CT919" i="4" s="1"/>
  <c r="I920" i="4"/>
  <c r="CT920" i="4" s="1"/>
  <c r="I921" i="4"/>
  <c r="CT921" i="4" s="1"/>
  <c r="I922" i="4"/>
  <c r="CT922" i="4" s="1"/>
  <c r="I923" i="4"/>
  <c r="CT923" i="4" s="1"/>
  <c r="I924" i="4"/>
  <c r="CT924" i="4" s="1"/>
  <c r="I925" i="4"/>
  <c r="CT925" i="4" s="1"/>
  <c r="I926" i="4"/>
  <c r="CT926" i="4" s="1"/>
  <c r="I927" i="4"/>
  <c r="CT927" i="4" s="1"/>
  <c r="I928" i="4"/>
  <c r="CT928" i="4" s="1"/>
  <c r="I929" i="4"/>
  <c r="CT929" i="4" s="1"/>
  <c r="I930" i="4"/>
  <c r="CT930" i="4" s="1"/>
  <c r="I931" i="4"/>
  <c r="CT931" i="4" s="1"/>
  <c r="I932" i="4"/>
  <c r="CT932" i="4" s="1"/>
  <c r="I933" i="4"/>
  <c r="CT933" i="4" s="1"/>
  <c r="I934" i="4"/>
  <c r="CT934" i="4" s="1"/>
  <c r="I935" i="4"/>
  <c r="CT935" i="4" s="1"/>
  <c r="I936" i="4"/>
  <c r="CT936" i="4" s="1"/>
  <c r="I937" i="4"/>
  <c r="CT937" i="4" s="1"/>
  <c r="I938" i="4"/>
  <c r="CT938" i="4" s="1"/>
  <c r="I939" i="4"/>
  <c r="CT939" i="4" s="1"/>
  <c r="I940" i="4"/>
  <c r="CT940" i="4" s="1"/>
  <c r="I941" i="4"/>
  <c r="CT941" i="4" s="1"/>
  <c r="I942" i="4"/>
  <c r="CT942" i="4" s="1"/>
  <c r="I943" i="4"/>
  <c r="CT943" i="4" s="1"/>
  <c r="I944" i="4"/>
  <c r="CT944" i="4" s="1"/>
  <c r="I945" i="4"/>
  <c r="CT945" i="4" s="1"/>
  <c r="I946" i="4"/>
  <c r="CT946" i="4" s="1"/>
  <c r="I947" i="4"/>
  <c r="CT947" i="4" s="1"/>
  <c r="I948" i="4"/>
  <c r="CT948" i="4" s="1"/>
  <c r="I949" i="4"/>
  <c r="CT949" i="4" s="1"/>
  <c r="I950" i="4"/>
  <c r="CT950" i="4" s="1"/>
  <c r="I951" i="4"/>
  <c r="CT951" i="4" s="1"/>
  <c r="I952" i="4"/>
  <c r="CT952" i="4" s="1"/>
  <c r="I953" i="4"/>
  <c r="CT953" i="4" s="1"/>
  <c r="I954" i="4"/>
  <c r="CT954" i="4" s="1"/>
  <c r="I955" i="4"/>
  <c r="CT955" i="4" s="1"/>
  <c r="I956" i="4"/>
  <c r="CT956" i="4" s="1"/>
  <c r="I957" i="4"/>
  <c r="CT957" i="4" s="1"/>
  <c r="I958" i="4"/>
  <c r="CT958" i="4" s="1"/>
  <c r="I959" i="4"/>
  <c r="CT959" i="4" s="1"/>
  <c r="I960" i="4"/>
  <c r="CT960" i="4" s="1"/>
  <c r="I961" i="4"/>
  <c r="CT961" i="4" s="1"/>
  <c r="I962" i="4"/>
  <c r="CT962" i="4" s="1"/>
  <c r="I963" i="4"/>
  <c r="CT963" i="4" s="1"/>
  <c r="I964" i="4"/>
  <c r="CT964" i="4" s="1"/>
  <c r="I965" i="4"/>
  <c r="CT965" i="4" s="1"/>
  <c r="I966" i="4"/>
  <c r="CT966" i="4" s="1"/>
  <c r="I967" i="4"/>
  <c r="CT967" i="4" s="1"/>
  <c r="I968" i="4"/>
  <c r="CT968" i="4" s="1"/>
  <c r="I969" i="4"/>
  <c r="CT969" i="4" s="1"/>
  <c r="I970" i="4"/>
  <c r="CT970" i="4" s="1"/>
  <c r="I971" i="4"/>
  <c r="CT971" i="4" s="1"/>
  <c r="I972" i="4"/>
  <c r="CT972" i="4" s="1"/>
  <c r="I973" i="4"/>
  <c r="CT973" i="4" s="1"/>
  <c r="I974" i="4"/>
  <c r="CT974" i="4" s="1"/>
  <c r="I1116" i="4"/>
  <c r="I1115" i="4"/>
  <c r="I1114" i="4"/>
  <c r="I1113" i="4"/>
  <c r="I1112" i="4"/>
  <c r="I1111" i="4"/>
  <c r="I1110" i="4"/>
  <c r="I1109" i="4"/>
  <c r="I1108" i="4"/>
  <c r="I1107" i="4"/>
  <c r="I1106" i="4"/>
  <c r="I1105" i="4"/>
  <c r="I1104" i="4"/>
  <c r="I1103" i="4"/>
  <c r="I1102" i="4"/>
  <c r="I1101" i="4"/>
  <c r="I1100" i="4"/>
  <c r="I1099" i="4"/>
  <c r="I1098" i="4"/>
  <c r="CN1097" i="4"/>
  <c r="CJ1097" i="4"/>
  <c r="CF1097" i="4"/>
  <c r="CB1097" i="4"/>
  <c r="BW1097" i="4"/>
  <c r="BS1097" i="4"/>
  <c r="BO1097" i="4"/>
  <c r="BK1097" i="4"/>
  <c r="BA1097" i="4"/>
  <c r="AW1097" i="4"/>
  <c r="AS1097" i="4"/>
  <c r="AO1097" i="4"/>
  <c r="AK1097" i="4"/>
  <c r="AG1097" i="4"/>
  <c r="AC1097" i="4"/>
  <c r="Y1097" i="4"/>
  <c r="I1097" i="4"/>
  <c r="CN1096" i="4"/>
  <c r="CJ1096" i="4"/>
  <c r="CF1096" i="4"/>
  <c r="CB1096" i="4"/>
  <c r="BW1096" i="4"/>
  <c r="BS1096" i="4"/>
  <c r="BO1096" i="4"/>
  <c r="BK1096" i="4"/>
  <c r="BA1096" i="4"/>
  <c r="AW1096" i="4"/>
  <c r="AS1096" i="4"/>
  <c r="AO1096" i="4"/>
  <c r="AK1096" i="4"/>
  <c r="AG1096" i="4"/>
  <c r="AC1096" i="4"/>
  <c r="Y1096" i="4"/>
  <c r="I1096" i="4"/>
  <c r="CN1095" i="4"/>
  <c r="CJ1095" i="4"/>
  <c r="CF1095" i="4"/>
  <c r="CB1095" i="4"/>
  <c r="BW1095" i="4"/>
  <c r="BS1095" i="4"/>
  <c r="BO1095" i="4"/>
  <c r="BK1095" i="4"/>
  <c r="BA1095" i="4"/>
  <c r="AW1095" i="4"/>
  <c r="AS1095" i="4"/>
  <c r="AO1095" i="4"/>
  <c r="AK1095" i="4"/>
  <c r="AG1095" i="4"/>
  <c r="AC1095" i="4"/>
  <c r="Y1095" i="4"/>
  <c r="I1095" i="4"/>
  <c r="CN1094" i="4"/>
  <c r="CJ1094" i="4"/>
  <c r="CF1094" i="4"/>
  <c r="CB1094" i="4"/>
  <c r="BW1094" i="4"/>
  <c r="BS1094" i="4"/>
  <c r="BO1094" i="4"/>
  <c r="BK1094" i="4"/>
  <c r="BA1094" i="4"/>
  <c r="AW1094" i="4"/>
  <c r="AS1094" i="4"/>
  <c r="AO1094" i="4"/>
  <c r="AK1094" i="4"/>
  <c r="AG1094" i="4"/>
  <c r="AC1094" i="4"/>
  <c r="Y1094" i="4"/>
  <c r="I1094" i="4"/>
  <c r="CN1093" i="4"/>
  <c r="CJ1093" i="4"/>
  <c r="CF1093" i="4"/>
  <c r="CB1093" i="4"/>
  <c r="BW1093" i="4"/>
  <c r="BS1093" i="4"/>
  <c r="BO1093" i="4"/>
  <c r="BK1093" i="4"/>
  <c r="BA1093" i="4"/>
  <c r="AW1093" i="4"/>
  <c r="AS1093" i="4"/>
  <c r="AO1093" i="4"/>
  <c r="AK1093" i="4"/>
  <c r="AG1093" i="4"/>
  <c r="AC1093" i="4"/>
  <c r="Y1093" i="4"/>
  <c r="I1093" i="4"/>
  <c r="CN1092" i="4"/>
  <c r="CJ1092" i="4"/>
  <c r="CF1092" i="4"/>
  <c r="CB1092" i="4"/>
  <c r="BW1092" i="4"/>
  <c r="BS1092" i="4"/>
  <c r="BO1092" i="4"/>
  <c r="BK1092" i="4"/>
  <c r="BA1092" i="4"/>
  <c r="AW1092" i="4"/>
  <c r="AS1092" i="4"/>
  <c r="AO1092" i="4"/>
  <c r="AK1092" i="4"/>
  <c r="AG1092" i="4"/>
  <c r="AC1092" i="4"/>
  <c r="Y1092" i="4"/>
  <c r="I1092" i="4"/>
  <c r="CN1091" i="4"/>
  <c r="CJ1091" i="4"/>
  <c r="CF1091" i="4"/>
  <c r="CB1091" i="4"/>
  <c r="BW1091" i="4"/>
  <c r="BS1091" i="4"/>
  <c r="BO1091" i="4"/>
  <c r="BK1091" i="4"/>
  <c r="BA1091" i="4"/>
  <c r="AW1091" i="4"/>
  <c r="AS1091" i="4"/>
  <c r="AO1091" i="4"/>
  <c r="AK1091" i="4"/>
  <c r="AG1091" i="4"/>
  <c r="AC1091" i="4"/>
  <c r="Y1091" i="4"/>
  <c r="I1091" i="4"/>
  <c r="CN1090" i="4"/>
  <c r="CJ1090" i="4"/>
  <c r="CF1090" i="4"/>
  <c r="CB1090" i="4"/>
  <c r="BW1090" i="4"/>
  <c r="BS1090" i="4"/>
  <c r="BO1090" i="4"/>
  <c r="BK1090" i="4"/>
  <c r="BA1090" i="4"/>
  <c r="AW1090" i="4"/>
  <c r="AS1090" i="4"/>
  <c r="AO1090" i="4"/>
  <c r="AK1090" i="4"/>
  <c r="AG1090" i="4"/>
  <c r="AC1090" i="4"/>
  <c r="Y1090" i="4"/>
  <c r="I1090" i="4"/>
  <c r="CN1089" i="4"/>
  <c r="CJ1089" i="4"/>
  <c r="CF1089" i="4"/>
  <c r="CB1089" i="4"/>
  <c r="BW1089" i="4"/>
  <c r="BS1089" i="4"/>
  <c r="BO1089" i="4"/>
  <c r="BK1089" i="4"/>
  <c r="BA1089" i="4"/>
  <c r="AW1089" i="4"/>
  <c r="AS1089" i="4"/>
  <c r="AO1089" i="4"/>
  <c r="AK1089" i="4"/>
  <c r="AG1089" i="4"/>
  <c r="AC1089" i="4"/>
  <c r="Y1089" i="4"/>
  <c r="I1089" i="4"/>
  <c r="CN1088" i="4"/>
  <c r="CJ1088" i="4"/>
  <c r="CF1088" i="4"/>
  <c r="CB1088" i="4"/>
  <c r="BW1088" i="4"/>
  <c r="BS1088" i="4"/>
  <c r="BO1088" i="4"/>
  <c r="BK1088" i="4"/>
  <c r="BA1088" i="4"/>
  <c r="AW1088" i="4"/>
  <c r="AS1088" i="4"/>
  <c r="AO1088" i="4"/>
  <c r="AK1088" i="4"/>
  <c r="AG1088" i="4"/>
  <c r="AC1088" i="4"/>
  <c r="Y1088" i="4"/>
  <c r="I1088" i="4"/>
  <c r="CN1087" i="4"/>
  <c r="CJ1087" i="4"/>
  <c r="CF1087" i="4"/>
  <c r="CB1087" i="4"/>
  <c r="BW1087" i="4"/>
  <c r="BS1087" i="4"/>
  <c r="BO1087" i="4"/>
  <c r="BK1087" i="4"/>
  <c r="BA1087" i="4"/>
  <c r="AW1087" i="4"/>
  <c r="AS1087" i="4"/>
  <c r="AO1087" i="4"/>
  <c r="AK1087" i="4"/>
  <c r="AG1087" i="4"/>
  <c r="AC1087" i="4"/>
  <c r="Y1087" i="4"/>
  <c r="I1087" i="4"/>
  <c r="CN1086" i="4"/>
  <c r="CJ1086" i="4"/>
  <c r="CF1086" i="4"/>
  <c r="CB1086" i="4"/>
  <c r="BW1086" i="4"/>
  <c r="BS1086" i="4"/>
  <c r="BO1086" i="4"/>
  <c r="BK1086" i="4"/>
  <c r="BA1086" i="4"/>
  <c r="AW1086" i="4"/>
  <c r="AS1086" i="4"/>
  <c r="AO1086" i="4"/>
  <c r="AK1086" i="4"/>
  <c r="AG1086" i="4"/>
  <c r="AC1086" i="4"/>
  <c r="Y1086" i="4"/>
  <c r="I1086" i="4"/>
  <c r="CN1085" i="4"/>
  <c r="CJ1085" i="4"/>
  <c r="CF1085" i="4"/>
  <c r="CB1085" i="4"/>
  <c r="BW1085" i="4"/>
  <c r="BS1085" i="4"/>
  <c r="BO1085" i="4"/>
  <c r="BK1085" i="4"/>
  <c r="BA1085" i="4"/>
  <c r="AW1085" i="4"/>
  <c r="AS1085" i="4"/>
  <c r="AO1085" i="4"/>
  <c r="AK1085" i="4"/>
  <c r="AG1085" i="4"/>
  <c r="AC1085" i="4"/>
  <c r="Y1085" i="4"/>
  <c r="I1085" i="4"/>
  <c r="CN1084" i="4"/>
  <c r="CJ1084" i="4"/>
  <c r="CF1084" i="4"/>
  <c r="CB1084" i="4"/>
  <c r="BW1084" i="4"/>
  <c r="BS1084" i="4"/>
  <c r="BO1084" i="4"/>
  <c r="BK1084" i="4"/>
  <c r="BA1084" i="4"/>
  <c r="AW1084" i="4"/>
  <c r="AS1084" i="4"/>
  <c r="AO1084" i="4"/>
  <c r="AK1084" i="4"/>
  <c r="AG1084" i="4"/>
  <c r="AC1084" i="4"/>
  <c r="Y1084" i="4"/>
  <c r="I1084" i="4"/>
  <c r="CN1083" i="4"/>
  <c r="CJ1083" i="4"/>
  <c r="CF1083" i="4"/>
  <c r="CB1083" i="4"/>
  <c r="BW1083" i="4"/>
  <c r="BS1083" i="4"/>
  <c r="BO1083" i="4"/>
  <c r="BK1083" i="4"/>
  <c r="BA1083" i="4"/>
  <c r="AW1083" i="4"/>
  <c r="AS1083" i="4"/>
  <c r="AO1083" i="4"/>
  <c r="AK1083" i="4"/>
  <c r="AG1083" i="4"/>
  <c r="AC1083" i="4"/>
  <c r="Y1083" i="4"/>
  <c r="I1083" i="4"/>
  <c r="CN1082" i="4"/>
  <c r="CJ1082" i="4"/>
  <c r="CF1082" i="4"/>
  <c r="CB1082" i="4"/>
  <c r="BW1082" i="4"/>
  <c r="BS1082" i="4"/>
  <c r="BO1082" i="4"/>
  <c r="BK1082" i="4"/>
  <c r="BA1082" i="4"/>
  <c r="AW1082" i="4"/>
  <c r="AS1082" i="4"/>
  <c r="AO1082" i="4"/>
  <c r="AK1082" i="4"/>
  <c r="AG1082" i="4"/>
  <c r="AC1082" i="4"/>
  <c r="Y1082" i="4"/>
  <c r="I1082" i="4"/>
  <c r="CN1081" i="4"/>
  <c r="CJ1081" i="4"/>
  <c r="CF1081" i="4"/>
  <c r="CB1081" i="4"/>
  <c r="BW1081" i="4"/>
  <c r="BS1081" i="4"/>
  <c r="BO1081" i="4"/>
  <c r="BK1081" i="4"/>
  <c r="BA1081" i="4"/>
  <c r="AW1081" i="4"/>
  <c r="AS1081" i="4"/>
  <c r="AO1081" i="4"/>
  <c r="AK1081" i="4"/>
  <c r="AG1081" i="4"/>
  <c r="AC1081" i="4"/>
  <c r="Y1081" i="4"/>
  <c r="I1081" i="4"/>
  <c r="CN1080" i="4"/>
  <c r="CJ1080" i="4"/>
  <c r="CF1080" i="4"/>
  <c r="CB1080" i="4"/>
  <c r="BW1080" i="4"/>
  <c r="BS1080" i="4"/>
  <c r="BO1080" i="4"/>
  <c r="BK1080" i="4"/>
  <c r="BA1080" i="4"/>
  <c r="AW1080" i="4"/>
  <c r="AS1080" i="4"/>
  <c r="AO1080" i="4"/>
  <c r="AK1080" i="4"/>
  <c r="AG1080" i="4"/>
  <c r="AC1080" i="4"/>
  <c r="Y1080" i="4"/>
  <c r="I1080" i="4"/>
  <c r="CN1079" i="4"/>
  <c r="CJ1079" i="4"/>
  <c r="CF1079" i="4"/>
  <c r="CB1079" i="4"/>
  <c r="BW1079" i="4"/>
  <c r="BS1079" i="4"/>
  <c r="BO1079" i="4"/>
  <c r="BK1079" i="4"/>
  <c r="BA1079" i="4"/>
  <c r="AW1079" i="4"/>
  <c r="AS1079" i="4"/>
  <c r="AO1079" i="4"/>
  <c r="AK1079" i="4"/>
  <c r="AG1079" i="4"/>
  <c r="AC1079" i="4"/>
  <c r="Y1079" i="4"/>
  <c r="I1079" i="4"/>
  <c r="CN1078" i="4"/>
  <c r="CJ1078" i="4"/>
  <c r="CF1078" i="4"/>
  <c r="CB1078" i="4"/>
  <c r="BW1078" i="4"/>
  <c r="BS1078" i="4"/>
  <c r="BO1078" i="4"/>
  <c r="BK1078" i="4"/>
  <c r="BA1078" i="4"/>
  <c r="AW1078" i="4"/>
  <c r="AS1078" i="4"/>
  <c r="AO1078" i="4"/>
  <c r="AK1078" i="4"/>
  <c r="AG1078" i="4"/>
  <c r="AC1078" i="4"/>
  <c r="Y1078" i="4"/>
  <c r="I1078" i="4"/>
  <c r="CN1077" i="4"/>
  <c r="CJ1077" i="4"/>
  <c r="CF1077" i="4"/>
  <c r="CB1077" i="4"/>
  <c r="BW1077" i="4"/>
  <c r="BS1077" i="4"/>
  <c r="BO1077" i="4"/>
  <c r="BK1077" i="4"/>
  <c r="BA1077" i="4"/>
  <c r="AW1077" i="4"/>
  <c r="AS1077" i="4"/>
  <c r="AO1077" i="4"/>
  <c r="AK1077" i="4"/>
  <c r="AG1077" i="4"/>
  <c r="AC1077" i="4"/>
  <c r="Y1077" i="4"/>
  <c r="I1077" i="4"/>
  <c r="CN1076" i="4"/>
  <c r="CJ1076" i="4"/>
  <c r="CF1076" i="4"/>
  <c r="CB1076" i="4"/>
  <c r="BW1076" i="4"/>
  <c r="BS1076" i="4"/>
  <c r="BO1076" i="4"/>
  <c r="BK1076" i="4"/>
  <c r="BA1076" i="4"/>
  <c r="AW1076" i="4"/>
  <c r="AS1076" i="4"/>
  <c r="AO1076" i="4"/>
  <c r="AK1076" i="4"/>
  <c r="AG1076" i="4"/>
  <c r="AC1076" i="4"/>
  <c r="Y1076" i="4"/>
  <c r="I1076" i="4"/>
  <c r="CN1075" i="4"/>
  <c r="CJ1075" i="4"/>
  <c r="CF1075" i="4"/>
  <c r="CB1075" i="4"/>
  <c r="BW1075" i="4"/>
  <c r="BS1075" i="4"/>
  <c r="BO1075" i="4"/>
  <c r="BK1075" i="4"/>
  <c r="BA1075" i="4"/>
  <c r="AW1075" i="4"/>
  <c r="AS1075" i="4"/>
  <c r="AO1075" i="4"/>
  <c r="AK1075" i="4"/>
  <c r="AG1075" i="4"/>
  <c r="AC1075" i="4"/>
  <c r="Y1075" i="4"/>
  <c r="I1075" i="4"/>
  <c r="CN1074" i="4"/>
  <c r="CJ1074" i="4"/>
  <c r="CF1074" i="4"/>
  <c r="CB1074" i="4"/>
  <c r="BW1074" i="4"/>
  <c r="BS1074" i="4"/>
  <c r="BO1074" i="4"/>
  <c r="BK1074" i="4"/>
  <c r="BA1074" i="4"/>
  <c r="AW1074" i="4"/>
  <c r="AS1074" i="4"/>
  <c r="AO1074" i="4"/>
  <c r="AK1074" i="4"/>
  <c r="AG1074" i="4"/>
  <c r="AC1074" i="4"/>
  <c r="Y1074" i="4"/>
  <c r="I1074" i="4"/>
  <c r="CN1073" i="4"/>
  <c r="CJ1073" i="4"/>
  <c r="CF1073" i="4"/>
  <c r="CB1073" i="4"/>
  <c r="BW1073" i="4"/>
  <c r="BS1073" i="4"/>
  <c r="BO1073" i="4"/>
  <c r="BK1073" i="4"/>
  <c r="BA1073" i="4"/>
  <c r="AW1073" i="4"/>
  <c r="AS1073" i="4"/>
  <c r="AO1073" i="4"/>
  <c r="AK1073" i="4"/>
  <c r="AG1073" i="4"/>
  <c r="AC1073" i="4"/>
  <c r="Y1073" i="4"/>
  <c r="I1073" i="4"/>
  <c r="CN1072" i="4"/>
  <c r="CJ1072" i="4"/>
  <c r="CF1072" i="4"/>
  <c r="CB1072" i="4"/>
  <c r="BW1072" i="4"/>
  <c r="BS1072" i="4"/>
  <c r="BO1072" i="4"/>
  <c r="BK1072" i="4"/>
  <c r="BA1072" i="4"/>
  <c r="AW1072" i="4"/>
  <c r="AS1072" i="4"/>
  <c r="AO1072" i="4"/>
  <c r="AK1072" i="4"/>
  <c r="AG1072" i="4"/>
  <c r="AC1072" i="4"/>
  <c r="Y1072" i="4"/>
  <c r="I1072" i="4"/>
  <c r="CN1071" i="4"/>
  <c r="CJ1071" i="4"/>
  <c r="CF1071" i="4"/>
  <c r="CB1071" i="4"/>
  <c r="BW1071" i="4"/>
  <c r="BS1071" i="4"/>
  <c r="BO1071" i="4"/>
  <c r="BK1071" i="4"/>
  <c r="BA1071" i="4"/>
  <c r="AW1071" i="4"/>
  <c r="AS1071" i="4"/>
  <c r="AO1071" i="4"/>
  <c r="AK1071" i="4"/>
  <c r="AG1071" i="4"/>
  <c r="AC1071" i="4"/>
  <c r="Y1071" i="4"/>
  <c r="I1071" i="4"/>
  <c r="CN1070" i="4"/>
  <c r="CJ1070" i="4"/>
  <c r="CF1070" i="4"/>
  <c r="CB1070" i="4"/>
  <c r="BW1070" i="4"/>
  <c r="BS1070" i="4"/>
  <c r="BO1070" i="4"/>
  <c r="BK1070" i="4"/>
  <c r="BA1070" i="4"/>
  <c r="AW1070" i="4"/>
  <c r="AS1070" i="4"/>
  <c r="AO1070" i="4"/>
  <c r="AK1070" i="4"/>
  <c r="AG1070" i="4"/>
  <c r="AC1070" i="4"/>
  <c r="Y1070" i="4"/>
  <c r="I1070" i="4"/>
  <c r="CN1069" i="4"/>
  <c r="CJ1069" i="4"/>
  <c r="CF1069" i="4"/>
  <c r="CB1069" i="4"/>
  <c r="BW1069" i="4"/>
  <c r="BS1069" i="4"/>
  <c r="BO1069" i="4"/>
  <c r="BK1069" i="4"/>
  <c r="BA1069" i="4"/>
  <c r="AW1069" i="4"/>
  <c r="AS1069" i="4"/>
  <c r="AO1069" i="4"/>
  <c r="AK1069" i="4"/>
  <c r="AG1069" i="4"/>
  <c r="AC1069" i="4"/>
  <c r="Y1069" i="4"/>
  <c r="I1069" i="4"/>
  <c r="CN1068" i="4"/>
  <c r="CJ1068" i="4"/>
  <c r="CF1068" i="4"/>
  <c r="CB1068" i="4"/>
  <c r="BW1068" i="4"/>
  <c r="BS1068" i="4"/>
  <c r="BO1068" i="4"/>
  <c r="BK1068" i="4"/>
  <c r="BA1068" i="4"/>
  <c r="AW1068" i="4"/>
  <c r="AS1068" i="4"/>
  <c r="AO1068" i="4"/>
  <c r="AK1068" i="4"/>
  <c r="AG1068" i="4"/>
  <c r="AC1068" i="4"/>
  <c r="Y1068" i="4"/>
  <c r="I1068" i="4"/>
  <c r="CN1067" i="4"/>
  <c r="CJ1067" i="4"/>
  <c r="CF1067" i="4"/>
  <c r="CB1067" i="4"/>
  <c r="BW1067" i="4"/>
  <c r="BS1067" i="4"/>
  <c r="BO1067" i="4"/>
  <c r="BK1067" i="4"/>
  <c r="BA1067" i="4"/>
  <c r="AW1067" i="4"/>
  <c r="AS1067" i="4"/>
  <c r="AO1067" i="4"/>
  <c r="AK1067" i="4"/>
  <c r="AG1067" i="4"/>
  <c r="AC1067" i="4"/>
  <c r="Y1067" i="4"/>
  <c r="I1067" i="4"/>
  <c r="CN1066" i="4"/>
  <c r="CJ1066" i="4"/>
  <c r="CF1066" i="4"/>
  <c r="CB1066" i="4"/>
  <c r="BW1066" i="4"/>
  <c r="BS1066" i="4"/>
  <c r="BO1066" i="4"/>
  <c r="BK1066" i="4"/>
  <c r="BA1066" i="4"/>
  <c r="AW1066" i="4"/>
  <c r="AS1066" i="4"/>
  <c r="AO1066" i="4"/>
  <c r="AK1066" i="4"/>
  <c r="AG1066" i="4"/>
  <c r="AC1066" i="4"/>
  <c r="Y1066" i="4"/>
  <c r="I1066" i="4"/>
  <c r="CN1065" i="4"/>
  <c r="CJ1065" i="4"/>
  <c r="CF1065" i="4"/>
  <c r="CB1065" i="4"/>
  <c r="BW1065" i="4"/>
  <c r="BS1065" i="4"/>
  <c r="BO1065" i="4"/>
  <c r="BK1065" i="4"/>
  <c r="BA1065" i="4"/>
  <c r="AW1065" i="4"/>
  <c r="AS1065" i="4"/>
  <c r="AO1065" i="4"/>
  <c r="AK1065" i="4"/>
  <c r="AG1065" i="4"/>
  <c r="AC1065" i="4"/>
  <c r="Y1065" i="4"/>
  <c r="I1065" i="4"/>
  <c r="CN1064" i="4"/>
  <c r="CJ1064" i="4"/>
  <c r="CF1064" i="4"/>
  <c r="CB1064" i="4"/>
  <c r="BW1064" i="4"/>
  <c r="BS1064" i="4"/>
  <c r="BO1064" i="4"/>
  <c r="BK1064" i="4"/>
  <c r="BA1064" i="4"/>
  <c r="AW1064" i="4"/>
  <c r="AS1064" i="4"/>
  <c r="AO1064" i="4"/>
  <c r="AK1064" i="4"/>
  <c r="AG1064" i="4"/>
  <c r="AC1064" i="4"/>
  <c r="Y1064" i="4"/>
  <c r="I1064" i="4"/>
  <c r="CN1063" i="4"/>
  <c r="CJ1063" i="4"/>
  <c r="CF1063" i="4"/>
  <c r="CB1063" i="4"/>
  <c r="BW1063" i="4"/>
  <c r="BS1063" i="4"/>
  <c r="BO1063" i="4"/>
  <c r="BK1063" i="4"/>
  <c r="BA1063" i="4"/>
  <c r="AW1063" i="4"/>
  <c r="AS1063" i="4"/>
  <c r="AO1063" i="4"/>
  <c r="AK1063" i="4"/>
  <c r="AG1063" i="4"/>
  <c r="AC1063" i="4"/>
  <c r="Y1063" i="4"/>
  <c r="I1063" i="4"/>
  <c r="CN1062" i="4"/>
  <c r="CJ1062" i="4"/>
  <c r="CF1062" i="4"/>
  <c r="CB1062" i="4"/>
  <c r="BW1062" i="4"/>
  <c r="BS1062" i="4"/>
  <c r="BO1062" i="4"/>
  <c r="BK1062" i="4"/>
  <c r="BA1062" i="4"/>
  <c r="AW1062" i="4"/>
  <c r="AS1062" i="4"/>
  <c r="AO1062" i="4"/>
  <c r="AK1062" i="4"/>
  <c r="AG1062" i="4"/>
  <c r="AC1062" i="4"/>
  <c r="Y1062" i="4"/>
  <c r="I1062" i="4"/>
  <c r="CN1061" i="4"/>
  <c r="CJ1061" i="4"/>
  <c r="CF1061" i="4"/>
  <c r="CB1061" i="4"/>
  <c r="BW1061" i="4"/>
  <c r="BS1061" i="4"/>
  <c r="BO1061" i="4"/>
  <c r="BK1061" i="4"/>
  <c r="BA1061" i="4"/>
  <c r="AW1061" i="4"/>
  <c r="AS1061" i="4"/>
  <c r="AO1061" i="4"/>
  <c r="AK1061" i="4"/>
  <c r="AG1061" i="4"/>
  <c r="AC1061" i="4"/>
  <c r="Y1061" i="4"/>
  <c r="I1061" i="4"/>
  <c r="CN1060" i="4"/>
  <c r="CJ1060" i="4"/>
  <c r="CF1060" i="4"/>
  <c r="CB1060" i="4"/>
  <c r="BW1060" i="4"/>
  <c r="BS1060" i="4"/>
  <c r="BO1060" i="4"/>
  <c r="BK1060" i="4"/>
  <c r="BA1060" i="4"/>
  <c r="AW1060" i="4"/>
  <c r="AS1060" i="4"/>
  <c r="AO1060" i="4"/>
  <c r="AK1060" i="4"/>
  <c r="AG1060" i="4"/>
  <c r="AC1060" i="4"/>
  <c r="Y1060" i="4"/>
  <c r="I1060" i="4"/>
  <c r="CN1059" i="4"/>
  <c r="CJ1059" i="4"/>
  <c r="CF1059" i="4"/>
  <c r="CB1059" i="4"/>
  <c r="BW1059" i="4"/>
  <c r="BS1059" i="4"/>
  <c r="BO1059" i="4"/>
  <c r="BK1059" i="4"/>
  <c r="BA1059" i="4"/>
  <c r="AW1059" i="4"/>
  <c r="AS1059" i="4"/>
  <c r="AO1059" i="4"/>
  <c r="AK1059" i="4"/>
  <c r="AG1059" i="4"/>
  <c r="AC1059" i="4"/>
  <c r="Y1059" i="4"/>
  <c r="I1059" i="4"/>
  <c r="CN1058" i="4"/>
  <c r="CJ1058" i="4"/>
  <c r="CF1058" i="4"/>
  <c r="CB1058" i="4"/>
  <c r="BW1058" i="4"/>
  <c r="BS1058" i="4"/>
  <c r="BO1058" i="4"/>
  <c r="BK1058" i="4"/>
  <c r="BA1058" i="4"/>
  <c r="AW1058" i="4"/>
  <c r="AS1058" i="4"/>
  <c r="AO1058" i="4"/>
  <c r="AK1058" i="4"/>
  <c r="AG1058" i="4"/>
  <c r="AC1058" i="4"/>
  <c r="Y1058" i="4"/>
  <c r="I1058" i="4"/>
  <c r="CN1057" i="4"/>
  <c r="CJ1057" i="4"/>
  <c r="CF1057" i="4"/>
  <c r="CB1057" i="4"/>
  <c r="BW1057" i="4"/>
  <c r="BS1057" i="4"/>
  <c r="BO1057" i="4"/>
  <c r="BK1057" i="4"/>
  <c r="BA1057" i="4"/>
  <c r="AW1057" i="4"/>
  <c r="AS1057" i="4"/>
  <c r="AO1057" i="4"/>
  <c r="AK1057" i="4"/>
  <c r="AG1057" i="4"/>
  <c r="AC1057" i="4"/>
  <c r="Y1057" i="4"/>
  <c r="I1057" i="4"/>
  <c r="CN1056" i="4"/>
  <c r="CJ1056" i="4"/>
  <c r="CF1056" i="4"/>
  <c r="CB1056" i="4"/>
  <c r="BW1056" i="4"/>
  <c r="BS1056" i="4"/>
  <c r="BO1056" i="4"/>
  <c r="BK1056" i="4"/>
  <c r="BA1056" i="4"/>
  <c r="AW1056" i="4"/>
  <c r="AS1056" i="4"/>
  <c r="AO1056" i="4"/>
  <c r="AK1056" i="4"/>
  <c r="AG1056" i="4"/>
  <c r="AC1056" i="4"/>
  <c r="Y1056" i="4"/>
  <c r="I1056" i="4"/>
  <c r="CN1055" i="4"/>
  <c r="CJ1055" i="4"/>
  <c r="CF1055" i="4"/>
  <c r="CB1055" i="4"/>
  <c r="BW1055" i="4"/>
  <c r="BS1055" i="4"/>
  <c r="BO1055" i="4"/>
  <c r="BK1055" i="4"/>
  <c r="BA1055" i="4"/>
  <c r="AW1055" i="4"/>
  <c r="AS1055" i="4"/>
  <c r="AO1055" i="4"/>
  <c r="AK1055" i="4"/>
  <c r="AG1055" i="4"/>
  <c r="AC1055" i="4"/>
  <c r="Y1055" i="4"/>
  <c r="I1055" i="4"/>
  <c r="CN1054" i="4"/>
  <c r="CJ1054" i="4"/>
  <c r="CF1054" i="4"/>
  <c r="CB1054" i="4"/>
  <c r="BW1054" i="4"/>
  <c r="BS1054" i="4"/>
  <c r="BO1054" i="4"/>
  <c r="BK1054" i="4"/>
  <c r="BA1054" i="4"/>
  <c r="AW1054" i="4"/>
  <c r="AS1054" i="4"/>
  <c r="AO1054" i="4"/>
  <c r="AK1054" i="4"/>
  <c r="AG1054" i="4"/>
  <c r="AC1054" i="4"/>
  <c r="Y1054" i="4"/>
  <c r="I1054" i="4"/>
  <c r="CN1053" i="4"/>
  <c r="CJ1053" i="4"/>
  <c r="CF1053" i="4"/>
  <c r="CB1053" i="4"/>
  <c r="BW1053" i="4"/>
  <c r="BS1053" i="4"/>
  <c r="BO1053" i="4"/>
  <c r="BK1053" i="4"/>
  <c r="BA1053" i="4"/>
  <c r="AW1053" i="4"/>
  <c r="AS1053" i="4"/>
  <c r="AO1053" i="4"/>
  <c r="AK1053" i="4"/>
  <c r="AG1053" i="4"/>
  <c r="AC1053" i="4"/>
  <c r="Y1053" i="4"/>
  <c r="I1053" i="4"/>
  <c r="CN1052" i="4"/>
  <c r="CJ1052" i="4"/>
  <c r="CF1052" i="4"/>
  <c r="CB1052" i="4"/>
  <c r="BW1052" i="4"/>
  <c r="BS1052" i="4"/>
  <c r="BO1052" i="4"/>
  <c r="BK1052" i="4"/>
  <c r="BA1052" i="4"/>
  <c r="AW1052" i="4"/>
  <c r="AS1052" i="4"/>
  <c r="AO1052" i="4"/>
  <c r="AK1052" i="4"/>
  <c r="AG1052" i="4"/>
  <c r="AC1052" i="4"/>
  <c r="Y1052" i="4"/>
  <c r="I1052" i="4"/>
  <c r="CN1051" i="4"/>
  <c r="CJ1051" i="4"/>
  <c r="CF1051" i="4"/>
  <c r="CB1051" i="4"/>
  <c r="BW1051" i="4"/>
  <c r="BS1051" i="4"/>
  <c r="BO1051" i="4"/>
  <c r="BK1051" i="4"/>
  <c r="BA1051" i="4"/>
  <c r="AW1051" i="4"/>
  <c r="AS1051" i="4"/>
  <c r="AO1051" i="4"/>
  <c r="AK1051" i="4"/>
  <c r="AG1051" i="4"/>
  <c r="AC1051" i="4"/>
  <c r="Y1051" i="4"/>
  <c r="I1051" i="4"/>
  <c r="CN1050" i="4"/>
  <c r="CJ1050" i="4"/>
  <c r="CF1050" i="4"/>
  <c r="CB1050" i="4"/>
  <c r="BW1050" i="4"/>
  <c r="BS1050" i="4"/>
  <c r="BO1050" i="4"/>
  <c r="BK1050" i="4"/>
  <c r="BA1050" i="4"/>
  <c r="AW1050" i="4"/>
  <c r="AS1050" i="4"/>
  <c r="AO1050" i="4"/>
  <c r="AK1050" i="4"/>
  <c r="AG1050" i="4"/>
  <c r="AC1050" i="4"/>
  <c r="Y1050" i="4"/>
  <c r="I1050" i="4"/>
  <c r="CN1049" i="4"/>
  <c r="CJ1049" i="4"/>
  <c r="CF1049" i="4"/>
  <c r="CB1049" i="4"/>
  <c r="BW1049" i="4"/>
  <c r="BS1049" i="4"/>
  <c r="BO1049" i="4"/>
  <c r="BK1049" i="4"/>
  <c r="BA1049" i="4"/>
  <c r="AW1049" i="4"/>
  <c r="AS1049" i="4"/>
  <c r="AO1049" i="4"/>
  <c r="AK1049" i="4"/>
  <c r="AG1049" i="4"/>
  <c r="AC1049" i="4"/>
  <c r="Y1049" i="4"/>
  <c r="I1049" i="4"/>
  <c r="CN1048" i="4"/>
  <c r="CJ1048" i="4"/>
  <c r="CF1048" i="4"/>
  <c r="CB1048" i="4"/>
  <c r="BW1048" i="4"/>
  <c r="BS1048" i="4"/>
  <c r="BO1048" i="4"/>
  <c r="BK1048" i="4"/>
  <c r="BA1048" i="4"/>
  <c r="AW1048" i="4"/>
  <c r="AS1048" i="4"/>
  <c r="AO1048" i="4"/>
  <c r="AK1048" i="4"/>
  <c r="AG1048" i="4"/>
  <c r="AC1048" i="4"/>
  <c r="Y1048" i="4"/>
  <c r="I1048" i="4"/>
  <c r="CN1047" i="4"/>
  <c r="CJ1047" i="4"/>
  <c r="CF1047" i="4"/>
  <c r="CB1047" i="4"/>
  <c r="BW1047" i="4"/>
  <c r="BS1047" i="4"/>
  <c r="BO1047" i="4"/>
  <c r="BK1047" i="4"/>
  <c r="BA1047" i="4"/>
  <c r="AW1047" i="4"/>
  <c r="AS1047" i="4"/>
  <c r="AO1047" i="4"/>
  <c r="AK1047" i="4"/>
  <c r="AG1047" i="4"/>
  <c r="AC1047" i="4"/>
  <c r="Y1047" i="4"/>
  <c r="I1047" i="4"/>
  <c r="CN1046" i="4"/>
  <c r="CJ1046" i="4"/>
  <c r="CF1046" i="4"/>
  <c r="CB1046" i="4"/>
  <c r="BW1046" i="4"/>
  <c r="BS1046" i="4"/>
  <c r="BO1046" i="4"/>
  <c r="BK1046" i="4"/>
  <c r="BA1046" i="4"/>
  <c r="AW1046" i="4"/>
  <c r="AS1046" i="4"/>
  <c r="AO1046" i="4"/>
  <c r="AK1046" i="4"/>
  <c r="AG1046" i="4"/>
  <c r="AC1046" i="4"/>
  <c r="Y1046" i="4"/>
  <c r="I1046" i="4"/>
  <c r="CN1045" i="4"/>
  <c r="CJ1045" i="4"/>
  <c r="CF1045" i="4"/>
  <c r="CB1045" i="4"/>
  <c r="BW1045" i="4"/>
  <c r="BS1045" i="4"/>
  <c r="BO1045" i="4"/>
  <c r="BK1045" i="4"/>
  <c r="BA1045" i="4"/>
  <c r="AW1045" i="4"/>
  <c r="AS1045" i="4"/>
  <c r="AO1045" i="4"/>
  <c r="AK1045" i="4"/>
  <c r="AG1045" i="4"/>
  <c r="AC1045" i="4"/>
  <c r="Y1045" i="4"/>
  <c r="I1045" i="4"/>
  <c r="CN1044" i="4"/>
  <c r="CJ1044" i="4"/>
  <c r="CF1044" i="4"/>
  <c r="CB1044" i="4"/>
  <c r="BW1044" i="4"/>
  <c r="BS1044" i="4"/>
  <c r="BO1044" i="4"/>
  <c r="BK1044" i="4"/>
  <c r="BA1044" i="4"/>
  <c r="AW1044" i="4"/>
  <c r="AS1044" i="4"/>
  <c r="AO1044" i="4"/>
  <c r="AK1044" i="4"/>
  <c r="AG1044" i="4"/>
  <c r="AC1044" i="4"/>
  <c r="Y1044" i="4"/>
  <c r="I1044" i="4"/>
  <c r="CN1043" i="4"/>
  <c r="CJ1043" i="4"/>
  <c r="CF1043" i="4"/>
  <c r="CB1043" i="4"/>
  <c r="BW1043" i="4"/>
  <c r="BS1043" i="4"/>
  <c r="BO1043" i="4"/>
  <c r="BK1043" i="4"/>
  <c r="BA1043" i="4"/>
  <c r="AW1043" i="4"/>
  <c r="AS1043" i="4"/>
  <c r="AO1043" i="4"/>
  <c r="AK1043" i="4"/>
  <c r="AG1043" i="4"/>
  <c r="AC1043" i="4"/>
  <c r="Y1043" i="4"/>
  <c r="I1043" i="4"/>
  <c r="CN1042" i="4"/>
  <c r="CJ1042" i="4"/>
  <c r="CF1042" i="4"/>
  <c r="CB1042" i="4"/>
  <c r="BW1042" i="4"/>
  <c r="BS1042" i="4"/>
  <c r="BO1042" i="4"/>
  <c r="BK1042" i="4"/>
  <c r="BA1042" i="4"/>
  <c r="AW1042" i="4"/>
  <c r="AS1042" i="4"/>
  <c r="AO1042" i="4"/>
  <c r="AK1042" i="4"/>
  <c r="AG1042" i="4"/>
  <c r="AC1042" i="4"/>
  <c r="Y1042" i="4"/>
  <c r="U1042" i="4"/>
  <c r="Q1042" i="4"/>
  <c r="I1042" i="4"/>
  <c r="CN1041" i="4"/>
  <c r="CJ1041" i="4"/>
  <c r="CF1041" i="4"/>
  <c r="CB1041" i="4"/>
  <c r="BW1041" i="4"/>
  <c r="BS1041" i="4"/>
  <c r="BO1041" i="4"/>
  <c r="BK1041" i="4"/>
  <c r="BA1041" i="4"/>
  <c r="AW1041" i="4"/>
  <c r="AS1041" i="4"/>
  <c r="AO1041" i="4"/>
  <c r="AK1041" i="4"/>
  <c r="AG1041" i="4"/>
  <c r="AC1041" i="4"/>
  <c r="Y1041" i="4"/>
  <c r="U1041" i="4"/>
  <c r="Q1041" i="4"/>
  <c r="I1041" i="4"/>
  <c r="CN1040" i="4"/>
  <c r="CJ1040" i="4"/>
  <c r="CF1040" i="4"/>
  <c r="CB1040" i="4"/>
  <c r="BW1040" i="4"/>
  <c r="BS1040" i="4"/>
  <c r="BO1040" i="4"/>
  <c r="BK1040" i="4"/>
  <c r="BA1040" i="4"/>
  <c r="AW1040" i="4"/>
  <c r="AS1040" i="4"/>
  <c r="AO1040" i="4"/>
  <c r="AK1040" i="4"/>
  <c r="AG1040" i="4"/>
  <c r="AC1040" i="4"/>
  <c r="Y1040" i="4"/>
  <c r="U1040" i="4"/>
  <c r="Q1040" i="4"/>
  <c r="I1040" i="4"/>
  <c r="CN1039" i="4"/>
  <c r="CJ1039" i="4"/>
  <c r="CF1039" i="4"/>
  <c r="CB1039" i="4"/>
  <c r="BW1039" i="4"/>
  <c r="BS1039" i="4"/>
  <c r="BO1039" i="4"/>
  <c r="BK1039" i="4"/>
  <c r="BA1039" i="4"/>
  <c r="AW1039" i="4"/>
  <c r="AS1039" i="4"/>
  <c r="AO1039" i="4"/>
  <c r="AK1039" i="4"/>
  <c r="AG1039" i="4"/>
  <c r="AC1039" i="4"/>
  <c r="Y1039" i="4"/>
  <c r="U1039" i="4"/>
  <c r="Q1039" i="4"/>
  <c r="I1039" i="4"/>
  <c r="CN1038" i="4"/>
  <c r="CJ1038" i="4"/>
  <c r="CF1038" i="4"/>
  <c r="CB1038" i="4"/>
  <c r="BW1038" i="4"/>
  <c r="BS1038" i="4"/>
  <c r="BO1038" i="4"/>
  <c r="BK1038" i="4"/>
  <c r="BA1038" i="4"/>
  <c r="AW1038" i="4"/>
  <c r="AS1038" i="4"/>
  <c r="AO1038" i="4"/>
  <c r="AK1038" i="4"/>
  <c r="AG1038" i="4"/>
  <c r="AC1038" i="4"/>
  <c r="Y1038" i="4"/>
  <c r="U1038" i="4"/>
  <c r="Q1038" i="4"/>
  <c r="I1038" i="4"/>
  <c r="CN1037" i="4"/>
  <c r="CJ1037" i="4"/>
  <c r="CF1037" i="4"/>
  <c r="CB1037" i="4"/>
  <c r="BW1037" i="4"/>
  <c r="BS1037" i="4"/>
  <c r="BO1037" i="4"/>
  <c r="BK1037" i="4"/>
  <c r="BA1037" i="4"/>
  <c r="AW1037" i="4"/>
  <c r="AS1037" i="4"/>
  <c r="AO1037" i="4"/>
  <c r="AK1037" i="4"/>
  <c r="AG1037" i="4"/>
  <c r="AC1037" i="4"/>
  <c r="Y1037" i="4"/>
  <c r="U1037" i="4"/>
  <c r="Q1037" i="4"/>
  <c r="I1037" i="4"/>
  <c r="CN1036" i="4"/>
  <c r="CJ1036" i="4"/>
  <c r="CF1036" i="4"/>
  <c r="CB1036" i="4"/>
  <c r="BW1036" i="4"/>
  <c r="BS1036" i="4"/>
  <c r="BO1036" i="4"/>
  <c r="BK1036" i="4"/>
  <c r="BA1036" i="4"/>
  <c r="AW1036" i="4"/>
  <c r="AS1036" i="4"/>
  <c r="AO1036" i="4"/>
  <c r="AK1036" i="4"/>
  <c r="AG1036" i="4"/>
  <c r="AC1036" i="4"/>
  <c r="Y1036" i="4"/>
  <c r="U1036" i="4"/>
  <c r="Q1036" i="4"/>
  <c r="I1036" i="4"/>
  <c r="CN1035" i="4"/>
  <c r="CJ1035" i="4"/>
  <c r="CF1035" i="4"/>
  <c r="CB1035" i="4"/>
  <c r="BW1035" i="4"/>
  <c r="BS1035" i="4"/>
  <c r="BO1035" i="4"/>
  <c r="BK1035" i="4"/>
  <c r="BA1035" i="4"/>
  <c r="AW1035" i="4"/>
  <c r="AS1035" i="4"/>
  <c r="AO1035" i="4"/>
  <c r="AK1035" i="4"/>
  <c r="AG1035" i="4"/>
  <c r="AC1035" i="4"/>
  <c r="Y1035" i="4"/>
  <c r="U1035" i="4"/>
  <c r="Q1035" i="4"/>
  <c r="I1035" i="4"/>
  <c r="CN1034" i="4"/>
  <c r="CJ1034" i="4"/>
  <c r="CF1034" i="4"/>
  <c r="CB1034" i="4"/>
  <c r="BW1034" i="4"/>
  <c r="BS1034" i="4"/>
  <c r="BO1034" i="4"/>
  <c r="BK1034" i="4"/>
  <c r="BA1034" i="4"/>
  <c r="AW1034" i="4"/>
  <c r="AS1034" i="4"/>
  <c r="AO1034" i="4"/>
  <c r="AK1034" i="4"/>
  <c r="AG1034" i="4"/>
  <c r="AC1034" i="4"/>
  <c r="Y1034" i="4"/>
  <c r="U1034" i="4"/>
  <c r="Q1034" i="4"/>
  <c r="I1034" i="4"/>
  <c r="CN1033" i="4"/>
  <c r="CJ1033" i="4"/>
  <c r="CF1033" i="4"/>
  <c r="CB1033" i="4"/>
  <c r="BW1033" i="4"/>
  <c r="BS1033" i="4"/>
  <c r="BO1033" i="4"/>
  <c r="BK1033" i="4"/>
  <c r="BA1033" i="4"/>
  <c r="AW1033" i="4"/>
  <c r="AS1033" i="4"/>
  <c r="AO1033" i="4"/>
  <c r="AK1033" i="4"/>
  <c r="AG1033" i="4"/>
  <c r="AC1033" i="4"/>
  <c r="Y1033" i="4"/>
  <c r="U1033" i="4"/>
  <c r="Q1033" i="4"/>
  <c r="I1033" i="4"/>
  <c r="CN1032" i="4"/>
  <c r="CJ1032" i="4"/>
  <c r="CF1032" i="4"/>
  <c r="CB1032" i="4"/>
  <c r="BW1032" i="4"/>
  <c r="BS1032" i="4"/>
  <c r="BO1032" i="4"/>
  <c r="BK1032" i="4"/>
  <c r="BA1032" i="4"/>
  <c r="AW1032" i="4"/>
  <c r="AS1032" i="4"/>
  <c r="AO1032" i="4"/>
  <c r="AK1032" i="4"/>
  <c r="AG1032" i="4"/>
  <c r="AC1032" i="4"/>
  <c r="Y1032" i="4"/>
  <c r="U1032" i="4"/>
  <c r="Q1032" i="4"/>
  <c r="I1032" i="4"/>
  <c r="CN1031" i="4"/>
  <c r="CJ1031" i="4"/>
  <c r="CF1031" i="4"/>
  <c r="CB1031" i="4"/>
  <c r="BW1031" i="4"/>
  <c r="BS1031" i="4"/>
  <c r="BO1031" i="4"/>
  <c r="BK1031" i="4"/>
  <c r="BA1031" i="4"/>
  <c r="AW1031" i="4"/>
  <c r="AS1031" i="4"/>
  <c r="AO1031" i="4"/>
  <c r="AK1031" i="4"/>
  <c r="AG1031" i="4"/>
  <c r="AC1031" i="4"/>
  <c r="Y1031" i="4"/>
  <c r="U1031" i="4"/>
  <c r="Q1031" i="4"/>
  <c r="I1031" i="4"/>
  <c r="CN1030" i="4"/>
  <c r="CJ1030" i="4"/>
  <c r="CF1030" i="4"/>
  <c r="CB1030" i="4"/>
  <c r="BW1030" i="4"/>
  <c r="BS1030" i="4"/>
  <c r="BO1030" i="4"/>
  <c r="BK1030" i="4"/>
  <c r="BA1030" i="4"/>
  <c r="AW1030" i="4"/>
  <c r="AS1030" i="4"/>
  <c r="AO1030" i="4"/>
  <c r="AK1030" i="4"/>
  <c r="AG1030" i="4"/>
  <c r="AC1030" i="4"/>
  <c r="Y1030" i="4"/>
  <c r="U1030" i="4"/>
  <c r="Q1030" i="4"/>
  <c r="I1030" i="4"/>
  <c r="CN1029" i="4"/>
  <c r="CJ1029" i="4"/>
  <c r="CF1029" i="4"/>
  <c r="CB1029" i="4"/>
  <c r="BW1029" i="4"/>
  <c r="BS1029" i="4"/>
  <c r="BO1029" i="4"/>
  <c r="BK1029" i="4"/>
  <c r="BA1029" i="4"/>
  <c r="AW1029" i="4"/>
  <c r="AS1029" i="4"/>
  <c r="AO1029" i="4"/>
  <c r="AK1029" i="4"/>
  <c r="AG1029" i="4"/>
  <c r="AC1029" i="4"/>
  <c r="Y1029" i="4"/>
  <c r="U1029" i="4"/>
  <c r="Q1029" i="4"/>
  <c r="I1029" i="4"/>
  <c r="CN1028" i="4"/>
  <c r="CJ1028" i="4"/>
  <c r="CF1028" i="4"/>
  <c r="CB1028" i="4"/>
  <c r="BW1028" i="4"/>
  <c r="BS1028" i="4"/>
  <c r="BO1028" i="4"/>
  <c r="BK1028" i="4"/>
  <c r="BA1028" i="4"/>
  <c r="AW1028" i="4"/>
  <c r="AS1028" i="4"/>
  <c r="AO1028" i="4"/>
  <c r="AK1028" i="4"/>
  <c r="AG1028" i="4"/>
  <c r="AC1028" i="4"/>
  <c r="Y1028" i="4"/>
  <c r="U1028" i="4"/>
  <c r="Q1028" i="4"/>
  <c r="I1028" i="4"/>
  <c r="CN1027" i="4"/>
  <c r="CJ1027" i="4"/>
  <c r="CF1027" i="4"/>
  <c r="CB1027" i="4"/>
  <c r="BW1027" i="4"/>
  <c r="BS1027" i="4"/>
  <c r="BO1027" i="4"/>
  <c r="BK1027" i="4"/>
  <c r="BA1027" i="4"/>
  <c r="AW1027" i="4"/>
  <c r="AS1027" i="4"/>
  <c r="AO1027" i="4"/>
  <c r="AK1027" i="4"/>
  <c r="AG1027" i="4"/>
  <c r="AC1027" i="4"/>
  <c r="Y1027" i="4"/>
  <c r="U1027" i="4"/>
  <c r="Q1027" i="4"/>
  <c r="I1027" i="4"/>
  <c r="CN1026" i="4"/>
  <c r="CJ1026" i="4"/>
  <c r="CF1026" i="4"/>
  <c r="CB1026" i="4"/>
  <c r="BW1026" i="4"/>
  <c r="BS1026" i="4"/>
  <c r="BO1026" i="4"/>
  <c r="BK1026" i="4"/>
  <c r="BA1026" i="4"/>
  <c r="AW1026" i="4"/>
  <c r="AS1026" i="4"/>
  <c r="AO1026" i="4"/>
  <c r="AK1026" i="4"/>
  <c r="AG1026" i="4"/>
  <c r="AC1026" i="4"/>
  <c r="Y1026" i="4"/>
  <c r="U1026" i="4"/>
  <c r="Q1026" i="4"/>
  <c r="I1026" i="4"/>
  <c r="CN1025" i="4"/>
  <c r="CJ1025" i="4"/>
  <c r="CF1025" i="4"/>
  <c r="CB1025" i="4"/>
  <c r="BW1025" i="4"/>
  <c r="BS1025" i="4"/>
  <c r="BO1025" i="4"/>
  <c r="BK1025" i="4"/>
  <c r="BA1025" i="4"/>
  <c r="AW1025" i="4"/>
  <c r="AS1025" i="4"/>
  <c r="AO1025" i="4"/>
  <c r="AK1025" i="4"/>
  <c r="AG1025" i="4"/>
  <c r="AC1025" i="4"/>
  <c r="Y1025" i="4"/>
  <c r="U1025" i="4"/>
  <c r="Q1025" i="4"/>
  <c r="I1025" i="4"/>
  <c r="CN1024" i="4"/>
  <c r="CJ1024" i="4"/>
  <c r="CF1024" i="4"/>
  <c r="CB1024" i="4"/>
  <c r="BW1024" i="4"/>
  <c r="BS1024" i="4"/>
  <c r="BO1024" i="4"/>
  <c r="BK1024" i="4"/>
  <c r="BA1024" i="4"/>
  <c r="AW1024" i="4"/>
  <c r="AS1024" i="4"/>
  <c r="AO1024" i="4"/>
  <c r="AK1024" i="4"/>
  <c r="AG1024" i="4"/>
  <c r="AC1024" i="4"/>
  <c r="Y1024" i="4"/>
  <c r="U1024" i="4"/>
  <c r="Q1024" i="4"/>
  <c r="I1024" i="4"/>
  <c r="CN1023" i="4"/>
  <c r="CJ1023" i="4"/>
  <c r="CF1023" i="4"/>
  <c r="CB1023" i="4"/>
  <c r="BW1023" i="4"/>
  <c r="BS1023" i="4"/>
  <c r="BO1023" i="4"/>
  <c r="BK1023" i="4"/>
  <c r="BA1023" i="4"/>
  <c r="AW1023" i="4"/>
  <c r="AS1023" i="4"/>
  <c r="AO1023" i="4"/>
  <c r="AK1023" i="4"/>
  <c r="AG1023" i="4"/>
  <c r="AC1023" i="4"/>
  <c r="Y1023" i="4"/>
  <c r="U1023" i="4"/>
  <c r="Q1023" i="4"/>
  <c r="I1023" i="4"/>
  <c r="CN1022" i="4"/>
  <c r="CJ1022" i="4"/>
  <c r="CF1022" i="4"/>
  <c r="CB1022" i="4"/>
  <c r="BW1022" i="4"/>
  <c r="BS1022" i="4"/>
  <c r="BO1022" i="4"/>
  <c r="BK1022" i="4"/>
  <c r="BA1022" i="4"/>
  <c r="AW1022" i="4"/>
  <c r="AS1022" i="4"/>
  <c r="AO1022" i="4"/>
  <c r="AK1022" i="4"/>
  <c r="AG1022" i="4"/>
  <c r="AC1022" i="4"/>
  <c r="Y1022" i="4"/>
  <c r="U1022" i="4"/>
  <c r="Q1022" i="4"/>
  <c r="I1022" i="4"/>
  <c r="CN1021" i="4"/>
  <c r="CJ1021" i="4"/>
  <c r="CF1021" i="4"/>
  <c r="CB1021" i="4"/>
  <c r="BW1021" i="4"/>
  <c r="BS1021" i="4"/>
  <c r="BO1021" i="4"/>
  <c r="BK1021" i="4"/>
  <c r="BA1021" i="4"/>
  <c r="AW1021" i="4"/>
  <c r="AS1021" i="4"/>
  <c r="AO1021" i="4"/>
  <c r="AK1021" i="4"/>
  <c r="AG1021" i="4"/>
  <c r="AC1021" i="4"/>
  <c r="Y1021" i="4"/>
  <c r="U1021" i="4"/>
  <c r="Q1021" i="4"/>
  <c r="I1021" i="4"/>
  <c r="CN1020" i="4"/>
  <c r="CJ1020" i="4"/>
  <c r="CF1020" i="4"/>
  <c r="CB1020" i="4"/>
  <c r="BW1020" i="4"/>
  <c r="BS1020" i="4"/>
  <c r="BO1020" i="4"/>
  <c r="BK1020" i="4"/>
  <c r="BA1020" i="4"/>
  <c r="AW1020" i="4"/>
  <c r="AS1020" i="4"/>
  <c r="AO1020" i="4"/>
  <c r="AK1020" i="4"/>
  <c r="AG1020" i="4"/>
  <c r="AC1020" i="4"/>
  <c r="Y1020" i="4"/>
  <c r="U1020" i="4"/>
  <c r="Q1020" i="4"/>
  <c r="I1020" i="4"/>
  <c r="CN1019" i="4"/>
  <c r="CJ1019" i="4"/>
  <c r="CF1019" i="4"/>
  <c r="CB1019" i="4"/>
  <c r="BW1019" i="4"/>
  <c r="BS1019" i="4"/>
  <c r="BO1019" i="4"/>
  <c r="BK1019" i="4"/>
  <c r="BA1019" i="4"/>
  <c r="AW1019" i="4"/>
  <c r="AS1019" i="4"/>
  <c r="AO1019" i="4"/>
  <c r="AK1019" i="4"/>
  <c r="AG1019" i="4"/>
  <c r="AC1019" i="4"/>
  <c r="Y1019" i="4"/>
  <c r="U1019" i="4"/>
  <c r="Q1019" i="4"/>
  <c r="M1019" i="4"/>
  <c r="I1019" i="4"/>
  <c r="CN1018" i="4"/>
  <c r="CJ1018" i="4"/>
  <c r="CF1018" i="4"/>
  <c r="CB1018" i="4"/>
  <c r="BW1018" i="4"/>
  <c r="BS1018" i="4"/>
  <c r="BO1018" i="4"/>
  <c r="BK1018" i="4"/>
  <c r="BA1018" i="4"/>
  <c r="AW1018" i="4"/>
  <c r="AS1018" i="4"/>
  <c r="AO1018" i="4"/>
  <c r="AK1018" i="4"/>
  <c r="AG1018" i="4"/>
  <c r="AC1018" i="4"/>
  <c r="Y1018" i="4"/>
  <c r="U1018" i="4"/>
  <c r="Q1018" i="4"/>
  <c r="M1018" i="4"/>
  <c r="I1018" i="4"/>
  <c r="CN1017" i="4"/>
  <c r="CJ1017" i="4"/>
  <c r="CF1017" i="4"/>
  <c r="CB1017" i="4"/>
  <c r="BW1017" i="4"/>
  <c r="BS1017" i="4"/>
  <c r="BO1017" i="4"/>
  <c r="BK1017" i="4"/>
  <c r="BA1017" i="4"/>
  <c r="AW1017" i="4"/>
  <c r="AS1017" i="4"/>
  <c r="AO1017" i="4"/>
  <c r="AK1017" i="4"/>
  <c r="AG1017" i="4"/>
  <c r="AC1017" i="4"/>
  <c r="Y1017" i="4"/>
  <c r="U1017" i="4"/>
  <c r="Q1017" i="4"/>
  <c r="M1017" i="4"/>
  <c r="I1017" i="4"/>
  <c r="CN1016" i="4"/>
  <c r="CJ1016" i="4"/>
  <c r="CF1016" i="4"/>
  <c r="CB1016" i="4"/>
  <c r="BW1016" i="4"/>
  <c r="BS1016" i="4"/>
  <c r="BO1016" i="4"/>
  <c r="BK1016" i="4"/>
  <c r="BA1016" i="4"/>
  <c r="AW1016" i="4"/>
  <c r="AS1016" i="4"/>
  <c r="AO1016" i="4"/>
  <c r="AK1016" i="4"/>
  <c r="AG1016" i="4"/>
  <c r="AC1016" i="4"/>
  <c r="Y1016" i="4"/>
  <c r="U1016" i="4"/>
  <c r="Q1016" i="4"/>
  <c r="M1016" i="4"/>
  <c r="I1016" i="4"/>
  <c r="CN1015" i="4"/>
  <c r="CJ1015" i="4"/>
  <c r="CF1015" i="4"/>
  <c r="CB1015" i="4"/>
  <c r="BW1015" i="4"/>
  <c r="BS1015" i="4"/>
  <c r="BO1015" i="4"/>
  <c r="BK1015" i="4"/>
  <c r="BA1015" i="4"/>
  <c r="AW1015" i="4"/>
  <c r="AS1015" i="4"/>
  <c r="AO1015" i="4"/>
  <c r="AK1015" i="4"/>
  <c r="AG1015" i="4"/>
  <c r="AC1015" i="4"/>
  <c r="Y1015" i="4"/>
  <c r="U1015" i="4"/>
  <c r="Q1015" i="4"/>
  <c r="M1015" i="4"/>
  <c r="I1015" i="4"/>
  <c r="CN1014" i="4"/>
  <c r="CJ1014" i="4"/>
  <c r="CF1014" i="4"/>
  <c r="CB1014" i="4"/>
  <c r="BW1014" i="4"/>
  <c r="BS1014" i="4"/>
  <c r="BO1014" i="4"/>
  <c r="BK1014" i="4"/>
  <c r="BA1014" i="4"/>
  <c r="AW1014" i="4"/>
  <c r="AS1014" i="4"/>
  <c r="AO1014" i="4"/>
  <c r="AK1014" i="4"/>
  <c r="AG1014" i="4"/>
  <c r="AC1014" i="4"/>
  <c r="Y1014" i="4"/>
  <c r="U1014" i="4"/>
  <c r="Q1014" i="4"/>
  <c r="M1014" i="4"/>
  <c r="I1014" i="4"/>
  <c r="CN1013" i="4"/>
  <c r="CJ1013" i="4"/>
  <c r="CF1013" i="4"/>
  <c r="CB1013" i="4"/>
  <c r="BW1013" i="4"/>
  <c r="BS1013" i="4"/>
  <c r="BO1013" i="4"/>
  <c r="BK1013" i="4"/>
  <c r="BA1013" i="4"/>
  <c r="AW1013" i="4"/>
  <c r="AS1013" i="4"/>
  <c r="AO1013" i="4"/>
  <c r="AK1013" i="4"/>
  <c r="AG1013" i="4"/>
  <c r="AC1013" i="4"/>
  <c r="Y1013" i="4"/>
  <c r="U1013" i="4"/>
  <c r="Q1013" i="4"/>
  <c r="M1013" i="4"/>
  <c r="I1013" i="4"/>
  <c r="CN1012" i="4"/>
  <c r="CJ1012" i="4"/>
  <c r="CF1012" i="4"/>
  <c r="CB1012" i="4"/>
  <c r="BW1012" i="4"/>
  <c r="BS1012" i="4"/>
  <c r="BO1012" i="4"/>
  <c r="BK1012" i="4"/>
  <c r="BA1012" i="4"/>
  <c r="AW1012" i="4"/>
  <c r="AS1012" i="4"/>
  <c r="AO1012" i="4"/>
  <c r="AK1012" i="4"/>
  <c r="AG1012" i="4"/>
  <c r="AC1012" i="4"/>
  <c r="Y1012" i="4"/>
  <c r="U1012" i="4"/>
  <c r="Q1012" i="4"/>
  <c r="M1012" i="4"/>
  <c r="I1012" i="4"/>
  <c r="CN1011" i="4"/>
  <c r="CJ1011" i="4"/>
  <c r="CF1011" i="4"/>
  <c r="CB1011" i="4"/>
  <c r="BW1011" i="4"/>
  <c r="BS1011" i="4"/>
  <c r="BO1011" i="4"/>
  <c r="BK1011" i="4"/>
  <c r="BA1011" i="4"/>
  <c r="AW1011" i="4"/>
  <c r="AS1011" i="4"/>
  <c r="AO1011" i="4"/>
  <c r="AK1011" i="4"/>
  <c r="AG1011" i="4"/>
  <c r="AC1011" i="4"/>
  <c r="Y1011" i="4"/>
  <c r="U1011" i="4"/>
  <c r="Q1011" i="4"/>
  <c r="M1011" i="4"/>
  <c r="I1011" i="4"/>
  <c r="CN1010" i="4"/>
  <c r="CJ1010" i="4"/>
  <c r="CF1010" i="4"/>
  <c r="CB1010" i="4"/>
  <c r="BW1010" i="4"/>
  <c r="BS1010" i="4"/>
  <c r="BO1010" i="4"/>
  <c r="BK1010" i="4"/>
  <c r="BA1010" i="4"/>
  <c r="AW1010" i="4"/>
  <c r="AS1010" i="4"/>
  <c r="AO1010" i="4"/>
  <c r="AK1010" i="4"/>
  <c r="AG1010" i="4"/>
  <c r="AC1010" i="4"/>
  <c r="Y1010" i="4"/>
  <c r="U1010" i="4"/>
  <c r="Q1010" i="4"/>
  <c r="M1010" i="4"/>
  <c r="I1010" i="4"/>
  <c r="CN1009" i="4"/>
  <c r="CJ1009" i="4"/>
  <c r="CF1009" i="4"/>
  <c r="CB1009" i="4"/>
  <c r="BW1009" i="4"/>
  <c r="BS1009" i="4"/>
  <c r="BO1009" i="4"/>
  <c r="BK1009" i="4"/>
  <c r="BA1009" i="4"/>
  <c r="AW1009" i="4"/>
  <c r="AS1009" i="4"/>
  <c r="AO1009" i="4"/>
  <c r="AK1009" i="4"/>
  <c r="AG1009" i="4"/>
  <c r="AC1009" i="4"/>
  <c r="Y1009" i="4"/>
  <c r="U1009" i="4"/>
  <c r="Q1009" i="4"/>
  <c r="M1009" i="4"/>
  <c r="I1009" i="4"/>
  <c r="CN1008" i="4"/>
  <c r="CJ1008" i="4"/>
  <c r="CF1008" i="4"/>
  <c r="CB1008" i="4"/>
  <c r="BW1008" i="4"/>
  <c r="BS1008" i="4"/>
  <c r="BO1008" i="4"/>
  <c r="BK1008" i="4"/>
  <c r="BA1008" i="4"/>
  <c r="AW1008" i="4"/>
  <c r="AS1008" i="4"/>
  <c r="AO1008" i="4"/>
  <c r="AK1008" i="4"/>
  <c r="AG1008" i="4"/>
  <c r="AC1008" i="4"/>
  <c r="Y1008" i="4"/>
  <c r="U1008" i="4"/>
  <c r="Q1008" i="4"/>
  <c r="M1008" i="4"/>
  <c r="I1008" i="4"/>
  <c r="CN1007" i="4"/>
  <c r="CJ1007" i="4"/>
  <c r="CF1007" i="4"/>
  <c r="CB1007" i="4"/>
  <c r="BW1007" i="4"/>
  <c r="BS1007" i="4"/>
  <c r="BO1007" i="4"/>
  <c r="BK1007" i="4"/>
  <c r="BA1007" i="4"/>
  <c r="AW1007" i="4"/>
  <c r="AS1007" i="4"/>
  <c r="AO1007" i="4"/>
  <c r="AK1007" i="4"/>
  <c r="AG1007" i="4"/>
  <c r="AC1007" i="4"/>
  <c r="Y1007" i="4"/>
  <c r="U1007" i="4"/>
  <c r="Q1007" i="4"/>
  <c r="M1007" i="4"/>
  <c r="I1007" i="4"/>
  <c r="CN1006" i="4"/>
  <c r="CJ1006" i="4"/>
  <c r="CF1006" i="4"/>
  <c r="CB1006" i="4"/>
  <c r="BW1006" i="4"/>
  <c r="BS1006" i="4"/>
  <c r="BO1006" i="4"/>
  <c r="BK1006" i="4"/>
  <c r="BA1006" i="4"/>
  <c r="AW1006" i="4"/>
  <c r="AS1006" i="4"/>
  <c r="AO1006" i="4"/>
  <c r="AK1006" i="4"/>
  <c r="AG1006" i="4"/>
  <c r="AC1006" i="4"/>
  <c r="Y1006" i="4"/>
  <c r="U1006" i="4"/>
  <c r="Q1006" i="4"/>
  <c r="M1006" i="4"/>
  <c r="I1006" i="4"/>
  <c r="CN1005" i="4"/>
  <c r="CJ1005" i="4"/>
  <c r="CF1005" i="4"/>
  <c r="CB1005" i="4"/>
  <c r="BW1005" i="4"/>
  <c r="BS1005" i="4"/>
  <c r="BO1005" i="4"/>
  <c r="BK1005" i="4"/>
  <c r="BA1005" i="4"/>
  <c r="AW1005" i="4"/>
  <c r="AS1005" i="4"/>
  <c r="AO1005" i="4"/>
  <c r="AK1005" i="4"/>
  <c r="AG1005" i="4"/>
  <c r="AC1005" i="4"/>
  <c r="Y1005" i="4"/>
  <c r="U1005" i="4"/>
  <c r="Q1005" i="4"/>
  <c r="M1005" i="4"/>
  <c r="I1005" i="4"/>
  <c r="CN1004" i="4"/>
  <c r="CJ1004" i="4"/>
  <c r="CF1004" i="4"/>
  <c r="CB1004" i="4"/>
  <c r="BW1004" i="4"/>
  <c r="BS1004" i="4"/>
  <c r="BO1004" i="4"/>
  <c r="BK1004" i="4"/>
  <c r="BA1004" i="4"/>
  <c r="AW1004" i="4"/>
  <c r="AS1004" i="4"/>
  <c r="AO1004" i="4"/>
  <c r="AK1004" i="4"/>
  <c r="AG1004" i="4"/>
  <c r="AC1004" i="4"/>
  <c r="Y1004" i="4"/>
  <c r="U1004" i="4"/>
  <c r="Q1004" i="4"/>
  <c r="M1004" i="4"/>
  <c r="I1004" i="4"/>
  <c r="CN1003" i="4"/>
  <c r="CJ1003" i="4"/>
  <c r="CF1003" i="4"/>
  <c r="CB1003" i="4"/>
  <c r="BW1003" i="4"/>
  <c r="BS1003" i="4"/>
  <c r="BO1003" i="4"/>
  <c r="BK1003" i="4"/>
  <c r="BA1003" i="4"/>
  <c r="AW1003" i="4"/>
  <c r="AS1003" i="4"/>
  <c r="AO1003" i="4"/>
  <c r="AK1003" i="4"/>
  <c r="AG1003" i="4"/>
  <c r="AC1003" i="4"/>
  <c r="Y1003" i="4"/>
  <c r="U1003" i="4"/>
  <c r="Q1003" i="4"/>
  <c r="M1003" i="4"/>
  <c r="I1003" i="4"/>
  <c r="CN1002" i="4"/>
  <c r="CJ1002" i="4"/>
  <c r="CF1002" i="4"/>
  <c r="CB1002" i="4"/>
  <c r="BW1002" i="4"/>
  <c r="BS1002" i="4"/>
  <c r="BO1002" i="4"/>
  <c r="BK1002" i="4"/>
  <c r="BA1002" i="4"/>
  <c r="AW1002" i="4"/>
  <c r="AS1002" i="4"/>
  <c r="AO1002" i="4"/>
  <c r="AK1002" i="4"/>
  <c r="AG1002" i="4"/>
  <c r="AC1002" i="4"/>
  <c r="Y1002" i="4"/>
  <c r="U1002" i="4"/>
  <c r="Q1002" i="4"/>
  <c r="M1002" i="4"/>
  <c r="I1002" i="4"/>
  <c r="CN1001" i="4"/>
  <c r="CJ1001" i="4"/>
  <c r="CF1001" i="4"/>
  <c r="CB1001" i="4"/>
  <c r="BW1001" i="4"/>
  <c r="BS1001" i="4"/>
  <c r="BO1001" i="4"/>
  <c r="BK1001" i="4"/>
  <c r="BA1001" i="4"/>
  <c r="AW1001" i="4"/>
  <c r="AS1001" i="4"/>
  <c r="AO1001" i="4"/>
  <c r="AK1001" i="4"/>
  <c r="AG1001" i="4"/>
  <c r="AC1001" i="4"/>
  <c r="Y1001" i="4"/>
  <c r="U1001" i="4"/>
  <c r="Q1001" i="4"/>
  <c r="M1001" i="4"/>
  <c r="I1001" i="4"/>
  <c r="CN1000" i="4"/>
  <c r="CJ1000" i="4"/>
  <c r="CF1000" i="4"/>
  <c r="CB1000" i="4"/>
  <c r="BW1000" i="4"/>
  <c r="BS1000" i="4"/>
  <c r="BO1000" i="4"/>
  <c r="BK1000" i="4"/>
  <c r="BA1000" i="4"/>
  <c r="AW1000" i="4"/>
  <c r="AS1000" i="4"/>
  <c r="AO1000" i="4"/>
  <c r="AK1000" i="4"/>
  <c r="AG1000" i="4"/>
  <c r="AC1000" i="4"/>
  <c r="Y1000" i="4"/>
  <c r="U1000" i="4"/>
  <c r="Q1000" i="4"/>
  <c r="M1000" i="4"/>
  <c r="I1000" i="4"/>
  <c r="CN999" i="4"/>
  <c r="CJ999" i="4"/>
  <c r="CF999" i="4"/>
  <c r="CB999" i="4"/>
  <c r="BW999" i="4"/>
  <c r="BS999" i="4"/>
  <c r="BO999" i="4"/>
  <c r="BK999" i="4"/>
  <c r="BA999" i="4"/>
  <c r="AW999" i="4"/>
  <c r="AS999" i="4"/>
  <c r="AO999" i="4"/>
  <c r="AK999" i="4"/>
  <c r="AG999" i="4"/>
  <c r="AC999" i="4"/>
  <c r="Y999" i="4"/>
  <c r="U999" i="4"/>
  <c r="Q999" i="4"/>
  <c r="M999" i="4"/>
  <c r="I999" i="4"/>
  <c r="CN998" i="4"/>
  <c r="CJ998" i="4"/>
  <c r="CF998" i="4"/>
  <c r="CB998" i="4"/>
  <c r="BW998" i="4"/>
  <c r="BS998" i="4"/>
  <c r="BO998" i="4"/>
  <c r="BK998" i="4"/>
  <c r="BA998" i="4"/>
  <c r="AW998" i="4"/>
  <c r="AS998" i="4"/>
  <c r="AO998" i="4"/>
  <c r="AK998" i="4"/>
  <c r="AG998" i="4"/>
  <c r="AC998" i="4"/>
  <c r="Y998" i="4"/>
  <c r="U998" i="4"/>
  <c r="Q998" i="4"/>
  <c r="M998" i="4"/>
  <c r="I998" i="4"/>
  <c r="CN997" i="4"/>
  <c r="CJ997" i="4"/>
  <c r="CF997" i="4"/>
  <c r="CB997" i="4"/>
  <c r="BW997" i="4"/>
  <c r="BS997" i="4"/>
  <c r="BO997" i="4"/>
  <c r="BK997" i="4"/>
  <c r="BA997" i="4"/>
  <c r="AW997" i="4"/>
  <c r="AS997" i="4"/>
  <c r="AO997" i="4"/>
  <c r="AK997" i="4"/>
  <c r="AG997" i="4"/>
  <c r="AC997" i="4"/>
  <c r="Y997" i="4"/>
  <c r="U997" i="4"/>
  <c r="Q997" i="4"/>
  <c r="M997" i="4"/>
  <c r="I997" i="4"/>
  <c r="CN996" i="4"/>
  <c r="CJ996" i="4"/>
  <c r="CF996" i="4"/>
  <c r="CB996" i="4"/>
  <c r="BW996" i="4"/>
  <c r="BS996" i="4"/>
  <c r="BO996" i="4"/>
  <c r="BK996" i="4"/>
  <c r="BA996" i="4"/>
  <c r="AW996" i="4"/>
  <c r="AS996" i="4"/>
  <c r="AO996" i="4"/>
  <c r="AK996" i="4"/>
  <c r="AG996" i="4"/>
  <c r="AC996" i="4"/>
  <c r="Y996" i="4"/>
  <c r="U996" i="4"/>
  <c r="Q996" i="4"/>
  <c r="M996" i="4"/>
  <c r="I996" i="4"/>
  <c r="CN995" i="4"/>
  <c r="CJ995" i="4"/>
  <c r="CF995" i="4"/>
  <c r="CB995" i="4"/>
  <c r="BW995" i="4"/>
  <c r="BS995" i="4"/>
  <c r="BO995" i="4"/>
  <c r="BK995" i="4"/>
  <c r="BA995" i="4"/>
  <c r="AW995" i="4"/>
  <c r="AS995" i="4"/>
  <c r="AO995" i="4"/>
  <c r="AK995" i="4"/>
  <c r="AG995" i="4"/>
  <c r="AC995" i="4"/>
  <c r="Y995" i="4"/>
  <c r="U995" i="4"/>
  <c r="Q995" i="4"/>
  <c r="M995" i="4"/>
  <c r="I995" i="4"/>
  <c r="CN994" i="4"/>
  <c r="CJ994" i="4"/>
  <c r="CF994" i="4"/>
  <c r="CB994" i="4"/>
  <c r="BW994" i="4"/>
  <c r="BS994" i="4"/>
  <c r="BO994" i="4"/>
  <c r="BK994" i="4"/>
  <c r="BA994" i="4"/>
  <c r="AW994" i="4"/>
  <c r="AS994" i="4"/>
  <c r="AO994" i="4"/>
  <c r="AK994" i="4"/>
  <c r="AG994" i="4"/>
  <c r="AC994" i="4"/>
  <c r="Y994" i="4"/>
  <c r="U994" i="4"/>
  <c r="Q994" i="4"/>
  <c r="M994" i="4"/>
  <c r="I994" i="4"/>
  <c r="CN993" i="4"/>
  <c r="CJ993" i="4"/>
  <c r="CF993" i="4"/>
  <c r="CB993" i="4"/>
  <c r="BW993" i="4"/>
  <c r="BS993" i="4"/>
  <c r="BO993" i="4"/>
  <c r="BK993" i="4"/>
  <c r="BA993" i="4"/>
  <c r="AW993" i="4"/>
  <c r="AS993" i="4"/>
  <c r="AO993" i="4"/>
  <c r="AK993" i="4"/>
  <c r="AG993" i="4"/>
  <c r="AC993" i="4"/>
  <c r="Y993" i="4"/>
  <c r="U993" i="4"/>
  <c r="Q993" i="4"/>
  <c r="M993" i="4"/>
  <c r="I993" i="4"/>
  <c r="CN992" i="4"/>
  <c r="CJ992" i="4"/>
  <c r="CF992" i="4"/>
  <c r="CB992" i="4"/>
  <c r="BW992" i="4"/>
  <c r="BS992" i="4"/>
  <c r="BO992" i="4"/>
  <c r="BK992" i="4"/>
  <c r="BA992" i="4"/>
  <c r="AW992" i="4"/>
  <c r="AS992" i="4"/>
  <c r="AO992" i="4"/>
  <c r="AK992" i="4"/>
  <c r="AG992" i="4"/>
  <c r="AC992" i="4"/>
  <c r="Y992" i="4"/>
  <c r="U992" i="4"/>
  <c r="Q992" i="4"/>
  <c r="M992" i="4"/>
  <c r="I992" i="4"/>
  <c r="CN991" i="4"/>
  <c r="CJ991" i="4"/>
  <c r="CF991" i="4"/>
  <c r="CB991" i="4"/>
  <c r="BW991" i="4"/>
  <c r="BS991" i="4"/>
  <c r="BO991" i="4"/>
  <c r="BK991" i="4"/>
  <c r="BA991" i="4"/>
  <c r="AW991" i="4"/>
  <c r="AS991" i="4"/>
  <c r="AO991" i="4"/>
  <c r="AK991" i="4"/>
  <c r="AG991" i="4"/>
  <c r="AC991" i="4"/>
  <c r="Y991" i="4"/>
  <c r="U991" i="4"/>
  <c r="Q991" i="4"/>
  <c r="M991" i="4"/>
  <c r="I991" i="4"/>
  <c r="CN990" i="4"/>
  <c r="CJ990" i="4"/>
  <c r="CF990" i="4"/>
  <c r="CB990" i="4"/>
  <c r="BW990" i="4"/>
  <c r="BS990" i="4"/>
  <c r="BO990" i="4"/>
  <c r="BK990" i="4"/>
  <c r="BA990" i="4"/>
  <c r="AW990" i="4"/>
  <c r="AS990" i="4"/>
  <c r="AO990" i="4"/>
  <c r="AK990" i="4"/>
  <c r="AG990" i="4"/>
  <c r="AC990" i="4"/>
  <c r="Y990" i="4"/>
  <c r="U990" i="4"/>
  <c r="Q990" i="4"/>
  <c r="M990" i="4"/>
  <c r="I990" i="4"/>
  <c r="CN989" i="4"/>
  <c r="CJ989" i="4"/>
  <c r="CF989" i="4"/>
  <c r="CB989" i="4"/>
  <c r="BW989" i="4"/>
  <c r="BS989" i="4"/>
  <c r="BO989" i="4"/>
  <c r="BK989" i="4"/>
  <c r="BA989" i="4"/>
  <c r="AW989" i="4"/>
  <c r="AS989" i="4"/>
  <c r="AO989" i="4"/>
  <c r="AK989" i="4"/>
  <c r="AG989" i="4"/>
  <c r="AC989" i="4"/>
  <c r="Y989" i="4"/>
  <c r="U989" i="4"/>
  <c r="Q989" i="4"/>
  <c r="M989" i="4"/>
  <c r="I989" i="4"/>
  <c r="CN988" i="4"/>
  <c r="CJ988" i="4"/>
  <c r="CF988" i="4"/>
  <c r="CB988" i="4"/>
  <c r="BW988" i="4"/>
  <c r="BS988" i="4"/>
  <c r="BO988" i="4"/>
  <c r="BK988" i="4"/>
  <c r="BA988" i="4"/>
  <c r="AW988" i="4"/>
  <c r="AS988" i="4"/>
  <c r="AO988" i="4"/>
  <c r="AK988" i="4"/>
  <c r="AG988" i="4"/>
  <c r="AC988" i="4"/>
  <c r="Y988" i="4"/>
  <c r="U988" i="4"/>
  <c r="Q988" i="4"/>
  <c r="M988" i="4"/>
  <c r="I988" i="4"/>
  <c r="CN987" i="4"/>
  <c r="CJ987" i="4"/>
  <c r="CF987" i="4"/>
  <c r="CB987" i="4"/>
  <c r="BW987" i="4"/>
  <c r="BS987" i="4"/>
  <c r="BO987" i="4"/>
  <c r="BK987" i="4"/>
  <c r="BA987" i="4"/>
  <c r="AW987" i="4"/>
  <c r="AS987" i="4"/>
  <c r="AO987" i="4"/>
  <c r="AK987" i="4"/>
  <c r="AG987" i="4"/>
  <c r="AC987" i="4"/>
  <c r="Y987" i="4"/>
  <c r="U987" i="4"/>
  <c r="Q987" i="4"/>
  <c r="M987" i="4"/>
  <c r="I987" i="4"/>
  <c r="CN986" i="4"/>
  <c r="CJ986" i="4"/>
  <c r="CF986" i="4"/>
  <c r="CB986" i="4"/>
  <c r="BW986" i="4"/>
  <c r="BS986" i="4"/>
  <c r="BO986" i="4"/>
  <c r="BK986" i="4"/>
  <c r="BA986" i="4"/>
  <c r="AW986" i="4"/>
  <c r="AS986" i="4"/>
  <c r="AO986" i="4"/>
  <c r="AK986" i="4"/>
  <c r="AG986" i="4"/>
  <c r="AC986" i="4"/>
  <c r="Y986" i="4"/>
  <c r="U986" i="4"/>
  <c r="Q986" i="4"/>
  <c r="M986" i="4"/>
  <c r="I986" i="4"/>
  <c r="CN985" i="4"/>
  <c r="CJ985" i="4"/>
  <c r="CF985" i="4"/>
  <c r="CB985" i="4"/>
  <c r="BW985" i="4"/>
  <c r="BS985" i="4"/>
  <c r="BO985" i="4"/>
  <c r="BK985" i="4"/>
  <c r="BA985" i="4"/>
  <c r="AW985" i="4"/>
  <c r="AS985" i="4"/>
  <c r="AO985" i="4"/>
  <c r="AK985" i="4"/>
  <c r="AG985" i="4"/>
  <c r="AC985" i="4"/>
  <c r="Y985" i="4"/>
  <c r="U985" i="4"/>
  <c r="Q985" i="4"/>
  <c r="M985" i="4"/>
  <c r="I985" i="4"/>
  <c r="CN984" i="4"/>
  <c r="CJ984" i="4"/>
  <c r="CF984" i="4"/>
  <c r="CB984" i="4"/>
  <c r="BW984" i="4"/>
  <c r="BS984" i="4"/>
  <c r="BO984" i="4"/>
  <c r="BK984" i="4"/>
  <c r="BA984" i="4"/>
  <c r="AW984" i="4"/>
  <c r="AS984" i="4"/>
  <c r="AO984" i="4"/>
  <c r="AK984" i="4"/>
  <c r="AG984" i="4"/>
  <c r="AC984" i="4"/>
  <c r="Y984" i="4"/>
  <c r="U984" i="4"/>
  <c r="Q984" i="4"/>
  <c r="M984" i="4"/>
  <c r="I984" i="4"/>
  <c r="CN983" i="4"/>
  <c r="CJ983" i="4"/>
  <c r="CF983" i="4"/>
  <c r="CB983" i="4"/>
  <c r="BW983" i="4"/>
  <c r="BS983" i="4"/>
  <c r="BO983" i="4"/>
  <c r="BK983" i="4"/>
  <c r="BA983" i="4"/>
  <c r="AW983" i="4"/>
  <c r="AS983" i="4"/>
  <c r="AO983" i="4"/>
  <c r="AK983" i="4"/>
  <c r="AG983" i="4"/>
  <c r="AC983" i="4"/>
  <c r="Y983" i="4"/>
  <c r="U983" i="4"/>
  <c r="Q983" i="4"/>
  <c r="M983" i="4"/>
  <c r="I983" i="4"/>
  <c r="CN982" i="4"/>
  <c r="CJ982" i="4"/>
  <c r="CF982" i="4"/>
  <c r="CB982" i="4"/>
  <c r="BW982" i="4"/>
  <c r="BS982" i="4"/>
  <c r="BO982" i="4"/>
  <c r="BK982" i="4"/>
  <c r="BA982" i="4"/>
  <c r="AW982" i="4"/>
  <c r="AS982" i="4"/>
  <c r="AO982" i="4"/>
  <c r="AK982" i="4"/>
  <c r="AG982" i="4"/>
  <c r="AC982" i="4"/>
  <c r="Y982" i="4"/>
  <c r="U982" i="4"/>
  <c r="Q982" i="4"/>
  <c r="M982" i="4"/>
  <c r="I982" i="4"/>
  <c r="CN981" i="4"/>
  <c r="CJ981" i="4"/>
  <c r="CF981" i="4"/>
  <c r="CB981" i="4"/>
  <c r="BW981" i="4"/>
  <c r="BS981" i="4"/>
  <c r="BO981" i="4"/>
  <c r="BK981" i="4"/>
  <c r="BA981" i="4"/>
  <c r="AW981" i="4"/>
  <c r="AS981" i="4"/>
  <c r="AO981" i="4"/>
  <c r="AK981" i="4"/>
  <c r="AG981" i="4"/>
  <c r="AC981" i="4"/>
  <c r="Y981" i="4"/>
  <c r="U981" i="4"/>
  <c r="Q981" i="4"/>
  <c r="M981" i="4"/>
  <c r="I981" i="4"/>
  <c r="CN980" i="4"/>
  <c r="CJ980" i="4"/>
  <c r="CF980" i="4"/>
  <c r="CB980" i="4"/>
  <c r="BW980" i="4"/>
  <c r="BS980" i="4"/>
  <c r="BO980" i="4"/>
  <c r="BK980" i="4"/>
  <c r="BA980" i="4"/>
  <c r="AW980" i="4"/>
  <c r="AS980" i="4"/>
  <c r="AO980" i="4"/>
  <c r="AK980" i="4"/>
  <c r="AG980" i="4"/>
  <c r="AC980" i="4"/>
  <c r="Y980" i="4"/>
  <c r="U980" i="4"/>
  <c r="Q980" i="4"/>
  <c r="M980" i="4"/>
  <c r="I980" i="4"/>
  <c r="CN979" i="4"/>
  <c r="CJ979" i="4"/>
  <c r="CF979" i="4"/>
  <c r="CB979" i="4"/>
  <c r="BW979" i="4"/>
  <c r="BS979" i="4"/>
  <c r="BO979" i="4"/>
  <c r="BK979" i="4"/>
  <c r="BA979" i="4"/>
  <c r="AW979" i="4"/>
  <c r="AS979" i="4"/>
  <c r="AO979" i="4"/>
  <c r="AK979" i="4"/>
  <c r="AG979" i="4"/>
  <c r="AC979" i="4"/>
  <c r="Y979" i="4"/>
  <c r="U979" i="4"/>
  <c r="Q979" i="4"/>
  <c r="M979" i="4"/>
  <c r="I979" i="4"/>
  <c r="CN978" i="4"/>
  <c r="CJ978" i="4"/>
  <c r="CF978" i="4"/>
  <c r="CB978" i="4"/>
  <c r="BW978" i="4"/>
  <c r="BS978" i="4"/>
  <c r="BO978" i="4"/>
  <c r="BK978" i="4"/>
  <c r="BA978" i="4"/>
  <c r="AW978" i="4"/>
  <c r="AS978" i="4"/>
  <c r="AO978" i="4"/>
  <c r="AK978" i="4"/>
  <c r="AG978" i="4"/>
  <c r="AC978" i="4"/>
  <c r="Y978" i="4"/>
  <c r="U978" i="4"/>
  <c r="Q978" i="4"/>
  <c r="M978" i="4"/>
  <c r="I978" i="4"/>
  <c r="CN977" i="4"/>
  <c r="CJ977" i="4"/>
  <c r="CF977" i="4"/>
  <c r="CB977" i="4"/>
  <c r="BW977" i="4"/>
  <c r="BS977" i="4"/>
  <c r="BO977" i="4"/>
  <c r="BK977" i="4"/>
  <c r="BA977" i="4"/>
  <c r="AW977" i="4"/>
  <c r="AS977" i="4"/>
  <c r="AO977" i="4"/>
  <c r="AK977" i="4"/>
  <c r="AG977" i="4"/>
  <c r="AC977" i="4"/>
  <c r="Y977" i="4"/>
  <c r="U977" i="4"/>
  <c r="Q977" i="4"/>
  <c r="M977" i="4"/>
  <c r="I977" i="4"/>
  <c r="CN976" i="4"/>
  <c r="CJ976" i="4"/>
  <c r="CF976" i="4"/>
  <c r="CB976" i="4"/>
  <c r="BW976" i="4"/>
  <c r="BS976" i="4"/>
  <c r="BO976" i="4"/>
  <c r="BK976" i="4"/>
  <c r="BA976" i="4"/>
  <c r="AW976" i="4"/>
  <c r="AS976" i="4"/>
  <c r="AO976" i="4"/>
  <c r="AK976" i="4"/>
  <c r="AG976" i="4"/>
  <c r="AC976" i="4"/>
  <c r="Y976" i="4"/>
  <c r="U976" i="4"/>
  <c r="Q976" i="4"/>
  <c r="M976" i="4"/>
  <c r="I976" i="4"/>
  <c r="CN975" i="4"/>
  <c r="CJ975" i="4"/>
  <c r="CF975" i="4"/>
  <c r="CB975" i="4"/>
  <c r="BW975" i="4"/>
  <c r="BS975" i="4"/>
  <c r="BO975" i="4"/>
  <c r="BK975" i="4"/>
  <c r="BA975" i="4"/>
  <c r="AW975" i="4"/>
  <c r="AS975" i="4"/>
  <c r="AO975" i="4"/>
  <c r="AK975" i="4"/>
  <c r="AG975" i="4"/>
  <c r="AC975" i="4"/>
  <c r="Y975" i="4"/>
  <c r="U975" i="4"/>
  <c r="Q975" i="4"/>
  <c r="M975" i="4"/>
  <c r="I975" i="4"/>
  <c r="CN974" i="4"/>
  <c r="CJ974" i="4"/>
  <c r="CF974" i="4"/>
  <c r="CB974" i="4"/>
  <c r="BW974" i="4"/>
  <c r="BS974" i="4"/>
  <c r="BO974" i="4"/>
  <c r="BK974" i="4"/>
  <c r="BA974" i="4"/>
  <c r="AW974" i="4"/>
  <c r="AS974" i="4"/>
  <c r="AO974" i="4"/>
  <c r="AK974" i="4"/>
  <c r="AG974" i="4"/>
  <c r="AC974" i="4"/>
  <c r="Y974" i="4"/>
  <c r="U974" i="4"/>
  <c r="Q974" i="4"/>
  <c r="M974" i="4"/>
  <c r="CN973" i="4"/>
  <c r="CJ973" i="4"/>
  <c r="CF973" i="4"/>
  <c r="CB973" i="4"/>
  <c r="BW973" i="4"/>
  <c r="BS973" i="4"/>
  <c r="BO973" i="4"/>
  <c r="BK973" i="4"/>
  <c r="BA973" i="4"/>
  <c r="AW973" i="4"/>
  <c r="AS973" i="4"/>
  <c r="AO973" i="4"/>
  <c r="AK973" i="4"/>
  <c r="AG973" i="4"/>
  <c r="AC973" i="4"/>
  <c r="Y973" i="4"/>
  <c r="U973" i="4"/>
  <c r="Q973" i="4"/>
  <c r="M973" i="4"/>
  <c r="CN972" i="4"/>
  <c r="CJ972" i="4"/>
  <c r="CF972" i="4"/>
  <c r="CB972" i="4"/>
  <c r="BW972" i="4"/>
  <c r="BS972" i="4"/>
  <c r="BO972" i="4"/>
  <c r="BK972" i="4"/>
  <c r="BA972" i="4"/>
  <c r="AW972" i="4"/>
  <c r="AS972" i="4"/>
  <c r="AO972" i="4"/>
  <c r="AK972" i="4"/>
  <c r="AG972" i="4"/>
  <c r="AC972" i="4"/>
  <c r="Y972" i="4"/>
  <c r="U972" i="4"/>
  <c r="Q972" i="4"/>
  <c r="M972" i="4"/>
  <c r="CN971" i="4"/>
  <c r="CJ971" i="4"/>
  <c r="CF971" i="4"/>
  <c r="CB971" i="4"/>
  <c r="BW971" i="4"/>
  <c r="BS971" i="4"/>
  <c r="BO971" i="4"/>
  <c r="BK971" i="4"/>
  <c r="BA971" i="4"/>
  <c r="AW971" i="4"/>
  <c r="AS971" i="4"/>
  <c r="AO971" i="4"/>
  <c r="AK971" i="4"/>
  <c r="AG971" i="4"/>
  <c r="AC971" i="4"/>
  <c r="Y971" i="4"/>
  <c r="U971" i="4"/>
  <c r="Q971" i="4"/>
  <c r="M971" i="4"/>
  <c r="CN970" i="4"/>
  <c r="CJ970" i="4"/>
  <c r="CF970" i="4"/>
  <c r="CB970" i="4"/>
  <c r="BW970" i="4"/>
  <c r="BS970" i="4"/>
  <c r="BO970" i="4"/>
  <c r="BK970" i="4"/>
  <c r="BA970" i="4"/>
  <c r="AW970" i="4"/>
  <c r="AS970" i="4"/>
  <c r="AO970" i="4"/>
  <c r="AK970" i="4"/>
  <c r="AG970" i="4"/>
  <c r="AC970" i="4"/>
  <c r="Y970" i="4"/>
  <c r="U970" i="4"/>
  <c r="Q970" i="4"/>
  <c r="M970" i="4"/>
  <c r="CN969" i="4"/>
  <c r="CJ969" i="4"/>
  <c r="CF969" i="4"/>
  <c r="CB969" i="4"/>
  <c r="BW969" i="4"/>
  <c r="BS969" i="4"/>
  <c r="BO969" i="4"/>
  <c r="BK969" i="4"/>
  <c r="BA969" i="4"/>
  <c r="AW969" i="4"/>
  <c r="AS969" i="4"/>
  <c r="AO969" i="4"/>
  <c r="AK969" i="4"/>
  <c r="AG969" i="4"/>
  <c r="AC969" i="4"/>
  <c r="Y969" i="4"/>
  <c r="U969" i="4"/>
  <c r="Q969" i="4"/>
  <c r="M969" i="4"/>
  <c r="CN968" i="4"/>
  <c r="CJ968" i="4"/>
  <c r="CF968" i="4"/>
  <c r="CB968" i="4"/>
  <c r="BW968" i="4"/>
  <c r="BS968" i="4"/>
  <c r="BO968" i="4"/>
  <c r="BK968" i="4"/>
  <c r="BA968" i="4"/>
  <c r="AW968" i="4"/>
  <c r="AS968" i="4"/>
  <c r="AO968" i="4"/>
  <c r="AK968" i="4"/>
  <c r="AG968" i="4"/>
  <c r="AC968" i="4"/>
  <c r="Y968" i="4"/>
  <c r="U968" i="4"/>
  <c r="Q968" i="4"/>
  <c r="M968" i="4"/>
  <c r="CN967" i="4"/>
  <c r="CJ967" i="4"/>
  <c r="CF967" i="4"/>
  <c r="CB967" i="4"/>
  <c r="BW967" i="4"/>
  <c r="BS967" i="4"/>
  <c r="BO967" i="4"/>
  <c r="BK967" i="4"/>
  <c r="BA967" i="4"/>
  <c r="AW967" i="4"/>
  <c r="AS967" i="4"/>
  <c r="AO967" i="4"/>
  <c r="AK967" i="4"/>
  <c r="AG967" i="4"/>
  <c r="AC967" i="4"/>
  <c r="Y967" i="4"/>
  <c r="U967" i="4"/>
  <c r="Q967" i="4"/>
  <c r="M967" i="4"/>
  <c r="CN966" i="4"/>
  <c r="CJ966" i="4"/>
  <c r="CF966" i="4"/>
  <c r="CB966" i="4"/>
  <c r="BW966" i="4"/>
  <c r="BS966" i="4"/>
  <c r="BO966" i="4"/>
  <c r="BK966" i="4"/>
  <c r="BA966" i="4"/>
  <c r="AW966" i="4"/>
  <c r="AS966" i="4"/>
  <c r="AO966" i="4"/>
  <c r="AK966" i="4"/>
  <c r="AG966" i="4"/>
  <c r="AC966" i="4"/>
  <c r="Y966" i="4"/>
  <c r="U966" i="4"/>
  <c r="Q966" i="4"/>
  <c r="M966" i="4"/>
  <c r="CN965" i="4"/>
  <c r="CJ965" i="4"/>
  <c r="CF965" i="4"/>
  <c r="CB965" i="4"/>
  <c r="BW965" i="4"/>
  <c r="BS965" i="4"/>
  <c r="BO965" i="4"/>
  <c r="BK965" i="4"/>
  <c r="BA965" i="4"/>
  <c r="AW965" i="4"/>
  <c r="AS965" i="4"/>
  <c r="AO965" i="4"/>
  <c r="AK965" i="4"/>
  <c r="AG965" i="4"/>
  <c r="AC965" i="4"/>
  <c r="Y965" i="4"/>
  <c r="U965" i="4"/>
  <c r="Q965" i="4"/>
  <c r="M965" i="4"/>
  <c r="CN964" i="4"/>
  <c r="CJ964" i="4"/>
  <c r="CF964" i="4"/>
  <c r="CB964" i="4"/>
  <c r="BW964" i="4"/>
  <c r="BS964" i="4"/>
  <c r="BO964" i="4"/>
  <c r="BK964" i="4"/>
  <c r="BA964" i="4"/>
  <c r="AW964" i="4"/>
  <c r="AS964" i="4"/>
  <c r="AO964" i="4"/>
  <c r="AK964" i="4"/>
  <c r="AG964" i="4"/>
  <c r="AC964" i="4"/>
  <c r="Y964" i="4"/>
  <c r="U964" i="4"/>
  <c r="Q964" i="4"/>
  <c r="M964" i="4"/>
  <c r="CN963" i="4"/>
  <c r="CJ963" i="4"/>
  <c r="CF963" i="4"/>
  <c r="CB963" i="4"/>
  <c r="BW963" i="4"/>
  <c r="BS963" i="4"/>
  <c r="BO963" i="4"/>
  <c r="BK963" i="4"/>
  <c r="BA963" i="4"/>
  <c r="AW963" i="4"/>
  <c r="AS963" i="4"/>
  <c r="AO963" i="4"/>
  <c r="AK963" i="4"/>
  <c r="AG963" i="4"/>
  <c r="AC963" i="4"/>
  <c r="Y963" i="4"/>
  <c r="U963" i="4"/>
  <c r="Q963" i="4"/>
  <c r="M963" i="4"/>
  <c r="CN962" i="4"/>
  <c r="CJ962" i="4"/>
  <c r="CF962" i="4"/>
  <c r="CB962" i="4"/>
  <c r="BW962" i="4"/>
  <c r="BS962" i="4"/>
  <c r="BO962" i="4"/>
  <c r="BK962" i="4"/>
  <c r="BA962" i="4"/>
  <c r="AW962" i="4"/>
  <c r="AS962" i="4"/>
  <c r="AO962" i="4"/>
  <c r="AK962" i="4"/>
  <c r="AG962" i="4"/>
  <c r="AC962" i="4"/>
  <c r="Y962" i="4"/>
  <c r="U962" i="4"/>
  <c r="Q962" i="4"/>
  <c r="M962" i="4"/>
  <c r="CN961" i="4"/>
  <c r="CJ961" i="4"/>
  <c r="CF961" i="4"/>
  <c r="CB961" i="4"/>
  <c r="BW961" i="4"/>
  <c r="BS961" i="4"/>
  <c r="BO961" i="4"/>
  <c r="BK961" i="4"/>
  <c r="BA961" i="4"/>
  <c r="AW961" i="4"/>
  <c r="AS961" i="4"/>
  <c r="AO961" i="4"/>
  <c r="AK961" i="4"/>
  <c r="AG961" i="4"/>
  <c r="AC961" i="4"/>
  <c r="Y961" i="4"/>
  <c r="U961" i="4"/>
  <c r="Q961" i="4"/>
  <c r="M961" i="4"/>
  <c r="CN960" i="4"/>
  <c r="CJ960" i="4"/>
  <c r="CF960" i="4"/>
  <c r="CB960" i="4"/>
  <c r="BW960" i="4"/>
  <c r="BS960" i="4"/>
  <c r="BO960" i="4"/>
  <c r="BK960" i="4"/>
  <c r="BA960" i="4"/>
  <c r="AW960" i="4"/>
  <c r="AS960" i="4"/>
  <c r="AO960" i="4"/>
  <c r="AK960" i="4"/>
  <c r="AG960" i="4"/>
  <c r="AC960" i="4"/>
  <c r="Y960" i="4"/>
  <c r="U960" i="4"/>
  <c r="Q960" i="4"/>
  <c r="M960" i="4"/>
  <c r="CN959" i="4"/>
  <c r="CJ959" i="4"/>
  <c r="CF959" i="4"/>
  <c r="CB959" i="4"/>
  <c r="BW959" i="4"/>
  <c r="BS959" i="4"/>
  <c r="BO959" i="4"/>
  <c r="BK959" i="4"/>
  <c r="BA959" i="4"/>
  <c r="AW959" i="4"/>
  <c r="AS959" i="4"/>
  <c r="AO959" i="4"/>
  <c r="AK959" i="4"/>
  <c r="AG959" i="4"/>
  <c r="AC959" i="4"/>
  <c r="Y959" i="4"/>
  <c r="U959" i="4"/>
  <c r="Q959" i="4"/>
  <c r="M959" i="4"/>
  <c r="CN958" i="4"/>
  <c r="CJ958" i="4"/>
  <c r="CF958" i="4"/>
  <c r="CB958" i="4"/>
  <c r="BW958" i="4"/>
  <c r="BS958" i="4"/>
  <c r="BO958" i="4"/>
  <c r="BK958" i="4"/>
  <c r="BA958" i="4"/>
  <c r="AW958" i="4"/>
  <c r="AS958" i="4"/>
  <c r="AO958" i="4"/>
  <c r="AK958" i="4"/>
  <c r="AG958" i="4"/>
  <c r="AC958" i="4"/>
  <c r="Y958" i="4"/>
  <c r="U958" i="4"/>
  <c r="Q958" i="4"/>
  <c r="M958" i="4"/>
  <c r="CN957" i="4"/>
  <c r="CJ957" i="4"/>
  <c r="CF957" i="4"/>
  <c r="CB957" i="4"/>
  <c r="BW957" i="4"/>
  <c r="BS957" i="4"/>
  <c r="BO957" i="4"/>
  <c r="BK957" i="4"/>
  <c r="BA957" i="4"/>
  <c r="AW957" i="4"/>
  <c r="AS957" i="4"/>
  <c r="AO957" i="4"/>
  <c r="AK957" i="4"/>
  <c r="AG957" i="4"/>
  <c r="AC957" i="4"/>
  <c r="Y957" i="4"/>
  <c r="U957" i="4"/>
  <c r="Q957" i="4"/>
  <c r="M957" i="4"/>
  <c r="CN956" i="4"/>
  <c r="CJ956" i="4"/>
  <c r="CF956" i="4"/>
  <c r="CB956" i="4"/>
  <c r="BW956" i="4"/>
  <c r="BS956" i="4"/>
  <c r="BO956" i="4"/>
  <c r="BK956" i="4"/>
  <c r="BA956" i="4"/>
  <c r="AW956" i="4"/>
  <c r="AS956" i="4"/>
  <c r="AO956" i="4"/>
  <c r="AK956" i="4"/>
  <c r="AG956" i="4"/>
  <c r="AC956" i="4"/>
  <c r="Y956" i="4"/>
  <c r="U956" i="4"/>
  <c r="Q956" i="4"/>
  <c r="M956" i="4"/>
  <c r="CN955" i="4"/>
  <c r="CJ955" i="4"/>
  <c r="CF955" i="4"/>
  <c r="CB955" i="4"/>
  <c r="BW955" i="4"/>
  <c r="BS955" i="4"/>
  <c r="BO955" i="4"/>
  <c r="BK955" i="4"/>
  <c r="BA955" i="4"/>
  <c r="AW955" i="4"/>
  <c r="AS955" i="4"/>
  <c r="AO955" i="4"/>
  <c r="AK955" i="4"/>
  <c r="AG955" i="4"/>
  <c r="AC955" i="4"/>
  <c r="Y955" i="4"/>
  <c r="U955" i="4"/>
  <c r="Q955" i="4"/>
  <c r="M955" i="4"/>
  <c r="CN954" i="4"/>
  <c r="CJ954" i="4"/>
  <c r="CF954" i="4"/>
  <c r="CB954" i="4"/>
  <c r="BW954" i="4"/>
  <c r="BS954" i="4"/>
  <c r="BO954" i="4"/>
  <c r="BK954" i="4"/>
  <c r="BA954" i="4"/>
  <c r="AW954" i="4"/>
  <c r="AS954" i="4"/>
  <c r="AO954" i="4"/>
  <c r="AK954" i="4"/>
  <c r="AG954" i="4"/>
  <c r="AC954" i="4"/>
  <c r="Y954" i="4"/>
  <c r="U954" i="4"/>
  <c r="Q954" i="4"/>
  <c r="M954" i="4"/>
  <c r="CN953" i="4"/>
  <c r="CJ953" i="4"/>
  <c r="CF953" i="4"/>
  <c r="CB953" i="4"/>
  <c r="BW953" i="4"/>
  <c r="BS953" i="4"/>
  <c r="BO953" i="4"/>
  <c r="BK953" i="4"/>
  <c r="BA953" i="4"/>
  <c r="AW953" i="4"/>
  <c r="AS953" i="4"/>
  <c r="AO953" i="4"/>
  <c r="AK953" i="4"/>
  <c r="AG953" i="4"/>
  <c r="AC953" i="4"/>
  <c r="Y953" i="4"/>
  <c r="U953" i="4"/>
  <c r="Q953" i="4"/>
  <c r="M953" i="4"/>
  <c r="CN952" i="4"/>
  <c r="CJ952" i="4"/>
  <c r="CF952" i="4"/>
  <c r="CB952" i="4"/>
  <c r="BW952" i="4"/>
  <c r="BS952" i="4"/>
  <c r="BO952" i="4"/>
  <c r="BK952" i="4"/>
  <c r="BA952" i="4"/>
  <c r="AW952" i="4"/>
  <c r="AS952" i="4"/>
  <c r="AO952" i="4"/>
  <c r="AK952" i="4"/>
  <c r="AG952" i="4"/>
  <c r="AC952" i="4"/>
  <c r="Y952" i="4"/>
  <c r="U952" i="4"/>
  <c r="Q952" i="4"/>
  <c r="M952" i="4"/>
  <c r="CN951" i="4"/>
  <c r="CJ951" i="4"/>
  <c r="CF951" i="4"/>
  <c r="CB951" i="4"/>
  <c r="BW951" i="4"/>
  <c r="BS951" i="4"/>
  <c r="BO951" i="4"/>
  <c r="BK951" i="4"/>
  <c r="BA951" i="4"/>
  <c r="AW951" i="4"/>
  <c r="AS951" i="4"/>
  <c r="AO951" i="4"/>
  <c r="AK951" i="4"/>
  <c r="AG951" i="4"/>
  <c r="AC951" i="4"/>
  <c r="Y951" i="4"/>
  <c r="U951" i="4"/>
  <c r="Q951" i="4"/>
  <c r="M951" i="4"/>
  <c r="CN950" i="4"/>
  <c r="CJ950" i="4"/>
  <c r="CF950" i="4"/>
  <c r="CB950" i="4"/>
  <c r="BW950" i="4"/>
  <c r="BS950" i="4"/>
  <c r="BO950" i="4"/>
  <c r="BK950" i="4"/>
  <c r="BA950" i="4"/>
  <c r="AW950" i="4"/>
  <c r="AS950" i="4"/>
  <c r="AO950" i="4"/>
  <c r="AK950" i="4"/>
  <c r="AG950" i="4"/>
  <c r="AC950" i="4"/>
  <c r="Y950" i="4"/>
  <c r="U950" i="4"/>
  <c r="Q950" i="4"/>
  <c r="M950" i="4"/>
  <c r="CN949" i="4"/>
  <c r="CJ949" i="4"/>
  <c r="CF949" i="4"/>
  <c r="CB949" i="4"/>
  <c r="BW949" i="4"/>
  <c r="BS949" i="4"/>
  <c r="BO949" i="4"/>
  <c r="BK949" i="4"/>
  <c r="BA949" i="4"/>
  <c r="AW949" i="4"/>
  <c r="AS949" i="4"/>
  <c r="AO949" i="4"/>
  <c r="AK949" i="4"/>
  <c r="AG949" i="4"/>
  <c r="AC949" i="4"/>
  <c r="Y949" i="4"/>
  <c r="U949" i="4"/>
  <c r="Q949" i="4"/>
  <c r="M949" i="4"/>
  <c r="CN948" i="4"/>
  <c r="CJ948" i="4"/>
  <c r="CF948" i="4"/>
  <c r="CB948" i="4"/>
  <c r="BW948" i="4"/>
  <c r="BS948" i="4"/>
  <c r="BO948" i="4"/>
  <c r="BK948" i="4"/>
  <c r="BA948" i="4"/>
  <c r="AW948" i="4"/>
  <c r="AS948" i="4"/>
  <c r="AO948" i="4"/>
  <c r="AK948" i="4"/>
  <c r="AG948" i="4"/>
  <c r="AC948" i="4"/>
  <c r="Y948" i="4"/>
  <c r="U948" i="4"/>
  <c r="Q948" i="4"/>
  <c r="M948" i="4"/>
  <c r="CN947" i="4"/>
  <c r="CJ947" i="4"/>
  <c r="CF947" i="4"/>
  <c r="CB947" i="4"/>
  <c r="BW947" i="4"/>
  <c r="BS947" i="4"/>
  <c r="BO947" i="4"/>
  <c r="BK947" i="4"/>
  <c r="BA947" i="4"/>
  <c r="AW947" i="4"/>
  <c r="AS947" i="4"/>
  <c r="AO947" i="4"/>
  <c r="AK947" i="4"/>
  <c r="AG947" i="4"/>
  <c r="AC947" i="4"/>
  <c r="Y947" i="4"/>
  <c r="U947" i="4"/>
  <c r="Q947" i="4"/>
  <c r="M947" i="4"/>
  <c r="CN946" i="4"/>
  <c r="CJ946" i="4"/>
  <c r="CF946" i="4"/>
  <c r="CB946" i="4"/>
  <c r="BW946" i="4"/>
  <c r="BS946" i="4"/>
  <c r="BO946" i="4"/>
  <c r="BK946" i="4"/>
  <c r="BA946" i="4"/>
  <c r="AW946" i="4"/>
  <c r="AS946" i="4"/>
  <c r="AO946" i="4"/>
  <c r="AK946" i="4"/>
  <c r="AG946" i="4"/>
  <c r="AC946" i="4"/>
  <c r="Y946" i="4"/>
  <c r="U946" i="4"/>
  <c r="Q946" i="4"/>
  <c r="M946" i="4"/>
  <c r="CN945" i="4"/>
  <c r="CJ945" i="4"/>
  <c r="CF945" i="4"/>
  <c r="CB945" i="4"/>
  <c r="BW945" i="4"/>
  <c r="BS945" i="4"/>
  <c r="BO945" i="4"/>
  <c r="BK945" i="4"/>
  <c r="BA945" i="4"/>
  <c r="AW945" i="4"/>
  <c r="AS945" i="4"/>
  <c r="AO945" i="4"/>
  <c r="AK945" i="4"/>
  <c r="AG945" i="4"/>
  <c r="AC945" i="4"/>
  <c r="Y945" i="4"/>
  <c r="U945" i="4"/>
  <c r="Q945" i="4"/>
  <c r="M945" i="4"/>
  <c r="CN944" i="4"/>
  <c r="CJ944" i="4"/>
  <c r="CF944" i="4"/>
  <c r="CB944" i="4"/>
  <c r="BW944" i="4"/>
  <c r="BS944" i="4"/>
  <c r="BO944" i="4"/>
  <c r="BK944" i="4"/>
  <c r="BA944" i="4"/>
  <c r="AW944" i="4"/>
  <c r="AS944" i="4"/>
  <c r="AO944" i="4"/>
  <c r="AK944" i="4"/>
  <c r="AG944" i="4"/>
  <c r="AC944" i="4"/>
  <c r="Y944" i="4"/>
  <c r="U944" i="4"/>
  <c r="Q944" i="4"/>
  <c r="M944" i="4"/>
  <c r="CN943" i="4"/>
  <c r="CJ943" i="4"/>
  <c r="CF943" i="4"/>
  <c r="CB943" i="4"/>
  <c r="BW943" i="4"/>
  <c r="BS943" i="4"/>
  <c r="BO943" i="4"/>
  <c r="BK943" i="4"/>
  <c r="BA943" i="4"/>
  <c r="AW943" i="4"/>
  <c r="AS943" i="4"/>
  <c r="AO943" i="4"/>
  <c r="AK943" i="4"/>
  <c r="AG943" i="4"/>
  <c r="AC943" i="4"/>
  <c r="Y943" i="4"/>
  <c r="U943" i="4"/>
  <c r="Q943" i="4"/>
  <c r="M943" i="4"/>
  <c r="CN942" i="4"/>
  <c r="CJ942" i="4"/>
  <c r="CF942" i="4"/>
  <c r="CB942" i="4"/>
  <c r="BW942" i="4"/>
  <c r="BS942" i="4"/>
  <c r="BO942" i="4"/>
  <c r="BK942" i="4"/>
  <c r="BA942" i="4"/>
  <c r="AW942" i="4"/>
  <c r="AS942" i="4"/>
  <c r="AO942" i="4"/>
  <c r="AK942" i="4"/>
  <c r="AG942" i="4"/>
  <c r="AC942" i="4"/>
  <c r="Y942" i="4"/>
  <c r="U942" i="4"/>
  <c r="Q942" i="4"/>
  <c r="M942" i="4"/>
  <c r="CN941" i="4"/>
  <c r="CJ941" i="4"/>
  <c r="CF941" i="4"/>
  <c r="CB941" i="4"/>
  <c r="BW941" i="4"/>
  <c r="BS941" i="4"/>
  <c r="BO941" i="4"/>
  <c r="BK941" i="4"/>
  <c r="BA941" i="4"/>
  <c r="AW941" i="4"/>
  <c r="AS941" i="4"/>
  <c r="AO941" i="4"/>
  <c r="AK941" i="4"/>
  <c r="AG941" i="4"/>
  <c r="AC941" i="4"/>
  <c r="Y941" i="4"/>
  <c r="U941" i="4"/>
  <c r="Q941" i="4"/>
  <c r="M941" i="4"/>
  <c r="CN940" i="4"/>
  <c r="CJ940" i="4"/>
  <c r="CF940" i="4"/>
  <c r="CB940" i="4"/>
  <c r="BW940" i="4"/>
  <c r="BS940" i="4"/>
  <c r="BO940" i="4"/>
  <c r="BK940" i="4"/>
  <c r="BA940" i="4"/>
  <c r="AW940" i="4"/>
  <c r="AS940" i="4"/>
  <c r="AO940" i="4"/>
  <c r="AK940" i="4"/>
  <c r="AG940" i="4"/>
  <c r="AC940" i="4"/>
  <c r="Y940" i="4"/>
  <c r="U940" i="4"/>
  <c r="Q940" i="4"/>
  <c r="M940" i="4"/>
  <c r="CN939" i="4"/>
  <c r="CJ939" i="4"/>
  <c r="CF939" i="4"/>
  <c r="CB939" i="4"/>
  <c r="BW939" i="4"/>
  <c r="BS939" i="4"/>
  <c r="BO939" i="4"/>
  <c r="BK939" i="4"/>
  <c r="BA939" i="4"/>
  <c r="AW939" i="4"/>
  <c r="AS939" i="4"/>
  <c r="AO939" i="4"/>
  <c r="AK939" i="4"/>
  <c r="AG939" i="4"/>
  <c r="AC939" i="4"/>
  <c r="Y939" i="4"/>
  <c r="U939" i="4"/>
  <c r="Q939" i="4"/>
  <c r="M939" i="4"/>
  <c r="CN938" i="4"/>
  <c r="CJ938" i="4"/>
  <c r="CF938" i="4"/>
  <c r="CB938" i="4"/>
  <c r="BW938" i="4"/>
  <c r="BS938" i="4"/>
  <c r="BO938" i="4"/>
  <c r="BK938" i="4"/>
  <c r="BA938" i="4"/>
  <c r="AW938" i="4"/>
  <c r="AS938" i="4"/>
  <c r="AO938" i="4"/>
  <c r="AK938" i="4"/>
  <c r="AG938" i="4"/>
  <c r="AC938" i="4"/>
  <c r="Y938" i="4"/>
  <c r="U938" i="4"/>
  <c r="Q938" i="4"/>
  <c r="M938" i="4"/>
  <c r="CN937" i="4"/>
  <c r="CJ937" i="4"/>
  <c r="CF937" i="4"/>
  <c r="CB937" i="4"/>
  <c r="BW937" i="4"/>
  <c r="BS937" i="4"/>
  <c r="BO937" i="4"/>
  <c r="BK937" i="4"/>
  <c r="BA937" i="4"/>
  <c r="AW937" i="4"/>
  <c r="AS937" i="4"/>
  <c r="AO937" i="4"/>
  <c r="AK937" i="4"/>
  <c r="AG937" i="4"/>
  <c r="AC937" i="4"/>
  <c r="Y937" i="4"/>
  <c r="U937" i="4"/>
  <c r="Q937" i="4"/>
  <c r="M937" i="4"/>
  <c r="CN936" i="4"/>
  <c r="CJ936" i="4"/>
  <c r="CF936" i="4"/>
  <c r="CB936" i="4"/>
  <c r="BW936" i="4"/>
  <c r="BS936" i="4"/>
  <c r="BO936" i="4"/>
  <c r="BK936" i="4"/>
  <c r="BA936" i="4"/>
  <c r="AW936" i="4"/>
  <c r="AS936" i="4"/>
  <c r="AO936" i="4"/>
  <c r="AK936" i="4"/>
  <c r="AG936" i="4"/>
  <c r="AC936" i="4"/>
  <c r="Y936" i="4"/>
  <c r="U936" i="4"/>
  <c r="Q936" i="4"/>
  <c r="M936" i="4"/>
  <c r="CN935" i="4"/>
  <c r="CJ935" i="4"/>
  <c r="CF935" i="4"/>
  <c r="CB935" i="4"/>
  <c r="BW935" i="4"/>
  <c r="BS935" i="4"/>
  <c r="BO935" i="4"/>
  <c r="BK935" i="4"/>
  <c r="BA935" i="4"/>
  <c r="AW935" i="4"/>
  <c r="AS935" i="4"/>
  <c r="AO935" i="4"/>
  <c r="AK935" i="4"/>
  <c r="AG935" i="4"/>
  <c r="AC935" i="4"/>
  <c r="Y935" i="4"/>
  <c r="U935" i="4"/>
  <c r="Q935" i="4"/>
  <c r="M935" i="4"/>
  <c r="CN934" i="4"/>
  <c r="CJ934" i="4"/>
  <c r="CF934" i="4"/>
  <c r="CB934" i="4"/>
  <c r="BW934" i="4"/>
  <c r="BS934" i="4"/>
  <c r="BO934" i="4"/>
  <c r="BK934" i="4"/>
  <c r="BA934" i="4"/>
  <c r="AW934" i="4"/>
  <c r="AS934" i="4"/>
  <c r="AO934" i="4"/>
  <c r="AK934" i="4"/>
  <c r="AG934" i="4"/>
  <c r="AC934" i="4"/>
  <c r="Y934" i="4"/>
  <c r="U934" i="4"/>
  <c r="Q934" i="4"/>
  <c r="M934" i="4"/>
  <c r="CN933" i="4"/>
  <c r="CJ933" i="4"/>
  <c r="CF933" i="4"/>
  <c r="CB933" i="4"/>
  <c r="BW933" i="4"/>
  <c r="BS933" i="4"/>
  <c r="BO933" i="4"/>
  <c r="BK933" i="4"/>
  <c r="BA933" i="4"/>
  <c r="AW933" i="4"/>
  <c r="AS933" i="4"/>
  <c r="AO933" i="4"/>
  <c r="AK933" i="4"/>
  <c r="AG933" i="4"/>
  <c r="AC933" i="4"/>
  <c r="Y933" i="4"/>
  <c r="U933" i="4"/>
  <c r="Q933" i="4"/>
  <c r="M933" i="4"/>
  <c r="CN932" i="4"/>
  <c r="CJ932" i="4"/>
  <c r="CF932" i="4"/>
  <c r="CB932" i="4"/>
  <c r="BW932" i="4"/>
  <c r="BS932" i="4"/>
  <c r="BO932" i="4"/>
  <c r="BK932" i="4"/>
  <c r="BA932" i="4"/>
  <c r="AW932" i="4"/>
  <c r="AS932" i="4"/>
  <c r="AO932" i="4"/>
  <c r="AK932" i="4"/>
  <c r="AG932" i="4"/>
  <c r="AC932" i="4"/>
  <c r="Y932" i="4"/>
  <c r="U932" i="4"/>
  <c r="Q932" i="4"/>
  <c r="M932" i="4"/>
  <c r="CN931" i="4"/>
  <c r="CJ931" i="4"/>
  <c r="CF931" i="4"/>
  <c r="CB931" i="4"/>
  <c r="BW931" i="4"/>
  <c r="BS931" i="4"/>
  <c r="BO931" i="4"/>
  <c r="BK931" i="4"/>
  <c r="BA931" i="4"/>
  <c r="AW931" i="4"/>
  <c r="AS931" i="4"/>
  <c r="AO931" i="4"/>
  <c r="AK931" i="4"/>
  <c r="AG931" i="4"/>
  <c r="AC931" i="4"/>
  <c r="Y931" i="4"/>
  <c r="U931" i="4"/>
  <c r="Q931" i="4"/>
  <c r="M931" i="4"/>
  <c r="CN930" i="4"/>
  <c r="CJ930" i="4"/>
  <c r="CF930" i="4"/>
  <c r="CB930" i="4"/>
  <c r="BW930" i="4"/>
  <c r="BS930" i="4"/>
  <c r="BO930" i="4"/>
  <c r="BK930" i="4"/>
  <c r="BA930" i="4"/>
  <c r="AW930" i="4"/>
  <c r="AS930" i="4"/>
  <c r="AO930" i="4"/>
  <c r="AK930" i="4"/>
  <c r="AG930" i="4"/>
  <c r="AC930" i="4"/>
  <c r="Y930" i="4"/>
  <c r="U930" i="4"/>
  <c r="Q930" i="4"/>
  <c r="M930" i="4"/>
  <c r="CN929" i="4"/>
  <c r="CJ929" i="4"/>
  <c r="CF929" i="4"/>
  <c r="CB929" i="4"/>
  <c r="BW929" i="4"/>
  <c r="BS929" i="4"/>
  <c r="BO929" i="4"/>
  <c r="BK929" i="4"/>
  <c r="BA929" i="4"/>
  <c r="AW929" i="4"/>
  <c r="AS929" i="4"/>
  <c r="AO929" i="4"/>
  <c r="AK929" i="4"/>
  <c r="AG929" i="4"/>
  <c r="AC929" i="4"/>
  <c r="Y929" i="4"/>
  <c r="U929" i="4"/>
  <c r="Q929" i="4"/>
  <c r="M929" i="4"/>
  <c r="CN928" i="4"/>
  <c r="CJ928" i="4"/>
  <c r="CF928" i="4"/>
  <c r="CB928" i="4"/>
  <c r="BW928" i="4"/>
  <c r="BS928" i="4"/>
  <c r="BO928" i="4"/>
  <c r="BK928" i="4"/>
  <c r="BA928" i="4"/>
  <c r="AW928" i="4"/>
  <c r="AS928" i="4"/>
  <c r="AO928" i="4"/>
  <c r="AK928" i="4"/>
  <c r="AG928" i="4"/>
  <c r="AC928" i="4"/>
  <c r="Y928" i="4"/>
  <c r="U928" i="4"/>
  <c r="Q928" i="4"/>
  <c r="M928" i="4"/>
  <c r="CN927" i="4"/>
  <c r="CJ927" i="4"/>
  <c r="CF927" i="4"/>
  <c r="CB927" i="4"/>
  <c r="BW927" i="4"/>
  <c r="BS927" i="4"/>
  <c r="BO927" i="4"/>
  <c r="BK927" i="4"/>
  <c r="BA927" i="4"/>
  <c r="AW927" i="4"/>
  <c r="AS927" i="4"/>
  <c r="AO927" i="4"/>
  <c r="AK927" i="4"/>
  <c r="AG927" i="4"/>
  <c r="AC927" i="4"/>
  <c r="Y927" i="4"/>
  <c r="U927" i="4"/>
  <c r="Q927" i="4"/>
  <c r="M927" i="4"/>
  <c r="CN926" i="4"/>
  <c r="CJ926" i="4"/>
  <c r="CF926" i="4"/>
  <c r="CB926" i="4"/>
  <c r="BW926" i="4"/>
  <c r="BS926" i="4"/>
  <c r="BO926" i="4"/>
  <c r="BK926" i="4"/>
  <c r="BA926" i="4"/>
  <c r="AW926" i="4"/>
  <c r="AS926" i="4"/>
  <c r="AO926" i="4"/>
  <c r="AK926" i="4"/>
  <c r="AG926" i="4"/>
  <c r="AC926" i="4"/>
  <c r="Y926" i="4"/>
  <c r="U926" i="4"/>
  <c r="Q926" i="4"/>
  <c r="M926" i="4"/>
  <c r="CN925" i="4"/>
  <c r="CJ925" i="4"/>
  <c r="CF925" i="4"/>
  <c r="CB925" i="4"/>
  <c r="BW925" i="4"/>
  <c r="BS925" i="4"/>
  <c r="BO925" i="4"/>
  <c r="BK925" i="4"/>
  <c r="BA925" i="4"/>
  <c r="AW925" i="4"/>
  <c r="AS925" i="4"/>
  <c r="AO925" i="4"/>
  <c r="AK925" i="4"/>
  <c r="AG925" i="4"/>
  <c r="AC925" i="4"/>
  <c r="Y925" i="4"/>
  <c r="U925" i="4"/>
  <c r="Q925" i="4"/>
  <c r="M925" i="4"/>
  <c r="CN924" i="4"/>
  <c r="CJ924" i="4"/>
  <c r="CF924" i="4"/>
  <c r="CB924" i="4"/>
  <c r="BW924" i="4"/>
  <c r="BS924" i="4"/>
  <c r="BO924" i="4"/>
  <c r="BK924" i="4"/>
  <c r="BA924" i="4"/>
  <c r="AW924" i="4"/>
  <c r="AS924" i="4"/>
  <c r="AO924" i="4"/>
  <c r="AK924" i="4"/>
  <c r="AG924" i="4"/>
  <c r="AC924" i="4"/>
  <c r="Y924" i="4"/>
  <c r="U924" i="4"/>
  <c r="Q924" i="4"/>
  <c r="M924" i="4"/>
  <c r="CN923" i="4"/>
  <c r="CJ923" i="4"/>
  <c r="CF923" i="4"/>
  <c r="CB923" i="4"/>
  <c r="BW923" i="4"/>
  <c r="BS923" i="4"/>
  <c r="BO923" i="4"/>
  <c r="BK923" i="4"/>
  <c r="BA923" i="4"/>
  <c r="AW923" i="4"/>
  <c r="AS923" i="4"/>
  <c r="AO923" i="4"/>
  <c r="AK923" i="4"/>
  <c r="AG923" i="4"/>
  <c r="AC923" i="4"/>
  <c r="Y923" i="4"/>
  <c r="U923" i="4"/>
  <c r="Q923" i="4"/>
  <c r="M923" i="4"/>
  <c r="CN922" i="4"/>
  <c r="CJ922" i="4"/>
  <c r="CF922" i="4"/>
  <c r="CB922" i="4"/>
  <c r="BW922" i="4"/>
  <c r="BS922" i="4"/>
  <c r="BO922" i="4"/>
  <c r="BK922" i="4"/>
  <c r="BA922" i="4"/>
  <c r="AW922" i="4"/>
  <c r="AS922" i="4"/>
  <c r="AO922" i="4"/>
  <c r="AK922" i="4"/>
  <c r="AG922" i="4"/>
  <c r="AC922" i="4"/>
  <c r="Y922" i="4"/>
  <c r="U922" i="4"/>
  <c r="Q922" i="4"/>
  <c r="M922" i="4"/>
  <c r="CN921" i="4"/>
  <c r="CJ921" i="4"/>
  <c r="CF921" i="4"/>
  <c r="CB921" i="4"/>
  <c r="BW921" i="4"/>
  <c r="BS921" i="4"/>
  <c r="BO921" i="4"/>
  <c r="BK921" i="4"/>
  <c r="BA921" i="4"/>
  <c r="AW921" i="4"/>
  <c r="AS921" i="4"/>
  <c r="AO921" i="4"/>
  <c r="AK921" i="4"/>
  <c r="AG921" i="4"/>
  <c r="AC921" i="4"/>
  <c r="Y921" i="4"/>
  <c r="U921" i="4"/>
  <c r="Q921" i="4"/>
  <c r="M921" i="4"/>
  <c r="CN920" i="4"/>
  <c r="CJ920" i="4"/>
  <c r="CF920" i="4"/>
  <c r="CB920" i="4"/>
  <c r="BW920" i="4"/>
  <c r="BS920" i="4"/>
  <c r="BO920" i="4"/>
  <c r="BK920" i="4"/>
  <c r="BA920" i="4"/>
  <c r="AW920" i="4"/>
  <c r="AS920" i="4"/>
  <c r="AO920" i="4"/>
  <c r="AK920" i="4"/>
  <c r="AG920" i="4"/>
  <c r="AC920" i="4"/>
  <c r="Y920" i="4"/>
  <c r="U920" i="4"/>
  <c r="Q920" i="4"/>
  <c r="M920" i="4"/>
  <c r="CN919" i="4"/>
  <c r="CJ919" i="4"/>
  <c r="CF919" i="4"/>
  <c r="CB919" i="4"/>
  <c r="BW919" i="4"/>
  <c r="BS919" i="4"/>
  <c r="BO919" i="4"/>
  <c r="BK919" i="4"/>
  <c r="BA919" i="4"/>
  <c r="AW919" i="4"/>
  <c r="AS919" i="4"/>
  <c r="AO919" i="4"/>
  <c r="AK919" i="4"/>
  <c r="AG919" i="4"/>
  <c r="AC919" i="4"/>
  <c r="Y919" i="4"/>
  <c r="U919" i="4"/>
  <c r="Q919" i="4"/>
  <c r="M919" i="4"/>
  <c r="CN918" i="4"/>
  <c r="CJ918" i="4"/>
  <c r="CF918" i="4"/>
  <c r="CB918" i="4"/>
  <c r="BW918" i="4"/>
  <c r="BS918" i="4"/>
  <c r="BO918" i="4"/>
  <c r="BK918" i="4"/>
  <c r="BA918" i="4"/>
  <c r="AW918" i="4"/>
  <c r="AS918" i="4"/>
  <c r="AO918" i="4"/>
  <c r="AK918" i="4"/>
  <c r="AG918" i="4"/>
  <c r="AC918" i="4"/>
  <c r="Y918" i="4"/>
  <c r="U918" i="4"/>
  <c r="Q918" i="4"/>
  <c r="M918" i="4"/>
  <c r="CN917" i="4"/>
  <c r="CJ917" i="4"/>
  <c r="CF917" i="4"/>
  <c r="CB917" i="4"/>
  <c r="BW917" i="4"/>
  <c r="BS917" i="4"/>
  <c r="BO917" i="4"/>
  <c r="BK917" i="4"/>
  <c r="BA917" i="4"/>
  <c r="AW917" i="4"/>
  <c r="AS917" i="4"/>
  <c r="AO917" i="4"/>
  <c r="AK917" i="4"/>
  <c r="AG917" i="4"/>
  <c r="AC917" i="4"/>
  <c r="Y917" i="4"/>
  <c r="U917" i="4"/>
  <c r="Q917" i="4"/>
  <c r="M917" i="4"/>
  <c r="CN916" i="4"/>
  <c r="CJ916" i="4"/>
  <c r="CF916" i="4"/>
  <c r="CB916" i="4"/>
  <c r="BW916" i="4"/>
  <c r="BS916" i="4"/>
  <c r="BO916" i="4"/>
  <c r="BK916" i="4"/>
  <c r="BA916" i="4"/>
  <c r="AW916" i="4"/>
  <c r="AS916" i="4"/>
  <c r="AO916" i="4"/>
  <c r="AK916" i="4"/>
  <c r="AG916" i="4"/>
  <c r="AC916" i="4"/>
  <c r="Y916" i="4"/>
  <c r="U916" i="4"/>
  <c r="Q916" i="4"/>
  <c r="M916" i="4"/>
  <c r="CN915" i="4"/>
  <c r="CJ915" i="4"/>
  <c r="CF915" i="4"/>
  <c r="CB915" i="4"/>
  <c r="BW915" i="4"/>
  <c r="BS915" i="4"/>
  <c r="BO915" i="4"/>
  <c r="BK915" i="4"/>
  <c r="BA915" i="4"/>
  <c r="AW915" i="4"/>
  <c r="AS915" i="4"/>
  <c r="AO915" i="4"/>
  <c r="AK915" i="4"/>
  <c r="AG915" i="4"/>
  <c r="AC915" i="4"/>
  <c r="Y915" i="4"/>
  <c r="U915" i="4"/>
  <c r="Q915" i="4"/>
  <c r="M915" i="4"/>
  <c r="CN914" i="4"/>
  <c r="CJ914" i="4"/>
  <c r="CF914" i="4"/>
  <c r="CB914" i="4"/>
  <c r="BW914" i="4"/>
  <c r="BS914" i="4"/>
  <c r="BO914" i="4"/>
  <c r="BK914" i="4"/>
  <c r="BA914" i="4"/>
  <c r="AW914" i="4"/>
  <c r="AS914" i="4"/>
  <c r="AO914" i="4"/>
  <c r="AK914" i="4"/>
  <c r="AG914" i="4"/>
  <c r="AC914" i="4"/>
  <c r="Y914" i="4"/>
  <c r="U914" i="4"/>
  <c r="Q914" i="4"/>
  <c r="M914" i="4"/>
  <c r="CN913" i="4"/>
  <c r="CJ913" i="4"/>
  <c r="CF913" i="4"/>
  <c r="CB913" i="4"/>
  <c r="BW913" i="4"/>
  <c r="BS913" i="4"/>
  <c r="BO913" i="4"/>
  <c r="BK913" i="4"/>
  <c r="BA913" i="4"/>
  <c r="AW913" i="4"/>
  <c r="AS913" i="4"/>
  <c r="AO913" i="4"/>
  <c r="AK913" i="4"/>
  <c r="AG913" i="4"/>
  <c r="AC913" i="4"/>
  <c r="Y913" i="4"/>
  <c r="U913" i="4"/>
  <c r="Q913" i="4"/>
  <c r="M913" i="4"/>
  <c r="CN912" i="4"/>
  <c r="CJ912" i="4"/>
  <c r="CF912" i="4"/>
  <c r="CB912" i="4"/>
  <c r="BW912" i="4"/>
  <c r="BS912" i="4"/>
  <c r="BO912" i="4"/>
  <c r="BK912" i="4"/>
  <c r="BA912" i="4"/>
  <c r="AW912" i="4"/>
  <c r="AS912" i="4"/>
  <c r="AO912" i="4"/>
  <c r="AK912" i="4"/>
  <c r="AG912" i="4"/>
  <c r="AC912" i="4"/>
  <c r="Y912" i="4"/>
  <c r="U912" i="4"/>
  <c r="Q912" i="4"/>
  <c r="M912" i="4"/>
  <c r="CN911" i="4"/>
  <c r="CJ911" i="4"/>
  <c r="CF911" i="4"/>
  <c r="CB911" i="4"/>
  <c r="BW911" i="4"/>
  <c r="BS911" i="4"/>
  <c r="BO911" i="4"/>
  <c r="BK911" i="4"/>
  <c r="BA911" i="4"/>
  <c r="AW911" i="4"/>
  <c r="AS911" i="4"/>
  <c r="AO911" i="4"/>
  <c r="AK911" i="4"/>
  <c r="AG911" i="4"/>
  <c r="AC911" i="4"/>
  <c r="Y911" i="4"/>
  <c r="U911" i="4"/>
  <c r="Q911" i="4"/>
  <c r="M911" i="4"/>
  <c r="CN910" i="4"/>
  <c r="CJ910" i="4"/>
  <c r="CF910" i="4"/>
  <c r="CB910" i="4"/>
  <c r="BW910" i="4"/>
  <c r="BS910" i="4"/>
  <c r="BO910" i="4"/>
  <c r="BK910" i="4"/>
  <c r="BA910" i="4"/>
  <c r="AW910" i="4"/>
  <c r="AS910" i="4"/>
  <c r="AO910" i="4"/>
  <c r="AK910" i="4"/>
  <c r="AG910" i="4"/>
  <c r="AC910" i="4"/>
  <c r="Y910" i="4"/>
  <c r="U910" i="4"/>
  <c r="Q910" i="4"/>
  <c r="M910" i="4"/>
  <c r="CN909" i="4"/>
  <c r="CJ909" i="4"/>
  <c r="CF909" i="4"/>
  <c r="CB909" i="4"/>
  <c r="BW909" i="4"/>
  <c r="BS909" i="4"/>
  <c r="BO909" i="4"/>
  <c r="BK909" i="4"/>
  <c r="BA909" i="4"/>
  <c r="AW909" i="4"/>
  <c r="AS909" i="4"/>
  <c r="AO909" i="4"/>
  <c r="AK909" i="4"/>
  <c r="AG909" i="4"/>
  <c r="AC909" i="4"/>
  <c r="Y909" i="4"/>
  <c r="U909" i="4"/>
  <c r="Q909" i="4"/>
  <c r="M909" i="4"/>
  <c r="CN908" i="4"/>
  <c r="CJ908" i="4"/>
  <c r="CF908" i="4"/>
  <c r="CB908" i="4"/>
  <c r="BW908" i="4"/>
  <c r="BS908" i="4"/>
  <c r="BO908" i="4"/>
  <c r="BK908" i="4"/>
  <c r="BA908" i="4"/>
  <c r="AW908" i="4"/>
  <c r="AS908" i="4"/>
  <c r="AO908" i="4"/>
  <c r="AK908" i="4"/>
  <c r="AG908" i="4"/>
  <c r="AC908" i="4"/>
  <c r="Y908" i="4"/>
  <c r="U908" i="4"/>
  <c r="Q908" i="4"/>
  <c r="M908" i="4"/>
  <c r="CN907" i="4"/>
  <c r="CJ907" i="4"/>
  <c r="CF907" i="4"/>
  <c r="CB907" i="4"/>
  <c r="BW907" i="4"/>
  <c r="BS907" i="4"/>
  <c r="BO907" i="4"/>
  <c r="BK907" i="4"/>
  <c r="BA907" i="4"/>
  <c r="AW907" i="4"/>
  <c r="AS907" i="4"/>
  <c r="AO907" i="4"/>
  <c r="AK907" i="4"/>
  <c r="AG907" i="4"/>
  <c r="AC907" i="4"/>
  <c r="Y907" i="4"/>
  <c r="U907" i="4"/>
  <c r="Q907" i="4"/>
  <c r="M907" i="4"/>
  <c r="CN906" i="4"/>
  <c r="CJ906" i="4"/>
  <c r="CF906" i="4"/>
  <c r="CB906" i="4"/>
  <c r="BW906" i="4"/>
  <c r="BS906" i="4"/>
  <c r="BO906" i="4"/>
  <c r="BK906" i="4"/>
  <c r="BA906" i="4"/>
  <c r="AW906" i="4"/>
  <c r="AS906" i="4"/>
  <c r="AO906" i="4"/>
  <c r="AK906" i="4"/>
  <c r="AG906" i="4"/>
  <c r="AC906" i="4"/>
  <c r="Y906" i="4"/>
  <c r="U906" i="4"/>
  <c r="Q906" i="4"/>
  <c r="M906" i="4"/>
  <c r="CN905" i="4"/>
  <c r="CJ905" i="4"/>
  <c r="CF905" i="4"/>
  <c r="CB905" i="4"/>
  <c r="BW905" i="4"/>
  <c r="BS905" i="4"/>
  <c r="BO905" i="4"/>
  <c r="BK905" i="4"/>
  <c r="BA905" i="4"/>
  <c r="AW905" i="4"/>
  <c r="AS905" i="4"/>
  <c r="AO905" i="4"/>
  <c r="AK905" i="4"/>
  <c r="AG905" i="4"/>
  <c r="AC905" i="4"/>
  <c r="Y905" i="4"/>
  <c r="U905" i="4"/>
  <c r="Q905" i="4"/>
  <c r="M905" i="4"/>
  <c r="CN904" i="4"/>
  <c r="CJ904" i="4"/>
  <c r="CF904" i="4"/>
  <c r="CB904" i="4"/>
  <c r="BW904" i="4"/>
  <c r="BS904" i="4"/>
  <c r="BO904" i="4"/>
  <c r="BK904" i="4"/>
  <c r="BA904" i="4"/>
  <c r="AW904" i="4"/>
  <c r="AS904" i="4"/>
  <c r="AO904" i="4"/>
  <c r="AK904" i="4"/>
  <c r="AG904" i="4"/>
  <c r="AC904" i="4"/>
  <c r="Y904" i="4"/>
  <c r="U904" i="4"/>
  <c r="Q904" i="4"/>
  <c r="M904" i="4"/>
  <c r="CN903" i="4"/>
  <c r="CJ903" i="4"/>
  <c r="CF903" i="4"/>
  <c r="CB903" i="4"/>
  <c r="BW903" i="4"/>
  <c r="BS903" i="4"/>
  <c r="BO903" i="4"/>
  <c r="BK903" i="4"/>
  <c r="BA903" i="4"/>
  <c r="AW903" i="4"/>
  <c r="AS903" i="4"/>
  <c r="AO903" i="4"/>
  <c r="AK903" i="4"/>
  <c r="AG903" i="4"/>
  <c r="AC903" i="4"/>
  <c r="Y903" i="4"/>
  <c r="U903" i="4"/>
  <c r="Q903" i="4"/>
  <c r="M903" i="4"/>
  <c r="CN902" i="4"/>
  <c r="CJ902" i="4"/>
  <c r="CF902" i="4"/>
  <c r="CB902" i="4"/>
  <c r="BW902" i="4"/>
  <c r="BS902" i="4"/>
  <c r="BO902" i="4"/>
  <c r="BK902" i="4"/>
  <c r="BA902" i="4"/>
  <c r="AW902" i="4"/>
  <c r="AS902" i="4"/>
  <c r="AO902" i="4"/>
  <c r="AK902" i="4"/>
  <c r="AG902" i="4"/>
  <c r="AC902" i="4"/>
  <c r="Y902" i="4"/>
  <c r="U902" i="4"/>
  <c r="Q902" i="4"/>
  <c r="M902" i="4"/>
  <c r="CN901" i="4"/>
  <c r="CJ901" i="4"/>
  <c r="CF901" i="4"/>
  <c r="CB901" i="4"/>
  <c r="BW901" i="4"/>
  <c r="BS901" i="4"/>
  <c r="BO901" i="4"/>
  <c r="BK901" i="4"/>
  <c r="BA901" i="4"/>
  <c r="AW901" i="4"/>
  <c r="AS901" i="4"/>
  <c r="AO901" i="4"/>
  <c r="AK901" i="4"/>
  <c r="AG901" i="4"/>
  <c r="AC901" i="4"/>
  <c r="Y901" i="4"/>
  <c r="U901" i="4"/>
  <c r="Q901" i="4"/>
  <c r="M901" i="4"/>
  <c r="CN900" i="4"/>
  <c r="CJ900" i="4"/>
  <c r="CF900" i="4"/>
  <c r="CB900" i="4"/>
  <c r="BW900" i="4"/>
  <c r="BS900" i="4"/>
  <c r="BO900" i="4"/>
  <c r="BK900" i="4"/>
  <c r="BA900" i="4"/>
  <c r="AW900" i="4"/>
  <c r="AS900" i="4"/>
  <c r="AO900" i="4"/>
  <c r="AK900" i="4"/>
  <c r="AG900" i="4"/>
  <c r="AC900" i="4"/>
  <c r="Y900" i="4"/>
  <c r="U900" i="4"/>
  <c r="Q900" i="4"/>
  <c r="M900" i="4"/>
  <c r="CN899" i="4"/>
  <c r="CJ899" i="4"/>
  <c r="CF899" i="4"/>
  <c r="CB899" i="4"/>
  <c r="BW899" i="4"/>
  <c r="BS899" i="4"/>
  <c r="BO899" i="4"/>
  <c r="BK899" i="4"/>
  <c r="BA899" i="4"/>
  <c r="AW899" i="4"/>
  <c r="AS899" i="4"/>
  <c r="AO899" i="4"/>
  <c r="AK899" i="4"/>
  <c r="AG899" i="4"/>
  <c r="AC899" i="4"/>
  <c r="Y899" i="4"/>
  <c r="U899" i="4"/>
  <c r="Q899" i="4"/>
  <c r="M899" i="4"/>
  <c r="CN898" i="4"/>
  <c r="CJ898" i="4"/>
  <c r="CF898" i="4"/>
  <c r="CB898" i="4"/>
  <c r="BW898" i="4"/>
  <c r="BS898" i="4"/>
  <c r="BO898" i="4"/>
  <c r="BK898" i="4"/>
  <c r="BA898" i="4"/>
  <c r="AW898" i="4"/>
  <c r="AS898" i="4"/>
  <c r="AO898" i="4"/>
  <c r="AK898" i="4"/>
  <c r="AG898" i="4"/>
  <c r="AC898" i="4"/>
  <c r="Y898" i="4"/>
  <c r="U898" i="4"/>
  <c r="Q898" i="4"/>
  <c r="M898" i="4"/>
  <c r="CN897" i="4"/>
  <c r="CJ897" i="4"/>
  <c r="CF897" i="4"/>
  <c r="CB897" i="4"/>
  <c r="BW897" i="4"/>
  <c r="BS897" i="4"/>
  <c r="BO897" i="4"/>
  <c r="BK897" i="4"/>
  <c r="BA897" i="4"/>
  <c r="AW897" i="4"/>
  <c r="AS897" i="4"/>
  <c r="AO897" i="4"/>
  <c r="AK897" i="4"/>
  <c r="AG897" i="4"/>
  <c r="AC897" i="4"/>
  <c r="Y897" i="4"/>
  <c r="U897" i="4"/>
  <c r="Q897" i="4"/>
  <c r="M897" i="4"/>
  <c r="CN896" i="4"/>
  <c r="CJ896" i="4"/>
  <c r="CF896" i="4"/>
  <c r="CB896" i="4"/>
  <c r="BW896" i="4"/>
  <c r="BS896" i="4"/>
  <c r="BO896" i="4"/>
  <c r="BK896" i="4"/>
  <c r="BA896" i="4"/>
  <c r="AW896" i="4"/>
  <c r="AS896" i="4"/>
  <c r="AO896" i="4"/>
  <c r="AK896" i="4"/>
  <c r="AG896" i="4"/>
  <c r="AC896" i="4"/>
  <c r="Y896" i="4"/>
  <c r="U896" i="4"/>
  <c r="Q896" i="4"/>
  <c r="M896" i="4"/>
  <c r="CN895" i="4"/>
  <c r="CJ895" i="4"/>
  <c r="CF895" i="4"/>
  <c r="CB895" i="4"/>
  <c r="BW895" i="4"/>
  <c r="BS895" i="4"/>
  <c r="BO895" i="4"/>
  <c r="BK895" i="4"/>
  <c r="BA895" i="4"/>
  <c r="AW895" i="4"/>
  <c r="AS895" i="4"/>
  <c r="AO895" i="4"/>
  <c r="AK895" i="4"/>
  <c r="AG895" i="4"/>
  <c r="AC895" i="4"/>
  <c r="Y895" i="4"/>
  <c r="U895" i="4"/>
  <c r="Q895" i="4"/>
  <c r="M895" i="4"/>
  <c r="CN894" i="4"/>
  <c r="CJ894" i="4"/>
  <c r="CF894" i="4"/>
  <c r="CB894" i="4"/>
  <c r="BW894" i="4"/>
  <c r="BS894" i="4"/>
  <c r="BO894" i="4"/>
  <c r="BK894" i="4"/>
  <c r="BA894" i="4"/>
  <c r="AW894" i="4"/>
  <c r="AS894" i="4"/>
  <c r="AO894" i="4"/>
  <c r="AK894" i="4"/>
  <c r="AG894" i="4"/>
  <c r="AC894" i="4"/>
  <c r="Y894" i="4"/>
  <c r="U894" i="4"/>
  <c r="Q894" i="4"/>
  <c r="M894" i="4"/>
  <c r="CN893" i="4"/>
  <c r="CJ893" i="4"/>
  <c r="CF893" i="4"/>
  <c r="CB893" i="4"/>
  <c r="BW893" i="4"/>
  <c r="BS893" i="4"/>
  <c r="BO893" i="4"/>
  <c r="BK893" i="4"/>
  <c r="BA893" i="4"/>
  <c r="AW893" i="4"/>
  <c r="AS893" i="4"/>
  <c r="AO893" i="4"/>
  <c r="AK893" i="4"/>
  <c r="AG893" i="4"/>
  <c r="AC893" i="4"/>
  <c r="Y893" i="4"/>
  <c r="U893" i="4"/>
  <c r="Q893" i="4"/>
  <c r="M893" i="4"/>
  <c r="CN892" i="4"/>
  <c r="CJ892" i="4"/>
  <c r="CF892" i="4"/>
  <c r="CB892" i="4"/>
  <c r="BW892" i="4"/>
  <c r="BS892" i="4"/>
  <c r="BO892" i="4"/>
  <c r="BK892" i="4"/>
  <c r="BA892" i="4"/>
  <c r="AW892" i="4"/>
  <c r="AS892" i="4"/>
  <c r="AO892" i="4"/>
  <c r="AK892" i="4"/>
  <c r="AG892" i="4"/>
  <c r="AC892" i="4"/>
  <c r="Y892" i="4"/>
  <c r="U892" i="4"/>
  <c r="Q892" i="4"/>
  <c r="M892" i="4"/>
  <c r="CN891" i="4"/>
  <c r="CJ891" i="4"/>
  <c r="CF891" i="4"/>
  <c r="CB891" i="4"/>
  <c r="BW891" i="4"/>
  <c r="BS891" i="4"/>
  <c r="BO891" i="4"/>
  <c r="BK891" i="4"/>
  <c r="BA891" i="4"/>
  <c r="AW891" i="4"/>
  <c r="AS891" i="4"/>
  <c r="AO891" i="4"/>
  <c r="AK891" i="4"/>
  <c r="AG891" i="4"/>
  <c r="AC891" i="4"/>
  <c r="Y891" i="4"/>
  <c r="U891" i="4"/>
  <c r="Q891" i="4"/>
  <c r="M891" i="4"/>
  <c r="CN890" i="4"/>
  <c r="CJ890" i="4"/>
  <c r="CF890" i="4"/>
  <c r="CB890" i="4"/>
  <c r="BW890" i="4"/>
  <c r="BS890" i="4"/>
  <c r="BO890" i="4"/>
  <c r="BK890" i="4"/>
  <c r="BA890" i="4"/>
  <c r="AW890" i="4"/>
  <c r="AS890" i="4"/>
  <c r="AO890" i="4"/>
  <c r="AK890" i="4"/>
  <c r="AG890" i="4"/>
  <c r="AC890" i="4"/>
  <c r="Y890" i="4"/>
  <c r="U890" i="4"/>
  <c r="Q890" i="4"/>
  <c r="M890" i="4"/>
  <c r="CN889" i="4"/>
  <c r="CJ889" i="4"/>
  <c r="CF889" i="4"/>
  <c r="CB889" i="4"/>
  <c r="BW889" i="4"/>
  <c r="BS889" i="4"/>
  <c r="BO889" i="4"/>
  <c r="BK889" i="4"/>
  <c r="BA889" i="4"/>
  <c r="AW889" i="4"/>
  <c r="AS889" i="4"/>
  <c r="AO889" i="4"/>
  <c r="AK889" i="4"/>
  <c r="AG889" i="4"/>
  <c r="AC889" i="4"/>
  <c r="Y889" i="4"/>
  <c r="U889" i="4"/>
  <c r="Q889" i="4"/>
  <c r="M889" i="4"/>
  <c r="CN888" i="4"/>
  <c r="CJ888" i="4"/>
  <c r="CF888" i="4"/>
  <c r="CB888" i="4"/>
  <c r="BW888" i="4"/>
  <c r="BS888" i="4"/>
  <c r="BO888" i="4"/>
  <c r="BK888" i="4"/>
  <c r="BA888" i="4"/>
  <c r="AW888" i="4"/>
  <c r="AS888" i="4"/>
  <c r="AO888" i="4"/>
  <c r="AK888" i="4"/>
  <c r="AG888" i="4"/>
  <c r="AC888" i="4"/>
  <c r="Y888" i="4"/>
  <c r="U888" i="4"/>
  <c r="Q888" i="4"/>
  <c r="M888" i="4"/>
  <c r="CN887" i="4"/>
  <c r="CJ887" i="4"/>
  <c r="CF887" i="4"/>
  <c r="CB887" i="4"/>
  <c r="BW887" i="4"/>
  <c r="BS887" i="4"/>
  <c r="BO887" i="4"/>
  <c r="BK887" i="4"/>
  <c r="BA887" i="4"/>
  <c r="AW887" i="4"/>
  <c r="AS887" i="4"/>
  <c r="AO887" i="4"/>
  <c r="AK887" i="4"/>
  <c r="AG887" i="4"/>
  <c r="AC887" i="4"/>
  <c r="Y887" i="4"/>
  <c r="U887" i="4"/>
  <c r="Q887" i="4"/>
  <c r="M887" i="4"/>
  <c r="CN886" i="4"/>
  <c r="CJ886" i="4"/>
  <c r="CF886" i="4"/>
  <c r="CB886" i="4"/>
  <c r="BW886" i="4"/>
  <c r="BS886" i="4"/>
  <c r="BO886" i="4"/>
  <c r="BK886" i="4"/>
  <c r="BA886" i="4"/>
  <c r="AW886" i="4"/>
  <c r="AS886" i="4"/>
  <c r="AO886" i="4"/>
  <c r="AK886" i="4"/>
  <c r="AG886" i="4"/>
  <c r="AC886" i="4"/>
  <c r="Y886" i="4"/>
  <c r="U886" i="4"/>
  <c r="Q886" i="4"/>
  <c r="M886" i="4"/>
  <c r="CN885" i="4"/>
  <c r="CJ885" i="4"/>
  <c r="CF885" i="4"/>
  <c r="CB885" i="4"/>
  <c r="BW885" i="4"/>
  <c r="BS885" i="4"/>
  <c r="BO885" i="4"/>
  <c r="BK885" i="4"/>
  <c r="BA885" i="4"/>
  <c r="AW885" i="4"/>
  <c r="AS885" i="4"/>
  <c r="AO885" i="4"/>
  <c r="AK885" i="4"/>
  <c r="AG885" i="4"/>
  <c r="AC885" i="4"/>
  <c r="Y885" i="4"/>
  <c r="U885" i="4"/>
  <c r="Q885" i="4"/>
  <c r="M885" i="4"/>
  <c r="CN884" i="4"/>
  <c r="CJ884" i="4"/>
  <c r="CF884" i="4"/>
  <c r="CB884" i="4"/>
  <c r="BW884" i="4"/>
  <c r="BS884" i="4"/>
  <c r="BO884" i="4"/>
  <c r="BK884" i="4"/>
  <c r="BA884" i="4"/>
  <c r="AW884" i="4"/>
  <c r="AS884" i="4"/>
  <c r="AO884" i="4"/>
  <c r="AK884" i="4"/>
  <c r="AG884" i="4"/>
  <c r="AC884" i="4"/>
  <c r="Y884" i="4"/>
  <c r="U884" i="4"/>
  <c r="Q884" i="4"/>
  <c r="M884" i="4"/>
  <c r="CN883" i="4"/>
  <c r="CJ883" i="4"/>
  <c r="CF883" i="4"/>
  <c r="CB883" i="4"/>
  <c r="BW883" i="4"/>
  <c r="BS883" i="4"/>
  <c r="BO883" i="4"/>
  <c r="BK883" i="4"/>
  <c r="BA883" i="4"/>
  <c r="AW883" i="4"/>
  <c r="AS883" i="4"/>
  <c r="AO883" i="4"/>
  <c r="AK883" i="4"/>
  <c r="AG883" i="4"/>
  <c r="AC883" i="4"/>
  <c r="Y883" i="4"/>
  <c r="U883" i="4"/>
  <c r="Q883" i="4"/>
  <c r="M883" i="4"/>
  <c r="CN882" i="4"/>
  <c r="CJ882" i="4"/>
  <c r="CF882" i="4"/>
  <c r="CB882" i="4"/>
  <c r="BW882" i="4"/>
  <c r="BS882" i="4"/>
  <c r="BO882" i="4"/>
  <c r="BK882" i="4"/>
  <c r="BA882" i="4"/>
  <c r="AW882" i="4"/>
  <c r="AS882" i="4"/>
  <c r="AO882" i="4"/>
  <c r="AK882" i="4"/>
  <c r="AG882" i="4"/>
  <c r="AC882" i="4"/>
  <c r="Y882" i="4"/>
  <c r="U882" i="4"/>
  <c r="Q882" i="4"/>
  <c r="M882" i="4"/>
  <c r="CN881" i="4"/>
  <c r="CJ881" i="4"/>
  <c r="CF881" i="4"/>
  <c r="CB881" i="4"/>
  <c r="BW881" i="4"/>
  <c r="BS881" i="4"/>
  <c r="BO881" i="4"/>
  <c r="BK881" i="4"/>
  <c r="BA881" i="4"/>
  <c r="AW881" i="4"/>
  <c r="AS881" i="4"/>
  <c r="AO881" i="4"/>
  <c r="AK881" i="4"/>
  <c r="AG881" i="4"/>
  <c r="AC881" i="4"/>
  <c r="Y881" i="4"/>
  <c r="U881" i="4"/>
  <c r="Q881" i="4"/>
  <c r="M881" i="4"/>
  <c r="CN880" i="4"/>
  <c r="CJ880" i="4"/>
  <c r="CF880" i="4"/>
  <c r="CB880" i="4"/>
  <c r="BW880" i="4"/>
  <c r="BS880" i="4"/>
  <c r="BO880" i="4"/>
  <c r="BK880" i="4"/>
  <c r="BA880" i="4"/>
  <c r="AW880" i="4"/>
  <c r="AS880" i="4"/>
  <c r="AO880" i="4"/>
  <c r="AK880" i="4"/>
  <c r="AG880" i="4"/>
  <c r="AC880" i="4"/>
  <c r="Y880" i="4"/>
  <c r="U880" i="4"/>
  <c r="Q880" i="4"/>
  <c r="M880" i="4"/>
  <c r="CN879" i="4"/>
  <c r="CJ879" i="4"/>
  <c r="CF879" i="4"/>
  <c r="CB879" i="4"/>
  <c r="BW879" i="4"/>
  <c r="BS879" i="4"/>
  <c r="BO879" i="4"/>
  <c r="BK879" i="4"/>
  <c r="BA879" i="4"/>
  <c r="AW879" i="4"/>
  <c r="AS879" i="4"/>
  <c r="AO879" i="4"/>
  <c r="AK879" i="4"/>
  <c r="AG879" i="4"/>
  <c r="AC879" i="4"/>
  <c r="Y879" i="4"/>
  <c r="U879" i="4"/>
  <c r="Q879" i="4"/>
  <c r="M879" i="4"/>
  <c r="CN878" i="4"/>
  <c r="CJ878" i="4"/>
  <c r="CF878" i="4"/>
  <c r="CB878" i="4"/>
  <c r="BW878" i="4"/>
  <c r="BS878" i="4"/>
  <c r="BO878" i="4"/>
  <c r="BK878" i="4"/>
  <c r="BA878" i="4"/>
  <c r="AW878" i="4"/>
  <c r="AS878" i="4"/>
  <c r="AO878" i="4"/>
  <c r="AK878" i="4"/>
  <c r="AG878" i="4"/>
  <c r="AC878" i="4"/>
  <c r="Y878" i="4"/>
  <c r="U878" i="4"/>
  <c r="Q878" i="4"/>
  <c r="M878" i="4"/>
  <c r="CN877" i="4"/>
  <c r="CJ877" i="4"/>
  <c r="CF877" i="4"/>
  <c r="CB877" i="4"/>
  <c r="BW877" i="4"/>
  <c r="BS877" i="4"/>
  <c r="BO877" i="4"/>
  <c r="BK877" i="4"/>
  <c r="BA877" i="4"/>
  <c r="AW877" i="4"/>
  <c r="AS877" i="4"/>
  <c r="AO877" i="4"/>
  <c r="AK877" i="4"/>
  <c r="AG877" i="4"/>
  <c r="AC877" i="4"/>
  <c r="Y877" i="4"/>
  <c r="U877" i="4"/>
  <c r="Q877" i="4"/>
  <c r="M877" i="4"/>
  <c r="CN876" i="4"/>
  <c r="CJ876" i="4"/>
  <c r="CF876" i="4"/>
  <c r="CB876" i="4"/>
  <c r="BW876" i="4"/>
  <c r="BS876" i="4"/>
  <c r="BO876" i="4"/>
  <c r="BK876" i="4"/>
  <c r="BA876" i="4"/>
  <c r="AW876" i="4"/>
  <c r="AS876" i="4"/>
  <c r="AO876" i="4"/>
  <c r="AK876" i="4"/>
  <c r="AG876" i="4"/>
  <c r="AC876" i="4"/>
  <c r="Y876" i="4"/>
  <c r="U876" i="4"/>
  <c r="Q876" i="4"/>
  <c r="M876" i="4"/>
  <c r="CN875" i="4"/>
  <c r="CJ875" i="4"/>
  <c r="CF875" i="4"/>
  <c r="CB875" i="4"/>
  <c r="BW875" i="4"/>
  <c r="BS875" i="4"/>
  <c r="BO875" i="4"/>
  <c r="BK875" i="4"/>
  <c r="BA875" i="4"/>
  <c r="AW875" i="4"/>
  <c r="AS875" i="4"/>
  <c r="AO875" i="4"/>
  <c r="AK875" i="4"/>
  <c r="AG875" i="4"/>
  <c r="AC875" i="4"/>
  <c r="Y875" i="4"/>
  <c r="U875" i="4"/>
  <c r="Q875" i="4"/>
  <c r="M875" i="4"/>
  <c r="CN874" i="4"/>
  <c r="CJ874" i="4"/>
  <c r="CF874" i="4"/>
  <c r="CB874" i="4"/>
  <c r="BW874" i="4"/>
  <c r="BS874" i="4"/>
  <c r="BO874" i="4"/>
  <c r="BK874" i="4"/>
  <c r="BA874" i="4"/>
  <c r="AW874" i="4"/>
  <c r="AS874" i="4"/>
  <c r="AO874" i="4"/>
  <c r="AK874" i="4"/>
  <c r="AG874" i="4"/>
  <c r="AC874" i="4"/>
  <c r="Y874" i="4"/>
  <c r="U874" i="4"/>
  <c r="Q874" i="4"/>
  <c r="M874" i="4"/>
  <c r="CN873" i="4"/>
  <c r="CJ873" i="4"/>
  <c r="CF873" i="4"/>
  <c r="CB873" i="4"/>
  <c r="BW873" i="4"/>
  <c r="BS873" i="4"/>
  <c r="BO873" i="4"/>
  <c r="BK873" i="4"/>
  <c r="BA873" i="4"/>
  <c r="AW873" i="4"/>
  <c r="AS873" i="4"/>
  <c r="AO873" i="4"/>
  <c r="AK873" i="4"/>
  <c r="AG873" i="4"/>
  <c r="AC873" i="4"/>
  <c r="Y873" i="4"/>
  <c r="U873" i="4"/>
  <c r="Q873" i="4"/>
  <c r="M873" i="4"/>
  <c r="CN872" i="4"/>
  <c r="CJ872" i="4"/>
  <c r="CF872" i="4"/>
  <c r="CB872" i="4"/>
  <c r="BW872" i="4"/>
  <c r="BS872" i="4"/>
  <c r="BO872" i="4"/>
  <c r="BK872" i="4"/>
  <c r="BA872" i="4"/>
  <c r="AW872" i="4"/>
  <c r="AS872" i="4"/>
  <c r="AO872" i="4"/>
  <c r="AK872" i="4"/>
  <c r="AG872" i="4"/>
  <c r="AC872" i="4"/>
  <c r="Y872" i="4"/>
  <c r="U872" i="4"/>
  <c r="Q872" i="4"/>
  <c r="M872" i="4"/>
  <c r="CN871" i="4"/>
  <c r="CJ871" i="4"/>
  <c r="CF871" i="4"/>
  <c r="CB871" i="4"/>
  <c r="BW871" i="4"/>
  <c r="BS871" i="4"/>
  <c r="BO871" i="4"/>
  <c r="BK871" i="4"/>
  <c r="BA871" i="4"/>
  <c r="AW871" i="4"/>
  <c r="AS871" i="4"/>
  <c r="AO871" i="4"/>
  <c r="AK871" i="4"/>
  <c r="AG871" i="4"/>
  <c r="AC871" i="4"/>
  <c r="Y871" i="4"/>
  <c r="U871" i="4"/>
  <c r="Q871" i="4"/>
  <c r="M871" i="4"/>
  <c r="CN870" i="4"/>
  <c r="CJ870" i="4"/>
  <c r="CF870" i="4"/>
  <c r="CB870" i="4"/>
  <c r="BW870" i="4"/>
  <c r="BS870" i="4"/>
  <c r="BO870" i="4"/>
  <c r="BK870" i="4"/>
  <c r="BA870" i="4"/>
  <c r="AW870" i="4"/>
  <c r="AS870" i="4"/>
  <c r="AO870" i="4"/>
  <c r="AK870" i="4"/>
  <c r="AG870" i="4"/>
  <c r="AC870" i="4"/>
  <c r="Y870" i="4"/>
  <c r="U870" i="4"/>
  <c r="Q870" i="4"/>
  <c r="M870" i="4"/>
  <c r="CN869" i="4"/>
  <c r="CJ869" i="4"/>
  <c r="CF869" i="4"/>
  <c r="CB869" i="4"/>
  <c r="BW869" i="4"/>
  <c r="BS869" i="4"/>
  <c r="BO869" i="4"/>
  <c r="BK869" i="4"/>
  <c r="BA869" i="4"/>
  <c r="AW869" i="4"/>
  <c r="AS869" i="4"/>
  <c r="AO869" i="4"/>
  <c r="AK869" i="4"/>
  <c r="AG869" i="4"/>
  <c r="AC869" i="4"/>
  <c r="Y869" i="4"/>
  <c r="U869" i="4"/>
  <c r="Q869" i="4"/>
  <c r="M869" i="4"/>
  <c r="CN868" i="4"/>
  <c r="CJ868" i="4"/>
  <c r="CF868" i="4"/>
  <c r="CB868" i="4"/>
  <c r="BW868" i="4"/>
  <c r="BS868" i="4"/>
  <c r="BO868" i="4"/>
  <c r="BK868" i="4"/>
  <c r="BA868" i="4"/>
  <c r="AW868" i="4"/>
  <c r="AS868" i="4"/>
  <c r="AO868" i="4"/>
  <c r="AK868" i="4"/>
  <c r="AG868" i="4"/>
  <c r="AC868" i="4"/>
  <c r="Y868" i="4"/>
  <c r="U868" i="4"/>
  <c r="Q868" i="4"/>
  <c r="M868" i="4"/>
  <c r="CN867" i="4"/>
  <c r="CJ867" i="4"/>
  <c r="CF867" i="4"/>
  <c r="CB867" i="4"/>
  <c r="BW867" i="4"/>
  <c r="BS867" i="4"/>
  <c r="BO867" i="4"/>
  <c r="BK867" i="4"/>
  <c r="BA867" i="4"/>
  <c r="AW867" i="4"/>
  <c r="AS867" i="4"/>
  <c r="AO867" i="4"/>
  <c r="AK867" i="4"/>
  <c r="AG867" i="4"/>
  <c r="AC867" i="4"/>
  <c r="Y867" i="4"/>
  <c r="U867" i="4"/>
  <c r="Q867" i="4"/>
  <c r="M867" i="4"/>
  <c r="CN866" i="4"/>
  <c r="CJ866" i="4"/>
  <c r="CF866" i="4"/>
  <c r="CB866" i="4"/>
  <c r="BW866" i="4"/>
  <c r="BS866" i="4"/>
  <c r="BO866" i="4"/>
  <c r="BK866" i="4"/>
  <c r="BA866" i="4"/>
  <c r="AW866" i="4"/>
  <c r="AS866" i="4"/>
  <c r="AO866" i="4"/>
  <c r="AK866" i="4"/>
  <c r="AG866" i="4"/>
  <c r="AC866" i="4"/>
  <c r="Y866" i="4"/>
  <c r="U866" i="4"/>
  <c r="Q866" i="4"/>
  <c r="M866" i="4"/>
  <c r="CN865" i="4"/>
  <c r="CJ865" i="4"/>
  <c r="CF865" i="4"/>
  <c r="CB865" i="4"/>
  <c r="BW865" i="4"/>
  <c r="BS865" i="4"/>
  <c r="BO865" i="4"/>
  <c r="BK865" i="4"/>
  <c r="BA865" i="4"/>
  <c r="AW865" i="4"/>
  <c r="AS865" i="4"/>
  <c r="AO865" i="4"/>
  <c r="AK865" i="4"/>
  <c r="AG865" i="4"/>
  <c r="AC865" i="4"/>
  <c r="Y865" i="4"/>
  <c r="U865" i="4"/>
  <c r="Q865" i="4"/>
  <c r="M865" i="4"/>
  <c r="CN864" i="4"/>
  <c r="CJ864" i="4"/>
  <c r="CF864" i="4"/>
  <c r="CB864" i="4"/>
  <c r="BW864" i="4"/>
  <c r="BS864" i="4"/>
  <c r="BO864" i="4"/>
  <c r="BK864" i="4"/>
  <c r="BA864" i="4"/>
  <c r="AW864" i="4"/>
  <c r="AS864" i="4"/>
  <c r="AO864" i="4"/>
  <c r="AK864" i="4"/>
  <c r="AG864" i="4"/>
  <c r="AC864" i="4"/>
  <c r="Y864" i="4"/>
  <c r="U864" i="4"/>
  <c r="Q864" i="4"/>
  <c r="M864" i="4"/>
  <c r="CN863" i="4"/>
  <c r="CJ863" i="4"/>
  <c r="CF863" i="4"/>
  <c r="CB863" i="4"/>
  <c r="BW863" i="4"/>
  <c r="BS863" i="4"/>
  <c r="BO863" i="4"/>
  <c r="BK863" i="4"/>
  <c r="BA863" i="4"/>
  <c r="AW863" i="4"/>
  <c r="AS863" i="4"/>
  <c r="AO863" i="4"/>
  <c r="AK863" i="4"/>
  <c r="AG863" i="4"/>
  <c r="AC863" i="4"/>
  <c r="Y863" i="4"/>
  <c r="U863" i="4"/>
  <c r="Q863" i="4"/>
  <c r="M863" i="4"/>
  <c r="CN862" i="4"/>
  <c r="CJ862" i="4"/>
  <c r="CF862" i="4"/>
  <c r="CB862" i="4"/>
  <c r="BW862" i="4"/>
  <c r="BS862" i="4"/>
  <c r="BO862" i="4"/>
  <c r="BK862" i="4"/>
  <c r="BA862" i="4"/>
  <c r="AW862" i="4"/>
  <c r="AS862" i="4"/>
  <c r="AO862" i="4"/>
  <c r="AK862" i="4"/>
  <c r="AG862" i="4"/>
  <c r="AC862" i="4"/>
  <c r="Y862" i="4"/>
  <c r="U862" i="4"/>
  <c r="Q862" i="4"/>
  <c r="M862" i="4"/>
  <c r="CN861" i="4"/>
  <c r="CJ861" i="4"/>
  <c r="CF861" i="4"/>
  <c r="CB861" i="4"/>
  <c r="BW861" i="4"/>
  <c r="BS861" i="4"/>
  <c r="BO861" i="4"/>
  <c r="BK861" i="4"/>
  <c r="BA861" i="4"/>
  <c r="AW861" i="4"/>
  <c r="AS861" i="4"/>
  <c r="AO861" i="4"/>
  <c r="AK861" i="4"/>
  <c r="AG861" i="4"/>
  <c r="AC861" i="4"/>
  <c r="Y861" i="4"/>
  <c r="U861" i="4"/>
  <c r="Q861" i="4"/>
  <c r="M861" i="4"/>
  <c r="CN860" i="4"/>
  <c r="CJ860" i="4"/>
  <c r="CF860" i="4"/>
  <c r="CB860" i="4"/>
  <c r="BW860" i="4"/>
  <c r="BS860" i="4"/>
  <c r="BO860" i="4"/>
  <c r="BK860" i="4"/>
  <c r="BA860" i="4"/>
  <c r="AW860" i="4"/>
  <c r="AS860" i="4"/>
  <c r="AO860" i="4"/>
  <c r="AK860" i="4"/>
  <c r="AG860" i="4"/>
  <c r="AC860" i="4"/>
  <c r="Y860" i="4"/>
  <c r="U860" i="4"/>
  <c r="Q860" i="4"/>
  <c r="M860" i="4"/>
  <c r="CN859" i="4"/>
  <c r="CJ859" i="4"/>
  <c r="CF859" i="4"/>
  <c r="CB859" i="4"/>
  <c r="BW859" i="4"/>
  <c r="BS859" i="4"/>
  <c r="BO859" i="4"/>
  <c r="BK859" i="4"/>
  <c r="BA859" i="4"/>
  <c r="AW859" i="4"/>
  <c r="AS859" i="4"/>
  <c r="AO859" i="4"/>
  <c r="AK859" i="4"/>
  <c r="AG859" i="4"/>
  <c r="AC859" i="4"/>
  <c r="Y859" i="4"/>
  <c r="U859" i="4"/>
  <c r="Q859" i="4"/>
  <c r="M859" i="4"/>
  <c r="CN858" i="4"/>
  <c r="CJ858" i="4"/>
  <c r="CF858" i="4"/>
  <c r="CB858" i="4"/>
  <c r="BW858" i="4"/>
  <c r="BS858" i="4"/>
  <c r="BO858" i="4"/>
  <c r="BK858" i="4"/>
  <c r="BA858" i="4"/>
  <c r="AW858" i="4"/>
  <c r="AS858" i="4"/>
  <c r="AO858" i="4"/>
  <c r="AK858" i="4"/>
  <c r="AG858" i="4"/>
  <c r="AC858" i="4"/>
  <c r="Y858" i="4"/>
  <c r="U858" i="4"/>
  <c r="Q858" i="4"/>
  <c r="M858" i="4"/>
  <c r="CN857" i="4"/>
  <c r="CJ857" i="4"/>
  <c r="CF857" i="4"/>
  <c r="CB857" i="4"/>
  <c r="BW857" i="4"/>
  <c r="BS857" i="4"/>
  <c r="BO857" i="4"/>
  <c r="BK857" i="4"/>
  <c r="BA857" i="4"/>
  <c r="AW857" i="4"/>
  <c r="AS857" i="4"/>
  <c r="AO857" i="4"/>
  <c r="AK857" i="4"/>
  <c r="AG857" i="4"/>
  <c r="AC857" i="4"/>
  <c r="Y857" i="4"/>
  <c r="U857" i="4"/>
  <c r="Q857" i="4"/>
  <c r="M857" i="4"/>
  <c r="CN856" i="4"/>
  <c r="CJ856" i="4"/>
  <c r="CF856" i="4"/>
  <c r="CB856" i="4"/>
  <c r="BW856" i="4"/>
  <c r="BS856" i="4"/>
  <c r="BO856" i="4"/>
  <c r="BK856" i="4"/>
  <c r="BA856" i="4"/>
  <c r="AW856" i="4"/>
  <c r="AS856" i="4"/>
  <c r="AO856" i="4"/>
  <c r="AK856" i="4"/>
  <c r="AG856" i="4"/>
  <c r="AC856" i="4"/>
  <c r="Y856" i="4"/>
  <c r="U856" i="4"/>
  <c r="Q856" i="4"/>
  <c r="M856" i="4"/>
  <c r="CN855" i="4"/>
  <c r="CJ855" i="4"/>
  <c r="CF855" i="4"/>
  <c r="CB855" i="4"/>
  <c r="BW855" i="4"/>
  <c r="BS855" i="4"/>
  <c r="BO855" i="4"/>
  <c r="BK855" i="4"/>
  <c r="BA855" i="4"/>
  <c r="AW855" i="4"/>
  <c r="AS855" i="4"/>
  <c r="AO855" i="4"/>
  <c r="AK855" i="4"/>
  <c r="AG855" i="4"/>
  <c r="AC855" i="4"/>
  <c r="Y855" i="4"/>
  <c r="U855" i="4"/>
  <c r="Q855" i="4"/>
  <c r="M855" i="4"/>
  <c r="CN854" i="4"/>
  <c r="CJ854" i="4"/>
  <c r="CF854" i="4"/>
  <c r="CB854" i="4"/>
  <c r="BW854" i="4"/>
  <c r="BS854" i="4"/>
  <c r="BO854" i="4"/>
  <c r="BK854" i="4"/>
  <c r="BA854" i="4"/>
  <c r="AW854" i="4"/>
  <c r="AS854" i="4"/>
  <c r="AO854" i="4"/>
  <c r="AK854" i="4"/>
  <c r="AG854" i="4"/>
  <c r="AC854" i="4"/>
  <c r="Y854" i="4"/>
  <c r="U854" i="4"/>
  <c r="Q854" i="4"/>
  <c r="M854" i="4"/>
  <c r="CN853" i="4"/>
  <c r="CJ853" i="4"/>
  <c r="CF853" i="4"/>
  <c r="CB853" i="4"/>
  <c r="BW853" i="4"/>
  <c r="BS853" i="4"/>
  <c r="BO853" i="4"/>
  <c r="BK853" i="4"/>
  <c r="BA853" i="4"/>
  <c r="AW853" i="4"/>
  <c r="AS853" i="4"/>
  <c r="AO853" i="4"/>
  <c r="AK853" i="4"/>
  <c r="AG853" i="4"/>
  <c r="AC853" i="4"/>
  <c r="Y853" i="4"/>
  <c r="U853" i="4"/>
  <c r="Q853" i="4"/>
  <c r="M853" i="4"/>
  <c r="CN852" i="4"/>
  <c r="CJ852" i="4"/>
  <c r="CF852" i="4"/>
  <c r="CB852" i="4"/>
  <c r="BW852" i="4"/>
  <c r="BS852" i="4"/>
  <c r="BO852" i="4"/>
  <c r="BK852" i="4"/>
  <c r="BA852" i="4"/>
  <c r="AW852" i="4"/>
  <c r="AS852" i="4"/>
  <c r="AO852" i="4"/>
  <c r="AK852" i="4"/>
  <c r="AG852" i="4"/>
  <c r="AC852" i="4"/>
  <c r="Y852" i="4"/>
  <c r="U852" i="4"/>
  <c r="Q852" i="4"/>
  <c r="M852" i="4"/>
  <c r="CN851" i="4"/>
  <c r="CJ851" i="4"/>
  <c r="CF851" i="4"/>
  <c r="CB851" i="4"/>
  <c r="BW851" i="4"/>
  <c r="BS851" i="4"/>
  <c r="BO851" i="4"/>
  <c r="BK851" i="4"/>
  <c r="BA851" i="4"/>
  <c r="AW851" i="4"/>
  <c r="AS851" i="4"/>
  <c r="AO851" i="4"/>
  <c r="AK851" i="4"/>
  <c r="AG851" i="4"/>
  <c r="AC851" i="4"/>
  <c r="Y851" i="4"/>
  <c r="U851" i="4"/>
  <c r="Q851" i="4"/>
  <c r="M851" i="4"/>
  <c r="CN850" i="4"/>
  <c r="CJ850" i="4"/>
  <c r="CF850" i="4"/>
  <c r="CB850" i="4"/>
  <c r="BW850" i="4"/>
  <c r="BS850" i="4"/>
  <c r="BO850" i="4"/>
  <c r="BK850" i="4"/>
  <c r="BA850" i="4"/>
  <c r="AW850" i="4"/>
  <c r="AS850" i="4"/>
  <c r="AO850" i="4"/>
  <c r="AK850" i="4"/>
  <c r="AG850" i="4"/>
  <c r="AC850" i="4"/>
  <c r="Y850" i="4"/>
  <c r="U850" i="4"/>
  <c r="Q850" i="4"/>
  <c r="M850" i="4"/>
  <c r="CN849" i="4"/>
  <c r="CJ849" i="4"/>
  <c r="CF849" i="4"/>
  <c r="CB849" i="4"/>
  <c r="BW849" i="4"/>
  <c r="BS849" i="4"/>
  <c r="BO849" i="4"/>
  <c r="BK849" i="4"/>
  <c r="BA849" i="4"/>
  <c r="AW849" i="4"/>
  <c r="AS849" i="4"/>
  <c r="AO849" i="4"/>
  <c r="AK849" i="4"/>
  <c r="AG849" i="4"/>
  <c r="AC849" i="4"/>
  <c r="Y849" i="4"/>
  <c r="U849" i="4"/>
  <c r="Q849" i="4"/>
  <c r="M849" i="4"/>
  <c r="CN848" i="4"/>
  <c r="CJ848" i="4"/>
  <c r="CF848" i="4"/>
  <c r="CB848" i="4"/>
  <c r="BW848" i="4"/>
  <c r="BS848" i="4"/>
  <c r="BO848" i="4"/>
  <c r="BK848" i="4"/>
  <c r="BA848" i="4"/>
  <c r="AW848" i="4"/>
  <c r="AS848" i="4"/>
  <c r="AO848" i="4"/>
  <c r="AK848" i="4"/>
  <c r="AG848" i="4"/>
  <c r="AC848" i="4"/>
  <c r="Y848" i="4"/>
  <c r="U848" i="4"/>
  <c r="Q848" i="4"/>
  <c r="M848" i="4"/>
  <c r="CN847" i="4"/>
  <c r="CJ847" i="4"/>
  <c r="CF847" i="4"/>
  <c r="CB847" i="4"/>
  <c r="BW847" i="4"/>
  <c r="BS847" i="4"/>
  <c r="BO847" i="4"/>
  <c r="BK847" i="4"/>
  <c r="BA847" i="4"/>
  <c r="AW847" i="4"/>
  <c r="AS847" i="4"/>
  <c r="AO847" i="4"/>
  <c r="AK847" i="4"/>
  <c r="AG847" i="4"/>
  <c r="AC847" i="4"/>
  <c r="Y847" i="4"/>
  <c r="U847" i="4"/>
  <c r="Q847" i="4"/>
  <c r="M847" i="4"/>
  <c r="CN846" i="4"/>
  <c r="CJ846" i="4"/>
  <c r="CF846" i="4"/>
  <c r="CB846" i="4"/>
  <c r="BW846" i="4"/>
  <c r="BS846" i="4"/>
  <c r="BO846" i="4"/>
  <c r="BK846" i="4"/>
  <c r="BA846" i="4"/>
  <c r="AW846" i="4"/>
  <c r="AS846" i="4"/>
  <c r="AO846" i="4"/>
  <c r="AK846" i="4"/>
  <c r="AG846" i="4"/>
  <c r="AC846" i="4"/>
  <c r="Y846" i="4"/>
  <c r="U846" i="4"/>
  <c r="Q846" i="4"/>
  <c r="M846" i="4"/>
  <c r="CN845" i="4"/>
  <c r="CJ845" i="4"/>
  <c r="CF845" i="4"/>
  <c r="CB845" i="4"/>
  <c r="BW845" i="4"/>
  <c r="BS845" i="4"/>
  <c r="BO845" i="4"/>
  <c r="BK845" i="4"/>
  <c r="BA845" i="4"/>
  <c r="AW845" i="4"/>
  <c r="AS845" i="4"/>
  <c r="AO845" i="4"/>
  <c r="AK845" i="4"/>
  <c r="AG845" i="4"/>
  <c r="AC845" i="4"/>
  <c r="Y845" i="4"/>
  <c r="U845" i="4"/>
  <c r="Q845" i="4"/>
  <c r="M845" i="4"/>
  <c r="CN844" i="4"/>
  <c r="CJ844" i="4"/>
  <c r="CF844" i="4"/>
  <c r="CB844" i="4"/>
  <c r="BW844" i="4"/>
  <c r="BS844" i="4"/>
  <c r="BO844" i="4"/>
  <c r="BK844" i="4"/>
  <c r="BA844" i="4"/>
  <c r="AW844" i="4"/>
  <c r="AS844" i="4"/>
  <c r="AO844" i="4"/>
  <c r="AK844" i="4"/>
  <c r="AG844" i="4"/>
  <c r="AC844" i="4"/>
  <c r="Y844" i="4"/>
  <c r="U844" i="4"/>
  <c r="Q844" i="4"/>
  <c r="M844" i="4"/>
  <c r="CN843" i="4"/>
  <c r="CJ843" i="4"/>
  <c r="CF843" i="4"/>
  <c r="CB843" i="4"/>
  <c r="BW843" i="4"/>
  <c r="BS843" i="4"/>
  <c r="BO843" i="4"/>
  <c r="BK843" i="4"/>
  <c r="BA843" i="4"/>
  <c r="AW843" i="4"/>
  <c r="AS843" i="4"/>
  <c r="AO843" i="4"/>
  <c r="AK843" i="4"/>
  <c r="AG843" i="4"/>
  <c r="AC843" i="4"/>
  <c r="Y843" i="4"/>
  <c r="U843" i="4"/>
  <c r="Q843" i="4"/>
  <c r="M843" i="4"/>
  <c r="CN842" i="4"/>
  <c r="CJ842" i="4"/>
  <c r="CF842" i="4"/>
  <c r="CB842" i="4"/>
  <c r="BW842" i="4"/>
  <c r="BS842" i="4"/>
  <c r="BO842" i="4"/>
  <c r="BK842" i="4"/>
  <c r="BA842" i="4"/>
  <c r="AW842" i="4"/>
  <c r="AS842" i="4"/>
  <c r="AO842" i="4"/>
  <c r="AK842" i="4"/>
  <c r="AG842" i="4"/>
  <c r="AC842" i="4"/>
  <c r="Y842" i="4"/>
  <c r="U842" i="4"/>
  <c r="Q842" i="4"/>
  <c r="M842" i="4"/>
  <c r="CN841" i="4"/>
  <c r="CJ841" i="4"/>
  <c r="CF841" i="4"/>
  <c r="CB841" i="4"/>
  <c r="BW841" i="4"/>
  <c r="BS841" i="4"/>
  <c r="BO841" i="4"/>
  <c r="BK841" i="4"/>
  <c r="BA841" i="4"/>
  <c r="AW841" i="4"/>
  <c r="AS841" i="4"/>
  <c r="AO841" i="4"/>
  <c r="AK841" i="4"/>
  <c r="AG841" i="4"/>
  <c r="AC841" i="4"/>
  <c r="Y841" i="4"/>
  <c r="U841" i="4"/>
  <c r="Q841" i="4"/>
  <c r="M841" i="4"/>
  <c r="CN840" i="4"/>
  <c r="CJ840" i="4"/>
  <c r="CF840" i="4"/>
  <c r="CB840" i="4"/>
  <c r="BW840" i="4"/>
  <c r="BS840" i="4"/>
  <c r="BO840" i="4"/>
  <c r="BK840" i="4"/>
  <c r="BA840" i="4"/>
  <c r="AW840" i="4"/>
  <c r="AS840" i="4"/>
  <c r="AO840" i="4"/>
  <c r="AK840" i="4"/>
  <c r="AG840" i="4"/>
  <c r="AC840" i="4"/>
  <c r="Y840" i="4"/>
  <c r="U840" i="4"/>
  <c r="Q840" i="4"/>
  <c r="M840" i="4"/>
  <c r="CN839" i="4"/>
  <c r="CJ839" i="4"/>
  <c r="CF839" i="4"/>
  <c r="CB839" i="4"/>
  <c r="BW839" i="4"/>
  <c r="BS839" i="4"/>
  <c r="BO839" i="4"/>
  <c r="BK839" i="4"/>
  <c r="BA839" i="4"/>
  <c r="AW839" i="4"/>
  <c r="AS839" i="4"/>
  <c r="AO839" i="4"/>
  <c r="AK839" i="4"/>
  <c r="AG839" i="4"/>
  <c r="AC839" i="4"/>
  <c r="Y839" i="4"/>
  <c r="U839" i="4"/>
  <c r="Q839" i="4"/>
  <c r="M839" i="4"/>
  <c r="CN838" i="4"/>
  <c r="CJ838" i="4"/>
  <c r="CF838" i="4"/>
  <c r="CB838" i="4"/>
  <c r="BW838" i="4"/>
  <c r="BS838" i="4"/>
  <c r="BO838" i="4"/>
  <c r="BK838" i="4"/>
  <c r="BA838" i="4"/>
  <c r="AW838" i="4"/>
  <c r="AS838" i="4"/>
  <c r="AO838" i="4"/>
  <c r="AK838" i="4"/>
  <c r="AG838" i="4"/>
  <c r="AC838" i="4"/>
  <c r="Y838" i="4"/>
  <c r="U838" i="4"/>
  <c r="Q838" i="4"/>
  <c r="M838" i="4"/>
  <c r="CN837" i="4"/>
  <c r="CJ837" i="4"/>
  <c r="CF837" i="4"/>
  <c r="CB837" i="4"/>
  <c r="BW837" i="4"/>
  <c r="BS837" i="4"/>
  <c r="BO837" i="4"/>
  <c r="BK837" i="4"/>
  <c r="BA837" i="4"/>
  <c r="AW837" i="4"/>
  <c r="AS837" i="4"/>
  <c r="AO837" i="4"/>
  <c r="AK837" i="4"/>
  <c r="AG837" i="4"/>
  <c r="AC837" i="4"/>
  <c r="Y837" i="4"/>
  <c r="U837" i="4"/>
  <c r="Q837" i="4"/>
  <c r="M837" i="4"/>
  <c r="CN836" i="4"/>
  <c r="CJ836" i="4"/>
  <c r="CF836" i="4"/>
  <c r="CB836" i="4"/>
  <c r="BW836" i="4"/>
  <c r="BS836" i="4"/>
  <c r="BO836" i="4"/>
  <c r="BK836" i="4"/>
  <c r="BA836" i="4"/>
  <c r="AW836" i="4"/>
  <c r="AS836" i="4"/>
  <c r="AO836" i="4"/>
  <c r="AK836" i="4"/>
  <c r="AG836" i="4"/>
  <c r="AC836" i="4"/>
  <c r="Y836" i="4"/>
  <c r="U836" i="4"/>
  <c r="Q836" i="4"/>
  <c r="M836" i="4"/>
  <c r="CN835" i="4"/>
  <c r="CJ835" i="4"/>
  <c r="CF835" i="4"/>
  <c r="CB835" i="4"/>
  <c r="BW835" i="4"/>
  <c r="BS835" i="4"/>
  <c r="BO835" i="4"/>
  <c r="BK835" i="4"/>
  <c r="BA835" i="4"/>
  <c r="AW835" i="4"/>
  <c r="AS835" i="4"/>
  <c r="AO835" i="4"/>
  <c r="AK835" i="4"/>
  <c r="AG835" i="4"/>
  <c r="AC835" i="4"/>
  <c r="Y835" i="4"/>
  <c r="U835" i="4"/>
  <c r="Q835" i="4"/>
  <c r="M835" i="4"/>
  <c r="CN834" i="4"/>
  <c r="CJ834" i="4"/>
  <c r="CF834" i="4"/>
  <c r="CB834" i="4"/>
  <c r="BW834" i="4"/>
  <c r="BS834" i="4"/>
  <c r="BO834" i="4"/>
  <c r="BK834" i="4"/>
  <c r="BA834" i="4"/>
  <c r="AW834" i="4"/>
  <c r="AS834" i="4"/>
  <c r="AO834" i="4"/>
  <c r="AK834" i="4"/>
  <c r="AG834" i="4"/>
  <c r="AC834" i="4"/>
  <c r="Y834" i="4"/>
  <c r="U834" i="4"/>
  <c r="Q834" i="4"/>
  <c r="M834" i="4"/>
  <c r="CN833" i="4"/>
  <c r="CJ833" i="4"/>
  <c r="CF833" i="4"/>
  <c r="CB833" i="4"/>
  <c r="BW833" i="4"/>
  <c r="BS833" i="4"/>
  <c r="BO833" i="4"/>
  <c r="BK833" i="4"/>
  <c r="BA833" i="4"/>
  <c r="AW833" i="4"/>
  <c r="AS833" i="4"/>
  <c r="AO833" i="4"/>
  <c r="AK833" i="4"/>
  <c r="AG833" i="4"/>
  <c r="AC833" i="4"/>
  <c r="Y833" i="4"/>
  <c r="U833" i="4"/>
  <c r="Q833" i="4"/>
  <c r="M833" i="4"/>
  <c r="CN832" i="4"/>
  <c r="CJ832" i="4"/>
  <c r="CF832" i="4"/>
  <c r="CB832" i="4"/>
  <c r="BW832" i="4"/>
  <c r="BS832" i="4"/>
  <c r="BO832" i="4"/>
  <c r="BK832" i="4"/>
  <c r="BA832" i="4"/>
  <c r="AW832" i="4"/>
  <c r="AS832" i="4"/>
  <c r="AO832" i="4"/>
  <c r="AK832" i="4"/>
  <c r="AG832" i="4"/>
  <c r="AC832" i="4"/>
  <c r="Y832" i="4"/>
  <c r="U832" i="4"/>
  <c r="Q832" i="4"/>
  <c r="M832" i="4"/>
  <c r="CN831" i="4"/>
  <c r="CJ831" i="4"/>
  <c r="CF831" i="4"/>
  <c r="CB831" i="4"/>
  <c r="BW831" i="4"/>
  <c r="BS831" i="4"/>
  <c r="BO831" i="4"/>
  <c r="BK831" i="4"/>
  <c r="BA831" i="4"/>
  <c r="AW831" i="4"/>
  <c r="AS831" i="4"/>
  <c r="AO831" i="4"/>
  <c r="AK831" i="4"/>
  <c r="AG831" i="4"/>
  <c r="AC831" i="4"/>
  <c r="Y831" i="4"/>
  <c r="U831" i="4"/>
  <c r="Q831" i="4"/>
  <c r="M831" i="4"/>
  <c r="CN830" i="4"/>
  <c r="CJ830" i="4"/>
  <c r="CF830" i="4"/>
  <c r="CB830" i="4"/>
  <c r="BW830" i="4"/>
  <c r="BS830" i="4"/>
  <c r="BO830" i="4"/>
  <c r="BK830" i="4"/>
  <c r="BA830" i="4"/>
  <c r="AW830" i="4"/>
  <c r="AS830" i="4"/>
  <c r="AO830" i="4"/>
  <c r="AK830" i="4"/>
  <c r="AG830" i="4"/>
  <c r="AC830" i="4"/>
  <c r="Y830" i="4"/>
  <c r="U830" i="4"/>
  <c r="Q830" i="4"/>
  <c r="M830" i="4"/>
  <c r="CN829" i="4"/>
  <c r="CJ829" i="4"/>
  <c r="CF829" i="4"/>
  <c r="CB829" i="4"/>
  <c r="BW829" i="4"/>
  <c r="BS829" i="4"/>
  <c r="BO829" i="4"/>
  <c r="BK829" i="4"/>
  <c r="BA829" i="4"/>
  <c r="AW829" i="4"/>
  <c r="AS829" i="4"/>
  <c r="AO829" i="4"/>
  <c r="AK829" i="4"/>
  <c r="AG829" i="4"/>
  <c r="AC829" i="4"/>
  <c r="Y829" i="4"/>
  <c r="U829" i="4"/>
  <c r="Q829" i="4"/>
  <c r="M829" i="4"/>
  <c r="CN828" i="4"/>
  <c r="CJ828" i="4"/>
  <c r="CF828" i="4"/>
  <c r="CB828" i="4"/>
  <c r="BW828" i="4"/>
  <c r="BS828" i="4"/>
  <c r="BO828" i="4"/>
  <c r="BK828" i="4"/>
  <c r="BA828" i="4"/>
  <c r="AW828" i="4"/>
  <c r="AS828" i="4"/>
  <c r="AO828" i="4"/>
  <c r="AK828" i="4"/>
  <c r="AG828" i="4"/>
  <c r="AC828" i="4"/>
  <c r="Y828" i="4"/>
  <c r="U828" i="4"/>
  <c r="Q828" i="4"/>
  <c r="M828" i="4"/>
  <c r="CN827" i="4"/>
  <c r="CJ827" i="4"/>
  <c r="CF827" i="4"/>
  <c r="CB827" i="4"/>
  <c r="BW827" i="4"/>
  <c r="BS827" i="4"/>
  <c r="BO827" i="4"/>
  <c r="BK827" i="4"/>
  <c r="BA827" i="4"/>
  <c r="AW827" i="4"/>
  <c r="AS827" i="4"/>
  <c r="AO827" i="4"/>
  <c r="AK827" i="4"/>
  <c r="AG827" i="4"/>
  <c r="AC827" i="4"/>
  <c r="Y827" i="4"/>
  <c r="U827" i="4"/>
  <c r="Q827" i="4"/>
  <c r="M827" i="4"/>
  <c r="CN826" i="4"/>
  <c r="CJ826" i="4"/>
  <c r="CF826" i="4"/>
  <c r="CB826" i="4"/>
  <c r="BW826" i="4"/>
  <c r="BS826" i="4"/>
  <c r="BO826" i="4"/>
  <c r="BK826" i="4"/>
  <c r="BA826" i="4"/>
  <c r="AW826" i="4"/>
  <c r="AS826" i="4"/>
  <c r="AO826" i="4"/>
  <c r="AK826" i="4"/>
  <c r="AG826" i="4"/>
  <c r="AC826" i="4"/>
  <c r="Y826" i="4"/>
  <c r="U826" i="4"/>
  <c r="Q826" i="4"/>
  <c r="M826" i="4"/>
  <c r="CN825" i="4"/>
  <c r="CJ825" i="4"/>
  <c r="CF825" i="4"/>
  <c r="CB825" i="4"/>
  <c r="BW825" i="4"/>
  <c r="BS825" i="4"/>
  <c r="BO825" i="4"/>
  <c r="BK825" i="4"/>
  <c r="BA825" i="4"/>
  <c r="AW825" i="4"/>
  <c r="AS825" i="4"/>
  <c r="AO825" i="4"/>
  <c r="AK825" i="4"/>
  <c r="AG825" i="4"/>
  <c r="AC825" i="4"/>
  <c r="Y825" i="4"/>
  <c r="U825" i="4"/>
  <c r="Q825" i="4"/>
  <c r="M825" i="4"/>
  <c r="CN824" i="4"/>
  <c r="CJ824" i="4"/>
  <c r="CF824" i="4"/>
  <c r="CB824" i="4"/>
  <c r="BW824" i="4"/>
  <c r="BS824" i="4"/>
  <c r="BO824" i="4"/>
  <c r="BK824" i="4"/>
  <c r="BA824" i="4"/>
  <c r="AW824" i="4"/>
  <c r="AS824" i="4"/>
  <c r="AO824" i="4"/>
  <c r="AK824" i="4"/>
  <c r="AG824" i="4"/>
  <c r="AC824" i="4"/>
  <c r="Y824" i="4"/>
  <c r="U824" i="4"/>
  <c r="Q824" i="4"/>
  <c r="M824" i="4"/>
  <c r="CN823" i="4"/>
  <c r="CJ823" i="4"/>
  <c r="CF823" i="4"/>
  <c r="CB823" i="4"/>
  <c r="BW823" i="4"/>
  <c r="BS823" i="4"/>
  <c r="BO823" i="4"/>
  <c r="BK823" i="4"/>
  <c r="BA823" i="4"/>
  <c r="AW823" i="4"/>
  <c r="AS823" i="4"/>
  <c r="AO823" i="4"/>
  <c r="AK823" i="4"/>
  <c r="AG823" i="4"/>
  <c r="AC823" i="4"/>
  <c r="Y823" i="4"/>
  <c r="U823" i="4"/>
  <c r="Q823" i="4"/>
  <c r="M823" i="4"/>
  <c r="CN822" i="4"/>
  <c r="CJ822" i="4"/>
  <c r="CF822" i="4"/>
  <c r="CB822" i="4"/>
  <c r="BW822" i="4"/>
  <c r="BS822" i="4"/>
  <c r="BO822" i="4"/>
  <c r="BK822" i="4"/>
  <c r="BA822" i="4"/>
  <c r="AW822" i="4"/>
  <c r="AS822" i="4"/>
  <c r="AO822" i="4"/>
  <c r="AK822" i="4"/>
  <c r="AG822" i="4"/>
  <c r="AC822" i="4"/>
  <c r="Y822" i="4"/>
  <c r="U822" i="4"/>
  <c r="Q822" i="4"/>
  <c r="M822" i="4"/>
  <c r="CN821" i="4"/>
  <c r="CJ821" i="4"/>
  <c r="CF821" i="4"/>
  <c r="CB821" i="4"/>
  <c r="BW821" i="4"/>
  <c r="BS821" i="4"/>
  <c r="BO821" i="4"/>
  <c r="BK821" i="4"/>
  <c r="BA821" i="4"/>
  <c r="AW821" i="4"/>
  <c r="AS821" i="4"/>
  <c r="AO821" i="4"/>
  <c r="AK821" i="4"/>
  <c r="AG821" i="4"/>
  <c r="AC821" i="4"/>
  <c r="Y821" i="4"/>
  <c r="U821" i="4"/>
  <c r="Q821" i="4"/>
  <c r="M821" i="4"/>
  <c r="CN820" i="4"/>
  <c r="CJ820" i="4"/>
  <c r="CF820" i="4"/>
  <c r="CB820" i="4"/>
  <c r="BW820" i="4"/>
  <c r="BS820" i="4"/>
  <c r="BO820" i="4"/>
  <c r="BK820" i="4"/>
  <c r="BA820" i="4"/>
  <c r="AW820" i="4"/>
  <c r="AS820" i="4"/>
  <c r="AO820" i="4"/>
  <c r="AK820" i="4"/>
  <c r="AG820" i="4"/>
  <c r="AC820" i="4"/>
  <c r="Y820" i="4"/>
  <c r="U820" i="4"/>
  <c r="Q820" i="4"/>
  <c r="M820" i="4"/>
  <c r="CN819" i="4"/>
  <c r="CJ819" i="4"/>
  <c r="CF819" i="4"/>
  <c r="CB819" i="4"/>
  <c r="BW819" i="4"/>
  <c r="BS819" i="4"/>
  <c r="BO819" i="4"/>
  <c r="BK819" i="4"/>
  <c r="BA819" i="4"/>
  <c r="AW819" i="4"/>
  <c r="AS819" i="4"/>
  <c r="AO819" i="4"/>
  <c r="AK819" i="4"/>
  <c r="AG819" i="4"/>
  <c r="AC819" i="4"/>
  <c r="Y819" i="4"/>
  <c r="U819" i="4"/>
  <c r="Q819" i="4"/>
  <c r="M819" i="4"/>
  <c r="CN818" i="4"/>
  <c r="CJ818" i="4"/>
  <c r="CF818" i="4"/>
  <c r="CB818" i="4"/>
  <c r="BW818" i="4"/>
  <c r="BS818" i="4"/>
  <c r="BO818" i="4"/>
  <c r="BK818" i="4"/>
  <c r="BA818" i="4"/>
  <c r="AW818" i="4"/>
  <c r="AS818" i="4"/>
  <c r="AO818" i="4"/>
  <c r="AK818" i="4"/>
  <c r="AG818" i="4"/>
  <c r="AC818" i="4"/>
  <c r="Y818" i="4"/>
  <c r="U818" i="4"/>
  <c r="Q818" i="4"/>
  <c r="M818" i="4"/>
  <c r="CN817" i="4"/>
  <c r="CJ817" i="4"/>
  <c r="CF817" i="4"/>
  <c r="CB817" i="4"/>
  <c r="BW817" i="4"/>
  <c r="BS817" i="4"/>
  <c r="BO817" i="4"/>
  <c r="BK817" i="4"/>
  <c r="BA817" i="4"/>
  <c r="AW817" i="4"/>
  <c r="AS817" i="4"/>
  <c r="AO817" i="4"/>
  <c r="AK817" i="4"/>
  <c r="AG817" i="4"/>
  <c r="AC817" i="4"/>
  <c r="Y817" i="4"/>
  <c r="U817" i="4"/>
  <c r="Q817" i="4"/>
  <c r="M817" i="4"/>
  <c r="CN816" i="4"/>
  <c r="CJ816" i="4"/>
  <c r="CF816" i="4"/>
  <c r="CB816" i="4"/>
  <c r="BW816" i="4"/>
  <c r="BS816" i="4"/>
  <c r="BO816" i="4"/>
  <c r="BK816" i="4"/>
  <c r="BA816" i="4"/>
  <c r="AW816" i="4"/>
  <c r="AS816" i="4"/>
  <c r="AO816" i="4"/>
  <c r="AK816" i="4"/>
  <c r="AG816" i="4"/>
  <c r="AC816" i="4"/>
  <c r="Y816" i="4"/>
  <c r="U816" i="4"/>
  <c r="Q816" i="4"/>
  <c r="M816" i="4"/>
  <c r="CN815" i="4"/>
  <c r="CJ815" i="4"/>
  <c r="CF815" i="4"/>
  <c r="CB815" i="4"/>
  <c r="BW815" i="4"/>
  <c r="BS815" i="4"/>
  <c r="BO815" i="4"/>
  <c r="BK815" i="4"/>
  <c r="BA815" i="4"/>
  <c r="AW815" i="4"/>
  <c r="AS815" i="4"/>
  <c r="AO815" i="4"/>
  <c r="AK815" i="4"/>
  <c r="AG815" i="4"/>
  <c r="AC815" i="4"/>
  <c r="Y815" i="4"/>
  <c r="U815" i="4"/>
  <c r="Q815" i="4"/>
  <c r="M815" i="4"/>
  <c r="CN814" i="4"/>
  <c r="CJ814" i="4"/>
  <c r="CF814" i="4"/>
  <c r="CB814" i="4"/>
  <c r="BW814" i="4"/>
  <c r="BS814" i="4"/>
  <c r="BO814" i="4"/>
  <c r="BK814" i="4"/>
  <c r="BA814" i="4"/>
  <c r="AW814" i="4"/>
  <c r="AS814" i="4"/>
  <c r="AO814" i="4"/>
  <c r="AK814" i="4"/>
  <c r="AG814" i="4"/>
  <c r="AC814" i="4"/>
  <c r="Y814" i="4"/>
  <c r="U814" i="4"/>
  <c r="Q814" i="4"/>
  <c r="M814" i="4"/>
  <c r="CN813" i="4"/>
  <c r="CJ813" i="4"/>
  <c r="CF813" i="4"/>
  <c r="CB813" i="4"/>
  <c r="BW813" i="4"/>
  <c r="BS813" i="4"/>
  <c r="BO813" i="4"/>
  <c r="BK813" i="4"/>
  <c r="BA813" i="4"/>
  <c r="AW813" i="4"/>
  <c r="AS813" i="4"/>
  <c r="AO813" i="4"/>
  <c r="AK813" i="4"/>
  <c r="AG813" i="4"/>
  <c r="AC813" i="4"/>
  <c r="Y813" i="4"/>
  <c r="U813" i="4"/>
  <c r="Q813" i="4"/>
  <c r="M813" i="4"/>
  <c r="CN812" i="4"/>
  <c r="CJ812" i="4"/>
  <c r="CF812" i="4"/>
  <c r="CB812" i="4"/>
  <c r="BW812" i="4"/>
  <c r="BS812" i="4"/>
  <c r="BO812" i="4"/>
  <c r="BK812" i="4"/>
  <c r="BA812" i="4"/>
  <c r="AW812" i="4"/>
  <c r="AS812" i="4"/>
  <c r="AO812" i="4"/>
  <c r="AK812" i="4"/>
  <c r="AG812" i="4"/>
  <c r="AC812" i="4"/>
  <c r="Y812" i="4"/>
  <c r="U812" i="4"/>
  <c r="Q812" i="4"/>
  <c r="M812" i="4"/>
  <c r="CN811" i="4"/>
  <c r="CJ811" i="4"/>
  <c r="CF811" i="4"/>
  <c r="CB811" i="4"/>
  <c r="BW811" i="4"/>
  <c r="BS811" i="4"/>
  <c r="BO811" i="4"/>
  <c r="BK811" i="4"/>
  <c r="BA811" i="4"/>
  <c r="AW811" i="4"/>
  <c r="AS811" i="4"/>
  <c r="AO811" i="4"/>
  <c r="AK811" i="4"/>
  <c r="AG811" i="4"/>
  <c r="AC811" i="4"/>
  <c r="Y811" i="4"/>
  <c r="U811" i="4"/>
  <c r="Q811" i="4"/>
  <c r="M811" i="4"/>
  <c r="CN810" i="4"/>
  <c r="CJ810" i="4"/>
  <c r="CF810" i="4"/>
  <c r="CB810" i="4"/>
  <c r="BW810" i="4"/>
  <c r="BS810" i="4"/>
  <c r="BO810" i="4"/>
  <c r="BK810" i="4"/>
  <c r="BA810" i="4"/>
  <c r="AW810" i="4"/>
  <c r="AS810" i="4"/>
  <c r="AO810" i="4"/>
  <c r="AK810" i="4"/>
  <c r="AG810" i="4"/>
  <c r="AC810" i="4"/>
  <c r="Y810" i="4"/>
  <c r="U810" i="4"/>
  <c r="Q810" i="4"/>
  <c r="M810" i="4"/>
  <c r="CN809" i="4"/>
  <c r="CJ809" i="4"/>
  <c r="CF809" i="4"/>
  <c r="CB809" i="4"/>
  <c r="BW809" i="4"/>
  <c r="BS809" i="4"/>
  <c r="BO809" i="4"/>
  <c r="BK809" i="4"/>
  <c r="BA809" i="4"/>
  <c r="AW809" i="4"/>
  <c r="AS809" i="4"/>
  <c r="AO809" i="4"/>
  <c r="AK809" i="4"/>
  <c r="AG809" i="4"/>
  <c r="AC809" i="4"/>
  <c r="Y809" i="4"/>
  <c r="U809" i="4"/>
  <c r="Q809" i="4"/>
  <c r="M809" i="4"/>
  <c r="CN808" i="4"/>
  <c r="CJ808" i="4"/>
  <c r="CF808" i="4"/>
  <c r="CB808" i="4"/>
  <c r="BW808" i="4"/>
  <c r="BS808" i="4"/>
  <c r="BO808" i="4"/>
  <c r="BK808" i="4"/>
  <c r="BA808" i="4"/>
  <c r="AW808" i="4"/>
  <c r="AS808" i="4"/>
  <c r="AO808" i="4"/>
  <c r="AK808" i="4"/>
  <c r="AG808" i="4"/>
  <c r="AC808" i="4"/>
  <c r="Y808" i="4"/>
  <c r="U808" i="4"/>
  <c r="Q808" i="4"/>
  <c r="M808" i="4"/>
  <c r="CN807" i="4"/>
  <c r="CJ807" i="4"/>
  <c r="CF807" i="4"/>
  <c r="CB807" i="4"/>
  <c r="BW807" i="4"/>
  <c r="BS807" i="4"/>
  <c r="BO807" i="4"/>
  <c r="BK807" i="4"/>
  <c r="BA807" i="4"/>
  <c r="AW807" i="4"/>
  <c r="AS807" i="4"/>
  <c r="AO807" i="4"/>
  <c r="AK807" i="4"/>
  <c r="AG807" i="4"/>
  <c r="AC807" i="4"/>
  <c r="Y807" i="4"/>
  <c r="U807" i="4"/>
  <c r="Q807" i="4"/>
  <c r="M807" i="4"/>
  <c r="CN806" i="4"/>
  <c r="CJ806" i="4"/>
  <c r="CF806" i="4"/>
  <c r="CB806" i="4"/>
  <c r="BW806" i="4"/>
  <c r="BS806" i="4"/>
  <c r="BO806" i="4"/>
  <c r="BK806" i="4"/>
  <c r="BA806" i="4"/>
  <c r="AW806" i="4"/>
  <c r="AS806" i="4"/>
  <c r="AO806" i="4"/>
  <c r="AK806" i="4"/>
  <c r="AG806" i="4"/>
  <c r="AC806" i="4"/>
  <c r="Y806" i="4"/>
  <c r="U806" i="4"/>
  <c r="Q806" i="4"/>
  <c r="M806" i="4"/>
  <c r="CN805" i="4"/>
  <c r="CJ805" i="4"/>
  <c r="CF805" i="4"/>
  <c r="CB805" i="4"/>
  <c r="BW805" i="4"/>
  <c r="BS805" i="4"/>
  <c r="BO805" i="4"/>
  <c r="BK805" i="4"/>
  <c r="BA805" i="4"/>
  <c r="AW805" i="4"/>
  <c r="AS805" i="4"/>
  <c r="AO805" i="4"/>
  <c r="AK805" i="4"/>
  <c r="AG805" i="4"/>
  <c r="AC805" i="4"/>
  <c r="Y805" i="4"/>
  <c r="U805" i="4"/>
  <c r="Q805" i="4"/>
  <c r="M805" i="4"/>
  <c r="CN804" i="4"/>
  <c r="CJ804" i="4"/>
  <c r="CF804" i="4"/>
  <c r="CB804" i="4"/>
  <c r="BW804" i="4"/>
  <c r="BS804" i="4"/>
  <c r="BO804" i="4"/>
  <c r="BK804" i="4"/>
  <c r="BA804" i="4"/>
  <c r="AW804" i="4"/>
  <c r="AS804" i="4"/>
  <c r="AO804" i="4"/>
  <c r="AK804" i="4"/>
  <c r="AG804" i="4"/>
  <c r="AC804" i="4"/>
  <c r="Y804" i="4"/>
  <c r="U804" i="4"/>
  <c r="Q804" i="4"/>
  <c r="M804" i="4"/>
  <c r="CN803" i="4"/>
  <c r="CJ803" i="4"/>
  <c r="CF803" i="4"/>
  <c r="CB803" i="4"/>
  <c r="BW803" i="4"/>
  <c r="BS803" i="4"/>
  <c r="BO803" i="4"/>
  <c r="BK803" i="4"/>
  <c r="BA803" i="4"/>
  <c r="AW803" i="4"/>
  <c r="AS803" i="4"/>
  <c r="AO803" i="4"/>
  <c r="AK803" i="4"/>
  <c r="AG803" i="4"/>
  <c r="AC803" i="4"/>
  <c r="Y803" i="4"/>
  <c r="U803" i="4"/>
  <c r="Q803" i="4"/>
  <c r="M803" i="4"/>
  <c r="CN802" i="4"/>
  <c r="CJ802" i="4"/>
  <c r="CF802" i="4"/>
  <c r="CB802" i="4"/>
  <c r="BW802" i="4"/>
  <c r="BS802" i="4"/>
  <c r="BO802" i="4"/>
  <c r="BK802" i="4"/>
  <c r="BA802" i="4"/>
  <c r="AW802" i="4"/>
  <c r="AS802" i="4"/>
  <c r="AO802" i="4"/>
  <c r="AK802" i="4"/>
  <c r="AG802" i="4"/>
  <c r="AC802" i="4"/>
  <c r="Y802" i="4"/>
  <c r="U802" i="4"/>
  <c r="Q802" i="4"/>
  <c r="M802" i="4"/>
  <c r="CN801" i="4"/>
  <c r="CJ801" i="4"/>
  <c r="CF801" i="4"/>
  <c r="CB801" i="4"/>
  <c r="BW801" i="4"/>
  <c r="BS801" i="4"/>
  <c r="BO801" i="4"/>
  <c r="BK801" i="4"/>
  <c r="BA801" i="4"/>
  <c r="AW801" i="4"/>
  <c r="AS801" i="4"/>
  <c r="AO801" i="4"/>
  <c r="AK801" i="4"/>
  <c r="AG801" i="4"/>
  <c r="AC801" i="4"/>
  <c r="Y801" i="4"/>
  <c r="U801" i="4"/>
  <c r="Q801" i="4"/>
  <c r="M801" i="4"/>
  <c r="CN800" i="4"/>
  <c r="CJ800" i="4"/>
  <c r="CF800" i="4"/>
  <c r="CB800" i="4"/>
  <c r="BW800" i="4"/>
  <c r="BS800" i="4"/>
  <c r="BO800" i="4"/>
  <c r="BK800" i="4"/>
  <c r="BA800" i="4"/>
  <c r="AW800" i="4"/>
  <c r="AS800" i="4"/>
  <c r="AO800" i="4"/>
  <c r="AK800" i="4"/>
  <c r="AG800" i="4"/>
  <c r="AC800" i="4"/>
  <c r="Y800" i="4"/>
  <c r="U800" i="4"/>
  <c r="Q800" i="4"/>
  <c r="M800" i="4"/>
  <c r="CN799" i="4"/>
  <c r="CJ799" i="4"/>
  <c r="CF799" i="4"/>
  <c r="CB799" i="4"/>
  <c r="BW799" i="4"/>
  <c r="BS799" i="4"/>
  <c r="BO799" i="4"/>
  <c r="BK799" i="4"/>
  <c r="BA799" i="4"/>
  <c r="AW799" i="4"/>
  <c r="AS799" i="4"/>
  <c r="AO799" i="4"/>
  <c r="AK799" i="4"/>
  <c r="AG799" i="4"/>
  <c r="AC799" i="4"/>
  <c r="Y799" i="4"/>
  <c r="U799" i="4"/>
  <c r="Q799" i="4"/>
  <c r="M799" i="4"/>
  <c r="CN798" i="4"/>
  <c r="CJ798" i="4"/>
  <c r="CF798" i="4"/>
  <c r="CB798" i="4"/>
  <c r="BW798" i="4"/>
  <c r="BS798" i="4"/>
  <c r="BO798" i="4"/>
  <c r="BK798" i="4"/>
  <c r="BA798" i="4"/>
  <c r="AW798" i="4"/>
  <c r="AS798" i="4"/>
  <c r="AO798" i="4"/>
  <c r="AK798" i="4"/>
  <c r="AG798" i="4"/>
  <c r="AC798" i="4"/>
  <c r="Y798" i="4"/>
  <c r="U798" i="4"/>
  <c r="Q798" i="4"/>
  <c r="M798" i="4"/>
  <c r="CN797" i="4"/>
  <c r="CJ797" i="4"/>
  <c r="CF797" i="4"/>
  <c r="CB797" i="4"/>
  <c r="BW797" i="4"/>
  <c r="BS797" i="4"/>
  <c r="BO797" i="4"/>
  <c r="BK797" i="4"/>
  <c r="BA797" i="4"/>
  <c r="AW797" i="4"/>
  <c r="AS797" i="4"/>
  <c r="AO797" i="4"/>
  <c r="AK797" i="4"/>
  <c r="AG797" i="4"/>
  <c r="AC797" i="4"/>
  <c r="Y797" i="4"/>
  <c r="U797" i="4"/>
  <c r="Q797" i="4"/>
  <c r="M797" i="4"/>
  <c r="CN796" i="4"/>
  <c r="CJ796" i="4"/>
  <c r="CF796" i="4"/>
  <c r="CB796" i="4"/>
  <c r="BW796" i="4"/>
  <c r="BS796" i="4"/>
  <c r="BO796" i="4"/>
  <c r="BK796" i="4"/>
  <c r="BA796" i="4"/>
  <c r="AW796" i="4"/>
  <c r="AS796" i="4"/>
  <c r="AO796" i="4"/>
  <c r="AK796" i="4"/>
  <c r="AG796" i="4"/>
  <c r="AC796" i="4"/>
  <c r="Y796" i="4"/>
  <c r="U796" i="4"/>
  <c r="Q796" i="4"/>
  <c r="M796" i="4"/>
  <c r="CN795" i="4"/>
  <c r="CJ795" i="4"/>
  <c r="CF795" i="4"/>
  <c r="CB795" i="4"/>
  <c r="BW795" i="4"/>
  <c r="BS795" i="4"/>
  <c r="BO795" i="4"/>
  <c r="BK795" i="4"/>
  <c r="BA795" i="4"/>
  <c r="AW795" i="4"/>
  <c r="AS795" i="4"/>
  <c r="AO795" i="4"/>
  <c r="AK795" i="4"/>
  <c r="AG795" i="4"/>
  <c r="AC795" i="4"/>
  <c r="Y795" i="4"/>
  <c r="U795" i="4"/>
  <c r="Q795" i="4"/>
  <c r="M795" i="4"/>
  <c r="CN794" i="4"/>
  <c r="CJ794" i="4"/>
  <c r="CF794" i="4"/>
  <c r="CB794" i="4"/>
  <c r="BW794" i="4"/>
  <c r="BS794" i="4"/>
  <c r="BO794" i="4"/>
  <c r="BK794" i="4"/>
  <c r="BA794" i="4"/>
  <c r="AW794" i="4"/>
  <c r="AS794" i="4"/>
  <c r="AO794" i="4"/>
  <c r="AK794" i="4"/>
  <c r="AG794" i="4"/>
  <c r="AC794" i="4"/>
  <c r="Y794" i="4"/>
  <c r="U794" i="4"/>
  <c r="Q794" i="4"/>
  <c r="M794" i="4"/>
  <c r="CN793" i="4"/>
  <c r="CJ793" i="4"/>
  <c r="CF793" i="4"/>
  <c r="CB793" i="4"/>
  <c r="BW793" i="4"/>
  <c r="BS793" i="4"/>
  <c r="BO793" i="4"/>
  <c r="BK793" i="4"/>
  <c r="BA793" i="4"/>
  <c r="AW793" i="4"/>
  <c r="AS793" i="4"/>
  <c r="AO793" i="4"/>
  <c r="AK793" i="4"/>
  <c r="AG793" i="4"/>
  <c r="AC793" i="4"/>
  <c r="Y793" i="4"/>
  <c r="U793" i="4"/>
  <c r="Q793" i="4"/>
  <c r="M793" i="4"/>
  <c r="CN792" i="4"/>
  <c r="CJ792" i="4"/>
  <c r="CF792" i="4"/>
  <c r="CB792" i="4"/>
  <c r="BW792" i="4"/>
  <c r="BS792" i="4"/>
  <c r="BO792" i="4"/>
  <c r="BK792" i="4"/>
  <c r="BA792" i="4"/>
  <c r="AW792" i="4"/>
  <c r="AS792" i="4"/>
  <c r="AO792" i="4"/>
  <c r="AK792" i="4"/>
  <c r="AG792" i="4"/>
  <c r="AC792" i="4"/>
  <c r="Y792" i="4"/>
  <c r="U792" i="4"/>
  <c r="Q792" i="4"/>
  <c r="M792" i="4"/>
  <c r="CN791" i="4"/>
  <c r="CJ791" i="4"/>
  <c r="CF791" i="4"/>
  <c r="CB791" i="4"/>
  <c r="BW791" i="4"/>
  <c r="BS791" i="4"/>
  <c r="BO791" i="4"/>
  <c r="BK791" i="4"/>
  <c r="BA791" i="4"/>
  <c r="AW791" i="4"/>
  <c r="AS791" i="4"/>
  <c r="AO791" i="4"/>
  <c r="AK791" i="4"/>
  <c r="AG791" i="4"/>
  <c r="AC791" i="4"/>
  <c r="Y791" i="4"/>
  <c r="U791" i="4"/>
  <c r="Q791" i="4"/>
  <c r="M791" i="4"/>
  <c r="CN790" i="4"/>
  <c r="CJ790" i="4"/>
  <c r="CF790" i="4"/>
  <c r="CB790" i="4"/>
  <c r="BW790" i="4"/>
  <c r="BS790" i="4"/>
  <c r="BO790" i="4"/>
  <c r="BK790" i="4"/>
  <c r="BA790" i="4"/>
  <c r="AW790" i="4"/>
  <c r="AS790" i="4"/>
  <c r="AO790" i="4"/>
  <c r="AK790" i="4"/>
  <c r="AG790" i="4"/>
  <c r="AC790" i="4"/>
  <c r="Y790" i="4"/>
  <c r="U790" i="4"/>
  <c r="Q790" i="4"/>
  <c r="M790" i="4"/>
  <c r="CN789" i="4"/>
  <c r="CJ789" i="4"/>
  <c r="CF789" i="4"/>
  <c r="CB789" i="4"/>
  <c r="BW789" i="4"/>
  <c r="BS789" i="4"/>
  <c r="BO789" i="4"/>
  <c r="BK789" i="4"/>
  <c r="BA789" i="4"/>
  <c r="AW789" i="4"/>
  <c r="AS789" i="4"/>
  <c r="AO789" i="4"/>
  <c r="AK789" i="4"/>
  <c r="AG789" i="4"/>
  <c r="AC789" i="4"/>
  <c r="Y789" i="4"/>
  <c r="U789" i="4"/>
  <c r="Q789" i="4"/>
  <c r="M789" i="4"/>
  <c r="CN788" i="4"/>
  <c r="CJ788" i="4"/>
  <c r="CF788" i="4"/>
  <c r="CB788" i="4"/>
  <c r="BW788" i="4"/>
  <c r="BS788" i="4"/>
  <c r="BO788" i="4"/>
  <c r="BK788" i="4"/>
  <c r="BA788" i="4"/>
  <c r="AW788" i="4"/>
  <c r="AS788" i="4"/>
  <c r="AO788" i="4"/>
  <c r="AK788" i="4"/>
  <c r="AG788" i="4"/>
  <c r="AC788" i="4"/>
  <c r="Y788" i="4"/>
  <c r="U788" i="4"/>
  <c r="Q788" i="4"/>
  <c r="M788" i="4"/>
  <c r="CN787" i="4"/>
  <c r="CJ787" i="4"/>
  <c r="CF787" i="4"/>
  <c r="CB787" i="4"/>
  <c r="BW787" i="4"/>
  <c r="BS787" i="4"/>
  <c r="BO787" i="4"/>
  <c r="BK787" i="4"/>
  <c r="BA787" i="4"/>
  <c r="AW787" i="4"/>
  <c r="AS787" i="4"/>
  <c r="AO787" i="4"/>
  <c r="AK787" i="4"/>
  <c r="AG787" i="4"/>
  <c r="AC787" i="4"/>
  <c r="Y787" i="4"/>
  <c r="U787" i="4"/>
  <c r="Q787" i="4"/>
  <c r="M787" i="4"/>
  <c r="CN786" i="4"/>
  <c r="CJ786" i="4"/>
  <c r="CF786" i="4"/>
  <c r="CB786" i="4"/>
  <c r="BW786" i="4"/>
  <c r="BS786" i="4"/>
  <c r="BO786" i="4"/>
  <c r="BK786" i="4"/>
  <c r="BA786" i="4"/>
  <c r="AW786" i="4"/>
  <c r="AS786" i="4"/>
  <c r="AO786" i="4"/>
  <c r="AK786" i="4"/>
  <c r="AG786" i="4"/>
  <c r="AC786" i="4"/>
  <c r="Y786" i="4"/>
  <c r="U786" i="4"/>
  <c r="Q786" i="4"/>
  <c r="M786" i="4"/>
  <c r="CN785" i="4"/>
  <c r="CJ785" i="4"/>
  <c r="CF785" i="4"/>
  <c r="CB785" i="4"/>
  <c r="BW785" i="4"/>
  <c r="BS785" i="4"/>
  <c r="BO785" i="4"/>
  <c r="BK785" i="4"/>
  <c r="BA785" i="4"/>
  <c r="AW785" i="4"/>
  <c r="AS785" i="4"/>
  <c r="AO785" i="4"/>
  <c r="AK785" i="4"/>
  <c r="AG785" i="4"/>
  <c r="AC785" i="4"/>
  <c r="Y785" i="4"/>
  <c r="U785" i="4"/>
  <c r="Q785" i="4"/>
  <c r="M785" i="4"/>
  <c r="CN784" i="4"/>
  <c r="CJ784" i="4"/>
  <c r="CF784" i="4"/>
  <c r="CB784" i="4"/>
  <c r="BW784" i="4"/>
  <c r="BS784" i="4"/>
  <c r="BO784" i="4"/>
  <c r="BK784" i="4"/>
  <c r="BA784" i="4"/>
  <c r="AW784" i="4"/>
  <c r="AS784" i="4"/>
  <c r="AO784" i="4"/>
  <c r="AK784" i="4"/>
  <c r="AG784" i="4"/>
  <c r="AC784" i="4"/>
  <c r="Y784" i="4"/>
  <c r="U784" i="4"/>
  <c r="Q784" i="4"/>
  <c r="M784" i="4"/>
  <c r="CN783" i="4"/>
  <c r="CJ783" i="4"/>
  <c r="CF783" i="4"/>
  <c r="CB783" i="4"/>
  <c r="BW783" i="4"/>
  <c r="BS783" i="4"/>
  <c r="BO783" i="4"/>
  <c r="BK783" i="4"/>
  <c r="BA783" i="4"/>
  <c r="AW783" i="4"/>
  <c r="AS783" i="4"/>
  <c r="AO783" i="4"/>
  <c r="AK783" i="4"/>
  <c r="AG783" i="4"/>
  <c r="AC783" i="4"/>
  <c r="Y783" i="4"/>
  <c r="U783" i="4"/>
  <c r="Q783" i="4"/>
  <c r="M783" i="4"/>
  <c r="CN782" i="4"/>
  <c r="CJ782" i="4"/>
  <c r="CF782" i="4"/>
  <c r="CB782" i="4"/>
  <c r="BW782" i="4"/>
  <c r="BS782" i="4"/>
  <c r="BO782" i="4"/>
  <c r="BK782" i="4"/>
  <c r="BA782" i="4"/>
  <c r="AW782" i="4"/>
  <c r="AS782" i="4"/>
  <c r="AO782" i="4"/>
  <c r="AK782" i="4"/>
  <c r="AG782" i="4"/>
  <c r="AC782" i="4"/>
  <c r="Y782" i="4"/>
  <c r="U782" i="4"/>
  <c r="Q782" i="4"/>
  <c r="M782" i="4"/>
  <c r="CN781" i="4"/>
  <c r="CJ781" i="4"/>
  <c r="CF781" i="4"/>
  <c r="CB781" i="4"/>
  <c r="BW781" i="4"/>
  <c r="BS781" i="4"/>
  <c r="BO781" i="4"/>
  <c r="BK781" i="4"/>
  <c r="BA781" i="4"/>
  <c r="AW781" i="4"/>
  <c r="AS781" i="4"/>
  <c r="AO781" i="4"/>
  <c r="AK781" i="4"/>
  <c r="AG781" i="4"/>
  <c r="AC781" i="4"/>
  <c r="Y781" i="4"/>
  <c r="U781" i="4"/>
  <c r="Q781" i="4"/>
  <c r="M781" i="4"/>
  <c r="CN780" i="4"/>
  <c r="CJ780" i="4"/>
  <c r="CF780" i="4"/>
  <c r="CB780" i="4"/>
  <c r="BW780" i="4"/>
  <c r="BS780" i="4"/>
  <c r="BO780" i="4"/>
  <c r="BK780" i="4"/>
  <c r="BA780" i="4"/>
  <c r="AW780" i="4"/>
  <c r="AS780" i="4"/>
  <c r="AO780" i="4"/>
  <c r="AK780" i="4"/>
  <c r="AG780" i="4"/>
  <c r="AC780" i="4"/>
  <c r="Y780" i="4"/>
  <c r="U780" i="4"/>
  <c r="Q780" i="4"/>
  <c r="M780" i="4"/>
  <c r="CN779" i="4"/>
  <c r="CJ779" i="4"/>
  <c r="CF779" i="4"/>
  <c r="CB779" i="4"/>
  <c r="BW779" i="4"/>
  <c r="BS779" i="4"/>
  <c r="BO779" i="4"/>
  <c r="BK779" i="4"/>
  <c r="BA779" i="4"/>
  <c r="AW779" i="4"/>
  <c r="AS779" i="4"/>
  <c r="AO779" i="4"/>
  <c r="AK779" i="4"/>
  <c r="AG779" i="4"/>
  <c r="AC779" i="4"/>
  <c r="Y779" i="4"/>
  <c r="U779" i="4"/>
  <c r="Q779" i="4"/>
  <c r="M779" i="4"/>
  <c r="CN778" i="4"/>
  <c r="CJ778" i="4"/>
  <c r="CF778" i="4"/>
  <c r="CB778" i="4"/>
  <c r="BW778" i="4"/>
  <c r="BS778" i="4"/>
  <c r="BO778" i="4"/>
  <c r="BK778" i="4"/>
  <c r="BA778" i="4"/>
  <c r="AW778" i="4"/>
  <c r="AS778" i="4"/>
  <c r="AO778" i="4"/>
  <c r="AK778" i="4"/>
  <c r="AG778" i="4"/>
  <c r="AC778" i="4"/>
  <c r="Y778" i="4"/>
  <c r="U778" i="4"/>
  <c r="Q778" i="4"/>
  <c r="M778" i="4"/>
  <c r="CN777" i="4"/>
  <c r="CJ777" i="4"/>
  <c r="CF777" i="4"/>
  <c r="CB777" i="4"/>
  <c r="BW777" i="4"/>
  <c r="BS777" i="4"/>
  <c r="BO777" i="4"/>
  <c r="BK777" i="4"/>
  <c r="BA777" i="4"/>
  <c r="AW777" i="4"/>
  <c r="AS777" i="4"/>
  <c r="AO777" i="4"/>
  <c r="AK777" i="4"/>
  <c r="AG777" i="4"/>
  <c r="AC777" i="4"/>
  <c r="Y777" i="4"/>
  <c r="U777" i="4"/>
  <c r="Q777" i="4"/>
  <c r="M777" i="4"/>
  <c r="CN776" i="4"/>
  <c r="CJ776" i="4"/>
  <c r="CF776" i="4"/>
  <c r="CB776" i="4"/>
  <c r="BW776" i="4"/>
  <c r="BS776" i="4"/>
  <c r="BO776" i="4"/>
  <c r="BK776" i="4"/>
  <c r="BA776" i="4"/>
  <c r="AW776" i="4"/>
  <c r="AS776" i="4"/>
  <c r="AO776" i="4"/>
  <c r="AK776" i="4"/>
  <c r="AG776" i="4"/>
  <c r="AC776" i="4"/>
  <c r="Y776" i="4"/>
  <c r="U776" i="4"/>
  <c r="Q776" i="4"/>
  <c r="M776" i="4"/>
  <c r="CN775" i="4"/>
  <c r="CJ775" i="4"/>
  <c r="CF775" i="4"/>
  <c r="CB775" i="4"/>
  <c r="BW775" i="4"/>
  <c r="BS775" i="4"/>
  <c r="BO775" i="4"/>
  <c r="BK775" i="4"/>
  <c r="BA775" i="4"/>
  <c r="AW775" i="4"/>
  <c r="AS775" i="4"/>
  <c r="AO775" i="4"/>
  <c r="AK775" i="4"/>
  <c r="AG775" i="4"/>
  <c r="AC775" i="4"/>
  <c r="Y775" i="4"/>
  <c r="U775" i="4"/>
  <c r="Q775" i="4"/>
  <c r="M775" i="4"/>
  <c r="CN774" i="4"/>
  <c r="CJ774" i="4"/>
  <c r="CF774" i="4"/>
  <c r="CB774" i="4"/>
  <c r="BW774" i="4"/>
  <c r="BS774" i="4"/>
  <c r="BO774" i="4"/>
  <c r="BK774" i="4"/>
  <c r="BA774" i="4"/>
  <c r="AW774" i="4"/>
  <c r="AS774" i="4"/>
  <c r="AO774" i="4"/>
  <c r="AK774" i="4"/>
  <c r="AG774" i="4"/>
  <c r="AC774" i="4"/>
  <c r="Y774" i="4"/>
  <c r="U774" i="4"/>
  <c r="Q774" i="4"/>
  <c r="M774" i="4"/>
  <c r="CN773" i="4"/>
  <c r="CJ773" i="4"/>
  <c r="CF773" i="4"/>
  <c r="CB773" i="4"/>
  <c r="BW773" i="4"/>
  <c r="BS773" i="4"/>
  <c r="BO773" i="4"/>
  <c r="BK773" i="4"/>
  <c r="BA773" i="4"/>
  <c r="AW773" i="4"/>
  <c r="AS773" i="4"/>
  <c r="AO773" i="4"/>
  <c r="AK773" i="4"/>
  <c r="AG773" i="4"/>
  <c r="AC773" i="4"/>
  <c r="Y773" i="4"/>
  <c r="U773" i="4"/>
  <c r="Q773" i="4"/>
  <c r="M773" i="4"/>
  <c r="CN772" i="4"/>
  <c r="CJ772" i="4"/>
  <c r="CF772" i="4"/>
  <c r="CB772" i="4"/>
  <c r="BW772" i="4"/>
  <c r="BS772" i="4"/>
  <c r="BO772" i="4"/>
  <c r="BK772" i="4"/>
  <c r="BA772" i="4"/>
  <c r="AW772" i="4"/>
  <c r="AS772" i="4"/>
  <c r="AO772" i="4"/>
  <c r="AK772" i="4"/>
  <c r="AG772" i="4"/>
  <c r="AC772" i="4"/>
  <c r="Y772" i="4"/>
  <c r="U772" i="4"/>
  <c r="Q772" i="4"/>
  <c r="M772" i="4"/>
  <c r="CN771" i="4"/>
  <c r="CJ771" i="4"/>
  <c r="CF771" i="4"/>
  <c r="CB771" i="4"/>
  <c r="BW771" i="4"/>
  <c r="BS771" i="4"/>
  <c r="BO771" i="4"/>
  <c r="BK771" i="4"/>
  <c r="BA771" i="4"/>
  <c r="AW771" i="4"/>
  <c r="AS771" i="4"/>
  <c r="AO771" i="4"/>
  <c r="AK771" i="4"/>
  <c r="AG771" i="4"/>
  <c r="AC771" i="4"/>
  <c r="Y771" i="4"/>
  <c r="U771" i="4"/>
  <c r="Q771" i="4"/>
  <c r="M771" i="4"/>
  <c r="CN770" i="4"/>
  <c r="CJ770" i="4"/>
  <c r="CF770" i="4"/>
  <c r="CB770" i="4"/>
  <c r="BW770" i="4"/>
  <c r="BS770" i="4"/>
  <c r="BO770" i="4"/>
  <c r="BK770" i="4"/>
  <c r="BA770" i="4"/>
  <c r="AW770" i="4"/>
  <c r="AS770" i="4"/>
  <c r="AO770" i="4"/>
  <c r="AK770" i="4"/>
  <c r="AG770" i="4"/>
  <c r="AC770" i="4"/>
  <c r="Y770" i="4"/>
  <c r="U770" i="4"/>
  <c r="Q770" i="4"/>
  <c r="M770" i="4"/>
  <c r="CN769" i="4"/>
  <c r="CJ769" i="4"/>
  <c r="CF769" i="4"/>
  <c r="CB769" i="4"/>
  <c r="BW769" i="4"/>
  <c r="BS769" i="4"/>
  <c r="BO769" i="4"/>
  <c r="BK769" i="4"/>
  <c r="BA769" i="4"/>
  <c r="AW769" i="4"/>
  <c r="AS769" i="4"/>
  <c r="AO769" i="4"/>
  <c r="AK769" i="4"/>
  <c r="AG769" i="4"/>
  <c r="AC769" i="4"/>
  <c r="Y769" i="4"/>
  <c r="U769" i="4"/>
  <c r="Q769" i="4"/>
  <c r="M769" i="4"/>
  <c r="CN768" i="4"/>
  <c r="CJ768" i="4"/>
  <c r="CF768" i="4"/>
  <c r="CB768" i="4"/>
  <c r="BW768" i="4"/>
  <c r="BS768" i="4"/>
  <c r="BO768" i="4"/>
  <c r="BK768" i="4"/>
  <c r="BA768" i="4"/>
  <c r="AW768" i="4"/>
  <c r="AS768" i="4"/>
  <c r="AO768" i="4"/>
  <c r="AK768" i="4"/>
  <c r="AG768" i="4"/>
  <c r="AC768" i="4"/>
  <c r="Y768" i="4"/>
  <c r="U768" i="4"/>
  <c r="Q768" i="4"/>
  <c r="M768" i="4"/>
  <c r="CN767" i="4"/>
  <c r="CJ767" i="4"/>
  <c r="CF767" i="4"/>
  <c r="CB767" i="4"/>
  <c r="BW767" i="4"/>
  <c r="BS767" i="4"/>
  <c r="BO767" i="4"/>
  <c r="BK767" i="4"/>
  <c r="BA767" i="4"/>
  <c r="AW767" i="4"/>
  <c r="AS767" i="4"/>
  <c r="AO767" i="4"/>
  <c r="AK767" i="4"/>
  <c r="AG767" i="4"/>
  <c r="AC767" i="4"/>
  <c r="Y767" i="4"/>
  <c r="U767" i="4"/>
  <c r="Q767" i="4"/>
  <c r="M767" i="4"/>
  <c r="CN766" i="4"/>
  <c r="CJ766" i="4"/>
  <c r="CF766" i="4"/>
  <c r="CB766" i="4"/>
  <c r="BW766" i="4"/>
  <c r="BS766" i="4"/>
  <c r="BO766" i="4"/>
  <c r="BK766" i="4"/>
  <c r="BA766" i="4"/>
  <c r="AW766" i="4"/>
  <c r="AS766" i="4"/>
  <c r="AO766" i="4"/>
  <c r="AK766" i="4"/>
  <c r="AG766" i="4"/>
  <c r="AC766" i="4"/>
  <c r="Y766" i="4"/>
  <c r="U766" i="4"/>
  <c r="Q766" i="4"/>
  <c r="M766" i="4"/>
  <c r="CN765" i="4"/>
  <c r="CJ765" i="4"/>
  <c r="CF765" i="4"/>
  <c r="CB765" i="4"/>
  <c r="BW765" i="4"/>
  <c r="BS765" i="4"/>
  <c r="BO765" i="4"/>
  <c r="BK765" i="4"/>
  <c r="BA765" i="4"/>
  <c r="AW765" i="4"/>
  <c r="AS765" i="4"/>
  <c r="AO765" i="4"/>
  <c r="AK765" i="4"/>
  <c r="AG765" i="4"/>
  <c r="AC765" i="4"/>
  <c r="Y765" i="4"/>
  <c r="U765" i="4"/>
  <c r="Q765" i="4"/>
  <c r="M765" i="4"/>
  <c r="CN764" i="4"/>
  <c r="CJ764" i="4"/>
  <c r="CF764" i="4"/>
  <c r="CB764" i="4"/>
  <c r="BW764" i="4"/>
  <c r="BS764" i="4"/>
  <c r="BO764" i="4"/>
  <c r="BK764" i="4"/>
  <c r="BA764" i="4"/>
  <c r="AW764" i="4"/>
  <c r="AS764" i="4"/>
  <c r="AO764" i="4"/>
  <c r="AK764" i="4"/>
  <c r="AG764" i="4"/>
  <c r="AC764" i="4"/>
  <c r="Y764" i="4"/>
  <c r="U764" i="4"/>
  <c r="Q764" i="4"/>
  <c r="M764" i="4"/>
  <c r="CN763" i="4"/>
  <c r="CJ763" i="4"/>
  <c r="CF763" i="4"/>
  <c r="CB763" i="4"/>
  <c r="BW763" i="4"/>
  <c r="BS763" i="4"/>
  <c r="BO763" i="4"/>
  <c r="BK763" i="4"/>
  <c r="BA763" i="4"/>
  <c r="AW763" i="4"/>
  <c r="AS763" i="4"/>
  <c r="AO763" i="4"/>
  <c r="AK763" i="4"/>
  <c r="AG763" i="4"/>
  <c r="AC763" i="4"/>
  <c r="Y763" i="4"/>
  <c r="U763" i="4"/>
  <c r="Q763" i="4"/>
  <c r="M763" i="4"/>
  <c r="CN762" i="4"/>
  <c r="CJ762" i="4"/>
  <c r="CF762" i="4"/>
  <c r="CB762" i="4"/>
  <c r="BW762" i="4"/>
  <c r="BS762" i="4"/>
  <c r="BO762" i="4"/>
  <c r="BK762" i="4"/>
  <c r="BA762" i="4"/>
  <c r="AW762" i="4"/>
  <c r="AS762" i="4"/>
  <c r="AO762" i="4"/>
  <c r="AK762" i="4"/>
  <c r="AG762" i="4"/>
  <c r="AC762" i="4"/>
  <c r="Y762" i="4"/>
  <c r="U762" i="4"/>
  <c r="Q762" i="4"/>
  <c r="M762" i="4"/>
  <c r="CN761" i="4"/>
  <c r="CJ761" i="4"/>
  <c r="CF761" i="4"/>
  <c r="CB761" i="4"/>
  <c r="BW761" i="4"/>
  <c r="BS761" i="4"/>
  <c r="BO761" i="4"/>
  <c r="BK761" i="4"/>
  <c r="BA761" i="4"/>
  <c r="AW761" i="4"/>
  <c r="AS761" i="4"/>
  <c r="AO761" i="4"/>
  <c r="AK761" i="4"/>
  <c r="AG761" i="4"/>
  <c r="AC761" i="4"/>
  <c r="Y761" i="4"/>
  <c r="U761" i="4"/>
  <c r="Q761" i="4"/>
  <c r="M761" i="4"/>
  <c r="CN760" i="4"/>
  <c r="CJ760" i="4"/>
  <c r="CF760" i="4"/>
  <c r="CB760" i="4"/>
  <c r="BW760" i="4"/>
  <c r="BS760" i="4"/>
  <c r="BO760" i="4"/>
  <c r="BK760" i="4"/>
  <c r="BA760" i="4"/>
  <c r="AW760" i="4"/>
  <c r="AS760" i="4"/>
  <c r="AO760" i="4"/>
  <c r="AK760" i="4"/>
  <c r="AG760" i="4"/>
  <c r="AC760" i="4"/>
  <c r="Y760" i="4"/>
  <c r="U760" i="4"/>
  <c r="Q760" i="4"/>
  <c r="M760" i="4"/>
  <c r="CN759" i="4"/>
  <c r="CJ759" i="4"/>
  <c r="CF759" i="4"/>
  <c r="CB759" i="4"/>
  <c r="BW759" i="4"/>
  <c r="BS759" i="4"/>
  <c r="BO759" i="4"/>
  <c r="BK759" i="4"/>
  <c r="BA759" i="4"/>
  <c r="AW759" i="4"/>
  <c r="AS759" i="4"/>
  <c r="AO759" i="4"/>
  <c r="AK759" i="4"/>
  <c r="AG759" i="4"/>
  <c r="AC759" i="4"/>
  <c r="Y759" i="4"/>
  <c r="U759" i="4"/>
  <c r="Q759" i="4"/>
  <c r="M759" i="4"/>
  <c r="CN758" i="4"/>
  <c r="CJ758" i="4"/>
  <c r="CF758" i="4"/>
  <c r="CB758" i="4"/>
  <c r="BW758" i="4"/>
  <c r="BS758" i="4"/>
  <c r="BO758" i="4"/>
  <c r="BK758" i="4"/>
  <c r="BA758" i="4"/>
  <c r="AW758" i="4"/>
  <c r="AS758" i="4"/>
  <c r="AO758" i="4"/>
  <c r="AK758" i="4"/>
  <c r="AG758" i="4"/>
  <c r="AC758" i="4"/>
  <c r="Y758" i="4"/>
  <c r="U758" i="4"/>
  <c r="Q758" i="4"/>
  <c r="M758" i="4"/>
  <c r="CN757" i="4"/>
  <c r="CJ757" i="4"/>
  <c r="CF757" i="4"/>
  <c r="CB757" i="4"/>
  <c r="BW757" i="4"/>
  <c r="BS757" i="4"/>
  <c r="BO757" i="4"/>
  <c r="BK757" i="4"/>
  <c r="BA757" i="4"/>
  <c r="AW757" i="4"/>
  <c r="AS757" i="4"/>
  <c r="AO757" i="4"/>
  <c r="AK757" i="4"/>
  <c r="AG757" i="4"/>
  <c r="AC757" i="4"/>
  <c r="Y757" i="4"/>
  <c r="U757" i="4"/>
  <c r="Q757" i="4"/>
  <c r="M757" i="4"/>
  <c r="CN756" i="4"/>
  <c r="CJ756" i="4"/>
  <c r="CF756" i="4"/>
  <c r="CB756" i="4"/>
  <c r="BW756" i="4"/>
  <c r="BS756" i="4"/>
  <c r="BO756" i="4"/>
  <c r="BK756" i="4"/>
  <c r="BA756" i="4"/>
  <c r="AW756" i="4"/>
  <c r="AS756" i="4"/>
  <c r="AO756" i="4"/>
  <c r="AK756" i="4"/>
  <c r="AG756" i="4"/>
  <c r="AC756" i="4"/>
  <c r="Y756" i="4"/>
  <c r="U756" i="4"/>
  <c r="Q756" i="4"/>
  <c r="M756" i="4"/>
  <c r="CN755" i="4"/>
  <c r="CJ755" i="4"/>
  <c r="CF755" i="4"/>
  <c r="CB755" i="4"/>
  <c r="BW755" i="4"/>
  <c r="BS755" i="4"/>
  <c r="BO755" i="4"/>
  <c r="BK755" i="4"/>
  <c r="BA755" i="4"/>
  <c r="AW755" i="4"/>
  <c r="AS755" i="4"/>
  <c r="AO755" i="4"/>
  <c r="AK755" i="4"/>
  <c r="AG755" i="4"/>
  <c r="AC755" i="4"/>
  <c r="Y755" i="4"/>
  <c r="U755" i="4"/>
  <c r="Q755" i="4"/>
  <c r="M755" i="4"/>
  <c r="CN754" i="4"/>
  <c r="CJ754" i="4"/>
  <c r="CF754" i="4"/>
  <c r="CB754" i="4"/>
  <c r="BW754" i="4"/>
  <c r="BS754" i="4"/>
  <c r="BO754" i="4"/>
  <c r="BK754" i="4"/>
  <c r="BA754" i="4"/>
  <c r="AW754" i="4"/>
  <c r="AS754" i="4"/>
  <c r="AO754" i="4"/>
  <c r="AK754" i="4"/>
  <c r="AG754" i="4"/>
  <c r="AC754" i="4"/>
  <c r="Y754" i="4"/>
  <c r="U754" i="4"/>
  <c r="Q754" i="4"/>
  <c r="M754" i="4"/>
  <c r="CN753" i="4"/>
  <c r="CJ753" i="4"/>
  <c r="CF753" i="4"/>
  <c r="CB753" i="4"/>
  <c r="BW753" i="4"/>
  <c r="BS753" i="4"/>
  <c r="BO753" i="4"/>
  <c r="BK753" i="4"/>
  <c r="BA753" i="4"/>
  <c r="AW753" i="4"/>
  <c r="AS753" i="4"/>
  <c r="AO753" i="4"/>
  <c r="AK753" i="4"/>
  <c r="AG753" i="4"/>
  <c r="AC753" i="4"/>
  <c r="Y753" i="4"/>
  <c r="U753" i="4"/>
  <c r="Q753" i="4"/>
  <c r="M753" i="4"/>
  <c r="CN752" i="4"/>
  <c r="CJ752" i="4"/>
  <c r="CF752" i="4"/>
  <c r="CB752" i="4"/>
  <c r="BW752" i="4"/>
  <c r="BS752" i="4"/>
  <c r="BO752" i="4"/>
  <c r="BK752" i="4"/>
  <c r="BA752" i="4"/>
  <c r="AW752" i="4"/>
  <c r="AS752" i="4"/>
  <c r="AO752" i="4"/>
  <c r="AK752" i="4"/>
  <c r="AG752" i="4"/>
  <c r="AC752" i="4"/>
  <c r="Y752" i="4"/>
  <c r="U752" i="4"/>
  <c r="Q752" i="4"/>
  <c r="M752" i="4"/>
  <c r="CN751" i="4"/>
  <c r="CJ751" i="4"/>
  <c r="CF751" i="4"/>
  <c r="CB751" i="4"/>
  <c r="BW751" i="4"/>
  <c r="BS751" i="4"/>
  <c r="BO751" i="4"/>
  <c r="BK751" i="4"/>
  <c r="BA751" i="4"/>
  <c r="AW751" i="4"/>
  <c r="AS751" i="4"/>
  <c r="AO751" i="4"/>
  <c r="AK751" i="4"/>
  <c r="AG751" i="4"/>
  <c r="AC751" i="4"/>
  <c r="Y751" i="4"/>
  <c r="U751" i="4"/>
  <c r="Q751" i="4"/>
  <c r="M751" i="4"/>
  <c r="CN750" i="4"/>
  <c r="CJ750" i="4"/>
  <c r="CF750" i="4"/>
  <c r="CB750" i="4"/>
  <c r="BW750" i="4"/>
  <c r="BS750" i="4"/>
  <c r="BO750" i="4"/>
  <c r="BK750" i="4"/>
  <c r="BA750" i="4"/>
  <c r="AW750" i="4"/>
  <c r="AS750" i="4"/>
  <c r="AO750" i="4"/>
  <c r="AK750" i="4"/>
  <c r="AG750" i="4"/>
  <c r="AC750" i="4"/>
  <c r="Y750" i="4"/>
  <c r="U750" i="4"/>
  <c r="Q750" i="4"/>
  <c r="M750" i="4"/>
  <c r="CN749" i="4"/>
  <c r="CJ749" i="4"/>
  <c r="CF749" i="4"/>
  <c r="CB749" i="4"/>
  <c r="BW749" i="4"/>
  <c r="BS749" i="4"/>
  <c r="BO749" i="4"/>
  <c r="BK749" i="4"/>
  <c r="BA749" i="4"/>
  <c r="AW749" i="4"/>
  <c r="AS749" i="4"/>
  <c r="AO749" i="4"/>
  <c r="AK749" i="4"/>
  <c r="AG749" i="4"/>
  <c r="AC749" i="4"/>
  <c r="Y749" i="4"/>
  <c r="U749" i="4"/>
  <c r="Q749" i="4"/>
  <c r="M749" i="4"/>
  <c r="CN748" i="4"/>
  <c r="CJ748" i="4"/>
  <c r="CF748" i="4"/>
  <c r="CB748" i="4"/>
  <c r="BW748" i="4"/>
  <c r="BS748" i="4"/>
  <c r="BO748" i="4"/>
  <c r="BK748" i="4"/>
  <c r="BA748" i="4"/>
  <c r="AW748" i="4"/>
  <c r="AS748" i="4"/>
  <c r="AO748" i="4"/>
  <c r="AK748" i="4"/>
  <c r="AG748" i="4"/>
  <c r="AC748" i="4"/>
  <c r="Y748" i="4"/>
  <c r="U748" i="4"/>
  <c r="Q748" i="4"/>
  <c r="M748" i="4"/>
  <c r="CN747" i="4"/>
  <c r="CJ747" i="4"/>
  <c r="CF747" i="4"/>
  <c r="CB747" i="4"/>
  <c r="BW747" i="4"/>
  <c r="BS747" i="4"/>
  <c r="BO747" i="4"/>
  <c r="BK747" i="4"/>
  <c r="BA747" i="4"/>
  <c r="AW747" i="4"/>
  <c r="AS747" i="4"/>
  <c r="AO747" i="4"/>
  <c r="AK747" i="4"/>
  <c r="AG747" i="4"/>
  <c r="AC747" i="4"/>
  <c r="Y747" i="4"/>
  <c r="U747" i="4"/>
  <c r="Q747" i="4"/>
  <c r="M747" i="4"/>
  <c r="CN746" i="4"/>
  <c r="CJ746" i="4"/>
  <c r="CF746" i="4"/>
  <c r="CB746" i="4"/>
  <c r="BW746" i="4"/>
  <c r="BS746" i="4"/>
  <c r="BO746" i="4"/>
  <c r="BK746" i="4"/>
  <c r="BA746" i="4"/>
  <c r="AW746" i="4"/>
  <c r="AS746" i="4"/>
  <c r="AO746" i="4"/>
  <c r="AK746" i="4"/>
  <c r="AG746" i="4"/>
  <c r="AC746" i="4"/>
  <c r="Y746" i="4"/>
  <c r="U746" i="4"/>
  <c r="Q746" i="4"/>
  <c r="M746" i="4"/>
  <c r="CN745" i="4"/>
  <c r="CJ745" i="4"/>
  <c r="CF745" i="4"/>
  <c r="CB745" i="4"/>
  <c r="BW745" i="4"/>
  <c r="BS745" i="4"/>
  <c r="BO745" i="4"/>
  <c r="BK745" i="4"/>
  <c r="BA745" i="4"/>
  <c r="AW745" i="4"/>
  <c r="AS745" i="4"/>
  <c r="AO745" i="4"/>
  <c r="AK745" i="4"/>
  <c r="AG745" i="4"/>
  <c r="AC745" i="4"/>
  <c r="Y745" i="4"/>
  <c r="U745" i="4"/>
  <c r="Q745" i="4"/>
  <c r="M745" i="4"/>
  <c r="CN744" i="4"/>
  <c r="CJ744" i="4"/>
  <c r="CF744" i="4"/>
  <c r="CB744" i="4"/>
  <c r="BW744" i="4"/>
  <c r="BS744" i="4"/>
  <c r="BO744" i="4"/>
  <c r="BK744" i="4"/>
  <c r="BA744" i="4"/>
  <c r="AW744" i="4"/>
  <c r="AS744" i="4"/>
  <c r="AO744" i="4"/>
  <c r="AK744" i="4"/>
  <c r="AG744" i="4"/>
  <c r="AC744" i="4"/>
  <c r="Y744" i="4"/>
  <c r="U744" i="4"/>
  <c r="Q744" i="4"/>
  <c r="M744" i="4"/>
  <c r="CN743" i="4"/>
  <c r="CJ743" i="4"/>
  <c r="CF743" i="4"/>
  <c r="CB743" i="4"/>
  <c r="BW743" i="4"/>
  <c r="BS743" i="4"/>
  <c r="BO743" i="4"/>
  <c r="BK743" i="4"/>
  <c r="BA743" i="4"/>
  <c r="AW743" i="4"/>
  <c r="AS743" i="4"/>
  <c r="AO743" i="4"/>
  <c r="AK743" i="4"/>
  <c r="AG743" i="4"/>
  <c r="AC743" i="4"/>
  <c r="Y743" i="4"/>
  <c r="U743" i="4"/>
  <c r="Q743" i="4"/>
  <c r="M743" i="4"/>
  <c r="CN742" i="4"/>
  <c r="CJ742" i="4"/>
  <c r="CF742" i="4"/>
  <c r="CB742" i="4"/>
  <c r="BW742" i="4"/>
  <c r="BS742" i="4"/>
  <c r="BO742" i="4"/>
  <c r="BK742" i="4"/>
  <c r="BA742" i="4"/>
  <c r="AW742" i="4"/>
  <c r="AS742" i="4"/>
  <c r="AO742" i="4"/>
  <c r="AK742" i="4"/>
  <c r="AG742" i="4"/>
  <c r="AC742" i="4"/>
  <c r="Y742" i="4"/>
  <c r="U742" i="4"/>
  <c r="Q742" i="4"/>
  <c r="M742" i="4"/>
  <c r="CN741" i="4"/>
  <c r="CJ741" i="4"/>
  <c r="CF741" i="4"/>
  <c r="CB741" i="4"/>
  <c r="BW741" i="4"/>
  <c r="BS741" i="4"/>
  <c r="BO741" i="4"/>
  <c r="BK741" i="4"/>
  <c r="BA741" i="4"/>
  <c r="AW741" i="4"/>
  <c r="AS741" i="4"/>
  <c r="AO741" i="4"/>
  <c r="AK741" i="4"/>
  <c r="AG741" i="4"/>
  <c r="AC741" i="4"/>
  <c r="Y741" i="4"/>
  <c r="U741" i="4"/>
  <c r="Q741" i="4"/>
  <c r="M741" i="4"/>
  <c r="CN740" i="4"/>
  <c r="CJ740" i="4"/>
  <c r="CF740" i="4"/>
  <c r="CB740" i="4"/>
  <c r="BW740" i="4"/>
  <c r="BS740" i="4"/>
  <c r="BO740" i="4"/>
  <c r="BK740" i="4"/>
  <c r="BA740" i="4"/>
  <c r="AW740" i="4"/>
  <c r="AS740" i="4"/>
  <c r="AO740" i="4"/>
  <c r="AK740" i="4"/>
  <c r="AG740" i="4"/>
  <c r="AC740" i="4"/>
  <c r="Y740" i="4"/>
  <c r="U740" i="4"/>
  <c r="Q740" i="4"/>
  <c r="M740" i="4"/>
  <c r="CN739" i="4"/>
  <c r="CJ739" i="4"/>
  <c r="CF739" i="4"/>
  <c r="CB739" i="4"/>
  <c r="BW739" i="4"/>
  <c r="BS739" i="4"/>
  <c r="BO739" i="4"/>
  <c r="BK739" i="4"/>
  <c r="BA739" i="4"/>
  <c r="AW739" i="4"/>
  <c r="AS739" i="4"/>
  <c r="AO739" i="4"/>
  <c r="AK739" i="4"/>
  <c r="AG739" i="4"/>
  <c r="AC739" i="4"/>
  <c r="Y739" i="4"/>
  <c r="U739" i="4"/>
  <c r="Q739" i="4"/>
  <c r="M739" i="4"/>
  <c r="CN738" i="4"/>
  <c r="CJ738" i="4"/>
  <c r="CF738" i="4"/>
  <c r="CB738" i="4"/>
  <c r="BW738" i="4"/>
  <c r="BS738" i="4"/>
  <c r="BO738" i="4"/>
  <c r="BK738" i="4"/>
  <c r="BA738" i="4"/>
  <c r="AW738" i="4"/>
  <c r="AS738" i="4"/>
  <c r="AO738" i="4"/>
  <c r="AK738" i="4"/>
  <c r="AG738" i="4"/>
  <c r="AC738" i="4"/>
  <c r="Y738" i="4"/>
  <c r="U738" i="4"/>
  <c r="Q738" i="4"/>
  <c r="M738" i="4"/>
  <c r="CN737" i="4"/>
  <c r="CJ737" i="4"/>
  <c r="CF737" i="4"/>
  <c r="CB737" i="4"/>
  <c r="BW737" i="4"/>
  <c r="BS737" i="4"/>
  <c r="BO737" i="4"/>
  <c r="BK737" i="4"/>
  <c r="BA737" i="4"/>
  <c r="AW737" i="4"/>
  <c r="AS737" i="4"/>
  <c r="AO737" i="4"/>
  <c r="AK737" i="4"/>
  <c r="AG737" i="4"/>
  <c r="AC737" i="4"/>
  <c r="Y737" i="4"/>
  <c r="U737" i="4"/>
  <c r="Q737" i="4"/>
  <c r="M737" i="4"/>
  <c r="CN736" i="4"/>
  <c r="CJ736" i="4"/>
  <c r="CF736" i="4"/>
  <c r="CB736" i="4"/>
  <c r="BW736" i="4"/>
  <c r="BS736" i="4"/>
  <c r="BO736" i="4"/>
  <c r="BK736" i="4"/>
  <c r="BA736" i="4"/>
  <c r="AW736" i="4"/>
  <c r="AS736" i="4"/>
  <c r="AO736" i="4"/>
  <c r="AK736" i="4"/>
  <c r="AG736" i="4"/>
  <c r="AC736" i="4"/>
  <c r="Y736" i="4"/>
  <c r="U736" i="4"/>
  <c r="Q736" i="4"/>
  <c r="M736" i="4"/>
  <c r="CN735" i="4"/>
  <c r="CJ735" i="4"/>
  <c r="CF735" i="4"/>
  <c r="CB735" i="4"/>
  <c r="BW735" i="4"/>
  <c r="BS735" i="4"/>
  <c r="BO735" i="4"/>
  <c r="BK735" i="4"/>
  <c r="BA735" i="4"/>
  <c r="AW735" i="4"/>
  <c r="AS735" i="4"/>
  <c r="AO735" i="4"/>
  <c r="AK735" i="4"/>
  <c r="AG735" i="4"/>
  <c r="AC735" i="4"/>
  <c r="Y735" i="4"/>
  <c r="U735" i="4"/>
  <c r="Q735" i="4"/>
  <c r="M735" i="4"/>
  <c r="CN734" i="4"/>
  <c r="CJ734" i="4"/>
  <c r="CF734" i="4"/>
  <c r="CB734" i="4"/>
  <c r="BW734" i="4"/>
  <c r="BS734" i="4"/>
  <c r="BO734" i="4"/>
  <c r="BK734" i="4"/>
  <c r="BA734" i="4"/>
  <c r="AW734" i="4"/>
  <c r="AS734" i="4"/>
  <c r="AO734" i="4"/>
  <c r="AK734" i="4"/>
  <c r="AG734" i="4"/>
  <c r="AC734" i="4"/>
  <c r="Y734" i="4"/>
  <c r="U734" i="4"/>
  <c r="Q734" i="4"/>
  <c r="M734" i="4"/>
  <c r="CN733" i="4"/>
  <c r="CJ733" i="4"/>
  <c r="CF733" i="4"/>
  <c r="CB733" i="4"/>
  <c r="BW733" i="4"/>
  <c r="BS733" i="4"/>
  <c r="BO733" i="4"/>
  <c r="BK733" i="4"/>
  <c r="BA733" i="4"/>
  <c r="AW733" i="4"/>
  <c r="AS733" i="4"/>
  <c r="AO733" i="4"/>
  <c r="AK733" i="4"/>
  <c r="AG733" i="4"/>
  <c r="AC733" i="4"/>
  <c r="Y733" i="4"/>
  <c r="U733" i="4"/>
  <c r="Q733" i="4"/>
  <c r="M733" i="4"/>
  <c r="CN732" i="4"/>
  <c r="CJ732" i="4"/>
  <c r="CF732" i="4"/>
  <c r="CB732" i="4"/>
  <c r="BW732" i="4"/>
  <c r="BS732" i="4"/>
  <c r="BO732" i="4"/>
  <c r="BK732" i="4"/>
  <c r="BA732" i="4"/>
  <c r="AW732" i="4"/>
  <c r="AS732" i="4"/>
  <c r="AO732" i="4"/>
  <c r="AK732" i="4"/>
  <c r="AG732" i="4"/>
  <c r="AC732" i="4"/>
  <c r="Y732" i="4"/>
  <c r="U732" i="4"/>
  <c r="Q732" i="4"/>
  <c r="M732" i="4"/>
  <c r="CN731" i="4"/>
  <c r="CJ731" i="4"/>
  <c r="CF731" i="4"/>
  <c r="CB731" i="4"/>
  <c r="BW731" i="4"/>
  <c r="BS731" i="4"/>
  <c r="BO731" i="4"/>
  <c r="BK731" i="4"/>
  <c r="BA731" i="4"/>
  <c r="AW731" i="4"/>
  <c r="AS731" i="4"/>
  <c r="AO731" i="4"/>
  <c r="AK731" i="4"/>
  <c r="AG731" i="4"/>
  <c r="AC731" i="4"/>
  <c r="Y731" i="4"/>
  <c r="U731" i="4"/>
  <c r="Q731" i="4"/>
  <c r="M731" i="4"/>
  <c r="CN730" i="4"/>
  <c r="CJ730" i="4"/>
  <c r="CF730" i="4"/>
  <c r="CB730" i="4"/>
  <c r="BW730" i="4"/>
  <c r="BS730" i="4"/>
  <c r="BO730" i="4"/>
  <c r="BK730" i="4"/>
  <c r="BA730" i="4"/>
  <c r="AW730" i="4"/>
  <c r="AS730" i="4"/>
  <c r="AO730" i="4"/>
  <c r="AK730" i="4"/>
  <c r="AG730" i="4"/>
  <c r="AC730" i="4"/>
  <c r="Y730" i="4"/>
  <c r="U730" i="4"/>
  <c r="Q730" i="4"/>
  <c r="M730" i="4"/>
  <c r="CN729" i="4"/>
  <c r="CJ729" i="4"/>
  <c r="CF729" i="4"/>
  <c r="CB729" i="4"/>
  <c r="BW729" i="4"/>
  <c r="BS729" i="4"/>
  <c r="BO729" i="4"/>
  <c r="BK729" i="4"/>
  <c r="BA729" i="4"/>
  <c r="AW729" i="4"/>
  <c r="AS729" i="4"/>
  <c r="AO729" i="4"/>
  <c r="AK729" i="4"/>
  <c r="AG729" i="4"/>
  <c r="AC729" i="4"/>
  <c r="Y729" i="4"/>
  <c r="U729" i="4"/>
  <c r="Q729" i="4"/>
  <c r="M729" i="4"/>
  <c r="CN728" i="4"/>
  <c r="CJ728" i="4"/>
  <c r="CF728" i="4"/>
  <c r="CB728" i="4"/>
  <c r="BW728" i="4"/>
  <c r="BS728" i="4"/>
  <c r="BO728" i="4"/>
  <c r="BK728" i="4"/>
  <c r="BA728" i="4"/>
  <c r="AW728" i="4"/>
  <c r="AS728" i="4"/>
  <c r="AO728" i="4"/>
  <c r="AK728" i="4"/>
  <c r="AG728" i="4"/>
  <c r="AC728" i="4"/>
  <c r="Y728" i="4"/>
  <c r="U728" i="4"/>
  <c r="Q728" i="4"/>
  <c r="M728" i="4"/>
  <c r="CN727" i="4"/>
  <c r="CJ727" i="4"/>
  <c r="CF727" i="4"/>
  <c r="CB727" i="4"/>
  <c r="BW727" i="4"/>
  <c r="BS727" i="4"/>
  <c r="BO727" i="4"/>
  <c r="BK727" i="4"/>
  <c r="BA727" i="4"/>
  <c r="AW727" i="4"/>
  <c r="AS727" i="4"/>
  <c r="AO727" i="4"/>
  <c r="AK727" i="4"/>
  <c r="AG727" i="4"/>
  <c r="AC727" i="4"/>
  <c r="Y727" i="4"/>
  <c r="U727" i="4"/>
  <c r="Q727" i="4"/>
  <c r="M727" i="4"/>
  <c r="CN726" i="4"/>
  <c r="CJ726" i="4"/>
  <c r="CF726" i="4"/>
  <c r="CB726" i="4"/>
  <c r="BW726" i="4"/>
  <c r="BS726" i="4"/>
  <c r="BO726" i="4"/>
  <c r="BK726" i="4"/>
  <c r="BA726" i="4"/>
  <c r="AW726" i="4"/>
  <c r="AS726" i="4"/>
  <c r="AO726" i="4"/>
  <c r="AK726" i="4"/>
  <c r="AG726" i="4"/>
  <c r="AC726" i="4"/>
  <c r="Y726" i="4"/>
  <c r="U726" i="4"/>
  <c r="Q726" i="4"/>
  <c r="M726" i="4"/>
  <c r="CN725" i="4"/>
  <c r="CJ725" i="4"/>
  <c r="CF725" i="4"/>
  <c r="CB725" i="4"/>
  <c r="BW725" i="4"/>
  <c r="BS725" i="4"/>
  <c r="BO725" i="4"/>
  <c r="BK725" i="4"/>
  <c r="BA725" i="4"/>
  <c r="AW725" i="4"/>
  <c r="AS725" i="4"/>
  <c r="AO725" i="4"/>
  <c r="AK725" i="4"/>
  <c r="AG725" i="4"/>
  <c r="AC725" i="4"/>
  <c r="Y725" i="4"/>
  <c r="U725" i="4"/>
  <c r="Q725" i="4"/>
  <c r="M725" i="4"/>
  <c r="CN724" i="4"/>
  <c r="CJ724" i="4"/>
  <c r="CF724" i="4"/>
  <c r="CB724" i="4"/>
  <c r="BW724" i="4"/>
  <c r="BS724" i="4"/>
  <c r="BO724" i="4"/>
  <c r="BK724" i="4"/>
  <c r="BA724" i="4"/>
  <c r="AW724" i="4"/>
  <c r="AS724" i="4"/>
  <c r="AO724" i="4"/>
  <c r="AK724" i="4"/>
  <c r="AG724" i="4"/>
  <c r="AC724" i="4"/>
  <c r="Y724" i="4"/>
  <c r="U724" i="4"/>
  <c r="Q724" i="4"/>
  <c r="M724" i="4"/>
  <c r="CN723" i="4"/>
  <c r="CJ723" i="4"/>
  <c r="CF723" i="4"/>
  <c r="CB723" i="4"/>
  <c r="BW723" i="4"/>
  <c r="BS723" i="4"/>
  <c r="BO723" i="4"/>
  <c r="BK723" i="4"/>
  <c r="BA723" i="4"/>
  <c r="AW723" i="4"/>
  <c r="AS723" i="4"/>
  <c r="AO723" i="4"/>
  <c r="AK723" i="4"/>
  <c r="AG723" i="4"/>
  <c r="AC723" i="4"/>
  <c r="Y723" i="4"/>
  <c r="U723" i="4"/>
  <c r="Q723" i="4"/>
  <c r="M723" i="4"/>
  <c r="CN722" i="4"/>
  <c r="CJ722" i="4"/>
  <c r="CF722" i="4"/>
  <c r="CB722" i="4"/>
  <c r="BW722" i="4"/>
  <c r="BS722" i="4"/>
  <c r="BO722" i="4"/>
  <c r="BK722" i="4"/>
  <c r="BA722" i="4"/>
  <c r="AW722" i="4"/>
  <c r="AS722" i="4"/>
  <c r="AO722" i="4"/>
  <c r="AK722" i="4"/>
  <c r="AG722" i="4"/>
  <c r="AC722" i="4"/>
  <c r="Y722" i="4"/>
  <c r="U722" i="4"/>
  <c r="Q722" i="4"/>
  <c r="M722" i="4"/>
  <c r="CN721" i="4"/>
  <c r="CJ721" i="4"/>
  <c r="CF721" i="4"/>
  <c r="CB721" i="4"/>
  <c r="BW721" i="4"/>
  <c r="BS721" i="4"/>
  <c r="BO721" i="4"/>
  <c r="BK721" i="4"/>
  <c r="BA721" i="4"/>
  <c r="AW721" i="4"/>
  <c r="AS721" i="4"/>
  <c r="AO721" i="4"/>
  <c r="AK721" i="4"/>
  <c r="AG721" i="4"/>
  <c r="AC721" i="4"/>
  <c r="Y721" i="4"/>
  <c r="U721" i="4"/>
  <c r="Q721" i="4"/>
  <c r="M721" i="4"/>
  <c r="CN720" i="4"/>
  <c r="CJ720" i="4"/>
  <c r="CF720" i="4"/>
  <c r="CB720" i="4"/>
  <c r="BW720" i="4"/>
  <c r="BS720" i="4"/>
  <c r="BO720" i="4"/>
  <c r="BK720" i="4"/>
  <c r="BA720" i="4"/>
  <c r="AW720" i="4"/>
  <c r="AS720" i="4"/>
  <c r="AO720" i="4"/>
  <c r="AK720" i="4"/>
  <c r="AG720" i="4"/>
  <c r="AC720" i="4"/>
  <c r="Y720" i="4"/>
  <c r="U720" i="4"/>
  <c r="Q720" i="4"/>
  <c r="M720" i="4"/>
  <c r="CN719" i="4"/>
  <c r="CJ719" i="4"/>
  <c r="CF719" i="4"/>
  <c r="CB719" i="4"/>
  <c r="BW719" i="4"/>
  <c r="BS719" i="4"/>
  <c r="BO719" i="4"/>
  <c r="BK719" i="4"/>
  <c r="BA719" i="4"/>
  <c r="AW719" i="4"/>
  <c r="AS719" i="4"/>
  <c r="AO719" i="4"/>
  <c r="AK719" i="4"/>
  <c r="AG719" i="4"/>
  <c r="AC719" i="4"/>
  <c r="Y719" i="4"/>
  <c r="U719" i="4"/>
  <c r="Q719" i="4"/>
  <c r="M719" i="4"/>
  <c r="CN718" i="4"/>
  <c r="CJ718" i="4"/>
  <c r="CF718" i="4"/>
  <c r="CB718" i="4"/>
  <c r="BW718" i="4"/>
  <c r="BS718" i="4"/>
  <c r="BO718" i="4"/>
  <c r="BK718" i="4"/>
  <c r="BA718" i="4"/>
  <c r="AW718" i="4"/>
  <c r="AS718" i="4"/>
  <c r="AO718" i="4"/>
  <c r="AK718" i="4"/>
  <c r="AG718" i="4"/>
  <c r="AC718" i="4"/>
  <c r="Y718" i="4"/>
  <c r="U718" i="4"/>
  <c r="Q718" i="4"/>
  <c r="M718" i="4"/>
  <c r="CN717" i="4"/>
  <c r="CJ717" i="4"/>
  <c r="CF717" i="4"/>
  <c r="CB717" i="4"/>
  <c r="BW717" i="4"/>
  <c r="BS717" i="4"/>
  <c r="BO717" i="4"/>
  <c r="BK717" i="4"/>
  <c r="BA717" i="4"/>
  <c r="AW717" i="4"/>
  <c r="AS717" i="4"/>
  <c r="AO717" i="4"/>
  <c r="AK717" i="4"/>
  <c r="AG717" i="4"/>
  <c r="AC717" i="4"/>
  <c r="Y717" i="4"/>
  <c r="U717" i="4"/>
  <c r="Q717" i="4"/>
  <c r="M717" i="4"/>
  <c r="CN716" i="4"/>
  <c r="CJ716" i="4"/>
  <c r="CF716" i="4"/>
  <c r="CB716" i="4"/>
  <c r="BW716" i="4"/>
  <c r="BS716" i="4"/>
  <c r="BO716" i="4"/>
  <c r="BK716" i="4"/>
  <c r="BA716" i="4"/>
  <c r="AW716" i="4"/>
  <c r="AS716" i="4"/>
  <c r="AO716" i="4"/>
  <c r="AK716" i="4"/>
  <c r="AG716" i="4"/>
  <c r="AC716" i="4"/>
  <c r="Y716" i="4"/>
  <c r="U716" i="4"/>
  <c r="Q716" i="4"/>
  <c r="M716" i="4"/>
  <c r="CN715" i="4"/>
  <c r="CJ715" i="4"/>
  <c r="CF715" i="4"/>
  <c r="CB715" i="4"/>
  <c r="BW715" i="4"/>
  <c r="BS715" i="4"/>
  <c r="BO715" i="4"/>
  <c r="BK715" i="4"/>
  <c r="BA715" i="4"/>
  <c r="AW715" i="4"/>
  <c r="AS715" i="4"/>
  <c r="AO715" i="4"/>
  <c r="AK715" i="4"/>
  <c r="AG715" i="4"/>
  <c r="AC715" i="4"/>
  <c r="Y715" i="4"/>
  <c r="U715" i="4"/>
  <c r="Q715" i="4"/>
  <c r="M715" i="4"/>
  <c r="CN714" i="4"/>
  <c r="CJ714" i="4"/>
  <c r="CF714" i="4"/>
  <c r="CB714" i="4"/>
  <c r="BW714" i="4"/>
  <c r="BS714" i="4"/>
  <c r="BO714" i="4"/>
  <c r="BK714" i="4"/>
  <c r="BA714" i="4"/>
  <c r="AW714" i="4"/>
  <c r="AS714" i="4"/>
  <c r="AO714" i="4"/>
  <c r="AK714" i="4"/>
  <c r="AG714" i="4"/>
  <c r="AC714" i="4"/>
  <c r="Y714" i="4"/>
  <c r="U714" i="4"/>
  <c r="Q714" i="4"/>
  <c r="M714" i="4"/>
  <c r="CN713" i="4"/>
  <c r="CJ713" i="4"/>
  <c r="CF713" i="4"/>
  <c r="CB713" i="4"/>
  <c r="BW713" i="4"/>
  <c r="BS713" i="4"/>
  <c r="BO713" i="4"/>
  <c r="BK713" i="4"/>
  <c r="BA713" i="4"/>
  <c r="AW713" i="4"/>
  <c r="AS713" i="4"/>
  <c r="AO713" i="4"/>
  <c r="AK713" i="4"/>
  <c r="AG713" i="4"/>
  <c r="AC713" i="4"/>
  <c r="Y713" i="4"/>
  <c r="U713" i="4"/>
  <c r="Q713" i="4"/>
  <c r="M713" i="4"/>
  <c r="CN712" i="4"/>
  <c r="CJ712" i="4"/>
  <c r="CF712" i="4"/>
  <c r="CB712" i="4"/>
  <c r="BW712" i="4"/>
  <c r="BS712" i="4"/>
  <c r="BO712" i="4"/>
  <c r="BK712" i="4"/>
  <c r="BA712" i="4"/>
  <c r="AW712" i="4"/>
  <c r="AS712" i="4"/>
  <c r="AO712" i="4"/>
  <c r="AK712" i="4"/>
  <c r="AG712" i="4"/>
  <c r="AC712" i="4"/>
  <c r="Y712" i="4"/>
  <c r="U712" i="4"/>
  <c r="Q712" i="4"/>
  <c r="M712" i="4"/>
  <c r="CN711" i="4"/>
  <c r="CJ711" i="4"/>
  <c r="CF711" i="4"/>
  <c r="CB711" i="4"/>
  <c r="BW711" i="4"/>
  <c r="BS711" i="4"/>
  <c r="BO711" i="4"/>
  <c r="BK711" i="4"/>
  <c r="BA711" i="4"/>
  <c r="AW711" i="4"/>
  <c r="AS711" i="4"/>
  <c r="AO711" i="4"/>
  <c r="AK711" i="4"/>
  <c r="AG711" i="4"/>
  <c r="AC711" i="4"/>
  <c r="Y711" i="4"/>
  <c r="U711" i="4"/>
  <c r="Q711" i="4"/>
  <c r="M711" i="4"/>
  <c r="CN710" i="4"/>
  <c r="CJ710" i="4"/>
  <c r="CF710" i="4"/>
  <c r="CB710" i="4"/>
  <c r="BW710" i="4"/>
  <c r="BS710" i="4"/>
  <c r="BO710" i="4"/>
  <c r="BK710" i="4"/>
  <c r="BA710" i="4"/>
  <c r="AW710" i="4"/>
  <c r="AS710" i="4"/>
  <c r="AO710" i="4"/>
  <c r="AK710" i="4"/>
  <c r="AG710" i="4"/>
  <c r="AC710" i="4"/>
  <c r="Y710" i="4"/>
  <c r="U710" i="4"/>
  <c r="Q710" i="4"/>
  <c r="M710" i="4"/>
  <c r="CN709" i="4"/>
  <c r="CJ709" i="4"/>
  <c r="CF709" i="4"/>
  <c r="CB709" i="4"/>
  <c r="BW709" i="4"/>
  <c r="BS709" i="4"/>
  <c r="BO709" i="4"/>
  <c r="BK709" i="4"/>
  <c r="BA709" i="4"/>
  <c r="AW709" i="4"/>
  <c r="AS709" i="4"/>
  <c r="AO709" i="4"/>
  <c r="AK709" i="4"/>
  <c r="AG709" i="4"/>
  <c r="AC709" i="4"/>
  <c r="Y709" i="4"/>
  <c r="U709" i="4"/>
  <c r="Q709" i="4"/>
  <c r="M709" i="4"/>
  <c r="CN708" i="4"/>
  <c r="CJ708" i="4"/>
  <c r="CF708" i="4"/>
  <c r="CB708" i="4"/>
  <c r="BW708" i="4"/>
  <c r="BS708" i="4"/>
  <c r="BO708" i="4"/>
  <c r="BK708" i="4"/>
  <c r="BA708" i="4"/>
  <c r="AW708" i="4"/>
  <c r="AS708" i="4"/>
  <c r="AO708" i="4"/>
  <c r="AK708" i="4"/>
  <c r="AG708" i="4"/>
  <c r="AC708" i="4"/>
  <c r="Y708" i="4"/>
  <c r="U708" i="4"/>
  <c r="Q708" i="4"/>
  <c r="M708" i="4"/>
  <c r="CN707" i="4"/>
  <c r="CJ707" i="4"/>
  <c r="CF707" i="4"/>
  <c r="CB707" i="4"/>
  <c r="BW707" i="4"/>
  <c r="BS707" i="4"/>
  <c r="BO707" i="4"/>
  <c r="BK707" i="4"/>
  <c r="BA707" i="4"/>
  <c r="AW707" i="4"/>
  <c r="AS707" i="4"/>
  <c r="AO707" i="4"/>
  <c r="AK707" i="4"/>
  <c r="AG707" i="4"/>
  <c r="AC707" i="4"/>
  <c r="Y707" i="4"/>
  <c r="U707" i="4"/>
  <c r="Q707" i="4"/>
  <c r="M707" i="4"/>
  <c r="CN706" i="4"/>
  <c r="CJ706" i="4"/>
  <c r="CF706" i="4"/>
  <c r="CB706" i="4"/>
  <c r="BW706" i="4"/>
  <c r="BS706" i="4"/>
  <c r="BO706" i="4"/>
  <c r="BK706" i="4"/>
  <c r="BA706" i="4"/>
  <c r="AW706" i="4"/>
  <c r="AS706" i="4"/>
  <c r="AO706" i="4"/>
  <c r="AK706" i="4"/>
  <c r="AG706" i="4"/>
  <c r="AC706" i="4"/>
  <c r="Y706" i="4"/>
  <c r="U706" i="4"/>
  <c r="Q706" i="4"/>
  <c r="M706" i="4"/>
  <c r="CN705" i="4"/>
  <c r="CJ705" i="4"/>
  <c r="CF705" i="4"/>
  <c r="CB705" i="4"/>
  <c r="BW705" i="4"/>
  <c r="BS705" i="4"/>
  <c r="BO705" i="4"/>
  <c r="BK705" i="4"/>
  <c r="BA705" i="4"/>
  <c r="AW705" i="4"/>
  <c r="AS705" i="4"/>
  <c r="AO705" i="4"/>
  <c r="AK705" i="4"/>
  <c r="AG705" i="4"/>
  <c r="AC705" i="4"/>
  <c r="Y705" i="4"/>
  <c r="U705" i="4"/>
  <c r="Q705" i="4"/>
  <c r="M705" i="4"/>
  <c r="CN704" i="4"/>
  <c r="CJ704" i="4"/>
  <c r="CF704" i="4"/>
  <c r="CB704" i="4"/>
  <c r="BW704" i="4"/>
  <c r="BS704" i="4"/>
  <c r="BO704" i="4"/>
  <c r="BK704" i="4"/>
  <c r="BA704" i="4"/>
  <c r="AW704" i="4"/>
  <c r="AS704" i="4"/>
  <c r="AO704" i="4"/>
  <c r="AK704" i="4"/>
  <c r="AG704" i="4"/>
  <c r="AC704" i="4"/>
  <c r="Y704" i="4"/>
  <c r="U704" i="4"/>
  <c r="Q704" i="4"/>
  <c r="M704" i="4"/>
  <c r="CN703" i="4"/>
  <c r="CJ703" i="4"/>
  <c r="CF703" i="4"/>
  <c r="CB703" i="4"/>
  <c r="BW703" i="4"/>
  <c r="BS703" i="4"/>
  <c r="BO703" i="4"/>
  <c r="BK703" i="4"/>
  <c r="BA703" i="4"/>
  <c r="AW703" i="4"/>
  <c r="AS703" i="4"/>
  <c r="AO703" i="4"/>
  <c r="AK703" i="4"/>
  <c r="AG703" i="4"/>
  <c r="AC703" i="4"/>
  <c r="Y703" i="4"/>
  <c r="U703" i="4"/>
  <c r="Q703" i="4"/>
  <c r="M703" i="4"/>
  <c r="CN702" i="4"/>
  <c r="CJ702" i="4"/>
  <c r="CF702" i="4"/>
  <c r="CB702" i="4"/>
  <c r="BW702" i="4"/>
  <c r="BS702" i="4"/>
  <c r="BO702" i="4"/>
  <c r="BK702" i="4"/>
  <c r="BA702" i="4"/>
  <c r="AW702" i="4"/>
  <c r="AS702" i="4"/>
  <c r="AO702" i="4"/>
  <c r="AK702" i="4"/>
  <c r="AG702" i="4"/>
  <c r="AC702" i="4"/>
  <c r="Y702" i="4"/>
  <c r="U702" i="4"/>
  <c r="Q702" i="4"/>
  <c r="M702" i="4"/>
  <c r="CN701" i="4"/>
  <c r="CJ701" i="4"/>
  <c r="CF701" i="4"/>
  <c r="CB701" i="4"/>
  <c r="BW701" i="4"/>
  <c r="BS701" i="4"/>
  <c r="BO701" i="4"/>
  <c r="BK701" i="4"/>
  <c r="BA701" i="4"/>
  <c r="AW701" i="4"/>
  <c r="AS701" i="4"/>
  <c r="AO701" i="4"/>
  <c r="AK701" i="4"/>
  <c r="AG701" i="4"/>
  <c r="AC701" i="4"/>
  <c r="Y701" i="4"/>
  <c r="U701" i="4"/>
  <c r="Q701" i="4"/>
  <c r="M701" i="4"/>
  <c r="CN700" i="4"/>
  <c r="CJ700" i="4"/>
  <c r="CF700" i="4"/>
  <c r="CB700" i="4"/>
  <c r="BW700" i="4"/>
  <c r="BS700" i="4"/>
  <c r="BO700" i="4"/>
  <c r="BK700" i="4"/>
  <c r="BA700" i="4"/>
  <c r="AW700" i="4"/>
  <c r="AS700" i="4"/>
  <c r="AO700" i="4"/>
  <c r="AK700" i="4"/>
  <c r="AG700" i="4"/>
  <c r="AC700" i="4"/>
  <c r="Y700" i="4"/>
  <c r="U700" i="4"/>
  <c r="Q700" i="4"/>
  <c r="M700" i="4"/>
  <c r="CN699" i="4"/>
  <c r="CJ699" i="4"/>
  <c r="CF699" i="4"/>
  <c r="CB699" i="4"/>
  <c r="BW699" i="4"/>
  <c r="BS699" i="4"/>
  <c r="BO699" i="4"/>
  <c r="BK699" i="4"/>
  <c r="BA699" i="4"/>
  <c r="AW699" i="4"/>
  <c r="AS699" i="4"/>
  <c r="AO699" i="4"/>
  <c r="AK699" i="4"/>
  <c r="AG699" i="4"/>
  <c r="AC699" i="4"/>
  <c r="Y699" i="4"/>
  <c r="U699" i="4"/>
  <c r="Q699" i="4"/>
  <c r="M699" i="4"/>
  <c r="CN698" i="4"/>
  <c r="CJ698" i="4"/>
  <c r="CF698" i="4"/>
  <c r="CB698" i="4"/>
  <c r="BW698" i="4"/>
  <c r="BS698" i="4"/>
  <c r="BO698" i="4"/>
  <c r="BK698" i="4"/>
  <c r="BA698" i="4"/>
  <c r="AW698" i="4"/>
  <c r="AS698" i="4"/>
  <c r="AO698" i="4"/>
  <c r="AK698" i="4"/>
  <c r="AG698" i="4"/>
  <c r="AC698" i="4"/>
  <c r="Y698" i="4"/>
  <c r="U698" i="4"/>
  <c r="Q698" i="4"/>
  <c r="M698" i="4"/>
  <c r="CN697" i="4"/>
  <c r="CJ697" i="4"/>
  <c r="CF697" i="4"/>
  <c r="CB697" i="4"/>
  <c r="BW697" i="4"/>
  <c r="BS697" i="4"/>
  <c r="BO697" i="4"/>
  <c r="BK697" i="4"/>
  <c r="BA697" i="4"/>
  <c r="AW697" i="4"/>
  <c r="AS697" i="4"/>
  <c r="AO697" i="4"/>
  <c r="AK697" i="4"/>
  <c r="AG697" i="4"/>
  <c r="AC697" i="4"/>
  <c r="Y697" i="4"/>
  <c r="U697" i="4"/>
  <c r="Q697" i="4"/>
  <c r="M697" i="4"/>
  <c r="CN696" i="4"/>
  <c r="CJ696" i="4"/>
  <c r="CF696" i="4"/>
  <c r="CB696" i="4"/>
  <c r="BW696" i="4"/>
  <c r="BS696" i="4"/>
  <c r="BO696" i="4"/>
  <c r="BK696" i="4"/>
  <c r="BA696" i="4"/>
  <c r="AW696" i="4"/>
  <c r="AS696" i="4"/>
  <c r="AO696" i="4"/>
  <c r="AK696" i="4"/>
  <c r="AG696" i="4"/>
  <c r="AC696" i="4"/>
  <c r="Y696" i="4"/>
  <c r="U696" i="4"/>
  <c r="Q696" i="4"/>
  <c r="M696" i="4"/>
  <c r="CN695" i="4"/>
  <c r="CJ695" i="4"/>
  <c r="CF695" i="4"/>
  <c r="CB695" i="4"/>
  <c r="BW695" i="4"/>
  <c r="BS695" i="4"/>
  <c r="BO695" i="4"/>
  <c r="BK695" i="4"/>
  <c r="BA695" i="4"/>
  <c r="AW695" i="4"/>
  <c r="AS695" i="4"/>
  <c r="AO695" i="4"/>
  <c r="AK695" i="4"/>
  <c r="AG695" i="4"/>
  <c r="AC695" i="4"/>
  <c r="Y695" i="4"/>
  <c r="U695" i="4"/>
  <c r="Q695" i="4"/>
  <c r="M695" i="4"/>
  <c r="CN694" i="4"/>
  <c r="CJ694" i="4"/>
  <c r="CF694" i="4"/>
  <c r="CB694" i="4"/>
  <c r="BW694" i="4"/>
  <c r="BS694" i="4"/>
  <c r="BO694" i="4"/>
  <c r="BK694" i="4"/>
  <c r="BA694" i="4"/>
  <c r="AW694" i="4"/>
  <c r="AS694" i="4"/>
  <c r="AO694" i="4"/>
  <c r="AK694" i="4"/>
  <c r="AG694" i="4"/>
  <c r="AC694" i="4"/>
  <c r="Y694" i="4"/>
  <c r="U694" i="4"/>
  <c r="Q694" i="4"/>
  <c r="M694" i="4"/>
  <c r="CN693" i="4"/>
  <c r="CJ693" i="4"/>
  <c r="CF693" i="4"/>
  <c r="CB693" i="4"/>
  <c r="BW693" i="4"/>
  <c r="BS693" i="4"/>
  <c r="BO693" i="4"/>
  <c r="BK693" i="4"/>
  <c r="BA693" i="4"/>
  <c r="AW693" i="4"/>
  <c r="AS693" i="4"/>
  <c r="AO693" i="4"/>
  <c r="AK693" i="4"/>
  <c r="AG693" i="4"/>
  <c r="AC693" i="4"/>
  <c r="Y693" i="4"/>
  <c r="U693" i="4"/>
  <c r="Q693" i="4"/>
  <c r="M693" i="4"/>
  <c r="CN692" i="4"/>
  <c r="CJ692" i="4"/>
  <c r="CF692" i="4"/>
  <c r="CB692" i="4"/>
  <c r="BW692" i="4"/>
  <c r="BS692" i="4"/>
  <c r="BO692" i="4"/>
  <c r="BK692" i="4"/>
  <c r="BA692" i="4"/>
  <c r="AW692" i="4"/>
  <c r="AS692" i="4"/>
  <c r="AO692" i="4"/>
  <c r="AK692" i="4"/>
  <c r="AG692" i="4"/>
  <c r="AC692" i="4"/>
  <c r="Y692" i="4"/>
  <c r="U692" i="4"/>
  <c r="Q692" i="4"/>
  <c r="M692" i="4"/>
  <c r="CN691" i="4"/>
  <c r="CJ691" i="4"/>
  <c r="CF691" i="4"/>
  <c r="CB691" i="4"/>
  <c r="BW691" i="4"/>
  <c r="BS691" i="4"/>
  <c r="BO691" i="4"/>
  <c r="BK691" i="4"/>
  <c r="BA691" i="4"/>
  <c r="AW691" i="4"/>
  <c r="AS691" i="4"/>
  <c r="AO691" i="4"/>
  <c r="AK691" i="4"/>
  <c r="AG691" i="4"/>
  <c r="AC691" i="4"/>
  <c r="Y691" i="4"/>
  <c r="U691" i="4"/>
  <c r="Q691" i="4"/>
  <c r="M691" i="4"/>
  <c r="CN690" i="4"/>
  <c r="CJ690" i="4"/>
  <c r="CF690" i="4"/>
  <c r="CB690" i="4"/>
  <c r="BW690" i="4"/>
  <c r="BS690" i="4"/>
  <c r="BO690" i="4"/>
  <c r="BK690" i="4"/>
  <c r="BA690" i="4"/>
  <c r="AW690" i="4"/>
  <c r="AS690" i="4"/>
  <c r="AO690" i="4"/>
  <c r="AK690" i="4"/>
  <c r="AG690" i="4"/>
  <c r="AC690" i="4"/>
  <c r="Y690" i="4"/>
  <c r="U690" i="4"/>
  <c r="Q690" i="4"/>
  <c r="M690" i="4"/>
  <c r="CN689" i="4"/>
  <c r="CJ689" i="4"/>
  <c r="CF689" i="4"/>
  <c r="CB689" i="4"/>
  <c r="BW689" i="4"/>
  <c r="BS689" i="4"/>
  <c r="BO689" i="4"/>
  <c r="BK689" i="4"/>
  <c r="BA689" i="4"/>
  <c r="AW689" i="4"/>
  <c r="AS689" i="4"/>
  <c r="AO689" i="4"/>
  <c r="AK689" i="4"/>
  <c r="AG689" i="4"/>
  <c r="AC689" i="4"/>
  <c r="Y689" i="4"/>
  <c r="U689" i="4"/>
  <c r="Q689" i="4"/>
  <c r="M689" i="4"/>
  <c r="CN688" i="4"/>
  <c r="CJ688" i="4"/>
  <c r="CF688" i="4"/>
  <c r="CB688" i="4"/>
  <c r="BW688" i="4"/>
  <c r="BS688" i="4"/>
  <c r="BO688" i="4"/>
  <c r="BK688" i="4"/>
  <c r="BA688" i="4"/>
  <c r="AW688" i="4"/>
  <c r="AS688" i="4"/>
  <c r="AO688" i="4"/>
  <c r="AK688" i="4"/>
  <c r="AG688" i="4"/>
  <c r="AC688" i="4"/>
  <c r="Y688" i="4"/>
  <c r="U688" i="4"/>
  <c r="Q688" i="4"/>
  <c r="M688" i="4"/>
  <c r="CN687" i="4"/>
  <c r="CJ687" i="4"/>
  <c r="CF687" i="4"/>
  <c r="CB687" i="4"/>
  <c r="BW687" i="4"/>
  <c r="BS687" i="4"/>
  <c r="BO687" i="4"/>
  <c r="BK687" i="4"/>
  <c r="BA687" i="4"/>
  <c r="AW687" i="4"/>
  <c r="AS687" i="4"/>
  <c r="AO687" i="4"/>
  <c r="AK687" i="4"/>
  <c r="AG687" i="4"/>
  <c r="AC687" i="4"/>
  <c r="Y687" i="4"/>
  <c r="U687" i="4"/>
  <c r="Q687" i="4"/>
  <c r="M687" i="4"/>
  <c r="CN686" i="4"/>
  <c r="CJ686" i="4"/>
  <c r="CF686" i="4"/>
  <c r="CB686" i="4"/>
  <c r="BW686" i="4"/>
  <c r="BS686" i="4"/>
  <c r="BO686" i="4"/>
  <c r="BK686" i="4"/>
  <c r="BA686" i="4"/>
  <c r="AW686" i="4"/>
  <c r="AS686" i="4"/>
  <c r="AO686" i="4"/>
  <c r="AK686" i="4"/>
  <c r="AG686" i="4"/>
  <c r="AC686" i="4"/>
  <c r="Y686" i="4"/>
  <c r="U686" i="4"/>
  <c r="Q686" i="4"/>
  <c r="M686" i="4"/>
  <c r="CN685" i="4"/>
  <c r="CJ685" i="4"/>
  <c r="CF685" i="4"/>
  <c r="CB685" i="4"/>
  <c r="BW685" i="4"/>
  <c r="BS685" i="4"/>
  <c r="BO685" i="4"/>
  <c r="BK685" i="4"/>
  <c r="BA685" i="4"/>
  <c r="AW685" i="4"/>
  <c r="AS685" i="4"/>
  <c r="AO685" i="4"/>
  <c r="AK685" i="4"/>
  <c r="AG685" i="4"/>
  <c r="AC685" i="4"/>
  <c r="Y685" i="4"/>
  <c r="U685" i="4"/>
  <c r="Q685" i="4"/>
  <c r="M685" i="4"/>
  <c r="CN684" i="4"/>
  <c r="CJ684" i="4"/>
  <c r="CF684" i="4"/>
  <c r="CB684" i="4"/>
  <c r="BW684" i="4"/>
  <c r="BS684" i="4"/>
  <c r="BO684" i="4"/>
  <c r="BK684" i="4"/>
  <c r="BA684" i="4"/>
  <c r="AW684" i="4"/>
  <c r="AS684" i="4"/>
  <c r="AO684" i="4"/>
  <c r="AK684" i="4"/>
  <c r="AG684" i="4"/>
  <c r="AC684" i="4"/>
  <c r="Y684" i="4"/>
  <c r="U684" i="4"/>
  <c r="Q684" i="4"/>
  <c r="M684" i="4"/>
  <c r="CN683" i="4"/>
  <c r="CJ683" i="4"/>
  <c r="CF683" i="4"/>
  <c r="CB683" i="4"/>
  <c r="BW683" i="4"/>
  <c r="BS683" i="4"/>
  <c r="BO683" i="4"/>
  <c r="BK683" i="4"/>
  <c r="BA683" i="4"/>
  <c r="AW683" i="4"/>
  <c r="AS683" i="4"/>
  <c r="AO683" i="4"/>
  <c r="AK683" i="4"/>
  <c r="AG683" i="4"/>
  <c r="AC683" i="4"/>
  <c r="Y683" i="4"/>
  <c r="U683" i="4"/>
  <c r="Q683" i="4"/>
  <c r="M683" i="4"/>
  <c r="CN682" i="4"/>
  <c r="CJ682" i="4"/>
  <c r="CF682" i="4"/>
  <c r="CB682" i="4"/>
  <c r="BW682" i="4"/>
  <c r="BS682" i="4"/>
  <c r="BO682" i="4"/>
  <c r="BK682" i="4"/>
  <c r="BA682" i="4"/>
  <c r="AW682" i="4"/>
  <c r="AS682" i="4"/>
  <c r="AO682" i="4"/>
  <c r="AK682" i="4"/>
  <c r="AG682" i="4"/>
  <c r="AC682" i="4"/>
  <c r="Y682" i="4"/>
  <c r="U682" i="4"/>
  <c r="Q682" i="4"/>
  <c r="M682" i="4"/>
  <c r="CN681" i="4"/>
  <c r="CJ681" i="4"/>
  <c r="CF681" i="4"/>
  <c r="CB681" i="4"/>
  <c r="BW681" i="4"/>
  <c r="BS681" i="4"/>
  <c r="BO681" i="4"/>
  <c r="BK681" i="4"/>
  <c r="BA681" i="4"/>
  <c r="AW681" i="4"/>
  <c r="AS681" i="4"/>
  <c r="AO681" i="4"/>
  <c r="AK681" i="4"/>
  <c r="AG681" i="4"/>
  <c r="AC681" i="4"/>
  <c r="Y681" i="4"/>
  <c r="U681" i="4"/>
  <c r="Q681" i="4"/>
  <c r="M681" i="4"/>
  <c r="CN680" i="4"/>
  <c r="CJ680" i="4"/>
  <c r="CF680" i="4"/>
  <c r="CB680" i="4"/>
  <c r="BW680" i="4"/>
  <c r="BS680" i="4"/>
  <c r="BO680" i="4"/>
  <c r="BK680" i="4"/>
  <c r="BA680" i="4"/>
  <c r="AW680" i="4"/>
  <c r="AS680" i="4"/>
  <c r="AO680" i="4"/>
  <c r="AK680" i="4"/>
  <c r="AG680" i="4"/>
  <c r="AC680" i="4"/>
  <c r="Y680" i="4"/>
  <c r="U680" i="4"/>
  <c r="Q680" i="4"/>
  <c r="M680" i="4"/>
  <c r="CN679" i="4"/>
  <c r="CJ679" i="4"/>
  <c r="CF679" i="4"/>
  <c r="CB679" i="4"/>
  <c r="BW679" i="4"/>
  <c r="BS679" i="4"/>
  <c r="BO679" i="4"/>
  <c r="BK679" i="4"/>
  <c r="BA679" i="4"/>
  <c r="AW679" i="4"/>
  <c r="AS679" i="4"/>
  <c r="AO679" i="4"/>
  <c r="AK679" i="4"/>
  <c r="AG679" i="4"/>
  <c r="AC679" i="4"/>
  <c r="Y679" i="4"/>
  <c r="U679" i="4"/>
  <c r="Q679" i="4"/>
  <c r="M679" i="4"/>
  <c r="CN678" i="4"/>
  <c r="CJ678" i="4"/>
  <c r="CF678" i="4"/>
  <c r="CB678" i="4"/>
  <c r="BW678" i="4"/>
  <c r="BS678" i="4"/>
  <c r="BO678" i="4"/>
  <c r="BK678" i="4"/>
  <c r="BA678" i="4"/>
  <c r="AW678" i="4"/>
  <c r="AS678" i="4"/>
  <c r="AO678" i="4"/>
  <c r="AK678" i="4"/>
  <c r="AG678" i="4"/>
  <c r="AC678" i="4"/>
  <c r="Y678" i="4"/>
  <c r="U678" i="4"/>
  <c r="Q678" i="4"/>
  <c r="M678" i="4"/>
  <c r="CN677" i="4"/>
  <c r="CJ677" i="4"/>
  <c r="CF677" i="4"/>
  <c r="CB677" i="4"/>
  <c r="BW677" i="4"/>
  <c r="BS677" i="4"/>
  <c r="BO677" i="4"/>
  <c r="BK677" i="4"/>
  <c r="BA677" i="4"/>
  <c r="AW677" i="4"/>
  <c r="AS677" i="4"/>
  <c r="AO677" i="4"/>
  <c r="AK677" i="4"/>
  <c r="AG677" i="4"/>
  <c r="AC677" i="4"/>
  <c r="Y677" i="4"/>
  <c r="U677" i="4"/>
  <c r="Q677" i="4"/>
  <c r="M677" i="4"/>
  <c r="CN676" i="4"/>
  <c r="CJ676" i="4"/>
  <c r="CF676" i="4"/>
  <c r="CB676" i="4"/>
  <c r="BW676" i="4"/>
  <c r="BS676" i="4"/>
  <c r="BO676" i="4"/>
  <c r="BK676" i="4"/>
  <c r="BA676" i="4"/>
  <c r="AW676" i="4"/>
  <c r="AS676" i="4"/>
  <c r="AO676" i="4"/>
  <c r="AK676" i="4"/>
  <c r="AG676" i="4"/>
  <c r="AC676" i="4"/>
  <c r="Y676" i="4"/>
  <c r="U676" i="4"/>
  <c r="Q676" i="4"/>
  <c r="M676" i="4"/>
  <c r="CN675" i="4"/>
  <c r="CJ675" i="4"/>
  <c r="CF675" i="4"/>
  <c r="CB675" i="4"/>
  <c r="BW675" i="4"/>
  <c r="BS675" i="4"/>
  <c r="BO675" i="4"/>
  <c r="BK675" i="4"/>
  <c r="BA675" i="4"/>
  <c r="AW675" i="4"/>
  <c r="AS675" i="4"/>
  <c r="AO675" i="4"/>
  <c r="AK675" i="4"/>
  <c r="AG675" i="4"/>
  <c r="AC675" i="4"/>
  <c r="Y675" i="4"/>
  <c r="U675" i="4"/>
  <c r="Q675" i="4"/>
  <c r="M675" i="4"/>
  <c r="CN674" i="4"/>
  <c r="CJ674" i="4"/>
  <c r="CF674" i="4"/>
  <c r="CB674" i="4"/>
  <c r="BW674" i="4"/>
  <c r="BS674" i="4"/>
  <c r="BO674" i="4"/>
  <c r="BK674" i="4"/>
  <c r="BA674" i="4"/>
  <c r="AW674" i="4"/>
  <c r="AS674" i="4"/>
  <c r="AO674" i="4"/>
  <c r="AK674" i="4"/>
  <c r="AG674" i="4"/>
  <c r="AC674" i="4"/>
  <c r="Y674" i="4"/>
  <c r="U674" i="4"/>
  <c r="Q674" i="4"/>
  <c r="M674" i="4"/>
  <c r="CN673" i="4"/>
  <c r="CJ673" i="4"/>
  <c r="CF673" i="4"/>
  <c r="CB673" i="4"/>
  <c r="BW673" i="4"/>
  <c r="BS673" i="4"/>
  <c r="BO673" i="4"/>
  <c r="BK673" i="4"/>
  <c r="BA673" i="4"/>
  <c r="AW673" i="4"/>
  <c r="AS673" i="4"/>
  <c r="AO673" i="4"/>
  <c r="AK673" i="4"/>
  <c r="AG673" i="4"/>
  <c r="AC673" i="4"/>
  <c r="Y673" i="4"/>
  <c r="U673" i="4"/>
  <c r="Q673" i="4"/>
  <c r="M673" i="4"/>
  <c r="CN672" i="4"/>
  <c r="CJ672" i="4"/>
  <c r="CF672" i="4"/>
  <c r="CB672" i="4"/>
  <c r="BW672" i="4"/>
  <c r="BS672" i="4"/>
  <c r="BO672" i="4"/>
  <c r="BK672" i="4"/>
  <c r="BA672" i="4"/>
  <c r="AW672" i="4"/>
  <c r="AS672" i="4"/>
  <c r="AO672" i="4"/>
  <c r="AK672" i="4"/>
  <c r="AG672" i="4"/>
  <c r="AC672" i="4"/>
  <c r="Y672" i="4"/>
  <c r="U672" i="4"/>
  <c r="Q672" i="4"/>
  <c r="M672" i="4"/>
  <c r="CN671" i="4"/>
  <c r="CJ671" i="4"/>
  <c r="CF671" i="4"/>
  <c r="CB671" i="4"/>
  <c r="BW671" i="4"/>
  <c r="BS671" i="4"/>
  <c r="BO671" i="4"/>
  <c r="BK671" i="4"/>
  <c r="BA671" i="4"/>
  <c r="AW671" i="4"/>
  <c r="AS671" i="4"/>
  <c r="AO671" i="4"/>
  <c r="AK671" i="4"/>
  <c r="AG671" i="4"/>
  <c r="AC671" i="4"/>
  <c r="Y671" i="4"/>
  <c r="U671" i="4"/>
  <c r="Q671" i="4"/>
  <c r="M671" i="4"/>
  <c r="CN670" i="4"/>
  <c r="CJ670" i="4"/>
  <c r="CF670" i="4"/>
  <c r="CB670" i="4"/>
  <c r="BW670" i="4"/>
  <c r="BS670" i="4"/>
  <c r="BO670" i="4"/>
  <c r="BK670" i="4"/>
  <c r="BA670" i="4"/>
  <c r="AW670" i="4"/>
  <c r="AS670" i="4"/>
  <c r="AO670" i="4"/>
  <c r="AK670" i="4"/>
  <c r="AG670" i="4"/>
  <c r="AC670" i="4"/>
  <c r="Y670" i="4"/>
  <c r="U670" i="4"/>
  <c r="Q670" i="4"/>
  <c r="M670" i="4"/>
  <c r="CN669" i="4"/>
  <c r="CJ669" i="4"/>
  <c r="CF669" i="4"/>
  <c r="CB669" i="4"/>
  <c r="BW669" i="4"/>
  <c r="BS669" i="4"/>
  <c r="BO669" i="4"/>
  <c r="BK669" i="4"/>
  <c r="BA669" i="4"/>
  <c r="AW669" i="4"/>
  <c r="AS669" i="4"/>
  <c r="AO669" i="4"/>
  <c r="AK669" i="4"/>
  <c r="AG669" i="4"/>
  <c r="AC669" i="4"/>
  <c r="Y669" i="4"/>
  <c r="U669" i="4"/>
  <c r="Q669" i="4"/>
  <c r="M669" i="4"/>
  <c r="CN668" i="4"/>
  <c r="CJ668" i="4"/>
  <c r="CF668" i="4"/>
  <c r="CB668" i="4"/>
  <c r="BW668" i="4"/>
  <c r="BS668" i="4"/>
  <c r="BO668" i="4"/>
  <c r="BK668" i="4"/>
  <c r="BA668" i="4"/>
  <c r="AW668" i="4"/>
  <c r="AS668" i="4"/>
  <c r="AO668" i="4"/>
  <c r="AK668" i="4"/>
  <c r="AG668" i="4"/>
  <c r="AC668" i="4"/>
  <c r="Y668" i="4"/>
  <c r="U668" i="4"/>
  <c r="Q668" i="4"/>
  <c r="M668" i="4"/>
  <c r="CN667" i="4"/>
  <c r="CJ667" i="4"/>
  <c r="CF667" i="4"/>
  <c r="CB667" i="4"/>
  <c r="BW667" i="4"/>
  <c r="BS667" i="4"/>
  <c r="BO667" i="4"/>
  <c r="BK667" i="4"/>
  <c r="BA667" i="4"/>
  <c r="AW667" i="4"/>
  <c r="AS667" i="4"/>
  <c r="AO667" i="4"/>
  <c r="AK667" i="4"/>
  <c r="AG667" i="4"/>
  <c r="AC667" i="4"/>
  <c r="Y667" i="4"/>
  <c r="U667" i="4"/>
  <c r="Q667" i="4"/>
  <c r="M667" i="4"/>
  <c r="CN666" i="4"/>
  <c r="CJ666" i="4"/>
  <c r="CF666" i="4"/>
  <c r="CB666" i="4"/>
  <c r="BW666" i="4"/>
  <c r="BS666" i="4"/>
  <c r="BO666" i="4"/>
  <c r="BK666" i="4"/>
  <c r="BA666" i="4"/>
  <c r="AW666" i="4"/>
  <c r="AS666" i="4"/>
  <c r="AO666" i="4"/>
  <c r="AK666" i="4"/>
  <c r="AG666" i="4"/>
  <c r="AC666" i="4"/>
  <c r="Y666" i="4"/>
  <c r="U666" i="4"/>
  <c r="Q666" i="4"/>
  <c r="M666" i="4"/>
  <c r="CN665" i="4"/>
  <c r="CJ665" i="4"/>
  <c r="CF665" i="4"/>
  <c r="CB665" i="4"/>
  <c r="BW665" i="4"/>
  <c r="BS665" i="4"/>
  <c r="BO665" i="4"/>
  <c r="BK665" i="4"/>
  <c r="BA665" i="4"/>
  <c r="AW665" i="4"/>
  <c r="AS665" i="4"/>
  <c r="AO665" i="4"/>
  <c r="AK665" i="4"/>
  <c r="AG665" i="4"/>
  <c r="AC665" i="4"/>
  <c r="Y665" i="4"/>
  <c r="U665" i="4"/>
  <c r="Q665" i="4"/>
  <c r="M665" i="4"/>
  <c r="CN664" i="4"/>
  <c r="CJ664" i="4"/>
  <c r="CF664" i="4"/>
  <c r="CB664" i="4"/>
  <c r="BW664" i="4"/>
  <c r="BS664" i="4"/>
  <c r="BO664" i="4"/>
  <c r="BK664" i="4"/>
  <c r="BA664" i="4"/>
  <c r="AW664" i="4"/>
  <c r="AS664" i="4"/>
  <c r="AO664" i="4"/>
  <c r="AK664" i="4"/>
  <c r="AG664" i="4"/>
  <c r="AC664" i="4"/>
  <c r="Y664" i="4"/>
  <c r="U664" i="4"/>
  <c r="Q664" i="4"/>
  <c r="M664" i="4"/>
  <c r="CN663" i="4"/>
  <c r="CJ663" i="4"/>
  <c r="CF663" i="4"/>
  <c r="CB663" i="4"/>
  <c r="BW663" i="4"/>
  <c r="BS663" i="4"/>
  <c r="BO663" i="4"/>
  <c r="BK663" i="4"/>
  <c r="BA663" i="4"/>
  <c r="AW663" i="4"/>
  <c r="AS663" i="4"/>
  <c r="AO663" i="4"/>
  <c r="AK663" i="4"/>
  <c r="AG663" i="4"/>
  <c r="AC663" i="4"/>
  <c r="Y663" i="4"/>
  <c r="U663" i="4"/>
  <c r="Q663" i="4"/>
  <c r="M663" i="4"/>
  <c r="CN662" i="4"/>
  <c r="CJ662" i="4"/>
  <c r="CF662" i="4"/>
  <c r="CB662" i="4"/>
  <c r="BW662" i="4"/>
  <c r="BS662" i="4"/>
  <c r="BO662" i="4"/>
  <c r="BK662" i="4"/>
  <c r="BA662" i="4"/>
  <c r="AW662" i="4"/>
  <c r="AS662" i="4"/>
  <c r="AO662" i="4"/>
  <c r="AK662" i="4"/>
  <c r="AG662" i="4"/>
  <c r="AC662" i="4"/>
  <c r="Y662" i="4"/>
  <c r="U662" i="4"/>
  <c r="Q662" i="4"/>
  <c r="M662" i="4"/>
  <c r="CN661" i="4"/>
  <c r="CJ661" i="4"/>
  <c r="CF661" i="4"/>
  <c r="CB661" i="4"/>
  <c r="BW661" i="4"/>
  <c r="BS661" i="4"/>
  <c r="BO661" i="4"/>
  <c r="BK661" i="4"/>
  <c r="BA661" i="4"/>
  <c r="AW661" i="4"/>
  <c r="AS661" i="4"/>
  <c r="AO661" i="4"/>
  <c r="AK661" i="4"/>
  <c r="AG661" i="4"/>
  <c r="AC661" i="4"/>
  <c r="Y661" i="4"/>
  <c r="U661" i="4"/>
  <c r="Q661" i="4"/>
  <c r="M661" i="4"/>
  <c r="CN660" i="4"/>
  <c r="CJ660" i="4"/>
  <c r="CF660" i="4"/>
  <c r="CB660" i="4"/>
  <c r="BW660" i="4"/>
  <c r="BS660" i="4"/>
  <c r="BO660" i="4"/>
  <c r="BK660" i="4"/>
  <c r="BA660" i="4"/>
  <c r="AW660" i="4"/>
  <c r="AS660" i="4"/>
  <c r="AO660" i="4"/>
  <c r="AK660" i="4"/>
  <c r="AG660" i="4"/>
  <c r="AC660" i="4"/>
  <c r="Y660" i="4"/>
  <c r="U660" i="4"/>
  <c r="Q660" i="4"/>
  <c r="M660" i="4"/>
  <c r="CN659" i="4"/>
  <c r="CJ659" i="4"/>
  <c r="CF659" i="4"/>
  <c r="CB659" i="4"/>
  <c r="BW659" i="4"/>
  <c r="BS659" i="4"/>
  <c r="BO659" i="4"/>
  <c r="BK659" i="4"/>
  <c r="BA659" i="4"/>
  <c r="AW659" i="4"/>
  <c r="AS659" i="4"/>
  <c r="AO659" i="4"/>
  <c r="AK659" i="4"/>
  <c r="AG659" i="4"/>
  <c r="AC659" i="4"/>
  <c r="Y659" i="4"/>
  <c r="U659" i="4"/>
  <c r="Q659" i="4"/>
  <c r="M659" i="4"/>
  <c r="CN658" i="4"/>
  <c r="CJ658" i="4"/>
  <c r="CF658" i="4"/>
  <c r="CB658" i="4"/>
  <c r="BW658" i="4"/>
  <c r="BS658" i="4"/>
  <c r="BO658" i="4"/>
  <c r="BK658" i="4"/>
  <c r="BA658" i="4"/>
  <c r="AW658" i="4"/>
  <c r="AS658" i="4"/>
  <c r="AO658" i="4"/>
  <c r="AK658" i="4"/>
  <c r="AG658" i="4"/>
  <c r="AC658" i="4"/>
  <c r="Y658" i="4"/>
  <c r="U658" i="4"/>
  <c r="Q658" i="4"/>
  <c r="M658" i="4"/>
  <c r="CN657" i="4"/>
  <c r="CJ657" i="4"/>
  <c r="CF657" i="4"/>
  <c r="CB657" i="4"/>
  <c r="BW657" i="4"/>
  <c r="BS657" i="4"/>
  <c r="BO657" i="4"/>
  <c r="BK657" i="4"/>
  <c r="BA657" i="4"/>
  <c r="AW657" i="4"/>
  <c r="AS657" i="4"/>
  <c r="AO657" i="4"/>
  <c r="AK657" i="4"/>
  <c r="AG657" i="4"/>
  <c r="AC657" i="4"/>
  <c r="Y657" i="4"/>
  <c r="U657" i="4"/>
  <c r="Q657" i="4"/>
  <c r="M657" i="4"/>
  <c r="CN656" i="4"/>
  <c r="CJ656" i="4"/>
  <c r="CF656" i="4"/>
  <c r="CB656" i="4"/>
  <c r="BW656" i="4"/>
  <c r="BS656" i="4"/>
  <c r="BO656" i="4"/>
  <c r="BK656" i="4"/>
  <c r="BA656" i="4"/>
  <c r="AW656" i="4"/>
  <c r="AS656" i="4"/>
  <c r="AO656" i="4"/>
  <c r="AK656" i="4"/>
  <c r="AG656" i="4"/>
  <c r="AC656" i="4"/>
  <c r="Y656" i="4"/>
  <c r="U656" i="4"/>
  <c r="Q656" i="4"/>
  <c r="M656" i="4"/>
  <c r="CN655" i="4"/>
  <c r="CJ655" i="4"/>
  <c r="CF655" i="4"/>
  <c r="CB655" i="4"/>
  <c r="BW655" i="4"/>
  <c r="BS655" i="4"/>
  <c r="BO655" i="4"/>
  <c r="BK655" i="4"/>
  <c r="BA655" i="4"/>
  <c r="AW655" i="4"/>
  <c r="AS655" i="4"/>
  <c r="AO655" i="4"/>
  <c r="AK655" i="4"/>
  <c r="AG655" i="4"/>
  <c r="AC655" i="4"/>
  <c r="Y655" i="4"/>
  <c r="U655" i="4"/>
  <c r="Q655" i="4"/>
  <c r="M655" i="4"/>
  <c r="CN654" i="4"/>
  <c r="CJ654" i="4"/>
  <c r="CF654" i="4"/>
  <c r="CB654" i="4"/>
  <c r="BW654" i="4"/>
  <c r="BS654" i="4"/>
  <c r="BO654" i="4"/>
  <c r="BK654" i="4"/>
  <c r="BA654" i="4"/>
  <c r="AW654" i="4"/>
  <c r="AS654" i="4"/>
  <c r="AO654" i="4"/>
  <c r="AK654" i="4"/>
  <c r="AG654" i="4"/>
  <c r="AC654" i="4"/>
  <c r="Y654" i="4"/>
  <c r="U654" i="4"/>
  <c r="Q654" i="4"/>
  <c r="M654" i="4"/>
  <c r="CN653" i="4"/>
  <c r="CJ653" i="4"/>
  <c r="CF653" i="4"/>
  <c r="CB653" i="4"/>
  <c r="BW653" i="4"/>
  <c r="BS653" i="4"/>
  <c r="BO653" i="4"/>
  <c r="BK653" i="4"/>
  <c r="BA653" i="4"/>
  <c r="AW653" i="4"/>
  <c r="AS653" i="4"/>
  <c r="AO653" i="4"/>
  <c r="AK653" i="4"/>
  <c r="AG653" i="4"/>
  <c r="AC653" i="4"/>
  <c r="Y653" i="4"/>
  <c r="U653" i="4"/>
  <c r="Q653" i="4"/>
  <c r="M653" i="4"/>
  <c r="CN652" i="4"/>
  <c r="CJ652" i="4"/>
  <c r="CF652" i="4"/>
  <c r="CB652" i="4"/>
  <c r="BW652" i="4"/>
  <c r="BS652" i="4"/>
  <c r="BO652" i="4"/>
  <c r="BK652" i="4"/>
  <c r="BA652" i="4"/>
  <c r="AW652" i="4"/>
  <c r="AS652" i="4"/>
  <c r="AO652" i="4"/>
  <c r="AK652" i="4"/>
  <c r="AG652" i="4"/>
  <c r="AC652" i="4"/>
  <c r="Y652" i="4"/>
  <c r="U652" i="4"/>
  <c r="Q652" i="4"/>
  <c r="M652" i="4"/>
  <c r="CN651" i="4"/>
  <c r="CJ651" i="4"/>
  <c r="CF651" i="4"/>
  <c r="CB651" i="4"/>
  <c r="BW651" i="4"/>
  <c r="BS651" i="4"/>
  <c r="BO651" i="4"/>
  <c r="BK651" i="4"/>
  <c r="BA651" i="4"/>
  <c r="AW651" i="4"/>
  <c r="AS651" i="4"/>
  <c r="AO651" i="4"/>
  <c r="AK651" i="4"/>
  <c r="AG651" i="4"/>
  <c r="AC651" i="4"/>
  <c r="Y651" i="4"/>
  <c r="U651" i="4"/>
  <c r="Q651" i="4"/>
  <c r="M651" i="4"/>
  <c r="CN650" i="4"/>
  <c r="CJ650" i="4"/>
  <c r="CF650" i="4"/>
  <c r="CB650" i="4"/>
  <c r="BW650" i="4"/>
  <c r="BS650" i="4"/>
  <c r="BO650" i="4"/>
  <c r="BK650" i="4"/>
  <c r="BA650" i="4"/>
  <c r="AW650" i="4"/>
  <c r="AS650" i="4"/>
  <c r="AO650" i="4"/>
  <c r="AK650" i="4"/>
  <c r="AG650" i="4"/>
  <c r="AC650" i="4"/>
  <c r="Y650" i="4"/>
  <c r="U650" i="4"/>
  <c r="Q650" i="4"/>
  <c r="M650" i="4"/>
  <c r="CN649" i="4"/>
  <c r="CJ649" i="4"/>
  <c r="CF649" i="4"/>
  <c r="CB649" i="4"/>
  <c r="BW649" i="4"/>
  <c r="BS649" i="4"/>
  <c r="BO649" i="4"/>
  <c r="BK649" i="4"/>
  <c r="BA649" i="4"/>
  <c r="AW649" i="4"/>
  <c r="AS649" i="4"/>
  <c r="AO649" i="4"/>
  <c r="AK649" i="4"/>
  <c r="AG649" i="4"/>
  <c r="AC649" i="4"/>
  <c r="Y649" i="4"/>
  <c r="U649" i="4"/>
  <c r="Q649" i="4"/>
  <c r="M649" i="4"/>
  <c r="CN648" i="4"/>
  <c r="CJ648" i="4"/>
  <c r="CF648" i="4"/>
  <c r="CB648" i="4"/>
  <c r="BW648" i="4"/>
  <c r="BS648" i="4"/>
  <c r="BO648" i="4"/>
  <c r="BK648" i="4"/>
  <c r="BA648" i="4"/>
  <c r="AW648" i="4"/>
  <c r="AS648" i="4"/>
  <c r="AO648" i="4"/>
  <c r="AK648" i="4"/>
  <c r="AG648" i="4"/>
  <c r="AC648" i="4"/>
  <c r="Y648" i="4"/>
  <c r="U648" i="4"/>
  <c r="Q648" i="4"/>
  <c r="M648" i="4"/>
  <c r="CN647" i="4"/>
  <c r="CJ647" i="4"/>
  <c r="CF647" i="4"/>
  <c r="CB647" i="4"/>
  <c r="BW647" i="4"/>
  <c r="BS647" i="4"/>
  <c r="BO647" i="4"/>
  <c r="BK647" i="4"/>
  <c r="BA647" i="4"/>
  <c r="AW647" i="4"/>
  <c r="AS647" i="4"/>
  <c r="AO647" i="4"/>
  <c r="AK647" i="4"/>
  <c r="AG647" i="4"/>
  <c r="AC647" i="4"/>
  <c r="Y647" i="4"/>
  <c r="U647" i="4"/>
  <c r="Q647" i="4"/>
  <c r="M647" i="4"/>
  <c r="CN646" i="4"/>
  <c r="CJ646" i="4"/>
  <c r="CF646" i="4"/>
  <c r="CB646" i="4"/>
  <c r="BW646" i="4"/>
  <c r="BS646" i="4"/>
  <c r="BO646" i="4"/>
  <c r="BK646" i="4"/>
  <c r="BA646" i="4"/>
  <c r="AW646" i="4"/>
  <c r="AS646" i="4"/>
  <c r="AO646" i="4"/>
  <c r="AK646" i="4"/>
  <c r="AG646" i="4"/>
  <c r="AC646" i="4"/>
  <c r="Y646" i="4"/>
  <c r="U646" i="4"/>
  <c r="Q646" i="4"/>
  <c r="M646" i="4"/>
  <c r="CN645" i="4"/>
  <c r="CJ645" i="4"/>
  <c r="CF645" i="4"/>
  <c r="CB645" i="4"/>
  <c r="BW645" i="4"/>
  <c r="BS645" i="4"/>
  <c r="BO645" i="4"/>
  <c r="BK645" i="4"/>
  <c r="BA645" i="4"/>
  <c r="AW645" i="4"/>
  <c r="AS645" i="4"/>
  <c r="AO645" i="4"/>
  <c r="AK645" i="4"/>
  <c r="AG645" i="4"/>
  <c r="AC645" i="4"/>
  <c r="Y645" i="4"/>
  <c r="U645" i="4"/>
  <c r="Q645" i="4"/>
  <c r="M645" i="4"/>
  <c r="CN644" i="4"/>
  <c r="CJ644" i="4"/>
  <c r="CF644" i="4"/>
  <c r="CB644" i="4"/>
  <c r="BW644" i="4"/>
  <c r="BS644" i="4"/>
  <c r="BO644" i="4"/>
  <c r="BK644" i="4"/>
  <c r="BA644" i="4"/>
  <c r="AW644" i="4"/>
  <c r="AS644" i="4"/>
  <c r="AO644" i="4"/>
  <c r="AK644" i="4"/>
  <c r="AG644" i="4"/>
  <c r="AC644" i="4"/>
  <c r="Y644" i="4"/>
  <c r="U644" i="4"/>
  <c r="Q644" i="4"/>
  <c r="M644" i="4"/>
  <c r="CN643" i="4"/>
  <c r="CJ643" i="4"/>
  <c r="CF643" i="4"/>
  <c r="CB643" i="4"/>
  <c r="BW643" i="4"/>
  <c r="BS643" i="4"/>
  <c r="BO643" i="4"/>
  <c r="BK643" i="4"/>
  <c r="BA643" i="4"/>
  <c r="AW643" i="4"/>
  <c r="AS643" i="4"/>
  <c r="AO643" i="4"/>
  <c r="AK643" i="4"/>
  <c r="AG643" i="4"/>
  <c r="AC643" i="4"/>
  <c r="Y643" i="4"/>
  <c r="U643" i="4"/>
  <c r="Q643" i="4"/>
  <c r="M643" i="4"/>
  <c r="CN642" i="4"/>
  <c r="CJ642" i="4"/>
  <c r="CF642" i="4"/>
  <c r="CB642" i="4"/>
  <c r="BW642" i="4"/>
  <c r="BS642" i="4"/>
  <c r="BO642" i="4"/>
  <c r="BK642" i="4"/>
  <c r="BA642" i="4"/>
  <c r="AW642" i="4"/>
  <c r="AS642" i="4"/>
  <c r="AO642" i="4"/>
  <c r="AK642" i="4"/>
  <c r="AG642" i="4"/>
  <c r="AC642" i="4"/>
  <c r="Y642" i="4"/>
  <c r="U642" i="4"/>
  <c r="Q642" i="4"/>
  <c r="M642" i="4"/>
  <c r="CN641" i="4"/>
  <c r="CJ641" i="4"/>
  <c r="CF641" i="4"/>
  <c r="CB641" i="4"/>
  <c r="BW641" i="4"/>
  <c r="BS641" i="4"/>
  <c r="BO641" i="4"/>
  <c r="BK641" i="4"/>
  <c r="BA641" i="4"/>
  <c r="AW641" i="4"/>
  <c r="AS641" i="4"/>
  <c r="AO641" i="4"/>
  <c r="AK641" i="4"/>
  <c r="AG641" i="4"/>
  <c r="AC641" i="4"/>
  <c r="Y641" i="4"/>
  <c r="U641" i="4"/>
  <c r="Q641" i="4"/>
  <c r="M641" i="4"/>
  <c r="CN640" i="4"/>
  <c r="CJ640" i="4"/>
  <c r="CF640" i="4"/>
  <c r="CB640" i="4"/>
  <c r="BW640" i="4"/>
  <c r="BS640" i="4"/>
  <c r="BO640" i="4"/>
  <c r="BK640" i="4"/>
  <c r="BA640" i="4"/>
  <c r="AW640" i="4"/>
  <c r="AS640" i="4"/>
  <c r="AO640" i="4"/>
  <c r="AK640" i="4"/>
  <c r="AG640" i="4"/>
  <c r="AC640" i="4"/>
  <c r="Y640" i="4"/>
  <c r="U640" i="4"/>
  <c r="Q640" i="4"/>
  <c r="M640" i="4"/>
  <c r="CN639" i="4"/>
  <c r="CJ639" i="4"/>
  <c r="CF639" i="4"/>
  <c r="CB639" i="4"/>
  <c r="BW639" i="4"/>
  <c r="BS639" i="4"/>
  <c r="BO639" i="4"/>
  <c r="BK639" i="4"/>
  <c r="BA639" i="4"/>
  <c r="AW639" i="4"/>
  <c r="AS639" i="4"/>
  <c r="AO639" i="4"/>
  <c r="AK639" i="4"/>
  <c r="AG639" i="4"/>
  <c r="AC639" i="4"/>
  <c r="Y639" i="4"/>
  <c r="U639" i="4"/>
  <c r="Q639" i="4"/>
  <c r="M639" i="4"/>
  <c r="CN638" i="4"/>
  <c r="CJ638" i="4"/>
  <c r="CF638" i="4"/>
  <c r="CB638" i="4"/>
  <c r="BW638" i="4"/>
  <c r="BS638" i="4"/>
  <c r="BO638" i="4"/>
  <c r="BK638" i="4"/>
  <c r="BA638" i="4"/>
  <c r="AW638" i="4"/>
  <c r="AS638" i="4"/>
  <c r="AO638" i="4"/>
  <c r="AK638" i="4"/>
  <c r="AG638" i="4"/>
  <c r="AC638" i="4"/>
  <c r="Y638" i="4"/>
  <c r="U638" i="4"/>
  <c r="Q638" i="4"/>
  <c r="M638" i="4"/>
  <c r="CN637" i="4"/>
  <c r="CJ637" i="4"/>
  <c r="CF637" i="4"/>
  <c r="CB637" i="4"/>
  <c r="BW637" i="4"/>
  <c r="BS637" i="4"/>
  <c r="BO637" i="4"/>
  <c r="BK637" i="4"/>
  <c r="BA637" i="4"/>
  <c r="AW637" i="4"/>
  <c r="AS637" i="4"/>
  <c r="AO637" i="4"/>
  <c r="AK637" i="4"/>
  <c r="AG637" i="4"/>
  <c r="AC637" i="4"/>
  <c r="Y637" i="4"/>
  <c r="U637" i="4"/>
  <c r="Q637" i="4"/>
  <c r="M637" i="4"/>
  <c r="CN636" i="4"/>
  <c r="CJ636" i="4"/>
  <c r="CF636" i="4"/>
  <c r="CB636" i="4"/>
  <c r="BW636" i="4"/>
  <c r="BS636" i="4"/>
  <c r="BO636" i="4"/>
  <c r="BK636" i="4"/>
  <c r="BA636" i="4"/>
  <c r="AW636" i="4"/>
  <c r="AS636" i="4"/>
  <c r="AO636" i="4"/>
  <c r="AK636" i="4"/>
  <c r="AG636" i="4"/>
  <c r="AC636" i="4"/>
  <c r="Y636" i="4"/>
  <c r="U636" i="4"/>
  <c r="Q636" i="4"/>
  <c r="M636" i="4"/>
  <c r="CN635" i="4"/>
  <c r="CJ635" i="4"/>
  <c r="CF635" i="4"/>
  <c r="CB635" i="4"/>
  <c r="BW635" i="4"/>
  <c r="BS635" i="4"/>
  <c r="BO635" i="4"/>
  <c r="BK635" i="4"/>
  <c r="BA635" i="4"/>
  <c r="AW635" i="4"/>
  <c r="AS635" i="4"/>
  <c r="AO635" i="4"/>
  <c r="AK635" i="4"/>
  <c r="AG635" i="4"/>
  <c r="AC635" i="4"/>
  <c r="Y635" i="4"/>
  <c r="U635" i="4"/>
  <c r="Q635" i="4"/>
  <c r="M635" i="4"/>
  <c r="CN634" i="4"/>
  <c r="CJ634" i="4"/>
  <c r="CF634" i="4"/>
  <c r="CB634" i="4"/>
  <c r="BW634" i="4"/>
  <c r="BS634" i="4"/>
  <c r="BO634" i="4"/>
  <c r="BK634" i="4"/>
  <c r="BA634" i="4"/>
  <c r="AW634" i="4"/>
  <c r="AS634" i="4"/>
  <c r="AO634" i="4"/>
  <c r="AK634" i="4"/>
  <c r="AG634" i="4"/>
  <c r="AC634" i="4"/>
  <c r="Y634" i="4"/>
  <c r="U634" i="4"/>
  <c r="Q634" i="4"/>
  <c r="M634" i="4"/>
  <c r="CN633" i="4"/>
  <c r="CJ633" i="4"/>
  <c r="CF633" i="4"/>
  <c r="CB633" i="4"/>
  <c r="BW633" i="4"/>
  <c r="BS633" i="4"/>
  <c r="BO633" i="4"/>
  <c r="BK633" i="4"/>
  <c r="BA633" i="4"/>
  <c r="AW633" i="4"/>
  <c r="AS633" i="4"/>
  <c r="AO633" i="4"/>
  <c r="AK633" i="4"/>
  <c r="AG633" i="4"/>
  <c r="AC633" i="4"/>
  <c r="Y633" i="4"/>
  <c r="U633" i="4"/>
  <c r="Q633" i="4"/>
  <c r="M633" i="4"/>
  <c r="CN632" i="4"/>
  <c r="CJ632" i="4"/>
  <c r="CF632" i="4"/>
  <c r="CB632" i="4"/>
  <c r="BW632" i="4"/>
  <c r="BS632" i="4"/>
  <c r="BO632" i="4"/>
  <c r="BK632" i="4"/>
  <c r="BA632" i="4"/>
  <c r="AW632" i="4"/>
  <c r="AS632" i="4"/>
  <c r="AO632" i="4"/>
  <c r="AK632" i="4"/>
  <c r="AG632" i="4"/>
  <c r="AC632" i="4"/>
  <c r="Y632" i="4"/>
  <c r="U632" i="4"/>
  <c r="Q632" i="4"/>
  <c r="M632" i="4"/>
  <c r="CN631" i="4"/>
  <c r="CJ631" i="4"/>
  <c r="CF631" i="4"/>
  <c r="CB631" i="4"/>
  <c r="BW631" i="4"/>
  <c r="BS631" i="4"/>
  <c r="BO631" i="4"/>
  <c r="BK631" i="4"/>
  <c r="BA631" i="4"/>
  <c r="AW631" i="4"/>
  <c r="AS631" i="4"/>
  <c r="AO631" i="4"/>
  <c r="AK631" i="4"/>
  <c r="AG631" i="4"/>
  <c r="AC631" i="4"/>
  <c r="Y631" i="4"/>
  <c r="U631" i="4"/>
  <c r="Q631" i="4"/>
  <c r="M631" i="4"/>
  <c r="CN630" i="4"/>
  <c r="CJ630" i="4"/>
  <c r="CF630" i="4"/>
  <c r="CB630" i="4"/>
  <c r="BW630" i="4"/>
  <c r="BS630" i="4"/>
  <c r="BO630" i="4"/>
  <c r="BK630" i="4"/>
  <c r="BA630" i="4"/>
  <c r="AW630" i="4"/>
  <c r="AS630" i="4"/>
  <c r="AO630" i="4"/>
  <c r="AK630" i="4"/>
  <c r="AG630" i="4"/>
  <c r="AC630" i="4"/>
  <c r="Y630" i="4"/>
  <c r="U630" i="4"/>
  <c r="Q630" i="4"/>
  <c r="M630" i="4"/>
  <c r="CN629" i="4"/>
  <c r="CJ629" i="4"/>
  <c r="CF629" i="4"/>
  <c r="CB629" i="4"/>
  <c r="BW629" i="4"/>
  <c r="BS629" i="4"/>
  <c r="BO629" i="4"/>
  <c r="BK629" i="4"/>
  <c r="BA629" i="4"/>
  <c r="AW629" i="4"/>
  <c r="AS629" i="4"/>
  <c r="AO629" i="4"/>
  <c r="AK629" i="4"/>
  <c r="AG629" i="4"/>
  <c r="AC629" i="4"/>
  <c r="Y629" i="4"/>
  <c r="U629" i="4"/>
  <c r="Q629" i="4"/>
  <c r="M629" i="4"/>
  <c r="CN628" i="4"/>
  <c r="CJ628" i="4"/>
  <c r="CF628" i="4"/>
  <c r="CB628" i="4"/>
  <c r="BW628" i="4"/>
  <c r="BS628" i="4"/>
  <c r="BO628" i="4"/>
  <c r="BK628" i="4"/>
  <c r="BA628" i="4"/>
  <c r="AW628" i="4"/>
  <c r="AS628" i="4"/>
  <c r="AO628" i="4"/>
  <c r="AK628" i="4"/>
  <c r="AG628" i="4"/>
  <c r="AC628" i="4"/>
  <c r="Y628" i="4"/>
  <c r="U628" i="4"/>
  <c r="Q628" i="4"/>
  <c r="M628" i="4"/>
  <c r="CN627" i="4"/>
  <c r="CJ627" i="4"/>
  <c r="CF627" i="4"/>
  <c r="CB627" i="4"/>
  <c r="BW627" i="4"/>
  <c r="BS627" i="4"/>
  <c r="BO627" i="4"/>
  <c r="BK627" i="4"/>
  <c r="BA627" i="4"/>
  <c r="AW627" i="4"/>
  <c r="AS627" i="4"/>
  <c r="AO627" i="4"/>
  <c r="AK627" i="4"/>
  <c r="AG627" i="4"/>
  <c r="AC627" i="4"/>
  <c r="Y627" i="4"/>
  <c r="U627" i="4"/>
  <c r="Q627" i="4"/>
  <c r="M627" i="4"/>
  <c r="CN626" i="4"/>
  <c r="CJ626" i="4"/>
  <c r="CF626" i="4"/>
  <c r="CB626" i="4"/>
  <c r="BW626" i="4"/>
  <c r="BS626" i="4"/>
  <c r="BO626" i="4"/>
  <c r="BK626" i="4"/>
  <c r="BA626" i="4"/>
  <c r="AW626" i="4"/>
  <c r="AS626" i="4"/>
  <c r="AO626" i="4"/>
  <c r="AK626" i="4"/>
  <c r="AG626" i="4"/>
  <c r="AC626" i="4"/>
  <c r="Y626" i="4"/>
  <c r="U626" i="4"/>
  <c r="Q626" i="4"/>
  <c r="M626" i="4"/>
  <c r="CN625" i="4"/>
  <c r="CJ625" i="4"/>
  <c r="CF625" i="4"/>
  <c r="CB625" i="4"/>
  <c r="BW625" i="4"/>
  <c r="BS625" i="4"/>
  <c r="BO625" i="4"/>
  <c r="BK625" i="4"/>
  <c r="BA625" i="4"/>
  <c r="AW625" i="4"/>
  <c r="AS625" i="4"/>
  <c r="AO625" i="4"/>
  <c r="AK625" i="4"/>
  <c r="AG625" i="4"/>
  <c r="AC625" i="4"/>
  <c r="Y625" i="4"/>
  <c r="U625" i="4"/>
  <c r="Q625" i="4"/>
  <c r="M625" i="4"/>
  <c r="CN624" i="4"/>
  <c r="CJ624" i="4"/>
  <c r="CF624" i="4"/>
  <c r="CB624" i="4"/>
  <c r="BW624" i="4"/>
  <c r="BS624" i="4"/>
  <c r="BO624" i="4"/>
  <c r="BK624" i="4"/>
  <c r="BA624" i="4"/>
  <c r="AW624" i="4"/>
  <c r="AS624" i="4"/>
  <c r="AO624" i="4"/>
  <c r="AK624" i="4"/>
  <c r="AG624" i="4"/>
  <c r="AC624" i="4"/>
  <c r="Y624" i="4"/>
  <c r="U624" i="4"/>
  <c r="Q624" i="4"/>
  <c r="M624" i="4"/>
  <c r="CN623" i="4"/>
  <c r="CJ623" i="4"/>
  <c r="CF623" i="4"/>
  <c r="CB623" i="4"/>
  <c r="BW623" i="4"/>
  <c r="BS623" i="4"/>
  <c r="BO623" i="4"/>
  <c r="BK623" i="4"/>
  <c r="BA623" i="4"/>
  <c r="AW623" i="4"/>
  <c r="AS623" i="4"/>
  <c r="AO623" i="4"/>
  <c r="AK623" i="4"/>
  <c r="AG623" i="4"/>
  <c r="AC623" i="4"/>
  <c r="Y623" i="4"/>
  <c r="U623" i="4"/>
  <c r="Q623" i="4"/>
  <c r="M623" i="4"/>
  <c r="CN622" i="4"/>
  <c r="CJ622" i="4"/>
  <c r="CF622" i="4"/>
  <c r="CB622" i="4"/>
  <c r="BW622" i="4"/>
  <c r="BS622" i="4"/>
  <c r="BO622" i="4"/>
  <c r="BK622" i="4"/>
  <c r="BA622" i="4"/>
  <c r="AW622" i="4"/>
  <c r="AS622" i="4"/>
  <c r="AO622" i="4"/>
  <c r="AK622" i="4"/>
  <c r="AG622" i="4"/>
  <c r="AC622" i="4"/>
  <c r="Y622" i="4"/>
  <c r="U622" i="4"/>
  <c r="Q622" i="4"/>
  <c r="M622" i="4"/>
  <c r="CN621" i="4"/>
  <c r="CJ621" i="4"/>
  <c r="CF621" i="4"/>
  <c r="CB621" i="4"/>
  <c r="BW621" i="4"/>
  <c r="BS621" i="4"/>
  <c r="BO621" i="4"/>
  <c r="BK621" i="4"/>
  <c r="BA621" i="4"/>
  <c r="AW621" i="4"/>
  <c r="AS621" i="4"/>
  <c r="AO621" i="4"/>
  <c r="AK621" i="4"/>
  <c r="AG621" i="4"/>
  <c r="AC621" i="4"/>
  <c r="Y621" i="4"/>
  <c r="U621" i="4"/>
  <c r="Q621" i="4"/>
  <c r="M621" i="4"/>
  <c r="CN620" i="4"/>
  <c r="CJ620" i="4"/>
  <c r="CF620" i="4"/>
  <c r="CB620" i="4"/>
  <c r="BW620" i="4"/>
  <c r="BS620" i="4"/>
  <c r="BO620" i="4"/>
  <c r="BK620" i="4"/>
  <c r="BA620" i="4"/>
  <c r="AW620" i="4"/>
  <c r="AS620" i="4"/>
  <c r="AO620" i="4"/>
  <c r="AK620" i="4"/>
  <c r="AG620" i="4"/>
  <c r="AC620" i="4"/>
  <c r="Y620" i="4"/>
  <c r="U620" i="4"/>
  <c r="Q620" i="4"/>
  <c r="M620" i="4"/>
  <c r="CN619" i="4"/>
  <c r="CJ619" i="4"/>
  <c r="CF619" i="4"/>
  <c r="CB619" i="4"/>
  <c r="BW619" i="4"/>
  <c r="BS619" i="4"/>
  <c r="BO619" i="4"/>
  <c r="BK619" i="4"/>
  <c r="BA619" i="4"/>
  <c r="AW619" i="4"/>
  <c r="AS619" i="4"/>
  <c r="AO619" i="4"/>
  <c r="AK619" i="4"/>
  <c r="AG619" i="4"/>
  <c r="AC619" i="4"/>
  <c r="Y619" i="4"/>
  <c r="U619" i="4"/>
  <c r="Q619" i="4"/>
  <c r="M619" i="4"/>
  <c r="CN618" i="4"/>
  <c r="CJ618" i="4"/>
  <c r="CF618" i="4"/>
  <c r="CB618" i="4"/>
  <c r="BW618" i="4"/>
  <c r="BS618" i="4"/>
  <c r="BO618" i="4"/>
  <c r="BK618" i="4"/>
  <c r="BA618" i="4"/>
  <c r="AW618" i="4"/>
  <c r="AS618" i="4"/>
  <c r="AO618" i="4"/>
  <c r="AK618" i="4"/>
  <c r="AG618" i="4"/>
  <c r="AC618" i="4"/>
  <c r="Y618" i="4"/>
  <c r="U618" i="4"/>
  <c r="Q618" i="4"/>
  <c r="M618" i="4"/>
  <c r="CN617" i="4"/>
  <c r="CJ617" i="4"/>
  <c r="CF617" i="4"/>
  <c r="CB617" i="4"/>
  <c r="BW617" i="4"/>
  <c r="BS617" i="4"/>
  <c r="BO617" i="4"/>
  <c r="BK617" i="4"/>
  <c r="BA617" i="4"/>
  <c r="AW617" i="4"/>
  <c r="AS617" i="4"/>
  <c r="AO617" i="4"/>
  <c r="AK617" i="4"/>
  <c r="AG617" i="4"/>
  <c r="AC617" i="4"/>
  <c r="Y617" i="4"/>
  <c r="U617" i="4"/>
  <c r="Q617" i="4"/>
  <c r="M617" i="4"/>
  <c r="CN616" i="4"/>
  <c r="CJ616" i="4"/>
  <c r="CF616" i="4"/>
  <c r="CB616" i="4"/>
  <c r="BW616" i="4"/>
  <c r="BS616" i="4"/>
  <c r="BO616" i="4"/>
  <c r="BK616" i="4"/>
  <c r="BA616" i="4"/>
  <c r="AW616" i="4"/>
  <c r="AS616" i="4"/>
  <c r="AO616" i="4"/>
  <c r="AK616" i="4"/>
  <c r="AG616" i="4"/>
  <c r="AC616" i="4"/>
  <c r="Y616" i="4"/>
  <c r="U616" i="4"/>
  <c r="Q616" i="4"/>
  <c r="M616" i="4"/>
  <c r="CN615" i="4"/>
  <c r="CJ615" i="4"/>
  <c r="CF615" i="4"/>
  <c r="CB615" i="4"/>
  <c r="BW615" i="4"/>
  <c r="BS615" i="4"/>
  <c r="BO615" i="4"/>
  <c r="BK615" i="4"/>
  <c r="BA615" i="4"/>
  <c r="AW615" i="4"/>
  <c r="AS615" i="4"/>
  <c r="AO615" i="4"/>
  <c r="AK615" i="4"/>
  <c r="AG615" i="4"/>
  <c r="AC615" i="4"/>
  <c r="Y615" i="4"/>
  <c r="U615" i="4"/>
  <c r="Q615" i="4"/>
  <c r="M615" i="4"/>
  <c r="CN614" i="4"/>
  <c r="CJ614" i="4"/>
  <c r="CF614" i="4"/>
  <c r="CB614" i="4"/>
  <c r="BW614" i="4"/>
  <c r="BS614" i="4"/>
  <c r="BO614" i="4"/>
  <c r="BK614" i="4"/>
  <c r="BA614" i="4"/>
  <c r="AW614" i="4"/>
  <c r="AS614" i="4"/>
  <c r="AO614" i="4"/>
  <c r="AK614" i="4"/>
  <c r="AG614" i="4"/>
  <c r="AC614" i="4"/>
  <c r="Y614" i="4"/>
  <c r="U614" i="4"/>
  <c r="Q614" i="4"/>
  <c r="M614" i="4"/>
  <c r="CN613" i="4"/>
  <c r="CJ613" i="4"/>
  <c r="CF613" i="4"/>
  <c r="CB613" i="4"/>
  <c r="BW613" i="4"/>
  <c r="BS613" i="4"/>
  <c r="BO613" i="4"/>
  <c r="BK613" i="4"/>
  <c r="BA613" i="4"/>
  <c r="AW613" i="4"/>
  <c r="AS613" i="4"/>
  <c r="AO613" i="4"/>
  <c r="AK613" i="4"/>
  <c r="AG613" i="4"/>
  <c r="AC613" i="4"/>
  <c r="Y613" i="4"/>
  <c r="U613" i="4"/>
  <c r="Q613" i="4"/>
  <c r="M613" i="4"/>
  <c r="CN612" i="4"/>
  <c r="CJ612" i="4"/>
  <c r="CF612" i="4"/>
  <c r="CB612" i="4"/>
  <c r="BW612" i="4"/>
  <c r="BS612" i="4"/>
  <c r="BO612" i="4"/>
  <c r="BK612" i="4"/>
  <c r="BA612" i="4"/>
  <c r="AW612" i="4"/>
  <c r="AS612" i="4"/>
  <c r="AO612" i="4"/>
  <c r="AK612" i="4"/>
  <c r="AG612" i="4"/>
  <c r="AC612" i="4"/>
  <c r="Y612" i="4"/>
  <c r="U612" i="4"/>
  <c r="Q612" i="4"/>
  <c r="M612" i="4"/>
  <c r="CN611" i="4"/>
  <c r="CJ611" i="4"/>
  <c r="CF611" i="4"/>
  <c r="CB611" i="4"/>
  <c r="BW611" i="4"/>
  <c r="BS611" i="4"/>
  <c r="BO611" i="4"/>
  <c r="BK611" i="4"/>
  <c r="BA611" i="4"/>
  <c r="AW611" i="4"/>
  <c r="AS611" i="4"/>
  <c r="AO611" i="4"/>
  <c r="AK611" i="4"/>
  <c r="AG611" i="4"/>
  <c r="AC611" i="4"/>
  <c r="Y611" i="4"/>
  <c r="U611" i="4"/>
  <c r="Q611" i="4"/>
  <c r="M611" i="4"/>
  <c r="CN610" i="4"/>
  <c r="CJ610" i="4"/>
  <c r="CF610" i="4"/>
  <c r="CB610" i="4"/>
  <c r="BW610" i="4"/>
  <c r="BS610" i="4"/>
  <c r="BO610" i="4"/>
  <c r="BK610" i="4"/>
  <c r="BA610" i="4"/>
  <c r="AW610" i="4"/>
  <c r="AS610" i="4"/>
  <c r="AO610" i="4"/>
  <c r="AK610" i="4"/>
  <c r="AG610" i="4"/>
  <c r="AC610" i="4"/>
  <c r="Y610" i="4"/>
  <c r="U610" i="4"/>
  <c r="Q610" i="4"/>
  <c r="M610" i="4"/>
  <c r="CN609" i="4"/>
  <c r="CJ609" i="4"/>
  <c r="CF609" i="4"/>
  <c r="CB609" i="4"/>
  <c r="BW609" i="4"/>
  <c r="BS609" i="4"/>
  <c r="BO609" i="4"/>
  <c r="BK609" i="4"/>
  <c r="BA609" i="4"/>
  <c r="AW609" i="4"/>
  <c r="AS609" i="4"/>
  <c r="AO609" i="4"/>
  <c r="AK609" i="4"/>
  <c r="AG609" i="4"/>
  <c r="AC609" i="4"/>
  <c r="Y609" i="4"/>
  <c r="U609" i="4"/>
  <c r="Q609" i="4"/>
  <c r="M609" i="4"/>
  <c r="CN608" i="4"/>
  <c r="CJ608" i="4"/>
  <c r="CF608" i="4"/>
  <c r="CB608" i="4"/>
  <c r="BW608" i="4"/>
  <c r="BS608" i="4"/>
  <c r="BO608" i="4"/>
  <c r="BK608" i="4"/>
  <c r="BA608" i="4"/>
  <c r="AW608" i="4"/>
  <c r="AS608" i="4"/>
  <c r="AO608" i="4"/>
  <c r="AK608" i="4"/>
  <c r="AG608" i="4"/>
  <c r="AC608" i="4"/>
  <c r="Y608" i="4"/>
  <c r="U608" i="4"/>
  <c r="Q608" i="4"/>
  <c r="M608" i="4"/>
  <c r="CN607" i="4"/>
  <c r="CJ607" i="4"/>
  <c r="CF607" i="4"/>
  <c r="CB607" i="4"/>
  <c r="BW607" i="4"/>
  <c r="BS607" i="4"/>
  <c r="BO607" i="4"/>
  <c r="BK607" i="4"/>
  <c r="BA607" i="4"/>
  <c r="AW607" i="4"/>
  <c r="AS607" i="4"/>
  <c r="AO607" i="4"/>
  <c r="AK607" i="4"/>
  <c r="AG607" i="4"/>
  <c r="AC607" i="4"/>
  <c r="Y607" i="4"/>
  <c r="U607" i="4"/>
  <c r="Q607" i="4"/>
  <c r="M607" i="4"/>
  <c r="CN606" i="4"/>
  <c r="CJ606" i="4"/>
  <c r="CF606" i="4"/>
  <c r="CB606" i="4"/>
  <c r="BW606" i="4"/>
  <c r="BS606" i="4"/>
  <c r="BO606" i="4"/>
  <c r="BK606" i="4"/>
  <c r="BA606" i="4"/>
  <c r="AW606" i="4"/>
  <c r="AS606" i="4"/>
  <c r="AO606" i="4"/>
  <c r="AK606" i="4"/>
  <c r="AG606" i="4"/>
  <c r="AC606" i="4"/>
  <c r="Y606" i="4"/>
  <c r="U606" i="4"/>
  <c r="Q606" i="4"/>
  <c r="M606" i="4"/>
  <c r="CN605" i="4"/>
  <c r="CJ605" i="4"/>
  <c r="CF605" i="4"/>
  <c r="CB605" i="4"/>
  <c r="BW605" i="4"/>
  <c r="BS605" i="4"/>
  <c r="BO605" i="4"/>
  <c r="BK605" i="4"/>
  <c r="BA605" i="4"/>
  <c r="AW605" i="4"/>
  <c r="AS605" i="4"/>
  <c r="AO605" i="4"/>
  <c r="AK605" i="4"/>
  <c r="AG605" i="4"/>
  <c r="AC605" i="4"/>
  <c r="Y605" i="4"/>
  <c r="U605" i="4"/>
  <c r="Q605" i="4"/>
  <c r="M605" i="4"/>
  <c r="CN604" i="4"/>
  <c r="CJ604" i="4"/>
  <c r="CF604" i="4"/>
  <c r="CB604" i="4"/>
  <c r="BW604" i="4"/>
  <c r="BS604" i="4"/>
  <c r="BO604" i="4"/>
  <c r="BK604" i="4"/>
  <c r="BA604" i="4"/>
  <c r="AW604" i="4"/>
  <c r="AS604" i="4"/>
  <c r="AO604" i="4"/>
  <c r="AK604" i="4"/>
  <c r="AG604" i="4"/>
  <c r="AC604" i="4"/>
  <c r="Y604" i="4"/>
  <c r="U604" i="4"/>
  <c r="Q604" i="4"/>
  <c r="M604" i="4"/>
  <c r="CN603" i="4"/>
  <c r="CJ603" i="4"/>
  <c r="CF603" i="4"/>
  <c r="CB603" i="4"/>
  <c r="BW603" i="4"/>
  <c r="BS603" i="4"/>
  <c r="BO603" i="4"/>
  <c r="BK603" i="4"/>
  <c r="BA603" i="4"/>
  <c r="AW603" i="4"/>
  <c r="AS603" i="4"/>
  <c r="AO603" i="4"/>
  <c r="AK603" i="4"/>
  <c r="AG603" i="4"/>
  <c r="AC603" i="4"/>
  <c r="Y603" i="4"/>
  <c r="U603" i="4"/>
  <c r="Q603" i="4"/>
  <c r="M603" i="4"/>
  <c r="CN602" i="4"/>
  <c r="CJ602" i="4"/>
  <c r="CF602" i="4"/>
  <c r="CB602" i="4"/>
  <c r="BW602" i="4"/>
  <c r="BS602" i="4"/>
  <c r="BO602" i="4"/>
  <c r="BK602" i="4"/>
  <c r="BA602" i="4"/>
  <c r="AW602" i="4"/>
  <c r="AS602" i="4"/>
  <c r="AO602" i="4"/>
  <c r="AK602" i="4"/>
  <c r="AG602" i="4"/>
  <c r="AC602" i="4"/>
  <c r="Y602" i="4"/>
  <c r="U602" i="4"/>
  <c r="Q602" i="4"/>
  <c r="M602" i="4"/>
  <c r="CN601" i="4"/>
  <c r="CJ601" i="4"/>
  <c r="CF601" i="4"/>
  <c r="CB601" i="4"/>
  <c r="BW601" i="4"/>
  <c r="BS601" i="4"/>
  <c r="BO601" i="4"/>
  <c r="BK601" i="4"/>
  <c r="BA601" i="4"/>
  <c r="AW601" i="4"/>
  <c r="AS601" i="4"/>
  <c r="AO601" i="4"/>
  <c r="AK601" i="4"/>
  <c r="AG601" i="4"/>
  <c r="AC601" i="4"/>
  <c r="Y601" i="4"/>
  <c r="U601" i="4"/>
  <c r="Q601" i="4"/>
  <c r="M601" i="4"/>
  <c r="CN600" i="4"/>
  <c r="CJ600" i="4"/>
  <c r="CF600" i="4"/>
  <c r="CB600" i="4"/>
  <c r="BW600" i="4"/>
  <c r="BS600" i="4"/>
  <c r="BO600" i="4"/>
  <c r="BK600" i="4"/>
  <c r="BA600" i="4"/>
  <c r="AW600" i="4"/>
  <c r="AS600" i="4"/>
  <c r="AO600" i="4"/>
  <c r="AK600" i="4"/>
  <c r="AG600" i="4"/>
  <c r="AC600" i="4"/>
  <c r="Y600" i="4"/>
  <c r="U600" i="4"/>
  <c r="Q600" i="4"/>
  <c r="M600" i="4"/>
  <c r="CN599" i="4"/>
  <c r="CJ599" i="4"/>
  <c r="CF599" i="4"/>
  <c r="CB599" i="4"/>
  <c r="BW599" i="4"/>
  <c r="BS599" i="4"/>
  <c r="BO599" i="4"/>
  <c r="BK599" i="4"/>
  <c r="BA599" i="4"/>
  <c r="AW599" i="4"/>
  <c r="AS599" i="4"/>
  <c r="AO599" i="4"/>
  <c r="AK599" i="4"/>
  <c r="AG599" i="4"/>
  <c r="AC599" i="4"/>
  <c r="Y599" i="4"/>
  <c r="U599" i="4"/>
  <c r="Q599" i="4"/>
  <c r="M599" i="4"/>
  <c r="CN598" i="4"/>
  <c r="CJ598" i="4"/>
  <c r="CF598" i="4"/>
  <c r="CB598" i="4"/>
  <c r="BW598" i="4"/>
  <c r="BS598" i="4"/>
  <c r="BO598" i="4"/>
  <c r="BK598" i="4"/>
  <c r="BA598" i="4"/>
  <c r="AW598" i="4"/>
  <c r="AS598" i="4"/>
  <c r="AO598" i="4"/>
  <c r="AK598" i="4"/>
  <c r="AG598" i="4"/>
  <c r="AC598" i="4"/>
  <c r="Y598" i="4"/>
  <c r="U598" i="4"/>
  <c r="Q598" i="4"/>
  <c r="M598" i="4"/>
  <c r="CN597" i="4"/>
  <c r="CJ597" i="4"/>
  <c r="CF597" i="4"/>
  <c r="CB597" i="4"/>
  <c r="BW597" i="4"/>
  <c r="BS597" i="4"/>
  <c r="BO597" i="4"/>
  <c r="BK597" i="4"/>
  <c r="BA597" i="4"/>
  <c r="AW597" i="4"/>
  <c r="AS597" i="4"/>
  <c r="AO597" i="4"/>
  <c r="AK597" i="4"/>
  <c r="AG597" i="4"/>
  <c r="AC597" i="4"/>
  <c r="Y597" i="4"/>
  <c r="U597" i="4"/>
  <c r="Q597" i="4"/>
  <c r="M597" i="4"/>
  <c r="CN596" i="4"/>
  <c r="CJ596" i="4"/>
  <c r="CF596" i="4"/>
  <c r="CB596" i="4"/>
  <c r="BW596" i="4"/>
  <c r="BS596" i="4"/>
  <c r="BO596" i="4"/>
  <c r="BK596" i="4"/>
  <c r="BA596" i="4"/>
  <c r="AW596" i="4"/>
  <c r="AS596" i="4"/>
  <c r="AO596" i="4"/>
  <c r="AK596" i="4"/>
  <c r="AG596" i="4"/>
  <c r="AC596" i="4"/>
  <c r="Y596" i="4"/>
  <c r="U596" i="4"/>
  <c r="Q596" i="4"/>
  <c r="M596" i="4"/>
  <c r="CN595" i="4"/>
  <c r="CJ595" i="4"/>
  <c r="CF595" i="4"/>
  <c r="CB595" i="4"/>
  <c r="BW595" i="4"/>
  <c r="BS595" i="4"/>
  <c r="BO595" i="4"/>
  <c r="BK595" i="4"/>
  <c r="BA595" i="4"/>
  <c r="AW595" i="4"/>
  <c r="AS595" i="4"/>
  <c r="AO595" i="4"/>
  <c r="AK595" i="4"/>
  <c r="AG595" i="4"/>
  <c r="AC595" i="4"/>
  <c r="Y595" i="4"/>
  <c r="U595" i="4"/>
  <c r="Q595" i="4"/>
  <c r="M595" i="4"/>
  <c r="CN594" i="4"/>
  <c r="CJ594" i="4"/>
  <c r="CF594" i="4"/>
  <c r="CB594" i="4"/>
  <c r="BW594" i="4"/>
  <c r="BS594" i="4"/>
  <c r="BO594" i="4"/>
  <c r="BK594" i="4"/>
  <c r="BA594" i="4"/>
  <c r="AW594" i="4"/>
  <c r="AS594" i="4"/>
  <c r="AO594" i="4"/>
  <c r="AK594" i="4"/>
  <c r="AG594" i="4"/>
  <c r="AC594" i="4"/>
  <c r="Y594" i="4"/>
  <c r="U594" i="4"/>
  <c r="Q594" i="4"/>
  <c r="M594" i="4"/>
  <c r="CN593" i="4"/>
  <c r="CJ593" i="4"/>
  <c r="CF593" i="4"/>
  <c r="CB593" i="4"/>
  <c r="BW593" i="4"/>
  <c r="BS593" i="4"/>
  <c r="BO593" i="4"/>
  <c r="BK593" i="4"/>
  <c r="BA593" i="4"/>
  <c r="AW593" i="4"/>
  <c r="AS593" i="4"/>
  <c r="AO593" i="4"/>
  <c r="AK593" i="4"/>
  <c r="AG593" i="4"/>
  <c r="AC593" i="4"/>
  <c r="Y593" i="4"/>
  <c r="U593" i="4"/>
  <c r="Q593" i="4"/>
  <c r="M593" i="4"/>
  <c r="CN592" i="4"/>
  <c r="CJ592" i="4"/>
  <c r="CF592" i="4"/>
  <c r="CB592" i="4"/>
  <c r="BW592" i="4"/>
  <c r="BS592" i="4"/>
  <c r="BO592" i="4"/>
  <c r="BK592" i="4"/>
  <c r="BA592" i="4"/>
  <c r="AW592" i="4"/>
  <c r="AS592" i="4"/>
  <c r="AO592" i="4"/>
  <c r="AK592" i="4"/>
  <c r="AG592" i="4"/>
  <c r="AC592" i="4"/>
  <c r="Y592" i="4"/>
  <c r="U592" i="4"/>
  <c r="Q592" i="4"/>
  <c r="M592" i="4"/>
  <c r="CN591" i="4"/>
  <c r="CJ591" i="4"/>
  <c r="CF591" i="4"/>
  <c r="CB591" i="4"/>
  <c r="BW591" i="4"/>
  <c r="BS591" i="4"/>
  <c r="BO591" i="4"/>
  <c r="BK591" i="4"/>
  <c r="BA591" i="4"/>
  <c r="AW591" i="4"/>
  <c r="AS591" i="4"/>
  <c r="AO591" i="4"/>
  <c r="AK591" i="4"/>
  <c r="AG591" i="4"/>
  <c r="AC591" i="4"/>
  <c r="Y591" i="4"/>
  <c r="U591" i="4"/>
  <c r="Q591" i="4"/>
  <c r="M591" i="4"/>
  <c r="CN590" i="4"/>
  <c r="CJ590" i="4"/>
  <c r="CF590" i="4"/>
  <c r="CB590" i="4"/>
  <c r="BW590" i="4"/>
  <c r="BS590" i="4"/>
  <c r="BO590" i="4"/>
  <c r="BK590" i="4"/>
  <c r="BA590" i="4"/>
  <c r="AW590" i="4"/>
  <c r="AS590" i="4"/>
  <c r="AO590" i="4"/>
  <c r="AK590" i="4"/>
  <c r="AG590" i="4"/>
  <c r="AC590" i="4"/>
  <c r="Y590" i="4"/>
  <c r="U590" i="4"/>
  <c r="Q590" i="4"/>
  <c r="M590" i="4"/>
  <c r="CN589" i="4"/>
  <c r="CJ589" i="4"/>
  <c r="CF589" i="4"/>
  <c r="CB589" i="4"/>
  <c r="BW589" i="4"/>
  <c r="BS589" i="4"/>
  <c r="BO589" i="4"/>
  <c r="BK589" i="4"/>
  <c r="BA589" i="4"/>
  <c r="AW589" i="4"/>
  <c r="AS589" i="4"/>
  <c r="AO589" i="4"/>
  <c r="AK589" i="4"/>
  <c r="AG589" i="4"/>
  <c r="AC589" i="4"/>
  <c r="Y589" i="4"/>
  <c r="U589" i="4"/>
  <c r="Q589" i="4"/>
  <c r="M589" i="4"/>
  <c r="CN588" i="4"/>
  <c r="CJ588" i="4"/>
  <c r="CF588" i="4"/>
  <c r="CB588" i="4"/>
  <c r="BW588" i="4"/>
  <c r="BS588" i="4"/>
  <c r="BO588" i="4"/>
  <c r="BK588" i="4"/>
  <c r="BA588" i="4"/>
  <c r="AW588" i="4"/>
  <c r="AS588" i="4"/>
  <c r="AO588" i="4"/>
  <c r="AK588" i="4"/>
  <c r="AG588" i="4"/>
  <c r="AC588" i="4"/>
  <c r="Y588" i="4"/>
  <c r="U588" i="4"/>
  <c r="Q588" i="4"/>
  <c r="M588" i="4"/>
  <c r="CN587" i="4"/>
  <c r="CJ587" i="4"/>
  <c r="CF587" i="4"/>
  <c r="CB587" i="4"/>
  <c r="BW587" i="4"/>
  <c r="BS587" i="4"/>
  <c r="BO587" i="4"/>
  <c r="BK587" i="4"/>
  <c r="BA587" i="4"/>
  <c r="AW587" i="4"/>
  <c r="AS587" i="4"/>
  <c r="AO587" i="4"/>
  <c r="AK587" i="4"/>
  <c r="AG587" i="4"/>
  <c r="AC587" i="4"/>
  <c r="Y587" i="4"/>
  <c r="U587" i="4"/>
  <c r="Q587" i="4"/>
  <c r="M587" i="4"/>
  <c r="CN586" i="4"/>
  <c r="CJ586" i="4"/>
  <c r="CF586" i="4"/>
  <c r="CB586" i="4"/>
  <c r="BW586" i="4"/>
  <c r="BS586" i="4"/>
  <c r="BO586" i="4"/>
  <c r="BK586" i="4"/>
  <c r="BA586" i="4"/>
  <c r="AW586" i="4"/>
  <c r="AS586" i="4"/>
  <c r="AO586" i="4"/>
  <c r="AK586" i="4"/>
  <c r="AG586" i="4"/>
  <c r="AC586" i="4"/>
  <c r="Y586" i="4"/>
  <c r="U586" i="4"/>
  <c r="Q586" i="4"/>
  <c r="M586" i="4"/>
  <c r="CN585" i="4"/>
  <c r="CJ585" i="4"/>
  <c r="CF585" i="4"/>
  <c r="CB585" i="4"/>
  <c r="BW585" i="4"/>
  <c r="BS585" i="4"/>
  <c r="BO585" i="4"/>
  <c r="BK585" i="4"/>
  <c r="BA585" i="4"/>
  <c r="AW585" i="4"/>
  <c r="AS585" i="4"/>
  <c r="AO585" i="4"/>
  <c r="AK585" i="4"/>
  <c r="AG585" i="4"/>
  <c r="AC585" i="4"/>
  <c r="Y585" i="4"/>
  <c r="U585" i="4"/>
  <c r="Q585" i="4"/>
  <c r="M585" i="4"/>
  <c r="CN584" i="4"/>
  <c r="CJ584" i="4"/>
  <c r="CF584" i="4"/>
  <c r="CB584" i="4"/>
  <c r="BW584" i="4"/>
  <c r="BS584" i="4"/>
  <c r="BO584" i="4"/>
  <c r="BK584" i="4"/>
  <c r="BA584" i="4"/>
  <c r="AW584" i="4"/>
  <c r="AS584" i="4"/>
  <c r="AO584" i="4"/>
  <c r="AK584" i="4"/>
  <c r="AG584" i="4"/>
  <c r="AC584" i="4"/>
  <c r="Y584" i="4"/>
  <c r="U584" i="4"/>
  <c r="Q584" i="4"/>
  <c r="M584" i="4"/>
  <c r="CN583" i="4"/>
  <c r="CJ583" i="4"/>
  <c r="CF583" i="4"/>
  <c r="CB583" i="4"/>
  <c r="BW583" i="4"/>
  <c r="BS583" i="4"/>
  <c r="BO583" i="4"/>
  <c r="BK583" i="4"/>
  <c r="BA583" i="4"/>
  <c r="AW583" i="4"/>
  <c r="AS583" i="4"/>
  <c r="AO583" i="4"/>
  <c r="AK583" i="4"/>
  <c r="AG583" i="4"/>
  <c r="AC583" i="4"/>
  <c r="Y583" i="4"/>
  <c r="U583" i="4"/>
  <c r="Q583" i="4"/>
  <c r="M583" i="4"/>
  <c r="CN582" i="4"/>
  <c r="CJ582" i="4"/>
  <c r="CF582" i="4"/>
  <c r="CB582" i="4"/>
  <c r="BW582" i="4"/>
  <c r="BS582" i="4"/>
  <c r="BO582" i="4"/>
  <c r="BK582" i="4"/>
  <c r="BA582" i="4"/>
  <c r="AW582" i="4"/>
  <c r="AS582" i="4"/>
  <c r="AO582" i="4"/>
  <c r="AK582" i="4"/>
  <c r="AG582" i="4"/>
  <c r="AC582" i="4"/>
  <c r="Y582" i="4"/>
  <c r="U582" i="4"/>
  <c r="Q582" i="4"/>
  <c r="M582" i="4"/>
  <c r="CN581" i="4"/>
  <c r="CJ581" i="4"/>
  <c r="CF581" i="4"/>
  <c r="CB581" i="4"/>
  <c r="BW581" i="4"/>
  <c r="BS581" i="4"/>
  <c r="BO581" i="4"/>
  <c r="BK581" i="4"/>
  <c r="BA581" i="4"/>
  <c r="AW581" i="4"/>
  <c r="AS581" i="4"/>
  <c r="AO581" i="4"/>
  <c r="AK581" i="4"/>
  <c r="AG581" i="4"/>
  <c r="AC581" i="4"/>
  <c r="Y581" i="4"/>
  <c r="U581" i="4"/>
  <c r="Q581" i="4"/>
  <c r="M581" i="4"/>
  <c r="CN580" i="4"/>
  <c r="CJ580" i="4"/>
  <c r="CF580" i="4"/>
  <c r="CB580" i="4"/>
  <c r="BW580" i="4"/>
  <c r="BS580" i="4"/>
  <c r="BO580" i="4"/>
  <c r="BK580" i="4"/>
  <c r="BA580" i="4"/>
  <c r="AW580" i="4"/>
  <c r="AS580" i="4"/>
  <c r="AO580" i="4"/>
  <c r="AK580" i="4"/>
  <c r="AG580" i="4"/>
  <c r="AC580" i="4"/>
  <c r="Y580" i="4"/>
  <c r="U580" i="4"/>
  <c r="Q580" i="4"/>
  <c r="M580" i="4"/>
  <c r="CN579" i="4"/>
  <c r="CJ579" i="4"/>
  <c r="CF579" i="4"/>
  <c r="CB579" i="4"/>
  <c r="BW579" i="4"/>
  <c r="BS579" i="4"/>
  <c r="BO579" i="4"/>
  <c r="BK579" i="4"/>
  <c r="BA579" i="4"/>
  <c r="AW579" i="4"/>
  <c r="AS579" i="4"/>
  <c r="AO579" i="4"/>
  <c r="AK579" i="4"/>
  <c r="AG579" i="4"/>
  <c r="AC579" i="4"/>
  <c r="Y579" i="4"/>
  <c r="U579" i="4"/>
  <c r="Q579" i="4"/>
  <c r="M579" i="4"/>
  <c r="CN578" i="4"/>
  <c r="CJ578" i="4"/>
  <c r="CF578" i="4"/>
  <c r="CB578" i="4"/>
  <c r="BW578" i="4"/>
  <c r="BS578" i="4"/>
  <c r="BO578" i="4"/>
  <c r="BK578" i="4"/>
  <c r="BA578" i="4"/>
  <c r="AW578" i="4"/>
  <c r="AS578" i="4"/>
  <c r="AO578" i="4"/>
  <c r="AK578" i="4"/>
  <c r="AG578" i="4"/>
  <c r="AC578" i="4"/>
  <c r="Y578" i="4"/>
  <c r="U578" i="4"/>
  <c r="Q578" i="4"/>
  <c r="M578" i="4"/>
  <c r="CN577" i="4"/>
  <c r="CJ577" i="4"/>
  <c r="CF577" i="4"/>
  <c r="CB577" i="4"/>
  <c r="BW577" i="4"/>
  <c r="BS577" i="4"/>
  <c r="BO577" i="4"/>
  <c r="BK577" i="4"/>
  <c r="BA577" i="4"/>
  <c r="AW577" i="4"/>
  <c r="AS577" i="4"/>
  <c r="AO577" i="4"/>
  <c r="AK577" i="4"/>
  <c r="AG577" i="4"/>
  <c r="AC577" i="4"/>
  <c r="Y577" i="4"/>
  <c r="U577" i="4"/>
  <c r="Q577" i="4"/>
  <c r="M577" i="4"/>
  <c r="CN576" i="4"/>
  <c r="CJ576" i="4"/>
  <c r="CF576" i="4"/>
  <c r="CB576" i="4"/>
  <c r="BW576" i="4"/>
  <c r="BS576" i="4"/>
  <c r="BO576" i="4"/>
  <c r="BK576" i="4"/>
  <c r="BA576" i="4"/>
  <c r="AW576" i="4"/>
  <c r="AS576" i="4"/>
  <c r="AO576" i="4"/>
  <c r="AK576" i="4"/>
  <c r="AG576" i="4"/>
  <c r="AC576" i="4"/>
  <c r="Y576" i="4"/>
  <c r="U576" i="4"/>
  <c r="Q576" i="4"/>
  <c r="M576" i="4"/>
  <c r="CN575" i="4"/>
  <c r="CJ575" i="4"/>
  <c r="CF575" i="4"/>
  <c r="CB575" i="4"/>
  <c r="BW575" i="4"/>
  <c r="BS575" i="4"/>
  <c r="BO575" i="4"/>
  <c r="BK575" i="4"/>
  <c r="BA575" i="4"/>
  <c r="AW575" i="4"/>
  <c r="AS575" i="4"/>
  <c r="AO575" i="4"/>
  <c r="AK575" i="4"/>
  <c r="AG575" i="4"/>
  <c r="AC575" i="4"/>
  <c r="Y575" i="4"/>
  <c r="U575" i="4"/>
  <c r="Q575" i="4"/>
  <c r="M575" i="4"/>
  <c r="CN574" i="4"/>
  <c r="CJ574" i="4"/>
  <c r="CF574" i="4"/>
  <c r="CB574" i="4"/>
  <c r="BW574" i="4"/>
  <c r="BS574" i="4"/>
  <c r="BO574" i="4"/>
  <c r="BK574" i="4"/>
  <c r="BA574" i="4"/>
  <c r="AW574" i="4"/>
  <c r="AS574" i="4"/>
  <c r="AO574" i="4"/>
  <c r="AK574" i="4"/>
  <c r="AG574" i="4"/>
  <c r="AC574" i="4"/>
  <c r="Y574" i="4"/>
  <c r="U574" i="4"/>
  <c r="Q574" i="4"/>
  <c r="M574" i="4"/>
  <c r="CN573" i="4"/>
  <c r="CJ573" i="4"/>
  <c r="CF573" i="4"/>
  <c r="CB573" i="4"/>
  <c r="BW573" i="4"/>
  <c r="BS573" i="4"/>
  <c r="BO573" i="4"/>
  <c r="BK573" i="4"/>
  <c r="BA573" i="4"/>
  <c r="AW573" i="4"/>
  <c r="AS573" i="4"/>
  <c r="AO573" i="4"/>
  <c r="AK573" i="4"/>
  <c r="AG573" i="4"/>
  <c r="AC573" i="4"/>
  <c r="Y573" i="4"/>
  <c r="U573" i="4"/>
  <c r="Q573" i="4"/>
  <c r="M573" i="4"/>
  <c r="CN572" i="4"/>
  <c r="CJ572" i="4"/>
  <c r="CF572" i="4"/>
  <c r="CB572" i="4"/>
  <c r="BW572" i="4"/>
  <c r="BS572" i="4"/>
  <c r="BO572" i="4"/>
  <c r="BK572" i="4"/>
  <c r="BA572" i="4"/>
  <c r="AW572" i="4"/>
  <c r="AS572" i="4"/>
  <c r="AO572" i="4"/>
  <c r="AK572" i="4"/>
  <c r="AG572" i="4"/>
  <c r="AC572" i="4"/>
  <c r="Y572" i="4"/>
  <c r="U572" i="4"/>
  <c r="Q572" i="4"/>
  <c r="M572" i="4"/>
  <c r="CN571" i="4"/>
  <c r="CJ571" i="4"/>
  <c r="CF571" i="4"/>
  <c r="CB571" i="4"/>
  <c r="BW571" i="4"/>
  <c r="BS571" i="4"/>
  <c r="BO571" i="4"/>
  <c r="BK571" i="4"/>
  <c r="BA571" i="4"/>
  <c r="AW571" i="4"/>
  <c r="AS571" i="4"/>
  <c r="AO571" i="4"/>
  <c r="AK571" i="4"/>
  <c r="AG571" i="4"/>
  <c r="AC571" i="4"/>
  <c r="Y571" i="4"/>
  <c r="U571" i="4"/>
  <c r="Q571" i="4"/>
  <c r="M571" i="4"/>
  <c r="CN570" i="4"/>
  <c r="CJ570" i="4"/>
  <c r="CF570" i="4"/>
  <c r="CB570" i="4"/>
  <c r="BW570" i="4"/>
  <c r="BS570" i="4"/>
  <c r="BO570" i="4"/>
  <c r="BK570" i="4"/>
  <c r="BA570" i="4"/>
  <c r="AW570" i="4"/>
  <c r="AS570" i="4"/>
  <c r="AO570" i="4"/>
  <c r="AK570" i="4"/>
  <c r="AG570" i="4"/>
  <c r="AC570" i="4"/>
  <c r="Y570" i="4"/>
  <c r="U570" i="4"/>
  <c r="Q570" i="4"/>
  <c r="M570" i="4"/>
  <c r="CN569" i="4"/>
  <c r="CJ569" i="4"/>
  <c r="CF569" i="4"/>
  <c r="CB569" i="4"/>
  <c r="BW569" i="4"/>
  <c r="BS569" i="4"/>
  <c r="BO569" i="4"/>
  <c r="BK569" i="4"/>
  <c r="BA569" i="4"/>
  <c r="AW569" i="4"/>
  <c r="AS569" i="4"/>
  <c r="AO569" i="4"/>
  <c r="AK569" i="4"/>
  <c r="AG569" i="4"/>
  <c r="AC569" i="4"/>
  <c r="Y569" i="4"/>
  <c r="U569" i="4"/>
  <c r="Q569" i="4"/>
  <c r="M569" i="4"/>
  <c r="CN568" i="4"/>
  <c r="CJ568" i="4"/>
  <c r="CF568" i="4"/>
  <c r="CB568" i="4"/>
  <c r="BW568" i="4"/>
  <c r="BS568" i="4"/>
  <c r="BO568" i="4"/>
  <c r="BK568" i="4"/>
  <c r="BA568" i="4"/>
  <c r="AW568" i="4"/>
  <c r="AS568" i="4"/>
  <c r="AO568" i="4"/>
  <c r="AK568" i="4"/>
  <c r="AG568" i="4"/>
  <c r="AC568" i="4"/>
  <c r="Y568" i="4"/>
  <c r="U568" i="4"/>
  <c r="Q568" i="4"/>
  <c r="M568" i="4"/>
  <c r="CN567" i="4"/>
  <c r="CJ567" i="4"/>
  <c r="CF567" i="4"/>
  <c r="CB567" i="4"/>
  <c r="BW567" i="4"/>
  <c r="BS567" i="4"/>
  <c r="BO567" i="4"/>
  <c r="BK567" i="4"/>
  <c r="BA567" i="4"/>
  <c r="AW567" i="4"/>
  <c r="AS567" i="4"/>
  <c r="AO567" i="4"/>
  <c r="AK567" i="4"/>
  <c r="AG567" i="4"/>
  <c r="AC567" i="4"/>
  <c r="Y567" i="4"/>
  <c r="U567" i="4"/>
  <c r="Q567" i="4"/>
  <c r="M567" i="4"/>
  <c r="CN566" i="4"/>
  <c r="CJ566" i="4"/>
  <c r="CF566" i="4"/>
  <c r="CB566" i="4"/>
  <c r="BW566" i="4"/>
  <c r="BS566" i="4"/>
  <c r="BO566" i="4"/>
  <c r="BK566" i="4"/>
  <c r="BA566" i="4"/>
  <c r="AW566" i="4"/>
  <c r="AS566" i="4"/>
  <c r="AO566" i="4"/>
  <c r="AK566" i="4"/>
  <c r="AG566" i="4"/>
  <c r="AC566" i="4"/>
  <c r="Y566" i="4"/>
  <c r="U566" i="4"/>
  <c r="Q566" i="4"/>
  <c r="M566" i="4"/>
  <c r="CN565" i="4"/>
  <c r="CJ565" i="4"/>
  <c r="CF565" i="4"/>
  <c r="CB565" i="4"/>
  <c r="BW565" i="4"/>
  <c r="BS565" i="4"/>
  <c r="BO565" i="4"/>
  <c r="BK565" i="4"/>
  <c r="BA565" i="4"/>
  <c r="AW565" i="4"/>
  <c r="AS565" i="4"/>
  <c r="AO565" i="4"/>
  <c r="AK565" i="4"/>
  <c r="AG565" i="4"/>
  <c r="AC565" i="4"/>
  <c r="Y565" i="4"/>
  <c r="U565" i="4"/>
  <c r="Q565" i="4"/>
  <c r="M565" i="4"/>
  <c r="CN564" i="4"/>
  <c r="CJ564" i="4"/>
  <c r="CF564" i="4"/>
  <c r="CB564" i="4"/>
  <c r="BW564" i="4"/>
  <c r="BS564" i="4"/>
  <c r="BO564" i="4"/>
  <c r="BK564" i="4"/>
  <c r="BA564" i="4"/>
  <c r="AW564" i="4"/>
  <c r="AS564" i="4"/>
  <c r="AO564" i="4"/>
  <c r="AK564" i="4"/>
  <c r="AG564" i="4"/>
  <c r="AC564" i="4"/>
  <c r="Y564" i="4"/>
  <c r="U564" i="4"/>
  <c r="Q564" i="4"/>
  <c r="M564" i="4"/>
  <c r="CN563" i="4"/>
  <c r="CJ563" i="4"/>
  <c r="CF563" i="4"/>
  <c r="CB563" i="4"/>
  <c r="BW563" i="4"/>
  <c r="BS563" i="4"/>
  <c r="BO563" i="4"/>
  <c r="BK563" i="4"/>
  <c r="BA563" i="4"/>
  <c r="AW563" i="4"/>
  <c r="AS563" i="4"/>
  <c r="AO563" i="4"/>
  <c r="AK563" i="4"/>
  <c r="AG563" i="4"/>
  <c r="AC563" i="4"/>
  <c r="Y563" i="4"/>
  <c r="U563" i="4"/>
  <c r="Q563" i="4"/>
  <c r="M563" i="4"/>
  <c r="CN562" i="4"/>
  <c r="CJ562" i="4"/>
  <c r="CF562" i="4"/>
  <c r="CB562" i="4"/>
  <c r="BW562" i="4"/>
  <c r="BS562" i="4"/>
  <c r="BO562" i="4"/>
  <c r="BK562" i="4"/>
  <c r="BA562" i="4"/>
  <c r="AW562" i="4"/>
  <c r="AS562" i="4"/>
  <c r="AO562" i="4"/>
  <c r="AK562" i="4"/>
  <c r="AG562" i="4"/>
  <c r="AC562" i="4"/>
  <c r="Y562" i="4"/>
  <c r="U562" i="4"/>
  <c r="Q562" i="4"/>
  <c r="M562" i="4"/>
  <c r="CN561" i="4"/>
  <c r="CJ561" i="4"/>
  <c r="CF561" i="4"/>
  <c r="CB561" i="4"/>
  <c r="BW561" i="4"/>
  <c r="BS561" i="4"/>
  <c r="BO561" i="4"/>
  <c r="BK561" i="4"/>
  <c r="BA561" i="4"/>
  <c r="AW561" i="4"/>
  <c r="AS561" i="4"/>
  <c r="AO561" i="4"/>
  <c r="AK561" i="4"/>
  <c r="AG561" i="4"/>
  <c r="AC561" i="4"/>
  <c r="Y561" i="4"/>
  <c r="U561" i="4"/>
  <c r="Q561" i="4"/>
  <c r="M561" i="4"/>
  <c r="CN560" i="4"/>
  <c r="CJ560" i="4"/>
  <c r="CF560" i="4"/>
  <c r="CB560" i="4"/>
  <c r="BW560" i="4"/>
  <c r="BS560" i="4"/>
  <c r="BO560" i="4"/>
  <c r="BK560" i="4"/>
  <c r="BA560" i="4"/>
  <c r="AW560" i="4"/>
  <c r="AS560" i="4"/>
  <c r="AO560" i="4"/>
  <c r="AK560" i="4"/>
  <c r="AG560" i="4"/>
  <c r="AC560" i="4"/>
  <c r="Y560" i="4"/>
  <c r="U560" i="4"/>
  <c r="Q560" i="4"/>
  <c r="M560" i="4"/>
  <c r="CN559" i="4"/>
  <c r="CJ559" i="4"/>
  <c r="CF559" i="4"/>
  <c r="CB559" i="4"/>
  <c r="BW559" i="4"/>
  <c r="BS559" i="4"/>
  <c r="BO559" i="4"/>
  <c r="BK559" i="4"/>
  <c r="BA559" i="4"/>
  <c r="AW559" i="4"/>
  <c r="AS559" i="4"/>
  <c r="AO559" i="4"/>
  <c r="AK559" i="4"/>
  <c r="AG559" i="4"/>
  <c r="AC559" i="4"/>
  <c r="Y559" i="4"/>
  <c r="U559" i="4"/>
  <c r="Q559" i="4"/>
  <c r="M559" i="4"/>
  <c r="CN558" i="4"/>
  <c r="CJ558" i="4"/>
  <c r="CF558" i="4"/>
  <c r="CB558" i="4"/>
  <c r="BW558" i="4"/>
  <c r="BS558" i="4"/>
  <c r="BO558" i="4"/>
  <c r="BK558" i="4"/>
  <c r="BA558" i="4"/>
  <c r="AW558" i="4"/>
  <c r="AS558" i="4"/>
  <c r="AO558" i="4"/>
  <c r="AK558" i="4"/>
  <c r="AG558" i="4"/>
  <c r="AC558" i="4"/>
  <c r="Y558" i="4"/>
  <c r="U558" i="4"/>
  <c r="Q558" i="4"/>
  <c r="M558" i="4"/>
  <c r="CN557" i="4"/>
  <c r="CJ557" i="4"/>
  <c r="CF557" i="4"/>
  <c r="CB557" i="4"/>
  <c r="BW557" i="4"/>
  <c r="BS557" i="4"/>
  <c r="BO557" i="4"/>
  <c r="BK557" i="4"/>
  <c r="BA557" i="4"/>
  <c r="AW557" i="4"/>
  <c r="AS557" i="4"/>
  <c r="AO557" i="4"/>
  <c r="AK557" i="4"/>
  <c r="AG557" i="4"/>
  <c r="AC557" i="4"/>
  <c r="Y557" i="4"/>
  <c r="U557" i="4"/>
  <c r="Q557" i="4"/>
  <c r="M557" i="4"/>
  <c r="CN556" i="4"/>
  <c r="CJ556" i="4"/>
  <c r="CF556" i="4"/>
  <c r="CB556" i="4"/>
  <c r="BW556" i="4"/>
  <c r="BS556" i="4"/>
  <c r="BO556" i="4"/>
  <c r="BK556" i="4"/>
  <c r="BA556" i="4"/>
  <c r="AW556" i="4"/>
  <c r="AS556" i="4"/>
  <c r="AO556" i="4"/>
  <c r="AK556" i="4"/>
  <c r="AG556" i="4"/>
  <c r="AC556" i="4"/>
  <c r="Y556" i="4"/>
  <c r="U556" i="4"/>
  <c r="Q556" i="4"/>
  <c r="M556" i="4"/>
  <c r="CN555" i="4"/>
  <c r="CJ555" i="4"/>
  <c r="CF555" i="4"/>
  <c r="CB555" i="4"/>
  <c r="BW555" i="4"/>
  <c r="BS555" i="4"/>
  <c r="BO555" i="4"/>
  <c r="BK555" i="4"/>
  <c r="BA555" i="4"/>
  <c r="AW555" i="4"/>
  <c r="AS555" i="4"/>
  <c r="AO555" i="4"/>
  <c r="AK555" i="4"/>
  <c r="AG555" i="4"/>
  <c r="AC555" i="4"/>
  <c r="Y555" i="4"/>
  <c r="U555" i="4"/>
  <c r="Q555" i="4"/>
  <c r="M555" i="4"/>
  <c r="CN554" i="4"/>
  <c r="CJ554" i="4"/>
  <c r="CF554" i="4"/>
  <c r="CB554" i="4"/>
  <c r="BW554" i="4"/>
  <c r="BS554" i="4"/>
  <c r="BO554" i="4"/>
  <c r="BK554" i="4"/>
  <c r="BA554" i="4"/>
  <c r="AW554" i="4"/>
  <c r="AS554" i="4"/>
  <c r="AO554" i="4"/>
  <c r="AK554" i="4"/>
  <c r="AG554" i="4"/>
  <c r="AC554" i="4"/>
  <c r="Y554" i="4"/>
  <c r="U554" i="4"/>
  <c r="Q554" i="4"/>
  <c r="M554" i="4"/>
  <c r="CN553" i="4"/>
  <c r="CJ553" i="4"/>
  <c r="CF553" i="4"/>
  <c r="CB553" i="4"/>
  <c r="BW553" i="4"/>
  <c r="BS553" i="4"/>
  <c r="BO553" i="4"/>
  <c r="BK553" i="4"/>
  <c r="BA553" i="4"/>
  <c r="AW553" i="4"/>
  <c r="AS553" i="4"/>
  <c r="AO553" i="4"/>
  <c r="AK553" i="4"/>
  <c r="AG553" i="4"/>
  <c r="AC553" i="4"/>
  <c r="Y553" i="4"/>
  <c r="U553" i="4"/>
  <c r="Q553" i="4"/>
  <c r="M553" i="4"/>
  <c r="CN552" i="4"/>
  <c r="CJ552" i="4"/>
  <c r="CF552" i="4"/>
  <c r="CB552" i="4"/>
  <c r="BW552" i="4"/>
  <c r="BS552" i="4"/>
  <c r="BO552" i="4"/>
  <c r="BK552" i="4"/>
  <c r="BA552" i="4"/>
  <c r="AW552" i="4"/>
  <c r="AS552" i="4"/>
  <c r="AO552" i="4"/>
  <c r="AK552" i="4"/>
  <c r="AG552" i="4"/>
  <c r="AC552" i="4"/>
  <c r="Y552" i="4"/>
  <c r="U552" i="4"/>
  <c r="Q552" i="4"/>
  <c r="M552" i="4"/>
  <c r="CN551" i="4"/>
  <c r="CJ551" i="4"/>
  <c r="CF551" i="4"/>
  <c r="CB551" i="4"/>
  <c r="BW551" i="4"/>
  <c r="BS551" i="4"/>
  <c r="BO551" i="4"/>
  <c r="BK551" i="4"/>
  <c r="BA551" i="4"/>
  <c r="AW551" i="4"/>
  <c r="AS551" i="4"/>
  <c r="AO551" i="4"/>
  <c r="AK551" i="4"/>
  <c r="AG551" i="4"/>
  <c r="AC551" i="4"/>
  <c r="Y551" i="4"/>
  <c r="U551" i="4"/>
  <c r="Q551" i="4"/>
  <c r="M551" i="4"/>
  <c r="CN550" i="4"/>
  <c r="CJ550" i="4"/>
  <c r="CF550" i="4"/>
  <c r="CB550" i="4"/>
  <c r="BW550" i="4"/>
  <c r="BS550" i="4"/>
  <c r="BO550" i="4"/>
  <c r="BK550" i="4"/>
  <c r="BA550" i="4"/>
  <c r="AW550" i="4"/>
  <c r="AS550" i="4"/>
  <c r="AO550" i="4"/>
  <c r="AK550" i="4"/>
  <c r="AG550" i="4"/>
  <c r="AC550" i="4"/>
  <c r="Y550" i="4"/>
  <c r="U550" i="4"/>
  <c r="Q550" i="4"/>
  <c r="M550" i="4"/>
  <c r="CN549" i="4"/>
  <c r="CJ549" i="4"/>
  <c r="CF549" i="4"/>
  <c r="CB549" i="4"/>
  <c r="BW549" i="4"/>
  <c r="BS549" i="4"/>
  <c r="BO549" i="4"/>
  <c r="BK549" i="4"/>
  <c r="BA549" i="4"/>
  <c r="AW549" i="4"/>
  <c r="AS549" i="4"/>
  <c r="AO549" i="4"/>
  <c r="AK549" i="4"/>
  <c r="AG549" i="4"/>
  <c r="AC549" i="4"/>
  <c r="Y549" i="4"/>
  <c r="U549" i="4"/>
  <c r="Q549" i="4"/>
  <c r="M549" i="4"/>
  <c r="CN548" i="4"/>
  <c r="CJ548" i="4"/>
  <c r="CF548" i="4"/>
  <c r="CB548" i="4"/>
  <c r="BW548" i="4"/>
  <c r="BS548" i="4"/>
  <c r="BO548" i="4"/>
  <c r="BK548" i="4"/>
  <c r="BA548" i="4"/>
  <c r="AW548" i="4"/>
  <c r="AS548" i="4"/>
  <c r="AO548" i="4"/>
  <c r="AK548" i="4"/>
  <c r="AG548" i="4"/>
  <c r="AC548" i="4"/>
  <c r="Y548" i="4"/>
  <c r="U548" i="4"/>
  <c r="Q548" i="4"/>
  <c r="M548" i="4"/>
  <c r="CN547" i="4"/>
  <c r="CJ547" i="4"/>
  <c r="CF547" i="4"/>
  <c r="CB547" i="4"/>
  <c r="BW547" i="4"/>
  <c r="BS547" i="4"/>
  <c r="BO547" i="4"/>
  <c r="BK547" i="4"/>
  <c r="BA547" i="4"/>
  <c r="AW547" i="4"/>
  <c r="AS547" i="4"/>
  <c r="AO547" i="4"/>
  <c r="AK547" i="4"/>
  <c r="AG547" i="4"/>
  <c r="AC547" i="4"/>
  <c r="Y547" i="4"/>
  <c r="U547" i="4"/>
  <c r="Q547" i="4"/>
  <c r="M547" i="4"/>
  <c r="CN546" i="4"/>
  <c r="CJ546" i="4"/>
  <c r="CF546" i="4"/>
  <c r="CB546" i="4"/>
  <c r="BW546" i="4"/>
  <c r="BS546" i="4"/>
  <c r="BO546" i="4"/>
  <c r="BK546" i="4"/>
  <c r="BA546" i="4"/>
  <c r="AW546" i="4"/>
  <c r="AS546" i="4"/>
  <c r="AO546" i="4"/>
  <c r="AK546" i="4"/>
  <c r="AG546" i="4"/>
  <c r="AC546" i="4"/>
  <c r="Y546" i="4"/>
  <c r="U546" i="4"/>
  <c r="Q546" i="4"/>
  <c r="M546" i="4"/>
  <c r="CN545" i="4"/>
  <c r="CJ545" i="4"/>
  <c r="CF545" i="4"/>
  <c r="CB545" i="4"/>
  <c r="BW545" i="4"/>
  <c r="BS545" i="4"/>
  <c r="BO545" i="4"/>
  <c r="BK545" i="4"/>
  <c r="BA545" i="4"/>
  <c r="AW545" i="4"/>
  <c r="AS545" i="4"/>
  <c r="AO545" i="4"/>
  <c r="AK545" i="4"/>
  <c r="AG545" i="4"/>
  <c r="AC545" i="4"/>
  <c r="Y545" i="4"/>
  <c r="U545" i="4"/>
  <c r="Q545" i="4"/>
  <c r="M545" i="4"/>
  <c r="CN544" i="4"/>
  <c r="CJ544" i="4"/>
  <c r="CF544" i="4"/>
  <c r="CB544" i="4"/>
  <c r="BW544" i="4"/>
  <c r="BS544" i="4"/>
  <c r="BO544" i="4"/>
  <c r="BK544" i="4"/>
  <c r="BA544" i="4"/>
  <c r="AW544" i="4"/>
  <c r="AS544" i="4"/>
  <c r="AO544" i="4"/>
  <c r="AK544" i="4"/>
  <c r="AG544" i="4"/>
  <c r="AC544" i="4"/>
  <c r="Y544" i="4"/>
  <c r="U544" i="4"/>
  <c r="Q544" i="4"/>
  <c r="M544" i="4"/>
  <c r="CN543" i="4"/>
  <c r="CJ543" i="4"/>
  <c r="CF543" i="4"/>
  <c r="CB543" i="4"/>
  <c r="BW543" i="4"/>
  <c r="BS543" i="4"/>
  <c r="BO543" i="4"/>
  <c r="BK543" i="4"/>
  <c r="BA543" i="4"/>
  <c r="AW543" i="4"/>
  <c r="AS543" i="4"/>
  <c r="AO543" i="4"/>
  <c r="AK543" i="4"/>
  <c r="AG543" i="4"/>
  <c r="AC543" i="4"/>
  <c r="Y543" i="4"/>
  <c r="U543" i="4"/>
  <c r="Q543" i="4"/>
  <c r="M543" i="4"/>
  <c r="CN542" i="4"/>
  <c r="CJ542" i="4"/>
  <c r="CF542" i="4"/>
  <c r="CB542" i="4"/>
  <c r="BW542" i="4"/>
  <c r="BS542" i="4"/>
  <c r="BO542" i="4"/>
  <c r="BK542" i="4"/>
  <c r="BA542" i="4"/>
  <c r="AW542" i="4"/>
  <c r="AS542" i="4"/>
  <c r="AO542" i="4"/>
  <c r="AK542" i="4"/>
  <c r="AG542" i="4"/>
  <c r="AC542" i="4"/>
  <c r="Y542" i="4"/>
  <c r="U542" i="4"/>
  <c r="Q542" i="4"/>
  <c r="M542" i="4"/>
  <c r="CN541" i="4"/>
  <c r="CJ541" i="4"/>
  <c r="CF541" i="4"/>
  <c r="CB541" i="4"/>
  <c r="BW541" i="4"/>
  <c r="BS541" i="4"/>
  <c r="BO541" i="4"/>
  <c r="BK541" i="4"/>
  <c r="BA541" i="4"/>
  <c r="AW541" i="4"/>
  <c r="AS541" i="4"/>
  <c r="AO541" i="4"/>
  <c r="AK541" i="4"/>
  <c r="AG541" i="4"/>
  <c r="AC541" i="4"/>
  <c r="Y541" i="4"/>
  <c r="U541" i="4"/>
  <c r="Q541" i="4"/>
  <c r="M541" i="4"/>
  <c r="CN540" i="4"/>
  <c r="CJ540" i="4"/>
  <c r="CF540" i="4"/>
  <c r="CB540" i="4"/>
  <c r="BW540" i="4"/>
  <c r="BS540" i="4"/>
  <c r="BO540" i="4"/>
  <c r="BK540" i="4"/>
  <c r="BA540" i="4"/>
  <c r="AW540" i="4"/>
  <c r="AS540" i="4"/>
  <c r="AO540" i="4"/>
  <c r="AK540" i="4"/>
  <c r="AG540" i="4"/>
  <c r="AC540" i="4"/>
  <c r="Y540" i="4"/>
  <c r="U540" i="4"/>
  <c r="Q540" i="4"/>
  <c r="M540" i="4"/>
  <c r="CN539" i="4"/>
  <c r="CJ539" i="4"/>
  <c r="CF539" i="4"/>
  <c r="CB539" i="4"/>
  <c r="BW539" i="4"/>
  <c r="BS539" i="4"/>
  <c r="BO539" i="4"/>
  <c r="BK539" i="4"/>
  <c r="BA539" i="4"/>
  <c r="AW539" i="4"/>
  <c r="AS539" i="4"/>
  <c r="AO539" i="4"/>
  <c r="AK539" i="4"/>
  <c r="AG539" i="4"/>
  <c r="AC539" i="4"/>
  <c r="Y539" i="4"/>
  <c r="U539" i="4"/>
  <c r="Q539" i="4"/>
  <c r="M539" i="4"/>
  <c r="CN538" i="4"/>
  <c r="CJ538" i="4"/>
  <c r="CF538" i="4"/>
  <c r="CB538" i="4"/>
  <c r="BW538" i="4"/>
  <c r="BS538" i="4"/>
  <c r="BO538" i="4"/>
  <c r="BK538" i="4"/>
  <c r="BA538" i="4"/>
  <c r="AW538" i="4"/>
  <c r="AS538" i="4"/>
  <c r="AO538" i="4"/>
  <c r="AK538" i="4"/>
  <c r="AG538" i="4"/>
  <c r="AC538" i="4"/>
  <c r="Y538" i="4"/>
  <c r="U538" i="4"/>
  <c r="Q538" i="4"/>
  <c r="M538" i="4"/>
  <c r="CN537" i="4"/>
  <c r="CJ537" i="4"/>
  <c r="CF537" i="4"/>
  <c r="CB537" i="4"/>
  <c r="BW537" i="4"/>
  <c r="BS537" i="4"/>
  <c r="BO537" i="4"/>
  <c r="BK537" i="4"/>
  <c r="BA537" i="4"/>
  <c r="AW537" i="4"/>
  <c r="AS537" i="4"/>
  <c r="AO537" i="4"/>
  <c r="AK537" i="4"/>
  <c r="AG537" i="4"/>
  <c r="AC537" i="4"/>
  <c r="Y537" i="4"/>
  <c r="U537" i="4"/>
  <c r="Q537" i="4"/>
  <c r="M537" i="4"/>
  <c r="CN536" i="4"/>
  <c r="CJ536" i="4"/>
  <c r="CF536" i="4"/>
  <c r="CB536" i="4"/>
  <c r="BW536" i="4"/>
  <c r="BS536" i="4"/>
  <c r="BO536" i="4"/>
  <c r="BK536" i="4"/>
  <c r="BA536" i="4"/>
  <c r="AW536" i="4"/>
  <c r="AS536" i="4"/>
  <c r="AO536" i="4"/>
  <c r="AK536" i="4"/>
  <c r="AG536" i="4"/>
  <c r="AC536" i="4"/>
  <c r="Y536" i="4"/>
  <c r="U536" i="4"/>
  <c r="Q536" i="4"/>
  <c r="M536" i="4"/>
  <c r="CN535" i="4"/>
  <c r="CJ535" i="4"/>
  <c r="CF535" i="4"/>
  <c r="CB535" i="4"/>
  <c r="BW535" i="4"/>
  <c r="BS535" i="4"/>
  <c r="BO535" i="4"/>
  <c r="BK535" i="4"/>
  <c r="BA535" i="4"/>
  <c r="AW535" i="4"/>
  <c r="AS535" i="4"/>
  <c r="AO535" i="4"/>
  <c r="AK535" i="4"/>
  <c r="AG535" i="4"/>
  <c r="AC535" i="4"/>
  <c r="Y535" i="4"/>
  <c r="U535" i="4"/>
  <c r="Q535" i="4"/>
  <c r="M535" i="4"/>
  <c r="CN534" i="4"/>
  <c r="CJ534" i="4"/>
  <c r="CF534" i="4"/>
  <c r="CB534" i="4"/>
  <c r="BW534" i="4"/>
  <c r="BS534" i="4"/>
  <c r="BO534" i="4"/>
  <c r="BK534" i="4"/>
  <c r="BA534" i="4"/>
  <c r="AW534" i="4"/>
  <c r="AS534" i="4"/>
  <c r="AO534" i="4"/>
  <c r="AK534" i="4"/>
  <c r="AG534" i="4"/>
  <c r="AC534" i="4"/>
  <c r="Y534" i="4"/>
  <c r="U534" i="4"/>
  <c r="Q534" i="4"/>
  <c r="M534" i="4"/>
  <c r="CN533" i="4"/>
  <c r="CJ533" i="4"/>
  <c r="CF533" i="4"/>
  <c r="CB533" i="4"/>
  <c r="BW533" i="4"/>
  <c r="BS533" i="4"/>
  <c r="BO533" i="4"/>
  <c r="BK533" i="4"/>
  <c r="BA533" i="4"/>
  <c r="AW533" i="4"/>
  <c r="AS533" i="4"/>
  <c r="AO533" i="4"/>
  <c r="AK533" i="4"/>
  <c r="AG533" i="4"/>
  <c r="AC533" i="4"/>
  <c r="Y533" i="4"/>
  <c r="U533" i="4"/>
  <c r="Q533" i="4"/>
  <c r="M533" i="4"/>
  <c r="CN532" i="4"/>
  <c r="CJ532" i="4"/>
  <c r="CF532" i="4"/>
  <c r="CB532" i="4"/>
  <c r="BW532" i="4"/>
  <c r="BS532" i="4"/>
  <c r="BO532" i="4"/>
  <c r="BK532" i="4"/>
  <c r="BA532" i="4"/>
  <c r="AW532" i="4"/>
  <c r="AS532" i="4"/>
  <c r="AO532" i="4"/>
  <c r="AK532" i="4"/>
  <c r="AG532" i="4"/>
  <c r="AC532" i="4"/>
  <c r="Y532" i="4"/>
  <c r="U532" i="4"/>
  <c r="Q532" i="4"/>
  <c r="M532" i="4"/>
  <c r="CN531" i="4"/>
  <c r="CJ531" i="4"/>
  <c r="CF531" i="4"/>
  <c r="CB531" i="4"/>
  <c r="BW531" i="4"/>
  <c r="BS531" i="4"/>
  <c r="BO531" i="4"/>
  <c r="BK531" i="4"/>
  <c r="BA531" i="4"/>
  <c r="AW531" i="4"/>
  <c r="AS531" i="4"/>
  <c r="AO531" i="4"/>
  <c r="AK531" i="4"/>
  <c r="AG531" i="4"/>
  <c r="AC531" i="4"/>
  <c r="Y531" i="4"/>
  <c r="U531" i="4"/>
  <c r="Q531" i="4"/>
  <c r="M531" i="4"/>
  <c r="CN530" i="4"/>
  <c r="CJ530" i="4"/>
  <c r="CF530" i="4"/>
  <c r="CB530" i="4"/>
  <c r="BW530" i="4"/>
  <c r="BS530" i="4"/>
  <c r="BO530" i="4"/>
  <c r="BK530" i="4"/>
  <c r="BA530" i="4"/>
  <c r="AW530" i="4"/>
  <c r="AS530" i="4"/>
  <c r="AO530" i="4"/>
  <c r="AK530" i="4"/>
  <c r="AG530" i="4"/>
  <c r="AC530" i="4"/>
  <c r="Y530" i="4"/>
  <c r="U530" i="4"/>
  <c r="Q530" i="4"/>
  <c r="M530" i="4"/>
  <c r="CN529" i="4"/>
  <c r="CJ529" i="4"/>
  <c r="CF529" i="4"/>
  <c r="CB529" i="4"/>
  <c r="BW529" i="4"/>
  <c r="BS529" i="4"/>
  <c r="BO529" i="4"/>
  <c r="BK529" i="4"/>
  <c r="BA529" i="4"/>
  <c r="AW529" i="4"/>
  <c r="AS529" i="4"/>
  <c r="AO529" i="4"/>
  <c r="AK529" i="4"/>
  <c r="AG529" i="4"/>
  <c r="AC529" i="4"/>
  <c r="Y529" i="4"/>
  <c r="U529" i="4"/>
  <c r="Q529" i="4"/>
  <c r="M529" i="4"/>
  <c r="CN528" i="4"/>
  <c r="CJ528" i="4"/>
  <c r="CF528" i="4"/>
  <c r="CB528" i="4"/>
  <c r="BW528" i="4"/>
  <c r="BS528" i="4"/>
  <c r="BO528" i="4"/>
  <c r="BK528" i="4"/>
  <c r="BA528" i="4"/>
  <c r="AW528" i="4"/>
  <c r="AS528" i="4"/>
  <c r="AO528" i="4"/>
  <c r="AK528" i="4"/>
  <c r="AG528" i="4"/>
  <c r="AC528" i="4"/>
  <c r="Y528" i="4"/>
  <c r="U528" i="4"/>
  <c r="Q528" i="4"/>
  <c r="M528" i="4"/>
  <c r="CN527" i="4"/>
  <c r="CJ527" i="4"/>
  <c r="CF527" i="4"/>
  <c r="CB527" i="4"/>
  <c r="BW527" i="4"/>
  <c r="BS527" i="4"/>
  <c r="BO527" i="4"/>
  <c r="BK527" i="4"/>
  <c r="BA527" i="4"/>
  <c r="AW527" i="4"/>
  <c r="AS527" i="4"/>
  <c r="AO527" i="4"/>
  <c r="AK527" i="4"/>
  <c r="AG527" i="4"/>
  <c r="AC527" i="4"/>
  <c r="Y527" i="4"/>
  <c r="U527" i="4"/>
  <c r="Q527" i="4"/>
  <c r="M527" i="4"/>
  <c r="CN526" i="4"/>
  <c r="CJ526" i="4"/>
  <c r="CF526" i="4"/>
  <c r="CB526" i="4"/>
  <c r="BW526" i="4"/>
  <c r="BS526" i="4"/>
  <c r="BO526" i="4"/>
  <c r="BK526" i="4"/>
  <c r="BA526" i="4"/>
  <c r="AW526" i="4"/>
  <c r="AS526" i="4"/>
  <c r="AO526" i="4"/>
  <c r="AK526" i="4"/>
  <c r="AG526" i="4"/>
  <c r="AC526" i="4"/>
  <c r="Y526" i="4"/>
  <c r="U526" i="4"/>
  <c r="Q526" i="4"/>
  <c r="M526" i="4"/>
  <c r="CN525" i="4"/>
  <c r="CJ525" i="4"/>
  <c r="CF525" i="4"/>
  <c r="CB525" i="4"/>
  <c r="BW525" i="4"/>
  <c r="BS525" i="4"/>
  <c r="BO525" i="4"/>
  <c r="BK525" i="4"/>
  <c r="BA525" i="4"/>
  <c r="AW525" i="4"/>
  <c r="AS525" i="4"/>
  <c r="AO525" i="4"/>
  <c r="AK525" i="4"/>
  <c r="AG525" i="4"/>
  <c r="AC525" i="4"/>
  <c r="Y525" i="4"/>
  <c r="U525" i="4"/>
  <c r="Q525" i="4"/>
  <c r="M525" i="4"/>
  <c r="CN524" i="4"/>
  <c r="CJ524" i="4"/>
  <c r="CF524" i="4"/>
  <c r="CB524" i="4"/>
  <c r="BW524" i="4"/>
  <c r="BS524" i="4"/>
  <c r="BO524" i="4"/>
  <c r="BK524" i="4"/>
  <c r="BA524" i="4"/>
  <c r="AW524" i="4"/>
  <c r="AS524" i="4"/>
  <c r="AO524" i="4"/>
  <c r="AK524" i="4"/>
  <c r="AG524" i="4"/>
  <c r="AC524" i="4"/>
  <c r="Y524" i="4"/>
  <c r="U524" i="4"/>
  <c r="Q524" i="4"/>
  <c r="M524" i="4"/>
  <c r="CN523" i="4"/>
  <c r="CJ523" i="4"/>
  <c r="CF523" i="4"/>
  <c r="CB523" i="4"/>
  <c r="BW523" i="4"/>
  <c r="BS523" i="4"/>
  <c r="BO523" i="4"/>
  <c r="BK523" i="4"/>
  <c r="BA523" i="4"/>
  <c r="AW523" i="4"/>
  <c r="AS523" i="4"/>
  <c r="AO523" i="4"/>
  <c r="AK523" i="4"/>
  <c r="AG523" i="4"/>
  <c r="AC523" i="4"/>
  <c r="Y523" i="4"/>
  <c r="U523" i="4"/>
  <c r="Q523" i="4"/>
  <c r="M523" i="4"/>
  <c r="CN522" i="4"/>
  <c r="CJ522" i="4"/>
  <c r="CF522" i="4"/>
  <c r="CB522" i="4"/>
  <c r="BW522" i="4"/>
  <c r="BS522" i="4"/>
  <c r="BO522" i="4"/>
  <c r="BK522" i="4"/>
  <c r="BA522" i="4"/>
  <c r="AW522" i="4"/>
  <c r="AS522" i="4"/>
  <c r="AO522" i="4"/>
  <c r="AK522" i="4"/>
  <c r="AG522" i="4"/>
  <c r="AC522" i="4"/>
  <c r="Y522" i="4"/>
  <c r="U522" i="4"/>
  <c r="Q522" i="4"/>
  <c r="M522" i="4"/>
  <c r="CN521" i="4"/>
  <c r="CJ521" i="4"/>
  <c r="CF521" i="4"/>
  <c r="CB521" i="4"/>
  <c r="BW521" i="4"/>
  <c r="BS521" i="4"/>
  <c r="BO521" i="4"/>
  <c r="BK521" i="4"/>
  <c r="BA521" i="4"/>
  <c r="AW521" i="4"/>
  <c r="AS521" i="4"/>
  <c r="AO521" i="4"/>
  <c r="AK521" i="4"/>
  <c r="AG521" i="4"/>
  <c r="AC521" i="4"/>
  <c r="Y521" i="4"/>
  <c r="U521" i="4"/>
  <c r="Q521" i="4"/>
  <c r="M521" i="4"/>
  <c r="CN520" i="4"/>
  <c r="CJ520" i="4"/>
  <c r="CF520" i="4"/>
  <c r="CB520" i="4"/>
  <c r="BW520" i="4"/>
  <c r="BS520" i="4"/>
  <c r="BO520" i="4"/>
  <c r="BK520" i="4"/>
  <c r="BA520" i="4"/>
  <c r="AW520" i="4"/>
  <c r="AS520" i="4"/>
  <c r="AO520" i="4"/>
  <c r="AK520" i="4"/>
  <c r="AG520" i="4"/>
  <c r="AC520" i="4"/>
  <c r="Y520" i="4"/>
  <c r="U520" i="4"/>
  <c r="Q520" i="4"/>
  <c r="M520" i="4"/>
  <c r="CN519" i="4"/>
  <c r="CJ519" i="4"/>
  <c r="CF519" i="4"/>
  <c r="CB519" i="4"/>
  <c r="BW519" i="4"/>
  <c r="BS519" i="4"/>
  <c r="BO519" i="4"/>
  <c r="BK519" i="4"/>
  <c r="BA519" i="4"/>
  <c r="AW519" i="4"/>
  <c r="AS519" i="4"/>
  <c r="AO519" i="4"/>
  <c r="AK519" i="4"/>
  <c r="AG519" i="4"/>
  <c r="AC519" i="4"/>
  <c r="Y519" i="4"/>
  <c r="U519" i="4"/>
  <c r="Q519" i="4"/>
  <c r="M519" i="4"/>
  <c r="CN518" i="4"/>
  <c r="CJ518" i="4"/>
  <c r="CF518" i="4"/>
  <c r="CB518" i="4"/>
  <c r="BW518" i="4"/>
  <c r="BS518" i="4"/>
  <c r="BO518" i="4"/>
  <c r="BK518" i="4"/>
  <c r="BA518" i="4"/>
  <c r="AW518" i="4"/>
  <c r="AS518" i="4"/>
  <c r="AO518" i="4"/>
  <c r="AK518" i="4"/>
  <c r="AG518" i="4"/>
  <c r="AC518" i="4"/>
  <c r="Y518" i="4"/>
  <c r="U518" i="4"/>
  <c r="Q518" i="4"/>
  <c r="M518" i="4"/>
  <c r="CN517" i="4"/>
  <c r="CJ517" i="4"/>
  <c r="CF517" i="4"/>
  <c r="CB517" i="4"/>
  <c r="BW517" i="4"/>
  <c r="BS517" i="4"/>
  <c r="BO517" i="4"/>
  <c r="BK517" i="4"/>
  <c r="BA517" i="4"/>
  <c r="AW517" i="4"/>
  <c r="AS517" i="4"/>
  <c r="AO517" i="4"/>
  <c r="AK517" i="4"/>
  <c r="AG517" i="4"/>
  <c r="AC517" i="4"/>
  <c r="Y517" i="4"/>
  <c r="U517" i="4"/>
  <c r="Q517" i="4"/>
  <c r="M517" i="4"/>
  <c r="CN516" i="4"/>
  <c r="CJ516" i="4"/>
  <c r="CF516" i="4"/>
  <c r="CB516" i="4"/>
  <c r="BW516" i="4"/>
  <c r="BS516" i="4"/>
  <c r="BO516" i="4"/>
  <c r="BK516" i="4"/>
  <c r="BA516" i="4"/>
  <c r="AW516" i="4"/>
  <c r="AS516" i="4"/>
  <c r="AO516" i="4"/>
  <c r="AK516" i="4"/>
  <c r="AG516" i="4"/>
  <c r="AC516" i="4"/>
  <c r="Y516" i="4"/>
  <c r="U516" i="4"/>
  <c r="Q516" i="4"/>
  <c r="M516" i="4"/>
  <c r="CN515" i="4"/>
  <c r="CJ515" i="4"/>
  <c r="CF515" i="4"/>
  <c r="CB515" i="4"/>
  <c r="BW515" i="4"/>
  <c r="BS515" i="4"/>
  <c r="BO515" i="4"/>
  <c r="BK515" i="4"/>
  <c r="BA515" i="4"/>
  <c r="AW515" i="4"/>
  <c r="AS515" i="4"/>
  <c r="AO515" i="4"/>
  <c r="AK515" i="4"/>
  <c r="AG515" i="4"/>
  <c r="AC515" i="4"/>
  <c r="Y515" i="4"/>
  <c r="U515" i="4"/>
  <c r="Q515" i="4"/>
  <c r="M515" i="4"/>
  <c r="CN514" i="4"/>
  <c r="CJ514" i="4"/>
  <c r="CF514" i="4"/>
  <c r="CB514" i="4"/>
  <c r="BW514" i="4"/>
  <c r="BS514" i="4"/>
  <c r="BO514" i="4"/>
  <c r="BK514" i="4"/>
  <c r="BA514" i="4"/>
  <c r="AW514" i="4"/>
  <c r="AS514" i="4"/>
  <c r="AO514" i="4"/>
  <c r="AK514" i="4"/>
  <c r="AG514" i="4"/>
  <c r="AC514" i="4"/>
  <c r="Y514" i="4"/>
  <c r="U514" i="4"/>
  <c r="Q514" i="4"/>
  <c r="M514" i="4"/>
  <c r="CN513" i="4"/>
  <c r="CJ513" i="4"/>
  <c r="CF513" i="4"/>
  <c r="CB513" i="4"/>
  <c r="BW513" i="4"/>
  <c r="BS513" i="4"/>
  <c r="BO513" i="4"/>
  <c r="BK513" i="4"/>
  <c r="BA513" i="4"/>
  <c r="AW513" i="4"/>
  <c r="AS513" i="4"/>
  <c r="AO513" i="4"/>
  <c r="AK513" i="4"/>
  <c r="AG513" i="4"/>
  <c r="AC513" i="4"/>
  <c r="Y513" i="4"/>
  <c r="U513" i="4"/>
  <c r="Q513" i="4"/>
  <c r="M513" i="4"/>
  <c r="CN512" i="4"/>
  <c r="CJ512" i="4"/>
  <c r="CF512" i="4"/>
  <c r="CB512" i="4"/>
  <c r="BW512" i="4"/>
  <c r="BS512" i="4"/>
  <c r="BO512" i="4"/>
  <c r="BK512" i="4"/>
  <c r="BA512" i="4"/>
  <c r="AW512" i="4"/>
  <c r="AS512" i="4"/>
  <c r="AO512" i="4"/>
  <c r="AK512" i="4"/>
  <c r="AG512" i="4"/>
  <c r="AC512" i="4"/>
  <c r="Y512" i="4"/>
  <c r="U512" i="4"/>
  <c r="Q512" i="4"/>
  <c r="M512" i="4"/>
  <c r="CN511" i="4"/>
  <c r="CJ511" i="4"/>
  <c r="CF511" i="4"/>
  <c r="CB511" i="4"/>
  <c r="BW511" i="4"/>
  <c r="BS511" i="4"/>
  <c r="BO511" i="4"/>
  <c r="BK511" i="4"/>
  <c r="BA511" i="4"/>
  <c r="AW511" i="4"/>
  <c r="AS511" i="4"/>
  <c r="AO511" i="4"/>
  <c r="AK511" i="4"/>
  <c r="AG511" i="4"/>
  <c r="AC511" i="4"/>
  <c r="Y511" i="4"/>
  <c r="U511" i="4"/>
  <c r="Q511" i="4"/>
  <c r="M511" i="4"/>
  <c r="CN510" i="4"/>
  <c r="CJ510" i="4"/>
  <c r="CF510" i="4"/>
  <c r="CB510" i="4"/>
  <c r="BW510" i="4"/>
  <c r="BS510" i="4"/>
  <c r="BO510" i="4"/>
  <c r="BK510" i="4"/>
  <c r="BA510" i="4"/>
  <c r="AW510" i="4"/>
  <c r="AS510" i="4"/>
  <c r="AO510" i="4"/>
  <c r="AK510" i="4"/>
  <c r="AG510" i="4"/>
  <c r="AC510" i="4"/>
  <c r="Y510" i="4"/>
  <c r="U510" i="4"/>
  <c r="Q510" i="4"/>
  <c r="M510" i="4"/>
  <c r="CN509" i="4"/>
  <c r="CJ509" i="4"/>
  <c r="CF509" i="4"/>
  <c r="CB509" i="4"/>
  <c r="BW509" i="4"/>
  <c r="BS509" i="4"/>
  <c r="BO509" i="4"/>
  <c r="BK509" i="4"/>
  <c r="BA509" i="4"/>
  <c r="AW509" i="4"/>
  <c r="AS509" i="4"/>
  <c r="AO509" i="4"/>
  <c r="AK509" i="4"/>
  <c r="AG509" i="4"/>
  <c r="AC509" i="4"/>
  <c r="Y509" i="4"/>
  <c r="U509" i="4"/>
  <c r="Q509" i="4"/>
  <c r="M509" i="4"/>
  <c r="CN508" i="4"/>
  <c r="CJ508" i="4"/>
  <c r="CF508" i="4"/>
  <c r="CB508" i="4"/>
  <c r="BW508" i="4"/>
  <c r="BS508" i="4"/>
  <c r="BO508" i="4"/>
  <c r="BK508" i="4"/>
  <c r="BA508" i="4"/>
  <c r="AW508" i="4"/>
  <c r="AS508" i="4"/>
  <c r="AO508" i="4"/>
  <c r="AK508" i="4"/>
  <c r="AG508" i="4"/>
  <c r="AC508" i="4"/>
  <c r="Y508" i="4"/>
  <c r="U508" i="4"/>
  <c r="Q508" i="4"/>
  <c r="M508" i="4"/>
  <c r="CN507" i="4"/>
  <c r="CJ507" i="4"/>
  <c r="CF507" i="4"/>
  <c r="CB507" i="4"/>
  <c r="BW507" i="4"/>
  <c r="BS507" i="4"/>
  <c r="BO507" i="4"/>
  <c r="BK507" i="4"/>
  <c r="BA507" i="4"/>
  <c r="AW507" i="4"/>
  <c r="AS507" i="4"/>
  <c r="AO507" i="4"/>
  <c r="AK507" i="4"/>
  <c r="AG507" i="4"/>
  <c r="AC507" i="4"/>
  <c r="Y507" i="4"/>
  <c r="U507" i="4"/>
  <c r="Q507" i="4"/>
  <c r="M507" i="4"/>
  <c r="CN506" i="4"/>
  <c r="CJ506" i="4"/>
  <c r="CF506" i="4"/>
  <c r="CB506" i="4"/>
  <c r="BW506" i="4"/>
  <c r="BS506" i="4"/>
  <c r="BO506" i="4"/>
  <c r="BK506" i="4"/>
  <c r="BA506" i="4"/>
  <c r="AW506" i="4"/>
  <c r="AS506" i="4"/>
  <c r="AO506" i="4"/>
  <c r="AK506" i="4"/>
  <c r="AG506" i="4"/>
  <c r="AC506" i="4"/>
  <c r="Y506" i="4"/>
  <c r="U506" i="4"/>
  <c r="Q506" i="4"/>
  <c r="M506" i="4"/>
  <c r="CN505" i="4"/>
  <c r="CJ505" i="4"/>
  <c r="CF505" i="4"/>
  <c r="CB505" i="4"/>
  <c r="BW505" i="4"/>
  <c r="BS505" i="4"/>
  <c r="BO505" i="4"/>
  <c r="BK505" i="4"/>
  <c r="BA505" i="4"/>
  <c r="AW505" i="4"/>
  <c r="AS505" i="4"/>
  <c r="AO505" i="4"/>
  <c r="AK505" i="4"/>
  <c r="AG505" i="4"/>
  <c r="AC505" i="4"/>
  <c r="Y505" i="4"/>
  <c r="U505" i="4"/>
  <c r="Q505" i="4"/>
  <c r="M505" i="4"/>
  <c r="CN504" i="4"/>
  <c r="CJ504" i="4"/>
  <c r="CF504" i="4"/>
  <c r="CB504" i="4"/>
  <c r="BW504" i="4"/>
  <c r="BS504" i="4"/>
  <c r="BO504" i="4"/>
  <c r="BK504" i="4"/>
  <c r="BA504" i="4"/>
  <c r="AW504" i="4"/>
  <c r="AS504" i="4"/>
  <c r="AO504" i="4"/>
  <c r="AK504" i="4"/>
  <c r="AG504" i="4"/>
  <c r="AC504" i="4"/>
  <c r="Y504" i="4"/>
  <c r="U504" i="4"/>
  <c r="Q504" i="4"/>
  <c r="M504" i="4"/>
  <c r="CN503" i="4"/>
  <c r="CJ503" i="4"/>
  <c r="CF503" i="4"/>
  <c r="CB503" i="4"/>
  <c r="BW503" i="4"/>
  <c r="BS503" i="4"/>
  <c r="BO503" i="4"/>
  <c r="BK503" i="4"/>
  <c r="BA503" i="4"/>
  <c r="AW503" i="4"/>
  <c r="AS503" i="4"/>
  <c r="AO503" i="4"/>
  <c r="AK503" i="4"/>
  <c r="AG503" i="4"/>
  <c r="AC503" i="4"/>
  <c r="Y503" i="4"/>
  <c r="U503" i="4"/>
  <c r="Q503" i="4"/>
  <c r="M503" i="4"/>
  <c r="CN502" i="4"/>
  <c r="CJ502" i="4"/>
  <c r="CF502" i="4"/>
  <c r="CB502" i="4"/>
  <c r="BW502" i="4"/>
  <c r="BS502" i="4"/>
  <c r="BO502" i="4"/>
  <c r="BK502" i="4"/>
  <c r="BA502" i="4"/>
  <c r="AW502" i="4"/>
  <c r="AS502" i="4"/>
  <c r="AO502" i="4"/>
  <c r="AK502" i="4"/>
  <c r="AG502" i="4"/>
  <c r="AC502" i="4"/>
  <c r="Y502" i="4"/>
  <c r="U502" i="4"/>
  <c r="Q502" i="4"/>
  <c r="M502" i="4"/>
  <c r="CN501" i="4"/>
  <c r="CJ501" i="4"/>
  <c r="CF501" i="4"/>
  <c r="CB501" i="4"/>
  <c r="BW501" i="4"/>
  <c r="BS501" i="4"/>
  <c r="BO501" i="4"/>
  <c r="BK501" i="4"/>
  <c r="BA501" i="4"/>
  <c r="AW501" i="4"/>
  <c r="AS501" i="4"/>
  <c r="AO501" i="4"/>
  <c r="AK501" i="4"/>
  <c r="AG501" i="4"/>
  <c r="AC501" i="4"/>
  <c r="Y501" i="4"/>
  <c r="U501" i="4"/>
  <c r="Q501" i="4"/>
  <c r="M501" i="4"/>
  <c r="CN500" i="4"/>
  <c r="CJ500" i="4"/>
  <c r="CF500" i="4"/>
  <c r="CB500" i="4"/>
  <c r="BW500" i="4"/>
  <c r="BS500" i="4"/>
  <c r="BO500" i="4"/>
  <c r="BK500" i="4"/>
  <c r="BA500" i="4"/>
  <c r="AW500" i="4"/>
  <c r="AS500" i="4"/>
  <c r="AO500" i="4"/>
  <c r="AK500" i="4"/>
  <c r="AG500" i="4"/>
  <c r="AC500" i="4"/>
  <c r="Y500" i="4"/>
  <c r="U500" i="4"/>
  <c r="Q500" i="4"/>
  <c r="M500" i="4"/>
  <c r="CN499" i="4"/>
  <c r="CJ499" i="4"/>
  <c r="CF499" i="4"/>
  <c r="CB499" i="4"/>
  <c r="BW499" i="4"/>
  <c r="BS499" i="4"/>
  <c r="BO499" i="4"/>
  <c r="BK499" i="4"/>
  <c r="BA499" i="4"/>
  <c r="AW499" i="4"/>
  <c r="AS499" i="4"/>
  <c r="AO499" i="4"/>
  <c r="AK499" i="4"/>
  <c r="AG499" i="4"/>
  <c r="AC499" i="4"/>
  <c r="Y499" i="4"/>
  <c r="U499" i="4"/>
  <c r="Q499" i="4"/>
  <c r="M499" i="4"/>
  <c r="CN498" i="4"/>
  <c r="CJ498" i="4"/>
  <c r="CF498" i="4"/>
  <c r="CB498" i="4"/>
  <c r="BW498" i="4"/>
  <c r="BS498" i="4"/>
  <c r="BO498" i="4"/>
  <c r="BK498" i="4"/>
  <c r="BA498" i="4"/>
  <c r="AW498" i="4"/>
  <c r="AS498" i="4"/>
  <c r="AO498" i="4"/>
  <c r="AK498" i="4"/>
  <c r="AG498" i="4"/>
  <c r="AC498" i="4"/>
  <c r="Y498" i="4"/>
  <c r="U498" i="4"/>
  <c r="Q498" i="4"/>
  <c r="M498" i="4"/>
  <c r="CN497" i="4"/>
  <c r="CJ497" i="4"/>
  <c r="CF497" i="4"/>
  <c r="CB497" i="4"/>
  <c r="BW497" i="4"/>
  <c r="BS497" i="4"/>
  <c r="BO497" i="4"/>
  <c r="BK497" i="4"/>
  <c r="BA497" i="4"/>
  <c r="AW497" i="4"/>
  <c r="AS497" i="4"/>
  <c r="AO497" i="4"/>
  <c r="AK497" i="4"/>
  <c r="AG497" i="4"/>
  <c r="AC497" i="4"/>
  <c r="Y497" i="4"/>
  <c r="U497" i="4"/>
  <c r="Q497" i="4"/>
  <c r="M497" i="4"/>
  <c r="CN496" i="4"/>
  <c r="CJ496" i="4"/>
  <c r="CF496" i="4"/>
  <c r="CB496" i="4"/>
  <c r="BW496" i="4"/>
  <c r="BS496" i="4"/>
  <c r="BO496" i="4"/>
  <c r="BK496" i="4"/>
  <c r="BA496" i="4"/>
  <c r="AW496" i="4"/>
  <c r="AS496" i="4"/>
  <c r="AO496" i="4"/>
  <c r="AK496" i="4"/>
  <c r="AG496" i="4"/>
  <c r="AC496" i="4"/>
  <c r="Y496" i="4"/>
  <c r="U496" i="4"/>
  <c r="Q496" i="4"/>
  <c r="M496" i="4"/>
  <c r="CN495" i="4"/>
  <c r="CJ495" i="4"/>
  <c r="CF495" i="4"/>
  <c r="CB495" i="4"/>
  <c r="BW495" i="4"/>
  <c r="BS495" i="4"/>
  <c r="BO495" i="4"/>
  <c r="BK495" i="4"/>
  <c r="BA495" i="4"/>
  <c r="AW495" i="4"/>
  <c r="AS495" i="4"/>
  <c r="AO495" i="4"/>
  <c r="AK495" i="4"/>
  <c r="AG495" i="4"/>
  <c r="AC495" i="4"/>
  <c r="Y495" i="4"/>
  <c r="U495" i="4"/>
  <c r="Q495" i="4"/>
  <c r="M495" i="4"/>
  <c r="CN494" i="4"/>
  <c r="CJ494" i="4"/>
  <c r="CF494" i="4"/>
  <c r="CB494" i="4"/>
  <c r="BW494" i="4"/>
  <c r="BS494" i="4"/>
  <c r="BO494" i="4"/>
  <c r="BK494" i="4"/>
  <c r="BA494" i="4"/>
  <c r="AW494" i="4"/>
  <c r="AS494" i="4"/>
  <c r="AO494" i="4"/>
  <c r="AK494" i="4"/>
  <c r="AG494" i="4"/>
  <c r="AC494" i="4"/>
  <c r="Y494" i="4"/>
  <c r="U494" i="4"/>
  <c r="Q494" i="4"/>
  <c r="M494" i="4"/>
  <c r="CN493" i="4"/>
  <c r="CJ493" i="4"/>
  <c r="CF493" i="4"/>
  <c r="CB493" i="4"/>
  <c r="BW493" i="4"/>
  <c r="BS493" i="4"/>
  <c r="BO493" i="4"/>
  <c r="BK493" i="4"/>
  <c r="BA493" i="4"/>
  <c r="AW493" i="4"/>
  <c r="AS493" i="4"/>
  <c r="AO493" i="4"/>
  <c r="AK493" i="4"/>
  <c r="AG493" i="4"/>
  <c r="AC493" i="4"/>
  <c r="Y493" i="4"/>
  <c r="U493" i="4"/>
  <c r="Q493" i="4"/>
  <c r="M493" i="4"/>
  <c r="CN492" i="4"/>
  <c r="CJ492" i="4"/>
  <c r="CF492" i="4"/>
  <c r="CB492" i="4"/>
  <c r="BW492" i="4"/>
  <c r="BS492" i="4"/>
  <c r="BO492" i="4"/>
  <c r="BK492" i="4"/>
  <c r="BA492" i="4"/>
  <c r="AW492" i="4"/>
  <c r="AS492" i="4"/>
  <c r="AO492" i="4"/>
  <c r="AK492" i="4"/>
  <c r="AG492" i="4"/>
  <c r="AC492" i="4"/>
  <c r="Y492" i="4"/>
  <c r="U492" i="4"/>
  <c r="Q492" i="4"/>
  <c r="M492" i="4"/>
  <c r="CN491" i="4"/>
  <c r="CJ491" i="4"/>
  <c r="CF491" i="4"/>
  <c r="CB491" i="4"/>
  <c r="BW491" i="4"/>
  <c r="BS491" i="4"/>
  <c r="BO491" i="4"/>
  <c r="BK491" i="4"/>
  <c r="BA491" i="4"/>
  <c r="AW491" i="4"/>
  <c r="AS491" i="4"/>
  <c r="AO491" i="4"/>
  <c r="AK491" i="4"/>
  <c r="AG491" i="4"/>
  <c r="AC491" i="4"/>
  <c r="Y491" i="4"/>
  <c r="U491" i="4"/>
  <c r="Q491" i="4"/>
  <c r="M491" i="4"/>
  <c r="CN490" i="4"/>
  <c r="CJ490" i="4"/>
  <c r="CF490" i="4"/>
  <c r="CB490" i="4"/>
  <c r="BW490" i="4"/>
  <c r="BS490" i="4"/>
  <c r="BO490" i="4"/>
  <c r="BK490" i="4"/>
  <c r="BA490" i="4"/>
  <c r="AW490" i="4"/>
  <c r="AS490" i="4"/>
  <c r="AO490" i="4"/>
  <c r="AK490" i="4"/>
  <c r="AG490" i="4"/>
  <c r="AC490" i="4"/>
  <c r="Y490" i="4"/>
  <c r="U490" i="4"/>
  <c r="Q490" i="4"/>
  <c r="M490" i="4"/>
  <c r="CN489" i="4"/>
  <c r="CJ489" i="4"/>
  <c r="CF489" i="4"/>
  <c r="CB489" i="4"/>
  <c r="BW489" i="4"/>
  <c r="BS489" i="4"/>
  <c r="BO489" i="4"/>
  <c r="BK489" i="4"/>
  <c r="BA489" i="4"/>
  <c r="AW489" i="4"/>
  <c r="AS489" i="4"/>
  <c r="AO489" i="4"/>
  <c r="AK489" i="4"/>
  <c r="AG489" i="4"/>
  <c r="AC489" i="4"/>
  <c r="Y489" i="4"/>
  <c r="U489" i="4"/>
  <c r="Q489" i="4"/>
  <c r="M489" i="4"/>
  <c r="CN488" i="4"/>
  <c r="CJ488" i="4"/>
  <c r="CF488" i="4"/>
  <c r="CB488" i="4"/>
  <c r="BW488" i="4"/>
  <c r="BS488" i="4"/>
  <c r="BO488" i="4"/>
  <c r="BK488" i="4"/>
  <c r="BA488" i="4"/>
  <c r="AW488" i="4"/>
  <c r="AS488" i="4"/>
  <c r="AO488" i="4"/>
  <c r="AK488" i="4"/>
  <c r="AG488" i="4"/>
  <c r="AC488" i="4"/>
  <c r="Y488" i="4"/>
  <c r="U488" i="4"/>
  <c r="Q488" i="4"/>
  <c r="M488" i="4"/>
  <c r="CN487" i="4"/>
  <c r="CJ487" i="4"/>
  <c r="CF487" i="4"/>
  <c r="CB487" i="4"/>
  <c r="BW487" i="4"/>
  <c r="BS487" i="4"/>
  <c r="BO487" i="4"/>
  <c r="BK487" i="4"/>
  <c r="BA487" i="4"/>
  <c r="AW487" i="4"/>
  <c r="AS487" i="4"/>
  <c r="AO487" i="4"/>
  <c r="AK487" i="4"/>
  <c r="AG487" i="4"/>
  <c r="AC487" i="4"/>
  <c r="Y487" i="4"/>
  <c r="U487" i="4"/>
  <c r="Q487" i="4"/>
  <c r="M487" i="4"/>
  <c r="CN486" i="4"/>
  <c r="CJ486" i="4"/>
  <c r="CF486" i="4"/>
  <c r="CB486" i="4"/>
  <c r="BW486" i="4"/>
  <c r="BS486" i="4"/>
  <c r="BO486" i="4"/>
  <c r="BK486" i="4"/>
  <c r="BA486" i="4"/>
  <c r="AW486" i="4"/>
  <c r="AS486" i="4"/>
  <c r="AO486" i="4"/>
  <c r="AK486" i="4"/>
  <c r="AG486" i="4"/>
  <c r="AC486" i="4"/>
  <c r="Y486" i="4"/>
  <c r="U486" i="4"/>
  <c r="Q486" i="4"/>
  <c r="M486" i="4"/>
  <c r="CN485" i="4"/>
  <c r="CJ485" i="4"/>
  <c r="CF485" i="4"/>
  <c r="CB485" i="4"/>
  <c r="BW485" i="4"/>
  <c r="BS485" i="4"/>
  <c r="BO485" i="4"/>
  <c r="BK485" i="4"/>
  <c r="BA485" i="4"/>
  <c r="AW485" i="4"/>
  <c r="AS485" i="4"/>
  <c r="AO485" i="4"/>
  <c r="AK485" i="4"/>
  <c r="AG485" i="4"/>
  <c r="AC485" i="4"/>
  <c r="Y485" i="4"/>
  <c r="U485" i="4"/>
  <c r="Q485" i="4"/>
  <c r="M485" i="4"/>
  <c r="CN484" i="4"/>
  <c r="CJ484" i="4"/>
  <c r="CF484" i="4"/>
  <c r="CB484" i="4"/>
  <c r="BW484" i="4"/>
  <c r="BS484" i="4"/>
  <c r="BO484" i="4"/>
  <c r="BK484" i="4"/>
  <c r="BA484" i="4"/>
  <c r="AW484" i="4"/>
  <c r="AS484" i="4"/>
  <c r="AO484" i="4"/>
  <c r="AK484" i="4"/>
  <c r="AG484" i="4"/>
  <c r="AC484" i="4"/>
  <c r="Y484" i="4"/>
  <c r="U484" i="4"/>
  <c r="Q484" i="4"/>
  <c r="M484" i="4"/>
  <c r="CN483" i="4"/>
  <c r="CJ483" i="4"/>
  <c r="CF483" i="4"/>
  <c r="CB483" i="4"/>
  <c r="BW483" i="4"/>
  <c r="BS483" i="4"/>
  <c r="BO483" i="4"/>
  <c r="BK483" i="4"/>
  <c r="BA483" i="4"/>
  <c r="AW483" i="4"/>
  <c r="AS483" i="4"/>
  <c r="AO483" i="4"/>
  <c r="AK483" i="4"/>
  <c r="AG483" i="4"/>
  <c r="AC483" i="4"/>
  <c r="Y483" i="4"/>
  <c r="U483" i="4"/>
  <c r="Q483" i="4"/>
  <c r="M483" i="4"/>
  <c r="CN482" i="4"/>
  <c r="CJ482" i="4"/>
  <c r="CF482" i="4"/>
  <c r="CB482" i="4"/>
  <c r="BW482" i="4"/>
  <c r="BS482" i="4"/>
  <c r="BO482" i="4"/>
  <c r="BK482" i="4"/>
  <c r="BA482" i="4"/>
  <c r="AW482" i="4"/>
  <c r="AS482" i="4"/>
  <c r="AO482" i="4"/>
  <c r="AK482" i="4"/>
  <c r="AG482" i="4"/>
  <c r="AC482" i="4"/>
  <c r="Y482" i="4"/>
  <c r="U482" i="4"/>
  <c r="Q482" i="4"/>
  <c r="M482" i="4"/>
  <c r="CN481" i="4"/>
  <c r="CJ481" i="4"/>
  <c r="CF481" i="4"/>
  <c r="CB481" i="4"/>
  <c r="BW481" i="4"/>
  <c r="BS481" i="4"/>
  <c r="BO481" i="4"/>
  <c r="BK481" i="4"/>
  <c r="BA481" i="4"/>
  <c r="AW481" i="4"/>
  <c r="AS481" i="4"/>
  <c r="AO481" i="4"/>
  <c r="AK481" i="4"/>
  <c r="AG481" i="4"/>
  <c r="AC481" i="4"/>
  <c r="Y481" i="4"/>
  <c r="U481" i="4"/>
  <c r="Q481" i="4"/>
  <c r="M481" i="4"/>
  <c r="CN480" i="4"/>
  <c r="CJ480" i="4"/>
  <c r="CF480" i="4"/>
  <c r="CB480" i="4"/>
  <c r="BW480" i="4"/>
  <c r="BS480" i="4"/>
  <c r="BO480" i="4"/>
  <c r="BK480" i="4"/>
  <c r="BA480" i="4"/>
  <c r="AW480" i="4"/>
  <c r="AS480" i="4"/>
  <c r="AO480" i="4"/>
  <c r="AK480" i="4"/>
  <c r="AG480" i="4"/>
  <c r="AC480" i="4"/>
  <c r="Y480" i="4"/>
  <c r="U480" i="4"/>
  <c r="Q480" i="4"/>
  <c r="M480" i="4"/>
  <c r="CN479" i="4"/>
  <c r="CJ479" i="4"/>
  <c r="CF479" i="4"/>
  <c r="CB479" i="4"/>
  <c r="BW479" i="4"/>
  <c r="BS479" i="4"/>
  <c r="BO479" i="4"/>
  <c r="BK479" i="4"/>
  <c r="BA479" i="4"/>
  <c r="AW479" i="4"/>
  <c r="AS479" i="4"/>
  <c r="AO479" i="4"/>
  <c r="AK479" i="4"/>
  <c r="AG479" i="4"/>
  <c r="AC479" i="4"/>
  <c r="Y479" i="4"/>
  <c r="U479" i="4"/>
  <c r="Q479" i="4"/>
  <c r="M479" i="4"/>
  <c r="CN478" i="4"/>
  <c r="CJ478" i="4"/>
  <c r="CF478" i="4"/>
  <c r="CB478" i="4"/>
  <c r="BW478" i="4"/>
  <c r="BS478" i="4"/>
  <c r="BO478" i="4"/>
  <c r="BK478" i="4"/>
  <c r="BA478" i="4"/>
  <c r="AW478" i="4"/>
  <c r="AS478" i="4"/>
  <c r="AO478" i="4"/>
  <c r="AK478" i="4"/>
  <c r="AG478" i="4"/>
  <c r="AC478" i="4"/>
  <c r="Y478" i="4"/>
  <c r="U478" i="4"/>
  <c r="Q478" i="4"/>
  <c r="M478" i="4"/>
  <c r="CN477" i="4"/>
  <c r="CJ477" i="4"/>
  <c r="CF477" i="4"/>
  <c r="CB477" i="4"/>
  <c r="BW477" i="4"/>
  <c r="BS477" i="4"/>
  <c r="BO477" i="4"/>
  <c r="BK477" i="4"/>
  <c r="BA477" i="4"/>
  <c r="AW477" i="4"/>
  <c r="AS477" i="4"/>
  <c r="AO477" i="4"/>
  <c r="AK477" i="4"/>
  <c r="AG477" i="4"/>
  <c r="AC477" i="4"/>
  <c r="Y477" i="4"/>
  <c r="U477" i="4"/>
  <c r="Q477" i="4"/>
  <c r="M477" i="4"/>
  <c r="CN476" i="4"/>
  <c r="CJ476" i="4"/>
  <c r="CF476" i="4"/>
  <c r="CB476" i="4"/>
  <c r="BW476" i="4"/>
  <c r="BS476" i="4"/>
  <c r="BO476" i="4"/>
  <c r="BK476" i="4"/>
  <c r="BA476" i="4"/>
  <c r="AW476" i="4"/>
  <c r="AS476" i="4"/>
  <c r="AO476" i="4"/>
  <c r="AK476" i="4"/>
  <c r="AG476" i="4"/>
  <c r="AC476" i="4"/>
  <c r="Y476" i="4"/>
  <c r="U476" i="4"/>
  <c r="Q476" i="4"/>
  <c r="M476" i="4"/>
  <c r="CN475" i="4"/>
  <c r="CJ475" i="4"/>
  <c r="CF475" i="4"/>
  <c r="CB475" i="4"/>
  <c r="BW475" i="4"/>
  <c r="BS475" i="4"/>
  <c r="BO475" i="4"/>
  <c r="BK475" i="4"/>
  <c r="BA475" i="4"/>
  <c r="AW475" i="4"/>
  <c r="AS475" i="4"/>
  <c r="AO475" i="4"/>
  <c r="AK475" i="4"/>
  <c r="AG475" i="4"/>
  <c r="AC475" i="4"/>
  <c r="Y475" i="4"/>
  <c r="U475" i="4"/>
  <c r="Q475" i="4"/>
  <c r="M475" i="4"/>
  <c r="CN474" i="4"/>
  <c r="CJ474" i="4"/>
  <c r="CF474" i="4"/>
  <c r="CB474" i="4"/>
  <c r="BW474" i="4"/>
  <c r="BS474" i="4"/>
  <c r="BO474" i="4"/>
  <c r="BK474" i="4"/>
  <c r="BA474" i="4"/>
  <c r="AW474" i="4"/>
  <c r="AS474" i="4"/>
  <c r="AO474" i="4"/>
  <c r="AK474" i="4"/>
  <c r="AG474" i="4"/>
  <c r="AC474" i="4"/>
  <c r="Y474" i="4"/>
  <c r="U474" i="4"/>
  <c r="Q474" i="4"/>
  <c r="M474" i="4"/>
  <c r="CN473" i="4"/>
  <c r="CJ473" i="4"/>
  <c r="CF473" i="4"/>
  <c r="CB473" i="4"/>
  <c r="BW473" i="4"/>
  <c r="BS473" i="4"/>
  <c r="BO473" i="4"/>
  <c r="BK473" i="4"/>
  <c r="BA473" i="4"/>
  <c r="AW473" i="4"/>
  <c r="AS473" i="4"/>
  <c r="AO473" i="4"/>
  <c r="AK473" i="4"/>
  <c r="AG473" i="4"/>
  <c r="AC473" i="4"/>
  <c r="Y473" i="4"/>
  <c r="U473" i="4"/>
  <c r="Q473" i="4"/>
  <c r="M473" i="4"/>
  <c r="CN472" i="4"/>
  <c r="CJ472" i="4"/>
  <c r="CF472" i="4"/>
  <c r="CB472" i="4"/>
  <c r="BW472" i="4"/>
  <c r="BS472" i="4"/>
  <c r="BO472" i="4"/>
  <c r="BK472" i="4"/>
  <c r="BA472" i="4"/>
  <c r="AW472" i="4"/>
  <c r="AS472" i="4"/>
  <c r="AO472" i="4"/>
  <c r="AK472" i="4"/>
  <c r="AG472" i="4"/>
  <c r="AC472" i="4"/>
  <c r="Y472" i="4"/>
  <c r="U472" i="4"/>
  <c r="Q472" i="4"/>
  <c r="M472" i="4"/>
  <c r="CN471" i="4"/>
  <c r="CJ471" i="4"/>
  <c r="CF471" i="4"/>
  <c r="CB471" i="4"/>
  <c r="BW471" i="4"/>
  <c r="BS471" i="4"/>
  <c r="BO471" i="4"/>
  <c r="BK471" i="4"/>
  <c r="BA471" i="4"/>
  <c r="AW471" i="4"/>
  <c r="AS471" i="4"/>
  <c r="AO471" i="4"/>
  <c r="AK471" i="4"/>
  <c r="AG471" i="4"/>
  <c r="AC471" i="4"/>
  <c r="Y471" i="4"/>
  <c r="U471" i="4"/>
  <c r="Q471" i="4"/>
  <c r="M471" i="4"/>
  <c r="CN470" i="4"/>
  <c r="CJ470" i="4"/>
  <c r="CF470" i="4"/>
  <c r="CB470" i="4"/>
  <c r="BW470" i="4"/>
  <c r="BS470" i="4"/>
  <c r="BO470" i="4"/>
  <c r="BK470" i="4"/>
  <c r="BA470" i="4"/>
  <c r="AW470" i="4"/>
  <c r="AS470" i="4"/>
  <c r="AO470" i="4"/>
  <c r="AK470" i="4"/>
  <c r="AG470" i="4"/>
  <c r="AC470" i="4"/>
  <c r="Y470" i="4"/>
  <c r="U470" i="4"/>
  <c r="Q470" i="4"/>
  <c r="M470" i="4"/>
  <c r="CN469" i="4"/>
  <c r="CJ469" i="4"/>
  <c r="CF469" i="4"/>
  <c r="CB469" i="4"/>
  <c r="BW469" i="4"/>
  <c r="BS469" i="4"/>
  <c r="BO469" i="4"/>
  <c r="BK469" i="4"/>
  <c r="BA469" i="4"/>
  <c r="AW469" i="4"/>
  <c r="AS469" i="4"/>
  <c r="AO469" i="4"/>
  <c r="AK469" i="4"/>
  <c r="AG469" i="4"/>
  <c r="AC469" i="4"/>
  <c r="Y469" i="4"/>
  <c r="U469" i="4"/>
  <c r="Q469" i="4"/>
  <c r="M469" i="4"/>
  <c r="CN468" i="4"/>
  <c r="CJ468" i="4"/>
  <c r="CF468" i="4"/>
  <c r="CB468" i="4"/>
  <c r="BW468" i="4"/>
  <c r="BS468" i="4"/>
  <c r="BO468" i="4"/>
  <c r="BK468" i="4"/>
  <c r="BA468" i="4"/>
  <c r="AW468" i="4"/>
  <c r="AS468" i="4"/>
  <c r="AO468" i="4"/>
  <c r="AK468" i="4"/>
  <c r="AG468" i="4"/>
  <c r="AC468" i="4"/>
  <c r="Y468" i="4"/>
  <c r="U468" i="4"/>
  <c r="Q468" i="4"/>
  <c r="M468" i="4"/>
  <c r="CN467" i="4"/>
  <c r="CJ467" i="4"/>
  <c r="CF467" i="4"/>
  <c r="CB467" i="4"/>
  <c r="BW467" i="4"/>
  <c r="BS467" i="4"/>
  <c r="BO467" i="4"/>
  <c r="BK467" i="4"/>
  <c r="BA467" i="4"/>
  <c r="AW467" i="4"/>
  <c r="AS467" i="4"/>
  <c r="AO467" i="4"/>
  <c r="AK467" i="4"/>
  <c r="AG467" i="4"/>
  <c r="AC467" i="4"/>
  <c r="Y467" i="4"/>
  <c r="U467" i="4"/>
  <c r="Q467" i="4"/>
  <c r="M467" i="4"/>
  <c r="CN466" i="4"/>
  <c r="CJ466" i="4"/>
  <c r="CF466" i="4"/>
  <c r="CB466" i="4"/>
  <c r="BW466" i="4"/>
  <c r="BS466" i="4"/>
  <c r="BO466" i="4"/>
  <c r="BK466" i="4"/>
  <c r="BA466" i="4"/>
  <c r="AW466" i="4"/>
  <c r="AS466" i="4"/>
  <c r="AO466" i="4"/>
  <c r="AK466" i="4"/>
  <c r="AG466" i="4"/>
  <c r="AC466" i="4"/>
  <c r="Y466" i="4"/>
  <c r="U466" i="4"/>
  <c r="Q466" i="4"/>
  <c r="M466" i="4"/>
  <c r="CN465" i="4"/>
  <c r="CJ465" i="4"/>
  <c r="CF465" i="4"/>
  <c r="CB465" i="4"/>
  <c r="BW465" i="4"/>
  <c r="BS465" i="4"/>
  <c r="BO465" i="4"/>
  <c r="BK465" i="4"/>
  <c r="BA465" i="4"/>
  <c r="AW465" i="4"/>
  <c r="AS465" i="4"/>
  <c r="AO465" i="4"/>
  <c r="AK465" i="4"/>
  <c r="AG465" i="4"/>
  <c r="AC465" i="4"/>
  <c r="Y465" i="4"/>
  <c r="U465" i="4"/>
  <c r="Q465" i="4"/>
  <c r="M465" i="4"/>
  <c r="CN464" i="4"/>
  <c r="CJ464" i="4"/>
  <c r="CF464" i="4"/>
  <c r="CB464" i="4"/>
  <c r="BW464" i="4"/>
  <c r="BS464" i="4"/>
  <c r="BO464" i="4"/>
  <c r="BK464" i="4"/>
  <c r="BA464" i="4"/>
  <c r="AW464" i="4"/>
  <c r="AS464" i="4"/>
  <c r="AO464" i="4"/>
  <c r="AK464" i="4"/>
  <c r="AG464" i="4"/>
  <c r="AC464" i="4"/>
  <c r="Y464" i="4"/>
  <c r="U464" i="4"/>
  <c r="Q464" i="4"/>
  <c r="M464" i="4"/>
  <c r="CN463" i="4"/>
  <c r="CJ463" i="4"/>
  <c r="CF463" i="4"/>
  <c r="CB463" i="4"/>
  <c r="BW463" i="4"/>
  <c r="BS463" i="4"/>
  <c r="BO463" i="4"/>
  <c r="BK463" i="4"/>
  <c r="BA463" i="4"/>
  <c r="AW463" i="4"/>
  <c r="AS463" i="4"/>
  <c r="AO463" i="4"/>
  <c r="AK463" i="4"/>
  <c r="AG463" i="4"/>
  <c r="AC463" i="4"/>
  <c r="Y463" i="4"/>
  <c r="U463" i="4"/>
  <c r="Q463" i="4"/>
  <c r="M463" i="4"/>
  <c r="CN462" i="4"/>
  <c r="CJ462" i="4"/>
  <c r="CF462" i="4"/>
  <c r="CB462" i="4"/>
  <c r="BW462" i="4"/>
  <c r="BS462" i="4"/>
  <c r="BO462" i="4"/>
  <c r="BK462" i="4"/>
  <c r="BA462" i="4"/>
  <c r="AW462" i="4"/>
  <c r="AS462" i="4"/>
  <c r="AO462" i="4"/>
  <c r="AK462" i="4"/>
  <c r="AG462" i="4"/>
  <c r="AC462" i="4"/>
  <c r="Y462" i="4"/>
  <c r="U462" i="4"/>
  <c r="Q462" i="4"/>
  <c r="M462" i="4"/>
  <c r="CN461" i="4"/>
  <c r="CJ461" i="4"/>
  <c r="CF461" i="4"/>
  <c r="CB461" i="4"/>
  <c r="BW461" i="4"/>
  <c r="BS461" i="4"/>
  <c r="BO461" i="4"/>
  <c r="BK461" i="4"/>
  <c r="BA461" i="4"/>
  <c r="AW461" i="4"/>
  <c r="AS461" i="4"/>
  <c r="AO461" i="4"/>
  <c r="AK461" i="4"/>
  <c r="AG461" i="4"/>
  <c r="AC461" i="4"/>
  <c r="Y461" i="4"/>
  <c r="U461" i="4"/>
  <c r="Q461" i="4"/>
  <c r="M461" i="4"/>
  <c r="CN460" i="4"/>
  <c r="CJ460" i="4"/>
  <c r="CF460" i="4"/>
  <c r="CB460" i="4"/>
  <c r="BW460" i="4"/>
  <c r="BS460" i="4"/>
  <c r="BO460" i="4"/>
  <c r="BK460" i="4"/>
  <c r="BA460" i="4"/>
  <c r="AW460" i="4"/>
  <c r="AS460" i="4"/>
  <c r="AO460" i="4"/>
  <c r="AK460" i="4"/>
  <c r="AG460" i="4"/>
  <c r="AC460" i="4"/>
  <c r="Y460" i="4"/>
  <c r="U460" i="4"/>
  <c r="Q460" i="4"/>
  <c r="M460" i="4"/>
  <c r="CN459" i="4"/>
  <c r="CJ459" i="4"/>
  <c r="CF459" i="4"/>
  <c r="CB459" i="4"/>
  <c r="BW459" i="4"/>
  <c r="BS459" i="4"/>
  <c r="BO459" i="4"/>
  <c r="BK459" i="4"/>
  <c r="BA459" i="4"/>
  <c r="AW459" i="4"/>
  <c r="AS459" i="4"/>
  <c r="AO459" i="4"/>
  <c r="AK459" i="4"/>
  <c r="AG459" i="4"/>
  <c r="AC459" i="4"/>
  <c r="Y459" i="4"/>
  <c r="U459" i="4"/>
  <c r="Q459" i="4"/>
  <c r="M459" i="4"/>
  <c r="CN458" i="4"/>
  <c r="CJ458" i="4"/>
  <c r="CF458" i="4"/>
  <c r="CB458" i="4"/>
  <c r="BW458" i="4"/>
  <c r="BS458" i="4"/>
  <c r="BO458" i="4"/>
  <c r="BK458" i="4"/>
  <c r="BA458" i="4"/>
  <c r="AW458" i="4"/>
  <c r="AS458" i="4"/>
  <c r="AO458" i="4"/>
  <c r="AK458" i="4"/>
  <c r="AG458" i="4"/>
  <c r="AC458" i="4"/>
  <c r="Y458" i="4"/>
  <c r="U458" i="4"/>
  <c r="Q458" i="4"/>
  <c r="M458" i="4"/>
  <c r="CN457" i="4"/>
  <c r="CJ457" i="4"/>
  <c r="CF457" i="4"/>
  <c r="CB457" i="4"/>
  <c r="BW457" i="4"/>
  <c r="BS457" i="4"/>
  <c r="BO457" i="4"/>
  <c r="BK457" i="4"/>
  <c r="BA457" i="4"/>
  <c r="AW457" i="4"/>
  <c r="AS457" i="4"/>
  <c r="AO457" i="4"/>
  <c r="AK457" i="4"/>
  <c r="AG457" i="4"/>
  <c r="AC457" i="4"/>
  <c r="Y457" i="4"/>
  <c r="U457" i="4"/>
  <c r="Q457" i="4"/>
  <c r="M457" i="4"/>
  <c r="CN456" i="4"/>
  <c r="CJ456" i="4"/>
  <c r="CF456" i="4"/>
  <c r="CB456" i="4"/>
  <c r="BW456" i="4"/>
  <c r="BS456" i="4"/>
  <c r="BO456" i="4"/>
  <c r="BK456" i="4"/>
  <c r="BA456" i="4"/>
  <c r="AW456" i="4"/>
  <c r="AS456" i="4"/>
  <c r="AO456" i="4"/>
  <c r="AK456" i="4"/>
  <c r="AG456" i="4"/>
  <c r="AC456" i="4"/>
  <c r="Y456" i="4"/>
  <c r="U456" i="4"/>
  <c r="Q456" i="4"/>
  <c r="M456" i="4"/>
  <c r="CN455" i="4"/>
  <c r="CJ455" i="4"/>
  <c r="CF455" i="4"/>
  <c r="CB455" i="4"/>
  <c r="BW455" i="4"/>
  <c r="BS455" i="4"/>
  <c r="BO455" i="4"/>
  <c r="BK455" i="4"/>
  <c r="BA455" i="4"/>
  <c r="AW455" i="4"/>
  <c r="AS455" i="4"/>
  <c r="AO455" i="4"/>
  <c r="AK455" i="4"/>
  <c r="AG455" i="4"/>
  <c r="AC455" i="4"/>
  <c r="Y455" i="4"/>
  <c r="U455" i="4"/>
  <c r="Q455" i="4"/>
  <c r="M455" i="4"/>
  <c r="CN454" i="4"/>
  <c r="CJ454" i="4"/>
  <c r="CF454" i="4"/>
  <c r="CB454" i="4"/>
  <c r="BW454" i="4"/>
  <c r="BS454" i="4"/>
  <c r="BO454" i="4"/>
  <c r="BK454" i="4"/>
  <c r="BA454" i="4"/>
  <c r="AW454" i="4"/>
  <c r="AS454" i="4"/>
  <c r="AO454" i="4"/>
  <c r="AK454" i="4"/>
  <c r="AG454" i="4"/>
  <c r="AC454" i="4"/>
  <c r="Y454" i="4"/>
  <c r="U454" i="4"/>
  <c r="Q454" i="4"/>
  <c r="M454" i="4"/>
  <c r="CN453" i="4"/>
  <c r="CJ453" i="4"/>
  <c r="CF453" i="4"/>
  <c r="CB453" i="4"/>
  <c r="BW453" i="4"/>
  <c r="BS453" i="4"/>
  <c r="BO453" i="4"/>
  <c r="BK453" i="4"/>
  <c r="BA453" i="4"/>
  <c r="AW453" i="4"/>
  <c r="AS453" i="4"/>
  <c r="AO453" i="4"/>
  <c r="AK453" i="4"/>
  <c r="AG453" i="4"/>
  <c r="AC453" i="4"/>
  <c r="Y453" i="4"/>
  <c r="U453" i="4"/>
  <c r="Q453" i="4"/>
  <c r="M453" i="4"/>
  <c r="CN452" i="4"/>
  <c r="CJ452" i="4"/>
  <c r="CF452" i="4"/>
  <c r="CB452" i="4"/>
  <c r="BW452" i="4"/>
  <c r="BS452" i="4"/>
  <c r="BO452" i="4"/>
  <c r="BK452" i="4"/>
  <c r="BA452" i="4"/>
  <c r="AW452" i="4"/>
  <c r="AS452" i="4"/>
  <c r="AO452" i="4"/>
  <c r="AK452" i="4"/>
  <c r="AG452" i="4"/>
  <c r="AC452" i="4"/>
  <c r="Y452" i="4"/>
  <c r="U452" i="4"/>
  <c r="Q452" i="4"/>
  <c r="M452" i="4"/>
  <c r="CN451" i="4"/>
  <c r="CJ451" i="4"/>
  <c r="CF451" i="4"/>
  <c r="CB451" i="4"/>
  <c r="BW451" i="4"/>
  <c r="BS451" i="4"/>
  <c r="BO451" i="4"/>
  <c r="BK451" i="4"/>
  <c r="BA451" i="4"/>
  <c r="AW451" i="4"/>
  <c r="AS451" i="4"/>
  <c r="AO451" i="4"/>
  <c r="AK451" i="4"/>
  <c r="AG451" i="4"/>
  <c r="AC451" i="4"/>
  <c r="Y451" i="4"/>
  <c r="U451" i="4"/>
  <c r="Q451" i="4"/>
  <c r="M451" i="4"/>
  <c r="CN450" i="4"/>
  <c r="CJ450" i="4"/>
  <c r="CF450" i="4"/>
  <c r="CB450" i="4"/>
  <c r="BW450" i="4"/>
  <c r="BS450" i="4"/>
  <c r="BO450" i="4"/>
  <c r="BK450" i="4"/>
  <c r="BA450" i="4"/>
  <c r="AW450" i="4"/>
  <c r="AS450" i="4"/>
  <c r="AO450" i="4"/>
  <c r="AK450" i="4"/>
  <c r="AG450" i="4"/>
  <c r="AC450" i="4"/>
  <c r="Y450" i="4"/>
  <c r="U450" i="4"/>
  <c r="Q450" i="4"/>
  <c r="M450" i="4"/>
  <c r="CN449" i="4"/>
  <c r="CJ449" i="4"/>
  <c r="CF449" i="4"/>
  <c r="CB449" i="4"/>
  <c r="BW449" i="4"/>
  <c r="BS449" i="4"/>
  <c r="BO449" i="4"/>
  <c r="BK449" i="4"/>
  <c r="BA449" i="4"/>
  <c r="AW449" i="4"/>
  <c r="AS449" i="4"/>
  <c r="AO449" i="4"/>
  <c r="AK449" i="4"/>
  <c r="AG449" i="4"/>
  <c r="AC449" i="4"/>
  <c r="Y449" i="4"/>
  <c r="U449" i="4"/>
  <c r="Q449" i="4"/>
  <c r="M449" i="4"/>
  <c r="CN448" i="4"/>
  <c r="CJ448" i="4"/>
  <c r="CF448" i="4"/>
  <c r="CB448" i="4"/>
  <c r="BW448" i="4"/>
  <c r="BS448" i="4"/>
  <c r="BO448" i="4"/>
  <c r="BK448" i="4"/>
  <c r="BA448" i="4"/>
  <c r="AW448" i="4"/>
  <c r="AS448" i="4"/>
  <c r="AO448" i="4"/>
  <c r="AK448" i="4"/>
  <c r="AG448" i="4"/>
  <c r="AC448" i="4"/>
  <c r="Y448" i="4"/>
  <c r="U448" i="4"/>
  <c r="Q448" i="4"/>
  <c r="M448" i="4"/>
  <c r="CN447" i="4"/>
  <c r="CJ447" i="4"/>
  <c r="CF447" i="4"/>
  <c r="CB447" i="4"/>
  <c r="BW447" i="4"/>
  <c r="BS447" i="4"/>
  <c r="BO447" i="4"/>
  <c r="BK447" i="4"/>
  <c r="BA447" i="4"/>
  <c r="AW447" i="4"/>
  <c r="AS447" i="4"/>
  <c r="AO447" i="4"/>
  <c r="AK447" i="4"/>
  <c r="AG447" i="4"/>
  <c r="AC447" i="4"/>
  <c r="Y447" i="4"/>
  <c r="U447" i="4"/>
  <c r="Q447" i="4"/>
  <c r="M447" i="4"/>
  <c r="CN446" i="4"/>
  <c r="CJ446" i="4"/>
  <c r="CF446" i="4"/>
  <c r="CB446" i="4"/>
  <c r="BW446" i="4"/>
  <c r="BS446" i="4"/>
  <c r="BO446" i="4"/>
  <c r="BK446" i="4"/>
  <c r="BA446" i="4"/>
  <c r="AW446" i="4"/>
  <c r="AS446" i="4"/>
  <c r="AO446" i="4"/>
  <c r="AK446" i="4"/>
  <c r="AG446" i="4"/>
  <c r="AC446" i="4"/>
  <c r="Y446" i="4"/>
  <c r="U446" i="4"/>
  <c r="Q446" i="4"/>
  <c r="M446" i="4"/>
  <c r="CN445" i="4"/>
  <c r="CJ445" i="4"/>
  <c r="CF445" i="4"/>
  <c r="CB445" i="4"/>
  <c r="BW445" i="4"/>
  <c r="BS445" i="4"/>
  <c r="BO445" i="4"/>
  <c r="BK445" i="4"/>
  <c r="BA445" i="4"/>
  <c r="AW445" i="4"/>
  <c r="AS445" i="4"/>
  <c r="AO445" i="4"/>
  <c r="AK445" i="4"/>
  <c r="AG445" i="4"/>
  <c r="AC445" i="4"/>
  <c r="Y445" i="4"/>
  <c r="U445" i="4"/>
  <c r="Q445" i="4"/>
  <c r="M445" i="4"/>
  <c r="CN444" i="4"/>
  <c r="CJ444" i="4"/>
  <c r="CF444" i="4"/>
  <c r="CB444" i="4"/>
  <c r="BW444" i="4"/>
  <c r="BS444" i="4"/>
  <c r="BO444" i="4"/>
  <c r="BK444" i="4"/>
  <c r="BA444" i="4"/>
  <c r="AW444" i="4"/>
  <c r="AS444" i="4"/>
  <c r="AO444" i="4"/>
  <c r="AK444" i="4"/>
  <c r="AG444" i="4"/>
  <c r="AC444" i="4"/>
  <c r="Y444" i="4"/>
  <c r="U444" i="4"/>
  <c r="Q444" i="4"/>
  <c r="M444" i="4"/>
  <c r="CN443" i="4"/>
  <c r="CJ443" i="4"/>
  <c r="CF443" i="4"/>
  <c r="CB443" i="4"/>
  <c r="BW443" i="4"/>
  <c r="BS443" i="4"/>
  <c r="BO443" i="4"/>
  <c r="BK443" i="4"/>
  <c r="BA443" i="4"/>
  <c r="AW443" i="4"/>
  <c r="AS443" i="4"/>
  <c r="AO443" i="4"/>
  <c r="AK443" i="4"/>
  <c r="AG443" i="4"/>
  <c r="AC443" i="4"/>
  <c r="Y443" i="4"/>
  <c r="U443" i="4"/>
  <c r="Q443" i="4"/>
  <c r="M443" i="4"/>
  <c r="CN442" i="4"/>
  <c r="CJ442" i="4"/>
  <c r="CF442" i="4"/>
  <c r="CB442" i="4"/>
  <c r="BW442" i="4"/>
  <c r="BS442" i="4"/>
  <c r="BO442" i="4"/>
  <c r="BK442" i="4"/>
  <c r="BA442" i="4"/>
  <c r="AW442" i="4"/>
  <c r="AS442" i="4"/>
  <c r="AO442" i="4"/>
  <c r="AK442" i="4"/>
  <c r="AG442" i="4"/>
  <c r="AC442" i="4"/>
  <c r="Y442" i="4"/>
  <c r="U442" i="4"/>
  <c r="Q442" i="4"/>
  <c r="M442" i="4"/>
  <c r="CN441" i="4"/>
  <c r="CJ441" i="4"/>
  <c r="CF441" i="4"/>
  <c r="CB441" i="4"/>
  <c r="BW441" i="4"/>
  <c r="BS441" i="4"/>
  <c r="BO441" i="4"/>
  <c r="BK441" i="4"/>
  <c r="BA441" i="4"/>
  <c r="AW441" i="4"/>
  <c r="AS441" i="4"/>
  <c r="AO441" i="4"/>
  <c r="AK441" i="4"/>
  <c r="AG441" i="4"/>
  <c r="AC441" i="4"/>
  <c r="Y441" i="4"/>
  <c r="U441" i="4"/>
  <c r="Q441" i="4"/>
  <c r="M441" i="4"/>
  <c r="CN440" i="4"/>
  <c r="CJ440" i="4"/>
  <c r="CF440" i="4"/>
  <c r="CB440" i="4"/>
  <c r="BW440" i="4"/>
  <c r="BS440" i="4"/>
  <c r="BO440" i="4"/>
  <c r="BK440" i="4"/>
  <c r="BA440" i="4"/>
  <c r="AW440" i="4"/>
  <c r="AS440" i="4"/>
  <c r="AO440" i="4"/>
  <c r="AK440" i="4"/>
  <c r="AG440" i="4"/>
  <c r="AC440" i="4"/>
  <c r="Y440" i="4"/>
  <c r="U440" i="4"/>
  <c r="Q440" i="4"/>
  <c r="M440" i="4"/>
  <c r="CN439" i="4"/>
  <c r="CJ439" i="4"/>
  <c r="CF439" i="4"/>
  <c r="CB439" i="4"/>
  <c r="BW439" i="4"/>
  <c r="BS439" i="4"/>
  <c r="BO439" i="4"/>
  <c r="BK439" i="4"/>
  <c r="BA439" i="4"/>
  <c r="AW439" i="4"/>
  <c r="AS439" i="4"/>
  <c r="AO439" i="4"/>
  <c r="AK439" i="4"/>
  <c r="AG439" i="4"/>
  <c r="AC439" i="4"/>
  <c r="Y439" i="4"/>
  <c r="U439" i="4"/>
  <c r="Q439" i="4"/>
  <c r="M439" i="4"/>
  <c r="CN438" i="4"/>
  <c r="CJ438" i="4"/>
  <c r="CF438" i="4"/>
  <c r="CB438" i="4"/>
  <c r="BW438" i="4"/>
  <c r="BS438" i="4"/>
  <c r="BO438" i="4"/>
  <c r="BK438" i="4"/>
  <c r="BA438" i="4"/>
  <c r="AW438" i="4"/>
  <c r="AS438" i="4"/>
  <c r="AO438" i="4"/>
  <c r="AK438" i="4"/>
  <c r="AG438" i="4"/>
  <c r="AC438" i="4"/>
  <c r="Y438" i="4"/>
  <c r="U438" i="4"/>
  <c r="Q438" i="4"/>
  <c r="M438" i="4"/>
  <c r="CN437" i="4"/>
  <c r="CJ437" i="4"/>
  <c r="CF437" i="4"/>
  <c r="CB437" i="4"/>
  <c r="BW437" i="4"/>
  <c r="BS437" i="4"/>
  <c r="BO437" i="4"/>
  <c r="BK437" i="4"/>
  <c r="BA437" i="4"/>
  <c r="AW437" i="4"/>
  <c r="AS437" i="4"/>
  <c r="AO437" i="4"/>
  <c r="AK437" i="4"/>
  <c r="AG437" i="4"/>
  <c r="AC437" i="4"/>
  <c r="Y437" i="4"/>
  <c r="U437" i="4"/>
  <c r="Q437" i="4"/>
  <c r="M437" i="4"/>
  <c r="CN436" i="4"/>
  <c r="CJ436" i="4"/>
  <c r="CF436" i="4"/>
  <c r="CB436" i="4"/>
  <c r="BW436" i="4"/>
  <c r="BS436" i="4"/>
  <c r="BO436" i="4"/>
  <c r="BK436" i="4"/>
  <c r="BA436" i="4"/>
  <c r="AW436" i="4"/>
  <c r="AS436" i="4"/>
  <c r="AO436" i="4"/>
  <c r="AK436" i="4"/>
  <c r="AG436" i="4"/>
  <c r="AC436" i="4"/>
  <c r="Y436" i="4"/>
  <c r="U436" i="4"/>
  <c r="Q436" i="4"/>
  <c r="M436" i="4"/>
  <c r="CN435" i="4"/>
  <c r="CJ435" i="4"/>
  <c r="CF435" i="4"/>
  <c r="CB435" i="4"/>
  <c r="BW435" i="4"/>
  <c r="BS435" i="4"/>
  <c r="BO435" i="4"/>
  <c r="BK435" i="4"/>
  <c r="BA435" i="4"/>
  <c r="AW435" i="4"/>
  <c r="AS435" i="4"/>
  <c r="AO435" i="4"/>
  <c r="AK435" i="4"/>
  <c r="AG435" i="4"/>
  <c r="AC435" i="4"/>
  <c r="Y435" i="4"/>
  <c r="U435" i="4"/>
  <c r="Q435" i="4"/>
  <c r="M435" i="4"/>
  <c r="CN434" i="4"/>
  <c r="CJ434" i="4"/>
  <c r="CF434" i="4"/>
  <c r="CB434" i="4"/>
  <c r="BW434" i="4"/>
  <c r="BS434" i="4"/>
  <c r="BO434" i="4"/>
  <c r="BK434" i="4"/>
  <c r="BA434" i="4"/>
  <c r="AW434" i="4"/>
  <c r="AS434" i="4"/>
  <c r="AO434" i="4"/>
  <c r="AK434" i="4"/>
  <c r="AG434" i="4"/>
  <c r="AC434" i="4"/>
  <c r="Y434" i="4"/>
  <c r="U434" i="4"/>
  <c r="Q434" i="4"/>
  <c r="M434" i="4"/>
  <c r="CN433" i="4"/>
  <c r="CJ433" i="4"/>
  <c r="CF433" i="4"/>
  <c r="CB433" i="4"/>
  <c r="BW433" i="4"/>
  <c r="BS433" i="4"/>
  <c r="BO433" i="4"/>
  <c r="BK433" i="4"/>
  <c r="BA433" i="4"/>
  <c r="AW433" i="4"/>
  <c r="AS433" i="4"/>
  <c r="AO433" i="4"/>
  <c r="AK433" i="4"/>
  <c r="AG433" i="4"/>
  <c r="AC433" i="4"/>
  <c r="Y433" i="4"/>
  <c r="U433" i="4"/>
  <c r="Q433" i="4"/>
  <c r="M433" i="4"/>
  <c r="CN432" i="4"/>
  <c r="CJ432" i="4"/>
  <c r="CF432" i="4"/>
  <c r="CB432" i="4"/>
  <c r="BW432" i="4"/>
  <c r="BS432" i="4"/>
  <c r="BO432" i="4"/>
  <c r="BK432" i="4"/>
  <c r="BA432" i="4"/>
  <c r="AW432" i="4"/>
  <c r="AS432" i="4"/>
  <c r="AO432" i="4"/>
  <c r="AK432" i="4"/>
  <c r="AG432" i="4"/>
  <c r="AC432" i="4"/>
  <c r="Y432" i="4"/>
  <c r="U432" i="4"/>
  <c r="Q432" i="4"/>
  <c r="M432" i="4"/>
  <c r="CN431" i="4"/>
  <c r="CJ431" i="4"/>
  <c r="CF431" i="4"/>
  <c r="CB431" i="4"/>
  <c r="BW431" i="4"/>
  <c r="BS431" i="4"/>
  <c r="BO431" i="4"/>
  <c r="BK431" i="4"/>
  <c r="BA431" i="4"/>
  <c r="AW431" i="4"/>
  <c r="AS431" i="4"/>
  <c r="AO431" i="4"/>
  <c r="AK431" i="4"/>
  <c r="AG431" i="4"/>
  <c r="AC431" i="4"/>
  <c r="Y431" i="4"/>
  <c r="U431" i="4"/>
  <c r="Q431" i="4"/>
  <c r="M431" i="4"/>
  <c r="CN430" i="4"/>
  <c r="CJ430" i="4"/>
  <c r="CF430" i="4"/>
  <c r="CB430" i="4"/>
  <c r="BW430" i="4"/>
  <c r="BS430" i="4"/>
  <c r="BO430" i="4"/>
  <c r="BK430" i="4"/>
  <c r="BA430" i="4"/>
  <c r="AW430" i="4"/>
  <c r="AS430" i="4"/>
  <c r="AO430" i="4"/>
  <c r="AK430" i="4"/>
  <c r="AG430" i="4"/>
  <c r="AC430" i="4"/>
  <c r="Y430" i="4"/>
  <c r="U430" i="4"/>
  <c r="Q430" i="4"/>
  <c r="M430" i="4"/>
  <c r="CN429" i="4"/>
  <c r="CJ429" i="4"/>
  <c r="CF429" i="4"/>
  <c r="CB429" i="4"/>
  <c r="BW429" i="4"/>
  <c r="BS429" i="4"/>
  <c r="BO429" i="4"/>
  <c r="BK429" i="4"/>
  <c r="BA429" i="4"/>
  <c r="AW429" i="4"/>
  <c r="AS429" i="4"/>
  <c r="AO429" i="4"/>
  <c r="AK429" i="4"/>
  <c r="AG429" i="4"/>
  <c r="AC429" i="4"/>
  <c r="Y429" i="4"/>
  <c r="U429" i="4"/>
  <c r="Q429" i="4"/>
  <c r="M429" i="4"/>
  <c r="CN428" i="4"/>
  <c r="CJ428" i="4"/>
  <c r="CF428" i="4"/>
  <c r="CB428" i="4"/>
  <c r="BW428" i="4"/>
  <c r="BS428" i="4"/>
  <c r="BO428" i="4"/>
  <c r="BK428" i="4"/>
  <c r="BA428" i="4"/>
  <c r="AW428" i="4"/>
  <c r="AS428" i="4"/>
  <c r="AO428" i="4"/>
  <c r="AK428" i="4"/>
  <c r="AG428" i="4"/>
  <c r="AC428" i="4"/>
  <c r="Y428" i="4"/>
  <c r="U428" i="4"/>
  <c r="Q428" i="4"/>
  <c r="M428" i="4"/>
  <c r="CN427" i="4"/>
  <c r="CJ427" i="4"/>
  <c r="CF427" i="4"/>
  <c r="CB427" i="4"/>
  <c r="BW427" i="4"/>
  <c r="BS427" i="4"/>
  <c r="BO427" i="4"/>
  <c r="BK427" i="4"/>
  <c r="BA427" i="4"/>
  <c r="AW427" i="4"/>
  <c r="AS427" i="4"/>
  <c r="AO427" i="4"/>
  <c r="AK427" i="4"/>
  <c r="AG427" i="4"/>
  <c r="AC427" i="4"/>
  <c r="Y427" i="4"/>
  <c r="U427" i="4"/>
  <c r="Q427" i="4"/>
  <c r="M427" i="4"/>
  <c r="CN426" i="4"/>
  <c r="CJ426" i="4"/>
  <c r="CF426" i="4"/>
  <c r="CB426" i="4"/>
  <c r="BW426" i="4"/>
  <c r="BS426" i="4"/>
  <c r="BO426" i="4"/>
  <c r="BK426" i="4"/>
  <c r="BA426" i="4"/>
  <c r="AW426" i="4"/>
  <c r="AS426" i="4"/>
  <c r="AO426" i="4"/>
  <c r="AK426" i="4"/>
  <c r="AG426" i="4"/>
  <c r="AC426" i="4"/>
  <c r="Y426" i="4"/>
  <c r="U426" i="4"/>
  <c r="Q426" i="4"/>
  <c r="M426" i="4"/>
  <c r="CN425" i="4"/>
  <c r="CJ425" i="4"/>
  <c r="CF425" i="4"/>
  <c r="CB425" i="4"/>
  <c r="BW425" i="4"/>
  <c r="BS425" i="4"/>
  <c r="BO425" i="4"/>
  <c r="BK425" i="4"/>
  <c r="BA425" i="4"/>
  <c r="AW425" i="4"/>
  <c r="AS425" i="4"/>
  <c r="AO425" i="4"/>
  <c r="AK425" i="4"/>
  <c r="AG425" i="4"/>
  <c r="AC425" i="4"/>
  <c r="Y425" i="4"/>
  <c r="U425" i="4"/>
  <c r="Q425" i="4"/>
  <c r="M425" i="4"/>
  <c r="CN424" i="4"/>
  <c r="CJ424" i="4"/>
  <c r="CF424" i="4"/>
  <c r="CB424" i="4"/>
  <c r="BW424" i="4"/>
  <c r="BS424" i="4"/>
  <c r="BO424" i="4"/>
  <c r="BK424" i="4"/>
  <c r="BA424" i="4"/>
  <c r="AW424" i="4"/>
  <c r="AS424" i="4"/>
  <c r="AO424" i="4"/>
  <c r="AK424" i="4"/>
  <c r="AG424" i="4"/>
  <c r="AC424" i="4"/>
  <c r="Y424" i="4"/>
  <c r="U424" i="4"/>
  <c r="Q424" i="4"/>
  <c r="M424" i="4"/>
  <c r="CN423" i="4"/>
  <c r="CJ423" i="4"/>
  <c r="CF423" i="4"/>
  <c r="CB423" i="4"/>
  <c r="BW423" i="4"/>
  <c r="BS423" i="4"/>
  <c r="BO423" i="4"/>
  <c r="BK423" i="4"/>
  <c r="BA423" i="4"/>
  <c r="AW423" i="4"/>
  <c r="AS423" i="4"/>
  <c r="AO423" i="4"/>
  <c r="AK423" i="4"/>
  <c r="AG423" i="4"/>
  <c r="AC423" i="4"/>
  <c r="Y423" i="4"/>
  <c r="U423" i="4"/>
  <c r="Q423" i="4"/>
  <c r="M423" i="4"/>
  <c r="CN422" i="4"/>
  <c r="CJ422" i="4"/>
  <c r="CF422" i="4"/>
  <c r="CB422" i="4"/>
  <c r="BW422" i="4"/>
  <c r="BS422" i="4"/>
  <c r="BO422" i="4"/>
  <c r="BK422" i="4"/>
  <c r="BA422" i="4"/>
  <c r="AW422" i="4"/>
  <c r="AS422" i="4"/>
  <c r="AO422" i="4"/>
  <c r="AK422" i="4"/>
  <c r="AG422" i="4"/>
  <c r="AC422" i="4"/>
  <c r="Y422" i="4"/>
  <c r="U422" i="4"/>
  <c r="Q422" i="4"/>
  <c r="M422" i="4"/>
  <c r="CN421" i="4"/>
  <c r="CJ421" i="4"/>
  <c r="CF421" i="4"/>
  <c r="CB421" i="4"/>
  <c r="BW421" i="4"/>
  <c r="BS421" i="4"/>
  <c r="BO421" i="4"/>
  <c r="BK421" i="4"/>
  <c r="BA421" i="4"/>
  <c r="AW421" i="4"/>
  <c r="AS421" i="4"/>
  <c r="AO421" i="4"/>
  <c r="AK421" i="4"/>
  <c r="AG421" i="4"/>
  <c r="AC421" i="4"/>
  <c r="Y421" i="4"/>
  <c r="U421" i="4"/>
  <c r="Q421" i="4"/>
  <c r="M421" i="4"/>
  <c r="CN420" i="4"/>
  <c r="CJ420" i="4"/>
  <c r="CF420" i="4"/>
  <c r="CB420" i="4"/>
  <c r="BW420" i="4"/>
  <c r="BS420" i="4"/>
  <c r="BO420" i="4"/>
  <c r="BK420" i="4"/>
  <c r="BA420" i="4"/>
  <c r="AW420" i="4"/>
  <c r="AS420" i="4"/>
  <c r="AO420" i="4"/>
  <c r="AK420" i="4"/>
  <c r="AG420" i="4"/>
  <c r="AC420" i="4"/>
  <c r="Y420" i="4"/>
  <c r="U420" i="4"/>
  <c r="Q420" i="4"/>
  <c r="M420" i="4"/>
  <c r="CN419" i="4"/>
  <c r="CJ419" i="4"/>
  <c r="CF419" i="4"/>
  <c r="CB419" i="4"/>
  <c r="BW419" i="4"/>
  <c r="BS419" i="4"/>
  <c r="BO419" i="4"/>
  <c r="BK419" i="4"/>
  <c r="BA419" i="4"/>
  <c r="AW419" i="4"/>
  <c r="AS419" i="4"/>
  <c r="AO419" i="4"/>
  <c r="AK419" i="4"/>
  <c r="AG419" i="4"/>
  <c r="AC419" i="4"/>
  <c r="Y419" i="4"/>
  <c r="U419" i="4"/>
  <c r="Q419" i="4"/>
  <c r="M419" i="4"/>
  <c r="CN418" i="4"/>
  <c r="CJ418" i="4"/>
  <c r="CF418" i="4"/>
  <c r="CB418" i="4"/>
  <c r="BW418" i="4"/>
  <c r="BS418" i="4"/>
  <c r="BO418" i="4"/>
  <c r="BK418" i="4"/>
  <c r="BA418" i="4"/>
  <c r="AW418" i="4"/>
  <c r="AS418" i="4"/>
  <c r="AO418" i="4"/>
  <c r="AK418" i="4"/>
  <c r="AG418" i="4"/>
  <c r="AC418" i="4"/>
  <c r="Y418" i="4"/>
  <c r="U418" i="4"/>
  <c r="Q418" i="4"/>
  <c r="M418" i="4"/>
  <c r="CN417" i="4"/>
  <c r="CJ417" i="4"/>
  <c r="CF417" i="4"/>
  <c r="CB417" i="4"/>
  <c r="BW417" i="4"/>
  <c r="BS417" i="4"/>
  <c r="BO417" i="4"/>
  <c r="BK417" i="4"/>
  <c r="BA417" i="4"/>
  <c r="AW417" i="4"/>
  <c r="AS417" i="4"/>
  <c r="AO417" i="4"/>
  <c r="AK417" i="4"/>
  <c r="AG417" i="4"/>
  <c r="AC417" i="4"/>
  <c r="Y417" i="4"/>
  <c r="U417" i="4"/>
  <c r="Q417" i="4"/>
  <c r="M417" i="4"/>
  <c r="CN416" i="4"/>
  <c r="CJ416" i="4"/>
  <c r="CF416" i="4"/>
  <c r="CB416" i="4"/>
  <c r="BW416" i="4"/>
  <c r="BS416" i="4"/>
  <c r="BO416" i="4"/>
  <c r="BK416" i="4"/>
  <c r="BA416" i="4"/>
  <c r="AW416" i="4"/>
  <c r="AS416" i="4"/>
  <c r="AO416" i="4"/>
  <c r="AK416" i="4"/>
  <c r="AG416" i="4"/>
  <c r="AC416" i="4"/>
  <c r="Y416" i="4"/>
  <c r="U416" i="4"/>
  <c r="Q416" i="4"/>
  <c r="M416" i="4"/>
  <c r="CN415" i="4"/>
  <c r="CJ415" i="4"/>
  <c r="CF415" i="4"/>
  <c r="CB415" i="4"/>
  <c r="BW415" i="4"/>
  <c r="BS415" i="4"/>
  <c r="BO415" i="4"/>
  <c r="BK415" i="4"/>
  <c r="BA415" i="4"/>
  <c r="AW415" i="4"/>
  <c r="AS415" i="4"/>
  <c r="AO415" i="4"/>
  <c r="AK415" i="4"/>
  <c r="AG415" i="4"/>
  <c r="AC415" i="4"/>
  <c r="Y415" i="4"/>
  <c r="U415" i="4"/>
  <c r="Q415" i="4"/>
  <c r="M415" i="4"/>
  <c r="CN414" i="4"/>
  <c r="CJ414" i="4"/>
  <c r="CF414" i="4"/>
  <c r="CB414" i="4"/>
  <c r="BW414" i="4"/>
  <c r="BS414" i="4"/>
  <c r="BO414" i="4"/>
  <c r="BK414" i="4"/>
  <c r="BA414" i="4"/>
  <c r="AW414" i="4"/>
  <c r="AS414" i="4"/>
  <c r="AO414" i="4"/>
  <c r="AK414" i="4"/>
  <c r="AG414" i="4"/>
  <c r="AC414" i="4"/>
  <c r="Y414" i="4"/>
  <c r="U414" i="4"/>
  <c r="Q414" i="4"/>
  <c r="M414" i="4"/>
  <c r="CN413" i="4"/>
  <c r="CJ413" i="4"/>
  <c r="CF413" i="4"/>
  <c r="CB413" i="4"/>
  <c r="BW413" i="4"/>
  <c r="BS413" i="4"/>
  <c r="BO413" i="4"/>
  <c r="BK413" i="4"/>
  <c r="BA413" i="4"/>
  <c r="AW413" i="4"/>
  <c r="AS413" i="4"/>
  <c r="AO413" i="4"/>
  <c r="AK413" i="4"/>
  <c r="AG413" i="4"/>
  <c r="AC413" i="4"/>
  <c r="Y413" i="4"/>
  <c r="U413" i="4"/>
  <c r="Q413" i="4"/>
  <c r="M413" i="4"/>
  <c r="CN412" i="4"/>
  <c r="CJ412" i="4"/>
  <c r="CF412" i="4"/>
  <c r="CB412" i="4"/>
  <c r="BW412" i="4"/>
  <c r="BS412" i="4"/>
  <c r="BO412" i="4"/>
  <c r="BK412" i="4"/>
  <c r="BA412" i="4"/>
  <c r="AW412" i="4"/>
  <c r="AS412" i="4"/>
  <c r="AO412" i="4"/>
  <c r="AK412" i="4"/>
  <c r="AG412" i="4"/>
  <c r="AC412" i="4"/>
  <c r="Y412" i="4"/>
  <c r="U412" i="4"/>
  <c r="Q412" i="4"/>
  <c r="M412" i="4"/>
  <c r="CN411" i="4"/>
  <c r="CJ411" i="4"/>
  <c r="CF411" i="4"/>
  <c r="CB411" i="4"/>
  <c r="BW411" i="4"/>
  <c r="BS411" i="4"/>
  <c r="BO411" i="4"/>
  <c r="BK411" i="4"/>
  <c r="BA411" i="4"/>
  <c r="AW411" i="4"/>
  <c r="AS411" i="4"/>
  <c r="AO411" i="4"/>
  <c r="AK411" i="4"/>
  <c r="AG411" i="4"/>
  <c r="AC411" i="4"/>
  <c r="Y411" i="4"/>
  <c r="U411" i="4"/>
  <c r="Q411" i="4"/>
  <c r="M411" i="4"/>
  <c r="CN410" i="4"/>
  <c r="CJ410" i="4"/>
  <c r="CF410" i="4"/>
  <c r="CB410" i="4"/>
  <c r="BW410" i="4"/>
  <c r="BS410" i="4"/>
  <c r="BO410" i="4"/>
  <c r="BK410" i="4"/>
  <c r="BA410" i="4"/>
  <c r="AW410" i="4"/>
  <c r="AS410" i="4"/>
  <c r="AO410" i="4"/>
  <c r="AK410" i="4"/>
  <c r="AG410" i="4"/>
  <c r="AC410" i="4"/>
  <c r="Y410" i="4"/>
  <c r="U410" i="4"/>
  <c r="Q410" i="4"/>
  <c r="M410" i="4"/>
  <c r="CN409" i="4"/>
  <c r="CJ409" i="4"/>
  <c r="CF409" i="4"/>
  <c r="CB409" i="4"/>
  <c r="BW409" i="4"/>
  <c r="BS409" i="4"/>
  <c r="BO409" i="4"/>
  <c r="BK409" i="4"/>
  <c r="BA409" i="4"/>
  <c r="AW409" i="4"/>
  <c r="AS409" i="4"/>
  <c r="AO409" i="4"/>
  <c r="AK409" i="4"/>
  <c r="AG409" i="4"/>
  <c r="AC409" i="4"/>
  <c r="Y409" i="4"/>
  <c r="U409" i="4"/>
  <c r="Q409" i="4"/>
  <c r="M409" i="4"/>
  <c r="CN408" i="4"/>
  <c r="CJ408" i="4"/>
  <c r="CF408" i="4"/>
  <c r="CB408" i="4"/>
  <c r="BW408" i="4"/>
  <c r="BS408" i="4"/>
  <c r="BO408" i="4"/>
  <c r="BK408" i="4"/>
  <c r="BA408" i="4"/>
  <c r="AW408" i="4"/>
  <c r="AS408" i="4"/>
  <c r="AO408" i="4"/>
  <c r="AK408" i="4"/>
  <c r="AG408" i="4"/>
  <c r="AC408" i="4"/>
  <c r="Y408" i="4"/>
  <c r="U408" i="4"/>
  <c r="Q408" i="4"/>
  <c r="M408" i="4"/>
  <c r="CN407" i="4"/>
  <c r="CJ407" i="4"/>
  <c r="CF407" i="4"/>
  <c r="CB407" i="4"/>
  <c r="BW407" i="4"/>
  <c r="BS407" i="4"/>
  <c r="BO407" i="4"/>
  <c r="BK407" i="4"/>
  <c r="BA407" i="4"/>
  <c r="AW407" i="4"/>
  <c r="AS407" i="4"/>
  <c r="AO407" i="4"/>
  <c r="AK407" i="4"/>
  <c r="AG407" i="4"/>
  <c r="AC407" i="4"/>
  <c r="Y407" i="4"/>
  <c r="U407" i="4"/>
  <c r="Q407" i="4"/>
  <c r="M407" i="4"/>
  <c r="CN406" i="4"/>
  <c r="CJ406" i="4"/>
  <c r="CF406" i="4"/>
  <c r="CB406" i="4"/>
  <c r="BW406" i="4"/>
  <c r="BS406" i="4"/>
  <c r="BO406" i="4"/>
  <c r="BK406" i="4"/>
  <c r="BA406" i="4"/>
  <c r="AW406" i="4"/>
  <c r="AS406" i="4"/>
  <c r="AO406" i="4"/>
  <c r="AK406" i="4"/>
  <c r="AG406" i="4"/>
  <c r="AC406" i="4"/>
  <c r="Y406" i="4"/>
  <c r="U406" i="4"/>
  <c r="Q406" i="4"/>
  <c r="M406" i="4"/>
  <c r="CN405" i="4"/>
  <c r="CJ405" i="4"/>
  <c r="CF405" i="4"/>
  <c r="CB405" i="4"/>
  <c r="BW405" i="4"/>
  <c r="BS405" i="4"/>
  <c r="BO405" i="4"/>
  <c r="BK405" i="4"/>
  <c r="BA405" i="4"/>
  <c r="AW405" i="4"/>
  <c r="AS405" i="4"/>
  <c r="AO405" i="4"/>
  <c r="AK405" i="4"/>
  <c r="AG405" i="4"/>
  <c r="AC405" i="4"/>
  <c r="Y405" i="4"/>
  <c r="U405" i="4"/>
  <c r="Q405" i="4"/>
  <c r="M405" i="4"/>
  <c r="CN404" i="4"/>
  <c r="CJ404" i="4"/>
  <c r="CF404" i="4"/>
  <c r="CB404" i="4"/>
  <c r="BW404" i="4"/>
  <c r="BS404" i="4"/>
  <c r="BO404" i="4"/>
  <c r="BK404" i="4"/>
  <c r="BA404" i="4"/>
  <c r="AW404" i="4"/>
  <c r="AS404" i="4"/>
  <c r="AO404" i="4"/>
  <c r="AK404" i="4"/>
  <c r="AG404" i="4"/>
  <c r="AC404" i="4"/>
  <c r="Y404" i="4"/>
  <c r="U404" i="4"/>
  <c r="Q404" i="4"/>
  <c r="M404" i="4"/>
  <c r="CN403" i="4"/>
  <c r="CJ403" i="4"/>
  <c r="CF403" i="4"/>
  <c r="CB403" i="4"/>
  <c r="BW403" i="4"/>
  <c r="BS403" i="4"/>
  <c r="BO403" i="4"/>
  <c r="BK403" i="4"/>
  <c r="BA403" i="4"/>
  <c r="AW403" i="4"/>
  <c r="AS403" i="4"/>
  <c r="AO403" i="4"/>
  <c r="AK403" i="4"/>
  <c r="AG403" i="4"/>
  <c r="AC403" i="4"/>
  <c r="Y403" i="4"/>
  <c r="U403" i="4"/>
  <c r="Q403" i="4"/>
  <c r="M403" i="4"/>
  <c r="CN402" i="4"/>
  <c r="CJ402" i="4"/>
  <c r="CF402" i="4"/>
  <c r="CB402" i="4"/>
  <c r="BW402" i="4"/>
  <c r="BS402" i="4"/>
  <c r="BO402" i="4"/>
  <c r="BK402" i="4"/>
  <c r="BA402" i="4"/>
  <c r="AW402" i="4"/>
  <c r="AS402" i="4"/>
  <c r="AO402" i="4"/>
  <c r="AK402" i="4"/>
  <c r="AG402" i="4"/>
  <c r="AC402" i="4"/>
  <c r="Y402" i="4"/>
  <c r="U402" i="4"/>
  <c r="Q402" i="4"/>
  <c r="M402" i="4"/>
  <c r="CN401" i="4"/>
  <c r="CJ401" i="4"/>
  <c r="CF401" i="4"/>
  <c r="CB401" i="4"/>
  <c r="BW401" i="4"/>
  <c r="BS401" i="4"/>
  <c r="BO401" i="4"/>
  <c r="BK401" i="4"/>
  <c r="BA401" i="4"/>
  <c r="AW401" i="4"/>
  <c r="AS401" i="4"/>
  <c r="AO401" i="4"/>
  <c r="AK401" i="4"/>
  <c r="AG401" i="4"/>
  <c r="AC401" i="4"/>
  <c r="Y401" i="4"/>
  <c r="U401" i="4"/>
  <c r="Q401" i="4"/>
  <c r="M401" i="4"/>
  <c r="CN400" i="4"/>
  <c r="CJ400" i="4"/>
  <c r="CF400" i="4"/>
  <c r="CB400" i="4"/>
  <c r="BW400" i="4"/>
  <c r="BS400" i="4"/>
  <c r="BO400" i="4"/>
  <c r="BK400" i="4"/>
  <c r="BA400" i="4"/>
  <c r="AW400" i="4"/>
  <c r="AS400" i="4"/>
  <c r="AO400" i="4"/>
  <c r="AK400" i="4"/>
  <c r="AG400" i="4"/>
  <c r="AC400" i="4"/>
  <c r="Y400" i="4"/>
  <c r="U400" i="4"/>
  <c r="Q400" i="4"/>
  <c r="M400" i="4"/>
  <c r="CN399" i="4"/>
  <c r="CJ399" i="4"/>
  <c r="CF399" i="4"/>
  <c r="CB399" i="4"/>
  <c r="BW399" i="4"/>
  <c r="BS399" i="4"/>
  <c r="BO399" i="4"/>
  <c r="BK399" i="4"/>
  <c r="BA399" i="4"/>
  <c r="AW399" i="4"/>
  <c r="AS399" i="4"/>
  <c r="AO399" i="4"/>
  <c r="AK399" i="4"/>
  <c r="AG399" i="4"/>
  <c r="AC399" i="4"/>
  <c r="Y399" i="4"/>
  <c r="U399" i="4"/>
  <c r="Q399" i="4"/>
  <c r="M399" i="4"/>
  <c r="CN398" i="4"/>
  <c r="CJ398" i="4"/>
  <c r="CF398" i="4"/>
  <c r="CB398" i="4"/>
  <c r="BW398" i="4"/>
  <c r="BS398" i="4"/>
  <c r="BO398" i="4"/>
  <c r="BK398" i="4"/>
  <c r="BA398" i="4"/>
  <c r="AW398" i="4"/>
  <c r="AS398" i="4"/>
  <c r="AO398" i="4"/>
  <c r="AK398" i="4"/>
  <c r="AG398" i="4"/>
  <c r="AC398" i="4"/>
  <c r="Y398" i="4"/>
  <c r="U398" i="4"/>
  <c r="Q398" i="4"/>
  <c r="M398" i="4"/>
  <c r="CN397" i="4"/>
  <c r="CJ397" i="4"/>
  <c r="CF397" i="4"/>
  <c r="CB397" i="4"/>
  <c r="BW397" i="4"/>
  <c r="BS397" i="4"/>
  <c r="BO397" i="4"/>
  <c r="BK397" i="4"/>
  <c r="BA397" i="4"/>
  <c r="AW397" i="4"/>
  <c r="AS397" i="4"/>
  <c r="AO397" i="4"/>
  <c r="AK397" i="4"/>
  <c r="AG397" i="4"/>
  <c r="AC397" i="4"/>
  <c r="Y397" i="4"/>
  <c r="U397" i="4"/>
  <c r="Q397" i="4"/>
  <c r="M397" i="4"/>
  <c r="CN396" i="4"/>
  <c r="CJ396" i="4"/>
  <c r="CF396" i="4"/>
  <c r="CB396" i="4"/>
  <c r="BW396" i="4"/>
  <c r="BS396" i="4"/>
  <c r="BO396" i="4"/>
  <c r="BK396" i="4"/>
  <c r="BA396" i="4"/>
  <c r="AW396" i="4"/>
  <c r="AS396" i="4"/>
  <c r="AO396" i="4"/>
  <c r="AK396" i="4"/>
  <c r="AG396" i="4"/>
  <c r="AC396" i="4"/>
  <c r="Y396" i="4"/>
  <c r="U396" i="4"/>
  <c r="Q396" i="4"/>
  <c r="M396" i="4"/>
  <c r="CN395" i="4"/>
  <c r="CJ395" i="4"/>
  <c r="CF395" i="4"/>
  <c r="CB395" i="4"/>
  <c r="BW395" i="4"/>
  <c r="BS395" i="4"/>
  <c r="BO395" i="4"/>
  <c r="BK395" i="4"/>
  <c r="BA395" i="4"/>
  <c r="AW395" i="4"/>
  <c r="AS395" i="4"/>
  <c r="AO395" i="4"/>
  <c r="AK395" i="4"/>
  <c r="AG395" i="4"/>
  <c r="AC395" i="4"/>
  <c r="Y395" i="4"/>
  <c r="U395" i="4"/>
  <c r="Q395" i="4"/>
  <c r="M395" i="4"/>
  <c r="CN394" i="4"/>
  <c r="CJ394" i="4"/>
  <c r="CF394" i="4"/>
  <c r="CB394" i="4"/>
  <c r="BW394" i="4"/>
  <c r="BS394" i="4"/>
  <c r="BO394" i="4"/>
  <c r="BK394" i="4"/>
  <c r="BA394" i="4"/>
  <c r="AW394" i="4"/>
  <c r="AS394" i="4"/>
  <c r="AO394" i="4"/>
  <c r="AK394" i="4"/>
  <c r="AG394" i="4"/>
  <c r="AC394" i="4"/>
  <c r="Y394" i="4"/>
  <c r="U394" i="4"/>
  <c r="Q394" i="4"/>
  <c r="M394" i="4"/>
  <c r="CN393" i="4"/>
  <c r="CJ393" i="4"/>
  <c r="CF393" i="4"/>
  <c r="CB393" i="4"/>
  <c r="BW393" i="4"/>
  <c r="BS393" i="4"/>
  <c r="BO393" i="4"/>
  <c r="BK393" i="4"/>
  <c r="BA393" i="4"/>
  <c r="AW393" i="4"/>
  <c r="AS393" i="4"/>
  <c r="AO393" i="4"/>
  <c r="AK393" i="4"/>
  <c r="AG393" i="4"/>
  <c r="AC393" i="4"/>
  <c r="Y393" i="4"/>
  <c r="U393" i="4"/>
  <c r="Q393" i="4"/>
  <c r="M393" i="4"/>
  <c r="CN392" i="4"/>
  <c r="CJ392" i="4"/>
  <c r="CF392" i="4"/>
  <c r="CB392" i="4"/>
  <c r="BW392" i="4"/>
  <c r="BS392" i="4"/>
  <c r="BO392" i="4"/>
  <c r="BK392" i="4"/>
  <c r="BA392" i="4"/>
  <c r="AW392" i="4"/>
  <c r="AS392" i="4"/>
  <c r="AO392" i="4"/>
  <c r="AK392" i="4"/>
  <c r="AG392" i="4"/>
  <c r="AC392" i="4"/>
  <c r="Y392" i="4"/>
  <c r="U392" i="4"/>
  <c r="Q392" i="4"/>
  <c r="M392" i="4"/>
  <c r="CN391" i="4"/>
  <c r="CJ391" i="4"/>
  <c r="CF391" i="4"/>
  <c r="CB391" i="4"/>
  <c r="BW391" i="4"/>
  <c r="BS391" i="4"/>
  <c r="BO391" i="4"/>
  <c r="BK391" i="4"/>
  <c r="BA391" i="4"/>
  <c r="AW391" i="4"/>
  <c r="AS391" i="4"/>
  <c r="AO391" i="4"/>
  <c r="AK391" i="4"/>
  <c r="AG391" i="4"/>
  <c r="AC391" i="4"/>
  <c r="Y391" i="4"/>
  <c r="U391" i="4"/>
  <c r="Q391" i="4"/>
  <c r="M391" i="4"/>
  <c r="CN390" i="4"/>
  <c r="CJ390" i="4"/>
  <c r="CF390" i="4"/>
  <c r="CB390" i="4"/>
  <c r="BW390" i="4"/>
  <c r="BS390" i="4"/>
  <c r="BO390" i="4"/>
  <c r="BK390" i="4"/>
  <c r="BA390" i="4"/>
  <c r="AW390" i="4"/>
  <c r="AS390" i="4"/>
  <c r="AO390" i="4"/>
  <c r="AK390" i="4"/>
  <c r="AG390" i="4"/>
  <c r="AC390" i="4"/>
  <c r="Y390" i="4"/>
  <c r="U390" i="4"/>
  <c r="Q390" i="4"/>
  <c r="M390" i="4"/>
  <c r="CN389" i="4"/>
  <c r="CJ389" i="4"/>
  <c r="CF389" i="4"/>
  <c r="CB389" i="4"/>
  <c r="BW389" i="4"/>
  <c r="BS389" i="4"/>
  <c r="BO389" i="4"/>
  <c r="BK389" i="4"/>
  <c r="BA389" i="4"/>
  <c r="AW389" i="4"/>
  <c r="AS389" i="4"/>
  <c r="AO389" i="4"/>
  <c r="AK389" i="4"/>
  <c r="AG389" i="4"/>
  <c r="AC389" i="4"/>
  <c r="Y389" i="4"/>
  <c r="U389" i="4"/>
  <c r="Q389" i="4"/>
  <c r="M389" i="4"/>
  <c r="CN388" i="4"/>
  <c r="CJ388" i="4"/>
  <c r="CF388" i="4"/>
  <c r="CB388" i="4"/>
  <c r="BW388" i="4"/>
  <c r="BS388" i="4"/>
  <c r="BO388" i="4"/>
  <c r="BK388" i="4"/>
  <c r="BA388" i="4"/>
  <c r="AW388" i="4"/>
  <c r="AS388" i="4"/>
  <c r="AO388" i="4"/>
  <c r="AK388" i="4"/>
  <c r="AG388" i="4"/>
  <c r="AC388" i="4"/>
  <c r="Y388" i="4"/>
  <c r="U388" i="4"/>
  <c r="Q388" i="4"/>
  <c r="M388" i="4"/>
  <c r="CN387" i="4"/>
  <c r="CJ387" i="4"/>
  <c r="CF387" i="4"/>
  <c r="CB387" i="4"/>
  <c r="BW387" i="4"/>
  <c r="BS387" i="4"/>
  <c r="BO387" i="4"/>
  <c r="BK387" i="4"/>
  <c r="BA387" i="4"/>
  <c r="AW387" i="4"/>
  <c r="AS387" i="4"/>
  <c r="AO387" i="4"/>
  <c r="AK387" i="4"/>
  <c r="AG387" i="4"/>
  <c r="AC387" i="4"/>
  <c r="Y387" i="4"/>
  <c r="U387" i="4"/>
  <c r="Q387" i="4"/>
  <c r="M387" i="4"/>
  <c r="CN386" i="4"/>
  <c r="CJ386" i="4"/>
  <c r="CF386" i="4"/>
  <c r="CB386" i="4"/>
  <c r="BW386" i="4"/>
  <c r="BS386" i="4"/>
  <c r="BO386" i="4"/>
  <c r="BK386" i="4"/>
  <c r="BA386" i="4"/>
  <c r="AW386" i="4"/>
  <c r="AS386" i="4"/>
  <c r="AO386" i="4"/>
  <c r="AK386" i="4"/>
  <c r="AG386" i="4"/>
  <c r="AC386" i="4"/>
  <c r="Y386" i="4"/>
  <c r="U386" i="4"/>
  <c r="Q386" i="4"/>
  <c r="M386" i="4"/>
  <c r="CN385" i="4"/>
  <c r="CJ385" i="4"/>
  <c r="CF385" i="4"/>
  <c r="CB385" i="4"/>
  <c r="BW385" i="4"/>
  <c r="BS385" i="4"/>
  <c r="BO385" i="4"/>
  <c r="BK385" i="4"/>
  <c r="BA385" i="4"/>
  <c r="AW385" i="4"/>
  <c r="AS385" i="4"/>
  <c r="AO385" i="4"/>
  <c r="AK385" i="4"/>
  <c r="AG385" i="4"/>
  <c r="AC385" i="4"/>
  <c r="Y385" i="4"/>
  <c r="U385" i="4"/>
  <c r="Q385" i="4"/>
  <c r="M385" i="4"/>
  <c r="CN384" i="4"/>
  <c r="CJ384" i="4"/>
  <c r="CF384" i="4"/>
  <c r="CB384" i="4"/>
  <c r="BW384" i="4"/>
  <c r="BS384" i="4"/>
  <c r="BO384" i="4"/>
  <c r="BK384" i="4"/>
  <c r="BA384" i="4"/>
  <c r="AW384" i="4"/>
  <c r="AS384" i="4"/>
  <c r="AO384" i="4"/>
  <c r="AK384" i="4"/>
  <c r="AG384" i="4"/>
  <c r="AC384" i="4"/>
  <c r="Y384" i="4"/>
  <c r="U384" i="4"/>
  <c r="Q384" i="4"/>
  <c r="M384" i="4"/>
  <c r="CN383" i="4"/>
  <c r="CJ383" i="4"/>
  <c r="CF383" i="4"/>
  <c r="CB383" i="4"/>
  <c r="BW383" i="4"/>
  <c r="BS383" i="4"/>
  <c r="BO383" i="4"/>
  <c r="BK383" i="4"/>
  <c r="BA383" i="4"/>
  <c r="AW383" i="4"/>
  <c r="AS383" i="4"/>
  <c r="AO383" i="4"/>
  <c r="AK383" i="4"/>
  <c r="AG383" i="4"/>
  <c r="AC383" i="4"/>
  <c r="Y383" i="4"/>
  <c r="U383" i="4"/>
  <c r="Q383" i="4"/>
  <c r="M383" i="4"/>
  <c r="CN382" i="4"/>
  <c r="CJ382" i="4"/>
  <c r="CF382" i="4"/>
  <c r="CB382" i="4"/>
  <c r="BW382" i="4"/>
  <c r="BS382" i="4"/>
  <c r="BO382" i="4"/>
  <c r="BK382" i="4"/>
  <c r="BA382" i="4"/>
  <c r="AW382" i="4"/>
  <c r="AS382" i="4"/>
  <c r="AO382" i="4"/>
  <c r="AK382" i="4"/>
  <c r="AG382" i="4"/>
  <c r="AC382" i="4"/>
  <c r="Y382" i="4"/>
  <c r="U382" i="4"/>
  <c r="Q382" i="4"/>
  <c r="M382" i="4"/>
  <c r="CN381" i="4"/>
  <c r="CJ381" i="4"/>
  <c r="CF381" i="4"/>
  <c r="CB381" i="4"/>
  <c r="BW381" i="4"/>
  <c r="BS381" i="4"/>
  <c r="BO381" i="4"/>
  <c r="BK381" i="4"/>
  <c r="BA381" i="4"/>
  <c r="AW381" i="4"/>
  <c r="AS381" i="4"/>
  <c r="AO381" i="4"/>
  <c r="AK381" i="4"/>
  <c r="AG381" i="4"/>
  <c r="AC381" i="4"/>
  <c r="Y381" i="4"/>
  <c r="U381" i="4"/>
  <c r="Q381" i="4"/>
  <c r="M381" i="4"/>
  <c r="CN380" i="4"/>
  <c r="CJ380" i="4"/>
  <c r="CF380" i="4"/>
  <c r="CB380" i="4"/>
  <c r="BW380" i="4"/>
  <c r="BS380" i="4"/>
  <c r="BO380" i="4"/>
  <c r="BK380" i="4"/>
  <c r="BA380" i="4"/>
  <c r="AW380" i="4"/>
  <c r="AS380" i="4"/>
  <c r="AO380" i="4"/>
  <c r="AK380" i="4"/>
  <c r="AG380" i="4"/>
  <c r="AC380" i="4"/>
  <c r="Y380" i="4"/>
  <c r="U380" i="4"/>
  <c r="Q380" i="4"/>
  <c r="M380" i="4"/>
  <c r="CN379" i="4"/>
  <c r="CJ379" i="4"/>
  <c r="CF379" i="4"/>
  <c r="CB379" i="4"/>
  <c r="BW379" i="4"/>
  <c r="BS379" i="4"/>
  <c r="BO379" i="4"/>
  <c r="BK379" i="4"/>
  <c r="BA379" i="4"/>
  <c r="AW379" i="4"/>
  <c r="AS379" i="4"/>
  <c r="AO379" i="4"/>
  <c r="AK379" i="4"/>
  <c r="AG379" i="4"/>
  <c r="AC379" i="4"/>
  <c r="Y379" i="4"/>
  <c r="U379" i="4"/>
  <c r="Q379" i="4"/>
  <c r="M379" i="4"/>
  <c r="CN378" i="4"/>
  <c r="CJ378" i="4"/>
  <c r="CF378" i="4"/>
  <c r="CB378" i="4"/>
  <c r="BW378" i="4"/>
  <c r="BS378" i="4"/>
  <c r="BO378" i="4"/>
  <c r="BK378" i="4"/>
  <c r="BA378" i="4"/>
  <c r="AW378" i="4"/>
  <c r="AS378" i="4"/>
  <c r="AO378" i="4"/>
  <c r="AK378" i="4"/>
  <c r="AG378" i="4"/>
  <c r="AC378" i="4"/>
  <c r="Y378" i="4"/>
  <c r="U378" i="4"/>
  <c r="Q378" i="4"/>
  <c r="M378" i="4"/>
  <c r="CN377" i="4"/>
  <c r="CJ377" i="4"/>
  <c r="CF377" i="4"/>
  <c r="CB377" i="4"/>
  <c r="BW377" i="4"/>
  <c r="BS377" i="4"/>
  <c r="BO377" i="4"/>
  <c r="BK377" i="4"/>
  <c r="BA377" i="4"/>
  <c r="AW377" i="4"/>
  <c r="AS377" i="4"/>
  <c r="AO377" i="4"/>
  <c r="AK377" i="4"/>
  <c r="AG377" i="4"/>
  <c r="AC377" i="4"/>
  <c r="Y377" i="4"/>
  <c r="U377" i="4"/>
  <c r="Q377" i="4"/>
  <c r="M377" i="4"/>
  <c r="CN376" i="4"/>
  <c r="CJ376" i="4"/>
  <c r="CF376" i="4"/>
  <c r="CB376" i="4"/>
  <c r="BW376" i="4"/>
  <c r="BS376" i="4"/>
  <c r="BO376" i="4"/>
  <c r="BK376" i="4"/>
  <c r="BA376" i="4"/>
  <c r="AW376" i="4"/>
  <c r="AS376" i="4"/>
  <c r="AO376" i="4"/>
  <c r="AK376" i="4"/>
  <c r="AG376" i="4"/>
  <c r="AC376" i="4"/>
  <c r="Y376" i="4"/>
  <c r="U376" i="4"/>
  <c r="Q376" i="4"/>
  <c r="M376" i="4"/>
  <c r="CN375" i="4"/>
  <c r="CJ375" i="4"/>
  <c r="CF375" i="4"/>
  <c r="CB375" i="4"/>
  <c r="BW375" i="4"/>
  <c r="BS375" i="4"/>
  <c r="BO375" i="4"/>
  <c r="BK375" i="4"/>
  <c r="BA375" i="4"/>
  <c r="AW375" i="4"/>
  <c r="AS375" i="4"/>
  <c r="AO375" i="4"/>
  <c r="AK375" i="4"/>
  <c r="AG375" i="4"/>
  <c r="AC375" i="4"/>
  <c r="Y375" i="4"/>
  <c r="U375" i="4"/>
  <c r="Q375" i="4"/>
  <c r="M375" i="4"/>
  <c r="CN374" i="4"/>
  <c r="CJ374" i="4"/>
  <c r="CF374" i="4"/>
  <c r="CB374" i="4"/>
  <c r="BW374" i="4"/>
  <c r="BS374" i="4"/>
  <c r="BO374" i="4"/>
  <c r="BK374" i="4"/>
  <c r="BA374" i="4"/>
  <c r="AW374" i="4"/>
  <c r="AS374" i="4"/>
  <c r="AO374" i="4"/>
  <c r="AK374" i="4"/>
  <c r="AG374" i="4"/>
  <c r="AC374" i="4"/>
  <c r="Y374" i="4"/>
  <c r="U374" i="4"/>
  <c r="Q374" i="4"/>
  <c r="M374" i="4"/>
  <c r="CN373" i="4"/>
  <c r="CJ373" i="4"/>
  <c r="CF373" i="4"/>
  <c r="CB373" i="4"/>
  <c r="BW373" i="4"/>
  <c r="BS373" i="4"/>
  <c r="BO373" i="4"/>
  <c r="BK373" i="4"/>
  <c r="BA373" i="4"/>
  <c r="AW373" i="4"/>
  <c r="AS373" i="4"/>
  <c r="AO373" i="4"/>
  <c r="AK373" i="4"/>
  <c r="AG373" i="4"/>
  <c r="AC373" i="4"/>
  <c r="Y373" i="4"/>
  <c r="U373" i="4"/>
  <c r="Q373" i="4"/>
  <c r="M373" i="4"/>
  <c r="CN372" i="4"/>
  <c r="CJ372" i="4"/>
  <c r="CF372" i="4"/>
  <c r="CB372" i="4"/>
  <c r="BW372" i="4"/>
  <c r="BS372" i="4"/>
  <c r="BO372" i="4"/>
  <c r="BK372" i="4"/>
  <c r="BA372" i="4"/>
  <c r="AW372" i="4"/>
  <c r="AS372" i="4"/>
  <c r="AO372" i="4"/>
  <c r="AK372" i="4"/>
  <c r="AG372" i="4"/>
  <c r="AC372" i="4"/>
  <c r="Y372" i="4"/>
  <c r="U372" i="4"/>
  <c r="Q372" i="4"/>
  <c r="M372" i="4"/>
  <c r="CN371" i="4"/>
  <c r="CJ371" i="4"/>
  <c r="CF371" i="4"/>
  <c r="CB371" i="4"/>
  <c r="BW371" i="4"/>
  <c r="BS371" i="4"/>
  <c r="BO371" i="4"/>
  <c r="BK371" i="4"/>
  <c r="BA371" i="4"/>
  <c r="AW371" i="4"/>
  <c r="AS371" i="4"/>
  <c r="AO371" i="4"/>
  <c r="AK371" i="4"/>
  <c r="AG371" i="4"/>
  <c r="AC371" i="4"/>
  <c r="Y371" i="4"/>
  <c r="U371" i="4"/>
  <c r="Q371" i="4"/>
  <c r="M371" i="4"/>
  <c r="CN370" i="4"/>
  <c r="CJ370" i="4"/>
  <c r="CF370" i="4"/>
  <c r="CB370" i="4"/>
  <c r="BW370" i="4"/>
  <c r="BS370" i="4"/>
  <c r="BO370" i="4"/>
  <c r="BK370" i="4"/>
  <c r="BA370" i="4"/>
  <c r="AW370" i="4"/>
  <c r="AS370" i="4"/>
  <c r="AO370" i="4"/>
  <c r="AK370" i="4"/>
  <c r="AG370" i="4"/>
  <c r="AC370" i="4"/>
  <c r="Y370" i="4"/>
  <c r="U370" i="4"/>
  <c r="Q370" i="4"/>
  <c r="M370" i="4"/>
  <c r="CN369" i="4"/>
  <c r="CJ369" i="4"/>
  <c r="CF369" i="4"/>
  <c r="CB369" i="4"/>
  <c r="BW369" i="4"/>
  <c r="BS369" i="4"/>
  <c r="BO369" i="4"/>
  <c r="BK369" i="4"/>
  <c r="BA369" i="4"/>
  <c r="AW369" i="4"/>
  <c r="AS369" i="4"/>
  <c r="AO369" i="4"/>
  <c r="AK369" i="4"/>
  <c r="AG369" i="4"/>
  <c r="AC369" i="4"/>
  <c r="Y369" i="4"/>
  <c r="U369" i="4"/>
  <c r="Q369" i="4"/>
  <c r="M369" i="4"/>
  <c r="CN368" i="4"/>
  <c r="CJ368" i="4"/>
  <c r="CF368" i="4"/>
  <c r="CB368" i="4"/>
  <c r="BW368" i="4"/>
  <c r="BS368" i="4"/>
  <c r="BO368" i="4"/>
  <c r="BK368" i="4"/>
  <c r="BA368" i="4"/>
  <c r="AW368" i="4"/>
  <c r="AS368" i="4"/>
  <c r="AO368" i="4"/>
  <c r="AK368" i="4"/>
  <c r="AG368" i="4"/>
  <c r="AC368" i="4"/>
  <c r="Y368" i="4"/>
  <c r="U368" i="4"/>
  <c r="Q368" i="4"/>
  <c r="M368" i="4"/>
  <c r="CN367" i="4"/>
  <c r="CJ367" i="4"/>
  <c r="CF367" i="4"/>
  <c r="CB367" i="4"/>
  <c r="BW367" i="4"/>
  <c r="BS367" i="4"/>
  <c r="BO367" i="4"/>
  <c r="BK367" i="4"/>
  <c r="BA367" i="4"/>
  <c r="AW367" i="4"/>
  <c r="AS367" i="4"/>
  <c r="AO367" i="4"/>
  <c r="AK367" i="4"/>
  <c r="AG367" i="4"/>
  <c r="AC367" i="4"/>
  <c r="Y367" i="4"/>
  <c r="U367" i="4"/>
  <c r="Q367" i="4"/>
  <c r="M367" i="4"/>
  <c r="CN366" i="4"/>
  <c r="CJ366" i="4"/>
  <c r="CF366" i="4"/>
  <c r="CB366" i="4"/>
  <c r="BW366" i="4"/>
  <c r="BS366" i="4"/>
  <c r="BO366" i="4"/>
  <c r="BK366" i="4"/>
  <c r="BA366" i="4"/>
  <c r="AW366" i="4"/>
  <c r="AS366" i="4"/>
  <c r="AO366" i="4"/>
  <c r="AK366" i="4"/>
  <c r="AG366" i="4"/>
  <c r="AC366" i="4"/>
  <c r="Y366" i="4"/>
  <c r="U366" i="4"/>
  <c r="Q366" i="4"/>
  <c r="M366" i="4"/>
  <c r="CN365" i="4"/>
  <c r="CJ365" i="4"/>
  <c r="CF365" i="4"/>
  <c r="CB365" i="4"/>
  <c r="BW365" i="4"/>
  <c r="BS365" i="4"/>
  <c r="BO365" i="4"/>
  <c r="BK365" i="4"/>
  <c r="BA365" i="4"/>
  <c r="AW365" i="4"/>
  <c r="AS365" i="4"/>
  <c r="AO365" i="4"/>
  <c r="AK365" i="4"/>
  <c r="AG365" i="4"/>
  <c r="AC365" i="4"/>
  <c r="Y365" i="4"/>
  <c r="U365" i="4"/>
  <c r="Q365" i="4"/>
  <c r="M365" i="4"/>
  <c r="CN364" i="4"/>
  <c r="CJ364" i="4"/>
  <c r="CF364" i="4"/>
  <c r="CB364" i="4"/>
  <c r="BW364" i="4"/>
  <c r="BS364" i="4"/>
  <c r="BO364" i="4"/>
  <c r="BK364" i="4"/>
  <c r="BA364" i="4"/>
  <c r="AW364" i="4"/>
  <c r="AS364" i="4"/>
  <c r="AO364" i="4"/>
  <c r="AK364" i="4"/>
  <c r="AG364" i="4"/>
  <c r="AC364" i="4"/>
  <c r="Y364" i="4"/>
  <c r="U364" i="4"/>
  <c r="Q364" i="4"/>
  <c r="M364" i="4"/>
  <c r="CN363" i="4"/>
  <c r="CJ363" i="4"/>
  <c r="CF363" i="4"/>
  <c r="CB363" i="4"/>
  <c r="BW363" i="4"/>
  <c r="BS363" i="4"/>
  <c r="BO363" i="4"/>
  <c r="BK363" i="4"/>
  <c r="BA363" i="4"/>
  <c r="AW363" i="4"/>
  <c r="AS363" i="4"/>
  <c r="AO363" i="4"/>
  <c r="AK363" i="4"/>
  <c r="AG363" i="4"/>
  <c r="AC363" i="4"/>
  <c r="Y363" i="4"/>
  <c r="U363" i="4"/>
  <c r="Q363" i="4"/>
  <c r="M363" i="4"/>
  <c r="CN362" i="4"/>
  <c r="CJ362" i="4"/>
  <c r="CF362" i="4"/>
  <c r="CB362" i="4"/>
  <c r="BW362" i="4"/>
  <c r="BS362" i="4"/>
  <c r="BO362" i="4"/>
  <c r="BK362" i="4"/>
  <c r="BA362" i="4"/>
  <c r="AW362" i="4"/>
  <c r="AS362" i="4"/>
  <c r="AO362" i="4"/>
  <c r="AK362" i="4"/>
  <c r="AG362" i="4"/>
  <c r="AC362" i="4"/>
  <c r="Y362" i="4"/>
  <c r="U362" i="4"/>
  <c r="Q362" i="4"/>
  <c r="M362" i="4"/>
  <c r="CN361" i="4"/>
  <c r="CJ361" i="4"/>
  <c r="CF361" i="4"/>
  <c r="CB361" i="4"/>
  <c r="BW361" i="4"/>
  <c r="BS361" i="4"/>
  <c r="BO361" i="4"/>
  <c r="BK361" i="4"/>
  <c r="BA361" i="4"/>
  <c r="AW361" i="4"/>
  <c r="AS361" i="4"/>
  <c r="AO361" i="4"/>
  <c r="AK361" i="4"/>
  <c r="AG361" i="4"/>
  <c r="AC361" i="4"/>
  <c r="Y361" i="4"/>
  <c r="U361" i="4"/>
  <c r="Q361" i="4"/>
  <c r="M361" i="4"/>
  <c r="CN360" i="4"/>
  <c r="CJ360" i="4"/>
  <c r="CF360" i="4"/>
  <c r="CB360" i="4"/>
  <c r="BW360" i="4"/>
  <c r="BS360" i="4"/>
  <c r="BO360" i="4"/>
  <c r="BK360" i="4"/>
  <c r="BA360" i="4"/>
  <c r="AW360" i="4"/>
  <c r="AS360" i="4"/>
  <c r="AO360" i="4"/>
  <c r="AK360" i="4"/>
  <c r="AG360" i="4"/>
  <c r="AC360" i="4"/>
  <c r="Y360" i="4"/>
  <c r="U360" i="4"/>
  <c r="Q360" i="4"/>
  <c r="M360" i="4"/>
  <c r="CN359" i="4"/>
  <c r="CJ359" i="4"/>
  <c r="CF359" i="4"/>
  <c r="CB359" i="4"/>
  <c r="BW359" i="4"/>
  <c r="BS359" i="4"/>
  <c r="BO359" i="4"/>
  <c r="BK359" i="4"/>
  <c r="BA359" i="4"/>
  <c r="AW359" i="4"/>
  <c r="AS359" i="4"/>
  <c r="AO359" i="4"/>
  <c r="AK359" i="4"/>
  <c r="AG359" i="4"/>
  <c r="AC359" i="4"/>
  <c r="Y359" i="4"/>
  <c r="U359" i="4"/>
  <c r="Q359" i="4"/>
  <c r="M359" i="4"/>
  <c r="CN358" i="4"/>
  <c r="CJ358" i="4"/>
  <c r="CF358" i="4"/>
  <c r="CB358" i="4"/>
  <c r="BW358" i="4"/>
  <c r="BS358" i="4"/>
  <c r="BO358" i="4"/>
  <c r="BK358" i="4"/>
  <c r="BA358" i="4"/>
  <c r="AW358" i="4"/>
  <c r="AS358" i="4"/>
  <c r="AO358" i="4"/>
  <c r="AK358" i="4"/>
  <c r="AG358" i="4"/>
  <c r="AC358" i="4"/>
  <c r="Y358" i="4"/>
  <c r="U358" i="4"/>
  <c r="Q358" i="4"/>
  <c r="M358" i="4"/>
  <c r="CN357" i="4"/>
  <c r="CJ357" i="4"/>
  <c r="CF357" i="4"/>
  <c r="CB357" i="4"/>
  <c r="BW357" i="4"/>
  <c r="BS357" i="4"/>
  <c r="BO357" i="4"/>
  <c r="BK357" i="4"/>
  <c r="BA357" i="4"/>
  <c r="AW357" i="4"/>
  <c r="AS357" i="4"/>
  <c r="AO357" i="4"/>
  <c r="AK357" i="4"/>
  <c r="AG357" i="4"/>
  <c r="AC357" i="4"/>
  <c r="Y357" i="4"/>
  <c r="U357" i="4"/>
  <c r="Q357" i="4"/>
  <c r="M357" i="4"/>
  <c r="CN356" i="4"/>
  <c r="CJ356" i="4"/>
  <c r="CF356" i="4"/>
  <c r="CB356" i="4"/>
  <c r="BW356" i="4"/>
  <c r="BS356" i="4"/>
  <c r="BO356" i="4"/>
  <c r="BK356" i="4"/>
  <c r="BA356" i="4"/>
  <c r="AW356" i="4"/>
  <c r="AS356" i="4"/>
  <c r="AO356" i="4"/>
  <c r="AK356" i="4"/>
  <c r="AG356" i="4"/>
  <c r="AC356" i="4"/>
  <c r="Y356" i="4"/>
  <c r="U356" i="4"/>
  <c r="Q356" i="4"/>
  <c r="M356" i="4"/>
  <c r="CN355" i="4"/>
  <c r="CJ355" i="4"/>
  <c r="CF355" i="4"/>
  <c r="CB355" i="4"/>
  <c r="BW355" i="4"/>
  <c r="BS355" i="4"/>
  <c r="BO355" i="4"/>
  <c r="BK355" i="4"/>
  <c r="BA355" i="4"/>
  <c r="AW355" i="4"/>
  <c r="AS355" i="4"/>
  <c r="AO355" i="4"/>
  <c r="AK355" i="4"/>
  <c r="AG355" i="4"/>
  <c r="AC355" i="4"/>
  <c r="Y355" i="4"/>
  <c r="U355" i="4"/>
  <c r="Q355" i="4"/>
  <c r="M355" i="4"/>
  <c r="CN354" i="4"/>
  <c r="CJ354" i="4"/>
  <c r="CF354" i="4"/>
  <c r="CB354" i="4"/>
  <c r="BW354" i="4"/>
  <c r="BS354" i="4"/>
  <c r="BO354" i="4"/>
  <c r="BK354" i="4"/>
  <c r="BA354" i="4"/>
  <c r="AW354" i="4"/>
  <c r="AS354" i="4"/>
  <c r="AO354" i="4"/>
  <c r="AK354" i="4"/>
  <c r="AG354" i="4"/>
  <c r="AC354" i="4"/>
  <c r="Y354" i="4"/>
  <c r="U354" i="4"/>
  <c r="Q354" i="4"/>
  <c r="M354" i="4"/>
  <c r="CN353" i="4"/>
  <c r="CJ353" i="4"/>
  <c r="CF353" i="4"/>
  <c r="CB353" i="4"/>
  <c r="BW353" i="4"/>
  <c r="BS353" i="4"/>
  <c r="BO353" i="4"/>
  <c r="BK353" i="4"/>
  <c r="BA353" i="4"/>
  <c r="AW353" i="4"/>
  <c r="AS353" i="4"/>
  <c r="AO353" i="4"/>
  <c r="AK353" i="4"/>
  <c r="AG353" i="4"/>
  <c r="AC353" i="4"/>
  <c r="Y353" i="4"/>
  <c r="U353" i="4"/>
  <c r="Q353" i="4"/>
  <c r="M353" i="4"/>
  <c r="CN352" i="4"/>
  <c r="CJ352" i="4"/>
  <c r="CF352" i="4"/>
  <c r="CB352" i="4"/>
  <c r="BW352" i="4"/>
  <c r="BS352" i="4"/>
  <c r="BO352" i="4"/>
  <c r="BK352" i="4"/>
  <c r="BA352" i="4"/>
  <c r="AW352" i="4"/>
  <c r="AS352" i="4"/>
  <c r="AO352" i="4"/>
  <c r="AK352" i="4"/>
  <c r="AG352" i="4"/>
  <c r="AC352" i="4"/>
  <c r="Y352" i="4"/>
  <c r="U352" i="4"/>
  <c r="Q352" i="4"/>
  <c r="M352" i="4"/>
  <c r="CN351" i="4"/>
  <c r="CJ351" i="4"/>
  <c r="CF351" i="4"/>
  <c r="CB351" i="4"/>
  <c r="BW351" i="4"/>
  <c r="BS351" i="4"/>
  <c r="BO351" i="4"/>
  <c r="BK351" i="4"/>
  <c r="BA351" i="4"/>
  <c r="AW351" i="4"/>
  <c r="AS351" i="4"/>
  <c r="AO351" i="4"/>
  <c r="AK351" i="4"/>
  <c r="AG351" i="4"/>
  <c r="AC351" i="4"/>
  <c r="Y351" i="4"/>
  <c r="U351" i="4"/>
  <c r="Q351" i="4"/>
  <c r="M351" i="4"/>
  <c r="CN350" i="4"/>
  <c r="CJ350" i="4"/>
  <c r="CF350" i="4"/>
  <c r="CB350" i="4"/>
  <c r="BW350" i="4"/>
  <c r="BS350" i="4"/>
  <c r="BO350" i="4"/>
  <c r="BK350" i="4"/>
  <c r="BA350" i="4"/>
  <c r="AW350" i="4"/>
  <c r="AS350" i="4"/>
  <c r="AO350" i="4"/>
  <c r="AK350" i="4"/>
  <c r="AG350" i="4"/>
  <c r="AC350" i="4"/>
  <c r="Y350" i="4"/>
  <c r="U350" i="4"/>
  <c r="Q350" i="4"/>
  <c r="M350" i="4"/>
  <c r="CN349" i="4"/>
  <c r="CJ349" i="4"/>
  <c r="CF349" i="4"/>
  <c r="CB349" i="4"/>
  <c r="BW349" i="4"/>
  <c r="BS349" i="4"/>
  <c r="BO349" i="4"/>
  <c r="BK349" i="4"/>
  <c r="BA349" i="4"/>
  <c r="AW349" i="4"/>
  <c r="AS349" i="4"/>
  <c r="AO349" i="4"/>
  <c r="AK349" i="4"/>
  <c r="AG349" i="4"/>
  <c r="AC349" i="4"/>
  <c r="Y349" i="4"/>
  <c r="U349" i="4"/>
  <c r="Q349" i="4"/>
  <c r="M349" i="4"/>
  <c r="CN348" i="4"/>
  <c r="CJ348" i="4"/>
  <c r="CF348" i="4"/>
  <c r="CB348" i="4"/>
  <c r="BW348" i="4"/>
  <c r="BS348" i="4"/>
  <c r="BO348" i="4"/>
  <c r="BK348" i="4"/>
  <c r="BA348" i="4"/>
  <c r="AW348" i="4"/>
  <c r="AS348" i="4"/>
  <c r="AO348" i="4"/>
  <c r="AK348" i="4"/>
  <c r="AG348" i="4"/>
  <c r="AC348" i="4"/>
  <c r="Y348" i="4"/>
  <c r="U348" i="4"/>
  <c r="Q348" i="4"/>
  <c r="M348" i="4"/>
  <c r="CN347" i="4"/>
  <c r="CJ347" i="4"/>
  <c r="CF347" i="4"/>
  <c r="CB347" i="4"/>
  <c r="BW347" i="4"/>
  <c r="BS347" i="4"/>
  <c r="BO347" i="4"/>
  <c r="BK347" i="4"/>
  <c r="BA347" i="4"/>
  <c r="AW347" i="4"/>
  <c r="AS347" i="4"/>
  <c r="AO347" i="4"/>
  <c r="AK347" i="4"/>
  <c r="AG347" i="4"/>
  <c r="AC347" i="4"/>
  <c r="Y347" i="4"/>
  <c r="U347" i="4"/>
  <c r="Q347" i="4"/>
  <c r="M347" i="4"/>
  <c r="CN346" i="4"/>
  <c r="CJ346" i="4"/>
  <c r="CF346" i="4"/>
  <c r="CB346" i="4"/>
  <c r="BW346" i="4"/>
  <c r="BS346" i="4"/>
  <c r="BO346" i="4"/>
  <c r="BK346" i="4"/>
  <c r="BA346" i="4"/>
  <c r="AW346" i="4"/>
  <c r="AS346" i="4"/>
  <c r="AO346" i="4"/>
  <c r="AK346" i="4"/>
  <c r="AG346" i="4"/>
  <c r="AC346" i="4"/>
  <c r="Y346" i="4"/>
  <c r="U346" i="4"/>
  <c r="Q346" i="4"/>
  <c r="M346" i="4"/>
  <c r="CN345" i="4"/>
  <c r="CJ345" i="4"/>
  <c r="CF345" i="4"/>
  <c r="CB345" i="4"/>
  <c r="BW345" i="4"/>
  <c r="BS345" i="4"/>
  <c r="BO345" i="4"/>
  <c r="BK345" i="4"/>
  <c r="BA345" i="4"/>
  <c r="AW345" i="4"/>
  <c r="AS345" i="4"/>
  <c r="AO345" i="4"/>
  <c r="AK345" i="4"/>
  <c r="AG345" i="4"/>
  <c r="AC345" i="4"/>
  <c r="Y345" i="4"/>
  <c r="U345" i="4"/>
  <c r="Q345" i="4"/>
  <c r="M345" i="4"/>
  <c r="CN344" i="4"/>
  <c r="CJ344" i="4"/>
  <c r="CF344" i="4"/>
  <c r="CB344" i="4"/>
  <c r="BW344" i="4"/>
  <c r="BS344" i="4"/>
  <c r="BO344" i="4"/>
  <c r="BK344" i="4"/>
  <c r="BA344" i="4"/>
  <c r="AW344" i="4"/>
  <c r="AS344" i="4"/>
  <c r="AO344" i="4"/>
  <c r="AK344" i="4"/>
  <c r="AG344" i="4"/>
  <c r="AC344" i="4"/>
  <c r="Y344" i="4"/>
  <c r="U344" i="4"/>
  <c r="Q344" i="4"/>
  <c r="M344" i="4"/>
  <c r="CN343" i="4"/>
  <c r="CJ343" i="4"/>
  <c r="CF343" i="4"/>
  <c r="CB343" i="4"/>
  <c r="BW343" i="4"/>
  <c r="BS343" i="4"/>
  <c r="BO343" i="4"/>
  <c r="BK343" i="4"/>
  <c r="BA343" i="4"/>
  <c r="AW343" i="4"/>
  <c r="AS343" i="4"/>
  <c r="AO343" i="4"/>
  <c r="AK343" i="4"/>
  <c r="AG343" i="4"/>
  <c r="AC343" i="4"/>
  <c r="Y343" i="4"/>
  <c r="U343" i="4"/>
  <c r="Q343" i="4"/>
  <c r="M343" i="4"/>
  <c r="CN342" i="4"/>
  <c r="CJ342" i="4"/>
  <c r="CF342" i="4"/>
  <c r="CB342" i="4"/>
  <c r="BW342" i="4"/>
  <c r="BS342" i="4"/>
  <c r="BO342" i="4"/>
  <c r="BK342" i="4"/>
  <c r="BA342" i="4"/>
  <c r="AW342" i="4"/>
  <c r="AS342" i="4"/>
  <c r="AO342" i="4"/>
  <c r="AK342" i="4"/>
  <c r="AG342" i="4"/>
  <c r="AC342" i="4"/>
  <c r="Y342" i="4"/>
  <c r="U342" i="4"/>
  <c r="Q342" i="4"/>
  <c r="M342" i="4"/>
  <c r="AO341" i="4"/>
  <c r="BK3" i="3"/>
  <c r="BK4" i="3"/>
  <c r="BK5" i="3"/>
  <c r="BK6" i="3"/>
  <c r="BK7" i="3"/>
  <c r="BK8" i="3"/>
  <c r="BK9" i="3"/>
  <c r="BK10" i="3"/>
  <c r="BK11" i="3"/>
  <c r="BK12" i="3"/>
  <c r="BK13" i="3"/>
  <c r="BK14" i="3"/>
  <c r="BK15" i="3"/>
  <c r="BK16" i="3"/>
  <c r="BK17" i="3"/>
  <c r="BK18" i="3"/>
  <c r="BK19" i="3"/>
  <c r="BK20" i="3"/>
  <c r="BK21" i="3"/>
  <c r="BK22" i="3"/>
  <c r="BK23" i="3"/>
  <c r="BK24" i="3"/>
  <c r="BK25" i="3"/>
  <c r="BK26" i="3"/>
  <c r="BK27" i="3"/>
  <c r="BK28" i="3"/>
  <c r="BK29" i="3"/>
  <c r="BK30" i="3"/>
  <c r="BK31" i="3"/>
  <c r="BK32" i="3"/>
  <c r="BK33" i="3"/>
  <c r="BK34" i="3"/>
  <c r="BK35" i="3"/>
  <c r="BK36" i="3"/>
  <c r="BK37" i="3"/>
  <c r="BK38" i="3"/>
  <c r="BK39" i="3"/>
  <c r="BK40" i="3"/>
  <c r="BK41" i="3"/>
  <c r="BK42" i="3"/>
  <c r="BK43" i="3"/>
  <c r="BK44" i="3"/>
  <c r="BK45" i="3"/>
  <c r="BK46" i="3"/>
  <c r="BK47" i="3"/>
  <c r="BK48" i="3"/>
  <c r="BK49" i="3"/>
  <c r="BK50" i="3"/>
  <c r="BK51" i="3"/>
  <c r="BK52" i="3"/>
  <c r="BK53" i="3"/>
  <c r="BK54" i="3"/>
  <c r="BK55" i="3"/>
  <c r="BK56" i="3"/>
  <c r="BK57" i="3"/>
  <c r="BK58" i="3"/>
  <c r="BK59" i="3"/>
  <c r="BK60" i="3"/>
  <c r="BK61" i="3"/>
  <c r="BK62" i="3"/>
  <c r="BK63" i="3"/>
  <c r="BK64" i="3"/>
  <c r="BK65" i="3"/>
  <c r="BK66" i="3"/>
  <c r="BK67" i="3"/>
  <c r="BK68" i="3"/>
  <c r="BK69" i="3"/>
  <c r="BK70" i="3"/>
  <c r="BK71" i="3"/>
  <c r="BK72" i="3"/>
  <c r="BK73" i="3"/>
  <c r="BK74" i="3"/>
  <c r="BK75" i="3"/>
  <c r="BK76" i="3"/>
  <c r="BK77" i="3"/>
  <c r="BK78" i="3"/>
  <c r="BK79" i="3"/>
  <c r="BK80" i="3"/>
  <c r="BK81" i="3"/>
  <c r="BK82" i="3"/>
  <c r="BK83" i="3"/>
  <c r="BK84" i="3"/>
  <c r="BK85" i="3"/>
  <c r="BK86" i="3"/>
  <c r="BK87" i="3"/>
  <c r="BK88" i="3"/>
  <c r="BK89" i="3"/>
  <c r="BK90" i="3"/>
  <c r="BK91" i="3"/>
  <c r="BK92" i="3"/>
  <c r="BK93" i="3"/>
  <c r="BK94" i="3"/>
  <c r="BK95" i="3"/>
  <c r="BK96" i="3"/>
  <c r="BK97" i="3"/>
  <c r="BK98" i="3"/>
  <c r="BK99" i="3"/>
  <c r="BK100" i="3"/>
  <c r="BK101" i="3"/>
  <c r="BK102" i="3"/>
  <c r="BK103" i="3"/>
  <c r="BK104" i="3"/>
  <c r="BK105" i="3"/>
  <c r="BK106" i="3"/>
  <c r="BK107" i="3"/>
  <c r="BK108" i="3"/>
  <c r="BK109" i="3"/>
  <c r="BK110" i="3"/>
  <c r="BK111" i="3"/>
  <c r="BK112" i="3"/>
  <c r="BK113" i="3"/>
  <c r="BK114" i="3"/>
  <c r="BK115" i="3"/>
  <c r="BK116" i="3"/>
  <c r="BK117" i="3"/>
  <c r="BK118" i="3"/>
  <c r="BK119" i="3"/>
  <c r="BK120" i="3"/>
  <c r="BK121" i="3"/>
  <c r="BK122" i="3"/>
  <c r="BK123" i="3"/>
  <c r="BK124" i="3"/>
  <c r="BK125" i="3"/>
  <c r="BK126" i="3"/>
  <c r="BK127" i="3"/>
  <c r="BK128" i="3"/>
  <c r="BK129" i="3"/>
  <c r="BK130" i="3"/>
  <c r="BK131" i="3"/>
  <c r="BK132" i="3"/>
  <c r="BK133" i="3"/>
  <c r="BK134" i="3"/>
  <c r="BK135" i="3"/>
  <c r="BK136" i="3"/>
  <c r="BK137" i="3"/>
  <c r="BK138" i="3"/>
  <c r="BK139" i="3"/>
  <c r="BK140" i="3"/>
  <c r="BK141" i="3"/>
  <c r="BK142" i="3"/>
  <c r="BK143" i="3"/>
  <c r="BK144" i="3"/>
  <c r="BK145" i="3"/>
  <c r="BK146" i="3"/>
  <c r="BK147" i="3"/>
  <c r="BK148" i="3"/>
  <c r="BK149" i="3"/>
  <c r="BK150" i="3"/>
  <c r="BK151" i="3"/>
  <c r="BK152" i="3"/>
  <c r="BK153" i="3"/>
  <c r="BK154" i="3"/>
  <c r="BK155" i="3"/>
  <c r="BK156" i="3"/>
  <c r="BK157" i="3"/>
  <c r="BK158" i="3"/>
  <c r="BK159" i="3"/>
  <c r="BK160" i="3"/>
  <c r="BK161" i="3"/>
  <c r="BK162" i="3"/>
  <c r="BK163" i="3"/>
  <c r="BK164" i="3"/>
  <c r="BK165" i="3"/>
  <c r="BK166" i="3"/>
  <c r="BK167" i="3"/>
  <c r="BK168" i="3"/>
  <c r="BK169" i="3"/>
  <c r="BK170" i="3"/>
  <c r="BK171" i="3"/>
  <c r="BK172" i="3"/>
  <c r="BK173" i="3"/>
  <c r="BK174" i="3"/>
  <c r="BK175" i="3"/>
  <c r="BK176" i="3"/>
  <c r="BK177" i="3"/>
  <c r="BK178" i="3"/>
  <c r="BK179" i="3"/>
  <c r="BK180" i="3"/>
  <c r="BK181" i="3"/>
  <c r="BK182" i="3"/>
  <c r="BK183" i="3"/>
  <c r="BK184" i="3"/>
  <c r="BK185" i="3"/>
  <c r="BK186" i="3"/>
  <c r="BK187" i="3"/>
  <c r="BK188" i="3"/>
  <c r="BK189" i="3"/>
  <c r="BK190" i="3"/>
  <c r="BK191" i="3"/>
  <c r="BK192" i="3"/>
  <c r="BK193" i="3"/>
  <c r="BK194" i="3"/>
  <c r="BK195" i="3"/>
  <c r="BK196" i="3"/>
  <c r="BK197" i="3"/>
  <c r="BK198" i="3"/>
  <c r="BK199" i="3"/>
  <c r="BK200" i="3"/>
  <c r="BK201" i="3"/>
  <c r="BK202" i="3"/>
  <c r="BK203" i="3"/>
  <c r="BK204" i="3"/>
  <c r="BK205" i="3"/>
  <c r="BK206" i="3"/>
  <c r="BK207" i="3"/>
  <c r="BK208" i="3"/>
  <c r="BK209" i="3"/>
  <c r="BK210" i="3"/>
  <c r="BK211" i="3"/>
  <c r="BK212" i="3"/>
  <c r="BK213" i="3"/>
  <c r="BK214" i="3"/>
  <c r="BK215" i="3"/>
  <c r="BK216" i="3"/>
  <c r="BK217" i="3"/>
  <c r="BK218" i="3"/>
  <c r="BK219" i="3"/>
  <c r="BK220" i="3"/>
  <c r="BK221" i="3"/>
  <c r="BK222" i="3"/>
  <c r="BK223" i="3"/>
  <c r="BK224" i="3"/>
  <c r="BK225" i="3"/>
  <c r="BK226" i="3"/>
  <c r="BK227" i="3"/>
  <c r="BK228" i="3"/>
  <c r="BK229" i="3"/>
  <c r="BK230" i="3"/>
  <c r="BK231" i="3"/>
  <c r="BK232" i="3"/>
  <c r="BK233" i="3"/>
  <c r="BK234" i="3"/>
  <c r="BK235" i="3"/>
  <c r="BK236" i="3"/>
  <c r="BK237" i="3"/>
  <c r="BK238" i="3"/>
  <c r="BK239" i="3"/>
  <c r="BK240" i="3"/>
  <c r="BK241" i="3"/>
  <c r="BK242" i="3"/>
  <c r="BK243" i="3"/>
  <c r="BK244" i="3"/>
  <c r="BK245" i="3"/>
  <c r="BK246" i="3"/>
  <c r="BK247" i="3"/>
  <c r="BK248" i="3"/>
  <c r="BK249" i="3"/>
  <c r="BK250" i="3"/>
  <c r="BK251" i="3"/>
  <c r="BK252" i="3"/>
  <c r="BK253" i="3"/>
  <c r="BK254" i="3"/>
  <c r="BK255" i="3"/>
  <c r="BK256" i="3"/>
  <c r="BK257" i="3"/>
  <c r="BK258" i="3"/>
  <c r="BK259" i="3"/>
  <c r="BK260" i="3"/>
  <c r="BK261" i="3"/>
  <c r="BK262" i="3"/>
  <c r="BK263" i="3"/>
  <c r="BK264" i="3"/>
  <c r="BK265" i="3"/>
  <c r="BK266" i="3"/>
  <c r="BK267" i="3"/>
  <c r="BK268" i="3"/>
  <c r="BK269" i="3"/>
  <c r="BK270" i="3"/>
  <c r="BK271" i="3"/>
  <c r="BK272" i="3"/>
  <c r="BK273" i="3"/>
  <c r="BK274" i="3"/>
  <c r="BK275" i="3"/>
  <c r="BK276" i="3"/>
  <c r="BK277" i="3"/>
  <c r="BK278" i="3"/>
  <c r="BK279" i="3"/>
  <c r="BK280" i="3"/>
  <c r="BK281" i="3"/>
  <c r="BK282" i="3"/>
  <c r="BK283" i="3"/>
  <c r="BK284" i="3"/>
  <c r="BK285" i="3"/>
  <c r="BK286" i="3"/>
  <c r="BK287" i="3"/>
  <c r="BK288" i="3"/>
  <c r="BK289" i="3"/>
  <c r="BK290" i="3"/>
  <c r="BK291" i="3"/>
  <c r="BK292" i="3"/>
  <c r="BK293" i="3"/>
  <c r="BK294" i="3"/>
  <c r="BK295" i="3"/>
  <c r="BK296" i="3"/>
  <c r="BK297" i="3"/>
  <c r="BK298" i="3"/>
  <c r="BK299" i="3"/>
  <c r="BK300" i="3"/>
  <c r="BK301" i="3"/>
  <c r="BK302" i="3"/>
  <c r="BK303" i="3"/>
  <c r="BK304" i="3"/>
  <c r="BK305" i="3"/>
  <c r="BK306" i="3"/>
  <c r="BK307" i="3"/>
  <c r="BK308" i="3"/>
  <c r="BK309" i="3"/>
  <c r="BK310" i="3"/>
  <c r="BK311" i="3"/>
  <c r="BK312" i="3"/>
  <c r="BK313" i="3"/>
  <c r="BK314" i="3"/>
  <c r="BK315" i="3"/>
  <c r="BK316" i="3"/>
  <c r="BK317" i="3"/>
  <c r="BK318" i="3"/>
  <c r="BK319" i="3"/>
  <c r="BK320" i="3"/>
  <c r="BK321" i="3"/>
  <c r="BK322" i="3"/>
  <c r="BK323" i="3"/>
  <c r="BK324" i="3"/>
  <c r="BK325" i="3"/>
  <c r="BK326" i="3"/>
  <c r="BK327" i="3"/>
  <c r="BK328" i="3"/>
  <c r="BK329" i="3"/>
  <c r="BK330" i="3"/>
  <c r="BK331" i="3"/>
  <c r="BK332" i="3"/>
  <c r="BK333" i="3"/>
  <c r="BK334" i="3"/>
  <c r="BK335" i="3"/>
  <c r="BK336" i="3"/>
  <c r="BK337" i="3"/>
  <c r="BK338" i="3"/>
  <c r="BK339" i="3"/>
  <c r="BK340" i="3"/>
  <c r="BK341" i="3"/>
  <c r="BK342" i="3"/>
  <c r="BK343" i="3"/>
  <c r="BK344" i="3"/>
  <c r="BK345" i="3"/>
  <c r="BK346" i="3"/>
  <c r="BK347" i="3"/>
  <c r="BK348" i="3"/>
  <c r="BK349" i="3"/>
  <c r="BK350" i="3"/>
  <c r="BK351" i="3"/>
  <c r="BK352" i="3"/>
  <c r="BK353" i="3"/>
  <c r="BK354" i="3"/>
  <c r="BK355" i="3"/>
  <c r="BK356" i="3"/>
  <c r="BK357" i="3"/>
  <c r="BK358" i="3"/>
  <c r="BK359" i="3"/>
  <c r="BK360" i="3"/>
  <c r="BK361" i="3"/>
  <c r="BK362" i="3"/>
  <c r="BK363" i="3"/>
  <c r="BK364" i="3"/>
  <c r="BK365" i="3"/>
  <c r="BK366" i="3"/>
  <c r="BK367" i="3"/>
  <c r="BK368" i="3"/>
  <c r="BK369" i="3"/>
  <c r="BK370" i="3"/>
  <c r="BK371" i="3"/>
  <c r="BK372" i="3"/>
  <c r="BK373" i="3"/>
  <c r="BK374" i="3"/>
  <c r="BK375" i="3"/>
  <c r="BK376" i="3"/>
  <c r="BK377" i="3"/>
  <c r="BK378" i="3"/>
  <c r="BK379" i="3"/>
  <c r="BK380" i="3"/>
  <c r="BK381" i="3"/>
  <c r="BK382" i="3"/>
  <c r="BK383" i="3"/>
  <c r="BK384" i="3"/>
  <c r="BK385" i="3"/>
  <c r="BK386" i="3"/>
  <c r="BK387" i="3"/>
  <c r="BK388" i="3"/>
  <c r="BK389" i="3"/>
  <c r="BK390" i="3"/>
  <c r="BK391" i="3"/>
  <c r="BK392" i="3"/>
  <c r="BK393" i="3"/>
  <c r="BK394" i="3"/>
  <c r="BK395" i="3"/>
  <c r="BK396" i="3"/>
  <c r="BK397" i="3"/>
  <c r="BK398" i="3"/>
  <c r="BK399" i="3"/>
  <c r="BK400" i="3"/>
  <c r="BK401" i="3"/>
  <c r="BK402" i="3"/>
  <c r="BK403" i="3"/>
  <c r="BK404" i="3"/>
  <c r="BK405" i="3"/>
  <c r="BK406" i="3"/>
  <c r="BK407" i="3"/>
  <c r="BK408" i="3"/>
  <c r="BK409" i="3"/>
  <c r="BK410" i="3"/>
  <c r="BK411" i="3"/>
  <c r="BK412" i="3"/>
  <c r="BK413" i="3"/>
  <c r="BK414" i="3"/>
  <c r="BK415" i="3"/>
  <c r="BK416" i="3"/>
  <c r="BK417" i="3"/>
  <c r="BK418" i="3"/>
  <c r="BK419" i="3"/>
  <c r="BK420" i="3"/>
  <c r="BK421" i="3"/>
  <c r="BK422" i="3"/>
  <c r="BK423" i="3"/>
  <c r="BK424" i="3"/>
  <c r="BK425" i="3"/>
  <c r="BK426" i="3"/>
  <c r="BK427" i="3"/>
  <c r="BK428" i="3"/>
  <c r="BK429" i="3"/>
  <c r="BK430" i="3"/>
  <c r="BK431" i="3"/>
  <c r="BK432" i="3"/>
  <c r="BK433" i="3"/>
  <c r="BK434" i="3"/>
  <c r="BK435" i="3"/>
  <c r="BK436" i="3"/>
  <c r="BK437" i="3"/>
  <c r="BK438" i="3"/>
  <c r="BK439" i="3"/>
  <c r="BK440" i="3"/>
  <c r="BK441" i="3"/>
  <c r="BK442" i="3"/>
  <c r="BK443" i="3"/>
  <c r="BK444" i="3"/>
  <c r="BK445" i="3"/>
  <c r="BK446" i="3"/>
  <c r="BK447" i="3"/>
  <c r="BK448" i="3"/>
  <c r="BK449" i="3"/>
  <c r="BK450" i="3"/>
  <c r="BK451" i="3"/>
  <c r="BK452" i="3"/>
  <c r="BK453" i="3"/>
  <c r="BK454" i="3"/>
  <c r="BK455" i="3"/>
  <c r="BK456" i="3"/>
  <c r="BK457" i="3"/>
  <c r="BK458" i="3"/>
  <c r="BK459" i="3"/>
  <c r="BK460" i="3"/>
  <c r="BK461" i="3"/>
  <c r="BK462" i="3"/>
  <c r="BK463" i="3"/>
  <c r="BK464" i="3"/>
  <c r="BK465" i="3"/>
  <c r="BK466" i="3"/>
  <c r="BK467" i="3"/>
  <c r="BK468" i="3"/>
  <c r="BK469" i="3"/>
  <c r="BK470" i="3"/>
  <c r="BK471" i="3"/>
  <c r="BK472" i="3"/>
  <c r="BK473" i="3"/>
  <c r="BK474" i="3"/>
  <c r="BK475" i="3"/>
  <c r="BK476" i="3"/>
  <c r="BK477" i="3"/>
  <c r="BK478" i="3"/>
  <c r="BK479" i="3"/>
  <c r="BK480" i="3"/>
  <c r="BK481" i="3"/>
  <c r="BK482" i="3"/>
  <c r="BK483" i="3"/>
  <c r="BK484" i="3"/>
  <c r="BK485" i="3"/>
  <c r="BK486" i="3"/>
  <c r="BK487" i="3"/>
  <c r="BK488" i="3"/>
  <c r="BK489" i="3"/>
  <c r="BK490" i="3"/>
  <c r="BK491" i="3"/>
  <c r="BK492" i="3"/>
  <c r="BK493" i="3"/>
  <c r="BK494" i="3"/>
  <c r="BK495" i="3"/>
  <c r="BK496" i="3"/>
  <c r="BK497" i="3"/>
  <c r="BK498" i="3"/>
  <c r="BK499" i="3"/>
  <c r="BK500" i="3"/>
  <c r="BK501" i="3"/>
  <c r="BK502" i="3"/>
  <c r="BK503" i="3"/>
  <c r="BK504" i="3"/>
  <c r="BK505" i="3"/>
  <c r="BK506" i="3"/>
  <c r="BK507" i="3"/>
  <c r="BK508" i="3"/>
  <c r="BK509" i="3"/>
  <c r="BK510" i="3"/>
  <c r="BK511" i="3"/>
  <c r="BK512" i="3"/>
  <c r="BK513" i="3"/>
  <c r="BK514" i="3"/>
  <c r="BK515" i="3"/>
  <c r="BK516" i="3"/>
  <c r="BK517" i="3"/>
  <c r="BK518" i="3"/>
  <c r="BK519" i="3"/>
  <c r="BK520" i="3"/>
  <c r="BK521" i="3"/>
  <c r="BK522" i="3"/>
  <c r="BK523" i="3"/>
  <c r="BK524" i="3"/>
  <c r="BK525" i="3"/>
  <c r="BK526" i="3"/>
  <c r="BK527" i="3"/>
  <c r="BK528" i="3"/>
  <c r="BK529" i="3"/>
  <c r="BK530" i="3"/>
  <c r="BK531" i="3"/>
  <c r="BK532" i="3"/>
  <c r="BK533" i="3"/>
  <c r="BK534" i="3"/>
  <c r="BK535" i="3"/>
  <c r="BK536" i="3"/>
  <c r="BK537" i="3"/>
  <c r="BK538" i="3"/>
  <c r="BK539" i="3"/>
  <c r="BK540" i="3"/>
  <c r="BK541" i="3"/>
  <c r="BK542" i="3"/>
  <c r="BK543" i="3"/>
  <c r="BK544" i="3"/>
  <c r="BK545" i="3"/>
  <c r="BK546" i="3"/>
  <c r="BK547" i="3"/>
  <c r="BK548" i="3"/>
  <c r="BK549" i="3"/>
  <c r="BK550" i="3"/>
  <c r="BK551" i="3"/>
  <c r="BK552" i="3"/>
  <c r="BK553" i="3"/>
  <c r="BK554" i="3"/>
  <c r="BK555" i="3"/>
  <c r="BK556" i="3"/>
  <c r="BK557" i="3"/>
  <c r="BK558" i="3"/>
  <c r="BK559" i="3"/>
  <c r="BK560" i="3"/>
  <c r="BK561" i="3"/>
  <c r="BK562" i="3"/>
  <c r="BK563" i="3"/>
  <c r="BK564" i="3"/>
  <c r="BK565" i="3"/>
  <c r="BK566" i="3"/>
  <c r="BK567" i="3"/>
  <c r="BK568" i="3"/>
  <c r="BK569" i="3"/>
  <c r="BK570" i="3"/>
  <c r="BK571" i="3"/>
  <c r="BK572" i="3"/>
  <c r="BK573" i="3"/>
  <c r="BK574" i="3"/>
  <c r="BK575" i="3"/>
  <c r="BK576" i="3"/>
  <c r="BK577" i="3"/>
  <c r="BK578" i="3"/>
  <c r="BK579" i="3"/>
  <c r="BK580" i="3"/>
  <c r="BK581" i="3"/>
  <c r="BK582" i="3"/>
  <c r="BK583" i="3"/>
  <c r="BK584" i="3"/>
  <c r="BK585" i="3"/>
  <c r="BK586" i="3"/>
  <c r="BK587" i="3"/>
  <c r="BK588" i="3"/>
  <c r="BK589" i="3"/>
  <c r="BK590" i="3"/>
  <c r="BK591" i="3"/>
  <c r="BK592" i="3"/>
  <c r="BK593" i="3"/>
  <c r="BK594" i="3"/>
  <c r="BK595" i="3"/>
  <c r="BK596" i="3"/>
  <c r="BK597" i="3"/>
  <c r="BK598" i="3"/>
  <c r="BK599" i="3"/>
  <c r="BK600" i="3"/>
  <c r="BK601" i="3"/>
  <c r="BK602" i="3"/>
  <c r="BK603" i="3"/>
  <c r="BK604" i="3"/>
  <c r="BK605" i="3"/>
  <c r="BK606" i="3"/>
  <c r="BK607" i="3"/>
  <c r="BK608" i="3"/>
  <c r="BK609" i="3"/>
  <c r="BK610" i="3"/>
  <c r="BK611" i="3"/>
  <c r="BK612" i="3"/>
  <c r="BK613" i="3"/>
  <c r="BK614" i="3"/>
  <c r="BK615" i="3"/>
  <c r="BK616" i="3"/>
  <c r="BK617" i="3"/>
  <c r="BK618" i="3"/>
  <c r="BK619" i="3"/>
  <c r="BK620" i="3"/>
  <c r="BK621" i="3"/>
  <c r="BK622" i="3"/>
  <c r="BK623" i="3"/>
  <c r="BK624" i="3"/>
  <c r="BK625" i="3"/>
  <c r="BK626" i="3"/>
  <c r="BK627" i="3"/>
  <c r="BK628" i="3"/>
  <c r="BK629" i="3"/>
  <c r="BK630" i="3"/>
  <c r="BK631" i="3"/>
  <c r="BK632" i="3"/>
  <c r="BK633" i="3"/>
  <c r="BK634" i="3"/>
  <c r="BK635" i="3"/>
  <c r="BK636" i="3"/>
  <c r="BK637" i="3"/>
  <c r="BK638" i="3"/>
  <c r="BK639" i="3"/>
  <c r="BK640" i="3"/>
  <c r="BK641" i="3"/>
  <c r="BK642" i="3"/>
  <c r="BK643" i="3"/>
  <c r="BK644" i="3"/>
  <c r="BK645" i="3"/>
  <c r="BK646" i="3"/>
  <c r="BK647" i="3"/>
  <c r="BK648" i="3"/>
  <c r="BK649" i="3"/>
  <c r="BK650" i="3"/>
  <c r="BK651" i="3"/>
  <c r="BK652" i="3"/>
  <c r="BK653" i="3"/>
  <c r="BK654" i="3"/>
  <c r="BK655" i="3"/>
  <c r="BK656" i="3"/>
  <c r="BK657" i="3"/>
  <c r="BK658" i="3"/>
  <c r="BK659" i="3"/>
  <c r="BK660" i="3"/>
  <c r="BK661" i="3"/>
  <c r="BK662" i="3"/>
  <c r="BK663" i="3"/>
  <c r="BK664" i="3"/>
  <c r="BK665" i="3"/>
  <c r="BK666" i="3"/>
  <c r="BK667" i="3"/>
  <c r="BK668" i="3"/>
  <c r="BK669" i="3"/>
  <c r="BK670" i="3"/>
  <c r="BK671" i="3"/>
  <c r="BK672" i="3"/>
  <c r="BK673" i="3"/>
  <c r="BK674" i="3"/>
  <c r="BK675" i="3"/>
  <c r="BK676" i="3"/>
  <c r="BK677" i="3"/>
  <c r="BK678" i="3"/>
  <c r="BK679" i="3"/>
  <c r="BK680" i="3"/>
  <c r="BK681" i="3"/>
  <c r="BK682" i="3"/>
  <c r="BK683" i="3"/>
  <c r="BK684" i="3"/>
  <c r="BK685" i="3"/>
  <c r="BK686" i="3"/>
  <c r="BK687" i="3"/>
  <c r="BK688" i="3"/>
  <c r="BK689" i="3"/>
  <c r="BK690" i="3"/>
  <c r="BK691" i="3"/>
  <c r="BK692" i="3"/>
  <c r="BK693" i="3"/>
  <c r="BK694" i="3"/>
  <c r="BK695" i="3"/>
  <c r="BK696" i="3"/>
  <c r="BK697" i="3"/>
  <c r="BK698" i="3"/>
  <c r="BK699" i="3"/>
  <c r="BK700" i="3"/>
  <c r="BK701" i="3"/>
  <c r="BK702" i="3"/>
  <c r="BK703" i="3"/>
  <c r="BK704" i="3"/>
  <c r="BK705" i="3"/>
  <c r="BK706" i="3"/>
  <c r="BK707" i="3"/>
  <c r="BK708" i="3"/>
  <c r="BK709" i="3"/>
  <c r="BK710" i="3"/>
  <c r="BK711" i="3"/>
  <c r="BK712" i="3"/>
  <c r="BK713" i="3"/>
  <c r="BK714" i="3"/>
  <c r="BK715" i="3"/>
  <c r="BK716" i="3"/>
  <c r="BK717" i="3"/>
  <c r="BK718" i="3"/>
  <c r="BK719" i="3"/>
  <c r="BK720" i="3"/>
  <c r="BK721" i="3"/>
  <c r="BK722" i="3"/>
  <c r="BK723" i="3"/>
  <c r="BK724" i="3"/>
  <c r="BK725" i="3"/>
  <c r="BK726" i="3"/>
  <c r="BK727" i="3"/>
  <c r="BK728" i="3"/>
  <c r="BK729" i="3"/>
  <c r="BK730" i="3"/>
  <c r="BK731" i="3"/>
  <c r="BK732" i="3"/>
  <c r="BK733" i="3"/>
  <c r="BK734" i="3"/>
  <c r="BK735" i="3"/>
  <c r="BK736" i="3"/>
  <c r="BK737" i="3"/>
  <c r="BK738" i="3"/>
  <c r="BK739" i="3"/>
  <c r="BK740" i="3"/>
  <c r="BK741" i="3"/>
  <c r="BK742" i="3"/>
  <c r="BK743" i="3"/>
  <c r="BK744" i="3"/>
  <c r="BK745" i="3"/>
  <c r="BK746" i="3"/>
  <c r="BK747" i="3"/>
  <c r="BK748" i="3"/>
  <c r="BK749" i="3"/>
  <c r="BK750" i="3"/>
  <c r="BK751" i="3"/>
  <c r="BK752" i="3"/>
  <c r="BK753" i="3"/>
  <c r="BK754" i="3"/>
  <c r="BK755" i="3"/>
  <c r="BK756" i="3"/>
  <c r="BK757" i="3"/>
  <c r="BK758" i="3"/>
  <c r="BK759" i="3"/>
  <c r="BK760" i="3"/>
  <c r="BK761" i="3"/>
  <c r="BK762" i="3"/>
  <c r="BK763" i="3"/>
  <c r="BK764" i="3"/>
  <c r="BK765" i="3"/>
  <c r="BK766" i="3"/>
  <c r="BK767" i="3"/>
  <c r="BK768" i="3"/>
  <c r="BK769" i="3"/>
  <c r="BK770" i="3"/>
  <c r="BK771" i="3"/>
  <c r="BK772" i="3"/>
  <c r="BK773" i="3"/>
  <c r="BK774" i="3"/>
  <c r="BK775" i="3"/>
  <c r="BK776" i="3"/>
  <c r="BK777" i="3"/>
  <c r="BK778" i="3"/>
  <c r="BK779" i="3"/>
  <c r="BK780" i="3"/>
  <c r="BK781" i="3"/>
  <c r="BK782" i="3"/>
  <c r="BK783" i="3"/>
  <c r="BK784" i="3"/>
  <c r="BK785" i="3"/>
  <c r="BK786" i="3"/>
  <c r="BK787" i="3"/>
  <c r="BK788" i="3"/>
  <c r="BK789" i="3"/>
  <c r="BK790" i="3"/>
  <c r="BK791" i="3"/>
  <c r="BK792" i="3"/>
  <c r="BK793" i="3"/>
  <c r="BK794" i="3"/>
  <c r="BK795" i="3"/>
  <c r="BK796" i="3"/>
  <c r="BK797" i="3"/>
  <c r="BK798" i="3"/>
  <c r="BK799" i="3"/>
  <c r="BK800" i="3"/>
  <c r="BK801" i="3"/>
  <c r="BK802" i="3"/>
  <c r="BK803" i="3"/>
  <c r="BK804" i="3"/>
  <c r="BK805" i="3"/>
  <c r="BK806" i="3"/>
  <c r="BK807" i="3"/>
  <c r="BK808" i="3"/>
  <c r="BK809" i="3"/>
  <c r="BK810" i="3"/>
  <c r="BK811" i="3"/>
  <c r="BK812" i="3"/>
  <c r="BK813" i="3"/>
  <c r="BK814" i="3"/>
  <c r="BK815" i="3"/>
  <c r="BK816" i="3"/>
  <c r="BK817" i="3"/>
  <c r="BK818" i="3"/>
  <c r="BK819" i="3"/>
  <c r="BK820" i="3"/>
  <c r="BK821" i="3"/>
  <c r="BK822" i="3"/>
  <c r="BK823" i="3"/>
  <c r="BK824" i="3"/>
  <c r="BK825" i="3"/>
  <c r="BK826" i="3"/>
  <c r="BK827" i="3"/>
  <c r="BK828" i="3"/>
  <c r="BK829" i="3"/>
  <c r="BK830" i="3"/>
  <c r="BK831" i="3"/>
  <c r="BK832" i="3"/>
  <c r="BK833" i="3"/>
  <c r="BK834" i="3"/>
  <c r="BK835" i="3"/>
  <c r="BK836" i="3"/>
  <c r="BK837" i="3"/>
  <c r="BK838" i="3"/>
  <c r="BK839" i="3"/>
  <c r="BK840" i="3"/>
  <c r="BK841" i="3"/>
  <c r="BK842" i="3"/>
  <c r="BK843" i="3"/>
  <c r="BK844" i="3"/>
  <c r="BK845" i="3"/>
  <c r="BK846" i="3"/>
  <c r="BK847" i="3"/>
  <c r="BK848" i="3"/>
  <c r="BK849" i="3"/>
  <c r="BK850" i="3"/>
  <c r="BK851" i="3"/>
  <c r="BK852" i="3"/>
  <c r="BK853" i="3"/>
  <c r="BK854" i="3"/>
  <c r="BK855" i="3"/>
  <c r="BK856" i="3"/>
  <c r="BK857" i="3"/>
  <c r="BK858" i="3"/>
  <c r="BK859" i="3"/>
  <c r="BK860" i="3"/>
  <c r="BK861" i="3"/>
  <c r="BK862" i="3"/>
  <c r="BK863" i="3"/>
  <c r="BK864" i="3"/>
  <c r="BK865" i="3"/>
  <c r="BK866" i="3"/>
  <c r="BK867" i="3"/>
  <c r="BK868" i="3"/>
  <c r="BK869" i="3"/>
  <c r="BK870" i="3"/>
  <c r="BK871" i="3"/>
  <c r="BK872" i="3"/>
  <c r="BK873" i="3"/>
  <c r="BK874" i="3"/>
  <c r="BK875" i="3"/>
  <c r="BK876" i="3"/>
  <c r="BK877" i="3"/>
  <c r="BK878" i="3"/>
  <c r="BK879" i="3"/>
  <c r="BK880" i="3"/>
  <c r="BK881" i="3"/>
  <c r="BK882" i="3"/>
  <c r="BK883" i="3"/>
  <c r="BK884" i="3"/>
  <c r="BK885" i="3"/>
  <c r="BK886" i="3"/>
  <c r="BK887" i="3"/>
  <c r="BK888" i="3"/>
  <c r="BK889" i="3"/>
  <c r="BK890" i="3"/>
  <c r="BK891" i="3"/>
  <c r="BK892" i="3"/>
  <c r="BK893" i="3"/>
  <c r="BK894" i="3"/>
  <c r="BK895" i="3"/>
  <c r="BK896" i="3"/>
  <c r="BK897" i="3"/>
  <c r="BK898" i="3"/>
  <c r="BK899" i="3"/>
  <c r="BK900" i="3"/>
  <c r="BK901" i="3"/>
  <c r="BK902" i="3"/>
  <c r="BK903" i="3"/>
  <c r="BK904" i="3"/>
  <c r="BK905" i="3"/>
  <c r="BK906" i="3"/>
  <c r="BK907" i="3"/>
  <c r="BK908" i="3"/>
  <c r="BK909" i="3"/>
  <c r="BK910" i="3"/>
  <c r="BK911" i="3"/>
  <c r="BK912" i="3"/>
  <c r="BK913" i="3"/>
  <c r="BK914" i="3"/>
  <c r="BK915" i="3"/>
  <c r="BK916" i="3"/>
  <c r="BK917" i="3"/>
  <c r="BK918" i="3"/>
  <c r="BK919" i="3"/>
  <c r="BK920" i="3"/>
  <c r="BK921" i="3"/>
  <c r="BK922" i="3"/>
  <c r="BK923" i="3"/>
  <c r="BK924" i="3"/>
  <c r="BK925" i="3"/>
  <c r="BK926" i="3"/>
  <c r="BK927" i="3"/>
  <c r="BK928" i="3"/>
  <c r="BK929" i="3"/>
  <c r="BK930" i="3"/>
  <c r="BK931" i="3"/>
  <c r="BK932" i="3"/>
  <c r="BK933" i="3"/>
  <c r="BK934" i="3"/>
  <c r="BK935" i="3"/>
  <c r="BK936" i="3"/>
  <c r="BK937" i="3"/>
  <c r="BK938" i="3"/>
  <c r="BK939" i="3"/>
  <c r="BK940" i="3"/>
  <c r="BK941" i="3"/>
  <c r="BK942" i="3"/>
  <c r="BK943" i="3"/>
  <c r="BK944" i="3"/>
  <c r="BK945" i="3"/>
  <c r="BK946" i="3"/>
  <c r="BK947" i="3"/>
  <c r="BK948" i="3"/>
  <c r="BK949" i="3"/>
  <c r="BK950" i="3"/>
  <c r="BK951" i="3"/>
  <c r="BK952" i="3"/>
  <c r="BK953" i="3"/>
  <c r="BK954" i="3"/>
  <c r="BK955" i="3"/>
  <c r="BK956" i="3"/>
  <c r="BK957" i="3"/>
  <c r="BK958" i="3"/>
  <c r="BK959" i="3"/>
  <c r="BK960" i="3"/>
  <c r="BK961" i="3"/>
  <c r="BK962" i="3"/>
  <c r="BK963" i="3"/>
  <c r="BK964" i="3"/>
  <c r="BK965" i="3"/>
  <c r="BK966" i="3"/>
  <c r="BK967" i="3"/>
  <c r="BK968" i="3"/>
  <c r="BK969" i="3"/>
  <c r="BK970" i="3"/>
  <c r="BK971" i="3"/>
  <c r="BK972" i="3"/>
  <c r="BK973" i="3"/>
  <c r="BK974" i="3"/>
  <c r="BK975" i="3"/>
  <c r="BK976" i="3"/>
  <c r="BK977" i="3"/>
  <c r="BK978" i="3"/>
  <c r="BK979" i="3"/>
  <c r="BK980" i="3"/>
  <c r="BK981" i="3"/>
  <c r="BK982" i="3"/>
  <c r="BK983" i="3"/>
  <c r="BK984" i="3"/>
  <c r="BK985" i="3"/>
  <c r="BK986" i="3"/>
  <c r="BK987" i="3"/>
  <c r="BK988" i="3"/>
  <c r="BK989" i="3"/>
  <c r="BK990" i="3"/>
  <c r="BK991" i="3"/>
  <c r="BK992" i="3"/>
  <c r="BK993" i="3"/>
  <c r="BK994" i="3"/>
  <c r="BK995" i="3"/>
  <c r="BK996" i="3"/>
  <c r="BK997" i="3"/>
  <c r="BK998" i="3"/>
  <c r="BK999" i="3"/>
  <c r="BK1000" i="3"/>
  <c r="BK1001" i="3"/>
  <c r="BK1002" i="3"/>
  <c r="BK1003" i="3"/>
  <c r="BK1004" i="3"/>
  <c r="BK1005" i="3"/>
  <c r="BK1006" i="3"/>
  <c r="BK1007" i="3"/>
  <c r="BK1008" i="3"/>
  <c r="BK1009" i="3"/>
  <c r="BK1010" i="3"/>
  <c r="BK1011" i="3"/>
  <c r="BK1012" i="3"/>
  <c r="BK1013" i="3"/>
  <c r="BK1014" i="3"/>
  <c r="BK1015" i="3"/>
  <c r="BK1016" i="3"/>
  <c r="BK1017" i="3"/>
  <c r="BK1018" i="3"/>
  <c r="BK1019" i="3"/>
  <c r="BK2" i="3"/>
  <c r="BK1020" i="3"/>
  <c r="BK1021" i="3"/>
  <c r="BK1022" i="3"/>
  <c r="BK1023" i="3"/>
  <c r="BK1024" i="3"/>
  <c r="BK1025" i="3"/>
  <c r="BK1026" i="3"/>
  <c r="BK1027" i="3"/>
  <c r="BK1028" i="3"/>
  <c r="BK1029" i="3"/>
  <c r="BK1030" i="3"/>
  <c r="BK1031" i="3"/>
  <c r="BK1032" i="3"/>
  <c r="BK1033" i="3"/>
  <c r="BK1034" i="3"/>
  <c r="BK1035" i="3"/>
  <c r="BK1036" i="3"/>
  <c r="BK1037" i="3"/>
  <c r="BK1038" i="3"/>
  <c r="BK1039" i="3"/>
  <c r="BK1040" i="3"/>
  <c r="BK1041" i="3"/>
  <c r="BK1042" i="3"/>
  <c r="BK1043" i="3"/>
  <c r="BK1044" i="3"/>
  <c r="BK1045" i="3"/>
  <c r="BK1046" i="3"/>
  <c r="BJ2" i="3"/>
  <c r="BI2" i="3"/>
  <c r="BH2" i="3"/>
  <c r="BG3" i="3"/>
  <c r="BG4" i="3"/>
  <c r="BG5" i="3"/>
  <c r="BG6" i="3"/>
  <c r="BG7" i="3"/>
  <c r="BG8" i="3"/>
  <c r="BG9" i="3"/>
  <c r="BG10" i="3"/>
  <c r="BG11" i="3"/>
  <c r="BG12" i="3"/>
  <c r="BG13" i="3"/>
  <c r="BG14" i="3"/>
  <c r="BG15" i="3"/>
  <c r="BG16" i="3"/>
  <c r="BG17" i="3"/>
  <c r="BG18" i="3"/>
  <c r="BG19" i="3"/>
  <c r="BG20" i="3"/>
  <c r="BG21" i="3"/>
  <c r="BG22" i="3"/>
  <c r="BG23" i="3"/>
  <c r="BG24" i="3"/>
  <c r="BG25" i="3"/>
  <c r="BG26" i="3"/>
  <c r="BG27" i="3"/>
  <c r="BG28" i="3"/>
  <c r="BG29" i="3"/>
  <c r="BG30" i="3"/>
  <c r="BG31" i="3"/>
  <c r="BG32" i="3"/>
  <c r="BG33" i="3"/>
  <c r="BG34" i="3"/>
  <c r="BG35" i="3"/>
  <c r="BG36" i="3"/>
  <c r="BG37" i="3"/>
  <c r="BG38" i="3"/>
  <c r="BG39" i="3"/>
  <c r="BG40" i="3"/>
  <c r="BG41" i="3"/>
  <c r="BG42" i="3"/>
  <c r="BG43" i="3"/>
  <c r="BG44" i="3"/>
  <c r="BG45" i="3"/>
  <c r="BG46" i="3"/>
  <c r="BG47" i="3"/>
  <c r="BG48" i="3"/>
  <c r="BG49" i="3"/>
  <c r="BG50" i="3"/>
  <c r="BG51" i="3"/>
  <c r="BG52" i="3"/>
  <c r="BG53" i="3"/>
  <c r="BG54" i="3"/>
  <c r="BG55" i="3"/>
  <c r="BG56" i="3"/>
  <c r="BG57" i="3"/>
  <c r="BG58" i="3"/>
  <c r="BG59" i="3"/>
  <c r="BG60" i="3"/>
  <c r="BG61" i="3"/>
  <c r="BG62" i="3"/>
  <c r="BG63" i="3"/>
  <c r="BG64" i="3"/>
  <c r="BG65" i="3"/>
  <c r="BG66" i="3"/>
  <c r="BG67" i="3"/>
  <c r="BG68" i="3"/>
  <c r="BG69" i="3"/>
  <c r="BG70" i="3"/>
  <c r="BG71" i="3"/>
  <c r="BG72" i="3"/>
  <c r="BG73" i="3"/>
  <c r="BG74" i="3"/>
  <c r="BG75" i="3"/>
  <c r="BG76" i="3"/>
  <c r="BG77" i="3"/>
  <c r="BG78" i="3"/>
  <c r="BG79" i="3"/>
  <c r="BG80" i="3"/>
  <c r="BG81" i="3"/>
  <c r="BG82" i="3"/>
  <c r="BG83" i="3"/>
  <c r="BG84" i="3"/>
  <c r="BG85" i="3"/>
  <c r="BG86" i="3"/>
  <c r="BG87" i="3"/>
  <c r="BG88" i="3"/>
  <c r="BG89" i="3"/>
  <c r="BG90" i="3"/>
  <c r="BG91" i="3"/>
  <c r="BG92" i="3"/>
  <c r="BG93" i="3"/>
  <c r="BG94" i="3"/>
  <c r="BG95" i="3"/>
  <c r="BG96" i="3"/>
  <c r="BG97" i="3"/>
  <c r="BG98" i="3"/>
  <c r="BG99" i="3"/>
  <c r="BG100" i="3"/>
  <c r="BG101" i="3"/>
  <c r="BG102" i="3"/>
  <c r="BG103" i="3"/>
  <c r="BG104" i="3"/>
  <c r="BG105" i="3"/>
  <c r="BG106" i="3"/>
  <c r="BG107" i="3"/>
  <c r="BG108" i="3"/>
  <c r="BG109" i="3"/>
  <c r="BG110" i="3"/>
  <c r="BG111" i="3"/>
  <c r="BG112" i="3"/>
  <c r="BG113" i="3"/>
  <c r="BG114" i="3"/>
  <c r="BG115" i="3"/>
  <c r="BG116" i="3"/>
  <c r="BG117" i="3"/>
  <c r="BG118" i="3"/>
  <c r="BG119" i="3"/>
  <c r="BG120" i="3"/>
  <c r="BG121" i="3"/>
  <c r="BG122" i="3"/>
  <c r="BG123" i="3"/>
  <c r="BG124" i="3"/>
  <c r="BG125" i="3"/>
  <c r="BG126" i="3"/>
  <c r="BG127" i="3"/>
  <c r="BG128" i="3"/>
  <c r="BG129" i="3"/>
  <c r="BG130" i="3"/>
  <c r="BG131" i="3"/>
  <c r="BG132" i="3"/>
  <c r="BG133" i="3"/>
  <c r="BG134" i="3"/>
  <c r="BG135" i="3"/>
  <c r="BG136" i="3"/>
  <c r="BG137" i="3"/>
  <c r="BG138" i="3"/>
  <c r="BG139" i="3"/>
  <c r="BG140" i="3"/>
  <c r="BG141" i="3"/>
  <c r="BG142" i="3"/>
  <c r="BG143" i="3"/>
  <c r="BG144" i="3"/>
  <c r="BG145" i="3"/>
  <c r="BG146" i="3"/>
  <c r="BG147" i="3"/>
  <c r="BG148" i="3"/>
  <c r="BG149" i="3"/>
  <c r="BG150" i="3"/>
  <c r="BG151" i="3"/>
  <c r="BG152" i="3"/>
  <c r="BG153" i="3"/>
  <c r="BG154" i="3"/>
  <c r="BG155" i="3"/>
  <c r="BG156" i="3"/>
  <c r="BG157" i="3"/>
  <c r="BG158" i="3"/>
  <c r="BG159" i="3"/>
  <c r="BG160" i="3"/>
  <c r="BG161" i="3"/>
  <c r="BG162" i="3"/>
  <c r="BG163" i="3"/>
  <c r="BG164" i="3"/>
  <c r="BG165" i="3"/>
  <c r="BG166" i="3"/>
  <c r="BG167" i="3"/>
  <c r="BG168" i="3"/>
  <c r="BG169" i="3"/>
  <c r="BG170" i="3"/>
  <c r="BG171" i="3"/>
  <c r="BG172" i="3"/>
  <c r="BG173" i="3"/>
  <c r="BG174" i="3"/>
  <c r="BG175" i="3"/>
  <c r="BG176" i="3"/>
  <c r="BG177" i="3"/>
  <c r="BG178" i="3"/>
  <c r="BG179" i="3"/>
  <c r="BG180" i="3"/>
  <c r="BG181" i="3"/>
  <c r="BG182" i="3"/>
  <c r="BG183" i="3"/>
  <c r="BG184" i="3"/>
  <c r="BG185" i="3"/>
  <c r="BG186" i="3"/>
  <c r="BG187" i="3"/>
  <c r="BG188" i="3"/>
  <c r="BG189" i="3"/>
  <c r="BG190" i="3"/>
  <c r="BG191" i="3"/>
  <c r="BG192" i="3"/>
  <c r="BG193" i="3"/>
  <c r="BG194" i="3"/>
  <c r="BG195" i="3"/>
  <c r="BG196" i="3"/>
  <c r="BG197" i="3"/>
  <c r="BG198" i="3"/>
  <c r="BG199" i="3"/>
  <c r="BG200" i="3"/>
  <c r="BG201" i="3"/>
  <c r="BG202" i="3"/>
  <c r="BG203" i="3"/>
  <c r="BG204" i="3"/>
  <c r="BG205" i="3"/>
  <c r="BG206" i="3"/>
  <c r="BG207" i="3"/>
  <c r="BG208" i="3"/>
  <c r="BG209" i="3"/>
  <c r="BG210" i="3"/>
  <c r="BG211" i="3"/>
  <c r="BG212" i="3"/>
  <c r="BG213" i="3"/>
  <c r="BG214" i="3"/>
  <c r="BG215" i="3"/>
  <c r="BG216" i="3"/>
  <c r="BG217" i="3"/>
  <c r="BG218" i="3"/>
  <c r="BG219" i="3"/>
  <c r="BG220" i="3"/>
  <c r="BG221" i="3"/>
  <c r="BG222" i="3"/>
  <c r="BG223" i="3"/>
  <c r="BG224" i="3"/>
  <c r="BG225" i="3"/>
  <c r="BG226" i="3"/>
  <c r="BG227" i="3"/>
  <c r="BG228" i="3"/>
  <c r="BG229" i="3"/>
  <c r="BG230" i="3"/>
  <c r="BG231" i="3"/>
  <c r="BG232" i="3"/>
  <c r="BG233" i="3"/>
  <c r="BG234" i="3"/>
  <c r="BG235" i="3"/>
  <c r="BG236" i="3"/>
  <c r="BG237" i="3"/>
  <c r="BG238" i="3"/>
  <c r="BG239" i="3"/>
  <c r="BG240" i="3"/>
  <c r="BG241" i="3"/>
  <c r="BG242" i="3"/>
  <c r="BG243" i="3"/>
  <c r="BG244" i="3"/>
  <c r="BG245" i="3"/>
  <c r="BG246" i="3"/>
  <c r="BG247" i="3"/>
  <c r="BG248" i="3"/>
  <c r="BG249" i="3"/>
  <c r="BG250" i="3"/>
  <c r="BG251" i="3"/>
  <c r="BG252" i="3"/>
  <c r="BG253" i="3"/>
  <c r="BG254" i="3"/>
  <c r="BG255" i="3"/>
  <c r="BG256" i="3"/>
  <c r="BG257" i="3"/>
  <c r="BG258" i="3"/>
  <c r="BG259" i="3"/>
  <c r="BG260" i="3"/>
  <c r="BG261" i="3"/>
  <c r="BG262" i="3"/>
  <c r="BG263" i="3"/>
  <c r="BG264" i="3"/>
  <c r="BG265" i="3"/>
  <c r="BG266" i="3"/>
  <c r="BG267" i="3"/>
  <c r="BG268" i="3"/>
  <c r="BG269" i="3"/>
  <c r="BG270" i="3"/>
  <c r="BG271" i="3"/>
  <c r="BG272" i="3"/>
  <c r="BG273" i="3"/>
  <c r="BG274" i="3"/>
  <c r="BG275" i="3"/>
  <c r="BG276" i="3"/>
  <c r="BG277" i="3"/>
  <c r="BG278" i="3"/>
  <c r="BG279" i="3"/>
  <c r="BG280" i="3"/>
  <c r="BG281" i="3"/>
  <c r="BG282" i="3"/>
  <c r="BG283" i="3"/>
  <c r="BG284" i="3"/>
  <c r="BG285" i="3"/>
  <c r="BG286" i="3"/>
  <c r="BG287" i="3"/>
  <c r="BG288" i="3"/>
  <c r="BG289" i="3"/>
  <c r="BG290" i="3"/>
  <c r="BG291" i="3"/>
  <c r="BG292" i="3"/>
  <c r="BG293" i="3"/>
  <c r="BG294" i="3"/>
  <c r="BG295" i="3"/>
  <c r="BG296" i="3"/>
  <c r="BG297" i="3"/>
  <c r="BG298" i="3"/>
  <c r="BG299" i="3"/>
  <c r="BG300" i="3"/>
  <c r="BG301" i="3"/>
  <c r="BG302" i="3"/>
  <c r="BG303" i="3"/>
  <c r="BG304" i="3"/>
  <c r="BG305" i="3"/>
  <c r="BG306" i="3"/>
  <c r="BG307" i="3"/>
  <c r="BG308" i="3"/>
  <c r="BG309" i="3"/>
  <c r="BG310" i="3"/>
  <c r="BG311" i="3"/>
  <c r="BG312" i="3"/>
  <c r="BG313" i="3"/>
  <c r="BG314" i="3"/>
  <c r="BG315" i="3"/>
  <c r="BG316" i="3"/>
  <c r="BG317" i="3"/>
  <c r="BG318" i="3"/>
  <c r="BG319" i="3"/>
  <c r="BG320" i="3"/>
  <c r="BG321" i="3"/>
  <c r="BG322" i="3"/>
  <c r="BG323" i="3"/>
  <c r="BG324" i="3"/>
  <c r="BG325" i="3"/>
  <c r="BG326" i="3"/>
  <c r="BG327" i="3"/>
  <c r="BG328" i="3"/>
  <c r="BG329" i="3"/>
  <c r="BG330" i="3"/>
  <c r="BG331" i="3"/>
  <c r="BG332" i="3"/>
  <c r="BG333" i="3"/>
  <c r="BG334" i="3"/>
  <c r="BG335" i="3"/>
  <c r="BG336" i="3"/>
  <c r="BG337" i="3"/>
  <c r="BG338" i="3"/>
  <c r="BG339" i="3"/>
  <c r="BG340" i="3"/>
  <c r="BG341" i="3"/>
  <c r="BG342" i="3"/>
  <c r="BG343" i="3"/>
  <c r="BG344" i="3"/>
  <c r="BG345" i="3"/>
  <c r="BG346" i="3"/>
  <c r="BG347" i="3"/>
  <c r="BG348" i="3"/>
  <c r="BG349" i="3"/>
  <c r="BG350" i="3"/>
  <c r="BG351" i="3"/>
  <c r="BG352" i="3"/>
  <c r="BG353" i="3"/>
  <c r="BG354" i="3"/>
  <c r="BG355" i="3"/>
  <c r="BG356" i="3"/>
  <c r="BG357" i="3"/>
  <c r="BG358" i="3"/>
  <c r="BG359" i="3"/>
  <c r="BG360" i="3"/>
  <c r="BG361" i="3"/>
  <c r="BG362" i="3"/>
  <c r="BG363" i="3"/>
  <c r="BG364" i="3"/>
  <c r="BG365" i="3"/>
  <c r="BG366" i="3"/>
  <c r="BG367" i="3"/>
  <c r="BG368" i="3"/>
  <c r="BG369" i="3"/>
  <c r="BG370" i="3"/>
  <c r="BG371" i="3"/>
  <c r="BG372" i="3"/>
  <c r="BG373" i="3"/>
  <c r="BG374" i="3"/>
  <c r="BG375" i="3"/>
  <c r="BG376" i="3"/>
  <c r="BG377" i="3"/>
  <c r="BG378" i="3"/>
  <c r="BG379" i="3"/>
  <c r="BG380" i="3"/>
  <c r="BG381" i="3"/>
  <c r="BG382" i="3"/>
  <c r="BG383" i="3"/>
  <c r="BG384" i="3"/>
  <c r="BG385" i="3"/>
  <c r="BG386" i="3"/>
  <c r="BG387" i="3"/>
  <c r="BG388" i="3"/>
  <c r="BG389" i="3"/>
  <c r="BG390" i="3"/>
  <c r="BG391" i="3"/>
  <c r="BG392" i="3"/>
  <c r="BG393" i="3"/>
  <c r="BG394" i="3"/>
  <c r="BG395" i="3"/>
  <c r="BG396" i="3"/>
  <c r="BG397" i="3"/>
  <c r="BG398" i="3"/>
  <c r="BG399" i="3"/>
  <c r="BG400" i="3"/>
  <c r="BG401" i="3"/>
  <c r="BG402" i="3"/>
  <c r="BG403" i="3"/>
  <c r="BG404" i="3"/>
  <c r="BG405" i="3"/>
  <c r="BG406" i="3"/>
  <c r="BG407" i="3"/>
  <c r="BG408" i="3"/>
  <c r="BG409" i="3"/>
  <c r="BG410" i="3"/>
  <c r="BG411" i="3"/>
  <c r="BG412" i="3"/>
  <c r="BG413" i="3"/>
  <c r="BG414" i="3"/>
  <c r="BG415" i="3"/>
  <c r="BG416" i="3"/>
  <c r="BG417" i="3"/>
  <c r="BG418" i="3"/>
  <c r="BG419" i="3"/>
  <c r="BG420" i="3"/>
  <c r="BG421" i="3"/>
  <c r="BG422" i="3"/>
  <c r="BG423" i="3"/>
  <c r="BG424" i="3"/>
  <c r="BG425" i="3"/>
  <c r="BG426" i="3"/>
  <c r="BG427" i="3"/>
  <c r="BG428" i="3"/>
  <c r="BG429" i="3"/>
  <c r="BG430" i="3"/>
  <c r="BG431" i="3"/>
  <c r="BG432" i="3"/>
  <c r="BG433" i="3"/>
  <c r="BG434" i="3"/>
  <c r="BG435" i="3"/>
  <c r="BG436" i="3"/>
  <c r="BG437" i="3"/>
  <c r="BG438" i="3"/>
  <c r="BG439" i="3"/>
  <c r="BG440" i="3"/>
  <c r="BG441" i="3"/>
  <c r="BG442" i="3"/>
  <c r="BG443" i="3"/>
  <c r="BG444" i="3"/>
  <c r="BG445" i="3"/>
  <c r="BG446" i="3"/>
  <c r="BG447" i="3"/>
  <c r="BG448" i="3"/>
  <c r="BG449" i="3"/>
  <c r="BG450" i="3"/>
  <c r="BG451" i="3"/>
  <c r="BG452" i="3"/>
  <c r="BG453" i="3"/>
  <c r="BG454" i="3"/>
  <c r="BG455" i="3"/>
  <c r="BG456" i="3"/>
  <c r="BG457" i="3"/>
  <c r="BG458" i="3"/>
  <c r="BG459" i="3"/>
  <c r="BG460" i="3"/>
  <c r="BG461" i="3"/>
  <c r="BG462" i="3"/>
  <c r="BG463" i="3"/>
  <c r="BG464" i="3"/>
  <c r="BG465" i="3"/>
  <c r="BG466" i="3"/>
  <c r="BG467" i="3"/>
  <c r="BG468" i="3"/>
  <c r="BG469" i="3"/>
  <c r="BG470" i="3"/>
  <c r="BG471" i="3"/>
  <c r="BG472" i="3"/>
  <c r="BG473" i="3"/>
  <c r="BG474" i="3"/>
  <c r="BG475" i="3"/>
  <c r="BG476" i="3"/>
  <c r="BG477" i="3"/>
  <c r="BG478" i="3"/>
  <c r="BG479" i="3"/>
  <c r="BG480" i="3"/>
  <c r="BG481" i="3"/>
  <c r="BG482" i="3"/>
  <c r="BG483" i="3"/>
  <c r="BG484" i="3"/>
  <c r="BG485" i="3"/>
  <c r="BG486" i="3"/>
  <c r="BG487" i="3"/>
  <c r="BG488" i="3"/>
  <c r="BG489" i="3"/>
  <c r="BG490" i="3"/>
  <c r="BG491" i="3"/>
  <c r="BG492" i="3"/>
  <c r="BG493" i="3"/>
  <c r="BG494" i="3"/>
  <c r="BG495" i="3"/>
  <c r="BG496" i="3"/>
  <c r="BG497" i="3"/>
  <c r="BG498" i="3"/>
  <c r="BG499" i="3"/>
  <c r="BG500" i="3"/>
  <c r="BG501" i="3"/>
  <c r="BG502" i="3"/>
  <c r="BG503" i="3"/>
  <c r="BG504" i="3"/>
  <c r="BG505" i="3"/>
  <c r="BG506" i="3"/>
  <c r="BG507" i="3"/>
  <c r="BG508" i="3"/>
  <c r="BG509" i="3"/>
  <c r="BG510" i="3"/>
  <c r="BG511" i="3"/>
  <c r="BG512" i="3"/>
  <c r="BG513" i="3"/>
  <c r="BG514" i="3"/>
  <c r="BG515" i="3"/>
  <c r="BG516" i="3"/>
  <c r="BG517" i="3"/>
  <c r="BG518" i="3"/>
  <c r="BG519" i="3"/>
  <c r="BG520" i="3"/>
  <c r="BG521" i="3"/>
  <c r="BG522" i="3"/>
  <c r="BG523" i="3"/>
  <c r="BG524" i="3"/>
  <c r="BG525" i="3"/>
  <c r="BG526" i="3"/>
  <c r="BG527" i="3"/>
  <c r="BG528" i="3"/>
  <c r="BG529" i="3"/>
  <c r="BG530" i="3"/>
  <c r="BG531" i="3"/>
  <c r="BG532" i="3"/>
  <c r="BG533" i="3"/>
  <c r="BG534" i="3"/>
  <c r="BG535" i="3"/>
  <c r="BG536" i="3"/>
  <c r="BG537" i="3"/>
  <c r="BG538" i="3"/>
  <c r="BG539" i="3"/>
  <c r="BG540" i="3"/>
  <c r="BG541" i="3"/>
  <c r="BG542" i="3"/>
  <c r="BG543" i="3"/>
  <c r="BG544" i="3"/>
  <c r="BG545" i="3"/>
  <c r="BG546" i="3"/>
  <c r="BG547" i="3"/>
  <c r="BG548" i="3"/>
  <c r="BG549" i="3"/>
  <c r="BG550" i="3"/>
  <c r="BG551" i="3"/>
  <c r="BG552" i="3"/>
  <c r="BG553" i="3"/>
  <c r="BG554" i="3"/>
  <c r="BG555" i="3"/>
  <c r="BG556" i="3"/>
  <c r="BG557" i="3"/>
  <c r="BG558" i="3"/>
  <c r="BG559" i="3"/>
  <c r="BG560" i="3"/>
  <c r="BG561" i="3"/>
  <c r="BG562" i="3"/>
  <c r="BG563" i="3"/>
  <c r="BG564" i="3"/>
  <c r="BG565" i="3"/>
  <c r="BG566" i="3"/>
  <c r="BG567" i="3"/>
  <c r="BG568" i="3"/>
  <c r="BG569" i="3"/>
  <c r="BG570" i="3"/>
  <c r="BG571" i="3"/>
  <c r="BG572" i="3"/>
  <c r="BG573" i="3"/>
  <c r="BG574" i="3"/>
  <c r="BG575" i="3"/>
  <c r="BG576" i="3"/>
  <c r="BG577" i="3"/>
  <c r="BG578" i="3"/>
  <c r="BG579" i="3"/>
  <c r="BG580" i="3"/>
  <c r="BG581" i="3"/>
  <c r="BG582" i="3"/>
  <c r="BG583" i="3"/>
  <c r="BG584" i="3"/>
  <c r="BG585" i="3"/>
  <c r="BG586" i="3"/>
  <c r="BG587" i="3"/>
  <c r="BG588" i="3"/>
  <c r="BG589" i="3"/>
  <c r="BG590" i="3"/>
  <c r="BG591" i="3"/>
  <c r="BG592" i="3"/>
  <c r="BG593" i="3"/>
  <c r="BG594" i="3"/>
  <c r="BG595" i="3"/>
  <c r="BG596" i="3"/>
  <c r="BG597" i="3"/>
  <c r="BG598" i="3"/>
  <c r="BG599" i="3"/>
  <c r="BG600" i="3"/>
  <c r="BG601" i="3"/>
  <c r="BG602" i="3"/>
  <c r="BG603" i="3"/>
  <c r="BG604" i="3"/>
  <c r="BG605" i="3"/>
  <c r="BG606" i="3"/>
  <c r="BG607" i="3"/>
  <c r="BG608" i="3"/>
  <c r="BG609" i="3"/>
  <c r="BG610" i="3"/>
  <c r="BG611" i="3"/>
  <c r="BG612" i="3"/>
  <c r="BG613" i="3"/>
  <c r="BG614" i="3"/>
  <c r="BG615" i="3"/>
  <c r="BG616" i="3"/>
  <c r="BG617" i="3"/>
  <c r="BG618" i="3"/>
  <c r="BG619" i="3"/>
  <c r="BG620" i="3"/>
  <c r="BG621" i="3"/>
  <c r="BG622" i="3"/>
  <c r="BG623" i="3"/>
  <c r="BG624" i="3"/>
  <c r="BG625" i="3"/>
  <c r="BG626" i="3"/>
  <c r="BG627" i="3"/>
  <c r="BG628" i="3"/>
  <c r="BG629" i="3"/>
  <c r="BG630" i="3"/>
  <c r="BG631" i="3"/>
  <c r="BG632" i="3"/>
  <c r="BG633" i="3"/>
  <c r="BG634" i="3"/>
  <c r="BG635" i="3"/>
  <c r="BG636" i="3"/>
  <c r="BG637" i="3"/>
  <c r="BG638" i="3"/>
  <c r="BG639" i="3"/>
  <c r="BG640" i="3"/>
  <c r="BG641" i="3"/>
  <c r="BG642" i="3"/>
  <c r="BG643" i="3"/>
  <c r="BG644" i="3"/>
  <c r="BG645" i="3"/>
  <c r="BG646" i="3"/>
  <c r="BG647" i="3"/>
  <c r="BG648" i="3"/>
  <c r="BG649" i="3"/>
  <c r="BG650" i="3"/>
  <c r="BG651" i="3"/>
  <c r="BG652" i="3"/>
  <c r="BG653" i="3"/>
  <c r="BG654" i="3"/>
  <c r="BG655" i="3"/>
  <c r="BG656" i="3"/>
  <c r="BG657" i="3"/>
  <c r="BG658" i="3"/>
  <c r="BG659" i="3"/>
  <c r="BG660" i="3"/>
  <c r="BG661" i="3"/>
  <c r="BG662" i="3"/>
  <c r="BG663" i="3"/>
  <c r="BG664" i="3"/>
  <c r="BG665" i="3"/>
  <c r="BG666" i="3"/>
  <c r="BG667" i="3"/>
  <c r="BG668" i="3"/>
  <c r="BG669" i="3"/>
  <c r="BG670" i="3"/>
  <c r="BG671" i="3"/>
  <c r="BG672" i="3"/>
  <c r="BG673" i="3"/>
  <c r="BG674" i="3"/>
  <c r="BG675" i="3"/>
  <c r="BG676" i="3"/>
  <c r="BG677" i="3"/>
  <c r="BG678" i="3"/>
  <c r="BG679" i="3"/>
  <c r="BG680" i="3"/>
  <c r="BG681" i="3"/>
  <c r="BG682" i="3"/>
  <c r="BG683" i="3"/>
  <c r="BG684" i="3"/>
  <c r="BG685" i="3"/>
  <c r="BG686" i="3"/>
  <c r="BG687" i="3"/>
  <c r="BG688" i="3"/>
  <c r="BG689" i="3"/>
  <c r="BG690" i="3"/>
  <c r="BG691" i="3"/>
  <c r="BG692" i="3"/>
  <c r="BG693" i="3"/>
  <c r="BG694" i="3"/>
  <c r="BG695" i="3"/>
  <c r="BG696" i="3"/>
  <c r="BG697" i="3"/>
  <c r="BG698" i="3"/>
  <c r="BG699" i="3"/>
  <c r="BG700" i="3"/>
  <c r="BG701" i="3"/>
  <c r="BG702" i="3"/>
  <c r="BG703" i="3"/>
  <c r="BG704" i="3"/>
  <c r="BG705" i="3"/>
  <c r="BG706" i="3"/>
  <c r="BG707" i="3"/>
  <c r="BG708" i="3"/>
  <c r="BG709" i="3"/>
  <c r="BG710" i="3"/>
  <c r="BG711" i="3"/>
  <c r="BG712" i="3"/>
  <c r="BG713" i="3"/>
  <c r="BG714" i="3"/>
  <c r="BG715" i="3"/>
  <c r="BG716" i="3"/>
  <c r="BG717" i="3"/>
  <c r="BG718" i="3"/>
  <c r="BG719" i="3"/>
  <c r="BG720" i="3"/>
  <c r="BG721" i="3"/>
  <c r="BG722" i="3"/>
  <c r="BG723" i="3"/>
  <c r="BG724" i="3"/>
  <c r="BG725" i="3"/>
  <c r="BG726" i="3"/>
  <c r="BG727" i="3"/>
  <c r="BG728" i="3"/>
  <c r="BG729" i="3"/>
  <c r="BG730" i="3"/>
  <c r="BG731" i="3"/>
  <c r="BG732" i="3"/>
  <c r="BG733" i="3"/>
  <c r="BG734" i="3"/>
  <c r="BG735" i="3"/>
  <c r="BG736" i="3"/>
  <c r="BG737" i="3"/>
  <c r="BG738" i="3"/>
  <c r="BG739" i="3"/>
  <c r="BG740" i="3"/>
  <c r="BG741" i="3"/>
  <c r="BG742" i="3"/>
  <c r="BG743" i="3"/>
  <c r="BG744" i="3"/>
  <c r="BG745" i="3"/>
  <c r="BG746" i="3"/>
  <c r="BG747" i="3"/>
  <c r="BG748" i="3"/>
  <c r="BG749" i="3"/>
  <c r="BG750" i="3"/>
  <c r="BG751" i="3"/>
  <c r="BG752" i="3"/>
  <c r="BG753" i="3"/>
  <c r="BG754" i="3"/>
  <c r="BG755" i="3"/>
  <c r="BG756" i="3"/>
  <c r="BG757" i="3"/>
  <c r="BG758" i="3"/>
  <c r="BG759" i="3"/>
  <c r="BG760" i="3"/>
  <c r="BG761" i="3"/>
  <c r="BG762" i="3"/>
  <c r="BG763" i="3"/>
  <c r="BG764" i="3"/>
  <c r="BG765" i="3"/>
  <c r="BG766" i="3"/>
  <c r="BG767" i="3"/>
  <c r="BG768" i="3"/>
  <c r="BG769" i="3"/>
  <c r="BG770" i="3"/>
  <c r="BG771" i="3"/>
  <c r="BG772" i="3"/>
  <c r="BG773" i="3"/>
  <c r="BG774" i="3"/>
  <c r="BG775" i="3"/>
  <c r="BG776" i="3"/>
  <c r="BG777" i="3"/>
  <c r="BG778" i="3"/>
  <c r="BG779" i="3"/>
  <c r="BG780" i="3"/>
  <c r="BG781" i="3"/>
  <c r="BG782" i="3"/>
  <c r="BG783" i="3"/>
  <c r="BG784" i="3"/>
  <c r="BG785" i="3"/>
  <c r="BG786" i="3"/>
  <c r="BG787" i="3"/>
  <c r="BG788" i="3"/>
  <c r="BG789" i="3"/>
  <c r="BG790" i="3"/>
  <c r="BG791" i="3"/>
  <c r="BG792" i="3"/>
  <c r="BG793" i="3"/>
  <c r="BG794" i="3"/>
  <c r="BG795" i="3"/>
  <c r="BG796" i="3"/>
  <c r="BG797" i="3"/>
  <c r="BG798" i="3"/>
  <c r="BG799" i="3"/>
  <c r="BG800" i="3"/>
  <c r="BG801" i="3"/>
  <c r="BG802" i="3"/>
  <c r="BG803" i="3"/>
  <c r="BG804" i="3"/>
  <c r="BG805" i="3"/>
  <c r="BG806" i="3"/>
  <c r="BG807" i="3"/>
  <c r="BG808" i="3"/>
  <c r="BG809" i="3"/>
  <c r="BG810" i="3"/>
  <c r="BG811" i="3"/>
  <c r="BG812" i="3"/>
  <c r="BG813" i="3"/>
  <c r="BG814" i="3"/>
  <c r="BG815" i="3"/>
  <c r="BG816" i="3"/>
  <c r="BG817" i="3"/>
  <c r="BG818" i="3"/>
  <c r="BG819" i="3"/>
  <c r="BG820" i="3"/>
  <c r="BG821" i="3"/>
  <c r="BG822" i="3"/>
  <c r="BG823" i="3"/>
  <c r="BG824" i="3"/>
  <c r="BG825" i="3"/>
  <c r="BG826" i="3"/>
  <c r="BG827" i="3"/>
  <c r="BG828" i="3"/>
  <c r="BG829" i="3"/>
  <c r="BG830" i="3"/>
  <c r="BG831" i="3"/>
  <c r="BG832" i="3"/>
  <c r="BG833" i="3"/>
  <c r="BG834" i="3"/>
  <c r="BG835" i="3"/>
  <c r="BG836" i="3"/>
  <c r="BG837" i="3"/>
  <c r="BG838" i="3"/>
  <c r="BG839" i="3"/>
  <c r="BG840" i="3"/>
  <c r="BG841" i="3"/>
  <c r="BG842" i="3"/>
  <c r="BG843" i="3"/>
  <c r="BG844" i="3"/>
  <c r="BG845" i="3"/>
  <c r="BG846" i="3"/>
  <c r="BG847" i="3"/>
  <c r="BG848" i="3"/>
  <c r="BG849" i="3"/>
  <c r="BG850" i="3"/>
  <c r="BG851" i="3"/>
  <c r="BG852" i="3"/>
  <c r="BG853" i="3"/>
  <c r="BG854" i="3"/>
  <c r="BG855" i="3"/>
  <c r="BG856" i="3"/>
  <c r="BG857" i="3"/>
  <c r="BG858" i="3"/>
  <c r="BG859" i="3"/>
  <c r="BG860" i="3"/>
  <c r="BG861" i="3"/>
  <c r="BG862" i="3"/>
  <c r="BG863" i="3"/>
  <c r="BG864" i="3"/>
  <c r="BG865" i="3"/>
  <c r="BG866" i="3"/>
  <c r="BG867" i="3"/>
  <c r="BG868" i="3"/>
  <c r="BG869" i="3"/>
  <c r="BG870" i="3"/>
  <c r="BG871" i="3"/>
  <c r="BG872" i="3"/>
  <c r="BG873" i="3"/>
  <c r="BG874" i="3"/>
  <c r="BG875" i="3"/>
  <c r="BG876" i="3"/>
  <c r="BG877" i="3"/>
  <c r="BG878" i="3"/>
  <c r="BG879" i="3"/>
  <c r="BG880" i="3"/>
  <c r="BG881" i="3"/>
  <c r="BG882" i="3"/>
  <c r="BG883" i="3"/>
  <c r="BG884" i="3"/>
  <c r="BG885" i="3"/>
  <c r="BG886" i="3"/>
  <c r="BG887" i="3"/>
  <c r="BG888" i="3"/>
  <c r="BG889" i="3"/>
  <c r="BG890" i="3"/>
  <c r="BG891" i="3"/>
  <c r="BG892" i="3"/>
  <c r="BG893" i="3"/>
  <c r="BG894" i="3"/>
  <c r="BG895" i="3"/>
  <c r="BG896" i="3"/>
  <c r="BG897" i="3"/>
  <c r="BG898" i="3"/>
  <c r="BG899" i="3"/>
  <c r="BG900" i="3"/>
  <c r="BG901" i="3"/>
  <c r="BG902" i="3"/>
  <c r="BG903" i="3"/>
  <c r="BG904" i="3"/>
  <c r="BG905" i="3"/>
  <c r="BG906" i="3"/>
  <c r="BG907" i="3"/>
  <c r="BG908" i="3"/>
  <c r="BG909" i="3"/>
  <c r="BG910" i="3"/>
  <c r="BG911" i="3"/>
  <c r="BG912" i="3"/>
  <c r="BG913" i="3"/>
  <c r="BG914" i="3"/>
  <c r="BG915" i="3"/>
  <c r="BG916" i="3"/>
  <c r="BG917" i="3"/>
  <c r="BG918" i="3"/>
  <c r="BG919" i="3"/>
  <c r="BG920" i="3"/>
  <c r="BG921" i="3"/>
  <c r="BG922" i="3"/>
  <c r="BG923" i="3"/>
  <c r="BG924" i="3"/>
  <c r="BG925" i="3"/>
  <c r="BG926" i="3"/>
  <c r="BG927" i="3"/>
  <c r="BG928" i="3"/>
  <c r="BG929" i="3"/>
  <c r="BG930" i="3"/>
  <c r="BG931" i="3"/>
  <c r="BG932" i="3"/>
  <c r="BG933" i="3"/>
  <c r="BG934" i="3"/>
  <c r="BG935" i="3"/>
  <c r="BG936" i="3"/>
  <c r="BG937" i="3"/>
  <c r="BG938" i="3"/>
  <c r="BG939" i="3"/>
  <c r="BG940" i="3"/>
  <c r="BG941" i="3"/>
  <c r="BG942" i="3"/>
  <c r="BG943" i="3"/>
  <c r="BG944" i="3"/>
  <c r="BG945" i="3"/>
  <c r="BG946" i="3"/>
  <c r="BG947" i="3"/>
  <c r="BG948" i="3"/>
  <c r="BG949" i="3"/>
  <c r="BG950" i="3"/>
  <c r="BG951" i="3"/>
  <c r="BG952" i="3"/>
  <c r="BG953" i="3"/>
  <c r="BG954" i="3"/>
  <c r="BG955" i="3"/>
  <c r="BG956" i="3"/>
  <c r="BG957" i="3"/>
  <c r="BG958" i="3"/>
  <c r="BG959" i="3"/>
  <c r="BG960" i="3"/>
  <c r="BG961" i="3"/>
  <c r="BG962" i="3"/>
  <c r="BG963" i="3"/>
  <c r="BG964" i="3"/>
  <c r="BG965" i="3"/>
  <c r="BG966" i="3"/>
  <c r="BG967" i="3"/>
  <c r="BG968" i="3"/>
  <c r="BG969" i="3"/>
  <c r="BG970" i="3"/>
  <c r="BG971" i="3"/>
  <c r="BG972" i="3"/>
  <c r="BG973" i="3"/>
  <c r="BG974" i="3"/>
  <c r="BG975" i="3"/>
  <c r="BG976" i="3"/>
  <c r="BG977" i="3"/>
  <c r="BG978" i="3"/>
  <c r="BG979" i="3"/>
  <c r="BG980" i="3"/>
  <c r="BG981" i="3"/>
  <c r="BG982" i="3"/>
  <c r="BG983" i="3"/>
  <c r="BG984" i="3"/>
  <c r="BG985" i="3"/>
  <c r="BG986" i="3"/>
  <c r="BG987" i="3"/>
  <c r="BG988" i="3"/>
  <c r="BG989" i="3"/>
  <c r="BG990" i="3"/>
  <c r="BG991" i="3"/>
  <c r="BG992" i="3"/>
  <c r="BG993" i="3"/>
  <c r="BG994" i="3"/>
  <c r="BG995" i="3"/>
  <c r="BG996" i="3"/>
  <c r="BG997" i="3"/>
  <c r="BG998" i="3"/>
  <c r="BG999" i="3"/>
  <c r="BG1000" i="3"/>
  <c r="BG1001" i="3"/>
  <c r="BG1002" i="3"/>
  <c r="BG1003" i="3"/>
  <c r="BG1004" i="3"/>
  <c r="BG1005" i="3"/>
  <c r="BG1006" i="3"/>
  <c r="BG1007" i="3"/>
  <c r="BG1008" i="3"/>
  <c r="BG1009" i="3"/>
  <c r="BG1010" i="3"/>
  <c r="BG1011" i="3"/>
  <c r="BG1012" i="3"/>
  <c r="BG1013" i="3"/>
  <c r="BG1014" i="3"/>
  <c r="BG1015" i="3"/>
  <c r="BG1016" i="3"/>
  <c r="BG1017" i="3"/>
  <c r="BG1018" i="3"/>
  <c r="BG1019" i="3"/>
  <c r="BG1020" i="3"/>
  <c r="BG1021" i="3"/>
  <c r="BG1022" i="3"/>
  <c r="BG1023" i="3"/>
  <c r="BG1024" i="3"/>
  <c r="BG1025" i="3"/>
  <c r="BG1026" i="3"/>
  <c r="BG1027" i="3"/>
  <c r="BG1028" i="3"/>
  <c r="BG1029" i="3"/>
  <c r="BG1030" i="3"/>
  <c r="BG1031" i="3"/>
  <c r="BG1032" i="3"/>
  <c r="BG1033" i="3"/>
  <c r="BG1034" i="3"/>
  <c r="BG1035" i="3"/>
  <c r="BG1036" i="3"/>
  <c r="BG1037" i="3"/>
  <c r="BG1038" i="3"/>
  <c r="BG1039" i="3"/>
  <c r="BG1040" i="3"/>
  <c r="BG1041" i="3"/>
  <c r="BG1042" i="3"/>
  <c r="BG1043" i="3"/>
  <c r="BG1044" i="3"/>
  <c r="BG1045" i="3"/>
  <c r="BG1046" i="3"/>
  <c r="BG1047" i="3"/>
  <c r="BG1048" i="3"/>
  <c r="BG1049" i="3"/>
  <c r="BG1050" i="3"/>
  <c r="BG1051" i="3"/>
  <c r="BG1052" i="3"/>
  <c r="BG1053" i="3"/>
  <c r="BG1054" i="3"/>
  <c r="BG1055" i="3"/>
  <c r="BG1056" i="3"/>
  <c r="BG1057" i="3"/>
  <c r="BG1058" i="3"/>
  <c r="BG1059" i="3"/>
  <c r="BG1060" i="3"/>
  <c r="BG1061" i="3"/>
  <c r="BG1062" i="3"/>
  <c r="BG1063" i="3"/>
  <c r="BG1064" i="3"/>
  <c r="BG1065" i="3"/>
  <c r="BG1066" i="3"/>
  <c r="BG1067" i="3"/>
  <c r="BG1068" i="3"/>
  <c r="BG1069" i="3"/>
  <c r="BG1070" i="3"/>
  <c r="BG1071" i="3"/>
  <c r="BG1072" i="3"/>
  <c r="BG1073" i="3"/>
  <c r="BG1074" i="3"/>
  <c r="BG1075" i="3"/>
  <c r="BG1076" i="3"/>
  <c r="BG1077" i="3"/>
  <c r="BG1078" i="3"/>
  <c r="BG1079" i="3"/>
  <c r="BG1080" i="3"/>
  <c r="BG1081" i="3"/>
  <c r="BG1082" i="3"/>
  <c r="BG1083" i="3"/>
  <c r="BG1084" i="3"/>
  <c r="BG1085" i="3"/>
  <c r="BG1086" i="3"/>
  <c r="BG1087" i="3"/>
  <c r="BG1088" i="3"/>
  <c r="BG1089" i="3"/>
  <c r="BG1090" i="3"/>
  <c r="BG1091" i="3"/>
  <c r="BG1092" i="3"/>
  <c r="BG1093" i="3"/>
  <c r="BG1094" i="3"/>
  <c r="BG1095" i="3"/>
  <c r="BG1096" i="3"/>
  <c r="BG1097" i="3"/>
  <c r="BG1098" i="3"/>
  <c r="BG1099" i="3"/>
  <c r="BG1100" i="3"/>
  <c r="BG1101" i="3"/>
  <c r="BG1102" i="3"/>
  <c r="BG1103" i="3"/>
  <c r="BG2" i="3"/>
  <c r="BF3" i="3"/>
  <c r="BF4" i="3"/>
  <c r="BF5" i="3"/>
  <c r="BF6" i="3"/>
  <c r="BF7" i="3"/>
  <c r="BF8" i="3"/>
  <c r="BF9" i="3"/>
  <c r="BF10" i="3"/>
  <c r="BF11" i="3"/>
  <c r="BF12" i="3"/>
  <c r="BF13" i="3"/>
  <c r="BF14" i="3"/>
  <c r="BF15" i="3"/>
  <c r="BF16" i="3"/>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46" i="3"/>
  <c r="BF47" i="3"/>
  <c r="BF48" i="3"/>
  <c r="BF49" i="3"/>
  <c r="BF50" i="3"/>
  <c r="BF51" i="3"/>
  <c r="BF52" i="3"/>
  <c r="BF53" i="3"/>
  <c r="BF54" i="3"/>
  <c r="BF55" i="3"/>
  <c r="BF56" i="3"/>
  <c r="BF57" i="3"/>
  <c r="BF58" i="3"/>
  <c r="BF59" i="3"/>
  <c r="BF60" i="3"/>
  <c r="BF61" i="3"/>
  <c r="BF62" i="3"/>
  <c r="BF63" i="3"/>
  <c r="BF64" i="3"/>
  <c r="BF65" i="3"/>
  <c r="BF66" i="3"/>
  <c r="BF67" i="3"/>
  <c r="BF68" i="3"/>
  <c r="BF69" i="3"/>
  <c r="BF70" i="3"/>
  <c r="BF71" i="3"/>
  <c r="BF72" i="3"/>
  <c r="BF73" i="3"/>
  <c r="BF74" i="3"/>
  <c r="BF75" i="3"/>
  <c r="BF76" i="3"/>
  <c r="BF77" i="3"/>
  <c r="BF78" i="3"/>
  <c r="BF79" i="3"/>
  <c r="BF80" i="3"/>
  <c r="BF81" i="3"/>
  <c r="BF82" i="3"/>
  <c r="BF83" i="3"/>
  <c r="BF84" i="3"/>
  <c r="BF85" i="3"/>
  <c r="BF86" i="3"/>
  <c r="BF87" i="3"/>
  <c r="BF88" i="3"/>
  <c r="BF89" i="3"/>
  <c r="BF90" i="3"/>
  <c r="BF91" i="3"/>
  <c r="BF92" i="3"/>
  <c r="BF93" i="3"/>
  <c r="BF94" i="3"/>
  <c r="BF95" i="3"/>
  <c r="BF96" i="3"/>
  <c r="BF97" i="3"/>
  <c r="BF98" i="3"/>
  <c r="BF99" i="3"/>
  <c r="BF100" i="3"/>
  <c r="BF101" i="3"/>
  <c r="BF102" i="3"/>
  <c r="BF103" i="3"/>
  <c r="BF104" i="3"/>
  <c r="BF105" i="3"/>
  <c r="BF106" i="3"/>
  <c r="BF107" i="3"/>
  <c r="BF108" i="3"/>
  <c r="BF109" i="3"/>
  <c r="BF110" i="3"/>
  <c r="BF111" i="3"/>
  <c r="BF112" i="3"/>
  <c r="BF113" i="3"/>
  <c r="BF114" i="3"/>
  <c r="BF115" i="3"/>
  <c r="BF116" i="3"/>
  <c r="BF117" i="3"/>
  <c r="BF118" i="3"/>
  <c r="BF119" i="3"/>
  <c r="BF120" i="3"/>
  <c r="BF121" i="3"/>
  <c r="BF122" i="3"/>
  <c r="BF123" i="3"/>
  <c r="BF124" i="3"/>
  <c r="BF125" i="3"/>
  <c r="BF126" i="3"/>
  <c r="BF127" i="3"/>
  <c r="BF128" i="3"/>
  <c r="BF129" i="3"/>
  <c r="BF130" i="3"/>
  <c r="BF131" i="3"/>
  <c r="BF132" i="3"/>
  <c r="BF133" i="3"/>
  <c r="BF134" i="3"/>
  <c r="BF135" i="3"/>
  <c r="BF136" i="3"/>
  <c r="BF137" i="3"/>
  <c r="BF138" i="3"/>
  <c r="BF139" i="3"/>
  <c r="BF140" i="3"/>
  <c r="BF141" i="3"/>
  <c r="BF142" i="3"/>
  <c r="BF143" i="3"/>
  <c r="BF144" i="3"/>
  <c r="BF145" i="3"/>
  <c r="BF146" i="3"/>
  <c r="BF147" i="3"/>
  <c r="BF148" i="3"/>
  <c r="BF149" i="3"/>
  <c r="BF150" i="3"/>
  <c r="BF151" i="3"/>
  <c r="BF152" i="3"/>
  <c r="BF153" i="3"/>
  <c r="BF154" i="3"/>
  <c r="BF155" i="3"/>
  <c r="BF156" i="3"/>
  <c r="BF157" i="3"/>
  <c r="BF158" i="3"/>
  <c r="BF159" i="3"/>
  <c r="BF160" i="3"/>
  <c r="BF161" i="3"/>
  <c r="BF162" i="3"/>
  <c r="BF163" i="3"/>
  <c r="BF164" i="3"/>
  <c r="BF165" i="3"/>
  <c r="BF166" i="3"/>
  <c r="BF167" i="3"/>
  <c r="BF168" i="3"/>
  <c r="BF169" i="3"/>
  <c r="BF170" i="3"/>
  <c r="BF171" i="3"/>
  <c r="BF172" i="3"/>
  <c r="BF173" i="3"/>
  <c r="BF174" i="3"/>
  <c r="BF175" i="3"/>
  <c r="BF176" i="3"/>
  <c r="BF177" i="3"/>
  <c r="BF178" i="3"/>
  <c r="BF179" i="3"/>
  <c r="BF180" i="3"/>
  <c r="BF181" i="3"/>
  <c r="BF182" i="3"/>
  <c r="BF183" i="3"/>
  <c r="BF184" i="3"/>
  <c r="BF185" i="3"/>
  <c r="BF186" i="3"/>
  <c r="BF187" i="3"/>
  <c r="BF188" i="3"/>
  <c r="BF189" i="3"/>
  <c r="BF190" i="3"/>
  <c r="BF191" i="3"/>
  <c r="BF192" i="3"/>
  <c r="BF193" i="3"/>
  <c r="BF194" i="3"/>
  <c r="BF195" i="3"/>
  <c r="BF196" i="3"/>
  <c r="BF197" i="3"/>
  <c r="BF198" i="3"/>
  <c r="BF199" i="3"/>
  <c r="BF200" i="3"/>
  <c r="BF201" i="3"/>
  <c r="BF202" i="3"/>
  <c r="BF203" i="3"/>
  <c r="BF204" i="3"/>
  <c r="BF205" i="3"/>
  <c r="BF206" i="3"/>
  <c r="BF207" i="3"/>
  <c r="BF208" i="3"/>
  <c r="BF209" i="3"/>
  <c r="BF210" i="3"/>
  <c r="BF211" i="3"/>
  <c r="BF212" i="3"/>
  <c r="BF213" i="3"/>
  <c r="BF214" i="3"/>
  <c r="BF215" i="3"/>
  <c r="BF216" i="3"/>
  <c r="BF217" i="3"/>
  <c r="BF218" i="3"/>
  <c r="BF219" i="3"/>
  <c r="BF220" i="3"/>
  <c r="BF221" i="3"/>
  <c r="BF222" i="3"/>
  <c r="BF223" i="3"/>
  <c r="BF224" i="3"/>
  <c r="BF225" i="3"/>
  <c r="BF226" i="3"/>
  <c r="BF227" i="3"/>
  <c r="BF228" i="3"/>
  <c r="BF229" i="3"/>
  <c r="BF230" i="3"/>
  <c r="BF231" i="3"/>
  <c r="BF232" i="3"/>
  <c r="BF233" i="3"/>
  <c r="BF234" i="3"/>
  <c r="BF235" i="3"/>
  <c r="BF236" i="3"/>
  <c r="BF237" i="3"/>
  <c r="BF238" i="3"/>
  <c r="BF239" i="3"/>
  <c r="BF240" i="3"/>
  <c r="BF241" i="3"/>
  <c r="BF242" i="3"/>
  <c r="BF243" i="3"/>
  <c r="BF244" i="3"/>
  <c r="BF245" i="3"/>
  <c r="BF246" i="3"/>
  <c r="BF247" i="3"/>
  <c r="BF248" i="3"/>
  <c r="BF249" i="3"/>
  <c r="BF250" i="3"/>
  <c r="BF251" i="3"/>
  <c r="BF252" i="3"/>
  <c r="BF253" i="3"/>
  <c r="BF254" i="3"/>
  <c r="BF255" i="3"/>
  <c r="BF256" i="3"/>
  <c r="BF257" i="3"/>
  <c r="BF258" i="3"/>
  <c r="BF259" i="3"/>
  <c r="BF260" i="3"/>
  <c r="BF261" i="3"/>
  <c r="BF262" i="3"/>
  <c r="BF263" i="3"/>
  <c r="BF264" i="3"/>
  <c r="BF265" i="3"/>
  <c r="BF266" i="3"/>
  <c r="BF267" i="3"/>
  <c r="BF268" i="3"/>
  <c r="BF269" i="3"/>
  <c r="BF270" i="3"/>
  <c r="BF271" i="3"/>
  <c r="BF272" i="3"/>
  <c r="BF273" i="3"/>
  <c r="BF274" i="3"/>
  <c r="BF275" i="3"/>
  <c r="BF276" i="3"/>
  <c r="BF277" i="3"/>
  <c r="BF278" i="3"/>
  <c r="BF279" i="3"/>
  <c r="BF280" i="3"/>
  <c r="BF281" i="3"/>
  <c r="BF282" i="3"/>
  <c r="BF283" i="3"/>
  <c r="BF284" i="3"/>
  <c r="BF285" i="3"/>
  <c r="BF286" i="3"/>
  <c r="BF287" i="3"/>
  <c r="BF288" i="3"/>
  <c r="BF289" i="3"/>
  <c r="BF290" i="3"/>
  <c r="BF291" i="3"/>
  <c r="BF292" i="3"/>
  <c r="BF293" i="3"/>
  <c r="BF294" i="3"/>
  <c r="BF295" i="3"/>
  <c r="BF296" i="3"/>
  <c r="BF297" i="3"/>
  <c r="BF298" i="3"/>
  <c r="BF299" i="3"/>
  <c r="BF300" i="3"/>
  <c r="BF301" i="3"/>
  <c r="BF302" i="3"/>
  <c r="BF303" i="3"/>
  <c r="BF304" i="3"/>
  <c r="BF305" i="3"/>
  <c r="BF306" i="3"/>
  <c r="BF307" i="3"/>
  <c r="BF308" i="3"/>
  <c r="BF309" i="3"/>
  <c r="BF310" i="3"/>
  <c r="BF311" i="3"/>
  <c r="BF312" i="3"/>
  <c r="BF313" i="3"/>
  <c r="BF314" i="3"/>
  <c r="BF315" i="3"/>
  <c r="BF316" i="3"/>
  <c r="BF317" i="3"/>
  <c r="BF318" i="3"/>
  <c r="BF319" i="3"/>
  <c r="BF320" i="3"/>
  <c r="BF321" i="3"/>
  <c r="BF322" i="3"/>
  <c r="BF323" i="3"/>
  <c r="BF324" i="3"/>
  <c r="BF325" i="3"/>
  <c r="BF326" i="3"/>
  <c r="BF327" i="3"/>
  <c r="BF328" i="3"/>
  <c r="BF329" i="3"/>
  <c r="BF330" i="3"/>
  <c r="BF331" i="3"/>
  <c r="BF332" i="3"/>
  <c r="BF333" i="3"/>
  <c r="BF334" i="3"/>
  <c r="BF335" i="3"/>
  <c r="BF336" i="3"/>
  <c r="BF337" i="3"/>
  <c r="BF338" i="3"/>
  <c r="BF339" i="3"/>
  <c r="BF340" i="3"/>
  <c r="BF341" i="3"/>
  <c r="BF342" i="3"/>
  <c r="BF343" i="3"/>
  <c r="BF344" i="3"/>
  <c r="BF345" i="3"/>
  <c r="BF346" i="3"/>
  <c r="BF347" i="3"/>
  <c r="BF348" i="3"/>
  <c r="BF349" i="3"/>
  <c r="BF350" i="3"/>
  <c r="BF351" i="3"/>
  <c r="BF352" i="3"/>
  <c r="BF353" i="3"/>
  <c r="BF354" i="3"/>
  <c r="BF355" i="3"/>
  <c r="BF356" i="3"/>
  <c r="BF357" i="3"/>
  <c r="BF358" i="3"/>
  <c r="BF359" i="3"/>
  <c r="BF360" i="3"/>
  <c r="BF361" i="3"/>
  <c r="BF362" i="3"/>
  <c r="BF363" i="3"/>
  <c r="BF364" i="3"/>
  <c r="BF365" i="3"/>
  <c r="BF366" i="3"/>
  <c r="BF367" i="3"/>
  <c r="BF368" i="3"/>
  <c r="BF369" i="3"/>
  <c r="BF370" i="3"/>
  <c r="BF371" i="3"/>
  <c r="BF372" i="3"/>
  <c r="BF373" i="3"/>
  <c r="BF374" i="3"/>
  <c r="BF375" i="3"/>
  <c r="BF376" i="3"/>
  <c r="BF377" i="3"/>
  <c r="BF378" i="3"/>
  <c r="BF379" i="3"/>
  <c r="BF380" i="3"/>
  <c r="BF381" i="3"/>
  <c r="BF382" i="3"/>
  <c r="BF383" i="3"/>
  <c r="BF384" i="3"/>
  <c r="BF385" i="3"/>
  <c r="BF386" i="3"/>
  <c r="BF387" i="3"/>
  <c r="BF388" i="3"/>
  <c r="BF389" i="3"/>
  <c r="BF390" i="3"/>
  <c r="BF391" i="3"/>
  <c r="BF392" i="3"/>
  <c r="BF393" i="3"/>
  <c r="BF394" i="3"/>
  <c r="BF395" i="3"/>
  <c r="BF396" i="3"/>
  <c r="BF397" i="3"/>
  <c r="BF398" i="3"/>
  <c r="BF399" i="3"/>
  <c r="BF400" i="3"/>
  <c r="BF401" i="3"/>
  <c r="BF402" i="3"/>
  <c r="BF403" i="3"/>
  <c r="BF404" i="3"/>
  <c r="BF405" i="3"/>
  <c r="BF406" i="3"/>
  <c r="BF407" i="3"/>
  <c r="BF408" i="3"/>
  <c r="BF409" i="3"/>
  <c r="BF410" i="3"/>
  <c r="BF411" i="3"/>
  <c r="BF412" i="3"/>
  <c r="BF413" i="3"/>
  <c r="BF414" i="3"/>
  <c r="BF415" i="3"/>
  <c r="BF416" i="3"/>
  <c r="BF417" i="3"/>
  <c r="BF418" i="3"/>
  <c r="BF419" i="3"/>
  <c r="BF420" i="3"/>
  <c r="BF421" i="3"/>
  <c r="BF422" i="3"/>
  <c r="BF423" i="3"/>
  <c r="BF424" i="3"/>
  <c r="BF425" i="3"/>
  <c r="BF426" i="3"/>
  <c r="BF427" i="3"/>
  <c r="BF428" i="3"/>
  <c r="BF429" i="3"/>
  <c r="BF430" i="3"/>
  <c r="BF431" i="3"/>
  <c r="BF432" i="3"/>
  <c r="BF433" i="3"/>
  <c r="BF434" i="3"/>
  <c r="BF435" i="3"/>
  <c r="BF436" i="3"/>
  <c r="BF437" i="3"/>
  <c r="BF438" i="3"/>
  <c r="BF439" i="3"/>
  <c r="BF440" i="3"/>
  <c r="BF441" i="3"/>
  <c r="BF442" i="3"/>
  <c r="BF443" i="3"/>
  <c r="BF444" i="3"/>
  <c r="BF445" i="3"/>
  <c r="BF446" i="3"/>
  <c r="BF447" i="3"/>
  <c r="BF448" i="3"/>
  <c r="BF449" i="3"/>
  <c r="BF450" i="3"/>
  <c r="BF451" i="3"/>
  <c r="BF452" i="3"/>
  <c r="BF453" i="3"/>
  <c r="BF454" i="3"/>
  <c r="BF455" i="3"/>
  <c r="BF456" i="3"/>
  <c r="BF457" i="3"/>
  <c r="BF458" i="3"/>
  <c r="BF459" i="3"/>
  <c r="BF460" i="3"/>
  <c r="BF461" i="3"/>
  <c r="BF462" i="3"/>
  <c r="BF463" i="3"/>
  <c r="BF464" i="3"/>
  <c r="BF465" i="3"/>
  <c r="BF466" i="3"/>
  <c r="BF467" i="3"/>
  <c r="BF468" i="3"/>
  <c r="BF469" i="3"/>
  <c r="BF470" i="3"/>
  <c r="BF471" i="3"/>
  <c r="BF472" i="3"/>
  <c r="BF473" i="3"/>
  <c r="BF474" i="3"/>
  <c r="BF475" i="3"/>
  <c r="BF476" i="3"/>
  <c r="BF477" i="3"/>
  <c r="BF478" i="3"/>
  <c r="BF479" i="3"/>
  <c r="BF480" i="3"/>
  <c r="BF481" i="3"/>
  <c r="BF482" i="3"/>
  <c r="BF483" i="3"/>
  <c r="BF484" i="3"/>
  <c r="BF485" i="3"/>
  <c r="BF486" i="3"/>
  <c r="BF487" i="3"/>
  <c r="BF488" i="3"/>
  <c r="BF489" i="3"/>
  <c r="BF490" i="3"/>
  <c r="BF491" i="3"/>
  <c r="BF492" i="3"/>
  <c r="BF493" i="3"/>
  <c r="BF494" i="3"/>
  <c r="BF495" i="3"/>
  <c r="BF496" i="3"/>
  <c r="BF497" i="3"/>
  <c r="BF498" i="3"/>
  <c r="BF499" i="3"/>
  <c r="BF500" i="3"/>
  <c r="BF501" i="3"/>
  <c r="BF502" i="3"/>
  <c r="BF503" i="3"/>
  <c r="BF504" i="3"/>
  <c r="BF505" i="3"/>
  <c r="BF506" i="3"/>
  <c r="BF507" i="3"/>
  <c r="BF508" i="3"/>
  <c r="BF509" i="3"/>
  <c r="BF510" i="3"/>
  <c r="BF511" i="3"/>
  <c r="BF512" i="3"/>
  <c r="BF513" i="3"/>
  <c r="BF514" i="3"/>
  <c r="BF515" i="3"/>
  <c r="BF516" i="3"/>
  <c r="BF517" i="3"/>
  <c r="BF518" i="3"/>
  <c r="BF519" i="3"/>
  <c r="BF520" i="3"/>
  <c r="BF521" i="3"/>
  <c r="BF522" i="3"/>
  <c r="BF523" i="3"/>
  <c r="BF524" i="3"/>
  <c r="BF525" i="3"/>
  <c r="BF526" i="3"/>
  <c r="BF527" i="3"/>
  <c r="BF528" i="3"/>
  <c r="BF529" i="3"/>
  <c r="BF530" i="3"/>
  <c r="BF531" i="3"/>
  <c r="BF532" i="3"/>
  <c r="BF533" i="3"/>
  <c r="BF534" i="3"/>
  <c r="BF535" i="3"/>
  <c r="BF536" i="3"/>
  <c r="BF537" i="3"/>
  <c r="BF538" i="3"/>
  <c r="BF539" i="3"/>
  <c r="BF540" i="3"/>
  <c r="BF541" i="3"/>
  <c r="BF542" i="3"/>
  <c r="BF543" i="3"/>
  <c r="BF544" i="3"/>
  <c r="BF545" i="3"/>
  <c r="BF546" i="3"/>
  <c r="BF547" i="3"/>
  <c r="BF548" i="3"/>
  <c r="BF549" i="3"/>
  <c r="BF550" i="3"/>
  <c r="BF551" i="3"/>
  <c r="BF552" i="3"/>
  <c r="BF553" i="3"/>
  <c r="BF554" i="3"/>
  <c r="BF555" i="3"/>
  <c r="BF556" i="3"/>
  <c r="BF557" i="3"/>
  <c r="BF558" i="3"/>
  <c r="BF559" i="3"/>
  <c r="BF560" i="3"/>
  <c r="BF561" i="3"/>
  <c r="BF562" i="3"/>
  <c r="BF563" i="3"/>
  <c r="BF564" i="3"/>
  <c r="BF565" i="3"/>
  <c r="BF566" i="3"/>
  <c r="BF567" i="3"/>
  <c r="BF568" i="3"/>
  <c r="BF569" i="3"/>
  <c r="BF570" i="3"/>
  <c r="BF571" i="3"/>
  <c r="BF572" i="3"/>
  <c r="BF573" i="3"/>
  <c r="BF574" i="3"/>
  <c r="BF575" i="3"/>
  <c r="BF576" i="3"/>
  <c r="BF577" i="3"/>
  <c r="BF578" i="3"/>
  <c r="BF579" i="3"/>
  <c r="BF580" i="3"/>
  <c r="BF581" i="3"/>
  <c r="BF582" i="3"/>
  <c r="BF583" i="3"/>
  <c r="BF584" i="3"/>
  <c r="BF585" i="3"/>
  <c r="BF586" i="3"/>
  <c r="BF587" i="3"/>
  <c r="BF588" i="3"/>
  <c r="BF589" i="3"/>
  <c r="BF590" i="3"/>
  <c r="BF591" i="3"/>
  <c r="BF592" i="3"/>
  <c r="BF593" i="3"/>
  <c r="BF594" i="3"/>
  <c r="BF595" i="3"/>
  <c r="BF596" i="3"/>
  <c r="BF597" i="3"/>
  <c r="BF598" i="3"/>
  <c r="BF599" i="3"/>
  <c r="BF600" i="3"/>
  <c r="BF601" i="3"/>
  <c r="BF602" i="3"/>
  <c r="BF603" i="3"/>
  <c r="BF604" i="3"/>
  <c r="BF605" i="3"/>
  <c r="BF606" i="3"/>
  <c r="BF607" i="3"/>
  <c r="BF608" i="3"/>
  <c r="BF609" i="3"/>
  <c r="BF610" i="3"/>
  <c r="BF611" i="3"/>
  <c r="BF612" i="3"/>
  <c r="BF613" i="3"/>
  <c r="BF614" i="3"/>
  <c r="BF615" i="3"/>
  <c r="BF616" i="3"/>
  <c r="BF617" i="3"/>
  <c r="BF618" i="3"/>
  <c r="BF619" i="3"/>
  <c r="BF620" i="3"/>
  <c r="BF621" i="3"/>
  <c r="BF622" i="3"/>
  <c r="BF623" i="3"/>
  <c r="BF624" i="3"/>
  <c r="BF625" i="3"/>
  <c r="BF626" i="3"/>
  <c r="BF627" i="3"/>
  <c r="BF628" i="3"/>
  <c r="BF629" i="3"/>
  <c r="BF630" i="3"/>
  <c r="BF631" i="3"/>
  <c r="BF632" i="3"/>
  <c r="BF633" i="3"/>
  <c r="BF634" i="3"/>
  <c r="BF635" i="3"/>
  <c r="BF636" i="3"/>
  <c r="BF637" i="3"/>
  <c r="BF638" i="3"/>
  <c r="BF639" i="3"/>
  <c r="BF640" i="3"/>
  <c r="BF641" i="3"/>
  <c r="BF642" i="3"/>
  <c r="BF643" i="3"/>
  <c r="BF644" i="3"/>
  <c r="BF645" i="3"/>
  <c r="BF646" i="3"/>
  <c r="BF647" i="3"/>
  <c r="BF648" i="3"/>
  <c r="BF649" i="3"/>
  <c r="BF650" i="3"/>
  <c r="BF651" i="3"/>
  <c r="BF652" i="3"/>
  <c r="BF653" i="3"/>
  <c r="BF654" i="3"/>
  <c r="BF655" i="3"/>
  <c r="BF656" i="3"/>
  <c r="BF657" i="3"/>
  <c r="BF658" i="3"/>
  <c r="BF659" i="3"/>
  <c r="BF660" i="3"/>
  <c r="BF661" i="3"/>
  <c r="BF662" i="3"/>
  <c r="BF663" i="3"/>
  <c r="BF664" i="3"/>
  <c r="BF665" i="3"/>
  <c r="BF666" i="3"/>
  <c r="BF667" i="3"/>
  <c r="BF668" i="3"/>
  <c r="BF669" i="3"/>
  <c r="BF670" i="3"/>
  <c r="BF671" i="3"/>
  <c r="BF672" i="3"/>
  <c r="BF673" i="3"/>
  <c r="BF674" i="3"/>
  <c r="BF675" i="3"/>
  <c r="BF676" i="3"/>
  <c r="BF677" i="3"/>
  <c r="BF678" i="3"/>
  <c r="BF679" i="3"/>
  <c r="BF680" i="3"/>
  <c r="BF681" i="3"/>
  <c r="BF682" i="3"/>
  <c r="BF683" i="3"/>
  <c r="BF684" i="3"/>
  <c r="BF685" i="3"/>
  <c r="BF686" i="3"/>
  <c r="BF687" i="3"/>
  <c r="BF688" i="3"/>
  <c r="BF689" i="3"/>
  <c r="BF690" i="3"/>
  <c r="BF691" i="3"/>
  <c r="BF692" i="3"/>
  <c r="BF693" i="3"/>
  <c r="BF694" i="3"/>
  <c r="BF695" i="3"/>
  <c r="BF696" i="3"/>
  <c r="BF697" i="3"/>
  <c r="BF698" i="3"/>
  <c r="BF699" i="3"/>
  <c r="BF700" i="3"/>
  <c r="BF701" i="3"/>
  <c r="BF702" i="3"/>
  <c r="BF703" i="3"/>
  <c r="BF704" i="3"/>
  <c r="BF705" i="3"/>
  <c r="BF706" i="3"/>
  <c r="BF707" i="3"/>
  <c r="BF708" i="3"/>
  <c r="BF709" i="3"/>
  <c r="BF710" i="3"/>
  <c r="BF711" i="3"/>
  <c r="BF712" i="3"/>
  <c r="BF713" i="3"/>
  <c r="BF714" i="3"/>
  <c r="BF715" i="3"/>
  <c r="BF716" i="3"/>
  <c r="BF717" i="3"/>
  <c r="BF718" i="3"/>
  <c r="BF719" i="3"/>
  <c r="BF720" i="3"/>
  <c r="BF721" i="3"/>
  <c r="BF722" i="3"/>
  <c r="BF723" i="3"/>
  <c r="BF724" i="3"/>
  <c r="BF725" i="3"/>
  <c r="BF726" i="3"/>
  <c r="BF727" i="3"/>
  <c r="BF728" i="3"/>
  <c r="BF729" i="3"/>
  <c r="BF730" i="3"/>
  <c r="BF731" i="3"/>
  <c r="BF732" i="3"/>
  <c r="BF733" i="3"/>
  <c r="BF734" i="3"/>
  <c r="BF735" i="3"/>
  <c r="BF736" i="3"/>
  <c r="BF737" i="3"/>
  <c r="BF738" i="3"/>
  <c r="BF739" i="3"/>
  <c r="BF740" i="3"/>
  <c r="BF741" i="3"/>
  <c r="BF742" i="3"/>
  <c r="BF743" i="3"/>
  <c r="BF744" i="3"/>
  <c r="BF745" i="3"/>
  <c r="BF746" i="3"/>
  <c r="BF747" i="3"/>
  <c r="BF748" i="3"/>
  <c r="BF749" i="3"/>
  <c r="BF750" i="3"/>
  <c r="BF751" i="3"/>
  <c r="BF752" i="3"/>
  <c r="BF753" i="3"/>
  <c r="BF754" i="3"/>
  <c r="BF755" i="3"/>
  <c r="BF756" i="3"/>
  <c r="BF757" i="3"/>
  <c r="BF758" i="3"/>
  <c r="BF759" i="3"/>
  <c r="BF760" i="3"/>
  <c r="BF761" i="3"/>
  <c r="BF762" i="3"/>
  <c r="BF763" i="3"/>
  <c r="BF764" i="3"/>
  <c r="BF765" i="3"/>
  <c r="BF766" i="3"/>
  <c r="BF767" i="3"/>
  <c r="BF768" i="3"/>
  <c r="BF769" i="3"/>
  <c r="BF770" i="3"/>
  <c r="BF771" i="3"/>
  <c r="BF772" i="3"/>
  <c r="BF773" i="3"/>
  <c r="BF774" i="3"/>
  <c r="BF775" i="3"/>
  <c r="BF776" i="3"/>
  <c r="BF777" i="3"/>
  <c r="BF778" i="3"/>
  <c r="BF779" i="3"/>
  <c r="BF780" i="3"/>
  <c r="BF781" i="3"/>
  <c r="BF782" i="3"/>
  <c r="BF783" i="3"/>
  <c r="BF784" i="3"/>
  <c r="BF785" i="3"/>
  <c r="BF786" i="3"/>
  <c r="BF787" i="3"/>
  <c r="BF788" i="3"/>
  <c r="BF789" i="3"/>
  <c r="BF790" i="3"/>
  <c r="BF791" i="3"/>
  <c r="BF792" i="3"/>
  <c r="BF793" i="3"/>
  <c r="BF794" i="3"/>
  <c r="BF795" i="3"/>
  <c r="BF796" i="3"/>
  <c r="BF797" i="3"/>
  <c r="BF798" i="3"/>
  <c r="BF799" i="3"/>
  <c r="BF800" i="3"/>
  <c r="BF801" i="3"/>
  <c r="BF802" i="3"/>
  <c r="BF803" i="3"/>
  <c r="BF804" i="3"/>
  <c r="BF805" i="3"/>
  <c r="BF806" i="3"/>
  <c r="BF807" i="3"/>
  <c r="BF808" i="3"/>
  <c r="BF809" i="3"/>
  <c r="BF810" i="3"/>
  <c r="BF811" i="3"/>
  <c r="BF812" i="3"/>
  <c r="BF813" i="3"/>
  <c r="BF814" i="3"/>
  <c r="BF815" i="3"/>
  <c r="BF816" i="3"/>
  <c r="BF817" i="3"/>
  <c r="BF818" i="3"/>
  <c r="BF819" i="3"/>
  <c r="BF820" i="3"/>
  <c r="BF821" i="3"/>
  <c r="BF822" i="3"/>
  <c r="BF823" i="3"/>
  <c r="BF824" i="3"/>
  <c r="BF825" i="3"/>
  <c r="BF826" i="3"/>
  <c r="BF827" i="3"/>
  <c r="BF828" i="3"/>
  <c r="BF829" i="3"/>
  <c r="BF830" i="3"/>
  <c r="BF831" i="3"/>
  <c r="BF832" i="3"/>
  <c r="BF833" i="3"/>
  <c r="BF834" i="3"/>
  <c r="BF835" i="3"/>
  <c r="BF836" i="3"/>
  <c r="BF837" i="3"/>
  <c r="BF838" i="3"/>
  <c r="BF839" i="3"/>
  <c r="BF840" i="3"/>
  <c r="BF841" i="3"/>
  <c r="BF842" i="3"/>
  <c r="BF843" i="3"/>
  <c r="BF844" i="3"/>
  <c r="BF845" i="3"/>
  <c r="BF846" i="3"/>
  <c r="BF847" i="3"/>
  <c r="BF848" i="3"/>
  <c r="BF849" i="3"/>
  <c r="BF850" i="3"/>
  <c r="BF851" i="3"/>
  <c r="BF852" i="3"/>
  <c r="BF853" i="3"/>
  <c r="BF854" i="3"/>
  <c r="BF855" i="3"/>
  <c r="BF856" i="3"/>
  <c r="BF857" i="3"/>
  <c r="BF858" i="3"/>
  <c r="BF859" i="3"/>
  <c r="BF860" i="3"/>
  <c r="BF861" i="3"/>
  <c r="BF862" i="3"/>
  <c r="BF863" i="3"/>
  <c r="BF864" i="3"/>
  <c r="BF865" i="3"/>
  <c r="BF866" i="3"/>
  <c r="BF867" i="3"/>
  <c r="BF868" i="3"/>
  <c r="BF869" i="3"/>
  <c r="BF870" i="3"/>
  <c r="BF871" i="3"/>
  <c r="BF872" i="3"/>
  <c r="BF873" i="3"/>
  <c r="BF874" i="3"/>
  <c r="BF875" i="3"/>
  <c r="BF876" i="3"/>
  <c r="BF877" i="3"/>
  <c r="BF878" i="3"/>
  <c r="BF879" i="3"/>
  <c r="BF880" i="3"/>
  <c r="BF881" i="3"/>
  <c r="BF882" i="3"/>
  <c r="BF883" i="3"/>
  <c r="BF884" i="3"/>
  <c r="BF885" i="3"/>
  <c r="BF886" i="3"/>
  <c r="BF887" i="3"/>
  <c r="BF888" i="3"/>
  <c r="BF889" i="3"/>
  <c r="BF890" i="3"/>
  <c r="BF891" i="3"/>
  <c r="BF892" i="3"/>
  <c r="BF893" i="3"/>
  <c r="BF894" i="3"/>
  <c r="BF895" i="3"/>
  <c r="BF896" i="3"/>
  <c r="BF897" i="3"/>
  <c r="BF898" i="3"/>
  <c r="BF899" i="3"/>
  <c r="BF900" i="3"/>
  <c r="BF901" i="3"/>
  <c r="BF902" i="3"/>
  <c r="BF903" i="3"/>
  <c r="BF904" i="3"/>
  <c r="BF905" i="3"/>
  <c r="BF906" i="3"/>
  <c r="BF907" i="3"/>
  <c r="BF908" i="3"/>
  <c r="BF909" i="3"/>
  <c r="BF910" i="3"/>
  <c r="BF911" i="3"/>
  <c r="BF912" i="3"/>
  <c r="BF913" i="3"/>
  <c r="BF914" i="3"/>
  <c r="BF915" i="3"/>
  <c r="BF916" i="3"/>
  <c r="BF917" i="3"/>
  <c r="BF918" i="3"/>
  <c r="BF919" i="3"/>
  <c r="BF920" i="3"/>
  <c r="BF921" i="3"/>
  <c r="BF922" i="3"/>
  <c r="BF923" i="3"/>
  <c r="BF924" i="3"/>
  <c r="BF925" i="3"/>
  <c r="BF926" i="3"/>
  <c r="BF927" i="3"/>
  <c r="BF928" i="3"/>
  <c r="BF929" i="3"/>
  <c r="BF930" i="3"/>
  <c r="BF931" i="3"/>
  <c r="BF932" i="3"/>
  <c r="BF933" i="3"/>
  <c r="BF934" i="3"/>
  <c r="BF935" i="3"/>
  <c r="BF936" i="3"/>
  <c r="BF937" i="3"/>
  <c r="BF938" i="3"/>
  <c r="BF939" i="3"/>
  <c r="BF940" i="3"/>
  <c r="BF941" i="3"/>
  <c r="BF942" i="3"/>
  <c r="BF943" i="3"/>
  <c r="BF944" i="3"/>
  <c r="BF945" i="3"/>
  <c r="BF946" i="3"/>
  <c r="BF947" i="3"/>
  <c r="BF948" i="3"/>
  <c r="BF949" i="3"/>
  <c r="BF950" i="3"/>
  <c r="BF951" i="3"/>
  <c r="BF952" i="3"/>
  <c r="BF953" i="3"/>
  <c r="BF954" i="3"/>
  <c r="BF955" i="3"/>
  <c r="BF956" i="3"/>
  <c r="BF957" i="3"/>
  <c r="BF958" i="3"/>
  <c r="BF959" i="3"/>
  <c r="BF960" i="3"/>
  <c r="BF961" i="3"/>
  <c r="BF962" i="3"/>
  <c r="BF963" i="3"/>
  <c r="BF964" i="3"/>
  <c r="BF965" i="3"/>
  <c r="BF966" i="3"/>
  <c r="BF967" i="3"/>
  <c r="BF968" i="3"/>
  <c r="BF969" i="3"/>
  <c r="BF970" i="3"/>
  <c r="BF971" i="3"/>
  <c r="BF972" i="3"/>
  <c r="BF973" i="3"/>
  <c r="BF974" i="3"/>
  <c r="BF975" i="3"/>
  <c r="BF976" i="3"/>
  <c r="BF977" i="3"/>
  <c r="BF978" i="3"/>
  <c r="BF979" i="3"/>
  <c r="BF980" i="3"/>
  <c r="BF981" i="3"/>
  <c r="BF982" i="3"/>
  <c r="BF983" i="3"/>
  <c r="BF984" i="3"/>
  <c r="BF985" i="3"/>
  <c r="BF986" i="3"/>
  <c r="BF987" i="3"/>
  <c r="BF988" i="3"/>
  <c r="BF989" i="3"/>
  <c r="BF990" i="3"/>
  <c r="BF991" i="3"/>
  <c r="BF992" i="3"/>
  <c r="BF993" i="3"/>
  <c r="BF994" i="3"/>
  <c r="BF995" i="3"/>
  <c r="BF996" i="3"/>
  <c r="BF997" i="3"/>
  <c r="BF998" i="3"/>
  <c r="BF999" i="3"/>
  <c r="BF1000" i="3"/>
  <c r="BF1001" i="3"/>
  <c r="BF1002" i="3"/>
  <c r="BF1003" i="3"/>
  <c r="BF1004" i="3"/>
  <c r="BF1005" i="3"/>
  <c r="BF1006" i="3"/>
  <c r="BF1007" i="3"/>
  <c r="BF1008" i="3"/>
  <c r="BF1009" i="3"/>
  <c r="BF1010" i="3"/>
  <c r="BF1011" i="3"/>
  <c r="BF1012" i="3"/>
  <c r="BF1013" i="3"/>
  <c r="BF1014" i="3"/>
  <c r="BF1015" i="3"/>
  <c r="BF1016" i="3"/>
  <c r="BF2" i="3"/>
  <c r="BE3" i="3"/>
  <c r="BE4" i="3"/>
  <c r="BE5" i="3"/>
  <c r="BE6" i="3"/>
  <c r="BE7" i="3"/>
  <c r="BE8" i="3"/>
  <c r="BE9" i="3"/>
  <c r="BE10" i="3"/>
  <c r="BE11" i="3"/>
  <c r="BE12" i="3"/>
  <c r="BE13" i="3"/>
  <c r="BE14" i="3"/>
  <c r="BE15" i="3"/>
  <c r="BE16" i="3"/>
  <c r="BE17" i="3"/>
  <c r="BE18" i="3"/>
  <c r="BE19" i="3"/>
  <c r="BE20" i="3"/>
  <c r="BE21" i="3"/>
  <c r="BE22" i="3"/>
  <c r="BE23" i="3"/>
  <c r="BE24" i="3"/>
  <c r="BE25" i="3"/>
  <c r="BE26" i="3"/>
  <c r="BE27" i="3"/>
  <c r="BE28" i="3"/>
  <c r="BE29" i="3"/>
  <c r="BE30" i="3"/>
  <c r="BE31" i="3"/>
  <c r="BE32" i="3"/>
  <c r="BE33" i="3"/>
  <c r="BE34" i="3"/>
  <c r="BE35" i="3"/>
  <c r="BE36" i="3"/>
  <c r="BE37" i="3"/>
  <c r="BE38" i="3"/>
  <c r="BE39" i="3"/>
  <c r="BE40" i="3"/>
  <c r="BE41" i="3"/>
  <c r="BE42" i="3"/>
  <c r="BE43" i="3"/>
  <c r="BE44" i="3"/>
  <c r="BE45" i="3"/>
  <c r="BE46" i="3"/>
  <c r="BE47" i="3"/>
  <c r="BE48" i="3"/>
  <c r="BE49" i="3"/>
  <c r="BE50" i="3"/>
  <c r="BE51" i="3"/>
  <c r="BE52" i="3"/>
  <c r="BE53" i="3"/>
  <c r="BE54" i="3"/>
  <c r="BE55" i="3"/>
  <c r="BE56" i="3"/>
  <c r="BE57" i="3"/>
  <c r="BE58" i="3"/>
  <c r="BE59" i="3"/>
  <c r="BE60" i="3"/>
  <c r="BE61" i="3"/>
  <c r="BE62" i="3"/>
  <c r="BE63" i="3"/>
  <c r="BE64" i="3"/>
  <c r="BE65" i="3"/>
  <c r="BE66" i="3"/>
  <c r="BE67" i="3"/>
  <c r="BE68" i="3"/>
  <c r="BE69" i="3"/>
  <c r="BE70" i="3"/>
  <c r="BE71" i="3"/>
  <c r="BE72" i="3"/>
  <c r="BE73" i="3"/>
  <c r="BE74" i="3"/>
  <c r="BE75" i="3"/>
  <c r="BE76" i="3"/>
  <c r="BE77" i="3"/>
  <c r="BE78" i="3"/>
  <c r="BE79" i="3"/>
  <c r="BE80" i="3"/>
  <c r="BE81" i="3"/>
  <c r="BE82" i="3"/>
  <c r="BE83" i="3"/>
  <c r="BE84" i="3"/>
  <c r="BE85" i="3"/>
  <c r="BE86" i="3"/>
  <c r="BE87" i="3"/>
  <c r="BE88" i="3"/>
  <c r="BE89" i="3"/>
  <c r="BE90" i="3"/>
  <c r="BE91" i="3"/>
  <c r="BE92" i="3"/>
  <c r="BE93" i="3"/>
  <c r="BE94" i="3"/>
  <c r="BE95" i="3"/>
  <c r="BE96" i="3"/>
  <c r="BE97" i="3"/>
  <c r="BE98" i="3"/>
  <c r="BE99" i="3"/>
  <c r="BE100" i="3"/>
  <c r="BE101" i="3"/>
  <c r="BE102" i="3"/>
  <c r="BE103" i="3"/>
  <c r="BE104" i="3"/>
  <c r="BE105" i="3"/>
  <c r="BE106" i="3"/>
  <c r="BE107" i="3"/>
  <c r="BE108" i="3"/>
  <c r="BE109" i="3"/>
  <c r="BE110" i="3"/>
  <c r="BE111" i="3"/>
  <c r="BE112" i="3"/>
  <c r="BE113" i="3"/>
  <c r="BE114" i="3"/>
  <c r="BE115" i="3"/>
  <c r="BE116" i="3"/>
  <c r="BE117" i="3"/>
  <c r="BE118" i="3"/>
  <c r="BE119" i="3"/>
  <c r="BE120" i="3"/>
  <c r="BE121" i="3"/>
  <c r="BE122" i="3"/>
  <c r="BE123" i="3"/>
  <c r="BE124" i="3"/>
  <c r="BE125" i="3"/>
  <c r="BE126" i="3"/>
  <c r="BE127" i="3"/>
  <c r="BE128" i="3"/>
  <c r="BE129" i="3"/>
  <c r="BE130" i="3"/>
  <c r="BE131" i="3"/>
  <c r="BE132" i="3"/>
  <c r="BE133" i="3"/>
  <c r="BE134" i="3"/>
  <c r="BE135" i="3"/>
  <c r="BE136" i="3"/>
  <c r="BE137" i="3"/>
  <c r="BE138" i="3"/>
  <c r="BE139" i="3"/>
  <c r="BE140" i="3"/>
  <c r="BE141" i="3"/>
  <c r="BE142" i="3"/>
  <c r="BE143" i="3"/>
  <c r="BE144" i="3"/>
  <c r="BE145" i="3"/>
  <c r="BE146" i="3"/>
  <c r="BE147" i="3"/>
  <c r="BE148" i="3"/>
  <c r="BE149" i="3"/>
  <c r="BE150" i="3"/>
  <c r="BE151" i="3"/>
  <c r="BE152" i="3"/>
  <c r="BE153" i="3"/>
  <c r="BE154" i="3"/>
  <c r="BE155" i="3"/>
  <c r="BE156" i="3"/>
  <c r="BE157" i="3"/>
  <c r="BE158" i="3"/>
  <c r="BE159" i="3"/>
  <c r="BE160" i="3"/>
  <c r="BE161" i="3"/>
  <c r="BE162" i="3"/>
  <c r="BE163" i="3"/>
  <c r="BE164" i="3"/>
  <c r="BE165" i="3"/>
  <c r="BE166" i="3"/>
  <c r="BE167" i="3"/>
  <c r="BE168" i="3"/>
  <c r="BE169" i="3"/>
  <c r="BE170" i="3"/>
  <c r="BE171" i="3"/>
  <c r="BE172" i="3"/>
  <c r="BE173" i="3"/>
  <c r="BE174" i="3"/>
  <c r="BE175" i="3"/>
  <c r="BE176" i="3"/>
  <c r="BE177" i="3"/>
  <c r="BE178" i="3"/>
  <c r="BE179" i="3"/>
  <c r="BE180" i="3"/>
  <c r="BE181" i="3"/>
  <c r="BE182" i="3"/>
  <c r="BE183" i="3"/>
  <c r="BE184" i="3"/>
  <c r="BE185" i="3"/>
  <c r="BE186" i="3"/>
  <c r="BE187" i="3"/>
  <c r="BE188" i="3"/>
  <c r="BE189" i="3"/>
  <c r="BE190" i="3"/>
  <c r="BE191" i="3"/>
  <c r="BE192" i="3"/>
  <c r="BE193" i="3"/>
  <c r="BE194" i="3"/>
  <c r="BE195" i="3"/>
  <c r="BE196" i="3"/>
  <c r="BE197" i="3"/>
  <c r="BE198" i="3"/>
  <c r="BE199" i="3"/>
  <c r="BE200" i="3"/>
  <c r="BE201" i="3"/>
  <c r="BE202" i="3"/>
  <c r="BE203" i="3"/>
  <c r="BE204" i="3"/>
  <c r="BE205" i="3"/>
  <c r="BE206" i="3"/>
  <c r="BE207" i="3"/>
  <c r="BE208" i="3"/>
  <c r="BE209" i="3"/>
  <c r="BE210" i="3"/>
  <c r="BE211" i="3"/>
  <c r="BE212" i="3"/>
  <c r="BE213" i="3"/>
  <c r="BE214" i="3"/>
  <c r="BE215" i="3"/>
  <c r="BE216" i="3"/>
  <c r="BE217" i="3"/>
  <c r="BE218" i="3"/>
  <c r="BE219" i="3"/>
  <c r="BE220" i="3"/>
  <c r="BE221" i="3"/>
  <c r="BE222" i="3"/>
  <c r="BE223" i="3"/>
  <c r="BE224" i="3"/>
  <c r="BE225" i="3"/>
  <c r="BE226" i="3"/>
  <c r="BE227" i="3"/>
  <c r="BE228" i="3"/>
  <c r="BE229" i="3"/>
  <c r="BE230" i="3"/>
  <c r="BE231" i="3"/>
  <c r="BE232" i="3"/>
  <c r="BE233" i="3"/>
  <c r="BE234" i="3"/>
  <c r="BE235" i="3"/>
  <c r="BE236" i="3"/>
  <c r="BE237" i="3"/>
  <c r="BE238" i="3"/>
  <c r="BE239" i="3"/>
  <c r="BE240" i="3"/>
  <c r="BE241" i="3"/>
  <c r="BE242" i="3"/>
  <c r="BE243" i="3"/>
  <c r="BE244" i="3"/>
  <c r="BE245" i="3"/>
  <c r="BE246" i="3"/>
  <c r="BE247" i="3"/>
  <c r="BE248" i="3"/>
  <c r="BE249" i="3"/>
  <c r="BE250" i="3"/>
  <c r="BE251" i="3"/>
  <c r="BE252" i="3"/>
  <c r="BE253" i="3"/>
  <c r="BE254" i="3"/>
  <c r="BE255" i="3"/>
  <c r="BE256" i="3"/>
  <c r="BE257" i="3"/>
  <c r="BE258" i="3"/>
  <c r="BE259" i="3"/>
  <c r="BE260" i="3"/>
  <c r="BE261" i="3"/>
  <c r="BE262" i="3"/>
  <c r="BE263" i="3"/>
  <c r="BE264" i="3"/>
  <c r="BE265" i="3"/>
  <c r="BE266" i="3"/>
  <c r="BE267" i="3"/>
  <c r="BE268" i="3"/>
  <c r="BE269" i="3"/>
  <c r="BE270" i="3"/>
  <c r="BE271" i="3"/>
  <c r="BE272" i="3"/>
  <c r="BE273" i="3"/>
  <c r="BE274" i="3"/>
  <c r="BE275" i="3"/>
  <c r="BE276" i="3"/>
  <c r="BE277" i="3"/>
  <c r="BE278" i="3"/>
  <c r="BE279" i="3"/>
  <c r="BE280" i="3"/>
  <c r="BE281" i="3"/>
  <c r="BE282" i="3"/>
  <c r="BE283" i="3"/>
  <c r="BE284" i="3"/>
  <c r="BE285" i="3"/>
  <c r="BE286" i="3"/>
  <c r="BE287" i="3"/>
  <c r="BE288" i="3"/>
  <c r="BE289" i="3"/>
  <c r="BE290" i="3"/>
  <c r="BE291" i="3"/>
  <c r="BE292" i="3"/>
  <c r="BE293" i="3"/>
  <c r="BE294" i="3"/>
  <c r="BE295" i="3"/>
  <c r="BE296" i="3"/>
  <c r="BE297" i="3"/>
  <c r="BE298" i="3"/>
  <c r="BE299" i="3"/>
  <c r="BE300" i="3"/>
  <c r="BE301" i="3"/>
  <c r="BE302" i="3"/>
  <c r="BE303" i="3"/>
  <c r="BE304" i="3"/>
  <c r="BE305" i="3"/>
  <c r="BE306" i="3"/>
  <c r="BE307" i="3"/>
  <c r="BE308" i="3"/>
  <c r="BE309" i="3"/>
  <c r="BE310" i="3"/>
  <c r="BE311" i="3"/>
  <c r="BE312" i="3"/>
  <c r="BE313" i="3"/>
  <c r="BE314" i="3"/>
  <c r="BE315" i="3"/>
  <c r="BE316" i="3"/>
  <c r="BE317" i="3"/>
  <c r="BE318" i="3"/>
  <c r="BE319" i="3"/>
  <c r="BE320" i="3"/>
  <c r="BE321" i="3"/>
  <c r="BE322" i="3"/>
  <c r="BE323" i="3"/>
  <c r="BE324" i="3"/>
  <c r="BE325" i="3"/>
  <c r="BE326" i="3"/>
  <c r="BE327" i="3"/>
  <c r="BE328" i="3"/>
  <c r="BE329" i="3"/>
  <c r="BE330" i="3"/>
  <c r="BE331" i="3"/>
  <c r="BE332" i="3"/>
  <c r="BE333" i="3"/>
  <c r="BE334" i="3"/>
  <c r="BE335" i="3"/>
  <c r="BE336" i="3"/>
  <c r="BE337" i="3"/>
  <c r="BE338" i="3"/>
  <c r="BE339" i="3"/>
  <c r="BE340" i="3"/>
  <c r="BE341" i="3"/>
  <c r="BE342" i="3"/>
  <c r="BE343" i="3"/>
  <c r="BE344" i="3"/>
  <c r="BE345" i="3"/>
  <c r="BE346" i="3"/>
  <c r="BE347" i="3"/>
  <c r="BE348" i="3"/>
  <c r="BE349" i="3"/>
  <c r="BE350" i="3"/>
  <c r="BE351" i="3"/>
  <c r="BE352" i="3"/>
  <c r="BE353" i="3"/>
  <c r="BE354" i="3"/>
  <c r="BE355" i="3"/>
  <c r="BE356" i="3"/>
  <c r="BE357" i="3"/>
  <c r="BE358" i="3"/>
  <c r="BE359" i="3"/>
  <c r="BE360" i="3"/>
  <c r="BE361" i="3"/>
  <c r="BE362" i="3"/>
  <c r="BE363" i="3"/>
  <c r="BE364" i="3"/>
  <c r="BE365" i="3"/>
  <c r="BE366" i="3"/>
  <c r="BE367" i="3"/>
  <c r="BE368" i="3"/>
  <c r="BE369" i="3"/>
  <c r="BE370" i="3"/>
  <c r="BE371" i="3"/>
  <c r="BE372" i="3"/>
  <c r="BE373" i="3"/>
  <c r="BE374" i="3"/>
  <c r="BE375" i="3"/>
  <c r="BE376" i="3"/>
  <c r="BE377" i="3"/>
  <c r="BE378" i="3"/>
  <c r="BE379" i="3"/>
  <c r="BE380" i="3"/>
  <c r="BE381" i="3"/>
  <c r="BE382" i="3"/>
  <c r="BE383" i="3"/>
  <c r="BE384" i="3"/>
  <c r="BE385" i="3"/>
  <c r="BE386" i="3"/>
  <c r="BE387" i="3"/>
  <c r="BE388" i="3"/>
  <c r="BE389" i="3"/>
  <c r="BE390" i="3"/>
  <c r="BE391" i="3"/>
  <c r="BE392" i="3"/>
  <c r="BE393" i="3"/>
  <c r="BE394" i="3"/>
  <c r="BE395" i="3"/>
  <c r="BE396" i="3"/>
  <c r="BE397" i="3"/>
  <c r="BE398" i="3"/>
  <c r="BE399" i="3"/>
  <c r="BE400" i="3"/>
  <c r="BE401" i="3"/>
  <c r="BE402" i="3"/>
  <c r="BE403" i="3"/>
  <c r="BE404" i="3"/>
  <c r="BE405" i="3"/>
  <c r="BE406" i="3"/>
  <c r="BE407" i="3"/>
  <c r="BE408" i="3"/>
  <c r="BE409" i="3"/>
  <c r="BE410" i="3"/>
  <c r="BE411" i="3"/>
  <c r="BE412" i="3"/>
  <c r="BE413" i="3"/>
  <c r="BE414" i="3"/>
  <c r="BE415" i="3"/>
  <c r="BE416" i="3"/>
  <c r="BE417" i="3"/>
  <c r="BE418" i="3"/>
  <c r="BE419" i="3"/>
  <c r="BE420" i="3"/>
  <c r="BE421" i="3"/>
  <c r="BE422" i="3"/>
  <c r="BE423" i="3"/>
  <c r="BE424" i="3"/>
  <c r="BE425" i="3"/>
  <c r="BE426" i="3"/>
  <c r="BE427" i="3"/>
  <c r="BE428" i="3"/>
  <c r="BE429" i="3"/>
  <c r="BE430" i="3"/>
  <c r="BE431" i="3"/>
  <c r="BE432" i="3"/>
  <c r="BE433" i="3"/>
  <c r="BE434" i="3"/>
  <c r="BE435" i="3"/>
  <c r="BE436" i="3"/>
  <c r="BE437" i="3"/>
  <c r="BE438" i="3"/>
  <c r="BE439" i="3"/>
  <c r="BE440" i="3"/>
  <c r="BE441" i="3"/>
  <c r="BE442" i="3"/>
  <c r="BE443" i="3"/>
  <c r="BE444" i="3"/>
  <c r="BE445" i="3"/>
  <c r="BE446" i="3"/>
  <c r="BE447" i="3"/>
  <c r="BE448" i="3"/>
  <c r="BE449" i="3"/>
  <c r="BE450" i="3"/>
  <c r="BE451" i="3"/>
  <c r="BE452" i="3"/>
  <c r="BE453" i="3"/>
  <c r="BE454" i="3"/>
  <c r="BE455" i="3"/>
  <c r="BE456" i="3"/>
  <c r="BE457" i="3"/>
  <c r="BE458" i="3"/>
  <c r="BE459" i="3"/>
  <c r="BE460" i="3"/>
  <c r="BE461" i="3"/>
  <c r="BE462" i="3"/>
  <c r="BE463" i="3"/>
  <c r="BE464" i="3"/>
  <c r="BE465" i="3"/>
  <c r="BE466" i="3"/>
  <c r="BE467" i="3"/>
  <c r="BE468" i="3"/>
  <c r="BE469" i="3"/>
  <c r="BE470" i="3"/>
  <c r="BE471" i="3"/>
  <c r="BE472" i="3"/>
  <c r="BE473" i="3"/>
  <c r="BE474" i="3"/>
  <c r="BE475" i="3"/>
  <c r="BE476" i="3"/>
  <c r="BE477" i="3"/>
  <c r="BE478" i="3"/>
  <c r="BE479" i="3"/>
  <c r="BE480" i="3"/>
  <c r="BE481" i="3"/>
  <c r="BE482" i="3"/>
  <c r="BE483" i="3"/>
  <c r="BE484" i="3"/>
  <c r="BE485" i="3"/>
  <c r="BE486" i="3"/>
  <c r="BE487" i="3"/>
  <c r="BE488" i="3"/>
  <c r="BE489" i="3"/>
  <c r="BE490" i="3"/>
  <c r="BE491" i="3"/>
  <c r="BE492" i="3"/>
  <c r="BE493" i="3"/>
  <c r="BE494" i="3"/>
  <c r="BE495" i="3"/>
  <c r="BE496" i="3"/>
  <c r="BE497" i="3"/>
  <c r="BE498" i="3"/>
  <c r="BE499" i="3"/>
  <c r="BE500" i="3"/>
  <c r="BE501" i="3"/>
  <c r="BE502" i="3"/>
  <c r="BE503" i="3"/>
  <c r="BE504" i="3"/>
  <c r="BE505" i="3"/>
  <c r="BE506" i="3"/>
  <c r="BE507" i="3"/>
  <c r="BE508" i="3"/>
  <c r="BE509" i="3"/>
  <c r="BE510" i="3"/>
  <c r="BE511" i="3"/>
  <c r="BE512" i="3"/>
  <c r="BE513" i="3"/>
  <c r="BE514" i="3"/>
  <c r="BE515" i="3"/>
  <c r="BE516" i="3"/>
  <c r="BE517" i="3"/>
  <c r="BE518" i="3"/>
  <c r="BE519" i="3"/>
  <c r="BE520" i="3"/>
  <c r="BE521" i="3"/>
  <c r="BE522" i="3"/>
  <c r="BE523" i="3"/>
  <c r="BE524" i="3"/>
  <c r="BE525" i="3"/>
  <c r="BE526" i="3"/>
  <c r="BE527" i="3"/>
  <c r="BE528" i="3"/>
  <c r="BE529" i="3"/>
  <c r="BE530" i="3"/>
  <c r="BE531" i="3"/>
  <c r="BE532" i="3"/>
  <c r="BE533" i="3"/>
  <c r="BE534" i="3"/>
  <c r="BE535" i="3"/>
  <c r="BE536" i="3"/>
  <c r="BE537" i="3"/>
  <c r="BE538" i="3"/>
  <c r="BE539" i="3"/>
  <c r="BE540" i="3"/>
  <c r="BE541" i="3"/>
  <c r="BE542" i="3"/>
  <c r="BE543" i="3"/>
  <c r="BE544" i="3"/>
  <c r="BE545" i="3"/>
  <c r="BE546" i="3"/>
  <c r="BE547" i="3"/>
  <c r="BE548" i="3"/>
  <c r="BE549" i="3"/>
  <c r="BE550" i="3"/>
  <c r="BE551" i="3"/>
  <c r="BE552" i="3"/>
  <c r="BE553" i="3"/>
  <c r="BE554" i="3"/>
  <c r="BE555" i="3"/>
  <c r="BE556" i="3"/>
  <c r="BE557" i="3"/>
  <c r="BE558" i="3"/>
  <c r="BE559" i="3"/>
  <c r="BE560" i="3"/>
  <c r="BE561" i="3"/>
  <c r="BE562" i="3"/>
  <c r="BE563" i="3"/>
  <c r="BE564" i="3"/>
  <c r="BE565" i="3"/>
  <c r="BE566" i="3"/>
  <c r="BE567" i="3"/>
  <c r="BE568" i="3"/>
  <c r="BE569" i="3"/>
  <c r="BE570" i="3"/>
  <c r="BE571" i="3"/>
  <c r="BE572" i="3"/>
  <c r="BE573" i="3"/>
  <c r="BE574" i="3"/>
  <c r="BE575" i="3"/>
  <c r="BE576" i="3"/>
  <c r="BE577" i="3"/>
  <c r="BE578" i="3"/>
  <c r="BE579" i="3"/>
  <c r="BE580" i="3"/>
  <c r="BE581" i="3"/>
  <c r="BE582" i="3"/>
  <c r="BE583" i="3"/>
  <c r="BE584" i="3"/>
  <c r="BE585" i="3"/>
  <c r="BE586" i="3"/>
  <c r="BE587" i="3"/>
  <c r="BE588" i="3"/>
  <c r="BE589" i="3"/>
  <c r="BE590" i="3"/>
  <c r="BE591" i="3"/>
  <c r="BE592" i="3"/>
  <c r="BE593" i="3"/>
  <c r="BE594" i="3"/>
  <c r="BE595" i="3"/>
  <c r="BE596" i="3"/>
  <c r="BE597" i="3"/>
  <c r="BE598" i="3"/>
  <c r="BE599" i="3"/>
  <c r="BE600" i="3"/>
  <c r="BE601" i="3"/>
  <c r="BE602" i="3"/>
  <c r="BE603" i="3"/>
  <c r="BE604" i="3"/>
  <c r="BE605" i="3"/>
  <c r="BE606" i="3"/>
  <c r="BE607" i="3"/>
  <c r="BE608" i="3"/>
  <c r="BE609" i="3"/>
  <c r="BE610" i="3"/>
  <c r="BE611" i="3"/>
  <c r="BE612" i="3"/>
  <c r="BE613" i="3"/>
  <c r="BE614" i="3"/>
  <c r="BE615" i="3"/>
  <c r="BE616" i="3"/>
  <c r="BE617" i="3"/>
  <c r="BE618" i="3"/>
  <c r="BE619" i="3"/>
  <c r="BE620" i="3"/>
  <c r="BE621" i="3"/>
  <c r="BE622" i="3"/>
  <c r="BE623" i="3"/>
  <c r="BE624" i="3"/>
  <c r="BE625" i="3"/>
  <c r="BE626" i="3"/>
  <c r="BE627" i="3"/>
  <c r="BE628" i="3"/>
  <c r="BE629" i="3"/>
  <c r="BE630" i="3"/>
  <c r="BE631" i="3"/>
  <c r="BE632" i="3"/>
  <c r="BE633" i="3"/>
  <c r="BE634" i="3"/>
  <c r="BE635" i="3"/>
  <c r="BE636" i="3"/>
  <c r="BE637" i="3"/>
  <c r="BE638" i="3"/>
  <c r="BE639" i="3"/>
  <c r="BE640" i="3"/>
  <c r="BE641" i="3"/>
  <c r="BE642" i="3"/>
  <c r="BE643" i="3"/>
  <c r="BE644" i="3"/>
  <c r="BE645" i="3"/>
  <c r="BE646" i="3"/>
  <c r="BE647" i="3"/>
  <c r="BE648" i="3"/>
  <c r="BE649" i="3"/>
  <c r="BE650" i="3"/>
  <c r="BE651" i="3"/>
  <c r="BE652" i="3"/>
  <c r="BE653" i="3"/>
  <c r="BE654" i="3"/>
  <c r="BE655" i="3"/>
  <c r="BE656" i="3"/>
  <c r="BE657" i="3"/>
  <c r="BE658" i="3"/>
  <c r="BE659" i="3"/>
  <c r="BE660" i="3"/>
  <c r="BE661" i="3"/>
  <c r="BE662" i="3"/>
  <c r="BE663" i="3"/>
  <c r="BE664" i="3"/>
  <c r="BE665" i="3"/>
  <c r="BE666" i="3"/>
  <c r="BE667" i="3"/>
  <c r="BE668" i="3"/>
  <c r="BE669" i="3"/>
  <c r="BE670" i="3"/>
  <c r="BE671" i="3"/>
  <c r="BE672" i="3"/>
  <c r="BE673" i="3"/>
  <c r="BE674" i="3"/>
  <c r="BE675" i="3"/>
  <c r="BE676" i="3"/>
  <c r="BE677" i="3"/>
  <c r="BE678" i="3"/>
  <c r="BE679" i="3"/>
  <c r="BE680" i="3"/>
  <c r="BE681" i="3"/>
  <c r="BE682" i="3"/>
  <c r="BE683" i="3"/>
  <c r="BE684" i="3"/>
  <c r="BE685" i="3"/>
  <c r="BE686" i="3"/>
  <c r="BE687" i="3"/>
  <c r="BE688" i="3"/>
  <c r="BE689" i="3"/>
  <c r="BE690" i="3"/>
  <c r="BE691" i="3"/>
  <c r="BE692" i="3"/>
  <c r="BE693" i="3"/>
  <c r="BE694" i="3"/>
  <c r="BE695" i="3"/>
  <c r="BE696" i="3"/>
  <c r="BE697" i="3"/>
  <c r="BE698" i="3"/>
  <c r="BE699" i="3"/>
  <c r="BE700" i="3"/>
  <c r="BE701" i="3"/>
  <c r="BE702" i="3"/>
  <c r="BE703" i="3"/>
  <c r="BE704" i="3"/>
  <c r="BE705" i="3"/>
  <c r="BE706" i="3"/>
  <c r="BE707" i="3"/>
  <c r="BE708" i="3"/>
  <c r="BE709" i="3"/>
  <c r="BE710" i="3"/>
  <c r="BE711" i="3"/>
  <c r="BE712" i="3"/>
  <c r="BE713" i="3"/>
  <c r="BE714" i="3"/>
  <c r="BE715" i="3"/>
  <c r="BE716" i="3"/>
  <c r="BE717" i="3"/>
  <c r="BE718" i="3"/>
  <c r="BE719" i="3"/>
  <c r="BE720" i="3"/>
  <c r="BE721" i="3"/>
  <c r="BE722" i="3"/>
  <c r="BE723" i="3"/>
  <c r="BE724" i="3"/>
  <c r="BE725" i="3"/>
  <c r="BE726" i="3"/>
  <c r="BE727" i="3"/>
  <c r="BE728" i="3"/>
  <c r="BE729" i="3"/>
  <c r="BE730" i="3"/>
  <c r="BE731" i="3"/>
  <c r="BE732" i="3"/>
  <c r="BE733" i="3"/>
  <c r="BE734" i="3"/>
  <c r="BE735" i="3"/>
  <c r="BE736" i="3"/>
  <c r="BE737" i="3"/>
  <c r="BE738" i="3"/>
  <c r="BE739" i="3"/>
  <c r="BE740" i="3"/>
  <c r="BE741" i="3"/>
  <c r="BE742" i="3"/>
  <c r="BE743" i="3"/>
  <c r="BE744" i="3"/>
  <c r="BE745" i="3"/>
  <c r="BE746" i="3"/>
  <c r="BE747" i="3"/>
  <c r="BE748" i="3"/>
  <c r="BE749" i="3"/>
  <c r="BE750" i="3"/>
  <c r="BE751" i="3"/>
  <c r="BE752" i="3"/>
  <c r="BE753" i="3"/>
  <c r="BE754" i="3"/>
  <c r="BE755" i="3"/>
  <c r="BE756" i="3"/>
  <c r="BE757" i="3"/>
  <c r="BE758" i="3"/>
  <c r="BE759" i="3"/>
  <c r="BE760" i="3"/>
  <c r="BE761" i="3"/>
  <c r="BE762" i="3"/>
  <c r="BE763" i="3"/>
  <c r="BE764" i="3"/>
  <c r="BE765" i="3"/>
  <c r="BE766" i="3"/>
  <c r="BE767" i="3"/>
  <c r="BE768" i="3"/>
  <c r="BE769" i="3"/>
  <c r="BE770" i="3"/>
  <c r="BE771" i="3"/>
  <c r="BE772" i="3"/>
  <c r="BE773" i="3"/>
  <c r="BE774" i="3"/>
  <c r="BE775" i="3"/>
  <c r="BE776" i="3"/>
  <c r="BE777" i="3"/>
  <c r="BE778" i="3"/>
  <c r="BE779" i="3"/>
  <c r="BE780" i="3"/>
  <c r="BE781" i="3"/>
  <c r="BE782" i="3"/>
  <c r="BE783" i="3"/>
  <c r="BE784" i="3"/>
  <c r="BE785" i="3"/>
  <c r="BE786" i="3"/>
  <c r="BE787" i="3"/>
  <c r="BE788" i="3"/>
  <c r="BE789" i="3"/>
  <c r="BE790" i="3"/>
  <c r="BE791" i="3"/>
  <c r="BE792" i="3"/>
  <c r="BE793" i="3"/>
  <c r="BE794" i="3"/>
  <c r="BE795" i="3"/>
  <c r="BE796" i="3"/>
  <c r="BE797" i="3"/>
  <c r="BE798" i="3"/>
  <c r="BE799" i="3"/>
  <c r="BE800" i="3"/>
  <c r="BE801" i="3"/>
  <c r="BE802" i="3"/>
  <c r="BE803" i="3"/>
  <c r="BE804" i="3"/>
  <c r="BE805" i="3"/>
  <c r="BE806" i="3"/>
  <c r="BE807" i="3"/>
  <c r="BE808" i="3"/>
  <c r="BE809" i="3"/>
  <c r="BE810" i="3"/>
  <c r="BE811" i="3"/>
  <c r="BE812" i="3"/>
  <c r="BE813" i="3"/>
  <c r="BE814" i="3"/>
  <c r="BE815" i="3"/>
  <c r="BE816" i="3"/>
  <c r="BE817" i="3"/>
  <c r="BE818" i="3"/>
  <c r="BE819" i="3"/>
  <c r="BE820" i="3"/>
  <c r="BE821" i="3"/>
  <c r="BE822" i="3"/>
  <c r="BE823" i="3"/>
  <c r="BE824" i="3"/>
  <c r="BE825" i="3"/>
  <c r="BE826" i="3"/>
  <c r="BE827" i="3"/>
  <c r="BE828" i="3"/>
  <c r="BE829" i="3"/>
  <c r="BE830" i="3"/>
  <c r="BE831" i="3"/>
  <c r="BE832" i="3"/>
  <c r="BE833" i="3"/>
  <c r="BE834" i="3"/>
  <c r="BE835" i="3"/>
  <c r="BE836" i="3"/>
  <c r="BE837" i="3"/>
  <c r="BE838" i="3"/>
  <c r="BE839" i="3"/>
  <c r="BE840" i="3"/>
  <c r="BE841" i="3"/>
  <c r="BE842" i="3"/>
  <c r="BE843" i="3"/>
  <c r="BE844" i="3"/>
  <c r="BE845" i="3"/>
  <c r="BE846" i="3"/>
  <c r="BE847" i="3"/>
  <c r="BE848" i="3"/>
  <c r="BE849" i="3"/>
  <c r="BE850" i="3"/>
  <c r="BE851" i="3"/>
  <c r="BE852" i="3"/>
  <c r="BE853" i="3"/>
  <c r="BE854" i="3"/>
  <c r="BE855" i="3"/>
  <c r="BE856" i="3"/>
  <c r="BE857" i="3"/>
  <c r="BE858" i="3"/>
  <c r="BE859" i="3"/>
  <c r="BE860" i="3"/>
  <c r="BE861" i="3"/>
  <c r="BE862" i="3"/>
  <c r="BE863" i="3"/>
  <c r="BE864" i="3"/>
  <c r="BE865" i="3"/>
  <c r="BE866" i="3"/>
  <c r="BE867" i="3"/>
  <c r="BE868" i="3"/>
  <c r="BE869" i="3"/>
  <c r="BE870" i="3"/>
  <c r="BE871" i="3"/>
  <c r="BE872" i="3"/>
  <c r="BE873" i="3"/>
  <c r="BE874" i="3"/>
  <c r="BE875" i="3"/>
  <c r="BE876" i="3"/>
  <c r="BE877" i="3"/>
  <c r="BE878" i="3"/>
  <c r="BE879" i="3"/>
  <c r="BE880" i="3"/>
  <c r="BE881" i="3"/>
  <c r="BE882" i="3"/>
  <c r="BE883" i="3"/>
  <c r="BE884" i="3"/>
  <c r="BE885" i="3"/>
  <c r="BE886" i="3"/>
  <c r="BE887" i="3"/>
  <c r="BE888" i="3"/>
  <c r="BE889" i="3"/>
  <c r="BE890" i="3"/>
  <c r="BE891" i="3"/>
  <c r="BE892" i="3"/>
  <c r="BE893" i="3"/>
  <c r="BE894" i="3"/>
  <c r="BE895" i="3"/>
  <c r="BE896" i="3"/>
  <c r="BE897" i="3"/>
  <c r="BE898" i="3"/>
  <c r="BE899" i="3"/>
  <c r="BE900" i="3"/>
  <c r="BE901" i="3"/>
  <c r="BE902" i="3"/>
  <c r="BE903" i="3"/>
  <c r="BE904" i="3"/>
  <c r="BE905" i="3"/>
  <c r="BE906" i="3"/>
  <c r="BE907" i="3"/>
  <c r="BE908" i="3"/>
  <c r="BE909" i="3"/>
  <c r="BE910" i="3"/>
  <c r="BE911" i="3"/>
  <c r="BE912" i="3"/>
  <c r="BE913" i="3"/>
  <c r="BE914" i="3"/>
  <c r="BE915" i="3"/>
  <c r="BE916" i="3"/>
  <c r="BE917" i="3"/>
  <c r="BE918" i="3"/>
  <c r="BE919" i="3"/>
  <c r="BE920" i="3"/>
  <c r="BE921" i="3"/>
  <c r="BE922" i="3"/>
  <c r="BE923" i="3"/>
  <c r="BE924" i="3"/>
  <c r="BE925" i="3"/>
  <c r="BE926" i="3"/>
  <c r="BE927" i="3"/>
  <c r="BE928" i="3"/>
  <c r="BE929" i="3"/>
  <c r="BE930" i="3"/>
  <c r="BE931" i="3"/>
  <c r="BE932" i="3"/>
  <c r="BE933" i="3"/>
  <c r="BE934" i="3"/>
  <c r="BE935" i="3"/>
  <c r="BE936" i="3"/>
  <c r="BE937" i="3"/>
  <c r="BE938" i="3"/>
  <c r="BE939" i="3"/>
  <c r="BE940" i="3"/>
  <c r="BE941" i="3"/>
  <c r="BE942" i="3"/>
  <c r="BE943" i="3"/>
  <c r="BE944" i="3"/>
  <c r="BE945" i="3"/>
  <c r="BE946" i="3"/>
  <c r="BE947" i="3"/>
  <c r="BE948" i="3"/>
  <c r="BE949" i="3"/>
  <c r="BE950" i="3"/>
  <c r="BE951" i="3"/>
  <c r="BE952" i="3"/>
  <c r="BE953" i="3"/>
  <c r="BE954" i="3"/>
  <c r="BE955" i="3"/>
  <c r="BE956" i="3"/>
  <c r="BE957" i="3"/>
  <c r="BE958" i="3"/>
  <c r="BE959" i="3"/>
  <c r="BE960" i="3"/>
  <c r="BE961" i="3"/>
  <c r="BE962" i="3"/>
  <c r="BE963" i="3"/>
  <c r="BE964" i="3"/>
  <c r="BE965" i="3"/>
  <c r="BE966" i="3"/>
  <c r="BE967" i="3"/>
  <c r="BE968" i="3"/>
  <c r="BE969" i="3"/>
  <c r="BE970" i="3"/>
  <c r="BE971" i="3"/>
  <c r="BE972" i="3"/>
  <c r="BE973" i="3"/>
  <c r="BE974" i="3"/>
  <c r="BE975" i="3"/>
  <c r="BE976" i="3"/>
  <c r="BE977" i="3"/>
  <c r="BE978" i="3"/>
  <c r="BE979" i="3"/>
  <c r="BE980" i="3"/>
  <c r="BE981" i="3"/>
  <c r="BE982" i="3"/>
  <c r="BE983" i="3"/>
  <c r="BE984" i="3"/>
  <c r="BE985" i="3"/>
  <c r="BE986" i="3"/>
  <c r="BE987" i="3"/>
  <c r="BE988" i="3"/>
  <c r="BE989" i="3"/>
  <c r="BE990" i="3"/>
  <c r="BE991" i="3"/>
  <c r="BE992" i="3"/>
  <c r="BE993" i="3"/>
  <c r="BE994" i="3"/>
  <c r="BE995" i="3"/>
  <c r="BE996" i="3"/>
  <c r="BE997" i="3"/>
  <c r="BE998" i="3"/>
  <c r="BE999" i="3"/>
  <c r="BE1000" i="3"/>
  <c r="BE1001" i="3"/>
  <c r="BE1002" i="3"/>
  <c r="BE1003" i="3"/>
  <c r="BE1004" i="3"/>
  <c r="BE1005" i="3"/>
  <c r="BE1006" i="3"/>
  <c r="BE1007" i="3"/>
  <c r="BE1008" i="3"/>
  <c r="BE1009" i="3"/>
  <c r="BE1010" i="3"/>
  <c r="BE1011" i="3"/>
  <c r="BE1012" i="3"/>
  <c r="BE1013" i="3"/>
  <c r="BE1014" i="3"/>
  <c r="BE1015" i="3"/>
  <c r="BE1016" i="3"/>
  <c r="BE1017" i="3"/>
  <c r="BE1018" i="3"/>
  <c r="BE1019" i="3"/>
  <c r="BE1020" i="3"/>
  <c r="BE1021" i="3"/>
  <c r="BE1022" i="3"/>
  <c r="BE1023" i="3"/>
  <c r="BE1024" i="3"/>
  <c r="BE1025" i="3"/>
  <c r="BE1026" i="3"/>
  <c r="BE1027" i="3"/>
  <c r="BE1028" i="3"/>
  <c r="BE1029" i="3"/>
  <c r="BE1030" i="3"/>
  <c r="BE1031" i="3"/>
  <c r="BE1032" i="3"/>
  <c r="BE1033" i="3"/>
  <c r="BE1034" i="3"/>
  <c r="BE1035" i="3"/>
  <c r="BE1036" i="3"/>
  <c r="BE1037" i="3"/>
  <c r="BE1038" i="3"/>
  <c r="BE1039" i="3"/>
  <c r="BE1040" i="3"/>
  <c r="BE1041" i="3"/>
  <c r="BE1042" i="3"/>
  <c r="BE1043" i="3"/>
  <c r="BE1044" i="3"/>
  <c r="BE1045" i="3"/>
  <c r="BE1046" i="3"/>
  <c r="BE1047" i="3"/>
  <c r="BE1048" i="3"/>
  <c r="BE1049" i="3"/>
  <c r="BE1050" i="3"/>
  <c r="BE1051" i="3"/>
  <c r="BE1052" i="3"/>
  <c r="BE1053" i="3"/>
  <c r="BE1054" i="3"/>
  <c r="BE1055" i="3"/>
  <c r="BE1056" i="3"/>
  <c r="BE1057" i="3"/>
  <c r="BE1058" i="3"/>
  <c r="BE1059" i="3"/>
  <c r="BE1060" i="3"/>
  <c r="BE1061" i="3"/>
  <c r="BE1062" i="3"/>
  <c r="BE1063" i="3"/>
  <c r="BE1064" i="3"/>
  <c r="BE1065" i="3"/>
  <c r="BE1066" i="3"/>
  <c r="BE1067" i="3"/>
  <c r="BE1068" i="3"/>
  <c r="BE1069" i="3"/>
  <c r="BE1070" i="3"/>
  <c r="BE1071" i="3"/>
  <c r="BE1072" i="3"/>
  <c r="BE1073" i="3"/>
  <c r="BE1074" i="3"/>
  <c r="BE1075" i="3"/>
  <c r="BE1076" i="3"/>
  <c r="BE1077" i="3"/>
  <c r="BE1078" i="3"/>
  <c r="BE1079" i="3"/>
  <c r="BE2" i="3"/>
  <c r="G1116" i="3"/>
  <c r="G1115" i="3"/>
  <c r="G1114" i="3"/>
  <c r="G1113" i="3"/>
  <c r="G1112" i="3"/>
  <c r="G1111" i="3"/>
  <c r="G1110" i="3"/>
  <c r="G1109" i="3"/>
  <c r="G1108" i="3"/>
  <c r="G1107" i="3"/>
  <c r="G1106" i="3"/>
  <c r="G1105" i="3"/>
  <c r="G1104" i="3"/>
  <c r="G1103" i="3"/>
  <c r="G1102" i="3"/>
  <c r="G1101" i="3"/>
  <c r="G1100" i="3"/>
  <c r="G1099" i="3"/>
  <c r="G1098" i="3"/>
  <c r="AZ1097" i="3"/>
  <c r="AX1097" i="3"/>
  <c r="AV1097" i="3"/>
  <c r="AT1097" i="3"/>
  <c r="AQ1097" i="3"/>
  <c r="AO1097" i="3"/>
  <c r="AM1097" i="3"/>
  <c r="AK1097" i="3"/>
  <c r="AC1097" i="3"/>
  <c r="AA1097" i="3"/>
  <c r="Y1097" i="3"/>
  <c r="W1097" i="3"/>
  <c r="U1097" i="3"/>
  <c r="S1097" i="3"/>
  <c r="Q1097" i="3"/>
  <c r="O1097" i="3"/>
  <c r="G1097" i="3"/>
  <c r="AZ1096" i="3"/>
  <c r="AX1096" i="3"/>
  <c r="AV1096" i="3"/>
  <c r="AT1096" i="3"/>
  <c r="AQ1096" i="3"/>
  <c r="AO1096" i="3"/>
  <c r="AM1096" i="3"/>
  <c r="AK1096" i="3"/>
  <c r="AC1096" i="3"/>
  <c r="AA1096" i="3"/>
  <c r="Y1096" i="3"/>
  <c r="W1096" i="3"/>
  <c r="U1096" i="3"/>
  <c r="S1096" i="3"/>
  <c r="Q1096" i="3"/>
  <c r="O1096" i="3"/>
  <c r="G1096" i="3"/>
  <c r="AZ1095" i="3"/>
  <c r="AX1095" i="3"/>
  <c r="AV1095" i="3"/>
  <c r="AT1095" i="3"/>
  <c r="AQ1095" i="3"/>
  <c r="AO1095" i="3"/>
  <c r="AM1095" i="3"/>
  <c r="AK1095" i="3"/>
  <c r="AC1095" i="3"/>
  <c r="AA1095" i="3"/>
  <c r="Y1095" i="3"/>
  <c r="W1095" i="3"/>
  <c r="U1095" i="3"/>
  <c r="S1095" i="3"/>
  <c r="Q1095" i="3"/>
  <c r="O1095" i="3"/>
  <c r="G1095" i="3"/>
  <c r="AZ1094" i="3"/>
  <c r="AX1094" i="3"/>
  <c r="AV1094" i="3"/>
  <c r="AT1094" i="3"/>
  <c r="AQ1094" i="3"/>
  <c r="AO1094" i="3"/>
  <c r="AM1094" i="3"/>
  <c r="AK1094" i="3"/>
  <c r="AC1094" i="3"/>
  <c r="AA1094" i="3"/>
  <c r="Y1094" i="3"/>
  <c r="W1094" i="3"/>
  <c r="U1094" i="3"/>
  <c r="S1094" i="3"/>
  <c r="Q1094" i="3"/>
  <c r="O1094" i="3"/>
  <c r="G1094" i="3"/>
  <c r="AZ1093" i="3"/>
  <c r="AX1093" i="3"/>
  <c r="AV1093" i="3"/>
  <c r="AT1093" i="3"/>
  <c r="AQ1093" i="3"/>
  <c r="AO1093" i="3"/>
  <c r="AM1093" i="3"/>
  <c r="AK1093" i="3"/>
  <c r="AC1093" i="3"/>
  <c r="AA1093" i="3"/>
  <c r="Y1093" i="3"/>
  <c r="W1093" i="3"/>
  <c r="U1093" i="3"/>
  <c r="S1093" i="3"/>
  <c r="Q1093" i="3"/>
  <c r="O1093" i="3"/>
  <c r="G1093" i="3"/>
  <c r="AZ1092" i="3"/>
  <c r="AX1092" i="3"/>
  <c r="AV1092" i="3"/>
  <c r="AT1092" i="3"/>
  <c r="AQ1092" i="3"/>
  <c r="AO1092" i="3"/>
  <c r="AM1092" i="3"/>
  <c r="AK1092" i="3"/>
  <c r="AC1092" i="3"/>
  <c r="AA1092" i="3"/>
  <c r="Y1092" i="3"/>
  <c r="W1092" i="3"/>
  <c r="U1092" i="3"/>
  <c r="S1092" i="3"/>
  <c r="Q1092" i="3"/>
  <c r="O1092" i="3"/>
  <c r="G1092" i="3"/>
  <c r="AZ1091" i="3"/>
  <c r="AX1091" i="3"/>
  <c r="AV1091" i="3"/>
  <c r="AT1091" i="3"/>
  <c r="AQ1091" i="3"/>
  <c r="AO1091" i="3"/>
  <c r="AM1091" i="3"/>
  <c r="AK1091" i="3"/>
  <c r="AC1091" i="3"/>
  <c r="AA1091" i="3"/>
  <c r="Y1091" i="3"/>
  <c r="W1091" i="3"/>
  <c r="U1091" i="3"/>
  <c r="S1091" i="3"/>
  <c r="Q1091" i="3"/>
  <c r="O1091" i="3"/>
  <c r="G1091" i="3"/>
  <c r="AZ1090" i="3"/>
  <c r="AX1090" i="3"/>
  <c r="AV1090" i="3"/>
  <c r="AT1090" i="3"/>
  <c r="AQ1090" i="3"/>
  <c r="AO1090" i="3"/>
  <c r="AM1090" i="3"/>
  <c r="AK1090" i="3"/>
  <c r="AC1090" i="3"/>
  <c r="AA1090" i="3"/>
  <c r="Y1090" i="3"/>
  <c r="W1090" i="3"/>
  <c r="U1090" i="3"/>
  <c r="S1090" i="3"/>
  <c r="Q1090" i="3"/>
  <c r="O1090" i="3"/>
  <c r="G1090" i="3"/>
  <c r="AZ1089" i="3"/>
  <c r="AX1089" i="3"/>
  <c r="AV1089" i="3"/>
  <c r="AT1089" i="3"/>
  <c r="AQ1089" i="3"/>
  <c r="AO1089" i="3"/>
  <c r="AM1089" i="3"/>
  <c r="AK1089" i="3"/>
  <c r="AC1089" i="3"/>
  <c r="AA1089" i="3"/>
  <c r="Y1089" i="3"/>
  <c r="W1089" i="3"/>
  <c r="U1089" i="3"/>
  <c r="S1089" i="3"/>
  <c r="Q1089" i="3"/>
  <c r="O1089" i="3"/>
  <c r="G1089" i="3"/>
  <c r="AZ1088" i="3"/>
  <c r="AX1088" i="3"/>
  <c r="AV1088" i="3"/>
  <c r="AT1088" i="3"/>
  <c r="AQ1088" i="3"/>
  <c r="AO1088" i="3"/>
  <c r="AM1088" i="3"/>
  <c r="AK1088" i="3"/>
  <c r="AC1088" i="3"/>
  <c r="AA1088" i="3"/>
  <c r="Y1088" i="3"/>
  <c r="W1088" i="3"/>
  <c r="U1088" i="3"/>
  <c r="S1088" i="3"/>
  <c r="Q1088" i="3"/>
  <c r="O1088" i="3"/>
  <c r="G1088" i="3"/>
  <c r="AZ1087" i="3"/>
  <c r="AX1087" i="3"/>
  <c r="AV1087" i="3"/>
  <c r="AT1087" i="3"/>
  <c r="AQ1087" i="3"/>
  <c r="AO1087" i="3"/>
  <c r="AM1087" i="3"/>
  <c r="AK1087" i="3"/>
  <c r="AC1087" i="3"/>
  <c r="AA1087" i="3"/>
  <c r="Y1087" i="3"/>
  <c r="W1087" i="3"/>
  <c r="U1087" i="3"/>
  <c r="S1087" i="3"/>
  <c r="Q1087" i="3"/>
  <c r="O1087" i="3"/>
  <c r="G1087" i="3"/>
  <c r="AZ1086" i="3"/>
  <c r="AX1086" i="3"/>
  <c r="AV1086" i="3"/>
  <c r="AT1086" i="3"/>
  <c r="AQ1086" i="3"/>
  <c r="AO1086" i="3"/>
  <c r="AM1086" i="3"/>
  <c r="AK1086" i="3"/>
  <c r="AC1086" i="3"/>
  <c r="AA1086" i="3"/>
  <c r="Y1086" i="3"/>
  <c r="W1086" i="3"/>
  <c r="U1086" i="3"/>
  <c r="S1086" i="3"/>
  <c r="Q1086" i="3"/>
  <c r="O1086" i="3"/>
  <c r="G1086" i="3"/>
  <c r="AZ1085" i="3"/>
  <c r="AX1085" i="3"/>
  <c r="AV1085" i="3"/>
  <c r="AT1085" i="3"/>
  <c r="AQ1085" i="3"/>
  <c r="AO1085" i="3"/>
  <c r="AM1085" i="3"/>
  <c r="AK1085" i="3"/>
  <c r="AC1085" i="3"/>
  <c r="AA1085" i="3"/>
  <c r="Y1085" i="3"/>
  <c r="W1085" i="3"/>
  <c r="U1085" i="3"/>
  <c r="S1085" i="3"/>
  <c r="Q1085" i="3"/>
  <c r="O1085" i="3"/>
  <c r="G1085" i="3"/>
  <c r="AZ1084" i="3"/>
  <c r="AX1084" i="3"/>
  <c r="AV1084" i="3"/>
  <c r="AT1084" i="3"/>
  <c r="AQ1084" i="3"/>
  <c r="AO1084" i="3"/>
  <c r="AM1084" i="3"/>
  <c r="AK1084" i="3"/>
  <c r="AC1084" i="3"/>
  <c r="AA1084" i="3"/>
  <c r="Y1084" i="3"/>
  <c r="W1084" i="3"/>
  <c r="U1084" i="3"/>
  <c r="S1084" i="3"/>
  <c r="Q1084" i="3"/>
  <c r="O1084" i="3"/>
  <c r="G1084" i="3"/>
  <c r="AZ1083" i="3"/>
  <c r="AX1083" i="3"/>
  <c r="AV1083" i="3"/>
  <c r="AT1083" i="3"/>
  <c r="AQ1083" i="3"/>
  <c r="AO1083" i="3"/>
  <c r="AM1083" i="3"/>
  <c r="AK1083" i="3"/>
  <c r="AC1083" i="3"/>
  <c r="AA1083" i="3"/>
  <c r="Y1083" i="3"/>
  <c r="W1083" i="3"/>
  <c r="U1083" i="3"/>
  <c r="S1083" i="3"/>
  <c r="Q1083" i="3"/>
  <c r="O1083" i="3"/>
  <c r="G1083" i="3"/>
  <c r="AZ1082" i="3"/>
  <c r="AX1082" i="3"/>
  <c r="AV1082" i="3"/>
  <c r="AT1082" i="3"/>
  <c r="AQ1082" i="3"/>
  <c r="AO1082" i="3"/>
  <c r="AM1082" i="3"/>
  <c r="AK1082" i="3"/>
  <c r="AC1082" i="3"/>
  <c r="AA1082" i="3"/>
  <c r="Y1082" i="3"/>
  <c r="W1082" i="3"/>
  <c r="U1082" i="3"/>
  <c r="S1082" i="3"/>
  <c r="Q1082" i="3"/>
  <c r="O1082" i="3"/>
  <c r="G1082" i="3"/>
  <c r="AZ1081" i="3"/>
  <c r="AX1081" i="3"/>
  <c r="AV1081" i="3"/>
  <c r="AT1081" i="3"/>
  <c r="AQ1081" i="3"/>
  <c r="AO1081" i="3"/>
  <c r="AM1081" i="3"/>
  <c r="AK1081" i="3"/>
  <c r="AC1081" i="3"/>
  <c r="AA1081" i="3"/>
  <c r="Y1081" i="3"/>
  <c r="W1081" i="3"/>
  <c r="U1081" i="3"/>
  <c r="S1081" i="3"/>
  <c r="Q1081" i="3"/>
  <c r="O1081" i="3"/>
  <c r="G1081" i="3"/>
  <c r="AZ1080" i="3"/>
  <c r="AX1080" i="3"/>
  <c r="AV1080" i="3"/>
  <c r="AT1080" i="3"/>
  <c r="AQ1080" i="3"/>
  <c r="AO1080" i="3"/>
  <c r="AM1080" i="3"/>
  <c r="AK1080" i="3"/>
  <c r="AC1080" i="3"/>
  <c r="AA1080" i="3"/>
  <c r="Y1080" i="3"/>
  <c r="W1080" i="3"/>
  <c r="U1080" i="3"/>
  <c r="S1080" i="3"/>
  <c r="Q1080" i="3"/>
  <c r="O1080" i="3"/>
  <c r="G1080" i="3"/>
  <c r="AZ1079" i="3"/>
  <c r="AX1079" i="3"/>
  <c r="AV1079" i="3"/>
  <c r="AT1079" i="3"/>
  <c r="AQ1079" i="3"/>
  <c r="AO1079" i="3"/>
  <c r="AM1079" i="3"/>
  <c r="AK1079" i="3"/>
  <c r="AC1079" i="3"/>
  <c r="AA1079" i="3"/>
  <c r="Y1079" i="3"/>
  <c r="W1079" i="3"/>
  <c r="U1079" i="3"/>
  <c r="S1079" i="3"/>
  <c r="Q1079" i="3"/>
  <c r="O1079" i="3"/>
  <c r="G1079" i="3"/>
  <c r="AZ1078" i="3"/>
  <c r="AX1078" i="3"/>
  <c r="AV1078" i="3"/>
  <c r="AT1078" i="3"/>
  <c r="AQ1078" i="3"/>
  <c r="AO1078" i="3"/>
  <c r="AM1078" i="3"/>
  <c r="AK1078" i="3"/>
  <c r="AC1078" i="3"/>
  <c r="AA1078" i="3"/>
  <c r="Y1078" i="3"/>
  <c r="W1078" i="3"/>
  <c r="U1078" i="3"/>
  <c r="S1078" i="3"/>
  <c r="Q1078" i="3"/>
  <c r="O1078" i="3"/>
  <c r="G1078" i="3"/>
  <c r="AZ1077" i="3"/>
  <c r="AX1077" i="3"/>
  <c r="AV1077" i="3"/>
  <c r="AT1077" i="3"/>
  <c r="AQ1077" i="3"/>
  <c r="AO1077" i="3"/>
  <c r="AM1077" i="3"/>
  <c r="AK1077" i="3"/>
  <c r="AC1077" i="3"/>
  <c r="AA1077" i="3"/>
  <c r="Y1077" i="3"/>
  <c r="W1077" i="3"/>
  <c r="U1077" i="3"/>
  <c r="S1077" i="3"/>
  <c r="Q1077" i="3"/>
  <c r="O1077" i="3"/>
  <c r="G1077" i="3"/>
  <c r="AZ1076" i="3"/>
  <c r="AX1076" i="3"/>
  <c r="AV1076" i="3"/>
  <c r="AT1076" i="3"/>
  <c r="AQ1076" i="3"/>
  <c r="AO1076" i="3"/>
  <c r="AM1076" i="3"/>
  <c r="AK1076" i="3"/>
  <c r="AC1076" i="3"/>
  <c r="AA1076" i="3"/>
  <c r="Y1076" i="3"/>
  <c r="W1076" i="3"/>
  <c r="U1076" i="3"/>
  <c r="S1076" i="3"/>
  <c r="Q1076" i="3"/>
  <c r="O1076" i="3"/>
  <c r="G1076" i="3"/>
  <c r="AZ1075" i="3"/>
  <c r="AX1075" i="3"/>
  <c r="AV1075" i="3"/>
  <c r="AT1075" i="3"/>
  <c r="AQ1075" i="3"/>
  <c r="AO1075" i="3"/>
  <c r="AM1075" i="3"/>
  <c r="AK1075" i="3"/>
  <c r="AC1075" i="3"/>
  <c r="AA1075" i="3"/>
  <c r="Y1075" i="3"/>
  <c r="W1075" i="3"/>
  <c r="U1075" i="3"/>
  <c r="S1075" i="3"/>
  <c r="Q1075" i="3"/>
  <c r="O1075" i="3"/>
  <c r="G1075" i="3"/>
  <c r="AZ1074" i="3"/>
  <c r="AX1074" i="3"/>
  <c r="AV1074" i="3"/>
  <c r="AT1074" i="3"/>
  <c r="AQ1074" i="3"/>
  <c r="AO1074" i="3"/>
  <c r="AM1074" i="3"/>
  <c r="AK1074" i="3"/>
  <c r="AC1074" i="3"/>
  <c r="AA1074" i="3"/>
  <c r="Y1074" i="3"/>
  <c r="W1074" i="3"/>
  <c r="U1074" i="3"/>
  <c r="S1074" i="3"/>
  <c r="Q1074" i="3"/>
  <c r="O1074" i="3"/>
  <c r="G1074" i="3"/>
  <c r="AZ1073" i="3"/>
  <c r="AX1073" i="3"/>
  <c r="AV1073" i="3"/>
  <c r="AT1073" i="3"/>
  <c r="AQ1073" i="3"/>
  <c r="AO1073" i="3"/>
  <c r="AM1073" i="3"/>
  <c r="AK1073" i="3"/>
  <c r="AC1073" i="3"/>
  <c r="AA1073" i="3"/>
  <c r="Y1073" i="3"/>
  <c r="W1073" i="3"/>
  <c r="U1073" i="3"/>
  <c r="S1073" i="3"/>
  <c r="Q1073" i="3"/>
  <c r="O1073" i="3"/>
  <c r="G1073" i="3"/>
  <c r="AZ1072" i="3"/>
  <c r="AX1072" i="3"/>
  <c r="AV1072" i="3"/>
  <c r="AT1072" i="3"/>
  <c r="AQ1072" i="3"/>
  <c r="AO1072" i="3"/>
  <c r="AM1072" i="3"/>
  <c r="AK1072" i="3"/>
  <c r="AC1072" i="3"/>
  <c r="AA1072" i="3"/>
  <c r="Y1072" i="3"/>
  <c r="W1072" i="3"/>
  <c r="U1072" i="3"/>
  <c r="S1072" i="3"/>
  <c r="Q1072" i="3"/>
  <c r="O1072" i="3"/>
  <c r="G1072" i="3"/>
  <c r="AZ1071" i="3"/>
  <c r="AX1071" i="3"/>
  <c r="AV1071" i="3"/>
  <c r="AT1071" i="3"/>
  <c r="AQ1071" i="3"/>
  <c r="AO1071" i="3"/>
  <c r="AM1071" i="3"/>
  <c r="AK1071" i="3"/>
  <c r="AC1071" i="3"/>
  <c r="AA1071" i="3"/>
  <c r="Y1071" i="3"/>
  <c r="W1071" i="3"/>
  <c r="U1071" i="3"/>
  <c r="S1071" i="3"/>
  <c r="Q1071" i="3"/>
  <c r="O1071" i="3"/>
  <c r="G1071" i="3"/>
  <c r="AZ1070" i="3"/>
  <c r="AX1070" i="3"/>
  <c r="AV1070" i="3"/>
  <c r="AT1070" i="3"/>
  <c r="AQ1070" i="3"/>
  <c r="AO1070" i="3"/>
  <c r="AM1070" i="3"/>
  <c r="AK1070" i="3"/>
  <c r="AC1070" i="3"/>
  <c r="AA1070" i="3"/>
  <c r="Y1070" i="3"/>
  <c r="W1070" i="3"/>
  <c r="U1070" i="3"/>
  <c r="S1070" i="3"/>
  <c r="Q1070" i="3"/>
  <c r="O1070" i="3"/>
  <c r="G1070" i="3"/>
  <c r="AZ1069" i="3"/>
  <c r="AX1069" i="3"/>
  <c r="AV1069" i="3"/>
  <c r="AT1069" i="3"/>
  <c r="AQ1069" i="3"/>
  <c r="AO1069" i="3"/>
  <c r="AM1069" i="3"/>
  <c r="AK1069" i="3"/>
  <c r="AC1069" i="3"/>
  <c r="AA1069" i="3"/>
  <c r="Y1069" i="3"/>
  <c r="W1069" i="3"/>
  <c r="U1069" i="3"/>
  <c r="S1069" i="3"/>
  <c r="Q1069" i="3"/>
  <c r="O1069" i="3"/>
  <c r="G1069" i="3"/>
  <c r="AZ1068" i="3"/>
  <c r="AX1068" i="3"/>
  <c r="AV1068" i="3"/>
  <c r="AT1068" i="3"/>
  <c r="AQ1068" i="3"/>
  <c r="AO1068" i="3"/>
  <c r="AM1068" i="3"/>
  <c r="AK1068" i="3"/>
  <c r="AC1068" i="3"/>
  <c r="AA1068" i="3"/>
  <c r="Y1068" i="3"/>
  <c r="W1068" i="3"/>
  <c r="U1068" i="3"/>
  <c r="S1068" i="3"/>
  <c r="Q1068" i="3"/>
  <c r="O1068" i="3"/>
  <c r="G1068" i="3"/>
  <c r="AZ1067" i="3"/>
  <c r="AX1067" i="3"/>
  <c r="AV1067" i="3"/>
  <c r="AT1067" i="3"/>
  <c r="AQ1067" i="3"/>
  <c r="AO1067" i="3"/>
  <c r="AM1067" i="3"/>
  <c r="AK1067" i="3"/>
  <c r="AC1067" i="3"/>
  <c r="AA1067" i="3"/>
  <c r="Y1067" i="3"/>
  <c r="W1067" i="3"/>
  <c r="U1067" i="3"/>
  <c r="S1067" i="3"/>
  <c r="Q1067" i="3"/>
  <c r="O1067" i="3"/>
  <c r="G1067" i="3"/>
  <c r="AZ1066" i="3"/>
  <c r="AX1066" i="3"/>
  <c r="AV1066" i="3"/>
  <c r="AT1066" i="3"/>
  <c r="AQ1066" i="3"/>
  <c r="AO1066" i="3"/>
  <c r="AM1066" i="3"/>
  <c r="AK1066" i="3"/>
  <c r="AC1066" i="3"/>
  <c r="AA1066" i="3"/>
  <c r="Y1066" i="3"/>
  <c r="W1066" i="3"/>
  <c r="U1066" i="3"/>
  <c r="S1066" i="3"/>
  <c r="Q1066" i="3"/>
  <c r="O1066" i="3"/>
  <c r="G1066" i="3"/>
  <c r="AZ1065" i="3"/>
  <c r="AX1065" i="3"/>
  <c r="AV1065" i="3"/>
  <c r="AT1065" i="3"/>
  <c r="AQ1065" i="3"/>
  <c r="AO1065" i="3"/>
  <c r="AM1065" i="3"/>
  <c r="AK1065" i="3"/>
  <c r="AC1065" i="3"/>
  <c r="AA1065" i="3"/>
  <c r="Y1065" i="3"/>
  <c r="W1065" i="3"/>
  <c r="U1065" i="3"/>
  <c r="S1065" i="3"/>
  <c r="Q1065" i="3"/>
  <c r="O1065" i="3"/>
  <c r="G1065" i="3"/>
  <c r="AZ1064" i="3"/>
  <c r="AX1064" i="3"/>
  <c r="AV1064" i="3"/>
  <c r="AT1064" i="3"/>
  <c r="AQ1064" i="3"/>
  <c r="AO1064" i="3"/>
  <c r="AM1064" i="3"/>
  <c r="AK1064" i="3"/>
  <c r="AC1064" i="3"/>
  <c r="AA1064" i="3"/>
  <c r="Y1064" i="3"/>
  <c r="W1064" i="3"/>
  <c r="U1064" i="3"/>
  <c r="S1064" i="3"/>
  <c r="Q1064" i="3"/>
  <c r="O1064" i="3"/>
  <c r="G1064" i="3"/>
  <c r="AZ1063" i="3"/>
  <c r="AX1063" i="3"/>
  <c r="AV1063" i="3"/>
  <c r="AT1063" i="3"/>
  <c r="AQ1063" i="3"/>
  <c r="AO1063" i="3"/>
  <c r="AM1063" i="3"/>
  <c r="AK1063" i="3"/>
  <c r="AC1063" i="3"/>
  <c r="AA1063" i="3"/>
  <c r="Y1063" i="3"/>
  <c r="W1063" i="3"/>
  <c r="U1063" i="3"/>
  <c r="S1063" i="3"/>
  <c r="Q1063" i="3"/>
  <c r="O1063" i="3"/>
  <c r="G1063" i="3"/>
  <c r="AZ1062" i="3"/>
  <c r="AX1062" i="3"/>
  <c r="AV1062" i="3"/>
  <c r="AT1062" i="3"/>
  <c r="AQ1062" i="3"/>
  <c r="AO1062" i="3"/>
  <c r="AM1062" i="3"/>
  <c r="AK1062" i="3"/>
  <c r="AC1062" i="3"/>
  <c r="AA1062" i="3"/>
  <c r="Y1062" i="3"/>
  <c r="W1062" i="3"/>
  <c r="U1062" i="3"/>
  <c r="S1062" i="3"/>
  <c r="Q1062" i="3"/>
  <c r="O1062" i="3"/>
  <c r="G1062" i="3"/>
  <c r="AZ1061" i="3"/>
  <c r="AX1061" i="3"/>
  <c r="AV1061" i="3"/>
  <c r="AT1061" i="3"/>
  <c r="AQ1061" i="3"/>
  <c r="AO1061" i="3"/>
  <c r="AM1061" i="3"/>
  <c r="AK1061" i="3"/>
  <c r="AC1061" i="3"/>
  <c r="AA1061" i="3"/>
  <c r="Y1061" i="3"/>
  <c r="W1061" i="3"/>
  <c r="U1061" i="3"/>
  <c r="S1061" i="3"/>
  <c r="Q1061" i="3"/>
  <c r="O1061" i="3"/>
  <c r="G1061" i="3"/>
  <c r="AZ1060" i="3"/>
  <c r="AX1060" i="3"/>
  <c r="AV1060" i="3"/>
  <c r="AT1060" i="3"/>
  <c r="AQ1060" i="3"/>
  <c r="AO1060" i="3"/>
  <c r="AM1060" i="3"/>
  <c r="AK1060" i="3"/>
  <c r="AC1060" i="3"/>
  <c r="AA1060" i="3"/>
  <c r="Y1060" i="3"/>
  <c r="W1060" i="3"/>
  <c r="U1060" i="3"/>
  <c r="S1060" i="3"/>
  <c r="Q1060" i="3"/>
  <c r="O1060" i="3"/>
  <c r="G1060" i="3"/>
  <c r="AZ1059" i="3"/>
  <c r="AX1059" i="3"/>
  <c r="AV1059" i="3"/>
  <c r="AT1059" i="3"/>
  <c r="AQ1059" i="3"/>
  <c r="AO1059" i="3"/>
  <c r="AM1059" i="3"/>
  <c r="AK1059" i="3"/>
  <c r="AC1059" i="3"/>
  <c r="AA1059" i="3"/>
  <c r="Y1059" i="3"/>
  <c r="W1059" i="3"/>
  <c r="U1059" i="3"/>
  <c r="S1059" i="3"/>
  <c r="Q1059" i="3"/>
  <c r="O1059" i="3"/>
  <c r="G1059" i="3"/>
  <c r="AZ1058" i="3"/>
  <c r="AX1058" i="3"/>
  <c r="AV1058" i="3"/>
  <c r="AT1058" i="3"/>
  <c r="AQ1058" i="3"/>
  <c r="AO1058" i="3"/>
  <c r="AM1058" i="3"/>
  <c r="AK1058" i="3"/>
  <c r="AC1058" i="3"/>
  <c r="AA1058" i="3"/>
  <c r="Y1058" i="3"/>
  <c r="W1058" i="3"/>
  <c r="U1058" i="3"/>
  <c r="S1058" i="3"/>
  <c r="Q1058" i="3"/>
  <c r="O1058" i="3"/>
  <c r="G1058" i="3"/>
  <c r="AZ1057" i="3"/>
  <c r="AX1057" i="3"/>
  <c r="AV1057" i="3"/>
  <c r="AT1057" i="3"/>
  <c r="AQ1057" i="3"/>
  <c r="AO1057" i="3"/>
  <c r="AM1057" i="3"/>
  <c r="AK1057" i="3"/>
  <c r="AC1057" i="3"/>
  <c r="AA1057" i="3"/>
  <c r="Y1057" i="3"/>
  <c r="W1057" i="3"/>
  <c r="U1057" i="3"/>
  <c r="S1057" i="3"/>
  <c r="Q1057" i="3"/>
  <c r="O1057" i="3"/>
  <c r="G1057" i="3"/>
  <c r="AZ1056" i="3"/>
  <c r="AX1056" i="3"/>
  <c r="AV1056" i="3"/>
  <c r="AT1056" i="3"/>
  <c r="AQ1056" i="3"/>
  <c r="AO1056" i="3"/>
  <c r="AM1056" i="3"/>
  <c r="AK1056" i="3"/>
  <c r="AC1056" i="3"/>
  <c r="AA1056" i="3"/>
  <c r="Y1056" i="3"/>
  <c r="W1056" i="3"/>
  <c r="U1056" i="3"/>
  <c r="S1056" i="3"/>
  <c r="Q1056" i="3"/>
  <c r="O1056" i="3"/>
  <c r="G1056" i="3"/>
  <c r="AZ1055" i="3"/>
  <c r="AX1055" i="3"/>
  <c r="AV1055" i="3"/>
  <c r="AT1055" i="3"/>
  <c r="AQ1055" i="3"/>
  <c r="AO1055" i="3"/>
  <c r="AM1055" i="3"/>
  <c r="AK1055" i="3"/>
  <c r="AC1055" i="3"/>
  <c r="AA1055" i="3"/>
  <c r="Y1055" i="3"/>
  <c r="W1055" i="3"/>
  <c r="U1055" i="3"/>
  <c r="S1055" i="3"/>
  <c r="Q1055" i="3"/>
  <c r="O1055" i="3"/>
  <c r="G1055" i="3"/>
  <c r="AZ1054" i="3"/>
  <c r="AX1054" i="3"/>
  <c r="AV1054" i="3"/>
  <c r="AT1054" i="3"/>
  <c r="AQ1054" i="3"/>
  <c r="AO1054" i="3"/>
  <c r="AM1054" i="3"/>
  <c r="AK1054" i="3"/>
  <c r="AC1054" i="3"/>
  <c r="AA1054" i="3"/>
  <c r="Y1054" i="3"/>
  <c r="W1054" i="3"/>
  <c r="U1054" i="3"/>
  <c r="S1054" i="3"/>
  <c r="Q1054" i="3"/>
  <c r="O1054" i="3"/>
  <c r="G1054" i="3"/>
  <c r="AZ1053" i="3"/>
  <c r="AX1053" i="3"/>
  <c r="AV1053" i="3"/>
  <c r="AT1053" i="3"/>
  <c r="AQ1053" i="3"/>
  <c r="AO1053" i="3"/>
  <c r="AM1053" i="3"/>
  <c r="AK1053" i="3"/>
  <c r="AC1053" i="3"/>
  <c r="AA1053" i="3"/>
  <c r="Y1053" i="3"/>
  <c r="W1053" i="3"/>
  <c r="U1053" i="3"/>
  <c r="S1053" i="3"/>
  <c r="Q1053" i="3"/>
  <c r="O1053" i="3"/>
  <c r="G1053" i="3"/>
  <c r="AZ1052" i="3"/>
  <c r="AX1052" i="3"/>
  <c r="AV1052" i="3"/>
  <c r="AT1052" i="3"/>
  <c r="AQ1052" i="3"/>
  <c r="AO1052" i="3"/>
  <c r="AM1052" i="3"/>
  <c r="AK1052" i="3"/>
  <c r="AC1052" i="3"/>
  <c r="AA1052" i="3"/>
  <c r="Y1052" i="3"/>
  <c r="W1052" i="3"/>
  <c r="U1052" i="3"/>
  <c r="S1052" i="3"/>
  <c r="Q1052" i="3"/>
  <c r="O1052" i="3"/>
  <c r="G1052" i="3"/>
  <c r="AZ1051" i="3"/>
  <c r="AX1051" i="3"/>
  <c r="AV1051" i="3"/>
  <c r="AT1051" i="3"/>
  <c r="AQ1051" i="3"/>
  <c r="AO1051" i="3"/>
  <c r="AM1051" i="3"/>
  <c r="AK1051" i="3"/>
  <c r="AC1051" i="3"/>
  <c r="AA1051" i="3"/>
  <c r="Y1051" i="3"/>
  <c r="W1051" i="3"/>
  <c r="U1051" i="3"/>
  <c r="S1051" i="3"/>
  <c r="Q1051" i="3"/>
  <c r="O1051" i="3"/>
  <c r="G1051" i="3"/>
  <c r="AZ1050" i="3"/>
  <c r="AX1050" i="3"/>
  <c r="AV1050" i="3"/>
  <c r="AT1050" i="3"/>
  <c r="AQ1050" i="3"/>
  <c r="AO1050" i="3"/>
  <c r="AM1050" i="3"/>
  <c r="AK1050" i="3"/>
  <c r="AC1050" i="3"/>
  <c r="AA1050" i="3"/>
  <c r="Y1050" i="3"/>
  <c r="W1050" i="3"/>
  <c r="U1050" i="3"/>
  <c r="S1050" i="3"/>
  <c r="Q1050" i="3"/>
  <c r="O1050" i="3"/>
  <c r="G1050" i="3"/>
  <c r="AZ1049" i="3"/>
  <c r="AX1049" i="3"/>
  <c r="AV1049" i="3"/>
  <c r="AT1049" i="3"/>
  <c r="AQ1049" i="3"/>
  <c r="AO1049" i="3"/>
  <c r="AM1049" i="3"/>
  <c r="AK1049" i="3"/>
  <c r="AC1049" i="3"/>
  <c r="AA1049" i="3"/>
  <c r="Y1049" i="3"/>
  <c r="W1049" i="3"/>
  <c r="U1049" i="3"/>
  <c r="S1049" i="3"/>
  <c r="Q1049" i="3"/>
  <c r="O1049" i="3"/>
  <c r="G1049" i="3"/>
  <c r="AZ1048" i="3"/>
  <c r="AX1048" i="3"/>
  <c r="AV1048" i="3"/>
  <c r="AT1048" i="3"/>
  <c r="AQ1048" i="3"/>
  <c r="AO1048" i="3"/>
  <c r="AM1048" i="3"/>
  <c r="AK1048" i="3"/>
  <c r="AC1048" i="3"/>
  <c r="AA1048" i="3"/>
  <c r="Y1048" i="3"/>
  <c r="W1048" i="3"/>
  <c r="U1048" i="3"/>
  <c r="S1048" i="3"/>
  <c r="Q1048" i="3"/>
  <c r="O1048" i="3"/>
  <c r="G1048" i="3"/>
  <c r="AZ1047" i="3"/>
  <c r="AX1047" i="3"/>
  <c r="AV1047" i="3"/>
  <c r="AT1047" i="3"/>
  <c r="AQ1047" i="3"/>
  <c r="AO1047" i="3"/>
  <c r="AM1047" i="3"/>
  <c r="AK1047" i="3"/>
  <c r="AC1047" i="3"/>
  <c r="AA1047" i="3"/>
  <c r="Y1047" i="3"/>
  <c r="W1047" i="3"/>
  <c r="U1047" i="3"/>
  <c r="S1047" i="3"/>
  <c r="Q1047" i="3"/>
  <c r="O1047" i="3"/>
  <c r="G1047" i="3"/>
  <c r="AZ1046" i="3"/>
  <c r="AX1046" i="3"/>
  <c r="AV1046" i="3"/>
  <c r="AT1046" i="3"/>
  <c r="AQ1046" i="3"/>
  <c r="AO1046" i="3"/>
  <c r="AM1046" i="3"/>
  <c r="AK1046" i="3"/>
  <c r="AC1046" i="3"/>
  <c r="AA1046" i="3"/>
  <c r="Y1046" i="3"/>
  <c r="W1046" i="3"/>
  <c r="U1046" i="3"/>
  <c r="S1046" i="3"/>
  <c r="Q1046" i="3"/>
  <c r="O1046" i="3"/>
  <c r="G1046" i="3"/>
  <c r="AZ1045" i="3"/>
  <c r="AX1045" i="3"/>
  <c r="AV1045" i="3"/>
  <c r="AT1045" i="3"/>
  <c r="AQ1045" i="3"/>
  <c r="AO1045" i="3"/>
  <c r="AM1045" i="3"/>
  <c r="AK1045" i="3"/>
  <c r="AC1045" i="3"/>
  <c r="AA1045" i="3"/>
  <c r="Y1045" i="3"/>
  <c r="W1045" i="3"/>
  <c r="U1045" i="3"/>
  <c r="S1045" i="3"/>
  <c r="Q1045" i="3"/>
  <c r="O1045" i="3"/>
  <c r="G1045" i="3"/>
  <c r="AZ1044" i="3"/>
  <c r="AX1044" i="3"/>
  <c r="AV1044" i="3"/>
  <c r="AT1044" i="3"/>
  <c r="AQ1044" i="3"/>
  <c r="AO1044" i="3"/>
  <c r="AM1044" i="3"/>
  <c r="AK1044" i="3"/>
  <c r="AC1044" i="3"/>
  <c r="AA1044" i="3"/>
  <c r="Y1044" i="3"/>
  <c r="W1044" i="3"/>
  <c r="U1044" i="3"/>
  <c r="S1044" i="3"/>
  <c r="Q1044" i="3"/>
  <c r="O1044" i="3"/>
  <c r="G1044" i="3"/>
  <c r="AZ1043" i="3"/>
  <c r="AX1043" i="3"/>
  <c r="AV1043" i="3"/>
  <c r="AT1043" i="3"/>
  <c r="AQ1043" i="3"/>
  <c r="AO1043" i="3"/>
  <c r="AM1043" i="3"/>
  <c r="AK1043" i="3"/>
  <c r="AC1043" i="3"/>
  <c r="AA1043" i="3"/>
  <c r="Y1043" i="3"/>
  <c r="W1043" i="3"/>
  <c r="U1043" i="3"/>
  <c r="S1043" i="3"/>
  <c r="Q1043" i="3"/>
  <c r="O1043" i="3"/>
  <c r="G1043" i="3"/>
  <c r="AZ1042" i="3"/>
  <c r="AX1042" i="3"/>
  <c r="AV1042" i="3"/>
  <c r="AT1042" i="3"/>
  <c r="AQ1042" i="3"/>
  <c r="AO1042" i="3"/>
  <c r="AM1042" i="3"/>
  <c r="AK1042" i="3"/>
  <c r="AC1042" i="3"/>
  <c r="AA1042" i="3"/>
  <c r="Y1042" i="3"/>
  <c r="W1042" i="3"/>
  <c r="U1042" i="3"/>
  <c r="S1042" i="3"/>
  <c r="Q1042" i="3"/>
  <c r="O1042" i="3"/>
  <c r="M1042" i="3"/>
  <c r="K1042" i="3"/>
  <c r="G1042" i="3"/>
  <c r="AZ1041" i="3"/>
  <c r="AX1041" i="3"/>
  <c r="AV1041" i="3"/>
  <c r="AT1041" i="3"/>
  <c r="AQ1041" i="3"/>
  <c r="AO1041" i="3"/>
  <c r="AM1041" i="3"/>
  <c r="AK1041" i="3"/>
  <c r="AC1041" i="3"/>
  <c r="AA1041" i="3"/>
  <c r="Y1041" i="3"/>
  <c r="W1041" i="3"/>
  <c r="U1041" i="3"/>
  <c r="S1041" i="3"/>
  <c r="Q1041" i="3"/>
  <c r="O1041" i="3"/>
  <c r="M1041" i="3"/>
  <c r="K1041" i="3"/>
  <c r="G1041" i="3"/>
  <c r="AZ1040" i="3"/>
  <c r="AX1040" i="3"/>
  <c r="AV1040" i="3"/>
  <c r="AT1040" i="3"/>
  <c r="AQ1040" i="3"/>
  <c r="AO1040" i="3"/>
  <c r="AM1040" i="3"/>
  <c r="AK1040" i="3"/>
  <c r="AC1040" i="3"/>
  <c r="AA1040" i="3"/>
  <c r="Y1040" i="3"/>
  <c r="W1040" i="3"/>
  <c r="U1040" i="3"/>
  <c r="S1040" i="3"/>
  <c r="Q1040" i="3"/>
  <c r="O1040" i="3"/>
  <c r="M1040" i="3"/>
  <c r="K1040" i="3"/>
  <c r="G1040" i="3"/>
  <c r="AZ1039" i="3"/>
  <c r="AX1039" i="3"/>
  <c r="AV1039" i="3"/>
  <c r="AT1039" i="3"/>
  <c r="AQ1039" i="3"/>
  <c r="AO1039" i="3"/>
  <c r="AM1039" i="3"/>
  <c r="AK1039" i="3"/>
  <c r="AC1039" i="3"/>
  <c r="AA1039" i="3"/>
  <c r="Y1039" i="3"/>
  <c r="W1039" i="3"/>
  <c r="U1039" i="3"/>
  <c r="S1039" i="3"/>
  <c r="Q1039" i="3"/>
  <c r="O1039" i="3"/>
  <c r="M1039" i="3"/>
  <c r="K1039" i="3"/>
  <c r="G1039" i="3"/>
  <c r="AZ1038" i="3"/>
  <c r="AX1038" i="3"/>
  <c r="AV1038" i="3"/>
  <c r="AT1038" i="3"/>
  <c r="AQ1038" i="3"/>
  <c r="AO1038" i="3"/>
  <c r="AM1038" i="3"/>
  <c r="AK1038" i="3"/>
  <c r="AC1038" i="3"/>
  <c r="AA1038" i="3"/>
  <c r="Y1038" i="3"/>
  <c r="W1038" i="3"/>
  <c r="U1038" i="3"/>
  <c r="S1038" i="3"/>
  <c r="Q1038" i="3"/>
  <c r="O1038" i="3"/>
  <c r="M1038" i="3"/>
  <c r="K1038" i="3"/>
  <c r="G1038" i="3"/>
  <c r="AZ1037" i="3"/>
  <c r="AX1037" i="3"/>
  <c r="AV1037" i="3"/>
  <c r="AT1037" i="3"/>
  <c r="AQ1037" i="3"/>
  <c r="AO1037" i="3"/>
  <c r="AM1037" i="3"/>
  <c r="AK1037" i="3"/>
  <c r="AC1037" i="3"/>
  <c r="AA1037" i="3"/>
  <c r="Y1037" i="3"/>
  <c r="W1037" i="3"/>
  <c r="U1037" i="3"/>
  <c r="S1037" i="3"/>
  <c r="Q1037" i="3"/>
  <c r="O1037" i="3"/>
  <c r="M1037" i="3"/>
  <c r="K1037" i="3"/>
  <c r="G1037" i="3"/>
  <c r="AZ1036" i="3"/>
  <c r="AX1036" i="3"/>
  <c r="AV1036" i="3"/>
  <c r="AT1036" i="3"/>
  <c r="AQ1036" i="3"/>
  <c r="AO1036" i="3"/>
  <c r="AM1036" i="3"/>
  <c r="AK1036" i="3"/>
  <c r="AC1036" i="3"/>
  <c r="AA1036" i="3"/>
  <c r="Y1036" i="3"/>
  <c r="W1036" i="3"/>
  <c r="U1036" i="3"/>
  <c r="S1036" i="3"/>
  <c r="Q1036" i="3"/>
  <c r="O1036" i="3"/>
  <c r="M1036" i="3"/>
  <c r="K1036" i="3"/>
  <c r="G1036" i="3"/>
  <c r="AZ1035" i="3"/>
  <c r="AX1035" i="3"/>
  <c r="AV1035" i="3"/>
  <c r="AT1035" i="3"/>
  <c r="AQ1035" i="3"/>
  <c r="AO1035" i="3"/>
  <c r="AM1035" i="3"/>
  <c r="AK1035" i="3"/>
  <c r="AC1035" i="3"/>
  <c r="AA1035" i="3"/>
  <c r="Y1035" i="3"/>
  <c r="W1035" i="3"/>
  <c r="U1035" i="3"/>
  <c r="S1035" i="3"/>
  <c r="Q1035" i="3"/>
  <c r="O1035" i="3"/>
  <c r="M1035" i="3"/>
  <c r="K1035" i="3"/>
  <c r="G1035" i="3"/>
  <c r="AZ1034" i="3"/>
  <c r="AX1034" i="3"/>
  <c r="AV1034" i="3"/>
  <c r="AT1034" i="3"/>
  <c r="AQ1034" i="3"/>
  <c r="AO1034" i="3"/>
  <c r="AM1034" i="3"/>
  <c r="AK1034" i="3"/>
  <c r="AC1034" i="3"/>
  <c r="AA1034" i="3"/>
  <c r="Y1034" i="3"/>
  <c r="W1034" i="3"/>
  <c r="U1034" i="3"/>
  <c r="S1034" i="3"/>
  <c r="Q1034" i="3"/>
  <c r="O1034" i="3"/>
  <c r="M1034" i="3"/>
  <c r="K1034" i="3"/>
  <c r="G1034" i="3"/>
  <c r="AZ1033" i="3"/>
  <c r="AX1033" i="3"/>
  <c r="AV1033" i="3"/>
  <c r="AT1033" i="3"/>
  <c r="AQ1033" i="3"/>
  <c r="AO1033" i="3"/>
  <c r="AM1033" i="3"/>
  <c r="AK1033" i="3"/>
  <c r="AC1033" i="3"/>
  <c r="AA1033" i="3"/>
  <c r="Y1033" i="3"/>
  <c r="W1033" i="3"/>
  <c r="U1033" i="3"/>
  <c r="S1033" i="3"/>
  <c r="Q1033" i="3"/>
  <c r="O1033" i="3"/>
  <c r="M1033" i="3"/>
  <c r="K1033" i="3"/>
  <c r="G1033" i="3"/>
  <c r="AZ1032" i="3"/>
  <c r="AX1032" i="3"/>
  <c r="AV1032" i="3"/>
  <c r="AT1032" i="3"/>
  <c r="AQ1032" i="3"/>
  <c r="AO1032" i="3"/>
  <c r="AM1032" i="3"/>
  <c r="AK1032" i="3"/>
  <c r="AC1032" i="3"/>
  <c r="AA1032" i="3"/>
  <c r="Y1032" i="3"/>
  <c r="W1032" i="3"/>
  <c r="U1032" i="3"/>
  <c r="S1032" i="3"/>
  <c r="Q1032" i="3"/>
  <c r="O1032" i="3"/>
  <c r="M1032" i="3"/>
  <c r="K1032" i="3"/>
  <c r="G1032" i="3"/>
  <c r="AZ1031" i="3"/>
  <c r="AX1031" i="3"/>
  <c r="AV1031" i="3"/>
  <c r="AT1031" i="3"/>
  <c r="AQ1031" i="3"/>
  <c r="AO1031" i="3"/>
  <c r="AM1031" i="3"/>
  <c r="AK1031" i="3"/>
  <c r="AC1031" i="3"/>
  <c r="AA1031" i="3"/>
  <c r="Y1031" i="3"/>
  <c r="W1031" i="3"/>
  <c r="U1031" i="3"/>
  <c r="S1031" i="3"/>
  <c r="Q1031" i="3"/>
  <c r="O1031" i="3"/>
  <c r="M1031" i="3"/>
  <c r="K1031" i="3"/>
  <c r="G1031" i="3"/>
  <c r="AZ1030" i="3"/>
  <c r="AX1030" i="3"/>
  <c r="AV1030" i="3"/>
  <c r="AT1030" i="3"/>
  <c r="AQ1030" i="3"/>
  <c r="AO1030" i="3"/>
  <c r="AM1030" i="3"/>
  <c r="AK1030" i="3"/>
  <c r="AC1030" i="3"/>
  <c r="AA1030" i="3"/>
  <c r="Y1030" i="3"/>
  <c r="W1030" i="3"/>
  <c r="U1030" i="3"/>
  <c r="S1030" i="3"/>
  <c r="Q1030" i="3"/>
  <c r="O1030" i="3"/>
  <c r="M1030" i="3"/>
  <c r="K1030" i="3"/>
  <c r="G1030" i="3"/>
  <c r="AZ1029" i="3"/>
  <c r="AX1029" i="3"/>
  <c r="AV1029" i="3"/>
  <c r="AT1029" i="3"/>
  <c r="AQ1029" i="3"/>
  <c r="AO1029" i="3"/>
  <c r="AM1029" i="3"/>
  <c r="AK1029" i="3"/>
  <c r="AC1029" i="3"/>
  <c r="AA1029" i="3"/>
  <c r="Y1029" i="3"/>
  <c r="W1029" i="3"/>
  <c r="U1029" i="3"/>
  <c r="S1029" i="3"/>
  <c r="Q1029" i="3"/>
  <c r="O1029" i="3"/>
  <c r="M1029" i="3"/>
  <c r="K1029" i="3"/>
  <c r="G1029" i="3"/>
  <c r="AZ1028" i="3"/>
  <c r="AX1028" i="3"/>
  <c r="AV1028" i="3"/>
  <c r="AT1028" i="3"/>
  <c r="AQ1028" i="3"/>
  <c r="AO1028" i="3"/>
  <c r="AM1028" i="3"/>
  <c r="AK1028" i="3"/>
  <c r="AC1028" i="3"/>
  <c r="AA1028" i="3"/>
  <c r="Y1028" i="3"/>
  <c r="W1028" i="3"/>
  <c r="U1028" i="3"/>
  <c r="S1028" i="3"/>
  <c r="Q1028" i="3"/>
  <c r="O1028" i="3"/>
  <c r="M1028" i="3"/>
  <c r="K1028" i="3"/>
  <c r="G1028" i="3"/>
  <c r="AZ1027" i="3"/>
  <c r="AX1027" i="3"/>
  <c r="AV1027" i="3"/>
  <c r="AT1027" i="3"/>
  <c r="AQ1027" i="3"/>
  <c r="AO1027" i="3"/>
  <c r="AM1027" i="3"/>
  <c r="AK1027" i="3"/>
  <c r="AC1027" i="3"/>
  <c r="AA1027" i="3"/>
  <c r="Y1027" i="3"/>
  <c r="W1027" i="3"/>
  <c r="U1027" i="3"/>
  <c r="S1027" i="3"/>
  <c r="Q1027" i="3"/>
  <c r="O1027" i="3"/>
  <c r="M1027" i="3"/>
  <c r="K1027" i="3"/>
  <c r="G1027" i="3"/>
  <c r="AZ1026" i="3"/>
  <c r="AX1026" i="3"/>
  <c r="AV1026" i="3"/>
  <c r="AT1026" i="3"/>
  <c r="AQ1026" i="3"/>
  <c r="AO1026" i="3"/>
  <c r="AM1026" i="3"/>
  <c r="AK1026" i="3"/>
  <c r="AC1026" i="3"/>
  <c r="AA1026" i="3"/>
  <c r="Y1026" i="3"/>
  <c r="W1026" i="3"/>
  <c r="U1026" i="3"/>
  <c r="S1026" i="3"/>
  <c r="Q1026" i="3"/>
  <c r="O1026" i="3"/>
  <c r="M1026" i="3"/>
  <c r="K1026" i="3"/>
  <c r="G1026" i="3"/>
  <c r="AZ1025" i="3"/>
  <c r="AX1025" i="3"/>
  <c r="AV1025" i="3"/>
  <c r="AT1025" i="3"/>
  <c r="AQ1025" i="3"/>
  <c r="AO1025" i="3"/>
  <c r="AM1025" i="3"/>
  <c r="AK1025" i="3"/>
  <c r="AC1025" i="3"/>
  <c r="AA1025" i="3"/>
  <c r="Y1025" i="3"/>
  <c r="W1025" i="3"/>
  <c r="U1025" i="3"/>
  <c r="S1025" i="3"/>
  <c r="Q1025" i="3"/>
  <c r="O1025" i="3"/>
  <c r="M1025" i="3"/>
  <c r="K1025" i="3"/>
  <c r="G1025" i="3"/>
  <c r="AZ1024" i="3"/>
  <c r="AX1024" i="3"/>
  <c r="AV1024" i="3"/>
  <c r="AT1024" i="3"/>
  <c r="AQ1024" i="3"/>
  <c r="AO1024" i="3"/>
  <c r="AM1024" i="3"/>
  <c r="AK1024" i="3"/>
  <c r="AC1024" i="3"/>
  <c r="AA1024" i="3"/>
  <c r="Y1024" i="3"/>
  <c r="W1024" i="3"/>
  <c r="U1024" i="3"/>
  <c r="S1024" i="3"/>
  <c r="Q1024" i="3"/>
  <c r="O1024" i="3"/>
  <c r="M1024" i="3"/>
  <c r="K1024" i="3"/>
  <c r="G1024" i="3"/>
  <c r="AZ1023" i="3"/>
  <c r="AX1023" i="3"/>
  <c r="AV1023" i="3"/>
  <c r="AT1023" i="3"/>
  <c r="AQ1023" i="3"/>
  <c r="AO1023" i="3"/>
  <c r="AM1023" i="3"/>
  <c r="AK1023" i="3"/>
  <c r="AC1023" i="3"/>
  <c r="AA1023" i="3"/>
  <c r="Y1023" i="3"/>
  <c r="W1023" i="3"/>
  <c r="U1023" i="3"/>
  <c r="S1023" i="3"/>
  <c r="Q1023" i="3"/>
  <c r="O1023" i="3"/>
  <c r="M1023" i="3"/>
  <c r="K1023" i="3"/>
  <c r="G1023" i="3"/>
  <c r="AZ1022" i="3"/>
  <c r="AX1022" i="3"/>
  <c r="AV1022" i="3"/>
  <c r="AT1022" i="3"/>
  <c r="AQ1022" i="3"/>
  <c r="AO1022" i="3"/>
  <c r="AM1022" i="3"/>
  <c r="AK1022" i="3"/>
  <c r="AC1022" i="3"/>
  <c r="AA1022" i="3"/>
  <c r="Y1022" i="3"/>
  <c r="W1022" i="3"/>
  <c r="U1022" i="3"/>
  <c r="S1022" i="3"/>
  <c r="Q1022" i="3"/>
  <c r="O1022" i="3"/>
  <c r="M1022" i="3"/>
  <c r="K1022" i="3"/>
  <c r="G1022" i="3"/>
  <c r="AZ1021" i="3"/>
  <c r="AX1021" i="3"/>
  <c r="AV1021" i="3"/>
  <c r="AT1021" i="3"/>
  <c r="AQ1021" i="3"/>
  <c r="AO1021" i="3"/>
  <c r="AM1021" i="3"/>
  <c r="AK1021" i="3"/>
  <c r="AC1021" i="3"/>
  <c r="AA1021" i="3"/>
  <c r="Y1021" i="3"/>
  <c r="W1021" i="3"/>
  <c r="U1021" i="3"/>
  <c r="S1021" i="3"/>
  <c r="Q1021" i="3"/>
  <c r="O1021" i="3"/>
  <c r="M1021" i="3"/>
  <c r="K1021" i="3"/>
  <c r="G1021" i="3"/>
  <c r="AZ1020" i="3"/>
  <c r="AX1020" i="3"/>
  <c r="AV1020" i="3"/>
  <c r="AT1020" i="3"/>
  <c r="AQ1020" i="3"/>
  <c r="AO1020" i="3"/>
  <c r="AM1020" i="3"/>
  <c r="AK1020" i="3"/>
  <c r="AC1020" i="3"/>
  <c r="AA1020" i="3"/>
  <c r="Y1020" i="3"/>
  <c r="W1020" i="3"/>
  <c r="U1020" i="3"/>
  <c r="S1020" i="3"/>
  <c r="Q1020" i="3"/>
  <c r="O1020" i="3"/>
  <c r="M1020" i="3"/>
  <c r="K1020" i="3"/>
  <c r="G1020" i="3"/>
  <c r="AZ1019" i="3"/>
  <c r="AX1019" i="3"/>
  <c r="AV1019" i="3"/>
  <c r="AT1019" i="3"/>
  <c r="AQ1019" i="3"/>
  <c r="AO1019" i="3"/>
  <c r="AM1019" i="3"/>
  <c r="AK1019" i="3"/>
  <c r="AC1019" i="3"/>
  <c r="AA1019" i="3"/>
  <c r="Y1019" i="3"/>
  <c r="W1019" i="3"/>
  <c r="U1019" i="3"/>
  <c r="S1019" i="3"/>
  <c r="Q1019" i="3"/>
  <c r="O1019" i="3"/>
  <c r="M1019" i="3"/>
  <c r="K1019" i="3"/>
  <c r="I1019" i="3"/>
  <c r="G1019" i="3"/>
  <c r="AZ1018" i="3"/>
  <c r="AX1018" i="3"/>
  <c r="AV1018" i="3"/>
  <c r="AT1018" i="3"/>
  <c r="AQ1018" i="3"/>
  <c r="AO1018" i="3"/>
  <c r="AM1018" i="3"/>
  <c r="AK1018" i="3"/>
  <c r="AC1018" i="3"/>
  <c r="AA1018" i="3"/>
  <c r="Y1018" i="3"/>
  <c r="W1018" i="3"/>
  <c r="U1018" i="3"/>
  <c r="S1018" i="3"/>
  <c r="Q1018" i="3"/>
  <c r="O1018" i="3"/>
  <c r="M1018" i="3"/>
  <c r="K1018" i="3"/>
  <c r="I1018" i="3"/>
  <c r="G1018" i="3"/>
  <c r="AZ1017" i="3"/>
  <c r="AX1017" i="3"/>
  <c r="AV1017" i="3"/>
  <c r="AT1017" i="3"/>
  <c r="AQ1017" i="3"/>
  <c r="AO1017" i="3"/>
  <c r="AM1017" i="3"/>
  <c r="AK1017" i="3"/>
  <c r="AC1017" i="3"/>
  <c r="AA1017" i="3"/>
  <c r="Y1017" i="3"/>
  <c r="W1017" i="3"/>
  <c r="U1017" i="3"/>
  <c r="S1017" i="3"/>
  <c r="Q1017" i="3"/>
  <c r="O1017" i="3"/>
  <c r="M1017" i="3"/>
  <c r="K1017" i="3"/>
  <c r="I1017" i="3"/>
  <c r="G1017" i="3"/>
  <c r="AZ1016" i="3"/>
  <c r="AX1016" i="3"/>
  <c r="AV1016" i="3"/>
  <c r="AT1016" i="3"/>
  <c r="AQ1016" i="3"/>
  <c r="AO1016" i="3"/>
  <c r="AM1016" i="3"/>
  <c r="AK1016" i="3"/>
  <c r="AC1016" i="3"/>
  <c r="AA1016" i="3"/>
  <c r="Y1016" i="3"/>
  <c r="W1016" i="3"/>
  <c r="U1016" i="3"/>
  <c r="S1016" i="3"/>
  <c r="Q1016" i="3"/>
  <c r="O1016" i="3"/>
  <c r="M1016" i="3"/>
  <c r="K1016" i="3"/>
  <c r="I1016" i="3"/>
  <c r="G1016" i="3"/>
  <c r="AZ1015" i="3"/>
  <c r="AX1015" i="3"/>
  <c r="AV1015" i="3"/>
  <c r="AT1015" i="3"/>
  <c r="AQ1015" i="3"/>
  <c r="AO1015" i="3"/>
  <c r="AM1015" i="3"/>
  <c r="AK1015" i="3"/>
  <c r="AC1015" i="3"/>
  <c r="AA1015" i="3"/>
  <c r="Y1015" i="3"/>
  <c r="W1015" i="3"/>
  <c r="U1015" i="3"/>
  <c r="S1015" i="3"/>
  <c r="Q1015" i="3"/>
  <c r="O1015" i="3"/>
  <c r="M1015" i="3"/>
  <c r="K1015" i="3"/>
  <c r="I1015" i="3"/>
  <c r="G1015" i="3"/>
  <c r="AZ1014" i="3"/>
  <c r="AX1014" i="3"/>
  <c r="AV1014" i="3"/>
  <c r="AT1014" i="3"/>
  <c r="AQ1014" i="3"/>
  <c r="AO1014" i="3"/>
  <c r="AM1014" i="3"/>
  <c r="AK1014" i="3"/>
  <c r="AC1014" i="3"/>
  <c r="AA1014" i="3"/>
  <c r="Y1014" i="3"/>
  <c r="W1014" i="3"/>
  <c r="U1014" i="3"/>
  <c r="S1014" i="3"/>
  <c r="Q1014" i="3"/>
  <c r="O1014" i="3"/>
  <c r="M1014" i="3"/>
  <c r="K1014" i="3"/>
  <c r="I1014" i="3"/>
  <c r="G1014" i="3"/>
  <c r="AZ1013" i="3"/>
  <c r="AX1013" i="3"/>
  <c r="AV1013" i="3"/>
  <c r="AT1013" i="3"/>
  <c r="AQ1013" i="3"/>
  <c r="AO1013" i="3"/>
  <c r="AM1013" i="3"/>
  <c r="AK1013" i="3"/>
  <c r="AC1013" i="3"/>
  <c r="AA1013" i="3"/>
  <c r="Y1013" i="3"/>
  <c r="W1013" i="3"/>
  <c r="U1013" i="3"/>
  <c r="S1013" i="3"/>
  <c r="Q1013" i="3"/>
  <c r="O1013" i="3"/>
  <c r="M1013" i="3"/>
  <c r="K1013" i="3"/>
  <c r="I1013" i="3"/>
  <c r="G1013" i="3"/>
  <c r="AZ1012" i="3"/>
  <c r="AX1012" i="3"/>
  <c r="AV1012" i="3"/>
  <c r="AT1012" i="3"/>
  <c r="AQ1012" i="3"/>
  <c r="AO1012" i="3"/>
  <c r="AM1012" i="3"/>
  <c r="AK1012" i="3"/>
  <c r="AC1012" i="3"/>
  <c r="AA1012" i="3"/>
  <c r="Y1012" i="3"/>
  <c r="W1012" i="3"/>
  <c r="U1012" i="3"/>
  <c r="S1012" i="3"/>
  <c r="Q1012" i="3"/>
  <c r="O1012" i="3"/>
  <c r="M1012" i="3"/>
  <c r="K1012" i="3"/>
  <c r="I1012" i="3"/>
  <c r="G1012" i="3"/>
  <c r="AZ1011" i="3"/>
  <c r="AX1011" i="3"/>
  <c r="AV1011" i="3"/>
  <c r="AT1011" i="3"/>
  <c r="AQ1011" i="3"/>
  <c r="AO1011" i="3"/>
  <c r="AM1011" i="3"/>
  <c r="AK1011" i="3"/>
  <c r="AC1011" i="3"/>
  <c r="AA1011" i="3"/>
  <c r="Y1011" i="3"/>
  <c r="W1011" i="3"/>
  <c r="U1011" i="3"/>
  <c r="S1011" i="3"/>
  <c r="Q1011" i="3"/>
  <c r="O1011" i="3"/>
  <c r="M1011" i="3"/>
  <c r="K1011" i="3"/>
  <c r="I1011" i="3"/>
  <c r="G1011" i="3"/>
  <c r="AZ1010" i="3"/>
  <c r="AX1010" i="3"/>
  <c r="AV1010" i="3"/>
  <c r="AT1010" i="3"/>
  <c r="AQ1010" i="3"/>
  <c r="AO1010" i="3"/>
  <c r="AM1010" i="3"/>
  <c r="AK1010" i="3"/>
  <c r="AC1010" i="3"/>
  <c r="AA1010" i="3"/>
  <c r="Y1010" i="3"/>
  <c r="W1010" i="3"/>
  <c r="U1010" i="3"/>
  <c r="S1010" i="3"/>
  <c r="Q1010" i="3"/>
  <c r="O1010" i="3"/>
  <c r="M1010" i="3"/>
  <c r="K1010" i="3"/>
  <c r="I1010" i="3"/>
  <c r="G1010" i="3"/>
  <c r="AZ1009" i="3"/>
  <c r="AX1009" i="3"/>
  <c r="AV1009" i="3"/>
  <c r="AT1009" i="3"/>
  <c r="AQ1009" i="3"/>
  <c r="AO1009" i="3"/>
  <c r="AM1009" i="3"/>
  <c r="AK1009" i="3"/>
  <c r="AC1009" i="3"/>
  <c r="AA1009" i="3"/>
  <c r="Y1009" i="3"/>
  <c r="W1009" i="3"/>
  <c r="U1009" i="3"/>
  <c r="S1009" i="3"/>
  <c r="Q1009" i="3"/>
  <c r="O1009" i="3"/>
  <c r="M1009" i="3"/>
  <c r="K1009" i="3"/>
  <c r="I1009" i="3"/>
  <c r="G1009" i="3"/>
  <c r="AZ1008" i="3"/>
  <c r="AX1008" i="3"/>
  <c r="AV1008" i="3"/>
  <c r="AT1008" i="3"/>
  <c r="AQ1008" i="3"/>
  <c r="AO1008" i="3"/>
  <c r="AM1008" i="3"/>
  <c r="AK1008" i="3"/>
  <c r="AC1008" i="3"/>
  <c r="AA1008" i="3"/>
  <c r="Y1008" i="3"/>
  <c r="W1008" i="3"/>
  <c r="U1008" i="3"/>
  <c r="S1008" i="3"/>
  <c r="Q1008" i="3"/>
  <c r="O1008" i="3"/>
  <c r="M1008" i="3"/>
  <c r="K1008" i="3"/>
  <c r="I1008" i="3"/>
  <c r="G1008" i="3"/>
  <c r="AZ1007" i="3"/>
  <c r="AX1007" i="3"/>
  <c r="AV1007" i="3"/>
  <c r="AT1007" i="3"/>
  <c r="AQ1007" i="3"/>
  <c r="AO1007" i="3"/>
  <c r="AM1007" i="3"/>
  <c r="AK1007" i="3"/>
  <c r="AC1007" i="3"/>
  <c r="AA1007" i="3"/>
  <c r="Y1007" i="3"/>
  <c r="W1007" i="3"/>
  <c r="U1007" i="3"/>
  <c r="S1007" i="3"/>
  <c r="Q1007" i="3"/>
  <c r="O1007" i="3"/>
  <c r="M1007" i="3"/>
  <c r="K1007" i="3"/>
  <c r="I1007" i="3"/>
  <c r="G1007" i="3"/>
  <c r="AZ1006" i="3"/>
  <c r="AX1006" i="3"/>
  <c r="AV1006" i="3"/>
  <c r="AT1006" i="3"/>
  <c r="AQ1006" i="3"/>
  <c r="AO1006" i="3"/>
  <c r="AM1006" i="3"/>
  <c r="AK1006" i="3"/>
  <c r="AC1006" i="3"/>
  <c r="AA1006" i="3"/>
  <c r="Y1006" i="3"/>
  <c r="W1006" i="3"/>
  <c r="U1006" i="3"/>
  <c r="S1006" i="3"/>
  <c r="Q1006" i="3"/>
  <c r="O1006" i="3"/>
  <c r="M1006" i="3"/>
  <c r="K1006" i="3"/>
  <c r="I1006" i="3"/>
  <c r="G1006" i="3"/>
  <c r="AZ1005" i="3"/>
  <c r="AX1005" i="3"/>
  <c r="AV1005" i="3"/>
  <c r="AT1005" i="3"/>
  <c r="AQ1005" i="3"/>
  <c r="AO1005" i="3"/>
  <c r="AM1005" i="3"/>
  <c r="AK1005" i="3"/>
  <c r="AC1005" i="3"/>
  <c r="AA1005" i="3"/>
  <c r="Y1005" i="3"/>
  <c r="W1005" i="3"/>
  <c r="U1005" i="3"/>
  <c r="S1005" i="3"/>
  <c r="Q1005" i="3"/>
  <c r="O1005" i="3"/>
  <c r="M1005" i="3"/>
  <c r="K1005" i="3"/>
  <c r="I1005" i="3"/>
  <c r="G1005" i="3"/>
  <c r="AZ1004" i="3"/>
  <c r="AX1004" i="3"/>
  <c r="AV1004" i="3"/>
  <c r="AT1004" i="3"/>
  <c r="AQ1004" i="3"/>
  <c r="AO1004" i="3"/>
  <c r="AM1004" i="3"/>
  <c r="AK1004" i="3"/>
  <c r="AC1004" i="3"/>
  <c r="AA1004" i="3"/>
  <c r="Y1004" i="3"/>
  <c r="W1004" i="3"/>
  <c r="U1004" i="3"/>
  <c r="S1004" i="3"/>
  <c r="Q1004" i="3"/>
  <c r="O1004" i="3"/>
  <c r="M1004" i="3"/>
  <c r="K1004" i="3"/>
  <c r="I1004" i="3"/>
  <c r="G1004" i="3"/>
  <c r="AZ1003" i="3"/>
  <c r="AX1003" i="3"/>
  <c r="AV1003" i="3"/>
  <c r="AT1003" i="3"/>
  <c r="AQ1003" i="3"/>
  <c r="AO1003" i="3"/>
  <c r="AM1003" i="3"/>
  <c r="AK1003" i="3"/>
  <c r="AC1003" i="3"/>
  <c r="AA1003" i="3"/>
  <c r="Y1003" i="3"/>
  <c r="W1003" i="3"/>
  <c r="U1003" i="3"/>
  <c r="S1003" i="3"/>
  <c r="Q1003" i="3"/>
  <c r="O1003" i="3"/>
  <c r="M1003" i="3"/>
  <c r="K1003" i="3"/>
  <c r="I1003" i="3"/>
  <c r="G1003" i="3"/>
  <c r="AZ1002" i="3"/>
  <c r="AX1002" i="3"/>
  <c r="AV1002" i="3"/>
  <c r="AT1002" i="3"/>
  <c r="AQ1002" i="3"/>
  <c r="AO1002" i="3"/>
  <c r="AM1002" i="3"/>
  <c r="AK1002" i="3"/>
  <c r="AC1002" i="3"/>
  <c r="AA1002" i="3"/>
  <c r="Y1002" i="3"/>
  <c r="W1002" i="3"/>
  <c r="U1002" i="3"/>
  <c r="S1002" i="3"/>
  <c r="Q1002" i="3"/>
  <c r="O1002" i="3"/>
  <c r="M1002" i="3"/>
  <c r="K1002" i="3"/>
  <c r="I1002" i="3"/>
  <c r="G1002" i="3"/>
  <c r="AZ1001" i="3"/>
  <c r="AX1001" i="3"/>
  <c r="AV1001" i="3"/>
  <c r="AT1001" i="3"/>
  <c r="AQ1001" i="3"/>
  <c r="AO1001" i="3"/>
  <c r="AM1001" i="3"/>
  <c r="AK1001" i="3"/>
  <c r="AC1001" i="3"/>
  <c r="AA1001" i="3"/>
  <c r="Y1001" i="3"/>
  <c r="W1001" i="3"/>
  <c r="U1001" i="3"/>
  <c r="S1001" i="3"/>
  <c r="Q1001" i="3"/>
  <c r="O1001" i="3"/>
  <c r="M1001" i="3"/>
  <c r="K1001" i="3"/>
  <c r="I1001" i="3"/>
  <c r="G1001" i="3"/>
  <c r="AZ1000" i="3"/>
  <c r="AX1000" i="3"/>
  <c r="AV1000" i="3"/>
  <c r="AT1000" i="3"/>
  <c r="AQ1000" i="3"/>
  <c r="AO1000" i="3"/>
  <c r="AM1000" i="3"/>
  <c r="AK1000" i="3"/>
  <c r="AC1000" i="3"/>
  <c r="AA1000" i="3"/>
  <c r="Y1000" i="3"/>
  <c r="W1000" i="3"/>
  <c r="U1000" i="3"/>
  <c r="S1000" i="3"/>
  <c r="Q1000" i="3"/>
  <c r="O1000" i="3"/>
  <c r="M1000" i="3"/>
  <c r="K1000" i="3"/>
  <c r="I1000" i="3"/>
  <c r="G1000" i="3"/>
  <c r="AZ999" i="3"/>
  <c r="AX999" i="3"/>
  <c r="AV999" i="3"/>
  <c r="AT999" i="3"/>
  <c r="AQ999" i="3"/>
  <c r="AO999" i="3"/>
  <c r="AM999" i="3"/>
  <c r="AK999" i="3"/>
  <c r="AC999" i="3"/>
  <c r="AA999" i="3"/>
  <c r="Y999" i="3"/>
  <c r="W999" i="3"/>
  <c r="U999" i="3"/>
  <c r="S999" i="3"/>
  <c r="Q999" i="3"/>
  <c r="O999" i="3"/>
  <c r="M999" i="3"/>
  <c r="K999" i="3"/>
  <c r="I999" i="3"/>
  <c r="G999" i="3"/>
  <c r="AZ998" i="3"/>
  <c r="AX998" i="3"/>
  <c r="AV998" i="3"/>
  <c r="AT998" i="3"/>
  <c r="AQ998" i="3"/>
  <c r="AO998" i="3"/>
  <c r="AM998" i="3"/>
  <c r="AK998" i="3"/>
  <c r="AC998" i="3"/>
  <c r="AA998" i="3"/>
  <c r="Y998" i="3"/>
  <c r="W998" i="3"/>
  <c r="U998" i="3"/>
  <c r="S998" i="3"/>
  <c r="Q998" i="3"/>
  <c r="O998" i="3"/>
  <c r="M998" i="3"/>
  <c r="K998" i="3"/>
  <c r="I998" i="3"/>
  <c r="G998" i="3"/>
  <c r="AZ997" i="3"/>
  <c r="AX997" i="3"/>
  <c r="AV997" i="3"/>
  <c r="AT997" i="3"/>
  <c r="AQ997" i="3"/>
  <c r="AO997" i="3"/>
  <c r="AM997" i="3"/>
  <c r="AK997" i="3"/>
  <c r="AC997" i="3"/>
  <c r="AA997" i="3"/>
  <c r="Y997" i="3"/>
  <c r="W997" i="3"/>
  <c r="U997" i="3"/>
  <c r="S997" i="3"/>
  <c r="Q997" i="3"/>
  <c r="O997" i="3"/>
  <c r="M997" i="3"/>
  <c r="K997" i="3"/>
  <c r="I997" i="3"/>
  <c r="G997" i="3"/>
  <c r="AZ996" i="3"/>
  <c r="AX996" i="3"/>
  <c r="AV996" i="3"/>
  <c r="AT996" i="3"/>
  <c r="AQ996" i="3"/>
  <c r="AO996" i="3"/>
  <c r="AM996" i="3"/>
  <c r="AK996" i="3"/>
  <c r="AC996" i="3"/>
  <c r="AA996" i="3"/>
  <c r="Y996" i="3"/>
  <c r="W996" i="3"/>
  <c r="U996" i="3"/>
  <c r="S996" i="3"/>
  <c r="Q996" i="3"/>
  <c r="O996" i="3"/>
  <c r="M996" i="3"/>
  <c r="K996" i="3"/>
  <c r="I996" i="3"/>
  <c r="G996" i="3"/>
  <c r="AZ995" i="3"/>
  <c r="AX995" i="3"/>
  <c r="AV995" i="3"/>
  <c r="AT995" i="3"/>
  <c r="AQ995" i="3"/>
  <c r="AO995" i="3"/>
  <c r="AM995" i="3"/>
  <c r="AK995" i="3"/>
  <c r="AC995" i="3"/>
  <c r="AA995" i="3"/>
  <c r="Y995" i="3"/>
  <c r="W995" i="3"/>
  <c r="U995" i="3"/>
  <c r="S995" i="3"/>
  <c r="Q995" i="3"/>
  <c r="O995" i="3"/>
  <c r="M995" i="3"/>
  <c r="K995" i="3"/>
  <c r="I995" i="3"/>
  <c r="G995" i="3"/>
  <c r="AZ994" i="3"/>
  <c r="AX994" i="3"/>
  <c r="AV994" i="3"/>
  <c r="AT994" i="3"/>
  <c r="AQ994" i="3"/>
  <c r="AO994" i="3"/>
  <c r="AM994" i="3"/>
  <c r="AK994" i="3"/>
  <c r="AC994" i="3"/>
  <c r="AA994" i="3"/>
  <c r="Y994" i="3"/>
  <c r="W994" i="3"/>
  <c r="U994" i="3"/>
  <c r="S994" i="3"/>
  <c r="Q994" i="3"/>
  <c r="O994" i="3"/>
  <c r="M994" i="3"/>
  <c r="K994" i="3"/>
  <c r="I994" i="3"/>
  <c r="G994" i="3"/>
  <c r="AZ993" i="3"/>
  <c r="AX993" i="3"/>
  <c r="AV993" i="3"/>
  <c r="AT993" i="3"/>
  <c r="AQ993" i="3"/>
  <c r="AO993" i="3"/>
  <c r="AM993" i="3"/>
  <c r="AK993" i="3"/>
  <c r="AC993" i="3"/>
  <c r="AA993" i="3"/>
  <c r="Y993" i="3"/>
  <c r="W993" i="3"/>
  <c r="U993" i="3"/>
  <c r="S993" i="3"/>
  <c r="Q993" i="3"/>
  <c r="O993" i="3"/>
  <c r="M993" i="3"/>
  <c r="K993" i="3"/>
  <c r="I993" i="3"/>
  <c r="G993" i="3"/>
  <c r="AZ992" i="3"/>
  <c r="AX992" i="3"/>
  <c r="AV992" i="3"/>
  <c r="AT992" i="3"/>
  <c r="AQ992" i="3"/>
  <c r="AO992" i="3"/>
  <c r="AM992" i="3"/>
  <c r="AK992" i="3"/>
  <c r="AC992" i="3"/>
  <c r="AA992" i="3"/>
  <c r="Y992" i="3"/>
  <c r="W992" i="3"/>
  <c r="U992" i="3"/>
  <c r="S992" i="3"/>
  <c r="Q992" i="3"/>
  <c r="O992" i="3"/>
  <c r="M992" i="3"/>
  <c r="K992" i="3"/>
  <c r="I992" i="3"/>
  <c r="G992" i="3"/>
  <c r="AZ991" i="3"/>
  <c r="AX991" i="3"/>
  <c r="AV991" i="3"/>
  <c r="AT991" i="3"/>
  <c r="AQ991" i="3"/>
  <c r="AO991" i="3"/>
  <c r="AM991" i="3"/>
  <c r="AK991" i="3"/>
  <c r="AC991" i="3"/>
  <c r="AA991" i="3"/>
  <c r="Y991" i="3"/>
  <c r="W991" i="3"/>
  <c r="U991" i="3"/>
  <c r="S991" i="3"/>
  <c r="Q991" i="3"/>
  <c r="O991" i="3"/>
  <c r="M991" i="3"/>
  <c r="K991" i="3"/>
  <c r="I991" i="3"/>
  <c r="G991" i="3"/>
  <c r="AZ990" i="3"/>
  <c r="AX990" i="3"/>
  <c r="AV990" i="3"/>
  <c r="AT990" i="3"/>
  <c r="AQ990" i="3"/>
  <c r="AO990" i="3"/>
  <c r="AM990" i="3"/>
  <c r="AK990" i="3"/>
  <c r="AC990" i="3"/>
  <c r="AA990" i="3"/>
  <c r="Y990" i="3"/>
  <c r="W990" i="3"/>
  <c r="U990" i="3"/>
  <c r="S990" i="3"/>
  <c r="Q990" i="3"/>
  <c r="O990" i="3"/>
  <c r="M990" i="3"/>
  <c r="K990" i="3"/>
  <c r="I990" i="3"/>
  <c r="G990" i="3"/>
  <c r="AZ989" i="3"/>
  <c r="AX989" i="3"/>
  <c r="AV989" i="3"/>
  <c r="AT989" i="3"/>
  <c r="AQ989" i="3"/>
  <c r="AO989" i="3"/>
  <c r="AM989" i="3"/>
  <c r="AK989" i="3"/>
  <c r="AC989" i="3"/>
  <c r="AA989" i="3"/>
  <c r="Y989" i="3"/>
  <c r="W989" i="3"/>
  <c r="U989" i="3"/>
  <c r="S989" i="3"/>
  <c r="Q989" i="3"/>
  <c r="O989" i="3"/>
  <c r="M989" i="3"/>
  <c r="K989" i="3"/>
  <c r="I989" i="3"/>
  <c r="G989" i="3"/>
  <c r="AZ988" i="3"/>
  <c r="AX988" i="3"/>
  <c r="AV988" i="3"/>
  <c r="AT988" i="3"/>
  <c r="AQ988" i="3"/>
  <c r="AO988" i="3"/>
  <c r="AM988" i="3"/>
  <c r="AK988" i="3"/>
  <c r="AC988" i="3"/>
  <c r="AA988" i="3"/>
  <c r="Y988" i="3"/>
  <c r="W988" i="3"/>
  <c r="U988" i="3"/>
  <c r="S988" i="3"/>
  <c r="Q988" i="3"/>
  <c r="O988" i="3"/>
  <c r="M988" i="3"/>
  <c r="K988" i="3"/>
  <c r="I988" i="3"/>
  <c r="G988" i="3"/>
  <c r="AZ987" i="3"/>
  <c r="AX987" i="3"/>
  <c r="AV987" i="3"/>
  <c r="AT987" i="3"/>
  <c r="AQ987" i="3"/>
  <c r="AO987" i="3"/>
  <c r="AM987" i="3"/>
  <c r="AK987" i="3"/>
  <c r="AC987" i="3"/>
  <c r="AA987" i="3"/>
  <c r="Y987" i="3"/>
  <c r="W987" i="3"/>
  <c r="U987" i="3"/>
  <c r="S987" i="3"/>
  <c r="Q987" i="3"/>
  <c r="O987" i="3"/>
  <c r="M987" i="3"/>
  <c r="K987" i="3"/>
  <c r="I987" i="3"/>
  <c r="G987" i="3"/>
  <c r="AZ986" i="3"/>
  <c r="AX986" i="3"/>
  <c r="AV986" i="3"/>
  <c r="AT986" i="3"/>
  <c r="AQ986" i="3"/>
  <c r="AO986" i="3"/>
  <c r="AM986" i="3"/>
  <c r="AK986" i="3"/>
  <c r="AC986" i="3"/>
  <c r="AA986" i="3"/>
  <c r="Y986" i="3"/>
  <c r="W986" i="3"/>
  <c r="U986" i="3"/>
  <c r="S986" i="3"/>
  <c r="Q986" i="3"/>
  <c r="O986" i="3"/>
  <c r="M986" i="3"/>
  <c r="K986" i="3"/>
  <c r="I986" i="3"/>
  <c r="G986" i="3"/>
  <c r="AZ985" i="3"/>
  <c r="AX985" i="3"/>
  <c r="AV985" i="3"/>
  <c r="AT985" i="3"/>
  <c r="AQ985" i="3"/>
  <c r="AO985" i="3"/>
  <c r="AM985" i="3"/>
  <c r="AK985" i="3"/>
  <c r="AC985" i="3"/>
  <c r="AA985" i="3"/>
  <c r="Y985" i="3"/>
  <c r="W985" i="3"/>
  <c r="U985" i="3"/>
  <c r="S985" i="3"/>
  <c r="Q985" i="3"/>
  <c r="O985" i="3"/>
  <c r="M985" i="3"/>
  <c r="K985" i="3"/>
  <c r="I985" i="3"/>
  <c r="G985" i="3"/>
  <c r="AZ984" i="3"/>
  <c r="AX984" i="3"/>
  <c r="AV984" i="3"/>
  <c r="AT984" i="3"/>
  <c r="AQ984" i="3"/>
  <c r="AO984" i="3"/>
  <c r="AM984" i="3"/>
  <c r="AK984" i="3"/>
  <c r="AC984" i="3"/>
  <c r="AA984" i="3"/>
  <c r="Y984" i="3"/>
  <c r="W984" i="3"/>
  <c r="U984" i="3"/>
  <c r="S984" i="3"/>
  <c r="Q984" i="3"/>
  <c r="O984" i="3"/>
  <c r="M984" i="3"/>
  <c r="K984" i="3"/>
  <c r="I984" i="3"/>
  <c r="G984" i="3"/>
  <c r="AZ983" i="3"/>
  <c r="AX983" i="3"/>
  <c r="AV983" i="3"/>
  <c r="AT983" i="3"/>
  <c r="AQ983" i="3"/>
  <c r="AO983" i="3"/>
  <c r="AM983" i="3"/>
  <c r="AK983" i="3"/>
  <c r="AC983" i="3"/>
  <c r="AA983" i="3"/>
  <c r="Y983" i="3"/>
  <c r="W983" i="3"/>
  <c r="U983" i="3"/>
  <c r="S983" i="3"/>
  <c r="Q983" i="3"/>
  <c r="O983" i="3"/>
  <c r="M983" i="3"/>
  <c r="K983" i="3"/>
  <c r="I983" i="3"/>
  <c r="G983" i="3"/>
  <c r="AZ982" i="3"/>
  <c r="AX982" i="3"/>
  <c r="AV982" i="3"/>
  <c r="AT982" i="3"/>
  <c r="AQ982" i="3"/>
  <c r="AO982" i="3"/>
  <c r="AM982" i="3"/>
  <c r="AK982" i="3"/>
  <c r="AC982" i="3"/>
  <c r="AA982" i="3"/>
  <c r="Y982" i="3"/>
  <c r="W982" i="3"/>
  <c r="U982" i="3"/>
  <c r="S982" i="3"/>
  <c r="Q982" i="3"/>
  <c r="O982" i="3"/>
  <c r="M982" i="3"/>
  <c r="K982" i="3"/>
  <c r="I982" i="3"/>
  <c r="G982" i="3"/>
  <c r="AZ981" i="3"/>
  <c r="AX981" i="3"/>
  <c r="AV981" i="3"/>
  <c r="AT981" i="3"/>
  <c r="AQ981" i="3"/>
  <c r="AO981" i="3"/>
  <c r="AM981" i="3"/>
  <c r="AK981" i="3"/>
  <c r="AC981" i="3"/>
  <c r="AA981" i="3"/>
  <c r="Y981" i="3"/>
  <c r="W981" i="3"/>
  <c r="U981" i="3"/>
  <c r="S981" i="3"/>
  <c r="Q981" i="3"/>
  <c r="O981" i="3"/>
  <c r="M981" i="3"/>
  <c r="K981" i="3"/>
  <c r="I981" i="3"/>
  <c r="G981" i="3"/>
  <c r="AZ980" i="3"/>
  <c r="AX980" i="3"/>
  <c r="AV980" i="3"/>
  <c r="AT980" i="3"/>
  <c r="AQ980" i="3"/>
  <c r="AO980" i="3"/>
  <c r="AM980" i="3"/>
  <c r="AK980" i="3"/>
  <c r="AC980" i="3"/>
  <c r="AA980" i="3"/>
  <c r="Y980" i="3"/>
  <c r="W980" i="3"/>
  <c r="U980" i="3"/>
  <c r="S980" i="3"/>
  <c r="Q980" i="3"/>
  <c r="O980" i="3"/>
  <c r="M980" i="3"/>
  <c r="K980" i="3"/>
  <c r="I980" i="3"/>
  <c r="G980" i="3"/>
  <c r="AZ979" i="3"/>
  <c r="AX979" i="3"/>
  <c r="AV979" i="3"/>
  <c r="AT979" i="3"/>
  <c r="AQ979" i="3"/>
  <c r="AO979" i="3"/>
  <c r="AM979" i="3"/>
  <c r="AK979" i="3"/>
  <c r="AC979" i="3"/>
  <c r="AA979" i="3"/>
  <c r="Y979" i="3"/>
  <c r="W979" i="3"/>
  <c r="U979" i="3"/>
  <c r="S979" i="3"/>
  <c r="Q979" i="3"/>
  <c r="O979" i="3"/>
  <c r="M979" i="3"/>
  <c r="K979" i="3"/>
  <c r="I979" i="3"/>
  <c r="G979" i="3"/>
  <c r="AZ978" i="3"/>
  <c r="AX978" i="3"/>
  <c r="AV978" i="3"/>
  <c r="AT978" i="3"/>
  <c r="AQ978" i="3"/>
  <c r="AO978" i="3"/>
  <c r="AM978" i="3"/>
  <c r="AK978" i="3"/>
  <c r="AC978" i="3"/>
  <c r="AA978" i="3"/>
  <c r="Y978" i="3"/>
  <c r="W978" i="3"/>
  <c r="U978" i="3"/>
  <c r="S978" i="3"/>
  <c r="Q978" i="3"/>
  <c r="O978" i="3"/>
  <c r="M978" i="3"/>
  <c r="K978" i="3"/>
  <c r="I978" i="3"/>
  <c r="G978" i="3"/>
  <c r="AZ977" i="3"/>
  <c r="AX977" i="3"/>
  <c r="AV977" i="3"/>
  <c r="AT977" i="3"/>
  <c r="AQ977" i="3"/>
  <c r="AO977" i="3"/>
  <c r="AM977" i="3"/>
  <c r="AK977" i="3"/>
  <c r="AC977" i="3"/>
  <c r="AA977" i="3"/>
  <c r="Y977" i="3"/>
  <c r="W977" i="3"/>
  <c r="U977" i="3"/>
  <c r="S977" i="3"/>
  <c r="Q977" i="3"/>
  <c r="O977" i="3"/>
  <c r="M977" i="3"/>
  <c r="K977" i="3"/>
  <c r="I977" i="3"/>
  <c r="G977" i="3"/>
  <c r="AZ976" i="3"/>
  <c r="AX976" i="3"/>
  <c r="AV976" i="3"/>
  <c r="AT976" i="3"/>
  <c r="AQ976" i="3"/>
  <c r="AO976" i="3"/>
  <c r="AM976" i="3"/>
  <c r="AK976" i="3"/>
  <c r="AC976" i="3"/>
  <c r="AA976" i="3"/>
  <c r="Y976" i="3"/>
  <c r="W976" i="3"/>
  <c r="U976" i="3"/>
  <c r="S976" i="3"/>
  <c r="Q976" i="3"/>
  <c r="O976" i="3"/>
  <c r="M976" i="3"/>
  <c r="K976" i="3"/>
  <c r="I976" i="3"/>
  <c r="G976" i="3"/>
  <c r="AZ975" i="3"/>
  <c r="AX975" i="3"/>
  <c r="AV975" i="3"/>
  <c r="AT975" i="3"/>
  <c r="AQ975" i="3"/>
  <c r="AO975" i="3"/>
  <c r="AM975" i="3"/>
  <c r="AK975" i="3"/>
  <c r="AC975" i="3"/>
  <c r="AA975" i="3"/>
  <c r="Y975" i="3"/>
  <c r="W975" i="3"/>
  <c r="U975" i="3"/>
  <c r="S975" i="3"/>
  <c r="Q975" i="3"/>
  <c r="O975" i="3"/>
  <c r="M975" i="3"/>
  <c r="K975" i="3"/>
  <c r="I975" i="3"/>
  <c r="G975" i="3"/>
  <c r="AZ974" i="3"/>
  <c r="AX974" i="3"/>
  <c r="AV974" i="3"/>
  <c r="AT974" i="3"/>
  <c r="AQ974" i="3"/>
  <c r="AO974" i="3"/>
  <c r="AM974" i="3"/>
  <c r="AK974" i="3"/>
  <c r="AC974" i="3"/>
  <c r="AA974" i="3"/>
  <c r="Y974" i="3"/>
  <c r="W974" i="3"/>
  <c r="U974" i="3"/>
  <c r="S974" i="3"/>
  <c r="Q974" i="3"/>
  <c r="O974" i="3"/>
  <c r="M974" i="3"/>
  <c r="K974" i="3"/>
  <c r="I974" i="3"/>
  <c r="G974" i="3"/>
  <c r="AZ973" i="3"/>
  <c r="AX973" i="3"/>
  <c r="AV973" i="3"/>
  <c r="AT973" i="3"/>
  <c r="AQ973" i="3"/>
  <c r="AO973" i="3"/>
  <c r="AM973" i="3"/>
  <c r="AK973" i="3"/>
  <c r="AC973" i="3"/>
  <c r="AA973" i="3"/>
  <c r="Y973" i="3"/>
  <c r="W973" i="3"/>
  <c r="U973" i="3"/>
  <c r="S973" i="3"/>
  <c r="Q973" i="3"/>
  <c r="O973" i="3"/>
  <c r="M973" i="3"/>
  <c r="K973" i="3"/>
  <c r="I973" i="3"/>
  <c r="G973" i="3"/>
  <c r="AZ972" i="3"/>
  <c r="AX972" i="3"/>
  <c r="AV972" i="3"/>
  <c r="AT972" i="3"/>
  <c r="AQ972" i="3"/>
  <c r="AO972" i="3"/>
  <c r="AM972" i="3"/>
  <c r="AK972" i="3"/>
  <c r="AC972" i="3"/>
  <c r="AA972" i="3"/>
  <c r="Y972" i="3"/>
  <c r="W972" i="3"/>
  <c r="U972" i="3"/>
  <c r="S972" i="3"/>
  <c r="Q972" i="3"/>
  <c r="O972" i="3"/>
  <c r="M972" i="3"/>
  <c r="K972" i="3"/>
  <c r="I972" i="3"/>
  <c r="G972" i="3"/>
  <c r="AZ971" i="3"/>
  <c r="AX971" i="3"/>
  <c r="AV971" i="3"/>
  <c r="AT971" i="3"/>
  <c r="AQ971" i="3"/>
  <c r="AO971" i="3"/>
  <c r="AM971" i="3"/>
  <c r="AK971" i="3"/>
  <c r="AC971" i="3"/>
  <c r="AA971" i="3"/>
  <c r="Y971" i="3"/>
  <c r="W971" i="3"/>
  <c r="U971" i="3"/>
  <c r="S971" i="3"/>
  <c r="Q971" i="3"/>
  <c r="O971" i="3"/>
  <c r="M971" i="3"/>
  <c r="K971" i="3"/>
  <c r="I971" i="3"/>
  <c r="G971" i="3"/>
  <c r="AZ970" i="3"/>
  <c r="AX970" i="3"/>
  <c r="AV970" i="3"/>
  <c r="AT970" i="3"/>
  <c r="AQ970" i="3"/>
  <c r="AO970" i="3"/>
  <c r="AM970" i="3"/>
  <c r="AK970" i="3"/>
  <c r="AC970" i="3"/>
  <c r="AA970" i="3"/>
  <c r="Y970" i="3"/>
  <c r="W970" i="3"/>
  <c r="U970" i="3"/>
  <c r="S970" i="3"/>
  <c r="Q970" i="3"/>
  <c r="O970" i="3"/>
  <c r="M970" i="3"/>
  <c r="K970" i="3"/>
  <c r="I970" i="3"/>
  <c r="G970" i="3"/>
  <c r="AZ969" i="3"/>
  <c r="AX969" i="3"/>
  <c r="AV969" i="3"/>
  <c r="AT969" i="3"/>
  <c r="AQ969" i="3"/>
  <c r="AO969" i="3"/>
  <c r="AM969" i="3"/>
  <c r="AK969" i="3"/>
  <c r="AC969" i="3"/>
  <c r="AA969" i="3"/>
  <c r="Y969" i="3"/>
  <c r="W969" i="3"/>
  <c r="U969" i="3"/>
  <c r="S969" i="3"/>
  <c r="Q969" i="3"/>
  <c r="O969" i="3"/>
  <c r="M969" i="3"/>
  <c r="K969" i="3"/>
  <c r="I969" i="3"/>
  <c r="G969" i="3"/>
  <c r="AZ968" i="3"/>
  <c r="AX968" i="3"/>
  <c r="AV968" i="3"/>
  <c r="AT968" i="3"/>
  <c r="AQ968" i="3"/>
  <c r="AO968" i="3"/>
  <c r="AM968" i="3"/>
  <c r="AK968" i="3"/>
  <c r="AC968" i="3"/>
  <c r="AA968" i="3"/>
  <c r="Y968" i="3"/>
  <c r="W968" i="3"/>
  <c r="U968" i="3"/>
  <c r="S968" i="3"/>
  <c r="Q968" i="3"/>
  <c r="O968" i="3"/>
  <c r="M968" i="3"/>
  <c r="K968" i="3"/>
  <c r="I968" i="3"/>
  <c r="G968" i="3"/>
  <c r="AZ967" i="3"/>
  <c r="AX967" i="3"/>
  <c r="AV967" i="3"/>
  <c r="AT967" i="3"/>
  <c r="AQ967" i="3"/>
  <c r="AO967" i="3"/>
  <c r="AM967" i="3"/>
  <c r="AK967" i="3"/>
  <c r="AC967" i="3"/>
  <c r="AA967" i="3"/>
  <c r="Y967" i="3"/>
  <c r="W967" i="3"/>
  <c r="U967" i="3"/>
  <c r="S967" i="3"/>
  <c r="Q967" i="3"/>
  <c r="O967" i="3"/>
  <c r="M967" i="3"/>
  <c r="K967" i="3"/>
  <c r="I967" i="3"/>
  <c r="G967" i="3"/>
  <c r="AZ966" i="3"/>
  <c r="AX966" i="3"/>
  <c r="AV966" i="3"/>
  <c r="AT966" i="3"/>
  <c r="AQ966" i="3"/>
  <c r="AO966" i="3"/>
  <c r="AM966" i="3"/>
  <c r="AK966" i="3"/>
  <c r="AC966" i="3"/>
  <c r="AA966" i="3"/>
  <c r="Y966" i="3"/>
  <c r="W966" i="3"/>
  <c r="U966" i="3"/>
  <c r="S966" i="3"/>
  <c r="Q966" i="3"/>
  <c r="O966" i="3"/>
  <c r="M966" i="3"/>
  <c r="K966" i="3"/>
  <c r="I966" i="3"/>
  <c r="G966" i="3"/>
  <c r="AZ965" i="3"/>
  <c r="AX965" i="3"/>
  <c r="AV965" i="3"/>
  <c r="AT965" i="3"/>
  <c r="AQ965" i="3"/>
  <c r="AO965" i="3"/>
  <c r="AM965" i="3"/>
  <c r="AK965" i="3"/>
  <c r="AC965" i="3"/>
  <c r="AA965" i="3"/>
  <c r="Y965" i="3"/>
  <c r="W965" i="3"/>
  <c r="U965" i="3"/>
  <c r="S965" i="3"/>
  <c r="Q965" i="3"/>
  <c r="O965" i="3"/>
  <c r="M965" i="3"/>
  <c r="K965" i="3"/>
  <c r="I965" i="3"/>
  <c r="G965" i="3"/>
  <c r="AZ964" i="3"/>
  <c r="AX964" i="3"/>
  <c r="AV964" i="3"/>
  <c r="AT964" i="3"/>
  <c r="AQ964" i="3"/>
  <c r="AO964" i="3"/>
  <c r="AM964" i="3"/>
  <c r="AK964" i="3"/>
  <c r="AC964" i="3"/>
  <c r="AA964" i="3"/>
  <c r="Y964" i="3"/>
  <c r="W964" i="3"/>
  <c r="U964" i="3"/>
  <c r="S964" i="3"/>
  <c r="Q964" i="3"/>
  <c r="O964" i="3"/>
  <c r="M964" i="3"/>
  <c r="K964" i="3"/>
  <c r="I964" i="3"/>
  <c r="G964" i="3"/>
  <c r="AZ963" i="3"/>
  <c r="AX963" i="3"/>
  <c r="AV963" i="3"/>
  <c r="AT963" i="3"/>
  <c r="AQ963" i="3"/>
  <c r="AO963" i="3"/>
  <c r="AM963" i="3"/>
  <c r="AK963" i="3"/>
  <c r="AC963" i="3"/>
  <c r="AA963" i="3"/>
  <c r="Y963" i="3"/>
  <c r="W963" i="3"/>
  <c r="U963" i="3"/>
  <c r="S963" i="3"/>
  <c r="Q963" i="3"/>
  <c r="O963" i="3"/>
  <c r="M963" i="3"/>
  <c r="K963" i="3"/>
  <c r="I963" i="3"/>
  <c r="G963" i="3"/>
  <c r="AZ962" i="3"/>
  <c r="AX962" i="3"/>
  <c r="AV962" i="3"/>
  <c r="AT962" i="3"/>
  <c r="AQ962" i="3"/>
  <c r="AO962" i="3"/>
  <c r="AM962" i="3"/>
  <c r="AK962" i="3"/>
  <c r="AC962" i="3"/>
  <c r="AA962" i="3"/>
  <c r="Y962" i="3"/>
  <c r="W962" i="3"/>
  <c r="U962" i="3"/>
  <c r="S962" i="3"/>
  <c r="Q962" i="3"/>
  <c r="O962" i="3"/>
  <c r="M962" i="3"/>
  <c r="K962" i="3"/>
  <c r="I962" i="3"/>
  <c r="G962" i="3"/>
  <c r="AZ961" i="3"/>
  <c r="AX961" i="3"/>
  <c r="AV961" i="3"/>
  <c r="AT961" i="3"/>
  <c r="AQ961" i="3"/>
  <c r="AO961" i="3"/>
  <c r="AM961" i="3"/>
  <c r="AK961" i="3"/>
  <c r="AC961" i="3"/>
  <c r="AA961" i="3"/>
  <c r="Y961" i="3"/>
  <c r="W961" i="3"/>
  <c r="U961" i="3"/>
  <c r="S961" i="3"/>
  <c r="Q961" i="3"/>
  <c r="O961" i="3"/>
  <c r="M961" i="3"/>
  <c r="K961" i="3"/>
  <c r="I961" i="3"/>
  <c r="G961" i="3"/>
  <c r="AZ960" i="3"/>
  <c r="AX960" i="3"/>
  <c r="AV960" i="3"/>
  <c r="AT960" i="3"/>
  <c r="AQ960" i="3"/>
  <c r="AO960" i="3"/>
  <c r="AM960" i="3"/>
  <c r="AK960" i="3"/>
  <c r="AC960" i="3"/>
  <c r="AA960" i="3"/>
  <c r="Y960" i="3"/>
  <c r="W960" i="3"/>
  <c r="U960" i="3"/>
  <c r="S960" i="3"/>
  <c r="Q960" i="3"/>
  <c r="O960" i="3"/>
  <c r="M960" i="3"/>
  <c r="K960" i="3"/>
  <c r="I960" i="3"/>
  <c r="G960" i="3"/>
  <c r="AZ959" i="3"/>
  <c r="AX959" i="3"/>
  <c r="AV959" i="3"/>
  <c r="AT959" i="3"/>
  <c r="AQ959" i="3"/>
  <c r="AO959" i="3"/>
  <c r="AM959" i="3"/>
  <c r="AK959" i="3"/>
  <c r="AC959" i="3"/>
  <c r="AA959" i="3"/>
  <c r="Y959" i="3"/>
  <c r="W959" i="3"/>
  <c r="U959" i="3"/>
  <c r="S959" i="3"/>
  <c r="Q959" i="3"/>
  <c r="O959" i="3"/>
  <c r="M959" i="3"/>
  <c r="K959" i="3"/>
  <c r="I959" i="3"/>
  <c r="G959" i="3"/>
  <c r="AZ958" i="3"/>
  <c r="AX958" i="3"/>
  <c r="AV958" i="3"/>
  <c r="AT958" i="3"/>
  <c r="AQ958" i="3"/>
  <c r="AO958" i="3"/>
  <c r="AM958" i="3"/>
  <c r="AK958" i="3"/>
  <c r="AC958" i="3"/>
  <c r="AA958" i="3"/>
  <c r="Y958" i="3"/>
  <c r="W958" i="3"/>
  <c r="U958" i="3"/>
  <c r="S958" i="3"/>
  <c r="Q958" i="3"/>
  <c r="O958" i="3"/>
  <c r="M958" i="3"/>
  <c r="K958" i="3"/>
  <c r="I958" i="3"/>
  <c r="G958" i="3"/>
  <c r="AZ957" i="3"/>
  <c r="AX957" i="3"/>
  <c r="AV957" i="3"/>
  <c r="AT957" i="3"/>
  <c r="AQ957" i="3"/>
  <c r="AO957" i="3"/>
  <c r="AM957" i="3"/>
  <c r="AK957" i="3"/>
  <c r="AC957" i="3"/>
  <c r="AA957" i="3"/>
  <c r="Y957" i="3"/>
  <c r="W957" i="3"/>
  <c r="U957" i="3"/>
  <c r="S957" i="3"/>
  <c r="Q957" i="3"/>
  <c r="O957" i="3"/>
  <c r="M957" i="3"/>
  <c r="K957" i="3"/>
  <c r="I957" i="3"/>
  <c r="G957" i="3"/>
  <c r="AZ956" i="3"/>
  <c r="AX956" i="3"/>
  <c r="AV956" i="3"/>
  <c r="AT956" i="3"/>
  <c r="AQ956" i="3"/>
  <c r="AO956" i="3"/>
  <c r="AM956" i="3"/>
  <c r="AK956" i="3"/>
  <c r="AC956" i="3"/>
  <c r="AA956" i="3"/>
  <c r="Y956" i="3"/>
  <c r="W956" i="3"/>
  <c r="U956" i="3"/>
  <c r="S956" i="3"/>
  <c r="Q956" i="3"/>
  <c r="O956" i="3"/>
  <c r="M956" i="3"/>
  <c r="K956" i="3"/>
  <c r="I956" i="3"/>
  <c r="G956" i="3"/>
  <c r="AZ955" i="3"/>
  <c r="AX955" i="3"/>
  <c r="AV955" i="3"/>
  <c r="AT955" i="3"/>
  <c r="AQ955" i="3"/>
  <c r="AO955" i="3"/>
  <c r="AM955" i="3"/>
  <c r="AK955" i="3"/>
  <c r="AC955" i="3"/>
  <c r="AA955" i="3"/>
  <c r="Y955" i="3"/>
  <c r="W955" i="3"/>
  <c r="U955" i="3"/>
  <c r="S955" i="3"/>
  <c r="Q955" i="3"/>
  <c r="O955" i="3"/>
  <c r="M955" i="3"/>
  <c r="K955" i="3"/>
  <c r="I955" i="3"/>
  <c r="G955" i="3"/>
  <c r="AZ954" i="3"/>
  <c r="AX954" i="3"/>
  <c r="AV954" i="3"/>
  <c r="AT954" i="3"/>
  <c r="AQ954" i="3"/>
  <c r="AO954" i="3"/>
  <c r="AM954" i="3"/>
  <c r="AK954" i="3"/>
  <c r="AC954" i="3"/>
  <c r="AA954" i="3"/>
  <c r="Y954" i="3"/>
  <c r="W954" i="3"/>
  <c r="U954" i="3"/>
  <c r="S954" i="3"/>
  <c r="Q954" i="3"/>
  <c r="O954" i="3"/>
  <c r="M954" i="3"/>
  <c r="K954" i="3"/>
  <c r="I954" i="3"/>
  <c r="G954" i="3"/>
  <c r="AZ953" i="3"/>
  <c r="AX953" i="3"/>
  <c r="AV953" i="3"/>
  <c r="AT953" i="3"/>
  <c r="AQ953" i="3"/>
  <c r="AO953" i="3"/>
  <c r="AM953" i="3"/>
  <c r="AK953" i="3"/>
  <c r="AC953" i="3"/>
  <c r="AA953" i="3"/>
  <c r="Y953" i="3"/>
  <c r="W953" i="3"/>
  <c r="U953" i="3"/>
  <c r="S953" i="3"/>
  <c r="Q953" i="3"/>
  <c r="O953" i="3"/>
  <c r="M953" i="3"/>
  <c r="K953" i="3"/>
  <c r="I953" i="3"/>
  <c r="G953" i="3"/>
  <c r="AZ952" i="3"/>
  <c r="AX952" i="3"/>
  <c r="AV952" i="3"/>
  <c r="AT952" i="3"/>
  <c r="AQ952" i="3"/>
  <c r="AO952" i="3"/>
  <c r="AM952" i="3"/>
  <c r="AK952" i="3"/>
  <c r="AC952" i="3"/>
  <c r="AA952" i="3"/>
  <c r="Y952" i="3"/>
  <c r="W952" i="3"/>
  <c r="U952" i="3"/>
  <c r="S952" i="3"/>
  <c r="Q952" i="3"/>
  <c r="O952" i="3"/>
  <c r="M952" i="3"/>
  <c r="K952" i="3"/>
  <c r="I952" i="3"/>
  <c r="G952" i="3"/>
  <c r="AZ951" i="3"/>
  <c r="AX951" i="3"/>
  <c r="AV951" i="3"/>
  <c r="AT951" i="3"/>
  <c r="AQ951" i="3"/>
  <c r="AO951" i="3"/>
  <c r="AM951" i="3"/>
  <c r="AK951" i="3"/>
  <c r="AC951" i="3"/>
  <c r="AA951" i="3"/>
  <c r="Y951" i="3"/>
  <c r="W951" i="3"/>
  <c r="U951" i="3"/>
  <c r="S951" i="3"/>
  <c r="Q951" i="3"/>
  <c r="O951" i="3"/>
  <c r="M951" i="3"/>
  <c r="K951" i="3"/>
  <c r="I951" i="3"/>
  <c r="G951" i="3"/>
  <c r="AZ950" i="3"/>
  <c r="AX950" i="3"/>
  <c r="AV950" i="3"/>
  <c r="AT950" i="3"/>
  <c r="AQ950" i="3"/>
  <c r="AO950" i="3"/>
  <c r="AM950" i="3"/>
  <c r="AK950" i="3"/>
  <c r="AC950" i="3"/>
  <c r="AA950" i="3"/>
  <c r="Y950" i="3"/>
  <c r="W950" i="3"/>
  <c r="U950" i="3"/>
  <c r="S950" i="3"/>
  <c r="Q950" i="3"/>
  <c r="O950" i="3"/>
  <c r="M950" i="3"/>
  <c r="K950" i="3"/>
  <c r="I950" i="3"/>
  <c r="G950" i="3"/>
  <c r="AZ949" i="3"/>
  <c r="AX949" i="3"/>
  <c r="AV949" i="3"/>
  <c r="AT949" i="3"/>
  <c r="AQ949" i="3"/>
  <c r="AO949" i="3"/>
  <c r="AM949" i="3"/>
  <c r="AK949" i="3"/>
  <c r="AC949" i="3"/>
  <c r="AA949" i="3"/>
  <c r="Y949" i="3"/>
  <c r="W949" i="3"/>
  <c r="U949" i="3"/>
  <c r="S949" i="3"/>
  <c r="Q949" i="3"/>
  <c r="O949" i="3"/>
  <c r="M949" i="3"/>
  <c r="K949" i="3"/>
  <c r="I949" i="3"/>
  <c r="G949" i="3"/>
  <c r="AZ948" i="3"/>
  <c r="AX948" i="3"/>
  <c r="AV948" i="3"/>
  <c r="AT948" i="3"/>
  <c r="AQ948" i="3"/>
  <c r="AO948" i="3"/>
  <c r="AM948" i="3"/>
  <c r="AK948" i="3"/>
  <c r="AC948" i="3"/>
  <c r="AA948" i="3"/>
  <c r="Y948" i="3"/>
  <c r="W948" i="3"/>
  <c r="U948" i="3"/>
  <c r="S948" i="3"/>
  <c r="Q948" i="3"/>
  <c r="O948" i="3"/>
  <c r="M948" i="3"/>
  <c r="K948" i="3"/>
  <c r="I948" i="3"/>
  <c r="G948" i="3"/>
  <c r="AZ947" i="3"/>
  <c r="AX947" i="3"/>
  <c r="AV947" i="3"/>
  <c r="AT947" i="3"/>
  <c r="AQ947" i="3"/>
  <c r="AO947" i="3"/>
  <c r="AM947" i="3"/>
  <c r="AK947" i="3"/>
  <c r="AC947" i="3"/>
  <c r="AA947" i="3"/>
  <c r="Y947" i="3"/>
  <c r="W947" i="3"/>
  <c r="U947" i="3"/>
  <c r="S947" i="3"/>
  <c r="Q947" i="3"/>
  <c r="O947" i="3"/>
  <c r="M947" i="3"/>
  <c r="K947" i="3"/>
  <c r="I947" i="3"/>
  <c r="G947" i="3"/>
  <c r="AZ946" i="3"/>
  <c r="AX946" i="3"/>
  <c r="AV946" i="3"/>
  <c r="AT946" i="3"/>
  <c r="AQ946" i="3"/>
  <c r="AO946" i="3"/>
  <c r="AM946" i="3"/>
  <c r="AK946" i="3"/>
  <c r="AC946" i="3"/>
  <c r="AA946" i="3"/>
  <c r="Y946" i="3"/>
  <c r="W946" i="3"/>
  <c r="U946" i="3"/>
  <c r="S946" i="3"/>
  <c r="Q946" i="3"/>
  <c r="O946" i="3"/>
  <c r="M946" i="3"/>
  <c r="K946" i="3"/>
  <c r="I946" i="3"/>
  <c r="G946" i="3"/>
  <c r="AZ945" i="3"/>
  <c r="AX945" i="3"/>
  <c r="AV945" i="3"/>
  <c r="AT945" i="3"/>
  <c r="AQ945" i="3"/>
  <c r="AO945" i="3"/>
  <c r="AM945" i="3"/>
  <c r="AK945" i="3"/>
  <c r="AC945" i="3"/>
  <c r="AA945" i="3"/>
  <c r="Y945" i="3"/>
  <c r="W945" i="3"/>
  <c r="U945" i="3"/>
  <c r="S945" i="3"/>
  <c r="Q945" i="3"/>
  <c r="O945" i="3"/>
  <c r="M945" i="3"/>
  <c r="K945" i="3"/>
  <c r="I945" i="3"/>
  <c r="G945" i="3"/>
  <c r="AZ944" i="3"/>
  <c r="AX944" i="3"/>
  <c r="AV944" i="3"/>
  <c r="AT944" i="3"/>
  <c r="AQ944" i="3"/>
  <c r="AO944" i="3"/>
  <c r="AM944" i="3"/>
  <c r="AK944" i="3"/>
  <c r="AC944" i="3"/>
  <c r="AA944" i="3"/>
  <c r="Y944" i="3"/>
  <c r="W944" i="3"/>
  <c r="U944" i="3"/>
  <c r="S944" i="3"/>
  <c r="Q944" i="3"/>
  <c r="O944" i="3"/>
  <c r="M944" i="3"/>
  <c r="K944" i="3"/>
  <c r="I944" i="3"/>
  <c r="G944" i="3"/>
  <c r="AZ943" i="3"/>
  <c r="AX943" i="3"/>
  <c r="AV943" i="3"/>
  <c r="AT943" i="3"/>
  <c r="AQ943" i="3"/>
  <c r="AO943" i="3"/>
  <c r="AM943" i="3"/>
  <c r="AK943" i="3"/>
  <c r="AC943" i="3"/>
  <c r="AA943" i="3"/>
  <c r="Y943" i="3"/>
  <c r="W943" i="3"/>
  <c r="U943" i="3"/>
  <c r="S943" i="3"/>
  <c r="Q943" i="3"/>
  <c r="O943" i="3"/>
  <c r="M943" i="3"/>
  <c r="K943" i="3"/>
  <c r="I943" i="3"/>
  <c r="G943" i="3"/>
  <c r="AZ942" i="3"/>
  <c r="AX942" i="3"/>
  <c r="AV942" i="3"/>
  <c r="AT942" i="3"/>
  <c r="AQ942" i="3"/>
  <c r="AO942" i="3"/>
  <c r="AM942" i="3"/>
  <c r="AK942" i="3"/>
  <c r="AC942" i="3"/>
  <c r="AA942" i="3"/>
  <c r="Y942" i="3"/>
  <c r="W942" i="3"/>
  <c r="U942" i="3"/>
  <c r="S942" i="3"/>
  <c r="Q942" i="3"/>
  <c r="O942" i="3"/>
  <c r="M942" i="3"/>
  <c r="K942" i="3"/>
  <c r="I942" i="3"/>
  <c r="G942" i="3"/>
  <c r="AZ941" i="3"/>
  <c r="AX941" i="3"/>
  <c r="AV941" i="3"/>
  <c r="AT941" i="3"/>
  <c r="AQ941" i="3"/>
  <c r="AO941" i="3"/>
  <c r="AM941" i="3"/>
  <c r="AK941" i="3"/>
  <c r="AC941" i="3"/>
  <c r="AA941" i="3"/>
  <c r="Y941" i="3"/>
  <c r="W941" i="3"/>
  <c r="U941" i="3"/>
  <c r="S941" i="3"/>
  <c r="Q941" i="3"/>
  <c r="O941" i="3"/>
  <c r="M941" i="3"/>
  <c r="K941" i="3"/>
  <c r="I941" i="3"/>
  <c r="G941" i="3"/>
  <c r="AZ940" i="3"/>
  <c r="AX940" i="3"/>
  <c r="AV940" i="3"/>
  <c r="AT940" i="3"/>
  <c r="AQ940" i="3"/>
  <c r="AO940" i="3"/>
  <c r="AM940" i="3"/>
  <c r="AK940" i="3"/>
  <c r="AC940" i="3"/>
  <c r="AA940" i="3"/>
  <c r="Y940" i="3"/>
  <c r="W940" i="3"/>
  <c r="U940" i="3"/>
  <c r="S940" i="3"/>
  <c r="Q940" i="3"/>
  <c r="O940" i="3"/>
  <c r="M940" i="3"/>
  <c r="K940" i="3"/>
  <c r="I940" i="3"/>
  <c r="G940" i="3"/>
  <c r="AZ939" i="3"/>
  <c r="AX939" i="3"/>
  <c r="AV939" i="3"/>
  <c r="AT939" i="3"/>
  <c r="AQ939" i="3"/>
  <c r="AO939" i="3"/>
  <c r="AM939" i="3"/>
  <c r="AK939" i="3"/>
  <c r="AC939" i="3"/>
  <c r="AA939" i="3"/>
  <c r="Y939" i="3"/>
  <c r="W939" i="3"/>
  <c r="U939" i="3"/>
  <c r="S939" i="3"/>
  <c r="Q939" i="3"/>
  <c r="O939" i="3"/>
  <c r="M939" i="3"/>
  <c r="K939" i="3"/>
  <c r="I939" i="3"/>
  <c r="G939" i="3"/>
  <c r="AZ938" i="3"/>
  <c r="AX938" i="3"/>
  <c r="AV938" i="3"/>
  <c r="AT938" i="3"/>
  <c r="AQ938" i="3"/>
  <c r="AO938" i="3"/>
  <c r="AM938" i="3"/>
  <c r="AK938" i="3"/>
  <c r="AC938" i="3"/>
  <c r="AA938" i="3"/>
  <c r="Y938" i="3"/>
  <c r="W938" i="3"/>
  <c r="U938" i="3"/>
  <c r="S938" i="3"/>
  <c r="Q938" i="3"/>
  <c r="O938" i="3"/>
  <c r="M938" i="3"/>
  <c r="K938" i="3"/>
  <c r="I938" i="3"/>
  <c r="G938" i="3"/>
  <c r="AZ937" i="3"/>
  <c r="AX937" i="3"/>
  <c r="AV937" i="3"/>
  <c r="AT937" i="3"/>
  <c r="AQ937" i="3"/>
  <c r="AO937" i="3"/>
  <c r="AM937" i="3"/>
  <c r="AK937" i="3"/>
  <c r="AC937" i="3"/>
  <c r="AA937" i="3"/>
  <c r="Y937" i="3"/>
  <c r="W937" i="3"/>
  <c r="U937" i="3"/>
  <c r="S937" i="3"/>
  <c r="Q937" i="3"/>
  <c r="O937" i="3"/>
  <c r="M937" i="3"/>
  <c r="K937" i="3"/>
  <c r="I937" i="3"/>
  <c r="G937" i="3"/>
  <c r="AZ936" i="3"/>
  <c r="AX936" i="3"/>
  <c r="AV936" i="3"/>
  <c r="AT936" i="3"/>
  <c r="AQ936" i="3"/>
  <c r="AO936" i="3"/>
  <c r="AM936" i="3"/>
  <c r="AK936" i="3"/>
  <c r="AC936" i="3"/>
  <c r="AA936" i="3"/>
  <c r="Y936" i="3"/>
  <c r="W936" i="3"/>
  <c r="U936" i="3"/>
  <c r="S936" i="3"/>
  <c r="Q936" i="3"/>
  <c r="O936" i="3"/>
  <c r="M936" i="3"/>
  <c r="K936" i="3"/>
  <c r="I936" i="3"/>
  <c r="G936" i="3"/>
  <c r="AZ935" i="3"/>
  <c r="AX935" i="3"/>
  <c r="AV935" i="3"/>
  <c r="AT935" i="3"/>
  <c r="AQ935" i="3"/>
  <c r="AO935" i="3"/>
  <c r="AM935" i="3"/>
  <c r="AK935" i="3"/>
  <c r="AC935" i="3"/>
  <c r="AA935" i="3"/>
  <c r="Y935" i="3"/>
  <c r="W935" i="3"/>
  <c r="U935" i="3"/>
  <c r="S935" i="3"/>
  <c r="Q935" i="3"/>
  <c r="O935" i="3"/>
  <c r="M935" i="3"/>
  <c r="K935" i="3"/>
  <c r="I935" i="3"/>
  <c r="G935" i="3"/>
  <c r="AZ934" i="3"/>
  <c r="AX934" i="3"/>
  <c r="AV934" i="3"/>
  <c r="AT934" i="3"/>
  <c r="AQ934" i="3"/>
  <c r="AO934" i="3"/>
  <c r="AM934" i="3"/>
  <c r="AK934" i="3"/>
  <c r="AC934" i="3"/>
  <c r="AA934" i="3"/>
  <c r="Y934" i="3"/>
  <c r="W934" i="3"/>
  <c r="U934" i="3"/>
  <c r="S934" i="3"/>
  <c r="Q934" i="3"/>
  <c r="O934" i="3"/>
  <c r="M934" i="3"/>
  <c r="K934" i="3"/>
  <c r="I934" i="3"/>
  <c r="G934" i="3"/>
  <c r="AZ933" i="3"/>
  <c r="AX933" i="3"/>
  <c r="AV933" i="3"/>
  <c r="AT933" i="3"/>
  <c r="AQ933" i="3"/>
  <c r="AO933" i="3"/>
  <c r="AM933" i="3"/>
  <c r="AK933" i="3"/>
  <c r="AC933" i="3"/>
  <c r="AA933" i="3"/>
  <c r="Y933" i="3"/>
  <c r="W933" i="3"/>
  <c r="U933" i="3"/>
  <c r="S933" i="3"/>
  <c r="Q933" i="3"/>
  <c r="O933" i="3"/>
  <c r="M933" i="3"/>
  <c r="K933" i="3"/>
  <c r="I933" i="3"/>
  <c r="G933" i="3"/>
  <c r="AZ932" i="3"/>
  <c r="AX932" i="3"/>
  <c r="AV932" i="3"/>
  <c r="AT932" i="3"/>
  <c r="AQ932" i="3"/>
  <c r="AO932" i="3"/>
  <c r="AM932" i="3"/>
  <c r="AK932" i="3"/>
  <c r="AC932" i="3"/>
  <c r="AA932" i="3"/>
  <c r="Y932" i="3"/>
  <c r="W932" i="3"/>
  <c r="U932" i="3"/>
  <c r="S932" i="3"/>
  <c r="Q932" i="3"/>
  <c r="O932" i="3"/>
  <c r="M932" i="3"/>
  <c r="K932" i="3"/>
  <c r="I932" i="3"/>
  <c r="G932" i="3"/>
  <c r="AZ931" i="3"/>
  <c r="AX931" i="3"/>
  <c r="AV931" i="3"/>
  <c r="AT931" i="3"/>
  <c r="AQ931" i="3"/>
  <c r="AO931" i="3"/>
  <c r="AM931" i="3"/>
  <c r="AK931" i="3"/>
  <c r="AC931" i="3"/>
  <c r="AA931" i="3"/>
  <c r="Y931" i="3"/>
  <c r="W931" i="3"/>
  <c r="U931" i="3"/>
  <c r="S931" i="3"/>
  <c r="Q931" i="3"/>
  <c r="O931" i="3"/>
  <c r="M931" i="3"/>
  <c r="K931" i="3"/>
  <c r="I931" i="3"/>
  <c r="G931" i="3"/>
  <c r="AZ930" i="3"/>
  <c r="AX930" i="3"/>
  <c r="AV930" i="3"/>
  <c r="AT930" i="3"/>
  <c r="AQ930" i="3"/>
  <c r="AO930" i="3"/>
  <c r="AM930" i="3"/>
  <c r="AK930" i="3"/>
  <c r="AC930" i="3"/>
  <c r="AA930" i="3"/>
  <c r="Y930" i="3"/>
  <c r="W930" i="3"/>
  <c r="U930" i="3"/>
  <c r="S930" i="3"/>
  <c r="Q930" i="3"/>
  <c r="O930" i="3"/>
  <c r="M930" i="3"/>
  <c r="K930" i="3"/>
  <c r="I930" i="3"/>
  <c r="G930" i="3"/>
  <c r="AZ929" i="3"/>
  <c r="AX929" i="3"/>
  <c r="AV929" i="3"/>
  <c r="AT929" i="3"/>
  <c r="AQ929" i="3"/>
  <c r="AO929" i="3"/>
  <c r="AM929" i="3"/>
  <c r="AK929" i="3"/>
  <c r="AC929" i="3"/>
  <c r="AA929" i="3"/>
  <c r="Y929" i="3"/>
  <c r="W929" i="3"/>
  <c r="U929" i="3"/>
  <c r="S929" i="3"/>
  <c r="Q929" i="3"/>
  <c r="O929" i="3"/>
  <c r="M929" i="3"/>
  <c r="K929" i="3"/>
  <c r="I929" i="3"/>
  <c r="G929" i="3"/>
  <c r="AZ928" i="3"/>
  <c r="AX928" i="3"/>
  <c r="AV928" i="3"/>
  <c r="AT928" i="3"/>
  <c r="AQ928" i="3"/>
  <c r="AO928" i="3"/>
  <c r="AM928" i="3"/>
  <c r="AK928" i="3"/>
  <c r="AC928" i="3"/>
  <c r="AA928" i="3"/>
  <c r="Y928" i="3"/>
  <c r="W928" i="3"/>
  <c r="U928" i="3"/>
  <c r="S928" i="3"/>
  <c r="Q928" i="3"/>
  <c r="O928" i="3"/>
  <c r="M928" i="3"/>
  <c r="K928" i="3"/>
  <c r="I928" i="3"/>
  <c r="G928" i="3"/>
  <c r="AZ927" i="3"/>
  <c r="AX927" i="3"/>
  <c r="AV927" i="3"/>
  <c r="AT927" i="3"/>
  <c r="AQ927" i="3"/>
  <c r="AO927" i="3"/>
  <c r="AM927" i="3"/>
  <c r="AK927" i="3"/>
  <c r="AC927" i="3"/>
  <c r="AA927" i="3"/>
  <c r="Y927" i="3"/>
  <c r="W927" i="3"/>
  <c r="U927" i="3"/>
  <c r="S927" i="3"/>
  <c r="Q927" i="3"/>
  <c r="O927" i="3"/>
  <c r="M927" i="3"/>
  <c r="K927" i="3"/>
  <c r="I927" i="3"/>
  <c r="G927" i="3"/>
  <c r="AZ926" i="3"/>
  <c r="AX926" i="3"/>
  <c r="AV926" i="3"/>
  <c r="AT926" i="3"/>
  <c r="AQ926" i="3"/>
  <c r="AO926" i="3"/>
  <c r="AM926" i="3"/>
  <c r="AK926" i="3"/>
  <c r="AC926" i="3"/>
  <c r="AA926" i="3"/>
  <c r="Y926" i="3"/>
  <c r="W926" i="3"/>
  <c r="U926" i="3"/>
  <c r="S926" i="3"/>
  <c r="Q926" i="3"/>
  <c r="O926" i="3"/>
  <c r="M926" i="3"/>
  <c r="K926" i="3"/>
  <c r="I926" i="3"/>
  <c r="G926" i="3"/>
  <c r="AZ925" i="3"/>
  <c r="AX925" i="3"/>
  <c r="AV925" i="3"/>
  <c r="AT925" i="3"/>
  <c r="AQ925" i="3"/>
  <c r="AO925" i="3"/>
  <c r="AM925" i="3"/>
  <c r="AK925" i="3"/>
  <c r="AC925" i="3"/>
  <c r="AA925" i="3"/>
  <c r="Y925" i="3"/>
  <c r="W925" i="3"/>
  <c r="U925" i="3"/>
  <c r="S925" i="3"/>
  <c r="Q925" i="3"/>
  <c r="O925" i="3"/>
  <c r="M925" i="3"/>
  <c r="K925" i="3"/>
  <c r="I925" i="3"/>
  <c r="G925" i="3"/>
  <c r="AZ924" i="3"/>
  <c r="AX924" i="3"/>
  <c r="AV924" i="3"/>
  <c r="AT924" i="3"/>
  <c r="AQ924" i="3"/>
  <c r="AO924" i="3"/>
  <c r="AM924" i="3"/>
  <c r="AK924" i="3"/>
  <c r="AC924" i="3"/>
  <c r="AA924" i="3"/>
  <c r="Y924" i="3"/>
  <c r="W924" i="3"/>
  <c r="U924" i="3"/>
  <c r="S924" i="3"/>
  <c r="Q924" i="3"/>
  <c r="O924" i="3"/>
  <c r="M924" i="3"/>
  <c r="K924" i="3"/>
  <c r="I924" i="3"/>
  <c r="G924" i="3"/>
  <c r="AZ923" i="3"/>
  <c r="AX923" i="3"/>
  <c r="AV923" i="3"/>
  <c r="AT923" i="3"/>
  <c r="AQ923" i="3"/>
  <c r="AO923" i="3"/>
  <c r="AM923" i="3"/>
  <c r="AK923" i="3"/>
  <c r="AC923" i="3"/>
  <c r="AA923" i="3"/>
  <c r="Y923" i="3"/>
  <c r="W923" i="3"/>
  <c r="U923" i="3"/>
  <c r="S923" i="3"/>
  <c r="Q923" i="3"/>
  <c r="O923" i="3"/>
  <c r="M923" i="3"/>
  <c r="K923" i="3"/>
  <c r="I923" i="3"/>
  <c r="G923" i="3"/>
  <c r="AZ922" i="3"/>
  <c r="AX922" i="3"/>
  <c r="AV922" i="3"/>
  <c r="AT922" i="3"/>
  <c r="AQ922" i="3"/>
  <c r="AO922" i="3"/>
  <c r="AM922" i="3"/>
  <c r="AK922" i="3"/>
  <c r="AC922" i="3"/>
  <c r="AA922" i="3"/>
  <c r="Y922" i="3"/>
  <c r="W922" i="3"/>
  <c r="U922" i="3"/>
  <c r="S922" i="3"/>
  <c r="Q922" i="3"/>
  <c r="O922" i="3"/>
  <c r="M922" i="3"/>
  <c r="K922" i="3"/>
  <c r="I922" i="3"/>
  <c r="G922" i="3"/>
  <c r="AZ921" i="3"/>
  <c r="AX921" i="3"/>
  <c r="AV921" i="3"/>
  <c r="AT921" i="3"/>
  <c r="AQ921" i="3"/>
  <c r="AO921" i="3"/>
  <c r="AM921" i="3"/>
  <c r="AK921" i="3"/>
  <c r="AC921" i="3"/>
  <c r="AA921" i="3"/>
  <c r="Y921" i="3"/>
  <c r="W921" i="3"/>
  <c r="U921" i="3"/>
  <c r="S921" i="3"/>
  <c r="Q921" i="3"/>
  <c r="O921" i="3"/>
  <c r="M921" i="3"/>
  <c r="K921" i="3"/>
  <c r="I921" i="3"/>
  <c r="G921" i="3"/>
  <c r="AZ920" i="3"/>
  <c r="AX920" i="3"/>
  <c r="AV920" i="3"/>
  <c r="AT920" i="3"/>
  <c r="AQ920" i="3"/>
  <c r="AO920" i="3"/>
  <c r="AM920" i="3"/>
  <c r="AK920" i="3"/>
  <c r="AC920" i="3"/>
  <c r="AA920" i="3"/>
  <c r="Y920" i="3"/>
  <c r="W920" i="3"/>
  <c r="U920" i="3"/>
  <c r="S920" i="3"/>
  <c r="Q920" i="3"/>
  <c r="O920" i="3"/>
  <c r="M920" i="3"/>
  <c r="K920" i="3"/>
  <c r="I920" i="3"/>
  <c r="G920" i="3"/>
  <c r="AZ919" i="3"/>
  <c r="AX919" i="3"/>
  <c r="AV919" i="3"/>
  <c r="AT919" i="3"/>
  <c r="AQ919" i="3"/>
  <c r="AO919" i="3"/>
  <c r="AM919" i="3"/>
  <c r="AK919" i="3"/>
  <c r="AC919" i="3"/>
  <c r="AA919" i="3"/>
  <c r="Y919" i="3"/>
  <c r="W919" i="3"/>
  <c r="U919" i="3"/>
  <c r="S919" i="3"/>
  <c r="Q919" i="3"/>
  <c r="O919" i="3"/>
  <c r="M919" i="3"/>
  <c r="K919" i="3"/>
  <c r="I919" i="3"/>
  <c r="G919" i="3"/>
  <c r="AZ918" i="3"/>
  <c r="AX918" i="3"/>
  <c r="AV918" i="3"/>
  <c r="AT918" i="3"/>
  <c r="AQ918" i="3"/>
  <c r="AO918" i="3"/>
  <c r="AM918" i="3"/>
  <c r="AK918" i="3"/>
  <c r="AC918" i="3"/>
  <c r="AA918" i="3"/>
  <c r="Y918" i="3"/>
  <c r="W918" i="3"/>
  <c r="U918" i="3"/>
  <c r="S918" i="3"/>
  <c r="Q918" i="3"/>
  <c r="O918" i="3"/>
  <c r="M918" i="3"/>
  <c r="K918" i="3"/>
  <c r="I918" i="3"/>
  <c r="G918" i="3"/>
  <c r="AZ917" i="3"/>
  <c r="AX917" i="3"/>
  <c r="AV917" i="3"/>
  <c r="AT917" i="3"/>
  <c r="AQ917" i="3"/>
  <c r="AO917" i="3"/>
  <c r="AM917" i="3"/>
  <c r="AK917" i="3"/>
  <c r="AC917" i="3"/>
  <c r="AA917" i="3"/>
  <c r="Y917" i="3"/>
  <c r="W917" i="3"/>
  <c r="U917" i="3"/>
  <c r="S917" i="3"/>
  <c r="Q917" i="3"/>
  <c r="O917" i="3"/>
  <c r="M917" i="3"/>
  <c r="K917" i="3"/>
  <c r="I917" i="3"/>
  <c r="G917" i="3"/>
  <c r="AZ916" i="3"/>
  <c r="AX916" i="3"/>
  <c r="AV916" i="3"/>
  <c r="AT916" i="3"/>
  <c r="AQ916" i="3"/>
  <c r="AO916" i="3"/>
  <c r="AM916" i="3"/>
  <c r="AK916" i="3"/>
  <c r="AC916" i="3"/>
  <c r="AA916" i="3"/>
  <c r="Y916" i="3"/>
  <c r="W916" i="3"/>
  <c r="U916" i="3"/>
  <c r="S916" i="3"/>
  <c r="Q916" i="3"/>
  <c r="O916" i="3"/>
  <c r="M916" i="3"/>
  <c r="K916" i="3"/>
  <c r="I916" i="3"/>
  <c r="G916" i="3"/>
  <c r="AZ915" i="3"/>
  <c r="AX915" i="3"/>
  <c r="AV915" i="3"/>
  <c r="AT915" i="3"/>
  <c r="AQ915" i="3"/>
  <c r="AO915" i="3"/>
  <c r="AM915" i="3"/>
  <c r="AK915" i="3"/>
  <c r="AC915" i="3"/>
  <c r="AA915" i="3"/>
  <c r="Y915" i="3"/>
  <c r="W915" i="3"/>
  <c r="U915" i="3"/>
  <c r="S915" i="3"/>
  <c r="Q915" i="3"/>
  <c r="O915" i="3"/>
  <c r="M915" i="3"/>
  <c r="K915" i="3"/>
  <c r="I915" i="3"/>
  <c r="G915" i="3"/>
  <c r="AZ914" i="3"/>
  <c r="AX914" i="3"/>
  <c r="AV914" i="3"/>
  <c r="AT914" i="3"/>
  <c r="AQ914" i="3"/>
  <c r="AO914" i="3"/>
  <c r="AM914" i="3"/>
  <c r="AK914" i="3"/>
  <c r="AC914" i="3"/>
  <c r="AA914" i="3"/>
  <c r="Y914" i="3"/>
  <c r="W914" i="3"/>
  <c r="U914" i="3"/>
  <c r="S914" i="3"/>
  <c r="Q914" i="3"/>
  <c r="O914" i="3"/>
  <c r="M914" i="3"/>
  <c r="K914" i="3"/>
  <c r="I914" i="3"/>
  <c r="G914" i="3"/>
  <c r="AZ913" i="3"/>
  <c r="AX913" i="3"/>
  <c r="AV913" i="3"/>
  <c r="AT913" i="3"/>
  <c r="AQ913" i="3"/>
  <c r="AO913" i="3"/>
  <c r="AM913" i="3"/>
  <c r="AK913" i="3"/>
  <c r="AC913" i="3"/>
  <c r="AA913" i="3"/>
  <c r="Y913" i="3"/>
  <c r="W913" i="3"/>
  <c r="U913" i="3"/>
  <c r="S913" i="3"/>
  <c r="Q913" i="3"/>
  <c r="O913" i="3"/>
  <c r="M913" i="3"/>
  <c r="K913" i="3"/>
  <c r="I913" i="3"/>
  <c r="G913" i="3"/>
  <c r="AZ912" i="3"/>
  <c r="AX912" i="3"/>
  <c r="AV912" i="3"/>
  <c r="AT912" i="3"/>
  <c r="AQ912" i="3"/>
  <c r="AO912" i="3"/>
  <c r="AM912" i="3"/>
  <c r="AK912" i="3"/>
  <c r="AC912" i="3"/>
  <c r="AA912" i="3"/>
  <c r="Y912" i="3"/>
  <c r="W912" i="3"/>
  <c r="U912" i="3"/>
  <c r="S912" i="3"/>
  <c r="Q912" i="3"/>
  <c r="O912" i="3"/>
  <c r="M912" i="3"/>
  <c r="K912" i="3"/>
  <c r="I912" i="3"/>
  <c r="G912" i="3"/>
  <c r="AZ911" i="3"/>
  <c r="AX911" i="3"/>
  <c r="AV911" i="3"/>
  <c r="AT911" i="3"/>
  <c r="AQ911" i="3"/>
  <c r="AO911" i="3"/>
  <c r="AM911" i="3"/>
  <c r="AK911" i="3"/>
  <c r="AC911" i="3"/>
  <c r="AA911" i="3"/>
  <c r="Y911" i="3"/>
  <c r="W911" i="3"/>
  <c r="U911" i="3"/>
  <c r="S911" i="3"/>
  <c r="Q911" i="3"/>
  <c r="O911" i="3"/>
  <c r="M911" i="3"/>
  <c r="K911" i="3"/>
  <c r="I911" i="3"/>
  <c r="G911" i="3"/>
  <c r="AZ910" i="3"/>
  <c r="AX910" i="3"/>
  <c r="AV910" i="3"/>
  <c r="AT910" i="3"/>
  <c r="AQ910" i="3"/>
  <c r="AO910" i="3"/>
  <c r="AM910" i="3"/>
  <c r="AK910" i="3"/>
  <c r="AC910" i="3"/>
  <c r="AA910" i="3"/>
  <c r="Y910" i="3"/>
  <c r="W910" i="3"/>
  <c r="U910" i="3"/>
  <c r="S910" i="3"/>
  <c r="Q910" i="3"/>
  <c r="O910" i="3"/>
  <c r="M910" i="3"/>
  <c r="K910" i="3"/>
  <c r="I910" i="3"/>
  <c r="G910" i="3"/>
  <c r="AZ909" i="3"/>
  <c r="AX909" i="3"/>
  <c r="AV909" i="3"/>
  <c r="AT909" i="3"/>
  <c r="AQ909" i="3"/>
  <c r="AO909" i="3"/>
  <c r="AM909" i="3"/>
  <c r="AK909" i="3"/>
  <c r="AC909" i="3"/>
  <c r="AA909" i="3"/>
  <c r="Y909" i="3"/>
  <c r="W909" i="3"/>
  <c r="U909" i="3"/>
  <c r="S909" i="3"/>
  <c r="Q909" i="3"/>
  <c r="O909" i="3"/>
  <c r="M909" i="3"/>
  <c r="K909" i="3"/>
  <c r="I909" i="3"/>
  <c r="G909" i="3"/>
  <c r="AZ908" i="3"/>
  <c r="AX908" i="3"/>
  <c r="AV908" i="3"/>
  <c r="AT908" i="3"/>
  <c r="AQ908" i="3"/>
  <c r="AO908" i="3"/>
  <c r="AM908" i="3"/>
  <c r="AK908" i="3"/>
  <c r="AC908" i="3"/>
  <c r="AA908" i="3"/>
  <c r="Y908" i="3"/>
  <c r="W908" i="3"/>
  <c r="U908" i="3"/>
  <c r="S908" i="3"/>
  <c r="Q908" i="3"/>
  <c r="O908" i="3"/>
  <c r="M908" i="3"/>
  <c r="K908" i="3"/>
  <c r="I908" i="3"/>
  <c r="G908" i="3"/>
  <c r="AZ907" i="3"/>
  <c r="AX907" i="3"/>
  <c r="AV907" i="3"/>
  <c r="AT907" i="3"/>
  <c r="AQ907" i="3"/>
  <c r="AO907" i="3"/>
  <c r="AM907" i="3"/>
  <c r="AK907" i="3"/>
  <c r="AC907" i="3"/>
  <c r="AA907" i="3"/>
  <c r="Y907" i="3"/>
  <c r="W907" i="3"/>
  <c r="U907" i="3"/>
  <c r="S907" i="3"/>
  <c r="Q907" i="3"/>
  <c r="O907" i="3"/>
  <c r="M907" i="3"/>
  <c r="K907" i="3"/>
  <c r="I907" i="3"/>
  <c r="G907" i="3"/>
  <c r="AZ906" i="3"/>
  <c r="AX906" i="3"/>
  <c r="AV906" i="3"/>
  <c r="AT906" i="3"/>
  <c r="AQ906" i="3"/>
  <c r="AO906" i="3"/>
  <c r="AM906" i="3"/>
  <c r="AK906" i="3"/>
  <c r="AC906" i="3"/>
  <c r="AA906" i="3"/>
  <c r="Y906" i="3"/>
  <c r="W906" i="3"/>
  <c r="U906" i="3"/>
  <c r="S906" i="3"/>
  <c r="Q906" i="3"/>
  <c r="O906" i="3"/>
  <c r="M906" i="3"/>
  <c r="K906" i="3"/>
  <c r="I906" i="3"/>
  <c r="G906" i="3"/>
  <c r="AZ905" i="3"/>
  <c r="AX905" i="3"/>
  <c r="AV905" i="3"/>
  <c r="AT905" i="3"/>
  <c r="AQ905" i="3"/>
  <c r="AO905" i="3"/>
  <c r="AM905" i="3"/>
  <c r="AK905" i="3"/>
  <c r="AC905" i="3"/>
  <c r="AA905" i="3"/>
  <c r="Y905" i="3"/>
  <c r="W905" i="3"/>
  <c r="U905" i="3"/>
  <c r="S905" i="3"/>
  <c r="Q905" i="3"/>
  <c r="O905" i="3"/>
  <c r="M905" i="3"/>
  <c r="K905" i="3"/>
  <c r="I905" i="3"/>
  <c r="G905" i="3"/>
  <c r="AZ904" i="3"/>
  <c r="AX904" i="3"/>
  <c r="AV904" i="3"/>
  <c r="AT904" i="3"/>
  <c r="AQ904" i="3"/>
  <c r="AO904" i="3"/>
  <c r="AM904" i="3"/>
  <c r="AK904" i="3"/>
  <c r="AC904" i="3"/>
  <c r="AA904" i="3"/>
  <c r="Y904" i="3"/>
  <c r="W904" i="3"/>
  <c r="U904" i="3"/>
  <c r="S904" i="3"/>
  <c r="Q904" i="3"/>
  <c r="O904" i="3"/>
  <c r="M904" i="3"/>
  <c r="K904" i="3"/>
  <c r="I904" i="3"/>
  <c r="G904" i="3"/>
  <c r="AZ903" i="3"/>
  <c r="AX903" i="3"/>
  <c r="AV903" i="3"/>
  <c r="AT903" i="3"/>
  <c r="AQ903" i="3"/>
  <c r="AO903" i="3"/>
  <c r="AM903" i="3"/>
  <c r="AK903" i="3"/>
  <c r="AC903" i="3"/>
  <c r="AA903" i="3"/>
  <c r="Y903" i="3"/>
  <c r="W903" i="3"/>
  <c r="U903" i="3"/>
  <c r="S903" i="3"/>
  <c r="Q903" i="3"/>
  <c r="O903" i="3"/>
  <c r="M903" i="3"/>
  <c r="K903" i="3"/>
  <c r="I903" i="3"/>
  <c r="G903" i="3"/>
  <c r="AZ902" i="3"/>
  <c r="AX902" i="3"/>
  <c r="AV902" i="3"/>
  <c r="AT902" i="3"/>
  <c r="AQ902" i="3"/>
  <c r="AO902" i="3"/>
  <c r="AM902" i="3"/>
  <c r="AK902" i="3"/>
  <c r="AC902" i="3"/>
  <c r="AA902" i="3"/>
  <c r="Y902" i="3"/>
  <c r="W902" i="3"/>
  <c r="U902" i="3"/>
  <c r="S902" i="3"/>
  <c r="Q902" i="3"/>
  <c r="O902" i="3"/>
  <c r="M902" i="3"/>
  <c r="K902" i="3"/>
  <c r="I902" i="3"/>
  <c r="G902" i="3"/>
  <c r="AZ901" i="3"/>
  <c r="AX901" i="3"/>
  <c r="AV901" i="3"/>
  <c r="AT901" i="3"/>
  <c r="AQ901" i="3"/>
  <c r="AO901" i="3"/>
  <c r="AM901" i="3"/>
  <c r="AK901" i="3"/>
  <c r="AC901" i="3"/>
  <c r="AA901" i="3"/>
  <c r="Y901" i="3"/>
  <c r="W901" i="3"/>
  <c r="U901" i="3"/>
  <c r="S901" i="3"/>
  <c r="Q901" i="3"/>
  <c r="O901" i="3"/>
  <c r="M901" i="3"/>
  <c r="K901" i="3"/>
  <c r="I901" i="3"/>
  <c r="G901" i="3"/>
  <c r="AZ900" i="3"/>
  <c r="AX900" i="3"/>
  <c r="AV900" i="3"/>
  <c r="AT900" i="3"/>
  <c r="AQ900" i="3"/>
  <c r="AO900" i="3"/>
  <c r="AM900" i="3"/>
  <c r="AK900" i="3"/>
  <c r="AC900" i="3"/>
  <c r="AA900" i="3"/>
  <c r="Y900" i="3"/>
  <c r="W900" i="3"/>
  <c r="U900" i="3"/>
  <c r="S900" i="3"/>
  <c r="Q900" i="3"/>
  <c r="O900" i="3"/>
  <c r="M900" i="3"/>
  <c r="K900" i="3"/>
  <c r="I900" i="3"/>
  <c r="G900" i="3"/>
  <c r="AZ899" i="3"/>
  <c r="AX899" i="3"/>
  <c r="AV899" i="3"/>
  <c r="AT899" i="3"/>
  <c r="AQ899" i="3"/>
  <c r="AO899" i="3"/>
  <c r="AM899" i="3"/>
  <c r="AK899" i="3"/>
  <c r="AC899" i="3"/>
  <c r="AA899" i="3"/>
  <c r="Y899" i="3"/>
  <c r="W899" i="3"/>
  <c r="U899" i="3"/>
  <c r="S899" i="3"/>
  <c r="Q899" i="3"/>
  <c r="O899" i="3"/>
  <c r="M899" i="3"/>
  <c r="K899" i="3"/>
  <c r="I899" i="3"/>
  <c r="G899" i="3"/>
  <c r="AZ898" i="3"/>
  <c r="AX898" i="3"/>
  <c r="AV898" i="3"/>
  <c r="AT898" i="3"/>
  <c r="AQ898" i="3"/>
  <c r="AO898" i="3"/>
  <c r="AM898" i="3"/>
  <c r="AK898" i="3"/>
  <c r="AC898" i="3"/>
  <c r="AA898" i="3"/>
  <c r="Y898" i="3"/>
  <c r="W898" i="3"/>
  <c r="U898" i="3"/>
  <c r="S898" i="3"/>
  <c r="Q898" i="3"/>
  <c r="O898" i="3"/>
  <c r="M898" i="3"/>
  <c r="K898" i="3"/>
  <c r="I898" i="3"/>
  <c r="G898" i="3"/>
  <c r="AZ897" i="3"/>
  <c r="AX897" i="3"/>
  <c r="AV897" i="3"/>
  <c r="AT897" i="3"/>
  <c r="AQ897" i="3"/>
  <c r="AO897" i="3"/>
  <c r="AM897" i="3"/>
  <c r="AK897" i="3"/>
  <c r="AC897" i="3"/>
  <c r="AA897" i="3"/>
  <c r="Y897" i="3"/>
  <c r="W897" i="3"/>
  <c r="U897" i="3"/>
  <c r="S897" i="3"/>
  <c r="Q897" i="3"/>
  <c r="O897" i="3"/>
  <c r="M897" i="3"/>
  <c r="K897" i="3"/>
  <c r="I897" i="3"/>
  <c r="G897" i="3"/>
  <c r="AZ896" i="3"/>
  <c r="AX896" i="3"/>
  <c r="AV896" i="3"/>
  <c r="AT896" i="3"/>
  <c r="AQ896" i="3"/>
  <c r="AO896" i="3"/>
  <c r="AM896" i="3"/>
  <c r="AK896" i="3"/>
  <c r="AC896" i="3"/>
  <c r="AA896" i="3"/>
  <c r="Y896" i="3"/>
  <c r="W896" i="3"/>
  <c r="U896" i="3"/>
  <c r="S896" i="3"/>
  <c r="Q896" i="3"/>
  <c r="O896" i="3"/>
  <c r="M896" i="3"/>
  <c r="K896" i="3"/>
  <c r="I896" i="3"/>
  <c r="G896" i="3"/>
  <c r="AZ895" i="3"/>
  <c r="AX895" i="3"/>
  <c r="AV895" i="3"/>
  <c r="AT895" i="3"/>
  <c r="AQ895" i="3"/>
  <c r="AO895" i="3"/>
  <c r="AM895" i="3"/>
  <c r="AK895" i="3"/>
  <c r="AC895" i="3"/>
  <c r="AA895" i="3"/>
  <c r="Y895" i="3"/>
  <c r="W895" i="3"/>
  <c r="U895" i="3"/>
  <c r="S895" i="3"/>
  <c r="Q895" i="3"/>
  <c r="O895" i="3"/>
  <c r="M895" i="3"/>
  <c r="K895" i="3"/>
  <c r="I895" i="3"/>
  <c r="G895" i="3"/>
  <c r="AZ894" i="3"/>
  <c r="AX894" i="3"/>
  <c r="AV894" i="3"/>
  <c r="AT894" i="3"/>
  <c r="AQ894" i="3"/>
  <c r="AO894" i="3"/>
  <c r="AM894" i="3"/>
  <c r="AK894" i="3"/>
  <c r="AC894" i="3"/>
  <c r="AA894" i="3"/>
  <c r="Y894" i="3"/>
  <c r="W894" i="3"/>
  <c r="U894" i="3"/>
  <c r="S894" i="3"/>
  <c r="Q894" i="3"/>
  <c r="O894" i="3"/>
  <c r="M894" i="3"/>
  <c r="K894" i="3"/>
  <c r="I894" i="3"/>
  <c r="G894" i="3"/>
  <c r="AZ893" i="3"/>
  <c r="AX893" i="3"/>
  <c r="AV893" i="3"/>
  <c r="AT893" i="3"/>
  <c r="AQ893" i="3"/>
  <c r="AO893" i="3"/>
  <c r="AM893" i="3"/>
  <c r="AK893" i="3"/>
  <c r="AC893" i="3"/>
  <c r="AA893" i="3"/>
  <c r="Y893" i="3"/>
  <c r="W893" i="3"/>
  <c r="U893" i="3"/>
  <c r="S893" i="3"/>
  <c r="Q893" i="3"/>
  <c r="O893" i="3"/>
  <c r="M893" i="3"/>
  <c r="K893" i="3"/>
  <c r="I893" i="3"/>
  <c r="G893" i="3"/>
  <c r="AZ892" i="3"/>
  <c r="AX892" i="3"/>
  <c r="AV892" i="3"/>
  <c r="AT892" i="3"/>
  <c r="AQ892" i="3"/>
  <c r="AO892" i="3"/>
  <c r="AM892" i="3"/>
  <c r="AK892" i="3"/>
  <c r="AC892" i="3"/>
  <c r="AA892" i="3"/>
  <c r="Y892" i="3"/>
  <c r="W892" i="3"/>
  <c r="U892" i="3"/>
  <c r="S892" i="3"/>
  <c r="Q892" i="3"/>
  <c r="O892" i="3"/>
  <c r="M892" i="3"/>
  <c r="K892" i="3"/>
  <c r="I892" i="3"/>
  <c r="G892" i="3"/>
  <c r="AZ891" i="3"/>
  <c r="AX891" i="3"/>
  <c r="AV891" i="3"/>
  <c r="AT891" i="3"/>
  <c r="AQ891" i="3"/>
  <c r="AO891" i="3"/>
  <c r="AM891" i="3"/>
  <c r="AK891" i="3"/>
  <c r="AC891" i="3"/>
  <c r="AA891" i="3"/>
  <c r="Y891" i="3"/>
  <c r="W891" i="3"/>
  <c r="U891" i="3"/>
  <c r="S891" i="3"/>
  <c r="Q891" i="3"/>
  <c r="O891" i="3"/>
  <c r="M891" i="3"/>
  <c r="K891" i="3"/>
  <c r="I891" i="3"/>
  <c r="G891" i="3"/>
  <c r="AZ890" i="3"/>
  <c r="AX890" i="3"/>
  <c r="AV890" i="3"/>
  <c r="AT890" i="3"/>
  <c r="AQ890" i="3"/>
  <c r="AO890" i="3"/>
  <c r="AM890" i="3"/>
  <c r="AK890" i="3"/>
  <c r="AC890" i="3"/>
  <c r="AA890" i="3"/>
  <c r="Y890" i="3"/>
  <c r="W890" i="3"/>
  <c r="U890" i="3"/>
  <c r="S890" i="3"/>
  <c r="Q890" i="3"/>
  <c r="O890" i="3"/>
  <c r="M890" i="3"/>
  <c r="K890" i="3"/>
  <c r="I890" i="3"/>
  <c r="G890" i="3"/>
  <c r="AZ889" i="3"/>
  <c r="AX889" i="3"/>
  <c r="AV889" i="3"/>
  <c r="AT889" i="3"/>
  <c r="AQ889" i="3"/>
  <c r="AO889" i="3"/>
  <c r="AM889" i="3"/>
  <c r="AK889" i="3"/>
  <c r="AC889" i="3"/>
  <c r="AA889" i="3"/>
  <c r="Y889" i="3"/>
  <c r="W889" i="3"/>
  <c r="U889" i="3"/>
  <c r="S889" i="3"/>
  <c r="Q889" i="3"/>
  <c r="O889" i="3"/>
  <c r="M889" i="3"/>
  <c r="K889" i="3"/>
  <c r="I889" i="3"/>
  <c r="G889" i="3"/>
  <c r="AZ888" i="3"/>
  <c r="AX888" i="3"/>
  <c r="AV888" i="3"/>
  <c r="AT888" i="3"/>
  <c r="AQ888" i="3"/>
  <c r="AO888" i="3"/>
  <c r="AM888" i="3"/>
  <c r="AK888" i="3"/>
  <c r="AC888" i="3"/>
  <c r="AA888" i="3"/>
  <c r="Y888" i="3"/>
  <c r="W888" i="3"/>
  <c r="U888" i="3"/>
  <c r="S888" i="3"/>
  <c r="Q888" i="3"/>
  <c r="O888" i="3"/>
  <c r="M888" i="3"/>
  <c r="K888" i="3"/>
  <c r="I888" i="3"/>
  <c r="G888" i="3"/>
  <c r="AZ887" i="3"/>
  <c r="AX887" i="3"/>
  <c r="AV887" i="3"/>
  <c r="AT887" i="3"/>
  <c r="AQ887" i="3"/>
  <c r="AO887" i="3"/>
  <c r="AM887" i="3"/>
  <c r="AK887" i="3"/>
  <c r="AC887" i="3"/>
  <c r="AA887" i="3"/>
  <c r="Y887" i="3"/>
  <c r="W887" i="3"/>
  <c r="U887" i="3"/>
  <c r="S887" i="3"/>
  <c r="Q887" i="3"/>
  <c r="O887" i="3"/>
  <c r="M887" i="3"/>
  <c r="K887" i="3"/>
  <c r="I887" i="3"/>
  <c r="G887" i="3"/>
  <c r="AZ886" i="3"/>
  <c r="AX886" i="3"/>
  <c r="AV886" i="3"/>
  <c r="AT886" i="3"/>
  <c r="AQ886" i="3"/>
  <c r="AO886" i="3"/>
  <c r="AM886" i="3"/>
  <c r="AK886" i="3"/>
  <c r="AC886" i="3"/>
  <c r="AA886" i="3"/>
  <c r="Y886" i="3"/>
  <c r="W886" i="3"/>
  <c r="U886" i="3"/>
  <c r="S886" i="3"/>
  <c r="Q886" i="3"/>
  <c r="O886" i="3"/>
  <c r="M886" i="3"/>
  <c r="K886" i="3"/>
  <c r="I886" i="3"/>
  <c r="G886" i="3"/>
  <c r="AZ885" i="3"/>
  <c r="AX885" i="3"/>
  <c r="AV885" i="3"/>
  <c r="AT885" i="3"/>
  <c r="AQ885" i="3"/>
  <c r="AO885" i="3"/>
  <c r="AM885" i="3"/>
  <c r="AK885" i="3"/>
  <c r="AC885" i="3"/>
  <c r="AA885" i="3"/>
  <c r="Y885" i="3"/>
  <c r="W885" i="3"/>
  <c r="U885" i="3"/>
  <c r="S885" i="3"/>
  <c r="Q885" i="3"/>
  <c r="O885" i="3"/>
  <c r="M885" i="3"/>
  <c r="K885" i="3"/>
  <c r="I885" i="3"/>
  <c r="G885" i="3"/>
  <c r="AZ884" i="3"/>
  <c r="AX884" i="3"/>
  <c r="AV884" i="3"/>
  <c r="AT884" i="3"/>
  <c r="AQ884" i="3"/>
  <c r="AO884" i="3"/>
  <c r="AM884" i="3"/>
  <c r="AK884" i="3"/>
  <c r="AC884" i="3"/>
  <c r="AA884" i="3"/>
  <c r="Y884" i="3"/>
  <c r="W884" i="3"/>
  <c r="U884" i="3"/>
  <c r="S884" i="3"/>
  <c r="Q884" i="3"/>
  <c r="O884" i="3"/>
  <c r="M884" i="3"/>
  <c r="K884" i="3"/>
  <c r="I884" i="3"/>
  <c r="G884" i="3"/>
  <c r="AZ883" i="3"/>
  <c r="AX883" i="3"/>
  <c r="AV883" i="3"/>
  <c r="AT883" i="3"/>
  <c r="AQ883" i="3"/>
  <c r="AO883" i="3"/>
  <c r="AM883" i="3"/>
  <c r="AK883" i="3"/>
  <c r="AC883" i="3"/>
  <c r="AA883" i="3"/>
  <c r="Y883" i="3"/>
  <c r="W883" i="3"/>
  <c r="U883" i="3"/>
  <c r="S883" i="3"/>
  <c r="Q883" i="3"/>
  <c r="O883" i="3"/>
  <c r="M883" i="3"/>
  <c r="K883" i="3"/>
  <c r="I883" i="3"/>
  <c r="G883" i="3"/>
  <c r="AZ882" i="3"/>
  <c r="AX882" i="3"/>
  <c r="AV882" i="3"/>
  <c r="AT882" i="3"/>
  <c r="AQ882" i="3"/>
  <c r="AO882" i="3"/>
  <c r="AM882" i="3"/>
  <c r="AK882" i="3"/>
  <c r="AC882" i="3"/>
  <c r="AA882" i="3"/>
  <c r="Y882" i="3"/>
  <c r="W882" i="3"/>
  <c r="U882" i="3"/>
  <c r="S882" i="3"/>
  <c r="Q882" i="3"/>
  <c r="O882" i="3"/>
  <c r="M882" i="3"/>
  <c r="K882" i="3"/>
  <c r="I882" i="3"/>
  <c r="G882" i="3"/>
  <c r="AZ881" i="3"/>
  <c r="AX881" i="3"/>
  <c r="AV881" i="3"/>
  <c r="AT881" i="3"/>
  <c r="AQ881" i="3"/>
  <c r="AO881" i="3"/>
  <c r="AM881" i="3"/>
  <c r="AK881" i="3"/>
  <c r="AC881" i="3"/>
  <c r="AA881" i="3"/>
  <c r="Y881" i="3"/>
  <c r="W881" i="3"/>
  <c r="U881" i="3"/>
  <c r="S881" i="3"/>
  <c r="Q881" i="3"/>
  <c r="O881" i="3"/>
  <c r="M881" i="3"/>
  <c r="K881" i="3"/>
  <c r="I881" i="3"/>
  <c r="G881" i="3"/>
  <c r="AZ880" i="3"/>
  <c r="AX880" i="3"/>
  <c r="AV880" i="3"/>
  <c r="AT880" i="3"/>
  <c r="AQ880" i="3"/>
  <c r="AO880" i="3"/>
  <c r="AM880" i="3"/>
  <c r="AK880" i="3"/>
  <c r="AC880" i="3"/>
  <c r="AA880" i="3"/>
  <c r="Y880" i="3"/>
  <c r="W880" i="3"/>
  <c r="U880" i="3"/>
  <c r="S880" i="3"/>
  <c r="Q880" i="3"/>
  <c r="O880" i="3"/>
  <c r="M880" i="3"/>
  <c r="K880" i="3"/>
  <c r="I880" i="3"/>
  <c r="G880" i="3"/>
  <c r="AZ879" i="3"/>
  <c r="AX879" i="3"/>
  <c r="AV879" i="3"/>
  <c r="AT879" i="3"/>
  <c r="AQ879" i="3"/>
  <c r="AO879" i="3"/>
  <c r="AM879" i="3"/>
  <c r="AK879" i="3"/>
  <c r="AC879" i="3"/>
  <c r="AA879" i="3"/>
  <c r="Y879" i="3"/>
  <c r="W879" i="3"/>
  <c r="U879" i="3"/>
  <c r="S879" i="3"/>
  <c r="Q879" i="3"/>
  <c r="O879" i="3"/>
  <c r="M879" i="3"/>
  <c r="K879" i="3"/>
  <c r="I879" i="3"/>
  <c r="G879" i="3"/>
  <c r="AZ878" i="3"/>
  <c r="AX878" i="3"/>
  <c r="AV878" i="3"/>
  <c r="AT878" i="3"/>
  <c r="AQ878" i="3"/>
  <c r="AO878" i="3"/>
  <c r="AM878" i="3"/>
  <c r="AK878" i="3"/>
  <c r="AC878" i="3"/>
  <c r="AA878" i="3"/>
  <c r="Y878" i="3"/>
  <c r="W878" i="3"/>
  <c r="U878" i="3"/>
  <c r="S878" i="3"/>
  <c r="Q878" i="3"/>
  <c r="O878" i="3"/>
  <c r="M878" i="3"/>
  <c r="K878" i="3"/>
  <c r="I878" i="3"/>
  <c r="G878" i="3"/>
  <c r="AZ877" i="3"/>
  <c r="AX877" i="3"/>
  <c r="AV877" i="3"/>
  <c r="AT877" i="3"/>
  <c r="AQ877" i="3"/>
  <c r="AO877" i="3"/>
  <c r="AM877" i="3"/>
  <c r="AK877" i="3"/>
  <c r="AC877" i="3"/>
  <c r="AA877" i="3"/>
  <c r="Y877" i="3"/>
  <c r="W877" i="3"/>
  <c r="U877" i="3"/>
  <c r="S877" i="3"/>
  <c r="Q877" i="3"/>
  <c r="O877" i="3"/>
  <c r="M877" i="3"/>
  <c r="K877" i="3"/>
  <c r="I877" i="3"/>
  <c r="G877" i="3"/>
  <c r="AZ876" i="3"/>
  <c r="AX876" i="3"/>
  <c r="AV876" i="3"/>
  <c r="AT876" i="3"/>
  <c r="AQ876" i="3"/>
  <c r="AO876" i="3"/>
  <c r="AM876" i="3"/>
  <c r="AK876" i="3"/>
  <c r="AC876" i="3"/>
  <c r="AA876" i="3"/>
  <c r="Y876" i="3"/>
  <c r="W876" i="3"/>
  <c r="U876" i="3"/>
  <c r="S876" i="3"/>
  <c r="Q876" i="3"/>
  <c r="O876" i="3"/>
  <c r="M876" i="3"/>
  <c r="K876" i="3"/>
  <c r="I876" i="3"/>
  <c r="G876" i="3"/>
  <c r="AZ875" i="3"/>
  <c r="AX875" i="3"/>
  <c r="AV875" i="3"/>
  <c r="AT875" i="3"/>
  <c r="AQ875" i="3"/>
  <c r="AO875" i="3"/>
  <c r="AM875" i="3"/>
  <c r="AK875" i="3"/>
  <c r="AC875" i="3"/>
  <c r="AA875" i="3"/>
  <c r="Y875" i="3"/>
  <c r="W875" i="3"/>
  <c r="U875" i="3"/>
  <c r="S875" i="3"/>
  <c r="Q875" i="3"/>
  <c r="O875" i="3"/>
  <c r="M875" i="3"/>
  <c r="K875" i="3"/>
  <c r="I875" i="3"/>
  <c r="G875" i="3"/>
  <c r="AZ874" i="3"/>
  <c r="AX874" i="3"/>
  <c r="AV874" i="3"/>
  <c r="AT874" i="3"/>
  <c r="AQ874" i="3"/>
  <c r="AO874" i="3"/>
  <c r="AM874" i="3"/>
  <c r="AK874" i="3"/>
  <c r="AC874" i="3"/>
  <c r="AA874" i="3"/>
  <c r="Y874" i="3"/>
  <c r="W874" i="3"/>
  <c r="U874" i="3"/>
  <c r="S874" i="3"/>
  <c r="Q874" i="3"/>
  <c r="O874" i="3"/>
  <c r="M874" i="3"/>
  <c r="K874" i="3"/>
  <c r="I874" i="3"/>
  <c r="G874" i="3"/>
  <c r="AZ873" i="3"/>
  <c r="AX873" i="3"/>
  <c r="AV873" i="3"/>
  <c r="AT873" i="3"/>
  <c r="AQ873" i="3"/>
  <c r="AO873" i="3"/>
  <c r="AM873" i="3"/>
  <c r="AK873" i="3"/>
  <c r="AC873" i="3"/>
  <c r="AA873" i="3"/>
  <c r="Y873" i="3"/>
  <c r="W873" i="3"/>
  <c r="U873" i="3"/>
  <c r="S873" i="3"/>
  <c r="Q873" i="3"/>
  <c r="O873" i="3"/>
  <c r="M873" i="3"/>
  <c r="K873" i="3"/>
  <c r="I873" i="3"/>
  <c r="G873" i="3"/>
  <c r="AZ872" i="3"/>
  <c r="AX872" i="3"/>
  <c r="AV872" i="3"/>
  <c r="AT872" i="3"/>
  <c r="AQ872" i="3"/>
  <c r="AO872" i="3"/>
  <c r="AM872" i="3"/>
  <c r="AK872" i="3"/>
  <c r="AC872" i="3"/>
  <c r="AA872" i="3"/>
  <c r="Y872" i="3"/>
  <c r="W872" i="3"/>
  <c r="U872" i="3"/>
  <c r="S872" i="3"/>
  <c r="Q872" i="3"/>
  <c r="O872" i="3"/>
  <c r="M872" i="3"/>
  <c r="K872" i="3"/>
  <c r="I872" i="3"/>
  <c r="G872" i="3"/>
  <c r="AZ871" i="3"/>
  <c r="AX871" i="3"/>
  <c r="AV871" i="3"/>
  <c r="AT871" i="3"/>
  <c r="AQ871" i="3"/>
  <c r="AO871" i="3"/>
  <c r="AM871" i="3"/>
  <c r="AK871" i="3"/>
  <c r="AC871" i="3"/>
  <c r="AA871" i="3"/>
  <c r="Y871" i="3"/>
  <c r="W871" i="3"/>
  <c r="U871" i="3"/>
  <c r="S871" i="3"/>
  <c r="Q871" i="3"/>
  <c r="O871" i="3"/>
  <c r="M871" i="3"/>
  <c r="K871" i="3"/>
  <c r="I871" i="3"/>
  <c r="G871" i="3"/>
  <c r="AZ870" i="3"/>
  <c r="AX870" i="3"/>
  <c r="AV870" i="3"/>
  <c r="AT870" i="3"/>
  <c r="AQ870" i="3"/>
  <c r="AO870" i="3"/>
  <c r="AM870" i="3"/>
  <c r="AK870" i="3"/>
  <c r="AC870" i="3"/>
  <c r="AA870" i="3"/>
  <c r="Y870" i="3"/>
  <c r="W870" i="3"/>
  <c r="U870" i="3"/>
  <c r="S870" i="3"/>
  <c r="Q870" i="3"/>
  <c r="O870" i="3"/>
  <c r="M870" i="3"/>
  <c r="K870" i="3"/>
  <c r="I870" i="3"/>
  <c r="G870" i="3"/>
  <c r="AZ869" i="3"/>
  <c r="AX869" i="3"/>
  <c r="AV869" i="3"/>
  <c r="AT869" i="3"/>
  <c r="AQ869" i="3"/>
  <c r="AO869" i="3"/>
  <c r="AM869" i="3"/>
  <c r="AK869" i="3"/>
  <c r="AC869" i="3"/>
  <c r="AA869" i="3"/>
  <c r="Y869" i="3"/>
  <c r="W869" i="3"/>
  <c r="U869" i="3"/>
  <c r="S869" i="3"/>
  <c r="Q869" i="3"/>
  <c r="O869" i="3"/>
  <c r="M869" i="3"/>
  <c r="K869" i="3"/>
  <c r="I869" i="3"/>
  <c r="G869" i="3"/>
  <c r="AZ868" i="3"/>
  <c r="AX868" i="3"/>
  <c r="AV868" i="3"/>
  <c r="AT868" i="3"/>
  <c r="AQ868" i="3"/>
  <c r="AO868" i="3"/>
  <c r="AM868" i="3"/>
  <c r="AK868" i="3"/>
  <c r="AC868" i="3"/>
  <c r="AA868" i="3"/>
  <c r="Y868" i="3"/>
  <c r="W868" i="3"/>
  <c r="U868" i="3"/>
  <c r="S868" i="3"/>
  <c r="Q868" i="3"/>
  <c r="O868" i="3"/>
  <c r="M868" i="3"/>
  <c r="K868" i="3"/>
  <c r="I868" i="3"/>
  <c r="G868" i="3"/>
  <c r="AZ867" i="3"/>
  <c r="AX867" i="3"/>
  <c r="AV867" i="3"/>
  <c r="AT867" i="3"/>
  <c r="AQ867" i="3"/>
  <c r="AO867" i="3"/>
  <c r="AM867" i="3"/>
  <c r="AK867" i="3"/>
  <c r="AC867" i="3"/>
  <c r="AA867" i="3"/>
  <c r="Y867" i="3"/>
  <c r="W867" i="3"/>
  <c r="U867" i="3"/>
  <c r="S867" i="3"/>
  <c r="Q867" i="3"/>
  <c r="O867" i="3"/>
  <c r="M867" i="3"/>
  <c r="K867" i="3"/>
  <c r="I867" i="3"/>
  <c r="G867" i="3"/>
  <c r="AZ866" i="3"/>
  <c r="AX866" i="3"/>
  <c r="AV866" i="3"/>
  <c r="AT866" i="3"/>
  <c r="AQ866" i="3"/>
  <c r="AO866" i="3"/>
  <c r="AM866" i="3"/>
  <c r="AK866" i="3"/>
  <c r="AC866" i="3"/>
  <c r="AA866" i="3"/>
  <c r="Y866" i="3"/>
  <c r="W866" i="3"/>
  <c r="U866" i="3"/>
  <c r="S866" i="3"/>
  <c r="Q866" i="3"/>
  <c r="O866" i="3"/>
  <c r="M866" i="3"/>
  <c r="K866" i="3"/>
  <c r="I866" i="3"/>
  <c r="G866" i="3"/>
  <c r="AZ865" i="3"/>
  <c r="AX865" i="3"/>
  <c r="AV865" i="3"/>
  <c r="AT865" i="3"/>
  <c r="AQ865" i="3"/>
  <c r="AO865" i="3"/>
  <c r="AM865" i="3"/>
  <c r="AK865" i="3"/>
  <c r="AC865" i="3"/>
  <c r="AA865" i="3"/>
  <c r="Y865" i="3"/>
  <c r="W865" i="3"/>
  <c r="U865" i="3"/>
  <c r="S865" i="3"/>
  <c r="Q865" i="3"/>
  <c r="O865" i="3"/>
  <c r="M865" i="3"/>
  <c r="K865" i="3"/>
  <c r="I865" i="3"/>
  <c r="G865" i="3"/>
  <c r="AZ864" i="3"/>
  <c r="AX864" i="3"/>
  <c r="AV864" i="3"/>
  <c r="AT864" i="3"/>
  <c r="AQ864" i="3"/>
  <c r="AO864" i="3"/>
  <c r="AM864" i="3"/>
  <c r="AK864" i="3"/>
  <c r="AC864" i="3"/>
  <c r="AA864" i="3"/>
  <c r="Y864" i="3"/>
  <c r="W864" i="3"/>
  <c r="U864" i="3"/>
  <c r="S864" i="3"/>
  <c r="Q864" i="3"/>
  <c r="O864" i="3"/>
  <c r="M864" i="3"/>
  <c r="K864" i="3"/>
  <c r="I864" i="3"/>
  <c r="G864" i="3"/>
  <c r="AZ863" i="3"/>
  <c r="AX863" i="3"/>
  <c r="AV863" i="3"/>
  <c r="AT863" i="3"/>
  <c r="AQ863" i="3"/>
  <c r="AO863" i="3"/>
  <c r="AM863" i="3"/>
  <c r="AK863" i="3"/>
  <c r="AC863" i="3"/>
  <c r="AA863" i="3"/>
  <c r="Y863" i="3"/>
  <c r="W863" i="3"/>
  <c r="U863" i="3"/>
  <c r="S863" i="3"/>
  <c r="Q863" i="3"/>
  <c r="O863" i="3"/>
  <c r="M863" i="3"/>
  <c r="K863" i="3"/>
  <c r="I863" i="3"/>
  <c r="G863" i="3"/>
  <c r="AZ862" i="3"/>
  <c r="AX862" i="3"/>
  <c r="AV862" i="3"/>
  <c r="AT862" i="3"/>
  <c r="AQ862" i="3"/>
  <c r="AO862" i="3"/>
  <c r="AM862" i="3"/>
  <c r="AK862" i="3"/>
  <c r="AC862" i="3"/>
  <c r="AA862" i="3"/>
  <c r="Y862" i="3"/>
  <c r="W862" i="3"/>
  <c r="U862" i="3"/>
  <c r="S862" i="3"/>
  <c r="Q862" i="3"/>
  <c r="O862" i="3"/>
  <c r="M862" i="3"/>
  <c r="K862" i="3"/>
  <c r="I862" i="3"/>
  <c r="G862" i="3"/>
  <c r="AZ861" i="3"/>
  <c r="AX861" i="3"/>
  <c r="AV861" i="3"/>
  <c r="AT861" i="3"/>
  <c r="AQ861" i="3"/>
  <c r="AO861" i="3"/>
  <c r="AM861" i="3"/>
  <c r="AK861" i="3"/>
  <c r="AC861" i="3"/>
  <c r="AA861" i="3"/>
  <c r="Y861" i="3"/>
  <c r="W861" i="3"/>
  <c r="U861" i="3"/>
  <c r="S861" i="3"/>
  <c r="Q861" i="3"/>
  <c r="O861" i="3"/>
  <c r="M861" i="3"/>
  <c r="K861" i="3"/>
  <c r="I861" i="3"/>
  <c r="G861" i="3"/>
  <c r="AZ860" i="3"/>
  <c r="AX860" i="3"/>
  <c r="AV860" i="3"/>
  <c r="AT860" i="3"/>
  <c r="AQ860" i="3"/>
  <c r="AO860" i="3"/>
  <c r="AM860" i="3"/>
  <c r="AK860" i="3"/>
  <c r="AC860" i="3"/>
  <c r="AA860" i="3"/>
  <c r="Y860" i="3"/>
  <c r="W860" i="3"/>
  <c r="U860" i="3"/>
  <c r="S860" i="3"/>
  <c r="Q860" i="3"/>
  <c r="O860" i="3"/>
  <c r="M860" i="3"/>
  <c r="K860" i="3"/>
  <c r="I860" i="3"/>
  <c r="G860" i="3"/>
  <c r="AZ859" i="3"/>
  <c r="AX859" i="3"/>
  <c r="AV859" i="3"/>
  <c r="AT859" i="3"/>
  <c r="AQ859" i="3"/>
  <c r="AO859" i="3"/>
  <c r="AM859" i="3"/>
  <c r="AK859" i="3"/>
  <c r="AC859" i="3"/>
  <c r="AA859" i="3"/>
  <c r="Y859" i="3"/>
  <c r="W859" i="3"/>
  <c r="U859" i="3"/>
  <c r="S859" i="3"/>
  <c r="Q859" i="3"/>
  <c r="O859" i="3"/>
  <c r="M859" i="3"/>
  <c r="K859" i="3"/>
  <c r="I859" i="3"/>
  <c r="G859" i="3"/>
  <c r="AZ858" i="3"/>
  <c r="AX858" i="3"/>
  <c r="AV858" i="3"/>
  <c r="AT858" i="3"/>
  <c r="AQ858" i="3"/>
  <c r="AO858" i="3"/>
  <c r="AM858" i="3"/>
  <c r="AK858" i="3"/>
  <c r="AC858" i="3"/>
  <c r="AA858" i="3"/>
  <c r="Y858" i="3"/>
  <c r="W858" i="3"/>
  <c r="U858" i="3"/>
  <c r="S858" i="3"/>
  <c r="Q858" i="3"/>
  <c r="O858" i="3"/>
  <c r="M858" i="3"/>
  <c r="K858" i="3"/>
  <c r="I858" i="3"/>
  <c r="G858" i="3"/>
  <c r="AZ857" i="3"/>
  <c r="AX857" i="3"/>
  <c r="AV857" i="3"/>
  <c r="AT857" i="3"/>
  <c r="AQ857" i="3"/>
  <c r="AO857" i="3"/>
  <c r="AM857" i="3"/>
  <c r="AK857" i="3"/>
  <c r="AC857" i="3"/>
  <c r="AA857" i="3"/>
  <c r="Y857" i="3"/>
  <c r="W857" i="3"/>
  <c r="U857" i="3"/>
  <c r="S857" i="3"/>
  <c r="Q857" i="3"/>
  <c r="O857" i="3"/>
  <c r="M857" i="3"/>
  <c r="K857" i="3"/>
  <c r="I857" i="3"/>
  <c r="G857" i="3"/>
  <c r="AZ856" i="3"/>
  <c r="AX856" i="3"/>
  <c r="AV856" i="3"/>
  <c r="AT856" i="3"/>
  <c r="AQ856" i="3"/>
  <c r="AO856" i="3"/>
  <c r="AM856" i="3"/>
  <c r="AK856" i="3"/>
  <c r="AC856" i="3"/>
  <c r="AA856" i="3"/>
  <c r="Y856" i="3"/>
  <c r="W856" i="3"/>
  <c r="U856" i="3"/>
  <c r="S856" i="3"/>
  <c r="Q856" i="3"/>
  <c r="O856" i="3"/>
  <c r="M856" i="3"/>
  <c r="K856" i="3"/>
  <c r="I856" i="3"/>
  <c r="G856" i="3"/>
  <c r="AZ855" i="3"/>
  <c r="AX855" i="3"/>
  <c r="AV855" i="3"/>
  <c r="AT855" i="3"/>
  <c r="AQ855" i="3"/>
  <c r="AO855" i="3"/>
  <c r="AM855" i="3"/>
  <c r="AK855" i="3"/>
  <c r="AC855" i="3"/>
  <c r="AA855" i="3"/>
  <c r="Y855" i="3"/>
  <c r="W855" i="3"/>
  <c r="U855" i="3"/>
  <c r="S855" i="3"/>
  <c r="Q855" i="3"/>
  <c r="O855" i="3"/>
  <c r="M855" i="3"/>
  <c r="K855" i="3"/>
  <c r="I855" i="3"/>
  <c r="G855" i="3"/>
  <c r="AZ854" i="3"/>
  <c r="AX854" i="3"/>
  <c r="AV854" i="3"/>
  <c r="AT854" i="3"/>
  <c r="AQ854" i="3"/>
  <c r="AO854" i="3"/>
  <c r="AM854" i="3"/>
  <c r="AK854" i="3"/>
  <c r="AC854" i="3"/>
  <c r="AA854" i="3"/>
  <c r="Y854" i="3"/>
  <c r="W854" i="3"/>
  <c r="U854" i="3"/>
  <c r="S854" i="3"/>
  <c r="Q854" i="3"/>
  <c r="O854" i="3"/>
  <c r="M854" i="3"/>
  <c r="K854" i="3"/>
  <c r="I854" i="3"/>
  <c r="G854" i="3"/>
  <c r="AZ853" i="3"/>
  <c r="AX853" i="3"/>
  <c r="AV853" i="3"/>
  <c r="AT853" i="3"/>
  <c r="AQ853" i="3"/>
  <c r="AO853" i="3"/>
  <c r="AM853" i="3"/>
  <c r="AK853" i="3"/>
  <c r="AC853" i="3"/>
  <c r="AA853" i="3"/>
  <c r="Y853" i="3"/>
  <c r="W853" i="3"/>
  <c r="U853" i="3"/>
  <c r="S853" i="3"/>
  <c r="Q853" i="3"/>
  <c r="O853" i="3"/>
  <c r="M853" i="3"/>
  <c r="K853" i="3"/>
  <c r="I853" i="3"/>
  <c r="G853" i="3"/>
  <c r="AZ852" i="3"/>
  <c r="AX852" i="3"/>
  <c r="AV852" i="3"/>
  <c r="AT852" i="3"/>
  <c r="AQ852" i="3"/>
  <c r="AO852" i="3"/>
  <c r="AM852" i="3"/>
  <c r="AK852" i="3"/>
  <c r="AC852" i="3"/>
  <c r="AA852" i="3"/>
  <c r="Y852" i="3"/>
  <c r="W852" i="3"/>
  <c r="U852" i="3"/>
  <c r="S852" i="3"/>
  <c r="Q852" i="3"/>
  <c r="O852" i="3"/>
  <c r="M852" i="3"/>
  <c r="K852" i="3"/>
  <c r="I852" i="3"/>
  <c r="G852" i="3"/>
  <c r="AZ851" i="3"/>
  <c r="AX851" i="3"/>
  <c r="AV851" i="3"/>
  <c r="AT851" i="3"/>
  <c r="AQ851" i="3"/>
  <c r="AO851" i="3"/>
  <c r="AM851" i="3"/>
  <c r="AK851" i="3"/>
  <c r="AC851" i="3"/>
  <c r="AA851" i="3"/>
  <c r="Y851" i="3"/>
  <c r="W851" i="3"/>
  <c r="U851" i="3"/>
  <c r="S851" i="3"/>
  <c r="Q851" i="3"/>
  <c r="O851" i="3"/>
  <c r="M851" i="3"/>
  <c r="K851" i="3"/>
  <c r="I851" i="3"/>
  <c r="G851" i="3"/>
  <c r="AZ850" i="3"/>
  <c r="AX850" i="3"/>
  <c r="AV850" i="3"/>
  <c r="AT850" i="3"/>
  <c r="AQ850" i="3"/>
  <c r="AO850" i="3"/>
  <c r="AM850" i="3"/>
  <c r="AK850" i="3"/>
  <c r="AC850" i="3"/>
  <c r="AA850" i="3"/>
  <c r="Y850" i="3"/>
  <c r="W850" i="3"/>
  <c r="U850" i="3"/>
  <c r="S850" i="3"/>
  <c r="Q850" i="3"/>
  <c r="O850" i="3"/>
  <c r="M850" i="3"/>
  <c r="K850" i="3"/>
  <c r="I850" i="3"/>
  <c r="G850" i="3"/>
  <c r="AZ849" i="3"/>
  <c r="AX849" i="3"/>
  <c r="AV849" i="3"/>
  <c r="AT849" i="3"/>
  <c r="AQ849" i="3"/>
  <c r="AO849" i="3"/>
  <c r="AM849" i="3"/>
  <c r="AK849" i="3"/>
  <c r="AC849" i="3"/>
  <c r="AA849" i="3"/>
  <c r="Y849" i="3"/>
  <c r="W849" i="3"/>
  <c r="U849" i="3"/>
  <c r="S849" i="3"/>
  <c r="Q849" i="3"/>
  <c r="O849" i="3"/>
  <c r="M849" i="3"/>
  <c r="K849" i="3"/>
  <c r="I849" i="3"/>
  <c r="G849" i="3"/>
  <c r="AZ848" i="3"/>
  <c r="AX848" i="3"/>
  <c r="AV848" i="3"/>
  <c r="AT848" i="3"/>
  <c r="AQ848" i="3"/>
  <c r="AO848" i="3"/>
  <c r="AM848" i="3"/>
  <c r="AK848" i="3"/>
  <c r="AC848" i="3"/>
  <c r="AA848" i="3"/>
  <c r="Y848" i="3"/>
  <c r="W848" i="3"/>
  <c r="U848" i="3"/>
  <c r="S848" i="3"/>
  <c r="Q848" i="3"/>
  <c r="O848" i="3"/>
  <c r="M848" i="3"/>
  <c r="K848" i="3"/>
  <c r="I848" i="3"/>
  <c r="G848" i="3"/>
  <c r="AZ847" i="3"/>
  <c r="AX847" i="3"/>
  <c r="AV847" i="3"/>
  <c r="AT847" i="3"/>
  <c r="AQ847" i="3"/>
  <c r="AO847" i="3"/>
  <c r="AM847" i="3"/>
  <c r="AK847" i="3"/>
  <c r="AC847" i="3"/>
  <c r="AA847" i="3"/>
  <c r="Y847" i="3"/>
  <c r="W847" i="3"/>
  <c r="U847" i="3"/>
  <c r="S847" i="3"/>
  <c r="Q847" i="3"/>
  <c r="O847" i="3"/>
  <c r="M847" i="3"/>
  <c r="K847" i="3"/>
  <c r="I847" i="3"/>
  <c r="G847" i="3"/>
  <c r="AZ846" i="3"/>
  <c r="AX846" i="3"/>
  <c r="AV846" i="3"/>
  <c r="AT846" i="3"/>
  <c r="AQ846" i="3"/>
  <c r="AO846" i="3"/>
  <c r="AM846" i="3"/>
  <c r="AK846" i="3"/>
  <c r="AC846" i="3"/>
  <c r="AA846" i="3"/>
  <c r="Y846" i="3"/>
  <c r="W846" i="3"/>
  <c r="U846" i="3"/>
  <c r="S846" i="3"/>
  <c r="Q846" i="3"/>
  <c r="O846" i="3"/>
  <c r="M846" i="3"/>
  <c r="K846" i="3"/>
  <c r="I846" i="3"/>
  <c r="G846" i="3"/>
  <c r="AZ845" i="3"/>
  <c r="AX845" i="3"/>
  <c r="AV845" i="3"/>
  <c r="AT845" i="3"/>
  <c r="AQ845" i="3"/>
  <c r="AO845" i="3"/>
  <c r="AM845" i="3"/>
  <c r="AK845" i="3"/>
  <c r="AC845" i="3"/>
  <c r="AA845" i="3"/>
  <c r="Y845" i="3"/>
  <c r="W845" i="3"/>
  <c r="U845" i="3"/>
  <c r="S845" i="3"/>
  <c r="Q845" i="3"/>
  <c r="O845" i="3"/>
  <c r="M845" i="3"/>
  <c r="K845" i="3"/>
  <c r="I845" i="3"/>
  <c r="G845" i="3"/>
  <c r="AZ844" i="3"/>
  <c r="AX844" i="3"/>
  <c r="AV844" i="3"/>
  <c r="AT844" i="3"/>
  <c r="AQ844" i="3"/>
  <c r="AO844" i="3"/>
  <c r="AM844" i="3"/>
  <c r="AK844" i="3"/>
  <c r="AC844" i="3"/>
  <c r="AA844" i="3"/>
  <c r="Y844" i="3"/>
  <c r="W844" i="3"/>
  <c r="U844" i="3"/>
  <c r="S844" i="3"/>
  <c r="Q844" i="3"/>
  <c r="O844" i="3"/>
  <c r="M844" i="3"/>
  <c r="K844" i="3"/>
  <c r="I844" i="3"/>
  <c r="G844" i="3"/>
  <c r="AZ843" i="3"/>
  <c r="AX843" i="3"/>
  <c r="AV843" i="3"/>
  <c r="AT843" i="3"/>
  <c r="AQ843" i="3"/>
  <c r="AO843" i="3"/>
  <c r="AM843" i="3"/>
  <c r="AK843" i="3"/>
  <c r="AC843" i="3"/>
  <c r="AA843" i="3"/>
  <c r="Y843" i="3"/>
  <c r="W843" i="3"/>
  <c r="U843" i="3"/>
  <c r="S843" i="3"/>
  <c r="Q843" i="3"/>
  <c r="O843" i="3"/>
  <c r="M843" i="3"/>
  <c r="K843" i="3"/>
  <c r="I843" i="3"/>
  <c r="G843" i="3"/>
  <c r="AZ842" i="3"/>
  <c r="AX842" i="3"/>
  <c r="AV842" i="3"/>
  <c r="AT842" i="3"/>
  <c r="AQ842" i="3"/>
  <c r="AO842" i="3"/>
  <c r="AM842" i="3"/>
  <c r="AK842" i="3"/>
  <c r="AC842" i="3"/>
  <c r="AA842" i="3"/>
  <c r="Y842" i="3"/>
  <c r="W842" i="3"/>
  <c r="U842" i="3"/>
  <c r="S842" i="3"/>
  <c r="Q842" i="3"/>
  <c r="O842" i="3"/>
  <c r="M842" i="3"/>
  <c r="K842" i="3"/>
  <c r="I842" i="3"/>
  <c r="G842" i="3"/>
  <c r="AZ841" i="3"/>
  <c r="AX841" i="3"/>
  <c r="AV841" i="3"/>
  <c r="AT841" i="3"/>
  <c r="AQ841" i="3"/>
  <c r="AO841" i="3"/>
  <c r="AM841" i="3"/>
  <c r="AK841" i="3"/>
  <c r="AC841" i="3"/>
  <c r="AA841" i="3"/>
  <c r="Y841" i="3"/>
  <c r="W841" i="3"/>
  <c r="U841" i="3"/>
  <c r="S841" i="3"/>
  <c r="Q841" i="3"/>
  <c r="O841" i="3"/>
  <c r="M841" i="3"/>
  <c r="K841" i="3"/>
  <c r="I841" i="3"/>
  <c r="G841" i="3"/>
  <c r="AZ840" i="3"/>
  <c r="AX840" i="3"/>
  <c r="AV840" i="3"/>
  <c r="AT840" i="3"/>
  <c r="AQ840" i="3"/>
  <c r="AO840" i="3"/>
  <c r="AM840" i="3"/>
  <c r="AK840" i="3"/>
  <c r="AC840" i="3"/>
  <c r="AA840" i="3"/>
  <c r="Y840" i="3"/>
  <c r="W840" i="3"/>
  <c r="U840" i="3"/>
  <c r="S840" i="3"/>
  <c r="Q840" i="3"/>
  <c r="O840" i="3"/>
  <c r="M840" i="3"/>
  <c r="K840" i="3"/>
  <c r="I840" i="3"/>
  <c r="G840" i="3"/>
  <c r="AZ839" i="3"/>
  <c r="AX839" i="3"/>
  <c r="AV839" i="3"/>
  <c r="AT839" i="3"/>
  <c r="AQ839" i="3"/>
  <c r="AO839" i="3"/>
  <c r="AM839" i="3"/>
  <c r="AK839" i="3"/>
  <c r="AC839" i="3"/>
  <c r="AA839" i="3"/>
  <c r="Y839" i="3"/>
  <c r="W839" i="3"/>
  <c r="U839" i="3"/>
  <c r="S839" i="3"/>
  <c r="Q839" i="3"/>
  <c r="O839" i="3"/>
  <c r="M839" i="3"/>
  <c r="K839" i="3"/>
  <c r="I839" i="3"/>
  <c r="G839" i="3"/>
  <c r="AZ838" i="3"/>
  <c r="AX838" i="3"/>
  <c r="AV838" i="3"/>
  <c r="AT838" i="3"/>
  <c r="AQ838" i="3"/>
  <c r="AO838" i="3"/>
  <c r="AM838" i="3"/>
  <c r="AK838" i="3"/>
  <c r="AC838" i="3"/>
  <c r="AA838" i="3"/>
  <c r="Y838" i="3"/>
  <c r="W838" i="3"/>
  <c r="U838" i="3"/>
  <c r="S838" i="3"/>
  <c r="Q838" i="3"/>
  <c r="O838" i="3"/>
  <c r="M838" i="3"/>
  <c r="K838" i="3"/>
  <c r="I838" i="3"/>
  <c r="G838" i="3"/>
  <c r="AZ837" i="3"/>
  <c r="AX837" i="3"/>
  <c r="AV837" i="3"/>
  <c r="AT837" i="3"/>
  <c r="AQ837" i="3"/>
  <c r="AO837" i="3"/>
  <c r="AM837" i="3"/>
  <c r="AK837" i="3"/>
  <c r="AC837" i="3"/>
  <c r="AA837" i="3"/>
  <c r="Y837" i="3"/>
  <c r="W837" i="3"/>
  <c r="U837" i="3"/>
  <c r="S837" i="3"/>
  <c r="Q837" i="3"/>
  <c r="O837" i="3"/>
  <c r="M837" i="3"/>
  <c r="K837" i="3"/>
  <c r="I837" i="3"/>
  <c r="G837" i="3"/>
  <c r="AZ836" i="3"/>
  <c r="AX836" i="3"/>
  <c r="AV836" i="3"/>
  <c r="AT836" i="3"/>
  <c r="AQ836" i="3"/>
  <c r="AO836" i="3"/>
  <c r="AM836" i="3"/>
  <c r="AK836" i="3"/>
  <c r="AC836" i="3"/>
  <c r="AA836" i="3"/>
  <c r="Y836" i="3"/>
  <c r="W836" i="3"/>
  <c r="U836" i="3"/>
  <c r="S836" i="3"/>
  <c r="Q836" i="3"/>
  <c r="O836" i="3"/>
  <c r="M836" i="3"/>
  <c r="K836" i="3"/>
  <c r="I836" i="3"/>
  <c r="G836" i="3"/>
  <c r="AZ835" i="3"/>
  <c r="AX835" i="3"/>
  <c r="AV835" i="3"/>
  <c r="AT835" i="3"/>
  <c r="AQ835" i="3"/>
  <c r="AO835" i="3"/>
  <c r="AM835" i="3"/>
  <c r="AK835" i="3"/>
  <c r="AC835" i="3"/>
  <c r="AA835" i="3"/>
  <c r="Y835" i="3"/>
  <c r="W835" i="3"/>
  <c r="U835" i="3"/>
  <c r="S835" i="3"/>
  <c r="Q835" i="3"/>
  <c r="O835" i="3"/>
  <c r="M835" i="3"/>
  <c r="K835" i="3"/>
  <c r="I835" i="3"/>
  <c r="G835" i="3"/>
  <c r="AZ834" i="3"/>
  <c r="AX834" i="3"/>
  <c r="AV834" i="3"/>
  <c r="AT834" i="3"/>
  <c r="AQ834" i="3"/>
  <c r="AO834" i="3"/>
  <c r="AM834" i="3"/>
  <c r="AK834" i="3"/>
  <c r="AC834" i="3"/>
  <c r="AA834" i="3"/>
  <c r="Y834" i="3"/>
  <c r="W834" i="3"/>
  <c r="U834" i="3"/>
  <c r="S834" i="3"/>
  <c r="Q834" i="3"/>
  <c r="O834" i="3"/>
  <c r="M834" i="3"/>
  <c r="K834" i="3"/>
  <c r="I834" i="3"/>
  <c r="G834" i="3"/>
  <c r="AZ833" i="3"/>
  <c r="AX833" i="3"/>
  <c r="AV833" i="3"/>
  <c r="AT833" i="3"/>
  <c r="AQ833" i="3"/>
  <c r="AO833" i="3"/>
  <c r="AM833" i="3"/>
  <c r="AK833" i="3"/>
  <c r="AC833" i="3"/>
  <c r="AA833" i="3"/>
  <c r="Y833" i="3"/>
  <c r="W833" i="3"/>
  <c r="U833" i="3"/>
  <c r="S833" i="3"/>
  <c r="Q833" i="3"/>
  <c r="O833" i="3"/>
  <c r="M833" i="3"/>
  <c r="K833" i="3"/>
  <c r="I833" i="3"/>
  <c r="G833" i="3"/>
  <c r="AZ832" i="3"/>
  <c r="AX832" i="3"/>
  <c r="AV832" i="3"/>
  <c r="AT832" i="3"/>
  <c r="AQ832" i="3"/>
  <c r="AO832" i="3"/>
  <c r="AM832" i="3"/>
  <c r="AK832" i="3"/>
  <c r="AC832" i="3"/>
  <c r="AA832" i="3"/>
  <c r="Y832" i="3"/>
  <c r="W832" i="3"/>
  <c r="U832" i="3"/>
  <c r="S832" i="3"/>
  <c r="Q832" i="3"/>
  <c r="O832" i="3"/>
  <c r="M832" i="3"/>
  <c r="K832" i="3"/>
  <c r="I832" i="3"/>
  <c r="G832" i="3"/>
  <c r="AZ831" i="3"/>
  <c r="AX831" i="3"/>
  <c r="AV831" i="3"/>
  <c r="AT831" i="3"/>
  <c r="AQ831" i="3"/>
  <c r="AO831" i="3"/>
  <c r="AM831" i="3"/>
  <c r="AK831" i="3"/>
  <c r="AC831" i="3"/>
  <c r="AA831" i="3"/>
  <c r="Y831" i="3"/>
  <c r="W831" i="3"/>
  <c r="U831" i="3"/>
  <c r="S831" i="3"/>
  <c r="Q831" i="3"/>
  <c r="O831" i="3"/>
  <c r="M831" i="3"/>
  <c r="K831" i="3"/>
  <c r="I831" i="3"/>
  <c r="G831" i="3"/>
  <c r="AZ830" i="3"/>
  <c r="AX830" i="3"/>
  <c r="AV830" i="3"/>
  <c r="AT830" i="3"/>
  <c r="AQ830" i="3"/>
  <c r="AO830" i="3"/>
  <c r="AM830" i="3"/>
  <c r="AK830" i="3"/>
  <c r="AC830" i="3"/>
  <c r="AA830" i="3"/>
  <c r="Y830" i="3"/>
  <c r="W830" i="3"/>
  <c r="U830" i="3"/>
  <c r="S830" i="3"/>
  <c r="Q830" i="3"/>
  <c r="O830" i="3"/>
  <c r="M830" i="3"/>
  <c r="K830" i="3"/>
  <c r="I830" i="3"/>
  <c r="G830" i="3"/>
  <c r="AZ829" i="3"/>
  <c r="AX829" i="3"/>
  <c r="AV829" i="3"/>
  <c r="AT829" i="3"/>
  <c r="AQ829" i="3"/>
  <c r="AO829" i="3"/>
  <c r="AM829" i="3"/>
  <c r="AK829" i="3"/>
  <c r="AC829" i="3"/>
  <c r="AA829" i="3"/>
  <c r="Y829" i="3"/>
  <c r="W829" i="3"/>
  <c r="U829" i="3"/>
  <c r="S829" i="3"/>
  <c r="Q829" i="3"/>
  <c r="O829" i="3"/>
  <c r="M829" i="3"/>
  <c r="K829" i="3"/>
  <c r="I829" i="3"/>
  <c r="G829" i="3"/>
  <c r="AZ828" i="3"/>
  <c r="AX828" i="3"/>
  <c r="AV828" i="3"/>
  <c r="AT828" i="3"/>
  <c r="AQ828" i="3"/>
  <c r="AO828" i="3"/>
  <c r="AM828" i="3"/>
  <c r="AK828" i="3"/>
  <c r="AC828" i="3"/>
  <c r="AA828" i="3"/>
  <c r="Y828" i="3"/>
  <c r="W828" i="3"/>
  <c r="U828" i="3"/>
  <c r="S828" i="3"/>
  <c r="Q828" i="3"/>
  <c r="O828" i="3"/>
  <c r="M828" i="3"/>
  <c r="K828" i="3"/>
  <c r="I828" i="3"/>
  <c r="G828" i="3"/>
  <c r="AZ827" i="3"/>
  <c r="AX827" i="3"/>
  <c r="AV827" i="3"/>
  <c r="AT827" i="3"/>
  <c r="AQ827" i="3"/>
  <c r="AO827" i="3"/>
  <c r="AM827" i="3"/>
  <c r="AK827" i="3"/>
  <c r="AC827" i="3"/>
  <c r="AA827" i="3"/>
  <c r="Y827" i="3"/>
  <c r="W827" i="3"/>
  <c r="U827" i="3"/>
  <c r="S827" i="3"/>
  <c r="Q827" i="3"/>
  <c r="O827" i="3"/>
  <c r="M827" i="3"/>
  <c r="K827" i="3"/>
  <c r="I827" i="3"/>
  <c r="G827" i="3"/>
  <c r="AZ826" i="3"/>
  <c r="AX826" i="3"/>
  <c r="AV826" i="3"/>
  <c r="AT826" i="3"/>
  <c r="AQ826" i="3"/>
  <c r="AO826" i="3"/>
  <c r="AM826" i="3"/>
  <c r="AK826" i="3"/>
  <c r="AC826" i="3"/>
  <c r="AA826" i="3"/>
  <c r="Y826" i="3"/>
  <c r="W826" i="3"/>
  <c r="U826" i="3"/>
  <c r="S826" i="3"/>
  <c r="Q826" i="3"/>
  <c r="O826" i="3"/>
  <c r="M826" i="3"/>
  <c r="K826" i="3"/>
  <c r="I826" i="3"/>
  <c r="G826" i="3"/>
  <c r="AZ825" i="3"/>
  <c r="AX825" i="3"/>
  <c r="AV825" i="3"/>
  <c r="AT825" i="3"/>
  <c r="AQ825" i="3"/>
  <c r="AO825" i="3"/>
  <c r="AM825" i="3"/>
  <c r="AK825" i="3"/>
  <c r="AC825" i="3"/>
  <c r="AA825" i="3"/>
  <c r="Y825" i="3"/>
  <c r="W825" i="3"/>
  <c r="U825" i="3"/>
  <c r="S825" i="3"/>
  <c r="Q825" i="3"/>
  <c r="O825" i="3"/>
  <c r="M825" i="3"/>
  <c r="K825" i="3"/>
  <c r="I825" i="3"/>
  <c r="G825" i="3"/>
  <c r="AZ824" i="3"/>
  <c r="AX824" i="3"/>
  <c r="AV824" i="3"/>
  <c r="AT824" i="3"/>
  <c r="AQ824" i="3"/>
  <c r="AO824" i="3"/>
  <c r="AM824" i="3"/>
  <c r="AK824" i="3"/>
  <c r="AC824" i="3"/>
  <c r="AA824" i="3"/>
  <c r="Y824" i="3"/>
  <c r="W824" i="3"/>
  <c r="U824" i="3"/>
  <c r="S824" i="3"/>
  <c r="Q824" i="3"/>
  <c r="O824" i="3"/>
  <c r="M824" i="3"/>
  <c r="K824" i="3"/>
  <c r="I824" i="3"/>
  <c r="G824" i="3"/>
  <c r="AZ823" i="3"/>
  <c r="AX823" i="3"/>
  <c r="AV823" i="3"/>
  <c r="AT823" i="3"/>
  <c r="AQ823" i="3"/>
  <c r="AO823" i="3"/>
  <c r="AM823" i="3"/>
  <c r="AK823" i="3"/>
  <c r="AC823" i="3"/>
  <c r="AA823" i="3"/>
  <c r="Y823" i="3"/>
  <c r="W823" i="3"/>
  <c r="U823" i="3"/>
  <c r="S823" i="3"/>
  <c r="Q823" i="3"/>
  <c r="O823" i="3"/>
  <c r="M823" i="3"/>
  <c r="K823" i="3"/>
  <c r="I823" i="3"/>
  <c r="G823" i="3"/>
  <c r="AZ822" i="3"/>
  <c r="AX822" i="3"/>
  <c r="AV822" i="3"/>
  <c r="AT822" i="3"/>
  <c r="AQ822" i="3"/>
  <c r="AO822" i="3"/>
  <c r="AM822" i="3"/>
  <c r="AK822" i="3"/>
  <c r="AC822" i="3"/>
  <c r="AA822" i="3"/>
  <c r="Y822" i="3"/>
  <c r="W822" i="3"/>
  <c r="U822" i="3"/>
  <c r="S822" i="3"/>
  <c r="Q822" i="3"/>
  <c r="O822" i="3"/>
  <c r="M822" i="3"/>
  <c r="K822" i="3"/>
  <c r="I822" i="3"/>
  <c r="G822" i="3"/>
  <c r="AZ821" i="3"/>
  <c r="AX821" i="3"/>
  <c r="AV821" i="3"/>
  <c r="AT821" i="3"/>
  <c r="AQ821" i="3"/>
  <c r="AO821" i="3"/>
  <c r="AM821" i="3"/>
  <c r="AK821" i="3"/>
  <c r="AC821" i="3"/>
  <c r="AA821" i="3"/>
  <c r="Y821" i="3"/>
  <c r="W821" i="3"/>
  <c r="U821" i="3"/>
  <c r="S821" i="3"/>
  <c r="Q821" i="3"/>
  <c r="O821" i="3"/>
  <c r="M821" i="3"/>
  <c r="K821" i="3"/>
  <c r="I821" i="3"/>
  <c r="G821" i="3"/>
  <c r="AZ820" i="3"/>
  <c r="AX820" i="3"/>
  <c r="AV820" i="3"/>
  <c r="AT820" i="3"/>
  <c r="AQ820" i="3"/>
  <c r="AO820" i="3"/>
  <c r="AM820" i="3"/>
  <c r="AK820" i="3"/>
  <c r="AC820" i="3"/>
  <c r="AA820" i="3"/>
  <c r="Y820" i="3"/>
  <c r="W820" i="3"/>
  <c r="U820" i="3"/>
  <c r="S820" i="3"/>
  <c r="Q820" i="3"/>
  <c r="O820" i="3"/>
  <c r="M820" i="3"/>
  <c r="K820" i="3"/>
  <c r="I820" i="3"/>
  <c r="G820" i="3"/>
  <c r="AZ819" i="3"/>
  <c r="AX819" i="3"/>
  <c r="AV819" i="3"/>
  <c r="AT819" i="3"/>
  <c r="AQ819" i="3"/>
  <c r="AO819" i="3"/>
  <c r="AM819" i="3"/>
  <c r="AK819" i="3"/>
  <c r="AC819" i="3"/>
  <c r="AA819" i="3"/>
  <c r="Y819" i="3"/>
  <c r="W819" i="3"/>
  <c r="U819" i="3"/>
  <c r="S819" i="3"/>
  <c r="Q819" i="3"/>
  <c r="O819" i="3"/>
  <c r="M819" i="3"/>
  <c r="K819" i="3"/>
  <c r="I819" i="3"/>
  <c r="G819" i="3"/>
  <c r="AZ818" i="3"/>
  <c r="AX818" i="3"/>
  <c r="AV818" i="3"/>
  <c r="AT818" i="3"/>
  <c r="AQ818" i="3"/>
  <c r="AO818" i="3"/>
  <c r="AM818" i="3"/>
  <c r="AK818" i="3"/>
  <c r="AC818" i="3"/>
  <c r="AA818" i="3"/>
  <c r="Y818" i="3"/>
  <c r="W818" i="3"/>
  <c r="U818" i="3"/>
  <c r="S818" i="3"/>
  <c r="Q818" i="3"/>
  <c r="O818" i="3"/>
  <c r="M818" i="3"/>
  <c r="K818" i="3"/>
  <c r="I818" i="3"/>
  <c r="G818" i="3"/>
  <c r="AZ817" i="3"/>
  <c r="AX817" i="3"/>
  <c r="AV817" i="3"/>
  <c r="AT817" i="3"/>
  <c r="AQ817" i="3"/>
  <c r="AO817" i="3"/>
  <c r="AM817" i="3"/>
  <c r="AK817" i="3"/>
  <c r="AC817" i="3"/>
  <c r="AA817" i="3"/>
  <c r="Y817" i="3"/>
  <c r="W817" i="3"/>
  <c r="U817" i="3"/>
  <c r="S817" i="3"/>
  <c r="Q817" i="3"/>
  <c r="O817" i="3"/>
  <c r="M817" i="3"/>
  <c r="K817" i="3"/>
  <c r="I817" i="3"/>
  <c r="G817" i="3"/>
  <c r="AZ816" i="3"/>
  <c r="AX816" i="3"/>
  <c r="AV816" i="3"/>
  <c r="AT816" i="3"/>
  <c r="AQ816" i="3"/>
  <c r="AO816" i="3"/>
  <c r="AM816" i="3"/>
  <c r="AK816" i="3"/>
  <c r="AC816" i="3"/>
  <c r="AA816" i="3"/>
  <c r="Y816" i="3"/>
  <c r="W816" i="3"/>
  <c r="U816" i="3"/>
  <c r="S816" i="3"/>
  <c r="Q816" i="3"/>
  <c r="O816" i="3"/>
  <c r="M816" i="3"/>
  <c r="K816" i="3"/>
  <c r="I816" i="3"/>
  <c r="G816" i="3"/>
  <c r="AZ815" i="3"/>
  <c r="AX815" i="3"/>
  <c r="AV815" i="3"/>
  <c r="AT815" i="3"/>
  <c r="AQ815" i="3"/>
  <c r="AO815" i="3"/>
  <c r="AM815" i="3"/>
  <c r="AK815" i="3"/>
  <c r="AC815" i="3"/>
  <c r="AA815" i="3"/>
  <c r="Y815" i="3"/>
  <c r="W815" i="3"/>
  <c r="U815" i="3"/>
  <c r="S815" i="3"/>
  <c r="Q815" i="3"/>
  <c r="O815" i="3"/>
  <c r="M815" i="3"/>
  <c r="K815" i="3"/>
  <c r="I815" i="3"/>
  <c r="G815" i="3"/>
  <c r="AZ814" i="3"/>
  <c r="AX814" i="3"/>
  <c r="AV814" i="3"/>
  <c r="AT814" i="3"/>
  <c r="AQ814" i="3"/>
  <c r="AO814" i="3"/>
  <c r="AM814" i="3"/>
  <c r="AK814" i="3"/>
  <c r="AC814" i="3"/>
  <c r="AA814" i="3"/>
  <c r="Y814" i="3"/>
  <c r="W814" i="3"/>
  <c r="U814" i="3"/>
  <c r="S814" i="3"/>
  <c r="Q814" i="3"/>
  <c r="O814" i="3"/>
  <c r="M814" i="3"/>
  <c r="K814" i="3"/>
  <c r="I814" i="3"/>
  <c r="G814" i="3"/>
  <c r="AZ813" i="3"/>
  <c r="AX813" i="3"/>
  <c r="AV813" i="3"/>
  <c r="AT813" i="3"/>
  <c r="AQ813" i="3"/>
  <c r="AO813" i="3"/>
  <c r="AM813" i="3"/>
  <c r="AK813" i="3"/>
  <c r="AC813" i="3"/>
  <c r="AA813" i="3"/>
  <c r="Y813" i="3"/>
  <c r="W813" i="3"/>
  <c r="U813" i="3"/>
  <c r="S813" i="3"/>
  <c r="Q813" i="3"/>
  <c r="O813" i="3"/>
  <c r="M813" i="3"/>
  <c r="K813" i="3"/>
  <c r="I813" i="3"/>
  <c r="G813" i="3"/>
  <c r="AZ812" i="3"/>
  <c r="AX812" i="3"/>
  <c r="AV812" i="3"/>
  <c r="AT812" i="3"/>
  <c r="AQ812" i="3"/>
  <c r="AO812" i="3"/>
  <c r="AM812" i="3"/>
  <c r="AK812" i="3"/>
  <c r="AC812" i="3"/>
  <c r="AA812" i="3"/>
  <c r="Y812" i="3"/>
  <c r="W812" i="3"/>
  <c r="U812" i="3"/>
  <c r="S812" i="3"/>
  <c r="Q812" i="3"/>
  <c r="O812" i="3"/>
  <c r="M812" i="3"/>
  <c r="K812" i="3"/>
  <c r="I812" i="3"/>
  <c r="G812" i="3"/>
  <c r="AZ811" i="3"/>
  <c r="AX811" i="3"/>
  <c r="AV811" i="3"/>
  <c r="AT811" i="3"/>
  <c r="AQ811" i="3"/>
  <c r="AO811" i="3"/>
  <c r="AM811" i="3"/>
  <c r="AK811" i="3"/>
  <c r="AC811" i="3"/>
  <c r="AA811" i="3"/>
  <c r="Y811" i="3"/>
  <c r="W811" i="3"/>
  <c r="U811" i="3"/>
  <c r="S811" i="3"/>
  <c r="Q811" i="3"/>
  <c r="O811" i="3"/>
  <c r="M811" i="3"/>
  <c r="K811" i="3"/>
  <c r="I811" i="3"/>
  <c r="G811" i="3"/>
  <c r="AZ810" i="3"/>
  <c r="AX810" i="3"/>
  <c r="AV810" i="3"/>
  <c r="AT810" i="3"/>
  <c r="AQ810" i="3"/>
  <c r="AO810" i="3"/>
  <c r="AM810" i="3"/>
  <c r="AK810" i="3"/>
  <c r="AC810" i="3"/>
  <c r="AA810" i="3"/>
  <c r="Y810" i="3"/>
  <c r="W810" i="3"/>
  <c r="U810" i="3"/>
  <c r="S810" i="3"/>
  <c r="Q810" i="3"/>
  <c r="O810" i="3"/>
  <c r="M810" i="3"/>
  <c r="K810" i="3"/>
  <c r="I810" i="3"/>
  <c r="G810" i="3"/>
  <c r="AZ809" i="3"/>
  <c r="AX809" i="3"/>
  <c r="AV809" i="3"/>
  <c r="AT809" i="3"/>
  <c r="AQ809" i="3"/>
  <c r="AO809" i="3"/>
  <c r="AM809" i="3"/>
  <c r="AK809" i="3"/>
  <c r="AC809" i="3"/>
  <c r="AA809" i="3"/>
  <c r="Y809" i="3"/>
  <c r="W809" i="3"/>
  <c r="U809" i="3"/>
  <c r="S809" i="3"/>
  <c r="Q809" i="3"/>
  <c r="O809" i="3"/>
  <c r="M809" i="3"/>
  <c r="K809" i="3"/>
  <c r="I809" i="3"/>
  <c r="G809" i="3"/>
  <c r="AZ808" i="3"/>
  <c r="AX808" i="3"/>
  <c r="AV808" i="3"/>
  <c r="AT808" i="3"/>
  <c r="AQ808" i="3"/>
  <c r="AO808" i="3"/>
  <c r="AM808" i="3"/>
  <c r="AK808" i="3"/>
  <c r="AC808" i="3"/>
  <c r="AA808" i="3"/>
  <c r="Y808" i="3"/>
  <c r="W808" i="3"/>
  <c r="U808" i="3"/>
  <c r="S808" i="3"/>
  <c r="Q808" i="3"/>
  <c r="O808" i="3"/>
  <c r="M808" i="3"/>
  <c r="K808" i="3"/>
  <c r="I808" i="3"/>
  <c r="G808" i="3"/>
  <c r="AZ807" i="3"/>
  <c r="AX807" i="3"/>
  <c r="AV807" i="3"/>
  <c r="AT807" i="3"/>
  <c r="AQ807" i="3"/>
  <c r="AO807" i="3"/>
  <c r="AM807" i="3"/>
  <c r="AK807" i="3"/>
  <c r="AC807" i="3"/>
  <c r="AA807" i="3"/>
  <c r="Y807" i="3"/>
  <c r="W807" i="3"/>
  <c r="U807" i="3"/>
  <c r="S807" i="3"/>
  <c r="Q807" i="3"/>
  <c r="O807" i="3"/>
  <c r="M807" i="3"/>
  <c r="K807" i="3"/>
  <c r="I807" i="3"/>
  <c r="G807" i="3"/>
  <c r="AZ806" i="3"/>
  <c r="AX806" i="3"/>
  <c r="AV806" i="3"/>
  <c r="AT806" i="3"/>
  <c r="AQ806" i="3"/>
  <c r="AO806" i="3"/>
  <c r="AM806" i="3"/>
  <c r="AK806" i="3"/>
  <c r="AC806" i="3"/>
  <c r="AA806" i="3"/>
  <c r="Y806" i="3"/>
  <c r="W806" i="3"/>
  <c r="U806" i="3"/>
  <c r="S806" i="3"/>
  <c r="Q806" i="3"/>
  <c r="O806" i="3"/>
  <c r="M806" i="3"/>
  <c r="K806" i="3"/>
  <c r="I806" i="3"/>
  <c r="G806" i="3"/>
  <c r="AZ805" i="3"/>
  <c r="AX805" i="3"/>
  <c r="AV805" i="3"/>
  <c r="AT805" i="3"/>
  <c r="AQ805" i="3"/>
  <c r="AO805" i="3"/>
  <c r="AM805" i="3"/>
  <c r="AK805" i="3"/>
  <c r="AC805" i="3"/>
  <c r="AA805" i="3"/>
  <c r="Y805" i="3"/>
  <c r="W805" i="3"/>
  <c r="U805" i="3"/>
  <c r="S805" i="3"/>
  <c r="Q805" i="3"/>
  <c r="O805" i="3"/>
  <c r="M805" i="3"/>
  <c r="K805" i="3"/>
  <c r="I805" i="3"/>
  <c r="G805" i="3"/>
  <c r="AZ804" i="3"/>
  <c r="AX804" i="3"/>
  <c r="AV804" i="3"/>
  <c r="AT804" i="3"/>
  <c r="AQ804" i="3"/>
  <c r="AO804" i="3"/>
  <c r="AM804" i="3"/>
  <c r="AK804" i="3"/>
  <c r="AC804" i="3"/>
  <c r="AA804" i="3"/>
  <c r="Y804" i="3"/>
  <c r="W804" i="3"/>
  <c r="U804" i="3"/>
  <c r="S804" i="3"/>
  <c r="Q804" i="3"/>
  <c r="O804" i="3"/>
  <c r="M804" i="3"/>
  <c r="K804" i="3"/>
  <c r="I804" i="3"/>
  <c r="G804" i="3"/>
  <c r="AZ803" i="3"/>
  <c r="AX803" i="3"/>
  <c r="AV803" i="3"/>
  <c r="AT803" i="3"/>
  <c r="AQ803" i="3"/>
  <c r="AO803" i="3"/>
  <c r="AM803" i="3"/>
  <c r="AK803" i="3"/>
  <c r="AC803" i="3"/>
  <c r="AA803" i="3"/>
  <c r="Y803" i="3"/>
  <c r="W803" i="3"/>
  <c r="U803" i="3"/>
  <c r="S803" i="3"/>
  <c r="Q803" i="3"/>
  <c r="O803" i="3"/>
  <c r="M803" i="3"/>
  <c r="K803" i="3"/>
  <c r="I803" i="3"/>
  <c r="G803" i="3"/>
  <c r="AZ802" i="3"/>
  <c r="AX802" i="3"/>
  <c r="AV802" i="3"/>
  <c r="AT802" i="3"/>
  <c r="AQ802" i="3"/>
  <c r="AO802" i="3"/>
  <c r="AM802" i="3"/>
  <c r="AK802" i="3"/>
  <c r="AC802" i="3"/>
  <c r="AA802" i="3"/>
  <c r="Y802" i="3"/>
  <c r="W802" i="3"/>
  <c r="U802" i="3"/>
  <c r="S802" i="3"/>
  <c r="Q802" i="3"/>
  <c r="O802" i="3"/>
  <c r="M802" i="3"/>
  <c r="K802" i="3"/>
  <c r="I802" i="3"/>
  <c r="G802" i="3"/>
  <c r="AZ801" i="3"/>
  <c r="AX801" i="3"/>
  <c r="AV801" i="3"/>
  <c r="AT801" i="3"/>
  <c r="AQ801" i="3"/>
  <c r="AO801" i="3"/>
  <c r="AM801" i="3"/>
  <c r="AK801" i="3"/>
  <c r="AC801" i="3"/>
  <c r="AA801" i="3"/>
  <c r="Y801" i="3"/>
  <c r="W801" i="3"/>
  <c r="U801" i="3"/>
  <c r="S801" i="3"/>
  <c r="Q801" i="3"/>
  <c r="O801" i="3"/>
  <c r="M801" i="3"/>
  <c r="K801" i="3"/>
  <c r="I801" i="3"/>
  <c r="G801" i="3"/>
  <c r="AZ800" i="3"/>
  <c r="AX800" i="3"/>
  <c r="AV800" i="3"/>
  <c r="AT800" i="3"/>
  <c r="AQ800" i="3"/>
  <c r="AO800" i="3"/>
  <c r="AM800" i="3"/>
  <c r="AK800" i="3"/>
  <c r="AC800" i="3"/>
  <c r="AA800" i="3"/>
  <c r="Y800" i="3"/>
  <c r="W800" i="3"/>
  <c r="U800" i="3"/>
  <c r="S800" i="3"/>
  <c r="Q800" i="3"/>
  <c r="O800" i="3"/>
  <c r="M800" i="3"/>
  <c r="K800" i="3"/>
  <c r="I800" i="3"/>
  <c r="G800" i="3"/>
  <c r="AZ799" i="3"/>
  <c r="AX799" i="3"/>
  <c r="AV799" i="3"/>
  <c r="AT799" i="3"/>
  <c r="AQ799" i="3"/>
  <c r="AO799" i="3"/>
  <c r="AM799" i="3"/>
  <c r="AK799" i="3"/>
  <c r="AC799" i="3"/>
  <c r="AA799" i="3"/>
  <c r="Y799" i="3"/>
  <c r="W799" i="3"/>
  <c r="U799" i="3"/>
  <c r="S799" i="3"/>
  <c r="Q799" i="3"/>
  <c r="O799" i="3"/>
  <c r="M799" i="3"/>
  <c r="K799" i="3"/>
  <c r="I799" i="3"/>
  <c r="G799" i="3"/>
  <c r="AZ798" i="3"/>
  <c r="AX798" i="3"/>
  <c r="AV798" i="3"/>
  <c r="AT798" i="3"/>
  <c r="AQ798" i="3"/>
  <c r="AO798" i="3"/>
  <c r="AM798" i="3"/>
  <c r="AK798" i="3"/>
  <c r="AC798" i="3"/>
  <c r="AA798" i="3"/>
  <c r="Y798" i="3"/>
  <c r="W798" i="3"/>
  <c r="U798" i="3"/>
  <c r="S798" i="3"/>
  <c r="Q798" i="3"/>
  <c r="O798" i="3"/>
  <c r="M798" i="3"/>
  <c r="K798" i="3"/>
  <c r="I798" i="3"/>
  <c r="G798" i="3"/>
  <c r="AZ797" i="3"/>
  <c r="AX797" i="3"/>
  <c r="AV797" i="3"/>
  <c r="AT797" i="3"/>
  <c r="AQ797" i="3"/>
  <c r="AO797" i="3"/>
  <c r="AM797" i="3"/>
  <c r="AK797" i="3"/>
  <c r="AC797" i="3"/>
  <c r="AA797" i="3"/>
  <c r="Y797" i="3"/>
  <c r="W797" i="3"/>
  <c r="U797" i="3"/>
  <c r="S797" i="3"/>
  <c r="Q797" i="3"/>
  <c r="O797" i="3"/>
  <c r="M797" i="3"/>
  <c r="K797" i="3"/>
  <c r="I797" i="3"/>
  <c r="G797" i="3"/>
  <c r="AZ796" i="3"/>
  <c r="AX796" i="3"/>
  <c r="AV796" i="3"/>
  <c r="AT796" i="3"/>
  <c r="AQ796" i="3"/>
  <c r="AO796" i="3"/>
  <c r="AM796" i="3"/>
  <c r="AK796" i="3"/>
  <c r="AC796" i="3"/>
  <c r="AA796" i="3"/>
  <c r="Y796" i="3"/>
  <c r="W796" i="3"/>
  <c r="U796" i="3"/>
  <c r="S796" i="3"/>
  <c r="Q796" i="3"/>
  <c r="O796" i="3"/>
  <c r="M796" i="3"/>
  <c r="K796" i="3"/>
  <c r="I796" i="3"/>
  <c r="G796" i="3"/>
  <c r="AZ795" i="3"/>
  <c r="AX795" i="3"/>
  <c r="AV795" i="3"/>
  <c r="AT795" i="3"/>
  <c r="AQ795" i="3"/>
  <c r="AO795" i="3"/>
  <c r="AM795" i="3"/>
  <c r="AK795" i="3"/>
  <c r="AC795" i="3"/>
  <c r="AA795" i="3"/>
  <c r="Y795" i="3"/>
  <c r="W795" i="3"/>
  <c r="U795" i="3"/>
  <c r="S795" i="3"/>
  <c r="Q795" i="3"/>
  <c r="O795" i="3"/>
  <c r="M795" i="3"/>
  <c r="K795" i="3"/>
  <c r="I795" i="3"/>
  <c r="G795" i="3"/>
  <c r="AZ794" i="3"/>
  <c r="AX794" i="3"/>
  <c r="AV794" i="3"/>
  <c r="AT794" i="3"/>
  <c r="AQ794" i="3"/>
  <c r="AO794" i="3"/>
  <c r="AM794" i="3"/>
  <c r="AK794" i="3"/>
  <c r="AC794" i="3"/>
  <c r="AA794" i="3"/>
  <c r="Y794" i="3"/>
  <c r="W794" i="3"/>
  <c r="U794" i="3"/>
  <c r="S794" i="3"/>
  <c r="Q794" i="3"/>
  <c r="O794" i="3"/>
  <c r="M794" i="3"/>
  <c r="K794" i="3"/>
  <c r="I794" i="3"/>
  <c r="G794" i="3"/>
  <c r="AZ793" i="3"/>
  <c r="AX793" i="3"/>
  <c r="AV793" i="3"/>
  <c r="AT793" i="3"/>
  <c r="AQ793" i="3"/>
  <c r="AO793" i="3"/>
  <c r="AM793" i="3"/>
  <c r="AK793" i="3"/>
  <c r="AC793" i="3"/>
  <c r="AA793" i="3"/>
  <c r="Y793" i="3"/>
  <c r="W793" i="3"/>
  <c r="U793" i="3"/>
  <c r="S793" i="3"/>
  <c r="Q793" i="3"/>
  <c r="O793" i="3"/>
  <c r="M793" i="3"/>
  <c r="K793" i="3"/>
  <c r="I793" i="3"/>
  <c r="G793" i="3"/>
  <c r="AZ792" i="3"/>
  <c r="AX792" i="3"/>
  <c r="AV792" i="3"/>
  <c r="AT792" i="3"/>
  <c r="AQ792" i="3"/>
  <c r="AO792" i="3"/>
  <c r="AM792" i="3"/>
  <c r="AK792" i="3"/>
  <c r="AC792" i="3"/>
  <c r="AA792" i="3"/>
  <c r="Y792" i="3"/>
  <c r="W792" i="3"/>
  <c r="U792" i="3"/>
  <c r="S792" i="3"/>
  <c r="Q792" i="3"/>
  <c r="O792" i="3"/>
  <c r="M792" i="3"/>
  <c r="K792" i="3"/>
  <c r="I792" i="3"/>
  <c r="G792" i="3"/>
  <c r="AZ791" i="3"/>
  <c r="AX791" i="3"/>
  <c r="AV791" i="3"/>
  <c r="AT791" i="3"/>
  <c r="AQ791" i="3"/>
  <c r="AO791" i="3"/>
  <c r="AM791" i="3"/>
  <c r="AK791" i="3"/>
  <c r="AC791" i="3"/>
  <c r="AA791" i="3"/>
  <c r="Y791" i="3"/>
  <c r="W791" i="3"/>
  <c r="U791" i="3"/>
  <c r="S791" i="3"/>
  <c r="Q791" i="3"/>
  <c r="O791" i="3"/>
  <c r="M791" i="3"/>
  <c r="K791" i="3"/>
  <c r="I791" i="3"/>
  <c r="G791" i="3"/>
  <c r="AZ790" i="3"/>
  <c r="AX790" i="3"/>
  <c r="AV790" i="3"/>
  <c r="AT790" i="3"/>
  <c r="AQ790" i="3"/>
  <c r="AO790" i="3"/>
  <c r="AM790" i="3"/>
  <c r="AK790" i="3"/>
  <c r="AC790" i="3"/>
  <c r="AA790" i="3"/>
  <c r="Y790" i="3"/>
  <c r="W790" i="3"/>
  <c r="U790" i="3"/>
  <c r="S790" i="3"/>
  <c r="Q790" i="3"/>
  <c r="O790" i="3"/>
  <c r="M790" i="3"/>
  <c r="K790" i="3"/>
  <c r="I790" i="3"/>
  <c r="G790" i="3"/>
  <c r="AZ789" i="3"/>
  <c r="AX789" i="3"/>
  <c r="AV789" i="3"/>
  <c r="AT789" i="3"/>
  <c r="AQ789" i="3"/>
  <c r="AO789" i="3"/>
  <c r="AM789" i="3"/>
  <c r="AK789" i="3"/>
  <c r="AC789" i="3"/>
  <c r="AA789" i="3"/>
  <c r="Y789" i="3"/>
  <c r="W789" i="3"/>
  <c r="U789" i="3"/>
  <c r="S789" i="3"/>
  <c r="Q789" i="3"/>
  <c r="O789" i="3"/>
  <c r="M789" i="3"/>
  <c r="K789" i="3"/>
  <c r="I789" i="3"/>
  <c r="G789" i="3"/>
  <c r="AZ788" i="3"/>
  <c r="AX788" i="3"/>
  <c r="AV788" i="3"/>
  <c r="AT788" i="3"/>
  <c r="AQ788" i="3"/>
  <c r="AO788" i="3"/>
  <c r="AM788" i="3"/>
  <c r="AK788" i="3"/>
  <c r="AC788" i="3"/>
  <c r="AA788" i="3"/>
  <c r="Y788" i="3"/>
  <c r="W788" i="3"/>
  <c r="U788" i="3"/>
  <c r="S788" i="3"/>
  <c r="Q788" i="3"/>
  <c r="O788" i="3"/>
  <c r="M788" i="3"/>
  <c r="K788" i="3"/>
  <c r="I788" i="3"/>
  <c r="G788" i="3"/>
  <c r="AZ787" i="3"/>
  <c r="AX787" i="3"/>
  <c r="AV787" i="3"/>
  <c r="AT787" i="3"/>
  <c r="AQ787" i="3"/>
  <c r="AO787" i="3"/>
  <c r="AM787" i="3"/>
  <c r="AK787" i="3"/>
  <c r="AC787" i="3"/>
  <c r="AA787" i="3"/>
  <c r="Y787" i="3"/>
  <c r="W787" i="3"/>
  <c r="U787" i="3"/>
  <c r="S787" i="3"/>
  <c r="Q787" i="3"/>
  <c r="O787" i="3"/>
  <c r="M787" i="3"/>
  <c r="K787" i="3"/>
  <c r="I787" i="3"/>
  <c r="G787" i="3"/>
  <c r="AZ786" i="3"/>
  <c r="AX786" i="3"/>
  <c r="AV786" i="3"/>
  <c r="AT786" i="3"/>
  <c r="AQ786" i="3"/>
  <c r="AO786" i="3"/>
  <c r="AM786" i="3"/>
  <c r="AK786" i="3"/>
  <c r="AC786" i="3"/>
  <c r="AA786" i="3"/>
  <c r="Y786" i="3"/>
  <c r="W786" i="3"/>
  <c r="U786" i="3"/>
  <c r="S786" i="3"/>
  <c r="Q786" i="3"/>
  <c r="O786" i="3"/>
  <c r="M786" i="3"/>
  <c r="K786" i="3"/>
  <c r="I786" i="3"/>
  <c r="G786" i="3"/>
  <c r="AZ785" i="3"/>
  <c r="AX785" i="3"/>
  <c r="AV785" i="3"/>
  <c r="AT785" i="3"/>
  <c r="AQ785" i="3"/>
  <c r="AO785" i="3"/>
  <c r="AM785" i="3"/>
  <c r="AK785" i="3"/>
  <c r="AC785" i="3"/>
  <c r="AA785" i="3"/>
  <c r="Y785" i="3"/>
  <c r="W785" i="3"/>
  <c r="U785" i="3"/>
  <c r="S785" i="3"/>
  <c r="Q785" i="3"/>
  <c r="O785" i="3"/>
  <c r="M785" i="3"/>
  <c r="K785" i="3"/>
  <c r="I785" i="3"/>
  <c r="G785" i="3"/>
  <c r="AZ784" i="3"/>
  <c r="AX784" i="3"/>
  <c r="AV784" i="3"/>
  <c r="AT784" i="3"/>
  <c r="AQ784" i="3"/>
  <c r="AO784" i="3"/>
  <c r="AM784" i="3"/>
  <c r="AK784" i="3"/>
  <c r="AC784" i="3"/>
  <c r="AA784" i="3"/>
  <c r="Y784" i="3"/>
  <c r="W784" i="3"/>
  <c r="U784" i="3"/>
  <c r="S784" i="3"/>
  <c r="Q784" i="3"/>
  <c r="O784" i="3"/>
  <c r="M784" i="3"/>
  <c r="K784" i="3"/>
  <c r="I784" i="3"/>
  <c r="G784" i="3"/>
  <c r="AZ783" i="3"/>
  <c r="AX783" i="3"/>
  <c r="AV783" i="3"/>
  <c r="AT783" i="3"/>
  <c r="AQ783" i="3"/>
  <c r="AO783" i="3"/>
  <c r="AM783" i="3"/>
  <c r="AK783" i="3"/>
  <c r="AC783" i="3"/>
  <c r="AA783" i="3"/>
  <c r="Y783" i="3"/>
  <c r="W783" i="3"/>
  <c r="U783" i="3"/>
  <c r="S783" i="3"/>
  <c r="Q783" i="3"/>
  <c r="O783" i="3"/>
  <c r="M783" i="3"/>
  <c r="K783" i="3"/>
  <c r="I783" i="3"/>
  <c r="G783" i="3"/>
  <c r="AZ782" i="3"/>
  <c r="AX782" i="3"/>
  <c r="AV782" i="3"/>
  <c r="AT782" i="3"/>
  <c r="AQ782" i="3"/>
  <c r="AO782" i="3"/>
  <c r="AM782" i="3"/>
  <c r="AK782" i="3"/>
  <c r="AC782" i="3"/>
  <c r="AA782" i="3"/>
  <c r="Y782" i="3"/>
  <c r="W782" i="3"/>
  <c r="U782" i="3"/>
  <c r="S782" i="3"/>
  <c r="Q782" i="3"/>
  <c r="O782" i="3"/>
  <c r="M782" i="3"/>
  <c r="K782" i="3"/>
  <c r="I782" i="3"/>
  <c r="G782" i="3"/>
  <c r="AZ781" i="3"/>
  <c r="AX781" i="3"/>
  <c r="AV781" i="3"/>
  <c r="AT781" i="3"/>
  <c r="AQ781" i="3"/>
  <c r="AO781" i="3"/>
  <c r="AM781" i="3"/>
  <c r="AK781" i="3"/>
  <c r="AC781" i="3"/>
  <c r="AA781" i="3"/>
  <c r="Y781" i="3"/>
  <c r="W781" i="3"/>
  <c r="U781" i="3"/>
  <c r="S781" i="3"/>
  <c r="Q781" i="3"/>
  <c r="O781" i="3"/>
  <c r="M781" i="3"/>
  <c r="K781" i="3"/>
  <c r="I781" i="3"/>
  <c r="G781" i="3"/>
  <c r="AZ780" i="3"/>
  <c r="AX780" i="3"/>
  <c r="AV780" i="3"/>
  <c r="AT780" i="3"/>
  <c r="AQ780" i="3"/>
  <c r="AO780" i="3"/>
  <c r="AM780" i="3"/>
  <c r="AK780" i="3"/>
  <c r="AC780" i="3"/>
  <c r="AA780" i="3"/>
  <c r="Y780" i="3"/>
  <c r="W780" i="3"/>
  <c r="U780" i="3"/>
  <c r="S780" i="3"/>
  <c r="Q780" i="3"/>
  <c r="O780" i="3"/>
  <c r="M780" i="3"/>
  <c r="K780" i="3"/>
  <c r="I780" i="3"/>
  <c r="G780" i="3"/>
  <c r="AZ779" i="3"/>
  <c r="AX779" i="3"/>
  <c r="AV779" i="3"/>
  <c r="AT779" i="3"/>
  <c r="AQ779" i="3"/>
  <c r="AO779" i="3"/>
  <c r="AM779" i="3"/>
  <c r="AK779" i="3"/>
  <c r="AC779" i="3"/>
  <c r="AA779" i="3"/>
  <c r="Y779" i="3"/>
  <c r="W779" i="3"/>
  <c r="U779" i="3"/>
  <c r="S779" i="3"/>
  <c r="Q779" i="3"/>
  <c r="O779" i="3"/>
  <c r="M779" i="3"/>
  <c r="K779" i="3"/>
  <c r="I779" i="3"/>
  <c r="G779" i="3"/>
  <c r="AZ778" i="3"/>
  <c r="AX778" i="3"/>
  <c r="AV778" i="3"/>
  <c r="AT778" i="3"/>
  <c r="AQ778" i="3"/>
  <c r="AO778" i="3"/>
  <c r="AM778" i="3"/>
  <c r="AK778" i="3"/>
  <c r="AC778" i="3"/>
  <c r="AA778" i="3"/>
  <c r="Y778" i="3"/>
  <c r="W778" i="3"/>
  <c r="U778" i="3"/>
  <c r="S778" i="3"/>
  <c r="Q778" i="3"/>
  <c r="O778" i="3"/>
  <c r="M778" i="3"/>
  <c r="K778" i="3"/>
  <c r="I778" i="3"/>
  <c r="G778" i="3"/>
  <c r="AZ777" i="3"/>
  <c r="AX777" i="3"/>
  <c r="AV777" i="3"/>
  <c r="AT777" i="3"/>
  <c r="AQ777" i="3"/>
  <c r="AO777" i="3"/>
  <c r="AM777" i="3"/>
  <c r="AK777" i="3"/>
  <c r="AC777" i="3"/>
  <c r="AA777" i="3"/>
  <c r="Y777" i="3"/>
  <c r="W777" i="3"/>
  <c r="U777" i="3"/>
  <c r="S777" i="3"/>
  <c r="Q777" i="3"/>
  <c r="O777" i="3"/>
  <c r="M777" i="3"/>
  <c r="K777" i="3"/>
  <c r="I777" i="3"/>
  <c r="G777" i="3"/>
  <c r="AZ776" i="3"/>
  <c r="AX776" i="3"/>
  <c r="AV776" i="3"/>
  <c r="AT776" i="3"/>
  <c r="AQ776" i="3"/>
  <c r="AO776" i="3"/>
  <c r="AM776" i="3"/>
  <c r="AK776" i="3"/>
  <c r="AC776" i="3"/>
  <c r="AA776" i="3"/>
  <c r="Y776" i="3"/>
  <c r="W776" i="3"/>
  <c r="U776" i="3"/>
  <c r="S776" i="3"/>
  <c r="Q776" i="3"/>
  <c r="O776" i="3"/>
  <c r="M776" i="3"/>
  <c r="K776" i="3"/>
  <c r="I776" i="3"/>
  <c r="G776" i="3"/>
  <c r="AZ775" i="3"/>
  <c r="AX775" i="3"/>
  <c r="AV775" i="3"/>
  <c r="AT775" i="3"/>
  <c r="AQ775" i="3"/>
  <c r="AO775" i="3"/>
  <c r="AM775" i="3"/>
  <c r="AK775" i="3"/>
  <c r="AC775" i="3"/>
  <c r="AA775" i="3"/>
  <c r="Y775" i="3"/>
  <c r="W775" i="3"/>
  <c r="U775" i="3"/>
  <c r="S775" i="3"/>
  <c r="Q775" i="3"/>
  <c r="O775" i="3"/>
  <c r="M775" i="3"/>
  <c r="K775" i="3"/>
  <c r="I775" i="3"/>
  <c r="G775" i="3"/>
  <c r="AZ774" i="3"/>
  <c r="AX774" i="3"/>
  <c r="AV774" i="3"/>
  <c r="AT774" i="3"/>
  <c r="AQ774" i="3"/>
  <c r="AO774" i="3"/>
  <c r="AM774" i="3"/>
  <c r="AK774" i="3"/>
  <c r="AC774" i="3"/>
  <c r="AA774" i="3"/>
  <c r="Y774" i="3"/>
  <c r="W774" i="3"/>
  <c r="U774" i="3"/>
  <c r="S774" i="3"/>
  <c r="Q774" i="3"/>
  <c r="O774" i="3"/>
  <c r="M774" i="3"/>
  <c r="K774" i="3"/>
  <c r="I774" i="3"/>
  <c r="G774" i="3"/>
  <c r="AZ773" i="3"/>
  <c r="AX773" i="3"/>
  <c r="AV773" i="3"/>
  <c r="AT773" i="3"/>
  <c r="AQ773" i="3"/>
  <c r="AO773" i="3"/>
  <c r="AM773" i="3"/>
  <c r="AK773" i="3"/>
  <c r="AC773" i="3"/>
  <c r="AA773" i="3"/>
  <c r="Y773" i="3"/>
  <c r="W773" i="3"/>
  <c r="U773" i="3"/>
  <c r="S773" i="3"/>
  <c r="Q773" i="3"/>
  <c r="O773" i="3"/>
  <c r="M773" i="3"/>
  <c r="K773" i="3"/>
  <c r="I773" i="3"/>
  <c r="G773" i="3"/>
  <c r="AZ772" i="3"/>
  <c r="AX772" i="3"/>
  <c r="AV772" i="3"/>
  <c r="AT772" i="3"/>
  <c r="AQ772" i="3"/>
  <c r="AO772" i="3"/>
  <c r="AM772" i="3"/>
  <c r="AK772" i="3"/>
  <c r="AC772" i="3"/>
  <c r="AA772" i="3"/>
  <c r="Y772" i="3"/>
  <c r="W772" i="3"/>
  <c r="U772" i="3"/>
  <c r="S772" i="3"/>
  <c r="Q772" i="3"/>
  <c r="O772" i="3"/>
  <c r="M772" i="3"/>
  <c r="K772" i="3"/>
  <c r="I772" i="3"/>
  <c r="G772" i="3"/>
  <c r="AZ771" i="3"/>
  <c r="AX771" i="3"/>
  <c r="AV771" i="3"/>
  <c r="AT771" i="3"/>
  <c r="AQ771" i="3"/>
  <c r="AO771" i="3"/>
  <c r="AM771" i="3"/>
  <c r="AK771" i="3"/>
  <c r="AC771" i="3"/>
  <c r="AA771" i="3"/>
  <c r="Y771" i="3"/>
  <c r="W771" i="3"/>
  <c r="U771" i="3"/>
  <c r="S771" i="3"/>
  <c r="Q771" i="3"/>
  <c r="O771" i="3"/>
  <c r="M771" i="3"/>
  <c r="K771" i="3"/>
  <c r="I771" i="3"/>
  <c r="G771" i="3"/>
  <c r="AZ770" i="3"/>
  <c r="AX770" i="3"/>
  <c r="AV770" i="3"/>
  <c r="AT770" i="3"/>
  <c r="AQ770" i="3"/>
  <c r="AO770" i="3"/>
  <c r="AM770" i="3"/>
  <c r="AK770" i="3"/>
  <c r="AC770" i="3"/>
  <c r="AA770" i="3"/>
  <c r="Y770" i="3"/>
  <c r="W770" i="3"/>
  <c r="U770" i="3"/>
  <c r="S770" i="3"/>
  <c r="Q770" i="3"/>
  <c r="O770" i="3"/>
  <c r="M770" i="3"/>
  <c r="K770" i="3"/>
  <c r="I770" i="3"/>
  <c r="G770" i="3"/>
  <c r="AZ769" i="3"/>
  <c r="AX769" i="3"/>
  <c r="AV769" i="3"/>
  <c r="AT769" i="3"/>
  <c r="AQ769" i="3"/>
  <c r="AO769" i="3"/>
  <c r="AM769" i="3"/>
  <c r="AK769" i="3"/>
  <c r="AC769" i="3"/>
  <c r="AA769" i="3"/>
  <c r="Y769" i="3"/>
  <c r="W769" i="3"/>
  <c r="U769" i="3"/>
  <c r="S769" i="3"/>
  <c r="Q769" i="3"/>
  <c r="O769" i="3"/>
  <c r="M769" i="3"/>
  <c r="K769" i="3"/>
  <c r="I769" i="3"/>
  <c r="G769" i="3"/>
  <c r="AZ768" i="3"/>
  <c r="AX768" i="3"/>
  <c r="AV768" i="3"/>
  <c r="AT768" i="3"/>
  <c r="AQ768" i="3"/>
  <c r="AO768" i="3"/>
  <c r="AM768" i="3"/>
  <c r="AK768" i="3"/>
  <c r="AC768" i="3"/>
  <c r="AA768" i="3"/>
  <c r="Y768" i="3"/>
  <c r="W768" i="3"/>
  <c r="U768" i="3"/>
  <c r="S768" i="3"/>
  <c r="Q768" i="3"/>
  <c r="O768" i="3"/>
  <c r="M768" i="3"/>
  <c r="K768" i="3"/>
  <c r="I768" i="3"/>
  <c r="G768" i="3"/>
  <c r="AZ767" i="3"/>
  <c r="AX767" i="3"/>
  <c r="AV767" i="3"/>
  <c r="AT767" i="3"/>
  <c r="AQ767" i="3"/>
  <c r="AO767" i="3"/>
  <c r="AM767" i="3"/>
  <c r="AK767" i="3"/>
  <c r="AC767" i="3"/>
  <c r="AA767" i="3"/>
  <c r="Y767" i="3"/>
  <c r="W767" i="3"/>
  <c r="U767" i="3"/>
  <c r="S767" i="3"/>
  <c r="Q767" i="3"/>
  <c r="O767" i="3"/>
  <c r="M767" i="3"/>
  <c r="K767" i="3"/>
  <c r="I767" i="3"/>
  <c r="G767" i="3"/>
  <c r="AZ766" i="3"/>
  <c r="AX766" i="3"/>
  <c r="AV766" i="3"/>
  <c r="AT766" i="3"/>
  <c r="AQ766" i="3"/>
  <c r="AO766" i="3"/>
  <c r="AM766" i="3"/>
  <c r="AK766" i="3"/>
  <c r="AC766" i="3"/>
  <c r="AA766" i="3"/>
  <c r="Y766" i="3"/>
  <c r="W766" i="3"/>
  <c r="U766" i="3"/>
  <c r="S766" i="3"/>
  <c r="Q766" i="3"/>
  <c r="O766" i="3"/>
  <c r="M766" i="3"/>
  <c r="K766" i="3"/>
  <c r="I766" i="3"/>
  <c r="G766" i="3"/>
  <c r="AZ765" i="3"/>
  <c r="AX765" i="3"/>
  <c r="AV765" i="3"/>
  <c r="AT765" i="3"/>
  <c r="AQ765" i="3"/>
  <c r="AO765" i="3"/>
  <c r="AM765" i="3"/>
  <c r="AK765" i="3"/>
  <c r="AC765" i="3"/>
  <c r="AA765" i="3"/>
  <c r="Y765" i="3"/>
  <c r="W765" i="3"/>
  <c r="U765" i="3"/>
  <c r="S765" i="3"/>
  <c r="Q765" i="3"/>
  <c r="O765" i="3"/>
  <c r="M765" i="3"/>
  <c r="K765" i="3"/>
  <c r="I765" i="3"/>
  <c r="G765" i="3"/>
  <c r="AZ764" i="3"/>
  <c r="AX764" i="3"/>
  <c r="AV764" i="3"/>
  <c r="AT764" i="3"/>
  <c r="AQ764" i="3"/>
  <c r="AO764" i="3"/>
  <c r="AM764" i="3"/>
  <c r="AK764" i="3"/>
  <c r="AC764" i="3"/>
  <c r="AA764" i="3"/>
  <c r="Y764" i="3"/>
  <c r="W764" i="3"/>
  <c r="U764" i="3"/>
  <c r="S764" i="3"/>
  <c r="Q764" i="3"/>
  <c r="O764" i="3"/>
  <c r="M764" i="3"/>
  <c r="K764" i="3"/>
  <c r="I764" i="3"/>
  <c r="G764" i="3"/>
  <c r="AZ763" i="3"/>
  <c r="AX763" i="3"/>
  <c r="AV763" i="3"/>
  <c r="AT763" i="3"/>
  <c r="AQ763" i="3"/>
  <c r="AO763" i="3"/>
  <c r="AM763" i="3"/>
  <c r="AK763" i="3"/>
  <c r="AC763" i="3"/>
  <c r="AA763" i="3"/>
  <c r="Y763" i="3"/>
  <c r="W763" i="3"/>
  <c r="U763" i="3"/>
  <c r="S763" i="3"/>
  <c r="Q763" i="3"/>
  <c r="O763" i="3"/>
  <c r="M763" i="3"/>
  <c r="K763" i="3"/>
  <c r="I763" i="3"/>
  <c r="G763" i="3"/>
  <c r="AZ762" i="3"/>
  <c r="AX762" i="3"/>
  <c r="AV762" i="3"/>
  <c r="AT762" i="3"/>
  <c r="AQ762" i="3"/>
  <c r="AO762" i="3"/>
  <c r="AM762" i="3"/>
  <c r="AK762" i="3"/>
  <c r="AC762" i="3"/>
  <c r="AA762" i="3"/>
  <c r="Y762" i="3"/>
  <c r="W762" i="3"/>
  <c r="U762" i="3"/>
  <c r="S762" i="3"/>
  <c r="Q762" i="3"/>
  <c r="O762" i="3"/>
  <c r="M762" i="3"/>
  <c r="K762" i="3"/>
  <c r="I762" i="3"/>
  <c r="G762" i="3"/>
  <c r="AZ761" i="3"/>
  <c r="AX761" i="3"/>
  <c r="AV761" i="3"/>
  <c r="AT761" i="3"/>
  <c r="AQ761" i="3"/>
  <c r="AO761" i="3"/>
  <c r="AM761" i="3"/>
  <c r="AK761" i="3"/>
  <c r="AC761" i="3"/>
  <c r="AA761" i="3"/>
  <c r="Y761" i="3"/>
  <c r="W761" i="3"/>
  <c r="U761" i="3"/>
  <c r="S761" i="3"/>
  <c r="Q761" i="3"/>
  <c r="O761" i="3"/>
  <c r="M761" i="3"/>
  <c r="K761" i="3"/>
  <c r="I761" i="3"/>
  <c r="G761" i="3"/>
  <c r="AZ760" i="3"/>
  <c r="AX760" i="3"/>
  <c r="AV760" i="3"/>
  <c r="AT760" i="3"/>
  <c r="AQ760" i="3"/>
  <c r="AO760" i="3"/>
  <c r="AM760" i="3"/>
  <c r="AK760" i="3"/>
  <c r="AC760" i="3"/>
  <c r="AA760" i="3"/>
  <c r="Y760" i="3"/>
  <c r="W760" i="3"/>
  <c r="U760" i="3"/>
  <c r="S760" i="3"/>
  <c r="Q760" i="3"/>
  <c r="O760" i="3"/>
  <c r="M760" i="3"/>
  <c r="K760" i="3"/>
  <c r="I760" i="3"/>
  <c r="G760" i="3"/>
  <c r="AZ759" i="3"/>
  <c r="AX759" i="3"/>
  <c r="AV759" i="3"/>
  <c r="AT759" i="3"/>
  <c r="AQ759" i="3"/>
  <c r="AO759" i="3"/>
  <c r="AM759" i="3"/>
  <c r="AK759" i="3"/>
  <c r="AC759" i="3"/>
  <c r="AA759" i="3"/>
  <c r="Y759" i="3"/>
  <c r="W759" i="3"/>
  <c r="U759" i="3"/>
  <c r="S759" i="3"/>
  <c r="Q759" i="3"/>
  <c r="O759" i="3"/>
  <c r="M759" i="3"/>
  <c r="K759" i="3"/>
  <c r="I759" i="3"/>
  <c r="G759" i="3"/>
  <c r="AZ758" i="3"/>
  <c r="AX758" i="3"/>
  <c r="AV758" i="3"/>
  <c r="AT758" i="3"/>
  <c r="AQ758" i="3"/>
  <c r="AO758" i="3"/>
  <c r="AM758" i="3"/>
  <c r="AK758" i="3"/>
  <c r="AC758" i="3"/>
  <c r="AA758" i="3"/>
  <c r="Y758" i="3"/>
  <c r="W758" i="3"/>
  <c r="U758" i="3"/>
  <c r="S758" i="3"/>
  <c r="Q758" i="3"/>
  <c r="O758" i="3"/>
  <c r="M758" i="3"/>
  <c r="K758" i="3"/>
  <c r="I758" i="3"/>
  <c r="G758" i="3"/>
  <c r="AZ757" i="3"/>
  <c r="AX757" i="3"/>
  <c r="AV757" i="3"/>
  <c r="AT757" i="3"/>
  <c r="AQ757" i="3"/>
  <c r="AO757" i="3"/>
  <c r="AM757" i="3"/>
  <c r="AK757" i="3"/>
  <c r="AC757" i="3"/>
  <c r="AA757" i="3"/>
  <c r="Y757" i="3"/>
  <c r="W757" i="3"/>
  <c r="U757" i="3"/>
  <c r="S757" i="3"/>
  <c r="Q757" i="3"/>
  <c r="O757" i="3"/>
  <c r="M757" i="3"/>
  <c r="K757" i="3"/>
  <c r="I757" i="3"/>
  <c r="G757" i="3"/>
  <c r="AZ756" i="3"/>
  <c r="AX756" i="3"/>
  <c r="AV756" i="3"/>
  <c r="AT756" i="3"/>
  <c r="AQ756" i="3"/>
  <c r="AO756" i="3"/>
  <c r="AM756" i="3"/>
  <c r="AK756" i="3"/>
  <c r="AC756" i="3"/>
  <c r="AA756" i="3"/>
  <c r="Y756" i="3"/>
  <c r="W756" i="3"/>
  <c r="U756" i="3"/>
  <c r="S756" i="3"/>
  <c r="Q756" i="3"/>
  <c r="O756" i="3"/>
  <c r="M756" i="3"/>
  <c r="K756" i="3"/>
  <c r="I756" i="3"/>
  <c r="G756" i="3"/>
  <c r="AZ755" i="3"/>
  <c r="AX755" i="3"/>
  <c r="AV755" i="3"/>
  <c r="AT755" i="3"/>
  <c r="AQ755" i="3"/>
  <c r="AO755" i="3"/>
  <c r="AM755" i="3"/>
  <c r="AK755" i="3"/>
  <c r="AC755" i="3"/>
  <c r="AA755" i="3"/>
  <c r="Y755" i="3"/>
  <c r="W755" i="3"/>
  <c r="U755" i="3"/>
  <c r="S755" i="3"/>
  <c r="Q755" i="3"/>
  <c r="O755" i="3"/>
  <c r="M755" i="3"/>
  <c r="K755" i="3"/>
  <c r="I755" i="3"/>
  <c r="G755" i="3"/>
  <c r="AZ754" i="3"/>
  <c r="AX754" i="3"/>
  <c r="AV754" i="3"/>
  <c r="AT754" i="3"/>
  <c r="AQ754" i="3"/>
  <c r="AO754" i="3"/>
  <c r="AM754" i="3"/>
  <c r="AK754" i="3"/>
  <c r="AC754" i="3"/>
  <c r="AA754" i="3"/>
  <c r="Y754" i="3"/>
  <c r="W754" i="3"/>
  <c r="U754" i="3"/>
  <c r="S754" i="3"/>
  <c r="Q754" i="3"/>
  <c r="O754" i="3"/>
  <c r="M754" i="3"/>
  <c r="K754" i="3"/>
  <c r="I754" i="3"/>
  <c r="G754" i="3"/>
  <c r="AZ753" i="3"/>
  <c r="AX753" i="3"/>
  <c r="AV753" i="3"/>
  <c r="AT753" i="3"/>
  <c r="AQ753" i="3"/>
  <c r="AO753" i="3"/>
  <c r="AM753" i="3"/>
  <c r="AK753" i="3"/>
  <c r="AC753" i="3"/>
  <c r="AA753" i="3"/>
  <c r="Y753" i="3"/>
  <c r="W753" i="3"/>
  <c r="U753" i="3"/>
  <c r="S753" i="3"/>
  <c r="Q753" i="3"/>
  <c r="O753" i="3"/>
  <c r="M753" i="3"/>
  <c r="K753" i="3"/>
  <c r="I753" i="3"/>
  <c r="G753" i="3"/>
  <c r="AZ752" i="3"/>
  <c r="AX752" i="3"/>
  <c r="AV752" i="3"/>
  <c r="AT752" i="3"/>
  <c r="AQ752" i="3"/>
  <c r="AO752" i="3"/>
  <c r="AM752" i="3"/>
  <c r="AK752" i="3"/>
  <c r="AC752" i="3"/>
  <c r="AA752" i="3"/>
  <c r="Y752" i="3"/>
  <c r="W752" i="3"/>
  <c r="U752" i="3"/>
  <c r="S752" i="3"/>
  <c r="Q752" i="3"/>
  <c r="O752" i="3"/>
  <c r="M752" i="3"/>
  <c r="K752" i="3"/>
  <c r="I752" i="3"/>
  <c r="G752" i="3"/>
  <c r="AZ751" i="3"/>
  <c r="AX751" i="3"/>
  <c r="AV751" i="3"/>
  <c r="AT751" i="3"/>
  <c r="AQ751" i="3"/>
  <c r="AO751" i="3"/>
  <c r="AM751" i="3"/>
  <c r="AK751" i="3"/>
  <c r="AC751" i="3"/>
  <c r="AA751" i="3"/>
  <c r="Y751" i="3"/>
  <c r="W751" i="3"/>
  <c r="U751" i="3"/>
  <c r="S751" i="3"/>
  <c r="Q751" i="3"/>
  <c r="O751" i="3"/>
  <c r="M751" i="3"/>
  <c r="K751" i="3"/>
  <c r="I751" i="3"/>
  <c r="G751" i="3"/>
  <c r="AZ750" i="3"/>
  <c r="AX750" i="3"/>
  <c r="AV750" i="3"/>
  <c r="AT750" i="3"/>
  <c r="AQ750" i="3"/>
  <c r="AO750" i="3"/>
  <c r="AM750" i="3"/>
  <c r="AK750" i="3"/>
  <c r="AC750" i="3"/>
  <c r="AA750" i="3"/>
  <c r="Y750" i="3"/>
  <c r="W750" i="3"/>
  <c r="U750" i="3"/>
  <c r="S750" i="3"/>
  <c r="Q750" i="3"/>
  <c r="O750" i="3"/>
  <c r="M750" i="3"/>
  <c r="K750" i="3"/>
  <c r="I750" i="3"/>
  <c r="G750" i="3"/>
  <c r="AZ749" i="3"/>
  <c r="AX749" i="3"/>
  <c r="AV749" i="3"/>
  <c r="AT749" i="3"/>
  <c r="AQ749" i="3"/>
  <c r="AO749" i="3"/>
  <c r="AM749" i="3"/>
  <c r="AK749" i="3"/>
  <c r="AC749" i="3"/>
  <c r="AA749" i="3"/>
  <c r="Y749" i="3"/>
  <c r="W749" i="3"/>
  <c r="U749" i="3"/>
  <c r="S749" i="3"/>
  <c r="Q749" i="3"/>
  <c r="O749" i="3"/>
  <c r="M749" i="3"/>
  <c r="K749" i="3"/>
  <c r="I749" i="3"/>
  <c r="G749" i="3"/>
  <c r="AZ748" i="3"/>
  <c r="AX748" i="3"/>
  <c r="AV748" i="3"/>
  <c r="AT748" i="3"/>
  <c r="AQ748" i="3"/>
  <c r="AO748" i="3"/>
  <c r="AM748" i="3"/>
  <c r="AK748" i="3"/>
  <c r="AC748" i="3"/>
  <c r="AA748" i="3"/>
  <c r="Y748" i="3"/>
  <c r="W748" i="3"/>
  <c r="U748" i="3"/>
  <c r="S748" i="3"/>
  <c r="Q748" i="3"/>
  <c r="O748" i="3"/>
  <c r="M748" i="3"/>
  <c r="K748" i="3"/>
  <c r="I748" i="3"/>
  <c r="G748" i="3"/>
  <c r="AZ747" i="3"/>
  <c r="AX747" i="3"/>
  <c r="AV747" i="3"/>
  <c r="AT747" i="3"/>
  <c r="AQ747" i="3"/>
  <c r="AO747" i="3"/>
  <c r="AM747" i="3"/>
  <c r="AK747" i="3"/>
  <c r="AC747" i="3"/>
  <c r="AA747" i="3"/>
  <c r="Y747" i="3"/>
  <c r="W747" i="3"/>
  <c r="U747" i="3"/>
  <c r="S747" i="3"/>
  <c r="Q747" i="3"/>
  <c r="O747" i="3"/>
  <c r="M747" i="3"/>
  <c r="K747" i="3"/>
  <c r="I747" i="3"/>
  <c r="G747" i="3"/>
  <c r="AZ746" i="3"/>
  <c r="AX746" i="3"/>
  <c r="AV746" i="3"/>
  <c r="AT746" i="3"/>
  <c r="AQ746" i="3"/>
  <c r="AO746" i="3"/>
  <c r="AM746" i="3"/>
  <c r="AK746" i="3"/>
  <c r="AC746" i="3"/>
  <c r="AA746" i="3"/>
  <c r="Y746" i="3"/>
  <c r="W746" i="3"/>
  <c r="U746" i="3"/>
  <c r="S746" i="3"/>
  <c r="Q746" i="3"/>
  <c r="O746" i="3"/>
  <c r="M746" i="3"/>
  <c r="K746" i="3"/>
  <c r="I746" i="3"/>
  <c r="G746" i="3"/>
  <c r="AZ745" i="3"/>
  <c r="AX745" i="3"/>
  <c r="AV745" i="3"/>
  <c r="AT745" i="3"/>
  <c r="AQ745" i="3"/>
  <c r="AO745" i="3"/>
  <c r="AM745" i="3"/>
  <c r="AK745" i="3"/>
  <c r="AC745" i="3"/>
  <c r="AA745" i="3"/>
  <c r="Y745" i="3"/>
  <c r="W745" i="3"/>
  <c r="U745" i="3"/>
  <c r="S745" i="3"/>
  <c r="Q745" i="3"/>
  <c r="O745" i="3"/>
  <c r="M745" i="3"/>
  <c r="K745" i="3"/>
  <c r="I745" i="3"/>
  <c r="G745" i="3"/>
  <c r="AZ744" i="3"/>
  <c r="AX744" i="3"/>
  <c r="AV744" i="3"/>
  <c r="AT744" i="3"/>
  <c r="AQ744" i="3"/>
  <c r="AO744" i="3"/>
  <c r="AM744" i="3"/>
  <c r="AK744" i="3"/>
  <c r="AC744" i="3"/>
  <c r="AA744" i="3"/>
  <c r="Y744" i="3"/>
  <c r="W744" i="3"/>
  <c r="U744" i="3"/>
  <c r="S744" i="3"/>
  <c r="Q744" i="3"/>
  <c r="O744" i="3"/>
  <c r="M744" i="3"/>
  <c r="K744" i="3"/>
  <c r="I744" i="3"/>
  <c r="G744" i="3"/>
  <c r="AZ743" i="3"/>
  <c r="AX743" i="3"/>
  <c r="AV743" i="3"/>
  <c r="AT743" i="3"/>
  <c r="AQ743" i="3"/>
  <c r="AO743" i="3"/>
  <c r="AM743" i="3"/>
  <c r="AK743" i="3"/>
  <c r="AC743" i="3"/>
  <c r="AA743" i="3"/>
  <c r="Y743" i="3"/>
  <c r="W743" i="3"/>
  <c r="U743" i="3"/>
  <c r="S743" i="3"/>
  <c r="Q743" i="3"/>
  <c r="O743" i="3"/>
  <c r="M743" i="3"/>
  <c r="K743" i="3"/>
  <c r="I743" i="3"/>
  <c r="G743" i="3"/>
  <c r="AZ742" i="3"/>
  <c r="AX742" i="3"/>
  <c r="AV742" i="3"/>
  <c r="AT742" i="3"/>
  <c r="AQ742" i="3"/>
  <c r="AO742" i="3"/>
  <c r="AM742" i="3"/>
  <c r="AK742" i="3"/>
  <c r="AC742" i="3"/>
  <c r="AA742" i="3"/>
  <c r="Y742" i="3"/>
  <c r="W742" i="3"/>
  <c r="U742" i="3"/>
  <c r="S742" i="3"/>
  <c r="Q742" i="3"/>
  <c r="O742" i="3"/>
  <c r="M742" i="3"/>
  <c r="K742" i="3"/>
  <c r="I742" i="3"/>
  <c r="G742" i="3"/>
  <c r="AZ741" i="3"/>
  <c r="AX741" i="3"/>
  <c r="AV741" i="3"/>
  <c r="AT741" i="3"/>
  <c r="AQ741" i="3"/>
  <c r="AO741" i="3"/>
  <c r="AM741" i="3"/>
  <c r="AK741" i="3"/>
  <c r="AC741" i="3"/>
  <c r="AA741" i="3"/>
  <c r="Y741" i="3"/>
  <c r="W741" i="3"/>
  <c r="U741" i="3"/>
  <c r="S741" i="3"/>
  <c r="Q741" i="3"/>
  <c r="O741" i="3"/>
  <c r="M741" i="3"/>
  <c r="K741" i="3"/>
  <c r="I741" i="3"/>
  <c r="G741" i="3"/>
  <c r="AZ740" i="3"/>
  <c r="AX740" i="3"/>
  <c r="AV740" i="3"/>
  <c r="AT740" i="3"/>
  <c r="AQ740" i="3"/>
  <c r="AO740" i="3"/>
  <c r="AM740" i="3"/>
  <c r="AK740" i="3"/>
  <c r="AC740" i="3"/>
  <c r="AA740" i="3"/>
  <c r="Y740" i="3"/>
  <c r="W740" i="3"/>
  <c r="U740" i="3"/>
  <c r="S740" i="3"/>
  <c r="Q740" i="3"/>
  <c r="O740" i="3"/>
  <c r="M740" i="3"/>
  <c r="K740" i="3"/>
  <c r="I740" i="3"/>
  <c r="G740" i="3"/>
  <c r="AZ739" i="3"/>
  <c r="AX739" i="3"/>
  <c r="AV739" i="3"/>
  <c r="AT739" i="3"/>
  <c r="AQ739" i="3"/>
  <c r="AO739" i="3"/>
  <c r="AM739" i="3"/>
  <c r="AK739" i="3"/>
  <c r="AC739" i="3"/>
  <c r="AA739" i="3"/>
  <c r="Y739" i="3"/>
  <c r="W739" i="3"/>
  <c r="U739" i="3"/>
  <c r="S739" i="3"/>
  <c r="Q739" i="3"/>
  <c r="O739" i="3"/>
  <c r="M739" i="3"/>
  <c r="K739" i="3"/>
  <c r="I739" i="3"/>
  <c r="G739" i="3"/>
  <c r="AZ738" i="3"/>
  <c r="AX738" i="3"/>
  <c r="AV738" i="3"/>
  <c r="AT738" i="3"/>
  <c r="AQ738" i="3"/>
  <c r="AO738" i="3"/>
  <c r="AM738" i="3"/>
  <c r="AK738" i="3"/>
  <c r="AC738" i="3"/>
  <c r="AA738" i="3"/>
  <c r="Y738" i="3"/>
  <c r="W738" i="3"/>
  <c r="U738" i="3"/>
  <c r="S738" i="3"/>
  <c r="Q738" i="3"/>
  <c r="O738" i="3"/>
  <c r="M738" i="3"/>
  <c r="K738" i="3"/>
  <c r="I738" i="3"/>
  <c r="G738" i="3"/>
  <c r="AZ737" i="3"/>
  <c r="AX737" i="3"/>
  <c r="AV737" i="3"/>
  <c r="AT737" i="3"/>
  <c r="AQ737" i="3"/>
  <c r="AO737" i="3"/>
  <c r="AM737" i="3"/>
  <c r="AK737" i="3"/>
  <c r="AC737" i="3"/>
  <c r="AA737" i="3"/>
  <c r="Y737" i="3"/>
  <c r="W737" i="3"/>
  <c r="U737" i="3"/>
  <c r="S737" i="3"/>
  <c r="Q737" i="3"/>
  <c r="O737" i="3"/>
  <c r="M737" i="3"/>
  <c r="K737" i="3"/>
  <c r="I737" i="3"/>
  <c r="G737" i="3"/>
  <c r="AZ736" i="3"/>
  <c r="AX736" i="3"/>
  <c r="AV736" i="3"/>
  <c r="AT736" i="3"/>
  <c r="AQ736" i="3"/>
  <c r="AO736" i="3"/>
  <c r="AM736" i="3"/>
  <c r="AK736" i="3"/>
  <c r="AC736" i="3"/>
  <c r="AA736" i="3"/>
  <c r="Y736" i="3"/>
  <c r="W736" i="3"/>
  <c r="U736" i="3"/>
  <c r="S736" i="3"/>
  <c r="Q736" i="3"/>
  <c r="O736" i="3"/>
  <c r="M736" i="3"/>
  <c r="K736" i="3"/>
  <c r="I736" i="3"/>
  <c r="G736" i="3"/>
  <c r="AZ735" i="3"/>
  <c r="AX735" i="3"/>
  <c r="AV735" i="3"/>
  <c r="AT735" i="3"/>
  <c r="AQ735" i="3"/>
  <c r="AO735" i="3"/>
  <c r="AM735" i="3"/>
  <c r="AK735" i="3"/>
  <c r="AC735" i="3"/>
  <c r="AA735" i="3"/>
  <c r="Y735" i="3"/>
  <c r="W735" i="3"/>
  <c r="U735" i="3"/>
  <c r="S735" i="3"/>
  <c r="Q735" i="3"/>
  <c r="O735" i="3"/>
  <c r="M735" i="3"/>
  <c r="K735" i="3"/>
  <c r="I735" i="3"/>
  <c r="G735" i="3"/>
  <c r="AZ734" i="3"/>
  <c r="AX734" i="3"/>
  <c r="AV734" i="3"/>
  <c r="AT734" i="3"/>
  <c r="AQ734" i="3"/>
  <c r="AO734" i="3"/>
  <c r="AM734" i="3"/>
  <c r="AK734" i="3"/>
  <c r="AC734" i="3"/>
  <c r="AA734" i="3"/>
  <c r="Y734" i="3"/>
  <c r="W734" i="3"/>
  <c r="U734" i="3"/>
  <c r="S734" i="3"/>
  <c r="Q734" i="3"/>
  <c r="O734" i="3"/>
  <c r="M734" i="3"/>
  <c r="K734" i="3"/>
  <c r="I734" i="3"/>
  <c r="G734" i="3"/>
  <c r="AZ733" i="3"/>
  <c r="AX733" i="3"/>
  <c r="AV733" i="3"/>
  <c r="AT733" i="3"/>
  <c r="AQ733" i="3"/>
  <c r="AO733" i="3"/>
  <c r="AM733" i="3"/>
  <c r="AK733" i="3"/>
  <c r="AC733" i="3"/>
  <c r="AA733" i="3"/>
  <c r="Y733" i="3"/>
  <c r="W733" i="3"/>
  <c r="U733" i="3"/>
  <c r="S733" i="3"/>
  <c r="Q733" i="3"/>
  <c r="O733" i="3"/>
  <c r="M733" i="3"/>
  <c r="K733" i="3"/>
  <c r="I733" i="3"/>
  <c r="G733" i="3"/>
  <c r="AZ732" i="3"/>
  <c r="AX732" i="3"/>
  <c r="AV732" i="3"/>
  <c r="AT732" i="3"/>
  <c r="AQ732" i="3"/>
  <c r="AO732" i="3"/>
  <c r="AM732" i="3"/>
  <c r="AK732" i="3"/>
  <c r="AC732" i="3"/>
  <c r="AA732" i="3"/>
  <c r="Y732" i="3"/>
  <c r="W732" i="3"/>
  <c r="U732" i="3"/>
  <c r="S732" i="3"/>
  <c r="Q732" i="3"/>
  <c r="O732" i="3"/>
  <c r="M732" i="3"/>
  <c r="K732" i="3"/>
  <c r="I732" i="3"/>
  <c r="G732" i="3"/>
  <c r="AZ731" i="3"/>
  <c r="AX731" i="3"/>
  <c r="AV731" i="3"/>
  <c r="AT731" i="3"/>
  <c r="AQ731" i="3"/>
  <c r="AO731" i="3"/>
  <c r="AM731" i="3"/>
  <c r="AK731" i="3"/>
  <c r="AC731" i="3"/>
  <c r="AA731" i="3"/>
  <c r="Y731" i="3"/>
  <c r="W731" i="3"/>
  <c r="U731" i="3"/>
  <c r="S731" i="3"/>
  <c r="Q731" i="3"/>
  <c r="O731" i="3"/>
  <c r="M731" i="3"/>
  <c r="K731" i="3"/>
  <c r="I731" i="3"/>
  <c r="G731" i="3"/>
  <c r="AZ730" i="3"/>
  <c r="AX730" i="3"/>
  <c r="AV730" i="3"/>
  <c r="AT730" i="3"/>
  <c r="AQ730" i="3"/>
  <c r="AO730" i="3"/>
  <c r="AM730" i="3"/>
  <c r="AK730" i="3"/>
  <c r="AC730" i="3"/>
  <c r="AA730" i="3"/>
  <c r="Y730" i="3"/>
  <c r="W730" i="3"/>
  <c r="U730" i="3"/>
  <c r="S730" i="3"/>
  <c r="Q730" i="3"/>
  <c r="O730" i="3"/>
  <c r="M730" i="3"/>
  <c r="K730" i="3"/>
  <c r="I730" i="3"/>
  <c r="G730" i="3"/>
  <c r="AZ729" i="3"/>
  <c r="AX729" i="3"/>
  <c r="AV729" i="3"/>
  <c r="AT729" i="3"/>
  <c r="AQ729" i="3"/>
  <c r="AO729" i="3"/>
  <c r="AM729" i="3"/>
  <c r="AK729" i="3"/>
  <c r="AC729" i="3"/>
  <c r="AA729" i="3"/>
  <c r="Y729" i="3"/>
  <c r="W729" i="3"/>
  <c r="U729" i="3"/>
  <c r="S729" i="3"/>
  <c r="Q729" i="3"/>
  <c r="O729" i="3"/>
  <c r="M729" i="3"/>
  <c r="K729" i="3"/>
  <c r="I729" i="3"/>
  <c r="G729" i="3"/>
  <c r="AZ728" i="3"/>
  <c r="AX728" i="3"/>
  <c r="AV728" i="3"/>
  <c r="AT728" i="3"/>
  <c r="AQ728" i="3"/>
  <c r="AO728" i="3"/>
  <c r="AM728" i="3"/>
  <c r="AK728" i="3"/>
  <c r="AC728" i="3"/>
  <c r="AA728" i="3"/>
  <c r="Y728" i="3"/>
  <c r="W728" i="3"/>
  <c r="U728" i="3"/>
  <c r="S728" i="3"/>
  <c r="Q728" i="3"/>
  <c r="O728" i="3"/>
  <c r="M728" i="3"/>
  <c r="K728" i="3"/>
  <c r="I728" i="3"/>
  <c r="G728" i="3"/>
  <c r="AZ727" i="3"/>
  <c r="AX727" i="3"/>
  <c r="AV727" i="3"/>
  <c r="AT727" i="3"/>
  <c r="AQ727" i="3"/>
  <c r="AO727" i="3"/>
  <c r="AM727" i="3"/>
  <c r="AK727" i="3"/>
  <c r="AC727" i="3"/>
  <c r="AA727" i="3"/>
  <c r="Y727" i="3"/>
  <c r="W727" i="3"/>
  <c r="U727" i="3"/>
  <c r="S727" i="3"/>
  <c r="Q727" i="3"/>
  <c r="O727" i="3"/>
  <c r="M727" i="3"/>
  <c r="K727" i="3"/>
  <c r="I727" i="3"/>
  <c r="G727" i="3"/>
  <c r="AZ726" i="3"/>
  <c r="AX726" i="3"/>
  <c r="AV726" i="3"/>
  <c r="AT726" i="3"/>
  <c r="AQ726" i="3"/>
  <c r="AO726" i="3"/>
  <c r="AM726" i="3"/>
  <c r="AK726" i="3"/>
  <c r="AC726" i="3"/>
  <c r="AA726" i="3"/>
  <c r="Y726" i="3"/>
  <c r="W726" i="3"/>
  <c r="U726" i="3"/>
  <c r="S726" i="3"/>
  <c r="Q726" i="3"/>
  <c r="O726" i="3"/>
  <c r="M726" i="3"/>
  <c r="K726" i="3"/>
  <c r="I726" i="3"/>
  <c r="G726" i="3"/>
  <c r="AZ725" i="3"/>
  <c r="AX725" i="3"/>
  <c r="AV725" i="3"/>
  <c r="AT725" i="3"/>
  <c r="AQ725" i="3"/>
  <c r="AO725" i="3"/>
  <c r="AM725" i="3"/>
  <c r="AK725" i="3"/>
  <c r="AC725" i="3"/>
  <c r="AA725" i="3"/>
  <c r="Y725" i="3"/>
  <c r="W725" i="3"/>
  <c r="U725" i="3"/>
  <c r="S725" i="3"/>
  <c r="Q725" i="3"/>
  <c r="O725" i="3"/>
  <c r="M725" i="3"/>
  <c r="K725" i="3"/>
  <c r="I725" i="3"/>
  <c r="G725" i="3"/>
  <c r="AZ724" i="3"/>
  <c r="AX724" i="3"/>
  <c r="AV724" i="3"/>
  <c r="AT724" i="3"/>
  <c r="AQ724" i="3"/>
  <c r="AO724" i="3"/>
  <c r="AM724" i="3"/>
  <c r="AK724" i="3"/>
  <c r="AC724" i="3"/>
  <c r="AA724" i="3"/>
  <c r="Y724" i="3"/>
  <c r="W724" i="3"/>
  <c r="U724" i="3"/>
  <c r="S724" i="3"/>
  <c r="Q724" i="3"/>
  <c r="O724" i="3"/>
  <c r="M724" i="3"/>
  <c r="K724" i="3"/>
  <c r="I724" i="3"/>
  <c r="G724" i="3"/>
  <c r="AZ723" i="3"/>
  <c r="AX723" i="3"/>
  <c r="AV723" i="3"/>
  <c r="AT723" i="3"/>
  <c r="AQ723" i="3"/>
  <c r="AO723" i="3"/>
  <c r="AM723" i="3"/>
  <c r="AK723" i="3"/>
  <c r="AC723" i="3"/>
  <c r="AA723" i="3"/>
  <c r="Y723" i="3"/>
  <c r="W723" i="3"/>
  <c r="U723" i="3"/>
  <c r="S723" i="3"/>
  <c r="Q723" i="3"/>
  <c r="O723" i="3"/>
  <c r="M723" i="3"/>
  <c r="K723" i="3"/>
  <c r="I723" i="3"/>
  <c r="G723" i="3"/>
  <c r="AZ722" i="3"/>
  <c r="AX722" i="3"/>
  <c r="AV722" i="3"/>
  <c r="AT722" i="3"/>
  <c r="AQ722" i="3"/>
  <c r="AO722" i="3"/>
  <c r="AM722" i="3"/>
  <c r="AK722" i="3"/>
  <c r="AC722" i="3"/>
  <c r="AA722" i="3"/>
  <c r="Y722" i="3"/>
  <c r="W722" i="3"/>
  <c r="U722" i="3"/>
  <c r="S722" i="3"/>
  <c r="Q722" i="3"/>
  <c r="O722" i="3"/>
  <c r="M722" i="3"/>
  <c r="K722" i="3"/>
  <c r="I722" i="3"/>
  <c r="G722" i="3"/>
  <c r="AZ721" i="3"/>
  <c r="AX721" i="3"/>
  <c r="AV721" i="3"/>
  <c r="AT721" i="3"/>
  <c r="AQ721" i="3"/>
  <c r="AO721" i="3"/>
  <c r="AM721" i="3"/>
  <c r="AK721" i="3"/>
  <c r="AC721" i="3"/>
  <c r="AA721" i="3"/>
  <c r="Y721" i="3"/>
  <c r="W721" i="3"/>
  <c r="U721" i="3"/>
  <c r="S721" i="3"/>
  <c r="Q721" i="3"/>
  <c r="O721" i="3"/>
  <c r="M721" i="3"/>
  <c r="K721" i="3"/>
  <c r="I721" i="3"/>
  <c r="G721" i="3"/>
  <c r="AZ720" i="3"/>
  <c r="AX720" i="3"/>
  <c r="AV720" i="3"/>
  <c r="AT720" i="3"/>
  <c r="AQ720" i="3"/>
  <c r="AO720" i="3"/>
  <c r="AM720" i="3"/>
  <c r="AK720" i="3"/>
  <c r="AC720" i="3"/>
  <c r="AA720" i="3"/>
  <c r="Y720" i="3"/>
  <c r="W720" i="3"/>
  <c r="U720" i="3"/>
  <c r="S720" i="3"/>
  <c r="Q720" i="3"/>
  <c r="O720" i="3"/>
  <c r="M720" i="3"/>
  <c r="K720" i="3"/>
  <c r="I720" i="3"/>
  <c r="G720" i="3"/>
  <c r="AZ719" i="3"/>
  <c r="AX719" i="3"/>
  <c r="AV719" i="3"/>
  <c r="AT719" i="3"/>
  <c r="AQ719" i="3"/>
  <c r="AO719" i="3"/>
  <c r="AM719" i="3"/>
  <c r="AK719" i="3"/>
  <c r="AC719" i="3"/>
  <c r="AA719" i="3"/>
  <c r="Y719" i="3"/>
  <c r="W719" i="3"/>
  <c r="U719" i="3"/>
  <c r="S719" i="3"/>
  <c r="Q719" i="3"/>
  <c r="O719" i="3"/>
  <c r="M719" i="3"/>
  <c r="K719" i="3"/>
  <c r="I719" i="3"/>
  <c r="G719" i="3"/>
  <c r="AZ718" i="3"/>
  <c r="AX718" i="3"/>
  <c r="AV718" i="3"/>
  <c r="AT718" i="3"/>
  <c r="AQ718" i="3"/>
  <c r="AO718" i="3"/>
  <c r="AM718" i="3"/>
  <c r="AK718" i="3"/>
  <c r="AC718" i="3"/>
  <c r="AA718" i="3"/>
  <c r="Y718" i="3"/>
  <c r="W718" i="3"/>
  <c r="U718" i="3"/>
  <c r="S718" i="3"/>
  <c r="Q718" i="3"/>
  <c r="O718" i="3"/>
  <c r="M718" i="3"/>
  <c r="K718" i="3"/>
  <c r="I718" i="3"/>
  <c r="G718" i="3"/>
  <c r="AZ717" i="3"/>
  <c r="AX717" i="3"/>
  <c r="AV717" i="3"/>
  <c r="AT717" i="3"/>
  <c r="AQ717" i="3"/>
  <c r="AO717" i="3"/>
  <c r="AM717" i="3"/>
  <c r="AK717" i="3"/>
  <c r="AC717" i="3"/>
  <c r="AA717" i="3"/>
  <c r="Y717" i="3"/>
  <c r="W717" i="3"/>
  <c r="U717" i="3"/>
  <c r="S717" i="3"/>
  <c r="Q717" i="3"/>
  <c r="O717" i="3"/>
  <c r="M717" i="3"/>
  <c r="K717" i="3"/>
  <c r="I717" i="3"/>
  <c r="G717" i="3"/>
  <c r="AZ716" i="3"/>
  <c r="AX716" i="3"/>
  <c r="AV716" i="3"/>
  <c r="AT716" i="3"/>
  <c r="AQ716" i="3"/>
  <c r="AO716" i="3"/>
  <c r="AM716" i="3"/>
  <c r="AK716" i="3"/>
  <c r="AC716" i="3"/>
  <c r="AA716" i="3"/>
  <c r="Y716" i="3"/>
  <c r="W716" i="3"/>
  <c r="U716" i="3"/>
  <c r="S716" i="3"/>
  <c r="Q716" i="3"/>
  <c r="O716" i="3"/>
  <c r="M716" i="3"/>
  <c r="K716" i="3"/>
  <c r="I716" i="3"/>
  <c r="G716" i="3"/>
  <c r="AZ715" i="3"/>
  <c r="AX715" i="3"/>
  <c r="AV715" i="3"/>
  <c r="AT715" i="3"/>
  <c r="AQ715" i="3"/>
  <c r="AO715" i="3"/>
  <c r="AM715" i="3"/>
  <c r="AK715" i="3"/>
  <c r="AC715" i="3"/>
  <c r="AA715" i="3"/>
  <c r="Y715" i="3"/>
  <c r="W715" i="3"/>
  <c r="U715" i="3"/>
  <c r="S715" i="3"/>
  <c r="Q715" i="3"/>
  <c r="O715" i="3"/>
  <c r="M715" i="3"/>
  <c r="K715" i="3"/>
  <c r="I715" i="3"/>
  <c r="G715" i="3"/>
  <c r="AZ714" i="3"/>
  <c r="AX714" i="3"/>
  <c r="AV714" i="3"/>
  <c r="AT714" i="3"/>
  <c r="AQ714" i="3"/>
  <c r="AO714" i="3"/>
  <c r="AM714" i="3"/>
  <c r="AK714" i="3"/>
  <c r="AC714" i="3"/>
  <c r="AA714" i="3"/>
  <c r="Y714" i="3"/>
  <c r="W714" i="3"/>
  <c r="U714" i="3"/>
  <c r="S714" i="3"/>
  <c r="Q714" i="3"/>
  <c r="O714" i="3"/>
  <c r="M714" i="3"/>
  <c r="K714" i="3"/>
  <c r="I714" i="3"/>
  <c r="G714" i="3"/>
  <c r="AZ713" i="3"/>
  <c r="AX713" i="3"/>
  <c r="AV713" i="3"/>
  <c r="AT713" i="3"/>
  <c r="AQ713" i="3"/>
  <c r="AO713" i="3"/>
  <c r="AM713" i="3"/>
  <c r="AK713" i="3"/>
  <c r="AC713" i="3"/>
  <c r="AA713" i="3"/>
  <c r="Y713" i="3"/>
  <c r="W713" i="3"/>
  <c r="U713" i="3"/>
  <c r="S713" i="3"/>
  <c r="Q713" i="3"/>
  <c r="O713" i="3"/>
  <c r="M713" i="3"/>
  <c r="K713" i="3"/>
  <c r="I713" i="3"/>
  <c r="G713" i="3"/>
  <c r="AZ712" i="3"/>
  <c r="AX712" i="3"/>
  <c r="AV712" i="3"/>
  <c r="AT712" i="3"/>
  <c r="AQ712" i="3"/>
  <c r="AO712" i="3"/>
  <c r="AM712" i="3"/>
  <c r="AK712" i="3"/>
  <c r="AC712" i="3"/>
  <c r="AA712" i="3"/>
  <c r="Y712" i="3"/>
  <c r="W712" i="3"/>
  <c r="U712" i="3"/>
  <c r="S712" i="3"/>
  <c r="Q712" i="3"/>
  <c r="O712" i="3"/>
  <c r="M712" i="3"/>
  <c r="K712" i="3"/>
  <c r="I712" i="3"/>
  <c r="G712" i="3"/>
  <c r="AZ711" i="3"/>
  <c r="AX711" i="3"/>
  <c r="AV711" i="3"/>
  <c r="AT711" i="3"/>
  <c r="AQ711" i="3"/>
  <c r="AO711" i="3"/>
  <c r="AM711" i="3"/>
  <c r="AK711" i="3"/>
  <c r="AC711" i="3"/>
  <c r="AA711" i="3"/>
  <c r="Y711" i="3"/>
  <c r="W711" i="3"/>
  <c r="U711" i="3"/>
  <c r="S711" i="3"/>
  <c r="Q711" i="3"/>
  <c r="O711" i="3"/>
  <c r="M711" i="3"/>
  <c r="K711" i="3"/>
  <c r="I711" i="3"/>
  <c r="G711" i="3"/>
  <c r="AZ710" i="3"/>
  <c r="AX710" i="3"/>
  <c r="AV710" i="3"/>
  <c r="AT710" i="3"/>
  <c r="AQ710" i="3"/>
  <c r="AO710" i="3"/>
  <c r="AM710" i="3"/>
  <c r="AK710" i="3"/>
  <c r="AC710" i="3"/>
  <c r="AA710" i="3"/>
  <c r="Y710" i="3"/>
  <c r="W710" i="3"/>
  <c r="U710" i="3"/>
  <c r="S710" i="3"/>
  <c r="Q710" i="3"/>
  <c r="O710" i="3"/>
  <c r="M710" i="3"/>
  <c r="K710" i="3"/>
  <c r="I710" i="3"/>
  <c r="G710" i="3"/>
  <c r="AZ709" i="3"/>
  <c r="AX709" i="3"/>
  <c r="AV709" i="3"/>
  <c r="AT709" i="3"/>
  <c r="AQ709" i="3"/>
  <c r="AO709" i="3"/>
  <c r="AM709" i="3"/>
  <c r="AK709" i="3"/>
  <c r="AC709" i="3"/>
  <c r="AA709" i="3"/>
  <c r="Y709" i="3"/>
  <c r="W709" i="3"/>
  <c r="U709" i="3"/>
  <c r="S709" i="3"/>
  <c r="Q709" i="3"/>
  <c r="O709" i="3"/>
  <c r="M709" i="3"/>
  <c r="K709" i="3"/>
  <c r="I709" i="3"/>
  <c r="G709" i="3"/>
  <c r="AZ708" i="3"/>
  <c r="AX708" i="3"/>
  <c r="AV708" i="3"/>
  <c r="AT708" i="3"/>
  <c r="AQ708" i="3"/>
  <c r="AO708" i="3"/>
  <c r="AM708" i="3"/>
  <c r="AK708" i="3"/>
  <c r="AC708" i="3"/>
  <c r="AA708" i="3"/>
  <c r="Y708" i="3"/>
  <c r="W708" i="3"/>
  <c r="U708" i="3"/>
  <c r="S708" i="3"/>
  <c r="Q708" i="3"/>
  <c r="O708" i="3"/>
  <c r="M708" i="3"/>
  <c r="K708" i="3"/>
  <c r="I708" i="3"/>
  <c r="G708" i="3"/>
  <c r="AZ707" i="3"/>
  <c r="AX707" i="3"/>
  <c r="AV707" i="3"/>
  <c r="AT707" i="3"/>
  <c r="AQ707" i="3"/>
  <c r="AO707" i="3"/>
  <c r="AM707" i="3"/>
  <c r="AK707" i="3"/>
  <c r="AC707" i="3"/>
  <c r="AA707" i="3"/>
  <c r="Y707" i="3"/>
  <c r="W707" i="3"/>
  <c r="U707" i="3"/>
  <c r="S707" i="3"/>
  <c r="Q707" i="3"/>
  <c r="O707" i="3"/>
  <c r="M707" i="3"/>
  <c r="K707" i="3"/>
  <c r="I707" i="3"/>
  <c r="G707" i="3"/>
  <c r="AZ706" i="3"/>
  <c r="AX706" i="3"/>
  <c r="AV706" i="3"/>
  <c r="AT706" i="3"/>
  <c r="AQ706" i="3"/>
  <c r="AO706" i="3"/>
  <c r="AM706" i="3"/>
  <c r="AK706" i="3"/>
  <c r="AC706" i="3"/>
  <c r="AA706" i="3"/>
  <c r="Y706" i="3"/>
  <c r="W706" i="3"/>
  <c r="U706" i="3"/>
  <c r="S706" i="3"/>
  <c r="Q706" i="3"/>
  <c r="O706" i="3"/>
  <c r="M706" i="3"/>
  <c r="K706" i="3"/>
  <c r="I706" i="3"/>
  <c r="G706" i="3"/>
  <c r="AZ705" i="3"/>
  <c r="AX705" i="3"/>
  <c r="AV705" i="3"/>
  <c r="AT705" i="3"/>
  <c r="AQ705" i="3"/>
  <c r="AO705" i="3"/>
  <c r="AM705" i="3"/>
  <c r="AK705" i="3"/>
  <c r="AC705" i="3"/>
  <c r="AA705" i="3"/>
  <c r="Y705" i="3"/>
  <c r="W705" i="3"/>
  <c r="U705" i="3"/>
  <c r="S705" i="3"/>
  <c r="Q705" i="3"/>
  <c r="O705" i="3"/>
  <c r="M705" i="3"/>
  <c r="K705" i="3"/>
  <c r="I705" i="3"/>
  <c r="G705" i="3"/>
  <c r="AZ704" i="3"/>
  <c r="AX704" i="3"/>
  <c r="AV704" i="3"/>
  <c r="AT704" i="3"/>
  <c r="AQ704" i="3"/>
  <c r="AO704" i="3"/>
  <c r="AM704" i="3"/>
  <c r="AK704" i="3"/>
  <c r="AC704" i="3"/>
  <c r="AA704" i="3"/>
  <c r="Y704" i="3"/>
  <c r="W704" i="3"/>
  <c r="U704" i="3"/>
  <c r="S704" i="3"/>
  <c r="Q704" i="3"/>
  <c r="O704" i="3"/>
  <c r="M704" i="3"/>
  <c r="K704" i="3"/>
  <c r="I704" i="3"/>
  <c r="G704" i="3"/>
  <c r="AZ703" i="3"/>
  <c r="AX703" i="3"/>
  <c r="AV703" i="3"/>
  <c r="AT703" i="3"/>
  <c r="AQ703" i="3"/>
  <c r="AO703" i="3"/>
  <c r="AM703" i="3"/>
  <c r="AK703" i="3"/>
  <c r="AC703" i="3"/>
  <c r="AA703" i="3"/>
  <c r="Y703" i="3"/>
  <c r="W703" i="3"/>
  <c r="U703" i="3"/>
  <c r="S703" i="3"/>
  <c r="Q703" i="3"/>
  <c r="O703" i="3"/>
  <c r="M703" i="3"/>
  <c r="K703" i="3"/>
  <c r="I703" i="3"/>
  <c r="G703" i="3"/>
  <c r="AZ702" i="3"/>
  <c r="AX702" i="3"/>
  <c r="AV702" i="3"/>
  <c r="AT702" i="3"/>
  <c r="AQ702" i="3"/>
  <c r="AO702" i="3"/>
  <c r="AM702" i="3"/>
  <c r="AK702" i="3"/>
  <c r="AC702" i="3"/>
  <c r="AA702" i="3"/>
  <c r="Y702" i="3"/>
  <c r="W702" i="3"/>
  <c r="U702" i="3"/>
  <c r="S702" i="3"/>
  <c r="Q702" i="3"/>
  <c r="O702" i="3"/>
  <c r="M702" i="3"/>
  <c r="K702" i="3"/>
  <c r="I702" i="3"/>
  <c r="G702" i="3"/>
  <c r="AZ701" i="3"/>
  <c r="AX701" i="3"/>
  <c r="AV701" i="3"/>
  <c r="AT701" i="3"/>
  <c r="AQ701" i="3"/>
  <c r="AO701" i="3"/>
  <c r="AM701" i="3"/>
  <c r="AK701" i="3"/>
  <c r="AC701" i="3"/>
  <c r="AA701" i="3"/>
  <c r="Y701" i="3"/>
  <c r="W701" i="3"/>
  <c r="U701" i="3"/>
  <c r="S701" i="3"/>
  <c r="Q701" i="3"/>
  <c r="O701" i="3"/>
  <c r="M701" i="3"/>
  <c r="K701" i="3"/>
  <c r="I701" i="3"/>
  <c r="G701" i="3"/>
  <c r="AZ700" i="3"/>
  <c r="AX700" i="3"/>
  <c r="AV700" i="3"/>
  <c r="AT700" i="3"/>
  <c r="AQ700" i="3"/>
  <c r="AO700" i="3"/>
  <c r="AM700" i="3"/>
  <c r="AK700" i="3"/>
  <c r="AC700" i="3"/>
  <c r="AA700" i="3"/>
  <c r="Y700" i="3"/>
  <c r="W700" i="3"/>
  <c r="U700" i="3"/>
  <c r="S700" i="3"/>
  <c r="Q700" i="3"/>
  <c r="O700" i="3"/>
  <c r="M700" i="3"/>
  <c r="K700" i="3"/>
  <c r="I700" i="3"/>
  <c r="G700" i="3"/>
  <c r="AZ699" i="3"/>
  <c r="AX699" i="3"/>
  <c r="AV699" i="3"/>
  <c r="AT699" i="3"/>
  <c r="AQ699" i="3"/>
  <c r="AO699" i="3"/>
  <c r="AM699" i="3"/>
  <c r="AK699" i="3"/>
  <c r="AC699" i="3"/>
  <c r="AA699" i="3"/>
  <c r="Y699" i="3"/>
  <c r="W699" i="3"/>
  <c r="U699" i="3"/>
  <c r="S699" i="3"/>
  <c r="Q699" i="3"/>
  <c r="O699" i="3"/>
  <c r="M699" i="3"/>
  <c r="K699" i="3"/>
  <c r="I699" i="3"/>
  <c r="G699" i="3"/>
  <c r="AZ698" i="3"/>
  <c r="AX698" i="3"/>
  <c r="AV698" i="3"/>
  <c r="AT698" i="3"/>
  <c r="AQ698" i="3"/>
  <c r="AO698" i="3"/>
  <c r="AM698" i="3"/>
  <c r="AK698" i="3"/>
  <c r="AC698" i="3"/>
  <c r="AA698" i="3"/>
  <c r="Y698" i="3"/>
  <c r="W698" i="3"/>
  <c r="U698" i="3"/>
  <c r="S698" i="3"/>
  <c r="Q698" i="3"/>
  <c r="O698" i="3"/>
  <c r="M698" i="3"/>
  <c r="K698" i="3"/>
  <c r="I698" i="3"/>
  <c r="G698" i="3"/>
  <c r="AZ697" i="3"/>
  <c r="AX697" i="3"/>
  <c r="AV697" i="3"/>
  <c r="AT697" i="3"/>
  <c r="AQ697" i="3"/>
  <c r="AO697" i="3"/>
  <c r="AM697" i="3"/>
  <c r="AK697" i="3"/>
  <c r="AC697" i="3"/>
  <c r="AA697" i="3"/>
  <c r="Y697" i="3"/>
  <c r="W697" i="3"/>
  <c r="U697" i="3"/>
  <c r="S697" i="3"/>
  <c r="Q697" i="3"/>
  <c r="O697" i="3"/>
  <c r="M697" i="3"/>
  <c r="K697" i="3"/>
  <c r="I697" i="3"/>
  <c r="G697" i="3"/>
  <c r="AZ696" i="3"/>
  <c r="AX696" i="3"/>
  <c r="AV696" i="3"/>
  <c r="AT696" i="3"/>
  <c r="AQ696" i="3"/>
  <c r="AO696" i="3"/>
  <c r="AM696" i="3"/>
  <c r="AK696" i="3"/>
  <c r="AC696" i="3"/>
  <c r="AA696" i="3"/>
  <c r="Y696" i="3"/>
  <c r="W696" i="3"/>
  <c r="U696" i="3"/>
  <c r="S696" i="3"/>
  <c r="Q696" i="3"/>
  <c r="O696" i="3"/>
  <c r="M696" i="3"/>
  <c r="K696" i="3"/>
  <c r="I696" i="3"/>
  <c r="G696" i="3"/>
  <c r="AZ695" i="3"/>
  <c r="AX695" i="3"/>
  <c r="AV695" i="3"/>
  <c r="AT695" i="3"/>
  <c r="AQ695" i="3"/>
  <c r="AO695" i="3"/>
  <c r="AM695" i="3"/>
  <c r="AK695" i="3"/>
  <c r="AC695" i="3"/>
  <c r="AA695" i="3"/>
  <c r="Y695" i="3"/>
  <c r="W695" i="3"/>
  <c r="U695" i="3"/>
  <c r="S695" i="3"/>
  <c r="Q695" i="3"/>
  <c r="O695" i="3"/>
  <c r="M695" i="3"/>
  <c r="K695" i="3"/>
  <c r="I695" i="3"/>
  <c r="G695" i="3"/>
  <c r="AZ694" i="3"/>
  <c r="AX694" i="3"/>
  <c r="AV694" i="3"/>
  <c r="AT694" i="3"/>
  <c r="AQ694" i="3"/>
  <c r="AO694" i="3"/>
  <c r="AM694" i="3"/>
  <c r="AK694" i="3"/>
  <c r="AC694" i="3"/>
  <c r="AA694" i="3"/>
  <c r="Y694" i="3"/>
  <c r="W694" i="3"/>
  <c r="U694" i="3"/>
  <c r="S694" i="3"/>
  <c r="Q694" i="3"/>
  <c r="O694" i="3"/>
  <c r="M694" i="3"/>
  <c r="K694" i="3"/>
  <c r="I694" i="3"/>
  <c r="G694" i="3"/>
  <c r="AZ693" i="3"/>
  <c r="AX693" i="3"/>
  <c r="AV693" i="3"/>
  <c r="AT693" i="3"/>
  <c r="AQ693" i="3"/>
  <c r="AO693" i="3"/>
  <c r="AM693" i="3"/>
  <c r="AK693" i="3"/>
  <c r="AC693" i="3"/>
  <c r="AA693" i="3"/>
  <c r="Y693" i="3"/>
  <c r="W693" i="3"/>
  <c r="U693" i="3"/>
  <c r="S693" i="3"/>
  <c r="Q693" i="3"/>
  <c r="O693" i="3"/>
  <c r="M693" i="3"/>
  <c r="K693" i="3"/>
  <c r="I693" i="3"/>
  <c r="G693" i="3"/>
  <c r="AZ692" i="3"/>
  <c r="AX692" i="3"/>
  <c r="AV692" i="3"/>
  <c r="AT692" i="3"/>
  <c r="AQ692" i="3"/>
  <c r="AO692" i="3"/>
  <c r="AM692" i="3"/>
  <c r="AK692" i="3"/>
  <c r="AC692" i="3"/>
  <c r="AA692" i="3"/>
  <c r="Y692" i="3"/>
  <c r="W692" i="3"/>
  <c r="U692" i="3"/>
  <c r="S692" i="3"/>
  <c r="Q692" i="3"/>
  <c r="O692" i="3"/>
  <c r="M692" i="3"/>
  <c r="K692" i="3"/>
  <c r="I692" i="3"/>
  <c r="G692" i="3"/>
  <c r="AZ691" i="3"/>
  <c r="AX691" i="3"/>
  <c r="AV691" i="3"/>
  <c r="AT691" i="3"/>
  <c r="AQ691" i="3"/>
  <c r="AO691" i="3"/>
  <c r="AM691" i="3"/>
  <c r="AK691" i="3"/>
  <c r="AC691" i="3"/>
  <c r="AA691" i="3"/>
  <c r="Y691" i="3"/>
  <c r="W691" i="3"/>
  <c r="U691" i="3"/>
  <c r="S691" i="3"/>
  <c r="Q691" i="3"/>
  <c r="O691" i="3"/>
  <c r="M691" i="3"/>
  <c r="K691" i="3"/>
  <c r="I691" i="3"/>
  <c r="G691" i="3"/>
  <c r="AZ690" i="3"/>
  <c r="AX690" i="3"/>
  <c r="AV690" i="3"/>
  <c r="AT690" i="3"/>
  <c r="AQ690" i="3"/>
  <c r="AO690" i="3"/>
  <c r="AM690" i="3"/>
  <c r="AK690" i="3"/>
  <c r="AC690" i="3"/>
  <c r="AA690" i="3"/>
  <c r="Y690" i="3"/>
  <c r="W690" i="3"/>
  <c r="U690" i="3"/>
  <c r="S690" i="3"/>
  <c r="Q690" i="3"/>
  <c r="O690" i="3"/>
  <c r="M690" i="3"/>
  <c r="K690" i="3"/>
  <c r="I690" i="3"/>
  <c r="G690" i="3"/>
  <c r="AZ689" i="3"/>
  <c r="AX689" i="3"/>
  <c r="AV689" i="3"/>
  <c r="AT689" i="3"/>
  <c r="AQ689" i="3"/>
  <c r="AO689" i="3"/>
  <c r="AM689" i="3"/>
  <c r="AK689" i="3"/>
  <c r="AC689" i="3"/>
  <c r="AA689" i="3"/>
  <c r="Y689" i="3"/>
  <c r="W689" i="3"/>
  <c r="U689" i="3"/>
  <c r="S689" i="3"/>
  <c r="Q689" i="3"/>
  <c r="O689" i="3"/>
  <c r="M689" i="3"/>
  <c r="K689" i="3"/>
  <c r="I689" i="3"/>
  <c r="G689" i="3"/>
  <c r="AZ688" i="3"/>
  <c r="AX688" i="3"/>
  <c r="AV688" i="3"/>
  <c r="AT688" i="3"/>
  <c r="AQ688" i="3"/>
  <c r="AO688" i="3"/>
  <c r="AM688" i="3"/>
  <c r="AK688" i="3"/>
  <c r="AC688" i="3"/>
  <c r="AA688" i="3"/>
  <c r="Y688" i="3"/>
  <c r="W688" i="3"/>
  <c r="U688" i="3"/>
  <c r="S688" i="3"/>
  <c r="Q688" i="3"/>
  <c r="O688" i="3"/>
  <c r="M688" i="3"/>
  <c r="K688" i="3"/>
  <c r="I688" i="3"/>
  <c r="G688" i="3"/>
  <c r="AZ687" i="3"/>
  <c r="AX687" i="3"/>
  <c r="AV687" i="3"/>
  <c r="AT687" i="3"/>
  <c r="AQ687" i="3"/>
  <c r="AO687" i="3"/>
  <c r="AM687" i="3"/>
  <c r="AK687" i="3"/>
  <c r="AC687" i="3"/>
  <c r="AA687" i="3"/>
  <c r="Y687" i="3"/>
  <c r="W687" i="3"/>
  <c r="U687" i="3"/>
  <c r="S687" i="3"/>
  <c r="Q687" i="3"/>
  <c r="O687" i="3"/>
  <c r="M687" i="3"/>
  <c r="K687" i="3"/>
  <c r="I687" i="3"/>
  <c r="G687" i="3"/>
  <c r="AZ686" i="3"/>
  <c r="AX686" i="3"/>
  <c r="AV686" i="3"/>
  <c r="AT686" i="3"/>
  <c r="AQ686" i="3"/>
  <c r="AO686" i="3"/>
  <c r="AM686" i="3"/>
  <c r="AK686" i="3"/>
  <c r="AC686" i="3"/>
  <c r="AA686" i="3"/>
  <c r="Y686" i="3"/>
  <c r="W686" i="3"/>
  <c r="U686" i="3"/>
  <c r="S686" i="3"/>
  <c r="Q686" i="3"/>
  <c r="O686" i="3"/>
  <c r="M686" i="3"/>
  <c r="K686" i="3"/>
  <c r="I686" i="3"/>
  <c r="G686" i="3"/>
  <c r="AZ685" i="3"/>
  <c r="AX685" i="3"/>
  <c r="AV685" i="3"/>
  <c r="AT685" i="3"/>
  <c r="AQ685" i="3"/>
  <c r="AO685" i="3"/>
  <c r="AM685" i="3"/>
  <c r="AK685" i="3"/>
  <c r="AC685" i="3"/>
  <c r="AA685" i="3"/>
  <c r="Y685" i="3"/>
  <c r="W685" i="3"/>
  <c r="U685" i="3"/>
  <c r="S685" i="3"/>
  <c r="Q685" i="3"/>
  <c r="O685" i="3"/>
  <c r="M685" i="3"/>
  <c r="K685" i="3"/>
  <c r="I685" i="3"/>
  <c r="G685" i="3"/>
  <c r="AZ684" i="3"/>
  <c r="AX684" i="3"/>
  <c r="AV684" i="3"/>
  <c r="AT684" i="3"/>
  <c r="AQ684" i="3"/>
  <c r="AO684" i="3"/>
  <c r="AM684" i="3"/>
  <c r="AK684" i="3"/>
  <c r="AC684" i="3"/>
  <c r="AA684" i="3"/>
  <c r="Y684" i="3"/>
  <c r="W684" i="3"/>
  <c r="U684" i="3"/>
  <c r="S684" i="3"/>
  <c r="Q684" i="3"/>
  <c r="O684" i="3"/>
  <c r="M684" i="3"/>
  <c r="K684" i="3"/>
  <c r="I684" i="3"/>
  <c r="G684" i="3"/>
  <c r="AZ683" i="3"/>
  <c r="AX683" i="3"/>
  <c r="AV683" i="3"/>
  <c r="AT683" i="3"/>
  <c r="AQ683" i="3"/>
  <c r="AO683" i="3"/>
  <c r="AM683" i="3"/>
  <c r="AK683" i="3"/>
  <c r="AC683" i="3"/>
  <c r="AA683" i="3"/>
  <c r="Y683" i="3"/>
  <c r="W683" i="3"/>
  <c r="U683" i="3"/>
  <c r="S683" i="3"/>
  <c r="Q683" i="3"/>
  <c r="O683" i="3"/>
  <c r="M683" i="3"/>
  <c r="K683" i="3"/>
  <c r="I683" i="3"/>
  <c r="G683" i="3"/>
  <c r="AZ682" i="3"/>
  <c r="AX682" i="3"/>
  <c r="AV682" i="3"/>
  <c r="AT682" i="3"/>
  <c r="AQ682" i="3"/>
  <c r="AO682" i="3"/>
  <c r="AM682" i="3"/>
  <c r="AK682" i="3"/>
  <c r="AC682" i="3"/>
  <c r="AA682" i="3"/>
  <c r="Y682" i="3"/>
  <c r="W682" i="3"/>
  <c r="U682" i="3"/>
  <c r="S682" i="3"/>
  <c r="Q682" i="3"/>
  <c r="O682" i="3"/>
  <c r="M682" i="3"/>
  <c r="K682" i="3"/>
  <c r="I682" i="3"/>
  <c r="G682" i="3"/>
  <c r="AZ681" i="3"/>
  <c r="AX681" i="3"/>
  <c r="AV681" i="3"/>
  <c r="AT681" i="3"/>
  <c r="AQ681" i="3"/>
  <c r="AO681" i="3"/>
  <c r="AM681" i="3"/>
  <c r="AK681" i="3"/>
  <c r="AC681" i="3"/>
  <c r="AA681" i="3"/>
  <c r="Y681" i="3"/>
  <c r="W681" i="3"/>
  <c r="U681" i="3"/>
  <c r="S681" i="3"/>
  <c r="Q681" i="3"/>
  <c r="O681" i="3"/>
  <c r="M681" i="3"/>
  <c r="K681" i="3"/>
  <c r="I681" i="3"/>
  <c r="G681" i="3"/>
  <c r="AZ680" i="3"/>
  <c r="AX680" i="3"/>
  <c r="AV680" i="3"/>
  <c r="AT680" i="3"/>
  <c r="AQ680" i="3"/>
  <c r="AO680" i="3"/>
  <c r="AM680" i="3"/>
  <c r="AK680" i="3"/>
  <c r="AC680" i="3"/>
  <c r="AA680" i="3"/>
  <c r="Y680" i="3"/>
  <c r="W680" i="3"/>
  <c r="U680" i="3"/>
  <c r="S680" i="3"/>
  <c r="Q680" i="3"/>
  <c r="O680" i="3"/>
  <c r="M680" i="3"/>
  <c r="K680" i="3"/>
  <c r="I680" i="3"/>
  <c r="G680" i="3"/>
  <c r="AZ679" i="3"/>
  <c r="AX679" i="3"/>
  <c r="AV679" i="3"/>
  <c r="AT679" i="3"/>
  <c r="AQ679" i="3"/>
  <c r="AO679" i="3"/>
  <c r="AM679" i="3"/>
  <c r="AK679" i="3"/>
  <c r="AC679" i="3"/>
  <c r="AA679" i="3"/>
  <c r="Y679" i="3"/>
  <c r="W679" i="3"/>
  <c r="U679" i="3"/>
  <c r="S679" i="3"/>
  <c r="Q679" i="3"/>
  <c r="O679" i="3"/>
  <c r="M679" i="3"/>
  <c r="K679" i="3"/>
  <c r="I679" i="3"/>
  <c r="G679" i="3"/>
  <c r="AZ678" i="3"/>
  <c r="AX678" i="3"/>
  <c r="AV678" i="3"/>
  <c r="AT678" i="3"/>
  <c r="AQ678" i="3"/>
  <c r="AO678" i="3"/>
  <c r="AM678" i="3"/>
  <c r="AK678" i="3"/>
  <c r="AC678" i="3"/>
  <c r="AA678" i="3"/>
  <c r="Y678" i="3"/>
  <c r="W678" i="3"/>
  <c r="U678" i="3"/>
  <c r="S678" i="3"/>
  <c r="Q678" i="3"/>
  <c r="O678" i="3"/>
  <c r="M678" i="3"/>
  <c r="K678" i="3"/>
  <c r="I678" i="3"/>
  <c r="G678" i="3"/>
  <c r="AZ677" i="3"/>
  <c r="AX677" i="3"/>
  <c r="AV677" i="3"/>
  <c r="AT677" i="3"/>
  <c r="AQ677" i="3"/>
  <c r="AO677" i="3"/>
  <c r="AM677" i="3"/>
  <c r="AK677" i="3"/>
  <c r="AC677" i="3"/>
  <c r="AA677" i="3"/>
  <c r="Y677" i="3"/>
  <c r="W677" i="3"/>
  <c r="U677" i="3"/>
  <c r="S677" i="3"/>
  <c r="Q677" i="3"/>
  <c r="O677" i="3"/>
  <c r="M677" i="3"/>
  <c r="K677" i="3"/>
  <c r="I677" i="3"/>
  <c r="G677" i="3"/>
  <c r="AZ676" i="3"/>
  <c r="AX676" i="3"/>
  <c r="AV676" i="3"/>
  <c r="AT676" i="3"/>
  <c r="AQ676" i="3"/>
  <c r="AO676" i="3"/>
  <c r="AM676" i="3"/>
  <c r="AK676" i="3"/>
  <c r="AC676" i="3"/>
  <c r="AA676" i="3"/>
  <c r="Y676" i="3"/>
  <c r="W676" i="3"/>
  <c r="U676" i="3"/>
  <c r="S676" i="3"/>
  <c r="Q676" i="3"/>
  <c r="O676" i="3"/>
  <c r="M676" i="3"/>
  <c r="K676" i="3"/>
  <c r="I676" i="3"/>
  <c r="G676" i="3"/>
  <c r="AZ675" i="3"/>
  <c r="AX675" i="3"/>
  <c r="AV675" i="3"/>
  <c r="AT675" i="3"/>
  <c r="AQ675" i="3"/>
  <c r="AO675" i="3"/>
  <c r="AM675" i="3"/>
  <c r="AK675" i="3"/>
  <c r="AC675" i="3"/>
  <c r="AA675" i="3"/>
  <c r="Y675" i="3"/>
  <c r="W675" i="3"/>
  <c r="U675" i="3"/>
  <c r="S675" i="3"/>
  <c r="Q675" i="3"/>
  <c r="O675" i="3"/>
  <c r="M675" i="3"/>
  <c r="K675" i="3"/>
  <c r="I675" i="3"/>
  <c r="G675" i="3"/>
  <c r="AZ674" i="3"/>
  <c r="AX674" i="3"/>
  <c r="AV674" i="3"/>
  <c r="AT674" i="3"/>
  <c r="AQ674" i="3"/>
  <c r="AO674" i="3"/>
  <c r="AM674" i="3"/>
  <c r="AK674" i="3"/>
  <c r="AC674" i="3"/>
  <c r="AA674" i="3"/>
  <c r="Y674" i="3"/>
  <c r="W674" i="3"/>
  <c r="U674" i="3"/>
  <c r="S674" i="3"/>
  <c r="Q674" i="3"/>
  <c r="O674" i="3"/>
  <c r="M674" i="3"/>
  <c r="K674" i="3"/>
  <c r="I674" i="3"/>
  <c r="G674" i="3"/>
  <c r="AZ673" i="3"/>
  <c r="AX673" i="3"/>
  <c r="AV673" i="3"/>
  <c r="AT673" i="3"/>
  <c r="AQ673" i="3"/>
  <c r="AO673" i="3"/>
  <c r="AM673" i="3"/>
  <c r="AK673" i="3"/>
  <c r="AC673" i="3"/>
  <c r="AA673" i="3"/>
  <c r="Y673" i="3"/>
  <c r="W673" i="3"/>
  <c r="U673" i="3"/>
  <c r="S673" i="3"/>
  <c r="Q673" i="3"/>
  <c r="O673" i="3"/>
  <c r="M673" i="3"/>
  <c r="K673" i="3"/>
  <c r="I673" i="3"/>
  <c r="G673" i="3"/>
  <c r="AZ672" i="3"/>
  <c r="AX672" i="3"/>
  <c r="AV672" i="3"/>
  <c r="AT672" i="3"/>
  <c r="AQ672" i="3"/>
  <c r="AO672" i="3"/>
  <c r="AM672" i="3"/>
  <c r="AK672" i="3"/>
  <c r="AC672" i="3"/>
  <c r="AA672" i="3"/>
  <c r="Y672" i="3"/>
  <c r="W672" i="3"/>
  <c r="U672" i="3"/>
  <c r="S672" i="3"/>
  <c r="Q672" i="3"/>
  <c r="O672" i="3"/>
  <c r="M672" i="3"/>
  <c r="K672" i="3"/>
  <c r="I672" i="3"/>
  <c r="G672" i="3"/>
  <c r="AZ671" i="3"/>
  <c r="AX671" i="3"/>
  <c r="AV671" i="3"/>
  <c r="AT671" i="3"/>
  <c r="AQ671" i="3"/>
  <c r="AO671" i="3"/>
  <c r="AM671" i="3"/>
  <c r="AK671" i="3"/>
  <c r="AC671" i="3"/>
  <c r="AA671" i="3"/>
  <c r="Y671" i="3"/>
  <c r="W671" i="3"/>
  <c r="U671" i="3"/>
  <c r="S671" i="3"/>
  <c r="Q671" i="3"/>
  <c r="O671" i="3"/>
  <c r="M671" i="3"/>
  <c r="K671" i="3"/>
  <c r="I671" i="3"/>
  <c r="G671" i="3"/>
  <c r="AZ670" i="3"/>
  <c r="AX670" i="3"/>
  <c r="AV670" i="3"/>
  <c r="AT670" i="3"/>
  <c r="AQ670" i="3"/>
  <c r="AO670" i="3"/>
  <c r="AM670" i="3"/>
  <c r="AK670" i="3"/>
  <c r="AC670" i="3"/>
  <c r="AA670" i="3"/>
  <c r="Y670" i="3"/>
  <c r="W670" i="3"/>
  <c r="U670" i="3"/>
  <c r="S670" i="3"/>
  <c r="Q670" i="3"/>
  <c r="O670" i="3"/>
  <c r="M670" i="3"/>
  <c r="K670" i="3"/>
  <c r="I670" i="3"/>
  <c r="G670" i="3"/>
  <c r="AZ669" i="3"/>
  <c r="AX669" i="3"/>
  <c r="AV669" i="3"/>
  <c r="AT669" i="3"/>
  <c r="AQ669" i="3"/>
  <c r="AO669" i="3"/>
  <c r="AM669" i="3"/>
  <c r="AK669" i="3"/>
  <c r="AC669" i="3"/>
  <c r="AA669" i="3"/>
  <c r="Y669" i="3"/>
  <c r="W669" i="3"/>
  <c r="U669" i="3"/>
  <c r="S669" i="3"/>
  <c r="Q669" i="3"/>
  <c r="O669" i="3"/>
  <c r="M669" i="3"/>
  <c r="K669" i="3"/>
  <c r="I669" i="3"/>
  <c r="G669" i="3"/>
  <c r="AZ668" i="3"/>
  <c r="AX668" i="3"/>
  <c r="AV668" i="3"/>
  <c r="AT668" i="3"/>
  <c r="AQ668" i="3"/>
  <c r="AO668" i="3"/>
  <c r="AM668" i="3"/>
  <c r="AK668" i="3"/>
  <c r="AC668" i="3"/>
  <c r="AA668" i="3"/>
  <c r="Y668" i="3"/>
  <c r="W668" i="3"/>
  <c r="U668" i="3"/>
  <c r="S668" i="3"/>
  <c r="Q668" i="3"/>
  <c r="O668" i="3"/>
  <c r="M668" i="3"/>
  <c r="K668" i="3"/>
  <c r="I668" i="3"/>
  <c r="G668" i="3"/>
  <c r="AZ667" i="3"/>
  <c r="AX667" i="3"/>
  <c r="AV667" i="3"/>
  <c r="AT667" i="3"/>
  <c r="AQ667" i="3"/>
  <c r="AO667" i="3"/>
  <c r="AM667" i="3"/>
  <c r="AK667" i="3"/>
  <c r="AC667" i="3"/>
  <c r="AA667" i="3"/>
  <c r="Y667" i="3"/>
  <c r="W667" i="3"/>
  <c r="U667" i="3"/>
  <c r="S667" i="3"/>
  <c r="Q667" i="3"/>
  <c r="O667" i="3"/>
  <c r="M667" i="3"/>
  <c r="K667" i="3"/>
  <c r="I667" i="3"/>
  <c r="G667" i="3"/>
  <c r="AZ666" i="3"/>
  <c r="AX666" i="3"/>
  <c r="AV666" i="3"/>
  <c r="AT666" i="3"/>
  <c r="AQ666" i="3"/>
  <c r="AO666" i="3"/>
  <c r="AM666" i="3"/>
  <c r="AK666" i="3"/>
  <c r="AC666" i="3"/>
  <c r="AA666" i="3"/>
  <c r="Y666" i="3"/>
  <c r="W666" i="3"/>
  <c r="U666" i="3"/>
  <c r="S666" i="3"/>
  <c r="Q666" i="3"/>
  <c r="O666" i="3"/>
  <c r="M666" i="3"/>
  <c r="K666" i="3"/>
  <c r="I666" i="3"/>
  <c r="G666" i="3"/>
  <c r="AZ665" i="3"/>
  <c r="AX665" i="3"/>
  <c r="AV665" i="3"/>
  <c r="AT665" i="3"/>
  <c r="AQ665" i="3"/>
  <c r="AO665" i="3"/>
  <c r="AM665" i="3"/>
  <c r="AK665" i="3"/>
  <c r="AC665" i="3"/>
  <c r="AA665" i="3"/>
  <c r="Y665" i="3"/>
  <c r="W665" i="3"/>
  <c r="U665" i="3"/>
  <c r="S665" i="3"/>
  <c r="Q665" i="3"/>
  <c r="O665" i="3"/>
  <c r="M665" i="3"/>
  <c r="K665" i="3"/>
  <c r="I665" i="3"/>
  <c r="G665" i="3"/>
  <c r="AZ664" i="3"/>
  <c r="AX664" i="3"/>
  <c r="AV664" i="3"/>
  <c r="AT664" i="3"/>
  <c r="AQ664" i="3"/>
  <c r="AO664" i="3"/>
  <c r="AM664" i="3"/>
  <c r="AK664" i="3"/>
  <c r="AC664" i="3"/>
  <c r="AA664" i="3"/>
  <c r="Y664" i="3"/>
  <c r="W664" i="3"/>
  <c r="U664" i="3"/>
  <c r="S664" i="3"/>
  <c r="Q664" i="3"/>
  <c r="O664" i="3"/>
  <c r="M664" i="3"/>
  <c r="K664" i="3"/>
  <c r="I664" i="3"/>
  <c r="G664" i="3"/>
  <c r="AZ663" i="3"/>
  <c r="AX663" i="3"/>
  <c r="AV663" i="3"/>
  <c r="AT663" i="3"/>
  <c r="AQ663" i="3"/>
  <c r="AO663" i="3"/>
  <c r="AM663" i="3"/>
  <c r="AK663" i="3"/>
  <c r="AC663" i="3"/>
  <c r="AA663" i="3"/>
  <c r="Y663" i="3"/>
  <c r="W663" i="3"/>
  <c r="U663" i="3"/>
  <c r="S663" i="3"/>
  <c r="Q663" i="3"/>
  <c r="O663" i="3"/>
  <c r="M663" i="3"/>
  <c r="K663" i="3"/>
  <c r="I663" i="3"/>
  <c r="G663" i="3"/>
  <c r="AZ662" i="3"/>
  <c r="AX662" i="3"/>
  <c r="AV662" i="3"/>
  <c r="AT662" i="3"/>
  <c r="AQ662" i="3"/>
  <c r="AO662" i="3"/>
  <c r="AM662" i="3"/>
  <c r="AK662" i="3"/>
  <c r="AC662" i="3"/>
  <c r="AA662" i="3"/>
  <c r="Y662" i="3"/>
  <c r="W662" i="3"/>
  <c r="U662" i="3"/>
  <c r="S662" i="3"/>
  <c r="Q662" i="3"/>
  <c r="O662" i="3"/>
  <c r="M662" i="3"/>
  <c r="K662" i="3"/>
  <c r="I662" i="3"/>
  <c r="G662" i="3"/>
  <c r="AZ661" i="3"/>
  <c r="AX661" i="3"/>
  <c r="AV661" i="3"/>
  <c r="AT661" i="3"/>
  <c r="AQ661" i="3"/>
  <c r="AO661" i="3"/>
  <c r="AM661" i="3"/>
  <c r="AK661" i="3"/>
  <c r="AC661" i="3"/>
  <c r="AA661" i="3"/>
  <c r="Y661" i="3"/>
  <c r="W661" i="3"/>
  <c r="U661" i="3"/>
  <c r="S661" i="3"/>
  <c r="Q661" i="3"/>
  <c r="O661" i="3"/>
  <c r="M661" i="3"/>
  <c r="K661" i="3"/>
  <c r="I661" i="3"/>
  <c r="G661" i="3"/>
  <c r="AZ660" i="3"/>
  <c r="AX660" i="3"/>
  <c r="AV660" i="3"/>
  <c r="AT660" i="3"/>
  <c r="AQ660" i="3"/>
  <c r="AO660" i="3"/>
  <c r="AM660" i="3"/>
  <c r="AK660" i="3"/>
  <c r="AC660" i="3"/>
  <c r="AA660" i="3"/>
  <c r="Y660" i="3"/>
  <c r="W660" i="3"/>
  <c r="U660" i="3"/>
  <c r="S660" i="3"/>
  <c r="Q660" i="3"/>
  <c r="O660" i="3"/>
  <c r="M660" i="3"/>
  <c r="K660" i="3"/>
  <c r="I660" i="3"/>
  <c r="G660" i="3"/>
  <c r="AZ659" i="3"/>
  <c r="AX659" i="3"/>
  <c r="AV659" i="3"/>
  <c r="AT659" i="3"/>
  <c r="AQ659" i="3"/>
  <c r="AO659" i="3"/>
  <c r="AM659" i="3"/>
  <c r="AK659" i="3"/>
  <c r="AC659" i="3"/>
  <c r="AA659" i="3"/>
  <c r="Y659" i="3"/>
  <c r="W659" i="3"/>
  <c r="U659" i="3"/>
  <c r="S659" i="3"/>
  <c r="Q659" i="3"/>
  <c r="O659" i="3"/>
  <c r="M659" i="3"/>
  <c r="K659" i="3"/>
  <c r="I659" i="3"/>
  <c r="G659" i="3"/>
  <c r="AZ658" i="3"/>
  <c r="AX658" i="3"/>
  <c r="AV658" i="3"/>
  <c r="AT658" i="3"/>
  <c r="AQ658" i="3"/>
  <c r="AO658" i="3"/>
  <c r="AM658" i="3"/>
  <c r="AK658" i="3"/>
  <c r="AC658" i="3"/>
  <c r="AA658" i="3"/>
  <c r="Y658" i="3"/>
  <c r="W658" i="3"/>
  <c r="U658" i="3"/>
  <c r="S658" i="3"/>
  <c r="Q658" i="3"/>
  <c r="O658" i="3"/>
  <c r="M658" i="3"/>
  <c r="K658" i="3"/>
  <c r="I658" i="3"/>
  <c r="G658" i="3"/>
  <c r="AZ657" i="3"/>
  <c r="AX657" i="3"/>
  <c r="AV657" i="3"/>
  <c r="AT657" i="3"/>
  <c r="AQ657" i="3"/>
  <c r="AO657" i="3"/>
  <c r="AM657" i="3"/>
  <c r="AK657" i="3"/>
  <c r="AC657" i="3"/>
  <c r="AA657" i="3"/>
  <c r="Y657" i="3"/>
  <c r="W657" i="3"/>
  <c r="U657" i="3"/>
  <c r="S657" i="3"/>
  <c r="Q657" i="3"/>
  <c r="O657" i="3"/>
  <c r="M657" i="3"/>
  <c r="K657" i="3"/>
  <c r="I657" i="3"/>
  <c r="G657" i="3"/>
  <c r="AZ656" i="3"/>
  <c r="AX656" i="3"/>
  <c r="AV656" i="3"/>
  <c r="AT656" i="3"/>
  <c r="AQ656" i="3"/>
  <c r="AO656" i="3"/>
  <c r="AM656" i="3"/>
  <c r="AK656" i="3"/>
  <c r="AC656" i="3"/>
  <c r="AA656" i="3"/>
  <c r="Y656" i="3"/>
  <c r="W656" i="3"/>
  <c r="U656" i="3"/>
  <c r="S656" i="3"/>
  <c r="Q656" i="3"/>
  <c r="O656" i="3"/>
  <c r="M656" i="3"/>
  <c r="K656" i="3"/>
  <c r="I656" i="3"/>
  <c r="G656" i="3"/>
  <c r="AZ655" i="3"/>
  <c r="AX655" i="3"/>
  <c r="AV655" i="3"/>
  <c r="AT655" i="3"/>
  <c r="AQ655" i="3"/>
  <c r="AO655" i="3"/>
  <c r="AM655" i="3"/>
  <c r="AK655" i="3"/>
  <c r="AC655" i="3"/>
  <c r="AA655" i="3"/>
  <c r="Y655" i="3"/>
  <c r="W655" i="3"/>
  <c r="U655" i="3"/>
  <c r="S655" i="3"/>
  <c r="Q655" i="3"/>
  <c r="O655" i="3"/>
  <c r="M655" i="3"/>
  <c r="K655" i="3"/>
  <c r="I655" i="3"/>
  <c r="G655" i="3"/>
  <c r="AZ654" i="3"/>
  <c r="AX654" i="3"/>
  <c r="AV654" i="3"/>
  <c r="AT654" i="3"/>
  <c r="AQ654" i="3"/>
  <c r="AO654" i="3"/>
  <c r="AM654" i="3"/>
  <c r="AK654" i="3"/>
  <c r="AC654" i="3"/>
  <c r="AA654" i="3"/>
  <c r="Y654" i="3"/>
  <c r="W654" i="3"/>
  <c r="U654" i="3"/>
  <c r="S654" i="3"/>
  <c r="Q654" i="3"/>
  <c r="O654" i="3"/>
  <c r="M654" i="3"/>
  <c r="K654" i="3"/>
  <c r="I654" i="3"/>
  <c r="G654" i="3"/>
  <c r="AZ653" i="3"/>
  <c r="AX653" i="3"/>
  <c r="AV653" i="3"/>
  <c r="AT653" i="3"/>
  <c r="AQ653" i="3"/>
  <c r="AO653" i="3"/>
  <c r="AM653" i="3"/>
  <c r="AK653" i="3"/>
  <c r="AC653" i="3"/>
  <c r="AA653" i="3"/>
  <c r="Y653" i="3"/>
  <c r="W653" i="3"/>
  <c r="U653" i="3"/>
  <c r="S653" i="3"/>
  <c r="Q653" i="3"/>
  <c r="O653" i="3"/>
  <c r="M653" i="3"/>
  <c r="K653" i="3"/>
  <c r="I653" i="3"/>
  <c r="G653" i="3"/>
  <c r="AZ652" i="3"/>
  <c r="AX652" i="3"/>
  <c r="AV652" i="3"/>
  <c r="AT652" i="3"/>
  <c r="AQ652" i="3"/>
  <c r="AO652" i="3"/>
  <c r="AM652" i="3"/>
  <c r="AK652" i="3"/>
  <c r="AC652" i="3"/>
  <c r="AA652" i="3"/>
  <c r="Y652" i="3"/>
  <c r="W652" i="3"/>
  <c r="U652" i="3"/>
  <c r="S652" i="3"/>
  <c r="Q652" i="3"/>
  <c r="O652" i="3"/>
  <c r="M652" i="3"/>
  <c r="K652" i="3"/>
  <c r="I652" i="3"/>
  <c r="G652" i="3"/>
  <c r="AZ651" i="3"/>
  <c r="AX651" i="3"/>
  <c r="AV651" i="3"/>
  <c r="AT651" i="3"/>
  <c r="AQ651" i="3"/>
  <c r="AO651" i="3"/>
  <c r="AM651" i="3"/>
  <c r="AK651" i="3"/>
  <c r="AC651" i="3"/>
  <c r="AA651" i="3"/>
  <c r="Y651" i="3"/>
  <c r="W651" i="3"/>
  <c r="U651" i="3"/>
  <c r="S651" i="3"/>
  <c r="Q651" i="3"/>
  <c r="O651" i="3"/>
  <c r="M651" i="3"/>
  <c r="K651" i="3"/>
  <c r="I651" i="3"/>
  <c r="G651" i="3"/>
  <c r="AZ650" i="3"/>
  <c r="AX650" i="3"/>
  <c r="AV650" i="3"/>
  <c r="AT650" i="3"/>
  <c r="AQ650" i="3"/>
  <c r="AO650" i="3"/>
  <c r="AM650" i="3"/>
  <c r="AK650" i="3"/>
  <c r="AC650" i="3"/>
  <c r="AA650" i="3"/>
  <c r="Y650" i="3"/>
  <c r="W650" i="3"/>
  <c r="U650" i="3"/>
  <c r="S650" i="3"/>
  <c r="Q650" i="3"/>
  <c r="O650" i="3"/>
  <c r="M650" i="3"/>
  <c r="K650" i="3"/>
  <c r="I650" i="3"/>
  <c r="G650" i="3"/>
  <c r="AZ649" i="3"/>
  <c r="AX649" i="3"/>
  <c r="AV649" i="3"/>
  <c r="AT649" i="3"/>
  <c r="AQ649" i="3"/>
  <c r="AO649" i="3"/>
  <c r="AM649" i="3"/>
  <c r="AK649" i="3"/>
  <c r="AC649" i="3"/>
  <c r="AA649" i="3"/>
  <c r="Y649" i="3"/>
  <c r="W649" i="3"/>
  <c r="U649" i="3"/>
  <c r="S649" i="3"/>
  <c r="Q649" i="3"/>
  <c r="O649" i="3"/>
  <c r="M649" i="3"/>
  <c r="K649" i="3"/>
  <c r="I649" i="3"/>
  <c r="G649" i="3"/>
  <c r="AZ648" i="3"/>
  <c r="AX648" i="3"/>
  <c r="AV648" i="3"/>
  <c r="AT648" i="3"/>
  <c r="AQ648" i="3"/>
  <c r="AO648" i="3"/>
  <c r="AM648" i="3"/>
  <c r="AK648" i="3"/>
  <c r="AC648" i="3"/>
  <c r="AA648" i="3"/>
  <c r="Y648" i="3"/>
  <c r="W648" i="3"/>
  <c r="U648" i="3"/>
  <c r="S648" i="3"/>
  <c r="Q648" i="3"/>
  <c r="O648" i="3"/>
  <c r="M648" i="3"/>
  <c r="K648" i="3"/>
  <c r="I648" i="3"/>
  <c r="G648" i="3"/>
  <c r="AZ647" i="3"/>
  <c r="AX647" i="3"/>
  <c r="AV647" i="3"/>
  <c r="AT647" i="3"/>
  <c r="AQ647" i="3"/>
  <c r="AO647" i="3"/>
  <c r="AM647" i="3"/>
  <c r="AK647" i="3"/>
  <c r="AC647" i="3"/>
  <c r="AA647" i="3"/>
  <c r="Y647" i="3"/>
  <c r="W647" i="3"/>
  <c r="U647" i="3"/>
  <c r="S647" i="3"/>
  <c r="Q647" i="3"/>
  <c r="O647" i="3"/>
  <c r="M647" i="3"/>
  <c r="K647" i="3"/>
  <c r="I647" i="3"/>
  <c r="G647" i="3"/>
  <c r="AZ646" i="3"/>
  <c r="AX646" i="3"/>
  <c r="AV646" i="3"/>
  <c r="AT646" i="3"/>
  <c r="AQ646" i="3"/>
  <c r="AO646" i="3"/>
  <c r="AM646" i="3"/>
  <c r="AK646" i="3"/>
  <c r="AC646" i="3"/>
  <c r="AA646" i="3"/>
  <c r="Y646" i="3"/>
  <c r="W646" i="3"/>
  <c r="U646" i="3"/>
  <c r="S646" i="3"/>
  <c r="Q646" i="3"/>
  <c r="O646" i="3"/>
  <c r="M646" i="3"/>
  <c r="K646" i="3"/>
  <c r="I646" i="3"/>
  <c r="G646" i="3"/>
  <c r="AZ645" i="3"/>
  <c r="AX645" i="3"/>
  <c r="AV645" i="3"/>
  <c r="AT645" i="3"/>
  <c r="AQ645" i="3"/>
  <c r="AO645" i="3"/>
  <c r="AM645" i="3"/>
  <c r="AK645" i="3"/>
  <c r="AC645" i="3"/>
  <c r="AA645" i="3"/>
  <c r="Y645" i="3"/>
  <c r="W645" i="3"/>
  <c r="U645" i="3"/>
  <c r="S645" i="3"/>
  <c r="Q645" i="3"/>
  <c r="O645" i="3"/>
  <c r="M645" i="3"/>
  <c r="K645" i="3"/>
  <c r="I645" i="3"/>
  <c r="G645" i="3"/>
  <c r="AZ644" i="3"/>
  <c r="AX644" i="3"/>
  <c r="AV644" i="3"/>
  <c r="AT644" i="3"/>
  <c r="AQ644" i="3"/>
  <c r="AO644" i="3"/>
  <c r="AM644" i="3"/>
  <c r="AK644" i="3"/>
  <c r="AC644" i="3"/>
  <c r="AA644" i="3"/>
  <c r="Y644" i="3"/>
  <c r="W644" i="3"/>
  <c r="U644" i="3"/>
  <c r="S644" i="3"/>
  <c r="Q644" i="3"/>
  <c r="O644" i="3"/>
  <c r="M644" i="3"/>
  <c r="K644" i="3"/>
  <c r="I644" i="3"/>
  <c r="G644" i="3"/>
  <c r="AZ643" i="3"/>
  <c r="AX643" i="3"/>
  <c r="AV643" i="3"/>
  <c r="AT643" i="3"/>
  <c r="AQ643" i="3"/>
  <c r="AO643" i="3"/>
  <c r="AM643" i="3"/>
  <c r="AK643" i="3"/>
  <c r="AC643" i="3"/>
  <c r="AA643" i="3"/>
  <c r="Y643" i="3"/>
  <c r="W643" i="3"/>
  <c r="U643" i="3"/>
  <c r="S643" i="3"/>
  <c r="Q643" i="3"/>
  <c r="O643" i="3"/>
  <c r="M643" i="3"/>
  <c r="K643" i="3"/>
  <c r="I643" i="3"/>
  <c r="G643" i="3"/>
  <c r="AZ642" i="3"/>
  <c r="AX642" i="3"/>
  <c r="AV642" i="3"/>
  <c r="AT642" i="3"/>
  <c r="AQ642" i="3"/>
  <c r="AO642" i="3"/>
  <c r="AM642" i="3"/>
  <c r="AK642" i="3"/>
  <c r="AC642" i="3"/>
  <c r="AA642" i="3"/>
  <c r="Y642" i="3"/>
  <c r="W642" i="3"/>
  <c r="U642" i="3"/>
  <c r="S642" i="3"/>
  <c r="Q642" i="3"/>
  <c r="O642" i="3"/>
  <c r="M642" i="3"/>
  <c r="K642" i="3"/>
  <c r="I642" i="3"/>
  <c r="G642" i="3"/>
  <c r="AZ641" i="3"/>
  <c r="AX641" i="3"/>
  <c r="AV641" i="3"/>
  <c r="AT641" i="3"/>
  <c r="AQ641" i="3"/>
  <c r="AO641" i="3"/>
  <c r="AM641" i="3"/>
  <c r="AK641" i="3"/>
  <c r="AC641" i="3"/>
  <c r="AA641" i="3"/>
  <c r="Y641" i="3"/>
  <c r="W641" i="3"/>
  <c r="U641" i="3"/>
  <c r="S641" i="3"/>
  <c r="Q641" i="3"/>
  <c r="O641" i="3"/>
  <c r="M641" i="3"/>
  <c r="K641" i="3"/>
  <c r="I641" i="3"/>
  <c r="G641" i="3"/>
  <c r="AZ640" i="3"/>
  <c r="AX640" i="3"/>
  <c r="AV640" i="3"/>
  <c r="AT640" i="3"/>
  <c r="AQ640" i="3"/>
  <c r="AO640" i="3"/>
  <c r="AM640" i="3"/>
  <c r="AK640" i="3"/>
  <c r="AC640" i="3"/>
  <c r="AA640" i="3"/>
  <c r="Y640" i="3"/>
  <c r="W640" i="3"/>
  <c r="U640" i="3"/>
  <c r="S640" i="3"/>
  <c r="Q640" i="3"/>
  <c r="O640" i="3"/>
  <c r="M640" i="3"/>
  <c r="K640" i="3"/>
  <c r="I640" i="3"/>
  <c r="G640" i="3"/>
  <c r="AZ639" i="3"/>
  <c r="AX639" i="3"/>
  <c r="AV639" i="3"/>
  <c r="AT639" i="3"/>
  <c r="AQ639" i="3"/>
  <c r="AO639" i="3"/>
  <c r="AM639" i="3"/>
  <c r="AK639" i="3"/>
  <c r="AC639" i="3"/>
  <c r="AA639" i="3"/>
  <c r="Y639" i="3"/>
  <c r="W639" i="3"/>
  <c r="U639" i="3"/>
  <c r="S639" i="3"/>
  <c r="Q639" i="3"/>
  <c r="O639" i="3"/>
  <c r="M639" i="3"/>
  <c r="K639" i="3"/>
  <c r="I639" i="3"/>
  <c r="G639" i="3"/>
  <c r="AZ638" i="3"/>
  <c r="AX638" i="3"/>
  <c r="AV638" i="3"/>
  <c r="AT638" i="3"/>
  <c r="AQ638" i="3"/>
  <c r="AO638" i="3"/>
  <c r="AM638" i="3"/>
  <c r="AK638" i="3"/>
  <c r="AC638" i="3"/>
  <c r="AA638" i="3"/>
  <c r="Y638" i="3"/>
  <c r="W638" i="3"/>
  <c r="U638" i="3"/>
  <c r="S638" i="3"/>
  <c r="Q638" i="3"/>
  <c r="O638" i="3"/>
  <c r="M638" i="3"/>
  <c r="K638" i="3"/>
  <c r="I638" i="3"/>
  <c r="G638" i="3"/>
  <c r="AZ637" i="3"/>
  <c r="AX637" i="3"/>
  <c r="AV637" i="3"/>
  <c r="AT637" i="3"/>
  <c r="AQ637" i="3"/>
  <c r="AO637" i="3"/>
  <c r="AM637" i="3"/>
  <c r="AK637" i="3"/>
  <c r="AC637" i="3"/>
  <c r="AA637" i="3"/>
  <c r="Y637" i="3"/>
  <c r="W637" i="3"/>
  <c r="U637" i="3"/>
  <c r="S637" i="3"/>
  <c r="Q637" i="3"/>
  <c r="O637" i="3"/>
  <c r="M637" i="3"/>
  <c r="K637" i="3"/>
  <c r="I637" i="3"/>
  <c r="G637" i="3"/>
  <c r="AZ636" i="3"/>
  <c r="AX636" i="3"/>
  <c r="AV636" i="3"/>
  <c r="AT636" i="3"/>
  <c r="AQ636" i="3"/>
  <c r="AO636" i="3"/>
  <c r="AM636" i="3"/>
  <c r="AK636" i="3"/>
  <c r="AC636" i="3"/>
  <c r="AA636" i="3"/>
  <c r="Y636" i="3"/>
  <c r="W636" i="3"/>
  <c r="U636" i="3"/>
  <c r="S636" i="3"/>
  <c r="Q636" i="3"/>
  <c r="O636" i="3"/>
  <c r="M636" i="3"/>
  <c r="K636" i="3"/>
  <c r="I636" i="3"/>
  <c r="G636" i="3"/>
  <c r="AZ635" i="3"/>
  <c r="AX635" i="3"/>
  <c r="AV635" i="3"/>
  <c r="AT635" i="3"/>
  <c r="AQ635" i="3"/>
  <c r="AO635" i="3"/>
  <c r="AM635" i="3"/>
  <c r="AK635" i="3"/>
  <c r="AC635" i="3"/>
  <c r="AA635" i="3"/>
  <c r="Y635" i="3"/>
  <c r="W635" i="3"/>
  <c r="U635" i="3"/>
  <c r="S635" i="3"/>
  <c r="Q635" i="3"/>
  <c r="O635" i="3"/>
  <c r="M635" i="3"/>
  <c r="K635" i="3"/>
  <c r="I635" i="3"/>
  <c r="G635" i="3"/>
  <c r="AZ634" i="3"/>
  <c r="AX634" i="3"/>
  <c r="AV634" i="3"/>
  <c r="AT634" i="3"/>
  <c r="AQ634" i="3"/>
  <c r="AO634" i="3"/>
  <c r="AM634" i="3"/>
  <c r="AK634" i="3"/>
  <c r="AC634" i="3"/>
  <c r="AA634" i="3"/>
  <c r="Y634" i="3"/>
  <c r="W634" i="3"/>
  <c r="U634" i="3"/>
  <c r="S634" i="3"/>
  <c r="Q634" i="3"/>
  <c r="O634" i="3"/>
  <c r="M634" i="3"/>
  <c r="K634" i="3"/>
  <c r="I634" i="3"/>
  <c r="G634" i="3"/>
  <c r="AZ633" i="3"/>
  <c r="AX633" i="3"/>
  <c r="AV633" i="3"/>
  <c r="AT633" i="3"/>
  <c r="AQ633" i="3"/>
  <c r="AO633" i="3"/>
  <c r="AM633" i="3"/>
  <c r="AK633" i="3"/>
  <c r="AC633" i="3"/>
  <c r="AA633" i="3"/>
  <c r="Y633" i="3"/>
  <c r="W633" i="3"/>
  <c r="U633" i="3"/>
  <c r="S633" i="3"/>
  <c r="Q633" i="3"/>
  <c r="O633" i="3"/>
  <c r="M633" i="3"/>
  <c r="K633" i="3"/>
  <c r="I633" i="3"/>
  <c r="G633" i="3"/>
  <c r="AZ632" i="3"/>
  <c r="AX632" i="3"/>
  <c r="AV632" i="3"/>
  <c r="AT632" i="3"/>
  <c r="AQ632" i="3"/>
  <c r="AO632" i="3"/>
  <c r="AM632" i="3"/>
  <c r="AK632" i="3"/>
  <c r="AC632" i="3"/>
  <c r="AA632" i="3"/>
  <c r="Y632" i="3"/>
  <c r="W632" i="3"/>
  <c r="U632" i="3"/>
  <c r="S632" i="3"/>
  <c r="Q632" i="3"/>
  <c r="O632" i="3"/>
  <c r="M632" i="3"/>
  <c r="K632" i="3"/>
  <c r="I632" i="3"/>
  <c r="G632" i="3"/>
  <c r="AZ631" i="3"/>
  <c r="AX631" i="3"/>
  <c r="AV631" i="3"/>
  <c r="AT631" i="3"/>
  <c r="AQ631" i="3"/>
  <c r="AO631" i="3"/>
  <c r="AM631" i="3"/>
  <c r="AK631" i="3"/>
  <c r="AC631" i="3"/>
  <c r="AA631" i="3"/>
  <c r="Y631" i="3"/>
  <c r="W631" i="3"/>
  <c r="U631" i="3"/>
  <c r="S631" i="3"/>
  <c r="Q631" i="3"/>
  <c r="O631" i="3"/>
  <c r="M631" i="3"/>
  <c r="K631" i="3"/>
  <c r="I631" i="3"/>
  <c r="G631" i="3"/>
  <c r="AZ630" i="3"/>
  <c r="AX630" i="3"/>
  <c r="AV630" i="3"/>
  <c r="AT630" i="3"/>
  <c r="AQ630" i="3"/>
  <c r="AO630" i="3"/>
  <c r="AM630" i="3"/>
  <c r="AK630" i="3"/>
  <c r="AC630" i="3"/>
  <c r="AA630" i="3"/>
  <c r="Y630" i="3"/>
  <c r="W630" i="3"/>
  <c r="U630" i="3"/>
  <c r="S630" i="3"/>
  <c r="Q630" i="3"/>
  <c r="O630" i="3"/>
  <c r="M630" i="3"/>
  <c r="K630" i="3"/>
  <c r="I630" i="3"/>
  <c r="G630" i="3"/>
  <c r="AZ629" i="3"/>
  <c r="AX629" i="3"/>
  <c r="AV629" i="3"/>
  <c r="AT629" i="3"/>
  <c r="AQ629" i="3"/>
  <c r="AO629" i="3"/>
  <c r="AM629" i="3"/>
  <c r="AK629" i="3"/>
  <c r="AC629" i="3"/>
  <c r="AA629" i="3"/>
  <c r="Y629" i="3"/>
  <c r="W629" i="3"/>
  <c r="U629" i="3"/>
  <c r="S629" i="3"/>
  <c r="Q629" i="3"/>
  <c r="O629" i="3"/>
  <c r="M629" i="3"/>
  <c r="K629" i="3"/>
  <c r="I629" i="3"/>
  <c r="G629" i="3"/>
  <c r="AZ628" i="3"/>
  <c r="AX628" i="3"/>
  <c r="AV628" i="3"/>
  <c r="AT628" i="3"/>
  <c r="AQ628" i="3"/>
  <c r="AO628" i="3"/>
  <c r="AM628" i="3"/>
  <c r="AK628" i="3"/>
  <c r="AC628" i="3"/>
  <c r="AA628" i="3"/>
  <c r="Y628" i="3"/>
  <c r="W628" i="3"/>
  <c r="U628" i="3"/>
  <c r="S628" i="3"/>
  <c r="Q628" i="3"/>
  <c r="O628" i="3"/>
  <c r="M628" i="3"/>
  <c r="K628" i="3"/>
  <c r="I628" i="3"/>
  <c r="G628" i="3"/>
  <c r="AZ627" i="3"/>
  <c r="AX627" i="3"/>
  <c r="AV627" i="3"/>
  <c r="AT627" i="3"/>
  <c r="AQ627" i="3"/>
  <c r="AO627" i="3"/>
  <c r="AM627" i="3"/>
  <c r="AK627" i="3"/>
  <c r="AC627" i="3"/>
  <c r="AA627" i="3"/>
  <c r="Y627" i="3"/>
  <c r="W627" i="3"/>
  <c r="U627" i="3"/>
  <c r="S627" i="3"/>
  <c r="Q627" i="3"/>
  <c r="O627" i="3"/>
  <c r="M627" i="3"/>
  <c r="K627" i="3"/>
  <c r="I627" i="3"/>
  <c r="G627" i="3"/>
  <c r="AZ626" i="3"/>
  <c r="AX626" i="3"/>
  <c r="AV626" i="3"/>
  <c r="AT626" i="3"/>
  <c r="AQ626" i="3"/>
  <c r="AO626" i="3"/>
  <c r="AM626" i="3"/>
  <c r="AK626" i="3"/>
  <c r="AC626" i="3"/>
  <c r="AA626" i="3"/>
  <c r="Y626" i="3"/>
  <c r="W626" i="3"/>
  <c r="U626" i="3"/>
  <c r="S626" i="3"/>
  <c r="Q626" i="3"/>
  <c r="O626" i="3"/>
  <c r="M626" i="3"/>
  <c r="K626" i="3"/>
  <c r="I626" i="3"/>
  <c r="G626" i="3"/>
  <c r="AZ625" i="3"/>
  <c r="AX625" i="3"/>
  <c r="AV625" i="3"/>
  <c r="AT625" i="3"/>
  <c r="AQ625" i="3"/>
  <c r="AO625" i="3"/>
  <c r="AM625" i="3"/>
  <c r="AK625" i="3"/>
  <c r="AC625" i="3"/>
  <c r="AA625" i="3"/>
  <c r="Y625" i="3"/>
  <c r="W625" i="3"/>
  <c r="U625" i="3"/>
  <c r="S625" i="3"/>
  <c r="Q625" i="3"/>
  <c r="O625" i="3"/>
  <c r="M625" i="3"/>
  <c r="K625" i="3"/>
  <c r="I625" i="3"/>
  <c r="G625" i="3"/>
  <c r="AZ624" i="3"/>
  <c r="AX624" i="3"/>
  <c r="AV624" i="3"/>
  <c r="AT624" i="3"/>
  <c r="AQ624" i="3"/>
  <c r="AO624" i="3"/>
  <c r="AM624" i="3"/>
  <c r="AK624" i="3"/>
  <c r="AC624" i="3"/>
  <c r="AA624" i="3"/>
  <c r="Y624" i="3"/>
  <c r="W624" i="3"/>
  <c r="U624" i="3"/>
  <c r="S624" i="3"/>
  <c r="Q624" i="3"/>
  <c r="O624" i="3"/>
  <c r="M624" i="3"/>
  <c r="K624" i="3"/>
  <c r="I624" i="3"/>
  <c r="G624" i="3"/>
  <c r="AZ623" i="3"/>
  <c r="AX623" i="3"/>
  <c r="AV623" i="3"/>
  <c r="AT623" i="3"/>
  <c r="AQ623" i="3"/>
  <c r="AO623" i="3"/>
  <c r="AM623" i="3"/>
  <c r="AK623" i="3"/>
  <c r="AC623" i="3"/>
  <c r="AA623" i="3"/>
  <c r="Y623" i="3"/>
  <c r="W623" i="3"/>
  <c r="U623" i="3"/>
  <c r="S623" i="3"/>
  <c r="Q623" i="3"/>
  <c r="O623" i="3"/>
  <c r="M623" i="3"/>
  <c r="K623" i="3"/>
  <c r="I623" i="3"/>
  <c r="G623" i="3"/>
  <c r="AZ622" i="3"/>
  <c r="AX622" i="3"/>
  <c r="AV622" i="3"/>
  <c r="AT622" i="3"/>
  <c r="AQ622" i="3"/>
  <c r="AO622" i="3"/>
  <c r="AM622" i="3"/>
  <c r="AK622" i="3"/>
  <c r="AC622" i="3"/>
  <c r="AA622" i="3"/>
  <c r="Y622" i="3"/>
  <c r="W622" i="3"/>
  <c r="U622" i="3"/>
  <c r="S622" i="3"/>
  <c r="Q622" i="3"/>
  <c r="O622" i="3"/>
  <c r="M622" i="3"/>
  <c r="K622" i="3"/>
  <c r="I622" i="3"/>
  <c r="G622" i="3"/>
  <c r="AZ621" i="3"/>
  <c r="AX621" i="3"/>
  <c r="AV621" i="3"/>
  <c r="AT621" i="3"/>
  <c r="AQ621" i="3"/>
  <c r="AO621" i="3"/>
  <c r="AM621" i="3"/>
  <c r="AK621" i="3"/>
  <c r="AC621" i="3"/>
  <c r="AA621" i="3"/>
  <c r="Y621" i="3"/>
  <c r="W621" i="3"/>
  <c r="U621" i="3"/>
  <c r="S621" i="3"/>
  <c r="Q621" i="3"/>
  <c r="O621" i="3"/>
  <c r="M621" i="3"/>
  <c r="K621" i="3"/>
  <c r="I621" i="3"/>
  <c r="G621" i="3"/>
  <c r="AZ620" i="3"/>
  <c r="AX620" i="3"/>
  <c r="AV620" i="3"/>
  <c r="AT620" i="3"/>
  <c r="AQ620" i="3"/>
  <c r="AO620" i="3"/>
  <c r="AM620" i="3"/>
  <c r="AK620" i="3"/>
  <c r="AC620" i="3"/>
  <c r="AA620" i="3"/>
  <c r="Y620" i="3"/>
  <c r="W620" i="3"/>
  <c r="U620" i="3"/>
  <c r="S620" i="3"/>
  <c r="Q620" i="3"/>
  <c r="O620" i="3"/>
  <c r="M620" i="3"/>
  <c r="K620" i="3"/>
  <c r="I620" i="3"/>
  <c r="G620" i="3"/>
  <c r="AZ619" i="3"/>
  <c r="AX619" i="3"/>
  <c r="AV619" i="3"/>
  <c r="AT619" i="3"/>
  <c r="AQ619" i="3"/>
  <c r="AO619" i="3"/>
  <c r="AM619" i="3"/>
  <c r="AK619" i="3"/>
  <c r="AC619" i="3"/>
  <c r="AA619" i="3"/>
  <c r="Y619" i="3"/>
  <c r="W619" i="3"/>
  <c r="U619" i="3"/>
  <c r="S619" i="3"/>
  <c r="Q619" i="3"/>
  <c r="O619" i="3"/>
  <c r="M619" i="3"/>
  <c r="K619" i="3"/>
  <c r="I619" i="3"/>
  <c r="G619" i="3"/>
  <c r="AZ618" i="3"/>
  <c r="AX618" i="3"/>
  <c r="AV618" i="3"/>
  <c r="AT618" i="3"/>
  <c r="AQ618" i="3"/>
  <c r="AO618" i="3"/>
  <c r="AM618" i="3"/>
  <c r="AK618" i="3"/>
  <c r="AC618" i="3"/>
  <c r="AA618" i="3"/>
  <c r="Y618" i="3"/>
  <c r="W618" i="3"/>
  <c r="U618" i="3"/>
  <c r="S618" i="3"/>
  <c r="Q618" i="3"/>
  <c r="O618" i="3"/>
  <c r="M618" i="3"/>
  <c r="K618" i="3"/>
  <c r="I618" i="3"/>
  <c r="G618" i="3"/>
  <c r="AZ617" i="3"/>
  <c r="AX617" i="3"/>
  <c r="AV617" i="3"/>
  <c r="AT617" i="3"/>
  <c r="AQ617" i="3"/>
  <c r="AO617" i="3"/>
  <c r="AM617" i="3"/>
  <c r="AK617" i="3"/>
  <c r="AC617" i="3"/>
  <c r="AA617" i="3"/>
  <c r="Y617" i="3"/>
  <c r="W617" i="3"/>
  <c r="U617" i="3"/>
  <c r="S617" i="3"/>
  <c r="Q617" i="3"/>
  <c r="O617" i="3"/>
  <c r="M617" i="3"/>
  <c r="K617" i="3"/>
  <c r="I617" i="3"/>
  <c r="G617" i="3"/>
  <c r="AZ616" i="3"/>
  <c r="AX616" i="3"/>
  <c r="AV616" i="3"/>
  <c r="AT616" i="3"/>
  <c r="AQ616" i="3"/>
  <c r="AO616" i="3"/>
  <c r="AM616" i="3"/>
  <c r="AK616" i="3"/>
  <c r="AC616" i="3"/>
  <c r="AA616" i="3"/>
  <c r="Y616" i="3"/>
  <c r="W616" i="3"/>
  <c r="U616" i="3"/>
  <c r="S616" i="3"/>
  <c r="Q616" i="3"/>
  <c r="O616" i="3"/>
  <c r="M616" i="3"/>
  <c r="K616" i="3"/>
  <c r="I616" i="3"/>
  <c r="G616" i="3"/>
  <c r="AZ615" i="3"/>
  <c r="AX615" i="3"/>
  <c r="AV615" i="3"/>
  <c r="AT615" i="3"/>
  <c r="AQ615" i="3"/>
  <c r="AO615" i="3"/>
  <c r="AM615" i="3"/>
  <c r="AK615" i="3"/>
  <c r="AC615" i="3"/>
  <c r="AA615" i="3"/>
  <c r="Y615" i="3"/>
  <c r="W615" i="3"/>
  <c r="U615" i="3"/>
  <c r="S615" i="3"/>
  <c r="Q615" i="3"/>
  <c r="O615" i="3"/>
  <c r="M615" i="3"/>
  <c r="K615" i="3"/>
  <c r="I615" i="3"/>
  <c r="G615" i="3"/>
  <c r="AZ614" i="3"/>
  <c r="AX614" i="3"/>
  <c r="AV614" i="3"/>
  <c r="AT614" i="3"/>
  <c r="AQ614" i="3"/>
  <c r="AO614" i="3"/>
  <c r="AM614" i="3"/>
  <c r="AK614" i="3"/>
  <c r="AC614" i="3"/>
  <c r="AA614" i="3"/>
  <c r="Y614" i="3"/>
  <c r="W614" i="3"/>
  <c r="U614" i="3"/>
  <c r="S614" i="3"/>
  <c r="Q614" i="3"/>
  <c r="O614" i="3"/>
  <c r="M614" i="3"/>
  <c r="K614" i="3"/>
  <c r="I614" i="3"/>
  <c r="G614" i="3"/>
  <c r="AZ613" i="3"/>
  <c r="AX613" i="3"/>
  <c r="AV613" i="3"/>
  <c r="AT613" i="3"/>
  <c r="AQ613" i="3"/>
  <c r="AO613" i="3"/>
  <c r="AM613" i="3"/>
  <c r="AK613" i="3"/>
  <c r="AC613" i="3"/>
  <c r="AA613" i="3"/>
  <c r="Y613" i="3"/>
  <c r="W613" i="3"/>
  <c r="U613" i="3"/>
  <c r="S613" i="3"/>
  <c r="Q613" i="3"/>
  <c r="O613" i="3"/>
  <c r="M613" i="3"/>
  <c r="K613" i="3"/>
  <c r="I613" i="3"/>
  <c r="G613" i="3"/>
  <c r="AZ612" i="3"/>
  <c r="AX612" i="3"/>
  <c r="AV612" i="3"/>
  <c r="AT612" i="3"/>
  <c r="AQ612" i="3"/>
  <c r="AO612" i="3"/>
  <c r="AM612" i="3"/>
  <c r="AK612" i="3"/>
  <c r="AC612" i="3"/>
  <c r="AA612" i="3"/>
  <c r="Y612" i="3"/>
  <c r="W612" i="3"/>
  <c r="U612" i="3"/>
  <c r="S612" i="3"/>
  <c r="Q612" i="3"/>
  <c r="O612" i="3"/>
  <c r="M612" i="3"/>
  <c r="K612" i="3"/>
  <c r="I612" i="3"/>
  <c r="G612" i="3"/>
  <c r="AZ611" i="3"/>
  <c r="AX611" i="3"/>
  <c r="AV611" i="3"/>
  <c r="AT611" i="3"/>
  <c r="AQ611" i="3"/>
  <c r="AO611" i="3"/>
  <c r="AM611" i="3"/>
  <c r="AK611" i="3"/>
  <c r="AC611" i="3"/>
  <c r="AA611" i="3"/>
  <c r="Y611" i="3"/>
  <c r="W611" i="3"/>
  <c r="U611" i="3"/>
  <c r="S611" i="3"/>
  <c r="Q611" i="3"/>
  <c r="O611" i="3"/>
  <c r="M611" i="3"/>
  <c r="K611" i="3"/>
  <c r="I611" i="3"/>
  <c r="G611" i="3"/>
  <c r="AZ610" i="3"/>
  <c r="AX610" i="3"/>
  <c r="AV610" i="3"/>
  <c r="AT610" i="3"/>
  <c r="AQ610" i="3"/>
  <c r="AO610" i="3"/>
  <c r="AM610" i="3"/>
  <c r="AK610" i="3"/>
  <c r="AC610" i="3"/>
  <c r="AA610" i="3"/>
  <c r="Y610" i="3"/>
  <c r="W610" i="3"/>
  <c r="U610" i="3"/>
  <c r="S610" i="3"/>
  <c r="Q610" i="3"/>
  <c r="O610" i="3"/>
  <c r="M610" i="3"/>
  <c r="K610" i="3"/>
  <c r="I610" i="3"/>
  <c r="G610" i="3"/>
  <c r="AZ609" i="3"/>
  <c r="AX609" i="3"/>
  <c r="AV609" i="3"/>
  <c r="AT609" i="3"/>
  <c r="AQ609" i="3"/>
  <c r="AO609" i="3"/>
  <c r="AM609" i="3"/>
  <c r="AK609" i="3"/>
  <c r="AC609" i="3"/>
  <c r="AA609" i="3"/>
  <c r="Y609" i="3"/>
  <c r="W609" i="3"/>
  <c r="U609" i="3"/>
  <c r="S609" i="3"/>
  <c r="Q609" i="3"/>
  <c r="O609" i="3"/>
  <c r="M609" i="3"/>
  <c r="K609" i="3"/>
  <c r="I609" i="3"/>
  <c r="G609" i="3"/>
  <c r="AZ608" i="3"/>
  <c r="AX608" i="3"/>
  <c r="AV608" i="3"/>
  <c r="AT608" i="3"/>
  <c r="AQ608" i="3"/>
  <c r="AO608" i="3"/>
  <c r="AM608" i="3"/>
  <c r="AK608" i="3"/>
  <c r="AC608" i="3"/>
  <c r="AA608" i="3"/>
  <c r="Y608" i="3"/>
  <c r="W608" i="3"/>
  <c r="U608" i="3"/>
  <c r="S608" i="3"/>
  <c r="Q608" i="3"/>
  <c r="O608" i="3"/>
  <c r="M608" i="3"/>
  <c r="K608" i="3"/>
  <c r="I608" i="3"/>
  <c r="G608" i="3"/>
  <c r="AZ607" i="3"/>
  <c r="AX607" i="3"/>
  <c r="AV607" i="3"/>
  <c r="AT607" i="3"/>
  <c r="AQ607" i="3"/>
  <c r="AO607" i="3"/>
  <c r="AM607" i="3"/>
  <c r="AK607" i="3"/>
  <c r="AC607" i="3"/>
  <c r="AA607" i="3"/>
  <c r="Y607" i="3"/>
  <c r="W607" i="3"/>
  <c r="U607" i="3"/>
  <c r="S607" i="3"/>
  <c r="Q607" i="3"/>
  <c r="O607" i="3"/>
  <c r="M607" i="3"/>
  <c r="K607" i="3"/>
  <c r="I607" i="3"/>
  <c r="G607" i="3"/>
  <c r="AZ606" i="3"/>
  <c r="AX606" i="3"/>
  <c r="AV606" i="3"/>
  <c r="AT606" i="3"/>
  <c r="AQ606" i="3"/>
  <c r="AO606" i="3"/>
  <c r="AM606" i="3"/>
  <c r="AK606" i="3"/>
  <c r="AC606" i="3"/>
  <c r="AA606" i="3"/>
  <c r="Y606" i="3"/>
  <c r="W606" i="3"/>
  <c r="U606" i="3"/>
  <c r="S606" i="3"/>
  <c r="Q606" i="3"/>
  <c r="O606" i="3"/>
  <c r="M606" i="3"/>
  <c r="K606" i="3"/>
  <c r="I606" i="3"/>
  <c r="G606" i="3"/>
  <c r="AZ605" i="3"/>
  <c r="AX605" i="3"/>
  <c r="AV605" i="3"/>
  <c r="AT605" i="3"/>
  <c r="AQ605" i="3"/>
  <c r="AO605" i="3"/>
  <c r="AM605" i="3"/>
  <c r="AK605" i="3"/>
  <c r="AC605" i="3"/>
  <c r="AA605" i="3"/>
  <c r="Y605" i="3"/>
  <c r="W605" i="3"/>
  <c r="U605" i="3"/>
  <c r="S605" i="3"/>
  <c r="Q605" i="3"/>
  <c r="O605" i="3"/>
  <c r="M605" i="3"/>
  <c r="K605" i="3"/>
  <c r="I605" i="3"/>
  <c r="G605" i="3"/>
  <c r="AZ604" i="3"/>
  <c r="AX604" i="3"/>
  <c r="AV604" i="3"/>
  <c r="AT604" i="3"/>
  <c r="AQ604" i="3"/>
  <c r="AO604" i="3"/>
  <c r="AM604" i="3"/>
  <c r="AK604" i="3"/>
  <c r="AC604" i="3"/>
  <c r="AA604" i="3"/>
  <c r="Y604" i="3"/>
  <c r="W604" i="3"/>
  <c r="U604" i="3"/>
  <c r="S604" i="3"/>
  <c r="Q604" i="3"/>
  <c r="O604" i="3"/>
  <c r="M604" i="3"/>
  <c r="K604" i="3"/>
  <c r="I604" i="3"/>
  <c r="G604" i="3"/>
  <c r="AZ603" i="3"/>
  <c r="AX603" i="3"/>
  <c r="AV603" i="3"/>
  <c r="AT603" i="3"/>
  <c r="AQ603" i="3"/>
  <c r="AO603" i="3"/>
  <c r="AM603" i="3"/>
  <c r="AK603" i="3"/>
  <c r="AC603" i="3"/>
  <c r="AA603" i="3"/>
  <c r="Y603" i="3"/>
  <c r="W603" i="3"/>
  <c r="U603" i="3"/>
  <c r="S603" i="3"/>
  <c r="Q603" i="3"/>
  <c r="O603" i="3"/>
  <c r="M603" i="3"/>
  <c r="K603" i="3"/>
  <c r="I603" i="3"/>
  <c r="G603" i="3"/>
  <c r="AZ602" i="3"/>
  <c r="AX602" i="3"/>
  <c r="AV602" i="3"/>
  <c r="AT602" i="3"/>
  <c r="AQ602" i="3"/>
  <c r="AO602" i="3"/>
  <c r="AM602" i="3"/>
  <c r="AK602" i="3"/>
  <c r="AC602" i="3"/>
  <c r="AA602" i="3"/>
  <c r="Y602" i="3"/>
  <c r="W602" i="3"/>
  <c r="U602" i="3"/>
  <c r="S602" i="3"/>
  <c r="Q602" i="3"/>
  <c r="O602" i="3"/>
  <c r="M602" i="3"/>
  <c r="K602" i="3"/>
  <c r="I602" i="3"/>
  <c r="G602" i="3"/>
  <c r="AZ601" i="3"/>
  <c r="AX601" i="3"/>
  <c r="AV601" i="3"/>
  <c r="AT601" i="3"/>
  <c r="AQ601" i="3"/>
  <c r="AO601" i="3"/>
  <c r="AM601" i="3"/>
  <c r="AK601" i="3"/>
  <c r="AC601" i="3"/>
  <c r="AA601" i="3"/>
  <c r="Y601" i="3"/>
  <c r="W601" i="3"/>
  <c r="U601" i="3"/>
  <c r="S601" i="3"/>
  <c r="Q601" i="3"/>
  <c r="O601" i="3"/>
  <c r="M601" i="3"/>
  <c r="K601" i="3"/>
  <c r="I601" i="3"/>
  <c r="G601" i="3"/>
  <c r="AZ600" i="3"/>
  <c r="AX600" i="3"/>
  <c r="AV600" i="3"/>
  <c r="AT600" i="3"/>
  <c r="AQ600" i="3"/>
  <c r="AO600" i="3"/>
  <c r="AM600" i="3"/>
  <c r="AK600" i="3"/>
  <c r="AC600" i="3"/>
  <c r="AA600" i="3"/>
  <c r="Y600" i="3"/>
  <c r="W600" i="3"/>
  <c r="U600" i="3"/>
  <c r="S600" i="3"/>
  <c r="Q600" i="3"/>
  <c r="O600" i="3"/>
  <c r="M600" i="3"/>
  <c r="K600" i="3"/>
  <c r="I600" i="3"/>
  <c r="G600" i="3"/>
  <c r="AZ599" i="3"/>
  <c r="AX599" i="3"/>
  <c r="AV599" i="3"/>
  <c r="AT599" i="3"/>
  <c r="AQ599" i="3"/>
  <c r="AO599" i="3"/>
  <c r="AM599" i="3"/>
  <c r="AK599" i="3"/>
  <c r="AC599" i="3"/>
  <c r="AA599" i="3"/>
  <c r="Y599" i="3"/>
  <c r="W599" i="3"/>
  <c r="U599" i="3"/>
  <c r="S599" i="3"/>
  <c r="Q599" i="3"/>
  <c r="O599" i="3"/>
  <c r="M599" i="3"/>
  <c r="K599" i="3"/>
  <c r="I599" i="3"/>
  <c r="G599" i="3"/>
  <c r="AZ598" i="3"/>
  <c r="AX598" i="3"/>
  <c r="AV598" i="3"/>
  <c r="AT598" i="3"/>
  <c r="AQ598" i="3"/>
  <c r="AO598" i="3"/>
  <c r="AM598" i="3"/>
  <c r="AK598" i="3"/>
  <c r="AC598" i="3"/>
  <c r="AA598" i="3"/>
  <c r="Y598" i="3"/>
  <c r="W598" i="3"/>
  <c r="U598" i="3"/>
  <c r="S598" i="3"/>
  <c r="Q598" i="3"/>
  <c r="O598" i="3"/>
  <c r="M598" i="3"/>
  <c r="K598" i="3"/>
  <c r="I598" i="3"/>
  <c r="G598" i="3"/>
  <c r="AZ597" i="3"/>
  <c r="AX597" i="3"/>
  <c r="AV597" i="3"/>
  <c r="AT597" i="3"/>
  <c r="AQ597" i="3"/>
  <c r="AO597" i="3"/>
  <c r="AM597" i="3"/>
  <c r="AK597" i="3"/>
  <c r="AC597" i="3"/>
  <c r="AA597" i="3"/>
  <c r="Y597" i="3"/>
  <c r="W597" i="3"/>
  <c r="U597" i="3"/>
  <c r="S597" i="3"/>
  <c r="Q597" i="3"/>
  <c r="O597" i="3"/>
  <c r="M597" i="3"/>
  <c r="K597" i="3"/>
  <c r="I597" i="3"/>
  <c r="G597" i="3"/>
  <c r="AZ596" i="3"/>
  <c r="AX596" i="3"/>
  <c r="AV596" i="3"/>
  <c r="AT596" i="3"/>
  <c r="AQ596" i="3"/>
  <c r="AO596" i="3"/>
  <c r="AM596" i="3"/>
  <c r="AK596" i="3"/>
  <c r="AC596" i="3"/>
  <c r="AA596" i="3"/>
  <c r="Y596" i="3"/>
  <c r="W596" i="3"/>
  <c r="U596" i="3"/>
  <c r="S596" i="3"/>
  <c r="Q596" i="3"/>
  <c r="O596" i="3"/>
  <c r="M596" i="3"/>
  <c r="K596" i="3"/>
  <c r="I596" i="3"/>
  <c r="G596" i="3"/>
  <c r="AZ595" i="3"/>
  <c r="AX595" i="3"/>
  <c r="AV595" i="3"/>
  <c r="AT595" i="3"/>
  <c r="AQ595" i="3"/>
  <c r="AO595" i="3"/>
  <c r="AM595" i="3"/>
  <c r="AK595" i="3"/>
  <c r="AC595" i="3"/>
  <c r="AA595" i="3"/>
  <c r="Y595" i="3"/>
  <c r="W595" i="3"/>
  <c r="U595" i="3"/>
  <c r="S595" i="3"/>
  <c r="Q595" i="3"/>
  <c r="O595" i="3"/>
  <c r="M595" i="3"/>
  <c r="K595" i="3"/>
  <c r="I595" i="3"/>
  <c r="G595" i="3"/>
  <c r="AZ594" i="3"/>
  <c r="AX594" i="3"/>
  <c r="AV594" i="3"/>
  <c r="AT594" i="3"/>
  <c r="AQ594" i="3"/>
  <c r="AO594" i="3"/>
  <c r="AM594" i="3"/>
  <c r="AK594" i="3"/>
  <c r="AC594" i="3"/>
  <c r="AA594" i="3"/>
  <c r="Y594" i="3"/>
  <c r="W594" i="3"/>
  <c r="U594" i="3"/>
  <c r="S594" i="3"/>
  <c r="Q594" i="3"/>
  <c r="O594" i="3"/>
  <c r="M594" i="3"/>
  <c r="K594" i="3"/>
  <c r="I594" i="3"/>
  <c r="G594" i="3"/>
  <c r="AZ593" i="3"/>
  <c r="AX593" i="3"/>
  <c r="AV593" i="3"/>
  <c r="AT593" i="3"/>
  <c r="AQ593" i="3"/>
  <c r="AO593" i="3"/>
  <c r="AM593" i="3"/>
  <c r="AK593" i="3"/>
  <c r="AC593" i="3"/>
  <c r="AA593" i="3"/>
  <c r="Y593" i="3"/>
  <c r="W593" i="3"/>
  <c r="U593" i="3"/>
  <c r="S593" i="3"/>
  <c r="Q593" i="3"/>
  <c r="O593" i="3"/>
  <c r="M593" i="3"/>
  <c r="K593" i="3"/>
  <c r="I593" i="3"/>
  <c r="G593" i="3"/>
  <c r="AZ592" i="3"/>
  <c r="AX592" i="3"/>
  <c r="AV592" i="3"/>
  <c r="AT592" i="3"/>
  <c r="AQ592" i="3"/>
  <c r="AO592" i="3"/>
  <c r="AM592" i="3"/>
  <c r="AK592" i="3"/>
  <c r="AC592" i="3"/>
  <c r="AA592" i="3"/>
  <c r="Y592" i="3"/>
  <c r="W592" i="3"/>
  <c r="U592" i="3"/>
  <c r="S592" i="3"/>
  <c r="Q592" i="3"/>
  <c r="O592" i="3"/>
  <c r="M592" i="3"/>
  <c r="K592" i="3"/>
  <c r="I592" i="3"/>
  <c r="G592" i="3"/>
  <c r="AZ591" i="3"/>
  <c r="AX591" i="3"/>
  <c r="AV591" i="3"/>
  <c r="AT591" i="3"/>
  <c r="AQ591" i="3"/>
  <c r="AO591" i="3"/>
  <c r="AM591" i="3"/>
  <c r="AK591" i="3"/>
  <c r="AC591" i="3"/>
  <c r="AA591" i="3"/>
  <c r="Y591" i="3"/>
  <c r="W591" i="3"/>
  <c r="U591" i="3"/>
  <c r="S591" i="3"/>
  <c r="Q591" i="3"/>
  <c r="O591" i="3"/>
  <c r="M591" i="3"/>
  <c r="K591" i="3"/>
  <c r="I591" i="3"/>
  <c r="G591" i="3"/>
  <c r="AZ590" i="3"/>
  <c r="AX590" i="3"/>
  <c r="AV590" i="3"/>
  <c r="AT590" i="3"/>
  <c r="AQ590" i="3"/>
  <c r="AO590" i="3"/>
  <c r="AM590" i="3"/>
  <c r="AK590" i="3"/>
  <c r="AC590" i="3"/>
  <c r="AA590" i="3"/>
  <c r="Y590" i="3"/>
  <c r="W590" i="3"/>
  <c r="U590" i="3"/>
  <c r="S590" i="3"/>
  <c r="Q590" i="3"/>
  <c r="O590" i="3"/>
  <c r="M590" i="3"/>
  <c r="K590" i="3"/>
  <c r="I590" i="3"/>
  <c r="G590" i="3"/>
  <c r="AZ589" i="3"/>
  <c r="AX589" i="3"/>
  <c r="AV589" i="3"/>
  <c r="AT589" i="3"/>
  <c r="AQ589" i="3"/>
  <c r="AO589" i="3"/>
  <c r="AM589" i="3"/>
  <c r="AK589" i="3"/>
  <c r="AC589" i="3"/>
  <c r="AA589" i="3"/>
  <c r="Y589" i="3"/>
  <c r="W589" i="3"/>
  <c r="U589" i="3"/>
  <c r="S589" i="3"/>
  <c r="Q589" i="3"/>
  <c r="O589" i="3"/>
  <c r="M589" i="3"/>
  <c r="K589" i="3"/>
  <c r="I589" i="3"/>
  <c r="G589" i="3"/>
  <c r="AZ588" i="3"/>
  <c r="AX588" i="3"/>
  <c r="AV588" i="3"/>
  <c r="AT588" i="3"/>
  <c r="AQ588" i="3"/>
  <c r="AO588" i="3"/>
  <c r="AM588" i="3"/>
  <c r="AK588" i="3"/>
  <c r="AC588" i="3"/>
  <c r="AA588" i="3"/>
  <c r="Y588" i="3"/>
  <c r="W588" i="3"/>
  <c r="U588" i="3"/>
  <c r="S588" i="3"/>
  <c r="Q588" i="3"/>
  <c r="O588" i="3"/>
  <c r="M588" i="3"/>
  <c r="K588" i="3"/>
  <c r="I588" i="3"/>
  <c r="G588" i="3"/>
  <c r="AZ587" i="3"/>
  <c r="AX587" i="3"/>
  <c r="AV587" i="3"/>
  <c r="AT587" i="3"/>
  <c r="AQ587" i="3"/>
  <c r="AO587" i="3"/>
  <c r="AM587" i="3"/>
  <c r="AK587" i="3"/>
  <c r="AC587" i="3"/>
  <c r="AA587" i="3"/>
  <c r="Y587" i="3"/>
  <c r="W587" i="3"/>
  <c r="U587" i="3"/>
  <c r="S587" i="3"/>
  <c r="Q587" i="3"/>
  <c r="O587" i="3"/>
  <c r="M587" i="3"/>
  <c r="K587" i="3"/>
  <c r="I587" i="3"/>
  <c r="G587" i="3"/>
  <c r="AZ586" i="3"/>
  <c r="AX586" i="3"/>
  <c r="AV586" i="3"/>
  <c r="AT586" i="3"/>
  <c r="AQ586" i="3"/>
  <c r="AO586" i="3"/>
  <c r="AM586" i="3"/>
  <c r="AK586" i="3"/>
  <c r="AC586" i="3"/>
  <c r="AA586" i="3"/>
  <c r="Y586" i="3"/>
  <c r="W586" i="3"/>
  <c r="U586" i="3"/>
  <c r="S586" i="3"/>
  <c r="Q586" i="3"/>
  <c r="O586" i="3"/>
  <c r="M586" i="3"/>
  <c r="K586" i="3"/>
  <c r="I586" i="3"/>
  <c r="G586" i="3"/>
  <c r="AZ585" i="3"/>
  <c r="AX585" i="3"/>
  <c r="AV585" i="3"/>
  <c r="AT585" i="3"/>
  <c r="AQ585" i="3"/>
  <c r="AO585" i="3"/>
  <c r="AM585" i="3"/>
  <c r="AK585" i="3"/>
  <c r="AC585" i="3"/>
  <c r="AA585" i="3"/>
  <c r="Y585" i="3"/>
  <c r="W585" i="3"/>
  <c r="U585" i="3"/>
  <c r="S585" i="3"/>
  <c r="Q585" i="3"/>
  <c r="O585" i="3"/>
  <c r="M585" i="3"/>
  <c r="K585" i="3"/>
  <c r="I585" i="3"/>
  <c r="G585" i="3"/>
  <c r="AZ584" i="3"/>
  <c r="AX584" i="3"/>
  <c r="AV584" i="3"/>
  <c r="AT584" i="3"/>
  <c r="AQ584" i="3"/>
  <c r="AO584" i="3"/>
  <c r="AM584" i="3"/>
  <c r="AK584" i="3"/>
  <c r="AC584" i="3"/>
  <c r="AA584" i="3"/>
  <c r="Y584" i="3"/>
  <c r="W584" i="3"/>
  <c r="U584" i="3"/>
  <c r="S584" i="3"/>
  <c r="Q584" i="3"/>
  <c r="O584" i="3"/>
  <c r="M584" i="3"/>
  <c r="K584" i="3"/>
  <c r="I584" i="3"/>
  <c r="G584" i="3"/>
  <c r="AZ583" i="3"/>
  <c r="AX583" i="3"/>
  <c r="AV583" i="3"/>
  <c r="AT583" i="3"/>
  <c r="AQ583" i="3"/>
  <c r="AO583" i="3"/>
  <c r="AM583" i="3"/>
  <c r="AK583" i="3"/>
  <c r="AC583" i="3"/>
  <c r="AA583" i="3"/>
  <c r="Y583" i="3"/>
  <c r="W583" i="3"/>
  <c r="U583" i="3"/>
  <c r="S583" i="3"/>
  <c r="Q583" i="3"/>
  <c r="O583" i="3"/>
  <c r="M583" i="3"/>
  <c r="K583" i="3"/>
  <c r="I583" i="3"/>
  <c r="G583" i="3"/>
  <c r="AZ582" i="3"/>
  <c r="AX582" i="3"/>
  <c r="AV582" i="3"/>
  <c r="AT582" i="3"/>
  <c r="AQ582" i="3"/>
  <c r="AO582" i="3"/>
  <c r="AM582" i="3"/>
  <c r="AK582" i="3"/>
  <c r="AC582" i="3"/>
  <c r="AA582" i="3"/>
  <c r="Y582" i="3"/>
  <c r="W582" i="3"/>
  <c r="U582" i="3"/>
  <c r="S582" i="3"/>
  <c r="Q582" i="3"/>
  <c r="O582" i="3"/>
  <c r="M582" i="3"/>
  <c r="K582" i="3"/>
  <c r="I582" i="3"/>
  <c r="G582" i="3"/>
  <c r="AZ581" i="3"/>
  <c r="AX581" i="3"/>
  <c r="AV581" i="3"/>
  <c r="AT581" i="3"/>
  <c r="AQ581" i="3"/>
  <c r="AO581" i="3"/>
  <c r="AM581" i="3"/>
  <c r="AK581" i="3"/>
  <c r="AC581" i="3"/>
  <c r="AA581" i="3"/>
  <c r="Y581" i="3"/>
  <c r="W581" i="3"/>
  <c r="U581" i="3"/>
  <c r="S581" i="3"/>
  <c r="Q581" i="3"/>
  <c r="O581" i="3"/>
  <c r="M581" i="3"/>
  <c r="K581" i="3"/>
  <c r="I581" i="3"/>
  <c r="G581" i="3"/>
  <c r="AZ580" i="3"/>
  <c r="AX580" i="3"/>
  <c r="AV580" i="3"/>
  <c r="AT580" i="3"/>
  <c r="AQ580" i="3"/>
  <c r="AO580" i="3"/>
  <c r="AM580" i="3"/>
  <c r="AK580" i="3"/>
  <c r="AC580" i="3"/>
  <c r="AA580" i="3"/>
  <c r="Y580" i="3"/>
  <c r="W580" i="3"/>
  <c r="U580" i="3"/>
  <c r="S580" i="3"/>
  <c r="Q580" i="3"/>
  <c r="O580" i="3"/>
  <c r="M580" i="3"/>
  <c r="K580" i="3"/>
  <c r="I580" i="3"/>
  <c r="G580" i="3"/>
  <c r="AZ579" i="3"/>
  <c r="AX579" i="3"/>
  <c r="AV579" i="3"/>
  <c r="AT579" i="3"/>
  <c r="AQ579" i="3"/>
  <c r="AO579" i="3"/>
  <c r="AM579" i="3"/>
  <c r="AK579" i="3"/>
  <c r="AC579" i="3"/>
  <c r="AA579" i="3"/>
  <c r="Y579" i="3"/>
  <c r="W579" i="3"/>
  <c r="U579" i="3"/>
  <c r="S579" i="3"/>
  <c r="Q579" i="3"/>
  <c r="O579" i="3"/>
  <c r="M579" i="3"/>
  <c r="K579" i="3"/>
  <c r="I579" i="3"/>
  <c r="G579" i="3"/>
  <c r="AZ578" i="3"/>
  <c r="AX578" i="3"/>
  <c r="AV578" i="3"/>
  <c r="AT578" i="3"/>
  <c r="AQ578" i="3"/>
  <c r="AO578" i="3"/>
  <c r="AM578" i="3"/>
  <c r="AK578" i="3"/>
  <c r="AC578" i="3"/>
  <c r="AA578" i="3"/>
  <c r="Y578" i="3"/>
  <c r="W578" i="3"/>
  <c r="U578" i="3"/>
  <c r="S578" i="3"/>
  <c r="Q578" i="3"/>
  <c r="O578" i="3"/>
  <c r="M578" i="3"/>
  <c r="K578" i="3"/>
  <c r="I578" i="3"/>
  <c r="G578" i="3"/>
  <c r="AZ577" i="3"/>
  <c r="AX577" i="3"/>
  <c r="AV577" i="3"/>
  <c r="AT577" i="3"/>
  <c r="AQ577" i="3"/>
  <c r="AO577" i="3"/>
  <c r="AM577" i="3"/>
  <c r="AK577" i="3"/>
  <c r="AC577" i="3"/>
  <c r="AA577" i="3"/>
  <c r="Y577" i="3"/>
  <c r="W577" i="3"/>
  <c r="U577" i="3"/>
  <c r="S577" i="3"/>
  <c r="Q577" i="3"/>
  <c r="O577" i="3"/>
  <c r="M577" i="3"/>
  <c r="K577" i="3"/>
  <c r="I577" i="3"/>
  <c r="G577" i="3"/>
  <c r="AZ576" i="3"/>
  <c r="AX576" i="3"/>
  <c r="AV576" i="3"/>
  <c r="AT576" i="3"/>
  <c r="AQ576" i="3"/>
  <c r="AO576" i="3"/>
  <c r="AM576" i="3"/>
  <c r="AK576" i="3"/>
  <c r="AC576" i="3"/>
  <c r="AA576" i="3"/>
  <c r="Y576" i="3"/>
  <c r="W576" i="3"/>
  <c r="U576" i="3"/>
  <c r="S576" i="3"/>
  <c r="Q576" i="3"/>
  <c r="O576" i="3"/>
  <c r="M576" i="3"/>
  <c r="K576" i="3"/>
  <c r="I576" i="3"/>
  <c r="G576" i="3"/>
  <c r="AZ575" i="3"/>
  <c r="AX575" i="3"/>
  <c r="AV575" i="3"/>
  <c r="AT575" i="3"/>
  <c r="AQ575" i="3"/>
  <c r="AO575" i="3"/>
  <c r="AM575" i="3"/>
  <c r="AK575" i="3"/>
  <c r="AC575" i="3"/>
  <c r="AA575" i="3"/>
  <c r="Y575" i="3"/>
  <c r="W575" i="3"/>
  <c r="U575" i="3"/>
  <c r="S575" i="3"/>
  <c r="Q575" i="3"/>
  <c r="O575" i="3"/>
  <c r="M575" i="3"/>
  <c r="K575" i="3"/>
  <c r="I575" i="3"/>
  <c r="G575" i="3"/>
  <c r="AZ574" i="3"/>
  <c r="AX574" i="3"/>
  <c r="AV574" i="3"/>
  <c r="AT574" i="3"/>
  <c r="AQ574" i="3"/>
  <c r="AO574" i="3"/>
  <c r="AM574" i="3"/>
  <c r="AK574" i="3"/>
  <c r="AC574" i="3"/>
  <c r="AA574" i="3"/>
  <c r="Y574" i="3"/>
  <c r="W574" i="3"/>
  <c r="U574" i="3"/>
  <c r="S574" i="3"/>
  <c r="Q574" i="3"/>
  <c r="O574" i="3"/>
  <c r="M574" i="3"/>
  <c r="K574" i="3"/>
  <c r="I574" i="3"/>
  <c r="G574" i="3"/>
  <c r="AZ573" i="3"/>
  <c r="AX573" i="3"/>
  <c r="AV573" i="3"/>
  <c r="AT573" i="3"/>
  <c r="AQ573" i="3"/>
  <c r="AO573" i="3"/>
  <c r="AM573" i="3"/>
  <c r="AK573" i="3"/>
  <c r="AC573" i="3"/>
  <c r="AA573" i="3"/>
  <c r="Y573" i="3"/>
  <c r="W573" i="3"/>
  <c r="U573" i="3"/>
  <c r="S573" i="3"/>
  <c r="Q573" i="3"/>
  <c r="O573" i="3"/>
  <c r="M573" i="3"/>
  <c r="K573" i="3"/>
  <c r="I573" i="3"/>
  <c r="G573" i="3"/>
  <c r="AZ572" i="3"/>
  <c r="AX572" i="3"/>
  <c r="AV572" i="3"/>
  <c r="AT572" i="3"/>
  <c r="AQ572" i="3"/>
  <c r="AO572" i="3"/>
  <c r="AM572" i="3"/>
  <c r="AK572" i="3"/>
  <c r="AC572" i="3"/>
  <c r="AA572" i="3"/>
  <c r="Y572" i="3"/>
  <c r="W572" i="3"/>
  <c r="U572" i="3"/>
  <c r="S572" i="3"/>
  <c r="Q572" i="3"/>
  <c r="O572" i="3"/>
  <c r="M572" i="3"/>
  <c r="K572" i="3"/>
  <c r="I572" i="3"/>
  <c r="G572" i="3"/>
  <c r="AZ571" i="3"/>
  <c r="AX571" i="3"/>
  <c r="AV571" i="3"/>
  <c r="AT571" i="3"/>
  <c r="AQ571" i="3"/>
  <c r="AO571" i="3"/>
  <c r="AM571" i="3"/>
  <c r="AK571" i="3"/>
  <c r="AC571" i="3"/>
  <c r="AA571" i="3"/>
  <c r="Y571" i="3"/>
  <c r="W571" i="3"/>
  <c r="U571" i="3"/>
  <c r="S571" i="3"/>
  <c r="Q571" i="3"/>
  <c r="O571" i="3"/>
  <c r="M571" i="3"/>
  <c r="K571" i="3"/>
  <c r="I571" i="3"/>
  <c r="G571" i="3"/>
  <c r="AZ570" i="3"/>
  <c r="AX570" i="3"/>
  <c r="AV570" i="3"/>
  <c r="AT570" i="3"/>
  <c r="AQ570" i="3"/>
  <c r="AO570" i="3"/>
  <c r="AM570" i="3"/>
  <c r="AK570" i="3"/>
  <c r="AC570" i="3"/>
  <c r="AA570" i="3"/>
  <c r="Y570" i="3"/>
  <c r="W570" i="3"/>
  <c r="U570" i="3"/>
  <c r="S570" i="3"/>
  <c r="Q570" i="3"/>
  <c r="O570" i="3"/>
  <c r="M570" i="3"/>
  <c r="K570" i="3"/>
  <c r="I570" i="3"/>
  <c r="G570" i="3"/>
  <c r="AZ569" i="3"/>
  <c r="AX569" i="3"/>
  <c r="AV569" i="3"/>
  <c r="AT569" i="3"/>
  <c r="AQ569" i="3"/>
  <c r="AO569" i="3"/>
  <c r="AM569" i="3"/>
  <c r="AK569" i="3"/>
  <c r="AC569" i="3"/>
  <c r="AA569" i="3"/>
  <c r="Y569" i="3"/>
  <c r="W569" i="3"/>
  <c r="U569" i="3"/>
  <c r="S569" i="3"/>
  <c r="Q569" i="3"/>
  <c r="O569" i="3"/>
  <c r="M569" i="3"/>
  <c r="K569" i="3"/>
  <c r="I569" i="3"/>
  <c r="G569" i="3"/>
  <c r="AZ568" i="3"/>
  <c r="AX568" i="3"/>
  <c r="AV568" i="3"/>
  <c r="AT568" i="3"/>
  <c r="AQ568" i="3"/>
  <c r="AO568" i="3"/>
  <c r="AM568" i="3"/>
  <c r="AK568" i="3"/>
  <c r="AC568" i="3"/>
  <c r="AA568" i="3"/>
  <c r="Y568" i="3"/>
  <c r="W568" i="3"/>
  <c r="U568" i="3"/>
  <c r="S568" i="3"/>
  <c r="Q568" i="3"/>
  <c r="O568" i="3"/>
  <c r="M568" i="3"/>
  <c r="K568" i="3"/>
  <c r="I568" i="3"/>
  <c r="G568" i="3"/>
  <c r="AZ567" i="3"/>
  <c r="AX567" i="3"/>
  <c r="AV567" i="3"/>
  <c r="AT567" i="3"/>
  <c r="AQ567" i="3"/>
  <c r="AO567" i="3"/>
  <c r="AM567" i="3"/>
  <c r="AK567" i="3"/>
  <c r="AC567" i="3"/>
  <c r="AA567" i="3"/>
  <c r="Y567" i="3"/>
  <c r="W567" i="3"/>
  <c r="U567" i="3"/>
  <c r="S567" i="3"/>
  <c r="Q567" i="3"/>
  <c r="O567" i="3"/>
  <c r="M567" i="3"/>
  <c r="K567" i="3"/>
  <c r="I567" i="3"/>
  <c r="G567" i="3"/>
  <c r="AZ566" i="3"/>
  <c r="AX566" i="3"/>
  <c r="AV566" i="3"/>
  <c r="AT566" i="3"/>
  <c r="AQ566" i="3"/>
  <c r="AO566" i="3"/>
  <c r="AM566" i="3"/>
  <c r="AK566" i="3"/>
  <c r="AC566" i="3"/>
  <c r="AA566" i="3"/>
  <c r="Y566" i="3"/>
  <c r="W566" i="3"/>
  <c r="U566" i="3"/>
  <c r="S566" i="3"/>
  <c r="Q566" i="3"/>
  <c r="O566" i="3"/>
  <c r="M566" i="3"/>
  <c r="K566" i="3"/>
  <c r="I566" i="3"/>
  <c r="G566" i="3"/>
  <c r="AZ565" i="3"/>
  <c r="AX565" i="3"/>
  <c r="AV565" i="3"/>
  <c r="AT565" i="3"/>
  <c r="AQ565" i="3"/>
  <c r="AO565" i="3"/>
  <c r="AM565" i="3"/>
  <c r="AK565" i="3"/>
  <c r="AC565" i="3"/>
  <c r="AA565" i="3"/>
  <c r="Y565" i="3"/>
  <c r="W565" i="3"/>
  <c r="U565" i="3"/>
  <c r="S565" i="3"/>
  <c r="Q565" i="3"/>
  <c r="O565" i="3"/>
  <c r="M565" i="3"/>
  <c r="K565" i="3"/>
  <c r="I565" i="3"/>
  <c r="G565" i="3"/>
  <c r="AZ564" i="3"/>
  <c r="AX564" i="3"/>
  <c r="AV564" i="3"/>
  <c r="AT564" i="3"/>
  <c r="AQ564" i="3"/>
  <c r="AO564" i="3"/>
  <c r="AM564" i="3"/>
  <c r="AK564" i="3"/>
  <c r="AC564" i="3"/>
  <c r="AA564" i="3"/>
  <c r="Y564" i="3"/>
  <c r="W564" i="3"/>
  <c r="U564" i="3"/>
  <c r="S564" i="3"/>
  <c r="Q564" i="3"/>
  <c r="O564" i="3"/>
  <c r="M564" i="3"/>
  <c r="K564" i="3"/>
  <c r="I564" i="3"/>
  <c r="G564" i="3"/>
  <c r="AZ563" i="3"/>
  <c r="AX563" i="3"/>
  <c r="AV563" i="3"/>
  <c r="AT563" i="3"/>
  <c r="AQ563" i="3"/>
  <c r="AO563" i="3"/>
  <c r="AM563" i="3"/>
  <c r="AK563" i="3"/>
  <c r="AC563" i="3"/>
  <c r="AA563" i="3"/>
  <c r="Y563" i="3"/>
  <c r="W563" i="3"/>
  <c r="U563" i="3"/>
  <c r="S563" i="3"/>
  <c r="Q563" i="3"/>
  <c r="O563" i="3"/>
  <c r="M563" i="3"/>
  <c r="K563" i="3"/>
  <c r="I563" i="3"/>
  <c r="G563" i="3"/>
  <c r="AZ562" i="3"/>
  <c r="AX562" i="3"/>
  <c r="AV562" i="3"/>
  <c r="AT562" i="3"/>
  <c r="AQ562" i="3"/>
  <c r="AO562" i="3"/>
  <c r="AM562" i="3"/>
  <c r="AK562" i="3"/>
  <c r="AC562" i="3"/>
  <c r="AA562" i="3"/>
  <c r="Y562" i="3"/>
  <c r="W562" i="3"/>
  <c r="U562" i="3"/>
  <c r="S562" i="3"/>
  <c r="Q562" i="3"/>
  <c r="O562" i="3"/>
  <c r="M562" i="3"/>
  <c r="K562" i="3"/>
  <c r="I562" i="3"/>
  <c r="G562" i="3"/>
  <c r="AZ561" i="3"/>
  <c r="AX561" i="3"/>
  <c r="AV561" i="3"/>
  <c r="AT561" i="3"/>
  <c r="AQ561" i="3"/>
  <c r="AO561" i="3"/>
  <c r="AM561" i="3"/>
  <c r="AK561" i="3"/>
  <c r="AC561" i="3"/>
  <c r="AA561" i="3"/>
  <c r="Y561" i="3"/>
  <c r="W561" i="3"/>
  <c r="U561" i="3"/>
  <c r="S561" i="3"/>
  <c r="Q561" i="3"/>
  <c r="O561" i="3"/>
  <c r="M561" i="3"/>
  <c r="K561" i="3"/>
  <c r="I561" i="3"/>
  <c r="G561" i="3"/>
  <c r="AZ560" i="3"/>
  <c r="AX560" i="3"/>
  <c r="AV560" i="3"/>
  <c r="AT560" i="3"/>
  <c r="AQ560" i="3"/>
  <c r="AO560" i="3"/>
  <c r="AM560" i="3"/>
  <c r="AK560" i="3"/>
  <c r="AC560" i="3"/>
  <c r="AA560" i="3"/>
  <c r="Y560" i="3"/>
  <c r="W560" i="3"/>
  <c r="U560" i="3"/>
  <c r="S560" i="3"/>
  <c r="Q560" i="3"/>
  <c r="O560" i="3"/>
  <c r="M560" i="3"/>
  <c r="K560" i="3"/>
  <c r="I560" i="3"/>
  <c r="G560" i="3"/>
  <c r="AZ559" i="3"/>
  <c r="AX559" i="3"/>
  <c r="AV559" i="3"/>
  <c r="AT559" i="3"/>
  <c r="AQ559" i="3"/>
  <c r="AO559" i="3"/>
  <c r="AM559" i="3"/>
  <c r="AK559" i="3"/>
  <c r="AC559" i="3"/>
  <c r="AA559" i="3"/>
  <c r="Y559" i="3"/>
  <c r="W559" i="3"/>
  <c r="U559" i="3"/>
  <c r="S559" i="3"/>
  <c r="Q559" i="3"/>
  <c r="O559" i="3"/>
  <c r="M559" i="3"/>
  <c r="K559" i="3"/>
  <c r="I559" i="3"/>
  <c r="G559" i="3"/>
  <c r="AZ558" i="3"/>
  <c r="AX558" i="3"/>
  <c r="AV558" i="3"/>
  <c r="AT558" i="3"/>
  <c r="AQ558" i="3"/>
  <c r="AO558" i="3"/>
  <c r="AM558" i="3"/>
  <c r="AK558" i="3"/>
  <c r="AC558" i="3"/>
  <c r="AA558" i="3"/>
  <c r="Y558" i="3"/>
  <c r="W558" i="3"/>
  <c r="U558" i="3"/>
  <c r="S558" i="3"/>
  <c r="Q558" i="3"/>
  <c r="O558" i="3"/>
  <c r="M558" i="3"/>
  <c r="K558" i="3"/>
  <c r="I558" i="3"/>
  <c r="G558" i="3"/>
  <c r="AZ557" i="3"/>
  <c r="AX557" i="3"/>
  <c r="AV557" i="3"/>
  <c r="AT557" i="3"/>
  <c r="AQ557" i="3"/>
  <c r="AO557" i="3"/>
  <c r="AM557" i="3"/>
  <c r="AK557" i="3"/>
  <c r="AC557" i="3"/>
  <c r="AA557" i="3"/>
  <c r="Y557" i="3"/>
  <c r="W557" i="3"/>
  <c r="U557" i="3"/>
  <c r="S557" i="3"/>
  <c r="Q557" i="3"/>
  <c r="O557" i="3"/>
  <c r="M557" i="3"/>
  <c r="K557" i="3"/>
  <c r="I557" i="3"/>
  <c r="G557" i="3"/>
  <c r="AZ556" i="3"/>
  <c r="AX556" i="3"/>
  <c r="AV556" i="3"/>
  <c r="AT556" i="3"/>
  <c r="AQ556" i="3"/>
  <c r="AO556" i="3"/>
  <c r="AM556" i="3"/>
  <c r="AK556" i="3"/>
  <c r="AC556" i="3"/>
  <c r="AA556" i="3"/>
  <c r="Y556" i="3"/>
  <c r="W556" i="3"/>
  <c r="U556" i="3"/>
  <c r="S556" i="3"/>
  <c r="Q556" i="3"/>
  <c r="O556" i="3"/>
  <c r="M556" i="3"/>
  <c r="K556" i="3"/>
  <c r="I556" i="3"/>
  <c r="G556" i="3"/>
  <c r="AZ555" i="3"/>
  <c r="AX555" i="3"/>
  <c r="AV555" i="3"/>
  <c r="AT555" i="3"/>
  <c r="AQ555" i="3"/>
  <c r="AO555" i="3"/>
  <c r="AM555" i="3"/>
  <c r="AK555" i="3"/>
  <c r="AC555" i="3"/>
  <c r="AA555" i="3"/>
  <c r="Y555" i="3"/>
  <c r="W555" i="3"/>
  <c r="U555" i="3"/>
  <c r="S555" i="3"/>
  <c r="Q555" i="3"/>
  <c r="O555" i="3"/>
  <c r="M555" i="3"/>
  <c r="K555" i="3"/>
  <c r="I555" i="3"/>
  <c r="G555" i="3"/>
  <c r="AZ554" i="3"/>
  <c r="AX554" i="3"/>
  <c r="AV554" i="3"/>
  <c r="AT554" i="3"/>
  <c r="AQ554" i="3"/>
  <c r="AO554" i="3"/>
  <c r="AM554" i="3"/>
  <c r="AK554" i="3"/>
  <c r="AC554" i="3"/>
  <c r="AA554" i="3"/>
  <c r="Y554" i="3"/>
  <c r="W554" i="3"/>
  <c r="U554" i="3"/>
  <c r="S554" i="3"/>
  <c r="Q554" i="3"/>
  <c r="O554" i="3"/>
  <c r="M554" i="3"/>
  <c r="K554" i="3"/>
  <c r="I554" i="3"/>
  <c r="G554" i="3"/>
  <c r="AZ553" i="3"/>
  <c r="AX553" i="3"/>
  <c r="AV553" i="3"/>
  <c r="AT553" i="3"/>
  <c r="AQ553" i="3"/>
  <c r="AO553" i="3"/>
  <c r="AM553" i="3"/>
  <c r="AK553" i="3"/>
  <c r="AC553" i="3"/>
  <c r="AA553" i="3"/>
  <c r="Y553" i="3"/>
  <c r="W553" i="3"/>
  <c r="U553" i="3"/>
  <c r="S553" i="3"/>
  <c r="Q553" i="3"/>
  <c r="O553" i="3"/>
  <c r="M553" i="3"/>
  <c r="K553" i="3"/>
  <c r="I553" i="3"/>
  <c r="G553" i="3"/>
  <c r="AZ552" i="3"/>
  <c r="AX552" i="3"/>
  <c r="AV552" i="3"/>
  <c r="AT552" i="3"/>
  <c r="AQ552" i="3"/>
  <c r="AO552" i="3"/>
  <c r="AM552" i="3"/>
  <c r="AK552" i="3"/>
  <c r="AC552" i="3"/>
  <c r="AA552" i="3"/>
  <c r="Y552" i="3"/>
  <c r="W552" i="3"/>
  <c r="U552" i="3"/>
  <c r="S552" i="3"/>
  <c r="Q552" i="3"/>
  <c r="O552" i="3"/>
  <c r="M552" i="3"/>
  <c r="K552" i="3"/>
  <c r="I552" i="3"/>
  <c r="G552" i="3"/>
  <c r="AZ551" i="3"/>
  <c r="AX551" i="3"/>
  <c r="AV551" i="3"/>
  <c r="AT551" i="3"/>
  <c r="AQ551" i="3"/>
  <c r="AO551" i="3"/>
  <c r="AM551" i="3"/>
  <c r="AK551" i="3"/>
  <c r="AC551" i="3"/>
  <c r="AA551" i="3"/>
  <c r="Y551" i="3"/>
  <c r="W551" i="3"/>
  <c r="U551" i="3"/>
  <c r="S551" i="3"/>
  <c r="Q551" i="3"/>
  <c r="O551" i="3"/>
  <c r="M551" i="3"/>
  <c r="K551" i="3"/>
  <c r="I551" i="3"/>
  <c r="G551" i="3"/>
  <c r="AZ550" i="3"/>
  <c r="AX550" i="3"/>
  <c r="AV550" i="3"/>
  <c r="AT550" i="3"/>
  <c r="AQ550" i="3"/>
  <c r="AO550" i="3"/>
  <c r="AM550" i="3"/>
  <c r="AK550" i="3"/>
  <c r="AC550" i="3"/>
  <c r="AA550" i="3"/>
  <c r="Y550" i="3"/>
  <c r="W550" i="3"/>
  <c r="U550" i="3"/>
  <c r="S550" i="3"/>
  <c r="Q550" i="3"/>
  <c r="O550" i="3"/>
  <c r="M550" i="3"/>
  <c r="K550" i="3"/>
  <c r="I550" i="3"/>
  <c r="G550" i="3"/>
  <c r="AZ549" i="3"/>
  <c r="AX549" i="3"/>
  <c r="AV549" i="3"/>
  <c r="AT549" i="3"/>
  <c r="AQ549" i="3"/>
  <c r="AO549" i="3"/>
  <c r="AM549" i="3"/>
  <c r="AK549" i="3"/>
  <c r="AC549" i="3"/>
  <c r="AA549" i="3"/>
  <c r="Y549" i="3"/>
  <c r="W549" i="3"/>
  <c r="U549" i="3"/>
  <c r="S549" i="3"/>
  <c r="Q549" i="3"/>
  <c r="O549" i="3"/>
  <c r="M549" i="3"/>
  <c r="K549" i="3"/>
  <c r="I549" i="3"/>
  <c r="G549" i="3"/>
  <c r="AZ548" i="3"/>
  <c r="AX548" i="3"/>
  <c r="AV548" i="3"/>
  <c r="AT548" i="3"/>
  <c r="AQ548" i="3"/>
  <c r="AO548" i="3"/>
  <c r="AM548" i="3"/>
  <c r="AK548" i="3"/>
  <c r="AC548" i="3"/>
  <c r="AA548" i="3"/>
  <c r="Y548" i="3"/>
  <c r="W548" i="3"/>
  <c r="U548" i="3"/>
  <c r="S548" i="3"/>
  <c r="Q548" i="3"/>
  <c r="O548" i="3"/>
  <c r="M548" i="3"/>
  <c r="K548" i="3"/>
  <c r="I548" i="3"/>
  <c r="G548" i="3"/>
  <c r="AZ547" i="3"/>
  <c r="AX547" i="3"/>
  <c r="AV547" i="3"/>
  <c r="AT547" i="3"/>
  <c r="AQ547" i="3"/>
  <c r="AO547" i="3"/>
  <c r="AM547" i="3"/>
  <c r="AK547" i="3"/>
  <c r="AC547" i="3"/>
  <c r="AA547" i="3"/>
  <c r="Y547" i="3"/>
  <c r="W547" i="3"/>
  <c r="U547" i="3"/>
  <c r="S547" i="3"/>
  <c r="Q547" i="3"/>
  <c r="O547" i="3"/>
  <c r="M547" i="3"/>
  <c r="K547" i="3"/>
  <c r="I547" i="3"/>
  <c r="G547" i="3"/>
  <c r="AZ546" i="3"/>
  <c r="AX546" i="3"/>
  <c r="AV546" i="3"/>
  <c r="AT546" i="3"/>
  <c r="AQ546" i="3"/>
  <c r="AO546" i="3"/>
  <c r="AM546" i="3"/>
  <c r="AK546" i="3"/>
  <c r="AC546" i="3"/>
  <c r="AA546" i="3"/>
  <c r="Y546" i="3"/>
  <c r="W546" i="3"/>
  <c r="U546" i="3"/>
  <c r="S546" i="3"/>
  <c r="Q546" i="3"/>
  <c r="O546" i="3"/>
  <c r="M546" i="3"/>
  <c r="K546" i="3"/>
  <c r="I546" i="3"/>
  <c r="G546" i="3"/>
  <c r="AZ545" i="3"/>
  <c r="AX545" i="3"/>
  <c r="AV545" i="3"/>
  <c r="AT545" i="3"/>
  <c r="AQ545" i="3"/>
  <c r="AO545" i="3"/>
  <c r="AM545" i="3"/>
  <c r="AK545" i="3"/>
  <c r="AC545" i="3"/>
  <c r="AA545" i="3"/>
  <c r="Y545" i="3"/>
  <c r="W545" i="3"/>
  <c r="U545" i="3"/>
  <c r="S545" i="3"/>
  <c r="Q545" i="3"/>
  <c r="O545" i="3"/>
  <c r="M545" i="3"/>
  <c r="K545" i="3"/>
  <c r="I545" i="3"/>
  <c r="G545" i="3"/>
  <c r="AZ544" i="3"/>
  <c r="AX544" i="3"/>
  <c r="AV544" i="3"/>
  <c r="AT544" i="3"/>
  <c r="AQ544" i="3"/>
  <c r="AO544" i="3"/>
  <c r="AM544" i="3"/>
  <c r="AK544" i="3"/>
  <c r="AC544" i="3"/>
  <c r="AA544" i="3"/>
  <c r="Y544" i="3"/>
  <c r="W544" i="3"/>
  <c r="U544" i="3"/>
  <c r="S544" i="3"/>
  <c r="Q544" i="3"/>
  <c r="O544" i="3"/>
  <c r="M544" i="3"/>
  <c r="K544" i="3"/>
  <c r="I544" i="3"/>
  <c r="G544" i="3"/>
  <c r="AZ543" i="3"/>
  <c r="AX543" i="3"/>
  <c r="AV543" i="3"/>
  <c r="AT543" i="3"/>
  <c r="AQ543" i="3"/>
  <c r="AO543" i="3"/>
  <c r="AM543" i="3"/>
  <c r="AK543" i="3"/>
  <c r="AC543" i="3"/>
  <c r="AA543" i="3"/>
  <c r="Y543" i="3"/>
  <c r="W543" i="3"/>
  <c r="U543" i="3"/>
  <c r="S543" i="3"/>
  <c r="Q543" i="3"/>
  <c r="O543" i="3"/>
  <c r="M543" i="3"/>
  <c r="K543" i="3"/>
  <c r="I543" i="3"/>
  <c r="G543" i="3"/>
  <c r="AZ542" i="3"/>
  <c r="AX542" i="3"/>
  <c r="AV542" i="3"/>
  <c r="AT542" i="3"/>
  <c r="AQ542" i="3"/>
  <c r="AO542" i="3"/>
  <c r="AM542" i="3"/>
  <c r="AK542" i="3"/>
  <c r="AC542" i="3"/>
  <c r="AA542" i="3"/>
  <c r="Y542" i="3"/>
  <c r="W542" i="3"/>
  <c r="U542" i="3"/>
  <c r="S542" i="3"/>
  <c r="Q542" i="3"/>
  <c r="O542" i="3"/>
  <c r="M542" i="3"/>
  <c r="K542" i="3"/>
  <c r="I542" i="3"/>
  <c r="G542" i="3"/>
  <c r="AZ541" i="3"/>
  <c r="AX541" i="3"/>
  <c r="AV541" i="3"/>
  <c r="AT541" i="3"/>
  <c r="AQ541" i="3"/>
  <c r="AO541" i="3"/>
  <c r="AM541" i="3"/>
  <c r="AK541" i="3"/>
  <c r="AC541" i="3"/>
  <c r="AA541" i="3"/>
  <c r="Y541" i="3"/>
  <c r="W541" i="3"/>
  <c r="U541" i="3"/>
  <c r="S541" i="3"/>
  <c r="Q541" i="3"/>
  <c r="O541" i="3"/>
  <c r="M541" i="3"/>
  <c r="K541" i="3"/>
  <c r="I541" i="3"/>
  <c r="G541" i="3"/>
  <c r="AZ540" i="3"/>
  <c r="AX540" i="3"/>
  <c r="AV540" i="3"/>
  <c r="AT540" i="3"/>
  <c r="AQ540" i="3"/>
  <c r="AO540" i="3"/>
  <c r="AM540" i="3"/>
  <c r="AK540" i="3"/>
  <c r="AC540" i="3"/>
  <c r="AA540" i="3"/>
  <c r="Y540" i="3"/>
  <c r="W540" i="3"/>
  <c r="U540" i="3"/>
  <c r="S540" i="3"/>
  <c r="Q540" i="3"/>
  <c r="O540" i="3"/>
  <c r="M540" i="3"/>
  <c r="K540" i="3"/>
  <c r="I540" i="3"/>
  <c r="G540" i="3"/>
  <c r="AZ539" i="3"/>
  <c r="AX539" i="3"/>
  <c r="AV539" i="3"/>
  <c r="AT539" i="3"/>
  <c r="AQ539" i="3"/>
  <c r="AO539" i="3"/>
  <c r="AM539" i="3"/>
  <c r="AK539" i="3"/>
  <c r="AC539" i="3"/>
  <c r="AA539" i="3"/>
  <c r="Y539" i="3"/>
  <c r="W539" i="3"/>
  <c r="U539" i="3"/>
  <c r="S539" i="3"/>
  <c r="Q539" i="3"/>
  <c r="O539" i="3"/>
  <c r="M539" i="3"/>
  <c r="K539" i="3"/>
  <c r="I539" i="3"/>
  <c r="G539" i="3"/>
  <c r="AZ538" i="3"/>
  <c r="AX538" i="3"/>
  <c r="AV538" i="3"/>
  <c r="AT538" i="3"/>
  <c r="AQ538" i="3"/>
  <c r="AO538" i="3"/>
  <c r="AM538" i="3"/>
  <c r="AK538" i="3"/>
  <c r="AC538" i="3"/>
  <c r="AA538" i="3"/>
  <c r="Y538" i="3"/>
  <c r="W538" i="3"/>
  <c r="U538" i="3"/>
  <c r="S538" i="3"/>
  <c r="Q538" i="3"/>
  <c r="O538" i="3"/>
  <c r="M538" i="3"/>
  <c r="K538" i="3"/>
  <c r="I538" i="3"/>
  <c r="G538" i="3"/>
  <c r="AZ537" i="3"/>
  <c r="AX537" i="3"/>
  <c r="AV537" i="3"/>
  <c r="AT537" i="3"/>
  <c r="AQ537" i="3"/>
  <c r="AO537" i="3"/>
  <c r="AM537" i="3"/>
  <c r="AK537" i="3"/>
  <c r="AC537" i="3"/>
  <c r="AA537" i="3"/>
  <c r="Y537" i="3"/>
  <c r="W537" i="3"/>
  <c r="U537" i="3"/>
  <c r="S537" i="3"/>
  <c r="Q537" i="3"/>
  <c r="O537" i="3"/>
  <c r="M537" i="3"/>
  <c r="K537" i="3"/>
  <c r="I537" i="3"/>
  <c r="G537" i="3"/>
  <c r="AZ536" i="3"/>
  <c r="AX536" i="3"/>
  <c r="AV536" i="3"/>
  <c r="AT536" i="3"/>
  <c r="AQ536" i="3"/>
  <c r="AO536" i="3"/>
  <c r="AM536" i="3"/>
  <c r="AK536" i="3"/>
  <c r="AC536" i="3"/>
  <c r="AA536" i="3"/>
  <c r="Y536" i="3"/>
  <c r="W536" i="3"/>
  <c r="U536" i="3"/>
  <c r="S536" i="3"/>
  <c r="Q536" i="3"/>
  <c r="O536" i="3"/>
  <c r="M536" i="3"/>
  <c r="K536" i="3"/>
  <c r="I536" i="3"/>
  <c r="G536" i="3"/>
  <c r="AZ535" i="3"/>
  <c r="AX535" i="3"/>
  <c r="AV535" i="3"/>
  <c r="AT535" i="3"/>
  <c r="AQ535" i="3"/>
  <c r="AO535" i="3"/>
  <c r="AM535" i="3"/>
  <c r="AK535" i="3"/>
  <c r="AC535" i="3"/>
  <c r="AA535" i="3"/>
  <c r="Y535" i="3"/>
  <c r="W535" i="3"/>
  <c r="U535" i="3"/>
  <c r="S535" i="3"/>
  <c r="Q535" i="3"/>
  <c r="O535" i="3"/>
  <c r="M535" i="3"/>
  <c r="K535" i="3"/>
  <c r="I535" i="3"/>
  <c r="G535" i="3"/>
  <c r="AZ534" i="3"/>
  <c r="AX534" i="3"/>
  <c r="AV534" i="3"/>
  <c r="AT534" i="3"/>
  <c r="AQ534" i="3"/>
  <c r="AO534" i="3"/>
  <c r="AM534" i="3"/>
  <c r="AK534" i="3"/>
  <c r="AC534" i="3"/>
  <c r="AA534" i="3"/>
  <c r="Y534" i="3"/>
  <c r="W534" i="3"/>
  <c r="U534" i="3"/>
  <c r="S534" i="3"/>
  <c r="Q534" i="3"/>
  <c r="O534" i="3"/>
  <c r="M534" i="3"/>
  <c r="K534" i="3"/>
  <c r="I534" i="3"/>
  <c r="G534" i="3"/>
  <c r="AZ533" i="3"/>
  <c r="AX533" i="3"/>
  <c r="AV533" i="3"/>
  <c r="AT533" i="3"/>
  <c r="AQ533" i="3"/>
  <c r="AO533" i="3"/>
  <c r="AM533" i="3"/>
  <c r="AK533" i="3"/>
  <c r="AC533" i="3"/>
  <c r="AA533" i="3"/>
  <c r="Y533" i="3"/>
  <c r="W533" i="3"/>
  <c r="U533" i="3"/>
  <c r="S533" i="3"/>
  <c r="Q533" i="3"/>
  <c r="O533" i="3"/>
  <c r="M533" i="3"/>
  <c r="K533" i="3"/>
  <c r="I533" i="3"/>
  <c r="G533" i="3"/>
  <c r="AZ532" i="3"/>
  <c r="AX532" i="3"/>
  <c r="AV532" i="3"/>
  <c r="AT532" i="3"/>
  <c r="AQ532" i="3"/>
  <c r="AO532" i="3"/>
  <c r="AM532" i="3"/>
  <c r="AK532" i="3"/>
  <c r="AC532" i="3"/>
  <c r="AA532" i="3"/>
  <c r="Y532" i="3"/>
  <c r="W532" i="3"/>
  <c r="U532" i="3"/>
  <c r="S532" i="3"/>
  <c r="Q532" i="3"/>
  <c r="O532" i="3"/>
  <c r="M532" i="3"/>
  <c r="K532" i="3"/>
  <c r="I532" i="3"/>
  <c r="G532" i="3"/>
  <c r="AZ531" i="3"/>
  <c r="AX531" i="3"/>
  <c r="AV531" i="3"/>
  <c r="AT531" i="3"/>
  <c r="AQ531" i="3"/>
  <c r="AO531" i="3"/>
  <c r="AM531" i="3"/>
  <c r="AK531" i="3"/>
  <c r="AC531" i="3"/>
  <c r="AA531" i="3"/>
  <c r="Y531" i="3"/>
  <c r="W531" i="3"/>
  <c r="U531" i="3"/>
  <c r="S531" i="3"/>
  <c r="Q531" i="3"/>
  <c r="O531" i="3"/>
  <c r="M531" i="3"/>
  <c r="K531" i="3"/>
  <c r="I531" i="3"/>
  <c r="G531" i="3"/>
  <c r="AZ530" i="3"/>
  <c r="AX530" i="3"/>
  <c r="AV530" i="3"/>
  <c r="AT530" i="3"/>
  <c r="AQ530" i="3"/>
  <c r="AO530" i="3"/>
  <c r="AM530" i="3"/>
  <c r="AK530" i="3"/>
  <c r="AC530" i="3"/>
  <c r="AA530" i="3"/>
  <c r="Y530" i="3"/>
  <c r="W530" i="3"/>
  <c r="U530" i="3"/>
  <c r="S530" i="3"/>
  <c r="Q530" i="3"/>
  <c r="O530" i="3"/>
  <c r="M530" i="3"/>
  <c r="K530" i="3"/>
  <c r="I530" i="3"/>
  <c r="G530" i="3"/>
  <c r="AZ529" i="3"/>
  <c r="AX529" i="3"/>
  <c r="AV529" i="3"/>
  <c r="AT529" i="3"/>
  <c r="AQ529" i="3"/>
  <c r="AO529" i="3"/>
  <c r="AM529" i="3"/>
  <c r="AK529" i="3"/>
  <c r="AC529" i="3"/>
  <c r="AA529" i="3"/>
  <c r="Y529" i="3"/>
  <c r="W529" i="3"/>
  <c r="U529" i="3"/>
  <c r="S529" i="3"/>
  <c r="Q529" i="3"/>
  <c r="O529" i="3"/>
  <c r="M529" i="3"/>
  <c r="K529" i="3"/>
  <c r="I529" i="3"/>
  <c r="G529" i="3"/>
  <c r="AZ528" i="3"/>
  <c r="AX528" i="3"/>
  <c r="AV528" i="3"/>
  <c r="AT528" i="3"/>
  <c r="AQ528" i="3"/>
  <c r="AO528" i="3"/>
  <c r="AM528" i="3"/>
  <c r="AK528" i="3"/>
  <c r="AC528" i="3"/>
  <c r="AA528" i="3"/>
  <c r="Y528" i="3"/>
  <c r="W528" i="3"/>
  <c r="U528" i="3"/>
  <c r="S528" i="3"/>
  <c r="Q528" i="3"/>
  <c r="O528" i="3"/>
  <c r="M528" i="3"/>
  <c r="K528" i="3"/>
  <c r="I528" i="3"/>
  <c r="G528" i="3"/>
  <c r="AZ527" i="3"/>
  <c r="AX527" i="3"/>
  <c r="AV527" i="3"/>
  <c r="AT527" i="3"/>
  <c r="AQ527" i="3"/>
  <c r="AO527" i="3"/>
  <c r="AM527" i="3"/>
  <c r="AK527" i="3"/>
  <c r="AC527" i="3"/>
  <c r="AA527" i="3"/>
  <c r="Y527" i="3"/>
  <c r="W527" i="3"/>
  <c r="U527" i="3"/>
  <c r="S527" i="3"/>
  <c r="Q527" i="3"/>
  <c r="O527" i="3"/>
  <c r="M527" i="3"/>
  <c r="K527" i="3"/>
  <c r="I527" i="3"/>
  <c r="G527" i="3"/>
  <c r="AZ526" i="3"/>
  <c r="AX526" i="3"/>
  <c r="AV526" i="3"/>
  <c r="AT526" i="3"/>
  <c r="AQ526" i="3"/>
  <c r="AO526" i="3"/>
  <c r="AM526" i="3"/>
  <c r="AK526" i="3"/>
  <c r="AC526" i="3"/>
  <c r="AA526" i="3"/>
  <c r="Y526" i="3"/>
  <c r="W526" i="3"/>
  <c r="U526" i="3"/>
  <c r="S526" i="3"/>
  <c r="Q526" i="3"/>
  <c r="O526" i="3"/>
  <c r="M526" i="3"/>
  <c r="K526" i="3"/>
  <c r="I526" i="3"/>
  <c r="G526" i="3"/>
  <c r="AZ525" i="3"/>
  <c r="AX525" i="3"/>
  <c r="AV525" i="3"/>
  <c r="AT525" i="3"/>
  <c r="AQ525" i="3"/>
  <c r="AO525" i="3"/>
  <c r="AM525" i="3"/>
  <c r="AK525" i="3"/>
  <c r="AC525" i="3"/>
  <c r="AA525" i="3"/>
  <c r="Y525" i="3"/>
  <c r="W525" i="3"/>
  <c r="U525" i="3"/>
  <c r="S525" i="3"/>
  <c r="Q525" i="3"/>
  <c r="O525" i="3"/>
  <c r="M525" i="3"/>
  <c r="K525" i="3"/>
  <c r="I525" i="3"/>
  <c r="G525" i="3"/>
  <c r="AZ524" i="3"/>
  <c r="AX524" i="3"/>
  <c r="AV524" i="3"/>
  <c r="AT524" i="3"/>
  <c r="AQ524" i="3"/>
  <c r="AO524" i="3"/>
  <c r="AM524" i="3"/>
  <c r="AK524" i="3"/>
  <c r="AC524" i="3"/>
  <c r="AA524" i="3"/>
  <c r="Y524" i="3"/>
  <c r="W524" i="3"/>
  <c r="U524" i="3"/>
  <c r="S524" i="3"/>
  <c r="Q524" i="3"/>
  <c r="O524" i="3"/>
  <c r="M524" i="3"/>
  <c r="K524" i="3"/>
  <c r="I524" i="3"/>
  <c r="G524" i="3"/>
  <c r="AZ523" i="3"/>
  <c r="AX523" i="3"/>
  <c r="AV523" i="3"/>
  <c r="AT523" i="3"/>
  <c r="AQ523" i="3"/>
  <c r="AO523" i="3"/>
  <c r="AM523" i="3"/>
  <c r="AK523" i="3"/>
  <c r="AC523" i="3"/>
  <c r="AA523" i="3"/>
  <c r="Y523" i="3"/>
  <c r="W523" i="3"/>
  <c r="U523" i="3"/>
  <c r="S523" i="3"/>
  <c r="Q523" i="3"/>
  <c r="O523" i="3"/>
  <c r="M523" i="3"/>
  <c r="K523" i="3"/>
  <c r="I523" i="3"/>
  <c r="G523" i="3"/>
  <c r="AZ522" i="3"/>
  <c r="AX522" i="3"/>
  <c r="AV522" i="3"/>
  <c r="AT522" i="3"/>
  <c r="AQ522" i="3"/>
  <c r="AO522" i="3"/>
  <c r="AM522" i="3"/>
  <c r="AK522" i="3"/>
  <c r="AC522" i="3"/>
  <c r="AA522" i="3"/>
  <c r="Y522" i="3"/>
  <c r="W522" i="3"/>
  <c r="U522" i="3"/>
  <c r="S522" i="3"/>
  <c r="Q522" i="3"/>
  <c r="O522" i="3"/>
  <c r="M522" i="3"/>
  <c r="K522" i="3"/>
  <c r="I522" i="3"/>
  <c r="G522" i="3"/>
  <c r="AZ521" i="3"/>
  <c r="AX521" i="3"/>
  <c r="AV521" i="3"/>
  <c r="AT521" i="3"/>
  <c r="AQ521" i="3"/>
  <c r="AO521" i="3"/>
  <c r="AM521" i="3"/>
  <c r="AK521" i="3"/>
  <c r="AC521" i="3"/>
  <c r="AA521" i="3"/>
  <c r="Y521" i="3"/>
  <c r="W521" i="3"/>
  <c r="U521" i="3"/>
  <c r="S521" i="3"/>
  <c r="Q521" i="3"/>
  <c r="O521" i="3"/>
  <c r="M521" i="3"/>
  <c r="K521" i="3"/>
  <c r="I521" i="3"/>
  <c r="G521" i="3"/>
  <c r="AZ520" i="3"/>
  <c r="AX520" i="3"/>
  <c r="AV520" i="3"/>
  <c r="AT520" i="3"/>
  <c r="AQ520" i="3"/>
  <c r="AO520" i="3"/>
  <c r="AM520" i="3"/>
  <c r="AK520" i="3"/>
  <c r="AC520" i="3"/>
  <c r="AA520" i="3"/>
  <c r="Y520" i="3"/>
  <c r="W520" i="3"/>
  <c r="U520" i="3"/>
  <c r="S520" i="3"/>
  <c r="Q520" i="3"/>
  <c r="O520" i="3"/>
  <c r="M520" i="3"/>
  <c r="K520" i="3"/>
  <c r="I520" i="3"/>
  <c r="G520" i="3"/>
  <c r="AZ519" i="3"/>
  <c r="AX519" i="3"/>
  <c r="AV519" i="3"/>
  <c r="AT519" i="3"/>
  <c r="AQ519" i="3"/>
  <c r="AO519" i="3"/>
  <c r="AM519" i="3"/>
  <c r="AK519" i="3"/>
  <c r="AC519" i="3"/>
  <c r="AA519" i="3"/>
  <c r="Y519" i="3"/>
  <c r="W519" i="3"/>
  <c r="U519" i="3"/>
  <c r="S519" i="3"/>
  <c r="Q519" i="3"/>
  <c r="O519" i="3"/>
  <c r="M519" i="3"/>
  <c r="K519" i="3"/>
  <c r="I519" i="3"/>
  <c r="G519" i="3"/>
  <c r="AZ518" i="3"/>
  <c r="AX518" i="3"/>
  <c r="AV518" i="3"/>
  <c r="AT518" i="3"/>
  <c r="AQ518" i="3"/>
  <c r="AO518" i="3"/>
  <c r="AM518" i="3"/>
  <c r="AK518" i="3"/>
  <c r="AC518" i="3"/>
  <c r="AA518" i="3"/>
  <c r="Y518" i="3"/>
  <c r="W518" i="3"/>
  <c r="U518" i="3"/>
  <c r="S518" i="3"/>
  <c r="Q518" i="3"/>
  <c r="O518" i="3"/>
  <c r="M518" i="3"/>
  <c r="K518" i="3"/>
  <c r="I518" i="3"/>
  <c r="G518" i="3"/>
  <c r="AZ517" i="3"/>
  <c r="AX517" i="3"/>
  <c r="AV517" i="3"/>
  <c r="AT517" i="3"/>
  <c r="AQ517" i="3"/>
  <c r="AO517" i="3"/>
  <c r="AM517" i="3"/>
  <c r="AK517" i="3"/>
  <c r="AC517" i="3"/>
  <c r="AA517" i="3"/>
  <c r="Y517" i="3"/>
  <c r="W517" i="3"/>
  <c r="U517" i="3"/>
  <c r="S517" i="3"/>
  <c r="Q517" i="3"/>
  <c r="O517" i="3"/>
  <c r="M517" i="3"/>
  <c r="K517" i="3"/>
  <c r="I517" i="3"/>
  <c r="G517" i="3"/>
  <c r="AZ516" i="3"/>
  <c r="AX516" i="3"/>
  <c r="AV516" i="3"/>
  <c r="AT516" i="3"/>
  <c r="AQ516" i="3"/>
  <c r="AO516" i="3"/>
  <c r="AM516" i="3"/>
  <c r="AK516" i="3"/>
  <c r="AC516" i="3"/>
  <c r="AA516" i="3"/>
  <c r="Y516" i="3"/>
  <c r="W516" i="3"/>
  <c r="U516" i="3"/>
  <c r="S516" i="3"/>
  <c r="Q516" i="3"/>
  <c r="O516" i="3"/>
  <c r="M516" i="3"/>
  <c r="K516" i="3"/>
  <c r="I516" i="3"/>
  <c r="G516" i="3"/>
  <c r="AZ515" i="3"/>
  <c r="AX515" i="3"/>
  <c r="AV515" i="3"/>
  <c r="AT515" i="3"/>
  <c r="AQ515" i="3"/>
  <c r="AO515" i="3"/>
  <c r="AM515" i="3"/>
  <c r="AK515" i="3"/>
  <c r="AC515" i="3"/>
  <c r="AA515" i="3"/>
  <c r="Y515" i="3"/>
  <c r="W515" i="3"/>
  <c r="U515" i="3"/>
  <c r="S515" i="3"/>
  <c r="Q515" i="3"/>
  <c r="O515" i="3"/>
  <c r="M515" i="3"/>
  <c r="K515" i="3"/>
  <c r="I515" i="3"/>
  <c r="G515" i="3"/>
  <c r="AZ514" i="3"/>
  <c r="AX514" i="3"/>
  <c r="AV514" i="3"/>
  <c r="AT514" i="3"/>
  <c r="AQ514" i="3"/>
  <c r="AO514" i="3"/>
  <c r="AM514" i="3"/>
  <c r="AK514" i="3"/>
  <c r="AC514" i="3"/>
  <c r="AA514" i="3"/>
  <c r="Y514" i="3"/>
  <c r="W514" i="3"/>
  <c r="U514" i="3"/>
  <c r="S514" i="3"/>
  <c r="Q514" i="3"/>
  <c r="O514" i="3"/>
  <c r="M514" i="3"/>
  <c r="K514" i="3"/>
  <c r="I514" i="3"/>
  <c r="G514" i="3"/>
  <c r="AZ513" i="3"/>
  <c r="AX513" i="3"/>
  <c r="AV513" i="3"/>
  <c r="AT513" i="3"/>
  <c r="AQ513" i="3"/>
  <c r="AO513" i="3"/>
  <c r="AM513" i="3"/>
  <c r="AK513" i="3"/>
  <c r="AC513" i="3"/>
  <c r="AA513" i="3"/>
  <c r="Y513" i="3"/>
  <c r="W513" i="3"/>
  <c r="U513" i="3"/>
  <c r="S513" i="3"/>
  <c r="Q513" i="3"/>
  <c r="O513" i="3"/>
  <c r="M513" i="3"/>
  <c r="K513" i="3"/>
  <c r="I513" i="3"/>
  <c r="G513" i="3"/>
  <c r="AZ512" i="3"/>
  <c r="AX512" i="3"/>
  <c r="AV512" i="3"/>
  <c r="AT512" i="3"/>
  <c r="AQ512" i="3"/>
  <c r="AO512" i="3"/>
  <c r="AM512" i="3"/>
  <c r="AK512" i="3"/>
  <c r="AC512" i="3"/>
  <c r="AA512" i="3"/>
  <c r="Y512" i="3"/>
  <c r="W512" i="3"/>
  <c r="U512" i="3"/>
  <c r="S512" i="3"/>
  <c r="Q512" i="3"/>
  <c r="O512" i="3"/>
  <c r="M512" i="3"/>
  <c r="K512" i="3"/>
  <c r="I512" i="3"/>
  <c r="G512" i="3"/>
  <c r="AZ511" i="3"/>
  <c r="AX511" i="3"/>
  <c r="AV511" i="3"/>
  <c r="AT511" i="3"/>
  <c r="AQ511" i="3"/>
  <c r="AO511" i="3"/>
  <c r="AM511" i="3"/>
  <c r="AK511" i="3"/>
  <c r="AC511" i="3"/>
  <c r="AA511" i="3"/>
  <c r="Y511" i="3"/>
  <c r="W511" i="3"/>
  <c r="U511" i="3"/>
  <c r="S511" i="3"/>
  <c r="Q511" i="3"/>
  <c r="O511" i="3"/>
  <c r="M511" i="3"/>
  <c r="K511" i="3"/>
  <c r="I511" i="3"/>
  <c r="G511" i="3"/>
  <c r="AZ510" i="3"/>
  <c r="AX510" i="3"/>
  <c r="AV510" i="3"/>
  <c r="AT510" i="3"/>
  <c r="AQ510" i="3"/>
  <c r="AO510" i="3"/>
  <c r="AM510" i="3"/>
  <c r="AK510" i="3"/>
  <c r="AC510" i="3"/>
  <c r="AA510" i="3"/>
  <c r="Y510" i="3"/>
  <c r="W510" i="3"/>
  <c r="U510" i="3"/>
  <c r="S510" i="3"/>
  <c r="Q510" i="3"/>
  <c r="O510" i="3"/>
  <c r="M510" i="3"/>
  <c r="K510" i="3"/>
  <c r="I510" i="3"/>
  <c r="G510" i="3"/>
  <c r="AZ509" i="3"/>
  <c r="AX509" i="3"/>
  <c r="AV509" i="3"/>
  <c r="AT509" i="3"/>
  <c r="AQ509" i="3"/>
  <c r="AO509" i="3"/>
  <c r="AM509" i="3"/>
  <c r="AK509" i="3"/>
  <c r="AC509" i="3"/>
  <c r="AA509" i="3"/>
  <c r="Y509" i="3"/>
  <c r="W509" i="3"/>
  <c r="U509" i="3"/>
  <c r="S509" i="3"/>
  <c r="Q509" i="3"/>
  <c r="O509" i="3"/>
  <c r="M509" i="3"/>
  <c r="K509" i="3"/>
  <c r="I509" i="3"/>
  <c r="G509" i="3"/>
  <c r="AZ508" i="3"/>
  <c r="AX508" i="3"/>
  <c r="AV508" i="3"/>
  <c r="AT508" i="3"/>
  <c r="AQ508" i="3"/>
  <c r="AO508" i="3"/>
  <c r="AM508" i="3"/>
  <c r="AK508" i="3"/>
  <c r="AC508" i="3"/>
  <c r="AA508" i="3"/>
  <c r="Y508" i="3"/>
  <c r="W508" i="3"/>
  <c r="U508" i="3"/>
  <c r="S508" i="3"/>
  <c r="Q508" i="3"/>
  <c r="O508" i="3"/>
  <c r="M508" i="3"/>
  <c r="K508" i="3"/>
  <c r="I508" i="3"/>
  <c r="G508" i="3"/>
  <c r="AZ507" i="3"/>
  <c r="AX507" i="3"/>
  <c r="AV507" i="3"/>
  <c r="AT507" i="3"/>
  <c r="AQ507" i="3"/>
  <c r="AO507" i="3"/>
  <c r="AM507" i="3"/>
  <c r="AK507" i="3"/>
  <c r="AC507" i="3"/>
  <c r="AA507" i="3"/>
  <c r="Y507" i="3"/>
  <c r="W507" i="3"/>
  <c r="U507" i="3"/>
  <c r="S507" i="3"/>
  <c r="Q507" i="3"/>
  <c r="O507" i="3"/>
  <c r="M507" i="3"/>
  <c r="K507" i="3"/>
  <c r="I507" i="3"/>
  <c r="G507" i="3"/>
  <c r="AZ506" i="3"/>
  <c r="AX506" i="3"/>
  <c r="AV506" i="3"/>
  <c r="AT506" i="3"/>
  <c r="AQ506" i="3"/>
  <c r="AO506" i="3"/>
  <c r="AM506" i="3"/>
  <c r="AK506" i="3"/>
  <c r="AC506" i="3"/>
  <c r="AA506" i="3"/>
  <c r="Y506" i="3"/>
  <c r="W506" i="3"/>
  <c r="U506" i="3"/>
  <c r="S506" i="3"/>
  <c r="Q506" i="3"/>
  <c r="O506" i="3"/>
  <c r="M506" i="3"/>
  <c r="K506" i="3"/>
  <c r="I506" i="3"/>
  <c r="G506" i="3"/>
  <c r="AZ505" i="3"/>
  <c r="AX505" i="3"/>
  <c r="AV505" i="3"/>
  <c r="AT505" i="3"/>
  <c r="AQ505" i="3"/>
  <c r="AO505" i="3"/>
  <c r="AM505" i="3"/>
  <c r="AK505" i="3"/>
  <c r="AC505" i="3"/>
  <c r="AA505" i="3"/>
  <c r="Y505" i="3"/>
  <c r="W505" i="3"/>
  <c r="U505" i="3"/>
  <c r="S505" i="3"/>
  <c r="Q505" i="3"/>
  <c r="O505" i="3"/>
  <c r="M505" i="3"/>
  <c r="K505" i="3"/>
  <c r="I505" i="3"/>
  <c r="G505" i="3"/>
  <c r="AZ504" i="3"/>
  <c r="AX504" i="3"/>
  <c r="AV504" i="3"/>
  <c r="AT504" i="3"/>
  <c r="AQ504" i="3"/>
  <c r="AO504" i="3"/>
  <c r="AM504" i="3"/>
  <c r="AK504" i="3"/>
  <c r="AC504" i="3"/>
  <c r="AA504" i="3"/>
  <c r="Y504" i="3"/>
  <c r="W504" i="3"/>
  <c r="U504" i="3"/>
  <c r="S504" i="3"/>
  <c r="Q504" i="3"/>
  <c r="O504" i="3"/>
  <c r="M504" i="3"/>
  <c r="K504" i="3"/>
  <c r="I504" i="3"/>
  <c r="G504" i="3"/>
  <c r="AZ503" i="3"/>
  <c r="AX503" i="3"/>
  <c r="AV503" i="3"/>
  <c r="AT503" i="3"/>
  <c r="AQ503" i="3"/>
  <c r="AO503" i="3"/>
  <c r="AM503" i="3"/>
  <c r="AK503" i="3"/>
  <c r="AC503" i="3"/>
  <c r="AA503" i="3"/>
  <c r="Y503" i="3"/>
  <c r="W503" i="3"/>
  <c r="U503" i="3"/>
  <c r="S503" i="3"/>
  <c r="Q503" i="3"/>
  <c r="O503" i="3"/>
  <c r="M503" i="3"/>
  <c r="K503" i="3"/>
  <c r="I503" i="3"/>
  <c r="G503" i="3"/>
  <c r="AZ502" i="3"/>
  <c r="AX502" i="3"/>
  <c r="AV502" i="3"/>
  <c r="AT502" i="3"/>
  <c r="AQ502" i="3"/>
  <c r="AO502" i="3"/>
  <c r="AM502" i="3"/>
  <c r="AK502" i="3"/>
  <c r="AC502" i="3"/>
  <c r="AA502" i="3"/>
  <c r="Y502" i="3"/>
  <c r="W502" i="3"/>
  <c r="U502" i="3"/>
  <c r="S502" i="3"/>
  <c r="Q502" i="3"/>
  <c r="O502" i="3"/>
  <c r="M502" i="3"/>
  <c r="K502" i="3"/>
  <c r="I502" i="3"/>
  <c r="G502" i="3"/>
  <c r="AZ501" i="3"/>
  <c r="AX501" i="3"/>
  <c r="AV501" i="3"/>
  <c r="AT501" i="3"/>
  <c r="AQ501" i="3"/>
  <c r="AO501" i="3"/>
  <c r="AM501" i="3"/>
  <c r="AK501" i="3"/>
  <c r="AC501" i="3"/>
  <c r="AA501" i="3"/>
  <c r="Y501" i="3"/>
  <c r="W501" i="3"/>
  <c r="U501" i="3"/>
  <c r="S501" i="3"/>
  <c r="Q501" i="3"/>
  <c r="O501" i="3"/>
  <c r="M501" i="3"/>
  <c r="K501" i="3"/>
  <c r="I501" i="3"/>
  <c r="G501" i="3"/>
  <c r="AZ500" i="3"/>
  <c r="AX500" i="3"/>
  <c r="AV500" i="3"/>
  <c r="AT500" i="3"/>
  <c r="AQ500" i="3"/>
  <c r="AO500" i="3"/>
  <c r="AM500" i="3"/>
  <c r="AK500" i="3"/>
  <c r="AC500" i="3"/>
  <c r="AA500" i="3"/>
  <c r="Y500" i="3"/>
  <c r="W500" i="3"/>
  <c r="U500" i="3"/>
  <c r="S500" i="3"/>
  <c r="Q500" i="3"/>
  <c r="O500" i="3"/>
  <c r="M500" i="3"/>
  <c r="K500" i="3"/>
  <c r="I500" i="3"/>
  <c r="G500" i="3"/>
  <c r="AZ499" i="3"/>
  <c r="AX499" i="3"/>
  <c r="AV499" i="3"/>
  <c r="AT499" i="3"/>
  <c r="AQ499" i="3"/>
  <c r="AO499" i="3"/>
  <c r="AM499" i="3"/>
  <c r="AK499" i="3"/>
  <c r="AC499" i="3"/>
  <c r="AA499" i="3"/>
  <c r="Y499" i="3"/>
  <c r="W499" i="3"/>
  <c r="U499" i="3"/>
  <c r="S499" i="3"/>
  <c r="Q499" i="3"/>
  <c r="O499" i="3"/>
  <c r="M499" i="3"/>
  <c r="K499" i="3"/>
  <c r="I499" i="3"/>
  <c r="G499" i="3"/>
  <c r="AZ498" i="3"/>
  <c r="AX498" i="3"/>
  <c r="AV498" i="3"/>
  <c r="AT498" i="3"/>
  <c r="AQ498" i="3"/>
  <c r="AO498" i="3"/>
  <c r="AM498" i="3"/>
  <c r="AK498" i="3"/>
  <c r="AC498" i="3"/>
  <c r="AA498" i="3"/>
  <c r="Y498" i="3"/>
  <c r="W498" i="3"/>
  <c r="U498" i="3"/>
  <c r="S498" i="3"/>
  <c r="Q498" i="3"/>
  <c r="O498" i="3"/>
  <c r="M498" i="3"/>
  <c r="K498" i="3"/>
  <c r="I498" i="3"/>
  <c r="G498" i="3"/>
  <c r="AZ497" i="3"/>
  <c r="AX497" i="3"/>
  <c r="AV497" i="3"/>
  <c r="AT497" i="3"/>
  <c r="AQ497" i="3"/>
  <c r="AO497" i="3"/>
  <c r="AM497" i="3"/>
  <c r="AK497" i="3"/>
  <c r="AC497" i="3"/>
  <c r="AA497" i="3"/>
  <c r="Y497" i="3"/>
  <c r="W497" i="3"/>
  <c r="U497" i="3"/>
  <c r="S497" i="3"/>
  <c r="Q497" i="3"/>
  <c r="O497" i="3"/>
  <c r="M497" i="3"/>
  <c r="K497" i="3"/>
  <c r="I497" i="3"/>
  <c r="G497" i="3"/>
  <c r="AZ496" i="3"/>
  <c r="AX496" i="3"/>
  <c r="AV496" i="3"/>
  <c r="AT496" i="3"/>
  <c r="AQ496" i="3"/>
  <c r="AO496" i="3"/>
  <c r="AM496" i="3"/>
  <c r="AK496" i="3"/>
  <c r="AC496" i="3"/>
  <c r="AA496" i="3"/>
  <c r="Y496" i="3"/>
  <c r="W496" i="3"/>
  <c r="U496" i="3"/>
  <c r="S496" i="3"/>
  <c r="Q496" i="3"/>
  <c r="O496" i="3"/>
  <c r="M496" i="3"/>
  <c r="K496" i="3"/>
  <c r="I496" i="3"/>
  <c r="G496" i="3"/>
  <c r="AZ495" i="3"/>
  <c r="AX495" i="3"/>
  <c r="AV495" i="3"/>
  <c r="AT495" i="3"/>
  <c r="AQ495" i="3"/>
  <c r="AO495" i="3"/>
  <c r="AM495" i="3"/>
  <c r="AK495" i="3"/>
  <c r="AC495" i="3"/>
  <c r="AA495" i="3"/>
  <c r="Y495" i="3"/>
  <c r="W495" i="3"/>
  <c r="U495" i="3"/>
  <c r="S495" i="3"/>
  <c r="Q495" i="3"/>
  <c r="O495" i="3"/>
  <c r="M495" i="3"/>
  <c r="K495" i="3"/>
  <c r="I495" i="3"/>
  <c r="G495" i="3"/>
  <c r="AZ494" i="3"/>
  <c r="AX494" i="3"/>
  <c r="AV494" i="3"/>
  <c r="AT494" i="3"/>
  <c r="AQ494" i="3"/>
  <c r="AO494" i="3"/>
  <c r="AM494" i="3"/>
  <c r="AK494" i="3"/>
  <c r="AC494" i="3"/>
  <c r="AA494" i="3"/>
  <c r="Y494" i="3"/>
  <c r="W494" i="3"/>
  <c r="U494" i="3"/>
  <c r="S494" i="3"/>
  <c r="Q494" i="3"/>
  <c r="O494" i="3"/>
  <c r="M494" i="3"/>
  <c r="K494" i="3"/>
  <c r="I494" i="3"/>
  <c r="G494" i="3"/>
  <c r="AZ493" i="3"/>
  <c r="AX493" i="3"/>
  <c r="AV493" i="3"/>
  <c r="AT493" i="3"/>
  <c r="AQ493" i="3"/>
  <c r="AO493" i="3"/>
  <c r="AM493" i="3"/>
  <c r="AK493" i="3"/>
  <c r="AC493" i="3"/>
  <c r="AA493" i="3"/>
  <c r="Y493" i="3"/>
  <c r="W493" i="3"/>
  <c r="U493" i="3"/>
  <c r="S493" i="3"/>
  <c r="Q493" i="3"/>
  <c r="O493" i="3"/>
  <c r="M493" i="3"/>
  <c r="K493" i="3"/>
  <c r="I493" i="3"/>
  <c r="G493" i="3"/>
  <c r="AZ492" i="3"/>
  <c r="AX492" i="3"/>
  <c r="AV492" i="3"/>
  <c r="AT492" i="3"/>
  <c r="AQ492" i="3"/>
  <c r="AO492" i="3"/>
  <c r="AM492" i="3"/>
  <c r="AK492" i="3"/>
  <c r="AC492" i="3"/>
  <c r="AA492" i="3"/>
  <c r="Y492" i="3"/>
  <c r="W492" i="3"/>
  <c r="U492" i="3"/>
  <c r="S492" i="3"/>
  <c r="Q492" i="3"/>
  <c r="O492" i="3"/>
  <c r="M492" i="3"/>
  <c r="K492" i="3"/>
  <c r="I492" i="3"/>
  <c r="G492" i="3"/>
  <c r="AZ491" i="3"/>
  <c r="AX491" i="3"/>
  <c r="AV491" i="3"/>
  <c r="AT491" i="3"/>
  <c r="AQ491" i="3"/>
  <c r="AO491" i="3"/>
  <c r="AM491" i="3"/>
  <c r="AK491" i="3"/>
  <c r="AC491" i="3"/>
  <c r="AA491" i="3"/>
  <c r="Y491" i="3"/>
  <c r="W491" i="3"/>
  <c r="U491" i="3"/>
  <c r="S491" i="3"/>
  <c r="Q491" i="3"/>
  <c r="O491" i="3"/>
  <c r="M491" i="3"/>
  <c r="K491" i="3"/>
  <c r="I491" i="3"/>
  <c r="G491" i="3"/>
  <c r="AZ490" i="3"/>
  <c r="AX490" i="3"/>
  <c r="AV490" i="3"/>
  <c r="AT490" i="3"/>
  <c r="AQ490" i="3"/>
  <c r="AO490" i="3"/>
  <c r="AM490" i="3"/>
  <c r="AK490" i="3"/>
  <c r="AC490" i="3"/>
  <c r="AA490" i="3"/>
  <c r="Y490" i="3"/>
  <c r="W490" i="3"/>
  <c r="U490" i="3"/>
  <c r="S490" i="3"/>
  <c r="Q490" i="3"/>
  <c r="O490" i="3"/>
  <c r="M490" i="3"/>
  <c r="K490" i="3"/>
  <c r="I490" i="3"/>
  <c r="G490" i="3"/>
  <c r="AZ489" i="3"/>
  <c r="AX489" i="3"/>
  <c r="AV489" i="3"/>
  <c r="AT489" i="3"/>
  <c r="AQ489" i="3"/>
  <c r="AO489" i="3"/>
  <c r="AM489" i="3"/>
  <c r="AK489" i="3"/>
  <c r="AC489" i="3"/>
  <c r="AA489" i="3"/>
  <c r="Y489" i="3"/>
  <c r="W489" i="3"/>
  <c r="U489" i="3"/>
  <c r="S489" i="3"/>
  <c r="Q489" i="3"/>
  <c r="O489" i="3"/>
  <c r="M489" i="3"/>
  <c r="K489" i="3"/>
  <c r="I489" i="3"/>
  <c r="G489" i="3"/>
  <c r="AZ488" i="3"/>
  <c r="AX488" i="3"/>
  <c r="AV488" i="3"/>
  <c r="AT488" i="3"/>
  <c r="AQ488" i="3"/>
  <c r="AO488" i="3"/>
  <c r="AM488" i="3"/>
  <c r="AK488" i="3"/>
  <c r="AC488" i="3"/>
  <c r="AA488" i="3"/>
  <c r="Y488" i="3"/>
  <c r="W488" i="3"/>
  <c r="U488" i="3"/>
  <c r="S488" i="3"/>
  <c r="Q488" i="3"/>
  <c r="O488" i="3"/>
  <c r="M488" i="3"/>
  <c r="K488" i="3"/>
  <c r="I488" i="3"/>
  <c r="G488" i="3"/>
  <c r="AZ487" i="3"/>
  <c r="AX487" i="3"/>
  <c r="AV487" i="3"/>
  <c r="AT487" i="3"/>
  <c r="AQ487" i="3"/>
  <c r="AO487" i="3"/>
  <c r="AM487" i="3"/>
  <c r="AK487" i="3"/>
  <c r="AC487" i="3"/>
  <c r="AA487" i="3"/>
  <c r="Y487" i="3"/>
  <c r="W487" i="3"/>
  <c r="U487" i="3"/>
  <c r="S487" i="3"/>
  <c r="Q487" i="3"/>
  <c r="O487" i="3"/>
  <c r="M487" i="3"/>
  <c r="K487" i="3"/>
  <c r="I487" i="3"/>
  <c r="G487" i="3"/>
  <c r="AZ486" i="3"/>
  <c r="AX486" i="3"/>
  <c r="AV486" i="3"/>
  <c r="AT486" i="3"/>
  <c r="AQ486" i="3"/>
  <c r="AO486" i="3"/>
  <c r="AM486" i="3"/>
  <c r="AK486" i="3"/>
  <c r="AC486" i="3"/>
  <c r="AA486" i="3"/>
  <c r="Y486" i="3"/>
  <c r="W486" i="3"/>
  <c r="U486" i="3"/>
  <c r="S486" i="3"/>
  <c r="Q486" i="3"/>
  <c r="O486" i="3"/>
  <c r="M486" i="3"/>
  <c r="K486" i="3"/>
  <c r="I486" i="3"/>
  <c r="G486" i="3"/>
  <c r="AZ485" i="3"/>
  <c r="AX485" i="3"/>
  <c r="AV485" i="3"/>
  <c r="AT485" i="3"/>
  <c r="AQ485" i="3"/>
  <c r="AO485" i="3"/>
  <c r="AM485" i="3"/>
  <c r="AK485" i="3"/>
  <c r="AC485" i="3"/>
  <c r="AA485" i="3"/>
  <c r="Y485" i="3"/>
  <c r="W485" i="3"/>
  <c r="U485" i="3"/>
  <c r="S485" i="3"/>
  <c r="Q485" i="3"/>
  <c r="O485" i="3"/>
  <c r="M485" i="3"/>
  <c r="K485" i="3"/>
  <c r="I485" i="3"/>
  <c r="G485" i="3"/>
  <c r="AZ484" i="3"/>
  <c r="AX484" i="3"/>
  <c r="AV484" i="3"/>
  <c r="AT484" i="3"/>
  <c r="AQ484" i="3"/>
  <c r="AO484" i="3"/>
  <c r="AM484" i="3"/>
  <c r="AK484" i="3"/>
  <c r="AC484" i="3"/>
  <c r="AA484" i="3"/>
  <c r="Y484" i="3"/>
  <c r="W484" i="3"/>
  <c r="U484" i="3"/>
  <c r="S484" i="3"/>
  <c r="Q484" i="3"/>
  <c r="O484" i="3"/>
  <c r="M484" i="3"/>
  <c r="K484" i="3"/>
  <c r="I484" i="3"/>
  <c r="G484" i="3"/>
  <c r="AZ483" i="3"/>
  <c r="AX483" i="3"/>
  <c r="AV483" i="3"/>
  <c r="AT483" i="3"/>
  <c r="AQ483" i="3"/>
  <c r="AO483" i="3"/>
  <c r="AM483" i="3"/>
  <c r="AK483" i="3"/>
  <c r="AC483" i="3"/>
  <c r="AA483" i="3"/>
  <c r="Y483" i="3"/>
  <c r="W483" i="3"/>
  <c r="U483" i="3"/>
  <c r="S483" i="3"/>
  <c r="Q483" i="3"/>
  <c r="O483" i="3"/>
  <c r="M483" i="3"/>
  <c r="K483" i="3"/>
  <c r="I483" i="3"/>
  <c r="G483" i="3"/>
  <c r="AZ482" i="3"/>
  <c r="AX482" i="3"/>
  <c r="AV482" i="3"/>
  <c r="AT482" i="3"/>
  <c r="AQ482" i="3"/>
  <c r="AO482" i="3"/>
  <c r="AM482" i="3"/>
  <c r="AK482" i="3"/>
  <c r="AC482" i="3"/>
  <c r="AA482" i="3"/>
  <c r="Y482" i="3"/>
  <c r="W482" i="3"/>
  <c r="U482" i="3"/>
  <c r="S482" i="3"/>
  <c r="Q482" i="3"/>
  <c r="O482" i="3"/>
  <c r="M482" i="3"/>
  <c r="K482" i="3"/>
  <c r="I482" i="3"/>
  <c r="G482" i="3"/>
  <c r="AZ481" i="3"/>
  <c r="AX481" i="3"/>
  <c r="AV481" i="3"/>
  <c r="AT481" i="3"/>
  <c r="AQ481" i="3"/>
  <c r="AO481" i="3"/>
  <c r="AM481" i="3"/>
  <c r="AK481" i="3"/>
  <c r="AC481" i="3"/>
  <c r="AA481" i="3"/>
  <c r="Y481" i="3"/>
  <c r="W481" i="3"/>
  <c r="U481" i="3"/>
  <c r="S481" i="3"/>
  <c r="Q481" i="3"/>
  <c r="O481" i="3"/>
  <c r="M481" i="3"/>
  <c r="K481" i="3"/>
  <c r="I481" i="3"/>
  <c r="G481" i="3"/>
  <c r="AZ480" i="3"/>
  <c r="AX480" i="3"/>
  <c r="AV480" i="3"/>
  <c r="AT480" i="3"/>
  <c r="AQ480" i="3"/>
  <c r="AO480" i="3"/>
  <c r="AM480" i="3"/>
  <c r="AK480" i="3"/>
  <c r="AC480" i="3"/>
  <c r="AA480" i="3"/>
  <c r="Y480" i="3"/>
  <c r="W480" i="3"/>
  <c r="U480" i="3"/>
  <c r="S480" i="3"/>
  <c r="Q480" i="3"/>
  <c r="O480" i="3"/>
  <c r="M480" i="3"/>
  <c r="K480" i="3"/>
  <c r="I480" i="3"/>
  <c r="G480" i="3"/>
  <c r="AZ479" i="3"/>
  <c r="AX479" i="3"/>
  <c r="AV479" i="3"/>
  <c r="AT479" i="3"/>
  <c r="AQ479" i="3"/>
  <c r="AO479" i="3"/>
  <c r="AM479" i="3"/>
  <c r="AK479" i="3"/>
  <c r="AC479" i="3"/>
  <c r="AA479" i="3"/>
  <c r="Y479" i="3"/>
  <c r="W479" i="3"/>
  <c r="U479" i="3"/>
  <c r="S479" i="3"/>
  <c r="Q479" i="3"/>
  <c r="O479" i="3"/>
  <c r="M479" i="3"/>
  <c r="K479" i="3"/>
  <c r="I479" i="3"/>
  <c r="G479" i="3"/>
  <c r="AZ478" i="3"/>
  <c r="AX478" i="3"/>
  <c r="AV478" i="3"/>
  <c r="AT478" i="3"/>
  <c r="AQ478" i="3"/>
  <c r="AO478" i="3"/>
  <c r="AM478" i="3"/>
  <c r="AK478" i="3"/>
  <c r="AC478" i="3"/>
  <c r="AA478" i="3"/>
  <c r="Y478" i="3"/>
  <c r="W478" i="3"/>
  <c r="U478" i="3"/>
  <c r="S478" i="3"/>
  <c r="Q478" i="3"/>
  <c r="O478" i="3"/>
  <c r="M478" i="3"/>
  <c r="K478" i="3"/>
  <c r="I478" i="3"/>
  <c r="G478" i="3"/>
  <c r="AZ477" i="3"/>
  <c r="AX477" i="3"/>
  <c r="AV477" i="3"/>
  <c r="AT477" i="3"/>
  <c r="AQ477" i="3"/>
  <c r="AO477" i="3"/>
  <c r="AM477" i="3"/>
  <c r="AK477" i="3"/>
  <c r="AC477" i="3"/>
  <c r="AA477" i="3"/>
  <c r="Y477" i="3"/>
  <c r="W477" i="3"/>
  <c r="U477" i="3"/>
  <c r="S477" i="3"/>
  <c r="Q477" i="3"/>
  <c r="O477" i="3"/>
  <c r="M477" i="3"/>
  <c r="K477" i="3"/>
  <c r="I477" i="3"/>
  <c r="G477" i="3"/>
  <c r="AZ476" i="3"/>
  <c r="AX476" i="3"/>
  <c r="AV476" i="3"/>
  <c r="AT476" i="3"/>
  <c r="AQ476" i="3"/>
  <c r="AO476" i="3"/>
  <c r="AM476" i="3"/>
  <c r="AK476" i="3"/>
  <c r="AC476" i="3"/>
  <c r="AA476" i="3"/>
  <c r="Y476" i="3"/>
  <c r="W476" i="3"/>
  <c r="U476" i="3"/>
  <c r="S476" i="3"/>
  <c r="Q476" i="3"/>
  <c r="O476" i="3"/>
  <c r="M476" i="3"/>
  <c r="K476" i="3"/>
  <c r="I476" i="3"/>
  <c r="G476" i="3"/>
  <c r="AZ475" i="3"/>
  <c r="AX475" i="3"/>
  <c r="AV475" i="3"/>
  <c r="AT475" i="3"/>
  <c r="AQ475" i="3"/>
  <c r="AO475" i="3"/>
  <c r="AM475" i="3"/>
  <c r="AK475" i="3"/>
  <c r="AC475" i="3"/>
  <c r="AA475" i="3"/>
  <c r="Y475" i="3"/>
  <c r="W475" i="3"/>
  <c r="U475" i="3"/>
  <c r="S475" i="3"/>
  <c r="Q475" i="3"/>
  <c r="O475" i="3"/>
  <c r="M475" i="3"/>
  <c r="K475" i="3"/>
  <c r="I475" i="3"/>
  <c r="G475" i="3"/>
  <c r="AZ474" i="3"/>
  <c r="AX474" i="3"/>
  <c r="AV474" i="3"/>
  <c r="AT474" i="3"/>
  <c r="AQ474" i="3"/>
  <c r="AO474" i="3"/>
  <c r="AM474" i="3"/>
  <c r="AK474" i="3"/>
  <c r="AC474" i="3"/>
  <c r="AA474" i="3"/>
  <c r="Y474" i="3"/>
  <c r="W474" i="3"/>
  <c r="U474" i="3"/>
  <c r="S474" i="3"/>
  <c r="Q474" i="3"/>
  <c r="O474" i="3"/>
  <c r="M474" i="3"/>
  <c r="K474" i="3"/>
  <c r="I474" i="3"/>
  <c r="G474" i="3"/>
  <c r="AZ473" i="3"/>
  <c r="AX473" i="3"/>
  <c r="AV473" i="3"/>
  <c r="AT473" i="3"/>
  <c r="AQ473" i="3"/>
  <c r="AO473" i="3"/>
  <c r="AM473" i="3"/>
  <c r="AK473" i="3"/>
  <c r="AC473" i="3"/>
  <c r="AA473" i="3"/>
  <c r="Y473" i="3"/>
  <c r="W473" i="3"/>
  <c r="U473" i="3"/>
  <c r="S473" i="3"/>
  <c r="Q473" i="3"/>
  <c r="O473" i="3"/>
  <c r="M473" i="3"/>
  <c r="K473" i="3"/>
  <c r="I473" i="3"/>
  <c r="G473" i="3"/>
  <c r="AZ472" i="3"/>
  <c r="AX472" i="3"/>
  <c r="AV472" i="3"/>
  <c r="AT472" i="3"/>
  <c r="AQ472" i="3"/>
  <c r="AO472" i="3"/>
  <c r="AM472" i="3"/>
  <c r="AK472" i="3"/>
  <c r="AC472" i="3"/>
  <c r="AA472" i="3"/>
  <c r="Y472" i="3"/>
  <c r="W472" i="3"/>
  <c r="U472" i="3"/>
  <c r="S472" i="3"/>
  <c r="Q472" i="3"/>
  <c r="O472" i="3"/>
  <c r="M472" i="3"/>
  <c r="K472" i="3"/>
  <c r="I472" i="3"/>
  <c r="G472" i="3"/>
  <c r="AZ471" i="3"/>
  <c r="AX471" i="3"/>
  <c r="AV471" i="3"/>
  <c r="AT471" i="3"/>
  <c r="AQ471" i="3"/>
  <c r="AO471" i="3"/>
  <c r="AM471" i="3"/>
  <c r="AK471" i="3"/>
  <c r="AC471" i="3"/>
  <c r="AA471" i="3"/>
  <c r="Y471" i="3"/>
  <c r="W471" i="3"/>
  <c r="U471" i="3"/>
  <c r="S471" i="3"/>
  <c r="Q471" i="3"/>
  <c r="O471" i="3"/>
  <c r="M471" i="3"/>
  <c r="K471" i="3"/>
  <c r="I471" i="3"/>
  <c r="G471" i="3"/>
  <c r="AZ470" i="3"/>
  <c r="AX470" i="3"/>
  <c r="AV470" i="3"/>
  <c r="AT470" i="3"/>
  <c r="AQ470" i="3"/>
  <c r="AO470" i="3"/>
  <c r="AM470" i="3"/>
  <c r="AK470" i="3"/>
  <c r="AC470" i="3"/>
  <c r="AA470" i="3"/>
  <c r="Y470" i="3"/>
  <c r="W470" i="3"/>
  <c r="U470" i="3"/>
  <c r="S470" i="3"/>
  <c r="Q470" i="3"/>
  <c r="O470" i="3"/>
  <c r="M470" i="3"/>
  <c r="K470" i="3"/>
  <c r="I470" i="3"/>
  <c r="G470" i="3"/>
  <c r="AZ469" i="3"/>
  <c r="AX469" i="3"/>
  <c r="AV469" i="3"/>
  <c r="AT469" i="3"/>
  <c r="AQ469" i="3"/>
  <c r="AO469" i="3"/>
  <c r="AM469" i="3"/>
  <c r="AK469" i="3"/>
  <c r="AC469" i="3"/>
  <c r="AA469" i="3"/>
  <c r="Y469" i="3"/>
  <c r="W469" i="3"/>
  <c r="U469" i="3"/>
  <c r="S469" i="3"/>
  <c r="Q469" i="3"/>
  <c r="O469" i="3"/>
  <c r="M469" i="3"/>
  <c r="K469" i="3"/>
  <c r="I469" i="3"/>
  <c r="G469" i="3"/>
  <c r="AZ468" i="3"/>
  <c r="AX468" i="3"/>
  <c r="AV468" i="3"/>
  <c r="AT468" i="3"/>
  <c r="AQ468" i="3"/>
  <c r="AO468" i="3"/>
  <c r="AM468" i="3"/>
  <c r="AK468" i="3"/>
  <c r="AC468" i="3"/>
  <c r="AA468" i="3"/>
  <c r="Y468" i="3"/>
  <c r="W468" i="3"/>
  <c r="U468" i="3"/>
  <c r="S468" i="3"/>
  <c r="Q468" i="3"/>
  <c r="O468" i="3"/>
  <c r="M468" i="3"/>
  <c r="K468" i="3"/>
  <c r="I468" i="3"/>
  <c r="G468" i="3"/>
  <c r="AZ467" i="3"/>
  <c r="AX467" i="3"/>
  <c r="AV467" i="3"/>
  <c r="AT467" i="3"/>
  <c r="AQ467" i="3"/>
  <c r="AO467" i="3"/>
  <c r="AM467" i="3"/>
  <c r="AK467" i="3"/>
  <c r="AC467" i="3"/>
  <c r="AA467" i="3"/>
  <c r="Y467" i="3"/>
  <c r="W467" i="3"/>
  <c r="U467" i="3"/>
  <c r="S467" i="3"/>
  <c r="Q467" i="3"/>
  <c r="O467" i="3"/>
  <c r="M467" i="3"/>
  <c r="K467" i="3"/>
  <c r="I467" i="3"/>
  <c r="G467" i="3"/>
  <c r="AZ466" i="3"/>
  <c r="AX466" i="3"/>
  <c r="AV466" i="3"/>
  <c r="AT466" i="3"/>
  <c r="AQ466" i="3"/>
  <c r="AO466" i="3"/>
  <c r="AM466" i="3"/>
  <c r="AK466" i="3"/>
  <c r="AC466" i="3"/>
  <c r="AA466" i="3"/>
  <c r="Y466" i="3"/>
  <c r="W466" i="3"/>
  <c r="U466" i="3"/>
  <c r="S466" i="3"/>
  <c r="Q466" i="3"/>
  <c r="O466" i="3"/>
  <c r="M466" i="3"/>
  <c r="K466" i="3"/>
  <c r="I466" i="3"/>
  <c r="G466" i="3"/>
  <c r="AZ465" i="3"/>
  <c r="AX465" i="3"/>
  <c r="AV465" i="3"/>
  <c r="AT465" i="3"/>
  <c r="AQ465" i="3"/>
  <c r="AO465" i="3"/>
  <c r="AM465" i="3"/>
  <c r="AK465" i="3"/>
  <c r="AC465" i="3"/>
  <c r="AA465" i="3"/>
  <c r="Y465" i="3"/>
  <c r="W465" i="3"/>
  <c r="U465" i="3"/>
  <c r="S465" i="3"/>
  <c r="Q465" i="3"/>
  <c r="O465" i="3"/>
  <c r="M465" i="3"/>
  <c r="K465" i="3"/>
  <c r="I465" i="3"/>
  <c r="G465" i="3"/>
  <c r="AZ464" i="3"/>
  <c r="AX464" i="3"/>
  <c r="AV464" i="3"/>
  <c r="AT464" i="3"/>
  <c r="AQ464" i="3"/>
  <c r="AO464" i="3"/>
  <c r="AM464" i="3"/>
  <c r="AK464" i="3"/>
  <c r="AC464" i="3"/>
  <c r="AA464" i="3"/>
  <c r="Y464" i="3"/>
  <c r="W464" i="3"/>
  <c r="U464" i="3"/>
  <c r="S464" i="3"/>
  <c r="Q464" i="3"/>
  <c r="O464" i="3"/>
  <c r="M464" i="3"/>
  <c r="K464" i="3"/>
  <c r="I464" i="3"/>
  <c r="G464" i="3"/>
  <c r="AZ463" i="3"/>
  <c r="AX463" i="3"/>
  <c r="AV463" i="3"/>
  <c r="AT463" i="3"/>
  <c r="AQ463" i="3"/>
  <c r="AO463" i="3"/>
  <c r="AM463" i="3"/>
  <c r="AK463" i="3"/>
  <c r="AC463" i="3"/>
  <c r="AA463" i="3"/>
  <c r="Y463" i="3"/>
  <c r="W463" i="3"/>
  <c r="U463" i="3"/>
  <c r="S463" i="3"/>
  <c r="Q463" i="3"/>
  <c r="O463" i="3"/>
  <c r="M463" i="3"/>
  <c r="K463" i="3"/>
  <c r="I463" i="3"/>
  <c r="G463" i="3"/>
  <c r="AZ462" i="3"/>
  <c r="AX462" i="3"/>
  <c r="AV462" i="3"/>
  <c r="AT462" i="3"/>
  <c r="AQ462" i="3"/>
  <c r="AO462" i="3"/>
  <c r="AM462" i="3"/>
  <c r="AK462" i="3"/>
  <c r="AC462" i="3"/>
  <c r="AA462" i="3"/>
  <c r="Y462" i="3"/>
  <c r="W462" i="3"/>
  <c r="U462" i="3"/>
  <c r="S462" i="3"/>
  <c r="Q462" i="3"/>
  <c r="O462" i="3"/>
  <c r="M462" i="3"/>
  <c r="K462" i="3"/>
  <c r="I462" i="3"/>
  <c r="G462" i="3"/>
  <c r="AZ461" i="3"/>
  <c r="AX461" i="3"/>
  <c r="AV461" i="3"/>
  <c r="AT461" i="3"/>
  <c r="AQ461" i="3"/>
  <c r="AO461" i="3"/>
  <c r="AM461" i="3"/>
  <c r="AK461" i="3"/>
  <c r="AC461" i="3"/>
  <c r="AA461" i="3"/>
  <c r="Y461" i="3"/>
  <c r="W461" i="3"/>
  <c r="U461" i="3"/>
  <c r="S461" i="3"/>
  <c r="Q461" i="3"/>
  <c r="O461" i="3"/>
  <c r="M461" i="3"/>
  <c r="K461" i="3"/>
  <c r="I461" i="3"/>
  <c r="G461" i="3"/>
  <c r="AZ460" i="3"/>
  <c r="AX460" i="3"/>
  <c r="AV460" i="3"/>
  <c r="AT460" i="3"/>
  <c r="AQ460" i="3"/>
  <c r="AO460" i="3"/>
  <c r="AM460" i="3"/>
  <c r="AK460" i="3"/>
  <c r="AC460" i="3"/>
  <c r="AA460" i="3"/>
  <c r="Y460" i="3"/>
  <c r="W460" i="3"/>
  <c r="U460" i="3"/>
  <c r="S460" i="3"/>
  <c r="Q460" i="3"/>
  <c r="O460" i="3"/>
  <c r="M460" i="3"/>
  <c r="K460" i="3"/>
  <c r="I460" i="3"/>
  <c r="G460" i="3"/>
  <c r="AZ459" i="3"/>
  <c r="AX459" i="3"/>
  <c r="AV459" i="3"/>
  <c r="AT459" i="3"/>
  <c r="AQ459" i="3"/>
  <c r="AO459" i="3"/>
  <c r="AM459" i="3"/>
  <c r="AK459" i="3"/>
  <c r="AC459" i="3"/>
  <c r="AA459" i="3"/>
  <c r="Y459" i="3"/>
  <c r="W459" i="3"/>
  <c r="U459" i="3"/>
  <c r="S459" i="3"/>
  <c r="Q459" i="3"/>
  <c r="O459" i="3"/>
  <c r="M459" i="3"/>
  <c r="K459" i="3"/>
  <c r="I459" i="3"/>
  <c r="G459" i="3"/>
  <c r="AZ458" i="3"/>
  <c r="AX458" i="3"/>
  <c r="AV458" i="3"/>
  <c r="AT458" i="3"/>
  <c r="AQ458" i="3"/>
  <c r="AO458" i="3"/>
  <c r="AM458" i="3"/>
  <c r="AK458" i="3"/>
  <c r="AC458" i="3"/>
  <c r="AA458" i="3"/>
  <c r="Y458" i="3"/>
  <c r="W458" i="3"/>
  <c r="U458" i="3"/>
  <c r="S458" i="3"/>
  <c r="Q458" i="3"/>
  <c r="O458" i="3"/>
  <c r="M458" i="3"/>
  <c r="K458" i="3"/>
  <c r="I458" i="3"/>
  <c r="G458" i="3"/>
  <c r="AZ457" i="3"/>
  <c r="AX457" i="3"/>
  <c r="AV457" i="3"/>
  <c r="AT457" i="3"/>
  <c r="AQ457" i="3"/>
  <c r="AO457" i="3"/>
  <c r="AM457" i="3"/>
  <c r="AK457" i="3"/>
  <c r="AC457" i="3"/>
  <c r="AA457" i="3"/>
  <c r="Y457" i="3"/>
  <c r="W457" i="3"/>
  <c r="U457" i="3"/>
  <c r="S457" i="3"/>
  <c r="Q457" i="3"/>
  <c r="O457" i="3"/>
  <c r="M457" i="3"/>
  <c r="K457" i="3"/>
  <c r="I457" i="3"/>
  <c r="G457" i="3"/>
  <c r="AZ456" i="3"/>
  <c r="AX456" i="3"/>
  <c r="AV456" i="3"/>
  <c r="AT456" i="3"/>
  <c r="AQ456" i="3"/>
  <c r="AO456" i="3"/>
  <c r="AM456" i="3"/>
  <c r="AK456" i="3"/>
  <c r="AC456" i="3"/>
  <c r="AA456" i="3"/>
  <c r="Y456" i="3"/>
  <c r="W456" i="3"/>
  <c r="U456" i="3"/>
  <c r="S456" i="3"/>
  <c r="Q456" i="3"/>
  <c r="O456" i="3"/>
  <c r="M456" i="3"/>
  <c r="K456" i="3"/>
  <c r="I456" i="3"/>
  <c r="G456" i="3"/>
  <c r="AZ455" i="3"/>
  <c r="AX455" i="3"/>
  <c r="AV455" i="3"/>
  <c r="AT455" i="3"/>
  <c r="AQ455" i="3"/>
  <c r="AO455" i="3"/>
  <c r="AM455" i="3"/>
  <c r="AK455" i="3"/>
  <c r="AC455" i="3"/>
  <c r="AA455" i="3"/>
  <c r="Y455" i="3"/>
  <c r="W455" i="3"/>
  <c r="U455" i="3"/>
  <c r="S455" i="3"/>
  <c r="Q455" i="3"/>
  <c r="O455" i="3"/>
  <c r="M455" i="3"/>
  <c r="K455" i="3"/>
  <c r="I455" i="3"/>
  <c r="G455" i="3"/>
  <c r="AZ454" i="3"/>
  <c r="AX454" i="3"/>
  <c r="AV454" i="3"/>
  <c r="AT454" i="3"/>
  <c r="AQ454" i="3"/>
  <c r="AO454" i="3"/>
  <c r="AM454" i="3"/>
  <c r="AK454" i="3"/>
  <c r="AC454" i="3"/>
  <c r="AA454" i="3"/>
  <c r="Y454" i="3"/>
  <c r="W454" i="3"/>
  <c r="U454" i="3"/>
  <c r="S454" i="3"/>
  <c r="Q454" i="3"/>
  <c r="O454" i="3"/>
  <c r="M454" i="3"/>
  <c r="K454" i="3"/>
  <c r="I454" i="3"/>
  <c r="G454" i="3"/>
  <c r="AZ453" i="3"/>
  <c r="AX453" i="3"/>
  <c r="AV453" i="3"/>
  <c r="AT453" i="3"/>
  <c r="AQ453" i="3"/>
  <c r="AO453" i="3"/>
  <c r="AM453" i="3"/>
  <c r="AK453" i="3"/>
  <c r="AC453" i="3"/>
  <c r="AA453" i="3"/>
  <c r="Y453" i="3"/>
  <c r="W453" i="3"/>
  <c r="U453" i="3"/>
  <c r="S453" i="3"/>
  <c r="Q453" i="3"/>
  <c r="O453" i="3"/>
  <c r="M453" i="3"/>
  <c r="K453" i="3"/>
  <c r="I453" i="3"/>
  <c r="G453" i="3"/>
  <c r="AZ452" i="3"/>
  <c r="AX452" i="3"/>
  <c r="AV452" i="3"/>
  <c r="AT452" i="3"/>
  <c r="AQ452" i="3"/>
  <c r="AO452" i="3"/>
  <c r="AM452" i="3"/>
  <c r="AK452" i="3"/>
  <c r="AC452" i="3"/>
  <c r="AA452" i="3"/>
  <c r="Y452" i="3"/>
  <c r="W452" i="3"/>
  <c r="U452" i="3"/>
  <c r="S452" i="3"/>
  <c r="Q452" i="3"/>
  <c r="O452" i="3"/>
  <c r="M452" i="3"/>
  <c r="K452" i="3"/>
  <c r="I452" i="3"/>
  <c r="G452" i="3"/>
  <c r="AZ451" i="3"/>
  <c r="AX451" i="3"/>
  <c r="AV451" i="3"/>
  <c r="AT451" i="3"/>
  <c r="AQ451" i="3"/>
  <c r="AO451" i="3"/>
  <c r="AM451" i="3"/>
  <c r="AK451" i="3"/>
  <c r="AC451" i="3"/>
  <c r="AA451" i="3"/>
  <c r="Y451" i="3"/>
  <c r="W451" i="3"/>
  <c r="U451" i="3"/>
  <c r="S451" i="3"/>
  <c r="Q451" i="3"/>
  <c r="O451" i="3"/>
  <c r="M451" i="3"/>
  <c r="K451" i="3"/>
  <c r="I451" i="3"/>
  <c r="G451" i="3"/>
  <c r="AZ450" i="3"/>
  <c r="AX450" i="3"/>
  <c r="AV450" i="3"/>
  <c r="AT450" i="3"/>
  <c r="AQ450" i="3"/>
  <c r="AO450" i="3"/>
  <c r="AM450" i="3"/>
  <c r="AK450" i="3"/>
  <c r="AC450" i="3"/>
  <c r="AA450" i="3"/>
  <c r="Y450" i="3"/>
  <c r="W450" i="3"/>
  <c r="U450" i="3"/>
  <c r="S450" i="3"/>
  <c r="Q450" i="3"/>
  <c r="O450" i="3"/>
  <c r="M450" i="3"/>
  <c r="K450" i="3"/>
  <c r="I450" i="3"/>
  <c r="G450" i="3"/>
  <c r="AZ449" i="3"/>
  <c r="AX449" i="3"/>
  <c r="AV449" i="3"/>
  <c r="AT449" i="3"/>
  <c r="AQ449" i="3"/>
  <c r="AO449" i="3"/>
  <c r="AM449" i="3"/>
  <c r="AK449" i="3"/>
  <c r="AC449" i="3"/>
  <c r="AA449" i="3"/>
  <c r="Y449" i="3"/>
  <c r="W449" i="3"/>
  <c r="U449" i="3"/>
  <c r="S449" i="3"/>
  <c r="Q449" i="3"/>
  <c r="O449" i="3"/>
  <c r="M449" i="3"/>
  <c r="K449" i="3"/>
  <c r="I449" i="3"/>
  <c r="G449" i="3"/>
  <c r="AZ448" i="3"/>
  <c r="AX448" i="3"/>
  <c r="AV448" i="3"/>
  <c r="AT448" i="3"/>
  <c r="AQ448" i="3"/>
  <c r="AO448" i="3"/>
  <c r="AM448" i="3"/>
  <c r="AK448" i="3"/>
  <c r="AC448" i="3"/>
  <c r="AA448" i="3"/>
  <c r="Y448" i="3"/>
  <c r="W448" i="3"/>
  <c r="U448" i="3"/>
  <c r="S448" i="3"/>
  <c r="Q448" i="3"/>
  <c r="O448" i="3"/>
  <c r="M448" i="3"/>
  <c r="K448" i="3"/>
  <c r="I448" i="3"/>
  <c r="G448" i="3"/>
  <c r="AZ447" i="3"/>
  <c r="AX447" i="3"/>
  <c r="AV447" i="3"/>
  <c r="AT447" i="3"/>
  <c r="AQ447" i="3"/>
  <c r="AO447" i="3"/>
  <c r="AM447" i="3"/>
  <c r="AK447" i="3"/>
  <c r="AC447" i="3"/>
  <c r="AA447" i="3"/>
  <c r="Y447" i="3"/>
  <c r="W447" i="3"/>
  <c r="U447" i="3"/>
  <c r="S447" i="3"/>
  <c r="Q447" i="3"/>
  <c r="O447" i="3"/>
  <c r="M447" i="3"/>
  <c r="K447" i="3"/>
  <c r="I447" i="3"/>
  <c r="G447" i="3"/>
  <c r="AZ446" i="3"/>
  <c r="AX446" i="3"/>
  <c r="AV446" i="3"/>
  <c r="AT446" i="3"/>
  <c r="AQ446" i="3"/>
  <c r="AO446" i="3"/>
  <c r="AM446" i="3"/>
  <c r="AK446" i="3"/>
  <c r="AC446" i="3"/>
  <c r="AA446" i="3"/>
  <c r="Y446" i="3"/>
  <c r="W446" i="3"/>
  <c r="U446" i="3"/>
  <c r="S446" i="3"/>
  <c r="Q446" i="3"/>
  <c r="O446" i="3"/>
  <c r="M446" i="3"/>
  <c r="K446" i="3"/>
  <c r="I446" i="3"/>
  <c r="G446" i="3"/>
  <c r="AZ445" i="3"/>
  <c r="AX445" i="3"/>
  <c r="AV445" i="3"/>
  <c r="AT445" i="3"/>
  <c r="AQ445" i="3"/>
  <c r="AO445" i="3"/>
  <c r="AM445" i="3"/>
  <c r="AK445" i="3"/>
  <c r="AC445" i="3"/>
  <c r="AA445" i="3"/>
  <c r="Y445" i="3"/>
  <c r="W445" i="3"/>
  <c r="U445" i="3"/>
  <c r="S445" i="3"/>
  <c r="Q445" i="3"/>
  <c r="O445" i="3"/>
  <c r="M445" i="3"/>
  <c r="K445" i="3"/>
  <c r="I445" i="3"/>
  <c r="G445" i="3"/>
  <c r="AZ444" i="3"/>
  <c r="AX444" i="3"/>
  <c r="AV444" i="3"/>
  <c r="AT444" i="3"/>
  <c r="AQ444" i="3"/>
  <c r="AO444" i="3"/>
  <c r="AM444" i="3"/>
  <c r="AK444" i="3"/>
  <c r="AC444" i="3"/>
  <c r="AA444" i="3"/>
  <c r="Y444" i="3"/>
  <c r="W444" i="3"/>
  <c r="U444" i="3"/>
  <c r="S444" i="3"/>
  <c r="Q444" i="3"/>
  <c r="O444" i="3"/>
  <c r="M444" i="3"/>
  <c r="K444" i="3"/>
  <c r="I444" i="3"/>
  <c r="G444" i="3"/>
  <c r="AZ443" i="3"/>
  <c r="AX443" i="3"/>
  <c r="AV443" i="3"/>
  <c r="AT443" i="3"/>
  <c r="AQ443" i="3"/>
  <c r="AO443" i="3"/>
  <c r="AM443" i="3"/>
  <c r="AK443" i="3"/>
  <c r="AC443" i="3"/>
  <c r="AA443" i="3"/>
  <c r="Y443" i="3"/>
  <c r="W443" i="3"/>
  <c r="U443" i="3"/>
  <c r="S443" i="3"/>
  <c r="Q443" i="3"/>
  <c r="O443" i="3"/>
  <c r="M443" i="3"/>
  <c r="K443" i="3"/>
  <c r="I443" i="3"/>
  <c r="G443" i="3"/>
  <c r="AZ442" i="3"/>
  <c r="AX442" i="3"/>
  <c r="AV442" i="3"/>
  <c r="AT442" i="3"/>
  <c r="AQ442" i="3"/>
  <c r="AO442" i="3"/>
  <c r="AM442" i="3"/>
  <c r="AK442" i="3"/>
  <c r="AC442" i="3"/>
  <c r="AA442" i="3"/>
  <c r="Y442" i="3"/>
  <c r="W442" i="3"/>
  <c r="U442" i="3"/>
  <c r="S442" i="3"/>
  <c r="Q442" i="3"/>
  <c r="O442" i="3"/>
  <c r="M442" i="3"/>
  <c r="K442" i="3"/>
  <c r="I442" i="3"/>
  <c r="G442" i="3"/>
  <c r="AZ441" i="3"/>
  <c r="AX441" i="3"/>
  <c r="AV441" i="3"/>
  <c r="AT441" i="3"/>
  <c r="AQ441" i="3"/>
  <c r="AO441" i="3"/>
  <c r="AM441" i="3"/>
  <c r="AK441" i="3"/>
  <c r="AC441" i="3"/>
  <c r="AA441" i="3"/>
  <c r="Y441" i="3"/>
  <c r="W441" i="3"/>
  <c r="U441" i="3"/>
  <c r="S441" i="3"/>
  <c r="Q441" i="3"/>
  <c r="O441" i="3"/>
  <c r="M441" i="3"/>
  <c r="K441" i="3"/>
  <c r="I441" i="3"/>
  <c r="G441" i="3"/>
  <c r="AZ440" i="3"/>
  <c r="AX440" i="3"/>
  <c r="AV440" i="3"/>
  <c r="AT440" i="3"/>
  <c r="AQ440" i="3"/>
  <c r="AO440" i="3"/>
  <c r="AM440" i="3"/>
  <c r="AK440" i="3"/>
  <c r="AC440" i="3"/>
  <c r="AA440" i="3"/>
  <c r="Y440" i="3"/>
  <c r="W440" i="3"/>
  <c r="U440" i="3"/>
  <c r="S440" i="3"/>
  <c r="Q440" i="3"/>
  <c r="O440" i="3"/>
  <c r="M440" i="3"/>
  <c r="K440" i="3"/>
  <c r="I440" i="3"/>
  <c r="G440" i="3"/>
  <c r="AZ439" i="3"/>
  <c r="AX439" i="3"/>
  <c r="AV439" i="3"/>
  <c r="AT439" i="3"/>
  <c r="AQ439" i="3"/>
  <c r="AO439" i="3"/>
  <c r="AM439" i="3"/>
  <c r="AK439" i="3"/>
  <c r="AC439" i="3"/>
  <c r="AA439" i="3"/>
  <c r="Y439" i="3"/>
  <c r="W439" i="3"/>
  <c r="U439" i="3"/>
  <c r="S439" i="3"/>
  <c r="Q439" i="3"/>
  <c r="O439" i="3"/>
  <c r="M439" i="3"/>
  <c r="K439" i="3"/>
  <c r="I439" i="3"/>
  <c r="G439" i="3"/>
  <c r="AZ438" i="3"/>
  <c r="AX438" i="3"/>
  <c r="AV438" i="3"/>
  <c r="AT438" i="3"/>
  <c r="AQ438" i="3"/>
  <c r="AO438" i="3"/>
  <c r="AM438" i="3"/>
  <c r="AK438" i="3"/>
  <c r="AC438" i="3"/>
  <c r="AA438" i="3"/>
  <c r="Y438" i="3"/>
  <c r="W438" i="3"/>
  <c r="U438" i="3"/>
  <c r="S438" i="3"/>
  <c r="Q438" i="3"/>
  <c r="O438" i="3"/>
  <c r="M438" i="3"/>
  <c r="K438" i="3"/>
  <c r="I438" i="3"/>
  <c r="G438" i="3"/>
  <c r="AZ437" i="3"/>
  <c r="AX437" i="3"/>
  <c r="AV437" i="3"/>
  <c r="AT437" i="3"/>
  <c r="AQ437" i="3"/>
  <c r="AO437" i="3"/>
  <c r="AM437" i="3"/>
  <c r="AK437" i="3"/>
  <c r="AC437" i="3"/>
  <c r="AA437" i="3"/>
  <c r="Y437" i="3"/>
  <c r="W437" i="3"/>
  <c r="U437" i="3"/>
  <c r="S437" i="3"/>
  <c r="Q437" i="3"/>
  <c r="O437" i="3"/>
  <c r="M437" i="3"/>
  <c r="K437" i="3"/>
  <c r="I437" i="3"/>
  <c r="G437" i="3"/>
  <c r="AZ436" i="3"/>
  <c r="AX436" i="3"/>
  <c r="AV436" i="3"/>
  <c r="AT436" i="3"/>
  <c r="AQ436" i="3"/>
  <c r="AO436" i="3"/>
  <c r="AM436" i="3"/>
  <c r="AK436" i="3"/>
  <c r="AC436" i="3"/>
  <c r="AA436" i="3"/>
  <c r="Y436" i="3"/>
  <c r="W436" i="3"/>
  <c r="U436" i="3"/>
  <c r="S436" i="3"/>
  <c r="Q436" i="3"/>
  <c r="O436" i="3"/>
  <c r="M436" i="3"/>
  <c r="K436" i="3"/>
  <c r="I436" i="3"/>
  <c r="G436" i="3"/>
  <c r="AZ435" i="3"/>
  <c r="AX435" i="3"/>
  <c r="AV435" i="3"/>
  <c r="AT435" i="3"/>
  <c r="AQ435" i="3"/>
  <c r="AO435" i="3"/>
  <c r="AM435" i="3"/>
  <c r="AK435" i="3"/>
  <c r="AC435" i="3"/>
  <c r="AA435" i="3"/>
  <c r="Y435" i="3"/>
  <c r="W435" i="3"/>
  <c r="U435" i="3"/>
  <c r="S435" i="3"/>
  <c r="Q435" i="3"/>
  <c r="O435" i="3"/>
  <c r="M435" i="3"/>
  <c r="K435" i="3"/>
  <c r="I435" i="3"/>
  <c r="G435" i="3"/>
  <c r="AZ434" i="3"/>
  <c r="AX434" i="3"/>
  <c r="AV434" i="3"/>
  <c r="AT434" i="3"/>
  <c r="AQ434" i="3"/>
  <c r="AO434" i="3"/>
  <c r="AM434" i="3"/>
  <c r="AK434" i="3"/>
  <c r="AC434" i="3"/>
  <c r="AA434" i="3"/>
  <c r="Y434" i="3"/>
  <c r="W434" i="3"/>
  <c r="U434" i="3"/>
  <c r="S434" i="3"/>
  <c r="Q434" i="3"/>
  <c r="O434" i="3"/>
  <c r="M434" i="3"/>
  <c r="K434" i="3"/>
  <c r="I434" i="3"/>
  <c r="G434" i="3"/>
  <c r="AZ433" i="3"/>
  <c r="AX433" i="3"/>
  <c r="AV433" i="3"/>
  <c r="AT433" i="3"/>
  <c r="AQ433" i="3"/>
  <c r="AO433" i="3"/>
  <c r="AM433" i="3"/>
  <c r="AK433" i="3"/>
  <c r="AC433" i="3"/>
  <c r="AA433" i="3"/>
  <c r="Y433" i="3"/>
  <c r="W433" i="3"/>
  <c r="U433" i="3"/>
  <c r="S433" i="3"/>
  <c r="Q433" i="3"/>
  <c r="O433" i="3"/>
  <c r="M433" i="3"/>
  <c r="K433" i="3"/>
  <c r="I433" i="3"/>
  <c r="G433" i="3"/>
  <c r="AZ432" i="3"/>
  <c r="AX432" i="3"/>
  <c r="AV432" i="3"/>
  <c r="AT432" i="3"/>
  <c r="AQ432" i="3"/>
  <c r="AO432" i="3"/>
  <c r="AM432" i="3"/>
  <c r="AK432" i="3"/>
  <c r="AC432" i="3"/>
  <c r="AA432" i="3"/>
  <c r="Y432" i="3"/>
  <c r="W432" i="3"/>
  <c r="U432" i="3"/>
  <c r="S432" i="3"/>
  <c r="Q432" i="3"/>
  <c r="O432" i="3"/>
  <c r="M432" i="3"/>
  <c r="K432" i="3"/>
  <c r="I432" i="3"/>
  <c r="G432" i="3"/>
  <c r="AZ431" i="3"/>
  <c r="AX431" i="3"/>
  <c r="AV431" i="3"/>
  <c r="AT431" i="3"/>
  <c r="AQ431" i="3"/>
  <c r="AO431" i="3"/>
  <c r="AM431" i="3"/>
  <c r="AK431" i="3"/>
  <c r="AC431" i="3"/>
  <c r="AA431" i="3"/>
  <c r="Y431" i="3"/>
  <c r="W431" i="3"/>
  <c r="U431" i="3"/>
  <c r="S431" i="3"/>
  <c r="Q431" i="3"/>
  <c r="O431" i="3"/>
  <c r="M431" i="3"/>
  <c r="K431" i="3"/>
  <c r="I431" i="3"/>
  <c r="G431" i="3"/>
  <c r="AZ430" i="3"/>
  <c r="AX430" i="3"/>
  <c r="AV430" i="3"/>
  <c r="AT430" i="3"/>
  <c r="AQ430" i="3"/>
  <c r="AO430" i="3"/>
  <c r="AM430" i="3"/>
  <c r="AK430" i="3"/>
  <c r="AC430" i="3"/>
  <c r="AA430" i="3"/>
  <c r="Y430" i="3"/>
  <c r="W430" i="3"/>
  <c r="U430" i="3"/>
  <c r="S430" i="3"/>
  <c r="Q430" i="3"/>
  <c r="O430" i="3"/>
  <c r="M430" i="3"/>
  <c r="K430" i="3"/>
  <c r="I430" i="3"/>
  <c r="G430" i="3"/>
  <c r="AZ429" i="3"/>
  <c r="AX429" i="3"/>
  <c r="AV429" i="3"/>
  <c r="AT429" i="3"/>
  <c r="AQ429" i="3"/>
  <c r="AO429" i="3"/>
  <c r="AM429" i="3"/>
  <c r="AK429" i="3"/>
  <c r="AC429" i="3"/>
  <c r="AA429" i="3"/>
  <c r="Y429" i="3"/>
  <c r="W429" i="3"/>
  <c r="U429" i="3"/>
  <c r="S429" i="3"/>
  <c r="Q429" i="3"/>
  <c r="O429" i="3"/>
  <c r="M429" i="3"/>
  <c r="K429" i="3"/>
  <c r="I429" i="3"/>
  <c r="G429" i="3"/>
  <c r="AZ428" i="3"/>
  <c r="AX428" i="3"/>
  <c r="AV428" i="3"/>
  <c r="AT428" i="3"/>
  <c r="AQ428" i="3"/>
  <c r="AO428" i="3"/>
  <c r="AM428" i="3"/>
  <c r="AK428" i="3"/>
  <c r="AC428" i="3"/>
  <c r="AA428" i="3"/>
  <c r="Y428" i="3"/>
  <c r="W428" i="3"/>
  <c r="U428" i="3"/>
  <c r="S428" i="3"/>
  <c r="Q428" i="3"/>
  <c r="O428" i="3"/>
  <c r="M428" i="3"/>
  <c r="K428" i="3"/>
  <c r="I428" i="3"/>
  <c r="G428" i="3"/>
  <c r="AZ427" i="3"/>
  <c r="AX427" i="3"/>
  <c r="AV427" i="3"/>
  <c r="AT427" i="3"/>
  <c r="AQ427" i="3"/>
  <c r="AO427" i="3"/>
  <c r="AM427" i="3"/>
  <c r="AK427" i="3"/>
  <c r="AC427" i="3"/>
  <c r="AA427" i="3"/>
  <c r="Y427" i="3"/>
  <c r="W427" i="3"/>
  <c r="U427" i="3"/>
  <c r="S427" i="3"/>
  <c r="Q427" i="3"/>
  <c r="O427" i="3"/>
  <c r="M427" i="3"/>
  <c r="K427" i="3"/>
  <c r="I427" i="3"/>
  <c r="G427" i="3"/>
  <c r="AZ426" i="3"/>
  <c r="AX426" i="3"/>
  <c r="AV426" i="3"/>
  <c r="AT426" i="3"/>
  <c r="AQ426" i="3"/>
  <c r="AO426" i="3"/>
  <c r="AM426" i="3"/>
  <c r="AK426" i="3"/>
  <c r="AC426" i="3"/>
  <c r="AA426" i="3"/>
  <c r="Y426" i="3"/>
  <c r="W426" i="3"/>
  <c r="U426" i="3"/>
  <c r="S426" i="3"/>
  <c r="Q426" i="3"/>
  <c r="O426" i="3"/>
  <c r="M426" i="3"/>
  <c r="K426" i="3"/>
  <c r="I426" i="3"/>
  <c r="G426" i="3"/>
  <c r="AZ425" i="3"/>
  <c r="AX425" i="3"/>
  <c r="AV425" i="3"/>
  <c r="AT425" i="3"/>
  <c r="AQ425" i="3"/>
  <c r="AO425" i="3"/>
  <c r="AM425" i="3"/>
  <c r="AK425" i="3"/>
  <c r="AC425" i="3"/>
  <c r="AA425" i="3"/>
  <c r="Y425" i="3"/>
  <c r="W425" i="3"/>
  <c r="U425" i="3"/>
  <c r="S425" i="3"/>
  <c r="Q425" i="3"/>
  <c r="O425" i="3"/>
  <c r="M425" i="3"/>
  <c r="K425" i="3"/>
  <c r="I425" i="3"/>
  <c r="G425" i="3"/>
  <c r="AZ424" i="3"/>
  <c r="AX424" i="3"/>
  <c r="AV424" i="3"/>
  <c r="AT424" i="3"/>
  <c r="AQ424" i="3"/>
  <c r="AO424" i="3"/>
  <c r="AM424" i="3"/>
  <c r="AK424" i="3"/>
  <c r="AC424" i="3"/>
  <c r="AA424" i="3"/>
  <c r="Y424" i="3"/>
  <c r="W424" i="3"/>
  <c r="U424" i="3"/>
  <c r="S424" i="3"/>
  <c r="Q424" i="3"/>
  <c r="O424" i="3"/>
  <c r="M424" i="3"/>
  <c r="K424" i="3"/>
  <c r="I424" i="3"/>
  <c r="G424" i="3"/>
  <c r="AZ423" i="3"/>
  <c r="AX423" i="3"/>
  <c r="AV423" i="3"/>
  <c r="AT423" i="3"/>
  <c r="AQ423" i="3"/>
  <c r="AO423" i="3"/>
  <c r="AM423" i="3"/>
  <c r="AK423" i="3"/>
  <c r="AC423" i="3"/>
  <c r="AA423" i="3"/>
  <c r="Y423" i="3"/>
  <c r="W423" i="3"/>
  <c r="U423" i="3"/>
  <c r="S423" i="3"/>
  <c r="Q423" i="3"/>
  <c r="O423" i="3"/>
  <c r="M423" i="3"/>
  <c r="K423" i="3"/>
  <c r="I423" i="3"/>
  <c r="G423" i="3"/>
  <c r="AZ422" i="3"/>
  <c r="AX422" i="3"/>
  <c r="AV422" i="3"/>
  <c r="AT422" i="3"/>
  <c r="AQ422" i="3"/>
  <c r="AO422" i="3"/>
  <c r="AM422" i="3"/>
  <c r="AK422" i="3"/>
  <c r="AC422" i="3"/>
  <c r="AA422" i="3"/>
  <c r="Y422" i="3"/>
  <c r="W422" i="3"/>
  <c r="U422" i="3"/>
  <c r="S422" i="3"/>
  <c r="Q422" i="3"/>
  <c r="O422" i="3"/>
  <c r="M422" i="3"/>
  <c r="K422" i="3"/>
  <c r="I422" i="3"/>
  <c r="G422" i="3"/>
  <c r="AZ421" i="3"/>
  <c r="AX421" i="3"/>
  <c r="AV421" i="3"/>
  <c r="AT421" i="3"/>
  <c r="AQ421" i="3"/>
  <c r="AO421" i="3"/>
  <c r="AM421" i="3"/>
  <c r="AK421" i="3"/>
  <c r="AC421" i="3"/>
  <c r="AA421" i="3"/>
  <c r="Y421" i="3"/>
  <c r="W421" i="3"/>
  <c r="U421" i="3"/>
  <c r="S421" i="3"/>
  <c r="Q421" i="3"/>
  <c r="O421" i="3"/>
  <c r="M421" i="3"/>
  <c r="K421" i="3"/>
  <c r="I421" i="3"/>
  <c r="G421" i="3"/>
  <c r="AZ420" i="3"/>
  <c r="AX420" i="3"/>
  <c r="AV420" i="3"/>
  <c r="AT420" i="3"/>
  <c r="AQ420" i="3"/>
  <c r="AO420" i="3"/>
  <c r="AM420" i="3"/>
  <c r="AK420" i="3"/>
  <c r="AC420" i="3"/>
  <c r="AA420" i="3"/>
  <c r="Y420" i="3"/>
  <c r="W420" i="3"/>
  <c r="U420" i="3"/>
  <c r="S420" i="3"/>
  <c r="Q420" i="3"/>
  <c r="O420" i="3"/>
  <c r="M420" i="3"/>
  <c r="K420" i="3"/>
  <c r="I420" i="3"/>
  <c r="G420" i="3"/>
  <c r="AZ419" i="3"/>
  <c r="AX419" i="3"/>
  <c r="AV419" i="3"/>
  <c r="AT419" i="3"/>
  <c r="AQ419" i="3"/>
  <c r="AO419" i="3"/>
  <c r="AM419" i="3"/>
  <c r="AK419" i="3"/>
  <c r="AC419" i="3"/>
  <c r="AA419" i="3"/>
  <c r="Y419" i="3"/>
  <c r="W419" i="3"/>
  <c r="U419" i="3"/>
  <c r="S419" i="3"/>
  <c r="Q419" i="3"/>
  <c r="O419" i="3"/>
  <c r="M419" i="3"/>
  <c r="K419" i="3"/>
  <c r="I419" i="3"/>
  <c r="G419" i="3"/>
  <c r="AZ418" i="3"/>
  <c r="AX418" i="3"/>
  <c r="AV418" i="3"/>
  <c r="AT418" i="3"/>
  <c r="AQ418" i="3"/>
  <c r="AO418" i="3"/>
  <c r="AM418" i="3"/>
  <c r="AK418" i="3"/>
  <c r="AC418" i="3"/>
  <c r="AA418" i="3"/>
  <c r="Y418" i="3"/>
  <c r="W418" i="3"/>
  <c r="U418" i="3"/>
  <c r="S418" i="3"/>
  <c r="Q418" i="3"/>
  <c r="O418" i="3"/>
  <c r="M418" i="3"/>
  <c r="K418" i="3"/>
  <c r="I418" i="3"/>
  <c r="G418" i="3"/>
  <c r="AZ417" i="3"/>
  <c r="AX417" i="3"/>
  <c r="AV417" i="3"/>
  <c r="AT417" i="3"/>
  <c r="AQ417" i="3"/>
  <c r="AO417" i="3"/>
  <c r="AM417" i="3"/>
  <c r="AK417" i="3"/>
  <c r="AC417" i="3"/>
  <c r="AA417" i="3"/>
  <c r="Y417" i="3"/>
  <c r="W417" i="3"/>
  <c r="U417" i="3"/>
  <c r="S417" i="3"/>
  <c r="Q417" i="3"/>
  <c r="O417" i="3"/>
  <c r="M417" i="3"/>
  <c r="K417" i="3"/>
  <c r="I417" i="3"/>
  <c r="G417" i="3"/>
  <c r="AZ416" i="3"/>
  <c r="AX416" i="3"/>
  <c r="AV416" i="3"/>
  <c r="AT416" i="3"/>
  <c r="AQ416" i="3"/>
  <c r="AO416" i="3"/>
  <c r="AM416" i="3"/>
  <c r="AK416" i="3"/>
  <c r="AC416" i="3"/>
  <c r="AA416" i="3"/>
  <c r="Y416" i="3"/>
  <c r="W416" i="3"/>
  <c r="U416" i="3"/>
  <c r="S416" i="3"/>
  <c r="Q416" i="3"/>
  <c r="O416" i="3"/>
  <c r="M416" i="3"/>
  <c r="K416" i="3"/>
  <c r="I416" i="3"/>
  <c r="G416" i="3"/>
  <c r="AZ415" i="3"/>
  <c r="AX415" i="3"/>
  <c r="AV415" i="3"/>
  <c r="AT415" i="3"/>
  <c r="AQ415" i="3"/>
  <c r="AO415" i="3"/>
  <c r="AM415" i="3"/>
  <c r="AK415" i="3"/>
  <c r="AC415" i="3"/>
  <c r="AA415" i="3"/>
  <c r="Y415" i="3"/>
  <c r="W415" i="3"/>
  <c r="U415" i="3"/>
  <c r="S415" i="3"/>
  <c r="Q415" i="3"/>
  <c r="O415" i="3"/>
  <c r="M415" i="3"/>
  <c r="K415" i="3"/>
  <c r="I415" i="3"/>
  <c r="G415" i="3"/>
  <c r="AZ414" i="3"/>
  <c r="AX414" i="3"/>
  <c r="AV414" i="3"/>
  <c r="AT414" i="3"/>
  <c r="AQ414" i="3"/>
  <c r="AO414" i="3"/>
  <c r="AM414" i="3"/>
  <c r="AK414" i="3"/>
  <c r="AC414" i="3"/>
  <c r="AA414" i="3"/>
  <c r="Y414" i="3"/>
  <c r="W414" i="3"/>
  <c r="U414" i="3"/>
  <c r="S414" i="3"/>
  <c r="Q414" i="3"/>
  <c r="O414" i="3"/>
  <c r="M414" i="3"/>
  <c r="K414" i="3"/>
  <c r="I414" i="3"/>
  <c r="G414" i="3"/>
  <c r="AZ413" i="3"/>
  <c r="AX413" i="3"/>
  <c r="AV413" i="3"/>
  <c r="AT413" i="3"/>
  <c r="AQ413" i="3"/>
  <c r="AO413" i="3"/>
  <c r="AM413" i="3"/>
  <c r="AK413" i="3"/>
  <c r="AC413" i="3"/>
  <c r="AA413" i="3"/>
  <c r="Y413" i="3"/>
  <c r="W413" i="3"/>
  <c r="U413" i="3"/>
  <c r="S413" i="3"/>
  <c r="Q413" i="3"/>
  <c r="O413" i="3"/>
  <c r="M413" i="3"/>
  <c r="K413" i="3"/>
  <c r="I413" i="3"/>
  <c r="G413" i="3"/>
  <c r="AZ412" i="3"/>
  <c r="AX412" i="3"/>
  <c r="AV412" i="3"/>
  <c r="AT412" i="3"/>
  <c r="AQ412" i="3"/>
  <c r="AO412" i="3"/>
  <c r="AM412" i="3"/>
  <c r="AK412" i="3"/>
  <c r="AC412" i="3"/>
  <c r="AA412" i="3"/>
  <c r="Y412" i="3"/>
  <c r="W412" i="3"/>
  <c r="U412" i="3"/>
  <c r="S412" i="3"/>
  <c r="Q412" i="3"/>
  <c r="O412" i="3"/>
  <c r="M412" i="3"/>
  <c r="K412" i="3"/>
  <c r="I412" i="3"/>
  <c r="G412" i="3"/>
  <c r="AZ411" i="3"/>
  <c r="AX411" i="3"/>
  <c r="AV411" i="3"/>
  <c r="AT411" i="3"/>
  <c r="AQ411" i="3"/>
  <c r="AO411" i="3"/>
  <c r="AM411" i="3"/>
  <c r="AK411" i="3"/>
  <c r="AC411" i="3"/>
  <c r="AA411" i="3"/>
  <c r="Y411" i="3"/>
  <c r="W411" i="3"/>
  <c r="U411" i="3"/>
  <c r="S411" i="3"/>
  <c r="Q411" i="3"/>
  <c r="O411" i="3"/>
  <c r="M411" i="3"/>
  <c r="K411" i="3"/>
  <c r="I411" i="3"/>
  <c r="G411" i="3"/>
  <c r="AZ410" i="3"/>
  <c r="AX410" i="3"/>
  <c r="AV410" i="3"/>
  <c r="AT410" i="3"/>
  <c r="AQ410" i="3"/>
  <c r="AO410" i="3"/>
  <c r="AM410" i="3"/>
  <c r="AK410" i="3"/>
  <c r="AC410" i="3"/>
  <c r="AA410" i="3"/>
  <c r="Y410" i="3"/>
  <c r="W410" i="3"/>
  <c r="U410" i="3"/>
  <c r="S410" i="3"/>
  <c r="Q410" i="3"/>
  <c r="O410" i="3"/>
  <c r="M410" i="3"/>
  <c r="K410" i="3"/>
  <c r="I410" i="3"/>
  <c r="G410" i="3"/>
  <c r="AZ409" i="3"/>
  <c r="AX409" i="3"/>
  <c r="AV409" i="3"/>
  <c r="AT409" i="3"/>
  <c r="AQ409" i="3"/>
  <c r="AO409" i="3"/>
  <c r="AM409" i="3"/>
  <c r="AK409" i="3"/>
  <c r="AC409" i="3"/>
  <c r="AA409" i="3"/>
  <c r="Y409" i="3"/>
  <c r="W409" i="3"/>
  <c r="U409" i="3"/>
  <c r="S409" i="3"/>
  <c r="Q409" i="3"/>
  <c r="O409" i="3"/>
  <c r="M409" i="3"/>
  <c r="K409" i="3"/>
  <c r="I409" i="3"/>
  <c r="G409" i="3"/>
  <c r="AZ408" i="3"/>
  <c r="AX408" i="3"/>
  <c r="AV408" i="3"/>
  <c r="AT408" i="3"/>
  <c r="AQ408" i="3"/>
  <c r="AO408" i="3"/>
  <c r="AM408" i="3"/>
  <c r="AK408" i="3"/>
  <c r="AC408" i="3"/>
  <c r="AA408" i="3"/>
  <c r="Y408" i="3"/>
  <c r="W408" i="3"/>
  <c r="U408" i="3"/>
  <c r="S408" i="3"/>
  <c r="Q408" i="3"/>
  <c r="O408" i="3"/>
  <c r="M408" i="3"/>
  <c r="K408" i="3"/>
  <c r="I408" i="3"/>
  <c r="G408" i="3"/>
  <c r="AZ407" i="3"/>
  <c r="AX407" i="3"/>
  <c r="AV407" i="3"/>
  <c r="AT407" i="3"/>
  <c r="AQ407" i="3"/>
  <c r="AO407" i="3"/>
  <c r="AM407" i="3"/>
  <c r="AK407" i="3"/>
  <c r="AC407" i="3"/>
  <c r="AA407" i="3"/>
  <c r="Y407" i="3"/>
  <c r="W407" i="3"/>
  <c r="U407" i="3"/>
  <c r="S407" i="3"/>
  <c r="Q407" i="3"/>
  <c r="O407" i="3"/>
  <c r="M407" i="3"/>
  <c r="K407" i="3"/>
  <c r="I407" i="3"/>
  <c r="G407" i="3"/>
  <c r="AZ406" i="3"/>
  <c r="AX406" i="3"/>
  <c r="AV406" i="3"/>
  <c r="AT406" i="3"/>
  <c r="AQ406" i="3"/>
  <c r="AO406" i="3"/>
  <c r="AM406" i="3"/>
  <c r="AK406" i="3"/>
  <c r="AC406" i="3"/>
  <c r="AA406" i="3"/>
  <c r="Y406" i="3"/>
  <c r="W406" i="3"/>
  <c r="U406" i="3"/>
  <c r="S406" i="3"/>
  <c r="Q406" i="3"/>
  <c r="O406" i="3"/>
  <c r="M406" i="3"/>
  <c r="K406" i="3"/>
  <c r="I406" i="3"/>
  <c r="G406" i="3"/>
  <c r="AZ405" i="3"/>
  <c r="AX405" i="3"/>
  <c r="AV405" i="3"/>
  <c r="AT405" i="3"/>
  <c r="AQ405" i="3"/>
  <c r="AO405" i="3"/>
  <c r="AM405" i="3"/>
  <c r="AK405" i="3"/>
  <c r="AC405" i="3"/>
  <c r="AA405" i="3"/>
  <c r="Y405" i="3"/>
  <c r="W405" i="3"/>
  <c r="U405" i="3"/>
  <c r="S405" i="3"/>
  <c r="Q405" i="3"/>
  <c r="O405" i="3"/>
  <c r="M405" i="3"/>
  <c r="K405" i="3"/>
  <c r="I405" i="3"/>
  <c r="G405" i="3"/>
  <c r="AZ404" i="3"/>
  <c r="AX404" i="3"/>
  <c r="AV404" i="3"/>
  <c r="AT404" i="3"/>
  <c r="AQ404" i="3"/>
  <c r="AO404" i="3"/>
  <c r="AM404" i="3"/>
  <c r="AK404" i="3"/>
  <c r="AC404" i="3"/>
  <c r="AA404" i="3"/>
  <c r="Y404" i="3"/>
  <c r="W404" i="3"/>
  <c r="U404" i="3"/>
  <c r="S404" i="3"/>
  <c r="Q404" i="3"/>
  <c r="O404" i="3"/>
  <c r="M404" i="3"/>
  <c r="K404" i="3"/>
  <c r="I404" i="3"/>
  <c r="G404" i="3"/>
  <c r="AZ403" i="3"/>
  <c r="AX403" i="3"/>
  <c r="AV403" i="3"/>
  <c r="AT403" i="3"/>
  <c r="AQ403" i="3"/>
  <c r="AO403" i="3"/>
  <c r="AM403" i="3"/>
  <c r="AK403" i="3"/>
  <c r="AC403" i="3"/>
  <c r="AA403" i="3"/>
  <c r="Y403" i="3"/>
  <c r="W403" i="3"/>
  <c r="U403" i="3"/>
  <c r="S403" i="3"/>
  <c r="Q403" i="3"/>
  <c r="O403" i="3"/>
  <c r="M403" i="3"/>
  <c r="K403" i="3"/>
  <c r="I403" i="3"/>
  <c r="G403" i="3"/>
  <c r="AZ402" i="3"/>
  <c r="AX402" i="3"/>
  <c r="AV402" i="3"/>
  <c r="AT402" i="3"/>
  <c r="AQ402" i="3"/>
  <c r="AO402" i="3"/>
  <c r="AM402" i="3"/>
  <c r="AK402" i="3"/>
  <c r="AC402" i="3"/>
  <c r="AA402" i="3"/>
  <c r="Y402" i="3"/>
  <c r="W402" i="3"/>
  <c r="U402" i="3"/>
  <c r="S402" i="3"/>
  <c r="Q402" i="3"/>
  <c r="O402" i="3"/>
  <c r="M402" i="3"/>
  <c r="K402" i="3"/>
  <c r="I402" i="3"/>
  <c r="G402" i="3"/>
  <c r="AZ401" i="3"/>
  <c r="AX401" i="3"/>
  <c r="AV401" i="3"/>
  <c r="AT401" i="3"/>
  <c r="AQ401" i="3"/>
  <c r="AO401" i="3"/>
  <c r="AM401" i="3"/>
  <c r="AK401" i="3"/>
  <c r="AC401" i="3"/>
  <c r="AA401" i="3"/>
  <c r="Y401" i="3"/>
  <c r="W401" i="3"/>
  <c r="U401" i="3"/>
  <c r="S401" i="3"/>
  <c r="Q401" i="3"/>
  <c r="O401" i="3"/>
  <c r="M401" i="3"/>
  <c r="K401" i="3"/>
  <c r="I401" i="3"/>
  <c r="G401" i="3"/>
  <c r="AZ400" i="3"/>
  <c r="AX400" i="3"/>
  <c r="AV400" i="3"/>
  <c r="AT400" i="3"/>
  <c r="AQ400" i="3"/>
  <c r="AO400" i="3"/>
  <c r="AM400" i="3"/>
  <c r="AK400" i="3"/>
  <c r="AC400" i="3"/>
  <c r="AA400" i="3"/>
  <c r="Y400" i="3"/>
  <c r="W400" i="3"/>
  <c r="U400" i="3"/>
  <c r="S400" i="3"/>
  <c r="Q400" i="3"/>
  <c r="O400" i="3"/>
  <c r="M400" i="3"/>
  <c r="K400" i="3"/>
  <c r="I400" i="3"/>
  <c r="G400" i="3"/>
  <c r="AZ399" i="3"/>
  <c r="AX399" i="3"/>
  <c r="AV399" i="3"/>
  <c r="AT399" i="3"/>
  <c r="AQ399" i="3"/>
  <c r="AO399" i="3"/>
  <c r="AM399" i="3"/>
  <c r="AK399" i="3"/>
  <c r="AC399" i="3"/>
  <c r="AA399" i="3"/>
  <c r="Y399" i="3"/>
  <c r="W399" i="3"/>
  <c r="U399" i="3"/>
  <c r="S399" i="3"/>
  <c r="Q399" i="3"/>
  <c r="O399" i="3"/>
  <c r="M399" i="3"/>
  <c r="K399" i="3"/>
  <c r="I399" i="3"/>
  <c r="G399" i="3"/>
  <c r="AZ398" i="3"/>
  <c r="AX398" i="3"/>
  <c r="AV398" i="3"/>
  <c r="AT398" i="3"/>
  <c r="AQ398" i="3"/>
  <c r="AO398" i="3"/>
  <c r="AM398" i="3"/>
  <c r="AK398" i="3"/>
  <c r="AC398" i="3"/>
  <c r="AA398" i="3"/>
  <c r="Y398" i="3"/>
  <c r="W398" i="3"/>
  <c r="U398" i="3"/>
  <c r="S398" i="3"/>
  <c r="Q398" i="3"/>
  <c r="O398" i="3"/>
  <c r="M398" i="3"/>
  <c r="K398" i="3"/>
  <c r="I398" i="3"/>
  <c r="G398" i="3"/>
  <c r="AZ397" i="3"/>
  <c r="AX397" i="3"/>
  <c r="AV397" i="3"/>
  <c r="AT397" i="3"/>
  <c r="AQ397" i="3"/>
  <c r="AO397" i="3"/>
  <c r="AM397" i="3"/>
  <c r="AK397" i="3"/>
  <c r="AC397" i="3"/>
  <c r="AA397" i="3"/>
  <c r="Y397" i="3"/>
  <c r="W397" i="3"/>
  <c r="U397" i="3"/>
  <c r="S397" i="3"/>
  <c r="Q397" i="3"/>
  <c r="O397" i="3"/>
  <c r="M397" i="3"/>
  <c r="K397" i="3"/>
  <c r="I397" i="3"/>
  <c r="G397" i="3"/>
  <c r="AZ396" i="3"/>
  <c r="AX396" i="3"/>
  <c r="AV396" i="3"/>
  <c r="AT396" i="3"/>
  <c r="AQ396" i="3"/>
  <c r="AO396" i="3"/>
  <c r="AM396" i="3"/>
  <c r="AK396" i="3"/>
  <c r="AC396" i="3"/>
  <c r="AA396" i="3"/>
  <c r="Y396" i="3"/>
  <c r="W396" i="3"/>
  <c r="U396" i="3"/>
  <c r="S396" i="3"/>
  <c r="Q396" i="3"/>
  <c r="O396" i="3"/>
  <c r="M396" i="3"/>
  <c r="K396" i="3"/>
  <c r="I396" i="3"/>
  <c r="G396" i="3"/>
  <c r="AZ395" i="3"/>
  <c r="AX395" i="3"/>
  <c r="AV395" i="3"/>
  <c r="AT395" i="3"/>
  <c r="AQ395" i="3"/>
  <c r="AO395" i="3"/>
  <c r="AM395" i="3"/>
  <c r="AK395" i="3"/>
  <c r="AC395" i="3"/>
  <c r="AA395" i="3"/>
  <c r="Y395" i="3"/>
  <c r="W395" i="3"/>
  <c r="U395" i="3"/>
  <c r="S395" i="3"/>
  <c r="Q395" i="3"/>
  <c r="O395" i="3"/>
  <c r="M395" i="3"/>
  <c r="K395" i="3"/>
  <c r="I395" i="3"/>
  <c r="G395" i="3"/>
  <c r="AZ394" i="3"/>
  <c r="AX394" i="3"/>
  <c r="AV394" i="3"/>
  <c r="AT394" i="3"/>
  <c r="AQ394" i="3"/>
  <c r="AO394" i="3"/>
  <c r="AM394" i="3"/>
  <c r="AK394" i="3"/>
  <c r="AC394" i="3"/>
  <c r="AA394" i="3"/>
  <c r="Y394" i="3"/>
  <c r="W394" i="3"/>
  <c r="U394" i="3"/>
  <c r="S394" i="3"/>
  <c r="Q394" i="3"/>
  <c r="O394" i="3"/>
  <c r="M394" i="3"/>
  <c r="K394" i="3"/>
  <c r="I394" i="3"/>
  <c r="G394" i="3"/>
  <c r="AZ393" i="3"/>
  <c r="AX393" i="3"/>
  <c r="AV393" i="3"/>
  <c r="AT393" i="3"/>
  <c r="AQ393" i="3"/>
  <c r="AO393" i="3"/>
  <c r="AM393" i="3"/>
  <c r="AK393" i="3"/>
  <c r="AC393" i="3"/>
  <c r="AA393" i="3"/>
  <c r="Y393" i="3"/>
  <c r="W393" i="3"/>
  <c r="U393" i="3"/>
  <c r="S393" i="3"/>
  <c r="Q393" i="3"/>
  <c r="O393" i="3"/>
  <c r="M393" i="3"/>
  <c r="K393" i="3"/>
  <c r="I393" i="3"/>
  <c r="G393" i="3"/>
  <c r="AZ392" i="3"/>
  <c r="AX392" i="3"/>
  <c r="AV392" i="3"/>
  <c r="AT392" i="3"/>
  <c r="AQ392" i="3"/>
  <c r="AO392" i="3"/>
  <c r="AM392" i="3"/>
  <c r="AK392" i="3"/>
  <c r="AC392" i="3"/>
  <c r="AA392" i="3"/>
  <c r="Y392" i="3"/>
  <c r="W392" i="3"/>
  <c r="U392" i="3"/>
  <c r="S392" i="3"/>
  <c r="Q392" i="3"/>
  <c r="O392" i="3"/>
  <c r="M392" i="3"/>
  <c r="K392" i="3"/>
  <c r="I392" i="3"/>
  <c r="G392" i="3"/>
  <c r="AZ391" i="3"/>
  <c r="AX391" i="3"/>
  <c r="AV391" i="3"/>
  <c r="AT391" i="3"/>
  <c r="AQ391" i="3"/>
  <c r="AO391" i="3"/>
  <c r="AM391" i="3"/>
  <c r="AK391" i="3"/>
  <c r="AC391" i="3"/>
  <c r="AA391" i="3"/>
  <c r="Y391" i="3"/>
  <c r="W391" i="3"/>
  <c r="U391" i="3"/>
  <c r="S391" i="3"/>
  <c r="Q391" i="3"/>
  <c r="O391" i="3"/>
  <c r="M391" i="3"/>
  <c r="K391" i="3"/>
  <c r="I391" i="3"/>
  <c r="G391" i="3"/>
  <c r="AZ390" i="3"/>
  <c r="AX390" i="3"/>
  <c r="AV390" i="3"/>
  <c r="AT390" i="3"/>
  <c r="AQ390" i="3"/>
  <c r="AO390" i="3"/>
  <c r="AM390" i="3"/>
  <c r="AK390" i="3"/>
  <c r="AC390" i="3"/>
  <c r="AA390" i="3"/>
  <c r="Y390" i="3"/>
  <c r="W390" i="3"/>
  <c r="U390" i="3"/>
  <c r="S390" i="3"/>
  <c r="Q390" i="3"/>
  <c r="O390" i="3"/>
  <c r="M390" i="3"/>
  <c r="K390" i="3"/>
  <c r="I390" i="3"/>
  <c r="G390" i="3"/>
  <c r="AZ389" i="3"/>
  <c r="AX389" i="3"/>
  <c r="AV389" i="3"/>
  <c r="AT389" i="3"/>
  <c r="AQ389" i="3"/>
  <c r="AO389" i="3"/>
  <c r="AM389" i="3"/>
  <c r="AK389" i="3"/>
  <c r="AC389" i="3"/>
  <c r="AA389" i="3"/>
  <c r="Y389" i="3"/>
  <c r="W389" i="3"/>
  <c r="U389" i="3"/>
  <c r="S389" i="3"/>
  <c r="Q389" i="3"/>
  <c r="O389" i="3"/>
  <c r="M389" i="3"/>
  <c r="K389" i="3"/>
  <c r="I389" i="3"/>
  <c r="G389" i="3"/>
  <c r="AZ388" i="3"/>
  <c r="AX388" i="3"/>
  <c r="AV388" i="3"/>
  <c r="AT388" i="3"/>
  <c r="AQ388" i="3"/>
  <c r="AO388" i="3"/>
  <c r="AM388" i="3"/>
  <c r="AK388" i="3"/>
  <c r="AC388" i="3"/>
  <c r="AA388" i="3"/>
  <c r="Y388" i="3"/>
  <c r="W388" i="3"/>
  <c r="U388" i="3"/>
  <c r="S388" i="3"/>
  <c r="Q388" i="3"/>
  <c r="O388" i="3"/>
  <c r="M388" i="3"/>
  <c r="K388" i="3"/>
  <c r="I388" i="3"/>
  <c r="G388" i="3"/>
  <c r="AZ387" i="3"/>
  <c r="AX387" i="3"/>
  <c r="AV387" i="3"/>
  <c r="AT387" i="3"/>
  <c r="AQ387" i="3"/>
  <c r="AO387" i="3"/>
  <c r="AM387" i="3"/>
  <c r="AK387" i="3"/>
  <c r="AC387" i="3"/>
  <c r="AA387" i="3"/>
  <c r="Y387" i="3"/>
  <c r="W387" i="3"/>
  <c r="U387" i="3"/>
  <c r="S387" i="3"/>
  <c r="Q387" i="3"/>
  <c r="O387" i="3"/>
  <c r="M387" i="3"/>
  <c r="K387" i="3"/>
  <c r="I387" i="3"/>
  <c r="G387" i="3"/>
  <c r="AZ386" i="3"/>
  <c r="AX386" i="3"/>
  <c r="AV386" i="3"/>
  <c r="AT386" i="3"/>
  <c r="AQ386" i="3"/>
  <c r="AO386" i="3"/>
  <c r="AM386" i="3"/>
  <c r="AK386" i="3"/>
  <c r="AC386" i="3"/>
  <c r="AA386" i="3"/>
  <c r="Y386" i="3"/>
  <c r="W386" i="3"/>
  <c r="U386" i="3"/>
  <c r="S386" i="3"/>
  <c r="Q386" i="3"/>
  <c r="O386" i="3"/>
  <c r="M386" i="3"/>
  <c r="K386" i="3"/>
  <c r="I386" i="3"/>
  <c r="G386" i="3"/>
  <c r="AZ385" i="3"/>
  <c r="AX385" i="3"/>
  <c r="AV385" i="3"/>
  <c r="AT385" i="3"/>
  <c r="AQ385" i="3"/>
  <c r="AO385" i="3"/>
  <c r="AM385" i="3"/>
  <c r="AK385" i="3"/>
  <c r="AC385" i="3"/>
  <c r="AA385" i="3"/>
  <c r="Y385" i="3"/>
  <c r="W385" i="3"/>
  <c r="U385" i="3"/>
  <c r="S385" i="3"/>
  <c r="Q385" i="3"/>
  <c r="O385" i="3"/>
  <c r="M385" i="3"/>
  <c r="K385" i="3"/>
  <c r="I385" i="3"/>
  <c r="G385" i="3"/>
  <c r="AZ384" i="3"/>
  <c r="AX384" i="3"/>
  <c r="AV384" i="3"/>
  <c r="AT384" i="3"/>
  <c r="AQ384" i="3"/>
  <c r="AO384" i="3"/>
  <c r="AM384" i="3"/>
  <c r="AK384" i="3"/>
  <c r="AC384" i="3"/>
  <c r="AA384" i="3"/>
  <c r="Y384" i="3"/>
  <c r="W384" i="3"/>
  <c r="U384" i="3"/>
  <c r="S384" i="3"/>
  <c r="Q384" i="3"/>
  <c r="O384" i="3"/>
  <c r="M384" i="3"/>
  <c r="K384" i="3"/>
  <c r="I384" i="3"/>
  <c r="G384" i="3"/>
  <c r="AZ383" i="3"/>
  <c r="AX383" i="3"/>
  <c r="AV383" i="3"/>
  <c r="AT383" i="3"/>
  <c r="AQ383" i="3"/>
  <c r="AO383" i="3"/>
  <c r="AM383" i="3"/>
  <c r="AK383" i="3"/>
  <c r="AC383" i="3"/>
  <c r="AA383" i="3"/>
  <c r="Y383" i="3"/>
  <c r="W383" i="3"/>
  <c r="U383" i="3"/>
  <c r="S383" i="3"/>
  <c r="Q383" i="3"/>
  <c r="O383" i="3"/>
  <c r="M383" i="3"/>
  <c r="K383" i="3"/>
  <c r="I383" i="3"/>
  <c r="G383" i="3"/>
  <c r="AZ382" i="3"/>
  <c r="AX382" i="3"/>
  <c r="AV382" i="3"/>
  <c r="AT382" i="3"/>
  <c r="AQ382" i="3"/>
  <c r="AO382" i="3"/>
  <c r="AM382" i="3"/>
  <c r="AK382" i="3"/>
  <c r="AC382" i="3"/>
  <c r="AA382" i="3"/>
  <c r="Y382" i="3"/>
  <c r="W382" i="3"/>
  <c r="U382" i="3"/>
  <c r="S382" i="3"/>
  <c r="Q382" i="3"/>
  <c r="O382" i="3"/>
  <c r="M382" i="3"/>
  <c r="K382" i="3"/>
  <c r="I382" i="3"/>
  <c r="G382" i="3"/>
  <c r="AZ381" i="3"/>
  <c r="AX381" i="3"/>
  <c r="AV381" i="3"/>
  <c r="AT381" i="3"/>
  <c r="AQ381" i="3"/>
  <c r="AO381" i="3"/>
  <c r="AM381" i="3"/>
  <c r="AK381" i="3"/>
  <c r="AC381" i="3"/>
  <c r="AA381" i="3"/>
  <c r="Y381" i="3"/>
  <c r="W381" i="3"/>
  <c r="U381" i="3"/>
  <c r="S381" i="3"/>
  <c r="Q381" i="3"/>
  <c r="O381" i="3"/>
  <c r="M381" i="3"/>
  <c r="K381" i="3"/>
  <c r="I381" i="3"/>
  <c r="G381" i="3"/>
  <c r="AZ380" i="3"/>
  <c r="AX380" i="3"/>
  <c r="AV380" i="3"/>
  <c r="AT380" i="3"/>
  <c r="AQ380" i="3"/>
  <c r="AO380" i="3"/>
  <c r="AM380" i="3"/>
  <c r="AK380" i="3"/>
  <c r="AC380" i="3"/>
  <c r="AA380" i="3"/>
  <c r="Y380" i="3"/>
  <c r="W380" i="3"/>
  <c r="U380" i="3"/>
  <c r="S380" i="3"/>
  <c r="Q380" i="3"/>
  <c r="O380" i="3"/>
  <c r="M380" i="3"/>
  <c r="K380" i="3"/>
  <c r="I380" i="3"/>
  <c r="G380" i="3"/>
  <c r="AZ379" i="3"/>
  <c r="AX379" i="3"/>
  <c r="AV379" i="3"/>
  <c r="AT379" i="3"/>
  <c r="AQ379" i="3"/>
  <c r="AO379" i="3"/>
  <c r="AM379" i="3"/>
  <c r="AK379" i="3"/>
  <c r="AC379" i="3"/>
  <c r="AA379" i="3"/>
  <c r="Y379" i="3"/>
  <c r="W379" i="3"/>
  <c r="U379" i="3"/>
  <c r="S379" i="3"/>
  <c r="Q379" i="3"/>
  <c r="O379" i="3"/>
  <c r="M379" i="3"/>
  <c r="K379" i="3"/>
  <c r="I379" i="3"/>
  <c r="G379" i="3"/>
  <c r="AZ378" i="3"/>
  <c r="AX378" i="3"/>
  <c r="AV378" i="3"/>
  <c r="AT378" i="3"/>
  <c r="AQ378" i="3"/>
  <c r="AO378" i="3"/>
  <c r="AM378" i="3"/>
  <c r="AK378" i="3"/>
  <c r="AC378" i="3"/>
  <c r="AA378" i="3"/>
  <c r="Y378" i="3"/>
  <c r="W378" i="3"/>
  <c r="U378" i="3"/>
  <c r="S378" i="3"/>
  <c r="Q378" i="3"/>
  <c r="O378" i="3"/>
  <c r="M378" i="3"/>
  <c r="K378" i="3"/>
  <c r="I378" i="3"/>
  <c r="G378" i="3"/>
  <c r="AZ377" i="3"/>
  <c r="AX377" i="3"/>
  <c r="AV377" i="3"/>
  <c r="AT377" i="3"/>
  <c r="AQ377" i="3"/>
  <c r="AO377" i="3"/>
  <c r="AM377" i="3"/>
  <c r="AK377" i="3"/>
  <c r="AC377" i="3"/>
  <c r="AA377" i="3"/>
  <c r="Y377" i="3"/>
  <c r="W377" i="3"/>
  <c r="U377" i="3"/>
  <c r="S377" i="3"/>
  <c r="Q377" i="3"/>
  <c r="O377" i="3"/>
  <c r="M377" i="3"/>
  <c r="K377" i="3"/>
  <c r="I377" i="3"/>
  <c r="G377" i="3"/>
  <c r="AZ376" i="3"/>
  <c r="AX376" i="3"/>
  <c r="AV376" i="3"/>
  <c r="AT376" i="3"/>
  <c r="AQ376" i="3"/>
  <c r="AO376" i="3"/>
  <c r="AM376" i="3"/>
  <c r="AK376" i="3"/>
  <c r="AC376" i="3"/>
  <c r="AA376" i="3"/>
  <c r="Y376" i="3"/>
  <c r="W376" i="3"/>
  <c r="U376" i="3"/>
  <c r="S376" i="3"/>
  <c r="Q376" i="3"/>
  <c r="O376" i="3"/>
  <c r="M376" i="3"/>
  <c r="K376" i="3"/>
  <c r="I376" i="3"/>
  <c r="G376" i="3"/>
  <c r="AZ375" i="3"/>
  <c r="AX375" i="3"/>
  <c r="AV375" i="3"/>
  <c r="AT375" i="3"/>
  <c r="AQ375" i="3"/>
  <c r="AO375" i="3"/>
  <c r="AM375" i="3"/>
  <c r="AK375" i="3"/>
  <c r="AC375" i="3"/>
  <c r="AA375" i="3"/>
  <c r="Y375" i="3"/>
  <c r="W375" i="3"/>
  <c r="U375" i="3"/>
  <c r="S375" i="3"/>
  <c r="Q375" i="3"/>
  <c r="O375" i="3"/>
  <c r="M375" i="3"/>
  <c r="K375" i="3"/>
  <c r="I375" i="3"/>
  <c r="G375" i="3"/>
  <c r="AZ374" i="3"/>
  <c r="AX374" i="3"/>
  <c r="AV374" i="3"/>
  <c r="AT374" i="3"/>
  <c r="AQ374" i="3"/>
  <c r="AO374" i="3"/>
  <c r="AM374" i="3"/>
  <c r="AK374" i="3"/>
  <c r="AC374" i="3"/>
  <c r="AA374" i="3"/>
  <c r="Y374" i="3"/>
  <c r="W374" i="3"/>
  <c r="U374" i="3"/>
  <c r="S374" i="3"/>
  <c r="Q374" i="3"/>
  <c r="O374" i="3"/>
  <c r="M374" i="3"/>
  <c r="K374" i="3"/>
  <c r="I374" i="3"/>
  <c r="G374" i="3"/>
  <c r="AZ373" i="3"/>
  <c r="AX373" i="3"/>
  <c r="AV373" i="3"/>
  <c r="AT373" i="3"/>
  <c r="AQ373" i="3"/>
  <c r="AO373" i="3"/>
  <c r="AM373" i="3"/>
  <c r="AK373" i="3"/>
  <c r="AC373" i="3"/>
  <c r="AA373" i="3"/>
  <c r="Y373" i="3"/>
  <c r="W373" i="3"/>
  <c r="U373" i="3"/>
  <c r="S373" i="3"/>
  <c r="Q373" i="3"/>
  <c r="O373" i="3"/>
  <c r="M373" i="3"/>
  <c r="K373" i="3"/>
  <c r="I373" i="3"/>
  <c r="G373" i="3"/>
  <c r="AZ372" i="3"/>
  <c r="AX372" i="3"/>
  <c r="AV372" i="3"/>
  <c r="AT372" i="3"/>
  <c r="AQ372" i="3"/>
  <c r="AO372" i="3"/>
  <c r="AM372" i="3"/>
  <c r="AK372" i="3"/>
  <c r="AC372" i="3"/>
  <c r="AA372" i="3"/>
  <c r="Y372" i="3"/>
  <c r="W372" i="3"/>
  <c r="U372" i="3"/>
  <c r="S372" i="3"/>
  <c r="Q372" i="3"/>
  <c r="O372" i="3"/>
  <c r="M372" i="3"/>
  <c r="K372" i="3"/>
  <c r="I372" i="3"/>
  <c r="G372" i="3"/>
  <c r="AZ371" i="3"/>
  <c r="AX371" i="3"/>
  <c r="AV371" i="3"/>
  <c r="AT371" i="3"/>
  <c r="AQ371" i="3"/>
  <c r="AO371" i="3"/>
  <c r="AM371" i="3"/>
  <c r="AK371" i="3"/>
  <c r="AC371" i="3"/>
  <c r="AA371" i="3"/>
  <c r="Y371" i="3"/>
  <c r="W371" i="3"/>
  <c r="U371" i="3"/>
  <c r="S371" i="3"/>
  <c r="Q371" i="3"/>
  <c r="O371" i="3"/>
  <c r="M371" i="3"/>
  <c r="K371" i="3"/>
  <c r="I371" i="3"/>
  <c r="G371" i="3"/>
  <c r="AZ370" i="3"/>
  <c r="AX370" i="3"/>
  <c r="AV370" i="3"/>
  <c r="AT370" i="3"/>
  <c r="AQ370" i="3"/>
  <c r="AO370" i="3"/>
  <c r="AM370" i="3"/>
  <c r="AK370" i="3"/>
  <c r="AC370" i="3"/>
  <c r="AA370" i="3"/>
  <c r="Y370" i="3"/>
  <c r="W370" i="3"/>
  <c r="U370" i="3"/>
  <c r="S370" i="3"/>
  <c r="Q370" i="3"/>
  <c r="O370" i="3"/>
  <c r="M370" i="3"/>
  <c r="K370" i="3"/>
  <c r="I370" i="3"/>
  <c r="G370" i="3"/>
  <c r="AZ369" i="3"/>
  <c r="AX369" i="3"/>
  <c r="AV369" i="3"/>
  <c r="AT369" i="3"/>
  <c r="AQ369" i="3"/>
  <c r="AO369" i="3"/>
  <c r="AM369" i="3"/>
  <c r="AK369" i="3"/>
  <c r="AC369" i="3"/>
  <c r="AA369" i="3"/>
  <c r="Y369" i="3"/>
  <c r="W369" i="3"/>
  <c r="U369" i="3"/>
  <c r="S369" i="3"/>
  <c r="Q369" i="3"/>
  <c r="O369" i="3"/>
  <c r="M369" i="3"/>
  <c r="K369" i="3"/>
  <c r="I369" i="3"/>
  <c r="G369" i="3"/>
  <c r="AZ368" i="3"/>
  <c r="AX368" i="3"/>
  <c r="AV368" i="3"/>
  <c r="AT368" i="3"/>
  <c r="AQ368" i="3"/>
  <c r="AO368" i="3"/>
  <c r="AM368" i="3"/>
  <c r="AK368" i="3"/>
  <c r="AC368" i="3"/>
  <c r="AA368" i="3"/>
  <c r="Y368" i="3"/>
  <c r="W368" i="3"/>
  <c r="U368" i="3"/>
  <c r="S368" i="3"/>
  <c r="Q368" i="3"/>
  <c r="O368" i="3"/>
  <c r="M368" i="3"/>
  <c r="K368" i="3"/>
  <c r="I368" i="3"/>
  <c r="G368" i="3"/>
  <c r="AZ367" i="3"/>
  <c r="AX367" i="3"/>
  <c r="AV367" i="3"/>
  <c r="AT367" i="3"/>
  <c r="AQ367" i="3"/>
  <c r="AO367" i="3"/>
  <c r="AM367" i="3"/>
  <c r="AK367" i="3"/>
  <c r="AC367" i="3"/>
  <c r="AA367" i="3"/>
  <c r="Y367" i="3"/>
  <c r="W367" i="3"/>
  <c r="U367" i="3"/>
  <c r="S367" i="3"/>
  <c r="Q367" i="3"/>
  <c r="O367" i="3"/>
  <c r="M367" i="3"/>
  <c r="K367" i="3"/>
  <c r="I367" i="3"/>
  <c r="G367" i="3"/>
  <c r="AZ366" i="3"/>
  <c r="AX366" i="3"/>
  <c r="AV366" i="3"/>
  <c r="AT366" i="3"/>
  <c r="AQ366" i="3"/>
  <c r="AO366" i="3"/>
  <c r="AM366" i="3"/>
  <c r="AK366" i="3"/>
  <c r="AC366" i="3"/>
  <c r="AA366" i="3"/>
  <c r="Y366" i="3"/>
  <c r="W366" i="3"/>
  <c r="U366" i="3"/>
  <c r="S366" i="3"/>
  <c r="Q366" i="3"/>
  <c r="O366" i="3"/>
  <c r="M366" i="3"/>
  <c r="K366" i="3"/>
  <c r="I366" i="3"/>
  <c r="G366" i="3"/>
  <c r="AZ365" i="3"/>
  <c r="AX365" i="3"/>
  <c r="AV365" i="3"/>
  <c r="AT365" i="3"/>
  <c r="AQ365" i="3"/>
  <c r="AO365" i="3"/>
  <c r="AM365" i="3"/>
  <c r="AK365" i="3"/>
  <c r="AC365" i="3"/>
  <c r="AA365" i="3"/>
  <c r="Y365" i="3"/>
  <c r="W365" i="3"/>
  <c r="U365" i="3"/>
  <c r="S365" i="3"/>
  <c r="Q365" i="3"/>
  <c r="O365" i="3"/>
  <c r="M365" i="3"/>
  <c r="K365" i="3"/>
  <c r="I365" i="3"/>
  <c r="G365" i="3"/>
  <c r="AZ364" i="3"/>
  <c r="AX364" i="3"/>
  <c r="AV364" i="3"/>
  <c r="AT364" i="3"/>
  <c r="AQ364" i="3"/>
  <c r="AO364" i="3"/>
  <c r="AM364" i="3"/>
  <c r="AK364" i="3"/>
  <c r="AC364" i="3"/>
  <c r="AA364" i="3"/>
  <c r="Y364" i="3"/>
  <c r="W364" i="3"/>
  <c r="U364" i="3"/>
  <c r="S364" i="3"/>
  <c r="Q364" i="3"/>
  <c r="O364" i="3"/>
  <c r="M364" i="3"/>
  <c r="K364" i="3"/>
  <c r="I364" i="3"/>
  <c r="G364" i="3"/>
  <c r="AZ363" i="3"/>
  <c r="AX363" i="3"/>
  <c r="AV363" i="3"/>
  <c r="AT363" i="3"/>
  <c r="AQ363" i="3"/>
  <c r="AO363" i="3"/>
  <c r="AM363" i="3"/>
  <c r="AK363" i="3"/>
  <c r="AC363" i="3"/>
  <c r="AA363" i="3"/>
  <c r="Y363" i="3"/>
  <c r="W363" i="3"/>
  <c r="U363" i="3"/>
  <c r="S363" i="3"/>
  <c r="Q363" i="3"/>
  <c r="O363" i="3"/>
  <c r="M363" i="3"/>
  <c r="K363" i="3"/>
  <c r="I363" i="3"/>
  <c r="G363" i="3"/>
  <c r="AZ362" i="3"/>
  <c r="AX362" i="3"/>
  <c r="AV362" i="3"/>
  <c r="AT362" i="3"/>
  <c r="AQ362" i="3"/>
  <c r="AO362" i="3"/>
  <c r="AM362" i="3"/>
  <c r="AK362" i="3"/>
  <c r="AC362" i="3"/>
  <c r="AA362" i="3"/>
  <c r="Y362" i="3"/>
  <c r="W362" i="3"/>
  <c r="U362" i="3"/>
  <c r="S362" i="3"/>
  <c r="Q362" i="3"/>
  <c r="O362" i="3"/>
  <c r="M362" i="3"/>
  <c r="K362" i="3"/>
  <c r="I362" i="3"/>
  <c r="G362" i="3"/>
  <c r="AZ361" i="3"/>
  <c r="AX361" i="3"/>
  <c r="AV361" i="3"/>
  <c r="AT361" i="3"/>
  <c r="AQ361" i="3"/>
  <c r="AO361" i="3"/>
  <c r="AM361" i="3"/>
  <c r="AK361" i="3"/>
  <c r="AC361" i="3"/>
  <c r="AA361" i="3"/>
  <c r="Y361" i="3"/>
  <c r="W361" i="3"/>
  <c r="U361" i="3"/>
  <c r="S361" i="3"/>
  <c r="Q361" i="3"/>
  <c r="O361" i="3"/>
  <c r="M361" i="3"/>
  <c r="K361" i="3"/>
  <c r="I361" i="3"/>
  <c r="G361" i="3"/>
  <c r="AZ360" i="3"/>
  <c r="AX360" i="3"/>
  <c r="AV360" i="3"/>
  <c r="AT360" i="3"/>
  <c r="AQ360" i="3"/>
  <c r="AO360" i="3"/>
  <c r="AM360" i="3"/>
  <c r="AK360" i="3"/>
  <c r="AC360" i="3"/>
  <c r="AA360" i="3"/>
  <c r="Y360" i="3"/>
  <c r="W360" i="3"/>
  <c r="U360" i="3"/>
  <c r="S360" i="3"/>
  <c r="Q360" i="3"/>
  <c r="O360" i="3"/>
  <c r="M360" i="3"/>
  <c r="K360" i="3"/>
  <c r="I360" i="3"/>
  <c r="G360" i="3"/>
  <c r="AZ359" i="3"/>
  <c r="AX359" i="3"/>
  <c r="AV359" i="3"/>
  <c r="AT359" i="3"/>
  <c r="AQ359" i="3"/>
  <c r="AO359" i="3"/>
  <c r="AM359" i="3"/>
  <c r="AK359" i="3"/>
  <c r="AC359" i="3"/>
  <c r="AA359" i="3"/>
  <c r="Y359" i="3"/>
  <c r="W359" i="3"/>
  <c r="U359" i="3"/>
  <c r="S359" i="3"/>
  <c r="Q359" i="3"/>
  <c r="O359" i="3"/>
  <c r="M359" i="3"/>
  <c r="K359" i="3"/>
  <c r="I359" i="3"/>
  <c r="G359" i="3"/>
  <c r="AZ358" i="3"/>
  <c r="AX358" i="3"/>
  <c r="AV358" i="3"/>
  <c r="AT358" i="3"/>
  <c r="AQ358" i="3"/>
  <c r="AO358" i="3"/>
  <c r="AM358" i="3"/>
  <c r="AK358" i="3"/>
  <c r="AC358" i="3"/>
  <c r="AA358" i="3"/>
  <c r="Y358" i="3"/>
  <c r="W358" i="3"/>
  <c r="U358" i="3"/>
  <c r="S358" i="3"/>
  <c r="Q358" i="3"/>
  <c r="O358" i="3"/>
  <c r="M358" i="3"/>
  <c r="K358" i="3"/>
  <c r="I358" i="3"/>
  <c r="G358" i="3"/>
  <c r="AZ357" i="3"/>
  <c r="AX357" i="3"/>
  <c r="AV357" i="3"/>
  <c r="AT357" i="3"/>
  <c r="AQ357" i="3"/>
  <c r="AO357" i="3"/>
  <c r="AM357" i="3"/>
  <c r="AK357" i="3"/>
  <c r="AC357" i="3"/>
  <c r="AA357" i="3"/>
  <c r="Y357" i="3"/>
  <c r="W357" i="3"/>
  <c r="U357" i="3"/>
  <c r="S357" i="3"/>
  <c r="Q357" i="3"/>
  <c r="O357" i="3"/>
  <c r="M357" i="3"/>
  <c r="K357" i="3"/>
  <c r="I357" i="3"/>
  <c r="G357" i="3"/>
  <c r="AZ356" i="3"/>
  <c r="AX356" i="3"/>
  <c r="AV356" i="3"/>
  <c r="AT356" i="3"/>
  <c r="AQ356" i="3"/>
  <c r="AO356" i="3"/>
  <c r="AM356" i="3"/>
  <c r="AK356" i="3"/>
  <c r="AC356" i="3"/>
  <c r="AA356" i="3"/>
  <c r="Y356" i="3"/>
  <c r="W356" i="3"/>
  <c r="U356" i="3"/>
  <c r="S356" i="3"/>
  <c r="Q356" i="3"/>
  <c r="O356" i="3"/>
  <c r="M356" i="3"/>
  <c r="K356" i="3"/>
  <c r="I356" i="3"/>
  <c r="G356" i="3"/>
  <c r="AZ355" i="3"/>
  <c r="AX355" i="3"/>
  <c r="AV355" i="3"/>
  <c r="AT355" i="3"/>
  <c r="AQ355" i="3"/>
  <c r="AO355" i="3"/>
  <c r="AM355" i="3"/>
  <c r="AK355" i="3"/>
  <c r="AC355" i="3"/>
  <c r="AA355" i="3"/>
  <c r="Y355" i="3"/>
  <c r="W355" i="3"/>
  <c r="U355" i="3"/>
  <c r="S355" i="3"/>
  <c r="Q355" i="3"/>
  <c r="O355" i="3"/>
  <c r="M355" i="3"/>
  <c r="K355" i="3"/>
  <c r="I355" i="3"/>
  <c r="G355" i="3"/>
  <c r="AZ354" i="3"/>
  <c r="AX354" i="3"/>
  <c r="AV354" i="3"/>
  <c r="AT354" i="3"/>
  <c r="AQ354" i="3"/>
  <c r="AO354" i="3"/>
  <c r="AM354" i="3"/>
  <c r="AK354" i="3"/>
  <c r="AC354" i="3"/>
  <c r="AA354" i="3"/>
  <c r="Y354" i="3"/>
  <c r="W354" i="3"/>
  <c r="U354" i="3"/>
  <c r="S354" i="3"/>
  <c r="Q354" i="3"/>
  <c r="O354" i="3"/>
  <c r="M354" i="3"/>
  <c r="K354" i="3"/>
  <c r="I354" i="3"/>
  <c r="G354" i="3"/>
  <c r="AZ353" i="3"/>
  <c r="AX353" i="3"/>
  <c r="AV353" i="3"/>
  <c r="AT353" i="3"/>
  <c r="AQ353" i="3"/>
  <c r="AO353" i="3"/>
  <c r="AM353" i="3"/>
  <c r="AK353" i="3"/>
  <c r="AC353" i="3"/>
  <c r="AA353" i="3"/>
  <c r="Y353" i="3"/>
  <c r="W353" i="3"/>
  <c r="U353" i="3"/>
  <c r="S353" i="3"/>
  <c r="Q353" i="3"/>
  <c r="O353" i="3"/>
  <c r="M353" i="3"/>
  <c r="K353" i="3"/>
  <c r="I353" i="3"/>
  <c r="G353" i="3"/>
  <c r="AZ352" i="3"/>
  <c r="AX352" i="3"/>
  <c r="AV352" i="3"/>
  <c r="AT352" i="3"/>
  <c r="AQ352" i="3"/>
  <c r="AO352" i="3"/>
  <c r="AM352" i="3"/>
  <c r="AK352" i="3"/>
  <c r="AC352" i="3"/>
  <c r="AA352" i="3"/>
  <c r="Y352" i="3"/>
  <c r="W352" i="3"/>
  <c r="U352" i="3"/>
  <c r="S352" i="3"/>
  <c r="Q352" i="3"/>
  <c r="O352" i="3"/>
  <c r="M352" i="3"/>
  <c r="K352" i="3"/>
  <c r="I352" i="3"/>
  <c r="G352" i="3"/>
  <c r="AZ351" i="3"/>
  <c r="AX351" i="3"/>
  <c r="AV351" i="3"/>
  <c r="AT351" i="3"/>
  <c r="AQ351" i="3"/>
  <c r="AO351" i="3"/>
  <c r="AM351" i="3"/>
  <c r="AK351" i="3"/>
  <c r="AC351" i="3"/>
  <c r="AA351" i="3"/>
  <c r="Y351" i="3"/>
  <c r="W351" i="3"/>
  <c r="U351" i="3"/>
  <c r="S351" i="3"/>
  <c r="Q351" i="3"/>
  <c r="O351" i="3"/>
  <c r="M351" i="3"/>
  <c r="K351" i="3"/>
  <c r="I351" i="3"/>
  <c r="G351" i="3"/>
  <c r="AZ350" i="3"/>
  <c r="AX350" i="3"/>
  <c r="AV350" i="3"/>
  <c r="AT350" i="3"/>
  <c r="AQ350" i="3"/>
  <c r="AO350" i="3"/>
  <c r="AM350" i="3"/>
  <c r="AK350" i="3"/>
  <c r="AC350" i="3"/>
  <c r="AA350" i="3"/>
  <c r="Y350" i="3"/>
  <c r="W350" i="3"/>
  <c r="U350" i="3"/>
  <c r="S350" i="3"/>
  <c r="Q350" i="3"/>
  <c r="O350" i="3"/>
  <c r="M350" i="3"/>
  <c r="K350" i="3"/>
  <c r="I350" i="3"/>
  <c r="G350" i="3"/>
  <c r="AZ349" i="3"/>
  <c r="AX349" i="3"/>
  <c r="AV349" i="3"/>
  <c r="AT349" i="3"/>
  <c r="AQ349" i="3"/>
  <c r="AO349" i="3"/>
  <c r="AM349" i="3"/>
  <c r="AK349" i="3"/>
  <c r="AC349" i="3"/>
  <c r="AA349" i="3"/>
  <c r="Y349" i="3"/>
  <c r="W349" i="3"/>
  <c r="U349" i="3"/>
  <c r="S349" i="3"/>
  <c r="Q349" i="3"/>
  <c r="O349" i="3"/>
  <c r="M349" i="3"/>
  <c r="K349" i="3"/>
  <c r="I349" i="3"/>
  <c r="G349" i="3"/>
  <c r="AZ348" i="3"/>
  <c r="AX348" i="3"/>
  <c r="AV348" i="3"/>
  <c r="AT348" i="3"/>
  <c r="AQ348" i="3"/>
  <c r="AO348" i="3"/>
  <c r="AM348" i="3"/>
  <c r="AK348" i="3"/>
  <c r="AC348" i="3"/>
  <c r="AA348" i="3"/>
  <c r="Y348" i="3"/>
  <c r="W348" i="3"/>
  <c r="U348" i="3"/>
  <c r="S348" i="3"/>
  <c r="Q348" i="3"/>
  <c r="O348" i="3"/>
  <c r="M348" i="3"/>
  <c r="K348" i="3"/>
  <c r="I348" i="3"/>
  <c r="G348" i="3"/>
  <c r="AZ347" i="3"/>
  <c r="AX347" i="3"/>
  <c r="AV347" i="3"/>
  <c r="AT347" i="3"/>
  <c r="AQ347" i="3"/>
  <c r="AO347" i="3"/>
  <c r="AM347" i="3"/>
  <c r="AK347" i="3"/>
  <c r="AC347" i="3"/>
  <c r="AA347" i="3"/>
  <c r="Y347" i="3"/>
  <c r="W347" i="3"/>
  <c r="U347" i="3"/>
  <c r="S347" i="3"/>
  <c r="Q347" i="3"/>
  <c r="O347" i="3"/>
  <c r="M347" i="3"/>
  <c r="K347" i="3"/>
  <c r="I347" i="3"/>
  <c r="G347" i="3"/>
  <c r="AZ346" i="3"/>
  <c r="AX346" i="3"/>
  <c r="AV346" i="3"/>
  <c r="AT346" i="3"/>
  <c r="AQ346" i="3"/>
  <c r="AO346" i="3"/>
  <c r="AM346" i="3"/>
  <c r="AK346" i="3"/>
  <c r="AC346" i="3"/>
  <c r="AA346" i="3"/>
  <c r="Y346" i="3"/>
  <c r="W346" i="3"/>
  <c r="U346" i="3"/>
  <c r="S346" i="3"/>
  <c r="Q346" i="3"/>
  <c r="O346" i="3"/>
  <c r="M346" i="3"/>
  <c r="K346" i="3"/>
  <c r="I346" i="3"/>
  <c r="G346" i="3"/>
  <c r="AZ345" i="3"/>
  <c r="AX345" i="3"/>
  <c r="AV345" i="3"/>
  <c r="AT345" i="3"/>
  <c r="AQ345" i="3"/>
  <c r="AO345" i="3"/>
  <c r="AM345" i="3"/>
  <c r="AK345" i="3"/>
  <c r="AC345" i="3"/>
  <c r="AA345" i="3"/>
  <c r="Y345" i="3"/>
  <c r="W345" i="3"/>
  <c r="U345" i="3"/>
  <c r="S345" i="3"/>
  <c r="Q345" i="3"/>
  <c r="O345" i="3"/>
  <c r="M345" i="3"/>
  <c r="K345" i="3"/>
  <c r="I345" i="3"/>
  <c r="G345" i="3"/>
  <c r="AZ344" i="3"/>
  <c r="AX344" i="3"/>
  <c r="AV344" i="3"/>
  <c r="AT344" i="3"/>
  <c r="AQ344" i="3"/>
  <c r="AO344" i="3"/>
  <c r="AM344" i="3"/>
  <c r="AK344" i="3"/>
  <c r="AC344" i="3"/>
  <c r="AA344" i="3"/>
  <c r="Y344" i="3"/>
  <c r="W344" i="3"/>
  <c r="U344" i="3"/>
  <c r="S344" i="3"/>
  <c r="Q344" i="3"/>
  <c r="O344" i="3"/>
  <c r="M344" i="3"/>
  <c r="K344" i="3"/>
  <c r="I344" i="3"/>
  <c r="G344" i="3"/>
  <c r="AZ343" i="3"/>
  <c r="AX343" i="3"/>
  <c r="AV343" i="3"/>
  <c r="AT343" i="3"/>
  <c r="AQ343" i="3"/>
  <c r="AO343" i="3"/>
  <c r="AM343" i="3"/>
  <c r="AK343" i="3"/>
  <c r="AC343" i="3"/>
  <c r="AA343" i="3"/>
  <c r="Y343" i="3"/>
  <c r="W343" i="3"/>
  <c r="U343" i="3"/>
  <c r="S343" i="3"/>
  <c r="Q343" i="3"/>
  <c r="O343" i="3"/>
  <c r="M343" i="3"/>
  <c r="K343" i="3"/>
  <c r="I343" i="3"/>
  <c r="G343" i="3"/>
  <c r="AZ342" i="3"/>
  <c r="AX342" i="3"/>
  <c r="AV342" i="3"/>
  <c r="AT342" i="3"/>
  <c r="AQ342" i="3"/>
  <c r="AO342" i="3"/>
  <c r="AM342" i="3"/>
  <c r="AK342" i="3"/>
  <c r="AC342" i="3"/>
  <c r="AA342" i="3"/>
  <c r="Y342" i="3"/>
  <c r="W342" i="3"/>
  <c r="U342" i="3"/>
  <c r="S342" i="3"/>
  <c r="Q342" i="3"/>
  <c r="O342" i="3"/>
  <c r="M342" i="3"/>
  <c r="K342" i="3"/>
  <c r="I342" i="3"/>
  <c r="G342" i="3"/>
  <c r="AZ341" i="3"/>
  <c r="AX341" i="3"/>
  <c r="AV341" i="3"/>
  <c r="AT341" i="3"/>
  <c r="AQ341" i="3"/>
  <c r="AO341" i="3"/>
  <c r="AM341" i="3"/>
  <c r="AK341" i="3"/>
  <c r="AC341" i="3"/>
  <c r="AA341" i="3"/>
  <c r="Y341" i="3"/>
  <c r="W341" i="3"/>
  <c r="U341" i="3"/>
  <c r="S341" i="3"/>
  <c r="Q341" i="3"/>
  <c r="O341" i="3"/>
  <c r="M341" i="3"/>
  <c r="K341" i="3"/>
  <c r="I341" i="3"/>
  <c r="G341" i="3"/>
  <c r="AZ340" i="3"/>
  <c r="AX340" i="3"/>
  <c r="AV340" i="3"/>
  <c r="AT340" i="3"/>
  <c r="AQ340" i="3"/>
  <c r="AO340" i="3"/>
  <c r="AM340" i="3"/>
  <c r="AK340" i="3"/>
  <c r="AC340" i="3"/>
  <c r="AA340" i="3"/>
  <c r="Y340" i="3"/>
  <c r="W340" i="3"/>
  <c r="U340" i="3"/>
  <c r="S340" i="3"/>
  <c r="Q340" i="3"/>
  <c r="O340" i="3"/>
  <c r="M340" i="3"/>
  <c r="K340" i="3"/>
  <c r="I340" i="3"/>
  <c r="G340" i="3"/>
  <c r="AZ339" i="3"/>
  <c r="AX339" i="3"/>
  <c r="AV339" i="3"/>
  <c r="AT339" i="3"/>
  <c r="AQ339" i="3"/>
  <c r="AO339" i="3"/>
  <c r="AM339" i="3"/>
  <c r="AK339" i="3"/>
  <c r="AC339" i="3"/>
  <c r="AA339" i="3"/>
  <c r="Y339" i="3"/>
  <c r="W339" i="3"/>
  <c r="U339" i="3"/>
  <c r="S339" i="3"/>
  <c r="Q339" i="3"/>
  <c r="O339" i="3"/>
  <c r="M339" i="3"/>
  <c r="K339" i="3"/>
  <c r="I339" i="3"/>
  <c r="G339" i="3"/>
  <c r="AZ338" i="3"/>
  <c r="AX338" i="3"/>
  <c r="AV338" i="3"/>
  <c r="AT338" i="3"/>
  <c r="AQ338" i="3"/>
  <c r="AO338" i="3"/>
  <c r="AM338" i="3"/>
  <c r="AK338" i="3"/>
  <c r="AC338" i="3"/>
  <c r="AA338" i="3"/>
  <c r="Y338" i="3"/>
  <c r="W338" i="3"/>
  <c r="U338" i="3"/>
  <c r="S338" i="3"/>
  <c r="Q338" i="3"/>
  <c r="O338" i="3"/>
  <c r="M338" i="3"/>
  <c r="K338" i="3"/>
  <c r="I338" i="3"/>
  <c r="G338" i="3"/>
  <c r="AZ337" i="3"/>
  <c r="AX337" i="3"/>
  <c r="AV337" i="3"/>
  <c r="AT337" i="3"/>
  <c r="AQ337" i="3"/>
  <c r="AO337" i="3"/>
  <c r="AM337" i="3"/>
  <c r="AK337" i="3"/>
  <c r="AC337" i="3"/>
  <c r="AA337" i="3"/>
  <c r="Y337" i="3"/>
  <c r="W337" i="3"/>
  <c r="U337" i="3"/>
  <c r="S337" i="3"/>
  <c r="Q337" i="3"/>
  <c r="O337" i="3"/>
  <c r="M337" i="3"/>
  <c r="K337" i="3"/>
  <c r="I337" i="3"/>
  <c r="G337" i="3"/>
  <c r="AZ336" i="3"/>
  <c r="AX336" i="3"/>
  <c r="AV336" i="3"/>
  <c r="AT336" i="3"/>
  <c r="AQ336" i="3"/>
  <c r="AO336" i="3"/>
  <c r="AM336" i="3"/>
  <c r="AK336" i="3"/>
  <c r="AC336" i="3"/>
  <c r="AA336" i="3"/>
  <c r="Y336" i="3"/>
  <c r="W336" i="3"/>
  <c r="U336" i="3"/>
  <c r="S336" i="3"/>
  <c r="Q336" i="3"/>
  <c r="O336" i="3"/>
  <c r="M336" i="3"/>
  <c r="K336" i="3"/>
  <c r="I336" i="3"/>
  <c r="G336" i="3"/>
  <c r="AZ335" i="3"/>
  <c r="AX335" i="3"/>
  <c r="AV335" i="3"/>
  <c r="AT335" i="3"/>
  <c r="AQ335" i="3"/>
  <c r="AO335" i="3"/>
  <c r="AM335" i="3"/>
  <c r="AK335" i="3"/>
  <c r="AC335" i="3"/>
  <c r="AA335" i="3"/>
  <c r="Y335" i="3"/>
  <c r="W335" i="3"/>
  <c r="U335" i="3"/>
  <c r="S335" i="3"/>
  <c r="Q335" i="3"/>
  <c r="O335" i="3"/>
  <c r="M335" i="3"/>
  <c r="K335" i="3"/>
  <c r="I335" i="3"/>
  <c r="G335" i="3"/>
  <c r="AZ334" i="3"/>
  <c r="AX334" i="3"/>
  <c r="AV334" i="3"/>
  <c r="AT334" i="3"/>
  <c r="AQ334" i="3"/>
  <c r="AO334" i="3"/>
  <c r="AM334" i="3"/>
  <c r="AK334" i="3"/>
  <c r="AC334" i="3"/>
  <c r="AA334" i="3"/>
  <c r="Y334" i="3"/>
  <c r="W334" i="3"/>
  <c r="U334" i="3"/>
  <c r="S334" i="3"/>
  <c r="Q334" i="3"/>
  <c r="O334" i="3"/>
  <c r="M334" i="3"/>
  <c r="K334" i="3"/>
  <c r="I334" i="3"/>
  <c r="G334" i="3"/>
  <c r="AZ333" i="3"/>
  <c r="AX333" i="3"/>
  <c r="AV333" i="3"/>
  <c r="AT333" i="3"/>
  <c r="AQ333" i="3"/>
  <c r="AO333" i="3"/>
  <c r="AM333" i="3"/>
  <c r="AK333" i="3"/>
  <c r="AC333" i="3"/>
  <c r="AA333" i="3"/>
  <c r="Y333" i="3"/>
  <c r="W333" i="3"/>
  <c r="U333" i="3"/>
  <c r="S333" i="3"/>
  <c r="Q333" i="3"/>
  <c r="O333" i="3"/>
  <c r="M333" i="3"/>
  <c r="K333" i="3"/>
  <c r="I333" i="3"/>
  <c r="G333" i="3"/>
  <c r="AZ332" i="3"/>
  <c r="AX332" i="3"/>
  <c r="AV332" i="3"/>
  <c r="AT332" i="3"/>
  <c r="AQ332" i="3"/>
  <c r="AO332" i="3"/>
  <c r="AM332" i="3"/>
  <c r="AK332" i="3"/>
  <c r="AC332" i="3"/>
  <c r="AA332" i="3"/>
  <c r="Y332" i="3"/>
  <c r="W332" i="3"/>
  <c r="U332" i="3"/>
  <c r="S332" i="3"/>
  <c r="Q332" i="3"/>
  <c r="O332" i="3"/>
  <c r="M332" i="3"/>
  <c r="K332" i="3"/>
  <c r="I332" i="3"/>
  <c r="G332" i="3"/>
  <c r="AZ331" i="3"/>
  <c r="AX331" i="3"/>
  <c r="AV331" i="3"/>
  <c r="AT331" i="3"/>
  <c r="AQ331" i="3"/>
  <c r="AO331" i="3"/>
  <c r="AM331" i="3"/>
  <c r="AK331" i="3"/>
  <c r="AC331" i="3"/>
  <c r="AA331" i="3"/>
  <c r="Y331" i="3"/>
  <c r="W331" i="3"/>
  <c r="U331" i="3"/>
  <c r="S331" i="3"/>
  <c r="Q331" i="3"/>
  <c r="O331" i="3"/>
  <c r="M331" i="3"/>
  <c r="K331" i="3"/>
  <c r="I331" i="3"/>
  <c r="G331" i="3"/>
  <c r="AZ330" i="3"/>
  <c r="AX330" i="3"/>
  <c r="AV330" i="3"/>
  <c r="AT330" i="3"/>
  <c r="AQ330" i="3"/>
  <c r="AO330" i="3"/>
  <c r="AM330" i="3"/>
  <c r="AK330" i="3"/>
  <c r="AC330" i="3"/>
  <c r="AA330" i="3"/>
  <c r="Y330" i="3"/>
  <c r="W330" i="3"/>
  <c r="U330" i="3"/>
  <c r="S330" i="3"/>
  <c r="Q330" i="3"/>
  <c r="O330" i="3"/>
  <c r="M330" i="3"/>
  <c r="K330" i="3"/>
  <c r="I330" i="3"/>
  <c r="G330" i="3"/>
  <c r="AZ329" i="3"/>
  <c r="AX329" i="3"/>
  <c r="AV329" i="3"/>
  <c r="AT329" i="3"/>
  <c r="AQ329" i="3"/>
  <c r="AO329" i="3"/>
  <c r="AM329" i="3"/>
  <c r="AK329" i="3"/>
  <c r="AC329" i="3"/>
  <c r="AA329" i="3"/>
  <c r="Y329" i="3"/>
  <c r="W329" i="3"/>
  <c r="U329" i="3"/>
  <c r="S329" i="3"/>
  <c r="Q329" i="3"/>
  <c r="O329" i="3"/>
  <c r="M329" i="3"/>
  <c r="K329" i="3"/>
  <c r="I329" i="3"/>
  <c r="G329" i="3"/>
  <c r="AZ328" i="3"/>
  <c r="AX328" i="3"/>
  <c r="AV328" i="3"/>
  <c r="AT328" i="3"/>
  <c r="AQ328" i="3"/>
  <c r="AO328" i="3"/>
  <c r="AM328" i="3"/>
  <c r="AK328" i="3"/>
  <c r="AC328" i="3"/>
  <c r="AA328" i="3"/>
  <c r="Y328" i="3"/>
  <c r="W328" i="3"/>
  <c r="U328" i="3"/>
  <c r="S328" i="3"/>
  <c r="Q328" i="3"/>
  <c r="O328" i="3"/>
  <c r="M328" i="3"/>
  <c r="K328" i="3"/>
  <c r="I328" i="3"/>
  <c r="G328" i="3"/>
  <c r="AZ327" i="3"/>
  <c r="AX327" i="3"/>
  <c r="AV327" i="3"/>
  <c r="AT327" i="3"/>
  <c r="AQ327" i="3"/>
  <c r="AO327" i="3"/>
  <c r="AM327" i="3"/>
  <c r="AK327" i="3"/>
  <c r="AC327" i="3"/>
  <c r="AA327" i="3"/>
  <c r="Y327" i="3"/>
  <c r="W327" i="3"/>
  <c r="U327" i="3"/>
  <c r="S327" i="3"/>
  <c r="Q327" i="3"/>
  <c r="O327" i="3"/>
  <c r="M327" i="3"/>
  <c r="K327" i="3"/>
  <c r="I327" i="3"/>
  <c r="G327" i="3"/>
  <c r="AZ326" i="3"/>
  <c r="AX326" i="3"/>
  <c r="AV326" i="3"/>
  <c r="AT326" i="3"/>
  <c r="AQ326" i="3"/>
  <c r="AO326" i="3"/>
  <c r="AM326" i="3"/>
  <c r="AK326" i="3"/>
  <c r="AC326" i="3"/>
  <c r="AA326" i="3"/>
  <c r="Y326" i="3"/>
  <c r="W326" i="3"/>
  <c r="U326" i="3"/>
  <c r="S326" i="3"/>
  <c r="Q326" i="3"/>
  <c r="O326" i="3"/>
  <c r="M326" i="3"/>
  <c r="K326" i="3"/>
  <c r="I326" i="3"/>
  <c r="G326" i="3"/>
  <c r="AZ325" i="3"/>
  <c r="AX325" i="3"/>
  <c r="AV325" i="3"/>
  <c r="AT325" i="3"/>
  <c r="AQ325" i="3"/>
  <c r="AO325" i="3"/>
  <c r="AM325" i="3"/>
  <c r="AK325" i="3"/>
  <c r="AC325" i="3"/>
  <c r="AA325" i="3"/>
  <c r="Y325" i="3"/>
  <c r="W325" i="3"/>
  <c r="U325" i="3"/>
  <c r="S325" i="3"/>
  <c r="Q325" i="3"/>
  <c r="O325" i="3"/>
  <c r="M325" i="3"/>
  <c r="K325" i="3"/>
  <c r="I325" i="3"/>
  <c r="G325" i="3"/>
  <c r="AZ324" i="3"/>
  <c r="AX324" i="3"/>
  <c r="AV324" i="3"/>
  <c r="AT324" i="3"/>
  <c r="AQ324" i="3"/>
  <c r="AO324" i="3"/>
  <c r="AM324" i="3"/>
  <c r="AK324" i="3"/>
  <c r="AC324" i="3"/>
  <c r="AA324" i="3"/>
  <c r="Y324" i="3"/>
  <c r="W324" i="3"/>
  <c r="U324" i="3"/>
  <c r="S324" i="3"/>
  <c r="Q324" i="3"/>
  <c r="O324" i="3"/>
  <c r="M324" i="3"/>
  <c r="K324" i="3"/>
  <c r="I324" i="3"/>
  <c r="G324" i="3"/>
  <c r="AZ323" i="3"/>
  <c r="AX323" i="3"/>
  <c r="AV323" i="3"/>
  <c r="AT323" i="3"/>
  <c r="AQ323" i="3"/>
  <c r="AO323" i="3"/>
  <c r="AM323" i="3"/>
  <c r="AK323" i="3"/>
  <c r="AC323" i="3"/>
  <c r="AA323" i="3"/>
  <c r="Y323" i="3"/>
  <c r="W323" i="3"/>
  <c r="U323" i="3"/>
  <c r="S323" i="3"/>
  <c r="Q323" i="3"/>
  <c r="O323" i="3"/>
  <c r="M323" i="3"/>
  <c r="K323" i="3"/>
  <c r="I323" i="3"/>
  <c r="G323" i="3"/>
  <c r="AZ322" i="3"/>
  <c r="AX322" i="3"/>
  <c r="AV322" i="3"/>
  <c r="AT322" i="3"/>
  <c r="AQ322" i="3"/>
  <c r="AO322" i="3"/>
  <c r="AM322" i="3"/>
  <c r="AK322" i="3"/>
  <c r="AC322" i="3"/>
  <c r="AA322" i="3"/>
  <c r="Y322" i="3"/>
  <c r="W322" i="3"/>
  <c r="U322" i="3"/>
  <c r="S322" i="3"/>
  <c r="Q322" i="3"/>
  <c r="O322" i="3"/>
  <c r="M322" i="3"/>
  <c r="K322" i="3"/>
  <c r="I322" i="3"/>
  <c r="G322" i="3"/>
  <c r="AZ321" i="3"/>
  <c r="AX321" i="3"/>
  <c r="AV321" i="3"/>
  <c r="AT321" i="3"/>
  <c r="AQ321" i="3"/>
  <c r="AO321" i="3"/>
  <c r="AM321" i="3"/>
  <c r="AK321" i="3"/>
  <c r="AC321" i="3"/>
  <c r="AA321" i="3"/>
  <c r="Y321" i="3"/>
  <c r="W321" i="3"/>
  <c r="U321" i="3"/>
  <c r="S321" i="3"/>
  <c r="Q321" i="3"/>
  <c r="O321" i="3"/>
  <c r="M321" i="3"/>
  <c r="K321" i="3"/>
  <c r="I321" i="3"/>
  <c r="G321" i="3"/>
  <c r="AZ320" i="3"/>
  <c r="AX320" i="3"/>
  <c r="AV320" i="3"/>
  <c r="AT320" i="3"/>
  <c r="AQ320" i="3"/>
  <c r="AO320" i="3"/>
  <c r="AM320" i="3"/>
  <c r="AK320" i="3"/>
  <c r="AC320" i="3"/>
  <c r="AA320" i="3"/>
  <c r="Y320" i="3"/>
  <c r="W320" i="3"/>
  <c r="U320" i="3"/>
  <c r="S320" i="3"/>
  <c r="Q320" i="3"/>
  <c r="O320" i="3"/>
  <c r="M320" i="3"/>
  <c r="K320" i="3"/>
  <c r="I320" i="3"/>
  <c r="G320" i="3"/>
  <c r="AZ319" i="3"/>
  <c r="AX319" i="3"/>
  <c r="AV319" i="3"/>
  <c r="AT319" i="3"/>
  <c r="AQ319" i="3"/>
  <c r="AO319" i="3"/>
  <c r="AM319" i="3"/>
  <c r="AK319" i="3"/>
  <c r="AC319" i="3"/>
  <c r="AA319" i="3"/>
  <c r="Y319" i="3"/>
  <c r="W319" i="3"/>
  <c r="U319" i="3"/>
  <c r="S319" i="3"/>
  <c r="Q319" i="3"/>
  <c r="O319" i="3"/>
  <c r="M319" i="3"/>
  <c r="K319" i="3"/>
  <c r="I319" i="3"/>
  <c r="G319" i="3"/>
  <c r="AZ318" i="3"/>
  <c r="AX318" i="3"/>
  <c r="AV318" i="3"/>
  <c r="AT318" i="3"/>
  <c r="AQ318" i="3"/>
  <c r="AO318" i="3"/>
  <c r="AM318" i="3"/>
  <c r="AK318" i="3"/>
  <c r="AC318" i="3"/>
  <c r="AA318" i="3"/>
  <c r="Y318" i="3"/>
  <c r="W318" i="3"/>
  <c r="U318" i="3"/>
  <c r="S318" i="3"/>
  <c r="Q318" i="3"/>
  <c r="O318" i="3"/>
  <c r="M318" i="3"/>
  <c r="K318" i="3"/>
  <c r="I318" i="3"/>
  <c r="G318" i="3"/>
  <c r="AZ317" i="3"/>
  <c r="AX317" i="3"/>
  <c r="AV317" i="3"/>
  <c r="AT317" i="3"/>
  <c r="AQ317" i="3"/>
  <c r="AO317" i="3"/>
  <c r="AM317" i="3"/>
  <c r="AK317" i="3"/>
  <c r="AC317" i="3"/>
  <c r="AA317" i="3"/>
  <c r="Y317" i="3"/>
  <c r="W317" i="3"/>
  <c r="U317" i="3"/>
  <c r="S317" i="3"/>
  <c r="Q317" i="3"/>
  <c r="O317" i="3"/>
  <c r="M317" i="3"/>
  <c r="K317" i="3"/>
  <c r="I317" i="3"/>
  <c r="G317" i="3"/>
  <c r="AZ316" i="3"/>
  <c r="AX316" i="3"/>
  <c r="AV316" i="3"/>
  <c r="AT316" i="3"/>
  <c r="AQ316" i="3"/>
  <c r="AO316" i="3"/>
  <c r="AM316" i="3"/>
  <c r="AK316" i="3"/>
  <c r="AC316" i="3"/>
  <c r="AA316" i="3"/>
  <c r="Y316" i="3"/>
  <c r="W316" i="3"/>
  <c r="U316" i="3"/>
  <c r="S316" i="3"/>
  <c r="Q316" i="3"/>
  <c r="O316" i="3"/>
  <c r="M316" i="3"/>
  <c r="K316" i="3"/>
  <c r="I316" i="3"/>
  <c r="G316" i="3"/>
  <c r="AZ315" i="3"/>
  <c r="AX315" i="3"/>
  <c r="AV315" i="3"/>
  <c r="AT315" i="3"/>
  <c r="AQ315" i="3"/>
  <c r="AO315" i="3"/>
  <c r="AM315" i="3"/>
  <c r="AK315" i="3"/>
  <c r="AC315" i="3"/>
  <c r="AA315" i="3"/>
  <c r="Y315" i="3"/>
  <c r="W315" i="3"/>
  <c r="U315" i="3"/>
  <c r="S315" i="3"/>
  <c r="Q315" i="3"/>
  <c r="O315" i="3"/>
  <c r="M315" i="3"/>
  <c r="K315" i="3"/>
  <c r="I315" i="3"/>
  <c r="G315" i="3"/>
  <c r="AZ314" i="3"/>
  <c r="AX314" i="3"/>
  <c r="AV314" i="3"/>
  <c r="AT314" i="3"/>
  <c r="AQ314" i="3"/>
  <c r="AO314" i="3"/>
  <c r="AM314" i="3"/>
  <c r="AK314" i="3"/>
  <c r="AC314" i="3"/>
  <c r="AA314" i="3"/>
  <c r="Y314" i="3"/>
  <c r="W314" i="3"/>
  <c r="U314" i="3"/>
  <c r="S314" i="3"/>
  <c r="Q314" i="3"/>
  <c r="O314" i="3"/>
  <c r="M314" i="3"/>
  <c r="K314" i="3"/>
  <c r="I314" i="3"/>
  <c r="G314" i="3"/>
  <c r="AZ313" i="3"/>
  <c r="AX313" i="3"/>
  <c r="AV313" i="3"/>
  <c r="AT313" i="3"/>
  <c r="AQ313" i="3"/>
  <c r="AO313" i="3"/>
  <c r="AM313" i="3"/>
  <c r="AK313" i="3"/>
  <c r="AC313" i="3"/>
  <c r="AA313" i="3"/>
  <c r="Y313" i="3"/>
  <c r="W313" i="3"/>
  <c r="U313" i="3"/>
  <c r="S313" i="3"/>
  <c r="Q313" i="3"/>
  <c r="O313" i="3"/>
  <c r="M313" i="3"/>
  <c r="K313" i="3"/>
  <c r="I313" i="3"/>
  <c r="G313" i="3"/>
  <c r="AZ312" i="3"/>
  <c r="AX312" i="3"/>
  <c r="AV312" i="3"/>
  <c r="AT312" i="3"/>
  <c r="AQ312" i="3"/>
  <c r="AO312" i="3"/>
  <c r="AM312" i="3"/>
  <c r="AK312" i="3"/>
  <c r="AC312" i="3"/>
  <c r="AA312" i="3"/>
  <c r="Y312" i="3"/>
  <c r="W312" i="3"/>
  <c r="U312" i="3"/>
  <c r="S312" i="3"/>
  <c r="Q312" i="3"/>
  <c r="O312" i="3"/>
  <c r="M312" i="3"/>
  <c r="K312" i="3"/>
  <c r="I312" i="3"/>
  <c r="G312" i="3"/>
  <c r="AZ311" i="3"/>
  <c r="AX311" i="3"/>
  <c r="AV311" i="3"/>
  <c r="AT311" i="3"/>
  <c r="AQ311" i="3"/>
  <c r="AO311" i="3"/>
  <c r="AM311" i="3"/>
  <c r="AK311" i="3"/>
  <c r="AC311" i="3"/>
  <c r="AA311" i="3"/>
  <c r="Y311" i="3"/>
  <c r="W311" i="3"/>
  <c r="U311" i="3"/>
  <c r="S311" i="3"/>
  <c r="Q311" i="3"/>
  <c r="O311" i="3"/>
  <c r="M311" i="3"/>
  <c r="K311" i="3"/>
  <c r="I311" i="3"/>
  <c r="G311" i="3"/>
  <c r="AZ310" i="3"/>
  <c r="AX310" i="3"/>
  <c r="AV310" i="3"/>
  <c r="AT310" i="3"/>
  <c r="AQ310" i="3"/>
  <c r="AO310" i="3"/>
  <c r="AM310" i="3"/>
  <c r="AK310" i="3"/>
  <c r="AC310" i="3"/>
  <c r="AA310" i="3"/>
  <c r="Y310" i="3"/>
  <c r="W310" i="3"/>
  <c r="U310" i="3"/>
  <c r="S310" i="3"/>
  <c r="Q310" i="3"/>
  <c r="O310" i="3"/>
  <c r="M310" i="3"/>
  <c r="K310" i="3"/>
  <c r="I310" i="3"/>
  <c r="G310" i="3"/>
  <c r="AZ309" i="3"/>
  <c r="AX309" i="3"/>
  <c r="AV309" i="3"/>
  <c r="AT309" i="3"/>
  <c r="AQ309" i="3"/>
  <c r="AO309" i="3"/>
  <c r="AM309" i="3"/>
  <c r="AK309" i="3"/>
  <c r="AC309" i="3"/>
  <c r="AA309" i="3"/>
  <c r="Y309" i="3"/>
  <c r="W309" i="3"/>
  <c r="U309" i="3"/>
  <c r="S309" i="3"/>
  <c r="Q309" i="3"/>
  <c r="O309" i="3"/>
  <c r="M309" i="3"/>
  <c r="K309" i="3"/>
  <c r="I309" i="3"/>
  <c r="G309" i="3"/>
  <c r="AZ308" i="3"/>
  <c r="AX308" i="3"/>
  <c r="AV308" i="3"/>
  <c r="AT308" i="3"/>
  <c r="AQ308" i="3"/>
  <c r="AO308" i="3"/>
  <c r="AM308" i="3"/>
  <c r="AK308" i="3"/>
  <c r="AC308" i="3"/>
  <c r="AA308" i="3"/>
  <c r="Y308" i="3"/>
  <c r="W308" i="3"/>
  <c r="U308" i="3"/>
  <c r="S308" i="3"/>
  <c r="Q308" i="3"/>
  <c r="O308" i="3"/>
  <c r="M308" i="3"/>
  <c r="K308" i="3"/>
  <c r="I308" i="3"/>
  <c r="G308" i="3"/>
  <c r="AZ307" i="3"/>
  <c r="AX307" i="3"/>
  <c r="AV307" i="3"/>
  <c r="AT307" i="3"/>
  <c r="AQ307" i="3"/>
  <c r="AO307" i="3"/>
  <c r="AM307" i="3"/>
  <c r="AK307" i="3"/>
  <c r="AC307" i="3"/>
  <c r="AA307" i="3"/>
  <c r="Y307" i="3"/>
  <c r="W307" i="3"/>
  <c r="U307" i="3"/>
  <c r="S307" i="3"/>
  <c r="Q307" i="3"/>
  <c r="O307" i="3"/>
  <c r="M307" i="3"/>
  <c r="K307" i="3"/>
  <c r="I307" i="3"/>
  <c r="G307" i="3"/>
  <c r="AZ306" i="3"/>
  <c r="AX306" i="3"/>
  <c r="AV306" i="3"/>
  <c r="AT306" i="3"/>
  <c r="AQ306" i="3"/>
  <c r="AO306" i="3"/>
  <c r="AM306" i="3"/>
  <c r="AK306" i="3"/>
  <c r="AC306" i="3"/>
  <c r="AA306" i="3"/>
  <c r="Y306" i="3"/>
  <c r="W306" i="3"/>
  <c r="U306" i="3"/>
  <c r="S306" i="3"/>
  <c r="Q306" i="3"/>
  <c r="O306" i="3"/>
  <c r="M306" i="3"/>
  <c r="K306" i="3"/>
  <c r="I306" i="3"/>
  <c r="G306" i="3"/>
  <c r="AZ305" i="3"/>
  <c r="AX305" i="3"/>
  <c r="AV305" i="3"/>
  <c r="AT305" i="3"/>
  <c r="AQ305" i="3"/>
  <c r="AO305" i="3"/>
  <c r="AM305" i="3"/>
  <c r="AK305" i="3"/>
  <c r="AC305" i="3"/>
  <c r="AA305" i="3"/>
  <c r="Y305" i="3"/>
  <c r="W305" i="3"/>
  <c r="U305" i="3"/>
  <c r="S305" i="3"/>
  <c r="Q305" i="3"/>
  <c r="O305" i="3"/>
  <c r="M305" i="3"/>
  <c r="K305" i="3"/>
  <c r="I305" i="3"/>
  <c r="G305" i="3"/>
  <c r="AZ304" i="3"/>
  <c r="AX304" i="3"/>
  <c r="AV304" i="3"/>
  <c r="AT304" i="3"/>
  <c r="AQ304" i="3"/>
  <c r="AO304" i="3"/>
  <c r="AM304" i="3"/>
  <c r="AK304" i="3"/>
  <c r="AC304" i="3"/>
  <c r="AA304" i="3"/>
  <c r="Y304" i="3"/>
  <c r="W304" i="3"/>
  <c r="U304" i="3"/>
  <c r="S304" i="3"/>
  <c r="Q304" i="3"/>
  <c r="O304" i="3"/>
  <c r="M304" i="3"/>
  <c r="K304" i="3"/>
  <c r="I304" i="3"/>
  <c r="G304" i="3"/>
  <c r="AZ303" i="3"/>
  <c r="AX303" i="3"/>
  <c r="AV303" i="3"/>
  <c r="AT303" i="3"/>
  <c r="AQ303" i="3"/>
  <c r="AO303" i="3"/>
  <c r="AM303" i="3"/>
  <c r="AK303" i="3"/>
  <c r="AC303" i="3"/>
  <c r="AA303" i="3"/>
  <c r="Y303" i="3"/>
  <c r="W303" i="3"/>
  <c r="U303" i="3"/>
  <c r="S303" i="3"/>
  <c r="Q303" i="3"/>
  <c r="O303" i="3"/>
  <c r="M303" i="3"/>
  <c r="K303" i="3"/>
  <c r="I303" i="3"/>
  <c r="G303" i="3"/>
  <c r="AZ302" i="3"/>
  <c r="AX302" i="3"/>
  <c r="AV302" i="3"/>
  <c r="AT302" i="3"/>
  <c r="AQ302" i="3"/>
  <c r="AO302" i="3"/>
  <c r="AM302" i="3"/>
  <c r="AK302" i="3"/>
  <c r="AC302" i="3"/>
  <c r="AA302" i="3"/>
  <c r="Y302" i="3"/>
  <c r="W302" i="3"/>
  <c r="U302" i="3"/>
  <c r="S302" i="3"/>
  <c r="Q302" i="3"/>
  <c r="O302" i="3"/>
  <c r="M302" i="3"/>
  <c r="K302" i="3"/>
  <c r="I302" i="3"/>
  <c r="G302" i="3"/>
  <c r="AZ301" i="3"/>
  <c r="AX301" i="3"/>
  <c r="AV301" i="3"/>
  <c r="AT301" i="3"/>
  <c r="AQ301" i="3"/>
  <c r="AO301" i="3"/>
  <c r="AM301" i="3"/>
  <c r="AK301" i="3"/>
  <c r="AC301" i="3"/>
  <c r="AA301" i="3"/>
  <c r="Y301" i="3"/>
  <c r="W301" i="3"/>
  <c r="U301" i="3"/>
  <c r="S301" i="3"/>
  <c r="Q301" i="3"/>
  <c r="O301" i="3"/>
  <c r="M301" i="3"/>
  <c r="K301" i="3"/>
  <c r="I301" i="3"/>
  <c r="G301" i="3"/>
  <c r="AZ300" i="3"/>
  <c r="AX300" i="3"/>
  <c r="AV300" i="3"/>
  <c r="AT300" i="3"/>
  <c r="AQ300" i="3"/>
  <c r="AO300" i="3"/>
  <c r="AM300" i="3"/>
  <c r="AK300" i="3"/>
  <c r="AC300" i="3"/>
  <c r="AA300" i="3"/>
  <c r="Y300" i="3"/>
  <c r="W300" i="3"/>
  <c r="U300" i="3"/>
  <c r="S300" i="3"/>
  <c r="Q300" i="3"/>
  <c r="O300" i="3"/>
  <c r="M300" i="3"/>
  <c r="K300" i="3"/>
  <c r="I300" i="3"/>
  <c r="G300" i="3"/>
  <c r="AZ299" i="3"/>
  <c r="AX299" i="3"/>
  <c r="AV299" i="3"/>
  <c r="AT299" i="3"/>
  <c r="AQ299" i="3"/>
  <c r="AO299" i="3"/>
  <c r="AM299" i="3"/>
  <c r="AK299" i="3"/>
  <c r="AC299" i="3"/>
  <c r="AA299" i="3"/>
  <c r="Y299" i="3"/>
  <c r="W299" i="3"/>
  <c r="U299" i="3"/>
  <c r="S299" i="3"/>
  <c r="Q299" i="3"/>
  <c r="O299" i="3"/>
  <c r="M299" i="3"/>
  <c r="K299" i="3"/>
  <c r="I299" i="3"/>
  <c r="G299" i="3"/>
  <c r="AZ298" i="3"/>
  <c r="AX298" i="3"/>
  <c r="AV298" i="3"/>
  <c r="AT298" i="3"/>
  <c r="AQ298" i="3"/>
  <c r="AO298" i="3"/>
  <c r="AM298" i="3"/>
  <c r="AK298" i="3"/>
  <c r="AC298" i="3"/>
  <c r="AA298" i="3"/>
  <c r="Y298" i="3"/>
  <c r="W298" i="3"/>
  <c r="U298" i="3"/>
  <c r="S298" i="3"/>
  <c r="Q298" i="3"/>
  <c r="O298" i="3"/>
  <c r="M298" i="3"/>
  <c r="K298" i="3"/>
  <c r="I298" i="3"/>
  <c r="G298" i="3"/>
  <c r="AZ297" i="3"/>
  <c r="AX297" i="3"/>
  <c r="AV297" i="3"/>
  <c r="AT297" i="3"/>
  <c r="AQ297" i="3"/>
  <c r="AO297" i="3"/>
  <c r="AM297" i="3"/>
  <c r="AK297" i="3"/>
  <c r="AC297" i="3"/>
  <c r="AA297" i="3"/>
  <c r="Y297" i="3"/>
  <c r="W297" i="3"/>
  <c r="U297" i="3"/>
  <c r="S297" i="3"/>
  <c r="Q297" i="3"/>
  <c r="O297" i="3"/>
  <c r="M297" i="3"/>
  <c r="K297" i="3"/>
  <c r="I297" i="3"/>
  <c r="G297" i="3"/>
  <c r="AZ296" i="3"/>
  <c r="AX296" i="3"/>
  <c r="AV296" i="3"/>
  <c r="AT296" i="3"/>
  <c r="AQ296" i="3"/>
  <c r="AO296" i="3"/>
  <c r="AM296" i="3"/>
  <c r="AK296" i="3"/>
  <c r="AC296" i="3"/>
  <c r="AA296" i="3"/>
  <c r="Y296" i="3"/>
  <c r="W296" i="3"/>
  <c r="U296" i="3"/>
  <c r="S296" i="3"/>
  <c r="Q296" i="3"/>
  <c r="O296" i="3"/>
  <c r="M296" i="3"/>
  <c r="K296" i="3"/>
  <c r="I296" i="3"/>
  <c r="G296" i="3"/>
  <c r="AZ295" i="3"/>
  <c r="AX295" i="3"/>
  <c r="AV295" i="3"/>
  <c r="AT295" i="3"/>
  <c r="AQ295" i="3"/>
  <c r="AO295" i="3"/>
  <c r="AM295" i="3"/>
  <c r="AK295" i="3"/>
  <c r="AC295" i="3"/>
  <c r="AA295" i="3"/>
  <c r="Y295" i="3"/>
  <c r="W295" i="3"/>
  <c r="U295" i="3"/>
  <c r="S295" i="3"/>
  <c r="Q295" i="3"/>
  <c r="O295" i="3"/>
  <c r="M295" i="3"/>
  <c r="K295" i="3"/>
  <c r="I295" i="3"/>
  <c r="G295" i="3"/>
  <c r="AZ294" i="3"/>
  <c r="AX294" i="3"/>
  <c r="AV294" i="3"/>
  <c r="AT294" i="3"/>
  <c r="AQ294" i="3"/>
  <c r="AO294" i="3"/>
  <c r="AM294" i="3"/>
  <c r="AK294" i="3"/>
  <c r="AC294" i="3"/>
  <c r="AA294" i="3"/>
  <c r="Y294" i="3"/>
  <c r="W294" i="3"/>
  <c r="U294" i="3"/>
  <c r="S294" i="3"/>
  <c r="Q294" i="3"/>
  <c r="O294" i="3"/>
  <c r="M294" i="3"/>
  <c r="K294" i="3"/>
  <c r="I294" i="3"/>
  <c r="G294" i="3"/>
  <c r="AZ293" i="3"/>
  <c r="AX293" i="3"/>
  <c r="AV293" i="3"/>
  <c r="AT293" i="3"/>
  <c r="AQ293" i="3"/>
  <c r="AO293" i="3"/>
  <c r="AM293" i="3"/>
  <c r="AK293" i="3"/>
  <c r="AC293" i="3"/>
  <c r="AA293" i="3"/>
  <c r="Y293" i="3"/>
  <c r="W293" i="3"/>
  <c r="U293" i="3"/>
  <c r="S293" i="3"/>
  <c r="Q293" i="3"/>
  <c r="O293" i="3"/>
  <c r="M293" i="3"/>
  <c r="K293" i="3"/>
  <c r="I293" i="3"/>
  <c r="G293" i="3"/>
  <c r="AZ292" i="3"/>
  <c r="AX292" i="3"/>
  <c r="AV292" i="3"/>
  <c r="AT292" i="3"/>
  <c r="AQ292" i="3"/>
  <c r="AO292" i="3"/>
  <c r="AM292" i="3"/>
  <c r="AK292" i="3"/>
  <c r="AC292" i="3"/>
  <c r="AA292" i="3"/>
  <c r="Y292" i="3"/>
  <c r="W292" i="3"/>
  <c r="U292" i="3"/>
  <c r="S292" i="3"/>
  <c r="Q292" i="3"/>
  <c r="O292" i="3"/>
  <c r="M292" i="3"/>
  <c r="K292" i="3"/>
  <c r="I292" i="3"/>
  <c r="G292" i="3"/>
  <c r="AZ291" i="3"/>
  <c r="AX291" i="3"/>
  <c r="AV291" i="3"/>
  <c r="AT291" i="3"/>
  <c r="AQ291" i="3"/>
  <c r="AO291" i="3"/>
  <c r="AM291" i="3"/>
  <c r="AK291" i="3"/>
  <c r="AC291" i="3"/>
  <c r="AA291" i="3"/>
  <c r="Y291" i="3"/>
  <c r="W291" i="3"/>
  <c r="U291" i="3"/>
  <c r="S291" i="3"/>
  <c r="Q291" i="3"/>
  <c r="O291" i="3"/>
  <c r="M291" i="3"/>
  <c r="K291" i="3"/>
  <c r="I291" i="3"/>
  <c r="G291" i="3"/>
  <c r="AZ290" i="3"/>
  <c r="AX290" i="3"/>
  <c r="AV290" i="3"/>
  <c r="AT290" i="3"/>
  <c r="AQ290" i="3"/>
  <c r="AO290" i="3"/>
  <c r="AM290" i="3"/>
  <c r="AK290" i="3"/>
  <c r="AC290" i="3"/>
  <c r="AA290" i="3"/>
  <c r="Y290" i="3"/>
  <c r="W290" i="3"/>
  <c r="U290" i="3"/>
  <c r="S290" i="3"/>
  <c r="Q290" i="3"/>
  <c r="O290" i="3"/>
  <c r="M290" i="3"/>
  <c r="K290" i="3"/>
  <c r="I290" i="3"/>
  <c r="G290" i="3"/>
  <c r="AZ289" i="3"/>
  <c r="AX289" i="3"/>
  <c r="AV289" i="3"/>
  <c r="AT289" i="3"/>
  <c r="AQ289" i="3"/>
  <c r="AO289" i="3"/>
  <c r="AM289" i="3"/>
  <c r="AK289" i="3"/>
  <c r="AC289" i="3"/>
  <c r="AA289" i="3"/>
  <c r="Y289" i="3"/>
  <c r="W289" i="3"/>
  <c r="U289" i="3"/>
  <c r="S289" i="3"/>
  <c r="Q289" i="3"/>
  <c r="O289" i="3"/>
  <c r="M289" i="3"/>
  <c r="K289" i="3"/>
  <c r="I289" i="3"/>
  <c r="G289" i="3"/>
  <c r="AZ288" i="3"/>
  <c r="AX288" i="3"/>
  <c r="AV288" i="3"/>
  <c r="AT288" i="3"/>
  <c r="AQ288" i="3"/>
  <c r="AO288" i="3"/>
  <c r="AM288" i="3"/>
  <c r="AK288" i="3"/>
  <c r="AC288" i="3"/>
  <c r="AA288" i="3"/>
  <c r="Y288" i="3"/>
  <c r="W288" i="3"/>
  <c r="U288" i="3"/>
  <c r="S288" i="3"/>
  <c r="Q288" i="3"/>
  <c r="O288" i="3"/>
  <c r="M288" i="3"/>
  <c r="K288" i="3"/>
  <c r="I288" i="3"/>
  <c r="G288" i="3"/>
  <c r="AZ287" i="3"/>
  <c r="AX287" i="3"/>
  <c r="AV287" i="3"/>
  <c r="AT287" i="3"/>
  <c r="AQ287" i="3"/>
  <c r="AO287" i="3"/>
  <c r="AM287" i="3"/>
  <c r="AK287" i="3"/>
  <c r="AC287" i="3"/>
  <c r="AA287" i="3"/>
  <c r="Y287" i="3"/>
  <c r="W287" i="3"/>
  <c r="U287" i="3"/>
  <c r="S287" i="3"/>
  <c r="Q287" i="3"/>
  <c r="O287" i="3"/>
  <c r="M287" i="3"/>
  <c r="K287" i="3"/>
  <c r="I287" i="3"/>
  <c r="G287" i="3"/>
  <c r="AZ286" i="3"/>
  <c r="AX286" i="3"/>
  <c r="AV286" i="3"/>
  <c r="AT286" i="3"/>
  <c r="AQ286" i="3"/>
  <c r="AO286" i="3"/>
  <c r="AM286" i="3"/>
  <c r="AK286" i="3"/>
  <c r="AC286" i="3"/>
  <c r="AA286" i="3"/>
  <c r="Y286" i="3"/>
  <c r="W286" i="3"/>
  <c r="U286" i="3"/>
  <c r="S286" i="3"/>
  <c r="Q286" i="3"/>
  <c r="O286" i="3"/>
  <c r="M286" i="3"/>
  <c r="K286" i="3"/>
  <c r="I286" i="3"/>
  <c r="G286" i="3"/>
  <c r="AZ285" i="3"/>
  <c r="AX285" i="3"/>
  <c r="AV285" i="3"/>
  <c r="AT285" i="3"/>
  <c r="AQ285" i="3"/>
  <c r="AO285" i="3"/>
  <c r="AM285" i="3"/>
  <c r="AK285" i="3"/>
  <c r="AC285" i="3"/>
  <c r="AA285" i="3"/>
  <c r="Y285" i="3"/>
  <c r="W285" i="3"/>
  <c r="U285" i="3"/>
  <c r="S285" i="3"/>
  <c r="Q285" i="3"/>
  <c r="O285" i="3"/>
  <c r="M285" i="3"/>
  <c r="K285" i="3"/>
  <c r="I285" i="3"/>
  <c r="G285" i="3"/>
  <c r="AZ284" i="3"/>
  <c r="AX284" i="3"/>
  <c r="AV284" i="3"/>
  <c r="AT284" i="3"/>
  <c r="AQ284" i="3"/>
  <c r="AO284" i="3"/>
  <c r="AM284" i="3"/>
  <c r="AK284" i="3"/>
  <c r="AC284" i="3"/>
  <c r="AA284" i="3"/>
  <c r="Y284" i="3"/>
  <c r="W284" i="3"/>
  <c r="U284" i="3"/>
  <c r="S284" i="3"/>
  <c r="Q284" i="3"/>
  <c r="O284" i="3"/>
  <c r="M284" i="3"/>
  <c r="K284" i="3"/>
  <c r="I284" i="3"/>
  <c r="G284" i="3"/>
  <c r="AZ283" i="3"/>
  <c r="AX283" i="3"/>
  <c r="AV283" i="3"/>
  <c r="AT283" i="3"/>
  <c r="AQ283" i="3"/>
  <c r="AO283" i="3"/>
  <c r="AM283" i="3"/>
  <c r="AK283" i="3"/>
  <c r="AC283" i="3"/>
  <c r="AA283" i="3"/>
  <c r="Y283" i="3"/>
  <c r="W283" i="3"/>
  <c r="U283" i="3"/>
  <c r="S283" i="3"/>
  <c r="Q283" i="3"/>
  <c r="O283" i="3"/>
  <c r="M283" i="3"/>
  <c r="K283" i="3"/>
  <c r="I283" i="3"/>
  <c r="G283" i="3"/>
  <c r="AZ282" i="3"/>
  <c r="AX282" i="3"/>
  <c r="AV282" i="3"/>
  <c r="AT282" i="3"/>
  <c r="AQ282" i="3"/>
  <c r="AO282" i="3"/>
  <c r="AM282" i="3"/>
  <c r="AK282" i="3"/>
  <c r="AC282" i="3"/>
  <c r="AA282" i="3"/>
  <c r="Y282" i="3"/>
  <c r="W282" i="3"/>
  <c r="U282" i="3"/>
  <c r="S282" i="3"/>
  <c r="Q282" i="3"/>
  <c r="O282" i="3"/>
  <c r="M282" i="3"/>
  <c r="K282" i="3"/>
  <c r="I282" i="3"/>
  <c r="G282" i="3"/>
  <c r="AZ281" i="3"/>
  <c r="AX281" i="3"/>
  <c r="AV281" i="3"/>
  <c r="AT281" i="3"/>
  <c r="AQ281" i="3"/>
  <c r="AO281" i="3"/>
  <c r="AM281" i="3"/>
  <c r="AK281" i="3"/>
  <c r="AC281" i="3"/>
  <c r="AA281" i="3"/>
  <c r="Y281" i="3"/>
  <c r="W281" i="3"/>
  <c r="U281" i="3"/>
  <c r="S281" i="3"/>
  <c r="Q281" i="3"/>
  <c r="O281" i="3"/>
  <c r="M281" i="3"/>
  <c r="K281" i="3"/>
  <c r="I281" i="3"/>
  <c r="G281" i="3"/>
  <c r="AZ280" i="3"/>
  <c r="AX280" i="3"/>
  <c r="AV280" i="3"/>
  <c r="AT280" i="3"/>
  <c r="AQ280" i="3"/>
  <c r="AO280" i="3"/>
  <c r="AM280" i="3"/>
  <c r="AK280" i="3"/>
  <c r="AC280" i="3"/>
  <c r="AA280" i="3"/>
  <c r="Y280" i="3"/>
  <c r="W280" i="3"/>
  <c r="U280" i="3"/>
  <c r="S280" i="3"/>
  <c r="Q280" i="3"/>
  <c r="O280" i="3"/>
  <c r="M280" i="3"/>
  <c r="K280" i="3"/>
  <c r="I280" i="3"/>
  <c r="G280" i="3"/>
  <c r="AZ279" i="3"/>
  <c r="AX279" i="3"/>
  <c r="AV279" i="3"/>
  <c r="AT279" i="3"/>
  <c r="AQ279" i="3"/>
  <c r="AO279" i="3"/>
  <c r="AM279" i="3"/>
  <c r="AK279" i="3"/>
  <c r="AC279" i="3"/>
  <c r="AA279" i="3"/>
  <c r="Y279" i="3"/>
  <c r="W279" i="3"/>
  <c r="U279" i="3"/>
  <c r="S279" i="3"/>
  <c r="Q279" i="3"/>
  <c r="O279" i="3"/>
  <c r="M279" i="3"/>
  <c r="K279" i="3"/>
  <c r="I279" i="3"/>
  <c r="G279" i="3"/>
  <c r="AZ278" i="3"/>
  <c r="AX278" i="3"/>
  <c r="AV278" i="3"/>
  <c r="AT278" i="3"/>
  <c r="AQ278" i="3"/>
  <c r="AO278" i="3"/>
  <c r="AM278" i="3"/>
  <c r="AK278" i="3"/>
  <c r="AC278" i="3"/>
  <c r="AA278" i="3"/>
  <c r="Y278" i="3"/>
  <c r="W278" i="3"/>
  <c r="U278" i="3"/>
  <c r="S278" i="3"/>
  <c r="Q278" i="3"/>
  <c r="O278" i="3"/>
  <c r="M278" i="3"/>
  <c r="K278" i="3"/>
  <c r="I278" i="3"/>
  <c r="G278" i="3"/>
  <c r="AZ277" i="3"/>
  <c r="AX277" i="3"/>
  <c r="AV277" i="3"/>
  <c r="AT277" i="3"/>
  <c r="AQ277" i="3"/>
  <c r="AO277" i="3"/>
  <c r="AM277" i="3"/>
  <c r="AK277" i="3"/>
  <c r="AC277" i="3"/>
  <c r="AA277" i="3"/>
  <c r="Y277" i="3"/>
  <c r="W277" i="3"/>
  <c r="U277" i="3"/>
  <c r="S277" i="3"/>
  <c r="Q277" i="3"/>
  <c r="O277" i="3"/>
  <c r="M277" i="3"/>
  <c r="K277" i="3"/>
  <c r="I277" i="3"/>
  <c r="G277" i="3"/>
  <c r="AZ276" i="3"/>
  <c r="AX276" i="3"/>
  <c r="AV276" i="3"/>
  <c r="AT276" i="3"/>
  <c r="AQ276" i="3"/>
  <c r="AO276" i="3"/>
  <c r="AM276" i="3"/>
  <c r="AK276" i="3"/>
  <c r="AC276" i="3"/>
  <c r="AA276" i="3"/>
  <c r="Y276" i="3"/>
  <c r="W276" i="3"/>
  <c r="U276" i="3"/>
  <c r="S276" i="3"/>
  <c r="Q276" i="3"/>
  <c r="O276" i="3"/>
  <c r="M276" i="3"/>
  <c r="K276" i="3"/>
  <c r="I276" i="3"/>
  <c r="G276" i="3"/>
  <c r="AZ275" i="3"/>
  <c r="AX275" i="3"/>
  <c r="AV275" i="3"/>
  <c r="AT275" i="3"/>
  <c r="AQ275" i="3"/>
  <c r="AO275" i="3"/>
  <c r="AM275" i="3"/>
  <c r="AK275" i="3"/>
  <c r="AC275" i="3"/>
  <c r="AA275" i="3"/>
  <c r="Y275" i="3"/>
  <c r="W275" i="3"/>
  <c r="U275" i="3"/>
  <c r="S275" i="3"/>
  <c r="Q275" i="3"/>
  <c r="O275" i="3"/>
  <c r="M275" i="3"/>
  <c r="K275" i="3"/>
  <c r="I275" i="3"/>
  <c r="G275" i="3"/>
  <c r="AZ274" i="3"/>
  <c r="AX274" i="3"/>
  <c r="AV274" i="3"/>
  <c r="AT274" i="3"/>
  <c r="AQ274" i="3"/>
  <c r="AO274" i="3"/>
  <c r="AM274" i="3"/>
  <c r="AK274" i="3"/>
  <c r="AC274" i="3"/>
  <c r="AA274" i="3"/>
  <c r="Y274" i="3"/>
  <c r="W274" i="3"/>
  <c r="U274" i="3"/>
  <c r="S274" i="3"/>
  <c r="Q274" i="3"/>
  <c r="O274" i="3"/>
  <c r="M274" i="3"/>
  <c r="K274" i="3"/>
  <c r="I274" i="3"/>
  <c r="G274" i="3"/>
  <c r="AZ273" i="3"/>
  <c r="AX273" i="3"/>
  <c r="AV273" i="3"/>
  <c r="AT273" i="3"/>
  <c r="AQ273" i="3"/>
  <c r="AO273" i="3"/>
  <c r="AM273" i="3"/>
  <c r="AK273" i="3"/>
  <c r="AC273" i="3"/>
  <c r="AA273" i="3"/>
  <c r="Y273" i="3"/>
  <c r="W273" i="3"/>
  <c r="U273" i="3"/>
  <c r="S273" i="3"/>
  <c r="Q273" i="3"/>
  <c r="O273" i="3"/>
  <c r="M273" i="3"/>
  <c r="K273" i="3"/>
  <c r="I273" i="3"/>
  <c r="G273" i="3"/>
  <c r="AZ272" i="3"/>
  <c r="AX272" i="3"/>
  <c r="AV272" i="3"/>
  <c r="AT272" i="3"/>
  <c r="AQ272" i="3"/>
  <c r="AO272" i="3"/>
  <c r="AM272" i="3"/>
  <c r="AK272" i="3"/>
  <c r="AC272" i="3"/>
  <c r="AA272" i="3"/>
  <c r="Y272" i="3"/>
  <c r="W272" i="3"/>
  <c r="U272" i="3"/>
  <c r="S272" i="3"/>
  <c r="Q272" i="3"/>
  <c r="O272" i="3"/>
  <c r="M272" i="3"/>
  <c r="K272" i="3"/>
  <c r="I272" i="3"/>
  <c r="G272" i="3"/>
  <c r="AZ271" i="3"/>
  <c r="AX271" i="3"/>
  <c r="AV271" i="3"/>
  <c r="AT271" i="3"/>
  <c r="AQ271" i="3"/>
  <c r="AO271" i="3"/>
  <c r="AM271" i="3"/>
  <c r="AK271" i="3"/>
  <c r="AC271" i="3"/>
  <c r="AA271" i="3"/>
  <c r="Y271" i="3"/>
  <c r="W271" i="3"/>
  <c r="U271" i="3"/>
  <c r="S271" i="3"/>
  <c r="Q271" i="3"/>
  <c r="O271" i="3"/>
  <c r="M271" i="3"/>
  <c r="K271" i="3"/>
  <c r="I271" i="3"/>
  <c r="G271" i="3"/>
  <c r="AZ270" i="3"/>
  <c r="AX270" i="3"/>
  <c r="AV270" i="3"/>
  <c r="AT270" i="3"/>
  <c r="AQ270" i="3"/>
  <c r="AO270" i="3"/>
  <c r="AM270" i="3"/>
  <c r="AK270" i="3"/>
  <c r="AC270" i="3"/>
  <c r="AA270" i="3"/>
  <c r="Y270" i="3"/>
  <c r="W270" i="3"/>
  <c r="U270" i="3"/>
  <c r="S270" i="3"/>
  <c r="Q270" i="3"/>
  <c r="O270" i="3"/>
  <c r="M270" i="3"/>
  <c r="K270" i="3"/>
  <c r="I270" i="3"/>
  <c r="G270" i="3"/>
  <c r="AZ269" i="3"/>
  <c r="AX269" i="3"/>
  <c r="AV269" i="3"/>
  <c r="AT269" i="3"/>
  <c r="AQ269" i="3"/>
  <c r="AO269" i="3"/>
  <c r="AM269" i="3"/>
  <c r="AK269" i="3"/>
  <c r="AC269" i="3"/>
  <c r="AA269" i="3"/>
  <c r="Y269" i="3"/>
  <c r="W269" i="3"/>
  <c r="U269" i="3"/>
  <c r="S269" i="3"/>
  <c r="Q269" i="3"/>
  <c r="O269" i="3"/>
  <c r="M269" i="3"/>
  <c r="K269" i="3"/>
  <c r="I269" i="3"/>
  <c r="G269" i="3"/>
  <c r="AZ268" i="3"/>
  <c r="AX268" i="3"/>
  <c r="AV268" i="3"/>
  <c r="AT268" i="3"/>
  <c r="AQ268" i="3"/>
  <c r="AO268" i="3"/>
  <c r="AM268" i="3"/>
  <c r="AK268" i="3"/>
  <c r="AC268" i="3"/>
  <c r="AA268" i="3"/>
  <c r="Y268" i="3"/>
  <c r="W268" i="3"/>
  <c r="U268" i="3"/>
  <c r="S268" i="3"/>
  <c r="Q268" i="3"/>
  <c r="O268" i="3"/>
  <c r="M268" i="3"/>
  <c r="K268" i="3"/>
  <c r="I268" i="3"/>
  <c r="G268" i="3"/>
  <c r="AZ267" i="3"/>
  <c r="AX267" i="3"/>
  <c r="AV267" i="3"/>
  <c r="AT267" i="3"/>
  <c r="AQ267" i="3"/>
  <c r="AO267" i="3"/>
  <c r="AM267" i="3"/>
  <c r="AK267" i="3"/>
  <c r="AC267" i="3"/>
  <c r="AA267" i="3"/>
  <c r="Y267" i="3"/>
  <c r="W267" i="3"/>
  <c r="U267" i="3"/>
  <c r="S267" i="3"/>
  <c r="Q267" i="3"/>
  <c r="O267" i="3"/>
  <c r="M267" i="3"/>
  <c r="K267" i="3"/>
  <c r="I267" i="3"/>
  <c r="G267" i="3"/>
  <c r="AZ266" i="3"/>
  <c r="AX266" i="3"/>
  <c r="AV266" i="3"/>
  <c r="AT266" i="3"/>
  <c r="AQ266" i="3"/>
  <c r="AO266" i="3"/>
  <c r="AM266" i="3"/>
  <c r="AK266" i="3"/>
  <c r="AC266" i="3"/>
  <c r="AA266" i="3"/>
  <c r="Y266" i="3"/>
  <c r="W266" i="3"/>
  <c r="U266" i="3"/>
  <c r="S266" i="3"/>
  <c r="Q266" i="3"/>
  <c r="O266" i="3"/>
  <c r="M266" i="3"/>
  <c r="K266" i="3"/>
  <c r="I266" i="3"/>
  <c r="G266" i="3"/>
  <c r="AZ265" i="3"/>
  <c r="AX265" i="3"/>
  <c r="AV265" i="3"/>
  <c r="AT265" i="3"/>
  <c r="AQ265" i="3"/>
  <c r="AO265" i="3"/>
  <c r="AM265" i="3"/>
  <c r="AK265" i="3"/>
  <c r="AC265" i="3"/>
  <c r="AA265" i="3"/>
  <c r="Y265" i="3"/>
  <c r="W265" i="3"/>
  <c r="U265" i="3"/>
  <c r="S265" i="3"/>
  <c r="Q265" i="3"/>
  <c r="O265" i="3"/>
  <c r="M265" i="3"/>
  <c r="K265" i="3"/>
  <c r="I265" i="3"/>
  <c r="G265" i="3"/>
  <c r="AZ264" i="3"/>
  <c r="AX264" i="3"/>
  <c r="AV264" i="3"/>
  <c r="AT264" i="3"/>
  <c r="AQ264" i="3"/>
  <c r="AO264" i="3"/>
  <c r="AM264" i="3"/>
  <c r="AK264" i="3"/>
  <c r="AC264" i="3"/>
  <c r="AA264" i="3"/>
  <c r="Y264" i="3"/>
  <c r="W264" i="3"/>
  <c r="U264" i="3"/>
  <c r="S264" i="3"/>
  <c r="Q264" i="3"/>
  <c r="O264" i="3"/>
  <c r="M264" i="3"/>
  <c r="K264" i="3"/>
  <c r="I264" i="3"/>
  <c r="G264" i="3"/>
  <c r="AZ263" i="3"/>
  <c r="AX263" i="3"/>
  <c r="AV263" i="3"/>
  <c r="AT263" i="3"/>
  <c r="AQ263" i="3"/>
  <c r="AO263" i="3"/>
  <c r="AM263" i="3"/>
  <c r="AK263" i="3"/>
  <c r="AC263" i="3"/>
  <c r="AA263" i="3"/>
  <c r="Y263" i="3"/>
  <c r="W263" i="3"/>
  <c r="U263" i="3"/>
  <c r="S263" i="3"/>
  <c r="Q263" i="3"/>
  <c r="O263" i="3"/>
  <c r="M263" i="3"/>
  <c r="K263" i="3"/>
  <c r="I263" i="3"/>
  <c r="G263" i="3"/>
  <c r="AZ262" i="3"/>
  <c r="AX262" i="3"/>
  <c r="AV262" i="3"/>
  <c r="AT262" i="3"/>
  <c r="AQ262" i="3"/>
  <c r="AO262" i="3"/>
  <c r="AM262" i="3"/>
  <c r="AK262" i="3"/>
  <c r="AC262" i="3"/>
  <c r="AA262" i="3"/>
  <c r="Y262" i="3"/>
  <c r="W262" i="3"/>
  <c r="U262" i="3"/>
  <c r="S262" i="3"/>
  <c r="Q262" i="3"/>
  <c r="O262" i="3"/>
  <c r="M262" i="3"/>
  <c r="K262" i="3"/>
  <c r="I262" i="3"/>
  <c r="G262" i="3"/>
  <c r="AZ261" i="3"/>
  <c r="AX261" i="3"/>
  <c r="AV261" i="3"/>
  <c r="AT261" i="3"/>
  <c r="AQ261" i="3"/>
  <c r="AO261" i="3"/>
  <c r="AM261" i="3"/>
  <c r="AK261" i="3"/>
  <c r="AC261" i="3"/>
  <c r="AA261" i="3"/>
  <c r="Y261" i="3"/>
  <c r="W261" i="3"/>
  <c r="U261" i="3"/>
  <c r="S261" i="3"/>
  <c r="Q261" i="3"/>
  <c r="O261" i="3"/>
  <c r="M261" i="3"/>
  <c r="K261" i="3"/>
  <c r="I261" i="3"/>
  <c r="G261" i="3"/>
  <c r="AZ260" i="3"/>
  <c r="AX260" i="3"/>
  <c r="AV260" i="3"/>
  <c r="AT260" i="3"/>
  <c r="AQ260" i="3"/>
  <c r="AO260" i="3"/>
  <c r="AM260" i="3"/>
  <c r="AK260" i="3"/>
  <c r="AC260" i="3"/>
  <c r="AA260" i="3"/>
  <c r="Y260" i="3"/>
  <c r="W260" i="3"/>
  <c r="U260" i="3"/>
  <c r="S260" i="3"/>
  <c r="Q260" i="3"/>
  <c r="O260" i="3"/>
  <c r="M260" i="3"/>
  <c r="K260" i="3"/>
  <c r="I260" i="3"/>
  <c r="G260" i="3"/>
  <c r="AZ259" i="3"/>
  <c r="AX259" i="3"/>
  <c r="AV259" i="3"/>
  <c r="AT259" i="3"/>
  <c r="AQ259" i="3"/>
  <c r="AO259" i="3"/>
  <c r="AM259" i="3"/>
  <c r="AK259" i="3"/>
  <c r="AC259" i="3"/>
  <c r="AA259" i="3"/>
  <c r="Y259" i="3"/>
  <c r="W259" i="3"/>
  <c r="U259" i="3"/>
  <c r="S259" i="3"/>
  <c r="Q259" i="3"/>
  <c r="O259" i="3"/>
  <c r="M259" i="3"/>
  <c r="K259" i="3"/>
  <c r="I259" i="3"/>
  <c r="G259" i="3"/>
  <c r="AZ258" i="3"/>
  <c r="AX258" i="3"/>
  <c r="AV258" i="3"/>
  <c r="AT258" i="3"/>
  <c r="AQ258" i="3"/>
  <c r="AO258" i="3"/>
  <c r="AM258" i="3"/>
  <c r="AK258" i="3"/>
  <c r="AC258" i="3"/>
  <c r="AA258" i="3"/>
  <c r="Y258" i="3"/>
  <c r="W258" i="3"/>
  <c r="U258" i="3"/>
  <c r="S258" i="3"/>
  <c r="Q258" i="3"/>
  <c r="O258" i="3"/>
  <c r="M258" i="3"/>
  <c r="K258" i="3"/>
  <c r="I258" i="3"/>
  <c r="G258" i="3"/>
  <c r="AZ257" i="3"/>
  <c r="AX257" i="3"/>
  <c r="AV257" i="3"/>
  <c r="AT257" i="3"/>
  <c r="AQ257" i="3"/>
  <c r="AO257" i="3"/>
  <c r="AM257" i="3"/>
  <c r="AK257" i="3"/>
  <c r="AC257" i="3"/>
  <c r="AA257" i="3"/>
  <c r="Y257" i="3"/>
  <c r="W257" i="3"/>
  <c r="U257" i="3"/>
  <c r="S257" i="3"/>
  <c r="Q257" i="3"/>
  <c r="O257" i="3"/>
  <c r="M257" i="3"/>
  <c r="K257" i="3"/>
  <c r="I257" i="3"/>
  <c r="G257" i="3"/>
  <c r="AZ256" i="3"/>
  <c r="AX256" i="3"/>
  <c r="AV256" i="3"/>
  <c r="AT256" i="3"/>
  <c r="AQ256" i="3"/>
  <c r="AO256" i="3"/>
  <c r="AM256" i="3"/>
  <c r="AK256" i="3"/>
  <c r="AC256" i="3"/>
  <c r="AA256" i="3"/>
  <c r="Y256" i="3"/>
  <c r="W256" i="3"/>
  <c r="U256" i="3"/>
  <c r="S256" i="3"/>
  <c r="Q256" i="3"/>
  <c r="O256" i="3"/>
  <c r="M256" i="3"/>
  <c r="K256" i="3"/>
  <c r="I256" i="3"/>
  <c r="G256" i="3"/>
  <c r="AZ255" i="3"/>
  <c r="AX255" i="3"/>
  <c r="AV255" i="3"/>
  <c r="AT255" i="3"/>
  <c r="AQ255" i="3"/>
  <c r="AO255" i="3"/>
  <c r="AM255" i="3"/>
  <c r="AK255" i="3"/>
  <c r="AC255" i="3"/>
  <c r="AA255" i="3"/>
  <c r="Y255" i="3"/>
  <c r="W255" i="3"/>
  <c r="U255" i="3"/>
  <c r="S255" i="3"/>
  <c r="Q255" i="3"/>
  <c r="O255" i="3"/>
  <c r="M255" i="3"/>
  <c r="K255" i="3"/>
  <c r="I255" i="3"/>
  <c r="G255" i="3"/>
  <c r="AZ254" i="3"/>
  <c r="AX254" i="3"/>
  <c r="AV254" i="3"/>
  <c r="AT254" i="3"/>
  <c r="AQ254" i="3"/>
  <c r="AO254" i="3"/>
  <c r="AM254" i="3"/>
  <c r="AK254" i="3"/>
  <c r="AC254" i="3"/>
  <c r="AA254" i="3"/>
  <c r="Y254" i="3"/>
  <c r="W254" i="3"/>
  <c r="U254" i="3"/>
  <c r="S254" i="3"/>
  <c r="Q254" i="3"/>
  <c r="O254" i="3"/>
  <c r="M254" i="3"/>
  <c r="K254" i="3"/>
  <c r="I254" i="3"/>
  <c r="G254" i="3"/>
  <c r="AZ253" i="3"/>
  <c r="AX253" i="3"/>
  <c r="AV253" i="3"/>
  <c r="AT253" i="3"/>
  <c r="AQ253" i="3"/>
  <c r="AO253" i="3"/>
  <c r="AM253" i="3"/>
  <c r="AK253" i="3"/>
  <c r="AC253" i="3"/>
  <c r="AA253" i="3"/>
  <c r="Y253" i="3"/>
  <c r="W253" i="3"/>
  <c r="U253" i="3"/>
  <c r="S253" i="3"/>
  <c r="Q253" i="3"/>
  <c r="O253" i="3"/>
  <c r="M253" i="3"/>
  <c r="K253" i="3"/>
  <c r="I253" i="3"/>
  <c r="G253" i="3"/>
  <c r="AZ252" i="3"/>
  <c r="AX252" i="3"/>
  <c r="AV252" i="3"/>
  <c r="AT252" i="3"/>
  <c r="AQ252" i="3"/>
  <c r="AO252" i="3"/>
  <c r="AM252" i="3"/>
  <c r="AK252" i="3"/>
  <c r="AC252" i="3"/>
  <c r="AA252" i="3"/>
  <c r="Y252" i="3"/>
  <c r="W252" i="3"/>
  <c r="U252" i="3"/>
  <c r="S252" i="3"/>
  <c r="Q252" i="3"/>
  <c r="O252" i="3"/>
  <c r="M252" i="3"/>
  <c r="K252" i="3"/>
  <c r="I252" i="3"/>
  <c r="G252" i="3"/>
  <c r="AZ251" i="3"/>
  <c r="AX251" i="3"/>
  <c r="AV251" i="3"/>
  <c r="AT251" i="3"/>
  <c r="AQ251" i="3"/>
  <c r="AO251" i="3"/>
  <c r="AM251" i="3"/>
  <c r="AK251" i="3"/>
  <c r="AC251" i="3"/>
  <c r="AA251" i="3"/>
  <c r="Y251" i="3"/>
  <c r="W251" i="3"/>
  <c r="U251" i="3"/>
  <c r="S251" i="3"/>
  <c r="Q251" i="3"/>
  <c r="O251" i="3"/>
  <c r="M251" i="3"/>
  <c r="K251" i="3"/>
  <c r="I251" i="3"/>
  <c r="G251" i="3"/>
  <c r="AZ250" i="3"/>
  <c r="AX250" i="3"/>
  <c r="AV250" i="3"/>
  <c r="AT250" i="3"/>
  <c r="AQ250" i="3"/>
  <c r="AO250" i="3"/>
  <c r="AM250" i="3"/>
  <c r="AK250" i="3"/>
  <c r="AC250" i="3"/>
  <c r="AA250" i="3"/>
  <c r="Y250" i="3"/>
  <c r="W250" i="3"/>
  <c r="U250" i="3"/>
  <c r="S250" i="3"/>
  <c r="Q250" i="3"/>
  <c r="O250" i="3"/>
  <c r="M250" i="3"/>
  <c r="K250" i="3"/>
  <c r="I250" i="3"/>
  <c r="G250" i="3"/>
  <c r="AZ249" i="3"/>
  <c r="AX249" i="3"/>
  <c r="AV249" i="3"/>
  <c r="AT249" i="3"/>
  <c r="AQ249" i="3"/>
  <c r="AO249" i="3"/>
  <c r="AM249" i="3"/>
  <c r="AK249" i="3"/>
  <c r="AC249" i="3"/>
  <c r="AA249" i="3"/>
  <c r="Y249" i="3"/>
  <c r="W249" i="3"/>
  <c r="U249" i="3"/>
  <c r="S249" i="3"/>
  <c r="Q249" i="3"/>
  <c r="O249" i="3"/>
  <c r="M249" i="3"/>
  <c r="K249" i="3"/>
  <c r="I249" i="3"/>
  <c r="G249" i="3"/>
  <c r="AZ248" i="3"/>
  <c r="AX248" i="3"/>
  <c r="AV248" i="3"/>
  <c r="AT248" i="3"/>
  <c r="AQ248" i="3"/>
  <c r="AO248" i="3"/>
  <c r="AM248" i="3"/>
  <c r="AK248" i="3"/>
  <c r="AC248" i="3"/>
  <c r="AA248" i="3"/>
  <c r="Y248" i="3"/>
  <c r="W248" i="3"/>
  <c r="U248" i="3"/>
  <c r="S248" i="3"/>
  <c r="Q248" i="3"/>
  <c r="O248" i="3"/>
  <c r="M248" i="3"/>
  <c r="K248" i="3"/>
  <c r="I248" i="3"/>
  <c r="G248" i="3"/>
  <c r="AZ247" i="3"/>
  <c r="AX247" i="3"/>
  <c r="AV247" i="3"/>
  <c r="AT247" i="3"/>
  <c r="AQ247" i="3"/>
  <c r="AO247" i="3"/>
  <c r="AM247" i="3"/>
  <c r="AK247" i="3"/>
  <c r="AC247" i="3"/>
  <c r="AA247" i="3"/>
  <c r="Y247" i="3"/>
  <c r="W247" i="3"/>
  <c r="U247" i="3"/>
  <c r="S247" i="3"/>
  <c r="Q247" i="3"/>
  <c r="O247" i="3"/>
  <c r="M247" i="3"/>
  <c r="K247" i="3"/>
  <c r="I247" i="3"/>
  <c r="G247" i="3"/>
  <c r="AZ246" i="3"/>
  <c r="AX246" i="3"/>
  <c r="AV246" i="3"/>
  <c r="AT246" i="3"/>
  <c r="AQ246" i="3"/>
  <c r="AO246" i="3"/>
  <c r="AM246" i="3"/>
  <c r="AK246" i="3"/>
  <c r="AC246" i="3"/>
  <c r="AA246" i="3"/>
  <c r="Y246" i="3"/>
  <c r="W246" i="3"/>
  <c r="U246" i="3"/>
  <c r="S246" i="3"/>
  <c r="Q246" i="3"/>
  <c r="O246" i="3"/>
  <c r="M246" i="3"/>
  <c r="K246" i="3"/>
  <c r="I246" i="3"/>
  <c r="G246" i="3"/>
  <c r="AZ245" i="3"/>
  <c r="AX245" i="3"/>
  <c r="AV245" i="3"/>
  <c r="AT245" i="3"/>
  <c r="AQ245" i="3"/>
  <c r="AO245" i="3"/>
  <c r="AM245" i="3"/>
  <c r="AK245" i="3"/>
  <c r="AC245" i="3"/>
  <c r="AA245" i="3"/>
  <c r="Y245" i="3"/>
  <c r="W245" i="3"/>
  <c r="U245" i="3"/>
  <c r="S245" i="3"/>
  <c r="Q245" i="3"/>
  <c r="O245" i="3"/>
  <c r="M245" i="3"/>
  <c r="K245" i="3"/>
  <c r="I245" i="3"/>
  <c r="G245" i="3"/>
  <c r="AZ244" i="3"/>
  <c r="AX244" i="3"/>
  <c r="AV244" i="3"/>
  <c r="AT244" i="3"/>
  <c r="AQ244" i="3"/>
  <c r="AO244" i="3"/>
  <c r="AM244" i="3"/>
  <c r="AK244" i="3"/>
  <c r="AC244" i="3"/>
  <c r="AA244" i="3"/>
  <c r="Y244" i="3"/>
  <c r="W244" i="3"/>
  <c r="U244" i="3"/>
  <c r="S244" i="3"/>
  <c r="Q244" i="3"/>
  <c r="O244" i="3"/>
  <c r="M244" i="3"/>
  <c r="K244" i="3"/>
  <c r="I244" i="3"/>
  <c r="G244" i="3"/>
  <c r="AZ243" i="3"/>
  <c r="AX243" i="3"/>
  <c r="AV243" i="3"/>
  <c r="AT243" i="3"/>
  <c r="AQ243" i="3"/>
  <c r="AO243" i="3"/>
  <c r="AM243" i="3"/>
  <c r="AK243" i="3"/>
  <c r="AC243" i="3"/>
  <c r="AA243" i="3"/>
  <c r="Y243" i="3"/>
  <c r="W243" i="3"/>
  <c r="U243" i="3"/>
  <c r="S243" i="3"/>
  <c r="Q243" i="3"/>
  <c r="O243" i="3"/>
  <c r="M243" i="3"/>
  <c r="K243" i="3"/>
  <c r="I243" i="3"/>
  <c r="G243" i="3"/>
  <c r="AZ242" i="3"/>
  <c r="AX242" i="3"/>
  <c r="AV242" i="3"/>
  <c r="AT242" i="3"/>
  <c r="AQ242" i="3"/>
  <c r="AO242" i="3"/>
  <c r="AM242" i="3"/>
  <c r="AK242" i="3"/>
  <c r="AC242" i="3"/>
  <c r="AA242" i="3"/>
  <c r="Y242" i="3"/>
  <c r="W242" i="3"/>
  <c r="U242" i="3"/>
  <c r="S242" i="3"/>
  <c r="Q242" i="3"/>
  <c r="O242" i="3"/>
  <c r="M242" i="3"/>
  <c r="K242" i="3"/>
  <c r="I242" i="3"/>
  <c r="G242" i="3"/>
  <c r="AZ241" i="3"/>
  <c r="AX241" i="3"/>
  <c r="AV241" i="3"/>
  <c r="AT241" i="3"/>
  <c r="AQ241" i="3"/>
  <c r="AO241" i="3"/>
  <c r="AM241" i="3"/>
  <c r="AK241" i="3"/>
  <c r="AC241" i="3"/>
  <c r="AA241" i="3"/>
  <c r="Y241" i="3"/>
  <c r="W241" i="3"/>
  <c r="U241" i="3"/>
  <c r="S241" i="3"/>
  <c r="Q241" i="3"/>
  <c r="O241" i="3"/>
  <c r="M241" i="3"/>
  <c r="K241" i="3"/>
  <c r="I241" i="3"/>
  <c r="G241" i="3"/>
  <c r="AZ240" i="3"/>
  <c r="AX240" i="3"/>
  <c r="AV240" i="3"/>
  <c r="AT240" i="3"/>
  <c r="AQ240" i="3"/>
  <c r="AO240" i="3"/>
  <c r="AM240" i="3"/>
  <c r="AK240" i="3"/>
  <c r="AC240" i="3"/>
  <c r="AA240" i="3"/>
  <c r="Y240" i="3"/>
  <c r="W240" i="3"/>
  <c r="U240" i="3"/>
  <c r="S240" i="3"/>
  <c r="Q240" i="3"/>
  <c r="O240" i="3"/>
  <c r="M240" i="3"/>
  <c r="K240" i="3"/>
  <c r="I240" i="3"/>
  <c r="G240" i="3"/>
  <c r="AZ239" i="3"/>
  <c r="AX239" i="3"/>
  <c r="AV239" i="3"/>
  <c r="AT239" i="3"/>
  <c r="AQ239" i="3"/>
  <c r="AO239" i="3"/>
  <c r="AM239" i="3"/>
  <c r="AK239" i="3"/>
  <c r="AC239" i="3"/>
  <c r="AA239" i="3"/>
  <c r="Y239" i="3"/>
  <c r="W239" i="3"/>
  <c r="U239" i="3"/>
  <c r="S239" i="3"/>
  <c r="Q239" i="3"/>
  <c r="O239" i="3"/>
  <c r="M239" i="3"/>
  <c r="K239" i="3"/>
  <c r="I239" i="3"/>
  <c r="G239" i="3"/>
  <c r="AZ238" i="3"/>
  <c r="AX238" i="3"/>
  <c r="AV238" i="3"/>
  <c r="AT238" i="3"/>
  <c r="AQ238" i="3"/>
  <c r="AO238" i="3"/>
  <c r="AM238" i="3"/>
  <c r="AK238" i="3"/>
  <c r="AC238" i="3"/>
  <c r="AA238" i="3"/>
  <c r="Y238" i="3"/>
  <c r="W238" i="3"/>
  <c r="U238" i="3"/>
  <c r="S238" i="3"/>
  <c r="Q238" i="3"/>
  <c r="O238" i="3"/>
  <c r="M238" i="3"/>
  <c r="K238" i="3"/>
  <c r="I238" i="3"/>
  <c r="G238" i="3"/>
  <c r="AZ237" i="3"/>
  <c r="AX237" i="3"/>
  <c r="AV237" i="3"/>
  <c r="AT237" i="3"/>
  <c r="AQ237" i="3"/>
  <c r="AO237" i="3"/>
  <c r="AM237" i="3"/>
  <c r="AK237" i="3"/>
  <c r="AC237" i="3"/>
  <c r="AA237" i="3"/>
  <c r="Y237" i="3"/>
  <c r="W237" i="3"/>
  <c r="U237" i="3"/>
  <c r="S237" i="3"/>
  <c r="Q237" i="3"/>
  <c r="O237" i="3"/>
  <c r="M237" i="3"/>
  <c r="K237" i="3"/>
  <c r="I237" i="3"/>
  <c r="G237" i="3"/>
  <c r="AZ236" i="3"/>
  <c r="AX236" i="3"/>
  <c r="AV236" i="3"/>
  <c r="AT236" i="3"/>
  <c r="AQ236" i="3"/>
  <c r="AO236" i="3"/>
  <c r="AM236" i="3"/>
  <c r="AK236" i="3"/>
  <c r="AC236" i="3"/>
  <c r="AA236" i="3"/>
  <c r="Y236" i="3"/>
  <c r="W236" i="3"/>
  <c r="U236" i="3"/>
  <c r="S236" i="3"/>
  <c r="Q236" i="3"/>
  <c r="O236" i="3"/>
  <c r="M236" i="3"/>
  <c r="K236" i="3"/>
  <c r="I236" i="3"/>
  <c r="G236" i="3"/>
  <c r="AZ235" i="3"/>
  <c r="AX235" i="3"/>
  <c r="AV235" i="3"/>
  <c r="AT235" i="3"/>
  <c r="AQ235" i="3"/>
  <c r="AO235" i="3"/>
  <c r="AM235" i="3"/>
  <c r="AK235" i="3"/>
  <c r="AC235" i="3"/>
  <c r="AA235" i="3"/>
  <c r="Y235" i="3"/>
  <c r="W235" i="3"/>
  <c r="U235" i="3"/>
  <c r="S235" i="3"/>
  <c r="Q235" i="3"/>
  <c r="O235" i="3"/>
  <c r="M235" i="3"/>
  <c r="K235" i="3"/>
  <c r="I235" i="3"/>
  <c r="G235" i="3"/>
  <c r="AZ234" i="3"/>
  <c r="AX234" i="3"/>
  <c r="AV234" i="3"/>
  <c r="AT234" i="3"/>
  <c r="AQ234" i="3"/>
  <c r="AO234" i="3"/>
  <c r="AM234" i="3"/>
  <c r="AK234" i="3"/>
  <c r="AC234" i="3"/>
  <c r="AA234" i="3"/>
  <c r="Y234" i="3"/>
  <c r="W234" i="3"/>
  <c r="U234" i="3"/>
  <c r="S234" i="3"/>
  <c r="Q234" i="3"/>
  <c r="O234" i="3"/>
  <c r="M234" i="3"/>
  <c r="K234" i="3"/>
  <c r="I234" i="3"/>
  <c r="G234" i="3"/>
  <c r="AZ233" i="3"/>
  <c r="AX233" i="3"/>
  <c r="AV233" i="3"/>
  <c r="AT233" i="3"/>
  <c r="AQ233" i="3"/>
  <c r="AO233" i="3"/>
  <c r="AM233" i="3"/>
  <c r="AK233" i="3"/>
  <c r="AC233" i="3"/>
  <c r="AA233" i="3"/>
  <c r="Y233" i="3"/>
  <c r="W233" i="3"/>
  <c r="U233" i="3"/>
  <c r="S233" i="3"/>
  <c r="Q233" i="3"/>
  <c r="O233" i="3"/>
  <c r="M233" i="3"/>
  <c r="K233" i="3"/>
  <c r="I233" i="3"/>
  <c r="G233" i="3"/>
  <c r="AZ232" i="3"/>
  <c r="AX232" i="3"/>
  <c r="AV232" i="3"/>
  <c r="AT232" i="3"/>
  <c r="AQ232" i="3"/>
  <c r="AO232" i="3"/>
  <c r="AM232" i="3"/>
  <c r="AK232" i="3"/>
  <c r="AC232" i="3"/>
  <c r="AA232" i="3"/>
  <c r="Y232" i="3"/>
  <c r="W232" i="3"/>
  <c r="U232" i="3"/>
  <c r="S232" i="3"/>
  <c r="Q232" i="3"/>
  <c r="O232" i="3"/>
  <c r="M232" i="3"/>
  <c r="K232" i="3"/>
  <c r="I232" i="3"/>
  <c r="G232" i="3"/>
  <c r="AZ231" i="3"/>
  <c r="AX231" i="3"/>
  <c r="AV231" i="3"/>
  <c r="AT231" i="3"/>
  <c r="AQ231" i="3"/>
  <c r="AO231" i="3"/>
  <c r="AM231" i="3"/>
  <c r="AK231" i="3"/>
  <c r="AC231" i="3"/>
  <c r="AA231" i="3"/>
  <c r="Y231" i="3"/>
  <c r="W231" i="3"/>
  <c r="U231" i="3"/>
  <c r="S231" i="3"/>
  <c r="Q231" i="3"/>
  <c r="O231" i="3"/>
  <c r="M231" i="3"/>
  <c r="K231" i="3"/>
  <c r="I231" i="3"/>
  <c r="G231" i="3"/>
  <c r="AZ230" i="3"/>
  <c r="AX230" i="3"/>
  <c r="AV230" i="3"/>
  <c r="AT230" i="3"/>
  <c r="AQ230" i="3"/>
  <c r="AO230" i="3"/>
  <c r="AM230" i="3"/>
  <c r="AK230" i="3"/>
  <c r="AC230" i="3"/>
  <c r="AA230" i="3"/>
  <c r="Y230" i="3"/>
  <c r="W230" i="3"/>
  <c r="U230" i="3"/>
  <c r="S230" i="3"/>
  <c r="Q230" i="3"/>
  <c r="O230" i="3"/>
  <c r="M230" i="3"/>
  <c r="K230" i="3"/>
  <c r="I230" i="3"/>
  <c r="G230" i="3"/>
  <c r="AZ229" i="3"/>
  <c r="AX229" i="3"/>
  <c r="AV229" i="3"/>
  <c r="AT229" i="3"/>
  <c r="AQ229" i="3"/>
  <c r="AO229" i="3"/>
  <c r="AM229" i="3"/>
  <c r="AK229" i="3"/>
  <c r="AC229" i="3"/>
  <c r="AA229" i="3"/>
  <c r="Y229" i="3"/>
  <c r="W229" i="3"/>
  <c r="U229" i="3"/>
  <c r="S229" i="3"/>
  <c r="Q229" i="3"/>
  <c r="O229" i="3"/>
  <c r="M229" i="3"/>
  <c r="K229" i="3"/>
  <c r="I229" i="3"/>
  <c r="G229" i="3"/>
  <c r="AZ228" i="3"/>
  <c r="AX228" i="3"/>
  <c r="AV228" i="3"/>
  <c r="AT228" i="3"/>
  <c r="AQ228" i="3"/>
  <c r="AO228" i="3"/>
  <c r="AM228" i="3"/>
  <c r="AK228" i="3"/>
  <c r="AC228" i="3"/>
  <c r="AA228" i="3"/>
  <c r="Y228" i="3"/>
  <c r="W228" i="3"/>
  <c r="U228" i="3"/>
  <c r="S228" i="3"/>
  <c r="Q228" i="3"/>
  <c r="O228" i="3"/>
  <c r="M228" i="3"/>
  <c r="K228" i="3"/>
  <c r="I228" i="3"/>
  <c r="G228" i="3"/>
  <c r="AZ227" i="3"/>
  <c r="AX227" i="3"/>
  <c r="AV227" i="3"/>
  <c r="AT227" i="3"/>
  <c r="AQ227" i="3"/>
  <c r="AO227" i="3"/>
  <c r="AM227" i="3"/>
  <c r="AK227" i="3"/>
  <c r="AC227" i="3"/>
  <c r="AA227" i="3"/>
  <c r="Y227" i="3"/>
  <c r="W227" i="3"/>
  <c r="U227" i="3"/>
  <c r="S227" i="3"/>
  <c r="Q227" i="3"/>
  <c r="O227" i="3"/>
  <c r="M227" i="3"/>
  <c r="K227" i="3"/>
  <c r="I227" i="3"/>
  <c r="G227" i="3"/>
  <c r="AZ226" i="3"/>
  <c r="AX226" i="3"/>
  <c r="AV226" i="3"/>
  <c r="AT226" i="3"/>
  <c r="AQ226" i="3"/>
  <c r="AO226" i="3"/>
  <c r="AM226" i="3"/>
  <c r="AK226" i="3"/>
  <c r="AC226" i="3"/>
  <c r="AA226" i="3"/>
  <c r="Y226" i="3"/>
  <c r="W226" i="3"/>
  <c r="U226" i="3"/>
  <c r="S226" i="3"/>
  <c r="Q226" i="3"/>
  <c r="O226" i="3"/>
  <c r="M226" i="3"/>
  <c r="K226" i="3"/>
  <c r="I226" i="3"/>
  <c r="G226" i="3"/>
  <c r="AZ225" i="3"/>
  <c r="AX225" i="3"/>
  <c r="AV225" i="3"/>
  <c r="AT225" i="3"/>
  <c r="AQ225" i="3"/>
  <c r="AO225" i="3"/>
  <c r="AM225" i="3"/>
  <c r="AK225" i="3"/>
  <c r="AC225" i="3"/>
  <c r="AA225" i="3"/>
  <c r="Y225" i="3"/>
  <c r="W225" i="3"/>
  <c r="U225" i="3"/>
  <c r="S225" i="3"/>
  <c r="Q225" i="3"/>
  <c r="O225" i="3"/>
  <c r="M225" i="3"/>
  <c r="K225" i="3"/>
  <c r="I225" i="3"/>
  <c r="G225" i="3"/>
  <c r="AZ224" i="3"/>
  <c r="AX224" i="3"/>
  <c r="AV224" i="3"/>
  <c r="AT224" i="3"/>
  <c r="AQ224" i="3"/>
  <c r="AO224" i="3"/>
  <c r="AM224" i="3"/>
  <c r="AK224" i="3"/>
  <c r="AC224" i="3"/>
  <c r="AA224" i="3"/>
  <c r="Y224" i="3"/>
  <c r="W224" i="3"/>
  <c r="U224" i="3"/>
  <c r="S224" i="3"/>
  <c r="Q224" i="3"/>
  <c r="O224" i="3"/>
  <c r="M224" i="3"/>
  <c r="K224" i="3"/>
  <c r="I224" i="3"/>
  <c r="G224" i="3"/>
  <c r="AZ223" i="3"/>
  <c r="AX223" i="3"/>
  <c r="AV223" i="3"/>
  <c r="AT223" i="3"/>
  <c r="AQ223" i="3"/>
  <c r="AO223" i="3"/>
  <c r="AM223" i="3"/>
  <c r="AK223" i="3"/>
  <c r="AC223" i="3"/>
  <c r="AA223" i="3"/>
  <c r="Y223" i="3"/>
  <c r="W223" i="3"/>
  <c r="U223" i="3"/>
  <c r="S223" i="3"/>
  <c r="Q223" i="3"/>
  <c r="O223" i="3"/>
  <c r="M223" i="3"/>
  <c r="K223" i="3"/>
  <c r="I223" i="3"/>
  <c r="G223" i="3"/>
  <c r="AZ222" i="3"/>
  <c r="AX222" i="3"/>
  <c r="AV222" i="3"/>
  <c r="AT222" i="3"/>
  <c r="AQ222" i="3"/>
  <c r="AO222" i="3"/>
  <c r="AM222" i="3"/>
  <c r="AK222" i="3"/>
  <c r="AC222" i="3"/>
  <c r="AA222" i="3"/>
  <c r="Y222" i="3"/>
  <c r="W222" i="3"/>
  <c r="U222" i="3"/>
  <c r="S222" i="3"/>
  <c r="Q222" i="3"/>
  <c r="O222" i="3"/>
  <c r="M222" i="3"/>
  <c r="K222" i="3"/>
  <c r="I222" i="3"/>
  <c r="G222" i="3"/>
  <c r="AZ221" i="3"/>
  <c r="AX221" i="3"/>
  <c r="AV221" i="3"/>
  <c r="AT221" i="3"/>
  <c r="AQ221" i="3"/>
  <c r="AO221" i="3"/>
  <c r="AM221" i="3"/>
  <c r="AK221" i="3"/>
  <c r="AC221" i="3"/>
  <c r="AA221" i="3"/>
  <c r="Y221" i="3"/>
  <c r="W221" i="3"/>
  <c r="U221" i="3"/>
  <c r="S221" i="3"/>
  <c r="Q221" i="3"/>
  <c r="O221" i="3"/>
  <c r="M221" i="3"/>
  <c r="K221" i="3"/>
  <c r="I221" i="3"/>
  <c r="G221" i="3"/>
  <c r="AZ220" i="3"/>
  <c r="AX220" i="3"/>
  <c r="AV220" i="3"/>
  <c r="AT220" i="3"/>
  <c r="AQ220" i="3"/>
  <c r="AO220" i="3"/>
  <c r="AM220" i="3"/>
  <c r="AK220" i="3"/>
  <c r="AC220" i="3"/>
  <c r="AA220" i="3"/>
  <c r="Y220" i="3"/>
  <c r="W220" i="3"/>
  <c r="U220" i="3"/>
  <c r="S220" i="3"/>
  <c r="Q220" i="3"/>
  <c r="O220" i="3"/>
  <c r="M220" i="3"/>
  <c r="K220" i="3"/>
  <c r="I220" i="3"/>
  <c r="G220" i="3"/>
  <c r="AZ219" i="3"/>
  <c r="AX219" i="3"/>
  <c r="AV219" i="3"/>
  <c r="AT219" i="3"/>
  <c r="AQ219" i="3"/>
  <c r="AO219" i="3"/>
  <c r="AM219" i="3"/>
  <c r="AK219" i="3"/>
  <c r="AC219" i="3"/>
  <c r="AA219" i="3"/>
  <c r="Y219" i="3"/>
  <c r="W219" i="3"/>
  <c r="U219" i="3"/>
  <c r="S219" i="3"/>
  <c r="Q219" i="3"/>
  <c r="O219" i="3"/>
  <c r="M219" i="3"/>
  <c r="K219" i="3"/>
  <c r="I219" i="3"/>
  <c r="G219" i="3"/>
  <c r="AZ218" i="3"/>
  <c r="AX218" i="3"/>
  <c r="AV218" i="3"/>
  <c r="AT218" i="3"/>
  <c r="AQ218" i="3"/>
  <c r="AO218" i="3"/>
  <c r="AM218" i="3"/>
  <c r="AK218" i="3"/>
  <c r="AC218" i="3"/>
  <c r="AA218" i="3"/>
  <c r="Y218" i="3"/>
  <c r="W218" i="3"/>
  <c r="U218" i="3"/>
  <c r="S218" i="3"/>
  <c r="Q218" i="3"/>
  <c r="O218" i="3"/>
  <c r="M218" i="3"/>
  <c r="K218" i="3"/>
  <c r="I218" i="3"/>
  <c r="G218" i="3"/>
  <c r="AZ217" i="3"/>
  <c r="AX217" i="3"/>
  <c r="AV217" i="3"/>
  <c r="AT217" i="3"/>
  <c r="AQ217" i="3"/>
  <c r="AO217" i="3"/>
  <c r="AM217" i="3"/>
  <c r="AK217" i="3"/>
  <c r="AC217" i="3"/>
  <c r="AA217" i="3"/>
  <c r="Y217" i="3"/>
  <c r="W217" i="3"/>
  <c r="U217" i="3"/>
  <c r="S217" i="3"/>
  <c r="Q217" i="3"/>
  <c r="O217" i="3"/>
  <c r="M217" i="3"/>
  <c r="K217" i="3"/>
  <c r="I217" i="3"/>
  <c r="G217" i="3"/>
  <c r="AZ216" i="3"/>
  <c r="AX216" i="3"/>
  <c r="AV216" i="3"/>
  <c r="AT216" i="3"/>
  <c r="AQ216" i="3"/>
  <c r="AO216" i="3"/>
  <c r="AM216" i="3"/>
  <c r="AK216" i="3"/>
  <c r="AC216" i="3"/>
  <c r="AA216" i="3"/>
  <c r="Y216" i="3"/>
  <c r="W216" i="3"/>
  <c r="U216" i="3"/>
  <c r="S216" i="3"/>
  <c r="Q216" i="3"/>
  <c r="O216" i="3"/>
  <c r="M216" i="3"/>
  <c r="K216" i="3"/>
  <c r="I216" i="3"/>
  <c r="G216" i="3"/>
  <c r="AZ215" i="3"/>
  <c r="AX215" i="3"/>
  <c r="AV215" i="3"/>
  <c r="AT215" i="3"/>
  <c r="AQ215" i="3"/>
  <c r="AO215" i="3"/>
  <c r="AM215" i="3"/>
  <c r="AK215" i="3"/>
  <c r="AC215" i="3"/>
  <c r="AA215" i="3"/>
  <c r="Y215" i="3"/>
  <c r="W215" i="3"/>
  <c r="U215" i="3"/>
  <c r="S215" i="3"/>
  <c r="Q215" i="3"/>
  <c r="O215" i="3"/>
  <c r="M215" i="3"/>
  <c r="K215" i="3"/>
  <c r="I215" i="3"/>
  <c r="G215" i="3"/>
  <c r="AZ214" i="3"/>
  <c r="AX214" i="3"/>
  <c r="AV214" i="3"/>
  <c r="AT214" i="3"/>
  <c r="AQ214" i="3"/>
  <c r="AO214" i="3"/>
  <c r="AM214" i="3"/>
  <c r="AK214" i="3"/>
  <c r="AC214" i="3"/>
  <c r="AA214" i="3"/>
  <c r="Y214" i="3"/>
  <c r="W214" i="3"/>
  <c r="U214" i="3"/>
  <c r="S214" i="3"/>
  <c r="Q214" i="3"/>
  <c r="O214" i="3"/>
  <c r="M214" i="3"/>
  <c r="K214" i="3"/>
  <c r="I214" i="3"/>
  <c r="G214" i="3"/>
  <c r="AZ213" i="3"/>
  <c r="AX213" i="3"/>
  <c r="AV213" i="3"/>
  <c r="AT213" i="3"/>
  <c r="AQ213" i="3"/>
  <c r="AO213" i="3"/>
  <c r="AM213" i="3"/>
  <c r="AK213" i="3"/>
  <c r="AC213" i="3"/>
  <c r="AA213" i="3"/>
  <c r="Y213" i="3"/>
  <c r="W213" i="3"/>
  <c r="U213" i="3"/>
  <c r="S213" i="3"/>
  <c r="Q213" i="3"/>
  <c r="O213" i="3"/>
  <c r="M213" i="3"/>
  <c r="K213" i="3"/>
  <c r="I213" i="3"/>
  <c r="G213" i="3"/>
  <c r="AZ212" i="3"/>
  <c r="AX212" i="3"/>
  <c r="AV212" i="3"/>
  <c r="AT212" i="3"/>
  <c r="AQ212" i="3"/>
  <c r="AO212" i="3"/>
  <c r="AM212" i="3"/>
  <c r="AK212" i="3"/>
  <c r="AC212" i="3"/>
  <c r="AA212" i="3"/>
  <c r="Y212" i="3"/>
  <c r="W212" i="3"/>
  <c r="U212" i="3"/>
  <c r="S212" i="3"/>
  <c r="Q212" i="3"/>
  <c r="O212" i="3"/>
  <c r="M212" i="3"/>
  <c r="K212" i="3"/>
  <c r="I212" i="3"/>
  <c r="G212" i="3"/>
  <c r="AZ211" i="3"/>
  <c r="AX211" i="3"/>
  <c r="AV211" i="3"/>
  <c r="AT211" i="3"/>
  <c r="AQ211" i="3"/>
  <c r="AO211" i="3"/>
  <c r="AM211" i="3"/>
  <c r="AK211" i="3"/>
  <c r="AC211" i="3"/>
  <c r="AA211" i="3"/>
  <c r="Y211" i="3"/>
  <c r="W211" i="3"/>
  <c r="U211" i="3"/>
  <c r="S211" i="3"/>
  <c r="Q211" i="3"/>
  <c r="O211" i="3"/>
  <c r="M211" i="3"/>
  <c r="K211" i="3"/>
  <c r="I211" i="3"/>
  <c r="G211" i="3"/>
  <c r="AZ210" i="3"/>
  <c r="AX210" i="3"/>
  <c r="AV210" i="3"/>
  <c r="AT210" i="3"/>
  <c r="AQ210" i="3"/>
  <c r="AO210" i="3"/>
  <c r="AM210" i="3"/>
  <c r="AK210" i="3"/>
  <c r="AC210" i="3"/>
  <c r="AA210" i="3"/>
  <c r="Y210" i="3"/>
  <c r="W210" i="3"/>
  <c r="U210" i="3"/>
  <c r="S210" i="3"/>
  <c r="Q210" i="3"/>
  <c r="O210" i="3"/>
  <c r="M210" i="3"/>
  <c r="K210" i="3"/>
  <c r="I210" i="3"/>
  <c r="G210" i="3"/>
  <c r="AZ209" i="3"/>
  <c r="AX209" i="3"/>
  <c r="AV209" i="3"/>
  <c r="AT209" i="3"/>
  <c r="AQ209" i="3"/>
  <c r="AO209" i="3"/>
  <c r="AM209" i="3"/>
  <c r="AK209" i="3"/>
  <c r="AC209" i="3"/>
  <c r="AA209" i="3"/>
  <c r="Y209" i="3"/>
  <c r="W209" i="3"/>
  <c r="U209" i="3"/>
  <c r="S209" i="3"/>
  <c r="Q209" i="3"/>
  <c r="O209" i="3"/>
  <c r="M209" i="3"/>
  <c r="K209" i="3"/>
  <c r="I209" i="3"/>
  <c r="G209" i="3"/>
  <c r="AZ208" i="3"/>
  <c r="AX208" i="3"/>
  <c r="AV208" i="3"/>
  <c r="AT208" i="3"/>
  <c r="AQ208" i="3"/>
  <c r="AO208" i="3"/>
  <c r="AM208" i="3"/>
  <c r="AK208" i="3"/>
  <c r="AC208" i="3"/>
  <c r="AA208" i="3"/>
  <c r="Y208" i="3"/>
  <c r="W208" i="3"/>
  <c r="U208" i="3"/>
  <c r="S208" i="3"/>
  <c r="Q208" i="3"/>
  <c r="O208" i="3"/>
  <c r="M208" i="3"/>
  <c r="K208" i="3"/>
  <c r="I208" i="3"/>
  <c r="G208" i="3"/>
  <c r="AZ207" i="3"/>
  <c r="AX207" i="3"/>
  <c r="AV207" i="3"/>
  <c r="AT207" i="3"/>
  <c r="AQ207" i="3"/>
  <c r="AO207" i="3"/>
  <c r="AM207" i="3"/>
  <c r="AK207" i="3"/>
  <c r="AC207" i="3"/>
  <c r="AA207" i="3"/>
  <c r="Y207" i="3"/>
  <c r="W207" i="3"/>
  <c r="U207" i="3"/>
  <c r="S207" i="3"/>
  <c r="Q207" i="3"/>
  <c r="O207" i="3"/>
  <c r="M207" i="3"/>
  <c r="K207" i="3"/>
  <c r="I207" i="3"/>
  <c r="G207" i="3"/>
  <c r="AZ206" i="3"/>
  <c r="AX206" i="3"/>
  <c r="AV206" i="3"/>
  <c r="AT206" i="3"/>
  <c r="AQ206" i="3"/>
  <c r="AO206" i="3"/>
  <c r="AM206" i="3"/>
  <c r="AK206" i="3"/>
  <c r="AC206" i="3"/>
  <c r="AA206" i="3"/>
  <c r="Y206" i="3"/>
  <c r="W206" i="3"/>
  <c r="U206" i="3"/>
  <c r="S206" i="3"/>
  <c r="Q206" i="3"/>
  <c r="O206" i="3"/>
  <c r="M206" i="3"/>
  <c r="K206" i="3"/>
  <c r="I206" i="3"/>
  <c r="G206" i="3"/>
  <c r="AZ205" i="3"/>
  <c r="AX205" i="3"/>
  <c r="AV205" i="3"/>
  <c r="AT205" i="3"/>
  <c r="AQ205" i="3"/>
  <c r="AO205" i="3"/>
  <c r="AM205" i="3"/>
  <c r="AK205" i="3"/>
  <c r="AC205" i="3"/>
  <c r="AA205" i="3"/>
  <c r="Y205" i="3"/>
  <c r="W205" i="3"/>
  <c r="U205" i="3"/>
  <c r="S205" i="3"/>
  <c r="Q205" i="3"/>
  <c r="O205" i="3"/>
  <c r="M205" i="3"/>
  <c r="K205" i="3"/>
  <c r="I205" i="3"/>
  <c r="G205" i="3"/>
  <c r="AZ204" i="3"/>
  <c r="AX204" i="3"/>
  <c r="AV204" i="3"/>
  <c r="AT204" i="3"/>
  <c r="AQ204" i="3"/>
  <c r="AO204" i="3"/>
  <c r="AM204" i="3"/>
  <c r="AK204" i="3"/>
  <c r="AC204" i="3"/>
  <c r="AA204" i="3"/>
  <c r="Y204" i="3"/>
  <c r="W204" i="3"/>
  <c r="U204" i="3"/>
  <c r="S204" i="3"/>
  <c r="Q204" i="3"/>
  <c r="O204" i="3"/>
  <c r="M204" i="3"/>
  <c r="K204" i="3"/>
  <c r="I204" i="3"/>
  <c r="G204" i="3"/>
  <c r="AZ203" i="3"/>
  <c r="AX203" i="3"/>
  <c r="AV203" i="3"/>
  <c r="AT203" i="3"/>
  <c r="AQ203" i="3"/>
  <c r="AO203" i="3"/>
  <c r="AM203" i="3"/>
  <c r="AK203" i="3"/>
  <c r="AC203" i="3"/>
  <c r="AA203" i="3"/>
  <c r="Y203" i="3"/>
  <c r="W203" i="3"/>
  <c r="U203" i="3"/>
  <c r="S203" i="3"/>
  <c r="Q203" i="3"/>
  <c r="O203" i="3"/>
  <c r="M203" i="3"/>
  <c r="K203" i="3"/>
  <c r="I203" i="3"/>
  <c r="G203" i="3"/>
  <c r="AZ202" i="3"/>
  <c r="AX202" i="3"/>
  <c r="AV202" i="3"/>
  <c r="AT202" i="3"/>
  <c r="AQ202" i="3"/>
  <c r="AO202" i="3"/>
  <c r="AM202" i="3"/>
  <c r="AK202" i="3"/>
  <c r="AC202" i="3"/>
  <c r="AA202" i="3"/>
  <c r="Y202" i="3"/>
  <c r="W202" i="3"/>
  <c r="U202" i="3"/>
  <c r="S202" i="3"/>
  <c r="Q202" i="3"/>
  <c r="O202" i="3"/>
  <c r="M202" i="3"/>
  <c r="K202" i="3"/>
  <c r="I202" i="3"/>
  <c r="G202" i="3"/>
  <c r="AZ201" i="3"/>
  <c r="AX201" i="3"/>
  <c r="AV201" i="3"/>
  <c r="AT201" i="3"/>
  <c r="AQ201" i="3"/>
  <c r="AO201" i="3"/>
  <c r="AM201" i="3"/>
  <c r="AK201" i="3"/>
  <c r="AC201" i="3"/>
  <c r="AA201" i="3"/>
  <c r="Y201" i="3"/>
  <c r="W201" i="3"/>
  <c r="U201" i="3"/>
  <c r="S201" i="3"/>
  <c r="Q201" i="3"/>
  <c r="O201" i="3"/>
  <c r="M201" i="3"/>
  <c r="K201" i="3"/>
  <c r="I201" i="3"/>
  <c r="G201" i="3"/>
  <c r="AZ200" i="3"/>
  <c r="AX200" i="3"/>
  <c r="AV200" i="3"/>
  <c r="AT200" i="3"/>
  <c r="AQ200" i="3"/>
  <c r="AO200" i="3"/>
  <c r="AM200" i="3"/>
  <c r="AK200" i="3"/>
  <c r="AC200" i="3"/>
  <c r="AA200" i="3"/>
  <c r="Y200" i="3"/>
  <c r="W200" i="3"/>
  <c r="U200" i="3"/>
  <c r="S200" i="3"/>
  <c r="Q200" i="3"/>
  <c r="O200" i="3"/>
  <c r="M200" i="3"/>
  <c r="K200" i="3"/>
  <c r="I200" i="3"/>
  <c r="G200" i="3"/>
  <c r="AZ199" i="3"/>
  <c r="AX199" i="3"/>
  <c r="AV199" i="3"/>
  <c r="AT199" i="3"/>
  <c r="AQ199" i="3"/>
  <c r="AO199" i="3"/>
  <c r="AM199" i="3"/>
  <c r="AK199" i="3"/>
  <c r="AC199" i="3"/>
  <c r="AA199" i="3"/>
  <c r="Y199" i="3"/>
  <c r="W199" i="3"/>
  <c r="U199" i="3"/>
  <c r="S199" i="3"/>
  <c r="Q199" i="3"/>
  <c r="O199" i="3"/>
  <c r="M199" i="3"/>
  <c r="K199" i="3"/>
  <c r="I199" i="3"/>
  <c r="G199" i="3"/>
  <c r="AZ198" i="3"/>
  <c r="AX198" i="3"/>
  <c r="AV198" i="3"/>
  <c r="AT198" i="3"/>
  <c r="AQ198" i="3"/>
  <c r="AO198" i="3"/>
  <c r="AM198" i="3"/>
  <c r="AK198" i="3"/>
  <c r="AC198" i="3"/>
  <c r="AA198" i="3"/>
  <c r="Y198" i="3"/>
  <c r="W198" i="3"/>
  <c r="U198" i="3"/>
  <c r="S198" i="3"/>
  <c r="Q198" i="3"/>
  <c r="O198" i="3"/>
  <c r="M198" i="3"/>
  <c r="K198" i="3"/>
  <c r="I198" i="3"/>
  <c r="G198" i="3"/>
  <c r="AZ197" i="3"/>
  <c r="AX197" i="3"/>
  <c r="AV197" i="3"/>
  <c r="AT197" i="3"/>
  <c r="AQ197" i="3"/>
  <c r="AO197" i="3"/>
  <c r="AM197" i="3"/>
  <c r="AK197" i="3"/>
  <c r="AC197" i="3"/>
  <c r="AA197" i="3"/>
  <c r="Y197" i="3"/>
  <c r="W197" i="3"/>
  <c r="U197" i="3"/>
  <c r="S197" i="3"/>
  <c r="Q197" i="3"/>
  <c r="O197" i="3"/>
  <c r="M197" i="3"/>
  <c r="K197" i="3"/>
  <c r="I197" i="3"/>
  <c r="G197" i="3"/>
  <c r="AZ196" i="3"/>
  <c r="AX196" i="3"/>
  <c r="AV196" i="3"/>
  <c r="AT196" i="3"/>
  <c r="AQ196" i="3"/>
  <c r="AO196" i="3"/>
  <c r="AM196" i="3"/>
  <c r="AK196" i="3"/>
  <c r="AC196" i="3"/>
  <c r="AA196" i="3"/>
  <c r="Y196" i="3"/>
  <c r="W196" i="3"/>
  <c r="U196" i="3"/>
  <c r="S196" i="3"/>
  <c r="Q196" i="3"/>
  <c r="O196" i="3"/>
  <c r="M196" i="3"/>
  <c r="K196" i="3"/>
  <c r="I196" i="3"/>
  <c r="G196" i="3"/>
  <c r="AZ195" i="3"/>
  <c r="AX195" i="3"/>
  <c r="AV195" i="3"/>
  <c r="AT195" i="3"/>
  <c r="AQ195" i="3"/>
  <c r="AO195" i="3"/>
  <c r="AM195" i="3"/>
  <c r="AK195" i="3"/>
  <c r="AC195" i="3"/>
  <c r="AA195" i="3"/>
  <c r="Y195" i="3"/>
  <c r="W195" i="3"/>
  <c r="U195" i="3"/>
  <c r="S195" i="3"/>
  <c r="Q195" i="3"/>
  <c r="O195" i="3"/>
  <c r="M195" i="3"/>
  <c r="K195" i="3"/>
  <c r="I195" i="3"/>
  <c r="G195" i="3"/>
  <c r="AZ194" i="3"/>
  <c r="AX194" i="3"/>
  <c r="AV194" i="3"/>
  <c r="AT194" i="3"/>
  <c r="AQ194" i="3"/>
  <c r="AO194" i="3"/>
  <c r="AM194" i="3"/>
  <c r="AK194" i="3"/>
  <c r="AC194" i="3"/>
  <c r="AA194" i="3"/>
  <c r="Y194" i="3"/>
  <c r="W194" i="3"/>
  <c r="U194" i="3"/>
  <c r="S194" i="3"/>
  <c r="Q194" i="3"/>
  <c r="O194" i="3"/>
  <c r="M194" i="3"/>
  <c r="K194" i="3"/>
  <c r="I194" i="3"/>
  <c r="G194" i="3"/>
  <c r="AZ193" i="3"/>
  <c r="AX193" i="3"/>
  <c r="AV193" i="3"/>
  <c r="AT193" i="3"/>
  <c r="AQ193" i="3"/>
  <c r="AO193" i="3"/>
  <c r="AM193" i="3"/>
  <c r="AK193" i="3"/>
  <c r="AC193" i="3"/>
  <c r="AA193" i="3"/>
  <c r="Y193" i="3"/>
  <c r="W193" i="3"/>
  <c r="U193" i="3"/>
  <c r="S193" i="3"/>
  <c r="Q193" i="3"/>
  <c r="O193" i="3"/>
  <c r="M193" i="3"/>
  <c r="K193" i="3"/>
  <c r="I193" i="3"/>
  <c r="G193" i="3"/>
  <c r="AZ192" i="3"/>
  <c r="AX192" i="3"/>
  <c r="AV192" i="3"/>
  <c r="AT192" i="3"/>
  <c r="AQ192" i="3"/>
  <c r="AO192" i="3"/>
  <c r="AM192" i="3"/>
  <c r="AK192" i="3"/>
  <c r="AC192" i="3"/>
  <c r="AA192" i="3"/>
  <c r="Y192" i="3"/>
  <c r="W192" i="3"/>
  <c r="U192" i="3"/>
  <c r="S192" i="3"/>
  <c r="Q192" i="3"/>
  <c r="O192" i="3"/>
  <c r="M192" i="3"/>
  <c r="K192" i="3"/>
  <c r="I192" i="3"/>
  <c r="G192" i="3"/>
  <c r="AZ191" i="3"/>
  <c r="AX191" i="3"/>
  <c r="AV191" i="3"/>
  <c r="AT191" i="3"/>
  <c r="AQ191" i="3"/>
  <c r="AO191" i="3"/>
  <c r="AM191" i="3"/>
  <c r="AK191" i="3"/>
  <c r="AC191" i="3"/>
  <c r="AA191" i="3"/>
  <c r="Y191" i="3"/>
  <c r="W191" i="3"/>
  <c r="U191" i="3"/>
  <c r="S191" i="3"/>
  <c r="Q191" i="3"/>
  <c r="O191" i="3"/>
  <c r="M191" i="3"/>
  <c r="K191" i="3"/>
  <c r="I191" i="3"/>
  <c r="G191" i="3"/>
  <c r="AZ190" i="3"/>
  <c r="AX190" i="3"/>
  <c r="AV190" i="3"/>
  <c r="AT190" i="3"/>
  <c r="AQ190" i="3"/>
  <c r="AO190" i="3"/>
  <c r="AM190" i="3"/>
  <c r="AK190" i="3"/>
  <c r="AC190" i="3"/>
  <c r="AA190" i="3"/>
  <c r="Y190" i="3"/>
  <c r="W190" i="3"/>
  <c r="U190" i="3"/>
  <c r="S190" i="3"/>
  <c r="Q190" i="3"/>
  <c r="O190" i="3"/>
  <c r="M190" i="3"/>
  <c r="K190" i="3"/>
  <c r="I190" i="3"/>
  <c r="G190" i="3"/>
  <c r="AZ189" i="3"/>
  <c r="AX189" i="3"/>
  <c r="AV189" i="3"/>
  <c r="AT189" i="3"/>
  <c r="AQ189" i="3"/>
  <c r="AO189" i="3"/>
  <c r="AM189" i="3"/>
  <c r="AK189" i="3"/>
  <c r="AC189" i="3"/>
  <c r="AA189" i="3"/>
  <c r="Y189" i="3"/>
  <c r="W189" i="3"/>
  <c r="U189" i="3"/>
  <c r="S189" i="3"/>
  <c r="Q189" i="3"/>
  <c r="O189" i="3"/>
  <c r="M189" i="3"/>
  <c r="K189" i="3"/>
  <c r="I189" i="3"/>
  <c r="G189" i="3"/>
  <c r="AZ188" i="3"/>
  <c r="AX188" i="3"/>
  <c r="AV188" i="3"/>
  <c r="AT188" i="3"/>
  <c r="AQ188" i="3"/>
  <c r="AO188" i="3"/>
  <c r="AM188" i="3"/>
  <c r="AK188" i="3"/>
  <c r="AC188" i="3"/>
  <c r="AA188" i="3"/>
  <c r="Y188" i="3"/>
  <c r="W188" i="3"/>
  <c r="U188" i="3"/>
  <c r="S188" i="3"/>
  <c r="Q188" i="3"/>
  <c r="O188" i="3"/>
  <c r="M188" i="3"/>
  <c r="K188" i="3"/>
  <c r="I188" i="3"/>
  <c r="G188" i="3"/>
  <c r="AZ187" i="3"/>
  <c r="AX187" i="3"/>
  <c r="AV187" i="3"/>
  <c r="AT187" i="3"/>
  <c r="AQ187" i="3"/>
  <c r="AO187" i="3"/>
  <c r="AM187" i="3"/>
  <c r="AK187" i="3"/>
  <c r="AC187" i="3"/>
  <c r="AA187" i="3"/>
  <c r="Y187" i="3"/>
  <c r="W187" i="3"/>
  <c r="U187" i="3"/>
  <c r="S187" i="3"/>
  <c r="Q187" i="3"/>
  <c r="O187" i="3"/>
  <c r="M187" i="3"/>
  <c r="K187" i="3"/>
  <c r="I187" i="3"/>
  <c r="G187" i="3"/>
  <c r="AZ186" i="3"/>
  <c r="AX186" i="3"/>
  <c r="AV186" i="3"/>
  <c r="AT186" i="3"/>
  <c r="AQ186" i="3"/>
  <c r="AO186" i="3"/>
  <c r="AM186" i="3"/>
  <c r="AK186" i="3"/>
  <c r="AC186" i="3"/>
  <c r="AA186" i="3"/>
  <c r="Y186" i="3"/>
  <c r="W186" i="3"/>
  <c r="U186" i="3"/>
  <c r="S186" i="3"/>
  <c r="Q186" i="3"/>
  <c r="O186" i="3"/>
  <c r="M186" i="3"/>
  <c r="K186" i="3"/>
  <c r="I186" i="3"/>
  <c r="G186" i="3"/>
  <c r="AZ185" i="3"/>
  <c r="AX185" i="3"/>
  <c r="AV185" i="3"/>
  <c r="AT185" i="3"/>
  <c r="AQ185" i="3"/>
  <c r="AO185" i="3"/>
  <c r="AM185" i="3"/>
  <c r="AK185" i="3"/>
  <c r="AC185" i="3"/>
  <c r="AA185" i="3"/>
  <c r="Y185" i="3"/>
  <c r="W185" i="3"/>
  <c r="U185" i="3"/>
  <c r="S185" i="3"/>
  <c r="Q185" i="3"/>
  <c r="O185" i="3"/>
  <c r="M185" i="3"/>
  <c r="K185" i="3"/>
  <c r="I185" i="3"/>
  <c r="G185" i="3"/>
  <c r="AZ184" i="3"/>
  <c r="AX184" i="3"/>
  <c r="AV184" i="3"/>
  <c r="AT184" i="3"/>
  <c r="AQ184" i="3"/>
  <c r="AO184" i="3"/>
  <c r="AM184" i="3"/>
  <c r="AK184" i="3"/>
  <c r="AC184" i="3"/>
  <c r="AA184" i="3"/>
  <c r="Y184" i="3"/>
  <c r="W184" i="3"/>
  <c r="U184" i="3"/>
  <c r="S184" i="3"/>
  <c r="Q184" i="3"/>
  <c r="O184" i="3"/>
  <c r="M184" i="3"/>
  <c r="K184" i="3"/>
  <c r="I184" i="3"/>
  <c r="G184" i="3"/>
  <c r="AZ183" i="3"/>
  <c r="AX183" i="3"/>
  <c r="AV183" i="3"/>
  <c r="AT183" i="3"/>
  <c r="AQ183" i="3"/>
  <c r="AO183" i="3"/>
  <c r="AM183" i="3"/>
  <c r="AK183" i="3"/>
  <c r="AC183" i="3"/>
  <c r="AA183" i="3"/>
  <c r="Y183" i="3"/>
  <c r="W183" i="3"/>
  <c r="U183" i="3"/>
  <c r="S183" i="3"/>
  <c r="Q183" i="3"/>
  <c r="O183" i="3"/>
  <c r="M183" i="3"/>
  <c r="K183" i="3"/>
  <c r="I183" i="3"/>
  <c r="G183" i="3"/>
  <c r="AZ182" i="3"/>
  <c r="AX182" i="3"/>
  <c r="AV182" i="3"/>
  <c r="AT182" i="3"/>
  <c r="AQ182" i="3"/>
  <c r="AO182" i="3"/>
  <c r="AM182" i="3"/>
  <c r="AK182" i="3"/>
  <c r="AC182" i="3"/>
  <c r="AA182" i="3"/>
  <c r="Y182" i="3"/>
  <c r="W182" i="3"/>
  <c r="U182" i="3"/>
  <c r="S182" i="3"/>
  <c r="Q182" i="3"/>
  <c r="O182" i="3"/>
  <c r="M182" i="3"/>
  <c r="K182" i="3"/>
  <c r="I182" i="3"/>
  <c r="G182" i="3"/>
  <c r="AZ181" i="3"/>
  <c r="AX181" i="3"/>
  <c r="AV181" i="3"/>
  <c r="AT181" i="3"/>
  <c r="AQ181" i="3"/>
  <c r="AO181" i="3"/>
  <c r="AM181" i="3"/>
  <c r="AK181" i="3"/>
  <c r="AC181" i="3"/>
  <c r="AA181" i="3"/>
  <c r="Y181" i="3"/>
  <c r="W181" i="3"/>
  <c r="U181" i="3"/>
  <c r="S181" i="3"/>
  <c r="Q181" i="3"/>
  <c r="O181" i="3"/>
  <c r="M181" i="3"/>
  <c r="K181" i="3"/>
  <c r="I181" i="3"/>
  <c r="G181" i="3"/>
  <c r="AZ180" i="3"/>
  <c r="AX180" i="3"/>
  <c r="AV180" i="3"/>
  <c r="AT180" i="3"/>
  <c r="AQ180" i="3"/>
  <c r="AO180" i="3"/>
  <c r="AM180" i="3"/>
  <c r="AK180" i="3"/>
  <c r="AC180" i="3"/>
  <c r="AA180" i="3"/>
  <c r="Y180" i="3"/>
  <c r="W180" i="3"/>
  <c r="U180" i="3"/>
  <c r="S180" i="3"/>
  <c r="Q180" i="3"/>
  <c r="O180" i="3"/>
  <c r="M180" i="3"/>
  <c r="K180" i="3"/>
  <c r="I180" i="3"/>
  <c r="G180" i="3"/>
  <c r="AZ179" i="3"/>
  <c r="AX179" i="3"/>
  <c r="AV179" i="3"/>
  <c r="AT179" i="3"/>
  <c r="AQ179" i="3"/>
  <c r="AO179" i="3"/>
  <c r="AM179" i="3"/>
  <c r="AK179" i="3"/>
  <c r="AC179" i="3"/>
  <c r="AA179" i="3"/>
  <c r="Y179" i="3"/>
  <c r="W179" i="3"/>
  <c r="U179" i="3"/>
  <c r="S179" i="3"/>
  <c r="Q179" i="3"/>
  <c r="O179" i="3"/>
  <c r="M179" i="3"/>
  <c r="K179" i="3"/>
  <c r="I179" i="3"/>
  <c r="G179" i="3"/>
  <c r="AZ178" i="3"/>
  <c r="AX178" i="3"/>
  <c r="AV178" i="3"/>
  <c r="AT178" i="3"/>
  <c r="AQ178" i="3"/>
  <c r="AO178" i="3"/>
  <c r="AM178" i="3"/>
  <c r="AK178" i="3"/>
  <c r="AC178" i="3"/>
  <c r="AA178" i="3"/>
  <c r="Y178" i="3"/>
  <c r="W178" i="3"/>
  <c r="U178" i="3"/>
  <c r="S178" i="3"/>
  <c r="Q178" i="3"/>
  <c r="O178" i="3"/>
  <c r="M178" i="3"/>
  <c r="K178" i="3"/>
  <c r="I178" i="3"/>
  <c r="G178" i="3"/>
  <c r="AZ177" i="3"/>
  <c r="AX177" i="3"/>
  <c r="AV177" i="3"/>
  <c r="AT177" i="3"/>
  <c r="AQ177" i="3"/>
  <c r="AO177" i="3"/>
  <c r="AM177" i="3"/>
  <c r="AK177" i="3"/>
  <c r="AC177" i="3"/>
  <c r="AA177" i="3"/>
  <c r="Y177" i="3"/>
  <c r="W177" i="3"/>
  <c r="U177" i="3"/>
  <c r="S177" i="3"/>
  <c r="Q177" i="3"/>
  <c r="O177" i="3"/>
  <c r="M177" i="3"/>
  <c r="K177" i="3"/>
  <c r="I177" i="3"/>
  <c r="G177" i="3"/>
  <c r="AZ176" i="3"/>
  <c r="AX176" i="3"/>
  <c r="AV176" i="3"/>
  <c r="AT176" i="3"/>
  <c r="AQ176" i="3"/>
  <c r="AO176" i="3"/>
  <c r="AM176" i="3"/>
  <c r="AK176" i="3"/>
  <c r="AC176" i="3"/>
  <c r="AA176" i="3"/>
  <c r="Y176" i="3"/>
  <c r="W176" i="3"/>
  <c r="U176" i="3"/>
  <c r="S176" i="3"/>
  <c r="Q176" i="3"/>
  <c r="O176" i="3"/>
  <c r="M176" i="3"/>
  <c r="K176" i="3"/>
  <c r="I176" i="3"/>
  <c r="G176" i="3"/>
  <c r="AZ175" i="3"/>
  <c r="AX175" i="3"/>
  <c r="AV175" i="3"/>
  <c r="AT175" i="3"/>
  <c r="AQ175" i="3"/>
  <c r="AO175" i="3"/>
  <c r="AM175" i="3"/>
  <c r="AK175" i="3"/>
  <c r="AC175" i="3"/>
  <c r="AA175" i="3"/>
  <c r="Y175" i="3"/>
  <c r="W175" i="3"/>
  <c r="U175" i="3"/>
  <c r="S175" i="3"/>
  <c r="Q175" i="3"/>
  <c r="O175" i="3"/>
  <c r="M175" i="3"/>
  <c r="K175" i="3"/>
  <c r="I175" i="3"/>
  <c r="G175" i="3"/>
  <c r="AZ174" i="3"/>
  <c r="AX174" i="3"/>
  <c r="AV174" i="3"/>
  <c r="AT174" i="3"/>
  <c r="AQ174" i="3"/>
  <c r="AO174" i="3"/>
  <c r="AM174" i="3"/>
  <c r="AK174" i="3"/>
  <c r="AC174" i="3"/>
  <c r="AA174" i="3"/>
  <c r="Y174" i="3"/>
  <c r="W174" i="3"/>
  <c r="U174" i="3"/>
  <c r="S174" i="3"/>
  <c r="Q174" i="3"/>
  <c r="O174" i="3"/>
  <c r="M174" i="3"/>
  <c r="K174" i="3"/>
  <c r="I174" i="3"/>
  <c r="G174" i="3"/>
  <c r="AZ173" i="3"/>
  <c r="AX173" i="3"/>
  <c r="AV173" i="3"/>
  <c r="AT173" i="3"/>
  <c r="AQ173" i="3"/>
  <c r="AO173" i="3"/>
  <c r="AM173" i="3"/>
  <c r="AK173" i="3"/>
  <c r="AC173" i="3"/>
  <c r="AA173" i="3"/>
  <c r="Y173" i="3"/>
  <c r="W173" i="3"/>
  <c r="U173" i="3"/>
  <c r="S173" i="3"/>
  <c r="Q173" i="3"/>
  <c r="O173" i="3"/>
  <c r="M173" i="3"/>
  <c r="K173" i="3"/>
  <c r="I173" i="3"/>
  <c r="G173" i="3"/>
  <c r="AZ172" i="3"/>
  <c r="AX172" i="3"/>
  <c r="AV172" i="3"/>
  <c r="AT172" i="3"/>
  <c r="AQ172" i="3"/>
  <c r="AO172" i="3"/>
  <c r="AM172" i="3"/>
  <c r="AK172" i="3"/>
  <c r="AC172" i="3"/>
  <c r="AA172" i="3"/>
  <c r="Y172" i="3"/>
  <c r="W172" i="3"/>
  <c r="U172" i="3"/>
  <c r="S172" i="3"/>
  <c r="Q172" i="3"/>
  <c r="O172" i="3"/>
  <c r="M172" i="3"/>
  <c r="K172" i="3"/>
  <c r="I172" i="3"/>
  <c r="G172" i="3"/>
  <c r="AZ171" i="3"/>
  <c r="AX171" i="3"/>
  <c r="AV171" i="3"/>
  <c r="AT171" i="3"/>
  <c r="AQ171" i="3"/>
  <c r="AO171" i="3"/>
  <c r="AM171" i="3"/>
  <c r="AK171" i="3"/>
  <c r="AC171" i="3"/>
  <c r="AA171" i="3"/>
  <c r="Y171" i="3"/>
  <c r="W171" i="3"/>
  <c r="U171" i="3"/>
  <c r="S171" i="3"/>
  <c r="Q171" i="3"/>
  <c r="O171" i="3"/>
  <c r="M171" i="3"/>
  <c r="K171" i="3"/>
  <c r="I171" i="3"/>
  <c r="G171" i="3"/>
  <c r="AZ170" i="3"/>
  <c r="AX170" i="3"/>
  <c r="AV170" i="3"/>
  <c r="AT170" i="3"/>
  <c r="AQ170" i="3"/>
  <c r="AO170" i="3"/>
  <c r="AM170" i="3"/>
  <c r="AK170" i="3"/>
  <c r="AC170" i="3"/>
  <c r="AA170" i="3"/>
  <c r="Y170" i="3"/>
  <c r="W170" i="3"/>
  <c r="U170" i="3"/>
  <c r="S170" i="3"/>
  <c r="Q170" i="3"/>
  <c r="O170" i="3"/>
  <c r="M170" i="3"/>
  <c r="K170" i="3"/>
  <c r="I170" i="3"/>
  <c r="G170" i="3"/>
  <c r="AZ169" i="3"/>
  <c r="AX169" i="3"/>
  <c r="AV169" i="3"/>
  <c r="AT169" i="3"/>
  <c r="AQ169" i="3"/>
  <c r="AO169" i="3"/>
  <c r="AM169" i="3"/>
  <c r="AK169" i="3"/>
  <c r="AC169" i="3"/>
  <c r="AA169" i="3"/>
  <c r="Y169" i="3"/>
  <c r="W169" i="3"/>
  <c r="U169" i="3"/>
  <c r="S169" i="3"/>
  <c r="Q169" i="3"/>
  <c r="O169" i="3"/>
  <c r="M169" i="3"/>
  <c r="K169" i="3"/>
  <c r="I169" i="3"/>
  <c r="G169" i="3"/>
  <c r="AZ168" i="3"/>
  <c r="AX168" i="3"/>
  <c r="AV168" i="3"/>
  <c r="AT168" i="3"/>
  <c r="AQ168" i="3"/>
  <c r="AO168" i="3"/>
  <c r="AM168" i="3"/>
  <c r="AK168" i="3"/>
  <c r="AC168" i="3"/>
  <c r="AA168" i="3"/>
  <c r="Y168" i="3"/>
  <c r="W168" i="3"/>
  <c r="U168" i="3"/>
  <c r="S168" i="3"/>
  <c r="Q168" i="3"/>
  <c r="O168" i="3"/>
  <c r="M168" i="3"/>
  <c r="K168" i="3"/>
  <c r="I168" i="3"/>
  <c r="G168" i="3"/>
  <c r="AZ167" i="3"/>
  <c r="AX167" i="3"/>
  <c r="AV167" i="3"/>
  <c r="AT167" i="3"/>
  <c r="AQ167" i="3"/>
  <c r="AO167" i="3"/>
  <c r="AM167" i="3"/>
  <c r="AK167" i="3"/>
  <c r="AC167" i="3"/>
  <c r="AA167" i="3"/>
  <c r="Y167" i="3"/>
  <c r="W167" i="3"/>
  <c r="U167" i="3"/>
  <c r="S167" i="3"/>
  <c r="Q167" i="3"/>
  <c r="O167" i="3"/>
  <c r="M167" i="3"/>
  <c r="K167" i="3"/>
  <c r="I167" i="3"/>
  <c r="G167" i="3"/>
  <c r="AZ166" i="3"/>
  <c r="AX166" i="3"/>
  <c r="AV166" i="3"/>
  <c r="AT166" i="3"/>
  <c r="AQ166" i="3"/>
  <c r="AO166" i="3"/>
  <c r="AM166" i="3"/>
  <c r="AK166" i="3"/>
  <c r="AC166" i="3"/>
  <c r="AA166" i="3"/>
  <c r="Y166" i="3"/>
  <c r="W166" i="3"/>
  <c r="U166" i="3"/>
  <c r="S166" i="3"/>
  <c r="Q166" i="3"/>
  <c r="O166" i="3"/>
  <c r="M166" i="3"/>
  <c r="K166" i="3"/>
  <c r="I166" i="3"/>
  <c r="G166" i="3"/>
  <c r="AZ165" i="3"/>
  <c r="AX165" i="3"/>
  <c r="AV165" i="3"/>
  <c r="AT165" i="3"/>
  <c r="AQ165" i="3"/>
  <c r="AO165" i="3"/>
  <c r="AM165" i="3"/>
  <c r="AK165" i="3"/>
  <c r="AC165" i="3"/>
  <c r="AA165" i="3"/>
  <c r="Y165" i="3"/>
  <c r="W165" i="3"/>
  <c r="U165" i="3"/>
  <c r="S165" i="3"/>
  <c r="Q165" i="3"/>
  <c r="O165" i="3"/>
  <c r="M165" i="3"/>
  <c r="K165" i="3"/>
  <c r="I165" i="3"/>
  <c r="G165" i="3"/>
  <c r="AZ164" i="3"/>
  <c r="AX164" i="3"/>
  <c r="AV164" i="3"/>
  <c r="AT164" i="3"/>
  <c r="AQ164" i="3"/>
  <c r="AO164" i="3"/>
  <c r="AM164" i="3"/>
  <c r="AK164" i="3"/>
  <c r="AC164" i="3"/>
  <c r="AA164" i="3"/>
  <c r="Y164" i="3"/>
  <c r="W164" i="3"/>
  <c r="U164" i="3"/>
  <c r="S164" i="3"/>
  <c r="Q164" i="3"/>
  <c r="O164" i="3"/>
  <c r="M164" i="3"/>
  <c r="K164" i="3"/>
  <c r="I164" i="3"/>
  <c r="G164" i="3"/>
  <c r="AZ163" i="3"/>
  <c r="AX163" i="3"/>
  <c r="AV163" i="3"/>
  <c r="AT163" i="3"/>
  <c r="AQ163" i="3"/>
  <c r="AO163" i="3"/>
  <c r="AM163" i="3"/>
  <c r="AK163" i="3"/>
  <c r="AC163" i="3"/>
  <c r="AA163" i="3"/>
  <c r="Y163" i="3"/>
  <c r="W163" i="3"/>
  <c r="U163" i="3"/>
  <c r="S163" i="3"/>
  <c r="Q163" i="3"/>
  <c r="O163" i="3"/>
  <c r="M163" i="3"/>
  <c r="K163" i="3"/>
  <c r="I163" i="3"/>
  <c r="G163" i="3"/>
  <c r="AZ162" i="3"/>
  <c r="AX162" i="3"/>
  <c r="AV162" i="3"/>
  <c r="AT162" i="3"/>
  <c r="AQ162" i="3"/>
  <c r="AO162" i="3"/>
  <c r="AM162" i="3"/>
  <c r="AK162" i="3"/>
  <c r="AC162" i="3"/>
  <c r="AA162" i="3"/>
  <c r="Y162" i="3"/>
  <c r="W162" i="3"/>
  <c r="U162" i="3"/>
  <c r="S162" i="3"/>
  <c r="Q162" i="3"/>
  <c r="O162" i="3"/>
  <c r="M162" i="3"/>
  <c r="K162" i="3"/>
  <c r="I162" i="3"/>
  <c r="G162" i="3"/>
  <c r="AZ161" i="3"/>
  <c r="AX161" i="3"/>
  <c r="AV161" i="3"/>
  <c r="AT161" i="3"/>
  <c r="AQ161" i="3"/>
  <c r="AO161" i="3"/>
  <c r="AM161" i="3"/>
  <c r="AK161" i="3"/>
  <c r="AC161" i="3"/>
  <c r="AA161" i="3"/>
  <c r="Y161" i="3"/>
  <c r="W161" i="3"/>
  <c r="U161" i="3"/>
  <c r="S161" i="3"/>
  <c r="Q161" i="3"/>
  <c r="O161" i="3"/>
  <c r="M161" i="3"/>
  <c r="K161" i="3"/>
  <c r="I161" i="3"/>
  <c r="G161" i="3"/>
  <c r="AZ160" i="3"/>
  <c r="AX160" i="3"/>
  <c r="AV160" i="3"/>
  <c r="AT160" i="3"/>
  <c r="AQ160" i="3"/>
  <c r="AO160" i="3"/>
  <c r="AM160" i="3"/>
  <c r="AK160" i="3"/>
  <c r="AC160" i="3"/>
  <c r="AA160" i="3"/>
  <c r="Y160" i="3"/>
  <c r="W160" i="3"/>
  <c r="U160" i="3"/>
  <c r="S160" i="3"/>
  <c r="Q160" i="3"/>
  <c r="O160" i="3"/>
  <c r="M160" i="3"/>
  <c r="K160" i="3"/>
  <c r="I160" i="3"/>
  <c r="G160" i="3"/>
  <c r="AZ159" i="3"/>
  <c r="AX159" i="3"/>
  <c r="AV159" i="3"/>
  <c r="AT159" i="3"/>
  <c r="AQ159" i="3"/>
  <c r="AO159" i="3"/>
  <c r="AM159" i="3"/>
  <c r="AK159" i="3"/>
  <c r="AC159" i="3"/>
  <c r="AA159" i="3"/>
  <c r="Y159" i="3"/>
  <c r="W159" i="3"/>
  <c r="U159" i="3"/>
  <c r="S159" i="3"/>
  <c r="Q159" i="3"/>
  <c r="O159" i="3"/>
  <c r="M159" i="3"/>
  <c r="K159" i="3"/>
  <c r="I159" i="3"/>
  <c r="G159" i="3"/>
  <c r="AZ158" i="3"/>
  <c r="AX158" i="3"/>
  <c r="AV158" i="3"/>
  <c r="AT158" i="3"/>
  <c r="AQ158" i="3"/>
  <c r="AO158" i="3"/>
  <c r="AM158" i="3"/>
  <c r="AK158" i="3"/>
  <c r="AC158" i="3"/>
  <c r="AA158" i="3"/>
  <c r="Y158" i="3"/>
  <c r="W158" i="3"/>
  <c r="U158" i="3"/>
  <c r="S158" i="3"/>
  <c r="Q158" i="3"/>
  <c r="O158" i="3"/>
  <c r="M158" i="3"/>
  <c r="K158" i="3"/>
  <c r="I158" i="3"/>
  <c r="G158" i="3"/>
  <c r="AZ157" i="3"/>
  <c r="AX157" i="3"/>
  <c r="AV157" i="3"/>
  <c r="AT157" i="3"/>
  <c r="AQ157" i="3"/>
  <c r="AO157" i="3"/>
  <c r="AM157" i="3"/>
  <c r="AK157" i="3"/>
  <c r="AC157" i="3"/>
  <c r="AA157" i="3"/>
  <c r="Y157" i="3"/>
  <c r="W157" i="3"/>
  <c r="U157" i="3"/>
  <c r="S157" i="3"/>
  <c r="Q157" i="3"/>
  <c r="O157" i="3"/>
  <c r="M157" i="3"/>
  <c r="K157" i="3"/>
  <c r="I157" i="3"/>
  <c r="G157" i="3"/>
  <c r="AZ156" i="3"/>
  <c r="AX156" i="3"/>
  <c r="AV156" i="3"/>
  <c r="AT156" i="3"/>
  <c r="AQ156" i="3"/>
  <c r="AO156" i="3"/>
  <c r="AM156" i="3"/>
  <c r="AK156" i="3"/>
  <c r="AC156" i="3"/>
  <c r="AA156" i="3"/>
  <c r="Y156" i="3"/>
  <c r="W156" i="3"/>
  <c r="U156" i="3"/>
  <c r="S156" i="3"/>
  <c r="Q156" i="3"/>
  <c r="O156" i="3"/>
  <c r="M156" i="3"/>
  <c r="K156" i="3"/>
  <c r="I156" i="3"/>
  <c r="G156" i="3"/>
  <c r="AZ155" i="3"/>
  <c r="AX155" i="3"/>
  <c r="AV155" i="3"/>
  <c r="AT155" i="3"/>
  <c r="AQ155" i="3"/>
  <c r="AO155" i="3"/>
  <c r="AM155" i="3"/>
  <c r="AK155" i="3"/>
  <c r="AC155" i="3"/>
  <c r="AA155" i="3"/>
  <c r="Y155" i="3"/>
  <c r="W155" i="3"/>
  <c r="U155" i="3"/>
  <c r="S155" i="3"/>
  <c r="Q155" i="3"/>
  <c r="O155" i="3"/>
  <c r="M155" i="3"/>
  <c r="K155" i="3"/>
  <c r="I155" i="3"/>
  <c r="G155" i="3"/>
  <c r="AZ154" i="3"/>
  <c r="AX154" i="3"/>
  <c r="AV154" i="3"/>
  <c r="AT154" i="3"/>
  <c r="AQ154" i="3"/>
  <c r="AO154" i="3"/>
  <c r="AM154" i="3"/>
  <c r="AK154" i="3"/>
  <c r="AC154" i="3"/>
  <c r="AA154" i="3"/>
  <c r="Y154" i="3"/>
  <c r="W154" i="3"/>
  <c r="U154" i="3"/>
  <c r="S154" i="3"/>
  <c r="Q154" i="3"/>
  <c r="O154" i="3"/>
  <c r="M154" i="3"/>
  <c r="K154" i="3"/>
  <c r="I154" i="3"/>
  <c r="G154" i="3"/>
  <c r="AZ153" i="3"/>
  <c r="AX153" i="3"/>
  <c r="AV153" i="3"/>
  <c r="AT153" i="3"/>
  <c r="AQ153" i="3"/>
  <c r="AO153" i="3"/>
  <c r="AM153" i="3"/>
  <c r="AK153" i="3"/>
  <c r="AC153" i="3"/>
  <c r="AA153" i="3"/>
  <c r="Y153" i="3"/>
  <c r="W153" i="3"/>
  <c r="U153" i="3"/>
  <c r="S153" i="3"/>
  <c r="Q153" i="3"/>
  <c r="O153" i="3"/>
  <c r="M153" i="3"/>
  <c r="K153" i="3"/>
  <c r="I153" i="3"/>
  <c r="G153" i="3"/>
  <c r="AZ152" i="3"/>
  <c r="AX152" i="3"/>
  <c r="AV152" i="3"/>
  <c r="AT152" i="3"/>
  <c r="AQ152" i="3"/>
  <c r="AO152" i="3"/>
  <c r="AM152" i="3"/>
  <c r="AK152" i="3"/>
  <c r="AC152" i="3"/>
  <c r="AA152" i="3"/>
  <c r="Y152" i="3"/>
  <c r="W152" i="3"/>
  <c r="U152" i="3"/>
  <c r="S152" i="3"/>
  <c r="Q152" i="3"/>
  <c r="O152" i="3"/>
  <c r="M152" i="3"/>
  <c r="K152" i="3"/>
  <c r="I152" i="3"/>
  <c r="G152" i="3"/>
  <c r="AZ151" i="3"/>
  <c r="AX151" i="3"/>
  <c r="AV151" i="3"/>
  <c r="AT151" i="3"/>
  <c r="AQ151" i="3"/>
  <c r="AO151" i="3"/>
  <c r="AM151" i="3"/>
  <c r="AK151" i="3"/>
  <c r="AC151" i="3"/>
  <c r="AA151" i="3"/>
  <c r="Y151" i="3"/>
  <c r="W151" i="3"/>
  <c r="U151" i="3"/>
  <c r="S151" i="3"/>
  <c r="Q151" i="3"/>
  <c r="O151" i="3"/>
  <c r="M151" i="3"/>
  <c r="K151" i="3"/>
  <c r="I151" i="3"/>
  <c r="G151" i="3"/>
  <c r="AZ150" i="3"/>
  <c r="AX150" i="3"/>
  <c r="AV150" i="3"/>
  <c r="AT150" i="3"/>
  <c r="AQ150" i="3"/>
  <c r="AO150" i="3"/>
  <c r="AM150" i="3"/>
  <c r="AK150" i="3"/>
  <c r="AC150" i="3"/>
  <c r="AA150" i="3"/>
  <c r="Y150" i="3"/>
  <c r="W150" i="3"/>
  <c r="U150" i="3"/>
  <c r="S150" i="3"/>
  <c r="Q150" i="3"/>
  <c r="O150" i="3"/>
  <c r="M150" i="3"/>
  <c r="K150" i="3"/>
  <c r="I150" i="3"/>
  <c r="G150" i="3"/>
  <c r="AZ149" i="3"/>
  <c r="AX149" i="3"/>
  <c r="AV149" i="3"/>
  <c r="AT149" i="3"/>
  <c r="AQ149" i="3"/>
  <c r="AO149" i="3"/>
  <c r="AM149" i="3"/>
  <c r="AK149" i="3"/>
  <c r="AC149" i="3"/>
  <c r="AA149" i="3"/>
  <c r="Y149" i="3"/>
  <c r="W149" i="3"/>
  <c r="U149" i="3"/>
  <c r="S149" i="3"/>
  <c r="Q149" i="3"/>
  <c r="O149" i="3"/>
  <c r="M149" i="3"/>
  <c r="K149" i="3"/>
  <c r="I149" i="3"/>
  <c r="G149" i="3"/>
  <c r="AZ148" i="3"/>
  <c r="AX148" i="3"/>
  <c r="AV148" i="3"/>
  <c r="AT148" i="3"/>
  <c r="AQ148" i="3"/>
  <c r="AO148" i="3"/>
  <c r="AM148" i="3"/>
  <c r="AK148" i="3"/>
  <c r="AC148" i="3"/>
  <c r="AA148" i="3"/>
  <c r="Y148" i="3"/>
  <c r="W148" i="3"/>
  <c r="U148" i="3"/>
  <c r="S148" i="3"/>
  <c r="Q148" i="3"/>
  <c r="O148" i="3"/>
  <c r="M148" i="3"/>
  <c r="K148" i="3"/>
  <c r="I148" i="3"/>
  <c r="G148" i="3"/>
  <c r="AZ147" i="3"/>
  <c r="AX147" i="3"/>
  <c r="AV147" i="3"/>
  <c r="AT147" i="3"/>
  <c r="AQ147" i="3"/>
  <c r="AO147" i="3"/>
  <c r="AM147" i="3"/>
  <c r="AK147" i="3"/>
  <c r="AC147" i="3"/>
  <c r="AA147" i="3"/>
  <c r="Y147" i="3"/>
  <c r="W147" i="3"/>
  <c r="U147" i="3"/>
  <c r="S147" i="3"/>
  <c r="Q147" i="3"/>
  <c r="O147" i="3"/>
  <c r="M147" i="3"/>
  <c r="K147" i="3"/>
  <c r="I147" i="3"/>
  <c r="G147" i="3"/>
  <c r="AZ146" i="3"/>
  <c r="AX146" i="3"/>
  <c r="AV146" i="3"/>
  <c r="AT146" i="3"/>
  <c r="AQ146" i="3"/>
  <c r="AO146" i="3"/>
  <c r="AM146" i="3"/>
  <c r="AK146" i="3"/>
  <c r="AC146" i="3"/>
  <c r="AA146" i="3"/>
  <c r="Y146" i="3"/>
  <c r="W146" i="3"/>
  <c r="U146" i="3"/>
  <c r="S146" i="3"/>
  <c r="Q146" i="3"/>
  <c r="O146" i="3"/>
  <c r="M146" i="3"/>
  <c r="K146" i="3"/>
  <c r="I146" i="3"/>
  <c r="G146" i="3"/>
  <c r="AZ145" i="3"/>
  <c r="AX145" i="3"/>
  <c r="AV145" i="3"/>
  <c r="AT145" i="3"/>
  <c r="AQ145" i="3"/>
  <c r="AO145" i="3"/>
  <c r="AM145" i="3"/>
  <c r="AK145" i="3"/>
  <c r="AC145" i="3"/>
  <c r="AA145" i="3"/>
  <c r="Y145" i="3"/>
  <c r="W145" i="3"/>
  <c r="U145" i="3"/>
  <c r="S145" i="3"/>
  <c r="Q145" i="3"/>
  <c r="O145" i="3"/>
  <c r="M145" i="3"/>
  <c r="K145" i="3"/>
  <c r="I145" i="3"/>
  <c r="G145" i="3"/>
  <c r="AZ144" i="3"/>
  <c r="AX144" i="3"/>
  <c r="AV144" i="3"/>
  <c r="AT144" i="3"/>
  <c r="AQ144" i="3"/>
  <c r="AO144" i="3"/>
  <c r="AM144" i="3"/>
  <c r="AK144" i="3"/>
  <c r="AC144" i="3"/>
  <c r="AA144" i="3"/>
  <c r="Y144" i="3"/>
  <c r="W144" i="3"/>
  <c r="U144" i="3"/>
  <c r="S144" i="3"/>
  <c r="Q144" i="3"/>
  <c r="O144" i="3"/>
  <c r="M144" i="3"/>
  <c r="K144" i="3"/>
  <c r="I144" i="3"/>
  <c r="G144" i="3"/>
  <c r="AZ143" i="3"/>
  <c r="AX143" i="3"/>
  <c r="AV143" i="3"/>
  <c r="AT143" i="3"/>
  <c r="AQ143" i="3"/>
  <c r="AO143" i="3"/>
  <c r="AM143" i="3"/>
  <c r="AK143" i="3"/>
  <c r="AC143" i="3"/>
  <c r="AA143" i="3"/>
  <c r="Y143" i="3"/>
  <c r="W143" i="3"/>
  <c r="U143" i="3"/>
  <c r="S143" i="3"/>
  <c r="Q143" i="3"/>
  <c r="O143" i="3"/>
  <c r="M143" i="3"/>
  <c r="K143" i="3"/>
  <c r="I143" i="3"/>
  <c r="G143" i="3"/>
  <c r="AZ142" i="3"/>
  <c r="AX142" i="3"/>
  <c r="AV142" i="3"/>
  <c r="AT142" i="3"/>
  <c r="AQ142" i="3"/>
  <c r="AO142" i="3"/>
  <c r="AM142" i="3"/>
  <c r="AK142" i="3"/>
  <c r="AC142" i="3"/>
  <c r="AA142" i="3"/>
  <c r="Y142" i="3"/>
  <c r="W142" i="3"/>
  <c r="U142" i="3"/>
  <c r="S142" i="3"/>
  <c r="Q142" i="3"/>
  <c r="O142" i="3"/>
  <c r="M142" i="3"/>
  <c r="K142" i="3"/>
  <c r="I142" i="3"/>
  <c r="G142" i="3"/>
  <c r="AZ141" i="3"/>
  <c r="AX141" i="3"/>
  <c r="AV141" i="3"/>
  <c r="AT141" i="3"/>
  <c r="AQ141" i="3"/>
  <c r="AO141" i="3"/>
  <c r="AM141" i="3"/>
  <c r="AK141" i="3"/>
  <c r="AC141" i="3"/>
  <c r="AA141" i="3"/>
  <c r="Y141" i="3"/>
  <c r="W141" i="3"/>
  <c r="U141" i="3"/>
  <c r="S141" i="3"/>
  <c r="Q141" i="3"/>
  <c r="O141" i="3"/>
  <c r="M141" i="3"/>
  <c r="K141" i="3"/>
  <c r="I141" i="3"/>
  <c r="G141" i="3"/>
  <c r="AZ140" i="3"/>
  <c r="AX140" i="3"/>
  <c r="AV140" i="3"/>
  <c r="AT140" i="3"/>
  <c r="AQ140" i="3"/>
  <c r="AO140" i="3"/>
  <c r="AM140" i="3"/>
  <c r="AK140" i="3"/>
  <c r="AC140" i="3"/>
  <c r="AA140" i="3"/>
  <c r="Y140" i="3"/>
  <c r="W140" i="3"/>
  <c r="U140" i="3"/>
  <c r="S140" i="3"/>
  <c r="Q140" i="3"/>
  <c r="O140" i="3"/>
  <c r="M140" i="3"/>
  <c r="K140" i="3"/>
  <c r="I140" i="3"/>
  <c r="G140" i="3"/>
  <c r="AZ139" i="3"/>
  <c r="AX139" i="3"/>
  <c r="AV139" i="3"/>
  <c r="AT139" i="3"/>
  <c r="AQ139" i="3"/>
  <c r="AO139" i="3"/>
  <c r="AM139" i="3"/>
  <c r="AK139" i="3"/>
  <c r="AC139" i="3"/>
  <c r="AA139" i="3"/>
  <c r="Y139" i="3"/>
  <c r="W139" i="3"/>
  <c r="U139" i="3"/>
  <c r="S139" i="3"/>
  <c r="Q139" i="3"/>
  <c r="O139" i="3"/>
  <c r="M139" i="3"/>
  <c r="K139" i="3"/>
  <c r="I139" i="3"/>
  <c r="G139" i="3"/>
  <c r="AZ138" i="3"/>
  <c r="AX138" i="3"/>
  <c r="AV138" i="3"/>
  <c r="AT138" i="3"/>
  <c r="AQ138" i="3"/>
  <c r="AO138" i="3"/>
  <c r="AM138" i="3"/>
  <c r="AK138" i="3"/>
  <c r="AC138" i="3"/>
  <c r="AA138" i="3"/>
  <c r="Y138" i="3"/>
  <c r="W138" i="3"/>
  <c r="U138" i="3"/>
  <c r="S138" i="3"/>
  <c r="Q138" i="3"/>
  <c r="O138" i="3"/>
  <c r="M138" i="3"/>
  <c r="K138" i="3"/>
  <c r="I138" i="3"/>
  <c r="G138" i="3"/>
  <c r="AZ137" i="3"/>
  <c r="AX137" i="3"/>
  <c r="AV137" i="3"/>
  <c r="AT137" i="3"/>
  <c r="AQ137" i="3"/>
  <c r="AO137" i="3"/>
  <c r="AM137" i="3"/>
  <c r="AK137" i="3"/>
  <c r="AC137" i="3"/>
  <c r="AA137" i="3"/>
  <c r="Y137" i="3"/>
  <c r="W137" i="3"/>
  <c r="U137" i="3"/>
  <c r="S137" i="3"/>
  <c r="Q137" i="3"/>
  <c r="O137" i="3"/>
  <c r="M137" i="3"/>
  <c r="K137" i="3"/>
  <c r="I137" i="3"/>
  <c r="G137" i="3"/>
  <c r="AZ136" i="3"/>
  <c r="AX136" i="3"/>
  <c r="AV136" i="3"/>
  <c r="AT136" i="3"/>
  <c r="AQ136" i="3"/>
  <c r="AO136" i="3"/>
  <c r="AM136" i="3"/>
  <c r="AK136" i="3"/>
  <c r="AC136" i="3"/>
  <c r="AA136" i="3"/>
  <c r="Y136" i="3"/>
  <c r="W136" i="3"/>
  <c r="U136" i="3"/>
  <c r="S136" i="3"/>
  <c r="Q136" i="3"/>
  <c r="O136" i="3"/>
  <c r="M136" i="3"/>
  <c r="K136" i="3"/>
  <c r="I136" i="3"/>
  <c r="G136" i="3"/>
  <c r="AZ135" i="3"/>
  <c r="AX135" i="3"/>
  <c r="AV135" i="3"/>
  <c r="AT135" i="3"/>
  <c r="AQ135" i="3"/>
  <c r="AO135" i="3"/>
  <c r="AM135" i="3"/>
  <c r="AK135" i="3"/>
  <c r="AC135" i="3"/>
  <c r="AA135" i="3"/>
  <c r="Y135" i="3"/>
  <c r="W135" i="3"/>
  <c r="U135" i="3"/>
  <c r="S135" i="3"/>
  <c r="Q135" i="3"/>
  <c r="O135" i="3"/>
  <c r="M135" i="3"/>
  <c r="K135" i="3"/>
  <c r="I135" i="3"/>
  <c r="G135" i="3"/>
  <c r="AZ134" i="3"/>
  <c r="AX134" i="3"/>
  <c r="AV134" i="3"/>
  <c r="AT134" i="3"/>
  <c r="AQ134" i="3"/>
  <c r="AO134" i="3"/>
  <c r="AM134" i="3"/>
  <c r="AK134" i="3"/>
  <c r="AC134" i="3"/>
  <c r="AA134" i="3"/>
  <c r="Y134" i="3"/>
  <c r="W134" i="3"/>
  <c r="U134" i="3"/>
  <c r="S134" i="3"/>
  <c r="Q134" i="3"/>
  <c r="O134" i="3"/>
  <c r="M134" i="3"/>
  <c r="K134" i="3"/>
  <c r="I134" i="3"/>
  <c r="G134" i="3"/>
  <c r="AZ133" i="3"/>
  <c r="AX133" i="3"/>
  <c r="AV133" i="3"/>
  <c r="AT133" i="3"/>
  <c r="AQ133" i="3"/>
  <c r="AO133" i="3"/>
  <c r="AM133" i="3"/>
  <c r="AK133" i="3"/>
  <c r="AC133" i="3"/>
  <c r="AA133" i="3"/>
  <c r="Y133" i="3"/>
  <c r="W133" i="3"/>
  <c r="U133" i="3"/>
  <c r="S133" i="3"/>
  <c r="Q133" i="3"/>
  <c r="O133" i="3"/>
  <c r="M133" i="3"/>
  <c r="K133" i="3"/>
  <c r="I133" i="3"/>
  <c r="G133" i="3"/>
  <c r="AZ132" i="3"/>
  <c r="AX132" i="3"/>
  <c r="AV132" i="3"/>
  <c r="AT132" i="3"/>
  <c r="AQ132" i="3"/>
  <c r="AO132" i="3"/>
  <c r="AM132" i="3"/>
  <c r="AK132" i="3"/>
  <c r="AC132" i="3"/>
  <c r="AA132" i="3"/>
  <c r="Y132" i="3"/>
  <c r="W132" i="3"/>
  <c r="U132" i="3"/>
  <c r="S132" i="3"/>
  <c r="Q132" i="3"/>
  <c r="O132" i="3"/>
  <c r="M132" i="3"/>
  <c r="K132" i="3"/>
  <c r="I132" i="3"/>
  <c r="G132" i="3"/>
  <c r="AZ131" i="3"/>
  <c r="AX131" i="3"/>
  <c r="AV131" i="3"/>
  <c r="AT131" i="3"/>
  <c r="AQ131" i="3"/>
  <c r="AO131" i="3"/>
  <c r="AM131" i="3"/>
  <c r="AK131" i="3"/>
  <c r="AC131" i="3"/>
  <c r="AA131" i="3"/>
  <c r="Y131" i="3"/>
  <c r="W131" i="3"/>
  <c r="U131" i="3"/>
  <c r="S131" i="3"/>
  <c r="Q131" i="3"/>
  <c r="O131" i="3"/>
  <c r="M131" i="3"/>
  <c r="K131" i="3"/>
  <c r="I131" i="3"/>
  <c r="G131" i="3"/>
  <c r="AZ130" i="3"/>
  <c r="AX130" i="3"/>
  <c r="AV130" i="3"/>
  <c r="AT130" i="3"/>
  <c r="AQ130" i="3"/>
  <c r="AO130" i="3"/>
  <c r="AM130" i="3"/>
  <c r="AK130" i="3"/>
  <c r="AC130" i="3"/>
  <c r="AA130" i="3"/>
  <c r="Y130" i="3"/>
  <c r="W130" i="3"/>
  <c r="U130" i="3"/>
  <c r="S130" i="3"/>
  <c r="Q130" i="3"/>
  <c r="O130" i="3"/>
  <c r="M130" i="3"/>
  <c r="K130" i="3"/>
  <c r="I130" i="3"/>
  <c r="G130" i="3"/>
  <c r="AZ129" i="3"/>
  <c r="AX129" i="3"/>
  <c r="AV129" i="3"/>
  <c r="AT129" i="3"/>
  <c r="AQ129" i="3"/>
  <c r="AO129" i="3"/>
  <c r="AM129" i="3"/>
  <c r="AK129" i="3"/>
  <c r="AC129" i="3"/>
  <c r="AA129" i="3"/>
  <c r="Y129" i="3"/>
  <c r="W129" i="3"/>
  <c r="U129" i="3"/>
  <c r="S129" i="3"/>
  <c r="Q129" i="3"/>
  <c r="O129" i="3"/>
  <c r="M129" i="3"/>
  <c r="K129" i="3"/>
  <c r="I129" i="3"/>
  <c r="G129" i="3"/>
  <c r="AZ128" i="3"/>
  <c r="AX128" i="3"/>
  <c r="AV128" i="3"/>
  <c r="AT128" i="3"/>
  <c r="AQ128" i="3"/>
  <c r="AO128" i="3"/>
  <c r="AM128" i="3"/>
  <c r="AK128" i="3"/>
  <c r="AC128" i="3"/>
  <c r="AA128" i="3"/>
  <c r="Y128" i="3"/>
  <c r="W128" i="3"/>
  <c r="U128" i="3"/>
  <c r="S128" i="3"/>
  <c r="Q128" i="3"/>
  <c r="O128" i="3"/>
  <c r="M128" i="3"/>
  <c r="K128" i="3"/>
  <c r="I128" i="3"/>
  <c r="G128" i="3"/>
  <c r="AZ127" i="3"/>
  <c r="AX127" i="3"/>
  <c r="AV127" i="3"/>
  <c r="AT127" i="3"/>
  <c r="AQ127" i="3"/>
  <c r="AO127" i="3"/>
  <c r="AM127" i="3"/>
  <c r="AK127" i="3"/>
  <c r="AC127" i="3"/>
  <c r="AA127" i="3"/>
  <c r="Y127" i="3"/>
  <c r="W127" i="3"/>
  <c r="U127" i="3"/>
  <c r="S127" i="3"/>
  <c r="Q127" i="3"/>
  <c r="O127" i="3"/>
  <c r="M127" i="3"/>
  <c r="K127" i="3"/>
  <c r="I127" i="3"/>
  <c r="G127" i="3"/>
  <c r="AZ126" i="3"/>
  <c r="AX126" i="3"/>
  <c r="AV126" i="3"/>
  <c r="AT126" i="3"/>
  <c r="AQ126" i="3"/>
  <c r="AO126" i="3"/>
  <c r="AM126" i="3"/>
  <c r="AK126" i="3"/>
  <c r="AC126" i="3"/>
  <c r="AA126" i="3"/>
  <c r="Y126" i="3"/>
  <c r="W126" i="3"/>
  <c r="U126" i="3"/>
  <c r="S126" i="3"/>
  <c r="Q126" i="3"/>
  <c r="O126" i="3"/>
  <c r="M126" i="3"/>
  <c r="K126" i="3"/>
  <c r="I126" i="3"/>
  <c r="G126" i="3"/>
  <c r="AZ125" i="3"/>
  <c r="AX125" i="3"/>
  <c r="AV125" i="3"/>
  <c r="AT125" i="3"/>
  <c r="AQ125" i="3"/>
  <c r="AO125" i="3"/>
  <c r="AM125" i="3"/>
  <c r="AK125" i="3"/>
  <c r="AC125" i="3"/>
  <c r="AA125" i="3"/>
  <c r="Y125" i="3"/>
  <c r="W125" i="3"/>
  <c r="U125" i="3"/>
  <c r="S125" i="3"/>
  <c r="Q125" i="3"/>
  <c r="O125" i="3"/>
  <c r="M125" i="3"/>
  <c r="K125" i="3"/>
  <c r="I125" i="3"/>
  <c r="G125" i="3"/>
  <c r="AZ124" i="3"/>
  <c r="AX124" i="3"/>
  <c r="AV124" i="3"/>
  <c r="AT124" i="3"/>
  <c r="AQ124" i="3"/>
  <c r="AO124" i="3"/>
  <c r="AM124" i="3"/>
  <c r="AK124" i="3"/>
  <c r="AC124" i="3"/>
  <c r="AA124" i="3"/>
  <c r="Y124" i="3"/>
  <c r="W124" i="3"/>
  <c r="U124" i="3"/>
  <c r="S124" i="3"/>
  <c r="Q124" i="3"/>
  <c r="O124" i="3"/>
  <c r="M124" i="3"/>
  <c r="K124" i="3"/>
  <c r="I124" i="3"/>
  <c r="G124" i="3"/>
  <c r="AZ123" i="3"/>
  <c r="AX123" i="3"/>
  <c r="AV123" i="3"/>
  <c r="AT123" i="3"/>
  <c r="AQ123" i="3"/>
  <c r="AO123" i="3"/>
  <c r="AM123" i="3"/>
  <c r="AK123" i="3"/>
  <c r="AC123" i="3"/>
  <c r="AA123" i="3"/>
  <c r="Y123" i="3"/>
  <c r="W123" i="3"/>
  <c r="U123" i="3"/>
  <c r="S123" i="3"/>
  <c r="Q123" i="3"/>
  <c r="O123" i="3"/>
  <c r="M123" i="3"/>
  <c r="K123" i="3"/>
  <c r="I123" i="3"/>
  <c r="G123" i="3"/>
  <c r="AZ122" i="3"/>
  <c r="AX122" i="3"/>
  <c r="AV122" i="3"/>
  <c r="AT122" i="3"/>
  <c r="AQ122" i="3"/>
  <c r="AO122" i="3"/>
  <c r="AM122" i="3"/>
  <c r="AK122" i="3"/>
  <c r="AC122" i="3"/>
  <c r="AA122" i="3"/>
  <c r="Y122" i="3"/>
  <c r="W122" i="3"/>
  <c r="U122" i="3"/>
  <c r="S122" i="3"/>
  <c r="Q122" i="3"/>
  <c r="O122" i="3"/>
  <c r="M122" i="3"/>
  <c r="K122" i="3"/>
  <c r="I122" i="3"/>
  <c r="G122" i="3"/>
  <c r="AZ121" i="3"/>
  <c r="AX121" i="3"/>
  <c r="AV121" i="3"/>
  <c r="AT121" i="3"/>
  <c r="AQ121" i="3"/>
  <c r="AO121" i="3"/>
  <c r="AM121" i="3"/>
  <c r="AK121" i="3"/>
  <c r="AC121" i="3"/>
  <c r="AA121" i="3"/>
  <c r="Y121" i="3"/>
  <c r="W121" i="3"/>
  <c r="U121" i="3"/>
  <c r="S121" i="3"/>
  <c r="Q121" i="3"/>
  <c r="O121" i="3"/>
  <c r="M121" i="3"/>
  <c r="K121" i="3"/>
  <c r="I121" i="3"/>
  <c r="G121" i="3"/>
  <c r="AZ120" i="3"/>
  <c r="AX120" i="3"/>
  <c r="AV120" i="3"/>
  <c r="AT120" i="3"/>
  <c r="AQ120" i="3"/>
  <c r="AO120" i="3"/>
  <c r="AM120" i="3"/>
  <c r="AK120" i="3"/>
  <c r="AC120" i="3"/>
  <c r="AA120" i="3"/>
  <c r="Y120" i="3"/>
  <c r="W120" i="3"/>
  <c r="U120" i="3"/>
  <c r="S120" i="3"/>
  <c r="Q120" i="3"/>
  <c r="O120" i="3"/>
  <c r="M120" i="3"/>
  <c r="K120" i="3"/>
  <c r="I120" i="3"/>
  <c r="G120" i="3"/>
  <c r="AZ119" i="3"/>
  <c r="AX119" i="3"/>
  <c r="AV119" i="3"/>
  <c r="AT119" i="3"/>
  <c r="AQ119" i="3"/>
  <c r="AO119" i="3"/>
  <c r="AM119" i="3"/>
  <c r="AK119" i="3"/>
  <c r="AC119" i="3"/>
  <c r="AA119" i="3"/>
  <c r="Y119" i="3"/>
  <c r="W119" i="3"/>
  <c r="U119" i="3"/>
  <c r="S119" i="3"/>
  <c r="Q119" i="3"/>
  <c r="O119" i="3"/>
  <c r="M119" i="3"/>
  <c r="K119" i="3"/>
  <c r="I119" i="3"/>
  <c r="G119" i="3"/>
  <c r="AZ118" i="3"/>
  <c r="AX118" i="3"/>
  <c r="AV118" i="3"/>
  <c r="AT118" i="3"/>
  <c r="AQ118" i="3"/>
  <c r="AO118" i="3"/>
  <c r="AM118" i="3"/>
  <c r="AK118" i="3"/>
  <c r="AC118" i="3"/>
  <c r="AA118" i="3"/>
  <c r="Y118" i="3"/>
  <c r="W118" i="3"/>
  <c r="U118" i="3"/>
  <c r="S118" i="3"/>
  <c r="Q118" i="3"/>
  <c r="O118" i="3"/>
  <c r="M118" i="3"/>
  <c r="K118" i="3"/>
  <c r="I118" i="3"/>
  <c r="G118" i="3"/>
  <c r="AZ117" i="3"/>
  <c r="AX117" i="3"/>
  <c r="AV117" i="3"/>
  <c r="AT117" i="3"/>
  <c r="AQ117" i="3"/>
  <c r="AO117" i="3"/>
  <c r="AM117" i="3"/>
  <c r="AK117" i="3"/>
  <c r="AC117" i="3"/>
  <c r="AA117" i="3"/>
  <c r="Y117" i="3"/>
  <c r="W117" i="3"/>
  <c r="U117" i="3"/>
  <c r="S117" i="3"/>
  <c r="Q117" i="3"/>
  <c r="O117" i="3"/>
  <c r="M117" i="3"/>
  <c r="K117" i="3"/>
  <c r="I117" i="3"/>
  <c r="G117" i="3"/>
  <c r="AZ116" i="3"/>
  <c r="AX116" i="3"/>
  <c r="AV116" i="3"/>
  <c r="AT116" i="3"/>
  <c r="AQ116" i="3"/>
  <c r="AO116" i="3"/>
  <c r="AM116" i="3"/>
  <c r="AK116" i="3"/>
  <c r="AC116" i="3"/>
  <c r="AA116" i="3"/>
  <c r="Y116" i="3"/>
  <c r="W116" i="3"/>
  <c r="U116" i="3"/>
  <c r="S116" i="3"/>
  <c r="Q116" i="3"/>
  <c r="O116" i="3"/>
  <c r="M116" i="3"/>
  <c r="K116" i="3"/>
  <c r="I116" i="3"/>
  <c r="G116" i="3"/>
  <c r="AZ115" i="3"/>
  <c r="AX115" i="3"/>
  <c r="AV115" i="3"/>
  <c r="AT115" i="3"/>
  <c r="AQ115" i="3"/>
  <c r="AO115" i="3"/>
  <c r="AM115" i="3"/>
  <c r="AK115" i="3"/>
  <c r="AC115" i="3"/>
  <c r="AA115" i="3"/>
  <c r="Y115" i="3"/>
  <c r="W115" i="3"/>
  <c r="U115" i="3"/>
  <c r="S115" i="3"/>
  <c r="Q115" i="3"/>
  <c r="O115" i="3"/>
  <c r="M115" i="3"/>
  <c r="K115" i="3"/>
  <c r="I115" i="3"/>
  <c r="G115" i="3"/>
  <c r="AZ114" i="3"/>
  <c r="AX114" i="3"/>
  <c r="AV114" i="3"/>
  <c r="AT114" i="3"/>
  <c r="AQ114" i="3"/>
  <c r="AO114" i="3"/>
  <c r="AM114" i="3"/>
  <c r="AK114" i="3"/>
  <c r="AC114" i="3"/>
  <c r="AA114" i="3"/>
  <c r="Y114" i="3"/>
  <c r="W114" i="3"/>
  <c r="U114" i="3"/>
  <c r="S114" i="3"/>
  <c r="Q114" i="3"/>
  <c r="O114" i="3"/>
  <c r="M114" i="3"/>
  <c r="K114" i="3"/>
  <c r="I114" i="3"/>
  <c r="G114" i="3"/>
  <c r="AZ113" i="3"/>
  <c r="AX113" i="3"/>
  <c r="AV113" i="3"/>
  <c r="AT113" i="3"/>
  <c r="AQ113" i="3"/>
  <c r="AO113" i="3"/>
  <c r="AM113" i="3"/>
  <c r="AK113" i="3"/>
  <c r="AC113" i="3"/>
  <c r="AA113" i="3"/>
  <c r="Y113" i="3"/>
  <c r="W113" i="3"/>
  <c r="U113" i="3"/>
  <c r="S113" i="3"/>
  <c r="Q113" i="3"/>
  <c r="O113" i="3"/>
  <c r="M113" i="3"/>
  <c r="K113" i="3"/>
  <c r="I113" i="3"/>
  <c r="G113" i="3"/>
  <c r="AZ112" i="3"/>
  <c r="AX112" i="3"/>
  <c r="AV112" i="3"/>
  <c r="AT112" i="3"/>
  <c r="AQ112" i="3"/>
  <c r="AO112" i="3"/>
  <c r="AM112" i="3"/>
  <c r="AK112" i="3"/>
  <c r="AC112" i="3"/>
  <c r="AA112" i="3"/>
  <c r="Y112" i="3"/>
  <c r="W112" i="3"/>
  <c r="U112" i="3"/>
  <c r="S112" i="3"/>
  <c r="Q112" i="3"/>
  <c r="O112" i="3"/>
  <c r="M112" i="3"/>
  <c r="K112" i="3"/>
  <c r="I112" i="3"/>
  <c r="G112" i="3"/>
  <c r="AZ111" i="3"/>
  <c r="AX111" i="3"/>
  <c r="AV111" i="3"/>
  <c r="AT111" i="3"/>
  <c r="AQ111" i="3"/>
  <c r="AO111" i="3"/>
  <c r="AM111" i="3"/>
  <c r="AK111" i="3"/>
  <c r="AC111" i="3"/>
  <c r="AA111" i="3"/>
  <c r="Y111" i="3"/>
  <c r="W111" i="3"/>
  <c r="U111" i="3"/>
  <c r="S111" i="3"/>
  <c r="Q111" i="3"/>
  <c r="O111" i="3"/>
  <c r="M111" i="3"/>
  <c r="K111" i="3"/>
  <c r="I111" i="3"/>
  <c r="G111" i="3"/>
  <c r="AZ110" i="3"/>
  <c r="AX110" i="3"/>
  <c r="AV110" i="3"/>
  <c r="AT110" i="3"/>
  <c r="AQ110" i="3"/>
  <c r="AO110" i="3"/>
  <c r="AM110" i="3"/>
  <c r="AK110" i="3"/>
  <c r="AC110" i="3"/>
  <c r="AA110" i="3"/>
  <c r="Y110" i="3"/>
  <c r="W110" i="3"/>
  <c r="U110" i="3"/>
  <c r="S110" i="3"/>
  <c r="Q110" i="3"/>
  <c r="O110" i="3"/>
  <c r="M110" i="3"/>
  <c r="K110" i="3"/>
  <c r="I110" i="3"/>
  <c r="G110" i="3"/>
  <c r="AZ109" i="3"/>
  <c r="AX109" i="3"/>
  <c r="AV109" i="3"/>
  <c r="AT109" i="3"/>
  <c r="AQ109" i="3"/>
  <c r="AO109" i="3"/>
  <c r="AM109" i="3"/>
  <c r="AK109" i="3"/>
  <c r="AC109" i="3"/>
  <c r="AA109" i="3"/>
  <c r="Y109" i="3"/>
  <c r="W109" i="3"/>
  <c r="U109" i="3"/>
  <c r="S109" i="3"/>
  <c r="Q109" i="3"/>
  <c r="O109" i="3"/>
  <c r="M109" i="3"/>
  <c r="K109" i="3"/>
  <c r="I109" i="3"/>
  <c r="G109" i="3"/>
  <c r="AZ108" i="3"/>
  <c r="AX108" i="3"/>
  <c r="AV108" i="3"/>
  <c r="AT108" i="3"/>
  <c r="AQ108" i="3"/>
  <c r="AO108" i="3"/>
  <c r="AM108" i="3"/>
  <c r="AK108" i="3"/>
  <c r="AC108" i="3"/>
  <c r="AA108" i="3"/>
  <c r="Y108" i="3"/>
  <c r="W108" i="3"/>
  <c r="U108" i="3"/>
  <c r="S108" i="3"/>
  <c r="Q108" i="3"/>
  <c r="O108" i="3"/>
  <c r="M108" i="3"/>
  <c r="K108" i="3"/>
  <c r="I108" i="3"/>
  <c r="G108" i="3"/>
  <c r="AZ107" i="3"/>
  <c r="AX107" i="3"/>
  <c r="AV107" i="3"/>
  <c r="AT107" i="3"/>
  <c r="AQ107" i="3"/>
  <c r="AO107" i="3"/>
  <c r="AM107" i="3"/>
  <c r="AK107" i="3"/>
  <c r="AC107" i="3"/>
  <c r="AA107" i="3"/>
  <c r="Y107" i="3"/>
  <c r="W107" i="3"/>
  <c r="U107" i="3"/>
  <c r="S107" i="3"/>
  <c r="Q107" i="3"/>
  <c r="O107" i="3"/>
  <c r="M107" i="3"/>
  <c r="K107" i="3"/>
  <c r="I107" i="3"/>
  <c r="G107" i="3"/>
  <c r="AZ106" i="3"/>
  <c r="AX106" i="3"/>
  <c r="AV106" i="3"/>
  <c r="AT106" i="3"/>
  <c r="AQ106" i="3"/>
  <c r="AO106" i="3"/>
  <c r="AM106" i="3"/>
  <c r="AK106" i="3"/>
  <c r="AC106" i="3"/>
  <c r="AA106" i="3"/>
  <c r="Y106" i="3"/>
  <c r="W106" i="3"/>
  <c r="U106" i="3"/>
  <c r="S106" i="3"/>
  <c r="Q106" i="3"/>
  <c r="O106" i="3"/>
  <c r="M106" i="3"/>
  <c r="K106" i="3"/>
  <c r="I106" i="3"/>
  <c r="G106" i="3"/>
  <c r="AZ105" i="3"/>
  <c r="AX105" i="3"/>
  <c r="AV105" i="3"/>
  <c r="AT105" i="3"/>
  <c r="AQ105" i="3"/>
  <c r="AO105" i="3"/>
  <c r="AM105" i="3"/>
  <c r="AK105" i="3"/>
  <c r="AC105" i="3"/>
  <c r="AA105" i="3"/>
  <c r="Y105" i="3"/>
  <c r="W105" i="3"/>
  <c r="U105" i="3"/>
  <c r="S105" i="3"/>
  <c r="Q105" i="3"/>
  <c r="O105" i="3"/>
  <c r="M105" i="3"/>
  <c r="K105" i="3"/>
  <c r="I105" i="3"/>
  <c r="G105" i="3"/>
  <c r="AZ104" i="3"/>
  <c r="AX104" i="3"/>
  <c r="AV104" i="3"/>
  <c r="AT104" i="3"/>
  <c r="AQ104" i="3"/>
  <c r="AO104" i="3"/>
  <c r="AM104" i="3"/>
  <c r="AK104" i="3"/>
  <c r="AC104" i="3"/>
  <c r="AA104" i="3"/>
  <c r="Y104" i="3"/>
  <c r="W104" i="3"/>
  <c r="U104" i="3"/>
  <c r="S104" i="3"/>
  <c r="Q104" i="3"/>
  <c r="O104" i="3"/>
  <c r="M104" i="3"/>
  <c r="K104" i="3"/>
  <c r="I104" i="3"/>
  <c r="G104" i="3"/>
  <c r="AZ103" i="3"/>
  <c r="AX103" i="3"/>
  <c r="AV103" i="3"/>
  <c r="AT103" i="3"/>
  <c r="AQ103" i="3"/>
  <c r="AO103" i="3"/>
  <c r="AM103" i="3"/>
  <c r="AK103" i="3"/>
  <c r="AC103" i="3"/>
  <c r="AA103" i="3"/>
  <c r="Y103" i="3"/>
  <c r="W103" i="3"/>
  <c r="U103" i="3"/>
  <c r="S103" i="3"/>
  <c r="Q103" i="3"/>
  <c r="O103" i="3"/>
  <c r="M103" i="3"/>
  <c r="K103" i="3"/>
  <c r="I103" i="3"/>
  <c r="G103" i="3"/>
  <c r="AZ102" i="3"/>
  <c r="AX102" i="3"/>
  <c r="AV102" i="3"/>
  <c r="AT102" i="3"/>
  <c r="AQ102" i="3"/>
  <c r="AO102" i="3"/>
  <c r="AM102" i="3"/>
  <c r="AK102" i="3"/>
  <c r="AC102" i="3"/>
  <c r="AA102" i="3"/>
  <c r="Y102" i="3"/>
  <c r="W102" i="3"/>
  <c r="U102" i="3"/>
  <c r="S102" i="3"/>
  <c r="Q102" i="3"/>
  <c r="O102" i="3"/>
  <c r="M102" i="3"/>
  <c r="K102" i="3"/>
  <c r="I102" i="3"/>
  <c r="G102" i="3"/>
  <c r="AZ101" i="3"/>
  <c r="AX101" i="3"/>
  <c r="AV101" i="3"/>
  <c r="AT101" i="3"/>
  <c r="AQ101" i="3"/>
  <c r="AO101" i="3"/>
  <c r="AM101" i="3"/>
  <c r="AK101" i="3"/>
  <c r="AC101" i="3"/>
  <c r="AA101" i="3"/>
  <c r="Y101" i="3"/>
  <c r="W101" i="3"/>
  <c r="U101" i="3"/>
  <c r="S101" i="3"/>
  <c r="Q101" i="3"/>
  <c r="O101" i="3"/>
  <c r="M101" i="3"/>
  <c r="K101" i="3"/>
  <c r="I101" i="3"/>
  <c r="G101" i="3"/>
  <c r="AZ100" i="3"/>
  <c r="AX100" i="3"/>
  <c r="AV100" i="3"/>
  <c r="AT100" i="3"/>
  <c r="AQ100" i="3"/>
  <c r="AO100" i="3"/>
  <c r="AM100" i="3"/>
  <c r="AK100" i="3"/>
  <c r="AC100" i="3"/>
  <c r="AA100" i="3"/>
  <c r="Y100" i="3"/>
  <c r="W100" i="3"/>
  <c r="U100" i="3"/>
  <c r="S100" i="3"/>
  <c r="Q100" i="3"/>
  <c r="O100" i="3"/>
  <c r="M100" i="3"/>
  <c r="K100" i="3"/>
  <c r="I100" i="3"/>
  <c r="G100" i="3"/>
  <c r="AZ99" i="3"/>
  <c r="AX99" i="3"/>
  <c r="AV99" i="3"/>
  <c r="AT99" i="3"/>
  <c r="AQ99" i="3"/>
  <c r="AO99" i="3"/>
  <c r="AM99" i="3"/>
  <c r="AK99" i="3"/>
  <c r="AC99" i="3"/>
  <c r="AA99" i="3"/>
  <c r="Y99" i="3"/>
  <c r="W99" i="3"/>
  <c r="U99" i="3"/>
  <c r="S99" i="3"/>
  <c r="Q99" i="3"/>
  <c r="O99" i="3"/>
  <c r="M99" i="3"/>
  <c r="K99" i="3"/>
  <c r="I99" i="3"/>
  <c r="G99" i="3"/>
  <c r="AZ98" i="3"/>
  <c r="AX98" i="3"/>
  <c r="AV98" i="3"/>
  <c r="AT98" i="3"/>
  <c r="AQ98" i="3"/>
  <c r="AO98" i="3"/>
  <c r="AM98" i="3"/>
  <c r="AK98" i="3"/>
  <c r="AC98" i="3"/>
  <c r="AA98" i="3"/>
  <c r="Y98" i="3"/>
  <c r="W98" i="3"/>
  <c r="U98" i="3"/>
  <c r="S98" i="3"/>
  <c r="Q98" i="3"/>
  <c r="O98" i="3"/>
  <c r="M98" i="3"/>
  <c r="K98" i="3"/>
  <c r="I98" i="3"/>
  <c r="G98" i="3"/>
  <c r="AZ97" i="3"/>
  <c r="AX97" i="3"/>
  <c r="AV97" i="3"/>
  <c r="AT97" i="3"/>
  <c r="AQ97" i="3"/>
  <c r="AO97" i="3"/>
  <c r="AM97" i="3"/>
  <c r="AK97" i="3"/>
  <c r="AC97" i="3"/>
  <c r="AA97" i="3"/>
  <c r="Y97" i="3"/>
  <c r="W97" i="3"/>
  <c r="U97" i="3"/>
  <c r="S97" i="3"/>
  <c r="Q97" i="3"/>
  <c r="O97" i="3"/>
  <c r="M97" i="3"/>
  <c r="K97" i="3"/>
  <c r="I97" i="3"/>
  <c r="G97" i="3"/>
  <c r="AZ96" i="3"/>
  <c r="AX96" i="3"/>
  <c r="AV96" i="3"/>
  <c r="AT96" i="3"/>
  <c r="AQ96" i="3"/>
  <c r="AO96" i="3"/>
  <c r="AM96" i="3"/>
  <c r="AK96" i="3"/>
  <c r="AC96" i="3"/>
  <c r="AA96" i="3"/>
  <c r="Y96" i="3"/>
  <c r="W96" i="3"/>
  <c r="U96" i="3"/>
  <c r="S96" i="3"/>
  <c r="Q96" i="3"/>
  <c r="O96" i="3"/>
  <c r="M96" i="3"/>
  <c r="K96" i="3"/>
  <c r="I96" i="3"/>
  <c r="G96" i="3"/>
  <c r="AZ95" i="3"/>
  <c r="AX95" i="3"/>
  <c r="AV95" i="3"/>
  <c r="AT95" i="3"/>
  <c r="AQ95" i="3"/>
  <c r="AO95" i="3"/>
  <c r="AM95" i="3"/>
  <c r="AK95" i="3"/>
  <c r="AC95" i="3"/>
  <c r="AA95" i="3"/>
  <c r="Y95" i="3"/>
  <c r="W95" i="3"/>
  <c r="U95" i="3"/>
  <c r="S95" i="3"/>
  <c r="Q95" i="3"/>
  <c r="O95" i="3"/>
  <c r="M95" i="3"/>
  <c r="K95" i="3"/>
  <c r="I95" i="3"/>
  <c r="G95" i="3"/>
  <c r="AZ94" i="3"/>
  <c r="AX94" i="3"/>
  <c r="AV94" i="3"/>
  <c r="AT94" i="3"/>
  <c r="AQ94" i="3"/>
  <c r="AO94" i="3"/>
  <c r="AM94" i="3"/>
  <c r="AK94" i="3"/>
  <c r="AC94" i="3"/>
  <c r="AA94" i="3"/>
  <c r="Y94" i="3"/>
  <c r="W94" i="3"/>
  <c r="U94" i="3"/>
  <c r="S94" i="3"/>
  <c r="Q94" i="3"/>
  <c r="O94" i="3"/>
  <c r="M94" i="3"/>
  <c r="K94" i="3"/>
  <c r="I94" i="3"/>
  <c r="G94" i="3"/>
  <c r="AZ93" i="3"/>
  <c r="AX93" i="3"/>
  <c r="AV93" i="3"/>
  <c r="AT93" i="3"/>
  <c r="AQ93" i="3"/>
  <c r="AO93" i="3"/>
  <c r="AM93" i="3"/>
  <c r="AK93" i="3"/>
  <c r="AC93" i="3"/>
  <c r="AA93" i="3"/>
  <c r="Y93" i="3"/>
  <c r="W93" i="3"/>
  <c r="U93" i="3"/>
  <c r="S93" i="3"/>
  <c r="Q93" i="3"/>
  <c r="O93" i="3"/>
  <c r="M93" i="3"/>
  <c r="K93" i="3"/>
  <c r="I93" i="3"/>
  <c r="G93" i="3"/>
  <c r="AZ92" i="3"/>
  <c r="AX92" i="3"/>
  <c r="AV92" i="3"/>
  <c r="AT92" i="3"/>
  <c r="AQ92" i="3"/>
  <c r="AO92" i="3"/>
  <c r="AM92" i="3"/>
  <c r="AK92" i="3"/>
  <c r="AC92" i="3"/>
  <c r="AA92" i="3"/>
  <c r="Y92" i="3"/>
  <c r="W92" i="3"/>
  <c r="U92" i="3"/>
  <c r="S92" i="3"/>
  <c r="Q92" i="3"/>
  <c r="O92" i="3"/>
  <c r="M92" i="3"/>
  <c r="K92" i="3"/>
  <c r="I92" i="3"/>
  <c r="G92" i="3"/>
  <c r="AZ91" i="3"/>
  <c r="AX91" i="3"/>
  <c r="AV91" i="3"/>
  <c r="AT91" i="3"/>
  <c r="AQ91" i="3"/>
  <c r="AO91" i="3"/>
  <c r="AM91" i="3"/>
  <c r="AK91" i="3"/>
  <c r="AC91" i="3"/>
  <c r="AA91" i="3"/>
  <c r="Y91" i="3"/>
  <c r="W91" i="3"/>
  <c r="U91" i="3"/>
  <c r="S91" i="3"/>
  <c r="Q91" i="3"/>
  <c r="O91" i="3"/>
  <c r="M91" i="3"/>
  <c r="K91" i="3"/>
  <c r="I91" i="3"/>
  <c r="G91" i="3"/>
  <c r="AZ90" i="3"/>
  <c r="AX90" i="3"/>
  <c r="AV90" i="3"/>
  <c r="AT90" i="3"/>
  <c r="AQ90" i="3"/>
  <c r="AO90" i="3"/>
  <c r="AM90" i="3"/>
  <c r="AK90" i="3"/>
  <c r="AC90" i="3"/>
  <c r="AA90" i="3"/>
  <c r="Y90" i="3"/>
  <c r="W90" i="3"/>
  <c r="U90" i="3"/>
  <c r="S90" i="3"/>
  <c r="Q90" i="3"/>
  <c r="O90" i="3"/>
  <c r="M90" i="3"/>
  <c r="K90" i="3"/>
  <c r="I90" i="3"/>
  <c r="G90" i="3"/>
  <c r="AZ89" i="3"/>
  <c r="AX89" i="3"/>
  <c r="AV89" i="3"/>
  <c r="AT89" i="3"/>
  <c r="AQ89" i="3"/>
  <c r="AO89" i="3"/>
  <c r="AM89" i="3"/>
  <c r="AK89" i="3"/>
  <c r="AC89" i="3"/>
  <c r="AA89" i="3"/>
  <c r="Y89" i="3"/>
  <c r="W89" i="3"/>
  <c r="U89" i="3"/>
  <c r="S89" i="3"/>
  <c r="Q89" i="3"/>
  <c r="O89" i="3"/>
  <c r="M89" i="3"/>
  <c r="K89" i="3"/>
  <c r="I89" i="3"/>
  <c r="G89" i="3"/>
  <c r="AZ88" i="3"/>
  <c r="AX88" i="3"/>
  <c r="AV88" i="3"/>
  <c r="AT88" i="3"/>
  <c r="AQ88" i="3"/>
  <c r="AO88" i="3"/>
  <c r="AM88" i="3"/>
  <c r="AK88" i="3"/>
  <c r="AC88" i="3"/>
  <c r="AA88" i="3"/>
  <c r="Y88" i="3"/>
  <c r="W88" i="3"/>
  <c r="U88" i="3"/>
  <c r="S88" i="3"/>
  <c r="Q88" i="3"/>
  <c r="O88" i="3"/>
  <c r="M88" i="3"/>
  <c r="K88" i="3"/>
  <c r="I88" i="3"/>
  <c r="G88" i="3"/>
  <c r="AZ87" i="3"/>
  <c r="AX87" i="3"/>
  <c r="AV87" i="3"/>
  <c r="AT87" i="3"/>
  <c r="AQ87" i="3"/>
  <c r="AO87" i="3"/>
  <c r="AM87" i="3"/>
  <c r="AK87" i="3"/>
  <c r="AC87" i="3"/>
  <c r="AA87" i="3"/>
  <c r="Y87" i="3"/>
  <c r="W87" i="3"/>
  <c r="U87" i="3"/>
  <c r="S87" i="3"/>
  <c r="Q87" i="3"/>
  <c r="O87" i="3"/>
  <c r="M87" i="3"/>
  <c r="K87" i="3"/>
  <c r="I87" i="3"/>
  <c r="G87" i="3"/>
  <c r="AZ86" i="3"/>
  <c r="AX86" i="3"/>
  <c r="AV86" i="3"/>
  <c r="AT86" i="3"/>
  <c r="AQ86" i="3"/>
  <c r="AO86" i="3"/>
  <c r="AM86" i="3"/>
  <c r="AK86" i="3"/>
  <c r="AC86" i="3"/>
  <c r="AA86" i="3"/>
  <c r="Y86" i="3"/>
  <c r="W86" i="3"/>
  <c r="U86" i="3"/>
  <c r="S86" i="3"/>
  <c r="Q86" i="3"/>
  <c r="O86" i="3"/>
  <c r="M86" i="3"/>
  <c r="K86" i="3"/>
  <c r="I86" i="3"/>
  <c r="G86" i="3"/>
  <c r="AZ85" i="3"/>
  <c r="AX85" i="3"/>
  <c r="AV85" i="3"/>
  <c r="AT85" i="3"/>
  <c r="AQ85" i="3"/>
  <c r="AO85" i="3"/>
  <c r="AM85" i="3"/>
  <c r="AK85" i="3"/>
  <c r="AC85" i="3"/>
  <c r="AA85" i="3"/>
  <c r="Y85" i="3"/>
  <c r="W85" i="3"/>
  <c r="U85" i="3"/>
  <c r="S85" i="3"/>
  <c r="Q85" i="3"/>
  <c r="O85" i="3"/>
  <c r="M85" i="3"/>
  <c r="K85" i="3"/>
  <c r="I85" i="3"/>
  <c r="G85" i="3"/>
  <c r="AZ84" i="3"/>
  <c r="AX84" i="3"/>
  <c r="AV84" i="3"/>
  <c r="AT84" i="3"/>
  <c r="AQ84" i="3"/>
  <c r="AO84" i="3"/>
  <c r="AM84" i="3"/>
  <c r="AK84" i="3"/>
  <c r="AC84" i="3"/>
  <c r="AA84" i="3"/>
  <c r="Y84" i="3"/>
  <c r="W84" i="3"/>
  <c r="U84" i="3"/>
  <c r="S84" i="3"/>
  <c r="Q84" i="3"/>
  <c r="O84" i="3"/>
  <c r="M84" i="3"/>
  <c r="K84" i="3"/>
  <c r="I84" i="3"/>
  <c r="G84" i="3"/>
  <c r="AZ83" i="3"/>
  <c r="AX83" i="3"/>
  <c r="AV83" i="3"/>
  <c r="AT83" i="3"/>
  <c r="AQ83" i="3"/>
  <c r="AO83" i="3"/>
  <c r="AM83" i="3"/>
  <c r="AK83" i="3"/>
  <c r="AC83" i="3"/>
  <c r="AA83" i="3"/>
  <c r="Y83" i="3"/>
  <c r="W83" i="3"/>
  <c r="U83" i="3"/>
  <c r="S83" i="3"/>
  <c r="Q83" i="3"/>
  <c r="O83" i="3"/>
  <c r="M83" i="3"/>
  <c r="K83" i="3"/>
  <c r="I83" i="3"/>
  <c r="G83" i="3"/>
  <c r="AZ82" i="3"/>
  <c r="AX82" i="3"/>
  <c r="AV82" i="3"/>
  <c r="AT82" i="3"/>
  <c r="AQ82" i="3"/>
  <c r="AO82" i="3"/>
  <c r="AM82" i="3"/>
  <c r="AK82" i="3"/>
  <c r="AC82" i="3"/>
  <c r="AA82" i="3"/>
  <c r="Y82" i="3"/>
  <c r="W82" i="3"/>
  <c r="U82" i="3"/>
  <c r="S82" i="3"/>
  <c r="Q82" i="3"/>
  <c r="O82" i="3"/>
  <c r="M82" i="3"/>
  <c r="K82" i="3"/>
  <c r="I82" i="3"/>
  <c r="G82" i="3"/>
  <c r="AZ81" i="3"/>
  <c r="AX81" i="3"/>
  <c r="AV81" i="3"/>
  <c r="AT81" i="3"/>
  <c r="AQ81" i="3"/>
  <c r="AO81" i="3"/>
  <c r="AM81" i="3"/>
  <c r="AK81" i="3"/>
  <c r="AC81" i="3"/>
  <c r="AA81" i="3"/>
  <c r="Y81" i="3"/>
  <c r="W81" i="3"/>
  <c r="U81" i="3"/>
  <c r="S81" i="3"/>
  <c r="Q81" i="3"/>
  <c r="O81" i="3"/>
  <c r="M81" i="3"/>
  <c r="K81" i="3"/>
  <c r="I81" i="3"/>
  <c r="G81" i="3"/>
  <c r="AZ80" i="3"/>
  <c r="AX80" i="3"/>
  <c r="AV80" i="3"/>
  <c r="AT80" i="3"/>
  <c r="AQ80" i="3"/>
  <c r="AO80" i="3"/>
  <c r="AM80" i="3"/>
  <c r="AK80" i="3"/>
  <c r="AC80" i="3"/>
  <c r="AA80" i="3"/>
  <c r="Y80" i="3"/>
  <c r="W80" i="3"/>
  <c r="U80" i="3"/>
  <c r="S80" i="3"/>
  <c r="Q80" i="3"/>
  <c r="O80" i="3"/>
  <c r="M80" i="3"/>
  <c r="K80" i="3"/>
  <c r="I80" i="3"/>
  <c r="G80" i="3"/>
  <c r="AZ79" i="3"/>
  <c r="AX79" i="3"/>
  <c r="AV79" i="3"/>
  <c r="AT79" i="3"/>
  <c r="AQ79" i="3"/>
  <c r="AO79" i="3"/>
  <c r="AM79" i="3"/>
  <c r="AK79" i="3"/>
  <c r="AC79" i="3"/>
  <c r="AA79" i="3"/>
  <c r="Y79" i="3"/>
  <c r="W79" i="3"/>
  <c r="U79" i="3"/>
  <c r="S79" i="3"/>
  <c r="Q79" i="3"/>
  <c r="O79" i="3"/>
  <c r="M79" i="3"/>
  <c r="K79" i="3"/>
  <c r="I79" i="3"/>
  <c r="G79" i="3"/>
  <c r="AZ78" i="3"/>
  <c r="AX78" i="3"/>
  <c r="AV78" i="3"/>
  <c r="AT78" i="3"/>
  <c r="AQ78" i="3"/>
  <c r="AO78" i="3"/>
  <c r="AM78" i="3"/>
  <c r="AK78" i="3"/>
  <c r="AC78" i="3"/>
  <c r="AA78" i="3"/>
  <c r="Y78" i="3"/>
  <c r="W78" i="3"/>
  <c r="U78" i="3"/>
  <c r="S78" i="3"/>
  <c r="Q78" i="3"/>
  <c r="O78" i="3"/>
  <c r="M78" i="3"/>
  <c r="K78" i="3"/>
  <c r="I78" i="3"/>
  <c r="G78" i="3"/>
  <c r="AZ77" i="3"/>
  <c r="AX77" i="3"/>
  <c r="AV77" i="3"/>
  <c r="AT77" i="3"/>
  <c r="AQ77" i="3"/>
  <c r="AO77" i="3"/>
  <c r="AM77" i="3"/>
  <c r="AK77" i="3"/>
  <c r="AC77" i="3"/>
  <c r="AA77" i="3"/>
  <c r="Y77" i="3"/>
  <c r="W77" i="3"/>
  <c r="U77" i="3"/>
  <c r="S77" i="3"/>
  <c r="Q77" i="3"/>
  <c r="O77" i="3"/>
  <c r="M77" i="3"/>
  <c r="K77" i="3"/>
  <c r="I77" i="3"/>
  <c r="G77" i="3"/>
  <c r="AZ76" i="3"/>
  <c r="AX76" i="3"/>
  <c r="AV76" i="3"/>
  <c r="AT76" i="3"/>
  <c r="AQ76" i="3"/>
  <c r="AO76" i="3"/>
  <c r="AM76" i="3"/>
  <c r="AK76" i="3"/>
  <c r="AC76" i="3"/>
  <c r="AA76" i="3"/>
  <c r="Y76" i="3"/>
  <c r="W76" i="3"/>
  <c r="U76" i="3"/>
  <c r="S76" i="3"/>
  <c r="Q76" i="3"/>
  <c r="O76" i="3"/>
  <c r="M76" i="3"/>
  <c r="K76" i="3"/>
  <c r="I76" i="3"/>
  <c r="G76" i="3"/>
  <c r="AZ75" i="3"/>
  <c r="AX75" i="3"/>
  <c r="AV75" i="3"/>
  <c r="AT75" i="3"/>
  <c r="AQ75" i="3"/>
  <c r="AO75" i="3"/>
  <c r="AM75" i="3"/>
  <c r="AK75" i="3"/>
  <c r="AC75" i="3"/>
  <c r="AA75" i="3"/>
  <c r="Y75" i="3"/>
  <c r="W75" i="3"/>
  <c r="U75" i="3"/>
  <c r="S75" i="3"/>
  <c r="Q75" i="3"/>
  <c r="O75" i="3"/>
  <c r="M75" i="3"/>
  <c r="K75" i="3"/>
  <c r="I75" i="3"/>
  <c r="G75" i="3"/>
  <c r="AZ74" i="3"/>
  <c r="AX74" i="3"/>
  <c r="AV74" i="3"/>
  <c r="AT74" i="3"/>
  <c r="AQ74" i="3"/>
  <c r="AO74" i="3"/>
  <c r="AM74" i="3"/>
  <c r="AK74" i="3"/>
  <c r="AC74" i="3"/>
  <c r="AA74" i="3"/>
  <c r="Y74" i="3"/>
  <c r="W74" i="3"/>
  <c r="U74" i="3"/>
  <c r="S74" i="3"/>
  <c r="Q74" i="3"/>
  <c r="O74" i="3"/>
  <c r="M74" i="3"/>
  <c r="K74" i="3"/>
  <c r="I74" i="3"/>
  <c r="G74" i="3"/>
  <c r="AZ73" i="3"/>
  <c r="AX73" i="3"/>
  <c r="AV73" i="3"/>
  <c r="AT73" i="3"/>
  <c r="AQ73" i="3"/>
  <c r="AO73" i="3"/>
  <c r="AM73" i="3"/>
  <c r="AK73" i="3"/>
  <c r="AC73" i="3"/>
  <c r="AA73" i="3"/>
  <c r="Y73" i="3"/>
  <c r="W73" i="3"/>
  <c r="U73" i="3"/>
  <c r="S73" i="3"/>
  <c r="Q73" i="3"/>
  <c r="O73" i="3"/>
  <c r="M73" i="3"/>
  <c r="K73" i="3"/>
  <c r="I73" i="3"/>
  <c r="G73" i="3"/>
  <c r="AZ72" i="3"/>
  <c r="AX72" i="3"/>
  <c r="AV72" i="3"/>
  <c r="AT72" i="3"/>
  <c r="AQ72" i="3"/>
  <c r="AO72" i="3"/>
  <c r="AM72" i="3"/>
  <c r="AK72" i="3"/>
  <c r="AC72" i="3"/>
  <c r="AA72" i="3"/>
  <c r="Y72" i="3"/>
  <c r="W72" i="3"/>
  <c r="U72" i="3"/>
  <c r="S72" i="3"/>
  <c r="Q72" i="3"/>
  <c r="O72" i="3"/>
  <c r="M72" i="3"/>
  <c r="K72" i="3"/>
  <c r="I72" i="3"/>
  <c r="G72" i="3"/>
  <c r="AZ71" i="3"/>
  <c r="AX71" i="3"/>
  <c r="AV71" i="3"/>
  <c r="AT71" i="3"/>
  <c r="AQ71" i="3"/>
  <c r="AO71" i="3"/>
  <c r="AM71" i="3"/>
  <c r="AK71" i="3"/>
  <c r="AC71" i="3"/>
  <c r="AA71" i="3"/>
  <c r="Y71" i="3"/>
  <c r="W71" i="3"/>
  <c r="U71" i="3"/>
  <c r="S71" i="3"/>
  <c r="Q71" i="3"/>
  <c r="O71" i="3"/>
  <c r="M71" i="3"/>
  <c r="K71" i="3"/>
  <c r="I71" i="3"/>
  <c r="G71" i="3"/>
  <c r="AZ70" i="3"/>
  <c r="AX70" i="3"/>
  <c r="AV70" i="3"/>
  <c r="AT70" i="3"/>
  <c r="AQ70" i="3"/>
  <c r="AO70" i="3"/>
  <c r="AM70" i="3"/>
  <c r="AK70" i="3"/>
  <c r="AC70" i="3"/>
  <c r="AA70" i="3"/>
  <c r="Y70" i="3"/>
  <c r="W70" i="3"/>
  <c r="U70" i="3"/>
  <c r="S70" i="3"/>
  <c r="Q70" i="3"/>
  <c r="O70" i="3"/>
  <c r="M70" i="3"/>
  <c r="K70" i="3"/>
  <c r="I70" i="3"/>
  <c r="G70" i="3"/>
  <c r="AZ69" i="3"/>
  <c r="AX69" i="3"/>
  <c r="AV69" i="3"/>
  <c r="AT69" i="3"/>
  <c r="AQ69" i="3"/>
  <c r="AO69" i="3"/>
  <c r="AM69" i="3"/>
  <c r="AK69" i="3"/>
  <c r="AC69" i="3"/>
  <c r="AA69" i="3"/>
  <c r="Y69" i="3"/>
  <c r="W69" i="3"/>
  <c r="U69" i="3"/>
  <c r="S69" i="3"/>
  <c r="Q69" i="3"/>
  <c r="O69" i="3"/>
  <c r="M69" i="3"/>
  <c r="K69" i="3"/>
  <c r="I69" i="3"/>
  <c r="G69" i="3"/>
  <c r="AZ68" i="3"/>
  <c r="AX68" i="3"/>
  <c r="AV68" i="3"/>
  <c r="AT68" i="3"/>
  <c r="AQ68" i="3"/>
  <c r="AO68" i="3"/>
  <c r="AM68" i="3"/>
  <c r="AK68" i="3"/>
  <c r="AC68" i="3"/>
  <c r="AA68" i="3"/>
  <c r="Y68" i="3"/>
  <c r="W68" i="3"/>
  <c r="U68" i="3"/>
  <c r="S68" i="3"/>
  <c r="Q68" i="3"/>
  <c r="O68" i="3"/>
  <c r="M68" i="3"/>
  <c r="K68" i="3"/>
  <c r="I68" i="3"/>
  <c r="G68" i="3"/>
  <c r="AZ67" i="3"/>
  <c r="AX67" i="3"/>
  <c r="AV67" i="3"/>
  <c r="AT67" i="3"/>
  <c r="AQ67" i="3"/>
  <c r="AO67" i="3"/>
  <c r="AM67" i="3"/>
  <c r="AK67" i="3"/>
  <c r="AC67" i="3"/>
  <c r="AA67" i="3"/>
  <c r="Y67" i="3"/>
  <c r="W67" i="3"/>
  <c r="U67" i="3"/>
  <c r="S67" i="3"/>
  <c r="Q67" i="3"/>
  <c r="O67" i="3"/>
  <c r="M67" i="3"/>
  <c r="K67" i="3"/>
  <c r="I67" i="3"/>
  <c r="G67" i="3"/>
  <c r="AZ66" i="3"/>
  <c r="AX66" i="3"/>
  <c r="AV66" i="3"/>
  <c r="AT66" i="3"/>
  <c r="AQ66" i="3"/>
  <c r="AO66" i="3"/>
  <c r="AM66" i="3"/>
  <c r="AK66" i="3"/>
  <c r="AC66" i="3"/>
  <c r="AA66" i="3"/>
  <c r="Y66" i="3"/>
  <c r="W66" i="3"/>
  <c r="U66" i="3"/>
  <c r="S66" i="3"/>
  <c r="Q66" i="3"/>
  <c r="O66" i="3"/>
  <c r="M66" i="3"/>
  <c r="K66" i="3"/>
  <c r="I66" i="3"/>
  <c r="G66" i="3"/>
  <c r="AZ65" i="3"/>
  <c r="AX65" i="3"/>
  <c r="AV65" i="3"/>
  <c r="AT65" i="3"/>
  <c r="AQ65" i="3"/>
  <c r="AO65" i="3"/>
  <c r="AM65" i="3"/>
  <c r="AK65" i="3"/>
  <c r="AC65" i="3"/>
  <c r="AA65" i="3"/>
  <c r="Y65" i="3"/>
  <c r="W65" i="3"/>
  <c r="U65" i="3"/>
  <c r="S65" i="3"/>
  <c r="Q65" i="3"/>
  <c r="O65" i="3"/>
  <c r="M65" i="3"/>
  <c r="K65" i="3"/>
  <c r="I65" i="3"/>
  <c r="G65" i="3"/>
  <c r="AZ64" i="3"/>
  <c r="AX64" i="3"/>
  <c r="AV64" i="3"/>
  <c r="AT64" i="3"/>
  <c r="AQ64" i="3"/>
  <c r="AO64" i="3"/>
  <c r="AM64" i="3"/>
  <c r="AK64" i="3"/>
  <c r="AC64" i="3"/>
  <c r="AA64" i="3"/>
  <c r="Y64" i="3"/>
  <c r="W64" i="3"/>
  <c r="U64" i="3"/>
  <c r="S64" i="3"/>
  <c r="Q64" i="3"/>
  <c r="O64" i="3"/>
  <c r="M64" i="3"/>
  <c r="K64" i="3"/>
  <c r="I64" i="3"/>
  <c r="G64" i="3"/>
  <c r="AZ63" i="3"/>
  <c r="AX63" i="3"/>
  <c r="AV63" i="3"/>
  <c r="AT63" i="3"/>
  <c r="AQ63" i="3"/>
  <c r="AO63" i="3"/>
  <c r="AM63" i="3"/>
  <c r="AK63" i="3"/>
  <c r="AC63" i="3"/>
  <c r="AA63" i="3"/>
  <c r="Y63" i="3"/>
  <c r="W63" i="3"/>
  <c r="U63" i="3"/>
  <c r="S63" i="3"/>
  <c r="Q63" i="3"/>
  <c r="O63" i="3"/>
  <c r="M63" i="3"/>
  <c r="K63" i="3"/>
  <c r="I63" i="3"/>
  <c r="G63" i="3"/>
  <c r="AZ62" i="3"/>
  <c r="AX62" i="3"/>
  <c r="AV62" i="3"/>
  <c r="AT62" i="3"/>
  <c r="AQ62" i="3"/>
  <c r="AO62" i="3"/>
  <c r="AM62" i="3"/>
  <c r="AK62" i="3"/>
  <c r="AC62" i="3"/>
  <c r="AA62" i="3"/>
  <c r="Y62" i="3"/>
  <c r="W62" i="3"/>
  <c r="U62" i="3"/>
  <c r="S62" i="3"/>
  <c r="Q62" i="3"/>
  <c r="O62" i="3"/>
  <c r="M62" i="3"/>
  <c r="K62" i="3"/>
  <c r="I62" i="3"/>
  <c r="G62" i="3"/>
  <c r="AZ61" i="3"/>
  <c r="AX61" i="3"/>
  <c r="AV61" i="3"/>
  <c r="AT61" i="3"/>
  <c r="AQ61" i="3"/>
  <c r="AO61" i="3"/>
  <c r="AM61" i="3"/>
  <c r="AK61" i="3"/>
  <c r="AC61" i="3"/>
  <c r="AA61" i="3"/>
  <c r="Y61" i="3"/>
  <c r="W61" i="3"/>
  <c r="U61" i="3"/>
  <c r="S61" i="3"/>
  <c r="Q61" i="3"/>
  <c r="O61" i="3"/>
  <c r="M61" i="3"/>
  <c r="K61" i="3"/>
  <c r="I61" i="3"/>
  <c r="G61" i="3"/>
  <c r="AZ60" i="3"/>
  <c r="AX60" i="3"/>
  <c r="AV60" i="3"/>
  <c r="AT60" i="3"/>
  <c r="AQ60" i="3"/>
  <c r="AO60" i="3"/>
  <c r="AM60" i="3"/>
  <c r="AK60" i="3"/>
  <c r="AC60" i="3"/>
  <c r="AA60" i="3"/>
  <c r="Y60" i="3"/>
  <c r="W60" i="3"/>
  <c r="U60" i="3"/>
  <c r="S60" i="3"/>
  <c r="Q60" i="3"/>
  <c r="O60" i="3"/>
  <c r="M60" i="3"/>
  <c r="K60" i="3"/>
  <c r="I60" i="3"/>
  <c r="G60" i="3"/>
  <c r="AZ59" i="3"/>
  <c r="AX59" i="3"/>
  <c r="AV59" i="3"/>
  <c r="AT59" i="3"/>
  <c r="AQ59" i="3"/>
  <c r="AO59" i="3"/>
  <c r="AM59" i="3"/>
  <c r="AK59" i="3"/>
  <c r="AC59" i="3"/>
  <c r="AA59" i="3"/>
  <c r="Y59" i="3"/>
  <c r="W59" i="3"/>
  <c r="U59" i="3"/>
  <c r="S59" i="3"/>
  <c r="Q59" i="3"/>
  <c r="O59" i="3"/>
  <c r="M59" i="3"/>
  <c r="K59" i="3"/>
  <c r="I59" i="3"/>
  <c r="G59" i="3"/>
  <c r="AZ58" i="3"/>
  <c r="AX58" i="3"/>
  <c r="AV58" i="3"/>
  <c r="AT58" i="3"/>
  <c r="AQ58" i="3"/>
  <c r="AO58" i="3"/>
  <c r="AM58" i="3"/>
  <c r="AK58" i="3"/>
  <c r="AC58" i="3"/>
  <c r="AA58" i="3"/>
  <c r="Y58" i="3"/>
  <c r="W58" i="3"/>
  <c r="U58" i="3"/>
  <c r="S58" i="3"/>
  <c r="Q58" i="3"/>
  <c r="O58" i="3"/>
  <c r="M58" i="3"/>
  <c r="K58" i="3"/>
  <c r="I58" i="3"/>
  <c r="G58" i="3"/>
  <c r="AZ57" i="3"/>
  <c r="AX57" i="3"/>
  <c r="AV57" i="3"/>
  <c r="AT57" i="3"/>
  <c r="AQ57" i="3"/>
  <c r="AO57" i="3"/>
  <c r="AM57" i="3"/>
  <c r="AK57" i="3"/>
  <c r="AC57" i="3"/>
  <c r="AA57" i="3"/>
  <c r="Y57" i="3"/>
  <c r="W57" i="3"/>
  <c r="U57" i="3"/>
  <c r="S57" i="3"/>
  <c r="Q57" i="3"/>
  <c r="O57" i="3"/>
  <c r="M57" i="3"/>
  <c r="K57" i="3"/>
  <c r="I57" i="3"/>
  <c r="G57" i="3"/>
  <c r="AZ56" i="3"/>
  <c r="AX56" i="3"/>
  <c r="AV56" i="3"/>
  <c r="AT56" i="3"/>
  <c r="AQ56" i="3"/>
  <c r="AO56" i="3"/>
  <c r="AM56" i="3"/>
  <c r="AK56" i="3"/>
  <c r="AC56" i="3"/>
  <c r="AA56" i="3"/>
  <c r="Y56" i="3"/>
  <c r="W56" i="3"/>
  <c r="U56" i="3"/>
  <c r="S56" i="3"/>
  <c r="Q56" i="3"/>
  <c r="O56" i="3"/>
  <c r="M56" i="3"/>
  <c r="K56" i="3"/>
  <c r="I56" i="3"/>
  <c r="G56" i="3"/>
  <c r="AZ55" i="3"/>
  <c r="AX55" i="3"/>
  <c r="AV55" i="3"/>
  <c r="AT55" i="3"/>
  <c r="AQ55" i="3"/>
  <c r="AO55" i="3"/>
  <c r="AM55" i="3"/>
  <c r="AK55" i="3"/>
  <c r="AC55" i="3"/>
  <c r="AA55" i="3"/>
  <c r="Y55" i="3"/>
  <c r="W55" i="3"/>
  <c r="U55" i="3"/>
  <c r="S55" i="3"/>
  <c r="Q55" i="3"/>
  <c r="O55" i="3"/>
  <c r="M55" i="3"/>
  <c r="K55" i="3"/>
  <c r="I55" i="3"/>
  <c r="G55" i="3"/>
  <c r="AZ54" i="3"/>
  <c r="AX54" i="3"/>
  <c r="AV54" i="3"/>
  <c r="AT54" i="3"/>
  <c r="AQ54" i="3"/>
  <c r="AO54" i="3"/>
  <c r="AM54" i="3"/>
  <c r="AK54" i="3"/>
  <c r="AC54" i="3"/>
  <c r="AA54" i="3"/>
  <c r="Y54" i="3"/>
  <c r="W54" i="3"/>
  <c r="U54" i="3"/>
  <c r="S54" i="3"/>
  <c r="Q54" i="3"/>
  <c r="O54" i="3"/>
  <c r="M54" i="3"/>
  <c r="K54" i="3"/>
  <c r="I54" i="3"/>
  <c r="G54" i="3"/>
  <c r="AZ53" i="3"/>
  <c r="AX53" i="3"/>
  <c r="AV53" i="3"/>
  <c r="AT53" i="3"/>
  <c r="AQ53" i="3"/>
  <c r="AO53" i="3"/>
  <c r="AM53" i="3"/>
  <c r="AK53" i="3"/>
  <c r="AC53" i="3"/>
  <c r="AA53" i="3"/>
  <c r="Y53" i="3"/>
  <c r="W53" i="3"/>
  <c r="U53" i="3"/>
  <c r="S53" i="3"/>
  <c r="Q53" i="3"/>
  <c r="O53" i="3"/>
  <c r="M53" i="3"/>
  <c r="K53" i="3"/>
  <c r="I53" i="3"/>
  <c r="G53" i="3"/>
  <c r="AZ52" i="3"/>
  <c r="AX52" i="3"/>
  <c r="AV52" i="3"/>
  <c r="AT52" i="3"/>
  <c r="AQ52" i="3"/>
  <c r="AO52" i="3"/>
  <c r="AM52" i="3"/>
  <c r="AK52" i="3"/>
  <c r="AC52" i="3"/>
  <c r="AA52" i="3"/>
  <c r="Y52" i="3"/>
  <c r="W52" i="3"/>
  <c r="U52" i="3"/>
  <c r="S52" i="3"/>
  <c r="Q52" i="3"/>
  <c r="O52" i="3"/>
  <c r="M52" i="3"/>
  <c r="K52" i="3"/>
  <c r="I52" i="3"/>
  <c r="G52" i="3"/>
  <c r="AZ51" i="3"/>
  <c r="AX51" i="3"/>
  <c r="AV51" i="3"/>
  <c r="AT51" i="3"/>
  <c r="AQ51" i="3"/>
  <c r="AO51" i="3"/>
  <c r="AM51" i="3"/>
  <c r="AK51" i="3"/>
  <c r="AC51" i="3"/>
  <c r="AA51" i="3"/>
  <c r="Y51" i="3"/>
  <c r="W51" i="3"/>
  <c r="U51" i="3"/>
  <c r="S51" i="3"/>
  <c r="Q51" i="3"/>
  <c r="O51" i="3"/>
  <c r="M51" i="3"/>
  <c r="K51" i="3"/>
  <c r="I51" i="3"/>
  <c r="G51" i="3"/>
  <c r="AZ50" i="3"/>
  <c r="AX50" i="3"/>
  <c r="AV50" i="3"/>
  <c r="AT50" i="3"/>
  <c r="AQ50" i="3"/>
  <c r="AO50" i="3"/>
  <c r="AM50" i="3"/>
  <c r="AK50" i="3"/>
  <c r="AC50" i="3"/>
  <c r="AA50" i="3"/>
  <c r="Y50" i="3"/>
  <c r="W50" i="3"/>
  <c r="U50" i="3"/>
  <c r="S50" i="3"/>
  <c r="Q50" i="3"/>
  <c r="O50" i="3"/>
  <c r="M50" i="3"/>
  <c r="K50" i="3"/>
  <c r="I50" i="3"/>
  <c r="G50" i="3"/>
  <c r="AZ49" i="3"/>
  <c r="AX49" i="3"/>
  <c r="AV49" i="3"/>
  <c r="AT49" i="3"/>
  <c r="AQ49" i="3"/>
  <c r="AO49" i="3"/>
  <c r="AM49" i="3"/>
  <c r="AK49" i="3"/>
  <c r="AC49" i="3"/>
  <c r="AA49" i="3"/>
  <c r="Y49" i="3"/>
  <c r="W49" i="3"/>
  <c r="U49" i="3"/>
  <c r="S49" i="3"/>
  <c r="Q49" i="3"/>
  <c r="O49" i="3"/>
  <c r="M49" i="3"/>
  <c r="K49" i="3"/>
  <c r="I49" i="3"/>
  <c r="G49" i="3"/>
  <c r="AZ48" i="3"/>
  <c r="AX48" i="3"/>
  <c r="AV48" i="3"/>
  <c r="AT48" i="3"/>
  <c r="AQ48" i="3"/>
  <c r="AO48" i="3"/>
  <c r="AM48" i="3"/>
  <c r="AK48" i="3"/>
  <c r="AC48" i="3"/>
  <c r="AA48" i="3"/>
  <c r="Y48" i="3"/>
  <c r="W48" i="3"/>
  <c r="U48" i="3"/>
  <c r="S48" i="3"/>
  <c r="Q48" i="3"/>
  <c r="O48" i="3"/>
  <c r="M48" i="3"/>
  <c r="K48" i="3"/>
  <c r="I48" i="3"/>
  <c r="G48" i="3"/>
  <c r="AZ47" i="3"/>
  <c r="AX47" i="3"/>
  <c r="AV47" i="3"/>
  <c r="AT47" i="3"/>
  <c r="AQ47" i="3"/>
  <c r="AO47" i="3"/>
  <c r="AM47" i="3"/>
  <c r="AK47" i="3"/>
  <c r="AC47" i="3"/>
  <c r="AA47" i="3"/>
  <c r="Y47" i="3"/>
  <c r="W47" i="3"/>
  <c r="U47" i="3"/>
  <c r="S47" i="3"/>
  <c r="Q47" i="3"/>
  <c r="O47" i="3"/>
  <c r="M47" i="3"/>
  <c r="K47" i="3"/>
  <c r="I47" i="3"/>
  <c r="G47" i="3"/>
  <c r="AZ46" i="3"/>
  <c r="AX46" i="3"/>
  <c r="AV46" i="3"/>
  <c r="AT46" i="3"/>
  <c r="AQ46" i="3"/>
  <c r="AO46" i="3"/>
  <c r="AM46" i="3"/>
  <c r="AK46" i="3"/>
  <c r="AC46" i="3"/>
  <c r="AA46" i="3"/>
  <c r="Y46" i="3"/>
  <c r="W46" i="3"/>
  <c r="U46" i="3"/>
  <c r="S46" i="3"/>
  <c r="Q46" i="3"/>
  <c r="O46" i="3"/>
  <c r="M46" i="3"/>
  <c r="K46" i="3"/>
  <c r="I46" i="3"/>
  <c r="G46" i="3"/>
  <c r="AZ45" i="3"/>
  <c r="AX45" i="3"/>
  <c r="AV45" i="3"/>
  <c r="AT45" i="3"/>
  <c r="AQ45" i="3"/>
  <c r="AO45" i="3"/>
  <c r="AM45" i="3"/>
  <c r="AK45" i="3"/>
  <c r="AC45" i="3"/>
  <c r="AA45" i="3"/>
  <c r="Y45" i="3"/>
  <c r="W45" i="3"/>
  <c r="U45" i="3"/>
  <c r="S45" i="3"/>
  <c r="Q45" i="3"/>
  <c r="O45" i="3"/>
  <c r="M45" i="3"/>
  <c r="K45" i="3"/>
  <c r="I45" i="3"/>
  <c r="G45" i="3"/>
  <c r="AZ44" i="3"/>
  <c r="AX44" i="3"/>
  <c r="AV44" i="3"/>
  <c r="AT44" i="3"/>
  <c r="AQ44" i="3"/>
  <c r="AO44" i="3"/>
  <c r="AM44" i="3"/>
  <c r="AK44" i="3"/>
  <c r="AC44" i="3"/>
  <c r="AA44" i="3"/>
  <c r="Y44" i="3"/>
  <c r="W44" i="3"/>
  <c r="U44" i="3"/>
  <c r="S44" i="3"/>
  <c r="Q44" i="3"/>
  <c r="O44" i="3"/>
  <c r="M44" i="3"/>
  <c r="K44" i="3"/>
  <c r="I44" i="3"/>
  <c r="G44" i="3"/>
  <c r="AZ43" i="3"/>
  <c r="AX43" i="3"/>
  <c r="AV43" i="3"/>
  <c r="AT43" i="3"/>
  <c r="AQ43" i="3"/>
  <c r="AO43" i="3"/>
  <c r="AM43" i="3"/>
  <c r="AK43" i="3"/>
  <c r="AC43" i="3"/>
  <c r="AA43" i="3"/>
  <c r="Y43" i="3"/>
  <c r="W43" i="3"/>
  <c r="U43" i="3"/>
  <c r="S43" i="3"/>
  <c r="Q43" i="3"/>
  <c r="O43" i="3"/>
  <c r="M43" i="3"/>
  <c r="K43" i="3"/>
  <c r="I43" i="3"/>
  <c r="G43" i="3"/>
  <c r="AZ42" i="3"/>
  <c r="AX42" i="3"/>
  <c r="AV42" i="3"/>
  <c r="AT42" i="3"/>
  <c r="AQ42" i="3"/>
  <c r="AO42" i="3"/>
  <c r="AM42" i="3"/>
  <c r="AK42" i="3"/>
  <c r="AC42" i="3"/>
  <c r="AA42" i="3"/>
  <c r="Y42" i="3"/>
  <c r="W42" i="3"/>
  <c r="U42" i="3"/>
  <c r="S42" i="3"/>
  <c r="Q42" i="3"/>
  <c r="O42" i="3"/>
  <c r="M42" i="3"/>
  <c r="K42" i="3"/>
  <c r="I42" i="3"/>
  <c r="G42" i="3"/>
  <c r="AZ41" i="3"/>
  <c r="AX41" i="3"/>
  <c r="AV41" i="3"/>
  <c r="AT41" i="3"/>
  <c r="AQ41" i="3"/>
  <c r="AO41" i="3"/>
  <c r="AM41" i="3"/>
  <c r="AK41" i="3"/>
  <c r="AC41" i="3"/>
  <c r="AA41" i="3"/>
  <c r="Y41" i="3"/>
  <c r="W41" i="3"/>
  <c r="U41" i="3"/>
  <c r="S41" i="3"/>
  <c r="Q41" i="3"/>
  <c r="O41" i="3"/>
  <c r="M41" i="3"/>
  <c r="K41" i="3"/>
  <c r="I41" i="3"/>
  <c r="G41" i="3"/>
  <c r="AZ40" i="3"/>
  <c r="AX40" i="3"/>
  <c r="AV40" i="3"/>
  <c r="AT40" i="3"/>
  <c r="AQ40" i="3"/>
  <c r="AO40" i="3"/>
  <c r="AM40" i="3"/>
  <c r="AK40" i="3"/>
  <c r="AC40" i="3"/>
  <c r="AA40" i="3"/>
  <c r="Y40" i="3"/>
  <c r="W40" i="3"/>
  <c r="U40" i="3"/>
  <c r="S40" i="3"/>
  <c r="Q40" i="3"/>
  <c r="O40" i="3"/>
  <c r="M40" i="3"/>
  <c r="K40" i="3"/>
  <c r="I40" i="3"/>
  <c r="G40" i="3"/>
  <c r="AZ39" i="3"/>
  <c r="AX39" i="3"/>
  <c r="AV39" i="3"/>
  <c r="AT39" i="3"/>
  <c r="AQ39" i="3"/>
  <c r="AO39" i="3"/>
  <c r="AM39" i="3"/>
  <c r="AK39" i="3"/>
  <c r="AC39" i="3"/>
  <c r="AA39" i="3"/>
  <c r="Y39" i="3"/>
  <c r="W39" i="3"/>
  <c r="U39" i="3"/>
  <c r="S39" i="3"/>
  <c r="Q39" i="3"/>
  <c r="O39" i="3"/>
  <c r="M39" i="3"/>
  <c r="K39" i="3"/>
  <c r="I39" i="3"/>
  <c r="G39" i="3"/>
  <c r="AZ38" i="3"/>
  <c r="AX38" i="3"/>
  <c r="AV38" i="3"/>
  <c r="AT38" i="3"/>
  <c r="AQ38" i="3"/>
  <c r="AO38" i="3"/>
  <c r="AM38" i="3"/>
  <c r="AK38" i="3"/>
  <c r="AC38" i="3"/>
  <c r="AA38" i="3"/>
  <c r="Y38" i="3"/>
  <c r="W38" i="3"/>
  <c r="U38" i="3"/>
  <c r="S38" i="3"/>
  <c r="Q38" i="3"/>
  <c r="O38" i="3"/>
  <c r="M38" i="3"/>
  <c r="K38" i="3"/>
  <c r="I38" i="3"/>
  <c r="G38" i="3"/>
  <c r="AZ37" i="3"/>
  <c r="AX37" i="3"/>
  <c r="AV37" i="3"/>
  <c r="AT37" i="3"/>
  <c r="AQ37" i="3"/>
  <c r="AO37" i="3"/>
  <c r="AM37" i="3"/>
  <c r="AK37" i="3"/>
  <c r="AC37" i="3"/>
  <c r="AA37" i="3"/>
  <c r="Y37" i="3"/>
  <c r="W37" i="3"/>
  <c r="U37" i="3"/>
  <c r="S37" i="3"/>
  <c r="Q37" i="3"/>
  <c r="O37" i="3"/>
  <c r="M37" i="3"/>
  <c r="K37" i="3"/>
  <c r="I37" i="3"/>
  <c r="G37" i="3"/>
  <c r="AZ36" i="3"/>
  <c r="AX36" i="3"/>
  <c r="AV36" i="3"/>
  <c r="AT36" i="3"/>
  <c r="AQ36" i="3"/>
  <c r="AO36" i="3"/>
  <c r="AM36" i="3"/>
  <c r="AK36" i="3"/>
  <c r="AC36" i="3"/>
  <c r="AA36" i="3"/>
  <c r="Y36" i="3"/>
  <c r="W36" i="3"/>
  <c r="U36" i="3"/>
  <c r="S36" i="3"/>
  <c r="Q36" i="3"/>
  <c r="O36" i="3"/>
  <c r="M36" i="3"/>
  <c r="K36" i="3"/>
  <c r="I36" i="3"/>
  <c r="G36" i="3"/>
  <c r="AZ35" i="3"/>
  <c r="AX35" i="3"/>
  <c r="AV35" i="3"/>
  <c r="AT35" i="3"/>
  <c r="AQ35" i="3"/>
  <c r="AO35" i="3"/>
  <c r="AM35" i="3"/>
  <c r="AK35" i="3"/>
  <c r="AC35" i="3"/>
  <c r="AA35" i="3"/>
  <c r="Y35" i="3"/>
  <c r="W35" i="3"/>
  <c r="U35" i="3"/>
  <c r="S35" i="3"/>
  <c r="Q35" i="3"/>
  <c r="O35" i="3"/>
  <c r="M35" i="3"/>
  <c r="K35" i="3"/>
  <c r="I35" i="3"/>
  <c r="G35" i="3"/>
  <c r="AZ34" i="3"/>
  <c r="AX34" i="3"/>
  <c r="AV34" i="3"/>
  <c r="AT34" i="3"/>
  <c r="AQ34" i="3"/>
  <c r="AO34" i="3"/>
  <c r="AM34" i="3"/>
  <c r="AK34" i="3"/>
  <c r="AC34" i="3"/>
  <c r="AA34" i="3"/>
  <c r="Y34" i="3"/>
  <c r="W34" i="3"/>
  <c r="U34" i="3"/>
  <c r="S34" i="3"/>
  <c r="Q34" i="3"/>
  <c r="O34" i="3"/>
  <c r="M34" i="3"/>
  <c r="K34" i="3"/>
  <c r="I34" i="3"/>
  <c r="G34" i="3"/>
  <c r="AZ33" i="3"/>
  <c r="AX33" i="3"/>
  <c r="AV33" i="3"/>
  <c r="AT33" i="3"/>
  <c r="AQ33" i="3"/>
  <c r="AO33" i="3"/>
  <c r="AM33" i="3"/>
  <c r="AK33" i="3"/>
  <c r="AC33" i="3"/>
  <c r="AA33" i="3"/>
  <c r="Y33" i="3"/>
  <c r="W33" i="3"/>
  <c r="U33" i="3"/>
  <c r="S33" i="3"/>
  <c r="Q33" i="3"/>
  <c r="O33" i="3"/>
  <c r="M33" i="3"/>
  <c r="K33" i="3"/>
  <c r="I33" i="3"/>
  <c r="G33" i="3"/>
  <c r="AZ32" i="3"/>
  <c r="AX32" i="3"/>
  <c r="AV32" i="3"/>
  <c r="AT32" i="3"/>
  <c r="AQ32" i="3"/>
  <c r="AO32" i="3"/>
  <c r="AM32" i="3"/>
  <c r="AK32" i="3"/>
  <c r="AC32" i="3"/>
  <c r="AA32" i="3"/>
  <c r="Y32" i="3"/>
  <c r="W32" i="3"/>
  <c r="U32" i="3"/>
  <c r="S32" i="3"/>
  <c r="Q32" i="3"/>
  <c r="O32" i="3"/>
  <c r="M32" i="3"/>
  <c r="K32" i="3"/>
  <c r="I32" i="3"/>
  <c r="G32" i="3"/>
  <c r="AZ31" i="3"/>
  <c r="AX31" i="3"/>
  <c r="AV31" i="3"/>
  <c r="AT31" i="3"/>
  <c r="AQ31" i="3"/>
  <c r="AO31" i="3"/>
  <c r="AM31" i="3"/>
  <c r="AK31" i="3"/>
  <c r="AC31" i="3"/>
  <c r="AA31" i="3"/>
  <c r="Y31" i="3"/>
  <c r="W31" i="3"/>
  <c r="U31" i="3"/>
  <c r="S31" i="3"/>
  <c r="Q31" i="3"/>
  <c r="O31" i="3"/>
  <c r="M31" i="3"/>
  <c r="K31" i="3"/>
  <c r="I31" i="3"/>
  <c r="G31" i="3"/>
  <c r="AZ30" i="3"/>
  <c r="AX30" i="3"/>
  <c r="AV30" i="3"/>
  <c r="AT30" i="3"/>
  <c r="AQ30" i="3"/>
  <c r="AO30" i="3"/>
  <c r="AM30" i="3"/>
  <c r="AK30" i="3"/>
  <c r="AC30" i="3"/>
  <c r="AA30" i="3"/>
  <c r="Y30" i="3"/>
  <c r="W30" i="3"/>
  <c r="U30" i="3"/>
  <c r="S30" i="3"/>
  <c r="Q30" i="3"/>
  <c r="O30" i="3"/>
  <c r="M30" i="3"/>
  <c r="K30" i="3"/>
  <c r="I30" i="3"/>
  <c r="G30" i="3"/>
  <c r="AZ29" i="3"/>
  <c r="AX29" i="3"/>
  <c r="AV29" i="3"/>
  <c r="AT29" i="3"/>
  <c r="AQ29" i="3"/>
  <c r="AO29" i="3"/>
  <c r="AM29" i="3"/>
  <c r="AK29" i="3"/>
  <c r="AC29" i="3"/>
  <c r="AA29" i="3"/>
  <c r="Y29" i="3"/>
  <c r="W29" i="3"/>
  <c r="U29" i="3"/>
  <c r="S29" i="3"/>
  <c r="Q29" i="3"/>
  <c r="O29" i="3"/>
  <c r="M29" i="3"/>
  <c r="K29" i="3"/>
  <c r="I29" i="3"/>
  <c r="G29" i="3"/>
  <c r="AZ28" i="3"/>
  <c r="AX28" i="3"/>
  <c r="AV28" i="3"/>
  <c r="AT28" i="3"/>
  <c r="AQ28" i="3"/>
  <c r="AO28" i="3"/>
  <c r="AM28" i="3"/>
  <c r="AK28" i="3"/>
  <c r="AC28" i="3"/>
  <c r="AA28" i="3"/>
  <c r="Y28" i="3"/>
  <c r="W28" i="3"/>
  <c r="U28" i="3"/>
  <c r="S28" i="3"/>
  <c r="Q28" i="3"/>
  <c r="O28" i="3"/>
  <c r="M28" i="3"/>
  <c r="K28" i="3"/>
  <c r="I28" i="3"/>
  <c r="G28" i="3"/>
  <c r="AZ27" i="3"/>
  <c r="AX27" i="3"/>
  <c r="AV27" i="3"/>
  <c r="AT27" i="3"/>
  <c r="AQ27" i="3"/>
  <c r="AO27" i="3"/>
  <c r="AM27" i="3"/>
  <c r="AK27" i="3"/>
  <c r="AC27" i="3"/>
  <c r="AA27" i="3"/>
  <c r="Y27" i="3"/>
  <c r="W27" i="3"/>
  <c r="U27" i="3"/>
  <c r="S27" i="3"/>
  <c r="Q27" i="3"/>
  <c r="O27" i="3"/>
  <c r="M27" i="3"/>
  <c r="K27" i="3"/>
  <c r="I27" i="3"/>
  <c r="G27" i="3"/>
  <c r="AZ26" i="3"/>
  <c r="AX26" i="3"/>
  <c r="AV26" i="3"/>
  <c r="AT26" i="3"/>
  <c r="AQ26" i="3"/>
  <c r="AO26" i="3"/>
  <c r="AM26" i="3"/>
  <c r="AK26" i="3"/>
  <c r="AC26" i="3"/>
  <c r="AA26" i="3"/>
  <c r="Y26" i="3"/>
  <c r="W26" i="3"/>
  <c r="U26" i="3"/>
  <c r="S26" i="3"/>
  <c r="Q26" i="3"/>
  <c r="O26" i="3"/>
  <c r="M26" i="3"/>
  <c r="K26" i="3"/>
  <c r="I26" i="3"/>
  <c r="G26" i="3"/>
  <c r="AZ25" i="3"/>
  <c r="AX25" i="3"/>
  <c r="AV25" i="3"/>
  <c r="AT25" i="3"/>
  <c r="AQ25" i="3"/>
  <c r="AO25" i="3"/>
  <c r="AM25" i="3"/>
  <c r="AK25" i="3"/>
  <c r="AC25" i="3"/>
  <c r="AA25" i="3"/>
  <c r="Y25" i="3"/>
  <c r="W25" i="3"/>
  <c r="U25" i="3"/>
  <c r="S25" i="3"/>
  <c r="Q25" i="3"/>
  <c r="O25" i="3"/>
  <c r="M25" i="3"/>
  <c r="K25" i="3"/>
  <c r="I25" i="3"/>
  <c r="G25" i="3"/>
  <c r="AZ24" i="3"/>
  <c r="AX24" i="3"/>
  <c r="AV24" i="3"/>
  <c r="AT24" i="3"/>
  <c r="AQ24" i="3"/>
  <c r="AO24" i="3"/>
  <c r="AM24" i="3"/>
  <c r="AK24" i="3"/>
  <c r="AC24" i="3"/>
  <c r="AA24" i="3"/>
  <c r="Y24" i="3"/>
  <c r="W24" i="3"/>
  <c r="U24" i="3"/>
  <c r="S24" i="3"/>
  <c r="Q24" i="3"/>
  <c r="O24" i="3"/>
  <c r="M24" i="3"/>
  <c r="K24" i="3"/>
  <c r="I24" i="3"/>
  <c r="G24" i="3"/>
  <c r="AZ23" i="3"/>
  <c r="AX23" i="3"/>
  <c r="AV23" i="3"/>
  <c r="AT23" i="3"/>
  <c r="AQ23" i="3"/>
  <c r="AO23" i="3"/>
  <c r="AM23" i="3"/>
  <c r="AK23" i="3"/>
  <c r="AC23" i="3"/>
  <c r="AA23" i="3"/>
  <c r="Y23" i="3"/>
  <c r="W23" i="3"/>
  <c r="U23" i="3"/>
  <c r="S23" i="3"/>
  <c r="Q23" i="3"/>
  <c r="O23" i="3"/>
  <c r="M23" i="3"/>
  <c r="K23" i="3"/>
  <c r="I23" i="3"/>
  <c r="G23" i="3"/>
  <c r="AZ22" i="3"/>
  <c r="AX22" i="3"/>
  <c r="AV22" i="3"/>
  <c r="AT22" i="3"/>
  <c r="AQ22" i="3"/>
  <c r="AO22" i="3"/>
  <c r="AM22" i="3"/>
  <c r="AK22" i="3"/>
  <c r="AC22" i="3"/>
  <c r="AA22" i="3"/>
  <c r="Y22" i="3"/>
  <c r="W22" i="3"/>
  <c r="U22" i="3"/>
  <c r="S22" i="3"/>
  <c r="Q22" i="3"/>
  <c r="O22" i="3"/>
  <c r="M22" i="3"/>
  <c r="K22" i="3"/>
  <c r="I22" i="3"/>
  <c r="G22" i="3"/>
  <c r="AZ21" i="3"/>
  <c r="AX21" i="3"/>
  <c r="AV21" i="3"/>
  <c r="AT21" i="3"/>
  <c r="AQ21" i="3"/>
  <c r="AO21" i="3"/>
  <c r="AM21" i="3"/>
  <c r="AK21" i="3"/>
  <c r="AC21" i="3"/>
  <c r="AA21" i="3"/>
  <c r="Y21" i="3"/>
  <c r="W21" i="3"/>
  <c r="U21" i="3"/>
  <c r="S21" i="3"/>
  <c r="Q21" i="3"/>
  <c r="O21" i="3"/>
  <c r="M21" i="3"/>
  <c r="K21" i="3"/>
  <c r="I21" i="3"/>
  <c r="G21" i="3"/>
  <c r="AZ20" i="3"/>
  <c r="AX20" i="3"/>
  <c r="AV20" i="3"/>
  <c r="AT20" i="3"/>
  <c r="AQ20" i="3"/>
  <c r="AO20" i="3"/>
  <c r="AM20" i="3"/>
  <c r="AK20" i="3"/>
  <c r="AC20" i="3"/>
  <c r="AA20" i="3"/>
  <c r="Y20" i="3"/>
  <c r="W20" i="3"/>
  <c r="U20" i="3"/>
  <c r="S20" i="3"/>
  <c r="Q20" i="3"/>
  <c r="O20" i="3"/>
  <c r="M20" i="3"/>
  <c r="K20" i="3"/>
  <c r="I20" i="3"/>
  <c r="G20" i="3"/>
  <c r="AZ19" i="3"/>
  <c r="AX19" i="3"/>
  <c r="AV19" i="3"/>
  <c r="AT19" i="3"/>
  <c r="AQ19" i="3"/>
  <c r="AO19" i="3"/>
  <c r="AM19" i="3"/>
  <c r="AK19" i="3"/>
  <c r="AC19" i="3"/>
  <c r="AA19" i="3"/>
  <c r="Y19" i="3"/>
  <c r="W19" i="3"/>
  <c r="U19" i="3"/>
  <c r="S19" i="3"/>
  <c r="Q19" i="3"/>
  <c r="O19" i="3"/>
  <c r="M19" i="3"/>
  <c r="K19" i="3"/>
  <c r="I19" i="3"/>
  <c r="G19" i="3"/>
  <c r="AZ18" i="3"/>
  <c r="AX18" i="3"/>
  <c r="AV18" i="3"/>
  <c r="AT18" i="3"/>
  <c r="AQ18" i="3"/>
  <c r="AO18" i="3"/>
  <c r="AM18" i="3"/>
  <c r="AK18" i="3"/>
  <c r="AC18" i="3"/>
  <c r="AA18" i="3"/>
  <c r="Y18" i="3"/>
  <c r="W18" i="3"/>
  <c r="U18" i="3"/>
  <c r="S18" i="3"/>
  <c r="Q18" i="3"/>
  <c r="O18" i="3"/>
  <c r="M18" i="3"/>
  <c r="K18" i="3"/>
  <c r="I18" i="3"/>
  <c r="G18" i="3"/>
  <c r="AZ17" i="3"/>
  <c r="AX17" i="3"/>
  <c r="AV17" i="3"/>
  <c r="AT17" i="3"/>
  <c r="AQ17" i="3"/>
  <c r="AO17" i="3"/>
  <c r="AM17" i="3"/>
  <c r="AK17" i="3"/>
  <c r="AC17" i="3"/>
  <c r="AA17" i="3"/>
  <c r="Y17" i="3"/>
  <c r="W17" i="3"/>
  <c r="U17" i="3"/>
  <c r="S17" i="3"/>
  <c r="Q17" i="3"/>
  <c r="O17" i="3"/>
  <c r="M17" i="3"/>
  <c r="K17" i="3"/>
  <c r="I17" i="3"/>
  <c r="G17" i="3"/>
  <c r="AZ16" i="3"/>
  <c r="AX16" i="3"/>
  <c r="AV16" i="3"/>
  <c r="AT16" i="3"/>
  <c r="AQ16" i="3"/>
  <c r="AO16" i="3"/>
  <c r="AM16" i="3"/>
  <c r="AK16" i="3"/>
  <c r="AC16" i="3"/>
  <c r="AA16" i="3"/>
  <c r="Y16" i="3"/>
  <c r="W16" i="3"/>
  <c r="U16" i="3"/>
  <c r="S16" i="3"/>
  <c r="Q16" i="3"/>
  <c r="O16" i="3"/>
  <c r="M16" i="3"/>
  <c r="K16" i="3"/>
  <c r="I16" i="3"/>
  <c r="G16" i="3"/>
  <c r="AZ15" i="3"/>
  <c r="AX15" i="3"/>
  <c r="AV15" i="3"/>
  <c r="AT15" i="3"/>
  <c r="AQ15" i="3"/>
  <c r="AO15" i="3"/>
  <c r="AM15" i="3"/>
  <c r="AK15" i="3"/>
  <c r="AC15" i="3"/>
  <c r="AA15" i="3"/>
  <c r="Y15" i="3"/>
  <c r="W15" i="3"/>
  <c r="U15" i="3"/>
  <c r="S15" i="3"/>
  <c r="Q15" i="3"/>
  <c r="O15" i="3"/>
  <c r="M15" i="3"/>
  <c r="K15" i="3"/>
  <c r="I15" i="3"/>
  <c r="G15" i="3"/>
  <c r="AZ14" i="3"/>
  <c r="AX14" i="3"/>
  <c r="AV14" i="3"/>
  <c r="AT14" i="3"/>
  <c r="AQ14" i="3"/>
  <c r="AO14" i="3"/>
  <c r="AM14" i="3"/>
  <c r="AK14" i="3"/>
  <c r="AC14" i="3"/>
  <c r="AA14" i="3"/>
  <c r="Y14" i="3"/>
  <c r="W14" i="3"/>
  <c r="U14" i="3"/>
  <c r="S14" i="3"/>
  <c r="Q14" i="3"/>
  <c r="O14" i="3"/>
  <c r="M14" i="3"/>
  <c r="K14" i="3"/>
  <c r="I14" i="3"/>
  <c r="G14" i="3"/>
  <c r="AZ13" i="3"/>
  <c r="AX13" i="3"/>
  <c r="AV13" i="3"/>
  <c r="AT13" i="3"/>
  <c r="AQ13" i="3"/>
  <c r="AO13" i="3"/>
  <c r="AM13" i="3"/>
  <c r="AK13" i="3"/>
  <c r="AC13" i="3"/>
  <c r="AA13" i="3"/>
  <c r="Y13" i="3"/>
  <c r="W13" i="3"/>
  <c r="U13" i="3"/>
  <c r="S13" i="3"/>
  <c r="Q13" i="3"/>
  <c r="O13" i="3"/>
  <c r="M13" i="3"/>
  <c r="K13" i="3"/>
  <c r="I13" i="3"/>
  <c r="G13" i="3"/>
  <c r="AZ12" i="3"/>
  <c r="AX12" i="3"/>
  <c r="AV12" i="3"/>
  <c r="AT12" i="3"/>
  <c r="AQ12" i="3"/>
  <c r="AO12" i="3"/>
  <c r="AM12" i="3"/>
  <c r="AK12" i="3"/>
  <c r="AC12" i="3"/>
  <c r="AA12" i="3"/>
  <c r="Y12" i="3"/>
  <c r="W12" i="3"/>
  <c r="U12" i="3"/>
  <c r="S12" i="3"/>
  <c r="Q12" i="3"/>
  <c r="O12" i="3"/>
  <c r="M12" i="3"/>
  <c r="K12" i="3"/>
  <c r="I12" i="3"/>
  <c r="G12" i="3"/>
  <c r="AZ11" i="3"/>
  <c r="AX11" i="3"/>
  <c r="AV11" i="3"/>
  <c r="AT11" i="3"/>
  <c r="AQ11" i="3"/>
  <c r="AO11" i="3"/>
  <c r="AM11" i="3"/>
  <c r="AK11" i="3"/>
  <c r="AC11" i="3"/>
  <c r="AA11" i="3"/>
  <c r="Y11" i="3"/>
  <c r="W11" i="3"/>
  <c r="U11" i="3"/>
  <c r="S11" i="3"/>
  <c r="Q11" i="3"/>
  <c r="O11" i="3"/>
  <c r="M11" i="3"/>
  <c r="K11" i="3"/>
  <c r="I11" i="3"/>
  <c r="G11" i="3"/>
  <c r="AZ10" i="3"/>
  <c r="AX10" i="3"/>
  <c r="AV10" i="3"/>
  <c r="AT10" i="3"/>
  <c r="AQ10" i="3"/>
  <c r="AO10" i="3"/>
  <c r="AM10" i="3"/>
  <c r="AK10" i="3"/>
  <c r="AC10" i="3"/>
  <c r="AA10" i="3"/>
  <c r="Y10" i="3"/>
  <c r="W10" i="3"/>
  <c r="U10" i="3"/>
  <c r="S10" i="3"/>
  <c r="Q10" i="3"/>
  <c r="O10" i="3"/>
  <c r="M10" i="3"/>
  <c r="K10" i="3"/>
  <c r="I10" i="3"/>
  <c r="G10" i="3"/>
  <c r="AZ9" i="3"/>
  <c r="AX9" i="3"/>
  <c r="AV9" i="3"/>
  <c r="AT9" i="3"/>
  <c r="AQ9" i="3"/>
  <c r="AO9" i="3"/>
  <c r="AM9" i="3"/>
  <c r="AK9" i="3"/>
  <c r="AC9" i="3"/>
  <c r="AA9" i="3"/>
  <c r="Y9" i="3"/>
  <c r="W9" i="3"/>
  <c r="U9" i="3"/>
  <c r="S9" i="3"/>
  <c r="Q9" i="3"/>
  <c r="O9" i="3"/>
  <c r="M9" i="3"/>
  <c r="K9" i="3"/>
  <c r="I9" i="3"/>
  <c r="G9" i="3"/>
  <c r="AZ8" i="3"/>
  <c r="AX8" i="3"/>
  <c r="AV8" i="3"/>
  <c r="AT8" i="3"/>
  <c r="AQ8" i="3"/>
  <c r="AO8" i="3"/>
  <c r="AM8" i="3"/>
  <c r="AK8" i="3"/>
  <c r="AC8" i="3"/>
  <c r="AA8" i="3"/>
  <c r="Y8" i="3"/>
  <c r="W8" i="3"/>
  <c r="U8" i="3"/>
  <c r="S8" i="3"/>
  <c r="Q8" i="3"/>
  <c r="O8" i="3"/>
  <c r="M8" i="3"/>
  <c r="K8" i="3"/>
  <c r="I8" i="3"/>
  <c r="G8" i="3"/>
  <c r="AZ7" i="3"/>
  <c r="AX7" i="3"/>
  <c r="AV7" i="3"/>
  <c r="AT7" i="3"/>
  <c r="AQ7" i="3"/>
  <c r="AO7" i="3"/>
  <c r="AM7" i="3"/>
  <c r="AK7" i="3"/>
  <c r="AC7" i="3"/>
  <c r="AA7" i="3"/>
  <c r="Y7" i="3"/>
  <c r="W7" i="3"/>
  <c r="U7" i="3"/>
  <c r="S7" i="3"/>
  <c r="Q7" i="3"/>
  <c r="O7" i="3"/>
  <c r="M7" i="3"/>
  <c r="K7" i="3"/>
  <c r="I7" i="3"/>
  <c r="G7" i="3"/>
  <c r="AZ6" i="3"/>
  <c r="AX6" i="3"/>
  <c r="AV6" i="3"/>
  <c r="AT6" i="3"/>
  <c r="AQ6" i="3"/>
  <c r="AO6" i="3"/>
  <c r="AM6" i="3"/>
  <c r="AK6" i="3"/>
  <c r="AC6" i="3"/>
  <c r="AA6" i="3"/>
  <c r="Y6" i="3"/>
  <c r="W6" i="3"/>
  <c r="U6" i="3"/>
  <c r="S6" i="3"/>
  <c r="Q6" i="3"/>
  <c r="O6" i="3"/>
  <c r="M6" i="3"/>
  <c r="K6" i="3"/>
  <c r="I6" i="3"/>
  <c r="G6" i="3"/>
  <c r="AZ5" i="3"/>
  <c r="AX5" i="3"/>
  <c r="AV5" i="3"/>
  <c r="AT5" i="3"/>
  <c r="AQ5" i="3"/>
  <c r="AO5" i="3"/>
  <c r="AM5" i="3"/>
  <c r="AK5" i="3"/>
  <c r="AC5" i="3"/>
  <c r="AA5" i="3"/>
  <c r="Y5" i="3"/>
  <c r="W5" i="3"/>
  <c r="U5" i="3"/>
  <c r="S5" i="3"/>
  <c r="Q5" i="3"/>
  <c r="O5" i="3"/>
  <c r="M5" i="3"/>
  <c r="K5" i="3"/>
  <c r="I5" i="3"/>
  <c r="G5" i="3"/>
  <c r="AZ4" i="3"/>
  <c r="AX4" i="3"/>
  <c r="AV4" i="3"/>
  <c r="AT4" i="3"/>
  <c r="AQ4" i="3"/>
  <c r="AO4" i="3"/>
  <c r="AM4" i="3"/>
  <c r="AK4" i="3"/>
  <c r="AC4" i="3"/>
  <c r="AA4" i="3"/>
  <c r="Y4" i="3"/>
  <c r="W4" i="3"/>
  <c r="U4" i="3"/>
  <c r="S4" i="3"/>
  <c r="Q4" i="3"/>
  <c r="O4" i="3"/>
  <c r="M4" i="3"/>
  <c r="K4" i="3"/>
  <c r="I4" i="3"/>
  <c r="G4" i="3"/>
  <c r="AZ3" i="3"/>
  <c r="AX3" i="3"/>
  <c r="AV3" i="3"/>
  <c r="AT3" i="3"/>
  <c r="AQ3" i="3"/>
  <c r="AO3" i="3"/>
  <c r="AM3" i="3"/>
  <c r="AK3" i="3"/>
  <c r="AC3" i="3"/>
  <c r="AA3" i="3"/>
  <c r="Y3" i="3"/>
  <c r="W3" i="3"/>
  <c r="U3" i="3"/>
  <c r="S3" i="3"/>
  <c r="Q3" i="3"/>
  <c r="O3" i="3"/>
  <c r="M3" i="3"/>
  <c r="K3" i="3"/>
  <c r="I3" i="3"/>
  <c r="G3" i="3"/>
  <c r="AZ2" i="3"/>
  <c r="AX2" i="3"/>
  <c r="AV2" i="3"/>
  <c r="AT2" i="3"/>
  <c r="AQ2" i="3"/>
  <c r="AO2" i="3"/>
  <c r="AM2" i="3"/>
  <c r="AK2" i="3"/>
  <c r="AC2" i="3"/>
  <c r="AA2" i="3"/>
  <c r="Y2" i="3"/>
  <c r="W2" i="3"/>
  <c r="U2" i="3"/>
  <c r="S2" i="3"/>
  <c r="Q2" i="3"/>
  <c r="O2" i="3"/>
  <c r="M2" i="3"/>
  <c r="K2" i="3"/>
  <c r="I2" i="3"/>
  <c r="G2" i="3"/>
  <c r="BH2" i="2"/>
  <c r="BG2" i="2"/>
  <c r="BF3" i="2"/>
  <c r="BF4" i="2"/>
  <c r="BF5" i="2"/>
  <c r="BF6" i="2"/>
  <c r="BF7" i="2"/>
  <c r="BF8" i="2"/>
  <c r="BF9" i="2"/>
  <c r="BF10" i="2"/>
  <c r="BF11" i="2"/>
  <c r="BF12" i="2"/>
  <c r="BF13" i="2"/>
  <c r="BF14" i="2"/>
  <c r="BF15" i="2"/>
  <c r="BF16" i="2"/>
  <c r="BF17" i="2"/>
  <c r="BF18" i="2"/>
  <c r="BF19" i="2"/>
  <c r="BF20" i="2"/>
  <c r="BF21" i="2"/>
  <c r="BF22" i="2"/>
  <c r="BF23" i="2"/>
  <c r="BF24" i="2"/>
  <c r="BF25" i="2"/>
  <c r="BF26" i="2"/>
  <c r="BF27" i="2"/>
  <c r="BF28" i="2"/>
  <c r="BF29" i="2"/>
  <c r="BF30" i="2"/>
  <c r="BF31" i="2"/>
  <c r="BF32" i="2"/>
  <c r="BF33" i="2"/>
  <c r="BF34" i="2"/>
  <c r="BF35" i="2"/>
  <c r="BF36" i="2"/>
  <c r="BF37" i="2"/>
  <c r="BF38" i="2"/>
  <c r="BF39" i="2"/>
  <c r="BF40" i="2"/>
  <c r="BF41" i="2"/>
  <c r="BF42" i="2"/>
  <c r="BF43" i="2"/>
  <c r="BF44" i="2"/>
  <c r="BF45" i="2"/>
  <c r="BF46" i="2"/>
  <c r="BF47" i="2"/>
  <c r="BF48" i="2"/>
  <c r="BF49" i="2"/>
  <c r="BF50" i="2"/>
  <c r="BF51" i="2"/>
  <c r="BF52" i="2"/>
  <c r="BF53" i="2"/>
  <c r="BF54" i="2"/>
  <c r="BF55" i="2"/>
  <c r="BF56" i="2"/>
  <c r="BF57" i="2"/>
  <c r="BF58" i="2"/>
  <c r="BF59" i="2"/>
  <c r="BF60" i="2"/>
  <c r="BF61" i="2"/>
  <c r="BF62" i="2"/>
  <c r="BF63" i="2"/>
  <c r="BF64" i="2"/>
  <c r="BF65" i="2"/>
  <c r="BF66" i="2"/>
  <c r="BF67" i="2"/>
  <c r="BF68" i="2"/>
  <c r="BF69" i="2"/>
  <c r="BF70" i="2"/>
  <c r="BF71" i="2"/>
  <c r="BF72" i="2"/>
  <c r="BF73" i="2"/>
  <c r="BF74" i="2"/>
  <c r="BF75" i="2"/>
  <c r="BF76" i="2"/>
  <c r="BF77" i="2"/>
  <c r="BF78" i="2"/>
  <c r="BF79" i="2"/>
  <c r="BF80" i="2"/>
  <c r="BF81" i="2"/>
  <c r="BF82" i="2"/>
  <c r="BF83" i="2"/>
  <c r="BF84" i="2"/>
  <c r="BF85" i="2"/>
  <c r="BF86" i="2"/>
  <c r="BF87" i="2"/>
  <c r="BF88" i="2"/>
  <c r="BF89" i="2"/>
  <c r="BF90" i="2"/>
  <c r="BF91" i="2"/>
  <c r="BF92" i="2"/>
  <c r="BF93" i="2"/>
  <c r="BF94" i="2"/>
  <c r="BF95" i="2"/>
  <c r="BF96" i="2"/>
  <c r="BF97" i="2"/>
  <c r="BF98" i="2"/>
  <c r="BF99" i="2"/>
  <c r="BF100" i="2"/>
  <c r="BF101" i="2"/>
  <c r="BF102" i="2"/>
  <c r="BF103" i="2"/>
  <c r="BF104" i="2"/>
  <c r="BF105" i="2"/>
  <c r="BF106" i="2"/>
  <c r="BF107" i="2"/>
  <c r="BF108" i="2"/>
  <c r="BF109" i="2"/>
  <c r="BF110" i="2"/>
  <c r="BF111" i="2"/>
  <c r="BF112" i="2"/>
  <c r="BF113" i="2"/>
  <c r="BF114" i="2"/>
  <c r="BF115" i="2"/>
  <c r="BF116" i="2"/>
  <c r="BF117" i="2"/>
  <c r="BF118" i="2"/>
  <c r="BF119" i="2"/>
  <c r="BF120" i="2"/>
  <c r="BF121" i="2"/>
  <c r="BF122" i="2"/>
  <c r="BF123" i="2"/>
  <c r="BF124" i="2"/>
  <c r="BF125" i="2"/>
  <c r="BF126" i="2"/>
  <c r="BF127" i="2"/>
  <c r="BF128" i="2"/>
  <c r="BF129" i="2"/>
  <c r="BF130" i="2"/>
  <c r="BF131" i="2"/>
  <c r="BF132" i="2"/>
  <c r="BF133" i="2"/>
  <c r="BF134" i="2"/>
  <c r="BF135" i="2"/>
  <c r="BF136" i="2"/>
  <c r="BF137" i="2"/>
  <c r="BF138" i="2"/>
  <c r="BF139" i="2"/>
  <c r="BF140" i="2"/>
  <c r="BF141" i="2"/>
  <c r="BF142" i="2"/>
  <c r="BF143" i="2"/>
  <c r="BF144" i="2"/>
  <c r="BF145" i="2"/>
  <c r="BF146" i="2"/>
  <c r="BF147" i="2"/>
  <c r="BF148" i="2"/>
  <c r="BF149" i="2"/>
  <c r="BF150" i="2"/>
  <c r="BF151" i="2"/>
  <c r="BF152" i="2"/>
  <c r="BF153" i="2"/>
  <c r="BF154" i="2"/>
  <c r="BF155" i="2"/>
  <c r="BF156" i="2"/>
  <c r="BF157" i="2"/>
  <c r="BF158" i="2"/>
  <c r="BF159" i="2"/>
  <c r="BF160" i="2"/>
  <c r="BF161" i="2"/>
  <c r="BF162" i="2"/>
  <c r="BF163" i="2"/>
  <c r="BF164" i="2"/>
  <c r="BF165" i="2"/>
  <c r="BF166" i="2"/>
  <c r="BF167" i="2"/>
  <c r="BF168" i="2"/>
  <c r="BF169" i="2"/>
  <c r="BF170" i="2"/>
  <c r="BF171" i="2"/>
  <c r="BF172" i="2"/>
  <c r="BF173" i="2"/>
  <c r="BF174" i="2"/>
  <c r="BF175" i="2"/>
  <c r="BF176" i="2"/>
  <c r="BF177" i="2"/>
  <c r="BF178" i="2"/>
  <c r="BF179" i="2"/>
  <c r="BF180" i="2"/>
  <c r="BF181" i="2"/>
  <c r="BF182" i="2"/>
  <c r="BF183" i="2"/>
  <c r="BF184" i="2"/>
  <c r="BF185" i="2"/>
  <c r="BF186" i="2"/>
  <c r="BF187" i="2"/>
  <c r="BF188" i="2"/>
  <c r="BF189" i="2"/>
  <c r="BF190" i="2"/>
  <c r="BF191" i="2"/>
  <c r="BF192" i="2"/>
  <c r="BF193" i="2"/>
  <c r="BF194" i="2"/>
  <c r="BF195" i="2"/>
  <c r="BF196" i="2"/>
  <c r="BF197" i="2"/>
  <c r="BF198" i="2"/>
  <c r="BF199" i="2"/>
  <c r="BF200" i="2"/>
  <c r="BF201" i="2"/>
  <c r="BF202" i="2"/>
  <c r="BF203" i="2"/>
  <c r="BF204" i="2"/>
  <c r="BF205" i="2"/>
  <c r="BF206" i="2"/>
  <c r="BF207" i="2"/>
  <c r="BF208" i="2"/>
  <c r="BF209" i="2"/>
  <c r="BF210" i="2"/>
  <c r="BF211" i="2"/>
  <c r="BF212" i="2"/>
  <c r="BF213" i="2"/>
  <c r="BF214" i="2"/>
  <c r="BF215" i="2"/>
  <c r="BF216" i="2"/>
  <c r="BF217" i="2"/>
  <c r="BF218" i="2"/>
  <c r="BF219" i="2"/>
  <c r="BF220" i="2"/>
  <c r="BF221" i="2"/>
  <c r="BF222" i="2"/>
  <c r="BF223" i="2"/>
  <c r="BF224" i="2"/>
  <c r="BF225" i="2"/>
  <c r="BF226" i="2"/>
  <c r="BF227" i="2"/>
  <c r="BF228" i="2"/>
  <c r="BF229" i="2"/>
  <c r="BF230" i="2"/>
  <c r="BF231" i="2"/>
  <c r="BF232" i="2"/>
  <c r="BF233" i="2"/>
  <c r="BF234" i="2"/>
  <c r="BF235" i="2"/>
  <c r="BF236" i="2"/>
  <c r="BF237" i="2"/>
  <c r="BF238" i="2"/>
  <c r="BF239" i="2"/>
  <c r="BF240" i="2"/>
  <c r="BF241" i="2"/>
  <c r="BF242" i="2"/>
  <c r="BF243" i="2"/>
  <c r="BF244" i="2"/>
  <c r="BF245" i="2"/>
  <c r="BF246" i="2"/>
  <c r="BF247" i="2"/>
  <c r="BF248" i="2"/>
  <c r="BF249" i="2"/>
  <c r="BF250" i="2"/>
  <c r="BF251" i="2"/>
  <c r="BF252" i="2"/>
  <c r="BF253" i="2"/>
  <c r="BF254" i="2"/>
  <c r="BF255" i="2"/>
  <c r="BF256" i="2"/>
  <c r="BF257" i="2"/>
  <c r="BF258" i="2"/>
  <c r="BF259" i="2"/>
  <c r="BF260" i="2"/>
  <c r="BF261" i="2"/>
  <c r="BF262" i="2"/>
  <c r="BF263" i="2"/>
  <c r="BF264" i="2"/>
  <c r="BF265" i="2"/>
  <c r="BF266" i="2"/>
  <c r="BF267" i="2"/>
  <c r="BF268" i="2"/>
  <c r="BF269" i="2"/>
  <c r="BF270" i="2"/>
  <c r="BF271" i="2"/>
  <c r="BF272" i="2"/>
  <c r="BF273" i="2"/>
  <c r="BF274" i="2"/>
  <c r="BF275" i="2"/>
  <c r="BF276" i="2"/>
  <c r="BF277" i="2"/>
  <c r="BF278" i="2"/>
  <c r="BF279" i="2"/>
  <c r="BF280" i="2"/>
  <c r="BF281" i="2"/>
  <c r="BF282" i="2"/>
  <c r="BF283" i="2"/>
  <c r="BF284" i="2"/>
  <c r="BF285" i="2"/>
  <c r="BF286" i="2"/>
  <c r="BF287" i="2"/>
  <c r="BF288" i="2"/>
  <c r="BF289" i="2"/>
  <c r="BF290" i="2"/>
  <c r="BF291" i="2"/>
  <c r="BF292" i="2"/>
  <c r="BF293" i="2"/>
  <c r="BF294" i="2"/>
  <c r="BF295" i="2"/>
  <c r="BF296" i="2"/>
  <c r="BF297" i="2"/>
  <c r="BF298" i="2"/>
  <c r="BF299" i="2"/>
  <c r="BF300" i="2"/>
  <c r="BF301" i="2"/>
  <c r="BF302" i="2"/>
  <c r="BF303" i="2"/>
  <c r="BF304" i="2"/>
  <c r="BF305" i="2"/>
  <c r="BF306" i="2"/>
  <c r="BF307" i="2"/>
  <c r="BF308" i="2"/>
  <c r="BF309" i="2"/>
  <c r="BF310" i="2"/>
  <c r="BF311" i="2"/>
  <c r="BF312" i="2"/>
  <c r="BF313" i="2"/>
  <c r="BF314" i="2"/>
  <c r="BF315" i="2"/>
  <c r="BF316" i="2"/>
  <c r="BF317" i="2"/>
  <c r="BF318" i="2"/>
  <c r="BF319" i="2"/>
  <c r="BF320" i="2"/>
  <c r="BF321" i="2"/>
  <c r="BF322" i="2"/>
  <c r="BF323" i="2"/>
  <c r="BF324" i="2"/>
  <c r="BF325" i="2"/>
  <c r="BF326" i="2"/>
  <c r="BF327" i="2"/>
  <c r="BF328" i="2"/>
  <c r="BF329" i="2"/>
  <c r="BF330" i="2"/>
  <c r="BF331" i="2"/>
  <c r="BF332" i="2"/>
  <c r="BF333" i="2"/>
  <c r="BF334" i="2"/>
  <c r="BF335" i="2"/>
  <c r="BF336" i="2"/>
  <c r="BF337" i="2"/>
  <c r="BF338" i="2"/>
  <c r="BF339" i="2"/>
  <c r="BF340" i="2"/>
  <c r="BF341" i="2"/>
  <c r="BF342" i="2"/>
  <c r="BF343" i="2"/>
  <c r="BF344" i="2"/>
  <c r="BF345" i="2"/>
  <c r="BF346" i="2"/>
  <c r="BF347" i="2"/>
  <c r="BF348" i="2"/>
  <c r="BF349" i="2"/>
  <c r="BF350" i="2"/>
  <c r="BF351" i="2"/>
  <c r="BF352" i="2"/>
  <c r="BF353" i="2"/>
  <c r="BF354" i="2"/>
  <c r="BF355" i="2"/>
  <c r="BF356" i="2"/>
  <c r="BF357" i="2"/>
  <c r="BF358" i="2"/>
  <c r="BF359" i="2"/>
  <c r="BF360" i="2"/>
  <c r="BF361" i="2"/>
  <c r="BF362" i="2"/>
  <c r="BF363" i="2"/>
  <c r="BF364" i="2"/>
  <c r="BF365" i="2"/>
  <c r="BF366" i="2"/>
  <c r="BF367" i="2"/>
  <c r="BF368" i="2"/>
  <c r="BF369" i="2"/>
  <c r="BF370" i="2"/>
  <c r="BF371" i="2"/>
  <c r="BF372" i="2"/>
  <c r="BF373" i="2"/>
  <c r="BF374" i="2"/>
  <c r="BF375" i="2"/>
  <c r="BF376" i="2"/>
  <c r="BF377" i="2"/>
  <c r="BF378" i="2"/>
  <c r="BF379" i="2"/>
  <c r="BF380" i="2"/>
  <c r="BF381" i="2"/>
  <c r="BF382" i="2"/>
  <c r="BF383" i="2"/>
  <c r="BF384" i="2"/>
  <c r="BF385" i="2"/>
  <c r="BF386" i="2"/>
  <c r="BF387" i="2"/>
  <c r="BF388" i="2"/>
  <c r="BF389" i="2"/>
  <c r="BF390" i="2"/>
  <c r="BF391" i="2"/>
  <c r="BF392" i="2"/>
  <c r="BF393" i="2"/>
  <c r="BF394" i="2"/>
  <c r="BF395" i="2"/>
  <c r="BF396" i="2"/>
  <c r="BF397" i="2"/>
  <c r="BF398" i="2"/>
  <c r="BF399" i="2"/>
  <c r="BF400" i="2"/>
  <c r="BF401" i="2"/>
  <c r="BF402" i="2"/>
  <c r="BF403" i="2"/>
  <c r="BF404" i="2"/>
  <c r="BF405" i="2"/>
  <c r="BF406" i="2"/>
  <c r="BF407" i="2"/>
  <c r="BF408" i="2"/>
  <c r="BF409" i="2"/>
  <c r="BF410" i="2"/>
  <c r="BF411" i="2"/>
  <c r="BF412" i="2"/>
  <c r="BF413" i="2"/>
  <c r="BF414" i="2"/>
  <c r="BF415" i="2"/>
  <c r="BF416" i="2"/>
  <c r="BF417" i="2"/>
  <c r="BF418" i="2"/>
  <c r="BF419" i="2"/>
  <c r="BF420" i="2"/>
  <c r="BF421" i="2"/>
  <c r="BF422" i="2"/>
  <c r="BF423" i="2"/>
  <c r="BF424" i="2"/>
  <c r="BF425" i="2"/>
  <c r="BF426" i="2"/>
  <c r="BF427" i="2"/>
  <c r="BF428" i="2"/>
  <c r="BF429" i="2"/>
  <c r="BF430" i="2"/>
  <c r="BF431" i="2"/>
  <c r="BF432" i="2"/>
  <c r="BF433" i="2"/>
  <c r="BF434" i="2"/>
  <c r="BF435" i="2"/>
  <c r="BF436" i="2"/>
  <c r="BF437" i="2"/>
  <c r="BF438" i="2"/>
  <c r="BF439" i="2"/>
  <c r="BF440" i="2"/>
  <c r="BF441" i="2"/>
  <c r="BF442" i="2"/>
  <c r="BF443" i="2"/>
  <c r="BF444" i="2"/>
  <c r="BF445" i="2"/>
  <c r="BF446" i="2"/>
  <c r="BF447" i="2"/>
  <c r="BF448" i="2"/>
  <c r="BF449" i="2"/>
  <c r="BF450" i="2"/>
  <c r="BF451" i="2"/>
  <c r="BF452" i="2"/>
  <c r="BF453" i="2"/>
  <c r="BF454" i="2"/>
  <c r="BF455" i="2"/>
  <c r="BF456" i="2"/>
  <c r="BF457" i="2"/>
  <c r="BF458" i="2"/>
  <c r="BF459" i="2"/>
  <c r="BF460" i="2"/>
  <c r="BF461" i="2"/>
  <c r="BF462" i="2"/>
  <c r="BF463" i="2"/>
  <c r="BF464" i="2"/>
  <c r="BF465" i="2"/>
  <c r="BF466" i="2"/>
  <c r="BF467" i="2"/>
  <c r="BF468" i="2"/>
  <c r="BF469" i="2"/>
  <c r="BF470" i="2"/>
  <c r="BF471" i="2"/>
  <c r="BF472" i="2"/>
  <c r="BF473" i="2"/>
  <c r="BF474" i="2"/>
  <c r="BF475" i="2"/>
  <c r="BF476" i="2"/>
  <c r="BF477" i="2"/>
  <c r="BF478" i="2"/>
  <c r="BF479" i="2"/>
  <c r="BF480" i="2"/>
  <c r="BF481" i="2"/>
  <c r="BF482" i="2"/>
  <c r="BF483" i="2"/>
  <c r="BF484" i="2"/>
  <c r="BF485" i="2"/>
  <c r="BF486" i="2"/>
  <c r="BF487" i="2"/>
  <c r="BF488" i="2"/>
  <c r="BF489" i="2"/>
  <c r="BF490" i="2"/>
  <c r="BF491" i="2"/>
  <c r="BF492" i="2"/>
  <c r="BF493" i="2"/>
  <c r="BF494" i="2"/>
  <c r="BF495" i="2"/>
  <c r="BF496" i="2"/>
  <c r="BF497" i="2"/>
  <c r="BF498" i="2"/>
  <c r="BF499" i="2"/>
  <c r="BF500" i="2"/>
  <c r="BF501" i="2"/>
  <c r="BF502" i="2"/>
  <c r="BF503" i="2"/>
  <c r="BF504" i="2"/>
  <c r="BF505" i="2"/>
  <c r="BF506" i="2"/>
  <c r="BF507" i="2"/>
  <c r="BF508" i="2"/>
  <c r="BF509" i="2"/>
  <c r="BF510" i="2"/>
  <c r="BF511" i="2"/>
  <c r="BF512" i="2"/>
  <c r="BF513" i="2"/>
  <c r="BF514" i="2"/>
  <c r="BF515" i="2"/>
  <c r="BF516" i="2"/>
  <c r="BF517" i="2"/>
  <c r="BF518" i="2"/>
  <c r="BF519" i="2"/>
  <c r="BF520" i="2"/>
  <c r="BF521" i="2"/>
  <c r="BF522" i="2"/>
  <c r="BF523" i="2"/>
  <c r="BF524" i="2"/>
  <c r="BF525" i="2"/>
  <c r="BF526" i="2"/>
  <c r="BF527" i="2"/>
  <c r="BF528" i="2"/>
  <c r="BF529" i="2"/>
  <c r="BF530" i="2"/>
  <c r="BF531" i="2"/>
  <c r="BF532" i="2"/>
  <c r="BF533" i="2"/>
  <c r="BF534" i="2"/>
  <c r="BF535" i="2"/>
  <c r="BF536" i="2"/>
  <c r="BF537" i="2"/>
  <c r="BF538" i="2"/>
  <c r="BF539" i="2"/>
  <c r="BF540" i="2"/>
  <c r="BF541" i="2"/>
  <c r="BF542" i="2"/>
  <c r="BF543" i="2"/>
  <c r="BF544" i="2"/>
  <c r="BF545" i="2"/>
  <c r="BF546" i="2"/>
  <c r="BF547" i="2"/>
  <c r="BF548" i="2"/>
  <c r="BF549" i="2"/>
  <c r="BF550" i="2"/>
  <c r="BF551" i="2"/>
  <c r="BF552" i="2"/>
  <c r="BF553" i="2"/>
  <c r="BF554" i="2"/>
  <c r="BF555" i="2"/>
  <c r="BF556" i="2"/>
  <c r="BF557" i="2"/>
  <c r="BF558" i="2"/>
  <c r="BF559" i="2"/>
  <c r="BF560" i="2"/>
  <c r="BF561" i="2"/>
  <c r="BF562" i="2"/>
  <c r="BF563" i="2"/>
  <c r="BF564" i="2"/>
  <c r="BF565" i="2"/>
  <c r="BF566" i="2"/>
  <c r="BF567" i="2"/>
  <c r="BF568" i="2"/>
  <c r="BF569" i="2"/>
  <c r="BF570" i="2"/>
  <c r="BF571" i="2"/>
  <c r="BF572" i="2"/>
  <c r="BF573" i="2"/>
  <c r="BF574" i="2"/>
  <c r="BF575" i="2"/>
  <c r="BF576" i="2"/>
  <c r="BF577" i="2"/>
  <c r="BF578" i="2"/>
  <c r="BF579" i="2"/>
  <c r="BF580" i="2"/>
  <c r="BF581" i="2"/>
  <c r="BF582" i="2"/>
  <c r="BF583" i="2"/>
  <c r="BF584" i="2"/>
  <c r="BF585" i="2"/>
  <c r="BF586" i="2"/>
  <c r="BF587" i="2"/>
  <c r="BF588" i="2"/>
  <c r="BF589" i="2"/>
  <c r="BF590" i="2"/>
  <c r="BF591" i="2"/>
  <c r="BF592" i="2"/>
  <c r="BF593" i="2"/>
  <c r="BF594" i="2"/>
  <c r="BF595" i="2"/>
  <c r="BF596" i="2"/>
  <c r="BF597" i="2"/>
  <c r="BF598" i="2"/>
  <c r="BF599" i="2"/>
  <c r="BF600" i="2"/>
  <c r="BF601" i="2"/>
  <c r="BF602" i="2"/>
  <c r="BF603" i="2"/>
  <c r="BF604" i="2"/>
  <c r="BF605" i="2"/>
  <c r="BF606" i="2"/>
  <c r="BF607" i="2"/>
  <c r="BF608" i="2"/>
  <c r="BF609" i="2"/>
  <c r="BF610" i="2"/>
  <c r="BF611" i="2"/>
  <c r="BF612" i="2"/>
  <c r="BF613" i="2"/>
  <c r="BF614" i="2"/>
  <c r="BF615" i="2"/>
  <c r="BF616" i="2"/>
  <c r="BF617" i="2"/>
  <c r="BF618" i="2"/>
  <c r="BF619" i="2"/>
  <c r="BF620" i="2"/>
  <c r="BF621" i="2"/>
  <c r="BF622" i="2"/>
  <c r="BF623" i="2"/>
  <c r="BF624" i="2"/>
  <c r="BF625" i="2"/>
  <c r="BF626" i="2"/>
  <c r="BF627" i="2"/>
  <c r="BF628" i="2"/>
  <c r="BF629" i="2"/>
  <c r="BF630" i="2"/>
  <c r="BF631" i="2"/>
  <c r="BF632" i="2"/>
  <c r="BF633" i="2"/>
  <c r="BF634" i="2"/>
  <c r="BF635" i="2"/>
  <c r="BF636" i="2"/>
  <c r="BF637" i="2"/>
  <c r="BF638" i="2"/>
  <c r="BF639" i="2"/>
  <c r="BF640" i="2"/>
  <c r="BF641" i="2"/>
  <c r="BF642" i="2"/>
  <c r="BF643" i="2"/>
  <c r="BF644" i="2"/>
  <c r="BF645" i="2"/>
  <c r="BF646" i="2"/>
  <c r="BF647" i="2"/>
  <c r="BF648" i="2"/>
  <c r="BF649" i="2"/>
  <c r="BF650" i="2"/>
  <c r="BF651" i="2"/>
  <c r="BF652" i="2"/>
  <c r="BF653" i="2"/>
  <c r="BF654" i="2"/>
  <c r="BF655" i="2"/>
  <c r="BF656" i="2"/>
  <c r="BF657" i="2"/>
  <c r="BF658" i="2"/>
  <c r="BF659" i="2"/>
  <c r="BF660" i="2"/>
  <c r="BF661" i="2"/>
  <c r="BF662" i="2"/>
  <c r="BF663" i="2"/>
  <c r="BF664" i="2"/>
  <c r="BF665" i="2"/>
  <c r="BF666" i="2"/>
  <c r="BF667" i="2"/>
  <c r="BF668" i="2"/>
  <c r="BF669" i="2"/>
  <c r="BF670" i="2"/>
  <c r="BF671" i="2"/>
  <c r="BF672" i="2"/>
  <c r="BF673" i="2"/>
  <c r="BF674" i="2"/>
  <c r="BF675" i="2"/>
  <c r="BF676" i="2"/>
  <c r="BF677" i="2"/>
  <c r="BF678" i="2"/>
  <c r="BF679" i="2"/>
  <c r="BF680" i="2"/>
  <c r="BF681" i="2"/>
  <c r="BF682" i="2"/>
  <c r="BF683" i="2"/>
  <c r="BF684" i="2"/>
  <c r="BF685" i="2"/>
  <c r="BF686" i="2"/>
  <c r="BF687" i="2"/>
  <c r="BF688" i="2"/>
  <c r="BF689" i="2"/>
  <c r="BF690" i="2"/>
  <c r="BF691" i="2"/>
  <c r="BF692" i="2"/>
  <c r="BF693" i="2"/>
  <c r="BF694" i="2"/>
  <c r="BF695" i="2"/>
  <c r="BF696" i="2"/>
  <c r="BF697" i="2"/>
  <c r="BF698" i="2"/>
  <c r="BF699" i="2"/>
  <c r="BF700" i="2"/>
  <c r="BF701" i="2"/>
  <c r="BF702" i="2"/>
  <c r="BF703" i="2"/>
  <c r="BF704" i="2"/>
  <c r="BF705" i="2"/>
  <c r="BF706" i="2"/>
  <c r="BF707" i="2"/>
  <c r="BF708" i="2"/>
  <c r="BF709" i="2"/>
  <c r="BF710" i="2"/>
  <c r="BF711" i="2"/>
  <c r="BF712" i="2"/>
  <c r="BF713" i="2"/>
  <c r="BF714" i="2"/>
  <c r="BF715" i="2"/>
  <c r="BF716" i="2"/>
  <c r="BF717" i="2"/>
  <c r="BF718" i="2"/>
  <c r="BF719" i="2"/>
  <c r="BF720" i="2"/>
  <c r="BF721" i="2"/>
  <c r="BF722" i="2"/>
  <c r="BF723" i="2"/>
  <c r="BF724" i="2"/>
  <c r="BF725" i="2"/>
  <c r="BF726" i="2"/>
  <c r="BF727" i="2"/>
  <c r="BF728" i="2"/>
  <c r="BF729" i="2"/>
  <c r="BF730" i="2"/>
  <c r="BF731" i="2"/>
  <c r="BF732" i="2"/>
  <c r="BF733" i="2"/>
  <c r="BF734" i="2"/>
  <c r="BF735" i="2"/>
  <c r="BF736" i="2"/>
  <c r="BF737" i="2"/>
  <c r="BF738" i="2"/>
  <c r="BF739" i="2"/>
  <c r="BF740" i="2"/>
  <c r="BF741" i="2"/>
  <c r="BF742" i="2"/>
  <c r="BF743" i="2"/>
  <c r="BF744" i="2"/>
  <c r="BF745" i="2"/>
  <c r="BF746" i="2"/>
  <c r="BF747" i="2"/>
  <c r="BF748" i="2"/>
  <c r="BF749" i="2"/>
  <c r="BF750" i="2"/>
  <c r="BF751" i="2"/>
  <c r="BF752" i="2"/>
  <c r="BF753" i="2"/>
  <c r="BF754" i="2"/>
  <c r="BF755" i="2"/>
  <c r="BF756" i="2"/>
  <c r="BF757" i="2"/>
  <c r="BF758" i="2"/>
  <c r="BF759" i="2"/>
  <c r="BF760" i="2"/>
  <c r="BF761" i="2"/>
  <c r="BF762" i="2"/>
  <c r="BF763" i="2"/>
  <c r="BF764" i="2"/>
  <c r="BF765" i="2"/>
  <c r="BF766" i="2"/>
  <c r="BF767" i="2"/>
  <c r="BF768" i="2"/>
  <c r="BF769" i="2"/>
  <c r="BF770" i="2"/>
  <c r="BF771" i="2"/>
  <c r="BF772" i="2"/>
  <c r="BF773" i="2"/>
  <c r="BF774" i="2"/>
  <c r="BF775" i="2"/>
  <c r="BF776" i="2"/>
  <c r="BF777" i="2"/>
  <c r="BF778" i="2"/>
  <c r="BF779" i="2"/>
  <c r="BF780" i="2"/>
  <c r="BF781" i="2"/>
  <c r="BF782" i="2"/>
  <c r="BF783" i="2"/>
  <c r="BF784" i="2"/>
  <c r="BF785" i="2"/>
  <c r="BF786" i="2"/>
  <c r="BF787" i="2"/>
  <c r="BF788" i="2"/>
  <c r="BF789" i="2"/>
  <c r="BF790" i="2"/>
  <c r="BF791" i="2"/>
  <c r="BF792" i="2"/>
  <c r="BF793" i="2"/>
  <c r="BF794" i="2"/>
  <c r="BF795" i="2"/>
  <c r="BF796" i="2"/>
  <c r="BF797" i="2"/>
  <c r="BF798" i="2"/>
  <c r="BF799" i="2"/>
  <c r="BF800" i="2"/>
  <c r="BF801" i="2"/>
  <c r="BF802" i="2"/>
  <c r="BF803" i="2"/>
  <c r="BF804" i="2"/>
  <c r="BF805" i="2"/>
  <c r="BF806" i="2"/>
  <c r="BF807" i="2"/>
  <c r="BF808" i="2"/>
  <c r="BF809" i="2"/>
  <c r="BF810" i="2"/>
  <c r="BF811" i="2"/>
  <c r="BF812" i="2"/>
  <c r="BF813" i="2"/>
  <c r="BF814" i="2"/>
  <c r="BF815" i="2"/>
  <c r="BF816" i="2"/>
  <c r="BF817" i="2"/>
  <c r="BF818" i="2"/>
  <c r="BF819" i="2"/>
  <c r="BF820" i="2"/>
  <c r="BF821" i="2"/>
  <c r="BF822" i="2"/>
  <c r="BF823" i="2"/>
  <c r="BF824" i="2"/>
  <c r="BF825" i="2"/>
  <c r="BF826" i="2"/>
  <c r="BF827" i="2"/>
  <c r="BF828" i="2"/>
  <c r="BF829" i="2"/>
  <c r="BF830" i="2"/>
  <c r="BF831" i="2"/>
  <c r="BF832" i="2"/>
  <c r="BF833" i="2"/>
  <c r="BF834" i="2"/>
  <c r="BF835" i="2"/>
  <c r="BF836" i="2"/>
  <c r="BF837" i="2"/>
  <c r="BF838" i="2"/>
  <c r="BF839" i="2"/>
  <c r="BF840" i="2"/>
  <c r="BF841" i="2"/>
  <c r="BF842" i="2"/>
  <c r="BF843" i="2"/>
  <c r="BF844" i="2"/>
  <c r="BF845" i="2"/>
  <c r="BF846" i="2"/>
  <c r="BF847" i="2"/>
  <c r="BF848" i="2"/>
  <c r="BF849" i="2"/>
  <c r="BF850" i="2"/>
  <c r="BF851" i="2"/>
  <c r="BF852" i="2"/>
  <c r="BF853" i="2"/>
  <c r="BF854" i="2"/>
  <c r="BF855" i="2"/>
  <c r="BF856" i="2"/>
  <c r="BF857" i="2"/>
  <c r="BF858" i="2"/>
  <c r="BF859" i="2"/>
  <c r="BF860" i="2"/>
  <c r="BF861" i="2"/>
  <c r="BF862" i="2"/>
  <c r="BF863" i="2"/>
  <c r="BF864" i="2"/>
  <c r="BF865" i="2"/>
  <c r="BF866" i="2"/>
  <c r="BF867" i="2"/>
  <c r="BF868" i="2"/>
  <c r="BF869" i="2"/>
  <c r="BF870" i="2"/>
  <c r="BF871" i="2"/>
  <c r="BF872" i="2"/>
  <c r="BF873" i="2"/>
  <c r="BF874" i="2"/>
  <c r="BF875" i="2"/>
  <c r="BF876" i="2"/>
  <c r="BF877" i="2"/>
  <c r="BF878" i="2"/>
  <c r="BF879" i="2"/>
  <c r="BF880" i="2"/>
  <c r="BF881" i="2"/>
  <c r="BF882" i="2"/>
  <c r="BF883" i="2"/>
  <c r="BF884" i="2"/>
  <c r="BF885" i="2"/>
  <c r="BF886" i="2"/>
  <c r="BF887" i="2"/>
  <c r="BF888" i="2"/>
  <c r="BF889" i="2"/>
  <c r="BF890" i="2"/>
  <c r="BF891" i="2"/>
  <c r="BF892" i="2"/>
  <c r="BF893" i="2"/>
  <c r="BF894" i="2"/>
  <c r="BF895" i="2"/>
  <c r="BF896" i="2"/>
  <c r="BF897" i="2"/>
  <c r="BF898" i="2"/>
  <c r="BF899" i="2"/>
  <c r="BF900" i="2"/>
  <c r="BF901" i="2"/>
  <c r="BF902" i="2"/>
  <c r="BF903" i="2"/>
  <c r="BF904" i="2"/>
  <c r="BF905" i="2"/>
  <c r="BF906" i="2"/>
  <c r="BF907" i="2"/>
  <c r="BF908" i="2"/>
  <c r="BF909" i="2"/>
  <c r="BF910" i="2"/>
  <c r="BF911" i="2"/>
  <c r="BF912" i="2"/>
  <c r="BF913" i="2"/>
  <c r="BF914" i="2"/>
  <c r="BF915" i="2"/>
  <c r="BF916" i="2"/>
  <c r="BF917" i="2"/>
  <c r="BF918" i="2"/>
  <c r="BF919" i="2"/>
  <c r="BF920" i="2"/>
  <c r="BF921" i="2"/>
  <c r="BF922" i="2"/>
  <c r="BF923" i="2"/>
  <c r="BF924" i="2"/>
  <c r="BF925" i="2"/>
  <c r="BF926" i="2"/>
  <c r="BF927" i="2"/>
  <c r="BF928" i="2"/>
  <c r="BF929" i="2"/>
  <c r="BF930" i="2"/>
  <c r="BF931" i="2"/>
  <c r="BF932" i="2"/>
  <c r="BF933" i="2"/>
  <c r="BF934" i="2"/>
  <c r="BF935" i="2"/>
  <c r="BF936" i="2"/>
  <c r="BF937" i="2"/>
  <c r="BF938" i="2"/>
  <c r="BF939" i="2"/>
  <c r="BF940" i="2"/>
  <c r="BF941" i="2"/>
  <c r="BF942" i="2"/>
  <c r="BF943" i="2"/>
  <c r="BF944" i="2"/>
  <c r="BF945" i="2"/>
  <c r="BF946" i="2"/>
  <c r="BF947" i="2"/>
  <c r="BF948" i="2"/>
  <c r="BF949" i="2"/>
  <c r="BF950" i="2"/>
  <c r="BF951" i="2"/>
  <c r="BF952" i="2"/>
  <c r="BF953" i="2"/>
  <c r="BF954" i="2"/>
  <c r="BF955" i="2"/>
  <c r="BF956" i="2"/>
  <c r="BF957" i="2"/>
  <c r="BF958" i="2"/>
  <c r="BF959" i="2"/>
  <c r="BF960" i="2"/>
  <c r="BF961" i="2"/>
  <c r="BF962" i="2"/>
  <c r="BF963" i="2"/>
  <c r="BF964" i="2"/>
  <c r="BF965" i="2"/>
  <c r="BF966" i="2"/>
  <c r="BF967" i="2"/>
  <c r="BF968" i="2"/>
  <c r="BF969" i="2"/>
  <c r="BF970" i="2"/>
  <c r="BF971" i="2"/>
  <c r="BF972" i="2"/>
  <c r="BF973" i="2"/>
  <c r="BF974" i="2"/>
  <c r="BF975" i="2"/>
  <c r="BF976" i="2"/>
  <c r="BF977" i="2"/>
  <c r="BF978" i="2"/>
  <c r="BF979" i="2"/>
  <c r="BF980" i="2"/>
  <c r="BF981" i="2"/>
  <c r="BF982" i="2"/>
  <c r="BF983" i="2"/>
  <c r="BF984" i="2"/>
  <c r="BF985" i="2"/>
  <c r="BF986" i="2"/>
  <c r="BF987" i="2"/>
  <c r="BF988" i="2"/>
  <c r="BF989" i="2"/>
  <c r="BF990" i="2"/>
  <c r="BF991" i="2"/>
  <c r="BF992" i="2"/>
  <c r="BF993" i="2"/>
  <c r="BF994" i="2"/>
  <c r="BF995" i="2"/>
  <c r="BF996" i="2"/>
  <c r="BF997" i="2"/>
  <c r="BF998" i="2"/>
  <c r="BF999" i="2"/>
  <c r="BF1000" i="2"/>
  <c r="BF1001" i="2"/>
  <c r="BF1002" i="2"/>
  <c r="BF1003" i="2"/>
  <c r="BF1004" i="2"/>
  <c r="BF1005" i="2"/>
  <c r="BF1006" i="2"/>
  <c r="BF1007" i="2"/>
  <c r="BF1008" i="2"/>
  <c r="BF1009" i="2"/>
  <c r="BF1010" i="2"/>
  <c r="BF1011" i="2"/>
  <c r="BF1012" i="2"/>
  <c r="BF1013" i="2"/>
  <c r="BF1014" i="2"/>
  <c r="BF1015" i="2"/>
  <c r="BF1016" i="2"/>
  <c r="BF1017" i="2"/>
  <c r="BF1018" i="2"/>
  <c r="BF1019" i="2"/>
  <c r="BF1020" i="2"/>
  <c r="BF1021" i="2"/>
  <c r="BF1022" i="2"/>
  <c r="BF1023" i="2"/>
  <c r="BF1024" i="2"/>
  <c r="BF1025" i="2"/>
  <c r="BF1026" i="2"/>
  <c r="BF1027" i="2"/>
  <c r="BF1028" i="2"/>
  <c r="BF1029" i="2"/>
  <c r="BF1030" i="2"/>
  <c r="BF1031" i="2"/>
  <c r="BF1032" i="2"/>
  <c r="BF1033" i="2"/>
  <c r="BF1034" i="2"/>
  <c r="BF1035" i="2"/>
  <c r="BF1036" i="2"/>
  <c r="BF1037" i="2"/>
  <c r="BF1038" i="2"/>
  <c r="BF1039" i="2"/>
  <c r="BF1040" i="2"/>
  <c r="BF1041" i="2"/>
  <c r="BF1042" i="2"/>
  <c r="BF1043" i="2"/>
  <c r="BF1044" i="2"/>
  <c r="BF1045" i="2"/>
  <c r="BF1046" i="2"/>
  <c r="BF1047" i="2"/>
  <c r="BF1048" i="2"/>
  <c r="BF1049" i="2"/>
  <c r="BF1050" i="2"/>
  <c r="BF1051" i="2"/>
  <c r="BF1052" i="2"/>
  <c r="BF1053" i="2"/>
  <c r="BF1054" i="2"/>
  <c r="BF1055" i="2"/>
  <c r="BF1056" i="2"/>
  <c r="BF1057" i="2"/>
  <c r="BF1058" i="2"/>
  <c r="BF1059" i="2"/>
  <c r="BF1060" i="2"/>
  <c r="BF1061" i="2"/>
  <c r="BF1062" i="2"/>
  <c r="BF1063" i="2"/>
  <c r="BF1064" i="2"/>
  <c r="BF1065" i="2"/>
  <c r="BF1066" i="2"/>
  <c r="BF1067" i="2"/>
  <c r="BF1068" i="2"/>
  <c r="BF1069" i="2"/>
  <c r="BF1070" i="2"/>
  <c r="BF1071" i="2"/>
  <c r="BF1072" i="2"/>
  <c r="BF1073" i="2"/>
  <c r="BF1074" i="2"/>
  <c r="BF1075" i="2"/>
  <c r="BF1076" i="2"/>
  <c r="BF1077" i="2"/>
  <c r="BF1078" i="2"/>
  <c r="BF1079" i="2"/>
  <c r="BF1080" i="2"/>
  <c r="BF1081" i="2"/>
  <c r="BF1082" i="2"/>
  <c r="BF1083" i="2"/>
  <c r="BF1084" i="2"/>
  <c r="BF1085" i="2"/>
  <c r="BF1086" i="2"/>
  <c r="BF1087" i="2"/>
  <c r="BF1088" i="2"/>
  <c r="BF1089" i="2"/>
  <c r="BF1090" i="2"/>
  <c r="BF1091" i="2"/>
  <c r="BF1092" i="2"/>
  <c r="BF1093" i="2"/>
  <c r="BF1094" i="2"/>
  <c r="BF1095" i="2"/>
  <c r="BF1096" i="2"/>
  <c r="BF1097" i="2"/>
  <c r="BF2" i="2"/>
  <c r="BE3" i="2"/>
  <c r="BE4" i="2"/>
  <c r="BE5" i="2"/>
  <c r="BE6" i="2"/>
  <c r="BE7" i="2"/>
  <c r="BE8" i="2"/>
  <c r="BE9" i="2"/>
  <c r="BE10" i="2"/>
  <c r="BE11" i="2"/>
  <c r="BE12" i="2"/>
  <c r="BE13" i="2"/>
  <c r="BE14" i="2"/>
  <c r="BE15" i="2"/>
  <c r="BE16" i="2"/>
  <c r="BE17" i="2"/>
  <c r="BE18" i="2"/>
  <c r="BE19" i="2"/>
  <c r="BE20" i="2"/>
  <c r="BE21" i="2"/>
  <c r="BE22" i="2"/>
  <c r="BE23" i="2"/>
  <c r="BE24" i="2"/>
  <c r="BE26" i="2"/>
  <c r="BE27" i="2"/>
  <c r="BE28" i="2"/>
  <c r="BE29" i="2"/>
  <c r="BE30" i="2"/>
  <c r="BE31" i="2"/>
  <c r="BE32" i="2"/>
  <c r="BE33" i="2"/>
  <c r="BE34" i="2"/>
  <c r="BE35" i="2"/>
  <c r="BE36" i="2"/>
  <c r="BE37" i="2"/>
  <c r="BE38" i="2"/>
  <c r="BE39" i="2"/>
  <c r="BE40" i="2"/>
  <c r="BE41" i="2"/>
  <c r="BE42" i="2"/>
  <c r="BE43" i="2"/>
  <c r="BE44" i="2"/>
  <c r="BE45" i="2"/>
  <c r="BE46" i="2"/>
  <c r="BE47" i="2"/>
  <c r="BE48" i="2"/>
  <c r="BE49" i="2"/>
  <c r="BE50" i="2"/>
  <c r="BE51" i="2"/>
  <c r="BE52" i="2"/>
  <c r="BE53" i="2"/>
  <c r="BE54" i="2"/>
  <c r="BE55" i="2"/>
  <c r="BE56" i="2"/>
  <c r="BE57" i="2"/>
  <c r="BE58" i="2"/>
  <c r="BE59" i="2"/>
  <c r="BE60" i="2"/>
  <c r="BE61" i="2"/>
  <c r="BE62" i="2"/>
  <c r="BE63" i="2"/>
  <c r="BE64" i="2"/>
  <c r="BE65" i="2"/>
  <c r="BE66" i="2"/>
  <c r="BE67" i="2"/>
  <c r="BE68" i="2"/>
  <c r="BE69" i="2"/>
  <c r="BE70" i="2"/>
  <c r="BE71" i="2"/>
  <c r="BE72" i="2"/>
  <c r="BE73" i="2"/>
  <c r="BE74" i="2"/>
  <c r="BE75" i="2"/>
  <c r="BE76" i="2"/>
  <c r="BE77" i="2"/>
  <c r="BE78" i="2"/>
  <c r="BE79" i="2"/>
  <c r="BE80" i="2"/>
  <c r="BE81" i="2"/>
  <c r="BE82" i="2"/>
  <c r="BE83" i="2"/>
  <c r="BE84" i="2"/>
  <c r="BE85" i="2"/>
  <c r="BE86" i="2"/>
  <c r="BE87" i="2"/>
  <c r="BE88" i="2"/>
  <c r="BE89" i="2"/>
  <c r="BE90" i="2"/>
  <c r="BE91" i="2"/>
  <c r="BE92" i="2"/>
  <c r="BE93" i="2"/>
  <c r="BE94" i="2"/>
  <c r="BE95" i="2"/>
  <c r="BE96" i="2"/>
  <c r="BE97" i="2"/>
  <c r="BE98" i="2"/>
  <c r="BE99" i="2"/>
  <c r="BE100" i="2"/>
  <c r="BE101" i="2"/>
  <c r="BE102" i="2"/>
  <c r="BE103" i="2"/>
  <c r="BE104" i="2"/>
  <c r="BE105" i="2"/>
  <c r="BE106" i="2"/>
  <c r="BE107" i="2"/>
  <c r="BE108" i="2"/>
  <c r="BE109" i="2"/>
  <c r="BE110" i="2"/>
  <c r="BE111" i="2"/>
  <c r="BE112" i="2"/>
  <c r="BE113" i="2"/>
  <c r="BE114" i="2"/>
  <c r="BE115" i="2"/>
  <c r="BE116" i="2"/>
  <c r="BE117" i="2"/>
  <c r="BE118" i="2"/>
  <c r="BE119" i="2"/>
  <c r="BE120" i="2"/>
  <c r="BE121" i="2"/>
  <c r="BE122" i="2"/>
  <c r="BE123" i="2"/>
  <c r="BE124" i="2"/>
  <c r="BE125" i="2"/>
  <c r="BE126" i="2"/>
  <c r="BE127" i="2"/>
  <c r="BE128" i="2"/>
  <c r="BE129" i="2"/>
  <c r="BE130" i="2"/>
  <c r="BE131" i="2"/>
  <c r="BE132" i="2"/>
  <c r="BE133" i="2"/>
  <c r="BE134" i="2"/>
  <c r="BE135" i="2"/>
  <c r="BE136" i="2"/>
  <c r="BE137" i="2"/>
  <c r="BE138" i="2"/>
  <c r="BE139" i="2"/>
  <c r="BE140" i="2"/>
  <c r="BE141" i="2"/>
  <c r="BE142" i="2"/>
  <c r="BE143" i="2"/>
  <c r="BE144" i="2"/>
  <c r="BE145" i="2"/>
  <c r="BE146" i="2"/>
  <c r="BE147" i="2"/>
  <c r="BE148" i="2"/>
  <c r="BE149" i="2"/>
  <c r="BE150" i="2"/>
  <c r="BE151" i="2"/>
  <c r="BE152" i="2"/>
  <c r="BE153" i="2"/>
  <c r="BE154" i="2"/>
  <c r="BE155" i="2"/>
  <c r="BE156" i="2"/>
  <c r="BE157" i="2"/>
  <c r="BE158" i="2"/>
  <c r="BE159" i="2"/>
  <c r="BE160" i="2"/>
  <c r="BE161" i="2"/>
  <c r="BE162" i="2"/>
  <c r="BE163" i="2"/>
  <c r="BE164" i="2"/>
  <c r="BE165" i="2"/>
  <c r="BE166" i="2"/>
  <c r="BE167" i="2"/>
  <c r="BE168" i="2"/>
  <c r="BE169" i="2"/>
  <c r="BE170" i="2"/>
  <c r="BE171" i="2"/>
  <c r="BE172" i="2"/>
  <c r="BE173" i="2"/>
  <c r="BE174" i="2"/>
  <c r="BE175" i="2"/>
  <c r="BE176" i="2"/>
  <c r="BE177" i="2"/>
  <c r="BE178" i="2"/>
  <c r="BE179" i="2"/>
  <c r="BE180" i="2"/>
  <c r="BE181" i="2"/>
  <c r="BE182" i="2"/>
  <c r="BE183" i="2"/>
  <c r="BE184" i="2"/>
  <c r="BE185" i="2"/>
  <c r="BE186" i="2"/>
  <c r="BE187" i="2"/>
  <c r="BE188" i="2"/>
  <c r="BE189" i="2"/>
  <c r="BE190" i="2"/>
  <c r="BE191" i="2"/>
  <c r="BE192" i="2"/>
  <c r="BE193" i="2"/>
  <c r="BE194" i="2"/>
  <c r="BE195" i="2"/>
  <c r="BE196" i="2"/>
  <c r="BE197" i="2"/>
  <c r="BE198" i="2"/>
  <c r="BE199" i="2"/>
  <c r="BE200" i="2"/>
  <c r="BE201" i="2"/>
  <c r="BE202" i="2"/>
  <c r="BE203" i="2"/>
  <c r="BE204" i="2"/>
  <c r="BE205" i="2"/>
  <c r="BE206" i="2"/>
  <c r="BE207" i="2"/>
  <c r="BE208" i="2"/>
  <c r="BE209" i="2"/>
  <c r="BE210" i="2"/>
  <c r="BE211" i="2"/>
  <c r="BE212" i="2"/>
  <c r="BE213" i="2"/>
  <c r="BE214" i="2"/>
  <c r="BE215" i="2"/>
  <c r="BE216" i="2"/>
  <c r="BE217" i="2"/>
  <c r="BE218" i="2"/>
  <c r="BE219" i="2"/>
  <c r="BE220" i="2"/>
  <c r="BE221" i="2"/>
  <c r="BE222" i="2"/>
  <c r="BE223" i="2"/>
  <c r="BE224" i="2"/>
  <c r="BE225" i="2"/>
  <c r="BE226" i="2"/>
  <c r="BE227" i="2"/>
  <c r="BE228" i="2"/>
  <c r="BE229" i="2"/>
  <c r="BE230" i="2"/>
  <c r="BE231" i="2"/>
  <c r="BE232" i="2"/>
  <c r="BE233" i="2"/>
  <c r="BE234" i="2"/>
  <c r="BE235" i="2"/>
  <c r="BE236" i="2"/>
  <c r="BE237" i="2"/>
  <c r="BE238" i="2"/>
  <c r="BE239" i="2"/>
  <c r="BE240" i="2"/>
  <c r="BE241" i="2"/>
  <c r="BE242" i="2"/>
  <c r="BE243" i="2"/>
  <c r="BE244" i="2"/>
  <c r="BE245" i="2"/>
  <c r="BE246" i="2"/>
  <c r="BE247" i="2"/>
  <c r="BE248" i="2"/>
  <c r="BE249" i="2"/>
  <c r="BE250" i="2"/>
  <c r="BE251" i="2"/>
  <c r="BE252" i="2"/>
  <c r="BE253" i="2"/>
  <c r="BE254" i="2"/>
  <c r="BE255" i="2"/>
  <c r="BE256" i="2"/>
  <c r="BE257" i="2"/>
  <c r="BE258" i="2"/>
  <c r="BE259" i="2"/>
  <c r="BE260" i="2"/>
  <c r="BE261" i="2"/>
  <c r="BE262" i="2"/>
  <c r="BE263" i="2"/>
  <c r="BE264" i="2"/>
  <c r="BE265" i="2"/>
  <c r="BE266" i="2"/>
  <c r="BE267" i="2"/>
  <c r="BE268" i="2"/>
  <c r="BE269" i="2"/>
  <c r="BE270" i="2"/>
  <c r="BE271" i="2"/>
  <c r="BE272" i="2"/>
  <c r="BE273" i="2"/>
  <c r="BE274" i="2"/>
  <c r="BE275" i="2"/>
  <c r="BE276" i="2"/>
  <c r="BE277" i="2"/>
  <c r="BE278" i="2"/>
  <c r="BE279" i="2"/>
  <c r="BE280" i="2"/>
  <c r="BE281" i="2"/>
  <c r="BE282" i="2"/>
  <c r="BE283" i="2"/>
  <c r="BE284" i="2"/>
  <c r="BE285" i="2"/>
  <c r="BE286" i="2"/>
  <c r="BE287" i="2"/>
  <c r="BE288" i="2"/>
  <c r="BE289" i="2"/>
  <c r="BE290" i="2"/>
  <c r="BE291" i="2"/>
  <c r="BE292" i="2"/>
  <c r="BE293" i="2"/>
  <c r="BE294" i="2"/>
  <c r="BE295" i="2"/>
  <c r="BE296" i="2"/>
  <c r="BE297" i="2"/>
  <c r="BE298" i="2"/>
  <c r="BE299" i="2"/>
  <c r="BE300" i="2"/>
  <c r="BE301" i="2"/>
  <c r="BE302" i="2"/>
  <c r="BE303" i="2"/>
  <c r="BE304" i="2"/>
  <c r="BE305" i="2"/>
  <c r="BE306" i="2"/>
  <c r="BE307" i="2"/>
  <c r="BE308" i="2"/>
  <c r="BE309" i="2"/>
  <c r="BE310" i="2"/>
  <c r="BE311" i="2"/>
  <c r="BE312" i="2"/>
  <c r="BE313" i="2"/>
  <c r="BE314" i="2"/>
  <c r="BE315" i="2"/>
  <c r="BE316" i="2"/>
  <c r="BE317" i="2"/>
  <c r="BE318" i="2"/>
  <c r="BE319" i="2"/>
  <c r="BE320" i="2"/>
  <c r="BE321" i="2"/>
  <c r="BE322" i="2"/>
  <c r="BE323" i="2"/>
  <c r="BE324" i="2"/>
  <c r="BE325" i="2"/>
  <c r="BE326" i="2"/>
  <c r="BE327" i="2"/>
  <c r="BE328" i="2"/>
  <c r="BE329" i="2"/>
  <c r="BE330" i="2"/>
  <c r="BE331" i="2"/>
  <c r="BE332" i="2"/>
  <c r="BE333" i="2"/>
  <c r="BE334" i="2"/>
  <c r="BE335" i="2"/>
  <c r="BE336" i="2"/>
  <c r="BE337" i="2"/>
  <c r="BE338" i="2"/>
  <c r="BE339" i="2"/>
  <c r="BE340" i="2"/>
  <c r="BE341" i="2"/>
  <c r="BE342" i="2"/>
  <c r="BE343" i="2"/>
  <c r="BE344" i="2"/>
  <c r="BE345" i="2"/>
  <c r="BE346" i="2"/>
  <c r="BE347" i="2"/>
  <c r="BE348" i="2"/>
  <c r="BE349" i="2"/>
  <c r="BE350" i="2"/>
  <c r="BE351" i="2"/>
  <c r="BE352" i="2"/>
  <c r="BE353" i="2"/>
  <c r="BE354" i="2"/>
  <c r="BE355" i="2"/>
  <c r="BE356" i="2"/>
  <c r="BE357" i="2"/>
  <c r="BE358" i="2"/>
  <c r="BE359" i="2"/>
  <c r="BE360" i="2"/>
  <c r="BE361" i="2"/>
  <c r="BE362" i="2"/>
  <c r="BE363" i="2"/>
  <c r="BE364" i="2"/>
  <c r="BE365" i="2"/>
  <c r="BE366" i="2"/>
  <c r="BE367" i="2"/>
  <c r="BE368" i="2"/>
  <c r="BE369" i="2"/>
  <c r="BE370" i="2"/>
  <c r="BE371" i="2"/>
  <c r="BE372" i="2"/>
  <c r="BE373" i="2"/>
  <c r="BE374" i="2"/>
  <c r="BE375" i="2"/>
  <c r="BE376" i="2"/>
  <c r="BE377" i="2"/>
  <c r="BE378" i="2"/>
  <c r="BE379" i="2"/>
  <c r="BE380" i="2"/>
  <c r="BE381" i="2"/>
  <c r="BE382" i="2"/>
  <c r="BE383" i="2"/>
  <c r="BE384" i="2"/>
  <c r="BE385" i="2"/>
  <c r="BE386" i="2"/>
  <c r="BE387" i="2"/>
  <c r="BE388" i="2"/>
  <c r="BE389" i="2"/>
  <c r="BE390" i="2"/>
  <c r="BE391" i="2"/>
  <c r="BE392" i="2"/>
  <c r="BE393" i="2"/>
  <c r="BE394" i="2"/>
  <c r="BE395" i="2"/>
  <c r="BE396" i="2"/>
  <c r="BE397" i="2"/>
  <c r="BE398" i="2"/>
  <c r="BE399" i="2"/>
  <c r="BE400" i="2"/>
  <c r="BE401" i="2"/>
  <c r="BE402" i="2"/>
  <c r="BE403" i="2"/>
  <c r="BE404" i="2"/>
  <c r="BE405" i="2"/>
  <c r="BE406" i="2"/>
  <c r="BE407" i="2"/>
  <c r="BE408" i="2"/>
  <c r="BE409" i="2"/>
  <c r="BE410" i="2"/>
  <c r="BE411" i="2"/>
  <c r="BE412" i="2"/>
  <c r="BE413" i="2"/>
  <c r="BE414" i="2"/>
  <c r="BE415" i="2"/>
  <c r="BE416" i="2"/>
  <c r="BE417" i="2"/>
  <c r="BE418" i="2"/>
  <c r="BE419" i="2"/>
  <c r="BE420" i="2"/>
  <c r="BE421" i="2"/>
  <c r="BE422" i="2"/>
  <c r="BE423" i="2"/>
  <c r="BE424" i="2"/>
  <c r="BE425" i="2"/>
  <c r="BE426" i="2"/>
  <c r="BE427" i="2"/>
  <c r="BE428" i="2"/>
  <c r="BE429" i="2"/>
  <c r="BE430" i="2"/>
  <c r="BE431" i="2"/>
  <c r="BE432" i="2"/>
  <c r="BE433" i="2"/>
  <c r="BE434" i="2"/>
  <c r="BE435" i="2"/>
  <c r="BE436" i="2"/>
  <c r="BE437" i="2"/>
  <c r="BE438" i="2"/>
  <c r="BE439" i="2"/>
  <c r="BE440" i="2"/>
  <c r="BE441" i="2"/>
  <c r="BE442" i="2"/>
  <c r="BE443" i="2"/>
  <c r="BE444" i="2"/>
  <c r="BE445" i="2"/>
  <c r="BE446" i="2"/>
  <c r="BE447" i="2"/>
  <c r="BE448" i="2"/>
  <c r="BE449" i="2"/>
  <c r="BE450" i="2"/>
  <c r="BE451" i="2"/>
  <c r="BE452" i="2"/>
  <c r="BE453" i="2"/>
  <c r="BE454" i="2"/>
  <c r="BE455" i="2"/>
  <c r="BE456" i="2"/>
  <c r="BE457" i="2"/>
  <c r="BE458" i="2"/>
  <c r="BE459" i="2"/>
  <c r="BE460" i="2"/>
  <c r="BE461" i="2"/>
  <c r="BE462" i="2"/>
  <c r="BE463" i="2"/>
  <c r="BE464" i="2"/>
  <c r="BE465" i="2"/>
  <c r="BE466" i="2"/>
  <c r="BE467" i="2"/>
  <c r="BE468" i="2"/>
  <c r="BE469" i="2"/>
  <c r="BE470" i="2"/>
  <c r="BE471" i="2"/>
  <c r="BE472" i="2"/>
  <c r="BE473" i="2"/>
  <c r="BE474" i="2"/>
  <c r="BE475" i="2"/>
  <c r="BE476" i="2"/>
  <c r="BE477" i="2"/>
  <c r="BE478" i="2"/>
  <c r="BE479" i="2"/>
  <c r="BE480" i="2"/>
  <c r="BE481" i="2"/>
  <c r="BE482" i="2"/>
  <c r="BE483" i="2"/>
  <c r="BE484" i="2"/>
  <c r="BE485" i="2"/>
  <c r="BE486" i="2"/>
  <c r="BE487" i="2"/>
  <c r="BE488" i="2"/>
  <c r="BE489" i="2"/>
  <c r="BE490" i="2"/>
  <c r="BE491" i="2"/>
  <c r="BE492" i="2"/>
  <c r="BE493" i="2"/>
  <c r="BE494" i="2"/>
  <c r="BE495" i="2"/>
  <c r="BE496" i="2"/>
  <c r="BE497" i="2"/>
  <c r="BE498" i="2"/>
  <c r="BE499" i="2"/>
  <c r="BE500" i="2"/>
  <c r="BE501" i="2"/>
  <c r="BE502" i="2"/>
  <c r="BE503" i="2"/>
  <c r="BE504" i="2"/>
  <c r="BE505" i="2"/>
  <c r="BE506" i="2"/>
  <c r="BE507" i="2"/>
  <c r="BE508" i="2"/>
  <c r="BE509" i="2"/>
  <c r="BE510" i="2"/>
  <c r="BE511" i="2"/>
  <c r="BE512" i="2"/>
  <c r="BE513" i="2"/>
  <c r="BE514" i="2"/>
  <c r="BE515" i="2"/>
  <c r="BE516" i="2"/>
  <c r="BE517" i="2"/>
  <c r="BE518" i="2"/>
  <c r="BE519" i="2"/>
  <c r="BE520" i="2"/>
  <c r="BE521" i="2"/>
  <c r="BE522" i="2"/>
  <c r="BE523" i="2"/>
  <c r="BE524" i="2"/>
  <c r="BE525" i="2"/>
  <c r="BE526" i="2"/>
  <c r="BE527" i="2"/>
  <c r="BE528" i="2"/>
  <c r="BE529" i="2"/>
  <c r="BE530" i="2"/>
  <c r="BE531" i="2"/>
  <c r="BE532" i="2"/>
  <c r="BE533" i="2"/>
  <c r="BE534" i="2"/>
  <c r="BE535" i="2"/>
  <c r="BE536" i="2"/>
  <c r="BE537" i="2"/>
  <c r="BE538" i="2"/>
  <c r="BE539" i="2"/>
  <c r="BE540" i="2"/>
  <c r="BE541" i="2"/>
  <c r="BE542" i="2"/>
  <c r="BE543" i="2"/>
  <c r="BE544" i="2"/>
  <c r="BE545" i="2"/>
  <c r="BE546" i="2"/>
  <c r="BE547" i="2"/>
  <c r="BE548" i="2"/>
  <c r="BE549" i="2"/>
  <c r="BE550" i="2"/>
  <c r="BE551" i="2"/>
  <c r="BE552" i="2"/>
  <c r="BE553" i="2"/>
  <c r="BE554" i="2"/>
  <c r="BE555" i="2"/>
  <c r="BE556" i="2"/>
  <c r="BE557" i="2"/>
  <c r="BE558" i="2"/>
  <c r="BE559" i="2"/>
  <c r="BE560" i="2"/>
  <c r="BE561" i="2"/>
  <c r="BE562" i="2"/>
  <c r="BE563" i="2"/>
  <c r="BE564" i="2"/>
  <c r="BE565" i="2"/>
  <c r="BE566" i="2"/>
  <c r="BE567" i="2"/>
  <c r="BE568" i="2"/>
  <c r="BE569" i="2"/>
  <c r="BE570" i="2"/>
  <c r="BE571" i="2"/>
  <c r="BE572" i="2"/>
  <c r="BE573" i="2"/>
  <c r="BE574" i="2"/>
  <c r="BE575" i="2"/>
  <c r="BE576" i="2"/>
  <c r="BE577" i="2"/>
  <c r="BE578" i="2"/>
  <c r="BE579" i="2"/>
  <c r="BE580" i="2"/>
  <c r="BE581" i="2"/>
  <c r="BE582" i="2"/>
  <c r="BE583" i="2"/>
  <c r="BE584" i="2"/>
  <c r="BE585" i="2"/>
  <c r="BE586" i="2"/>
  <c r="BE587" i="2"/>
  <c r="BE588" i="2"/>
  <c r="BE589" i="2"/>
  <c r="BE590" i="2"/>
  <c r="BE591" i="2"/>
  <c r="BE592" i="2"/>
  <c r="BE593" i="2"/>
  <c r="BE594" i="2"/>
  <c r="BE595" i="2"/>
  <c r="BE596" i="2"/>
  <c r="BE597" i="2"/>
  <c r="BE598" i="2"/>
  <c r="BE599" i="2"/>
  <c r="BE600" i="2"/>
  <c r="BE601" i="2"/>
  <c r="BE602" i="2"/>
  <c r="BE603" i="2"/>
  <c r="BE604" i="2"/>
  <c r="BE605" i="2"/>
  <c r="BE606" i="2"/>
  <c r="BE607" i="2"/>
  <c r="BE608" i="2"/>
  <c r="BE609" i="2"/>
  <c r="BE610" i="2"/>
  <c r="BE611" i="2"/>
  <c r="BE612" i="2"/>
  <c r="BE613" i="2"/>
  <c r="BE614" i="2"/>
  <c r="BE615" i="2"/>
  <c r="BE616" i="2"/>
  <c r="BE617" i="2"/>
  <c r="BE618" i="2"/>
  <c r="BE619" i="2"/>
  <c r="BE620" i="2"/>
  <c r="BE621" i="2"/>
  <c r="BE622" i="2"/>
  <c r="BE623" i="2"/>
  <c r="BE624" i="2"/>
  <c r="BE625" i="2"/>
  <c r="BE626" i="2"/>
  <c r="BE627" i="2"/>
  <c r="BE628" i="2"/>
  <c r="BE629" i="2"/>
  <c r="BE630" i="2"/>
  <c r="BE631" i="2"/>
  <c r="BE632" i="2"/>
  <c r="BE633" i="2"/>
  <c r="BE634" i="2"/>
  <c r="BE635" i="2"/>
  <c r="BE636" i="2"/>
  <c r="BE637" i="2"/>
  <c r="BE638" i="2"/>
  <c r="BE639" i="2"/>
  <c r="BE640" i="2"/>
  <c r="BE641" i="2"/>
  <c r="BE642" i="2"/>
  <c r="BE643" i="2"/>
  <c r="BE644" i="2"/>
  <c r="BE645" i="2"/>
  <c r="BE646" i="2"/>
  <c r="BE647" i="2"/>
  <c r="BE648" i="2"/>
  <c r="BE649" i="2"/>
  <c r="BE650" i="2"/>
  <c r="BE651" i="2"/>
  <c r="BE652" i="2"/>
  <c r="BE653" i="2"/>
  <c r="BE654" i="2"/>
  <c r="BE655" i="2"/>
  <c r="BE656" i="2"/>
  <c r="BE657" i="2"/>
  <c r="BE658" i="2"/>
  <c r="BE659" i="2"/>
  <c r="BE660" i="2"/>
  <c r="BE661" i="2"/>
  <c r="BE662" i="2"/>
  <c r="BE663" i="2"/>
  <c r="BE664" i="2"/>
  <c r="BE665" i="2"/>
  <c r="BE666" i="2"/>
  <c r="BE667" i="2"/>
  <c r="BE668" i="2"/>
  <c r="BE669" i="2"/>
  <c r="BE670" i="2"/>
  <c r="BE671" i="2"/>
  <c r="BE672" i="2"/>
  <c r="BE673" i="2"/>
  <c r="BE674" i="2"/>
  <c r="BE675" i="2"/>
  <c r="BE676" i="2"/>
  <c r="BE677" i="2"/>
  <c r="BE678" i="2"/>
  <c r="BE679" i="2"/>
  <c r="BE680" i="2"/>
  <c r="BE681" i="2"/>
  <c r="BE682" i="2"/>
  <c r="BE683" i="2"/>
  <c r="BE684" i="2"/>
  <c r="BE685" i="2"/>
  <c r="BE686" i="2"/>
  <c r="BE687" i="2"/>
  <c r="BE688" i="2"/>
  <c r="BE689" i="2"/>
  <c r="BE690" i="2"/>
  <c r="BE691" i="2"/>
  <c r="BE692" i="2"/>
  <c r="BE693" i="2"/>
  <c r="BE694" i="2"/>
  <c r="BE695" i="2"/>
  <c r="BE696" i="2"/>
  <c r="BE697" i="2"/>
  <c r="BE698" i="2"/>
  <c r="BE699" i="2"/>
  <c r="BE700" i="2"/>
  <c r="BE701" i="2"/>
  <c r="BE702" i="2"/>
  <c r="BE703" i="2"/>
  <c r="BE704" i="2"/>
  <c r="BE705" i="2"/>
  <c r="BE706" i="2"/>
  <c r="BE707" i="2"/>
  <c r="BE708" i="2"/>
  <c r="BE709" i="2"/>
  <c r="BE710" i="2"/>
  <c r="BE711" i="2"/>
  <c r="BE712" i="2"/>
  <c r="BE713" i="2"/>
  <c r="BE714" i="2"/>
  <c r="BE715" i="2"/>
  <c r="BE716" i="2"/>
  <c r="BE717" i="2"/>
  <c r="BE718" i="2"/>
  <c r="BE719" i="2"/>
  <c r="BE720" i="2"/>
  <c r="BE721" i="2"/>
  <c r="BE722" i="2"/>
  <c r="BE723" i="2"/>
  <c r="BE724" i="2"/>
  <c r="BE725" i="2"/>
  <c r="BE726" i="2"/>
  <c r="BE727" i="2"/>
  <c r="BE728" i="2"/>
  <c r="BE729" i="2"/>
  <c r="BE730" i="2"/>
  <c r="BE731" i="2"/>
  <c r="BE732" i="2"/>
  <c r="BE733" i="2"/>
  <c r="BE734" i="2"/>
  <c r="BE735" i="2"/>
  <c r="BE736" i="2"/>
  <c r="BE737" i="2"/>
  <c r="BE738" i="2"/>
  <c r="BE739" i="2"/>
  <c r="BE740" i="2"/>
  <c r="BE741" i="2"/>
  <c r="BE742" i="2"/>
  <c r="BE743" i="2"/>
  <c r="BE744" i="2"/>
  <c r="BE745" i="2"/>
  <c r="BE746" i="2"/>
  <c r="BE747" i="2"/>
  <c r="BE748" i="2"/>
  <c r="BE749" i="2"/>
  <c r="BE750" i="2"/>
  <c r="BE751" i="2"/>
  <c r="BE752" i="2"/>
  <c r="BE753" i="2"/>
  <c r="BE754" i="2"/>
  <c r="BE755" i="2"/>
  <c r="BE756" i="2"/>
  <c r="BE757" i="2"/>
  <c r="BE758" i="2"/>
  <c r="BE759" i="2"/>
  <c r="BE760" i="2"/>
  <c r="BE761" i="2"/>
  <c r="BE762" i="2"/>
  <c r="BE763" i="2"/>
  <c r="BE764" i="2"/>
  <c r="BE765" i="2"/>
  <c r="BE766" i="2"/>
  <c r="BE767" i="2"/>
  <c r="BE768" i="2"/>
  <c r="BE769" i="2"/>
  <c r="BE770" i="2"/>
  <c r="BE771" i="2"/>
  <c r="BE772" i="2"/>
  <c r="BE773" i="2"/>
  <c r="BE774" i="2"/>
  <c r="BE775" i="2"/>
  <c r="BE776" i="2"/>
  <c r="BE777" i="2"/>
  <c r="BE778" i="2"/>
  <c r="BE779" i="2"/>
  <c r="BE780" i="2"/>
  <c r="BE781" i="2"/>
  <c r="BE782" i="2"/>
  <c r="BE783" i="2"/>
  <c r="BE784" i="2"/>
  <c r="BE785" i="2"/>
  <c r="BE786" i="2"/>
  <c r="BE787" i="2"/>
  <c r="BE788" i="2"/>
  <c r="BE789" i="2"/>
  <c r="BE790" i="2"/>
  <c r="BE791" i="2"/>
  <c r="BE792" i="2"/>
  <c r="BE793" i="2"/>
  <c r="BE794" i="2"/>
  <c r="BE795" i="2"/>
  <c r="BE796" i="2"/>
  <c r="BE797" i="2"/>
  <c r="BE798" i="2"/>
  <c r="BE799" i="2"/>
  <c r="BE800" i="2"/>
  <c r="BE801" i="2"/>
  <c r="BE802" i="2"/>
  <c r="BE803" i="2"/>
  <c r="BE804" i="2"/>
  <c r="BE805" i="2"/>
  <c r="BE806" i="2"/>
  <c r="BE807" i="2"/>
  <c r="BE808" i="2"/>
  <c r="BE809" i="2"/>
  <c r="BE810" i="2"/>
  <c r="BE811" i="2"/>
  <c r="BE812" i="2"/>
  <c r="BE813" i="2"/>
  <c r="BE814" i="2"/>
  <c r="BE815" i="2"/>
  <c r="BE816" i="2"/>
  <c r="BE817" i="2"/>
  <c r="BE818" i="2"/>
  <c r="BE819" i="2"/>
  <c r="BE820" i="2"/>
  <c r="BE821" i="2"/>
  <c r="BE822" i="2"/>
  <c r="BE823" i="2"/>
  <c r="BE824" i="2"/>
  <c r="BE825" i="2"/>
  <c r="BE826" i="2"/>
  <c r="BE827" i="2"/>
  <c r="BE828" i="2"/>
  <c r="BE829" i="2"/>
  <c r="BE830" i="2"/>
  <c r="BE831" i="2"/>
  <c r="BE832" i="2"/>
  <c r="BE833" i="2"/>
  <c r="BE834" i="2"/>
  <c r="BE835" i="2"/>
  <c r="BE836" i="2"/>
  <c r="BE837" i="2"/>
  <c r="BE838" i="2"/>
  <c r="BE839" i="2"/>
  <c r="BE840" i="2"/>
  <c r="BE841" i="2"/>
  <c r="BE842" i="2"/>
  <c r="BE843" i="2"/>
  <c r="BE844" i="2"/>
  <c r="BE845" i="2"/>
  <c r="BE846" i="2"/>
  <c r="BE847" i="2"/>
  <c r="BE848" i="2"/>
  <c r="BE849" i="2"/>
  <c r="BE850" i="2"/>
  <c r="BE851" i="2"/>
  <c r="BE852" i="2"/>
  <c r="BE853" i="2"/>
  <c r="BE854" i="2"/>
  <c r="BE855" i="2"/>
  <c r="BE856" i="2"/>
  <c r="BE857" i="2"/>
  <c r="BE858" i="2"/>
  <c r="BE859" i="2"/>
  <c r="BE860" i="2"/>
  <c r="BE861" i="2"/>
  <c r="BE862" i="2"/>
  <c r="BE863" i="2"/>
  <c r="BE864" i="2"/>
  <c r="BE865" i="2"/>
  <c r="BE866" i="2"/>
  <c r="BE867" i="2"/>
  <c r="BE868" i="2"/>
  <c r="BE869" i="2"/>
  <c r="BE870" i="2"/>
  <c r="BE871" i="2"/>
  <c r="BE872" i="2"/>
  <c r="BE873" i="2"/>
  <c r="BE874" i="2"/>
  <c r="BE875" i="2"/>
  <c r="BE876" i="2"/>
  <c r="BE877" i="2"/>
  <c r="BE878" i="2"/>
  <c r="BE879" i="2"/>
  <c r="BE880" i="2"/>
  <c r="BE881" i="2"/>
  <c r="BE882" i="2"/>
  <c r="BE883" i="2"/>
  <c r="BE884" i="2"/>
  <c r="BE885" i="2"/>
  <c r="BE886" i="2"/>
  <c r="BE887" i="2"/>
  <c r="BE888" i="2"/>
  <c r="BE889" i="2"/>
  <c r="BE890" i="2"/>
  <c r="BE891" i="2"/>
  <c r="BE892" i="2"/>
  <c r="BE893" i="2"/>
  <c r="BE894" i="2"/>
  <c r="BE895" i="2"/>
  <c r="BE896" i="2"/>
  <c r="BE897" i="2"/>
  <c r="BE898" i="2"/>
  <c r="BE899" i="2"/>
  <c r="BE900" i="2"/>
  <c r="BE901" i="2"/>
  <c r="BE902" i="2"/>
  <c r="BE903" i="2"/>
  <c r="BE904" i="2"/>
  <c r="BE905" i="2"/>
  <c r="BE906" i="2"/>
  <c r="BE907" i="2"/>
  <c r="BE908" i="2"/>
  <c r="BE909" i="2"/>
  <c r="BE910" i="2"/>
  <c r="BE911" i="2"/>
  <c r="BE912" i="2"/>
  <c r="BE913" i="2"/>
  <c r="BE914" i="2"/>
  <c r="BE915" i="2"/>
  <c r="BE916" i="2"/>
  <c r="BE917" i="2"/>
  <c r="BE918" i="2"/>
  <c r="BE919" i="2"/>
  <c r="BE920" i="2"/>
  <c r="BE921" i="2"/>
  <c r="BE922" i="2"/>
  <c r="BE923" i="2"/>
  <c r="BE924" i="2"/>
  <c r="BE925" i="2"/>
  <c r="BE926" i="2"/>
  <c r="BE927" i="2"/>
  <c r="BE928" i="2"/>
  <c r="BE929" i="2"/>
  <c r="BE930" i="2"/>
  <c r="BE931" i="2"/>
  <c r="BE932" i="2"/>
  <c r="BE933" i="2"/>
  <c r="BE934" i="2"/>
  <c r="BE935" i="2"/>
  <c r="BE936" i="2"/>
  <c r="BE937" i="2"/>
  <c r="BE938" i="2"/>
  <c r="BE939" i="2"/>
  <c r="BE940" i="2"/>
  <c r="BE941" i="2"/>
  <c r="BE942" i="2"/>
  <c r="BE943" i="2"/>
  <c r="BE944" i="2"/>
  <c r="BE945" i="2"/>
  <c r="BE946" i="2"/>
  <c r="BE947" i="2"/>
  <c r="BE948" i="2"/>
  <c r="BE949" i="2"/>
  <c r="BE950" i="2"/>
  <c r="BE951" i="2"/>
  <c r="BE952" i="2"/>
  <c r="BE953" i="2"/>
  <c r="BE954" i="2"/>
  <c r="BE955" i="2"/>
  <c r="BE956" i="2"/>
  <c r="BE957" i="2"/>
  <c r="BE958" i="2"/>
  <c r="BE959" i="2"/>
  <c r="BE960" i="2"/>
  <c r="BE961" i="2"/>
  <c r="BE962" i="2"/>
  <c r="BE963" i="2"/>
  <c r="BE964" i="2"/>
  <c r="BE965" i="2"/>
  <c r="BE966" i="2"/>
  <c r="BE967" i="2"/>
  <c r="BE968" i="2"/>
  <c r="BE969" i="2"/>
  <c r="BE970" i="2"/>
  <c r="BE971" i="2"/>
  <c r="BE972" i="2"/>
  <c r="BE973" i="2"/>
  <c r="BE974" i="2"/>
  <c r="BE975" i="2"/>
  <c r="BE976" i="2"/>
  <c r="BE977" i="2"/>
  <c r="BE978" i="2"/>
  <c r="BE979" i="2"/>
  <c r="BE980" i="2"/>
  <c r="BE981" i="2"/>
  <c r="BE982" i="2"/>
  <c r="BE983" i="2"/>
  <c r="BE984" i="2"/>
  <c r="BE985" i="2"/>
  <c r="BE986" i="2"/>
  <c r="BE987" i="2"/>
  <c r="BE988" i="2"/>
  <c r="BE989" i="2"/>
  <c r="BE990" i="2"/>
  <c r="BE991" i="2"/>
  <c r="BE992" i="2"/>
  <c r="BE993" i="2"/>
  <c r="BE994" i="2"/>
  <c r="BE995" i="2"/>
  <c r="BE996" i="2"/>
  <c r="BE997" i="2"/>
  <c r="BE998" i="2"/>
  <c r="BE999" i="2"/>
  <c r="BE1000" i="2"/>
  <c r="BE1001" i="2"/>
  <c r="BE1002" i="2"/>
  <c r="BE1003" i="2"/>
  <c r="BE1004" i="2"/>
  <c r="BE1005" i="2"/>
  <c r="BE1006" i="2"/>
  <c r="BE1007" i="2"/>
  <c r="BE1008" i="2"/>
  <c r="BE1009" i="2"/>
  <c r="BE1010" i="2"/>
  <c r="BE1011" i="2"/>
  <c r="BE1012" i="2"/>
  <c r="BE1013" i="2"/>
  <c r="BE1014" i="2"/>
  <c r="BE1015" i="2"/>
  <c r="BE1016" i="2"/>
  <c r="BE1017" i="2"/>
  <c r="BE1018" i="2"/>
  <c r="BE1019" i="2"/>
  <c r="BE1020" i="2"/>
  <c r="BE1021" i="2"/>
  <c r="BE1022" i="2"/>
  <c r="BE1023" i="2"/>
  <c r="BE1024" i="2"/>
  <c r="BE1025" i="2"/>
  <c r="BE1026" i="2"/>
  <c r="BE1027" i="2"/>
  <c r="BE1028" i="2"/>
  <c r="BE1029" i="2"/>
  <c r="BE1030" i="2"/>
  <c r="BE1031" i="2"/>
  <c r="BE1032" i="2"/>
  <c r="BE1033" i="2"/>
  <c r="BE1034" i="2"/>
  <c r="BE1035" i="2"/>
  <c r="BE1036" i="2"/>
  <c r="BE1037" i="2"/>
  <c r="BE1038" i="2"/>
  <c r="BE1039" i="2"/>
  <c r="BE1040" i="2"/>
  <c r="BE1041" i="2"/>
  <c r="BE1042" i="2"/>
  <c r="BE1043" i="2"/>
  <c r="BE1044" i="2"/>
  <c r="BE1045" i="2"/>
  <c r="BE1046" i="2"/>
  <c r="BE1047" i="2"/>
  <c r="BE1048" i="2"/>
  <c r="BE1049" i="2"/>
  <c r="BE1050" i="2"/>
  <c r="BE1051" i="2"/>
  <c r="BE1052" i="2"/>
  <c r="BE1053" i="2"/>
  <c r="BE1054" i="2"/>
  <c r="BE1055" i="2"/>
  <c r="BE1056" i="2"/>
  <c r="BE1057" i="2"/>
  <c r="BE1058" i="2"/>
  <c r="BE1059" i="2"/>
  <c r="BE1060" i="2"/>
  <c r="BE1061" i="2"/>
  <c r="BE1062" i="2"/>
  <c r="BE1063" i="2"/>
  <c r="BE1064" i="2"/>
  <c r="BE1065" i="2"/>
  <c r="BE1066" i="2"/>
  <c r="BE1067" i="2"/>
  <c r="BE1068" i="2"/>
  <c r="BE1069" i="2"/>
  <c r="BE1070" i="2"/>
  <c r="BE1071" i="2"/>
  <c r="BE1072" i="2"/>
  <c r="BE1073" i="2"/>
  <c r="BE1074" i="2"/>
  <c r="BE1075" i="2"/>
  <c r="BE1076" i="2"/>
  <c r="BE1077" i="2"/>
  <c r="BE1078" i="2"/>
  <c r="BE1079" i="2"/>
  <c r="BE1080" i="2"/>
  <c r="BE1081" i="2"/>
  <c r="BE1082" i="2"/>
  <c r="BE1083" i="2"/>
  <c r="BE1084" i="2"/>
  <c r="BE1085" i="2"/>
  <c r="BE1086" i="2"/>
  <c r="BE1087" i="2"/>
  <c r="BE1088" i="2"/>
  <c r="BE1089" i="2"/>
  <c r="BE1090" i="2"/>
  <c r="BE1091" i="2"/>
  <c r="BE1092" i="2"/>
  <c r="BE1093" i="2"/>
  <c r="BE1094" i="2"/>
  <c r="BE1095" i="2"/>
  <c r="BE1096" i="2"/>
  <c r="BE1097" i="2"/>
  <c r="BE2" i="2"/>
  <c r="AZ3" i="2"/>
  <c r="AZ4" i="2"/>
  <c r="AZ5" i="2"/>
  <c r="AZ6" i="2"/>
  <c r="AZ7" i="2"/>
  <c r="AZ8" i="2"/>
  <c r="AZ9" i="2"/>
  <c r="AZ10" i="2"/>
  <c r="AZ11" i="2"/>
  <c r="AZ12" i="2"/>
  <c r="AZ13" i="2"/>
  <c r="AZ14" i="2"/>
  <c r="AZ15" i="2"/>
  <c r="AZ16" i="2"/>
  <c r="AZ17" i="2"/>
  <c r="AZ18" i="2"/>
  <c r="AZ19" i="2"/>
  <c r="AZ20" i="2"/>
  <c r="AZ21" i="2"/>
  <c r="AZ22" i="2"/>
  <c r="AZ23" i="2"/>
  <c r="AZ24" i="2"/>
  <c r="AZ25" i="2"/>
  <c r="AZ26" i="2"/>
  <c r="AZ27" i="2"/>
  <c r="AZ28" i="2"/>
  <c r="AZ29" i="2"/>
  <c r="AZ30" i="2"/>
  <c r="AZ31" i="2"/>
  <c r="AZ32" i="2"/>
  <c r="AZ33" i="2"/>
  <c r="AZ34" i="2"/>
  <c r="AZ35" i="2"/>
  <c r="AZ36" i="2"/>
  <c r="AZ37" i="2"/>
  <c r="AZ38" i="2"/>
  <c r="AZ39" i="2"/>
  <c r="AZ40" i="2"/>
  <c r="AZ41" i="2"/>
  <c r="AZ42" i="2"/>
  <c r="AZ43" i="2"/>
  <c r="AZ44" i="2"/>
  <c r="AZ45" i="2"/>
  <c r="AZ46" i="2"/>
  <c r="AZ47" i="2"/>
  <c r="AZ48" i="2"/>
  <c r="AZ49" i="2"/>
  <c r="AZ50" i="2"/>
  <c r="AZ51" i="2"/>
  <c r="AZ52" i="2"/>
  <c r="AZ53" i="2"/>
  <c r="AZ54" i="2"/>
  <c r="AZ55" i="2"/>
  <c r="AZ56" i="2"/>
  <c r="AZ57" i="2"/>
  <c r="AZ58" i="2"/>
  <c r="AZ59" i="2"/>
  <c r="AZ60" i="2"/>
  <c r="AZ61" i="2"/>
  <c r="AZ62" i="2"/>
  <c r="AZ63" i="2"/>
  <c r="AZ64" i="2"/>
  <c r="AZ65" i="2"/>
  <c r="AZ66" i="2"/>
  <c r="AZ67" i="2"/>
  <c r="AZ68" i="2"/>
  <c r="AZ69" i="2"/>
  <c r="AZ70" i="2"/>
  <c r="AZ71" i="2"/>
  <c r="AZ72" i="2"/>
  <c r="AZ73" i="2"/>
  <c r="AZ74" i="2"/>
  <c r="AZ75" i="2"/>
  <c r="AZ76" i="2"/>
  <c r="AZ77" i="2"/>
  <c r="AZ78" i="2"/>
  <c r="AZ79" i="2"/>
  <c r="AZ80" i="2"/>
  <c r="AZ81" i="2"/>
  <c r="AZ82" i="2"/>
  <c r="AZ83" i="2"/>
  <c r="AZ84" i="2"/>
  <c r="AZ85" i="2"/>
  <c r="AZ86" i="2"/>
  <c r="AZ87" i="2"/>
  <c r="AZ88" i="2"/>
  <c r="AZ89" i="2"/>
  <c r="AZ90" i="2"/>
  <c r="AZ91" i="2"/>
  <c r="AZ92" i="2"/>
  <c r="AZ93" i="2"/>
  <c r="AZ94" i="2"/>
  <c r="AZ95" i="2"/>
  <c r="AZ96" i="2"/>
  <c r="AZ97" i="2"/>
  <c r="AZ98" i="2"/>
  <c r="AZ99" i="2"/>
  <c r="AZ100" i="2"/>
  <c r="AZ101" i="2"/>
  <c r="AZ102" i="2"/>
  <c r="AZ103" i="2"/>
  <c r="AZ104" i="2"/>
  <c r="AZ105" i="2"/>
  <c r="AZ106" i="2"/>
  <c r="AZ107" i="2"/>
  <c r="AZ108" i="2"/>
  <c r="AZ109" i="2"/>
  <c r="AZ110" i="2"/>
  <c r="AZ111" i="2"/>
  <c r="AZ112" i="2"/>
  <c r="AZ113" i="2"/>
  <c r="AZ114" i="2"/>
  <c r="AZ115" i="2"/>
  <c r="AZ116" i="2"/>
  <c r="AZ117" i="2"/>
  <c r="AZ118" i="2"/>
  <c r="AZ119" i="2"/>
  <c r="AZ120" i="2"/>
  <c r="AZ121" i="2"/>
  <c r="AZ122" i="2"/>
  <c r="AZ123" i="2"/>
  <c r="AZ124" i="2"/>
  <c r="AZ125" i="2"/>
  <c r="AZ126" i="2"/>
  <c r="AZ127" i="2"/>
  <c r="AZ128" i="2"/>
  <c r="AZ129" i="2"/>
  <c r="AZ130" i="2"/>
  <c r="AZ131" i="2"/>
  <c r="AZ132" i="2"/>
  <c r="AZ133" i="2"/>
  <c r="AZ134" i="2"/>
  <c r="AZ135" i="2"/>
  <c r="AZ136" i="2"/>
  <c r="AZ137" i="2"/>
  <c r="AZ138" i="2"/>
  <c r="AZ139" i="2"/>
  <c r="AZ140" i="2"/>
  <c r="AZ141" i="2"/>
  <c r="AZ142" i="2"/>
  <c r="AZ143" i="2"/>
  <c r="AZ144" i="2"/>
  <c r="AZ145" i="2"/>
  <c r="AZ146" i="2"/>
  <c r="AZ147" i="2"/>
  <c r="AZ148" i="2"/>
  <c r="AZ149" i="2"/>
  <c r="AZ150" i="2"/>
  <c r="AZ151" i="2"/>
  <c r="AZ152" i="2"/>
  <c r="AZ153" i="2"/>
  <c r="AZ154" i="2"/>
  <c r="AZ155" i="2"/>
  <c r="AZ156" i="2"/>
  <c r="AZ157" i="2"/>
  <c r="AZ158" i="2"/>
  <c r="AZ159" i="2"/>
  <c r="AZ160" i="2"/>
  <c r="AZ161" i="2"/>
  <c r="AZ162" i="2"/>
  <c r="AZ163" i="2"/>
  <c r="AZ164" i="2"/>
  <c r="AZ165" i="2"/>
  <c r="AZ166" i="2"/>
  <c r="AZ167" i="2"/>
  <c r="AZ168" i="2"/>
  <c r="AZ169" i="2"/>
  <c r="AZ170" i="2"/>
  <c r="AZ171" i="2"/>
  <c r="AZ172" i="2"/>
  <c r="AZ173" i="2"/>
  <c r="AZ174" i="2"/>
  <c r="AZ175" i="2"/>
  <c r="AZ176" i="2"/>
  <c r="AZ177" i="2"/>
  <c r="AZ178" i="2"/>
  <c r="AZ179" i="2"/>
  <c r="AZ180" i="2"/>
  <c r="AZ181" i="2"/>
  <c r="AZ182" i="2"/>
  <c r="AZ183" i="2"/>
  <c r="AZ184" i="2"/>
  <c r="AZ185" i="2"/>
  <c r="AZ186" i="2"/>
  <c r="AZ187" i="2"/>
  <c r="AZ188" i="2"/>
  <c r="AZ189" i="2"/>
  <c r="AZ190" i="2"/>
  <c r="AZ191" i="2"/>
  <c r="AZ192" i="2"/>
  <c r="AZ193" i="2"/>
  <c r="AZ194" i="2"/>
  <c r="AZ195" i="2"/>
  <c r="AZ196" i="2"/>
  <c r="AZ197" i="2"/>
  <c r="AZ198" i="2"/>
  <c r="AZ199" i="2"/>
  <c r="AZ200" i="2"/>
  <c r="AZ201" i="2"/>
  <c r="AZ202" i="2"/>
  <c r="AZ203" i="2"/>
  <c r="AZ204" i="2"/>
  <c r="AZ205" i="2"/>
  <c r="AZ206" i="2"/>
  <c r="AZ207" i="2"/>
  <c r="AZ208" i="2"/>
  <c r="AZ209" i="2"/>
  <c r="AZ210" i="2"/>
  <c r="AZ211" i="2"/>
  <c r="AZ212" i="2"/>
  <c r="AZ213" i="2"/>
  <c r="AZ214" i="2"/>
  <c r="AZ215" i="2"/>
  <c r="AZ216" i="2"/>
  <c r="AZ217" i="2"/>
  <c r="AZ218" i="2"/>
  <c r="AZ219" i="2"/>
  <c r="AZ220" i="2"/>
  <c r="AZ221" i="2"/>
  <c r="AZ222" i="2"/>
  <c r="AZ223" i="2"/>
  <c r="AZ224" i="2"/>
  <c r="AZ225" i="2"/>
  <c r="AZ226" i="2"/>
  <c r="AZ227" i="2"/>
  <c r="AZ228" i="2"/>
  <c r="AZ229" i="2"/>
  <c r="AZ230" i="2"/>
  <c r="AZ231" i="2"/>
  <c r="AZ232" i="2"/>
  <c r="AZ233" i="2"/>
  <c r="AZ234" i="2"/>
  <c r="AZ235" i="2"/>
  <c r="AZ236" i="2"/>
  <c r="AZ237" i="2"/>
  <c r="AZ238" i="2"/>
  <c r="AZ239" i="2"/>
  <c r="AZ240" i="2"/>
  <c r="AZ241" i="2"/>
  <c r="AZ242" i="2"/>
  <c r="AZ243" i="2"/>
  <c r="AZ244" i="2"/>
  <c r="AZ245" i="2"/>
  <c r="AZ246" i="2"/>
  <c r="AZ247" i="2"/>
  <c r="AZ248" i="2"/>
  <c r="AZ249" i="2"/>
  <c r="AZ250" i="2"/>
  <c r="AZ251" i="2"/>
  <c r="AZ252" i="2"/>
  <c r="AZ253" i="2"/>
  <c r="AZ254" i="2"/>
  <c r="AZ255" i="2"/>
  <c r="AZ256" i="2"/>
  <c r="AZ257" i="2"/>
  <c r="AZ258" i="2"/>
  <c r="AZ259" i="2"/>
  <c r="AZ260" i="2"/>
  <c r="AZ261" i="2"/>
  <c r="AZ262" i="2"/>
  <c r="AZ263" i="2"/>
  <c r="AZ264" i="2"/>
  <c r="AZ265" i="2"/>
  <c r="AZ266" i="2"/>
  <c r="AZ267" i="2"/>
  <c r="AZ268" i="2"/>
  <c r="AZ269" i="2"/>
  <c r="AZ270" i="2"/>
  <c r="AZ271" i="2"/>
  <c r="AZ272" i="2"/>
  <c r="AZ273" i="2"/>
  <c r="AZ274" i="2"/>
  <c r="AZ275" i="2"/>
  <c r="AZ276" i="2"/>
  <c r="AZ277" i="2"/>
  <c r="AZ278" i="2"/>
  <c r="AZ279" i="2"/>
  <c r="AZ280" i="2"/>
  <c r="AZ281" i="2"/>
  <c r="AZ282" i="2"/>
  <c r="AZ283" i="2"/>
  <c r="AZ284" i="2"/>
  <c r="AZ285" i="2"/>
  <c r="AZ286" i="2"/>
  <c r="AZ287" i="2"/>
  <c r="AZ288" i="2"/>
  <c r="AZ289" i="2"/>
  <c r="AZ290" i="2"/>
  <c r="AZ291" i="2"/>
  <c r="AZ292" i="2"/>
  <c r="AZ293" i="2"/>
  <c r="AZ294" i="2"/>
  <c r="AZ295" i="2"/>
  <c r="AZ296" i="2"/>
  <c r="AZ297" i="2"/>
  <c r="AZ298" i="2"/>
  <c r="AZ299" i="2"/>
  <c r="AZ300" i="2"/>
  <c r="AZ301" i="2"/>
  <c r="AZ302" i="2"/>
  <c r="AZ303" i="2"/>
  <c r="AZ304" i="2"/>
  <c r="AZ305" i="2"/>
  <c r="AZ306" i="2"/>
  <c r="AZ307" i="2"/>
  <c r="AZ308" i="2"/>
  <c r="AZ309" i="2"/>
  <c r="AZ310" i="2"/>
  <c r="AZ311" i="2"/>
  <c r="AZ312" i="2"/>
  <c r="AZ313" i="2"/>
  <c r="AZ314" i="2"/>
  <c r="AZ315" i="2"/>
  <c r="AZ316" i="2"/>
  <c r="AZ317" i="2"/>
  <c r="AZ318" i="2"/>
  <c r="AZ319" i="2"/>
  <c r="AZ320" i="2"/>
  <c r="AZ321" i="2"/>
  <c r="AZ322" i="2"/>
  <c r="AZ323" i="2"/>
  <c r="AZ324" i="2"/>
  <c r="AZ325" i="2"/>
  <c r="AZ326" i="2"/>
  <c r="AZ327" i="2"/>
  <c r="AZ328" i="2"/>
  <c r="AZ329" i="2"/>
  <c r="AZ330" i="2"/>
  <c r="AZ331" i="2"/>
  <c r="AZ332" i="2"/>
  <c r="AZ333" i="2"/>
  <c r="AZ334" i="2"/>
  <c r="AZ335" i="2"/>
  <c r="AZ336" i="2"/>
  <c r="AZ337" i="2"/>
  <c r="AZ338" i="2"/>
  <c r="AZ339" i="2"/>
  <c r="AZ340" i="2"/>
  <c r="AZ341" i="2"/>
  <c r="AZ342" i="2"/>
  <c r="AZ343" i="2"/>
  <c r="AZ344" i="2"/>
  <c r="AZ345" i="2"/>
  <c r="AZ346" i="2"/>
  <c r="AZ347" i="2"/>
  <c r="AZ348" i="2"/>
  <c r="AZ349" i="2"/>
  <c r="AZ350" i="2"/>
  <c r="AZ351" i="2"/>
  <c r="AZ352" i="2"/>
  <c r="AZ353" i="2"/>
  <c r="AZ354" i="2"/>
  <c r="AZ355" i="2"/>
  <c r="AZ356" i="2"/>
  <c r="AZ357" i="2"/>
  <c r="AZ358" i="2"/>
  <c r="AZ359" i="2"/>
  <c r="AZ360" i="2"/>
  <c r="AZ361" i="2"/>
  <c r="AZ362" i="2"/>
  <c r="AZ363" i="2"/>
  <c r="AZ364" i="2"/>
  <c r="AZ365" i="2"/>
  <c r="AZ366" i="2"/>
  <c r="AZ367" i="2"/>
  <c r="AZ368" i="2"/>
  <c r="AZ369" i="2"/>
  <c r="AZ370" i="2"/>
  <c r="AZ371" i="2"/>
  <c r="AZ372" i="2"/>
  <c r="AZ373" i="2"/>
  <c r="AZ374" i="2"/>
  <c r="AZ375" i="2"/>
  <c r="AZ376" i="2"/>
  <c r="AZ377" i="2"/>
  <c r="AZ378" i="2"/>
  <c r="AZ379" i="2"/>
  <c r="AZ380" i="2"/>
  <c r="AZ381" i="2"/>
  <c r="AZ382" i="2"/>
  <c r="AZ383" i="2"/>
  <c r="AZ384" i="2"/>
  <c r="AZ385" i="2"/>
  <c r="AZ386" i="2"/>
  <c r="AZ387" i="2"/>
  <c r="AZ388" i="2"/>
  <c r="AZ389" i="2"/>
  <c r="AZ390" i="2"/>
  <c r="AZ391" i="2"/>
  <c r="AZ392" i="2"/>
  <c r="AZ393" i="2"/>
  <c r="AZ394" i="2"/>
  <c r="AZ395" i="2"/>
  <c r="AZ396" i="2"/>
  <c r="AZ397" i="2"/>
  <c r="AZ398" i="2"/>
  <c r="AZ399" i="2"/>
  <c r="AZ400" i="2"/>
  <c r="AZ401" i="2"/>
  <c r="AZ402" i="2"/>
  <c r="AZ403" i="2"/>
  <c r="AZ404" i="2"/>
  <c r="AZ405" i="2"/>
  <c r="AZ406" i="2"/>
  <c r="AZ407" i="2"/>
  <c r="AZ408" i="2"/>
  <c r="AZ409" i="2"/>
  <c r="AZ410" i="2"/>
  <c r="AZ411" i="2"/>
  <c r="AZ412" i="2"/>
  <c r="AZ413" i="2"/>
  <c r="AZ414" i="2"/>
  <c r="AZ415" i="2"/>
  <c r="AZ416" i="2"/>
  <c r="AZ417" i="2"/>
  <c r="AZ418" i="2"/>
  <c r="AZ419" i="2"/>
  <c r="AZ420" i="2"/>
  <c r="AZ421" i="2"/>
  <c r="AZ422" i="2"/>
  <c r="AZ423" i="2"/>
  <c r="AZ424" i="2"/>
  <c r="AZ425" i="2"/>
  <c r="AZ426" i="2"/>
  <c r="AZ427" i="2"/>
  <c r="AZ428" i="2"/>
  <c r="AZ429" i="2"/>
  <c r="AZ430" i="2"/>
  <c r="AZ431" i="2"/>
  <c r="AZ432" i="2"/>
  <c r="AZ433" i="2"/>
  <c r="AZ434" i="2"/>
  <c r="AZ435" i="2"/>
  <c r="AZ436" i="2"/>
  <c r="AZ437" i="2"/>
  <c r="AZ438" i="2"/>
  <c r="AZ439" i="2"/>
  <c r="AZ440" i="2"/>
  <c r="AZ441" i="2"/>
  <c r="AZ442" i="2"/>
  <c r="AZ443" i="2"/>
  <c r="AZ444" i="2"/>
  <c r="AZ445" i="2"/>
  <c r="AZ446" i="2"/>
  <c r="AZ447" i="2"/>
  <c r="AZ448" i="2"/>
  <c r="AZ449" i="2"/>
  <c r="AZ450" i="2"/>
  <c r="AZ451" i="2"/>
  <c r="AZ452" i="2"/>
  <c r="AZ453" i="2"/>
  <c r="AZ454" i="2"/>
  <c r="AZ455" i="2"/>
  <c r="AZ456" i="2"/>
  <c r="AZ457" i="2"/>
  <c r="AZ458" i="2"/>
  <c r="AZ459" i="2"/>
  <c r="AZ460" i="2"/>
  <c r="AZ461" i="2"/>
  <c r="AZ462" i="2"/>
  <c r="AZ463" i="2"/>
  <c r="AZ464" i="2"/>
  <c r="AZ465" i="2"/>
  <c r="AZ466" i="2"/>
  <c r="AZ467" i="2"/>
  <c r="AZ468" i="2"/>
  <c r="AZ469" i="2"/>
  <c r="AZ470" i="2"/>
  <c r="AZ471" i="2"/>
  <c r="AZ472" i="2"/>
  <c r="AZ473" i="2"/>
  <c r="AZ474" i="2"/>
  <c r="AZ475" i="2"/>
  <c r="AZ476" i="2"/>
  <c r="AZ477" i="2"/>
  <c r="AZ478" i="2"/>
  <c r="AZ479" i="2"/>
  <c r="AZ480" i="2"/>
  <c r="AZ481" i="2"/>
  <c r="AZ482" i="2"/>
  <c r="AZ483" i="2"/>
  <c r="AZ484" i="2"/>
  <c r="AZ485" i="2"/>
  <c r="AZ486" i="2"/>
  <c r="AZ487" i="2"/>
  <c r="AZ488" i="2"/>
  <c r="AZ489" i="2"/>
  <c r="AZ490" i="2"/>
  <c r="AZ491" i="2"/>
  <c r="AZ492" i="2"/>
  <c r="AZ493" i="2"/>
  <c r="AZ494" i="2"/>
  <c r="AZ495" i="2"/>
  <c r="AZ496" i="2"/>
  <c r="AZ497" i="2"/>
  <c r="AZ498" i="2"/>
  <c r="AZ499" i="2"/>
  <c r="AZ500" i="2"/>
  <c r="AZ501" i="2"/>
  <c r="AZ502" i="2"/>
  <c r="AZ503" i="2"/>
  <c r="AZ504" i="2"/>
  <c r="AZ505" i="2"/>
  <c r="AZ506" i="2"/>
  <c r="AZ507" i="2"/>
  <c r="AZ508" i="2"/>
  <c r="AZ509" i="2"/>
  <c r="AZ510" i="2"/>
  <c r="AZ511" i="2"/>
  <c r="AZ512" i="2"/>
  <c r="AZ513" i="2"/>
  <c r="AZ514" i="2"/>
  <c r="AZ515" i="2"/>
  <c r="AZ516" i="2"/>
  <c r="AZ517" i="2"/>
  <c r="AZ518" i="2"/>
  <c r="AZ519" i="2"/>
  <c r="AZ520" i="2"/>
  <c r="AZ521" i="2"/>
  <c r="AZ522" i="2"/>
  <c r="AZ523" i="2"/>
  <c r="AZ524" i="2"/>
  <c r="AZ525" i="2"/>
  <c r="AZ526" i="2"/>
  <c r="AZ527" i="2"/>
  <c r="AZ528" i="2"/>
  <c r="AZ529" i="2"/>
  <c r="AZ530" i="2"/>
  <c r="AZ531" i="2"/>
  <c r="AZ532" i="2"/>
  <c r="AZ533" i="2"/>
  <c r="AZ534" i="2"/>
  <c r="AZ535" i="2"/>
  <c r="AZ536" i="2"/>
  <c r="AZ537" i="2"/>
  <c r="AZ538" i="2"/>
  <c r="AZ539" i="2"/>
  <c r="AZ540" i="2"/>
  <c r="AZ541" i="2"/>
  <c r="AZ542" i="2"/>
  <c r="AZ543" i="2"/>
  <c r="AZ544" i="2"/>
  <c r="AZ545" i="2"/>
  <c r="AZ546" i="2"/>
  <c r="AZ547" i="2"/>
  <c r="AZ548" i="2"/>
  <c r="AZ549" i="2"/>
  <c r="AZ550" i="2"/>
  <c r="AZ551" i="2"/>
  <c r="AZ552" i="2"/>
  <c r="AZ553" i="2"/>
  <c r="AZ554" i="2"/>
  <c r="AZ555" i="2"/>
  <c r="AZ556" i="2"/>
  <c r="AZ557" i="2"/>
  <c r="AZ558" i="2"/>
  <c r="AZ559" i="2"/>
  <c r="AZ560" i="2"/>
  <c r="AZ561" i="2"/>
  <c r="AZ562" i="2"/>
  <c r="AZ563" i="2"/>
  <c r="AZ564" i="2"/>
  <c r="AZ565" i="2"/>
  <c r="AZ566" i="2"/>
  <c r="AZ567" i="2"/>
  <c r="AZ568" i="2"/>
  <c r="AZ569" i="2"/>
  <c r="AZ570" i="2"/>
  <c r="AZ571" i="2"/>
  <c r="AZ572" i="2"/>
  <c r="AZ573" i="2"/>
  <c r="AZ574" i="2"/>
  <c r="AZ575" i="2"/>
  <c r="AZ576" i="2"/>
  <c r="AZ577" i="2"/>
  <c r="AZ578" i="2"/>
  <c r="AZ579" i="2"/>
  <c r="AZ580" i="2"/>
  <c r="AZ581" i="2"/>
  <c r="AZ582" i="2"/>
  <c r="AZ583" i="2"/>
  <c r="AZ584" i="2"/>
  <c r="AZ585" i="2"/>
  <c r="AZ586" i="2"/>
  <c r="AZ587" i="2"/>
  <c r="AZ588" i="2"/>
  <c r="AZ589" i="2"/>
  <c r="AZ590" i="2"/>
  <c r="AZ591" i="2"/>
  <c r="AZ592" i="2"/>
  <c r="AZ593" i="2"/>
  <c r="AZ594" i="2"/>
  <c r="AZ595" i="2"/>
  <c r="AZ596" i="2"/>
  <c r="AZ597" i="2"/>
  <c r="AZ598" i="2"/>
  <c r="AZ599" i="2"/>
  <c r="AZ600" i="2"/>
  <c r="AZ601" i="2"/>
  <c r="AZ602" i="2"/>
  <c r="AZ603" i="2"/>
  <c r="AZ604" i="2"/>
  <c r="AZ605" i="2"/>
  <c r="AZ606" i="2"/>
  <c r="AZ607" i="2"/>
  <c r="AZ608" i="2"/>
  <c r="AZ609" i="2"/>
  <c r="AZ610" i="2"/>
  <c r="AZ611" i="2"/>
  <c r="AZ612" i="2"/>
  <c r="AZ613" i="2"/>
  <c r="AZ614" i="2"/>
  <c r="AZ615" i="2"/>
  <c r="AZ616" i="2"/>
  <c r="AZ617" i="2"/>
  <c r="AZ618" i="2"/>
  <c r="AZ619" i="2"/>
  <c r="AZ620" i="2"/>
  <c r="AZ621" i="2"/>
  <c r="AZ622" i="2"/>
  <c r="AZ623" i="2"/>
  <c r="AZ624" i="2"/>
  <c r="AZ625" i="2"/>
  <c r="AZ626" i="2"/>
  <c r="AZ627" i="2"/>
  <c r="AZ628" i="2"/>
  <c r="AZ629" i="2"/>
  <c r="AZ630" i="2"/>
  <c r="AZ631" i="2"/>
  <c r="AZ632" i="2"/>
  <c r="AZ633" i="2"/>
  <c r="AZ634" i="2"/>
  <c r="AZ635" i="2"/>
  <c r="AZ636" i="2"/>
  <c r="AZ637" i="2"/>
  <c r="AZ638" i="2"/>
  <c r="AZ639" i="2"/>
  <c r="AZ640" i="2"/>
  <c r="AZ641" i="2"/>
  <c r="AZ642" i="2"/>
  <c r="AZ643" i="2"/>
  <c r="AZ644" i="2"/>
  <c r="AZ645" i="2"/>
  <c r="AZ646" i="2"/>
  <c r="AZ647" i="2"/>
  <c r="AZ648" i="2"/>
  <c r="AZ649" i="2"/>
  <c r="AZ650" i="2"/>
  <c r="AZ651" i="2"/>
  <c r="AZ652" i="2"/>
  <c r="AZ653" i="2"/>
  <c r="AZ654" i="2"/>
  <c r="AZ655" i="2"/>
  <c r="AZ656" i="2"/>
  <c r="AZ657" i="2"/>
  <c r="AZ658" i="2"/>
  <c r="AZ659" i="2"/>
  <c r="AZ660" i="2"/>
  <c r="AZ661" i="2"/>
  <c r="AZ662" i="2"/>
  <c r="AZ663" i="2"/>
  <c r="AZ664" i="2"/>
  <c r="AZ665" i="2"/>
  <c r="AZ666" i="2"/>
  <c r="AZ667" i="2"/>
  <c r="AZ668" i="2"/>
  <c r="AZ669" i="2"/>
  <c r="AZ670" i="2"/>
  <c r="AZ671" i="2"/>
  <c r="AZ672" i="2"/>
  <c r="AZ673" i="2"/>
  <c r="AZ674" i="2"/>
  <c r="AZ675" i="2"/>
  <c r="AZ676" i="2"/>
  <c r="AZ677" i="2"/>
  <c r="AZ678" i="2"/>
  <c r="AZ679" i="2"/>
  <c r="AZ680" i="2"/>
  <c r="AZ681" i="2"/>
  <c r="AZ682" i="2"/>
  <c r="AZ683" i="2"/>
  <c r="AZ684" i="2"/>
  <c r="AZ685" i="2"/>
  <c r="AZ686" i="2"/>
  <c r="AZ687" i="2"/>
  <c r="AZ688" i="2"/>
  <c r="AZ689" i="2"/>
  <c r="AZ690" i="2"/>
  <c r="AZ691" i="2"/>
  <c r="AZ692" i="2"/>
  <c r="AZ693" i="2"/>
  <c r="AZ694" i="2"/>
  <c r="AZ695" i="2"/>
  <c r="AZ696" i="2"/>
  <c r="AZ697" i="2"/>
  <c r="AZ698" i="2"/>
  <c r="AZ699" i="2"/>
  <c r="AZ700" i="2"/>
  <c r="AZ701" i="2"/>
  <c r="AZ702" i="2"/>
  <c r="AZ703" i="2"/>
  <c r="AZ704" i="2"/>
  <c r="AZ705" i="2"/>
  <c r="AZ706" i="2"/>
  <c r="AZ707" i="2"/>
  <c r="AZ708" i="2"/>
  <c r="AZ709" i="2"/>
  <c r="AZ710" i="2"/>
  <c r="AZ711" i="2"/>
  <c r="AZ712" i="2"/>
  <c r="AZ713" i="2"/>
  <c r="AZ714" i="2"/>
  <c r="AZ715" i="2"/>
  <c r="AZ716" i="2"/>
  <c r="AZ717" i="2"/>
  <c r="AZ718" i="2"/>
  <c r="AZ719" i="2"/>
  <c r="AZ720" i="2"/>
  <c r="AZ721" i="2"/>
  <c r="AZ722" i="2"/>
  <c r="AZ723" i="2"/>
  <c r="AZ724" i="2"/>
  <c r="AZ725" i="2"/>
  <c r="AZ726" i="2"/>
  <c r="AZ727" i="2"/>
  <c r="AZ728" i="2"/>
  <c r="AZ729" i="2"/>
  <c r="AZ730" i="2"/>
  <c r="AZ731" i="2"/>
  <c r="AZ732" i="2"/>
  <c r="AZ733" i="2"/>
  <c r="AZ734" i="2"/>
  <c r="AZ735" i="2"/>
  <c r="AZ736" i="2"/>
  <c r="AZ737" i="2"/>
  <c r="AZ738" i="2"/>
  <c r="AZ739" i="2"/>
  <c r="AZ740" i="2"/>
  <c r="AZ741" i="2"/>
  <c r="AZ742" i="2"/>
  <c r="AZ743" i="2"/>
  <c r="AZ744" i="2"/>
  <c r="AZ745" i="2"/>
  <c r="AZ746" i="2"/>
  <c r="AZ747" i="2"/>
  <c r="AZ748" i="2"/>
  <c r="AZ749" i="2"/>
  <c r="AZ750" i="2"/>
  <c r="AZ751" i="2"/>
  <c r="AZ752" i="2"/>
  <c r="AZ753" i="2"/>
  <c r="AZ754" i="2"/>
  <c r="AZ755" i="2"/>
  <c r="AZ756" i="2"/>
  <c r="AZ757" i="2"/>
  <c r="AZ758" i="2"/>
  <c r="AZ759" i="2"/>
  <c r="AZ760" i="2"/>
  <c r="AZ761" i="2"/>
  <c r="AZ762" i="2"/>
  <c r="AZ763" i="2"/>
  <c r="AZ764" i="2"/>
  <c r="AZ765" i="2"/>
  <c r="AZ766" i="2"/>
  <c r="AZ767" i="2"/>
  <c r="AZ768" i="2"/>
  <c r="AZ769" i="2"/>
  <c r="AZ770" i="2"/>
  <c r="AZ771" i="2"/>
  <c r="AZ772" i="2"/>
  <c r="AZ773" i="2"/>
  <c r="AZ774" i="2"/>
  <c r="AZ775" i="2"/>
  <c r="AZ776" i="2"/>
  <c r="AZ777" i="2"/>
  <c r="AZ778" i="2"/>
  <c r="AZ779" i="2"/>
  <c r="AZ780" i="2"/>
  <c r="AZ781" i="2"/>
  <c r="AZ782" i="2"/>
  <c r="AZ783" i="2"/>
  <c r="AZ784" i="2"/>
  <c r="AZ785" i="2"/>
  <c r="AZ786" i="2"/>
  <c r="AZ787" i="2"/>
  <c r="AZ788" i="2"/>
  <c r="AZ789" i="2"/>
  <c r="AZ790" i="2"/>
  <c r="AZ791" i="2"/>
  <c r="AZ792" i="2"/>
  <c r="AZ793" i="2"/>
  <c r="AZ794" i="2"/>
  <c r="AZ795" i="2"/>
  <c r="AZ796" i="2"/>
  <c r="AZ797" i="2"/>
  <c r="AZ798" i="2"/>
  <c r="AZ799" i="2"/>
  <c r="AZ800" i="2"/>
  <c r="AZ801" i="2"/>
  <c r="AZ802" i="2"/>
  <c r="AZ803" i="2"/>
  <c r="AZ804" i="2"/>
  <c r="AZ805" i="2"/>
  <c r="AZ806" i="2"/>
  <c r="AZ807" i="2"/>
  <c r="AZ808" i="2"/>
  <c r="AZ809" i="2"/>
  <c r="AZ810" i="2"/>
  <c r="AZ811" i="2"/>
  <c r="AZ812" i="2"/>
  <c r="AZ813" i="2"/>
  <c r="AZ814" i="2"/>
  <c r="AZ815" i="2"/>
  <c r="AZ816" i="2"/>
  <c r="AZ817" i="2"/>
  <c r="AZ818" i="2"/>
  <c r="AZ819" i="2"/>
  <c r="AZ820" i="2"/>
  <c r="AZ821" i="2"/>
  <c r="AZ822" i="2"/>
  <c r="AZ823" i="2"/>
  <c r="AZ824" i="2"/>
  <c r="AZ825" i="2"/>
  <c r="AZ826" i="2"/>
  <c r="AZ827" i="2"/>
  <c r="AZ828" i="2"/>
  <c r="AZ829" i="2"/>
  <c r="AZ830" i="2"/>
  <c r="AZ831" i="2"/>
  <c r="AZ832" i="2"/>
  <c r="AZ833" i="2"/>
  <c r="AZ834" i="2"/>
  <c r="AZ835" i="2"/>
  <c r="AZ836" i="2"/>
  <c r="AZ837" i="2"/>
  <c r="AZ838" i="2"/>
  <c r="AZ839" i="2"/>
  <c r="AZ840" i="2"/>
  <c r="AZ841" i="2"/>
  <c r="AZ842" i="2"/>
  <c r="AZ843" i="2"/>
  <c r="AZ844" i="2"/>
  <c r="AZ845" i="2"/>
  <c r="AZ846" i="2"/>
  <c r="AZ847" i="2"/>
  <c r="AZ848" i="2"/>
  <c r="AZ849" i="2"/>
  <c r="AZ850" i="2"/>
  <c r="AZ851" i="2"/>
  <c r="AZ852" i="2"/>
  <c r="AZ853" i="2"/>
  <c r="AZ854" i="2"/>
  <c r="AZ855" i="2"/>
  <c r="AZ856" i="2"/>
  <c r="AZ857" i="2"/>
  <c r="AZ858" i="2"/>
  <c r="AZ859" i="2"/>
  <c r="AZ860" i="2"/>
  <c r="AZ861" i="2"/>
  <c r="AZ862" i="2"/>
  <c r="AZ863" i="2"/>
  <c r="AZ864" i="2"/>
  <c r="AZ865" i="2"/>
  <c r="AZ866" i="2"/>
  <c r="AZ867" i="2"/>
  <c r="AZ868" i="2"/>
  <c r="AZ869" i="2"/>
  <c r="AZ870" i="2"/>
  <c r="AZ871" i="2"/>
  <c r="AZ872" i="2"/>
  <c r="AZ873" i="2"/>
  <c r="AZ874" i="2"/>
  <c r="AZ875" i="2"/>
  <c r="AZ876" i="2"/>
  <c r="AZ877" i="2"/>
  <c r="AZ878" i="2"/>
  <c r="AZ879" i="2"/>
  <c r="AZ880" i="2"/>
  <c r="AZ881" i="2"/>
  <c r="AZ882" i="2"/>
  <c r="AZ883" i="2"/>
  <c r="AZ884" i="2"/>
  <c r="AZ885" i="2"/>
  <c r="AZ886" i="2"/>
  <c r="AZ887" i="2"/>
  <c r="AZ888" i="2"/>
  <c r="AZ889" i="2"/>
  <c r="AZ890" i="2"/>
  <c r="AZ891" i="2"/>
  <c r="AZ892" i="2"/>
  <c r="AZ893" i="2"/>
  <c r="AZ894" i="2"/>
  <c r="AZ895" i="2"/>
  <c r="AZ896" i="2"/>
  <c r="AZ897" i="2"/>
  <c r="AZ898" i="2"/>
  <c r="AZ899" i="2"/>
  <c r="AZ900" i="2"/>
  <c r="AZ901" i="2"/>
  <c r="AZ902" i="2"/>
  <c r="AZ903" i="2"/>
  <c r="AZ904" i="2"/>
  <c r="AZ905" i="2"/>
  <c r="AZ906" i="2"/>
  <c r="AZ907" i="2"/>
  <c r="AZ908" i="2"/>
  <c r="AZ909" i="2"/>
  <c r="AZ910" i="2"/>
  <c r="AZ911" i="2"/>
  <c r="AZ912" i="2"/>
  <c r="AZ913" i="2"/>
  <c r="AZ914" i="2"/>
  <c r="AZ915" i="2"/>
  <c r="AZ916" i="2"/>
  <c r="AZ917" i="2"/>
  <c r="AZ918" i="2"/>
  <c r="AZ919" i="2"/>
  <c r="AZ920" i="2"/>
  <c r="AZ921" i="2"/>
  <c r="AZ922" i="2"/>
  <c r="AZ923" i="2"/>
  <c r="AZ924" i="2"/>
  <c r="AZ925" i="2"/>
  <c r="AZ926" i="2"/>
  <c r="AZ927" i="2"/>
  <c r="AZ928" i="2"/>
  <c r="AZ929" i="2"/>
  <c r="AZ930" i="2"/>
  <c r="AZ931" i="2"/>
  <c r="AZ932" i="2"/>
  <c r="AZ933" i="2"/>
  <c r="AZ934" i="2"/>
  <c r="AZ935" i="2"/>
  <c r="AZ936" i="2"/>
  <c r="AZ937" i="2"/>
  <c r="AZ938" i="2"/>
  <c r="AZ939" i="2"/>
  <c r="AZ940" i="2"/>
  <c r="AZ941" i="2"/>
  <c r="AZ942" i="2"/>
  <c r="AZ943" i="2"/>
  <c r="AZ944" i="2"/>
  <c r="AZ945" i="2"/>
  <c r="AZ946" i="2"/>
  <c r="AZ947" i="2"/>
  <c r="AZ948" i="2"/>
  <c r="AZ949" i="2"/>
  <c r="AZ950" i="2"/>
  <c r="AZ951" i="2"/>
  <c r="AZ952" i="2"/>
  <c r="AZ953" i="2"/>
  <c r="AZ954" i="2"/>
  <c r="AZ955" i="2"/>
  <c r="AZ956" i="2"/>
  <c r="AZ957" i="2"/>
  <c r="AZ958" i="2"/>
  <c r="AZ959" i="2"/>
  <c r="AZ960" i="2"/>
  <c r="AZ961" i="2"/>
  <c r="AZ962" i="2"/>
  <c r="AZ963" i="2"/>
  <c r="AZ964" i="2"/>
  <c r="AZ965" i="2"/>
  <c r="AZ966" i="2"/>
  <c r="AZ967" i="2"/>
  <c r="AZ968" i="2"/>
  <c r="AZ969" i="2"/>
  <c r="AZ970" i="2"/>
  <c r="AZ971" i="2"/>
  <c r="AZ972" i="2"/>
  <c r="AZ973" i="2"/>
  <c r="AZ974" i="2"/>
  <c r="AZ975" i="2"/>
  <c r="AZ976" i="2"/>
  <c r="AZ977" i="2"/>
  <c r="AZ978" i="2"/>
  <c r="AZ979" i="2"/>
  <c r="AZ980" i="2"/>
  <c r="AZ981" i="2"/>
  <c r="AZ982" i="2"/>
  <c r="AZ983" i="2"/>
  <c r="AZ984" i="2"/>
  <c r="AZ985" i="2"/>
  <c r="AZ986" i="2"/>
  <c r="AZ987" i="2"/>
  <c r="AZ988" i="2"/>
  <c r="AZ989" i="2"/>
  <c r="AZ990" i="2"/>
  <c r="AZ991" i="2"/>
  <c r="AZ992" i="2"/>
  <c r="AZ993" i="2"/>
  <c r="AZ994" i="2"/>
  <c r="AZ995" i="2"/>
  <c r="AZ996" i="2"/>
  <c r="AZ997" i="2"/>
  <c r="AZ998" i="2"/>
  <c r="AZ999" i="2"/>
  <c r="AZ1000" i="2"/>
  <c r="AZ1001" i="2"/>
  <c r="AZ1002" i="2"/>
  <c r="AZ1003" i="2"/>
  <c r="AZ1004" i="2"/>
  <c r="AZ1005" i="2"/>
  <c r="AZ1006" i="2"/>
  <c r="AZ1007" i="2"/>
  <c r="AZ1008" i="2"/>
  <c r="AZ1009" i="2"/>
  <c r="AZ1010" i="2"/>
  <c r="AZ1011" i="2"/>
  <c r="AZ1012" i="2"/>
  <c r="AZ1013" i="2"/>
  <c r="AZ1014" i="2"/>
  <c r="AZ1015" i="2"/>
  <c r="AZ1016" i="2"/>
  <c r="AZ1017" i="2"/>
  <c r="AZ1018" i="2"/>
  <c r="AZ1019" i="2"/>
  <c r="AZ1020" i="2"/>
  <c r="AZ1021" i="2"/>
  <c r="AZ1022" i="2"/>
  <c r="AZ1023" i="2"/>
  <c r="AZ1024" i="2"/>
  <c r="AZ1025" i="2"/>
  <c r="AZ1026" i="2"/>
  <c r="AZ1027" i="2"/>
  <c r="AZ1028" i="2"/>
  <c r="AZ1029" i="2"/>
  <c r="AZ1030" i="2"/>
  <c r="AZ1031" i="2"/>
  <c r="AZ1032" i="2"/>
  <c r="AZ1033" i="2"/>
  <c r="AZ1034" i="2"/>
  <c r="AZ1035" i="2"/>
  <c r="AZ1036" i="2"/>
  <c r="AZ1037" i="2"/>
  <c r="AZ1038" i="2"/>
  <c r="AZ1039" i="2"/>
  <c r="AZ1040" i="2"/>
  <c r="AZ1041" i="2"/>
  <c r="AZ1042" i="2"/>
  <c r="AZ1043" i="2"/>
  <c r="AZ1044" i="2"/>
  <c r="AZ1045" i="2"/>
  <c r="AZ1046" i="2"/>
  <c r="AZ1047" i="2"/>
  <c r="AZ1048" i="2"/>
  <c r="AZ1049" i="2"/>
  <c r="AZ1050" i="2"/>
  <c r="AZ1051" i="2"/>
  <c r="AZ1052" i="2"/>
  <c r="AZ1053" i="2"/>
  <c r="AZ1054" i="2"/>
  <c r="AZ1055" i="2"/>
  <c r="AZ1056" i="2"/>
  <c r="AZ1057" i="2"/>
  <c r="AZ1058" i="2"/>
  <c r="AZ1059" i="2"/>
  <c r="AZ1060" i="2"/>
  <c r="AZ1061" i="2"/>
  <c r="AZ1062" i="2"/>
  <c r="AZ1063" i="2"/>
  <c r="AZ1064" i="2"/>
  <c r="AZ1065" i="2"/>
  <c r="AZ1066" i="2"/>
  <c r="AZ1067" i="2"/>
  <c r="AZ1068" i="2"/>
  <c r="AZ1069" i="2"/>
  <c r="AZ1070" i="2"/>
  <c r="AZ1071" i="2"/>
  <c r="AZ1072" i="2"/>
  <c r="AZ1073" i="2"/>
  <c r="AZ1074" i="2"/>
  <c r="AZ1075" i="2"/>
  <c r="AZ1076" i="2"/>
  <c r="AZ1077" i="2"/>
  <c r="AZ1078" i="2"/>
  <c r="AZ1079" i="2"/>
  <c r="AZ1080" i="2"/>
  <c r="AZ1081" i="2"/>
  <c r="AZ1082" i="2"/>
  <c r="AZ1083" i="2"/>
  <c r="AZ1084" i="2"/>
  <c r="AZ1085" i="2"/>
  <c r="AZ1086" i="2"/>
  <c r="AZ1087" i="2"/>
  <c r="AZ1088" i="2"/>
  <c r="AZ1089" i="2"/>
  <c r="AZ1090" i="2"/>
  <c r="AZ1091" i="2"/>
  <c r="AZ1092" i="2"/>
  <c r="AZ1093" i="2"/>
  <c r="AZ1094" i="2"/>
  <c r="AZ1095" i="2"/>
  <c r="AZ1096" i="2"/>
  <c r="AZ1097" i="2"/>
  <c r="AZ2" i="2"/>
  <c r="AX3" i="2"/>
  <c r="AX4" i="2"/>
  <c r="AX5" i="2"/>
  <c r="AX6" i="2"/>
  <c r="AX7" i="2"/>
  <c r="AX8" i="2"/>
  <c r="AX9" i="2"/>
  <c r="AX10" i="2"/>
  <c r="AX11" i="2"/>
  <c r="AX12" i="2"/>
  <c r="AX13" i="2"/>
  <c r="AX14" i="2"/>
  <c r="AX15" i="2"/>
  <c r="AX16" i="2"/>
  <c r="AX17" i="2"/>
  <c r="AX18" i="2"/>
  <c r="AX19" i="2"/>
  <c r="AX20" i="2"/>
  <c r="AX21" i="2"/>
  <c r="AX22" i="2"/>
  <c r="AX23" i="2"/>
  <c r="AX24" i="2"/>
  <c r="AX25" i="2"/>
  <c r="AX26" i="2"/>
  <c r="AX27" i="2"/>
  <c r="AX28" i="2"/>
  <c r="AX29" i="2"/>
  <c r="AX30" i="2"/>
  <c r="AX31" i="2"/>
  <c r="AX32" i="2"/>
  <c r="AX33" i="2"/>
  <c r="AX34" i="2"/>
  <c r="AX35" i="2"/>
  <c r="AX36" i="2"/>
  <c r="AX37" i="2"/>
  <c r="AX38" i="2"/>
  <c r="AX39" i="2"/>
  <c r="AX40" i="2"/>
  <c r="AX41" i="2"/>
  <c r="AX42" i="2"/>
  <c r="AX43" i="2"/>
  <c r="AX44" i="2"/>
  <c r="AX45" i="2"/>
  <c r="AX46" i="2"/>
  <c r="AX47" i="2"/>
  <c r="AX48" i="2"/>
  <c r="AX49" i="2"/>
  <c r="AX50" i="2"/>
  <c r="AX51" i="2"/>
  <c r="AX52" i="2"/>
  <c r="AX53" i="2"/>
  <c r="AX54" i="2"/>
  <c r="AX55" i="2"/>
  <c r="AX56" i="2"/>
  <c r="AX57" i="2"/>
  <c r="AX58" i="2"/>
  <c r="AX59" i="2"/>
  <c r="AX60" i="2"/>
  <c r="AX61" i="2"/>
  <c r="AX62" i="2"/>
  <c r="AX63" i="2"/>
  <c r="AX64" i="2"/>
  <c r="AX65" i="2"/>
  <c r="AX66" i="2"/>
  <c r="AX67" i="2"/>
  <c r="AX68" i="2"/>
  <c r="AX69" i="2"/>
  <c r="AX70" i="2"/>
  <c r="AX71" i="2"/>
  <c r="AX72" i="2"/>
  <c r="AX73" i="2"/>
  <c r="AX74" i="2"/>
  <c r="AX75" i="2"/>
  <c r="AX76" i="2"/>
  <c r="AX77" i="2"/>
  <c r="AX78" i="2"/>
  <c r="AX79" i="2"/>
  <c r="AX80" i="2"/>
  <c r="AX81" i="2"/>
  <c r="AX82" i="2"/>
  <c r="AX83" i="2"/>
  <c r="AX84" i="2"/>
  <c r="AX85" i="2"/>
  <c r="AX86" i="2"/>
  <c r="AX87" i="2"/>
  <c r="AX88" i="2"/>
  <c r="AX89" i="2"/>
  <c r="AX90" i="2"/>
  <c r="AX91" i="2"/>
  <c r="AX92" i="2"/>
  <c r="AX93" i="2"/>
  <c r="AX94" i="2"/>
  <c r="AX95" i="2"/>
  <c r="AX96" i="2"/>
  <c r="AX97" i="2"/>
  <c r="AX98" i="2"/>
  <c r="AX99" i="2"/>
  <c r="AX100" i="2"/>
  <c r="AX101" i="2"/>
  <c r="AX102" i="2"/>
  <c r="AX103" i="2"/>
  <c r="AX104" i="2"/>
  <c r="AX105" i="2"/>
  <c r="AX106" i="2"/>
  <c r="AX107" i="2"/>
  <c r="AX108" i="2"/>
  <c r="AX109" i="2"/>
  <c r="AX110" i="2"/>
  <c r="AX111" i="2"/>
  <c r="AX112" i="2"/>
  <c r="AX113" i="2"/>
  <c r="AX114" i="2"/>
  <c r="AX115" i="2"/>
  <c r="AX116" i="2"/>
  <c r="AX117" i="2"/>
  <c r="AX118" i="2"/>
  <c r="AX119" i="2"/>
  <c r="AX120" i="2"/>
  <c r="AX121" i="2"/>
  <c r="AX122" i="2"/>
  <c r="AX123" i="2"/>
  <c r="AX124" i="2"/>
  <c r="AX125" i="2"/>
  <c r="AX126" i="2"/>
  <c r="AX127" i="2"/>
  <c r="AX128" i="2"/>
  <c r="AX129" i="2"/>
  <c r="AX130" i="2"/>
  <c r="AX131" i="2"/>
  <c r="AX132" i="2"/>
  <c r="AX133" i="2"/>
  <c r="AX134" i="2"/>
  <c r="AX135" i="2"/>
  <c r="AX136" i="2"/>
  <c r="AX137" i="2"/>
  <c r="AX138" i="2"/>
  <c r="AX139" i="2"/>
  <c r="AX140" i="2"/>
  <c r="AX141" i="2"/>
  <c r="AX142" i="2"/>
  <c r="AX143" i="2"/>
  <c r="AX144" i="2"/>
  <c r="AX145" i="2"/>
  <c r="AX146" i="2"/>
  <c r="AX147" i="2"/>
  <c r="AX148" i="2"/>
  <c r="AX149" i="2"/>
  <c r="AX150" i="2"/>
  <c r="AX151" i="2"/>
  <c r="AX152" i="2"/>
  <c r="AX153" i="2"/>
  <c r="AX154" i="2"/>
  <c r="AX155" i="2"/>
  <c r="AX156" i="2"/>
  <c r="AX157" i="2"/>
  <c r="AX158" i="2"/>
  <c r="AX159" i="2"/>
  <c r="AX160" i="2"/>
  <c r="AX161" i="2"/>
  <c r="AX162" i="2"/>
  <c r="AX163" i="2"/>
  <c r="AX164" i="2"/>
  <c r="AX165" i="2"/>
  <c r="AX166" i="2"/>
  <c r="AX167" i="2"/>
  <c r="AX168" i="2"/>
  <c r="AX169" i="2"/>
  <c r="AX170" i="2"/>
  <c r="AX171" i="2"/>
  <c r="AX172" i="2"/>
  <c r="AX173" i="2"/>
  <c r="AX174" i="2"/>
  <c r="AX175" i="2"/>
  <c r="AX176" i="2"/>
  <c r="AX177" i="2"/>
  <c r="AX178" i="2"/>
  <c r="AX179" i="2"/>
  <c r="AX180" i="2"/>
  <c r="AX181" i="2"/>
  <c r="AX182" i="2"/>
  <c r="AX183" i="2"/>
  <c r="AX184" i="2"/>
  <c r="AX185" i="2"/>
  <c r="AX186" i="2"/>
  <c r="AX187" i="2"/>
  <c r="AX188" i="2"/>
  <c r="AX189" i="2"/>
  <c r="AX190" i="2"/>
  <c r="AX191" i="2"/>
  <c r="AX192" i="2"/>
  <c r="AX193" i="2"/>
  <c r="AX194" i="2"/>
  <c r="AX195" i="2"/>
  <c r="AX196" i="2"/>
  <c r="AX197" i="2"/>
  <c r="AX198" i="2"/>
  <c r="AX199" i="2"/>
  <c r="AX200" i="2"/>
  <c r="AX201" i="2"/>
  <c r="AX202" i="2"/>
  <c r="AX203" i="2"/>
  <c r="AX204" i="2"/>
  <c r="AX205" i="2"/>
  <c r="AX206" i="2"/>
  <c r="AX207" i="2"/>
  <c r="AX208" i="2"/>
  <c r="AX209" i="2"/>
  <c r="AX210" i="2"/>
  <c r="AX211" i="2"/>
  <c r="AX212" i="2"/>
  <c r="AX213" i="2"/>
  <c r="AX214" i="2"/>
  <c r="AX215" i="2"/>
  <c r="AX216" i="2"/>
  <c r="AX217" i="2"/>
  <c r="AX218" i="2"/>
  <c r="AX219" i="2"/>
  <c r="AX220" i="2"/>
  <c r="AX221" i="2"/>
  <c r="AX222" i="2"/>
  <c r="AX223" i="2"/>
  <c r="AX224" i="2"/>
  <c r="AX225" i="2"/>
  <c r="AX226" i="2"/>
  <c r="AX227" i="2"/>
  <c r="AX228" i="2"/>
  <c r="AX229" i="2"/>
  <c r="AX230" i="2"/>
  <c r="AX231" i="2"/>
  <c r="AX232" i="2"/>
  <c r="AX233" i="2"/>
  <c r="AX234" i="2"/>
  <c r="AX235" i="2"/>
  <c r="AX236" i="2"/>
  <c r="AX237" i="2"/>
  <c r="AX238" i="2"/>
  <c r="AX239" i="2"/>
  <c r="AX240" i="2"/>
  <c r="AX241" i="2"/>
  <c r="AX242" i="2"/>
  <c r="AX243" i="2"/>
  <c r="AX244" i="2"/>
  <c r="AX245" i="2"/>
  <c r="AX246" i="2"/>
  <c r="AX247" i="2"/>
  <c r="AX248" i="2"/>
  <c r="AX249" i="2"/>
  <c r="AX250" i="2"/>
  <c r="AX251" i="2"/>
  <c r="AX252" i="2"/>
  <c r="AX253" i="2"/>
  <c r="AX254" i="2"/>
  <c r="AX255" i="2"/>
  <c r="AX256" i="2"/>
  <c r="AX257" i="2"/>
  <c r="AX258" i="2"/>
  <c r="AX259" i="2"/>
  <c r="AX260" i="2"/>
  <c r="AX261" i="2"/>
  <c r="AX262" i="2"/>
  <c r="AX263" i="2"/>
  <c r="AX264" i="2"/>
  <c r="AX265" i="2"/>
  <c r="AX266" i="2"/>
  <c r="AX267" i="2"/>
  <c r="AX268" i="2"/>
  <c r="AX269" i="2"/>
  <c r="AX270" i="2"/>
  <c r="AX271" i="2"/>
  <c r="AX272" i="2"/>
  <c r="AX273" i="2"/>
  <c r="AX274" i="2"/>
  <c r="AX275" i="2"/>
  <c r="AX276" i="2"/>
  <c r="AX277" i="2"/>
  <c r="AX278" i="2"/>
  <c r="AX279" i="2"/>
  <c r="AX280" i="2"/>
  <c r="AX281" i="2"/>
  <c r="AX282" i="2"/>
  <c r="AX283" i="2"/>
  <c r="AX284" i="2"/>
  <c r="AX285" i="2"/>
  <c r="AX286" i="2"/>
  <c r="AX287" i="2"/>
  <c r="AX288" i="2"/>
  <c r="AX289" i="2"/>
  <c r="AX290" i="2"/>
  <c r="AX291" i="2"/>
  <c r="AX292" i="2"/>
  <c r="AX293" i="2"/>
  <c r="AX294" i="2"/>
  <c r="AX295" i="2"/>
  <c r="AX296" i="2"/>
  <c r="AX297" i="2"/>
  <c r="AX298" i="2"/>
  <c r="AX299" i="2"/>
  <c r="AX300" i="2"/>
  <c r="AX301" i="2"/>
  <c r="AX302" i="2"/>
  <c r="AX303" i="2"/>
  <c r="AX304" i="2"/>
  <c r="AX305" i="2"/>
  <c r="AX306" i="2"/>
  <c r="AX307" i="2"/>
  <c r="AX308" i="2"/>
  <c r="AX309" i="2"/>
  <c r="AX310" i="2"/>
  <c r="AX311" i="2"/>
  <c r="AX312" i="2"/>
  <c r="AX313" i="2"/>
  <c r="AX314" i="2"/>
  <c r="AX315" i="2"/>
  <c r="AX316" i="2"/>
  <c r="AX317" i="2"/>
  <c r="AX318" i="2"/>
  <c r="AX319" i="2"/>
  <c r="AX320" i="2"/>
  <c r="AX321" i="2"/>
  <c r="AX322" i="2"/>
  <c r="AX323" i="2"/>
  <c r="AX324" i="2"/>
  <c r="AX325" i="2"/>
  <c r="AX326" i="2"/>
  <c r="AX327" i="2"/>
  <c r="AX328" i="2"/>
  <c r="AX329" i="2"/>
  <c r="AX330" i="2"/>
  <c r="AX331" i="2"/>
  <c r="AX332" i="2"/>
  <c r="AX333" i="2"/>
  <c r="AX334" i="2"/>
  <c r="AX335" i="2"/>
  <c r="AX336" i="2"/>
  <c r="AX337" i="2"/>
  <c r="AX338" i="2"/>
  <c r="AX339" i="2"/>
  <c r="AX340" i="2"/>
  <c r="AX341" i="2"/>
  <c r="AX342" i="2"/>
  <c r="AX343" i="2"/>
  <c r="AX344" i="2"/>
  <c r="AX345" i="2"/>
  <c r="AX346" i="2"/>
  <c r="AX347" i="2"/>
  <c r="AX348" i="2"/>
  <c r="AX349" i="2"/>
  <c r="AX350" i="2"/>
  <c r="AX351" i="2"/>
  <c r="AX352" i="2"/>
  <c r="AX353" i="2"/>
  <c r="AX354" i="2"/>
  <c r="AX355" i="2"/>
  <c r="AX356" i="2"/>
  <c r="AX357" i="2"/>
  <c r="AX358" i="2"/>
  <c r="AX359" i="2"/>
  <c r="AX360" i="2"/>
  <c r="AX361" i="2"/>
  <c r="AX362" i="2"/>
  <c r="AX363" i="2"/>
  <c r="AX364" i="2"/>
  <c r="AX365" i="2"/>
  <c r="AX366" i="2"/>
  <c r="AX367" i="2"/>
  <c r="AX368" i="2"/>
  <c r="AX369" i="2"/>
  <c r="AX370" i="2"/>
  <c r="AX371" i="2"/>
  <c r="AX372" i="2"/>
  <c r="AX373" i="2"/>
  <c r="AX374" i="2"/>
  <c r="AX375" i="2"/>
  <c r="AX376" i="2"/>
  <c r="AX377" i="2"/>
  <c r="AX378" i="2"/>
  <c r="AX379" i="2"/>
  <c r="AX380" i="2"/>
  <c r="AX381" i="2"/>
  <c r="AX382" i="2"/>
  <c r="AX383" i="2"/>
  <c r="AX384" i="2"/>
  <c r="AX385" i="2"/>
  <c r="AX386" i="2"/>
  <c r="AX387" i="2"/>
  <c r="AX388" i="2"/>
  <c r="AX389" i="2"/>
  <c r="AX390" i="2"/>
  <c r="AX391" i="2"/>
  <c r="AX392" i="2"/>
  <c r="AX393" i="2"/>
  <c r="AX394" i="2"/>
  <c r="AX395" i="2"/>
  <c r="AX396" i="2"/>
  <c r="AX397" i="2"/>
  <c r="AX398" i="2"/>
  <c r="AX399" i="2"/>
  <c r="AX400" i="2"/>
  <c r="AX401" i="2"/>
  <c r="AX402" i="2"/>
  <c r="AX403" i="2"/>
  <c r="AX404" i="2"/>
  <c r="AX405" i="2"/>
  <c r="AX406" i="2"/>
  <c r="AX407" i="2"/>
  <c r="AX408" i="2"/>
  <c r="AX409" i="2"/>
  <c r="AX410" i="2"/>
  <c r="AX411" i="2"/>
  <c r="AX412" i="2"/>
  <c r="AX413" i="2"/>
  <c r="AX414" i="2"/>
  <c r="AX415" i="2"/>
  <c r="AX416" i="2"/>
  <c r="AX417" i="2"/>
  <c r="AX418" i="2"/>
  <c r="AX419" i="2"/>
  <c r="AX420" i="2"/>
  <c r="AX421" i="2"/>
  <c r="AX422" i="2"/>
  <c r="AX423" i="2"/>
  <c r="AX424" i="2"/>
  <c r="AX425" i="2"/>
  <c r="AX426" i="2"/>
  <c r="AX427" i="2"/>
  <c r="AX428" i="2"/>
  <c r="AX429" i="2"/>
  <c r="AX430" i="2"/>
  <c r="AX431" i="2"/>
  <c r="AX432" i="2"/>
  <c r="AX433" i="2"/>
  <c r="AX434" i="2"/>
  <c r="AX435" i="2"/>
  <c r="AX436" i="2"/>
  <c r="AX437" i="2"/>
  <c r="AX438" i="2"/>
  <c r="AX439" i="2"/>
  <c r="AX440" i="2"/>
  <c r="AX441" i="2"/>
  <c r="AX442" i="2"/>
  <c r="AX443" i="2"/>
  <c r="AX444" i="2"/>
  <c r="AX445" i="2"/>
  <c r="AX446" i="2"/>
  <c r="AX447" i="2"/>
  <c r="AX448" i="2"/>
  <c r="AX449" i="2"/>
  <c r="AX450" i="2"/>
  <c r="AX451" i="2"/>
  <c r="AX452" i="2"/>
  <c r="AX453" i="2"/>
  <c r="AX454" i="2"/>
  <c r="AX455" i="2"/>
  <c r="AX456" i="2"/>
  <c r="AX457" i="2"/>
  <c r="AX458" i="2"/>
  <c r="AX459" i="2"/>
  <c r="AX460" i="2"/>
  <c r="AX461" i="2"/>
  <c r="AX462" i="2"/>
  <c r="AX463" i="2"/>
  <c r="AX464" i="2"/>
  <c r="AX465" i="2"/>
  <c r="AX466" i="2"/>
  <c r="AX467" i="2"/>
  <c r="AX468" i="2"/>
  <c r="AX469" i="2"/>
  <c r="AX470" i="2"/>
  <c r="AX471" i="2"/>
  <c r="AX472" i="2"/>
  <c r="AX473" i="2"/>
  <c r="AX474" i="2"/>
  <c r="AX475" i="2"/>
  <c r="AX476" i="2"/>
  <c r="AX477" i="2"/>
  <c r="AX478" i="2"/>
  <c r="AX479" i="2"/>
  <c r="AX480" i="2"/>
  <c r="AX481" i="2"/>
  <c r="AX482" i="2"/>
  <c r="AX483" i="2"/>
  <c r="AX484" i="2"/>
  <c r="AX485" i="2"/>
  <c r="AX486" i="2"/>
  <c r="AX487" i="2"/>
  <c r="AX488" i="2"/>
  <c r="AX489" i="2"/>
  <c r="AX490" i="2"/>
  <c r="AX491" i="2"/>
  <c r="AX492" i="2"/>
  <c r="AX493" i="2"/>
  <c r="AX494" i="2"/>
  <c r="AX495" i="2"/>
  <c r="AX496" i="2"/>
  <c r="AX497" i="2"/>
  <c r="AX498" i="2"/>
  <c r="AX499" i="2"/>
  <c r="AX500" i="2"/>
  <c r="AX501" i="2"/>
  <c r="AX502" i="2"/>
  <c r="AX503" i="2"/>
  <c r="AX504" i="2"/>
  <c r="AX505" i="2"/>
  <c r="AX506" i="2"/>
  <c r="AX507" i="2"/>
  <c r="AX508" i="2"/>
  <c r="AX509" i="2"/>
  <c r="AX510" i="2"/>
  <c r="AX511" i="2"/>
  <c r="AX512" i="2"/>
  <c r="AX513" i="2"/>
  <c r="AX514" i="2"/>
  <c r="AX515" i="2"/>
  <c r="AX516" i="2"/>
  <c r="AX517" i="2"/>
  <c r="AX518" i="2"/>
  <c r="AX519" i="2"/>
  <c r="AX520" i="2"/>
  <c r="AX521" i="2"/>
  <c r="AX522" i="2"/>
  <c r="AX523" i="2"/>
  <c r="AX524" i="2"/>
  <c r="AX525" i="2"/>
  <c r="AX526" i="2"/>
  <c r="AX527" i="2"/>
  <c r="AX528" i="2"/>
  <c r="AX529" i="2"/>
  <c r="AX530" i="2"/>
  <c r="AX531" i="2"/>
  <c r="AX532" i="2"/>
  <c r="AX533" i="2"/>
  <c r="AX534" i="2"/>
  <c r="AX535" i="2"/>
  <c r="AX536" i="2"/>
  <c r="AX537" i="2"/>
  <c r="AX538" i="2"/>
  <c r="AX539" i="2"/>
  <c r="AX540" i="2"/>
  <c r="AX541" i="2"/>
  <c r="AX542" i="2"/>
  <c r="AX543" i="2"/>
  <c r="AX544" i="2"/>
  <c r="AX545" i="2"/>
  <c r="AX546" i="2"/>
  <c r="AX547" i="2"/>
  <c r="AX548" i="2"/>
  <c r="AX549" i="2"/>
  <c r="AX550" i="2"/>
  <c r="AX551" i="2"/>
  <c r="AX552" i="2"/>
  <c r="AX553" i="2"/>
  <c r="AX554" i="2"/>
  <c r="AX555" i="2"/>
  <c r="AX556" i="2"/>
  <c r="AX557" i="2"/>
  <c r="AX558" i="2"/>
  <c r="AX559" i="2"/>
  <c r="AX560" i="2"/>
  <c r="AX561" i="2"/>
  <c r="AX562" i="2"/>
  <c r="AX563" i="2"/>
  <c r="AX564" i="2"/>
  <c r="AX565" i="2"/>
  <c r="AX566" i="2"/>
  <c r="AX567" i="2"/>
  <c r="AX568" i="2"/>
  <c r="AX569" i="2"/>
  <c r="AX570" i="2"/>
  <c r="AX571" i="2"/>
  <c r="AX572" i="2"/>
  <c r="AX573" i="2"/>
  <c r="AX574" i="2"/>
  <c r="AX575" i="2"/>
  <c r="AX576" i="2"/>
  <c r="AX577" i="2"/>
  <c r="AX578" i="2"/>
  <c r="AX579" i="2"/>
  <c r="AX580" i="2"/>
  <c r="AX581" i="2"/>
  <c r="AX582" i="2"/>
  <c r="AX583" i="2"/>
  <c r="AX584" i="2"/>
  <c r="AX585" i="2"/>
  <c r="AX586" i="2"/>
  <c r="AX587" i="2"/>
  <c r="AX588" i="2"/>
  <c r="AX589" i="2"/>
  <c r="AX590" i="2"/>
  <c r="AX591" i="2"/>
  <c r="AX592" i="2"/>
  <c r="AX593" i="2"/>
  <c r="AX594" i="2"/>
  <c r="AX595" i="2"/>
  <c r="AX596" i="2"/>
  <c r="AX597" i="2"/>
  <c r="AX598" i="2"/>
  <c r="AX599" i="2"/>
  <c r="AX600" i="2"/>
  <c r="AX601" i="2"/>
  <c r="AX602" i="2"/>
  <c r="AX603" i="2"/>
  <c r="AX604" i="2"/>
  <c r="AX605" i="2"/>
  <c r="AX606" i="2"/>
  <c r="AX607" i="2"/>
  <c r="AX608" i="2"/>
  <c r="AX609" i="2"/>
  <c r="AX610" i="2"/>
  <c r="AX611" i="2"/>
  <c r="AX612" i="2"/>
  <c r="AX613" i="2"/>
  <c r="AX614" i="2"/>
  <c r="AX615" i="2"/>
  <c r="AX616" i="2"/>
  <c r="AX617" i="2"/>
  <c r="AX618" i="2"/>
  <c r="AX619" i="2"/>
  <c r="AX620" i="2"/>
  <c r="AX621" i="2"/>
  <c r="AX622" i="2"/>
  <c r="AX623" i="2"/>
  <c r="AX624" i="2"/>
  <c r="AX625" i="2"/>
  <c r="AX626" i="2"/>
  <c r="AX627" i="2"/>
  <c r="AX628" i="2"/>
  <c r="AX629" i="2"/>
  <c r="AX630" i="2"/>
  <c r="AX631" i="2"/>
  <c r="AX632" i="2"/>
  <c r="AX633" i="2"/>
  <c r="AX634" i="2"/>
  <c r="AX635" i="2"/>
  <c r="AX636" i="2"/>
  <c r="AX637" i="2"/>
  <c r="AX638" i="2"/>
  <c r="AX639" i="2"/>
  <c r="AX640" i="2"/>
  <c r="AX641" i="2"/>
  <c r="AX642" i="2"/>
  <c r="AX643" i="2"/>
  <c r="AX644" i="2"/>
  <c r="AX645" i="2"/>
  <c r="AX646" i="2"/>
  <c r="AX647" i="2"/>
  <c r="AX648" i="2"/>
  <c r="AX649" i="2"/>
  <c r="AX650" i="2"/>
  <c r="AX651" i="2"/>
  <c r="AX652" i="2"/>
  <c r="AX653" i="2"/>
  <c r="AX654" i="2"/>
  <c r="AX655" i="2"/>
  <c r="AX656" i="2"/>
  <c r="AX657" i="2"/>
  <c r="AX658" i="2"/>
  <c r="AX659" i="2"/>
  <c r="AX660" i="2"/>
  <c r="AX661" i="2"/>
  <c r="AX662" i="2"/>
  <c r="AX663" i="2"/>
  <c r="AX664" i="2"/>
  <c r="AX665" i="2"/>
  <c r="AX666" i="2"/>
  <c r="AX667" i="2"/>
  <c r="AX668" i="2"/>
  <c r="AX669" i="2"/>
  <c r="AX670" i="2"/>
  <c r="AX671" i="2"/>
  <c r="AX672" i="2"/>
  <c r="AX673" i="2"/>
  <c r="AX674" i="2"/>
  <c r="AX675" i="2"/>
  <c r="AX676" i="2"/>
  <c r="AX677" i="2"/>
  <c r="AX678" i="2"/>
  <c r="AX679" i="2"/>
  <c r="AX680" i="2"/>
  <c r="AX681" i="2"/>
  <c r="AX682" i="2"/>
  <c r="AX683" i="2"/>
  <c r="AX684" i="2"/>
  <c r="AX685" i="2"/>
  <c r="AX686" i="2"/>
  <c r="AX687" i="2"/>
  <c r="AX688" i="2"/>
  <c r="AX689" i="2"/>
  <c r="AX690" i="2"/>
  <c r="AX691" i="2"/>
  <c r="AX692" i="2"/>
  <c r="AX693" i="2"/>
  <c r="AX694" i="2"/>
  <c r="AX695" i="2"/>
  <c r="AX696" i="2"/>
  <c r="AX697" i="2"/>
  <c r="AX698" i="2"/>
  <c r="AX699" i="2"/>
  <c r="AX700" i="2"/>
  <c r="AX701" i="2"/>
  <c r="AX702" i="2"/>
  <c r="AX703" i="2"/>
  <c r="AX704" i="2"/>
  <c r="AX705" i="2"/>
  <c r="AX706" i="2"/>
  <c r="AX707" i="2"/>
  <c r="AX708" i="2"/>
  <c r="AX709" i="2"/>
  <c r="AX710" i="2"/>
  <c r="AX711" i="2"/>
  <c r="AX712" i="2"/>
  <c r="AX713" i="2"/>
  <c r="AX714" i="2"/>
  <c r="AX715" i="2"/>
  <c r="AX716" i="2"/>
  <c r="AX717" i="2"/>
  <c r="AX718" i="2"/>
  <c r="AX719" i="2"/>
  <c r="AX720" i="2"/>
  <c r="AX721" i="2"/>
  <c r="AX722" i="2"/>
  <c r="AX723" i="2"/>
  <c r="AX724" i="2"/>
  <c r="AX725" i="2"/>
  <c r="AX726" i="2"/>
  <c r="AX727" i="2"/>
  <c r="AX728" i="2"/>
  <c r="AX729" i="2"/>
  <c r="AX730" i="2"/>
  <c r="AX731" i="2"/>
  <c r="AX732" i="2"/>
  <c r="AX733" i="2"/>
  <c r="AX734" i="2"/>
  <c r="AX735" i="2"/>
  <c r="AX736" i="2"/>
  <c r="AX737" i="2"/>
  <c r="AX738" i="2"/>
  <c r="AX739" i="2"/>
  <c r="AX740" i="2"/>
  <c r="AX741" i="2"/>
  <c r="AX742" i="2"/>
  <c r="AX743" i="2"/>
  <c r="AX744" i="2"/>
  <c r="AX745" i="2"/>
  <c r="AX746" i="2"/>
  <c r="AX747" i="2"/>
  <c r="AX748" i="2"/>
  <c r="AX749" i="2"/>
  <c r="AX750" i="2"/>
  <c r="AX751" i="2"/>
  <c r="AX752" i="2"/>
  <c r="AX753" i="2"/>
  <c r="AX754" i="2"/>
  <c r="AX755" i="2"/>
  <c r="AX756" i="2"/>
  <c r="AX757" i="2"/>
  <c r="AX758" i="2"/>
  <c r="AX759" i="2"/>
  <c r="AX760" i="2"/>
  <c r="AX761" i="2"/>
  <c r="AX762" i="2"/>
  <c r="AX763" i="2"/>
  <c r="AX764" i="2"/>
  <c r="AX765" i="2"/>
  <c r="AX766" i="2"/>
  <c r="AX767" i="2"/>
  <c r="AX768" i="2"/>
  <c r="AX769" i="2"/>
  <c r="AX770" i="2"/>
  <c r="AX771" i="2"/>
  <c r="AX772" i="2"/>
  <c r="AX773" i="2"/>
  <c r="AX774" i="2"/>
  <c r="AX775" i="2"/>
  <c r="AX776" i="2"/>
  <c r="AX777" i="2"/>
  <c r="AX778" i="2"/>
  <c r="AX779" i="2"/>
  <c r="AX780" i="2"/>
  <c r="AX781" i="2"/>
  <c r="AX782" i="2"/>
  <c r="AX783" i="2"/>
  <c r="AX784" i="2"/>
  <c r="AX785" i="2"/>
  <c r="AX786" i="2"/>
  <c r="AX787" i="2"/>
  <c r="AX788" i="2"/>
  <c r="AX789" i="2"/>
  <c r="AX790" i="2"/>
  <c r="AX791" i="2"/>
  <c r="AX792" i="2"/>
  <c r="AX793" i="2"/>
  <c r="AX794" i="2"/>
  <c r="AX795" i="2"/>
  <c r="AX796" i="2"/>
  <c r="AX797" i="2"/>
  <c r="AX798" i="2"/>
  <c r="AX799" i="2"/>
  <c r="AX800" i="2"/>
  <c r="AX801" i="2"/>
  <c r="AX802" i="2"/>
  <c r="AX803" i="2"/>
  <c r="AX804" i="2"/>
  <c r="AX805" i="2"/>
  <c r="AX806" i="2"/>
  <c r="AX807" i="2"/>
  <c r="AX808" i="2"/>
  <c r="AX809" i="2"/>
  <c r="AX810" i="2"/>
  <c r="AX811" i="2"/>
  <c r="AX812" i="2"/>
  <c r="AX813" i="2"/>
  <c r="AX814" i="2"/>
  <c r="AX815" i="2"/>
  <c r="AX816" i="2"/>
  <c r="AX817" i="2"/>
  <c r="AX818" i="2"/>
  <c r="AX819" i="2"/>
  <c r="AX820" i="2"/>
  <c r="AX821" i="2"/>
  <c r="AX822" i="2"/>
  <c r="AX823" i="2"/>
  <c r="AX824" i="2"/>
  <c r="AX825" i="2"/>
  <c r="AX826" i="2"/>
  <c r="AX827" i="2"/>
  <c r="AX828" i="2"/>
  <c r="AX829" i="2"/>
  <c r="AX830" i="2"/>
  <c r="AX831" i="2"/>
  <c r="AX832" i="2"/>
  <c r="AX833" i="2"/>
  <c r="AX834" i="2"/>
  <c r="AX835" i="2"/>
  <c r="AX836" i="2"/>
  <c r="AX837" i="2"/>
  <c r="AX838" i="2"/>
  <c r="AX839" i="2"/>
  <c r="AX840" i="2"/>
  <c r="AX841" i="2"/>
  <c r="AX842" i="2"/>
  <c r="AX843" i="2"/>
  <c r="AX844" i="2"/>
  <c r="AX845" i="2"/>
  <c r="AX846" i="2"/>
  <c r="AX847" i="2"/>
  <c r="AX848" i="2"/>
  <c r="AX849" i="2"/>
  <c r="AX850" i="2"/>
  <c r="AX851" i="2"/>
  <c r="AX852" i="2"/>
  <c r="AX853" i="2"/>
  <c r="AX854" i="2"/>
  <c r="AX855" i="2"/>
  <c r="AX856" i="2"/>
  <c r="AX857" i="2"/>
  <c r="AX858" i="2"/>
  <c r="AX859" i="2"/>
  <c r="AX860" i="2"/>
  <c r="AX861" i="2"/>
  <c r="AX862" i="2"/>
  <c r="AX863" i="2"/>
  <c r="AX864" i="2"/>
  <c r="AX865" i="2"/>
  <c r="AX866" i="2"/>
  <c r="AX867" i="2"/>
  <c r="AX868" i="2"/>
  <c r="AX869" i="2"/>
  <c r="AX870" i="2"/>
  <c r="AX871" i="2"/>
  <c r="AX872" i="2"/>
  <c r="AX873" i="2"/>
  <c r="AX874" i="2"/>
  <c r="AX875" i="2"/>
  <c r="AX876" i="2"/>
  <c r="AX877" i="2"/>
  <c r="AX878" i="2"/>
  <c r="AX879" i="2"/>
  <c r="AX880" i="2"/>
  <c r="AX881" i="2"/>
  <c r="AX882" i="2"/>
  <c r="AX883" i="2"/>
  <c r="AX884" i="2"/>
  <c r="AX885" i="2"/>
  <c r="AX886" i="2"/>
  <c r="AX887" i="2"/>
  <c r="AX888" i="2"/>
  <c r="AX889" i="2"/>
  <c r="AX890" i="2"/>
  <c r="AX891" i="2"/>
  <c r="AX892" i="2"/>
  <c r="AX893" i="2"/>
  <c r="AX894" i="2"/>
  <c r="AX895" i="2"/>
  <c r="AX896" i="2"/>
  <c r="AX897" i="2"/>
  <c r="AX898" i="2"/>
  <c r="AX899" i="2"/>
  <c r="AX900" i="2"/>
  <c r="AX901" i="2"/>
  <c r="AX902" i="2"/>
  <c r="AX903" i="2"/>
  <c r="AX904" i="2"/>
  <c r="AX905" i="2"/>
  <c r="AX906" i="2"/>
  <c r="AX907" i="2"/>
  <c r="AX908" i="2"/>
  <c r="AX909" i="2"/>
  <c r="AX910" i="2"/>
  <c r="AX911" i="2"/>
  <c r="AX912" i="2"/>
  <c r="AX913" i="2"/>
  <c r="AX914" i="2"/>
  <c r="AX915" i="2"/>
  <c r="AX916" i="2"/>
  <c r="AX917" i="2"/>
  <c r="AX918" i="2"/>
  <c r="AX919" i="2"/>
  <c r="AX920" i="2"/>
  <c r="AX921" i="2"/>
  <c r="AX922" i="2"/>
  <c r="AX923" i="2"/>
  <c r="AX924" i="2"/>
  <c r="AX925" i="2"/>
  <c r="AX926" i="2"/>
  <c r="AX927" i="2"/>
  <c r="AX928" i="2"/>
  <c r="AX929" i="2"/>
  <c r="AX930" i="2"/>
  <c r="AX931" i="2"/>
  <c r="AX932" i="2"/>
  <c r="AX933" i="2"/>
  <c r="AX934" i="2"/>
  <c r="AX935" i="2"/>
  <c r="AX936" i="2"/>
  <c r="AX937" i="2"/>
  <c r="AX938" i="2"/>
  <c r="AX939" i="2"/>
  <c r="AX940" i="2"/>
  <c r="AX941" i="2"/>
  <c r="AX942" i="2"/>
  <c r="AX943" i="2"/>
  <c r="AX944" i="2"/>
  <c r="AX945" i="2"/>
  <c r="AX946" i="2"/>
  <c r="AX947" i="2"/>
  <c r="AX948" i="2"/>
  <c r="AX949" i="2"/>
  <c r="AX950" i="2"/>
  <c r="AX951" i="2"/>
  <c r="AX952" i="2"/>
  <c r="AX953" i="2"/>
  <c r="AX954" i="2"/>
  <c r="AX955" i="2"/>
  <c r="AX956" i="2"/>
  <c r="AX957" i="2"/>
  <c r="AX958" i="2"/>
  <c r="AX959" i="2"/>
  <c r="AX960" i="2"/>
  <c r="AX961" i="2"/>
  <c r="AX962" i="2"/>
  <c r="AX963" i="2"/>
  <c r="AX964" i="2"/>
  <c r="AX965" i="2"/>
  <c r="AX966" i="2"/>
  <c r="AX967" i="2"/>
  <c r="AX968" i="2"/>
  <c r="AX969" i="2"/>
  <c r="AX970" i="2"/>
  <c r="AX971" i="2"/>
  <c r="AX972" i="2"/>
  <c r="AX973" i="2"/>
  <c r="AX974" i="2"/>
  <c r="AX975" i="2"/>
  <c r="AX976" i="2"/>
  <c r="AX977" i="2"/>
  <c r="AX978" i="2"/>
  <c r="AX979" i="2"/>
  <c r="AX980" i="2"/>
  <c r="AX981" i="2"/>
  <c r="AX982" i="2"/>
  <c r="AX983" i="2"/>
  <c r="AX984" i="2"/>
  <c r="AX985" i="2"/>
  <c r="AX986" i="2"/>
  <c r="AX987" i="2"/>
  <c r="AX988" i="2"/>
  <c r="AX989" i="2"/>
  <c r="AX990" i="2"/>
  <c r="AX991" i="2"/>
  <c r="AX992" i="2"/>
  <c r="AX993" i="2"/>
  <c r="AX994" i="2"/>
  <c r="AX995" i="2"/>
  <c r="AX996" i="2"/>
  <c r="AX997" i="2"/>
  <c r="AX998" i="2"/>
  <c r="AX999" i="2"/>
  <c r="AX1000" i="2"/>
  <c r="AX1001" i="2"/>
  <c r="AX1002" i="2"/>
  <c r="AX1003" i="2"/>
  <c r="AX1004" i="2"/>
  <c r="AX1005" i="2"/>
  <c r="AX1006" i="2"/>
  <c r="AX1007" i="2"/>
  <c r="AX1008" i="2"/>
  <c r="AX1009" i="2"/>
  <c r="AX1010" i="2"/>
  <c r="AX1011" i="2"/>
  <c r="AX1012" i="2"/>
  <c r="AX1013" i="2"/>
  <c r="AX1014" i="2"/>
  <c r="AX1015" i="2"/>
  <c r="AX1016" i="2"/>
  <c r="AX1017" i="2"/>
  <c r="AX1018" i="2"/>
  <c r="AX1019" i="2"/>
  <c r="AX1020" i="2"/>
  <c r="AX1021" i="2"/>
  <c r="AX1022" i="2"/>
  <c r="AX1023" i="2"/>
  <c r="AX1024" i="2"/>
  <c r="AX1025" i="2"/>
  <c r="AX1026" i="2"/>
  <c r="AX1027" i="2"/>
  <c r="AX1028" i="2"/>
  <c r="AX1029" i="2"/>
  <c r="AX1030" i="2"/>
  <c r="AX1031" i="2"/>
  <c r="AX1032" i="2"/>
  <c r="AX1033" i="2"/>
  <c r="AX1034" i="2"/>
  <c r="AX1035" i="2"/>
  <c r="AX1036" i="2"/>
  <c r="AX1037" i="2"/>
  <c r="AX1038" i="2"/>
  <c r="AX1039" i="2"/>
  <c r="AX1040" i="2"/>
  <c r="AX1041" i="2"/>
  <c r="AX1042" i="2"/>
  <c r="AX1043" i="2"/>
  <c r="AX1044" i="2"/>
  <c r="AX1045" i="2"/>
  <c r="AX1046" i="2"/>
  <c r="AX1047" i="2"/>
  <c r="AX1048" i="2"/>
  <c r="AX1049" i="2"/>
  <c r="AX1050" i="2"/>
  <c r="AX1051" i="2"/>
  <c r="AX1052" i="2"/>
  <c r="AX1053" i="2"/>
  <c r="AX1054" i="2"/>
  <c r="AX1055" i="2"/>
  <c r="AX1056" i="2"/>
  <c r="AX1057" i="2"/>
  <c r="AX1058" i="2"/>
  <c r="AX1059" i="2"/>
  <c r="AX1060" i="2"/>
  <c r="AX1061" i="2"/>
  <c r="AX1062" i="2"/>
  <c r="AX1063" i="2"/>
  <c r="AX1064" i="2"/>
  <c r="AX1065" i="2"/>
  <c r="AX1066" i="2"/>
  <c r="AX1067" i="2"/>
  <c r="AX1068" i="2"/>
  <c r="AX1069" i="2"/>
  <c r="AX1070" i="2"/>
  <c r="AX1071" i="2"/>
  <c r="AX1072" i="2"/>
  <c r="AX1073" i="2"/>
  <c r="AX1074" i="2"/>
  <c r="AX1075" i="2"/>
  <c r="AX1076" i="2"/>
  <c r="AX1077" i="2"/>
  <c r="AX1078" i="2"/>
  <c r="AX1079" i="2"/>
  <c r="AX1080" i="2"/>
  <c r="AX1081" i="2"/>
  <c r="AX1082" i="2"/>
  <c r="AX1083" i="2"/>
  <c r="AX1084" i="2"/>
  <c r="AX1085" i="2"/>
  <c r="AX1086" i="2"/>
  <c r="AX1087" i="2"/>
  <c r="AX1088" i="2"/>
  <c r="AX1089" i="2"/>
  <c r="AX1090" i="2"/>
  <c r="AX1091" i="2"/>
  <c r="AX1092" i="2"/>
  <c r="AX1093" i="2"/>
  <c r="AX1094" i="2"/>
  <c r="AX1095" i="2"/>
  <c r="AX1096" i="2"/>
  <c r="AX1097" i="2"/>
  <c r="AX2" i="2"/>
  <c r="AV3" i="2"/>
  <c r="AV4" i="2"/>
  <c r="AV5" i="2"/>
  <c r="AV6" i="2"/>
  <c r="AV7" i="2"/>
  <c r="AV8" i="2"/>
  <c r="AV9" i="2"/>
  <c r="AV10" i="2"/>
  <c r="AV11" i="2"/>
  <c r="AV12" i="2"/>
  <c r="AV13" i="2"/>
  <c r="AV14" i="2"/>
  <c r="AV15" i="2"/>
  <c r="AV16" i="2"/>
  <c r="AV17" i="2"/>
  <c r="AV18" i="2"/>
  <c r="AV19" i="2"/>
  <c r="AV20" i="2"/>
  <c r="AV21" i="2"/>
  <c r="AV22" i="2"/>
  <c r="AV23" i="2"/>
  <c r="AV24" i="2"/>
  <c r="AV25" i="2"/>
  <c r="AV26" i="2"/>
  <c r="AV27" i="2"/>
  <c r="AV28" i="2"/>
  <c r="AV29" i="2"/>
  <c r="AV30" i="2"/>
  <c r="AV31" i="2"/>
  <c r="AV32" i="2"/>
  <c r="AV33" i="2"/>
  <c r="AV34" i="2"/>
  <c r="AV35" i="2"/>
  <c r="AV36" i="2"/>
  <c r="AV37" i="2"/>
  <c r="AV38" i="2"/>
  <c r="AV39" i="2"/>
  <c r="AV40" i="2"/>
  <c r="AV41" i="2"/>
  <c r="AV42" i="2"/>
  <c r="AV43" i="2"/>
  <c r="AV44" i="2"/>
  <c r="AV45" i="2"/>
  <c r="AV46" i="2"/>
  <c r="AV47" i="2"/>
  <c r="AV48" i="2"/>
  <c r="AV49" i="2"/>
  <c r="AV50" i="2"/>
  <c r="AV51" i="2"/>
  <c r="AV52" i="2"/>
  <c r="AV53" i="2"/>
  <c r="AV54" i="2"/>
  <c r="AV55" i="2"/>
  <c r="AV56" i="2"/>
  <c r="AV57" i="2"/>
  <c r="AV58" i="2"/>
  <c r="AV59" i="2"/>
  <c r="AV60" i="2"/>
  <c r="AV61" i="2"/>
  <c r="AV62" i="2"/>
  <c r="AV63" i="2"/>
  <c r="AV64" i="2"/>
  <c r="AV65" i="2"/>
  <c r="AV66" i="2"/>
  <c r="AV67" i="2"/>
  <c r="AV68" i="2"/>
  <c r="AV69" i="2"/>
  <c r="AV70" i="2"/>
  <c r="AV71" i="2"/>
  <c r="AV72" i="2"/>
  <c r="AV73" i="2"/>
  <c r="AV74" i="2"/>
  <c r="AV75" i="2"/>
  <c r="AV76" i="2"/>
  <c r="AV77" i="2"/>
  <c r="AV78" i="2"/>
  <c r="AV79" i="2"/>
  <c r="AV80" i="2"/>
  <c r="AV81" i="2"/>
  <c r="AV82" i="2"/>
  <c r="AV83" i="2"/>
  <c r="AV84" i="2"/>
  <c r="AV85" i="2"/>
  <c r="AV86" i="2"/>
  <c r="AV87" i="2"/>
  <c r="AV88" i="2"/>
  <c r="AV89" i="2"/>
  <c r="AV90" i="2"/>
  <c r="AV91" i="2"/>
  <c r="AV92" i="2"/>
  <c r="AV93" i="2"/>
  <c r="AV94" i="2"/>
  <c r="AV95" i="2"/>
  <c r="AV96" i="2"/>
  <c r="AV97" i="2"/>
  <c r="AV98" i="2"/>
  <c r="AV99" i="2"/>
  <c r="AV100" i="2"/>
  <c r="AV101" i="2"/>
  <c r="AV102" i="2"/>
  <c r="AV103" i="2"/>
  <c r="AV104" i="2"/>
  <c r="AV105" i="2"/>
  <c r="AV106" i="2"/>
  <c r="AV107" i="2"/>
  <c r="AV108" i="2"/>
  <c r="AV109" i="2"/>
  <c r="AV110" i="2"/>
  <c r="AV111" i="2"/>
  <c r="AV112" i="2"/>
  <c r="AV113" i="2"/>
  <c r="AV114" i="2"/>
  <c r="AV115" i="2"/>
  <c r="AV116" i="2"/>
  <c r="AV117" i="2"/>
  <c r="AV118" i="2"/>
  <c r="AV119" i="2"/>
  <c r="AV120" i="2"/>
  <c r="AV121" i="2"/>
  <c r="AV122" i="2"/>
  <c r="AV123" i="2"/>
  <c r="AV124" i="2"/>
  <c r="AV125" i="2"/>
  <c r="AV126" i="2"/>
  <c r="AV127" i="2"/>
  <c r="AV128" i="2"/>
  <c r="AV129" i="2"/>
  <c r="AV130" i="2"/>
  <c r="AV131" i="2"/>
  <c r="AV132" i="2"/>
  <c r="AV133" i="2"/>
  <c r="AV134" i="2"/>
  <c r="AV135" i="2"/>
  <c r="AV136" i="2"/>
  <c r="AV137" i="2"/>
  <c r="AV138" i="2"/>
  <c r="AV139" i="2"/>
  <c r="AV140" i="2"/>
  <c r="AV141" i="2"/>
  <c r="AV142" i="2"/>
  <c r="AV143" i="2"/>
  <c r="AV144" i="2"/>
  <c r="AV145" i="2"/>
  <c r="AV146" i="2"/>
  <c r="AV147" i="2"/>
  <c r="AV148" i="2"/>
  <c r="AV149" i="2"/>
  <c r="AV150" i="2"/>
  <c r="AV151" i="2"/>
  <c r="AV152" i="2"/>
  <c r="AV153" i="2"/>
  <c r="AV154" i="2"/>
  <c r="AV155" i="2"/>
  <c r="AV156" i="2"/>
  <c r="AV157" i="2"/>
  <c r="AV158" i="2"/>
  <c r="AV159" i="2"/>
  <c r="AV160" i="2"/>
  <c r="AV161" i="2"/>
  <c r="AV162" i="2"/>
  <c r="AV163" i="2"/>
  <c r="AV164" i="2"/>
  <c r="AV165" i="2"/>
  <c r="AV166" i="2"/>
  <c r="AV167" i="2"/>
  <c r="AV168" i="2"/>
  <c r="AV169" i="2"/>
  <c r="AV170" i="2"/>
  <c r="AV171" i="2"/>
  <c r="AV172" i="2"/>
  <c r="AV173" i="2"/>
  <c r="AV174" i="2"/>
  <c r="AV175" i="2"/>
  <c r="AV176" i="2"/>
  <c r="AV177" i="2"/>
  <c r="AV178" i="2"/>
  <c r="AV179" i="2"/>
  <c r="AV180" i="2"/>
  <c r="AV181" i="2"/>
  <c r="AV182" i="2"/>
  <c r="AV183" i="2"/>
  <c r="AV184" i="2"/>
  <c r="AV185" i="2"/>
  <c r="AV186" i="2"/>
  <c r="AV187" i="2"/>
  <c r="AV188" i="2"/>
  <c r="AV189" i="2"/>
  <c r="AV190" i="2"/>
  <c r="AV191" i="2"/>
  <c r="AV192" i="2"/>
  <c r="AV193" i="2"/>
  <c r="AV194" i="2"/>
  <c r="AV195" i="2"/>
  <c r="AV196" i="2"/>
  <c r="AV197" i="2"/>
  <c r="AV198" i="2"/>
  <c r="AV199" i="2"/>
  <c r="AV200" i="2"/>
  <c r="AV201" i="2"/>
  <c r="AV202" i="2"/>
  <c r="AV203" i="2"/>
  <c r="AV204" i="2"/>
  <c r="AV205" i="2"/>
  <c r="AV206" i="2"/>
  <c r="AV207" i="2"/>
  <c r="AV208" i="2"/>
  <c r="AV209" i="2"/>
  <c r="AV210" i="2"/>
  <c r="AV211" i="2"/>
  <c r="AV212" i="2"/>
  <c r="AV213" i="2"/>
  <c r="AV214" i="2"/>
  <c r="AV215" i="2"/>
  <c r="AV216" i="2"/>
  <c r="AV217" i="2"/>
  <c r="AV218" i="2"/>
  <c r="AV219" i="2"/>
  <c r="AV220" i="2"/>
  <c r="AV221" i="2"/>
  <c r="AV222" i="2"/>
  <c r="AV223" i="2"/>
  <c r="AV224" i="2"/>
  <c r="AV225" i="2"/>
  <c r="AV226" i="2"/>
  <c r="AV227" i="2"/>
  <c r="AV228" i="2"/>
  <c r="AV229" i="2"/>
  <c r="AV230" i="2"/>
  <c r="AV231" i="2"/>
  <c r="AV232" i="2"/>
  <c r="AV233" i="2"/>
  <c r="AV234" i="2"/>
  <c r="AV235" i="2"/>
  <c r="AV236" i="2"/>
  <c r="AV237" i="2"/>
  <c r="AV238" i="2"/>
  <c r="AV239" i="2"/>
  <c r="AV240" i="2"/>
  <c r="AV241" i="2"/>
  <c r="AV242" i="2"/>
  <c r="AV243" i="2"/>
  <c r="AV244" i="2"/>
  <c r="AV245" i="2"/>
  <c r="AV246" i="2"/>
  <c r="AV247" i="2"/>
  <c r="AV248" i="2"/>
  <c r="AV249" i="2"/>
  <c r="AV250" i="2"/>
  <c r="AV251" i="2"/>
  <c r="AV252" i="2"/>
  <c r="AV253" i="2"/>
  <c r="AV254" i="2"/>
  <c r="AV255" i="2"/>
  <c r="AV256" i="2"/>
  <c r="AV257" i="2"/>
  <c r="AV258" i="2"/>
  <c r="AV259" i="2"/>
  <c r="AV260" i="2"/>
  <c r="AV261" i="2"/>
  <c r="AV262" i="2"/>
  <c r="AV263" i="2"/>
  <c r="AV264" i="2"/>
  <c r="AV265" i="2"/>
  <c r="AV266" i="2"/>
  <c r="AV267" i="2"/>
  <c r="AV268" i="2"/>
  <c r="AV269" i="2"/>
  <c r="AV270" i="2"/>
  <c r="AV271" i="2"/>
  <c r="AV272" i="2"/>
  <c r="AV273" i="2"/>
  <c r="AV274" i="2"/>
  <c r="AV275" i="2"/>
  <c r="AV276" i="2"/>
  <c r="AV277" i="2"/>
  <c r="AV278" i="2"/>
  <c r="AV279" i="2"/>
  <c r="AV280" i="2"/>
  <c r="AV281" i="2"/>
  <c r="AV282" i="2"/>
  <c r="AV283" i="2"/>
  <c r="AV284" i="2"/>
  <c r="AV285" i="2"/>
  <c r="AV286" i="2"/>
  <c r="AV287" i="2"/>
  <c r="AV288" i="2"/>
  <c r="AV289" i="2"/>
  <c r="AV290" i="2"/>
  <c r="AV291" i="2"/>
  <c r="AV292" i="2"/>
  <c r="AV293" i="2"/>
  <c r="AV294" i="2"/>
  <c r="AV295" i="2"/>
  <c r="AV296" i="2"/>
  <c r="AV297" i="2"/>
  <c r="AV298" i="2"/>
  <c r="AV299" i="2"/>
  <c r="AV300" i="2"/>
  <c r="AV301" i="2"/>
  <c r="AV302" i="2"/>
  <c r="AV303" i="2"/>
  <c r="AV304" i="2"/>
  <c r="AV305" i="2"/>
  <c r="AV306" i="2"/>
  <c r="AV307" i="2"/>
  <c r="AV308" i="2"/>
  <c r="AV309" i="2"/>
  <c r="AV310" i="2"/>
  <c r="AV311" i="2"/>
  <c r="AV312" i="2"/>
  <c r="AV313" i="2"/>
  <c r="AV314" i="2"/>
  <c r="AV315" i="2"/>
  <c r="AV316" i="2"/>
  <c r="AV317" i="2"/>
  <c r="AV318" i="2"/>
  <c r="AV319" i="2"/>
  <c r="AV320" i="2"/>
  <c r="AV321" i="2"/>
  <c r="AV322" i="2"/>
  <c r="AV323" i="2"/>
  <c r="AV324" i="2"/>
  <c r="AV325" i="2"/>
  <c r="AV326" i="2"/>
  <c r="AV327" i="2"/>
  <c r="AV328" i="2"/>
  <c r="AV329" i="2"/>
  <c r="AV330" i="2"/>
  <c r="AV331" i="2"/>
  <c r="AV332" i="2"/>
  <c r="AV333" i="2"/>
  <c r="AV334" i="2"/>
  <c r="AV335" i="2"/>
  <c r="AV336" i="2"/>
  <c r="AV337" i="2"/>
  <c r="AV338" i="2"/>
  <c r="AV339" i="2"/>
  <c r="AV340" i="2"/>
  <c r="AV341" i="2"/>
  <c r="AV342" i="2"/>
  <c r="AV343" i="2"/>
  <c r="AV344" i="2"/>
  <c r="AV345" i="2"/>
  <c r="AV346" i="2"/>
  <c r="AV347" i="2"/>
  <c r="AV348" i="2"/>
  <c r="AV349" i="2"/>
  <c r="AV350" i="2"/>
  <c r="AV351" i="2"/>
  <c r="AV352" i="2"/>
  <c r="AV353" i="2"/>
  <c r="AV354" i="2"/>
  <c r="AV355" i="2"/>
  <c r="AV356" i="2"/>
  <c r="AV357" i="2"/>
  <c r="AV358" i="2"/>
  <c r="AV359" i="2"/>
  <c r="AV360" i="2"/>
  <c r="AV361" i="2"/>
  <c r="AV362" i="2"/>
  <c r="AV363" i="2"/>
  <c r="AV364" i="2"/>
  <c r="AV365" i="2"/>
  <c r="AV366" i="2"/>
  <c r="AV367" i="2"/>
  <c r="AV368" i="2"/>
  <c r="AV369" i="2"/>
  <c r="AV370" i="2"/>
  <c r="AV371" i="2"/>
  <c r="AV372" i="2"/>
  <c r="AV373" i="2"/>
  <c r="AV374" i="2"/>
  <c r="AV375" i="2"/>
  <c r="AV376" i="2"/>
  <c r="AV377" i="2"/>
  <c r="AV378" i="2"/>
  <c r="AV379" i="2"/>
  <c r="AV380" i="2"/>
  <c r="AV381" i="2"/>
  <c r="AV382" i="2"/>
  <c r="AV383" i="2"/>
  <c r="AV384" i="2"/>
  <c r="AV385" i="2"/>
  <c r="AV386" i="2"/>
  <c r="AV387" i="2"/>
  <c r="AV388" i="2"/>
  <c r="AV389" i="2"/>
  <c r="AV390" i="2"/>
  <c r="AV391" i="2"/>
  <c r="AV392" i="2"/>
  <c r="AV393" i="2"/>
  <c r="AV394" i="2"/>
  <c r="AV395" i="2"/>
  <c r="AV396" i="2"/>
  <c r="AV397" i="2"/>
  <c r="AV398" i="2"/>
  <c r="AV399" i="2"/>
  <c r="AV400" i="2"/>
  <c r="AV401" i="2"/>
  <c r="AV402" i="2"/>
  <c r="AV403" i="2"/>
  <c r="AV404" i="2"/>
  <c r="AV405" i="2"/>
  <c r="AV406" i="2"/>
  <c r="AV407" i="2"/>
  <c r="AV408" i="2"/>
  <c r="AV409" i="2"/>
  <c r="AV410" i="2"/>
  <c r="AV411" i="2"/>
  <c r="AV412" i="2"/>
  <c r="AV413" i="2"/>
  <c r="AV414" i="2"/>
  <c r="AV415" i="2"/>
  <c r="AV416" i="2"/>
  <c r="AV417" i="2"/>
  <c r="AV418" i="2"/>
  <c r="AV419" i="2"/>
  <c r="AV420" i="2"/>
  <c r="AV421" i="2"/>
  <c r="AV422" i="2"/>
  <c r="AV423" i="2"/>
  <c r="AV424" i="2"/>
  <c r="AV425" i="2"/>
  <c r="AV426" i="2"/>
  <c r="AV427" i="2"/>
  <c r="AV428" i="2"/>
  <c r="AV429" i="2"/>
  <c r="AV430" i="2"/>
  <c r="AV431" i="2"/>
  <c r="AV432" i="2"/>
  <c r="AV433" i="2"/>
  <c r="AV434" i="2"/>
  <c r="AV435" i="2"/>
  <c r="AV436" i="2"/>
  <c r="AV437" i="2"/>
  <c r="AV438" i="2"/>
  <c r="AV439" i="2"/>
  <c r="AV440" i="2"/>
  <c r="AV441" i="2"/>
  <c r="AV442" i="2"/>
  <c r="AV443" i="2"/>
  <c r="AV444" i="2"/>
  <c r="AV445" i="2"/>
  <c r="AV446" i="2"/>
  <c r="AV447" i="2"/>
  <c r="AV448" i="2"/>
  <c r="AV449" i="2"/>
  <c r="AV450" i="2"/>
  <c r="AV451" i="2"/>
  <c r="AV452" i="2"/>
  <c r="AV453" i="2"/>
  <c r="AV454" i="2"/>
  <c r="AV455" i="2"/>
  <c r="AV456" i="2"/>
  <c r="AV457" i="2"/>
  <c r="AV458" i="2"/>
  <c r="AV459" i="2"/>
  <c r="AV460" i="2"/>
  <c r="AV461" i="2"/>
  <c r="AV462" i="2"/>
  <c r="AV463" i="2"/>
  <c r="AV464" i="2"/>
  <c r="AV465" i="2"/>
  <c r="AV466" i="2"/>
  <c r="AV467" i="2"/>
  <c r="AV468" i="2"/>
  <c r="AV469" i="2"/>
  <c r="AV470" i="2"/>
  <c r="AV471" i="2"/>
  <c r="AV472" i="2"/>
  <c r="AV473" i="2"/>
  <c r="AV474" i="2"/>
  <c r="AV475" i="2"/>
  <c r="AV476" i="2"/>
  <c r="AV477" i="2"/>
  <c r="AV478" i="2"/>
  <c r="AV479" i="2"/>
  <c r="AV480" i="2"/>
  <c r="AV481" i="2"/>
  <c r="AV482" i="2"/>
  <c r="AV483" i="2"/>
  <c r="AV484" i="2"/>
  <c r="AV485" i="2"/>
  <c r="AV486" i="2"/>
  <c r="AV487" i="2"/>
  <c r="AV488" i="2"/>
  <c r="AV489" i="2"/>
  <c r="AV490" i="2"/>
  <c r="AV491" i="2"/>
  <c r="AV492" i="2"/>
  <c r="AV493" i="2"/>
  <c r="AV494" i="2"/>
  <c r="AV495" i="2"/>
  <c r="AV496" i="2"/>
  <c r="AV497" i="2"/>
  <c r="AV498" i="2"/>
  <c r="AV499" i="2"/>
  <c r="AV500" i="2"/>
  <c r="AV501" i="2"/>
  <c r="AV502" i="2"/>
  <c r="AV503" i="2"/>
  <c r="AV504" i="2"/>
  <c r="AV505" i="2"/>
  <c r="AV506" i="2"/>
  <c r="AV507" i="2"/>
  <c r="AV508" i="2"/>
  <c r="AV509" i="2"/>
  <c r="AV510" i="2"/>
  <c r="AV511" i="2"/>
  <c r="AV512" i="2"/>
  <c r="AV513" i="2"/>
  <c r="AV514" i="2"/>
  <c r="AV515" i="2"/>
  <c r="AV516" i="2"/>
  <c r="AV517" i="2"/>
  <c r="AV518" i="2"/>
  <c r="AV519" i="2"/>
  <c r="AV520" i="2"/>
  <c r="AV521" i="2"/>
  <c r="AV522" i="2"/>
  <c r="AV523" i="2"/>
  <c r="AV524" i="2"/>
  <c r="AV525" i="2"/>
  <c r="AV526" i="2"/>
  <c r="AV527" i="2"/>
  <c r="AV528" i="2"/>
  <c r="AV529" i="2"/>
  <c r="AV530" i="2"/>
  <c r="AV531" i="2"/>
  <c r="AV532" i="2"/>
  <c r="AV533" i="2"/>
  <c r="AV534" i="2"/>
  <c r="AV535" i="2"/>
  <c r="AV536" i="2"/>
  <c r="AV537" i="2"/>
  <c r="AV538" i="2"/>
  <c r="AV539" i="2"/>
  <c r="AV540" i="2"/>
  <c r="AV541" i="2"/>
  <c r="AV542" i="2"/>
  <c r="AV543" i="2"/>
  <c r="AV544" i="2"/>
  <c r="AV545" i="2"/>
  <c r="AV546" i="2"/>
  <c r="AV547" i="2"/>
  <c r="AV548" i="2"/>
  <c r="AV549" i="2"/>
  <c r="AV550" i="2"/>
  <c r="AV551" i="2"/>
  <c r="AV552" i="2"/>
  <c r="AV553" i="2"/>
  <c r="AV554" i="2"/>
  <c r="AV555" i="2"/>
  <c r="AV556" i="2"/>
  <c r="AV557" i="2"/>
  <c r="AV558" i="2"/>
  <c r="AV559" i="2"/>
  <c r="AV560" i="2"/>
  <c r="AV561" i="2"/>
  <c r="AV562" i="2"/>
  <c r="AV563" i="2"/>
  <c r="AV564" i="2"/>
  <c r="AV565" i="2"/>
  <c r="AV566" i="2"/>
  <c r="AV567" i="2"/>
  <c r="AV568" i="2"/>
  <c r="AV569" i="2"/>
  <c r="AV570" i="2"/>
  <c r="AV571" i="2"/>
  <c r="AV572" i="2"/>
  <c r="AV573" i="2"/>
  <c r="AV574" i="2"/>
  <c r="AV575" i="2"/>
  <c r="AV576" i="2"/>
  <c r="AV577" i="2"/>
  <c r="AV578" i="2"/>
  <c r="AV579" i="2"/>
  <c r="AV580" i="2"/>
  <c r="AV581" i="2"/>
  <c r="AV582" i="2"/>
  <c r="AV583" i="2"/>
  <c r="AV584" i="2"/>
  <c r="AV585" i="2"/>
  <c r="AV586" i="2"/>
  <c r="AV587" i="2"/>
  <c r="AV588" i="2"/>
  <c r="AV589" i="2"/>
  <c r="AV590" i="2"/>
  <c r="AV591" i="2"/>
  <c r="AV592" i="2"/>
  <c r="AV593" i="2"/>
  <c r="AV594" i="2"/>
  <c r="AV595" i="2"/>
  <c r="AV596" i="2"/>
  <c r="AV597" i="2"/>
  <c r="AV598" i="2"/>
  <c r="AV599" i="2"/>
  <c r="AV600" i="2"/>
  <c r="AV601" i="2"/>
  <c r="AV602" i="2"/>
  <c r="AV603" i="2"/>
  <c r="AV604" i="2"/>
  <c r="AV605" i="2"/>
  <c r="AV606" i="2"/>
  <c r="AV607" i="2"/>
  <c r="AV608" i="2"/>
  <c r="AV609" i="2"/>
  <c r="AV610" i="2"/>
  <c r="AV611" i="2"/>
  <c r="AV612" i="2"/>
  <c r="AV613" i="2"/>
  <c r="AV614" i="2"/>
  <c r="AV615" i="2"/>
  <c r="AV616" i="2"/>
  <c r="AV617" i="2"/>
  <c r="AV618" i="2"/>
  <c r="AV619" i="2"/>
  <c r="AV620" i="2"/>
  <c r="AV621" i="2"/>
  <c r="AV622" i="2"/>
  <c r="AV623" i="2"/>
  <c r="AV624" i="2"/>
  <c r="AV625" i="2"/>
  <c r="AV626" i="2"/>
  <c r="AV627" i="2"/>
  <c r="AV628" i="2"/>
  <c r="AV629" i="2"/>
  <c r="AV630" i="2"/>
  <c r="AV631" i="2"/>
  <c r="AV632" i="2"/>
  <c r="AV633" i="2"/>
  <c r="AV634" i="2"/>
  <c r="AV635" i="2"/>
  <c r="AV636" i="2"/>
  <c r="AV637" i="2"/>
  <c r="AV638" i="2"/>
  <c r="AV639" i="2"/>
  <c r="AV640" i="2"/>
  <c r="AV641" i="2"/>
  <c r="AV642" i="2"/>
  <c r="AV643" i="2"/>
  <c r="AV644" i="2"/>
  <c r="AV645" i="2"/>
  <c r="AV646" i="2"/>
  <c r="AV647" i="2"/>
  <c r="AV648" i="2"/>
  <c r="AV649" i="2"/>
  <c r="AV650" i="2"/>
  <c r="AV651" i="2"/>
  <c r="AV652" i="2"/>
  <c r="AV653" i="2"/>
  <c r="AV654" i="2"/>
  <c r="AV655" i="2"/>
  <c r="AV656" i="2"/>
  <c r="AV657" i="2"/>
  <c r="AV658" i="2"/>
  <c r="AV659" i="2"/>
  <c r="AV660" i="2"/>
  <c r="AV661" i="2"/>
  <c r="AV662" i="2"/>
  <c r="AV663" i="2"/>
  <c r="AV664" i="2"/>
  <c r="AV665" i="2"/>
  <c r="AV666" i="2"/>
  <c r="AV667" i="2"/>
  <c r="AV668" i="2"/>
  <c r="AV669" i="2"/>
  <c r="AV670" i="2"/>
  <c r="AV671" i="2"/>
  <c r="AV672" i="2"/>
  <c r="AV673" i="2"/>
  <c r="AV674" i="2"/>
  <c r="AV675" i="2"/>
  <c r="AV676" i="2"/>
  <c r="AV677" i="2"/>
  <c r="AV678" i="2"/>
  <c r="AV679" i="2"/>
  <c r="AV680" i="2"/>
  <c r="AV681" i="2"/>
  <c r="AV682" i="2"/>
  <c r="AV683" i="2"/>
  <c r="AV684" i="2"/>
  <c r="AV685" i="2"/>
  <c r="AV686" i="2"/>
  <c r="AV687" i="2"/>
  <c r="AV688" i="2"/>
  <c r="AV689" i="2"/>
  <c r="AV690" i="2"/>
  <c r="AV691" i="2"/>
  <c r="AV692" i="2"/>
  <c r="AV693" i="2"/>
  <c r="AV694" i="2"/>
  <c r="AV695" i="2"/>
  <c r="AV696" i="2"/>
  <c r="AV697" i="2"/>
  <c r="AV698" i="2"/>
  <c r="AV699" i="2"/>
  <c r="AV700" i="2"/>
  <c r="AV701" i="2"/>
  <c r="AV702" i="2"/>
  <c r="AV703" i="2"/>
  <c r="AV704" i="2"/>
  <c r="AV705" i="2"/>
  <c r="AV706" i="2"/>
  <c r="AV707" i="2"/>
  <c r="AV708" i="2"/>
  <c r="AV709" i="2"/>
  <c r="AV710" i="2"/>
  <c r="AV711" i="2"/>
  <c r="AV712" i="2"/>
  <c r="AV713" i="2"/>
  <c r="AV714" i="2"/>
  <c r="AV715" i="2"/>
  <c r="AV716" i="2"/>
  <c r="AV717" i="2"/>
  <c r="AV718" i="2"/>
  <c r="AV719" i="2"/>
  <c r="AV720" i="2"/>
  <c r="AV721" i="2"/>
  <c r="AV722" i="2"/>
  <c r="AV723" i="2"/>
  <c r="AV724" i="2"/>
  <c r="AV725" i="2"/>
  <c r="AV726" i="2"/>
  <c r="AV727" i="2"/>
  <c r="AV728" i="2"/>
  <c r="AV729" i="2"/>
  <c r="AV730" i="2"/>
  <c r="AV731" i="2"/>
  <c r="AV732" i="2"/>
  <c r="AV733" i="2"/>
  <c r="AV734" i="2"/>
  <c r="AV735" i="2"/>
  <c r="AV736" i="2"/>
  <c r="AV737" i="2"/>
  <c r="AV738" i="2"/>
  <c r="AV739" i="2"/>
  <c r="AV740" i="2"/>
  <c r="AV741" i="2"/>
  <c r="AV742" i="2"/>
  <c r="AV743" i="2"/>
  <c r="AV744" i="2"/>
  <c r="AV745" i="2"/>
  <c r="AV746" i="2"/>
  <c r="AV747" i="2"/>
  <c r="AV748" i="2"/>
  <c r="AV749" i="2"/>
  <c r="AV750" i="2"/>
  <c r="AV751" i="2"/>
  <c r="AV752" i="2"/>
  <c r="AV753" i="2"/>
  <c r="AV754" i="2"/>
  <c r="AV755" i="2"/>
  <c r="AV756" i="2"/>
  <c r="AV757" i="2"/>
  <c r="AV758" i="2"/>
  <c r="AV759" i="2"/>
  <c r="AV760" i="2"/>
  <c r="AV761" i="2"/>
  <c r="AV762" i="2"/>
  <c r="AV763" i="2"/>
  <c r="AV764" i="2"/>
  <c r="AV765" i="2"/>
  <c r="AV766" i="2"/>
  <c r="AV767" i="2"/>
  <c r="AV768" i="2"/>
  <c r="AV769" i="2"/>
  <c r="AV770" i="2"/>
  <c r="AV771" i="2"/>
  <c r="AV772" i="2"/>
  <c r="AV773" i="2"/>
  <c r="AV774" i="2"/>
  <c r="AV775" i="2"/>
  <c r="AV776" i="2"/>
  <c r="AV777" i="2"/>
  <c r="AV778" i="2"/>
  <c r="AV779" i="2"/>
  <c r="AV780" i="2"/>
  <c r="AV781" i="2"/>
  <c r="AV782" i="2"/>
  <c r="AV783" i="2"/>
  <c r="AV784" i="2"/>
  <c r="AV785" i="2"/>
  <c r="AV786" i="2"/>
  <c r="AV787" i="2"/>
  <c r="AV788" i="2"/>
  <c r="AV789" i="2"/>
  <c r="AV790" i="2"/>
  <c r="AV791" i="2"/>
  <c r="AV792" i="2"/>
  <c r="AV793" i="2"/>
  <c r="AV794" i="2"/>
  <c r="AV795" i="2"/>
  <c r="AV796" i="2"/>
  <c r="AV797" i="2"/>
  <c r="AV798" i="2"/>
  <c r="AV799" i="2"/>
  <c r="AV800" i="2"/>
  <c r="AV801" i="2"/>
  <c r="AV802" i="2"/>
  <c r="AV803" i="2"/>
  <c r="AV804" i="2"/>
  <c r="AV805" i="2"/>
  <c r="AV806" i="2"/>
  <c r="AV807" i="2"/>
  <c r="AV808" i="2"/>
  <c r="AV809" i="2"/>
  <c r="AV810" i="2"/>
  <c r="AV811" i="2"/>
  <c r="AV812" i="2"/>
  <c r="AV813" i="2"/>
  <c r="AV814" i="2"/>
  <c r="AV815" i="2"/>
  <c r="AV816" i="2"/>
  <c r="AV817" i="2"/>
  <c r="AV818" i="2"/>
  <c r="AV819" i="2"/>
  <c r="AV820" i="2"/>
  <c r="AV821" i="2"/>
  <c r="AV822" i="2"/>
  <c r="AV823" i="2"/>
  <c r="AV824" i="2"/>
  <c r="AV825" i="2"/>
  <c r="AV826" i="2"/>
  <c r="AV827" i="2"/>
  <c r="AV828" i="2"/>
  <c r="AV829" i="2"/>
  <c r="AV830" i="2"/>
  <c r="AV831" i="2"/>
  <c r="AV832" i="2"/>
  <c r="AV833" i="2"/>
  <c r="AV834" i="2"/>
  <c r="AV835" i="2"/>
  <c r="AV836" i="2"/>
  <c r="AV837" i="2"/>
  <c r="AV838" i="2"/>
  <c r="AV839" i="2"/>
  <c r="AV840" i="2"/>
  <c r="AV841" i="2"/>
  <c r="AV842" i="2"/>
  <c r="AV843" i="2"/>
  <c r="AV844" i="2"/>
  <c r="AV845" i="2"/>
  <c r="AV846" i="2"/>
  <c r="AV847" i="2"/>
  <c r="AV848" i="2"/>
  <c r="AV849" i="2"/>
  <c r="AV850" i="2"/>
  <c r="AV851" i="2"/>
  <c r="AV852" i="2"/>
  <c r="AV853" i="2"/>
  <c r="AV854" i="2"/>
  <c r="AV855" i="2"/>
  <c r="AV856" i="2"/>
  <c r="AV857" i="2"/>
  <c r="AV858" i="2"/>
  <c r="AV859" i="2"/>
  <c r="AV860" i="2"/>
  <c r="AV861" i="2"/>
  <c r="AV862" i="2"/>
  <c r="AV863" i="2"/>
  <c r="AV864" i="2"/>
  <c r="AV865" i="2"/>
  <c r="AV866" i="2"/>
  <c r="AV867" i="2"/>
  <c r="AV868" i="2"/>
  <c r="AV869" i="2"/>
  <c r="AV870" i="2"/>
  <c r="AV871" i="2"/>
  <c r="AV872" i="2"/>
  <c r="AV873" i="2"/>
  <c r="AV874" i="2"/>
  <c r="AV875" i="2"/>
  <c r="AV876" i="2"/>
  <c r="AV877" i="2"/>
  <c r="AV878" i="2"/>
  <c r="AV879" i="2"/>
  <c r="AV880" i="2"/>
  <c r="AV881" i="2"/>
  <c r="AV882" i="2"/>
  <c r="AV883" i="2"/>
  <c r="AV884" i="2"/>
  <c r="AV885" i="2"/>
  <c r="AV886" i="2"/>
  <c r="AV887" i="2"/>
  <c r="AV888" i="2"/>
  <c r="AV889" i="2"/>
  <c r="AV890" i="2"/>
  <c r="AV891" i="2"/>
  <c r="AV892" i="2"/>
  <c r="AV893" i="2"/>
  <c r="AV894" i="2"/>
  <c r="AV895" i="2"/>
  <c r="AV896" i="2"/>
  <c r="AV897" i="2"/>
  <c r="AV898" i="2"/>
  <c r="AV899" i="2"/>
  <c r="AV900" i="2"/>
  <c r="AV901" i="2"/>
  <c r="AV902" i="2"/>
  <c r="AV903" i="2"/>
  <c r="AV904" i="2"/>
  <c r="AV905" i="2"/>
  <c r="AV906" i="2"/>
  <c r="AV907" i="2"/>
  <c r="AV908" i="2"/>
  <c r="AV909" i="2"/>
  <c r="AV910" i="2"/>
  <c r="AV911" i="2"/>
  <c r="AV912" i="2"/>
  <c r="AV913" i="2"/>
  <c r="AV914" i="2"/>
  <c r="AV915" i="2"/>
  <c r="AV916" i="2"/>
  <c r="AV917" i="2"/>
  <c r="AV918" i="2"/>
  <c r="AV919" i="2"/>
  <c r="AV920" i="2"/>
  <c r="AV921" i="2"/>
  <c r="AV922" i="2"/>
  <c r="AV923" i="2"/>
  <c r="AV924" i="2"/>
  <c r="AV925" i="2"/>
  <c r="AV926" i="2"/>
  <c r="AV927" i="2"/>
  <c r="AV928" i="2"/>
  <c r="AV929" i="2"/>
  <c r="AV930" i="2"/>
  <c r="AV931" i="2"/>
  <c r="AV932" i="2"/>
  <c r="AV933" i="2"/>
  <c r="AV934" i="2"/>
  <c r="AV935" i="2"/>
  <c r="AV936" i="2"/>
  <c r="AV937" i="2"/>
  <c r="AV938" i="2"/>
  <c r="AV939" i="2"/>
  <c r="AV940" i="2"/>
  <c r="AV941" i="2"/>
  <c r="AV942" i="2"/>
  <c r="AV943" i="2"/>
  <c r="AV944" i="2"/>
  <c r="AV945" i="2"/>
  <c r="AV946" i="2"/>
  <c r="AV947" i="2"/>
  <c r="AV948" i="2"/>
  <c r="AV949" i="2"/>
  <c r="AV950" i="2"/>
  <c r="AV951" i="2"/>
  <c r="AV952" i="2"/>
  <c r="AV953" i="2"/>
  <c r="AV954" i="2"/>
  <c r="AV955" i="2"/>
  <c r="AV956" i="2"/>
  <c r="AV957" i="2"/>
  <c r="AV958" i="2"/>
  <c r="AV959" i="2"/>
  <c r="AV960" i="2"/>
  <c r="AV961" i="2"/>
  <c r="AV962" i="2"/>
  <c r="AV963" i="2"/>
  <c r="AV964" i="2"/>
  <c r="AV965" i="2"/>
  <c r="AV966" i="2"/>
  <c r="AV967" i="2"/>
  <c r="AV968" i="2"/>
  <c r="AV969" i="2"/>
  <c r="AV970" i="2"/>
  <c r="AV971" i="2"/>
  <c r="AV972" i="2"/>
  <c r="AV973" i="2"/>
  <c r="AV974" i="2"/>
  <c r="AV975" i="2"/>
  <c r="AV976" i="2"/>
  <c r="AV977" i="2"/>
  <c r="AV978" i="2"/>
  <c r="AV979" i="2"/>
  <c r="AV980" i="2"/>
  <c r="AV981" i="2"/>
  <c r="AV982" i="2"/>
  <c r="AV983" i="2"/>
  <c r="AV984" i="2"/>
  <c r="AV985" i="2"/>
  <c r="AV986" i="2"/>
  <c r="AV987" i="2"/>
  <c r="AV988" i="2"/>
  <c r="AV989" i="2"/>
  <c r="AV990" i="2"/>
  <c r="AV991" i="2"/>
  <c r="AV992" i="2"/>
  <c r="AV993" i="2"/>
  <c r="AV994" i="2"/>
  <c r="AV995" i="2"/>
  <c r="AV996" i="2"/>
  <c r="AV997" i="2"/>
  <c r="AV998" i="2"/>
  <c r="AV999" i="2"/>
  <c r="AV1000" i="2"/>
  <c r="AV1001" i="2"/>
  <c r="AV1002" i="2"/>
  <c r="AV1003" i="2"/>
  <c r="AV1004" i="2"/>
  <c r="AV1005" i="2"/>
  <c r="AV1006" i="2"/>
  <c r="AV1007" i="2"/>
  <c r="AV1008" i="2"/>
  <c r="AV1009" i="2"/>
  <c r="AV1010" i="2"/>
  <c r="AV1011" i="2"/>
  <c r="AV1012" i="2"/>
  <c r="AV1013" i="2"/>
  <c r="AV1014" i="2"/>
  <c r="AV1015" i="2"/>
  <c r="AV1016" i="2"/>
  <c r="AV1017" i="2"/>
  <c r="AV1018" i="2"/>
  <c r="AV1019" i="2"/>
  <c r="AV1020" i="2"/>
  <c r="AV1021" i="2"/>
  <c r="AV1022" i="2"/>
  <c r="AV1023" i="2"/>
  <c r="AV1024" i="2"/>
  <c r="AV1025" i="2"/>
  <c r="AV1026" i="2"/>
  <c r="AV1027" i="2"/>
  <c r="AV1028" i="2"/>
  <c r="AV1029" i="2"/>
  <c r="AV1030" i="2"/>
  <c r="AV1031" i="2"/>
  <c r="AV1032" i="2"/>
  <c r="AV1033" i="2"/>
  <c r="AV1034" i="2"/>
  <c r="AV1035" i="2"/>
  <c r="AV1036" i="2"/>
  <c r="AV1037" i="2"/>
  <c r="AV1038" i="2"/>
  <c r="AV1039" i="2"/>
  <c r="AV1040" i="2"/>
  <c r="AV1041" i="2"/>
  <c r="AV1042" i="2"/>
  <c r="AV1043" i="2"/>
  <c r="AV1044" i="2"/>
  <c r="AV1045" i="2"/>
  <c r="AV1046" i="2"/>
  <c r="AV1047" i="2"/>
  <c r="AV1048" i="2"/>
  <c r="AV1049" i="2"/>
  <c r="AV1050" i="2"/>
  <c r="AV1051" i="2"/>
  <c r="AV1052" i="2"/>
  <c r="AV1053" i="2"/>
  <c r="AV1054" i="2"/>
  <c r="AV1055" i="2"/>
  <c r="AV1056" i="2"/>
  <c r="AV1057" i="2"/>
  <c r="AV1058" i="2"/>
  <c r="AV1059" i="2"/>
  <c r="AV1060" i="2"/>
  <c r="AV1061" i="2"/>
  <c r="AV1062" i="2"/>
  <c r="AV1063" i="2"/>
  <c r="AV1064" i="2"/>
  <c r="AV1065" i="2"/>
  <c r="AV1066" i="2"/>
  <c r="AV1067" i="2"/>
  <c r="AV1068" i="2"/>
  <c r="AV1069" i="2"/>
  <c r="AV1070" i="2"/>
  <c r="AV1071" i="2"/>
  <c r="AV1072" i="2"/>
  <c r="AV1073" i="2"/>
  <c r="AV1074" i="2"/>
  <c r="AV1075" i="2"/>
  <c r="AV1076" i="2"/>
  <c r="AV1077" i="2"/>
  <c r="AV1078" i="2"/>
  <c r="AV1079" i="2"/>
  <c r="AV1080" i="2"/>
  <c r="AV1081" i="2"/>
  <c r="AV1082" i="2"/>
  <c r="AV1083" i="2"/>
  <c r="AV1084" i="2"/>
  <c r="AV1085" i="2"/>
  <c r="AV1086" i="2"/>
  <c r="AV1087" i="2"/>
  <c r="AV1088" i="2"/>
  <c r="AV1089" i="2"/>
  <c r="AV1090" i="2"/>
  <c r="AV1091" i="2"/>
  <c r="AV1092" i="2"/>
  <c r="AV1093" i="2"/>
  <c r="AV1094" i="2"/>
  <c r="AV1095" i="2"/>
  <c r="AV1096" i="2"/>
  <c r="AV1097" i="2"/>
  <c r="AV2" i="2"/>
  <c r="AT3" i="2"/>
  <c r="AT4" i="2"/>
  <c r="AT5" i="2"/>
  <c r="AT6"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41" i="2"/>
  <c r="AT142" i="2"/>
  <c r="AT143" i="2"/>
  <c r="AT144" i="2"/>
  <c r="AT145" i="2"/>
  <c r="AT146" i="2"/>
  <c r="AT147" i="2"/>
  <c r="AT148" i="2"/>
  <c r="AT149" i="2"/>
  <c r="AT150" i="2"/>
  <c r="AT151" i="2"/>
  <c r="AT152" i="2"/>
  <c r="AT153" i="2"/>
  <c r="AT154" i="2"/>
  <c r="AT155" i="2"/>
  <c r="AT156" i="2"/>
  <c r="AT157" i="2"/>
  <c r="AT158" i="2"/>
  <c r="AT159" i="2"/>
  <c r="AT160" i="2"/>
  <c r="AT161" i="2"/>
  <c r="AT162" i="2"/>
  <c r="AT163" i="2"/>
  <c r="AT164" i="2"/>
  <c r="AT165" i="2"/>
  <c r="AT166" i="2"/>
  <c r="AT167" i="2"/>
  <c r="AT168" i="2"/>
  <c r="AT169" i="2"/>
  <c r="AT170" i="2"/>
  <c r="AT171" i="2"/>
  <c r="AT172" i="2"/>
  <c r="AT173" i="2"/>
  <c r="AT174" i="2"/>
  <c r="AT175" i="2"/>
  <c r="AT176" i="2"/>
  <c r="AT177" i="2"/>
  <c r="AT178" i="2"/>
  <c r="AT179" i="2"/>
  <c r="AT180" i="2"/>
  <c r="AT181" i="2"/>
  <c r="AT182" i="2"/>
  <c r="AT183" i="2"/>
  <c r="AT184" i="2"/>
  <c r="AT185" i="2"/>
  <c r="AT186" i="2"/>
  <c r="AT187" i="2"/>
  <c r="AT188" i="2"/>
  <c r="AT189" i="2"/>
  <c r="AT190" i="2"/>
  <c r="AT191" i="2"/>
  <c r="AT192" i="2"/>
  <c r="AT193" i="2"/>
  <c r="AT194" i="2"/>
  <c r="AT195" i="2"/>
  <c r="AT196" i="2"/>
  <c r="AT197" i="2"/>
  <c r="AT198" i="2"/>
  <c r="AT199" i="2"/>
  <c r="AT200" i="2"/>
  <c r="AT201" i="2"/>
  <c r="AT202" i="2"/>
  <c r="AT203" i="2"/>
  <c r="AT204" i="2"/>
  <c r="AT205" i="2"/>
  <c r="AT206" i="2"/>
  <c r="AT207" i="2"/>
  <c r="AT208" i="2"/>
  <c r="AT209" i="2"/>
  <c r="AT210" i="2"/>
  <c r="AT211" i="2"/>
  <c r="AT212" i="2"/>
  <c r="AT213" i="2"/>
  <c r="AT214" i="2"/>
  <c r="AT215" i="2"/>
  <c r="AT216" i="2"/>
  <c r="AT217" i="2"/>
  <c r="AT218" i="2"/>
  <c r="AT219" i="2"/>
  <c r="AT220" i="2"/>
  <c r="AT221" i="2"/>
  <c r="AT222" i="2"/>
  <c r="AT223" i="2"/>
  <c r="AT224" i="2"/>
  <c r="AT225" i="2"/>
  <c r="AT226" i="2"/>
  <c r="AT227" i="2"/>
  <c r="AT228" i="2"/>
  <c r="AT229" i="2"/>
  <c r="AT230" i="2"/>
  <c r="AT231" i="2"/>
  <c r="AT232" i="2"/>
  <c r="AT233" i="2"/>
  <c r="AT234" i="2"/>
  <c r="AT235" i="2"/>
  <c r="AT236" i="2"/>
  <c r="AT237" i="2"/>
  <c r="AT238" i="2"/>
  <c r="AT239" i="2"/>
  <c r="AT240" i="2"/>
  <c r="AT241" i="2"/>
  <c r="AT242" i="2"/>
  <c r="AT243" i="2"/>
  <c r="AT244" i="2"/>
  <c r="AT245" i="2"/>
  <c r="AT246" i="2"/>
  <c r="AT247" i="2"/>
  <c r="AT248" i="2"/>
  <c r="AT249" i="2"/>
  <c r="AT250" i="2"/>
  <c r="AT251" i="2"/>
  <c r="AT252" i="2"/>
  <c r="AT253" i="2"/>
  <c r="AT254" i="2"/>
  <c r="AT255" i="2"/>
  <c r="AT256" i="2"/>
  <c r="AT257" i="2"/>
  <c r="AT258" i="2"/>
  <c r="AT259" i="2"/>
  <c r="AT260" i="2"/>
  <c r="AT261" i="2"/>
  <c r="AT262" i="2"/>
  <c r="AT263" i="2"/>
  <c r="AT264" i="2"/>
  <c r="AT265" i="2"/>
  <c r="AT266" i="2"/>
  <c r="AT267" i="2"/>
  <c r="AT268" i="2"/>
  <c r="AT269" i="2"/>
  <c r="AT270" i="2"/>
  <c r="AT271" i="2"/>
  <c r="AT272" i="2"/>
  <c r="AT273" i="2"/>
  <c r="AT274" i="2"/>
  <c r="AT275" i="2"/>
  <c r="AT276" i="2"/>
  <c r="AT277" i="2"/>
  <c r="AT278" i="2"/>
  <c r="AT279" i="2"/>
  <c r="AT280" i="2"/>
  <c r="AT281" i="2"/>
  <c r="AT282" i="2"/>
  <c r="AT283" i="2"/>
  <c r="AT284" i="2"/>
  <c r="AT285" i="2"/>
  <c r="AT286" i="2"/>
  <c r="AT287" i="2"/>
  <c r="AT288" i="2"/>
  <c r="AT289" i="2"/>
  <c r="AT290" i="2"/>
  <c r="AT291" i="2"/>
  <c r="AT292" i="2"/>
  <c r="AT293" i="2"/>
  <c r="AT294" i="2"/>
  <c r="AT295" i="2"/>
  <c r="AT296" i="2"/>
  <c r="AT297" i="2"/>
  <c r="AT298" i="2"/>
  <c r="AT299" i="2"/>
  <c r="AT300" i="2"/>
  <c r="AT301" i="2"/>
  <c r="AT302" i="2"/>
  <c r="AT303" i="2"/>
  <c r="AT304" i="2"/>
  <c r="AT305" i="2"/>
  <c r="AT306" i="2"/>
  <c r="AT307" i="2"/>
  <c r="AT308" i="2"/>
  <c r="AT309" i="2"/>
  <c r="AT310" i="2"/>
  <c r="AT311" i="2"/>
  <c r="AT312" i="2"/>
  <c r="AT313" i="2"/>
  <c r="AT314" i="2"/>
  <c r="AT315" i="2"/>
  <c r="AT316" i="2"/>
  <c r="AT317" i="2"/>
  <c r="AT318" i="2"/>
  <c r="AT319" i="2"/>
  <c r="AT320" i="2"/>
  <c r="AT321" i="2"/>
  <c r="AT322" i="2"/>
  <c r="AT323" i="2"/>
  <c r="AT324" i="2"/>
  <c r="AT325" i="2"/>
  <c r="AT326" i="2"/>
  <c r="AT327" i="2"/>
  <c r="AT328" i="2"/>
  <c r="AT329" i="2"/>
  <c r="AT330" i="2"/>
  <c r="AT331" i="2"/>
  <c r="AT332" i="2"/>
  <c r="AT333" i="2"/>
  <c r="AT334" i="2"/>
  <c r="AT335" i="2"/>
  <c r="AT336" i="2"/>
  <c r="AT337" i="2"/>
  <c r="AT338" i="2"/>
  <c r="AT339" i="2"/>
  <c r="AT340" i="2"/>
  <c r="AT341" i="2"/>
  <c r="AT342" i="2"/>
  <c r="AT343" i="2"/>
  <c r="AT344" i="2"/>
  <c r="AT345" i="2"/>
  <c r="AT346" i="2"/>
  <c r="AT347" i="2"/>
  <c r="AT348" i="2"/>
  <c r="AT349" i="2"/>
  <c r="AT350" i="2"/>
  <c r="AT351" i="2"/>
  <c r="AT352" i="2"/>
  <c r="AT353" i="2"/>
  <c r="AT354" i="2"/>
  <c r="AT355" i="2"/>
  <c r="AT356" i="2"/>
  <c r="AT357" i="2"/>
  <c r="AT358" i="2"/>
  <c r="AT359" i="2"/>
  <c r="AT360" i="2"/>
  <c r="AT361" i="2"/>
  <c r="AT362" i="2"/>
  <c r="AT363" i="2"/>
  <c r="AT364" i="2"/>
  <c r="AT365" i="2"/>
  <c r="AT366" i="2"/>
  <c r="AT367" i="2"/>
  <c r="AT368" i="2"/>
  <c r="AT369" i="2"/>
  <c r="AT370" i="2"/>
  <c r="AT371" i="2"/>
  <c r="AT372" i="2"/>
  <c r="AT373" i="2"/>
  <c r="AT374" i="2"/>
  <c r="AT375" i="2"/>
  <c r="AT376" i="2"/>
  <c r="AT377" i="2"/>
  <c r="AT378" i="2"/>
  <c r="AT379" i="2"/>
  <c r="AT380" i="2"/>
  <c r="AT381" i="2"/>
  <c r="AT382" i="2"/>
  <c r="AT383" i="2"/>
  <c r="AT384" i="2"/>
  <c r="AT385" i="2"/>
  <c r="AT386" i="2"/>
  <c r="AT387" i="2"/>
  <c r="AT388" i="2"/>
  <c r="AT389" i="2"/>
  <c r="AT390" i="2"/>
  <c r="AT391" i="2"/>
  <c r="AT392" i="2"/>
  <c r="AT393" i="2"/>
  <c r="AT394" i="2"/>
  <c r="AT395" i="2"/>
  <c r="AT396" i="2"/>
  <c r="AT397" i="2"/>
  <c r="AT398" i="2"/>
  <c r="AT399" i="2"/>
  <c r="AT400" i="2"/>
  <c r="AT401" i="2"/>
  <c r="AT402" i="2"/>
  <c r="AT403" i="2"/>
  <c r="AT404" i="2"/>
  <c r="AT405" i="2"/>
  <c r="AT406" i="2"/>
  <c r="AT407" i="2"/>
  <c r="AT408" i="2"/>
  <c r="AT409" i="2"/>
  <c r="AT410" i="2"/>
  <c r="AT411" i="2"/>
  <c r="AT412" i="2"/>
  <c r="AT413" i="2"/>
  <c r="AT414" i="2"/>
  <c r="AT415" i="2"/>
  <c r="AT416" i="2"/>
  <c r="AT417" i="2"/>
  <c r="AT418" i="2"/>
  <c r="AT419" i="2"/>
  <c r="AT420" i="2"/>
  <c r="AT421" i="2"/>
  <c r="AT422" i="2"/>
  <c r="AT423" i="2"/>
  <c r="AT424" i="2"/>
  <c r="AT425" i="2"/>
  <c r="AT426" i="2"/>
  <c r="AT427" i="2"/>
  <c r="AT428" i="2"/>
  <c r="AT429" i="2"/>
  <c r="AT430" i="2"/>
  <c r="AT431" i="2"/>
  <c r="AT432" i="2"/>
  <c r="AT433" i="2"/>
  <c r="AT434" i="2"/>
  <c r="AT435" i="2"/>
  <c r="AT436" i="2"/>
  <c r="AT437" i="2"/>
  <c r="AT438" i="2"/>
  <c r="AT439" i="2"/>
  <c r="AT440" i="2"/>
  <c r="AT441" i="2"/>
  <c r="AT442" i="2"/>
  <c r="AT443" i="2"/>
  <c r="AT444" i="2"/>
  <c r="AT445" i="2"/>
  <c r="AT446" i="2"/>
  <c r="AT447" i="2"/>
  <c r="AT448" i="2"/>
  <c r="AT449" i="2"/>
  <c r="AT450" i="2"/>
  <c r="AT451" i="2"/>
  <c r="AT452" i="2"/>
  <c r="AT453" i="2"/>
  <c r="AT454" i="2"/>
  <c r="AT455" i="2"/>
  <c r="AT456" i="2"/>
  <c r="AT457" i="2"/>
  <c r="AT458" i="2"/>
  <c r="AT459" i="2"/>
  <c r="AT460" i="2"/>
  <c r="AT461" i="2"/>
  <c r="AT462" i="2"/>
  <c r="AT463" i="2"/>
  <c r="AT464" i="2"/>
  <c r="AT465" i="2"/>
  <c r="AT466" i="2"/>
  <c r="AT467" i="2"/>
  <c r="AT468" i="2"/>
  <c r="AT469" i="2"/>
  <c r="AT470" i="2"/>
  <c r="AT471" i="2"/>
  <c r="AT472" i="2"/>
  <c r="AT473" i="2"/>
  <c r="AT474" i="2"/>
  <c r="AT475" i="2"/>
  <c r="AT476" i="2"/>
  <c r="AT477" i="2"/>
  <c r="AT478" i="2"/>
  <c r="AT479" i="2"/>
  <c r="AT480" i="2"/>
  <c r="AT481" i="2"/>
  <c r="AT482" i="2"/>
  <c r="AT483" i="2"/>
  <c r="AT484" i="2"/>
  <c r="AT485" i="2"/>
  <c r="AT486" i="2"/>
  <c r="AT487" i="2"/>
  <c r="AT488" i="2"/>
  <c r="AT489" i="2"/>
  <c r="AT490" i="2"/>
  <c r="AT491" i="2"/>
  <c r="AT492" i="2"/>
  <c r="AT493" i="2"/>
  <c r="AT494" i="2"/>
  <c r="AT495" i="2"/>
  <c r="AT496" i="2"/>
  <c r="AT497" i="2"/>
  <c r="AT498" i="2"/>
  <c r="AT499" i="2"/>
  <c r="AT500" i="2"/>
  <c r="AT501" i="2"/>
  <c r="AT502" i="2"/>
  <c r="AT503" i="2"/>
  <c r="AT504" i="2"/>
  <c r="AT505" i="2"/>
  <c r="AT506" i="2"/>
  <c r="AT507" i="2"/>
  <c r="AT508" i="2"/>
  <c r="AT509" i="2"/>
  <c r="AT510" i="2"/>
  <c r="AT511" i="2"/>
  <c r="AT512" i="2"/>
  <c r="AT513" i="2"/>
  <c r="AT514" i="2"/>
  <c r="AT515" i="2"/>
  <c r="AT516" i="2"/>
  <c r="AT517" i="2"/>
  <c r="AT518" i="2"/>
  <c r="AT519" i="2"/>
  <c r="AT520" i="2"/>
  <c r="AT521" i="2"/>
  <c r="AT522" i="2"/>
  <c r="AT523" i="2"/>
  <c r="AT524" i="2"/>
  <c r="AT525" i="2"/>
  <c r="AT526" i="2"/>
  <c r="AT527" i="2"/>
  <c r="AT528" i="2"/>
  <c r="AT529" i="2"/>
  <c r="AT530" i="2"/>
  <c r="AT531" i="2"/>
  <c r="AT532" i="2"/>
  <c r="AT533" i="2"/>
  <c r="AT534" i="2"/>
  <c r="AT535" i="2"/>
  <c r="AT536" i="2"/>
  <c r="AT537" i="2"/>
  <c r="AT538" i="2"/>
  <c r="AT539" i="2"/>
  <c r="AT540" i="2"/>
  <c r="AT541" i="2"/>
  <c r="AT542" i="2"/>
  <c r="AT543" i="2"/>
  <c r="AT544" i="2"/>
  <c r="AT545" i="2"/>
  <c r="AT546" i="2"/>
  <c r="AT547" i="2"/>
  <c r="AT548" i="2"/>
  <c r="AT549" i="2"/>
  <c r="AT550" i="2"/>
  <c r="AT551" i="2"/>
  <c r="AT552" i="2"/>
  <c r="AT553" i="2"/>
  <c r="AT554" i="2"/>
  <c r="AT555" i="2"/>
  <c r="AT556" i="2"/>
  <c r="AT557" i="2"/>
  <c r="AT558" i="2"/>
  <c r="AT559" i="2"/>
  <c r="AT560" i="2"/>
  <c r="AT561" i="2"/>
  <c r="AT562" i="2"/>
  <c r="AT563" i="2"/>
  <c r="AT564" i="2"/>
  <c r="AT565" i="2"/>
  <c r="AT566" i="2"/>
  <c r="AT567" i="2"/>
  <c r="AT568" i="2"/>
  <c r="AT569" i="2"/>
  <c r="AT570" i="2"/>
  <c r="AT571" i="2"/>
  <c r="AT572" i="2"/>
  <c r="AT573" i="2"/>
  <c r="AT574" i="2"/>
  <c r="AT575" i="2"/>
  <c r="AT576" i="2"/>
  <c r="AT577" i="2"/>
  <c r="AT578" i="2"/>
  <c r="AT579" i="2"/>
  <c r="AT580" i="2"/>
  <c r="AT581" i="2"/>
  <c r="AT582" i="2"/>
  <c r="AT583" i="2"/>
  <c r="AT584" i="2"/>
  <c r="AT585" i="2"/>
  <c r="AT586" i="2"/>
  <c r="AT587" i="2"/>
  <c r="AT588" i="2"/>
  <c r="AT589" i="2"/>
  <c r="AT590" i="2"/>
  <c r="AT591" i="2"/>
  <c r="AT592" i="2"/>
  <c r="AT593" i="2"/>
  <c r="AT594" i="2"/>
  <c r="AT595" i="2"/>
  <c r="AT596" i="2"/>
  <c r="AT597" i="2"/>
  <c r="AT598" i="2"/>
  <c r="AT599" i="2"/>
  <c r="AT600" i="2"/>
  <c r="AT601" i="2"/>
  <c r="AT602" i="2"/>
  <c r="AT603" i="2"/>
  <c r="AT604" i="2"/>
  <c r="AT605" i="2"/>
  <c r="AT606" i="2"/>
  <c r="AT607" i="2"/>
  <c r="AT608" i="2"/>
  <c r="AT609" i="2"/>
  <c r="AT610" i="2"/>
  <c r="AT611" i="2"/>
  <c r="AT612" i="2"/>
  <c r="AT613" i="2"/>
  <c r="AT614" i="2"/>
  <c r="AT615" i="2"/>
  <c r="AT616" i="2"/>
  <c r="AT617" i="2"/>
  <c r="AT618" i="2"/>
  <c r="AT619" i="2"/>
  <c r="AT620" i="2"/>
  <c r="AT621" i="2"/>
  <c r="AT622" i="2"/>
  <c r="AT623" i="2"/>
  <c r="AT624" i="2"/>
  <c r="AT625" i="2"/>
  <c r="AT626" i="2"/>
  <c r="AT627" i="2"/>
  <c r="AT628" i="2"/>
  <c r="AT629" i="2"/>
  <c r="AT630" i="2"/>
  <c r="AT631" i="2"/>
  <c r="AT632" i="2"/>
  <c r="AT633" i="2"/>
  <c r="AT634" i="2"/>
  <c r="AT635" i="2"/>
  <c r="AT636" i="2"/>
  <c r="AT637" i="2"/>
  <c r="AT638" i="2"/>
  <c r="AT639" i="2"/>
  <c r="AT640" i="2"/>
  <c r="AT641" i="2"/>
  <c r="AT642" i="2"/>
  <c r="AT643" i="2"/>
  <c r="AT644" i="2"/>
  <c r="AT645" i="2"/>
  <c r="AT646" i="2"/>
  <c r="AT647" i="2"/>
  <c r="AT648" i="2"/>
  <c r="AT649" i="2"/>
  <c r="AT650" i="2"/>
  <c r="AT651" i="2"/>
  <c r="AT652" i="2"/>
  <c r="AT653" i="2"/>
  <c r="AT654" i="2"/>
  <c r="AT655" i="2"/>
  <c r="AT656" i="2"/>
  <c r="AT657" i="2"/>
  <c r="AT658" i="2"/>
  <c r="AT659" i="2"/>
  <c r="AT660" i="2"/>
  <c r="AT661" i="2"/>
  <c r="AT662" i="2"/>
  <c r="AT663" i="2"/>
  <c r="AT664" i="2"/>
  <c r="AT665" i="2"/>
  <c r="AT666" i="2"/>
  <c r="AT667" i="2"/>
  <c r="AT668" i="2"/>
  <c r="AT669" i="2"/>
  <c r="AT670" i="2"/>
  <c r="AT671" i="2"/>
  <c r="AT672" i="2"/>
  <c r="AT673" i="2"/>
  <c r="AT674" i="2"/>
  <c r="AT675" i="2"/>
  <c r="AT676" i="2"/>
  <c r="AT677" i="2"/>
  <c r="AT678" i="2"/>
  <c r="AT679" i="2"/>
  <c r="AT680" i="2"/>
  <c r="AT681" i="2"/>
  <c r="AT682" i="2"/>
  <c r="AT683" i="2"/>
  <c r="AT684" i="2"/>
  <c r="AT685" i="2"/>
  <c r="AT686" i="2"/>
  <c r="AT687" i="2"/>
  <c r="AT688" i="2"/>
  <c r="AT689" i="2"/>
  <c r="AT690" i="2"/>
  <c r="AT691" i="2"/>
  <c r="AT692" i="2"/>
  <c r="AT693" i="2"/>
  <c r="AT694" i="2"/>
  <c r="AT695" i="2"/>
  <c r="AT696" i="2"/>
  <c r="AT697" i="2"/>
  <c r="AT698" i="2"/>
  <c r="AT699" i="2"/>
  <c r="AT700" i="2"/>
  <c r="AT701" i="2"/>
  <c r="AT702" i="2"/>
  <c r="AT703" i="2"/>
  <c r="AT704" i="2"/>
  <c r="AT705" i="2"/>
  <c r="AT706" i="2"/>
  <c r="AT707" i="2"/>
  <c r="AT708" i="2"/>
  <c r="AT709" i="2"/>
  <c r="AT710" i="2"/>
  <c r="AT711" i="2"/>
  <c r="AT712" i="2"/>
  <c r="AT713" i="2"/>
  <c r="AT714" i="2"/>
  <c r="AT715" i="2"/>
  <c r="AT716" i="2"/>
  <c r="AT717" i="2"/>
  <c r="AT718" i="2"/>
  <c r="AT719" i="2"/>
  <c r="AT720" i="2"/>
  <c r="AT721" i="2"/>
  <c r="AT722" i="2"/>
  <c r="AT723" i="2"/>
  <c r="AT724" i="2"/>
  <c r="AT725" i="2"/>
  <c r="AT726" i="2"/>
  <c r="AT727" i="2"/>
  <c r="AT728" i="2"/>
  <c r="AT729" i="2"/>
  <c r="AT730" i="2"/>
  <c r="AT731" i="2"/>
  <c r="AT732" i="2"/>
  <c r="AT733" i="2"/>
  <c r="AT734" i="2"/>
  <c r="AT735" i="2"/>
  <c r="AT736" i="2"/>
  <c r="AT737" i="2"/>
  <c r="AT738" i="2"/>
  <c r="AT739" i="2"/>
  <c r="AT740" i="2"/>
  <c r="AT741" i="2"/>
  <c r="AT742" i="2"/>
  <c r="AT743" i="2"/>
  <c r="AT744" i="2"/>
  <c r="AT745" i="2"/>
  <c r="AT746" i="2"/>
  <c r="AT747" i="2"/>
  <c r="AT748" i="2"/>
  <c r="AT749" i="2"/>
  <c r="AT750" i="2"/>
  <c r="AT751" i="2"/>
  <c r="AT752" i="2"/>
  <c r="AT753" i="2"/>
  <c r="AT754" i="2"/>
  <c r="AT755" i="2"/>
  <c r="AT756" i="2"/>
  <c r="AT757" i="2"/>
  <c r="AT758" i="2"/>
  <c r="AT759" i="2"/>
  <c r="AT760" i="2"/>
  <c r="AT761" i="2"/>
  <c r="AT762" i="2"/>
  <c r="AT763" i="2"/>
  <c r="AT764" i="2"/>
  <c r="AT765" i="2"/>
  <c r="AT766" i="2"/>
  <c r="AT767" i="2"/>
  <c r="AT768" i="2"/>
  <c r="AT769" i="2"/>
  <c r="AT770" i="2"/>
  <c r="AT771" i="2"/>
  <c r="AT772" i="2"/>
  <c r="AT773" i="2"/>
  <c r="AT774" i="2"/>
  <c r="AT775" i="2"/>
  <c r="AT776" i="2"/>
  <c r="AT777" i="2"/>
  <c r="AT778" i="2"/>
  <c r="AT779" i="2"/>
  <c r="AT780" i="2"/>
  <c r="AT781" i="2"/>
  <c r="AT782" i="2"/>
  <c r="AT783" i="2"/>
  <c r="AT784" i="2"/>
  <c r="AT785" i="2"/>
  <c r="AT786" i="2"/>
  <c r="AT787" i="2"/>
  <c r="AT788" i="2"/>
  <c r="AT789" i="2"/>
  <c r="AT790" i="2"/>
  <c r="AT791" i="2"/>
  <c r="AT792" i="2"/>
  <c r="AT793" i="2"/>
  <c r="AT794" i="2"/>
  <c r="AT795" i="2"/>
  <c r="AT796" i="2"/>
  <c r="AT797" i="2"/>
  <c r="AT798" i="2"/>
  <c r="AT799" i="2"/>
  <c r="AT800" i="2"/>
  <c r="AT801" i="2"/>
  <c r="AT802" i="2"/>
  <c r="AT803" i="2"/>
  <c r="AT804" i="2"/>
  <c r="AT805" i="2"/>
  <c r="AT806" i="2"/>
  <c r="AT807" i="2"/>
  <c r="AT808" i="2"/>
  <c r="AT809" i="2"/>
  <c r="AT810" i="2"/>
  <c r="AT811" i="2"/>
  <c r="AT812" i="2"/>
  <c r="AT813" i="2"/>
  <c r="AT814" i="2"/>
  <c r="AT815" i="2"/>
  <c r="AT816" i="2"/>
  <c r="AT817" i="2"/>
  <c r="AT818" i="2"/>
  <c r="AT819" i="2"/>
  <c r="AT820" i="2"/>
  <c r="AT821" i="2"/>
  <c r="AT822" i="2"/>
  <c r="AT823" i="2"/>
  <c r="AT824" i="2"/>
  <c r="AT825" i="2"/>
  <c r="AT826" i="2"/>
  <c r="AT827" i="2"/>
  <c r="AT828" i="2"/>
  <c r="AT829" i="2"/>
  <c r="AT830" i="2"/>
  <c r="AT831" i="2"/>
  <c r="AT832" i="2"/>
  <c r="AT833" i="2"/>
  <c r="AT834" i="2"/>
  <c r="AT835" i="2"/>
  <c r="AT836" i="2"/>
  <c r="AT837" i="2"/>
  <c r="AT838" i="2"/>
  <c r="AT839" i="2"/>
  <c r="AT840" i="2"/>
  <c r="AT841" i="2"/>
  <c r="AT842" i="2"/>
  <c r="AT843" i="2"/>
  <c r="AT844" i="2"/>
  <c r="AT845" i="2"/>
  <c r="AT846" i="2"/>
  <c r="AT847" i="2"/>
  <c r="AT848" i="2"/>
  <c r="AT849" i="2"/>
  <c r="AT850" i="2"/>
  <c r="AT851" i="2"/>
  <c r="AT852" i="2"/>
  <c r="AT853" i="2"/>
  <c r="AT854" i="2"/>
  <c r="AT855" i="2"/>
  <c r="AT856" i="2"/>
  <c r="AT857" i="2"/>
  <c r="AT858" i="2"/>
  <c r="AT859" i="2"/>
  <c r="AT860" i="2"/>
  <c r="AT861" i="2"/>
  <c r="AT862" i="2"/>
  <c r="AT863" i="2"/>
  <c r="AT864" i="2"/>
  <c r="AT865" i="2"/>
  <c r="AT866" i="2"/>
  <c r="AT867" i="2"/>
  <c r="AT868" i="2"/>
  <c r="AT869" i="2"/>
  <c r="AT870" i="2"/>
  <c r="AT871" i="2"/>
  <c r="AT872" i="2"/>
  <c r="AT873" i="2"/>
  <c r="AT874" i="2"/>
  <c r="AT875" i="2"/>
  <c r="AT876" i="2"/>
  <c r="AT877" i="2"/>
  <c r="AT878" i="2"/>
  <c r="AT879" i="2"/>
  <c r="AT880" i="2"/>
  <c r="AT881" i="2"/>
  <c r="AT882" i="2"/>
  <c r="AT883" i="2"/>
  <c r="AT884" i="2"/>
  <c r="AT885" i="2"/>
  <c r="AT886" i="2"/>
  <c r="AT887" i="2"/>
  <c r="AT888" i="2"/>
  <c r="AT889" i="2"/>
  <c r="AT890" i="2"/>
  <c r="AT891" i="2"/>
  <c r="AT892" i="2"/>
  <c r="AT893" i="2"/>
  <c r="AT894" i="2"/>
  <c r="AT895" i="2"/>
  <c r="AT896" i="2"/>
  <c r="AT897" i="2"/>
  <c r="AT898" i="2"/>
  <c r="AT899" i="2"/>
  <c r="AT900" i="2"/>
  <c r="AT901" i="2"/>
  <c r="AT902" i="2"/>
  <c r="AT903" i="2"/>
  <c r="AT904" i="2"/>
  <c r="AT905" i="2"/>
  <c r="AT906" i="2"/>
  <c r="AT907" i="2"/>
  <c r="AT908" i="2"/>
  <c r="AT909" i="2"/>
  <c r="AT910" i="2"/>
  <c r="AT911" i="2"/>
  <c r="AT912" i="2"/>
  <c r="AT913" i="2"/>
  <c r="AT914" i="2"/>
  <c r="AT915" i="2"/>
  <c r="AT916" i="2"/>
  <c r="AT917" i="2"/>
  <c r="AT918" i="2"/>
  <c r="AT919" i="2"/>
  <c r="AT920" i="2"/>
  <c r="AT921" i="2"/>
  <c r="AT922" i="2"/>
  <c r="AT923" i="2"/>
  <c r="AT924" i="2"/>
  <c r="AT925" i="2"/>
  <c r="AT926" i="2"/>
  <c r="AT927" i="2"/>
  <c r="AT928" i="2"/>
  <c r="AT929" i="2"/>
  <c r="AT930" i="2"/>
  <c r="AT931" i="2"/>
  <c r="AT932" i="2"/>
  <c r="AT933" i="2"/>
  <c r="AT934" i="2"/>
  <c r="AT935" i="2"/>
  <c r="AT936" i="2"/>
  <c r="AT937" i="2"/>
  <c r="AT938" i="2"/>
  <c r="AT939" i="2"/>
  <c r="AT940" i="2"/>
  <c r="AT941" i="2"/>
  <c r="AT942" i="2"/>
  <c r="AT943" i="2"/>
  <c r="AT944" i="2"/>
  <c r="AT945" i="2"/>
  <c r="AT946" i="2"/>
  <c r="AT947" i="2"/>
  <c r="AT948" i="2"/>
  <c r="AT949" i="2"/>
  <c r="AT950" i="2"/>
  <c r="AT951" i="2"/>
  <c r="AT952" i="2"/>
  <c r="AT953" i="2"/>
  <c r="AT954" i="2"/>
  <c r="AT955" i="2"/>
  <c r="AT956" i="2"/>
  <c r="AT957" i="2"/>
  <c r="AT958" i="2"/>
  <c r="AT959" i="2"/>
  <c r="AT960" i="2"/>
  <c r="AT961" i="2"/>
  <c r="AT962" i="2"/>
  <c r="AT963" i="2"/>
  <c r="AT964" i="2"/>
  <c r="AT965" i="2"/>
  <c r="AT966" i="2"/>
  <c r="AT967" i="2"/>
  <c r="AT968" i="2"/>
  <c r="AT969" i="2"/>
  <c r="AT970" i="2"/>
  <c r="AT971" i="2"/>
  <c r="AT972" i="2"/>
  <c r="AT973" i="2"/>
  <c r="AT974" i="2"/>
  <c r="AT975" i="2"/>
  <c r="AT976" i="2"/>
  <c r="AT977" i="2"/>
  <c r="AT978" i="2"/>
  <c r="AT979" i="2"/>
  <c r="AT980" i="2"/>
  <c r="AT981" i="2"/>
  <c r="AT982" i="2"/>
  <c r="AT983" i="2"/>
  <c r="AT984" i="2"/>
  <c r="AT985" i="2"/>
  <c r="AT986" i="2"/>
  <c r="AT987" i="2"/>
  <c r="AT988" i="2"/>
  <c r="AT989" i="2"/>
  <c r="AT990" i="2"/>
  <c r="AT991" i="2"/>
  <c r="AT992" i="2"/>
  <c r="AT993" i="2"/>
  <c r="AT994" i="2"/>
  <c r="AT995" i="2"/>
  <c r="AT996" i="2"/>
  <c r="AT997" i="2"/>
  <c r="AT998" i="2"/>
  <c r="AT999" i="2"/>
  <c r="AT1000" i="2"/>
  <c r="AT1001" i="2"/>
  <c r="AT1002" i="2"/>
  <c r="AT1003" i="2"/>
  <c r="AT1004" i="2"/>
  <c r="AT1005" i="2"/>
  <c r="AT1006" i="2"/>
  <c r="AT1007" i="2"/>
  <c r="AT1008" i="2"/>
  <c r="AT1009" i="2"/>
  <c r="AT1010" i="2"/>
  <c r="AT1011" i="2"/>
  <c r="AT1012" i="2"/>
  <c r="AT1013" i="2"/>
  <c r="AT1014" i="2"/>
  <c r="AT1015" i="2"/>
  <c r="AT1016" i="2"/>
  <c r="AT1017" i="2"/>
  <c r="AT1018" i="2"/>
  <c r="AT1019" i="2"/>
  <c r="AT1020" i="2"/>
  <c r="AT1021" i="2"/>
  <c r="AT1022" i="2"/>
  <c r="AT1023" i="2"/>
  <c r="AT1024" i="2"/>
  <c r="AT1025" i="2"/>
  <c r="AT1026" i="2"/>
  <c r="AT1027" i="2"/>
  <c r="AT1028" i="2"/>
  <c r="AT1029" i="2"/>
  <c r="AT1030" i="2"/>
  <c r="AT1031" i="2"/>
  <c r="AT1032" i="2"/>
  <c r="AT1033" i="2"/>
  <c r="AT1034" i="2"/>
  <c r="AT1035" i="2"/>
  <c r="AT1036" i="2"/>
  <c r="AT1037" i="2"/>
  <c r="AT1038" i="2"/>
  <c r="AT1039" i="2"/>
  <c r="AT1040" i="2"/>
  <c r="AT1041" i="2"/>
  <c r="AT1042" i="2"/>
  <c r="AT1043" i="2"/>
  <c r="AT1044" i="2"/>
  <c r="AT1045" i="2"/>
  <c r="AT1046" i="2"/>
  <c r="AT1047" i="2"/>
  <c r="AT1048" i="2"/>
  <c r="AT1049" i="2"/>
  <c r="AT1050" i="2"/>
  <c r="AT1051" i="2"/>
  <c r="AT1052" i="2"/>
  <c r="AT1053" i="2"/>
  <c r="AT1054" i="2"/>
  <c r="AT1055" i="2"/>
  <c r="AT1056" i="2"/>
  <c r="AT1057" i="2"/>
  <c r="AT1058" i="2"/>
  <c r="AT1059" i="2"/>
  <c r="AT1060" i="2"/>
  <c r="AT1061" i="2"/>
  <c r="AT1062" i="2"/>
  <c r="AT1063" i="2"/>
  <c r="AT1064" i="2"/>
  <c r="AT1065" i="2"/>
  <c r="AT1066" i="2"/>
  <c r="AT1067" i="2"/>
  <c r="AT1068" i="2"/>
  <c r="AT1069" i="2"/>
  <c r="AT1070" i="2"/>
  <c r="AT1071" i="2"/>
  <c r="AT1072" i="2"/>
  <c r="AT1073" i="2"/>
  <c r="AT1074" i="2"/>
  <c r="AT1075" i="2"/>
  <c r="AT1076" i="2"/>
  <c r="AT1077" i="2"/>
  <c r="AT1078" i="2"/>
  <c r="AT1079" i="2"/>
  <c r="AT1080" i="2"/>
  <c r="AT1081" i="2"/>
  <c r="AT1082" i="2"/>
  <c r="AT1083" i="2"/>
  <c r="AT1084" i="2"/>
  <c r="AT1085" i="2"/>
  <c r="AT1086" i="2"/>
  <c r="AT1087" i="2"/>
  <c r="AT1088" i="2"/>
  <c r="AT1089" i="2"/>
  <c r="AT1090" i="2"/>
  <c r="AT1091" i="2"/>
  <c r="AT1092" i="2"/>
  <c r="AT1093" i="2"/>
  <c r="AT1094" i="2"/>
  <c r="AT1095" i="2"/>
  <c r="AT1096" i="2"/>
  <c r="AT1097" i="2"/>
  <c r="AT2" i="2"/>
  <c r="AQ3" i="2"/>
  <c r="AQ4" i="2"/>
  <c r="AQ5" i="2"/>
  <c r="AQ6" i="2"/>
  <c r="AQ7" i="2"/>
  <c r="AQ8" i="2"/>
  <c r="AQ9" i="2"/>
  <c r="AQ10" i="2"/>
  <c r="AQ11" i="2"/>
  <c r="AQ12" i="2"/>
  <c r="AQ13" i="2"/>
  <c r="AQ14" i="2"/>
  <c r="AQ15" i="2"/>
  <c r="AQ16" i="2"/>
  <c r="AQ17" i="2"/>
  <c r="AQ18" i="2"/>
  <c r="AQ19" i="2"/>
  <c r="AQ20" i="2"/>
  <c r="AQ21" i="2"/>
  <c r="AQ22" i="2"/>
  <c r="AQ23" i="2"/>
  <c r="AQ24" i="2"/>
  <c r="AQ25" i="2"/>
  <c r="AQ26" i="2"/>
  <c r="AQ27" i="2"/>
  <c r="AQ28"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5" i="2"/>
  <c r="AQ116" i="2"/>
  <c r="AQ117" i="2"/>
  <c r="AQ118" i="2"/>
  <c r="AQ119" i="2"/>
  <c r="AQ120" i="2"/>
  <c r="AQ121" i="2"/>
  <c r="AQ122" i="2"/>
  <c r="AQ123" i="2"/>
  <c r="AQ124" i="2"/>
  <c r="AQ125" i="2"/>
  <c r="AQ126" i="2"/>
  <c r="AQ127" i="2"/>
  <c r="AQ128" i="2"/>
  <c r="AQ129" i="2"/>
  <c r="AQ130" i="2"/>
  <c r="AQ131" i="2"/>
  <c r="AQ132" i="2"/>
  <c r="AQ133" i="2"/>
  <c r="AQ134" i="2"/>
  <c r="AQ135" i="2"/>
  <c r="AQ136" i="2"/>
  <c r="AQ137" i="2"/>
  <c r="AQ138" i="2"/>
  <c r="AQ139" i="2"/>
  <c r="AQ140" i="2"/>
  <c r="AQ141" i="2"/>
  <c r="AQ142" i="2"/>
  <c r="AQ143" i="2"/>
  <c r="AQ144" i="2"/>
  <c r="AQ145" i="2"/>
  <c r="AQ146" i="2"/>
  <c r="AQ147" i="2"/>
  <c r="AQ148" i="2"/>
  <c r="AQ149" i="2"/>
  <c r="AQ150" i="2"/>
  <c r="AQ151" i="2"/>
  <c r="AQ152" i="2"/>
  <c r="AQ153" i="2"/>
  <c r="AQ154" i="2"/>
  <c r="AQ155" i="2"/>
  <c r="AQ156" i="2"/>
  <c r="AQ157" i="2"/>
  <c r="AQ158" i="2"/>
  <c r="AQ159" i="2"/>
  <c r="AQ160" i="2"/>
  <c r="AQ161" i="2"/>
  <c r="AQ162" i="2"/>
  <c r="AQ163" i="2"/>
  <c r="AQ164" i="2"/>
  <c r="AQ165" i="2"/>
  <c r="AQ166" i="2"/>
  <c r="AQ167" i="2"/>
  <c r="AQ168" i="2"/>
  <c r="AQ169" i="2"/>
  <c r="AQ170" i="2"/>
  <c r="AQ171" i="2"/>
  <c r="AQ172" i="2"/>
  <c r="AQ173" i="2"/>
  <c r="AQ174" i="2"/>
  <c r="AQ175" i="2"/>
  <c r="AQ176" i="2"/>
  <c r="AQ177" i="2"/>
  <c r="AQ178" i="2"/>
  <c r="AQ179" i="2"/>
  <c r="AQ180" i="2"/>
  <c r="AQ181" i="2"/>
  <c r="AQ182" i="2"/>
  <c r="AQ183" i="2"/>
  <c r="AQ184" i="2"/>
  <c r="AQ185" i="2"/>
  <c r="AQ186" i="2"/>
  <c r="AQ187" i="2"/>
  <c r="AQ188" i="2"/>
  <c r="AQ189" i="2"/>
  <c r="AQ190" i="2"/>
  <c r="AQ191" i="2"/>
  <c r="AQ192" i="2"/>
  <c r="AQ193" i="2"/>
  <c r="AQ194" i="2"/>
  <c r="AQ195" i="2"/>
  <c r="AQ196" i="2"/>
  <c r="AQ197" i="2"/>
  <c r="AQ198" i="2"/>
  <c r="AQ199" i="2"/>
  <c r="AQ200" i="2"/>
  <c r="AQ201" i="2"/>
  <c r="AQ202" i="2"/>
  <c r="AQ203" i="2"/>
  <c r="AQ204" i="2"/>
  <c r="AQ205" i="2"/>
  <c r="AQ206" i="2"/>
  <c r="AQ207" i="2"/>
  <c r="AQ208" i="2"/>
  <c r="AQ209" i="2"/>
  <c r="AQ210" i="2"/>
  <c r="AQ211" i="2"/>
  <c r="AQ212" i="2"/>
  <c r="AQ213" i="2"/>
  <c r="AQ214" i="2"/>
  <c r="AQ215" i="2"/>
  <c r="AQ216" i="2"/>
  <c r="AQ217"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Q301" i="2"/>
  <c r="AQ302" i="2"/>
  <c r="AQ303" i="2"/>
  <c r="AQ304" i="2"/>
  <c r="AQ305" i="2"/>
  <c r="AQ306" i="2"/>
  <c r="AQ307" i="2"/>
  <c r="AQ308" i="2"/>
  <c r="AQ309" i="2"/>
  <c r="AQ310" i="2"/>
  <c r="AQ311" i="2"/>
  <c r="AQ312" i="2"/>
  <c r="AQ313" i="2"/>
  <c r="AQ314" i="2"/>
  <c r="AQ315" i="2"/>
  <c r="AQ316" i="2"/>
  <c r="AQ317" i="2"/>
  <c r="AQ318" i="2"/>
  <c r="AQ319" i="2"/>
  <c r="AQ320" i="2"/>
  <c r="AQ321" i="2"/>
  <c r="AQ322" i="2"/>
  <c r="AQ323" i="2"/>
  <c r="AQ324" i="2"/>
  <c r="AQ325" i="2"/>
  <c r="AQ326" i="2"/>
  <c r="AQ327" i="2"/>
  <c r="AQ328" i="2"/>
  <c r="AQ329" i="2"/>
  <c r="AQ330" i="2"/>
  <c r="AQ331" i="2"/>
  <c r="AQ332" i="2"/>
  <c r="AQ333" i="2"/>
  <c r="AQ334" i="2"/>
  <c r="AQ335" i="2"/>
  <c r="AQ336" i="2"/>
  <c r="AQ337" i="2"/>
  <c r="AQ338" i="2"/>
  <c r="AQ339" i="2"/>
  <c r="AQ340" i="2"/>
  <c r="AQ341" i="2"/>
  <c r="AQ342" i="2"/>
  <c r="AQ343" i="2"/>
  <c r="AQ344" i="2"/>
  <c r="AQ345" i="2"/>
  <c r="AQ346" i="2"/>
  <c r="AQ347" i="2"/>
  <c r="AQ348" i="2"/>
  <c r="AQ349" i="2"/>
  <c r="AQ350" i="2"/>
  <c r="AQ351" i="2"/>
  <c r="AQ352" i="2"/>
  <c r="AQ353" i="2"/>
  <c r="AQ354" i="2"/>
  <c r="AQ355" i="2"/>
  <c r="AQ356" i="2"/>
  <c r="AQ357" i="2"/>
  <c r="AQ358" i="2"/>
  <c r="AQ359" i="2"/>
  <c r="AQ360" i="2"/>
  <c r="AQ361" i="2"/>
  <c r="AQ362" i="2"/>
  <c r="AQ363" i="2"/>
  <c r="AQ364" i="2"/>
  <c r="AQ365" i="2"/>
  <c r="AQ366" i="2"/>
  <c r="AQ367" i="2"/>
  <c r="AQ368" i="2"/>
  <c r="AQ369" i="2"/>
  <c r="AQ370" i="2"/>
  <c r="AQ371" i="2"/>
  <c r="AQ372" i="2"/>
  <c r="AQ373" i="2"/>
  <c r="AQ374" i="2"/>
  <c r="AQ375" i="2"/>
  <c r="AQ376" i="2"/>
  <c r="AQ377" i="2"/>
  <c r="AQ378" i="2"/>
  <c r="AQ379" i="2"/>
  <c r="AQ380" i="2"/>
  <c r="AQ381" i="2"/>
  <c r="AQ382" i="2"/>
  <c r="AQ383" i="2"/>
  <c r="AQ384" i="2"/>
  <c r="AQ385" i="2"/>
  <c r="AQ386" i="2"/>
  <c r="AQ387" i="2"/>
  <c r="AQ388" i="2"/>
  <c r="AQ389" i="2"/>
  <c r="AQ390" i="2"/>
  <c r="AQ391" i="2"/>
  <c r="AQ392" i="2"/>
  <c r="AQ393" i="2"/>
  <c r="AQ394" i="2"/>
  <c r="AQ395" i="2"/>
  <c r="AQ396" i="2"/>
  <c r="AQ397" i="2"/>
  <c r="AQ398" i="2"/>
  <c r="AQ399" i="2"/>
  <c r="AQ400" i="2"/>
  <c r="AQ401" i="2"/>
  <c r="AQ402" i="2"/>
  <c r="AQ403" i="2"/>
  <c r="AQ404" i="2"/>
  <c r="AQ405" i="2"/>
  <c r="AQ406" i="2"/>
  <c r="AQ407" i="2"/>
  <c r="AQ408" i="2"/>
  <c r="AQ409" i="2"/>
  <c r="AQ410" i="2"/>
  <c r="AQ411" i="2"/>
  <c r="AQ412" i="2"/>
  <c r="AQ413" i="2"/>
  <c r="AQ414" i="2"/>
  <c r="AQ415" i="2"/>
  <c r="AQ416" i="2"/>
  <c r="AQ417" i="2"/>
  <c r="AQ418" i="2"/>
  <c r="AQ419" i="2"/>
  <c r="AQ420" i="2"/>
  <c r="AQ421" i="2"/>
  <c r="AQ422" i="2"/>
  <c r="AQ423" i="2"/>
  <c r="AQ424" i="2"/>
  <c r="AQ425" i="2"/>
  <c r="AQ426" i="2"/>
  <c r="AQ427" i="2"/>
  <c r="AQ428" i="2"/>
  <c r="AQ429" i="2"/>
  <c r="AQ430" i="2"/>
  <c r="AQ431" i="2"/>
  <c r="AQ432" i="2"/>
  <c r="AQ433" i="2"/>
  <c r="AQ434" i="2"/>
  <c r="AQ435" i="2"/>
  <c r="AQ436" i="2"/>
  <c r="AQ437" i="2"/>
  <c r="AQ438" i="2"/>
  <c r="AQ439" i="2"/>
  <c r="AQ440" i="2"/>
  <c r="AQ441" i="2"/>
  <c r="AQ442" i="2"/>
  <c r="AQ443" i="2"/>
  <c r="AQ444" i="2"/>
  <c r="AQ445" i="2"/>
  <c r="AQ446" i="2"/>
  <c r="AQ447" i="2"/>
  <c r="AQ448" i="2"/>
  <c r="AQ449" i="2"/>
  <c r="AQ450" i="2"/>
  <c r="AQ451" i="2"/>
  <c r="AQ452" i="2"/>
  <c r="AQ453" i="2"/>
  <c r="AQ454" i="2"/>
  <c r="AQ455" i="2"/>
  <c r="AQ456" i="2"/>
  <c r="AQ457" i="2"/>
  <c r="AQ458" i="2"/>
  <c r="AQ459" i="2"/>
  <c r="AQ460" i="2"/>
  <c r="AQ461" i="2"/>
  <c r="AQ462" i="2"/>
  <c r="AQ463" i="2"/>
  <c r="AQ464" i="2"/>
  <c r="AQ465" i="2"/>
  <c r="AQ466" i="2"/>
  <c r="AQ467" i="2"/>
  <c r="AQ468" i="2"/>
  <c r="AQ469" i="2"/>
  <c r="AQ470" i="2"/>
  <c r="AQ471" i="2"/>
  <c r="AQ472" i="2"/>
  <c r="AQ473" i="2"/>
  <c r="AQ474" i="2"/>
  <c r="AQ475" i="2"/>
  <c r="AQ476" i="2"/>
  <c r="AQ477" i="2"/>
  <c r="AQ478" i="2"/>
  <c r="AQ479" i="2"/>
  <c r="AQ480" i="2"/>
  <c r="AQ481" i="2"/>
  <c r="AQ482" i="2"/>
  <c r="AQ483" i="2"/>
  <c r="AQ484" i="2"/>
  <c r="AQ485" i="2"/>
  <c r="AQ486" i="2"/>
  <c r="AQ487" i="2"/>
  <c r="AQ488" i="2"/>
  <c r="AQ489" i="2"/>
  <c r="AQ490" i="2"/>
  <c r="AQ491" i="2"/>
  <c r="AQ492" i="2"/>
  <c r="AQ493" i="2"/>
  <c r="AQ494" i="2"/>
  <c r="AQ495" i="2"/>
  <c r="AQ496" i="2"/>
  <c r="AQ497" i="2"/>
  <c r="AQ498" i="2"/>
  <c r="AQ499" i="2"/>
  <c r="AQ500" i="2"/>
  <c r="AQ501" i="2"/>
  <c r="AQ502" i="2"/>
  <c r="AQ503" i="2"/>
  <c r="AQ504" i="2"/>
  <c r="AQ505" i="2"/>
  <c r="AQ506" i="2"/>
  <c r="AQ507" i="2"/>
  <c r="AQ508" i="2"/>
  <c r="AQ509" i="2"/>
  <c r="AQ510" i="2"/>
  <c r="AQ511" i="2"/>
  <c r="AQ512" i="2"/>
  <c r="AQ513" i="2"/>
  <c r="AQ514" i="2"/>
  <c r="AQ515" i="2"/>
  <c r="AQ516" i="2"/>
  <c r="AQ517" i="2"/>
  <c r="AQ518" i="2"/>
  <c r="AQ519" i="2"/>
  <c r="AQ520" i="2"/>
  <c r="AQ521" i="2"/>
  <c r="AQ522" i="2"/>
  <c r="AQ523" i="2"/>
  <c r="AQ524" i="2"/>
  <c r="AQ525" i="2"/>
  <c r="AQ526" i="2"/>
  <c r="AQ527" i="2"/>
  <c r="AQ528" i="2"/>
  <c r="AQ529" i="2"/>
  <c r="AQ530" i="2"/>
  <c r="AQ531" i="2"/>
  <c r="AQ532" i="2"/>
  <c r="AQ533" i="2"/>
  <c r="AQ534" i="2"/>
  <c r="AQ535" i="2"/>
  <c r="AQ536" i="2"/>
  <c r="AQ537" i="2"/>
  <c r="AQ538" i="2"/>
  <c r="AQ539" i="2"/>
  <c r="AQ540" i="2"/>
  <c r="AQ541" i="2"/>
  <c r="AQ542" i="2"/>
  <c r="AQ543" i="2"/>
  <c r="AQ544" i="2"/>
  <c r="AQ545" i="2"/>
  <c r="AQ546" i="2"/>
  <c r="AQ547" i="2"/>
  <c r="AQ548" i="2"/>
  <c r="AQ549" i="2"/>
  <c r="AQ550" i="2"/>
  <c r="AQ551" i="2"/>
  <c r="AQ552" i="2"/>
  <c r="AQ553" i="2"/>
  <c r="AQ554" i="2"/>
  <c r="AQ555" i="2"/>
  <c r="AQ556" i="2"/>
  <c r="AQ557" i="2"/>
  <c r="AQ558" i="2"/>
  <c r="AQ559" i="2"/>
  <c r="AQ560" i="2"/>
  <c r="AQ561" i="2"/>
  <c r="AQ562" i="2"/>
  <c r="AQ563" i="2"/>
  <c r="AQ564" i="2"/>
  <c r="AQ565" i="2"/>
  <c r="AQ566" i="2"/>
  <c r="AQ567" i="2"/>
  <c r="AQ568" i="2"/>
  <c r="AQ569" i="2"/>
  <c r="AQ570" i="2"/>
  <c r="AQ571" i="2"/>
  <c r="AQ572" i="2"/>
  <c r="AQ573" i="2"/>
  <c r="AQ574" i="2"/>
  <c r="AQ575" i="2"/>
  <c r="AQ576" i="2"/>
  <c r="AQ577" i="2"/>
  <c r="AQ578" i="2"/>
  <c r="AQ579" i="2"/>
  <c r="AQ580" i="2"/>
  <c r="AQ581" i="2"/>
  <c r="AQ582" i="2"/>
  <c r="AQ583" i="2"/>
  <c r="AQ584" i="2"/>
  <c r="AQ585" i="2"/>
  <c r="AQ586" i="2"/>
  <c r="AQ587" i="2"/>
  <c r="AQ588" i="2"/>
  <c r="AQ589" i="2"/>
  <c r="AQ590" i="2"/>
  <c r="AQ591" i="2"/>
  <c r="AQ592" i="2"/>
  <c r="AQ593" i="2"/>
  <c r="AQ594" i="2"/>
  <c r="AQ595" i="2"/>
  <c r="AQ596" i="2"/>
  <c r="AQ597" i="2"/>
  <c r="AQ598" i="2"/>
  <c r="AQ599" i="2"/>
  <c r="AQ600" i="2"/>
  <c r="AQ601" i="2"/>
  <c r="AQ602" i="2"/>
  <c r="AQ603" i="2"/>
  <c r="AQ604" i="2"/>
  <c r="AQ605" i="2"/>
  <c r="AQ606" i="2"/>
  <c r="AQ607" i="2"/>
  <c r="AQ608" i="2"/>
  <c r="AQ609" i="2"/>
  <c r="AQ610" i="2"/>
  <c r="AQ611" i="2"/>
  <c r="AQ612" i="2"/>
  <c r="AQ613" i="2"/>
  <c r="AQ614" i="2"/>
  <c r="AQ615" i="2"/>
  <c r="AQ616" i="2"/>
  <c r="AQ617" i="2"/>
  <c r="AQ618" i="2"/>
  <c r="AQ619" i="2"/>
  <c r="AQ620" i="2"/>
  <c r="AQ621" i="2"/>
  <c r="AQ622" i="2"/>
  <c r="AQ623" i="2"/>
  <c r="AQ624" i="2"/>
  <c r="AQ625" i="2"/>
  <c r="AQ626" i="2"/>
  <c r="AQ627" i="2"/>
  <c r="AQ628" i="2"/>
  <c r="AQ629" i="2"/>
  <c r="AQ630" i="2"/>
  <c r="AQ631" i="2"/>
  <c r="AQ632" i="2"/>
  <c r="AQ633" i="2"/>
  <c r="AQ634" i="2"/>
  <c r="AQ635" i="2"/>
  <c r="AQ636" i="2"/>
  <c r="AQ637" i="2"/>
  <c r="AQ638" i="2"/>
  <c r="AQ639" i="2"/>
  <c r="AQ640" i="2"/>
  <c r="AQ641" i="2"/>
  <c r="AQ642" i="2"/>
  <c r="AQ643" i="2"/>
  <c r="AQ644" i="2"/>
  <c r="AQ645" i="2"/>
  <c r="AQ646" i="2"/>
  <c r="AQ647" i="2"/>
  <c r="AQ648" i="2"/>
  <c r="AQ649" i="2"/>
  <c r="AQ650" i="2"/>
  <c r="AQ651" i="2"/>
  <c r="AQ652" i="2"/>
  <c r="AQ653" i="2"/>
  <c r="AQ654" i="2"/>
  <c r="AQ655" i="2"/>
  <c r="AQ656" i="2"/>
  <c r="AQ657" i="2"/>
  <c r="AQ658" i="2"/>
  <c r="AQ659" i="2"/>
  <c r="AQ660" i="2"/>
  <c r="AQ661" i="2"/>
  <c r="AQ662" i="2"/>
  <c r="AQ663" i="2"/>
  <c r="AQ664" i="2"/>
  <c r="AQ665" i="2"/>
  <c r="AQ666" i="2"/>
  <c r="AQ667" i="2"/>
  <c r="AQ668" i="2"/>
  <c r="AQ669" i="2"/>
  <c r="AQ670" i="2"/>
  <c r="AQ671" i="2"/>
  <c r="AQ672" i="2"/>
  <c r="AQ673" i="2"/>
  <c r="AQ674" i="2"/>
  <c r="AQ675" i="2"/>
  <c r="AQ676" i="2"/>
  <c r="AQ677" i="2"/>
  <c r="AQ678" i="2"/>
  <c r="AQ679" i="2"/>
  <c r="AQ680" i="2"/>
  <c r="AQ681" i="2"/>
  <c r="AQ682" i="2"/>
  <c r="AQ683" i="2"/>
  <c r="AQ684" i="2"/>
  <c r="AQ685" i="2"/>
  <c r="AQ686" i="2"/>
  <c r="AQ687" i="2"/>
  <c r="AQ688" i="2"/>
  <c r="AQ689" i="2"/>
  <c r="AQ690" i="2"/>
  <c r="AQ691" i="2"/>
  <c r="AQ692" i="2"/>
  <c r="AQ693" i="2"/>
  <c r="AQ694" i="2"/>
  <c r="AQ695" i="2"/>
  <c r="AQ696" i="2"/>
  <c r="AQ697" i="2"/>
  <c r="AQ698" i="2"/>
  <c r="AQ699" i="2"/>
  <c r="AQ700" i="2"/>
  <c r="AQ701" i="2"/>
  <c r="AQ702" i="2"/>
  <c r="AQ703" i="2"/>
  <c r="AQ704" i="2"/>
  <c r="AQ705" i="2"/>
  <c r="AQ706" i="2"/>
  <c r="AQ707" i="2"/>
  <c r="AQ708" i="2"/>
  <c r="AQ709" i="2"/>
  <c r="AQ710" i="2"/>
  <c r="AQ711" i="2"/>
  <c r="AQ712" i="2"/>
  <c r="AQ713" i="2"/>
  <c r="AQ714" i="2"/>
  <c r="AQ715" i="2"/>
  <c r="AQ716" i="2"/>
  <c r="AQ717" i="2"/>
  <c r="AQ718" i="2"/>
  <c r="AQ719" i="2"/>
  <c r="AQ720" i="2"/>
  <c r="AQ721" i="2"/>
  <c r="AQ722" i="2"/>
  <c r="AQ723" i="2"/>
  <c r="AQ724" i="2"/>
  <c r="AQ725" i="2"/>
  <c r="AQ726" i="2"/>
  <c r="AQ727" i="2"/>
  <c r="AQ728" i="2"/>
  <c r="AQ729" i="2"/>
  <c r="AQ730" i="2"/>
  <c r="AQ731" i="2"/>
  <c r="AQ732" i="2"/>
  <c r="AQ733" i="2"/>
  <c r="AQ734" i="2"/>
  <c r="AQ735" i="2"/>
  <c r="AQ736" i="2"/>
  <c r="AQ737" i="2"/>
  <c r="AQ738" i="2"/>
  <c r="AQ739" i="2"/>
  <c r="AQ740" i="2"/>
  <c r="AQ741" i="2"/>
  <c r="AQ742" i="2"/>
  <c r="AQ743" i="2"/>
  <c r="AQ744" i="2"/>
  <c r="AQ745" i="2"/>
  <c r="AQ746" i="2"/>
  <c r="AQ747" i="2"/>
  <c r="AQ748" i="2"/>
  <c r="AQ749" i="2"/>
  <c r="AQ750" i="2"/>
  <c r="AQ751" i="2"/>
  <c r="AQ752" i="2"/>
  <c r="AQ753" i="2"/>
  <c r="AQ754" i="2"/>
  <c r="AQ755" i="2"/>
  <c r="AQ756" i="2"/>
  <c r="AQ757" i="2"/>
  <c r="AQ758" i="2"/>
  <c r="AQ759" i="2"/>
  <c r="AQ760" i="2"/>
  <c r="AQ761" i="2"/>
  <c r="AQ762" i="2"/>
  <c r="AQ763" i="2"/>
  <c r="AQ764" i="2"/>
  <c r="AQ765" i="2"/>
  <c r="AQ766" i="2"/>
  <c r="AQ767" i="2"/>
  <c r="AQ768" i="2"/>
  <c r="AQ769" i="2"/>
  <c r="AQ770" i="2"/>
  <c r="AQ771" i="2"/>
  <c r="AQ772" i="2"/>
  <c r="AQ773" i="2"/>
  <c r="AQ774" i="2"/>
  <c r="AQ775" i="2"/>
  <c r="AQ776" i="2"/>
  <c r="AQ777" i="2"/>
  <c r="AQ778" i="2"/>
  <c r="AQ779" i="2"/>
  <c r="AQ780" i="2"/>
  <c r="AQ781" i="2"/>
  <c r="AQ782" i="2"/>
  <c r="AQ783" i="2"/>
  <c r="AQ784" i="2"/>
  <c r="AQ785" i="2"/>
  <c r="AQ786" i="2"/>
  <c r="AQ787" i="2"/>
  <c r="AQ788" i="2"/>
  <c r="AQ789" i="2"/>
  <c r="AQ790" i="2"/>
  <c r="AQ791" i="2"/>
  <c r="AQ792" i="2"/>
  <c r="AQ793" i="2"/>
  <c r="AQ794" i="2"/>
  <c r="AQ795" i="2"/>
  <c r="AQ796" i="2"/>
  <c r="AQ797" i="2"/>
  <c r="AQ798" i="2"/>
  <c r="AQ799" i="2"/>
  <c r="AQ800" i="2"/>
  <c r="AQ801" i="2"/>
  <c r="AQ802" i="2"/>
  <c r="AQ803" i="2"/>
  <c r="AQ804" i="2"/>
  <c r="AQ805" i="2"/>
  <c r="AQ806" i="2"/>
  <c r="AQ807" i="2"/>
  <c r="AQ808" i="2"/>
  <c r="AQ809" i="2"/>
  <c r="AQ810" i="2"/>
  <c r="AQ811" i="2"/>
  <c r="AQ812" i="2"/>
  <c r="AQ813" i="2"/>
  <c r="AQ814" i="2"/>
  <c r="AQ815" i="2"/>
  <c r="AQ816" i="2"/>
  <c r="AQ817" i="2"/>
  <c r="AQ818" i="2"/>
  <c r="AQ819" i="2"/>
  <c r="AQ820" i="2"/>
  <c r="AQ821" i="2"/>
  <c r="AQ822" i="2"/>
  <c r="AQ823" i="2"/>
  <c r="AQ824" i="2"/>
  <c r="AQ825" i="2"/>
  <c r="AQ826" i="2"/>
  <c r="AQ827" i="2"/>
  <c r="AQ828" i="2"/>
  <c r="AQ829" i="2"/>
  <c r="AQ830" i="2"/>
  <c r="AQ831" i="2"/>
  <c r="AQ832" i="2"/>
  <c r="AQ833" i="2"/>
  <c r="AQ834" i="2"/>
  <c r="AQ835" i="2"/>
  <c r="AQ836" i="2"/>
  <c r="AQ837" i="2"/>
  <c r="AQ838" i="2"/>
  <c r="AQ839" i="2"/>
  <c r="AQ840" i="2"/>
  <c r="AQ841" i="2"/>
  <c r="AQ842" i="2"/>
  <c r="AQ843" i="2"/>
  <c r="AQ844" i="2"/>
  <c r="AQ845" i="2"/>
  <c r="AQ846" i="2"/>
  <c r="AQ847" i="2"/>
  <c r="AQ848" i="2"/>
  <c r="AQ849" i="2"/>
  <c r="AQ850" i="2"/>
  <c r="AQ851" i="2"/>
  <c r="AQ852" i="2"/>
  <c r="AQ853" i="2"/>
  <c r="AQ854" i="2"/>
  <c r="AQ855" i="2"/>
  <c r="AQ856" i="2"/>
  <c r="AQ857" i="2"/>
  <c r="AQ858" i="2"/>
  <c r="AQ859" i="2"/>
  <c r="AQ860" i="2"/>
  <c r="AQ861" i="2"/>
  <c r="AQ862" i="2"/>
  <c r="AQ863" i="2"/>
  <c r="AQ864" i="2"/>
  <c r="AQ865" i="2"/>
  <c r="AQ866" i="2"/>
  <c r="AQ867" i="2"/>
  <c r="AQ868" i="2"/>
  <c r="AQ869" i="2"/>
  <c r="AQ870" i="2"/>
  <c r="AQ871" i="2"/>
  <c r="AQ872" i="2"/>
  <c r="AQ873" i="2"/>
  <c r="AQ874" i="2"/>
  <c r="AQ875" i="2"/>
  <c r="AQ876" i="2"/>
  <c r="AQ877" i="2"/>
  <c r="AQ878" i="2"/>
  <c r="AQ879" i="2"/>
  <c r="AQ880" i="2"/>
  <c r="AQ881" i="2"/>
  <c r="AQ882" i="2"/>
  <c r="AQ883" i="2"/>
  <c r="AQ884" i="2"/>
  <c r="AQ885" i="2"/>
  <c r="AQ886" i="2"/>
  <c r="AQ887" i="2"/>
  <c r="AQ888" i="2"/>
  <c r="AQ889" i="2"/>
  <c r="AQ890" i="2"/>
  <c r="AQ891" i="2"/>
  <c r="AQ892" i="2"/>
  <c r="AQ893" i="2"/>
  <c r="AQ894" i="2"/>
  <c r="AQ895" i="2"/>
  <c r="AQ896" i="2"/>
  <c r="AQ897" i="2"/>
  <c r="AQ898" i="2"/>
  <c r="AQ899" i="2"/>
  <c r="AQ900" i="2"/>
  <c r="AQ901" i="2"/>
  <c r="AQ902" i="2"/>
  <c r="AQ903" i="2"/>
  <c r="AQ904" i="2"/>
  <c r="AQ905" i="2"/>
  <c r="AQ906" i="2"/>
  <c r="AQ907" i="2"/>
  <c r="AQ908" i="2"/>
  <c r="AQ909" i="2"/>
  <c r="AQ910" i="2"/>
  <c r="AQ911" i="2"/>
  <c r="AQ912" i="2"/>
  <c r="AQ913" i="2"/>
  <c r="AQ914" i="2"/>
  <c r="AQ915" i="2"/>
  <c r="AQ916" i="2"/>
  <c r="AQ917" i="2"/>
  <c r="AQ918" i="2"/>
  <c r="AQ919" i="2"/>
  <c r="AQ920" i="2"/>
  <c r="AQ921" i="2"/>
  <c r="AQ922" i="2"/>
  <c r="AQ923" i="2"/>
  <c r="AQ924" i="2"/>
  <c r="AQ925" i="2"/>
  <c r="AQ926" i="2"/>
  <c r="AQ927" i="2"/>
  <c r="AQ928" i="2"/>
  <c r="AQ929" i="2"/>
  <c r="AQ930" i="2"/>
  <c r="AQ931" i="2"/>
  <c r="AQ932" i="2"/>
  <c r="AQ933" i="2"/>
  <c r="AQ934" i="2"/>
  <c r="AQ935" i="2"/>
  <c r="AQ936" i="2"/>
  <c r="AQ937" i="2"/>
  <c r="AQ938" i="2"/>
  <c r="AQ939" i="2"/>
  <c r="AQ940" i="2"/>
  <c r="AQ941" i="2"/>
  <c r="AQ942" i="2"/>
  <c r="AQ943" i="2"/>
  <c r="AQ944" i="2"/>
  <c r="AQ945" i="2"/>
  <c r="AQ946" i="2"/>
  <c r="AQ947" i="2"/>
  <c r="AQ948" i="2"/>
  <c r="AQ949" i="2"/>
  <c r="AQ950" i="2"/>
  <c r="AQ951" i="2"/>
  <c r="AQ952" i="2"/>
  <c r="AQ953" i="2"/>
  <c r="AQ954" i="2"/>
  <c r="AQ955" i="2"/>
  <c r="AQ956" i="2"/>
  <c r="AQ957" i="2"/>
  <c r="AQ958" i="2"/>
  <c r="AQ959" i="2"/>
  <c r="AQ960" i="2"/>
  <c r="AQ961" i="2"/>
  <c r="AQ962" i="2"/>
  <c r="AQ963" i="2"/>
  <c r="AQ964" i="2"/>
  <c r="AQ965" i="2"/>
  <c r="AQ966" i="2"/>
  <c r="AQ967" i="2"/>
  <c r="AQ968" i="2"/>
  <c r="AQ969" i="2"/>
  <c r="AQ970" i="2"/>
  <c r="AQ971" i="2"/>
  <c r="AQ972" i="2"/>
  <c r="AQ973" i="2"/>
  <c r="AQ974" i="2"/>
  <c r="AQ975" i="2"/>
  <c r="AQ976" i="2"/>
  <c r="AQ977" i="2"/>
  <c r="AQ978" i="2"/>
  <c r="AQ979" i="2"/>
  <c r="AQ980" i="2"/>
  <c r="AQ981" i="2"/>
  <c r="AQ982" i="2"/>
  <c r="AQ983" i="2"/>
  <c r="AQ984" i="2"/>
  <c r="AQ985" i="2"/>
  <c r="AQ986" i="2"/>
  <c r="AQ987" i="2"/>
  <c r="AQ988" i="2"/>
  <c r="AQ989" i="2"/>
  <c r="AQ990" i="2"/>
  <c r="AQ991" i="2"/>
  <c r="AQ992" i="2"/>
  <c r="AQ993" i="2"/>
  <c r="AQ994" i="2"/>
  <c r="AQ995" i="2"/>
  <c r="AQ996" i="2"/>
  <c r="AQ997" i="2"/>
  <c r="AQ998" i="2"/>
  <c r="AQ999" i="2"/>
  <c r="AQ1000" i="2"/>
  <c r="AQ1001" i="2"/>
  <c r="AQ1002" i="2"/>
  <c r="AQ1003" i="2"/>
  <c r="AQ1004" i="2"/>
  <c r="AQ1005" i="2"/>
  <c r="AQ1006" i="2"/>
  <c r="AQ1007" i="2"/>
  <c r="AQ1008" i="2"/>
  <c r="AQ1009" i="2"/>
  <c r="AQ1010" i="2"/>
  <c r="AQ1011" i="2"/>
  <c r="AQ1012" i="2"/>
  <c r="AQ1013" i="2"/>
  <c r="AQ1014" i="2"/>
  <c r="AQ1015" i="2"/>
  <c r="AQ1016" i="2"/>
  <c r="AQ1017" i="2"/>
  <c r="AQ1018" i="2"/>
  <c r="AQ1019" i="2"/>
  <c r="AQ1020" i="2"/>
  <c r="AQ1021" i="2"/>
  <c r="AQ1022" i="2"/>
  <c r="AQ1023" i="2"/>
  <c r="AQ1024" i="2"/>
  <c r="AQ1025" i="2"/>
  <c r="AQ1026" i="2"/>
  <c r="AQ1027" i="2"/>
  <c r="AQ1028" i="2"/>
  <c r="AQ1029" i="2"/>
  <c r="AQ1030" i="2"/>
  <c r="AQ1031" i="2"/>
  <c r="AQ1032" i="2"/>
  <c r="AQ1033" i="2"/>
  <c r="AQ1034" i="2"/>
  <c r="AQ1035" i="2"/>
  <c r="AQ1036" i="2"/>
  <c r="AQ1037" i="2"/>
  <c r="AQ1038" i="2"/>
  <c r="AQ1039" i="2"/>
  <c r="AQ1040" i="2"/>
  <c r="AQ1041" i="2"/>
  <c r="AQ1042" i="2"/>
  <c r="AQ1043" i="2"/>
  <c r="AQ1044" i="2"/>
  <c r="AQ1045" i="2"/>
  <c r="AQ1046" i="2"/>
  <c r="AQ1047" i="2"/>
  <c r="AQ1048" i="2"/>
  <c r="AQ1049" i="2"/>
  <c r="AQ1050" i="2"/>
  <c r="AQ1051" i="2"/>
  <c r="AQ1052" i="2"/>
  <c r="AQ1053" i="2"/>
  <c r="AQ1054" i="2"/>
  <c r="AQ1055" i="2"/>
  <c r="AQ1056" i="2"/>
  <c r="AQ1057" i="2"/>
  <c r="AQ1058" i="2"/>
  <c r="AQ1059" i="2"/>
  <c r="AQ1060" i="2"/>
  <c r="AQ1061" i="2"/>
  <c r="AQ1062" i="2"/>
  <c r="AQ1063" i="2"/>
  <c r="AQ1064" i="2"/>
  <c r="AQ1065" i="2"/>
  <c r="AQ1066" i="2"/>
  <c r="AQ1067" i="2"/>
  <c r="AQ1068" i="2"/>
  <c r="AQ1069" i="2"/>
  <c r="AQ1070" i="2"/>
  <c r="AQ1071" i="2"/>
  <c r="AQ1072" i="2"/>
  <c r="AQ1073" i="2"/>
  <c r="AQ1074" i="2"/>
  <c r="AQ1075" i="2"/>
  <c r="AQ1076" i="2"/>
  <c r="AQ1077" i="2"/>
  <c r="AQ1078" i="2"/>
  <c r="AQ1079" i="2"/>
  <c r="AQ1080" i="2"/>
  <c r="AQ1081" i="2"/>
  <c r="AQ1082" i="2"/>
  <c r="AQ1083" i="2"/>
  <c r="AQ1084" i="2"/>
  <c r="AQ1085" i="2"/>
  <c r="AQ1086" i="2"/>
  <c r="AQ1087" i="2"/>
  <c r="AQ1088" i="2"/>
  <c r="AQ1089" i="2"/>
  <c r="AQ1090" i="2"/>
  <c r="AQ1091" i="2"/>
  <c r="AQ1092" i="2"/>
  <c r="AQ1093" i="2"/>
  <c r="AQ1094" i="2"/>
  <c r="AQ1095" i="2"/>
  <c r="AQ1096" i="2"/>
  <c r="AQ1097" i="2"/>
  <c r="AQ2" i="2"/>
  <c r="AO3" i="2"/>
  <c r="AO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1"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O395" i="2"/>
  <c r="AO396" i="2"/>
  <c r="AO397" i="2"/>
  <c r="AO398" i="2"/>
  <c r="AO399" i="2"/>
  <c r="AO400" i="2"/>
  <c r="AO401" i="2"/>
  <c r="AO402" i="2"/>
  <c r="AO403" i="2"/>
  <c r="AO404" i="2"/>
  <c r="AO405" i="2"/>
  <c r="AO406" i="2"/>
  <c r="AO407" i="2"/>
  <c r="AO408" i="2"/>
  <c r="AO409" i="2"/>
  <c r="AO410" i="2"/>
  <c r="AO411" i="2"/>
  <c r="AO412" i="2"/>
  <c r="AO413" i="2"/>
  <c r="AO414" i="2"/>
  <c r="AO415" i="2"/>
  <c r="AO416" i="2"/>
  <c r="AO417" i="2"/>
  <c r="AO418" i="2"/>
  <c r="AO419" i="2"/>
  <c r="AO420" i="2"/>
  <c r="AO421" i="2"/>
  <c r="AO422" i="2"/>
  <c r="AO423" i="2"/>
  <c r="AO424" i="2"/>
  <c r="AO425" i="2"/>
  <c r="AO426"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AO469" i="2"/>
  <c r="AO470" i="2"/>
  <c r="AO471" i="2"/>
  <c r="AO472" i="2"/>
  <c r="AO473" i="2"/>
  <c r="AO474" i="2"/>
  <c r="AO475" i="2"/>
  <c r="AO476" i="2"/>
  <c r="AO477" i="2"/>
  <c r="AO478" i="2"/>
  <c r="AO479" i="2"/>
  <c r="AO480" i="2"/>
  <c r="AO481" i="2"/>
  <c r="AO482" i="2"/>
  <c r="AO483" i="2"/>
  <c r="AO484" i="2"/>
  <c r="AO485" i="2"/>
  <c r="AO486" i="2"/>
  <c r="AO487" i="2"/>
  <c r="AO488" i="2"/>
  <c r="AO489" i="2"/>
  <c r="AO490" i="2"/>
  <c r="AO491" i="2"/>
  <c r="AO492" i="2"/>
  <c r="AO493" i="2"/>
  <c r="AO494" i="2"/>
  <c r="AO495" i="2"/>
  <c r="AO496" i="2"/>
  <c r="AO497" i="2"/>
  <c r="AO498" i="2"/>
  <c r="AO499" i="2"/>
  <c r="AO500" i="2"/>
  <c r="AO501" i="2"/>
  <c r="AO502" i="2"/>
  <c r="AO503" i="2"/>
  <c r="AO504" i="2"/>
  <c r="AO505" i="2"/>
  <c r="AO506" i="2"/>
  <c r="AO507" i="2"/>
  <c r="AO508" i="2"/>
  <c r="AO509" i="2"/>
  <c r="AO510" i="2"/>
  <c r="AO511" i="2"/>
  <c r="AO512" i="2"/>
  <c r="AO513" i="2"/>
  <c r="AO514" i="2"/>
  <c r="AO515" i="2"/>
  <c r="AO516" i="2"/>
  <c r="AO517" i="2"/>
  <c r="AO518" i="2"/>
  <c r="AO519" i="2"/>
  <c r="AO520" i="2"/>
  <c r="AO521" i="2"/>
  <c r="AO522" i="2"/>
  <c r="AO523" i="2"/>
  <c r="AO524" i="2"/>
  <c r="AO525" i="2"/>
  <c r="AO526" i="2"/>
  <c r="AO527" i="2"/>
  <c r="AO528" i="2"/>
  <c r="AO529" i="2"/>
  <c r="AO530" i="2"/>
  <c r="AO531" i="2"/>
  <c r="AO532" i="2"/>
  <c r="AO533" i="2"/>
  <c r="AO534" i="2"/>
  <c r="AO535" i="2"/>
  <c r="AO536" i="2"/>
  <c r="AO537" i="2"/>
  <c r="AO538" i="2"/>
  <c r="AO539" i="2"/>
  <c r="AO540" i="2"/>
  <c r="AO541" i="2"/>
  <c r="AO542" i="2"/>
  <c r="AO543" i="2"/>
  <c r="AO544" i="2"/>
  <c r="AO545" i="2"/>
  <c r="AO546" i="2"/>
  <c r="AO547" i="2"/>
  <c r="AO548" i="2"/>
  <c r="AO549" i="2"/>
  <c r="AO550" i="2"/>
  <c r="AO551" i="2"/>
  <c r="AO552" i="2"/>
  <c r="AO553" i="2"/>
  <c r="AO554" i="2"/>
  <c r="AO555" i="2"/>
  <c r="AO556" i="2"/>
  <c r="AO557" i="2"/>
  <c r="AO558" i="2"/>
  <c r="AO559" i="2"/>
  <c r="AO560" i="2"/>
  <c r="AO561" i="2"/>
  <c r="AO562" i="2"/>
  <c r="AO563" i="2"/>
  <c r="AO564" i="2"/>
  <c r="AO565" i="2"/>
  <c r="AO566" i="2"/>
  <c r="AO567" i="2"/>
  <c r="AO568" i="2"/>
  <c r="AO569" i="2"/>
  <c r="AO570" i="2"/>
  <c r="AO571" i="2"/>
  <c r="AO572" i="2"/>
  <c r="AO573" i="2"/>
  <c r="AO574" i="2"/>
  <c r="AO575" i="2"/>
  <c r="AO576" i="2"/>
  <c r="AO577" i="2"/>
  <c r="AO578" i="2"/>
  <c r="AO579" i="2"/>
  <c r="AO580" i="2"/>
  <c r="AO581" i="2"/>
  <c r="AO582" i="2"/>
  <c r="AO583" i="2"/>
  <c r="AO584" i="2"/>
  <c r="AO585" i="2"/>
  <c r="AO586" i="2"/>
  <c r="AO587" i="2"/>
  <c r="AO588" i="2"/>
  <c r="AO589" i="2"/>
  <c r="AO590" i="2"/>
  <c r="AO591" i="2"/>
  <c r="AO592" i="2"/>
  <c r="AO593" i="2"/>
  <c r="AO594" i="2"/>
  <c r="AO595" i="2"/>
  <c r="AO596" i="2"/>
  <c r="AO597" i="2"/>
  <c r="AO598" i="2"/>
  <c r="AO599" i="2"/>
  <c r="AO600" i="2"/>
  <c r="AO601" i="2"/>
  <c r="AO602" i="2"/>
  <c r="AO603" i="2"/>
  <c r="AO604" i="2"/>
  <c r="AO605" i="2"/>
  <c r="AO606" i="2"/>
  <c r="AO607" i="2"/>
  <c r="AO608" i="2"/>
  <c r="AO609" i="2"/>
  <c r="AO610" i="2"/>
  <c r="AO611" i="2"/>
  <c r="AO612" i="2"/>
  <c r="AO613" i="2"/>
  <c r="AO614" i="2"/>
  <c r="AO615" i="2"/>
  <c r="AO616" i="2"/>
  <c r="AO617" i="2"/>
  <c r="AO618" i="2"/>
  <c r="AO619" i="2"/>
  <c r="AO620" i="2"/>
  <c r="AO621" i="2"/>
  <c r="AO622" i="2"/>
  <c r="AO623" i="2"/>
  <c r="AO624" i="2"/>
  <c r="AO625" i="2"/>
  <c r="AO626" i="2"/>
  <c r="AO627" i="2"/>
  <c r="AO628" i="2"/>
  <c r="AO629" i="2"/>
  <c r="AO630" i="2"/>
  <c r="AO631" i="2"/>
  <c r="AO632" i="2"/>
  <c r="AO633" i="2"/>
  <c r="AO634" i="2"/>
  <c r="AO635" i="2"/>
  <c r="AO636" i="2"/>
  <c r="AO637" i="2"/>
  <c r="AO638" i="2"/>
  <c r="AO639" i="2"/>
  <c r="AO640" i="2"/>
  <c r="AO641" i="2"/>
  <c r="AO642" i="2"/>
  <c r="AO643" i="2"/>
  <c r="AO644" i="2"/>
  <c r="AO645" i="2"/>
  <c r="AO646" i="2"/>
  <c r="AO647" i="2"/>
  <c r="AO648" i="2"/>
  <c r="AO649" i="2"/>
  <c r="AO650" i="2"/>
  <c r="AO651" i="2"/>
  <c r="AO652" i="2"/>
  <c r="AO653" i="2"/>
  <c r="AO654" i="2"/>
  <c r="AO655" i="2"/>
  <c r="AO656" i="2"/>
  <c r="AO657" i="2"/>
  <c r="AO658" i="2"/>
  <c r="AO659" i="2"/>
  <c r="AO660" i="2"/>
  <c r="AO661" i="2"/>
  <c r="AO662" i="2"/>
  <c r="AO663" i="2"/>
  <c r="AO664" i="2"/>
  <c r="AO665" i="2"/>
  <c r="AO666" i="2"/>
  <c r="AO667" i="2"/>
  <c r="AO668" i="2"/>
  <c r="AO669" i="2"/>
  <c r="AO670" i="2"/>
  <c r="AO671" i="2"/>
  <c r="AO672" i="2"/>
  <c r="AO673" i="2"/>
  <c r="AO674" i="2"/>
  <c r="AO675" i="2"/>
  <c r="AO676" i="2"/>
  <c r="AO677" i="2"/>
  <c r="AO678" i="2"/>
  <c r="AO679" i="2"/>
  <c r="AO680" i="2"/>
  <c r="AO681" i="2"/>
  <c r="AO682" i="2"/>
  <c r="AO683" i="2"/>
  <c r="AO684" i="2"/>
  <c r="AO685" i="2"/>
  <c r="AO686" i="2"/>
  <c r="AO687" i="2"/>
  <c r="AO688" i="2"/>
  <c r="AO689" i="2"/>
  <c r="AO690" i="2"/>
  <c r="AO691" i="2"/>
  <c r="AO692" i="2"/>
  <c r="AO693" i="2"/>
  <c r="AO694" i="2"/>
  <c r="AO695" i="2"/>
  <c r="AO696" i="2"/>
  <c r="AO697" i="2"/>
  <c r="AO698" i="2"/>
  <c r="AO699" i="2"/>
  <c r="AO700" i="2"/>
  <c r="AO701" i="2"/>
  <c r="AO702" i="2"/>
  <c r="AO703" i="2"/>
  <c r="AO704" i="2"/>
  <c r="AO705" i="2"/>
  <c r="AO706" i="2"/>
  <c r="AO707" i="2"/>
  <c r="AO708" i="2"/>
  <c r="AO709" i="2"/>
  <c r="AO710" i="2"/>
  <c r="AO711" i="2"/>
  <c r="AO712" i="2"/>
  <c r="AO713" i="2"/>
  <c r="AO714" i="2"/>
  <c r="AO715" i="2"/>
  <c r="AO716" i="2"/>
  <c r="AO717" i="2"/>
  <c r="AO718" i="2"/>
  <c r="AO719" i="2"/>
  <c r="AO720" i="2"/>
  <c r="AO721" i="2"/>
  <c r="AO722" i="2"/>
  <c r="AO723" i="2"/>
  <c r="AO724" i="2"/>
  <c r="AO725" i="2"/>
  <c r="AO726" i="2"/>
  <c r="AO727" i="2"/>
  <c r="AO728" i="2"/>
  <c r="AO729" i="2"/>
  <c r="AO730" i="2"/>
  <c r="AO731" i="2"/>
  <c r="AO732" i="2"/>
  <c r="AO733" i="2"/>
  <c r="AO734" i="2"/>
  <c r="AO735" i="2"/>
  <c r="AO736" i="2"/>
  <c r="AO737" i="2"/>
  <c r="AO738" i="2"/>
  <c r="AO739" i="2"/>
  <c r="AO740" i="2"/>
  <c r="AO741" i="2"/>
  <c r="AO742" i="2"/>
  <c r="AO743" i="2"/>
  <c r="AO744" i="2"/>
  <c r="AO745" i="2"/>
  <c r="AO746" i="2"/>
  <c r="AO747" i="2"/>
  <c r="AO748" i="2"/>
  <c r="AO749" i="2"/>
  <c r="AO750" i="2"/>
  <c r="AO751" i="2"/>
  <c r="AO752" i="2"/>
  <c r="AO753" i="2"/>
  <c r="AO754" i="2"/>
  <c r="AO755" i="2"/>
  <c r="AO756" i="2"/>
  <c r="AO757" i="2"/>
  <c r="AO758" i="2"/>
  <c r="AO759" i="2"/>
  <c r="AO760" i="2"/>
  <c r="AO761" i="2"/>
  <c r="AO762" i="2"/>
  <c r="AO763" i="2"/>
  <c r="AO764" i="2"/>
  <c r="AO765" i="2"/>
  <c r="AO766" i="2"/>
  <c r="AO767" i="2"/>
  <c r="AO768" i="2"/>
  <c r="AO769" i="2"/>
  <c r="AO770" i="2"/>
  <c r="AO771" i="2"/>
  <c r="AO772" i="2"/>
  <c r="AO773" i="2"/>
  <c r="AO774" i="2"/>
  <c r="AO775" i="2"/>
  <c r="AO776" i="2"/>
  <c r="AO777" i="2"/>
  <c r="AO778" i="2"/>
  <c r="AO779" i="2"/>
  <c r="AO780" i="2"/>
  <c r="AO781" i="2"/>
  <c r="AO782" i="2"/>
  <c r="AO783" i="2"/>
  <c r="AO784" i="2"/>
  <c r="AO785" i="2"/>
  <c r="AO786" i="2"/>
  <c r="AO787" i="2"/>
  <c r="AO788" i="2"/>
  <c r="AO789" i="2"/>
  <c r="AO790" i="2"/>
  <c r="AO791" i="2"/>
  <c r="AO792" i="2"/>
  <c r="AO793" i="2"/>
  <c r="AO794" i="2"/>
  <c r="AO795" i="2"/>
  <c r="AO796" i="2"/>
  <c r="AO797" i="2"/>
  <c r="AO798" i="2"/>
  <c r="AO799" i="2"/>
  <c r="AO800" i="2"/>
  <c r="AO801" i="2"/>
  <c r="AO802" i="2"/>
  <c r="AO803" i="2"/>
  <c r="AO804" i="2"/>
  <c r="AO805" i="2"/>
  <c r="AO806" i="2"/>
  <c r="AO807" i="2"/>
  <c r="AO808" i="2"/>
  <c r="AO809" i="2"/>
  <c r="AO810" i="2"/>
  <c r="AO811" i="2"/>
  <c r="AO812" i="2"/>
  <c r="AO813" i="2"/>
  <c r="AO814" i="2"/>
  <c r="AO815" i="2"/>
  <c r="AO816" i="2"/>
  <c r="AO817" i="2"/>
  <c r="AO818" i="2"/>
  <c r="AO819" i="2"/>
  <c r="AO820" i="2"/>
  <c r="AO821" i="2"/>
  <c r="AO822" i="2"/>
  <c r="AO823" i="2"/>
  <c r="AO824" i="2"/>
  <c r="AO825" i="2"/>
  <c r="AO826" i="2"/>
  <c r="AO827" i="2"/>
  <c r="AO828" i="2"/>
  <c r="AO829" i="2"/>
  <c r="AO830" i="2"/>
  <c r="AO831" i="2"/>
  <c r="AO832" i="2"/>
  <c r="AO833" i="2"/>
  <c r="AO834" i="2"/>
  <c r="AO835" i="2"/>
  <c r="AO836" i="2"/>
  <c r="AO837" i="2"/>
  <c r="AO838" i="2"/>
  <c r="AO839" i="2"/>
  <c r="AO840" i="2"/>
  <c r="AO841" i="2"/>
  <c r="AO842" i="2"/>
  <c r="AO843" i="2"/>
  <c r="AO844" i="2"/>
  <c r="AO845" i="2"/>
  <c r="AO846" i="2"/>
  <c r="AO847" i="2"/>
  <c r="AO848" i="2"/>
  <c r="AO849" i="2"/>
  <c r="AO850" i="2"/>
  <c r="AO851" i="2"/>
  <c r="AO852" i="2"/>
  <c r="AO853" i="2"/>
  <c r="AO854" i="2"/>
  <c r="AO855" i="2"/>
  <c r="AO856" i="2"/>
  <c r="AO857" i="2"/>
  <c r="AO858" i="2"/>
  <c r="AO859" i="2"/>
  <c r="AO860" i="2"/>
  <c r="AO861" i="2"/>
  <c r="AO862" i="2"/>
  <c r="AO863" i="2"/>
  <c r="AO864" i="2"/>
  <c r="AO865" i="2"/>
  <c r="AO866" i="2"/>
  <c r="AO867" i="2"/>
  <c r="AO868" i="2"/>
  <c r="AO869" i="2"/>
  <c r="AO870" i="2"/>
  <c r="AO871" i="2"/>
  <c r="AO872" i="2"/>
  <c r="AO873" i="2"/>
  <c r="AO874" i="2"/>
  <c r="AO875" i="2"/>
  <c r="AO876" i="2"/>
  <c r="AO877" i="2"/>
  <c r="AO878" i="2"/>
  <c r="AO879" i="2"/>
  <c r="AO880" i="2"/>
  <c r="AO881" i="2"/>
  <c r="AO882" i="2"/>
  <c r="AO883" i="2"/>
  <c r="AO884" i="2"/>
  <c r="AO885" i="2"/>
  <c r="AO886" i="2"/>
  <c r="AO887" i="2"/>
  <c r="AO888" i="2"/>
  <c r="AO889" i="2"/>
  <c r="AO890" i="2"/>
  <c r="AO891" i="2"/>
  <c r="AO892" i="2"/>
  <c r="AO893" i="2"/>
  <c r="AO894" i="2"/>
  <c r="AO895" i="2"/>
  <c r="AO896" i="2"/>
  <c r="AO897" i="2"/>
  <c r="AO898" i="2"/>
  <c r="AO899" i="2"/>
  <c r="AO900" i="2"/>
  <c r="AO901" i="2"/>
  <c r="AO902" i="2"/>
  <c r="AO903" i="2"/>
  <c r="AO904" i="2"/>
  <c r="AO905" i="2"/>
  <c r="AO906" i="2"/>
  <c r="AO907" i="2"/>
  <c r="AO908" i="2"/>
  <c r="AO909" i="2"/>
  <c r="AO910" i="2"/>
  <c r="AO911" i="2"/>
  <c r="AO912" i="2"/>
  <c r="AO913" i="2"/>
  <c r="AO914" i="2"/>
  <c r="AO915" i="2"/>
  <c r="AO916" i="2"/>
  <c r="AO917" i="2"/>
  <c r="AO918" i="2"/>
  <c r="AO919" i="2"/>
  <c r="AO920" i="2"/>
  <c r="AO921" i="2"/>
  <c r="AO922" i="2"/>
  <c r="AO923" i="2"/>
  <c r="AO924" i="2"/>
  <c r="AO925" i="2"/>
  <c r="AO926" i="2"/>
  <c r="AO927" i="2"/>
  <c r="AO928" i="2"/>
  <c r="AO929" i="2"/>
  <c r="AO930" i="2"/>
  <c r="AO931" i="2"/>
  <c r="AO932" i="2"/>
  <c r="AO933" i="2"/>
  <c r="AO934" i="2"/>
  <c r="AO935" i="2"/>
  <c r="AO936" i="2"/>
  <c r="AO937" i="2"/>
  <c r="AO938" i="2"/>
  <c r="AO939" i="2"/>
  <c r="AO940" i="2"/>
  <c r="AO941" i="2"/>
  <c r="AO942" i="2"/>
  <c r="AO943" i="2"/>
  <c r="AO944" i="2"/>
  <c r="AO945" i="2"/>
  <c r="AO946" i="2"/>
  <c r="AO947" i="2"/>
  <c r="AO948" i="2"/>
  <c r="AO949" i="2"/>
  <c r="AO950" i="2"/>
  <c r="AO951" i="2"/>
  <c r="AO952" i="2"/>
  <c r="AO953" i="2"/>
  <c r="AO954" i="2"/>
  <c r="AO955" i="2"/>
  <c r="AO956" i="2"/>
  <c r="AO957" i="2"/>
  <c r="AO958" i="2"/>
  <c r="AO959" i="2"/>
  <c r="AO960" i="2"/>
  <c r="AO961" i="2"/>
  <c r="AO962" i="2"/>
  <c r="AO963" i="2"/>
  <c r="AO964" i="2"/>
  <c r="AO965" i="2"/>
  <c r="AO966" i="2"/>
  <c r="AO967" i="2"/>
  <c r="AO968" i="2"/>
  <c r="AO969" i="2"/>
  <c r="AO970" i="2"/>
  <c r="AO971" i="2"/>
  <c r="AO972" i="2"/>
  <c r="AO973" i="2"/>
  <c r="AO974" i="2"/>
  <c r="AO975" i="2"/>
  <c r="AO976" i="2"/>
  <c r="AO977" i="2"/>
  <c r="AO978" i="2"/>
  <c r="AO979" i="2"/>
  <c r="AO980" i="2"/>
  <c r="AO981" i="2"/>
  <c r="AO982" i="2"/>
  <c r="AO983" i="2"/>
  <c r="AO984" i="2"/>
  <c r="AO985" i="2"/>
  <c r="AO986" i="2"/>
  <c r="AO987" i="2"/>
  <c r="AO988" i="2"/>
  <c r="AO989" i="2"/>
  <c r="AO990" i="2"/>
  <c r="AO991" i="2"/>
  <c r="AO992" i="2"/>
  <c r="AO993" i="2"/>
  <c r="AO994" i="2"/>
  <c r="AO995" i="2"/>
  <c r="AO996" i="2"/>
  <c r="AO997" i="2"/>
  <c r="AO998" i="2"/>
  <c r="AO999" i="2"/>
  <c r="AO1000" i="2"/>
  <c r="AO1001" i="2"/>
  <c r="AO1002" i="2"/>
  <c r="AO1003" i="2"/>
  <c r="AO1004" i="2"/>
  <c r="AO1005" i="2"/>
  <c r="AO1006" i="2"/>
  <c r="AO1007" i="2"/>
  <c r="AO1008" i="2"/>
  <c r="AO1009" i="2"/>
  <c r="AO1010" i="2"/>
  <c r="AO1011" i="2"/>
  <c r="AO1012" i="2"/>
  <c r="AO1013" i="2"/>
  <c r="AO1014" i="2"/>
  <c r="AO1015" i="2"/>
  <c r="AO1016" i="2"/>
  <c r="AO1017" i="2"/>
  <c r="AO1018" i="2"/>
  <c r="AO1019" i="2"/>
  <c r="AO1020" i="2"/>
  <c r="AO1021" i="2"/>
  <c r="AO1022" i="2"/>
  <c r="AO1023" i="2"/>
  <c r="AO1024" i="2"/>
  <c r="AO1025" i="2"/>
  <c r="AO1026" i="2"/>
  <c r="AO1027" i="2"/>
  <c r="AO1028" i="2"/>
  <c r="AO1029" i="2"/>
  <c r="AO1030" i="2"/>
  <c r="AO1031" i="2"/>
  <c r="AO1032" i="2"/>
  <c r="AO1033" i="2"/>
  <c r="AO1034" i="2"/>
  <c r="AO1035" i="2"/>
  <c r="AO1036" i="2"/>
  <c r="AO1037" i="2"/>
  <c r="AO1038" i="2"/>
  <c r="AO1039" i="2"/>
  <c r="AO1040" i="2"/>
  <c r="AO1041" i="2"/>
  <c r="AO1042" i="2"/>
  <c r="AO1043" i="2"/>
  <c r="AO1044" i="2"/>
  <c r="AO1045" i="2"/>
  <c r="AO1046" i="2"/>
  <c r="AO1047" i="2"/>
  <c r="AO1048" i="2"/>
  <c r="AO1049" i="2"/>
  <c r="AO1050" i="2"/>
  <c r="AO1051" i="2"/>
  <c r="AO1052" i="2"/>
  <c r="AO1053" i="2"/>
  <c r="AO1054" i="2"/>
  <c r="AO1055" i="2"/>
  <c r="AO1056" i="2"/>
  <c r="AO1057" i="2"/>
  <c r="AO1058" i="2"/>
  <c r="AO1059" i="2"/>
  <c r="AO1060" i="2"/>
  <c r="AO1061" i="2"/>
  <c r="AO1062" i="2"/>
  <c r="AO1063" i="2"/>
  <c r="AO1064" i="2"/>
  <c r="AO1065" i="2"/>
  <c r="AO1066" i="2"/>
  <c r="AO1067" i="2"/>
  <c r="AO1068" i="2"/>
  <c r="AO1069" i="2"/>
  <c r="AO1070" i="2"/>
  <c r="AO1071" i="2"/>
  <c r="AO1072" i="2"/>
  <c r="AO1073" i="2"/>
  <c r="AO1074" i="2"/>
  <c r="AO1075" i="2"/>
  <c r="AO1076" i="2"/>
  <c r="AO1077" i="2"/>
  <c r="AO1078" i="2"/>
  <c r="AO1079" i="2"/>
  <c r="AO1080" i="2"/>
  <c r="AO1081" i="2"/>
  <c r="AO1082" i="2"/>
  <c r="AO1083" i="2"/>
  <c r="AO1084" i="2"/>
  <c r="AO1085" i="2"/>
  <c r="AO1086" i="2"/>
  <c r="AO1087" i="2"/>
  <c r="AO1088" i="2"/>
  <c r="AO1089" i="2"/>
  <c r="AO1090" i="2"/>
  <c r="AO1091" i="2"/>
  <c r="AO1092" i="2"/>
  <c r="AO1093" i="2"/>
  <c r="AO1094" i="2"/>
  <c r="AO1095" i="2"/>
  <c r="AO1096" i="2"/>
  <c r="AO1097" i="2"/>
  <c r="AO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2" i="2"/>
  <c r="Y3" i="2"/>
  <c r="Y4" i="2"/>
  <c r="Y5" i="2"/>
  <c r="Y6" i="2"/>
  <c r="Y7" i="2"/>
  <c r="Y8" i="2"/>
  <c r="Y9" i="2"/>
  <c r="Y10" i="2"/>
  <c r="Y11" i="2"/>
  <c r="Y12" i="2"/>
  <c r="Y13" i="2"/>
  <c r="Y14" i="2"/>
  <c r="Y15" i="2"/>
  <c r="Y16" i="2"/>
  <c r="Y17" i="2"/>
  <c r="Y18" i="2"/>
  <c r="Y19" i="2"/>
  <c r="Y20" i="2"/>
  <c r="Y21" i="2"/>
  <c r="Y22" i="2"/>
  <c r="Y23" i="2"/>
  <c r="Y24" i="2"/>
  <c r="Y25" i="2"/>
  <c r="BE25" i="2" s="1"/>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2"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3" i="2"/>
  <c r="I4" i="2"/>
  <c r="I5" i="2"/>
  <c r="I6" i="2"/>
  <c r="I7" i="2"/>
  <c r="I8" i="2"/>
  <c r="I9" i="2"/>
  <c r="I10" i="2"/>
  <c r="I2"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CN330" i="4" l="1"/>
  <c r="CN324" i="4"/>
  <c r="CN319" i="4"/>
  <c r="CN314" i="4"/>
  <c r="CN300" i="4"/>
  <c r="CN328" i="4"/>
  <c r="CN323" i="4"/>
  <c r="CN318" i="4"/>
  <c r="CN297" i="4"/>
  <c r="CN311" i="4"/>
  <c r="CN307" i="4"/>
  <c r="CN303" i="4"/>
  <c r="CN299" i="4"/>
  <c r="CN310" i="4"/>
  <c r="CN306" i="4"/>
  <c r="CN302" i="4"/>
  <c r="CN298" i="4"/>
  <c r="CN341" i="4"/>
  <c r="CN337" i="4"/>
  <c r="CN333" i="4"/>
  <c r="CN329" i="4"/>
  <c r="CN325" i="4"/>
  <c r="CN321" i="4"/>
  <c r="CN317" i="4"/>
  <c r="CN313" i="4"/>
  <c r="CN309" i="4"/>
  <c r="CN305" i="4"/>
  <c r="CN301" i="4"/>
  <c r="CJ336" i="4"/>
  <c r="CJ331" i="4"/>
  <c r="CJ326" i="4"/>
  <c r="CJ320" i="4"/>
  <c r="CJ315" i="4"/>
  <c r="CJ310" i="4"/>
  <c r="CJ304" i="4"/>
  <c r="CJ299" i="4"/>
  <c r="CJ340" i="4"/>
  <c r="CJ335" i="4"/>
  <c r="CJ330" i="4"/>
  <c r="CJ324" i="4"/>
  <c r="CJ319" i="4"/>
  <c r="CJ314" i="4"/>
  <c r="CJ308" i="4"/>
  <c r="CJ303" i="4"/>
  <c r="CJ298" i="4"/>
  <c r="CJ339" i="4"/>
  <c r="CJ334" i="4"/>
  <c r="CJ328" i="4"/>
  <c r="CJ323" i="4"/>
  <c r="CJ318" i="4"/>
  <c r="CJ312" i="4"/>
  <c r="CJ307" i="4"/>
  <c r="CJ297" i="4"/>
  <c r="CJ341" i="4"/>
  <c r="CJ337" i="4"/>
  <c r="CJ333" i="4"/>
  <c r="CJ329" i="4"/>
  <c r="CJ325" i="4"/>
  <c r="CJ321" i="4"/>
  <c r="CJ317" i="4"/>
  <c r="CJ313" i="4"/>
  <c r="CJ309" i="4"/>
  <c r="CJ305" i="4"/>
  <c r="CJ301" i="4"/>
  <c r="CF318" i="4"/>
  <c r="CF297" i="4"/>
  <c r="CF311" i="4"/>
  <c r="CF307" i="4"/>
  <c r="CF303" i="4"/>
  <c r="CF299" i="4"/>
  <c r="CF310" i="4"/>
  <c r="CF306" i="4"/>
  <c r="CF302" i="4"/>
  <c r="CF298" i="4"/>
  <c r="CF341" i="4"/>
  <c r="CF337" i="4"/>
  <c r="CF333" i="4"/>
  <c r="CF329" i="4"/>
  <c r="CF325" i="4"/>
  <c r="CF321" i="4"/>
  <c r="CF317" i="4"/>
  <c r="CF313" i="4"/>
  <c r="CF309" i="4"/>
  <c r="CF305" i="4"/>
  <c r="CF301" i="4"/>
  <c r="CB334" i="4"/>
  <c r="CB328" i="4"/>
  <c r="CB323" i="4"/>
  <c r="CB318" i="4"/>
  <c r="CB304" i="4"/>
  <c r="CB332" i="4"/>
  <c r="CB327" i="4"/>
  <c r="CB322" i="4"/>
  <c r="CB316" i="4"/>
  <c r="CB300" i="4"/>
  <c r="CB336" i="4"/>
  <c r="CB331" i="4"/>
  <c r="CB326" i="4"/>
  <c r="CB320" i="4"/>
  <c r="CB297" i="4"/>
  <c r="CB315" i="4"/>
  <c r="CB311" i="4"/>
  <c r="CB307" i="4"/>
  <c r="CB303" i="4"/>
  <c r="CB299" i="4"/>
  <c r="CB314" i="4"/>
  <c r="CB310" i="4"/>
  <c r="CB306" i="4"/>
  <c r="CB302" i="4"/>
  <c r="CB298" i="4"/>
  <c r="CB341" i="4"/>
  <c r="CB337" i="4"/>
  <c r="CB333" i="4"/>
  <c r="CB329" i="4"/>
  <c r="CB325" i="4"/>
  <c r="CB321" i="4"/>
  <c r="CB317" i="4"/>
  <c r="CB313" i="4"/>
  <c r="CB309" i="4"/>
  <c r="CB305" i="4"/>
  <c r="CB301" i="4"/>
  <c r="BW336" i="4"/>
  <c r="BW320" i="4"/>
  <c r="BW304" i="4"/>
  <c r="BW332" i="4"/>
  <c r="BW316" i="4"/>
  <c r="BW300" i="4"/>
  <c r="BW328" i="4"/>
  <c r="BW297" i="4"/>
  <c r="BW339" i="4"/>
  <c r="BW335" i="4"/>
  <c r="BW331" i="4"/>
  <c r="BW327" i="4"/>
  <c r="BW323" i="4"/>
  <c r="BW319" i="4"/>
  <c r="BW315" i="4"/>
  <c r="BW311" i="4"/>
  <c r="BW307" i="4"/>
  <c r="BW303" i="4"/>
  <c r="BW299" i="4"/>
  <c r="BW338" i="4"/>
  <c r="BW334" i="4"/>
  <c r="BW330" i="4"/>
  <c r="BW326" i="4"/>
  <c r="BW322" i="4"/>
  <c r="BW318" i="4"/>
  <c r="BW314" i="4"/>
  <c r="BW310" i="4"/>
  <c r="BW306" i="4"/>
  <c r="BW302" i="4"/>
  <c r="BW298" i="4"/>
  <c r="BW341" i="4"/>
  <c r="BW337" i="4"/>
  <c r="BW333" i="4"/>
  <c r="BW329" i="4"/>
  <c r="BW325" i="4"/>
  <c r="BW321" i="4"/>
  <c r="BW317" i="4"/>
  <c r="BW313" i="4"/>
  <c r="BW309" i="4"/>
  <c r="BW305" i="4"/>
  <c r="BW301" i="4"/>
  <c r="BS336" i="4"/>
  <c r="BS320" i="4"/>
  <c r="BS304" i="4"/>
  <c r="BS332" i="4"/>
  <c r="BS316" i="4"/>
  <c r="BS300" i="4"/>
  <c r="BS328" i="4"/>
  <c r="BS297" i="4"/>
  <c r="BS339" i="4"/>
  <c r="BS335" i="4"/>
  <c r="BS331" i="4"/>
  <c r="BS327" i="4"/>
  <c r="BS323" i="4"/>
  <c r="BS319" i="4"/>
  <c r="BS315" i="4"/>
  <c r="BS311" i="4"/>
  <c r="BS307" i="4"/>
  <c r="BS303" i="4"/>
  <c r="BS299" i="4"/>
  <c r="BS338" i="4"/>
  <c r="BS334" i="4"/>
  <c r="BS330" i="4"/>
  <c r="BS326" i="4"/>
  <c r="BS322" i="4"/>
  <c r="BS318" i="4"/>
  <c r="BS314" i="4"/>
  <c r="BS310" i="4"/>
  <c r="BS306" i="4"/>
  <c r="BS302" i="4"/>
  <c r="BS298" i="4"/>
  <c r="BS341" i="4"/>
  <c r="BS337" i="4"/>
  <c r="BS333" i="4"/>
  <c r="BS329" i="4"/>
  <c r="BS325" i="4"/>
  <c r="BS321" i="4"/>
  <c r="BS317" i="4"/>
  <c r="BS313" i="4"/>
  <c r="BS309" i="4"/>
  <c r="BS305" i="4"/>
  <c r="BS301" i="4"/>
  <c r="BO318" i="4"/>
  <c r="BO314" i="4"/>
  <c r="BO310" i="4"/>
  <c r="BO306" i="4"/>
  <c r="BO302" i="4"/>
  <c r="BO298" i="4"/>
  <c r="BO317" i="4"/>
  <c r="BO313" i="4"/>
  <c r="CT313" i="4" s="1"/>
  <c r="BO309" i="4"/>
  <c r="BO305" i="4"/>
  <c r="BO301" i="4"/>
  <c r="BO297" i="4"/>
  <c r="BO340" i="4"/>
  <c r="BO336" i="4"/>
  <c r="BO332" i="4"/>
  <c r="BO328" i="4"/>
  <c r="CS328" i="4" s="1"/>
  <c r="BO324" i="4"/>
  <c r="BO320" i="4"/>
  <c r="BO316" i="4"/>
  <c r="BO312" i="4"/>
  <c r="CT312" i="4" s="1"/>
  <c r="BO308" i="4"/>
  <c r="BO304" i="4"/>
  <c r="BK297" i="4"/>
  <c r="BK315" i="4"/>
  <c r="BK311" i="4"/>
  <c r="BK307" i="4"/>
  <c r="BK303" i="4"/>
  <c r="BK299" i="4"/>
  <c r="BK314" i="4"/>
  <c r="BK310" i="4"/>
  <c r="BK306" i="4"/>
  <c r="BK302" i="4"/>
  <c r="BK298" i="4"/>
  <c r="BK341" i="4"/>
  <c r="BK337" i="4"/>
  <c r="BK333" i="4"/>
  <c r="BK329" i="4"/>
  <c r="BK325" i="4"/>
  <c r="BK321" i="4"/>
  <c r="BK317" i="4"/>
  <c r="BK313" i="4"/>
  <c r="BK309" i="4"/>
  <c r="BK305" i="4"/>
  <c r="BK301" i="4"/>
  <c r="AW332" i="4"/>
  <c r="AW316" i="4"/>
  <c r="AW300" i="4"/>
  <c r="AW328" i="4"/>
  <c r="AW297" i="4"/>
  <c r="AW339" i="4"/>
  <c r="AW335" i="4"/>
  <c r="AW331" i="4"/>
  <c r="AW327" i="4"/>
  <c r="CS327" i="4" s="1"/>
  <c r="AW323" i="4"/>
  <c r="AW319" i="4"/>
  <c r="AW315" i="4"/>
  <c r="AW311" i="4"/>
  <c r="AW307" i="4"/>
  <c r="AW303" i="4"/>
  <c r="AW299" i="4"/>
  <c r="AW338" i="4"/>
  <c r="AW334" i="4"/>
  <c r="AW330" i="4"/>
  <c r="AW326" i="4"/>
  <c r="AW322" i="4"/>
  <c r="AW318" i="4"/>
  <c r="AW314" i="4"/>
  <c r="AW310" i="4"/>
  <c r="AW306" i="4"/>
  <c r="AW302" i="4"/>
  <c r="AW298" i="4"/>
  <c r="AW341" i="4"/>
  <c r="AW337" i="4"/>
  <c r="AW333" i="4"/>
  <c r="AW329" i="4"/>
  <c r="AW325" i="4"/>
  <c r="AW321" i="4"/>
  <c r="AW317" i="4"/>
  <c r="AW313" i="4"/>
  <c r="AW309" i="4"/>
  <c r="AW305" i="4"/>
  <c r="AW301" i="4"/>
  <c r="AS304" i="4"/>
  <c r="AO328" i="4"/>
  <c r="AO297" i="4"/>
  <c r="AO339" i="4"/>
  <c r="AO335" i="4"/>
  <c r="CT335" i="4" s="1"/>
  <c r="AO331" i="4"/>
  <c r="AO327" i="4"/>
  <c r="AO323" i="4"/>
  <c r="AO319" i="4"/>
  <c r="AO315" i="4"/>
  <c r="AO311" i="4"/>
  <c r="AO307" i="4"/>
  <c r="AO303" i="4"/>
  <c r="AO299" i="4"/>
  <c r="AO338" i="4"/>
  <c r="CT338" i="4" s="1"/>
  <c r="AO334" i="4"/>
  <c r="CS334" i="4" s="1"/>
  <c r="AO330" i="4"/>
  <c r="AO326" i="4"/>
  <c r="AO322" i="4"/>
  <c r="AO318" i="4"/>
  <c r="AO314" i="4"/>
  <c r="AO310" i="4"/>
  <c r="AO306" i="4"/>
  <c r="AO302" i="4"/>
  <c r="AO298" i="4"/>
  <c r="CS298" i="4" s="1"/>
  <c r="AO337" i="4"/>
  <c r="AO333" i="4"/>
  <c r="AO329" i="4"/>
  <c r="AO325" i="4"/>
  <c r="AO321" i="4"/>
  <c r="AO317" i="4"/>
  <c r="AO313" i="4"/>
  <c r="AO309" i="4"/>
  <c r="AO305" i="4"/>
  <c r="AO301" i="4"/>
  <c r="AK336" i="4"/>
  <c r="AK331" i="4"/>
  <c r="AK326" i="4"/>
  <c r="AK320" i="4"/>
  <c r="AK315" i="4"/>
  <c r="AK310" i="4"/>
  <c r="AK297" i="4"/>
  <c r="AK299" i="4"/>
  <c r="AK298" i="4"/>
  <c r="AK341" i="4"/>
  <c r="AK337" i="4"/>
  <c r="AK333" i="4"/>
  <c r="AK329" i="4"/>
  <c r="AK325" i="4"/>
  <c r="AK321" i="4"/>
  <c r="AK317" i="4"/>
  <c r="AK313" i="4"/>
  <c r="AK309" i="4"/>
  <c r="AK305" i="4"/>
  <c r="AK301" i="4"/>
  <c r="AG297" i="4"/>
  <c r="AG341" i="4"/>
  <c r="AG337" i="4"/>
  <c r="AG333" i="4"/>
  <c r="AG329" i="4"/>
  <c r="AG325" i="4"/>
  <c r="AG321" i="4"/>
  <c r="AG317" i="4"/>
  <c r="AG313" i="4"/>
  <c r="AG309" i="4"/>
  <c r="AG305" i="4"/>
  <c r="AG301" i="4"/>
  <c r="U336" i="4"/>
  <c r="U332" i="4"/>
  <c r="U328" i="4"/>
  <c r="U324" i="4"/>
  <c r="U320" i="4"/>
  <c r="U316" i="4"/>
  <c r="U312" i="4"/>
  <c r="U308" i="4"/>
  <c r="U304" i="4"/>
  <c r="Q336" i="4"/>
  <c r="Q328" i="4"/>
  <c r="Q297" i="4"/>
  <c r="Q331" i="4"/>
  <c r="Q327" i="4"/>
  <c r="Q323" i="4"/>
  <c r="Q319" i="4"/>
  <c r="Q315" i="4"/>
  <c r="Q311" i="4"/>
  <c r="Q307" i="4"/>
  <c r="Q303" i="4"/>
  <c r="Q299" i="4"/>
  <c r="Q330" i="4"/>
  <c r="Q326" i="4"/>
  <c r="CS326" i="4" s="1"/>
  <c r="Q322" i="4"/>
  <c r="CT322" i="4" s="1"/>
  <c r="Q318" i="4"/>
  <c r="CT318" i="4" s="1"/>
  <c r="Q314" i="4"/>
  <c r="Q310" i="4"/>
  <c r="Q306" i="4"/>
  <c r="Q302" i="4"/>
  <c r="CT302" i="4" s="1"/>
  <c r="Q298" i="4"/>
  <c r="Q341" i="4"/>
  <c r="Q337" i="4"/>
  <c r="Q333" i="4"/>
  <c r="Q329" i="4"/>
  <c r="Q325" i="4"/>
  <c r="Q321" i="4"/>
  <c r="Q317" i="4"/>
  <c r="Q313" i="4"/>
  <c r="Q309" i="4"/>
  <c r="Q305" i="4"/>
  <c r="Q301" i="4"/>
  <c r="M327" i="4"/>
  <c r="M321" i="4"/>
  <c r="M316" i="4"/>
  <c r="M311" i="4"/>
  <c r="M305" i="4"/>
  <c r="M298" i="4"/>
  <c r="M300" i="4"/>
  <c r="M299" i="4"/>
  <c r="M338" i="4"/>
  <c r="M334" i="4"/>
  <c r="M330" i="4"/>
  <c r="M326" i="4"/>
  <c r="M322" i="4"/>
  <c r="M318" i="4"/>
  <c r="M314" i="4"/>
  <c r="M310" i="4"/>
  <c r="M306" i="4"/>
  <c r="M302" i="4"/>
  <c r="I301" i="4"/>
  <c r="I341" i="4"/>
  <c r="I337" i="4"/>
  <c r="I333" i="4"/>
  <c r="I329" i="4"/>
  <c r="I325" i="4"/>
  <c r="I321" i="4"/>
  <c r="I317" i="4"/>
  <c r="I313" i="4"/>
  <c r="I309" i="4"/>
  <c r="I305" i="4"/>
  <c r="I300" i="4"/>
  <c r="I340" i="4"/>
  <c r="I336" i="4"/>
  <c r="CT336" i="4" s="1"/>
  <c r="I332" i="4"/>
  <c r="CS332" i="4" s="1"/>
  <c r="I328" i="4"/>
  <c r="I324" i="4"/>
  <c r="I320" i="4"/>
  <c r="I316" i="4"/>
  <c r="I312" i="4"/>
  <c r="I308" i="4"/>
  <c r="I304" i="4"/>
  <c r="CS304" i="4" s="1"/>
  <c r="I299" i="4"/>
  <c r="I339" i="4"/>
  <c r="I335" i="4"/>
  <c r="I331" i="4"/>
  <c r="I327" i="4"/>
  <c r="I323" i="4"/>
  <c r="I319" i="4"/>
  <c r="I315" i="4"/>
  <c r="I311" i="4"/>
  <c r="I307" i="4"/>
  <c r="CT902" i="4"/>
  <c r="CS902" i="4"/>
  <c r="CT894" i="4"/>
  <c r="CS894" i="4"/>
  <c r="CT886" i="4"/>
  <c r="CS886" i="4"/>
  <c r="CT878" i="4"/>
  <c r="CS878" i="4"/>
  <c r="CT870" i="4"/>
  <c r="CS870" i="4"/>
  <c r="CT862" i="4"/>
  <c r="CS862" i="4"/>
  <c r="CT854" i="4"/>
  <c r="CS854" i="4"/>
  <c r="CT846" i="4"/>
  <c r="CS846" i="4"/>
  <c r="CT838" i="4"/>
  <c r="CS838" i="4"/>
  <c r="CT830" i="4"/>
  <c r="CS830" i="4"/>
  <c r="CT822" i="4"/>
  <c r="CS822" i="4"/>
  <c r="CT814" i="4"/>
  <c r="CS814" i="4"/>
  <c r="CT806" i="4"/>
  <c r="CS806" i="4"/>
  <c r="CT798" i="4"/>
  <c r="CS798" i="4"/>
  <c r="CT790" i="4"/>
  <c r="CS790" i="4"/>
  <c r="CT782" i="4"/>
  <c r="CS782" i="4"/>
  <c r="CT774" i="4"/>
  <c r="CS774" i="4"/>
  <c r="CT766" i="4"/>
  <c r="CS766" i="4"/>
  <c r="CT758" i="4"/>
  <c r="CS758" i="4"/>
  <c r="CT750" i="4"/>
  <c r="CS750" i="4"/>
  <c r="CT742" i="4"/>
  <c r="CS742" i="4"/>
  <c r="CT734" i="4"/>
  <c r="CS734" i="4"/>
  <c r="CT726" i="4"/>
  <c r="CS726" i="4"/>
  <c r="CT718" i="4"/>
  <c r="CS718" i="4"/>
  <c r="CT710" i="4"/>
  <c r="CS710" i="4"/>
  <c r="CT702" i="4"/>
  <c r="CS702" i="4"/>
  <c r="CT694" i="4"/>
  <c r="CS694" i="4"/>
  <c r="CT686" i="4"/>
  <c r="CS686" i="4"/>
  <c r="CT678" i="4"/>
  <c r="CS678" i="4"/>
  <c r="CT670" i="4"/>
  <c r="CS670" i="4"/>
  <c r="CT662" i="4"/>
  <c r="CS662" i="4"/>
  <c r="CT654" i="4"/>
  <c r="CS654" i="4"/>
  <c r="CT646" i="4"/>
  <c r="CS646" i="4"/>
  <c r="CT638" i="4"/>
  <c r="CS638" i="4"/>
  <c r="CT630" i="4"/>
  <c r="CS630" i="4"/>
  <c r="CT622" i="4"/>
  <c r="CS622" i="4"/>
  <c r="CT614" i="4"/>
  <c r="CS614" i="4"/>
  <c r="CT606" i="4"/>
  <c r="CS606" i="4"/>
  <c r="CT598" i="4"/>
  <c r="CS598" i="4"/>
  <c r="CT590" i="4"/>
  <c r="CS590" i="4"/>
  <c r="CT582" i="4"/>
  <c r="CS582" i="4"/>
  <c r="CT574" i="4"/>
  <c r="CS574" i="4"/>
  <c r="CT566" i="4"/>
  <c r="CS566" i="4"/>
  <c r="CT558" i="4"/>
  <c r="CS558" i="4"/>
  <c r="CT550" i="4"/>
  <c r="CS550" i="4"/>
  <c r="CT542" i="4"/>
  <c r="CS542" i="4"/>
  <c r="CT534" i="4"/>
  <c r="CS534" i="4"/>
  <c r="CT526" i="4"/>
  <c r="CS526" i="4"/>
  <c r="CT518" i="4"/>
  <c r="CS518" i="4"/>
  <c r="CT510" i="4"/>
  <c r="CS510" i="4"/>
  <c r="CT502" i="4"/>
  <c r="CS502" i="4"/>
  <c r="CT494" i="4"/>
  <c r="CS494" i="4"/>
  <c r="CT486" i="4"/>
  <c r="CS486" i="4"/>
  <c r="CT482" i="4"/>
  <c r="CS482" i="4"/>
  <c r="CT478" i="4"/>
  <c r="CS478" i="4"/>
  <c r="CT474" i="4"/>
  <c r="CS474" i="4"/>
  <c r="CT470" i="4"/>
  <c r="CS470" i="4"/>
  <c r="CT466" i="4"/>
  <c r="CS466" i="4"/>
  <c r="CT462" i="4"/>
  <c r="CS462" i="4"/>
  <c r="CT458" i="4"/>
  <c r="CS458" i="4"/>
  <c r="CT454" i="4"/>
  <c r="CS454" i="4"/>
  <c r="CT450" i="4"/>
  <c r="CS450" i="4"/>
  <c r="CT446" i="4"/>
  <c r="CS446" i="4"/>
  <c r="CT442" i="4"/>
  <c r="CS442" i="4"/>
  <c r="CT438" i="4"/>
  <c r="CS438" i="4"/>
  <c r="CT434" i="4"/>
  <c r="CS434" i="4"/>
  <c r="CT430" i="4"/>
  <c r="CS430" i="4"/>
  <c r="CT426" i="4"/>
  <c r="CS426" i="4"/>
  <c r="CT422" i="4"/>
  <c r="CS422" i="4"/>
  <c r="CT418" i="4"/>
  <c r="CS418" i="4"/>
  <c r="CT414" i="4"/>
  <c r="CS414" i="4"/>
  <c r="CT410" i="4"/>
  <c r="CS410" i="4"/>
  <c r="CT406" i="4"/>
  <c r="CS406" i="4"/>
  <c r="CT402" i="4"/>
  <c r="CS402" i="4"/>
  <c r="CT398" i="4"/>
  <c r="CS398" i="4"/>
  <c r="CT394" i="4"/>
  <c r="CS394" i="4"/>
  <c r="CT390" i="4"/>
  <c r="CS390" i="4"/>
  <c r="CT386" i="4"/>
  <c r="CS386" i="4"/>
  <c r="CT382" i="4"/>
  <c r="CS382" i="4"/>
  <c r="CT378" i="4"/>
  <c r="CS378" i="4"/>
  <c r="CT374" i="4"/>
  <c r="CS374" i="4"/>
  <c r="CT370" i="4"/>
  <c r="CS370" i="4"/>
  <c r="CT366" i="4"/>
  <c r="CS366" i="4"/>
  <c r="CT362" i="4"/>
  <c r="CS362" i="4"/>
  <c r="CT358" i="4"/>
  <c r="CS358" i="4"/>
  <c r="CT354" i="4"/>
  <c r="CS354" i="4"/>
  <c r="CT350" i="4"/>
  <c r="CS350" i="4"/>
  <c r="CT346" i="4"/>
  <c r="CS346" i="4"/>
  <c r="CT342" i="4"/>
  <c r="CS342" i="4"/>
  <c r="CT334" i="4"/>
  <c r="CS318" i="4"/>
  <c r="CT298" i="4"/>
  <c r="CS973" i="4"/>
  <c r="CS969" i="4"/>
  <c r="CS965" i="4"/>
  <c r="CS961" i="4"/>
  <c r="CS957" i="4"/>
  <c r="CS953" i="4"/>
  <c r="CS949" i="4"/>
  <c r="CS945" i="4"/>
  <c r="CS941" i="4"/>
  <c r="CS937" i="4"/>
  <c r="CS933" i="4"/>
  <c r="CS929" i="4"/>
  <c r="CS925" i="4"/>
  <c r="CS921" i="4"/>
  <c r="CS917" i="4"/>
  <c r="CS913" i="4"/>
  <c r="CS909" i="4"/>
  <c r="CS905" i="4"/>
  <c r="CT898" i="4"/>
  <c r="CS898" i="4"/>
  <c r="CT890" i="4"/>
  <c r="CS890" i="4"/>
  <c r="CT882" i="4"/>
  <c r="CS882" i="4"/>
  <c r="CT874" i="4"/>
  <c r="CS874" i="4"/>
  <c r="CT866" i="4"/>
  <c r="CS866" i="4"/>
  <c r="CT858" i="4"/>
  <c r="CS858" i="4"/>
  <c r="CT850" i="4"/>
  <c r="CS850" i="4"/>
  <c r="CT842" i="4"/>
  <c r="CS842" i="4"/>
  <c r="CT834" i="4"/>
  <c r="CS834" i="4"/>
  <c r="CT826" i="4"/>
  <c r="CS826" i="4"/>
  <c r="CT818" i="4"/>
  <c r="CS818" i="4"/>
  <c r="CT810" i="4"/>
  <c r="CS810" i="4"/>
  <c r="CT802" i="4"/>
  <c r="CS802" i="4"/>
  <c r="CT794" i="4"/>
  <c r="CS794" i="4"/>
  <c r="CT786" i="4"/>
  <c r="CS786" i="4"/>
  <c r="CT778" i="4"/>
  <c r="CS778" i="4"/>
  <c r="CT770" i="4"/>
  <c r="CS770" i="4"/>
  <c r="CT762" i="4"/>
  <c r="CS762" i="4"/>
  <c r="CT754" i="4"/>
  <c r="CS754" i="4"/>
  <c r="CT746" i="4"/>
  <c r="CS746" i="4"/>
  <c r="CT738" i="4"/>
  <c r="CS738" i="4"/>
  <c r="CT730" i="4"/>
  <c r="CS730" i="4"/>
  <c r="CT722" i="4"/>
  <c r="CS722" i="4"/>
  <c r="CT714" i="4"/>
  <c r="CS714" i="4"/>
  <c r="CT706" i="4"/>
  <c r="CS706" i="4"/>
  <c r="CT698" i="4"/>
  <c r="CS698" i="4"/>
  <c r="CT690" i="4"/>
  <c r="CS690" i="4"/>
  <c r="CT682" i="4"/>
  <c r="CS682" i="4"/>
  <c r="CT674" i="4"/>
  <c r="CS674" i="4"/>
  <c r="CT666" i="4"/>
  <c r="CS666" i="4"/>
  <c r="CT658" i="4"/>
  <c r="CS658" i="4"/>
  <c r="CT650" i="4"/>
  <c r="CS650" i="4"/>
  <c r="CT642" i="4"/>
  <c r="CS642" i="4"/>
  <c r="CT634" i="4"/>
  <c r="CS634" i="4"/>
  <c r="CT626" i="4"/>
  <c r="CS626" i="4"/>
  <c r="CT618" i="4"/>
  <c r="CS618" i="4"/>
  <c r="CT610" i="4"/>
  <c r="CS610" i="4"/>
  <c r="CT602" i="4"/>
  <c r="CS602" i="4"/>
  <c r="CT594" i="4"/>
  <c r="CS594" i="4"/>
  <c r="CT586" i="4"/>
  <c r="CS586" i="4"/>
  <c r="CT578" i="4"/>
  <c r="CS578" i="4"/>
  <c r="CT570" i="4"/>
  <c r="CS570" i="4"/>
  <c r="CT562" i="4"/>
  <c r="CS562" i="4"/>
  <c r="CT554" i="4"/>
  <c r="CS554" i="4"/>
  <c r="CT546" i="4"/>
  <c r="CS546" i="4"/>
  <c r="CT538" i="4"/>
  <c r="CS538" i="4"/>
  <c r="CT530" i="4"/>
  <c r="CS530" i="4"/>
  <c r="CT522" i="4"/>
  <c r="CS522" i="4"/>
  <c r="CT514" i="4"/>
  <c r="CS514" i="4"/>
  <c r="CT506" i="4"/>
  <c r="CS506" i="4"/>
  <c r="CT498" i="4"/>
  <c r="CS498" i="4"/>
  <c r="CT490" i="4"/>
  <c r="CS490" i="4"/>
  <c r="CS302" i="4"/>
  <c r="CT901" i="4"/>
  <c r="CS901" i="4"/>
  <c r="CT897" i="4"/>
  <c r="CS897" i="4"/>
  <c r="CT893" i="4"/>
  <c r="CS893" i="4"/>
  <c r="CT889" i="4"/>
  <c r="CS889" i="4"/>
  <c r="CT885" i="4"/>
  <c r="CS885" i="4"/>
  <c r="CT881" i="4"/>
  <c r="CS881" i="4"/>
  <c r="CT877" i="4"/>
  <c r="CS877" i="4"/>
  <c r="CT873" i="4"/>
  <c r="CS873" i="4"/>
  <c r="CT869" i="4"/>
  <c r="CS869" i="4"/>
  <c r="CT865" i="4"/>
  <c r="CS865" i="4"/>
  <c r="CT861" i="4"/>
  <c r="CS861" i="4"/>
  <c r="CT857" i="4"/>
  <c r="CS857" i="4"/>
  <c r="CT853" i="4"/>
  <c r="CS853" i="4"/>
  <c r="CT849" i="4"/>
  <c r="CS849" i="4"/>
  <c r="CT845" i="4"/>
  <c r="CS845" i="4"/>
  <c r="CT841" i="4"/>
  <c r="CS841" i="4"/>
  <c r="CT837" i="4"/>
  <c r="CS837" i="4"/>
  <c r="CT833" i="4"/>
  <c r="CS833" i="4"/>
  <c r="CT829" i="4"/>
  <c r="CS829" i="4"/>
  <c r="CT825" i="4"/>
  <c r="CS825" i="4"/>
  <c r="CT821" i="4"/>
  <c r="CS821" i="4"/>
  <c r="CT817" i="4"/>
  <c r="CS817" i="4"/>
  <c r="CT813" i="4"/>
  <c r="CS813" i="4"/>
  <c r="CT809" i="4"/>
  <c r="CS809" i="4"/>
  <c r="CT805" i="4"/>
  <c r="CS805" i="4"/>
  <c r="CT801" i="4"/>
  <c r="CS801" i="4"/>
  <c r="CT797" i="4"/>
  <c r="CS797" i="4"/>
  <c r="CT793" i="4"/>
  <c r="CS793" i="4"/>
  <c r="CT789" i="4"/>
  <c r="CS789" i="4"/>
  <c r="CT785" i="4"/>
  <c r="CS785" i="4"/>
  <c r="CT781" i="4"/>
  <c r="CS781" i="4"/>
  <c r="CT777" i="4"/>
  <c r="CS777" i="4"/>
  <c r="CT773" i="4"/>
  <c r="CS773" i="4"/>
  <c r="CT769" i="4"/>
  <c r="CS769" i="4"/>
  <c r="CT765" i="4"/>
  <c r="CS765" i="4"/>
  <c r="CT761" i="4"/>
  <c r="CS761" i="4"/>
  <c r="CT757" i="4"/>
  <c r="CS757" i="4"/>
  <c r="CT753" i="4"/>
  <c r="CS753" i="4"/>
  <c r="CT749" i="4"/>
  <c r="CS749" i="4"/>
  <c r="CT745" i="4"/>
  <c r="CS745" i="4"/>
  <c r="CT741" i="4"/>
  <c r="CS741" i="4"/>
  <c r="CT737" i="4"/>
  <c r="CS737" i="4"/>
  <c r="CT733" i="4"/>
  <c r="CS733" i="4"/>
  <c r="CT729" i="4"/>
  <c r="CS729" i="4"/>
  <c r="CT725" i="4"/>
  <c r="CS725" i="4"/>
  <c r="CT721" i="4"/>
  <c r="CS721" i="4"/>
  <c r="CT717" i="4"/>
  <c r="CS717" i="4"/>
  <c r="CT713" i="4"/>
  <c r="CS713" i="4"/>
  <c r="CT709" i="4"/>
  <c r="CS709" i="4"/>
  <c r="CT705" i="4"/>
  <c r="CS705" i="4"/>
  <c r="CT701" i="4"/>
  <c r="CS701" i="4"/>
  <c r="CT697" i="4"/>
  <c r="CS697" i="4"/>
  <c r="CT693" i="4"/>
  <c r="CS693" i="4"/>
  <c r="CT689" i="4"/>
  <c r="CS689" i="4"/>
  <c r="CT685" i="4"/>
  <c r="CS685" i="4"/>
  <c r="CT681" i="4"/>
  <c r="CS681" i="4"/>
  <c r="CT677" i="4"/>
  <c r="CS677" i="4"/>
  <c r="CT673" i="4"/>
  <c r="CS673" i="4"/>
  <c r="CT669" i="4"/>
  <c r="CS669" i="4"/>
  <c r="CT665" i="4"/>
  <c r="CS665" i="4"/>
  <c r="CT661" i="4"/>
  <c r="CS661" i="4"/>
  <c r="CT657" i="4"/>
  <c r="CS657" i="4"/>
  <c r="CT653" i="4"/>
  <c r="CS653" i="4"/>
  <c r="CT649" i="4"/>
  <c r="CS649" i="4"/>
  <c r="CT645" i="4"/>
  <c r="CS645" i="4"/>
  <c r="CT641" i="4"/>
  <c r="CS641" i="4"/>
  <c r="CT637" i="4"/>
  <c r="CS637" i="4"/>
  <c r="CT633" i="4"/>
  <c r="CS633" i="4"/>
  <c r="CT629" i="4"/>
  <c r="CS629" i="4"/>
  <c r="CT625" i="4"/>
  <c r="CS625" i="4"/>
  <c r="CT621" i="4"/>
  <c r="CS621" i="4"/>
  <c r="CT617" i="4"/>
  <c r="CS617" i="4"/>
  <c r="CT613" i="4"/>
  <c r="CS613" i="4"/>
  <c r="CT609" i="4"/>
  <c r="CS609" i="4"/>
  <c r="CT605" i="4"/>
  <c r="CS605" i="4"/>
  <c r="CT601" i="4"/>
  <c r="CS601" i="4"/>
  <c r="CT597" i="4"/>
  <c r="CS597" i="4"/>
  <c r="CT593" i="4"/>
  <c r="CS593" i="4"/>
  <c r="CT589" i="4"/>
  <c r="CS589" i="4"/>
  <c r="CT585" i="4"/>
  <c r="CS585" i="4"/>
  <c r="CT581" i="4"/>
  <c r="CS581" i="4"/>
  <c r="CT577" i="4"/>
  <c r="CS577" i="4"/>
  <c r="CT573" i="4"/>
  <c r="CS573" i="4"/>
  <c r="CT569" i="4"/>
  <c r="CS569" i="4"/>
  <c r="CT565" i="4"/>
  <c r="CS565" i="4"/>
  <c r="CT561" i="4"/>
  <c r="CS561" i="4"/>
  <c r="CT557" i="4"/>
  <c r="CS557" i="4"/>
  <c r="CT553" i="4"/>
  <c r="CS553" i="4"/>
  <c r="CT549" i="4"/>
  <c r="CS549" i="4"/>
  <c r="CT545" i="4"/>
  <c r="CS545" i="4"/>
  <c r="CT541" i="4"/>
  <c r="CS541" i="4"/>
  <c r="CT537" i="4"/>
  <c r="CS537" i="4"/>
  <c r="CT533" i="4"/>
  <c r="CS533" i="4"/>
  <c r="CT529" i="4"/>
  <c r="CS529" i="4"/>
  <c r="CT525" i="4"/>
  <c r="CS525" i="4"/>
  <c r="CT521" i="4"/>
  <c r="CS521" i="4"/>
  <c r="CT517" i="4"/>
  <c r="CS517" i="4"/>
  <c r="CT513" i="4"/>
  <c r="CS513" i="4"/>
  <c r="CT509" i="4"/>
  <c r="CS509" i="4"/>
  <c r="CT505" i="4"/>
  <c r="CS505" i="4"/>
  <c r="CT501" i="4"/>
  <c r="CS501" i="4"/>
  <c r="CT497" i="4"/>
  <c r="CS497" i="4"/>
  <c r="CT493" i="4"/>
  <c r="CS493" i="4"/>
  <c r="CT489" i="4"/>
  <c r="CS489" i="4"/>
  <c r="CT485" i="4"/>
  <c r="CS485" i="4"/>
  <c r="CT481" i="4"/>
  <c r="CS481" i="4"/>
  <c r="CT477" i="4"/>
  <c r="CS477" i="4"/>
  <c r="CT473" i="4"/>
  <c r="CS473" i="4"/>
  <c r="CT469" i="4"/>
  <c r="CS469" i="4"/>
  <c r="CT465" i="4"/>
  <c r="CS465" i="4"/>
  <c r="CT461" i="4"/>
  <c r="CS461" i="4"/>
  <c r="CT457" i="4"/>
  <c r="CS457" i="4"/>
  <c r="CT453" i="4"/>
  <c r="CS453" i="4"/>
  <c r="CT449" i="4"/>
  <c r="CS449" i="4"/>
  <c r="CT445" i="4"/>
  <c r="CS445" i="4"/>
  <c r="CT441" i="4"/>
  <c r="CS441" i="4"/>
  <c r="CT437" i="4"/>
  <c r="CS437" i="4"/>
  <c r="CT433" i="4"/>
  <c r="CS433" i="4"/>
  <c r="CT429" i="4"/>
  <c r="CS429" i="4"/>
  <c r="CT425" i="4"/>
  <c r="CS425" i="4"/>
  <c r="CT421" i="4"/>
  <c r="CS421" i="4"/>
  <c r="CT417" i="4"/>
  <c r="CS417" i="4"/>
  <c r="CT413" i="4"/>
  <c r="CS413" i="4"/>
  <c r="CT409" i="4"/>
  <c r="CS409" i="4"/>
  <c r="CT405" i="4"/>
  <c r="CS405" i="4"/>
  <c r="CT401" i="4"/>
  <c r="CS401" i="4"/>
  <c r="CT397" i="4"/>
  <c r="CS397" i="4"/>
  <c r="CT393" i="4"/>
  <c r="CS393" i="4"/>
  <c r="CT389" i="4"/>
  <c r="CS389" i="4"/>
  <c r="CT385" i="4"/>
  <c r="CS385" i="4"/>
  <c r="CT381" i="4"/>
  <c r="CS381" i="4"/>
  <c r="CT377" i="4"/>
  <c r="CS377" i="4"/>
  <c r="CT373" i="4"/>
  <c r="CS373" i="4"/>
  <c r="CT369" i="4"/>
  <c r="CS369" i="4"/>
  <c r="CT365" i="4"/>
  <c r="CS365" i="4"/>
  <c r="CT361" i="4"/>
  <c r="CS361" i="4"/>
  <c r="CT357" i="4"/>
  <c r="CS357" i="4"/>
  <c r="CT353" i="4"/>
  <c r="CS353" i="4"/>
  <c r="CT349" i="4"/>
  <c r="CS349" i="4"/>
  <c r="CT345" i="4"/>
  <c r="CS345" i="4"/>
  <c r="CT341" i="4"/>
  <c r="CT329" i="4"/>
  <c r="CS329" i="4"/>
  <c r="CT325" i="4"/>
  <c r="CS972" i="4"/>
  <c r="CS968" i="4"/>
  <c r="CS964" i="4"/>
  <c r="CS960" i="4"/>
  <c r="CS956" i="4"/>
  <c r="CS952" i="4"/>
  <c r="CS948" i="4"/>
  <c r="CS944" i="4"/>
  <c r="CS940" i="4"/>
  <c r="CS936" i="4"/>
  <c r="CS932" i="4"/>
  <c r="CS928" i="4"/>
  <c r="CS924" i="4"/>
  <c r="CS920" i="4"/>
  <c r="CS916" i="4"/>
  <c r="CS912" i="4"/>
  <c r="CS908" i="4"/>
  <c r="CS904" i="4"/>
  <c r="CT896" i="4"/>
  <c r="CS896" i="4"/>
  <c r="CT888" i="4"/>
  <c r="CS888" i="4"/>
  <c r="CT880" i="4"/>
  <c r="CS880" i="4"/>
  <c r="CT872" i="4"/>
  <c r="CS872" i="4"/>
  <c r="CT864" i="4"/>
  <c r="CS864" i="4"/>
  <c r="CT856" i="4"/>
  <c r="CS856" i="4"/>
  <c r="CT848" i="4"/>
  <c r="CS848" i="4"/>
  <c r="CT840" i="4"/>
  <c r="CS840" i="4"/>
  <c r="CT832" i="4"/>
  <c r="CS832" i="4"/>
  <c r="CT824" i="4"/>
  <c r="CS824" i="4"/>
  <c r="CT816" i="4"/>
  <c r="CS816" i="4"/>
  <c r="CT808" i="4"/>
  <c r="CS808" i="4"/>
  <c r="CT800" i="4"/>
  <c r="CS800" i="4"/>
  <c r="CT792" i="4"/>
  <c r="CS792" i="4"/>
  <c r="CT780" i="4"/>
  <c r="CS780" i="4"/>
  <c r="CT776" i="4"/>
  <c r="CS776" i="4"/>
  <c r="CT764" i="4"/>
  <c r="CS764" i="4"/>
  <c r="CT760" i="4"/>
  <c r="CS760" i="4"/>
  <c r="CT752" i="4"/>
  <c r="CS752" i="4"/>
  <c r="CT740" i="4"/>
  <c r="CS740" i="4"/>
  <c r="CT732" i="4"/>
  <c r="CS732" i="4"/>
  <c r="CT724" i="4"/>
  <c r="CS724" i="4"/>
  <c r="CT720" i="4"/>
  <c r="CS720" i="4"/>
  <c r="CT708" i="4"/>
  <c r="CS708" i="4"/>
  <c r="CT704" i="4"/>
  <c r="CS704" i="4"/>
  <c r="CT696" i="4"/>
  <c r="CS696" i="4"/>
  <c r="CT688" i="4"/>
  <c r="CS688" i="4"/>
  <c r="CT676" i="4"/>
  <c r="CS676" i="4"/>
  <c r="CT672" i="4"/>
  <c r="CS672" i="4"/>
  <c r="CT664" i="4"/>
  <c r="CS664" i="4"/>
  <c r="CT656" i="4"/>
  <c r="CS656" i="4"/>
  <c r="CT648" i="4"/>
  <c r="CS648" i="4"/>
  <c r="CT636" i="4"/>
  <c r="CS636" i="4"/>
  <c r="CT628" i="4"/>
  <c r="CS628" i="4"/>
  <c r="CT620" i="4"/>
  <c r="CS620" i="4"/>
  <c r="CT612" i="4"/>
  <c r="CS612" i="4"/>
  <c r="CT604" i="4"/>
  <c r="CS604" i="4"/>
  <c r="CT596" i="4"/>
  <c r="CS596" i="4"/>
  <c r="CT588" i="4"/>
  <c r="CS588" i="4"/>
  <c r="CT580" i="4"/>
  <c r="CS580" i="4"/>
  <c r="CT572" i="4"/>
  <c r="CS572" i="4"/>
  <c r="CT564" i="4"/>
  <c r="CS564" i="4"/>
  <c r="CT556" i="4"/>
  <c r="CS556" i="4"/>
  <c r="CT548" i="4"/>
  <c r="CS548" i="4"/>
  <c r="CT540" i="4"/>
  <c r="CS540" i="4"/>
  <c r="CT532" i="4"/>
  <c r="CS532" i="4"/>
  <c r="CT524" i="4"/>
  <c r="CS524" i="4"/>
  <c r="CT516" i="4"/>
  <c r="CS516" i="4"/>
  <c r="CT508" i="4"/>
  <c r="CS508" i="4"/>
  <c r="CT500" i="4"/>
  <c r="CS500" i="4"/>
  <c r="CT492" i="4"/>
  <c r="CS492" i="4"/>
  <c r="CT484" i="4"/>
  <c r="CS484" i="4"/>
  <c r="CT476" i="4"/>
  <c r="CS476" i="4"/>
  <c r="CT472" i="4"/>
  <c r="CS472" i="4"/>
  <c r="CT468" i="4"/>
  <c r="CS468" i="4"/>
  <c r="CT464" i="4"/>
  <c r="CS464" i="4"/>
  <c r="CT460" i="4"/>
  <c r="CS460" i="4"/>
  <c r="CT456" i="4"/>
  <c r="CS456" i="4"/>
  <c r="CT452" i="4"/>
  <c r="CS452" i="4"/>
  <c r="CT448" i="4"/>
  <c r="CS448" i="4"/>
  <c r="CT444" i="4"/>
  <c r="CS444" i="4"/>
  <c r="CT440" i="4"/>
  <c r="CS440" i="4"/>
  <c r="CT436" i="4"/>
  <c r="CS436" i="4"/>
  <c r="CT432" i="4"/>
  <c r="CS432" i="4"/>
  <c r="CT428" i="4"/>
  <c r="CS428" i="4"/>
  <c r="CT424" i="4"/>
  <c r="CS424" i="4"/>
  <c r="CT420" i="4"/>
  <c r="CS420" i="4"/>
  <c r="CT416" i="4"/>
  <c r="CS416" i="4"/>
  <c r="CT412" i="4"/>
  <c r="CS412" i="4"/>
  <c r="CT408" i="4"/>
  <c r="CS408" i="4"/>
  <c r="CT404" i="4"/>
  <c r="CS404" i="4"/>
  <c r="CT400" i="4"/>
  <c r="CS400" i="4"/>
  <c r="CT396" i="4"/>
  <c r="CS396" i="4"/>
  <c r="CT392" i="4"/>
  <c r="CS392" i="4"/>
  <c r="CT388" i="4"/>
  <c r="CS388" i="4"/>
  <c r="CT384" i="4"/>
  <c r="CS384" i="4"/>
  <c r="CT380" i="4"/>
  <c r="CS380" i="4"/>
  <c r="CT376" i="4"/>
  <c r="CS376" i="4"/>
  <c r="CT372" i="4"/>
  <c r="CS372" i="4"/>
  <c r="CT368" i="4"/>
  <c r="CS368" i="4"/>
  <c r="CT364" i="4"/>
  <c r="CS364" i="4"/>
  <c r="CT360" i="4"/>
  <c r="CS360" i="4"/>
  <c r="CT356" i="4"/>
  <c r="CS356" i="4"/>
  <c r="CT352" i="4"/>
  <c r="CS352" i="4"/>
  <c r="CT348" i="4"/>
  <c r="CS348" i="4"/>
  <c r="CT344" i="4"/>
  <c r="CS344" i="4"/>
  <c r="CT340" i="4"/>
  <c r="CS340" i="4"/>
  <c r="CS336" i="4"/>
  <c r="CT324" i="4"/>
  <c r="CS324" i="4"/>
  <c r="CS320" i="4"/>
  <c r="CS312" i="4"/>
  <c r="CT308" i="4"/>
  <c r="CS308" i="4"/>
  <c r="CT300" i="4"/>
  <c r="CS300" i="4"/>
  <c r="CS971" i="4"/>
  <c r="CS967" i="4"/>
  <c r="CS963" i="4"/>
  <c r="CS959" i="4"/>
  <c r="CS955" i="4"/>
  <c r="CS951" i="4"/>
  <c r="CS947" i="4"/>
  <c r="CS943" i="4"/>
  <c r="CS939" i="4"/>
  <c r="CS935" i="4"/>
  <c r="CS931" i="4"/>
  <c r="CS927" i="4"/>
  <c r="CS923" i="4"/>
  <c r="CS919" i="4"/>
  <c r="CS915" i="4"/>
  <c r="CS911" i="4"/>
  <c r="CS907" i="4"/>
  <c r="CT900" i="4"/>
  <c r="CS900" i="4"/>
  <c r="CT892" i="4"/>
  <c r="CS892" i="4"/>
  <c r="CT884" i="4"/>
  <c r="CS884" i="4"/>
  <c r="CT876" i="4"/>
  <c r="CS876" i="4"/>
  <c r="CT868" i="4"/>
  <c r="CS868" i="4"/>
  <c r="CT860" i="4"/>
  <c r="CS860" i="4"/>
  <c r="CT852" i="4"/>
  <c r="CS852" i="4"/>
  <c r="CT844" i="4"/>
  <c r="CS844" i="4"/>
  <c r="CT836" i="4"/>
  <c r="CS836" i="4"/>
  <c r="CT828" i="4"/>
  <c r="CS828" i="4"/>
  <c r="CT820" i="4"/>
  <c r="CS820" i="4"/>
  <c r="CT812" i="4"/>
  <c r="CS812" i="4"/>
  <c r="CT804" i="4"/>
  <c r="CS804" i="4"/>
  <c r="CT796" i="4"/>
  <c r="CS796" i="4"/>
  <c r="CT788" i="4"/>
  <c r="CS788" i="4"/>
  <c r="CT784" i="4"/>
  <c r="CS784" i="4"/>
  <c r="CT772" i="4"/>
  <c r="CS772" i="4"/>
  <c r="CT768" i="4"/>
  <c r="CS768" i="4"/>
  <c r="CT756" i="4"/>
  <c r="CS756" i="4"/>
  <c r="CT748" i="4"/>
  <c r="CS748" i="4"/>
  <c r="CT744" i="4"/>
  <c r="CS744" i="4"/>
  <c r="CT736" i="4"/>
  <c r="CS736" i="4"/>
  <c r="CT728" i="4"/>
  <c r="CS728" i="4"/>
  <c r="CT716" i="4"/>
  <c r="CS716" i="4"/>
  <c r="CT712" i="4"/>
  <c r="CS712" i="4"/>
  <c r="CT700" i="4"/>
  <c r="CS700" i="4"/>
  <c r="CT692" i="4"/>
  <c r="CS692" i="4"/>
  <c r="CT684" i="4"/>
  <c r="CS684" i="4"/>
  <c r="CT680" i="4"/>
  <c r="CS680" i="4"/>
  <c r="CT668" i="4"/>
  <c r="CS668" i="4"/>
  <c r="CT660" i="4"/>
  <c r="CS660" i="4"/>
  <c r="CT652" i="4"/>
  <c r="CS652" i="4"/>
  <c r="CT644" i="4"/>
  <c r="CS644" i="4"/>
  <c r="CT640" i="4"/>
  <c r="CS640" i="4"/>
  <c r="CT632" i="4"/>
  <c r="CS632" i="4"/>
  <c r="CT624" i="4"/>
  <c r="CS624" i="4"/>
  <c r="CT616" i="4"/>
  <c r="CS616" i="4"/>
  <c r="CT608" i="4"/>
  <c r="CS608" i="4"/>
  <c r="CT600" i="4"/>
  <c r="CS600" i="4"/>
  <c r="CT592" i="4"/>
  <c r="CS592" i="4"/>
  <c r="CT584" i="4"/>
  <c r="CS584" i="4"/>
  <c r="CT576" i="4"/>
  <c r="CS576" i="4"/>
  <c r="CT568" i="4"/>
  <c r="CS568" i="4"/>
  <c r="CT560" i="4"/>
  <c r="CS560" i="4"/>
  <c r="CT552" i="4"/>
  <c r="CS552" i="4"/>
  <c r="CT544" i="4"/>
  <c r="CS544" i="4"/>
  <c r="CT536" i="4"/>
  <c r="CS536" i="4"/>
  <c r="CT528" i="4"/>
  <c r="CS528" i="4"/>
  <c r="CT520" i="4"/>
  <c r="CS520" i="4"/>
  <c r="CT512" i="4"/>
  <c r="CS512" i="4"/>
  <c r="CT504" i="4"/>
  <c r="CS504" i="4"/>
  <c r="CT496" i="4"/>
  <c r="CS496" i="4"/>
  <c r="CT488" i="4"/>
  <c r="CS488" i="4"/>
  <c r="CT480" i="4"/>
  <c r="CS480" i="4"/>
  <c r="CT903" i="4"/>
  <c r="CS903" i="4"/>
  <c r="CT899" i="4"/>
  <c r="CS899" i="4"/>
  <c r="CT895" i="4"/>
  <c r="CS895" i="4"/>
  <c r="CT891" i="4"/>
  <c r="CS891" i="4"/>
  <c r="CT887" i="4"/>
  <c r="CS887" i="4"/>
  <c r="CT883" i="4"/>
  <c r="CS883" i="4"/>
  <c r="CT879" i="4"/>
  <c r="CS879" i="4"/>
  <c r="CT875" i="4"/>
  <c r="CS875" i="4"/>
  <c r="CT871" i="4"/>
  <c r="CS871" i="4"/>
  <c r="CT867" i="4"/>
  <c r="CS867" i="4"/>
  <c r="CT863" i="4"/>
  <c r="CS863" i="4"/>
  <c r="CT859" i="4"/>
  <c r="CS859" i="4"/>
  <c r="CT855" i="4"/>
  <c r="CS855" i="4"/>
  <c r="CT851" i="4"/>
  <c r="CS851" i="4"/>
  <c r="CT847" i="4"/>
  <c r="CS847" i="4"/>
  <c r="CT843" i="4"/>
  <c r="CS843" i="4"/>
  <c r="CT839" i="4"/>
  <c r="CS839" i="4"/>
  <c r="CT835" i="4"/>
  <c r="CS835" i="4"/>
  <c r="CT831" i="4"/>
  <c r="CS831" i="4"/>
  <c r="CT827" i="4"/>
  <c r="CS827" i="4"/>
  <c r="CT823" i="4"/>
  <c r="CS823" i="4"/>
  <c r="CT819" i="4"/>
  <c r="CS819" i="4"/>
  <c r="CT815" i="4"/>
  <c r="CS815" i="4"/>
  <c r="CT811" i="4"/>
  <c r="CS811" i="4"/>
  <c r="CT807" i="4"/>
  <c r="CS807" i="4"/>
  <c r="CT803" i="4"/>
  <c r="CS803" i="4"/>
  <c r="CT799" i="4"/>
  <c r="CS799" i="4"/>
  <c r="CT795" i="4"/>
  <c r="CS795" i="4"/>
  <c r="CT791" i="4"/>
  <c r="CS791" i="4"/>
  <c r="CT787" i="4"/>
  <c r="CS787" i="4"/>
  <c r="CT783" i="4"/>
  <c r="CS783" i="4"/>
  <c r="CT779" i="4"/>
  <c r="CS779" i="4"/>
  <c r="CT775" i="4"/>
  <c r="CS775" i="4"/>
  <c r="CT771" i="4"/>
  <c r="CS771" i="4"/>
  <c r="CT767" i="4"/>
  <c r="CS767" i="4"/>
  <c r="CT763" i="4"/>
  <c r="CS763" i="4"/>
  <c r="CT759" i="4"/>
  <c r="CS759" i="4"/>
  <c r="CT755" i="4"/>
  <c r="CS755" i="4"/>
  <c r="CT751" i="4"/>
  <c r="CS751" i="4"/>
  <c r="CT747" i="4"/>
  <c r="CS747" i="4"/>
  <c r="CT743" i="4"/>
  <c r="CS743" i="4"/>
  <c r="CT739" i="4"/>
  <c r="CS739" i="4"/>
  <c r="CT735" i="4"/>
  <c r="CS735" i="4"/>
  <c r="CT731" i="4"/>
  <c r="CS731" i="4"/>
  <c r="CT727" i="4"/>
  <c r="CS727" i="4"/>
  <c r="CT723" i="4"/>
  <c r="CS723" i="4"/>
  <c r="CT719" i="4"/>
  <c r="CS719" i="4"/>
  <c r="CT715" i="4"/>
  <c r="CS715" i="4"/>
  <c r="CT711" i="4"/>
  <c r="CS711" i="4"/>
  <c r="CT707" i="4"/>
  <c r="CS707" i="4"/>
  <c r="CT703" i="4"/>
  <c r="CS703" i="4"/>
  <c r="CT699" i="4"/>
  <c r="CS699" i="4"/>
  <c r="CT695" i="4"/>
  <c r="CS695" i="4"/>
  <c r="CT691" i="4"/>
  <c r="CS691" i="4"/>
  <c r="CT687" i="4"/>
  <c r="CS687" i="4"/>
  <c r="CT683" i="4"/>
  <c r="CS683" i="4"/>
  <c r="CT679" i="4"/>
  <c r="CS679" i="4"/>
  <c r="CT675" i="4"/>
  <c r="CS675" i="4"/>
  <c r="CT671" i="4"/>
  <c r="CS671" i="4"/>
  <c r="CT667" i="4"/>
  <c r="CS667" i="4"/>
  <c r="CT663" i="4"/>
  <c r="CS663" i="4"/>
  <c r="CT659" i="4"/>
  <c r="CS659" i="4"/>
  <c r="CT655" i="4"/>
  <c r="CS655" i="4"/>
  <c r="CT651" i="4"/>
  <c r="CS651" i="4"/>
  <c r="CT647" i="4"/>
  <c r="CS647" i="4"/>
  <c r="CT643" i="4"/>
  <c r="CS643" i="4"/>
  <c r="CT639" i="4"/>
  <c r="CS639" i="4"/>
  <c r="CT635" i="4"/>
  <c r="CS635" i="4"/>
  <c r="CT631" i="4"/>
  <c r="CS631" i="4"/>
  <c r="CT627" i="4"/>
  <c r="CS627" i="4"/>
  <c r="CT623" i="4"/>
  <c r="CS623" i="4"/>
  <c r="CT619" i="4"/>
  <c r="CS619" i="4"/>
  <c r="CT615" i="4"/>
  <c r="CS615" i="4"/>
  <c r="CT611" i="4"/>
  <c r="CS611" i="4"/>
  <c r="CT607" i="4"/>
  <c r="CS607" i="4"/>
  <c r="CT603" i="4"/>
  <c r="CS603" i="4"/>
  <c r="CT599" i="4"/>
  <c r="CS599" i="4"/>
  <c r="CT595" i="4"/>
  <c r="CS595" i="4"/>
  <c r="CT591" i="4"/>
  <c r="CS591" i="4"/>
  <c r="CT587" i="4"/>
  <c r="CS587" i="4"/>
  <c r="CT583" i="4"/>
  <c r="CS583" i="4"/>
  <c r="CT579" i="4"/>
  <c r="CS579" i="4"/>
  <c r="CT575" i="4"/>
  <c r="CS575" i="4"/>
  <c r="CT571" i="4"/>
  <c r="CS571" i="4"/>
  <c r="CT567" i="4"/>
  <c r="CS567" i="4"/>
  <c r="CT563" i="4"/>
  <c r="CS563" i="4"/>
  <c r="CT559" i="4"/>
  <c r="CS559" i="4"/>
  <c r="CT555" i="4"/>
  <c r="CS555" i="4"/>
  <c r="CT551" i="4"/>
  <c r="CS551" i="4"/>
  <c r="CT547" i="4"/>
  <c r="CS547" i="4"/>
  <c r="CT543" i="4"/>
  <c r="CS543" i="4"/>
  <c r="CT539" i="4"/>
  <c r="CS539" i="4"/>
  <c r="CT535" i="4"/>
  <c r="CS535" i="4"/>
  <c r="CT531" i="4"/>
  <c r="CS531" i="4"/>
  <c r="CT527" i="4"/>
  <c r="CS527" i="4"/>
  <c r="CT523" i="4"/>
  <c r="CS523" i="4"/>
  <c r="CT519" i="4"/>
  <c r="CS519" i="4"/>
  <c r="CT515" i="4"/>
  <c r="CS515" i="4"/>
  <c r="CT511" i="4"/>
  <c r="CS511" i="4"/>
  <c r="CT507" i="4"/>
  <c r="CS507" i="4"/>
  <c r="CT503" i="4"/>
  <c r="CS503" i="4"/>
  <c r="CT499" i="4"/>
  <c r="CS499" i="4"/>
  <c r="CT495" i="4"/>
  <c r="CS495" i="4"/>
  <c r="CT491" i="4"/>
  <c r="CS491" i="4"/>
  <c r="CT487" i="4"/>
  <c r="CS487" i="4"/>
  <c r="CT483" i="4"/>
  <c r="CS483" i="4"/>
  <c r="CT479" i="4"/>
  <c r="CS479" i="4"/>
  <c r="CT475" i="4"/>
  <c r="CS475" i="4"/>
  <c r="CT471" i="4"/>
  <c r="CS471" i="4"/>
  <c r="CT467" i="4"/>
  <c r="CS467" i="4"/>
  <c r="CT463" i="4"/>
  <c r="CS463" i="4"/>
  <c r="CT459" i="4"/>
  <c r="CS459" i="4"/>
  <c r="CT455" i="4"/>
  <c r="CS455" i="4"/>
  <c r="CT451" i="4"/>
  <c r="CS451" i="4"/>
  <c r="CT447" i="4"/>
  <c r="CS447" i="4"/>
  <c r="CT443" i="4"/>
  <c r="CS443" i="4"/>
  <c r="CT439" i="4"/>
  <c r="CS439" i="4"/>
  <c r="CT435" i="4"/>
  <c r="CS435" i="4"/>
  <c r="CT431" i="4"/>
  <c r="CS431" i="4"/>
  <c r="CT427" i="4"/>
  <c r="CS427" i="4"/>
  <c r="CT423" i="4"/>
  <c r="CS423" i="4"/>
  <c r="CT419" i="4"/>
  <c r="CS419" i="4"/>
  <c r="CT415" i="4"/>
  <c r="CS415" i="4"/>
  <c r="CT411" i="4"/>
  <c r="CS411" i="4"/>
  <c r="CT407" i="4"/>
  <c r="CS407" i="4"/>
  <c r="CT403" i="4"/>
  <c r="CS403" i="4"/>
  <c r="CT399" i="4"/>
  <c r="CS399" i="4"/>
  <c r="CT395" i="4"/>
  <c r="CS395" i="4"/>
  <c r="CT391" i="4"/>
  <c r="CS391" i="4"/>
  <c r="CT387" i="4"/>
  <c r="CS387" i="4"/>
  <c r="CT383" i="4"/>
  <c r="CS383" i="4"/>
  <c r="CT379" i="4"/>
  <c r="CS379" i="4"/>
  <c r="CT375" i="4"/>
  <c r="CS375" i="4"/>
  <c r="CT371" i="4"/>
  <c r="CS371" i="4"/>
  <c r="CT367" i="4"/>
  <c r="CS367" i="4"/>
  <c r="CT363" i="4"/>
  <c r="CS363" i="4"/>
  <c r="CT359" i="4"/>
  <c r="CS359" i="4"/>
  <c r="CT355" i="4"/>
  <c r="CS355" i="4"/>
  <c r="CT351" i="4"/>
  <c r="CS351" i="4"/>
  <c r="CT347" i="4"/>
  <c r="CS347" i="4"/>
  <c r="CT343" i="4"/>
  <c r="CS343" i="4"/>
  <c r="CT339" i="4"/>
  <c r="CS339" i="4"/>
  <c r="CT323" i="4"/>
  <c r="CS323" i="4"/>
  <c r="CS311" i="4"/>
  <c r="CT307" i="4"/>
  <c r="CS307" i="4"/>
  <c r="CS974" i="4"/>
  <c r="CS970" i="4"/>
  <c r="CS966" i="4"/>
  <c r="CS962" i="4"/>
  <c r="CS958" i="4"/>
  <c r="CS954" i="4"/>
  <c r="CS950" i="4"/>
  <c r="CS946" i="4"/>
  <c r="CS942" i="4"/>
  <c r="CS938" i="4"/>
  <c r="CS934" i="4"/>
  <c r="CS930" i="4"/>
  <c r="CS926" i="4"/>
  <c r="CS922" i="4"/>
  <c r="CS918" i="4"/>
  <c r="CS914" i="4"/>
  <c r="CS910" i="4"/>
  <c r="CS906" i="4"/>
  <c r="CF3" i="4"/>
  <c r="CN4" i="4"/>
  <c r="CN10" i="4"/>
  <c r="CN32" i="4"/>
  <c r="CN49" i="4"/>
  <c r="CN65" i="4"/>
  <c r="CN81" i="4"/>
  <c r="CN97" i="4"/>
  <c r="CN113" i="4"/>
  <c r="CN129" i="4"/>
  <c r="CN145" i="4"/>
  <c r="CN161" i="4"/>
  <c r="CN16" i="4"/>
  <c r="CN37" i="4"/>
  <c r="CN53" i="4"/>
  <c r="CN69" i="4"/>
  <c r="CN85" i="4"/>
  <c r="CN101" i="4"/>
  <c r="CN117" i="4"/>
  <c r="CN133" i="4"/>
  <c r="CN149" i="4"/>
  <c r="CN165" i="4"/>
  <c r="CN289" i="4"/>
  <c r="CN273" i="4"/>
  <c r="CN257" i="4"/>
  <c r="CN241" i="4"/>
  <c r="CN225" i="4"/>
  <c r="CN209" i="4"/>
  <c r="CN193" i="4"/>
  <c r="CN177" i="4"/>
  <c r="CN153" i="4"/>
  <c r="CN121" i="4"/>
  <c r="CN89" i="4"/>
  <c r="CN57" i="4"/>
  <c r="CN21" i="4"/>
  <c r="CN285" i="4"/>
  <c r="CN269" i="4"/>
  <c r="CN253" i="4"/>
  <c r="CN237" i="4"/>
  <c r="CN221" i="4"/>
  <c r="CN205" i="4"/>
  <c r="CN189" i="4"/>
  <c r="CN173" i="4"/>
  <c r="CN141" i="4"/>
  <c r="CN109" i="4"/>
  <c r="CN77" i="4"/>
  <c r="CN45" i="4"/>
  <c r="CN5" i="4"/>
  <c r="CJ3" i="4"/>
  <c r="CN2" i="4"/>
  <c r="CN281" i="4"/>
  <c r="CN265" i="4"/>
  <c r="CN249" i="4"/>
  <c r="CN233" i="4"/>
  <c r="CN217" i="4"/>
  <c r="CN201" i="4"/>
  <c r="CN185" i="4"/>
  <c r="CN169" i="4"/>
  <c r="CN137" i="4"/>
  <c r="CN105" i="4"/>
  <c r="CN73" i="4"/>
  <c r="CN41" i="4"/>
  <c r="CN296" i="4"/>
  <c r="CN292" i="4"/>
  <c r="CN288" i="4"/>
  <c r="CN284" i="4"/>
  <c r="CN280" i="4"/>
  <c r="CN276" i="4"/>
  <c r="CN272" i="4"/>
  <c r="CN268" i="4"/>
  <c r="CN264" i="4"/>
  <c r="CN260" i="4"/>
  <c r="CN256" i="4"/>
  <c r="CN252" i="4"/>
  <c r="CN248" i="4"/>
  <c r="CN244" i="4"/>
  <c r="CN240" i="4"/>
  <c r="CN236" i="4"/>
  <c r="CN232" i="4"/>
  <c r="CN228" i="4"/>
  <c r="CN224" i="4"/>
  <c r="CN220" i="4"/>
  <c r="CN216" i="4"/>
  <c r="CN212" i="4"/>
  <c r="CN208" i="4"/>
  <c r="CN204" i="4"/>
  <c r="CN200" i="4"/>
  <c r="CN196" i="4"/>
  <c r="CN192" i="4"/>
  <c r="CN188" i="4"/>
  <c r="CN184" i="4"/>
  <c r="CN180" i="4"/>
  <c r="CN176" i="4"/>
  <c r="CN172" i="4"/>
  <c r="CN168" i="4"/>
  <c r="CN164" i="4"/>
  <c r="CN160" i="4"/>
  <c r="CN156" i="4"/>
  <c r="CN152" i="4"/>
  <c r="CN148" i="4"/>
  <c r="CN144" i="4"/>
  <c r="CN140" i="4"/>
  <c r="CN136" i="4"/>
  <c r="CN132" i="4"/>
  <c r="CN128" i="4"/>
  <c r="CN124" i="4"/>
  <c r="CN120" i="4"/>
  <c r="CN116" i="4"/>
  <c r="CN112" i="4"/>
  <c r="CN108" i="4"/>
  <c r="CN104" i="4"/>
  <c r="CN100" i="4"/>
  <c r="CN96" i="4"/>
  <c r="CN92" i="4"/>
  <c r="CN88" i="4"/>
  <c r="CN84" i="4"/>
  <c r="CN80" i="4"/>
  <c r="CN76" i="4"/>
  <c r="CN72" i="4"/>
  <c r="CN68" i="4"/>
  <c r="CN64" i="4"/>
  <c r="CN60" i="4"/>
  <c r="CN56" i="4"/>
  <c r="CN52" i="4"/>
  <c r="CN48" i="4"/>
  <c r="CN44" i="4"/>
  <c r="CN40" i="4"/>
  <c r="CN36" i="4"/>
  <c r="CN30" i="4"/>
  <c r="CN25" i="4"/>
  <c r="CN20" i="4"/>
  <c r="CN14" i="4"/>
  <c r="CN9" i="4"/>
  <c r="CN3" i="4"/>
  <c r="CN7" i="4"/>
  <c r="CN11" i="4"/>
  <c r="CN15" i="4"/>
  <c r="CN19" i="4"/>
  <c r="CN23" i="4"/>
  <c r="CN27" i="4"/>
  <c r="CN31" i="4"/>
  <c r="CN35" i="4"/>
  <c r="CN295" i="4"/>
  <c r="CN291" i="4"/>
  <c r="CN287" i="4"/>
  <c r="CN283" i="4"/>
  <c r="CN279" i="4"/>
  <c r="CN275" i="4"/>
  <c r="CN271" i="4"/>
  <c r="CN267" i="4"/>
  <c r="CN263" i="4"/>
  <c r="CN259" i="4"/>
  <c r="CN255" i="4"/>
  <c r="CN251" i="4"/>
  <c r="CN247" i="4"/>
  <c r="CN243" i="4"/>
  <c r="CN239" i="4"/>
  <c r="CN235" i="4"/>
  <c r="CN231" i="4"/>
  <c r="CN227" i="4"/>
  <c r="CN223" i="4"/>
  <c r="CN219" i="4"/>
  <c r="CN215" i="4"/>
  <c r="CN211" i="4"/>
  <c r="CN207" i="4"/>
  <c r="CN203" i="4"/>
  <c r="CN199" i="4"/>
  <c r="CN195" i="4"/>
  <c r="CN191" i="4"/>
  <c r="CN187" i="4"/>
  <c r="CN183" i="4"/>
  <c r="CN179" i="4"/>
  <c r="CN175" i="4"/>
  <c r="CN171" i="4"/>
  <c r="CN167" i="4"/>
  <c r="CN163" i="4"/>
  <c r="CN159" i="4"/>
  <c r="CN155" i="4"/>
  <c r="CN151" i="4"/>
  <c r="CN147" i="4"/>
  <c r="CN143" i="4"/>
  <c r="CN139" i="4"/>
  <c r="CN135" i="4"/>
  <c r="CN131" i="4"/>
  <c r="CN127" i="4"/>
  <c r="CN123" i="4"/>
  <c r="CN119" i="4"/>
  <c r="CN115" i="4"/>
  <c r="CN111" i="4"/>
  <c r="CN107" i="4"/>
  <c r="CN103" i="4"/>
  <c r="CN99" i="4"/>
  <c r="CN95" i="4"/>
  <c r="CN91" i="4"/>
  <c r="CN87" i="4"/>
  <c r="CN83" i="4"/>
  <c r="CN79" i="4"/>
  <c r="CN75" i="4"/>
  <c r="CN71" i="4"/>
  <c r="CN67" i="4"/>
  <c r="CN63" i="4"/>
  <c r="CN59" i="4"/>
  <c r="CN55" i="4"/>
  <c r="CN51" i="4"/>
  <c r="CN47" i="4"/>
  <c r="CN43" i="4"/>
  <c r="CN39" i="4"/>
  <c r="CN34" i="4"/>
  <c r="CN29" i="4"/>
  <c r="CN24" i="4"/>
  <c r="CN18" i="4"/>
  <c r="CN13" i="4"/>
  <c r="CN8" i="4"/>
  <c r="CN294" i="4"/>
  <c r="CN290" i="4"/>
  <c r="CN286" i="4"/>
  <c r="CN282" i="4"/>
  <c r="CN278" i="4"/>
  <c r="CN274" i="4"/>
  <c r="CN270" i="4"/>
  <c r="CN266" i="4"/>
  <c r="CN262" i="4"/>
  <c r="CN258" i="4"/>
  <c r="CN254" i="4"/>
  <c r="CN250" i="4"/>
  <c r="CN246" i="4"/>
  <c r="CN242" i="4"/>
  <c r="CN238" i="4"/>
  <c r="CN234" i="4"/>
  <c r="CN230" i="4"/>
  <c r="CN226" i="4"/>
  <c r="CN222" i="4"/>
  <c r="CN218" i="4"/>
  <c r="CN214" i="4"/>
  <c r="CN210" i="4"/>
  <c r="CN206" i="4"/>
  <c r="CN202" i="4"/>
  <c r="CN198" i="4"/>
  <c r="CN194" i="4"/>
  <c r="CN190" i="4"/>
  <c r="CN186" i="4"/>
  <c r="CN182" i="4"/>
  <c r="CN178" i="4"/>
  <c r="CN174" i="4"/>
  <c r="CN170" i="4"/>
  <c r="CN166" i="4"/>
  <c r="CN162" i="4"/>
  <c r="CN158" i="4"/>
  <c r="CN154" i="4"/>
  <c r="CN150" i="4"/>
  <c r="CN146" i="4"/>
  <c r="CN142" i="4"/>
  <c r="CN138" i="4"/>
  <c r="CN134" i="4"/>
  <c r="CN130" i="4"/>
  <c r="CN126" i="4"/>
  <c r="CN122" i="4"/>
  <c r="CN118" i="4"/>
  <c r="CN114" i="4"/>
  <c r="CN110" i="4"/>
  <c r="CN106" i="4"/>
  <c r="CN102" i="4"/>
  <c r="CN98" i="4"/>
  <c r="CN94" i="4"/>
  <c r="CN90" i="4"/>
  <c r="CN86" i="4"/>
  <c r="CN82" i="4"/>
  <c r="CN78" i="4"/>
  <c r="CN74" i="4"/>
  <c r="CN70" i="4"/>
  <c r="CN66" i="4"/>
  <c r="CN62" i="4"/>
  <c r="CN58" i="4"/>
  <c r="CN54" i="4"/>
  <c r="CN50" i="4"/>
  <c r="CN46" i="4"/>
  <c r="CN42" i="4"/>
  <c r="CN38" i="4"/>
  <c r="CN33" i="4"/>
  <c r="CN28" i="4"/>
  <c r="CN22" i="4"/>
  <c r="CN17" i="4"/>
  <c r="CN12" i="4"/>
  <c r="CN6" i="4"/>
  <c r="CJ294" i="4"/>
  <c r="CJ290" i="4"/>
  <c r="CJ286" i="4"/>
  <c r="CJ282" i="4"/>
  <c r="CJ278" i="4"/>
  <c r="CJ274" i="4"/>
  <c r="CJ270" i="4"/>
  <c r="CJ266" i="4"/>
  <c r="CJ262" i="4"/>
  <c r="CJ258" i="4"/>
  <c r="CJ254" i="4"/>
  <c r="CJ250" i="4"/>
  <c r="CJ246" i="4"/>
  <c r="CJ242" i="4"/>
  <c r="CJ238" i="4"/>
  <c r="CJ234" i="4"/>
  <c r="CJ230" i="4"/>
  <c r="CJ226" i="4"/>
  <c r="CJ222" i="4"/>
  <c r="CJ218" i="4"/>
  <c r="CJ214" i="4"/>
  <c r="CJ210" i="4"/>
  <c r="CJ206" i="4"/>
  <c r="CJ202" i="4"/>
  <c r="CJ198" i="4"/>
  <c r="CJ194" i="4"/>
  <c r="CJ190" i="4"/>
  <c r="CJ186" i="4"/>
  <c r="CJ182" i="4"/>
  <c r="CJ178" i="4"/>
  <c r="CJ174" i="4"/>
  <c r="CJ170" i="4"/>
  <c r="CJ166" i="4"/>
  <c r="CJ162" i="4"/>
  <c r="CJ158" i="4"/>
  <c r="CJ154" i="4"/>
  <c r="CJ150" i="4"/>
  <c r="CJ146" i="4"/>
  <c r="CJ142" i="4"/>
  <c r="CJ138" i="4"/>
  <c r="CJ134" i="4"/>
  <c r="CJ130" i="4"/>
  <c r="CJ126" i="4"/>
  <c r="CJ122" i="4"/>
  <c r="CJ118" i="4"/>
  <c r="CJ114" i="4"/>
  <c r="CJ110" i="4"/>
  <c r="CJ106" i="4"/>
  <c r="CJ102" i="4"/>
  <c r="CJ98" i="4"/>
  <c r="CJ94" i="4"/>
  <c r="CJ90" i="4"/>
  <c r="CJ86" i="4"/>
  <c r="CJ82" i="4"/>
  <c r="CJ78" i="4"/>
  <c r="CJ74" i="4"/>
  <c r="CJ70" i="4"/>
  <c r="CJ66" i="4"/>
  <c r="CJ62" i="4"/>
  <c r="CJ58" i="4"/>
  <c r="CJ54" i="4"/>
  <c r="CJ50" i="4"/>
  <c r="CJ46" i="4"/>
  <c r="CJ42" i="4"/>
  <c r="CJ38" i="4"/>
  <c r="CJ34" i="4"/>
  <c r="CJ30" i="4"/>
  <c r="CJ26" i="4"/>
  <c r="CJ22" i="4"/>
  <c r="CJ18" i="4"/>
  <c r="CJ14" i="4"/>
  <c r="CJ10" i="4"/>
  <c r="CJ6" i="4"/>
  <c r="CJ2" i="4"/>
  <c r="CJ293" i="4"/>
  <c r="CJ289" i="4"/>
  <c r="CJ285" i="4"/>
  <c r="CJ281" i="4"/>
  <c r="CJ277" i="4"/>
  <c r="CJ273" i="4"/>
  <c r="CJ269" i="4"/>
  <c r="CJ265" i="4"/>
  <c r="CJ261" i="4"/>
  <c r="CJ257" i="4"/>
  <c r="CJ253" i="4"/>
  <c r="CJ249" i="4"/>
  <c r="CJ245" i="4"/>
  <c r="CJ241" i="4"/>
  <c r="CJ237" i="4"/>
  <c r="CJ233" i="4"/>
  <c r="CJ229" i="4"/>
  <c r="CJ225" i="4"/>
  <c r="CJ221" i="4"/>
  <c r="CJ217" i="4"/>
  <c r="CJ213" i="4"/>
  <c r="CJ209" i="4"/>
  <c r="CJ205" i="4"/>
  <c r="CJ201" i="4"/>
  <c r="CJ197" i="4"/>
  <c r="CJ193" i="4"/>
  <c r="CJ189" i="4"/>
  <c r="CJ185" i="4"/>
  <c r="CJ181" i="4"/>
  <c r="CJ177" i="4"/>
  <c r="CJ173" i="4"/>
  <c r="CJ169" i="4"/>
  <c r="CJ165" i="4"/>
  <c r="CJ161" i="4"/>
  <c r="CJ157" i="4"/>
  <c r="CJ153" i="4"/>
  <c r="CJ149" i="4"/>
  <c r="CJ145" i="4"/>
  <c r="CJ141" i="4"/>
  <c r="CJ137" i="4"/>
  <c r="CJ133" i="4"/>
  <c r="CJ129" i="4"/>
  <c r="CJ125" i="4"/>
  <c r="CJ121" i="4"/>
  <c r="CJ117" i="4"/>
  <c r="CJ113" i="4"/>
  <c r="CJ109" i="4"/>
  <c r="CJ105" i="4"/>
  <c r="CJ101" i="4"/>
  <c r="CJ97" i="4"/>
  <c r="CJ93" i="4"/>
  <c r="CJ89" i="4"/>
  <c r="CJ85" i="4"/>
  <c r="CJ81" i="4"/>
  <c r="CJ77" i="4"/>
  <c r="CJ73" i="4"/>
  <c r="CJ69" i="4"/>
  <c r="CJ65" i="4"/>
  <c r="CJ61" i="4"/>
  <c r="CJ57" i="4"/>
  <c r="CJ53" i="4"/>
  <c r="CJ49" i="4"/>
  <c r="CJ45" i="4"/>
  <c r="CJ41" i="4"/>
  <c r="CJ37" i="4"/>
  <c r="CJ33" i="4"/>
  <c r="CJ29" i="4"/>
  <c r="CJ25" i="4"/>
  <c r="CJ21" i="4"/>
  <c r="CJ17" i="4"/>
  <c r="CJ13" i="4"/>
  <c r="CJ9" i="4"/>
  <c r="CJ5" i="4"/>
  <c r="CJ296" i="4"/>
  <c r="CJ292" i="4"/>
  <c r="CJ288" i="4"/>
  <c r="CJ284" i="4"/>
  <c r="CJ280" i="4"/>
  <c r="CJ276" i="4"/>
  <c r="CJ272" i="4"/>
  <c r="CJ268" i="4"/>
  <c r="CJ264" i="4"/>
  <c r="CJ260" i="4"/>
  <c r="CJ256" i="4"/>
  <c r="CJ252" i="4"/>
  <c r="CJ248" i="4"/>
  <c r="CJ244" i="4"/>
  <c r="CJ240" i="4"/>
  <c r="CJ236" i="4"/>
  <c r="CJ232" i="4"/>
  <c r="CJ228" i="4"/>
  <c r="CJ224" i="4"/>
  <c r="CJ220" i="4"/>
  <c r="CJ216" i="4"/>
  <c r="CJ212" i="4"/>
  <c r="CJ208" i="4"/>
  <c r="CJ204" i="4"/>
  <c r="CJ200" i="4"/>
  <c r="CJ196" i="4"/>
  <c r="CJ192" i="4"/>
  <c r="CJ188" i="4"/>
  <c r="CJ184" i="4"/>
  <c r="CJ180" i="4"/>
  <c r="CJ176" i="4"/>
  <c r="CJ172" i="4"/>
  <c r="CJ168" i="4"/>
  <c r="CJ164" i="4"/>
  <c r="CJ160" i="4"/>
  <c r="CJ156" i="4"/>
  <c r="CJ152" i="4"/>
  <c r="CJ148" i="4"/>
  <c r="CJ144" i="4"/>
  <c r="CJ140" i="4"/>
  <c r="CJ136" i="4"/>
  <c r="CJ132" i="4"/>
  <c r="CJ128" i="4"/>
  <c r="CJ124" i="4"/>
  <c r="CJ120" i="4"/>
  <c r="CJ116" i="4"/>
  <c r="CJ112" i="4"/>
  <c r="CJ108" i="4"/>
  <c r="CJ104" i="4"/>
  <c r="CJ100" i="4"/>
  <c r="CJ96" i="4"/>
  <c r="CJ92" i="4"/>
  <c r="CJ88" i="4"/>
  <c r="CJ84" i="4"/>
  <c r="CJ80" i="4"/>
  <c r="CJ76" i="4"/>
  <c r="CJ72" i="4"/>
  <c r="CJ68" i="4"/>
  <c r="CJ64" i="4"/>
  <c r="CJ60" i="4"/>
  <c r="CJ56" i="4"/>
  <c r="CJ52" i="4"/>
  <c r="CJ48" i="4"/>
  <c r="CJ44" i="4"/>
  <c r="CJ40" i="4"/>
  <c r="CJ36" i="4"/>
  <c r="CJ32" i="4"/>
  <c r="CJ28" i="4"/>
  <c r="CJ24" i="4"/>
  <c r="CJ20" i="4"/>
  <c r="CJ16" i="4"/>
  <c r="CJ12" i="4"/>
  <c r="CJ8" i="4"/>
  <c r="CJ4" i="4"/>
  <c r="CJ295" i="4"/>
  <c r="CJ291" i="4"/>
  <c r="CJ287" i="4"/>
  <c r="CJ283" i="4"/>
  <c r="CJ279" i="4"/>
  <c r="CJ275" i="4"/>
  <c r="CJ271" i="4"/>
  <c r="CJ267" i="4"/>
  <c r="CJ263" i="4"/>
  <c r="CJ259" i="4"/>
  <c r="CJ255" i="4"/>
  <c r="CJ251" i="4"/>
  <c r="CJ247" i="4"/>
  <c r="CJ243" i="4"/>
  <c r="CJ239" i="4"/>
  <c r="CJ235" i="4"/>
  <c r="CJ231" i="4"/>
  <c r="CJ227" i="4"/>
  <c r="CJ223" i="4"/>
  <c r="CJ219" i="4"/>
  <c r="CJ215" i="4"/>
  <c r="CJ211" i="4"/>
  <c r="CJ207" i="4"/>
  <c r="CJ203" i="4"/>
  <c r="CJ199" i="4"/>
  <c r="CJ195" i="4"/>
  <c r="CJ191" i="4"/>
  <c r="CJ187" i="4"/>
  <c r="CJ183" i="4"/>
  <c r="CJ179" i="4"/>
  <c r="CJ175" i="4"/>
  <c r="CJ171" i="4"/>
  <c r="CJ167" i="4"/>
  <c r="CJ163" i="4"/>
  <c r="CJ159" i="4"/>
  <c r="CJ155" i="4"/>
  <c r="CJ151" i="4"/>
  <c r="CJ147" i="4"/>
  <c r="CJ143" i="4"/>
  <c r="CJ139" i="4"/>
  <c r="CJ135" i="4"/>
  <c r="CJ131" i="4"/>
  <c r="CJ127" i="4"/>
  <c r="CJ123" i="4"/>
  <c r="CJ119" i="4"/>
  <c r="CJ115" i="4"/>
  <c r="CJ111" i="4"/>
  <c r="CJ107" i="4"/>
  <c r="CJ103" i="4"/>
  <c r="CJ99" i="4"/>
  <c r="CJ95" i="4"/>
  <c r="CJ91" i="4"/>
  <c r="CJ87" i="4"/>
  <c r="CJ83" i="4"/>
  <c r="CJ79" i="4"/>
  <c r="CJ75" i="4"/>
  <c r="CJ71" i="4"/>
  <c r="CJ67" i="4"/>
  <c r="CJ63" i="4"/>
  <c r="CJ59" i="4"/>
  <c r="CJ55" i="4"/>
  <c r="CJ51" i="4"/>
  <c r="CJ47" i="4"/>
  <c r="CJ43" i="4"/>
  <c r="CJ39" i="4"/>
  <c r="CJ35" i="4"/>
  <c r="CJ31" i="4"/>
  <c r="CJ27" i="4"/>
  <c r="CJ23" i="4"/>
  <c r="CJ19" i="4"/>
  <c r="CJ15" i="4"/>
  <c r="CJ11" i="4"/>
  <c r="CJ7" i="4"/>
  <c r="CF294" i="4"/>
  <c r="CF290" i="4"/>
  <c r="CF286" i="4"/>
  <c r="CF282" i="4"/>
  <c r="CF278" i="4"/>
  <c r="CF274" i="4"/>
  <c r="CF270" i="4"/>
  <c r="CF266" i="4"/>
  <c r="CF262" i="4"/>
  <c r="CF258" i="4"/>
  <c r="CF254" i="4"/>
  <c r="CF250" i="4"/>
  <c r="CF246" i="4"/>
  <c r="CF242" i="4"/>
  <c r="CF238" i="4"/>
  <c r="CF234" i="4"/>
  <c r="CF230" i="4"/>
  <c r="CF226" i="4"/>
  <c r="CF222" i="4"/>
  <c r="CF218" i="4"/>
  <c r="CF214" i="4"/>
  <c r="CF210" i="4"/>
  <c r="CF206" i="4"/>
  <c r="CF202" i="4"/>
  <c r="CF198" i="4"/>
  <c r="CF194" i="4"/>
  <c r="CF190" i="4"/>
  <c r="CF186" i="4"/>
  <c r="CF182" i="4"/>
  <c r="CF178" i="4"/>
  <c r="CF174" i="4"/>
  <c r="CF170" i="4"/>
  <c r="CF166" i="4"/>
  <c r="CF162" i="4"/>
  <c r="CF158" i="4"/>
  <c r="CF154" i="4"/>
  <c r="CF150" i="4"/>
  <c r="CF146" i="4"/>
  <c r="CF142" i="4"/>
  <c r="CF138" i="4"/>
  <c r="CF134" i="4"/>
  <c r="CF130" i="4"/>
  <c r="CF126" i="4"/>
  <c r="CF122" i="4"/>
  <c r="CF118" i="4"/>
  <c r="CF114" i="4"/>
  <c r="CF110" i="4"/>
  <c r="CF106" i="4"/>
  <c r="CF102" i="4"/>
  <c r="CF98" i="4"/>
  <c r="CF94" i="4"/>
  <c r="CF90" i="4"/>
  <c r="CF86" i="4"/>
  <c r="CF82" i="4"/>
  <c r="CF78" i="4"/>
  <c r="CF74" i="4"/>
  <c r="CF70" i="4"/>
  <c r="CF66" i="4"/>
  <c r="CF62" i="4"/>
  <c r="CF58" i="4"/>
  <c r="CF54" i="4"/>
  <c r="CF50" i="4"/>
  <c r="CF46" i="4"/>
  <c r="CF42" i="4"/>
  <c r="CF38" i="4"/>
  <c r="CF34" i="4"/>
  <c r="CF30" i="4"/>
  <c r="CF26" i="4"/>
  <c r="CF22" i="4"/>
  <c r="CF18" i="4"/>
  <c r="CF14" i="4"/>
  <c r="CF10" i="4"/>
  <c r="CF6" i="4"/>
  <c r="CF2" i="4"/>
  <c r="CF293" i="4"/>
  <c r="CF289" i="4"/>
  <c r="CF285" i="4"/>
  <c r="CF281" i="4"/>
  <c r="CF277" i="4"/>
  <c r="CF273" i="4"/>
  <c r="CF269" i="4"/>
  <c r="CF265" i="4"/>
  <c r="CF261" i="4"/>
  <c r="CF257" i="4"/>
  <c r="CF253" i="4"/>
  <c r="CF249" i="4"/>
  <c r="CF245" i="4"/>
  <c r="CF241" i="4"/>
  <c r="CF237" i="4"/>
  <c r="CF233" i="4"/>
  <c r="CF229" i="4"/>
  <c r="CF225" i="4"/>
  <c r="CF221" i="4"/>
  <c r="CF217" i="4"/>
  <c r="CF213" i="4"/>
  <c r="CF209" i="4"/>
  <c r="CF205" i="4"/>
  <c r="CF201" i="4"/>
  <c r="CF197" i="4"/>
  <c r="CF193" i="4"/>
  <c r="CF189" i="4"/>
  <c r="CF185" i="4"/>
  <c r="CF181" i="4"/>
  <c r="CF177" i="4"/>
  <c r="CF173" i="4"/>
  <c r="CF169" i="4"/>
  <c r="CF165" i="4"/>
  <c r="CF161" i="4"/>
  <c r="CF157" i="4"/>
  <c r="CF153" i="4"/>
  <c r="CF149" i="4"/>
  <c r="CF145" i="4"/>
  <c r="CF141" i="4"/>
  <c r="CF137" i="4"/>
  <c r="CF133" i="4"/>
  <c r="CF129" i="4"/>
  <c r="CF125" i="4"/>
  <c r="CF121" i="4"/>
  <c r="CF117" i="4"/>
  <c r="CF113" i="4"/>
  <c r="CF109" i="4"/>
  <c r="CF105" i="4"/>
  <c r="CF101" i="4"/>
  <c r="CF97" i="4"/>
  <c r="CF93" i="4"/>
  <c r="CF89" i="4"/>
  <c r="CF85" i="4"/>
  <c r="CF81" i="4"/>
  <c r="CF77" i="4"/>
  <c r="CF73" i="4"/>
  <c r="CF69" i="4"/>
  <c r="CF65" i="4"/>
  <c r="CF61" i="4"/>
  <c r="CF57" i="4"/>
  <c r="CF53" i="4"/>
  <c r="CF49" i="4"/>
  <c r="CF45" i="4"/>
  <c r="CF41" i="4"/>
  <c r="CF37" i="4"/>
  <c r="CF33" i="4"/>
  <c r="CF29" i="4"/>
  <c r="CF25" i="4"/>
  <c r="CF21" i="4"/>
  <c r="CF17" i="4"/>
  <c r="CF13" i="4"/>
  <c r="CF9" i="4"/>
  <c r="CF5" i="4"/>
  <c r="CF296" i="4"/>
  <c r="CF292" i="4"/>
  <c r="CF288" i="4"/>
  <c r="CF284" i="4"/>
  <c r="CF280" i="4"/>
  <c r="CF276" i="4"/>
  <c r="CF272" i="4"/>
  <c r="CF268" i="4"/>
  <c r="CF264" i="4"/>
  <c r="CF260" i="4"/>
  <c r="CF256" i="4"/>
  <c r="CF252" i="4"/>
  <c r="CF248" i="4"/>
  <c r="CF244" i="4"/>
  <c r="CF240" i="4"/>
  <c r="CF236" i="4"/>
  <c r="CF232" i="4"/>
  <c r="CF228" i="4"/>
  <c r="CF224" i="4"/>
  <c r="CF220" i="4"/>
  <c r="CF216" i="4"/>
  <c r="CF212" i="4"/>
  <c r="CF208" i="4"/>
  <c r="CF204" i="4"/>
  <c r="CF200" i="4"/>
  <c r="CF196" i="4"/>
  <c r="CF192" i="4"/>
  <c r="CF188" i="4"/>
  <c r="CF184" i="4"/>
  <c r="CF180" i="4"/>
  <c r="CF176" i="4"/>
  <c r="CF172" i="4"/>
  <c r="CF168" i="4"/>
  <c r="CF164" i="4"/>
  <c r="CF160" i="4"/>
  <c r="CF156" i="4"/>
  <c r="CF152" i="4"/>
  <c r="CF148" i="4"/>
  <c r="CF144" i="4"/>
  <c r="CF140" i="4"/>
  <c r="CF136" i="4"/>
  <c r="CF132" i="4"/>
  <c r="CF128" i="4"/>
  <c r="CF124" i="4"/>
  <c r="CF120" i="4"/>
  <c r="CF116" i="4"/>
  <c r="CF112" i="4"/>
  <c r="CF108" i="4"/>
  <c r="CF104" i="4"/>
  <c r="CF100" i="4"/>
  <c r="CF96" i="4"/>
  <c r="CF92" i="4"/>
  <c r="CF88" i="4"/>
  <c r="CF84" i="4"/>
  <c r="CF80" i="4"/>
  <c r="CF76" i="4"/>
  <c r="CF72" i="4"/>
  <c r="CF68" i="4"/>
  <c r="CF64" i="4"/>
  <c r="CF60" i="4"/>
  <c r="CF56" i="4"/>
  <c r="CF52" i="4"/>
  <c r="CF48" i="4"/>
  <c r="CF44" i="4"/>
  <c r="CF40" i="4"/>
  <c r="CF36" i="4"/>
  <c r="CF32" i="4"/>
  <c r="CF28" i="4"/>
  <c r="CF24" i="4"/>
  <c r="CF20" i="4"/>
  <c r="CF16" i="4"/>
  <c r="CF12" i="4"/>
  <c r="CF8" i="4"/>
  <c r="CF4" i="4"/>
  <c r="BW3" i="4"/>
  <c r="CF295" i="4"/>
  <c r="CF291" i="4"/>
  <c r="CF287" i="4"/>
  <c r="CF283" i="4"/>
  <c r="CF279" i="4"/>
  <c r="CF275" i="4"/>
  <c r="CF271" i="4"/>
  <c r="CF267" i="4"/>
  <c r="CF263" i="4"/>
  <c r="CF259" i="4"/>
  <c r="CF255" i="4"/>
  <c r="CF251" i="4"/>
  <c r="CF247" i="4"/>
  <c r="CF243" i="4"/>
  <c r="CF239" i="4"/>
  <c r="CF235" i="4"/>
  <c r="CF231" i="4"/>
  <c r="CF227" i="4"/>
  <c r="CF223" i="4"/>
  <c r="CF219" i="4"/>
  <c r="CF215" i="4"/>
  <c r="CF211" i="4"/>
  <c r="CF207" i="4"/>
  <c r="CF203" i="4"/>
  <c r="CF199" i="4"/>
  <c r="CF195" i="4"/>
  <c r="CF191" i="4"/>
  <c r="CF187" i="4"/>
  <c r="CF183" i="4"/>
  <c r="CF179" i="4"/>
  <c r="CF175" i="4"/>
  <c r="CF171" i="4"/>
  <c r="CF167" i="4"/>
  <c r="CF163" i="4"/>
  <c r="CF159" i="4"/>
  <c r="CF155" i="4"/>
  <c r="CF151" i="4"/>
  <c r="CF147" i="4"/>
  <c r="CF143" i="4"/>
  <c r="CF139" i="4"/>
  <c r="CF135" i="4"/>
  <c r="CF131" i="4"/>
  <c r="CF127" i="4"/>
  <c r="CF123" i="4"/>
  <c r="CF119" i="4"/>
  <c r="CF115" i="4"/>
  <c r="CF111" i="4"/>
  <c r="CF107" i="4"/>
  <c r="CF103" i="4"/>
  <c r="CF99" i="4"/>
  <c r="CF95" i="4"/>
  <c r="CF91" i="4"/>
  <c r="CF87" i="4"/>
  <c r="CF83" i="4"/>
  <c r="CF79" i="4"/>
  <c r="CF75" i="4"/>
  <c r="CF71" i="4"/>
  <c r="CF67" i="4"/>
  <c r="CF63" i="4"/>
  <c r="CF59" i="4"/>
  <c r="CF55" i="4"/>
  <c r="CF51" i="4"/>
  <c r="CF47" i="4"/>
  <c r="CF43" i="4"/>
  <c r="CF39" i="4"/>
  <c r="CF35" i="4"/>
  <c r="CF31" i="4"/>
  <c r="CF27" i="4"/>
  <c r="CF23" i="4"/>
  <c r="CF19" i="4"/>
  <c r="CF15" i="4"/>
  <c r="CF11" i="4"/>
  <c r="CF7" i="4"/>
  <c r="CB3" i="4"/>
  <c r="CB294" i="4"/>
  <c r="CB290" i="4"/>
  <c r="CB286" i="4"/>
  <c r="CB282" i="4"/>
  <c r="CB278" i="4"/>
  <c r="CB274" i="4"/>
  <c r="CB270" i="4"/>
  <c r="CB266" i="4"/>
  <c r="CB262" i="4"/>
  <c r="CB258" i="4"/>
  <c r="CB254" i="4"/>
  <c r="CB250" i="4"/>
  <c r="CB246" i="4"/>
  <c r="CB242" i="4"/>
  <c r="CB238" i="4"/>
  <c r="CB234" i="4"/>
  <c r="CB230" i="4"/>
  <c r="CB226" i="4"/>
  <c r="CB222" i="4"/>
  <c r="CB218" i="4"/>
  <c r="CB214" i="4"/>
  <c r="CB210" i="4"/>
  <c r="CB206" i="4"/>
  <c r="CB202" i="4"/>
  <c r="CB198" i="4"/>
  <c r="CB194" i="4"/>
  <c r="CB190" i="4"/>
  <c r="CB186" i="4"/>
  <c r="CB182" i="4"/>
  <c r="CB178" i="4"/>
  <c r="CB174" i="4"/>
  <c r="CB170" i="4"/>
  <c r="CB166" i="4"/>
  <c r="CB162" i="4"/>
  <c r="CB158" i="4"/>
  <c r="CB154" i="4"/>
  <c r="CB150" i="4"/>
  <c r="CB146" i="4"/>
  <c r="CB142" i="4"/>
  <c r="CB138" i="4"/>
  <c r="CB134" i="4"/>
  <c r="CB130" i="4"/>
  <c r="CB126" i="4"/>
  <c r="CB122" i="4"/>
  <c r="CB118" i="4"/>
  <c r="CB114" i="4"/>
  <c r="CB110" i="4"/>
  <c r="CB106" i="4"/>
  <c r="CB102" i="4"/>
  <c r="CB98" i="4"/>
  <c r="CB94" i="4"/>
  <c r="CB90" i="4"/>
  <c r="CB86" i="4"/>
  <c r="CB82" i="4"/>
  <c r="CB78" i="4"/>
  <c r="CB74" i="4"/>
  <c r="CB70" i="4"/>
  <c r="CB66" i="4"/>
  <c r="CB62" i="4"/>
  <c r="CB58" i="4"/>
  <c r="CB54" i="4"/>
  <c r="CB50" i="4"/>
  <c r="CB46" i="4"/>
  <c r="CB42" i="4"/>
  <c r="CB38" i="4"/>
  <c r="CB34" i="4"/>
  <c r="CB30" i="4"/>
  <c r="CB26" i="4"/>
  <c r="CB22" i="4"/>
  <c r="CB18" i="4"/>
  <c r="CB14" i="4"/>
  <c r="CB10" i="4"/>
  <c r="CB6" i="4"/>
  <c r="CB2" i="4"/>
  <c r="CB293" i="4"/>
  <c r="CB289" i="4"/>
  <c r="CB285" i="4"/>
  <c r="CB281" i="4"/>
  <c r="CB277" i="4"/>
  <c r="CB273" i="4"/>
  <c r="CB269" i="4"/>
  <c r="CB265" i="4"/>
  <c r="CB261" i="4"/>
  <c r="CB257" i="4"/>
  <c r="CB253" i="4"/>
  <c r="CB249" i="4"/>
  <c r="CB245" i="4"/>
  <c r="CB241" i="4"/>
  <c r="CB237" i="4"/>
  <c r="CB233" i="4"/>
  <c r="CB229" i="4"/>
  <c r="CB225" i="4"/>
  <c r="CB221" i="4"/>
  <c r="CB217" i="4"/>
  <c r="CB213" i="4"/>
  <c r="CB209" i="4"/>
  <c r="CB205" i="4"/>
  <c r="CB201" i="4"/>
  <c r="CB197" i="4"/>
  <c r="CB193" i="4"/>
  <c r="CB189" i="4"/>
  <c r="CB185" i="4"/>
  <c r="CB181" i="4"/>
  <c r="CB177" i="4"/>
  <c r="CB173" i="4"/>
  <c r="CB169" i="4"/>
  <c r="CB165" i="4"/>
  <c r="CB161" i="4"/>
  <c r="CB157" i="4"/>
  <c r="CB153" i="4"/>
  <c r="CB149" i="4"/>
  <c r="CB145" i="4"/>
  <c r="CB141" i="4"/>
  <c r="CB137" i="4"/>
  <c r="CB133" i="4"/>
  <c r="CB129" i="4"/>
  <c r="CB125" i="4"/>
  <c r="CB121" i="4"/>
  <c r="CB117" i="4"/>
  <c r="CB113" i="4"/>
  <c r="CB109" i="4"/>
  <c r="CB105" i="4"/>
  <c r="CB101" i="4"/>
  <c r="CB97" i="4"/>
  <c r="CB93" i="4"/>
  <c r="CB89" i="4"/>
  <c r="CB85" i="4"/>
  <c r="CB81" i="4"/>
  <c r="CB77" i="4"/>
  <c r="CB73" i="4"/>
  <c r="CB69" i="4"/>
  <c r="CB65" i="4"/>
  <c r="CB61" i="4"/>
  <c r="CB57" i="4"/>
  <c r="CB53" i="4"/>
  <c r="CB49" i="4"/>
  <c r="CB45" i="4"/>
  <c r="CB41" i="4"/>
  <c r="CB37" i="4"/>
  <c r="CB33" i="4"/>
  <c r="CB29" i="4"/>
  <c r="CB25" i="4"/>
  <c r="CB21" i="4"/>
  <c r="CB17" i="4"/>
  <c r="CB13" i="4"/>
  <c r="CB9" i="4"/>
  <c r="CB5" i="4"/>
  <c r="CB296" i="4"/>
  <c r="CB292" i="4"/>
  <c r="CB288" i="4"/>
  <c r="CB284" i="4"/>
  <c r="CB280" i="4"/>
  <c r="CB276" i="4"/>
  <c r="CB272" i="4"/>
  <c r="CB268" i="4"/>
  <c r="CB264" i="4"/>
  <c r="CB260" i="4"/>
  <c r="CB256" i="4"/>
  <c r="CB252" i="4"/>
  <c r="CB248" i="4"/>
  <c r="CB244" i="4"/>
  <c r="CB240" i="4"/>
  <c r="CB236" i="4"/>
  <c r="CB232" i="4"/>
  <c r="CB228" i="4"/>
  <c r="CB224" i="4"/>
  <c r="CB220" i="4"/>
  <c r="CB216" i="4"/>
  <c r="CB212" i="4"/>
  <c r="CB208" i="4"/>
  <c r="CB204" i="4"/>
  <c r="CB200" i="4"/>
  <c r="CB196" i="4"/>
  <c r="CB192" i="4"/>
  <c r="CB188" i="4"/>
  <c r="CB184" i="4"/>
  <c r="CB180" i="4"/>
  <c r="CB176" i="4"/>
  <c r="CB172" i="4"/>
  <c r="CB168" i="4"/>
  <c r="CB164" i="4"/>
  <c r="CB160" i="4"/>
  <c r="CB156" i="4"/>
  <c r="CB152" i="4"/>
  <c r="CB148" i="4"/>
  <c r="CB144" i="4"/>
  <c r="CB140" i="4"/>
  <c r="CB136" i="4"/>
  <c r="CB132" i="4"/>
  <c r="CB128" i="4"/>
  <c r="CB124" i="4"/>
  <c r="CB120" i="4"/>
  <c r="CB116" i="4"/>
  <c r="CB112" i="4"/>
  <c r="CB108" i="4"/>
  <c r="CB104" i="4"/>
  <c r="CB100" i="4"/>
  <c r="CB96" i="4"/>
  <c r="CB92" i="4"/>
  <c r="CB88" i="4"/>
  <c r="CB84" i="4"/>
  <c r="CB80" i="4"/>
  <c r="CB76" i="4"/>
  <c r="CB72" i="4"/>
  <c r="CB68" i="4"/>
  <c r="CB64" i="4"/>
  <c r="CB60" i="4"/>
  <c r="CB56" i="4"/>
  <c r="CB52" i="4"/>
  <c r="CB48" i="4"/>
  <c r="CB44" i="4"/>
  <c r="CB40" i="4"/>
  <c r="CB36" i="4"/>
  <c r="CB32" i="4"/>
  <c r="CB28" i="4"/>
  <c r="CB24" i="4"/>
  <c r="CB20" i="4"/>
  <c r="CB16" i="4"/>
  <c r="CB12" i="4"/>
  <c r="CB8" i="4"/>
  <c r="CB4" i="4"/>
  <c r="CB295" i="4"/>
  <c r="CB291" i="4"/>
  <c r="CB287" i="4"/>
  <c r="CB283" i="4"/>
  <c r="CB279" i="4"/>
  <c r="CB275" i="4"/>
  <c r="CB271" i="4"/>
  <c r="CB267" i="4"/>
  <c r="CB263" i="4"/>
  <c r="CB259" i="4"/>
  <c r="CB255" i="4"/>
  <c r="CB251" i="4"/>
  <c r="CB247" i="4"/>
  <c r="CB243" i="4"/>
  <c r="CB239" i="4"/>
  <c r="CB235" i="4"/>
  <c r="CB231" i="4"/>
  <c r="CB227" i="4"/>
  <c r="CB223" i="4"/>
  <c r="CB219" i="4"/>
  <c r="CB215" i="4"/>
  <c r="CB211" i="4"/>
  <c r="CB207" i="4"/>
  <c r="CB203" i="4"/>
  <c r="CB199" i="4"/>
  <c r="CB195" i="4"/>
  <c r="CB191" i="4"/>
  <c r="CB187" i="4"/>
  <c r="CB183" i="4"/>
  <c r="CB179" i="4"/>
  <c r="CB175" i="4"/>
  <c r="CB171" i="4"/>
  <c r="CB167" i="4"/>
  <c r="CB163" i="4"/>
  <c r="CB159" i="4"/>
  <c r="CB155" i="4"/>
  <c r="CB151" i="4"/>
  <c r="CB147" i="4"/>
  <c r="CB143" i="4"/>
  <c r="CB139" i="4"/>
  <c r="CB135" i="4"/>
  <c r="CB131" i="4"/>
  <c r="CB127" i="4"/>
  <c r="CB123" i="4"/>
  <c r="CB119" i="4"/>
  <c r="CB115" i="4"/>
  <c r="CB111" i="4"/>
  <c r="CB107" i="4"/>
  <c r="CB103" i="4"/>
  <c r="CB99" i="4"/>
  <c r="CB95" i="4"/>
  <c r="CB91" i="4"/>
  <c r="CB87" i="4"/>
  <c r="CB83" i="4"/>
  <c r="CB79" i="4"/>
  <c r="CB75" i="4"/>
  <c r="CB71" i="4"/>
  <c r="CB67" i="4"/>
  <c r="CB63" i="4"/>
  <c r="CB59" i="4"/>
  <c r="CB55" i="4"/>
  <c r="CB51" i="4"/>
  <c r="CB47" i="4"/>
  <c r="CB43" i="4"/>
  <c r="CB39" i="4"/>
  <c r="CB35" i="4"/>
  <c r="CB31" i="4"/>
  <c r="CB27" i="4"/>
  <c r="CB23" i="4"/>
  <c r="CB19" i="4"/>
  <c r="CB15" i="4"/>
  <c r="CB11" i="4"/>
  <c r="CB7" i="4"/>
  <c r="BS3" i="4"/>
  <c r="BW289" i="4"/>
  <c r="BW294" i="4"/>
  <c r="BW290" i="4"/>
  <c r="BW286" i="4"/>
  <c r="BW282" i="4"/>
  <c r="BW278" i="4"/>
  <c r="BW274" i="4"/>
  <c r="BW270" i="4"/>
  <c r="BW266" i="4"/>
  <c r="BW262" i="4"/>
  <c r="BW258" i="4"/>
  <c r="BW254" i="4"/>
  <c r="BW250" i="4"/>
  <c r="BW246" i="4"/>
  <c r="BW242" i="4"/>
  <c r="BW238" i="4"/>
  <c r="BW234" i="4"/>
  <c r="BW230" i="4"/>
  <c r="BW226" i="4"/>
  <c r="BW222" i="4"/>
  <c r="BW218" i="4"/>
  <c r="BW214" i="4"/>
  <c r="BW210" i="4"/>
  <c r="BW206" i="4"/>
  <c r="BW202" i="4"/>
  <c r="BW198" i="4"/>
  <c r="BW194" i="4"/>
  <c r="BW190" i="4"/>
  <c r="BW186" i="4"/>
  <c r="BW182" i="4"/>
  <c r="BW178" i="4"/>
  <c r="BW174" i="4"/>
  <c r="BW170" i="4"/>
  <c r="BW166" i="4"/>
  <c r="BW162" i="4"/>
  <c r="BW158" i="4"/>
  <c r="BW154" i="4"/>
  <c r="BW150" i="4"/>
  <c r="BW146" i="4"/>
  <c r="BW142" i="4"/>
  <c r="BW138" i="4"/>
  <c r="BW134" i="4"/>
  <c r="BW130" i="4"/>
  <c r="BW126" i="4"/>
  <c r="BW122" i="4"/>
  <c r="BW118" i="4"/>
  <c r="BW114" i="4"/>
  <c r="BW110" i="4"/>
  <c r="BW106" i="4"/>
  <c r="BW102" i="4"/>
  <c r="BW98" i="4"/>
  <c r="BW94" i="4"/>
  <c r="BW90" i="4"/>
  <c r="BW86" i="4"/>
  <c r="BW82" i="4"/>
  <c r="BW78" i="4"/>
  <c r="BW74" i="4"/>
  <c r="BW70" i="4"/>
  <c r="BW66" i="4"/>
  <c r="BW62" i="4"/>
  <c r="BW58" i="4"/>
  <c r="BW54" i="4"/>
  <c r="BW50" i="4"/>
  <c r="BW46" i="4"/>
  <c r="BW42" i="4"/>
  <c r="BW38" i="4"/>
  <c r="BW34" i="4"/>
  <c r="BW30" i="4"/>
  <c r="BW26" i="4"/>
  <c r="BW22" i="4"/>
  <c r="BW18" i="4"/>
  <c r="BW14" i="4"/>
  <c r="BW10" i="4"/>
  <c r="BW6" i="4"/>
  <c r="BW2" i="4"/>
  <c r="BW293" i="4"/>
  <c r="BW285" i="4"/>
  <c r="BW281" i="4"/>
  <c r="BW277" i="4"/>
  <c r="BW273" i="4"/>
  <c r="BW269" i="4"/>
  <c r="BW265" i="4"/>
  <c r="BW261" i="4"/>
  <c r="BW257" i="4"/>
  <c r="BW253" i="4"/>
  <c r="BW249" i="4"/>
  <c r="BW245" i="4"/>
  <c r="BW241" i="4"/>
  <c r="BW237" i="4"/>
  <c r="BW233" i="4"/>
  <c r="BW229" i="4"/>
  <c r="BW225" i="4"/>
  <c r="BW221" i="4"/>
  <c r="BW217" i="4"/>
  <c r="BW213" i="4"/>
  <c r="BW209" i="4"/>
  <c r="BW205" i="4"/>
  <c r="BW201" i="4"/>
  <c r="BW197" i="4"/>
  <c r="BW193" i="4"/>
  <c r="BW189" i="4"/>
  <c r="BW185" i="4"/>
  <c r="BW181" i="4"/>
  <c r="BW177" i="4"/>
  <c r="BW173" i="4"/>
  <c r="BW169" i="4"/>
  <c r="BW165" i="4"/>
  <c r="BW161" i="4"/>
  <c r="BW157" i="4"/>
  <c r="BW153" i="4"/>
  <c r="BW149" i="4"/>
  <c r="BW145" i="4"/>
  <c r="BW141" i="4"/>
  <c r="BW137" i="4"/>
  <c r="BW133" i="4"/>
  <c r="BW129" i="4"/>
  <c r="BW125" i="4"/>
  <c r="BW121" i="4"/>
  <c r="BW117" i="4"/>
  <c r="BW113" i="4"/>
  <c r="BW109" i="4"/>
  <c r="BW105" i="4"/>
  <c r="BW101" i="4"/>
  <c r="BW97" i="4"/>
  <c r="BW93" i="4"/>
  <c r="BW89" i="4"/>
  <c r="BW85" i="4"/>
  <c r="BW81" i="4"/>
  <c r="BW77" i="4"/>
  <c r="BW73" i="4"/>
  <c r="BW69" i="4"/>
  <c r="BW65" i="4"/>
  <c r="BW61" i="4"/>
  <c r="BW57" i="4"/>
  <c r="BW53" i="4"/>
  <c r="BW49" i="4"/>
  <c r="BW45" i="4"/>
  <c r="BW41" i="4"/>
  <c r="BW37" i="4"/>
  <c r="BW33" i="4"/>
  <c r="BW29" i="4"/>
  <c r="BW25" i="4"/>
  <c r="BW21" i="4"/>
  <c r="BW17" i="4"/>
  <c r="BW13" i="4"/>
  <c r="BW9" i="4"/>
  <c r="BW5" i="4"/>
  <c r="BW296" i="4"/>
  <c r="BW292" i="4"/>
  <c r="BW288" i="4"/>
  <c r="BW284" i="4"/>
  <c r="BW280" i="4"/>
  <c r="BW276" i="4"/>
  <c r="BW272" i="4"/>
  <c r="BW268" i="4"/>
  <c r="BW264" i="4"/>
  <c r="BW260" i="4"/>
  <c r="BW256" i="4"/>
  <c r="BW252" i="4"/>
  <c r="BW248" i="4"/>
  <c r="BW244" i="4"/>
  <c r="BW240" i="4"/>
  <c r="BW236" i="4"/>
  <c r="BW232" i="4"/>
  <c r="BW228" i="4"/>
  <c r="BW224" i="4"/>
  <c r="BW220" i="4"/>
  <c r="BW216" i="4"/>
  <c r="BW212" i="4"/>
  <c r="BW208" i="4"/>
  <c r="BW204" i="4"/>
  <c r="BW200" i="4"/>
  <c r="BW196" i="4"/>
  <c r="BW192" i="4"/>
  <c r="BW188" i="4"/>
  <c r="BW184" i="4"/>
  <c r="BW180" i="4"/>
  <c r="BW176" i="4"/>
  <c r="BW172" i="4"/>
  <c r="BW168" i="4"/>
  <c r="BW164" i="4"/>
  <c r="BW160" i="4"/>
  <c r="BW156" i="4"/>
  <c r="BW152" i="4"/>
  <c r="BW148" i="4"/>
  <c r="BW144" i="4"/>
  <c r="BW140" i="4"/>
  <c r="BW136" i="4"/>
  <c r="BW132" i="4"/>
  <c r="BW128" i="4"/>
  <c r="BW124" i="4"/>
  <c r="BW120" i="4"/>
  <c r="BW116" i="4"/>
  <c r="BW112" i="4"/>
  <c r="BW108" i="4"/>
  <c r="BW104" i="4"/>
  <c r="BW100" i="4"/>
  <c r="BW96" i="4"/>
  <c r="BW92" i="4"/>
  <c r="BW88" i="4"/>
  <c r="BW84" i="4"/>
  <c r="BW80" i="4"/>
  <c r="BW76" i="4"/>
  <c r="BW72" i="4"/>
  <c r="BW68" i="4"/>
  <c r="BW64" i="4"/>
  <c r="BW60" i="4"/>
  <c r="BW56" i="4"/>
  <c r="BW52" i="4"/>
  <c r="BW48" i="4"/>
  <c r="BW44" i="4"/>
  <c r="BW40" i="4"/>
  <c r="BW36" i="4"/>
  <c r="BW32" i="4"/>
  <c r="BW28" i="4"/>
  <c r="BW24" i="4"/>
  <c r="BW20" i="4"/>
  <c r="BW16" i="4"/>
  <c r="BW12" i="4"/>
  <c r="BW8" i="4"/>
  <c r="BW4" i="4"/>
  <c r="BO3" i="4"/>
  <c r="BW295" i="4"/>
  <c r="BW291" i="4"/>
  <c r="BW287" i="4"/>
  <c r="BW283" i="4"/>
  <c r="BW279" i="4"/>
  <c r="BW275" i="4"/>
  <c r="BW271" i="4"/>
  <c r="BW267" i="4"/>
  <c r="BW263" i="4"/>
  <c r="BW259" i="4"/>
  <c r="BW255" i="4"/>
  <c r="BW251" i="4"/>
  <c r="BW247" i="4"/>
  <c r="BW243" i="4"/>
  <c r="BW239" i="4"/>
  <c r="BW235" i="4"/>
  <c r="BW231" i="4"/>
  <c r="BW227" i="4"/>
  <c r="BW223" i="4"/>
  <c r="BW219" i="4"/>
  <c r="BW215" i="4"/>
  <c r="BW211" i="4"/>
  <c r="BW207" i="4"/>
  <c r="BW203" i="4"/>
  <c r="BW199" i="4"/>
  <c r="BW195" i="4"/>
  <c r="BW191" i="4"/>
  <c r="BW187" i="4"/>
  <c r="BW183" i="4"/>
  <c r="BW179" i="4"/>
  <c r="BW175" i="4"/>
  <c r="BW171" i="4"/>
  <c r="BW167" i="4"/>
  <c r="BW163" i="4"/>
  <c r="BW159" i="4"/>
  <c r="BW155" i="4"/>
  <c r="BW151" i="4"/>
  <c r="BW147" i="4"/>
  <c r="BW143" i="4"/>
  <c r="BW139" i="4"/>
  <c r="BW135" i="4"/>
  <c r="BW131" i="4"/>
  <c r="BW127" i="4"/>
  <c r="BW123" i="4"/>
  <c r="BW119" i="4"/>
  <c r="BW115" i="4"/>
  <c r="BW111" i="4"/>
  <c r="BW107" i="4"/>
  <c r="BW103" i="4"/>
  <c r="BW99" i="4"/>
  <c r="BW95" i="4"/>
  <c r="BW91" i="4"/>
  <c r="BW87" i="4"/>
  <c r="BW83" i="4"/>
  <c r="BW79" i="4"/>
  <c r="BW75" i="4"/>
  <c r="BW71" i="4"/>
  <c r="BW67" i="4"/>
  <c r="BW63" i="4"/>
  <c r="BW59" i="4"/>
  <c r="BW55" i="4"/>
  <c r="BW51" i="4"/>
  <c r="BW47" i="4"/>
  <c r="BW43" i="4"/>
  <c r="BW39" i="4"/>
  <c r="BW35" i="4"/>
  <c r="BW31" i="4"/>
  <c r="BW27" i="4"/>
  <c r="BW23" i="4"/>
  <c r="BW19" i="4"/>
  <c r="BW15" i="4"/>
  <c r="BW11" i="4"/>
  <c r="BW7" i="4"/>
  <c r="BA288" i="4"/>
  <c r="BO4" i="4"/>
  <c r="BK3" i="4"/>
  <c r="BS294" i="4"/>
  <c r="BS290" i="4"/>
  <c r="BS286" i="4"/>
  <c r="BS282" i="4"/>
  <c r="BS278" i="4"/>
  <c r="BS274" i="4"/>
  <c r="BS270" i="4"/>
  <c r="BS266" i="4"/>
  <c r="BS262" i="4"/>
  <c r="BS258" i="4"/>
  <c r="BS254" i="4"/>
  <c r="BS250" i="4"/>
  <c r="BS246" i="4"/>
  <c r="BS242" i="4"/>
  <c r="BS238" i="4"/>
  <c r="BS234" i="4"/>
  <c r="BS230" i="4"/>
  <c r="BS226" i="4"/>
  <c r="BS222" i="4"/>
  <c r="BS218" i="4"/>
  <c r="BS214" i="4"/>
  <c r="BS210" i="4"/>
  <c r="BS206" i="4"/>
  <c r="BS202" i="4"/>
  <c r="BS198" i="4"/>
  <c r="BS194" i="4"/>
  <c r="BS190" i="4"/>
  <c r="BS186" i="4"/>
  <c r="BS182" i="4"/>
  <c r="BS178" i="4"/>
  <c r="BS174" i="4"/>
  <c r="BS170" i="4"/>
  <c r="BS166" i="4"/>
  <c r="BS162" i="4"/>
  <c r="BS158" i="4"/>
  <c r="BS154" i="4"/>
  <c r="BS150" i="4"/>
  <c r="BS146" i="4"/>
  <c r="BS142" i="4"/>
  <c r="BS138" i="4"/>
  <c r="BS134" i="4"/>
  <c r="BS130" i="4"/>
  <c r="BS126" i="4"/>
  <c r="BS122" i="4"/>
  <c r="BS118" i="4"/>
  <c r="BS114" i="4"/>
  <c r="BS110" i="4"/>
  <c r="BS106" i="4"/>
  <c r="BS102" i="4"/>
  <c r="BS98" i="4"/>
  <c r="BS94" i="4"/>
  <c r="BS90" i="4"/>
  <c r="BS86" i="4"/>
  <c r="BS82" i="4"/>
  <c r="BS78" i="4"/>
  <c r="BS74" i="4"/>
  <c r="BS70" i="4"/>
  <c r="BS66" i="4"/>
  <c r="BS62" i="4"/>
  <c r="BS58" i="4"/>
  <c r="BS54" i="4"/>
  <c r="BS50" i="4"/>
  <c r="BS46" i="4"/>
  <c r="BS42" i="4"/>
  <c r="BS38" i="4"/>
  <c r="BS34" i="4"/>
  <c r="BS30" i="4"/>
  <c r="BS26" i="4"/>
  <c r="BS22" i="4"/>
  <c r="BS18" i="4"/>
  <c r="BS14" i="4"/>
  <c r="BS10" i="4"/>
  <c r="BS6" i="4"/>
  <c r="BS293" i="4"/>
  <c r="BS289" i="4"/>
  <c r="BS285" i="4"/>
  <c r="BS281" i="4"/>
  <c r="BS277" i="4"/>
  <c r="BS273" i="4"/>
  <c r="BS269" i="4"/>
  <c r="BS265" i="4"/>
  <c r="BS261" i="4"/>
  <c r="BS257" i="4"/>
  <c r="BS253" i="4"/>
  <c r="BS249" i="4"/>
  <c r="BS245" i="4"/>
  <c r="BS241" i="4"/>
  <c r="BS237" i="4"/>
  <c r="BS233" i="4"/>
  <c r="BS229" i="4"/>
  <c r="BS225" i="4"/>
  <c r="BS221" i="4"/>
  <c r="BS217" i="4"/>
  <c r="BS213" i="4"/>
  <c r="BS209" i="4"/>
  <c r="BS205" i="4"/>
  <c r="BS201" i="4"/>
  <c r="BS197" i="4"/>
  <c r="BS193" i="4"/>
  <c r="BS189" i="4"/>
  <c r="BS185" i="4"/>
  <c r="BS181" i="4"/>
  <c r="BS177" i="4"/>
  <c r="BS173" i="4"/>
  <c r="BS169" i="4"/>
  <c r="BS165" i="4"/>
  <c r="BS161" i="4"/>
  <c r="BS157" i="4"/>
  <c r="BS153" i="4"/>
  <c r="BS149" i="4"/>
  <c r="BS145" i="4"/>
  <c r="BS141" i="4"/>
  <c r="BS137" i="4"/>
  <c r="BS133" i="4"/>
  <c r="BS129" i="4"/>
  <c r="BS125" i="4"/>
  <c r="BS121" i="4"/>
  <c r="BS117" i="4"/>
  <c r="BS113" i="4"/>
  <c r="BS109" i="4"/>
  <c r="BS105" i="4"/>
  <c r="BS101" i="4"/>
  <c r="BS97" i="4"/>
  <c r="BS93" i="4"/>
  <c r="BS89" i="4"/>
  <c r="BS85" i="4"/>
  <c r="BS81" i="4"/>
  <c r="BS77" i="4"/>
  <c r="BS73" i="4"/>
  <c r="BS69" i="4"/>
  <c r="BS65" i="4"/>
  <c r="BS61" i="4"/>
  <c r="BS57" i="4"/>
  <c r="BS53" i="4"/>
  <c r="BS49" i="4"/>
  <c r="BS45" i="4"/>
  <c r="BS41" i="4"/>
  <c r="BS37" i="4"/>
  <c r="BS33" i="4"/>
  <c r="BS29" i="4"/>
  <c r="BS25" i="4"/>
  <c r="BS21" i="4"/>
  <c r="BS17" i="4"/>
  <c r="BS13" i="4"/>
  <c r="BS9" i="4"/>
  <c r="BS5" i="4"/>
  <c r="BS2" i="4"/>
  <c r="BS292" i="4"/>
  <c r="BS288" i="4"/>
  <c r="BS284" i="4"/>
  <c r="BS280" i="4"/>
  <c r="BS276" i="4"/>
  <c r="BS272" i="4"/>
  <c r="BS268" i="4"/>
  <c r="BS264" i="4"/>
  <c r="BS260" i="4"/>
  <c r="BS256" i="4"/>
  <c r="BS252" i="4"/>
  <c r="BS248" i="4"/>
  <c r="BS244" i="4"/>
  <c r="BS240" i="4"/>
  <c r="BS236" i="4"/>
  <c r="BS232" i="4"/>
  <c r="BS228" i="4"/>
  <c r="BS224" i="4"/>
  <c r="BS220" i="4"/>
  <c r="BS216" i="4"/>
  <c r="BS212" i="4"/>
  <c r="BS208" i="4"/>
  <c r="BS204" i="4"/>
  <c r="BS200" i="4"/>
  <c r="BS196" i="4"/>
  <c r="BS192" i="4"/>
  <c r="BS188" i="4"/>
  <c r="BS184" i="4"/>
  <c r="BS180" i="4"/>
  <c r="BS176" i="4"/>
  <c r="BS172" i="4"/>
  <c r="BS168" i="4"/>
  <c r="BS164" i="4"/>
  <c r="BS160" i="4"/>
  <c r="BS156" i="4"/>
  <c r="BS152" i="4"/>
  <c r="BS148" i="4"/>
  <c r="BS144" i="4"/>
  <c r="BS140" i="4"/>
  <c r="BS136" i="4"/>
  <c r="BS132" i="4"/>
  <c r="BS128" i="4"/>
  <c r="BS124" i="4"/>
  <c r="BS120" i="4"/>
  <c r="BS116" i="4"/>
  <c r="BS112" i="4"/>
  <c r="BS108" i="4"/>
  <c r="BS104" i="4"/>
  <c r="BS100" i="4"/>
  <c r="BS96" i="4"/>
  <c r="BS92" i="4"/>
  <c r="BS88" i="4"/>
  <c r="BS84" i="4"/>
  <c r="BS80" i="4"/>
  <c r="BS76" i="4"/>
  <c r="BS72" i="4"/>
  <c r="BS68" i="4"/>
  <c r="BS64" i="4"/>
  <c r="BS60" i="4"/>
  <c r="BS56" i="4"/>
  <c r="BS52" i="4"/>
  <c r="BS48" i="4"/>
  <c r="BS44" i="4"/>
  <c r="BS40" i="4"/>
  <c r="BS36" i="4"/>
  <c r="BS32" i="4"/>
  <c r="BS28" i="4"/>
  <c r="BS24" i="4"/>
  <c r="BS20" i="4"/>
  <c r="BS16" i="4"/>
  <c r="BS12" i="4"/>
  <c r="BS8" i="4"/>
  <c r="BS4" i="4"/>
  <c r="BS295" i="4"/>
  <c r="BS291" i="4"/>
  <c r="BS287" i="4"/>
  <c r="BS283" i="4"/>
  <c r="BS279" i="4"/>
  <c r="BS275" i="4"/>
  <c r="BS271" i="4"/>
  <c r="BS267" i="4"/>
  <c r="BS263" i="4"/>
  <c r="BS259" i="4"/>
  <c r="BS255" i="4"/>
  <c r="BS251" i="4"/>
  <c r="BS247" i="4"/>
  <c r="BS243" i="4"/>
  <c r="BS239" i="4"/>
  <c r="BS235" i="4"/>
  <c r="BS231" i="4"/>
  <c r="BS227" i="4"/>
  <c r="BS223" i="4"/>
  <c r="BS219" i="4"/>
  <c r="BS215" i="4"/>
  <c r="BS211" i="4"/>
  <c r="BS207" i="4"/>
  <c r="BS203" i="4"/>
  <c r="BS199" i="4"/>
  <c r="BS195" i="4"/>
  <c r="BS191" i="4"/>
  <c r="BS187" i="4"/>
  <c r="BS183" i="4"/>
  <c r="BS179" i="4"/>
  <c r="BS175" i="4"/>
  <c r="BS171" i="4"/>
  <c r="BS167" i="4"/>
  <c r="BS163" i="4"/>
  <c r="BS159" i="4"/>
  <c r="BS155" i="4"/>
  <c r="BS151" i="4"/>
  <c r="BS147" i="4"/>
  <c r="BS143" i="4"/>
  <c r="BS139" i="4"/>
  <c r="BS135" i="4"/>
  <c r="BS131" i="4"/>
  <c r="BS127" i="4"/>
  <c r="BS123" i="4"/>
  <c r="BS119" i="4"/>
  <c r="BS115" i="4"/>
  <c r="BS111" i="4"/>
  <c r="BS107" i="4"/>
  <c r="BS103" i="4"/>
  <c r="BS99" i="4"/>
  <c r="BS95" i="4"/>
  <c r="BS91" i="4"/>
  <c r="BS87" i="4"/>
  <c r="BS83" i="4"/>
  <c r="BS79" i="4"/>
  <c r="BS75" i="4"/>
  <c r="BS71" i="4"/>
  <c r="BS67" i="4"/>
  <c r="BS63" i="4"/>
  <c r="BS59" i="4"/>
  <c r="BS55" i="4"/>
  <c r="BS51" i="4"/>
  <c r="BS47" i="4"/>
  <c r="BS43" i="4"/>
  <c r="BS39" i="4"/>
  <c r="BS35" i="4"/>
  <c r="BS31" i="4"/>
  <c r="BS27" i="4"/>
  <c r="BS23" i="4"/>
  <c r="BS19" i="4"/>
  <c r="BS15" i="4"/>
  <c r="BS11" i="4"/>
  <c r="BS7" i="4"/>
  <c r="BO294" i="4"/>
  <c r="BO290" i="4"/>
  <c r="BO286" i="4"/>
  <c r="BO282" i="4"/>
  <c r="BO278" i="4"/>
  <c r="BO274" i="4"/>
  <c r="BO270" i="4"/>
  <c r="BO266" i="4"/>
  <c r="BO262" i="4"/>
  <c r="BO258" i="4"/>
  <c r="BO254" i="4"/>
  <c r="BO250" i="4"/>
  <c r="BO246" i="4"/>
  <c r="BO242" i="4"/>
  <c r="BO238" i="4"/>
  <c r="BO234" i="4"/>
  <c r="BO230" i="4"/>
  <c r="BO226" i="4"/>
  <c r="BO222" i="4"/>
  <c r="BO218" i="4"/>
  <c r="BO214" i="4"/>
  <c r="BO210" i="4"/>
  <c r="BO206" i="4"/>
  <c r="BO202" i="4"/>
  <c r="BO198" i="4"/>
  <c r="BO194" i="4"/>
  <c r="BO190" i="4"/>
  <c r="BO186" i="4"/>
  <c r="BO182" i="4"/>
  <c r="BO178" i="4"/>
  <c r="BO174" i="4"/>
  <c r="BO170" i="4"/>
  <c r="BO166" i="4"/>
  <c r="BO162" i="4"/>
  <c r="BO158" i="4"/>
  <c r="BO154" i="4"/>
  <c r="BO150" i="4"/>
  <c r="BO146" i="4"/>
  <c r="BO142" i="4"/>
  <c r="BO138" i="4"/>
  <c r="BO134" i="4"/>
  <c r="BO130" i="4"/>
  <c r="BO126" i="4"/>
  <c r="BO122" i="4"/>
  <c r="BO118" i="4"/>
  <c r="BO114" i="4"/>
  <c r="BO110" i="4"/>
  <c r="BO106" i="4"/>
  <c r="BO102" i="4"/>
  <c r="BO98" i="4"/>
  <c r="BO94" i="4"/>
  <c r="BO90" i="4"/>
  <c r="BO86" i="4"/>
  <c r="BO82" i="4"/>
  <c r="BO78" i="4"/>
  <c r="BO74" i="4"/>
  <c r="BO70" i="4"/>
  <c r="BO66" i="4"/>
  <c r="BO62" i="4"/>
  <c r="BO58" i="4"/>
  <c r="BO54" i="4"/>
  <c r="BO50" i="4"/>
  <c r="BO46" i="4"/>
  <c r="BO42" i="4"/>
  <c r="BO38" i="4"/>
  <c r="BO34" i="4"/>
  <c r="BO30" i="4"/>
  <c r="BO26" i="4"/>
  <c r="BO22" i="4"/>
  <c r="BO18" i="4"/>
  <c r="BO14" i="4"/>
  <c r="BO10" i="4"/>
  <c r="BO6" i="4"/>
  <c r="BO2" i="4"/>
  <c r="BO293" i="4"/>
  <c r="BO289" i="4"/>
  <c r="BO285" i="4"/>
  <c r="BO281" i="4"/>
  <c r="BO277" i="4"/>
  <c r="BO273" i="4"/>
  <c r="BO269" i="4"/>
  <c r="BO265" i="4"/>
  <c r="BO261" i="4"/>
  <c r="BO257" i="4"/>
  <c r="BO253" i="4"/>
  <c r="BO249" i="4"/>
  <c r="BO245" i="4"/>
  <c r="BO241" i="4"/>
  <c r="BO237" i="4"/>
  <c r="BO233" i="4"/>
  <c r="BO229" i="4"/>
  <c r="BO225" i="4"/>
  <c r="BO221" i="4"/>
  <c r="BO217" i="4"/>
  <c r="BO213" i="4"/>
  <c r="BO209" i="4"/>
  <c r="BO205" i="4"/>
  <c r="BO201" i="4"/>
  <c r="BO197" i="4"/>
  <c r="BO193" i="4"/>
  <c r="BO189" i="4"/>
  <c r="BO185" i="4"/>
  <c r="BO181" i="4"/>
  <c r="BO177" i="4"/>
  <c r="BO173" i="4"/>
  <c r="BO169" i="4"/>
  <c r="BO165" i="4"/>
  <c r="BO161" i="4"/>
  <c r="BO157" i="4"/>
  <c r="BO153" i="4"/>
  <c r="BO149" i="4"/>
  <c r="BO145" i="4"/>
  <c r="BO141" i="4"/>
  <c r="BO137" i="4"/>
  <c r="BO133" i="4"/>
  <c r="BO129" i="4"/>
  <c r="BO125" i="4"/>
  <c r="BO121" i="4"/>
  <c r="BO117" i="4"/>
  <c r="BO113" i="4"/>
  <c r="BO109" i="4"/>
  <c r="BO105" i="4"/>
  <c r="BO101" i="4"/>
  <c r="BO97" i="4"/>
  <c r="BO93" i="4"/>
  <c r="BO89" i="4"/>
  <c r="BO85" i="4"/>
  <c r="BO81" i="4"/>
  <c r="BO77" i="4"/>
  <c r="BO73" i="4"/>
  <c r="BO69" i="4"/>
  <c r="BO65" i="4"/>
  <c r="BO61" i="4"/>
  <c r="BO57" i="4"/>
  <c r="BO53" i="4"/>
  <c r="BO49" i="4"/>
  <c r="BO45" i="4"/>
  <c r="BO41" i="4"/>
  <c r="BO37" i="4"/>
  <c r="BO33" i="4"/>
  <c r="BO29" i="4"/>
  <c r="BO25" i="4"/>
  <c r="BO21" i="4"/>
  <c r="BO17" i="4"/>
  <c r="BO13" i="4"/>
  <c r="BO9" i="4"/>
  <c r="BO5" i="4"/>
  <c r="BK5" i="4"/>
  <c r="BO296" i="4"/>
  <c r="BO292" i="4"/>
  <c r="BO288" i="4"/>
  <c r="BO284" i="4"/>
  <c r="BO280" i="4"/>
  <c r="BO276" i="4"/>
  <c r="BO272" i="4"/>
  <c r="BO268" i="4"/>
  <c r="BO264" i="4"/>
  <c r="BO260" i="4"/>
  <c r="BO256" i="4"/>
  <c r="BO252" i="4"/>
  <c r="BO248" i="4"/>
  <c r="BO244" i="4"/>
  <c r="BO240" i="4"/>
  <c r="BO236" i="4"/>
  <c r="BO232" i="4"/>
  <c r="BO228" i="4"/>
  <c r="BO224" i="4"/>
  <c r="BO220" i="4"/>
  <c r="BO216" i="4"/>
  <c r="BO212" i="4"/>
  <c r="BO208" i="4"/>
  <c r="BO204" i="4"/>
  <c r="BO200" i="4"/>
  <c r="BO196" i="4"/>
  <c r="BO192" i="4"/>
  <c r="BO188" i="4"/>
  <c r="BO184" i="4"/>
  <c r="BO180" i="4"/>
  <c r="BO176" i="4"/>
  <c r="BO172" i="4"/>
  <c r="BO168" i="4"/>
  <c r="BO164" i="4"/>
  <c r="BO160" i="4"/>
  <c r="BO156" i="4"/>
  <c r="BO152" i="4"/>
  <c r="BO148" i="4"/>
  <c r="BO144" i="4"/>
  <c r="BO140" i="4"/>
  <c r="BO136" i="4"/>
  <c r="BO132" i="4"/>
  <c r="BO128" i="4"/>
  <c r="BO124" i="4"/>
  <c r="BO120" i="4"/>
  <c r="BO116" i="4"/>
  <c r="BO112" i="4"/>
  <c r="BO108" i="4"/>
  <c r="BO104" i="4"/>
  <c r="BO100" i="4"/>
  <c r="BO96" i="4"/>
  <c r="BO92" i="4"/>
  <c r="BO88" i="4"/>
  <c r="BO84" i="4"/>
  <c r="BO80" i="4"/>
  <c r="BO76" i="4"/>
  <c r="BO72" i="4"/>
  <c r="BO68" i="4"/>
  <c r="BO64" i="4"/>
  <c r="BO60" i="4"/>
  <c r="BO56" i="4"/>
  <c r="BO52" i="4"/>
  <c r="BO48" i="4"/>
  <c r="BO44" i="4"/>
  <c r="BO40" i="4"/>
  <c r="BO36" i="4"/>
  <c r="BO32" i="4"/>
  <c r="BO28" i="4"/>
  <c r="BO24" i="4"/>
  <c r="BO20" i="4"/>
  <c r="BO16" i="4"/>
  <c r="BO12" i="4"/>
  <c r="BO8" i="4"/>
  <c r="BA277" i="4"/>
  <c r="BO295" i="4"/>
  <c r="BO291" i="4"/>
  <c r="BO287" i="4"/>
  <c r="BO283" i="4"/>
  <c r="BO279" i="4"/>
  <c r="BO275" i="4"/>
  <c r="BO271" i="4"/>
  <c r="BO267" i="4"/>
  <c r="BO263" i="4"/>
  <c r="BO259" i="4"/>
  <c r="BO255" i="4"/>
  <c r="BO251" i="4"/>
  <c r="BO247" i="4"/>
  <c r="BO243" i="4"/>
  <c r="BO239" i="4"/>
  <c r="BO235" i="4"/>
  <c r="BO231" i="4"/>
  <c r="BO227" i="4"/>
  <c r="BO223" i="4"/>
  <c r="BO219" i="4"/>
  <c r="BO215" i="4"/>
  <c r="BO211" i="4"/>
  <c r="BO207" i="4"/>
  <c r="BO203" i="4"/>
  <c r="BO199" i="4"/>
  <c r="BO195" i="4"/>
  <c r="BO191" i="4"/>
  <c r="BO187" i="4"/>
  <c r="BO183" i="4"/>
  <c r="BO179" i="4"/>
  <c r="BO175" i="4"/>
  <c r="BO171" i="4"/>
  <c r="BO167" i="4"/>
  <c r="BO163" i="4"/>
  <c r="BO159" i="4"/>
  <c r="BO155" i="4"/>
  <c r="BO151" i="4"/>
  <c r="BO147" i="4"/>
  <c r="BO143" i="4"/>
  <c r="BO139" i="4"/>
  <c r="BO135" i="4"/>
  <c r="BO131" i="4"/>
  <c r="BO127" i="4"/>
  <c r="BO123" i="4"/>
  <c r="BO119" i="4"/>
  <c r="BO115" i="4"/>
  <c r="BO111" i="4"/>
  <c r="BO107" i="4"/>
  <c r="BO103" i="4"/>
  <c r="BO99" i="4"/>
  <c r="BO95" i="4"/>
  <c r="BO91" i="4"/>
  <c r="BO87" i="4"/>
  <c r="BO83" i="4"/>
  <c r="BO79" i="4"/>
  <c r="BO75" i="4"/>
  <c r="BO71" i="4"/>
  <c r="BO67" i="4"/>
  <c r="BO63" i="4"/>
  <c r="BO59" i="4"/>
  <c r="BO55" i="4"/>
  <c r="BO51" i="4"/>
  <c r="BO47" i="4"/>
  <c r="BO43" i="4"/>
  <c r="BO39" i="4"/>
  <c r="BO35" i="4"/>
  <c r="BO31" i="4"/>
  <c r="BO27" i="4"/>
  <c r="BO23" i="4"/>
  <c r="BO19" i="4"/>
  <c r="BO15" i="4"/>
  <c r="BO11" i="4"/>
  <c r="BO7" i="4"/>
  <c r="BA293" i="4"/>
  <c r="BA261" i="4"/>
  <c r="BK294" i="4"/>
  <c r="BK290" i="4"/>
  <c r="BK286" i="4"/>
  <c r="BK282" i="4"/>
  <c r="BK278" i="4"/>
  <c r="BK274" i="4"/>
  <c r="BK270" i="4"/>
  <c r="BK266" i="4"/>
  <c r="BK262" i="4"/>
  <c r="BK258" i="4"/>
  <c r="BK254" i="4"/>
  <c r="BK250" i="4"/>
  <c r="BK246" i="4"/>
  <c r="BK242" i="4"/>
  <c r="BK238" i="4"/>
  <c r="BK234" i="4"/>
  <c r="BK230" i="4"/>
  <c r="BK226" i="4"/>
  <c r="BK222" i="4"/>
  <c r="BK218" i="4"/>
  <c r="BK214" i="4"/>
  <c r="BK210" i="4"/>
  <c r="BK206" i="4"/>
  <c r="BK202" i="4"/>
  <c r="BK198" i="4"/>
  <c r="BK194" i="4"/>
  <c r="BK190" i="4"/>
  <c r="BK186" i="4"/>
  <c r="BK182" i="4"/>
  <c r="BK178" i="4"/>
  <c r="BK174" i="4"/>
  <c r="BK170" i="4"/>
  <c r="BK166" i="4"/>
  <c r="BK162" i="4"/>
  <c r="BK158" i="4"/>
  <c r="BK154" i="4"/>
  <c r="BK150" i="4"/>
  <c r="BK146" i="4"/>
  <c r="BK142" i="4"/>
  <c r="BK138" i="4"/>
  <c r="BK134" i="4"/>
  <c r="BK130" i="4"/>
  <c r="BK126" i="4"/>
  <c r="BK122" i="4"/>
  <c r="BK118" i="4"/>
  <c r="BK114" i="4"/>
  <c r="BK110" i="4"/>
  <c r="BK106" i="4"/>
  <c r="BK102" i="4"/>
  <c r="BK98" i="4"/>
  <c r="BK94" i="4"/>
  <c r="BK90" i="4"/>
  <c r="BK86" i="4"/>
  <c r="BK82" i="4"/>
  <c r="BK78" i="4"/>
  <c r="BK74" i="4"/>
  <c r="BK70" i="4"/>
  <c r="BK66" i="4"/>
  <c r="BK62" i="4"/>
  <c r="BK58" i="4"/>
  <c r="BK54" i="4"/>
  <c r="BK50" i="4"/>
  <c r="BK46" i="4"/>
  <c r="BK42" i="4"/>
  <c r="BK38" i="4"/>
  <c r="BK34" i="4"/>
  <c r="BK30" i="4"/>
  <c r="BK26" i="4"/>
  <c r="BK22" i="4"/>
  <c r="BK18" i="4"/>
  <c r="BK14" i="4"/>
  <c r="BK10" i="4"/>
  <c r="BK6" i="4"/>
  <c r="BK2" i="4"/>
  <c r="BK293" i="4"/>
  <c r="BK289" i="4"/>
  <c r="BK285" i="4"/>
  <c r="BK281" i="4"/>
  <c r="BK277" i="4"/>
  <c r="BK273" i="4"/>
  <c r="BK269" i="4"/>
  <c r="BK265" i="4"/>
  <c r="BK261" i="4"/>
  <c r="BK257" i="4"/>
  <c r="BK253" i="4"/>
  <c r="BK249" i="4"/>
  <c r="BK245" i="4"/>
  <c r="BK241" i="4"/>
  <c r="BK237" i="4"/>
  <c r="BK233" i="4"/>
  <c r="BK229" i="4"/>
  <c r="BK225" i="4"/>
  <c r="BK221" i="4"/>
  <c r="BK217" i="4"/>
  <c r="BK213" i="4"/>
  <c r="BK209" i="4"/>
  <c r="BK205" i="4"/>
  <c r="BK201" i="4"/>
  <c r="BK197" i="4"/>
  <c r="BK193" i="4"/>
  <c r="BK189" i="4"/>
  <c r="BK185" i="4"/>
  <c r="BK181" i="4"/>
  <c r="BK177" i="4"/>
  <c r="BK173" i="4"/>
  <c r="BK169" i="4"/>
  <c r="BK165" i="4"/>
  <c r="BK161" i="4"/>
  <c r="BK157" i="4"/>
  <c r="BK153" i="4"/>
  <c r="BK149" i="4"/>
  <c r="BK145" i="4"/>
  <c r="BK141" i="4"/>
  <c r="BK137" i="4"/>
  <c r="BK133" i="4"/>
  <c r="BK129" i="4"/>
  <c r="BK125" i="4"/>
  <c r="BK121" i="4"/>
  <c r="BK117" i="4"/>
  <c r="BK113" i="4"/>
  <c r="BK109" i="4"/>
  <c r="BK105" i="4"/>
  <c r="BK101" i="4"/>
  <c r="BK97" i="4"/>
  <c r="BK93" i="4"/>
  <c r="BK89" i="4"/>
  <c r="BK85" i="4"/>
  <c r="BK81" i="4"/>
  <c r="BK77" i="4"/>
  <c r="BK73" i="4"/>
  <c r="BK69" i="4"/>
  <c r="BK65" i="4"/>
  <c r="BK61" i="4"/>
  <c r="BK57" i="4"/>
  <c r="BK53" i="4"/>
  <c r="BK49" i="4"/>
  <c r="BK45" i="4"/>
  <c r="BK41" i="4"/>
  <c r="BK37" i="4"/>
  <c r="BK33" i="4"/>
  <c r="BK29" i="4"/>
  <c r="BK25" i="4"/>
  <c r="BK21" i="4"/>
  <c r="BK17" i="4"/>
  <c r="BK13" i="4"/>
  <c r="BK9" i="4"/>
  <c r="BK296" i="4"/>
  <c r="BK292" i="4"/>
  <c r="BK288" i="4"/>
  <c r="BK284" i="4"/>
  <c r="BK280" i="4"/>
  <c r="BK276" i="4"/>
  <c r="BK272" i="4"/>
  <c r="BK268" i="4"/>
  <c r="BK264" i="4"/>
  <c r="BK260" i="4"/>
  <c r="BK256" i="4"/>
  <c r="BK252" i="4"/>
  <c r="BK248" i="4"/>
  <c r="BK244" i="4"/>
  <c r="BK240" i="4"/>
  <c r="BK236" i="4"/>
  <c r="BK232" i="4"/>
  <c r="BK228" i="4"/>
  <c r="BK224" i="4"/>
  <c r="BK220" i="4"/>
  <c r="BK216" i="4"/>
  <c r="BK212" i="4"/>
  <c r="BK208" i="4"/>
  <c r="BK204" i="4"/>
  <c r="BK200" i="4"/>
  <c r="BK196" i="4"/>
  <c r="BK192" i="4"/>
  <c r="BK188" i="4"/>
  <c r="BK184" i="4"/>
  <c r="BK180" i="4"/>
  <c r="BK176" i="4"/>
  <c r="BK172" i="4"/>
  <c r="BK168" i="4"/>
  <c r="BK164" i="4"/>
  <c r="BK160" i="4"/>
  <c r="BK156" i="4"/>
  <c r="BK152" i="4"/>
  <c r="BK148" i="4"/>
  <c r="BK144" i="4"/>
  <c r="BK140" i="4"/>
  <c r="BK136" i="4"/>
  <c r="BK132" i="4"/>
  <c r="BK128" i="4"/>
  <c r="BK124" i="4"/>
  <c r="BK120" i="4"/>
  <c r="BK116" i="4"/>
  <c r="BK112" i="4"/>
  <c r="BK108" i="4"/>
  <c r="BK104" i="4"/>
  <c r="BK100" i="4"/>
  <c r="BK96" i="4"/>
  <c r="BK92" i="4"/>
  <c r="BK88" i="4"/>
  <c r="BK84" i="4"/>
  <c r="BK80" i="4"/>
  <c r="BK76" i="4"/>
  <c r="BK72" i="4"/>
  <c r="BK68" i="4"/>
  <c r="BK64" i="4"/>
  <c r="BK60" i="4"/>
  <c r="BK56" i="4"/>
  <c r="BK52" i="4"/>
  <c r="BK48" i="4"/>
  <c r="BK44" i="4"/>
  <c r="BK40" i="4"/>
  <c r="BK36" i="4"/>
  <c r="BK32" i="4"/>
  <c r="BK28" i="4"/>
  <c r="BK24" i="4"/>
  <c r="BK20" i="4"/>
  <c r="BK16" i="4"/>
  <c r="BK12" i="4"/>
  <c r="BK8" i="4"/>
  <c r="BK4" i="4"/>
  <c r="BK295" i="4"/>
  <c r="BK291" i="4"/>
  <c r="BK287" i="4"/>
  <c r="BK283" i="4"/>
  <c r="BK279" i="4"/>
  <c r="BK275" i="4"/>
  <c r="BK271" i="4"/>
  <c r="BK267" i="4"/>
  <c r="BK263" i="4"/>
  <c r="BK259" i="4"/>
  <c r="BK255" i="4"/>
  <c r="BK251" i="4"/>
  <c r="BK247" i="4"/>
  <c r="BK243" i="4"/>
  <c r="BK239" i="4"/>
  <c r="BK235" i="4"/>
  <c r="BK231" i="4"/>
  <c r="BK227" i="4"/>
  <c r="BK223" i="4"/>
  <c r="BK219" i="4"/>
  <c r="BK215" i="4"/>
  <c r="BK211" i="4"/>
  <c r="BK207" i="4"/>
  <c r="BK203" i="4"/>
  <c r="BK199" i="4"/>
  <c r="BK195" i="4"/>
  <c r="BK191" i="4"/>
  <c r="BK187" i="4"/>
  <c r="BK183" i="4"/>
  <c r="BK179" i="4"/>
  <c r="BK175" i="4"/>
  <c r="BK171" i="4"/>
  <c r="BK167" i="4"/>
  <c r="BK163" i="4"/>
  <c r="BK159" i="4"/>
  <c r="BK155" i="4"/>
  <c r="BK151" i="4"/>
  <c r="BK147" i="4"/>
  <c r="BK143" i="4"/>
  <c r="BK139" i="4"/>
  <c r="BK135" i="4"/>
  <c r="BK131" i="4"/>
  <c r="BK127" i="4"/>
  <c r="BK123" i="4"/>
  <c r="BK119" i="4"/>
  <c r="BK115" i="4"/>
  <c r="BK111" i="4"/>
  <c r="BK107" i="4"/>
  <c r="BK103" i="4"/>
  <c r="BK99" i="4"/>
  <c r="BK95" i="4"/>
  <c r="BK91" i="4"/>
  <c r="BK87" i="4"/>
  <c r="BK83" i="4"/>
  <c r="BK79" i="4"/>
  <c r="BK75" i="4"/>
  <c r="BK71" i="4"/>
  <c r="BK67" i="4"/>
  <c r="BK63" i="4"/>
  <c r="BK59" i="4"/>
  <c r="BK55" i="4"/>
  <c r="BK51" i="4"/>
  <c r="BK47" i="4"/>
  <c r="BK43" i="4"/>
  <c r="BK39" i="4"/>
  <c r="BK35" i="4"/>
  <c r="BK31" i="4"/>
  <c r="BK27" i="4"/>
  <c r="BK23" i="4"/>
  <c r="BK19" i="4"/>
  <c r="BK15" i="4"/>
  <c r="BK11" i="4"/>
  <c r="BK7" i="4"/>
  <c r="BA3" i="4"/>
  <c r="BA289" i="4"/>
  <c r="BA273" i="4"/>
  <c r="BA257" i="4"/>
  <c r="BA285" i="4"/>
  <c r="BA269" i="4"/>
  <c r="BA253" i="4"/>
  <c r="AW3" i="4"/>
  <c r="BA2" i="4"/>
  <c r="BA281" i="4"/>
  <c r="BA265" i="4"/>
  <c r="BA249" i="4"/>
  <c r="BA294" i="4"/>
  <c r="BA290" i="4"/>
  <c r="BA286" i="4"/>
  <c r="BA282" i="4"/>
  <c r="BA278" i="4"/>
  <c r="BA274" i="4"/>
  <c r="BA270" i="4"/>
  <c r="BA266" i="4"/>
  <c r="BA262" i="4"/>
  <c r="BA258" i="4"/>
  <c r="BA254" i="4"/>
  <c r="BA250" i="4"/>
  <c r="BA246" i="4"/>
  <c r="BA242" i="4"/>
  <c r="BA238" i="4"/>
  <c r="BA234" i="4"/>
  <c r="BA230" i="4"/>
  <c r="BA226" i="4"/>
  <c r="BA222" i="4"/>
  <c r="BA218" i="4"/>
  <c r="BA214" i="4"/>
  <c r="BA210" i="4"/>
  <c r="BA206" i="4"/>
  <c r="BA202" i="4"/>
  <c r="BA198" i="4"/>
  <c r="BA194" i="4"/>
  <c r="BA190" i="4"/>
  <c r="BA186" i="4"/>
  <c r="BA182" i="4"/>
  <c r="BA178" i="4"/>
  <c r="BA174" i="4"/>
  <c r="BA170" i="4"/>
  <c r="BA166" i="4"/>
  <c r="BA162" i="4"/>
  <c r="BA158" i="4"/>
  <c r="BA154" i="4"/>
  <c r="BA150" i="4"/>
  <c r="BA146" i="4"/>
  <c r="BA142" i="4"/>
  <c r="BA138" i="4"/>
  <c r="BA134" i="4"/>
  <c r="BA130" i="4"/>
  <c r="BA126" i="4"/>
  <c r="BA122" i="4"/>
  <c r="BA118" i="4"/>
  <c r="BA114" i="4"/>
  <c r="BA110" i="4"/>
  <c r="BA106" i="4"/>
  <c r="BA102" i="4"/>
  <c r="BA98" i="4"/>
  <c r="BA94" i="4"/>
  <c r="BA90" i="4"/>
  <c r="BA86" i="4"/>
  <c r="BA82" i="4"/>
  <c r="BA78" i="4"/>
  <c r="BA74" i="4"/>
  <c r="BA70" i="4"/>
  <c r="BA66" i="4"/>
  <c r="BA62" i="4"/>
  <c r="BA58" i="4"/>
  <c r="BA54" i="4"/>
  <c r="BA50" i="4"/>
  <c r="BA46" i="4"/>
  <c r="BA42" i="4"/>
  <c r="BA38" i="4"/>
  <c r="BA34" i="4"/>
  <c r="BA30" i="4"/>
  <c r="BA26" i="4"/>
  <c r="BA22" i="4"/>
  <c r="BA18" i="4"/>
  <c r="BA14" i="4"/>
  <c r="BA10" i="4"/>
  <c r="BA6" i="4"/>
  <c r="BA245" i="4"/>
  <c r="BA241" i="4"/>
  <c r="BA237" i="4"/>
  <c r="BA233" i="4"/>
  <c r="BA229" i="4"/>
  <c r="BA225" i="4"/>
  <c r="BA221" i="4"/>
  <c r="BA217" i="4"/>
  <c r="BA213" i="4"/>
  <c r="BA209" i="4"/>
  <c r="BA205" i="4"/>
  <c r="BA201" i="4"/>
  <c r="BA197" i="4"/>
  <c r="BA193" i="4"/>
  <c r="BA189" i="4"/>
  <c r="BA185" i="4"/>
  <c r="BA181" i="4"/>
  <c r="BA177" i="4"/>
  <c r="BA173" i="4"/>
  <c r="BA169" i="4"/>
  <c r="BA165" i="4"/>
  <c r="BA161" i="4"/>
  <c r="BA157" i="4"/>
  <c r="BA153" i="4"/>
  <c r="BA149" i="4"/>
  <c r="BA145" i="4"/>
  <c r="BA141" i="4"/>
  <c r="BA137" i="4"/>
  <c r="BA133" i="4"/>
  <c r="BA129" i="4"/>
  <c r="BA125" i="4"/>
  <c r="BA121" i="4"/>
  <c r="BA117" i="4"/>
  <c r="BA113" i="4"/>
  <c r="BA109" i="4"/>
  <c r="BA105" i="4"/>
  <c r="BA101" i="4"/>
  <c r="BA97" i="4"/>
  <c r="BA93" i="4"/>
  <c r="BA89" i="4"/>
  <c r="BA85" i="4"/>
  <c r="BA81" i="4"/>
  <c r="BA77" i="4"/>
  <c r="BA73" i="4"/>
  <c r="BA69" i="4"/>
  <c r="BA65" i="4"/>
  <c r="BA61" i="4"/>
  <c r="BA57" i="4"/>
  <c r="BA53" i="4"/>
  <c r="BA49" i="4"/>
  <c r="BA45" i="4"/>
  <c r="BA41" i="4"/>
  <c r="BA37" i="4"/>
  <c r="BA33" i="4"/>
  <c r="BA29" i="4"/>
  <c r="BA25" i="4"/>
  <c r="BA21" i="4"/>
  <c r="BA17" i="4"/>
  <c r="BA13" i="4"/>
  <c r="BA9" i="4"/>
  <c r="BA5" i="4"/>
  <c r="AW5" i="4"/>
  <c r="BA296" i="4"/>
  <c r="BA292" i="4"/>
  <c r="BA284" i="4"/>
  <c r="BA280" i="4"/>
  <c r="BA276" i="4"/>
  <c r="BA272" i="4"/>
  <c r="BA268" i="4"/>
  <c r="BA264" i="4"/>
  <c r="BA260" i="4"/>
  <c r="BA256" i="4"/>
  <c r="BA252" i="4"/>
  <c r="BA248" i="4"/>
  <c r="BA244" i="4"/>
  <c r="BA240" i="4"/>
  <c r="BA236" i="4"/>
  <c r="BA232" i="4"/>
  <c r="BA228" i="4"/>
  <c r="BA224" i="4"/>
  <c r="BA220" i="4"/>
  <c r="BA216" i="4"/>
  <c r="BA212" i="4"/>
  <c r="BA208" i="4"/>
  <c r="BA204" i="4"/>
  <c r="BA200" i="4"/>
  <c r="BA196" i="4"/>
  <c r="BA192" i="4"/>
  <c r="BA188" i="4"/>
  <c r="BA184" i="4"/>
  <c r="BA180" i="4"/>
  <c r="BA176" i="4"/>
  <c r="BA172" i="4"/>
  <c r="BA168" i="4"/>
  <c r="BA164" i="4"/>
  <c r="BA160" i="4"/>
  <c r="BA156" i="4"/>
  <c r="BA152" i="4"/>
  <c r="BA148" i="4"/>
  <c r="BA144" i="4"/>
  <c r="BA140" i="4"/>
  <c r="BA136" i="4"/>
  <c r="BA132" i="4"/>
  <c r="BA128" i="4"/>
  <c r="BA124" i="4"/>
  <c r="BA120" i="4"/>
  <c r="BA116" i="4"/>
  <c r="BA112" i="4"/>
  <c r="BA108" i="4"/>
  <c r="BA104" i="4"/>
  <c r="BA100" i="4"/>
  <c r="BA96" i="4"/>
  <c r="BA92" i="4"/>
  <c r="BA88" i="4"/>
  <c r="BA84" i="4"/>
  <c r="BA80" i="4"/>
  <c r="BA76" i="4"/>
  <c r="BA72" i="4"/>
  <c r="BA68" i="4"/>
  <c r="BA64" i="4"/>
  <c r="BA60" i="4"/>
  <c r="BA56" i="4"/>
  <c r="BA52" i="4"/>
  <c r="BA48" i="4"/>
  <c r="BA44" i="4"/>
  <c r="BA40" i="4"/>
  <c r="BA36" i="4"/>
  <c r="BA32" i="4"/>
  <c r="BA28" i="4"/>
  <c r="BA24" i="4"/>
  <c r="BA20" i="4"/>
  <c r="BA16" i="4"/>
  <c r="BA12" i="4"/>
  <c r="BA8" i="4"/>
  <c r="BA4" i="4"/>
  <c r="AS3" i="4"/>
  <c r="BA295" i="4"/>
  <c r="BA291" i="4"/>
  <c r="BA287" i="4"/>
  <c r="BA283" i="4"/>
  <c r="BA279" i="4"/>
  <c r="BA275" i="4"/>
  <c r="BA271" i="4"/>
  <c r="BA267" i="4"/>
  <c r="BA263" i="4"/>
  <c r="BA259" i="4"/>
  <c r="BA255" i="4"/>
  <c r="BA251" i="4"/>
  <c r="BA247" i="4"/>
  <c r="BA243" i="4"/>
  <c r="BA239" i="4"/>
  <c r="BA235" i="4"/>
  <c r="BA231" i="4"/>
  <c r="BA227" i="4"/>
  <c r="BA223" i="4"/>
  <c r="BA219" i="4"/>
  <c r="BA215" i="4"/>
  <c r="BA211" i="4"/>
  <c r="BA207" i="4"/>
  <c r="BA203" i="4"/>
  <c r="BA199" i="4"/>
  <c r="BA195" i="4"/>
  <c r="BA191" i="4"/>
  <c r="BA187" i="4"/>
  <c r="BA183" i="4"/>
  <c r="BA179" i="4"/>
  <c r="BA175" i="4"/>
  <c r="BA171" i="4"/>
  <c r="BA167" i="4"/>
  <c r="BA163" i="4"/>
  <c r="BA159" i="4"/>
  <c r="BA155" i="4"/>
  <c r="BA151" i="4"/>
  <c r="BA147" i="4"/>
  <c r="BA143" i="4"/>
  <c r="BA139" i="4"/>
  <c r="BA135" i="4"/>
  <c r="BA131" i="4"/>
  <c r="BA127" i="4"/>
  <c r="BA123" i="4"/>
  <c r="BA119" i="4"/>
  <c r="BA115" i="4"/>
  <c r="BA111" i="4"/>
  <c r="BA107" i="4"/>
  <c r="BA103" i="4"/>
  <c r="BA99" i="4"/>
  <c r="BA95" i="4"/>
  <c r="BA91" i="4"/>
  <c r="BA87" i="4"/>
  <c r="BA83" i="4"/>
  <c r="BA79" i="4"/>
  <c r="BA75" i="4"/>
  <c r="BA71" i="4"/>
  <c r="BA67" i="4"/>
  <c r="BA63" i="4"/>
  <c r="BA59" i="4"/>
  <c r="BA55" i="4"/>
  <c r="BA51" i="4"/>
  <c r="BA47" i="4"/>
  <c r="BA43" i="4"/>
  <c r="BA39" i="4"/>
  <c r="BA35" i="4"/>
  <c r="BA31" i="4"/>
  <c r="BA27" i="4"/>
  <c r="BA23" i="4"/>
  <c r="BA19" i="4"/>
  <c r="BA15" i="4"/>
  <c r="BA11" i="4"/>
  <c r="BA7" i="4"/>
  <c r="AW294" i="4"/>
  <c r="AW290" i="4"/>
  <c r="AW286" i="4"/>
  <c r="AW282" i="4"/>
  <c r="AW278" i="4"/>
  <c r="AW274" i="4"/>
  <c r="AW270" i="4"/>
  <c r="AW266" i="4"/>
  <c r="AW262" i="4"/>
  <c r="AW258" i="4"/>
  <c r="AW254" i="4"/>
  <c r="AW250" i="4"/>
  <c r="AW246" i="4"/>
  <c r="AW242" i="4"/>
  <c r="AW238" i="4"/>
  <c r="AW234" i="4"/>
  <c r="AW230" i="4"/>
  <c r="AW226" i="4"/>
  <c r="AW222" i="4"/>
  <c r="AW218" i="4"/>
  <c r="AW214" i="4"/>
  <c r="AW210" i="4"/>
  <c r="AW206" i="4"/>
  <c r="AW202" i="4"/>
  <c r="AW198" i="4"/>
  <c r="AW194" i="4"/>
  <c r="AW190" i="4"/>
  <c r="AW186" i="4"/>
  <c r="AW182" i="4"/>
  <c r="AW178" i="4"/>
  <c r="AW174" i="4"/>
  <c r="AW170" i="4"/>
  <c r="AW166" i="4"/>
  <c r="AW162" i="4"/>
  <c r="AW158" i="4"/>
  <c r="AW154" i="4"/>
  <c r="AW150" i="4"/>
  <c r="AW146" i="4"/>
  <c r="AW142" i="4"/>
  <c r="AW138" i="4"/>
  <c r="AW134" i="4"/>
  <c r="AW130" i="4"/>
  <c r="AW126" i="4"/>
  <c r="AW122" i="4"/>
  <c r="AW118" i="4"/>
  <c r="AW114" i="4"/>
  <c r="AW110" i="4"/>
  <c r="AW106" i="4"/>
  <c r="AW102" i="4"/>
  <c r="AW98" i="4"/>
  <c r="AW94" i="4"/>
  <c r="AW90" i="4"/>
  <c r="AW86" i="4"/>
  <c r="AW82" i="4"/>
  <c r="AW78" i="4"/>
  <c r="AW74" i="4"/>
  <c r="AW70" i="4"/>
  <c r="AW66" i="4"/>
  <c r="AW62" i="4"/>
  <c r="AW58" i="4"/>
  <c r="AW54" i="4"/>
  <c r="AW50" i="4"/>
  <c r="AW46" i="4"/>
  <c r="AW42" i="4"/>
  <c r="AW38" i="4"/>
  <c r="AW34" i="4"/>
  <c r="AW30" i="4"/>
  <c r="AW26" i="4"/>
  <c r="AW22" i="4"/>
  <c r="AW18" i="4"/>
  <c r="AW14" i="4"/>
  <c r="AW10" i="4"/>
  <c r="AW6" i="4"/>
  <c r="AW2" i="4"/>
  <c r="AW293" i="4"/>
  <c r="AW289" i="4"/>
  <c r="AW285" i="4"/>
  <c r="AW281" i="4"/>
  <c r="AW277" i="4"/>
  <c r="AW273" i="4"/>
  <c r="AW269" i="4"/>
  <c r="AW265" i="4"/>
  <c r="AW261" i="4"/>
  <c r="AW257" i="4"/>
  <c r="AW253" i="4"/>
  <c r="AW249" i="4"/>
  <c r="AW245" i="4"/>
  <c r="AW241" i="4"/>
  <c r="AW237" i="4"/>
  <c r="AW233" i="4"/>
  <c r="AW229" i="4"/>
  <c r="AW225" i="4"/>
  <c r="AW221" i="4"/>
  <c r="AW217" i="4"/>
  <c r="AW213" i="4"/>
  <c r="AW209" i="4"/>
  <c r="AW205" i="4"/>
  <c r="AW201" i="4"/>
  <c r="AW197" i="4"/>
  <c r="AW193" i="4"/>
  <c r="AW189" i="4"/>
  <c r="AW185" i="4"/>
  <c r="AW181" i="4"/>
  <c r="AW177" i="4"/>
  <c r="AW173" i="4"/>
  <c r="AW169" i="4"/>
  <c r="AW165" i="4"/>
  <c r="AW161" i="4"/>
  <c r="AW157" i="4"/>
  <c r="AW153" i="4"/>
  <c r="AW149" i="4"/>
  <c r="AW145" i="4"/>
  <c r="AW141" i="4"/>
  <c r="AW137" i="4"/>
  <c r="AW133" i="4"/>
  <c r="AW129" i="4"/>
  <c r="AW125" i="4"/>
  <c r="AW121" i="4"/>
  <c r="AW117" i="4"/>
  <c r="AW113" i="4"/>
  <c r="AW109" i="4"/>
  <c r="AW105" i="4"/>
  <c r="AW101" i="4"/>
  <c r="AW97" i="4"/>
  <c r="AW93" i="4"/>
  <c r="AW89" i="4"/>
  <c r="AW85" i="4"/>
  <c r="AW81" i="4"/>
  <c r="AW77" i="4"/>
  <c r="AW73" i="4"/>
  <c r="AW69" i="4"/>
  <c r="AW65" i="4"/>
  <c r="AW61" i="4"/>
  <c r="AW57" i="4"/>
  <c r="AW53" i="4"/>
  <c r="AW49" i="4"/>
  <c r="AW45" i="4"/>
  <c r="AW41" i="4"/>
  <c r="AW37" i="4"/>
  <c r="AW33" i="4"/>
  <c r="AW29" i="4"/>
  <c r="AW25" i="4"/>
  <c r="AW21" i="4"/>
  <c r="AW17" i="4"/>
  <c r="AW13" i="4"/>
  <c r="AW9" i="4"/>
  <c r="AK6" i="4"/>
  <c r="AS225" i="4"/>
  <c r="AW296" i="4"/>
  <c r="AW292" i="4"/>
  <c r="AW288" i="4"/>
  <c r="AW284" i="4"/>
  <c r="AW280" i="4"/>
  <c r="AW276" i="4"/>
  <c r="AW272" i="4"/>
  <c r="AW268" i="4"/>
  <c r="AW264" i="4"/>
  <c r="AW260" i="4"/>
  <c r="AW256" i="4"/>
  <c r="AW252" i="4"/>
  <c r="AW248" i="4"/>
  <c r="AW244" i="4"/>
  <c r="AW240" i="4"/>
  <c r="AW236" i="4"/>
  <c r="AW232" i="4"/>
  <c r="AW228" i="4"/>
  <c r="AW224" i="4"/>
  <c r="AW220" i="4"/>
  <c r="AW216" i="4"/>
  <c r="AW212" i="4"/>
  <c r="AW208" i="4"/>
  <c r="AW204" i="4"/>
  <c r="AW200" i="4"/>
  <c r="AW196" i="4"/>
  <c r="AW192" i="4"/>
  <c r="AW188" i="4"/>
  <c r="AW184" i="4"/>
  <c r="AW180" i="4"/>
  <c r="AW176" i="4"/>
  <c r="AW172" i="4"/>
  <c r="AW168" i="4"/>
  <c r="AW164" i="4"/>
  <c r="AW160" i="4"/>
  <c r="AW156" i="4"/>
  <c r="AW152" i="4"/>
  <c r="AW148" i="4"/>
  <c r="AW144" i="4"/>
  <c r="AW140" i="4"/>
  <c r="AW136" i="4"/>
  <c r="AW132" i="4"/>
  <c r="AW128" i="4"/>
  <c r="AW124" i="4"/>
  <c r="AW120" i="4"/>
  <c r="AW116" i="4"/>
  <c r="AW112" i="4"/>
  <c r="AW108" i="4"/>
  <c r="AW104" i="4"/>
  <c r="AW100" i="4"/>
  <c r="AW96" i="4"/>
  <c r="AW92" i="4"/>
  <c r="AW88" i="4"/>
  <c r="AW84" i="4"/>
  <c r="AW80" i="4"/>
  <c r="AW76" i="4"/>
  <c r="AW72" i="4"/>
  <c r="AW68" i="4"/>
  <c r="AW64" i="4"/>
  <c r="AW60" i="4"/>
  <c r="AW56" i="4"/>
  <c r="AW52" i="4"/>
  <c r="AW48" i="4"/>
  <c r="AW44" i="4"/>
  <c r="AW40" i="4"/>
  <c r="AW36" i="4"/>
  <c r="AW32" i="4"/>
  <c r="AW28" i="4"/>
  <c r="AW24" i="4"/>
  <c r="AW20" i="4"/>
  <c r="AW16" i="4"/>
  <c r="AW12" i="4"/>
  <c r="AW8" i="4"/>
  <c r="AW4" i="4"/>
  <c r="AO3" i="4"/>
  <c r="AW295" i="4"/>
  <c r="AW291" i="4"/>
  <c r="AW287" i="4"/>
  <c r="AW283" i="4"/>
  <c r="AW279" i="4"/>
  <c r="AW275" i="4"/>
  <c r="AW271" i="4"/>
  <c r="AW267" i="4"/>
  <c r="AW263" i="4"/>
  <c r="AW259" i="4"/>
  <c r="AW255" i="4"/>
  <c r="AW251" i="4"/>
  <c r="AW247" i="4"/>
  <c r="AW243" i="4"/>
  <c r="AW239" i="4"/>
  <c r="AW235" i="4"/>
  <c r="AW231" i="4"/>
  <c r="AW227" i="4"/>
  <c r="AW223" i="4"/>
  <c r="AW219" i="4"/>
  <c r="AW215" i="4"/>
  <c r="AW211" i="4"/>
  <c r="AW207" i="4"/>
  <c r="AW203" i="4"/>
  <c r="AW199" i="4"/>
  <c r="AW195" i="4"/>
  <c r="AW191" i="4"/>
  <c r="AW187" i="4"/>
  <c r="AW183" i="4"/>
  <c r="AW179" i="4"/>
  <c r="AW175" i="4"/>
  <c r="AW171" i="4"/>
  <c r="AW167" i="4"/>
  <c r="AW163" i="4"/>
  <c r="AW159" i="4"/>
  <c r="AW155" i="4"/>
  <c r="AW151" i="4"/>
  <c r="AW147" i="4"/>
  <c r="AW143" i="4"/>
  <c r="AW139" i="4"/>
  <c r="AW135" i="4"/>
  <c r="AW131" i="4"/>
  <c r="AW127" i="4"/>
  <c r="AW123" i="4"/>
  <c r="AW119" i="4"/>
  <c r="AW115" i="4"/>
  <c r="AW111" i="4"/>
  <c r="AW107" i="4"/>
  <c r="AW103" i="4"/>
  <c r="AW99" i="4"/>
  <c r="AW95" i="4"/>
  <c r="AW91" i="4"/>
  <c r="AW87" i="4"/>
  <c r="AW83" i="4"/>
  <c r="AW79" i="4"/>
  <c r="AW75" i="4"/>
  <c r="AW71" i="4"/>
  <c r="AW67" i="4"/>
  <c r="AW63" i="4"/>
  <c r="AW59" i="4"/>
  <c r="AW55" i="4"/>
  <c r="AW51" i="4"/>
  <c r="AW47" i="4"/>
  <c r="AW43" i="4"/>
  <c r="AW39" i="4"/>
  <c r="AW35" i="4"/>
  <c r="AW31" i="4"/>
  <c r="AW27" i="4"/>
  <c r="AW23" i="4"/>
  <c r="AW19" i="4"/>
  <c r="AW15" i="4"/>
  <c r="AW11" i="4"/>
  <c r="AW7" i="4"/>
  <c r="AS294" i="4"/>
  <c r="AS290" i="4"/>
  <c r="AS286" i="4"/>
  <c r="AS282" i="4"/>
  <c r="AS278" i="4"/>
  <c r="AS274" i="4"/>
  <c r="AS270" i="4"/>
  <c r="AS266" i="4"/>
  <c r="AS262" i="4"/>
  <c r="AS258" i="4"/>
  <c r="AS254" i="4"/>
  <c r="AS250" i="4"/>
  <c r="AS246" i="4"/>
  <c r="AS242" i="4"/>
  <c r="AS238" i="4"/>
  <c r="AS234" i="4"/>
  <c r="AS230" i="4"/>
  <c r="AS226" i="4"/>
  <c r="AS222" i="4"/>
  <c r="AS218" i="4"/>
  <c r="AS214" i="4"/>
  <c r="AS210" i="4"/>
  <c r="AS206" i="4"/>
  <c r="AS202" i="4"/>
  <c r="AS198" i="4"/>
  <c r="AS194" i="4"/>
  <c r="AS190" i="4"/>
  <c r="AS186" i="4"/>
  <c r="AS182" i="4"/>
  <c r="AS178" i="4"/>
  <c r="AS174" i="4"/>
  <c r="AS170" i="4"/>
  <c r="AS166" i="4"/>
  <c r="AS162" i="4"/>
  <c r="AS158" i="4"/>
  <c r="AS154" i="4"/>
  <c r="AS150" i="4"/>
  <c r="AS146" i="4"/>
  <c r="AS142" i="4"/>
  <c r="AS138" i="4"/>
  <c r="AS134" i="4"/>
  <c r="AS130" i="4"/>
  <c r="AS126" i="4"/>
  <c r="AS122" i="4"/>
  <c r="AS118" i="4"/>
  <c r="AS114" i="4"/>
  <c r="AS110" i="4"/>
  <c r="AS106" i="4"/>
  <c r="AS102" i="4"/>
  <c r="AS98" i="4"/>
  <c r="AS94" i="4"/>
  <c r="AS90" i="4"/>
  <c r="AS86" i="4"/>
  <c r="AS82" i="4"/>
  <c r="AS78" i="4"/>
  <c r="AS74" i="4"/>
  <c r="AS70" i="4"/>
  <c r="AS66" i="4"/>
  <c r="AS62" i="4"/>
  <c r="AS58" i="4"/>
  <c r="AS54" i="4"/>
  <c r="AS50" i="4"/>
  <c r="AS46" i="4"/>
  <c r="AS42" i="4"/>
  <c r="AS38" i="4"/>
  <c r="AS34" i="4"/>
  <c r="AS30" i="4"/>
  <c r="AS26" i="4"/>
  <c r="AS22" i="4"/>
  <c r="AS18" i="4"/>
  <c r="AS14" i="4"/>
  <c r="AS10" i="4"/>
  <c r="AS6" i="4"/>
  <c r="AS2" i="4"/>
  <c r="AS293" i="4"/>
  <c r="AS289" i="4"/>
  <c r="AS285" i="4"/>
  <c r="AS281" i="4"/>
  <c r="AS277" i="4"/>
  <c r="AS273" i="4"/>
  <c r="AS269" i="4"/>
  <c r="AS265" i="4"/>
  <c r="AS261" i="4"/>
  <c r="AS257" i="4"/>
  <c r="AS253" i="4"/>
  <c r="AS249" i="4"/>
  <c r="AS245" i="4"/>
  <c r="AS241" i="4"/>
  <c r="AS237" i="4"/>
  <c r="AS233" i="4"/>
  <c r="AS229" i="4"/>
  <c r="AS221" i="4"/>
  <c r="AS217" i="4"/>
  <c r="AS213" i="4"/>
  <c r="AS209" i="4"/>
  <c r="AS205" i="4"/>
  <c r="AS201" i="4"/>
  <c r="AS197" i="4"/>
  <c r="AS193" i="4"/>
  <c r="AS189" i="4"/>
  <c r="AS185" i="4"/>
  <c r="AS181" i="4"/>
  <c r="AS177" i="4"/>
  <c r="AS173" i="4"/>
  <c r="AS169" i="4"/>
  <c r="AS165" i="4"/>
  <c r="AS161" i="4"/>
  <c r="AS157" i="4"/>
  <c r="AS153" i="4"/>
  <c r="AS149" i="4"/>
  <c r="AS145" i="4"/>
  <c r="AS141" i="4"/>
  <c r="AS137" i="4"/>
  <c r="AS133" i="4"/>
  <c r="AS129" i="4"/>
  <c r="AS125" i="4"/>
  <c r="AS121" i="4"/>
  <c r="AS117" i="4"/>
  <c r="AS113" i="4"/>
  <c r="AS109" i="4"/>
  <c r="AS105" i="4"/>
  <c r="AS101" i="4"/>
  <c r="AS97" i="4"/>
  <c r="AS93" i="4"/>
  <c r="AS89" i="4"/>
  <c r="AS85" i="4"/>
  <c r="AS81" i="4"/>
  <c r="AS77" i="4"/>
  <c r="AS73" i="4"/>
  <c r="AS69" i="4"/>
  <c r="AS65" i="4"/>
  <c r="AS61" i="4"/>
  <c r="AS57" i="4"/>
  <c r="AS53" i="4"/>
  <c r="AS49" i="4"/>
  <c r="AS45" i="4"/>
  <c r="AS41" i="4"/>
  <c r="AS37" i="4"/>
  <c r="AS33" i="4"/>
  <c r="AS29" i="4"/>
  <c r="AS25" i="4"/>
  <c r="AS21" i="4"/>
  <c r="AS17" i="4"/>
  <c r="AS13" i="4"/>
  <c r="AS9" i="4"/>
  <c r="AS5" i="4"/>
  <c r="AO6" i="4"/>
  <c r="AS296" i="4"/>
  <c r="AS292" i="4"/>
  <c r="AS288" i="4"/>
  <c r="AS284" i="4"/>
  <c r="AS280" i="4"/>
  <c r="AS276" i="4"/>
  <c r="AS272" i="4"/>
  <c r="AS268" i="4"/>
  <c r="AS264" i="4"/>
  <c r="AS260" i="4"/>
  <c r="AS256" i="4"/>
  <c r="AS252" i="4"/>
  <c r="AS248" i="4"/>
  <c r="AS244" i="4"/>
  <c r="AS240" i="4"/>
  <c r="AS236" i="4"/>
  <c r="AS232" i="4"/>
  <c r="AS228" i="4"/>
  <c r="AS224" i="4"/>
  <c r="AS220" i="4"/>
  <c r="AS216" i="4"/>
  <c r="AS212" i="4"/>
  <c r="AS208" i="4"/>
  <c r="AS204" i="4"/>
  <c r="AS200" i="4"/>
  <c r="AS196" i="4"/>
  <c r="AS192" i="4"/>
  <c r="AS188" i="4"/>
  <c r="AS184" i="4"/>
  <c r="AS180" i="4"/>
  <c r="AS176" i="4"/>
  <c r="AS172" i="4"/>
  <c r="AS168" i="4"/>
  <c r="AS164" i="4"/>
  <c r="AS160" i="4"/>
  <c r="AS156" i="4"/>
  <c r="AS152" i="4"/>
  <c r="AS148" i="4"/>
  <c r="AS144" i="4"/>
  <c r="AS140" i="4"/>
  <c r="AS136" i="4"/>
  <c r="AS132" i="4"/>
  <c r="AS128" i="4"/>
  <c r="AS124" i="4"/>
  <c r="AS120" i="4"/>
  <c r="AS116" i="4"/>
  <c r="AS112" i="4"/>
  <c r="AS108" i="4"/>
  <c r="AS104" i="4"/>
  <c r="AS100" i="4"/>
  <c r="AS96" i="4"/>
  <c r="AS92" i="4"/>
  <c r="AS88" i="4"/>
  <c r="AS84" i="4"/>
  <c r="AS80" i="4"/>
  <c r="AS76" i="4"/>
  <c r="AS72" i="4"/>
  <c r="AS68" i="4"/>
  <c r="AS64" i="4"/>
  <c r="AS60" i="4"/>
  <c r="AS56" i="4"/>
  <c r="AS52" i="4"/>
  <c r="AS48" i="4"/>
  <c r="AS44" i="4"/>
  <c r="AS40" i="4"/>
  <c r="AS36" i="4"/>
  <c r="AS32" i="4"/>
  <c r="AS28" i="4"/>
  <c r="AS24" i="4"/>
  <c r="AS20" i="4"/>
  <c r="AS16" i="4"/>
  <c r="AS12" i="4"/>
  <c r="AS8" i="4"/>
  <c r="AS4" i="4"/>
  <c r="AS295" i="4"/>
  <c r="AS291" i="4"/>
  <c r="AS287" i="4"/>
  <c r="AS283" i="4"/>
  <c r="AS279" i="4"/>
  <c r="AS275" i="4"/>
  <c r="AS271" i="4"/>
  <c r="AS267" i="4"/>
  <c r="AS263" i="4"/>
  <c r="AS259" i="4"/>
  <c r="AS255" i="4"/>
  <c r="AS251" i="4"/>
  <c r="AS247" i="4"/>
  <c r="AS243" i="4"/>
  <c r="AS239" i="4"/>
  <c r="AS235" i="4"/>
  <c r="AS231" i="4"/>
  <c r="AS227" i="4"/>
  <c r="AS223" i="4"/>
  <c r="AS219" i="4"/>
  <c r="AS215" i="4"/>
  <c r="AS211" i="4"/>
  <c r="AS207" i="4"/>
  <c r="AS203" i="4"/>
  <c r="AS199" i="4"/>
  <c r="AS195" i="4"/>
  <c r="AS191" i="4"/>
  <c r="AS187" i="4"/>
  <c r="AS183" i="4"/>
  <c r="AS179" i="4"/>
  <c r="AS175" i="4"/>
  <c r="AS171" i="4"/>
  <c r="AS167" i="4"/>
  <c r="AS163" i="4"/>
  <c r="AS159" i="4"/>
  <c r="AS155" i="4"/>
  <c r="AS151" i="4"/>
  <c r="AS147" i="4"/>
  <c r="AS143" i="4"/>
  <c r="AS139" i="4"/>
  <c r="AS135" i="4"/>
  <c r="AS131" i="4"/>
  <c r="AS127" i="4"/>
  <c r="AS123" i="4"/>
  <c r="AS119" i="4"/>
  <c r="AS115" i="4"/>
  <c r="AS111" i="4"/>
  <c r="AS107" i="4"/>
  <c r="AS103" i="4"/>
  <c r="AS99" i="4"/>
  <c r="AS95" i="4"/>
  <c r="AS91" i="4"/>
  <c r="AS87" i="4"/>
  <c r="AS83" i="4"/>
  <c r="AS79" i="4"/>
  <c r="AS75" i="4"/>
  <c r="AS71" i="4"/>
  <c r="AS67" i="4"/>
  <c r="AS63" i="4"/>
  <c r="AS59" i="4"/>
  <c r="AS55" i="4"/>
  <c r="AS51" i="4"/>
  <c r="AS47" i="4"/>
  <c r="AS43" i="4"/>
  <c r="AS39" i="4"/>
  <c r="AS35" i="4"/>
  <c r="AS31" i="4"/>
  <c r="AS27" i="4"/>
  <c r="AS23" i="4"/>
  <c r="AS19" i="4"/>
  <c r="AS15" i="4"/>
  <c r="AS11" i="4"/>
  <c r="AS7" i="4"/>
  <c r="AO294" i="4"/>
  <c r="AO290" i="4"/>
  <c r="AO286" i="4"/>
  <c r="AO282" i="4"/>
  <c r="AO278" i="4"/>
  <c r="AO274" i="4"/>
  <c r="AO270" i="4"/>
  <c r="AO266" i="4"/>
  <c r="AO262" i="4"/>
  <c r="AO258" i="4"/>
  <c r="AO254" i="4"/>
  <c r="AO250" i="4"/>
  <c r="AO246" i="4"/>
  <c r="AO242" i="4"/>
  <c r="AO238" i="4"/>
  <c r="AO234" i="4"/>
  <c r="AO230" i="4"/>
  <c r="AO226" i="4"/>
  <c r="AO222" i="4"/>
  <c r="AO218" i="4"/>
  <c r="AO214" i="4"/>
  <c r="AO210" i="4"/>
  <c r="AO206" i="4"/>
  <c r="AO202" i="4"/>
  <c r="AO198" i="4"/>
  <c r="AO194" i="4"/>
  <c r="AO190" i="4"/>
  <c r="AO186" i="4"/>
  <c r="AO182" i="4"/>
  <c r="AO178" i="4"/>
  <c r="AO174" i="4"/>
  <c r="AO170" i="4"/>
  <c r="AO166" i="4"/>
  <c r="AO162" i="4"/>
  <c r="AO158" i="4"/>
  <c r="AO154" i="4"/>
  <c r="AO150" i="4"/>
  <c r="AO146" i="4"/>
  <c r="AO142" i="4"/>
  <c r="AO138" i="4"/>
  <c r="AO134" i="4"/>
  <c r="AO130" i="4"/>
  <c r="AO126" i="4"/>
  <c r="AO122" i="4"/>
  <c r="AO118" i="4"/>
  <c r="AO114" i="4"/>
  <c r="AO110" i="4"/>
  <c r="AO106" i="4"/>
  <c r="AO102" i="4"/>
  <c r="AO98" i="4"/>
  <c r="AO94" i="4"/>
  <c r="AO90" i="4"/>
  <c r="AO86" i="4"/>
  <c r="AO82" i="4"/>
  <c r="AO78" i="4"/>
  <c r="AO74" i="4"/>
  <c r="AO70" i="4"/>
  <c r="AO66" i="4"/>
  <c r="AO62" i="4"/>
  <c r="AO58" i="4"/>
  <c r="AO54" i="4"/>
  <c r="AO50" i="4"/>
  <c r="AO46" i="4"/>
  <c r="AO42" i="4"/>
  <c r="AO38" i="4"/>
  <c r="AO34" i="4"/>
  <c r="AO30" i="4"/>
  <c r="AO26" i="4"/>
  <c r="AO22" i="4"/>
  <c r="AO18" i="4"/>
  <c r="AO14" i="4"/>
  <c r="AO10" i="4"/>
  <c r="AO2" i="4"/>
  <c r="AO293" i="4"/>
  <c r="AO289" i="4"/>
  <c r="AO285" i="4"/>
  <c r="AO281" i="4"/>
  <c r="AO277" i="4"/>
  <c r="AO273" i="4"/>
  <c r="AO269" i="4"/>
  <c r="AO265" i="4"/>
  <c r="AO261" i="4"/>
  <c r="AO257" i="4"/>
  <c r="AO253" i="4"/>
  <c r="AO249" i="4"/>
  <c r="AO245" i="4"/>
  <c r="AO241" i="4"/>
  <c r="AO237" i="4"/>
  <c r="AO233" i="4"/>
  <c r="AO229" i="4"/>
  <c r="AO225" i="4"/>
  <c r="AO221" i="4"/>
  <c r="AO217" i="4"/>
  <c r="AO213" i="4"/>
  <c r="AO209" i="4"/>
  <c r="AO205" i="4"/>
  <c r="AO201" i="4"/>
  <c r="AO197" i="4"/>
  <c r="AO193" i="4"/>
  <c r="AO189" i="4"/>
  <c r="AO185" i="4"/>
  <c r="AO181" i="4"/>
  <c r="AO177" i="4"/>
  <c r="AO173" i="4"/>
  <c r="AO169" i="4"/>
  <c r="AO165" i="4"/>
  <c r="AO161" i="4"/>
  <c r="AO157" i="4"/>
  <c r="AO153" i="4"/>
  <c r="AO149" i="4"/>
  <c r="AO145" i="4"/>
  <c r="AO141" i="4"/>
  <c r="AO137" i="4"/>
  <c r="AO133" i="4"/>
  <c r="AO129" i="4"/>
  <c r="AO125" i="4"/>
  <c r="AO121" i="4"/>
  <c r="AO117" i="4"/>
  <c r="AO113" i="4"/>
  <c r="AO109" i="4"/>
  <c r="AO105" i="4"/>
  <c r="AO101" i="4"/>
  <c r="AO97" i="4"/>
  <c r="AO93" i="4"/>
  <c r="AO89" i="4"/>
  <c r="AO85" i="4"/>
  <c r="AO81" i="4"/>
  <c r="AO77" i="4"/>
  <c r="AO73" i="4"/>
  <c r="AO69" i="4"/>
  <c r="AO65" i="4"/>
  <c r="AO61" i="4"/>
  <c r="AO57" i="4"/>
  <c r="AO53" i="4"/>
  <c r="AO49" i="4"/>
  <c r="AO45" i="4"/>
  <c r="AO41" i="4"/>
  <c r="AO37" i="4"/>
  <c r="AO33" i="4"/>
  <c r="AO29" i="4"/>
  <c r="AO25" i="4"/>
  <c r="AO21" i="4"/>
  <c r="AO17" i="4"/>
  <c r="AO13" i="4"/>
  <c r="AO9" i="4"/>
  <c r="AO5" i="4"/>
  <c r="AO296" i="4"/>
  <c r="AO292" i="4"/>
  <c r="AO288" i="4"/>
  <c r="AO284" i="4"/>
  <c r="AO280" i="4"/>
  <c r="AO276" i="4"/>
  <c r="AO272" i="4"/>
  <c r="AO268" i="4"/>
  <c r="AO264" i="4"/>
  <c r="AO260" i="4"/>
  <c r="AO256" i="4"/>
  <c r="AO252" i="4"/>
  <c r="AO248" i="4"/>
  <c r="AO244" i="4"/>
  <c r="AO240" i="4"/>
  <c r="AO236" i="4"/>
  <c r="AO232" i="4"/>
  <c r="AO228" i="4"/>
  <c r="AO224" i="4"/>
  <c r="AO220" i="4"/>
  <c r="AO216" i="4"/>
  <c r="AO212" i="4"/>
  <c r="AO208" i="4"/>
  <c r="AO204" i="4"/>
  <c r="AO200" i="4"/>
  <c r="AO196" i="4"/>
  <c r="AO192" i="4"/>
  <c r="AO188" i="4"/>
  <c r="AO184" i="4"/>
  <c r="AO180" i="4"/>
  <c r="AO176" i="4"/>
  <c r="AO172" i="4"/>
  <c r="AO168" i="4"/>
  <c r="AO164" i="4"/>
  <c r="AO160" i="4"/>
  <c r="AO156" i="4"/>
  <c r="AO152" i="4"/>
  <c r="AO148" i="4"/>
  <c r="AO144" i="4"/>
  <c r="AO140" i="4"/>
  <c r="AO136" i="4"/>
  <c r="AO132" i="4"/>
  <c r="AO128" i="4"/>
  <c r="AO124" i="4"/>
  <c r="AO120" i="4"/>
  <c r="AO116" i="4"/>
  <c r="AO112" i="4"/>
  <c r="AO108" i="4"/>
  <c r="AO104" i="4"/>
  <c r="AO100" i="4"/>
  <c r="AO96" i="4"/>
  <c r="AO92" i="4"/>
  <c r="AO88" i="4"/>
  <c r="AO84" i="4"/>
  <c r="AO80" i="4"/>
  <c r="AO76" i="4"/>
  <c r="AO72" i="4"/>
  <c r="AO68" i="4"/>
  <c r="AO64" i="4"/>
  <c r="AO60" i="4"/>
  <c r="AO56" i="4"/>
  <c r="AO52" i="4"/>
  <c r="AO48" i="4"/>
  <c r="AO44" i="4"/>
  <c r="AO40" i="4"/>
  <c r="AO36" i="4"/>
  <c r="AO32" i="4"/>
  <c r="AO28" i="4"/>
  <c r="AO24" i="4"/>
  <c r="AO20" i="4"/>
  <c r="AO16" i="4"/>
  <c r="AO12" i="4"/>
  <c r="AO8" i="4"/>
  <c r="AO4" i="4"/>
  <c r="AG3" i="4"/>
  <c r="AO295" i="4"/>
  <c r="AO291" i="4"/>
  <c r="AO287" i="4"/>
  <c r="AO283" i="4"/>
  <c r="AO279" i="4"/>
  <c r="AO275" i="4"/>
  <c r="AO271" i="4"/>
  <c r="AO267" i="4"/>
  <c r="AO263" i="4"/>
  <c r="AO259" i="4"/>
  <c r="AO255" i="4"/>
  <c r="AO251" i="4"/>
  <c r="AO247" i="4"/>
  <c r="AO243" i="4"/>
  <c r="AO239" i="4"/>
  <c r="AO235" i="4"/>
  <c r="AO231" i="4"/>
  <c r="AO227" i="4"/>
  <c r="AO223" i="4"/>
  <c r="AO219" i="4"/>
  <c r="AO215" i="4"/>
  <c r="AO211" i="4"/>
  <c r="AO207" i="4"/>
  <c r="AO203" i="4"/>
  <c r="AO199" i="4"/>
  <c r="AO195" i="4"/>
  <c r="AO191" i="4"/>
  <c r="AO187" i="4"/>
  <c r="AO183" i="4"/>
  <c r="AO179" i="4"/>
  <c r="AO175" i="4"/>
  <c r="AO171" i="4"/>
  <c r="AO167" i="4"/>
  <c r="AO163" i="4"/>
  <c r="AO159" i="4"/>
  <c r="AO155" i="4"/>
  <c r="AO151" i="4"/>
  <c r="AO147" i="4"/>
  <c r="AO143" i="4"/>
  <c r="AO139" i="4"/>
  <c r="AO135" i="4"/>
  <c r="AO131" i="4"/>
  <c r="AO127" i="4"/>
  <c r="AO123" i="4"/>
  <c r="AO119" i="4"/>
  <c r="AO115" i="4"/>
  <c r="AO111" i="4"/>
  <c r="AO107" i="4"/>
  <c r="AO103" i="4"/>
  <c r="AO99" i="4"/>
  <c r="AO95" i="4"/>
  <c r="AO91" i="4"/>
  <c r="AO87" i="4"/>
  <c r="AO83" i="4"/>
  <c r="AO79" i="4"/>
  <c r="AO75" i="4"/>
  <c r="AO71" i="4"/>
  <c r="AO67" i="4"/>
  <c r="AO63" i="4"/>
  <c r="AO59" i="4"/>
  <c r="AO55" i="4"/>
  <c r="AO51" i="4"/>
  <c r="AO47" i="4"/>
  <c r="AO43" i="4"/>
  <c r="AO39" i="4"/>
  <c r="AO35" i="4"/>
  <c r="AO31" i="4"/>
  <c r="AO27" i="4"/>
  <c r="AO23" i="4"/>
  <c r="AO19" i="4"/>
  <c r="AO15" i="4"/>
  <c r="AO11" i="4"/>
  <c r="AO7" i="4"/>
  <c r="AK3" i="4"/>
  <c r="AK294" i="4"/>
  <c r="AK290" i="4"/>
  <c r="AK286" i="4"/>
  <c r="AK282" i="4"/>
  <c r="AK278" i="4"/>
  <c r="AK274" i="4"/>
  <c r="AK270" i="4"/>
  <c r="AK266" i="4"/>
  <c r="AK262" i="4"/>
  <c r="AK258" i="4"/>
  <c r="AK254" i="4"/>
  <c r="AK250" i="4"/>
  <c r="AK246" i="4"/>
  <c r="AK242" i="4"/>
  <c r="AK238" i="4"/>
  <c r="AK234" i="4"/>
  <c r="AK230" i="4"/>
  <c r="AK226" i="4"/>
  <c r="AK222" i="4"/>
  <c r="AK218" i="4"/>
  <c r="AK214" i="4"/>
  <c r="AK210" i="4"/>
  <c r="AK206" i="4"/>
  <c r="AK202" i="4"/>
  <c r="AK198" i="4"/>
  <c r="AK194" i="4"/>
  <c r="AK190" i="4"/>
  <c r="AK186" i="4"/>
  <c r="AK182" i="4"/>
  <c r="AK178" i="4"/>
  <c r="AK174" i="4"/>
  <c r="AK170" i="4"/>
  <c r="AK166" i="4"/>
  <c r="AK162" i="4"/>
  <c r="AK158" i="4"/>
  <c r="AK154" i="4"/>
  <c r="AK150" i="4"/>
  <c r="AK146" i="4"/>
  <c r="AK142" i="4"/>
  <c r="AK138" i="4"/>
  <c r="AK134" i="4"/>
  <c r="AK130" i="4"/>
  <c r="AK126" i="4"/>
  <c r="AK122" i="4"/>
  <c r="AK118" i="4"/>
  <c r="AK114" i="4"/>
  <c r="AK110" i="4"/>
  <c r="AK106" i="4"/>
  <c r="AK102" i="4"/>
  <c r="AK98" i="4"/>
  <c r="AK94" i="4"/>
  <c r="AK90" i="4"/>
  <c r="AK86" i="4"/>
  <c r="AK82" i="4"/>
  <c r="AK78" i="4"/>
  <c r="AK74" i="4"/>
  <c r="AK70" i="4"/>
  <c r="AK66" i="4"/>
  <c r="AK62" i="4"/>
  <c r="AK58" i="4"/>
  <c r="AK54" i="4"/>
  <c r="AK50" i="4"/>
  <c r="AK46" i="4"/>
  <c r="AK42" i="4"/>
  <c r="AK38" i="4"/>
  <c r="AK34" i="4"/>
  <c r="AK30" i="4"/>
  <c r="AK26" i="4"/>
  <c r="AK22" i="4"/>
  <c r="AK18" i="4"/>
  <c r="AK14" i="4"/>
  <c r="AK10" i="4"/>
  <c r="AK2" i="4"/>
  <c r="AK293" i="4"/>
  <c r="AK289" i="4"/>
  <c r="AK285" i="4"/>
  <c r="AK281" i="4"/>
  <c r="AK277" i="4"/>
  <c r="AK273" i="4"/>
  <c r="AK269" i="4"/>
  <c r="AK265" i="4"/>
  <c r="AK261" i="4"/>
  <c r="AK257" i="4"/>
  <c r="AK253" i="4"/>
  <c r="AK249" i="4"/>
  <c r="AK245" i="4"/>
  <c r="AK241" i="4"/>
  <c r="AK237" i="4"/>
  <c r="AK233" i="4"/>
  <c r="AK229" i="4"/>
  <c r="AK225" i="4"/>
  <c r="AK221" i="4"/>
  <c r="AK217" i="4"/>
  <c r="AK213" i="4"/>
  <c r="AK209" i="4"/>
  <c r="AK205" i="4"/>
  <c r="AK201" i="4"/>
  <c r="AK197" i="4"/>
  <c r="AK193" i="4"/>
  <c r="AK189" i="4"/>
  <c r="AK185" i="4"/>
  <c r="AK181" i="4"/>
  <c r="AK177" i="4"/>
  <c r="AK173" i="4"/>
  <c r="AK169" i="4"/>
  <c r="AK165" i="4"/>
  <c r="AK161" i="4"/>
  <c r="AK157" i="4"/>
  <c r="AK153" i="4"/>
  <c r="AK149" i="4"/>
  <c r="AK145" i="4"/>
  <c r="AK141" i="4"/>
  <c r="AK137" i="4"/>
  <c r="AK133" i="4"/>
  <c r="AK129" i="4"/>
  <c r="AK125" i="4"/>
  <c r="AK121" i="4"/>
  <c r="AK117" i="4"/>
  <c r="AK113" i="4"/>
  <c r="AK109" i="4"/>
  <c r="AK105" i="4"/>
  <c r="AK101" i="4"/>
  <c r="AK97" i="4"/>
  <c r="AK93" i="4"/>
  <c r="AK89" i="4"/>
  <c r="AK85" i="4"/>
  <c r="AK81" i="4"/>
  <c r="AK77" i="4"/>
  <c r="AK73" i="4"/>
  <c r="AK69" i="4"/>
  <c r="AK65" i="4"/>
  <c r="AK61" i="4"/>
  <c r="AK57" i="4"/>
  <c r="AK53" i="4"/>
  <c r="AK49" i="4"/>
  <c r="AK45" i="4"/>
  <c r="AK41" i="4"/>
  <c r="AK37" i="4"/>
  <c r="AK33" i="4"/>
  <c r="AK29" i="4"/>
  <c r="AK25" i="4"/>
  <c r="AK21" i="4"/>
  <c r="AK17" i="4"/>
  <c r="AK13" i="4"/>
  <c r="AK9" i="4"/>
  <c r="AK5" i="4"/>
  <c r="AG269" i="4"/>
  <c r="AK296" i="4"/>
  <c r="AK292" i="4"/>
  <c r="AK288" i="4"/>
  <c r="AK284" i="4"/>
  <c r="AK280" i="4"/>
  <c r="AK276" i="4"/>
  <c r="AK272" i="4"/>
  <c r="AK268" i="4"/>
  <c r="AK264" i="4"/>
  <c r="AK260" i="4"/>
  <c r="AK256" i="4"/>
  <c r="AK252" i="4"/>
  <c r="AK248" i="4"/>
  <c r="AK244" i="4"/>
  <c r="AK240" i="4"/>
  <c r="AK236" i="4"/>
  <c r="AK232" i="4"/>
  <c r="AK228" i="4"/>
  <c r="AK224" i="4"/>
  <c r="AK220" i="4"/>
  <c r="AK216" i="4"/>
  <c r="AK212" i="4"/>
  <c r="AK208" i="4"/>
  <c r="AK204" i="4"/>
  <c r="AK200" i="4"/>
  <c r="AK196" i="4"/>
  <c r="AK192" i="4"/>
  <c r="AK188" i="4"/>
  <c r="AK184" i="4"/>
  <c r="AK180" i="4"/>
  <c r="AK176" i="4"/>
  <c r="AK172" i="4"/>
  <c r="AK168" i="4"/>
  <c r="AK164" i="4"/>
  <c r="AK160" i="4"/>
  <c r="AK156" i="4"/>
  <c r="AK152" i="4"/>
  <c r="AK148" i="4"/>
  <c r="AK144" i="4"/>
  <c r="AK140" i="4"/>
  <c r="AK136" i="4"/>
  <c r="AK132" i="4"/>
  <c r="AK128" i="4"/>
  <c r="AK124" i="4"/>
  <c r="AK120" i="4"/>
  <c r="AK116" i="4"/>
  <c r="AK112" i="4"/>
  <c r="AK108" i="4"/>
  <c r="AK104" i="4"/>
  <c r="AK100" i="4"/>
  <c r="AK96" i="4"/>
  <c r="AK92" i="4"/>
  <c r="AK88" i="4"/>
  <c r="AK84" i="4"/>
  <c r="AK80" i="4"/>
  <c r="AK76" i="4"/>
  <c r="AK72" i="4"/>
  <c r="AK68" i="4"/>
  <c r="AK64" i="4"/>
  <c r="AK60" i="4"/>
  <c r="AK56" i="4"/>
  <c r="AK52" i="4"/>
  <c r="AK48" i="4"/>
  <c r="AK44" i="4"/>
  <c r="AK40" i="4"/>
  <c r="AK36" i="4"/>
  <c r="AK32" i="4"/>
  <c r="AK28" i="4"/>
  <c r="AK24" i="4"/>
  <c r="AK20" i="4"/>
  <c r="AK16" i="4"/>
  <c r="AK12" i="4"/>
  <c r="AK8" i="4"/>
  <c r="AK4" i="4"/>
  <c r="AC3" i="4"/>
  <c r="AK295" i="4"/>
  <c r="AK291" i="4"/>
  <c r="AK287" i="4"/>
  <c r="AK283" i="4"/>
  <c r="AK279" i="4"/>
  <c r="AK275" i="4"/>
  <c r="AK271" i="4"/>
  <c r="AK267" i="4"/>
  <c r="AK263" i="4"/>
  <c r="AK259" i="4"/>
  <c r="AK255" i="4"/>
  <c r="AK251" i="4"/>
  <c r="AK247" i="4"/>
  <c r="AK243" i="4"/>
  <c r="AK239" i="4"/>
  <c r="AK235" i="4"/>
  <c r="AK231" i="4"/>
  <c r="AK227" i="4"/>
  <c r="AK223" i="4"/>
  <c r="AK219" i="4"/>
  <c r="AK215" i="4"/>
  <c r="AK211" i="4"/>
  <c r="AK207" i="4"/>
  <c r="AK203" i="4"/>
  <c r="AK199" i="4"/>
  <c r="AK195" i="4"/>
  <c r="AK191" i="4"/>
  <c r="AK187" i="4"/>
  <c r="AK183" i="4"/>
  <c r="AK179" i="4"/>
  <c r="AK175" i="4"/>
  <c r="AK171" i="4"/>
  <c r="AK167" i="4"/>
  <c r="AK163" i="4"/>
  <c r="AK159" i="4"/>
  <c r="AK155" i="4"/>
  <c r="AK151" i="4"/>
  <c r="AK147" i="4"/>
  <c r="AK143" i="4"/>
  <c r="AK139" i="4"/>
  <c r="AK135" i="4"/>
  <c r="AK131" i="4"/>
  <c r="AK127" i="4"/>
  <c r="AK123" i="4"/>
  <c r="AK119" i="4"/>
  <c r="AK115" i="4"/>
  <c r="AK111" i="4"/>
  <c r="AK107" i="4"/>
  <c r="AK103" i="4"/>
  <c r="AK99" i="4"/>
  <c r="AK95" i="4"/>
  <c r="AK91" i="4"/>
  <c r="AK87" i="4"/>
  <c r="AK83" i="4"/>
  <c r="AK79" i="4"/>
  <c r="AK75" i="4"/>
  <c r="AK71" i="4"/>
  <c r="AK67" i="4"/>
  <c r="AK63" i="4"/>
  <c r="AK59" i="4"/>
  <c r="AK55" i="4"/>
  <c r="AK51" i="4"/>
  <c r="AK47" i="4"/>
  <c r="AK43" i="4"/>
  <c r="AK39" i="4"/>
  <c r="AK35" i="4"/>
  <c r="AK31" i="4"/>
  <c r="AK27" i="4"/>
  <c r="AK23" i="4"/>
  <c r="AK19" i="4"/>
  <c r="AK15" i="4"/>
  <c r="AK11" i="4"/>
  <c r="AK7" i="4"/>
  <c r="U2" i="4"/>
  <c r="AG294" i="4"/>
  <c r="AG290" i="4"/>
  <c r="AG286" i="4"/>
  <c r="AG282" i="4"/>
  <c r="AG278" i="4"/>
  <c r="AG274" i="4"/>
  <c r="AG270" i="4"/>
  <c r="AG266" i="4"/>
  <c r="AG262" i="4"/>
  <c r="AG258" i="4"/>
  <c r="AG254" i="4"/>
  <c r="AG250" i="4"/>
  <c r="AG246" i="4"/>
  <c r="AG242" i="4"/>
  <c r="AG238" i="4"/>
  <c r="AG234" i="4"/>
  <c r="AG230" i="4"/>
  <c r="AG226" i="4"/>
  <c r="AG222" i="4"/>
  <c r="AG218" i="4"/>
  <c r="AG214" i="4"/>
  <c r="AG210" i="4"/>
  <c r="AG206" i="4"/>
  <c r="AG202" i="4"/>
  <c r="AG198" i="4"/>
  <c r="AG194" i="4"/>
  <c r="AG190" i="4"/>
  <c r="AG186" i="4"/>
  <c r="AG182" i="4"/>
  <c r="AG178" i="4"/>
  <c r="AG174" i="4"/>
  <c r="AG170" i="4"/>
  <c r="AG166" i="4"/>
  <c r="AG162" i="4"/>
  <c r="AG158" i="4"/>
  <c r="AG154" i="4"/>
  <c r="AG150" i="4"/>
  <c r="AG146" i="4"/>
  <c r="AG142" i="4"/>
  <c r="AG138" i="4"/>
  <c r="AG134" i="4"/>
  <c r="AG130" i="4"/>
  <c r="AG126" i="4"/>
  <c r="AG122" i="4"/>
  <c r="AG118" i="4"/>
  <c r="AG114" i="4"/>
  <c r="AG110" i="4"/>
  <c r="AG106" i="4"/>
  <c r="AG102" i="4"/>
  <c r="AG98" i="4"/>
  <c r="AG94" i="4"/>
  <c r="AG90" i="4"/>
  <c r="AG86" i="4"/>
  <c r="AG82" i="4"/>
  <c r="AG78" i="4"/>
  <c r="AG74" i="4"/>
  <c r="AG70" i="4"/>
  <c r="AG66" i="4"/>
  <c r="AG62" i="4"/>
  <c r="AG58" i="4"/>
  <c r="AG54" i="4"/>
  <c r="AG50" i="4"/>
  <c r="AG46" i="4"/>
  <c r="AG42" i="4"/>
  <c r="AG38" i="4"/>
  <c r="AG34" i="4"/>
  <c r="AG30" i="4"/>
  <c r="AG26" i="4"/>
  <c r="AG22" i="4"/>
  <c r="AG18" i="4"/>
  <c r="AG14" i="4"/>
  <c r="AG10" i="4"/>
  <c r="AG6" i="4"/>
  <c r="AG2" i="4"/>
  <c r="AG293" i="4"/>
  <c r="AG289" i="4"/>
  <c r="AG285" i="4"/>
  <c r="AG281" i="4"/>
  <c r="AG277" i="4"/>
  <c r="AG273" i="4"/>
  <c r="AG265" i="4"/>
  <c r="AG261" i="4"/>
  <c r="AG257" i="4"/>
  <c r="AG253" i="4"/>
  <c r="AG249" i="4"/>
  <c r="AG245" i="4"/>
  <c r="AG241" i="4"/>
  <c r="AG237" i="4"/>
  <c r="AG233" i="4"/>
  <c r="AG229" i="4"/>
  <c r="AG225" i="4"/>
  <c r="AG221" i="4"/>
  <c r="AG217" i="4"/>
  <c r="AG213" i="4"/>
  <c r="AG209" i="4"/>
  <c r="AG205" i="4"/>
  <c r="AG201" i="4"/>
  <c r="AG197" i="4"/>
  <c r="AG193" i="4"/>
  <c r="AG189" i="4"/>
  <c r="AG185" i="4"/>
  <c r="AG181" i="4"/>
  <c r="AG177" i="4"/>
  <c r="AG173" i="4"/>
  <c r="AG169" i="4"/>
  <c r="AG165" i="4"/>
  <c r="AG161" i="4"/>
  <c r="AG157" i="4"/>
  <c r="AG153" i="4"/>
  <c r="AG149" i="4"/>
  <c r="AG145" i="4"/>
  <c r="AG141" i="4"/>
  <c r="AG137" i="4"/>
  <c r="AG133" i="4"/>
  <c r="AG129" i="4"/>
  <c r="AG125" i="4"/>
  <c r="AG121" i="4"/>
  <c r="AG117" i="4"/>
  <c r="AG113" i="4"/>
  <c r="AG109" i="4"/>
  <c r="AG105" i="4"/>
  <c r="AG101" i="4"/>
  <c r="AG97" i="4"/>
  <c r="AG93" i="4"/>
  <c r="AG89" i="4"/>
  <c r="AG85" i="4"/>
  <c r="AG81" i="4"/>
  <c r="AG77" i="4"/>
  <c r="AG73" i="4"/>
  <c r="AG69" i="4"/>
  <c r="AG65" i="4"/>
  <c r="AG61" i="4"/>
  <c r="AG57" i="4"/>
  <c r="AG53" i="4"/>
  <c r="AG49" i="4"/>
  <c r="AG45" i="4"/>
  <c r="AG41" i="4"/>
  <c r="AG37" i="4"/>
  <c r="AG33" i="4"/>
  <c r="AG29" i="4"/>
  <c r="AG25" i="4"/>
  <c r="AG21" i="4"/>
  <c r="AG17" i="4"/>
  <c r="AG13" i="4"/>
  <c r="AG9" i="4"/>
  <c r="AG5" i="4"/>
  <c r="AG296" i="4"/>
  <c r="AG292" i="4"/>
  <c r="AG288" i="4"/>
  <c r="AG284" i="4"/>
  <c r="AG280" i="4"/>
  <c r="AG276" i="4"/>
  <c r="AG272" i="4"/>
  <c r="AG268" i="4"/>
  <c r="AG264" i="4"/>
  <c r="AG260" i="4"/>
  <c r="AG256" i="4"/>
  <c r="AG252" i="4"/>
  <c r="AG248" i="4"/>
  <c r="AG244" i="4"/>
  <c r="AG240" i="4"/>
  <c r="AG236" i="4"/>
  <c r="AG232" i="4"/>
  <c r="AG228" i="4"/>
  <c r="AG224" i="4"/>
  <c r="AG220" i="4"/>
  <c r="AG216" i="4"/>
  <c r="AG212" i="4"/>
  <c r="AG208" i="4"/>
  <c r="AG204" i="4"/>
  <c r="AG200" i="4"/>
  <c r="AG196" i="4"/>
  <c r="AG192" i="4"/>
  <c r="AG188" i="4"/>
  <c r="AG184" i="4"/>
  <c r="AG180" i="4"/>
  <c r="AG176" i="4"/>
  <c r="AG172" i="4"/>
  <c r="AG168" i="4"/>
  <c r="AG164" i="4"/>
  <c r="AG160" i="4"/>
  <c r="AG156" i="4"/>
  <c r="AG152" i="4"/>
  <c r="AG148" i="4"/>
  <c r="AG144" i="4"/>
  <c r="AG140" i="4"/>
  <c r="AG136" i="4"/>
  <c r="AG132" i="4"/>
  <c r="AG128" i="4"/>
  <c r="AG124" i="4"/>
  <c r="AG120" i="4"/>
  <c r="AG116" i="4"/>
  <c r="AG112" i="4"/>
  <c r="AG108" i="4"/>
  <c r="AG104" i="4"/>
  <c r="AG100" i="4"/>
  <c r="AG96" i="4"/>
  <c r="AG92" i="4"/>
  <c r="AG88" i="4"/>
  <c r="AG84" i="4"/>
  <c r="AG80" i="4"/>
  <c r="AG76" i="4"/>
  <c r="AG72" i="4"/>
  <c r="AG68" i="4"/>
  <c r="AG64" i="4"/>
  <c r="AG60" i="4"/>
  <c r="AG56" i="4"/>
  <c r="AG52" i="4"/>
  <c r="AG48" i="4"/>
  <c r="AG44" i="4"/>
  <c r="AG40" i="4"/>
  <c r="AG36" i="4"/>
  <c r="AG32" i="4"/>
  <c r="AG28" i="4"/>
  <c r="AG24" i="4"/>
  <c r="AG20" i="4"/>
  <c r="AG16" i="4"/>
  <c r="AG12" i="4"/>
  <c r="AG8" i="4"/>
  <c r="AG4" i="4"/>
  <c r="Y3" i="4"/>
  <c r="AG295" i="4"/>
  <c r="AG291" i="4"/>
  <c r="AG287" i="4"/>
  <c r="AG283" i="4"/>
  <c r="AG279" i="4"/>
  <c r="AG275" i="4"/>
  <c r="AG271" i="4"/>
  <c r="AG267" i="4"/>
  <c r="AG263" i="4"/>
  <c r="AG259" i="4"/>
  <c r="AG255" i="4"/>
  <c r="AG251" i="4"/>
  <c r="AG247" i="4"/>
  <c r="AG243" i="4"/>
  <c r="AG239" i="4"/>
  <c r="AG235" i="4"/>
  <c r="AG231" i="4"/>
  <c r="AG227" i="4"/>
  <c r="AG223" i="4"/>
  <c r="AG219" i="4"/>
  <c r="AG215" i="4"/>
  <c r="AG211" i="4"/>
  <c r="AG207" i="4"/>
  <c r="AG203" i="4"/>
  <c r="AG199" i="4"/>
  <c r="AG195" i="4"/>
  <c r="AG191" i="4"/>
  <c r="AG187" i="4"/>
  <c r="AG183" i="4"/>
  <c r="AG179" i="4"/>
  <c r="AG175" i="4"/>
  <c r="AG171" i="4"/>
  <c r="AG167" i="4"/>
  <c r="AG163" i="4"/>
  <c r="AG159" i="4"/>
  <c r="AG155" i="4"/>
  <c r="AG151" i="4"/>
  <c r="AG147" i="4"/>
  <c r="AG143" i="4"/>
  <c r="AG139" i="4"/>
  <c r="AG135" i="4"/>
  <c r="AG131" i="4"/>
  <c r="AG127" i="4"/>
  <c r="AG123" i="4"/>
  <c r="AG119" i="4"/>
  <c r="AG115" i="4"/>
  <c r="AG111" i="4"/>
  <c r="AG107" i="4"/>
  <c r="AG103" i="4"/>
  <c r="AG99" i="4"/>
  <c r="AG95" i="4"/>
  <c r="AG91" i="4"/>
  <c r="AG87" i="4"/>
  <c r="AG83" i="4"/>
  <c r="AG79" i="4"/>
  <c r="AG75" i="4"/>
  <c r="AG71" i="4"/>
  <c r="AG67" i="4"/>
  <c r="AG63" i="4"/>
  <c r="AG59" i="4"/>
  <c r="AG55" i="4"/>
  <c r="AG51" i="4"/>
  <c r="AG47" i="4"/>
  <c r="AG43" i="4"/>
  <c r="AG39" i="4"/>
  <c r="AG35" i="4"/>
  <c r="AG31" i="4"/>
  <c r="AG27" i="4"/>
  <c r="AG23" i="4"/>
  <c r="AG19" i="4"/>
  <c r="AG15" i="4"/>
  <c r="AG11" i="4"/>
  <c r="AG7" i="4"/>
  <c r="AC294" i="4"/>
  <c r="AC290" i="4"/>
  <c r="AC286" i="4"/>
  <c r="AC282" i="4"/>
  <c r="AC278" i="4"/>
  <c r="AC274" i="4"/>
  <c r="AC270" i="4"/>
  <c r="AC266" i="4"/>
  <c r="AC262" i="4"/>
  <c r="AC258" i="4"/>
  <c r="AC254" i="4"/>
  <c r="AC250" i="4"/>
  <c r="AC246" i="4"/>
  <c r="AC242" i="4"/>
  <c r="AC238" i="4"/>
  <c r="AC234" i="4"/>
  <c r="AC230" i="4"/>
  <c r="AC226" i="4"/>
  <c r="AC222" i="4"/>
  <c r="AC218" i="4"/>
  <c r="AC214" i="4"/>
  <c r="AC210" i="4"/>
  <c r="AC206" i="4"/>
  <c r="AC202" i="4"/>
  <c r="AC198" i="4"/>
  <c r="AC194" i="4"/>
  <c r="AC190" i="4"/>
  <c r="AC186" i="4"/>
  <c r="AC182" i="4"/>
  <c r="AC178" i="4"/>
  <c r="AC174" i="4"/>
  <c r="AC170" i="4"/>
  <c r="AC166" i="4"/>
  <c r="AC162" i="4"/>
  <c r="AC158" i="4"/>
  <c r="AC154" i="4"/>
  <c r="AC150" i="4"/>
  <c r="AC146" i="4"/>
  <c r="AC142" i="4"/>
  <c r="AC138" i="4"/>
  <c r="AC134" i="4"/>
  <c r="AC130" i="4"/>
  <c r="AC126" i="4"/>
  <c r="AC122" i="4"/>
  <c r="AC118" i="4"/>
  <c r="AC114" i="4"/>
  <c r="AC110" i="4"/>
  <c r="AC106" i="4"/>
  <c r="AC102" i="4"/>
  <c r="AC98" i="4"/>
  <c r="AC94" i="4"/>
  <c r="AC90" i="4"/>
  <c r="AC86" i="4"/>
  <c r="AC82" i="4"/>
  <c r="AC78" i="4"/>
  <c r="AC74" i="4"/>
  <c r="AC70" i="4"/>
  <c r="AC66" i="4"/>
  <c r="AC62" i="4"/>
  <c r="AC58" i="4"/>
  <c r="AC54" i="4"/>
  <c r="AC50" i="4"/>
  <c r="AC46" i="4"/>
  <c r="AC42" i="4"/>
  <c r="AC38" i="4"/>
  <c r="AC34" i="4"/>
  <c r="AC30" i="4"/>
  <c r="AC26" i="4"/>
  <c r="AC22" i="4"/>
  <c r="AC18" i="4"/>
  <c r="AC14" i="4"/>
  <c r="AC10" i="4"/>
  <c r="AC6" i="4"/>
  <c r="Q4" i="4"/>
  <c r="AC2" i="4"/>
  <c r="AC293" i="4"/>
  <c r="AC289" i="4"/>
  <c r="AC285" i="4"/>
  <c r="AC281" i="4"/>
  <c r="AC277" i="4"/>
  <c r="AC273" i="4"/>
  <c r="AC269" i="4"/>
  <c r="AC265" i="4"/>
  <c r="AC261" i="4"/>
  <c r="AC257" i="4"/>
  <c r="AC253" i="4"/>
  <c r="AC249" i="4"/>
  <c r="AC245" i="4"/>
  <c r="AC241" i="4"/>
  <c r="AC237" i="4"/>
  <c r="AC233" i="4"/>
  <c r="AC229" i="4"/>
  <c r="AC225" i="4"/>
  <c r="AC221" i="4"/>
  <c r="AC217" i="4"/>
  <c r="AC213" i="4"/>
  <c r="AC209" i="4"/>
  <c r="AC205" i="4"/>
  <c r="AC201" i="4"/>
  <c r="AC197" i="4"/>
  <c r="AC193" i="4"/>
  <c r="AC189" i="4"/>
  <c r="AC185" i="4"/>
  <c r="AC181" i="4"/>
  <c r="AC177" i="4"/>
  <c r="AC173" i="4"/>
  <c r="AC169" i="4"/>
  <c r="AC165" i="4"/>
  <c r="AC161" i="4"/>
  <c r="AC157" i="4"/>
  <c r="AC153" i="4"/>
  <c r="AC149" i="4"/>
  <c r="AC145" i="4"/>
  <c r="AC141" i="4"/>
  <c r="AC137" i="4"/>
  <c r="AC133" i="4"/>
  <c r="AC129" i="4"/>
  <c r="AC125" i="4"/>
  <c r="AC121" i="4"/>
  <c r="AC117" i="4"/>
  <c r="AC113" i="4"/>
  <c r="AC109" i="4"/>
  <c r="AC105" i="4"/>
  <c r="AC101" i="4"/>
  <c r="AC97" i="4"/>
  <c r="AC93" i="4"/>
  <c r="AC89" i="4"/>
  <c r="AC85" i="4"/>
  <c r="AC81" i="4"/>
  <c r="AC77" i="4"/>
  <c r="AC73" i="4"/>
  <c r="AC69" i="4"/>
  <c r="AC65" i="4"/>
  <c r="AC61" i="4"/>
  <c r="AC57" i="4"/>
  <c r="AC53" i="4"/>
  <c r="AC49" i="4"/>
  <c r="AC45" i="4"/>
  <c r="AC41" i="4"/>
  <c r="AC37" i="4"/>
  <c r="AC33" i="4"/>
  <c r="AC29" i="4"/>
  <c r="AC25" i="4"/>
  <c r="AC21" i="4"/>
  <c r="AC17" i="4"/>
  <c r="AC13" i="4"/>
  <c r="AC9" i="4"/>
  <c r="AC5" i="4"/>
  <c r="Y93" i="4"/>
  <c r="AC296" i="4"/>
  <c r="AC292" i="4"/>
  <c r="AC288" i="4"/>
  <c r="AC284" i="4"/>
  <c r="AC280" i="4"/>
  <c r="AC276" i="4"/>
  <c r="AC272" i="4"/>
  <c r="AC268" i="4"/>
  <c r="AC264" i="4"/>
  <c r="AC260" i="4"/>
  <c r="AC256" i="4"/>
  <c r="AC252" i="4"/>
  <c r="AC248" i="4"/>
  <c r="AC244" i="4"/>
  <c r="AC240" i="4"/>
  <c r="AC236" i="4"/>
  <c r="AC232" i="4"/>
  <c r="AC228" i="4"/>
  <c r="AC224" i="4"/>
  <c r="AC220" i="4"/>
  <c r="AC216" i="4"/>
  <c r="AC212" i="4"/>
  <c r="AC208" i="4"/>
  <c r="AC204" i="4"/>
  <c r="AC200" i="4"/>
  <c r="AC196" i="4"/>
  <c r="AC192" i="4"/>
  <c r="AC188" i="4"/>
  <c r="AC184" i="4"/>
  <c r="AC180" i="4"/>
  <c r="AC176" i="4"/>
  <c r="AC172" i="4"/>
  <c r="AC168" i="4"/>
  <c r="AC164" i="4"/>
  <c r="AC160" i="4"/>
  <c r="AC156" i="4"/>
  <c r="AC152" i="4"/>
  <c r="AC148" i="4"/>
  <c r="AC144" i="4"/>
  <c r="AC140" i="4"/>
  <c r="AC136" i="4"/>
  <c r="AC132" i="4"/>
  <c r="AC128" i="4"/>
  <c r="AC124" i="4"/>
  <c r="AC120" i="4"/>
  <c r="AC116" i="4"/>
  <c r="AC112" i="4"/>
  <c r="AC108" i="4"/>
  <c r="AC104" i="4"/>
  <c r="AC100" i="4"/>
  <c r="AC96" i="4"/>
  <c r="AC92" i="4"/>
  <c r="AC88" i="4"/>
  <c r="AC84" i="4"/>
  <c r="AC80" i="4"/>
  <c r="AC76" i="4"/>
  <c r="AC72" i="4"/>
  <c r="AC68" i="4"/>
  <c r="AC64" i="4"/>
  <c r="AC60" i="4"/>
  <c r="AC56" i="4"/>
  <c r="AC52" i="4"/>
  <c r="AC48" i="4"/>
  <c r="AC44" i="4"/>
  <c r="AC40" i="4"/>
  <c r="AC36" i="4"/>
  <c r="AC32" i="4"/>
  <c r="AC28" i="4"/>
  <c r="AC24" i="4"/>
  <c r="AC20" i="4"/>
  <c r="AC16" i="4"/>
  <c r="AC12" i="4"/>
  <c r="AC8" i="4"/>
  <c r="AC4" i="4"/>
  <c r="AC295" i="4"/>
  <c r="AC291" i="4"/>
  <c r="AC287" i="4"/>
  <c r="AC283" i="4"/>
  <c r="AC279" i="4"/>
  <c r="AC275" i="4"/>
  <c r="AC271" i="4"/>
  <c r="AC267" i="4"/>
  <c r="AC263" i="4"/>
  <c r="AC259" i="4"/>
  <c r="AC255" i="4"/>
  <c r="AC251" i="4"/>
  <c r="AC247" i="4"/>
  <c r="AC243" i="4"/>
  <c r="AC239" i="4"/>
  <c r="AC235" i="4"/>
  <c r="AC231" i="4"/>
  <c r="AC227" i="4"/>
  <c r="AC223" i="4"/>
  <c r="AC219" i="4"/>
  <c r="AC215" i="4"/>
  <c r="AC211" i="4"/>
  <c r="AC207" i="4"/>
  <c r="AC203" i="4"/>
  <c r="AC199" i="4"/>
  <c r="AC195" i="4"/>
  <c r="AC191" i="4"/>
  <c r="AC187" i="4"/>
  <c r="AC183" i="4"/>
  <c r="AC179" i="4"/>
  <c r="AC175" i="4"/>
  <c r="AC171" i="4"/>
  <c r="AC167" i="4"/>
  <c r="AC163" i="4"/>
  <c r="AC159" i="4"/>
  <c r="AC155" i="4"/>
  <c r="AC151" i="4"/>
  <c r="AC147" i="4"/>
  <c r="AC143" i="4"/>
  <c r="AC139" i="4"/>
  <c r="AC135" i="4"/>
  <c r="AC131" i="4"/>
  <c r="AC127" i="4"/>
  <c r="AC123" i="4"/>
  <c r="AC119" i="4"/>
  <c r="AC115" i="4"/>
  <c r="AC111" i="4"/>
  <c r="AC107" i="4"/>
  <c r="AC103" i="4"/>
  <c r="AC99" i="4"/>
  <c r="AC95" i="4"/>
  <c r="AC91" i="4"/>
  <c r="AC87" i="4"/>
  <c r="AC83" i="4"/>
  <c r="AC79" i="4"/>
  <c r="AC75" i="4"/>
  <c r="AC71" i="4"/>
  <c r="AC67" i="4"/>
  <c r="AC63" i="4"/>
  <c r="AC59" i="4"/>
  <c r="AC55" i="4"/>
  <c r="AC51" i="4"/>
  <c r="AC47" i="4"/>
  <c r="AC43" i="4"/>
  <c r="AC39" i="4"/>
  <c r="AC35" i="4"/>
  <c r="AC31" i="4"/>
  <c r="AC27" i="4"/>
  <c r="AC23" i="4"/>
  <c r="AC19" i="4"/>
  <c r="AC15" i="4"/>
  <c r="AC11" i="4"/>
  <c r="AC7" i="4"/>
  <c r="Y294" i="4"/>
  <c r="Y290" i="4"/>
  <c r="Y286" i="4"/>
  <c r="Y282" i="4"/>
  <c r="Y278" i="4"/>
  <c r="Y274" i="4"/>
  <c r="Y270" i="4"/>
  <c r="Y266" i="4"/>
  <c r="Y262" i="4"/>
  <c r="Y258" i="4"/>
  <c r="Y254" i="4"/>
  <c r="Y250" i="4"/>
  <c r="Y246" i="4"/>
  <c r="Y242" i="4"/>
  <c r="Y238" i="4"/>
  <c r="Y234" i="4"/>
  <c r="Y230" i="4"/>
  <c r="Y226" i="4"/>
  <c r="Y222" i="4"/>
  <c r="Y218" i="4"/>
  <c r="Y214" i="4"/>
  <c r="Y210" i="4"/>
  <c r="Y206" i="4"/>
  <c r="Y202" i="4"/>
  <c r="Y198" i="4"/>
  <c r="Y194" i="4"/>
  <c r="Y190" i="4"/>
  <c r="Y186" i="4"/>
  <c r="Y182" i="4"/>
  <c r="Y178" i="4"/>
  <c r="Y174" i="4"/>
  <c r="Y170" i="4"/>
  <c r="Y166" i="4"/>
  <c r="Y162" i="4"/>
  <c r="Y158" i="4"/>
  <c r="Y154" i="4"/>
  <c r="Y150" i="4"/>
  <c r="Y146" i="4"/>
  <c r="Y142" i="4"/>
  <c r="Y138" i="4"/>
  <c r="Y134" i="4"/>
  <c r="Y130" i="4"/>
  <c r="Y126" i="4"/>
  <c r="Y122" i="4"/>
  <c r="Y118" i="4"/>
  <c r="Y114" i="4"/>
  <c r="Y110" i="4"/>
  <c r="Y106" i="4"/>
  <c r="Y102" i="4"/>
  <c r="Y98" i="4"/>
  <c r="Y94" i="4"/>
  <c r="Y90" i="4"/>
  <c r="Y86" i="4"/>
  <c r="Y82" i="4"/>
  <c r="Y78" i="4"/>
  <c r="Y74" i="4"/>
  <c r="Y70" i="4"/>
  <c r="Y66" i="4"/>
  <c r="Y62" i="4"/>
  <c r="Y58" i="4"/>
  <c r="Y54" i="4"/>
  <c r="Y50" i="4"/>
  <c r="Y46" i="4"/>
  <c r="Y42" i="4"/>
  <c r="Y38" i="4"/>
  <c r="Y34" i="4"/>
  <c r="Y30" i="4"/>
  <c r="Y26" i="4"/>
  <c r="Y22" i="4"/>
  <c r="Y18" i="4"/>
  <c r="Y14" i="4"/>
  <c r="Y10" i="4"/>
  <c r="Y6" i="4"/>
  <c r="Y2" i="4"/>
  <c r="Y293" i="4"/>
  <c r="Y289" i="4"/>
  <c r="Y285" i="4"/>
  <c r="Y281" i="4"/>
  <c r="Y277" i="4"/>
  <c r="Y273" i="4"/>
  <c r="Y269" i="4"/>
  <c r="Y265" i="4"/>
  <c r="Y261" i="4"/>
  <c r="Y257" i="4"/>
  <c r="Y253" i="4"/>
  <c r="Y249" i="4"/>
  <c r="Y245" i="4"/>
  <c r="Y241" i="4"/>
  <c r="Y237" i="4"/>
  <c r="Y233" i="4"/>
  <c r="Y229" i="4"/>
  <c r="Y225" i="4"/>
  <c r="Y221" i="4"/>
  <c r="Y217" i="4"/>
  <c r="Y213" i="4"/>
  <c r="Y209" i="4"/>
  <c r="Y205" i="4"/>
  <c r="Y201" i="4"/>
  <c r="Y197" i="4"/>
  <c r="Y193" i="4"/>
  <c r="Y189" i="4"/>
  <c r="Y185" i="4"/>
  <c r="Y181" i="4"/>
  <c r="Y177" i="4"/>
  <c r="Y173" i="4"/>
  <c r="Y169" i="4"/>
  <c r="Y165" i="4"/>
  <c r="Y161" i="4"/>
  <c r="Y157" i="4"/>
  <c r="Y153" i="4"/>
  <c r="Y149" i="4"/>
  <c r="Y145" i="4"/>
  <c r="Y141" i="4"/>
  <c r="Y137" i="4"/>
  <c r="Y133" i="4"/>
  <c r="Y129" i="4"/>
  <c r="Y125" i="4"/>
  <c r="Y121" i="4"/>
  <c r="Y117" i="4"/>
  <c r="Y113" i="4"/>
  <c r="Y109" i="4"/>
  <c r="Y105" i="4"/>
  <c r="Y101" i="4"/>
  <c r="Y97" i="4"/>
  <c r="Y89" i="4"/>
  <c r="Y85" i="4"/>
  <c r="Y81" i="4"/>
  <c r="Y77" i="4"/>
  <c r="Y73" i="4"/>
  <c r="Y69" i="4"/>
  <c r="Y65" i="4"/>
  <c r="Y61" i="4"/>
  <c r="Y57" i="4"/>
  <c r="Y53" i="4"/>
  <c r="Y49" i="4"/>
  <c r="Y45" i="4"/>
  <c r="Y41" i="4"/>
  <c r="Y37" i="4"/>
  <c r="Y33" i="4"/>
  <c r="Y29" i="4"/>
  <c r="Y25" i="4"/>
  <c r="Y21" i="4"/>
  <c r="Y17" i="4"/>
  <c r="Y13" i="4"/>
  <c r="Y9" i="4"/>
  <c r="Y5" i="4"/>
  <c r="Y296" i="4"/>
  <c r="Y292" i="4"/>
  <c r="Y288" i="4"/>
  <c r="Y284" i="4"/>
  <c r="Y280" i="4"/>
  <c r="Y276" i="4"/>
  <c r="Y272" i="4"/>
  <c r="Y268" i="4"/>
  <c r="Y264" i="4"/>
  <c r="Y260" i="4"/>
  <c r="Y256" i="4"/>
  <c r="Y252" i="4"/>
  <c r="Y248" i="4"/>
  <c r="Y244" i="4"/>
  <c r="Y240" i="4"/>
  <c r="Y236" i="4"/>
  <c r="Y232" i="4"/>
  <c r="Y228" i="4"/>
  <c r="Y224" i="4"/>
  <c r="Y220" i="4"/>
  <c r="Y216" i="4"/>
  <c r="Y212" i="4"/>
  <c r="Y208" i="4"/>
  <c r="Y204" i="4"/>
  <c r="Y200" i="4"/>
  <c r="Y196" i="4"/>
  <c r="Y192" i="4"/>
  <c r="Y188" i="4"/>
  <c r="Y184" i="4"/>
  <c r="Y180" i="4"/>
  <c r="Y176" i="4"/>
  <c r="Y172" i="4"/>
  <c r="Y168" i="4"/>
  <c r="Y164" i="4"/>
  <c r="Y160" i="4"/>
  <c r="Y156" i="4"/>
  <c r="Y152" i="4"/>
  <c r="Y148" i="4"/>
  <c r="Y144" i="4"/>
  <c r="Y140" i="4"/>
  <c r="Y136" i="4"/>
  <c r="Y132" i="4"/>
  <c r="Y128" i="4"/>
  <c r="Y124" i="4"/>
  <c r="Y120" i="4"/>
  <c r="Y116" i="4"/>
  <c r="Y112" i="4"/>
  <c r="Y108" i="4"/>
  <c r="Y104" i="4"/>
  <c r="Y100" i="4"/>
  <c r="Y96" i="4"/>
  <c r="Y92" i="4"/>
  <c r="Y88" i="4"/>
  <c r="Y84" i="4"/>
  <c r="Y80" i="4"/>
  <c r="Y76" i="4"/>
  <c r="Y72" i="4"/>
  <c r="Y68" i="4"/>
  <c r="Y64" i="4"/>
  <c r="Y60" i="4"/>
  <c r="Y56" i="4"/>
  <c r="Y52" i="4"/>
  <c r="Y48" i="4"/>
  <c r="Y44" i="4"/>
  <c r="Y40" i="4"/>
  <c r="Y36" i="4"/>
  <c r="Y32" i="4"/>
  <c r="Y28" i="4"/>
  <c r="Y24" i="4"/>
  <c r="Y20" i="4"/>
  <c r="Y16" i="4"/>
  <c r="Y12" i="4"/>
  <c r="Y8" i="4"/>
  <c r="Y4" i="4"/>
  <c r="Y295" i="4"/>
  <c r="Y291" i="4"/>
  <c r="Y287" i="4"/>
  <c r="Y283" i="4"/>
  <c r="Y279" i="4"/>
  <c r="Y275" i="4"/>
  <c r="Y271" i="4"/>
  <c r="Y267" i="4"/>
  <c r="Y263" i="4"/>
  <c r="Y259" i="4"/>
  <c r="Y255" i="4"/>
  <c r="Y251" i="4"/>
  <c r="Y247" i="4"/>
  <c r="Y243" i="4"/>
  <c r="Y239" i="4"/>
  <c r="Y235" i="4"/>
  <c r="Y231" i="4"/>
  <c r="Y227" i="4"/>
  <c r="Y223" i="4"/>
  <c r="Y219" i="4"/>
  <c r="Y215" i="4"/>
  <c r="Y211" i="4"/>
  <c r="Y207" i="4"/>
  <c r="Y203" i="4"/>
  <c r="Y199" i="4"/>
  <c r="Y195" i="4"/>
  <c r="Y191" i="4"/>
  <c r="Y187" i="4"/>
  <c r="Y183" i="4"/>
  <c r="Y179" i="4"/>
  <c r="Y175" i="4"/>
  <c r="Y171" i="4"/>
  <c r="Y167" i="4"/>
  <c r="Y163" i="4"/>
  <c r="Y159" i="4"/>
  <c r="Y155" i="4"/>
  <c r="Y151" i="4"/>
  <c r="Y147" i="4"/>
  <c r="Y143" i="4"/>
  <c r="Y139" i="4"/>
  <c r="Y135" i="4"/>
  <c r="Y131" i="4"/>
  <c r="Y127" i="4"/>
  <c r="Y123" i="4"/>
  <c r="Y119" i="4"/>
  <c r="Y115" i="4"/>
  <c r="Y111" i="4"/>
  <c r="Y107" i="4"/>
  <c r="Y103" i="4"/>
  <c r="Y99" i="4"/>
  <c r="Y95" i="4"/>
  <c r="Y91" i="4"/>
  <c r="Y87" i="4"/>
  <c r="Y83" i="4"/>
  <c r="Y79" i="4"/>
  <c r="Y75" i="4"/>
  <c r="Y71" i="4"/>
  <c r="Y67" i="4"/>
  <c r="Y63" i="4"/>
  <c r="Y59" i="4"/>
  <c r="Y55" i="4"/>
  <c r="Y51" i="4"/>
  <c r="Y47" i="4"/>
  <c r="Y43" i="4"/>
  <c r="Y39" i="4"/>
  <c r="Y35" i="4"/>
  <c r="Y31" i="4"/>
  <c r="Y27" i="4"/>
  <c r="Y23" i="4"/>
  <c r="Y19" i="4"/>
  <c r="Y15" i="4"/>
  <c r="Y11" i="4"/>
  <c r="Y7" i="4"/>
  <c r="I2" i="4"/>
  <c r="Q2" i="4"/>
  <c r="U6" i="4"/>
  <c r="U293" i="4"/>
  <c r="U289" i="4"/>
  <c r="U285" i="4"/>
  <c r="U281" i="4"/>
  <c r="U277" i="4"/>
  <c r="U273" i="4"/>
  <c r="U269" i="4"/>
  <c r="U265" i="4"/>
  <c r="U261" i="4"/>
  <c r="U257" i="4"/>
  <c r="U253" i="4"/>
  <c r="U249" i="4"/>
  <c r="U245" i="4"/>
  <c r="U241" i="4"/>
  <c r="U237" i="4"/>
  <c r="U233" i="4"/>
  <c r="U229" i="4"/>
  <c r="U225" i="4"/>
  <c r="U221" i="4"/>
  <c r="U217" i="4"/>
  <c r="U213" i="4"/>
  <c r="U209" i="4"/>
  <c r="U205" i="4"/>
  <c r="U201" i="4"/>
  <c r="U197" i="4"/>
  <c r="U193" i="4"/>
  <c r="U189" i="4"/>
  <c r="U185" i="4"/>
  <c r="U181" i="4"/>
  <c r="U177" i="4"/>
  <c r="U173" i="4"/>
  <c r="U169" i="4"/>
  <c r="U165" i="4"/>
  <c r="U161" i="4"/>
  <c r="U157" i="4"/>
  <c r="U153" i="4"/>
  <c r="U149" i="4"/>
  <c r="U145" i="4"/>
  <c r="U141" i="4"/>
  <c r="U137" i="4"/>
  <c r="U133" i="4"/>
  <c r="U129" i="4"/>
  <c r="U125" i="4"/>
  <c r="U121" i="4"/>
  <c r="U117" i="4"/>
  <c r="U113" i="4"/>
  <c r="U109" i="4"/>
  <c r="U105" i="4"/>
  <c r="U101" i="4"/>
  <c r="U97" i="4"/>
  <c r="U93" i="4"/>
  <c r="U89" i="4"/>
  <c r="U85" i="4"/>
  <c r="U81" i="4"/>
  <c r="U77" i="4"/>
  <c r="U73" i="4"/>
  <c r="U69" i="4"/>
  <c r="U65" i="4"/>
  <c r="U61" i="4"/>
  <c r="U57" i="4"/>
  <c r="U53" i="4"/>
  <c r="U49" i="4"/>
  <c r="U45" i="4"/>
  <c r="U41" i="4"/>
  <c r="U37" i="4"/>
  <c r="U33" i="4"/>
  <c r="U29" i="4"/>
  <c r="U25" i="4"/>
  <c r="U21" i="4"/>
  <c r="U17" i="4"/>
  <c r="U13" i="4"/>
  <c r="U9" i="4"/>
  <c r="U5" i="4"/>
  <c r="U296" i="4"/>
  <c r="U292" i="4"/>
  <c r="U288" i="4"/>
  <c r="U284" i="4"/>
  <c r="U280" i="4"/>
  <c r="U276" i="4"/>
  <c r="U272" i="4"/>
  <c r="U268" i="4"/>
  <c r="U264" i="4"/>
  <c r="U260" i="4"/>
  <c r="U256" i="4"/>
  <c r="U252" i="4"/>
  <c r="U248" i="4"/>
  <c r="U244" i="4"/>
  <c r="U240" i="4"/>
  <c r="U236" i="4"/>
  <c r="U232" i="4"/>
  <c r="U228" i="4"/>
  <c r="U224" i="4"/>
  <c r="U220" i="4"/>
  <c r="U216" i="4"/>
  <c r="U212" i="4"/>
  <c r="U208" i="4"/>
  <c r="U204" i="4"/>
  <c r="U200" i="4"/>
  <c r="U196" i="4"/>
  <c r="U192" i="4"/>
  <c r="U188" i="4"/>
  <c r="U184" i="4"/>
  <c r="U180" i="4"/>
  <c r="U176" i="4"/>
  <c r="U172" i="4"/>
  <c r="U168" i="4"/>
  <c r="U164" i="4"/>
  <c r="U160" i="4"/>
  <c r="U156" i="4"/>
  <c r="U152" i="4"/>
  <c r="U148" i="4"/>
  <c r="U144" i="4"/>
  <c r="U140" i="4"/>
  <c r="U136" i="4"/>
  <c r="U132" i="4"/>
  <c r="U128" i="4"/>
  <c r="U124" i="4"/>
  <c r="U120" i="4"/>
  <c r="U116" i="4"/>
  <c r="U112" i="4"/>
  <c r="U108" i="4"/>
  <c r="U104" i="4"/>
  <c r="U100" i="4"/>
  <c r="U96" i="4"/>
  <c r="U92" i="4"/>
  <c r="U88" i="4"/>
  <c r="U84" i="4"/>
  <c r="U80" i="4"/>
  <c r="U76" i="4"/>
  <c r="U72" i="4"/>
  <c r="U68" i="4"/>
  <c r="U64" i="4"/>
  <c r="U60" i="4"/>
  <c r="U56" i="4"/>
  <c r="U52" i="4"/>
  <c r="U48" i="4"/>
  <c r="U44" i="4"/>
  <c r="U40" i="4"/>
  <c r="U36" i="4"/>
  <c r="U32" i="4"/>
  <c r="U28" i="4"/>
  <c r="U24" i="4"/>
  <c r="U20" i="4"/>
  <c r="U16" i="4"/>
  <c r="U12" i="4"/>
  <c r="U8" i="4"/>
  <c r="U4" i="4"/>
  <c r="U295" i="4"/>
  <c r="U291" i="4"/>
  <c r="U287" i="4"/>
  <c r="U283" i="4"/>
  <c r="U279" i="4"/>
  <c r="U275" i="4"/>
  <c r="U271" i="4"/>
  <c r="U267" i="4"/>
  <c r="U263" i="4"/>
  <c r="U259" i="4"/>
  <c r="U255" i="4"/>
  <c r="U251" i="4"/>
  <c r="U247" i="4"/>
  <c r="U243" i="4"/>
  <c r="U239" i="4"/>
  <c r="U235" i="4"/>
  <c r="U231" i="4"/>
  <c r="U227" i="4"/>
  <c r="U223" i="4"/>
  <c r="U219" i="4"/>
  <c r="U215" i="4"/>
  <c r="U211" i="4"/>
  <c r="U207" i="4"/>
  <c r="U203" i="4"/>
  <c r="U199" i="4"/>
  <c r="U195" i="4"/>
  <c r="U191" i="4"/>
  <c r="U187" i="4"/>
  <c r="U183" i="4"/>
  <c r="U179" i="4"/>
  <c r="U175" i="4"/>
  <c r="U171" i="4"/>
  <c r="U167" i="4"/>
  <c r="U163" i="4"/>
  <c r="U159" i="4"/>
  <c r="U155" i="4"/>
  <c r="U151" i="4"/>
  <c r="U147" i="4"/>
  <c r="U143" i="4"/>
  <c r="U139" i="4"/>
  <c r="U135" i="4"/>
  <c r="U131" i="4"/>
  <c r="U127" i="4"/>
  <c r="U123" i="4"/>
  <c r="U119" i="4"/>
  <c r="U115" i="4"/>
  <c r="U111" i="4"/>
  <c r="U107" i="4"/>
  <c r="U103" i="4"/>
  <c r="U99" i="4"/>
  <c r="U95" i="4"/>
  <c r="U91" i="4"/>
  <c r="U87" i="4"/>
  <c r="U83" i="4"/>
  <c r="U79" i="4"/>
  <c r="U75" i="4"/>
  <c r="U71" i="4"/>
  <c r="U67" i="4"/>
  <c r="U63" i="4"/>
  <c r="U59" i="4"/>
  <c r="U55" i="4"/>
  <c r="U51" i="4"/>
  <c r="U47" i="4"/>
  <c r="U43" i="4"/>
  <c r="U39" i="4"/>
  <c r="U35" i="4"/>
  <c r="U31" i="4"/>
  <c r="U27" i="4"/>
  <c r="U23" i="4"/>
  <c r="U19" i="4"/>
  <c r="U15" i="4"/>
  <c r="U11" i="4"/>
  <c r="U7" i="4"/>
  <c r="U3" i="4"/>
  <c r="U294" i="4"/>
  <c r="U290" i="4"/>
  <c r="U286" i="4"/>
  <c r="U282" i="4"/>
  <c r="U278" i="4"/>
  <c r="U274" i="4"/>
  <c r="U270" i="4"/>
  <c r="U266" i="4"/>
  <c r="U262" i="4"/>
  <c r="U258" i="4"/>
  <c r="U254" i="4"/>
  <c r="U250" i="4"/>
  <c r="U246" i="4"/>
  <c r="U242" i="4"/>
  <c r="U238" i="4"/>
  <c r="U234" i="4"/>
  <c r="U230" i="4"/>
  <c r="U226" i="4"/>
  <c r="U222" i="4"/>
  <c r="U218" i="4"/>
  <c r="U214" i="4"/>
  <c r="U210" i="4"/>
  <c r="U206" i="4"/>
  <c r="U202" i="4"/>
  <c r="U198" i="4"/>
  <c r="U194" i="4"/>
  <c r="U190" i="4"/>
  <c r="U186" i="4"/>
  <c r="U182" i="4"/>
  <c r="U178" i="4"/>
  <c r="U174" i="4"/>
  <c r="U170" i="4"/>
  <c r="U166" i="4"/>
  <c r="U162" i="4"/>
  <c r="U158" i="4"/>
  <c r="U154" i="4"/>
  <c r="U150" i="4"/>
  <c r="U146" i="4"/>
  <c r="U142" i="4"/>
  <c r="U138" i="4"/>
  <c r="U134" i="4"/>
  <c r="U130" i="4"/>
  <c r="U126" i="4"/>
  <c r="U122" i="4"/>
  <c r="U118" i="4"/>
  <c r="U114" i="4"/>
  <c r="U110" i="4"/>
  <c r="U106" i="4"/>
  <c r="U102" i="4"/>
  <c r="U98" i="4"/>
  <c r="U94" i="4"/>
  <c r="U90" i="4"/>
  <c r="U86" i="4"/>
  <c r="U82" i="4"/>
  <c r="U78" i="4"/>
  <c r="U74" i="4"/>
  <c r="U70" i="4"/>
  <c r="U66" i="4"/>
  <c r="U62" i="4"/>
  <c r="U58" i="4"/>
  <c r="U54" i="4"/>
  <c r="U50" i="4"/>
  <c r="U46" i="4"/>
  <c r="U42" i="4"/>
  <c r="U38" i="4"/>
  <c r="U34" i="4"/>
  <c r="U30" i="4"/>
  <c r="U26" i="4"/>
  <c r="U22" i="4"/>
  <c r="U18" i="4"/>
  <c r="U14" i="4"/>
  <c r="U10" i="4"/>
  <c r="I3" i="4"/>
  <c r="Q295" i="4"/>
  <c r="Q291" i="4"/>
  <c r="Q287" i="4"/>
  <c r="Q283" i="4"/>
  <c r="Q279" i="4"/>
  <c r="Q275" i="4"/>
  <c r="Q271" i="4"/>
  <c r="Q267" i="4"/>
  <c r="Q263" i="4"/>
  <c r="Q259" i="4"/>
  <c r="Q255" i="4"/>
  <c r="Q251" i="4"/>
  <c r="Q247" i="4"/>
  <c r="Q243" i="4"/>
  <c r="Q239" i="4"/>
  <c r="Q235" i="4"/>
  <c r="Q231" i="4"/>
  <c r="Q227" i="4"/>
  <c r="Q223" i="4"/>
  <c r="Q219" i="4"/>
  <c r="Q215" i="4"/>
  <c r="Q211" i="4"/>
  <c r="Q207" i="4"/>
  <c r="Q203" i="4"/>
  <c r="Q199" i="4"/>
  <c r="Q195" i="4"/>
  <c r="Q191" i="4"/>
  <c r="Q187" i="4"/>
  <c r="Q183" i="4"/>
  <c r="Q179" i="4"/>
  <c r="Q175" i="4"/>
  <c r="Q171" i="4"/>
  <c r="Q167" i="4"/>
  <c r="Q163" i="4"/>
  <c r="Q159" i="4"/>
  <c r="Q155" i="4"/>
  <c r="Q151" i="4"/>
  <c r="Q147" i="4"/>
  <c r="Q143" i="4"/>
  <c r="Q139" i="4"/>
  <c r="Q135" i="4"/>
  <c r="Q131" i="4"/>
  <c r="Q127" i="4"/>
  <c r="Q123" i="4"/>
  <c r="Q119" i="4"/>
  <c r="Q115" i="4"/>
  <c r="Q111" i="4"/>
  <c r="Q107" i="4"/>
  <c r="Q103" i="4"/>
  <c r="Q99" i="4"/>
  <c r="Q95" i="4"/>
  <c r="Q91" i="4"/>
  <c r="Q87" i="4"/>
  <c r="Q83" i="4"/>
  <c r="Q79" i="4"/>
  <c r="Q75" i="4"/>
  <c r="Q71" i="4"/>
  <c r="Q67" i="4"/>
  <c r="Q63" i="4"/>
  <c r="Q59" i="4"/>
  <c r="Q55" i="4"/>
  <c r="Q51" i="4"/>
  <c r="Q47" i="4"/>
  <c r="Q43" i="4"/>
  <c r="Q39" i="4"/>
  <c r="Q35" i="4"/>
  <c r="Q31" i="4"/>
  <c r="Q27" i="4"/>
  <c r="Q23" i="4"/>
  <c r="Q19" i="4"/>
  <c r="Q15" i="4"/>
  <c r="Q11" i="4"/>
  <c r="Q7" i="4"/>
  <c r="Q3" i="4"/>
  <c r="Q294" i="4"/>
  <c r="Q290" i="4"/>
  <c r="Q286" i="4"/>
  <c r="Q282" i="4"/>
  <c r="Q278" i="4"/>
  <c r="Q274" i="4"/>
  <c r="Q270" i="4"/>
  <c r="Q266" i="4"/>
  <c r="Q262" i="4"/>
  <c r="Q258" i="4"/>
  <c r="Q254" i="4"/>
  <c r="Q250" i="4"/>
  <c r="Q246" i="4"/>
  <c r="Q242" i="4"/>
  <c r="Q238" i="4"/>
  <c r="Q234" i="4"/>
  <c r="Q230" i="4"/>
  <c r="Q226" i="4"/>
  <c r="Q222" i="4"/>
  <c r="Q218" i="4"/>
  <c r="Q214" i="4"/>
  <c r="Q210" i="4"/>
  <c r="Q206" i="4"/>
  <c r="Q202" i="4"/>
  <c r="Q198" i="4"/>
  <c r="Q194" i="4"/>
  <c r="Q190" i="4"/>
  <c r="Q186" i="4"/>
  <c r="Q182" i="4"/>
  <c r="Q178" i="4"/>
  <c r="Q174" i="4"/>
  <c r="Q170" i="4"/>
  <c r="Q166" i="4"/>
  <c r="Q162" i="4"/>
  <c r="Q158" i="4"/>
  <c r="Q154" i="4"/>
  <c r="Q150" i="4"/>
  <c r="Q146" i="4"/>
  <c r="Q142" i="4"/>
  <c r="Q138" i="4"/>
  <c r="Q134" i="4"/>
  <c r="Q130" i="4"/>
  <c r="Q126" i="4"/>
  <c r="Q122" i="4"/>
  <c r="Q118" i="4"/>
  <c r="Q114" i="4"/>
  <c r="Q110" i="4"/>
  <c r="Q106" i="4"/>
  <c r="Q102" i="4"/>
  <c r="Q98" i="4"/>
  <c r="Q94" i="4"/>
  <c r="Q90" i="4"/>
  <c r="Q86" i="4"/>
  <c r="Q82" i="4"/>
  <c r="Q78" i="4"/>
  <c r="Q74" i="4"/>
  <c r="Q70" i="4"/>
  <c r="Q66" i="4"/>
  <c r="Q62" i="4"/>
  <c r="Q58" i="4"/>
  <c r="Q54" i="4"/>
  <c r="Q50" i="4"/>
  <c r="Q46" i="4"/>
  <c r="Q42" i="4"/>
  <c r="Q38" i="4"/>
  <c r="Q34" i="4"/>
  <c r="Q30" i="4"/>
  <c r="Q26" i="4"/>
  <c r="Q22" i="4"/>
  <c r="Q18" i="4"/>
  <c r="Q14" i="4"/>
  <c r="Q10" i="4"/>
  <c r="Q6" i="4"/>
  <c r="Q293" i="4"/>
  <c r="Q289" i="4"/>
  <c r="Q285" i="4"/>
  <c r="Q281" i="4"/>
  <c r="Q277" i="4"/>
  <c r="Q273" i="4"/>
  <c r="Q269" i="4"/>
  <c r="Q265" i="4"/>
  <c r="Q261" i="4"/>
  <c r="Q257" i="4"/>
  <c r="Q253" i="4"/>
  <c r="Q249" i="4"/>
  <c r="Q245" i="4"/>
  <c r="Q241" i="4"/>
  <c r="Q237" i="4"/>
  <c r="Q233" i="4"/>
  <c r="Q229" i="4"/>
  <c r="Q225" i="4"/>
  <c r="Q221" i="4"/>
  <c r="Q217" i="4"/>
  <c r="Q213" i="4"/>
  <c r="Q209" i="4"/>
  <c r="Q205" i="4"/>
  <c r="Q201" i="4"/>
  <c r="Q197" i="4"/>
  <c r="Q193" i="4"/>
  <c r="Q189" i="4"/>
  <c r="Q185" i="4"/>
  <c r="Q181" i="4"/>
  <c r="Q177" i="4"/>
  <c r="Q173" i="4"/>
  <c r="Q169" i="4"/>
  <c r="Q165" i="4"/>
  <c r="Q161" i="4"/>
  <c r="Q157" i="4"/>
  <c r="Q153" i="4"/>
  <c r="Q149" i="4"/>
  <c r="Q145" i="4"/>
  <c r="Q141" i="4"/>
  <c r="Q137" i="4"/>
  <c r="Q133" i="4"/>
  <c r="Q129" i="4"/>
  <c r="Q125" i="4"/>
  <c r="Q121" i="4"/>
  <c r="Q117" i="4"/>
  <c r="Q113" i="4"/>
  <c r="Q109" i="4"/>
  <c r="Q105" i="4"/>
  <c r="Q101" i="4"/>
  <c r="Q97" i="4"/>
  <c r="Q93" i="4"/>
  <c r="Q89" i="4"/>
  <c r="Q85" i="4"/>
  <c r="Q81" i="4"/>
  <c r="Q77" i="4"/>
  <c r="Q73" i="4"/>
  <c r="Q69" i="4"/>
  <c r="Q65" i="4"/>
  <c r="Q61" i="4"/>
  <c r="Q57" i="4"/>
  <c r="Q53" i="4"/>
  <c r="Q49" i="4"/>
  <c r="Q45" i="4"/>
  <c r="Q41" i="4"/>
  <c r="Q37" i="4"/>
  <c r="Q33" i="4"/>
  <c r="Q29" i="4"/>
  <c r="Q25" i="4"/>
  <c r="Q21" i="4"/>
  <c r="Q17" i="4"/>
  <c r="Q13" i="4"/>
  <c r="Q9" i="4"/>
  <c r="Q5" i="4"/>
  <c r="Q296" i="4"/>
  <c r="Q292" i="4"/>
  <c r="Q288" i="4"/>
  <c r="Q284" i="4"/>
  <c r="Q280" i="4"/>
  <c r="Q276" i="4"/>
  <c r="Q272" i="4"/>
  <c r="Q268" i="4"/>
  <c r="Q264" i="4"/>
  <c r="Q260" i="4"/>
  <c r="Q256" i="4"/>
  <c r="Q252" i="4"/>
  <c r="Q248" i="4"/>
  <c r="Q244" i="4"/>
  <c r="Q240" i="4"/>
  <c r="Q236" i="4"/>
  <c r="Q232" i="4"/>
  <c r="Q228" i="4"/>
  <c r="Q224" i="4"/>
  <c r="Q220" i="4"/>
  <c r="Q216" i="4"/>
  <c r="Q212" i="4"/>
  <c r="Q208" i="4"/>
  <c r="Q204" i="4"/>
  <c r="Q200" i="4"/>
  <c r="Q196" i="4"/>
  <c r="Q192" i="4"/>
  <c r="Q188" i="4"/>
  <c r="Q184" i="4"/>
  <c r="Q180" i="4"/>
  <c r="Q176" i="4"/>
  <c r="Q172" i="4"/>
  <c r="Q168" i="4"/>
  <c r="Q164" i="4"/>
  <c r="Q160" i="4"/>
  <c r="Q156" i="4"/>
  <c r="Q152" i="4"/>
  <c r="Q148" i="4"/>
  <c r="Q144" i="4"/>
  <c r="Q140" i="4"/>
  <c r="Q136" i="4"/>
  <c r="Q132" i="4"/>
  <c r="Q128" i="4"/>
  <c r="Q124" i="4"/>
  <c r="Q120" i="4"/>
  <c r="Q116" i="4"/>
  <c r="Q112" i="4"/>
  <c r="Q108" i="4"/>
  <c r="Q104" i="4"/>
  <c r="Q100" i="4"/>
  <c r="Q96" i="4"/>
  <c r="Q92" i="4"/>
  <c r="Q88" i="4"/>
  <c r="Q84" i="4"/>
  <c r="Q80" i="4"/>
  <c r="Q76" i="4"/>
  <c r="Q72" i="4"/>
  <c r="Q68" i="4"/>
  <c r="Q64" i="4"/>
  <c r="Q60" i="4"/>
  <c r="Q56" i="4"/>
  <c r="Q52" i="4"/>
  <c r="Q48" i="4"/>
  <c r="Q44" i="4"/>
  <c r="Q40" i="4"/>
  <c r="Q36" i="4"/>
  <c r="Q32" i="4"/>
  <c r="Q28" i="4"/>
  <c r="Q24" i="4"/>
  <c r="Q20" i="4"/>
  <c r="Q16" i="4"/>
  <c r="Q12" i="4"/>
  <c r="Q8" i="4"/>
  <c r="M3" i="4"/>
  <c r="M294" i="4"/>
  <c r="M290" i="4"/>
  <c r="M286" i="4"/>
  <c r="M282" i="4"/>
  <c r="M278" i="4"/>
  <c r="M274" i="4"/>
  <c r="M270" i="4"/>
  <c r="M266" i="4"/>
  <c r="M262" i="4"/>
  <c r="M258" i="4"/>
  <c r="M254" i="4"/>
  <c r="M250" i="4"/>
  <c r="M246" i="4"/>
  <c r="M242" i="4"/>
  <c r="M238" i="4"/>
  <c r="M234" i="4"/>
  <c r="M230" i="4"/>
  <c r="M226" i="4"/>
  <c r="M222" i="4"/>
  <c r="M218" i="4"/>
  <c r="M214" i="4"/>
  <c r="M210" i="4"/>
  <c r="M206" i="4"/>
  <c r="M202" i="4"/>
  <c r="M198" i="4"/>
  <c r="M194" i="4"/>
  <c r="M190" i="4"/>
  <c r="M186" i="4"/>
  <c r="M182" i="4"/>
  <c r="M178" i="4"/>
  <c r="M174" i="4"/>
  <c r="M170" i="4"/>
  <c r="M166" i="4"/>
  <c r="M162" i="4"/>
  <c r="M158" i="4"/>
  <c r="M154" i="4"/>
  <c r="M150" i="4"/>
  <c r="M146" i="4"/>
  <c r="M142" i="4"/>
  <c r="M138" i="4"/>
  <c r="M134" i="4"/>
  <c r="M130" i="4"/>
  <c r="M126" i="4"/>
  <c r="M122" i="4"/>
  <c r="M118" i="4"/>
  <c r="M114" i="4"/>
  <c r="M110" i="4"/>
  <c r="M106" i="4"/>
  <c r="M102" i="4"/>
  <c r="M98" i="4"/>
  <c r="M94" i="4"/>
  <c r="M90" i="4"/>
  <c r="M86" i="4"/>
  <c r="M82" i="4"/>
  <c r="M78" i="4"/>
  <c r="M74" i="4"/>
  <c r="M70" i="4"/>
  <c r="M66" i="4"/>
  <c r="M62" i="4"/>
  <c r="M58" i="4"/>
  <c r="M54" i="4"/>
  <c r="M50" i="4"/>
  <c r="M46" i="4"/>
  <c r="M42" i="4"/>
  <c r="M38" i="4"/>
  <c r="M34" i="4"/>
  <c r="M30" i="4"/>
  <c r="M26" i="4"/>
  <c r="M22" i="4"/>
  <c r="M18" i="4"/>
  <c r="M14" i="4"/>
  <c r="M10" i="4"/>
  <c r="M6" i="4"/>
  <c r="M2" i="4"/>
  <c r="M293" i="4"/>
  <c r="M289" i="4"/>
  <c r="M285" i="4"/>
  <c r="M281" i="4"/>
  <c r="M277" i="4"/>
  <c r="M273" i="4"/>
  <c r="M269" i="4"/>
  <c r="M265" i="4"/>
  <c r="M261" i="4"/>
  <c r="M257" i="4"/>
  <c r="M253" i="4"/>
  <c r="M249" i="4"/>
  <c r="M245" i="4"/>
  <c r="M241" i="4"/>
  <c r="M237" i="4"/>
  <c r="M233" i="4"/>
  <c r="M229" i="4"/>
  <c r="M225" i="4"/>
  <c r="M221" i="4"/>
  <c r="M217" i="4"/>
  <c r="M213" i="4"/>
  <c r="M209" i="4"/>
  <c r="M205" i="4"/>
  <c r="M201" i="4"/>
  <c r="M197" i="4"/>
  <c r="M193" i="4"/>
  <c r="M189" i="4"/>
  <c r="M185" i="4"/>
  <c r="M181" i="4"/>
  <c r="M177" i="4"/>
  <c r="M173" i="4"/>
  <c r="M169" i="4"/>
  <c r="M165" i="4"/>
  <c r="M161" i="4"/>
  <c r="M157" i="4"/>
  <c r="M153" i="4"/>
  <c r="M149" i="4"/>
  <c r="M145" i="4"/>
  <c r="M141" i="4"/>
  <c r="M137" i="4"/>
  <c r="M133" i="4"/>
  <c r="M129" i="4"/>
  <c r="M125" i="4"/>
  <c r="M121" i="4"/>
  <c r="M117" i="4"/>
  <c r="M113" i="4"/>
  <c r="M109" i="4"/>
  <c r="M105" i="4"/>
  <c r="M101" i="4"/>
  <c r="M97" i="4"/>
  <c r="M93" i="4"/>
  <c r="M89" i="4"/>
  <c r="M85" i="4"/>
  <c r="M81" i="4"/>
  <c r="M77" i="4"/>
  <c r="M73" i="4"/>
  <c r="M69" i="4"/>
  <c r="M65" i="4"/>
  <c r="M61" i="4"/>
  <c r="M57" i="4"/>
  <c r="M53" i="4"/>
  <c r="M49" i="4"/>
  <c r="M45" i="4"/>
  <c r="M41" i="4"/>
  <c r="M37" i="4"/>
  <c r="M33" i="4"/>
  <c r="M29" i="4"/>
  <c r="M25" i="4"/>
  <c r="M21" i="4"/>
  <c r="M17" i="4"/>
  <c r="M13" i="4"/>
  <c r="M9" i="4"/>
  <c r="M5" i="4"/>
  <c r="M296" i="4"/>
  <c r="M292" i="4"/>
  <c r="M288" i="4"/>
  <c r="M284" i="4"/>
  <c r="M280" i="4"/>
  <c r="M276" i="4"/>
  <c r="M272" i="4"/>
  <c r="M268" i="4"/>
  <c r="M264" i="4"/>
  <c r="M260" i="4"/>
  <c r="M256" i="4"/>
  <c r="M252" i="4"/>
  <c r="M248" i="4"/>
  <c r="M244" i="4"/>
  <c r="M240" i="4"/>
  <c r="M236" i="4"/>
  <c r="M232" i="4"/>
  <c r="M228" i="4"/>
  <c r="M224" i="4"/>
  <c r="M220" i="4"/>
  <c r="M216" i="4"/>
  <c r="M212" i="4"/>
  <c r="M208" i="4"/>
  <c r="M204" i="4"/>
  <c r="M200" i="4"/>
  <c r="M196" i="4"/>
  <c r="M192" i="4"/>
  <c r="M188" i="4"/>
  <c r="M184" i="4"/>
  <c r="M180" i="4"/>
  <c r="M176" i="4"/>
  <c r="M172" i="4"/>
  <c r="M168" i="4"/>
  <c r="M164" i="4"/>
  <c r="M160" i="4"/>
  <c r="M156" i="4"/>
  <c r="M152" i="4"/>
  <c r="M148" i="4"/>
  <c r="M144" i="4"/>
  <c r="M140" i="4"/>
  <c r="M136" i="4"/>
  <c r="M132" i="4"/>
  <c r="M128" i="4"/>
  <c r="M124" i="4"/>
  <c r="M120" i="4"/>
  <c r="M116" i="4"/>
  <c r="M112" i="4"/>
  <c r="M108" i="4"/>
  <c r="M104" i="4"/>
  <c r="M100" i="4"/>
  <c r="M96" i="4"/>
  <c r="M92" i="4"/>
  <c r="M88" i="4"/>
  <c r="M84" i="4"/>
  <c r="M80" i="4"/>
  <c r="M76" i="4"/>
  <c r="M72" i="4"/>
  <c r="M68" i="4"/>
  <c r="M64" i="4"/>
  <c r="M60" i="4"/>
  <c r="M56" i="4"/>
  <c r="M52" i="4"/>
  <c r="M48" i="4"/>
  <c r="M44" i="4"/>
  <c r="M40" i="4"/>
  <c r="M36" i="4"/>
  <c r="M32" i="4"/>
  <c r="M28" i="4"/>
  <c r="M24" i="4"/>
  <c r="M20" i="4"/>
  <c r="M16" i="4"/>
  <c r="M12" i="4"/>
  <c r="M8" i="4"/>
  <c r="M4" i="4"/>
  <c r="M295" i="4"/>
  <c r="M291" i="4"/>
  <c r="M287" i="4"/>
  <c r="M283" i="4"/>
  <c r="M279" i="4"/>
  <c r="M275" i="4"/>
  <c r="M271" i="4"/>
  <c r="M267" i="4"/>
  <c r="M263" i="4"/>
  <c r="M259" i="4"/>
  <c r="M255" i="4"/>
  <c r="M251" i="4"/>
  <c r="M247" i="4"/>
  <c r="M243" i="4"/>
  <c r="M239" i="4"/>
  <c r="M235" i="4"/>
  <c r="M231" i="4"/>
  <c r="M227" i="4"/>
  <c r="M223" i="4"/>
  <c r="M219" i="4"/>
  <c r="M215" i="4"/>
  <c r="M211" i="4"/>
  <c r="M207" i="4"/>
  <c r="M203" i="4"/>
  <c r="M199" i="4"/>
  <c r="M195" i="4"/>
  <c r="M191" i="4"/>
  <c r="M187" i="4"/>
  <c r="M183" i="4"/>
  <c r="M179" i="4"/>
  <c r="M175" i="4"/>
  <c r="M171" i="4"/>
  <c r="M167" i="4"/>
  <c r="M163" i="4"/>
  <c r="M159" i="4"/>
  <c r="M155" i="4"/>
  <c r="M151" i="4"/>
  <c r="M147" i="4"/>
  <c r="M143" i="4"/>
  <c r="M139" i="4"/>
  <c r="M135" i="4"/>
  <c r="M131" i="4"/>
  <c r="M127" i="4"/>
  <c r="M123" i="4"/>
  <c r="M119" i="4"/>
  <c r="M115" i="4"/>
  <c r="M111" i="4"/>
  <c r="M107" i="4"/>
  <c r="M103" i="4"/>
  <c r="M99" i="4"/>
  <c r="M95" i="4"/>
  <c r="M91" i="4"/>
  <c r="M87" i="4"/>
  <c r="M83" i="4"/>
  <c r="M79" i="4"/>
  <c r="M75" i="4"/>
  <c r="M71" i="4"/>
  <c r="M67" i="4"/>
  <c r="M63" i="4"/>
  <c r="M59" i="4"/>
  <c r="M55" i="4"/>
  <c r="M51" i="4"/>
  <c r="M47" i="4"/>
  <c r="M43" i="4"/>
  <c r="M39" i="4"/>
  <c r="M35" i="4"/>
  <c r="M31" i="4"/>
  <c r="M27" i="4"/>
  <c r="M23" i="4"/>
  <c r="M19" i="4"/>
  <c r="M15" i="4"/>
  <c r="M11" i="4"/>
  <c r="M7" i="4"/>
  <c r="I294" i="4"/>
  <c r="I290" i="4"/>
  <c r="I286" i="4"/>
  <c r="I282" i="4"/>
  <c r="I278" i="4"/>
  <c r="I274" i="4"/>
  <c r="I270" i="4"/>
  <c r="I266" i="4"/>
  <c r="I262" i="4"/>
  <c r="I258" i="4"/>
  <c r="I254" i="4"/>
  <c r="I250" i="4"/>
  <c r="I246" i="4"/>
  <c r="I242" i="4"/>
  <c r="I238" i="4"/>
  <c r="I234" i="4"/>
  <c r="I230" i="4"/>
  <c r="I226" i="4"/>
  <c r="I222" i="4"/>
  <c r="I218" i="4"/>
  <c r="I214" i="4"/>
  <c r="I210" i="4"/>
  <c r="I206" i="4"/>
  <c r="I202" i="4"/>
  <c r="I198" i="4"/>
  <c r="I194" i="4"/>
  <c r="I190" i="4"/>
  <c r="I186" i="4"/>
  <c r="I182" i="4"/>
  <c r="I178" i="4"/>
  <c r="I174" i="4"/>
  <c r="I170" i="4"/>
  <c r="I166" i="4"/>
  <c r="I162" i="4"/>
  <c r="I158" i="4"/>
  <c r="I154" i="4"/>
  <c r="I150" i="4"/>
  <c r="I146" i="4"/>
  <c r="I142" i="4"/>
  <c r="I138" i="4"/>
  <c r="I134" i="4"/>
  <c r="I130" i="4"/>
  <c r="I126" i="4"/>
  <c r="I122" i="4"/>
  <c r="I118" i="4"/>
  <c r="I114" i="4"/>
  <c r="I110" i="4"/>
  <c r="I106" i="4"/>
  <c r="I102" i="4"/>
  <c r="I98" i="4"/>
  <c r="I94" i="4"/>
  <c r="I90" i="4"/>
  <c r="I86" i="4"/>
  <c r="I82" i="4"/>
  <c r="I78" i="4"/>
  <c r="I74" i="4"/>
  <c r="I70" i="4"/>
  <c r="I66" i="4"/>
  <c r="I62" i="4"/>
  <c r="I58" i="4"/>
  <c r="I54" i="4"/>
  <c r="I50" i="4"/>
  <c r="I46" i="4"/>
  <c r="I42" i="4"/>
  <c r="I38" i="4"/>
  <c r="I34" i="4"/>
  <c r="I30" i="4"/>
  <c r="I26" i="4"/>
  <c r="I22" i="4"/>
  <c r="I18" i="4"/>
  <c r="I14" i="4"/>
  <c r="I10" i="4"/>
  <c r="I6" i="4"/>
  <c r="I297" i="4"/>
  <c r="I293" i="4"/>
  <c r="I289" i="4"/>
  <c r="I285" i="4"/>
  <c r="I281" i="4"/>
  <c r="I277" i="4"/>
  <c r="I273" i="4"/>
  <c r="I269" i="4"/>
  <c r="I265" i="4"/>
  <c r="I261" i="4"/>
  <c r="I257" i="4"/>
  <c r="I253" i="4"/>
  <c r="I249" i="4"/>
  <c r="I245" i="4"/>
  <c r="I241" i="4"/>
  <c r="I237" i="4"/>
  <c r="I233" i="4"/>
  <c r="I229" i="4"/>
  <c r="I225" i="4"/>
  <c r="I221" i="4"/>
  <c r="I217" i="4"/>
  <c r="I213" i="4"/>
  <c r="I209" i="4"/>
  <c r="I205" i="4"/>
  <c r="I201" i="4"/>
  <c r="I197" i="4"/>
  <c r="I193" i="4"/>
  <c r="I189" i="4"/>
  <c r="I185" i="4"/>
  <c r="I181" i="4"/>
  <c r="I177" i="4"/>
  <c r="I173" i="4"/>
  <c r="I169" i="4"/>
  <c r="I165" i="4"/>
  <c r="I161" i="4"/>
  <c r="I157" i="4"/>
  <c r="I153" i="4"/>
  <c r="I149" i="4"/>
  <c r="I145" i="4"/>
  <c r="I141" i="4"/>
  <c r="I137" i="4"/>
  <c r="I133" i="4"/>
  <c r="I129" i="4"/>
  <c r="I125" i="4"/>
  <c r="I121" i="4"/>
  <c r="I117" i="4"/>
  <c r="I113" i="4"/>
  <c r="I109" i="4"/>
  <c r="I105" i="4"/>
  <c r="I101" i="4"/>
  <c r="I97" i="4"/>
  <c r="I93" i="4"/>
  <c r="I89" i="4"/>
  <c r="I85" i="4"/>
  <c r="I81" i="4"/>
  <c r="I77" i="4"/>
  <c r="I73" i="4"/>
  <c r="I69" i="4"/>
  <c r="I65" i="4"/>
  <c r="I61" i="4"/>
  <c r="I57" i="4"/>
  <c r="I53" i="4"/>
  <c r="I49" i="4"/>
  <c r="I45" i="4"/>
  <c r="I41" i="4"/>
  <c r="I37" i="4"/>
  <c r="I33" i="4"/>
  <c r="I29" i="4"/>
  <c r="I25" i="4"/>
  <c r="I21" i="4"/>
  <c r="I17" i="4"/>
  <c r="I13" i="4"/>
  <c r="I9" i="4"/>
  <c r="I5" i="4"/>
  <c r="I296" i="4"/>
  <c r="I292" i="4"/>
  <c r="I288" i="4"/>
  <c r="I284" i="4"/>
  <c r="I280" i="4"/>
  <c r="I276" i="4"/>
  <c r="I272" i="4"/>
  <c r="I268" i="4"/>
  <c r="I264" i="4"/>
  <c r="I260" i="4"/>
  <c r="I256" i="4"/>
  <c r="I252" i="4"/>
  <c r="I248" i="4"/>
  <c r="I244" i="4"/>
  <c r="I240" i="4"/>
  <c r="I236" i="4"/>
  <c r="I232" i="4"/>
  <c r="I228" i="4"/>
  <c r="I224" i="4"/>
  <c r="I220" i="4"/>
  <c r="I216" i="4"/>
  <c r="I212" i="4"/>
  <c r="I208" i="4"/>
  <c r="I204" i="4"/>
  <c r="I200" i="4"/>
  <c r="I196" i="4"/>
  <c r="I192" i="4"/>
  <c r="I188" i="4"/>
  <c r="I184" i="4"/>
  <c r="I180" i="4"/>
  <c r="I176" i="4"/>
  <c r="I172" i="4"/>
  <c r="I168" i="4"/>
  <c r="I164" i="4"/>
  <c r="I160" i="4"/>
  <c r="I156" i="4"/>
  <c r="I152" i="4"/>
  <c r="I148" i="4"/>
  <c r="I144" i="4"/>
  <c r="I140" i="4"/>
  <c r="I136" i="4"/>
  <c r="I132" i="4"/>
  <c r="I128" i="4"/>
  <c r="I124" i="4"/>
  <c r="I120" i="4"/>
  <c r="I116" i="4"/>
  <c r="I112" i="4"/>
  <c r="I108" i="4"/>
  <c r="I104" i="4"/>
  <c r="I100" i="4"/>
  <c r="I96" i="4"/>
  <c r="I92" i="4"/>
  <c r="I88" i="4"/>
  <c r="I84" i="4"/>
  <c r="I80" i="4"/>
  <c r="I76" i="4"/>
  <c r="I72" i="4"/>
  <c r="I68" i="4"/>
  <c r="I64" i="4"/>
  <c r="I60" i="4"/>
  <c r="I56" i="4"/>
  <c r="I52" i="4"/>
  <c r="I48" i="4"/>
  <c r="I44" i="4"/>
  <c r="I40" i="4"/>
  <c r="I36" i="4"/>
  <c r="I32" i="4"/>
  <c r="I28" i="4"/>
  <c r="I24" i="4"/>
  <c r="I20" i="4"/>
  <c r="I16" i="4"/>
  <c r="I12" i="4"/>
  <c r="I8" i="4"/>
  <c r="I4" i="4"/>
  <c r="I295" i="4"/>
  <c r="I291" i="4"/>
  <c r="I287" i="4"/>
  <c r="I283" i="4"/>
  <c r="I279" i="4"/>
  <c r="I275" i="4"/>
  <c r="I271" i="4"/>
  <c r="I267" i="4"/>
  <c r="I263" i="4"/>
  <c r="I259" i="4"/>
  <c r="I255" i="4"/>
  <c r="I251" i="4"/>
  <c r="I247" i="4"/>
  <c r="I243" i="4"/>
  <c r="I239" i="4"/>
  <c r="I235" i="4"/>
  <c r="I231" i="4"/>
  <c r="I227" i="4"/>
  <c r="I223" i="4"/>
  <c r="I219" i="4"/>
  <c r="I215" i="4"/>
  <c r="I211" i="4"/>
  <c r="I207" i="4"/>
  <c r="I203" i="4"/>
  <c r="I199" i="4"/>
  <c r="I195" i="4"/>
  <c r="I191" i="4"/>
  <c r="I187" i="4"/>
  <c r="I183" i="4"/>
  <c r="I179" i="4"/>
  <c r="I175" i="4"/>
  <c r="I171" i="4"/>
  <c r="I167" i="4"/>
  <c r="I163" i="4"/>
  <c r="I159" i="4"/>
  <c r="I155" i="4"/>
  <c r="I151" i="4"/>
  <c r="I147" i="4"/>
  <c r="I143" i="4"/>
  <c r="I139" i="4"/>
  <c r="I135" i="4"/>
  <c r="I131" i="4"/>
  <c r="I127" i="4"/>
  <c r="I123" i="4"/>
  <c r="I119" i="4"/>
  <c r="I115" i="4"/>
  <c r="I111" i="4"/>
  <c r="I107" i="4"/>
  <c r="I103" i="4"/>
  <c r="I99" i="4"/>
  <c r="I95" i="4"/>
  <c r="I91" i="4"/>
  <c r="I87" i="4"/>
  <c r="I83" i="4"/>
  <c r="I79" i="4"/>
  <c r="I75" i="4"/>
  <c r="I71" i="4"/>
  <c r="I67" i="4"/>
  <c r="I63" i="4"/>
  <c r="I59" i="4"/>
  <c r="I55" i="4"/>
  <c r="I51" i="4"/>
  <c r="I47" i="4"/>
  <c r="I43" i="4"/>
  <c r="I39" i="4"/>
  <c r="I35" i="4"/>
  <c r="I31" i="4"/>
  <c r="I27" i="4"/>
  <c r="I23" i="4"/>
  <c r="I19" i="4"/>
  <c r="I15" i="4"/>
  <c r="I11" i="4"/>
  <c r="I7" i="4"/>
  <c r="CT319" i="4" l="1"/>
  <c r="CT309" i="4"/>
  <c r="CT332" i="4"/>
  <c r="CS310" i="4"/>
  <c r="CS313" i="4"/>
  <c r="CT328" i="4"/>
  <c r="CT316" i="4"/>
  <c r="CS306" i="4"/>
  <c r="CT301" i="4"/>
  <c r="CS317" i="4"/>
  <c r="CS335" i="4"/>
  <c r="CT314" i="4"/>
  <c r="CT330" i="4"/>
  <c r="CT303" i="4"/>
  <c r="CS319" i="4"/>
  <c r="CS338" i="4"/>
  <c r="CT327" i="4"/>
  <c r="CS315" i="4"/>
  <c r="CS331" i="4"/>
  <c r="CT320" i="4"/>
  <c r="CS301" i="4"/>
  <c r="CT317" i="4"/>
  <c r="CT333" i="4"/>
  <c r="CS333" i="4"/>
  <c r="CT306" i="4"/>
  <c r="CS322" i="4"/>
  <c r="CS303" i="4"/>
  <c r="CT305" i="4"/>
  <c r="CT321" i="4"/>
  <c r="CT337" i="4"/>
  <c r="CS309" i="4"/>
  <c r="CS325" i="4"/>
  <c r="CS341" i="4"/>
  <c r="CT310" i="4"/>
  <c r="CT326" i="4"/>
  <c r="CS314" i="4"/>
  <c r="CS330" i="4"/>
  <c r="CT311" i="4"/>
  <c r="CS299" i="4"/>
  <c r="CS316" i="4"/>
  <c r="CS305" i="4"/>
  <c r="CS321" i="4"/>
  <c r="CS337" i="4"/>
  <c r="CT299" i="4"/>
  <c r="CT315" i="4"/>
  <c r="CT331" i="4"/>
  <c r="CT304" i="4"/>
  <c r="CT15" i="4"/>
  <c r="CS15" i="4"/>
  <c r="CT31" i="4"/>
  <c r="CS31" i="4"/>
  <c r="CT47" i="4"/>
  <c r="CS47" i="4"/>
  <c r="CT63" i="4"/>
  <c r="CS63" i="4"/>
  <c r="CT79" i="4"/>
  <c r="CS79" i="4"/>
  <c r="CT95" i="4"/>
  <c r="CS95" i="4"/>
  <c r="CT111" i="4"/>
  <c r="CS111" i="4"/>
  <c r="CT127" i="4"/>
  <c r="CS127" i="4"/>
  <c r="CT143" i="4"/>
  <c r="CS143" i="4"/>
  <c r="CT159" i="4"/>
  <c r="CS159" i="4"/>
  <c r="CT175" i="4"/>
  <c r="CS175" i="4"/>
  <c r="CT191" i="4"/>
  <c r="CS191" i="4"/>
  <c r="CT207" i="4"/>
  <c r="CS207" i="4"/>
  <c r="CT223" i="4"/>
  <c r="CS223" i="4"/>
  <c r="CS239" i="4"/>
  <c r="CT239" i="4"/>
  <c r="CS255" i="4"/>
  <c r="CT255" i="4"/>
  <c r="CS271" i="4"/>
  <c r="CT271" i="4"/>
  <c r="CS287" i="4"/>
  <c r="CT287" i="4"/>
  <c r="CT8" i="4"/>
  <c r="CS8" i="4"/>
  <c r="CT24" i="4"/>
  <c r="CS24" i="4"/>
  <c r="CT40" i="4"/>
  <c r="CS40" i="4"/>
  <c r="CT56" i="4"/>
  <c r="CS56" i="4"/>
  <c r="CT72" i="4"/>
  <c r="CS72" i="4"/>
  <c r="CT88" i="4"/>
  <c r="CS88" i="4"/>
  <c r="CT104" i="4"/>
  <c r="CS104" i="4"/>
  <c r="CT120" i="4"/>
  <c r="CS120" i="4"/>
  <c r="CT136" i="4"/>
  <c r="CS136" i="4"/>
  <c r="CT152" i="4"/>
  <c r="CS152" i="4"/>
  <c r="CT168" i="4"/>
  <c r="CS168" i="4"/>
  <c r="CT184" i="4"/>
  <c r="CS184" i="4"/>
  <c r="CT200" i="4"/>
  <c r="CS200" i="4"/>
  <c r="CT216" i="4"/>
  <c r="CS216" i="4"/>
  <c r="CT232" i="4"/>
  <c r="CS232" i="4"/>
  <c r="CT248" i="4"/>
  <c r="CS248" i="4"/>
  <c r="CT264" i="4"/>
  <c r="CS264" i="4"/>
  <c r="CT280" i="4"/>
  <c r="CS280" i="4"/>
  <c r="CT296" i="4"/>
  <c r="CS296" i="4"/>
  <c r="CT17" i="4"/>
  <c r="CS17" i="4"/>
  <c r="CT33" i="4"/>
  <c r="CS33" i="4"/>
  <c r="CT49" i="4"/>
  <c r="CS49" i="4"/>
  <c r="CT65" i="4"/>
  <c r="CS65" i="4"/>
  <c r="CT81" i="4"/>
  <c r="CS81" i="4"/>
  <c r="CT97" i="4"/>
  <c r="CS97" i="4"/>
  <c r="CT113" i="4"/>
  <c r="CS113" i="4"/>
  <c r="CT129" i="4"/>
  <c r="CS129" i="4"/>
  <c r="CT145" i="4"/>
  <c r="CS145" i="4"/>
  <c r="CT161" i="4"/>
  <c r="CS161" i="4"/>
  <c r="CT177" i="4"/>
  <c r="CS177" i="4"/>
  <c r="CT193" i="4"/>
  <c r="CS193" i="4"/>
  <c r="CT209" i="4"/>
  <c r="CS209" i="4"/>
  <c r="CT225" i="4"/>
  <c r="CS225" i="4"/>
  <c r="CT241" i="4"/>
  <c r="CS241" i="4"/>
  <c r="CT257" i="4"/>
  <c r="CS257" i="4"/>
  <c r="CT273" i="4"/>
  <c r="CS273" i="4"/>
  <c r="CT289" i="4"/>
  <c r="CS289" i="4"/>
  <c r="CT10" i="4"/>
  <c r="CS10" i="4"/>
  <c r="CT26" i="4"/>
  <c r="CS26" i="4"/>
  <c r="CT42" i="4"/>
  <c r="CS42" i="4"/>
  <c r="CT58" i="4"/>
  <c r="CS58" i="4"/>
  <c r="CT74" i="4"/>
  <c r="CS74" i="4"/>
  <c r="CT90" i="4"/>
  <c r="CS90" i="4"/>
  <c r="CT106" i="4"/>
  <c r="CS106" i="4"/>
  <c r="CT122" i="4"/>
  <c r="CS122" i="4"/>
  <c r="CT138" i="4"/>
  <c r="CS138" i="4"/>
  <c r="CT154" i="4"/>
  <c r="CS154" i="4"/>
  <c r="CT170" i="4"/>
  <c r="CS170" i="4"/>
  <c r="CT186" i="4"/>
  <c r="CS186" i="4"/>
  <c r="CT202" i="4"/>
  <c r="CS202" i="4"/>
  <c r="CT218" i="4"/>
  <c r="CS218" i="4"/>
  <c r="CT234" i="4"/>
  <c r="CU234" i="4" s="1"/>
  <c r="CV234" i="4" s="1"/>
  <c r="CZ234" i="4" s="1"/>
  <c r="CS234" i="4"/>
  <c r="CT250" i="4"/>
  <c r="CS250" i="4"/>
  <c r="CT266" i="4"/>
  <c r="CS266" i="4"/>
  <c r="CT282" i="4"/>
  <c r="CS282" i="4"/>
  <c r="CT3" i="4"/>
  <c r="CS3" i="4"/>
  <c r="CT2" i="4"/>
  <c r="CS2" i="4"/>
  <c r="CT19" i="4"/>
  <c r="CS19" i="4"/>
  <c r="CT35" i="4"/>
  <c r="CS35" i="4"/>
  <c r="CT51" i="4"/>
  <c r="CS51" i="4"/>
  <c r="CT67" i="4"/>
  <c r="CS67" i="4"/>
  <c r="CT83" i="4"/>
  <c r="CS83" i="4"/>
  <c r="CT99" i="4"/>
  <c r="CS99" i="4"/>
  <c r="CT115" i="4"/>
  <c r="CS115" i="4"/>
  <c r="CT131" i="4"/>
  <c r="CS131" i="4"/>
  <c r="CT147" i="4"/>
  <c r="CU147" i="4" s="1"/>
  <c r="CV147" i="4" s="1"/>
  <c r="CZ147" i="4" s="1"/>
  <c r="CS147" i="4"/>
  <c r="CT163" i="4"/>
  <c r="CS163" i="4"/>
  <c r="CT179" i="4"/>
  <c r="CS179" i="4"/>
  <c r="CT195" i="4"/>
  <c r="CS195" i="4"/>
  <c r="CT211" i="4"/>
  <c r="CS211" i="4"/>
  <c r="CT227" i="4"/>
  <c r="CS227" i="4"/>
  <c r="CS243" i="4"/>
  <c r="CT243" i="4"/>
  <c r="CS259" i="4"/>
  <c r="CT259" i="4"/>
  <c r="CS275" i="4"/>
  <c r="CT275" i="4"/>
  <c r="CS291" i="4"/>
  <c r="CT291" i="4"/>
  <c r="CT12" i="4"/>
  <c r="CS12" i="4"/>
  <c r="CT28" i="4"/>
  <c r="CS28" i="4"/>
  <c r="CT44" i="4"/>
  <c r="CS44" i="4"/>
  <c r="CT60" i="4"/>
  <c r="CS60" i="4"/>
  <c r="CT76" i="4"/>
  <c r="CU76" i="4" s="1"/>
  <c r="CV76" i="4" s="1"/>
  <c r="CZ76" i="4" s="1"/>
  <c r="CS76" i="4"/>
  <c r="CT92" i="4"/>
  <c r="CS92" i="4"/>
  <c r="CT108" i="4"/>
  <c r="CS108" i="4"/>
  <c r="CT124" i="4"/>
  <c r="CS124" i="4"/>
  <c r="CT140" i="4"/>
  <c r="CS140" i="4"/>
  <c r="CT156" i="4"/>
  <c r="CS156" i="4"/>
  <c r="CT172" i="4"/>
  <c r="CS172" i="4"/>
  <c r="CT188" i="4"/>
  <c r="CS188" i="4"/>
  <c r="CT204" i="4"/>
  <c r="CS204" i="4"/>
  <c r="CT220" i="4"/>
  <c r="CU220" i="4" s="1"/>
  <c r="CV220" i="4" s="1"/>
  <c r="CZ220" i="4" s="1"/>
  <c r="CS220" i="4"/>
  <c r="CT236" i="4"/>
  <c r="CS236" i="4"/>
  <c r="CS252" i="4"/>
  <c r="CT252" i="4"/>
  <c r="CS268" i="4"/>
  <c r="CT268" i="4"/>
  <c r="CS284" i="4"/>
  <c r="CT284" i="4"/>
  <c r="CT5" i="4"/>
  <c r="CS5" i="4"/>
  <c r="CT21" i="4"/>
  <c r="CS21" i="4"/>
  <c r="CT37" i="4"/>
  <c r="CS37" i="4"/>
  <c r="CT53" i="4"/>
  <c r="CU53" i="4" s="1"/>
  <c r="CV53" i="4" s="1"/>
  <c r="CZ53" i="4" s="1"/>
  <c r="CS53" i="4"/>
  <c r="CT69" i="4"/>
  <c r="CS69" i="4"/>
  <c r="CT85" i="4"/>
  <c r="CU85" i="4" s="1"/>
  <c r="CV85" i="4" s="1"/>
  <c r="CZ85" i="4" s="1"/>
  <c r="CS85" i="4"/>
  <c r="CT101" i="4"/>
  <c r="CS101" i="4"/>
  <c r="CT117" i="4"/>
  <c r="CU117" i="4" s="1"/>
  <c r="CV117" i="4" s="1"/>
  <c r="CZ117" i="4" s="1"/>
  <c r="CS117" i="4"/>
  <c r="CT133" i="4"/>
  <c r="CS133" i="4"/>
  <c r="CT149" i="4"/>
  <c r="CU149" i="4" s="1"/>
  <c r="CV149" i="4" s="1"/>
  <c r="CZ149" i="4" s="1"/>
  <c r="CS149" i="4"/>
  <c r="CT165" i="4"/>
  <c r="CS165" i="4"/>
  <c r="CT181" i="4"/>
  <c r="CU181" i="4" s="1"/>
  <c r="CV181" i="4" s="1"/>
  <c r="CZ181" i="4" s="1"/>
  <c r="CS181" i="4"/>
  <c r="CT197" i="4"/>
  <c r="CS197" i="4"/>
  <c r="CT213" i="4"/>
  <c r="CS213" i="4"/>
  <c r="CT229" i="4"/>
  <c r="CS229" i="4"/>
  <c r="CT245" i="4"/>
  <c r="CU245" i="4" s="1"/>
  <c r="CV245" i="4" s="1"/>
  <c r="CZ245" i="4" s="1"/>
  <c r="CS245" i="4"/>
  <c r="CT261" i="4"/>
  <c r="CS261" i="4"/>
  <c r="CT277" i="4"/>
  <c r="CS277" i="4"/>
  <c r="CT293" i="4"/>
  <c r="CS293" i="4"/>
  <c r="CT14" i="4"/>
  <c r="CU14" i="4" s="1"/>
  <c r="CV14" i="4" s="1"/>
  <c r="CZ14" i="4" s="1"/>
  <c r="CS14" i="4"/>
  <c r="CT30" i="4"/>
  <c r="CS30" i="4"/>
  <c r="CT46" i="4"/>
  <c r="CU46" i="4" s="1"/>
  <c r="CV46" i="4" s="1"/>
  <c r="CZ46" i="4" s="1"/>
  <c r="CS46" i="4"/>
  <c r="CT62" i="4"/>
  <c r="CS62" i="4"/>
  <c r="CT78" i="4"/>
  <c r="CS78" i="4"/>
  <c r="CT94" i="4"/>
  <c r="CS94" i="4"/>
  <c r="CT110" i="4"/>
  <c r="CS110" i="4"/>
  <c r="CT126" i="4"/>
  <c r="CS126" i="4"/>
  <c r="CT142" i="4"/>
  <c r="CS142" i="4"/>
  <c r="CT158" i="4"/>
  <c r="CS158" i="4"/>
  <c r="CT174" i="4"/>
  <c r="CS174" i="4"/>
  <c r="CT190" i="4"/>
  <c r="CS190" i="4"/>
  <c r="CT206" i="4"/>
  <c r="CS206" i="4"/>
  <c r="CT222" i="4"/>
  <c r="CS222" i="4"/>
  <c r="CT238" i="4"/>
  <c r="CU238" i="4" s="1"/>
  <c r="CV238" i="4" s="1"/>
  <c r="CZ238" i="4" s="1"/>
  <c r="CS238" i="4"/>
  <c r="CT254" i="4"/>
  <c r="CS254" i="4"/>
  <c r="CT270" i="4"/>
  <c r="CU270" i="4" s="1"/>
  <c r="CV270" i="4" s="1"/>
  <c r="CZ270" i="4" s="1"/>
  <c r="CS270" i="4"/>
  <c r="CT286" i="4"/>
  <c r="CS286" i="4"/>
  <c r="CT7" i="4"/>
  <c r="CU7" i="4" s="1"/>
  <c r="CV7" i="4" s="1"/>
  <c r="CZ7" i="4" s="1"/>
  <c r="CS7" i="4"/>
  <c r="CT23" i="4"/>
  <c r="CS23" i="4"/>
  <c r="CT39" i="4"/>
  <c r="CS39" i="4"/>
  <c r="CT55" i="4"/>
  <c r="CS55" i="4"/>
  <c r="CT71" i="4"/>
  <c r="CU71" i="4" s="1"/>
  <c r="CV71" i="4" s="1"/>
  <c r="CZ71" i="4" s="1"/>
  <c r="CS71" i="4"/>
  <c r="CT87" i="4"/>
  <c r="CS87" i="4"/>
  <c r="CT103" i="4"/>
  <c r="CS103" i="4"/>
  <c r="CT119" i="4"/>
  <c r="CS119" i="4"/>
  <c r="CT135" i="4"/>
  <c r="CU135" i="4" s="1"/>
  <c r="CV135" i="4" s="1"/>
  <c r="CZ135" i="4" s="1"/>
  <c r="CS135" i="4"/>
  <c r="CT151" i="4"/>
  <c r="CS151" i="4"/>
  <c r="CT167" i="4"/>
  <c r="CS167" i="4"/>
  <c r="CT183" i="4"/>
  <c r="CS183" i="4"/>
  <c r="CT199" i="4"/>
  <c r="CS199" i="4"/>
  <c r="CT215" i="4"/>
  <c r="CS215" i="4"/>
  <c r="CT231" i="4"/>
  <c r="CS231" i="4"/>
  <c r="CS247" i="4"/>
  <c r="CT247" i="4"/>
  <c r="CS263" i="4"/>
  <c r="CU263" i="4" s="1"/>
  <c r="CV263" i="4" s="1"/>
  <c r="CZ263" i="4" s="1"/>
  <c r="CT263" i="4"/>
  <c r="CS279" i="4"/>
  <c r="CT279" i="4"/>
  <c r="CS295" i="4"/>
  <c r="CT295" i="4"/>
  <c r="CT16" i="4"/>
  <c r="CS16" i="4"/>
  <c r="CT32" i="4"/>
  <c r="CS32" i="4"/>
  <c r="CT48" i="4"/>
  <c r="CS48" i="4"/>
  <c r="CT64" i="4"/>
  <c r="CS64" i="4"/>
  <c r="CT80" i="4"/>
  <c r="CS80" i="4"/>
  <c r="CT96" i="4"/>
  <c r="CS96" i="4"/>
  <c r="CT112" i="4"/>
  <c r="CS112" i="4"/>
  <c r="CT128" i="4"/>
  <c r="CS128" i="4"/>
  <c r="CT144" i="4"/>
  <c r="CS144" i="4"/>
  <c r="CT160" i="4"/>
  <c r="CS160" i="4"/>
  <c r="CT176" i="4"/>
  <c r="CS176" i="4"/>
  <c r="CT192" i="4"/>
  <c r="CS192" i="4"/>
  <c r="CT208" i="4"/>
  <c r="CS208" i="4"/>
  <c r="CT224" i="4"/>
  <c r="CU224" i="4" s="1"/>
  <c r="CV224" i="4" s="1"/>
  <c r="CZ224" i="4" s="1"/>
  <c r="CS224" i="4"/>
  <c r="CT240" i="4"/>
  <c r="CS240" i="4"/>
  <c r="CT256" i="4"/>
  <c r="CS256" i="4"/>
  <c r="CT272" i="4"/>
  <c r="CS272" i="4"/>
  <c r="CT288" i="4"/>
  <c r="CU288" i="4" s="1"/>
  <c r="CV288" i="4" s="1"/>
  <c r="CZ288" i="4" s="1"/>
  <c r="CS288" i="4"/>
  <c r="CT9" i="4"/>
  <c r="CS9" i="4"/>
  <c r="CT25" i="4"/>
  <c r="CS25" i="4"/>
  <c r="CT41" i="4"/>
  <c r="CS41" i="4"/>
  <c r="CT57" i="4"/>
  <c r="CS57" i="4"/>
  <c r="CT73" i="4"/>
  <c r="CS73" i="4"/>
  <c r="CT89" i="4"/>
  <c r="CS89" i="4"/>
  <c r="CT105" i="4"/>
  <c r="CS105" i="4"/>
  <c r="CT121" i="4"/>
  <c r="CS121" i="4"/>
  <c r="CT137" i="4"/>
  <c r="CS137" i="4"/>
  <c r="CT153" i="4"/>
  <c r="CS153" i="4"/>
  <c r="CT169" i="4"/>
  <c r="CS169" i="4"/>
  <c r="CT185" i="4"/>
  <c r="CS185" i="4"/>
  <c r="CT201" i="4"/>
  <c r="CS201" i="4"/>
  <c r="CT217" i="4"/>
  <c r="CS217" i="4"/>
  <c r="CT233" i="4"/>
  <c r="CS233" i="4"/>
  <c r="CT249" i="4"/>
  <c r="CS249" i="4"/>
  <c r="CT265" i="4"/>
  <c r="CS265" i="4"/>
  <c r="CT281" i="4"/>
  <c r="CS281" i="4"/>
  <c r="CT18" i="4"/>
  <c r="CS18" i="4"/>
  <c r="CT34" i="4"/>
  <c r="CS34" i="4"/>
  <c r="CT50" i="4"/>
  <c r="CS50" i="4"/>
  <c r="CT66" i="4"/>
  <c r="CS66" i="4"/>
  <c r="CT82" i="4"/>
  <c r="CS82" i="4"/>
  <c r="CT98" i="4"/>
  <c r="CS98" i="4"/>
  <c r="CT114" i="4"/>
  <c r="CS114" i="4"/>
  <c r="CT130" i="4"/>
  <c r="CS130" i="4"/>
  <c r="CT146" i="4"/>
  <c r="CS146" i="4"/>
  <c r="CT162" i="4"/>
  <c r="CS162" i="4"/>
  <c r="CT178" i="4"/>
  <c r="CS178" i="4"/>
  <c r="CT194" i="4"/>
  <c r="CS194" i="4"/>
  <c r="CT210" i="4"/>
  <c r="CS210" i="4"/>
  <c r="CT226" i="4"/>
  <c r="CS226" i="4"/>
  <c r="CT242" i="4"/>
  <c r="CS242" i="4"/>
  <c r="CT258" i="4"/>
  <c r="CS258" i="4"/>
  <c r="CT274" i="4"/>
  <c r="CS274" i="4"/>
  <c r="CT290" i="4"/>
  <c r="CS290" i="4"/>
  <c r="CT11" i="4"/>
  <c r="CS11" i="4"/>
  <c r="CT27" i="4"/>
  <c r="CS27" i="4"/>
  <c r="CT43" i="4"/>
  <c r="CS43" i="4"/>
  <c r="CT59" i="4"/>
  <c r="CS59" i="4"/>
  <c r="CT75" i="4"/>
  <c r="CS75" i="4"/>
  <c r="CT91" i="4"/>
  <c r="CS91" i="4"/>
  <c r="CT107" i="4"/>
  <c r="CS107" i="4"/>
  <c r="CT123" i="4"/>
  <c r="CS123" i="4"/>
  <c r="CT139" i="4"/>
  <c r="CS139" i="4"/>
  <c r="CT155" i="4"/>
  <c r="CS155" i="4"/>
  <c r="CT171" i="4"/>
  <c r="CS171" i="4"/>
  <c r="CT187" i="4"/>
  <c r="CS187" i="4"/>
  <c r="CT203" i="4"/>
  <c r="CS203" i="4"/>
  <c r="CT219" i="4"/>
  <c r="CS219" i="4"/>
  <c r="CT235" i="4"/>
  <c r="CS235" i="4"/>
  <c r="CS251" i="4"/>
  <c r="CT251" i="4"/>
  <c r="CS267" i="4"/>
  <c r="CT267" i="4"/>
  <c r="CS283" i="4"/>
  <c r="CT283" i="4"/>
  <c r="CT4" i="4"/>
  <c r="CS4" i="4"/>
  <c r="CT20" i="4"/>
  <c r="CS20" i="4"/>
  <c r="CT36" i="4"/>
  <c r="CS36" i="4"/>
  <c r="CT52" i="4"/>
  <c r="CS52" i="4"/>
  <c r="CT68" i="4"/>
  <c r="CS68" i="4"/>
  <c r="CT84" i="4"/>
  <c r="CS84" i="4"/>
  <c r="CT100" i="4"/>
  <c r="CS100" i="4"/>
  <c r="CT116" i="4"/>
  <c r="CS116" i="4"/>
  <c r="CT132" i="4"/>
  <c r="CS132" i="4"/>
  <c r="CT148" i="4"/>
  <c r="CS148" i="4"/>
  <c r="CT164" i="4"/>
  <c r="CS164" i="4"/>
  <c r="CT180" i="4"/>
  <c r="CS180" i="4"/>
  <c r="CT196" i="4"/>
  <c r="CS196" i="4"/>
  <c r="CT212" i="4"/>
  <c r="CS212" i="4"/>
  <c r="CT228" i="4"/>
  <c r="CS228" i="4"/>
  <c r="CS244" i="4"/>
  <c r="CT244" i="4"/>
  <c r="CS260" i="4"/>
  <c r="CT260" i="4"/>
  <c r="CS276" i="4"/>
  <c r="CT276" i="4"/>
  <c r="CS292" i="4"/>
  <c r="CT292" i="4"/>
  <c r="CT13" i="4"/>
  <c r="CS13" i="4"/>
  <c r="CT29" i="4"/>
  <c r="CS29" i="4"/>
  <c r="CT45" i="4"/>
  <c r="CS45" i="4"/>
  <c r="CT61" i="4"/>
  <c r="CS61" i="4"/>
  <c r="CT77" i="4"/>
  <c r="CS77" i="4"/>
  <c r="CT93" i="4"/>
  <c r="CS93" i="4"/>
  <c r="CT109" i="4"/>
  <c r="CS109" i="4"/>
  <c r="CT125" i="4"/>
  <c r="CS125" i="4"/>
  <c r="CT141" i="4"/>
  <c r="CS141" i="4"/>
  <c r="CT157" i="4"/>
  <c r="CS157" i="4"/>
  <c r="CT173" i="4"/>
  <c r="CS173" i="4"/>
  <c r="CT189" i="4"/>
  <c r="CS189" i="4"/>
  <c r="CT205" i="4"/>
  <c r="CS205" i="4"/>
  <c r="CT221" i="4"/>
  <c r="CS221" i="4"/>
  <c r="CT237" i="4"/>
  <c r="CS237" i="4"/>
  <c r="CT253" i="4"/>
  <c r="CS253" i="4"/>
  <c r="CT269" i="4"/>
  <c r="CS269" i="4"/>
  <c r="CT285" i="4"/>
  <c r="CS285" i="4"/>
  <c r="CT6" i="4"/>
  <c r="CS6" i="4"/>
  <c r="CT22" i="4"/>
  <c r="CS22" i="4"/>
  <c r="CT38" i="4"/>
  <c r="CS38" i="4"/>
  <c r="CT54" i="4"/>
  <c r="CS54" i="4"/>
  <c r="CT70" i="4"/>
  <c r="CS70" i="4"/>
  <c r="CT86" i="4"/>
  <c r="CS86" i="4"/>
  <c r="CT102" i="4"/>
  <c r="CS102" i="4"/>
  <c r="CT118" i="4"/>
  <c r="CS118" i="4"/>
  <c r="CT134" i="4"/>
  <c r="CS134" i="4"/>
  <c r="CT150" i="4"/>
  <c r="CS150" i="4"/>
  <c r="CT166" i="4"/>
  <c r="CS166" i="4"/>
  <c r="CT182" i="4"/>
  <c r="CS182" i="4"/>
  <c r="CT198" i="4"/>
  <c r="CS198" i="4"/>
  <c r="CT214" i="4"/>
  <c r="CS214" i="4"/>
  <c r="CT230" i="4"/>
  <c r="CS230" i="4"/>
  <c r="CT246" i="4"/>
  <c r="CS246" i="4"/>
  <c r="CT262" i="4"/>
  <c r="CS262" i="4"/>
  <c r="CT278" i="4"/>
  <c r="CS278" i="4"/>
  <c r="CT294" i="4"/>
  <c r="CS294" i="4"/>
  <c r="CT297" i="4"/>
  <c r="CS297" i="4"/>
  <c r="CU188" i="4"/>
  <c r="CV188" i="4" s="1"/>
  <c r="CZ188" i="4" s="1"/>
  <c r="CU289" i="4"/>
  <c r="CV289" i="4" s="1"/>
  <c r="CZ289" i="4" s="1"/>
  <c r="CU193" i="4"/>
  <c r="CV193" i="4" s="1"/>
  <c r="CZ193" i="4" s="1"/>
  <c r="CU97" i="4"/>
  <c r="CV97" i="4" s="1"/>
  <c r="CZ97" i="4" s="1"/>
  <c r="CU33" i="4"/>
  <c r="CV33" i="4" s="1"/>
  <c r="CZ33" i="4" s="1"/>
  <c r="CU239" i="4"/>
  <c r="CV239" i="4" s="1"/>
  <c r="CZ239" i="4" s="1"/>
  <c r="CU143" i="4"/>
  <c r="CV143" i="4" s="1"/>
  <c r="CZ143" i="4" s="1"/>
  <c r="CU79" i="4"/>
  <c r="CV79" i="4" s="1"/>
  <c r="CZ79" i="4" s="1"/>
  <c r="CU277" i="4"/>
  <c r="CV277" i="4" s="1"/>
  <c r="CZ277" i="4" s="1"/>
  <c r="CU218" i="4"/>
  <c r="CV218" i="4" s="1"/>
  <c r="CZ218" i="4" s="1"/>
  <c r="CU26" i="4"/>
  <c r="CV26" i="4" s="1"/>
  <c r="CZ26" i="4" s="1"/>
  <c r="CU264" i="4"/>
  <c r="CV264" i="4" s="1"/>
  <c r="CZ264" i="4" s="1"/>
  <c r="CU168" i="4"/>
  <c r="CV168" i="4" s="1"/>
  <c r="CZ168" i="4" s="1"/>
  <c r="CU72" i="4"/>
  <c r="CV72" i="4" s="1"/>
  <c r="CZ72" i="4" s="1"/>
  <c r="CU110" i="4"/>
  <c r="CV110" i="4" s="1"/>
  <c r="CZ110" i="4" s="1"/>
  <c r="CU81" i="4" l="1"/>
  <c r="CV81" i="4" s="1"/>
  <c r="CZ81" i="4" s="1"/>
  <c r="CU248" i="4"/>
  <c r="CV248" i="4" s="1"/>
  <c r="CZ248" i="4" s="1"/>
  <c r="CU127" i="4"/>
  <c r="CV127" i="4" s="1"/>
  <c r="CZ127" i="4" s="1"/>
  <c r="CU156" i="4"/>
  <c r="CV156" i="4" s="1"/>
  <c r="CZ156" i="4" s="1"/>
  <c r="CU124" i="4"/>
  <c r="CV124" i="4" s="1"/>
  <c r="CZ124" i="4" s="1"/>
  <c r="CU92" i="4"/>
  <c r="CV92" i="4" s="1"/>
  <c r="CZ92" i="4" s="1"/>
  <c r="CU291" i="4"/>
  <c r="CV291" i="4" s="1"/>
  <c r="CZ291" i="4" s="1"/>
  <c r="CU227" i="4"/>
  <c r="CV227" i="4" s="1"/>
  <c r="CZ227" i="4" s="1"/>
  <c r="CU195" i="4"/>
  <c r="CV195" i="4" s="1"/>
  <c r="CZ195" i="4" s="1"/>
  <c r="CU163" i="4"/>
  <c r="CV163" i="4" s="1"/>
  <c r="CZ163" i="4" s="1"/>
  <c r="CU131" i="4"/>
  <c r="CV131" i="4" s="1"/>
  <c r="CZ131" i="4" s="1"/>
  <c r="CU35" i="4"/>
  <c r="CV35" i="4" s="1"/>
  <c r="CZ35" i="4" s="1"/>
  <c r="CU2" i="4"/>
  <c r="CV2" i="4" s="1"/>
  <c r="CU282" i="4"/>
  <c r="CV282" i="4" s="1"/>
  <c r="CZ282" i="4" s="1"/>
  <c r="CU250" i="4"/>
  <c r="CV250" i="4" s="1"/>
  <c r="CZ250" i="4" s="1"/>
  <c r="CU154" i="4"/>
  <c r="CV154" i="4" s="1"/>
  <c r="CZ154" i="4" s="1"/>
  <c r="CU122" i="4"/>
  <c r="CV122" i="4" s="1"/>
  <c r="CZ122" i="4" s="1"/>
  <c r="CU90" i="4"/>
  <c r="CV90" i="4" s="1"/>
  <c r="CZ90" i="4" s="1"/>
  <c r="CU225" i="4"/>
  <c r="CV225" i="4" s="1"/>
  <c r="CZ225" i="4" s="1"/>
  <c r="CU161" i="4"/>
  <c r="CV161" i="4" s="1"/>
  <c r="CZ161" i="4" s="1"/>
  <c r="CU65" i="4"/>
  <c r="CV65" i="4" s="1"/>
  <c r="CZ65" i="4" s="1"/>
  <c r="CU296" i="4"/>
  <c r="CV296" i="4" s="1"/>
  <c r="CZ296" i="4" s="1"/>
  <c r="CU200" i="4"/>
  <c r="CV200" i="4" s="1"/>
  <c r="CZ200" i="4" s="1"/>
  <c r="CU136" i="4"/>
  <c r="CV136" i="4" s="1"/>
  <c r="CZ136" i="4" s="1"/>
  <c r="CU40" i="4"/>
  <c r="CV40" i="4" s="1"/>
  <c r="CZ40" i="4" s="1"/>
  <c r="CU271" i="4"/>
  <c r="CV271" i="4" s="1"/>
  <c r="CZ271" i="4" s="1"/>
  <c r="CU207" i="4"/>
  <c r="CV207" i="4" s="1"/>
  <c r="CZ207" i="4" s="1"/>
  <c r="CU111" i="4"/>
  <c r="CV111" i="4" s="1"/>
  <c r="CZ111" i="4" s="1"/>
  <c r="CU15" i="4"/>
  <c r="CV15" i="4" s="1"/>
  <c r="CZ15" i="4" s="1"/>
  <c r="CU199" i="4"/>
  <c r="CV199" i="4" s="1"/>
  <c r="CZ199" i="4" s="1"/>
  <c r="CU96" i="4"/>
  <c r="CV96" i="4" s="1"/>
  <c r="CZ96" i="4" s="1"/>
  <c r="CU103" i="4"/>
  <c r="CV103" i="4" s="1"/>
  <c r="CZ103" i="4" s="1"/>
  <c r="CU206" i="4"/>
  <c r="CV206" i="4" s="1"/>
  <c r="CZ206" i="4" s="1"/>
  <c r="CU210" i="4"/>
  <c r="CV210" i="4" s="1"/>
  <c r="CZ210" i="4" s="1"/>
  <c r="CU82" i="4"/>
  <c r="CV82" i="4" s="1"/>
  <c r="CZ82" i="4" s="1"/>
  <c r="CU137" i="4"/>
  <c r="CV137" i="4" s="1"/>
  <c r="CZ137" i="4" s="1"/>
  <c r="CU9" i="4"/>
  <c r="CV9" i="4" s="1"/>
  <c r="CZ9" i="4" s="1"/>
  <c r="CU272" i="4"/>
  <c r="CV272" i="4" s="1"/>
  <c r="CZ272" i="4" s="1"/>
  <c r="CU240" i="4"/>
  <c r="CV240" i="4" s="1"/>
  <c r="CZ240" i="4" s="1"/>
  <c r="CU144" i="4"/>
  <c r="CV144" i="4" s="1"/>
  <c r="CZ144" i="4" s="1"/>
  <c r="CU112" i="4"/>
  <c r="CV112" i="4" s="1"/>
  <c r="CZ112" i="4" s="1"/>
  <c r="CU48" i="4"/>
  <c r="CV48" i="4" s="1"/>
  <c r="CZ48" i="4" s="1"/>
  <c r="CU279" i="4"/>
  <c r="CV279" i="4" s="1"/>
  <c r="CZ279" i="4" s="1"/>
  <c r="CU215" i="4"/>
  <c r="CV215" i="4" s="1"/>
  <c r="CZ215" i="4" s="1"/>
  <c r="CU183" i="4"/>
  <c r="CV183" i="4" s="1"/>
  <c r="CZ183" i="4" s="1"/>
  <c r="CU87" i="4"/>
  <c r="CV87" i="4" s="1"/>
  <c r="CZ87" i="4" s="1"/>
  <c r="CU55" i="4"/>
  <c r="CV55" i="4" s="1"/>
  <c r="CZ55" i="4" s="1"/>
  <c r="CU23" i="4"/>
  <c r="CV23" i="4" s="1"/>
  <c r="CZ23" i="4" s="1"/>
  <c r="CU286" i="4"/>
  <c r="CV286" i="4" s="1"/>
  <c r="CZ286" i="4" s="1"/>
  <c r="CU254" i="4"/>
  <c r="CV254" i="4" s="1"/>
  <c r="CZ254" i="4" s="1"/>
  <c r="CU222" i="4"/>
  <c r="CV222" i="4" s="1"/>
  <c r="CZ222" i="4" s="1"/>
  <c r="CU190" i="4"/>
  <c r="CV190" i="4" s="1"/>
  <c r="CZ190" i="4" s="1"/>
  <c r="CU158" i="4"/>
  <c r="CV158" i="4" s="1"/>
  <c r="CZ158" i="4" s="1"/>
  <c r="CU94" i="4"/>
  <c r="CV94" i="4" s="1"/>
  <c r="CZ94" i="4" s="1"/>
  <c r="CU62" i="4"/>
  <c r="CV62" i="4" s="1"/>
  <c r="CZ62" i="4" s="1"/>
  <c r="CU30" i="4"/>
  <c r="CV30" i="4" s="1"/>
  <c r="CZ30" i="4" s="1"/>
  <c r="CU293" i="4"/>
  <c r="CV293" i="4" s="1"/>
  <c r="CZ293" i="4" s="1"/>
  <c r="CU261" i="4"/>
  <c r="CV261" i="4" s="1"/>
  <c r="CZ261" i="4" s="1"/>
  <c r="CU229" i="4"/>
  <c r="CV229" i="4" s="1"/>
  <c r="CZ229" i="4" s="1"/>
  <c r="CU197" i="4"/>
  <c r="CV197" i="4" s="1"/>
  <c r="CZ197" i="4" s="1"/>
  <c r="CU165" i="4"/>
  <c r="CV165" i="4" s="1"/>
  <c r="CZ165" i="4" s="1"/>
  <c r="CU133" i="4"/>
  <c r="CV133" i="4" s="1"/>
  <c r="CZ133" i="4" s="1"/>
  <c r="CU101" i="4"/>
  <c r="CV101" i="4" s="1"/>
  <c r="CZ101" i="4" s="1"/>
  <c r="CU69" i="4"/>
  <c r="CV69" i="4" s="1"/>
  <c r="CZ69" i="4" s="1"/>
  <c r="CU37" i="4"/>
  <c r="CV37" i="4" s="1"/>
  <c r="CZ37" i="4" s="1"/>
  <c r="CU5" i="4"/>
  <c r="CV5" i="4" s="1"/>
  <c r="CZ5" i="4" s="1"/>
  <c r="CU268" i="4"/>
  <c r="CV268" i="4" s="1"/>
  <c r="CZ268" i="4" s="1"/>
  <c r="CU236" i="4"/>
  <c r="CV236" i="4" s="1"/>
  <c r="CZ236" i="4" s="1"/>
  <c r="CU204" i="4"/>
  <c r="CV204" i="4" s="1"/>
  <c r="CZ204" i="4" s="1"/>
  <c r="CU172" i="4"/>
  <c r="CV172" i="4" s="1"/>
  <c r="CZ172" i="4" s="1"/>
  <c r="CU140" i="4"/>
  <c r="CV140" i="4" s="1"/>
  <c r="CZ140" i="4" s="1"/>
  <c r="CU108" i="4"/>
  <c r="CV108" i="4" s="1"/>
  <c r="CZ108" i="4" s="1"/>
  <c r="CU44" i="4"/>
  <c r="CV44" i="4" s="1"/>
  <c r="CZ44" i="4" s="1"/>
  <c r="CU12" i="4"/>
  <c r="CV12" i="4" s="1"/>
  <c r="CZ12" i="4" s="1"/>
  <c r="CU275" i="4"/>
  <c r="CV275" i="4" s="1"/>
  <c r="CZ275" i="4" s="1"/>
  <c r="CU243" i="4"/>
  <c r="CV243" i="4" s="1"/>
  <c r="CZ243" i="4" s="1"/>
  <c r="CU211" i="4"/>
  <c r="CV211" i="4" s="1"/>
  <c r="CZ211" i="4" s="1"/>
  <c r="CU179" i="4"/>
  <c r="CV179" i="4" s="1"/>
  <c r="CZ179" i="4" s="1"/>
  <c r="CU115" i="4"/>
  <c r="CV115" i="4" s="1"/>
  <c r="CZ115" i="4" s="1"/>
  <c r="CU83" i="4"/>
  <c r="CV83" i="4" s="1"/>
  <c r="CZ83" i="4" s="1"/>
  <c r="CU51" i="4"/>
  <c r="CV51" i="4" s="1"/>
  <c r="CZ51" i="4" s="1"/>
  <c r="CU19" i="4"/>
  <c r="CV19" i="4" s="1"/>
  <c r="CZ19" i="4" s="1"/>
  <c r="CU3" i="4"/>
  <c r="CV3" i="4" s="1"/>
  <c r="CZ3" i="4" s="1"/>
  <c r="CU266" i="4"/>
  <c r="CV266" i="4" s="1"/>
  <c r="CZ266" i="4" s="1"/>
  <c r="CU202" i="4"/>
  <c r="CV202" i="4" s="1"/>
  <c r="CZ202" i="4" s="1"/>
  <c r="CU170" i="4"/>
  <c r="CV170" i="4" s="1"/>
  <c r="CZ170" i="4" s="1"/>
  <c r="CU138" i="4"/>
  <c r="CV138" i="4" s="1"/>
  <c r="CZ138" i="4" s="1"/>
  <c r="CU106" i="4"/>
  <c r="CV106" i="4" s="1"/>
  <c r="CZ106" i="4" s="1"/>
  <c r="CU74" i="4"/>
  <c r="CV74" i="4" s="1"/>
  <c r="CZ74" i="4" s="1"/>
  <c r="CU42" i="4"/>
  <c r="CV42" i="4" s="1"/>
  <c r="CZ42" i="4" s="1"/>
  <c r="CU10" i="4"/>
  <c r="CV10" i="4" s="1"/>
  <c r="CZ10" i="4" s="1"/>
  <c r="CU273" i="4"/>
  <c r="CV273" i="4" s="1"/>
  <c r="CZ273" i="4" s="1"/>
  <c r="CU241" i="4"/>
  <c r="CV241" i="4" s="1"/>
  <c r="CZ241" i="4" s="1"/>
  <c r="CU209" i="4"/>
  <c r="CV209" i="4" s="1"/>
  <c r="CZ209" i="4" s="1"/>
  <c r="CU177" i="4"/>
  <c r="CV177" i="4" s="1"/>
  <c r="CZ177" i="4" s="1"/>
  <c r="CU145" i="4"/>
  <c r="CV145" i="4" s="1"/>
  <c r="CZ145" i="4" s="1"/>
  <c r="CU113" i="4"/>
  <c r="CV113" i="4" s="1"/>
  <c r="CZ113" i="4" s="1"/>
  <c r="CU49" i="4"/>
  <c r="CV49" i="4" s="1"/>
  <c r="CZ49" i="4" s="1"/>
  <c r="CU17" i="4"/>
  <c r="CV17" i="4" s="1"/>
  <c r="CZ17" i="4" s="1"/>
  <c r="CU280" i="4"/>
  <c r="CV280" i="4" s="1"/>
  <c r="CZ280" i="4" s="1"/>
  <c r="CU216" i="4"/>
  <c r="CV216" i="4" s="1"/>
  <c r="CZ216" i="4" s="1"/>
  <c r="CU184" i="4"/>
  <c r="CV184" i="4" s="1"/>
  <c r="CZ184" i="4" s="1"/>
  <c r="CU152" i="4"/>
  <c r="CV152" i="4" s="1"/>
  <c r="CZ152" i="4" s="1"/>
  <c r="CU120" i="4"/>
  <c r="CV120" i="4" s="1"/>
  <c r="CZ120" i="4" s="1"/>
  <c r="CU88" i="4"/>
  <c r="CV88" i="4" s="1"/>
  <c r="CZ88" i="4" s="1"/>
  <c r="CU56" i="4"/>
  <c r="CV56" i="4" s="1"/>
  <c r="CZ56" i="4" s="1"/>
  <c r="CU24" i="4"/>
  <c r="CV24" i="4" s="1"/>
  <c r="CZ24" i="4" s="1"/>
  <c r="CU287" i="4"/>
  <c r="CV287" i="4" s="1"/>
  <c r="CZ287" i="4" s="1"/>
  <c r="CU255" i="4"/>
  <c r="CV255" i="4" s="1"/>
  <c r="CZ255" i="4" s="1"/>
  <c r="CU223" i="4"/>
  <c r="CV223" i="4" s="1"/>
  <c r="CZ223" i="4" s="1"/>
  <c r="CU191" i="4"/>
  <c r="CV191" i="4" s="1"/>
  <c r="CZ191" i="4" s="1"/>
  <c r="CU159" i="4"/>
  <c r="CV159" i="4" s="1"/>
  <c r="CZ159" i="4" s="1"/>
  <c r="CU95" i="4"/>
  <c r="CV95" i="4" s="1"/>
  <c r="CZ95" i="4" s="1"/>
  <c r="CU63" i="4"/>
  <c r="CV63" i="4" s="1"/>
  <c r="CZ63" i="4" s="1"/>
  <c r="CU31" i="4"/>
  <c r="CV31" i="4" s="1"/>
  <c r="CZ31" i="4" s="1"/>
  <c r="CU294" i="4"/>
  <c r="CV294" i="4" s="1"/>
  <c r="CZ294" i="4" s="1"/>
  <c r="CU262" i="4"/>
  <c r="CV262" i="4" s="1"/>
  <c r="CZ262" i="4" s="1"/>
  <c r="CU230" i="4"/>
  <c r="CV230" i="4" s="1"/>
  <c r="CZ230" i="4" s="1"/>
  <c r="CU166" i="4"/>
  <c r="CV166" i="4" s="1"/>
  <c r="CZ166" i="4" s="1"/>
  <c r="CU134" i="4"/>
  <c r="CV134" i="4" s="1"/>
  <c r="CZ134" i="4" s="1"/>
  <c r="CU102" i="4"/>
  <c r="CV102" i="4" s="1"/>
  <c r="CZ102" i="4" s="1"/>
  <c r="CU70" i="4"/>
  <c r="CV70" i="4" s="1"/>
  <c r="CZ70" i="4" s="1"/>
  <c r="CU6" i="4"/>
  <c r="CV6" i="4" s="1"/>
  <c r="CZ6" i="4" s="1"/>
  <c r="CU269" i="4"/>
  <c r="CV269" i="4" s="1"/>
  <c r="CZ269" i="4" s="1"/>
  <c r="CU205" i="4"/>
  <c r="CV205" i="4" s="1"/>
  <c r="CZ205" i="4" s="1"/>
  <c r="CU173" i="4"/>
  <c r="CV173" i="4" s="1"/>
  <c r="CZ173" i="4" s="1"/>
  <c r="CU141" i="4"/>
  <c r="CV141" i="4" s="1"/>
  <c r="CZ141" i="4" s="1"/>
  <c r="CU109" i="4"/>
  <c r="CV109" i="4" s="1"/>
  <c r="CZ109" i="4" s="1"/>
  <c r="CU77" i="4"/>
  <c r="CV77" i="4" s="1"/>
  <c r="CZ77" i="4" s="1"/>
  <c r="CU13" i="4"/>
  <c r="CV13" i="4" s="1"/>
  <c r="CZ13" i="4" s="1"/>
  <c r="CU276" i="4"/>
  <c r="CV276" i="4" s="1"/>
  <c r="CZ276" i="4" s="1"/>
  <c r="CU244" i="4"/>
  <c r="CV244" i="4" s="1"/>
  <c r="CZ244" i="4" s="1"/>
  <c r="CU180" i="4"/>
  <c r="CV180" i="4" s="1"/>
  <c r="CZ180" i="4" s="1"/>
  <c r="CU148" i="4"/>
  <c r="CV148" i="4" s="1"/>
  <c r="CZ148" i="4" s="1"/>
  <c r="CU116" i="4"/>
  <c r="CV116" i="4" s="1"/>
  <c r="CZ116" i="4" s="1"/>
  <c r="CU52" i="4"/>
  <c r="CV52" i="4" s="1"/>
  <c r="CZ52" i="4" s="1"/>
  <c r="CU20" i="4"/>
  <c r="CV20" i="4" s="1"/>
  <c r="CZ20" i="4" s="1"/>
  <c r="CU283" i="4"/>
  <c r="CV283" i="4" s="1"/>
  <c r="CZ283" i="4" s="1"/>
  <c r="CU251" i="4"/>
  <c r="CV251" i="4" s="1"/>
  <c r="CZ251" i="4" s="1"/>
  <c r="CU219" i="4"/>
  <c r="CV219" i="4" s="1"/>
  <c r="CZ219" i="4" s="1"/>
  <c r="CU187" i="4"/>
  <c r="CV187" i="4" s="1"/>
  <c r="CZ187" i="4" s="1"/>
  <c r="CU155" i="4"/>
  <c r="CV155" i="4" s="1"/>
  <c r="CZ155" i="4" s="1"/>
  <c r="CU91" i="4"/>
  <c r="CV91" i="4" s="1"/>
  <c r="CZ91" i="4" s="1"/>
  <c r="CU59" i="4"/>
  <c r="CV59" i="4" s="1"/>
  <c r="CZ59" i="4" s="1"/>
  <c r="CU27" i="4"/>
  <c r="CV27" i="4" s="1"/>
  <c r="CZ27" i="4" s="1"/>
  <c r="CU290" i="4"/>
  <c r="CV290" i="4" s="1"/>
  <c r="CZ290" i="4" s="1"/>
  <c r="CU258" i="4"/>
  <c r="CV258" i="4" s="1"/>
  <c r="CZ258" i="4" s="1"/>
  <c r="CU194" i="4"/>
  <c r="CV194" i="4" s="1"/>
  <c r="CZ194" i="4" s="1"/>
  <c r="CU162" i="4"/>
  <c r="CV162" i="4" s="1"/>
  <c r="CZ162" i="4" s="1"/>
  <c r="CU98" i="4"/>
  <c r="CV98" i="4" s="1"/>
  <c r="CZ98" i="4" s="1"/>
  <c r="CU66" i="4"/>
  <c r="CV66" i="4" s="1"/>
  <c r="CZ66" i="4" s="1"/>
  <c r="CU34" i="4"/>
  <c r="CV34" i="4" s="1"/>
  <c r="CZ34" i="4" s="1"/>
  <c r="CU281" i="4"/>
  <c r="CV281" i="4" s="1"/>
  <c r="CZ281" i="4" s="1"/>
  <c r="CU249" i="4"/>
  <c r="CV249" i="4" s="1"/>
  <c r="CZ249" i="4" s="1"/>
  <c r="CU217" i="4"/>
  <c r="CV217" i="4" s="1"/>
  <c r="CZ217" i="4" s="1"/>
  <c r="CU185" i="4"/>
  <c r="CV185" i="4" s="1"/>
  <c r="CZ185" i="4" s="1"/>
  <c r="CU153" i="4"/>
  <c r="CV153" i="4" s="1"/>
  <c r="CZ153" i="4" s="1"/>
  <c r="CU121" i="4"/>
  <c r="CV121" i="4" s="1"/>
  <c r="CZ121" i="4" s="1"/>
  <c r="CU89" i="4"/>
  <c r="CV89" i="4" s="1"/>
  <c r="CZ89" i="4" s="1"/>
  <c r="CU57" i="4"/>
  <c r="CV57" i="4" s="1"/>
  <c r="CZ57" i="4" s="1"/>
  <c r="CU25" i="4"/>
  <c r="CV25" i="4" s="1"/>
  <c r="CZ25" i="4" s="1"/>
  <c r="CU256" i="4"/>
  <c r="CV256" i="4" s="1"/>
  <c r="CZ256" i="4" s="1"/>
  <c r="CU192" i="4"/>
  <c r="CV192" i="4" s="1"/>
  <c r="CZ192" i="4" s="1"/>
  <c r="CU160" i="4"/>
  <c r="CV160" i="4" s="1"/>
  <c r="CZ160" i="4" s="1"/>
  <c r="CU128" i="4"/>
  <c r="CV128" i="4" s="1"/>
  <c r="CZ128" i="4" s="1"/>
  <c r="CU64" i="4"/>
  <c r="CV64" i="4" s="1"/>
  <c r="CZ64" i="4" s="1"/>
  <c r="CU32" i="4"/>
  <c r="CV32" i="4" s="1"/>
  <c r="CZ32" i="4" s="1"/>
  <c r="CU295" i="4"/>
  <c r="CV295" i="4" s="1"/>
  <c r="CZ295" i="4" s="1"/>
  <c r="CU231" i="4"/>
  <c r="CV231" i="4" s="1"/>
  <c r="CZ231" i="4" s="1"/>
  <c r="CU167" i="4"/>
  <c r="CV167" i="4" s="1"/>
  <c r="CZ167" i="4" s="1"/>
  <c r="CU39" i="4"/>
  <c r="CV39" i="4" s="1"/>
  <c r="CZ39" i="4" s="1"/>
  <c r="CU174" i="4"/>
  <c r="CV174" i="4" s="1"/>
  <c r="CZ174" i="4" s="1"/>
  <c r="CU142" i="4"/>
  <c r="CV142" i="4" s="1"/>
  <c r="CZ142" i="4" s="1"/>
  <c r="CU78" i="4"/>
  <c r="CV78" i="4" s="1"/>
  <c r="CZ78" i="4" s="1"/>
  <c r="CU213" i="4"/>
  <c r="CV213" i="4" s="1"/>
  <c r="CZ213" i="4" s="1"/>
  <c r="CU21" i="4"/>
  <c r="CV21" i="4" s="1"/>
  <c r="CZ21" i="4" s="1"/>
  <c r="CU284" i="4"/>
  <c r="CV284" i="4" s="1"/>
  <c r="CZ284" i="4" s="1"/>
  <c r="CU252" i="4"/>
  <c r="CV252" i="4" s="1"/>
  <c r="CZ252" i="4" s="1"/>
  <c r="CU60" i="4"/>
  <c r="CV60" i="4" s="1"/>
  <c r="CZ60" i="4" s="1"/>
  <c r="CU28" i="4"/>
  <c r="CV28" i="4" s="1"/>
  <c r="CZ28" i="4" s="1"/>
  <c r="CU259" i="4"/>
  <c r="CV259" i="4" s="1"/>
  <c r="CZ259" i="4" s="1"/>
  <c r="CU99" i="4"/>
  <c r="CV99" i="4" s="1"/>
  <c r="CZ99" i="4" s="1"/>
  <c r="CU67" i="4"/>
  <c r="CV67" i="4" s="1"/>
  <c r="CZ67" i="4" s="1"/>
  <c r="CU186" i="4"/>
  <c r="CV186" i="4" s="1"/>
  <c r="CZ186" i="4" s="1"/>
  <c r="CU58" i="4"/>
  <c r="CV58" i="4" s="1"/>
  <c r="CZ58" i="4" s="1"/>
  <c r="CU257" i="4"/>
  <c r="CV257" i="4" s="1"/>
  <c r="CZ257" i="4" s="1"/>
  <c r="CU129" i="4"/>
  <c r="CV129" i="4" s="1"/>
  <c r="CZ129" i="4" s="1"/>
  <c r="CU232" i="4"/>
  <c r="CV232" i="4" s="1"/>
  <c r="CZ232" i="4" s="1"/>
  <c r="CU104" i="4"/>
  <c r="CV104" i="4" s="1"/>
  <c r="CZ104" i="4" s="1"/>
  <c r="CU8" i="4"/>
  <c r="CV8" i="4" s="1"/>
  <c r="CZ8" i="4" s="1"/>
  <c r="CU175" i="4"/>
  <c r="CV175" i="4" s="1"/>
  <c r="CZ175" i="4" s="1"/>
  <c r="CU278" i="4"/>
  <c r="CV278" i="4" s="1"/>
  <c r="CZ278" i="4" s="1"/>
  <c r="CU246" i="4"/>
  <c r="CV246" i="4" s="1"/>
  <c r="CZ246" i="4" s="1"/>
  <c r="CU214" i="4"/>
  <c r="CV214" i="4" s="1"/>
  <c r="CZ214" i="4" s="1"/>
  <c r="CU182" i="4"/>
  <c r="CV182" i="4" s="1"/>
  <c r="CZ182" i="4" s="1"/>
  <c r="CU150" i="4"/>
  <c r="CV150" i="4" s="1"/>
  <c r="CZ150" i="4" s="1"/>
  <c r="CU118" i="4"/>
  <c r="CV118" i="4" s="1"/>
  <c r="CZ118" i="4" s="1"/>
  <c r="CU86" i="4"/>
  <c r="CV86" i="4" s="1"/>
  <c r="CZ86" i="4" s="1"/>
  <c r="CU54" i="4"/>
  <c r="CV54" i="4" s="1"/>
  <c r="CZ54" i="4" s="1"/>
  <c r="CU22" i="4"/>
  <c r="CV22" i="4" s="1"/>
  <c r="CZ22" i="4" s="1"/>
  <c r="CU285" i="4"/>
  <c r="CV285" i="4" s="1"/>
  <c r="CZ285" i="4" s="1"/>
  <c r="CU253" i="4"/>
  <c r="CV253" i="4" s="1"/>
  <c r="CZ253" i="4" s="1"/>
  <c r="CU221" i="4"/>
  <c r="CV221" i="4" s="1"/>
  <c r="CZ221" i="4" s="1"/>
  <c r="CU189" i="4"/>
  <c r="CV189" i="4" s="1"/>
  <c r="CZ189" i="4" s="1"/>
  <c r="CU157" i="4"/>
  <c r="CV157" i="4" s="1"/>
  <c r="CZ157" i="4" s="1"/>
  <c r="CU125" i="4"/>
  <c r="CV125" i="4" s="1"/>
  <c r="CZ125" i="4" s="1"/>
  <c r="CU93" i="4"/>
  <c r="CV93" i="4" s="1"/>
  <c r="CZ93" i="4" s="1"/>
  <c r="CU61" i="4"/>
  <c r="CV61" i="4" s="1"/>
  <c r="CZ61" i="4" s="1"/>
  <c r="CU29" i="4"/>
  <c r="CV29" i="4" s="1"/>
  <c r="CZ29" i="4" s="1"/>
  <c r="CU292" i="4"/>
  <c r="CV292" i="4" s="1"/>
  <c r="CZ292" i="4" s="1"/>
  <c r="CU260" i="4"/>
  <c r="CV260" i="4" s="1"/>
  <c r="CZ260" i="4" s="1"/>
  <c r="CU228" i="4"/>
  <c r="CV228" i="4" s="1"/>
  <c r="CZ228" i="4" s="1"/>
  <c r="CU196" i="4"/>
  <c r="CV196" i="4" s="1"/>
  <c r="CZ196" i="4" s="1"/>
  <c r="CU164" i="4"/>
  <c r="CV164" i="4" s="1"/>
  <c r="CZ164" i="4" s="1"/>
  <c r="CU132" i="4"/>
  <c r="CV132" i="4" s="1"/>
  <c r="CZ132" i="4" s="1"/>
  <c r="CU100" i="4"/>
  <c r="CV100" i="4" s="1"/>
  <c r="CZ100" i="4" s="1"/>
  <c r="CU68" i="4"/>
  <c r="CV68" i="4" s="1"/>
  <c r="CZ68" i="4" s="1"/>
  <c r="CU36" i="4"/>
  <c r="CV36" i="4" s="1"/>
  <c r="CZ36" i="4" s="1"/>
  <c r="CU4" i="4"/>
  <c r="CV4" i="4" s="1"/>
  <c r="CZ4" i="4" s="1"/>
  <c r="CU267" i="4"/>
  <c r="CV267" i="4" s="1"/>
  <c r="CZ267" i="4" s="1"/>
  <c r="CU235" i="4"/>
  <c r="CV235" i="4" s="1"/>
  <c r="CZ235" i="4" s="1"/>
  <c r="CU203" i="4"/>
  <c r="CV203" i="4" s="1"/>
  <c r="CZ203" i="4" s="1"/>
  <c r="CU171" i="4"/>
  <c r="CV171" i="4" s="1"/>
  <c r="CZ171" i="4" s="1"/>
  <c r="CU139" i="4"/>
  <c r="CV139" i="4" s="1"/>
  <c r="CZ139" i="4" s="1"/>
  <c r="CU107" i="4"/>
  <c r="CV107" i="4" s="1"/>
  <c r="CZ107" i="4" s="1"/>
  <c r="CU75" i="4"/>
  <c r="CV75" i="4" s="1"/>
  <c r="CZ75" i="4" s="1"/>
  <c r="CU43" i="4"/>
  <c r="CV43" i="4" s="1"/>
  <c r="CZ43" i="4" s="1"/>
  <c r="CU11" i="4"/>
  <c r="CV11" i="4" s="1"/>
  <c r="CZ11" i="4" s="1"/>
  <c r="CU274" i="4"/>
  <c r="CV274" i="4" s="1"/>
  <c r="CZ274" i="4" s="1"/>
  <c r="CU242" i="4"/>
  <c r="CV242" i="4" s="1"/>
  <c r="CZ242" i="4" s="1"/>
  <c r="CU178" i="4"/>
  <c r="CV178" i="4" s="1"/>
  <c r="CZ178" i="4" s="1"/>
  <c r="CU146" i="4"/>
  <c r="CV146" i="4" s="1"/>
  <c r="CZ146" i="4" s="1"/>
  <c r="CU114" i="4"/>
  <c r="CV114" i="4" s="1"/>
  <c r="CZ114" i="4" s="1"/>
  <c r="CU50" i="4"/>
  <c r="CV50" i="4" s="1"/>
  <c r="CZ50" i="4" s="1"/>
  <c r="CU18" i="4"/>
  <c r="CV18" i="4" s="1"/>
  <c r="CZ18" i="4" s="1"/>
  <c r="CU265" i="4"/>
  <c r="CV265" i="4" s="1"/>
  <c r="CZ265" i="4" s="1"/>
  <c r="CU233" i="4"/>
  <c r="CV233" i="4" s="1"/>
  <c r="CZ233" i="4" s="1"/>
  <c r="CU201" i="4"/>
  <c r="CV201" i="4" s="1"/>
  <c r="CZ201" i="4" s="1"/>
  <c r="CU169" i="4"/>
  <c r="CV169" i="4" s="1"/>
  <c r="CZ169" i="4" s="1"/>
  <c r="CU105" i="4"/>
  <c r="CV105" i="4" s="1"/>
  <c r="CZ105" i="4" s="1"/>
  <c r="CU73" i="4"/>
  <c r="CV73" i="4" s="1"/>
  <c r="CZ73" i="4" s="1"/>
  <c r="CU41" i="4"/>
  <c r="CV41" i="4" s="1"/>
  <c r="CZ41" i="4" s="1"/>
  <c r="CU208" i="4"/>
  <c r="CV208" i="4" s="1"/>
  <c r="CZ208" i="4" s="1"/>
  <c r="CU176" i="4"/>
  <c r="CV176" i="4" s="1"/>
  <c r="CZ176" i="4" s="1"/>
  <c r="CU80" i="4"/>
  <c r="CV80" i="4" s="1"/>
  <c r="CZ80" i="4" s="1"/>
  <c r="CU16" i="4"/>
  <c r="CV16" i="4" s="1"/>
  <c r="CZ16" i="4" s="1"/>
  <c r="CU247" i="4"/>
  <c r="CV247" i="4" s="1"/>
  <c r="CZ247" i="4" s="1"/>
  <c r="CU151" i="4"/>
  <c r="CV151" i="4" s="1"/>
  <c r="CZ151" i="4" s="1"/>
  <c r="CU119" i="4"/>
  <c r="CV119" i="4" s="1"/>
  <c r="CZ119" i="4" s="1"/>
  <c r="CU126" i="4"/>
  <c r="CV126" i="4" s="1"/>
  <c r="CZ126" i="4" s="1"/>
  <c r="CU47" i="4"/>
  <c r="CV47" i="4" s="1"/>
  <c r="CZ47" i="4" s="1"/>
  <c r="CU198" i="4"/>
  <c r="CV198" i="4" s="1"/>
  <c r="CZ198" i="4" s="1"/>
  <c r="CU38" i="4"/>
  <c r="CV38" i="4" s="1"/>
  <c r="CZ38" i="4" s="1"/>
  <c r="CU237" i="4"/>
  <c r="CV237" i="4" s="1"/>
  <c r="CZ237" i="4" s="1"/>
  <c r="CU45" i="4"/>
  <c r="CV45" i="4" s="1"/>
  <c r="CZ45" i="4" s="1"/>
  <c r="CU212" i="4"/>
  <c r="CV212" i="4" s="1"/>
  <c r="CZ212" i="4" s="1"/>
  <c r="CU84" i="4"/>
  <c r="CV84" i="4" s="1"/>
  <c r="CZ84" i="4" s="1"/>
  <c r="CU123" i="4"/>
  <c r="CV123" i="4" s="1"/>
  <c r="CZ123" i="4" s="1"/>
  <c r="CU226" i="4"/>
  <c r="CV226" i="4" s="1"/>
  <c r="CZ226" i="4" s="1"/>
  <c r="CU130" i="4"/>
  <c r="CV130" i="4" s="1"/>
  <c r="CZ130" i="4" s="1"/>
  <c r="DC2" i="4" l="1"/>
  <c r="DD2" i="4" s="1"/>
</calcChain>
</file>

<file path=xl/sharedStrings.xml><?xml version="1.0" encoding="utf-8"?>
<sst xmlns="http://schemas.openxmlformats.org/spreadsheetml/2006/main" count="10369" uniqueCount="628">
  <si>
    <t>Informazioni cronologiche</t>
  </si>
  <si>
    <t>Fascia d'età</t>
  </si>
  <si>
    <t>Ti definisci</t>
  </si>
  <si>
    <t>Titolo di studio</t>
  </si>
  <si>
    <t>Zona di residenza</t>
  </si>
  <si>
    <t>Nazionalità</t>
  </si>
  <si>
    <t>Hai mai sentito parlare di "linguaggio inclusivo"?</t>
  </si>
  <si>
    <t>Pensi che il linguaggio influenzi la rappresentazione sociale dei generi?</t>
  </si>
  <si>
    <t>Come giudichi l'uso di forme linguistiche inclusive (es. "tutti e tutte", "studentə" "tutt*")?</t>
  </si>
  <si>
    <t>Ti capita di usare intenzionalmente forme inclusive quando scrivi o parli?</t>
  </si>
  <si>
    <t>In quale contesto usi o noti più spesso l'uso del linguaggio inclusivo?</t>
  </si>
  <si>
    <t>Quale di queste formulazioni ti sembra più corretta o accettabile?</t>
  </si>
  <si>
    <t>Come valuti l'uso di parole come "ministra", "chirurga" e "arbitra"?</t>
  </si>
  <si>
    <t>Quanto sei d'accordo con la seguente affermazione:"il linguaggio inclusivo dovrebbe essere insegnato a scuola"</t>
  </si>
  <si>
    <t>In un testo pubblico, quale tra queste formule di apertura preferisci?</t>
  </si>
  <si>
    <t>Qual è la tua reazione quando senti parole come "sindaca", "assessora" o "medica?</t>
  </si>
  <si>
    <t>Quando leggi un testo con schwa (ə), cosa fai?</t>
  </si>
  <si>
    <t>Ti capita di criticare (mentalmente o apertamente) l'uso di forme inclusive?</t>
  </si>
  <si>
    <t>Secondo te, quali tra queste forme dovrebbero essere adottate nella comunicazione ufficiale? (max 2 risposte)</t>
  </si>
  <si>
    <t>Di fronte a un bando che inizia con "I candidati devono....", cosa pensi?</t>
  </si>
  <si>
    <t>Pensi che il linguaggio inclusivo possa rendere i testi più difficili da leggere o capire?</t>
  </si>
  <si>
    <t>Secondo te, quale ruolo dovrebbe avere lo Stato nella promozione del linguaggio inclusivo?</t>
  </si>
  <si>
    <t>Hai mai cambiato consapevolmente il tuo modo di parlare o scrivere per evitare di escludere soggettività?</t>
  </si>
  <si>
    <t>Ritieni che l'uso del linguaggio inclusivo sia più diffuso tra...</t>
  </si>
  <si>
    <t>Secondo te, nei prossimi 10 anni il linguaggio inclusivo...</t>
  </si>
  <si>
    <t>Pensi che l'intelligenza artificiale debba essere programmata per usare il linguaggio inclusivo?</t>
  </si>
  <si>
    <t>Ti è mai capitato di notare risposte discriminatorie o stereotipate da parte di assistenti virtuali (es. chatGPT, Gemini)?</t>
  </si>
  <si>
    <t>Se un modello di intelligenza artificiale (es. ChatGPT, Gemini) usa solo il maschile sovraesteso, cosa pensi?</t>
  </si>
  <si>
    <t xml:space="preserve">Secondo te, quali agenti artificiali dovrebbero usare forme linguistiche inclusive? </t>
  </si>
  <si>
    <t>Acconsento a partecipare alla ricerca.</t>
  </si>
  <si>
    <t>&gt;65</t>
  </si>
  <si>
    <t>Donna</t>
  </si>
  <si>
    <t>Diploma di scuola superiore</t>
  </si>
  <si>
    <t>Sud e isole</t>
  </si>
  <si>
    <t>italiana</t>
  </si>
  <si>
    <t>Sì, lo conosco bene</t>
  </si>
  <si>
    <t>Sì</t>
  </si>
  <si>
    <t>Utile e necessario</t>
  </si>
  <si>
    <t>Sì, spesso</t>
  </si>
  <si>
    <t>Lavoro</t>
  </si>
  <si>
    <t>Le candidate e i candidati devono presentarsi alle 8</t>
  </si>
  <si>
    <t>Linguaggio corretto e aggiornato</t>
  </si>
  <si>
    <t>Completamente d'accordo</t>
  </si>
  <si>
    <t>Gentili persone</t>
  </si>
  <si>
    <t>Mi suonano strane ma le accetto</t>
  </si>
  <si>
    <t>Faccio fatica a interpretarlo</t>
  </si>
  <si>
    <t>Mai</t>
  </si>
  <si>
    <t>Doppia forma (es. studentesse e studenti), Neutro semantico (es. chi partecipa all'esame)</t>
  </si>
  <si>
    <t>Andrebbe corretta per includere altre soggettività</t>
  </si>
  <si>
    <t>No</t>
  </si>
  <si>
    <t>Informare e sensibilizzare ma senza imporre</t>
  </si>
  <si>
    <t>Attivisti e attiviste</t>
  </si>
  <si>
    <t>Diventerà lo standard</t>
  </si>
  <si>
    <t>Dovrebbe essere corretta per maggiore inclusività</t>
  </si>
  <si>
    <t>Assistenti vocali (es. Siri, Alexa), Modelli generativi di testo (es. ChatGPT)</t>
  </si>
  <si>
    <t>26-35</t>
  </si>
  <si>
    <t>Laurea di secondo livello (laurea magistrale)</t>
  </si>
  <si>
    <t>Sì, ma non in modo approfondito</t>
  </si>
  <si>
    <t>Rispettoso ma a volte eccessivo</t>
  </si>
  <si>
    <t>A volte</t>
  </si>
  <si>
    <t>Comunicazione istituzionale</t>
  </si>
  <si>
    <t>Gentili Signore e Signori</t>
  </si>
  <si>
    <t>Lo trovo fastidioso</t>
  </si>
  <si>
    <t>Doppia forma (es. studentesse e studenti), Neutro semantico (es. chi partecipa all'esame), Eventualmente femminile sovraesteso.</t>
  </si>
  <si>
    <t>Dipende dalla forma usata</t>
  </si>
  <si>
    <t>Qualche volta</t>
  </si>
  <si>
    <t>Persone istruite</t>
  </si>
  <si>
    <t>Non sarà più di moda</t>
  </si>
  <si>
    <t>Assistenti vocali (es. Siri, Alexa), Chatbot informativi (es. siti pubblici o aziendali), Modelli generativi di testo (es. ChatGPT)</t>
  </si>
  <si>
    <t>Raramente</t>
  </si>
  <si>
    <t>Scuola / Università</t>
  </si>
  <si>
    <t>Accettabile ma non sempre necessario</t>
  </si>
  <si>
    <t>Abbastanza d'accordo</t>
  </si>
  <si>
    <t>Non conosco questa forma</t>
  </si>
  <si>
    <t>Doppia forma (es. studentesse e studenti), Solo maschile sovraesteso (es. tutti gli studenti)</t>
  </si>
  <si>
    <t>È una forma neutra, inclusiva e comprensibile</t>
  </si>
  <si>
    <t>Dipende dai contesti</t>
  </si>
  <si>
    <t>Non saprei</t>
  </si>
  <si>
    <t>È normale, è la forma più usata nella lingua</t>
  </si>
  <si>
    <t>Le trovo corrette e necessarie</t>
  </si>
  <si>
    <t>Lo leggo senza problemi</t>
  </si>
  <si>
    <t>Doppia forma (es. studentesse e studenti), Uso di simboli (es. tuttə, student*)</t>
  </si>
  <si>
    <t>Assistenti vocali (es. Siri, Alexa), Chatbot informativi (es. siti pubblici o aziendali)</t>
  </si>
  <si>
    <t>Social media</t>
  </si>
  <si>
    <t>I candidati devono presentarsi alle 8</t>
  </si>
  <si>
    <t>Forzatura della lingua</t>
  </si>
  <si>
    <t>Non ci ho mai pensato</t>
  </si>
  <si>
    <t>Nessuno, la lingua si evolve da sola</t>
  </si>
  <si>
    <t>Persone giovani</t>
  </si>
  <si>
    <t>Non ha alcuna importanza in un sistema artificiale</t>
  </si>
  <si>
    <t>36-50</t>
  </si>
  <si>
    <t>Uomo</t>
  </si>
  <si>
    <t>In parte</t>
  </si>
  <si>
    <t>Attivismo o contesti politici</t>
  </si>
  <si>
    <t>Chi si candida deve presentarsi alle 8</t>
  </si>
  <si>
    <t>Neutro semantico (es. chi partecipa all'esame), Solo maschile sovraesteso (es. tutti gli studenti)</t>
  </si>
  <si>
    <t>Non mi interessa / non ci faccio caso</t>
  </si>
  <si>
    <t>Sarà accettato solo in certi contesti</t>
  </si>
  <si>
    <t>Chatbot informativi (es. siti pubblici o aziendali), Modelli generativi di testo (es. ChatGPT)</t>
  </si>
  <si>
    <t>Gentili tutte e tutti</t>
  </si>
  <si>
    <t>Doppia forma (es. studentesse e studenti), Nessuna</t>
  </si>
  <si>
    <t xml:space="preserve">Nessuno di questi, </t>
  </si>
  <si>
    <t>Mi infastidiscono</t>
  </si>
  <si>
    <t>Lo uso in una moltitudine di contesti.</t>
  </si>
  <si>
    <t>Gentilɜ tuttɜ</t>
  </si>
  <si>
    <t>Uso di simboli (es. tuttə, student*), Neutro semantico (es. chi partecipa all'esame)</t>
  </si>
  <si>
    <t>&lt;18</t>
  </si>
  <si>
    <t>Scuola dell'obbligo</t>
  </si>
  <si>
    <t>Inutile e problematico</t>
  </si>
  <si>
    <t xml:space="preserve">mai sentito </t>
  </si>
  <si>
    <t>Per niente d'accordo</t>
  </si>
  <si>
    <t>e grammaticamente sbagliato sono parole neutre</t>
  </si>
  <si>
    <t xml:space="preserve">Nessuna, normale </t>
  </si>
  <si>
    <t xml:space="preserve">Nessuno di questi, nessuno in generale </t>
  </si>
  <si>
    <t>18-25</t>
  </si>
  <si>
    <t>Non lo noto</t>
  </si>
  <si>
    <t>Laurea di primo livello (laurea triennale)</t>
  </si>
  <si>
    <t>Regolare l'uso in ambito istituzionale</t>
  </si>
  <si>
    <t>Dottorato di ricerca PhD</t>
  </si>
  <si>
    <t>Non saprei / Non mi interessa</t>
  </si>
  <si>
    <t>Modelli generativi di testo (es. ChatGPT), Nessuno di questi</t>
  </si>
  <si>
    <t>Nessuna di queste</t>
  </si>
  <si>
    <t>Le trovo un marcato eccessivo, come a sottolineare il termine quasi forzato</t>
  </si>
  <si>
    <t>Assistenti vocali (es. Siri, Alexa), Nessuno di questi</t>
  </si>
  <si>
    <t>Centro Italia</t>
  </si>
  <si>
    <t>Gentili</t>
  </si>
  <si>
    <t xml:space="preserve">Daje! Lei ce l'ha fatta </t>
  </si>
  <si>
    <t>51-65</t>
  </si>
  <si>
    <t xml:space="preserve">Nessuno di questi, Nessuno in generale </t>
  </si>
  <si>
    <t>Gentilissimi (senza aggiungere altro)</t>
  </si>
  <si>
    <t>Poco d'accordo</t>
  </si>
  <si>
    <t>Nessuno di questi, Anche gli agenti artificiali dovrebbero adeguarsi all' evoluzione della lingua</t>
  </si>
  <si>
    <t>Dipende dal fatto che aggrega dati già esistenti nel web, cosa che comporta inevitabilmente la presenza del maschile sovraesteso</t>
  </si>
  <si>
    <t>Uso di simboli (es. tuttə, student*), Solo maschile sovraesteso (es. tutti gli studenti)</t>
  </si>
  <si>
    <t>Rispettoso e necessario rispettando però la linguistica italiana, non trovo necessario l’uso della ə</t>
  </si>
  <si>
    <t xml:space="preserve">Diventerà standard ma solo in alcuni paesi del mondo, in altri peggiorerà. </t>
  </si>
  <si>
    <t xml:space="preserve">Nessuno di questi, Nessuno </t>
  </si>
  <si>
    <t>Chatbot informativi (es. siti pubblici o aziendali), Nessuno di questi</t>
  </si>
  <si>
    <t>I candidat* devono presentarsi alle 8</t>
  </si>
  <si>
    <t>Chatbot informativi (es. siti pubblici o aziendali), Tutte</t>
  </si>
  <si>
    <t>Nessuno di questi, Non ha importanza</t>
  </si>
  <si>
    <t>Scuola- lavoro- comunicazione istituzionale</t>
  </si>
  <si>
    <t>È convenzionale</t>
  </si>
  <si>
    <t xml:space="preserve">Persone  vicine alla tematica in questione </t>
  </si>
  <si>
    <t>È una convenzione</t>
  </si>
  <si>
    <t>Nord Italia</t>
  </si>
  <si>
    <t>Assistenti vocali (es. Siri, Alexa), Chatbot informativi (es. siti pubblici o aziendali), Modelli generativi di testo (es. ChatGPT), Nessuno di questi</t>
  </si>
  <si>
    <t>Nessuna categoria in particolare</t>
  </si>
  <si>
    <t>Estero</t>
  </si>
  <si>
    <t>Gentilissimi</t>
  </si>
  <si>
    <t>Nessuno di questi, Nessuno</t>
  </si>
  <si>
    <t>Doppia forma (es. studentesse e studenti), Uso di simboli (es. tuttə, student*), Neutro semantico (es. chi partecipa all'esame)</t>
  </si>
  <si>
    <t xml:space="preserve">Informare e sensibilizzare e al contempo regolare la comunicazione istituzionale con delle linee guida </t>
  </si>
  <si>
    <t>Non riesco a comprenderne il senso in quanto vengo distratto dall’uso di tali forme</t>
  </si>
  <si>
    <t>Nessuno di questi, niente</t>
  </si>
  <si>
    <t>Solo maschile sovraesteso (es. tutti gli studenti), Nessuna</t>
  </si>
  <si>
    <t>Chatbot informativi (es. siti pubblici o aziendali), Non li uso né conosco ma direi tutti</t>
  </si>
  <si>
    <t>Necessario, al momento risulta macchinoso e difficile ai più, però è un punto di passaggio per la creazione di un nuovo linguaggio ampio</t>
  </si>
  <si>
    <t>Neutro semantico (es. chi partecipa all'esame), ne' schwa ne' asterisco sono facilmente interpretabili dai lettori di testo per persone ipovedenti, risultando poco inclusivi. Credo servirebbe una nuova forma che probabilmente emergerà naturalmente dalla lingua grazie all'attenzione attuale verso questo tema</t>
  </si>
  <si>
    <t>È un grosso bias delle info a disposizione dell'IA</t>
  </si>
  <si>
    <t>Modelli generativi di testo (es. ChatGPT), Tutti</t>
  </si>
  <si>
    <t xml:space="preserve">Sarà la normalità </t>
  </si>
  <si>
    <t>Dipende. Sono contrario ai segni grafici strambi o ai neologismi cacofonici ma sono a favore del nominare donne e uomini e penso che anche il femminile sovraesteso potrebbe essere una buona soluzione per riequilibrare la situazione</t>
  </si>
  <si>
    <t xml:space="preserve">Corrette ma ancora alcune mi suoneranno strano per un po' </t>
  </si>
  <si>
    <t>Andrebbe corretta ma non lo trovo così importante</t>
  </si>
  <si>
    <t>Nessuno di questi, Non mi interessa particolarmente non ho una risposta netta</t>
  </si>
  <si>
    <t>Inutile, poiché in quello che é scambiato come maschile al plurale in verità | il neutro del latino.</t>
  </si>
  <si>
    <t>Neutro semantico (es. chi partecipa all'esame), Nessuna</t>
  </si>
  <si>
    <t>Gentili Signori</t>
  </si>
  <si>
    <t>stimolare a una riflessione sulla storia della nostra lingua e la sua evoluzione</t>
  </si>
  <si>
    <t>Non ci faccio caso</t>
  </si>
  <si>
    <t xml:space="preserve">Non ci sarà più la lingua italiana </t>
  </si>
  <si>
    <t xml:space="preserve">Non mi interessa </t>
  </si>
  <si>
    <t>Nessuno di questi, La IA andrebbe usata per cose piu serie o non usata affatto (mi fa paura)</t>
  </si>
  <si>
    <t>Utile ma in certi casi inadeguato (ə, * sono soluzioni di compromesso)</t>
  </si>
  <si>
    <t>Buongiorno</t>
  </si>
  <si>
    <t>Mi suonano (ancora) strane, ma le trovo corrette e necessarie</t>
  </si>
  <si>
    <t>Diventerà lo standard in alcuni contesti, sarà accettato a malincuore in altri, e non sarà utilizzato in altri ancora</t>
  </si>
  <si>
    <t>Probabilmente non ci faccio caso, ma non per questo è meno importante</t>
  </si>
  <si>
    <t>Nessuno di questi, Non saprei</t>
  </si>
  <si>
    <t>Nessuno di questi, Siti istituzionali</t>
  </si>
  <si>
    <t>altro</t>
  </si>
  <si>
    <t>Gentile+un colletivo (pubblico, comunità...)</t>
  </si>
  <si>
    <t>Se può regolare, potrebbe anche vietare, come durante il fascismo, forse è meglio che ne stia fuori e se ne occupino la linguistica e l'attivismo</t>
  </si>
  <si>
    <t>Dipenderà molto dalle tendenze politiche, se continuiamo ad andare a destra, rimarrà tra l'attivismo, se ci spistiamo vetso sinistra, avrà una maggiore accettazione ma non raggiungerà lo standard</t>
  </si>
  <si>
    <t>Ho avuto una simpatica conversazione con ChatGpt su questo perché parlava di se al maschile. La sua risposta è stata adulatoria 🙃</t>
  </si>
  <si>
    <t xml:space="preserve">Nessuna, L’uso previsto dalla grammatica italiana. La propria percezione del proprio genere, argomento intimo e individuale, va ricondotto all’alveo personale indisponibile. I rapporti sociali, esterni documentali, non possono risentire della variabilità della percezione dei singoli, che é troppo variegata, persino mutevole. Si faccia riferimento ai due generi naturali (e in caso di nascita con attributi fisici non univoci, si lasci scegliere il genitore e poi l’individuo stesso come vuole farsi indicare, se M o F (potendo anche cambiare durante la vita). Comunque, il plurale misto, in italiano si indica con il maschile. Se questo non piace, si cambi la grammatica e va benissimo. Ma “care tutte e cari tutti” per dire “cari tutti”é errato, perché “cari tutti”, in italiano, si rivolge anche ai contesti in cui siano presenti entrambi i generi. </t>
  </si>
  <si>
    <t xml:space="preserve">Nessuno di questi, Nessuno. Prima si modifichi la grammatica italiana e si istituisca la ripetizione inutile o si crei il genere “plurale”. Forme miste o indeterminate sono poco eleganti, non servono allo scopo e risultano descrittive di una discriminazione autoinflitta. Si opti per una forma grammaticale che rappresenti il plurale con diversi generi. </t>
  </si>
  <si>
    <t>Capisco le motivazioni, ma ritengo che il linguaggio rappresenti un semplice metodo di comunicazione, quindi per sua natura non è discriminatorio. La discriminazione nasce da come si utilizza, per questo ritengo  poco utili tali forme linguistiche inclusive.</t>
  </si>
  <si>
    <t>Nessuno di questi, Nessuna di queste</t>
  </si>
  <si>
    <t xml:space="preserve">Signore e Signori </t>
  </si>
  <si>
    <t>Troppo identitarie</t>
  </si>
  <si>
    <t>Nessuno di questi, Non esistono forme inclusive</t>
  </si>
  <si>
    <t>Non binario / altro</t>
  </si>
  <si>
    <t xml:space="preserve">Lo trovo di difficile lettura, ma ne capisco il messaggio </t>
  </si>
  <si>
    <t>Chatbot informativi (es. siti pubblici o aziendali), Probabilmente nessuno di questi direttamente, gli LLMs replicano il linguaggio umano ed è difficile pensare ad un cambio di paradigma netto da parte loro. Non credo che gli LLM, se non per la task specifica, debbano essere considerati un mezzo per cambiare il paradigma, ma verranno influenzati dal cambiamento di esso, nel caso in cui avverrà.</t>
  </si>
  <si>
    <t>Nessuno di questi, Non vedo perché usarle in un dialogo uno-a-uno</t>
  </si>
  <si>
    <t>Assistenti vocali (es. Siri, Alexa), Modelli generativi di testo (es. ChatGPT), Nessuno di questi</t>
  </si>
  <si>
    <t>Doppia forma (es. studentesse e studenti), Neutro semantico (es. chi partecipa all'esame), Solo maschile sovraesteso (es. tutti gli studenti)</t>
  </si>
  <si>
    <t>Sorpresa</t>
  </si>
  <si>
    <t>lɜ candidatɜ devono presentarsi alle 8</t>
  </si>
  <si>
    <t>Uso di simboli (es. tuttə, student*), mi piace molto il neutro con l'uso della "u" finale</t>
  </si>
  <si>
    <t>promuoverne l'uso</t>
  </si>
  <si>
    <t>Uso del participio presente: gentili partecipanti, gentili presenti etc.</t>
  </si>
  <si>
    <t>Uso di simboli (es. tuttə, student*), Neutro semantico (es. chi partecipa all'esame), Non sono un esperto di lingua, ma trovo che l'attuale uso di simboli neutri non si adatti all'italiano al meglio. Servirebbero strumenti studiati meglio, in ogni caso sono d'accordo con il suo utilizzo nell'attesa di eventuali strumenti migliori.</t>
  </si>
  <si>
    <t>Chatbot informativi (es. siti pubblici o aziendali), Credo un po' chiunque, ma sicuramente ci sono contesti prioritari.</t>
  </si>
  <si>
    <t>In relazione alla sensibilità dell'interlocutore</t>
  </si>
  <si>
    <t>Previsione difficile da fare</t>
  </si>
  <si>
    <t>Nessuno di questi, secondo me l'uso è artificiale e non naturale allora nessuno</t>
  </si>
  <si>
    <t>Nessuna, la lingua va bene così</t>
  </si>
  <si>
    <t>Nessuno di questi, non ha alcuna importanza</t>
  </si>
  <si>
    <t>Non acconsento. (Si prega di chiudere la pagina e non continuare il questionario. Grazie.)</t>
  </si>
  <si>
    <t>COnsiderando come funziona l'intelligenza artificiale è normale</t>
  </si>
  <si>
    <t xml:space="preserve">Assistenti vocali (es. Siri, Alexa), </t>
  </si>
  <si>
    <t xml:space="preserve">Eccessivo </t>
  </si>
  <si>
    <t>Mi sembra una forzatura.</t>
  </si>
  <si>
    <t xml:space="preserve">Una convenzione finora accettabile soltanto nello scritto. </t>
  </si>
  <si>
    <t>Doppia forma (es. studentesse e studenti), Tutte le persone che…</t>
  </si>
  <si>
    <t xml:space="preserve">Che è un uso consolidato, che una maggiore riflessione sul tema del maschile sovraesteso. </t>
  </si>
  <si>
    <t>Difficile prevedere una tempistica sulla futura evoluzione del linguaggio inclusivo.</t>
  </si>
  <si>
    <t>Chi l’ha istruita ha omesso distrattamente di prevedere l’inclusione delle minoranze e delle donne negli allocutivi.</t>
  </si>
  <si>
    <t xml:space="preserve">Persone sensibili a questi temi </t>
  </si>
  <si>
    <t>Uno specchietto per le allodole</t>
  </si>
  <si>
    <t xml:space="preserve">Le trovo superflue </t>
  </si>
  <si>
    <t>Sorrido sarcasticamente</t>
  </si>
  <si>
    <t xml:space="preserve">Nessuno di questi, Nessuna </t>
  </si>
  <si>
    <t>Reputo utile e necessario “tutti e tutte”, ma inutili e problematiche le altre due forme, che non hanno un suono nella pronuncia e si finisce per concludere la parola di fatto con una consonante.</t>
  </si>
  <si>
    <t>Tutti questi contesti</t>
  </si>
  <si>
    <t>Sarà più diffuso e più acclimatato</t>
  </si>
  <si>
    <t xml:space="preserve">Chatbot informativi (es. siti pubblici o aziendali), </t>
  </si>
  <si>
    <t xml:space="preserve">Persone sensibili alla tematica e con un buon background educativo </t>
  </si>
  <si>
    <t>Onestamente non saprei</t>
  </si>
  <si>
    <t xml:space="preserve">Ridondante e problematico </t>
  </si>
  <si>
    <t xml:space="preserve">Adeguarsi alle indicazioni dei linguisti esperti </t>
  </si>
  <si>
    <t xml:space="preserve">Diventerà standard per alcune forme </t>
  </si>
  <si>
    <t xml:space="preserve">Assistenti vocali (es. Siri, Alexa), Qualsiasi agente che utilizzi la lingua </t>
  </si>
  <si>
    <t>Non diventerà lo standard, ma sarà più usato rispetto ad ora</t>
  </si>
  <si>
    <t>Assistenti vocali (es. Siri, Alexa), Tutte le forme di AI</t>
  </si>
  <si>
    <t xml:space="preserve">Doppia forma (es. studentesse e studenti), </t>
  </si>
  <si>
    <t>Non ci ho mai pensato, siamo abituati a questa forma.</t>
  </si>
  <si>
    <t>Nessuno di questi, In ambienti pubblici e istituzionali</t>
  </si>
  <si>
    <t>Indeciso tra  terza e quarta opzione</t>
  </si>
  <si>
    <t>Non so</t>
  </si>
  <si>
    <t xml:space="preserve">Preferisco altre forme di linguaggio inclusivo </t>
  </si>
  <si>
    <t>Vi do il benvenuto!</t>
  </si>
  <si>
    <t>Sarà più utilizzato ma con resistenze</t>
  </si>
  <si>
    <t>Ricalca la scrittura umana, purtroppo</t>
  </si>
  <si>
    <t>LING_INCL_CON_NORM</t>
  </si>
  <si>
    <t>LING_INFL_NORM</t>
  </si>
  <si>
    <t>FORM_LING_GIUD_NORM</t>
  </si>
  <si>
    <t>FREQ_USO_ICL_NORM</t>
  </si>
  <si>
    <t>USO_INCLUS_NORM</t>
  </si>
  <si>
    <t>RISP_INCL_NORM</t>
  </si>
  <si>
    <t>VAL_PAROL_INCL_NORM</t>
  </si>
  <si>
    <t>INS_SCUOLA_NORM</t>
  </si>
  <si>
    <t>FORM_INCL_PREF_NORM</t>
  </si>
  <si>
    <t>REAZ_PAROL_INCL_NORM</t>
  </si>
  <si>
    <t>LEGG_SCHWA_NORM</t>
  </si>
  <si>
    <t>CRITIC_NORM</t>
  </si>
  <si>
    <t>DOPPIA</t>
  </si>
  <si>
    <t>SIMBOLI</t>
  </si>
  <si>
    <t>NEUTRO</t>
  </si>
  <si>
    <t>MASCHILE</t>
  </si>
  <si>
    <t>NESSUNA</t>
  </si>
  <si>
    <t>ALTRO</t>
  </si>
  <si>
    <t>GEN_NORM</t>
  </si>
  <si>
    <t>NAZION_NORM</t>
  </si>
  <si>
    <t>SCUOLA_NORM</t>
  </si>
  <si>
    <t>ZONA_NORM</t>
  </si>
  <si>
    <t>BANDO_MASCH_NORM</t>
  </si>
  <si>
    <t>DIFF_NORM</t>
  </si>
  <si>
    <t>STATO_NORM</t>
  </si>
  <si>
    <t>CAMBIO_MODO_NORM</t>
  </si>
  <si>
    <t>Colonna2</t>
  </si>
  <si>
    <t>USO_LING_NORM</t>
  </si>
  <si>
    <t>FUTURO_INCL_NORM</t>
  </si>
  <si>
    <t>AI_INCLU_NORM</t>
  </si>
  <si>
    <t>DISCR_AI_NORM</t>
  </si>
  <si>
    <t>MASCH_SOVR_AI_NORM</t>
  </si>
  <si>
    <t>ASS_VOCA_NORM</t>
  </si>
  <si>
    <t>CHATBOT</t>
  </si>
  <si>
    <t>MODELLI_GEN</t>
  </si>
  <si>
    <t>NESSUNO</t>
  </si>
  <si>
    <t>29/07/2025 7.29.13</t>
  </si>
  <si>
    <t>29/07/2025 12.46.44</t>
  </si>
  <si>
    <t>29/07/2025 12.53.24</t>
  </si>
  <si>
    <t>Difficile prevederlo, dipenderà dal contesto sociale</t>
  </si>
  <si>
    <t>29/07/2025 12.56.12</t>
  </si>
  <si>
    <t>29/07/2025 12.57.13</t>
  </si>
  <si>
    <t>29/07/2025 12.58.29</t>
  </si>
  <si>
    <t>29/07/2025 12.59.51</t>
  </si>
  <si>
    <t>Che col tempo si aggiornerà. Al momento è normale dato che è la formula più utilizzata</t>
  </si>
  <si>
    <t>29/07/2025 13.01.54</t>
  </si>
  <si>
    <t>29/07/2025 13.06.21</t>
  </si>
  <si>
    <t>29/07/2025 13.06.54</t>
  </si>
  <si>
    <t>Di difficile diffusione. Il linguaggio non si modifica forzatamente</t>
  </si>
  <si>
    <t>Dipende cosa si intende, i femminili verranno usati correttamente, mentre per i neutri (*,ə) non ci sarà diffusione</t>
  </si>
  <si>
    <t>Assistenti vocali (es. Siri, Alexa), Tutti</t>
  </si>
  <si>
    <t>29/07/2025 13.09.03</t>
  </si>
  <si>
    <t>29/07/2025 13.10.00</t>
  </si>
  <si>
    <t>ovunque</t>
  </si>
  <si>
    <t>Nessuno di questi, sono contrario agli agenti artificiali</t>
  </si>
  <si>
    <t>29/07/2025 13.11.53</t>
  </si>
  <si>
    <t>L'intenzione inclusiva è assolutamente condivisibile ma non è ammissibile dalla lingua italiana</t>
  </si>
  <si>
    <t>29/07/2025 13.11.57</t>
  </si>
  <si>
    <t>Nessuno di questi,</t>
  </si>
  <si>
    <t>29/07/2025 13.19.44</t>
  </si>
  <si>
    <t>Nessuno di questi, inibire agli agenti artificiali ogni evoluzione linguistica derivante da ideologie woke</t>
  </si>
  <si>
    <t>29/07/2025 13.24.00</t>
  </si>
  <si>
    <t>29/07/2025 13.26.26</t>
  </si>
  <si>
    <t>29/07/2025 13.27.19</t>
  </si>
  <si>
    <t>Assistenti vocali (es. Siri, Alexa),</t>
  </si>
  <si>
    <t>29/07/2025 13.37.54</t>
  </si>
  <si>
    <t>Spero di sì.</t>
  </si>
  <si>
    <t>29/07/2025 13.42.06</t>
  </si>
  <si>
    <t>29/07/2025 13.56.09</t>
  </si>
  <si>
    <t>29/07/2025 14.05.24</t>
  </si>
  <si>
    <t>29/07/2025 14.10.03</t>
  </si>
  <si>
    <t>29/07/2025 14.11.53</t>
  </si>
  <si>
    <t>29/07/2025 14.13.55</t>
  </si>
  <si>
    <t>29/07/2025 14.16.03</t>
  </si>
  <si>
    <t>29/07/2025 14.19.21</t>
  </si>
  <si>
    <t>29/07/2025 14.26.52</t>
  </si>
  <si>
    <t>29/07/2025 14.34.38</t>
  </si>
  <si>
    <t>Nessuno di questi, Insisto: nessuno</t>
  </si>
  <si>
    <t>29/07/2025 14.36.52</t>
  </si>
  <si>
    <t>29/07/2025 14.51.33</t>
  </si>
  <si>
    <t>29/07/2025 14.53.21</t>
  </si>
  <si>
    <t>29/07/2025 14.58.29</t>
  </si>
  <si>
    <t>Non lo uso</t>
  </si>
  <si>
    <t>Nessuno di questi, Nessun conterto</t>
  </si>
  <si>
    <t>29/07/2025 15.10.21</t>
  </si>
  <si>
    <t>29/07/2025 15.30.24</t>
  </si>
  <si>
    <t>Neutro semantico (es. chi partecipa all'esame), Persone</t>
  </si>
  <si>
    <t>29/07/2025 15.45.32</t>
  </si>
  <si>
    <t>29/07/2025 16.07.25</t>
  </si>
  <si>
    <t>29/07/2025 17.09.39</t>
  </si>
  <si>
    <t>29/07/2025 20.15.53</t>
  </si>
  <si>
    <t>29/07/2025 20.27.51</t>
  </si>
  <si>
    <t>29/07/2025 21.27.34</t>
  </si>
  <si>
    <t>29/07/2025 21.43.11</t>
  </si>
  <si>
    <t>Nessun ruolo, è solo una forma dettata dall stupidità</t>
  </si>
  <si>
    <t>Spero sparisca e si torni alla normale lingua</t>
  </si>
  <si>
    <t>CONSENSO</t>
  </si>
  <si>
    <t>INFL_NORM</t>
  </si>
  <si>
    <t>GIUD_NORM</t>
  </si>
  <si>
    <t>FREQ_NORM</t>
  </si>
  <si>
    <t>INCL_NORM</t>
  </si>
  <si>
    <t>USO_NORM</t>
  </si>
  <si>
    <t>RISP_NORM</t>
  </si>
  <si>
    <t>VAL_NORM</t>
  </si>
  <si>
    <t>INS_NORM</t>
  </si>
  <si>
    <t>PREF_NORM</t>
  </si>
  <si>
    <t>REAZ_NORM</t>
  </si>
  <si>
    <t>SCHWA_NORM</t>
  </si>
  <si>
    <t>CRIT_NORM</t>
  </si>
  <si>
    <t>BANDO_NORM</t>
  </si>
  <si>
    <t>DIFFIC_NORM</t>
  </si>
  <si>
    <t>STAT_NORM</t>
  </si>
  <si>
    <t>CAMBIO_NORM</t>
  </si>
  <si>
    <t>FUTURO_NORM</t>
  </si>
  <si>
    <t>AI_NORM</t>
  </si>
  <si>
    <t>DISC_NORM</t>
  </si>
  <si>
    <t>MASCH_NORM</t>
  </si>
  <si>
    <t>INDICE_INCLUSIVO PER PERSONA</t>
  </si>
  <si>
    <t>FASCIA_INDICE</t>
  </si>
  <si>
    <t>INDICE_INCLUSIVO_GENERALE</t>
  </si>
  <si>
    <t>FASCIA_INDICE_GENERALE</t>
  </si>
  <si>
    <t>DISTANZA IDEALE</t>
  </si>
  <si>
    <t>INDICE_NC_PER PERSONA</t>
  </si>
  <si>
    <t xml:space="preserve">FASCIA_INDICE NC </t>
  </si>
  <si>
    <t>Q1</t>
  </si>
  <si>
    <t>Q2</t>
  </si>
  <si>
    <t>Q3</t>
  </si>
  <si>
    <t>FASCE_Q_PER PERSONA</t>
  </si>
  <si>
    <t>INCL_NORM_Z</t>
  </si>
  <si>
    <t>INFL_NORM_Z</t>
  </si>
  <si>
    <t>MEDIA_F</t>
  </si>
  <si>
    <t>DEV_F</t>
  </si>
  <si>
    <t>MEDIA_J</t>
  </si>
  <si>
    <t>DEV_J</t>
  </si>
  <si>
    <t>MEDIA_N</t>
  </si>
  <si>
    <t>DEV_N</t>
  </si>
  <si>
    <t>GIUD_NORM_Z</t>
  </si>
  <si>
    <t>MEDIA_R</t>
  </si>
  <si>
    <t>DEV_R</t>
  </si>
  <si>
    <t>FREQ_NORM_Z</t>
  </si>
  <si>
    <t>MEDIA_V</t>
  </si>
  <si>
    <t>DEV_V</t>
  </si>
  <si>
    <t>USO_NORM_Z</t>
  </si>
  <si>
    <t>MEDIA_Z</t>
  </si>
  <si>
    <t>DEV_Z</t>
  </si>
  <si>
    <t>RISP_NORM_Z</t>
  </si>
  <si>
    <t>MEDIA_AD</t>
  </si>
  <si>
    <t>DEV_AD</t>
  </si>
  <si>
    <t>VAL_NORM_Z</t>
  </si>
  <si>
    <t>MEDIA_AH</t>
  </si>
  <si>
    <t>DEV_AH</t>
  </si>
  <si>
    <t>INS_NORM_Z</t>
  </si>
  <si>
    <t>MEDIA_AL</t>
  </si>
  <si>
    <t>DEV_AL</t>
  </si>
  <si>
    <t>PREF_NORM_Z</t>
  </si>
  <si>
    <t>MEDIA_AP</t>
  </si>
  <si>
    <t>DEV_AP</t>
  </si>
  <si>
    <t>REAZ_NORM_Z</t>
  </si>
  <si>
    <t>MEDIA_AT</t>
  </si>
  <si>
    <t>DEV_AT</t>
  </si>
  <si>
    <t>SCHWA_NORM_Z</t>
  </si>
  <si>
    <t>MEDIA_AX</t>
  </si>
  <si>
    <t>DEV_AX</t>
  </si>
  <si>
    <t>CRIT_NORM_Z</t>
  </si>
  <si>
    <t>MEDIA_BH</t>
  </si>
  <si>
    <t>DEV_BH</t>
  </si>
  <si>
    <t>BANDO_NORM_Z</t>
  </si>
  <si>
    <t>MEDIA_BL</t>
  </si>
  <si>
    <t>DEV_BL</t>
  </si>
  <si>
    <t>DIFFIC_NORM_Z</t>
  </si>
  <si>
    <t>MEDIA_BP</t>
  </si>
  <si>
    <t>DEV_BP</t>
  </si>
  <si>
    <t>STAT_NORM_Z</t>
  </si>
  <si>
    <t>MEDIA_BT</t>
  </si>
  <si>
    <t>DEV_BT</t>
  </si>
  <si>
    <t>CAMBIO_NORM_Z</t>
  </si>
  <si>
    <t>MEDIA_BY</t>
  </si>
  <si>
    <t>DEV_BY</t>
  </si>
  <si>
    <t>FUTURO_NORM_Z</t>
  </si>
  <si>
    <t>MEDIA_CC</t>
  </si>
  <si>
    <t>DEV_CC</t>
  </si>
  <si>
    <t>AI_NORM_Z</t>
  </si>
  <si>
    <t>MEDIA_CG</t>
  </si>
  <si>
    <t>DEV_CG</t>
  </si>
  <si>
    <t>DISC_NORM_Z</t>
  </si>
  <si>
    <t>MEDIA_CK</t>
  </si>
  <si>
    <t>DEV_CK</t>
  </si>
  <si>
    <t>MASCH_NORM_Z</t>
  </si>
  <si>
    <t>CV_PERSONALE</t>
  </si>
  <si>
    <t>MEDIA_GLOBALE</t>
  </si>
  <si>
    <t>STD_GLOBALE</t>
  </si>
  <si>
    <t>CV_GLOBALE</t>
  </si>
  <si>
    <t>LEG_CODIFICA</t>
  </si>
  <si>
    <t>0 - &lt;18</t>
  </si>
  <si>
    <t>1 - 18-25</t>
  </si>
  <si>
    <t>2 - 26-35</t>
  </si>
  <si>
    <t>3 - 36-50</t>
  </si>
  <si>
    <t>4 - 51-65</t>
  </si>
  <si>
    <t>5 - &lt;65</t>
  </si>
  <si>
    <t>LEG_CODIFICA2</t>
  </si>
  <si>
    <t>0 - non biario / Altro</t>
  </si>
  <si>
    <t>1 - Donna</t>
  </si>
  <si>
    <t>2 - Uomo</t>
  </si>
  <si>
    <t>LEG_CODIFICA3</t>
  </si>
  <si>
    <t>0 - Scuola dell'obbligo</t>
  </si>
  <si>
    <t>1 - Diploma di scuola superiore</t>
  </si>
  <si>
    <t>2 - Laurea di primo livello (triennale)</t>
  </si>
  <si>
    <t>3 - Laurea di secondo livello (magistrale)</t>
  </si>
  <si>
    <t>4 - Dottorato di ricerca (PhD)</t>
  </si>
  <si>
    <t>LEG_CODIFICA4</t>
  </si>
  <si>
    <t>0 - Nord Italia</t>
  </si>
  <si>
    <t>1 - Centro Italia</t>
  </si>
  <si>
    <t>2 - Sud e isole</t>
  </si>
  <si>
    <t>3 - Estero</t>
  </si>
  <si>
    <t>LEG_CODIFICA5</t>
  </si>
  <si>
    <t>1 - italiana</t>
  </si>
  <si>
    <t>0 - altro</t>
  </si>
  <si>
    <t>LEG_CODIFICA6</t>
  </si>
  <si>
    <t>0 - No</t>
  </si>
  <si>
    <t>1 - Sì, ma non in modo approfondito</t>
  </si>
  <si>
    <t>2 - Sì, lo conosco bene</t>
  </si>
  <si>
    <t>LEG_CODIFICA7</t>
  </si>
  <si>
    <t>0 - No / Non saprei</t>
  </si>
  <si>
    <t>1 - In parte</t>
  </si>
  <si>
    <t>2 - Sì</t>
  </si>
  <si>
    <t>LEG_CODIFICA8</t>
  </si>
  <si>
    <t>0 - Inutile e problematico</t>
  </si>
  <si>
    <t>1 - Rispettoso ma a volte eccessivo</t>
  </si>
  <si>
    <t>2 - Rispettoso e necessario</t>
  </si>
  <si>
    <t>LEG_CIDIFICA</t>
  </si>
  <si>
    <t>0 - Mai</t>
  </si>
  <si>
    <t>1 - Raramente</t>
  </si>
  <si>
    <t>2 - A volte</t>
  </si>
  <si>
    <t>3 - Sì, spesso</t>
  </si>
  <si>
    <t>LEG_CODIFICA9</t>
  </si>
  <si>
    <t>0 - Scuola / Università</t>
  </si>
  <si>
    <t>1 - Lavoro</t>
  </si>
  <si>
    <t>2 - Social media</t>
  </si>
  <si>
    <t>3 - Comunicazione istituzionale</t>
  </si>
  <si>
    <t>4 - Attivismo e contesti politici</t>
  </si>
  <si>
    <t>5 - Non lo noto</t>
  </si>
  <si>
    <t>LEG_CODIFICA10</t>
  </si>
  <si>
    <t>2 - Le candidate e i candidati</t>
  </si>
  <si>
    <t xml:space="preserve">0 - I candidati </t>
  </si>
  <si>
    <t>3 - Chi si candida</t>
  </si>
  <si>
    <t xml:space="preserve">1 - I candidat* / lɜ candidatɜ </t>
  </si>
  <si>
    <t>LEG_CODIFICA11</t>
  </si>
  <si>
    <t>0 - Forzatura</t>
  </si>
  <si>
    <t>1 - Non saprei</t>
  </si>
  <si>
    <t>2 - Accettabile</t>
  </si>
  <si>
    <t>3 - Linguaggio corretto</t>
  </si>
  <si>
    <t>LEG_CODIFICA12</t>
  </si>
  <si>
    <t>0 - Per niente</t>
  </si>
  <si>
    <t>1 - Poco</t>
  </si>
  <si>
    <t>2 - Abbastanza</t>
  </si>
  <si>
    <t>3 - Completamente</t>
  </si>
  <si>
    <t>LEG_CODIFICA13</t>
  </si>
  <si>
    <t>0 - Nessuna / Indeciso</t>
  </si>
  <si>
    <t xml:space="preserve">1 - Maschile </t>
  </si>
  <si>
    <t>2 - Gentilɜ tuttɜ</t>
  </si>
  <si>
    <t>3 - Gentili tutte e tutti / Gentili Signore e Signori</t>
  </si>
  <si>
    <t>4 - Gentili persone / impersonale</t>
  </si>
  <si>
    <t>LEG_CODIFICA14</t>
  </si>
  <si>
    <t>0 - mi infastidicono</t>
  </si>
  <si>
    <t>3 - Le trovo corrette e necessarie</t>
  </si>
  <si>
    <t>1 - Non ci ho mai pensato</t>
  </si>
  <si>
    <t>2 - Mi suonano strane ma le accetto</t>
  </si>
  <si>
    <t>LEG_CODIFICA15</t>
  </si>
  <si>
    <t>1 - Faccio fatica a interpretarlo</t>
  </si>
  <si>
    <t>0 - Lo trovo fastidioso / Non conosco</t>
  </si>
  <si>
    <t>2 - Lo leggo senza problemi</t>
  </si>
  <si>
    <t>LEG_CODIFICA16</t>
  </si>
  <si>
    <t>0 - Sì, spesso</t>
  </si>
  <si>
    <t>3 - Mai</t>
  </si>
  <si>
    <t>LEG_CODIFICA17</t>
  </si>
  <si>
    <t>1 - Non ci faccio caso</t>
  </si>
  <si>
    <t>2 - Andrebbe corretta</t>
  </si>
  <si>
    <t>0 - È una forma neutra</t>
  </si>
  <si>
    <t>LEG_CODIFICA18</t>
  </si>
  <si>
    <t>0 - Sì</t>
  </si>
  <si>
    <t>1 - A volte</t>
  </si>
  <si>
    <t>2 - Dipende dalla forma</t>
  </si>
  <si>
    <t>3 - No</t>
  </si>
  <si>
    <t>LEG_CODIFICA19</t>
  </si>
  <si>
    <t>0 - Nessuno</t>
  </si>
  <si>
    <t>1 - Informare</t>
  </si>
  <si>
    <t>2 - Regolare</t>
  </si>
  <si>
    <t>3 - Altro</t>
  </si>
  <si>
    <t>LEG_CODIFICA20</t>
  </si>
  <si>
    <t>2 - Qualche volta</t>
  </si>
  <si>
    <t>LEG_CODIFICA21</t>
  </si>
  <si>
    <t>0 - Persone giovani</t>
  </si>
  <si>
    <t>1 - Persone istruite</t>
  </si>
  <si>
    <t>2 - Attivisti</t>
  </si>
  <si>
    <t>3 - Nessuna categoria</t>
  </si>
  <si>
    <t>LEG_CODIFICA22</t>
  </si>
  <si>
    <t>0 - Non saprei</t>
  </si>
  <si>
    <t>1 - Non sarà più di moda</t>
  </si>
  <si>
    <t>2 - Sarà accettato solo</t>
  </si>
  <si>
    <t>3 - Diventerà lo standard</t>
  </si>
  <si>
    <t>LEG_CODIFICA23</t>
  </si>
  <si>
    <t>2 - Dipende</t>
  </si>
  <si>
    <t>3 - Sì</t>
  </si>
  <si>
    <t>LEG_CODIFICA24</t>
  </si>
  <si>
    <t>LEG_CODIGICA</t>
  </si>
  <si>
    <t>0 - Non ha importanza</t>
  </si>
  <si>
    <t>2 - È normale</t>
  </si>
  <si>
    <t>3 - Dovrebbe essere corretta</t>
  </si>
  <si>
    <t>01/08/2025 11.51.25</t>
  </si>
  <si>
    <t>02/08/2025 1.23.52</t>
  </si>
  <si>
    <t>02/08/2025 1.52.26</t>
  </si>
  <si>
    <t>02/08/2025 1.53.40</t>
  </si>
  <si>
    <t>02/08/2025 2.13.01</t>
  </si>
  <si>
    <t>02/08/2025 2.13.10</t>
  </si>
  <si>
    <t>02/08/2025 2.18.13</t>
  </si>
  <si>
    <t>02/08/2025 2.27.13</t>
  </si>
  <si>
    <t>02/08/2025 7.30.33</t>
  </si>
  <si>
    <t>02/08/2025 7.37.36</t>
  </si>
  <si>
    <t>02/08/2025 8.23.08</t>
  </si>
  <si>
    <t>02/08/2025 8.26.29</t>
  </si>
  <si>
    <t>02/08/2025 8.28.45</t>
  </si>
  <si>
    <t>02/08/2025 8.51.34</t>
  </si>
  <si>
    <t>02/08/2025 8.54.44</t>
  </si>
  <si>
    <t>02/08/2025 9.13.16</t>
  </si>
  <si>
    <t>02/08/2025 9.14.11</t>
  </si>
  <si>
    <t>02/08/2025 9.21.21</t>
  </si>
  <si>
    <t>02/08/2025 9.47.15</t>
  </si>
  <si>
    <t>02/08/2025 10.24.01</t>
  </si>
  <si>
    <t>02/08/2025 11.37.45</t>
  </si>
  <si>
    <t>02/08/2025 11.59.12</t>
  </si>
  <si>
    <t>02/08/2025 12.37.12</t>
  </si>
  <si>
    <t>02/08/2025 12.55.39</t>
  </si>
  <si>
    <t>02/08/2025 14.28.53</t>
  </si>
  <si>
    <t>02/08/2025 14.40.48</t>
  </si>
  <si>
    <t>02/08/2025 14.46.34</t>
  </si>
  <si>
    <t>02/08/2025 16.04.19</t>
  </si>
  <si>
    <t>02/08/2025 16.05.02</t>
  </si>
  <si>
    <t>02/08/2025 16.25.47</t>
  </si>
  <si>
    <t>02/08/2025 17.43.50</t>
  </si>
  <si>
    <t>02/08/2025 17.50.53</t>
  </si>
  <si>
    <t>02/08/2025 17.54.31</t>
  </si>
  <si>
    <t>02/08/2025 18.13.03</t>
  </si>
  <si>
    <t>02/08/2025 19.31.42</t>
  </si>
  <si>
    <t>02/08/2025 21.18.49</t>
  </si>
  <si>
    <t>02/08/2025 23.21.02</t>
  </si>
  <si>
    <t>Non si sa più come si deve parlare per non offendere certe persone</t>
  </si>
  <si>
    <t>Una stronzata</t>
  </si>
  <si>
    <t>Lo noto in ciascuno dei contesti</t>
  </si>
  <si>
    <t>Sempre sia lavoro che vita privata</t>
  </si>
  <si>
    <t>Lavoro, social università, conveniva metterla multipla</t>
  </si>
  <si>
    <t>Perdo istantaneamente ogni eventuale buona opinione di chi la pronuncia</t>
  </si>
  <si>
    <t>Non mi disturbano, se chi si definisce così ne sente esigenza per me va bene</t>
  </si>
  <si>
    <t>Smetto di leggere</t>
  </si>
  <si>
    <t>Neutro semantico (es. chi partecipa all'esame),</t>
  </si>
  <si>
    <t>Neutro semantico (es. chi partecipa all'esame), Simile al neutro</t>
  </si>
  <si>
    <t>I candidati e le canditate o le candidate e i candidati</t>
  </si>
  <si>
    <t>Il rispetto del genere è altro e più profondo e l’unica cosa che spetti allo Stato</t>
  </si>
  <si>
    <t>Negli ambienti istituzionali è forse più importante l' uso di un linguaggio inclusivo</t>
  </si>
  <si>
    <t>Persone con problemi di autostima</t>
  </si>
  <si>
    <t>Arrivisti</t>
  </si>
  <si>
    <t>Minchia anche qui va messo multiplo, comunque sia per persone giovani, istruite che per attiviste e attivisti</t>
  </si>
  <si>
    <t>Spero che non venga mai accettato</t>
  </si>
  <si>
    <t>Ci penserà la guerra o quel galantuomo del tempo</t>
  </si>
  <si>
    <t>probabilmente si modificherà da solo/a quando riceverà più prompt dagli e dalle utenti</t>
  </si>
  <si>
    <t>Usandolo mi sono reso conto che nel tempo si "educa"</t>
  </si>
  <si>
    <t>Nessuno di questi, Sec me non è necessario,</t>
  </si>
  <si>
    <t>Nessuno di questi, Ma scherziamo?</t>
  </si>
  <si>
    <t>03/08/2025 14.17.44</t>
  </si>
  <si>
    <t>03/08/2025 14.37.32</t>
  </si>
  <si>
    <t>03/08/2025 16.07.53</t>
  </si>
  <si>
    <t>03/08/2025 16.08.22</t>
  </si>
  <si>
    <t>03/08/2025 16.15.14</t>
  </si>
  <si>
    <t>03/08/2025 16.20.35</t>
  </si>
  <si>
    <t>03/08/2025 16.25.08</t>
  </si>
  <si>
    <t>03/08/2025 17.18.34</t>
  </si>
  <si>
    <t>FASCE ILI PERSONALI</t>
  </si>
  <si>
    <t>ILI_GLOBALE</t>
  </si>
  <si>
    <t>FASCIA_ILI_GLOBALE</t>
  </si>
  <si>
    <t>ILI_PERSONALE</t>
  </si>
  <si>
    <t>ILI_MEAN_PERSONALE</t>
  </si>
  <si>
    <t>ILI_STD_PERSONALE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</si>
</sst>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4" x14ac:knownFonts="1">
    <font>
      <sz val="10"/>
      <color rgb="FF000000"/>
      <name val="Arial"/>
      <scheme val="minor"/>
    </font>
    <font>
      <sz val="10"/>
      <color theme="1"/>
      <name val="Arial"/>
      <family val="2"/>
      <scheme val="minor"/>
    </font>
    <font>
      <b/>
      <sz val="10"/>
      <color rgb="FF000000"/>
      <name val="Arial"/>
      <family val="2"/>
      <scheme val="minor"/>
    </font>
    <font>
      <sz val="10"/>
      <color rgb="FF000000"/>
      <name val="Arial"/>
      <family val="2"/>
      <scheme val="minor"/>
    </font>
    <font>
      <b/>
      <sz val="11"/>
      <color theme="3"/>
      <name val="Arial"/>
      <family val="2"/>
      <scheme val="minor"/>
    </font>
    <font>
      <sz val="8"/>
      <name val="Arial"/>
      <family val="2"/>
      <scheme val="minor"/>
    </font>
    <font>
      <b/>
      <sz val="8"/>
      <color theme="3"/>
      <name val="Arial"/>
      <family val="2"/>
      <scheme val="minor"/>
    </font>
    <font>
      <sz val="8"/>
      <color theme="1"/>
      <name val="Arial"/>
      <family val="2"/>
      <scheme val="minor"/>
    </font>
    <font>
      <sz val="8"/>
      <color rgb="FF000000"/>
      <name val="Arial"/>
      <family val="2"/>
      <scheme val="minor"/>
    </font>
    <font>
      <b/>
      <sz val="8"/>
      <color rgb="FF000000"/>
      <name val="Arial"/>
      <family val="2"/>
      <scheme val="minor"/>
    </font>
    <font>
      <b/>
      <sz val="10"/>
      <color theme="1"/>
      <name val="Arial"/>
      <family val="2"/>
      <scheme val="minor"/>
    </font>
    <font>
      <sz val="10"/>
      <color rgb="FF434343"/>
      <name val="Roboto"/>
    </font>
    <font>
      <sz val="8"/>
      <color rgb="FF434343"/>
      <name val="Roboto"/>
    </font>
    <font>
      <sz val="10"/>
      <color rgb="FF434343"/>
      <name val="Arial"/>
      <family val="2"/>
      <scheme val="minor"/>
    </font>
  </fonts>
  <fills count="1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C000"/>
        <bgColor rgb="FFF8F9FA"/>
      </patternFill>
    </fill>
    <fill>
      <patternFill patternType="solid">
        <fgColor rgb="FF92D050"/>
        <bgColor indexed="64"/>
      </patternFill>
    </fill>
    <fill>
      <patternFill patternType="solid">
        <fgColor rgb="FF92D050"/>
        <bgColor rgb="FFF8F9FA"/>
      </patternFill>
    </fill>
    <fill>
      <patternFill patternType="solid">
        <fgColor theme="9"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59999389629810485"/>
        <bgColor rgb="FFF8F9FA"/>
      </patternFill>
    </fill>
    <fill>
      <patternFill patternType="solid">
        <fgColor theme="9" tint="-0.249977111117893"/>
        <bgColor indexed="64"/>
      </patternFill>
    </fill>
    <fill>
      <patternFill patternType="solid">
        <fgColor rgb="FFC00000"/>
        <bgColor indexed="64"/>
      </patternFill>
    </fill>
    <fill>
      <patternFill patternType="solid">
        <fgColor rgb="FFFFFFFF"/>
        <bgColor rgb="FFFFFFFF"/>
      </patternFill>
    </fill>
    <fill>
      <patternFill patternType="solid">
        <fgColor rgb="FFF8F9FA"/>
        <bgColor rgb="FFF8F9FA"/>
      </patternFill>
    </fill>
  </fills>
  <borders count="16">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right/>
      <top/>
      <bottom style="thick">
        <color theme="4"/>
      </bottom>
      <diagonal/>
    </border>
    <border>
      <left style="thin">
        <color rgb="FFFFFFFF"/>
      </left>
      <right/>
      <top style="thin">
        <color rgb="FFFFFFFF"/>
      </top>
      <bottom style="thin">
        <color rgb="FFFFFFFF"/>
      </bottom>
      <diagonal/>
    </border>
    <border>
      <left style="thin">
        <color rgb="FFF8F9FA"/>
      </left>
      <right/>
      <top style="thin">
        <color rgb="FFF8F9FA"/>
      </top>
      <bottom style="thin">
        <color rgb="FFF8F9FA"/>
      </bottom>
      <diagonal/>
    </border>
    <border>
      <left style="thin">
        <color rgb="FFFFFFFF"/>
      </left>
      <right/>
      <top style="thin">
        <color rgb="FFFFFFFF"/>
      </top>
      <bottom style="thin">
        <color rgb="FF442F65"/>
      </bottom>
      <diagonal/>
    </border>
    <border>
      <left/>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s>
  <cellStyleXfs count="2">
    <xf numFmtId="0" fontId="0" fillId="0" borderId="0"/>
    <xf numFmtId="0" fontId="4" fillId="0" borderId="0" applyNumberFormat="0" applyFill="0" applyBorder="0" applyAlignment="0" applyProtection="0"/>
  </cellStyleXfs>
  <cellXfs count="164">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164" fontId="1" fillId="0" borderId="3" xfId="0" applyNumberFormat="1"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2" fillId="2" borderId="0" xfId="0" applyFont="1" applyFill="1"/>
    <xf numFmtId="0" fontId="1" fillId="3" borderId="4" xfId="0" applyFont="1" applyFill="1" applyBorder="1" applyAlignment="1">
      <alignment vertical="center"/>
    </xf>
    <xf numFmtId="0" fontId="1" fillId="3" borderId="1" xfId="0" applyFont="1" applyFill="1" applyBorder="1" applyAlignment="1">
      <alignment vertical="center"/>
    </xf>
    <xf numFmtId="0" fontId="1" fillId="0" borderId="1" xfId="0" applyFont="1" applyBorder="1" applyAlignment="1">
      <alignment vertical="center" wrapText="1"/>
    </xf>
    <xf numFmtId="0" fontId="1" fillId="3" borderId="4" xfId="0" applyFont="1" applyFill="1" applyBorder="1" applyAlignment="1">
      <alignment vertical="center" wrapText="1"/>
    </xf>
    <xf numFmtId="0" fontId="1" fillId="0" borderId="4" xfId="0" applyFont="1" applyBorder="1" applyAlignment="1">
      <alignment vertical="center" wrapText="1"/>
    </xf>
    <xf numFmtId="0" fontId="1" fillId="3" borderId="1" xfId="0" applyFont="1" applyFill="1" applyBorder="1" applyAlignment="1">
      <alignment vertical="center" wrapText="1"/>
    </xf>
    <xf numFmtId="0" fontId="1" fillId="0" borderId="6" xfId="0" applyFont="1" applyBorder="1" applyAlignment="1">
      <alignment vertical="center" wrapText="1"/>
    </xf>
    <xf numFmtId="0" fontId="0" fillId="0" borderId="0" xfId="0" applyAlignment="1">
      <alignment wrapText="1"/>
    </xf>
    <xf numFmtId="0" fontId="1" fillId="4" borderId="1"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6" xfId="0" applyFont="1" applyFill="1" applyBorder="1" applyAlignment="1">
      <alignment horizontal="center" vertical="center"/>
    </xf>
    <xf numFmtId="0" fontId="0" fillId="4" borderId="0" xfId="0" applyFill="1" applyAlignment="1">
      <alignment horizontal="center"/>
    </xf>
    <xf numFmtId="0" fontId="1" fillId="4" borderId="1" xfId="0" applyFont="1" applyFill="1" applyBorder="1" applyAlignment="1">
      <alignment horizontal="center" vertical="top"/>
    </xf>
    <xf numFmtId="0" fontId="1" fillId="4" borderId="4" xfId="0" applyFont="1" applyFill="1" applyBorder="1" applyAlignment="1">
      <alignment horizontal="center" vertical="top" wrapText="1"/>
    </xf>
    <xf numFmtId="0" fontId="1" fillId="4" borderId="1" xfId="0" applyFont="1" applyFill="1" applyBorder="1" applyAlignment="1">
      <alignment horizontal="center" vertical="top" wrapText="1"/>
    </xf>
    <xf numFmtId="0" fontId="1" fillId="4" borderId="6" xfId="0" applyFont="1" applyFill="1" applyBorder="1" applyAlignment="1">
      <alignment horizontal="center" vertical="top" wrapText="1"/>
    </xf>
    <xf numFmtId="0" fontId="0" fillId="4" borderId="0" xfId="0" applyFill="1" applyAlignment="1">
      <alignment horizontal="center" vertical="top" wrapText="1"/>
    </xf>
    <xf numFmtId="0" fontId="0" fillId="0" borderId="0" xfId="0" applyAlignment="1">
      <alignment shrinkToFit="1"/>
    </xf>
    <xf numFmtId="0" fontId="3" fillId="5" borderId="4" xfId="0" applyFont="1" applyFill="1" applyBorder="1" applyAlignment="1">
      <alignment horizontal="center" vertical="center"/>
    </xf>
    <xf numFmtId="0" fontId="1" fillId="4" borderId="6" xfId="0" applyFont="1" applyFill="1" applyBorder="1" applyAlignment="1">
      <alignment horizontal="center" vertical="center" wrapText="1"/>
    </xf>
    <xf numFmtId="0" fontId="0" fillId="4" borderId="0" xfId="0" applyFill="1" applyAlignment="1">
      <alignment horizontal="center" wrapText="1"/>
    </xf>
    <xf numFmtId="0" fontId="1" fillId="4" borderId="0" xfId="0" applyFont="1" applyFill="1" applyAlignment="1">
      <alignment horizontal="center" vertical="center"/>
    </xf>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0"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3" xfId="0" applyFont="1" applyFill="1" applyBorder="1" applyAlignment="1">
      <alignment horizontal="center" vertical="top" wrapText="1"/>
    </xf>
    <xf numFmtId="0" fontId="1" fillId="4" borderId="14" xfId="0" applyFont="1" applyFill="1" applyBorder="1" applyAlignment="1">
      <alignment horizontal="center" vertical="center"/>
    </xf>
    <xf numFmtId="0" fontId="1" fillId="4" borderId="15" xfId="0" applyFont="1" applyFill="1" applyBorder="1" applyAlignment="1">
      <alignment horizontal="center" vertical="center"/>
    </xf>
    <xf numFmtId="0" fontId="1" fillId="0" borderId="6" xfId="0" applyFont="1" applyBorder="1" applyAlignment="1">
      <alignment vertical="center" wrapText="1" shrinkToFit="1"/>
    </xf>
    <xf numFmtId="0" fontId="1" fillId="4" borderId="1" xfId="0" quotePrefix="1" applyFont="1" applyFill="1" applyBorder="1" applyAlignment="1">
      <alignment horizontal="center" vertical="center"/>
    </xf>
    <xf numFmtId="0" fontId="0" fillId="4" borderId="0" xfId="0" applyFill="1" applyAlignment="1">
      <alignment horizontal="center" shrinkToFit="1"/>
    </xf>
    <xf numFmtId="0" fontId="0" fillId="4" borderId="0" xfId="0" applyFill="1" applyAlignment="1">
      <alignment horizontal="center" vertical="center" shrinkToFit="1"/>
    </xf>
    <xf numFmtId="0" fontId="1" fillId="0" borderId="2" xfId="0" applyFont="1" applyBorder="1" applyAlignment="1">
      <alignment vertical="center" wrapText="1"/>
    </xf>
    <xf numFmtId="0" fontId="1" fillId="0" borderId="5" xfId="0" applyFont="1" applyBorder="1" applyAlignment="1">
      <alignment vertical="center" wrapText="1"/>
    </xf>
    <xf numFmtId="0" fontId="4" fillId="2" borderId="8" xfId="1" applyFill="1" applyBorder="1" applyAlignment="1">
      <alignment horizontal="left" vertical="center"/>
    </xf>
    <xf numFmtId="0" fontId="6" fillId="2" borderId="8" xfId="1" applyFont="1" applyFill="1" applyBorder="1" applyAlignment="1">
      <alignment horizontal="left" vertical="center"/>
    </xf>
    <xf numFmtId="164" fontId="7" fillId="0" borderId="3" xfId="0" applyNumberFormat="1" applyFont="1" applyBorder="1" applyAlignment="1">
      <alignment vertical="center"/>
    </xf>
    <xf numFmtId="0" fontId="8" fillId="0" borderId="0" xfId="0" applyFont="1"/>
    <xf numFmtId="0" fontId="1" fillId="3" borderId="6" xfId="0" applyFont="1" applyFill="1" applyBorder="1" applyAlignment="1">
      <alignment vertical="center" wrapText="1"/>
    </xf>
    <xf numFmtId="0" fontId="0" fillId="0" borderId="0" xfId="0" applyAlignment="1">
      <alignment vertical="center" wrapText="1"/>
    </xf>
    <xf numFmtId="0" fontId="0" fillId="0" borderId="0" xfId="0" applyAlignment="1">
      <alignment vertical="center"/>
    </xf>
    <xf numFmtId="0" fontId="4" fillId="6" borderId="8" xfId="1" applyFill="1" applyBorder="1" applyAlignment="1">
      <alignment horizontal="left" vertical="center"/>
    </xf>
    <xf numFmtId="0" fontId="1" fillId="6" borderId="1"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0" xfId="0" applyFont="1" applyFill="1" applyAlignment="1">
      <alignment horizontal="center" vertical="center"/>
    </xf>
    <xf numFmtId="0" fontId="3" fillId="7" borderId="4" xfId="0" applyFont="1" applyFill="1" applyBorder="1" applyAlignment="1">
      <alignment horizontal="center" vertical="center"/>
    </xf>
    <xf numFmtId="0" fontId="1" fillId="6" borderId="6" xfId="0" applyFont="1" applyFill="1" applyBorder="1" applyAlignment="1">
      <alignment horizontal="center" vertical="center"/>
    </xf>
    <xf numFmtId="0" fontId="1" fillId="6" borderId="1" xfId="0" quotePrefix="1" applyFont="1" applyFill="1" applyBorder="1" applyAlignment="1">
      <alignment horizontal="center" vertical="center"/>
    </xf>
    <xf numFmtId="0" fontId="1" fillId="6" borderId="13" xfId="0" applyFont="1" applyFill="1" applyBorder="1" applyAlignment="1">
      <alignment horizontal="center" vertical="center"/>
    </xf>
    <xf numFmtId="0" fontId="0" fillId="6" borderId="0" xfId="0" applyFill="1" applyAlignment="1">
      <alignment horizontal="center"/>
    </xf>
    <xf numFmtId="0" fontId="4" fillId="6" borderId="0" xfId="1" applyFill="1" applyBorder="1" applyAlignment="1">
      <alignment horizontal="left" vertical="center"/>
    </xf>
    <xf numFmtId="0" fontId="4" fillId="6" borderId="0" xfId="1" applyFill="1" applyBorder="1" applyAlignment="1">
      <alignment horizontal="center" vertical="center"/>
    </xf>
    <xf numFmtId="0" fontId="0" fillId="0" borderId="0" xfId="0" applyAlignment="1">
      <alignment horizontal="center"/>
    </xf>
    <xf numFmtId="0" fontId="0" fillId="6" borderId="0" xfId="0" applyFill="1"/>
    <xf numFmtId="0" fontId="2" fillId="6" borderId="0" xfId="0" applyFont="1" applyFill="1" applyAlignment="1">
      <alignment horizontal="center"/>
    </xf>
    <xf numFmtId="0" fontId="0" fillId="0" borderId="0" xfId="0" applyAlignment="1">
      <alignment horizontal="center" vertical="center"/>
    </xf>
    <xf numFmtId="0" fontId="0" fillId="6" borderId="0" xfId="0" applyFill="1" applyAlignment="1">
      <alignment horizontal="center" vertical="center"/>
    </xf>
    <xf numFmtId="0" fontId="4" fillId="6" borderId="8" xfId="1" applyFill="1" applyBorder="1" applyAlignment="1">
      <alignment horizontal="center" vertical="center"/>
    </xf>
    <xf numFmtId="0" fontId="1" fillId="6" borderId="9" xfId="0" applyFont="1" applyFill="1" applyBorder="1" applyAlignment="1">
      <alignment horizontal="center" vertical="center"/>
    </xf>
    <xf numFmtId="0" fontId="1" fillId="6" borderId="10" xfId="0" applyFont="1" applyFill="1" applyBorder="1" applyAlignment="1">
      <alignment horizontal="center" vertical="center"/>
    </xf>
    <xf numFmtId="0" fontId="1" fillId="6" borderId="10"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11" xfId="0" applyFont="1" applyFill="1" applyBorder="1" applyAlignment="1">
      <alignment horizontal="center" vertical="center"/>
    </xf>
    <xf numFmtId="0" fontId="1" fillId="6" borderId="12" xfId="0" applyFont="1" applyFill="1" applyBorder="1" applyAlignment="1">
      <alignment horizontal="center" vertical="center"/>
    </xf>
    <xf numFmtId="0" fontId="1" fillId="6" borderId="14" xfId="0" applyFont="1" applyFill="1" applyBorder="1" applyAlignment="1">
      <alignment horizontal="center" vertical="center"/>
    </xf>
    <xf numFmtId="0" fontId="1" fillId="6" borderId="15" xfId="0" applyFont="1" applyFill="1" applyBorder="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4" fillId="10" borderId="8" xfId="1" applyFill="1" applyBorder="1" applyAlignment="1">
      <alignment horizontal="left" vertical="center"/>
    </xf>
    <xf numFmtId="0" fontId="1" fillId="10" borderId="1" xfId="0" applyFont="1" applyFill="1" applyBorder="1" applyAlignment="1">
      <alignment horizontal="center" vertical="center"/>
    </xf>
    <xf numFmtId="0" fontId="1" fillId="10" borderId="4" xfId="0" applyFont="1" applyFill="1" applyBorder="1" applyAlignment="1">
      <alignment horizontal="center" vertical="center"/>
    </xf>
    <xf numFmtId="0" fontId="1" fillId="10" borderId="0" xfId="0" applyFont="1" applyFill="1" applyAlignment="1">
      <alignment horizontal="center" vertical="center"/>
    </xf>
    <xf numFmtId="0" fontId="3" fillId="11" borderId="4" xfId="0" applyFont="1" applyFill="1" applyBorder="1" applyAlignment="1">
      <alignment horizontal="center" vertical="center"/>
    </xf>
    <xf numFmtId="0" fontId="1" fillId="10" borderId="6" xfId="0" applyFont="1" applyFill="1" applyBorder="1" applyAlignment="1">
      <alignment horizontal="center" vertical="center"/>
    </xf>
    <xf numFmtId="0" fontId="1" fillId="10" borderId="1" xfId="0" quotePrefix="1" applyFont="1" applyFill="1" applyBorder="1" applyAlignment="1">
      <alignment horizontal="center" vertical="center"/>
    </xf>
    <xf numFmtId="0" fontId="1" fillId="10" borderId="13" xfId="0" applyFont="1" applyFill="1" applyBorder="1" applyAlignment="1">
      <alignment horizontal="center" vertical="center"/>
    </xf>
    <xf numFmtId="0" fontId="0" fillId="10" borderId="0" xfId="0" applyFill="1" applyAlignment="1">
      <alignment horizontal="center"/>
    </xf>
    <xf numFmtId="0" fontId="4" fillId="10" borderId="8" xfId="1" applyFill="1" applyBorder="1" applyAlignment="1">
      <alignment horizontal="center" vertical="center"/>
    </xf>
    <xf numFmtId="0" fontId="1" fillId="10" borderId="9" xfId="0" applyFont="1" applyFill="1" applyBorder="1" applyAlignment="1">
      <alignment horizontal="center" vertical="center"/>
    </xf>
    <xf numFmtId="0" fontId="1" fillId="10" borderId="10" xfId="0" applyFont="1" applyFill="1" applyBorder="1" applyAlignment="1">
      <alignment horizontal="center" vertical="center"/>
    </xf>
    <xf numFmtId="0" fontId="1" fillId="10" borderId="10"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10" borderId="11" xfId="0" applyFont="1" applyFill="1" applyBorder="1" applyAlignment="1">
      <alignment horizontal="center" vertical="center"/>
    </xf>
    <xf numFmtId="0" fontId="1" fillId="10" borderId="12" xfId="0" applyFont="1" applyFill="1" applyBorder="1" applyAlignment="1">
      <alignment horizontal="center" vertical="center"/>
    </xf>
    <xf numFmtId="0" fontId="1" fillId="10" borderId="14" xfId="0" applyFont="1" applyFill="1" applyBorder="1" applyAlignment="1">
      <alignment horizontal="center" vertical="center"/>
    </xf>
    <xf numFmtId="0" fontId="1" fillId="10" borderId="15" xfId="0" applyFont="1" applyFill="1" applyBorder="1" applyAlignment="1">
      <alignment horizontal="center" vertical="center"/>
    </xf>
    <xf numFmtId="0" fontId="4" fillId="8" borderId="8" xfId="1" applyFill="1" applyBorder="1" applyAlignment="1">
      <alignment horizontal="center" vertical="center"/>
    </xf>
    <xf numFmtId="0" fontId="0" fillId="8" borderId="0" xfId="0" applyFill="1" applyAlignment="1">
      <alignment horizontal="center"/>
    </xf>
    <xf numFmtId="0" fontId="4" fillId="8" borderId="0" xfId="1" applyFill="1" applyBorder="1" applyAlignment="1">
      <alignment horizontal="center" vertical="center"/>
    </xf>
    <xf numFmtId="0" fontId="4" fillId="2" borderId="8" xfId="1" applyFill="1" applyBorder="1" applyAlignment="1">
      <alignment horizontal="center" vertical="center"/>
    </xf>
    <xf numFmtId="0" fontId="2" fillId="8" borderId="0" xfId="0" applyFont="1" applyFill="1" applyAlignment="1">
      <alignment horizontal="center" vertical="center"/>
    </xf>
    <xf numFmtId="0" fontId="0" fillId="8" borderId="0" xfId="0" applyFill="1"/>
    <xf numFmtId="0" fontId="2" fillId="12" borderId="0" xfId="0" applyFont="1" applyFill="1" applyAlignment="1">
      <alignment horizontal="center" vertical="center"/>
    </xf>
    <xf numFmtId="0" fontId="0" fillId="12" borderId="0" xfId="0" applyFill="1" applyAlignment="1">
      <alignment horizontal="center"/>
    </xf>
    <xf numFmtId="0" fontId="0" fillId="12" borderId="0" xfId="0" applyFill="1" applyAlignment="1">
      <alignment horizontal="center" vertical="center"/>
    </xf>
    <xf numFmtId="0" fontId="9" fillId="8" borderId="0" xfId="0" applyFont="1" applyFill="1" applyAlignment="1">
      <alignment horizontal="center" vertical="center"/>
    </xf>
    <xf numFmtId="0" fontId="0" fillId="13" borderId="0" xfId="0" applyFill="1" applyAlignment="1">
      <alignment horizontal="center"/>
    </xf>
    <xf numFmtId="0" fontId="1" fillId="3" borderId="1" xfId="0" applyFont="1" applyFill="1" applyBorder="1" applyAlignment="1">
      <alignment horizontal="center" vertical="center"/>
    </xf>
    <xf numFmtId="0" fontId="1" fillId="3" borderId="4" xfId="0" applyFont="1" applyFill="1" applyBorder="1" applyAlignment="1">
      <alignment horizontal="center" vertical="center"/>
    </xf>
    <xf numFmtId="0" fontId="0" fillId="3" borderId="0" xfId="0" applyFill="1" applyAlignment="1">
      <alignment horizontal="center"/>
    </xf>
    <xf numFmtId="0" fontId="4" fillId="4" borderId="8" xfId="1" applyFill="1" applyBorder="1" applyAlignment="1">
      <alignment horizontal="left" vertical="center"/>
    </xf>
    <xf numFmtId="0" fontId="1" fillId="0" borderId="13"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13" xfId="0" quotePrefix="1" applyFont="1" applyBorder="1" applyAlignment="1">
      <alignment horizontal="center" vertical="center"/>
    </xf>
    <xf numFmtId="0" fontId="3" fillId="0" borderId="0" xfId="0" applyFont="1" applyAlignment="1">
      <alignment horizontal="center" vertical="center"/>
    </xf>
    <xf numFmtId="0" fontId="10" fillId="4" borderId="1" xfId="0" applyFont="1" applyFill="1" applyBorder="1" applyAlignment="1">
      <alignment horizontal="left" vertical="center"/>
    </xf>
    <xf numFmtId="0" fontId="10" fillId="4" borderId="4" xfId="0" applyFont="1" applyFill="1" applyBorder="1" applyAlignment="1">
      <alignment horizontal="left" vertical="center"/>
    </xf>
    <xf numFmtId="0" fontId="0" fillId="0" borderId="0" xfId="0" applyAlignment="1">
      <alignment horizontal="center" vertical="top" wrapText="1"/>
    </xf>
    <xf numFmtId="0" fontId="1" fillId="0" borderId="4" xfId="0" applyFont="1" applyBorder="1" applyAlignment="1">
      <alignment horizontal="center" vertical="top" wrapText="1"/>
    </xf>
    <xf numFmtId="0" fontId="1" fillId="0" borderId="1" xfId="0" applyFont="1" applyBorder="1" applyAlignment="1">
      <alignment horizontal="center" vertical="top" wrapText="1"/>
    </xf>
    <xf numFmtId="0" fontId="1" fillId="0" borderId="6" xfId="0" applyFont="1" applyBorder="1" applyAlignment="1">
      <alignment horizontal="center" vertical="top" wrapText="1"/>
    </xf>
    <xf numFmtId="0" fontId="1" fillId="0" borderId="13" xfId="0" applyFont="1" applyBorder="1" applyAlignment="1">
      <alignment horizontal="center" vertical="top"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0" fillId="0" borderId="0" xfId="0" applyAlignment="1">
      <alignment horizontal="center" shrinkToFit="1"/>
    </xf>
    <xf numFmtId="0" fontId="0" fillId="0" borderId="0" xfId="0" applyAlignment="1">
      <alignment horizontal="center" vertical="center" shrinkToFit="1"/>
    </xf>
    <xf numFmtId="0" fontId="0" fillId="3" borderId="0" xfId="0" applyFill="1"/>
    <xf numFmtId="0" fontId="4" fillId="3" borderId="0" xfId="1" applyFill="1" applyBorder="1" applyAlignment="1">
      <alignment horizontal="center" vertical="center"/>
    </xf>
    <xf numFmtId="0" fontId="0" fillId="3" borderId="0" xfId="0" applyFill="1" applyAlignment="1">
      <alignment horizontal="center" vertical="center"/>
    </xf>
    <xf numFmtId="0" fontId="1" fillId="4" borderId="0" xfId="0" applyFont="1" applyFill="1"/>
    <xf numFmtId="0" fontId="11" fillId="0" borderId="0" xfId="0" applyFont="1"/>
    <xf numFmtId="0" fontId="12" fillId="0" borderId="0" xfId="0" applyFont="1"/>
    <xf numFmtId="0" fontId="11" fillId="0" borderId="0" xfId="0" applyFont="1" applyAlignment="1">
      <alignment shrinkToFit="1"/>
    </xf>
    <xf numFmtId="0" fontId="11" fillId="0" borderId="0" xfId="0" applyFont="1" applyAlignment="1">
      <alignment wrapText="1"/>
    </xf>
    <xf numFmtId="0" fontId="4" fillId="2" borderId="8" xfId="1" applyFill="1" applyBorder="1" applyAlignment="1">
      <alignment horizontal="left" vertical="center" shrinkToFit="1"/>
    </xf>
    <xf numFmtId="0" fontId="11" fillId="0" borderId="0" xfId="0" applyFont="1" applyAlignment="1">
      <alignment wrapText="1" shrinkToFit="1"/>
    </xf>
    <xf numFmtId="0" fontId="11" fillId="3" borderId="0" xfId="0" applyFont="1" applyFill="1" applyAlignment="1">
      <alignment wrapText="1"/>
    </xf>
    <xf numFmtId="0" fontId="11" fillId="3" borderId="0" xfId="0" applyFont="1" applyFill="1"/>
    <xf numFmtId="0" fontId="1" fillId="3" borderId="13" xfId="0" applyFont="1" applyFill="1" applyBorder="1" applyAlignment="1">
      <alignment horizontal="center" vertical="center"/>
    </xf>
    <xf numFmtId="0" fontId="1" fillId="0" borderId="1" xfId="0" applyFont="1" applyBorder="1" applyAlignment="1">
      <alignment vertical="center" wrapText="1" shrinkToFit="1"/>
    </xf>
    <xf numFmtId="0" fontId="1" fillId="0" borderId="4" xfId="0" applyFont="1" applyBorder="1" applyAlignment="1">
      <alignment vertical="center" wrapText="1" shrinkToFit="1"/>
    </xf>
    <xf numFmtId="0" fontId="1" fillId="3" borderId="6" xfId="0" applyFont="1" applyFill="1" applyBorder="1" applyAlignment="1">
      <alignment vertical="center"/>
    </xf>
    <xf numFmtId="0" fontId="13" fillId="0" borderId="0" xfId="0" applyFont="1"/>
    <xf numFmtId="0" fontId="3" fillId="0" borderId="0" xfId="0" applyFont="1"/>
    <xf numFmtId="0" fontId="3" fillId="0" borderId="0" xfId="0" applyFont="1" applyAlignment="1">
      <alignment vertical="center" wrapText="1"/>
    </xf>
    <xf numFmtId="0" fontId="3" fillId="0" borderId="0" xfId="0" applyFont="1" applyAlignment="1">
      <alignment vertical="center"/>
    </xf>
    <xf numFmtId="0" fontId="12" fillId="14" borderId="0" xfId="0" applyFont="1" applyFill="1"/>
    <xf numFmtId="0" fontId="11" fillId="14" borderId="0" xfId="0" applyFont="1" applyFill="1" applyAlignment="1">
      <alignment shrinkToFit="1"/>
    </xf>
    <xf numFmtId="0" fontId="11" fillId="14" borderId="0" xfId="0" applyFont="1" applyFill="1"/>
    <xf numFmtId="0" fontId="11" fillId="15" borderId="0" xfId="0" applyFont="1" applyFill="1" applyAlignment="1">
      <alignment wrapText="1" shrinkToFit="1"/>
    </xf>
    <xf numFmtId="0" fontId="3" fillId="14" borderId="0" xfId="0" applyFont="1" applyFill="1"/>
    <xf numFmtId="0" fontId="11" fillId="14" borderId="0" xfId="0" applyFont="1" applyFill="1" applyAlignment="1">
      <alignment wrapText="1"/>
    </xf>
    <xf numFmtId="0" fontId="11" fillId="15" borderId="0" xfId="0" applyFont="1" applyFill="1"/>
    <xf numFmtId="0" fontId="3" fillId="14" borderId="0" xfId="0" applyFont="1" applyFill="1" applyAlignment="1">
      <alignment vertical="center" wrapText="1"/>
    </xf>
  </cellXfs>
  <cellStyles count="2">
    <cellStyle name="Normale" xfId="0" builtinId="0"/>
    <cellStyle name="Titolo 4" xfId="1" builtinId="19"/>
  </cellStyles>
  <dxfs count="74">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color theme="1"/>
        <family val="2"/>
      </font>
      <fill>
        <patternFill patternType="solid">
          <fgColor indexed="64"/>
          <bgColor rgb="FFFFC000"/>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solid">
          <fgColor indexed="64"/>
          <bgColor rgb="FFFFC000"/>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color theme="1"/>
        <family val="2"/>
      </font>
      <fill>
        <patternFill patternType="solid">
          <fgColor indexed="64"/>
          <bgColor rgb="FFFFC000"/>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solid">
          <fgColor indexed="64"/>
          <bgColor rgb="FFFFC000"/>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patternType="solid">
          <fgColor indexed="64"/>
          <bgColor rgb="FFFFC000"/>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ill>
        <patternFill patternType="none">
          <fgColor indexed="64"/>
          <bgColor auto="1"/>
        </patternFill>
      </fill>
      <alignment horizontal="center" vertical="bottom" textRotation="0" wrapText="0" indent="0" justifyLastLine="0" shrinkToFit="1" readingOrder="0"/>
    </dxf>
    <dxf>
      <font>
        <b val="0"/>
        <i val="0"/>
        <strike val="0"/>
        <condense val="0"/>
        <extend val="0"/>
        <outline val="0"/>
        <shadow val="0"/>
        <u val="none"/>
        <vertAlign val="baseline"/>
        <sz val="10"/>
        <color theme="1"/>
        <name val="Arial"/>
        <family val="2"/>
        <scheme val="minor"/>
      </font>
      <fill>
        <patternFill patternType="solid">
          <fgColor indexed="64"/>
          <bgColor rgb="FFFFC000"/>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alignment vertical="center" textRotation="0" wrapText="1" indent="0" justifyLastLine="0" shrinkToFit="1" readingOrder="0"/>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patternType="solid">
          <fgColor indexed="64"/>
          <bgColor rgb="FFFFC000"/>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top" textRotation="0" wrapText="1"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top" textRotation="0" wrapText="1" indent="0" justifyLastLine="0" shrinkToFit="0" readingOrder="0"/>
      <border diagonalUp="0" diagonalDown="0" outline="0">
        <left style="thin">
          <color rgb="FFFFFFFF"/>
        </left>
        <right style="thin">
          <color rgb="FFFFFFFF"/>
        </right>
        <top style="thin">
          <color rgb="FFFFFFFF"/>
        </top>
        <bottom style="thin">
          <color rgb="FFFFFFFF"/>
        </bottom>
      </border>
    </dxf>
    <dxf>
      <alignmen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alignment textRotation="0" wrapText="1" indent="0" justifyLastLine="0" shrinkToFit="1" readingOrder="0"/>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FFFFFF"/>
        </left>
        <right style="thin">
          <color rgb="FFFFFFFF"/>
        </right>
        <top style="thin">
          <color rgb="FFFFFFFF"/>
        </top>
        <bottom/>
      </border>
    </dxf>
    <dxf>
      <font>
        <b val="0"/>
        <i val="0"/>
        <strike val="0"/>
        <condense val="0"/>
        <extend val="0"/>
        <outline val="0"/>
        <shadow val="0"/>
        <u val="none"/>
        <vertAlign val="baseline"/>
        <sz val="10"/>
        <color theme="1"/>
        <name val="Arial"/>
        <family val="2"/>
        <scheme val="minor"/>
      </font>
      <fill>
        <patternFill patternType="solid">
          <fgColor indexed="64"/>
          <bgColor rgb="FFFFC000"/>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alignment textRotation="0" wrapText="0" indent="0" justifyLastLine="0" shrinkToFit="1" readingOrder="0"/>
    </dxf>
    <dxf>
      <font>
        <strike val="0"/>
        <outline val="0"/>
        <shadow val="0"/>
        <u val="none"/>
        <vertAlign val="baseline"/>
        <sz val="8"/>
      </font>
    </dxf>
    <dxf>
      <font>
        <b/>
        <family val="2"/>
      </font>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isposte del modulo 1-style" pivot="0" count="3" xr9:uid="{00000000-0011-0000-FFFF-FFFF00000000}">
      <tableStyleElement type="headerRow" dxfId="73"/>
      <tableStyleElement type="firstRowStripe" dxfId="72"/>
      <tableStyleElement type="secondRowStripe" dxfId="7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N334" headerRowDxfId="70">
  <tableColumns count="92">
    <tableColumn id="1" xr3:uid="{00000000-0010-0000-0000-000001000000}" name="Informazioni cronologiche" dataDxfId="69"/>
    <tableColumn id="2" xr3:uid="{00000000-0010-0000-0000-000002000000}" name="CONSENSO" dataDxfId="68"/>
    <tableColumn id="58" xr3:uid="{3CEF4BA7-837D-D14E-875B-95E219A80D45}" name="Colonna2" dataDxfId="67"/>
    <tableColumn id="49" xr3:uid="{BC3F9E84-1635-4C4E-8215-B7F1778E0CD3}" name="LEG_CODIFICA" dataDxfId="66"/>
    <tableColumn id="3" xr3:uid="{00000000-0010-0000-0000-000003000000}" name="Fascia d'età"/>
    <tableColumn id="50" xr3:uid="{357D2DA6-19EC-1541-8796-E4B884F37BB3}" name="GEN_NORM" dataDxfId="65"/>
    <tableColumn id="68" xr3:uid="{811B8873-9DCF-E14A-BD15-6C2CFD6FA8BB}" name="LEG_CODIFICA2" dataDxfId="64"/>
    <tableColumn id="4" xr3:uid="{00000000-0010-0000-0000-000004000000}" name="Ti definisci"/>
    <tableColumn id="52" xr3:uid="{521F710F-4672-884E-94D1-CFD90BEF6E63}" name="SCUOLA_NORM" dataDxfId="63"/>
    <tableColumn id="69" xr3:uid="{77279CD9-AD1E-EE41-A5A5-E278A0B33C45}" name="LEG_CODIFICA3" dataDxfId="62"/>
    <tableColumn id="5" xr3:uid="{00000000-0010-0000-0000-000005000000}" name="Titolo di studio" dataDxfId="61"/>
    <tableColumn id="53" xr3:uid="{6E3C5E4B-EC73-AF4F-9F11-7767F40791F2}" name="ZONA_NORM" dataDxfId="60"/>
    <tableColumn id="70" xr3:uid="{E5BDF896-C033-EF40-9641-7180EAFB9F11}" name="LEG_CODIFICA4" dataDxfId="59"/>
    <tableColumn id="6" xr3:uid="{00000000-0010-0000-0000-000006000000}" name="Zona di residenza"/>
    <tableColumn id="51" xr3:uid="{88821F54-187A-4541-8757-ECABA6819A51}" name="NAZION_NORM" dataDxfId="58"/>
    <tableColumn id="71" xr3:uid="{5C2B8898-D772-304E-BEE2-232DCC71C14C}" name="LEG_CODIFICA5" dataDxfId="57"/>
    <tableColumn id="7" xr3:uid="{00000000-0010-0000-0000-000007000000}" name="Nazionalità"/>
    <tableColumn id="31" xr3:uid="{E5A5B69F-62FB-2C4D-B5FA-4200FC4DD504}" name="LING_INCL_CON_NORM" dataDxfId="56"/>
    <tableColumn id="72" xr3:uid="{D102CC13-5E03-6B4F-99E0-E81FD89B01C6}" name="LEG_CODIFICA6" dataDxfId="55"/>
    <tableColumn id="8" xr3:uid="{00000000-0010-0000-0000-000008000000}" name="Hai mai sentito parlare di &quot;linguaggio inclusivo&quot;?"/>
    <tableColumn id="32" xr3:uid="{B073783C-606B-D14F-94D0-8F19BD5249FC}" name="LING_INFL_NORM" dataDxfId="54"/>
    <tableColumn id="73" xr3:uid="{2010EBB9-D7CE-D344-A5B3-2D2B4AD42EBC}" name="LEG_CODIFICA7" dataDxfId="53"/>
    <tableColumn id="9" xr3:uid="{00000000-0010-0000-0000-000009000000}" name="Pensi che il linguaggio influenzi la rappresentazione sociale dei generi?"/>
    <tableColumn id="33" xr3:uid="{C923C040-23B6-E642-BEDB-CEB98315E999}" name="FORM_LING_GIUD_NORM" dataDxfId="52"/>
    <tableColumn id="74" xr3:uid="{ED2922AB-92E6-464C-BDEB-109918B41E22}" name="LEG_CODIFICA8" dataDxfId="51"/>
    <tableColumn id="10" xr3:uid="{00000000-0010-0000-0000-00000A000000}" name="Come giudichi l'uso di forme linguistiche inclusive (es. &quot;tutti e tutte&quot;, &quot;studentə&quot; &quot;tutt*&quot;)?"/>
    <tableColumn id="34" xr3:uid="{863AF1F5-37FD-A842-8F94-750602C92941}" name="FREQ_USO_ICL_NORM" dataDxfId="50"/>
    <tableColumn id="75" xr3:uid="{433EDAEA-935D-1749-879E-BFDC7BED92BA}" name="LEG_CIDIFICA" dataDxfId="49"/>
    <tableColumn id="11" xr3:uid="{00000000-0010-0000-0000-00000B000000}" name="Ti capita di usare intenzionalmente forme inclusive quando scrivi o parli?"/>
    <tableColumn id="35" xr3:uid="{D7906FAB-159C-DA45-BF9F-FF91B094A6E7}" name="USO_INCLUS_NORM" dataDxfId="48"/>
    <tableColumn id="76" xr3:uid="{44CC7F5E-E160-6744-AE49-D44D36A9BE32}" name="LEG_CODIFICA9" dataDxfId="47"/>
    <tableColumn id="12" xr3:uid="{00000000-0010-0000-0000-00000C000000}" name="In quale contesto usi o noti più spesso l'uso del linguaggio inclusivo?"/>
    <tableColumn id="36" xr3:uid="{F6D5CBE8-65AF-024D-9641-AA170DEFFA78}" name="RISP_INCL_NORM" dataDxfId="46"/>
    <tableColumn id="77" xr3:uid="{E4BE7732-08F0-9C40-A790-FDB7C2C77772}" name="LEG_CODIFICA10" dataDxfId="45"/>
    <tableColumn id="13" xr3:uid="{00000000-0010-0000-0000-00000D000000}" name="Quale di queste formulazioni ti sembra più corretta o accettabile?" dataDxfId="44"/>
    <tableColumn id="37" xr3:uid="{D1B60014-27FC-CD4B-8986-B3DFE73AD533}" name="VAL_PAROL_INCL_NORM" dataDxfId="43"/>
    <tableColumn id="78" xr3:uid="{70D67D6A-A2B4-244D-B9D3-DDC6B5EFEC0A}" name="LEG_CODIFICA11" dataDxfId="42"/>
    <tableColumn id="14" xr3:uid="{00000000-0010-0000-0000-00000E000000}" name="Come valuti l'uso di parole come &quot;ministra&quot;, &quot;chirurga&quot; e &quot;arbitra&quot;?" dataDxfId="41"/>
    <tableColumn id="38" xr3:uid="{E6CBB715-2F1A-DC46-B581-570C458CD1F3}" name="INS_SCUOLA_NORM" dataDxfId="40"/>
    <tableColumn id="79" xr3:uid="{CFF5A9EA-BB29-4D4B-AB62-597403AA9FF4}" name="LEG_CODIFICA12" dataDxfId="39"/>
    <tableColumn id="15" xr3:uid="{00000000-0010-0000-0000-00000F000000}" name="Quanto sei d'accordo con la seguente affermazione:&quot;il linguaggio inclusivo dovrebbe essere insegnato a scuola&quot;"/>
    <tableColumn id="39" xr3:uid="{8C0E2528-FE4D-8047-B120-EDE0339C1AC4}" name="FORM_INCL_PREF_NORM" dataDxfId="38"/>
    <tableColumn id="80" xr3:uid="{7F673643-AB93-5D40-A4F0-9A23BBFD2BFE}" name="LEG_CODIFICA13" dataDxfId="37"/>
    <tableColumn id="16" xr3:uid="{00000000-0010-0000-0000-000010000000}" name="In un testo pubblico, quale tra queste formule di apertura preferisci?"/>
    <tableColumn id="40" xr3:uid="{FC9166E7-E4CE-3E4A-886F-DCAAC133DD0F}" name="REAZ_PAROL_INCL_NORM" dataDxfId="36"/>
    <tableColumn id="81" xr3:uid="{69BB85B7-26A6-8B4E-8CD6-52DD1C6F3E22}" name="LEG_CODIFICA14" dataDxfId="35"/>
    <tableColumn id="17" xr3:uid="{00000000-0010-0000-0000-000011000000}" name="Qual è la tua reazione quando senti parole come &quot;sindaca&quot;, &quot;assessora&quot; o &quot;medica?"/>
    <tableColumn id="41" xr3:uid="{2546915E-0B34-7A4C-B393-1A5466310206}" name="LEGG_SCHWA_NORM" dataDxfId="34"/>
    <tableColumn id="82" xr3:uid="{273601D8-5A28-FA44-94DB-63971EF616E0}" name="LEG_CODIFICA15" dataDxfId="33"/>
    <tableColumn id="18" xr3:uid="{00000000-0010-0000-0000-000012000000}" name="Quando leggi un testo con schwa (ə), cosa fai?"/>
    <tableColumn id="42" xr3:uid="{8C35D627-4A83-CC4A-B9C2-5C9D08845EBC}" name="CRITIC_NORM" dataDxfId="32"/>
    <tableColumn id="83" xr3:uid="{85B951D3-A8D8-9941-9DA7-5E8C824007DF}" name="LEG_CODIFICA16" dataDxfId="31"/>
    <tableColumn id="19" xr3:uid="{00000000-0010-0000-0000-000013000000}" name="Ti capita di criticare (mentalmente o apertamente) l'uso di forme inclusive?"/>
    <tableColumn id="43" xr3:uid="{F4ED0119-7606-D04A-A941-2A84613C6D2D}" name="DOPPIA" dataDxfId="30"/>
    <tableColumn id="44" xr3:uid="{EE66E239-C4BE-3A41-8AD4-5041441EDD58}" name="SIMBOLI" dataDxfId="29"/>
    <tableColumn id="45" xr3:uid="{D893CAEE-9CD8-974C-8EF5-4A17C6297DC7}" name="NEUTRO" dataDxfId="28"/>
    <tableColumn id="46" xr3:uid="{717A7087-7E32-294D-995D-202E4565785D}" name="MASCHILE" dataDxfId="27"/>
    <tableColumn id="47" xr3:uid="{C28F9D13-961D-3646-AA0F-ED34F7501432}" name="NESSUNA" dataDxfId="26"/>
    <tableColumn id="48" xr3:uid="{1EEBAEF2-3868-0F4E-A020-C937C962856F}" name="ALTRO" dataDxfId="25"/>
    <tableColumn id="20" xr3:uid="{00000000-0010-0000-0000-000014000000}" name="Secondo te, quali tra queste forme dovrebbero essere adottate nella comunicazione ufficiale? (max 2 risposte)" dataDxfId="24"/>
    <tableColumn id="54" xr3:uid="{57D71948-2EFF-754E-8B75-8D01A95A12AC}" name="BANDO_MASCH_NORM" dataDxfId="23"/>
    <tableColumn id="84" xr3:uid="{CEE04D4B-70E9-1740-A296-743373898433}" name="LEG_CODIFICA17" dataDxfId="22"/>
    <tableColumn id="21" xr3:uid="{00000000-0010-0000-0000-000015000000}" name="Di fronte a un bando che inizia con &quot;I candidati devono....&quot;, cosa pensi?"/>
    <tableColumn id="55" xr3:uid="{7EAFE549-25F1-9D4D-BBE6-430A662A25FE}" name="DIFF_NORM" dataDxfId="21"/>
    <tableColumn id="85" xr3:uid="{1256B9E6-1010-5944-9A6A-2616874DB64A}" name="LEG_CODIFICA18" dataDxfId="20"/>
    <tableColumn id="22" xr3:uid="{00000000-0010-0000-0000-000016000000}" name="Pensi che il linguaggio inclusivo possa rendere i testi più difficili da leggere o capire?"/>
    <tableColumn id="56" xr3:uid="{705B1BF5-2C60-EA41-A84B-94BE32F8EA6D}" name="STATO_NORM" dataDxfId="19"/>
    <tableColumn id="86" xr3:uid="{67EE2480-D273-C844-8068-3A862FBE4411}" name="LEG_CODIFICA19" dataDxfId="18"/>
    <tableColumn id="23" xr3:uid="{00000000-0010-0000-0000-000017000000}" name="Secondo te, quale ruolo dovrebbe avere lo Stato nella promozione del linguaggio inclusivo?" dataDxfId="17"/>
    <tableColumn id="57" xr3:uid="{7C29DBF1-3C4D-8140-A9C4-21B45228C3A9}" name="CAMBIO_MODO_NORM" dataDxfId="16"/>
    <tableColumn id="87" xr3:uid="{1D98436D-6098-A048-94B6-AAB06BBC5E29}" name="LEG_CODIFICA20" dataDxfId="15"/>
    <tableColumn id="24" xr3:uid="{00000000-0010-0000-0000-000018000000}" name="Hai mai cambiato consapevolmente il tuo modo di parlare o scrivere per evitare di escludere soggettività?"/>
    <tableColumn id="59" xr3:uid="{2BF9FCA7-9E79-4348-A39C-CDDE0FEDE47E}" name="USO_LING_NORM" dataDxfId="14"/>
    <tableColumn id="88" xr3:uid="{BA88F46F-9E87-EF42-81D8-AFC6488461E5}" name="LEG_CODIFICA21" dataDxfId="13"/>
    <tableColumn id="25" xr3:uid="{00000000-0010-0000-0000-000019000000}" name="Ritieni che l'uso del linguaggio inclusivo sia più diffuso tra..."/>
    <tableColumn id="60" xr3:uid="{50002FD2-057D-9D49-8327-0CECA8ABE59F}" name="FUTURO_INCL_NORM" dataDxfId="12"/>
    <tableColumn id="89" xr3:uid="{C2704F0D-0A29-0843-AFBE-ED2D4F2596BA}" name="LEG_CODIFICA22" dataDxfId="11"/>
    <tableColumn id="26" xr3:uid="{00000000-0010-0000-0000-00001A000000}" name="Secondo te, nei prossimi 10 anni il linguaggio inclusivo..."/>
    <tableColumn id="61" xr3:uid="{D61076D1-A8C6-B945-A7A9-F694C6FF4C76}" name="AI_INCLU_NORM" dataDxfId="10"/>
    <tableColumn id="90" xr3:uid="{CBB3B7FA-E56E-1C4D-B774-DA9BDB7CFD19}" name="LEG_CODIFICA23" dataDxfId="9"/>
    <tableColumn id="27" xr3:uid="{00000000-0010-0000-0000-00001B000000}" name="Pensi che l'intelligenza artificiale debba essere programmata per usare il linguaggio inclusivo?"/>
    <tableColumn id="62" xr3:uid="{D56DCABF-61AA-934C-A408-A1F8BED43F42}" name="DISCR_AI_NORM" dataDxfId="8"/>
    <tableColumn id="91" xr3:uid="{4EB6207A-F472-6145-AA15-21993E5C69AD}" name="LEG_CODIFICA24" dataDxfId="7"/>
    <tableColumn id="28" xr3:uid="{00000000-0010-0000-0000-00001C000000}" name="Ti è mai capitato di notare risposte discriminatorie o stereotipate da parte di assistenti virtuali (es. chatGPT, Gemini)?" dataDxfId="6"/>
    <tableColumn id="63" xr3:uid="{877F4086-4489-6743-92D4-051A33ABC3F2}" name="MASCH_SOVR_AI_NORM" dataDxfId="5"/>
    <tableColumn id="92" xr3:uid="{93279122-A9DB-5D4D-A656-30E7387557DF}" name="LEG_CODIGICA" dataDxfId="4"/>
    <tableColumn id="29" xr3:uid="{00000000-0010-0000-0000-00001D000000}" name="Se un modello di intelligenza artificiale (es. ChatGPT, Gemini) usa solo il maschile sovraesteso, cosa pensi?"/>
    <tableColumn id="67" xr3:uid="{BCB24A8A-1D36-8A4B-BA39-47D2A842CC66}" name="ASS_VOCA_NORM" dataDxfId="3"/>
    <tableColumn id="66" xr3:uid="{1B4B61EC-B1E3-4A4F-B164-F61D992FBDAD}" name="CHATBOT" dataDxfId="2"/>
    <tableColumn id="65" xr3:uid="{E6D0BFD6-A6EB-0F46-9B7C-525F8AB46761}" name="MODELLI_GEN" dataDxfId="1"/>
    <tableColumn id="64" xr3:uid="{1A5092B6-0C57-EF45-A059-045F40BBE002}" name="NESSUNO" dataDxfId="0"/>
    <tableColumn id="30" xr3:uid="{00000000-0010-0000-0000-00001E000000}" name="Secondo te, quali agenti artificiali dovrebbero usare forme linguistiche inclusive? "/>
  </tableColumns>
  <tableStyleInfo name="Risposte del modul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R1355"/>
  <sheetViews>
    <sheetView topLeftCell="S1" zoomScale="150" workbookViewId="0">
      <pane ySplit="1" topLeftCell="A2" activePane="bottomLeft" state="frozen"/>
      <selection pane="bottomLeft" activeCell="AR41" sqref="AR41"/>
    </sheetView>
  </sheetViews>
  <sheetFormatPr baseColWidth="10" defaultColWidth="12.6640625" defaultRowHeight="15.75" customHeight="1" x14ac:dyDescent="0.15"/>
  <cols>
    <col min="1" max="1" width="15.5" style="52" customWidth="1"/>
    <col min="2" max="2" width="12.1640625" style="28" customWidth="1"/>
    <col min="3" max="3" width="15.33203125" style="22" customWidth="1"/>
    <col min="4" max="4" width="18.83203125" customWidth="1"/>
    <col min="5" max="5" width="14.6640625" style="22" customWidth="1"/>
    <col min="6" max="6" width="18.83203125" style="139" customWidth="1"/>
    <col min="7" max="7" width="18.83203125" customWidth="1"/>
    <col min="8" max="8" width="13.33203125" style="22" customWidth="1"/>
    <col min="9" max="9" width="35.6640625" style="16" bestFit="1" customWidth="1"/>
    <col min="10" max="10" width="29.6640625" style="16" customWidth="1"/>
    <col min="11" max="11" width="24.1640625" style="45" customWidth="1"/>
    <col min="12" max="13" width="18.83203125" customWidth="1"/>
    <col min="14" max="14" width="14.33203125" style="22" customWidth="1"/>
    <col min="15" max="15" width="18.83203125" customWidth="1"/>
    <col min="16" max="16" width="20.6640625" style="67" customWidth="1"/>
    <col min="17" max="17" width="13.33203125" customWidth="1"/>
    <col min="18" max="18" width="15.5" style="22" customWidth="1"/>
    <col min="19" max="19" width="28.6640625" style="67" customWidth="1"/>
    <col min="20" max="20" width="25.1640625" customWidth="1"/>
    <col min="21" max="21" width="19" style="22" customWidth="1"/>
    <col min="22" max="22" width="19" style="67" customWidth="1"/>
    <col min="23" max="23" width="37.6640625" customWidth="1"/>
    <col min="24" max="24" width="25.83203125" style="22" customWidth="1"/>
    <col min="25" max="25" width="29" style="67" customWidth="1"/>
    <col min="26" max="26" width="37.6640625" customWidth="1"/>
    <col min="27" max="27" width="21.83203125" style="22" customWidth="1"/>
    <col min="28" max="28" width="21.5" style="67" customWidth="1"/>
    <col min="29" max="29" width="37.6640625" customWidth="1"/>
    <col min="30" max="30" width="17.33203125" style="22" customWidth="1"/>
    <col min="31" max="31" width="25.83203125" style="67" customWidth="1"/>
    <col min="32" max="32" width="40.33203125" style="54" customWidth="1"/>
    <col min="33" max="33" width="15.33203125" style="27" customWidth="1"/>
    <col min="34" max="34" width="24.83203125" style="125" customWidth="1"/>
    <col min="35" max="35" width="40.33203125" style="55" customWidth="1"/>
    <col min="36" max="36" width="20.33203125" style="22" customWidth="1"/>
    <col min="37" max="37" width="20.33203125" style="67" customWidth="1"/>
    <col min="38" max="38" width="37.6640625" customWidth="1"/>
    <col min="39" max="39" width="16" style="22" customWidth="1"/>
    <col min="40" max="40" width="16" style="67" customWidth="1"/>
    <col min="41" max="41" width="37.6640625" customWidth="1"/>
    <col min="42" max="42" width="24.5" style="22" customWidth="1"/>
    <col min="43" max="43" width="26.1640625" style="67" customWidth="1"/>
    <col min="44" max="44" width="37.6640625" customWidth="1"/>
    <col min="45" max="45" width="31.33203125" style="22" customWidth="1"/>
    <col min="46" max="46" width="24.33203125" style="67" customWidth="1"/>
    <col min="47" max="47" width="37.6640625" customWidth="1"/>
    <col min="48" max="48" width="15.6640625" style="111" customWidth="1"/>
    <col min="49" max="49" width="24.6640625" style="67" customWidth="1"/>
    <col min="50" max="50" width="37.6640625" customWidth="1"/>
    <col min="51" max="51" width="10.1640625" style="22" customWidth="1"/>
    <col min="52" max="52" width="17" style="67" customWidth="1"/>
    <col min="53" max="53" width="22.33203125" style="22" customWidth="1"/>
    <col min="54" max="57" width="10.1640625" style="22" customWidth="1"/>
    <col min="58" max="58" width="9.83203125" style="54" customWidth="1"/>
    <col min="59" max="59" width="9" style="31" customWidth="1"/>
    <col min="60" max="60" width="43.5" style="28" customWidth="1"/>
    <col min="61" max="61" width="23" style="31" customWidth="1"/>
    <col min="62" max="62" width="23.6640625" style="67" customWidth="1"/>
    <col min="63" max="63" width="37.6640625" customWidth="1"/>
    <col min="64" max="64" width="15.6640625" style="31" customWidth="1"/>
    <col min="65" max="65" width="20.1640625" style="67" customWidth="1"/>
    <col min="66" max="66" width="40.5" customWidth="1"/>
    <col min="67" max="67" width="30.83203125" style="22" customWidth="1"/>
    <col min="68" max="68" width="26.33203125" style="67" customWidth="1"/>
    <col min="69" max="69" width="36.6640625" style="22" customWidth="1"/>
    <col min="70" max="70" width="14.83203125" style="22" customWidth="1"/>
    <col min="71" max="71" width="16.33203125" style="67" customWidth="1"/>
    <col min="72" max="72" width="37.6640625" customWidth="1"/>
    <col min="73" max="73" width="14.5" style="22" customWidth="1"/>
    <col min="74" max="74" width="21" style="67" customWidth="1"/>
    <col min="75" max="75" width="37.6640625" customWidth="1"/>
    <col min="76" max="76" width="27.6640625" style="22" customWidth="1"/>
    <col min="77" max="77" width="21.83203125" style="67" customWidth="1"/>
    <col min="78" max="78" width="37.6640625" customWidth="1"/>
    <col min="79" max="79" width="21" style="22" customWidth="1"/>
    <col min="80" max="80" width="22" style="67" customWidth="1"/>
    <col min="81" max="81" width="37.6640625" customWidth="1"/>
    <col min="82" max="82" width="25.5" style="22" customWidth="1"/>
    <col min="83" max="83" width="25.5" style="67" customWidth="1"/>
    <col min="84" max="84" width="25.5" style="22" customWidth="1"/>
    <col min="85" max="85" width="16.6640625" style="22" customWidth="1"/>
    <col min="86" max="86" width="26.1640625" style="67" customWidth="1"/>
    <col min="87" max="87" width="37.33203125" style="22" customWidth="1"/>
    <col min="88" max="89" width="11.6640625" style="22" customWidth="1"/>
    <col min="90" max="90" width="15.5" customWidth="1"/>
    <col min="91" max="91" width="12" customWidth="1"/>
    <col min="92" max="96" width="18.83203125" customWidth="1"/>
  </cols>
  <sheetData>
    <row r="1" spans="1:96" s="8" customFormat="1" ht="15.75" customHeight="1" thickBot="1" x14ac:dyDescent="0.2">
      <c r="A1" s="50" t="s">
        <v>0</v>
      </c>
      <c r="B1" s="49" t="s">
        <v>343</v>
      </c>
      <c r="C1" s="49" t="s">
        <v>273</v>
      </c>
      <c r="D1" s="49" t="s">
        <v>439</v>
      </c>
      <c r="E1" s="49" t="s">
        <v>1</v>
      </c>
      <c r="F1" s="49" t="s">
        <v>265</v>
      </c>
      <c r="G1" s="49" t="s">
        <v>446</v>
      </c>
      <c r="H1" s="49" t="s">
        <v>2</v>
      </c>
      <c r="I1" s="49" t="s">
        <v>267</v>
      </c>
      <c r="J1" s="49" t="s">
        <v>450</v>
      </c>
      <c r="K1" s="144" t="s">
        <v>3</v>
      </c>
      <c r="L1" s="49" t="s">
        <v>268</v>
      </c>
      <c r="M1" s="49" t="s">
        <v>456</v>
      </c>
      <c r="N1" s="49" t="s">
        <v>4</v>
      </c>
      <c r="O1" s="49" t="s">
        <v>266</v>
      </c>
      <c r="P1" s="49" t="s">
        <v>461</v>
      </c>
      <c r="Q1" s="49" t="s">
        <v>5</v>
      </c>
      <c r="R1" s="49" t="s">
        <v>247</v>
      </c>
      <c r="S1" s="49" t="s">
        <v>464</v>
      </c>
      <c r="T1" s="49" t="s">
        <v>6</v>
      </c>
      <c r="U1" s="49" t="s">
        <v>248</v>
      </c>
      <c r="V1" s="49" t="s">
        <v>468</v>
      </c>
      <c r="W1" s="49" t="s">
        <v>7</v>
      </c>
      <c r="X1" s="49" t="s">
        <v>249</v>
      </c>
      <c r="Y1" s="104" t="s">
        <v>472</v>
      </c>
      <c r="Z1" s="49" t="s">
        <v>8</v>
      </c>
      <c r="AA1" s="49" t="s">
        <v>250</v>
      </c>
      <c r="AB1" s="49" t="s">
        <v>476</v>
      </c>
      <c r="AC1" s="49" t="s">
        <v>9</v>
      </c>
      <c r="AD1" s="49" t="s">
        <v>251</v>
      </c>
      <c r="AE1" s="49" t="s">
        <v>481</v>
      </c>
      <c r="AF1" s="49" t="s">
        <v>10</v>
      </c>
      <c r="AG1" s="49" t="s">
        <v>252</v>
      </c>
      <c r="AH1" s="49" t="s">
        <v>488</v>
      </c>
      <c r="AI1" s="49" t="s">
        <v>11</v>
      </c>
      <c r="AJ1" s="49" t="s">
        <v>253</v>
      </c>
      <c r="AK1" s="49" t="s">
        <v>493</v>
      </c>
      <c r="AL1" s="49" t="s">
        <v>12</v>
      </c>
      <c r="AM1" s="49" t="s">
        <v>254</v>
      </c>
      <c r="AN1" s="49" t="s">
        <v>498</v>
      </c>
      <c r="AO1" s="49" t="s">
        <v>13</v>
      </c>
      <c r="AP1" s="49" t="s">
        <v>255</v>
      </c>
      <c r="AQ1" s="49" t="s">
        <v>503</v>
      </c>
      <c r="AR1" s="49" t="s">
        <v>14</v>
      </c>
      <c r="AS1" s="115" t="s">
        <v>256</v>
      </c>
      <c r="AT1" s="49" t="s">
        <v>509</v>
      </c>
      <c r="AU1" s="49" t="s">
        <v>15</v>
      </c>
      <c r="AV1" s="49" t="s">
        <v>257</v>
      </c>
      <c r="AW1" s="49" t="s">
        <v>514</v>
      </c>
      <c r="AX1" s="49" t="s">
        <v>16</v>
      </c>
      <c r="AY1" s="49" t="s">
        <v>258</v>
      </c>
      <c r="AZ1" s="49" t="s">
        <v>518</v>
      </c>
      <c r="BA1" s="49" t="s">
        <v>17</v>
      </c>
      <c r="BB1" s="49" t="s">
        <v>259</v>
      </c>
      <c r="BC1" s="49" t="s">
        <v>260</v>
      </c>
      <c r="BD1" s="49" t="s">
        <v>261</v>
      </c>
      <c r="BE1" s="49" t="s">
        <v>262</v>
      </c>
      <c r="BF1" s="49" t="s">
        <v>263</v>
      </c>
      <c r="BG1" s="49" t="s">
        <v>264</v>
      </c>
      <c r="BH1" s="144" t="s">
        <v>18</v>
      </c>
      <c r="BI1" s="49" t="s">
        <v>269</v>
      </c>
      <c r="BJ1" s="49" t="s">
        <v>521</v>
      </c>
      <c r="BK1" s="49" t="s">
        <v>19</v>
      </c>
      <c r="BL1" s="49" t="s">
        <v>270</v>
      </c>
      <c r="BM1" s="49" t="s">
        <v>525</v>
      </c>
      <c r="BN1" s="49" t="s">
        <v>20</v>
      </c>
      <c r="BO1" s="49" t="s">
        <v>271</v>
      </c>
      <c r="BP1" s="49" t="s">
        <v>530</v>
      </c>
      <c r="BQ1" s="49" t="s">
        <v>21</v>
      </c>
      <c r="BR1" s="49" t="s">
        <v>272</v>
      </c>
      <c r="BS1" s="49" t="s">
        <v>535</v>
      </c>
      <c r="BT1" s="49" t="s">
        <v>22</v>
      </c>
      <c r="BU1" s="49" t="s">
        <v>274</v>
      </c>
      <c r="BV1" s="49" t="s">
        <v>537</v>
      </c>
      <c r="BW1" s="49" t="s">
        <v>23</v>
      </c>
      <c r="BX1" s="49" t="s">
        <v>275</v>
      </c>
      <c r="BY1" s="49" t="s">
        <v>542</v>
      </c>
      <c r="BZ1" s="49" t="s">
        <v>24</v>
      </c>
      <c r="CA1" s="49" t="s">
        <v>276</v>
      </c>
      <c r="CB1" s="49" t="s">
        <v>547</v>
      </c>
      <c r="CC1" s="49" t="s">
        <v>25</v>
      </c>
      <c r="CD1" s="49" t="s">
        <v>277</v>
      </c>
      <c r="CE1" s="49" t="s">
        <v>550</v>
      </c>
      <c r="CF1" s="49" t="s">
        <v>26</v>
      </c>
      <c r="CG1" s="49" t="s">
        <v>278</v>
      </c>
      <c r="CH1" s="49" t="s">
        <v>551</v>
      </c>
      <c r="CI1" s="49" t="s">
        <v>27</v>
      </c>
      <c r="CJ1" s="49" t="s">
        <v>279</v>
      </c>
      <c r="CK1" s="49" t="s">
        <v>280</v>
      </c>
      <c r="CL1" s="49" t="s">
        <v>281</v>
      </c>
      <c r="CM1" s="49" t="s">
        <v>282</v>
      </c>
      <c r="CN1" s="49" t="s">
        <v>28</v>
      </c>
      <c r="CO1" s="49"/>
      <c r="CP1" s="49"/>
      <c r="CQ1" s="49"/>
      <c r="CR1" s="49"/>
    </row>
    <row r="2" spans="1:96" ht="19" customHeight="1" thickTop="1" x14ac:dyDescent="0.15">
      <c r="A2" s="51">
        <v>45855.804972997685</v>
      </c>
      <c r="B2" s="3" t="s">
        <v>29</v>
      </c>
      <c r="C2" s="18">
        <v>5</v>
      </c>
      <c r="D2" s="123" t="s">
        <v>440</v>
      </c>
      <c r="E2" s="6" t="s">
        <v>30</v>
      </c>
      <c r="F2" s="17">
        <v>1</v>
      </c>
      <c r="G2" s="123" t="s">
        <v>447</v>
      </c>
      <c r="H2" s="6" t="s">
        <v>31</v>
      </c>
      <c r="I2" s="17">
        <v>1</v>
      </c>
      <c r="J2" s="123" t="s">
        <v>451</v>
      </c>
      <c r="K2" s="43" t="s">
        <v>32</v>
      </c>
      <c r="L2" s="17">
        <v>2</v>
      </c>
      <c r="M2" s="123" t="s">
        <v>457</v>
      </c>
      <c r="N2" s="1" t="s">
        <v>33</v>
      </c>
      <c r="O2" s="17">
        <v>1</v>
      </c>
      <c r="P2" s="123" t="s">
        <v>463</v>
      </c>
      <c r="Q2" s="1" t="s">
        <v>34</v>
      </c>
      <c r="R2" s="17">
        <v>2</v>
      </c>
      <c r="S2" s="123" t="s">
        <v>465</v>
      </c>
      <c r="T2" s="1" t="s">
        <v>35</v>
      </c>
      <c r="U2" s="17">
        <v>2</v>
      </c>
      <c r="V2" s="123" t="s">
        <v>469</v>
      </c>
      <c r="W2" s="1" t="s">
        <v>36</v>
      </c>
      <c r="X2" s="17">
        <v>2</v>
      </c>
      <c r="Y2" s="123" t="s">
        <v>473</v>
      </c>
      <c r="Z2" s="1" t="s">
        <v>37</v>
      </c>
      <c r="AA2" s="17">
        <v>3</v>
      </c>
      <c r="AB2" s="123" t="s">
        <v>477</v>
      </c>
      <c r="AC2" s="1" t="s">
        <v>38</v>
      </c>
      <c r="AD2" s="17">
        <v>1</v>
      </c>
      <c r="AE2" s="123" t="s">
        <v>482</v>
      </c>
      <c r="AF2" s="1" t="s">
        <v>39</v>
      </c>
      <c r="AG2" s="17">
        <v>2</v>
      </c>
      <c r="AH2" s="124" t="s">
        <v>490</v>
      </c>
      <c r="AI2" s="1" t="s">
        <v>40</v>
      </c>
      <c r="AJ2" s="23">
        <v>3</v>
      </c>
      <c r="AK2" s="123" t="s">
        <v>494</v>
      </c>
      <c r="AL2" s="1" t="s">
        <v>41</v>
      </c>
      <c r="AM2" s="17">
        <v>3</v>
      </c>
      <c r="AN2" s="123" t="s">
        <v>499</v>
      </c>
      <c r="AO2" s="1" t="s">
        <v>42</v>
      </c>
      <c r="AP2" s="17">
        <v>4</v>
      </c>
      <c r="AQ2" s="123" t="s">
        <v>504</v>
      </c>
      <c r="AR2" s="1" t="s">
        <v>43</v>
      </c>
      <c r="AS2" s="17">
        <v>2</v>
      </c>
      <c r="AT2" s="123" t="s">
        <v>510</v>
      </c>
      <c r="AU2" s="1" t="s">
        <v>44</v>
      </c>
      <c r="AV2" s="17">
        <v>1</v>
      </c>
      <c r="AW2" s="123" t="s">
        <v>516</v>
      </c>
      <c r="AX2" s="1" t="s">
        <v>45</v>
      </c>
      <c r="AY2" s="17">
        <v>3</v>
      </c>
      <c r="AZ2" s="123" t="s">
        <v>519</v>
      </c>
      <c r="BA2" s="1" t="s">
        <v>46</v>
      </c>
      <c r="BB2" s="17">
        <v>1</v>
      </c>
      <c r="BC2" s="17">
        <v>0</v>
      </c>
      <c r="BD2" s="17">
        <v>1</v>
      </c>
      <c r="BE2" s="17">
        <v>0</v>
      </c>
      <c r="BF2" s="17">
        <v>0</v>
      </c>
      <c r="BG2" s="17">
        <v>0</v>
      </c>
      <c r="BH2" s="149" t="s">
        <v>47</v>
      </c>
      <c r="BI2" s="17">
        <v>2</v>
      </c>
      <c r="BJ2" s="124" t="s">
        <v>524</v>
      </c>
      <c r="BK2" s="1" t="s">
        <v>48</v>
      </c>
      <c r="BL2" s="17">
        <v>3</v>
      </c>
      <c r="BM2" s="124" t="s">
        <v>526</v>
      </c>
      <c r="BN2" s="1" t="s">
        <v>49</v>
      </c>
      <c r="BO2" s="17">
        <v>1</v>
      </c>
      <c r="BP2" s="124" t="s">
        <v>531</v>
      </c>
      <c r="BQ2" s="17" t="s">
        <v>50</v>
      </c>
      <c r="BR2" s="17">
        <v>3</v>
      </c>
      <c r="BS2" s="124" t="s">
        <v>477</v>
      </c>
      <c r="BT2" s="1" t="s">
        <v>38</v>
      </c>
      <c r="BU2" s="17">
        <v>2</v>
      </c>
      <c r="BV2" s="124" t="s">
        <v>538</v>
      </c>
      <c r="BW2" s="1" t="s">
        <v>51</v>
      </c>
      <c r="BX2" s="17">
        <v>3</v>
      </c>
      <c r="BY2" s="124" t="s">
        <v>543</v>
      </c>
      <c r="BZ2" s="1" t="s">
        <v>52</v>
      </c>
      <c r="CA2" s="17">
        <v>3</v>
      </c>
      <c r="CB2" s="124" t="s">
        <v>465</v>
      </c>
      <c r="CC2" s="1" t="s">
        <v>36</v>
      </c>
      <c r="CD2" s="17">
        <v>2</v>
      </c>
      <c r="CE2" s="124" t="s">
        <v>465</v>
      </c>
      <c r="CF2" s="17" t="s">
        <v>36</v>
      </c>
      <c r="CG2" s="17">
        <v>3</v>
      </c>
      <c r="CH2" s="124" t="s">
        <v>552</v>
      </c>
      <c r="CI2" s="1" t="s">
        <v>53</v>
      </c>
      <c r="CJ2" s="33">
        <v>1</v>
      </c>
      <c r="CK2" s="33">
        <v>0</v>
      </c>
      <c r="CL2" s="33">
        <v>1</v>
      </c>
      <c r="CM2" s="33">
        <v>0</v>
      </c>
      <c r="CN2" s="2" t="s">
        <v>54</v>
      </c>
    </row>
    <row r="3" spans="1:96" ht="29" customHeight="1" x14ac:dyDescent="0.15">
      <c r="A3" s="51">
        <v>45855.934919224535</v>
      </c>
      <c r="B3" s="3" t="s">
        <v>29</v>
      </c>
      <c r="C3" s="17">
        <v>2</v>
      </c>
      <c r="D3" s="124" t="s">
        <v>441</v>
      </c>
      <c r="E3" s="6" t="s">
        <v>55</v>
      </c>
      <c r="F3" s="18">
        <v>1</v>
      </c>
      <c r="G3" s="124" t="s">
        <v>448</v>
      </c>
      <c r="H3" s="6" t="s">
        <v>31</v>
      </c>
      <c r="I3" s="18">
        <v>3</v>
      </c>
      <c r="J3" s="124" t="s">
        <v>452</v>
      </c>
      <c r="K3" s="43" t="s">
        <v>56</v>
      </c>
      <c r="L3" s="18">
        <v>2</v>
      </c>
      <c r="M3" s="124" t="s">
        <v>458</v>
      </c>
      <c r="N3" s="4" t="s">
        <v>33</v>
      </c>
      <c r="O3" s="18">
        <v>1</v>
      </c>
      <c r="P3" s="124" t="s">
        <v>462</v>
      </c>
      <c r="Q3" s="4" t="s">
        <v>34</v>
      </c>
      <c r="R3" s="18">
        <v>1</v>
      </c>
      <c r="S3" s="124" t="s">
        <v>466</v>
      </c>
      <c r="T3" s="4" t="s">
        <v>57</v>
      </c>
      <c r="U3" s="18">
        <v>2</v>
      </c>
      <c r="V3" s="124" t="s">
        <v>470</v>
      </c>
      <c r="W3" s="4" t="s">
        <v>36</v>
      </c>
      <c r="X3" s="18">
        <v>1</v>
      </c>
      <c r="Y3" s="124" t="s">
        <v>474</v>
      </c>
      <c r="Z3" s="4" t="s">
        <v>58</v>
      </c>
      <c r="AA3" s="18">
        <v>2</v>
      </c>
      <c r="AB3" s="124" t="s">
        <v>478</v>
      </c>
      <c r="AC3" s="4" t="s">
        <v>59</v>
      </c>
      <c r="AD3" s="18">
        <v>3</v>
      </c>
      <c r="AE3" s="124" t="s">
        <v>483</v>
      </c>
      <c r="AF3" s="4" t="s">
        <v>60</v>
      </c>
      <c r="AG3" s="18">
        <v>2</v>
      </c>
      <c r="AH3" s="123" t="s">
        <v>492</v>
      </c>
      <c r="AI3" s="13" t="s">
        <v>40</v>
      </c>
      <c r="AJ3" s="24">
        <v>3</v>
      </c>
      <c r="AK3" s="123" t="s">
        <v>495</v>
      </c>
      <c r="AL3" s="4" t="s">
        <v>41</v>
      </c>
      <c r="AM3" s="18">
        <v>3</v>
      </c>
      <c r="AN3" s="123" t="s">
        <v>500</v>
      </c>
      <c r="AO3" s="4" t="s">
        <v>42</v>
      </c>
      <c r="AP3" s="18">
        <v>3</v>
      </c>
      <c r="AQ3" s="123" t="s">
        <v>505</v>
      </c>
      <c r="AR3" s="4" t="s">
        <v>61</v>
      </c>
      <c r="AS3" s="18">
        <v>2</v>
      </c>
      <c r="AT3" s="123" t="s">
        <v>512</v>
      </c>
      <c r="AU3" s="4" t="s">
        <v>44</v>
      </c>
      <c r="AV3" s="18">
        <v>0</v>
      </c>
      <c r="AW3" s="124" t="s">
        <v>515</v>
      </c>
      <c r="AX3" s="4" t="s">
        <v>62</v>
      </c>
      <c r="AY3" s="18">
        <v>2</v>
      </c>
      <c r="AZ3" s="124" t="s">
        <v>478</v>
      </c>
      <c r="BA3" s="4" t="s">
        <v>59</v>
      </c>
      <c r="BB3" s="18">
        <v>1</v>
      </c>
      <c r="BC3" s="18">
        <v>0</v>
      </c>
      <c r="BD3" s="18">
        <v>1</v>
      </c>
      <c r="BE3" s="18">
        <v>0</v>
      </c>
      <c r="BF3" s="18">
        <v>0</v>
      </c>
      <c r="BG3" s="18">
        <v>1</v>
      </c>
      <c r="BH3" s="150" t="s">
        <v>63</v>
      </c>
      <c r="BI3" s="18">
        <v>2</v>
      </c>
      <c r="BJ3" s="123" t="s">
        <v>522</v>
      </c>
      <c r="BK3" s="4" t="s">
        <v>48</v>
      </c>
      <c r="BL3" s="18">
        <v>2</v>
      </c>
      <c r="BM3" s="123" t="s">
        <v>527</v>
      </c>
      <c r="BN3" s="4" t="s">
        <v>64</v>
      </c>
      <c r="BO3" s="18">
        <v>1</v>
      </c>
      <c r="BP3" s="123" t="s">
        <v>532</v>
      </c>
      <c r="BQ3" s="18" t="s">
        <v>50</v>
      </c>
      <c r="BR3" s="18">
        <v>2</v>
      </c>
      <c r="BS3" s="123" t="s">
        <v>478</v>
      </c>
      <c r="BT3" s="4" t="s">
        <v>65</v>
      </c>
      <c r="BU3" s="18">
        <v>1</v>
      </c>
      <c r="BV3" s="123" t="s">
        <v>539</v>
      </c>
      <c r="BW3" s="4" t="s">
        <v>66</v>
      </c>
      <c r="BX3" s="18">
        <v>2</v>
      </c>
      <c r="BY3" s="123" t="s">
        <v>544</v>
      </c>
      <c r="BZ3" s="4" t="s">
        <v>67</v>
      </c>
      <c r="CA3" s="18">
        <v>3</v>
      </c>
      <c r="CB3" s="123" t="s">
        <v>495</v>
      </c>
      <c r="CC3" s="4" t="s">
        <v>36</v>
      </c>
      <c r="CD3" s="18">
        <v>2</v>
      </c>
      <c r="CE3" s="123" t="s">
        <v>495</v>
      </c>
      <c r="CF3" s="18" t="s">
        <v>36</v>
      </c>
      <c r="CG3" s="18">
        <v>3</v>
      </c>
      <c r="CH3" s="123" t="s">
        <v>495</v>
      </c>
      <c r="CI3" s="4" t="s">
        <v>53</v>
      </c>
      <c r="CJ3" s="34">
        <v>1</v>
      </c>
      <c r="CK3" s="34">
        <v>1</v>
      </c>
      <c r="CL3" s="34">
        <v>0</v>
      </c>
      <c r="CM3" s="34">
        <v>0</v>
      </c>
      <c r="CN3" s="5" t="s">
        <v>68</v>
      </c>
    </row>
    <row r="4" spans="1:96" ht="15.75" customHeight="1" x14ac:dyDescent="0.15">
      <c r="A4" s="51">
        <v>45860.536003182875</v>
      </c>
      <c r="B4" s="3" t="s">
        <v>29</v>
      </c>
      <c r="C4" s="18">
        <v>2</v>
      </c>
      <c r="D4" s="123" t="s">
        <v>442</v>
      </c>
      <c r="E4" s="6" t="s">
        <v>55</v>
      </c>
      <c r="F4" s="17">
        <v>1</v>
      </c>
      <c r="G4" s="123" t="s">
        <v>449</v>
      </c>
      <c r="H4" s="6" t="s">
        <v>31</v>
      </c>
      <c r="I4" s="17">
        <v>1</v>
      </c>
      <c r="J4" s="123" t="s">
        <v>453</v>
      </c>
      <c r="K4" s="43" t="s">
        <v>32</v>
      </c>
      <c r="L4" s="17">
        <v>2</v>
      </c>
      <c r="M4" s="123" t="s">
        <v>459</v>
      </c>
      <c r="N4" s="1" t="s">
        <v>33</v>
      </c>
      <c r="O4" s="17">
        <v>1</v>
      </c>
      <c r="P4" s="119"/>
      <c r="Q4" s="1" t="s">
        <v>34</v>
      </c>
      <c r="R4" s="17">
        <v>1</v>
      </c>
      <c r="S4" s="123" t="s">
        <v>467</v>
      </c>
      <c r="T4" s="1" t="s">
        <v>57</v>
      </c>
      <c r="U4" s="17">
        <v>0</v>
      </c>
      <c r="V4" s="123" t="s">
        <v>471</v>
      </c>
      <c r="W4" s="1" t="s">
        <v>49</v>
      </c>
      <c r="X4" s="17">
        <v>2</v>
      </c>
      <c r="Y4" s="123" t="s">
        <v>475</v>
      </c>
      <c r="Z4" s="1" t="s">
        <v>37</v>
      </c>
      <c r="AA4" s="17">
        <v>1</v>
      </c>
      <c r="AB4" s="123" t="s">
        <v>479</v>
      </c>
      <c r="AC4" s="1" t="s">
        <v>69</v>
      </c>
      <c r="AD4" s="17">
        <v>0</v>
      </c>
      <c r="AE4" s="123" t="s">
        <v>484</v>
      </c>
      <c r="AF4" s="1" t="s">
        <v>70</v>
      </c>
      <c r="AG4" s="17">
        <v>2</v>
      </c>
      <c r="AH4" s="123" t="s">
        <v>489</v>
      </c>
      <c r="AI4" s="11" t="s">
        <v>40</v>
      </c>
      <c r="AJ4" s="25">
        <v>2</v>
      </c>
      <c r="AK4" s="124" t="s">
        <v>496</v>
      </c>
      <c r="AL4" s="1" t="s">
        <v>71</v>
      </c>
      <c r="AM4" s="17">
        <v>2</v>
      </c>
      <c r="AN4" s="124" t="s">
        <v>501</v>
      </c>
      <c r="AO4" s="1" t="s">
        <v>72</v>
      </c>
      <c r="AP4" s="17">
        <v>3</v>
      </c>
      <c r="AQ4" s="124" t="s">
        <v>506</v>
      </c>
      <c r="AR4" s="1" t="s">
        <v>61</v>
      </c>
      <c r="AS4" s="17">
        <v>2</v>
      </c>
      <c r="AT4" s="124" t="s">
        <v>513</v>
      </c>
      <c r="AU4" s="1" t="s">
        <v>44</v>
      </c>
      <c r="AV4" s="17">
        <v>0</v>
      </c>
      <c r="AW4" s="123" t="s">
        <v>517</v>
      </c>
      <c r="AX4" s="1" t="s">
        <v>73</v>
      </c>
      <c r="AY4" s="17">
        <v>2</v>
      </c>
      <c r="AZ4" s="123" t="s">
        <v>479</v>
      </c>
      <c r="BA4" s="1" t="s">
        <v>59</v>
      </c>
      <c r="BB4" s="17">
        <v>1</v>
      </c>
      <c r="BC4" s="17">
        <v>0</v>
      </c>
      <c r="BD4" s="17">
        <v>0</v>
      </c>
      <c r="BE4" s="17">
        <v>1</v>
      </c>
      <c r="BF4" s="17">
        <v>0</v>
      </c>
      <c r="BG4" s="17">
        <v>0</v>
      </c>
      <c r="BH4" s="149" t="s">
        <v>74</v>
      </c>
      <c r="BI4" s="17">
        <v>0</v>
      </c>
      <c r="BJ4" s="124" t="s">
        <v>523</v>
      </c>
      <c r="BK4" s="1" t="s">
        <v>75</v>
      </c>
      <c r="BL4" s="17">
        <v>3</v>
      </c>
      <c r="BM4" s="124" t="s">
        <v>528</v>
      </c>
      <c r="BN4" s="1" t="s">
        <v>49</v>
      </c>
      <c r="BO4" s="17">
        <v>1</v>
      </c>
      <c r="BP4" s="124" t="s">
        <v>533</v>
      </c>
      <c r="BQ4" s="17" t="s">
        <v>50</v>
      </c>
      <c r="BR4" s="17">
        <v>2</v>
      </c>
      <c r="BS4" s="124" t="s">
        <v>536</v>
      </c>
      <c r="BT4" s="1" t="s">
        <v>65</v>
      </c>
      <c r="BU4" s="17">
        <v>1</v>
      </c>
      <c r="BV4" s="124" t="s">
        <v>540</v>
      </c>
      <c r="BW4" s="1" t="s">
        <v>66</v>
      </c>
      <c r="BX4" s="17">
        <v>3</v>
      </c>
      <c r="BY4" s="124" t="s">
        <v>545</v>
      </c>
      <c r="BZ4" s="1" t="s">
        <v>52</v>
      </c>
      <c r="CA4" s="17">
        <v>2</v>
      </c>
      <c r="CB4" s="124" t="s">
        <v>548</v>
      </c>
      <c r="CC4" s="1" t="s">
        <v>76</v>
      </c>
      <c r="CD4" s="17">
        <v>1</v>
      </c>
      <c r="CE4" s="124" t="s">
        <v>471</v>
      </c>
      <c r="CF4" s="17" t="s">
        <v>77</v>
      </c>
      <c r="CG4" s="17">
        <v>2</v>
      </c>
      <c r="CH4" s="124" t="s">
        <v>553</v>
      </c>
      <c r="CI4" s="1" t="s">
        <v>78</v>
      </c>
      <c r="CJ4" s="33">
        <v>1</v>
      </c>
      <c r="CK4" s="33">
        <v>0</v>
      </c>
      <c r="CL4" s="33">
        <v>1</v>
      </c>
      <c r="CM4" s="33">
        <v>0</v>
      </c>
      <c r="CN4" s="2" t="s">
        <v>54</v>
      </c>
    </row>
    <row r="5" spans="1:96" ht="15.75" customHeight="1" x14ac:dyDescent="0.15">
      <c r="A5" s="51">
        <v>45860.540977997684</v>
      </c>
      <c r="B5" s="3" t="s">
        <v>29</v>
      </c>
      <c r="C5" s="17">
        <v>5</v>
      </c>
      <c r="D5" s="123" t="s">
        <v>443</v>
      </c>
      <c r="E5" s="6" t="s">
        <v>30</v>
      </c>
      <c r="F5" s="18">
        <v>1</v>
      </c>
      <c r="G5" s="117"/>
      <c r="H5" s="6" t="s">
        <v>31</v>
      </c>
      <c r="I5" s="18">
        <v>1</v>
      </c>
      <c r="J5" s="124" t="s">
        <v>454</v>
      </c>
      <c r="K5" s="43" t="s">
        <v>32</v>
      </c>
      <c r="L5" s="18">
        <v>2</v>
      </c>
      <c r="M5" s="124" t="s">
        <v>460</v>
      </c>
      <c r="N5" s="4" t="s">
        <v>33</v>
      </c>
      <c r="O5" s="18">
        <v>1</v>
      </c>
      <c r="P5" s="120"/>
      <c r="Q5" s="4" t="s">
        <v>34</v>
      </c>
      <c r="R5" s="18">
        <v>2</v>
      </c>
      <c r="S5" s="120"/>
      <c r="T5" s="4" t="s">
        <v>35</v>
      </c>
      <c r="U5" s="18">
        <v>2</v>
      </c>
      <c r="V5" s="120"/>
      <c r="W5" s="4" t="s">
        <v>36</v>
      </c>
      <c r="X5" s="18">
        <v>1</v>
      </c>
      <c r="Y5" s="120"/>
      <c r="Z5" s="4" t="s">
        <v>58</v>
      </c>
      <c r="AA5" s="18">
        <v>3</v>
      </c>
      <c r="AB5" s="124" t="s">
        <v>480</v>
      </c>
      <c r="AC5" s="4" t="s">
        <v>38</v>
      </c>
      <c r="AD5" s="18">
        <v>0</v>
      </c>
      <c r="AE5" s="123" t="s">
        <v>485</v>
      </c>
      <c r="AF5" s="4" t="s">
        <v>70</v>
      </c>
      <c r="AG5" s="18">
        <v>2</v>
      </c>
      <c r="AH5" s="124" t="s">
        <v>491</v>
      </c>
      <c r="AI5" s="13" t="s">
        <v>40</v>
      </c>
      <c r="AJ5" s="24">
        <v>3</v>
      </c>
      <c r="AK5" s="123" t="s">
        <v>497</v>
      </c>
      <c r="AL5" s="4" t="s">
        <v>41</v>
      </c>
      <c r="AM5" s="18">
        <v>3</v>
      </c>
      <c r="AN5" s="123" t="s">
        <v>502</v>
      </c>
      <c r="AO5" s="4" t="s">
        <v>42</v>
      </c>
      <c r="AP5" s="18">
        <v>3</v>
      </c>
      <c r="AQ5" s="123" t="s">
        <v>507</v>
      </c>
      <c r="AR5" s="4" t="s">
        <v>61</v>
      </c>
      <c r="AS5" s="18">
        <v>3</v>
      </c>
      <c r="AT5" s="123" t="s">
        <v>511</v>
      </c>
      <c r="AU5" s="4" t="s">
        <v>79</v>
      </c>
      <c r="AV5" s="18">
        <v>2</v>
      </c>
      <c r="AW5" s="116"/>
      <c r="AX5" s="4" t="s">
        <v>80</v>
      </c>
      <c r="AY5" s="18">
        <v>3</v>
      </c>
      <c r="AZ5" s="124" t="s">
        <v>520</v>
      </c>
      <c r="BA5" s="4" t="s">
        <v>46</v>
      </c>
      <c r="BB5" s="18">
        <v>1</v>
      </c>
      <c r="BC5" s="18">
        <v>1</v>
      </c>
      <c r="BD5" s="18">
        <v>0</v>
      </c>
      <c r="BE5" s="18">
        <v>0</v>
      </c>
      <c r="BF5" s="18">
        <v>0</v>
      </c>
      <c r="BG5" s="18">
        <v>0</v>
      </c>
      <c r="BH5" s="150" t="s">
        <v>81</v>
      </c>
      <c r="BI5" s="18">
        <v>0</v>
      </c>
      <c r="BJ5" s="130"/>
      <c r="BK5" s="4" t="s">
        <v>75</v>
      </c>
      <c r="BL5" s="18">
        <v>3</v>
      </c>
      <c r="BM5" s="124" t="s">
        <v>529</v>
      </c>
      <c r="BN5" s="4" t="s">
        <v>49</v>
      </c>
      <c r="BO5" s="18">
        <v>1</v>
      </c>
      <c r="BP5" s="124" t="s">
        <v>534</v>
      </c>
      <c r="BQ5" s="18" t="s">
        <v>50</v>
      </c>
      <c r="BR5" s="18">
        <v>2</v>
      </c>
      <c r="BS5" s="124" t="s">
        <v>480</v>
      </c>
      <c r="BT5" s="4" t="s">
        <v>65</v>
      </c>
      <c r="BU5" s="18">
        <v>2</v>
      </c>
      <c r="BV5" s="123" t="s">
        <v>541</v>
      </c>
      <c r="BW5" s="4" t="s">
        <v>51</v>
      </c>
      <c r="BX5" s="18">
        <v>3</v>
      </c>
      <c r="BY5" s="124" t="s">
        <v>546</v>
      </c>
      <c r="BZ5" s="4" t="s">
        <v>52</v>
      </c>
      <c r="CA5" s="18">
        <v>3</v>
      </c>
      <c r="CB5" s="123" t="s">
        <v>549</v>
      </c>
      <c r="CC5" s="4" t="s">
        <v>36</v>
      </c>
      <c r="CD5" s="18">
        <v>1</v>
      </c>
      <c r="CE5" s="120"/>
      <c r="CF5" s="18" t="s">
        <v>77</v>
      </c>
      <c r="CG5" s="18">
        <v>3</v>
      </c>
      <c r="CH5" s="123" t="s">
        <v>554</v>
      </c>
      <c r="CI5" s="4" t="s">
        <v>53</v>
      </c>
      <c r="CJ5" s="34">
        <v>1</v>
      </c>
      <c r="CK5" s="34">
        <v>1</v>
      </c>
      <c r="CL5" s="34">
        <v>0</v>
      </c>
      <c r="CM5" s="34">
        <v>0</v>
      </c>
      <c r="CN5" s="5" t="s">
        <v>82</v>
      </c>
    </row>
    <row r="6" spans="1:96" ht="15.75" customHeight="1" x14ac:dyDescent="0.15">
      <c r="A6" s="51">
        <v>45860.543187453703</v>
      </c>
      <c r="B6" s="3" t="s">
        <v>29</v>
      </c>
      <c r="C6" s="18">
        <v>2</v>
      </c>
      <c r="D6" s="124" t="s">
        <v>444</v>
      </c>
      <c r="E6" s="6" t="s">
        <v>55</v>
      </c>
      <c r="F6" s="17">
        <v>1</v>
      </c>
      <c r="G6" s="116"/>
      <c r="H6" s="6" t="s">
        <v>31</v>
      </c>
      <c r="I6" s="17">
        <v>1</v>
      </c>
      <c r="J6" s="123" t="s">
        <v>455</v>
      </c>
      <c r="K6" s="43" t="s">
        <v>32</v>
      </c>
      <c r="L6" s="17">
        <v>2</v>
      </c>
      <c r="M6" s="119"/>
      <c r="N6" s="1" t="s">
        <v>33</v>
      </c>
      <c r="O6" s="18">
        <v>1</v>
      </c>
      <c r="P6" s="117"/>
      <c r="Q6" s="1" t="s">
        <v>34</v>
      </c>
      <c r="R6" s="17">
        <v>1</v>
      </c>
      <c r="S6" s="119"/>
      <c r="T6" s="1" t="s">
        <v>57</v>
      </c>
      <c r="U6" s="17">
        <v>0</v>
      </c>
      <c r="V6" s="119"/>
      <c r="W6" s="1" t="s">
        <v>49</v>
      </c>
      <c r="X6" s="17">
        <v>2</v>
      </c>
      <c r="Y6" s="119"/>
      <c r="Z6" s="1" t="s">
        <v>37</v>
      </c>
      <c r="AA6" s="17">
        <v>1</v>
      </c>
      <c r="AB6" s="119"/>
      <c r="AC6" s="1" t="s">
        <v>69</v>
      </c>
      <c r="AD6" s="17">
        <v>2</v>
      </c>
      <c r="AE6" s="124" t="s">
        <v>486</v>
      </c>
      <c r="AF6" s="1" t="s">
        <v>83</v>
      </c>
      <c r="AG6" s="17">
        <v>0</v>
      </c>
      <c r="AH6" s="119"/>
      <c r="AI6" s="11" t="s">
        <v>84</v>
      </c>
      <c r="AJ6" s="25">
        <v>0</v>
      </c>
      <c r="AK6" s="127"/>
      <c r="AL6" s="1" t="s">
        <v>85</v>
      </c>
      <c r="AM6" s="17">
        <v>3</v>
      </c>
      <c r="AN6" s="119"/>
      <c r="AO6" s="1" t="s">
        <v>42</v>
      </c>
      <c r="AP6" s="17">
        <v>3</v>
      </c>
      <c r="AQ6" s="123" t="s">
        <v>508</v>
      </c>
      <c r="AR6" s="1" t="s">
        <v>61</v>
      </c>
      <c r="AS6" s="18">
        <v>1</v>
      </c>
      <c r="AT6" s="119"/>
      <c r="AU6" s="1" t="s">
        <v>86</v>
      </c>
      <c r="AV6" s="17">
        <v>2</v>
      </c>
      <c r="AW6" s="119"/>
      <c r="AX6" s="1" t="s">
        <v>80</v>
      </c>
      <c r="AY6" s="17">
        <v>1</v>
      </c>
      <c r="AZ6" s="119"/>
      <c r="BA6" s="1" t="s">
        <v>69</v>
      </c>
      <c r="BB6" s="17">
        <v>1</v>
      </c>
      <c r="BC6" s="17">
        <v>0</v>
      </c>
      <c r="BD6" s="17">
        <v>1</v>
      </c>
      <c r="BE6" s="17">
        <v>0</v>
      </c>
      <c r="BF6" s="17">
        <v>0</v>
      </c>
      <c r="BG6" s="17">
        <v>0</v>
      </c>
      <c r="BH6" s="149" t="s">
        <v>47</v>
      </c>
      <c r="BI6" s="17">
        <v>0</v>
      </c>
      <c r="BJ6" s="131"/>
      <c r="BK6" s="1" t="s">
        <v>75</v>
      </c>
      <c r="BL6" s="17">
        <v>2</v>
      </c>
      <c r="BM6" s="119"/>
      <c r="BN6" s="1" t="s">
        <v>64</v>
      </c>
      <c r="BO6" s="17">
        <v>0</v>
      </c>
      <c r="BP6" s="119"/>
      <c r="BQ6" s="17" t="s">
        <v>87</v>
      </c>
      <c r="BR6" s="17">
        <v>3</v>
      </c>
      <c r="BS6" s="119"/>
      <c r="BT6" s="1" t="s">
        <v>38</v>
      </c>
      <c r="BU6" s="17">
        <v>0</v>
      </c>
      <c r="BV6" s="116"/>
      <c r="BW6" s="1" t="s">
        <v>88</v>
      </c>
      <c r="BX6" s="17">
        <v>3</v>
      </c>
      <c r="BY6" s="119"/>
      <c r="BZ6" s="1" t="s">
        <v>52</v>
      </c>
      <c r="CA6" s="17">
        <v>3</v>
      </c>
      <c r="CB6" s="119"/>
      <c r="CC6" s="1" t="s">
        <v>36</v>
      </c>
      <c r="CD6" s="17">
        <v>2</v>
      </c>
      <c r="CE6" s="119"/>
      <c r="CF6" s="17" t="s">
        <v>36</v>
      </c>
      <c r="CG6" s="17">
        <v>0</v>
      </c>
      <c r="CH6" s="119"/>
      <c r="CI6" s="1" t="s">
        <v>89</v>
      </c>
      <c r="CJ6" s="33">
        <v>1</v>
      </c>
      <c r="CK6" s="33">
        <v>0</v>
      </c>
      <c r="CL6" s="33">
        <v>1</v>
      </c>
      <c r="CM6" s="33">
        <v>0</v>
      </c>
      <c r="CN6" s="2" t="s">
        <v>54</v>
      </c>
    </row>
    <row r="7" spans="1:96" ht="15.75" customHeight="1" x14ac:dyDescent="0.15">
      <c r="A7" s="51">
        <v>45860.545215196762</v>
      </c>
      <c r="B7" s="3" t="s">
        <v>29</v>
      </c>
      <c r="C7" s="18">
        <v>3</v>
      </c>
      <c r="D7" s="123" t="s">
        <v>445</v>
      </c>
      <c r="E7" s="6" t="s">
        <v>90</v>
      </c>
      <c r="F7" s="18">
        <v>2</v>
      </c>
      <c r="G7" s="117"/>
      <c r="H7" s="6" t="s">
        <v>91</v>
      </c>
      <c r="I7" s="18">
        <v>3</v>
      </c>
      <c r="J7" s="117"/>
      <c r="K7" s="43" t="s">
        <v>56</v>
      </c>
      <c r="L7" s="18">
        <v>2</v>
      </c>
      <c r="M7" s="120"/>
      <c r="N7" s="4" t="s">
        <v>33</v>
      </c>
      <c r="O7" s="18">
        <v>1</v>
      </c>
      <c r="P7" s="120"/>
      <c r="Q7" s="4" t="s">
        <v>34</v>
      </c>
      <c r="R7" s="18">
        <v>1</v>
      </c>
      <c r="S7" s="120"/>
      <c r="T7" s="4" t="s">
        <v>57</v>
      </c>
      <c r="U7" s="18">
        <v>1</v>
      </c>
      <c r="V7" s="120"/>
      <c r="W7" s="4" t="s">
        <v>92</v>
      </c>
      <c r="X7" s="18">
        <v>1</v>
      </c>
      <c r="Y7" s="120"/>
      <c r="Z7" s="4" t="s">
        <v>58</v>
      </c>
      <c r="AA7" s="18">
        <v>1</v>
      </c>
      <c r="AB7" s="120"/>
      <c r="AC7" s="4" t="s">
        <v>69</v>
      </c>
      <c r="AD7" s="18">
        <v>4</v>
      </c>
      <c r="AE7" s="124" t="s">
        <v>487</v>
      </c>
      <c r="AF7" s="4" t="s">
        <v>93</v>
      </c>
      <c r="AG7" s="18">
        <v>3</v>
      </c>
      <c r="AH7" s="120"/>
      <c r="AI7" s="13" t="s">
        <v>94</v>
      </c>
      <c r="AJ7" s="24">
        <v>2</v>
      </c>
      <c r="AK7" s="126"/>
      <c r="AL7" s="4" t="s">
        <v>71</v>
      </c>
      <c r="AM7" s="18">
        <v>2</v>
      </c>
      <c r="AN7" s="120"/>
      <c r="AO7" s="4" t="s">
        <v>72</v>
      </c>
      <c r="AP7" s="18">
        <v>3</v>
      </c>
      <c r="AQ7" s="120"/>
      <c r="AR7" s="4" t="s">
        <v>61</v>
      </c>
      <c r="AS7" s="18">
        <v>2</v>
      </c>
      <c r="AT7" s="120"/>
      <c r="AU7" s="4" t="s">
        <v>44</v>
      </c>
      <c r="AV7" s="18">
        <v>0</v>
      </c>
      <c r="AW7" s="120"/>
      <c r="AX7" s="4" t="s">
        <v>62</v>
      </c>
      <c r="AY7" s="18">
        <v>2</v>
      </c>
      <c r="AZ7" s="120"/>
      <c r="BA7" s="4" t="s">
        <v>59</v>
      </c>
      <c r="BB7" s="18">
        <v>0</v>
      </c>
      <c r="BC7" s="18">
        <v>0</v>
      </c>
      <c r="BD7" s="18">
        <v>1</v>
      </c>
      <c r="BE7" s="18">
        <v>1</v>
      </c>
      <c r="BF7" s="18">
        <v>0</v>
      </c>
      <c r="BG7" s="18">
        <v>0</v>
      </c>
      <c r="BH7" s="150" t="s">
        <v>95</v>
      </c>
      <c r="BI7" s="18">
        <v>1</v>
      </c>
      <c r="BJ7" s="130"/>
      <c r="BK7" s="4" t="s">
        <v>96</v>
      </c>
      <c r="BL7" s="18">
        <v>2</v>
      </c>
      <c r="BM7" s="120"/>
      <c r="BN7" s="4" t="s">
        <v>64</v>
      </c>
      <c r="BO7" s="18">
        <v>0</v>
      </c>
      <c r="BP7" s="120"/>
      <c r="BQ7" s="18" t="s">
        <v>87</v>
      </c>
      <c r="BR7" s="18">
        <v>2</v>
      </c>
      <c r="BS7" s="120"/>
      <c r="BT7" s="4" t="s">
        <v>65</v>
      </c>
      <c r="BU7" s="18">
        <v>0</v>
      </c>
      <c r="BV7" s="120"/>
      <c r="BW7" s="4" t="s">
        <v>88</v>
      </c>
      <c r="BX7" s="18">
        <v>3</v>
      </c>
      <c r="BY7" s="120"/>
      <c r="BZ7" s="4" t="s">
        <v>52</v>
      </c>
      <c r="CA7" s="18">
        <v>3</v>
      </c>
      <c r="CB7" s="120"/>
      <c r="CC7" s="4" t="s">
        <v>36</v>
      </c>
      <c r="CD7" s="18">
        <v>0</v>
      </c>
      <c r="CE7" s="120"/>
      <c r="CF7" s="18" t="s">
        <v>49</v>
      </c>
      <c r="CG7" s="18">
        <v>0</v>
      </c>
      <c r="CH7" s="120"/>
      <c r="CI7" s="4" t="s">
        <v>89</v>
      </c>
      <c r="CJ7" s="34">
        <v>1</v>
      </c>
      <c r="CK7" s="34">
        <v>0</v>
      </c>
      <c r="CL7" s="34">
        <v>1</v>
      </c>
      <c r="CM7" s="34">
        <v>0</v>
      </c>
      <c r="CN7" s="5" t="s">
        <v>54</v>
      </c>
    </row>
    <row r="8" spans="1:96" ht="15.75" customHeight="1" x14ac:dyDescent="0.15">
      <c r="A8" s="51">
        <v>45860.548554409717</v>
      </c>
      <c r="B8" s="3" t="s">
        <v>29</v>
      </c>
      <c r="C8" s="17">
        <v>3</v>
      </c>
      <c r="D8" s="116"/>
      <c r="E8" s="6" t="s">
        <v>90</v>
      </c>
      <c r="F8" s="17">
        <v>2</v>
      </c>
      <c r="G8" s="116"/>
      <c r="H8" s="6" t="s">
        <v>91</v>
      </c>
      <c r="I8" s="17">
        <v>3</v>
      </c>
      <c r="J8" s="116"/>
      <c r="K8" s="43" t="s">
        <v>56</v>
      </c>
      <c r="L8" s="17">
        <v>2</v>
      </c>
      <c r="M8" s="119"/>
      <c r="N8" s="1" t="s">
        <v>33</v>
      </c>
      <c r="O8" s="18">
        <v>1</v>
      </c>
      <c r="P8" s="117"/>
      <c r="Q8" s="1" t="s">
        <v>34</v>
      </c>
      <c r="R8" s="17">
        <v>2</v>
      </c>
      <c r="S8" s="119"/>
      <c r="T8" s="1" t="s">
        <v>35</v>
      </c>
      <c r="U8" s="17">
        <v>1</v>
      </c>
      <c r="V8" s="119"/>
      <c r="W8" s="1" t="s">
        <v>92</v>
      </c>
      <c r="X8" s="17">
        <v>1</v>
      </c>
      <c r="Y8" s="119"/>
      <c r="Z8" s="1" t="s">
        <v>58</v>
      </c>
      <c r="AA8" s="17">
        <v>3</v>
      </c>
      <c r="AB8" s="119"/>
      <c r="AC8" s="1" t="s">
        <v>38</v>
      </c>
      <c r="AD8" s="17">
        <v>1</v>
      </c>
      <c r="AE8" s="119"/>
      <c r="AF8" s="1" t="s">
        <v>39</v>
      </c>
      <c r="AG8" s="17">
        <v>3</v>
      </c>
      <c r="AH8" s="119"/>
      <c r="AI8" s="11" t="s">
        <v>94</v>
      </c>
      <c r="AJ8" s="25">
        <v>3</v>
      </c>
      <c r="AK8" s="127"/>
      <c r="AL8" s="1" t="s">
        <v>41</v>
      </c>
      <c r="AM8" s="17">
        <v>3</v>
      </c>
      <c r="AN8" s="119"/>
      <c r="AO8" s="1" t="s">
        <v>42</v>
      </c>
      <c r="AP8" s="17">
        <v>3</v>
      </c>
      <c r="AQ8" s="119"/>
      <c r="AR8" s="1" t="s">
        <v>61</v>
      </c>
      <c r="AS8" s="18">
        <v>2</v>
      </c>
      <c r="AT8" s="119"/>
      <c r="AU8" s="1" t="s">
        <v>44</v>
      </c>
      <c r="AV8" s="17">
        <v>2</v>
      </c>
      <c r="AW8" s="119"/>
      <c r="AX8" s="1" t="s">
        <v>80</v>
      </c>
      <c r="AY8" s="17">
        <v>2</v>
      </c>
      <c r="AZ8" s="119"/>
      <c r="BA8" s="1" t="s">
        <v>59</v>
      </c>
      <c r="BB8" s="17">
        <v>1</v>
      </c>
      <c r="BC8" s="17">
        <v>0</v>
      </c>
      <c r="BD8" s="17">
        <v>1</v>
      </c>
      <c r="BE8" s="17">
        <v>0</v>
      </c>
      <c r="BF8" s="17">
        <v>0</v>
      </c>
      <c r="BG8" s="17">
        <v>0</v>
      </c>
      <c r="BH8" s="149" t="s">
        <v>47</v>
      </c>
      <c r="BI8" s="17">
        <v>0</v>
      </c>
      <c r="BJ8" s="131"/>
      <c r="BK8" s="1" t="s">
        <v>75</v>
      </c>
      <c r="BL8" s="17">
        <v>3</v>
      </c>
      <c r="BM8" s="119"/>
      <c r="BN8" s="1" t="s">
        <v>49</v>
      </c>
      <c r="BO8" s="17">
        <v>1</v>
      </c>
      <c r="BP8" s="119"/>
      <c r="BQ8" s="17" t="s">
        <v>50</v>
      </c>
      <c r="BR8" s="17">
        <v>3</v>
      </c>
      <c r="BS8" s="119"/>
      <c r="BT8" s="1" t="s">
        <v>38</v>
      </c>
      <c r="BU8" s="17">
        <v>2</v>
      </c>
      <c r="BV8" s="119"/>
      <c r="BW8" s="1" t="s">
        <v>51</v>
      </c>
      <c r="BX8" s="17">
        <v>2</v>
      </c>
      <c r="BY8" s="119"/>
      <c r="BZ8" s="1" t="s">
        <v>97</v>
      </c>
      <c r="CA8" s="17">
        <v>3</v>
      </c>
      <c r="CB8" s="119"/>
      <c r="CC8" s="1" t="s">
        <v>36</v>
      </c>
      <c r="CD8" s="17">
        <v>1</v>
      </c>
      <c r="CE8" s="119"/>
      <c r="CF8" s="17" t="s">
        <v>77</v>
      </c>
      <c r="CG8" s="17">
        <v>3</v>
      </c>
      <c r="CH8" s="119"/>
      <c r="CI8" s="1" t="s">
        <v>53</v>
      </c>
      <c r="CJ8" s="33">
        <v>0</v>
      </c>
      <c r="CK8" s="33">
        <v>1</v>
      </c>
      <c r="CL8" s="33">
        <v>1</v>
      </c>
      <c r="CM8" s="33">
        <v>0</v>
      </c>
      <c r="CN8" s="2" t="s">
        <v>98</v>
      </c>
    </row>
    <row r="9" spans="1:96" ht="15.75" customHeight="1" x14ac:dyDescent="0.15">
      <c r="A9" s="51">
        <v>45860.548767476852</v>
      </c>
      <c r="B9" s="3" t="s">
        <v>29</v>
      </c>
      <c r="C9" s="18">
        <v>3</v>
      </c>
      <c r="D9" s="117"/>
      <c r="E9" s="6" t="s">
        <v>90</v>
      </c>
      <c r="F9" s="18">
        <v>1</v>
      </c>
      <c r="G9" s="117"/>
      <c r="H9" s="6" t="s">
        <v>31</v>
      </c>
      <c r="I9" s="18">
        <v>1</v>
      </c>
      <c r="J9" s="117"/>
      <c r="K9" s="43" t="s">
        <v>32</v>
      </c>
      <c r="L9" s="18">
        <v>2</v>
      </c>
      <c r="M9" s="120"/>
      <c r="N9" s="4" t="s">
        <v>33</v>
      </c>
      <c r="O9" s="18">
        <v>1</v>
      </c>
      <c r="P9" s="120"/>
      <c r="Q9" s="4" t="s">
        <v>34</v>
      </c>
      <c r="R9" s="18">
        <v>2</v>
      </c>
      <c r="S9" s="120"/>
      <c r="T9" s="4" t="s">
        <v>35</v>
      </c>
      <c r="U9" s="18">
        <v>1</v>
      </c>
      <c r="V9" s="120"/>
      <c r="W9" s="4" t="s">
        <v>92</v>
      </c>
      <c r="X9" s="18">
        <v>2</v>
      </c>
      <c r="Y9" s="120"/>
      <c r="Z9" s="4" t="s">
        <v>37</v>
      </c>
      <c r="AA9" s="18">
        <v>3</v>
      </c>
      <c r="AB9" s="120"/>
      <c r="AC9" s="4" t="s">
        <v>38</v>
      </c>
      <c r="AD9" s="18">
        <v>1</v>
      </c>
      <c r="AE9" s="120"/>
      <c r="AF9" s="4" t="s">
        <v>39</v>
      </c>
      <c r="AG9" s="18">
        <v>2</v>
      </c>
      <c r="AH9" s="120"/>
      <c r="AI9" s="13" t="s">
        <v>40</v>
      </c>
      <c r="AJ9" s="24">
        <v>3</v>
      </c>
      <c r="AK9" s="126"/>
      <c r="AL9" s="4" t="s">
        <v>41</v>
      </c>
      <c r="AM9" s="18">
        <v>3</v>
      </c>
      <c r="AN9" s="120"/>
      <c r="AO9" s="4" t="s">
        <v>42</v>
      </c>
      <c r="AP9" s="18">
        <v>3</v>
      </c>
      <c r="AQ9" s="120"/>
      <c r="AR9" s="4" t="s">
        <v>99</v>
      </c>
      <c r="AS9" s="18">
        <v>3</v>
      </c>
      <c r="AT9" s="120"/>
      <c r="AU9" s="4" t="s">
        <v>79</v>
      </c>
      <c r="AV9" s="18">
        <v>2</v>
      </c>
      <c r="AW9" s="120"/>
      <c r="AX9" s="4" t="s">
        <v>80</v>
      </c>
      <c r="AY9" s="18">
        <v>0</v>
      </c>
      <c r="AZ9" s="120"/>
      <c r="BA9" s="4" t="s">
        <v>38</v>
      </c>
      <c r="BB9" s="18">
        <v>1</v>
      </c>
      <c r="BC9" s="18">
        <v>0</v>
      </c>
      <c r="BD9" s="18">
        <v>0</v>
      </c>
      <c r="BE9" s="18">
        <v>0</v>
      </c>
      <c r="BF9" s="18">
        <v>0</v>
      </c>
      <c r="BG9" s="18">
        <v>0</v>
      </c>
      <c r="BH9" s="150" t="s">
        <v>100</v>
      </c>
      <c r="BI9" s="18">
        <v>2</v>
      </c>
      <c r="BJ9" s="130"/>
      <c r="BK9" s="4" t="s">
        <v>48</v>
      </c>
      <c r="BL9" s="18">
        <v>3</v>
      </c>
      <c r="BM9" s="120"/>
      <c r="BN9" s="4" t="s">
        <v>49</v>
      </c>
      <c r="BO9" s="18">
        <v>0</v>
      </c>
      <c r="BP9" s="120"/>
      <c r="BQ9" s="18" t="s">
        <v>87</v>
      </c>
      <c r="BR9" s="18">
        <v>3</v>
      </c>
      <c r="BS9" s="120"/>
      <c r="BT9" s="4" t="s">
        <v>38</v>
      </c>
      <c r="BU9" s="18">
        <v>0</v>
      </c>
      <c r="BV9" s="120"/>
      <c r="BW9" s="4" t="s">
        <v>88</v>
      </c>
      <c r="BX9" s="18">
        <v>3</v>
      </c>
      <c r="BY9" s="120"/>
      <c r="BZ9" s="4" t="s">
        <v>52</v>
      </c>
      <c r="CA9" s="18">
        <v>3</v>
      </c>
      <c r="CB9" s="120"/>
      <c r="CC9" s="4" t="s">
        <v>36</v>
      </c>
      <c r="CD9" s="18">
        <v>1</v>
      </c>
      <c r="CE9" s="120"/>
      <c r="CF9" s="18" t="s">
        <v>77</v>
      </c>
      <c r="CG9" s="18">
        <v>3</v>
      </c>
      <c r="CH9" s="120"/>
      <c r="CI9" s="4" t="s">
        <v>53</v>
      </c>
      <c r="CJ9" s="34">
        <v>0</v>
      </c>
      <c r="CK9" s="34">
        <v>0</v>
      </c>
      <c r="CL9" s="34">
        <v>0</v>
      </c>
      <c r="CM9" s="34">
        <v>1</v>
      </c>
      <c r="CN9" s="5" t="s">
        <v>101</v>
      </c>
    </row>
    <row r="10" spans="1:96" ht="15.75" customHeight="1" x14ac:dyDescent="0.15">
      <c r="A10" s="51">
        <v>45860.550005046302</v>
      </c>
      <c r="B10" s="3" t="s">
        <v>29</v>
      </c>
      <c r="C10" s="17">
        <v>3</v>
      </c>
      <c r="D10" s="116"/>
      <c r="E10" s="6" t="s">
        <v>90</v>
      </c>
      <c r="F10" s="17">
        <v>1</v>
      </c>
      <c r="G10" s="116"/>
      <c r="H10" s="6" t="s">
        <v>31</v>
      </c>
      <c r="I10" s="17">
        <v>1</v>
      </c>
      <c r="J10" s="116"/>
      <c r="K10" s="43" t="s">
        <v>32</v>
      </c>
      <c r="L10" s="17">
        <v>2</v>
      </c>
      <c r="M10" s="119"/>
      <c r="N10" s="1" t="s">
        <v>33</v>
      </c>
      <c r="O10" s="18">
        <v>1</v>
      </c>
      <c r="P10" s="117"/>
      <c r="Q10" s="1" t="s">
        <v>34</v>
      </c>
      <c r="R10" s="17">
        <v>2</v>
      </c>
      <c r="S10" s="119"/>
      <c r="T10" s="1" t="s">
        <v>35</v>
      </c>
      <c r="U10" s="17">
        <v>2</v>
      </c>
      <c r="V10" s="119"/>
      <c r="W10" s="1" t="s">
        <v>36</v>
      </c>
      <c r="X10" s="17">
        <v>1</v>
      </c>
      <c r="Y10" s="119"/>
      <c r="Z10" s="1" t="s">
        <v>58</v>
      </c>
      <c r="AA10" s="17">
        <v>2</v>
      </c>
      <c r="AB10" s="119"/>
      <c r="AC10" s="1" t="s">
        <v>59</v>
      </c>
      <c r="AD10" s="17">
        <v>0</v>
      </c>
      <c r="AE10" s="119"/>
      <c r="AF10" s="1" t="s">
        <v>70</v>
      </c>
      <c r="AG10" s="18">
        <v>2</v>
      </c>
      <c r="AH10" s="117"/>
      <c r="AI10" s="11" t="s">
        <v>40</v>
      </c>
      <c r="AJ10" s="25">
        <v>2</v>
      </c>
      <c r="AK10" s="127"/>
      <c r="AL10" s="1" t="s">
        <v>71</v>
      </c>
      <c r="AM10" s="17">
        <v>2</v>
      </c>
      <c r="AN10" s="119"/>
      <c r="AO10" s="1" t="s">
        <v>72</v>
      </c>
      <c r="AP10" s="17">
        <v>3</v>
      </c>
      <c r="AQ10" s="119"/>
      <c r="AR10" s="1" t="s">
        <v>61</v>
      </c>
      <c r="AS10" s="17">
        <v>2</v>
      </c>
      <c r="AT10" s="119"/>
      <c r="AU10" s="1" t="s">
        <v>44</v>
      </c>
      <c r="AV10" s="17">
        <v>1</v>
      </c>
      <c r="AW10" s="119"/>
      <c r="AX10" s="1" t="s">
        <v>45</v>
      </c>
      <c r="AY10" s="17">
        <v>0</v>
      </c>
      <c r="AZ10" s="119"/>
      <c r="BA10" s="1" t="s">
        <v>38</v>
      </c>
      <c r="BB10" s="17">
        <v>1</v>
      </c>
      <c r="BC10" s="17">
        <v>0</v>
      </c>
      <c r="BD10" s="17">
        <v>1</v>
      </c>
      <c r="BE10" s="17">
        <v>0</v>
      </c>
      <c r="BF10" s="17">
        <v>0</v>
      </c>
      <c r="BG10" s="17">
        <v>0</v>
      </c>
      <c r="BH10" s="149" t="s">
        <v>47</v>
      </c>
      <c r="BI10" s="17">
        <v>0</v>
      </c>
      <c r="BJ10" s="131"/>
      <c r="BK10" s="1" t="s">
        <v>75</v>
      </c>
      <c r="BL10" s="17">
        <v>1</v>
      </c>
      <c r="BM10" s="119"/>
      <c r="BN10" s="1" t="s">
        <v>59</v>
      </c>
      <c r="BO10" s="17">
        <v>1</v>
      </c>
      <c r="BP10" s="119"/>
      <c r="BQ10" s="17" t="s">
        <v>50</v>
      </c>
      <c r="BR10" s="17">
        <v>3</v>
      </c>
      <c r="BS10" s="119"/>
      <c r="BT10" s="1" t="s">
        <v>38</v>
      </c>
      <c r="BU10" s="17">
        <v>1</v>
      </c>
      <c r="BV10" s="119"/>
      <c r="BW10" s="1" t="s">
        <v>66</v>
      </c>
      <c r="BX10" s="17">
        <v>2</v>
      </c>
      <c r="BY10" s="119"/>
      <c r="BZ10" s="1" t="s">
        <v>97</v>
      </c>
      <c r="CA10" s="17">
        <v>2</v>
      </c>
      <c r="CB10" s="119"/>
      <c r="CC10" s="1" t="s">
        <v>76</v>
      </c>
      <c r="CD10" s="17">
        <v>1</v>
      </c>
      <c r="CE10" s="119"/>
      <c r="CF10" s="17" t="s">
        <v>77</v>
      </c>
      <c r="CG10" s="17">
        <v>0</v>
      </c>
      <c r="CH10" s="119"/>
      <c r="CI10" s="1" t="s">
        <v>89</v>
      </c>
      <c r="CJ10" s="33">
        <v>1</v>
      </c>
      <c r="CK10" s="33">
        <v>1</v>
      </c>
      <c r="CL10" s="33">
        <v>0</v>
      </c>
      <c r="CM10" s="33">
        <v>0</v>
      </c>
      <c r="CN10" s="2" t="s">
        <v>82</v>
      </c>
    </row>
    <row r="11" spans="1:96" ht="15.75" customHeight="1" x14ac:dyDescent="0.15">
      <c r="A11" s="51">
        <v>45860.550280185184</v>
      </c>
      <c r="B11" s="3" t="s">
        <v>29</v>
      </c>
      <c r="C11" s="18">
        <v>2</v>
      </c>
      <c r="D11" s="117"/>
      <c r="E11" s="6" t="s">
        <v>55</v>
      </c>
      <c r="F11" s="18">
        <v>1</v>
      </c>
      <c r="G11" s="117"/>
      <c r="H11" s="6" t="s">
        <v>31</v>
      </c>
      <c r="I11" s="18">
        <v>3</v>
      </c>
      <c r="J11" s="117"/>
      <c r="K11" s="43" t="s">
        <v>56</v>
      </c>
      <c r="L11" s="18">
        <v>2</v>
      </c>
      <c r="M11" s="120"/>
      <c r="N11" s="4" t="s">
        <v>33</v>
      </c>
      <c r="O11" s="18">
        <v>1</v>
      </c>
      <c r="P11" s="120"/>
      <c r="Q11" s="4" t="s">
        <v>34</v>
      </c>
      <c r="R11" s="18">
        <v>2</v>
      </c>
      <c r="S11" s="120"/>
      <c r="T11" s="4" t="s">
        <v>35</v>
      </c>
      <c r="U11" s="18">
        <v>1</v>
      </c>
      <c r="V11" s="120"/>
      <c r="W11" s="4" t="s">
        <v>92</v>
      </c>
      <c r="X11" s="18">
        <v>1</v>
      </c>
      <c r="Y11" s="120"/>
      <c r="Z11" s="4" t="s">
        <v>58</v>
      </c>
      <c r="AA11" s="18">
        <v>1</v>
      </c>
      <c r="AB11" s="120"/>
      <c r="AC11" s="4" t="s">
        <v>69</v>
      </c>
      <c r="AD11" s="18">
        <v>3</v>
      </c>
      <c r="AE11" s="120"/>
      <c r="AF11" s="4" t="s">
        <v>60</v>
      </c>
      <c r="AG11" s="18">
        <v>3</v>
      </c>
      <c r="AH11" s="120"/>
      <c r="AI11" s="13" t="s">
        <v>94</v>
      </c>
      <c r="AJ11" s="24">
        <v>0</v>
      </c>
      <c r="AK11" s="126"/>
      <c r="AL11" s="4" t="s">
        <v>85</v>
      </c>
      <c r="AM11" s="18">
        <v>3</v>
      </c>
      <c r="AN11" s="120"/>
      <c r="AO11" s="4" t="s">
        <v>42</v>
      </c>
      <c r="AP11" s="18">
        <v>4</v>
      </c>
      <c r="AQ11" s="120"/>
      <c r="AR11" s="4" t="s">
        <v>43</v>
      </c>
      <c r="AS11" s="18">
        <v>0</v>
      </c>
      <c r="AT11" s="120"/>
      <c r="AU11" s="4" t="s">
        <v>102</v>
      </c>
      <c r="AV11" s="18">
        <v>2</v>
      </c>
      <c r="AW11" s="120"/>
      <c r="AX11" s="4" t="s">
        <v>80</v>
      </c>
      <c r="AY11" s="18">
        <v>1</v>
      </c>
      <c r="AZ11" s="120"/>
      <c r="BA11" s="4" t="s">
        <v>69</v>
      </c>
      <c r="BB11" s="18">
        <v>1</v>
      </c>
      <c r="BC11" s="18">
        <v>0</v>
      </c>
      <c r="BD11" s="18">
        <v>1</v>
      </c>
      <c r="BE11" s="18">
        <v>0</v>
      </c>
      <c r="BF11" s="18">
        <v>0</v>
      </c>
      <c r="BG11" s="18">
        <v>0</v>
      </c>
      <c r="BH11" s="150" t="s">
        <v>47</v>
      </c>
      <c r="BI11" s="18">
        <v>0</v>
      </c>
      <c r="BJ11" s="130"/>
      <c r="BK11" s="4" t="s">
        <v>75</v>
      </c>
      <c r="BL11" s="18">
        <v>3</v>
      </c>
      <c r="BM11" s="120"/>
      <c r="BN11" s="4" t="s">
        <v>49</v>
      </c>
      <c r="BO11" s="18">
        <v>1</v>
      </c>
      <c r="BP11" s="120"/>
      <c r="BQ11" s="18" t="s">
        <v>50</v>
      </c>
      <c r="BR11" s="18">
        <v>2</v>
      </c>
      <c r="BS11" s="120"/>
      <c r="BT11" s="4" t="s">
        <v>65</v>
      </c>
      <c r="BU11" s="18">
        <v>1</v>
      </c>
      <c r="BV11" s="120"/>
      <c r="BW11" s="4" t="s">
        <v>66</v>
      </c>
      <c r="BX11" s="18">
        <v>3</v>
      </c>
      <c r="BY11" s="120"/>
      <c r="BZ11" s="4" t="s">
        <v>52</v>
      </c>
      <c r="CA11" s="18">
        <v>2</v>
      </c>
      <c r="CB11" s="120"/>
      <c r="CC11" s="4" t="s">
        <v>76</v>
      </c>
      <c r="CD11" s="18">
        <v>1</v>
      </c>
      <c r="CE11" s="120"/>
      <c r="CF11" s="18" t="s">
        <v>77</v>
      </c>
      <c r="CG11" s="18">
        <v>3</v>
      </c>
      <c r="CH11" s="120"/>
      <c r="CI11" s="4" t="s">
        <v>53</v>
      </c>
      <c r="CJ11" s="34">
        <v>1</v>
      </c>
      <c r="CK11" s="34">
        <v>1</v>
      </c>
      <c r="CL11" s="34">
        <v>0</v>
      </c>
      <c r="CM11" s="34">
        <v>0</v>
      </c>
      <c r="CN11" s="5" t="s">
        <v>82</v>
      </c>
    </row>
    <row r="12" spans="1:96" ht="15.75" customHeight="1" x14ac:dyDescent="0.15">
      <c r="A12" s="51">
        <v>45860.551451817126</v>
      </c>
      <c r="B12" s="3" t="s">
        <v>29</v>
      </c>
      <c r="C12" s="17">
        <v>3</v>
      </c>
      <c r="D12" s="116"/>
      <c r="E12" s="6" t="s">
        <v>90</v>
      </c>
      <c r="F12" s="17">
        <v>2</v>
      </c>
      <c r="G12" s="116"/>
      <c r="H12" s="6" t="s">
        <v>91</v>
      </c>
      <c r="I12" s="17">
        <v>3</v>
      </c>
      <c r="J12" s="116"/>
      <c r="K12" s="43" t="s">
        <v>56</v>
      </c>
      <c r="L12" s="17">
        <v>2</v>
      </c>
      <c r="M12" s="119"/>
      <c r="N12" s="1" t="s">
        <v>33</v>
      </c>
      <c r="O12" s="18">
        <v>1</v>
      </c>
      <c r="P12" s="117"/>
      <c r="Q12" s="1" t="s">
        <v>34</v>
      </c>
      <c r="R12" s="17">
        <v>2</v>
      </c>
      <c r="S12" s="119"/>
      <c r="T12" s="1" t="s">
        <v>35</v>
      </c>
      <c r="U12" s="17">
        <v>2</v>
      </c>
      <c r="V12" s="119"/>
      <c r="W12" s="1" t="s">
        <v>36</v>
      </c>
      <c r="X12" s="17">
        <v>2</v>
      </c>
      <c r="Y12" s="119"/>
      <c r="Z12" s="1" t="s">
        <v>37</v>
      </c>
      <c r="AA12" s="17">
        <v>3</v>
      </c>
      <c r="AB12" s="119"/>
      <c r="AC12" s="1" t="s">
        <v>38</v>
      </c>
      <c r="AD12" s="17">
        <v>5</v>
      </c>
      <c r="AE12" s="119"/>
      <c r="AF12" s="1" t="s">
        <v>103</v>
      </c>
      <c r="AG12" s="17">
        <v>3</v>
      </c>
      <c r="AH12" s="119"/>
      <c r="AI12" s="11" t="s">
        <v>94</v>
      </c>
      <c r="AJ12" s="25">
        <v>3</v>
      </c>
      <c r="AK12" s="127"/>
      <c r="AL12" s="1" t="s">
        <v>41</v>
      </c>
      <c r="AM12" s="17">
        <v>3</v>
      </c>
      <c r="AN12" s="119"/>
      <c r="AO12" s="1" t="s">
        <v>42</v>
      </c>
      <c r="AP12" s="17">
        <v>2</v>
      </c>
      <c r="AQ12" s="119"/>
      <c r="AR12" s="1" t="s">
        <v>104</v>
      </c>
      <c r="AS12" s="17">
        <v>3</v>
      </c>
      <c r="AT12" s="119"/>
      <c r="AU12" s="1" t="s">
        <v>79</v>
      </c>
      <c r="AV12" s="17">
        <v>2</v>
      </c>
      <c r="AW12" s="119"/>
      <c r="AX12" s="1" t="s">
        <v>80</v>
      </c>
      <c r="AY12" s="17">
        <v>3</v>
      </c>
      <c r="AZ12" s="119"/>
      <c r="BA12" s="1" t="s">
        <v>46</v>
      </c>
      <c r="BB12" s="17">
        <v>0</v>
      </c>
      <c r="BC12" s="17">
        <v>1</v>
      </c>
      <c r="BD12" s="17">
        <v>1</v>
      </c>
      <c r="BE12" s="17">
        <v>0</v>
      </c>
      <c r="BF12" s="17">
        <v>0</v>
      </c>
      <c r="BG12" s="17">
        <v>0</v>
      </c>
      <c r="BH12" s="149" t="s">
        <v>105</v>
      </c>
      <c r="BI12" s="17">
        <v>2</v>
      </c>
      <c r="BJ12" s="131"/>
      <c r="BK12" s="1" t="s">
        <v>48</v>
      </c>
      <c r="BL12" s="17">
        <v>3</v>
      </c>
      <c r="BM12" s="119"/>
      <c r="BN12" s="1" t="s">
        <v>49</v>
      </c>
      <c r="BO12" s="17">
        <v>1</v>
      </c>
      <c r="BP12" s="119"/>
      <c r="BQ12" s="17" t="s">
        <v>50</v>
      </c>
      <c r="BR12" s="17">
        <v>3</v>
      </c>
      <c r="BS12" s="119"/>
      <c r="BT12" s="1" t="s">
        <v>38</v>
      </c>
      <c r="BU12" s="17">
        <v>1</v>
      </c>
      <c r="BV12" s="119"/>
      <c r="BW12" s="1" t="s">
        <v>66</v>
      </c>
      <c r="BX12" s="17">
        <v>2</v>
      </c>
      <c r="BY12" s="119"/>
      <c r="BZ12" s="1" t="s">
        <v>97</v>
      </c>
      <c r="CA12" s="17">
        <v>3</v>
      </c>
      <c r="CB12" s="119"/>
      <c r="CC12" s="1" t="s">
        <v>36</v>
      </c>
      <c r="CD12" s="17">
        <v>1</v>
      </c>
      <c r="CE12" s="119"/>
      <c r="CF12" s="17" t="s">
        <v>77</v>
      </c>
      <c r="CG12" s="17">
        <v>3</v>
      </c>
      <c r="CH12" s="119"/>
      <c r="CI12" s="1" t="s">
        <v>53</v>
      </c>
      <c r="CJ12" s="33">
        <v>1</v>
      </c>
      <c r="CK12" s="33">
        <v>1</v>
      </c>
      <c r="CL12" s="33">
        <v>0</v>
      </c>
      <c r="CM12" s="33">
        <v>0</v>
      </c>
      <c r="CN12" s="2" t="s">
        <v>82</v>
      </c>
    </row>
    <row r="13" spans="1:96" ht="15.75" customHeight="1" x14ac:dyDescent="0.15">
      <c r="A13" s="51">
        <v>45860.55226413194</v>
      </c>
      <c r="B13" s="3" t="s">
        <v>29</v>
      </c>
      <c r="C13" s="18">
        <v>0</v>
      </c>
      <c r="D13" s="117"/>
      <c r="E13" s="6" t="s">
        <v>106</v>
      </c>
      <c r="F13" s="18">
        <v>2</v>
      </c>
      <c r="G13" s="117"/>
      <c r="H13" s="6" t="s">
        <v>91</v>
      </c>
      <c r="I13" s="18">
        <v>0</v>
      </c>
      <c r="J13" s="117"/>
      <c r="K13" s="43" t="s">
        <v>107</v>
      </c>
      <c r="L13" s="18">
        <v>2</v>
      </c>
      <c r="M13" s="120"/>
      <c r="N13" s="4" t="s">
        <v>33</v>
      </c>
      <c r="O13" s="18">
        <v>1</v>
      </c>
      <c r="P13" s="120"/>
      <c r="Q13" s="4" t="s">
        <v>34</v>
      </c>
      <c r="R13" s="18">
        <v>0</v>
      </c>
      <c r="S13" s="120"/>
      <c r="T13" s="4" t="s">
        <v>49</v>
      </c>
      <c r="U13" s="18">
        <v>0</v>
      </c>
      <c r="V13" s="120"/>
      <c r="W13" s="4" t="s">
        <v>49</v>
      </c>
      <c r="X13" s="18">
        <v>0</v>
      </c>
      <c r="Y13" s="120"/>
      <c r="Z13" s="4" t="s">
        <v>108</v>
      </c>
      <c r="AA13" s="18">
        <v>0</v>
      </c>
      <c r="AB13" s="120"/>
      <c r="AC13" s="4" t="s">
        <v>46</v>
      </c>
      <c r="AD13" s="18">
        <v>5</v>
      </c>
      <c r="AE13" s="120"/>
      <c r="AF13" s="4" t="s">
        <v>109</v>
      </c>
      <c r="AG13" s="18">
        <v>0</v>
      </c>
      <c r="AH13" s="120"/>
      <c r="AI13" s="13" t="s">
        <v>84</v>
      </c>
      <c r="AJ13" s="24">
        <v>0</v>
      </c>
      <c r="AK13" s="126"/>
      <c r="AL13" s="4" t="s">
        <v>85</v>
      </c>
      <c r="AM13" s="18">
        <v>0</v>
      </c>
      <c r="AN13" s="120"/>
      <c r="AO13" s="4" t="s">
        <v>110</v>
      </c>
      <c r="AP13" s="18">
        <v>3</v>
      </c>
      <c r="AQ13" s="120"/>
      <c r="AR13" s="4" t="s">
        <v>61</v>
      </c>
      <c r="AS13" s="18">
        <v>0</v>
      </c>
      <c r="AT13" s="120"/>
      <c r="AU13" s="9" t="s">
        <v>111</v>
      </c>
      <c r="AV13" s="18">
        <v>0</v>
      </c>
      <c r="AW13" s="120"/>
      <c r="AX13" s="4" t="s">
        <v>73</v>
      </c>
      <c r="AY13" s="18">
        <v>1</v>
      </c>
      <c r="AZ13" s="120"/>
      <c r="BA13" s="4" t="s">
        <v>69</v>
      </c>
      <c r="BB13" s="18">
        <v>0</v>
      </c>
      <c r="BC13" s="18">
        <v>0</v>
      </c>
      <c r="BD13" s="18">
        <v>0</v>
      </c>
      <c r="BE13" s="18">
        <v>1</v>
      </c>
      <c r="BF13" s="18">
        <v>1</v>
      </c>
      <c r="BG13" s="18">
        <v>0</v>
      </c>
      <c r="BH13" s="150" t="s">
        <v>112</v>
      </c>
      <c r="BI13" s="18">
        <v>0</v>
      </c>
      <c r="BJ13" s="130"/>
      <c r="BK13" s="4" t="s">
        <v>75</v>
      </c>
      <c r="BL13" s="18">
        <v>0</v>
      </c>
      <c r="BM13" s="120"/>
      <c r="BN13" s="4" t="s">
        <v>36</v>
      </c>
      <c r="BO13" s="18">
        <v>0</v>
      </c>
      <c r="BP13" s="120"/>
      <c r="BQ13" s="18" t="s">
        <v>87</v>
      </c>
      <c r="BR13" s="18">
        <v>0</v>
      </c>
      <c r="BS13" s="120"/>
      <c r="BT13" s="4" t="s">
        <v>46</v>
      </c>
      <c r="BU13" s="18">
        <v>2</v>
      </c>
      <c r="BV13" s="120"/>
      <c r="BW13" s="4" t="s">
        <v>51</v>
      </c>
      <c r="BX13" s="18">
        <v>1</v>
      </c>
      <c r="BY13" s="120"/>
      <c r="BZ13" s="4" t="s">
        <v>67</v>
      </c>
      <c r="CA13" s="18">
        <v>0</v>
      </c>
      <c r="CB13" s="120"/>
      <c r="CC13" s="4" t="s">
        <v>49</v>
      </c>
      <c r="CD13" s="18">
        <v>0</v>
      </c>
      <c r="CE13" s="120"/>
      <c r="CF13" s="18" t="s">
        <v>49</v>
      </c>
      <c r="CG13" s="18">
        <v>2</v>
      </c>
      <c r="CH13" s="120"/>
      <c r="CI13" s="4" t="s">
        <v>78</v>
      </c>
      <c r="CJ13" s="34">
        <v>0</v>
      </c>
      <c r="CK13" s="34">
        <v>0</v>
      </c>
      <c r="CL13" s="34">
        <v>0</v>
      </c>
      <c r="CM13" s="34">
        <v>1</v>
      </c>
      <c r="CN13" s="5" t="s">
        <v>113</v>
      </c>
    </row>
    <row r="14" spans="1:96" ht="15.75" customHeight="1" x14ac:dyDescent="0.15">
      <c r="A14" s="51">
        <v>45860.553006828704</v>
      </c>
      <c r="B14" s="3" t="s">
        <v>29</v>
      </c>
      <c r="C14" s="17">
        <v>3</v>
      </c>
      <c r="D14" s="116"/>
      <c r="E14" s="6" t="s">
        <v>90</v>
      </c>
      <c r="F14" s="17">
        <v>1</v>
      </c>
      <c r="G14" s="116"/>
      <c r="H14" s="6" t="s">
        <v>31</v>
      </c>
      <c r="I14" s="17">
        <v>1</v>
      </c>
      <c r="J14" s="116"/>
      <c r="K14" s="43" t="s">
        <v>32</v>
      </c>
      <c r="L14" s="17">
        <v>2</v>
      </c>
      <c r="M14" s="119"/>
      <c r="N14" s="1" t="s">
        <v>33</v>
      </c>
      <c r="O14" s="18">
        <v>1</v>
      </c>
      <c r="P14" s="117"/>
      <c r="Q14" s="1" t="s">
        <v>34</v>
      </c>
      <c r="R14" s="17">
        <v>1</v>
      </c>
      <c r="S14" s="119"/>
      <c r="T14" s="1" t="s">
        <v>57</v>
      </c>
      <c r="U14" s="17">
        <v>1</v>
      </c>
      <c r="V14" s="119"/>
      <c r="W14" s="1" t="s">
        <v>92</v>
      </c>
      <c r="X14" s="17">
        <v>1</v>
      </c>
      <c r="Y14" s="119"/>
      <c r="Z14" s="1" t="s">
        <v>58</v>
      </c>
      <c r="AA14" s="17">
        <v>2</v>
      </c>
      <c r="AB14" s="119"/>
      <c r="AC14" s="1" t="s">
        <v>59</v>
      </c>
      <c r="AD14" s="17">
        <v>4</v>
      </c>
      <c r="AE14" s="119"/>
      <c r="AF14" s="1" t="s">
        <v>93</v>
      </c>
      <c r="AG14" s="17">
        <v>3</v>
      </c>
      <c r="AH14" s="119"/>
      <c r="AI14" s="11" t="s">
        <v>94</v>
      </c>
      <c r="AJ14" s="25">
        <v>2</v>
      </c>
      <c r="AK14" s="127"/>
      <c r="AL14" s="1" t="s">
        <v>71</v>
      </c>
      <c r="AM14" s="17">
        <v>2</v>
      </c>
      <c r="AN14" s="119"/>
      <c r="AO14" s="1" t="s">
        <v>72</v>
      </c>
      <c r="AP14" s="17">
        <v>3</v>
      </c>
      <c r="AQ14" s="119"/>
      <c r="AR14" s="1" t="s">
        <v>99</v>
      </c>
      <c r="AS14" s="17">
        <v>2</v>
      </c>
      <c r="AT14" s="119"/>
      <c r="AU14" s="1" t="s">
        <v>44</v>
      </c>
      <c r="AV14" s="17">
        <v>1</v>
      </c>
      <c r="AW14" s="119"/>
      <c r="AX14" s="1" t="s">
        <v>45</v>
      </c>
      <c r="AY14" s="17">
        <v>1</v>
      </c>
      <c r="AZ14" s="119"/>
      <c r="BA14" s="1" t="s">
        <v>69</v>
      </c>
      <c r="BB14" s="17">
        <v>0</v>
      </c>
      <c r="BC14" s="17">
        <v>0</v>
      </c>
      <c r="BD14" s="17">
        <v>1</v>
      </c>
      <c r="BE14" s="17">
        <v>1</v>
      </c>
      <c r="BF14" s="17">
        <v>0</v>
      </c>
      <c r="BG14" s="17">
        <v>0</v>
      </c>
      <c r="BH14" s="149" t="s">
        <v>95</v>
      </c>
      <c r="BI14" s="17">
        <v>2</v>
      </c>
      <c r="BJ14" s="131"/>
      <c r="BK14" s="1" t="s">
        <v>48</v>
      </c>
      <c r="BL14" s="17">
        <v>1</v>
      </c>
      <c r="BM14" s="119"/>
      <c r="BN14" s="1" t="s">
        <v>59</v>
      </c>
      <c r="BO14" s="17">
        <v>1</v>
      </c>
      <c r="BP14" s="119"/>
      <c r="BQ14" s="17" t="s">
        <v>50</v>
      </c>
      <c r="BR14" s="17">
        <v>1</v>
      </c>
      <c r="BS14" s="119"/>
      <c r="BT14" s="1" t="s">
        <v>69</v>
      </c>
      <c r="BU14" s="17">
        <v>0</v>
      </c>
      <c r="BV14" s="119"/>
      <c r="BW14" s="1" t="s">
        <v>88</v>
      </c>
      <c r="BX14" s="17">
        <v>2</v>
      </c>
      <c r="BY14" s="119"/>
      <c r="BZ14" s="1" t="s">
        <v>97</v>
      </c>
      <c r="CA14" s="17">
        <v>2</v>
      </c>
      <c r="CB14" s="119"/>
      <c r="CC14" s="1" t="s">
        <v>76</v>
      </c>
      <c r="CD14" s="17">
        <v>1</v>
      </c>
      <c r="CE14" s="119"/>
      <c r="CF14" s="17" t="s">
        <v>77</v>
      </c>
      <c r="CG14" s="17">
        <v>1</v>
      </c>
      <c r="CH14" s="119"/>
      <c r="CI14" s="1" t="s">
        <v>77</v>
      </c>
      <c r="CJ14" s="33">
        <v>0</v>
      </c>
      <c r="CK14" s="33">
        <v>1</v>
      </c>
      <c r="CL14" s="33">
        <v>1</v>
      </c>
      <c r="CM14" s="33">
        <v>0</v>
      </c>
      <c r="CN14" s="2" t="s">
        <v>98</v>
      </c>
    </row>
    <row r="15" spans="1:96" ht="15.75" customHeight="1" x14ac:dyDescent="0.15">
      <c r="A15" s="51">
        <v>45860.556033668981</v>
      </c>
      <c r="B15" s="3" t="s">
        <v>29</v>
      </c>
      <c r="C15" s="18">
        <v>1</v>
      </c>
      <c r="D15" s="117"/>
      <c r="E15" s="6" t="s">
        <v>114</v>
      </c>
      <c r="F15" s="18">
        <v>2</v>
      </c>
      <c r="G15" s="117"/>
      <c r="H15" s="6" t="s">
        <v>91</v>
      </c>
      <c r="I15" s="18">
        <v>1</v>
      </c>
      <c r="J15" s="117"/>
      <c r="K15" s="43" t="s">
        <v>32</v>
      </c>
      <c r="L15" s="18">
        <v>2</v>
      </c>
      <c r="M15" s="120"/>
      <c r="N15" s="4" t="s">
        <v>33</v>
      </c>
      <c r="O15" s="18">
        <v>1</v>
      </c>
      <c r="P15" s="120"/>
      <c r="Q15" s="4" t="s">
        <v>34</v>
      </c>
      <c r="R15" s="18">
        <v>1</v>
      </c>
      <c r="S15" s="120"/>
      <c r="T15" s="4" t="s">
        <v>57</v>
      </c>
      <c r="U15" s="18">
        <v>2</v>
      </c>
      <c r="V15" s="120"/>
      <c r="W15" s="4" t="s">
        <v>36</v>
      </c>
      <c r="X15" s="18">
        <v>1</v>
      </c>
      <c r="Y15" s="120"/>
      <c r="Z15" s="4" t="s">
        <v>58</v>
      </c>
      <c r="AA15" s="18">
        <v>2</v>
      </c>
      <c r="AB15" s="120"/>
      <c r="AC15" s="4" t="s">
        <v>59</v>
      </c>
      <c r="AD15" s="18">
        <v>0</v>
      </c>
      <c r="AE15" s="120"/>
      <c r="AF15" s="4" t="s">
        <v>70</v>
      </c>
      <c r="AG15" s="18">
        <v>2</v>
      </c>
      <c r="AH15" s="120"/>
      <c r="AI15" s="13" t="s">
        <v>40</v>
      </c>
      <c r="AJ15" s="24">
        <v>3</v>
      </c>
      <c r="AK15" s="126"/>
      <c r="AL15" s="4" t="s">
        <v>41</v>
      </c>
      <c r="AM15" s="18">
        <v>3</v>
      </c>
      <c r="AN15" s="120"/>
      <c r="AO15" s="4" t="s">
        <v>42</v>
      </c>
      <c r="AP15" s="18">
        <v>3</v>
      </c>
      <c r="AQ15" s="120"/>
      <c r="AR15" s="4" t="s">
        <v>61</v>
      </c>
      <c r="AS15" s="18">
        <v>2</v>
      </c>
      <c r="AT15" s="120"/>
      <c r="AU15" s="4" t="s">
        <v>44</v>
      </c>
      <c r="AV15" s="18">
        <v>1</v>
      </c>
      <c r="AW15" s="120"/>
      <c r="AX15" s="4" t="s">
        <v>45</v>
      </c>
      <c r="AY15" s="18">
        <v>3</v>
      </c>
      <c r="AZ15" s="120"/>
      <c r="BA15" s="4" t="s">
        <v>46</v>
      </c>
      <c r="BB15" s="18">
        <v>1</v>
      </c>
      <c r="BC15" s="18">
        <v>0</v>
      </c>
      <c r="BD15" s="18">
        <v>1</v>
      </c>
      <c r="BE15" s="18">
        <v>0</v>
      </c>
      <c r="BF15" s="18">
        <v>0</v>
      </c>
      <c r="BG15" s="18">
        <v>0</v>
      </c>
      <c r="BH15" s="150" t="s">
        <v>47</v>
      </c>
      <c r="BI15" s="18">
        <v>2</v>
      </c>
      <c r="BJ15" s="130"/>
      <c r="BK15" s="4" t="s">
        <v>48</v>
      </c>
      <c r="BL15" s="18">
        <v>3</v>
      </c>
      <c r="BM15" s="120"/>
      <c r="BN15" s="4" t="s">
        <v>49</v>
      </c>
      <c r="BO15" s="18">
        <v>1</v>
      </c>
      <c r="BP15" s="120"/>
      <c r="BQ15" s="18" t="s">
        <v>50</v>
      </c>
      <c r="BR15" s="18">
        <v>3</v>
      </c>
      <c r="BS15" s="120"/>
      <c r="BT15" s="4" t="s">
        <v>38</v>
      </c>
      <c r="BU15" s="18">
        <v>0</v>
      </c>
      <c r="BV15" s="120"/>
      <c r="BW15" s="4" t="s">
        <v>88</v>
      </c>
      <c r="BX15" s="18">
        <v>3</v>
      </c>
      <c r="BY15" s="120"/>
      <c r="BZ15" s="4" t="s">
        <v>52</v>
      </c>
      <c r="CA15" s="18">
        <v>3</v>
      </c>
      <c r="CB15" s="120"/>
      <c r="CC15" s="4" t="s">
        <v>36</v>
      </c>
      <c r="CD15" s="18">
        <v>1</v>
      </c>
      <c r="CE15" s="120"/>
      <c r="CF15" s="18" t="s">
        <v>77</v>
      </c>
      <c r="CG15" s="18">
        <v>3</v>
      </c>
      <c r="CH15" s="120"/>
      <c r="CI15" s="4" t="s">
        <v>53</v>
      </c>
      <c r="CJ15" s="34">
        <v>1</v>
      </c>
      <c r="CK15" s="34">
        <v>0</v>
      </c>
      <c r="CL15" s="34">
        <v>1</v>
      </c>
      <c r="CM15" s="34">
        <v>0</v>
      </c>
      <c r="CN15" s="5" t="s">
        <v>54</v>
      </c>
    </row>
    <row r="16" spans="1:96" ht="15.75" customHeight="1" x14ac:dyDescent="0.15">
      <c r="A16" s="51">
        <v>45860.556879432872</v>
      </c>
      <c r="B16" s="3" t="s">
        <v>29</v>
      </c>
      <c r="C16" s="17">
        <v>2</v>
      </c>
      <c r="D16" s="116"/>
      <c r="E16" s="6" t="s">
        <v>55</v>
      </c>
      <c r="F16" s="17">
        <v>1</v>
      </c>
      <c r="G16" s="116"/>
      <c r="H16" s="6" t="s">
        <v>31</v>
      </c>
      <c r="I16" s="17">
        <v>1</v>
      </c>
      <c r="J16" s="116"/>
      <c r="K16" s="43" t="s">
        <v>32</v>
      </c>
      <c r="L16" s="17">
        <v>2</v>
      </c>
      <c r="M16" s="119"/>
      <c r="N16" s="1" t="s">
        <v>33</v>
      </c>
      <c r="O16" s="18">
        <v>1</v>
      </c>
      <c r="P16" s="117"/>
      <c r="Q16" s="1" t="s">
        <v>34</v>
      </c>
      <c r="R16" s="17">
        <v>1</v>
      </c>
      <c r="S16" s="119"/>
      <c r="T16" s="1" t="s">
        <v>57</v>
      </c>
      <c r="U16" s="17">
        <v>2</v>
      </c>
      <c r="V16" s="119"/>
      <c r="W16" s="1" t="s">
        <v>36</v>
      </c>
      <c r="X16" s="17">
        <v>1</v>
      </c>
      <c r="Y16" s="119"/>
      <c r="Z16" s="1" t="s">
        <v>58</v>
      </c>
      <c r="AA16" s="17">
        <v>2</v>
      </c>
      <c r="AB16" s="119"/>
      <c r="AC16" s="1" t="s">
        <v>59</v>
      </c>
      <c r="AD16" s="17">
        <v>5</v>
      </c>
      <c r="AE16" s="119"/>
      <c r="AF16" s="1" t="s">
        <v>115</v>
      </c>
      <c r="AG16" s="17">
        <v>2</v>
      </c>
      <c r="AH16" s="119"/>
      <c r="AI16" s="11" t="s">
        <v>40</v>
      </c>
      <c r="AJ16" s="25">
        <v>3</v>
      </c>
      <c r="AK16" s="127"/>
      <c r="AL16" s="1" t="s">
        <v>41</v>
      </c>
      <c r="AM16" s="17">
        <v>3</v>
      </c>
      <c r="AN16" s="119"/>
      <c r="AO16" s="1" t="s">
        <v>42</v>
      </c>
      <c r="AP16" s="17">
        <v>3</v>
      </c>
      <c r="AQ16" s="119"/>
      <c r="AR16" s="1" t="s">
        <v>61</v>
      </c>
      <c r="AS16" s="17">
        <v>2</v>
      </c>
      <c r="AT16" s="119"/>
      <c r="AU16" s="1" t="s">
        <v>44</v>
      </c>
      <c r="AV16" s="17">
        <v>2</v>
      </c>
      <c r="AW16" s="119"/>
      <c r="AX16" s="1" t="s">
        <v>80</v>
      </c>
      <c r="AY16" s="17">
        <v>3</v>
      </c>
      <c r="AZ16" s="119"/>
      <c r="BA16" s="1" t="s">
        <v>46</v>
      </c>
      <c r="BB16" s="17">
        <v>1</v>
      </c>
      <c r="BC16" s="17">
        <v>0</v>
      </c>
      <c r="BD16" s="17">
        <v>0</v>
      </c>
      <c r="BE16" s="17">
        <v>1</v>
      </c>
      <c r="BF16" s="17">
        <v>0</v>
      </c>
      <c r="BG16" s="17">
        <v>0</v>
      </c>
      <c r="BH16" s="149" t="s">
        <v>74</v>
      </c>
      <c r="BI16" s="17">
        <v>1</v>
      </c>
      <c r="BJ16" s="131"/>
      <c r="BK16" s="1" t="s">
        <v>96</v>
      </c>
      <c r="BL16" s="17">
        <v>2</v>
      </c>
      <c r="BM16" s="119"/>
      <c r="BN16" s="1" t="s">
        <v>64</v>
      </c>
      <c r="BO16" s="17">
        <v>1</v>
      </c>
      <c r="BP16" s="119"/>
      <c r="BQ16" s="17" t="s">
        <v>50</v>
      </c>
      <c r="BR16" s="17">
        <v>3</v>
      </c>
      <c r="BS16" s="119"/>
      <c r="BT16" s="1" t="s">
        <v>38</v>
      </c>
      <c r="BU16" s="17">
        <v>0</v>
      </c>
      <c r="BV16" s="119"/>
      <c r="BW16" s="1" t="s">
        <v>88</v>
      </c>
      <c r="BX16" s="17">
        <v>2</v>
      </c>
      <c r="BY16" s="119"/>
      <c r="BZ16" s="1" t="s">
        <v>97</v>
      </c>
      <c r="CA16" s="17">
        <v>2</v>
      </c>
      <c r="CB16" s="119"/>
      <c r="CC16" s="1" t="s">
        <v>76</v>
      </c>
      <c r="CD16" s="17">
        <v>2</v>
      </c>
      <c r="CE16" s="119"/>
      <c r="CF16" s="17" t="s">
        <v>36</v>
      </c>
      <c r="CG16" s="17">
        <v>3</v>
      </c>
      <c r="CH16" s="119"/>
      <c r="CI16" s="1" t="s">
        <v>53</v>
      </c>
      <c r="CJ16" s="33">
        <v>1</v>
      </c>
      <c r="CK16" s="33">
        <v>1</v>
      </c>
      <c r="CL16" s="33">
        <v>0</v>
      </c>
      <c r="CM16" s="33">
        <v>0</v>
      </c>
      <c r="CN16" s="2" t="s">
        <v>82</v>
      </c>
    </row>
    <row r="17" spans="1:92" ht="15.75" customHeight="1" x14ac:dyDescent="0.15">
      <c r="A17" s="51">
        <v>45860.558170231481</v>
      </c>
      <c r="B17" s="3" t="s">
        <v>29</v>
      </c>
      <c r="C17" s="18">
        <v>5</v>
      </c>
      <c r="D17" s="117"/>
      <c r="E17" s="6" t="s">
        <v>30</v>
      </c>
      <c r="F17" s="18">
        <v>1</v>
      </c>
      <c r="G17" s="117"/>
      <c r="H17" s="6" t="s">
        <v>31</v>
      </c>
      <c r="I17" s="18">
        <v>2</v>
      </c>
      <c r="J17" s="117"/>
      <c r="K17" s="43" t="s">
        <v>116</v>
      </c>
      <c r="L17" s="18">
        <v>2</v>
      </c>
      <c r="M17" s="120"/>
      <c r="N17" s="4" t="s">
        <v>33</v>
      </c>
      <c r="O17" s="18">
        <v>1</v>
      </c>
      <c r="P17" s="120"/>
      <c r="Q17" s="4" t="s">
        <v>34</v>
      </c>
      <c r="R17" s="18">
        <v>1</v>
      </c>
      <c r="S17" s="120"/>
      <c r="T17" s="4" t="s">
        <v>57</v>
      </c>
      <c r="U17" s="18">
        <v>2</v>
      </c>
      <c r="V17" s="120"/>
      <c r="W17" s="4" t="s">
        <v>36</v>
      </c>
      <c r="X17" s="18">
        <v>1</v>
      </c>
      <c r="Y17" s="120"/>
      <c r="Z17" s="4" t="s">
        <v>58</v>
      </c>
      <c r="AA17" s="18">
        <v>2</v>
      </c>
      <c r="AB17" s="120"/>
      <c r="AC17" s="4" t="s">
        <v>59</v>
      </c>
      <c r="AD17" s="18">
        <v>4</v>
      </c>
      <c r="AE17" s="120"/>
      <c r="AF17" s="4" t="s">
        <v>93</v>
      </c>
      <c r="AG17" s="17">
        <v>2</v>
      </c>
      <c r="AH17" s="117"/>
      <c r="AI17" s="13" t="s">
        <v>40</v>
      </c>
      <c r="AJ17" s="24">
        <v>2</v>
      </c>
      <c r="AK17" s="126"/>
      <c r="AL17" s="4" t="s">
        <v>71</v>
      </c>
      <c r="AM17" s="18">
        <v>3</v>
      </c>
      <c r="AN17" s="120"/>
      <c r="AO17" s="4" t="s">
        <v>42</v>
      </c>
      <c r="AP17" s="18">
        <v>3</v>
      </c>
      <c r="AQ17" s="120"/>
      <c r="AR17" s="4" t="s">
        <v>61</v>
      </c>
      <c r="AS17" s="18">
        <v>2</v>
      </c>
      <c r="AT17" s="120"/>
      <c r="AU17" s="4" t="s">
        <v>44</v>
      </c>
      <c r="AV17" s="18">
        <v>0</v>
      </c>
      <c r="AW17" s="120"/>
      <c r="AX17" s="4" t="s">
        <v>73</v>
      </c>
      <c r="AY17" s="18">
        <v>2</v>
      </c>
      <c r="AZ17" s="120"/>
      <c r="BA17" s="4" t="s">
        <v>59</v>
      </c>
      <c r="BB17" s="18">
        <v>1</v>
      </c>
      <c r="BC17" s="18">
        <v>1</v>
      </c>
      <c r="BD17" s="18">
        <v>0</v>
      </c>
      <c r="BE17" s="18">
        <v>0</v>
      </c>
      <c r="BF17" s="18">
        <v>0</v>
      </c>
      <c r="BG17" s="18">
        <v>0</v>
      </c>
      <c r="BH17" s="150" t="s">
        <v>81</v>
      </c>
      <c r="BI17" s="18">
        <v>0</v>
      </c>
      <c r="BJ17" s="130"/>
      <c r="BK17" s="4" t="s">
        <v>75</v>
      </c>
      <c r="BL17" s="18">
        <v>2</v>
      </c>
      <c r="BM17" s="120"/>
      <c r="BN17" s="4" t="s">
        <v>64</v>
      </c>
      <c r="BO17" s="18">
        <v>2</v>
      </c>
      <c r="BP17" s="120"/>
      <c r="BQ17" s="18" t="s">
        <v>117</v>
      </c>
      <c r="BR17" s="18">
        <v>2</v>
      </c>
      <c r="BS17" s="120"/>
      <c r="BT17" s="4" t="s">
        <v>65</v>
      </c>
      <c r="BU17" s="18">
        <v>2</v>
      </c>
      <c r="BV17" s="120"/>
      <c r="BW17" s="4" t="s">
        <v>51</v>
      </c>
      <c r="BX17" s="18">
        <v>2</v>
      </c>
      <c r="BY17" s="120"/>
      <c r="BZ17" s="4" t="s">
        <v>97</v>
      </c>
      <c r="CA17" s="18">
        <v>3</v>
      </c>
      <c r="CB17" s="120"/>
      <c r="CC17" s="4" t="s">
        <v>36</v>
      </c>
      <c r="CD17" s="18">
        <v>1</v>
      </c>
      <c r="CE17" s="120"/>
      <c r="CF17" s="18" t="s">
        <v>77</v>
      </c>
      <c r="CG17" s="18">
        <v>2</v>
      </c>
      <c r="CH17" s="120"/>
      <c r="CI17" s="4" t="s">
        <v>78</v>
      </c>
      <c r="CJ17" s="34">
        <v>0</v>
      </c>
      <c r="CK17" s="34">
        <v>1</v>
      </c>
      <c r="CL17" s="34">
        <v>1</v>
      </c>
      <c r="CM17" s="34">
        <v>0</v>
      </c>
      <c r="CN17" s="5" t="s">
        <v>98</v>
      </c>
    </row>
    <row r="18" spans="1:92" ht="15.75" customHeight="1" x14ac:dyDescent="0.15">
      <c r="A18" s="51">
        <v>45860.559983969906</v>
      </c>
      <c r="B18" s="3" t="s">
        <v>29</v>
      </c>
      <c r="C18" s="17">
        <v>3</v>
      </c>
      <c r="D18" s="116"/>
      <c r="E18" s="6" t="s">
        <v>90</v>
      </c>
      <c r="F18" s="17">
        <v>1</v>
      </c>
      <c r="G18" s="116"/>
      <c r="H18" s="6" t="s">
        <v>31</v>
      </c>
      <c r="I18" s="17">
        <v>1</v>
      </c>
      <c r="J18" s="116"/>
      <c r="K18" s="43" t="s">
        <v>32</v>
      </c>
      <c r="L18" s="17">
        <v>2</v>
      </c>
      <c r="M18" s="119"/>
      <c r="N18" s="1" t="s">
        <v>33</v>
      </c>
      <c r="O18" s="18">
        <v>1</v>
      </c>
      <c r="P18" s="117"/>
      <c r="Q18" s="1" t="s">
        <v>34</v>
      </c>
      <c r="R18" s="17">
        <v>2</v>
      </c>
      <c r="S18" s="119"/>
      <c r="T18" s="1" t="s">
        <v>35</v>
      </c>
      <c r="U18" s="17">
        <v>1</v>
      </c>
      <c r="V18" s="119"/>
      <c r="W18" s="1" t="s">
        <v>92</v>
      </c>
      <c r="X18" s="17">
        <v>1</v>
      </c>
      <c r="Y18" s="119"/>
      <c r="Z18" s="1" t="s">
        <v>58</v>
      </c>
      <c r="AA18" s="17">
        <v>2</v>
      </c>
      <c r="AB18" s="119"/>
      <c r="AC18" s="1" t="s">
        <v>59</v>
      </c>
      <c r="AD18" s="17">
        <v>2</v>
      </c>
      <c r="AE18" s="119"/>
      <c r="AF18" s="1" t="s">
        <v>83</v>
      </c>
      <c r="AG18" s="17">
        <v>3</v>
      </c>
      <c r="AH18" s="119"/>
      <c r="AI18" s="11" t="s">
        <v>94</v>
      </c>
      <c r="AJ18" s="25">
        <v>0</v>
      </c>
      <c r="AK18" s="127"/>
      <c r="AL18" s="1" t="s">
        <v>85</v>
      </c>
      <c r="AM18" s="17">
        <v>3</v>
      </c>
      <c r="AN18" s="119"/>
      <c r="AO18" s="1" t="s">
        <v>42</v>
      </c>
      <c r="AP18" s="17">
        <v>4</v>
      </c>
      <c r="AQ18" s="119"/>
      <c r="AR18" s="1" t="s">
        <v>43</v>
      </c>
      <c r="AS18" s="17">
        <v>0</v>
      </c>
      <c r="AT18" s="119"/>
      <c r="AU18" s="1" t="s">
        <v>102</v>
      </c>
      <c r="AV18" s="17">
        <v>0</v>
      </c>
      <c r="AW18" s="119"/>
      <c r="AX18" s="1" t="s">
        <v>73</v>
      </c>
      <c r="AY18" s="17">
        <v>3</v>
      </c>
      <c r="AZ18" s="119"/>
      <c r="BA18" s="1" t="s">
        <v>46</v>
      </c>
      <c r="BB18" s="17">
        <v>0</v>
      </c>
      <c r="BC18" s="17">
        <v>1</v>
      </c>
      <c r="BD18" s="17">
        <v>1</v>
      </c>
      <c r="BE18" s="17">
        <v>0</v>
      </c>
      <c r="BF18" s="17">
        <v>0</v>
      </c>
      <c r="BG18" s="17">
        <v>0</v>
      </c>
      <c r="BH18" s="149" t="s">
        <v>105</v>
      </c>
      <c r="BI18" s="17">
        <v>0</v>
      </c>
      <c r="BJ18" s="131"/>
      <c r="BK18" s="1" t="s">
        <v>75</v>
      </c>
      <c r="BL18" s="17">
        <v>2</v>
      </c>
      <c r="BM18" s="119"/>
      <c r="BN18" s="1" t="s">
        <v>64</v>
      </c>
      <c r="BO18" s="17">
        <v>1</v>
      </c>
      <c r="BP18" s="119"/>
      <c r="BQ18" s="17" t="s">
        <v>50</v>
      </c>
      <c r="BR18" s="17">
        <v>2</v>
      </c>
      <c r="BS18" s="119"/>
      <c r="BT18" s="1" t="s">
        <v>65</v>
      </c>
      <c r="BU18" s="17">
        <v>0</v>
      </c>
      <c r="BV18" s="119"/>
      <c r="BW18" s="1" t="s">
        <v>88</v>
      </c>
      <c r="BX18" s="17">
        <v>2</v>
      </c>
      <c r="BY18" s="119"/>
      <c r="BZ18" s="1" t="s">
        <v>97</v>
      </c>
      <c r="CA18" s="17">
        <v>3</v>
      </c>
      <c r="CB18" s="119"/>
      <c r="CC18" s="1" t="s">
        <v>36</v>
      </c>
      <c r="CD18" s="17">
        <v>0</v>
      </c>
      <c r="CE18" s="119"/>
      <c r="CF18" s="17" t="s">
        <v>49</v>
      </c>
      <c r="CG18" s="17">
        <v>3</v>
      </c>
      <c r="CH18" s="119"/>
      <c r="CI18" s="1" t="s">
        <v>53</v>
      </c>
      <c r="CJ18" s="33">
        <v>1</v>
      </c>
      <c r="CK18" s="33">
        <v>0</v>
      </c>
      <c r="CL18" s="33">
        <v>1</v>
      </c>
      <c r="CM18" s="33">
        <v>0</v>
      </c>
      <c r="CN18" s="2" t="s">
        <v>54</v>
      </c>
    </row>
    <row r="19" spans="1:92" ht="15.75" customHeight="1" x14ac:dyDescent="0.15">
      <c r="A19" s="51">
        <v>45860.562738425928</v>
      </c>
      <c r="B19" s="3" t="s">
        <v>29</v>
      </c>
      <c r="C19" s="32">
        <v>3</v>
      </c>
      <c r="D19" s="117"/>
      <c r="E19" s="6" t="s">
        <v>90</v>
      </c>
      <c r="F19" s="18">
        <v>1</v>
      </c>
      <c r="G19" s="117"/>
      <c r="H19" s="6" t="s">
        <v>31</v>
      </c>
      <c r="I19" s="18">
        <v>4</v>
      </c>
      <c r="J19" s="117"/>
      <c r="K19" s="43" t="s">
        <v>118</v>
      </c>
      <c r="L19" s="18">
        <v>2</v>
      </c>
      <c r="M19" s="120"/>
      <c r="N19" s="4" t="s">
        <v>33</v>
      </c>
      <c r="O19" s="18">
        <v>1</v>
      </c>
      <c r="P19" s="120"/>
      <c r="Q19" s="4" t="s">
        <v>34</v>
      </c>
      <c r="R19" s="18">
        <v>1</v>
      </c>
      <c r="S19" s="120"/>
      <c r="T19" s="4" t="s">
        <v>57</v>
      </c>
      <c r="U19" s="18">
        <v>0</v>
      </c>
      <c r="V19" s="120"/>
      <c r="W19" s="4" t="s">
        <v>77</v>
      </c>
      <c r="X19" s="18">
        <v>0</v>
      </c>
      <c r="Y19" s="120"/>
      <c r="Z19" s="4" t="s">
        <v>108</v>
      </c>
      <c r="AA19" s="18">
        <v>0</v>
      </c>
      <c r="AB19" s="120"/>
      <c r="AC19" s="4" t="s">
        <v>46</v>
      </c>
      <c r="AD19" s="18">
        <v>4</v>
      </c>
      <c r="AE19" s="120"/>
      <c r="AF19" s="4" t="s">
        <v>93</v>
      </c>
      <c r="AG19" s="18">
        <v>3</v>
      </c>
      <c r="AH19" s="120"/>
      <c r="AI19" s="13" t="s">
        <v>94</v>
      </c>
      <c r="AJ19" s="24">
        <v>0</v>
      </c>
      <c r="AK19" s="126"/>
      <c r="AL19" s="4" t="s">
        <v>85</v>
      </c>
      <c r="AM19" s="18">
        <v>0</v>
      </c>
      <c r="AN19" s="120"/>
      <c r="AO19" s="4" t="s">
        <v>110</v>
      </c>
      <c r="AP19" s="18">
        <v>3</v>
      </c>
      <c r="AQ19" s="120"/>
      <c r="AR19" s="4" t="s">
        <v>61</v>
      </c>
      <c r="AS19" s="18">
        <v>0</v>
      </c>
      <c r="AT19" s="120"/>
      <c r="AU19" s="4" t="s">
        <v>102</v>
      </c>
      <c r="AV19" s="18">
        <v>0</v>
      </c>
      <c r="AW19" s="120"/>
      <c r="AX19" s="4" t="s">
        <v>62</v>
      </c>
      <c r="AY19" s="18">
        <v>3</v>
      </c>
      <c r="AZ19" s="120"/>
      <c r="BA19" s="4" t="s">
        <v>46</v>
      </c>
      <c r="BB19" s="18">
        <v>0</v>
      </c>
      <c r="BC19" s="18">
        <v>0</v>
      </c>
      <c r="BD19" s="18">
        <v>1</v>
      </c>
      <c r="BE19" s="18">
        <v>1</v>
      </c>
      <c r="BF19" s="18">
        <v>0</v>
      </c>
      <c r="BG19" s="18">
        <v>0</v>
      </c>
      <c r="BH19" s="150" t="s">
        <v>95</v>
      </c>
      <c r="BI19" s="18">
        <v>0</v>
      </c>
      <c r="BJ19" s="130"/>
      <c r="BK19" s="4" t="s">
        <v>75</v>
      </c>
      <c r="BL19" s="18">
        <v>0</v>
      </c>
      <c r="BM19" s="120"/>
      <c r="BN19" s="4" t="s">
        <v>36</v>
      </c>
      <c r="BO19" s="18">
        <v>0</v>
      </c>
      <c r="BP19" s="120"/>
      <c r="BQ19" s="18" t="s">
        <v>87</v>
      </c>
      <c r="BR19" s="18">
        <v>1</v>
      </c>
      <c r="BS19" s="120"/>
      <c r="BT19" s="4" t="s">
        <v>69</v>
      </c>
      <c r="BU19" s="18">
        <v>2</v>
      </c>
      <c r="BV19" s="120"/>
      <c r="BW19" s="4" t="s">
        <v>51</v>
      </c>
      <c r="BX19" s="18">
        <v>0</v>
      </c>
      <c r="BY19" s="120"/>
      <c r="BZ19" s="4" t="s">
        <v>119</v>
      </c>
      <c r="CA19" s="18">
        <v>0</v>
      </c>
      <c r="CB19" s="120"/>
      <c r="CC19" s="4" t="s">
        <v>49</v>
      </c>
      <c r="CD19" s="18">
        <v>1</v>
      </c>
      <c r="CE19" s="120"/>
      <c r="CF19" s="18" t="s">
        <v>77</v>
      </c>
      <c r="CG19" s="18">
        <v>0</v>
      </c>
      <c r="CH19" s="120"/>
      <c r="CI19" s="4" t="s">
        <v>89</v>
      </c>
      <c r="CJ19" s="34">
        <v>0</v>
      </c>
      <c r="CK19" s="34">
        <v>0</v>
      </c>
      <c r="CL19" s="34">
        <v>1</v>
      </c>
      <c r="CM19" s="34">
        <v>0</v>
      </c>
      <c r="CN19" s="5" t="s">
        <v>120</v>
      </c>
    </row>
    <row r="20" spans="1:92" ht="15.75" customHeight="1" x14ac:dyDescent="0.15">
      <c r="A20" s="51">
        <v>45860.563593831015</v>
      </c>
      <c r="B20" s="3" t="s">
        <v>29</v>
      </c>
      <c r="C20" s="32">
        <v>3</v>
      </c>
      <c r="D20" s="117"/>
      <c r="E20" s="6" t="s">
        <v>90</v>
      </c>
      <c r="F20" s="17">
        <v>1</v>
      </c>
      <c r="G20" s="116"/>
      <c r="H20" s="6" t="s">
        <v>31</v>
      </c>
      <c r="I20" s="17">
        <v>1</v>
      </c>
      <c r="J20" s="116"/>
      <c r="K20" s="43" t="s">
        <v>32</v>
      </c>
      <c r="L20" s="17">
        <v>2</v>
      </c>
      <c r="M20" s="119"/>
      <c r="N20" s="1" t="s">
        <v>33</v>
      </c>
      <c r="O20" s="18">
        <v>1</v>
      </c>
      <c r="P20" s="117"/>
      <c r="Q20" s="1" t="s">
        <v>34</v>
      </c>
      <c r="R20" s="17">
        <v>1</v>
      </c>
      <c r="S20" s="119"/>
      <c r="T20" s="1" t="s">
        <v>57</v>
      </c>
      <c r="U20" s="17">
        <v>2</v>
      </c>
      <c r="V20" s="119"/>
      <c r="W20" s="1" t="s">
        <v>36</v>
      </c>
      <c r="X20" s="17">
        <v>1</v>
      </c>
      <c r="Y20" s="119"/>
      <c r="Z20" s="1" t="s">
        <v>58</v>
      </c>
      <c r="AA20" s="17">
        <v>1</v>
      </c>
      <c r="AB20" s="119"/>
      <c r="AC20" s="1" t="s">
        <v>69</v>
      </c>
      <c r="AD20" s="17">
        <v>2</v>
      </c>
      <c r="AE20" s="119"/>
      <c r="AF20" s="1" t="s">
        <v>83</v>
      </c>
      <c r="AG20" s="17">
        <v>3</v>
      </c>
      <c r="AH20" s="119"/>
      <c r="AI20" s="11" t="s">
        <v>94</v>
      </c>
      <c r="AJ20" s="25">
        <v>2</v>
      </c>
      <c r="AK20" s="127"/>
      <c r="AL20" s="1" t="s">
        <v>71</v>
      </c>
      <c r="AM20" s="17">
        <v>3</v>
      </c>
      <c r="AN20" s="119"/>
      <c r="AO20" s="1" t="s">
        <v>42</v>
      </c>
      <c r="AP20" s="17">
        <v>0</v>
      </c>
      <c r="AQ20" s="119"/>
      <c r="AR20" s="1" t="s">
        <v>121</v>
      </c>
      <c r="AS20" s="17">
        <v>2</v>
      </c>
      <c r="AT20" s="119"/>
      <c r="AU20" s="1" t="s">
        <v>44</v>
      </c>
      <c r="AV20" s="17">
        <v>2</v>
      </c>
      <c r="AW20" s="119"/>
      <c r="AX20" s="1" t="s">
        <v>80</v>
      </c>
      <c r="AY20" s="17">
        <v>2</v>
      </c>
      <c r="AZ20" s="119"/>
      <c r="BA20" s="1" t="s">
        <v>59</v>
      </c>
      <c r="BB20" s="17">
        <v>1</v>
      </c>
      <c r="BC20" s="17">
        <v>0</v>
      </c>
      <c r="BD20" s="17">
        <v>1</v>
      </c>
      <c r="BE20" s="17">
        <v>0</v>
      </c>
      <c r="BF20" s="17">
        <v>0</v>
      </c>
      <c r="BG20" s="17">
        <v>0</v>
      </c>
      <c r="BH20" s="149" t="s">
        <v>47</v>
      </c>
      <c r="BI20" s="17">
        <v>2</v>
      </c>
      <c r="BJ20" s="131"/>
      <c r="BK20" s="1" t="s">
        <v>48</v>
      </c>
      <c r="BL20" s="17">
        <v>3</v>
      </c>
      <c r="BM20" s="119"/>
      <c r="BN20" s="1" t="s">
        <v>49</v>
      </c>
      <c r="BO20" s="17">
        <v>1</v>
      </c>
      <c r="BP20" s="119"/>
      <c r="BQ20" s="17" t="s">
        <v>50</v>
      </c>
      <c r="BR20" s="17">
        <v>2</v>
      </c>
      <c r="BS20" s="119"/>
      <c r="BT20" s="1" t="s">
        <v>65</v>
      </c>
      <c r="BU20" s="17">
        <v>1</v>
      </c>
      <c r="BV20" s="119"/>
      <c r="BW20" s="1" t="s">
        <v>66</v>
      </c>
      <c r="BX20" s="17">
        <v>3</v>
      </c>
      <c r="BY20" s="119"/>
      <c r="BZ20" s="1" t="s">
        <v>52</v>
      </c>
      <c r="CA20" s="17">
        <v>3</v>
      </c>
      <c r="CB20" s="119"/>
      <c r="CC20" s="1" t="s">
        <v>36</v>
      </c>
      <c r="CD20" s="17">
        <v>1</v>
      </c>
      <c r="CE20" s="119"/>
      <c r="CF20" s="17" t="s">
        <v>77</v>
      </c>
      <c r="CG20" s="17">
        <v>3</v>
      </c>
      <c r="CH20" s="119"/>
      <c r="CI20" s="1" t="s">
        <v>53</v>
      </c>
      <c r="CJ20" s="33">
        <v>1</v>
      </c>
      <c r="CK20" s="33">
        <v>1</v>
      </c>
      <c r="CL20" s="33">
        <v>0</v>
      </c>
      <c r="CM20" s="33">
        <v>0</v>
      </c>
      <c r="CN20" s="2" t="s">
        <v>82</v>
      </c>
    </row>
    <row r="21" spans="1:92" ht="15.75" customHeight="1" x14ac:dyDescent="0.15">
      <c r="A21" s="51">
        <v>45860.564785439812</v>
      </c>
      <c r="B21" s="3" t="s">
        <v>29</v>
      </c>
      <c r="C21" s="18">
        <v>1</v>
      </c>
      <c r="D21" s="117"/>
      <c r="E21" s="6" t="s">
        <v>114</v>
      </c>
      <c r="F21" s="18">
        <v>1</v>
      </c>
      <c r="G21" s="117"/>
      <c r="H21" s="6" t="s">
        <v>31</v>
      </c>
      <c r="I21" s="18">
        <v>1</v>
      </c>
      <c r="J21" s="117"/>
      <c r="K21" s="43" t="s">
        <v>32</v>
      </c>
      <c r="L21" s="18">
        <v>2</v>
      </c>
      <c r="M21" s="120"/>
      <c r="N21" s="4" t="s">
        <v>33</v>
      </c>
      <c r="O21" s="18">
        <v>1</v>
      </c>
      <c r="P21" s="120"/>
      <c r="Q21" s="4" t="s">
        <v>34</v>
      </c>
      <c r="R21" s="18">
        <v>1</v>
      </c>
      <c r="S21" s="120"/>
      <c r="T21" s="4" t="s">
        <v>57</v>
      </c>
      <c r="U21" s="18">
        <v>0</v>
      </c>
      <c r="V21" s="120"/>
      <c r="W21" s="4" t="s">
        <v>49</v>
      </c>
      <c r="X21" s="18">
        <v>1</v>
      </c>
      <c r="Y21" s="120"/>
      <c r="Z21" s="4" t="s">
        <v>58</v>
      </c>
      <c r="AA21" s="18">
        <v>2</v>
      </c>
      <c r="AB21" s="120"/>
      <c r="AC21" s="4" t="s">
        <v>59</v>
      </c>
      <c r="AD21" s="18">
        <v>2</v>
      </c>
      <c r="AE21" s="120"/>
      <c r="AF21" s="4" t="s">
        <v>83</v>
      </c>
      <c r="AG21" s="18">
        <v>3</v>
      </c>
      <c r="AH21" s="120"/>
      <c r="AI21" s="13" t="s">
        <v>94</v>
      </c>
      <c r="AJ21" s="24">
        <v>2</v>
      </c>
      <c r="AK21" s="126"/>
      <c r="AL21" s="4" t="s">
        <v>71</v>
      </c>
      <c r="AM21" s="18">
        <v>2</v>
      </c>
      <c r="AN21" s="120"/>
      <c r="AO21" s="4" t="s">
        <v>72</v>
      </c>
      <c r="AP21" s="18">
        <v>3</v>
      </c>
      <c r="AQ21" s="120"/>
      <c r="AR21" s="4" t="s">
        <v>61</v>
      </c>
      <c r="AS21" s="18">
        <v>2</v>
      </c>
      <c r="AT21" s="120"/>
      <c r="AU21" s="4" t="s">
        <v>44</v>
      </c>
      <c r="AV21" s="18">
        <v>2</v>
      </c>
      <c r="AW21" s="120"/>
      <c r="AX21" s="4" t="s">
        <v>80</v>
      </c>
      <c r="AY21" s="18">
        <v>1</v>
      </c>
      <c r="AZ21" s="120"/>
      <c r="BA21" s="4" t="s">
        <v>69</v>
      </c>
      <c r="BB21" s="18">
        <v>1</v>
      </c>
      <c r="BC21" s="18">
        <v>0</v>
      </c>
      <c r="BD21" s="18">
        <v>1</v>
      </c>
      <c r="BE21" s="18">
        <v>0</v>
      </c>
      <c r="BF21" s="18">
        <v>0</v>
      </c>
      <c r="BG21" s="18">
        <v>0</v>
      </c>
      <c r="BH21" s="150" t="s">
        <v>47</v>
      </c>
      <c r="BI21" s="18">
        <v>0</v>
      </c>
      <c r="BJ21" s="130"/>
      <c r="BK21" s="4" t="s">
        <v>75</v>
      </c>
      <c r="BL21" s="18">
        <v>2</v>
      </c>
      <c r="BM21" s="120"/>
      <c r="BN21" s="4" t="s">
        <v>64</v>
      </c>
      <c r="BO21" s="18">
        <v>1</v>
      </c>
      <c r="BP21" s="120"/>
      <c r="BQ21" s="18" t="s">
        <v>50</v>
      </c>
      <c r="BR21" s="18">
        <v>1</v>
      </c>
      <c r="BS21" s="120"/>
      <c r="BT21" s="4" t="s">
        <v>69</v>
      </c>
      <c r="BU21" s="18">
        <v>2</v>
      </c>
      <c r="BV21" s="120"/>
      <c r="BW21" s="4" t="s">
        <v>51</v>
      </c>
      <c r="BX21" s="18">
        <v>3</v>
      </c>
      <c r="BY21" s="120"/>
      <c r="BZ21" s="4" t="s">
        <v>52</v>
      </c>
      <c r="CA21" s="18">
        <v>2</v>
      </c>
      <c r="CB21" s="120"/>
      <c r="CC21" s="4" t="s">
        <v>76</v>
      </c>
      <c r="CD21" s="18">
        <v>0</v>
      </c>
      <c r="CE21" s="120"/>
      <c r="CF21" s="18" t="s">
        <v>49</v>
      </c>
      <c r="CG21" s="18">
        <v>2</v>
      </c>
      <c r="CH21" s="120"/>
      <c r="CI21" s="4" t="s">
        <v>78</v>
      </c>
      <c r="CJ21" s="34">
        <v>1</v>
      </c>
      <c r="CK21" s="34">
        <v>1</v>
      </c>
      <c r="CL21" s="34">
        <v>0</v>
      </c>
      <c r="CM21" s="34">
        <v>0</v>
      </c>
      <c r="CN21" s="5" t="s">
        <v>82</v>
      </c>
    </row>
    <row r="22" spans="1:92" ht="28" customHeight="1" x14ac:dyDescent="0.15">
      <c r="A22" s="51">
        <v>45860.566008136579</v>
      </c>
      <c r="B22" s="3" t="s">
        <v>29</v>
      </c>
      <c r="C22" s="17">
        <v>1</v>
      </c>
      <c r="D22" s="116"/>
      <c r="E22" s="6" t="s">
        <v>114</v>
      </c>
      <c r="F22" s="17">
        <v>1</v>
      </c>
      <c r="G22" s="116"/>
      <c r="H22" s="6" t="s">
        <v>31</v>
      </c>
      <c r="I22" s="17">
        <v>1</v>
      </c>
      <c r="J22" s="116"/>
      <c r="K22" s="43" t="s">
        <v>32</v>
      </c>
      <c r="L22" s="17">
        <v>2</v>
      </c>
      <c r="M22" s="119"/>
      <c r="N22" s="1" t="s">
        <v>33</v>
      </c>
      <c r="O22" s="18">
        <v>1</v>
      </c>
      <c r="P22" s="117"/>
      <c r="Q22" s="1" t="s">
        <v>34</v>
      </c>
      <c r="R22" s="17">
        <v>2</v>
      </c>
      <c r="S22" s="119"/>
      <c r="T22" s="1" t="s">
        <v>35</v>
      </c>
      <c r="U22" s="17">
        <v>1</v>
      </c>
      <c r="V22" s="119"/>
      <c r="W22" s="1" t="s">
        <v>92</v>
      </c>
      <c r="X22" s="17">
        <v>1</v>
      </c>
      <c r="Y22" s="119"/>
      <c r="Z22" s="1" t="s">
        <v>58</v>
      </c>
      <c r="AA22" s="17">
        <v>2</v>
      </c>
      <c r="AB22" s="119"/>
      <c r="AC22" s="1" t="s">
        <v>59</v>
      </c>
      <c r="AD22" s="17">
        <v>5</v>
      </c>
      <c r="AE22" s="119"/>
      <c r="AF22" s="1" t="s">
        <v>115</v>
      </c>
      <c r="AG22" s="17">
        <v>0</v>
      </c>
      <c r="AH22" s="119"/>
      <c r="AI22" s="11" t="s">
        <v>84</v>
      </c>
      <c r="AJ22" s="25">
        <v>0</v>
      </c>
      <c r="AK22" s="127"/>
      <c r="AL22" s="1" t="s">
        <v>85</v>
      </c>
      <c r="AM22" s="17">
        <v>2</v>
      </c>
      <c r="AN22" s="119"/>
      <c r="AO22" s="1" t="s">
        <v>72</v>
      </c>
      <c r="AP22" s="17">
        <v>4</v>
      </c>
      <c r="AQ22" s="119"/>
      <c r="AR22" s="1" t="s">
        <v>43</v>
      </c>
      <c r="AS22" s="17">
        <v>0</v>
      </c>
      <c r="AT22" s="119"/>
      <c r="AU22" s="14" t="s">
        <v>122</v>
      </c>
      <c r="AV22" s="17">
        <v>2</v>
      </c>
      <c r="AW22" s="119"/>
      <c r="AX22" s="1" t="s">
        <v>80</v>
      </c>
      <c r="AY22" s="17">
        <v>2</v>
      </c>
      <c r="AZ22" s="119"/>
      <c r="BA22" s="1" t="s">
        <v>59</v>
      </c>
      <c r="BB22" s="17">
        <v>0</v>
      </c>
      <c r="BC22" s="17">
        <v>0</v>
      </c>
      <c r="BD22" s="17">
        <v>1</v>
      </c>
      <c r="BE22" s="17">
        <v>1</v>
      </c>
      <c r="BF22" s="17">
        <v>0</v>
      </c>
      <c r="BG22" s="17">
        <v>0</v>
      </c>
      <c r="BH22" s="149" t="s">
        <v>95</v>
      </c>
      <c r="BI22" s="17">
        <v>0</v>
      </c>
      <c r="BJ22" s="131"/>
      <c r="BK22" s="1" t="s">
        <v>75</v>
      </c>
      <c r="BL22" s="17">
        <v>2</v>
      </c>
      <c r="BM22" s="119"/>
      <c r="BN22" s="1" t="s">
        <v>64</v>
      </c>
      <c r="BO22" s="17">
        <v>2</v>
      </c>
      <c r="BP22" s="119"/>
      <c r="BQ22" s="17" t="s">
        <v>87</v>
      </c>
      <c r="BR22" s="17">
        <v>0</v>
      </c>
      <c r="BS22" s="119"/>
      <c r="BT22" s="1" t="s">
        <v>46</v>
      </c>
      <c r="BU22" s="17">
        <v>2</v>
      </c>
      <c r="BV22" s="119"/>
      <c r="BW22" s="1" t="s">
        <v>51</v>
      </c>
      <c r="BX22" s="17">
        <v>0</v>
      </c>
      <c r="BY22" s="119"/>
      <c r="BZ22" s="1" t="s">
        <v>119</v>
      </c>
      <c r="CA22" s="17">
        <v>0</v>
      </c>
      <c r="CB22" s="119"/>
      <c r="CC22" s="1" t="s">
        <v>49</v>
      </c>
      <c r="CD22" s="17">
        <v>0</v>
      </c>
      <c r="CE22" s="119"/>
      <c r="CF22" s="17" t="s">
        <v>49</v>
      </c>
      <c r="CG22" s="17">
        <v>3</v>
      </c>
      <c r="CH22" s="119"/>
      <c r="CI22" s="1" t="s">
        <v>53</v>
      </c>
      <c r="CJ22" s="33">
        <v>0</v>
      </c>
      <c r="CK22" s="33">
        <v>0</v>
      </c>
      <c r="CL22" s="33">
        <v>0</v>
      </c>
      <c r="CM22" s="33">
        <v>1</v>
      </c>
      <c r="CN22" s="2" t="s">
        <v>101</v>
      </c>
    </row>
    <row r="23" spans="1:92" ht="15.75" customHeight="1" x14ac:dyDescent="0.15">
      <c r="A23" s="51">
        <v>45860.567031238425</v>
      </c>
      <c r="B23" s="3" t="s">
        <v>29</v>
      </c>
      <c r="C23" s="18">
        <v>2</v>
      </c>
      <c r="D23" s="117"/>
      <c r="E23" s="6" t="s">
        <v>55</v>
      </c>
      <c r="F23" s="18">
        <v>1</v>
      </c>
      <c r="G23" s="117"/>
      <c r="H23" s="6" t="s">
        <v>31</v>
      </c>
      <c r="I23" s="18">
        <v>1</v>
      </c>
      <c r="J23" s="117"/>
      <c r="K23" s="43" t="s">
        <v>32</v>
      </c>
      <c r="L23" s="18">
        <v>2</v>
      </c>
      <c r="M23" s="120"/>
      <c r="N23" s="4" t="s">
        <v>33</v>
      </c>
      <c r="O23" s="18">
        <v>1</v>
      </c>
      <c r="P23" s="120"/>
      <c r="Q23" s="4" t="s">
        <v>34</v>
      </c>
      <c r="R23" s="18">
        <v>1</v>
      </c>
      <c r="S23" s="120"/>
      <c r="T23" s="4" t="s">
        <v>57</v>
      </c>
      <c r="U23" s="18">
        <v>1</v>
      </c>
      <c r="V23" s="120"/>
      <c r="W23" s="4" t="s">
        <v>92</v>
      </c>
      <c r="X23" s="18">
        <v>1</v>
      </c>
      <c r="Y23" s="120"/>
      <c r="Z23" s="4" t="s">
        <v>58</v>
      </c>
      <c r="AA23" s="18">
        <v>1</v>
      </c>
      <c r="AB23" s="120"/>
      <c r="AC23" s="4" t="s">
        <v>69</v>
      </c>
      <c r="AD23" s="18">
        <v>4</v>
      </c>
      <c r="AE23" s="120"/>
      <c r="AF23" s="4" t="s">
        <v>93</v>
      </c>
      <c r="AG23" s="18">
        <v>3</v>
      </c>
      <c r="AH23" s="120"/>
      <c r="AI23" s="13" t="s">
        <v>94</v>
      </c>
      <c r="AJ23" s="24">
        <v>0</v>
      </c>
      <c r="AK23" s="126"/>
      <c r="AL23" s="4" t="s">
        <v>85</v>
      </c>
      <c r="AM23" s="18">
        <v>2</v>
      </c>
      <c r="AN23" s="120"/>
      <c r="AO23" s="4" t="s">
        <v>72</v>
      </c>
      <c r="AP23" s="18">
        <v>3</v>
      </c>
      <c r="AQ23" s="120"/>
      <c r="AR23" s="4" t="s">
        <v>61</v>
      </c>
      <c r="AS23" s="18">
        <v>2</v>
      </c>
      <c r="AT23" s="120"/>
      <c r="AU23" s="4" t="s">
        <v>44</v>
      </c>
      <c r="AV23" s="18">
        <v>0</v>
      </c>
      <c r="AW23" s="120"/>
      <c r="AX23" s="4" t="s">
        <v>73</v>
      </c>
      <c r="AY23" s="18">
        <v>1</v>
      </c>
      <c r="AZ23" s="120"/>
      <c r="BA23" s="4" t="s">
        <v>69</v>
      </c>
      <c r="BB23" s="18">
        <v>1</v>
      </c>
      <c r="BC23" s="18">
        <v>0</v>
      </c>
      <c r="BD23" s="18">
        <v>1</v>
      </c>
      <c r="BE23" s="18">
        <v>0</v>
      </c>
      <c r="BF23" s="18">
        <v>0</v>
      </c>
      <c r="BG23" s="18">
        <v>0</v>
      </c>
      <c r="BH23" s="150" t="s">
        <v>47</v>
      </c>
      <c r="BI23" s="18">
        <v>0</v>
      </c>
      <c r="BJ23" s="130"/>
      <c r="BK23" s="4" t="s">
        <v>75</v>
      </c>
      <c r="BL23" s="18">
        <v>3</v>
      </c>
      <c r="BM23" s="120"/>
      <c r="BN23" s="4" t="s">
        <v>49</v>
      </c>
      <c r="BO23" s="18">
        <v>1</v>
      </c>
      <c r="BP23" s="120"/>
      <c r="BQ23" s="18" t="s">
        <v>50</v>
      </c>
      <c r="BR23" s="18">
        <v>1</v>
      </c>
      <c r="BS23" s="120"/>
      <c r="BT23" s="4" t="s">
        <v>69</v>
      </c>
      <c r="BU23" s="18">
        <v>1</v>
      </c>
      <c r="BV23" s="120"/>
      <c r="BW23" s="4" t="s">
        <v>66</v>
      </c>
      <c r="BX23" s="18">
        <v>3</v>
      </c>
      <c r="BY23" s="120"/>
      <c r="BZ23" s="4" t="s">
        <v>52</v>
      </c>
      <c r="CA23" s="18">
        <v>2</v>
      </c>
      <c r="CB23" s="120"/>
      <c r="CC23" s="4" t="s">
        <v>76</v>
      </c>
      <c r="CD23" s="18">
        <v>0</v>
      </c>
      <c r="CE23" s="120"/>
      <c r="CF23" s="18" t="s">
        <v>49</v>
      </c>
      <c r="CG23" s="18">
        <v>2</v>
      </c>
      <c r="CH23" s="120"/>
      <c r="CI23" s="4" t="s">
        <v>78</v>
      </c>
      <c r="CJ23" s="34">
        <v>1</v>
      </c>
      <c r="CK23" s="34">
        <v>0</v>
      </c>
      <c r="CL23" s="34">
        <v>0</v>
      </c>
      <c r="CM23" s="34">
        <v>0</v>
      </c>
      <c r="CN23" s="5" t="s">
        <v>123</v>
      </c>
    </row>
    <row r="24" spans="1:92" ht="15.75" customHeight="1" x14ac:dyDescent="0.15">
      <c r="A24" s="51">
        <v>45860.567184247688</v>
      </c>
      <c r="B24" s="3" t="s">
        <v>29</v>
      </c>
      <c r="C24" s="17">
        <v>3</v>
      </c>
      <c r="D24" s="116"/>
      <c r="E24" s="6" t="s">
        <v>90</v>
      </c>
      <c r="F24" s="17">
        <v>2</v>
      </c>
      <c r="G24" s="116"/>
      <c r="H24" s="6" t="s">
        <v>91</v>
      </c>
      <c r="I24" s="17">
        <v>0</v>
      </c>
      <c r="J24" s="116"/>
      <c r="K24" s="43" t="s">
        <v>107</v>
      </c>
      <c r="L24" s="17">
        <v>2</v>
      </c>
      <c r="M24" s="119"/>
      <c r="N24" s="1" t="s">
        <v>33</v>
      </c>
      <c r="O24" s="18">
        <v>1</v>
      </c>
      <c r="P24" s="117"/>
      <c r="Q24" s="1" t="s">
        <v>34</v>
      </c>
      <c r="R24" s="17">
        <v>1</v>
      </c>
      <c r="S24" s="119"/>
      <c r="T24" s="1" t="s">
        <v>57</v>
      </c>
      <c r="U24" s="17">
        <v>2</v>
      </c>
      <c r="V24" s="119"/>
      <c r="W24" s="1" t="s">
        <v>36</v>
      </c>
      <c r="X24" s="17">
        <v>1</v>
      </c>
      <c r="Y24" s="119"/>
      <c r="Z24" s="1" t="s">
        <v>58</v>
      </c>
      <c r="AA24" s="17">
        <v>3</v>
      </c>
      <c r="AB24" s="119"/>
      <c r="AC24" s="1" t="s">
        <v>38</v>
      </c>
      <c r="AD24" s="17">
        <v>1</v>
      </c>
      <c r="AE24" s="119"/>
      <c r="AF24" s="1" t="s">
        <v>39</v>
      </c>
      <c r="AG24" s="17">
        <v>0</v>
      </c>
      <c r="AH24" s="119"/>
      <c r="AI24" s="11" t="s">
        <v>84</v>
      </c>
      <c r="AJ24" s="25">
        <v>0</v>
      </c>
      <c r="AK24" s="127"/>
      <c r="AL24" s="1" t="s">
        <v>85</v>
      </c>
      <c r="AM24" s="17">
        <v>2</v>
      </c>
      <c r="AN24" s="119"/>
      <c r="AO24" s="1" t="s">
        <v>72</v>
      </c>
      <c r="AP24" s="17">
        <v>3</v>
      </c>
      <c r="AQ24" s="119"/>
      <c r="AR24" s="1" t="s">
        <v>61</v>
      </c>
      <c r="AS24" s="17">
        <v>2</v>
      </c>
      <c r="AT24" s="119"/>
      <c r="AU24" s="1" t="s">
        <v>44</v>
      </c>
      <c r="AV24" s="17">
        <v>0</v>
      </c>
      <c r="AW24" s="119"/>
      <c r="AX24" s="1" t="s">
        <v>73</v>
      </c>
      <c r="AY24" s="17">
        <v>1</v>
      </c>
      <c r="AZ24" s="119"/>
      <c r="BA24" s="1" t="s">
        <v>59</v>
      </c>
      <c r="BB24" s="17">
        <v>0</v>
      </c>
      <c r="BC24" s="17">
        <v>1</v>
      </c>
      <c r="BD24" s="17">
        <v>1</v>
      </c>
      <c r="BE24" s="17">
        <v>0</v>
      </c>
      <c r="BF24" s="17">
        <v>0</v>
      </c>
      <c r="BG24" s="17">
        <v>0</v>
      </c>
      <c r="BH24" s="149" t="s">
        <v>105</v>
      </c>
      <c r="BI24" s="17">
        <v>0</v>
      </c>
      <c r="BJ24" s="131"/>
      <c r="BK24" s="1" t="s">
        <v>75</v>
      </c>
      <c r="BL24" s="17">
        <v>2</v>
      </c>
      <c r="BM24" s="119"/>
      <c r="BN24" s="1" t="s">
        <v>64</v>
      </c>
      <c r="BO24" s="17">
        <v>0</v>
      </c>
      <c r="BP24" s="119"/>
      <c r="BQ24" s="17" t="s">
        <v>87</v>
      </c>
      <c r="BR24" s="17">
        <v>2</v>
      </c>
      <c r="BS24" s="119"/>
      <c r="BT24" s="1" t="s">
        <v>65</v>
      </c>
      <c r="BU24" s="17">
        <v>0</v>
      </c>
      <c r="BV24" s="119"/>
      <c r="BW24" s="1" t="s">
        <v>88</v>
      </c>
      <c r="BX24" s="17">
        <v>3</v>
      </c>
      <c r="BY24" s="119"/>
      <c r="BZ24" s="1" t="s">
        <v>52</v>
      </c>
      <c r="CA24" s="17">
        <v>2</v>
      </c>
      <c r="CB24" s="119"/>
      <c r="CC24" s="1" t="s">
        <v>76</v>
      </c>
      <c r="CD24" s="17">
        <v>1</v>
      </c>
      <c r="CE24" s="119"/>
      <c r="CF24" s="17" t="s">
        <v>77</v>
      </c>
      <c r="CG24" s="17">
        <v>0</v>
      </c>
      <c r="CH24" s="119"/>
      <c r="CI24" s="1" t="s">
        <v>89</v>
      </c>
      <c r="CJ24" s="33">
        <v>1</v>
      </c>
      <c r="CK24" s="33">
        <v>0</v>
      </c>
      <c r="CL24" s="33">
        <v>0</v>
      </c>
      <c r="CM24" s="33">
        <v>0</v>
      </c>
      <c r="CN24" s="2" t="s">
        <v>123</v>
      </c>
    </row>
    <row r="25" spans="1:92" ht="15.75" customHeight="1" x14ac:dyDescent="0.15">
      <c r="A25" s="51">
        <v>45860.568085613428</v>
      </c>
      <c r="B25" s="3" t="s">
        <v>29</v>
      </c>
      <c r="C25" s="18">
        <v>2</v>
      </c>
      <c r="D25" s="117"/>
      <c r="E25" s="6" t="s">
        <v>55</v>
      </c>
      <c r="F25" s="18">
        <v>1</v>
      </c>
      <c r="G25" s="117"/>
      <c r="H25" s="6" t="s">
        <v>31</v>
      </c>
      <c r="I25" s="18">
        <v>2</v>
      </c>
      <c r="J25" s="117"/>
      <c r="K25" s="43" t="s">
        <v>116</v>
      </c>
      <c r="L25" s="18">
        <v>1</v>
      </c>
      <c r="M25" s="120"/>
      <c r="N25" s="4" t="s">
        <v>124</v>
      </c>
      <c r="O25" s="18">
        <v>1</v>
      </c>
      <c r="P25" s="120"/>
      <c r="Q25" s="4" t="s">
        <v>34</v>
      </c>
      <c r="R25" s="18">
        <v>1</v>
      </c>
      <c r="S25" s="120"/>
      <c r="T25" s="4" t="s">
        <v>57</v>
      </c>
      <c r="U25" s="18">
        <v>1</v>
      </c>
      <c r="V25" s="120"/>
      <c r="W25" s="4" t="s">
        <v>92</v>
      </c>
      <c r="X25" s="18">
        <v>1</v>
      </c>
      <c r="Y25" s="120"/>
      <c r="Z25" s="4" t="s">
        <v>58</v>
      </c>
      <c r="AA25" s="18">
        <v>1</v>
      </c>
      <c r="AB25" s="120"/>
      <c r="AC25" s="4" t="s">
        <v>69</v>
      </c>
      <c r="AD25" s="18">
        <v>2</v>
      </c>
      <c r="AE25" s="120"/>
      <c r="AF25" s="4" t="s">
        <v>83</v>
      </c>
      <c r="AG25" s="18">
        <v>3</v>
      </c>
      <c r="AH25" s="120"/>
      <c r="AI25" s="13" t="s">
        <v>94</v>
      </c>
      <c r="AJ25" s="24">
        <v>2</v>
      </c>
      <c r="AK25" s="126"/>
      <c r="AL25" s="4" t="s">
        <v>71</v>
      </c>
      <c r="AM25" s="18">
        <v>3</v>
      </c>
      <c r="AN25" s="120"/>
      <c r="AO25" s="4" t="s">
        <v>42</v>
      </c>
      <c r="AP25" s="18">
        <v>1</v>
      </c>
      <c r="AQ25" s="120"/>
      <c r="AR25" s="9" t="s">
        <v>125</v>
      </c>
      <c r="AS25" s="113">
        <v>2</v>
      </c>
      <c r="AT25" s="120"/>
      <c r="AU25" s="9" t="s">
        <v>126</v>
      </c>
      <c r="AV25" s="18">
        <v>0</v>
      </c>
      <c r="AW25" s="120"/>
      <c r="AX25" s="4" t="s">
        <v>62</v>
      </c>
      <c r="AY25" s="18">
        <v>0</v>
      </c>
      <c r="AZ25" s="120"/>
      <c r="BA25" s="4" t="s">
        <v>38</v>
      </c>
      <c r="BB25" s="18">
        <v>1</v>
      </c>
      <c r="BC25" s="18">
        <v>0</v>
      </c>
      <c r="BD25" s="18">
        <v>1</v>
      </c>
      <c r="BE25" s="18">
        <v>0</v>
      </c>
      <c r="BF25" s="18">
        <v>0</v>
      </c>
      <c r="BG25" s="18">
        <v>0</v>
      </c>
      <c r="BH25" s="150" t="s">
        <v>47</v>
      </c>
      <c r="BI25" s="18">
        <v>1</v>
      </c>
      <c r="BJ25" s="130"/>
      <c r="BK25" s="4" t="s">
        <v>96</v>
      </c>
      <c r="BL25" s="18">
        <v>2</v>
      </c>
      <c r="BM25" s="120"/>
      <c r="BN25" s="4" t="s">
        <v>64</v>
      </c>
      <c r="BO25" s="18">
        <v>2</v>
      </c>
      <c r="BP25" s="120"/>
      <c r="BQ25" s="18" t="s">
        <v>117</v>
      </c>
      <c r="BR25" s="18">
        <v>2</v>
      </c>
      <c r="BS25" s="120"/>
      <c r="BT25" s="4" t="s">
        <v>65</v>
      </c>
      <c r="BU25" s="18">
        <v>0</v>
      </c>
      <c r="BV25" s="120"/>
      <c r="BW25" s="4" t="s">
        <v>88</v>
      </c>
      <c r="BX25" s="18">
        <v>2</v>
      </c>
      <c r="BY25" s="120"/>
      <c r="BZ25" s="4" t="s">
        <v>97</v>
      </c>
      <c r="CA25" s="18">
        <v>2</v>
      </c>
      <c r="CB25" s="120"/>
      <c r="CC25" s="4" t="s">
        <v>76</v>
      </c>
      <c r="CD25" s="18">
        <v>2</v>
      </c>
      <c r="CE25" s="120"/>
      <c r="CF25" s="18" t="s">
        <v>36</v>
      </c>
      <c r="CG25" s="18">
        <v>2</v>
      </c>
      <c r="CH25" s="120"/>
      <c r="CI25" s="4" t="s">
        <v>78</v>
      </c>
      <c r="CJ25" s="34">
        <v>0</v>
      </c>
      <c r="CK25" s="34">
        <v>1</v>
      </c>
      <c r="CL25" s="34">
        <v>1</v>
      </c>
      <c r="CM25" s="34">
        <v>0</v>
      </c>
      <c r="CN25" s="5" t="s">
        <v>98</v>
      </c>
    </row>
    <row r="26" spans="1:92" ht="15.75" customHeight="1" x14ac:dyDescent="0.15">
      <c r="A26" s="51">
        <v>45860.568181168986</v>
      </c>
      <c r="B26" s="3" t="s">
        <v>29</v>
      </c>
      <c r="C26" s="17">
        <v>4</v>
      </c>
      <c r="D26" s="116"/>
      <c r="E26" s="6" t="s">
        <v>127</v>
      </c>
      <c r="F26" s="17">
        <v>2</v>
      </c>
      <c r="G26" s="116"/>
      <c r="H26" s="6" t="s">
        <v>91</v>
      </c>
      <c r="I26" s="17">
        <v>3</v>
      </c>
      <c r="J26" s="116"/>
      <c r="K26" s="43" t="s">
        <v>56</v>
      </c>
      <c r="L26" s="17">
        <v>2</v>
      </c>
      <c r="M26" s="119"/>
      <c r="N26" s="1" t="s">
        <v>33</v>
      </c>
      <c r="O26" s="18">
        <v>1</v>
      </c>
      <c r="P26" s="117"/>
      <c r="Q26" s="1" t="s">
        <v>34</v>
      </c>
      <c r="R26" s="17">
        <v>1</v>
      </c>
      <c r="S26" s="119"/>
      <c r="T26" s="1" t="s">
        <v>57</v>
      </c>
      <c r="U26" s="17">
        <v>2</v>
      </c>
      <c r="V26" s="119"/>
      <c r="W26" s="1" t="s">
        <v>36</v>
      </c>
      <c r="X26" s="17">
        <v>1</v>
      </c>
      <c r="Y26" s="119"/>
      <c r="Z26" s="1" t="s">
        <v>58</v>
      </c>
      <c r="AA26" s="17">
        <v>1</v>
      </c>
      <c r="AB26" s="119"/>
      <c r="AC26" s="1" t="s">
        <v>69</v>
      </c>
      <c r="AD26" s="17">
        <v>5</v>
      </c>
      <c r="AE26" s="119"/>
      <c r="AF26" s="1" t="s">
        <v>115</v>
      </c>
      <c r="AG26" s="17">
        <v>3</v>
      </c>
      <c r="AH26" s="119"/>
      <c r="AI26" s="11" t="s">
        <v>94</v>
      </c>
      <c r="AJ26" s="25">
        <v>2</v>
      </c>
      <c r="AK26" s="127"/>
      <c r="AL26" s="1" t="s">
        <v>71</v>
      </c>
      <c r="AM26" s="17">
        <v>2</v>
      </c>
      <c r="AN26" s="119"/>
      <c r="AO26" s="1" t="s">
        <v>72</v>
      </c>
      <c r="AP26" s="17">
        <v>4</v>
      </c>
      <c r="AQ26" s="119"/>
      <c r="AR26" s="1" t="s">
        <v>43</v>
      </c>
      <c r="AS26" s="17">
        <v>1</v>
      </c>
      <c r="AT26" s="119"/>
      <c r="AU26" s="1" t="s">
        <v>86</v>
      </c>
      <c r="AV26" s="17">
        <v>0</v>
      </c>
      <c r="AW26" s="119"/>
      <c r="AX26" s="1" t="s">
        <v>73</v>
      </c>
      <c r="AY26" s="17">
        <v>3</v>
      </c>
      <c r="AZ26" s="119"/>
      <c r="BA26" s="1" t="s">
        <v>46</v>
      </c>
      <c r="BB26" s="17">
        <v>1</v>
      </c>
      <c r="BC26" s="17">
        <v>0</v>
      </c>
      <c r="BD26" s="17">
        <v>1</v>
      </c>
      <c r="BE26" s="17">
        <v>0</v>
      </c>
      <c r="BF26" s="17">
        <v>0</v>
      </c>
      <c r="BG26" s="17">
        <v>0</v>
      </c>
      <c r="BH26" s="149" t="s">
        <v>47</v>
      </c>
      <c r="BI26" s="17">
        <v>1</v>
      </c>
      <c r="BJ26" s="131"/>
      <c r="BK26" s="1" t="s">
        <v>96</v>
      </c>
      <c r="BL26" s="17">
        <v>2</v>
      </c>
      <c r="BM26" s="119"/>
      <c r="BN26" s="1" t="s">
        <v>64</v>
      </c>
      <c r="BO26" s="17">
        <v>0</v>
      </c>
      <c r="BP26" s="119"/>
      <c r="BQ26" s="17" t="s">
        <v>87</v>
      </c>
      <c r="BR26" s="17">
        <v>0</v>
      </c>
      <c r="BS26" s="119"/>
      <c r="BT26" s="1" t="s">
        <v>46</v>
      </c>
      <c r="BU26" s="17">
        <v>0</v>
      </c>
      <c r="BV26" s="119"/>
      <c r="BW26" s="1" t="s">
        <v>88</v>
      </c>
      <c r="BX26" s="17">
        <v>0</v>
      </c>
      <c r="BY26" s="119"/>
      <c r="BZ26" s="1" t="s">
        <v>119</v>
      </c>
      <c r="CA26" s="17">
        <v>1</v>
      </c>
      <c r="CB26" s="119"/>
      <c r="CC26" s="1" t="s">
        <v>77</v>
      </c>
      <c r="CD26" s="17">
        <v>1</v>
      </c>
      <c r="CE26" s="119"/>
      <c r="CF26" s="17" t="s">
        <v>77</v>
      </c>
      <c r="CG26" s="17">
        <v>2</v>
      </c>
      <c r="CH26" s="119"/>
      <c r="CI26" s="1" t="s">
        <v>78</v>
      </c>
      <c r="CJ26" s="33">
        <v>0</v>
      </c>
      <c r="CK26" s="33">
        <v>0</v>
      </c>
      <c r="CL26" s="33">
        <v>0</v>
      </c>
      <c r="CM26" s="33">
        <v>1</v>
      </c>
      <c r="CN26" s="2" t="s">
        <v>128</v>
      </c>
    </row>
    <row r="27" spans="1:92" ht="15.75" customHeight="1" x14ac:dyDescent="0.15">
      <c r="A27" s="51">
        <v>45860.56892200232</v>
      </c>
      <c r="B27" s="3" t="s">
        <v>29</v>
      </c>
      <c r="C27" s="18">
        <v>2</v>
      </c>
      <c r="D27" s="117"/>
      <c r="E27" s="6" t="s">
        <v>55</v>
      </c>
      <c r="F27" s="18">
        <v>1</v>
      </c>
      <c r="G27" s="117"/>
      <c r="H27" s="6" t="s">
        <v>31</v>
      </c>
      <c r="I27" s="18">
        <v>2</v>
      </c>
      <c r="J27" s="117"/>
      <c r="K27" s="43" t="s">
        <v>116</v>
      </c>
      <c r="L27" s="18">
        <v>2</v>
      </c>
      <c r="M27" s="120"/>
      <c r="N27" s="4" t="s">
        <v>33</v>
      </c>
      <c r="O27" s="18">
        <v>1</v>
      </c>
      <c r="P27" s="120"/>
      <c r="Q27" s="4" t="s">
        <v>34</v>
      </c>
      <c r="R27" s="18">
        <v>2</v>
      </c>
      <c r="S27" s="120"/>
      <c r="T27" s="4" t="s">
        <v>35</v>
      </c>
      <c r="U27" s="18">
        <v>1</v>
      </c>
      <c r="V27" s="120"/>
      <c r="W27" s="4" t="s">
        <v>92</v>
      </c>
      <c r="X27" s="18">
        <v>1</v>
      </c>
      <c r="Y27" s="120"/>
      <c r="Z27" s="4" t="s">
        <v>58</v>
      </c>
      <c r="AA27" s="18">
        <v>3</v>
      </c>
      <c r="AB27" s="120"/>
      <c r="AC27" s="4" t="s">
        <v>38</v>
      </c>
      <c r="AD27" s="18">
        <v>2</v>
      </c>
      <c r="AE27" s="120"/>
      <c r="AF27" s="4" t="s">
        <v>83</v>
      </c>
      <c r="AG27" s="18">
        <v>3</v>
      </c>
      <c r="AH27" s="120"/>
      <c r="AI27" s="13" t="s">
        <v>94</v>
      </c>
      <c r="AJ27" s="24">
        <v>3</v>
      </c>
      <c r="AK27" s="126"/>
      <c r="AL27" s="4" t="s">
        <v>41</v>
      </c>
      <c r="AM27" s="18">
        <v>3</v>
      </c>
      <c r="AN27" s="120"/>
      <c r="AO27" s="4" t="s">
        <v>42</v>
      </c>
      <c r="AP27" s="18">
        <v>1</v>
      </c>
      <c r="AQ27" s="120"/>
      <c r="AR27" s="9" t="s">
        <v>129</v>
      </c>
      <c r="AS27" s="18">
        <v>3</v>
      </c>
      <c r="AT27" s="120"/>
      <c r="AU27" s="4" t="s">
        <v>79</v>
      </c>
      <c r="AV27" s="18">
        <v>2</v>
      </c>
      <c r="AW27" s="120"/>
      <c r="AX27" s="4" t="s">
        <v>80</v>
      </c>
      <c r="AY27" s="18">
        <v>3</v>
      </c>
      <c r="AZ27" s="120"/>
      <c r="BA27" s="4" t="s">
        <v>46</v>
      </c>
      <c r="BB27" s="18">
        <v>0</v>
      </c>
      <c r="BC27" s="18">
        <v>1</v>
      </c>
      <c r="BD27" s="18">
        <v>1</v>
      </c>
      <c r="BE27" s="18">
        <v>0</v>
      </c>
      <c r="BF27" s="18">
        <v>0</v>
      </c>
      <c r="BG27" s="18">
        <v>0</v>
      </c>
      <c r="BH27" s="150" t="s">
        <v>105</v>
      </c>
      <c r="BI27" s="18">
        <v>0</v>
      </c>
      <c r="BJ27" s="130"/>
      <c r="BK27" s="4" t="s">
        <v>75</v>
      </c>
      <c r="BL27" s="18">
        <v>2</v>
      </c>
      <c r="BM27" s="120"/>
      <c r="BN27" s="4" t="s">
        <v>64</v>
      </c>
      <c r="BO27" s="18">
        <v>1</v>
      </c>
      <c r="BP27" s="120"/>
      <c r="BQ27" s="18" t="s">
        <v>50</v>
      </c>
      <c r="BR27" s="18">
        <v>3</v>
      </c>
      <c r="BS27" s="120"/>
      <c r="BT27" s="4" t="s">
        <v>38</v>
      </c>
      <c r="BU27" s="18">
        <v>0</v>
      </c>
      <c r="BV27" s="120"/>
      <c r="BW27" s="4" t="s">
        <v>88</v>
      </c>
      <c r="BX27" s="18">
        <v>2</v>
      </c>
      <c r="BY27" s="120"/>
      <c r="BZ27" s="4" t="s">
        <v>97</v>
      </c>
      <c r="CA27" s="18">
        <v>3</v>
      </c>
      <c r="CB27" s="120"/>
      <c r="CC27" s="4" t="s">
        <v>36</v>
      </c>
      <c r="CD27" s="18">
        <v>0</v>
      </c>
      <c r="CE27" s="120"/>
      <c r="CF27" s="18" t="s">
        <v>49</v>
      </c>
      <c r="CG27" s="18">
        <v>3</v>
      </c>
      <c r="CH27" s="120"/>
      <c r="CI27" s="4" t="s">
        <v>53</v>
      </c>
      <c r="CJ27" s="34">
        <v>1</v>
      </c>
      <c r="CK27" s="34">
        <v>1</v>
      </c>
      <c r="CL27" s="34">
        <v>0</v>
      </c>
      <c r="CM27" s="34">
        <v>0</v>
      </c>
      <c r="CN27" s="5" t="s">
        <v>82</v>
      </c>
    </row>
    <row r="28" spans="1:92" ht="15.75" customHeight="1" x14ac:dyDescent="0.15">
      <c r="A28" s="51">
        <v>45860.569745856483</v>
      </c>
      <c r="B28" s="3" t="s">
        <v>29</v>
      </c>
      <c r="C28" s="17">
        <v>3</v>
      </c>
      <c r="D28" s="116"/>
      <c r="E28" s="6" t="s">
        <v>90</v>
      </c>
      <c r="F28" s="17">
        <v>1</v>
      </c>
      <c r="G28" s="116"/>
      <c r="H28" s="6" t="s">
        <v>31</v>
      </c>
      <c r="I28" s="17">
        <v>1</v>
      </c>
      <c r="J28" s="116"/>
      <c r="K28" s="43" t="s">
        <v>32</v>
      </c>
      <c r="L28" s="17">
        <v>2</v>
      </c>
      <c r="M28" s="119"/>
      <c r="N28" s="1" t="s">
        <v>33</v>
      </c>
      <c r="O28" s="18">
        <v>1</v>
      </c>
      <c r="P28" s="117"/>
      <c r="Q28" s="1" t="s">
        <v>34</v>
      </c>
      <c r="R28" s="17">
        <v>1</v>
      </c>
      <c r="S28" s="119"/>
      <c r="T28" s="1" t="s">
        <v>57</v>
      </c>
      <c r="U28" s="17">
        <v>1</v>
      </c>
      <c r="V28" s="119"/>
      <c r="W28" s="1" t="s">
        <v>92</v>
      </c>
      <c r="X28" s="17">
        <v>1</v>
      </c>
      <c r="Y28" s="119"/>
      <c r="Z28" s="1" t="s">
        <v>58</v>
      </c>
      <c r="AA28" s="17">
        <v>2</v>
      </c>
      <c r="AB28" s="119"/>
      <c r="AC28" s="1" t="s">
        <v>59</v>
      </c>
      <c r="AD28" s="17">
        <v>5</v>
      </c>
      <c r="AE28" s="119"/>
      <c r="AF28" s="1" t="s">
        <v>115</v>
      </c>
      <c r="AG28" s="17">
        <v>0</v>
      </c>
      <c r="AH28" s="119"/>
      <c r="AI28" s="11" t="s">
        <v>84</v>
      </c>
      <c r="AJ28" s="25">
        <v>3</v>
      </c>
      <c r="AK28" s="127"/>
      <c r="AL28" s="1" t="s">
        <v>41</v>
      </c>
      <c r="AM28" s="17">
        <v>1</v>
      </c>
      <c r="AN28" s="119"/>
      <c r="AO28" s="1" t="s">
        <v>130</v>
      </c>
      <c r="AP28" s="17">
        <v>3</v>
      </c>
      <c r="AQ28" s="119"/>
      <c r="AR28" s="1" t="s">
        <v>61</v>
      </c>
      <c r="AS28" s="17">
        <v>1</v>
      </c>
      <c r="AT28" s="119"/>
      <c r="AU28" s="1" t="s">
        <v>86</v>
      </c>
      <c r="AV28" s="17">
        <v>0</v>
      </c>
      <c r="AW28" s="119"/>
      <c r="AX28" s="1" t="s">
        <v>73</v>
      </c>
      <c r="AY28" s="17">
        <v>3</v>
      </c>
      <c r="AZ28" s="119"/>
      <c r="BA28" s="1" t="s">
        <v>46</v>
      </c>
      <c r="BB28" s="17">
        <v>1</v>
      </c>
      <c r="BC28" s="17">
        <v>0</v>
      </c>
      <c r="BD28" s="17">
        <v>1</v>
      </c>
      <c r="BE28" s="17">
        <v>0</v>
      </c>
      <c r="BF28" s="17">
        <v>0</v>
      </c>
      <c r="BG28" s="17">
        <v>0</v>
      </c>
      <c r="BH28" s="149" t="s">
        <v>47</v>
      </c>
      <c r="BI28" s="17">
        <v>0</v>
      </c>
      <c r="BJ28" s="131"/>
      <c r="BK28" s="1" t="s">
        <v>75</v>
      </c>
      <c r="BL28" s="17">
        <v>2</v>
      </c>
      <c r="BM28" s="119"/>
      <c r="BN28" s="1" t="s">
        <v>64</v>
      </c>
      <c r="BO28" s="17">
        <v>0</v>
      </c>
      <c r="BP28" s="119"/>
      <c r="BQ28" s="17" t="s">
        <v>87</v>
      </c>
      <c r="BR28" s="17">
        <v>2</v>
      </c>
      <c r="BS28" s="119"/>
      <c r="BT28" s="1" t="s">
        <v>65</v>
      </c>
      <c r="BU28" s="17">
        <v>2</v>
      </c>
      <c r="BV28" s="119"/>
      <c r="BW28" s="1" t="s">
        <v>51</v>
      </c>
      <c r="BX28" s="17">
        <v>3</v>
      </c>
      <c r="BY28" s="119"/>
      <c r="BZ28" s="1" t="s">
        <v>52</v>
      </c>
      <c r="CA28" s="17">
        <v>2</v>
      </c>
      <c r="CB28" s="119"/>
      <c r="CC28" s="1" t="s">
        <v>76</v>
      </c>
      <c r="CD28" s="17">
        <v>1</v>
      </c>
      <c r="CE28" s="119"/>
      <c r="CF28" s="17" t="s">
        <v>77</v>
      </c>
      <c r="CG28" s="17">
        <v>2</v>
      </c>
      <c r="CH28" s="119"/>
      <c r="CI28" s="1" t="s">
        <v>78</v>
      </c>
      <c r="CJ28" s="33">
        <v>0</v>
      </c>
      <c r="CK28" s="33">
        <v>1</v>
      </c>
      <c r="CL28" s="33">
        <v>1</v>
      </c>
      <c r="CM28" s="33">
        <v>0</v>
      </c>
      <c r="CN28" s="2" t="s">
        <v>98</v>
      </c>
    </row>
    <row r="29" spans="1:92" ht="15.75" customHeight="1" x14ac:dyDescent="0.15">
      <c r="A29" s="51">
        <v>45860.569993437501</v>
      </c>
      <c r="B29" s="3" t="s">
        <v>29</v>
      </c>
      <c r="C29" s="18">
        <v>4</v>
      </c>
      <c r="D29" s="117"/>
      <c r="E29" s="6" t="s">
        <v>127</v>
      </c>
      <c r="F29" s="18">
        <v>2</v>
      </c>
      <c r="G29" s="117"/>
      <c r="H29" s="6" t="s">
        <v>91</v>
      </c>
      <c r="I29" s="18">
        <v>4</v>
      </c>
      <c r="J29" s="117"/>
      <c r="K29" s="43" t="s">
        <v>118</v>
      </c>
      <c r="L29" s="18">
        <v>2</v>
      </c>
      <c r="M29" s="120"/>
      <c r="N29" s="4" t="s">
        <v>33</v>
      </c>
      <c r="O29" s="18">
        <v>1</v>
      </c>
      <c r="P29" s="120"/>
      <c r="Q29" s="4" t="s">
        <v>34</v>
      </c>
      <c r="R29" s="18">
        <v>1</v>
      </c>
      <c r="S29" s="120"/>
      <c r="T29" s="4" t="s">
        <v>57</v>
      </c>
      <c r="U29" s="18">
        <v>2</v>
      </c>
      <c r="V29" s="120"/>
      <c r="W29" s="4" t="s">
        <v>36</v>
      </c>
      <c r="X29" s="18">
        <v>1</v>
      </c>
      <c r="Y29" s="120"/>
      <c r="Z29" s="4" t="s">
        <v>58</v>
      </c>
      <c r="AA29" s="18">
        <v>1</v>
      </c>
      <c r="AB29" s="120"/>
      <c r="AC29" s="4" t="s">
        <v>69</v>
      </c>
      <c r="AD29" s="18">
        <v>0</v>
      </c>
      <c r="AE29" s="120"/>
      <c r="AF29" s="4" t="s">
        <v>70</v>
      </c>
      <c r="AG29" s="18">
        <v>2</v>
      </c>
      <c r="AH29" s="120"/>
      <c r="AI29" s="13" t="s">
        <v>40</v>
      </c>
      <c r="AJ29" s="24">
        <v>3</v>
      </c>
      <c r="AK29" s="126"/>
      <c r="AL29" s="4" t="s">
        <v>41</v>
      </c>
      <c r="AM29" s="18">
        <v>2</v>
      </c>
      <c r="AN29" s="120"/>
      <c r="AO29" s="4" t="s">
        <v>72</v>
      </c>
      <c r="AP29" s="18">
        <v>3</v>
      </c>
      <c r="AQ29" s="120"/>
      <c r="AR29" s="4" t="s">
        <v>61</v>
      </c>
      <c r="AS29" s="18">
        <v>2</v>
      </c>
      <c r="AT29" s="120"/>
      <c r="AU29" s="4" t="s">
        <v>44</v>
      </c>
      <c r="AV29" s="18">
        <v>0</v>
      </c>
      <c r="AW29" s="120"/>
      <c r="AX29" s="4" t="s">
        <v>62</v>
      </c>
      <c r="AY29" s="18">
        <v>1</v>
      </c>
      <c r="AZ29" s="120"/>
      <c r="BA29" s="4" t="s">
        <v>69</v>
      </c>
      <c r="BB29" s="18">
        <v>1</v>
      </c>
      <c r="BC29" s="18">
        <v>0</v>
      </c>
      <c r="BD29" s="18">
        <v>0</v>
      </c>
      <c r="BE29" s="18">
        <v>1</v>
      </c>
      <c r="BF29" s="18">
        <v>0</v>
      </c>
      <c r="BG29" s="18">
        <v>0</v>
      </c>
      <c r="BH29" s="150" t="s">
        <v>74</v>
      </c>
      <c r="BI29" s="18">
        <v>1</v>
      </c>
      <c r="BJ29" s="130"/>
      <c r="BK29" s="4" t="s">
        <v>96</v>
      </c>
      <c r="BL29" s="18">
        <v>1</v>
      </c>
      <c r="BM29" s="120"/>
      <c r="BN29" s="4" t="s">
        <v>59</v>
      </c>
      <c r="BO29" s="18">
        <v>1</v>
      </c>
      <c r="BP29" s="120"/>
      <c r="BQ29" s="18" t="s">
        <v>50</v>
      </c>
      <c r="BR29" s="18">
        <v>1</v>
      </c>
      <c r="BS29" s="120"/>
      <c r="BT29" s="4" t="s">
        <v>69</v>
      </c>
      <c r="BU29" s="18">
        <v>2</v>
      </c>
      <c r="BV29" s="120"/>
      <c r="BW29" s="4" t="s">
        <v>51</v>
      </c>
      <c r="BX29" s="18">
        <v>2</v>
      </c>
      <c r="BY29" s="120"/>
      <c r="BZ29" s="4" t="s">
        <v>97</v>
      </c>
      <c r="CA29" s="18">
        <v>0</v>
      </c>
      <c r="CB29" s="120"/>
      <c r="CC29" s="4" t="s">
        <v>49</v>
      </c>
      <c r="CD29" s="18">
        <v>1</v>
      </c>
      <c r="CE29" s="120"/>
      <c r="CF29" s="18" t="s">
        <v>77</v>
      </c>
      <c r="CG29" s="18">
        <v>0</v>
      </c>
      <c r="CH29" s="120"/>
      <c r="CI29" s="4" t="s">
        <v>89</v>
      </c>
      <c r="CJ29" s="34">
        <v>0</v>
      </c>
      <c r="CK29" s="34">
        <v>0</v>
      </c>
      <c r="CL29" s="34">
        <v>0</v>
      </c>
      <c r="CM29" s="34">
        <v>1</v>
      </c>
      <c r="CN29" s="5" t="s">
        <v>131</v>
      </c>
    </row>
    <row r="30" spans="1:92" ht="15.75" customHeight="1" x14ac:dyDescent="0.15">
      <c r="A30" s="51">
        <v>45860.570362175931</v>
      </c>
      <c r="B30" s="3" t="s">
        <v>29</v>
      </c>
      <c r="C30" s="17">
        <v>3</v>
      </c>
      <c r="D30" s="116"/>
      <c r="E30" s="6" t="s">
        <v>90</v>
      </c>
      <c r="F30" s="17">
        <v>2</v>
      </c>
      <c r="G30" s="116"/>
      <c r="H30" s="6" t="s">
        <v>91</v>
      </c>
      <c r="I30" s="17">
        <v>4</v>
      </c>
      <c r="J30" s="116"/>
      <c r="K30" s="43" t="s">
        <v>118</v>
      </c>
      <c r="L30" s="17">
        <v>2</v>
      </c>
      <c r="M30" s="119"/>
      <c r="N30" s="1" t="s">
        <v>33</v>
      </c>
      <c r="O30" s="18">
        <v>1</v>
      </c>
      <c r="P30" s="117"/>
      <c r="Q30" s="1" t="s">
        <v>34</v>
      </c>
      <c r="R30" s="17">
        <v>2</v>
      </c>
      <c r="S30" s="119"/>
      <c r="T30" s="1" t="s">
        <v>35</v>
      </c>
      <c r="U30" s="17">
        <v>2</v>
      </c>
      <c r="V30" s="119"/>
      <c r="W30" s="1" t="s">
        <v>36</v>
      </c>
      <c r="X30" s="17">
        <v>1</v>
      </c>
      <c r="Y30" s="119"/>
      <c r="Z30" s="1" t="s">
        <v>58</v>
      </c>
      <c r="AA30" s="17">
        <v>3</v>
      </c>
      <c r="AB30" s="119"/>
      <c r="AC30" s="1" t="s">
        <v>38</v>
      </c>
      <c r="AD30" s="17">
        <v>0</v>
      </c>
      <c r="AE30" s="119"/>
      <c r="AF30" s="1" t="s">
        <v>70</v>
      </c>
      <c r="AG30" s="17">
        <v>2</v>
      </c>
      <c r="AH30" s="119"/>
      <c r="AI30" s="11" t="s">
        <v>40</v>
      </c>
      <c r="AJ30" s="25">
        <v>3</v>
      </c>
      <c r="AK30" s="127"/>
      <c r="AL30" s="1" t="s">
        <v>41</v>
      </c>
      <c r="AM30" s="17">
        <v>2</v>
      </c>
      <c r="AN30" s="119"/>
      <c r="AO30" s="1" t="s">
        <v>72</v>
      </c>
      <c r="AP30" s="17">
        <v>3</v>
      </c>
      <c r="AQ30" s="119"/>
      <c r="AR30" s="1" t="s">
        <v>61</v>
      </c>
      <c r="AS30" s="17">
        <v>3</v>
      </c>
      <c r="AT30" s="119"/>
      <c r="AU30" s="1" t="s">
        <v>79</v>
      </c>
      <c r="AV30" s="17">
        <v>0</v>
      </c>
      <c r="AW30" s="119"/>
      <c r="AX30" s="1" t="s">
        <v>62</v>
      </c>
      <c r="AY30" s="17">
        <v>2</v>
      </c>
      <c r="AZ30" s="119"/>
      <c r="BA30" s="1" t="s">
        <v>59</v>
      </c>
      <c r="BB30" s="17">
        <v>1</v>
      </c>
      <c r="BC30" s="17">
        <v>0</v>
      </c>
      <c r="BD30" s="17">
        <v>0</v>
      </c>
      <c r="BE30" s="17">
        <v>1</v>
      </c>
      <c r="BF30" s="17">
        <v>0</v>
      </c>
      <c r="BG30" s="17">
        <v>0</v>
      </c>
      <c r="BH30" s="149" t="s">
        <v>74</v>
      </c>
      <c r="BI30" s="17">
        <v>0</v>
      </c>
      <c r="BJ30" s="131"/>
      <c r="BK30" s="1" t="s">
        <v>75</v>
      </c>
      <c r="BL30" s="17">
        <v>0</v>
      </c>
      <c r="BM30" s="119"/>
      <c r="BN30" s="1" t="s">
        <v>36</v>
      </c>
      <c r="BO30" s="17">
        <v>2</v>
      </c>
      <c r="BP30" s="119"/>
      <c r="BQ30" s="17" t="s">
        <v>117</v>
      </c>
      <c r="BR30" s="17">
        <v>3</v>
      </c>
      <c r="BS30" s="119"/>
      <c r="BT30" s="1" t="s">
        <v>38</v>
      </c>
      <c r="BU30" s="17">
        <v>2</v>
      </c>
      <c r="BV30" s="119"/>
      <c r="BW30" s="1" t="s">
        <v>51</v>
      </c>
      <c r="BX30" s="17">
        <v>2</v>
      </c>
      <c r="BY30" s="119"/>
      <c r="BZ30" s="1" t="s">
        <v>97</v>
      </c>
      <c r="CA30" s="17">
        <v>2</v>
      </c>
      <c r="CB30" s="119"/>
      <c r="CC30" s="1" t="s">
        <v>76</v>
      </c>
      <c r="CD30" s="17">
        <v>1</v>
      </c>
      <c r="CE30" s="119"/>
      <c r="CF30" s="17" t="s">
        <v>77</v>
      </c>
      <c r="CG30" s="17">
        <v>3</v>
      </c>
      <c r="CH30" s="119"/>
      <c r="CI30" s="1" t="s">
        <v>53</v>
      </c>
      <c r="CJ30" s="33">
        <v>0</v>
      </c>
      <c r="CK30" s="33">
        <v>1</v>
      </c>
      <c r="CL30" s="33">
        <v>1</v>
      </c>
      <c r="CM30" s="33">
        <v>0</v>
      </c>
      <c r="CN30" s="2" t="s">
        <v>98</v>
      </c>
    </row>
    <row r="31" spans="1:92" ht="51" customHeight="1" x14ac:dyDescent="0.15">
      <c r="A31" s="51">
        <v>45860.573560636578</v>
      </c>
      <c r="B31" s="3" t="s">
        <v>29</v>
      </c>
      <c r="C31" s="18">
        <v>2</v>
      </c>
      <c r="D31" s="117"/>
      <c r="E31" s="6" t="s">
        <v>55</v>
      </c>
      <c r="F31" s="18">
        <v>2</v>
      </c>
      <c r="G31" s="117"/>
      <c r="H31" s="6" t="s">
        <v>91</v>
      </c>
      <c r="I31" s="18">
        <v>3</v>
      </c>
      <c r="J31" s="117"/>
      <c r="K31" s="43" t="s">
        <v>56</v>
      </c>
      <c r="L31" s="18">
        <v>2</v>
      </c>
      <c r="M31" s="120"/>
      <c r="N31" s="4" t="s">
        <v>33</v>
      </c>
      <c r="O31" s="18">
        <v>1</v>
      </c>
      <c r="P31" s="120"/>
      <c r="Q31" s="4" t="s">
        <v>34</v>
      </c>
      <c r="R31" s="18">
        <v>2</v>
      </c>
      <c r="S31" s="120"/>
      <c r="T31" s="4" t="s">
        <v>35</v>
      </c>
      <c r="U31" s="18">
        <v>2</v>
      </c>
      <c r="V31" s="120"/>
      <c r="W31" s="4" t="s">
        <v>36</v>
      </c>
      <c r="X31" s="18">
        <v>2</v>
      </c>
      <c r="Y31" s="120"/>
      <c r="Z31" s="4" t="s">
        <v>37</v>
      </c>
      <c r="AA31" s="18">
        <v>0</v>
      </c>
      <c r="AB31" s="120"/>
      <c r="AC31" s="4" t="s">
        <v>46</v>
      </c>
      <c r="AD31" s="18">
        <v>2</v>
      </c>
      <c r="AE31" s="120"/>
      <c r="AF31" s="4" t="s">
        <v>83</v>
      </c>
      <c r="AG31" s="18">
        <v>3</v>
      </c>
      <c r="AH31" s="120"/>
      <c r="AI31" s="13" t="s">
        <v>94</v>
      </c>
      <c r="AJ31" s="24">
        <v>3</v>
      </c>
      <c r="AK31" s="126"/>
      <c r="AL31" s="4" t="s">
        <v>41</v>
      </c>
      <c r="AM31" s="18">
        <v>3</v>
      </c>
      <c r="AN31" s="120"/>
      <c r="AO31" s="4" t="s">
        <v>42</v>
      </c>
      <c r="AP31" s="18">
        <v>2</v>
      </c>
      <c r="AQ31" s="120"/>
      <c r="AR31" s="4" t="s">
        <v>104</v>
      </c>
      <c r="AS31" s="18">
        <v>2</v>
      </c>
      <c r="AT31" s="120"/>
      <c r="AU31" s="4" t="s">
        <v>44</v>
      </c>
      <c r="AV31" s="18">
        <v>2</v>
      </c>
      <c r="AW31" s="120"/>
      <c r="AX31" s="4" t="s">
        <v>80</v>
      </c>
      <c r="AY31" s="18">
        <v>2</v>
      </c>
      <c r="AZ31" s="120"/>
      <c r="BA31" s="4" t="s">
        <v>59</v>
      </c>
      <c r="BB31" s="18">
        <v>0</v>
      </c>
      <c r="BC31" s="18">
        <v>1</v>
      </c>
      <c r="BD31" s="18">
        <v>1</v>
      </c>
      <c r="BE31" s="18">
        <v>0</v>
      </c>
      <c r="BF31" s="18">
        <v>0</v>
      </c>
      <c r="BG31" s="18">
        <v>0</v>
      </c>
      <c r="BH31" s="150" t="s">
        <v>105</v>
      </c>
      <c r="BI31" s="18">
        <v>2</v>
      </c>
      <c r="BJ31" s="130"/>
      <c r="BK31" s="4" t="s">
        <v>48</v>
      </c>
      <c r="BL31" s="18">
        <v>2</v>
      </c>
      <c r="BM31" s="120"/>
      <c r="BN31" s="4" t="s">
        <v>64</v>
      </c>
      <c r="BO31" s="18">
        <v>1</v>
      </c>
      <c r="BP31" s="120"/>
      <c r="BQ31" s="18" t="s">
        <v>50</v>
      </c>
      <c r="BR31" s="18">
        <v>2</v>
      </c>
      <c r="BS31" s="120"/>
      <c r="BT31" s="4" t="s">
        <v>65</v>
      </c>
      <c r="BU31" s="18">
        <v>1</v>
      </c>
      <c r="BV31" s="120"/>
      <c r="BW31" s="4" t="s">
        <v>66</v>
      </c>
      <c r="BX31" s="18">
        <v>2</v>
      </c>
      <c r="BY31" s="120"/>
      <c r="BZ31" s="4" t="s">
        <v>97</v>
      </c>
      <c r="CA31" s="18">
        <v>3</v>
      </c>
      <c r="CB31" s="120"/>
      <c r="CC31" s="4" t="s">
        <v>36</v>
      </c>
      <c r="CD31" s="18">
        <v>1</v>
      </c>
      <c r="CE31" s="120"/>
      <c r="CF31" s="18" t="s">
        <v>77</v>
      </c>
      <c r="CG31" s="18">
        <v>3</v>
      </c>
      <c r="CH31" s="120"/>
      <c r="CI31" s="13" t="s">
        <v>132</v>
      </c>
      <c r="CJ31" s="34">
        <v>0</v>
      </c>
      <c r="CK31" s="34">
        <v>1</v>
      </c>
      <c r="CL31" s="34">
        <v>1</v>
      </c>
      <c r="CM31" s="34">
        <v>0</v>
      </c>
      <c r="CN31" s="5" t="s">
        <v>98</v>
      </c>
    </row>
    <row r="32" spans="1:92" ht="15.75" customHeight="1" x14ac:dyDescent="0.15">
      <c r="A32" s="51">
        <v>45860.575204131943</v>
      </c>
      <c r="B32" s="3" t="s">
        <v>29</v>
      </c>
      <c r="C32" s="17">
        <v>3</v>
      </c>
      <c r="D32" s="116"/>
      <c r="E32" s="6" t="s">
        <v>90</v>
      </c>
      <c r="F32" s="17">
        <v>2</v>
      </c>
      <c r="G32" s="116"/>
      <c r="H32" s="6" t="s">
        <v>91</v>
      </c>
      <c r="I32" s="17">
        <v>3</v>
      </c>
      <c r="J32" s="116"/>
      <c r="K32" s="43" t="s">
        <v>56</v>
      </c>
      <c r="L32" s="17">
        <v>2</v>
      </c>
      <c r="M32" s="119"/>
      <c r="N32" s="1" t="s">
        <v>33</v>
      </c>
      <c r="O32" s="18">
        <v>1</v>
      </c>
      <c r="P32" s="117"/>
      <c r="Q32" s="1" t="s">
        <v>34</v>
      </c>
      <c r="R32" s="17">
        <v>1</v>
      </c>
      <c r="S32" s="119"/>
      <c r="T32" s="1" t="s">
        <v>57</v>
      </c>
      <c r="U32" s="17">
        <v>1</v>
      </c>
      <c r="V32" s="119"/>
      <c r="W32" s="1" t="s">
        <v>92</v>
      </c>
      <c r="X32" s="17">
        <v>1</v>
      </c>
      <c r="Y32" s="119"/>
      <c r="Z32" s="1" t="s">
        <v>58</v>
      </c>
      <c r="AA32" s="17">
        <v>0</v>
      </c>
      <c r="AB32" s="119"/>
      <c r="AC32" s="1" t="s">
        <v>46</v>
      </c>
      <c r="AD32" s="17">
        <v>2</v>
      </c>
      <c r="AE32" s="119"/>
      <c r="AF32" s="1" t="s">
        <v>83</v>
      </c>
      <c r="AG32" s="17">
        <v>0</v>
      </c>
      <c r="AH32" s="119"/>
      <c r="AI32" s="11" t="s">
        <v>84</v>
      </c>
      <c r="AJ32" s="25">
        <v>0</v>
      </c>
      <c r="AK32" s="127"/>
      <c r="AL32" s="1" t="s">
        <v>85</v>
      </c>
      <c r="AM32" s="17">
        <v>3</v>
      </c>
      <c r="AN32" s="119"/>
      <c r="AO32" s="1" t="s">
        <v>42</v>
      </c>
      <c r="AP32" s="17">
        <v>3</v>
      </c>
      <c r="AQ32" s="119"/>
      <c r="AR32" s="1" t="s">
        <v>61</v>
      </c>
      <c r="AS32" s="17">
        <v>2</v>
      </c>
      <c r="AT32" s="119"/>
      <c r="AU32" s="1" t="s">
        <v>44</v>
      </c>
      <c r="AV32" s="17">
        <v>0</v>
      </c>
      <c r="AW32" s="119"/>
      <c r="AX32" s="1" t="s">
        <v>73</v>
      </c>
      <c r="AY32" s="17">
        <v>2</v>
      </c>
      <c r="AZ32" s="119"/>
      <c r="BA32" s="1" t="s">
        <v>59</v>
      </c>
      <c r="BB32" s="17">
        <v>0</v>
      </c>
      <c r="BC32" s="17">
        <v>1</v>
      </c>
      <c r="BD32" s="17">
        <v>0</v>
      </c>
      <c r="BE32" s="17">
        <v>1</v>
      </c>
      <c r="BF32" s="17">
        <v>0</v>
      </c>
      <c r="BG32" s="17">
        <v>0</v>
      </c>
      <c r="BH32" s="149" t="s">
        <v>133</v>
      </c>
      <c r="BI32" s="17">
        <v>0</v>
      </c>
      <c r="BJ32" s="131"/>
      <c r="BK32" s="1" t="s">
        <v>75</v>
      </c>
      <c r="BL32" s="17">
        <v>1</v>
      </c>
      <c r="BM32" s="119"/>
      <c r="BN32" s="1" t="s">
        <v>59</v>
      </c>
      <c r="BO32" s="17">
        <v>0</v>
      </c>
      <c r="BP32" s="119"/>
      <c r="BQ32" s="17" t="s">
        <v>87</v>
      </c>
      <c r="BR32" s="17">
        <v>0</v>
      </c>
      <c r="BS32" s="119"/>
      <c r="BT32" s="1" t="s">
        <v>46</v>
      </c>
      <c r="BU32" s="17">
        <v>2</v>
      </c>
      <c r="BV32" s="119"/>
      <c r="BW32" s="1" t="s">
        <v>51</v>
      </c>
      <c r="BX32" s="17">
        <v>3</v>
      </c>
      <c r="BY32" s="119"/>
      <c r="BZ32" s="1" t="s">
        <v>52</v>
      </c>
      <c r="CA32" s="17">
        <v>3</v>
      </c>
      <c r="CB32" s="119"/>
      <c r="CC32" s="1" t="s">
        <v>36</v>
      </c>
      <c r="CD32" s="17">
        <v>0</v>
      </c>
      <c r="CE32" s="119"/>
      <c r="CF32" s="17" t="s">
        <v>49</v>
      </c>
      <c r="CG32" s="17">
        <v>2</v>
      </c>
      <c r="CH32" s="119"/>
      <c r="CI32" s="1" t="s">
        <v>78</v>
      </c>
      <c r="CJ32" s="33">
        <v>1</v>
      </c>
      <c r="CK32" s="33">
        <v>0</v>
      </c>
      <c r="CL32" s="33">
        <v>1</v>
      </c>
      <c r="CM32" s="33">
        <v>0</v>
      </c>
      <c r="CN32" s="2" t="s">
        <v>54</v>
      </c>
    </row>
    <row r="33" spans="1:92" ht="15.75" customHeight="1" x14ac:dyDescent="0.15">
      <c r="A33" s="51">
        <v>45860.580864594907</v>
      </c>
      <c r="B33" s="3" t="s">
        <v>29</v>
      </c>
      <c r="C33" s="18">
        <v>2</v>
      </c>
      <c r="D33" s="117"/>
      <c r="E33" s="6" t="s">
        <v>55</v>
      </c>
      <c r="F33" s="18">
        <v>1</v>
      </c>
      <c r="G33" s="117"/>
      <c r="H33" s="6" t="s">
        <v>31</v>
      </c>
      <c r="I33" s="18">
        <v>1</v>
      </c>
      <c r="J33" s="117"/>
      <c r="K33" s="43" t="s">
        <v>32</v>
      </c>
      <c r="L33" s="18">
        <v>2</v>
      </c>
      <c r="M33" s="120"/>
      <c r="N33" s="4" t="s">
        <v>33</v>
      </c>
      <c r="O33" s="18">
        <v>1</v>
      </c>
      <c r="P33" s="120"/>
      <c r="Q33" s="4" t="s">
        <v>34</v>
      </c>
      <c r="R33" s="18">
        <v>1</v>
      </c>
      <c r="S33" s="120"/>
      <c r="T33" s="4" t="s">
        <v>57</v>
      </c>
      <c r="U33" s="18">
        <v>1</v>
      </c>
      <c r="V33" s="120"/>
      <c r="W33" s="4" t="s">
        <v>92</v>
      </c>
      <c r="X33" s="18">
        <v>2</v>
      </c>
      <c r="Y33" s="120"/>
      <c r="Z33" s="4" t="s">
        <v>37</v>
      </c>
      <c r="AA33" s="18">
        <v>3</v>
      </c>
      <c r="AB33" s="120"/>
      <c r="AC33" s="4" t="s">
        <v>38</v>
      </c>
      <c r="AD33" s="18">
        <v>1</v>
      </c>
      <c r="AE33" s="120"/>
      <c r="AF33" s="4" t="s">
        <v>39</v>
      </c>
      <c r="AG33" s="18">
        <v>0</v>
      </c>
      <c r="AH33" s="120"/>
      <c r="AI33" s="13" t="s">
        <v>84</v>
      </c>
      <c r="AJ33" s="24">
        <v>3</v>
      </c>
      <c r="AK33" s="126"/>
      <c r="AL33" s="4" t="s">
        <v>41</v>
      </c>
      <c r="AM33" s="18">
        <v>2</v>
      </c>
      <c r="AN33" s="120"/>
      <c r="AO33" s="4" t="s">
        <v>72</v>
      </c>
      <c r="AP33" s="18">
        <v>3</v>
      </c>
      <c r="AQ33" s="120"/>
      <c r="AR33" s="4" t="s">
        <v>61</v>
      </c>
      <c r="AS33" s="18">
        <v>3</v>
      </c>
      <c r="AT33" s="120"/>
      <c r="AU33" s="4" t="s">
        <v>79</v>
      </c>
      <c r="AV33" s="18">
        <v>2</v>
      </c>
      <c r="AW33" s="120"/>
      <c r="AX33" s="4" t="s">
        <v>80</v>
      </c>
      <c r="AY33" s="18">
        <v>2</v>
      </c>
      <c r="AZ33" s="120"/>
      <c r="BA33" s="4" t="s">
        <v>59</v>
      </c>
      <c r="BB33" s="18">
        <v>1</v>
      </c>
      <c r="BC33" s="18">
        <v>1</v>
      </c>
      <c r="BD33" s="18">
        <v>0</v>
      </c>
      <c r="BE33" s="18">
        <v>0</v>
      </c>
      <c r="BF33" s="18">
        <v>0</v>
      </c>
      <c r="BG33" s="18">
        <v>0</v>
      </c>
      <c r="BH33" s="150" t="s">
        <v>81</v>
      </c>
      <c r="BI33" s="18">
        <v>0</v>
      </c>
      <c r="BJ33" s="130"/>
      <c r="BK33" s="4" t="s">
        <v>75</v>
      </c>
      <c r="BL33" s="18">
        <v>3</v>
      </c>
      <c r="BM33" s="120"/>
      <c r="BN33" s="4" t="s">
        <v>49</v>
      </c>
      <c r="BO33" s="18">
        <v>1</v>
      </c>
      <c r="BP33" s="120"/>
      <c r="BQ33" s="18" t="s">
        <v>50</v>
      </c>
      <c r="BR33" s="18">
        <v>2</v>
      </c>
      <c r="BS33" s="120"/>
      <c r="BT33" s="4" t="s">
        <v>65</v>
      </c>
      <c r="BU33" s="18">
        <v>0</v>
      </c>
      <c r="BV33" s="120"/>
      <c r="BW33" s="4" t="s">
        <v>88</v>
      </c>
      <c r="BX33" s="18">
        <v>2</v>
      </c>
      <c r="BY33" s="120"/>
      <c r="BZ33" s="4" t="s">
        <v>97</v>
      </c>
      <c r="CA33" s="18">
        <v>2</v>
      </c>
      <c r="CB33" s="120"/>
      <c r="CC33" s="4" t="s">
        <v>76</v>
      </c>
      <c r="CD33" s="18">
        <v>1</v>
      </c>
      <c r="CE33" s="120"/>
      <c r="CF33" s="18" t="s">
        <v>77</v>
      </c>
      <c r="CG33" s="18">
        <v>2</v>
      </c>
      <c r="CH33" s="120"/>
      <c r="CI33" s="4" t="s">
        <v>78</v>
      </c>
      <c r="CJ33" s="34">
        <v>0</v>
      </c>
      <c r="CK33" s="34">
        <v>1</v>
      </c>
      <c r="CL33" s="34">
        <v>1</v>
      </c>
      <c r="CM33" s="34">
        <v>0</v>
      </c>
      <c r="CN33" s="5" t="s">
        <v>98</v>
      </c>
    </row>
    <row r="34" spans="1:92" ht="15.75" customHeight="1" x14ac:dyDescent="0.15">
      <c r="A34" s="51">
        <v>45860.584260347227</v>
      </c>
      <c r="B34" s="3" t="s">
        <v>29</v>
      </c>
      <c r="C34" s="17">
        <v>3</v>
      </c>
      <c r="D34" s="116"/>
      <c r="E34" s="6" t="s">
        <v>90</v>
      </c>
      <c r="F34" s="17">
        <v>1</v>
      </c>
      <c r="G34" s="116"/>
      <c r="H34" s="6" t="s">
        <v>31</v>
      </c>
      <c r="I34" s="17">
        <v>1</v>
      </c>
      <c r="J34" s="116"/>
      <c r="K34" s="43" t="s">
        <v>32</v>
      </c>
      <c r="L34" s="17">
        <v>2</v>
      </c>
      <c r="M34" s="119"/>
      <c r="N34" s="1" t="s">
        <v>33</v>
      </c>
      <c r="O34" s="18">
        <v>1</v>
      </c>
      <c r="P34" s="117"/>
      <c r="Q34" s="1" t="s">
        <v>34</v>
      </c>
      <c r="R34" s="17">
        <v>0</v>
      </c>
      <c r="S34" s="119"/>
      <c r="T34" s="1" t="s">
        <v>49</v>
      </c>
      <c r="U34" s="17">
        <v>1</v>
      </c>
      <c r="V34" s="119"/>
      <c r="W34" s="1" t="s">
        <v>92</v>
      </c>
      <c r="X34" s="17">
        <v>1</v>
      </c>
      <c r="Y34" s="119"/>
      <c r="Z34" s="1" t="s">
        <v>58</v>
      </c>
      <c r="AA34" s="17">
        <v>2</v>
      </c>
      <c r="AB34" s="119"/>
      <c r="AC34" s="1" t="s">
        <v>59</v>
      </c>
      <c r="AD34" s="17">
        <v>0</v>
      </c>
      <c r="AE34" s="119"/>
      <c r="AF34" s="1" t="s">
        <v>70</v>
      </c>
      <c r="AG34" s="17">
        <v>3</v>
      </c>
      <c r="AH34" s="119"/>
      <c r="AI34" s="11" t="s">
        <v>94</v>
      </c>
      <c r="AJ34" s="25">
        <v>2</v>
      </c>
      <c r="AK34" s="127"/>
      <c r="AL34" s="1" t="s">
        <v>71</v>
      </c>
      <c r="AM34" s="17">
        <v>2</v>
      </c>
      <c r="AN34" s="119"/>
      <c r="AO34" s="1" t="s">
        <v>72</v>
      </c>
      <c r="AP34" s="17">
        <v>3</v>
      </c>
      <c r="AQ34" s="119"/>
      <c r="AR34" s="1" t="s">
        <v>61</v>
      </c>
      <c r="AS34" s="17">
        <v>2</v>
      </c>
      <c r="AT34" s="119"/>
      <c r="AU34" s="1" t="s">
        <v>44</v>
      </c>
      <c r="AV34" s="17">
        <v>1</v>
      </c>
      <c r="AW34" s="119"/>
      <c r="AX34" s="1" t="s">
        <v>45</v>
      </c>
      <c r="AY34" s="17">
        <v>1</v>
      </c>
      <c r="AZ34" s="119"/>
      <c r="BA34" s="1" t="s">
        <v>69</v>
      </c>
      <c r="BB34" s="17">
        <v>1</v>
      </c>
      <c r="BC34" s="17">
        <v>0</v>
      </c>
      <c r="BD34" s="17">
        <v>1</v>
      </c>
      <c r="BE34" s="17">
        <v>0</v>
      </c>
      <c r="BF34" s="17">
        <v>0</v>
      </c>
      <c r="BG34" s="17">
        <v>0</v>
      </c>
      <c r="BH34" s="149" t="s">
        <v>47</v>
      </c>
      <c r="BI34" s="17">
        <v>0</v>
      </c>
      <c r="BJ34" s="131"/>
      <c r="BK34" s="1" t="s">
        <v>75</v>
      </c>
      <c r="BL34" s="17">
        <v>1</v>
      </c>
      <c r="BM34" s="119"/>
      <c r="BN34" s="1" t="s">
        <v>59</v>
      </c>
      <c r="BO34" s="17">
        <v>0</v>
      </c>
      <c r="BP34" s="119"/>
      <c r="BQ34" s="17" t="s">
        <v>87</v>
      </c>
      <c r="BR34" s="17">
        <v>1</v>
      </c>
      <c r="BS34" s="119"/>
      <c r="BT34" s="1" t="s">
        <v>69</v>
      </c>
      <c r="BU34" s="17">
        <v>2</v>
      </c>
      <c r="BV34" s="119"/>
      <c r="BW34" s="1" t="s">
        <v>51</v>
      </c>
      <c r="BX34" s="17">
        <v>3</v>
      </c>
      <c r="BY34" s="119"/>
      <c r="BZ34" s="1" t="s">
        <v>52</v>
      </c>
      <c r="CA34" s="17">
        <v>2</v>
      </c>
      <c r="CB34" s="119"/>
      <c r="CC34" s="1" t="s">
        <v>76</v>
      </c>
      <c r="CD34" s="17">
        <v>0</v>
      </c>
      <c r="CE34" s="119"/>
      <c r="CF34" s="17" t="s">
        <v>49</v>
      </c>
      <c r="CG34" s="17">
        <v>0</v>
      </c>
      <c r="CH34" s="119"/>
      <c r="CI34" s="1" t="s">
        <v>89</v>
      </c>
      <c r="CJ34" s="33">
        <v>0</v>
      </c>
      <c r="CK34" s="33">
        <v>0</v>
      </c>
      <c r="CL34" s="33">
        <v>1</v>
      </c>
      <c r="CM34" s="33">
        <v>0</v>
      </c>
      <c r="CN34" s="2" t="s">
        <v>120</v>
      </c>
    </row>
    <row r="35" spans="1:92" ht="15.75" customHeight="1" x14ac:dyDescent="0.15">
      <c r="A35" s="51">
        <v>45860.58499023148</v>
      </c>
      <c r="B35" s="3" t="s">
        <v>29</v>
      </c>
      <c r="C35" s="18">
        <v>2</v>
      </c>
      <c r="D35" s="117"/>
      <c r="E35" s="6" t="s">
        <v>55</v>
      </c>
      <c r="F35" s="18">
        <v>1</v>
      </c>
      <c r="G35" s="117"/>
      <c r="H35" s="6" t="s">
        <v>31</v>
      </c>
      <c r="I35" s="18">
        <v>1</v>
      </c>
      <c r="J35" s="117"/>
      <c r="K35" s="43" t="s">
        <v>32</v>
      </c>
      <c r="L35" s="18">
        <v>2</v>
      </c>
      <c r="M35" s="120"/>
      <c r="N35" s="4" t="s">
        <v>33</v>
      </c>
      <c r="O35" s="18">
        <v>1</v>
      </c>
      <c r="P35" s="120"/>
      <c r="Q35" s="4" t="s">
        <v>34</v>
      </c>
      <c r="R35" s="18">
        <v>1</v>
      </c>
      <c r="S35" s="120"/>
      <c r="T35" s="4" t="s">
        <v>57</v>
      </c>
      <c r="U35" s="18">
        <v>1</v>
      </c>
      <c r="V35" s="120"/>
      <c r="W35" s="4" t="s">
        <v>92</v>
      </c>
      <c r="X35" s="18">
        <v>1</v>
      </c>
      <c r="Y35" s="120"/>
      <c r="Z35" s="4" t="s">
        <v>58</v>
      </c>
      <c r="AA35" s="18">
        <v>2</v>
      </c>
      <c r="AB35" s="120"/>
      <c r="AC35" s="4" t="s">
        <v>59</v>
      </c>
      <c r="AD35" s="18">
        <v>2</v>
      </c>
      <c r="AE35" s="120"/>
      <c r="AF35" s="4" t="s">
        <v>83</v>
      </c>
      <c r="AG35" s="18">
        <v>3</v>
      </c>
      <c r="AH35" s="120"/>
      <c r="AI35" s="13" t="s">
        <v>94</v>
      </c>
      <c r="AJ35" s="24">
        <v>2</v>
      </c>
      <c r="AK35" s="126"/>
      <c r="AL35" s="4" t="s">
        <v>71</v>
      </c>
      <c r="AM35" s="18">
        <v>2</v>
      </c>
      <c r="AN35" s="120"/>
      <c r="AO35" s="4" t="s">
        <v>72</v>
      </c>
      <c r="AP35" s="18">
        <v>3</v>
      </c>
      <c r="AQ35" s="120"/>
      <c r="AR35" s="4" t="s">
        <v>61</v>
      </c>
      <c r="AS35" s="18">
        <v>2</v>
      </c>
      <c r="AT35" s="120"/>
      <c r="AU35" s="4" t="s">
        <v>44</v>
      </c>
      <c r="AV35" s="18">
        <v>0</v>
      </c>
      <c r="AW35" s="120"/>
      <c r="AX35" s="4" t="s">
        <v>62</v>
      </c>
      <c r="AY35" s="18">
        <v>2</v>
      </c>
      <c r="AZ35" s="120"/>
      <c r="BA35" s="4" t="s">
        <v>59</v>
      </c>
      <c r="BB35" s="18">
        <v>1</v>
      </c>
      <c r="BC35" s="18">
        <v>0</v>
      </c>
      <c r="BD35" s="18">
        <v>1</v>
      </c>
      <c r="BE35" s="18">
        <v>0</v>
      </c>
      <c r="BF35" s="18">
        <v>0</v>
      </c>
      <c r="BG35" s="18">
        <v>0</v>
      </c>
      <c r="BH35" s="150" t="s">
        <v>47</v>
      </c>
      <c r="BI35" s="18">
        <v>0</v>
      </c>
      <c r="BJ35" s="130"/>
      <c r="BK35" s="4" t="s">
        <v>75</v>
      </c>
      <c r="BL35" s="18">
        <v>1</v>
      </c>
      <c r="BM35" s="120"/>
      <c r="BN35" s="4" t="s">
        <v>59</v>
      </c>
      <c r="BO35" s="18">
        <v>1</v>
      </c>
      <c r="BP35" s="120"/>
      <c r="BQ35" s="18" t="s">
        <v>50</v>
      </c>
      <c r="BR35" s="18">
        <v>2</v>
      </c>
      <c r="BS35" s="120"/>
      <c r="BT35" s="4" t="s">
        <v>65</v>
      </c>
      <c r="BU35" s="18">
        <v>2</v>
      </c>
      <c r="BV35" s="120"/>
      <c r="BW35" s="4" t="s">
        <v>51</v>
      </c>
      <c r="BX35" s="18">
        <v>3</v>
      </c>
      <c r="BY35" s="120"/>
      <c r="BZ35" s="4" t="s">
        <v>52</v>
      </c>
      <c r="CA35" s="18">
        <v>2</v>
      </c>
      <c r="CB35" s="120"/>
      <c r="CC35" s="4" t="s">
        <v>76</v>
      </c>
      <c r="CD35" s="18">
        <v>0</v>
      </c>
      <c r="CE35" s="120"/>
      <c r="CF35" s="18" t="s">
        <v>49</v>
      </c>
      <c r="CG35" s="18">
        <v>2</v>
      </c>
      <c r="CH35" s="120"/>
      <c r="CI35" s="4" t="s">
        <v>78</v>
      </c>
      <c r="CJ35" s="34">
        <v>0</v>
      </c>
      <c r="CK35" s="34">
        <v>1</v>
      </c>
      <c r="CL35" s="34">
        <v>1</v>
      </c>
      <c r="CM35" s="34">
        <v>0</v>
      </c>
      <c r="CN35" s="5" t="s">
        <v>98</v>
      </c>
    </row>
    <row r="36" spans="1:92" ht="48" customHeight="1" x14ac:dyDescent="0.15">
      <c r="A36" s="51">
        <v>45860.587486898148</v>
      </c>
      <c r="B36" s="3" t="s">
        <v>29</v>
      </c>
      <c r="C36" s="17">
        <v>3</v>
      </c>
      <c r="D36" s="116"/>
      <c r="E36" s="6" t="s">
        <v>90</v>
      </c>
      <c r="F36" s="17">
        <v>1</v>
      </c>
      <c r="G36" s="116"/>
      <c r="H36" s="6" t="s">
        <v>31</v>
      </c>
      <c r="I36" s="17">
        <v>2</v>
      </c>
      <c r="J36" s="116"/>
      <c r="K36" s="43" t="s">
        <v>116</v>
      </c>
      <c r="L36" s="17">
        <v>2</v>
      </c>
      <c r="M36" s="119"/>
      <c r="N36" s="1" t="s">
        <v>33</v>
      </c>
      <c r="O36" s="18">
        <v>1</v>
      </c>
      <c r="P36" s="117"/>
      <c r="Q36" s="1" t="s">
        <v>34</v>
      </c>
      <c r="R36" s="17">
        <v>2</v>
      </c>
      <c r="S36" s="119"/>
      <c r="T36" s="1" t="s">
        <v>35</v>
      </c>
      <c r="U36" s="17">
        <v>2</v>
      </c>
      <c r="V36" s="119"/>
      <c r="W36" s="1" t="s">
        <v>36</v>
      </c>
      <c r="X36" s="17">
        <v>2</v>
      </c>
      <c r="Y36" s="119"/>
      <c r="Z36" s="14" t="s">
        <v>134</v>
      </c>
      <c r="AA36" s="17">
        <v>3</v>
      </c>
      <c r="AB36" s="119"/>
      <c r="AC36" s="1" t="s">
        <v>38</v>
      </c>
      <c r="AD36" s="17">
        <v>2</v>
      </c>
      <c r="AE36" s="119"/>
      <c r="AF36" s="1" t="s">
        <v>83</v>
      </c>
      <c r="AG36" s="17">
        <v>0</v>
      </c>
      <c r="AH36" s="119"/>
      <c r="AI36" s="11" t="s">
        <v>84</v>
      </c>
      <c r="AJ36" s="25">
        <v>3</v>
      </c>
      <c r="AK36" s="127"/>
      <c r="AL36" s="1" t="s">
        <v>41</v>
      </c>
      <c r="AM36" s="17">
        <v>3</v>
      </c>
      <c r="AN36" s="119"/>
      <c r="AO36" s="1" t="s">
        <v>42</v>
      </c>
      <c r="AP36" s="17">
        <v>3</v>
      </c>
      <c r="AQ36" s="119"/>
      <c r="AR36" s="1" t="s">
        <v>61</v>
      </c>
      <c r="AS36" s="17">
        <v>2</v>
      </c>
      <c r="AT36" s="119"/>
      <c r="AU36" s="1" t="s">
        <v>44</v>
      </c>
      <c r="AV36" s="17">
        <v>1</v>
      </c>
      <c r="AW36" s="119"/>
      <c r="AX36" s="1" t="s">
        <v>45</v>
      </c>
      <c r="AY36" s="17">
        <v>1</v>
      </c>
      <c r="AZ36" s="119"/>
      <c r="BA36" s="1" t="s">
        <v>69</v>
      </c>
      <c r="BB36" s="17">
        <v>1</v>
      </c>
      <c r="BC36" s="17">
        <v>0</v>
      </c>
      <c r="BD36" s="17">
        <v>0</v>
      </c>
      <c r="BE36" s="17">
        <v>1</v>
      </c>
      <c r="BF36" s="17">
        <v>0</v>
      </c>
      <c r="BG36" s="17">
        <v>0</v>
      </c>
      <c r="BH36" s="149" t="s">
        <v>74</v>
      </c>
      <c r="BI36" s="17">
        <v>0</v>
      </c>
      <c r="BJ36" s="131"/>
      <c r="BK36" s="1" t="s">
        <v>75</v>
      </c>
      <c r="BL36" s="17">
        <v>3</v>
      </c>
      <c r="BM36" s="119"/>
      <c r="BN36" s="1" t="s">
        <v>49</v>
      </c>
      <c r="BO36" s="17">
        <v>2</v>
      </c>
      <c r="BP36" s="119"/>
      <c r="BQ36" s="17" t="s">
        <v>117</v>
      </c>
      <c r="BR36" s="17">
        <v>3</v>
      </c>
      <c r="BS36" s="119"/>
      <c r="BT36" s="1" t="s">
        <v>38</v>
      </c>
      <c r="BU36" s="17">
        <v>0</v>
      </c>
      <c r="BV36" s="119"/>
      <c r="BW36" s="1" t="s">
        <v>88</v>
      </c>
      <c r="BX36" s="17">
        <v>3</v>
      </c>
      <c r="BY36" s="119"/>
      <c r="BZ36" s="11" t="s">
        <v>135</v>
      </c>
      <c r="CA36" s="17">
        <v>2</v>
      </c>
      <c r="CB36" s="119"/>
      <c r="CC36" s="1" t="s">
        <v>76</v>
      </c>
      <c r="CD36" s="17">
        <v>0</v>
      </c>
      <c r="CE36" s="119"/>
      <c r="CF36" s="17" t="s">
        <v>49</v>
      </c>
      <c r="CG36" s="17">
        <v>2</v>
      </c>
      <c r="CH36" s="119"/>
      <c r="CI36" s="1" t="s">
        <v>78</v>
      </c>
      <c r="CJ36" s="33">
        <v>0</v>
      </c>
      <c r="CK36" s="33">
        <v>1</v>
      </c>
      <c r="CL36" s="33">
        <v>1</v>
      </c>
      <c r="CM36" s="33">
        <v>0</v>
      </c>
      <c r="CN36" s="2" t="s">
        <v>98</v>
      </c>
    </row>
    <row r="37" spans="1:92" ht="15.75" customHeight="1" x14ac:dyDescent="0.15">
      <c r="A37" s="51">
        <v>45860.591904016204</v>
      </c>
      <c r="B37" s="3" t="s">
        <v>29</v>
      </c>
      <c r="C37" s="18">
        <v>1</v>
      </c>
      <c r="D37" s="117"/>
      <c r="E37" s="6" t="s">
        <v>114</v>
      </c>
      <c r="F37" s="18">
        <v>1</v>
      </c>
      <c r="G37" s="117"/>
      <c r="H37" s="6" t="s">
        <v>31</v>
      </c>
      <c r="I37" s="18">
        <v>1</v>
      </c>
      <c r="J37" s="117"/>
      <c r="K37" s="43" t="s">
        <v>32</v>
      </c>
      <c r="L37" s="18">
        <v>2</v>
      </c>
      <c r="M37" s="120"/>
      <c r="N37" s="4" t="s">
        <v>33</v>
      </c>
      <c r="O37" s="18">
        <v>1</v>
      </c>
      <c r="P37" s="120"/>
      <c r="Q37" s="4" t="s">
        <v>34</v>
      </c>
      <c r="R37" s="18">
        <v>1</v>
      </c>
      <c r="S37" s="120"/>
      <c r="T37" s="4" t="s">
        <v>57</v>
      </c>
      <c r="U37" s="18">
        <v>1</v>
      </c>
      <c r="V37" s="120"/>
      <c r="W37" s="4" t="s">
        <v>92</v>
      </c>
      <c r="X37" s="18">
        <v>1</v>
      </c>
      <c r="Y37" s="120"/>
      <c r="Z37" s="4" t="s">
        <v>58</v>
      </c>
      <c r="AA37" s="18">
        <v>2</v>
      </c>
      <c r="AB37" s="120"/>
      <c r="AC37" s="4" t="s">
        <v>59</v>
      </c>
      <c r="AD37" s="18">
        <v>0</v>
      </c>
      <c r="AE37" s="120"/>
      <c r="AF37" s="4" t="s">
        <v>70</v>
      </c>
      <c r="AG37" s="18">
        <v>3</v>
      </c>
      <c r="AH37" s="120"/>
      <c r="AI37" s="13" t="s">
        <v>94</v>
      </c>
      <c r="AJ37" s="24">
        <v>0</v>
      </c>
      <c r="AK37" s="126"/>
      <c r="AL37" s="4" t="s">
        <v>85</v>
      </c>
      <c r="AM37" s="18">
        <v>2</v>
      </c>
      <c r="AN37" s="120"/>
      <c r="AO37" s="4" t="s">
        <v>72</v>
      </c>
      <c r="AP37" s="18">
        <v>3</v>
      </c>
      <c r="AQ37" s="120"/>
      <c r="AR37" s="4" t="s">
        <v>61</v>
      </c>
      <c r="AS37" s="18">
        <v>2</v>
      </c>
      <c r="AT37" s="120"/>
      <c r="AU37" s="4" t="s">
        <v>44</v>
      </c>
      <c r="AV37" s="18">
        <v>2</v>
      </c>
      <c r="AW37" s="120"/>
      <c r="AX37" s="4" t="s">
        <v>80</v>
      </c>
      <c r="AY37" s="18">
        <v>3</v>
      </c>
      <c r="AZ37" s="120"/>
      <c r="BA37" s="4" t="s">
        <v>46</v>
      </c>
      <c r="BB37" s="18">
        <v>1</v>
      </c>
      <c r="BC37" s="18">
        <v>0</v>
      </c>
      <c r="BD37" s="18">
        <v>1</v>
      </c>
      <c r="BE37" s="18">
        <v>0</v>
      </c>
      <c r="BF37" s="18">
        <v>0</v>
      </c>
      <c r="BG37" s="18">
        <v>0</v>
      </c>
      <c r="BH37" s="150" t="s">
        <v>47</v>
      </c>
      <c r="BI37" s="18">
        <v>0</v>
      </c>
      <c r="BJ37" s="130"/>
      <c r="BK37" s="4" t="s">
        <v>75</v>
      </c>
      <c r="BL37" s="18">
        <v>3</v>
      </c>
      <c r="BM37" s="120"/>
      <c r="BN37" s="4" t="s">
        <v>49</v>
      </c>
      <c r="BO37" s="18">
        <v>1</v>
      </c>
      <c r="BP37" s="120"/>
      <c r="BQ37" s="18" t="s">
        <v>50</v>
      </c>
      <c r="BR37" s="18">
        <v>3</v>
      </c>
      <c r="BS37" s="120"/>
      <c r="BT37" s="4" t="s">
        <v>38</v>
      </c>
      <c r="BU37" s="18">
        <v>1</v>
      </c>
      <c r="BV37" s="120"/>
      <c r="BW37" s="4" t="s">
        <v>66</v>
      </c>
      <c r="BX37" s="18">
        <v>3</v>
      </c>
      <c r="BY37" s="120"/>
      <c r="BZ37" s="4" t="s">
        <v>52</v>
      </c>
      <c r="CA37" s="18">
        <v>3</v>
      </c>
      <c r="CB37" s="120"/>
      <c r="CC37" s="4" t="s">
        <v>36</v>
      </c>
      <c r="CD37" s="18">
        <v>0</v>
      </c>
      <c r="CE37" s="120"/>
      <c r="CF37" s="18" t="s">
        <v>49</v>
      </c>
      <c r="CG37" s="18">
        <v>0</v>
      </c>
      <c r="CH37" s="120"/>
      <c r="CI37" s="4" t="s">
        <v>89</v>
      </c>
      <c r="CJ37" s="34">
        <v>0</v>
      </c>
      <c r="CK37" s="34">
        <v>1</v>
      </c>
      <c r="CL37" s="34">
        <v>1</v>
      </c>
      <c r="CM37" s="34">
        <v>0</v>
      </c>
      <c r="CN37" s="5" t="s">
        <v>98</v>
      </c>
    </row>
    <row r="38" spans="1:92" ht="15.75" customHeight="1" x14ac:dyDescent="0.15">
      <c r="A38" s="51">
        <v>45860.592564872684</v>
      </c>
      <c r="B38" s="3" t="s">
        <v>29</v>
      </c>
      <c r="C38" s="17">
        <v>2</v>
      </c>
      <c r="D38" s="116"/>
      <c r="E38" s="6" t="s">
        <v>55</v>
      </c>
      <c r="F38" s="17">
        <v>1</v>
      </c>
      <c r="G38" s="116"/>
      <c r="H38" s="6" t="s">
        <v>31</v>
      </c>
      <c r="I38" s="17">
        <v>3</v>
      </c>
      <c r="J38" s="116"/>
      <c r="K38" s="43" t="s">
        <v>56</v>
      </c>
      <c r="L38" s="17">
        <v>2</v>
      </c>
      <c r="M38" s="119"/>
      <c r="N38" s="1" t="s">
        <v>33</v>
      </c>
      <c r="O38" s="18">
        <v>1</v>
      </c>
      <c r="P38" s="117"/>
      <c r="Q38" s="1" t="s">
        <v>34</v>
      </c>
      <c r="R38" s="17">
        <v>1</v>
      </c>
      <c r="S38" s="119"/>
      <c r="T38" s="1" t="s">
        <v>57</v>
      </c>
      <c r="U38" s="17">
        <v>1</v>
      </c>
      <c r="V38" s="119"/>
      <c r="W38" s="1" t="s">
        <v>92</v>
      </c>
      <c r="X38" s="17">
        <v>0</v>
      </c>
      <c r="Y38" s="119"/>
      <c r="Z38" s="1" t="s">
        <v>108</v>
      </c>
      <c r="AA38" s="17">
        <v>1</v>
      </c>
      <c r="AB38" s="119"/>
      <c r="AC38" s="1" t="s">
        <v>69</v>
      </c>
      <c r="AD38" s="17">
        <v>4</v>
      </c>
      <c r="AE38" s="119"/>
      <c r="AF38" s="1" t="s">
        <v>93</v>
      </c>
      <c r="AG38" s="17">
        <v>0</v>
      </c>
      <c r="AH38" s="119"/>
      <c r="AI38" s="11" t="s">
        <v>84</v>
      </c>
      <c r="AJ38" s="25">
        <v>0</v>
      </c>
      <c r="AK38" s="127"/>
      <c r="AL38" s="1" t="s">
        <v>85</v>
      </c>
      <c r="AM38" s="17">
        <v>0</v>
      </c>
      <c r="AN38" s="119"/>
      <c r="AO38" s="1" t="s">
        <v>110</v>
      </c>
      <c r="AP38" s="17">
        <v>3</v>
      </c>
      <c r="AQ38" s="119"/>
      <c r="AR38" s="1" t="s">
        <v>61</v>
      </c>
      <c r="AS38" s="17">
        <v>0</v>
      </c>
      <c r="AT38" s="119"/>
      <c r="AU38" s="1" t="s">
        <v>102</v>
      </c>
      <c r="AV38" s="17">
        <v>0</v>
      </c>
      <c r="AW38" s="119"/>
      <c r="AX38" s="1" t="s">
        <v>73</v>
      </c>
      <c r="AY38" s="17">
        <v>2</v>
      </c>
      <c r="AZ38" s="119"/>
      <c r="BA38" s="1" t="s">
        <v>59</v>
      </c>
      <c r="BB38" s="17">
        <v>0</v>
      </c>
      <c r="BC38" s="17">
        <v>0</v>
      </c>
      <c r="BD38" s="17">
        <v>1</v>
      </c>
      <c r="BE38" s="17">
        <v>1</v>
      </c>
      <c r="BF38" s="17">
        <v>0</v>
      </c>
      <c r="BG38" s="17">
        <v>0</v>
      </c>
      <c r="BH38" s="149" t="s">
        <v>95</v>
      </c>
      <c r="BI38" s="17">
        <v>0</v>
      </c>
      <c r="BJ38" s="131"/>
      <c r="BK38" s="1" t="s">
        <v>75</v>
      </c>
      <c r="BL38" s="17">
        <v>1</v>
      </c>
      <c r="BM38" s="119"/>
      <c r="BN38" s="1" t="s">
        <v>59</v>
      </c>
      <c r="BO38" s="17">
        <v>1</v>
      </c>
      <c r="BP38" s="119"/>
      <c r="BQ38" s="17" t="s">
        <v>50</v>
      </c>
      <c r="BR38" s="17">
        <v>1</v>
      </c>
      <c r="BS38" s="119"/>
      <c r="BT38" s="1" t="s">
        <v>69</v>
      </c>
      <c r="BU38" s="17">
        <v>2</v>
      </c>
      <c r="BV38" s="119"/>
      <c r="BW38" s="1" t="s">
        <v>51</v>
      </c>
      <c r="BX38" s="17">
        <v>0</v>
      </c>
      <c r="BY38" s="119"/>
      <c r="BZ38" s="1" t="s">
        <v>119</v>
      </c>
      <c r="CA38" s="17">
        <v>0</v>
      </c>
      <c r="CB38" s="119"/>
      <c r="CC38" s="1" t="s">
        <v>49</v>
      </c>
      <c r="CD38" s="17">
        <v>1</v>
      </c>
      <c r="CE38" s="119"/>
      <c r="CF38" s="17" t="s">
        <v>77</v>
      </c>
      <c r="CG38" s="17">
        <v>2</v>
      </c>
      <c r="CH38" s="119"/>
      <c r="CI38" s="1" t="s">
        <v>78</v>
      </c>
      <c r="CJ38" s="33">
        <v>0</v>
      </c>
      <c r="CK38" s="33">
        <v>0</v>
      </c>
      <c r="CL38" s="33">
        <v>0</v>
      </c>
      <c r="CM38" s="33">
        <v>1</v>
      </c>
      <c r="CN38" s="2" t="s">
        <v>136</v>
      </c>
    </row>
    <row r="39" spans="1:92" ht="15.75" customHeight="1" x14ac:dyDescent="0.15">
      <c r="A39" s="51">
        <v>45860.5929090625</v>
      </c>
      <c r="B39" s="3" t="s">
        <v>29</v>
      </c>
      <c r="C39" s="18">
        <v>1</v>
      </c>
      <c r="D39" s="117"/>
      <c r="E39" s="6" t="s">
        <v>114</v>
      </c>
      <c r="F39" s="18">
        <v>1</v>
      </c>
      <c r="G39" s="117"/>
      <c r="H39" s="6" t="s">
        <v>31</v>
      </c>
      <c r="I39" s="18">
        <v>1</v>
      </c>
      <c r="J39" s="117"/>
      <c r="K39" s="43" t="s">
        <v>32</v>
      </c>
      <c r="L39" s="18">
        <v>2</v>
      </c>
      <c r="M39" s="120"/>
      <c r="N39" s="4" t="s">
        <v>33</v>
      </c>
      <c r="O39" s="18">
        <v>1</v>
      </c>
      <c r="P39" s="120"/>
      <c r="Q39" s="4" t="s">
        <v>34</v>
      </c>
      <c r="R39" s="18">
        <v>2</v>
      </c>
      <c r="S39" s="120"/>
      <c r="T39" s="4" t="s">
        <v>35</v>
      </c>
      <c r="U39" s="18">
        <v>1</v>
      </c>
      <c r="V39" s="120"/>
      <c r="W39" s="4" t="s">
        <v>92</v>
      </c>
      <c r="X39" s="18">
        <v>1</v>
      </c>
      <c r="Y39" s="120"/>
      <c r="Z39" s="4" t="s">
        <v>58</v>
      </c>
      <c r="AA39" s="18">
        <v>1</v>
      </c>
      <c r="AB39" s="120"/>
      <c r="AC39" s="4" t="s">
        <v>69</v>
      </c>
      <c r="AD39" s="18">
        <v>2</v>
      </c>
      <c r="AE39" s="120"/>
      <c r="AF39" s="4" t="s">
        <v>83</v>
      </c>
      <c r="AG39" s="18">
        <v>2</v>
      </c>
      <c r="AH39" s="120"/>
      <c r="AI39" s="13" t="s">
        <v>40</v>
      </c>
      <c r="AJ39" s="24">
        <v>3</v>
      </c>
      <c r="AK39" s="126"/>
      <c r="AL39" s="4" t="s">
        <v>41</v>
      </c>
      <c r="AM39" s="18">
        <v>2</v>
      </c>
      <c r="AN39" s="120"/>
      <c r="AO39" s="4" t="s">
        <v>72</v>
      </c>
      <c r="AP39" s="18">
        <v>3</v>
      </c>
      <c r="AQ39" s="120"/>
      <c r="AR39" s="4" t="s">
        <v>61</v>
      </c>
      <c r="AS39" s="18">
        <v>3</v>
      </c>
      <c r="AT39" s="120"/>
      <c r="AU39" s="4" t="s">
        <v>79</v>
      </c>
      <c r="AV39" s="18">
        <v>2</v>
      </c>
      <c r="AW39" s="120"/>
      <c r="AX39" s="4" t="s">
        <v>80</v>
      </c>
      <c r="AY39" s="18">
        <v>3</v>
      </c>
      <c r="AZ39" s="120"/>
      <c r="BA39" s="4" t="s">
        <v>46</v>
      </c>
      <c r="BB39" s="18">
        <v>1</v>
      </c>
      <c r="BC39" s="18">
        <v>0</v>
      </c>
      <c r="BD39" s="18">
        <v>0</v>
      </c>
      <c r="BE39" s="18">
        <v>1</v>
      </c>
      <c r="BF39" s="18">
        <v>0</v>
      </c>
      <c r="BG39" s="18">
        <v>0</v>
      </c>
      <c r="BH39" s="150" t="s">
        <v>74</v>
      </c>
      <c r="BI39" s="18">
        <v>0</v>
      </c>
      <c r="BJ39" s="130"/>
      <c r="BK39" s="4" t="s">
        <v>75</v>
      </c>
      <c r="BL39" s="18">
        <v>1</v>
      </c>
      <c r="BM39" s="120"/>
      <c r="BN39" s="4" t="s">
        <v>59</v>
      </c>
      <c r="BO39" s="18">
        <v>1</v>
      </c>
      <c r="BP39" s="120"/>
      <c r="BQ39" s="18" t="s">
        <v>50</v>
      </c>
      <c r="BR39" s="18">
        <v>1</v>
      </c>
      <c r="BS39" s="120"/>
      <c r="BT39" s="4" t="s">
        <v>69</v>
      </c>
      <c r="BU39" s="18">
        <v>0</v>
      </c>
      <c r="BV39" s="120"/>
      <c r="BW39" s="4" t="s">
        <v>88</v>
      </c>
      <c r="BX39" s="18">
        <v>2</v>
      </c>
      <c r="BY39" s="120"/>
      <c r="BZ39" s="4" t="s">
        <v>97</v>
      </c>
      <c r="CA39" s="18">
        <v>2</v>
      </c>
      <c r="CB39" s="120"/>
      <c r="CC39" s="4" t="s">
        <v>76</v>
      </c>
      <c r="CD39" s="18">
        <v>0</v>
      </c>
      <c r="CE39" s="120"/>
      <c r="CF39" s="18" t="s">
        <v>49</v>
      </c>
      <c r="CG39" s="18">
        <v>2</v>
      </c>
      <c r="CH39" s="120"/>
      <c r="CI39" s="4" t="s">
        <v>78</v>
      </c>
      <c r="CJ39" s="34">
        <v>0</v>
      </c>
      <c r="CK39" s="34">
        <v>1</v>
      </c>
      <c r="CL39" s="34">
        <v>0</v>
      </c>
      <c r="CM39" s="34">
        <v>0</v>
      </c>
      <c r="CN39" s="5" t="s">
        <v>137</v>
      </c>
    </row>
    <row r="40" spans="1:92" ht="15.75" customHeight="1" x14ac:dyDescent="0.15">
      <c r="A40" s="51">
        <v>45860.593054120371</v>
      </c>
      <c r="B40" s="3" t="s">
        <v>29</v>
      </c>
      <c r="C40" s="17">
        <v>2</v>
      </c>
      <c r="D40" s="116"/>
      <c r="E40" s="6" t="s">
        <v>55</v>
      </c>
      <c r="F40" s="17">
        <v>1</v>
      </c>
      <c r="G40" s="116"/>
      <c r="H40" s="6" t="s">
        <v>31</v>
      </c>
      <c r="I40" s="17">
        <v>2</v>
      </c>
      <c r="J40" s="116"/>
      <c r="K40" s="43" t="s">
        <v>116</v>
      </c>
      <c r="L40" s="17">
        <v>2</v>
      </c>
      <c r="M40" s="119"/>
      <c r="N40" s="1" t="s">
        <v>33</v>
      </c>
      <c r="O40" s="18">
        <v>1</v>
      </c>
      <c r="P40" s="117"/>
      <c r="Q40" s="1" t="s">
        <v>34</v>
      </c>
      <c r="R40" s="17">
        <v>1</v>
      </c>
      <c r="S40" s="119"/>
      <c r="T40" s="1" t="s">
        <v>57</v>
      </c>
      <c r="U40" s="17">
        <v>1</v>
      </c>
      <c r="V40" s="119"/>
      <c r="W40" s="1" t="s">
        <v>92</v>
      </c>
      <c r="X40" s="17">
        <v>2</v>
      </c>
      <c r="Y40" s="119"/>
      <c r="Z40" s="1" t="s">
        <v>37</v>
      </c>
      <c r="AA40" s="17">
        <v>2</v>
      </c>
      <c r="AB40" s="119"/>
      <c r="AC40" s="1" t="s">
        <v>59</v>
      </c>
      <c r="AD40" s="17">
        <v>0</v>
      </c>
      <c r="AE40" s="119"/>
      <c r="AF40" s="1" t="s">
        <v>70</v>
      </c>
      <c r="AG40" s="17">
        <v>2</v>
      </c>
      <c r="AH40" s="119"/>
      <c r="AI40" s="11" t="s">
        <v>40</v>
      </c>
      <c r="AJ40" s="25">
        <v>3</v>
      </c>
      <c r="AK40" s="127"/>
      <c r="AL40" s="1" t="s">
        <v>41</v>
      </c>
      <c r="AM40" s="17">
        <v>2</v>
      </c>
      <c r="AN40" s="119"/>
      <c r="AO40" s="1" t="s">
        <v>72</v>
      </c>
      <c r="AP40" s="17">
        <v>3</v>
      </c>
      <c r="AQ40" s="119"/>
      <c r="AR40" s="1" t="s">
        <v>61</v>
      </c>
      <c r="AS40" s="17">
        <v>2</v>
      </c>
      <c r="AT40" s="119"/>
      <c r="AU40" s="1" t="s">
        <v>44</v>
      </c>
      <c r="AV40" s="17">
        <v>0</v>
      </c>
      <c r="AW40" s="119"/>
      <c r="AX40" s="1" t="s">
        <v>62</v>
      </c>
      <c r="AY40" s="17">
        <v>2</v>
      </c>
      <c r="AZ40" s="119"/>
      <c r="BA40" s="1" t="s">
        <v>59</v>
      </c>
      <c r="BB40" s="17">
        <v>1</v>
      </c>
      <c r="BC40" s="17">
        <v>0</v>
      </c>
      <c r="BD40" s="17">
        <v>1</v>
      </c>
      <c r="BE40" s="17">
        <v>0</v>
      </c>
      <c r="BF40" s="17">
        <v>0</v>
      </c>
      <c r="BG40" s="17">
        <v>0</v>
      </c>
      <c r="BH40" s="149" t="s">
        <v>47</v>
      </c>
      <c r="BI40" s="17">
        <v>0</v>
      </c>
      <c r="BJ40" s="131"/>
      <c r="BK40" s="1" t="s">
        <v>75</v>
      </c>
      <c r="BL40" s="17">
        <v>3</v>
      </c>
      <c r="BM40" s="119"/>
      <c r="BN40" s="1" t="s">
        <v>49</v>
      </c>
      <c r="BO40" s="17">
        <v>1</v>
      </c>
      <c r="BP40" s="119"/>
      <c r="BQ40" s="17" t="s">
        <v>50</v>
      </c>
      <c r="BR40" s="17">
        <v>2</v>
      </c>
      <c r="BS40" s="119"/>
      <c r="BT40" s="1" t="s">
        <v>65</v>
      </c>
      <c r="BU40" s="17">
        <v>0</v>
      </c>
      <c r="BV40" s="119"/>
      <c r="BW40" s="1" t="s">
        <v>88</v>
      </c>
      <c r="BX40" s="17">
        <v>2</v>
      </c>
      <c r="BY40" s="119"/>
      <c r="BZ40" s="1" t="s">
        <v>97</v>
      </c>
      <c r="CA40" s="17">
        <v>3</v>
      </c>
      <c r="CB40" s="119"/>
      <c r="CC40" s="1" t="s">
        <v>36</v>
      </c>
      <c r="CD40" s="17">
        <v>1</v>
      </c>
      <c r="CE40" s="119"/>
      <c r="CF40" s="17" t="s">
        <v>77</v>
      </c>
      <c r="CG40" s="17">
        <v>3</v>
      </c>
      <c r="CH40" s="119"/>
      <c r="CI40" s="1" t="s">
        <v>53</v>
      </c>
      <c r="CJ40" s="33">
        <v>1</v>
      </c>
      <c r="CK40" s="33">
        <v>0</v>
      </c>
      <c r="CL40" s="33">
        <v>1</v>
      </c>
      <c r="CM40" s="33">
        <v>0</v>
      </c>
      <c r="CN40" s="2" t="s">
        <v>54</v>
      </c>
    </row>
    <row r="41" spans="1:92" ht="15.75" customHeight="1" x14ac:dyDescent="0.15">
      <c r="A41" s="51">
        <v>45860.593223275464</v>
      </c>
      <c r="B41" s="3" t="s">
        <v>29</v>
      </c>
      <c r="C41" s="18">
        <v>1</v>
      </c>
      <c r="D41" s="117"/>
      <c r="E41" s="6" t="s">
        <v>114</v>
      </c>
      <c r="F41" s="18">
        <v>1</v>
      </c>
      <c r="G41" s="117"/>
      <c r="H41" s="6" t="s">
        <v>31</v>
      </c>
      <c r="I41" s="18">
        <v>1</v>
      </c>
      <c r="J41" s="117"/>
      <c r="K41" s="43" t="s">
        <v>32</v>
      </c>
      <c r="L41" s="18">
        <v>2</v>
      </c>
      <c r="M41" s="120"/>
      <c r="N41" s="4" t="s">
        <v>33</v>
      </c>
      <c r="O41" s="18">
        <v>1</v>
      </c>
      <c r="P41" s="120"/>
      <c r="Q41" s="4" t="s">
        <v>34</v>
      </c>
      <c r="R41" s="18">
        <v>2</v>
      </c>
      <c r="S41" s="120"/>
      <c r="T41" s="4" t="s">
        <v>35</v>
      </c>
      <c r="U41" s="18">
        <v>2</v>
      </c>
      <c r="V41" s="120"/>
      <c r="W41" s="4" t="s">
        <v>36</v>
      </c>
      <c r="X41" s="18">
        <v>2</v>
      </c>
      <c r="Y41" s="120"/>
      <c r="Z41" s="4" t="s">
        <v>37</v>
      </c>
      <c r="AA41" s="18">
        <v>1</v>
      </c>
      <c r="AB41" s="120"/>
      <c r="AC41" s="4" t="s">
        <v>69</v>
      </c>
      <c r="AD41" s="18">
        <v>5</v>
      </c>
      <c r="AE41" s="120"/>
      <c r="AF41" s="4" t="s">
        <v>115</v>
      </c>
      <c r="AG41" s="18">
        <v>2</v>
      </c>
      <c r="AH41" s="120"/>
      <c r="AI41" s="13" t="s">
        <v>40</v>
      </c>
      <c r="AJ41" s="24">
        <v>3</v>
      </c>
      <c r="AK41" s="126"/>
      <c r="AL41" s="4" t="s">
        <v>41</v>
      </c>
      <c r="AM41" s="18">
        <v>3</v>
      </c>
      <c r="AN41" s="120"/>
      <c r="AO41" s="4" t="s">
        <v>42</v>
      </c>
      <c r="AP41" s="18">
        <v>2</v>
      </c>
      <c r="AQ41" s="120"/>
      <c r="AR41" s="4" t="s">
        <v>104</v>
      </c>
      <c r="AS41" s="18">
        <v>1</v>
      </c>
      <c r="AT41" s="120"/>
      <c r="AU41" s="4" t="s">
        <v>86</v>
      </c>
      <c r="AV41" s="18">
        <v>2</v>
      </c>
      <c r="AW41" s="120"/>
      <c r="AX41" s="4" t="s">
        <v>80</v>
      </c>
      <c r="AY41" s="18">
        <v>3</v>
      </c>
      <c r="AZ41" s="120"/>
      <c r="BA41" s="4" t="s">
        <v>46</v>
      </c>
      <c r="BB41" s="18">
        <v>1</v>
      </c>
      <c r="BC41" s="18">
        <v>1</v>
      </c>
      <c r="BD41" s="18">
        <v>0</v>
      </c>
      <c r="BE41" s="18">
        <v>0</v>
      </c>
      <c r="BF41" s="18">
        <v>0</v>
      </c>
      <c r="BG41" s="18">
        <v>0</v>
      </c>
      <c r="BH41" s="150" t="s">
        <v>81</v>
      </c>
      <c r="BI41" s="18">
        <v>0</v>
      </c>
      <c r="BJ41" s="130"/>
      <c r="BK41" s="4" t="s">
        <v>75</v>
      </c>
      <c r="BL41" s="18">
        <v>3</v>
      </c>
      <c r="BM41" s="120"/>
      <c r="BN41" s="4" t="s">
        <v>49</v>
      </c>
      <c r="BO41" s="18">
        <v>2</v>
      </c>
      <c r="BP41" s="120"/>
      <c r="BQ41" s="18" t="s">
        <v>117</v>
      </c>
      <c r="BR41" s="18">
        <v>2</v>
      </c>
      <c r="BS41" s="120"/>
      <c r="BT41" s="4" t="s">
        <v>65</v>
      </c>
      <c r="BU41" s="18">
        <v>0</v>
      </c>
      <c r="BV41" s="120"/>
      <c r="BW41" s="4" t="s">
        <v>88</v>
      </c>
      <c r="BX41" s="18">
        <v>2</v>
      </c>
      <c r="BY41" s="120"/>
      <c r="BZ41" s="4" t="s">
        <v>97</v>
      </c>
      <c r="CA41" s="18">
        <v>3</v>
      </c>
      <c r="CB41" s="120"/>
      <c r="CC41" s="4" t="s">
        <v>36</v>
      </c>
      <c r="CD41" s="18">
        <v>0</v>
      </c>
      <c r="CE41" s="120"/>
      <c r="CF41" s="18" t="s">
        <v>49</v>
      </c>
      <c r="CG41" s="18">
        <v>3</v>
      </c>
      <c r="CH41" s="120"/>
      <c r="CI41" s="4" t="s">
        <v>53</v>
      </c>
      <c r="CJ41" s="34">
        <v>0</v>
      </c>
      <c r="CK41" s="34">
        <v>1</v>
      </c>
      <c r="CL41" s="34">
        <v>1</v>
      </c>
      <c r="CM41" s="34">
        <v>0</v>
      </c>
      <c r="CN41" s="5" t="s">
        <v>98</v>
      </c>
    </row>
    <row r="42" spans="1:92" ht="15.75" customHeight="1" x14ac:dyDescent="0.15">
      <c r="A42" s="51">
        <v>45860.595360439816</v>
      </c>
      <c r="B42" s="3" t="s">
        <v>29</v>
      </c>
      <c r="C42" s="17">
        <v>3</v>
      </c>
      <c r="D42" s="116"/>
      <c r="E42" s="6" t="s">
        <v>90</v>
      </c>
      <c r="F42" s="17">
        <v>1</v>
      </c>
      <c r="G42" s="116"/>
      <c r="H42" s="6" t="s">
        <v>31</v>
      </c>
      <c r="I42" s="17">
        <v>3</v>
      </c>
      <c r="J42" s="116"/>
      <c r="K42" s="43" t="s">
        <v>56</v>
      </c>
      <c r="L42" s="17">
        <v>2</v>
      </c>
      <c r="M42" s="119"/>
      <c r="N42" s="1" t="s">
        <v>33</v>
      </c>
      <c r="O42" s="18">
        <v>1</v>
      </c>
      <c r="P42" s="117"/>
      <c r="Q42" s="1" t="s">
        <v>34</v>
      </c>
      <c r="R42" s="17">
        <v>2</v>
      </c>
      <c r="S42" s="119"/>
      <c r="T42" s="1" t="s">
        <v>35</v>
      </c>
      <c r="U42" s="17">
        <v>2</v>
      </c>
      <c r="V42" s="119"/>
      <c r="W42" s="1" t="s">
        <v>36</v>
      </c>
      <c r="X42" s="17">
        <v>2</v>
      </c>
      <c r="Y42" s="119"/>
      <c r="Z42" s="1" t="s">
        <v>37</v>
      </c>
      <c r="AA42" s="17">
        <v>3</v>
      </c>
      <c r="AB42" s="119"/>
      <c r="AC42" s="1" t="s">
        <v>38</v>
      </c>
      <c r="AD42" s="17">
        <v>4</v>
      </c>
      <c r="AE42" s="119"/>
      <c r="AF42" s="1" t="s">
        <v>93</v>
      </c>
      <c r="AG42" s="17">
        <v>1</v>
      </c>
      <c r="AH42" s="119"/>
      <c r="AI42" s="11" t="s">
        <v>138</v>
      </c>
      <c r="AJ42" s="25">
        <v>3</v>
      </c>
      <c r="AK42" s="127"/>
      <c r="AL42" s="1" t="s">
        <v>41</v>
      </c>
      <c r="AM42" s="17">
        <v>3</v>
      </c>
      <c r="AN42" s="119"/>
      <c r="AO42" s="1" t="s">
        <v>42</v>
      </c>
      <c r="AP42" s="17">
        <v>4</v>
      </c>
      <c r="AQ42" s="119"/>
      <c r="AR42" s="1" t="s">
        <v>43</v>
      </c>
      <c r="AS42" s="17">
        <v>3</v>
      </c>
      <c r="AT42" s="119"/>
      <c r="AU42" s="1" t="s">
        <v>79</v>
      </c>
      <c r="AV42" s="17">
        <v>2</v>
      </c>
      <c r="AW42" s="119"/>
      <c r="AX42" s="1" t="s">
        <v>80</v>
      </c>
      <c r="AY42" s="17">
        <v>3</v>
      </c>
      <c r="AZ42" s="119"/>
      <c r="BA42" s="1" t="s">
        <v>46</v>
      </c>
      <c r="BB42" s="17">
        <v>0</v>
      </c>
      <c r="BC42" s="17">
        <v>1</v>
      </c>
      <c r="BD42" s="17">
        <v>1</v>
      </c>
      <c r="BE42" s="17">
        <v>0</v>
      </c>
      <c r="BF42" s="17">
        <v>0</v>
      </c>
      <c r="BG42" s="17">
        <v>0</v>
      </c>
      <c r="BH42" s="149" t="s">
        <v>105</v>
      </c>
      <c r="BI42" s="17">
        <v>2</v>
      </c>
      <c r="BJ42" s="131"/>
      <c r="BK42" s="1" t="s">
        <v>48</v>
      </c>
      <c r="BL42" s="17">
        <v>3</v>
      </c>
      <c r="BM42" s="119"/>
      <c r="BN42" s="1" t="s">
        <v>49</v>
      </c>
      <c r="BO42" s="17">
        <v>2</v>
      </c>
      <c r="BP42" s="119"/>
      <c r="BQ42" s="17" t="s">
        <v>117</v>
      </c>
      <c r="BR42" s="17">
        <v>3</v>
      </c>
      <c r="BS42" s="119"/>
      <c r="BT42" s="1" t="s">
        <v>38</v>
      </c>
      <c r="BU42" s="17">
        <v>2</v>
      </c>
      <c r="BV42" s="119"/>
      <c r="BW42" s="1" t="s">
        <v>51</v>
      </c>
      <c r="BX42" s="17">
        <v>2</v>
      </c>
      <c r="BY42" s="119"/>
      <c r="BZ42" s="1" t="s">
        <v>97</v>
      </c>
      <c r="CA42" s="17">
        <v>3</v>
      </c>
      <c r="CB42" s="119"/>
      <c r="CC42" s="1" t="s">
        <v>36</v>
      </c>
      <c r="CD42" s="17">
        <v>2</v>
      </c>
      <c r="CE42" s="119"/>
      <c r="CF42" s="17" t="s">
        <v>36</v>
      </c>
      <c r="CG42" s="17">
        <v>3</v>
      </c>
      <c r="CH42" s="119"/>
      <c r="CI42" s="1" t="s">
        <v>53</v>
      </c>
      <c r="CJ42" s="33">
        <v>1</v>
      </c>
      <c r="CK42" s="33">
        <v>1</v>
      </c>
      <c r="CL42" s="33">
        <v>1</v>
      </c>
      <c r="CM42" s="33">
        <v>0</v>
      </c>
      <c r="CN42" s="2" t="s">
        <v>139</v>
      </c>
    </row>
    <row r="43" spans="1:92" ht="15.75" customHeight="1" x14ac:dyDescent="0.15">
      <c r="A43" s="51">
        <v>45860.595794479166</v>
      </c>
      <c r="B43" s="3" t="s">
        <v>29</v>
      </c>
      <c r="C43" s="18">
        <v>2</v>
      </c>
      <c r="D43" s="117"/>
      <c r="E43" s="6" t="s">
        <v>55</v>
      </c>
      <c r="F43" s="17">
        <v>1</v>
      </c>
      <c r="G43" s="116"/>
      <c r="H43" s="6" t="s">
        <v>31</v>
      </c>
      <c r="I43" s="18">
        <v>2</v>
      </c>
      <c r="J43" s="117"/>
      <c r="K43" s="43" t="s">
        <v>116</v>
      </c>
      <c r="L43" s="18">
        <v>2</v>
      </c>
      <c r="M43" s="120"/>
      <c r="N43" s="4" t="s">
        <v>33</v>
      </c>
      <c r="O43" s="18">
        <v>1</v>
      </c>
      <c r="P43" s="120"/>
      <c r="Q43" s="4" t="s">
        <v>34</v>
      </c>
      <c r="R43" s="18">
        <v>2</v>
      </c>
      <c r="S43" s="120"/>
      <c r="T43" s="4" t="s">
        <v>35</v>
      </c>
      <c r="U43" s="18">
        <v>0</v>
      </c>
      <c r="V43" s="120"/>
      <c r="W43" s="4" t="s">
        <v>49</v>
      </c>
      <c r="X43" s="18">
        <v>1</v>
      </c>
      <c r="Y43" s="120"/>
      <c r="Z43" s="4" t="s">
        <v>58</v>
      </c>
      <c r="AA43" s="18">
        <v>2</v>
      </c>
      <c r="AB43" s="120"/>
      <c r="AC43" s="4" t="s">
        <v>59</v>
      </c>
      <c r="AD43" s="18">
        <v>2</v>
      </c>
      <c r="AE43" s="120"/>
      <c r="AF43" s="4" t="s">
        <v>83</v>
      </c>
      <c r="AG43" s="18">
        <v>2</v>
      </c>
      <c r="AH43" s="120"/>
      <c r="AI43" s="13" t="s">
        <v>40</v>
      </c>
      <c r="AJ43" s="24">
        <v>3</v>
      </c>
      <c r="AK43" s="126"/>
      <c r="AL43" s="4" t="s">
        <v>41</v>
      </c>
      <c r="AM43" s="18">
        <v>1</v>
      </c>
      <c r="AN43" s="120"/>
      <c r="AO43" s="4" t="s">
        <v>130</v>
      </c>
      <c r="AP43" s="18">
        <v>3</v>
      </c>
      <c r="AQ43" s="120"/>
      <c r="AR43" s="4" t="s">
        <v>61</v>
      </c>
      <c r="AS43" s="18">
        <v>2</v>
      </c>
      <c r="AT43" s="120"/>
      <c r="AU43" s="4" t="s">
        <v>44</v>
      </c>
      <c r="AV43" s="18">
        <v>0</v>
      </c>
      <c r="AW43" s="120"/>
      <c r="AX43" s="4" t="s">
        <v>62</v>
      </c>
      <c r="AY43" s="18">
        <v>2</v>
      </c>
      <c r="AZ43" s="120"/>
      <c r="BA43" s="4" t="s">
        <v>59</v>
      </c>
      <c r="BB43" s="18">
        <v>1</v>
      </c>
      <c r="BC43" s="18">
        <v>0</v>
      </c>
      <c r="BD43" s="18">
        <v>1</v>
      </c>
      <c r="BE43" s="18">
        <v>0</v>
      </c>
      <c r="BF43" s="18">
        <v>0</v>
      </c>
      <c r="BG43" s="18">
        <v>0</v>
      </c>
      <c r="BH43" s="150" t="s">
        <v>47</v>
      </c>
      <c r="BI43" s="18">
        <v>1</v>
      </c>
      <c r="BJ43" s="130"/>
      <c r="BK43" s="4" t="s">
        <v>96</v>
      </c>
      <c r="BL43" s="18">
        <v>2</v>
      </c>
      <c r="BM43" s="120"/>
      <c r="BN43" s="4" t="s">
        <v>64</v>
      </c>
      <c r="BO43" s="18">
        <v>1</v>
      </c>
      <c r="BP43" s="120"/>
      <c r="BQ43" s="18" t="s">
        <v>50</v>
      </c>
      <c r="BR43" s="18">
        <v>2</v>
      </c>
      <c r="BS43" s="120"/>
      <c r="BT43" s="4" t="s">
        <v>65</v>
      </c>
      <c r="BU43" s="18">
        <v>2</v>
      </c>
      <c r="BV43" s="120"/>
      <c r="BW43" s="4" t="s">
        <v>51</v>
      </c>
      <c r="BX43" s="18">
        <v>2</v>
      </c>
      <c r="BY43" s="120"/>
      <c r="BZ43" s="4" t="s">
        <v>97</v>
      </c>
      <c r="CA43" s="18">
        <v>2</v>
      </c>
      <c r="CB43" s="120"/>
      <c r="CC43" s="4" t="s">
        <v>76</v>
      </c>
      <c r="CD43" s="18">
        <v>0</v>
      </c>
      <c r="CE43" s="120"/>
      <c r="CF43" s="18" t="s">
        <v>49</v>
      </c>
      <c r="CG43" s="18">
        <v>0</v>
      </c>
      <c r="CH43" s="120"/>
      <c r="CI43" s="4" t="s">
        <v>89</v>
      </c>
      <c r="CJ43" s="34">
        <v>0</v>
      </c>
      <c r="CK43" s="34">
        <v>1</v>
      </c>
      <c r="CL43" s="34">
        <v>1</v>
      </c>
      <c r="CM43" s="34">
        <v>0</v>
      </c>
      <c r="CN43" s="5" t="s">
        <v>140</v>
      </c>
    </row>
    <row r="44" spans="1:92" ht="15.75" customHeight="1" x14ac:dyDescent="0.15">
      <c r="A44" s="51">
        <v>45860.597694386575</v>
      </c>
      <c r="B44" s="3" t="s">
        <v>29</v>
      </c>
      <c r="C44" s="17">
        <v>3</v>
      </c>
      <c r="D44" s="116"/>
      <c r="E44" s="6" t="s">
        <v>90</v>
      </c>
      <c r="F44" s="18">
        <v>1</v>
      </c>
      <c r="G44" s="117"/>
      <c r="H44" s="6" t="s">
        <v>31</v>
      </c>
      <c r="I44" s="17">
        <v>2</v>
      </c>
      <c r="J44" s="116"/>
      <c r="K44" s="43" t="s">
        <v>116</v>
      </c>
      <c r="L44" s="17">
        <v>2</v>
      </c>
      <c r="M44" s="119"/>
      <c r="N44" s="1" t="s">
        <v>33</v>
      </c>
      <c r="O44" s="18">
        <v>1</v>
      </c>
      <c r="P44" s="117"/>
      <c r="Q44" s="1" t="s">
        <v>34</v>
      </c>
      <c r="R44" s="17">
        <v>1</v>
      </c>
      <c r="S44" s="119"/>
      <c r="T44" s="1" t="s">
        <v>57</v>
      </c>
      <c r="U44" s="17">
        <v>1</v>
      </c>
      <c r="V44" s="119"/>
      <c r="W44" s="1" t="s">
        <v>92</v>
      </c>
      <c r="X44" s="17">
        <v>1</v>
      </c>
      <c r="Y44" s="119"/>
      <c r="Z44" s="1" t="s">
        <v>58</v>
      </c>
      <c r="AA44" s="17">
        <v>2</v>
      </c>
      <c r="AB44" s="119"/>
      <c r="AC44" s="1" t="s">
        <v>59</v>
      </c>
      <c r="AD44" s="17">
        <v>5</v>
      </c>
      <c r="AE44" s="119"/>
      <c r="AF44" s="1" t="s">
        <v>141</v>
      </c>
      <c r="AG44" s="17">
        <v>2</v>
      </c>
      <c r="AH44" s="119"/>
      <c r="AI44" s="11" t="s">
        <v>40</v>
      </c>
      <c r="AJ44" s="25">
        <v>2</v>
      </c>
      <c r="AK44" s="127"/>
      <c r="AL44" s="1" t="s">
        <v>71</v>
      </c>
      <c r="AM44" s="17">
        <v>2</v>
      </c>
      <c r="AN44" s="119"/>
      <c r="AO44" s="1" t="s">
        <v>72</v>
      </c>
      <c r="AP44" s="17">
        <v>3</v>
      </c>
      <c r="AQ44" s="119"/>
      <c r="AR44" s="1" t="s">
        <v>61</v>
      </c>
      <c r="AS44" s="17">
        <v>2</v>
      </c>
      <c r="AT44" s="119"/>
      <c r="AU44" s="1" t="s">
        <v>44</v>
      </c>
      <c r="AV44" s="17">
        <v>0</v>
      </c>
      <c r="AW44" s="119"/>
      <c r="AX44" s="1" t="s">
        <v>73</v>
      </c>
      <c r="AY44" s="17">
        <v>2</v>
      </c>
      <c r="AZ44" s="119"/>
      <c r="BA44" s="1" t="s">
        <v>59</v>
      </c>
      <c r="BB44" s="17">
        <v>1</v>
      </c>
      <c r="BC44" s="17">
        <v>0</v>
      </c>
      <c r="BD44" s="17">
        <v>1</v>
      </c>
      <c r="BE44" s="17">
        <v>0</v>
      </c>
      <c r="BF44" s="17">
        <v>0</v>
      </c>
      <c r="BG44" s="17">
        <v>0</v>
      </c>
      <c r="BH44" s="149" t="s">
        <v>47</v>
      </c>
      <c r="BI44" s="17">
        <v>0</v>
      </c>
      <c r="BJ44" s="131"/>
      <c r="BK44" s="1" t="s">
        <v>142</v>
      </c>
      <c r="BL44" s="17">
        <v>2</v>
      </c>
      <c r="BM44" s="119"/>
      <c r="BN44" s="1" t="s">
        <v>64</v>
      </c>
      <c r="BO44" s="17">
        <v>1</v>
      </c>
      <c r="BP44" s="119"/>
      <c r="BQ44" s="17" t="s">
        <v>50</v>
      </c>
      <c r="BR44" s="17">
        <v>3</v>
      </c>
      <c r="BS44" s="119"/>
      <c r="BT44" s="1" t="s">
        <v>38</v>
      </c>
      <c r="BU44" s="17">
        <v>2</v>
      </c>
      <c r="BV44" s="119"/>
      <c r="BW44" s="1" t="s">
        <v>143</v>
      </c>
      <c r="BX44" s="17">
        <v>3</v>
      </c>
      <c r="BY44" s="119"/>
      <c r="BZ44" s="1" t="s">
        <v>52</v>
      </c>
      <c r="CA44" s="17">
        <v>2</v>
      </c>
      <c r="CB44" s="119"/>
      <c r="CC44" s="1" t="s">
        <v>76</v>
      </c>
      <c r="CD44" s="17">
        <v>1</v>
      </c>
      <c r="CE44" s="119"/>
      <c r="CF44" s="17" t="s">
        <v>77</v>
      </c>
      <c r="CG44" s="17">
        <v>2</v>
      </c>
      <c r="CH44" s="119"/>
      <c r="CI44" s="1" t="s">
        <v>144</v>
      </c>
      <c r="CJ44" s="33">
        <v>0</v>
      </c>
      <c r="CK44" s="33">
        <v>1</v>
      </c>
      <c r="CL44" s="33">
        <v>1</v>
      </c>
      <c r="CM44" s="33">
        <v>0</v>
      </c>
      <c r="CN44" s="2" t="s">
        <v>98</v>
      </c>
    </row>
    <row r="45" spans="1:92" ht="15.75" customHeight="1" x14ac:dyDescent="0.15">
      <c r="A45" s="51">
        <v>45860.601313136576</v>
      </c>
      <c r="B45" s="3" t="s">
        <v>29</v>
      </c>
      <c r="C45" s="18">
        <v>3</v>
      </c>
      <c r="D45" s="117"/>
      <c r="E45" s="6" t="s">
        <v>90</v>
      </c>
      <c r="F45" s="18">
        <v>2</v>
      </c>
      <c r="G45" s="117"/>
      <c r="H45" s="6" t="s">
        <v>91</v>
      </c>
      <c r="I45" s="18">
        <v>3</v>
      </c>
      <c r="J45" s="117"/>
      <c r="K45" s="43" t="s">
        <v>56</v>
      </c>
      <c r="L45" s="18">
        <v>0</v>
      </c>
      <c r="M45" s="120"/>
      <c r="N45" s="4" t="s">
        <v>145</v>
      </c>
      <c r="O45" s="18">
        <v>1</v>
      </c>
      <c r="P45" s="120"/>
      <c r="Q45" s="4" t="s">
        <v>34</v>
      </c>
      <c r="R45" s="18">
        <v>1</v>
      </c>
      <c r="S45" s="120"/>
      <c r="T45" s="4" t="s">
        <v>57</v>
      </c>
      <c r="U45" s="18">
        <v>1</v>
      </c>
      <c r="V45" s="120"/>
      <c r="W45" s="4" t="s">
        <v>92</v>
      </c>
      <c r="X45" s="18">
        <v>1</v>
      </c>
      <c r="Y45" s="120"/>
      <c r="Z45" s="4" t="s">
        <v>58</v>
      </c>
      <c r="AA45" s="18">
        <v>2</v>
      </c>
      <c r="AB45" s="120"/>
      <c r="AC45" s="4" t="s">
        <v>59</v>
      </c>
      <c r="AD45" s="18">
        <v>1</v>
      </c>
      <c r="AE45" s="120"/>
      <c r="AF45" s="4" t="s">
        <v>39</v>
      </c>
      <c r="AG45" s="18">
        <v>2</v>
      </c>
      <c r="AH45" s="120"/>
      <c r="AI45" s="13" t="s">
        <v>40</v>
      </c>
      <c r="AJ45" s="24">
        <v>2</v>
      </c>
      <c r="AK45" s="126"/>
      <c r="AL45" s="4" t="s">
        <v>71</v>
      </c>
      <c r="AM45" s="18">
        <v>2</v>
      </c>
      <c r="AN45" s="120"/>
      <c r="AO45" s="4" t="s">
        <v>72</v>
      </c>
      <c r="AP45" s="18">
        <v>3</v>
      </c>
      <c r="AQ45" s="120"/>
      <c r="AR45" s="4" t="s">
        <v>61</v>
      </c>
      <c r="AS45" s="18">
        <v>2</v>
      </c>
      <c r="AT45" s="120"/>
      <c r="AU45" s="4" t="s">
        <v>44</v>
      </c>
      <c r="AV45" s="18">
        <v>0</v>
      </c>
      <c r="AW45" s="120"/>
      <c r="AX45" s="4" t="s">
        <v>62</v>
      </c>
      <c r="AY45" s="18">
        <v>2</v>
      </c>
      <c r="AZ45" s="120"/>
      <c r="BA45" s="4" t="s">
        <v>59</v>
      </c>
      <c r="BB45" s="18">
        <v>1</v>
      </c>
      <c r="BC45" s="18">
        <v>0</v>
      </c>
      <c r="BD45" s="18">
        <v>1</v>
      </c>
      <c r="BE45" s="18">
        <v>0</v>
      </c>
      <c r="BF45" s="18">
        <v>0</v>
      </c>
      <c r="BG45" s="18">
        <v>0</v>
      </c>
      <c r="BH45" s="150" t="s">
        <v>47</v>
      </c>
      <c r="BI45" s="18">
        <v>0</v>
      </c>
      <c r="BJ45" s="130"/>
      <c r="BK45" s="4" t="s">
        <v>75</v>
      </c>
      <c r="BL45" s="18">
        <v>1</v>
      </c>
      <c r="BM45" s="120"/>
      <c r="BN45" s="4" t="s">
        <v>59</v>
      </c>
      <c r="BO45" s="18">
        <v>1</v>
      </c>
      <c r="BP45" s="120"/>
      <c r="BQ45" s="18" t="s">
        <v>50</v>
      </c>
      <c r="BR45" s="18">
        <v>1</v>
      </c>
      <c r="BS45" s="120"/>
      <c r="BT45" s="4" t="s">
        <v>69</v>
      </c>
      <c r="BU45" s="18">
        <v>0</v>
      </c>
      <c r="BV45" s="120"/>
      <c r="BW45" s="4" t="s">
        <v>88</v>
      </c>
      <c r="BX45" s="18">
        <v>3</v>
      </c>
      <c r="BY45" s="120"/>
      <c r="BZ45" s="4" t="s">
        <v>52</v>
      </c>
      <c r="CA45" s="18">
        <v>3</v>
      </c>
      <c r="CB45" s="120"/>
      <c r="CC45" s="4" t="s">
        <v>36</v>
      </c>
      <c r="CD45" s="18">
        <v>1</v>
      </c>
      <c r="CE45" s="120"/>
      <c r="CF45" s="18" t="s">
        <v>77</v>
      </c>
      <c r="CG45" s="18">
        <v>2</v>
      </c>
      <c r="CH45" s="120"/>
      <c r="CI45" s="4" t="s">
        <v>78</v>
      </c>
      <c r="CJ45" s="34">
        <v>0</v>
      </c>
      <c r="CK45" s="34">
        <v>1</v>
      </c>
      <c r="CL45" s="34">
        <v>1</v>
      </c>
      <c r="CM45" s="34">
        <v>0</v>
      </c>
      <c r="CN45" s="5" t="s">
        <v>98</v>
      </c>
    </row>
    <row r="46" spans="1:92" ht="15.75" customHeight="1" x14ac:dyDescent="0.15">
      <c r="A46" s="51">
        <v>45860.605319803246</v>
      </c>
      <c r="B46" s="3" t="s">
        <v>29</v>
      </c>
      <c r="C46" s="17">
        <v>2</v>
      </c>
      <c r="D46" s="116"/>
      <c r="E46" s="6" t="s">
        <v>55</v>
      </c>
      <c r="F46" s="17">
        <v>1</v>
      </c>
      <c r="G46" s="116"/>
      <c r="H46" s="6" t="s">
        <v>31</v>
      </c>
      <c r="I46" s="17">
        <v>3</v>
      </c>
      <c r="J46" s="116"/>
      <c r="K46" s="43" t="s">
        <v>56</v>
      </c>
      <c r="L46" s="17">
        <v>2</v>
      </c>
      <c r="M46" s="119"/>
      <c r="N46" s="1" t="s">
        <v>33</v>
      </c>
      <c r="O46" s="18">
        <v>1</v>
      </c>
      <c r="P46" s="117"/>
      <c r="Q46" s="1" t="s">
        <v>34</v>
      </c>
      <c r="R46" s="17">
        <v>1</v>
      </c>
      <c r="S46" s="119"/>
      <c r="T46" s="1" t="s">
        <v>57</v>
      </c>
      <c r="U46" s="17">
        <v>0</v>
      </c>
      <c r="V46" s="119"/>
      <c r="W46" s="1" t="s">
        <v>49</v>
      </c>
      <c r="X46" s="17">
        <v>0</v>
      </c>
      <c r="Y46" s="119"/>
      <c r="Z46" s="1" t="s">
        <v>108</v>
      </c>
      <c r="AA46" s="17">
        <v>0</v>
      </c>
      <c r="AB46" s="119"/>
      <c r="AC46" s="1" t="s">
        <v>46</v>
      </c>
      <c r="AD46" s="17">
        <v>2</v>
      </c>
      <c r="AE46" s="119"/>
      <c r="AF46" s="1" t="s">
        <v>83</v>
      </c>
      <c r="AG46" s="17">
        <v>3</v>
      </c>
      <c r="AH46" s="119"/>
      <c r="AI46" s="11" t="s">
        <v>94</v>
      </c>
      <c r="AJ46" s="25">
        <v>0</v>
      </c>
      <c r="AK46" s="127"/>
      <c r="AL46" s="1" t="s">
        <v>85</v>
      </c>
      <c r="AM46" s="17">
        <v>1</v>
      </c>
      <c r="AN46" s="119"/>
      <c r="AO46" s="1" t="s">
        <v>130</v>
      </c>
      <c r="AP46" s="17">
        <v>3</v>
      </c>
      <c r="AQ46" s="119"/>
      <c r="AR46" s="1" t="s">
        <v>61</v>
      </c>
      <c r="AS46" s="17">
        <v>0</v>
      </c>
      <c r="AT46" s="119"/>
      <c r="AU46" s="1" t="s">
        <v>102</v>
      </c>
      <c r="AV46" s="17">
        <v>0</v>
      </c>
      <c r="AW46" s="119"/>
      <c r="AX46" s="1" t="s">
        <v>62</v>
      </c>
      <c r="AY46" s="17">
        <v>3</v>
      </c>
      <c r="AZ46" s="119"/>
      <c r="BA46" s="1" t="s">
        <v>38</v>
      </c>
      <c r="BB46" s="17">
        <v>0</v>
      </c>
      <c r="BC46" s="17">
        <v>0</v>
      </c>
      <c r="BD46" s="17">
        <v>1</v>
      </c>
      <c r="BE46" s="17">
        <v>1</v>
      </c>
      <c r="BF46" s="17">
        <v>0</v>
      </c>
      <c r="BG46" s="17">
        <v>0</v>
      </c>
      <c r="BH46" s="149" t="s">
        <v>95</v>
      </c>
      <c r="BI46" s="17">
        <v>0</v>
      </c>
      <c r="BJ46" s="131"/>
      <c r="BK46" s="1" t="s">
        <v>75</v>
      </c>
      <c r="BL46" s="17">
        <v>0</v>
      </c>
      <c r="BM46" s="119"/>
      <c r="BN46" s="1" t="s">
        <v>36</v>
      </c>
      <c r="BO46" s="17">
        <v>1</v>
      </c>
      <c r="BP46" s="119"/>
      <c r="BQ46" s="17" t="s">
        <v>50</v>
      </c>
      <c r="BR46" s="17">
        <v>0</v>
      </c>
      <c r="BS46" s="119"/>
      <c r="BT46" s="1" t="s">
        <v>46</v>
      </c>
      <c r="BU46" s="17">
        <v>2</v>
      </c>
      <c r="BV46" s="119"/>
      <c r="BW46" s="1" t="s">
        <v>51</v>
      </c>
      <c r="BX46" s="17">
        <v>0</v>
      </c>
      <c r="BY46" s="119"/>
      <c r="BZ46" s="1" t="s">
        <v>119</v>
      </c>
      <c r="CA46" s="17">
        <v>0</v>
      </c>
      <c r="CB46" s="119"/>
      <c r="CC46" s="1" t="s">
        <v>49</v>
      </c>
      <c r="CD46" s="17">
        <v>0</v>
      </c>
      <c r="CE46" s="119"/>
      <c r="CF46" s="17" t="s">
        <v>49</v>
      </c>
      <c r="CG46" s="17">
        <v>2</v>
      </c>
      <c r="CH46" s="119"/>
      <c r="CI46" s="1" t="s">
        <v>78</v>
      </c>
      <c r="CJ46" s="33">
        <v>0</v>
      </c>
      <c r="CK46" s="33">
        <v>1</v>
      </c>
      <c r="CL46" s="33">
        <v>1</v>
      </c>
      <c r="CM46" s="33">
        <v>0</v>
      </c>
      <c r="CN46" s="2" t="s">
        <v>98</v>
      </c>
    </row>
    <row r="47" spans="1:92" ht="15.75" customHeight="1" x14ac:dyDescent="0.15">
      <c r="A47" s="51">
        <v>45860.605372743055</v>
      </c>
      <c r="B47" s="3" t="s">
        <v>29</v>
      </c>
      <c r="C47" s="18">
        <v>3</v>
      </c>
      <c r="D47" s="117"/>
      <c r="E47" s="6" t="s">
        <v>90</v>
      </c>
      <c r="F47" s="18">
        <v>1</v>
      </c>
      <c r="G47" s="117"/>
      <c r="H47" s="6" t="s">
        <v>31</v>
      </c>
      <c r="I47" s="18">
        <v>3</v>
      </c>
      <c r="J47" s="117"/>
      <c r="K47" s="43" t="s">
        <v>56</v>
      </c>
      <c r="L47" s="18">
        <v>2</v>
      </c>
      <c r="M47" s="120"/>
      <c r="N47" s="4" t="s">
        <v>33</v>
      </c>
      <c r="O47" s="18">
        <v>1</v>
      </c>
      <c r="P47" s="120"/>
      <c r="Q47" s="4" t="s">
        <v>34</v>
      </c>
      <c r="R47" s="18">
        <v>1</v>
      </c>
      <c r="S47" s="120"/>
      <c r="T47" s="4" t="s">
        <v>57</v>
      </c>
      <c r="U47" s="18">
        <v>1</v>
      </c>
      <c r="V47" s="120"/>
      <c r="W47" s="4" t="s">
        <v>92</v>
      </c>
      <c r="X47" s="18">
        <v>0</v>
      </c>
      <c r="Y47" s="120"/>
      <c r="Z47" s="4" t="s">
        <v>108</v>
      </c>
      <c r="AA47" s="18">
        <v>2</v>
      </c>
      <c r="AB47" s="120"/>
      <c r="AC47" s="4" t="s">
        <v>59</v>
      </c>
      <c r="AD47" s="18">
        <v>1</v>
      </c>
      <c r="AE47" s="120"/>
      <c r="AF47" s="4" t="s">
        <v>39</v>
      </c>
      <c r="AG47" s="18">
        <v>0</v>
      </c>
      <c r="AH47" s="120"/>
      <c r="AI47" s="13" t="s">
        <v>84</v>
      </c>
      <c r="AJ47" s="24">
        <v>2</v>
      </c>
      <c r="AK47" s="126"/>
      <c r="AL47" s="4" t="s">
        <v>71</v>
      </c>
      <c r="AM47" s="18">
        <v>2</v>
      </c>
      <c r="AN47" s="120"/>
      <c r="AO47" s="4" t="s">
        <v>72</v>
      </c>
      <c r="AP47" s="18">
        <v>0</v>
      </c>
      <c r="AQ47" s="120"/>
      <c r="AR47" s="4" t="s">
        <v>121</v>
      </c>
      <c r="AS47" s="18">
        <v>2</v>
      </c>
      <c r="AT47" s="120"/>
      <c r="AU47" s="4" t="s">
        <v>44</v>
      </c>
      <c r="AV47" s="18">
        <v>2</v>
      </c>
      <c r="AW47" s="120"/>
      <c r="AX47" s="4" t="s">
        <v>80</v>
      </c>
      <c r="AY47" s="18">
        <v>1</v>
      </c>
      <c r="AZ47" s="120"/>
      <c r="BA47" s="4" t="s">
        <v>69</v>
      </c>
      <c r="BB47" s="18">
        <v>0</v>
      </c>
      <c r="BC47" s="18">
        <v>1</v>
      </c>
      <c r="BD47" s="18">
        <v>1</v>
      </c>
      <c r="BE47" s="18">
        <v>0</v>
      </c>
      <c r="BF47" s="18">
        <v>0</v>
      </c>
      <c r="BG47" s="18">
        <v>0</v>
      </c>
      <c r="BH47" s="150" t="s">
        <v>105</v>
      </c>
      <c r="BI47" s="18">
        <v>0</v>
      </c>
      <c r="BJ47" s="130"/>
      <c r="BK47" s="4" t="s">
        <v>75</v>
      </c>
      <c r="BL47" s="18">
        <v>0</v>
      </c>
      <c r="BM47" s="120"/>
      <c r="BN47" s="4" t="s">
        <v>36</v>
      </c>
      <c r="BO47" s="18">
        <v>1</v>
      </c>
      <c r="BP47" s="120"/>
      <c r="BQ47" s="18" t="s">
        <v>50</v>
      </c>
      <c r="BR47" s="18">
        <v>2</v>
      </c>
      <c r="BS47" s="120"/>
      <c r="BT47" s="4" t="s">
        <v>65</v>
      </c>
      <c r="BU47" s="18">
        <v>1</v>
      </c>
      <c r="BV47" s="120"/>
      <c r="BW47" s="4" t="s">
        <v>66</v>
      </c>
      <c r="BX47" s="18">
        <v>2</v>
      </c>
      <c r="BY47" s="120"/>
      <c r="BZ47" s="4" t="s">
        <v>97</v>
      </c>
      <c r="CA47" s="18">
        <v>2</v>
      </c>
      <c r="CB47" s="120"/>
      <c r="CC47" s="4" t="s">
        <v>76</v>
      </c>
      <c r="CD47" s="18">
        <v>0</v>
      </c>
      <c r="CE47" s="120"/>
      <c r="CF47" s="18" t="s">
        <v>49</v>
      </c>
      <c r="CG47" s="18">
        <v>0</v>
      </c>
      <c r="CH47" s="120"/>
      <c r="CI47" s="4" t="s">
        <v>89</v>
      </c>
      <c r="CJ47" s="34">
        <v>1</v>
      </c>
      <c r="CK47" s="34">
        <v>0</v>
      </c>
      <c r="CL47" s="34">
        <v>1</v>
      </c>
      <c r="CM47" s="34">
        <v>0</v>
      </c>
      <c r="CN47" s="5" t="s">
        <v>54</v>
      </c>
    </row>
    <row r="48" spans="1:92" ht="28" x14ac:dyDescent="0.15">
      <c r="A48" s="51">
        <v>45860.60576392361</v>
      </c>
      <c r="B48" s="3" t="s">
        <v>29</v>
      </c>
      <c r="C48" s="17">
        <v>3</v>
      </c>
      <c r="D48" s="116"/>
      <c r="E48" s="6" t="s">
        <v>90</v>
      </c>
      <c r="F48" s="17">
        <v>1</v>
      </c>
      <c r="G48" s="116"/>
      <c r="H48" s="6" t="s">
        <v>31</v>
      </c>
      <c r="I48" s="17">
        <v>3</v>
      </c>
      <c r="J48" s="116"/>
      <c r="K48" s="43" t="s">
        <v>56</v>
      </c>
      <c r="L48" s="17">
        <v>2</v>
      </c>
      <c r="M48" s="119"/>
      <c r="N48" s="1" t="s">
        <v>33</v>
      </c>
      <c r="O48" s="18">
        <v>1</v>
      </c>
      <c r="P48" s="117"/>
      <c r="Q48" s="1" t="s">
        <v>34</v>
      </c>
      <c r="R48" s="17">
        <v>2</v>
      </c>
      <c r="S48" s="119"/>
      <c r="T48" s="1" t="s">
        <v>35</v>
      </c>
      <c r="U48" s="17">
        <v>1</v>
      </c>
      <c r="V48" s="119"/>
      <c r="W48" s="1" t="s">
        <v>92</v>
      </c>
      <c r="X48" s="17">
        <v>1</v>
      </c>
      <c r="Y48" s="119"/>
      <c r="Z48" s="1" t="s">
        <v>58</v>
      </c>
      <c r="AA48" s="17">
        <v>2</v>
      </c>
      <c r="AB48" s="119"/>
      <c r="AC48" s="1" t="s">
        <v>59</v>
      </c>
      <c r="AD48" s="17">
        <v>1</v>
      </c>
      <c r="AE48" s="119"/>
      <c r="AF48" s="1" t="s">
        <v>39</v>
      </c>
      <c r="AG48" s="17">
        <v>0</v>
      </c>
      <c r="AH48" s="119"/>
      <c r="AI48" s="11" t="s">
        <v>84</v>
      </c>
      <c r="AJ48" s="25">
        <v>2</v>
      </c>
      <c r="AK48" s="127"/>
      <c r="AL48" s="1" t="s">
        <v>71</v>
      </c>
      <c r="AM48" s="17">
        <v>2</v>
      </c>
      <c r="AN48" s="119"/>
      <c r="AO48" s="1" t="s">
        <v>72</v>
      </c>
      <c r="AP48" s="17">
        <v>3</v>
      </c>
      <c r="AQ48" s="119"/>
      <c r="AR48" s="1" t="s">
        <v>61</v>
      </c>
      <c r="AS48" s="17">
        <v>2</v>
      </c>
      <c r="AT48" s="119"/>
      <c r="AU48" s="1" t="s">
        <v>44</v>
      </c>
      <c r="AV48" s="17">
        <v>2</v>
      </c>
      <c r="AW48" s="119"/>
      <c r="AX48" s="1" t="s">
        <v>80</v>
      </c>
      <c r="AY48" s="17">
        <v>2</v>
      </c>
      <c r="AZ48" s="119"/>
      <c r="BA48" s="1" t="s">
        <v>59</v>
      </c>
      <c r="BB48" s="17">
        <v>1</v>
      </c>
      <c r="BC48" s="17">
        <v>0</v>
      </c>
      <c r="BD48" s="17">
        <v>1</v>
      </c>
      <c r="BE48" s="17">
        <v>0</v>
      </c>
      <c r="BF48" s="17">
        <v>0</v>
      </c>
      <c r="BG48" s="17">
        <v>0</v>
      </c>
      <c r="BH48" s="149" t="s">
        <v>47</v>
      </c>
      <c r="BI48" s="17">
        <v>0</v>
      </c>
      <c r="BJ48" s="131"/>
      <c r="BK48" s="1" t="s">
        <v>75</v>
      </c>
      <c r="BL48" s="17">
        <v>1</v>
      </c>
      <c r="BM48" s="119"/>
      <c r="BN48" s="1" t="s">
        <v>59</v>
      </c>
      <c r="BO48" s="17">
        <v>0</v>
      </c>
      <c r="BP48" s="119"/>
      <c r="BQ48" s="17" t="s">
        <v>87</v>
      </c>
      <c r="BR48" s="17">
        <v>2</v>
      </c>
      <c r="BS48" s="119"/>
      <c r="BT48" s="1" t="s">
        <v>65</v>
      </c>
      <c r="BU48" s="17">
        <v>1</v>
      </c>
      <c r="BV48" s="119"/>
      <c r="BW48" s="1" t="s">
        <v>66</v>
      </c>
      <c r="BX48" s="17">
        <v>2</v>
      </c>
      <c r="BY48" s="119"/>
      <c r="BZ48" s="1" t="s">
        <v>97</v>
      </c>
      <c r="CA48" s="17">
        <v>3</v>
      </c>
      <c r="CB48" s="119"/>
      <c r="CC48" s="1" t="s">
        <v>36</v>
      </c>
      <c r="CD48" s="17">
        <v>0</v>
      </c>
      <c r="CE48" s="119"/>
      <c r="CF48" s="17" t="s">
        <v>49</v>
      </c>
      <c r="CG48" s="17">
        <v>2</v>
      </c>
      <c r="CH48" s="119"/>
      <c r="CI48" s="1" t="s">
        <v>78</v>
      </c>
      <c r="CJ48" s="33">
        <v>0</v>
      </c>
      <c r="CK48" s="33">
        <v>1</v>
      </c>
      <c r="CL48" s="33">
        <v>1</v>
      </c>
      <c r="CM48" s="33">
        <v>0</v>
      </c>
      <c r="CN48" s="2" t="s">
        <v>98</v>
      </c>
    </row>
    <row r="49" spans="1:92" ht="28" x14ac:dyDescent="0.15">
      <c r="A49" s="51">
        <v>45860.607164976856</v>
      </c>
      <c r="B49" s="3" t="s">
        <v>29</v>
      </c>
      <c r="C49" s="18">
        <v>3</v>
      </c>
      <c r="D49" s="117"/>
      <c r="E49" s="6" t="s">
        <v>90</v>
      </c>
      <c r="F49" s="18">
        <v>1</v>
      </c>
      <c r="G49" s="117"/>
      <c r="H49" s="6" t="s">
        <v>31</v>
      </c>
      <c r="I49" s="18">
        <v>3</v>
      </c>
      <c r="J49" s="117"/>
      <c r="K49" s="43" t="s">
        <v>56</v>
      </c>
      <c r="L49" s="18">
        <v>2</v>
      </c>
      <c r="M49" s="120"/>
      <c r="N49" s="4" t="s">
        <v>33</v>
      </c>
      <c r="O49" s="18">
        <v>1</v>
      </c>
      <c r="P49" s="120"/>
      <c r="Q49" s="4" t="s">
        <v>34</v>
      </c>
      <c r="R49" s="18">
        <v>1</v>
      </c>
      <c r="S49" s="120"/>
      <c r="T49" s="4" t="s">
        <v>57</v>
      </c>
      <c r="U49" s="18">
        <v>2</v>
      </c>
      <c r="V49" s="120"/>
      <c r="W49" s="4" t="s">
        <v>36</v>
      </c>
      <c r="X49" s="18">
        <v>1</v>
      </c>
      <c r="Y49" s="120"/>
      <c r="Z49" s="4" t="s">
        <v>58</v>
      </c>
      <c r="AA49" s="18">
        <v>0</v>
      </c>
      <c r="AB49" s="120"/>
      <c r="AC49" s="4" t="s">
        <v>46</v>
      </c>
      <c r="AD49" s="18">
        <v>0</v>
      </c>
      <c r="AE49" s="120"/>
      <c r="AF49" s="4" t="s">
        <v>70</v>
      </c>
      <c r="AG49" s="18">
        <v>3</v>
      </c>
      <c r="AH49" s="120"/>
      <c r="AI49" s="13" t="s">
        <v>94</v>
      </c>
      <c r="AJ49" s="24">
        <v>0</v>
      </c>
      <c r="AK49" s="126"/>
      <c r="AL49" s="4" t="s">
        <v>85</v>
      </c>
      <c r="AM49" s="18">
        <v>2</v>
      </c>
      <c r="AN49" s="120"/>
      <c r="AO49" s="4" t="s">
        <v>72</v>
      </c>
      <c r="AP49" s="18">
        <v>3</v>
      </c>
      <c r="AQ49" s="120"/>
      <c r="AR49" s="4" t="s">
        <v>61</v>
      </c>
      <c r="AS49" s="18">
        <v>2</v>
      </c>
      <c r="AT49" s="120"/>
      <c r="AU49" s="4" t="s">
        <v>44</v>
      </c>
      <c r="AV49" s="18">
        <v>0</v>
      </c>
      <c r="AW49" s="120"/>
      <c r="AX49" s="4" t="s">
        <v>62</v>
      </c>
      <c r="AY49" s="18">
        <v>2</v>
      </c>
      <c r="AZ49" s="120"/>
      <c r="BA49" s="4" t="s">
        <v>59</v>
      </c>
      <c r="BB49" s="18">
        <v>1</v>
      </c>
      <c r="BC49" s="18">
        <v>0</v>
      </c>
      <c r="BD49" s="18">
        <v>1</v>
      </c>
      <c r="BE49" s="18">
        <v>0</v>
      </c>
      <c r="BF49" s="18">
        <v>0</v>
      </c>
      <c r="BG49" s="18">
        <v>0</v>
      </c>
      <c r="BH49" s="150" t="s">
        <v>47</v>
      </c>
      <c r="BI49" s="18">
        <v>0</v>
      </c>
      <c r="BJ49" s="132"/>
      <c r="BK49" s="4" t="s">
        <v>75</v>
      </c>
      <c r="BL49" s="18">
        <v>1</v>
      </c>
      <c r="BM49" s="120"/>
      <c r="BN49" s="4" t="s">
        <v>59</v>
      </c>
      <c r="BO49" s="18">
        <v>1</v>
      </c>
      <c r="BP49" s="120"/>
      <c r="BQ49" s="18" t="s">
        <v>50</v>
      </c>
      <c r="BR49" s="18">
        <v>2</v>
      </c>
      <c r="BS49" s="120"/>
      <c r="BT49" s="4" t="s">
        <v>65</v>
      </c>
      <c r="BU49" s="18">
        <v>2</v>
      </c>
      <c r="BV49" s="120"/>
      <c r="BW49" s="4" t="s">
        <v>51</v>
      </c>
      <c r="BX49" s="18">
        <v>2</v>
      </c>
      <c r="BY49" s="120"/>
      <c r="BZ49" s="4" t="s">
        <v>97</v>
      </c>
      <c r="CA49" s="18">
        <v>0</v>
      </c>
      <c r="CB49" s="120"/>
      <c r="CC49" s="4" t="s">
        <v>49</v>
      </c>
      <c r="CD49" s="18">
        <v>1</v>
      </c>
      <c r="CE49" s="120"/>
      <c r="CF49" s="18" t="s">
        <v>77</v>
      </c>
      <c r="CG49" s="18">
        <v>0</v>
      </c>
      <c r="CH49" s="120"/>
      <c r="CI49" s="4" t="s">
        <v>89</v>
      </c>
      <c r="CJ49" s="34">
        <v>0</v>
      </c>
      <c r="CK49" s="34">
        <v>0</v>
      </c>
      <c r="CL49" s="34">
        <v>0</v>
      </c>
      <c r="CM49" s="34">
        <v>1</v>
      </c>
      <c r="CN49" s="5" t="s">
        <v>101</v>
      </c>
    </row>
    <row r="50" spans="1:92" ht="28" x14ac:dyDescent="0.15">
      <c r="A50" s="51">
        <v>45860.611697337961</v>
      </c>
      <c r="B50" s="3" t="s">
        <v>29</v>
      </c>
      <c r="C50" s="17">
        <v>4</v>
      </c>
      <c r="D50" s="116"/>
      <c r="E50" s="6" t="s">
        <v>127</v>
      </c>
      <c r="F50" s="17">
        <v>1</v>
      </c>
      <c r="G50" s="116"/>
      <c r="H50" s="6" t="s">
        <v>31</v>
      </c>
      <c r="I50" s="17">
        <v>2</v>
      </c>
      <c r="J50" s="116"/>
      <c r="K50" s="43" t="s">
        <v>116</v>
      </c>
      <c r="L50" s="17">
        <v>2</v>
      </c>
      <c r="M50" s="119"/>
      <c r="N50" s="1" t="s">
        <v>33</v>
      </c>
      <c r="O50" s="18">
        <v>1</v>
      </c>
      <c r="P50" s="117"/>
      <c r="Q50" s="1" t="s">
        <v>34</v>
      </c>
      <c r="R50" s="17">
        <v>2</v>
      </c>
      <c r="S50" s="119"/>
      <c r="T50" s="1" t="s">
        <v>35</v>
      </c>
      <c r="U50" s="17">
        <v>2</v>
      </c>
      <c r="V50" s="119"/>
      <c r="W50" s="1" t="s">
        <v>36</v>
      </c>
      <c r="X50" s="17">
        <v>2</v>
      </c>
      <c r="Y50" s="119"/>
      <c r="Z50" s="1" t="s">
        <v>37</v>
      </c>
      <c r="AA50" s="17">
        <v>3</v>
      </c>
      <c r="AB50" s="119"/>
      <c r="AC50" s="1" t="s">
        <v>38</v>
      </c>
      <c r="AD50" s="17">
        <v>1</v>
      </c>
      <c r="AE50" s="119"/>
      <c r="AF50" s="1" t="s">
        <v>39</v>
      </c>
      <c r="AG50" s="17">
        <v>3</v>
      </c>
      <c r="AH50" s="119"/>
      <c r="AI50" s="11" t="s">
        <v>94</v>
      </c>
      <c r="AJ50" s="25">
        <v>2</v>
      </c>
      <c r="AK50" s="127"/>
      <c r="AL50" s="1" t="s">
        <v>71</v>
      </c>
      <c r="AM50" s="17">
        <v>3</v>
      </c>
      <c r="AN50" s="119"/>
      <c r="AO50" s="1" t="s">
        <v>42</v>
      </c>
      <c r="AP50" s="17">
        <v>4</v>
      </c>
      <c r="AQ50" s="119"/>
      <c r="AR50" s="1" t="s">
        <v>43</v>
      </c>
      <c r="AS50" s="17">
        <v>2</v>
      </c>
      <c r="AT50" s="119"/>
      <c r="AU50" s="1" t="s">
        <v>44</v>
      </c>
      <c r="AV50" s="17">
        <v>1</v>
      </c>
      <c r="AW50" s="119"/>
      <c r="AX50" s="1" t="s">
        <v>45</v>
      </c>
      <c r="AY50" s="17">
        <v>2</v>
      </c>
      <c r="AZ50" s="119"/>
      <c r="BA50" s="1" t="s">
        <v>59</v>
      </c>
      <c r="BB50" s="17">
        <v>1</v>
      </c>
      <c r="BC50" s="17">
        <v>0</v>
      </c>
      <c r="BD50" s="17">
        <v>1</v>
      </c>
      <c r="BE50" s="17">
        <v>0</v>
      </c>
      <c r="BF50" s="17">
        <v>0</v>
      </c>
      <c r="BG50" s="17">
        <v>0</v>
      </c>
      <c r="BH50" s="149" t="s">
        <v>47</v>
      </c>
      <c r="BI50" s="17">
        <v>0</v>
      </c>
      <c r="BJ50" s="131"/>
      <c r="BK50" s="1" t="s">
        <v>75</v>
      </c>
      <c r="BL50" s="17">
        <v>3</v>
      </c>
      <c r="BM50" s="119"/>
      <c r="BN50" s="1" t="s">
        <v>49</v>
      </c>
      <c r="BO50" s="17">
        <v>2</v>
      </c>
      <c r="BP50" s="119"/>
      <c r="BQ50" s="17" t="s">
        <v>117</v>
      </c>
      <c r="BR50" s="17">
        <v>3</v>
      </c>
      <c r="BS50" s="119"/>
      <c r="BT50" s="1" t="s">
        <v>38</v>
      </c>
      <c r="BU50" s="17">
        <v>2</v>
      </c>
      <c r="BV50" s="119"/>
      <c r="BW50" s="1" t="s">
        <v>51</v>
      </c>
      <c r="BX50" s="17">
        <v>3</v>
      </c>
      <c r="BY50" s="119"/>
      <c r="BZ50" s="1" t="s">
        <v>52</v>
      </c>
      <c r="CA50" s="17">
        <v>3</v>
      </c>
      <c r="CB50" s="119"/>
      <c r="CC50" s="1" t="s">
        <v>36</v>
      </c>
      <c r="CD50" s="17">
        <v>2</v>
      </c>
      <c r="CE50" s="119"/>
      <c r="CF50" s="17" t="s">
        <v>36</v>
      </c>
      <c r="CG50" s="17">
        <v>3</v>
      </c>
      <c r="CH50" s="119"/>
      <c r="CI50" s="1" t="s">
        <v>53</v>
      </c>
      <c r="CJ50" s="33">
        <v>1</v>
      </c>
      <c r="CK50" s="33">
        <v>1</v>
      </c>
      <c r="CL50" s="33">
        <v>0</v>
      </c>
      <c r="CM50" s="33">
        <v>0</v>
      </c>
      <c r="CN50" s="2" t="s">
        <v>82</v>
      </c>
    </row>
    <row r="51" spans="1:92" ht="28" x14ac:dyDescent="0.15">
      <c r="A51" s="51">
        <v>45860.611899027776</v>
      </c>
      <c r="B51" s="3" t="s">
        <v>29</v>
      </c>
      <c r="C51" s="18">
        <v>3</v>
      </c>
      <c r="D51" s="117"/>
      <c r="E51" s="6" t="s">
        <v>90</v>
      </c>
      <c r="F51" s="18">
        <v>1</v>
      </c>
      <c r="G51" s="117"/>
      <c r="H51" s="6" t="s">
        <v>31</v>
      </c>
      <c r="I51" s="18">
        <v>1</v>
      </c>
      <c r="J51" s="117"/>
      <c r="K51" s="43" t="s">
        <v>32</v>
      </c>
      <c r="L51" s="18">
        <v>2</v>
      </c>
      <c r="M51" s="120"/>
      <c r="N51" s="4" t="s">
        <v>33</v>
      </c>
      <c r="O51" s="18">
        <v>1</v>
      </c>
      <c r="P51" s="120"/>
      <c r="Q51" s="4" t="s">
        <v>34</v>
      </c>
      <c r="R51" s="18">
        <v>1</v>
      </c>
      <c r="S51" s="120"/>
      <c r="T51" s="4" t="s">
        <v>57</v>
      </c>
      <c r="U51" s="18">
        <v>1</v>
      </c>
      <c r="V51" s="120"/>
      <c r="W51" s="4" t="s">
        <v>92</v>
      </c>
      <c r="X51" s="18">
        <v>2</v>
      </c>
      <c r="Y51" s="120"/>
      <c r="Z51" s="4" t="s">
        <v>37</v>
      </c>
      <c r="AA51" s="18">
        <v>2</v>
      </c>
      <c r="AB51" s="120"/>
      <c r="AC51" s="4" t="s">
        <v>59</v>
      </c>
      <c r="AD51" s="18">
        <v>1</v>
      </c>
      <c r="AE51" s="120"/>
      <c r="AF51" s="4" t="s">
        <v>39</v>
      </c>
      <c r="AG51" s="18">
        <v>0</v>
      </c>
      <c r="AH51" s="120"/>
      <c r="AI51" s="13" t="s">
        <v>84</v>
      </c>
      <c r="AJ51" s="24">
        <v>3</v>
      </c>
      <c r="AK51" s="126"/>
      <c r="AL51" s="4" t="s">
        <v>41</v>
      </c>
      <c r="AM51" s="18">
        <v>3</v>
      </c>
      <c r="AN51" s="120"/>
      <c r="AO51" s="4" t="s">
        <v>42</v>
      </c>
      <c r="AP51" s="18">
        <v>3</v>
      </c>
      <c r="AQ51" s="120"/>
      <c r="AR51" s="4" t="s">
        <v>61</v>
      </c>
      <c r="AS51" s="18">
        <v>3</v>
      </c>
      <c r="AT51" s="120"/>
      <c r="AU51" s="4" t="s">
        <v>79</v>
      </c>
      <c r="AV51" s="18">
        <v>2</v>
      </c>
      <c r="AW51" s="120"/>
      <c r="AX51" s="4" t="s">
        <v>80</v>
      </c>
      <c r="AY51" s="18">
        <v>2</v>
      </c>
      <c r="AZ51" s="120"/>
      <c r="BA51" s="4" t="s">
        <v>59</v>
      </c>
      <c r="BB51" s="18">
        <v>1</v>
      </c>
      <c r="BC51" s="18">
        <v>0</v>
      </c>
      <c r="BD51" s="18">
        <v>1</v>
      </c>
      <c r="BE51" s="18">
        <v>0</v>
      </c>
      <c r="BF51" s="18">
        <v>0</v>
      </c>
      <c r="BG51" s="18">
        <v>0</v>
      </c>
      <c r="BH51" s="150" t="s">
        <v>47</v>
      </c>
      <c r="BI51" s="18">
        <v>0</v>
      </c>
      <c r="BJ51" s="130"/>
      <c r="BK51" s="4" t="s">
        <v>75</v>
      </c>
      <c r="BL51" s="18">
        <v>0</v>
      </c>
      <c r="BM51" s="120"/>
      <c r="BN51" s="4" t="s">
        <v>36</v>
      </c>
      <c r="BO51" s="18">
        <v>1</v>
      </c>
      <c r="BP51" s="120"/>
      <c r="BQ51" s="18" t="s">
        <v>50</v>
      </c>
      <c r="BR51" s="18">
        <v>3</v>
      </c>
      <c r="BS51" s="120"/>
      <c r="BT51" s="4" t="s">
        <v>38</v>
      </c>
      <c r="BU51" s="18">
        <v>1</v>
      </c>
      <c r="BV51" s="120"/>
      <c r="BW51" s="4" t="s">
        <v>66</v>
      </c>
      <c r="BX51" s="18">
        <v>2</v>
      </c>
      <c r="BY51" s="120"/>
      <c r="BZ51" s="4" t="s">
        <v>97</v>
      </c>
      <c r="CA51" s="18">
        <v>3</v>
      </c>
      <c r="CB51" s="120"/>
      <c r="CC51" s="4" t="s">
        <v>36</v>
      </c>
      <c r="CD51" s="18">
        <v>2</v>
      </c>
      <c r="CE51" s="120"/>
      <c r="CF51" s="18" t="s">
        <v>36</v>
      </c>
      <c r="CG51" s="18">
        <v>3</v>
      </c>
      <c r="CH51" s="120"/>
      <c r="CI51" s="4" t="s">
        <v>53</v>
      </c>
      <c r="CJ51" s="34">
        <v>1</v>
      </c>
      <c r="CK51" s="34">
        <v>0</v>
      </c>
      <c r="CL51" s="34">
        <v>1</v>
      </c>
      <c r="CM51" s="34">
        <v>0</v>
      </c>
      <c r="CN51" s="5" t="s">
        <v>54</v>
      </c>
    </row>
    <row r="52" spans="1:92" ht="28" x14ac:dyDescent="0.15">
      <c r="A52" s="51">
        <v>45860.612129236106</v>
      </c>
      <c r="B52" s="3" t="s">
        <v>29</v>
      </c>
      <c r="C52" s="17">
        <v>1</v>
      </c>
      <c r="D52" s="116"/>
      <c r="E52" s="6" t="s">
        <v>114</v>
      </c>
      <c r="F52" s="17">
        <v>1</v>
      </c>
      <c r="G52" s="116"/>
      <c r="H52" s="6" t="s">
        <v>31</v>
      </c>
      <c r="I52" s="17">
        <v>1</v>
      </c>
      <c r="J52" s="116"/>
      <c r="K52" s="43" t="s">
        <v>32</v>
      </c>
      <c r="L52" s="17">
        <v>2</v>
      </c>
      <c r="M52" s="119"/>
      <c r="N52" s="1" t="s">
        <v>33</v>
      </c>
      <c r="O52" s="18">
        <v>1</v>
      </c>
      <c r="P52" s="117"/>
      <c r="Q52" s="1" t="s">
        <v>34</v>
      </c>
      <c r="R52" s="17">
        <v>2</v>
      </c>
      <c r="S52" s="119"/>
      <c r="T52" s="1" t="s">
        <v>35</v>
      </c>
      <c r="U52" s="17">
        <v>2</v>
      </c>
      <c r="V52" s="119"/>
      <c r="W52" s="1" t="s">
        <v>36</v>
      </c>
      <c r="X52" s="17">
        <v>2</v>
      </c>
      <c r="Y52" s="119"/>
      <c r="Z52" s="1" t="s">
        <v>37</v>
      </c>
      <c r="AA52" s="17">
        <v>3</v>
      </c>
      <c r="AB52" s="119"/>
      <c r="AC52" s="1" t="s">
        <v>38</v>
      </c>
      <c r="AD52" s="17">
        <v>0</v>
      </c>
      <c r="AE52" s="119"/>
      <c r="AF52" s="1" t="s">
        <v>70</v>
      </c>
      <c r="AG52" s="17">
        <v>0</v>
      </c>
      <c r="AH52" s="119"/>
      <c r="AI52" s="11" t="s">
        <v>84</v>
      </c>
      <c r="AJ52" s="25">
        <v>3</v>
      </c>
      <c r="AK52" s="127"/>
      <c r="AL52" s="1" t="s">
        <v>41</v>
      </c>
      <c r="AM52" s="17">
        <v>3</v>
      </c>
      <c r="AN52" s="119"/>
      <c r="AO52" s="1" t="s">
        <v>42</v>
      </c>
      <c r="AP52" s="17">
        <v>3</v>
      </c>
      <c r="AQ52" s="119"/>
      <c r="AR52" s="1" t="s">
        <v>61</v>
      </c>
      <c r="AS52" s="17">
        <v>3</v>
      </c>
      <c r="AT52" s="119"/>
      <c r="AU52" s="1" t="s">
        <v>79</v>
      </c>
      <c r="AV52" s="17">
        <v>2</v>
      </c>
      <c r="AW52" s="119"/>
      <c r="AX52" s="1" t="s">
        <v>80</v>
      </c>
      <c r="AY52" s="17">
        <v>0</v>
      </c>
      <c r="AZ52" s="119"/>
      <c r="BA52" s="1" t="s">
        <v>38</v>
      </c>
      <c r="BB52" s="17">
        <v>1</v>
      </c>
      <c r="BC52" s="17">
        <v>0</v>
      </c>
      <c r="BD52" s="17">
        <v>0</v>
      </c>
      <c r="BE52" s="17">
        <v>1</v>
      </c>
      <c r="BF52" s="17">
        <v>0</v>
      </c>
      <c r="BG52" s="17">
        <v>0</v>
      </c>
      <c r="BH52" s="149" t="s">
        <v>74</v>
      </c>
      <c r="BI52" s="17">
        <v>0</v>
      </c>
      <c r="BJ52" s="131"/>
      <c r="BK52" s="1" t="s">
        <v>75</v>
      </c>
      <c r="BL52" s="17">
        <v>0</v>
      </c>
      <c r="BM52" s="119"/>
      <c r="BN52" s="1" t="s">
        <v>36</v>
      </c>
      <c r="BO52" s="17">
        <v>0</v>
      </c>
      <c r="BP52" s="119"/>
      <c r="BQ52" s="17" t="s">
        <v>87</v>
      </c>
      <c r="BR52" s="17">
        <v>3</v>
      </c>
      <c r="BS52" s="119"/>
      <c r="BT52" s="1" t="s">
        <v>38</v>
      </c>
      <c r="BU52" s="17">
        <v>0</v>
      </c>
      <c r="BV52" s="119"/>
      <c r="BW52" s="1" t="s">
        <v>88</v>
      </c>
      <c r="BX52" s="17">
        <v>3</v>
      </c>
      <c r="BY52" s="119"/>
      <c r="BZ52" s="1" t="s">
        <v>52</v>
      </c>
      <c r="CA52" s="17">
        <v>3</v>
      </c>
      <c r="CB52" s="119"/>
      <c r="CC52" s="1" t="s">
        <v>36</v>
      </c>
      <c r="CD52" s="17">
        <v>2</v>
      </c>
      <c r="CE52" s="119"/>
      <c r="CF52" s="17" t="s">
        <v>36</v>
      </c>
      <c r="CG52" s="17">
        <v>2</v>
      </c>
      <c r="CH52" s="119"/>
      <c r="CI52" s="1" t="s">
        <v>78</v>
      </c>
      <c r="CJ52" s="33">
        <v>1</v>
      </c>
      <c r="CK52" s="33">
        <v>1</v>
      </c>
      <c r="CL52" s="33">
        <v>0</v>
      </c>
      <c r="CM52" s="33">
        <v>0</v>
      </c>
      <c r="CN52" s="2" t="s">
        <v>146</v>
      </c>
    </row>
    <row r="53" spans="1:92" ht="28" x14ac:dyDescent="0.15">
      <c r="A53" s="51">
        <v>45860.613367025464</v>
      </c>
      <c r="B53" s="3" t="s">
        <v>29</v>
      </c>
      <c r="C53" s="18">
        <v>2</v>
      </c>
      <c r="D53" s="117"/>
      <c r="E53" s="6" t="s">
        <v>55</v>
      </c>
      <c r="F53" s="18">
        <v>1</v>
      </c>
      <c r="G53" s="117"/>
      <c r="H53" s="6" t="s">
        <v>31</v>
      </c>
      <c r="I53" s="18">
        <v>3</v>
      </c>
      <c r="J53" s="117"/>
      <c r="K53" s="43" t="s">
        <v>56</v>
      </c>
      <c r="L53" s="18">
        <v>2</v>
      </c>
      <c r="M53" s="120"/>
      <c r="N53" s="4" t="s">
        <v>33</v>
      </c>
      <c r="O53" s="18">
        <v>1</v>
      </c>
      <c r="P53" s="120"/>
      <c r="Q53" s="4" t="s">
        <v>34</v>
      </c>
      <c r="R53" s="18">
        <v>2</v>
      </c>
      <c r="S53" s="120"/>
      <c r="T53" s="4" t="s">
        <v>35</v>
      </c>
      <c r="U53" s="18">
        <v>2</v>
      </c>
      <c r="V53" s="120"/>
      <c r="W53" s="4" t="s">
        <v>36</v>
      </c>
      <c r="X53" s="18">
        <v>2</v>
      </c>
      <c r="Y53" s="120"/>
      <c r="Z53" s="4" t="s">
        <v>37</v>
      </c>
      <c r="AA53" s="18">
        <v>3</v>
      </c>
      <c r="AB53" s="120"/>
      <c r="AC53" s="4" t="s">
        <v>38</v>
      </c>
      <c r="AD53" s="18">
        <v>4</v>
      </c>
      <c r="AE53" s="120"/>
      <c r="AF53" s="4" t="s">
        <v>93</v>
      </c>
      <c r="AG53" s="18">
        <v>3</v>
      </c>
      <c r="AH53" s="120"/>
      <c r="AI53" s="13" t="s">
        <v>94</v>
      </c>
      <c r="AJ53" s="24">
        <v>3</v>
      </c>
      <c r="AK53" s="126"/>
      <c r="AL53" s="4" t="s">
        <v>41</v>
      </c>
      <c r="AM53" s="18">
        <v>2</v>
      </c>
      <c r="AN53" s="120"/>
      <c r="AO53" s="4" t="s">
        <v>72</v>
      </c>
      <c r="AP53" s="18">
        <v>4</v>
      </c>
      <c r="AQ53" s="120"/>
      <c r="AR53" s="4" t="s">
        <v>43</v>
      </c>
      <c r="AS53" s="18">
        <v>3</v>
      </c>
      <c r="AT53" s="120"/>
      <c r="AU53" s="4" t="s">
        <v>79</v>
      </c>
      <c r="AV53" s="18">
        <v>2</v>
      </c>
      <c r="AW53" s="120"/>
      <c r="AX53" s="4" t="s">
        <v>80</v>
      </c>
      <c r="AY53" s="18">
        <v>2</v>
      </c>
      <c r="AZ53" s="120"/>
      <c r="BA53" s="4" t="s">
        <v>59</v>
      </c>
      <c r="BB53" s="18">
        <v>1</v>
      </c>
      <c r="BC53" s="18">
        <v>0</v>
      </c>
      <c r="BD53" s="18">
        <v>1</v>
      </c>
      <c r="BE53" s="18">
        <v>0</v>
      </c>
      <c r="BF53" s="18">
        <v>0</v>
      </c>
      <c r="BG53" s="18">
        <v>0</v>
      </c>
      <c r="BH53" s="150" t="s">
        <v>47</v>
      </c>
      <c r="BI53" s="18">
        <v>2</v>
      </c>
      <c r="BJ53" s="130"/>
      <c r="BK53" s="4" t="s">
        <v>48</v>
      </c>
      <c r="BL53" s="18">
        <v>2</v>
      </c>
      <c r="BM53" s="120"/>
      <c r="BN53" s="4" t="s">
        <v>64</v>
      </c>
      <c r="BO53" s="18">
        <v>2</v>
      </c>
      <c r="BP53" s="120"/>
      <c r="BQ53" s="18" t="s">
        <v>117</v>
      </c>
      <c r="BR53" s="18">
        <v>2</v>
      </c>
      <c r="BS53" s="120"/>
      <c r="BT53" s="4" t="s">
        <v>65</v>
      </c>
      <c r="BU53" s="18">
        <v>2</v>
      </c>
      <c r="BV53" s="120"/>
      <c r="BW53" s="4" t="s">
        <v>51</v>
      </c>
      <c r="BX53" s="18">
        <v>2</v>
      </c>
      <c r="BY53" s="120"/>
      <c r="BZ53" s="4" t="s">
        <v>97</v>
      </c>
      <c r="CA53" s="18">
        <v>3</v>
      </c>
      <c r="CB53" s="120"/>
      <c r="CC53" s="4" t="s">
        <v>36</v>
      </c>
      <c r="CD53" s="18">
        <v>2</v>
      </c>
      <c r="CE53" s="120"/>
      <c r="CF53" s="18" t="s">
        <v>36</v>
      </c>
      <c r="CG53" s="18">
        <v>3</v>
      </c>
      <c r="CH53" s="120"/>
      <c r="CI53" s="4" t="s">
        <v>53</v>
      </c>
      <c r="CJ53" s="34">
        <v>1</v>
      </c>
      <c r="CK53" s="34">
        <v>1</v>
      </c>
      <c r="CL53" s="34">
        <v>0</v>
      </c>
      <c r="CM53" s="34">
        <v>0</v>
      </c>
      <c r="CN53" s="5" t="s">
        <v>68</v>
      </c>
    </row>
    <row r="54" spans="1:92" ht="28" x14ac:dyDescent="0.15">
      <c r="A54" s="51">
        <v>45860.616404594912</v>
      </c>
      <c r="B54" s="3" t="s">
        <v>29</v>
      </c>
      <c r="C54" s="17">
        <v>3</v>
      </c>
      <c r="D54" s="116"/>
      <c r="E54" s="6" t="s">
        <v>90</v>
      </c>
      <c r="F54" s="17">
        <v>1</v>
      </c>
      <c r="G54" s="116"/>
      <c r="H54" s="6" t="s">
        <v>31</v>
      </c>
      <c r="I54" s="17">
        <v>2</v>
      </c>
      <c r="J54" s="116"/>
      <c r="K54" s="43" t="s">
        <v>116</v>
      </c>
      <c r="L54" s="17">
        <v>2</v>
      </c>
      <c r="M54" s="119"/>
      <c r="N54" s="1" t="s">
        <v>33</v>
      </c>
      <c r="O54" s="18">
        <v>1</v>
      </c>
      <c r="P54" s="117"/>
      <c r="Q54" s="1" t="s">
        <v>34</v>
      </c>
      <c r="R54" s="17">
        <v>1</v>
      </c>
      <c r="S54" s="119"/>
      <c r="T54" s="1" t="s">
        <v>57</v>
      </c>
      <c r="U54" s="17">
        <v>1</v>
      </c>
      <c r="V54" s="119"/>
      <c r="W54" s="1" t="s">
        <v>92</v>
      </c>
      <c r="X54" s="17">
        <v>1</v>
      </c>
      <c r="Y54" s="119"/>
      <c r="Z54" s="1" t="s">
        <v>58</v>
      </c>
      <c r="AA54" s="17">
        <v>2</v>
      </c>
      <c r="AB54" s="119"/>
      <c r="AC54" s="1" t="s">
        <v>59</v>
      </c>
      <c r="AD54" s="17">
        <v>2</v>
      </c>
      <c r="AE54" s="119"/>
      <c r="AF54" s="1" t="s">
        <v>83</v>
      </c>
      <c r="AG54" s="17">
        <v>2</v>
      </c>
      <c r="AH54" s="119"/>
      <c r="AI54" s="11" t="s">
        <v>40</v>
      </c>
      <c r="AJ54" s="25">
        <v>3</v>
      </c>
      <c r="AK54" s="127"/>
      <c r="AL54" s="1" t="s">
        <v>41</v>
      </c>
      <c r="AM54" s="17">
        <v>2</v>
      </c>
      <c r="AN54" s="119"/>
      <c r="AO54" s="1" t="s">
        <v>72</v>
      </c>
      <c r="AP54" s="17">
        <v>3</v>
      </c>
      <c r="AQ54" s="119"/>
      <c r="AR54" s="1" t="s">
        <v>61</v>
      </c>
      <c r="AS54" s="17">
        <v>3</v>
      </c>
      <c r="AT54" s="119"/>
      <c r="AU54" s="1" t="s">
        <v>79</v>
      </c>
      <c r="AV54" s="17">
        <v>2</v>
      </c>
      <c r="AW54" s="119"/>
      <c r="AX54" s="1" t="s">
        <v>80</v>
      </c>
      <c r="AY54" s="17">
        <v>1</v>
      </c>
      <c r="AZ54" s="119"/>
      <c r="BA54" s="1" t="s">
        <v>69</v>
      </c>
      <c r="BB54" s="17">
        <v>1</v>
      </c>
      <c r="BC54" s="17">
        <v>0</v>
      </c>
      <c r="BD54" s="17">
        <v>1</v>
      </c>
      <c r="BE54" s="17">
        <v>0</v>
      </c>
      <c r="BF54" s="17">
        <v>0</v>
      </c>
      <c r="BG54" s="17">
        <v>0</v>
      </c>
      <c r="BH54" s="149" t="s">
        <v>47</v>
      </c>
      <c r="BI54" s="17">
        <v>0</v>
      </c>
      <c r="BJ54" s="131"/>
      <c r="BK54" s="1" t="s">
        <v>75</v>
      </c>
      <c r="BL54" s="17">
        <v>3</v>
      </c>
      <c r="BM54" s="119"/>
      <c r="BN54" s="1" t="s">
        <v>49</v>
      </c>
      <c r="BO54" s="17">
        <v>1</v>
      </c>
      <c r="BP54" s="119"/>
      <c r="BQ54" s="17" t="s">
        <v>50</v>
      </c>
      <c r="BR54" s="17">
        <v>1</v>
      </c>
      <c r="BS54" s="119"/>
      <c r="BT54" s="1" t="s">
        <v>69</v>
      </c>
      <c r="BU54" s="17">
        <v>3</v>
      </c>
      <c r="BV54" s="119"/>
      <c r="BW54" s="1" t="s">
        <v>147</v>
      </c>
      <c r="BX54" s="17">
        <v>0</v>
      </c>
      <c r="BY54" s="119"/>
      <c r="BZ54" s="1" t="s">
        <v>119</v>
      </c>
      <c r="CA54" s="17">
        <v>2</v>
      </c>
      <c r="CB54" s="119"/>
      <c r="CC54" s="1" t="s">
        <v>76</v>
      </c>
      <c r="CD54" s="17">
        <v>0</v>
      </c>
      <c r="CE54" s="119"/>
      <c r="CF54" s="17" t="s">
        <v>49</v>
      </c>
      <c r="CG54" s="17">
        <v>2</v>
      </c>
      <c r="CH54" s="119"/>
      <c r="CI54" s="1" t="s">
        <v>78</v>
      </c>
      <c r="CJ54" s="33">
        <v>0</v>
      </c>
      <c r="CK54" s="33">
        <v>1</v>
      </c>
      <c r="CL54" s="33">
        <v>0</v>
      </c>
      <c r="CM54" s="33">
        <v>0</v>
      </c>
      <c r="CN54" s="2" t="s">
        <v>137</v>
      </c>
    </row>
    <row r="55" spans="1:92" ht="28" x14ac:dyDescent="0.15">
      <c r="A55" s="51">
        <v>45860.617108472223</v>
      </c>
      <c r="B55" s="3" t="s">
        <v>29</v>
      </c>
      <c r="C55" s="18">
        <v>4</v>
      </c>
      <c r="D55" s="117"/>
      <c r="E55" s="6" t="s">
        <v>127</v>
      </c>
      <c r="F55" s="18">
        <v>1</v>
      </c>
      <c r="G55" s="117"/>
      <c r="H55" s="6" t="s">
        <v>31</v>
      </c>
      <c r="I55" s="18">
        <v>1</v>
      </c>
      <c r="J55" s="117"/>
      <c r="K55" s="43" t="s">
        <v>32</v>
      </c>
      <c r="L55" s="18">
        <v>0</v>
      </c>
      <c r="M55" s="120"/>
      <c r="N55" s="4" t="s">
        <v>145</v>
      </c>
      <c r="O55" s="18">
        <v>1</v>
      </c>
      <c r="P55" s="120"/>
      <c r="Q55" s="4" t="s">
        <v>34</v>
      </c>
      <c r="R55" s="18">
        <v>1</v>
      </c>
      <c r="S55" s="120"/>
      <c r="T55" s="4" t="s">
        <v>57</v>
      </c>
      <c r="U55" s="18">
        <v>2</v>
      </c>
      <c r="V55" s="120"/>
      <c r="W55" s="4" t="s">
        <v>36</v>
      </c>
      <c r="X55" s="18">
        <v>2</v>
      </c>
      <c r="Y55" s="120"/>
      <c r="Z55" s="4" t="s">
        <v>37</v>
      </c>
      <c r="AA55" s="18">
        <v>2</v>
      </c>
      <c r="AB55" s="120"/>
      <c r="AC55" s="4" t="s">
        <v>59</v>
      </c>
      <c r="AD55" s="18">
        <v>1</v>
      </c>
      <c r="AE55" s="120"/>
      <c r="AF55" s="4" t="s">
        <v>39</v>
      </c>
      <c r="AG55" s="18">
        <v>3</v>
      </c>
      <c r="AH55" s="120"/>
      <c r="AI55" s="13" t="s">
        <v>94</v>
      </c>
      <c r="AJ55" s="24">
        <v>3</v>
      </c>
      <c r="AK55" s="126"/>
      <c r="AL55" s="4" t="s">
        <v>41</v>
      </c>
      <c r="AM55" s="18">
        <v>3</v>
      </c>
      <c r="AN55" s="120"/>
      <c r="AO55" s="4" t="s">
        <v>42</v>
      </c>
      <c r="AP55" s="18">
        <v>3</v>
      </c>
      <c r="AQ55" s="120"/>
      <c r="AR55" s="4" t="s">
        <v>61</v>
      </c>
      <c r="AS55" s="18">
        <v>3</v>
      </c>
      <c r="AT55" s="120"/>
      <c r="AU55" s="4" t="s">
        <v>79</v>
      </c>
      <c r="AV55" s="18">
        <v>1</v>
      </c>
      <c r="AW55" s="120"/>
      <c r="AX55" s="4" t="s">
        <v>45</v>
      </c>
      <c r="AY55" s="18">
        <v>2</v>
      </c>
      <c r="AZ55" s="120"/>
      <c r="BA55" s="4" t="s">
        <v>59</v>
      </c>
      <c r="BB55" s="18">
        <v>1</v>
      </c>
      <c r="BC55" s="18">
        <v>0</v>
      </c>
      <c r="BD55" s="18">
        <v>1</v>
      </c>
      <c r="BE55" s="18">
        <v>0</v>
      </c>
      <c r="BF55" s="18">
        <v>0</v>
      </c>
      <c r="BG55" s="18">
        <v>0</v>
      </c>
      <c r="BH55" s="150" t="s">
        <v>47</v>
      </c>
      <c r="BI55" s="18">
        <v>0</v>
      </c>
      <c r="BJ55" s="130"/>
      <c r="BK55" s="4" t="s">
        <v>75</v>
      </c>
      <c r="BL55" s="18">
        <v>3</v>
      </c>
      <c r="BM55" s="120"/>
      <c r="BN55" s="4" t="s">
        <v>49</v>
      </c>
      <c r="BO55" s="18">
        <v>1</v>
      </c>
      <c r="BP55" s="120"/>
      <c r="BQ55" s="18" t="s">
        <v>50</v>
      </c>
      <c r="BR55" s="18">
        <v>2</v>
      </c>
      <c r="BS55" s="120"/>
      <c r="BT55" s="4" t="s">
        <v>65</v>
      </c>
      <c r="BU55" s="18">
        <v>0</v>
      </c>
      <c r="BV55" s="120"/>
      <c r="BW55" s="4" t="s">
        <v>88</v>
      </c>
      <c r="BX55" s="18">
        <v>0</v>
      </c>
      <c r="BY55" s="120"/>
      <c r="BZ55" s="4" t="s">
        <v>119</v>
      </c>
      <c r="CA55" s="18">
        <v>3</v>
      </c>
      <c r="CB55" s="120"/>
      <c r="CC55" s="4" t="s">
        <v>36</v>
      </c>
      <c r="CD55" s="18">
        <v>1</v>
      </c>
      <c r="CE55" s="120"/>
      <c r="CF55" s="18" t="s">
        <v>77</v>
      </c>
      <c r="CG55" s="18">
        <v>3</v>
      </c>
      <c r="CH55" s="120"/>
      <c r="CI55" s="4" t="s">
        <v>53</v>
      </c>
      <c r="CJ55" s="34">
        <v>0</v>
      </c>
      <c r="CK55" s="34">
        <v>0</v>
      </c>
      <c r="CL55" s="34">
        <v>0</v>
      </c>
      <c r="CM55" s="34">
        <v>1</v>
      </c>
      <c r="CN55" s="5" t="s">
        <v>101</v>
      </c>
    </row>
    <row r="56" spans="1:92" ht="28" x14ac:dyDescent="0.15">
      <c r="A56" s="51">
        <v>45860.617672893517</v>
      </c>
      <c r="B56" s="3" t="s">
        <v>29</v>
      </c>
      <c r="C56" s="17">
        <v>3</v>
      </c>
      <c r="D56" s="116"/>
      <c r="E56" s="6" t="s">
        <v>90</v>
      </c>
      <c r="F56" s="17">
        <v>2</v>
      </c>
      <c r="G56" s="116"/>
      <c r="H56" s="6" t="s">
        <v>91</v>
      </c>
      <c r="I56" s="17">
        <v>2</v>
      </c>
      <c r="J56" s="116"/>
      <c r="K56" s="43" t="s">
        <v>116</v>
      </c>
      <c r="L56" s="17">
        <v>3</v>
      </c>
      <c r="M56" s="119"/>
      <c r="N56" s="1" t="s">
        <v>148</v>
      </c>
      <c r="O56" s="18">
        <v>1</v>
      </c>
      <c r="P56" s="117"/>
      <c r="Q56" s="1" t="s">
        <v>34</v>
      </c>
      <c r="R56" s="17">
        <v>2</v>
      </c>
      <c r="S56" s="119"/>
      <c r="T56" s="1" t="s">
        <v>35</v>
      </c>
      <c r="U56" s="17">
        <v>0</v>
      </c>
      <c r="V56" s="119"/>
      <c r="W56" s="1" t="s">
        <v>49</v>
      </c>
      <c r="X56" s="17">
        <v>0</v>
      </c>
      <c r="Y56" s="119"/>
      <c r="Z56" s="1" t="s">
        <v>108</v>
      </c>
      <c r="AA56" s="17">
        <v>0</v>
      </c>
      <c r="AB56" s="119"/>
      <c r="AC56" s="1" t="s">
        <v>46</v>
      </c>
      <c r="AD56" s="17">
        <v>2</v>
      </c>
      <c r="AE56" s="119"/>
      <c r="AF56" s="1" t="s">
        <v>83</v>
      </c>
      <c r="AG56" s="17">
        <v>0</v>
      </c>
      <c r="AH56" s="119"/>
      <c r="AI56" s="11" t="s">
        <v>84</v>
      </c>
      <c r="AJ56" s="25">
        <v>0</v>
      </c>
      <c r="AK56" s="127"/>
      <c r="AL56" s="1" t="s">
        <v>85</v>
      </c>
      <c r="AM56" s="17">
        <v>0</v>
      </c>
      <c r="AN56" s="119"/>
      <c r="AO56" s="1" t="s">
        <v>110</v>
      </c>
      <c r="AP56" s="17">
        <v>1</v>
      </c>
      <c r="AQ56" s="119"/>
      <c r="AR56" s="1" t="s">
        <v>149</v>
      </c>
      <c r="AS56" s="17">
        <v>0</v>
      </c>
      <c r="AT56" s="119"/>
      <c r="AU56" s="1" t="s">
        <v>102</v>
      </c>
      <c r="AV56" s="17">
        <v>0</v>
      </c>
      <c r="AW56" s="119"/>
      <c r="AX56" s="1" t="s">
        <v>62</v>
      </c>
      <c r="AY56" s="17">
        <v>0</v>
      </c>
      <c r="AZ56" s="119"/>
      <c r="BA56" s="1" t="s">
        <v>38</v>
      </c>
      <c r="BB56" s="17">
        <v>0</v>
      </c>
      <c r="BC56" s="17">
        <v>0</v>
      </c>
      <c r="BD56" s="17">
        <v>1</v>
      </c>
      <c r="BE56" s="17">
        <v>1</v>
      </c>
      <c r="BF56" s="17">
        <v>0</v>
      </c>
      <c r="BG56" s="17">
        <v>0</v>
      </c>
      <c r="BH56" s="149" t="s">
        <v>95</v>
      </c>
      <c r="BI56" s="17">
        <v>0</v>
      </c>
      <c r="BJ56" s="131"/>
      <c r="BK56" s="1" t="s">
        <v>75</v>
      </c>
      <c r="BL56" s="17">
        <v>0</v>
      </c>
      <c r="BM56" s="119"/>
      <c r="BN56" s="1" t="s">
        <v>36</v>
      </c>
      <c r="BO56" s="17">
        <v>2</v>
      </c>
      <c r="BP56" s="119"/>
      <c r="BQ56" s="17" t="s">
        <v>117</v>
      </c>
      <c r="BR56" s="17">
        <v>0</v>
      </c>
      <c r="BS56" s="119"/>
      <c r="BT56" s="1" t="s">
        <v>46</v>
      </c>
      <c r="BU56" s="17">
        <v>0</v>
      </c>
      <c r="BV56" s="119"/>
      <c r="BW56" s="1" t="s">
        <v>88</v>
      </c>
      <c r="BX56" s="17">
        <v>1</v>
      </c>
      <c r="BY56" s="119"/>
      <c r="BZ56" s="1" t="s">
        <v>67</v>
      </c>
      <c r="CA56" s="17">
        <v>0</v>
      </c>
      <c r="CB56" s="119"/>
      <c r="CC56" s="1" t="s">
        <v>49</v>
      </c>
      <c r="CD56" s="17">
        <v>1</v>
      </c>
      <c r="CE56" s="119"/>
      <c r="CF56" s="17" t="s">
        <v>77</v>
      </c>
      <c r="CG56" s="17">
        <v>2</v>
      </c>
      <c r="CH56" s="119"/>
      <c r="CI56" s="1" t="s">
        <v>78</v>
      </c>
      <c r="CJ56" s="33">
        <v>0</v>
      </c>
      <c r="CK56" s="33">
        <v>0</v>
      </c>
      <c r="CL56" s="33">
        <v>0</v>
      </c>
      <c r="CM56" s="33">
        <v>1</v>
      </c>
      <c r="CN56" s="2" t="s">
        <v>150</v>
      </c>
    </row>
    <row r="57" spans="1:92" ht="28" x14ac:dyDescent="0.15">
      <c r="A57" s="51">
        <v>45860.617688541664</v>
      </c>
      <c r="B57" s="3" t="s">
        <v>29</v>
      </c>
      <c r="C57" s="18">
        <v>3</v>
      </c>
      <c r="D57" s="117"/>
      <c r="E57" s="6" t="s">
        <v>90</v>
      </c>
      <c r="F57" s="18">
        <v>1</v>
      </c>
      <c r="G57" s="117"/>
      <c r="H57" s="6" t="s">
        <v>31</v>
      </c>
      <c r="I57" s="18">
        <v>1</v>
      </c>
      <c r="J57" s="117"/>
      <c r="K57" s="43" t="s">
        <v>32</v>
      </c>
      <c r="L57" s="18">
        <v>2</v>
      </c>
      <c r="M57" s="120"/>
      <c r="N57" s="4" t="s">
        <v>33</v>
      </c>
      <c r="O57" s="18">
        <v>1</v>
      </c>
      <c r="P57" s="120"/>
      <c r="Q57" s="4" t="s">
        <v>34</v>
      </c>
      <c r="R57" s="18">
        <v>0</v>
      </c>
      <c r="S57" s="120"/>
      <c r="T57" s="4" t="s">
        <v>49</v>
      </c>
      <c r="U57" s="18">
        <v>2</v>
      </c>
      <c r="V57" s="120"/>
      <c r="W57" s="4" t="s">
        <v>36</v>
      </c>
      <c r="X57" s="18">
        <v>1</v>
      </c>
      <c r="Y57" s="120"/>
      <c r="Z57" s="4" t="s">
        <v>58</v>
      </c>
      <c r="AA57" s="18">
        <v>2</v>
      </c>
      <c r="AB57" s="120"/>
      <c r="AC57" s="4" t="s">
        <v>59</v>
      </c>
      <c r="AD57" s="18">
        <v>2</v>
      </c>
      <c r="AE57" s="120"/>
      <c r="AF57" s="4" t="s">
        <v>83</v>
      </c>
      <c r="AG57" s="18">
        <v>2</v>
      </c>
      <c r="AH57" s="120"/>
      <c r="AI57" s="13" t="s">
        <v>40</v>
      </c>
      <c r="AJ57" s="24">
        <v>3</v>
      </c>
      <c r="AK57" s="126"/>
      <c r="AL57" s="4" t="s">
        <v>41</v>
      </c>
      <c r="AM57" s="18">
        <v>2</v>
      </c>
      <c r="AN57" s="120"/>
      <c r="AO57" s="4" t="s">
        <v>72</v>
      </c>
      <c r="AP57" s="18">
        <v>3</v>
      </c>
      <c r="AQ57" s="120"/>
      <c r="AR57" s="4" t="s">
        <v>61</v>
      </c>
      <c r="AS57" s="18">
        <v>2</v>
      </c>
      <c r="AT57" s="120"/>
      <c r="AU57" s="4" t="s">
        <v>44</v>
      </c>
      <c r="AV57" s="18">
        <v>1</v>
      </c>
      <c r="AW57" s="120"/>
      <c r="AX57" s="4" t="s">
        <v>45</v>
      </c>
      <c r="AY57" s="18">
        <v>3</v>
      </c>
      <c r="AZ57" s="120"/>
      <c r="BA57" s="4" t="s">
        <v>46</v>
      </c>
      <c r="BB57" s="18">
        <v>1</v>
      </c>
      <c r="BC57" s="18">
        <v>0</v>
      </c>
      <c r="BD57" s="18">
        <v>1</v>
      </c>
      <c r="BE57" s="18">
        <v>0</v>
      </c>
      <c r="BF57" s="18">
        <v>0</v>
      </c>
      <c r="BG57" s="18">
        <v>0</v>
      </c>
      <c r="BH57" s="150" t="s">
        <v>47</v>
      </c>
      <c r="BI57" s="18">
        <v>0</v>
      </c>
      <c r="BJ57" s="130"/>
      <c r="BK57" s="4" t="s">
        <v>75</v>
      </c>
      <c r="BL57" s="18">
        <v>0</v>
      </c>
      <c r="BM57" s="120"/>
      <c r="BN57" s="4" t="s">
        <v>36</v>
      </c>
      <c r="BO57" s="18">
        <v>1</v>
      </c>
      <c r="BP57" s="120"/>
      <c r="BQ57" s="18" t="s">
        <v>50</v>
      </c>
      <c r="BR57" s="18">
        <v>2</v>
      </c>
      <c r="BS57" s="120"/>
      <c r="BT57" s="4" t="s">
        <v>65</v>
      </c>
      <c r="BU57" s="18">
        <v>0</v>
      </c>
      <c r="BV57" s="120"/>
      <c r="BW57" s="4" t="s">
        <v>88</v>
      </c>
      <c r="BX57" s="18">
        <v>3</v>
      </c>
      <c r="BY57" s="120"/>
      <c r="BZ57" s="4" t="s">
        <v>52</v>
      </c>
      <c r="CA57" s="18">
        <v>3</v>
      </c>
      <c r="CB57" s="120"/>
      <c r="CC57" s="4" t="s">
        <v>36</v>
      </c>
      <c r="CD57" s="18">
        <v>0</v>
      </c>
      <c r="CE57" s="120"/>
      <c r="CF57" s="18" t="s">
        <v>49</v>
      </c>
      <c r="CG57" s="18">
        <v>2</v>
      </c>
      <c r="CH57" s="120"/>
      <c r="CI57" s="4" t="s">
        <v>78</v>
      </c>
      <c r="CJ57" s="34">
        <v>0</v>
      </c>
      <c r="CK57" s="34">
        <v>1</v>
      </c>
      <c r="CL57" s="34">
        <v>1</v>
      </c>
      <c r="CM57" s="34">
        <v>0</v>
      </c>
      <c r="CN57" s="5" t="s">
        <v>98</v>
      </c>
    </row>
    <row r="58" spans="1:92" ht="28" x14ac:dyDescent="0.15">
      <c r="A58" s="51">
        <v>45860.621811759258</v>
      </c>
      <c r="B58" s="3" t="s">
        <v>29</v>
      </c>
      <c r="C58" s="17">
        <v>2</v>
      </c>
      <c r="D58" s="116"/>
      <c r="E58" s="6" t="s">
        <v>55</v>
      </c>
      <c r="F58" s="17">
        <v>1</v>
      </c>
      <c r="G58" s="116"/>
      <c r="H58" s="6" t="s">
        <v>31</v>
      </c>
      <c r="I58" s="17">
        <v>3</v>
      </c>
      <c r="J58" s="116"/>
      <c r="K58" s="43" t="s">
        <v>56</v>
      </c>
      <c r="L58" s="17">
        <v>0</v>
      </c>
      <c r="M58" s="119"/>
      <c r="N58" s="1" t="s">
        <v>145</v>
      </c>
      <c r="O58" s="18">
        <v>1</v>
      </c>
      <c r="P58" s="117"/>
      <c r="Q58" s="1" t="s">
        <v>34</v>
      </c>
      <c r="R58" s="17">
        <v>1</v>
      </c>
      <c r="S58" s="119"/>
      <c r="T58" s="1" t="s">
        <v>57</v>
      </c>
      <c r="U58" s="17">
        <v>1</v>
      </c>
      <c r="V58" s="119"/>
      <c r="W58" s="1" t="s">
        <v>92</v>
      </c>
      <c r="X58" s="17">
        <v>1</v>
      </c>
      <c r="Y58" s="119"/>
      <c r="Z58" s="1" t="s">
        <v>58</v>
      </c>
      <c r="AA58" s="17">
        <v>2</v>
      </c>
      <c r="AB58" s="119"/>
      <c r="AC58" s="1" t="s">
        <v>59</v>
      </c>
      <c r="AD58" s="17">
        <v>5</v>
      </c>
      <c r="AE58" s="119"/>
      <c r="AF58" s="1" t="s">
        <v>115</v>
      </c>
      <c r="AG58" s="17">
        <v>3</v>
      </c>
      <c r="AH58" s="119"/>
      <c r="AI58" s="11" t="s">
        <v>94</v>
      </c>
      <c r="AJ58" s="25">
        <v>3</v>
      </c>
      <c r="AK58" s="127"/>
      <c r="AL58" s="1" t="s">
        <v>41</v>
      </c>
      <c r="AM58" s="17">
        <v>3</v>
      </c>
      <c r="AN58" s="119"/>
      <c r="AO58" s="1" t="s">
        <v>42</v>
      </c>
      <c r="AP58" s="17">
        <v>3</v>
      </c>
      <c r="AQ58" s="119"/>
      <c r="AR58" s="1" t="s">
        <v>99</v>
      </c>
      <c r="AS58" s="17">
        <v>3</v>
      </c>
      <c r="AT58" s="119"/>
      <c r="AU58" s="1" t="s">
        <v>79</v>
      </c>
      <c r="AV58" s="17">
        <v>2</v>
      </c>
      <c r="AW58" s="119"/>
      <c r="AX58" s="1" t="s">
        <v>80</v>
      </c>
      <c r="AY58" s="17">
        <v>1</v>
      </c>
      <c r="AZ58" s="119"/>
      <c r="BA58" s="1" t="s">
        <v>69</v>
      </c>
      <c r="BB58" s="17">
        <v>1</v>
      </c>
      <c r="BC58" s="17">
        <v>0</v>
      </c>
      <c r="BD58" s="17">
        <v>1</v>
      </c>
      <c r="BE58" s="17">
        <v>0</v>
      </c>
      <c r="BF58" s="17">
        <v>0</v>
      </c>
      <c r="BG58" s="17">
        <v>0</v>
      </c>
      <c r="BH58" s="149" t="s">
        <v>47</v>
      </c>
      <c r="BI58" s="17">
        <v>1</v>
      </c>
      <c r="BJ58" s="131"/>
      <c r="BK58" s="1" t="s">
        <v>96</v>
      </c>
      <c r="BL58" s="17">
        <v>3</v>
      </c>
      <c r="BM58" s="119"/>
      <c r="BN58" s="1" t="s">
        <v>49</v>
      </c>
      <c r="BO58" s="17">
        <v>1</v>
      </c>
      <c r="BP58" s="119"/>
      <c r="BQ58" s="17" t="s">
        <v>50</v>
      </c>
      <c r="BR58" s="17">
        <v>1</v>
      </c>
      <c r="BS58" s="119"/>
      <c r="BT58" s="1" t="s">
        <v>69</v>
      </c>
      <c r="BU58" s="17">
        <v>0</v>
      </c>
      <c r="BV58" s="119"/>
      <c r="BW58" s="1" t="s">
        <v>88</v>
      </c>
      <c r="BX58" s="17">
        <v>3</v>
      </c>
      <c r="BY58" s="119"/>
      <c r="BZ58" s="1" t="s">
        <v>52</v>
      </c>
      <c r="CA58" s="17">
        <v>3</v>
      </c>
      <c r="CB58" s="119"/>
      <c r="CC58" s="1" t="s">
        <v>36</v>
      </c>
      <c r="CD58" s="17">
        <v>1</v>
      </c>
      <c r="CE58" s="119"/>
      <c r="CF58" s="17" t="s">
        <v>77</v>
      </c>
      <c r="CG58" s="17">
        <v>0</v>
      </c>
      <c r="CH58" s="119"/>
      <c r="CI58" s="1" t="s">
        <v>89</v>
      </c>
      <c r="CJ58" s="33"/>
      <c r="CK58" s="33">
        <v>1</v>
      </c>
      <c r="CL58" s="33">
        <v>1</v>
      </c>
      <c r="CM58" s="33"/>
      <c r="CN58" s="2" t="s">
        <v>98</v>
      </c>
    </row>
    <row r="59" spans="1:92" ht="28" x14ac:dyDescent="0.15">
      <c r="A59" s="51">
        <v>45860.621854120371</v>
      </c>
      <c r="B59" s="3" t="s">
        <v>29</v>
      </c>
      <c r="C59" s="18">
        <v>4</v>
      </c>
      <c r="D59" s="117"/>
      <c r="E59" s="6" t="s">
        <v>127</v>
      </c>
      <c r="F59" s="18">
        <v>1</v>
      </c>
      <c r="G59" s="117"/>
      <c r="H59" s="6" t="s">
        <v>31</v>
      </c>
      <c r="I59" s="18">
        <v>1</v>
      </c>
      <c r="J59" s="117"/>
      <c r="K59" s="43" t="s">
        <v>32</v>
      </c>
      <c r="L59" s="18">
        <v>2</v>
      </c>
      <c r="M59" s="120"/>
      <c r="N59" s="4" t="s">
        <v>33</v>
      </c>
      <c r="O59" s="18">
        <v>1</v>
      </c>
      <c r="P59" s="120"/>
      <c r="Q59" s="4" t="s">
        <v>34</v>
      </c>
      <c r="R59" s="18">
        <v>1</v>
      </c>
      <c r="S59" s="120"/>
      <c r="T59" s="4" t="s">
        <v>57</v>
      </c>
      <c r="U59" s="18">
        <v>2</v>
      </c>
      <c r="V59" s="120"/>
      <c r="W59" s="4" t="s">
        <v>36</v>
      </c>
      <c r="X59" s="18">
        <v>1</v>
      </c>
      <c r="Y59" s="120"/>
      <c r="Z59" s="4" t="s">
        <v>58</v>
      </c>
      <c r="AA59" s="18">
        <v>2</v>
      </c>
      <c r="AB59" s="120"/>
      <c r="AC59" s="4" t="s">
        <v>59</v>
      </c>
      <c r="AD59" s="18">
        <v>0</v>
      </c>
      <c r="AE59" s="120"/>
      <c r="AF59" s="4" t="s">
        <v>70</v>
      </c>
      <c r="AG59" s="18">
        <v>0</v>
      </c>
      <c r="AH59" s="120"/>
      <c r="AI59" s="13" t="s">
        <v>84</v>
      </c>
      <c r="AJ59" s="24">
        <v>0</v>
      </c>
      <c r="AK59" s="126"/>
      <c r="AL59" s="4" t="s">
        <v>85</v>
      </c>
      <c r="AM59" s="18">
        <v>1</v>
      </c>
      <c r="AN59" s="120"/>
      <c r="AO59" s="4" t="s">
        <v>130</v>
      </c>
      <c r="AP59" s="18">
        <v>3</v>
      </c>
      <c r="AQ59" s="120"/>
      <c r="AR59" s="4" t="s">
        <v>61</v>
      </c>
      <c r="AS59" s="18">
        <v>2</v>
      </c>
      <c r="AT59" s="120"/>
      <c r="AU59" s="4" t="s">
        <v>44</v>
      </c>
      <c r="AV59" s="18">
        <v>0</v>
      </c>
      <c r="AW59" s="120"/>
      <c r="AX59" s="4" t="s">
        <v>62</v>
      </c>
      <c r="AY59" s="18">
        <v>2</v>
      </c>
      <c r="AZ59" s="120"/>
      <c r="BA59" s="4" t="s">
        <v>59</v>
      </c>
      <c r="BB59" s="18">
        <v>1</v>
      </c>
      <c r="BC59" s="18">
        <v>1</v>
      </c>
      <c r="BD59" s="18">
        <v>0</v>
      </c>
      <c r="BE59" s="18">
        <v>0</v>
      </c>
      <c r="BF59" s="18">
        <v>0</v>
      </c>
      <c r="BG59" s="18">
        <v>0</v>
      </c>
      <c r="BH59" s="150" t="s">
        <v>81</v>
      </c>
      <c r="BI59" s="18">
        <v>0</v>
      </c>
      <c r="BJ59" s="130"/>
      <c r="BK59" s="4" t="s">
        <v>75</v>
      </c>
      <c r="BL59" s="18">
        <v>0</v>
      </c>
      <c r="BM59" s="120"/>
      <c r="BN59" s="4" t="s">
        <v>36</v>
      </c>
      <c r="BO59" s="18">
        <v>1</v>
      </c>
      <c r="BP59" s="120"/>
      <c r="BQ59" s="18" t="s">
        <v>50</v>
      </c>
      <c r="BR59" s="18">
        <v>0</v>
      </c>
      <c r="BS59" s="120"/>
      <c r="BT59" s="4" t="s">
        <v>46</v>
      </c>
      <c r="BU59" s="18">
        <v>0</v>
      </c>
      <c r="BV59" s="120"/>
      <c r="BW59" s="4" t="s">
        <v>88</v>
      </c>
      <c r="BX59" s="18">
        <v>2</v>
      </c>
      <c r="BY59" s="120"/>
      <c r="BZ59" s="4" t="s">
        <v>97</v>
      </c>
      <c r="CA59" s="18">
        <v>2</v>
      </c>
      <c r="CB59" s="120"/>
      <c r="CC59" s="4" t="s">
        <v>76</v>
      </c>
      <c r="CD59" s="18">
        <v>1</v>
      </c>
      <c r="CE59" s="120"/>
      <c r="CF59" s="18" t="s">
        <v>77</v>
      </c>
      <c r="CG59" s="18">
        <v>2</v>
      </c>
      <c r="CH59" s="120"/>
      <c r="CI59" s="4" t="s">
        <v>78</v>
      </c>
      <c r="CJ59" s="34">
        <v>1</v>
      </c>
      <c r="CK59" s="34">
        <v>1</v>
      </c>
      <c r="CL59" s="34">
        <v>0</v>
      </c>
      <c r="CM59" s="34">
        <v>0</v>
      </c>
      <c r="CN59" s="5" t="s">
        <v>82</v>
      </c>
    </row>
    <row r="60" spans="1:92" ht="42" x14ac:dyDescent="0.15">
      <c r="A60" s="51">
        <v>45860.625384548606</v>
      </c>
      <c r="B60" s="3" t="s">
        <v>29</v>
      </c>
      <c r="C60" s="17">
        <v>2</v>
      </c>
      <c r="D60" s="116"/>
      <c r="E60" s="6" t="s">
        <v>55</v>
      </c>
      <c r="F60" s="17">
        <v>2</v>
      </c>
      <c r="G60" s="116"/>
      <c r="H60" s="6" t="s">
        <v>91</v>
      </c>
      <c r="I60" s="17">
        <v>2</v>
      </c>
      <c r="J60" s="116"/>
      <c r="K60" s="43" t="s">
        <v>116</v>
      </c>
      <c r="L60" s="17">
        <v>2</v>
      </c>
      <c r="M60" s="119"/>
      <c r="N60" s="1" t="s">
        <v>33</v>
      </c>
      <c r="O60" s="18">
        <v>1</v>
      </c>
      <c r="P60" s="117"/>
      <c r="Q60" s="1" t="s">
        <v>34</v>
      </c>
      <c r="R60" s="17">
        <v>2</v>
      </c>
      <c r="S60" s="119"/>
      <c r="T60" s="1" t="s">
        <v>35</v>
      </c>
      <c r="U60" s="17">
        <v>2</v>
      </c>
      <c r="V60" s="119"/>
      <c r="W60" s="1" t="s">
        <v>36</v>
      </c>
      <c r="X60" s="17">
        <v>2</v>
      </c>
      <c r="Y60" s="119"/>
      <c r="Z60" s="1" t="s">
        <v>37</v>
      </c>
      <c r="AA60" s="17">
        <v>3</v>
      </c>
      <c r="AB60" s="119"/>
      <c r="AC60" s="1" t="s">
        <v>38</v>
      </c>
      <c r="AD60" s="17">
        <v>4</v>
      </c>
      <c r="AE60" s="119"/>
      <c r="AF60" s="1" t="s">
        <v>93</v>
      </c>
      <c r="AG60" s="17">
        <v>3</v>
      </c>
      <c r="AH60" s="119"/>
      <c r="AI60" s="11" t="s">
        <v>94</v>
      </c>
      <c r="AJ60" s="25">
        <v>3</v>
      </c>
      <c r="AK60" s="127"/>
      <c r="AL60" s="1" t="s">
        <v>41</v>
      </c>
      <c r="AM60" s="17">
        <v>3</v>
      </c>
      <c r="AN60" s="119"/>
      <c r="AO60" s="1" t="s">
        <v>42</v>
      </c>
      <c r="AP60" s="17">
        <v>3</v>
      </c>
      <c r="AQ60" s="119"/>
      <c r="AR60" s="1" t="s">
        <v>99</v>
      </c>
      <c r="AS60" s="17">
        <v>3</v>
      </c>
      <c r="AT60" s="119"/>
      <c r="AU60" s="1" t="s">
        <v>79</v>
      </c>
      <c r="AV60" s="17">
        <v>2</v>
      </c>
      <c r="AW60" s="119"/>
      <c r="AX60" s="1" t="s">
        <v>80</v>
      </c>
      <c r="AY60" s="17">
        <v>3</v>
      </c>
      <c r="AZ60" s="119"/>
      <c r="BA60" s="1" t="s">
        <v>46</v>
      </c>
      <c r="BB60" s="17">
        <v>1</v>
      </c>
      <c r="BC60" s="17">
        <v>1</v>
      </c>
      <c r="BD60" s="17">
        <v>0</v>
      </c>
      <c r="BE60" s="17">
        <v>0</v>
      </c>
      <c r="BF60" s="17">
        <v>0</v>
      </c>
      <c r="BG60" s="17">
        <v>0</v>
      </c>
      <c r="BH60" s="149" t="s">
        <v>151</v>
      </c>
      <c r="BI60" s="17">
        <v>2</v>
      </c>
      <c r="BJ60" s="131"/>
      <c r="BK60" s="1" t="s">
        <v>48</v>
      </c>
      <c r="BL60" s="17">
        <v>2</v>
      </c>
      <c r="BM60" s="119"/>
      <c r="BN60" s="1" t="s">
        <v>64</v>
      </c>
      <c r="BO60" s="17">
        <v>1</v>
      </c>
      <c r="BP60" s="119"/>
      <c r="BQ60" s="17" t="s">
        <v>152</v>
      </c>
      <c r="BR60" s="17">
        <v>3</v>
      </c>
      <c r="BS60" s="119"/>
      <c r="BT60" s="1" t="s">
        <v>38</v>
      </c>
      <c r="BU60" s="17">
        <v>0</v>
      </c>
      <c r="BV60" s="119"/>
      <c r="BW60" s="1" t="s">
        <v>88</v>
      </c>
      <c r="BX60" s="17">
        <v>3</v>
      </c>
      <c r="BY60" s="119"/>
      <c r="BZ60" s="1" t="s">
        <v>52</v>
      </c>
      <c r="CA60" s="17">
        <v>3</v>
      </c>
      <c r="CB60" s="119"/>
      <c r="CC60" s="1" t="s">
        <v>36</v>
      </c>
      <c r="CD60" s="17">
        <v>1</v>
      </c>
      <c r="CE60" s="119"/>
      <c r="CF60" s="17" t="s">
        <v>77</v>
      </c>
      <c r="CG60" s="17">
        <v>3</v>
      </c>
      <c r="CH60" s="119"/>
      <c r="CI60" s="1" t="s">
        <v>53</v>
      </c>
      <c r="CJ60" s="33">
        <v>1</v>
      </c>
      <c r="CK60" s="33">
        <v>1</v>
      </c>
      <c r="CL60" s="33">
        <v>0</v>
      </c>
      <c r="CM60" s="33">
        <v>0</v>
      </c>
      <c r="CN60" s="2" t="s">
        <v>68</v>
      </c>
    </row>
    <row r="61" spans="1:92" ht="28" x14ac:dyDescent="0.15">
      <c r="A61" s="51">
        <v>45860.627305694448</v>
      </c>
      <c r="B61" s="3" t="s">
        <v>29</v>
      </c>
      <c r="C61" s="18">
        <v>2</v>
      </c>
      <c r="D61" s="117"/>
      <c r="E61" s="6" t="s">
        <v>55</v>
      </c>
      <c r="F61" s="18">
        <v>1</v>
      </c>
      <c r="G61" s="117"/>
      <c r="H61" s="6" t="s">
        <v>31</v>
      </c>
      <c r="I61" s="18">
        <v>3</v>
      </c>
      <c r="J61" s="117"/>
      <c r="K61" s="43" t="s">
        <v>56</v>
      </c>
      <c r="L61" s="18">
        <v>2</v>
      </c>
      <c r="M61" s="120"/>
      <c r="N61" s="4" t="s">
        <v>33</v>
      </c>
      <c r="O61" s="18">
        <v>1</v>
      </c>
      <c r="P61" s="120"/>
      <c r="Q61" s="4" t="s">
        <v>34</v>
      </c>
      <c r="R61" s="18">
        <v>2</v>
      </c>
      <c r="S61" s="120"/>
      <c r="T61" s="4" t="s">
        <v>35</v>
      </c>
      <c r="U61" s="18">
        <v>1</v>
      </c>
      <c r="V61" s="120"/>
      <c r="W61" s="4" t="s">
        <v>92</v>
      </c>
      <c r="X61" s="18">
        <v>1</v>
      </c>
      <c r="Y61" s="120"/>
      <c r="Z61" s="4" t="s">
        <v>58</v>
      </c>
      <c r="AA61" s="18">
        <v>1</v>
      </c>
      <c r="AB61" s="120"/>
      <c r="AC61" s="4" t="s">
        <v>69</v>
      </c>
      <c r="AD61" s="18">
        <v>2</v>
      </c>
      <c r="AE61" s="120"/>
      <c r="AF61" s="4" t="s">
        <v>83</v>
      </c>
      <c r="AG61" s="18">
        <v>0</v>
      </c>
      <c r="AH61" s="120"/>
      <c r="AI61" s="13" t="s">
        <v>84</v>
      </c>
      <c r="AJ61" s="24">
        <v>2</v>
      </c>
      <c r="AK61" s="126"/>
      <c r="AL61" s="4" t="s">
        <v>71</v>
      </c>
      <c r="AM61" s="18">
        <v>1</v>
      </c>
      <c r="AN61" s="120"/>
      <c r="AO61" s="4" t="s">
        <v>130</v>
      </c>
      <c r="AP61" s="18">
        <v>3</v>
      </c>
      <c r="AQ61" s="120"/>
      <c r="AR61" s="4" t="s">
        <v>61</v>
      </c>
      <c r="AS61" s="18">
        <v>2</v>
      </c>
      <c r="AT61" s="120"/>
      <c r="AU61" s="4" t="s">
        <v>44</v>
      </c>
      <c r="AV61" s="18">
        <v>2</v>
      </c>
      <c r="AW61" s="120"/>
      <c r="AX61" s="4" t="s">
        <v>80</v>
      </c>
      <c r="AY61" s="18">
        <v>2</v>
      </c>
      <c r="AZ61" s="120"/>
      <c r="BA61" s="4" t="s">
        <v>59</v>
      </c>
      <c r="BB61" s="18">
        <v>1</v>
      </c>
      <c r="BC61" s="18">
        <v>0</v>
      </c>
      <c r="BD61" s="18">
        <v>0</v>
      </c>
      <c r="BE61" s="18">
        <v>1</v>
      </c>
      <c r="BF61" s="18">
        <v>0</v>
      </c>
      <c r="BG61" s="18">
        <v>0</v>
      </c>
      <c r="BH61" s="150" t="s">
        <v>74</v>
      </c>
      <c r="BI61" s="18">
        <v>0</v>
      </c>
      <c r="BJ61" s="130"/>
      <c r="BK61" s="4" t="s">
        <v>75</v>
      </c>
      <c r="BL61" s="18">
        <v>1</v>
      </c>
      <c r="BM61" s="120"/>
      <c r="BN61" s="4" t="s">
        <v>59</v>
      </c>
      <c r="BO61" s="18">
        <v>1</v>
      </c>
      <c r="BP61" s="120"/>
      <c r="BQ61" s="18" t="s">
        <v>50</v>
      </c>
      <c r="BR61" s="18">
        <v>1</v>
      </c>
      <c r="BS61" s="120"/>
      <c r="BT61" s="4" t="s">
        <v>69</v>
      </c>
      <c r="BU61" s="18">
        <v>2</v>
      </c>
      <c r="BV61" s="120"/>
      <c r="BW61" s="4" t="s">
        <v>51</v>
      </c>
      <c r="BX61" s="18">
        <v>2</v>
      </c>
      <c r="BY61" s="120"/>
      <c r="BZ61" s="4" t="s">
        <v>97</v>
      </c>
      <c r="CA61" s="18">
        <v>2</v>
      </c>
      <c r="CB61" s="120"/>
      <c r="CC61" s="4" t="s">
        <v>76</v>
      </c>
      <c r="CD61" s="18">
        <v>0</v>
      </c>
      <c r="CE61" s="120"/>
      <c r="CF61" s="18" t="s">
        <v>49</v>
      </c>
      <c r="CG61" s="18">
        <v>2</v>
      </c>
      <c r="CH61" s="120"/>
      <c r="CI61" s="4" t="s">
        <v>78</v>
      </c>
      <c r="CJ61" s="34">
        <v>1</v>
      </c>
      <c r="CK61" s="34">
        <v>0</v>
      </c>
      <c r="CL61" s="34">
        <v>1</v>
      </c>
      <c r="CM61" s="34">
        <v>0</v>
      </c>
      <c r="CN61" s="5" t="s">
        <v>54</v>
      </c>
    </row>
    <row r="62" spans="1:92" ht="28" x14ac:dyDescent="0.15">
      <c r="A62" s="51">
        <v>45860.628011493056</v>
      </c>
      <c r="B62" s="3" t="s">
        <v>29</v>
      </c>
      <c r="C62" s="17">
        <v>4</v>
      </c>
      <c r="D62" s="116"/>
      <c r="E62" s="6" t="s">
        <v>127</v>
      </c>
      <c r="F62" s="17">
        <v>1</v>
      </c>
      <c r="G62" s="116"/>
      <c r="H62" s="6" t="s">
        <v>31</v>
      </c>
      <c r="I62" s="17">
        <v>3</v>
      </c>
      <c r="J62" s="116"/>
      <c r="K62" s="43" t="s">
        <v>56</v>
      </c>
      <c r="L62" s="17">
        <v>2</v>
      </c>
      <c r="M62" s="119"/>
      <c r="N62" s="1" t="s">
        <v>33</v>
      </c>
      <c r="O62" s="18">
        <v>1</v>
      </c>
      <c r="P62" s="117"/>
      <c r="Q62" s="1" t="s">
        <v>34</v>
      </c>
      <c r="R62" s="17">
        <v>2</v>
      </c>
      <c r="S62" s="119"/>
      <c r="T62" s="1" t="s">
        <v>35</v>
      </c>
      <c r="U62" s="17">
        <v>2</v>
      </c>
      <c r="V62" s="119"/>
      <c r="W62" s="1" t="s">
        <v>36</v>
      </c>
      <c r="X62" s="17">
        <v>1</v>
      </c>
      <c r="Y62" s="119"/>
      <c r="Z62" s="1" t="s">
        <v>58</v>
      </c>
      <c r="AA62" s="17">
        <v>2</v>
      </c>
      <c r="AB62" s="119"/>
      <c r="AC62" s="1" t="s">
        <v>59</v>
      </c>
      <c r="AD62" s="17">
        <v>0</v>
      </c>
      <c r="AE62" s="119"/>
      <c r="AF62" s="1" t="s">
        <v>70</v>
      </c>
      <c r="AG62" s="17">
        <v>3</v>
      </c>
      <c r="AH62" s="119"/>
      <c r="AI62" s="11" t="s">
        <v>94</v>
      </c>
      <c r="AJ62" s="25">
        <v>0</v>
      </c>
      <c r="AK62" s="127"/>
      <c r="AL62" s="1" t="s">
        <v>85</v>
      </c>
      <c r="AM62" s="17">
        <v>1</v>
      </c>
      <c r="AN62" s="119"/>
      <c r="AO62" s="1" t="s">
        <v>130</v>
      </c>
      <c r="AP62" s="17">
        <v>3</v>
      </c>
      <c r="AQ62" s="119"/>
      <c r="AR62" s="1" t="s">
        <v>61</v>
      </c>
      <c r="AS62" s="17">
        <v>0</v>
      </c>
      <c r="AT62" s="119"/>
      <c r="AU62" s="1" t="s">
        <v>102</v>
      </c>
      <c r="AV62" s="17">
        <v>2</v>
      </c>
      <c r="AW62" s="119"/>
      <c r="AX62" s="1" t="s">
        <v>80</v>
      </c>
      <c r="AY62" s="17">
        <v>0</v>
      </c>
      <c r="AZ62" s="119"/>
      <c r="BA62" s="1" t="s">
        <v>38</v>
      </c>
      <c r="BB62" s="17">
        <v>0</v>
      </c>
      <c r="BC62" s="17">
        <v>1</v>
      </c>
      <c r="BD62" s="17">
        <v>1</v>
      </c>
      <c r="BE62" s="17">
        <v>0</v>
      </c>
      <c r="BF62" s="17">
        <v>0</v>
      </c>
      <c r="BG62" s="17">
        <v>0</v>
      </c>
      <c r="BH62" s="149" t="s">
        <v>105</v>
      </c>
      <c r="BI62" s="17">
        <v>1</v>
      </c>
      <c r="BJ62" s="131"/>
      <c r="BK62" s="1" t="s">
        <v>96</v>
      </c>
      <c r="BL62" s="17">
        <v>3</v>
      </c>
      <c r="BM62" s="119"/>
      <c r="BN62" s="1" t="s">
        <v>49</v>
      </c>
      <c r="BO62" s="17">
        <v>0</v>
      </c>
      <c r="BP62" s="119"/>
      <c r="BQ62" s="17" t="s">
        <v>87</v>
      </c>
      <c r="BR62" s="17">
        <v>0</v>
      </c>
      <c r="BS62" s="119"/>
      <c r="BT62" s="1" t="s">
        <v>46</v>
      </c>
      <c r="BU62" s="17">
        <v>3</v>
      </c>
      <c r="BV62" s="119"/>
      <c r="BW62" s="1" t="s">
        <v>147</v>
      </c>
      <c r="BX62" s="17">
        <v>0</v>
      </c>
      <c r="BY62" s="119"/>
      <c r="BZ62" s="1" t="s">
        <v>119</v>
      </c>
      <c r="CA62" s="17">
        <v>0</v>
      </c>
      <c r="CB62" s="119"/>
      <c r="CC62" s="1" t="s">
        <v>49</v>
      </c>
      <c r="CD62" s="17">
        <v>0</v>
      </c>
      <c r="CE62" s="119"/>
      <c r="CF62" s="17" t="s">
        <v>49</v>
      </c>
      <c r="CG62" s="17">
        <v>0</v>
      </c>
      <c r="CH62" s="119"/>
      <c r="CI62" s="1" t="s">
        <v>89</v>
      </c>
      <c r="CJ62" s="33">
        <v>0</v>
      </c>
      <c r="CK62" s="33">
        <v>0</v>
      </c>
      <c r="CL62" s="33">
        <v>0</v>
      </c>
      <c r="CM62" s="33">
        <v>1</v>
      </c>
      <c r="CN62" s="2" t="s">
        <v>101</v>
      </c>
    </row>
    <row r="63" spans="1:92" ht="28" x14ac:dyDescent="0.15">
      <c r="A63" s="51">
        <v>45860.62886986111</v>
      </c>
      <c r="B63" s="3" t="s">
        <v>29</v>
      </c>
      <c r="C63" s="18">
        <v>2</v>
      </c>
      <c r="D63" s="117"/>
      <c r="E63" s="6" t="s">
        <v>55</v>
      </c>
      <c r="F63" s="18">
        <v>2</v>
      </c>
      <c r="G63" s="117"/>
      <c r="H63" s="6" t="s">
        <v>91</v>
      </c>
      <c r="I63" s="18">
        <v>3</v>
      </c>
      <c r="J63" s="117"/>
      <c r="K63" s="43" t="s">
        <v>56</v>
      </c>
      <c r="L63" s="18">
        <v>2</v>
      </c>
      <c r="M63" s="120"/>
      <c r="N63" s="4" t="s">
        <v>33</v>
      </c>
      <c r="O63" s="18">
        <v>1</v>
      </c>
      <c r="P63" s="120"/>
      <c r="Q63" s="4" t="s">
        <v>34</v>
      </c>
      <c r="R63" s="18">
        <v>2</v>
      </c>
      <c r="S63" s="120"/>
      <c r="T63" s="4" t="s">
        <v>35</v>
      </c>
      <c r="U63" s="18">
        <v>1</v>
      </c>
      <c r="V63" s="120"/>
      <c r="W63" s="4" t="s">
        <v>92</v>
      </c>
      <c r="X63" s="18">
        <v>0</v>
      </c>
      <c r="Y63" s="120"/>
      <c r="Z63" s="4" t="s">
        <v>108</v>
      </c>
      <c r="AA63" s="18">
        <v>0</v>
      </c>
      <c r="AB63" s="120"/>
      <c r="AC63" s="4" t="s">
        <v>46</v>
      </c>
      <c r="AD63" s="18">
        <v>4</v>
      </c>
      <c r="AE63" s="120"/>
      <c r="AF63" s="4" t="s">
        <v>93</v>
      </c>
      <c r="AG63" s="18">
        <v>0</v>
      </c>
      <c r="AH63" s="120"/>
      <c r="AI63" s="13" t="s">
        <v>84</v>
      </c>
      <c r="AJ63" s="24">
        <v>0</v>
      </c>
      <c r="AK63" s="126"/>
      <c r="AL63" s="4" t="s">
        <v>85</v>
      </c>
      <c r="AM63" s="18">
        <v>0</v>
      </c>
      <c r="AN63" s="120"/>
      <c r="AO63" s="4" t="s">
        <v>110</v>
      </c>
      <c r="AP63" s="18">
        <v>3</v>
      </c>
      <c r="AQ63" s="120"/>
      <c r="AR63" s="4" t="s">
        <v>61</v>
      </c>
      <c r="AS63" s="18">
        <v>2</v>
      </c>
      <c r="AT63" s="120"/>
      <c r="AU63" s="4" t="s">
        <v>44</v>
      </c>
      <c r="AV63" s="18">
        <v>1</v>
      </c>
      <c r="AW63" s="120"/>
      <c r="AX63" s="12" t="s">
        <v>153</v>
      </c>
      <c r="AY63" s="18">
        <v>1</v>
      </c>
      <c r="AZ63" s="130"/>
      <c r="BA63" s="4" t="s">
        <v>69</v>
      </c>
      <c r="BB63" s="18">
        <v>1</v>
      </c>
      <c r="BC63" s="18">
        <v>0</v>
      </c>
      <c r="BD63" s="18">
        <v>0</v>
      </c>
      <c r="BE63" s="18">
        <v>1</v>
      </c>
      <c r="BF63" s="18">
        <v>0</v>
      </c>
      <c r="BG63" s="18">
        <v>0</v>
      </c>
      <c r="BH63" s="150" t="s">
        <v>74</v>
      </c>
      <c r="BI63" s="18">
        <v>1</v>
      </c>
      <c r="BJ63" s="130"/>
      <c r="BK63" s="4" t="s">
        <v>96</v>
      </c>
      <c r="BL63" s="18">
        <v>0</v>
      </c>
      <c r="BM63" s="120"/>
      <c r="BN63" s="4" t="s">
        <v>36</v>
      </c>
      <c r="BO63" s="18">
        <v>0</v>
      </c>
      <c r="BP63" s="120"/>
      <c r="BQ63" s="18" t="s">
        <v>87</v>
      </c>
      <c r="BR63" s="18">
        <v>0</v>
      </c>
      <c r="BS63" s="120"/>
      <c r="BT63" s="4" t="s">
        <v>46</v>
      </c>
      <c r="BU63" s="18">
        <v>2</v>
      </c>
      <c r="BV63" s="120"/>
      <c r="BW63" s="4" t="s">
        <v>51</v>
      </c>
      <c r="BX63" s="18">
        <v>1</v>
      </c>
      <c r="BY63" s="120"/>
      <c r="BZ63" s="4" t="s">
        <v>67</v>
      </c>
      <c r="CA63" s="18">
        <v>1</v>
      </c>
      <c r="CB63" s="120"/>
      <c r="CC63" s="4" t="s">
        <v>77</v>
      </c>
      <c r="CD63" s="18">
        <v>1</v>
      </c>
      <c r="CE63" s="120"/>
      <c r="CF63" s="18" t="s">
        <v>77</v>
      </c>
      <c r="CG63" s="18">
        <v>1</v>
      </c>
      <c r="CH63" s="120"/>
      <c r="CI63" s="4" t="s">
        <v>77</v>
      </c>
      <c r="CJ63" s="34">
        <v>0</v>
      </c>
      <c r="CK63" s="34">
        <v>0</v>
      </c>
      <c r="CL63" s="34">
        <v>1</v>
      </c>
      <c r="CM63" s="34">
        <v>0</v>
      </c>
      <c r="CN63" s="5" t="s">
        <v>120</v>
      </c>
    </row>
    <row r="64" spans="1:92" ht="28" x14ac:dyDescent="0.15">
      <c r="A64" s="51">
        <v>45860.628933101849</v>
      </c>
      <c r="B64" s="3" t="s">
        <v>29</v>
      </c>
      <c r="C64" s="17">
        <v>5</v>
      </c>
      <c r="D64" s="116"/>
      <c r="E64" s="6" t="s">
        <v>30</v>
      </c>
      <c r="F64" s="17">
        <v>1</v>
      </c>
      <c r="G64" s="116"/>
      <c r="H64" s="6" t="s">
        <v>31</v>
      </c>
      <c r="I64" s="17">
        <v>1</v>
      </c>
      <c r="J64" s="116"/>
      <c r="K64" s="43" t="s">
        <v>32</v>
      </c>
      <c r="L64" s="17">
        <v>2</v>
      </c>
      <c r="M64" s="119"/>
      <c r="N64" s="1" t="s">
        <v>33</v>
      </c>
      <c r="O64" s="18">
        <v>1</v>
      </c>
      <c r="P64" s="117"/>
      <c r="Q64" s="1" t="s">
        <v>34</v>
      </c>
      <c r="R64" s="17">
        <v>2</v>
      </c>
      <c r="S64" s="119"/>
      <c r="T64" s="1" t="s">
        <v>35</v>
      </c>
      <c r="U64" s="17">
        <v>1</v>
      </c>
      <c r="V64" s="119"/>
      <c r="W64" s="1" t="s">
        <v>92</v>
      </c>
      <c r="X64" s="17">
        <v>1</v>
      </c>
      <c r="Y64" s="119"/>
      <c r="Z64" s="1" t="s">
        <v>58</v>
      </c>
      <c r="AA64" s="17">
        <v>2</v>
      </c>
      <c r="AB64" s="119"/>
      <c r="AC64" s="1" t="s">
        <v>59</v>
      </c>
      <c r="AD64" s="17">
        <v>3</v>
      </c>
      <c r="AE64" s="119"/>
      <c r="AF64" s="1" t="s">
        <v>60</v>
      </c>
      <c r="AG64" s="17">
        <v>0</v>
      </c>
      <c r="AH64" s="119"/>
      <c r="AI64" s="11" t="s">
        <v>84</v>
      </c>
      <c r="AJ64" s="25">
        <v>0</v>
      </c>
      <c r="AK64" s="127"/>
      <c r="AL64" s="1" t="s">
        <v>85</v>
      </c>
      <c r="AM64" s="17">
        <v>1</v>
      </c>
      <c r="AN64" s="119"/>
      <c r="AO64" s="1" t="s">
        <v>130</v>
      </c>
      <c r="AP64" s="17">
        <v>3</v>
      </c>
      <c r="AQ64" s="119"/>
      <c r="AR64" s="1" t="s">
        <v>61</v>
      </c>
      <c r="AS64" s="17">
        <v>2</v>
      </c>
      <c r="AT64" s="119"/>
      <c r="AU64" s="1" t="s">
        <v>44</v>
      </c>
      <c r="AV64" s="17">
        <v>1</v>
      </c>
      <c r="AW64" s="119"/>
      <c r="AX64" s="1" t="s">
        <v>45</v>
      </c>
      <c r="AY64" s="17">
        <v>2</v>
      </c>
      <c r="AZ64" s="119"/>
      <c r="BA64" s="1" t="s">
        <v>59</v>
      </c>
      <c r="BB64" s="17">
        <v>1</v>
      </c>
      <c r="BC64" s="17">
        <v>0</v>
      </c>
      <c r="BD64" s="17">
        <v>0</v>
      </c>
      <c r="BE64" s="17">
        <v>1</v>
      </c>
      <c r="BF64" s="17">
        <v>0</v>
      </c>
      <c r="BG64" s="17">
        <v>0</v>
      </c>
      <c r="BH64" s="149" t="s">
        <v>74</v>
      </c>
      <c r="BI64" s="17">
        <v>0</v>
      </c>
      <c r="BJ64" s="131"/>
      <c r="BK64" s="1" t="s">
        <v>75</v>
      </c>
      <c r="BL64" s="17">
        <v>1</v>
      </c>
      <c r="BM64" s="119"/>
      <c r="BN64" s="1" t="s">
        <v>59</v>
      </c>
      <c r="BO64" s="17">
        <v>0</v>
      </c>
      <c r="BP64" s="119"/>
      <c r="BQ64" s="17" t="s">
        <v>87</v>
      </c>
      <c r="BR64" s="17">
        <v>1</v>
      </c>
      <c r="BS64" s="119"/>
      <c r="BT64" s="1" t="s">
        <v>69</v>
      </c>
      <c r="BU64" s="17">
        <v>2</v>
      </c>
      <c r="BV64" s="119"/>
      <c r="BW64" s="1" t="s">
        <v>51</v>
      </c>
      <c r="BX64" s="17">
        <v>1</v>
      </c>
      <c r="BY64" s="119"/>
      <c r="BZ64" s="1" t="s">
        <v>67</v>
      </c>
      <c r="CA64" s="17">
        <v>1</v>
      </c>
      <c r="CB64" s="119"/>
      <c r="CC64" s="1" t="s">
        <v>77</v>
      </c>
      <c r="CD64" s="17">
        <v>2</v>
      </c>
      <c r="CE64" s="119"/>
      <c r="CF64" s="17" t="s">
        <v>36</v>
      </c>
      <c r="CG64" s="17">
        <v>2</v>
      </c>
      <c r="CH64" s="119"/>
      <c r="CI64" s="1" t="s">
        <v>78</v>
      </c>
      <c r="CJ64" s="33">
        <v>0</v>
      </c>
      <c r="CK64" s="33">
        <v>1</v>
      </c>
      <c r="CL64" s="33">
        <v>1</v>
      </c>
      <c r="CM64" s="33">
        <v>0</v>
      </c>
      <c r="CN64" s="2" t="s">
        <v>98</v>
      </c>
    </row>
    <row r="65" spans="1:92" ht="28" x14ac:dyDescent="0.15">
      <c r="A65" s="51">
        <v>45860.629187303246</v>
      </c>
      <c r="B65" s="3" t="s">
        <v>29</v>
      </c>
      <c r="C65" s="18">
        <v>3</v>
      </c>
      <c r="D65" s="117"/>
      <c r="E65" s="6" t="s">
        <v>90</v>
      </c>
      <c r="F65" s="18">
        <v>1</v>
      </c>
      <c r="G65" s="117"/>
      <c r="H65" s="6" t="s">
        <v>31</v>
      </c>
      <c r="I65" s="18">
        <v>1</v>
      </c>
      <c r="J65" s="117"/>
      <c r="K65" s="43" t="s">
        <v>32</v>
      </c>
      <c r="L65" s="18">
        <v>2</v>
      </c>
      <c r="M65" s="120"/>
      <c r="N65" s="4" t="s">
        <v>33</v>
      </c>
      <c r="O65" s="18">
        <v>1</v>
      </c>
      <c r="P65" s="120"/>
      <c r="Q65" s="4" t="s">
        <v>34</v>
      </c>
      <c r="R65" s="18">
        <v>0</v>
      </c>
      <c r="S65" s="120"/>
      <c r="T65" s="4" t="s">
        <v>49</v>
      </c>
      <c r="U65" s="18">
        <v>1</v>
      </c>
      <c r="V65" s="120"/>
      <c r="W65" s="4" t="s">
        <v>92</v>
      </c>
      <c r="X65" s="18">
        <v>1</v>
      </c>
      <c r="Y65" s="120"/>
      <c r="Z65" s="4" t="s">
        <v>58</v>
      </c>
      <c r="AA65" s="18">
        <v>2</v>
      </c>
      <c r="AB65" s="120"/>
      <c r="AC65" s="4" t="s">
        <v>59</v>
      </c>
      <c r="AD65" s="18">
        <v>1</v>
      </c>
      <c r="AE65" s="120"/>
      <c r="AF65" s="4" t="s">
        <v>39</v>
      </c>
      <c r="AG65" s="18">
        <v>0</v>
      </c>
      <c r="AH65" s="120"/>
      <c r="AI65" s="13" t="s">
        <v>84</v>
      </c>
      <c r="AJ65" s="24">
        <v>0</v>
      </c>
      <c r="AK65" s="126"/>
      <c r="AL65" s="4" t="s">
        <v>85</v>
      </c>
      <c r="AM65" s="18">
        <v>2</v>
      </c>
      <c r="AN65" s="120"/>
      <c r="AO65" s="4" t="s">
        <v>72</v>
      </c>
      <c r="AP65" s="18">
        <v>3</v>
      </c>
      <c r="AQ65" s="120"/>
      <c r="AR65" s="4" t="s">
        <v>61</v>
      </c>
      <c r="AS65" s="18">
        <v>2</v>
      </c>
      <c r="AT65" s="120"/>
      <c r="AU65" s="4" t="s">
        <v>44</v>
      </c>
      <c r="AV65" s="18">
        <v>0</v>
      </c>
      <c r="AW65" s="120"/>
      <c r="AX65" s="4" t="s">
        <v>73</v>
      </c>
      <c r="AY65" s="18">
        <v>3</v>
      </c>
      <c r="AZ65" s="120"/>
      <c r="BA65" s="4" t="s">
        <v>46</v>
      </c>
      <c r="BB65" s="18">
        <v>1</v>
      </c>
      <c r="BC65" s="18">
        <v>0</v>
      </c>
      <c r="BD65" s="18">
        <v>0</v>
      </c>
      <c r="BE65" s="18">
        <v>1</v>
      </c>
      <c r="BF65" s="18">
        <v>0</v>
      </c>
      <c r="BG65" s="18">
        <v>0</v>
      </c>
      <c r="BH65" s="150" t="s">
        <v>74</v>
      </c>
      <c r="BI65" s="18">
        <v>1</v>
      </c>
      <c r="BJ65" s="130"/>
      <c r="BK65" s="4" t="s">
        <v>96</v>
      </c>
      <c r="BL65" s="18">
        <v>3</v>
      </c>
      <c r="BM65" s="120"/>
      <c r="BN65" s="4" t="s">
        <v>49</v>
      </c>
      <c r="BO65" s="18">
        <v>2</v>
      </c>
      <c r="BP65" s="120"/>
      <c r="BQ65" s="18" t="s">
        <v>117</v>
      </c>
      <c r="BR65" s="18">
        <v>0</v>
      </c>
      <c r="BS65" s="120"/>
      <c r="BT65" s="4" t="s">
        <v>46</v>
      </c>
      <c r="BU65" s="18">
        <v>3</v>
      </c>
      <c r="BV65" s="120"/>
      <c r="BW65" s="4" t="s">
        <v>147</v>
      </c>
      <c r="BX65" s="18">
        <v>3</v>
      </c>
      <c r="BY65" s="120"/>
      <c r="BZ65" s="4" t="s">
        <v>52</v>
      </c>
      <c r="CA65" s="18">
        <v>3</v>
      </c>
      <c r="CB65" s="120"/>
      <c r="CC65" s="4" t="s">
        <v>36</v>
      </c>
      <c r="CD65" s="18">
        <v>0</v>
      </c>
      <c r="CE65" s="120"/>
      <c r="CF65" s="18" t="s">
        <v>49</v>
      </c>
      <c r="CG65" s="18">
        <v>2</v>
      </c>
      <c r="CH65" s="120"/>
      <c r="CI65" s="4" t="s">
        <v>78</v>
      </c>
      <c r="CJ65" s="34">
        <v>1</v>
      </c>
      <c r="CK65" s="34">
        <v>0</v>
      </c>
      <c r="CL65" s="34">
        <v>1</v>
      </c>
      <c r="CM65" s="34">
        <v>0</v>
      </c>
      <c r="CN65" s="5" t="s">
        <v>54</v>
      </c>
    </row>
    <row r="66" spans="1:92" ht="28" x14ac:dyDescent="0.15">
      <c r="A66" s="51">
        <v>45860.629477395836</v>
      </c>
      <c r="B66" s="3" t="s">
        <v>29</v>
      </c>
      <c r="C66" s="17">
        <v>1</v>
      </c>
      <c r="D66" s="116"/>
      <c r="E66" s="6" t="s">
        <v>114</v>
      </c>
      <c r="F66" s="17">
        <v>1</v>
      </c>
      <c r="G66" s="116"/>
      <c r="H66" s="6" t="s">
        <v>31</v>
      </c>
      <c r="I66" s="17">
        <v>1</v>
      </c>
      <c r="J66" s="116"/>
      <c r="K66" s="43" t="s">
        <v>32</v>
      </c>
      <c r="L66" s="17">
        <v>2</v>
      </c>
      <c r="M66" s="119"/>
      <c r="N66" s="1" t="s">
        <v>33</v>
      </c>
      <c r="O66" s="18">
        <v>1</v>
      </c>
      <c r="P66" s="117"/>
      <c r="Q66" s="1" t="s">
        <v>34</v>
      </c>
      <c r="R66" s="17">
        <v>1</v>
      </c>
      <c r="S66" s="119"/>
      <c r="T66" s="1" t="s">
        <v>57</v>
      </c>
      <c r="U66" s="17">
        <v>0</v>
      </c>
      <c r="V66" s="119"/>
      <c r="W66" s="1" t="s">
        <v>77</v>
      </c>
      <c r="X66" s="17">
        <v>1</v>
      </c>
      <c r="Y66" s="119"/>
      <c r="Z66" s="1" t="s">
        <v>58</v>
      </c>
      <c r="AA66" s="17">
        <v>1</v>
      </c>
      <c r="AB66" s="119"/>
      <c r="AC66" s="1" t="s">
        <v>69</v>
      </c>
      <c r="AD66" s="17">
        <v>2</v>
      </c>
      <c r="AE66" s="119"/>
      <c r="AF66" s="1" t="s">
        <v>83</v>
      </c>
      <c r="AG66" s="17">
        <v>2</v>
      </c>
      <c r="AH66" s="119"/>
      <c r="AI66" s="11" t="s">
        <v>40</v>
      </c>
      <c r="AJ66" s="25">
        <v>3</v>
      </c>
      <c r="AK66" s="127"/>
      <c r="AL66" s="1" t="s">
        <v>41</v>
      </c>
      <c r="AM66" s="17">
        <v>1</v>
      </c>
      <c r="AN66" s="119"/>
      <c r="AO66" s="1" t="s">
        <v>130</v>
      </c>
      <c r="AP66" s="17">
        <v>3</v>
      </c>
      <c r="AQ66" s="119"/>
      <c r="AR66" s="1" t="s">
        <v>61</v>
      </c>
      <c r="AS66" s="17">
        <v>3</v>
      </c>
      <c r="AT66" s="119"/>
      <c r="AU66" s="1" t="s">
        <v>79</v>
      </c>
      <c r="AV66" s="17">
        <v>0</v>
      </c>
      <c r="AW66" s="119"/>
      <c r="AX66" s="1" t="s">
        <v>62</v>
      </c>
      <c r="AY66" s="17">
        <v>2</v>
      </c>
      <c r="AZ66" s="119"/>
      <c r="BA66" s="1" t="s">
        <v>59</v>
      </c>
      <c r="BB66" s="17">
        <v>1</v>
      </c>
      <c r="BC66" s="17">
        <v>0</v>
      </c>
      <c r="BD66" s="17">
        <v>1</v>
      </c>
      <c r="BE66" s="17">
        <v>0</v>
      </c>
      <c r="BF66" s="17">
        <v>0</v>
      </c>
      <c r="BG66" s="17">
        <v>0</v>
      </c>
      <c r="BH66" s="149" t="s">
        <v>47</v>
      </c>
      <c r="BI66" s="17">
        <v>2</v>
      </c>
      <c r="BJ66" s="131"/>
      <c r="BK66" s="1" t="s">
        <v>48</v>
      </c>
      <c r="BL66" s="17">
        <v>0</v>
      </c>
      <c r="BM66" s="119"/>
      <c r="BN66" s="1" t="s">
        <v>36</v>
      </c>
      <c r="BO66" s="17">
        <v>1</v>
      </c>
      <c r="BP66" s="119"/>
      <c r="BQ66" s="17" t="s">
        <v>50</v>
      </c>
      <c r="BR66" s="17">
        <v>0</v>
      </c>
      <c r="BS66" s="119"/>
      <c r="BT66" s="1" t="s">
        <v>46</v>
      </c>
      <c r="BU66" s="17">
        <v>2</v>
      </c>
      <c r="BV66" s="119"/>
      <c r="BW66" s="1" t="s">
        <v>51</v>
      </c>
      <c r="BX66" s="17">
        <v>1</v>
      </c>
      <c r="BY66" s="119"/>
      <c r="BZ66" s="1" t="s">
        <v>67</v>
      </c>
      <c r="CA66" s="17">
        <v>1</v>
      </c>
      <c r="CB66" s="119"/>
      <c r="CC66" s="1" t="s">
        <v>77</v>
      </c>
      <c r="CD66" s="17">
        <v>0</v>
      </c>
      <c r="CE66" s="119"/>
      <c r="CF66" s="17" t="s">
        <v>49</v>
      </c>
      <c r="CG66" s="17">
        <v>1</v>
      </c>
      <c r="CH66" s="119"/>
      <c r="CI66" s="1" t="s">
        <v>77</v>
      </c>
      <c r="CJ66" s="33">
        <v>0</v>
      </c>
      <c r="CK66" s="33">
        <v>0</v>
      </c>
      <c r="CL66" s="33">
        <v>0</v>
      </c>
      <c r="CM66" s="33">
        <v>1</v>
      </c>
      <c r="CN66" s="2" t="s">
        <v>154</v>
      </c>
    </row>
    <row r="67" spans="1:92" ht="28" x14ac:dyDescent="0.15">
      <c r="A67" s="51">
        <v>45860.632489502314</v>
      </c>
      <c r="B67" s="3" t="s">
        <v>29</v>
      </c>
      <c r="C67" s="18">
        <v>4</v>
      </c>
      <c r="D67" s="117"/>
      <c r="E67" s="6" t="s">
        <v>127</v>
      </c>
      <c r="F67" s="18">
        <v>1</v>
      </c>
      <c r="G67" s="117"/>
      <c r="H67" s="6" t="s">
        <v>31</v>
      </c>
      <c r="I67" s="18">
        <v>3</v>
      </c>
      <c r="J67" s="117"/>
      <c r="K67" s="43" t="s">
        <v>56</v>
      </c>
      <c r="L67" s="18">
        <v>2</v>
      </c>
      <c r="M67" s="120"/>
      <c r="N67" s="4" t="s">
        <v>33</v>
      </c>
      <c r="O67" s="18">
        <v>1</v>
      </c>
      <c r="P67" s="120"/>
      <c r="Q67" s="4" t="s">
        <v>34</v>
      </c>
      <c r="R67" s="18">
        <v>1</v>
      </c>
      <c r="S67" s="120"/>
      <c r="T67" s="4" t="s">
        <v>57</v>
      </c>
      <c r="U67" s="18">
        <v>1</v>
      </c>
      <c r="V67" s="120"/>
      <c r="W67" s="4" t="s">
        <v>92</v>
      </c>
      <c r="X67" s="18">
        <v>1</v>
      </c>
      <c r="Y67" s="120"/>
      <c r="Z67" s="4" t="s">
        <v>58</v>
      </c>
      <c r="AA67" s="18">
        <v>1</v>
      </c>
      <c r="AB67" s="120"/>
      <c r="AC67" s="4" t="s">
        <v>69</v>
      </c>
      <c r="AD67" s="18">
        <v>5</v>
      </c>
      <c r="AE67" s="120"/>
      <c r="AF67" s="4" t="s">
        <v>115</v>
      </c>
      <c r="AG67" s="18">
        <v>0</v>
      </c>
      <c r="AH67" s="120"/>
      <c r="AI67" s="13" t="s">
        <v>84</v>
      </c>
      <c r="AJ67" s="24">
        <v>0</v>
      </c>
      <c r="AK67" s="126"/>
      <c r="AL67" s="4" t="s">
        <v>85</v>
      </c>
      <c r="AM67" s="18">
        <v>1</v>
      </c>
      <c r="AN67" s="120"/>
      <c r="AO67" s="4" t="s">
        <v>130</v>
      </c>
      <c r="AP67" s="18">
        <v>3</v>
      </c>
      <c r="AQ67" s="120"/>
      <c r="AR67" s="4" t="s">
        <v>61</v>
      </c>
      <c r="AS67" s="18">
        <v>0</v>
      </c>
      <c r="AT67" s="120"/>
      <c r="AU67" s="4" t="s">
        <v>102</v>
      </c>
      <c r="AV67" s="18">
        <v>0</v>
      </c>
      <c r="AW67" s="120"/>
      <c r="AX67" s="4" t="s">
        <v>73</v>
      </c>
      <c r="AY67" s="18">
        <v>0</v>
      </c>
      <c r="AZ67" s="120"/>
      <c r="BA67" s="4" t="s">
        <v>38</v>
      </c>
      <c r="BB67" s="18">
        <v>0</v>
      </c>
      <c r="BC67" s="18">
        <v>0</v>
      </c>
      <c r="BD67" s="18">
        <v>0</v>
      </c>
      <c r="BE67" s="18">
        <v>1</v>
      </c>
      <c r="BF67" s="18">
        <v>0</v>
      </c>
      <c r="BG67" s="18">
        <v>0</v>
      </c>
      <c r="BH67" s="150" t="s">
        <v>155</v>
      </c>
      <c r="BI67" s="18">
        <v>0</v>
      </c>
      <c r="BJ67" s="130"/>
      <c r="BK67" s="4" t="s">
        <v>75</v>
      </c>
      <c r="BL67" s="18">
        <v>0</v>
      </c>
      <c r="BM67" s="120"/>
      <c r="BN67" s="4" t="s">
        <v>36</v>
      </c>
      <c r="BO67" s="18">
        <v>0</v>
      </c>
      <c r="BP67" s="120"/>
      <c r="BQ67" s="18" t="s">
        <v>87</v>
      </c>
      <c r="BR67" s="18">
        <v>0</v>
      </c>
      <c r="BS67" s="120"/>
      <c r="BT67" s="4" t="s">
        <v>46</v>
      </c>
      <c r="BU67" s="18">
        <v>2</v>
      </c>
      <c r="BV67" s="120"/>
      <c r="BW67" s="4" t="s">
        <v>51</v>
      </c>
      <c r="BX67" s="18">
        <v>1</v>
      </c>
      <c r="BY67" s="120"/>
      <c r="BZ67" s="4" t="s">
        <v>67</v>
      </c>
      <c r="CA67" s="18">
        <v>0</v>
      </c>
      <c r="CB67" s="120"/>
      <c r="CC67" s="4" t="s">
        <v>49</v>
      </c>
      <c r="CD67" s="18">
        <v>0</v>
      </c>
      <c r="CE67" s="120"/>
      <c r="CF67" s="18" t="s">
        <v>49</v>
      </c>
      <c r="CG67" s="18">
        <v>2</v>
      </c>
      <c r="CH67" s="120"/>
      <c r="CI67" s="4" t="s">
        <v>78</v>
      </c>
      <c r="CJ67" s="34">
        <v>0</v>
      </c>
      <c r="CK67" s="34">
        <v>0</v>
      </c>
      <c r="CL67" s="34">
        <v>1</v>
      </c>
      <c r="CM67" s="34">
        <v>0</v>
      </c>
      <c r="CN67" s="5" t="s">
        <v>120</v>
      </c>
    </row>
    <row r="68" spans="1:92" ht="28" x14ac:dyDescent="0.15">
      <c r="A68" s="51">
        <v>45860.633013449071</v>
      </c>
      <c r="B68" s="3" t="s">
        <v>29</v>
      </c>
      <c r="C68" s="17">
        <v>4</v>
      </c>
      <c r="D68" s="116"/>
      <c r="E68" s="6" t="s">
        <v>127</v>
      </c>
      <c r="F68" s="17">
        <v>1</v>
      </c>
      <c r="G68" s="116"/>
      <c r="H68" s="6" t="s">
        <v>31</v>
      </c>
      <c r="I68" s="17">
        <v>1</v>
      </c>
      <c r="J68" s="116"/>
      <c r="K68" s="43" t="s">
        <v>32</v>
      </c>
      <c r="L68" s="17">
        <v>2</v>
      </c>
      <c r="M68" s="119"/>
      <c r="N68" s="1" t="s">
        <v>33</v>
      </c>
      <c r="O68" s="18">
        <v>1</v>
      </c>
      <c r="P68" s="117"/>
      <c r="Q68" s="1" t="s">
        <v>34</v>
      </c>
      <c r="R68" s="17">
        <v>2</v>
      </c>
      <c r="S68" s="119"/>
      <c r="T68" s="1" t="s">
        <v>35</v>
      </c>
      <c r="U68" s="17">
        <v>1</v>
      </c>
      <c r="V68" s="119"/>
      <c r="W68" s="1" t="s">
        <v>92</v>
      </c>
      <c r="X68" s="17">
        <v>1</v>
      </c>
      <c r="Y68" s="119"/>
      <c r="Z68" s="1" t="s">
        <v>58</v>
      </c>
      <c r="AA68" s="17">
        <v>2</v>
      </c>
      <c r="AB68" s="119"/>
      <c r="AC68" s="1" t="s">
        <v>59</v>
      </c>
      <c r="AD68" s="17">
        <v>2</v>
      </c>
      <c r="AE68" s="119"/>
      <c r="AF68" s="1" t="s">
        <v>83</v>
      </c>
      <c r="AG68" s="17">
        <v>3</v>
      </c>
      <c r="AH68" s="119"/>
      <c r="AI68" s="11" t="s">
        <v>94</v>
      </c>
      <c r="AJ68" s="25">
        <v>2</v>
      </c>
      <c r="AK68" s="127"/>
      <c r="AL68" s="1" t="s">
        <v>71</v>
      </c>
      <c r="AM68" s="17">
        <v>2</v>
      </c>
      <c r="AN68" s="119"/>
      <c r="AO68" s="1" t="s">
        <v>72</v>
      </c>
      <c r="AP68" s="17">
        <v>3</v>
      </c>
      <c r="AQ68" s="119"/>
      <c r="AR68" s="1" t="s">
        <v>61</v>
      </c>
      <c r="AS68" s="17">
        <v>2</v>
      </c>
      <c r="AT68" s="119"/>
      <c r="AU68" s="1" t="s">
        <v>44</v>
      </c>
      <c r="AV68" s="17">
        <v>0</v>
      </c>
      <c r="AW68" s="119"/>
      <c r="AX68" s="1" t="s">
        <v>73</v>
      </c>
      <c r="AY68" s="17">
        <v>1</v>
      </c>
      <c r="AZ68" s="119"/>
      <c r="BA68" s="1" t="s">
        <v>69</v>
      </c>
      <c r="BB68" s="17">
        <v>1</v>
      </c>
      <c r="BC68" s="17">
        <v>0</v>
      </c>
      <c r="BD68" s="17">
        <v>1</v>
      </c>
      <c r="BE68" s="17">
        <v>0</v>
      </c>
      <c r="BF68" s="17">
        <v>0</v>
      </c>
      <c r="BG68" s="17">
        <v>0</v>
      </c>
      <c r="BH68" s="149" t="s">
        <v>47</v>
      </c>
      <c r="BI68" s="17">
        <v>1</v>
      </c>
      <c r="BJ68" s="131"/>
      <c r="BK68" s="1" t="s">
        <v>96</v>
      </c>
      <c r="BL68" s="17">
        <v>2</v>
      </c>
      <c r="BM68" s="119"/>
      <c r="BN68" s="1" t="s">
        <v>64</v>
      </c>
      <c r="BO68" s="17">
        <v>0</v>
      </c>
      <c r="BP68" s="119"/>
      <c r="BQ68" s="17" t="s">
        <v>87</v>
      </c>
      <c r="BR68" s="17">
        <v>1</v>
      </c>
      <c r="BS68" s="119"/>
      <c r="BT68" s="1" t="s">
        <v>69</v>
      </c>
      <c r="BU68" s="17">
        <v>3</v>
      </c>
      <c r="BV68" s="119"/>
      <c r="BW68" s="1" t="s">
        <v>147</v>
      </c>
      <c r="BX68" s="17">
        <v>0</v>
      </c>
      <c r="BY68" s="119"/>
      <c r="BZ68" s="1" t="s">
        <v>119</v>
      </c>
      <c r="CA68" s="17">
        <v>2</v>
      </c>
      <c r="CB68" s="119"/>
      <c r="CC68" s="1" t="s">
        <v>76</v>
      </c>
      <c r="CD68" s="17">
        <v>1</v>
      </c>
      <c r="CE68" s="119"/>
      <c r="CF68" s="17" t="s">
        <v>77</v>
      </c>
      <c r="CG68" s="17">
        <v>0</v>
      </c>
      <c r="CH68" s="119"/>
      <c r="CI68" s="1" t="s">
        <v>89</v>
      </c>
      <c r="CJ68" s="33">
        <v>1</v>
      </c>
      <c r="CK68" s="33">
        <v>0</v>
      </c>
      <c r="CL68" s="33">
        <v>0</v>
      </c>
      <c r="CM68" s="33">
        <v>0</v>
      </c>
      <c r="CN68" s="2" t="s">
        <v>123</v>
      </c>
    </row>
    <row r="69" spans="1:92" ht="28" x14ac:dyDescent="0.15">
      <c r="A69" s="51">
        <v>45860.635389826391</v>
      </c>
      <c r="B69" s="3" t="s">
        <v>29</v>
      </c>
      <c r="C69" s="18">
        <v>3</v>
      </c>
      <c r="D69" s="117"/>
      <c r="E69" s="6" t="s">
        <v>90</v>
      </c>
      <c r="F69" s="18">
        <v>1</v>
      </c>
      <c r="G69" s="117"/>
      <c r="H69" s="6" t="s">
        <v>31</v>
      </c>
      <c r="I69" s="18">
        <v>3</v>
      </c>
      <c r="J69" s="117"/>
      <c r="K69" s="43" t="s">
        <v>56</v>
      </c>
      <c r="L69" s="18">
        <v>2</v>
      </c>
      <c r="M69" s="120"/>
      <c r="N69" s="4" t="s">
        <v>33</v>
      </c>
      <c r="O69" s="18">
        <v>1</v>
      </c>
      <c r="P69" s="120"/>
      <c r="Q69" s="4" t="s">
        <v>34</v>
      </c>
      <c r="R69" s="18">
        <v>1</v>
      </c>
      <c r="S69" s="120"/>
      <c r="T69" s="4" t="s">
        <v>57</v>
      </c>
      <c r="U69" s="18">
        <v>2</v>
      </c>
      <c r="V69" s="120"/>
      <c r="W69" s="4" t="s">
        <v>36</v>
      </c>
      <c r="X69" s="18">
        <v>1</v>
      </c>
      <c r="Y69" s="120"/>
      <c r="Z69" s="4" t="s">
        <v>58</v>
      </c>
      <c r="AA69" s="18">
        <v>0</v>
      </c>
      <c r="AB69" s="120"/>
      <c r="AC69" s="4" t="s">
        <v>46</v>
      </c>
      <c r="AD69" s="18">
        <v>2</v>
      </c>
      <c r="AE69" s="120"/>
      <c r="AF69" s="4" t="s">
        <v>83</v>
      </c>
      <c r="AG69" s="18">
        <v>0</v>
      </c>
      <c r="AH69" s="120"/>
      <c r="AI69" s="13" t="s">
        <v>84</v>
      </c>
      <c r="AJ69" s="24">
        <v>0</v>
      </c>
      <c r="AK69" s="126"/>
      <c r="AL69" s="4" t="s">
        <v>85</v>
      </c>
      <c r="AM69" s="18">
        <v>2</v>
      </c>
      <c r="AN69" s="120"/>
      <c r="AO69" s="4" t="s">
        <v>72</v>
      </c>
      <c r="AP69" s="18">
        <v>3</v>
      </c>
      <c r="AQ69" s="120"/>
      <c r="AR69" s="4" t="s">
        <v>61</v>
      </c>
      <c r="AS69" s="18">
        <v>2</v>
      </c>
      <c r="AT69" s="120"/>
      <c r="AU69" s="4" t="s">
        <v>44</v>
      </c>
      <c r="AV69" s="18">
        <v>1</v>
      </c>
      <c r="AW69" s="120"/>
      <c r="AX69" s="4" t="s">
        <v>45</v>
      </c>
      <c r="AY69" s="18">
        <v>3</v>
      </c>
      <c r="AZ69" s="120"/>
      <c r="BA69" s="4" t="s">
        <v>46</v>
      </c>
      <c r="BB69" s="18">
        <v>1</v>
      </c>
      <c r="BC69" s="18">
        <v>0</v>
      </c>
      <c r="BD69" s="18">
        <v>1</v>
      </c>
      <c r="BE69" s="18">
        <v>0</v>
      </c>
      <c r="BF69" s="18">
        <v>0</v>
      </c>
      <c r="BG69" s="18">
        <v>0</v>
      </c>
      <c r="BH69" s="150" t="s">
        <v>47</v>
      </c>
      <c r="BI69" s="18">
        <v>0</v>
      </c>
      <c r="BJ69" s="130"/>
      <c r="BK69" s="4" t="s">
        <v>75</v>
      </c>
      <c r="BL69" s="18">
        <v>2</v>
      </c>
      <c r="BM69" s="120"/>
      <c r="BN69" s="4" t="s">
        <v>64</v>
      </c>
      <c r="BO69" s="18">
        <v>1</v>
      </c>
      <c r="BP69" s="120"/>
      <c r="BQ69" s="18" t="s">
        <v>50</v>
      </c>
      <c r="BR69" s="18">
        <v>0</v>
      </c>
      <c r="BS69" s="120"/>
      <c r="BT69" s="4" t="s">
        <v>46</v>
      </c>
      <c r="BU69" s="18">
        <v>2</v>
      </c>
      <c r="BV69" s="120"/>
      <c r="BW69" s="4" t="s">
        <v>51</v>
      </c>
      <c r="BX69" s="18">
        <v>3</v>
      </c>
      <c r="BY69" s="120"/>
      <c r="BZ69" s="4" t="s">
        <v>52</v>
      </c>
      <c r="CA69" s="18">
        <v>1</v>
      </c>
      <c r="CB69" s="120"/>
      <c r="CC69" s="4" t="s">
        <v>77</v>
      </c>
      <c r="CD69" s="18">
        <v>0</v>
      </c>
      <c r="CE69" s="120"/>
      <c r="CF69" s="18" t="s">
        <v>49</v>
      </c>
      <c r="CG69" s="18">
        <v>2</v>
      </c>
      <c r="CH69" s="120"/>
      <c r="CI69" s="4" t="s">
        <v>78</v>
      </c>
      <c r="CJ69" s="34">
        <v>0</v>
      </c>
      <c r="CK69" s="34">
        <v>1</v>
      </c>
      <c r="CL69" s="34">
        <v>1</v>
      </c>
      <c r="CM69" s="34">
        <v>0</v>
      </c>
      <c r="CN69" s="5" t="s">
        <v>98</v>
      </c>
    </row>
    <row r="70" spans="1:92" ht="28" x14ac:dyDescent="0.15">
      <c r="A70" s="51">
        <v>45860.640060266203</v>
      </c>
      <c r="B70" s="3" t="s">
        <v>29</v>
      </c>
      <c r="C70" s="17">
        <v>3</v>
      </c>
      <c r="D70" s="116"/>
      <c r="E70" s="6" t="s">
        <v>90</v>
      </c>
      <c r="F70" s="17">
        <v>1</v>
      </c>
      <c r="G70" s="116"/>
      <c r="H70" s="6" t="s">
        <v>31</v>
      </c>
      <c r="I70" s="17">
        <v>3</v>
      </c>
      <c r="J70" s="116"/>
      <c r="K70" s="43" t="s">
        <v>56</v>
      </c>
      <c r="L70" s="17">
        <v>2</v>
      </c>
      <c r="M70" s="119"/>
      <c r="N70" s="1" t="s">
        <v>33</v>
      </c>
      <c r="O70" s="18">
        <v>1</v>
      </c>
      <c r="P70" s="117"/>
      <c r="Q70" s="1" t="s">
        <v>34</v>
      </c>
      <c r="R70" s="17">
        <v>2</v>
      </c>
      <c r="S70" s="119"/>
      <c r="T70" s="1" t="s">
        <v>35</v>
      </c>
      <c r="U70" s="17">
        <v>2</v>
      </c>
      <c r="V70" s="119"/>
      <c r="W70" s="1" t="s">
        <v>36</v>
      </c>
      <c r="X70" s="17">
        <v>1</v>
      </c>
      <c r="Y70" s="119"/>
      <c r="Z70" s="1" t="s">
        <v>58</v>
      </c>
      <c r="AA70" s="17">
        <v>2</v>
      </c>
      <c r="AB70" s="119"/>
      <c r="AC70" s="1" t="s">
        <v>59</v>
      </c>
      <c r="AD70" s="17">
        <v>4</v>
      </c>
      <c r="AE70" s="119"/>
      <c r="AF70" s="1" t="s">
        <v>93</v>
      </c>
      <c r="AG70" s="17">
        <v>3</v>
      </c>
      <c r="AH70" s="119"/>
      <c r="AI70" s="11" t="s">
        <v>94</v>
      </c>
      <c r="AJ70" s="25">
        <v>2</v>
      </c>
      <c r="AK70" s="127"/>
      <c r="AL70" s="1" t="s">
        <v>71</v>
      </c>
      <c r="AM70" s="17">
        <v>2</v>
      </c>
      <c r="AN70" s="119"/>
      <c r="AO70" s="1" t="s">
        <v>72</v>
      </c>
      <c r="AP70" s="17">
        <v>3</v>
      </c>
      <c r="AQ70" s="119"/>
      <c r="AR70" s="1" t="s">
        <v>61</v>
      </c>
      <c r="AS70" s="17">
        <v>2</v>
      </c>
      <c r="AT70" s="119"/>
      <c r="AU70" s="1" t="s">
        <v>44</v>
      </c>
      <c r="AV70" s="17">
        <v>0</v>
      </c>
      <c r="AW70" s="119"/>
      <c r="AX70" s="1" t="s">
        <v>62</v>
      </c>
      <c r="AY70" s="17">
        <v>2</v>
      </c>
      <c r="AZ70" s="119"/>
      <c r="BA70" s="1" t="s">
        <v>59</v>
      </c>
      <c r="BB70" s="17">
        <v>1</v>
      </c>
      <c r="BC70" s="17">
        <v>0</v>
      </c>
      <c r="BD70" s="17">
        <v>1</v>
      </c>
      <c r="BE70" s="17">
        <v>0</v>
      </c>
      <c r="BF70" s="17">
        <v>0</v>
      </c>
      <c r="BG70" s="17">
        <v>0</v>
      </c>
      <c r="BH70" s="149" t="s">
        <v>47</v>
      </c>
      <c r="BI70" s="17">
        <v>0</v>
      </c>
      <c r="BJ70" s="131"/>
      <c r="BK70" s="1" t="s">
        <v>75</v>
      </c>
      <c r="BL70" s="17">
        <v>3</v>
      </c>
      <c r="BM70" s="119"/>
      <c r="BN70" s="1" t="s">
        <v>49</v>
      </c>
      <c r="BO70" s="17">
        <v>1</v>
      </c>
      <c r="BP70" s="119"/>
      <c r="BQ70" s="17" t="s">
        <v>50</v>
      </c>
      <c r="BR70" s="17">
        <v>2</v>
      </c>
      <c r="BS70" s="119"/>
      <c r="BT70" s="1" t="s">
        <v>65</v>
      </c>
      <c r="BU70" s="17">
        <v>2</v>
      </c>
      <c r="BV70" s="119"/>
      <c r="BW70" s="1" t="s">
        <v>51</v>
      </c>
      <c r="BX70" s="17">
        <v>2</v>
      </c>
      <c r="BY70" s="119"/>
      <c r="BZ70" s="1" t="s">
        <v>97</v>
      </c>
      <c r="CA70" s="17">
        <v>1</v>
      </c>
      <c r="CB70" s="119"/>
      <c r="CC70" s="1" t="s">
        <v>77</v>
      </c>
      <c r="CD70" s="17">
        <v>1</v>
      </c>
      <c r="CE70" s="119"/>
      <c r="CF70" s="17" t="s">
        <v>77</v>
      </c>
      <c r="CG70" s="17">
        <v>2</v>
      </c>
      <c r="CH70" s="119"/>
      <c r="CI70" s="1" t="s">
        <v>78</v>
      </c>
      <c r="CJ70" s="33">
        <v>1</v>
      </c>
      <c r="CK70" s="33">
        <v>0</v>
      </c>
      <c r="CL70" s="33">
        <v>0</v>
      </c>
      <c r="CM70" s="33">
        <v>0</v>
      </c>
      <c r="CN70" s="2" t="s">
        <v>123</v>
      </c>
    </row>
    <row r="71" spans="1:92" ht="28" x14ac:dyDescent="0.15">
      <c r="A71" s="51">
        <v>45860.640396874995</v>
      </c>
      <c r="B71" s="3" t="s">
        <v>29</v>
      </c>
      <c r="C71" s="18">
        <v>4</v>
      </c>
      <c r="D71" s="117"/>
      <c r="E71" s="6" t="s">
        <v>127</v>
      </c>
      <c r="F71" s="18">
        <v>1</v>
      </c>
      <c r="G71" s="117"/>
      <c r="H71" s="6" t="s">
        <v>31</v>
      </c>
      <c r="I71" s="18">
        <v>0</v>
      </c>
      <c r="J71" s="117"/>
      <c r="K71" s="43" t="s">
        <v>107</v>
      </c>
      <c r="L71" s="18">
        <v>2</v>
      </c>
      <c r="M71" s="120"/>
      <c r="N71" s="4" t="s">
        <v>33</v>
      </c>
      <c r="O71" s="18">
        <v>1</v>
      </c>
      <c r="P71" s="120"/>
      <c r="Q71" s="4" t="s">
        <v>34</v>
      </c>
      <c r="R71" s="18">
        <v>1</v>
      </c>
      <c r="S71" s="120"/>
      <c r="T71" s="4" t="s">
        <v>57</v>
      </c>
      <c r="U71" s="18">
        <v>0</v>
      </c>
      <c r="V71" s="120"/>
      <c r="W71" s="4" t="s">
        <v>49</v>
      </c>
      <c r="X71" s="18">
        <v>1</v>
      </c>
      <c r="Y71" s="120"/>
      <c r="Z71" s="4" t="s">
        <v>58</v>
      </c>
      <c r="AA71" s="18">
        <v>2</v>
      </c>
      <c r="AB71" s="120"/>
      <c r="AC71" s="4" t="s">
        <v>59</v>
      </c>
      <c r="AD71" s="18">
        <v>2</v>
      </c>
      <c r="AE71" s="120"/>
      <c r="AF71" s="4" t="s">
        <v>83</v>
      </c>
      <c r="AG71" s="18">
        <v>3</v>
      </c>
      <c r="AH71" s="120"/>
      <c r="AI71" s="13" t="s">
        <v>94</v>
      </c>
      <c r="AJ71" s="24">
        <v>2</v>
      </c>
      <c r="AK71" s="126"/>
      <c r="AL71" s="4" t="s">
        <v>71</v>
      </c>
      <c r="AM71" s="18">
        <v>3</v>
      </c>
      <c r="AN71" s="120"/>
      <c r="AO71" s="4" t="s">
        <v>42</v>
      </c>
      <c r="AP71" s="18">
        <v>3</v>
      </c>
      <c r="AQ71" s="120"/>
      <c r="AR71" s="4" t="s">
        <v>61</v>
      </c>
      <c r="AS71" s="18">
        <v>2</v>
      </c>
      <c r="AT71" s="120"/>
      <c r="AU71" s="4" t="s">
        <v>44</v>
      </c>
      <c r="AV71" s="18">
        <v>1</v>
      </c>
      <c r="AW71" s="120"/>
      <c r="AX71" s="4" t="s">
        <v>45</v>
      </c>
      <c r="AY71" s="18">
        <v>2</v>
      </c>
      <c r="AZ71" s="120"/>
      <c r="BA71" s="4" t="s">
        <v>59</v>
      </c>
      <c r="BB71" s="18">
        <v>0</v>
      </c>
      <c r="BC71" s="18">
        <v>1</v>
      </c>
      <c r="BD71" s="18">
        <v>1</v>
      </c>
      <c r="BE71" s="18">
        <v>0</v>
      </c>
      <c r="BF71" s="18">
        <v>0</v>
      </c>
      <c r="BG71" s="18">
        <v>0</v>
      </c>
      <c r="BH71" s="150" t="s">
        <v>105</v>
      </c>
      <c r="BI71" s="18">
        <v>0</v>
      </c>
      <c r="BJ71" s="130"/>
      <c r="BK71" s="4" t="s">
        <v>75</v>
      </c>
      <c r="BL71" s="18">
        <v>1</v>
      </c>
      <c r="BM71" s="120"/>
      <c r="BN71" s="4" t="s">
        <v>59</v>
      </c>
      <c r="BO71" s="18">
        <v>1</v>
      </c>
      <c r="BP71" s="120"/>
      <c r="BQ71" s="18" t="s">
        <v>50</v>
      </c>
      <c r="BR71" s="18">
        <v>2</v>
      </c>
      <c r="BS71" s="120"/>
      <c r="BT71" s="4" t="s">
        <v>65</v>
      </c>
      <c r="BU71" s="18">
        <v>1</v>
      </c>
      <c r="BV71" s="120"/>
      <c r="BW71" s="4" t="s">
        <v>66</v>
      </c>
      <c r="BX71" s="18">
        <v>2</v>
      </c>
      <c r="BY71" s="120"/>
      <c r="BZ71" s="4" t="s">
        <v>97</v>
      </c>
      <c r="CA71" s="18">
        <v>2</v>
      </c>
      <c r="CB71" s="120"/>
      <c r="CC71" s="4" t="s">
        <v>76</v>
      </c>
      <c r="CD71" s="18">
        <v>2</v>
      </c>
      <c r="CE71" s="120"/>
      <c r="CF71" s="18" t="s">
        <v>36</v>
      </c>
      <c r="CG71" s="18">
        <v>0</v>
      </c>
      <c r="CH71" s="120"/>
      <c r="CI71" s="4" t="s">
        <v>89</v>
      </c>
      <c r="CJ71" s="34">
        <v>1</v>
      </c>
      <c r="CK71" s="34">
        <v>1</v>
      </c>
      <c r="CL71" s="34">
        <v>0</v>
      </c>
      <c r="CM71" s="34">
        <v>0</v>
      </c>
      <c r="CN71" s="5" t="s">
        <v>82</v>
      </c>
    </row>
    <row r="72" spans="1:92" ht="28" x14ac:dyDescent="0.15">
      <c r="A72" s="51">
        <v>45860.650122129635</v>
      </c>
      <c r="B72" s="3" t="s">
        <v>29</v>
      </c>
      <c r="C72" s="17">
        <v>4</v>
      </c>
      <c r="D72" s="116"/>
      <c r="E72" s="6" t="s">
        <v>127</v>
      </c>
      <c r="F72" s="17">
        <v>1</v>
      </c>
      <c r="G72" s="116"/>
      <c r="H72" s="6" t="s">
        <v>31</v>
      </c>
      <c r="I72" s="17">
        <v>1</v>
      </c>
      <c r="J72" s="116"/>
      <c r="K72" s="43" t="s">
        <v>32</v>
      </c>
      <c r="L72" s="17">
        <v>2</v>
      </c>
      <c r="M72" s="119"/>
      <c r="N72" s="1" t="s">
        <v>33</v>
      </c>
      <c r="O72" s="18">
        <v>1</v>
      </c>
      <c r="P72" s="117"/>
      <c r="Q72" s="1" t="s">
        <v>34</v>
      </c>
      <c r="R72" s="17">
        <v>1</v>
      </c>
      <c r="S72" s="119"/>
      <c r="T72" s="1" t="s">
        <v>57</v>
      </c>
      <c r="U72" s="17">
        <v>1</v>
      </c>
      <c r="V72" s="119"/>
      <c r="W72" s="1" t="s">
        <v>92</v>
      </c>
      <c r="X72" s="17">
        <v>2</v>
      </c>
      <c r="Y72" s="119"/>
      <c r="Z72" s="1" t="s">
        <v>37</v>
      </c>
      <c r="AA72" s="17">
        <v>2</v>
      </c>
      <c r="AB72" s="119"/>
      <c r="AC72" s="1" t="s">
        <v>59</v>
      </c>
      <c r="AD72" s="17">
        <v>3</v>
      </c>
      <c r="AE72" s="119"/>
      <c r="AF72" s="1" t="s">
        <v>60</v>
      </c>
      <c r="AG72" s="17">
        <v>3</v>
      </c>
      <c r="AH72" s="119"/>
      <c r="AI72" s="11" t="s">
        <v>94</v>
      </c>
      <c r="AJ72" s="25">
        <v>2</v>
      </c>
      <c r="AK72" s="127"/>
      <c r="AL72" s="1" t="s">
        <v>71</v>
      </c>
      <c r="AM72" s="17">
        <v>2</v>
      </c>
      <c r="AN72" s="119"/>
      <c r="AO72" s="1" t="s">
        <v>72</v>
      </c>
      <c r="AP72" s="17">
        <v>4</v>
      </c>
      <c r="AQ72" s="119"/>
      <c r="AR72" s="1" t="s">
        <v>43</v>
      </c>
      <c r="AS72" s="17">
        <v>2</v>
      </c>
      <c r="AT72" s="119"/>
      <c r="AU72" s="1" t="s">
        <v>44</v>
      </c>
      <c r="AV72" s="17">
        <v>2</v>
      </c>
      <c r="AW72" s="119"/>
      <c r="AX72" s="1" t="s">
        <v>80</v>
      </c>
      <c r="AY72" s="17">
        <v>2</v>
      </c>
      <c r="AZ72" s="119"/>
      <c r="BA72" s="1" t="s">
        <v>59</v>
      </c>
      <c r="BB72" s="17">
        <v>0</v>
      </c>
      <c r="BC72" s="17">
        <v>0</v>
      </c>
      <c r="BD72" s="17">
        <v>1</v>
      </c>
      <c r="BE72" s="17">
        <v>1</v>
      </c>
      <c r="BF72" s="17">
        <v>0</v>
      </c>
      <c r="BG72" s="17">
        <v>0</v>
      </c>
      <c r="BH72" s="149" t="s">
        <v>95</v>
      </c>
      <c r="BI72" s="17">
        <v>0</v>
      </c>
      <c r="BJ72" s="131"/>
      <c r="BK72" s="1" t="s">
        <v>75</v>
      </c>
      <c r="BL72" s="17">
        <v>3</v>
      </c>
      <c r="BM72" s="119"/>
      <c r="BN72" s="1" t="s">
        <v>49</v>
      </c>
      <c r="BO72" s="17">
        <v>0</v>
      </c>
      <c r="BP72" s="119"/>
      <c r="BQ72" s="17" t="s">
        <v>87</v>
      </c>
      <c r="BR72" s="17">
        <v>1</v>
      </c>
      <c r="BS72" s="119"/>
      <c r="BT72" s="1" t="s">
        <v>69</v>
      </c>
      <c r="BU72" s="17">
        <v>0</v>
      </c>
      <c r="BV72" s="119"/>
      <c r="BW72" s="1" t="s">
        <v>88</v>
      </c>
      <c r="BX72" s="17">
        <v>3</v>
      </c>
      <c r="BY72" s="119"/>
      <c r="BZ72" s="1" t="s">
        <v>52</v>
      </c>
      <c r="CA72" s="17">
        <v>2</v>
      </c>
      <c r="CB72" s="119"/>
      <c r="CC72" s="1" t="s">
        <v>76</v>
      </c>
      <c r="CD72" s="17">
        <v>0</v>
      </c>
      <c r="CE72" s="119"/>
      <c r="CF72" s="17" t="s">
        <v>49</v>
      </c>
      <c r="CG72" s="17">
        <v>2</v>
      </c>
      <c r="CH72" s="119"/>
      <c r="CI72" s="1" t="s">
        <v>78</v>
      </c>
      <c r="CJ72" s="33">
        <v>1</v>
      </c>
      <c r="CK72" s="33">
        <v>1</v>
      </c>
      <c r="CL72" s="33">
        <v>0</v>
      </c>
      <c r="CM72" s="33">
        <v>0</v>
      </c>
      <c r="CN72" s="2" t="s">
        <v>82</v>
      </c>
    </row>
    <row r="73" spans="1:92" ht="28" x14ac:dyDescent="0.15">
      <c r="A73" s="51">
        <v>45860.653021006947</v>
      </c>
      <c r="B73" s="3" t="s">
        <v>29</v>
      </c>
      <c r="C73" s="18">
        <v>3</v>
      </c>
      <c r="D73" s="117"/>
      <c r="E73" s="6" t="s">
        <v>90</v>
      </c>
      <c r="F73" s="18">
        <v>1</v>
      </c>
      <c r="G73" s="117"/>
      <c r="H73" s="6" t="s">
        <v>31</v>
      </c>
      <c r="I73" s="18">
        <v>3</v>
      </c>
      <c r="J73" s="117"/>
      <c r="K73" s="43" t="s">
        <v>56</v>
      </c>
      <c r="L73" s="18">
        <v>0</v>
      </c>
      <c r="M73" s="120"/>
      <c r="N73" s="4" t="s">
        <v>145</v>
      </c>
      <c r="O73" s="18">
        <v>1</v>
      </c>
      <c r="P73" s="120"/>
      <c r="Q73" s="4" t="s">
        <v>34</v>
      </c>
      <c r="R73" s="18">
        <v>2</v>
      </c>
      <c r="S73" s="120"/>
      <c r="T73" s="4" t="s">
        <v>35</v>
      </c>
      <c r="U73" s="18">
        <v>2</v>
      </c>
      <c r="V73" s="120"/>
      <c r="W73" s="4" t="s">
        <v>36</v>
      </c>
      <c r="X73" s="18">
        <v>2</v>
      </c>
      <c r="Y73" s="120"/>
      <c r="Z73" s="4" t="s">
        <v>37</v>
      </c>
      <c r="AA73" s="18">
        <v>3</v>
      </c>
      <c r="AB73" s="120"/>
      <c r="AC73" s="4" t="s">
        <v>38</v>
      </c>
      <c r="AD73" s="18">
        <v>4</v>
      </c>
      <c r="AE73" s="120"/>
      <c r="AF73" s="4" t="s">
        <v>93</v>
      </c>
      <c r="AG73" s="18">
        <v>3</v>
      </c>
      <c r="AH73" s="120"/>
      <c r="AI73" s="13" t="s">
        <v>94</v>
      </c>
      <c r="AJ73" s="24">
        <v>3</v>
      </c>
      <c r="AK73" s="126"/>
      <c r="AL73" s="4" t="s">
        <v>41</v>
      </c>
      <c r="AM73" s="18">
        <v>3</v>
      </c>
      <c r="AN73" s="120"/>
      <c r="AO73" s="4" t="s">
        <v>42</v>
      </c>
      <c r="AP73" s="18">
        <v>4</v>
      </c>
      <c r="AQ73" s="120"/>
      <c r="AR73" s="4" t="s">
        <v>43</v>
      </c>
      <c r="AS73" s="18">
        <v>3</v>
      </c>
      <c r="AT73" s="120"/>
      <c r="AU73" s="4" t="s">
        <v>79</v>
      </c>
      <c r="AV73" s="18">
        <v>2</v>
      </c>
      <c r="AW73" s="120"/>
      <c r="AX73" s="4" t="s">
        <v>80</v>
      </c>
      <c r="AY73" s="18">
        <v>3</v>
      </c>
      <c r="AZ73" s="120"/>
      <c r="BA73" s="4" t="s">
        <v>46</v>
      </c>
      <c r="BB73" s="18">
        <v>0</v>
      </c>
      <c r="BC73" s="18">
        <v>1</v>
      </c>
      <c r="BD73" s="18">
        <v>1</v>
      </c>
      <c r="BE73" s="18">
        <v>0</v>
      </c>
      <c r="BF73" s="18">
        <v>0</v>
      </c>
      <c r="BG73" s="18">
        <v>0</v>
      </c>
      <c r="BH73" s="150" t="s">
        <v>105</v>
      </c>
      <c r="BI73" s="18">
        <v>2</v>
      </c>
      <c r="BJ73" s="130"/>
      <c r="BK73" s="4" t="s">
        <v>48</v>
      </c>
      <c r="BL73" s="18">
        <v>1</v>
      </c>
      <c r="BM73" s="120"/>
      <c r="BN73" s="4" t="s">
        <v>59</v>
      </c>
      <c r="BO73" s="18">
        <v>1</v>
      </c>
      <c r="BP73" s="120"/>
      <c r="BQ73" s="18" t="s">
        <v>50</v>
      </c>
      <c r="BR73" s="18">
        <v>3</v>
      </c>
      <c r="BS73" s="120"/>
      <c r="BT73" s="4" t="s">
        <v>38</v>
      </c>
      <c r="BU73" s="18">
        <v>2</v>
      </c>
      <c r="BV73" s="120"/>
      <c r="BW73" s="4" t="s">
        <v>51</v>
      </c>
      <c r="BX73" s="18">
        <v>3</v>
      </c>
      <c r="BY73" s="120"/>
      <c r="BZ73" s="4" t="s">
        <v>52</v>
      </c>
      <c r="CA73" s="18">
        <v>3</v>
      </c>
      <c r="CB73" s="120"/>
      <c r="CC73" s="4" t="s">
        <v>36</v>
      </c>
      <c r="CD73" s="18">
        <v>1</v>
      </c>
      <c r="CE73" s="120"/>
      <c r="CF73" s="18" t="s">
        <v>77</v>
      </c>
      <c r="CG73" s="18">
        <v>3</v>
      </c>
      <c r="CH73" s="120"/>
      <c r="CI73" s="4" t="s">
        <v>53</v>
      </c>
      <c r="CJ73" s="34">
        <v>0</v>
      </c>
      <c r="CK73" s="34">
        <v>1</v>
      </c>
      <c r="CL73" s="34">
        <v>0</v>
      </c>
      <c r="CM73" s="34">
        <v>0</v>
      </c>
      <c r="CN73" s="5" t="s">
        <v>156</v>
      </c>
    </row>
    <row r="74" spans="1:92" ht="28" x14ac:dyDescent="0.15">
      <c r="A74" s="51">
        <v>45860.658613159721</v>
      </c>
      <c r="B74" s="3" t="s">
        <v>29</v>
      </c>
      <c r="C74" s="17">
        <v>5</v>
      </c>
      <c r="D74" s="116"/>
      <c r="E74" s="6" t="s">
        <v>30</v>
      </c>
      <c r="F74" s="17">
        <v>1</v>
      </c>
      <c r="G74" s="116"/>
      <c r="H74" s="6" t="s">
        <v>31</v>
      </c>
      <c r="I74" s="17">
        <v>1</v>
      </c>
      <c r="J74" s="116"/>
      <c r="K74" s="43" t="s">
        <v>32</v>
      </c>
      <c r="L74" s="17">
        <v>2</v>
      </c>
      <c r="M74" s="119"/>
      <c r="N74" s="1" t="s">
        <v>33</v>
      </c>
      <c r="O74" s="18">
        <v>1</v>
      </c>
      <c r="P74" s="117"/>
      <c r="Q74" s="1" t="s">
        <v>34</v>
      </c>
      <c r="R74" s="17">
        <v>1</v>
      </c>
      <c r="S74" s="119"/>
      <c r="T74" s="1" t="s">
        <v>57</v>
      </c>
      <c r="U74" s="17">
        <v>1</v>
      </c>
      <c r="V74" s="119"/>
      <c r="W74" s="1" t="s">
        <v>92</v>
      </c>
      <c r="X74" s="17">
        <v>0</v>
      </c>
      <c r="Y74" s="119"/>
      <c r="Z74" s="1" t="s">
        <v>108</v>
      </c>
      <c r="AA74" s="17">
        <v>1</v>
      </c>
      <c r="AB74" s="119"/>
      <c r="AC74" s="1" t="s">
        <v>69</v>
      </c>
      <c r="AD74" s="17">
        <v>4</v>
      </c>
      <c r="AE74" s="119"/>
      <c r="AF74" s="1" t="s">
        <v>93</v>
      </c>
      <c r="AG74" s="17">
        <v>0</v>
      </c>
      <c r="AH74" s="119"/>
      <c r="AI74" s="11" t="s">
        <v>84</v>
      </c>
      <c r="AJ74" s="25">
        <v>0</v>
      </c>
      <c r="AK74" s="127"/>
      <c r="AL74" s="1" t="s">
        <v>85</v>
      </c>
      <c r="AM74" s="17">
        <v>1</v>
      </c>
      <c r="AN74" s="119"/>
      <c r="AO74" s="1" t="s">
        <v>130</v>
      </c>
      <c r="AP74" s="17">
        <v>3</v>
      </c>
      <c r="AQ74" s="119"/>
      <c r="AR74" s="1" t="s">
        <v>61</v>
      </c>
      <c r="AS74" s="17">
        <v>0</v>
      </c>
      <c r="AT74" s="119"/>
      <c r="AU74" s="1" t="s">
        <v>102</v>
      </c>
      <c r="AV74" s="17">
        <v>0</v>
      </c>
      <c r="AW74" s="119"/>
      <c r="AX74" s="1" t="s">
        <v>62</v>
      </c>
      <c r="AY74" s="17">
        <v>2</v>
      </c>
      <c r="AZ74" s="119"/>
      <c r="BA74" s="1" t="s">
        <v>59</v>
      </c>
      <c r="BB74" s="17">
        <v>0</v>
      </c>
      <c r="BC74" s="17">
        <v>0</v>
      </c>
      <c r="BD74" s="17">
        <v>1</v>
      </c>
      <c r="BE74" s="17">
        <v>1</v>
      </c>
      <c r="BF74" s="17">
        <v>0</v>
      </c>
      <c r="BG74" s="17">
        <v>0</v>
      </c>
      <c r="BH74" s="149" t="s">
        <v>95</v>
      </c>
      <c r="BI74" s="17">
        <v>0</v>
      </c>
      <c r="BJ74" s="131"/>
      <c r="BK74" s="1" t="s">
        <v>75</v>
      </c>
      <c r="BL74" s="17">
        <v>1</v>
      </c>
      <c r="BM74" s="119"/>
      <c r="BN74" s="1" t="s">
        <v>59</v>
      </c>
      <c r="BO74" s="17">
        <v>1</v>
      </c>
      <c r="BP74" s="119"/>
      <c r="BQ74" s="17" t="s">
        <v>50</v>
      </c>
      <c r="BR74" s="17">
        <v>1</v>
      </c>
      <c r="BS74" s="119"/>
      <c r="BT74" s="1" t="s">
        <v>69</v>
      </c>
      <c r="BU74" s="17">
        <v>2</v>
      </c>
      <c r="BV74" s="119"/>
      <c r="BW74" s="1" t="s">
        <v>51</v>
      </c>
      <c r="BX74" s="17">
        <v>1</v>
      </c>
      <c r="BY74" s="119"/>
      <c r="BZ74" s="1" t="s">
        <v>67</v>
      </c>
      <c r="CA74" s="17">
        <v>2</v>
      </c>
      <c r="CB74" s="119"/>
      <c r="CC74" s="1" t="s">
        <v>76</v>
      </c>
      <c r="CD74" s="17">
        <v>1</v>
      </c>
      <c r="CE74" s="119"/>
      <c r="CF74" s="17" t="s">
        <v>77</v>
      </c>
      <c r="CG74" s="17">
        <v>2</v>
      </c>
      <c r="CH74" s="119"/>
      <c r="CI74" s="1" t="s">
        <v>78</v>
      </c>
      <c r="CJ74" s="33">
        <v>0</v>
      </c>
      <c r="CK74" s="33">
        <v>1</v>
      </c>
      <c r="CL74" s="33">
        <v>0</v>
      </c>
      <c r="CM74" s="33">
        <v>0</v>
      </c>
      <c r="CN74" s="2" t="s">
        <v>137</v>
      </c>
    </row>
    <row r="75" spans="1:92" ht="28" x14ac:dyDescent="0.15">
      <c r="A75" s="51">
        <v>45860.661971620371</v>
      </c>
      <c r="B75" s="3" t="s">
        <v>29</v>
      </c>
      <c r="C75" s="18">
        <v>5</v>
      </c>
      <c r="D75" s="117"/>
      <c r="E75" s="6" t="s">
        <v>30</v>
      </c>
      <c r="F75" s="18">
        <v>1</v>
      </c>
      <c r="G75" s="117"/>
      <c r="H75" s="6" t="s">
        <v>31</v>
      </c>
      <c r="I75" s="18">
        <v>1</v>
      </c>
      <c r="J75" s="117"/>
      <c r="K75" s="43" t="s">
        <v>32</v>
      </c>
      <c r="L75" s="18">
        <v>2</v>
      </c>
      <c r="M75" s="120"/>
      <c r="N75" s="4" t="s">
        <v>33</v>
      </c>
      <c r="O75" s="18">
        <v>1</v>
      </c>
      <c r="P75" s="120"/>
      <c r="Q75" s="4" t="s">
        <v>34</v>
      </c>
      <c r="R75" s="18">
        <v>1</v>
      </c>
      <c r="S75" s="120"/>
      <c r="T75" s="4" t="s">
        <v>57</v>
      </c>
      <c r="U75" s="18">
        <v>1</v>
      </c>
      <c r="V75" s="120"/>
      <c r="W75" s="4" t="s">
        <v>92</v>
      </c>
      <c r="X75" s="18">
        <v>0</v>
      </c>
      <c r="Y75" s="120"/>
      <c r="Z75" s="4" t="s">
        <v>108</v>
      </c>
      <c r="AA75" s="18">
        <v>1</v>
      </c>
      <c r="AB75" s="120"/>
      <c r="AC75" s="4" t="s">
        <v>69</v>
      </c>
      <c r="AD75" s="18">
        <v>4</v>
      </c>
      <c r="AE75" s="120"/>
      <c r="AF75" s="4" t="s">
        <v>93</v>
      </c>
      <c r="AG75" s="18">
        <v>3</v>
      </c>
      <c r="AH75" s="120"/>
      <c r="AI75" s="13" t="s">
        <v>94</v>
      </c>
      <c r="AJ75" s="24">
        <v>0</v>
      </c>
      <c r="AK75" s="126"/>
      <c r="AL75" s="4" t="s">
        <v>85</v>
      </c>
      <c r="AM75" s="18">
        <v>1</v>
      </c>
      <c r="AN75" s="120"/>
      <c r="AO75" s="4" t="s">
        <v>130</v>
      </c>
      <c r="AP75" s="18">
        <v>3</v>
      </c>
      <c r="AQ75" s="120"/>
      <c r="AR75" s="4" t="s">
        <v>61</v>
      </c>
      <c r="AS75" s="18">
        <v>0</v>
      </c>
      <c r="AT75" s="120"/>
      <c r="AU75" s="4" t="s">
        <v>102</v>
      </c>
      <c r="AV75" s="18">
        <v>0</v>
      </c>
      <c r="AW75" s="120"/>
      <c r="AX75" s="4" t="s">
        <v>62</v>
      </c>
      <c r="AY75" s="18">
        <v>2</v>
      </c>
      <c r="AZ75" s="120"/>
      <c r="BA75" s="4" t="s">
        <v>59</v>
      </c>
      <c r="BB75" s="18">
        <v>0</v>
      </c>
      <c r="BC75" s="18">
        <v>0</v>
      </c>
      <c r="BD75" s="18">
        <v>1</v>
      </c>
      <c r="BE75" s="18">
        <v>1</v>
      </c>
      <c r="BF75" s="18">
        <v>0</v>
      </c>
      <c r="BG75" s="18">
        <v>0</v>
      </c>
      <c r="BH75" s="150" t="s">
        <v>95</v>
      </c>
      <c r="BI75" s="18">
        <v>0</v>
      </c>
      <c r="BJ75" s="130"/>
      <c r="BK75" s="4" t="s">
        <v>75</v>
      </c>
      <c r="BL75" s="18">
        <v>1</v>
      </c>
      <c r="BM75" s="120"/>
      <c r="BN75" s="4" t="s">
        <v>59</v>
      </c>
      <c r="BO75" s="18">
        <v>0</v>
      </c>
      <c r="BP75" s="120"/>
      <c r="BQ75" s="18" t="s">
        <v>87</v>
      </c>
      <c r="BR75" s="18">
        <v>1</v>
      </c>
      <c r="BS75" s="120"/>
      <c r="BT75" s="4" t="s">
        <v>69</v>
      </c>
      <c r="BU75" s="18">
        <v>2</v>
      </c>
      <c r="BV75" s="120"/>
      <c r="BW75" s="4" t="s">
        <v>51</v>
      </c>
      <c r="BX75" s="18">
        <v>1</v>
      </c>
      <c r="BY75" s="120"/>
      <c r="BZ75" s="4" t="s">
        <v>67</v>
      </c>
      <c r="CA75" s="18">
        <v>2</v>
      </c>
      <c r="CB75" s="120"/>
      <c r="CC75" s="4" t="s">
        <v>76</v>
      </c>
      <c r="CD75" s="18">
        <v>0</v>
      </c>
      <c r="CE75" s="120"/>
      <c r="CF75" s="18" t="s">
        <v>49</v>
      </c>
      <c r="CG75" s="18">
        <v>0</v>
      </c>
      <c r="CH75" s="120"/>
      <c r="CI75" s="4" t="s">
        <v>89</v>
      </c>
      <c r="CJ75" s="34">
        <v>0</v>
      </c>
      <c r="CK75" s="34">
        <v>0</v>
      </c>
      <c r="CL75" s="34">
        <v>1</v>
      </c>
      <c r="CM75" s="34">
        <v>0</v>
      </c>
      <c r="CN75" s="5" t="s">
        <v>120</v>
      </c>
    </row>
    <row r="76" spans="1:92" ht="84" x14ac:dyDescent="0.15">
      <c r="A76" s="51">
        <v>45860.667290127312</v>
      </c>
      <c r="B76" s="3" t="s">
        <v>29</v>
      </c>
      <c r="C76" s="17">
        <v>2</v>
      </c>
      <c r="D76" s="116"/>
      <c r="E76" s="6" t="s">
        <v>55</v>
      </c>
      <c r="F76" s="17">
        <v>1</v>
      </c>
      <c r="G76" s="116"/>
      <c r="H76" s="6" t="s">
        <v>31</v>
      </c>
      <c r="I76" s="17">
        <v>3</v>
      </c>
      <c r="J76" s="116"/>
      <c r="K76" s="43" t="s">
        <v>56</v>
      </c>
      <c r="L76" s="17">
        <v>0</v>
      </c>
      <c r="M76" s="119"/>
      <c r="N76" s="1" t="s">
        <v>145</v>
      </c>
      <c r="O76" s="18">
        <v>1</v>
      </c>
      <c r="P76" s="117"/>
      <c r="Q76" s="1" t="s">
        <v>34</v>
      </c>
      <c r="R76" s="17">
        <v>2</v>
      </c>
      <c r="S76" s="119"/>
      <c r="T76" s="1" t="s">
        <v>35</v>
      </c>
      <c r="U76" s="17">
        <v>2</v>
      </c>
      <c r="V76" s="119"/>
      <c r="W76" s="1" t="s">
        <v>36</v>
      </c>
      <c r="X76" s="17">
        <v>2</v>
      </c>
      <c r="Y76" s="119"/>
      <c r="Z76" s="14" t="s">
        <v>157</v>
      </c>
      <c r="AA76" s="17">
        <v>2</v>
      </c>
      <c r="AB76" s="119"/>
      <c r="AC76" s="1" t="s">
        <v>59</v>
      </c>
      <c r="AD76" s="17">
        <v>4</v>
      </c>
      <c r="AE76" s="119"/>
      <c r="AF76" s="1" t="s">
        <v>93</v>
      </c>
      <c r="AG76" s="17">
        <v>3</v>
      </c>
      <c r="AH76" s="119"/>
      <c r="AI76" s="11" t="s">
        <v>94</v>
      </c>
      <c r="AJ76" s="25">
        <v>3</v>
      </c>
      <c r="AK76" s="127"/>
      <c r="AL76" s="1" t="s">
        <v>41</v>
      </c>
      <c r="AM76" s="17">
        <v>2</v>
      </c>
      <c r="AN76" s="119"/>
      <c r="AO76" s="1" t="s">
        <v>72</v>
      </c>
      <c r="AP76" s="17">
        <v>4</v>
      </c>
      <c r="AQ76" s="119"/>
      <c r="AR76" s="1" t="s">
        <v>43</v>
      </c>
      <c r="AS76" s="17">
        <v>3</v>
      </c>
      <c r="AT76" s="119"/>
      <c r="AU76" s="1" t="s">
        <v>79</v>
      </c>
      <c r="AV76" s="17">
        <v>2</v>
      </c>
      <c r="AW76" s="119"/>
      <c r="AX76" s="1" t="s">
        <v>80</v>
      </c>
      <c r="AY76" s="17">
        <v>1</v>
      </c>
      <c r="AZ76" s="119"/>
      <c r="BA76" s="1" t="s">
        <v>69</v>
      </c>
      <c r="BB76" s="17">
        <v>0</v>
      </c>
      <c r="BC76" s="17">
        <v>0</v>
      </c>
      <c r="BD76" s="17">
        <v>1</v>
      </c>
      <c r="BE76" s="17">
        <v>0</v>
      </c>
      <c r="BF76" s="17">
        <v>0</v>
      </c>
      <c r="BG76" s="17">
        <v>0</v>
      </c>
      <c r="BH76" s="149" t="s">
        <v>158</v>
      </c>
      <c r="BI76" s="17">
        <v>2</v>
      </c>
      <c r="BJ76" s="131"/>
      <c r="BK76" s="1" t="s">
        <v>48</v>
      </c>
      <c r="BL76" s="17">
        <v>1</v>
      </c>
      <c r="BM76" s="119"/>
      <c r="BN76" s="1" t="s">
        <v>59</v>
      </c>
      <c r="BO76" s="17">
        <v>0</v>
      </c>
      <c r="BP76" s="119"/>
      <c r="BQ76" s="17" t="s">
        <v>87</v>
      </c>
      <c r="BR76" s="17">
        <v>3</v>
      </c>
      <c r="BS76" s="119"/>
      <c r="BT76" s="1" t="s">
        <v>38</v>
      </c>
      <c r="BU76" s="17">
        <v>2</v>
      </c>
      <c r="BV76" s="119"/>
      <c r="BW76" s="1" t="s">
        <v>51</v>
      </c>
      <c r="BX76" s="17">
        <v>3</v>
      </c>
      <c r="BY76" s="119"/>
      <c r="BZ76" s="1" t="s">
        <v>52</v>
      </c>
      <c r="CA76" s="17">
        <v>3</v>
      </c>
      <c r="CB76" s="119"/>
      <c r="CC76" s="1" t="s">
        <v>36</v>
      </c>
      <c r="CD76" s="17">
        <v>1</v>
      </c>
      <c r="CE76" s="119"/>
      <c r="CF76" s="17" t="s">
        <v>77</v>
      </c>
      <c r="CG76" s="17">
        <v>2</v>
      </c>
      <c r="CH76" s="119"/>
      <c r="CI76" s="1" t="s">
        <v>78</v>
      </c>
      <c r="CJ76" s="33">
        <v>1</v>
      </c>
      <c r="CK76" s="33">
        <v>1</v>
      </c>
      <c r="CL76" s="33">
        <v>0</v>
      </c>
      <c r="CM76" s="33">
        <v>0</v>
      </c>
      <c r="CN76" s="2" t="s">
        <v>68</v>
      </c>
    </row>
    <row r="77" spans="1:92" ht="28" x14ac:dyDescent="0.15">
      <c r="A77" s="51">
        <v>45860.671239340278</v>
      </c>
      <c r="B77" s="3" t="s">
        <v>29</v>
      </c>
      <c r="C77" s="18">
        <v>3</v>
      </c>
      <c r="D77" s="117"/>
      <c r="E77" s="6" t="s">
        <v>90</v>
      </c>
      <c r="F77" s="18">
        <v>1</v>
      </c>
      <c r="G77" s="117"/>
      <c r="H77" s="6" t="s">
        <v>31</v>
      </c>
      <c r="I77" s="18">
        <v>1</v>
      </c>
      <c r="J77" s="117"/>
      <c r="K77" s="43" t="s">
        <v>32</v>
      </c>
      <c r="L77" s="18">
        <v>2</v>
      </c>
      <c r="M77" s="120"/>
      <c r="N77" s="4" t="s">
        <v>33</v>
      </c>
      <c r="O77" s="18">
        <v>1</v>
      </c>
      <c r="P77" s="120"/>
      <c r="Q77" s="4" t="s">
        <v>34</v>
      </c>
      <c r="R77" s="18">
        <v>1</v>
      </c>
      <c r="S77" s="120"/>
      <c r="T77" s="4" t="s">
        <v>57</v>
      </c>
      <c r="U77" s="18">
        <v>0</v>
      </c>
      <c r="V77" s="120"/>
      <c r="W77" s="4" t="s">
        <v>77</v>
      </c>
      <c r="X77" s="18">
        <v>1</v>
      </c>
      <c r="Y77" s="120"/>
      <c r="Z77" s="4" t="s">
        <v>58</v>
      </c>
      <c r="AA77" s="18">
        <v>2</v>
      </c>
      <c r="AB77" s="120"/>
      <c r="AC77" s="4" t="s">
        <v>59</v>
      </c>
      <c r="AD77" s="18">
        <v>2</v>
      </c>
      <c r="AE77" s="120"/>
      <c r="AF77" s="4" t="s">
        <v>83</v>
      </c>
      <c r="AG77" s="18">
        <v>0</v>
      </c>
      <c r="AH77" s="120"/>
      <c r="AI77" s="13" t="s">
        <v>84</v>
      </c>
      <c r="AJ77" s="24">
        <v>0</v>
      </c>
      <c r="AK77" s="126"/>
      <c r="AL77" s="4" t="s">
        <v>85</v>
      </c>
      <c r="AM77" s="18">
        <v>1</v>
      </c>
      <c r="AN77" s="120"/>
      <c r="AO77" s="4" t="s">
        <v>130</v>
      </c>
      <c r="AP77" s="18">
        <v>0</v>
      </c>
      <c r="AQ77" s="120"/>
      <c r="AR77" s="4" t="s">
        <v>121</v>
      </c>
      <c r="AS77" s="18">
        <v>2</v>
      </c>
      <c r="AT77" s="120"/>
      <c r="AU77" s="4" t="s">
        <v>44</v>
      </c>
      <c r="AV77" s="18">
        <v>0</v>
      </c>
      <c r="AW77" s="120"/>
      <c r="AX77" s="4" t="s">
        <v>73</v>
      </c>
      <c r="AY77" s="18">
        <v>2</v>
      </c>
      <c r="AZ77" s="120"/>
      <c r="BA77" s="4" t="s">
        <v>59</v>
      </c>
      <c r="BB77" s="18">
        <v>0</v>
      </c>
      <c r="BC77" s="18">
        <v>0</v>
      </c>
      <c r="BD77" s="18">
        <v>1</v>
      </c>
      <c r="BE77" s="18">
        <v>1</v>
      </c>
      <c r="BF77" s="18">
        <v>0</v>
      </c>
      <c r="BG77" s="18">
        <v>0</v>
      </c>
      <c r="BH77" s="150" t="s">
        <v>95</v>
      </c>
      <c r="BI77" s="18">
        <v>0</v>
      </c>
      <c r="BJ77" s="130"/>
      <c r="BK77" s="4" t="s">
        <v>75</v>
      </c>
      <c r="BL77" s="18">
        <v>1</v>
      </c>
      <c r="BM77" s="120"/>
      <c r="BN77" s="4" t="s">
        <v>59</v>
      </c>
      <c r="BO77" s="18">
        <v>1</v>
      </c>
      <c r="BP77" s="120"/>
      <c r="BQ77" s="18" t="s">
        <v>50</v>
      </c>
      <c r="BR77" s="18">
        <v>1</v>
      </c>
      <c r="BS77" s="120"/>
      <c r="BT77" s="4" t="s">
        <v>69</v>
      </c>
      <c r="BU77" s="18">
        <v>2</v>
      </c>
      <c r="BV77" s="120"/>
      <c r="BW77" s="4" t="s">
        <v>51</v>
      </c>
      <c r="BX77" s="18">
        <v>0</v>
      </c>
      <c r="BY77" s="120"/>
      <c r="BZ77" s="4" t="s">
        <v>119</v>
      </c>
      <c r="CA77" s="18">
        <v>1</v>
      </c>
      <c r="CB77" s="120"/>
      <c r="CC77" s="4" t="s">
        <v>77</v>
      </c>
      <c r="CD77" s="18">
        <v>1</v>
      </c>
      <c r="CE77" s="120"/>
      <c r="CF77" s="18" t="s">
        <v>77</v>
      </c>
      <c r="CG77" s="18">
        <v>2</v>
      </c>
      <c r="CH77" s="120"/>
      <c r="CI77" s="4" t="s">
        <v>78</v>
      </c>
      <c r="CJ77" s="34">
        <v>0</v>
      </c>
      <c r="CK77" s="34">
        <v>0</v>
      </c>
      <c r="CL77" s="34">
        <v>1</v>
      </c>
      <c r="CM77" s="34">
        <v>0</v>
      </c>
      <c r="CN77" s="5" t="s">
        <v>120</v>
      </c>
    </row>
    <row r="78" spans="1:92" ht="28" x14ac:dyDescent="0.15">
      <c r="A78" s="51">
        <v>45860.674487326389</v>
      </c>
      <c r="B78" s="3" t="s">
        <v>29</v>
      </c>
      <c r="C78" s="17">
        <v>2</v>
      </c>
      <c r="D78" s="116"/>
      <c r="E78" s="6" t="s">
        <v>55</v>
      </c>
      <c r="F78" s="17">
        <v>1</v>
      </c>
      <c r="G78" s="116"/>
      <c r="H78" s="6" t="s">
        <v>31</v>
      </c>
      <c r="I78" s="17">
        <v>2</v>
      </c>
      <c r="J78" s="116"/>
      <c r="K78" s="43" t="s">
        <v>116</v>
      </c>
      <c r="L78" s="17">
        <v>0</v>
      </c>
      <c r="M78" s="119"/>
      <c r="N78" s="1" t="s">
        <v>145</v>
      </c>
      <c r="O78" s="18">
        <v>1</v>
      </c>
      <c r="P78" s="117"/>
      <c r="Q78" s="1" t="s">
        <v>34</v>
      </c>
      <c r="R78" s="17">
        <v>2</v>
      </c>
      <c r="S78" s="119"/>
      <c r="T78" s="1" t="s">
        <v>35</v>
      </c>
      <c r="U78" s="17">
        <v>2</v>
      </c>
      <c r="V78" s="119"/>
      <c r="W78" s="1" t="s">
        <v>36</v>
      </c>
      <c r="X78" s="17">
        <v>2</v>
      </c>
      <c r="Y78" s="119"/>
      <c r="Z78" s="1" t="s">
        <v>37</v>
      </c>
      <c r="AA78" s="17">
        <v>3</v>
      </c>
      <c r="AB78" s="119"/>
      <c r="AC78" s="1" t="s">
        <v>38</v>
      </c>
      <c r="AD78" s="17">
        <v>4</v>
      </c>
      <c r="AE78" s="119"/>
      <c r="AF78" s="1" t="s">
        <v>93</v>
      </c>
      <c r="AG78" s="17">
        <v>3</v>
      </c>
      <c r="AH78" s="119"/>
      <c r="AI78" s="11" t="s">
        <v>94</v>
      </c>
      <c r="AJ78" s="25">
        <v>3</v>
      </c>
      <c r="AK78" s="127"/>
      <c r="AL78" s="1" t="s">
        <v>41</v>
      </c>
      <c r="AM78" s="17">
        <v>3</v>
      </c>
      <c r="AN78" s="119"/>
      <c r="AO78" s="1" t="s">
        <v>42</v>
      </c>
      <c r="AP78" s="17">
        <v>4</v>
      </c>
      <c r="AQ78" s="119"/>
      <c r="AR78" s="1" t="s">
        <v>43</v>
      </c>
      <c r="AS78" s="17">
        <v>3</v>
      </c>
      <c r="AT78" s="119"/>
      <c r="AU78" s="1" t="s">
        <v>79</v>
      </c>
      <c r="AV78" s="17">
        <v>2</v>
      </c>
      <c r="AW78" s="119"/>
      <c r="AX78" s="1" t="s">
        <v>80</v>
      </c>
      <c r="AY78" s="17">
        <v>3</v>
      </c>
      <c r="AZ78" s="119"/>
      <c r="BA78" s="1" t="s">
        <v>46</v>
      </c>
      <c r="BB78" s="17">
        <v>1</v>
      </c>
      <c r="BC78" s="17">
        <v>0</v>
      </c>
      <c r="BD78" s="17">
        <v>1</v>
      </c>
      <c r="BE78" s="17">
        <v>0</v>
      </c>
      <c r="BF78" s="17">
        <v>0</v>
      </c>
      <c r="BG78" s="17">
        <v>0</v>
      </c>
      <c r="BH78" s="149" t="s">
        <v>47</v>
      </c>
      <c r="BI78" s="17">
        <v>2</v>
      </c>
      <c r="BJ78" s="131"/>
      <c r="BK78" s="1" t="s">
        <v>48</v>
      </c>
      <c r="BL78" s="17">
        <v>2</v>
      </c>
      <c r="BM78" s="119"/>
      <c r="BN78" s="1" t="s">
        <v>64</v>
      </c>
      <c r="BO78" s="17">
        <v>2</v>
      </c>
      <c r="BP78" s="119"/>
      <c r="BQ78" s="17" t="s">
        <v>117</v>
      </c>
      <c r="BR78" s="17">
        <v>3</v>
      </c>
      <c r="BS78" s="119"/>
      <c r="BT78" s="1" t="s">
        <v>38</v>
      </c>
      <c r="BU78" s="17">
        <v>2</v>
      </c>
      <c r="BV78" s="119"/>
      <c r="BW78" s="1" t="s">
        <v>51</v>
      </c>
      <c r="BX78" s="17">
        <v>3</v>
      </c>
      <c r="BY78" s="119"/>
      <c r="BZ78" s="1" t="s">
        <v>52</v>
      </c>
      <c r="CA78" s="17">
        <v>3</v>
      </c>
      <c r="CB78" s="119"/>
      <c r="CC78" s="1" t="s">
        <v>36</v>
      </c>
      <c r="CD78" s="17">
        <v>2</v>
      </c>
      <c r="CE78" s="119"/>
      <c r="CF78" s="17" t="s">
        <v>36</v>
      </c>
      <c r="CG78" s="17">
        <v>3</v>
      </c>
      <c r="CH78" s="119"/>
      <c r="CI78" s="1" t="s">
        <v>53</v>
      </c>
      <c r="CJ78" s="33">
        <v>1</v>
      </c>
      <c r="CK78" s="33">
        <v>1</v>
      </c>
      <c r="CL78" s="33">
        <v>0</v>
      </c>
      <c r="CM78" s="33">
        <v>0</v>
      </c>
      <c r="CN78" s="2" t="s">
        <v>68</v>
      </c>
    </row>
    <row r="79" spans="1:92" ht="28" x14ac:dyDescent="0.15">
      <c r="A79" s="51">
        <v>45860.67649114583</v>
      </c>
      <c r="B79" s="3" t="s">
        <v>29</v>
      </c>
      <c r="C79" s="18">
        <v>2</v>
      </c>
      <c r="D79" s="117"/>
      <c r="E79" s="6" t="s">
        <v>55</v>
      </c>
      <c r="F79" s="18">
        <v>1</v>
      </c>
      <c r="G79" s="117"/>
      <c r="H79" s="6" t="s">
        <v>31</v>
      </c>
      <c r="I79" s="18">
        <v>3</v>
      </c>
      <c r="J79" s="117"/>
      <c r="K79" s="43" t="s">
        <v>56</v>
      </c>
      <c r="L79" s="18">
        <v>2</v>
      </c>
      <c r="M79" s="120"/>
      <c r="N79" s="4" t="s">
        <v>33</v>
      </c>
      <c r="O79" s="18">
        <v>1</v>
      </c>
      <c r="P79" s="120"/>
      <c r="Q79" s="4" t="s">
        <v>34</v>
      </c>
      <c r="R79" s="18">
        <v>2</v>
      </c>
      <c r="S79" s="120"/>
      <c r="T79" s="4" t="s">
        <v>35</v>
      </c>
      <c r="U79" s="18">
        <v>2</v>
      </c>
      <c r="V79" s="120"/>
      <c r="W79" s="4" t="s">
        <v>36</v>
      </c>
      <c r="X79" s="18">
        <v>1</v>
      </c>
      <c r="Y79" s="120"/>
      <c r="Z79" s="4" t="s">
        <v>58</v>
      </c>
      <c r="AA79" s="18">
        <v>3</v>
      </c>
      <c r="AB79" s="120"/>
      <c r="AC79" s="4" t="s">
        <v>38</v>
      </c>
      <c r="AD79" s="18">
        <v>0</v>
      </c>
      <c r="AE79" s="120"/>
      <c r="AF79" s="4" t="s">
        <v>70</v>
      </c>
      <c r="AG79" s="18">
        <v>3</v>
      </c>
      <c r="AH79" s="120"/>
      <c r="AI79" s="13" t="s">
        <v>94</v>
      </c>
      <c r="AJ79" s="24">
        <v>3</v>
      </c>
      <c r="AK79" s="126"/>
      <c r="AL79" s="4" t="s">
        <v>41</v>
      </c>
      <c r="AM79" s="18">
        <v>3</v>
      </c>
      <c r="AN79" s="120"/>
      <c r="AO79" s="4" t="s">
        <v>42</v>
      </c>
      <c r="AP79" s="18">
        <v>3</v>
      </c>
      <c r="AQ79" s="120"/>
      <c r="AR79" s="4" t="s">
        <v>99</v>
      </c>
      <c r="AS79" s="18">
        <v>3</v>
      </c>
      <c r="AT79" s="120"/>
      <c r="AU79" s="4" t="s">
        <v>79</v>
      </c>
      <c r="AV79" s="18">
        <v>0</v>
      </c>
      <c r="AW79" s="120"/>
      <c r="AX79" s="4" t="s">
        <v>62</v>
      </c>
      <c r="AY79" s="18">
        <v>2</v>
      </c>
      <c r="AZ79" s="120"/>
      <c r="BA79" s="4" t="s">
        <v>59</v>
      </c>
      <c r="BB79" s="18">
        <v>1</v>
      </c>
      <c r="BC79" s="18">
        <v>0</v>
      </c>
      <c r="BD79" s="18">
        <v>1</v>
      </c>
      <c r="BE79" s="18">
        <v>0</v>
      </c>
      <c r="BF79" s="18">
        <v>0</v>
      </c>
      <c r="BG79" s="18">
        <v>0</v>
      </c>
      <c r="BH79" s="150" t="s">
        <v>47</v>
      </c>
      <c r="BI79" s="18">
        <v>1</v>
      </c>
      <c r="BJ79" s="130"/>
      <c r="BK79" s="4" t="s">
        <v>96</v>
      </c>
      <c r="BL79" s="18">
        <v>2</v>
      </c>
      <c r="BM79" s="120"/>
      <c r="BN79" s="4" t="s">
        <v>64</v>
      </c>
      <c r="BO79" s="18">
        <v>1</v>
      </c>
      <c r="BP79" s="120"/>
      <c r="BQ79" s="18" t="s">
        <v>50</v>
      </c>
      <c r="BR79" s="18">
        <v>3</v>
      </c>
      <c r="BS79" s="120"/>
      <c r="BT79" s="4" t="s">
        <v>38</v>
      </c>
      <c r="BU79" s="18">
        <v>0</v>
      </c>
      <c r="BV79" s="120"/>
      <c r="BW79" s="4" t="s">
        <v>88</v>
      </c>
      <c r="BX79" s="18">
        <v>0</v>
      </c>
      <c r="BY79" s="120"/>
      <c r="BZ79" s="4" t="s">
        <v>119</v>
      </c>
      <c r="CA79" s="18">
        <v>3</v>
      </c>
      <c r="CB79" s="120"/>
      <c r="CC79" s="4" t="s">
        <v>36</v>
      </c>
      <c r="CD79" s="18">
        <v>1</v>
      </c>
      <c r="CE79" s="120"/>
      <c r="CF79" s="18" t="s">
        <v>77</v>
      </c>
      <c r="CG79" s="18">
        <v>3</v>
      </c>
      <c r="CH79" s="120"/>
      <c r="CI79" s="4" t="s">
        <v>53</v>
      </c>
      <c r="CJ79" s="34">
        <v>1</v>
      </c>
      <c r="CK79" s="34">
        <v>0</v>
      </c>
      <c r="CL79" s="34">
        <v>1</v>
      </c>
      <c r="CM79" s="34">
        <v>0</v>
      </c>
      <c r="CN79" s="5" t="s">
        <v>54</v>
      </c>
    </row>
    <row r="80" spans="1:92" ht="28" x14ac:dyDescent="0.15">
      <c r="A80" s="51">
        <v>45860.6765805787</v>
      </c>
      <c r="B80" s="3" t="s">
        <v>29</v>
      </c>
      <c r="C80" s="17">
        <v>3</v>
      </c>
      <c r="D80" s="116"/>
      <c r="E80" s="6" t="s">
        <v>90</v>
      </c>
      <c r="F80" s="17">
        <v>1</v>
      </c>
      <c r="G80" s="116"/>
      <c r="H80" s="6" t="s">
        <v>31</v>
      </c>
      <c r="I80" s="17">
        <v>2</v>
      </c>
      <c r="J80" s="116"/>
      <c r="K80" s="43" t="s">
        <v>116</v>
      </c>
      <c r="L80" s="17">
        <v>0</v>
      </c>
      <c r="M80" s="119"/>
      <c r="N80" s="1" t="s">
        <v>145</v>
      </c>
      <c r="O80" s="18">
        <v>1</v>
      </c>
      <c r="P80" s="117"/>
      <c r="Q80" s="1" t="s">
        <v>34</v>
      </c>
      <c r="R80" s="17">
        <v>1</v>
      </c>
      <c r="S80" s="119"/>
      <c r="T80" s="1" t="s">
        <v>57</v>
      </c>
      <c r="U80" s="17">
        <v>2</v>
      </c>
      <c r="V80" s="119"/>
      <c r="W80" s="1" t="s">
        <v>36</v>
      </c>
      <c r="X80" s="17">
        <v>2</v>
      </c>
      <c r="Y80" s="119"/>
      <c r="Z80" s="1" t="s">
        <v>37</v>
      </c>
      <c r="AA80" s="17">
        <v>2</v>
      </c>
      <c r="AB80" s="119"/>
      <c r="AC80" s="1" t="s">
        <v>59</v>
      </c>
      <c r="AD80" s="17">
        <v>4</v>
      </c>
      <c r="AE80" s="119"/>
      <c r="AF80" s="1" t="s">
        <v>93</v>
      </c>
      <c r="AG80" s="17">
        <v>3</v>
      </c>
      <c r="AH80" s="119"/>
      <c r="AI80" s="11" t="s">
        <v>94</v>
      </c>
      <c r="AJ80" s="25">
        <v>3</v>
      </c>
      <c r="AK80" s="127"/>
      <c r="AL80" s="1" t="s">
        <v>41</v>
      </c>
      <c r="AM80" s="17">
        <v>3</v>
      </c>
      <c r="AN80" s="119"/>
      <c r="AO80" s="1" t="s">
        <v>42</v>
      </c>
      <c r="AP80" s="17">
        <v>2</v>
      </c>
      <c r="AQ80" s="119"/>
      <c r="AR80" s="1" t="s">
        <v>104</v>
      </c>
      <c r="AS80" s="17">
        <v>3</v>
      </c>
      <c r="AT80" s="119"/>
      <c r="AU80" s="1" t="s">
        <v>79</v>
      </c>
      <c r="AV80" s="17">
        <v>2</v>
      </c>
      <c r="AW80" s="119"/>
      <c r="AX80" s="1" t="s">
        <v>80</v>
      </c>
      <c r="AY80" s="17">
        <v>3</v>
      </c>
      <c r="AZ80" s="119"/>
      <c r="BA80" s="1" t="s">
        <v>46</v>
      </c>
      <c r="BB80" s="17">
        <v>0</v>
      </c>
      <c r="BC80" s="17">
        <v>1</v>
      </c>
      <c r="BD80" s="17">
        <v>1</v>
      </c>
      <c r="BE80" s="17">
        <v>0</v>
      </c>
      <c r="BF80" s="17">
        <v>0</v>
      </c>
      <c r="BG80" s="17">
        <v>0</v>
      </c>
      <c r="BH80" s="149" t="s">
        <v>105</v>
      </c>
      <c r="BI80" s="17">
        <v>2</v>
      </c>
      <c r="BJ80" s="131"/>
      <c r="BK80" s="1" t="s">
        <v>48</v>
      </c>
      <c r="BL80" s="17">
        <v>3</v>
      </c>
      <c r="BM80" s="119"/>
      <c r="BN80" s="1" t="s">
        <v>49</v>
      </c>
      <c r="BO80" s="17">
        <v>2</v>
      </c>
      <c r="BP80" s="119"/>
      <c r="BQ80" s="17" t="s">
        <v>117</v>
      </c>
      <c r="BR80" s="17">
        <v>3</v>
      </c>
      <c r="BS80" s="119"/>
      <c r="BT80" s="1" t="s">
        <v>38</v>
      </c>
      <c r="BU80" s="17">
        <v>2</v>
      </c>
      <c r="BV80" s="119"/>
      <c r="BW80" s="1" t="s">
        <v>51</v>
      </c>
      <c r="BX80" s="17">
        <v>2</v>
      </c>
      <c r="BY80" s="119"/>
      <c r="BZ80" s="1" t="s">
        <v>97</v>
      </c>
      <c r="CA80" s="17">
        <v>3</v>
      </c>
      <c r="CB80" s="119"/>
      <c r="CC80" s="1" t="s">
        <v>36</v>
      </c>
      <c r="CD80" s="17">
        <v>1</v>
      </c>
      <c r="CE80" s="119"/>
      <c r="CF80" s="17" t="s">
        <v>77</v>
      </c>
      <c r="CG80" s="17">
        <v>3</v>
      </c>
      <c r="CH80" s="119"/>
      <c r="CI80" s="1" t="s">
        <v>159</v>
      </c>
      <c r="CJ80" s="33">
        <v>1</v>
      </c>
      <c r="CK80" s="33">
        <v>1</v>
      </c>
      <c r="CL80" s="33">
        <v>1</v>
      </c>
      <c r="CM80" s="33">
        <v>0</v>
      </c>
      <c r="CN80" s="2" t="s">
        <v>160</v>
      </c>
    </row>
    <row r="81" spans="1:92" ht="28" x14ac:dyDescent="0.15">
      <c r="A81" s="51">
        <v>45860.678458622686</v>
      </c>
      <c r="B81" s="3" t="s">
        <v>29</v>
      </c>
      <c r="C81" s="18">
        <v>4</v>
      </c>
      <c r="D81" s="117"/>
      <c r="E81" s="6" t="s">
        <v>127</v>
      </c>
      <c r="F81" s="18">
        <v>1</v>
      </c>
      <c r="G81" s="117"/>
      <c r="H81" s="6" t="s">
        <v>31</v>
      </c>
      <c r="I81" s="18">
        <v>3</v>
      </c>
      <c r="J81" s="117"/>
      <c r="K81" s="43" t="s">
        <v>56</v>
      </c>
      <c r="L81" s="18">
        <v>2</v>
      </c>
      <c r="M81" s="120"/>
      <c r="N81" s="4" t="s">
        <v>33</v>
      </c>
      <c r="O81" s="18">
        <v>1</v>
      </c>
      <c r="P81" s="120"/>
      <c r="Q81" s="4" t="s">
        <v>34</v>
      </c>
      <c r="R81" s="18">
        <v>1</v>
      </c>
      <c r="S81" s="120"/>
      <c r="T81" s="4" t="s">
        <v>57</v>
      </c>
      <c r="U81" s="18">
        <v>0</v>
      </c>
      <c r="V81" s="120"/>
      <c r="W81" s="4" t="s">
        <v>77</v>
      </c>
      <c r="X81" s="18">
        <v>1</v>
      </c>
      <c r="Y81" s="120"/>
      <c r="Z81" s="4" t="s">
        <v>58</v>
      </c>
      <c r="AA81" s="18">
        <v>2</v>
      </c>
      <c r="AB81" s="120"/>
      <c r="AC81" s="4" t="s">
        <v>59</v>
      </c>
      <c r="AD81" s="18">
        <v>3</v>
      </c>
      <c r="AE81" s="120"/>
      <c r="AF81" s="4" t="s">
        <v>60</v>
      </c>
      <c r="AG81" s="18">
        <v>3</v>
      </c>
      <c r="AH81" s="120"/>
      <c r="AI81" s="13" t="s">
        <v>94</v>
      </c>
      <c r="AJ81" s="24">
        <v>0</v>
      </c>
      <c r="AK81" s="126"/>
      <c r="AL81" s="4" t="s">
        <v>85</v>
      </c>
      <c r="AM81" s="18">
        <v>2</v>
      </c>
      <c r="AN81" s="120"/>
      <c r="AO81" s="4" t="s">
        <v>72</v>
      </c>
      <c r="AP81" s="18">
        <v>3</v>
      </c>
      <c r="AQ81" s="120"/>
      <c r="AR81" s="4" t="s">
        <v>61</v>
      </c>
      <c r="AS81" s="18">
        <v>2</v>
      </c>
      <c r="AT81" s="120"/>
      <c r="AU81" s="4" t="s">
        <v>44</v>
      </c>
      <c r="AV81" s="18">
        <v>0</v>
      </c>
      <c r="AW81" s="120"/>
      <c r="AX81" s="4" t="s">
        <v>73</v>
      </c>
      <c r="AY81" s="18">
        <v>1</v>
      </c>
      <c r="AZ81" s="120"/>
      <c r="BA81" s="4" t="s">
        <v>69</v>
      </c>
      <c r="BB81" s="18">
        <v>0</v>
      </c>
      <c r="BC81" s="18">
        <v>0</v>
      </c>
      <c r="BD81" s="18">
        <v>1</v>
      </c>
      <c r="BE81" s="18">
        <v>1</v>
      </c>
      <c r="BF81" s="18">
        <v>0</v>
      </c>
      <c r="BG81" s="18">
        <v>0</v>
      </c>
      <c r="BH81" s="150" t="s">
        <v>95</v>
      </c>
      <c r="BI81" s="18">
        <v>0</v>
      </c>
      <c r="BJ81" s="130"/>
      <c r="BK81" s="4" t="s">
        <v>75</v>
      </c>
      <c r="BL81" s="18">
        <v>1</v>
      </c>
      <c r="BM81" s="120"/>
      <c r="BN81" s="4" t="s">
        <v>59</v>
      </c>
      <c r="BO81" s="18">
        <v>1</v>
      </c>
      <c r="BP81" s="120"/>
      <c r="BQ81" s="18" t="s">
        <v>50</v>
      </c>
      <c r="BR81" s="18">
        <v>2</v>
      </c>
      <c r="BS81" s="120"/>
      <c r="BT81" s="4" t="s">
        <v>65</v>
      </c>
      <c r="BU81" s="18">
        <v>1</v>
      </c>
      <c r="BV81" s="120"/>
      <c r="BW81" s="4" t="s">
        <v>66</v>
      </c>
      <c r="BX81" s="18">
        <v>2</v>
      </c>
      <c r="BY81" s="120"/>
      <c r="BZ81" s="4" t="s">
        <v>97</v>
      </c>
      <c r="CA81" s="18">
        <v>3</v>
      </c>
      <c r="CB81" s="120"/>
      <c r="CC81" s="4" t="s">
        <v>36</v>
      </c>
      <c r="CD81" s="18">
        <v>0</v>
      </c>
      <c r="CE81" s="120"/>
      <c r="CF81" s="18" t="s">
        <v>49</v>
      </c>
      <c r="CG81" s="18">
        <v>1</v>
      </c>
      <c r="CH81" s="120"/>
      <c r="CI81" s="4" t="s">
        <v>77</v>
      </c>
      <c r="CJ81" s="34">
        <v>0</v>
      </c>
      <c r="CK81" s="34">
        <v>0</v>
      </c>
      <c r="CL81" s="34">
        <v>0</v>
      </c>
      <c r="CM81" s="34">
        <v>1</v>
      </c>
      <c r="CN81" s="5" t="s">
        <v>101</v>
      </c>
    </row>
    <row r="82" spans="1:92" ht="28" x14ac:dyDescent="0.15">
      <c r="A82" s="51">
        <v>45860.685361249998</v>
      </c>
      <c r="B82" s="3" t="s">
        <v>29</v>
      </c>
      <c r="C82" s="17">
        <v>4</v>
      </c>
      <c r="D82" s="116"/>
      <c r="E82" s="6" t="s">
        <v>127</v>
      </c>
      <c r="F82" s="17">
        <v>1</v>
      </c>
      <c r="G82" s="116"/>
      <c r="H82" s="6" t="s">
        <v>31</v>
      </c>
      <c r="I82" s="17">
        <v>1</v>
      </c>
      <c r="J82" s="116"/>
      <c r="K82" s="43" t="s">
        <v>32</v>
      </c>
      <c r="L82" s="17">
        <v>2</v>
      </c>
      <c r="M82" s="119"/>
      <c r="N82" s="1" t="s">
        <v>33</v>
      </c>
      <c r="O82" s="18">
        <v>1</v>
      </c>
      <c r="P82" s="117"/>
      <c r="Q82" s="1" t="s">
        <v>34</v>
      </c>
      <c r="R82" s="17">
        <v>1</v>
      </c>
      <c r="S82" s="119"/>
      <c r="T82" s="1" t="s">
        <v>57</v>
      </c>
      <c r="U82" s="17">
        <v>2</v>
      </c>
      <c r="V82" s="119"/>
      <c r="W82" s="1" t="s">
        <v>36</v>
      </c>
      <c r="X82" s="17">
        <v>1</v>
      </c>
      <c r="Y82" s="119"/>
      <c r="Z82" s="1" t="s">
        <v>58</v>
      </c>
      <c r="AA82" s="17">
        <v>3</v>
      </c>
      <c r="AB82" s="119"/>
      <c r="AC82" s="1" t="s">
        <v>38</v>
      </c>
      <c r="AD82" s="17">
        <v>0</v>
      </c>
      <c r="AE82" s="119"/>
      <c r="AF82" s="1" t="s">
        <v>70</v>
      </c>
      <c r="AG82" s="17">
        <v>0</v>
      </c>
      <c r="AH82" s="119"/>
      <c r="AI82" s="11" t="s">
        <v>84</v>
      </c>
      <c r="AJ82" s="25">
        <v>3</v>
      </c>
      <c r="AK82" s="127"/>
      <c r="AL82" s="1" t="s">
        <v>41</v>
      </c>
      <c r="AM82" s="17">
        <v>3</v>
      </c>
      <c r="AN82" s="119"/>
      <c r="AO82" s="1" t="s">
        <v>42</v>
      </c>
      <c r="AP82" s="17">
        <v>3</v>
      </c>
      <c r="AQ82" s="119"/>
      <c r="AR82" s="1" t="s">
        <v>61</v>
      </c>
      <c r="AS82" s="17">
        <v>2</v>
      </c>
      <c r="AT82" s="119"/>
      <c r="AU82" s="1" t="s">
        <v>44</v>
      </c>
      <c r="AV82" s="17">
        <v>0</v>
      </c>
      <c r="AW82" s="119"/>
      <c r="AX82" s="1" t="s">
        <v>73</v>
      </c>
      <c r="AY82" s="17">
        <v>3</v>
      </c>
      <c r="AZ82" s="119"/>
      <c r="BA82" s="1" t="s">
        <v>46</v>
      </c>
      <c r="BB82" s="17">
        <v>1</v>
      </c>
      <c r="BC82" s="17">
        <v>0</v>
      </c>
      <c r="BD82" s="17">
        <v>0</v>
      </c>
      <c r="BE82" s="17">
        <v>1</v>
      </c>
      <c r="BF82" s="17">
        <v>0</v>
      </c>
      <c r="BG82" s="17">
        <v>0</v>
      </c>
      <c r="BH82" s="149" t="s">
        <v>74</v>
      </c>
      <c r="BI82" s="17">
        <v>0</v>
      </c>
      <c r="BJ82" s="131"/>
      <c r="BK82" s="1" t="s">
        <v>75</v>
      </c>
      <c r="BL82" s="17">
        <v>2</v>
      </c>
      <c r="BM82" s="119"/>
      <c r="BN82" s="1" t="s">
        <v>64</v>
      </c>
      <c r="BO82" s="17">
        <v>1</v>
      </c>
      <c r="BP82" s="119"/>
      <c r="BQ82" s="17" t="s">
        <v>50</v>
      </c>
      <c r="BR82" s="17">
        <v>2</v>
      </c>
      <c r="BS82" s="119"/>
      <c r="BT82" s="1" t="s">
        <v>65</v>
      </c>
      <c r="BU82" s="17">
        <v>1</v>
      </c>
      <c r="BV82" s="119"/>
      <c r="BW82" s="1" t="s">
        <v>66</v>
      </c>
      <c r="BX82" s="17">
        <v>3</v>
      </c>
      <c r="BY82" s="119"/>
      <c r="BZ82" s="1" t="s">
        <v>52</v>
      </c>
      <c r="CA82" s="17">
        <v>2</v>
      </c>
      <c r="CB82" s="119"/>
      <c r="CC82" s="1" t="s">
        <v>76</v>
      </c>
      <c r="CD82" s="17">
        <v>1</v>
      </c>
      <c r="CE82" s="119"/>
      <c r="CF82" s="17" t="s">
        <v>77</v>
      </c>
      <c r="CG82" s="17">
        <v>0</v>
      </c>
      <c r="CH82" s="119"/>
      <c r="CI82" s="1" t="s">
        <v>89</v>
      </c>
      <c r="CJ82" s="33">
        <v>1</v>
      </c>
      <c r="CK82" s="33">
        <v>0</v>
      </c>
      <c r="CL82" s="33">
        <v>1</v>
      </c>
      <c r="CM82" s="33">
        <v>0</v>
      </c>
      <c r="CN82" s="2" t="s">
        <v>54</v>
      </c>
    </row>
    <row r="83" spans="1:92" ht="28" x14ac:dyDescent="0.15">
      <c r="A83" s="51">
        <v>45860.68796466435</v>
      </c>
      <c r="B83" s="3" t="s">
        <v>29</v>
      </c>
      <c r="C83" s="18">
        <v>4</v>
      </c>
      <c r="D83" s="117"/>
      <c r="E83" s="6" t="s">
        <v>127</v>
      </c>
      <c r="F83" s="18">
        <v>1</v>
      </c>
      <c r="G83" s="117"/>
      <c r="H83" s="6" t="s">
        <v>31</v>
      </c>
      <c r="I83" s="18">
        <v>2</v>
      </c>
      <c r="J83" s="117"/>
      <c r="K83" s="43" t="s">
        <v>116</v>
      </c>
      <c r="L83" s="18">
        <v>2</v>
      </c>
      <c r="M83" s="120"/>
      <c r="N83" s="4" t="s">
        <v>33</v>
      </c>
      <c r="O83" s="18">
        <v>1</v>
      </c>
      <c r="P83" s="120"/>
      <c r="Q83" s="4" t="s">
        <v>34</v>
      </c>
      <c r="R83" s="18">
        <v>1</v>
      </c>
      <c r="S83" s="120"/>
      <c r="T83" s="4" t="s">
        <v>57</v>
      </c>
      <c r="U83" s="18">
        <v>1</v>
      </c>
      <c r="V83" s="120"/>
      <c r="W83" s="4" t="s">
        <v>92</v>
      </c>
      <c r="X83" s="18">
        <v>1</v>
      </c>
      <c r="Y83" s="120"/>
      <c r="Z83" s="4" t="s">
        <v>58</v>
      </c>
      <c r="AA83" s="18">
        <v>2</v>
      </c>
      <c r="AB83" s="120"/>
      <c r="AC83" s="4" t="s">
        <v>59</v>
      </c>
      <c r="AD83" s="18">
        <v>2</v>
      </c>
      <c r="AE83" s="120"/>
      <c r="AF83" s="4" t="s">
        <v>83</v>
      </c>
      <c r="AG83" s="18">
        <v>3</v>
      </c>
      <c r="AH83" s="120"/>
      <c r="AI83" s="13" t="s">
        <v>94</v>
      </c>
      <c r="AJ83" s="24">
        <v>0</v>
      </c>
      <c r="AK83" s="126"/>
      <c r="AL83" s="4" t="s">
        <v>85</v>
      </c>
      <c r="AM83" s="18">
        <v>3</v>
      </c>
      <c r="AN83" s="120"/>
      <c r="AO83" s="4" t="s">
        <v>42</v>
      </c>
      <c r="AP83" s="18">
        <v>4</v>
      </c>
      <c r="AQ83" s="120"/>
      <c r="AR83" s="4" t="s">
        <v>43</v>
      </c>
      <c r="AS83" s="18">
        <v>2</v>
      </c>
      <c r="AT83" s="120"/>
      <c r="AU83" s="4" t="s">
        <v>44</v>
      </c>
      <c r="AV83" s="18">
        <v>0</v>
      </c>
      <c r="AW83" s="120"/>
      <c r="AX83" s="4" t="s">
        <v>73</v>
      </c>
      <c r="AY83" s="18">
        <v>1</v>
      </c>
      <c r="AZ83" s="120"/>
      <c r="BA83" s="4" t="s">
        <v>69</v>
      </c>
      <c r="BB83" s="18">
        <v>0</v>
      </c>
      <c r="BC83" s="18">
        <v>1</v>
      </c>
      <c r="BD83" s="18">
        <v>1</v>
      </c>
      <c r="BE83" s="18">
        <v>0</v>
      </c>
      <c r="BF83" s="18">
        <v>0</v>
      </c>
      <c r="BG83" s="18">
        <v>0</v>
      </c>
      <c r="BH83" s="150" t="s">
        <v>105</v>
      </c>
      <c r="BI83" s="18">
        <v>0</v>
      </c>
      <c r="BJ83" s="130"/>
      <c r="BK83" s="4" t="s">
        <v>75</v>
      </c>
      <c r="BL83" s="18">
        <v>3</v>
      </c>
      <c r="BM83" s="120"/>
      <c r="BN83" s="4" t="s">
        <v>49</v>
      </c>
      <c r="BO83" s="18">
        <v>1</v>
      </c>
      <c r="BP83" s="120"/>
      <c r="BQ83" s="18" t="s">
        <v>50</v>
      </c>
      <c r="BR83" s="18">
        <v>2</v>
      </c>
      <c r="BS83" s="120"/>
      <c r="BT83" s="4" t="s">
        <v>65</v>
      </c>
      <c r="BU83" s="18">
        <v>0</v>
      </c>
      <c r="BV83" s="120"/>
      <c r="BW83" s="4" t="s">
        <v>88</v>
      </c>
      <c r="BX83" s="18">
        <v>3</v>
      </c>
      <c r="BY83" s="120"/>
      <c r="BZ83" s="4" t="s">
        <v>161</v>
      </c>
      <c r="CA83" s="18">
        <v>2</v>
      </c>
      <c r="CB83" s="120"/>
      <c r="CC83" s="4" t="s">
        <v>76</v>
      </c>
      <c r="CD83" s="18">
        <v>0</v>
      </c>
      <c r="CE83" s="120"/>
      <c r="CF83" s="18" t="s">
        <v>49</v>
      </c>
      <c r="CG83" s="18">
        <v>3</v>
      </c>
      <c r="CH83" s="120"/>
      <c r="CI83" s="4" t="s">
        <v>53</v>
      </c>
      <c r="CJ83" s="34">
        <v>1</v>
      </c>
      <c r="CK83" s="34">
        <v>0</v>
      </c>
      <c r="CL83" s="34">
        <v>1</v>
      </c>
      <c r="CM83" s="34">
        <v>0</v>
      </c>
      <c r="CN83" s="5" t="s">
        <v>54</v>
      </c>
    </row>
    <row r="84" spans="1:92" ht="28" x14ac:dyDescent="0.15">
      <c r="A84" s="51">
        <v>45860.699897199069</v>
      </c>
      <c r="B84" s="3" t="s">
        <v>29</v>
      </c>
      <c r="C84" s="17">
        <v>4</v>
      </c>
      <c r="D84" s="116"/>
      <c r="E84" s="6" t="s">
        <v>127</v>
      </c>
      <c r="F84" s="17">
        <v>1</v>
      </c>
      <c r="G84" s="116"/>
      <c r="H84" s="6" t="s">
        <v>31</v>
      </c>
      <c r="I84" s="17">
        <v>3</v>
      </c>
      <c r="J84" s="116"/>
      <c r="K84" s="43" t="s">
        <v>56</v>
      </c>
      <c r="L84" s="17">
        <v>2</v>
      </c>
      <c r="M84" s="119"/>
      <c r="N84" s="1" t="s">
        <v>33</v>
      </c>
      <c r="O84" s="18">
        <v>1</v>
      </c>
      <c r="P84" s="117"/>
      <c r="Q84" s="1" t="s">
        <v>34</v>
      </c>
      <c r="R84" s="17">
        <v>2</v>
      </c>
      <c r="S84" s="119"/>
      <c r="T84" s="1" t="s">
        <v>35</v>
      </c>
      <c r="U84" s="17">
        <v>2</v>
      </c>
      <c r="V84" s="119"/>
      <c r="W84" s="1" t="s">
        <v>36</v>
      </c>
      <c r="X84" s="17">
        <v>2</v>
      </c>
      <c r="Y84" s="119"/>
      <c r="Z84" s="1" t="s">
        <v>37</v>
      </c>
      <c r="AA84" s="17">
        <v>3</v>
      </c>
      <c r="AB84" s="119"/>
      <c r="AC84" s="1" t="s">
        <v>38</v>
      </c>
      <c r="AD84" s="17">
        <v>0</v>
      </c>
      <c r="AE84" s="119"/>
      <c r="AF84" s="1" t="s">
        <v>70</v>
      </c>
      <c r="AG84" s="17">
        <v>3</v>
      </c>
      <c r="AH84" s="119"/>
      <c r="AI84" s="11" t="s">
        <v>94</v>
      </c>
      <c r="AJ84" s="25">
        <v>0</v>
      </c>
      <c r="AK84" s="127"/>
      <c r="AL84" s="1" t="s">
        <v>85</v>
      </c>
      <c r="AM84" s="17">
        <v>2</v>
      </c>
      <c r="AN84" s="119"/>
      <c r="AO84" s="1" t="s">
        <v>72</v>
      </c>
      <c r="AP84" s="17">
        <v>3</v>
      </c>
      <c r="AQ84" s="119"/>
      <c r="AR84" s="1" t="s">
        <v>99</v>
      </c>
      <c r="AS84" s="17">
        <v>0</v>
      </c>
      <c r="AT84" s="119"/>
      <c r="AU84" s="1" t="s">
        <v>102</v>
      </c>
      <c r="AV84" s="17">
        <v>1</v>
      </c>
      <c r="AW84" s="119"/>
      <c r="AX84" s="1" t="s">
        <v>45</v>
      </c>
      <c r="AY84" s="17">
        <v>3</v>
      </c>
      <c r="AZ84" s="119"/>
      <c r="BA84" s="1" t="s">
        <v>46</v>
      </c>
      <c r="BB84" s="17">
        <v>1</v>
      </c>
      <c r="BC84" s="17">
        <v>0</v>
      </c>
      <c r="BD84" s="17">
        <v>1</v>
      </c>
      <c r="BE84" s="17">
        <v>0</v>
      </c>
      <c r="BF84" s="17">
        <v>0</v>
      </c>
      <c r="BG84" s="17">
        <v>0</v>
      </c>
      <c r="BH84" s="149" t="s">
        <v>47</v>
      </c>
      <c r="BI84" s="17">
        <v>0</v>
      </c>
      <c r="BJ84" s="131"/>
      <c r="BK84" s="1" t="s">
        <v>75</v>
      </c>
      <c r="BL84" s="17">
        <v>3</v>
      </c>
      <c r="BM84" s="119"/>
      <c r="BN84" s="1" t="s">
        <v>49</v>
      </c>
      <c r="BO84" s="17">
        <v>0</v>
      </c>
      <c r="BP84" s="119"/>
      <c r="BQ84" s="17" t="s">
        <v>87</v>
      </c>
      <c r="BR84" s="17">
        <v>0</v>
      </c>
      <c r="BS84" s="119"/>
      <c r="BT84" s="1" t="s">
        <v>46</v>
      </c>
      <c r="BU84" s="17">
        <v>1</v>
      </c>
      <c r="BV84" s="119"/>
      <c r="BW84" s="1" t="s">
        <v>66</v>
      </c>
      <c r="BX84" s="17">
        <v>3</v>
      </c>
      <c r="BY84" s="119"/>
      <c r="BZ84" s="1" t="s">
        <v>52</v>
      </c>
      <c r="CA84" s="17">
        <v>3</v>
      </c>
      <c r="CB84" s="119"/>
      <c r="CC84" s="1" t="s">
        <v>36</v>
      </c>
      <c r="CD84" s="17">
        <v>0</v>
      </c>
      <c r="CE84" s="119"/>
      <c r="CF84" s="17" t="s">
        <v>49</v>
      </c>
      <c r="CG84" s="17">
        <v>0</v>
      </c>
      <c r="CH84" s="119"/>
      <c r="CI84" s="1" t="s">
        <v>89</v>
      </c>
      <c r="CJ84" s="33">
        <v>0</v>
      </c>
      <c r="CK84" s="33">
        <v>1</v>
      </c>
      <c r="CL84" s="33">
        <v>0</v>
      </c>
      <c r="CM84" s="33">
        <v>0</v>
      </c>
      <c r="CN84" s="2" t="s">
        <v>137</v>
      </c>
    </row>
    <row r="85" spans="1:92" ht="28" x14ac:dyDescent="0.15">
      <c r="A85" s="51">
        <v>45860.700908587962</v>
      </c>
      <c r="B85" s="3" t="s">
        <v>29</v>
      </c>
      <c r="C85" s="18">
        <v>5</v>
      </c>
      <c r="D85" s="117"/>
      <c r="E85" s="6" t="s">
        <v>30</v>
      </c>
      <c r="F85" s="18">
        <v>1</v>
      </c>
      <c r="G85" s="117"/>
      <c r="H85" s="6" t="s">
        <v>31</v>
      </c>
      <c r="I85" s="18">
        <v>1</v>
      </c>
      <c r="J85" s="117"/>
      <c r="K85" s="43" t="s">
        <v>32</v>
      </c>
      <c r="L85" s="18">
        <v>2</v>
      </c>
      <c r="M85" s="120"/>
      <c r="N85" s="4" t="s">
        <v>33</v>
      </c>
      <c r="O85" s="18">
        <v>1</v>
      </c>
      <c r="P85" s="120"/>
      <c r="Q85" s="4" t="s">
        <v>34</v>
      </c>
      <c r="R85" s="18">
        <v>1</v>
      </c>
      <c r="S85" s="120"/>
      <c r="T85" s="4" t="s">
        <v>57</v>
      </c>
      <c r="U85" s="18">
        <v>1</v>
      </c>
      <c r="V85" s="120"/>
      <c r="W85" s="4" t="s">
        <v>92</v>
      </c>
      <c r="X85" s="18">
        <v>1</v>
      </c>
      <c r="Y85" s="120"/>
      <c r="Z85" s="4" t="s">
        <v>58</v>
      </c>
      <c r="AA85" s="18">
        <v>2</v>
      </c>
      <c r="AB85" s="120"/>
      <c r="AC85" s="4" t="s">
        <v>59</v>
      </c>
      <c r="AD85" s="18">
        <v>0</v>
      </c>
      <c r="AE85" s="120"/>
      <c r="AF85" s="4" t="s">
        <v>70</v>
      </c>
      <c r="AG85" s="18">
        <v>2</v>
      </c>
      <c r="AH85" s="120"/>
      <c r="AI85" s="13" t="s">
        <v>40</v>
      </c>
      <c r="AJ85" s="24">
        <v>2</v>
      </c>
      <c r="AK85" s="126"/>
      <c r="AL85" s="4" t="s">
        <v>71</v>
      </c>
      <c r="AM85" s="18">
        <v>2</v>
      </c>
      <c r="AN85" s="120"/>
      <c r="AO85" s="4" t="s">
        <v>72</v>
      </c>
      <c r="AP85" s="18">
        <v>3</v>
      </c>
      <c r="AQ85" s="120"/>
      <c r="AR85" s="4" t="s">
        <v>61</v>
      </c>
      <c r="AS85" s="18">
        <v>2</v>
      </c>
      <c r="AT85" s="120"/>
      <c r="AU85" s="4" t="s">
        <v>44</v>
      </c>
      <c r="AV85" s="18">
        <v>1</v>
      </c>
      <c r="AW85" s="120"/>
      <c r="AX85" s="4" t="s">
        <v>45</v>
      </c>
      <c r="AY85" s="18">
        <v>2</v>
      </c>
      <c r="AZ85" s="120"/>
      <c r="BA85" s="4" t="s">
        <v>59</v>
      </c>
      <c r="BB85" s="18">
        <v>1</v>
      </c>
      <c r="BC85" s="18">
        <v>0</v>
      </c>
      <c r="BD85" s="18">
        <v>1</v>
      </c>
      <c r="BE85" s="18">
        <v>0</v>
      </c>
      <c r="BF85" s="18">
        <v>0</v>
      </c>
      <c r="BG85" s="18">
        <v>0</v>
      </c>
      <c r="BH85" s="150" t="s">
        <v>47</v>
      </c>
      <c r="BI85" s="18">
        <v>2</v>
      </c>
      <c r="BJ85" s="130"/>
      <c r="BK85" s="4" t="s">
        <v>48</v>
      </c>
      <c r="BL85" s="18">
        <v>1</v>
      </c>
      <c r="BM85" s="120"/>
      <c r="BN85" s="4" t="s">
        <v>59</v>
      </c>
      <c r="BO85" s="18">
        <v>1</v>
      </c>
      <c r="BP85" s="120"/>
      <c r="BQ85" s="18" t="s">
        <v>50</v>
      </c>
      <c r="BR85" s="18">
        <v>2</v>
      </c>
      <c r="BS85" s="120"/>
      <c r="BT85" s="4" t="s">
        <v>65</v>
      </c>
      <c r="BU85" s="18">
        <v>3</v>
      </c>
      <c r="BV85" s="120"/>
      <c r="BW85" s="4" t="s">
        <v>147</v>
      </c>
      <c r="BX85" s="18">
        <v>3</v>
      </c>
      <c r="BY85" s="120"/>
      <c r="BZ85" s="4" t="s">
        <v>52</v>
      </c>
      <c r="CA85" s="18">
        <v>2</v>
      </c>
      <c r="CB85" s="120"/>
      <c r="CC85" s="4" t="s">
        <v>76</v>
      </c>
      <c r="CD85" s="18">
        <v>1</v>
      </c>
      <c r="CE85" s="120"/>
      <c r="CF85" s="18" t="s">
        <v>77</v>
      </c>
      <c r="CG85" s="18">
        <v>3</v>
      </c>
      <c r="CH85" s="120"/>
      <c r="CI85" s="4" t="s">
        <v>53</v>
      </c>
      <c r="CJ85" s="34">
        <v>1</v>
      </c>
      <c r="CK85" s="34">
        <v>1</v>
      </c>
      <c r="CL85" s="34">
        <v>0</v>
      </c>
      <c r="CM85" s="34">
        <v>0</v>
      </c>
      <c r="CN85" s="5" t="s">
        <v>82</v>
      </c>
    </row>
    <row r="86" spans="1:92" ht="28" x14ac:dyDescent="0.15">
      <c r="A86" s="51">
        <v>45860.703074872683</v>
      </c>
      <c r="B86" s="3" t="s">
        <v>29</v>
      </c>
      <c r="C86" s="17">
        <v>2</v>
      </c>
      <c r="D86" s="116"/>
      <c r="E86" s="6" t="s">
        <v>55</v>
      </c>
      <c r="F86" s="17">
        <v>1</v>
      </c>
      <c r="G86" s="116"/>
      <c r="H86" s="6" t="s">
        <v>31</v>
      </c>
      <c r="I86" s="17">
        <v>2</v>
      </c>
      <c r="J86" s="116"/>
      <c r="K86" s="43" t="s">
        <v>116</v>
      </c>
      <c r="L86" s="17">
        <v>2</v>
      </c>
      <c r="M86" s="119"/>
      <c r="N86" s="1" t="s">
        <v>33</v>
      </c>
      <c r="O86" s="18">
        <v>1</v>
      </c>
      <c r="P86" s="117"/>
      <c r="Q86" s="1" t="s">
        <v>34</v>
      </c>
      <c r="R86" s="17">
        <v>2</v>
      </c>
      <c r="S86" s="119"/>
      <c r="T86" s="1" t="s">
        <v>35</v>
      </c>
      <c r="U86" s="17">
        <v>2</v>
      </c>
      <c r="V86" s="119"/>
      <c r="W86" s="1" t="s">
        <v>36</v>
      </c>
      <c r="X86" s="17">
        <v>1</v>
      </c>
      <c r="Y86" s="119"/>
      <c r="Z86" s="1" t="s">
        <v>58</v>
      </c>
      <c r="AA86" s="17">
        <v>2</v>
      </c>
      <c r="AB86" s="119"/>
      <c r="AC86" s="1" t="s">
        <v>59</v>
      </c>
      <c r="AD86" s="17">
        <v>2</v>
      </c>
      <c r="AE86" s="119"/>
      <c r="AF86" s="1" t="s">
        <v>83</v>
      </c>
      <c r="AG86" s="17">
        <v>3</v>
      </c>
      <c r="AH86" s="119"/>
      <c r="AI86" s="11" t="s">
        <v>94</v>
      </c>
      <c r="AJ86" s="25">
        <v>3</v>
      </c>
      <c r="AK86" s="127"/>
      <c r="AL86" s="1" t="s">
        <v>41</v>
      </c>
      <c r="AM86" s="17">
        <v>3</v>
      </c>
      <c r="AN86" s="119"/>
      <c r="AO86" s="1" t="s">
        <v>42</v>
      </c>
      <c r="AP86" s="17">
        <v>3</v>
      </c>
      <c r="AQ86" s="119"/>
      <c r="AR86" s="1" t="s">
        <v>61</v>
      </c>
      <c r="AS86" s="17">
        <v>2</v>
      </c>
      <c r="AT86" s="119"/>
      <c r="AU86" s="1" t="s">
        <v>44</v>
      </c>
      <c r="AV86" s="17">
        <v>2</v>
      </c>
      <c r="AW86" s="119"/>
      <c r="AX86" s="1" t="s">
        <v>80</v>
      </c>
      <c r="AY86" s="17">
        <v>2</v>
      </c>
      <c r="AZ86" s="119"/>
      <c r="BA86" s="1" t="s">
        <v>59</v>
      </c>
      <c r="BB86" s="17">
        <v>1</v>
      </c>
      <c r="BC86" s="17">
        <v>0</v>
      </c>
      <c r="BD86" s="17">
        <v>1</v>
      </c>
      <c r="BE86" s="17">
        <v>0</v>
      </c>
      <c r="BF86" s="17">
        <v>0</v>
      </c>
      <c r="BG86" s="17">
        <v>0</v>
      </c>
      <c r="BH86" s="149" t="s">
        <v>47</v>
      </c>
      <c r="BI86" s="17">
        <v>0</v>
      </c>
      <c r="BJ86" s="131"/>
      <c r="BK86" s="1" t="s">
        <v>75</v>
      </c>
      <c r="BL86" s="17">
        <v>3</v>
      </c>
      <c r="BM86" s="119"/>
      <c r="BN86" s="1" t="s">
        <v>49</v>
      </c>
      <c r="BO86" s="17">
        <v>1</v>
      </c>
      <c r="BP86" s="119"/>
      <c r="BQ86" s="17" t="s">
        <v>50</v>
      </c>
      <c r="BR86" s="17">
        <v>2</v>
      </c>
      <c r="BS86" s="119"/>
      <c r="BT86" s="1" t="s">
        <v>65</v>
      </c>
      <c r="BU86" s="17">
        <v>0</v>
      </c>
      <c r="BV86" s="119"/>
      <c r="BW86" s="1" t="s">
        <v>88</v>
      </c>
      <c r="BX86" s="17">
        <v>3</v>
      </c>
      <c r="BY86" s="119"/>
      <c r="BZ86" s="1" t="s">
        <v>52</v>
      </c>
      <c r="CA86" s="17">
        <v>0</v>
      </c>
      <c r="CB86" s="119"/>
      <c r="CC86" s="1" t="s">
        <v>49</v>
      </c>
      <c r="CD86" s="17">
        <v>0</v>
      </c>
      <c r="CE86" s="119"/>
      <c r="CF86" s="17" t="s">
        <v>49</v>
      </c>
      <c r="CG86" s="17">
        <v>3</v>
      </c>
      <c r="CH86" s="119"/>
      <c r="CI86" s="1" t="s">
        <v>53</v>
      </c>
      <c r="CJ86" s="33">
        <v>1</v>
      </c>
      <c r="CK86" s="33">
        <v>1</v>
      </c>
      <c r="CL86" s="33">
        <v>0</v>
      </c>
      <c r="CM86" s="33">
        <v>0</v>
      </c>
      <c r="CN86" s="2" t="s">
        <v>82</v>
      </c>
    </row>
    <row r="87" spans="1:92" ht="84" x14ac:dyDescent="0.15">
      <c r="A87" s="51">
        <v>45860.703268784724</v>
      </c>
      <c r="B87" s="3" t="s">
        <v>29</v>
      </c>
      <c r="C87" s="18">
        <v>3</v>
      </c>
      <c r="D87" s="117"/>
      <c r="E87" s="6" t="s">
        <v>90</v>
      </c>
      <c r="F87" s="18">
        <v>2</v>
      </c>
      <c r="G87" s="117"/>
      <c r="H87" s="6" t="s">
        <v>91</v>
      </c>
      <c r="I87" s="18">
        <v>3</v>
      </c>
      <c r="J87" s="117"/>
      <c r="K87" s="43" t="s">
        <v>56</v>
      </c>
      <c r="L87" s="18">
        <v>3</v>
      </c>
      <c r="M87" s="120"/>
      <c r="N87" s="4" t="s">
        <v>148</v>
      </c>
      <c r="O87" s="18">
        <v>1</v>
      </c>
      <c r="P87" s="120"/>
      <c r="Q87" s="4" t="s">
        <v>34</v>
      </c>
      <c r="R87" s="18">
        <v>2</v>
      </c>
      <c r="S87" s="120"/>
      <c r="T87" s="4" t="s">
        <v>35</v>
      </c>
      <c r="U87" s="18">
        <v>2</v>
      </c>
      <c r="V87" s="120"/>
      <c r="W87" s="4" t="s">
        <v>36</v>
      </c>
      <c r="X87" s="18">
        <v>2</v>
      </c>
      <c r="Y87" s="120"/>
      <c r="Z87" s="12" t="s">
        <v>162</v>
      </c>
      <c r="AA87" s="18">
        <v>3</v>
      </c>
      <c r="AB87" s="120"/>
      <c r="AC87" s="4" t="s">
        <v>38</v>
      </c>
      <c r="AD87" s="18">
        <v>0</v>
      </c>
      <c r="AE87" s="120"/>
      <c r="AF87" s="4" t="s">
        <v>70</v>
      </c>
      <c r="AG87" s="18">
        <v>2</v>
      </c>
      <c r="AH87" s="120"/>
      <c r="AI87" s="13" t="s">
        <v>40</v>
      </c>
      <c r="AJ87" s="24">
        <v>3</v>
      </c>
      <c r="AK87" s="126"/>
      <c r="AL87" s="4" t="s">
        <v>41</v>
      </c>
      <c r="AM87" s="18">
        <v>3</v>
      </c>
      <c r="AN87" s="120"/>
      <c r="AO87" s="4" t="s">
        <v>42</v>
      </c>
      <c r="AP87" s="18">
        <v>3</v>
      </c>
      <c r="AQ87" s="120"/>
      <c r="AR87" s="4" t="s">
        <v>61</v>
      </c>
      <c r="AS87" s="18">
        <v>2</v>
      </c>
      <c r="AT87" s="120"/>
      <c r="AU87" s="12" t="s">
        <v>163</v>
      </c>
      <c r="AV87" s="18">
        <v>0</v>
      </c>
      <c r="AW87" s="120"/>
      <c r="AX87" s="4" t="s">
        <v>62</v>
      </c>
      <c r="AY87" s="18">
        <v>0</v>
      </c>
      <c r="AZ87" s="120"/>
      <c r="BA87" s="4" t="s">
        <v>38</v>
      </c>
      <c r="BB87" s="18">
        <v>1</v>
      </c>
      <c r="BC87" s="18">
        <v>0</v>
      </c>
      <c r="BD87" s="18">
        <v>1</v>
      </c>
      <c r="BE87" s="18">
        <v>0</v>
      </c>
      <c r="BF87" s="18">
        <v>0</v>
      </c>
      <c r="BG87" s="18">
        <v>0</v>
      </c>
      <c r="BH87" s="150" t="s">
        <v>47</v>
      </c>
      <c r="BI87" s="18">
        <v>2</v>
      </c>
      <c r="BJ87" s="130"/>
      <c r="BK87" s="4" t="s">
        <v>164</v>
      </c>
      <c r="BL87" s="18">
        <v>0</v>
      </c>
      <c r="BM87" s="120"/>
      <c r="BN87" s="4" t="s">
        <v>36</v>
      </c>
      <c r="BO87" s="18">
        <v>0</v>
      </c>
      <c r="BP87" s="120"/>
      <c r="BQ87" s="18" t="s">
        <v>87</v>
      </c>
      <c r="BR87" s="18">
        <v>3</v>
      </c>
      <c r="BS87" s="120"/>
      <c r="BT87" s="4" t="s">
        <v>38</v>
      </c>
      <c r="BU87" s="18">
        <v>0</v>
      </c>
      <c r="BV87" s="120"/>
      <c r="BW87" s="4" t="s">
        <v>88</v>
      </c>
      <c r="BX87" s="18">
        <v>3</v>
      </c>
      <c r="BY87" s="120"/>
      <c r="BZ87" s="4" t="s">
        <v>52</v>
      </c>
      <c r="CA87" s="18">
        <v>1</v>
      </c>
      <c r="CB87" s="120"/>
      <c r="CC87" s="4" t="s">
        <v>77</v>
      </c>
      <c r="CD87" s="18">
        <v>0</v>
      </c>
      <c r="CE87" s="120"/>
      <c r="CF87" s="18" t="s">
        <v>49</v>
      </c>
      <c r="CG87" s="18">
        <v>1</v>
      </c>
      <c r="CH87" s="120"/>
      <c r="CI87" s="4" t="s">
        <v>77</v>
      </c>
      <c r="CJ87" s="34">
        <v>0</v>
      </c>
      <c r="CK87" s="34">
        <v>0</v>
      </c>
      <c r="CL87" s="34">
        <v>0</v>
      </c>
      <c r="CM87" s="34">
        <v>1</v>
      </c>
      <c r="CN87" s="5" t="s">
        <v>165</v>
      </c>
    </row>
    <row r="88" spans="1:92" ht="28" x14ac:dyDescent="0.15">
      <c r="A88" s="51">
        <v>45860.708826770831</v>
      </c>
      <c r="B88" s="3" t="s">
        <v>29</v>
      </c>
      <c r="C88" s="17">
        <v>3</v>
      </c>
      <c r="D88" s="116"/>
      <c r="E88" s="6" t="s">
        <v>90</v>
      </c>
      <c r="F88" s="17">
        <v>1</v>
      </c>
      <c r="G88" s="116"/>
      <c r="H88" s="6" t="s">
        <v>31</v>
      </c>
      <c r="I88" s="17">
        <v>3</v>
      </c>
      <c r="J88" s="116"/>
      <c r="K88" s="43" t="s">
        <v>56</v>
      </c>
      <c r="L88" s="17">
        <v>2</v>
      </c>
      <c r="M88" s="119"/>
      <c r="N88" s="1" t="s">
        <v>33</v>
      </c>
      <c r="O88" s="18">
        <v>1</v>
      </c>
      <c r="P88" s="117"/>
      <c r="Q88" s="1" t="s">
        <v>34</v>
      </c>
      <c r="R88" s="17">
        <v>1</v>
      </c>
      <c r="S88" s="119"/>
      <c r="T88" s="1" t="s">
        <v>57</v>
      </c>
      <c r="U88" s="17">
        <v>1</v>
      </c>
      <c r="V88" s="119"/>
      <c r="W88" s="1" t="s">
        <v>92</v>
      </c>
      <c r="X88" s="17">
        <v>1</v>
      </c>
      <c r="Y88" s="119"/>
      <c r="Z88" s="1" t="s">
        <v>58</v>
      </c>
      <c r="AA88" s="17">
        <v>1</v>
      </c>
      <c r="AB88" s="119"/>
      <c r="AC88" s="1" t="s">
        <v>69</v>
      </c>
      <c r="AD88" s="17">
        <v>2</v>
      </c>
      <c r="AE88" s="119"/>
      <c r="AF88" s="1" t="s">
        <v>83</v>
      </c>
      <c r="AG88" s="17">
        <v>3</v>
      </c>
      <c r="AH88" s="119"/>
      <c r="AI88" s="11" t="s">
        <v>94</v>
      </c>
      <c r="AJ88" s="25">
        <v>0</v>
      </c>
      <c r="AK88" s="127"/>
      <c r="AL88" s="1" t="s">
        <v>85</v>
      </c>
      <c r="AM88" s="17">
        <v>2</v>
      </c>
      <c r="AN88" s="119"/>
      <c r="AO88" s="1" t="s">
        <v>72</v>
      </c>
      <c r="AP88" s="17">
        <v>3</v>
      </c>
      <c r="AQ88" s="119"/>
      <c r="AR88" s="1" t="s">
        <v>61</v>
      </c>
      <c r="AS88" s="17">
        <v>2</v>
      </c>
      <c r="AT88" s="119"/>
      <c r="AU88" s="1" t="s">
        <v>44</v>
      </c>
      <c r="AV88" s="17">
        <v>0</v>
      </c>
      <c r="AW88" s="119"/>
      <c r="AX88" s="1" t="s">
        <v>62</v>
      </c>
      <c r="AY88" s="17">
        <v>1</v>
      </c>
      <c r="AZ88" s="119"/>
      <c r="BA88" s="1" t="s">
        <v>69</v>
      </c>
      <c r="BB88" s="17">
        <v>1</v>
      </c>
      <c r="BC88" s="17">
        <v>0</v>
      </c>
      <c r="BD88" s="17">
        <v>1</v>
      </c>
      <c r="BE88" s="17">
        <v>0</v>
      </c>
      <c r="BF88" s="17">
        <v>0</v>
      </c>
      <c r="BG88" s="17">
        <v>0</v>
      </c>
      <c r="BH88" s="149" t="s">
        <v>47</v>
      </c>
      <c r="BI88" s="17">
        <v>0</v>
      </c>
      <c r="BJ88" s="131"/>
      <c r="BK88" s="1" t="s">
        <v>75</v>
      </c>
      <c r="BL88" s="17">
        <v>1</v>
      </c>
      <c r="BM88" s="119"/>
      <c r="BN88" s="1" t="s">
        <v>59</v>
      </c>
      <c r="BO88" s="17">
        <v>1</v>
      </c>
      <c r="BP88" s="119"/>
      <c r="BQ88" s="17" t="s">
        <v>50</v>
      </c>
      <c r="BR88" s="17">
        <v>1</v>
      </c>
      <c r="BS88" s="119"/>
      <c r="BT88" s="1" t="s">
        <v>69</v>
      </c>
      <c r="BU88" s="17">
        <v>2</v>
      </c>
      <c r="BV88" s="119"/>
      <c r="BW88" s="1" t="s">
        <v>51</v>
      </c>
      <c r="BX88" s="17">
        <v>1</v>
      </c>
      <c r="BY88" s="119"/>
      <c r="BZ88" s="1" t="s">
        <v>67</v>
      </c>
      <c r="CA88" s="17">
        <v>3</v>
      </c>
      <c r="CB88" s="119"/>
      <c r="CC88" s="1" t="s">
        <v>36</v>
      </c>
      <c r="CD88" s="17">
        <v>1</v>
      </c>
      <c r="CE88" s="119"/>
      <c r="CF88" s="17" t="s">
        <v>77</v>
      </c>
      <c r="CG88" s="17">
        <v>1</v>
      </c>
      <c r="CH88" s="119"/>
      <c r="CI88" s="1" t="s">
        <v>77</v>
      </c>
      <c r="CJ88" s="33">
        <v>0</v>
      </c>
      <c r="CK88" s="33">
        <v>1</v>
      </c>
      <c r="CL88" s="33">
        <v>1</v>
      </c>
      <c r="CM88" s="33">
        <v>0</v>
      </c>
      <c r="CN88" s="2" t="s">
        <v>98</v>
      </c>
    </row>
    <row r="89" spans="1:92" ht="42" x14ac:dyDescent="0.15">
      <c r="A89" s="51">
        <v>45860.714209791666</v>
      </c>
      <c r="B89" s="3" t="s">
        <v>29</v>
      </c>
      <c r="C89" s="18">
        <v>2</v>
      </c>
      <c r="D89" s="117"/>
      <c r="E89" s="6" t="s">
        <v>55</v>
      </c>
      <c r="F89" s="18">
        <v>1</v>
      </c>
      <c r="G89" s="117"/>
      <c r="H89" s="6" t="s">
        <v>31</v>
      </c>
      <c r="I89" s="18">
        <v>3</v>
      </c>
      <c r="J89" s="117"/>
      <c r="K89" s="43" t="s">
        <v>56</v>
      </c>
      <c r="L89" s="18">
        <v>1</v>
      </c>
      <c r="M89" s="120"/>
      <c r="N89" s="4" t="s">
        <v>124</v>
      </c>
      <c r="O89" s="18">
        <v>1</v>
      </c>
      <c r="P89" s="120"/>
      <c r="Q89" s="4" t="s">
        <v>34</v>
      </c>
      <c r="R89" s="18">
        <v>1</v>
      </c>
      <c r="S89" s="120"/>
      <c r="T89" s="4" t="s">
        <v>57</v>
      </c>
      <c r="U89" s="18">
        <v>1</v>
      </c>
      <c r="V89" s="120"/>
      <c r="W89" s="4" t="s">
        <v>92</v>
      </c>
      <c r="X89" s="18">
        <v>0</v>
      </c>
      <c r="Y89" s="120"/>
      <c r="Z89" s="12" t="s">
        <v>166</v>
      </c>
      <c r="AA89" s="18">
        <v>0</v>
      </c>
      <c r="AB89" s="120"/>
      <c r="AC89" s="4" t="s">
        <v>46</v>
      </c>
      <c r="AD89" s="18">
        <v>1</v>
      </c>
      <c r="AE89" s="120"/>
      <c r="AF89" s="4" t="s">
        <v>39</v>
      </c>
      <c r="AG89" s="18">
        <v>0</v>
      </c>
      <c r="AH89" s="120"/>
      <c r="AI89" s="13" t="s">
        <v>84</v>
      </c>
      <c r="AJ89" s="24">
        <v>0</v>
      </c>
      <c r="AK89" s="126"/>
      <c r="AL89" s="4" t="s">
        <v>85</v>
      </c>
      <c r="AM89" s="18">
        <v>1</v>
      </c>
      <c r="AN89" s="120"/>
      <c r="AO89" s="4" t="s">
        <v>130</v>
      </c>
      <c r="AP89" s="18">
        <v>3</v>
      </c>
      <c r="AQ89" s="120"/>
      <c r="AR89" s="4" t="s">
        <v>61</v>
      </c>
      <c r="AS89" s="18">
        <v>0</v>
      </c>
      <c r="AT89" s="120"/>
      <c r="AU89" s="4" t="s">
        <v>102</v>
      </c>
      <c r="AV89" s="18">
        <v>0</v>
      </c>
      <c r="AW89" s="120"/>
      <c r="AX89" s="4" t="s">
        <v>62</v>
      </c>
      <c r="AY89" s="18">
        <v>1</v>
      </c>
      <c r="AZ89" s="120"/>
      <c r="BA89" s="4" t="s">
        <v>69</v>
      </c>
      <c r="BB89" s="18">
        <v>0</v>
      </c>
      <c r="BC89" s="18">
        <v>0</v>
      </c>
      <c r="BD89" s="18">
        <v>1</v>
      </c>
      <c r="BE89" s="18">
        <v>0</v>
      </c>
      <c r="BF89" s="18">
        <v>0</v>
      </c>
      <c r="BG89" s="18">
        <v>0</v>
      </c>
      <c r="BH89" s="150" t="s">
        <v>167</v>
      </c>
      <c r="BI89" s="18">
        <v>0</v>
      </c>
      <c r="BJ89" s="130"/>
      <c r="BK89" s="4" t="s">
        <v>75</v>
      </c>
      <c r="BL89" s="18">
        <v>0</v>
      </c>
      <c r="BM89" s="120"/>
      <c r="BN89" s="4" t="s">
        <v>36</v>
      </c>
      <c r="BO89" s="18">
        <v>0</v>
      </c>
      <c r="BP89" s="120"/>
      <c r="BQ89" s="18" t="s">
        <v>87</v>
      </c>
      <c r="BR89" s="18">
        <v>0</v>
      </c>
      <c r="BS89" s="120"/>
      <c r="BT89" s="4" t="s">
        <v>46</v>
      </c>
      <c r="BU89" s="18">
        <v>2</v>
      </c>
      <c r="BV89" s="120"/>
      <c r="BW89" s="4" t="s">
        <v>51</v>
      </c>
      <c r="BX89" s="18">
        <v>1</v>
      </c>
      <c r="BY89" s="120"/>
      <c r="BZ89" s="4" t="s">
        <v>67</v>
      </c>
      <c r="CA89" s="18">
        <v>0</v>
      </c>
      <c r="CB89" s="120"/>
      <c r="CC89" s="4" t="s">
        <v>49</v>
      </c>
      <c r="CD89" s="18">
        <v>0</v>
      </c>
      <c r="CE89" s="120"/>
      <c r="CF89" s="18" t="s">
        <v>49</v>
      </c>
      <c r="CG89" s="18">
        <v>3</v>
      </c>
      <c r="CH89" s="120"/>
      <c r="CI89" s="4" t="s">
        <v>53</v>
      </c>
      <c r="CJ89" s="34">
        <v>0</v>
      </c>
      <c r="CK89" s="34">
        <v>0</v>
      </c>
      <c r="CL89" s="34">
        <v>0</v>
      </c>
      <c r="CM89" s="34">
        <v>1</v>
      </c>
      <c r="CN89" s="5" t="s">
        <v>150</v>
      </c>
    </row>
    <row r="90" spans="1:92" ht="28" x14ac:dyDescent="0.15">
      <c r="A90" s="51">
        <v>45860.718271516205</v>
      </c>
      <c r="B90" s="3" t="s">
        <v>29</v>
      </c>
      <c r="C90" s="17">
        <v>4</v>
      </c>
      <c r="D90" s="116"/>
      <c r="E90" s="6" t="s">
        <v>127</v>
      </c>
      <c r="F90" s="17">
        <v>1</v>
      </c>
      <c r="G90" s="116"/>
      <c r="H90" s="6" t="s">
        <v>31</v>
      </c>
      <c r="I90" s="17">
        <v>1</v>
      </c>
      <c r="J90" s="116"/>
      <c r="K90" s="43" t="s">
        <v>32</v>
      </c>
      <c r="L90" s="17">
        <v>2</v>
      </c>
      <c r="M90" s="119"/>
      <c r="N90" s="1" t="s">
        <v>33</v>
      </c>
      <c r="O90" s="18">
        <v>1</v>
      </c>
      <c r="P90" s="117"/>
      <c r="Q90" s="1" t="s">
        <v>34</v>
      </c>
      <c r="R90" s="17">
        <v>2</v>
      </c>
      <c r="S90" s="119"/>
      <c r="T90" s="1" t="s">
        <v>35</v>
      </c>
      <c r="U90" s="17">
        <v>0</v>
      </c>
      <c r="V90" s="119"/>
      <c r="W90" s="1" t="s">
        <v>49</v>
      </c>
      <c r="X90" s="17">
        <v>2</v>
      </c>
      <c r="Y90" s="119"/>
      <c r="Z90" s="1" t="s">
        <v>37</v>
      </c>
      <c r="AA90" s="17">
        <v>2</v>
      </c>
      <c r="AB90" s="119"/>
      <c r="AC90" s="1" t="s">
        <v>59</v>
      </c>
      <c r="AD90" s="17">
        <v>1</v>
      </c>
      <c r="AE90" s="119"/>
      <c r="AF90" s="1" t="s">
        <v>39</v>
      </c>
      <c r="AG90" s="17">
        <v>3</v>
      </c>
      <c r="AH90" s="119"/>
      <c r="AI90" s="11" t="s">
        <v>94</v>
      </c>
      <c r="AJ90" s="25">
        <v>2</v>
      </c>
      <c r="AK90" s="127"/>
      <c r="AL90" s="1" t="s">
        <v>71</v>
      </c>
      <c r="AM90" s="17">
        <v>2</v>
      </c>
      <c r="AN90" s="119"/>
      <c r="AO90" s="1" t="s">
        <v>72</v>
      </c>
      <c r="AP90" s="17">
        <v>3</v>
      </c>
      <c r="AQ90" s="119"/>
      <c r="AR90" s="1" t="s">
        <v>61</v>
      </c>
      <c r="AS90" s="17">
        <v>2</v>
      </c>
      <c r="AT90" s="119"/>
      <c r="AU90" s="1" t="s">
        <v>44</v>
      </c>
      <c r="AV90" s="17">
        <v>2</v>
      </c>
      <c r="AW90" s="119"/>
      <c r="AX90" s="1" t="s">
        <v>80</v>
      </c>
      <c r="AY90" s="17">
        <v>3</v>
      </c>
      <c r="AZ90" s="119"/>
      <c r="BA90" s="1" t="s">
        <v>46</v>
      </c>
      <c r="BB90" s="17">
        <v>0</v>
      </c>
      <c r="BC90" s="17">
        <v>0</v>
      </c>
      <c r="BD90" s="17">
        <v>1</v>
      </c>
      <c r="BE90" s="17">
        <v>1</v>
      </c>
      <c r="BF90" s="17">
        <v>0</v>
      </c>
      <c r="BG90" s="17">
        <v>0</v>
      </c>
      <c r="BH90" s="149" t="s">
        <v>95</v>
      </c>
      <c r="BI90" s="17">
        <v>0</v>
      </c>
      <c r="BJ90" s="131"/>
      <c r="BK90" s="1" t="s">
        <v>75</v>
      </c>
      <c r="BL90" s="17">
        <v>2</v>
      </c>
      <c r="BM90" s="119"/>
      <c r="BN90" s="1" t="s">
        <v>64</v>
      </c>
      <c r="BO90" s="17">
        <v>1</v>
      </c>
      <c r="BP90" s="119"/>
      <c r="BQ90" s="17" t="s">
        <v>50</v>
      </c>
      <c r="BR90" s="17">
        <v>0</v>
      </c>
      <c r="BS90" s="119"/>
      <c r="BT90" s="1" t="s">
        <v>46</v>
      </c>
      <c r="BU90" s="17">
        <v>0</v>
      </c>
      <c r="BV90" s="119"/>
      <c r="BW90" s="1" t="s">
        <v>88</v>
      </c>
      <c r="BX90" s="17">
        <v>2</v>
      </c>
      <c r="BY90" s="119"/>
      <c r="BZ90" s="1" t="s">
        <v>97</v>
      </c>
      <c r="CA90" s="17">
        <v>2</v>
      </c>
      <c r="CB90" s="119"/>
      <c r="CC90" s="1" t="s">
        <v>76</v>
      </c>
      <c r="CD90" s="17">
        <v>0</v>
      </c>
      <c r="CE90" s="119"/>
      <c r="CF90" s="17" t="s">
        <v>49</v>
      </c>
      <c r="CG90" s="17">
        <v>0</v>
      </c>
      <c r="CH90" s="119"/>
      <c r="CI90" s="1" t="s">
        <v>89</v>
      </c>
      <c r="CJ90" s="33">
        <v>1</v>
      </c>
      <c r="CK90" s="33">
        <v>1</v>
      </c>
      <c r="CL90" s="33">
        <v>0</v>
      </c>
      <c r="CM90" s="33">
        <v>0</v>
      </c>
      <c r="CN90" s="2" t="s">
        <v>82</v>
      </c>
    </row>
    <row r="91" spans="1:92" ht="28" x14ac:dyDescent="0.15">
      <c r="A91" s="51">
        <v>45860.718767743056</v>
      </c>
      <c r="B91" s="3" t="s">
        <v>29</v>
      </c>
      <c r="C91" s="18">
        <v>3</v>
      </c>
      <c r="D91" s="117"/>
      <c r="E91" s="6" t="s">
        <v>90</v>
      </c>
      <c r="F91" s="18">
        <v>1</v>
      </c>
      <c r="G91" s="117"/>
      <c r="H91" s="6" t="s">
        <v>31</v>
      </c>
      <c r="I91" s="18">
        <v>1</v>
      </c>
      <c r="J91" s="117"/>
      <c r="K91" s="43" t="s">
        <v>32</v>
      </c>
      <c r="L91" s="18">
        <v>2</v>
      </c>
      <c r="M91" s="120"/>
      <c r="N91" s="4" t="s">
        <v>33</v>
      </c>
      <c r="O91" s="18">
        <v>1</v>
      </c>
      <c r="P91" s="120"/>
      <c r="Q91" s="4" t="s">
        <v>34</v>
      </c>
      <c r="R91" s="18">
        <v>1</v>
      </c>
      <c r="S91" s="120"/>
      <c r="T91" s="4" t="s">
        <v>57</v>
      </c>
      <c r="U91" s="18">
        <v>1</v>
      </c>
      <c r="V91" s="120"/>
      <c r="W91" s="4" t="s">
        <v>92</v>
      </c>
      <c r="X91" s="18">
        <v>1</v>
      </c>
      <c r="Y91" s="120"/>
      <c r="Z91" s="4" t="s">
        <v>58</v>
      </c>
      <c r="AA91" s="18">
        <v>0</v>
      </c>
      <c r="AB91" s="120"/>
      <c r="AC91" s="4" t="s">
        <v>46</v>
      </c>
      <c r="AD91" s="18">
        <v>2</v>
      </c>
      <c r="AE91" s="120"/>
      <c r="AF91" s="4" t="s">
        <v>83</v>
      </c>
      <c r="AG91" s="18">
        <v>0</v>
      </c>
      <c r="AH91" s="120"/>
      <c r="AI91" s="13" t="s">
        <v>84</v>
      </c>
      <c r="AJ91" s="24">
        <v>3</v>
      </c>
      <c r="AK91" s="126"/>
      <c r="AL91" s="4" t="s">
        <v>41</v>
      </c>
      <c r="AM91" s="18">
        <v>2</v>
      </c>
      <c r="AN91" s="120"/>
      <c r="AO91" s="4" t="s">
        <v>72</v>
      </c>
      <c r="AP91" s="18">
        <v>3</v>
      </c>
      <c r="AQ91" s="120"/>
      <c r="AR91" s="4" t="s">
        <v>61</v>
      </c>
      <c r="AS91" s="18">
        <v>2</v>
      </c>
      <c r="AT91" s="120"/>
      <c r="AU91" s="4" t="s">
        <v>44</v>
      </c>
      <c r="AV91" s="18">
        <v>0</v>
      </c>
      <c r="AW91" s="120"/>
      <c r="AX91" s="4" t="s">
        <v>73</v>
      </c>
      <c r="AY91" s="18">
        <v>2</v>
      </c>
      <c r="AZ91" s="120"/>
      <c r="BA91" s="4" t="s">
        <v>59</v>
      </c>
      <c r="BB91" s="18">
        <v>1</v>
      </c>
      <c r="BC91" s="18">
        <v>0</v>
      </c>
      <c r="BD91" s="18">
        <v>0</v>
      </c>
      <c r="BE91" s="18">
        <v>1</v>
      </c>
      <c r="BF91" s="18">
        <v>0</v>
      </c>
      <c r="BG91" s="18">
        <v>0</v>
      </c>
      <c r="BH91" s="150" t="s">
        <v>74</v>
      </c>
      <c r="BI91" s="18">
        <v>0</v>
      </c>
      <c r="BJ91" s="130"/>
      <c r="BK91" s="4" t="s">
        <v>75</v>
      </c>
      <c r="BL91" s="18">
        <v>2</v>
      </c>
      <c r="BM91" s="120"/>
      <c r="BN91" s="4" t="s">
        <v>64</v>
      </c>
      <c r="BO91" s="18">
        <v>1</v>
      </c>
      <c r="BP91" s="120"/>
      <c r="BQ91" s="18" t="s">
        <v>50</v>
      </c>
      <c r="BR91" s="18">
        <v>0</v>
      </c>
      <c r="BS91" s="120"/>
      <c r="BT91" s="4" t="s">
        <v>46</v>
      </c>
      <c r="BU91" s="18">
        <v>2</v>
      </c>
      <c r="BV91" s="120"/>
      <c r="BW91" s="4" t="s">
        <v>51</v>
      </c>
      <c r="BX91" s="18">
        <v>0</v>
      </c>
      <c r="BY91" s="120"/>
      <c r="BZ91" s="4" t="s">
        <v>119</v>
      </c>
      <c r="CA91" s="18">
        <v>0</v>
      </c>
      <c r="CB91" s="120"/>
      <c r="CC91" s="4" t="s">
        <v>49</v>
      </c>
      <c r="CD91" s="18">
        <v>0</v>
      </c>
      <c r="CE91" s="120"/>
      <c r="CF91" s="18" t="s">
        <v>49</v>
      </c>
      <c r="CG91" s="18">
        <v>2</v>
      </c>
      <c r="CH91" s="120"/>
      <c r="CI91" s="4" t="s">
        <v>78</v>
      </c>
      <c r="CJ91" s="34">
        <v>0</v>
      </c>
      <c r="CK91" s="34">
        <v>0</v>
      </c>
      <c r="CL91" s="34">
        <v>0</v>
      </c>
      <c r="CM91" s="34">
        <v>1</v>
      </c>
      <c r="CN91" s="5" t="s">
        <v>101</v>
      </c>
    </row>
    <row r="92" spans="1:92" ht="28" x14ac:dyDescent="0.15">
      <c r="A92" s="51">
        <v>45860.719541701386</v>
      </c>
      <c r="B92" s="3" t="s">
        <v>29</v>
      </c>
      <c r="C92" s="17">
        <v>4</v>
      </c>
      <c r="D92" s="116"/>
      <c r="E92" s="6" t="s">
        <v>127</v>
      </c>
      <c r="F92" s="17">
        <v>1</v>
      </c>
      <c r="G92" s="116"/>
      <c r="H92" s="6" t="s">
        <v>31</v>
      </c>
      <c r="I92" s="17">
        <v>3</v>
      </c>
      <c r="J92" s="116"/>
      <c r="K92" s="43" t="s">
        <v>56</v>
      </c>
      <c r="L92" s="17">
        <v>2</v>
      </c>
      <c r="M92" s="119"/>
      <c r="N92" s="1" t="s">
        <v>33</v>
      </c>
      <c r="O92" s="18">
        <v>1</v>
      </c>
      <c r="P92" s="117"/>
      <c r="Q92" s="1" t="s">
        <v>34</v>
      </c>
      <c r="R92" s="17">
        <v>1</v>
      </c>
      <c r="S92" s="119"/>
      <c r="T92" s="1" t="s">
        <v>57</v>
      </c>
      <c r="U92" s="17">
        <v>2</v>
      </c>
      <c r="V92" s="119"/>
      <c r="W92" s="1" t="s">
        <v>36</v>
      </c>
      <c r="X92" s="17">
        <v>1</v>
      </c>
      <c r="Y92" s="119"/>
      <c r="Z92" s="1" t="s">
        <v>58</v>
      </c>
      <c r="AA92" s="17">
        <v>2</v>
      </c>
      <c r="AB92" s="119"/>
      <c r="AC92" s="1" t="s">
        <v>59</v>
      </c>
      <c r="AD92" s="17">
        <v>0</v>
      </c>
      <c r="AE92" s="119"/>
      <c r="AF92" s="1" t="s">
        <v>70</v>
      </c>
      <c r="AG92" s="17">
        <v>3</v>
      </c>
      <c r="AH92" s="119"/>
      <c r="AI92" s="11" t="s">
        <v>94</v>
      </c>
      <c r="AJ92" s="25">
        <v>2</v>
      </c>
      <c r="AK92" s="127"/>
      <c r="AL92" s="1" t="s">
        <v>71</v>
      </c>
      <c r="AM92" s="17">
        <v>2</v>
      </c>
      <c r="AN92" s="119"/>
      <c r="AO92" s="1" t="s">
        <v>72</v>
      </c>
      <c r="AP92" s="17">
        <v>3</v>
      </c>
      <c r="AQ92" s="119"/>
      <c r="AR92" s="1" t="s">
        <v>61</v>
      </c>
      <c r="AS92" s="17">
        <v>2</v>
      </c>
      <c r="AT92" s="119"/>
      <c r="AU92" s="1" t="s">
        <v>44</v>
      </c>
      <c r="AV92" s="17">
        <v>0</v>
      </c>
      <c r="AW92" s="119"/>
      <c r="AX92" s="1" t="s">
        <v>73</v>
      </c>
      <c r="AY92" s="17">
        <v>1</v>
      </c>
      <c r="AZ92" s="119"/>
      <c r="BA92" s="1" t="s">
        <v>69</v>
      </c>
      <c r="BB92" s="17">
        <v>1</v>
      </c>
      <c r="BC92" s="17">
        <v>0</v>
      </c>
      <c r="BD92" s="17">
        <v>1</v>
      </c>
      <c r="BE92" s="17">
        <v>0</v>
      </c>
      <c r="BF92" s="17">
        <v>0</v>
      </c>
      <c r="BG92" s="17">
        <v>0</v>
      </c>
      <c r="BH92" s="149" t="s">
        <v>47</v>
      </c>
      <c r="BI92" s="17">
        <v>0</v>
      </c>
      <c r="BJ92" s="131"/>
      <c r="BK92" s="1" t="s">
        <v>75</v>
      </c>
      <c r="BL92" s="17">
        <v>2</v>
      </c>
      <c r="BM92" s="119"/>
      <c r="BN92" s="1" t="s">
        <v>64</v>
      </c>
      <c r="BO92" s="17">
        <v>1</v>
      </c>
      <c r="BP92" s="119"/>
      <c r="BQ92" s="17" t="s">
        <v>50</v>
      </c>
      <c r="BR92" s="17">
        <v>2</v>
      </c>
      <c r="BS92" s="119"/>
      <c r="BT92" s="1" t="s">
        <v>65</v>
      </c>
      <c r="BU92" s="17">
        <v>0</v>
      </c>
      <c r="BV92" s="119"/>
      <c r="BW92" s="1" t="s">
        <v>88</v>
      </c>
      <c r="BX92" s="17">
        <v>2</v>
      </c>
      <c r="BY92" s="119"/>
      <c r="BZ92" s="1" t="s">
        <v>97</v>
      </c>
      <c r="CA92" s="17">
        <v>2</v>
      </c>
      <c r="CB92" s="119"/>
      <c r="CC92" s="1" t="s">
        <v>76</v>
      </c>
      <c r="CD92" s="17">
        <v>1</v>
      </c>
      <c r="CE92" s="119"/>
      <c r="CF92" s="17" t="s">
        <v>77</v>
      </c>
      <c r="CG92" s="17">
        <v>3</v>
      </c>
      <c r="CH92" s="119"/>
      <c r="CI92" s="1" t="s">
        <v>53</v>
      </c>
      <c r="CJ92" s="33">
        <v>1</v>
      </c>
      <c r="CK92" s="33">
        <v>1</v>
      </c>
      <c r="CL92" s="33">
        <v>0</v>
      </c>
      <c r="CM92" s="33"/>
      <c r="CN92" s="2" t="s">
        <v>82</v>
      </c>
    </row>
    <row r="93" spans="1:92" ht="28" x14ac:dyDescent="0.15">
      <c r="A93" s="51">
        <v>45860.724641608795</v>
      </c>
      <c r="B93" s="3" t="s">
        <v>29</v>
      </c>
      <c r="C93" s="18">
        <v>2</v>
      </c>
      <c r="D93" s="117"/>
      <c r="E93" s="6" t="s">
        <v>55</v>
      </c>
      <c r="F93" s="18">
        <v>2</v>
      </c>
      <c r="G93" s="117"/>
      <c r="H93" s="6" t="s">
        <v>91</v>
      </c>
      <c r="I93" s="18">
        <v>1</v>
      </c>
      <c r="J93" s="117"/>
      <c r="K93" s="43" t="s">
        <v>32</v>
      </c>
      <c r="L93" s="18">
        <v>1</v>
      </c>
      <c r="M93" s="120"/>
      <c r="N93" s="4" t="s">
        <v>124</v>
      </c>
      <c r="O93" s="18">
        <v>1</v>
      </c>
      <c r="P93" s="120"/>
      <c r="Q93" s="4" t="s">
        <v>34</v>
      </c>
      <c r="R93" s="18">
        <v>2</v>
      </c>
      <c r="S93" s="120"/>
      <c r="T93" s="4" t="s">
        <v>35</v>
      </c>
      <c r="U93" s="18">
        <v>0</v>
      </c>
      <c r="V93" s="120"/>
      <c r="W93" s="4" t="s">
        <v>49</v>
      </c>
      <c r="X93" s="18">
        <v>0</v>
      </c>
      <c r="Y93" s="120"/>
      <c r="Z93" s="4" t="s">
        <v>108</v>
      </c>
      <c r="AA93" s="18">
        <v>0</v>
      </c>
      <c r="AB93" s="120"/>
      <c r="AC93" s="4" t="s">
        <v>46</v>
      </c>
      <c r="AD93" s="18">
        <v>2</v>
      </c>
      <c r="AE93" s="120"/>
      <c r="AF93" s="4" t="s">
        <v>83</v>
      </c>
      <c r="AG93" s="18">
        <v>0</v>
      </c>
      <c r="AH93" s="120"/>
      <c r="AI93" s="13" t="s">
        <v>84</v>
      </c>
      <c r="AJ93" s="24">
        <v>0</v>
      </c>
      <c r="AK93" s="126"/>
      <c r="AL93" s="4" t="s">
        <v>85</v>
      </c>
      <c r="AM93" s="18">
        <v>0</v>
      </c>
      <c r="AN93" s="120"/>
      <c r="AO93" s="4" t="s">
        <v>110</v>
      </c>
      <c r="AP93" s="18">
        <v>1</v>
      </c>
      <c r="AQ93" s="120"/>
      <c r="AR93" s="4" t="s">
        <v>168</v>
      </c>
      <c r="AS93" s="18">
        <v>0</v>
      </c>
      <c r="AT93" s="120"/>
      <c r="AU93" s="4" t="s">
        <v>102</v>
      </c>
      <c r="AV93" s="18">
        <v>0</v>
      </c>
      <c r="AW93" s="120"/>
      <c r="AX93" s="4" t="s">
        <v>62</v>
      </c>
      <c r="AY93" s="18">
        <v>0</v>
      </c>
      <c r="AZ93" s="120"/>
      <c r="BA93" s="4" t="s">
        <v>38</v>
      </c>
      <c r="BB93" s="18">
        <v>0</v>
      </c>
      <c r="BC93" s="18">
        <v>0</v>
      </c>
      <c r="BD93" s="18">
        <v>1</v>
      </c>
      <c r="BE93" s="18">
        <v>1</v>
      </c>
      <c r="BF93" s="18">
        <v>0</v>
      </c>
      <c r="BG93" s="18">
        <v>0</v>
      </c>
      <c r="BH93" s="150" t="s">
        <v>95</v>
      </c>
      <c r="BI93" s="18">
        <v>1</v>
      </c>
      <c r="BJ93" s="130"/>
      <c r="BK93" s="4" t="s">
        <v>96</v>
      </c>
      <c r="BL93" s="18">
        <v>0</v>
      </c>
      <c r="BM93" s="120"/>
      <c r="BN93" s="4" t="s">
        <v>36</v>
      </c>
      <c r="BO93" s="18">
        <v>0</v>
      </c>
      <c r="BP93" s="120"/>
      <c r="BQ93" s="18" t="s">
        <v>87</v>
      </c>
      <c r="BR93" s="18">
        <v>0</v>
      </c>
      <c r="BS93" s="120"/>
      <c r="BT93" s="4" t="s">
        <v>46</v>
      </c>
      <c r="BU93" s="18">
        <v>2</v>
      </c>
      <c r="BV93" s="120"/>
      <c r="BW93" s="4" t="s">
        <v>51</v>
      </c>
      <c r="BX93" s="18">
        <v>1</v>
      </c>
      <c r="BY93" s="120"/>
      <c r="BZ93" s="4" t="s">
        <v>67</v>
      </c>
      <c r="CA93" s="18">
        <v>0</v>
      </c>
      <c r="CB93" s="120"/>
      <c r="CC93" s="4" t="s">
        <v>49</v>
      </c>
      <c r="CD93" s="18">
        <v>0</v>
      </c>
      <c r="CE93" s="120"/>
      <c r="CF93" s="18" t="s">
        <v>49</v>
      </c>
      <c r="CG93" s="18">
        <v>2</v>
      </c>
      <c r="CH93" s="120"/>
      <c r="CI93" s="4" t="s">
        <v>78</v>
      </c>
      <c r="CJ93" s="34">
        <v>0</v>
      </c>
      <c r="CK93" s="34">
        <v>0</v>
      </c>
      <c r="CL93" s="34">
        <v>0</v>
      </c>
      <c r="CM93" s="34">
        <v>1</v>
      </c>
      <c r="CN93" s="5" t="s">
        <v>101</v>
      </c>
    </row>
    <row r="94" spans="1:92" ht="28" x14ac:dyDescent="0.15">
      <c r="A94" s="51">
        <v>45860.725649710643</v>
      </c>
      <c r="B94" s="3" t="s">
        <v>29</v>
      </c>
      <c r="C94" s="17">
        <v>3</v>
      </c>
      <c r="D94" s="116"/>
      <c r="E94" s="6" t="s">
        <v>90</v>
      </c>
      <c r="F94" s="17">
        <v>1</v>
      </c>
      <c r="G94" s="116"/>
      <c r="H94" s="6" t="s">
        <v>31</v>
      </c>
      <c r="I94" s="17">
        <v>1</v>
      </c>
      <c r="J94" s="116"/>
      <c r="K94" s="43" t="s">
        <v>32</v>
      </c>
      <c r="L94" s="17">
        <v>0</v>
      </c>
      <c r="M94" s="119"/>
      <c r="N94" s="1" t="s">
        <v>145</v>
      </c>
      <c r="O94" s="18">
        <v>1</v>
      </c>
      <c r="P94" s="117"/>
      <c r="Q94" s="1" t="s">
        <v>34</v>
      </c>
      <c r="R94" s="17">
        <v>1</v>
      </c>
      <c r="S94" s="119"/>
      <c r="T94" s="1" t="s">
        <v>57</v>
      </c>
      <c r="U94" s="17">
        <v>2</v>
      </c>
      <c r="V94" s="119"/>
      <c r="W94" s="1" t="s">
        <v>36</v>
      </c>
      <c r="X94" s="17">
        <v>2</v>
      </c>
      <c r="Y94" s="119"/>
      <c r="Z94" s="1" t="s">
        <v>37</v>
      </c>
      <c r="AA94" s="17">
        <v>3</v>
      </c>
      <c r="AB94" s="119"/>
      <c r="AC94" s="1" t="s">
        <v>38</v>
      </c>
      <c r="AD94" s="17">
        <v>1</v>
      </c>
      <c r="AE94" s="119"/>
      <c r="AF94" s="1" t="s">
        <v>39</v>
      </c>
      <c r="AG94" s="17">
        <v>2</v>
      </c>
      <c r="AH94" s="119"/>
      <c r="AI94" s="11" t="s">
        <v>40</v>
      </c>
      <c r="AJ94" s="25">
        <v>1</v>
      </c>
      <c r="AK94" s="127"/>
      <c r="AL94" s="1" t="s">
        <v>77</v>
      </c>
      <c r="AM94" s="17">
        <v>2</v>
      </c>
      <c r="AN94" s="119"/>
      <c r="AO94" s="1" t="s">
        <v>72</v>
      </c>
      <c r="AP94" s="17">
        <v>3</v>
      </c>
      <c r="AQ94" s="119"/>
      <c r="AR94" s="1" t="s">
        <v>61</v>
      </c>
      <c r="AS94" s="17">
        <v>2</v>
      </c>
      <c r="AT94" s="119"/>
      <c r="AU94" s="1" t="s">
        <v>44</v>
      </c>
      <c r="AV94" s="17">
        <v>1</v>
      </c>
      <c r="AW94" s="119"/>
      <c r="AX94" s="1" t="s">
        <v>45</v>
      </c>
      <c r="AY94" s="17">
        <v>3</v>
      </c>
      <c r="AZ94" s="119"/>
      <c r="BA94" s="1" t="s">
        <v>46</v>
      </c>
      <c r="BB94" s="17">
        <v>1</v>
      </c>
      <c r="BC94" s="17">
        <v>1</v>
      </c>
      <c r="BD94" s="17">
        <v>0</v>
      </c>
      <c r="BE94" s="17">
        <v>0</v>
      </c>
      <c r="BF94" s="17">
        <v>0</v>
      </c>
      <c r="BG94" s="17">
        <v>0</v>
      </c>
      <c r="BH94" s="149" t="s">
        <v>81</v>
      </c>
      <c r="BI94" s="17">
        <v>0</v>
      </c>
      <c r="BJ94" s="131"/>
      <c r="BK94" s="1" t="s">
        <v>75</v>
      </c>
      <c r="BL94" s="17">
        <v>3</v>
      </c>
      <c r="BM94" s="119"/>
      <c r="BN94" s="1" t="s">
        <v>49</v>
      </c>
      <c r="BO94" s="17">
        <v>1</v>
      </c>
      <c r="BP94" s="119"/>
      <c r="BQ94" s="17" t="s">
        <v>50</v>
      </c>
      <c r="BR94" s="17">
        <v>2</v>
      </c>
      <c r="BS94" s="119"/>
      <c r="BT94" s="1" t="s">
        <v>65</v>
      </c>
      <c r="BU94" s="17">
        <v>0</v>
      </c>
      <c r="BV94" s="119"/>
      <c r="BW94" s="1" t="s">
        <v>88</v>
      </c>
      <c r="BX94" s="17">
        <v>3</v>
      </c>
      <c r="BY94" s="119"/>
      <c r="BZ94" s="1" t="s">
        <v>52</v>
      </c>
      <c r="CA94" s="17">
        <v>3</v>
      </c>
      <c r="CB94" s="119"/>
      <c r="CC94" s="1" t="s">
        <v>36</v>
      </c>
      <c r="CD94" s="17">
        <v>1</v>
      </c>
      <c r="CE94" s="119"/>
      <c r="CF94" s="17" t="s">
        <v>77</v>
      </c>
      <c r="CG94" s="17">
        <v>1</v>
      </c>
      <c r="CH94" s="119"/>
      <c r="CI94" s="1" t="s">
        <v>77</v>
      </c>
      <c r="CJ94" s="33">
        <v>0</v>
      </c>
      <c r="CK94" s="33">
        <v>1</v>
      </c>
      <c r="CL94" s="33">
        <v>1</v>
      </c>
      <c r="CM94" s="33">
        <v>0</v>
      </c>
      <c r="CN94" s="2" t="s">
        <v>98</v>
      </c>
    </row>
    <row r="95" spans="1:92" ht="28" x14ac:dyDescent="0.15">
      <c r="A95" s="51">
        <v>45860.729253645834</v>
      </c>
      <c r="B95" s="3" t="s">
        <v>29</v>
      </c>
      <c r="C95" s="18">
        <v>2</v>
      </c>
      <c r="D95" s="117"/>
      <c r="E95" s="6" t="s">
        <v>55</v>
      </c>
      <c r="F95" s="18">
        <v>1</v>
      </c>
      <c r="G95" s="117"/>
      <c r="H95" s="6" t="s">
        <v>31</v>
      </c>
      <c r="I95" s="18">
        <v>2</v>
      </c>
      <c r="J95" s="117"/>
      <c r="K95" s="43" t="s">
        <v>116</v>
      </c>
      <c r="L95" s="18">
        <v>0</v>
      </c>
      <c r="M95" s="120"/>
      <c r="N95" s="4" t="s">
        <v>145</v>
      </c>
      <c r="O95" s="18">
        <v>1</v>
      </c>
      <c r="P95" s="120"/>
      <c r="Q95" s="4" t="s">
        <v>34</v>
      </c>
      <c r="R95" s="18">
        <v>1</v>
      </c>
      <c r="S95" s="120"/>
      <c r="T95" s="4" t="s">
        <v>57</v>
      </c>
      <c r="U95" s="18">
        <v>1</v>
      </c>
      <c r="V95" s="120"/>
      <c r="W95" s="4" t="s">
        <v>92</v>
      </c>
      <c r="X95" s="18">
        <v>1</v>
      </c>
      <c r="Y95" s="120"/>
      <c r="Z95" s="4" t="s">
        <v>58</v>
      </c>
      <c r="AA95" s="18">
        <v>2</v>
      </c>
      <c r="AB95" s="120"/>
      <c r="AC95" s="4" t="s">
        <v>59</v>
      </c>
      <c r="AD95" s="18">
        <v>2</v>
      </c>
      <c r="AE95" s="120"/>
      <c r="AF95" s="4" t="s">
        <v>83</v>
      </c>
      <c r="AG95" s="18">
        <v>3</v>
      </c>
      <c r="AH95" s="120"/>
      <c r="AI95" s="13" t="s">
        <v>94</v>
      </c>
      <c r="AJ95" s="24">
        <v>2</v>
      </c>
      <c r="AK95" s="126"/>
      <c r="AL95" s="4" t="s">
        <v>71</v>
      </c>
      <c r="AM95" s="18">
        <v>3</v>
      </c>
      <c r="AN95" s="120"/>
      <c r="AO95" s="4" t="s">
        <v>42</v>
      </c>
      <c r="AP95" s="18">
        <v>4</v>
      </c>
      <c r="AQ95" s="120"/>
      <c r="AR95" s="4" t="s">
        <v>43</v>
      </c>
      <c r="AS95" s="18">
        <v>2</v>
      </c>
      <c r="AT95" s="120"/>
      <c r="AU95" s="4" t="s">
        <v>44</v>
      </c>
      <c r="AV95" s="18">
        <v>1</v>
      </c>
      <c r="AW95" s="120"/>
      <c r="AX95" s="4" t="s">
        <v>45</v>
      </c>
      <c r="AY95" s="18">
        <v>3</v>
      </c>
      <c r="AZ95" s="120"/>
      <c r="BA95" s="4" t="s">
        <v>46</v>
      </c>
      <c r="BB95" s="18">
        <v>1</v>
      </c>
      <c r="BC95" s="18">
        <v>0</v>
      </c>
      <c r="BD95" s="18">
        <v>1</v>
      </c>
      <c r="BE95" s="18">
        <v>0</v>
      </c>
      <c r="BF95" s="18">
        <v>0</v>
      </c>
      <c r="BG95" s="18">
        <v>0</v>
      </c>
      <c r="BH95" s="150" t="s">
        <v>47</v>
      </c>
      <c r="BI95" s="18">
        <v>0</v>
      </c>
      <c r="BJ95" s="130"/>
      <c r="BK95" s="4" t="s">
        <v>75</v>
      </c>
      <c r="BL95" s="18">
        <v>1</v>
      </c>
      <c r="BM95" s="120"/>
      <c r="BN95" s="4" t="s">
        <v>59</v>
      </c>
      <c r="BO95" s="18">
        <v>1</v>
      </c>
      <c r="BP95" s="120"/>
      <c r="BQ95" s="18" t="s">
        <v>50</v>
      </c>
      <c r="BR95" s="18">
        <v>1</v>
      </c>
      <c r="BS95" s="120"/>
      <c r="BT95" s="4" t="s">
        <v>69</v>
      </c>
      <c r="BU95" s="18">
        <v>0</v>
      </c>
      <c r="BV95" s="120"/>
      <c r="BW95" s="4" t="s">
        <v>88</v>
      </c>
      <c r="BX95" s="18">
        <v>2</v>
      </c>
      <c r="BY95" s="120"/>
      <c r="BZ95" s="4" t="s">
        <v>97</v>
      </c>
      <c r="CA95" s="18">
        <v>2</v>
      </c>
      <c r="CB95" s="120"/>
      <c r="CC95" s="4" t="s">
        <v>76</v>
      </c>
      <c r="CD95" s="18">
        <v>1</v>
      </c>
      <c r="CE95" s="120"/>
      <c r="CF95" s="18" t="s">
        <v>77</v>
      </c>
      <c r="CG95" s="18">
        <v>1</v>
      </c>
      <c r="CH95" s="120"/>
      <c r="CI95" s="4" t="s">
        <v>77</v>
      </c>
      <c r="CJ95" s="34">
        <v>1</v>
      </c>
      <c r="CK95" s="34">
        <v>0</v>
      </c>
      <c r="CL95" s="34">
        <v>1</v>
      </c>
      <c r="CM95" s="34">
        <v>0</v>
      </c>
      <c r="CN95" s="5" t="s">
        <v>54</v>
      </c>
    </row>
    <row r="96" spans="1:92" ht="28" x14ac:dyDescent="0.15">
      <c r="A96" s="51">
        <v>45860.738698275462</v>
      </c>
      <c r="B96" s="3" t="s">
        <v>29</v>
      </c>
      <c r="C96" s="17">
        <v>3</v>
      </c>
      <c r="D96" s="116"/>
      <c r="E96" s="6" t="s">
        <v>90</v>
      </c>
      <c r="F96" s="17">
        <v>1</v>
      </c>
      <c r="G96" s="116"/>
      <c r="H96" s="6" t="s">
        <v>31</v>
      </c>
      <c r="I96" s="17">
        <v>3</v>
      </c>
      <c r="J96" s="116"/>
      <c r="K96" s="43" t="s">
        <v>56</v>
      </c>
      <c r="L96" s="17">
        <v>0</v>
      </c>
      <c r="M96" s="119"/>
      <c r="N96" s="1" t="s">
        <v>145</v>
      </c>
      <c r="O96" s="18">
        <v>1</v>
      </c>
      <c r="P96" s="117"/>
      <c r="Q96" s="1" t="s">
        <v>34</v>
      </c>
      <c r="R96" s="17">
        <v>1</v>
      </c>
      <c r="S96" s="119"/>
      <c r="T96" s="1" t="s">
        <v>57</v>
      </c>
      <c r="U96" s="17">
        <v>1</v>
      </c>
      <c r="V96" s="119"/>
      <c r="W96" s="1" t="s">
        <v>92</v>
      </c>
      <c r="X96" s="17">
        <v>1</v>
      </c>
      <c r="Y96" s="119"/>
      <c r="Z96" s="1" t="s">
        <v>58</v>
      </c>
      <c r="AA96" s="17">
        <v>2</v>
      </c>
      <c r="AB96" s="119"/>
      <c r="AC96" s="1" t="s">
        <v>59</v>
      </c>
      <c r="AD96" s="17">
        <v>0</v>
      </c>
      <c r="AE96" s="119"/>
      <c r="AF96" s="1" t="s">
        <v>70</v>
      </c>
      <c r="AG96" s="17">
        <v>2</v>
      </c>
      <c r="AH96" s="119"/>
      <c r="AI96" s="11" t="s">
        <v>40</v>
      </c>
      <c r="AJ96" s="25">
        <v>3</v>
      </c>
      <c r="AK96" s="127"/>
      <c r="AL96" s="1" t="s">
        <v>41</v>
      </c>
      <c r="AM96" s="17">
        <v>2</v>
      </c>
      <c r="AN96" s="119"/>
      <c r="AO96" s="1" t="s">
        <v>72</v>
      </c>
      <c r="AP96" s="17">
        <v>3</v>
      </c>
      <c r="AQ96" s="119"/>
      <c r="AR96" s="1" t="s">
        <v>61</v>
      </c>
      <c r="AS96" s="17">
        <v>3</v>
      </c>
      <c r="AT96" s="119"/>
      <c r="AU96" s="1" t="s">
        <v>79</v>
      </c>
      <c r="AV96" s="17">
        <v>0</v>
      </c>
      <c r="AW96" s="119"/>
      <c r="AX96" s="1" t="s">
        <v>62</v>
      </c>
      <c r="AY96" s="17">
        <v>2</v>
      </c>
      <c r="AZ96" s="119"/>
      <c r="BA96" s="1" t="s">
        <v>59</v>
      </c>
      <c r="BB96" s="17">
        <v>1</v>
      </c>
      <c r="BC96" s="17">
        <v>0</v>
      </c>
      <c r="BD96" s="17">
        <v>1</v>
      </c>
      <c r="BE96" s="17">
        <v>0</v>
      </c>
      <c r="BF96" s="17">
        <v>0</v>
      </c>
      <c r="BG96" s="17">
        <v>0</v>
      </c>
      <c r="BH96" s="149" t="s">
        <v>47</v>
      </c>
      <c r="BI96" s="17">
        <v>0</v>
      </c>
      <c r="BJ96" s="131"/>
      <c r="BK96" s="1" t="s">
        <v>75</v>
      </c>
      <c r="BL96" s="17">
        <v>1</v>
      </c>
      <c r="BM96" s="119"/>
      <c r="BN96" s="1" t="s">
        <v>59</v>
      </c>
      <c r="BO96" s="20">
        <v>3</v>
      </c>
      <c r="BP96" s="131"/>
      <c r="BQ96" s="20" t="s">
        <v>169</v>
      </c>
      <c r="BR96" s="20">
        <v>1</v>
      </c>
      <c r="BS96" s="131"/>
      <c r="BT96" s="1" t="s">
        <v>69</v>
      </c>
      <c r="BU96" s="17">
        <v>2</v>
      </c>
      <c r="BV96" s="119"/>
      <c r="BW96" s="1" t="s">
        <v>51</v>
      </c>
      <c r="BX96" s="17">
        <v>1</v>
      </c>
      <c r="BY96" s="119"/>
      <c r="BZ96" s="1" t="s">
        <v>67</v>
      </c>
      <c r="CA96" s="17">
        <v>2</v>
      </c>
      <c r="CB96" s="119"/>
      <c r="CC96" s="1" t="s">
        <v>76</v>
      </c>
      <c r="CD96" s="17">
        <v>0</v>
      </c>
      <c r="CE96" s="119"/>
      <c r="CF96" s="17" t="s">
        <v>49</v>
      </c>
      <c r="CG96" s="17">
        <v>2</v>
      </c>
      <c r="CH96" s="119"/>
      <c r="CI96" s="1" t="s">
        <v>78</v>
      </c>
      <c r="CJ96" s="33">
        <v>0</v>
      </c>
      <c r="CK96" s="33">
        <v>0</v>
      </c>
      <c r="CL96" s="33">
        <v>1</v>
      </c>
      <c r="CM96" s="33">
        <v>0</v>
      </c>
      <c r="CN96" s="2" t="s">
        <v>120</v>
      </c>
    </row>
    <row r="97" spans="1:92" ht="28" x14ac:dyDescent="0.15">
      <c r="A97" s="51">
        <v>45860.752756192131</v>
      </c>
      <c r="B97" s="3" t="s">
        <v>29</v>
      </c>
      <c r="C97" s="18">
        <v>3</v>
      </c>
      <c r="D97" s="117"/>
      <c r="E97" s="6" t="s">
        <v>90</v>
      </c>
      <c r="F97" s="18">
        <v>1</v>
      </c>
      <c r="G97" s="117"/>
      <c r="H97" s="6" t="s">
        <v>31</v>
      </c>
      <c r="I97" s="18">
        <v>4</v>
      </c>
      <c r="J97" s="117"/>
      <c r="K97" s="43" t="s">
        <v>118</v>
      </c>
      <c r="L97" s="18">
        <v>1</v>
      </c>
      <c r="M97" s="120"/>
      <c r="N97" s="4" t="s">
        <v>124</v>
      </c>
      <c r="O97" s="18">
        <v>1</v>
      </c>
      <c r="P97" s="120"/>
      <c r="Q97" s="4" t="s">
        <v>34</v>
      </c>
      <c r="R97" s="18">
        <v>2</v>
      </c>
      <c r="S97" s="120"/>
      <c r="T97" s="4" t="s">
        <v>35</v>
      </c>
      <c r="U97" s="18">
        <v>2</v>
      </c>
      <c r="V97" s="120"/>
      <c r="W97" s="4" t="s">
        <v>36</v>
      </c>
      <c r="X97" s="18">
        <v>1</v>
      </c>
      <c r="Y97" s="120"/>
      <c r="Z97" s="4" t="s">
        <v>58</v>
      </c>
      <c r="AA97" s="18">
        <v>3</v>
      </c>
      <c r="AB97" s="120"/>
      <c r="AC97" s="4" t="s">
        <v>38</v>
      </c>
      <c r="AD97" s="18">
        <v>0</v>
      </c>
      <c r="AE97" s="120"/>
      <c r="AF97" s="4" t="s">
        <v>70</v>
      </c>
      <c r="AG97" s="18">
        <v>2</v>
      </c>
      <c r="AH97" s="120"/>
      <c r="AI97" s="13" t="s">
        <v>40</v>
      </c>
      <c r="AJ97" s="24">
        <v>3</v>
      </c>
      <c r="AK97" s="126"/>
      <c r="AL97" s="4" t="s">
        <v>41</v>
      </c>
      <c r="AM97" s="18">
        <v>3</v>
      </c>
      <c r="AN97" s="120"/>
      <c r="AO97" s="4" t="s">
        <v>42</v>
      </c>
      <c r="AP97" s="18">
        <v>3</v>
      </c>
      <c r="AQ97" s="120"/>
      <c r="AR97" s="4" t="s">
        <v>61</v>
      </c>
      <c r="AS97" s="18">
        <v>3</v>
      </c>
      <c r="AT97" s="120"/>
      <c r="AU97" s="4" t="s">
        <v>79</v>
      </c>
      <c r="AV97" s="18">
        <v>2</v>
      </c>
      <c r="AW97" s="120"/>
      <c r="AX97" s="4" t="s">
        <v>80</v>
      </c>
      <c r="AY97" s="18">
        <v>1</v>
      </c>
      <c r="AZ97" s="120"/>
      <c r="BA97" s="4" t="s">
        <v>69</v>
      </c>
      <c r="BB97" s="18">
        <v>1</v>
      </c>
      <c r="BC97" s="18">
        <v>0</v>
      </c>
      <c r="BD97" s="18">
        <v>1</v>
      </c>
      <c r="BE97" s="18">
        <v>0</v>
      </c>
      <c r="BF97" s="18">
        <v>0</v>
      </c>
      <c r="BG97" s="18">
        <v>0</v>
      </c>
      <c r="BH97" s="150" t="s">
        <v>47</v>
      </c>
      <c r="BI97" s="18">
        <v>2</v>
      </c>
      <c r="BJ97" s="130"/>
      <c r="BK97" s="4" t="s">
        <v>48</v>
      </c>
      <c r="BL97" s="18">
        <v>0</v>
      </c>
      <c r="BM97" s="120"/>
      <c r="BN97" s="4" t="s">
        <v>36</v>
      </c>
      <c r="BO97" s="18">
        <v>2</v>
      </c>
      <c r="BP97" s="120"/>
      <c r="BQ97" s="18" t="s">
        <v>117</v>
      </c>
      <c r="BR97" s="18">
        <v>2</v>
      </c>
      <c r="BS97" s="120"/>
      <c r="BT97" s="4" t="s">
        <v>65</v>
      </c>
      <c r="BU97" s="18">
        <v>2</v>
      </c>
      <c r="BV97" s="120"/>
      <c r="BW97" s="4" t="s">
        <v>51</v>
      </c>
      <c r="BX97" s="18">
        <v>3</v>
      </c>
      <c r="BY97" s="120"/>
      <c r="BZ97" s="4" t="s">
        <v>52</v>
      </c>
      <c r="CA97" s="18">
        <v>3</v>
      </c>
      <c r="CB97" s="120"/>
      <c r="CC97" s="4" t="s">
        <v>36</v>
      </c>
      <c r="CD97" s="18">
        <v>1</v>
      </c>
      <c r="CE97" s="120"/>
      <c r="CF97" s="18" t="s">
        <v>77</v>
      </c>
      <c r="CG97" s="18">
        <v>3</v>
      </c>
      <c r="CH97" s="120"/>
      <c r="CI97" s="4" t="s">
        <v>53</v>
      </c>
      <c r="CJ97" s="34">
        <v>1</v>
      </c>
      <c r="CK97" s="34">
        <v>0</v>
      </c>
      <c r="CL97" s="34">
        <v>1</v>
      </c>
      <c r="CM97" s="34">
        <v>0</v>
      </c>
      <c r="CN97" s="5" t="s">
        <v>54</v>
      </c>
    </row>
    <row r="98" spans="1:92" ht="28" x14ac:dyDescent="0.15">
      <c r="A98" s="51">
        <v>45860.759738622684</v>
      </c>
      <c r="B98" s="3" t="s">
        <v>29</v>
      </c>
      <c r="C98" s="17">
        <v>4</v>
      </c>
      <c r="D98" s="116"/>
      <c r="E98" s="6" t="s">
        <v>127</v>
      </c>
      <c r="F98" s="17">
        <v>1</v>
      </c>
      <c r="G98" s="116"/>
      <c r="H98" s="6" t="s">
        <v>31</v>
      </c>
      <c r="I98" s="17">
        <v>3</v>
      </c>
      <c r="J98" s="116"/>
      <c r="K98" s="43" t="s">
        <v>56</v>
      </c>
      <c r="L98" s="17">
        <v>2</v>
      </c>
      <c r="M98" s="119"/>
      <c r="N98" s="1" t="s">
        <v>33</v>
      </c>
      <c r="O98" s="18">
        <v>1</v>
      </c>
      <c r="P98" s="117"/>
      <c r="Q98" s="1" t="s">
        <v>34</v>
      </c>
      <c r="R98" s="17">
        <v>1</v>
      </c>
      <c r="S98" s="119"/>
      <c r="T98" s="1" t="s">
        <v>57</v>
      </c>
      <c r="U98" s="17">
        <v>1</v>
      </c>
      <c r="V98" s="119"/>
      <c r="W98" s="1" t="s">
        <v>92</v>
      </c>
      <c r="X98" s="17">
        <v>1</v>
      </c>
      <c r="Y98" s="119"/>
      <c r="Z98" s="1" t="s">
        <v>58</v>
      </c>
      <c r="AA98" s="17">
        <v>2</v>
      </c>
      <c r="AB98" s="119"/>
      <c r="AC98" s="1" t="s">
        <v>59</v>
      </c>
      <c r="AD98" s="17">
        <v>4</v>
      </c>
      <c r="AE98" s="119"/>
      <c r="AF98" s="1" t="s">
        <v>93</v>
      </c>
      <c r="AG98" s="17">
        <v>3</v>
      </c>
      <c r="AH98" s="119"/>
      <c r="AI98" s="11" t="s">
        <v>94</v>
      </c>
      <c r="AJ98" s="25">
        <v>2</v>
      </c>
      <c r="AK98" s="127"/>
      <c r="AL98" s="1" t="s">
        <v>71</v>
      </c>
      <c r="AM98" s="17">
        <v>2</v>
      </c>
      <c r="AN98" s="119"/>
      <c r="AO98" s="1" t="s">
        <v>72</v>
      </c>
      <c r="AP98" s="17">
        <v>3</v>
      </c>
      <c r="AQ98" s="119"/>
      <c r="AR98" s="1" t="s">
        <v>61</v>
      </c>
      <c r="AS98" s="17">
        <v>2</v>
      </c>
      <c r="AT98" s="119"/>
      <c r="AU98" s="1" t="s">
        <v>44</v>
      </c>
      <c r="AV98" s="17">
        <v>2</v>
      </c>
      <c r="AW98" s="119"/>
      <c r="AX98" s="1" t="s">
        <v>80</v>
      </c>
      <c r="AY98" s="17">
        <v>1</v>
      </c>
      <c r="AZ98" s="119"/>
      <c r="BA98" s="1" t="s">
        <v>69</v>
      </c>
      <c r="BB98" s="17">
        <v>1</v>
      </c>
      <c r="BC98" s="17">
        <v>0</v>
      </c>
      <c r="BD98" s="17">
        <v>1</v>
      </c>
      <c r="BE98" s="17">
        <v>0</v>
      </c>
      <c r="BF98" s="17">
        <v>0</v>
      </c>
      <c r="BG98" s="17">
        <v>0</v>
      </c>
      <c r="BH98" s="149" t="s">
        <v>47</v>
      </c>
      <c r="BI98" s="17">
        <v>1</v>
      </c>
      <c r="BJ98" s="131"/>
      <c r="BK98" s="1" t="s">
        <v>96</v>
      </c>
      <c r="BL98" s="17">
        <v>3</v>
      </c>
      <c r="BM98" s="119"/>
      <c r="BN98" s="1" t="s">
        <v>49</v>
      </c>
      <c r="BO98" s="17">
        <v>1</v>
      </c>
      <c r="BP98" s="119"/>
      <c r="BQ98" s="17" t="s">
        <v>50</v>
      </c>
      <c r="BR98" s="17">
        <v>2</v>
      </c>
      <c r="BS98" s="119"/>
      <c r="BT98" s="1" t="s">
        <v>65</v>
      </c>
      <c r="BU98" s="17">
        <v>2</v>
      </c>
      <c r="BV98" s="119"/>
      <c r="BW98" s="1" t="s">
        <v>51</v>
      </c>
      <c r="BX98" s="17">
        <v>3</v>
      </c>
      <c r="BY98" s="119"/>
      <c r="BZ98" s="1" t="s">
        <v>52</v>
      </c>
      <c r="CA98" s="17">
        <v>0</v>
      </c>
      <c r="CB98" s="119"/>
      <c r="CC98" s="1" t="s">
        <v>49</v>
      </c>
      <c r="CD98" s="17">
        <v>0</v>
      </c>
      <c r="CE98" s="119"/>
      <c r="CF98" s="17" t="s">
        <v>49</v>
      </c>
      <c r="CG98" s="17">
        <v>1</v>
      </c>
      <c r="CH98" s="119"/>
      <c r="CI98" s="1" t="s">
        <v>77</v>
      </c>
      <c r="CJ98" s="33">
        <v>1</v>
      </c>
      <c r="CK98" s="33">
        <v>0</v>
      </c>
      <c r="CL98" s="33">
        <v>1</v>
      </c>
      <c r="CM98" s="33">
        <v>0</v>
      </c>
      <c r="CN98" s="2" t="s">
        <v>54</v>
      </c>
    </row>
    <row r="99" spans="1:92" ht="28" x14ac:dyDescent="0.15">
      <c r="A99" s="51">
        <v>45860.76154349537</v>
      </c>
      <c r="B99" s="3" t="s">
        <v>29</v>
      </c>
      <c r="C99" s="18">
        <v>3</v>
      </c>
      <c r="D99" s="117"/>
      <c r="E99" s="6" t="s">
        <v>90</v>
      </c>
      <c r="F99" s="18">
        <v>1</v>
      </c>
      <c r="G99" s="117"/>
      <c r="H99" s="6" t="s">
        <v>31</v>
      </c>
      <c r="I99" s="18">
        <v>2</v>
      </c>
      <c r="J99" s="117"/>
      <c r="K99" s="43" t="s">
        <v>116</v>
      </c>
      <c r="L99" s="18">
        <v>0</v>
      </c>
      <c r="M99" s="120"/>
      <c r="N99" s="4" t="s">
        <v>145</v>
      </c>
      <c r="O99" s="18">
        <v>1</v>
      </c>
      <c r="P99" s="120"/>
      <c r="Q99" s="4" t="s">
        <v>34</v>
      </c>
      <c r="R99" s="18">
        <v>2</v>
      </c>
      <c r="S99" s="120"/>
      <c r="T99" s="4" t="s">
        <v>35</v>
      </c>
      <c r="U99" s="18">
        <v>1</v>
      </c>
      <c r="V99" s="120"/>
      <c r="W99" s="4" t="s">
        <v>92</v>
      </c>
      <c r="X99" s="18">
        <v>1</v>
      </c>
      <c r="Y99" s="120"/>
      <c r="Z99" s="4" t="s">
        <v>58</v>
      </c>
      <c r="AA99" s="18">
        <v>3</v>
      </c>
      <c r="AB99" s="120"/>
      <c r="AC99" s="4" t="s">
        <v>38</v>
      </c>
      <c r="AD99" s="18">
        <v>1</v>
      </c>
      <c r="AE99" s="120"/>
      <c r="AF99" s="4" t="s">
        <v>39</v>
      </c>
      <c r="AG99" s="18">
        <v>3</v>
      </c>
      <c r="AH99" s="120"/>
      <c r="AI99" s="13" t="s">
        <v>94</v>
      </c>
      <c r="AJ99" s="24">
        <v>3</v>
      </c>
      <c r="AK99" s="126"/>
      <c r="AL99" s="4" t="s">
        <v>41</v>
      </c>
      <c r="AM99" s="18">
        <v>3</v>
      </c>
      <c r="AN99" s="120"/>
      <c r="AO99" s="4" t="s">
        <v>42</v>
      </c>
      <c r="AP99" s="18">
        <v>3</v>
      </c>
      <c r="AQ99" s="120"/>
      <c r="AR99" s="4" t="s">
        <v>61</v>
      </c>
      <c r="AS99" s="18">
        <v>2</v>
      </c>
      <c r="AT99" s="120"/>
      <c r="AU99" s="4" t="s">
        <v>44</v>
      </c>
      <c r="AV99" s="18">
        <v>0</v>
      </c>
      <c r="AW99" s="120"/>
      <c r="AX99" s="4" t="s">
        <v>62</v>
      </c>
      <c r="AY99" s="18">
        <v>2</v>
      </c>
      <c r="AZ99" s="120"/>
      <c r="BA99" s="4" t="s">
        <v>59</v>
      </c>
      <c r="BB99" s="18">
        <v>1</v>
      </c>
      <c r="BC99" s="18">
        <v>0</v>
      </c>
      <c r="BD99" s="18">
        <v>1</v>
      </c>
      <c r="BE99" s="18">
        <v>0</v>
      </c>
      <c r="BF99" s="18">
        <v>0</v>
      </c>
      <c r="BG99" s="18">
        <v>0</v>
      </c>
      <c r="BH99" s="150" t="s">
        <v>47</v>
      </c>
      <c r="BI99" s="18">
        <v>0</v>
      </c>
      <c r="BJ99" s="130"/>
      <c r="BK99" s="4" t="s">
        <v>75</v>
      </c>
      <c r="BL99" s="18">
        <v>0</v>
      </c>
      <c r="BM99" s="120"/>
      <c r="BN99" s="4" t="s">
        <v>36</v>
      </c>
      <c r="BO99" s="18">
        <v>0</v>
      </c>
      <c r="BP99" s="120"/>
      <c r="BQ99" s="18" t="s">
        <v>87</v>
      </c>
      <c r="BR99" s="18">
        <v>2</v>
      </c>
      <c r="BS99" s="120"/>
      <c r="BT99" s="4" t="s">
        <v>65</v>
      </c>
      <c r="BU99" s="18">
        <v>2</v>
      </c>
      <c r="BV99" s="120"/>
      <c r="BW99" s="4" t="s">
        <v>51</v>
      </c>
      <c r="BX99" s="18">
        <v>2</v>
      </c>
      <c r="BY99" s="120"/>
      <c r="BZ99" s="4" t="s">
        <v>97</v>
      </c>
      <c r="CA99" s="18">
        <v>2</v>
      </c>
      <c r="CB99" s="120"/>
      <c r="CC99" s="4" t="s">
        <v>76</v>
      </c>
      <c r="CD99" s="18">
        <v>2</v>
      </c>
      <c r="CE99" s="120"/>
      <c r="CF99" s="18" t="s">
        <v>36</v>
      </c>
      <c r="CG99" s="18">
        <v>2</v>
      </c>
      <c r="CH99" s="120"/>
      <c r="CI99" s="4" t="s">
        <v>78</v>
      </c>
      <c r="CJ99" s="34">
        <v>1</v>
      </c>
      <c r="CK99" s="34">
        <v>1</v>
      </c>
      <c r="CL99" s="34">
        <v>0</v>
      </c>
      <c r="CM99" s="34">
        <v>0</v>
      </c>
      <c r="CN99" s="5" t="s">
        <v>82</v>
      </c>
    </row>
    <row r="100" spans="1:92" ht="28" x14ac:dyDescent="0.15">
      <c r="A100" s="51">
        <v>45860.765055960648</v>
      </c>
      <c r="B100" s="3" t="s">
        <v>29</v>
      </c>
      <c r="C100" s="17">
        <v>3</v>
      </c>
      <c r="D100" s="116"/>
      <c r="E100" s="6" t="s">
        <v>90</v>
      </c>
      <c r="F100" s="17">
        <v>1</v>
      </c>
      <c r="G100" s="116"/>
      <c r="H100" s="6" t="s">
        <v>31</v>
      </c>
      <c r="I100" s="17">
        <v>4</v>
      </c>
      <c r="J100" s="116"/>
      <c r="K100" s="43" t="s">
        <v>118</v>
      </c>
      <c r="L100" s="17">
        <v>2</v>
      </c>
      <c r="M100" s="119"/>
      <c r="N100" s="1" t="s">
        <v>33</v>
      </c>
      <c r="O100" s="18">
        <v>1</v>
      </c>
      <c r="P100" s="117"/>
      <c r="Q100" s="1" t="s">
        <v>34</v>
      </c>
      <c r="R100" s="17">
        <v>2</v>
      </c>
      <c r="S100" s="119"/>
      <c r="T100" s="1" t="s">
        <v>35</v>
      </c>
      <c r="U100" s="17">
        <v>2</v>
      </c>
      <c r="V100" s="119"/>
      <c r="W100" s="1" t="s">
        <v>36</v>
      </c>
      <c r="X100" s="17">
        <v>2</v>
      </c>
      <c r="Y100" s="119"/>
      <c r="Z100" s="1" t="s">
        <v>37</v>
      </c>
      <c r="AA100" s="17">
        <v>3</v>
      </c>
      <c r="AB100" s="119"/>
      <c r="AC100" s="1" t="s">
        <v>38</v>
      </c>
      <c r="AD100" s="17">
        <v>0</v>
      </c>
      <c r="AE100" s="119"/>
      <c r="AF100" s="1" t="s">
        <v>70</v>
      </c>
      <c r="AG100" s="17">
        <v>2</v>
      </c>
      <c r="AH100" s="119"/>
      <c r="AI100" s="11" t="s">
        <v>40</v>
      </c>
      <c r="AJ100" s="25">
        <v>2</v>
      </c>
      <c r="AK100" s="127"/>
      <c r="AL100" s="1" t="s">
        <v>71</v>
      </c>
      <c r="AM100" s="17">
        <v>3</v>
      </c>
      <c r="AN100" s="119"/>
      <c r="AO100" s="1" t="s">
        <v>42</v>
      </c>
      <c r="AP100" s="17">
        <v>3</v>
      </c>
      <c r="AQ100" s="119"/>
      <c r="AR100" s="1" t="s">
        <v>61</v>
      </c>
      <c r="AS100" s="17">
        <v>3</v>
      </c>
      <c r="AT100" s="119"/>
      <c r="AU100" s="1" t="s">
        <v>79</v>
      </c>
      <c r="AV100" s="17">
        <v>2</v>
      </c>
      <c r="AW100" s="119"/>
      <c r="AX100" s="1" t="s">
        <v>80</v>
      </c>
      <c r="AY100" s="17">
        <v>1</v>
      </c>
      <c r="AZ100" s="119"/>
      <c r="BA100" s="1" t="s">
        <v>69</v>
      </c>
      <c r="BB100" s="17">
        <v>1</v>
      </c>
      <c r="BC100" s="17">
        <v>1</v>
      </c>
      <c r="BD100" s="17">
        <v>0</v>
      </c>
      <c r="BE100" s="17">
        <v>0</v>
      </c>
      <c r="BF100" s="17">
        <v>0</v>
      </c>
      <c r="BG100" s="17">
        <v>0</v>
      </c>
      <c r="BH100" s="149" t="s">
        <v>81</v>
      </c>
      <c r="BI100" s="17">
        <v>2</v>
      </c>
      <c r="BJ100" s="131"/>
      <c r="BK100" s="1" t="s">
        <v>48</v>
      </c>
      <c r="BL100" s="17">
        <v>3</v>
      </c>
      <c r="BM100" s="119"/>
      <c r="BN100" s="1" t="s">
        <v>49</v>
      </c>
      <c r="BO100" s="17">
        <v>1</v>
      </c>
      <c r="BP100" s="119"/>
      <c r="BQ100" s="17" t="s">
        <v>50</v>
      </c>
      <c r="BR100" s="17">
        <v>3</v>
      </c>
      <c r="BS100" s="119"/>
      <c r="BT100" s="1" t="s">
        <v>38</v>
      </c>
      <c r="BU100" s="17">
        <v>3</v>
      </c>
      <c r="BV100" s="119"/>
      <c r="BW100" s="1" t="s">
        <v>147</v>
      </c>
      <c r="BX100" s="17">
        <v>3</v>
      </c>
      <c r="BY100" s="119"/>
      <c r="BZ100" s="1" t="s">
        <v>52</v>
      </c>
      <c r="CA100" s="17">
        <v>3</v>
      </c>
      <c r="CB100" s="119"/>
      <c r="CC100" s="1" t="s">
        <v>36</v>
      </c>
      <c r="CD100" s="17">
        <v>2</v>
      </c>
      <c r="CE100" s="119"/>
      <c r="CF100" s="17" t="s">
        <v>36</v>
      </c>
      <c r="CG100" s="17">
        <v>3</v>
      </c>
      <c r="CH100" s="119"/>
      <c r="CI100" s="1" t="s">
        <v>53</v>
      </c>
      <c r="CJ100" s="33">
        <v>1</v>
      </c>
      <c r="CK100" s="33">
        <v>1</v>
      </c>
      <c r="CL100" s="33">
        <v>0</v>
      </c>
      <c r="CM100" s="33">
        <v>0</v>
      </c>
      <c r="CN100" s="2" t="s">
        <v>68</v>
      </c>
    </row>
    <row r="101" spans="1:92" ht="28" x14ac:dyDescent="0.15">
      <c r="A101" s="51">
        <v>45860.76805677083</v>
      </c>
      <c r="B101" s="3" t="s">
        <v>29</v>
      </c>
      <c r="C101" s="18">
        <v>4</v>
      </c>
      <c r="D101" s="117"/>
      <c r="E101" s="6" t="s">
        <v>127</v>
      </c>
      <c r="F101" s="18">
        <v>1</v>
      </c>
      <c r="G101" s="117"/>
      <c r="H101" s="6" t="s">
        <v>31</v>
      </c>
      <c r="I101" s="18">
        <v>3</v>
      </c>
      <c r="J101" s="117"/>
      <c r="K101" s="43" t="s">
        <v>56</v>
      </c>
      <c r="L101" s="18">
        <v>2</v>
      </c>
      <c r="M101" s="120"/>
      <c r="N101" s="4" t="s">
        <v>33</v>
      </c>
      <c r="O101" s="18">
        <v>1</v>
      </c>
      <c r="P101" s="120"/>
      <c r="Q101" s="4" t="s">
        <v>34</v>
      </c>
      <c r="R101" s="18">
        <v>1</v>
      </c>
      <c r="S101" s="120"/>
      <c r="T101" s="4" t="s">
        <v>57</v>
      </c>
      <c r="U101" s="18">
        <v>2</v>
      </c>
      <c r="V101" s="120"/>
      <c r="W101" s="4" t="s">
        <v>36</v>
      </c>
      <c r="X101" s="18">
        <v>1</v>
      </c>
      <c r="Y101" s="120"/>
      <c r="Z101" s="4" t="s">
        <v>58</v>
      </c>
      <c r="AA101" s="18">
        <v>3</v>
      </c>
      <c r="AB101" s="120"/>
      <c r="AC101" s="4" t="s">
        <v>38</v>
      </c>
      <c r="AD101" s="18">
        <v>0</v>
      </c>
      <c r="AE101" s="120"/>
      <c r="AF101" s="4" t="s">
        <v>70</v>
      </c>
      <c r="AG101" s="18">
        <v>3</v>
      </c>
      <c r="AH101" s="120"/>
      <c r="AI101" s="13" t="s">
        <v>94</v>
      </c>
      <c r="AJ101" s="24">
        <v>2</v>
      </c>
      <c r="AK101" s="126"/>
      <c r="AL101" s="4" t="s">
        <v>71</v>
      </c>
      <c r="AM101" s="18">
        <v>3</v>
      </c>
      <c r="AN101" s="120"/>
      <c r="AO101" s="4" t="s">
        <v>42</v>
      </c>
      <c r="AP101" s="18">
        <v>3</v>
      </c>
      <c r="AQ101" s="120"/>
      <c r="AR101" s="4" t="s">
        <v>61</v>
      </c>
      <c r="AS101" s="18">
        <v>2</v>
      </c>
      <c r="AT101" s="120"/>
      <c r="AU101" s="4" t="s">
        <v>44</v>
      </c>
      <c r="AV101" s="18">
        <v>1</v>
      </c>
      <c r="AW101" s="120"/>
      <c r="AX101" s="4" t="s">
        <v>45</v>
      </c>
      <c r="AY101" s="18">
        <v>3</v>
      </c>
      <c r="AZ101" s="120"/>
      <c r="BA101" s="4" t="s">
        <v>46</v>
      </c>
      <c r="BB101" s="18">
        <v>1</v>
      </c>
      <c r="BC101" s="18">
        <v>0</v>
      </c>
      <c r="BD101" s="18">
        <v>1</v>
      </c>
      <c r="BE101" s="18">
        <v>0</v>
      </c>
      <c r="BF101" s="18">
        <v>0</v>
      </c>
      <c r="BG101" s="18">
        <v>0</v>
      </c>
      <c r="BH101" s="150" t="s">
        <v>47</v>
      </c>
      <c r="BI101" s="18">
        <v>0</v>
      </c>
      <c r="BJ101" s="130"/>
      <c r="BK101" s="4" t="s">
        <v>75</v>
      </c>
      <c r="BL101" s="18">
        <v>1</v>
      </c>
      <c r="BM101" s="120"/>
      <c r="BN101" s="4" t="s">
        <v>59</v>
      </c>
      <c r="BO101" s="18">
        <v>2</v>
      </c>
      <c r="BP101" s="120"/>
      <c r="BQ101" s="18" t="s">
        <v>117</v>
      </c>
      <c r="BR101" s="18">
        <v>2</v>
      </c>
      <c r="BS101" s="120"/>
      <c r="BT101" s="4" t="s">
        <v>65</v>
      </c>
      <c r="BU101" s="18">
        <v>1</v>
      </c>
      <c r="BV101" s="120"/>
      <c r="BW101" s="4" t="s">
        <v>66</v>
      </c>
      <c r="BX101" s="18">
        <v>3</v>
      </c>
      <c r="BY101" s="120"/>
      <c r="BZ101" s="4" t="s">
        <v>52</v>
      </c>
      <c r="CA101" s="18">
        <v>3</v>
      </c>
      <c r="CB101" s="120"/>
      <c r="CC101" s="4" t="s">
        <v>36</v>
      </c>
      <c r="CD101" s="18">
        <v>1</v>
      </c>
      <c r="CE101" s="120"/>
      <c r="CF101" s="18" t="s">
        <v>77</v>
      </c>
      <c r="CG101" s="18">
        <v>3</v>
      </c>
      <c r="CH101" s="120"/>
      <c r="CI101" s="4" t="s">
        <v>53</v>
      </c>
      <c r="CJ101" s="34">
        <v>1</v>
      </c>
      <c r="CK101" s="34">
        <v>0</v>
      </c>
      <c r="CL101" s="34">
        <v>1</v>
      </c>
      <c r="CM101" s="34">
        <v>0</v>
      </c>
      <c r="CN101" s="5" t="s">
        <v>54</v>
      </c>
    </row>
    <row r="102" spans="1:92" ht="28" x14ac:dyDescent="0.15">
      <c r="A102" s="51">
        <v>45860.769740925927</v>
      </c>
      <c r="B102" s="3" t="s">
        <v>29</v>
      </c>
      <c r="C102" s="17">
        <v>2</v>
      </c>
      <c r="D102" s="116"/>
      <c r="E102" s="6" t="s">
        <v>55</v>
      </c>
      <c r="F102" s="17">
        <v>1</v>
      </c>
      <c r="G102" s="116"/>
      <c r="H102" s="6" t="s">
        <v>31</v>
      </c>
      <c r="I102" s="17">
        <v>4</v>
      </c>
      <c r="J102" s="116"/>
      <c r="K102" s="43" t="s">
        <v>118</v>
      </c>
      <c r="L102" s="17">
        <v>1</v>
      </c>
      <c r="M102" s="119"/>
      <c r="N102" s="1" t="s">
        <v>124</v>
      </c>
      <c r="O102" s="18">
        <v>1</v>
      </c>
      <c r="P102" s="117"/>
      <c r="Q102" s="1" t="s">
        <v>34</v>
      </c>
      <c r="R102" s="17">
        <v>1</v>
      </c>
      <c r="S102" s="119"/>
      <c r="T102" s="1" t="s">
        <v>57</v>
      </c>
      <c r="U102" s="17">
        <v>2</v>
      </c>
      <c r="V102" s="119"/>
      <c r="W102" s="1" t="s">
        <v>36</v>
      </c>
      <c r="X102" s="17">
        <v>1</v>
      </c>
      <c r="Y102" s="119"/>
      <c r="Z102" s="1" t="s">
        <v>58</v>
      </c>
      <c r="AA102" s="17">
        <v>2</v>
      </c>
      <c r="AB102" s="119"/>
      <c r="AC102" s="1" t="s">
        <v>59</v>
      </c>
      <c r="AD102" s="17">
        <v>2</v>
      </c>
      <c r="AE102" s="119"/>
      <c r="AF102" s="1" t="s">
        <v>83</v>
      </c>
      <c r="AG102" s="17">
        <v>1</v>
      </c>
      <c r="AH102" s="119"/>
      <c r="AI102" s="11" t="s">
        <v>138</v>
      </c>
      <c r="AJ102" s="25">
        <v>3</v>
      </c>
      <c r="AK102" s="127"/>
      <c r="AL102" s="1" t="s">
        <v>41</v>
      </c>
      <c r="AM102" s="17">
        <v>3</v>
      </c>
      <c r="AN102" s="119"/>
      <c r="AO102" s="1" t="s">
        <v>42</v>
      </c>
      <c r="AP102" s="17">
        <v>4</v>
      </c>
      <c r="AQ102" s="119"/>
      <c r="AR102" s="1" t="s">
        <v>43</v>
      </c>
      <c r="AS102" s="17">
        <v>3</v>
      </c>
      <c r="AT102" s="119"/>
      <c r="AU102" s="1" t="s">
        <v>79</v>
      </c>
      <c r="AV102" s="17">
        <v>0</v>
      </c>
      <c r="AW102" s="119"/>
      <c r="AX102" s="1" t="s">
        <v>62</v>
      </c>
      <c r="AY102" s="17">
        <v>1</v>
      </c>
      <c r="AZ102" s="119"/>
      <c r="BA102" s="1" t="s">
        <v>69</v>
      </c>
      <c r="BB102" s="17">
        <v>1</v>
      </c>
      <c r="BC102" s="17">
        <v>1</v>
      </c>
      <c r="BD102" s="17">
        <v>0</v>
      </c>
      <c r="BE102" s="17">
        <v>0</v>
      </c>
      <c r="BF102" s="17">
        <v>0</v>
      </c>
      <c r="BG102" s="17">
        <v>0</v>
      </c>
      <c r="BH102" s="149" t="s">
        <v>81</v>
      </c>
      <c r="BI102" s="17">
        <v>0</v>
      </c>
      <c r="BJ102" s="131"/>
      <c r="BK102" s="1" t="s">
        <v>96</v>
      </c>
      <c r="BL102" s="17">
        <v>1</v>
      </c>
      <c r="BM102" s="119"/>
      <c r="BN102" s="1" t="s">
        <v>59</v>
      </c>
      <c r="BO102" s="17">
        <v>2</v>
      </c>
      <c r="BP102" s="119"/>
      <c r="BQ102" s="17" t="s">
        <v>117</v>
      </c>
      <c r="BR102" s="17">
        <v>2</v>
      </c>
      <c r="BS102" s="119"/>
      <c r="BT102" s="1" t="s">
        <v>65</v>
      </c>
      <c r="BU102" s="17">
        <v>0</v>
      </c>
      <c r="BV102" s="119"/>
      <c r="BW102" s="1" t="s">
        <v>88</v>
      </c>
      <c r="BX102" s="17">
        <v>3</v>
      </c>
      <c r="BY102" s="119"/>
      <c r="BZ102" s="1" t="s">
        <v>52</v>
      </c>
      <c r="CA102" s="17">
        <v>3</v>
      </c>
      <c r="CB102" s="119"/>
      <c r="CC102" s="1" t="s">
        <v>36</v>
      </c>
      <c r="CD102" s="17">
        <v>1</v>
      </c>
      <c r="CE102" s="119"/>
      <c r="CF102" s="17" t="s">
        <v>77</v>
      </c>
      <c r="CG102" s="17">
        <v>3</v>
      </c>
      <c r="CH102" s="119"/>
      <c r="CI102" s="1" t="s">
        <v>53</v>
      </c>
      <c r="CJ102" s="33">
        <v>1</v>
      </c>
      <c r="CK102" s="33">
        <v>1</v>
      </c>
      <c r="CL102" s="33">
        <v>0</v>
      </c>
      <c r="CM102" s="33">
        <v>0</v>
      </c>
      <c r="CN102" s="2" t="s">
        <v>82</v>
      </c>
    </row>
    <row r="103" spans="1:92" ht="28" x14ac:dyDescent="0.15">
      <c r="A103" s="51">
        <v>45860.773194618057</v>
      </c>
      <c r="B103" s="3" t="s">
        <v>29</v>
      </c>
      <c r="C103" s="18">
        <v>4</v>
      </c>
      <c r="D103" s="117"/>
      <c r="E103" s="6" t="s">
        <v>127</v>
      </c>
      <c r="F103" s="18">
        <v>2</v>
      </c>
      <c r="G103" s="117"/>
      <c r="H103" s="6" t="s">
        <v>91</v>
      </c>
      <c r="I103" s="18">
        <v>1</v>
      </c>
      <c r="J103" s="117"/>
      <c r="K103" s="43" t="s">
        <v>32</v>
      </c>
      <c r="L103" s="18">
        <v>2</v>
      </c>
      <c r="M103" s="120"/>
      <c r="N103" s="4" t="s">
        <v>33</v>
      </c>
      <c r="O103" s="18">
        <v>1</v>
      </c>
      <c r="P103" s="120"/>
      <c r="Q103" s="4" t="s">
        <v>34</v>
      </c>
      <c r="R103" s="18">
        <v>1</v>
      </c>
      <c r="S103" s="120"/>
      <c r="T103" s="4" t="s">
        <v>57</v>
      </c>
      <c r="U103" s="18">
        <v>2</v>
      </c>
      <c r="V103" s="120"/>
      <c r="W103" s="4" t="s">
        <v>36</v>
      </c>
      <c r="X103" s="18">
        <v>1</v>
      </c>
      <c r="Y103" s="120"/>
      <c r="Z103" s="4" t="s">
        <v>58</v>
      </c>
      <c r="AA103" s="18">
        <v>3</v>
      </c>
      <c r="AB103" s="120"/>
      <c r="AC103" s="4" t="s">
        <v>38</v>
      </c>
      <c r="AD103" s="18">
        <v>3</v>
      </c>
      <c r="AE103" s="120"/>
      <c r="AF103" s="4" t="s">
        <v>60</v>
      </c>
      <c r="AG103" s="18">
        <v>2</v>
      </c>
      <c r="AH103" s="120"/>
      <c r="AI103" s="13" t="s">
        <v>40</v>
      </c>
      <c r="AJ103" s="24">
        <v>3</v>
      </c>
      <c r="AK103" s="126"/>
      <c r="AL103" s="4" t="s">
        <v>41</v>
      </c>
      <c r="AM103" s="18">
        <v>3</v>
      </c>
      <c r="AN103" s="120"/>
      <c r="AO103" s="4" t="s">
        <v>42</v>
      </c>
      <c r="AP103" s="18">
        <v>3</v>
      </c>
      <c r="AQ103" s="120"/>
      <c r="AR103" s="4" t="s">
        <v>61</v>
      </c>
      <c r="AS103" s="18">
        <v>3</v>
      </c>
      <c r="AT103" s="120"/>
      <c r="AU103" s="4" t="s">
        <v>79</v>
      </c>
      <c r="AV103" s="18">
        <v>1</v>
      </c>
      <c r="AW103" s="120"/>
      <c r="AX103" s="4" t="s">
        <v>45</v>
      </c>
      <c r="AY103" s="18">
        <v>3</v>
      </c>
      <c r="AZ103" s="120"/>
      <c r="BA103" s="4" t="s">
        <v>46</v>
      </c>
      <c r="BB103" s="18">
        <v>1</v>
      </c>
      <c r="BC103" s="18">
        <v>0</v>
      </c>
      <c r="BD103" s="18">
        <v>1</v>
      </c>
      <c r="BE103" s="18">
        <v>0</v>
      </c>
      <c r="BF103" s="18">
        <v>0</v>
      </c>
      <c r="BG103" s="18">
        <v>0</v>
      </c>
      <c r="BH103" s="150" t="s">
        <v>47</v>
      </c>
      <c r="BI103" s="18">
        <v>2</v>
      </c>
      <c r="BJ103" s="130"/>
      <c r="BK103" s="4" t="s">
        <v>48</v>
      </c>
      <c r="BL103" s="18">
        <v>3</v>
      </c>
      <c r="BM103" s="120"/>
      <c r="BN103" s="4" t="s">
        <v>49</v>
      </c>
      <c r="BO103" s="18">
        <v>1</v>
      </c>
      <c r="BP103" s="120"/>
      <c r="BQ103" s="18" t="s">
        <v>50</v>
      </c>
      <c r="BR103" s="18">
        <v>3</v>
      </c>
      <c r="BS103" s="120"/>
      <c r="BT103" s="4" t="s">
        <v>38</v>
      </c>
      <c r="BU103" s="18">
        <v>0</v>
      </c>
      <c r="BV103" s="120"/>
      <c r="BW103" s="4" t="s">
        <v>88</v>
      </c>
      <c r="BX103" s="18">
        <v>3</v>
      </c>
      <c r="BY103" s="120"/>
      <c r="BZ103" s="4" t="s">
        <v>52</v>
      </c>
      <c r="CA103" s="18">
        <v>3</v>
      </c>
      <c r="CB103" s="120"/>
      <c r="CC103" s="4" t="s">
        <v>36</v>
      </c>
      <c r="CD103" s="18">
        <v>1</v>
      </c>
      <c r="CE103" s="120"/>
      <c r="CF103" s="18" t="s">
        <v>77</v>
      </c>
      <c r="CG103" s="18">
        <v>3</v>
      </c>
      <c r="CH103" s="120"/>
      <c r="CI103" s="4" t="s">
        <v>53</v>
      </c>
      <c r="CJ103" s="34">
        <v>1</v>
      </c>
      <c r="CK103" s="34">
        <v>1</v>
      </c>
      <c r="CL103" s="34">
        <v>0</v>
      </c>
      <c r="CM103" s="34">
        <v>0</v>
      </c>
      <c r="CN103" s="5" t="s">
        <v>82</v>
      </c>
    </row>
    <row r="104" spans="1:92" ht="28" x14ac:dyDescent="0.15">
      <c r="A104" s="51">
        <v>45860.778106296297</v>
      </c>
      <c r="B104" s="3" t="s">
        <v>29</v>
      </c>
      <c r="C104" s="17">
        <v>3</v>
      </c>
      <c r="D104" s="116"/>
      <c r="E104" s="6" t="s">
        <v>90</v>
      </c>
      <c r="F104" s="17">
        <v>1</v>
      </c>
      <c r="G104" s="116"/>
      <c r="H104" s="6" t="s">
        <v>31</v>
      </c>
      <c r="I104" s="17">
        <v>1</v>
      </c>
      <c r="J104" s="116"/>
      <c r="K104" s="43" t="s">
        <v>32</v>
      </c>
      <c r="L104" s="17">
        <v>2</v>
      </c>
      <c r="M104" s="119"/>
      <c r="N104" s="1" t="s">
        <v>33</v>
      </c>
      <c r="O104" s="18">
        <v>1</v>
      </c>
      <c r="P104" s="117"/>
      <c r="Q104" s="1" t="s">
        <v>34</v>
      </c>
      <c r="R104" s="17">
        <v>2</v>
      </c>
      <c r="S104" s="119"/>
      <c r="T104" s="1" t="s">
        <v>35</v>
      </c>
      <c r="U104" s="17">
        <v>1</v>
      </c>
      <c r="V104" s="119"/>
      <c r="W104" s="1" t="s">
        <v>92</v>
      </c>
      <c r="X104" s="17">
        <v>1</v>
      </c>
      <c r="Y104" s="119"/>
      <c r="Z104" s="1" t="s">
        <v>58</v>
      </c>
      <c r="AA104" s="17">
        <v>2</v>
      </c>
      <c r="AB104" s="119"/>
      <c r="AC104" s="1" t="s">
        <v>59</v>
      </c>
      <c r="AD104" s="17">
        <v>1</v>
      </c>
      <c r="AE104" s="119"/>
      <c r="AF104" s="1" t="s">
        <v>39</v>
      </c>
      <c r="AG104" s="17">
        <v>2</v>
      </c>
      <c r="AH104" s="119"/>
      <c r="AI104" s="11" t="s">
        <v>40</v>
      </c>
      <c r="AJ104" s="25">
        <v>2</v>
      </c>
      <c r="AK104" s="127"/>
      <c r="AL104" s="1" t="s">
        <v>71</v>
      </c>
      <c r="AM104" s="17">
        <v>2</v>
      </c>
      <c r="AN104" s="119"/>
      <c r="AO104" s="1" t="s">
        <v>72</v>
      </c>
      <c r="AP104" s="17">
        <v>0</v>
      </c>
      <c r="AQ104" s="119"/>
      <c r="AR104" s="1" t="s">
        <v>121</v>
      </c>
      <c r="AS104" s="17">
        <v>2</v>
      </c>
      <c r="AT104" s="119"/>
      <c r="AU104" s="1" t="s">
        <v>44</v>
      </c>
      <c r="AV104" s="17">
        <v>1</v>
      </c>
      <c r="AW104" s="119"/>
      <c r="AX104" s="1" t="s">
        <v>45</v>
      </c>
      <c r="AY104" s="17">
        <v>2</v>
      </c>
      <c r="AZ104" s="119"/>
      <c r="BA104" s="1" t="s">
        <v>59</v>
      </c>
      <c r="BB104" s="17">
        <v>0</v>
      </c>
      <c r="BC104" s="17">
        <v>1</v>
      </c>
      <c r="BD104" s="17">
        <v>0</v>
      </c>
      <c r="BE104" s="17">
        <v>1</v>
      </c>
      <c r="BF104" s="17">
        <v>0</v>
      </c>
      <c r="BG104" s="17">
        <v>0</v>
      </c>
      <c r="BH104" s="149" t="s">
        <v>133</v>
      </c>
      <c r="BI104" s="17">
        <v>0</v>
      </c>
      <c r="BJ104" s="131"/>
      <c r="BK104" s="1" t="s">
        <v>75</v>
      </c>
      <c r="BL104" s="17">
        <v>1</v>
      </c>
      <c r="BM104" s="119"/>
      <c r="BN104" s="1" t="s">
        <v>59</v>
      </c>
      <c r="BO104" s="17">
        <v>1</v>
      </c>
      <c r="BP104" s="119"/>
      <c r="BQ104" s="17" t="s">
        <v>50</v>
      </c>
      <c r="BR104" s="17">
        <v>2</v>
      </c>
      <c r="BS104" s="119"/>
      <c r="BT104" s="1" t="s">
        <v>65</v>
      </c>
      <c r="BU104" s="17">
        <v>1</v>
      </c>
      <c r="BV104" s="119"/>
      <c r="BW104" s="1" t="s">
        <v>66</v>
      </c>
      <c r="BX104" s="17">
        <v>3</v>
      </c>
      <c r="BY104" s="119"/>
      <c r="BZ104" s="1" t="s">
        <v>52</v>
      </c>
      <c r="CA104" s="17">
        <v>3</v>
      </c>
      <c r="CB104" s="119"/>
      <c r="CC104" s="1" t="s">
        <v>36</v>
      </c>
      <c r="CD104" s="17">
        <v>2</v>
      </c>
      <c r="CE104" s="119"/>
      <c r="CF104" s="17" t="s">
        <v>36</v>
      </c>
      <c r="CG104" s="17">
        <v>2</v>
      </c>
      <c r="CH104" s="119"/>
      <c r="CI104" s="1" t="s">
        <v>78</v>
      </c>
      <c r="CJ104" s="33">
        <v>1</v>
      </c>
      <c r="CK104" s="33">
        <v>0</v>
      </c>
      <c r="CL104" s="33">
        <v>1</v>
      </c>
      <c r="CM104" s="33">
        <v>0</v>
      </c>
      <c r="CN104" s="2" t="s">
        <v>54</v>
      </c>
    </row>
    <row r="105" spans="1:92" ht="28" x14ac:dyDescent="0.15">
      <c r="A105" s="51">
        <v>45860.78132981481</v>
      </c>
      <c r="B105" s="3" t="s">
        <v>29</v>
      </c>
      <c r="C105" s="18">
        <v>2</v>
      </c>
      <c r="D105" s="117"/>
      <c r="E105" s="6" t="s">
        <v>55</v>
      </c>
      <c r="F105" s="18">
        <v>1</v>
      </c>
      <c r="G105" s="117"/>
      <c r="H105" s="6" t="s">
        <v>31</v>
      </c>
      <c r="I105" s="18">
        <v>3</v>
      </c>
      <c r="J105" s="117"/>
      <c r="K105" s="43" t="s">
        <v>56</v>
      </c>
      <c r="L105" s="18">
        <v>1</v>
      </c>
      <c r="M105" s="120"/>
      <c r="N105" s="4" t="s">
        <v>124</v>
      </c>
      <c r="O105" s="18">
        <v>1</v>
      </c>
      <c r="P105" s="120"/>
      <c r="Q105" s="4" t="s">
        <v>34</v>
      </c>
      <c r="R105" s="18">
        <v>2</v>
      </c>
      <c r="S105" s="120"/>
      <c r="T105" s="4" t="s">
        <v>35</v>
      </c>
      <c r="U105" s="18">
        <v>2</v>
      </c>
      <c r="V105" s="120"/>
      <c r="W105" s="4" t="s">
        <v>36</v>
      </c>
      <c r="X105" s="18">
        <v>2</v>
      </c>
      <c r="Y105" s="120"/>
      <c r="Z105" s="4" t="s">
        <v>37</v>
      </c>
      <c r="AA105" s="18">
        <v>3</v>
      </c>
      <c r="AB105" s="120"/>
      <c r="AC105" s="4" t="s">
        <v>38</v>
      </c>
      <c r="AD105" s="18">
        <v>4</v>
      </c>
      <c r="AE105" s="120"/>
      <c r="AF105" s="4" t="s">
        <v>93</v>
      </c>
      <c r="AG105" s="18">
        <v>2</v>
      </c>
      <c r="AH105" s="120"/>
      <c r="AI105" s="13" t="s">
        <v>40</v>
      </c>
      <c r="AJ105" s="24">
        <v>3</v>
      </c>
      <c r="AK105" s="126"/>
      <c r="AL105" s="4" t="s">
        <v>41</v>
      </c>
      <c r="AM105" s="18">
        <v>3</v>
      </c>
      <c r="AN105" s="120"/>
      <c r="AO105" s="4" t="s">
        <v>42</v>
      </c>
      <c r="AP105" s="18">
        <v>4</v>
      </c>
      <c r="AQ105" s="120"/>
      <c r="AR105" s="4" t="s">
        <v>43</v>
      </c>
      <c r="AS105" s="18">
        <v>3</v>
      </c>
      <c r="AT105" s="120"/>
      <c r="AU105" s="4" t="s">
        <v>79</v>
      </c>
      <c r="AV105" s="18">
        <v>2</v>
      </c>
      <c r="AW105" s="120"/>
      <c r="AX105" s="4" t="s">
        <v>80</v>
      </c>
      <c r="AY105" s="18">
        <v>3</v>
      </c>
      <c r="AZ105" s="120"/>
      <c r="BA105" s="4" t="s">
        <v>46</v>
      </c>
      <c r="BB105" s="18">
        <v>1</v>
      </c>
      <c r="BC105" s="18">
        <v>1</v>
      </c>
      <c r="BD105" s="18">
        <v>0</v>
      </c>
      <c r="BE105" s="18">
        <v>0</v>
      </c>
      <c r="BF105" s="18">
        <v>0</v>
      </c>
      <c r="BG105" s="18">
        <v>0</v>
      </c>
      <c r="BH105" s="150" t="s">
        <v>81</v>
      </c>
      <c r="BI105" s="18">
        <v>2</v>
      </c>
      <c r="BJ105" s="130"/>
      <c r="BK105" s="4" t="s">
        <v>48</v>
      </c>
      <c r="BL105" s="18">
        <v>2</v>
      </c>
      <c r="BM105" s="120"/>
      <c r="BN105" s="4" t="s">
        <v>64</v>
      </c>
      <c r="BO105" s="18">
        <v>2</v>
      </c>
      <c r="BP105" s="120"/>
      <c r="BQ105" s="18" t="s">
        <v>117</v>
      </c>
      <c r="BR105" s="18">
        <v>3</v>
      </c>
      <c r="BS105" s="120"/>
      <c r="BT105" s="4" t="s">
        <v>38</v>
      </c>
      <c r="BU105" s="18">
        <v>0</v>
      </c>
      <c r="BV105" s="120"/>
      <c r="BW105" s="4" t="s">
        <v>88</v>
      </c>
      <c r="BX105" s="18">
        <v>3</v>
      </c>
      <c r="BY105" s="120"/>
      <c r="BZ105" s="4" t="s">
        <v>52</v>
      </c>
      <c r="CA105" s="18">
        <v>3</v>
      </c>
      <c r="CB105" s="120"/>
      <c r="CC105" s="4" t="s">
        <v>36</v>
      </c>
      <c r="CD105" s="18">
        <v>2</v>
      </c>
      <c r="CE105" s="120"/>
      <c r="CF105" s="18" t="s">
        <v>36</v>
      </c>
      <c r="CG105" s="18">
        <v>3</v>
      </c>
      <c r="CH105" s="120"/>
      <c r="CI105" s="4" t="s">
        <v>53</v>
      </c>
      <c r="CJ105" s="34">
        <v>0</v>
      </c>
      <c r="CK105" s="34">
        <v>1</v>
      </c>
      <c r="CL105" s="34">
        <v>1</v>
      </c>
      <c r="CM105" s="34">
        <v>0</v>
      </c>
      <c r="CN105" s="5" t="s">
        <v>98</v>
      </c>
    </row>
    <row r="106" spans="1:92" ht="28" x14ac:dyDescent="0.15">
      <c r="A106" s="51">
        <v>45860.789151516205</v>
      </c>
      <c r="B106" s="3" t="s">
        <v>29</v>
      </c>
      <c r="C106" s="17">
        <v>3</v>
      </c>
      <c r="D106" s="116"/>
      <c r="E106" s="6" t="s">
        <v>90</v>
      </c>
      <c r="F106" s="17">
        <v>1</v>
      </c>
      <c r="G106" s="116"/>
      <c r="H106" s="6" t="s">
        <v>31</v>
      </c>
      <c r="I106" s="17">
        <v>3</v>
      </c>
      <c r="J106" s="116"/>
      <c r="K106" s="43" t="s">
        <v>56</v>
      </c>
      <c r="L106" s="17">
        <v>2</v>
      </c>
      <c r="M106" s="119"/>
      <c r="N106" s="1" t="s">
        <v>33</v>
      </c>
      <c r="O106" s="18">
        <v>1</v>
      </c>
      <c r="P106" s="117"/>
      <c r="Q106" s="1" t="s">
        <v>34</v>
      </c>
      <c r="R106" s="17">
        <v>1</v>
      </c>
      <c r="S106" s="119"/>
      <c r="T106" s="1" t="s">
        <v>57</v>
      </c>
      <c r="U106" s="17">
        <v>1</v>
      </c>
      <c r="V106" s="119"/>
      <c r="W106" s="1" t="s">
        <v>92</v>
      </c>
      <c r="X106" s="17">
        <v>1</v>
      </c>
      <c r="Y106" s="119"/>
      <c r="Z106" s="1" t="s">
        <v>58</v>
      </c>
      <c r="AA106" s="17">
        <v>1</v>
      </c>
      <c r="AB106" s="119"/>
      <c r="AC106" s="1" t="s">
        <v>69</v>
      </c>
      <c r="AD106" s="17">
        <v>2</v>
      </c>
      <c r="AE106" s="119"/>
      <c r="AF106" s="1" t="s">
        <v>83</v>
      </c>
      <c r="AG106" s="17">
        <v>0</v>
      </c>
      <c r="AH106" s="119"/>
      <c r="AI106" s="11" t="s">
        <v>84</v>
      </c>
      <c r="AJ106" s="25">
        <v>0</v>
      </c>
      <c r="AK106" s="127"/>
      <c r="AL106" s="1" t="s">
        <v>85</v>
      </c>
      <c r="AM106" s="17">
        <v>2</v>
      </c>
      <c r="AN106" s="119"/>
      <c r="AO106" s="1" t="s">
        <v>72</v>
      </c>
      <c r="AP106" s="17">
        <v>4</v>
      </c>
      <c r="AQ106" s="119"/>
      <c r="AR106" s="1" t="s">
        <v>43</v>
      </c>
      <c r="AS106" s="17">
        <v>2</v>
      </c>
      <c r="AT106" s="119"/>
      <c r="AU106" s="1" t="s">
        <v>44</v>
      </c>
      <c r="AV106" s="17">
        <v>2</v>
      </c>
      <c r="AW106" s="119"/>
      <c r="AX106" s="1" t="s">
        <v>80</v>
      </c>
      <c r="AY106" s="17">
        <v>2</v>
      </c>
      <c r="AZ106" s="119"/>
      <c r="BA106" s="1" t="s">
        <v>59</v>
      </c>
      <c r="BB106" s="17">
        <v>1</v>
      </c>
      <c r="BC106" s="17">
        <v>0</v>
      </c>
      <c r="BD106" s="17">
        <v>1</v>
      </c>
      <c r="BE106" s="17">
        <v>0</v>
      </c>
      <c r="BF106" s="17">
        <v>0</v>
      </c>
      <c r="BG106" s="17">
        <v>0</v>
      </c>
      <c r="BH106" s="149" t="s">
        <v>47</v>
      </c>
      <c r="BI106" s="17">
        <v>0</v>
      </c>
      <c r="BJ106" s="131"/>
      <c r="BK106" s="1" t="s">
        <v>75</v>
      </c>
      <c r="BL106" s="17">
        <v>3</v>
      </c>
      <c r="BM106" s="119"/>
      <c r="BN106" s="1" t="s">
        <v>49</v>
      </c>
      <c r="BO106" s="17">
        <v>0</v>
      </c>
      <c r="BP106" s="119"/>
      <c r="BQ106" s="17" t="s">
        <v>87</v>
      </c>
      <c r="BR106" s="17">
        <v>2</v>
      </c>
      <c r="BS106" s="119"/>
      <c r="BT106" s="1" t="s">
        <v>65</v>
      </c>
      <c r="BU106" s="17">
        <v>3</v>
      </c>
      <c r="BV106" s="119"/>
      <c r="BW106" s="1" t="s">
        <v>147</v>
      </c>
      <c r="BX106" s="17">
        <v>3</v>
      </c>
      <c r="BY106" s="119"/>
      <c r="BZ106" s="1" t="s">
        <v>52</v>
      </c>
      <c r="CA106" s="17">
        <v>2</v>
      </c>
      <c r="CB106" s="119"/>
      <c r="CC106" s="1" t="s">
        <v>76</v>
      </c>
      <c r="CD106" s="17">
        <v>1</v>
      </c>
      <c r="CE106" s="119"/>
      <c r="CF106" s="17" t="s">
        <v>77</v>
      </c>
      <c r="CG106" s="17">
        <v>0</v>
      </c>
      <c r="CH106" s="119"/>
      <c r="CI106" s="1" t="s">
        <v>89</v>
      </c>
      <c r="CJ106" s="33">
        <v>0</v>
      </c>
      <c r="CK106" s="33">
        <v>1</v>
      </c>
      <c r="CL106" s="33">
        <v>1</v>
      </c>
      <c r="CM106" s="33">
        <v>0</v>
      </c>
      <c r="CN106" s="2" t="s">
        <v>98</v>
      </c>
    </row>
    <row r="107" spans="1:92" ht="28" x14ac:dyDescent="0.15">
      <c r="A107" s="51">
        <v>45860.789462361106</v>
      </c>
      <c r="B107" s="3" t="s">
        <v>29</v>
      </c>
      <c r="C107" s="18">
        <v>3</v>
      </c>
      <c r="D107" s="117"/>
      <c r="E107" s="6" t="s">
        <v>90</v>
      </c>
      <c r="F107" s="18">
        <v>1</v>
      </c>
      <c r="G107" s="117"/>
      <c r="H107" s="6" t="s">
        <v>31</v>
      </c>
      <c r="I107" s="18">
        <v>3</v>
      </c>
      <c r="J107" s="117"/>
      <c r="K107" s="43" t="s">
        <v>56</v>
      </c>
      <c r="L107" s="18">
        <v>2</v>
      </c>
      <c r="M107" s="120"/>
      <c r="N107" s="4" t="s">
        <v>33</v>
      </c>
      <c r="O107" s="18">
        <v>1</v>
      </c>
      <c r="P107" s="120"/>
      <c r="Q107" s="4" t="s">
        <v>34</v>
      </c>
      <c r="R107" s="18">
        <v>2</v>
      </c>
      <c r="S107" s="120"/>
      <c r="T107" s="4" t="s">
        <v>35</v>
      </c>
      <c r="U107" s="18">
        <v>1</v>
      </c>
      <c r="V107" s="120"/>
      <c r="W107" s="4" t="s">
        <v>92</v>
      </c>
      <c r="X107" s="18">
        <v>2</v>
      </c>
      <c r="Y107" s="120"/>
      <c r="Z107" s="4" t="s">
        <v>37</v>
      </c>
      <c r="AA107" s="18">
        <v>3</v>
      </c>
      <c r="AB107" s="120"/>
      <c r="AC107" s="4" t="s">
        <v>38</v>
      </c>
      <c r="AD107" s="18">
        <v>2</v>
      </c>
      <c r="AE107" s="120"/>
      <c r="AF107" s="4" t="s">
        <v>83</v>
      </c>
      <c r="AG107" s="18">
        <v>3</v>
      </c>
      <c r="AH107" s="120"/>
      <c r="AI107" s="13" t="s">
        <v>94</v>
      </c>
      <c r="AJ107" s="24">
        <v>3</v>
      </c>
      <c r="AK107" s="126"/>
      <c r="AL107" s="4" t="s">
        <v>41</v>
      </c>
      <c r="AM107" s="18">
        <v>3</v>
      </c>
      <c r="AN107" s="120"/>
      <c r="AO107" s="4" t="s">
        <v>42</v>
      </c>
      <c r="AP107" s="18">
        <v>4</v>
      </c>
      <c r="AQ107" s="120"/>
      <c r="AR107" s="4" t="s">
        <v>43</v>
      </c>
      <c r="AS107" s="18">
        <v>3</v>
      </c>
      <c r="AT107" s="120"/>
      <c r="AU107" s="4" t="s">
        <v>79</v>
      </c>
      <c r="AV107" s="18">
        <v>2</v>
      </c>
      <c r="AW107" s="120"/>
      <c r="AX107" s="4" t="s">
        <v>80</v>
      </c>
      <c r="AY107" s="18">
        <v>3</v>
      </c>
      <c r="AZ107" s="120"/>
      <c r="BA107" s="4" t="s">
        <v>46</v>
      </c>
      <c r="BB107" s="18">
        <v>0</v>
      </c>
      <c r="BC107" s="18">
        <v>1</v>
      </c>
      <c r="BD107" s="18">
        <v>1</v>
      </c>
      <c r="BE107" s="18">
        <v>0</v>
      </c>
      <c r="BF107" s="18">
        <v>0</v>
      </c>
      <c r="BG107" s="18">
        <v>0</v>
      </c>
      <c r="BH107" s="150" t="s">
        <v>105</v>
      </c>
      <c r="BI107" s="18">
        <v>2</v>
      </c>
      <c r="BJ107" s="130"/>
      <c r="BK107" s="4" t="s">
        <v>48</v>
      </c>
      <c r="BL107" s="18">
        <v>3</v>
      </c>
      <c r="BM107" s="120"/>
      <c r="BN107" s="4" t="s">
        <v>49</v>
      </c>
      <c r="BO107" s="18">
        <v>2</v>
      </c>
      <c r="BP107" s="120"/>
      <c r="BQ107" s="18" t="s">
        <v>117</v>
      </c>
      <c r="BR107" s="18">
        <v>2</v>
      </c>
      <c r="BS107" s="120"/>
      <c r="BT107" s="4" t="s">
        <v>65</v>
      </c>
      <c r="BU107" s="18">
        <v>0</v>
      </c>
      <c r="BV107" s="120"/>
      <c r="BW107" s="4" t="s">
        <v>88</v>
      </c>
      <c r="BX107" s="18">
        <v>3</v>
      </c>
      <c r="BY107" s="120"/>
      <c r="BZ107" s="4" t="s">
        <v>52</v>
      </c>
      <c r="CA107" s="18">
        <v>3</v>
      </c>
      <c r="CB107" s="120"/>
      <c r="CC107" s="4" t="s">
        <v>36</v>
      </c>
      <c r="CD107" s="18">
        <v>1</v>
      </c>
      <c r="CE107" s="120"/>
      <c r="CF107" s="18" t="s">
        <v>77</v>
      </c>
      <c r="CG107" s="18">
        <v>0</v>
      </c>
      <c r="CH107" s="120"/>
      <c r="CI107" s="4" t="s">
        <v>89</v>
      </c>
      <c r="CJ107" s="34">
        <v>1</v>
      </c>
      <c r="CK107" s="34">
        <v>1</v>
      </c>
      <c r="CL107" s="34">
        <v>0</v>
      </c>
      <c r="CM107" s="34">
        <v>0</v>
      </c>
      <c r="CN107" s="5" t="s">
        <v>82</v>
      </c>
    </row>
    <row r="108" spans="1:92" ht="28" x14ac:dyDescent="0.15">
      <c r="A108" s="51">
        <v>45860.791515682868</v>
      </c>
      <c r="B108" s="3" t="s">
        <v>29</v>
      </c>
      <c r="C108" s="17">
        <v>4</v>
      </c>
      <c r="D108" s="116"/>
      <c r="E108" s="6" t="s">
        <v>127</v>
      </c>
      <c r="F108" s="17">
        <v>1</v>
      </c>
      <c r="G108" s="116"/>
      <c r="H108" s="6" t="s">
        <v>31</v>
      </c>
      <c r="I108" s="17">
        <v>1</v>
      </c>
      <c r="J108" s="116"/>
      <c r="K108" s="43" t="s">
        <v>32</v>
      </c>
      <c r="L108" s="17">
        <v>2</v>
      </c>
      <c r="M108" s="119"/>
      <c r="N108" s="1" t="s">
        <v>33</v>
      </c>
      <c r="O108" s="18">
        <v>1</v>
      </c>
      <c r="P108" s="117"/>
      <c r="Q108" s="1" t="s">
        <v>34</v>
      </c>
      <c r="R108" s="17">
        <v>1</v>
      </c>
      <c r="S108" s="119"/>
      <c r="T108" s="1" t="s">
        <v>57</v>
      </c>
      <c r="U108" s="17">
        <v>0</v>
      </c>
      <c r="V108" s="119"/>
      <c r="W108" s="1" t="s">
        <v>77</v>
      </c>
      <c r="X108" s="17">
        <v>1</v>
      </c>
      <c r="Y108" s="119"/>
      <c r="Z108" s="1" t="s">
        <v>58</v>
      </c>
      <c r="AA108" s="17">
        <v>2</v>
      </c>
      <c r="AB108" s="119"/>
      <c r="AC108" s="1" t="s">
        <v>59</v>
      </c>
      <c r="AD108" s="17">
        <v>3</v>
      </c>
      <c r="AE108" s="119"/>
      <c r="AF108" s="1" t="s">
        <v>60</v>
      </c>
      <c r="AG108" s="17">
        <v>3</v>
      </c>
      <c r="AH108" s="119"/>
      <c r="AI108" s="11" t="s">
        <v>94</v>
      </c>
      <c r="AJ108" s="25">
        <v>0</v>
      </c>
      <c r="AK108" s="127"/>
      <c r="AL108" s="1" t="s">
        <v>85</v>
      </c>
      <c r="AM108" s="17">
        <v>2</v>
      </c>
      <c r="AN108" s="119"/>
      <c r="AO108" s="1" t="s">
        <v>72</v>
      </c>
      <c r="AP108" s="17">
        <v>3</v>
      </c>
      <c r="AQ108" s="119"/>
      <c r="AR108" s="1" t="s">
        <v>61</v>
      </c>
      <c r="AS108" s="17">
        <v>2</v>
      </c>
      <c r="AT108" s="119"/>
      <c r="AU108" s="1" t="s">
        <v>44</v>
      </c>
      <c r="AV108" s="17">
        <v>1</v>
      </c>
      <c r="AW108" s="119"/>
      <c r="AX108" s="1" t="s">
        <v>45</v>
      </c>
      <c r="AY108" s="17">
        <v>2</v>
      </c>
      <c r="AZ108" s="119"/>
      <c r="BA108" s="1" t="s">
        <v>59</v>
      </c>
      <c r="BB108" s="17">
        <v>1</v>
      </c>
      <c r="BC108" s="17">
        <v>0</v>
      </c>
      <c r="BD108" s="17">
        <v>1</v>
      </c>
      <c r="BE108" s="17">
        <v>0</v>
      </c>
      <c r="BF108" s="17">
        <v>0</v>
      </c>
      <c r="BG108" s="17">
        <v>0</v>
      </c>
      <c r="BH108" s="149" t="s">
        <v>47</v>
      </c>
      <c r="BI108" s="17">
        <v>0</v>
      </c>
      <c r="BJ108" s="131"/>
      <c r="BK108" s="1" t="s">
        <v>75</v>
      </c>
      <c r="BL108" s="17">
        <v>2</v>
      </c>
      <c r="BM108" s="119"/>
      <c r="BN108" s="1" t="s">
        <v>64</v>
      </c>
      <c r="BO108" s="17">
        <v>1</v>
      </c>
      <c r="BP108" s="119"/>
      <c r="BQ108" s="17" t="s">
        <v>50</v>
      </c>
      <c r="BR108" s="17">
        <v>2</v>
      </c>
      <c r="BS108" s="119"/>
      <c r="BT108" s="1" t="s">
        <v>65</v>
      </c>
      <c r="BU108" s="17">
        <v>3</v>
      </c>
      <c r="BV108" s="119"/>
      <c r="BW108" s="1" t="s">
        <v>147</v>
      </c>
      <c r="BX108" s="17">
        <v>0</v>
      </c>
      <c r="BY108" s="119"/>
      <c r="BZ108" s="1" t="s">
        <v>119</v>
      </c>
      <c r="CA108" s="17">
        <v>1</v>
      </c>
      <c r="CB108" s="119"/>
      <c r="CC108" s="1" t="s">
        <v>77</v>
      </c>
      <c r="CD108" s="17">
        <v>1</v>
      </c>
      <c r="CE108" s="119"/>
      <c r="CF108" s="17" t="s">
        <v>77</v>
      </c>
      <c r="CG108" s="17">
        <v>3</v>
      </c>
      <c r="CH108" s="119"/>
      <c r="CI108" s="1" t="s">
        <v>53</v>
      </c>
      <c r="CJ108" s="33">
        <v>1</v>
      </c>
      <c r="CK108" s="33">
        <v>1</v>
      </c>
      <c r="CL108" s="33">
        <v>0</v>
      </c>
      <c r="CM108" s="33">
        <v>0</v>
      </c>
      <c r="CN108" s="2" t="s">
        <v>82</v>
      </c>
    </row>
    <row r="109" spans="1:92" ht="28" x14ac:dyDescent="0.15">
      <c r="A109" s="51">
        <v>45860.794196666669</v>
      </c>
      <c r="B109" s="3" t="s">
        <v>29</v>
      </c>
      <c r="C109" s="18">
        <v>4</v>
      </c>
      <c r="D109" s="117"/>
      <c r="E109" s="6" t="s">
        <v>127</v>
      </c>
      <c r="F109" s="18">
        <v>2</v>
      </c>
      <c r="G109" s="117"/>
      <c r="H109" s="6" t="s">
        <v>91</v>
      </c>
      <c r="I109" s="18">
        <v>0</v>
      </c>
      <c r="J109" s="117"/>
      <c r="K109" s="43" t="s">
        <v>107</v>
      </c>
      <c r="L109" s="18">
        <v>1</v>
      </c>
      <c r="M109" s="120"/>
      <c r="N109" s="4" t="s">
        <v>124</v>
      </c>
      <c r="O109" s="18">
        <v>1</v>
      </c>
      <c r="P109" s="120"/>
      <c r="Q109" s="4" t="s">
        <v>34</v>
      </c>
      <c r="R109" s="18">
        <v>1</v>
      </c>
      <c r="S109" s="120"/>
      <c r="T109" s="4" t="s">
        <v>57</v>
      </c>
      <c r="U109" s="18">
        <v>0</v>
      </c>
      <c r="V109" s="120"/>
      <c r="W109" s="4" t="s">
        <v>49</v>
      </c>
      <c r="X109" s="18">
        <v>0</v>
      </c>
      <c r="Y109" s="120"/>
      <c r="Z109" s="9" t="s">
        <v>170</v>
      </c>
      <c r="AA109" s="18">
        <v>2</v>
      </c>
      <c r="AB109" s="120"/>
      <c r="AC109" s="4" t="s">
        <v>59</v>
      </c>
      <c r="AD109" s="18">
        <v>5</v>
      </c>
      <c r="AE109" s="120"/>
      <c r="AF109" s="4" t="s">
        <v>115</v>
      </c>
      <c r="AG109" s="18">
        <v>0</v>
      </c>
      <c r="AH109" s="120"/>
      <c r="AI109" s="13" t="s">
        <v>84</v>
      </c>
      <c r="AJ109" s="24">
        <v>0</v>
      </c>
      <c r="AK109" s="126"/>
      <c r="AL109" s="4" t="s">
        <v>85</v>
      </c>
      <c r="AM109" s="18">
        <v>1</v>
      </c>
      <c r="AN109" s="120"/>
      <c r="AO109" s="4" t="s">
        <v>130</v>
      </c>
      <c r="AP109" s="18">
        <v>3</v>
      </c>
      <c r="AQ109" s="120"/>
      <c r="AR109" s="4" t="s">
        <v>61</v>
      </c>
      <c r="AS109" s="18">
        <v>1</v>
      </c>
      <c r="AT109" s="120"/>
      <c r="AU109" s="4" t="s">
        <v>86</v>
      </c>
      <c r="AV109" s="18">
        <v>0</v>
      </c>
      <c r="AW109" s="120"/>
      <c r="AX109" s="4" t="s">
        <v>73</v>
      </c>
      <c r="AY109" s="18">
        <v>3</v>
      </c>
      <c r="AZ109" s="120"/>
      <c r="BA109" s="4" t="s">
        <v>46</v>
      </c>
      <c r="BB109" s="18">
        <v>1</v>
      </c>
      <c r="BC109" s="18">
        <v>0</v>
      </c>
      <c r="BD109" s="18">
        <v>1</v>
      </c>
      <c r="BE109" s="18">
        <v>0</v>
      </c>
      <c r="BF109" s="18">
        <v>0</v>
      </c>
      <c r="BG109" s="18">
        <v>0</v>
      </c>
      <c r="BH109" s="150" t="s">
        <v>47</v>
      </c>
      <c r="BI109" s="18">
        <v>0</v>
      </c>
      <c r="BJ109" s="130"/>
      <c r="BK109" s="4" t="s">
        <v>75</v>
      </c>
      <c r="BL109" s="18">
        <v>0</v>
      </c>
      <c r="BM109" s="120"/>
      <c r="BN109" s="4" t="s">
        <v>36</v>
      </c>
      <c r="BO109" s="18">
        <v>0</v>
      </c>
      <c r="BP109" s="120"/>
      <c r="BQ109" s="18" t="s">
        <v>87</v>
      </c>
      <c r="BR109" s="18">
        <v>0</v>
      </c>
      <c r="BS109" s="120"/>
      <c r="BT109" s="4" t="s">
        <v>46</v>
      </c>
      <c r="BU109" s="18">
        <v>3</v>
      </c>
      <c r="BV109" s="120"/>
      <c r="BW109" s="4" t="s">
        <v>147</v>
      </c>
      <c r="BX109" s="18">
        <v>0</v>
      </c>
      <c r="BY109" s="120"/>
      <c r="BZ109" s="4" t="s">
        <v>171</v>
      </c>
      <c r="CA109" s="18">
        <v>0</v>
      </c>
      <c r="CB109" s="120"/>
      <c r="CC109" s="4" t="s">
        <v>49</v>
      </c>
      <c r="CD109" s="18">
        <v>2</v>
      </c>
      <c r="CE109" s="120"/>
      <c r="CF109" s="18" t="s">
        <v>36</v>
      </c>
      <c r="CG109" s="18">
        <v>0</v>
      </c>
      <c r="CH109" s="120"/>
      <c r="CI109" s="4" t="s">
        <v>172</v>
      </c>
      <c r="CJ109" s="34">
        <v>0</v>
      </c>
      <c r="CK109" s="34">
        <v>0</v>
      </c>
      <c r="CL109" s="34">
        <v>0</v>
      </c>
      <c r="CM109" s="34">
        <v>1</v>
      </c>
      <c r="CN109" s="5" t="s">
        <v>173</v>
      </c>
    </row>
    <row r="110" spans="1:92" ht="28" x14ac:dyDescent="0.15">
      <c r="A110" s="51">
        <v>45860.798755520838</v>
      </c>
      <c r="B110" s="3" t="s">
        <v>29</v>
      </c>
      <c r="C110" s="17">
        <v>3</v>
      </c>
      <c r="D110" s="116"/>
      <c r="E110" s="6" t="s">
        <v>90</v>
      </c>
      <c r="F110" s="17">
        <v>1</v>
      </c>
      <c r="G110" s="116"/>
      <c r="H110" s="6" t="s">
        <v>31</v>
      </c>
      <c r="I110" s="17">
        <v>2</v>
      </c>
      <c r="J110" s="116"/>
      <c r="K110" s="43" t="s">
        <v>116</v>
      </c>
      <c r="L110" s="17">
        <v>0</v>
      </c>
      <c r="M110" s="119"/>
      <c r="N110" s="1" t="s">
        <v>145</v>
      </c>
      <c r="O110" s="18">
        <v>1</v>
      </c>
      <c r="P110" s="117"/>
      <c r="Q110" s="1" t="s">
        <v>34</v>
      </c>
      <c r="R110" s="17">
        <v>1</v>
      </c>
      <c r="S110" s="119"/>
      <c r="T110" s="1" t="s">
        <v>57</v>
      </c>
      <c r="U110" s="17">
        <v>1</v>
      </c>
      <c r="V110" s="119"/>
      <c r="W110" s="1" t="s">
        <v>92</v>
      </c>
      <c r="X110" s="17">
        <v>1</v>
      </c>
      <c r="Y110" s="119"/>
      <c r="Z110" s="1" t="s">
        <v>58</v>
      </c>
      <c r="AA110" s="17">
        <v>1</v>
      </c>
      <c r="AB110" s="119"/>
      <c r="AC110" s="1" t="s">
        <v>69</v>
      </c>
      <c r="AD110" s="17">
        <v>2</v>
      </c>
      <c r="AE110" s="119"/>
      <c r="AF110" s="1" t="s">
        <v>83</v>
      </c>
      <c r="AG110" s="17">
        <v>3</v>
      </c>
      <c r="AH110" s="119"/>
      <c r="AI110" s="11" t="s">
        <v>94</v>
      </c>
      <c r="AJ110" s="25">
        <v>2</v>
      </c>
      <c r="AK110" s="127"/>
      <c r="AL110" s="1" t="s">
        <v>71</v>
      </c>
      <c r="AM110" s="17">
        <v>2</v>
      </c>
      <c r="AN110" s="119"/>
      <c r="AO110" s="1" t="s">
        <v>72</v>
      </c>
      <c r="AP110" s="17">
        <v>3</v>
      </c>
      <c r="AQ110" s="119"/>
      <c r="AR110" s="1" t="s">
        <v>61</v>
      </c>
      <c r="AS110" s="17">
        <v>2</v>
      </c>
      <c r="AT110" s="119"/>
      <c r="AU110" s="1" t="s">
        <v>44</v>
      </c>
      <c r="AV110" s="17">
        <v>0</v>
      </c>
      <c r="AW110" s="119"/>
      <c r="AX110" s="1" t="s">
        <v>73</v>
      </c>
      <c r="AY110" s="17">
        <v>1</v>
      </c>
      <c r="AZ110" s="119"/>
      <c r="BA110" s="1" t="s">
        <v>69</v>
      </c>
      <c r="BB110" s="17">
        <v>1</v>
      </c>
      <c r="BC110" s="17">
        <v>0</v>
      </c>
      <c r="BD110" s="17">
        <v>1</v>
      </c>
      <c r="BE110" s="17">
        <v>0</v>
      </c>
      <c r="BF110" s="17">
        <v>0</v>
      </c>
      <c r="BG110" s="17">
        <v>0</v>
      </c>
      <c r="BH110" s="149" t="s">
        <v>47</v>
      </c>
      <c r="BI110" s="17">
        <v>0</v>
      </c>
      <c r="BJ110" s="131"/>
      <c r="BK110" s="1" t="s">
        <v>75</v>
      </c>
      <c r="BL110" s="17">
        <v>2</v>
      </c>
      <c r="BM110" s="119"/>
      <c r="BN110" s="1" t="s">
        <v>64</v>
      </c>
      <c r="BO110" s="17">
        <v>1</v>
      </c>
      <c r="BP110" s="119"/>
      <c r="BQ110" s="17" t="s">
        <v>50</v>
      </c>
      <c r="BR110" s="17">
        <v>1</v>
      </c>
      <c r="BS110" s="119"/>
      <c r="BT110" s="1" t="s">
        <v>69</v>
      </c>
      <c r="BU110" s="17">
        <v>0</v>
      </c>
      <c r="BV110" s="119"/>
      <c r="BW110" s="1" t="s">
        <v>88</v>
      </c>
      <c r="BX110" s="17">
        <v>2</v>
      </c>
      <c r="BY110" s="119"/>
      <c r="BZ110" s="1" t="s">
        <v>97</v>
      </c>
      <c r="CA110" s="17">
        <v>2</v>
      </c>
      <c r="CB110" s="119"/>
      <c r="CC110" s="1" t="s">
        <v>76</v>
      </c>
      <c r="CD110" s="17">
        <v>1</v>
      </c>
      <c r="CE110" s="119"/>
      <c r="CF110" s="17" t="s">
        <v>77</v>
      </c>
      <c r="CG110" s="17">
        <v>3</v>
      </c>
      <c r="CH110" s="119"/>
      <c r="CI110" s="1" t="s">
        <v>53</v>
      </c>
      <c r="CJ110" s="33">
        <v>1</v>
      </c>
      <c r="CK110" s="33">
        <v>0</v>
      </c>
      <c r="CL110" s="33">
        <v>1</v>
      </c>
      <c r="CM110" s="33">
        <v>0</v>
      </c>
      <c r="CN110" s="2" t="s">
        <v>54</v>
      </c>
    </row>
    <row r="111" spans="1:92" ht="42" x14ac:dyDescent="0.15">
      <c r="A111" s="51">
        <v>45860.8037133912</v>
      </c>
      <c r="B111" s="3" t="s">
        <v>29</v>
      </c>
      <c r="C111" s="18">
        <v>3</v>
      </c>
      <c r="D111" s="117"/>
      <c r="E111" s="6" t="s">
        <v>90</v>
      </c>
      <c r="F111" s="18">
        <v>2</v>
      </c>
      <c r="G111" s="117"/>
      <c r="H111" s="6" t="s">
        <v>91</v>
      </c>
      <c r="I111" s="18">
        <v>3</v>
      </c>
      <c r="J111" s="117"/>
      <c r="K111" s="43" t="s">
        <v>56</v>
      </c>
      <c r="L111" s="18">
        <v>3</v>
      </c>
      <c r="M111" s="120"/>
      <c r="N111" s="4" t="s">
        <v>148</v>
      </c>
      <c r="O111" s="18">
        <v>1</v>
      </c>
      <c r="P111" s="120"/>
      <c r="Q111" s="4" t="s">
        <v>34</v>
      </c>
      <c r="R111" s="18">
        <v>2</v>
      </c>
      <c r="S111" s="120"/>
      <c r="T111" s="4" t="s">
        <v>35</v>
      </c>
      <c r="U111" s="18">
        <v>2</v>
      </c>
      <c r="V111" s="120"/>
      <c r="W111" s="4" t="s">
        <v>36</v>
      </c>
      <c r="X111" s="18">
        <v>1</v>
      </c>
      <c r="Y111" s="120"/>
      <c r="Z111" s="12" t="s">
        <v>174</v>
      </c>
      <c r="AA111" s="18">
        <v>2</v>
      </c>
      <c r="AB111" s="120"/>
      <c r="AC111" s="4" t="s">
        <v>59</v>
      </c>
      <c r="AD111" s="18">
        <v>4</v>
      </c>
      <c r="AE111" s="120"/>
      <c r="AF111" s="4" t="s">
        <v>93</v>
      </c>
      <c r="AG111" s="18">
        <v>3</v>
      </c>
      <c r="AH111" s="120"/>
      <c r="AI111" s="13" t="s">
        <v>94</v>
      </c>
      <c r="AJ111" s="24">
        <v>3</v>
      </c>
      <c r="AK111" s="126"/>
      <c r="AL111" s="4" t="s">
        <v>41</v>
      </c>
      <c r="AM111" s="18">
        <v>3</v>
      </c>
      <c r="AN111" s="120"/>
      <c r="AO111" s="4" t="s">
        <v>42</v>
      </c>
      <c r="AP111" s="18">
        <v>0</v>
      </c>
      <c r="AQ111" s="120"/>
      <c r="AR111" s="9" t="s">
        <v>175</v>
      </c>
      <c r="AS111" s="18">
        <v>2</v>
      </c>
      <c r="AT111" s="120"/>
      <c r="AU111" s="12" t="s">
        <v>176</v>
      </c>
      <c r="AV111" s="18">
        <v>2</v>
      </c>
      <c r="AW111" s="120"/>
      <c r="AX111" s="4" t="s">
        <v>80</v>
      </c>
      <c r="AY111" s="18">
        <v>1</v>
      </c>
      <c r="AZ111" s="120"/>
      <c r="BA111" s="4" t="s">
        <v>69</v>
      </c>
      <c r="BB111" s="18">
        <v>1</v>
      </c>
      <c r="BC111" s="18">
        <v>0</v>
      </c>
      <c r="BD111" s="18">
        <v>1</v>
      </c>
      <c r="BE111" s="18">
        <v>0</v>
      </c>
      <c r="BF111" s="18">
        <v>0</v>
      </c>
      <c r="BG111" s="18">
        <v>0</v>
      </c>
      <c r="BH111" s="150" t="s">
        <v>47</v>
      </c>
      <c r="BI111" s="18">
        <v>2</v>
      </c>
      <c r="BJ111" s="130"/>
      <c r="BK111" s="4" t="s">
        <v>48</v>
      </c>
      <c r="BL111" s="18">
        <v>2</v>
      </c>
      <c r="BM111" s="120"/>
      <c r="BN111" s="4" t="s">
        <v>64</v>
      </c>
      <c r="BO111" s="18">
        <v>1</v>
      </c>
      <c r="BP111" s="120"/>
      <c r="BQ111" s="18" t="s">
        <v>50</v>
      </c>
      <c r="BR111" s="18">
        <v>2</v>
      </c>
      <c r="BS111" s="120"/>
      <c r="BT111" s="4" t="s">
        <v>65</v>
      </c>
      <c r="BU111" s="18">
        <v>2</v>
      </c>
      <c r="BV111" s="120"/>
      <c r="BW111" s="4" t="s">
        <v>51</v>
      </c>
      <c r="BX111" s="18">
        <v>2</v>
      </c>
      <c r="BY111" s="120"/>
      <c r="BZ111" s="13" t="s">
        <v>177</v>
      </c>
      <c r="CA111" s="18">
        <v>3</v>
      </c>
      <c r="CB111" s="120"/>
      <c r="CC111" s="4" t="s">
        <v>36</v>
      </c>
      <c r="CD111" s="18">
        <v>0</v>
      </c>
      <c r="CE111" s="120"/>
      <c r="CF111" s="18" t="s">
        <v>49</v>
      </c>
      <c r="CG111" s="18">
        <v>1</v>
      </c>
      <c r="CH111" s="120"/>
      <c r="CI111" s="13" t="s">
        <v>178</v>
      </c>
      <c r="CJ111" s="34">
        <v>0</v>
      </c>
      <c r="CK111" s="34">
        <v>1</v>
      </c>
      <c r="CL111" s="34">
        <v>1</v>
      </c>
      <c r="CM111" s="34">
        <v>0</v>
      </c>
      <c r="CN111" s="5" t="s">
        <v>98</v>
      </c>
    </row>
    <row r="112" spans="1:92" ht="28" x14ac:dyDescent="0.15">
      <c r="A112" s="51">
        <v>45860.806756423612</v>
      </c>
      <c r="B112" s="3" t="s">
        <v>29</v>
      </c>
      <c r="C112" s="17">
        <v>3</v>
      </c>
      <c r="D112" s="116"/>
      <c r="E112" s="6" t="s">
        <v>90</v>
      </c>
      <c r="F112" s="17">
        <v>1</v>
      </c>
      <c r="G112" s="116"/>
      <c r="H112" s="6" t="s">
        <v>31</v>
      </c>
      <c r="I112" s="17">
        <v>2</v>
      </c>
      <c r="J112" s="116"/>
      <c r="K112" s="43" t="s">
        <v>116</v>
      </c>
      <c r="L112" s="17">
        <v>2</v>
      </c>
      <c r="M112" s="119"/>
      <c r="N112" s="1" t="s">
        <v>33</v>
      </c>
      <c r="O112" s="18">
        <v>1</v>
      </c>
      <c r="P112" s="117"/>
      <c r="Q112" s="1" t="s">
        <v>34</v>
      </c>
      <c r="R112" s="17">
        <v>1</v>
      </c>
      <c r="S112" s="119"/>
      <c r="T112" s="1" t="s">
        <v>57</v>
      </c>
      <c r="U112" s="17">
        <v>0</v>
      </c>
      <c r="V112" s="119"/>
      <c r="W112" s="1" t="s">
        <v>77</v>
      </c>
      <c r="X112" s="17">
        <v>1</v>
      </c>
      <c r="Y112" s="119"/>
      <c r="Z112" s="1" t="s">
        <v>58</v>
      </c>
      <c r="AA112" s="17">
        <v>1</v>
      </c>
      <c r="AB112" s="119"/>
      <c r="AC112" s="1" t="s">
        <v>69</v>
      </c>
      <c r="AD112" s="17">
        <v>3</v>
      </c>
      <c r="AE112" s="119"/>
      <c r="AF112" s="1" t="s">
        <v>60</v>
      </c>
      <c r="AG112" s="17">
        <v>0</v>
      </c>
      <c r="AH112" s="119"/>
      <c r="AI112" s="11" t="s">
        <v>84</v>
      </c>
      <c r="AJ112" s="25">
        <v>2</v>
      </c>
      <c r="AK112" s="127"/>
      <c r="AL112" s="1" t="s">
        <v>71</v>
      </c>
      <c r="AM112" s="17">
        <v>2</v>
      </c>
      <c r="AN112" s="119"/>
      <c r="AO112" s="1" t="s">
        <v>72</v>
      </c>
      <c r="AP112" s="17">
        <v>3</v>
      </c>
      <c r="AQ112" s="119"/>
      <c r="AR112" s="1" t="s">
        <v>61</v>
      </c>
      <c r="AS112" s="17">
        <v>2</v>
      </c>
      <c r="AT112" s="119"/>
      <c r="AU112" s="1" t="s">
        <v>44</v>
      </c>
      <c r="AV112" s="17">
        <v>0</v>
      </c>
      <c r="AW112" s="119"/>
      <c r="AX112" s="1" t="s">
        <v>73</v>
      </c>
      <c r="AY112" s="17">
        <v>3</v>
      </c>
      <c r="AZ112" s="119"/>
      <c r="BA112" s="1" t="s">
        <v>46</v>
      </c>
      <c r="BB112" s="17">
        <v>1</v>
      </c>
      <c r="BC112" s="17">
        <v>0</v>
      </c>
      <c r="BD112" s="17">
        <v>1</v>
      </c>
      <c r="BE112" s="17">
        <v>0</v>
      </c>
      <c r="BF112" s="17">
        <v>0</v>
      </c>
      <c r="BG112" s="17">
        <v>0</v>
      </c>
      <c r="BH112" s="149" t="s">
        <v>47</v>
      </c>
      <c r="BI112" s="17">
        <v>0</v>
      </c>
      <c r="BJ112" s="131"/>
      <c r="BK112" s="1" t="s">
        <v>75</v>
      </c>
      <c r="BL112" s="17">
        <v>3</v>
      </c>
      <c r="BM112" s="119"/>
      <c r="BN112" s="1" t="s">
        <v>49</v>
      </c>
      <c r="BO112" s="17">
        <v>0</v>
      </c>
      <c r="BP112" s="119"/>
      <c r="BQ112" s="17" t="s">
        <v>87</v>
      </c>
      <c r="BR112" s="17">
        <v>0</v>
      </c>
      <c r="BS112" s="119"/>
      <c r="BT112" s="1" t="s">
        <v>46</v>
      </c>
      <c r="BU112" s="17">
        <v>0</v>
      </c>
      <c r="BV112" s="119"/>
      <c r="BW112" s="1" t="s">
        <v>88</v>
      </c>
      <c r="BX112" s="17">
        <v>3</v>
      </c>
      <c r="BY112" s="119"/>
      <c r="BZ112" s="1" t="s">
        <v>52</v>
      </c>
      <c r="CA112" s="17">
        <v>2</v>
      </c>
      <c r="CB112" s="119"/>
      <c r="CC112" s="1" t="s">
        <v>76</v>
      </c>
      <c r="CD112" s="17">
        <v>1</v>
      </c>
      <c r="CE112" s="119"/>
      <c r="CF112" s="17" t="s">
        <v>77</v>
      </c>
      <c r="CG112" s="17">
        <v>3</v>
      </c>
      <c r="CH112" s="119"/>
      <c r="CI112" s="1" t="s">
        <v>78</v>
      </c>
      <c r="CJ112" s="33">
        <v>1</v>
      </c>
      <c r="CK112" s="33">
        <v>1</v>
      </c>
      <c r="CL112" s="33">
        <v>0</v>
      </c>
      <c r="CM112" s="33">
        <v>0</v>
      </c>
      <c r="CN112" s="2" t="s">
        <v>82</v>
      </c>
    </row>
    <row r="113" spans="1:92" ht="28" x14ac:dyDescent="0.15">
      <c r="A113" s="51">
        <v>45860.808118819448</v>
      </c>
      <c r="B113" s="3" t="s">
        <v>29</v>
      </c>
      <c r="C113" s="18">
        <v>3</v>
      </c>
      <c r="D113" s="117"/>
      <c r="E113" s="6" t="s">
        <v>90</v>
      </c>
      <c r="F113" s="18">
        <v>1</v>
      </c>
      <c r="G113" s="117"/>
      <c r="H113" s="6" t="s">
        <v>31</v>
      </c>
      <c r="I113" s="18">
        <v>3</v>
      </c>
      <c r="J113" s="117"/>
      <c r="K113" s="43" t="s">
        <v>56</v>
      </c>
      <c r="L113" s="18">
        <v>2</v>
      </c>
      <c r="M113" s="120"/>
      <c r="N113" s="4" t="s">
        <v>33</v>
      </c>
      <c r="O113" s="18">
        <v>1</v>
      </c>
      <c r="P113" s="120"/>
      <c r="Q113" s="4" t="s">
        <v>34</v>
      </c>
      <c r="R113" s="18">
        <v>2</v>
      </c>
      <c r="S113" s="120"/>
      <c r="T113" s="4" t="s">
        <v>35</v>
      </c>
      <c r="U113" s="18">
        <v>2</v>
      </c>
      <c r="V113" s="120"/>
      <c r="W113" s="4" t="s">
        <v>36</v>
      </c>
      <c r="X113" s="18">
        <v>1</v>
      </c>
      <c r="Y113" s="120"/>
      <c r="Z113" s="4" t="s">
        <v>58</v>
      </c>
      <c r="AA113" s="18">
        <v>2</v>
      </c>
      <c r="AB113" s="120"/>
      <c r="AC113" s="4" t="s">
        <v>59</v>
      </c>
      <c r="AD113" s="18">
        <v>0</v>
      </c>
      <c r="AE113" s="120"/>
      <c r="AF113" s="4" t="s">
        <v>70</v>
      </c>
      <c r="AG113" s="18">
        <v>2</v>
      </c>
      <c r="AH113" s="120"/>
      <c r="AI113" s="13" t="s">
        <v>40</v>
      </c>
      <c r="AJ113" s="24">
        <v>3</v>
      </c>
      <c r="AK113" s="126"/>
      <c r="AL113" s="4" t="s">
        <v>41</v>
      </c>
      <c r="AM113" s="18">
        <v>3</v>
      </c>
      <c r="AN113" s="120"/>
      <c r="AO113" s="4" t="s">
        <v>42</v>
      </c>
      <c r="AP113" s="18">
        <v>3</v>
      </c>
      <c r="AQ113" s="120"/>
      <c r="AR113" s="4" t="s">
        <v>61</v>
      </c>
      <c r="AS113" s="18">
        <v>3</v>
      </c>
      <c r="AT113" s="120"/>
      <c r="AU113" s="4" t="s">
        <v>79</v>
      </c>
      <c r="AV113" s="18">
        <v>0</v>
      </c>
      <c r="AW113" s="120"/>
      <c r="AX113" s="4" t="s">
        <v>62</v>
      </c>
      <c r="AY113" s="18">
        <v>1</v>
      </c>
      <c r="AZ113" s="120"/>
      <c r="BA113" s="4" t="s">
        <v>69</v>
      </c>
      <c r="BB113" s="18">
        <v>1</v>
      </c>
      <c r="BC113" s="18">
        <v>0</v>
      </c>
      <c r="BD113" s="18">
        <v>1</v>
      </c>
      <c r="BE113" s="18">
        <v>0</v>
      </c>
      <c r="BF113" s="18">
        <v>0</v>
      </c>
      <c r="BG113" s="18">
        <v>0</v>
      </c>
      <c r="BH113" s="150" t="s">
        <v>47</v>
      </c>
      <c r="BI113" s="18">
        <v>2</v>
      </c>
      <c r="BJ113" s="130"/>
      <c r="BK113" s="4" t="s">
        <v>48</v>
      </c>
      <c r="BL113" s="18">
        <v>0</v>
      </c>
      <c r="BM113" s="120"/>
      <c r="BN113" s="4" t="s">
        <v>36</v>
      </c>
      <c r="BO113" s="18">
        <v>2</v>
      </c>
      <c r="BP113" s="120"/>
      <c r="BQ113" s="18" t="s">
        <v>117</v>
      </c>
      <c r="BR113" s="18">
        <v>3</v>
      </c>
      <c r="BS113" s="120"/>
      <c r="BT113" s="4" t="s">
        <v>38</v>
      </c>
      <c r="BU113" s="18">
        <v>1</v>
      </c>
      <c r="BV113" s="120"/>
      <c r="BW113" s="4" t="s">
        <v>66</v>
      </c>
      <c r="BX113" s="18">
        <v>3</v>
      </c>
      <c r="BY113" s="120"/>
      <c r="BZ113" s="4" t="s">
        <v>52</v>
      </c>
      <c r="CA113" s="18">
        <v>3</v>
      </c>
      <c r="CB113" s="120"/>
      <c r="CC113" s="4" t="s">
        <v>36</v>
      </c>
      <c r="CD113" s="18">
        <v>1</v>
      </c>
      <c r="CE113" s="120"/>
      <c r="CF113" s="18" t="s">
        <v>77</v>
      </c>
      <c r="CG113" s="18">
        <v>1</v>
      </c>
      <c r="CH113" s="120"/>
      <c r="CI113" s="4" t="s">
        <v>77</v>
      </c>
      <c r="CJ113" s="34">
        <v>0</v>
      </c>
      <c r="CK113" s="34">
        <v>1</v>
      </c>
      <c r="CL113" s="34">
        <v>1</v>
      </c>
      <c r="CM113" s="34">
        <v>0</v>
      </c>
      <c r="CN113" s="5" t="s">
        <v>98</v>
      </c>
    </row>
    <row r="114" spans="1:92" ht="28" x14ac:dyDescent="0.15">
      <c r="A114" s="51">
        <v>45860.813082499997</v>
      </c>
      <c r="B114" s="3" t="s">
        <v>29</v>
      </c>
      <c r="C114" s="17">
        <v>3</v>
      </c>
      <c r="D114" s="116"/>
      <c r="E114" s="6" t="s">
        <v>90</v>
      </c>
      <c r="F114" s="17">
        <v>1</v>
      </c>
      <c r="G114" s="116"/>
      <c r="H114" s="6" t="s">
        <v>31</v>
      </c>
      <c r="I114" s="17">
        <v>3</v>
      </c>
      <c r="J114" s="116"/>
      <c r="K114" s="43" t="s">
        <v>56</v>
      </c>
      <c r="L114" s="17">
        <v>2</v>
      </c>
      <c r="M114" s="119"/>
      <c r="N114" s="1" t="s">
        <v>33</v>
      </c>
      <c r="O114" s="18">
        <v>1</v>
      </c>
      <c r="P114" s="117"/>
      <c r="Q114" s="1" t="s">
        <v>34</v>
      </c>
      <c r="R114" s="17">
        <v>1</v>
      </c>
      <c r="S114" s="119"/>
      <c r="T114" s="1" t="s">
        <v>57</v>
      </c>
      <c r="U114" s="17">
        <v>1</v>
      </c>
      <c r="V114" s="119"/>
      <c r="W114" s="1" t="s">
        <v>92</v>
      </c>
      <c r="X114" s="17">
        <v>0</v>
      </c>
      <c r="Y114" s="119"/>
      <c r="Z114" s="1" t="s">
        <v>108</v>
      </c>
      <c r="AA114" s="17">
        <v>0</v>
      </c>
      <c r="AB114" s="119"/>
      <c r="AC114" s="1" t="s">
        <v>46</v>
      </c>
      <c r="AD114" s="17">
        <v>4</v>
      </c>
      <c r="AE114" s="119"/>
      <c r="AF114" s="1" t="s">
        <v>93</v>
      </c>
      <c r="AG114" s="17">
        <v>0</v>
      </c>
      <c r="AH114" s="119"/>
      <c r="AI114" s="11" t="s">
        <v>84</v>
      </c>
      <c r="AJ114" s="25">
        <v>3</v>
      </c>
      <c r="AK114" s="127"/>
      <c r="AL114" s="1" t="s">
        <v>41</v>
      </c>
      <c r="AM114" s="17">
        <v>0</v>
      </c>
      <c r="AN114" s="119"/>
      <c r="AO114" s="1" t="s">
        <v>110</v>
      </c>
      <c r="AP114" s="17">
        <v>3</v>
      </c>
      <c r="AQ114" s="119"/>
      <c r="AR114" s="1" t="s">
        <v>61</v>
      </c>
      <c r="AS114" s="17">
        <v>3</v>
      </c>
      <c r="AT114" s="119"/>
      <c r="AU114" s="1" t="s">
        <v>79</v>
      </c>
      <c r="AV114" s="17">
        <v>0</v>
      </c>
      <c r="AW114" s="119"/>
      <c r="AX114" s="1" t="s">
        <v>62</v>
      </c>
      <c r="AY114" s="17">
        <v>0</v>
      </c>
      <c r="AZ114" s="119"/>
      <c r="BA114" s="1" t="s">
        <v>38</v>
      </c>
      <c r="BB114" s="17">
        <v>1</v>
      </c>
      <c r="BC114" s="17">
        <v>0</v>
      </c>
      <c r="BD114" s="17">
        <v>0</v>
      </c>
      <c r="BE114" s="17">
        <v>1</v>
      </c>
      <c r="BF114" s="17">
        <v>0</v>
      </c>
      <c r="BG114" s="17">
        <v>0</v>
      </c>
      <c r="BH114" s="149" t="s">
        <v>74</v>
      </c>
      <c r="BI114" s="17">
        <v>0</v>
      </c>
      <c r="BJ114" s="131"/>
      <c r="BK114" s="1" t="s">
        <v>75</v>
      </c>
      <c r="BL114" s="17">
        <v>0</v>
      </c>
      <c r="BM114" s="119"/>
      <c r="BN114" s="1" t="s">
        <v>36</v>
      </c>
      <c r="BO114" s="17">
        <v>0</v>
      </c>
      <c r="BP114" s="119"/>
      <c r="BQ114" s="17" t="s">
        <v>87</v>
      </c>
      <c r="BR114" s="17">
        <v>3</v>
      </c>
      <c r="BS114" s="119"/>
      <c r="BT114" s="1" t="s">
        <v>38</v>
      </c>
      <c r="BU114" s="17">
        <v>2</v>
      </c>
      <c r="BV114" s="119"/>
      <c r="BW114" s="1" t="s">
        <v>51</v>
      </c>
      <c r="BX114" s="17">
        <v>2</v>
      </c>
      <c r="BY114" s="119"/>
      <c r="BZ114" s="1" t="s">
        <v>97</v>
      </c>
      <c r="CA114" s="17">
        <v>0</v>
      </c>
      <c r="CB114" s="119"/>
      <c r="CC114" s="1" t="s">
        <v>49</v>
      </c>
      <c r="CD114" s="17">
        <v>0</v>
      </c>
      <c r="CE114" s="119"/>
      <c r="CF114" s="17" t="s">
        <v>49</v>
      </c>
      <c r="CG114" s="17">
        <v>2</v>
      </c>
      <c r="CH114" s="119"/>
      <c r="CI114" s="1" t="s">
        <v>78</v>
      </c>
      <c r="CJ114" s="33">
        <v>0</v>
      </c>
      <c r="CK114" s="33">
        <v>1</v>
      </c>
      <c r="CL114" s="33">
        <v>0</v>
      </c>
      <c r="CM114" s="33">
        <v>0</v>
      </c>
      <c r="CN114" s="2" t="s">
        <v>137</v>
      </c>
    </row>
    <row r="115" spans="1:92" ht="28" x14ac:dyDescent="0.15">
      <c r="A115" s="51">
        <v>45860.813468587963</v>
      </c>
      <c r="B115" s="3" t="s">
        <v>29</v>
      </c>
      <c r="C115" s="18">
        <v>3</v>
      </c>
      <c r="D115" s="117"/>
      <c r="E115" s="6" t="s">
        <v>90</v>
      </c>
      <c r="F115" s="18">
        <v>2</v>
      </c>
      <c r="G115" s="117"/>
      <c r="H115" s="6" t="s">
        <v>91</v>
      </c>
      <c r="I115" s="18">
        <v>3</v>
      </c>
      <c r="J115" s="117"/>
      <c r="K115" s="43" t="s">
        <v>56</v>
      </c>
      <c r="L115" s="18">
        <v>2</v>
      </c>
      <c r="M115" s="120"/>
      <c r="N115" s="4" t="s">
        <v>33</v>
      </c>
      <c r="O115" s="18">
        <v>1</v>
      </c>
      <c r="P115" s="120"/>
      <c r="Q115" s="4" t="s">
        <v>34</v>
      </c>
      <c r="R115" s="18">
        <v>2</v>
      </c>
      <c r="S115" s="120"/>
      <c r="T115" s="4" t="s">
        <v>35</v>
      </c>
      <c r="U115" s="18">
        <v>1</v>
      </c>
      <c r="V115" s="120"/>
      <c r="W115" s="4" t="s">
        <v>92</v>
      </c>
      <c r="X115" s="18">
        <v>1</v>
      </c>
      <c r="Y115" s="120"/>
      <c r="Z115" s="4" t="s">
        <v>58</v>
      </c>
      <c r="AA115" s="18">
        <v>2</v>
      </c>
      <c r="AB115" s="120"/>
      <c r="AC115" s="4" t="s">
        <v>59</v>
      </c>
      <c r="AD115" s="18">
        <v>4</v>
      </c>
      <c r="AE115" s="120"/>
      <c r="AF115" s="4" t="s">
        <v>93</v>
      </c>
      <c r="AG115" s="18">
        <v>0</v>
      </c>
      <c r="AH115" s="120"/>
      <c r="AI115" s="13" t="s">
        <v>84</v>
      </c>
      <c r="AJ115" s="24">
        <v>1</v>
      </c>
      <c r="AK115" s="126"/>
      <c r="AL115" s="4" t="s">
        <v>77</v>
      </c>
      <c r="AM115" s="18">
        <v>1</v>
      </c>
      <c r="AN115" s="120"/>
      <c r="AO115" s="4" t="s">
        <v>130</v>
      </c>
      <c r="AP115" s="18">
        <v>3</v>
      </c>
      <c r="AQ115" s="120"/>
      <c r="AR115" s="4" t="s">
        <v>99</v>
      </c>
      <c r="AS115" s="18">
        <v>1</v>
      </c>
      <c r="AT115" s="120"/>
      <c r="AU115" s="4" t="s">
        <v>86</v>
      </c>
      <c r="AV115" s="18">
        <v>2</v>
      </c>
      <c r="AW115" s="120"/>
      <c r="AX115" s="4" t="s">
        <v>80</v>
      </c>
      <c r="AY115" s="18">
        <v>2</v>
      </c>
      <c r="AZ115" s="120"/>
      <c r="BA115" s="4" t="s">
        <v>59</v>
      </c>
      <c r="BB115" s="18">
        <v>0</v>
      </c>
      <c r="BC115" s="18">
        <v>0</v>
      </c>
      <c r="BD115" s="18">
        <v>0</v>
      </c>
      <c r="BE115" s="18">
        <v>1</v>
      </c>
      <c r="BF115" s="18">
        <v>0</v>
      </c>
      <c r="BG115" s="18">
        <v>0</v>
      </c>
      <c r="BH115" s="150" t="s">
        <v>155</v>
      </c>
      <c r="BI115" s="18">
        <v>1</v>
      </c>
      <c r="BJ115" s="130"/>
      <c r="BK115" s="4" t="s">
        <v>96</v>
      </c>
      <c r="BL115" s="18">
        <v>3</v>
      </c>
      <c r="BM115" s="120"/>
      <c r="BN115" s="4" t="s">
        <v>49</v>
      </c>
      <c r="BO115" s="18">
        <v>0</v>
      </c>
      <c r="BP115" s="120"/>
      <c r="BQ115" s="18" t="s">
        <v>87</v>
      </c>
      <c r="BR115" s="18">
        <v>2</v>
      </c>
      <c r="BS115" s="120"/>
      <c r="BT115" s="4" t="s">
        <v>65</v>
      </c>
      <c r="BU115" s="18">
        <v>2</v>
      </c>
      <c r="BV115" s="120"/>
      <c r="BW115" s="4" t="s">
        <v>51</v>
      </c>
      <c r="BX115" s="18">
        <v>1</v>
      </c>
      <c r="BY115" s="120"/>
      <c r="BZ115" s="4" t="s">
        <v>67</v>
      </c>
      <c r="CA115" s="18">
        <v>1</v>
      </c>
      <c r="CB115" s="120"/>
      <c r="CC115" s="4" t="s">
        <v>77</v>
      </c>
      <c r="CD115" s="18">
        <v>1</v>
      </c>
      <c r="CE115" s="120"/>
      <c r="CF115" s="18" t="s">
        <v>77</v>
      </c>
      <c r="CG115" s="18">
        <v>2</v>
      </c>
      <c r="CH115" s="120"/>
      <c r="CI115" s="4" t="s">
        <v>78</v>
      </c>
      <c r="CJ115" s="34">
        <v>0</v>
      </c>
      <c r="CK115" s="34">
        <v>0</v>
      </c>
      <c r="CL115" s="34">
        <v>0</v>
      </c>
      <c r="CM115" s="34">
        <v>1</v>
      </c>
      <c r="CN115" s="5" t="s">
        <v>101</v>
      </c>
    </row>
    <row r="116" spans="1:92" ht="28" x14ac:dyDescent="0.15">
      <c r="A116" s="51">
        <v>45860.824782534721</v>
      </c>
      <c r="B116" s="3" t="s">
        <v>29</v>
      </c>
      <c r="C116" s="17">
        <v>3</v>
      </c>
      <c r="D116" s="116"/>
      <c r="E116" s="6" t="s">
        <v>90</v>
      </c>
      <c r="F116" s="17">
        <v>1</v>
      </c>
      <c r="G116" s="116"/>
      <c r="H116" s="6" t="s">
        <v>31</v>
      </c>
      <c r="I116" s="17">
        <v>4</v>
      </c>
      <c r="J116" s="116"/>
      <c r="K116" s="43" t="s">
        <v>118</v>
      </c>
      <c r="L116" s="17">
        <v>2</v>
      </c>
      <c r="M116" s="119"/>
      <c r="N116" s="1" t="s">
        <v>33</v>
      </c>
      <c r="O116" s="18">
        <v>1</v>
      </c>
      <c r="P116" s="117"/>
      <c r="Q116" s="1" t="s">
        <v>34</v>
      </c>
      <c r="R116" s="17">
        <v>1</v>
      </c>
      <c r="S116" s="119"/>
      <c r="T116" s="1" t="s">
        <v>57</v>
      </c>
      <c r="U116" s="17">
        <v>2</v>
      </c>
      <c r="V116" s="119"/>
      <c r="W116" s="1" t="s">
        <v>36</v>
      </c>
      <c r="X116" s="17">
        <v>2</v>
      </c>
      <c r="Y116" s="119"/>
      <c r="Z116" s="1" t="s">
        <v>37</v>
      </c>
      <c r="AA116" s="17">
        <v>1</v>
      </c>
      <c r="AB116" s="119"/>
      <c r="AC116" s="1" t="s">
        <v>69</v>
      </c>
      <c r="AD116" s="17">
        <v>2</v>
      </c>
      <c r="AE116" s="119"/>
      <c r="AF116" s="1" t="s">
        <v>83</v>
      </c>
      <c r="AG116" s="17">
        <v>3</v>
      </c>
      <c r="AH116" s="119"/>
      <c r="AI116" s="11" t="s">
        <v>94</v>
      </c>
      <c r="AJ116" s="25">
        <v>3</v>
      </c>
      <c r="AK116" s="127"/>
      <c r="AL116" s="1" t="s">
        <v>41</v>
      </c>
      <c r="AM116" s="17">
        <v>3</v>
      </c>
      <c r="AN116" s="119"/>
      <c r="AO116" s="1" t="s">
        <v>42</v>
      </c>
      <c r="AP116" s="17">
        <v>3</v>
      </c>
      <c r="AQ116" s="119"/>
      <c r="AR116" s="1" t="s">
        <v>99</v>
      </c>
      <c r="AS116" s="17">
        <v>3</v>
      </c>
      <c r="AT116" s="119"/>
      <c r="AU116" s="1" t="s">
        <v>79</v>
      </c>
      <c r="AV116" s="17">
        <v>2</v>
      </c>
      <c r="AW116" s="119"/>
      <c r="AX116" s="1" t="s">
        <v>80</v>
      </c>
      <c r="AY116" s="17">
        <v>3</v>
      </c>
      <c r="AZ116" s="119"/>
      <c r="BA116" s="1" t="s">
        <v>46</v>
      </c>
      <c r="BB116" s="17">
        <v>1</v>
      </c>
      <c r="BC116" s="17">
        <v>0</v>
      </c>
      <c r="BD116" s="17">
        <v>1</v>
      </c>
      <c r="BE116" s="17">
        <v>0</v>
      </c>
      <c r="BF116" s="17">
        <v>0</v>
      </c>
      <c r="BG116" s="17">
        <v>0</v>
      </c>
      <c r="BH116" s="149" t="s">
        <v>47</v>
      </c>
      <c r="BI116" s="17">
        <v>2</v>
      </c>
      <c r="BJ116" s="131"/>
      <c r="BK116" s="1" t="s">
        <v>48</v>
      </c>
      <c r="BL116" s="17">
        <v>3</v>
      </c>
      <c r="BM116" s="119"/>
      <c r="BN116" s="1" t="s">
        <v>49</v>
      </c>
      <c r="BO116" s="17">
        <v>2</v>
      </c>
      <c r="BP116" s="119"/>
      <c r="BQ116" s="17" t="s">
        <v>117</v>
      </c>
      <c r="BR116" s="17">
        <v>2</v>
      </c>
      <c r="BS116" s="119"/>
      <c r="BT116" s="1" t="s">
        <v>65</v>
      </c>
      <c r="BU116" s="17">
        <v>1</v>
      </c>
      <c r="BV116" s="119"/>
      <c r="BW116" s="1" t="s">
        <v>66</v>
      </c>
      <c r="BX116" s="17">
        <v>3</v>
      </c>
      <c r="BY116" s="119"/>
      <c r="BZ116" s="1" t="s">
        <v>52</v>
      </c>
      <c r="CA116" s="17">
        <v>3</v>
      </c>
      <c r="CB116" s="119"/>
      <c r="CC116" s="1" t="s">
        <v>36</v>
      </c>
      <c r="CD116" s="17">
        <v>0</v>
      </c>
      <c r="CE116" s="119"/>
      <c r="CF116" s="17" t="s">
        <v>49</v>
      </c>
      <c r="CG116" s="17">
        <v>3</v>
      </c>
      <c r="CH116" s="119"/>
      <c r="CI116" s="1" t="s">
        <v>53</v>
      </c>
      <c r="CJ116" s="33">
        <v>0</v>
      </c>
      <c r="CK116" s="33">
        <v>1</v>
      </c>
      <c r="CL116" s="33">
        <v>1</v>
      </c>
      <c r="CM116" s="33">
        <v>0</v>
      </c>
      <c r="CN116" s="2" t="s">
        <v>98</v>
      </c>
    </row>
    <row r="117" spans="1:92" ht="28" x14ac:dyDescent="0.15">
      <c r="A117" s="51">
        <v>45860.827385902783</v>
      </c>
      <c r="B117" s="3" t="s">
        <v>29</v>
      </c>
      <c r="C117" s="18">
        <v>2</v>
      </c>
      <c r="D117" s="117"/>
      <c r="E117" s="6" t="s">
        <v>55</v>
      </c>
      <c r="F117" s="18">
        <v>2</v>
      </c>
      <c r="G117" s="117"/>
      <c r="H117" s="6" t="s">
        <v>91</v>
      </c>
      <c r="I117" s="18">
        <v>3</v>
      </c>
      <c r="J117" s="117"/>
      <c r="K117" s="43" t="s">
        <v>56</v>
      </c>
      <c r="L117" s="18">
        <v>2</v>
      </c>
      <c r="M117" s="120"/>
      <c r="N117" s="4" t="s">
        <v>33</v>
      </c>
      <c r="O117" s="18">
        <v>1</v>
      </c>
      <c r="P117" s="120"/>
      <c r="Q117" s="4" t="s">
        <v>34</v>
      </c>
      <c r="R117" s="18">
        <v>2</v>
      </c>
      <c r="S117" s="120"/>
      <c r="T117" s="4" t="s">
        <v>35</v>
      </c>
      <c r="U117" s="18">
        <v>1</v>
      </c>
      <c r="V117" s="120"/>
      <c r="W117" s="4" t="s">
        <v>92</v>
      </c>
      <c r="X117" s="18">
        <v>1</v>
      </c>
      <c r="Y117" s="120"/>
      <c r="Z117" s="4" t="s">
        <v>58</v>
      </c>
      <c r="AA117" s="18">
        <v>1</v>
      </c>
      <c r="AB117" s="120"/>
      <c r="AC117" s="4" t="s">
        <v>69</v>
      </c>
      <c r="AD117" s="18">
        <v>0</v>
      </c>
      <c r="AE117" s="120"/>
      <c r="AF117" s="4" t="s">
        <v>70</v>
      </c>
      <c r="AG117" s="18">
        <v>0</v>
      </c>
      <c r="AH117" s="120"/>
      <c r="AI117" s="13" t="s">
        <v>84</v>
      </c>
      <c r="AJ117" s="24">
        <v>2</v>
      </c>
      <c r="AK117" s="126"/>
      <c r="AL117" s="4" t="s">
        <v>71</v>
      </c>
      <c r="AM117" s="18">
        <v>1</v>
      </c>
      <c r="AN117" s="120"/>
      <c r="AO117" s="4" t="s">
        <v>130</v>
      </c>
      <c r="AP117" s="18">
        <v>3</v>
      </c>
      <c r="AQ117" s="120"/>
      <c r="AR117" s="4" t="s">
        <v>61</v>
      </c>
      <c r="AS117" s="18">
        <v>2</v>
      </c>
      <c r="AT117" s="120"/>
      <c r="AU117" s="4" t="s">
        <v>44</v>
      </c>
      <c r="AV117" s="18">
        <v>0</v>
      </c>
      <c r="AW117" s="120"/>
      <c r="AX117" s="4" t="s">
        <v>62</v>
      </c>
      <c r="AY117" s="18">
        <v>2</v>
      </c>
      <c r="AZ117" s="120"/>
      <c r="BA117" s="4" t="s">
        <v>59</v>
      </c>
      <c r="BB117" s="18">
        <v>1</v>
      </c>
      <c r="BC117" s="18">
        <v>0</v>
      </c>
      <c r="BD117" s="18">
        <v>1</v>
      </c>
      <c r="BE117" s="18">
        <v>0</v>
      </c>
      <c r="BF117" s="18">
        <v>0</v>
      </c>
      <c r="BG117" s="18">
        <v>0</v>
      </c>
      <c r="BH117" s="150" t="s">
        <v>47</v>
      </c>
      <c r="BI117" s="18">
        <v>0</v>
      </c>
      <c r="BJ117" s="130"/>
      <c r="BK117" s="4" t="s">
        <v>75</v>
      </c>
      <c r="BL117" s="18">
        <v>1</v>
      </c>
      <c r="BM117" s="120"/>
      <c r="BN117" s="4" t="s">
        <v>59</v>
      </c>
      <c r="BO117" s="18">
        <v>1</v>
      </c>
      <c r="BP117" s="120"/>
      <c r="BQ117" s="18" t="s">
        <v>50</v>
      </c>
      <c r="BR117" s="18">
        <v>2</v>
      </c>
      <c r="BS117" s="120"/>
      <c r="BT117" s="4" t="s">
        <v>65</v>
      </c>
      <c r="BU117" s="18">
        <v>3</v>
      </c>
      <c r="BV117" s="120"/>
      <c r="BW117" s="4" t="s">
        <v>147</v>
      </c>
      <c r="BX117" s="18">
        <v>0</v>
      </c>
      <c r="BY117" s="120"/>
      <c r="BZ117" s="4" t="s">
        <v>119</v>
      </c>
      <c r="CA117" s="18">
        <v>2</v>
      </c>
      <c r="CB117" s="120"/>
      <c r="CC117" s="4" t="s">
        <v>76</v>
      </c>
      <c r="CD117" s="18">
        <v>1</v>
      </c>
      <c r="CE117" s="120"/>
      <c r="CF117" s="18" t="s">
        <v>77</v>
      </c>
      <c r="CG117" s="18">
        <v>0</v>
      </c>
      <c r="CH117" s="120"/>
      <c r="CI117" s="4" t="s">
        <v>89</v>
      </c>
      <c r="CJ117" s="34">
        <v>0</v>
      </c>
      <c r="CK117" s="34">
        <v>1</v>
      </c>
      <c r="CL117" s="34">
        <v>0</v>
      </c>
      <c r="CM117" s="34">
        <v>0</v>
      </c>
      <c r="CN117" s="5" t="s">
        <v>137</v>
      </c>
    </row>
    <row r="118" spans="1:92" ht="28" x14ac:dyDescent="0.15">
      <c r="A118" s="51">
        <v>45860.833751562503</v>
      </c>
      <c r="B118" s="3" t="s">
        <v>29</v>
      </c>
      <c r="C118" s="17">
        <v>2</v>
      </c>
      <c r="D118" s="116"/>
      <c r="E118" s="6" t="s">
        <v>55</v>
      </c>
      <c r="F118" s="17">
        <v>2</v>
      </c>
      <c r="G118" s="116"/>
      <c r="H118" s="6" t="s">
        <v>91</v>
      </c>
      <c r="I118" s="17">
        <v>3</v>
      </c>
      <c r="J118" s="116"/>
      <c r="K118" s="43" t="s">
        <v>56</v>
      </c>
      <c r="L118" s="17">
        <v>2</v>
      </c>
      <c r="M118" s="119"/>
      <c r="N118" s="1" t="s">
        <v>33</v>
      </c>
      <c r="O118" s="18">
        <v>1</v>
      </c>
      <c r="P118" s="117"/>
      <c r="Q118" s="1" t="s">
        <v>34</v>
      </c>
      <c r="R118" s="17">
        <v>2</v>
      </c>
      <c r="S118" s="119"/>
      <c r="T118" s="1" t="s">
        <v>35</v>
      </c>
      <c r="U118" s="17">
        <v>2</v>
      </c>
      <c r="V118" s="119"/>
      <c r="W118" s="1" t="s">
        <v>36</v>
      </c>
      <c r="X118" s="17">
        <v>1</v>
      </c>
      <c r="Y118" s="119"/>
      <c r="Z118" s="1" t="s">
        <v>58</v>
      </c>
      <c r="AA118" s="17">
        <v>1</v>
      </c>
      <c r="AB118" s="119"/>
      <c r="AC118" s="1" t="s">
        <v>69</v>
      </c>
      <c r="AD118" s="17">
        <v>0</v>
      </c>
      <c r="AE118" s="119"/>
      <c r="AF118" s="1" t="s">
        <v>70</v>
      </c>
      <c r="AG118" s="17">
        <v>2</v>
      </c>
      <c r="AH118" s="119"/>
      <c r="AI118" s="11" t="s">
        <v>40</v>
      </c>
      <c r="AJ118" s="25">
        <v>3</v>
      </c>
      <c r="AK118" s="127"/>
      <c r="AL118" s="1" t="s">
        <v>41</v>
      </c>
      <c r="AM118" s="17">
        <v>1</v>
      </c>
      <c r="AN118" s="119"/>
      <c r="AO118" s="1" t="s">
        <v>130</v>
      </c>
      <c r="AP118" s="17">
        <v>3</v>
      </c>
      <c r="AQ118" s="119"/>
      <c r="AR118" s="1" t="s">
        <v>99</v>
      </c>
      <c r="AS118" s="17">
        <v>3</v>
      </c>
      <c r="AT118" s="119"/>
      <c r="AU118" s="1" t="s">
        <v>79</v>
      </c>
      <c r="AV118" s="17">
        <v>1</v>
      </c>
      <c r="AW118" s="119"/>
      <c r="AX118" s="1" t="s">
        <v>45</v>
      </c>
      <c r="AY118" s="17">
        <v>2</v>
      </c>
      <c r="AZ118" s="119"/>
      <c r="BA118" s="1" t="s">
        <v>59</v>
      </c>
      <c r="BB118" s="17">
        <v>1</v>
      </c>
      <c r="BC118" s="17">
        <v>0</v>
      </c>
      <c r="BD118" s="17">
        <v>1</v>
      </c>
      <c r="BE118" s="17">
        <v>0</v>
      </c>
      <c r="BF118" s="17">
        <v>0</v>
      </c>
      <c r="BG118" s="17">
        <v>0</v>
      </c>
      <c r="BH118" s="149" t="s">
        <v>47</v>
      </c>
      <c r="BI118" s="17">
        <v>0</v>
      </c>
      <c r="BJ118" s="131"/>
      <c r="BK118" s="1" t="s">
        <v>75</v>
      </c>
      <c r="BL118" s="17">
        <v>3</v>
      </c>
      <c r="BM118" s="119"/>
      <c r="BN118" s="1" t="s">
        <v>49</v>
      </c>
      <c r="BO118" s="17">
        <v>0</v>
      </c>
      <c r="BP118" s="119"/>
      <c r="BQ118" s="17" t="s">
        <v>87</v>
      </c>
      <c r="BR118" s="17">
        <v>2</v>
      </c>
      <c r="BS118" s="119"/>
      <c r="BT118" s="1" t="s">
        <v>65</v>
      </c>
      <c r="BU118" s="17">
        <v>2</v>
      </c>
      <c r="BV118" s="119"/>
      <c r="BW118" s="1" t="s">
        <v>51</v>
      </c>
      <c r="BX118" s="17">
        <v>2</v>
      </c>
      <c r="BY118" s="119"/>
      <c r="BZ118" s="1" t="s">
        <v>97</v>
      </c>
      <c r="CA118" s="17">
        <v>1</v>
      </c>
      <c r="CB118" s="119"/>
      <c r="CC118" s="1" t="s">
        <v>77</v>
      </c>
      <c r="CD118" s="17">
        <v>1</v>
      </c>
      <c r="CE118" s="119"/>
      <c r="CF118" s="17" t="s">
        <v>77</v>
      </c>
      <c r="CG118" s="17">
        <v>0</v>
      </c>
      <c r="CH118" s="119"/>
      <c r="CI118" s="1" t="s">
        <v>89</v>
      </c>
      <c r="CJ118" s="33">
        <v>1</v>
      </c>
      <c r="CK118" s="33">
        <v>1</v>
      </c>
      <c r="CL118" s="33">
        <v>0</v>
      </c>
      <c r="CM118" s="33">
        <v>0</v>
      </c>
      <c r="CN118" s="2" t="s">
        <v>82</v>
      </c>
    </row>
    <row r="119" spans="1:92" ht="28" x14ac:dyDescent="0.15">
      <c r="A119" s="51">
        <v>45860.843106469911</v>
      </c>
      <c r="B119" s="3" t="s">
        <v>29</v>
      </c>
      <c r="C119" s="18">
        <v>3</v>
      </c>
      <c r="D119" s="117"/>
      <c r="E119" s="6" t="s">
        <v>90</v>
      </c>
      <c r="F119" s="18">
        <v>1</v>
      </c>
      <c r="G119" s="117"/>
      <c r="H119" s="6" t="s">
        <v>31</v>
      </c>
      <c r="I119" s="18">
        <v>3</v>
      </c>
      <c r="J119" s="117"/>
      <c r="K119" s="43" t="s">
        <v>56</v>
      </c>
      <c r="L119" s="18">
        <v>2</v>
      </c>
      <c r="M119" s="120"/>
      <c r="N119" s="4" t="s">
        <v>33</v>
      </c>
      <c r="O119" s="18">
        <v>1</v>
      </c>
      <c r="P119" s="120"/>
      <c r="Q119" s="4" t="s">
        <v>34</v>
      </c>
      <c r="R119" s="18">
        <v>1</v>
      </c>
      <c r="S119" s="120"/>
      <c r="T119" s="4" t="s">
        <v>57</v>
      </c>
      <c r="U119" s="18">
        <v>1</v>
      </c>
      <c r="V119" s="120"/>
      <c r="W119" s="4" t="s">
        <v>92</v>
      </c>
      <c r="X119" s="18">
        <v>0</v>
      </c>
      <c r="Y119" s="120"/>
      <c r="Z119" s="4" t="s">
        <v>108</v>
      </c>
      <c r="AA119" s="18">
        <v>0</v>
      </c>
      <c r="AB119" s="120"/>
      <c r="AC119" s="4" t="s">
        <v>46</v>
      </c>
      <c r="AD119" s="18">
        <v>2</v>
      </c>
      <c r="AE119" s="120"/>
      <c r="AF119" s="4" t="s">
        <v>83</v>
      </c>
      <c r="AG119" s="18">
        <v>3</v>
      </c>
      <c r="AH119" s="120"/>
      <c r="AI119" s="13" t="s">
        <v>94</v>
      </c>
      <c r="AJ119" s="24">
        <v>3</v>
      </c>
      <c r="AK119" s="126"/>
      <c r="AL119" s="4" t="s">
        <v>41</v>
      </c>
      <c r="AM119" s="18">
        <v>1</v>
      </c>
      <c r="AN119" s="120"/>
      <c r="AO119" s="4" t="s">
        <v>130</v>
      </c>
      <c r="AP119" s="18">
        <v>4</v>
      </c>
      <c r="AQ119" s="120"/>
      <c r="AR119" s="4" t="s">
        <v>43</v>
      </c>
      <c r="AS119" s="18">
        <v>3</v>
      </c>
      <c r="AT119" s="120"/>
      <c r="AU119" s="4" t="s">
        <v>79</v>
      </c>
      <c r="AV119" s="18">
        <v>0</v>
      </c>
      <c r="AW119" s="120"/>
      <c r="AX119" s="4" t="s">
        <v>62</v>
      </c>
      <c r="AY119" s="18">
        <v>2</v>
      </c>
      <c r="AZ119" s="120"/>
      <c r="BA119" s="4" t="s">
        <v>59</v>
      </c>
      <c r="BB119" s="18">
        <v>0</v>
      </c>
      <c r="BC119" s="18">
        <v>0</v>
      </c>
      <c r="BD119" s="18">
        <v>1</v>
      </c>
      <c r="BE119" s="18">
        <v>1</v>
      </c>
      <c r="BF119" s="18">
        <v>0</v>
      </c>
      <c r="BG119" s="18">
        <v>0</v>
      </c>
      <c r="BH119" s="150" t="s">
        <v>95</v>
      </c>
      <c r="BI119" s="18">
        <v>0</v>
      </c>
      <c r="BJ119" s="130"/>
      <c r="BK119" s="4" t="s">
        <v>75</v>
      </c>
      <c r="BL119" s="18">
        <v>1</v>
      </c>
      <c r="BM119" s="120"/>
      <c r="BN119" s="4" t="s">
        <v>59</v>
      </c>
      <c r="BO119" s="18">
        <v>0</v>
      </c>
      <c r="BP119" s="120"/>
      <c r="BQ119" s="18" t="s">
        <v>87</v>
      </c>
      <c r="BR119" s="18">
        <v>2</v>
      </c>
      <c r="BS119" s="120"/>
      <c r="BT119" s="4" t="s">
        <v>65</v>
      </c>
      <c r="BU119" s="18">
        <v>2</v>
      </c>
      <c r="BV119" s="120"/>
      <c r="BW119" s="4" t="s">
        <v>51</v>
      </c>
      <c r="BX119" s="18">
        <v>2</v>
      </c>
      <c r="BY119" s="120"/>
      <c r="BZ119" s="4" t="s">
        <v>97</v>
      </c>
      <c r="CA119" s="18">
        <v>2</v>
      </c>
      <c r="CB119" s="120"/>
      <c r="CC119" s="4" t="s">
        <v>76</v>
      </c>
      <c r="CD119" s="18">
        <v>0</v>
      </c>
      <c r="CE119" s="120"/>
      <c r="CF119" s="18" t="s">
        <v>49</v>
      </c>
      <c r="CG119" s="18">
        <v>2</v>
      </c>
      <c r="CH119" s="120"/>
      <c r="CI119" s="4" t="s">
        <v>78</v>
      </c>
      <c r="CJ119" s="34">
        <v>0</v>
      </c>
      <c r="CK119" s="34">
        <v>0</v>
      </c>
      <c r="CL119" s="34">
        <v>0</v>
      </c>
      <c r="CM119" s="34">
        <v>1</v>
      </c>
      <c r="CN119" s="5" t="s">
        <v>101</v>
      </c>
    </row>
    <row r="120" spans="1:92" ht="28" x14ac:dyDescent="0.15">
      <c r="A120" s="51">
        <v>45860.843927858798</v>
      </c>
      <c r="B120" s="3" t="s">
        <v>29</v>
      </c>
      <c r="C120" s="17">
        <v>4</v>
      </c>
      <c r="D120" s="116"/>
      <c r="E120" s="6" t="s">
        <v>127</v>
      </c>
      <c r="F120" s="17">
        <v>2</v>
      </c>
      <c r="G120" s="116"/>
      <c r="H120" s="6" t="s">
        <v>91</v>
      </c>
      <c r="I120" s="17">
        <v>3</v>
      </c>
      <c r="J120" s="116"/>
      <c r="K120" s="43" t="s">
        <v>56</v>
      </c>
      <c r="L120" s="17">
        <v>0</v>
      </c>
      <c r="M120" s="119"/>
      <c r="N120" s="1" t="s">
        <v>145</v>
      </c>
      <c r="O120" s="18">
        <v>1</v>
      </c>
      <c r="P120" s="117"/>
      <c r="Q120" s="1" t="s">
        <v>34</v>
      </c>
      <c r="R120" s="17">
        <v>1</v>
      </c>
      <c r="S120" s="119"/>
      <c r="T120" s="1" t="s">
        <v>57</v>
      </c>
      <c r="U120" s="17">
        <v>1</v>
      </c>
      <c r="V120" s="119"/>
      <c r="W120" s="1" t="s">
        <v>92</v>
      </c>
      <c r="X120" s="17">
        <v>2</v>
      </c>
      <c r="Y120" s="119"/>
      <c r="Z120" s="1" t="s">
        <v>37</v>
      </c>
      <c r="AA120" s="17">
        <v>2</v>
      </c>
      <c r="AB120" s="119"/>
      <c r="AC120" s="1" t="s">
        <v>59</v>
      </c>
      <c r="AD120" s="17">
        <v>3</v>
      </c>
      <c r="AE120" s="119"/>
      <c r="AF120" s="1" t="s">
        <v>60</v>
      </c>
      <c r="AG120" s="17">
        <v>0</v>
      </c>
      <c r="AH120" s="119"/>
      <c r="AI120" s="11" t="s">
        <v>84</v>
      </c>
      <c r="AJ120" s="25">
        <v>2</v>
      </c>
      <c r="AK120" s="127"/>
      <c r="AL120" s="1" t="s">
        <v>71</v>
      </c>
      <c r="AM120" s="17">
        <v>2</v>
      </c>
      <c r="AN120" s="119"/>
      <c r="AO120" s="1" t="s">
        <v>72</v>
      </c>
      <c r="AP120" s="17">
        <v>3</v>
      </c>
      <c r="AQ120" s="119"/>
      <c r="AR120" s="1" t="s">
        <v>61</v>
      </c>
      <c r="AS120" s="17">
        <v>3</v>
      </c>
      <c r="AT120" s="119"/>
      <c r="AU120" s="1" t="s">
        <v>79</v>
      </c>
      <c r="AV120" s="17">
        <v>0</v>
      </c>
      <c r="AW120" s="119"/>
      <c r="AX120" s="1" t="s">
        <v>73</v>
      </c>
      <c r="AY120" s="17">
        <v>3</v>
      </c>
      <c r="AZ120" s="119"/>
      <c r="BA120" s="1" t="s">
        <v>46</v>
      </c>
      <c r="BB120" s="17">
        <v>1</v>
      </c>
      <c r="BC120" s="17">
        <v>0</v>
      </c>
      <c r="BD120" s="17">
        <v>1</v>
      </c>
      <c r="BE120" s="17">
        <v>0</v>
      </c>
      <c r="BF120" s="17">
        <v>0</v>
      </c>
      <c r="BG120" s="17">
        <v>0</v>
      </c>
      <c r="BH120" s="149" t="s">
        <v>47</v>
      </c>
      <c r="BI120" s="17">
        <v>0</v>
      </c>
      <c r="BJ120" s="131"/>
      <c r="BK120" s="1" t="s">
        <v>75</v>
      </c>
      <c r="BL120" s="17">
        <v>3</v>
      </c>
      <c r="BM120" s="119"/>
      <c r="BN120" s="1" t="s">
        <v>49</v>
      </c>
      <c r="BO120" s="17">
        <v>1</v>
      </c>
      <c r="BP120" s="119"/>
      <c r="BQ120" s="17" t="s">
        <v>50</v>
      </c>
      <c r="BR120" s="17">
        <v>2</v>
      </c>
      <c r="BS120" s="119"/>
      <c r="BT120" s="1" t="s">
        <v>65</v>
      </c>
      <c r="BU120" s="17">
        <v>1</v>
      </c>
      <c r="BV120" s="119"/>
      <c r="BW120" s="1" t="s">
        <v>66</v>
      </c>
      <c r="BX120" s="17">
        <v>2</v>
      </c>
      <c r="BY120" s="119"/>
      <c r="BZ120" s="1" t="s">
        <v>97</v>
      </c>
      <c r="CA120" s="17">
        <v>2</v>
      </c>
      <c r="CB120" s="119"/>
      <c r="CC120" s="1" t="s">
        <v>76</v>
      </c>
      <c r="CD120" s="17">
        <v>0</v>
      </c>
      <c r="CE120" s="119"/>
      <c r="CF120" s="17" t="s">
        <v>49</v>
      </c>
      <c r="CG120" s="17">
        <v>2</v>
      </c>
      <c r="CH120" s="119"/>
      <c r="CI120" s="1" t="s">
        <v>78</v>
      </c>
      <c r="CJ120" s="33">
        <v>0</v>
      </c>
      <c r="CK120" s="33">
        <v>1</v>
      </c>
      <c r="CL120" s="33">
        <v>1</v>
      </c>
      <c r="CM120" s="33">
        <v>0</v>
      </c>
      <c r="CN120" s="2" t="s">
        <v>98</v>
      </c>
    </row>
    <row r="121" spans="1:92" ht="28" x14ac:dyDescent="0.15">
      <c r="A121" s="51">
        <v>45860.844096631947</v>
      </c>
      <c r="B121" s="3" t="s">
        <v>29</v>
      </c>
      <c r="C121" s="18">
        <v>3</v>
      </c>
      <c r="D121" s="117"/>
      <c r="E121" s="6" t="s">
        <v>90</v>
      </c>
      <c r="F121" s="18">
        <v>1</v>
      </c>
      <c r="G121" s="117"/>
      <c r="H121" s="6" t="s">
        <v>31</v>
      </c>
      <c r="I121" s="18">
        <v>3</v>
      </c>
      <c r="J121" s="117"/>
      <c r="K121" s="43" t="s">
        <v>56</v>
      </c>
      <c r="L121" s="18">
        <v>0</v>
      </c>
      <c r="M121" s="120"/>
      <c r="N121" s="4" t="s">
        <v>145</v>
      </c>
      <c r="O121" s="18">
        <v>1</v>
      </c>
      <c r="P121" s="120"/>
      <c r="Q121" s="4" t="s">
        <v>34</v>
      </c>
      <c r="R121" s="18">
        <v>1</v>
      </c>
      <c r="S121" s="120"/>
      <c r="T121" s="4" t="s">
        <v>57</v>
      </c>
      <c r="U121" s="18">
        <v>2</v>
      </c>
      <c r="V121" s="120"/>
      <c r="W121" s="4" t="s">
        <v>36</v>
      </c>
      <c r="X121" s="18">
        <v>1</v>
      </c>
      <c r="Y121" s="120"/>
      <c r="Z121" s="4" t="s">
        <v>58</v>
      </c>
      <c r="AA121" s="18">
        <v>2</v>
      </c>
      <c r="AB121" s="120"/>
      <c r="AC121" s="4" t="s">
        <v>59</v>
      </c>
      <c r="AD121" s="18">
        <v>0</v>
      </c>
      <c r="AE121" s="120"/>
      <c r="AF121" s="4" t="s">
        <v>70</v>
      </c>
      <c r="AG121" s="18">
        <v>3</v>
      </c>
      <c r="AH121" s="120"/>
      <c r="AI121" s="13" t="s">
        <v>94</v>
      </c>
      <c r="AJ121" s="24">
        <v>0</v>
      </c>
      <c r="AK121" s="126"/>
      <c r="AL121" s="4" t="s">
        <v>85</v>
      </c>
      <c r="AM121" s="18">
        <v>1</v>
      </c>
      <c r="AN121" s="120"/>
      <c r="AO121" s="4" t="s">
        <v>130</v>
      </c>
      <c r="AP121" s="18">
        <v>4</v>
      </c>
      <c r="AQ121" s="120"/>
      <c r="AR121" s="4" t="s">
        <v>43</v>
      </c>
      <c r="AS121" s="18">
        <v>0</v>
      </c>
      <c r="AT121" s="120"/>
      <c r="AU121" s="4" t="s">
        <v>102</v>
      </c>
      <c r="AV121" s="18">
        <v>0</v>
      </c>
      <c r="AW121" s="120"/>
      <c r="AX121" s="4" t="s">
        <v>62</v>
      </c>
      <c r="AY121" s="18">
        <v>2</v>
      </c>
      <c r="AZ121" s="120"/>
      <c r="BA121" s="4" t="s">
        <v>59</v>
      </c>
      <c r="BB121" s="18">
        <v>1</v>
      </c>
      <c r="BC121" s="18">
        <v>0</v>
      </c>
      <c r="BD121" s="18">
        <v>1</v>
      </c>
      <c r="BE121" s="18">
        <v>0</v>
      </c>
      <c r="BF121" s="18">
        <v>0</v>
      </c>
      <c r="BG121" s="18">
        <v>0</v>
      </c>
      <c r="BH121" s="150" t="s">
        <v>47</v>
      </c>
      <c r="BI121" s="18">
        <v>2</v>
      </c>
      <c r="BJ121" s="130"/>
      <c r="BK121" s="4" t="s">
        <v>48</v>
      </c>
      <c r="BL121" s="18">
        <v>3</v>
      </c>
      <c r="BM121" s="120"/>
      <c r="BN121" s="4" t="s">
        <v>49</v>
      </c>
      <c r="BO121" s="18">
        <v>2</v>
      </c>
      <c r="BP121" s="120"/>
      <c r="BQ121" s="18" t="s">
        <v>117</v>
      </c>
      <c r="BR121" s="18">
        <v>1</v>
      </c>
      <c r="BS121" s="120"/>
      <c r="BT121" s="4" t="s">
        <v>69</v>
      </c>
      <c r="BU121" s="18">
        <v>0</v>
      </c>
      <c r="BV121" s="120"/>
      <c r="BW121" s="4" t="s">
        <v>88</v>
      </c>
      <c r="BX121" s="18">
        <v>2</v>
      </c>
      <c r="BY121" s="120"/>
      <c r="BZ121" s="4" t="s">
        <v>97</v>
      </c>
      <c r="CA121" s="18">
        <v>2</v>
      </c>
      <c r="CB121" s="120"/>
      <c r="CC121" s="4" t="s">
        <v>76</v>
      </c>
      <c r="CD121" s="18">
        <v>0</v>
      </c>
      <c r="CE121" s="120"/>
      <c r="CF121" s="18" t="s">
        <v>49</v>
      </c>
      <c r="CG121" s="18">
        <v>0</v>
      </c>
      <c r="CH121" s="120"/>
      <c r="CI121" s="4" t="s">
        <v>89</v>
      </c>
      <c r="CJ121" s="34">
        <v>0</v>
      </c>
      <c r="CK121" s="34">
        <v>0</v>
      </c>
      <c r="CL121" s="34">
        <v>0</v>
      </c>
      <c r="CM121" s="34">
        <v>1</v>
      </c>
      <c r="CN121" s="5" t="s">
        <v>150</v>
      </c>
    </row>
    <row r="122" spans="1:92" ht="28" x14ac:dyDescent="0.15">
      <c r="A122" s="51">
        <v>45860.850422453703</v>
      </c>
      <c r="B122" s="3" t="s">
        <v>29</v>
      </c>
      <c r="C122" s="17">
        <v>3</v>
      </c>
      <c r="D122" s="116"/>
      <c r="E122" s="6" t="s">
        <v>90</v>
      </c>
      <c r="F122" s="17">
        <v>2</v>
      </c>
      <c r="G122" s="116"/>
      <c r="H122" s="6" t="s">
        <v>91</v>
      </c>
      <c r="I122" s="17">
        <v>1</v>
      </c>
      <c r="J122" s="116"/>
      <c r="K122" s="43" t="s">
        <v>32</v>
      </c>
      <c r="L122" s="17">
        <v>2</v>
      </c>
      <c r="M122" s="119"/>
      <c r="N122" s="1" t="s">
        <v>33</v>
      </c>
      <c r="O122" s="18">
        <v>1</v>
      </c>
      <c r="P122" s="117"/>
      <c r="Q122" s="1" t="s">
        <v>34</v>
      </c>
      <c r="R122" s="17">
        <v>2</v>
      </c>
      <c r="S122" s="119"/>
      <c r="T122" s="1" t="s">
        <v>35</v>
      </c>
      <c r="U122" s="17">
        <v>2</v>
      </c>
      <c r="V122" s="119"/>
      <c r="W122" s="1" t="s">
        <v>36</v>
      </c>
      <c r="X122" s="17">
        <v>1</v>
      </c>
      <c r="Y122" s="119"/>
      <c r="Z122" s="1" t="s">
        <v>58</v>
      </c>
      <c r="AA122" s="17">
        <v>2</v>
      </c>
      <c r="AB122" s="119"/>
      <c r="AC122" s="1" t="s">
        <v>59</v>
      </c>
      <c r="AD122" s="17">
        <v>2</v>
      </c>
      <c r="AE122" s="119"/>
      <c r="AF122" s="1" t="s">
        <v>83</v>
      </c>
      <c r="AG122" s="17">
        <v>3</v>
      </c>
      <c r="AH122" s="119"/>
      <c r="AI122" s="11" t="s">
        <v>94</v>
      </c>
      <c r="AJ122" s="25">
        <v>3</v>
      </c>
      <c r="AK122" s="127"/>
      <c r="AL122" s="1" t="s">
        <v>41</v>
      </c>
      <c r="AM122" s="17">
        <v>3</v>
      </c>
      <c r="AN122" s="119"/>
      <c r="AO122" s="1" t="s">
        <v>42</v>
      </c>
      <c r="AP122" s="17">
        <v>0</v>
      </c>
      <c r="AQ122" s="119"/>
      <c r="AR122" s="1" t="s">
        <v>121</v>
      </c>
      <c r="AS122" s="17">
        <v>2</v>
      </c>
      <c r="AT122" s="119"/>
      <c r="AU122" s="1" t="s">
        <v>44</v>
      </c>
      <c r="AV122" s="17">
        <v>2</v>
      </c>
      <c r="AW122" s="119"/>
      <c r="AX122" s="1" t="s">
        <v>80</v>
      </c>
      <c r="AY122" s="17">
        <v>1</v>
      </c>
      <c r="AZ122" s="119"/>
      <c r="BA122" s="1" t="s">
        <v>69</v>
      </c>
      <c r="BB122" s="17">
        <v>1</v>
      </c>
      <c r="BC122" s="17">
        <v>0</v>
      </c>
      <c r="BD122" s="17">
        <v>1</v>
      </c>
      <c r="BE122" s="17">
        <v>0</v>
      </c>
      <c r="BF122" s="17">
        <v>0</v>
      </c>
      <c r="BG122" s="17">
        <v>0</v>
      </c>
      <c r="BH122" s="149" t="s">
        <v>47</v>
      </c>
      <c r="BI122" s="17">
        <v>2</v>
      </c>
      <c r="BJ122" s="131"/>
      <c r="BK122" s="1" t="s">
        <v>48</v>
      </c>
      <c r="BL122" s="17">
        <v>3</v>
      </c>
      <c r="BM122" s="119"/>
      <c r="BN122" s="1" t="s">
        <v>49</v>
      </c>
      <c r="BO122" s="17">
        <v>2</v>
      </c>
      <c r="BP122" s="119"/>
      <c r="BQ122" s="17" t="s">
        <v>117</v>
      </c>
      <c r="BR122" s="17">
        <v>3</v>
      </c>
      <c r="BS122" s="119"/>
      <c r="BT122" s="1" t="s">
        <v>38</v>
      </c>
      <c r="BU122" s="17">
        <v>2</v>
      </c>
      <c r="BV122" s="119"/>
      <c r="BW122" s="1" t="s">
        <v>51</v>
      </c>
      <c r="BX122" s="17">
        <v>3</v>
      </c>
      <c r="BY122" s="119"/>
      <c r="BZ122" s="1" t="s">
        <v>52</v>
      </c>
      <c r="CA122" s="17">
        <v>3</v>
      </c>
      <c r="CB122" s="119"/>
      <c r="CC122" s="1" t="s">
        <v>36</v>
      </c>
      <c r="CD122" s="17">
        <v>2</v>
      </c>
      <c r="CE122" s="119"/>
      <c r="CF122" s="17" t="s">
        <v>36</v>
      </c>
      <c r="CG122" s="17">
        <v>3</v>
      </c>
      <c r="CH122" s="119"/>
      <c r="CI122" s="1" t="s">
        <v>53</v>
      </c>
      <c r="CJ122" s="33">
        <v>0</v>
      </c>
      <c r="CK122" s="33">
        <v>1</v>
      </c>
      <c r="CL122" s="33">
        <v>1</v>
      </c>
      <c r="CM122" s="33">
        <v>0</v>
      </c>
      <c r="CN122" s="2" t="s">
        <v>98</v>
      </c>
    </row>
    <row r="123" spans="1:92" ht="28" x14ac:dyDescent="0.15">
      <c r="A123" s="51">
        <v>45860.852070277775</v>
      </c>
      <c r="B123" s="3" t="s">
        <v>29</v>
      </c>
      <c r="C123" s="18">
        <v>4</v>
      </c>
      <c r="D123" s="117"/>
      <c r="E123" s="6" t="s">
        <v>127</v>
      </c>
      <c r="F123" s="18">
        <v>1</v>
      </c>
      <c r="G123" s="117"/>
      <c r="H123" s="6" t="s">
        <v>31</v>
      </c>
      <c r="I123" s="18">
        <v>3</v>
      </c>
      <c r="J123" s="117"/>
      <c r="K123" s="43" t="s">
        <v>56</v>
      </c>
      <c r="L123" s="18">
        <v>2</v>
      </c>
      <c r="M123" s="120"/>
      <c r="N123" s="4" t="s">
        <v>33</v>
      </c>
      <c r="O123" s="18">
        <v>1</v>
      </c>
      <c r="P123" s="120"/>
      <c r="Q123" s="4" t="s">
        <v>34</v>
      </c>
      <c r="R123" s="18">
        <v>1</v>
      </c>
      <c r="S123" s="120"/>
      <c r="T123" s="4" t="s">
        <v>57</v>
      </c>
      <c r="U123" s="18">
        <v>2</v>
      </c>
      <c r="V123" s="120"/>
      <c r="W123" s="4" t="s">
        <v>36</v>
      </c>
      <c r="X123" s="18">
        <v>1</v>
      </c>
      <c r="Y123" s="120"/>
      <c r="Z123" s="4" t="s">
        <v>58</v>
      </c>
      <c r="AA123" s="18">
        <v>2</v>
      </c>
      <c r="AB123" s="120"/>
      <c r="AC123" s="4" t="s">
        <v>59</v>
      </c>
      <c r="AD123" s="18">
        <v>3</v>
      </c>
      <c r="AE123" s="120"/>
      <c r="AF123" s="4" t="s">
        <v>60</v>
      </c>
      <c r="AG123" s="18">
        <v>2</v>
      </c>
      <c r="AH123" s="120"/>
      <c r="AI123" s="13" t="s">
        <v>40</v>
      </c>
      <c r="AJ123" s="24">
        <v>2</v>
      </c>
      <c r="AK123" s="126"/>
      <c r="AL123" s="4" t="s">
        <v>71</v>
      </c>
      <c r="AM123" s="18">
        <v>2</v>
      </c>
      <c r="AN123" s="120"/>
      <c r="AO123" s="4" t="s">
        <v>72</v>
      </c>
      <c r="AP123" s="18">
        <v>3</v>
      </c>
      <c r="AQ123" s="120"/>
      <c r="AR123" s="4" t="s">
        <v>61</v>
      </c>
      <c r="AS123" s="18">
        <v>2</v>
      </c>
      <c r="AT123" s="120"/>
      <c r="AU123" s="4" t="s">
        <v>44</v>
      </c>
      <c r="AV123" s="18">
        <v>1</v>
      </c>
      <c r="AW123" s="120"/>
      <c r="AX123" s="4" t="s">
        <v>45</v>
      </c>
      <c r="AY123" s="18">
        <v>2</v>
      </c>
      <c r="AZ123" s="120"/>
      <c r="BA123" s="4" t="s">
        <v>59</v>
      </c>
      <c r="BB123" s="18">
        <v>1</v>
      </c>
      <c r="BC123" s="18">
        <v>0</v>
      </c>
      <c r="BD123" s="18">
        <v>1</v>
      </c>
      <c r="BE123" s="18">
        <v>0</v>
      </c>
      <c r="BF123" s="18">
        <v>0</v>
      </c>
      <c r="BG123" s="18">
        <v>0</v>
      </c>
      <c r="BH123" s="150" t="s">
        <v>47</v>
      </c>
      <c r="BI123" s="18">
        <v>0</v>
      </c>
      <c r="BJ123" s="130"/>
      <c r="BK123" s="4" t="s">
        <v>75</v>
      </c>
      <c r="BL123" s="18">
        <v>1</v>
      </c>
      <c r="BM123" s="120"/>
      <c r="BN123" s="4" t="s">
        <v>59</v>
      </c>
      <c r="BO123" s="18">
        <v>1</v>
      </c>
      <c r="BP123" s="120"/>
      <c r="BQ123" s="18" t="s">
        <v>50</v>
      </c>
      <c r="BR123" s="18">
        <v>2</v>
      </c>
      <c r="BS123" s="120"/>
      <c r="BT123" s="4" t="s">
        <v>65</v>
      </c>
      <c r="BU123" s="18">
        <v>2</v>
      </c>
      <c r="BV123" s="120"/>
      <c r="BW123" s="4" t="s">
        <v>51</v>
      </c>
      <c r="BX123" s="18">
        <v>2</v>
      </c>
      <c r="BY123" s="120"/>
      <c r="BZ123" s="4" t="s">
        <v>97</v>
      </c>
      <c r="CA123" s="18">
        <v>2</v>
      </c>
      <c r="CB123" s="120"/>
      <c r="CC123" s="4" t="s">
        <v>76</v>
      </c>
      <c r="CD123" s="18">
        <v>0</v>
      </c>
      <c r="CE123" s="120"/>
      <c r="CF123" s="18" t="s">
        <v>49</v>
      </c>
      <c r="CG123" s="18">
        <v>0</v>
      </c>
      <c r="CH123" s="120"/>
      <c r="CI123" s="4" t="s">
        <v>89</v>
      </c>
      <c r="CJ123" s="34">
        <v>1</v>
      </c>
      <c r="CK123" s="34">
        <v>1</v>
      </c>
      <c r="CL123" s="34">
        <v>0</v>
      </c>
      <c r="CM123" s="34">
        <v>0</v>
      </c>
      <c r="CN123" s="5" t="s">
        <v>82</v>
      </c>
    </row>
    <row r="124" spans="1:92" ht="28" x14ac:dyDescent="0.15">
      <c r="A124" s="51">
        <v>45860.85262928241</v>
      </c>
      <c r="B124" s="3" t="s">
        <v>29</v>
      </c>
      <c r="C124" s="17">
        <v>2</v>
      </c>
      <c r="D124" s="116"/>
      <c r="E124" s="6" t="s">
        <v>55</v>
      </c>
      <c r="F124" s="17">
        <v>1</v>
      </c>
      <c r="G124" s="116"/>
      <c r="H124" s="6" t="s">
        <v>31</v>
      </c>
      <c r="I124" s="17">
        <v>3</v>
      </c>
      <c r="J124" s="116"/>
      <c r="K124" s="43" t="s">
        <v>56</v>
      </c>
      <c r="L124" s="17">
        <v>2</v>
      </c>
      <c r="M124" s="119"/>
      <c r="N124" s="1" t="s">
        <v>33</v>
      </c>
      <c r="O124" s="18">
        <v>1</v>
      </c>
      <c r="P124" s="117"/>
      <c r="Q124" s="1" t="s">
        <v>34</v>
      </c>
      <c r="R124" s="17">
        <v>1</v>
      </c>
      <c r="S124" s="119"/>
      <c r="T124" s="1" t="s">
        <v>57</v>
      </c>
      <c r="U124" s="17">
        <v>1</v>
      </c>
      <c r="V124" s="119"/>
      <c r="W124" s="1" t="s">
        <v>92</v>
      </c>
      <c r="X124" s="17">
        <v>1</v>
      </c>
      <c r="Y124" s="119"/>
      <c r="Z124" s="1" t="s">
        <v>58</v>
      </c>
      <c r="AA124" s="17">
        <v>2</v>
      </c>
      <c r="AB124" s="119"/>
      <c r="AC124" s="1" t="s">
        <v>59</v>
      </c>
      <c r="AD124" s="17">
        <v>3</v>
      </c>
      <c r="AE124" s="119"/>
      <c r="AF124" s="1" t="s">
        <v>60</v>
      </c>
      <c r="AG124" s="17">
        <v>0</v>
      </c>
      <c r="AH124" s="119"/>
      <c r="AI124" s="11" t="s">
        <v>84</v>
      </c>
      <c r="AJ124" s="25">
        <v>2</v>
      </c>
      <c r="AK124" s="127"/>
      <c r="AL124" s="1" t="s">
        <v>71</v>
      </c>
      <c r="AM124" s="17">
        <v>2</v>
      </c>
      <c r="AN124" s="119"/>
      <c r="AO124" s="1" t="s">
        <v>72</v>
      </c>
      <c r="AP124" s="17">
        <v>3</v>
      </c>
      <c r="AQ124" s="119"/>
      <c r="AR124" s="1" t="s">
        <v>61</v>
      </c>
      <c r="AS124" s="17">
        <v>2</v>
      </c>
      <c r="AT124" s="119"/>
      <c r="AU124" s="1" t="s">
        <v>44</v>
      </c>
      <c r="AV124" s="17">
        <v>0</v>
      </c>
      <c r="AW124" s="119"/>
      <c r="AX124" s="1" t="s">
        <v>62</v>
      </c>
      <c r="AY124" s="17">
        <v>2</v>
      </c>
      <c r="AZ124" s="119"/>
      <c r="BA124" s="1" t="s">
        <v>59</v>
      </c>
      <c r="BB124" s="17">
        <v>1</v>
      </c>
      <c r="BC124" s="17">
        <v>0</v>
      </c>
      <c r="BD124" s="17">
        <v>0</v>
      </c>
      <c r="BE124" s="17">
        <v>1</v>
      </c>
      <c r="BF124" s="17">
        <v>0</v>
      </c>
      <c r="BG124" s="17">
        <v>0</v>
      </c>
      <c r="BH124" s="149" t="s">
        <v>74</v>
      </c>
      <c r="BI124" s="17">
        <v>0</v>
      </c>
      <c r="BJ124" s="131"/>
      <c r="BK124" s="1" t="s">
        <v>75</v>
      </c>
      <c r="BL124" s="17">
        <v>2</v>
      </c>
      <c r="BM124" s="119"/>
      <c r="BN124" s="1" t="s">
        <v>64</v>
      </c>
      <c r="BO124" s="17">
        <v>1</v>
      </c>
      <c r="BP124" s="119"/>
      <c r="BQ124" s="17" t="s">
        <v>50</v>
      </c>
      <c r="BR124" s="17">
        <v>1</v>
      </c>
      <c r="BS124" s="119"/>
      <c r="BT124" s="1" t="s">
        <v>69</v>
      </c>
      <c r="BU124" s="17">
        <v>2</v>
      </c>
      <c r="BV124" s="119"/>
      <c r="BW124" s="1" t="s">
        <v>51</v>
      </c>
      <c r="BX124" s="17">
        <v>1</v>
      </c>
      <c r="BY124" s="119"/>
      <c r="BZ124" s="1" t="s">
        <v>67</v>
      </c>
      <c r="CA124" s="17">
        <v>0</v>
      </c>
      <c r="CB124" s="119"/>
      <c r="CC124" s="1" t="s">
        <v>49</v>
      </c>
      <c r="CD124" s="17">
        <v>0</v>
      </c>
      <c r="CE124" s="119"/>
      <c r="CF124" s="17" t="s">
        <v>49</v>
      </c>
      <c r="CG124" s="17">
        <v>2</v>
      </c>
      <c r="CH124" s="119"/>
      <c r="CI124" s="1" t="s">
        <v>78</v>
      </c>
      <c r="CJ124" s="33">
        <v>0</v>
      </c>
      <c r="CK124" s="33">
        <v>0</v>
      </c>
      <c r="CL124" s="33">
        <v>0</v>
      </c>
      <c r="CM124" s="33">
        <v>1</v>
      </c>
      <c r="CN124" s="2" t="s">
        <v>101</v>
      </c>
    </row>
    <row r="125" spans="1:92" ht="28" x14ac:dyDescent="0.15">
      <c r="A125" s="51">
        <v>45860.854681840283</v>
      </c>
      <c r="B125" s="3" t="s">
        <v>29</v>
      </c>
      <c r="C125" s="18">
        <v>3</v>
      </c>
      <c r="D125" s="117"/>
      <c r="E125" s="6" t="s">
        <v>90</v>
      </c>
      <c r="F125" s="18">
        <v>1</v>
      </c>
      <c r="G125" s="117"/>
      <c r="H125" s="6" t="s">
        <v>31</v>
      </c>
      <c r="I125" s="18">
        <v>3</v>
      </c>
      <c r="J125" s="117"/>
      <c r="K125" s="43" t="s">
        <v>56</v>
      </c>
      <c r="L125" s="18">
        <v>2</v>
      </c>
      <c r="M125" s="120"/>
      <c r="N125" s="4" t="s">
        <v>33</v>
      </c>
      <c r="O125" s="18">
        <v>1</v>
      </c>
      <c r="P125" s="120"/>
      <c r="Q125" s="4" t="s">
        <v>34</v>
      </c>
      <c r="R125" s="18">
        <v>2</v>
      </c>
      <c r="S125" s="120"/>
      <c r="T125" s="4" t="s">
        <v>35</v>
      </c>
      <c r="U125" s="18">
        <v>1</v>
      </c>
      <c r="V125" s="120"/>
      <c r="W125" s="4" t="s">
        <v>92</v>
      </c>
      <c r="X125" s="18">
        <v>1</v>
      </c>
      <c r="Y125" s="120"/>
      <c r="Z125" s="4" t="s">
        <v>58</v>
      </c>
      <c r="AA125" s="18">
        <v>2</v>
      </c>
      <c r="AB125" s="120"/>
      <c r="AC125" s="4" t="s">
        <v>59</v>
      </c>
      <c r="AD125" s="18">
        <v>2</v>
      </c>
      <c r="AE125" s="120"/>
      <c r="AF125" s="4" t="s">
        <v>83</v>
      </c>
      <c r="AG125" s="18">
        <v>2</v>
      </c>
      <c r="AH125" s="120"/>
      <c r="AI125" s="13" t="s">
        <v>40</v>
      </c>
      <c r="AJ125" s="24">
        <v>3</v>
      </c>
      <c r="AK125" s="126"/>
      <c r="AL125" s="4" t="s">
        <v>41</v>
      </c>
      <c r="AM125" s="18">
        <v>1</v>
      </c>
      <c r="AN125" s="120"/>
      <c r="AO125" s="4" t="s">
        <v>130</v>
      </c>
      <c r="AP125" s="18">
        <v>3</v>
      </c>
      <c r="AQ125" s="120"/>
      <c r="AR125" s="4" t="s">
        <v>61</v>
      </c>
      <c r="AS125" s="18">
        <v>2</v>
      </c>
      <c r="AT125" s="120"/>
      <c r="AU125" s="4" t="s">
        <v>44</v>
      </c>
      <c r="AV125" s="18">
        <v>0</v>
      </c>
      <c r="AW125" s="120"/>
      <c r="AX125" s="4" t="s">
        <v>62</v>
      </c>
      <c r="AY125" s="18">
        <v>2</v>
      </c>
      <c r="AZ125" s="120"/>
      <c r="BA125" s="4" t="s">
        <v>59</v>
      </c>
      <c r="BB125" s="18">
        <v>1</v>
      </c>
      <c r="BC125" s="18">
        <v>0</v>
      </c>
      <c r="BD125" s="18">
        <v>1</v>
      </c>
      <c r="BE125" s="18">
        <v>0</v>
      </c>
      <c r="BF125" s="18">
        <v>0</v>
      </c>
      <c r="BG125" s="18">
        <v>0</v>
      </c>
      <c r="BH125" s="150" t="s">
        <v>47</v>
      </c>
      <c r="BI125" s="18">
        <v>1</v>
      </c>
      <c r="BJ125" s="130"/>
      <c r="BK125" s="4" t="s">
        <v>96</v>
      </c>
      <c r="BL125" s="18">
        <v>2</v>
      </c>
      <c r="BM125" s="120"/>
      <c r="BN125" s="4" t="s">
        <v>64</v>
      </c>
      <c r="BO125" s="18">
        <v>2</v>
      </c>
      <c r="BP125" s="120"/>
      <c r="BQ125" s="18" t="s">
        <v>117</v>
      </c>
      <c r="BR125" s="18">
        <v>2</v>
      </c>
      <c r="BS125" s="120"/>
      <c r="BT125" s="4" t="s">
        <v>65</v>
      </c>
      <c r="BU125" s="18">
        <v>2</v>
      </c>
      <c r="BV125" s="120"/>
      <c r="BW125" s="4" t="s">
        <v>51</v>
      </c>
      <c r="BX125" s="18">
        <v>2</v>
      </c>
      <c r="BY125" s="120"/>
      <c r="BZ125" s="4" t="s">
        <v>97</v>
      </c>
      <c r="CA125" s="18">
        <v>3</v>
      </c>
      <c r="CB125" s="120"/>
      <c r="CC125" s="4" t="s">
        <v>36</v>
      </c>
      <c r="CD125" s="18">
        <v>0</v>
      </c>
      <c r="CE125" s="120"/>
      <c r="CF125" s="18" t="s">
        <v>49</v>
      </c>
      <c r="CG125" s="18">
        <v>3</v>
      </c>
      <c r="CH125" s="120"/>
      <c r="CI125" s="4" t="s">
        <v>53</v>
      </c>
      <c r="CJ125" s="34">
        <v>1</v>
      </c>
      <c r="CK125" s="34">
        <v>1</v>
      </c>
      <c r="CL125" s="34">
        <v>0</v>
      </c>
      <c r="CM125" s="34">
        <v>0</v>
      </c>
      <c r="CN125" s="5" t="s">
        <v>82</v>
      </c>
    </row>
    <row r="126" spans="1:92" ht="28" x14ac:dyDescent="0.15">
      <c r="A126" s="51">
        <v>45860.855571874999</v>
      </c>
      <c r="B126" s="3" t="s">
        <v>29</v>
      </c>
      <c r="C126" s="17">
        <v>1</v>
      </c>
      <c r="D126" s="116"/>
      <c r="E126" s="6" t="s">
        <v>114</v>
      </c>
      <c r="F126" s="17">
        <v>1</v>
      </c>
      <c r="G126" s="116"/>
      <c r="H126" s="6" t="s">
        <v>31</v>
      </c>
      <c r="I126" s="17">
        <v>1</v>
      </c>
      <c r="J126" s="116"/>
      <c r="K126" s="43" t="s">
        <v>32</v>
      </c>
      <c r="L126" s="17">
        <v>2</v>
      </c>
      <c r="M126" s="119"/>
      <c r="N126" s="1" t="s">
        <v>33</v>
      </c>
      <c r="O126" s="18">
        <v>1</v>
      </c>
      <c r="P126" s="117"/>
      <c r="Q126" s="1" t="s">
        <v>34</v>
      </c>
      <c r="R126" s="17">
        <v>2</v>
      </c>
      <c r="S126" s="119"/>
      <c r="T126" s="1" t="s">
        <v>35</v>
      </c>
      <c r="U126" s="17">
        <v>2</v>
      </c>
      <c r="V126" s="119"/>
      <c r="W126" s="1" t="s">
        <v>36</v>
      </c>
      <c r="X126" s="17">
        <v>2</v>
      </c>
      <c r="Y126" s="119"/>
      <c r="Z126" s="1" t="s">
        <v>37</v>
      </c>
      <c r="AA126" s="17">
        <v>3</v>
      </c>
      <c r="AB126" s="119"/>
      <c r="AC126" s="1" t="s">
        <v>38</v>
      </c>
      <c r="AD126" s="17">
        <v>2</v>
      </c>
      <c r="AE126" s="119"/>
      <c r="AF126" s="1" t="s">
        <v>83</v>
      </c>
      <c r="AG126" s="17">
        <v>1</v>
      </c>
      <c r="AH126" s="119"/>
      <c r="AI126" s="11" t="s">
        <v>138</v>
      </c>
      <c r="AJ126" s="25">
        <v>3</v>
      </c>
      <c r="AK126" s="127"/>
      <c r="AL126" s="1" t="s">
        <v>41</v>
      </c>
      <c r="AM126" s="17">
        <v>3</v>
      </c>
      <c r="AN126" s="119"/>
      <c r="AO126" s="1" t="s">
        <v>42</v>
      </c>
      <c r="AP126" s="17">
        <v>4</v>
      </c>
      <c r="AQ126" s="119"/>
      <c r="AR126" s="1" t="s">
        <v>43</v>
      </c>
      <c r="AS126" s="17">
        <v>3</v>
      </c>
      <c r="AT126" s="119"/>
      <c r="AU126" s="1" t="s">
        <v>79</v>
      </c>
      <c r="AV126" s="17">
        <v>2</v>
      </c>
      <c r="AW126" s="119"/>
      <c r="AX126" s="1" t="s">
        <v>80</v>
      </c>
      <c r="AY126" s="17">
        <v>3</v>
      </c>
      <c r="AZ126" s="119"/>
      <c r="BA126" s="1" t="s">
        <v>46</v>
      </c>
      <c r="BB126" s="17">
        <v>1</v>
      </c>
      <c r="BC126" s="17">
        <v>1</v>
      </c>
      <c r="BD126" s="17">
        <v>0</v>
      </c>
      <c r="BE126" s="17">
        <v>0</v>
      </c>
      <c r="BF126" s="17">
        <v>0</v>
      </c>
      <c r="BG126" s="17">
        <v>0</v>
      </c>
      <c r="BH126" s="149" t="s">
        <v>81</v>
      </c>
      <c r="BI126" s="17">
        <v>2</v>
      </c>
      <c r="BJ126" s="131"/>
      <c r="BK126" s="1" t="s">
        <v>48</v>
      </c>
      <c r="BL126" s="17">
        <v>3</v>
      </c>
      <c r="BM126" s="119"/>
      <c r="BN126" s="1" t="s">
        <v>49</v>
      </c>
      <c r="BO126" s="17">
        <v>1</v>
      </c>
      <c r="BP126" s="119"/>
      <c r="BQ126" s="17" t="s">
        <v>50</v>
      </c>
      <c r="BR126" s="17">
        <v>3</v>
      </c>
      <c r="BS126" s="119"/>
      <c r="BT126" s="1" t="s">
        <v>38</v>
      </c>
      <c r="BU126" s="17">
        <v>0</v>
      </c>
      <c r="BV126" s="119"/>
      <c r="BW126" s="1" t="s">
        <v>88</v>
      </c>
      <c r="BX126" s="17">
        <v>2</v>
      </c>
      <c r="BY126" s="119"/>
      <c r="BZ126" s="1" t="s">
        <v>97</v>
      </c>
      <c r="CA126" s="17">
        <v>3</v>
      </c>
      <c r="CB126" s="119"/>
      <c r="CC126" s="1" t="s">
        <v>36</v>
      </c>
      <c r="CD126" s="17">
        <v>2</v>
      </c>
      <c r="CE126" s="119"/>
      <c r="CF126" s="17" t="s">
        <v>36</v>
      </c>
      <c r="CG126" s="17">
        <v>3</v>
      </c>
      <c r="CH126" s="119"/>
      <c r="CI126" s="1" t="s">
        <v>53</v>
      </c>
      <c r="CJ126" s="33">
        <v>1</v>
      </c>
      <c r="CK126" s="33">
        <v>1</v>
      </c>
      <c r="CL126" s="33">
        <v>0</v>
      </c>
      <c r="CM126" s="33">
        <v>0</v>
      </c>
      <c r="CN126" s="2" t="s">
        <v>68</v>
      </c>
    </row>
    <row r="127" spans="1:92" ht="28" x14ac:dyDescent="0.15">
      <c r="A127" s="51">
        <v>45860.870532048611</v>
      </c>
      <c r="B127" s="3" t="s">
        <v>29</v>
      </c>
      <c r="C127" s="18">
        <v>4</v>
      </c>
      <c r="D127" s="117"/>
      <c r="E127" s="6" t="s">
        <v>127</v>
      </c>
      <c r="F127" s="18">
        <v>1</v>
      </c>
      <c r="G127" s="117"/>
      <c r="H127" s="6" t="s">
        <v>31</v>
      </c>
      <c r="I127" s="18">
        <v>3</v>
      </c>
      <c r="J127" s="117"/>
      <c r="K127" s="43" t="s">
        <v>56</v>
      </c>
      <c r="L127" s="18">
        <v>1</v>
      </c>
      <c r="M127" s="120"/>
      <c r="N127" s="4" t="s">
        <v>124</v>
      </c>
      <c r="O127" s="18">
        <v>1</v>
      </c>
      <c r="P127" s="120"/>
      <c r="Q127" s="4" t="s">
        <v>34</v>
      </c>
      <c r="R127" s="18">
        <v>2</v>
      </c>
      <c r="S127" s="120"/>
      <c r="T127" s="4" t="s">
        <v>35</v>
      </c>
      <c r="U127" s="18">
        <v>1</v>
      </c>
      <c r="V127" s="120"/>
      <c r="W127" s="4" t="s">
        <v>92</v>
      </c>
      <c r="X127" s="18">
        <v>1</v>
      </c>
      <c r="Y127" s="120"/>
      <c r="Z127" s="4" t="s">
        <v>58</v>
      </c>
      <c r="AA127" s="18">
        <v>1</v>
      </c>
      <c r="AB127" s="120"/>
      <c r="AC127" s="4" t="s">
        <v>69</v>
      </c>
      <c r="AD127" s="18">
        <v>2</v>
      </c>
      <c r="AE127" s="120"/>
      <c r="AF127" s="4" t="s">
        <v>83</v>
      </c>
      <c r="AG127" s="18">
        <v>3</v>
      </c>
      <c r="AH127" s="120"/>
      <c r="AI127" s="13" t="s">
        <v>94</v>
      </c>
      <c r="AJ127" s="24">
        <v>3</v>
      </c>
      <c r="AK127" s="126"/>
      <c r="AL127" s="4" t="s">
        <v>41</v>
      </c>
      <c r="AM127" s="18">
        <v>2</v>
      </c>
      <c r="AN127" s="120"/>
      <c r="AO127" s="4" t="s">
        <v>72</v>
      </c>
      <c r="AP127" s="18">
        <v>3</v>
      </c>
      <c r="AQ127" s="120"/>
      <c r="AR127" s="4" t="s">
        <v>61</v>
      </c>
      <c r="AS127" s="18">
        <v>3</v>
      </c>
      <c r="AT127" s="120"/>
      <c r="AU127" s="4" t="s">
        <v>44</v>
      </c>
      <c r="AV127" s="18">
        <v>0</v>
      </c>
      <c r="AW127" s="120"/>
      <c r="AX127" s="4" t="s">
        <v>62</v>
      </c>
      <c r="AY127" s="18">
        <v>2</v>
      </c>
      <c r="AZ127" s="120"/>
      <c r="BA127" s="4" t="s">
        <v>59</v>
      </c>
      <c r="BB127" s="18">
        <v>1</v>
      </c>
      <c r="BC127" s="18">
        <v>0</v>
      </c>
      <c r="BD127" s="18">
        <v>1</v>
      </c>
      <c r="BE127" s="18">
        <v>0</v>
      </c>
      <c r="BF127" s="18">
        <v>0</v>
      </c>
      <c r="BG127" s="18">
        <v>0</v>
      </c>
      <c r="BH127" s="150" t="s">
        <v>47</v>
      </c>
      <c r="BI127" s="18">
        <v>0</v>
      </c>
      <c r="BJ127" s="130"/>
      <c r="BK127" s="4" t="s">
        <v>75</v>
      </c>
      <c r="BL127" s="18">
        <v>1</v>
      </c>
      <c r="BM127" s="120"/>
      <c r="BN127" s="4" t="s">
        <v>59</v>
      </c>
      <c r="BO127" s="18">
        <v>1</v>
      </c>
      <c r="BP127" s="120"/>
      <c r="BQ127" s="18" t="s">
        <v>50</v>
      </c>
      <c r="BR127" s="18">
        <v>2</v>
      </c>
      <c r="BS127" s="120"/>
      <c r="BT127" s="4" t="s">
        <v>65</v>
      </c>
      <c r="BU127" s="18">
        <v>2</v>
      </c>
      <c r="BV127" s="120"/>
      <c r="BW127" s="4" t="s">
        <v>51</v>
      </c>
      <c r="BX127" s="18">
        <v>2</v>
      </c>
      <c r="BY127" s="120"/>
      <c r="BZ127" s="4" t="s">
        <v>97</v>
      </c>
      <c r="CA127" s="18">
        <v>1</v>
      </c>
      <c r="CB127" s="120"/>
      <c r="CC127" s="4" t="s">
        <v>77</v>
      </c>
      <c r="CD127" s="18">
        <v>1</v>
      </c>
      <c r="CE127" s="120"/>
      <c r="CF127" s="18" t="s">
        <v>77</v>
      </c>
      <c r="CG127" s="18">
        <v>1</v>
      </c>
      <c r="CH127" s="120"/>
      <c r="CI127" s="4" t="s">
        <v>77</v>
      </c>
      <c r="CJ127" s="34">
        <v>1</v>
      </c>
      <c r="CK127" s="34">
        <v>1</v>
      </c>
      <c r="CL127" s="34">
        <v>0</v>
      </c>
      <c r="CM127" s="34">
        <v>0</v>
      </c>
      <c r="CN127" s="5" t="s">
        <v>82</v>
      </c>
    </row>
    <row r="128" spans="1:92" ht="28" x14ac:dyDescent="0.15">
      <c r="A128" s="51">
        <v>45860.884168217592</v>
      </c>
      <c r="B128" s="3" t="s">
        <v>29</v>
      </c>
      <c r="C128" s="17">
        <v>5</v>
      </c>
      <c r="D128" s="116"/>
      <c r="E128" s="6" t="s">
        <v>30</v>
      </c>
      <c r="F128" s="17">
        <v>1</v>
      </c>
      <c r="G128" s="116"/>
      <c r="H128" s="6" t="s">
        <v>31</v>
      </c>
      <c r="I128" s="17">
        <v>1</v>
      </c>
      <c r="J128" s="116"/>
      <c r="K128" s="43" t="s">
        <v>32</v>
      </c>
      <c r="L128" s="17">
        <v>2</v>
      </c>
      <c r="M128" s="119"/>
      <c r="N128" s="1" t="s">
        <v>33</v>
      </c>
      <c r="O128" s="18">
        <v>1</v>
      </c>
      <c r="P128" s="117"/>
      <c r="Q128" s="1" t="s">
        <v>34</v>
      </c>
      <c r="R128" s="17">
        <v>1</v>
      </c>
      <c r="S128" s="119"/>
      <c r="T128" s="1" t="s">
        <v>57</v>
      </c>
      <c r="U128" s="17">
        <v>0</v>
      </c>
      <c r="V128" s="119"/>
      <c r="W128" s="1" t="s">
        <v>77</v>
      </c>
      <c r="X128" s="17">
        <v>1</v>
      </c>
      <c r="Y128" s="119"/>
      <c r="Z128" s="1" t="s">
        <v>58</v>
      </c>
      <c r="AA128" s="17">
        <v>3</v>
      </c>
      <c r="AB128" s="119"/>
      <c r="AC128" s="1" t="s">
        <v>38</v>
      </c>
      <c r="AD128" s="17">
        <v>0</v>
      </c>
      <c r="AE128" s="119"/>
      <c r="AF128" s="1" t="s">
        <v>70</v>
      </c>
      <c r="AG128" s="17">
        <v>3</v>
      </c>
      <c r="AH128" s="119"/>
      <c r="AI128" s="11" t="s">
        <v>94</v>
      </c>
      <c r="AJ128" s="25">
        <v>0</v>
      </c>
      <c r="AK128" s="127"/>
      <c r="AL128" s="1" t="s">
        <v>85</v>
      </c>
      <c r="AM128" s="17">
        <v>2</v>
      </c>
      <c r="AN128" s="119"/>
      <c r="AO128" s="1" t="s">
        <v>72</v>
      </c>
      <c r="AP128" s="17">
        <v>4</v>
      </c>
      <c r="AQ128" s="119"/>
      <c r="AR128" s="1" t="s">
        <v>43</v>
      </c>
      <c r="AS128" s="17">
        <v>2</v>
      </c>
      <c r="AT128" s="119"/>
      <c r="AU128" s="1" t="s">
        <v>44</v>
      </c>
      <c r="AV128" s="17">
        <v>0</v>
      </c>
      <c r="AW128" s="119"/>
      <c r="AX128" s="1" t="s">
        <v>73</v>
      </c>
      <c r="AY128" s="17">
        <v>1</v>
      </c>
      <c r="AZ128" s="119"/>
      <c r="BA128" s="1" t="s">
        <v>69</v>
      </c>
      <c r="BB128" s="17">
        <v>1</v>
      </c>
      <c r="BC128" s="17">
        <v>0</v>
      </c>
      <c r="BD128" s="17">
        <v>1</v>
      </c>
      <c r="BE128" s="17">
        <v>0</v>
      </c>
      <c r="BF128" s="17">
        <v>0</v>
      </c>
      <c r="BG128" s="17">
        <v>0</v>
      </c>
      <c r="BH128" s="149" t="s">
        <v>47</v>
      </c>
      <c r="BI128" s="17">
        <v>0</v>
      </c>
      <c r="BJ128" s="131"/>
      <c r="BK128" s="1" t="s">
        <v>75</v>
      </c>
      <c r="BL128" s="17">
        <v>2</v>
      </c>
      <c r="BM128" s="119"/>
      <c r="BN128" s="1" t="s">
        <v>64</v>
      </c>
      <c r="BO128" s="17">
        <v>2</v>
      </c>
      <c r="BP128" s="119"/>
      <c r="BQ128" s="17" t="s">
        <v>117</v>
      </c>
      <c r="BR128" s="17">
        <v>2</v>
      </c>
      <c r="BS128" s="119"/>
      <c r="BT128" s="1" t="s">
        <v>65</v>
      </c>
      <c r="BU128" s="17">
        <v>1</v>
      </c>
      <c r="BV128" s="119"/>
      <c r="BW128" s="1" t="s">
        <v>66</v>
      </c>
      <c r="BX128" s="17">
        <v>0</v>
      </c>
      <c r="BY128" s="119"/>
      <c r="BZ128" s="1" t="s">
        <v>119</v>
      </c>
      <c r="CA128" s="17">
        <v>1</v>
      </c>
      <c r="CB128" s="119"/>
      <c r="CC128" s="1" t="s">
        <v>77</v>
      </c>
      <c r="CD128" s="17">
        <v>1</v>
      </c>
      <c r="CE128" s="119"/>
      <c r="CF128" s="17" t="s">
        <v>77</v>
      </c>
      <c r="CG128" s="17">
        <v>1</v>
      </c>
      <c r="CH128" s="119"/>
      <c r="CI128" s="1" t="s">
        <v>77</v>
      </c>
      <c r="CJ128" s="33">
        <v>0</v>
      </c>
      <c r="CK128" s="33">
        <v>0</v>
      </c>
      <c r="CL128" s="33">
        <v>0</v>
      </c>
      <c r="CM128" s="33">
        <v>1</v>
      </c>
      <c r="CN128" s="2" t="s">
        <v>179</v>
      </c>
    </row>
    <row r="129" spans="1:92" ht="28" x14ac:dyDescent="0.15">
      <c r="A129" s="51">
        <v>45860.887553055552</v>
      </c>
      <c r="B129" s="3" t="s">
        <v>29</v>
      </c>
      <c r="C129" s="18">
        <v>2</v>
      </c>
      <c r="D129" s="117"/>
      <c r="E129" s="6" t="s">
        <v>55</v>
      </c>
      <c r="F129" s="18">
        <v>1</v>
      </c>
      <c r="G129" s="117"/>
      <c r="H129" s="6" t="s">
        <v>31</v>
      </c>
      <c r="I129" s="18">
        <v>2</v>
      </c>
      <c r="J129" s="117"/>
      <c r="K129" s="43" t="s">
        <v>116</v>
      </c>
      <c r="L129" s="18">
        <v>0</v>
      </c>
      <c r="M129" s="120"/>
      <c r="N129" s="4" t="s">
        <v>145</v>
      </c>
      <c r="O129" s="18">
        <v>1</v>
      </c>
      <c r="P129" s="120"/>
      <c r="Q129" s="4" t="s">
        <v>34</v>
      </c>
      <c r="R129" s="18">
        <v>1</v>
      </c>
      <c r="S129" s="120"/>
      <c r="T129" s="4" t="s">
        <v>57</v>
      </c>
      <c r="U129" s="18">
        <v>2</v>
      </c>
      <c r="V129" s="120"/>
      <c r="W129" s="4" t="s">
        <v>36</v>
      </c>
      <c r="X129" s="18">
        <v>2</v>
      </c>
      <c r="Y129" s="120"/>
      <c r="Z129" s="4" t="s">
        <v>37</v>
      </c>
      <c r="AA129" s="18">
        <v>2</v>
      </c>
      <c r="AB129" s="120"/>
      <c r="AC129" s="4" t="s">
        <v>59</v>
      </c>
      <c r="AD129" s="18">
        <v>0</v>
      </c>
      <c r="AE129" s="120"/>
      <c r="AF129" s="4" t="s">
        <v>70</v>
      </c>
      <c r="AG129" s="18">
        <v>2</v>
      </c>
      <c r="AH129" s="120"/>
      <c r="AI129" s="13" t="s">
        <v>40</v>
      </c>
      <c r="AJ129" s="24">
        <v>1</v>
      </c>
      <c r="AK129" s="126"/>
      <c r="AL129" s="4" t="s">
        <v>77</v>
      </c>
      <c r="AM129" s="18">
        <v>3</v>
      </c>
      <c r="AN129" s="120"/>
      <c r="AO129" s="4" t="s">
        <v>42</v>
      </c>
      <c r="AP129" s="18">
        <v>3</v>
      </c>
      <c r="AQ129" s="120"/>
      <c r="AR129" s="4" t="s">
        <v>61</v>
      </c>
      <c r="AS129" s="18">
        <v>2</v>
      </c>
      <c r="AT129" s="120"/>
      <c r="AU129" s="4" t="s">
        <v>44</v>
      </c>
      <c r="AV129" s="18">
        <v>2</v>
      </c>
      <c r="AW129" s="120"/>
      <c r="AX129" s="4" t="s">
        <v>80</v>
      </c>
      <c r="AY129" s="18">
        <v>1</v>
      </c>
      <c r="AZ129" s="120"/>
      <c r="BA129" s="4" t="s">
        <v>69</v>
      </c>
      <c r="BB129" s="18">
        <v>1</v>
      </c>
      <c r="BC129" s="18">
        <v>1</v>
      </c>
      <c r="BD129" s="18">
        <v>0</v>
      </c>
      <c r="BE129" s="18">
        <v>0</v>
      </c>
      <c r="BF129" s="18">
        <v>0</v>
      </c>
      <c r="BG129" s="18">
        <v>0</v>
      </c>
      <c r="BH129" s="150" t="s">
        <v>81</v>
      </c>
      <c r="BI129" s="18">
        <v>2</v>
      </c>
      <c r="BJ129" s="130"/>
      <c r="BK129" s="4" t="s">
        <v>48</v>
      </c>
      <c r="BL129" s="18">
        <v>3</v>
      </c>
      <c r="BM129" s="120"/>
      <c r="BN129" s="4" t="s">
        <v>49</v>
      </c>
      <c r="BO129" s="18">
        <v>1</v>
      </c>
      <c r="BP129" s="120"/>
      <c r="BQ129" s="18" t="s">
        <v>50</v>
      </c>
      <c r="BR129" s="18">
        <v>0</v>
      </c>
      <c r="BS129" s="120"/>
      <c r="BT129" s="4" t="s">
        <v>46</v>
      </c>
      <c r="BU129" s="18">
        <v>0</v>
      </c>
      <c r="BV129" s="120"/>
      <c r="BW129" s="4" t="s">
        <v>88</v>
      </c>
      <c r="BX129" s="18">
        <v>2</v>
      </c>
      <c r="BY129" s="120"/>
      <c r="BZ129" s="4" t="s">
        <v>97</v>
      </c>
      <c r="CA129" s="18">
        <v>3</v>
      </c>
      <c r="CB129" s="120"/>
      <c r="CC129" s="4" t="s">
        <v>36</v>
      </c>
      <c r="CD129" s="18">
        <v>1</v>
      </c>
      <c r="CE129" s="120"/>
      <c r="CF129" s="18" t="s">
        <v>77</v>
      </c>
      <c r="CG129" s="18">
        <v>3</v>
      </c>
      <c r="CH129" s="120"/>
      <c r="CI129" s="4" t="s">
        <v>53</v>
      </c>
      <c r="CJ129" s="34">
        <v>1</v>
      </c>
      <c r="CK129" s="34">
        <v>1</v>
      </c>
      <c r="CL129" s="34">
        <v>0</v>
      </c>
      <c r="CM129" s="34">
        <v>0</v>
      </c>
      <c r="CN129" s="5" t="s">
        <v>68</v>
      </c>
    </row>
    <row r="130" spans="1:92" ht="28" x14ac:dyDescent="0.15">
      <c r="A130" s="51">
        <v>45860.892250520832</v>
      </c>
      <c r="B130" s="3" t="s">
        <v>29</v>
      </c>
      <c r="C130" s="17">
        <v>3</v>
      </c>
      <c r="D130" s="116"/>
      <c r="E130" s="6" t="s">
        <v>90</v>
      </c>
      <c r="F130" s="17">
        <v>2</v>
      </c>
      <c r="G130" s="116"/>
      <c r="H130" s="6" t="s">
        <v>91</v>
      </c>
      <c r="I130" s="17">
        <v>1</v>
      </c>
      <c r="J130" s="116"/>
      <c r="K130" s="43" t="s">
        <v>32</v>
      </c>
      <c r="L130" s="17">
        <v>2</v>
      </c>
      <c r="M130" s="119"/>
      <c r="N130" s="1" t="s">
        <v>33</v>
      </c>
      <c r="O130" s="18">
        <v>1</v>
      </c>
      <c r="P130" s="117"/>
      <c r="Q130" s="1" t="s">
        <v>34</v>
      </c>
      <c r="R130" s="17">
        <v>0</v>
      </c>
      <c r="S130" s="119"/>
      <c r="T130" s="1" t="s">
        <v>49</v>
      </c>
      <c r="U130" s="17">
        <v>2</v>
      </c>
      <c r="V130" s="119"/>
      <c r="W130" s="1" t="s">
        <v>36</v>
      </c>
      <c r="X130" s="17">
        <v>0</v>
      </c>
      <c r="Y130" s="119"/>
      <c r="Z130" s="1" t="s">
        <v>108</v>
      </c>
      <c r="AA130" s="17">
        <v>0</v>
      </c>
      <c r="AB130" s="119"/>
      <c r="AC130" s="1" t="s">
        <v>46</v>
      </c>
      <c r="AD130" s="17">
        <v>4</v>
      </c>
      <c r="AE130" s="119"/>
      <c r="AF130" s="1" t="s">
        <v>93</v>
      </c>
      <c r="AG130" s="17">
        <v>0</v>
      </c>
      <c r="AH130" s="119"/>
      <c r="AI130" s="11" t="s">
        <v>84</v>
      </c>
      <c r="AJ130" s="25">
        <v>0</v>
      </c>
      <c r="AK130" s="127"/>
      <c r="AL130" s="1" t="s">
        <v>85</v>
      </c>
      <c r="AM130" s="17">
        <v>1</v>
      </c>
      <c r="AN130" s="119"/>
      <c r="AO130" s="1" t="s">
        <v>130</v>
      </c>
      <c r="AP130" s="17">
        <v>3</v>
      </c>
      <c r="AQ130" s="119"/>
      <c r="AR130" s="1" t="s">
        <v>61</v>
      </c>
      <c r="AS130" s="17">
        <v>0</v>
      </c>
      <c r="AT130" s="119"/>
      <c r="AU130" s="1" t="s">
        <v>102</v>
      </c>
      <c r="AV130" s="17">
        <v>0</v>
      </c>
      <c r="AW130" s="119"/>
      <c r="AX130" s="1" t="s">
        <v>62</v>
      </c>
      <c r="AY130" s="17">
        <v>2</v>
      </c>
      <c r="AZ130" s="119"/>
      <c r="BA130" s="1" t="s">
        <v>59</v>
      </c>
      <c r="BB130" s="17">
        <v>0</v>
      </c>
      <c r="BC130" s="17">
        <v>0</v>
      </c>
      <c r="BD130" s="17">
        <v>1</v>
      </c>
      <c r="BE130" s="17">
        <v>1</v>
      </c>
      <c r="BF130" s="17">
        <v>0</v>
      </c>
      <c r="BG130" s="17">
        <v>0</v>
      </c>
      <c r="BH130" s="149" t="s">
        <v>95</v>
      </c>
      <c r="BI130" s="17">
        <v>0</v>
      </c>
      <c r="BJ130" s="131"/>
      <c r="BK130" s="1" t="s">
        <v>75</v>
      </c>
      <c r="BL130" s="17">
        <v>0</v>
      </c>
      <c r="BM130" s="119"/>
      <c r="BN130" s="1" t="s">
        <v>36</v>
      </c>
      <c r="BO130" s="17">
        <v>1</v>
      </c>
      <c r="BP130" s="119"/>
      <c r="BQ130" s="17" t="s">
        <v>50</v>
      </c>
      <c r="BR130" s="17">
        <v>0</v>
      </c>
      <c r="BS130" s="119"/>
      <c r="BT130" s="1" t="s">
        <v>46</v>
      </c>
      <c r="BU130" s="17">
        <v>0</v>
      </c>
      <c r="BV130" s="119"/>
      <c r="BW130" s="1" t="s">
        <v>88</v>
      </c>
      <c r="BX130" s="17">
        <v>0</v>
      </c>
      <c r="BY130" s="119"/>
      <c r="BZ130" s="1" t="s">
        <v>119</v>
      </c>
      <c r="CA130" s="17">
        <v>0</v>
      </c>
      <c r="CB130" s="119"/>
      <c r="CC130" s="1" t="s">
        <v>49</v>
      </c>
      <c r="CD130" s="17">
        <v>1</v>
      </c>
      <c r="CE130" s="119"/>
      <c r="CF130" s="17" t="s">
        <v>77</v>
      </c>
      <c r="CG130" s="17">
        <v>2</v>
      </c>
      <c r="CH130" s="119"/>
      <c r="CI130" s="1" t="s">
        <v>78</v>
      </c>
      <c r="CJ130" s="33">
        <v>0</v>
      </c>
      <c r="CK130" s="33">
        <v>0</v>
      </c>
      <c r="CL130" s="33">
        <v>1</v>
      </c>
      <c r="CM130" s="33">
        <v>0</v>
      </c>
      <c r="CN130" s="2" t="s">
        <v>120</v>
      </c>
    </row>
    <row r="131" spans="1:92" ht="28" x14ac:dyDescent="0.15">
      <c r="A131" s="51">
        <v>45860.892572025463</v>
      </c>
      <c r="B131" s="3" t="s">
        <v>29</v>
      </c>
      <c r="C131" s="18">
        <v>2</v>
      </c>
      <c r="D131" s="117"/>
      <c r="E131" s="6" t="s">
        <v>55</v>
      </c>
      <c r="F131" s="18">
        <v>2</v>
      </c>
      <c r="G131" s="117"/>
      <c r="H131" s="6" t="s">
        <v>91</v>
      </c>
      <c r="I131" s="18">
        <v>2</v>
      </c>
      <c r="J131" s="117"/>
      <c r="K131" s="43" t="s">
        <v>116</v>
      </c>
      <c r="L131" s="18">
        <v>2</v>
      </c>
      <c r="M131" s="120"/>
      <c r="N131" s="4" t="s">
        <v>33</v>
      </c>
      <c r="O131" s="18">
        <v>1</v>
      </c>
      <c r="P131" s="120"/>
      <c r="Q131" s="4" t="s">
        <v>34</v>
      </c>
      <c r="R131" s="18">
        <v>1</v>
      </c>
      <c r="S131" s="120"/>
      <c r="T131" s="4" t="s">
        <v>57</v>
      </c>
      <c r="U131" s="18">
        <v>1</v>
      </c>
      <c r="V131" s="120"/>
      <c r="W131" s="4" t="s">
        <v>92</v>
      </c>
      <c r="X131" s="18">
        <v>1</v>
      </c>
      <c r="Y131" s="120"/>
      <c r="Z131" s="4" t="s">
        <v>58</v>
      </c>
      <c r="AA131" s="18">
        <v>1</v>
      </c>
      <c r="AB131" s="120"/>
      <c r="AC131" s="4" t="s">
        <v>69</v>
      </c>
      <c r="AD131" s="18">
        <v>4</v>
      </c>
      <c r="AE131" s="120"/>
      <c r="AF131" s="4" t="s">
        <v>93</v>
      </c>
      <c r="AG131" s="18">
        <v>2</v>
      </c>
      <c r="AH131" s="120"/>
      <c r="AI131" s="13" t="s">
        <v>40</v>
      </c>
      <c r="AJ131" s="24">
        <v>0</v>
      </c>
      <c r="AK131" s="126"/>
      <c r="AL131" s="4" t="s">
        <v>85</v>
      </c>
      <c r="AM131" s="18">
        <v>2</v>
      </c>
      <c r="AN131" s="120"/>
      <c r="AO131" s="4" t="s">
        <v>72</v>
      </c>
      <c r="AP131" s="18">
        <v>3</v>
      </c>
      <c r="AQ131" s="120"/>
      <c r="AR131" s="4" t="s">
        <v>99</v>
      </c>
      <c r="AS131" s="18">
        <v>2</v>
      </c>
      <c r="AT131" s="120"/>
      <c r="AU131" s="4" t="s">
        <v>44</v>
      </c>
      <c r="AV131" s="18">
        <v>1</v>
      </c>
      <c r="AW131" s="120"/>
      <c r="AX131" s="4" t="s">
        <v>45</v>
      </c>
      <c r="AY131" s="18">
        <v>2</v>
      </c>
      <c r="AZ131" s="120"/>
      <c r="BA131" s="4" t="s">
        <v>59</v>
      </c>
      <c r="BB131" s="18">
        <v>1</v>
      </c>
      <c r="BC131" s="18">
        <v>0</v>
      </c>
      <c r="BD131" s="18">
        <v>1</v>
      </c>
      <c r="BE131" s="18">
        <v>0</v>
      </c>
      <c r="BF131" s="18">
        <v>0</v>
      </c>
      <c r="BG131" s="18">
        <v>0</v>
      </c>
      <c r="BH131" s="150" t="s">
        <v>47</v>
      </c>
      <c r="BI131" s="18">
        <v>0</v>
      </c>
      <c r="BJ131" s="130"/>
      <c r="BK131" s="4" t="s">
        <v>75</v>
      </c>
      <c r="BL131" s="18">
        <v>1</v>
      </c>
      <c r="BM131" s="120"/>
      <c r="BN131" s="4" t="s">
        <v>59</v>
      </c>
      <c r="BO131" s="18">
        <v>1</v>
      </c>
      <c r="BP131" s="120"/>
      <c r="BQ131" s="18" t="s">
        <v>50</v>
      </c>
      <c r="BR131" s="18">
        <v>0</v>
      </c>
      <c r="BS131" s="120"/>
      <c r="BT131" s="4" t="s">
        <v>46</v>
      </c>
      <c r="BU131" s="18">
        <v>2</v>
      </c>
      <c r="BV131" s="120"/>
      <c r="BW131" s="4" t="s">
        <v>51</v>
      </c>
      <c r="BX131" s="18">
        <v>2</v>
      </c>
      <c r="BY131" s="120"/>
      <c r="BZ131" s="4" t="s">
        <v>97</v>
      </c>
      <c r="CA131" s="18">
        <v>2</v>
      </c>
      <c r="CB131" s="120"/>
      <c r="CC131" s="4" t="s">
        <v>76</v>
      </c>
      <c r="CD131" s="18">
        <v>0</v>
      </c>
      <c r="CE131" s="120"/>
      <c r="CF131" s="18" t="s">
        <v>49</v>
      </c>
      <c r="CG131" s="18">
        <v>1</v>
      </c>
      <c r="CH131" s="120"/>
      <c r="CI131" s="4" t="s">
        <v>77</v>
      </c>
      <c r="CJ131" s="34">
        <v>1</v>
      </c>
      <c r="CK131" s="34">
        <v>0</v>
      </c>
      <c r="CL131" s="34">
        <v>1</v>
      </c>
      <c r="CM131" s="34">
        <v>0</v>
      </c>
      <c r="CN131" s="5" t="s">
        <v>54</v>
      </c>
    </row>
    <row r="132" spans="1:92" ht="28" x14ac:dyDescent="0.15">
      <c r="A132" s="51">
        <v>45860.894025081019</v>
      </c>
      <c r="B132" s="3" t="s">
        <v>29</v>
      </c>
      <c r="C132" s="17">
        <v>5</v>
      </c>
      <c r="D132" s="116"/>
      <c r="E132" s="6" t="s">
        <v>30</v>
      </c>
      <c r="F132" s="17">
        <v>2</v>
      </c>
      <c r="G132" s="116"/>
      <c r="H132" s="6" t="s">
        <v>91</v>
      </c>
      <c r="I132" s="17">
        <v>2</v>
      </c>
      <c r="J132" s="116"/>
      <c r="K132" s="43" t="s">
        <v>116</v>
      </c>
      <c r="L132" s="17">
        <v>2</v>
      </c>
      <c r="M132" s="119"/>
      <c r="N132" s="1" t="s">
        <v>33</v>
      </c>
      <c r="O132" s="18">
        <v>1</v>
      </c>
      <c r="P132" s="117"/>
      <c r="Q132" s="1" t="s">
        <v>34</v>
      </c>
      <c r="R132" s="17">
        <v>2</v>
      </c>
      <c r="S132" s="119"/>
      <c r="T132" s="1" t="s">
        <v>35</v>
      </c>
      <c r="U132" s="17">
        <v>0</v>
      </c>
      <c r="V132" s="119"/>
      <c r="W132" s="1" t="s">
        <v>49</v>
      </c>
      <c r="X132" s="17">
        <v>0</v>
      </c>
      <c r="Y132" s="119"/>
      <c r="Z132" s="1" t="s">
        <v>108</v>
      </c>
      <c r="AA132" s="17">
        <v>0</v>
      </c>
      <c r="AB132" s="119"/>
      <c r="AC132" s="1" t="s">
        <v>46</v>
      </c>
      <c r="AD132" s="17">
        <v>2</v>
      </c>
      <c r="AE132" s="119"/>
      <c r="AF132" s="1" t="s">
        <v>83</v>
      </c>
      <c r="AG132" s="17">
        <v>0</v>
      </c>
      <c r="AH132" s="119"/>
      <c r="AI132" s="11" t="s">
        <v>84</v>
      </c>
      <c r="AJ132" s="25">
        <v>0</v>
      </c>
      <c r="AK132" s="127"/>
      <c r="AL132" s="1" t="s">
        <v>85</v>
      </c>
      <c r="AM132" s="17">
        <v>0</v>
      </c>
      <c r="AN132" s="119"/>
      <c r="AO132" s="1" t="s">
        <v>110</v>
      </c>
      <c r="AP132" s="17">
        <v>3</v>
      </c>
      <c r="AQ132" s="119"/>
      <c r="AR132" s="1" t="s">
        <v>61</v>
      </c>
      <c r="AS132" s="17">
        <v>0</v>
      </c>
      <c r="AT132" s="119"/>
      <c r="AU132" s="1" t="s">
        <v>102</v>
      </c>
      <c r="AV132" s="17">
        <v>0</v>
      </c>
      <c r="AW132" s="119"/>
      <c r="AX132" s="1" t="s">
        <v>73</v>
      </c>
      <c r="AY132" s="17">
        <v>0</v>
      </c>
      <c r="AZ132" s="119"/>
      <c r="BA132" s="1" t="s">
        <v>38</v>
      </c>
      <c r="BB132" s="17">
        <v>1</v>
      </c>
      <c r="BC132" s="17">
        <v>0</v>
      </c>
      <c r="BD132" s="17">
        <v>0</v>
      </c>
      <c r="BE132" s="17">
        <v>1</v>
      </c>
      <c r="BF132" s="17">
        <v>0</v>
      </c>
      <c r="BG132" s="17">
        <v>0</v>
      </c>
      <c r="BH132" s="149" t="s">
        <v>74</v>
      </c>
      <c r="BI132" s="17">
        <v>0</v>
      </c>
      <c r="BJ132" s="131"/>
      <c r="BK132" s="1" t="s">
        <v>75</v>
      </c>
      <c r="BL132" s="17">
        <v>0</v>
      </c>
      <c r="BM132" s="119"/>
      <c r="BN132" s="1" t="s">
        <v>36</v>
      </c>
      <c r="BO132" s="17">
        <v>0</v>
      </c>
      <c r="BP132" s="119"/>
      <c r="BQ132" s="17" t="s">
        <v>87</v>
      </c>
      <c r="BR132" s="17">
        <v>0</v>
      </c>
      <c r="BS132" s="119"/>
      <c r="BT132" s="1" t="s">
        <v>46</v>
      </c>
      <c r="BU132" s="17">
        <v>2</v>
      </c>
      <c r="BV132" s="119"/>
      <c r="BW132" s="1" t="s">
        <v>51</v>
      </c>
      <c r="BX132" s="17">
        <v>1</v>
      </c>
      <c r="BY132" s="119"/>
      <c r="BZ132" s="1" t="s">
        <v>67</v>
      </c>
      <c r="CA132" s="17">
        <v>0</v>
      </c>
      <c r="CB132" s="119"/>
      <c r="CC132" s="1" t="s">
        <v>49</v>
      </c>
      <c r="CD132" s="17">
        <v>1</v>
      </c>
      <c r="CE132" s="119"/>
      <c r="CF132" s="17" t="s">
        <v>77</v>
      </c>
      <c r="CG132" s="17">
        <v>0</v>
      </c>
      <c r="CH132" s="119"/>
      <c r="CI132" s="1" t="s">
        <v>89</v>
      </c>
      <c r="CJ132" s="33">
        <v>1</v>
      </c>
      <c r="CK132" s="33">
        <v>0</v>
      </c>
      <c r="CL132" s="33">
        <v>1</v>
      </c>
      <c r="CM132" s="33">
        <v>0</v>
      </c>
      <c r="CN132" s="2" t="s">
        <v>54</v>
      </c>
    </row>
    <row r="133" spans="1:92" ht="28" x14ac:dyDescent="0.15">
      <c r="A133" s="51">
        <v>45860.909205000004</v>
      </c>
      <c r="B133" s="3" t="s">
        <v>29</v>
      </c>
      <c r="C133" s="18">
        <v>3</v>
      </c>
      <c r="D133" s="117"/>
      <c r="E133" s="6" t="s">
        <v>90</v>
      </c>
      <c r="F133" s="18">
        <v>1</v>
      </c>
      <c r="G133" s="117"/>
      <c r="H133" s="6" t="s">
        <v>31</v>
      </c>
      <c r="I133" s="18">
        <v>3</v>
      </c>
      <c r="J133" s="117"/>
      <c r="K133" s="43" t="s">
        <v>56</v>
      </c>
      <c r="L133" s="18">
        <v>2</v>
      </c>
      <c r="M133" s="120"/>
      <c r="N133" s="4" t="s">
        <v>33</v>
      </c>
      <c r="O133" s="18">
        <v>1</v>
      </c>
      <c r="P133" s="120"/>
      <c r="Q133" s="4" t="s">
        <v>34</v>
      </c>
      <c r="R133" s="18">
        <v>2</v>
      </c>
      <c r="S133" s="120"/>
      <c r="T133" s="4" t="s">
        <v>35</v>
      </c>
      <c r="U133" s="18">
        <v>2</v>
      </c>
      <c r="V133" s="120"/>
      <c r="W133" s="4" t="s">
        <v>36</v>
      </c>
      <c r="X133" s="18">
        <v>2</v>
      </c>
      <c r="Y133" s="120"/>
      <c r="Z133" s="4" t="s">
        <v>37</v>
      </c>
      <c r="AA133" s="18">
        <v>3</v>
      </c>
      <c r="AB133" s="120"/>
      <c r="AC133" s="4" t="s">
        <v>38</v>
      </c>
      <c r="AD133" s="18">
        <v>0</v>
      </c>
      <c r="AE133" s="120"/>
      <c r="AF133" s="4" t="s">
        <v>70</v>
      </c>
      <c r="AG133" s="18">
        <v>2</v>
      </c>
      <c r="AH133" s="120"/>
      <c r="AI133" s="13" t="s">
        <v>40</v>
      </c>
      <c r="AJ133" s="24">
        <v>3</v>
      </c>
      <c r="AK133" s="126"/>
      <c r="AL133" s="4" t="s">
        <v>41</v>
      </c>
      <c r="AM133" s="18">
        <v>3</v>
      </c>
      <c r="AN133" s="120"/>
      <c r="AO133" s="4" t="s">
        <v>42</v>
      </c>
      <c r="AP133" s="18">
        <v>3</v>
      </c>
      <c r="AQ133" s="120"/>
      <c r="AR133" s="4" t="s">
        <v>61</v>
      </c>
      <c r="AS133" s="18">
        <v>3</v>
      </c>
      <c r="AT133" s="120"/>
      <c r="AU133" s="4" t="s">
        <v>79</v>
      </c>
      <c r="AV133" s="18">
        <v>2</v>
      </c>
      <c r="AW133" s="120"/>
      <c r="AX133" s="4" t="s">
        <v>80</v>
      </c>
      <c r="AY133" s="18">
        <v>3</v>
      </c>
      <c r="AZ133" s="120"/>
      <c r="BA133" s="4" t="s">
        <v>46</v>
      </c>
      <c r="BB133" s="18">
        <v>1</v>
      </c>
      <c r="BC133" s="18">
        <v>1</v>
      </c>
      <c r="BD133" s="18">
        <v>0</v>
      </c>
      <c r="BE133" s="18">
        <v>0</v>
      </c>
      <c r="BF133" s="18">
        <v>0</v>
      </c>
      <c r="BG133" s="18">
        <v>0</v>
      </c>
      <c r="BH133" s="150" t="s">
        <v>81</v>
      </c>
      <c r="BI133" s="18">
        <v>0</v>
      </c>
      <c r="BJ133" s="130"/>
      <c r="BK133" s="4" t="s">
        <v>75</v>
      </c>
      <c r="BL133" s="18">
        <v>3</v>
      </c>
      <c r="BM133" s="120"/>
      <c r="BN133" s="4" t="s">
        <v>49</v>
      </c>
      <c r="BO133" s="18">
        <v>1</v>
      </c>
      <c r="BP133" s="120"/>
      <c r="BQ133" s="18" t="s">
        <v>50</v>
      </c>
      <c r="BR133" s="18">
        <v>3</v>
      </c>
      <c r="BS133" s="120"/>
      <c r="BT133" s="4" t="s">
        <v>38</v>
      </c>
      <c r="BU133" s="18">
        <v>1</v>
      </c>
      <c r="BV133" s="120"/>
      <c r="BW133" s="4" t="s">
        <v>66</v>
      </c>
      <c r="BX133" s="18">
        <v>3</v>
      </c>
      <c r="BY133" s="120"/>
      <c r="BZ133" s="4" t="s">
        <v>52</v>
      </c>
      <c r="CA133" s="18">
        <v>3</v>
      </c>
      <c r="CB133" s="120"/>
      <c r="CC133" s="4" t="s">
        <v>36</v>
      </c>
      <c r="CD133" s="18">
        <v>0</v>
      </c>
      <c r="CE133" s="120"/>
      <c r="CF133" s="18" t="s">
        <v>49</v>
      </c>
      <c r="CG133" s="18">
        <v>3</v>
      </c>
      <c r="CH133" s="120"/>
      <c r="CI133" s="4" t="s">
        <v>53</v>
      </c>
      <c r="CJ133" s="34">
        <v>1</v>
      </c>
      <c r="CK133" s="34">
        <v>0</v>
      </c>
      <c r="CL133" s="34">
        <v>1</v>
      </c>
      <c r="CM133" s="34">
        <v>0</v>
      </c>
      <c r="CN133" s="5" t="s">
        <v>54</v>
      </c>
    </row>
    <row r="134" spans="1:92" ht="28" x14ac:dyDescent="0.15">
      <c r="A134" s="51">
        <v>45860.921538622686</v>
      </c>
      <c r="B134" s="3" t="s">
        <v>29</v>
      </c>
      <c r="C134" s="17">
        <v>2</v>
      </c>
      <c r="D134" s="116"/>
      <c r="E134" s="6" t="s">
        <v>55</v>
      </c>
      <c r="F134" s="17">
        <v>1</v>
      </c>
      <c r="G134" s="116"/>
      <c r="H134" s="6" t="s">
        <v>31</v>
      </c>
      <c r="I134" s="17">
        <v>1</v>
      </c>
      <c r="J134" s="116"/>
      <c r="K134" s="43" t="s">
        <v>32</v>
      </c>
      <c r="L134" s="17">
        <v>1</v>
      </c>
      <c r="M134" s="119"/>
      <c r="N134" s="1" t="s">
        <v>124</v>
      </c>
      <c r="O134" s="18">
        <v>1</v>
      </c>
      <c r="P134" s="117"/>
      <c r="Q134" s="1" t="s">
        <v>34</v>
      </c>
      <c r="R134" s="17">
        <v>1</v>
      </c>
      <c r="S134" s="119"/>
      <c r="T134" s="1" t="s">
        <v>57</v>
      </c>
      <c r="U134" s="17">
        <v>1</v>
      </c>
      <c r="V134" s="119"/>
      <c r="W134" s="1" t="s">
        <v>92</v>
      </c>
      <c r="X134" s="17">
        <v>1</v>
      </c>
      <c r="Y134" s="119"/>
      <c r="Z134" s="1" t="s">
        <v>58</v>
      </c>
      <c r="AA134" s="17">
        <v>1</v>
      </c>
      <c r="AB134" s="119"/>
      <c r="AC134" s="1" t="s">
        <v>69</v>
      </c>
      <c r="AD134" s="17">
        <v>2</v>
      </c>
      <c r="AE134" s="119"/>
      <c r="AF134" s="1" t="s">
        <v>83</v>
      </c>
      <c r="AG134" s="17">
        <v>0</v>
      </c>
      <c r="AH134" s="119"/>
      <c r="AI134" s="11" t="s">
        <v>84</v>
      </c>
      <c r="AJ134" s="25">
        <v>2</v>
      </c>
      <c r="AK134" s="127"/>
      <c r="AL134" s="1" t="s">
        <v>71</v>
      </c>
      <c r="AM134" s="17">
        <v>1</v>
      </c>
      <c r="AN134" s="119"/>
      <c r="AO134" s="1" t="s">
        <v>130</v>
      </c>
      <c r="AP134" s="17">
        <v>3</v>
      </c>
      <c r="AQ134" s="119"/>
      <c r="AR134" s="1" t="s">
        <v>99</v>
      </c>
      <c r="AS134" s="17">
        <v>2</v>
      </c>
      <c r="AT134" s="119"/>
      <c r="AU134" s="1" t="s">
        <v>44</v>
      </c>
      <c r="AV134" s="17">
        <v>0</v>
      </c>
      <c r="AW134" s="119"/>
      <c r="AX134" s="1" t="s">
        <v>62</v>
      </c>
      <c r="AY134" s="17">
        <v>2</v>
      </c>
      <c r="AZ134" s="119"/>
      <c r="BA134" s="1" t="s">
        <v>59</v>
      </c>
      <c r="BB134" s="17">
        <v>1</v>
      </c>
      <c r="BC134" s="17">
        <v>0</v>
      </c>
      <c r="BD134" s="17">
        <v>1</v>
      </c>
      <c r="BE134" s="17">
        <v>0</v>
      </c>
      <c r="BF134" s="17">
        <v>0</v>
      </c>
      <c r="BG134" s="17">
        <v>0</v>
      </c>
      <c r="BH134" s="149" t="s">
        <v>47</v>
      </c>
      <c r="BI134" s="17">
        <v>0</v>
      </c>
      <c r="BJ134" s="131"/>
      <c r="BK134" s="1" t="s">
        <v>75</v>
      </c>
      <c r="BL134" s="17">
        <v>2</v>
      </c>
      <c r="BM134" s="119"/>
      <c r="BN134" s="1" t="s">
        <v>64</v>
      </c>
      <c r="BO134" s="17">
        <v>1</v>
      </c>
      <c r="BP134" s="119"/>
      <c r="BQ134" s="17" t="s">
        <v>50</v>
      </c>
      <c r="BR134" s="17">
        <v>2</v>
      </c>
      <c r="BS134" s="119"/>
      <c r="BT134" s="1" t="s">
        <v>65</v>
      </c>
      <c r="BU134" s="17">
        <v>0</v>
      </c>
      <c r="BV134" s="119"/>
      <c r="BW134" s="1" t="s">
        <v>88</v>
      </c>
      <c r="BX134" s="17">
        <v>3</v>
      </c>
      <c r="BY134" s="119"/>
      <c r="BZ134" s="1" t="s">
        <v>52</v>
      </c>
      <c r="CA134" s="17">
        <v>2</v>
      </c>
      <c r="CB134" s="119"/>
      <c r="CC134" s="1" t="s">
        <v>76</v>
      </c>
      <c r="CD134" s="17">
        <v>1</v>
      </c>
      <c r="CE134" s="119"/>
      <c r="CF134" s="17" t="s">
        <v>77</v>
      </c>
      <c r="CG134" s="17">
        <v>0</v>
      </c>
      <c r="CH134" s="119"/>
      <c r="CI134" s="1" t="s">
        <v>89</v>
      </c>
      <c r="CJ134" s="33"/>
      <c r="CK134" s="33">
        <v>1</v>
      </c>
      <c r="CL134" s="33">
        <v>1</v>
      </c>
      <c r="CM134" s="33">
        <v>0</v>
      </c>
      <c r="CN134" s="2" t="s">
        <v>98</v>
      </c>
    </row>
    <row r="135" spans="1:92" ht="28" x14ac:dyDescent="0.15">
      <c r="A135" s="51">
        <v>45860.930127372689</v>
      </c>
      <c r="B135" s="3" t="s">
        <v>29</v>
      </c>
      <c r="C135" s="18">
        <v>3</v>
      </c>
      <c r="D135" s="117"/>
      <c r="E135" s="6" t="s">
        <v>90</v>
      </c>
      <c r="F135" s="18">
        <v>1</v>
      </c>
      <c r="G135" s="117"/>
      <c r="H135" s="6" t="s">
        <v>31</v>
      </c>
      <c r="I135" s="18">
        <v>1</v>
      </c>
      <c r="J135" s="117"/>
      <c r="K135" s="43" t="s">
        <v>32</v>
      </c>
      <c r="L135" s="18">
        <v>2</v>
      </c>
      <c r="M135" s="120"/>
      <c r="N135" s="4" t="s">
        <v>33</v>
      </c>
      <c r="O135" s="18">
        <v>1</v>
      </c>
      <c r="P135" s="120"/>
      <c r="Q135" s="4" t="s">
        <v>34</v>
      </c>
      <c r="R135" s="18">
        <v>0</v>
      </c>
      <c r="S135" s="120"/>
      <c r="T135" s="4" t="s">
        <v>49</v>
      </c>
      <c r="U135" s="18">
        <v>2</v>
      </c>
      <c r="V135" s="120"/>
      <c r="W135" s="4" t="s">
        <v>36</v>
      </c>
      <c r="X135" s="18">
        <v>2</v>
      </c>
      <c r="Y135" s="120"/>
      <c r="Z135" s="4" t="s">
        <v>37</v>
      </c>
      <c r="AA135" s="18">
        <v>3</v>
      </c>
      <c r="AB135" s="120"/>
      <c r="AC135" s="4" t="s">
        <v>38</v>
      </c>
      <c r="AD135" s="18">
        <v>1</v>
      </c>
      <c r="AE135" s="120"/>
      <c r="AF135" s="4" t="s">
        <v>39</v>
      </c>
      <c r="AG135" s="18">
        <v>0</v>
      </c>
      <c r="AH135" s="120"/>
      <c r="AI135" s="13" t="s">
        <v>84</v>
      </c>
      <c r="AJ135" s="24">
        <v>0</v>
      </c>
      <c r="AK135" s="126"/>
      <c r="AL135" s="4" t="s">
        <v>85</v>
      </c>
      <c r="AM135" s="18">
        <v>2</v>
      </c>
      <c r="AN135" s="120"/>
      <c r="AO135" s="4" t="s">
        <v>72</v>
      </c>
      <c r="AP135" s="18">
        <v>0</v>
      </c>
      <c r="AQ135" s="120"/>
      <c r="AR135" s="4" t="s">
        <v>121</v>
      </c>
      <c r="AS135" s="18">
        <v>2</v>
      </c>
      <c r="AT135" s="120"/>
      <c r="AU135" s="4" t="s">
        <v>44</v>
      </c>
      <c r="AV135" s="18">
        <v>0</v>
      </c>
      <c r="AW135" s="120"/>
      <c r="AX135" s="4" t="s">
        <v>73</v>
      </c>
      <c r="AY135" s="18">
        <v>2</v>
      </c>
      <c r="AZ135" s="120"/>
      <c r="BA135" s="4" t="s">
        <v>59</v>
      </c>
      <c r="BB135" s="18">
        <v>0</v>
      </c>
      <c r="BC135" s="18">
        <v>0</v>
      </c>
      <c r="BD135" s="18">
        <v>1</v>
      </c>
      <c r="BE135" s="18">
        <v>1</v>
      </c>
      <c r="BF135" s="18">
        <v>0</v>
      </c>
      <c r="BG135" s="18">
        <v>0</v>
      </c>
      <c r="BH135" s="150" t="s">
        <v>95</v>
      </c>
      <c r="BI135" s="18">
        <v>0</v>
      </c>
      <c r="BJ135" s="130"/>
      <c r="BK135" s="4" t="s">
        <v>75</v>
      </c>
      <c r="BL135" s="18">
        <v>0</v>
      </c>
      <c r="BM135" s="120"/>
      <c r="BN135" s="4" t="s">
        <v>36</v>
      </c>
      <c r="BO135" s="18">
        <v>1</v>
      </c>
      <c r="BP135" s="120"/>
      <c r="BQ135" s="18" t="s">
        <v>50</v>
      </c>
      <c r="BR135" s="18">
        <v>2</v>
      </c>
      <c r="BS135" s="120"/>
      <c r="BT135" s="4" t="s">
        <v>65</v>
      </c>
      <c r="BU135" s="18">
        <v>1</v>
      </c>
      <c r="BV135" s="120"/>
      <c r="BW135" s="4" t="s">
        <v>66</v>
      </c>
      <c r="BX135" s="18">
        <v>0</v>
      </c>
      <c r="BY135" s="120"/>
      <c r="BZ135" s="4" t="s">
        <v>119</v>
      </c>
      <c r="CA135" s="18">
        <v>2</v>
      </c>
      <c r="CB135" s="120"/>
      <c r="CC135" s="4" t="s">
        <v>76</v>
      </c>
      <c r="CD135" s="18">
        <v>0</v>
      </c>
      <c r="CE135" s="120"/>
      <c r="CF135" s="18" t="s">
        <v>49</v>
      </c>
      <c r="CG135" s="18">
        <v>2</v>
      </c>
      <c r="CH135" s="120"/>
      <c r="CI135" s="4" t="s">
        <v>78</v>
      </c>
      <c r="CJ135" s="34">
        <v>1</v>
      </c>
      <c r="CK135" s="34">
        <v>1</v>
      </c>
      <c r="CL135" s="34">
        <v>0</v>
      </c>
      <c r="CM135" s="34">
        <v>0</v>
      </c>
      <c r="CN135" s="5" t="s">
        <v>82</v>
      </c>
    </row>
    <row r="136" spans="1:92" ht="28" x14ac:dyDescent="0.15">
      <c r="A136" s="51">
        <v>45860.933475196754</v>
      </c>
      <c r="B136" s="3" t="s">
        <v>29</v>
      </c>
      <c r="C136" s="17">
        <v>4</v>
      </c>
      <c r="D136" s="116"/>
      <c r="E136" s="6" t="s">
        <v>127</v>
      </c>
      <c r="F136" s="17">
        <v>2</v>
      </c>
      <c r="G136" s="116"/>
      <c r="H136" s="6" t="s">
        <v>91</v>
      </c>
      <c r="I136" s="17">
        <v>3</v>
      </c>
      <c r="J136" s="116"/>
      <c r="K136" s="43" t="s">
        <v>56</v>
      </c>
      <c r="L136" s="17">
        <v>2</v>
      </c>
      <c r="M136" s="119"/>
      <c r="N136" s="1" t="s">
        <v>33</v>
      </c>
      <c r="O136" s="18">
        <v>1</v>
      </c>
      <c r="P136" s="117"/>
      <c r="Q136" s="1" t="s">
        <v>34</v>
      </c>
      <c r="R136" s="17">
        <v>1</v>
      </c>
      <c r="S136" s="119"/>
      <c r="T136" s="1" t="s">
        <v>57</v>
      </c>
      <c r="U136" s="17">
        <v>1</v>
      </c>
      <c r="V136" s="119"/>
      <c r="W136" s="1" t="s">
        <v>92</v>
      </c>
      <c r="X136" s="17">
        <v>1</v>
      </c>
      <c r="Y136" s="119"/>
      <c r="Z136" s="1" t="s">
        <v>58</v>
      </c>
      <c r="AA136" s="17">
        <v>2</v>
      </c>
      <c r="AB136" s="119"/>
      <c r="AC136" s="1" t="s">
        <v>59</v>
      </c>
      <c r="AD136" s="17">
        <v>1</v>
      </c>
      <c r="AE136" s="119"/>
      <c r="AF136" s="1" t="s">
        <v>39</v>
      </c>
      <c r="AG136" s="17">
        <v>2</v>
      </c>
      <c r="AH136" s="119"/>
      <c r="AI136" s="11" t="s">
        <v>40</v>
      </c>
      <c r="AJ136" s="25">
        <v>2</v>
      </c>
      <c r="AK136" s="127"/>
      <c r="AL136" s="1" t="s">
        <v>71</v>
      </c>
      <c r="AM136" s="17">
        <v>2</v>
      </c>
      <c r="AN136" s="119"/>
      <c r="AO136" s="1" t="s">
        <v>72</v>
      </c>
      <c r="AP136" s="17">
        <v>3</v>
      </c>
      <c r="AQ136" s="119"/>
      <c r="AR136" s="1" t="s">
        <v>61</v>
      </c>
      <c r="AS136" s="17">
        <v>2</v>
      </c>
      <c r="AT136" s="119"/>
      <c r="AU136" s="1" t="s">
        <v>44</v>
      </c>
      <c r="AV136" s="17">
        <v>1</v>
      </c>
      <c r="AW136" s="119"/>
      <c r="AX136" s="1" t="s">
        <v>45</v>
      </c>
      <c r="AY136" s="17">
        <v>2</v>
      </c>
      <c r="AZ136" s="119"/>
      <c r="BA136" s="1" t="s">
        <v>59</v>
      </c>
      <c r="BB136" s="17">
        <v>1</v>
      </c>
      <c r="BC136" s="17">
        <v>0</v>
      </c>
      <c r="BD136" s="17">
        <v>1</v>
      </c>
      <c r="BE136" s="17">
        <v>0</v>
      </c>
      <c r="BF136" s="17">
        <v>0</v>
      </c>
      <c r="BG136" s="17">
        <v>0</v>
      </c>
      <c r="BH136" s="149" t="s">
        <v>47</v>
      </c>
      <c r="BI136" s="17">
        <v>0</v>
      </c>
      <c r="BJ136" s="131"/>
      <c r="BK136" s="1" t="s">
        <v>75</v>
      </c>
      <c r="BL136" s="17">
        <v>2</v>
      </c>
      <c r="BM136" s="119"/>
      <c r="BN136" s="1" t="s">
        <v>64</v>
      </c>
      <c r="BO136" s="17">
        <v>1</v>
      </c>
      <c r="BP136" s="119"/>
      <c r="BQ136" s="17" t="s">
        <v>50</v>
      </c>
      <c r="BR136" s="17">
        <v>2</v>
      </c>
      <c r="BS136" s="119"/>
      <c r="BT136" s="1" t="s">
        <v>65</v>
      </c>
      <c r="BU136" s="17">
        <v>3</v>
      </c>
      <c r="BV136" s="119"/>
      <c r="BW136" s="1" t="s">
        <v>147</v>
      </c>
      <c r="BX136" s="17">
        <v>2</v>
      </c>
      <c r="BY136" s="119"/>
      <c r="BZ136" s="1" t="s">
        <v>97</v>
      </c>
      <c r="CA136" s="17">
        <v>2</v>
      </c>
      <c r="CB136" s="119"/>
      <c r="CC136" s="1" t="s">
        <v>76</v>
      </c>
      <c r="CD136" s="17">
        <v>2</v>
      </c>
      <c r="CE136" s="119"/>
      <c r="CF136" s="17" t="s">
        <v>36</v>
      </c>
      <c r="CG136" s="17">
        <v>3</v>
      </c>
      <c r="CH136" s="119"/>
      <c r="CI136" s="1" t="s">
        <v>53</v>
      </c>
      <c r="CJ136" s="33">
        <v>1</v>
      </c>
      <c r="CK136" s="33">
        <v>1</v>
      </c>
      <c r="CL136" s="33">
        <v>0</v>
      </c>
      <c r="CM136" s="33">
        <v>0</v>
      </c>
      <c r="CN136" s="2" t="s">
        <v>82</v>
      </c>
    </row>
    <row r="137" spans="1:92" ht="28" x14ac:dyDescent="0.15">
      <c r="A137" s="51">
        <v>45860.940146516208</v>
      </c>
      <c r="B137" s="3" t="s">
        <v>29</v>
      </c>
      <c r="C137" s="18">
        <v>3</v>
      </c>
      <c r="D137" s="117"/>
      <c r="E137" s="6" t="s">
        <v>90</v>
      </c>
      <c r="F137" s="18">
        <v>1</v>
      </c>
      <c r="G137" s="117"/>
      <c r="H137" s="6" t="s">
        <v>31</v>
      </c>
      <c r="I137" s="18">
        <v>3</v>
      </c>
      <c r="J137" s="117"/>
      <c r="K137" s="43" t="s">
        <v>56</v>
      </c>
      <c r="L137" s="18">
        <v>2</v>
      </c>
      <c r="M137" s="120"/>
      <c r="N137" s="4" t="s">
        <v>33</v>
      </c>
      <c r="O137" s="18">
        <v>1</v>
      </c>
      <c r="P137" s="120"/>
      <c r="Q137" s="4" t="s">
        <v>34</v>
      </c>
      <c r="R137" s="18">
        <v>1</v>
      </c>
      <c r="S137" s="120"/>
      <c r="T137" s="4" t="s">
        <v>57</v>
      </c>
      <c r="U137" s="18">
        <v>1</v>
      </c>
      <c r="V137" s="120"/>
      <c r="W137" s="4" t="s">
        <v>92</v>
      </c>
      <c r="X137" s="18">
        <v>1</v>
      </c>
      <c r="Y137" s="120"/>
      <c r="Z137" s="4" t="s">
        <v>58</v>
      </c>
      <c r="AA137" s="18">
        <v>2</v>
      </c>
      <c r="AB137" s="120"/>
      <c r="AC137" s="4" t="s">
        <v>59</v>
      </c>
      <c r="AD137" s="18">
        <v>0</v>
      </c>
      <c r="AE137" s="120"/>
      <c r="AF137" s="4" t="s">
        <v>70</v>
      </c>
      <c r="AG137" s="18">
        <v>2</v>
      </c>
      <c r="AH137" s="120"/>
      <c r="AI137" s="13" t="s">
        <v>40</v>
      </c>
      <c r="AJ137" s="24">
        <v>0</v>
      </c>
      <c r="AK137" s="126"/>
      <c r="AL137" s="4" t="s">
        <v>85</v>
      </c>
      <c r="AM137" s="18">
        <v>2</v>
      </c>
      <c r="AN137" s="120"/>
      <c r="AO137" s="4" t="s">
        <v>72</v>
      </c>
      <c r="AP137" s="18">
        <v>3</v>
      </c>
      <c r="AQ137" s="120"/>
      <c r="AR137" s="4" t="s">
        <v>61</v>
      </c>
      <c r="AS137" s="18">
        <v>0</v>
      </c>
      <c r="AT137" s="120"/>
      <c r="AU137" s="4" t="s">
        <v>102</v>
      </c>
      <c r="AV137" s="18">
        <v>0</v>
      </c>
      <c r="AW137" s="120"/>
      <c r="AX137" s="4" t="s">
        <v>62</v>
      </c>
      <c r="AY137" s="18">
        <v>2</v>
      </c>
      <c r="AZ137" s="120"/>
      <c r="BA137" s="4" t="s">
        <v>59</v>
      </c>
      <c r="BB137" s="18">
        <v>1</v>
      </c>
      <c r="BC137" s="18">
        <v>0</v>
      </c>
      <c r="BD137" s="18">
        <v>1</v>
      </c>
      <c r="BE137" s="18">
        <v>0</v>
      </c>
      <c r="BF137" s="18">
        <v>0</v>
      </c>
      <c r="BG137" s="18">
        <v>0</v>
      </c>
      <c r="BH137" s="150" t="s">
        <v>47</v>
      </c>
      <c r="BI137" s="18">
        <v>0</v>
      </c>
      <c r="BJ137" s="130"/>
      <c r="BK137" s="4" t="s">
        <v>75</v>
      </c>
      <c r="BL137" s="18">
        <v>1</v>
      </c>
      <c r="BM137" s="120"/>
      <c r="BN137" s="4" t="s">
        <v>59</v>
      </c>
      <c r="BO137" s="18">
        <v>2</v>
      </c>
      <c r="BP137" s="120"/>
      <c r="BQ137" s="18" t="s">
        <v>117</v>
      </c>
      <c r="BR137" s="18">
        <v>2</v>
      </c>
      <c r="BS137" s="120"/>
      <c r="BT137" s="4" t="s">
        <v>65</v>
      </c>
      <c r="BU137" s="18">
        <v>0</v>
      </c>
      <c r="BV137" s="120"/>
      <c r="BW137" s="4" t="s">
        <v>88</v>
      </c>
      <c r="BX137" s="18">
        <v>3</v>
      </c>
      <c r="BY137" s="120"/>
      <c r="BZ137" s="4" t="s">
        <v>52</v>
      </c>
      <c r="CA137" s="18">
        <v>2</v>
      </c>
      <c r="CB137" s="120"/>
      <c r="CC137" s="4" t="s">
        <v>76</v>
      </c>
      <c r="CD137" s="18">
        <v>1</v>
      </c>
      <c r="CE137" s="120"/>
      <c r="CF137" s="18" t="s">
        <v>77</v>
      </c>
      <c r="CG137" s="18">
        <v>2</v>
      </c>
      <c r="CH137" s="120"/>
      <c r="CI137" s="4" t="s">
        <v>78</v>
      </c>
      <c r="CJ137" s="34">
        <v>0</v>
      </c>
      <c r="CK137" s="34">
        <v>0</v>
      </c>
      <c r="CL137" s="34">
        <v>1</v>
      </c>
      <c r="CM137" s="34">
        <v>0</v>
      </c>
      <c r="CN137" s="5" t="s">
        <v>120</v>
      </c>
    </row>
    <row r="138" spans="1:92" ht="28" x14ac:dyDescent="0.15">
      <c r="A138" s="51">
        <v>45861.001792835646</v>
      </c>
      <c r="B138" s="3" t="s">
        <v>29</v>
      </c>
      <c r="C138" s="17">
        <v>4</v>
      </c>
      <c r="D138" s="116"/>
      <c r="E138" s="6" t="s">
        <v>127</v>
      </c>
      <c r="F138" s="17">
        <v>1</v>
      </c>
      <c r="G138" s="116"/>
      <c r="H138" s="6" t="s">
        <v>31</v>
      </c>
      <c r="I138" s="17">
        <v>4</v>
      </c>
      <c r="J138" s="116"/>
      <c r="K138" s="43" t="s">
        <v>118</v>
      </c>
      <c r="L138" s="17">
        <v>2</v>
      </c>
      <c r="M138" s="119"/>
      <c r="N138" s="1" t="s">
        <v>33</v>
      </c>
      <c r="O138" s="18">
        <v>1</v>
      </c>
      <c r="P138" s="117"/>
      <c r="Q138" s="1" t="s">
        <v>34</v>
      </c>
      <c r="R138" s="17">
        <v>1</v>
      </c>
      <c r="S138" s="119"/>
      <c r="T138" s="1" t="s">
        <v>57</v>
      </c>
      <c r="U138" s="17">
        <v>2</v>
      </c>
      <c r="V138" s="119"/>
      <c r="W138" s="1" t="s">
        <v>36</v>
      </c>
      <c r="X138" s="17">
        <v>1</v>
      </c>
      <c r="Y138" s="119"/>
      <c r="Z138" s="1" t="s">
        <v>58</v>
      </c>
      <c r="AA138" s="17">
        <v>1</v>
      </c>
      <c r="AB138" s="119"/>
      <c r="AC138" s="1" t="s">
        <v>69</v>
      </c>
      <c r="AD138" s="17">
        <v>5</v>
      </c>
      <c r="AE138" s="119"/>
      <c r="AF138" s="1" t="s">
        <v>115</v>
      </c>
      <c r="AG138" s="17">
        <v>0</v>
      </c>
      <c r="AH138" s="119"/>
      <c r="AI138" s="11" t="s">
        <v>84</v>
      </c>
      <c r="AJ138" s="25">
        <v>3</v>
      </c>
      <c r="AK138" s="127"/>
      <c r="AL138" s="1" t="s">
        <v>41</v>
      </c>
      <c r="AM138" s="17">
        <v>2</v>
      </c>
      <c r="AN138" s="119"/>
      <c r="AO138" s="1" t="s">
        <v>72</v>
      </c>
      <c r="AP138" s="17">
        <v>3</v>
      </c>
      <c r="AQ138" s="119"/>
      <c r="AR138" s="1" t="s">
        <v>99</v>
      </c>
      <c r="AS138" s="17">
        <v>2</v>
      </c>
      <c r="AT138" s="119"/>
      <c r="AU138" s="1" t="s">
        <v>44</v>
      </c>
      <c r="AV138" s="17">
        <v>0</v>
      </c>
      <c r="AW138" s="119"/>
      <c r="AX138" s="1" t="s">
        <v>73</v>
      </c>
      <c r="AY138" s="17">
        <v>1</v>
      </c>
      <c r="AZ138" s="119"/>
      <c r="BA138" s="1" t="s">
        <v>69</v>
      </c>
      <c r="BB138" s="17">
        <v>0</v>
      </c>
      <c r="BC138" s="17">
        <v>0</v>
      </c>
      <c r="BD138" s="17">
        <v>1</v>
      </c>
      <c r="BE138" s="17">
        <v>1</v>
      </c>
      <c r="BF138" s="17">
        <v>0</v>
      </c>
      <c r="BG138" s="17">
        <v>0</v>
      </c>
      <c r="BH138" s="149" t="s">
        <v>95</v>
      </c>
      <c r="BI138" s="17">
        <v>1</v>
      </c>
      <c r="BJ138" s="131"/>
      <c r="BK138" s="1" t="s">
        <v>96</v>
      </c>
      <c r="BL138" s="17">
        <v>0</v>
      </c>
      <c r="BM138" s="119"/>
      <c r="BN138" s="1" t="s">
        <v>36</v>
      </c>
      <c r="BO138" s="17">
        <v>1</v>
      </c>
      <c r="BP138" s="119"/>
      <c r="BQ138" s="17" t="s">
        <v>50</v>
      </c>
      <c r="BR138" s="17">
        <v>2</v>
      </c>
      <c r="BS138" s="119"/>
      <c r="BT138" s="1" t="s">
        <v>65</v>
      </c>
      <c r="BU138" s="17">
        <v>2</v>
      </c>
      <c r="BV138" s="119"/>
      <c r="BW138" s="1" t="s">
        <v>51</v>
      </c>
      <c r="BX138" s="17">
        <v>3</v>
      </c>
      <c r="BY138" s="119"/>
      <c r="BZ138" s="1" t="s">
        <v>52</v>
      </c>
      <c r="CA138" s="17">
        <v>3</v>
      </c>
      <c r="CB138" s="119"/>
      <c r="CC138" s="1" t="s">
        <v>36</v>
      </c>
      <c r="CD138" s="17">
        <v>1</v>
      </c>
      <c r="CE138" s="119"/>
      <c r="CF138" s="17" t="s">
        <v>77</v>
      </c>
      <c r="CG138" s="17">
        <v>3</v>
      </c>
      <c r="CH138" s="119"/>
      <c r="CI138" s="1" t="s">
        <v>53</v>
      </c>
      <c r="CJ138" s="33">
        <v>1</v>
      </c>
      <c r="CK138" s="33">
        <v>0</v>
      </c>
      <c r="CL138" s="33">
        <v>1</v>
      </c>
      <c r="CM138" s="33">
        <v>0</v>
      </c>
      <c r="CN138" s="2" t="s">
        <v>54</v>
      </c>
    </row>
    <row r="139" spans="1:92" ht="28" x14ac:dyDescent="0.15">
      <c r="A139" s="51">
        <v>45861.013166550925</v>
      </c>
      <c r="B139" s="3" t="s">
        <v>29</v>
      </c>
      <c r="C139" s="18">
        <v>4</v>
      </c>
      <c r="D139" s="117"/>
      <c r="E139" s="6" t="s">
        <v>127</v>
      </c>
      <c r="F139" s="18">
        <v>1</v>
      </c>
      <c r="G139" s="117"/>
      <c r="H139" s="6" t="s">
        <v>31</v>
      </c>
      <c r="I139" s="18">
        <v>4</v>
      </c>
      <c r="J139" s="117"/>
      <c r="K139" s="43" t="s">
        <v>118</v>
      </c>
      <c r="L139" s="18">
        <v>2</v>
      </c>
      <c r="M139" s="120"/>
      <c r="N139" s="4" t="s">
        <v>33</v>
      </c>
      <c r="O139" s="18">
        <v>1</v>
      </c>
      <c r="P139" s="120"/>
      <c r="Q139" s="4" t="s">
        <v>34</v>
      </c>
      <c r="R139" s="18">
        <v>1</v>
      </c>
      <c r="S139" s="120"/>
      <c r="T139" s="4" t="s">
        <v>57</v>
      </c>
      <c r="U139" s="18">
        <v>1</v>
      </c>
      <c r="V139" s="120"/>
      <c r="W139" s="4" t="s">
        <v>92</v>
      </c>
      <c r="X139" s="18">
        <v>2</v>
      </c>
      <c r="Y139" s="120"/>
      <c r="Z139" s="4" t="s">
        <v>37</v>
      </c>
      <c r="AA139" s="18">
        <v>3</v>
      </c>
      <c r="AB139" s="120"/>
      <c r="AC139" s="4" t="s">
        <v>38</v>
      </c>
      <c r="AD139" s="18">
        <v>0</v>
      </c>
      <c r="AE139" s="120"/>
      <c r="AF139" s="4" t="s">
        <v>70</v>
      </c>
      <c r="AG139" s="18">
        <v>3</v>
      </c>
      <c r="AH139" s="120"/>
      <c r="AI139" s="13" t="s">
        <v>94</v>
      </c>
      <c r="AJ139" s="24">
        <v>3</v>
      </c>
      <c r="AK139" s="126"/>
      <c r="AL139" s="4" t="s">
        <v>41</v>
      </c>
      <c r="AM139" s="18">
        <v>2</v>
      </c>
      <c r="AN139" s="120"/>
      <c r="AO139" s="4" t="s">
        <v>72</v>
      </c>
      <c r="AP139" s="18">
        <v>3</v>
      </c>
      <c r="AQ139" s="120"/>
      <c r="AR139" s="4" t="s">
        <v>61</v>
      </c>
      <c r="AS139" s="18">
        <v>3</v>
      </c>
      <c r="AT139" s="120"/>
      <c r="AU139" s="4" t="s">
        <v>79</v>
      </c>
      <c r="AV139" s="18">
        <v>1</v>
      </c>
      <c r="AW139" s="120"/>
      <c r="AX139" s="4" t="s">
        <v>45</v>
      </c>
      <c r="AY139" s="18">
        <v>1</v>
      </c>
      <c r="AZ139" s="120"/>
      <c r="BA139" s="4" t="s">
        <v>69</v>
      </c>
      <c r="BB139" s="18">
        <v>1</v>
      </c>
      <c r="BC139" s="18">
        <v>0</v>
      </c>
      <c r="BD139" s="18">
        <v>1</v>
      </c>
      <c r="BE139" s="18">
        <v>0</v>
      </c>
      <c r="BF139" s="18">
        <v>0</v>
      </c>
      <c r="BG139" s="18">
        <v>0</v>
      </c>
      <c r="BH139" s="150" t="s">
        <v>47</v>
      </c>
      <c r="BI139" s="18">
        <v>2</v>
      </c>
      <c r="BJ139" s="130"/>
      <c r="BK139" s="4" t="s">
        <v>48</v>
      </c>
      <c r="BL139" s="18">
        <v>2</v>
      </c>
      <c r="BM139" s="120"/>
      <c r="BN139" s="4" t="s">
        <v>64</v>
      </c>
      <c r="BO139" s="18">
        <v>1</v>
      </c>
      <c r="BP139" s="120"/>
      <c r="BQ139" s="18" t="s">
        <v>50</v>
      </c>
      <c r="BR139" s="18">
        <v>2</v>
      </c>
      <c r="BS139" s="120"/>
      <c r="BT139" s="4" t="s">
        <v>65</v>
      </c>
      <c r="BU139" s="18">
        <v>3</v>
      </c>
      <c r="BV139" s="120"/>
      <c r="BW139" s="4" t="s">
        <v>147</v>
      </c>
      <c r="BX139" s="18">
        <v>3</v>
      </c>
      <c r="BY139" s="120"/>
      <c r="BZ139" s="4" t="s">
        <v>52</v>
      </c>
      <c r="CA139" s="18">
        <v>3</v>
      </c>
      <c r="CB139" s="120"/>
      <c r="CC139" s="4" t="s">
        <v>36</v>
      </c>
      <c r="CD139" s="18">
        <v>1</v>
      </c>
      <c r="CE139" s="120"/>
      <c r="CF139" s="18" t="s">
        <v>77</v>
      </c>
      <c r="CG139" s="18">
        <v>3</v>
      </c>
      <c r="CH139" s="120"/>
      <c r="CI139" s="4" t="s">
        <v>53</v>
      </c>
      <c r="CJ139" s="34">
        <v>1</v>
      </c>
      <c r="CK139" s="34">
        <v>0</v>
      </c>
      <c r="CL139" s="34">
        <v>1</v>
      </c>
      <c r="CM139" s="34">
        <v>0</v>
      </c>
      <c r="CN139" s="5" t="s">
        <v>54</v>
      </c>
    </row>
    <row r="140" spans="1:92" ht="28" x14ac:dyDescent="0.15">
      <c r="A140" s="51">
        <v>45861.043853402778</v>
      </c>
      <c r="B140" s="3" t="s">
        <v>29</v>
      </c>
      <c r="C140" s="17">
        <v>4</v>
      </c>
      <c r="D140" s="116"/>
      <c r="E140" s="6" t="s">
        <v>127</v>
      </c>
      <c r="F140" s="17">
        <v>1</v>
      </c>
      <c r="G140" s="116"/>
      <c r="H140" s="6" t="s">
        <v>31</v>
      </c>
      <c r="I140" s="17">
        <v>3</v>
      </c>
      <c r="J140" s="116"/>
      <c r="K140" s="43" t="s">
        <v>56</v>
      </c>
      <c r="L140" s="17">
        <v>2</v>
      </c>
      <c r="M140" s="119"/>
      <c r="N140" s="1" t="s">
        <v>33</v>
      </c>
      <c r="O140" s="18">
        <v>1</v>
      </c>
      <c r="P140" s="117"/>
      <c r="Q140" s="1" t="s">
        <v>34</v>
      </c>
      <c r="R140" s="17">
        <v>2</v>
      </c>
      <c r="S140" s="119"/>
      <c r="T140" s="1" t="s">
        <v>35</v>
      </c>
      <c r="U140" s="17">
        <v>2</v>
      </c>
      <c r="V140" s="119"/>
      <c r="W140" s="1" t="s">
        <v>36</v>
      </c>
      <c r="X140" s="17">
        <v>1</v>
      </c>
      <c r="Y140" s="119"/>
      <c r="Z140" s="1" t="s">
        <v>58</v>
      </c>
      <c r="AA140" s="17">
        <v>2</v>
      </c>
      <c r="AB140" s="119"/>
      <c r="AC140" s="1" t="s">
        <v>59</v>
      </c>
      <c r="AD140" s="17">
        <v>3</v>
      </c>
      <c r="AE140" s="119"/>
      <c r="AF140" s="1" t="s">
        <v>60</v>
      </c>
      <c r="AG140" s="17">
        <v>1</v>
      </c>
      <c r="AH140" s="119"/>
      <c r="AI140" s="11" t="s">
        <v>138</v>
      </c>
      <c r="AJ140" s="25">
        <v>2</v>
      </c>
      <c r="AK140" s="127"/>
      <c r="AL140" s="1" t="s">
        <v>71</v>
      </c>
      <c r="AM140" s="17">
        <v>3</v>
      </c>
      <c r="AN140" s="119"/>
      <c r="AO140" s="1" t="s">
        <v>42</v>
      </c>
      <c r="AP140" s="17">
        <v>3</v>
      </c>
      <c r="AQ140" s="119"/>
      <c r="AR140" s="1" t="s">
        <v>61</v>
      </c>
      <c r="AS140" s="17">
        <v>0</v>
      </c>
      <c r="AT140" s="119"/>
      <c r="AU140" s="1" t="s">
        <v>102</v>
      </c>
      <c r="AV140" s="17">
        <v>2</v>
      </c>
      <c r="AW140" s="119"/>
      <c r="AX140" s="1" t="s">
        <v>80</v>
      </c>
      <c r="AY140" s="17">
        <v>3</v>
      </c>
      <c r="AZ140" s="119"/>
      <c r="BA140" s="1" t="s">
        <v>46</v>
      </c>
      <c r="BB140" s="17">
        <v>1</v>
      </c>
      <c r="BC140" s="17">
        <v>0</v>
      </c>
      <c r="BD140" s="17">
        <v>1</v>
      </c>
      <c r="BE140" s="17">
        <v>0</v>
      </c>
      <c r="BF140" s="17">
        <v>0</v>
      </c>
      <c r="BG140" s="17">
        <v>0</v>
      </c>
      <c r="BH140" s="149" t="s">
        <v>47</v>
      </c>
      <c r="BI140" s="17">
        <v>0</v>
      </c>
      <c r="BJ140" s="131"/>
      <c r="BK140" s="1" t="s">
        <v>75</v>
      </c>
      <c r="BL140" s="17">
        <v>3</v>
      </c>
      <c r="BM140" s="119"/>
      <c r="BN140" s="1" t="s">
        <v>49</v>
      </c>
      <c r="BO140" s="17">
        <v>0</v>
      </c>
      <c r="BP140" s="119"/>
      <c r="BQ140" s="17" t="s">
        <v>87</v>
      </c>
      <c r="BR140" s="17">
        <v>2</v>
      </c>
      <c r="BS140" s="119"/>
      <c r="BT140" s="1" t="s">
        <v>65</v>
      </c>
      <c r="BU140" s="17">
        <v>0</v>
      </c>
      <c r="BV140" s="119"/>
      <c r="BW140" s="1" t="s">
        <v>88</v>
      </c>
      <c r="BX140" s="17">
        <v>3</v>
      </c>
      <c r="BY140" s="119"/>
      <c r="BZ140" s="1" t="s">
        <v>52</v>
      </c>
      <c r="CA140" s="17">
        <v>3</v>
      </c>
      <c r="CB140" s="119"/>
      <c r="CC140" s="1" t="s">
        <v>36</v>
      </c>
      <c r="CD140" s="17">
        <v>1</v>
      </c>
      <c r="CE140" s="119"/>
      <c r="CF140" s="17" t="s">
        <v>77</v>
      </c>
      <c r="CG140" s="17">
        <v>2</v>
      </c>
      <c r="CH140" s="119"/>
      <c r="CI140" s="1" t="s">
        <v>78</v>
      </c>
      <c r="CJ140" s="33">
        <v>1</v>
      </c>
      <c r="CK140" s="33">
        <v>1</v>
      </c>
      <c r="CL140" s="33">
        <v>0</v>
      </c>
      <c r="CM140" s="33">
        <v>0</v>
      </c>
      <c r="CN140" s="2" t="s">
        <v>82</v>
      </c>
    </row>
    <row r="141" spans="1:92" ht="28" x14ac:dyDescent="0.15">
      <c r="A141" s="51">
        <v>45861.051840486107</v>
      </c>
      <c r="B141" s="3" t="s">
        <v>29</v>
      </c>
      <c r="C141" s="18">
        <v>4</v>
      </c>
      <c r="D141" s="117"/>
      <c r="E141" s="6" t="s">
        <v>127</v>
      </c>
      <c r="F141" s="18">
        <v>2</v>
      </c>
      <c r="G141" s="117"/>
      <c r="H141" s="6" t="s">
        <v>91</v>
      </c>
      <c r="I141" s="18">
        <v>3</v>
      </c>
      <c r="J141" s="117"/>
      <c r="K141" s="43" t="s">
        <v>56</v>
      </c>
      <c r="L141" s="18">
        <v>2</v>
      </c>
      <c r="M141" s="120"/>
      <c r="N141" s="4" t="s">
        <v>33</v>
      </c>
      <c r="O141" s="18">
        <v>1</v>
      </c>
      <c r="P141" s="120"/>
      <c r="Q141" s="4" t="s">
        <v>34</v>
      </c>
      <c r="R141" s="18">
        <v>2</v>
      </c>
      <c r="S141" s="120"/>
      <c r="T141" s="4" t="s">
        <v>35</v>
      </c>
      <c r="U141" s="18">
        <v>2</v>
      </c>
      <c r="V141" s="120"/>
      <c r="W141" s="4" t="s">
        <v>36</v>
      </c>
      <c r="X141" s="18">
        <v>0</v>
      </c>
      <c r="Y141" s="120"/>
      <c r="Z141" s="4" t="s">
        <v>108</v>
      </c>
      <c r="AA141" s="18">
        <v>1</v>
      </c>
      <c r="AB141" s="120"/>
      <c r="AC141" s="4" t="s">
        <v>69</v>
      </c>
      <c r="AD141" s="18">
        <v>4</v>
      </c>
      <c r="AE141" s="120"/>
      <c r="AF141" s="4" t="s">
        <v>93</v>
      </c>
      <c r="AG141" s="18">
        <v>0</v>
      </c>
      <c r="AH141" s="120"/>
      <c r="AI141" s="13" t="s">
        <v>84</v>
      </c>
      <c r="AJ141" s="24">
        <v>0</v>
      </c>
      <c r="AK141" s="126"/>
      <c r="AL141" s="4" t="s">
        <v>85</v>
      </c>
      <c r="AM141" s="18">
        <v>1</v>
      </c>
      <c r="AN141" s="120"/>
      <c r="AO141" s="4" t="s">
        <v>130</v>
      </c>
      <c r="AP141" s="18">
        <v>3</v>
      </c>
      <c r="AQ141" s="120"/>
      <c r="AR141" s="4" t="s">
        <v>61</v>
      </c>
      <c r="AS141" s="18">
        <v>2</v>
      </c>
      <c r="AT141" s="120"/>
      <c r="AU141" s="4" t="s">
        <v>44</v>
      </c>
      <c r="AV141" s="18">
        <v>0</v>
      </c>
      <c r="AW141" s="120"/>
      <c r="AX141" s="4" t="s">
        <v>73</v>
      </c>
      <c r="AY141" s="18">
        <v>1</v>
      </c>
      <c r="AZ141" s="120"/>
      <c r="BA141" s="4" t="s">
        <v>69</v>
      </c>
      <c r="BB141" s="18">
        <v>1</v>
      </c>
      <c r="BC141" s="18">
        <v>0</v>
      </c>
      <c r="BD141" s="18">
        <v>1</v>
      </c>
      <c r="BE141" s="18">
        <v>0</v>
      </c>
      <c r="BF141" s="18">
        <v>0</v>
      </c>
      <c r="BG141" s="18">
        <v>0</v>
      </c>
      <c r="BH141" s="150" t="s">
        <v>47</v>
      </c>
      <c r="BI141" s="18">
        <v>0</v>
      </c>
      <c r="BJ141" s="130"/>
      <c r="BK141" s="4" t="s">
        <v>75</v>
      </c>
      <c r="BL141" s="18">
        <v>2</v>
      </c>
      <c r="BM141" s="120"/>
      <c r="BN141" s="4" t="s">
        <v>64</v>
      </c>
      <c r="BO141" s="18">
        <v>1</v>
      </c>
      <c r="BP141" s="120"/>
      <c r="BQ141" s="18" t="s">
        <v>50</v>
      </c>
      <c r="BR141" s="18">
        <v>2</v>
      </c>
      <c r="BS141" s="120"/>
      <c r="BT141" s="4" t="s">
        <v>65</v>
      </c>
      <c r="BU141" s="18">
        <v>2</v>
      </c>
      <c r="BV141" s="120"/>
      <c r="BW141" s="4" t="s">
        <v>51</v>
      </c>
      <c r="BX141" s="18">
        <v>1</v>
      </c>
      <c r="BY141" s="120"/>
      <c r="BZ141" s="4" t="s">
        <v>67</v>
      </c>
      <c r="CA141" s="18">
        <v>2</v>
      </c>
      <c r="CB141" s="120"/>
      <c r="CC141" s="4" t="s">
        <v>76</v>
      </c>
      <c r="CD141" s="18">
        <v>1</v>
      </c>
      <c r="CE141" s="120"/>
      <c r="CF141" s="18" t="s">
        <v>77</v>
      </c>
      <c r="CG141" s="18">
        <v>2</v>
      </c>
      <c r="CH141" s="120"/>
      <c r="CI141" s="4" t="s">
        <v>78</v>
      </c>
      <c r="CJ141" s="34">
        <v>0</v>
      </c>
      <c r="CK141" s="34">
        <v>0</v>
      </c>
      <c r="CL141" s="34">
        <v>0</v>
      </c>
      <c r="CM141" s="34">
        <v>1</v>
      </c>
      <c r="CN141" s="5" t="s">
        <v>180</v>
      </c>
    </row>
    <row r="142" spans="1:92" ht="28" x14ac:dyDescent="0.15">
      <c r="A142" s="51">
        <v>45861.26650859954</v>
      </c>
      <c r="B142" s="3" t="s">
        <v>29</v>
      </c>
      <c r="C142" s="17">
        <v>4</v>
      </c>
      <c r="D142" s="116"/>
      <c r="E142" s="6" t="s">
        <v>127</v>
      </c>
      <c r="F142" s="17">
        <v>2</v>
      </c>
      <c r="G142" s="116"/>
      <c r="H142" s="6" t="s">
        <v>91</v>
      </c>
      <c r="I142" s="17">
        <v>3</v>
      </c>
      <c r="J142" s="116"/>
      <c r="K142" s="43" t="s">
        <v>56</v>
      </c>
      <c r="L142" s="17">
        <v>2</v>
      </c>
      <c r="M142" s="119"/>
      <c r="N142" s="1" t="s">
        <v>33</v>
      </c>
      <c r="O142" s="18">
        <v>1</v>
      </c>
      <c r="P142" s="117"/>
      <c r="Q142" s="1" t="s">
        <v>34</v>
      </c>
      <c r="R142" s="17">
        <v>1</v>
      </c>
      <c r="S142" s="119"/>
      <c r="T142" s="1" t="s">
        <v>57</v>
      </c>
      <c r="U142" s="17">
        <v>1</v>
      </c>
      <c r="V142" s="119"/>
      <c r="W142" s="1" t="s">
        <v>92</v>
      </c>
      <c r="X142" s="17">
        <v>1</v>
      </c>
      <c r="Y142" s="119"/>
      <c r="Z142" s="1" t="s">
        <v>58</v>
      </c>
      <c r="AA142" s="17">
        <v>1</v>
      </c>
      <c r="AB142" s="119"/>
      <c r="AC142" s="1" t="s">
        <v>69</v>
      </c>
      <c r="AD142" s="17">
        <v>4</v>
      </c>
      <c r="AE142" s="119"/>
      <c r="AF142" s="1" t="s">
        <v>93</v>
      </c>
      <c r="AG142" s="17">
        <v>3</v>
      </c>
      <c r="AH142" s="119"/>
      <c r="AI142" s="11" t="s">
        <v>94</v>
      </c>
      <c r="AJ142" s="25">
        <v>0</v>
      </c>
      <c r="AK142" s="127"/>
      <c r="AL142" s="1" t="s">
        <v>85</v>
      </c>
      <c r="AM142" s="17">
        <v>1</v>
      </c>
      <c r="AN142" s="119"/>
      <c r="AO142" s="1" t="s">
        <v>130</v>
      </c>
      <c r="AP142" s="17">
        <v>3</v>
      </c>
      <c r="AQ142" s="119"/>
      <c r="AR142" s="1" t="s">
        <v>61</v>
      </c>
      <c r="AS142" s="17">
        <v>0</v>
      </c>
      <c r="AT142" s="119"/>
      <c r="AU142" s="1" t="s">
        <v>102</v>
      </c>
      <c r="AV142" s="17">
        <v>2</v>
      </c>
      <c r="AW142" s="119"/>
      <c r="AX142" s="1" t="s">
        <v>80</v>
      </c>
      <c r="AY142" s="17">
        <v>2</v>
      </c>
      <c r="AZ142" s="119"/>
      <c r="BA142" s="1" t="s">
        <v>59</v>
      </c>
      <c r="BB142" s="17">
        <v>0</v>
      </c>
      <c r="BC142" s="17">
        <v>0</v>
      </c>
      <c r="BD142" s="17">
        <v>1</v>
      </c>
      <c r="BE142" s="17">
        <v>1</v>
      </c>
      <c r="BF142" s="17">
        <v>0</v>
      </c>
      <c r="BG142" s="17">
        <v>0</v>
      </c>
      <c r="BH142" s="149" t="s">
        <v>95</v>
      </c>
      <c r="BI142" s="17">
        <v>0</v>
      </c>
      <c r="BJ142" s="131"/>
      <c r="BK142" s="1" t="s">
        <v>75</v>
      </c>
      <c r="BL142" s="17">
        <v>1</v>
      </c>
      <c r="BM142" s="119"/>
      <c r="BN142" s="1" t="s">
        <v>59</v>
      </c>
      <c r="BO142" s="17">
        <v>0</v>
      </c>
      <c r="BP142" s="119"/>
      <c r="BQ142" s="17" t="s">
        <v>87</v>
      </c>
      <c r="BR142" s="17">
        <v>1</v>
      </c>
      <c r="BS142" s="119"/>
      <c r="BT142" s="1" t="s">
        <v>69</v>
      </c>
      <c r="BU142" s="17">
        <v>2</v>
      </c>
      <c r="BV142" s="119"/>
      <c r="BW142" s="1" t="s">
        <v>51</v>
      </c>
      <c r="BX142" s="17">
        <v>1</v>
      </c>
      <c r="BY142" s="119"/>
      <c r="BZ142" s="1" t="s">
        <v>67</v>
      </c>
      <c r="CA142" s="17">
        <v>0</v>
      </c>
      <c r="CB142" s="119"/>
      <c r="CC142" s="1" t="s">
        <v>49</v>
      </c>
      <c r="CD142" s="17">
        <v>1</v>
      </c>
      <c r="CE142" s="119"/>
      <c r="CF142" s="17" t="s">
        <v>77</v>
      </c>
      <c r="CG142" s="17">
        <v>2</v>
      </c>
      <c r="CH142" s="119"/>
      <c r="CI142" s="1" t="s">
        <v>78</v>
      </c>
      <c r="CJ142" s="33">
        <v>0</v>
      </c>
      <c r="CK142" s="33">
        <v>0</v>
      </c>
      <c r="CL142" s="33">
        <v>1</v>
      </c>
      <c r="CM142" s="33"/>
      <c r="CN142" s="2" t="s">
        <v>120</v>
      </c>
    </row>
    <row r="143" spans="1:92" ht="70" x14ac:dyDescent="0.15">
      <c r="A143" s="51">
        <v>45861.288155243055</v>
      </c>
      <c r="B143" s="3" t="s">
        <v>29</v>
      </c>
      <c r="C143" s="18">
        <v>4</v>
      </c>
      <c r="D143" s="117"/>
      <c r="E143" s="6" t="s">
        <v>127</v>
      </c>
      <c r="F143" s="18">
        <v>1</v>
      </c>
      <c r="G143" s="117"/>
      <c r="H143" s="6" t="s">
        <v>31</v>
      </c>
      <c r="I143" s="18">
        <v>4</v>
      </c>
      <c r="J143" s="117"/>
      <c r="K143" s="43" t="s">
        <v>118</v>
      </c>
      <c r="L143" s="18">
        <v>2</v>
      </c>
      <c r="M143" s="120"/>
      <c r="N143" s="4" t="s">
        <v>33</v>
      </c>
      <c r="O143" s="18">
        <v>0</v>
      </c>
      <c r="P143" s="120"/>
      <c r="Q143" s="4" t="s">
        <v>181</v>
      </c>
      <c r="R143" s="18">
        <v>2</v>
      </c>
      <c r="S143" s="120"/>
      <c r="T143" s="4" t="s">
        <v>35</v>
      </c>
      <c r="U143" s="18">
        <v>2</v>
      </c>
      <c r="V143" s="120"/>
      <c r="W143" s="4" t="s">
        <v>36</v>
      </c>
      <c r="X143" s="18">
        <v>2</v>
      </c>
      <c r="Y143" s="120"/>
      <c r="Z143" s="4" t="s">
        <v>37</v>
      </c>
      <c r="AA143" s="18">
        <v>3</v>
      </c>
      <c r="AB143" s="120"/>
      <c r="AC143" s="4" t="s">
        <v>38</v>
      </c>
      <c r="AD143" s="18">
        <v>1</v>
      </c>
      <c r="AE143" s="120"/>
      <c r="AF143" s="4" t="s">
        <v>39</v>
      </c>
      <c r="AG143" s="18">
        <v>3</v>
      </c>
      <c r="AH143" s="120"/>
      <c r="AI143" s="13" t="s">
        <v>94</v>
      </c>
      <c r="AJ143" s="24">
        <v>3</v>
      </c>
      <c r="AK143" s="126"/>
      <c r="AL143" s="4" t="s">
        <v>41</v>
      </c>
      <c r="AM143" s="18">
        <v>3</v>
      </c>
      <c r="AN143" s="120"/>
      <c r="AO143" s="4" t="s">
        <v>42</v>
      </c>
      <c r="AP143" s="18">
        <v>4</v>
      </c>
      <c r="AQ143" s="120"/>
      <c r="AR143" s="9" t="s">
        <v>182</v>
      </c>
      <c r="AS143" s="18">
        <v>3</v>
      </c>
      <c r="AT143" s="120"/>
      <c r="AU143" s="4" t="s">
        <v>79</v>
      </c>
      <c r="AV143" s="18">
        <v>2</v>
      </c>
      <c r="AW143" s="120"/>
      <c r="AX143" s="4" t="s">
        <v>80</v>
      </c>
      <c r="AY143" s="18">
        <v>3</v>
      </c>
      <c r="AZ143" s="120"/>
      <c r="BA143" s="4" t="s">
        <v>46</v>
      </c>
      <c r="BB143" s="18">
        <v>1</v>
      </c>
      <c r="BC143" s="18">
        <v>0</v>
      </c>
      <c r="BD143" s="18">
        <v>1</v>
      </c>
      <c r="BE143" s="18">
        <v>0</v>
      </c>
      <c r="BF143" s="18">
        <v>0</v>
      </c>
      <c r="BG143" s="18">
        <v>0</v>
      </c>
      <c r="BH143" s="150" t="s">
        <v>47</v>
      </c>
      <c r="BI143" s="18">
        <v>2</v>
      </c>
      <c r="BJ143" s="130"/>
      <c r="BK143" s="4" t="s">
        <v>48</v>
      </c>
      <c r="BL143" s="18">
        <v>3</v>
      </c>
      <c r="BM143" s="120"/>
      <c r="BN143" s="4" t="s">
        <v>49</v>
      </c>
      <c r="BO143" s="18">
        <v>3</v>
      </c>
      <c r="BP143" s="120"/>
      <c r="BQ143" s="18" t="s">
        <v>183</v>
      </c>
      <c r="BR143" s="18">
        <v>3</v>
      </c>
      <c r="BS143" s="120"/>
      <c r="BT143" s="4" t="s">
        <v>38</v>
      </c>
      <c r="BU143" s="18">
        <v>2</v>
      </c>
      <c r="BV143" s="120"/>
      <c r="BW143" s="4" t="s">
        <v>51</v>
      </c>
      <c r="BX143" s="18">
        <v>0</v>
      </c>
      <c r="BY143" s="120"/>
      <c r="BZ143" s="13" t="s">
        <v>184</v>
      </c>
      <c r="CA143" s="19">
        <v>3</v>
      </c>
      <c r="CB143" s="130"/>
      <c r="CC143" s="4" t="s">
        <v>36</v>
      </c>
      <c r="CD143" s="18">
        <v>2</v>
      </c>
      <c r="CE143" s="120"/>
      <c r="CF143" s="18" t="s">
        <v>36</v>
      </c>
      <c r="CG143" s="18">
        <v>3</v>
      </c>
      <c r="CH143" s="120"/>
      <c r="CI143" s="13" t="s">
        <v>185</v>
      </c>
      <c r="CJ143" s="35">
        <v>0</v>
      </c>
      <c r="CK143" s="35">
        <v>1</v>
      </c>
      <c r="CL143" s="35">
        <v>1</v>
      </c>
      <c r="CM143" s="35">
        <v>0</v>
      </c>
      <c r="CN143" s="5" t="s">
        <v>98</v>
      </c>
    </row>
    <row r="144" spans="1:92" ht="252" x14ac:dyDescent="0.15">
      <c r="A144" s="51">
        <v>45861.300603946758</v>
      </c>
      <c r="B144" s="3" t="s">
        <v>29</v>
      </c>
      <c r="C144" s="17">
        <v>3</v>
      </c>
      <c r="D144" s="116"/>
      <c r="E144" s="6" t="s">
        <v>90</v>
      </c>
      <c r="F144" s="17">
        <v>2</v>
      </c>
      <c r="G144" s="116"/>
      <c r="H144" s="6" t="s">
        <v>91</v>
      </c>
      <c r="I144" s="17">
        <v>4</v>
      </c>
      <c r="J144" s="116"/>
      <c r="K144" s="43" t="s">
        <v>118</v>
      </c>
      <c r="L144" s="17">
        <v>2</v>
      </c>
      <c r="M144" s="119"/>
      <c r="N144" s="1" t="s">
        <v>33</v>
      </c>
      <c r="O144" s="18">
        <v>1</v>
      </c>
      <c r="P144" s="117"/>
      <c r="Q144" s="1" t="s">
        <v>34</v>
      </c>
      <c r="R144" s="17">
        <v>2</v>
      </c>
      <c r="S144" s="119"/>
      <c r="T144" s="1" t="s">
        <v>35</v>
      </c>
      <c r="U144" s="17">
        <v>0</v>
      </c>
      <c r="V144" s="119"/>
      <c r="W144" s="1" t="s">
        <v>49</v>
      </c>
      <c r="X144" s="17">
        <v>0</v>
      </c>
      <c r="Y144" s="119"/>
      <c r="Z144" s="1" t="s">
        <v>108</v>
      </c>
      <c r="AA144" s="17">
        <v>1</v>
      </c>
      <c r="AB144" s="119"/>
      <c r="AC144" s="1" t="s">
        <v>69</v>
      </c>
      <c r="AD144" s="17">
        <v>0</v>
      </c>
      <c r="AE144" s="119"/>
      <c r="AF144" s="1" t="s">
        <v>70</v>
      </c>
      <c r="AG144" s="17">
        <v>0</v>
      </c>
      <c r="AH144" s="119"/>
      <c r="AI144" s="11" t="s">
        <v>84</v>
      </c>
      <c r="AJ144" s="25">
        <v>2</v>
      </c>
      <c r="AK144" s="127"/>
      <c r="AL144" s="1" t="s">
        <v>71</v>
      </c>
      <c r="AM144" s="17">
        <v>0</v>
      </c>
      <c r="AN144" s="119"/>
      <c r="AO144" s="1" t="s">
        <v>110</v>
      </c>
      <c r="AP144" s="17">
        <v>3</v>
      </c>
      <c r="AQ144" s="119"/>
      <c r="AR144" s="1" t="s">
        <v>61</v>
      </c>
      <c r="AS144" s="17">
        <v>2</v>
      </c>
      <c r="AT144" s="119"/>
      <c r="AU144" s="1" t="s">
        <v>44</v>
      </c>
      <c r="AV144" s="17">
        <v>0</v>
      </c>
      <c r="AW144" s="119"/>
      <c r="AX144" s="1" t="s">
        <v>62</v>
      </c>
      <c r="AY144" s="17">
        <v>0</v>
      </c>
      <c r="AZ144" s="119"/>
      <c r="BA144" s="1" t="s">
        <v>38</v>
      </c>
      <c r="BB144" s="17">
        <v>0</v>
      </c>
      <c r="BC144" s="17">
        <v>0</v>
      </c>
      <c r="BD144" s="17">
        <v>0</v>
      </c>
      <c r="BE144" s="17">
        <v>0</v>
      </c>
      <c r="BF144" s="17">
        <v>1</v>
      </c>
      <c r="BG144" s="17">
        <v>0</v>
      </c>
      <c r="BH144" s="149" t="s">
        <v>186</v>
      </c>
      <c r="BI144" s="17">
        <v>0</v>
      </c>
      <c r="BJ144" s="131"/>
      <c r="BK144" s="1" t="s">
        <v>75</v>
      </c>
      <c r="BL144" s="17">
        <v>0</v>
      </c>
      <c r="BM144" s="119"/>
      <c r="BN144" s="1" t="s">
        <v>36</v>
      </c>
      <c r="BO144" s="17">
        <v>0</v>
      </c>
      <c r="BP144" s="119"/>
      <c r="BQ144" s="17" t="s">
        <v>87</v>
      </c>
      <c r="BR144" s="17">
        <v>1</v>
      </c>
      <c r="BS144" s="119"/>
      <c r="BT144" s="1" t="s">
        <v>69</v>
      </c>
      <c r="BU144" s="17">
        <v>2</v>
      </c>
      <c r="BV144" s="119"/>
      <c r="BW144" s="1" t="s">
        <v>51</v>
      </c>
      <c r="BX144" s="17">
        <v>3</v>
      </c>
      <c r="BY144" s="119"/>
      <c r="BZ144" s="1" t="s">
        <v>52</v>
      </c>
      <c r="CA144" s="17">
        <v>1</v>
      </c>
      <c r="CB144" s="119"/>
      <c r="CC144" s="1" t="s">
        <v>77</v>
      </c>
      <c r="CD144" s="17">
        <v>1</v>
      </c>
      <c r="CE144" s="119"/>
      <c r="CF144" s="17" t="s">
        <v>77</v>
      </c>
      <c r="CG144" s="17">
        <v>2</v>
      </c>
      <c r="CH144" s="119"/>
      <c r="CI144" s="1" t="s">
        <v>78</v>
      </c>
      <c r="CJ144" s="33">
        <v>0</v>
      </c>
      <c r="CK144" s="33">
        <v>0</v>
      </c>
      <c r="CL144" s="33">
        <v>0</v>
      </c>
      <c r="CM144" s="33">
        <v>1</v>
      </c>
      <c r="CN144" s="47" t="s">
        <v>187</v>
      </c>
    </row>
    <row r="145" spans="1:92" ht="28" x14ac:dyDescent="0.15">
      <c r="A145" s="51">
        <v>45861.314384432873</v>
      </c>
      <c r="B145" s="3" t="s">
        <v>29</v>
      </c>
      <c r="C145" s="18">
        <v>3</v>
      </c>
      <c r="D145" s="117"/>
      <c r="E145" s="6" t="s">
        <v>90</v>
      </c>
      <c r="F145" s="18">
        <v>1</v>
      </c>
      <c r="G145" s="117"/>
      <c r="H145" s="6" t="s">
        <v>31</v>
      </c>
      <c r="I145" s="18">
        <v>3</v>
      </c>
      <c r="J145" s="117"/>
      <c r="K145" s="43" t="s">
        <v>56</v>
      </c>
      <c r="L145" s="18">
        <v>2</v>
      </c>
      <c r="M145" s="120"/>
      <c r="N145" s="4" t="s">
        <v>33</v>
      </c>
      <c r="O145" s="18">
        <v>1</v>
      </c>
      <c r="P145" s="120"/>
      <c r="Q145" s="4" t="s">
        <v>34</v>
      </c>
      <c r="R145" s="18">
        <v>1</v>
      </c>
      <c r="S145" s="120"/>
      <c r="T145" s="4" t="s">
        <v>57</v>
      </c>
      <c r="U145" s="18">
        <v>1</v>
      </c>
      <c r="V145" s="120"/>
      <c r="W145" s="4" t="s">
        <v>92</v>
      </c>
      <c r="X145" s="18">
        <v>1</v>
      </c>
      <c r="Y145" s="120"/>
      <c r="Z145" s="4" t="s">
        <v>58</v>
      </c>
      <c r="AA145" s="18">
        <v>2</v>
      </c>
      <c r="AB145" s="120"/>
      <c r="AC145" s="4" t="s">
        <v>59</v>
      </c>
      <c r="AD145" s="18">
        <v>5</v>
      </c>
      <c r="AE145" s="120"/>
      <c r="AF145" s="4" t="s">
        <v>115</v>
      </c>
      <c r="AG145" s="18">
        <v>3</v>
      </c>
      <c r="AH145" s="120"/>
      <c r="AI145" s="13" t="s">
        <v>94</v>
      </c>
      <c r="AJ145" s="24">
        <v>2</v>
      </c>
      <c r="AK145" s="126"/>
      <c r="AL145" s="4" t="s">
        <v>71</v>
      </c>
      <c r="AM145" s="18">
        <v>1</v>
      </c>
      <c r="AN145" s="120"/>
      <c r="AO145" s="4" t="s">
        <v>130</v>
      </c>
      <c r="AP145" s="18">
        <v>3</v>
      </c>
      <c r="AQ145" s="120"/>
      <c r="AR145" s="4" t="s">
        <v>61</v>
      </c>
      <c r="AS145" s="18">
        <v>0</v>
      </c>
      <c r="AT145" s="120"/>
      <c r="AU145" s="4" t="s">
        <v>102</v>
      </c>
      <c r="AV145" s="18">
        <v>0</v>
      </c>
      <c r="AW145" s="120"/>
      <c r="AX145" s="4" t="s">
        <v>62</v>
      </c>
      <c r="AY145" s="18">
        <v>2</v>
      </c>
      <c r="AZ145" s="120"/>
      <c r="BA145" s="4" t="s">
        <v>59</v>
      </c>
      <c r="BB145" s="18">
        <v>1</v>
      </c>
      <c r="BC145" s="18">
        <v>0</v>
      </c>
      <c r="BD145" s="18">
        <v>1</v>
      </c>
      <c r="BE145" s="18">
        <v>0</v>
      </c>
      <c r="BF145" s="18">
        <v>0</v>
      </c>
      <c r="BG145" s="18">
        <v>0</v>
      </c>
      <c r="BH145" s="150" t="s">
        <v>47</v>
      </c>
      <c r="BI145" s="18">
        <v>0</v>
      </c>
      <c r="BJ145" s="130"/>
      <c r="BK145" s="4" t="s">
        <v>75</v>
      </c>
      <c r="BL145" s="18">
        <v>2</v>
      </c>
      <c r="BM145" s="120"/>
      <c r="BN145" s="4" t="s">
        <v>64</v>
      </c>
      <c r="BO145" s="18">
        <v>0</v>
      </c>
      <c r="BP145" s="120"/>
      <c r="BQ145" s="18" t="s">
        <v>87</v>
      </c>
      <c r="BR145" s="18">
        <v>2</v>
      </c>
      <c r="BS145" s="120"/>
      <c r="BT145" s="4" t="s">
        <v>65</v>
      </c>
      <c r="BU145" s="18">
        <v>2</v>
      </c>
      <c r="BV145" s="120"/>
      <c r="BW145" s="4" t="s">
        <v>51</v>
      </c>
      <c r="BX145" s="18">
        <v>1</v>
      </c>
      <c r="BY145" s="120"/>
      <c r="BZ145" s="4" t="s">
        <v>67</v>
      </c>
      <c r="CA145" s="18">
        <v>1</v>
      </c>
      <c r="CB145" s="120"/>
      <c r="CC145" s="4" t="s">
        <v>77</v>
      </c>
      <c r="CD145" s="18">
        <v>1</v>
      </c>
      <c r="CE145" s="120"/>
      <c r="CF145" s="18" t="s">
        <v>77</v>
      </c>
      <c r="CG145" s="18">
        <v>1</v>
      </c>
      <c r="CH145" s="120"/>
      <c r="CI145" s="4" t="s">
        <v>77</v>
      </c>
      <c r="CJ145" s="34">
        <v>0</v>
      </c>
      <c r="CK145" s="34">
        <v>1</v>
      </c>
      <c r="CL145" s="34">
        <v>1</v>
      </c>
      <c r="CM145" s="34">
        <v>0</v>
      </c>
      <c r="CN145" s="5" t="s">
        <v>98</v>
      </c>
    </row>
    <row r="146" spans="1:92" ht="28" x14ac:dyDescent="0.15">
      <c r="A146" s="51">
        <v>45861.321366979166</v>
      </c>
      <c r="B146" s="3" t="s">
        <v>29</v>
      </c>
      <c r="C146" s="17">
        <v>4</v>
      </c>
      <c r="D146" s="116"/>
      <c r="E146" s="6" t="s">
        <v>127</v>
      </c>
      <c r="F146" s="17">
        <v>2</v>
      </c>
      <c r="G146" s="116"/>
      <c r="H146" s="6" t="s">
        <v>91</v>
      </c>
      <c r="I146" s="17">
        <v>1</v>
      </c>
      <c r="J146" s="116"/>
      <c r="K146" s="43" t="s">
        <v>32</v>
      </c>
      <c r="L146" s="17">
        <v>2</v>
      </c>
      <c r="M146" s="119"/>
      <c r="N146" s="1" t="s">
        <v>33</v>
      </c>
      <c r="O146" s="18">
        <v>1</v>
      </c>
      <c r="P146" s="117"/>
      <c r="Q146" s="1" t="s">
        <v>34</v>
      </c>
      <c r="R146" s="17">
        <v>1</v>
      </c>
      <c r="S146" s="119"/>
      <c r="T146" s="1" t="s">
        <v>57</v>
      </c>
      <c r="U146" s="17">
        <v>0</v>
      </c>
      <c r="V146" s="119"/>
      <c r="W146" s="1" t="s">
        <v>77</v>
      </c>
      <c r="X146" s="17">
        <v>1</v>
      </c>
      <c r="Y146" s="119"/>
      <c r="Z146" s="1" t="s">
        <v>58</v>
      </c>
      <c r="AA146" s="17">
        <v>0</v>
      </c>
      <c r="AB146" s="119"/>
      <c r="AC146" s="1" t="s">
        <v>46</v>
      </c>
      <c r="AD146" s="17">
        <v>4</v>
      </c>
      <c r="AE146" s="119"/>
      <c r="AF146" s="1" t="s">
        <v>93</v>
      </c>
      <c r="AG146" s="17">
        <v>0</v>
      </c>
      <c r="AH146" s="119"/>
      <c r="AI146" s="11" t="s">
        <v>84</v>
      </c>
      <c r="AJ146" s="25">
        <v>0</v>
      </c>
      <c r="AK146" s="127"/>
      <c r="AL146" s="1" t="s">
        <v>85</v>
      </c>
      <c r="AM146" s="17">
        <v>1</v>
      </c>
      <c r="AN146" s="119"/>
      <c r="AO146" s="1" t="s">
        <v>130</v>
      </c>
      <c r="AP146" s="17">
        <v>3</v>
      </c>
      <c r="AQ146" s="119"/>
      <c r="AR146" s="1" t="s">
        <v>61</v>
      </c>
      <c r="AS146" s="17">
        <v>2</v>
      </c>
      <c r="AT146" s="119"/>
      <c r="AU146" s="1" t="s">
        <v>44</v>
      </c>
      <c r="AV146" s="17">
        <v>0</v>
      </c>
      <c r="AW146" s="119"/>
      <c r="AX146" s="1" t="s">
        <v>73</v>
      </c>
      <c r="AY146" s="17">
        <v>1</v>
      </c>
      <c r="AZ146" s="119"/>
      <c r="BA146" s="1" t="s">
        <v>69</v>
      </c>
      <c r="BB146" s="17">
        <v>0</v>
      </c>
      <c r="BC146" s="17">
        <v>0</v>
      </c>
      <c r="BD146" s="17">
        <v>1</v>
      </c>
      <c r="BE146" s="17">
        <v>1</v>
      </c>
      <c r="BF146" s="17">
        <v>0</v>
      </c>
      <c r="BG146" s="17">
        <v>0</v>
      </c>
      <c r="BH146" s="149" t="s">
        <v>95</v>
      </c>
      <c r="BI146" s="17">
        <v>0</v>
      </c>
      <c r="BJ146" s="131"/>
      <c r="BK146" s="1" t="s">
        <v>75</v>
      </c>
      <c r="BL146" s="17">
        <v>3</v>
      </c>
      <c r="BM146" s="119"/>
      <c r="BN146" s="1" t="s">
        <v>49</v>
      </c>
      <c r="BO146" s="17">
        <v>1</v>
      </c>
      <c r="BP146" s="119"/>
      <c r="BQ146" s="17" t="s">
        <v>50</v>
      </c>
      <c r="BR146" s="17">
        <v>0</v>
      </c>
      <c r="BS146" s="119"/>
      <c r="BT146" s="1" t="s">
        <v>46</v>
      </c>
      <c r="BU146" s="17">
        <v>2</v>
      </c>
      <c r="BV146" s="119"/>
      <c r="BW146" s="1" t="s">
        <v>51</v>
      </c>
      <c r="BX146" s="17">
        <v>0</v>
      </c>
      <c r="BY146" s="119"/>
      <c r="BZ146" s="1" t="s">
        <v>119</v>
      </c>
      <c r="CA146" s="17">
        <v>2</v>
      </c>
      <c r="CB146" s="119"/>
      <c r="CC146" s="1" t="s">
        <v>76</v>
      </c>
      <c r="CD146" s="17">
        <v>0</v>
      </c>
      <c r="CE146" s="119"/>
      <c r="CF146" s="17" t="s">
        <v>49</v>
      </c>
      <c r="CG146" s="17">
        <v>2</v>
      </c>
      <c r="CH146" s="119"/>
      <c r="CI146" s="1" t="s">
        <v>78</v>
      </c>
      <c r="CJ146" s="33">
        <v>1</v>
      </c>
      <c r="CK146" s="33">
        <v>1</v>
      </c>
      <c r="CL146" s="33">
        <v>0</v>
      </c>
      <c r="CM146" s="33">
        <v>0</v>
      </c>
      <c r="CN146" s="2" t="s">
        <v>82</v>
      </c>
    </row>
    <row r="147" spans="1:92" ht="28" x14ac:dyDescent="0.15">
      <c r="A147" s="51">
        <v>45861.343991585643</v>
      </c>
      <c r="B147" s="3" t="s">
        <v>29</v>
      </c>
      <c r="C147" s="18">
        <v>4</v>
      </c>
      <c r="D147" s="117"/>
      <c r="E147" s="6" t="s">
        <v>127</v>
      </c>
      <c r="F147" s="18">
        <v>2</v>
      </c>
      <c r="G147" s="117"/>
      <c r="H147" s="6" t="s">
        <v>91</v>
      </c>
      <c r="I147" s="18">
        <v>2</v>
      </c>
      <c r="J147" s="117"/>
      <c r="K147" s="43" t="s">
        <v>116</v>
      </c>
      <c r="L147" s="18">
        <v>2</v>
      </c>
      <c r="M147" s="120"/>
      <c r="N147" s="4" t="s">
        <v>33</v>
      </c>
      <c r="O147" s="18">
        <v>1</v>
      </c>
      <c r="P147" s="120"/>
      <c r="Q147" s="4" t="s">
        <v>34</v>
      </c>
      <c r="R147" s="18">
        <v>1</v>
      </c>
      <c r="S147" s="120"/>
      <c r="T147" s="4" t="s">
        <v>57</v>
      </c>
      <c r="U147" s="18">
        <v>2</v>
      </c>
      <c r="V147" s="120"/>
      <c r="W147" s="4" t="s">
        <v>36</v>
      </c>
      <c r="X147" s="18">
        <v>2</v>
      </c>
      <c r="Y147" s="120"/>
      <c r="Z147" s="4" t="s">
        <v>37</v>
      </c>
      <c r="AA147" s="18">
        <v>3</v>
      </c>
      <c r="AB147" s="120"/>
      <c r="AC147" s="4" t="s">
        <v>38</v>
      </c>
      <c r="AD147" s="18">
        <v>4</v>
      </c>
      <c r="AE147" s="120"/>
      <c r="AF147" s="4" t="s">
        <v>93</v>
      </c>
      <c r="AG147" s="18">
        <v>2</v>
      </c>
      <c r="AH147" s="120"/>
      <c r="AI147" s="13" t="s">
        <v>40</v>
      </c>
      <c r="AJ147" s="24">
        <v>0</v>
      </c>
      <c r="AK147" s="126"/>
      <c r="AL147" s="4" t="s">
        <v>85</v>
      </c>
      <c r="AM147" s="18">
        <v>3</v>
      </c>
      <c r="AN147" s="120"/>
      <c r="AO147" s="4" t="s">
        <v>42</v>
      </c>
      <c r="AP147" s="18">
        <v>3</v>
      </c>
      <c r="AQ147" s="120"/>
      <c r="AR147" s="4" t="s">
        <v>61</v>
      </c>
      <c r="AS147" s="18">
        <v>2</v>
      </c>
      <c r="AT147" s="120"/>
      <c r="AU147" s="4" t="s">
        <v>44</v>
      </c>
      <c r="AV147" s="18">
        <v>2</v>
      </c>
      <c r="AW147" s="120"/>
      <c r="AX147" s="4" t="s">
        <v>80</v>
      </c>
      <c r="AY147" s="18">
        <v>1</v>
      </c>
      <c r="AZ147" s="120"/>
      <c r="BA147" s="4" t="s">
        <v>69</v>
      </c>
      <c r="BB147" s="18">
        <v>1</v>
      </c>
      <c r="BC147" s="18">
        <v>0</v>
      </c>
      <c r="BD147" s="18">
        <v>1</v>
      </c>
      <c r="BE147" s="18">
        <v>0</v>
      </c>
      <c r="BF147" s="18">
        <v>0</v>
      </c>
      <c r="BG147" s="18">
        <v>0</v>
      </c>
      <c r="BH147" s="150" t="s">
        <v>47</v>
      </c>
      <c r="BI147" s="18">
        <v>0</v>
      </c>
      <c r="BJ147" s="130"/>
      <c r="BK147" s="4" t="s">
        <v>75</v>
      </c>
      <c r="BL147" s="18">
        <v>3</v>
      </c>
      <c r="BM147" s="120"/>
      <c r="BN147" s="4" t="s">
        <v>49</v>
      </c>
      <c r="BO147" s="18">
        <v>1</v>
      </c>
      <c r="BP147" s="120"/>
      <c r="BQ147" s="18" t="s">
        <v>50</v>
      </c>
      <c r="BR147" s="18">
        <v>2</v>
      </c>
      <c r="BS147" s="120"/>
      <c r="BT147" s="4" t="s">
        <v>65</v>
      </c>
      <c r="BU147" s="18">
        <v>2</v>
      </c>
      <c r="BV147" s="120"/>
      <c r="BW147" s="4" t="s">
        <v>51</v>
      </c>
      <c r="BX147" s="18">
        <v>3</v>
      </c>
      <c r="BY147" s="120"/>
      <c r="BZ147" s="4" t="s">
        <v>52</v>
      </c>
      <c r="CA147" s="18">
        <v>2</v>
      </c>
      <c r="CB147" s="120"/>
      <c r="CC147" s="4" t="s">
        <v>76</v>
      </c>
      <c r="CD147" s="18">
        <v>0</v>
      </c>
      <c r="CE147" s="120"/>
      <c r="CF147" s="18" t="s">
        <v>49</v>
      </c>
      <c r="CG147" s="18">
        <v>3</v>
      </c>
      <c r="CH147" s="120"/>
      <c r="CI147" s="4" t="s">
        <v>53</v>
      </c>
      <c r="CJ147" s="34">
        <v>1</v>
      </c>
      <c r="CK147" s="34">
        <v>0</v>
      </c>
      <c r="CL147" s="34">
        <v>1</v>
      </c>
      <c r="CM147" s="34">
        <v>0</v>
      </c>
      <c r="CN147" s="5" t="s">
        <v>54</v>
      </c>
    </row>
    <row r="148" spans="1:92" ht="28" x14ac:dyDescent="0.15">
      <c r="A148" s="51">
        <v>45861.344306863422</v>
      </c>
      <c r="B148" s="3" t="s">
        <v>29</v>
      </c>
      <c r="C148" s="17">
        <v>4</v>
      </c>
      <c r="D148" s="116"/>
      <c r="E148" s="6" t="s">
        <v>127</v>
      </c>
      <c r="F148" s="17">
        <v>1</v>
      </c>
      <c r="G148" s="116"/>
      <c r="H148" s="6" t="s">
        <v>31</v>
      </c>
      <c r="I148" s="17">
        <v>4</v>
      </c>
      <c r="J148" s="116"/>
      <c r="K148" s="43" t="s">
        <v>118</v>
      </c>
      <c r="L148" s="17">
        <v>2</v>
      </c>
      <c r="M148" s="119"/>
      <c r="N148" s="1" t="s">
        <v>33</v>
      </c>
      <c r="O148" s="18">
        <v>1</v>
      </c>
      <c r="P148" s="117"/>
      <c r="Q148" s="1" t="s">
        <v>34</v>
      </c>
      <c r="R148" s="17">
        <v>1</v>
      </c>
      <c r="S148" s="119"/>
      <c r="T148" s="1" t="s">
        <v>57</v>
      </c>
      <c r="U148" s="17">
        <v>1</v>
      </c>
      <c r="V148" s="119"/>
      <c r="W148" s="1" t="s">
        <v>92</v>
      </c>
      <c r="X148" s="17">
        <v>2</v>
      </c>
      <c r="Y148" s="119"/>
      <c r="Z148" s="1" t="s">
        <v>37</v>
      </c>
      <c r="AA148" s="17">
        <v>2</v>
      </c>
      <c r="AB148" s="119"/>
      <c r="AC148" s="1" t="s">
        <v>59</v>
      </c>
      <c r="AD148" s="17">
        <v>0</v>
      </c>
      <c r="AE148" s="119"/>
      <c r="AF148" s="1" t="s">
        <v>70</v>
      </c>
      <c r="AG148" s="17">
        <v>2</v>
      </c>
      <c r="AH148" s="119"/>
      <c r="AI148" s="11" t="s">
        <v>40</v>
      </c>
      <c r="AJ148" s="25">
        <v>2</v>
      </c>
      <c r="AK148" s="127"/>
      <c r="AL148" s="1" t="s">
        <v>71</v>
      </c>
      <c r="AM148" s="17">
        <v>2</v>
      </c>
      <c r="AN148" s="119"/>
      <c r="AO148" s="1" t="s">
        <v>72</v>
      </c>
      <c r="AP148" s="17">
        <v>3</v>
      </c>
      <c r="AQ148" s="119"/>
      <c r="AR148" s="1" t="s">
        <v>61</v>
      </c>
      <c r="AS148" s="17">
        <v>1</v>
      </c>
      <c r="AT148" s="119"/>
      <c r="AU148" s="1" t="s">
        <v>86</v>
      </c>
      <c r="AV148" s="17">
        <v>0</v>
      </c>
      <c r="AW148" s="119"/>
      <c r="AX148" s="1" t="s">
        <v>73</v>
      </c>
      <c r="AY148" s="17">
        <v>3</v>
      </c>
      <c r="AZ148" s="119"/>
      <c r="BA148" s="1" t="s">
        <v>46</v>
      </c>
      <c r="BB148" s="17">
        <v>1</v>
      </c>
      <c r="BC148" s="17">
        <v>1</v>
      </c>
      <c r="BD148" s="17">
        <v>0</v>
      </c>
      <c r="BE148" s="17">
        <v>0</v>
      </c>
      <c r="BF148" s="17">
        <v>0</v>
      </c>
      <c r="BG148" s="17">
        <v>0</v>
      </c>
      <c r="BH148" s="149" t="s">
        <v>81</v>
      </c>
      <c r="BI148" s="17">
        <v>0</v>
      </c>
      <c r="BJ148" s="131"/>
      <c r="BK148" s="1" t="s">
        <v>75</v>
      </c>
      <c r="BL148" s="17">
        <v>1</v>
      </c>
      <c r="BM148" s="119"/>
      <c r="BN148" s="1" t="s">
        <v>59</v>
      </c>
      <c r="BO148" s="17">
        <v>1</v>
      </c>
      <c r="BP148" s="119"/>
      <c r="BQ148" s="17" t="s">
        <v>50</v>
      </c>
      <c r="BR148" s="17">
        <v>2</v>
      </c>
      <c r="BS148" s="119"/>
      <c r="BT148" s="1" t="s">
        <v>65</v>
      </c>
      <c r="BU148" s="17">
        <v>2</v>
      </c>
      <c r="BV148" s="119"/>
      <c r="BW148" s="1" t="s">
        <v>51</v>
      </c>
      <c r="BX148" s="17">
        <v>2</v>
      </c>
      <c r="BY148" s="119"/>
      <c r="BZ148" s="1" t="s">
        <v>97</v>
      </c>
      <c r="CA148" s="17">
        <v>3</v>
      </c>
      <c r="CB148" s="119"/>
      <c r="CC148" s="1" t="s">
        <v>36</v>
      </c>
      <c r="CD148" s="17">
        <v>0</v>
      </c>
      <c r="CE148" s="119"/>
      <c r="CF148" s="17" t="s">
        <v>49</v>
      </c>
      <c r="CG148" s="17">
        <v>3</v>
      </c>
      <c r="CH148" s="119"/>
      <c r="CI148" s="1" t="s">
        <v>53</v>
      </c>
      <c r="CJ148" s="33">
        <v>1</v>
      </c>
      <c r="CK148" s="33">
        <v>1</v>
      </c>
      <c r="CL148" s="33">
        <v>0</v>
      </c>
      <c r="CM148" s="33">
        <v>0</v>
      </c>
      <c r="CN148" s="2" t="s">
        <v>82</v>
      </c>
    </row>
    <row r="149" spans="1:92" ht="84" x14ac:dyDescent="0.15">
      <c r="A149" s="51">
        <v>45861.346997083332</v>
      </c>
      <c r="B149" s="3" t="s">
        <v>29</v>
      </c>
      <c r="C149" s="18">
        <v>1</v>
      </c>
      <c r="D149" s="117"/>
      <c r="E149" s="6" t="s">
        <v>114</v>
      </c>
      <c r="F149" s="18">
        <v>2</v>
      </c>
      <c r="G149" s="117"/>
      <c r="H149" s="6" t="s">
        <v>91</v>
      </c>
      <c r="I149" s="18">
        <v>2</v>
      </c>
      <c r="J149" s="117"/>
      <c r="K149" s="43" t="s">
        <v>116</v>
      </c>
      <c r="L149" s="18">
        <v>2</v>
      </c>
      <c r="M149" s="120"/>
      <c r="N149" s="4" t="s">
        <v>33</v>
      </c>
      <c r="O149" s="18">
        <v>1</v>
      </c>
      <c r="P149" s="120"/>
      <c r="Q149" s="4" t="s">
        <v>34</v>
      </c>
      <c r="R149" s="18">
        <v>1</v>
      </c>
      <c r="S149" s="120"/>
      <c r="T149" s="4" t="s">
        <v>57</v>
      </c>
      <c r="U149" s="18">
        <v>0</v>
      </c>
      <c r="V149" s="120"/>
      <c r="W149" s="4" t="s">
        <v>49</v>
      </c>
      <c r="X149" s="18">
        <v>0</v>
      </c>
      <c r="Y149" s="120"/>
      <c r="Z149" s="12" t="s">
        <v>188</v>
      </c>
      <c r="AA149" s="18">
        <v>0</v>
      </c>
      <c r="AB149" s="120"/>
      <c r="AC149" s="4" t="s">
        <v>46</v>
      </c>
      <c r="AD149" s="18">
        <v>0</v>
      </c>
      <c r="AE149" s="120"/>
      <c r="AF149" s="4" t="s">
        <v>70</v>
      </c>
      <c r="AG149" s="18">
        <v>3</v>
      </c>
      <c r="AH149" s="120"/>
      <c r="AI149" s="13" t="s">
        <v>94</v>
      </c>
      <c r="AJ149" s="24">
        <v>2</v>
      </c>
      <c r="AK149" s="126"/>
      <c r="AL149" s="4" t="s">
        <v>71</v>
      </c>
      <c r="AM149" s="18">
        <v>1</v>
      </c>
      <c r="AN149" s="120"/>
      <c r="AO149" s="4" t="s">
        <v>130</v>
      </c>
      <c r="AP149" s="18">
        <v>4</v>
      </c>
      <c r="AQ149" s="120"/>
      <c r="AR149" s="4" t="s">
        <v>43</v>
      </c>
      <c r="AS149" s="18">
        <v>2</v>
      </c>
      <c r="AT149" s="120"/>
      <c r="AU149" s="4" t="s">
        <v>44</v>
      </c>
      <c r="AV149" s="18">
        <v>1</v>
      </c>
      <c r="AW149" s="120"/>
      <c r="AX149" s="4" t="s">
        <v>45</v>
      </c>
      <c r="AY149" s="18">
        <v>2</v>
      </c>
      <c r="AZ149" s="120"/>
      <c r="BA149" s="4" t="s">
        <v>59</v>
      </c>
      <c r="BB149" s="18">
        <v>0</v>
      </c>
      <c r="BC149" s="18">
        <v>0</v>
      </c>
      <c r="BD149" s="18">
        <v>1</v>
      </c>
      <c r="BE149" s="18">
        <v>1</v>
      </c>
      <c r="BF149" s="18">
        <v>0</v>
      </c>
      <c r="BG149" s="18">
        <v>0</v>
      </c>
      <c r="BH149" s="150" t="s">
        <v>95</v>
      </c>
      <c r="BI149" s="18">
        <v>0</v>
      </c>
      <c r="BJ149" s="130"/>
      <c r="BK149" s="4" t="s">
        <v>75</v>
      </c>
      <c r="BL149" s="18">
        <v>2</v>
      </c>
      <c r="BM149" s="120"/>
      <c r="BN149" s="4" t="s">
        <v>64</v>
      </c>
      <c r="BO149" s="18">
        <v>1</v>
      </c>
      <c r="BP149" s="120"/>
      <c r="BQ149" s="18" t="s">
        <v>50</v>
      </c>
      <c r="BR149" s="18">
        <v>0</v>
      </c>
      <c r="BS149" s="120"/>
      <c r="BT149" s="4" t="s">
        <v>46</v>
      </c>
      <c r="BU149" s="18">
        <v>0</v>
      </c>
      <c r="BV149" s="120"/>
      <c r="BW149" s="4" t="s">
        <v>88</v>
      </c>
      <c r="BX149" s="18">
        <v>2</v>
      </c>
      <c r="BY149" s="120"/>
      <c r="BZ149" s="4" t="s">
        <v>97</v>
      </c>
      <c r="CA149" s="18">
        <v>2</v>
      </c>
      <c r="CB149" s="120"/>
      <c r="CC149" s="4" t="s">
        <v>76</v>
      </c>
      <c r="CD149" s="18">
        <v>0</v>
      </c>
      <c r="CE149" s="120"/>
      <c r="CF149" s="18" t="s">
        <v>49</v>
      </c>
      <c r="CG149" s="18">
        <v>2</v>
      </c>
      <c r="CH149" s="120"/>
      <c r="CI149" s="4" t="s">
        <v>78</v>
      </c>
      <c r="CJ149" s="34">
        <v>1</v>
      </c>
      <c r="CK149" s="34">
        <v>0</v>
      </c>
      <c r="CL149" s="34">
        <v>1</v>
      </c>
      <c r="CM149" s="34">
        <v>0</v>
      </c>
      <c r="CN149" s="5" t="s">
        <v>54</v>
      </c>
    </row>
    <row r="150" spans="1:92" ht="28" x14ac:dyDescent="0.15">
      <c r="A150" s="51">
        <v>45861.351666724542</v>
      </c>
      <c r="B150" s="3" t="s">
        <v>29</v>
      </c>
      <c r="C150" s="17">
        <v>4</v>
      </c>
      <c r="D150" s="116"/>
      <c r="E150" s="6" t="s">
        <v>127</v>
      </c>
      <c r="F150" s="17">
        <v>1</v>
      </c>
      <c r="G150" s="116"/>
      <c r="H150" s="6" t="s">
        <v>31</v>
      </c>
      <c r="I150" s="17">
        <v>1</v>
      </c>
      <c r="J150" s="116"/>
      <c r="K150" s="43" t="s">
        <v>32</v>
      </c>
      <c r="L150" s="17">
        <v>2</v>
      </c>
      <c r="M150" s="119"/>
      <c r="N150" s="1" t="s">
        <v>33</v>
      </c>
      <c r="O150" s="18">
        <v>1</v>
      </c>
      <c r="P150" s="117"/>
      <c r="Q150" s="1" t="s">
        <v>34</v>
      </c>
      <c r="R150" s="17">
        <v>1</v>
      </c>
      <c r="S150" s="119"/>
      <c r="T150" s="1" t="s">
        <v>57</v>
      </c>
      <c r="U150" s="17">
        <v>2</v>
      </c>
      <c r="V150" s="119"/>
      <c r="W150" s="1" t="s">
        <v>36</v>
      </c>
      <c r="X150" s="17">
        <v>2</v>
      </c>
      <c r="Y150" s="119"/>
      <c r="Z150" s="1" t="s">
        <v>37</v>
      </c>
      <c r="AA150" s="17">
        <v>2</v>
      </c>
      <c r="AB150" s="119"/>
      <c r="AC150" s="1" t="s">
        <v>59</v>
      </c>
      <c r="AD150" s="17">
        <v>0</v>
      </c>
      <c r="AE150" s="119"/>
      <c r="AF150" s="1" t="s">
        <v>70</v>
      </c>
      <c r="AG150" s="17">
        <v>3</v>
      </c>
      <c r="AH150" s="119"/>
      <c r="AI150" s="11" t="s">
        <v>94</v>
      </c>
      <c r="AJ150" s="25">
        <v>3</v>
      </c>
      <c r="AK150" s="127"/>
      <c r="AL150" s="1" t="s">
        <v>41</v>
      </c>
      <c r="AM150" s="17">
        <v>3</v>
      </c>
      <c r="AN150" s="119"/>
      <c r="AO150" s="1" t="s">
        <v>42</v>
      </c>
      <c r="AP150" s="17">
        <v>3</v>
      </c>
      <c r="AQ150" s="119"/>
      <c r="AR150" s="1" t="s">
        <v>61</v>
      </c>
      <c r="AS150" s="17">
        <v>2</v>
      </c>
      <c r="AT150" s="119"/>
      <c r="AU150" s="1" t="s">
        <v>44</v>
      </c>
      <c r="AV150" s="17">
        <v>1</v>
      </c>
      <c r="AW150" s="119"/>
      <c r="AX150" s="1" t="s">
        <v>45</v>
      </c>
      <c r="AY150" s="17">
        <v>3</v>
      </c>
      <c r="AZ150" s="119"/>
      <c r="BA150" s="1" t="s">
        <v>46</v>
      </c>
      <c r="BB150" s="17">
        <v>1</v>
      </c>
      <c r="BC150" s="17">
        <v>0</v>
      </c>
      <c r="BD150" s="17">
        <v>1</v>
      </c>
      <c r="BE150" s="17">
        <v>0</v>
      </c>
      <c r="BF150" s="17">
        <v>0</v>
      </c>
      <c r="BG150" s="17">
        <v>0</v>
      </c>
      <c r="BH150" s="149" t="s">
        <v>47</v>
      </c>
      <c r="BI150" s="17">
        <v>0</v>
      </c>
      <c r="BJ150" s="131"/>
      <c r="BK150" s="1" t="s">
        <v>75</v>
      </c>
      <c r="BL150" s="17">
        <v>3</v>
      </c>
      <c r="BM150" s="119"/>
      <c r="BN150" s="1" t="s">
        <v>49</v>
      </c>
      <c r="BO150" s="17">
        <v>2</v>
      </c>
      <c r="BP150" s="119"/>
      <c r="BQ150" s="17" t="s">
        <v>117</v>
      </c>
      <c r="BR150" s="17">
        <v>2</v>
      </c>
      <c r="BS150" s="119"/>
      <c r="BT150" s="1" t="s">
        <v>65</v>
      </c>
      <c r="BU150" s="17">
        <v>1</v>
      </c>
      <c r="BV150" s="119"/>
      <c r="BW150" s="1" t="s">
        <v>66</v>
      </c>
      <c r="BX150" s="17">
        <v>2</v>
      </c>
      <c r="BY150" s="119"/>
      <c r="BZ150" s="1" t="s">
        <v>97</v>
      </c>
      <c r="CA150" s="17">
        <v>2</v>
      </c>
      <c r="CB150" s="119"/>
      <c r="CC150" s="1" t="s">
        <v>76</v>
      </c>
      <c r="CD150" s="17">
        <v>1</v>
      </c>
      <c r="CE150" s="119"/>
      <c r="CF150" s="17" t="s">
        <v>77</v>
      </c>
      <c r="CG150" s="17">
        <v>0</v>
      </c>
      <c r="CH150" s="119"/>
      <c r="CI150" s="1" t="s">
        <v>89</v>
      </c>
      <c r="CJ150" s="33">
        <v>1</v>
      </c>
      <c r="CK150" s="33">
        <v>1</v>
      </c>
      <c r="CL150" s="33">
        <v>0</v>
      </c>
      <c r="CM150" s="33">
        <v>0</v>
      </c>
      <c r="CN150" s="2" t="s">
        <v>82</v>
      </c>
    </row>
    <row r="151" spans="1:92" ht="28" x14ac:dyDescent="0.15">
      <c r="A151" s="51">
        <v>45861.361288969907</v>
      </c>
      <c r="B151" s="3" t="s">
        <v>29</v>
      </c>
      <c r="C151" s="18">
        <v>5</v>
      </c>
      <c r="D151" s="117"/>
      <c r="E151" s="6" t="s">
        <v>30</v>
      </c>
      <c r="F151" s="18">
        <v>2</v>
      </c>
      <c r="G151" s="117"/>
      <c r="H151" s="6" t="s">
        <v>91</v>
      </c>
      <c r="I151" s="18">
        <v>3</v>
      </c>
      <c r="J151" s="117"/>
      <c r="K151" s="43" t="s">
        <v>56</v>
      </c>
      <c r="L151" s="18">
        <v>2</v>
      </c>
      <c r="M151" s="120"/>
      <c r="N151" s="4" t="s">
        <v>33</v>
      </c>
      <c r="O151" s="18">
        <v>1</v>
      </c>
      <c r="P151" s="120"/>
      <c r="Q151" s="4" t="s">
        <v>34</v>
      </c>
      <c r="R151" s="18">
        <v>1</v>
      </c>
      <c r="S151" s="120"/>
      <c r="T151" s="4" t="s">
        <v>57</v>
      </c>
      <c r="U151" s="18">
        <v>2</v>
      </c>
      <c r="V151" s="120"/>
      <c r="W151" s="4" t="s">
        <v>36</v>
      </c>
      <c r="X151" s="18">
        <v>1</v>
      </c>
      <c r="Y151" s="120"/>
      <c r="Z151" s="4" t="s">
        <v>58</v>
      </c>
      <c r="AA151" s="18">
        <v>2</v>
      </c>
      <c r="AB151" s="120"/>
      <c r="AC151" s="4" t="s">
        <v>59</v>
      </c>
      <c r="AD151" s="18">
        <v>2</v>
      </c>
      <c r="AE151" s="120"/>
      <c r="AF151" s="4" t="s">
        <v>83</v>
      </c>
      <c r="AG151" s="18">
        <v>0</v>
      </c>
      <c r="AH151" s="120"/>
      <c r="AI151" s="13" t="s">
        <v>84</v>
      </c>
      <c r="AJ151" s="24">
        <v>2</v>
      </c>
      <c r="AK151" s="126"/>
      <c r="AL151" s="4" t="s">
        <v>71</v>
      </c>
      <c r="AM151" s="18">
        <v>3</v>
      </c>
      <c r="AN151" s="120"/>
      <c r="AO151" s="4" t="s">
        <v>42</v>
      </c>
      <c r="AP151" s="18">
        <v>3</v>
      </c>
      <c r="AQ151" s="120"/>
      <c r="AR151" s="4" t="s">
        <v>61</v>
      </c>
      <c r="AS151" s="18">
        <v>2</v>
      </c>
      <c r="AT151" s="120"/>
      <c r="AU151" s="4" t="s">
        <v>44</v>
      </c>
      <c r="AV151" s="18">
        <v>0</v>
      </c>
      <c r="AW151" s="120"/>
      <c r="AX151" s="4" t="s">
        <v>73</v>
      </c>
      <c r="AY151" s="18">
        <v>2</v>
      </c>
      <c r="AZ151" s="120"/>
      <c r="BA151" s="4" t="s">
        <v>59</v>
      </c>
      <c r="BB151" s="18">
        <v>1</v>
      </c>
      <c r="BC151" s="18">
        <v>0</v>
      </c>
      <c r="BD151" s="18">
        <v>0</v>
      </c>
      <c r="BE151" s="18">
        <v>1</v>
      </c>
      <c r="BF151" s="18">
        <v>0</v>
      </c>
      <c r="BG151" s="18">
        <v>0</v>
      </c>
      <c r="BH151" s="150" t="s">
        <v>74</v>
      </c>
      <c r="BI151" s="18">
        <v>0</v>
      </c>
      <c r="BJ151" s="130"/>
      <c r="BK151" s="4" t="s">
        <v>75</v>
      </c>
      <c r="BL151" s="18">
        <v>1</v>
      </c>
      <c r="BM151" s="120"/>
      <c r="BN151" s="4" t="s">
        <v>59</v>
      </c>
      <c r="BO151" s="18">
        <v>2</v>
      </c>
      <c r="BP151" s="120"/>
      <c r="BQ151" s="18" t="s">
        <v>117</v>
      </c>
      <c r="BR151" s="18">
        <v>2</v>
      </c>
      <c r="BS151" s="120"/>
      <c r="BT151" s="4" t="s">
        <v>65</v>
      </c>
      <c r="BU151" s="18">
        <v>1</v>
      </c>
      <c r="BV151" s="120"/>
      <c r="BW151" s="4" t="s">
        <v>66</v>
      </c>
      <c r="BX151" s="18">
        <v>0</v>
      </c>
      <c r="BY151" s="120"/>
      <c r="BZ151" s="4" t="s">
        <v>119</v>
      </c>
      <c r="CA151" s="18">
        <v>0</v>
      </c>
      <c r="CB151" s="120"/>
      <c r="CC151" s="4" t="s">
        <v>49</v>
      </c>
      <c r="CD151" s="18">
        <v>1</v>
      </c>
      <c r="CE151" s="120"/>
      <c r="CF151" s="18" t="s">
        <v>77</v>
      </c>
      <c r="CG151" s="18">
        <v>3</v>
      </c>
      <c r="CH151" s="120"/>
      <c r="CI151" s="4" t="s">
        <v>53</v>
      </c>
      <c r="CJ151" s="34">
        <v>0</v>
      </c>
      <c r="CK151" s="34">
        <v>1</v>
      </c>
      <c r="CL151" s="34">
        <v>1</v>
      </c>
      <c r="CM151" s="34">
        <v>0</v>
      </c>
      <c r="CN151" s="5" t="s">
        <v>98</v>
      </c>
    </row>
    <row r="152" spans="1:92" ht="28" x14ac:dyDescent="0.15">
      <c r="A152" s="51">
        <v>45861.363520393519</v>
      </c>
      <c r="B152" s="3" t="s">
        <v>29</v>
      </c>
      <c r="C152" s="17">
        <v>3</v>
      </c>
      <c r="D152" s="116"/>
      <c r="E152" s="6" t="s">
        <v>90</v>
      </c>
      <c r="F152" s="17">
        <v>2</v>
      </c>
      <c r="G152" s="116"/>
      <c r="H152" s="6" t="s">
        <v>91</v>
      </c>
      <c r="I152" s="17">
        <v>4</v>
      </c>
      <c r="J152" s="116"/>
      <c r="K152" s="43" t="s">
        <v>118</v>
      </c>
      <c r="L152" s="17">
        <v>1</v>
      </c>
      <c r="M152" s="119"/>
      <c r="N152" s="1" t="s">
        <v>124</v>
      </c>
      <c r="O152" s="18">
        <v>1</v>
      </c>
      <c r="P152" s="117"/>
      <c r="Q152" s="1" t="s">
        <v>34</v>
      </c>
      <c r="R152" s="17">
        <v>2</v>
      </c>
      <c r="S152" s="119"/>
      <c r="T152" s="1" t="s">
        <v>35</v>
      </c>
      <c r="U152" s="17">
        <v>0</v>
      </c>
      <c r="V152" s="119"/>
      <c r="W152" s="1" t="s">
        <v>49</v>
      </c>
      <c r="X152" s="17">
        <v>0</v>
      </c>
      <c r="Y152" s="119"/>
      <c r="Z152" s="1" t="s">
        <v>108</v>
      </c>
      <c r="AA152" s="17">
        <v>0</v>
      </c>
      <c r="AB152" s="119"/>
      <c r="AC152" s="1" t="s">
        <v>46</v>
      </c>
      <c r="AD152" s="17">
        <v>1</v>
      </c>
      <c r="AE152" s="119"/>
      <c r="AF152" s="1" t="s">
        <v>39</v>
      </c>
      <c r="AG152" s="17">
        <v>3</v>
      </c>
      <c r="AH152" s="119"/>
      <c r="AI152" s="11" t="s">
        <v>94</v>
      </c>
      <c r="AJ152" s="25">
        <v>3</v>
      </c>
      <c r="AK152" s="127"/>
      <c r="AL152" s="1" t="s">
        <v>41</v>
      </c>
      <c r="AM152" s="17">
        <v>1</v>
      </c>
      <c r="AN152" s="119"/>
      <c r="AO152" s="1" t="s">
        <v>130</v>
      </c>
      <c r="AP152" s="17">
        <v>3</v>
      </c>
      <c r="AQ152" s="119"/>
      <c r="AR152" s="1" t="s">
        <v>61</v>
      </c>
      <c r="AS152" s="17">
        <v>3</v>
      </c>
      <c r="AT152" s="119"/>
      <c r="AU152" s="1" t="s">
        <v>79</v>
      </c>
      <c r="AV152" s="17">
        <v>0</v>
      </c>
      <c r="AW152" s="119"/>
      <c r="AX152" s="1" t="s">
        <v>62</v>
      </c>
      <c r="AY152" s="17">
        <v>2</v>
      </c>
      <c r="AZ152" s="119"/>
      <c r="BA152" s="1" t="s">
        <v>59</v>
      </c>
      <c r="BB152" s="17">
        <v>0</v>
      </c>
      <c r="BC152" s="17">
        <v>0</v>
      </c>
      <c r="BD152" s="17">
        <v>1</v>
      </c>
      <c r="BE152" s="17">
        <v>1</v>
      </c>
      <c r="BF152" s="17">
        <v>0</v>
      </c>
      <c r="BG152" s="17">
        <v>0</v>
      </c>
      <c r="BH152" s="149" t="s">
        <v>95</v>
      </c>
      <c r="BI152" s="17">
        <v>0</v>
      </c>
      <c r="BJ152" s="131"/>
      <c r="BK152" s="1" t="s">
        <v>75</v>
      </c>
      <c r="BL152" s="17">
        <v>0</v>
      </c>
      <c r="BM152" s="119"/>
      <c r="BN152" s="1" t="s">
        <v>36</v>
      </c>
      <c r="BO152" s="17">
        <v>0</v>
      </c>
      <c r="BP152" s="119"/>
      <c r="BQ152" s="17" t="s">
        <v>87</v>
      </c>
      <c r="BR152" s="17">
        <v>1</v>
      </c>
      <c r="BS152" s="119"/>
      <c r="BT152" s="1" t="s">
        <v>69</v>
      </c>
      <c r="BU152" s="17">
        <v>2</v>
      </c>
      <c r="BV152" s="119"/>
      <c r="BW152" s="1" t="s">
        <v>51</v>
      </c>
      <c r="BX152" s="17">
        <v>1</v>
      </c>
      <c r="BY152" s="119"/>
      <c r="BZ152" s="1" t="s">
        <v>67</v>
      </c>
      <c r="CA152" s="17">
        <v>1</v>
      </c>
      <c r="CB152" s="119"/>
      <c r="CC152" s="1" t="s">
        <v>77</v>
      </c>
      <c r="CD152" s="17">
        <v>1</v>
      </c>
      <c r="CE152" s="119"/>
      <c r="CF152" s="17" t="s">
        <v>77</v>
      </c>
      <c r="CG152" s="17">
        <v>2</v>
      </c>
      <c r="CH152" s="119"/>
      <c r="CI152" s="1" t="s">
        <v>78</v>
      </c>
      <c r="CJ152" s="33">
        <v>0</v>
      </c>
      <c r="CK152" s="33">
        <v>0</v>
      </c>
      <c r="CL152" s="33">
        <v>0</v>
      </c>
      <c r="CM152" s="33">
        <v>1</v>
      </c>
      <c r="CN152" s="2" t="s">
        <v>189</v>
      </c>
    </row>
    <row r="153" spans="1:92" ht="28" x14ac:dyDescent="0.15">
      <c r="A153" s="51">
        <v>45861.365389513885</v>
      </c>
      <c r="B153" s="3" t="s">
        <v>29</v>
      </c>
      <c r="C153" s="18">
        <v>2</v>
      </c>
      <c r="D153" s="117"/>
      <c r="E153" s="6" t="s">
        <v>55</v>
      </c>
      <c r="F153" s="18">
        <v>1</v>
      </c>
      <c r="G153" s="117"/>
      <c r="H153" s="6" t="s">
        <v>31</v>
      </c>
      <c r="I153" s="18">
        <v>3</v>
      </c>
      <c r="J153" s="117"/>
      <c r="K153" s="43" t="s">
        <v>56</v>
      </c>
      <c r="L153" s="18">
        <v>1</v>
      </c>
      <c r="M153" s="120"/>
      <c r="N153" s="4" t="s">
        <v>124</v>
      </c>
      <c r="O153" s="18">
        <v>1</v>
      </c>
      <c r="P153" s="120"/>
      <c r="Q153" s="4" t="s">
        <v>34</v>
      </c>
      <c r="R153" s="18">
        <v>2</v>
      </c>
      <c r="S153" s="120"/>
      <c r="T153" s="4" t="s">
        <v>35</v>
      </c>
      <c r="U153" s="18">
        <v>0</v>
      </c>
      <c r="V153" s="120"/>
      <c r="W153" s="4" t="s">
        <v>49</v>
      </c>
      <c r="X153" s="18">
        <v>0</v>
      </c>
      <c r="Y153" s="120"/>
      <c r="Z153" s="4" t="s">
        <v>108</v>
      </c>
      <c r="AA153" s="18">
        <v>1</v>
      </c>
      <c r="AB153" s="120"/>
      <c r="AC153" s="4" t="s">
        <v>69</v>
      </c>
      <c r="AD153" s="18">
        <v>2</v>
      </c>
      <c r="AE153" s="120"/>
      <c r="AF153" s="4" t="s">
        <v>83</v>
      </c>
      <c r="AG153" s="18">
        <v>3</v>
      </c>
      <c r="AH153" s="120"/>
      <c r="AI153" s="13" t="s">
        <v>94</v>
      </c>
      <c r="AJ153" s="24">
        <v>3</v>
      </c>
      <c r="AK153" s="126"/>
      <c r="AL153" s="4" t="s">
        <v>41</v>
      </c>
      <c r="AM153" s="18">
        <v>1</v>
      </c>
      <c r="AN153" s="120"/>
      <c r="AO153" s="4" t="s">
        <v>130</v>
      </c>
      <c r="AP153" s="18">
        <v>3</v>
      </c>
      <c r="AQ153" s="120"/>
      <c r="AR153" s="4" t="s">
        <v>61</v>
      </c>
      <c r="AS153" s="18">
        <v>3</v>
      </c>
      <c r="AT153" s="120"/>
      <c r="AU153" s="4" t="s">
        <v>79</v>
      </c>
      <c r="AV153" s="18">
        <v>1</v>
      </c>
      <c r="AW153" s="120"/>
      <c r="AX153" s="4" t="s">
        <v>45</v>
      </c>
      <c r="AY153" s="18">
        <v>2</v>
      </c>
      <c r="AZ153" s="120"/>
      <c r="BA153" s="4" t="s">
        <v>59</v>
      </c>
      <c r="BB153" s="18">
        <v>0</v>
      </c>
      <c r="BC153" s="18">
        <v>0</v>
      </c>
      <c r="BD153" s="18">
        <v>1</v>
      </c>
      <c r="BE153" s="18">
        <v>0</v>
      </c>
      <c r="BF153" s="18">
        <v>0</v>
      </c>
      <c r="BG153" s="18">
        <v>0</v>
      </c>
      <c r="BH153" s="150" t="s">
        <v>167</v>
      </c>
      <c r="BI153" s="18">
        <v>0</v>
      </c>
      <c r="BJ153" s="130"/>
      <c r="BK153" s="4" t="s">
        <v>75</v>
      </c>
      <c r="BL153" s="18">
        <v>0</v>
      </c>
      <c r="BM153" s="120"/>
      <c r="BN153" s="4" t="s">
        <v>36</v>
      </c>
      <c r="BO153" s="18">
        <v>0</v>
      </c>
      <c r="BP153" s="120"/>
      <c r="BQ153" s="18" t="s">
        <v>87</v>
      </c>
      <c r="BR153" s="18">
        <v>0</v>
      </c>
      <c r="BS153" s="120"/>
      <c r="BT153" s="4" t="s">
        <v>46</v>
      </c>
      <c r="BU153" s="18">
        <v>0</v>
      </c>
      <c r="BV153" s="120"/>
      <c r="BW153" s="4" t="s">
        <v>88</v>
      </c>
      <c r="BX153" s="18">
        <v>2</v>
      </c>
      <c r="BY153" s="120"/>
      <c r="BZ153" s="4" t="s">
        <v>97</v>
      </c>
      <c r="CA153" s="18">
        <v>2</v>
      </c>
      <c r="CB153" s="120"/>
      <c r="CC153" s="4" t="s">
        <v>76</v>
      </c>
      <c r="CD153" s="18">
        <v>0</v>
      </c>
      <c r="CE153" s="120"/>
      <c r="CF153" s="18" t="s">
        <v>49</v>
      </c>
      <c r="CG153" s="18">
        <v>2</v>
      </c>
      <c r="CH153" s="120"/>
      <c r="CI153" s="4" t="s">
        <v>78</v>
      </c>
      <c r="CJ153" s="34">
        <v>0</v>
      </c>
      <c r="CK153" s="34">
        <v>0</v>
      </c>
      <c r="CL153" s="34">
        <v>0</v>
      </c>
      <c r="CM153" s="34">
        <v>1</v>
      </c>
      <c r="CN153" s="5" t="s">
        <v>101</v>
      </c>
    </row>
    <row r="154" spans="1:92" ht="28" x14ac:dyDescent="0.15">
      <c r="A154" s="51">
        <v>45861.375962384263</v>
      </c>
      <c r="B154" s="3" t="s">
        <v>29</v>
      </c>
      <c r="C154" s="17">
        <v>4</v>
      </c>
      <c r="D154" s="116"/>
      <c r="E154" s="6" t="s">
        <v>127</v>
      </c>
      <c r="F154" s="17">
        <v>2</v>
      </c>
      <c r="G154" s="116"/>
      <c r="H154" s="6" t="s">
        <v>91</v>
      </c>
      <c r="I154" s="17">
        <v>1</v>
      </c>
      <c r="J154" s="116"/>
      <c r="K154" s="43" t="s">
        <v>32</v>
      </c>
      <c r="L154" s="17">
        <v>2</v>
      </c>
      <c r="M154" s="119"/>
      <c r="N154" s="1" t="s">
        <v>33</v>
      </c>
      <c r="O154" s="18">
        <v>1</v>
      </c>
      <c r="P154" s="117"/>
      <c r="Q154" s="1" t="s">
        <v>34</v>
      </c>
      <c r="R154" s="17">
        <v>2</v>
      </c>
      <c r="S154" s="119"/>
      <c r="T154" s="1" t="s">
        <v>35</v>
      </c>
      <c r="U154" s="17">
        <v>1</v>
      </c>
      <c r="V154" s="119"/>
      <c r="W154" s="1" t="s">
        <v>92</v>
      </c>
      <c r="X154" s="17">
        <v>0</v>
      </c>
      <c r="Y154" s="119"/>
      <c r="Z154" s="1" t="s">
        <v>108</v>
      </c>
      <c r="AA154" s="17">
        <v>1</v>
      </c>
      <c r="AB154" s="119"/>
      <c r="AC154" s="1" t="s">
        <v>69</v>
      </c>
      <c r="AD154" s="17">
        <v>4</v>
      </c>
      <c r="AE154" s="119"/>
      <c r="AF154" s="1" t="s">
        <v>93</v>
      </c>
      <c r="AG154" s="17">
        <v>3</v>
      </c>
      <c r="AH154" s="119"/>
      <c r="AI154" s="11" t="s">
        <v>94</v>
      </c>
      <c r="AJ154" s="25">
        <v>0</v>
      </c>
      <c r="AK154" s="127"/>
      <c r="AL154" s="1" t="s">
        <v>85</v>
      </c>
      <c r="AM154" s="17">
        <v>0</v>
      </c>
      <c r="AN154" s="119"/>
      <c r="AO154" s="1" t="s">
        <v>110</v>
      </c>
      <c r="AP154" s="17">
        <v>3</v>
      </c>
      <c r="AQ154" s="119"/>
      <c r="AR154" s="1" t="s">
        <v>61</v>
      </c>
      <c r="AS154" s="17">
        <v>0</v>
      </c>
      <c r="AT154" s="119"/>
      <c r="AU154" s="1" t="s">
        <v>102</v>
      </c>
      <c r="AV154" s="17">
        <v>0</v>
      </c>
      <c r="AW154" s="119"/>
      <c r="AX154" s="1" t="s">
        <v>62</v>
      </c>
      <c r="AY154" s="17">
        <v>2</v>
      </c>
      <c r="AZ154" s="119"/>
      <c r="BA154" s="1" t="s">
        <v>59</v>
      </c>
      <c r="BB154" s="17">
        <v>1</v>
      </c>
      <c r="BC154" s="17">
        <v>0</v>
      </c>
      <c r="BD154" s="17">
        <v>1</v>
      </c>
      <c r="BE154" s="17">
        <v>0</v>
      </c>
      <c r="BF154" s="17">
        <v>0</v>
      </c>
      <c r="BG154" s="17">
        <v>0</v>
      </c>
      <c r="BH154" s="149" t="s">
        <v>47</v>
      </c>
      <c r="BI154" s="17">
        <v>0</v>
      </c>
      <c r="BJ154" s="131"/>
      <c r="BK154" s="1" t="s">
        <v>75</v>
      </c>
      <c r="BL154" s="17">
        <v>2</v>
      </c>
      <c r="BM154" s="119"/>
      <c r="BN154" s="1" t="s">
        <v>64</v>
      </c>
      <c r="BO154" s="17">
        <v>0</v>
      </c>
      <c r="BP154" s="119"/>
      <c r="BQ154" s="17" t="s">
        <v>87</v>
      </c>
      <c r="BR154" s="17">
        <v>0</v>
      </c>
      <c r="BS154" s="119"/>
      <c r="BT154" s="1" t="s">
        <v>46</v>
      </c>
      <c r="BU154" s="17">
        <v>2</v>
      </c>
      <c r="BV154" s="119"/>
      <c r="BW154" s="1" t="s">
        <v>51</v>
      </c>
      <c r="BX154" s="17">
        <v>1</v>
      </c>
      <c r="BY154" s="119"/>
      <c r="BZ154" s="1" t="s">
        <v>67</v>
      </c>
      <c r="CA154" s="17">
        <v>0</v>
      </c>
      <c r="CB154" s="119"/>
      <c r="CC154" s="1" t="s">
        <v>49</v>
      </c>
      <c r="CD154" s="17">
        <v>0</v>
      </c>
      <c r="CE154" s="119"/>
      <c r="CF154" s="17" t="s">
        <v>49</v>
      </c>
      <c r="CG154" s="17">
        <v>0</v>
      </c>
      <c r="CH154" s="119"/>
      <c r="CI154" s="1" t="s">
        <v>89</v>
      </c>
      <c r="CJ154" s="33">
        <v>0</v>
      </c>
      <c r="CK154" s="33">
        <v>0</v>
      </c>
      <c r="CL154" s="33">
        <v>0</v>
      </c>
      <c r="CM154" s="33">
        <v>1</v>
      </c>
      <c r="CN154" s="2" t="s">
        <v>101</v>
      </c>
    </row>
    <row r="155" spans="1:92" ht="28" x14ac:dyDescent="0.15">
      <c r="A155" s="51">
        <v>45861.382208854164</v>
      </c>
      <c r="B155" s="3" t="s">
        <v>29</v>
      </c>
      <c r="C155" s="18">
        <v>3</v>
      </c>
      <c r="D155" s="117"/>
      <c r="E155" s="6" t="s">
        <v>90</v>
      </c>
      <c r="F155" s="18">
        <v>1</v>
      </c>
      <c r="G155" s="117"/>
      <c r="H155" s="6" t="s">
        <v>31</v>
      </c>
      <c r="I155" s="18">
        <v>4</v>
      </c>
      <c r="J155" s="117"/>
      <c r="K155" s="43" t="s">
        <v>118</v>
      </c>
      <c r="L155" s="18">
        <v>2</v>
      </c>
      <c r="M155" s="120"/>
      <c r="N155" s="4" t="s">
        <v>33</v>
      </c>
      <c r="O155" s="18">
        <v>1</v>
      </c>
      <c r="P155" s="120"/>
      <c r="Q155" s="4" t="s">
        <v>34</v>
      </c>
      <c r="R155" s="18">
        <v>2</v>
      </c>
      <c r="S155" s="120"/>
      <c r="T155" s="4" t="s">
        <v>35</v>
      </c>
      <c r="U155" s="18">
        <v>2</v>
      </c>
      <c r="V155" s="120"/>
      <c r="W155" s="4" t="s">
        <v>36</v>
      </c>
      <c r="X155" s="18">
        <v>2</v>
      </c>
      <c r="Y155" s="120"/>
      <c r="Z155" s="4" t="s">
        <v>37</v>
      </c>
      <c r="AA155" s="18">
        <v>3</v>
      </c>
      <c r="AB155" s="120"/>
      <c r="AC155" s="4" t="s">
        <v>38</v>
      </c>
      <c r="AD155" s="18">
        <v>0</v>
      </c>
      <c r="AE155" s="120"/>
      <c r="AF155" s="4" t="s">
        <v>70</v>
      </c>
      <c r="AG155" s="18">
        <v>2</v>
      </c>
      <c r="AH155" s="120"/>
      <c r="AI155" s="13" t="s">
        <v>40</v>
      </c>
      <c r="AJ155" s="24">
        <v>3</v>
      </c>
      <c r="AK155" s="126"/>
      <c r="AL155" s="4" t="s">
        <v>41</v>
      </c>
      <c r="AM155" s="18">
        <v>3</v>
      </c>
      <c r="AN155" s="120"/>
      <c r="AO155" s="4" t="s">
        <v>42</v>
      </c>
      <c r="AP155" s="18">
        <v>3</v>
      </c>
      <c r="AQ155" s="120"/>
      <c r="AR155" s="4" t="s">
        <v>61</v>
      </c>
      <c r="AS155" s="18">
        <v>3</v>
      </c>
      <c r="AT155" s="120"/>
      <c r="AU155" s="4" t="s">
        <v>79</v>
      </c>
      <c r="AV155" s="18">
        <v>2</v>
      </c>
      <c r="AW155" s="120"/>
      <c r="AX155" s="4" t="s">
        <v>80</v>
      </c>
      <c r="AY155" s="18">
        <v>3</v>
      </c>
      <c r="AZ155" s="120"/>
      <c r="BA155" s="4" t="s">
        <v>46</v>
      </c>
      <c r="BB155" s="18">
        <v>1</v>
      </c>
      <c r="BC155" s="18">
        <v>0</v>
      </c>
      <c r="BD155" s="18">
        <v>1</v>
      </c>
      <c r="BE155" s="18">
        <v>0</v>
      </c>
      <c r="BF155" s="18">
        <v>0</v>
      </c>
      <c r="BG155" s="18">
        <v>0</v>
      </c>
      <c r="BH155" s="150" t="s">
        <v>47</v>
      </c>
      <c r="BI155" s="18">
        <v>2</v>
      </c>
      <c r="BJ155" s="130"/>
      <c r="BK155" s="4" t="s">
        <v>48</v>
      </c>
      <c r="BL155" s="18">
        <v>3</v>
      </c>
      <c r="BM155" s="120"/>
      <c r="BN155" s="4" t="s">
        <v>49</v>
      </c>
      <c r="BO155" s="18">
        <v>1</v>
      </c>
      <c r="BP155" s="120"/>
      <c r="BQ155" s="18" t="s">
        <v>50</v>
      </c>
      <c r="BR155" s="18">
        <v>3</v>
      </c>
      <c r="BS155" s="120"/>
      <c r="BT155" s="4" t="s">
        <v>38</v>
      </c>
      <c r="BU155" s="18">
        <v>2</v>
      </c>
      <c r="BV155" s="120"/>
      <c r="BW155" s="4" t="s">
        <v>51</v>
      </c>
      <c r="BX155" s="18">
        <v>2</v>
      </c>
      <c r="BY155" s="120"/>
      <c r="BZ155" s="4" t="s">
        <v>97</v>
      </c>
      <c r="CA155" s="18">
        <v>3</v>
      </c>
      <c r="CB155" s="120"/>
      <c r="CC155" s="4" t="s">
        <v>36</v>
      </c>
      <c r="CD155" s="18">
        <v>1</v>
      </c>
      <c r="CE155" s="120"/>
      <c r="CF155" s="18" t="s">
        <v>77</v>
      </c>
      <c r="CG155" s="18">
        <v>3</v>
      </c>
      <c r="CH155" s="120"/>
      <c r="CI155" s="4" t="s">
        <v>53</v>
      </c>
      <c r="CJ155" s="34">
        <v>1</v>
      </c>
      <c r="CK155" s="34">
        <v>1</v>
      </c>
      <c r="CL155" s="34">
        <v>0</v>
      </c>
      <c r="CM155" s="34">
        <v>0</v>
      </c>
      <c r="CN155" s="5" t="s">
        <v>82</v>
      </c>
    </row>
    <row r="156" spans="1:92" ht="28" x14ac:dyDescent="0.15">
      <c r="A156" s="51">
        <v>45861.383061550921</v>
      </c>
      <c r="B156" s="3" t="s">
        <v>29</v>
      </c>
      <c r="C156" s="17">
        <v>3</v>
      </c>
      <c r="D156" s="116"/>
      <c r="E156" s="6" t="s">
        <v>90</v>
      </c>
      <c r="F156" s="17">
        <v>2</v>
      </c>
      <c r="G156" s="116"/>
      <c r="H156" s="6" t="s">
        <v>91</v>
      </c>
      <c r="I156" s="17">
        <v>3</v>
      </c>
      <c r="J156" s="116"/>
      <c r="K156" s="43" t="s">
        <v>56</v>
      </c>
      <c r="L156" s="17">
        <v>2</v>
      </c>
      <c r="M156" s="119"/>
      <c r="N156" s="1" t="s">
        <v>33</v>
      </c>
      <c r="O156" s="18">
        <v>1</v>
      </c>
      <c r="P156" s="117"/>
      <c r="Q156" s="1" t="s">
        <v>34</v>
      </c>
      <c r="R156" s="17">
        <v>2</v>
      </c>
      <c r="S156" s="119"/>
      <c r="T156" s="1" t="s">
        <v>35</v>
      </c>
      <c r="U156" s="17">
        <v>1</v>
      </c>
      <c r="V156" s="119"/>
      <c r="W156" s="1" t="s">
        <v>92</v>
      </c>
      <c r="X156" s="17">
        <v>1</v>
      </c>
      <c r="Y156" s="119"/>
      <c r="Z156" s="1" t="s">
        <v>58</v>
      </c>
      <c r="AA156" s="17">
        <v>3</v>
      </c>
      <c r="AB156" s="119"/>
      <c r="AC156" s="1" t="s">
        <v>38</v>
      </c>
      <c r="AD156" s="17">
        <v>0</v>
      </c>
      <c r="AE156" s="119"/>
      <c r="AF156" s="1" t="s">
        <v>70</v>
      </c>
      <c r="AG156" s="17">
        <v>3</v>
      </c>
      <c r="AH156" s="119"/>
      <c r="AI156" s="11" t="s">
        <v>94</v>
      </c>
      <c r="AJ156" s="25">
        <v>0</v>
      </c>
      <c r="AK156" s="127"/>
      <c r="AL156" s="1" t="s">
        <v>85</v>
      </c>
      <c r="AM156" s="17">
        <v>2</v>
      </c>
      <c r="AN156" s="119"/>
      <c r="AO156" s="1" t="s">
        <v>72</v>
      </c>
      <c r="AP156" s="17">
        <v>0</v>
      </c>
      <c r="AQ156" s="119"/>
      <c r="AR156" s="1" t="s">
        <v>121</v>
      </c>
      <c r="AS156" s="17">
        <v>0</v>
      </c>
      <c r="AT156" s="119"/>
      <c r="AU156" s="1" t="s">
        <v>102</v>
      </c>
      <c r="AV156" s="17">
        <v>1</v>
      </c>
      <c r="AW156" s="119"/>
      <c r="AX156" s="1" t="s">
        <v>45</v>
      </c>
      <c r="AY156" s="17">
        <v>1</v>
      </c>
      <c r="AZ156" s="119"/>
      <c r="BA156" s="1" t="s">
        <v>69</v>
      </c>
      <c r="BB156" s="17">
        <v>0</v>
      </c>
      <c r="BC156" s="17">
        <v>0</v>
      </c>
      <c r="BD156" s="17">
        <v>1</v>
      </c>
      <c r="BE156" s="17">
        <v>1</v>
      </c>
      <c r="BF156" s="17">
        <v>0</v>
      </c>
      <c r="BG156" s="17">
        <v>0</v>
      </c>
      <c r="BH156" s="149" t="s">
        <v>95</v>
      </c>
      <c r="BI156" s="17">
        <v>0</v>
      </c>
      <c r="BJ156" s="131"/>
      <c r="BK156" s="1" t="s">
        <v>75</v>
      </c>
      <c r="BL156" s="17">
        <v>3</v>
      </c>
      <c r="BM156" s="119"/>
      <c r="BN156" s="1" t="s">
        <v>49</v>
      </c>
      <c r="BO156" s="17">
        <v>0</v>
      </c>
      <c r="BP156" s="119"/>
      <c r="BQ156" s="17" t="s">
        <v>87</v>
      </c>
      <c r="BR156" s="17">
        <v>2</v>
      </c>
      <c r="BS156" s="119"/>
      <c r="BT156" s="1" t="s">
        <v>65</v>
      </c>
      <c r="BU156" s="17">
        <v>0</v>
      </c>
      <c r="BV156" s="119"/>
      <c r="BW156" s="1" t="s">
        <v>88</v>
      </c>
      <c r="BX156" s="17">
        <v>3</v>
      </c>
      <c r="BY156" s="119"/>
      <c r="BZ156" s="1" t="s">
        <v>52</v>
      </c>
      <c r="CA156" s="17">
        <v>2</v>
      </c>
      <c r="CB156" s="119"/>
      <c r="CC156" s="1" t="s">
        <v>76</v>
      </c>
      <c r="CD156" s="17">
        <v>0</v>
      </c>
      <c r="CE156" s="119"/>
      <c r="CF156" s="17" t="s">
        <v>49</v>
      </c>
      <c r="CG156" s="17">
        <v>2</v>
      </c>
      <c r="CH156" s="119"/>
      <c r="CI156" s="1" t="s">
        <v>78</v>
      </c>
      <c r="CJ156" s="33">
        <v>0</v>
      </c>
      <c r="CK156" s="33">
        <v>1</v>
      </c>
      <c r="CL156" s="33">
        <v>0</v>
      </c>
      <c r="CM156" s="33">
        <v>0</v>
      </c>
      <c r="CN156" s="2" t="s">
        <v>137</v>
      </c>
    </row>
    <row r="157" spans="1:92" ht="28" x14ac:dyDescent="0.15">
      <c r="A157" s="51">
        <v>45861.400945833331</v>
      </c>
      <c r="B157" s="3" t="s">
        <v>29</v>
      </c>
      <c r="C157" s="18">
        <v>5</v>
      </c>
      <c r="D157" s="117"/>
      <c r="E157" s="6" t="s">
        <v>30</v>
      </c>
      <c r="F157" s="18">
        <v>2</v>
      </c>
      <c r="G157" s="117"/>
      <c r="H157" s="6" t="s">
        <v>91</v>
      </c>
      <c r="I157" s="18">
        <v>3</v>
      </c>
      <c r="J157" s="117"/>
      <c r="K157" s="43" t="s">
        <v>56</v>
      </c>
      <c r="L157" s="18">
        <v>2</v>
      </c>
      <c r="M157" s="120"/>
      <c r="N157" s="4" t="s">
        <v>33</v>
      </c>
      <c r="O157" s="18">
        <v>1</v>
      </c>
      <c r="P157" s="120"/>
      <c r="Q157" s="4" t="s">
        <v>34</v>
      </c>
      <c r="R157" s="18">
        <v>1</v>
      </c>
      <c r="S157" s="120"/>
      <c r="T157" s="4" t="s">
        <v>57</v>
      </c>
      <c r="U157" s="18">
        <v>1</v>
      </c>
      <c r="V157" s="120"/>
      <c r="W157" s="4" t="s">
        <v>92</v>
      </c>
      <c r="X157" s="18">
        <v>1</v>
      </c>
      <c r="Y157" s="120"/>
      <c r="Z157" s="4" t="s">
        <v>58</v>
      </c>
      <c r="AA157" s="18">
        <v>2</v>
      </c>
      <c r="AB157" s="120"/>
      <c r="AC157" s="4" t="s">
        <v>59</v>
      </c>
      <c r="AD157" s="18">
        <v>2</v>
      </c>
      <c r="AE157" s="120"/>
      <c r="AF157" s="4" t="s">
        <v>83</v>
      </c>
      <c r="AG157" s="18">
        <v>0</v>
      </c>
      <c r="AH157" s="120"/>
      <c r="AI157" s="13" t="s">
        <v>84</v>
      </c>
      <c r="AJ157" s="24">
        <v>2</v>
      </c>
      <c r="AK157" s="126"/>
      <c r="AL157" s="4" t="s">
        <v>71</v>
      </c>
      <c r="AM157" s="18">
        <v>2</v>
      </c>
      <c r="AN157" s="120"/>
      <c r="AO157" s="4" t="s">
        <v>72</v>
      </c>
      <c r="AP157" s="18">
        <v>3</v>
      </c>
      <c r="AQ157" s="120"/>
      <c r="AR157" s="9" t="s">
        <v>190</v>
      </c>
      <c r="AS157" s="18">
        <v>0</v>
      </c>
      <c r="AT157" s="120"/>
      <c r="AU157" s="9" t="s">
        <v>191</v>
      </c>
      <c r="AV157" s="18">
        <v>0</v>
      </c>
      <c r="AW157" s="120"/>
      <c r="AX157" s="4" t="s">
        <v>73</v>
      </c>
      <c r="AY157" s="18">
        <v>2</v>
      </c>
      <c r="AZ157" s="120"/>
      <c r="BA157" s="4" t="s">
        <v>59</v>
      </c>
      <c r="BB157" s="18">
        <v>1</v>
      </c>
      <c r="BC157" s="18">
        <v>0</v>
      </c>
      <c r="BD157" s="18">
        <v>1</v>
      </c>
      <c r="BE157" s="18">
        <v>0</v>
      </c>
      <c r="BF157" s="18">
        <v>0</v>
      </c>
      <c r="BG157" s="18">
        <v>0</v>
      </c>
      <c r="BH157" s="150" t="s">
        <v>47</v>
      </c>
      <c r="BI157" s="18">
        <v>0</v>
      </c>
      <c r="BJ157" s="130"/>
      <c r="BK157" s="4" t="s">
        <v>75</v>
      </c>
      <c r="BL157" s="18">
        <v>1</v>
      </c>
      <c r="BM157" s="120"/>
      <c r="BN157" s="4" t="s">
        <v>59</v>
      </c>
      <c r="BO157" s="18">
        <v>1</v>
      </c>
      <c r="BP157" s="120"/>
      <c r="BQ157" s="18" t="s">
        <v>50</v>
      </c>
      <c r="BR157" s="18">
        <v>3</v>
      </c>
      <c r="BS157" s="120"/>
      <c r="BT157" s="4" t="s">
        <v>38</v>
      </c>
      <c r="BU157" s="18">
        <v>2</v>
      </c>
      <c r="BV157" s="120"/>
      <c r="BW157" s="4" t="s">
        <v>51</v>
      </c>
      <c r="BX157" s="18">
        <v>2</v>
      </c>
      <c r="BY157" s="120"/>
      <c r="BZ157" s="4" t="s">
        <v>97</v>
      </c>
      <c r="CA157" s="18">
        <v>2</v>
      </c>
      <c r="CB157" s="120"/>
      <c r="CC157" s="4" t="s">
        <v>76</v>
      </c>
      <c r="CD157" s="18">
        <v>2</v>
      </c>
      <c r="CE157" s="120"/>
      <c r="CF157" s="18" t="s">
        <v>36</v>
      </c>
      <c r="CG157" s="18">
        <v>2</v>
      </c>
      <c r="CH157" s="120"/>
      <c r="CI157" s="4" t="s">
        <v>78</v>
      </c>
      <c r="CJ157" s="34">
        <v>1</v>
      </c>
      <c r="CK157" s="34">
        <v>1</v>
      </c>
      <c r="CL157" s="34">
        <v>0</v>
      </c>
      <c r="CM157" s="34">
        <v>0</v>
      </c>
      <c r="CN157" s="5" t="s">
        <v>82</v>
      </c>
    </row>
    <row r="158" spans="1:92" ht="28" x14ac:dyDescent="0.15">
      <c r="A158" s="51">
        <v>45861.408602141208</v>
      </c>
      <c r="B158" s="3" t="s">
        <v>29</v>
      </c>
      <c r="C158" s="17">
        <v>2</v>
      </c>
      <c r="D158" s="116"/>
      <c r="E158" s="6" t="s">
        <v>55</v>
      </c>
      <c r="F158" s="17">
        <v>2</v>
      </c>
      <c r="G158" s="116"/>
      <c r="H158" s="6" t="s">
        <v>91</v>
      </c>
      <c r="I158" s="17">
        <v>3</v>
      </c>
      <c r="J158" s="116"/>
      <c r="K158" s="43" t="s">
        <v>56</v>
      </c>
      <c r="L158" s="17">
        <v>2</v>
      </c>
      <c r="M158" s="119"/>
      <c r="N158" s="1" t="s">
        <v>33</v>
      </c>
      <c r="O158" s="18">
        <v>1</v>
      </c>
      <c r="P158" s="117"/>
      <c r="Q158" s="1" t="s">
        <v>34</v>
      </c>
      <c r="R158" s="17">
        <v>2</v>
      </c>
      <c r="S158" s="119"/>
      <c r="T158" s="1" t="s">
        <v>35</v>
      </c>
      <c r="U158" s="17">
        <v>2</v>
      </c>
      <c r="V158" s="119"/>
      <c r="W158" s="1" t="s">
        <v>36</v>
      </c>
      <c r="X158" s="17">
        <v>0</v>
      </c>
      <c r="Y158" s="119"/>
      <c r="Z158" s="1" t="s">
        <v>108</v>
      </c>
      <c r="AA158" s="17">
        <v>0</v>
      </c>
      <c r="AB158" s="119"/>
      <c r="AC158" s="1" t="s">
        <v>46</v>
      </c>
      <c r="AD158" s="17">
        <v>2</v>
      </c>
      <c r="AE158" s="119"/>
      <c r="AF158" s="1" t="s">
        <v>83</v>
      </c>
      <c r="AG158" s="17">
        <v>3</v>
      </c>
      <c r="AH158" s="119"/>
      <c r="AI158" s="11" t="s">
        <v>94</v>
      </c>
      <c r="AJ158" s="25">
        <v>0</v>
      </c>
      <c r="AK158" s="127"/>
      <c r="AL158" s="1" t="s">
        <v>85</v>
      </c>
      <c r="AM158" s="17">
        <v>0</v>
      </c>
      <c r="AN158" s="119"/>
      <c r="AO158" s="1" t="s">
        <v>110</v>
      </c>
      <c r="AP158" s="17">
        <v>3</v>
      </c>
      <c r="AQ158" s="119"/>
      <c r="AR158" s="1" t="s">
        <v>61</v>
      </c>
      <c r="AS158" s="17">
        <v>0</v>
      </c>
      <c r="AT158" s="119"/>
      <c r="AU158" s="1" t="s">
        <v>102</v>
      </c>
      <c r="AV158" s="17">
        <v>0</v>
      </c>
      <c r="AW158" s="119"/>
      <c r="AX158" s="1" t="s">
        <v>62</v>
      </c>
      <c r="AY158" s="17">
        <v>0</v>
      </c>
      <c r="AZ158" s="119"/>
      <c r="BA158" s="1" t="s">
        <v>38</v>
      </c>
      <c r="BB158" s="17">
        <v>0</v>
      </c>
      <c r="BC158" s="17">
        <v>0</v>
      </c>
      <c r="BD158" s="17">
        <v>1</v>
      </c>
      <c r="BE158" s="17">
        <v>1</v>
      </c>
      <c r="BF158" s="17">
        <v>0</v>
      </c>
      <c r="BG158" s="17">
        <v>0</v>
      </c>
      <c r="BH158" s="149" t="s">
        <v>95</v>
      </c>
      <c r="BI158" s="17">
        <v>0</v>
      </c>
      <c r="BJ158" s="131"/>
      <c r="BK158" s="1" t="s">
        <v>75</v>
      </c>
      <c r="BL158" s="17">
        <v>3</v>
      </c>
      <c r="BM158" s="119"/>
      <c r="BN158" s="1" t="s">
        <v>49</v>
      </c>
      <c r="BO158" s="17">
        <v>0</v>
      </c>
      <c r="BP158" s="119"/>
      <c r="BQ158" s="17" t="s">
        <v>87</v>
      </c>
      <c r="BR158" s="17">
        <v>0</v>
      </c>
      <c r="BS158" s="119"/>
      <c r="BT158" s="1" t="s">
        <v>46</v>
      </c>
      <c r="BU158" s="17">
        <v>2</v>
      </c>
      <c r="BV158" s="119"/>
      <c r="BW158" s="1" t="s">
        <v>51</v>
      </c>
      <c r="BX158" s="17">
        <v>1</v>
      </c>
      <c r="BY158" s="119"/>
      <c r="BZ158" s="1" t="s">
        <v>67</v>
      </c>
      <c r="CA158" s="17">
        <v>0</v>
      </c>
      <c r="CB158" s="119"/>
      <c r="CC158" s="1" t="s">
        <v>49</v>
      </c>
      <c r="CD158" s="17">
        <v>0</v>
      </c>
      <c r="CE158" s="119"/>
      <c r="CF158" s="17" t="s">
        <v>49</v>
      </c>
      <c r="CG158" s="17">
        <v>2</v>
      </c>
      <c r="CH158" s="119"/>
      <c r="CI158" s="1" t="s">
        <v>78</v>
      </c>
      <c r="CJ158" s="33">
        <v>0</v>
      </c>
      <c r="CK158" s="33">
        <v>0</v>
      </c>
      <c r="CL158" s="33">
        <v>0</v>
      </c>
      <c r="CM158" s="33">
        <v>1</v>
      </c>
      <c r="CN158" s="2" t="s">
        <v>192</v>
      </c>
    </row>
    <row r="159" spans="1:92" ht="28" x14ac:dyDescent="0.15">
      <c r="A159" s="51">
        <v>45861.510591122686</v>
      </c>
      <c r="B159" s="3" t="s">
        <v>29</v>
      </c>
      <c r="C159" s="18">
        <v>2</v>
      </c>
      <c r="D159" s="117"/>
      <c r="E159" s="6" t="s">
        <v>55</v>
      </c>
      <c r="F159" s="18">
        <v>0</v>
      </c>
      <c r="G159" s="117"/>
      <c r="H159" s="6" t="s">
        <v>193</v>
      </c>
      <c r="I159" s="18">
        <v>4</v>
      </c>
      <c r="J159" s="117"/>
      <c r="K159" s="43" t="s">
        <v>118</v>
      </c>
      <c r="L159" s="18">
        <v>0</v>
      </c>
      <c r="M159" s="120"/>
      <c r="N159" s="4" t="s">
        <v>145</v>
      </c>
      <c r="O159" s="18">
        <v>1</v>
      </c>
      <c r="P159" s="120"/>
      <c r="Q159" s="4" t="s">
        <v>34</v>
      </c>
      <c r="R159" s="18">
        <v>2</v>
      </c>
      <c r="S159" s="120"/>
      <c r="T159" s="4" t="s">
        <v>35</v>
      </c>
      <c r="U159" s="18">
        <v>1</v>
      </c>
      <c r="V159" s="120"/>
      <c r="W159" s="4" t="s">
        <v>92</v>
      </c>
      <c r="X159" s="18">
        <v>1</v>
      </c>
      <c r="Y159" s="120"/>
      <c r="Z159" s="4" t="s">
        <v>58</v>
      </c>
      <c r="AA159" s="18">
        <v>3</v>
      </c>
      <c r="AB159" s="120"/>
      <c r="AC159" s="4" t="s">
        <v>38</v>
      </c>
      <c r="AD159" s="18">
        <v>2</v>
      </c>
      <c r="AE159" s="120"/>
      <c r="AF159" s="4" t="s">
        <v>83</v>
      </c>
      <c r="AG159" s="18">
        <v>1</v>
      </c>
      <c r="AH159" s="120"/>
      <c r="AI159" s="13" t="s">
        <v>138</v>
      </c>
      <c r="AJ159" s="24">
        <v>3</v>
      </c>
      <c r="AK159" s="126"/>
      <c r="AL159" s="4" t="s">
        <v>41</v>
      </c>
      <c r="AM159" s="18">
        <v>2</v>
      </c>
      <c r="AN159" s="120"/>
      <c r="AO159" s="4" t="s">
        <v>72</v>
      </c>
      <c r="AP159" s="18">
        <v>3</v>
      </c>
      <c r="AQ159" s="120"/>
      <c r="AR159" s="4" t="s">
        <v>61</v>
      </c>
      <c r="AS159" s="18">
        <v>3</v>
      </c>
      <c r="AT159" s="120"/>
      <c r="AU159" s="4" t="s">
        <v>79</v>
      </c>
      <c r="AV159" s="18">
        <v>2</v>
      </c>
      <c r="AW159" s="120"/>
      <c r="AX159" s="4" t="s">
        <v>80</v>
      </c>
      <c r="AY159" s="18">
        <v>3</v>
      </c>
      <c r="AZ159" s="120"/>
      <c r="BA159" s="4" t="s">
        <v>46</v>
      </c>
      <c r="BB159" s="18">
        <v>0</v>
      </c>
      <c r="BC159" s="18">
        <v>1</v>
      </c>
      <c r="BD159" s="18">
        <v>1</v>
      </c>
      <c r="BE159" s="18">
        <v>0</v>
      </c>
      <c r="BF159" s="18">
        <v>0</v>
      </c>
      <c r="BG159" s="18">
        <v>0</v>
      </c>
      <c r="BH159" s="150" t="s">
        <v>105</v>
      </c>
      <c r="BI159" s="18">
        <v>0</v>
      </c>
      <c r="BJ159" s="130"/>
      <c r="BK159" s="4" t="s">
        <v>75</v>
      </c>
      <c r="BL159" s="18">
        <v>1</v>
      </c>
      <c r="BM159" s="120"/>
      <c r="BN159" s="4" t="s">
        <v>59</v>
      </c>
      <c r="BO159" s="18">
        <v>1</v>
      </c>
      <c r="BP159" s="120"/>
      <c r="BQ159" s="18" t="s">
        <v>50</v>
      </c>
      <c r="BR159" s="18">
        <v>3</v>
      </c>
      <c r="BS159" s="120"/>
      <c r="BT159" s="4" t="s">
        <v>38</v>
      </c>
      <c r="BU159" s="18">
        <v>0</v>
      </c>
      <c r="BV159" s="120"/>
      <c r="BW159" s="4" t="s">
        <v>88</v>
      </c>
      <c r="BX159" s="18">
        <v>3</v>
      </c>
      <c r="BY159" s="120"/>
      <c r="BZ159" s="4" t="s">
        <v>52</v>
      </c>
      <c r="CA159" s="18">
        <v>2</v>
      </c>
      <c r="CB159" s="120"/>
      <c r="CC159" s="4" t="s">
        <v>76</v>
      </c>
      <c r="CD159" s="18">
        <v>0</v>
      </c>
      <c r="CE159" s="120"/>
      <c r="CF159" s="18" t="s">
        <v>49</v>
      </c>
      <c r="CG159" s="18">
        <v>2</v>
      </c>
      <c r="CH159" s="120"/>
      <c r="CI159" s="4" t="s">
        <v>78</v>
      </c>
      <c r="CJ159" s="34">
        <v>1</v>
      </c>
      <c r="CK159" s="34">
        <v>1</v>
      </c>
      <c r="CL159" s="34">
        <v>0</v>
      </c>
      <c r="CM159" s="34">
        <v>0</v>
      </c>
      <c r="CN159" s="5" t="s">
        <v>82</v>
      </c>
    </row>
    <row r="160" spans="1:92" ht="28" x14ac:dyDescent="0.15">
      <c r="A160" s="51">
        <v>45861.537095127314</v>
      </c>
      <c r="B160" s="3" t="s">
        <v>29</v>
      </c>
      <c r="C160" s="17">
        <v>3</v>
      </c>
      <c r="D160" s="116"/>
      <c r="E160" s="6" t="s">
        <v>90</v>
      </c>
      <c r="F160" s="17">
        <v>2</v>
      </c>
      <c r="G160" s="116"/>
      <c r="H160" s="6" t="s">
        <v>91</v>
      </c>
      <c r="I160" s="17">
        <v>3</v>
      </c>
      <c r="J160" s="116"/>
      <c r="K160" s="43" t="s">
        <v>56</v>
      </c>
      <c r="L160" s="17">
        <v>2</v>
      </c>
      <c r="M160" s="119"/>
      <c r="N160" s="1" t="s">
        <v>33</v>
      </c>
      <c r="O160" s="18">
        <v>1</v>
      </c>
      <c r="P160" s="117"/>
      <c r="Q160" s="1" t="s">
        <v>34</v>
      </c>
      <c r="R160" s="17">
        <v>2</v>
      </c>
      <c r="S160" s="119"/>
      <c r="T160" s="1" t="s">
        <v>35</v>
      </c>
      <c r="U160" s="17">
        <v>2</v>
      </c>
      <c r="V160" s="119"/>
      <c r="W160" s="1" t="s">
        <v>36</v>
      </c>
      <c r="X160" s="17">
        <v>2</v>
      </c>
      <c r="Y160" s="119"/>
      <c r="Z160" s="1" t="s">
        <v>37</v>
      </c>
      <c r="AA160" s="17">
        <v>3</v>
      </c>
      <c r="AB160" s="119"/>
      <c r="AC160" s="1" t="s">
        <v>38</v>
      </c>
      <c r="AD160" s="17">
        <v>4</v>
      </c>
      <c r="AE160" s="119"/>
      <c r="AF160" s="1" t="s">
        <v>93</v>
      </c>
      <c r="AG160" s="17">
        <v>3</v>
      </c>
      <c r="AH160" s="119"/>
      <c r="AI160" s="11" t="s">
        <v>94</v>
      </c>
      <c r="AJ160" s="25">
        <v>3</v>
      </c>
      <c r="AK160" s="127"/>
      <c r="AL160" s="1" t="s">
        <v>41</v>
      </c>
      <c r="AM160" s="17">
        <v>3</v>
      </c>
      <c r="AN160" s="119"/>
      <c r="AO160" s="1" t="s">
        <v>42</v>
      </c>
      <c r="AP160" s="17">
        <v>2</v>
      </c>
      <c r="AQ160" s="119"/>
      <c r="AR160" s="1" t="s">
        <v>104</v>
      </c>
      <c r="AS160" s="17">
        <v>3</v>
      </c>
      <c r="AT160" s="119"/>
      <c r="AU160" s="1" t="s">
        <v>79</v>
      </c>
      <c r="AV160" s="17">
        <v>2</v>
      </c>
      <c r="AW160" s="119"/>
      <c r="AX160" s="1" t="s">
        <v>80</v>
      </c>
      <c r="AY160" s="17">
        <v>3</v>
      </c>
      <c r="AZ160" s="119"/>
      <c r="BA160" s="1" t="s">
        <v>46</v>
      </c>
      <c r="BB160" s="17">
        <v>0</v>
      </c>
      <c r="BC160" s="17">
        <v>1</v>
      </c>
      <c r="BD160" s="17">
        <v>1</v>
      </c>
      <c r="BE160" s="17">
        <v>0</v>
      </c>
      <c r="BF160" s="17">
        <v>0</v>
      </c>
      <c r="BG160" s="17">
        <v>0</v>
      </c>
      <c r="BH160" s="149" t="s">
        <v>105</v>
      </c>
      <c r="BI160" s="17">
        <v>0</v>
      </c>
      <c r="BJ160" s="131"/>
      <c r="BK160" s="1" t="s">
        <v>75</v>
      </c>
      <c r="BL160" s="17">
        <v>3</v>
      </c>
      <c r="BM160" s="119"/>
      <c r="BN160" s="1" t="s">
        <v>49</v>
      </c>
      <c r="BO160" s="17">
        <v>1</v>
      </c>
      <c r="BP160" s="119"/>
      <c r="BQ160" s="17" t="s">
        <v>50</v>
      </c>
      <c r="BR160" s="17">
        <v>2</v>
      </c>
      <c r="BS160" s="119"/>
      <c r="BT160" s="1" t="s">
        <v>65</v>
      </c>
      <c r="BU160" s="17">
        <v>0</v>
      </c>
      <c r="BV160" s="119"/>
      <c r="BW160" s="1" t="s">
        <v>88</v>
      </c>
      <c r="BX160" s="17">
        <v>2</v>
      </c>
      <c r="BY160" s="119"/>
      <c r="BZ160" s="1" t="s">
        <v>97</v>
      </c>
      <c r="CA160" s="17">
        <v>3</v>
      </c>
      <c r="CB160" s="119"/>
      <c r="CC160" s="1" t="s">
        <v>36</v>
      </c>
      <c r="CD160" s="17">
        <v>0</v>
      </c>
      <c r="CE160" s="119"/>
      <c r="CF160" s="17" t="s">
        <v>49</v>
      </c>
      <c r="CG160" s="17">
        <v>3</v>
      </c>
      <c r="CH160" s="119"/>
      <c r="CI160" s="1" t="s">
        <v>53</v>
      </c>
      <c r="CJ160" s="33">
        <v>1</v>
      </c>
      <c r="CK160" s="33"/>
      <c r="CL160" s="33">
        <v>1</v>
      </c>
      <c r="CM160" s="33">
        <v>0</v>
      </c>
      <c r="CN160" s="2" t="s">
        <v>54</v>
      </c>
    </row>
    <row r="161" spans="1:92" ht="28" x14ac:dyDescent="0.15">
      <c r="A161" s="51">
        <v>45861.538599236112</v>
      </c>
      <c r="B161" s="3" t="s">
        <v>29</v>
      </c>
      <c r="C161" s="18">
        <v>3</v>
      </c>
      <c r="D161" s="117"/>
      <c r="E161" s="6" t="s">
        <v>90</v>
      </c>
      <c r="F161" s="18">
        <v>2</v>
      </c>
      <c r="G161" s="117"/>
      <c r="H161" s="6" t="s">
        <v>91</v>
      </c>
      <c r="I161" s="18">
        <v>1</v>
      </c>
      <c r="J161" s="117"/>
      <c r="K161" s="43" t="s">
        <v>32</v>
      </c>
      <c r="L161" s="18">
        <v>2</v>
      </c>
      <c r="M161" s="120"/>
      <c r="N161" s="4" t="s">
        <v>33</v>
      </c>
      <c r="O161" s="18">
        <v>1</v>
      </c>
      <c r="P161" s="120"/>
      <c r="Q161" s="4" t="s">
        <v>34</v>
      </c>
      <c r="R161" s="18">
        <v>1</v>
      </c>
      <c r="S161" s="120"/>
      <c r="T161" s="4" t="s">
        <v>57</v>
      </c>
      <c r="U161" s="18">
        <v>2</v>
      </c>
      <c r="V161" s="120"/>
      <c r="W161" s="4" t="s">
        <v>36</v>
      </c>
      <c r="X161" s="18">
        <v>1</v>
      </c>
      <c r="Y161" s="120"/>
      <c r="Z161" s="4" t="s">
        <v>58</v>
      </c>
      <c r="AA161" s="18">
        <v>2</v>
      </c>
      <c r="AB161" s="120"/>
      <c r="AC161" s="4" t="s">
        <v>59</v>
      </c>
      <c r="AD161" s="18">
        <v>1</v>
      </c>
      <c r="AE161" s="120"/>
      <c r="AF161" s="4" t="s">
        <v>39</v>
      </c>
      <c r="AG161" s="18">
        <v>3</v>
      </c>
      <c r="AH161" s="120"/>
      <c r="AI161" s="13" t="s">
        <v>94</v>
      </c>
      <c r="AJ161" s="24">
        <v>2</v>
      </c>
      <c r="AK161" s="126"/>
      <c r="AL161" s="4" t="s">
        <v>71</v>
      </c>
      <c r="AM161" s="18">
        <v>1</v>
      </c>
      <c r="AN161" s="120"/>
      <c r="AO161" s="4" t="s">
        <v>130</v>
      </c>
      <c r="AP161" s="18">
        <v>3</v>
      </c>
      <c r="AQ161" s="120"/>
      <c r="AR161" s="4" t="s">
        <v>61</v>
      </c>
      <c r="AS161" s="18">
        <v>2</v>
      </c>
      <c r="AT161" s="120"/>
      <c r="AU161" s="4" t="s">
        <v>44</v>
      </c>
      <c r="AV161" s="18">
        <v>0</v>
      </c>
      <c r="AW161" s="120"/>
      <c r="AX161" s="4" t="s">
        <v>62</v>
      </c>
      <c r="AY161" s="18">
        <v>1</v>
      </c>
      <c r="AZ161" s="120"/>
      <c r="BA161" s="4" t="s">
        <v>69</v>
      </c>
      <c r="BB161" s="18">
        <v>1</v>
      </c>
      <c r="BC161" s="18">
        <v>0</v>
      </c>
      <c r="BD161" s="18">
        <v>1</v>
      </c>
      <c r="BE161" s="18">
        <v>0</v>
      </c>
      <c r="BF161" s="18">
        <v>0</v>
      </c>
      <c r="BG161" s="18">
        <v>0</v>
      </c>
      <c r="BH161" s="150" t="s">
        <v>47</v>
      </c>
      <c r="BI161" s="18">
        <v>0</v>
      </c>
      <c r="BJ161" s="130"/>
      <c r="BK161" s="4" t="s">
        <v>75</v>
      </c>
      <c r="BL161" s="18">
        <v>2</v>
      </c>
      <c r="BM161" s="120"/>
      <c r="BN161" s="4" t="s">
        <v>64</v>
      </c>
      <c r="BO161" s="18">
        <v>1</v>
      </c>
      <c r="BP161" s="120"/>
      <c r="BQ161" s="18" t="s">
        <v>50</v>
      </c>
      <c r="BR161" s="18">
        <v>1</v>
      </c>
      <c r="BS161" s="120"/>
      <c r="BT161" s="4" t="s">
        <v>69</v>
      </c>
      <c r="BU161" s="18">
        <v>3</v>
      </c>
      <c r="BV161" s="120"/>
      <c r="BW161" s="4" t="s">
        <v>147</v>
      </c>
      <c r="BX161" s="18">
        <v>3</v>
      </c>
      <c r="BY161" s="120"/>
      <c r="BZ161" s="4" t="s">
        <v>52</v>
      </c>
      <c r="CA161" s="18">
        <v>2</v>
      </c>
      <c r="CB161" s="120"/>
      <c r="CC161" s="4" t="s">
        <v>76</v>
      </c>
      <c r="CD161" s="18">
        <v>0</v>
      </c>
      <c r="CE161" s="120"/>
      <c r="CF161" s="18" t="s">
        <v>49</v>
      </c>
      <c r="CG161" s="18">
        <v>2</v>
      </c>
      <c r="CH161" s="120"/>
      <c r="CI161" s="4" t="s">
        <v>78</v>
      </c>
      <c r="CJ161" s="34">
        <v>1</v>
      </c>
      <c r="CK161" s="34">
        <v>1</v>
      </c>
      <c r="CL161" s="34">
        <v>0</v>
      </c>
      <c r="CM161" s="34">
        <v>0</v>
      </c>
      <c r="CN161" s="5" t="s">
        <v>82</v>
      </c>
    </row>
    <row r="162" spans="1:92" ht="293" x14ac:dyDescent="0.15">
      <c r="A162" s="51">
        <v>45861.539735706014</v>
      </c>
      <c r="B162" s="3" t="s">
        <v>29</v>
      </c>
      <c r="C162" s="17">
        <v>2</v>
      </c>
      <c r="D162" s="116"/>
      <c r="E162" s="6" t="s">
        <v>55</v>
      </c>
      <c r="F162" s="17">
        <v>2</v>
      </c>
      <c r="G162" s="116"/>
      <c r="H162" s="6" t="s">
        <v>91</v>
      </c>
      <c r="I162" s="17">
        <v>3</v>
      </c>
      <c r="J162" s="116"/>
      <c r="K162" s="43" t="s">
        <v>56</v>
      </c>
      <c r="L162" s="17">
        <v>0</v>
      </c>
      <c r="M162" s="119"/>
      <c r="N162" s="1" t="s">
        <v>145</v>
      </c>
      <c r="O162" s="18">
        <v>1</v>
      </c>
      <c r="P162" s="117"/>
      <c r="Q162" s="1" t="s">
        <v>34</v>
      </c>
      <c r="R162" s="17">
        <v>2</v>
      </c>
      <c r="S162" s="119"/>
      <c r="T162" s="1" t="s">
        <v>35</v>
      </c>
      <c r="U162" s="17">
        <v>2</v>
      </c>
      <c r="V162" s="119"/>
      <c r="W162" s="1" t="s">
        <v>36</v>
      </c>
      <c r="X162" s="17">
        <v>1</v>
      </c>
      <c r="Y162" s="119"/>
      <c r="Z162" s="1" t="s">
        <v>58</v>
      </c>
      <c r="AA162" s="17">
        <v>3</v>
      </c>
      <c r="AB162" s="119"/>
      <c r="AC162" s="1" t="s">
        <v>38</v>
      </c>
      <c r="AD162" s="17">
        <v>4</v>
      </c>
      <c r="AE162" s="119"/>
      <c r="AF162" s="1" t="s">
        <v>93</v>
      </c>
      <c r="AG162" s="17">
        <v>3</v>
      </c>
      <c r="AH162" s="119"/>
      <c r="AI162" s="11" t="s">
        <v>94</v>
      </c>
      <c r="AJ162" s="25">
        <v>3</v>
      </c>
      <c r="AK162" s="127"/>
      <c r="AL162" s="1" t="s">
        <v>41</v>
      </c>
      <c r="AM162" s="17">
        <v>3</v>
      </c>
      <c r="AN162" s="119"/>
      <c r="AO162" s="1" t="s">
        <v>42</v>
      </c>
      <c r="AP162" s="17">
        <v>4</v>
      </c>
      <c r="AQ162" s="119"/>
      <c r="AR162" s="1" t="s">
        <v>43</v>
      </c>
      <c r="AS162" s="17">
        <v>2</v>
      </c>
      <c r="AT162" s="119"/>
      <c r="AU162" s="1" t="s">
        <v>44</v>
      </c>
      <c r="AV162" s="17">
        <v>1</v>
      </c>
      <c r="AW162" s="119"/>
      <c r="AX162" s="14" t="s">
        <v>194</v>
      </c>
      <c r="AY162" s="17">
        <v>2</v>
      </c>
      <c r="AZ162" s="131"/>
      <c r="BA162" s="1" t="s">
        <v>59</v>
      </c>
      <c r="BB162" s="17">
        <v>1</v>
      </c>
      <c r="BC162" s="17">
        <v>0</v>
      </c>
      <c r="BD162" s="17">
        <v>1</v>
      </c>
      <c r="BE162" s="17">
        <v>0</v>
      </c>
      <c r="BF162" s="17">
        <v>0</v>
      </c>
      <c r="BG162" s="17">
        <v>0</v>
      </c>
      <c r="BH162" s="149" t="s">
        <v>47</v>
      </c>
      <c r="BI162" s="17">
        <v>2</v>
      </c>
      <c r="BJ162" s="131"/>
      <c r="BK162" s="1" t="s">
        <v>48</v>
      </c>
      <c r="BL162" s="17">
        <v>2</v>
      </c>
      <c r="BM162" s="119"/>
      <c r="BN162" s="1" t="s">
        <v>64</v>
      </c>
      <c r="BO162" s="17">
        <v>2</v>
      </c>
      <c r="BP162" s="119"/>
      <c r="BQ162" s="17" t="s">
        <v>117</v>
      </c>
      <c r="BR162" s="17">
        <v>3</v>
      </c>
      <c r="BS162" s="119"/>
      <c r="BT162" s="1" t="s">
        <v>38</v>
      </c>
      <c r="BU162" s="17">
        <v>2</v>
      </c>
      <c r="BV162" s="119"/>
      <c r="BW162" s="1" t="s">
        <v>51</v>
      </c>
      <c r="BX162" s="17">
        <v>2</v>
      </c>
      <c r="BY162" s="119"/>
      <c r="BZ162" s="1" t="s">
        <v>97</v>
      </c>
      <c r="CA162" s="17">
        <v>2</v>
      </c>
      <c r="CB162" s="119"/>
      <c r="CC162" s="1" t="s">
        <v>76</v>
      </c>
      <c r="CD162" s="17">
        <v>2</v>
      </c>
      <c r="CE162" s="119"/>
      <c r="CF162" s="17" t="s">
        <v>36</v>
      </c>
      <c r="CG162" s="17">
        <v>2</v>
      </c>
      <c r="CH162" s="119"/>
      <c r="CI162" s="1" t="s">
        <v>78</v>
      </c>
      <c r="CJ162" s="33">
        <v>0</v>
      </c>
      <c r="CK162" s="33">
        <v>1</v>
      </c>
      <c r="CL162" s="33">
        <v>0</v>
      </c>
      <c r="CM162" s="33">
        <v>0</v>
      </c>
      <c r="CN162" s="47" t="s">
        <v>195</v>
      </c>
    </row>
    <row r="163" spans="1:92" ht="28" x14ac:dyDescent="0.15">
      <c r="A163" s="51">
        <v>45861.555847986107</v>
      </c>
      <c r="B163" s="3" t="s">
        <v>29</v>
      </c>
      <c r="C163" s="18">
        <v>3</v>
      </c>
      <c r="D163" s="117"/>
      <c r="E163" s="6" t="s">
        <v>90</v>
      </c>
      <c r="F163" s="18">
        <v>1</v>
      </c>
      <c r="G163" s="117"/>
      <c r="H163" s="6" t="s">
        <v>31</v>
      </c>
      <c r="I163" s="18">
        <v>3</v>
      </c>
      <c r="J163" s="117"/>
      <c r="K163" s="43" t="s">
        <v>56</v>
      </c>
      <c r="L163" s="18">
        <v>2</v>
      </c>
      <c r="M163" s="120"/>
      <c r="N163" s="4" t="s">
        <v>33</v>
      </c>
      <c r="O163" s="18">
        <v>1</v>
      </c>
      <c r="P163" s="120"/>
      <c r="Q163" s="4" t="s">
        <v>34</v>
      </c>
      <c r="R163" s="18">
        <v>1</v>
      </c>
      <c r="S163" s="120"/>
      <c r="T163" s="4" t="s">
        <v>57</v>
      </c>
      <c r="U163" s="18">
        <v>1</v>
      </c>
      <c r="V163" s="120"/>
      <c r="W163" s="4" t="s">
        <v>92</v>
      </c>
      <c r="X163" s="18">
        <v>1</v>
      </c>
      <c r="Y163" s="120"/>
      <c r="Z163" s="4" t="s">
        <v>58</v>
      </c>
      <c r="AA163" s="18">
        <v>2</v>
      </c>
      <c r="AB163" s="120"/>
      <c r="AC163" s="4" t="s">
        <v>59</v>
      </c>
      <c r="AD163" s="18">
        <v>2</v>
      </c>
      <c r="AE163" s="120"/>
      <c r="AF163" s="4" t="s">
        <v>83</v>
      </c>
      <c r="AG163" s="18">
        <v>3</v>
      </c>
      <c r="AH163" s="120"/>
      <c r="AI163" s="13" t="s">
        <v>94</v>
      </c>
      <c r="AJ163" s="24">
        <v>0</v>
      </c>
      <c r="AK163" s="126"/>
      <c r="AL163" s="4" t="s">
        <v>85</v>
      </c>
      <c r="AM163" s="18">
        <v>2</v>
      </c>
      <c r="AN163" s="120"/>
      <c r="AO163" s="4" t="s">
        <v>72</v>
      </c>
      <c r="AP163" s="18">
        <v>2</v>
      </c>
      <c r="AQ163" s="120"/>
      <c r="AR163" s="4" t="s">
        <v>104</v>
      </c>
      <c r="AS163" s="18">
        <v>0</v>
      </c>
      <c r="AT163" s="120"/>
      <c r="AU163" s="4" t="s">
        <v>102</v>
      </c>
      <c r="AV163" s="18">
        <v>2</v>
      </c>
      <c r="AW163" s="120"/>
      <c r="AX163" s="4" t="s">
        <v>80</v>
      </c>
      <c r="AY163" s="18">
        <v>1</v>
      </c>
      <c r="AZ163" s="120"/>
      <c r="BA163" s="4" t="s">
        <v>69</v>
      </c>
      <c r="BB163" s="18">
        <v>0</v>
      </c>
      <c r="BC163" s="18">
        <v>1</v>
      </c>
      <c r="BD163" s="18">
        <v>1</v>
      </c>
      <c r="BE163" s="18">
        <v>0</v>
      </c>
      <c r="BF163" s="18">
        <v>0</v>
      </c>
      <c r="BG163" s="18">
        <v>0</v>
      </c>
      <c r="BH163" s="150" t="s">
        <v>105</v>
      </c>
      <c r="BI163" s="18">
        <v>2</v>
      </c>
      <c r="BJ163" s="130"/>
      <c r="BK163" s="4" t="s">
        <v>48</v>
      </c>
      <c r="BL163" s="18">
        <v>1</v>
      </c>
      <c r="BM163" s="120"/>
      <c r="BN163" s="4" t="s">
        <v>59</v>
      </c>
      <c r="BO163" s="18">
        <v>1</v>
      </c>
      <c r="BP163" s="120"/>
      <c r="BQ163" s="18" t="s">
        <v>50</v>
      </c>
      <c r="BR163" s="18">
        <v>2</v>
      </c>
      <c r="BS163" s="120"/>
      <c r="BT163" s="4" t="s">
        <v>65</v>
      </c>
      <c r="BU163" s="18">
        <v>2</v>
      </c>
      <c r="BV163" s="120"/>
      <c r="BW163" s="4" t="s">
        <v>51</v>
      </c>
      <c r="BX163" s="18">
        <v>3</v>
      </c>
      <c r="BY163" s="120"/>
      <c r="BZ163" s="4" t="s">
        <v>52</v>
      </c>
      <c r="CA163" s="18">
        <v>3</v>
      </c>
      <c r="CB163" s="120"/>
      <c r="CC163" s="4" t="s">
        <v>36</v>
      </c>
      <c r="CD163" s="18">
        <v>1</v>
      </c>
      <c r="CE163" s="120"/>
      <c r="CF163" s="18" t="s">
        <v>77</v>
      </c>
      <c r="CG163" s="18">
        <v>3</v>
      </c>
      <c r="CH163" s="120"/>
      <c r="CI163" s="4" t="s">
        <v>53</v>
      </c>
      <c r="CJ163" s="34">
        <v>1</v>
      </c>
      <c r="CK163" s="34">
        <v>1</v>
      </c>
      <c r="CL163" s="34">
        <v>0</v>
      </c>
      <c r="CM163" s="34">
        <v>0</v>
      </c>
      <c r="CN163" s="5" t="s">
        <v>82</v>
      </c>
    </row>
    <row r="164" spans="1:92" ht="28" x14ac:dyDescent="0.15">
      <c r="A164" s="51">
        <v>45861.561728900459</v>
      </c>
      <c r="B164" s="3" t="s">
        <v>29</v>
      </c>
      <c r="C164" s="17">
        <v>2</v>
      </c>
      <c r="D164" s="116"/>
      <c r="E164" s="6" t="s">
        <v>55</v>
      </c>
      <c r="F164" s="17">
        <v>1</v>
      </c>
      <c r="G164" s="116"/>
      <c r="H164" s="6" t="s">
        <v>31</v>
      </c>
      <c r="I164" s="17">
        <v>2</v>
      </c>
      <c r="J164" s="116"/>
      <c r="K164" s="43" t="s">
        <v>116</v>
      </c>
      <c r="L164" s="17">
        <v>2</v>
      </c>
      <c r="M164" s="119"/>
      <c r="N164" s="1" t="s">
        <v>33</v>
      </c>
      <c r="O164" s="18">
        <v>1</v>
      </c>
      <c r="P164" s="117"/>
      <c r="Q164" s="1" t="s">
        <v>34</v>
      </c>
      <c r="R164" s="17">
        <v>1</v>
      </c>
      <c r="S164" s="119"/>
      <c r="T164" s="1" t="s">
        <v>57</v>
      </c>
      <c r="U164" s="17">
        <v>1</v>
      </c>
      <c r="V164" s="119"/>
      <c r="W164" s="1" t="s">
        <v>92</v>
      </c>
      <c r="X164" s="17">
        <v>1</v>
      </c>
      <c r="Y164" s="119"/>
      <c r="Z164" s="1" t="s">
        <v>58</v>
      </c>
      <c r="AA164" s="17">
        <v>1</v>
      </c>
      <c r="AB164" s="119"/>
      <c r="AC164" s="1" t="s">
        <v>69</v>
      </c>
      <c r="AD164" s="17">
        <v>2</v>
      </c>
      <c r="AE164" s="119"/>
      <c r="AF164" s="1" t="s">
        <v>83</v>
      </c>
      <c r="AG164" s="17">
        <v>2</v>
      </c>
      <c r="AH164" s="119"/>
      <c r="AI164" s="11" t="s">
        <v>40</v>
      </c>
      <c r="AJ164" s="25">
        <v>2</v>
      </c>
      <c r="AK164" s="127"/>
      <c r="AL164" s="1" t="s">
        <v>71</v>
      </c>
      <c r="AM164" s="17">
        <v>2</v>
      </c>
      <c r="AN164" s="119"/>
      <c r="AO164" s="1" t="s">
        <v>72</v>
      </c>
      <c r="AP164" s="17">
        <v>3</v>
      </c>
      <c r="AQ164" s="119"/>
      <c r="AR164" s="1" t="s">
        <v>61</v>
      </c>
      <c r="AS164" s="17">
        <v>2</v>
      </c>
      <c r="AT164" s="119"/>
      <c r="AU164" s="1" t="s">
        <v>44</v>
      </c>
      <c r="AV164" s="17">
        <v>2</v>
      </c>
      <c r="AW164" s="119"/>
      <c r="AX164" s="1" t="s">
        <v>80</v>
      </c>
      <c r="AY164" s="17">
        <v>2</v>
      </c>
      <c r="AZ164" s="119"/>
      <c r="BA164" s="1" t="s">
        <v>59</v>
      </c>
      <c r="BB164" s="17">
        <v>1</v>
      </c>
      <c r="BC164" s="17">
        <v>0</v>
      </c>
      <c r="BD164" s="17">
        <v>1</v>
      </c>
      <c r="BE164" s="17">
        <v>0</v>
      </c>
      <c r="BF164" s="17">
        <v>0</v>
      </c>
      <c r="BG164" s="17">
        <v>0</v>
      </c>
      <c r="BH164" s="149" t="s">
        <v>47</v>
      </c>
      <c r="BI164" s="17">
        <v>0</v>
      </c>
      <c r="BJ164" s="131"/>
      <c r="BK164" s="1" t="s">
        <v>75</v>
      </c>
      <c r="BL164" s="17">
        <v>3</v>
      </c>
      <c r="BM164" s="119"/>
      <c r="BN164" s="1" t="s">
        <v>49</v>
      </c>
      <c r="BO164" s="17">
        <v>1</v>
      </c>
      <c r="BP164" s="119"/>
      <c r="BQ164" s="17" t="s">
        <v>50</v>
      </c>
      <c r="BR164" s="17">
        <v>0</v>
      </c>
      <c r="BS164" s="119"/>
      <c r="BT164" s="1" t="s">
        <v>46</v>
      </c>
      <c r="BU164" s="17">
        <v>2</v>
      </c>
      <c r="BV164" s="119"/>
      <c r="BW164" s="1" t="s">
        <v>51</v>
      </c>
      <c r="BX164" s="17">
        <v>2</v>
      </c>
      <c r="BY164" s="119"/>
      <c r="BZ164" s="1" t="s">
        <v>97</v>
      </c>
      <c r="CA164" s="17">
        <v>3</v>
      </c>
      <c r="CB164" s="119"/>
      <c r="CC164" s="1" t="s">
        <v>36</v>
      </c>
      <c r="CD164" s="17">
        <v>1</v>
      </c>
      <c r="CE164" s="119"/>
      <c r="CF164" s="17" t="s">
        <v>77</v>
      </c>
      <c r="CG164" s="17">
        <v>2</v>
      </c>
      <c r="CH164" s="119"/>
      <c r="CI164" s="1" t="s">
        <v>78</v>
      </c>
      <c r="CJ164" s="33">
        <v>1</v>
      </c>
      <c r="CK164" s="33">
        <v>1</v>
      </c>
      <c r="CL164" s="33">
        <v>0</v>
      </c>
      <c r="CM164" s="33">
        <v>0</v>
      </c>
      <c r="CN164" s="2" t="s">
        <v>82</v>
      </c>
    </row>
    <row r="165" spans="1:92" ht="28" x14ac:dyDescent="0.15">
      <c r="A165" s="51">
        <v>45861.569389456017</v>
      </c>
      <c r="B165" s="3" t="s">
        <v>29</v>
      </c>
      <c r="C165" s="18">
        <v>2</v>
      </c>
      <c r="D165" s="117"/>
      <c r="E165" s="6" t="s">
        <v>55</v>
      </c>
      <c r="F165" s="18">
        <v>2</v>
      </c>
      <c r="G165" s="117"/>
      <c r="H165" s="6" t="s">
        <v>91</v>
      </c>
      <c r="I165" s="18">
        <v>3</v>
      </c>
      <c r="J165" s="117"/>
      <c r="K165" s="43" t="s">
        <v>56</v>
      </c>
      <c r="L165" s="18">
        <v>2</v>
      </c>
      <c r="M165" s="120"/>
      <c r="N165" s="4" t="s">
        <v>33</v>
      </c>
      <c r="O165" s="18">
        <v>1</v>
      </c>
      <c r="P165" s="120"/>
      <c r="Q165" s="4" t="s">
        <v>34</v>
      </c>
      <c r="R165" s="18">
        <v>1</v>
      </c>
      <c r="S165" s="120"/>
      <c r="T165" s="4" t="s">
        <v>57</v>
      </c>
      <c r="U165" s="18">
        <v>0</v>
      </c>
      <c r="V165" s="120"/>
      <c r="W165" s="4" t="s">
        <v>49</v>
      </c>
      <c r="X165" s="18">
        <v>1</v>
      </c>
      <c r="Y165" s="120"/>
      <c r="Z165" s="4" t="s">
        <v>58</v>
      </c>
      <c r="AA165" s="18">
        <v>2</v>
      </c>
      <c r="AB165" s="120"/>
      <c r="AC165" s="4" t="s">
        <v>59</v>
      </c>
      <c r="AD165" s="18">
        <v>4</v>
      </c>
      <c r="AE165" s="120"/>
      <c r="AF165" s="4" t="s">
        <v>93</v>
      </c>
      <c r="AG165" s="18">
        <v>2</v>
      </c>
      <c r="AH165" s="120"/>
      <c r="AI165" s="13" t="s">
        <v>40</v>
      </c>
      <c r="AJ165" s="24">
        <v>3</v>
      </c>
      <c r="AK165" s="126"/>
      <c r="AL165" s="4" t="s">
        <v>41</v>
      </c>
      <c r="AM165" s="18">
        <v>1</v>
      </c>
      <c r="AN165" s="120"/>
      <c r="AO165" s="4" t="s">
        <v>130</v>
      </c>
      <c r="AP165" s="18">
        <v>3</v>
      </c>
      <c r="AQ165" s="120"/>
      <c r="AR165" s="4" t="s">
        <v>61</v>
      </c>
      <c r="AS165" s="18">
        <v>2</v>
      </c>
      <c r="AT165" s="120"/>
      <c r="AU165" s="4" t="s">
        <v>44</v>
      </c>
      <c r="AV165" s="18">
        <v>0</v>
      </c>
      <c r="AW165" s="120"/>
      <c r="AX165" s="4" t="s">
        <v>62</v>
      </c>
      <c r="AY165" s="18">
        <v>2</v>
      </c>
      <c r="AZ165" s="120"/>
      <c r="BA165" s="4" t="s">
        <v>59</v>
      </c>
      <c r="BB165" s="18">
        <v>1</v>
      </c>
      <c r="BC165" s="18">
        <v>0</v>
      </c>
      <c r="BD165" s="18">
        <v>0</v>
      </c>
      <c r="BE165" s="18">
        <v>1</v>
      </c>
      <c r="BF165" s="18">
        <v>0</v>
      </c>
      <c r="BG165" s="18">
        <v>0</v>
      </c>
      <c r="BH165" s="150" t="s">
        <v>74</v>
      </c>
      <c r="BI165" s="18">
        <v>1</v>
      </c>
      <c r="BJ165" s="130"/>
      <c r="BK165" s="4" t="s">
        <v>96</v>
      </c>
      <c r="BL165" s="18">
        <v>1</v>
      </c>
      <c r="BM165" s="120"/>
      <c r="BN165" s="4" t="s">
        <v>59</v>
      </c>
      <c r="BO165" s="18">
        <v>0</v>
      </c>
      <c r="BP165" s="120"/>
      <c r="BQ165" s="18" t="s">
        <v>87</v>
      </c>
      <c r="BR165" s="18">
        <v>1</v>
      </c>
      <c r="BS165" s="120"/>
      <c r="BT165" s="4" t="s">
        <v>69</v>
      </c>
      <c r="BU165" s="18">
        <v>2</v>
      </c>
      <c r="BV165" s="120"/>
      <c r="BW165" s="4" t="s">
        <v>51</v>
      </c>
      <c r="BX165" s="18">
        <v>2</v>
      </c>
      <c r="BY165" s="120"/>
      <c r="BZ165" s="4" t="s">
        <v>97</v>
      </c>
      <c r="CA165" s="18">
        <v>2</v>
      </c>
      <c r="CB165" s="120"/>
      <c r="CC165" s="4" t="s">
        <v>76</v>
      </c>
      <c r="CD165" s="18">
        <v>0</v>
      </c>
      <c r="CE165" s="120"/>
      <c r="CF165" s="18" t="s">
        <v>49</v>
      </c>
      <c r="CG165" s="18">
        <v>2</v>
      </c>
      <c r="CH165" s="120"/>
      <c r="CI165" s="4" t="s">
        <v>78</v>
      </c>
      <c r="CJ165" s="34">
        <v>0</v>
      </c>
      <c r="CK165" s="34">
        <v>0</v>
      </c>
      <c r="CL165" s="34">
        <v>0</v>
      </c>
      <c r="CM165" s="34">
        <v>1</v>
      </c>
      <c r="CN165" s="5" t="s">
        <v>196</v>
      </c>
    </row>
    <row r="166" spans="1:92" ht="28" x14ac:dyDescent="0.15">
      <c r="A166" s="51">
        <v>45861.576685196764</v>
      </c>
      <c r="B166" s="3" t="s">
        <v>29</v>
      </c>
      <c r="C166" s="17">
        <v>2</v>
      </c>
      <c r="D166" s="116"/>
      <c r="E166" s="6" t="s">
        <v>55</v>
      </c>
      <c r="F166" s="17">
        <v>1</v>
      </c>
      <c r="G166" s="116"/>
      <c r="H166" s="6" t="s">
        <v>31</v>
      </c>
      <c r="I166" s="17">
        <v>3</v>
      </c>
      <c r="J166" s="116"/>
      <c r="K166" s="43" t="s">
        <v>56</v>
      </c>
      <c r="L166" s="17">
        <v>2</v>
      </c>
      <c r="M166" s="119"/>
      <c r="N166" s="1" t="s">
        <v>33</v>
      </c>
      <c r="O166" s="18">
        <v>1</v>
      </c>
      <c r="P166" s="117"/>
      <c r="Q166" s="1" t="s">
        <v>34</v>
      </c>
      <c r="R166" s="17">
        <v>2</v>
      </c>
      <c r="S166" s="119"/>
      <c r="T166" s="1" t="s">
        <v>35</v>
      </c>
      <c r="U166" s="17">
        <v>1</v>
      </c>
      <c r="V166" s="119"/>
      <c r="W166" s="1" t="s">
        <v>92</v>
      </c>
      <c r="X166" s="17">
        <v>1</v>
      </c>
      <c r="Y166" s="119"/>
      <c r="Z166" s="1" t="s">
        <v>58</v>
      </c>
      <c r="AA166" s="17">
        <v>1</v>
      </c>
      <c r="AB166" s="119"/>
      <c r="AC166" s="1" t="s">
        <v>69</v>
      </c>
      <c r="AD166" s="17">
        <v>3</v>
      </c>
      <c r="AE166" s="119"/>
      <c r="AF166" s="1" t="s">
        <v>60</v>
      </c>
      <c r="AG166" s="17">
        <v>3</v>
      </c>
      <c r="AH166" s="119"/>
      <c r="AI166" s="11" t="s">
        <v>94</v>
      </c>
      <c r="AJ166" s="25">
        <v>2</v>
      </c>
      <c r="AK166" s="127"/>
      <c r="AL166" s="1" t="s">
        <v>71</v>
      </c>
      <c r="AM166" s="17">
        <v>1</v>
      </c>
      <c r="AN166" s="119"/>
      <c r="AO166" s="1" t="s">
        <v>130</v>
      </c>
      <c r="AP166" s="17">
        <v>4</v>
      </c>
      <c r="AQ166" s="119"/>
      <c r="AR166" s="1" t="s">
        <v>43</v>
      </c>
      <c r="AS166" s="17">
        <v>2</v>
      </c>
      <c r="AT166" s="119"/>
      <c r="AU166" s="1" t="s">
        <v>44</v>
      </c>
      <c r="AV166" s="17">
        <v>0</v>
      </c>
      <c r="AW166" s="119"/>
      <c r="AX166" s="1" t="s">
        <v>62</v>
      </c>
      <c r="AY166" s="17">
        <v>2</v>
      </c>
      <c r="AZ166" s="119"/>
      <c r="BA166" s="1" t="s">
        <v>59</v>
      </c>
      <c r="BB166" s="17">
        <v>1</v>
      </c>
      <c r="BC166" s="17">
        <v>0</v>
      </c>
      <c r="BD166" s="17">
        <v>0</v>
      </c>
      <c r="BE166" s="17">
        <v>1</v>
      </c>
      <c r="BF166" s="17">
        <v>0</v>
      </c>
      <c r="BG166" s="17">
        <v>0</v>
      </c>
      <c r="BH166" s="149" t="s">
        <v>74</v>
      </c>
      <c r="BI166" s="17">
        <v>0</v>
      </c>
      <c r="BJ166" s="131"/>
      <c r="BK166" s="1" t="s">
        <v>75</v>
      </c>
      <c r="BL166" s="17">
        <v>0</v>
      </c>
      <c r="BM166" s="119"/>
      <c r="BN166" s="1" t="s">
        <v>36</v>
      </c>
      <c r="BO166" s="17">
        <v>1</v>
      </c>
      <c r="BP166" s="119"/>
      <c r="BQ166" s="17" t="s">
        <v>50</v>
      </c>
      <c r="BR166" s="17">
        <v>1</v>
      </c>
      <c r="BS166" s="119"/>
      <c r="BT166" s="1" t="s">
        <v>69</v>
      </c>
      <c r="BU166" s="17">
        <v>0</v>
      </c>
      <c r="BV166" s="119"/>
      <c r="BW166" s="1" t="s">
        <v>88</v>
      </c>
      <c r="BX166" s="17">
        <v>2</v>
      </c>
      <c r="BY166" s="119"/>
      <c r="BZ166" s="1" t="s">
        <v>97</v>
      </c>
      <c r="CA166" s="17">
        <v>0</v>
      </c>
      <c r="CB166" s="119"/>
      <c r="CC166" s="1" t="s">
        <v>49</v>
      </c>
      <c r="CD166" s="17">
        <v>1</v>
      </c>
      <c r="CE166" s="119"/>
      <c r="CF166" s="17" t="s">
        <v>77</v>
      </c>
      <c r="CG166" s="17">
        <v>2</v>
      </c>
      <c r="CH166" s="119"/>
      <c r="CI166" s="1" t="s">
        <v>78</v>
      </c>
      <c r="CJ166" s="33">
        <v>0</v>
      </c>
      <c r="CK166" s="33">
        <v>1</v>
      </c>
      <c r="CL166" s="33">
        <v>1</v>
      </c>
      <c r="CM166" s="33">
        <v>0</v>
      </c>
      <c r="CN166" s="2" t="s">
        <v>98</v>
      </c>
    </row>
    <row r="167" spans="1:92" ht="28" x14ac:dyDescent="0.15">
      <c r="A167" s="51">
        <v>45861.583563761575</v>
      </c>
      <c r="B167" s="3" t="s">
        <v>29</v>
      </c>
      <c r="C167" s="18">
        <v>3</v>
      </c>
      <c r="D167" s="117"/>
      <c r="E167" s="6" t="s">
        <v>90</v>
      </c>
      <c r="F167" s="18">
        <v>2</v>
      </c>
      <c r="G167" s="117"/>
      <c r="H167" s="6" t="s">
        <v>91</v>
      </c>
      <c r="I167" s="18">
        <v>3</v>
      </c>
      <c r="J167" s="117"/>
      <c r="K167" s="43" t="s">
        <v>56</v>
      </c>
      <c r="L167" s="18">
        <v>2</v>
      </c>
      <c r="M167" s="120"/>
      <c r="N167" s="4" t="s">
        <v>33</v>
      </c>
      <c r="O167" s="18">
        <v>1</v>
      </c>
      <c r="P167" s="120"/>
      <c r="Q167" s="4" t="s">
        <v>34</v>
      </c>
      <c r="R167" s="18">
        <v>2</v>
      </c>
      <c r="S167" s="120"/>
      <c r="T167" s="4" t="s">
        <v>35</v>
      </c>
      <c r="U167" s="18">
        <v>2</v>
      </c>
      <c r="V167" s="120"/>
      <c r="W167" s="4" t="s">
        <v>36</v>
      </c>
      <c r="X167" s="18">
        <v>2</v>
      </c>
      <c r="Y167" s="120"/>
      <c r="Z167" s="4" t="s">
        <v>37</v>
      </c>
      <c r="AA167" s="18">
        <v>3</v>
      </c>
      <c r="AB167" s="120"/>
      <c r="AC167" s="4" t="s">
        <v>38</v>
      </c>
      <c r="AD167" s="18">
        <v>4</v>
      </c>
      <c r="AE167" s="120"/>
      <c r="AF167" s="4" t="s">
        <v>93</v>
      </c>
      <c r="AG167" s="18">
        <v>2</v>
      </c>
      <c r="AH167" s="120"/>
      <c r="AI167" s="13" t="s">
        <v>40</v>
      </c>
      <c r="AJ167" s="24">
        <v>3</v>
      </c>
      <c r="AK167" s="126"/>
      <c r="AL167" s="4" t="s">
        <v>41</v>
      </c>
      <c r="AM167" s="18">
        <v>3</v>
      </c>
      <c r="AN167" s="120"/>
      <c r="AO167" s="4" t="s">
        <v>42</v>
      </c>
      <c r="AP167" s="18">
        <v>3</v>
      </c>
      <c r="AQ167" s="120"/>
      <c r="AR167" s="4" t="s">
        <v>99</v>
      </c>
      <c r="AS167" s="18">
        <v>3</v>
      </c>
      <c r="AT167" s="120"/>
      <c r="AU167" s="4" t="s">
        <v>79</v>
      </c>
      <c r="AV167" s="18">
        <v>2</v>
      </c>
      <c r="AW167" s="120"/>
      <c r="AX167" s="4" t="s">
        <v>80</v>
      </c>
      <c r="AY167" s="18">
        <v>3</v>
      </c>
      <c r="AZ167" s="120"/>
      <c r="BA167" s="4" t="s">
        <v>46</v>
      </c>
      <c r="BB167" s="18">
        <v>1</v>
      </c>
      <c r="BC167" s="18">
        <v>1</v>
      </c>
      <c r="BD167" s="18">
        <v>0</v>
      </c>
      <c r="BE167" s="18">
        <v>0</v>
      </c>
      <c r="BF167" s="18">
        <v>0</v>
      </c>
      <c r="BG167" s="18">
        <v>0</v>
      </c>
      <c r="BH167" s="150" t="s">
        <v>81</v>
      </c>
      <c r="BI167" s="18">
        <v>2</v>
      </c>
      <c r="BJ167" s="130"/>
      <c r="BK167" s="4" t="s">
        <v>48</v>
      </c>
      <c r="BL167" s="18">
        <v>3</v>
      </c>
      <c r="BM167" s="120"/>
      <c r="BN167" s="4" t="s">
        <v>49</v>
      </c>
      <c r="BO167" s="18">
        <v>2</v>
      </c>
      <c r="BP167" s="120"/>
      <c r="BQ167" s="18" t="s">
        <v>117</v>
      </c>
      <c r="BR167" s="18">
        <v>3</v>
      </c>
      <c r="BS167" s="120"/>
      <c r="BT167" s="4" t="s">
        <v>38</v>
      </c>
      <c r="BU167" s="18">
        <v>2</v>
      </c>
      <c r="BV167" s="120"/>
      <c r="BW167" s="4" t="s">
        <v>51</v>
      </c>
      <c r="BX167" s="18">
        <v>2</v>
      </c>
      <c r="BY167" s="120"/>
      <c r="BZ167" s="4" t="s">
        <v>97</v>
      </c>
      <c r="CA167" s="18">
        <v>3</v>
      </c>
      <c r="CB167" s="120"/>
      <c r="CC167" s="4" t="s">
        <v>36</v>
      </c>
      <c r="CD167" s="18">
        <v>1</v>
      </c>
      <c r="CE167" s="120"/>
      <c r="CF167" s="18" t="s">
        <v>77</v>
      </c>
      <c r="CG167" s="18">
        <v>3</v>
      </c>
      <c r="CH167" s="120"/>
      <c r="CI167" s="4" t="s">
        <v>53</v>
      </c>
      <c r="CJ167" s="34">
        <v>1</v>
      </c>
      <c r="CK167" s="34">
        <v>1</v>
      </c>
      <c r="CL167" s="34">
        <v>0</v>
      </c>
      <c r="CM167" s="34">
        <v>0</v>
      </c>
      <c r="CN167" s="5" t="s">
        <v>68</v>
      </c>
    </row>
    <row r="168" spans="1:92" ht="28" x14ac:dyDescent="0.15">
      <c r="A168" s="51">
        <v>45861.583906157408</v>
      </c>
      <c r="B168" s="3" t="s">
        <v>29</v>
      </c>
      <c r="C168" s="17">
        <v>3</v>
      </c>
      <c r="D168" s="116"/>
      <c r="E168" s="6" t="s">
        <v>90</v>
      </c>
      <c r="F168" s="17">
        <v>2</v>
      </c>
      <c r="G168" s="116"/>
      <c r="H168" s="6" t="s">
        <v>91</v>
      </c>
      <c r="I168" s="17">
        <v>3</v>
      </c>
      <c r="J168" s="116"/>
      <c r="K168" s="43" t="s">
        <v>56</v>
      </c>
      <c r="L168" s="17">
        <v>2</v>
      </c>
      <c r="M168" s="119"/>
      <c r="N168" s="1" t="s">
        <v>33</v>
      </c>
      <c r="O168" s="18">
        <v>1</v>
      </c>
      <c r="P168" s="117"/>
      <c r="Q168" s="1" t="s">
        <v>34</v>
      </c>
      <c r="R168" s="17">
        <v>1</v>
      </c>
      <c r="S168" s="119"/>
      <c r="T168" s="1" t="s">
        <v>57</v>
      </c>
      <c r="U168" s="17">
        <v>1</v>
      </c>
      <c r="V168" s="119"/>
      <c r="W168" s="1" t="s">
        <v>92</v>
      </c>
      <c r="X168" s="17">
        <v>0</v>
      </c>
      <c r="Y168" s="119"/>
      <c r="Z168" s="1" t="s">
        <v>108</v>
      </c>
      <c r="AA168" s="17">
        <v>0</v>
      </c>
      <c r="AB168" s="119"/>
      <c r="AC168" s="1" t="s">
        <v>46</v>
      </c>
      <c r="AD168" s="17">
        <v>4</v>
      </c>
      <c r="AE168" s="119"/>
      <c r="AF168" s="1" t="s">
        <v>93</v>
      </c>
      <c r="AG168" s="17">
        <v>0</v>
      </c>
      <c r="AH168" s="119"/>
      <c r="AI168" s="11" t="s">
        <v>84</v>
      </c>
      <c r="AJ168" s="25">
        <v>0</v>
      </c>
      <c r="AK168" s="127"/>
      <c r="AL168" s="1" t="s">
        <v>85</v>
      </c>
      <c r="AM168" s="17">
        <v>0</v>
      </c>
      <c r="AN168" s="119"/>
      <c r="AO168" s="1" t="s">
        <v>110</v>
      </c>
      <c r="AP168" s="17">
        <v>3</v>
      </c>
      <c r="AQ168" s="119"/>
      <c r="AR168" s="1" t="s">
        <v>61</v>
      </c>
      <c r="AS168" s="17">
        <v>2</v>
      </c>
      <c r="AT168" s="119"/>
      <c r="AU168" s="1" t="s">
        <v>44</v>
      </c>
      <c r="AV168" s="17">
        <v>0</v>
      </c>
      <c r="AW168" s="119"/>
      <c r="AX168" s="1" t="s">
        <v>62</v>
      </c>
      <c r="AY168" s="17">
        <v>2</v>
      </c>
      <c r="AZ168" s="119"/>
      <c r="BA168" s="1" t="s">
        <v>59</v>
      </c>
      <c r="BB168" s="17">
        <v>0</v>
      </c>
      <c r="BC168" s="17">
        <v>0</v>
      </c>
      <c r="BD168" s="17">
        <v>1</v>
      </c>
      <c r="BE168" s="17">
        <v>1</v>
      </c>
      <c r="BF168" s="17">
        <v>0</v>
      </c>
      <c r="BG168" s="17">
        <v>0</v>
      </c>
      <c r="BH168" s="149" t="s">
        <v>95</v>
      </c>
      <c r="BI168" s="17">
        <v>0</v>
      </c>
      <c r="BJ168" s="131"/>
      <c r="BK168" s="1" t="s">
        <v>75</v>
      </c>
      <c r="BL168" s="17">
        <v>3</v>
      </c>
      <c r="BM168" s="119"/>
      <c r="BN168" s="1" t="s">
        <v>49</v>
      </c>
      <c r="BO168" s="17">
        <v>0</v>
      </c>
      <c r="BP168" s="119"/>
      <c r="BQ168" s="17" t="s">
        <v>87</v>
      </c>
      <c r="BR168" s="17">
        <v>0</v>
      </c>
      <c r="BS168" s="119"/>
      <c r="BT168" s="1" t="s">
        <v>46</v>
      </c>
      <c r="BU168" s="17">
        <v>2</v>
      </c>
      <c r="BV168" s="119"/>
      <c r="BW168" s="1" t="s">
        <v>51</v>
      </c>
      <c r="BX168" s="17">
        <v>1</v>
      </c>
      <c r="BY168" s="119"/>
      <c r="BZ168" s="1" t="s">
        <v>67</v>
      </c>
      <c r="CA168" s="17">
        <v>0</v>
      </c>
      <c r="CB168" s="119"/>
      <c r="CC168" s="1" t="s">
        <v>49</v>
      </c>
      <c r="CD168" s="17">
        <v>0</v>
      </c>
      <c r="CE168" s="119"/>
      <c r="CF168" s="17" t="s">
        <v>49</v>
      </c>
      <c r="CG168" s="17">
        <v>2</v>
      </c>
      <c r="CH168" s="119"/>
      <c r="CI168" s="1" t="s">
        <v>78</v>
      </c>
      <c r="CJ168" s="33">
        <v>0</v>
      </c>
      <c r="CK168" s="33">
        <v>0</v>
      </c>
      <c r="CL168" s="33">
        <v>0</v>
      </c>
      <c r="CM168" s="33">
        <v>1</v>
      </c>
      <c r="CN168" s="2" t="s">
        <v>101</v>
      </c>
    </row>
    <row r="169" spans="1:92" ht="28" x14ac:dyDescent="0.15">
      <c r="A169" s="51">
        <v>45861.584781319441</v>
      </c>
      <c r="B169" s="3" t="s">
        <v>29</v>
      </c>
      <c r="C169" s="18">
        <v>1</v>
      </c>
      <c r="D169" s="117"/>
      <c r="E169" s="6" t="s">
        <v>114</v>
      </c>
      <c r="F169" s="18">
        <v>2</v>
      </c>
      <c r="G169" s="117"/>
      <c r="H169" s="6" t="s">
        <v>91</v>
      </c>
      <c r="I169" s="18">
        <v>1</v>
      </c>
      <c r="J169" s="117"/>
      <c r="K169" s="43" t="s">
        <v>32</v>
      </c>
      <c r="L169" s="18">
        <v>2</v>
      </c>
      <c r="M169" s="120"/>
      <c r="N169" s="4" t="s">
        <v>33</v>
      </c>
      <c r="O169" s="18">
        <v>1</v>
      </c>
      <c r="P169" s="120"/>
      <c r="Q169" s="4" t="s">
        <v>34</v>
      </c>
      <c r="R169" s="18">
        <v>1</v>
      </c>
      <c r="S169" s="120"/>
      <c r="T169" s="4" t="s">
        <v>57</v>
      </c>
      <c r="U169" s="18">
        <v>2</v>
      </c>
      <c r="V169" s="120"/>
      <c r="W169" s="4" t="s">
        <v>36</v>
      </c>
      <c r="X169" s="18">
        <v>2</v>
      </c>
      <c r="Y169" s="120"/>
      <c r="Z169" s="4" t="s">
        <v>37</v>
      </c>
      <c r="AA169" s="18">
        <v>3</v>
      </c>
      <c r="AB169" s="120"/>
      <c r="AC169" s="4" t="s">
        <v>38</v>
      </c>
      <c r="AD169" s="18">
        <v>5</v>
      </c>
      <c r="AE169" s="120"/>
      <c r="AF169" s="4" t="s">
        <v>115</v>
      </c>
      <c r="AG169" s="18">
        <v>0</v>
      </c>
      <c r="AH169" s="120"/>
      <c r="AI169" s="13" t="s">
        <v>84</v>
      </c>
      <c r="AJ169" s="24">
        <v>0</v>
      </c>
      <c r="AK169" s="126"/>
      <c r="AL169" s="4" t="s">
        <v>85</v>
      </c>
      <c r="AM169" s="18">
        <v>2</v>
      </c>
      <c r="AN169" s="120"/>
      <c r="AO169" s="4" t="s">
        <v>72</v>
      </c>
      <c r="AP169" s="18">
        <v>3</v>
      </c>
      <c r="AQ169" s="120"/>
      <c r="AR169" s="4" t="s">
        <v>61</v>
      </c>
      <c r="AS169" s="18">
        <v>2</v>
      </c>
      <c r="AT169" s="120"/>
      <c r="AU169" s="4" t="s">
        <v>44</v>
      </c>
      <c r="AV169" s="18">
        <v>0</v>
      </c>
      <c r="AW169" s="120"/>
      <c r="AX169" s="4" t="s">
        <v>73</v>
      </c>
      <c r="AY169" s="18">
        <v>2</v>
      </c>
      <c r="AZ169" s="120"/>
      <c r="BA169" s="4" t="s">
        <v>59</v>
      </c>
      <c r="BB169" s="18">
        <v>1</v>
      </c>
      <c r="BC169" s="18">
        <v>0</v>
      </c>
      <c r="BD169" s="18">
        <v>0</v>
      </c>
      <c r="BE169" s="18">
        <v>1</v>
      </c>
      <c r="BF169" s="18">
        <v>0</v>
      </c>
      <c r="BG169" s="18">
        <v>0</v>
      </c>
      <c r="BH169" s="150" t="s">
        <v>74</v>
      </c>
      <c r="BI169" s="18">
        <v>0</v>
      </c>
      <c r="BJ169" s="130"/>
      <c r="BK169" s="4" t="s">
        <v>75</v>
      </c>
      <c r="BL169" s="18">
        <v>3</v>
      </c>
      <c r="BM169" s="120"/>
      <c r="BN169" s="4" t="s">
        <v>49</v>
      </c>
      <c r="BO169" s="18">
        <v>1</v>
      </c>
      <c r="BP169" s="120"/>
      <c r="BQ169" s="18" t="s">
        <v>50</v>
      </c>
      <c r="BR169" s="18">
        <v>2</v>
      </c>
      <c r="BS169" s="120"/>
      <c r="BT169" s="4" t="s">
        <v>65</v>
      </c>
      <c r="BU169" s="18">
        <v>1</v>
      </c>
      <c r="BV169" s="120"/>
      <c r="BW169" s="4" t="s">
        <v>66</v>
      </c>
      <c r="BX169" s="18">
        <v>0</v>
      </c>
      <c r="BY169" s="120"/>
      <c r="BZ169" s="4" t="s">
        <v>119</v>
      </c>
      <c r="CA169" s="18">
        <v>2</v>
      </c>
      <c r="CB169" s="120"/>
      <c r="CC169" s="4" t="s">
        <v>76</v>
      </c>
      <c r="CD169" s="18">
        <v>0</v>
      </c>
      <c r="CE169" s="120"/>
      <c r="CF169" s="18" t="s">
        <v>49</v>
      </c>
      <c r="CG169" s="18">
        <v>2</v>
      </c>
      <c r="CH169" s="120"/>
      <c r="CI169" s="4" t="s">
        <v>78</v>
      </c>
      <c r="CJ169" s="34">
        <v>1</v>
      </c>
      <c r="CK169" s="34">
        <v>0</v>
      </c>
      <c r="CL169" s="34">
        <v>0</v>
      </c>
      <c r="CM169" s="34">
        <v>0</v>
      </c>
      <c r="CN169" s="5" t="s">
        <v>123</v>
      </c>
    </row>
    <row r="170" spans="1:92" ht="28" x14ac:dyDescent="0.15">
      <c r="A170" s="51">
        <v>45861.587335486111</v>
      </c>
      <c r="B170" s="3" t="s">
        <v>29</v>
      </c>
      <c r="C170" s="17">
        <v>3</v>
      </c>
      <c r="D170" s="116"/>
      <c r="E170" s="6" t="s">
        <v>90</v>
      </c>
      <c r="F170" s="17">
        <v>2</v>
      </c>
      <c r="G170" s="116"/>
      <c r="H170" s="6" t="s">
        <v>91</v>
      </c>
      <c r="I170" s="17">
        <v>3</v>
      </c>
      <c r="J170" s="116"/>
      <c r="K170" s="43" t="s">
        <v>56</v>
      </c>
      <c r="L170" s="17">
        <v>1</v>
      </c>
      <c r="M170" s="119"/>
      <c r="N170" s="1" t="s">
        <v>124</v>
      </c>
      <c r="O170" s="18">
        <v>1</v>
      </c>
      <c r="P170" s="117"/>
      <c r="Q170" s="1" t="s">
        <v>34</v>
      </c>
      <c r="R170" s="17">
        <v>2</v>
      </c>
      <c r="S170" s="119"/>
      <c r="T170" s="1" t="s">
        <v>35</v>
      </c>
      <c r="U170" s="17">
        <v>1</v>
      </c>
      <c r="V170" s="119"/>
      <c r="W170" s="1" t="s">
        <v>92</v>
      </c>
      <c r="X170" s="17">
        <v>1</v>
      </c>
      <c r="Y170" s="119"/>
      <c r="Z170" s="1" t="s">
        <v>58</v>
      </c>
      <c r="AA170" s="17">
        <v>3</v>
      </c>
      <c r="AB170" s="119"/>
      <c r="AC170" s="1" t="s">
        <v>38</v>
      </c>
      <c r="AD170" s="17">
        <v>1</v>
      </c>
      <c r="AE170" s="119"/>
      <c r="AF170" s="1" t="s">
        <v>39</v>
      </c>
      <c r="AG170" s="17">
        <v>3</v>
      </c>
      <c r="AH170" s="119"/>
      <c r="AI170" s="11" t="s">
        <v>94</v>
      </c>
      <c r="AJ170" s="25">
        <v>0</v>
      </c>
      <c r="AK170" s="127"/>
      <c r="AL170" s="1" t="s">
        <v>85</v>
      </c>
      <c r="AM170" s="17">
        <v>2</v>
      </c>
      <c r="AN170" s="119"/>
      <c r="AO170" s="1" t="s">
        <v>72</v>
      </c>
      <c r="AP170" s="17">
        <v>3</v>
      </c>
      <c r="AQ170" s="119"/>
      <c r="AR170" s="1" t="s">
        <v>61</v>
      </c>
      <c r="AS170" s="17">
        <v>2</v>
      </c>
      <c r="AT170" s="119"/>
      <c r="AU170" s="1" t="s">
        <v>44</v>
      </c>
      <c r="AV170" s="17">
        <v>2</v>
      </c>
      <c r="AW170" s="119"/>
      <c r="AX170" s="1" t="s">
        <v>80</v>
      </c>
      <c r="AY170" s="17">
        <v>2</v>
      </c>
      <c r="AZ170" s="119"/>
      <c r="BA170" s="1" t="s">
        <v>59</v>
      </c>
      <c r="BB170" s="17">
        <v>1</v>
      </c>
      <c r="BC170" s="17">
        <v>1</v>
      </c>
      <c r="BD170" s="17">
        <v>0</v>
      </c>
      <c r="BE170" s="17">
        <v>0</v>
      </c>
      <c r="BF170" s="17">
        <v>0</v>
      </c>
      <c r="BG170" s="17">
        <v>0</v>
      </c>
      <c r="BH170" s="149" t="s">
        <v>81</v>
      </c>
      <c r="BI170" s="17">
        <v>0</v>
      </c>
      <c r="BJ170" s="131"/>
      <c r="BK170" s="1" t="s">
        <v>75</v>
      </c>
      <c r="BL170" s="17">
        <v>3</v>
      </c>
      <c r="BM170" s="119"/>
      <c r="BN170" s="1" t="s">
        <v>49</v>
      </c>
      <c r="BO170" s="17">
        <v>1</v>
      </c>
      <c r="BP170" s="119"/>
      <c r="BQ170" s="17" t="s">
        <v>50</v>
      </c>
      <c r="BR170" s="17">
        <v>2</v>
      </c>
      <c r="BS170" s="119"/>
      <c r="BT170" s="1" t="s">
        <v>65</v>
      </c>
      <c r="BU170" s="17">
        <v>0</v>
      </c>
      <c r="BV170" s="119"/>
      <c r="BW170" s="1" t="s">
        <v>88</v>
      </c>
      <c r="BX170" s="17">
        <v>3</v>
      </c>
      <c r="BY170" s="119"/>
      <c r="BZ170" s="1" t="s">
        <v>52</v>
      </c>
      <c r="CA170" s="17">
        <v>2</v>
      </c>
      <c r="CB170" s="119"/>
      <c r="CC170" s="1" t="s">
        <v>76</v>
      </c>
      <c r="CD170" s="17">
        <v>0</v>
      </c>
      <c r="CE170" s="119"/>
      <c r="CF170" s="17" t="s">
        <v>49</v>
      </c>
      <c r="CG170" s="17">
        <v>2</v>
      </c>
      <c r="CH170" s="119"/>
      <c r="CI170" s="1" t="s">
        <v>78</v>
      </c>
      <c r="CJ170" s="33">
        <v>1</v>
      </c>
      <c r="CK170" s="33">
        <v>0</v>
      </c>
      <c r="CL170" s="33">
        <v>1</v>
      </c>
      <c r="CM170" s="33">
        <v>0</v>
      </c>
      <c r="CN170" s="2" t="s">
        <v>54</v>
      </c>
    </row>
    <row r="171" spans="1:92" ht="28" x14ac:dyDescent="0.15">
      <c r="A171" s="51">
        <v>45861.590639155096</v>
      </c>
      <c r="B171" s="3" t="s">
        <v>29</v>
      </c>
      <c r="C171" s="18">
        <v>2</v>
      </c>
      <c r="D171" s="117"/>
      <c r="E171" s="6" t="s">
        <v>55</v>
      </c>
      <c r="F171" s="18">
        <v>2</v>
      </c>
      <c r="G171" s="117"/>
      <c r="H171" s="6" t="s">
        <v>91</v>
      </c>
      <c r="I171" s="18">
        <v>0</v>
      </c>
      <c r="J171" s="117"/>
      <c r="K171" s="43" t="s">
        <v>107</v>
      </c>
      <c r="L171" s="18">
        <v>2</v>
      </c>
      <c r="M171" s="120"/>
      <c r="N171" s="4" t="s">
        <v>33</v>
      </c>
      <c r="O171" s="18">
        <v>1</v>
      </c>
      <c r="P171" s="120"/>
      <c r="Q171" s="4" t="s">
        <v>34</v>
      </c>
      <c r="R171" s="18">
        <v>1</v>
      </c>
      <c r="S171" s="120"/>
      <c r="T171" s="4" t="s">
        <v>57</v>
      </c>
      <c r="U171" s="18">
        <v>2</v>
      </c>
      <c r="V171" s="120"/>
      <c r="W171" s="4" t="s">
        <v>36</v>
      </c>
      <c r="X171" s="18">
        <v>1</v>
      </c>
      <c r="Y171" s="120"/>
      <c r="Z171" s="4" t="s">
        <v>58</v>
      </c>
      <c r="AA171" s="18">
        <v>2</v>
      </c>
      <c r="AB171" s="120"/>
      <c r="AC171" s="4" t="s">
        <v>59</v>
      </c>
      <c r="AD171" s="18">
        <v>1</v>
      </c>
      <c r="AE171" s="120"/>
      <c r="AF171" s="4" t="s">
        <v>39</v>
      </c>
      <c r="AG171" s="18">
        <v>0</v>
      </c>
      <c r="AH171" s="120"/>
      <c r="AI171" s="13" t="s">
        <v>84</v>
      </c>
      <c r="AJ171" s="24">
        <v>2</v>
      </c>
      <c r="AK171" s="126"/>
      <c r="AL171" s="4" t="s">
        <v>71</v>
      </c>
      <c r="AM171" s="18">
        <v>2</v>
      </c>
      <c r="AN171" s="120"/>
      <c r="AO171" s="4" t="s">
        <v>72</v>
      </c>
      <c r="AP171" s="18">
        <v>3</v>
      </c>
      <c r="AQ171" s="120"/>
      <c r="AR171" s="4" t="s">
        <v>61</v>
      </c>
      <c r="AS171" s="18">
        <v>2</v>
      </c>
      <c r="AT171" s="120"/>
      <c r="AU171" s="4" t="s">
        <v>44</v>
      </c>
      <c r="AV171" s="18">
        <v>2</v>
      </c>
      <c r="AW171" s="120"/>
      <c r="AX171" s="4" t="s">
        <v>80</v>
      </c>
      <c r="AY171" s="18">
        <v>2</v>
      </c>
      <c r="AZ171" s="120"/>
      <c r="BA171" s="4" t="s">
        <v>59</v>
      </c>
      <c r="BB171" s="18">
        <v>1</v>
      </c>
      <c r="BC171" s="18">
        <v>0</v>
      </c>
      <c r="BD171" s="18">
        <v>1</v>
      </c>
      <c r="BE171" s="18">
        <v>0</v>
      </c>
      <c r="BF171" s="18">
        <v>0</v>
      </c>
      <c r="BG171" s="18">
        <v>0</v>
      </c>
      <c r="BH171" s="150" t="s">
        <v>47</v>
      </c>
      <c r="BI171" s="18">
        <v>0</v>
      </c>
      <c r="BJ171" s="130"/>
      <c r="BK171" s="4" t="s">
        <v>75</v>
      </c>
      <c r="BL171" s="18">
        <v>1</v>
      </c>
      <c r="BM171" s="120"/>
      <c r="BN171" s="4" t="s">
        <v>59</v>
      </c>
      <c r="BO171" s="18">
        <v>0</v>
      </c>
      <c r="BP171" s="120"/>
      <c r="BQ171" s="18" t="s">
        <v>87</v>
      </c>
      <c r="BR171" s="18">
        <v>2</v>
      </c>
      <c r="BS171" s="120"/>
      <c r="BT171" s="4" t="s">
        <v>65</v>
      </c>
      <c r="BU171" s="18">
        <v>3</v>
      </c>
      <c r="BV171" s="120"/>
      <c r="BW171" s="4" t="s">
        <v>147</v>
      </c>
      <c r="BX171" s="18">
        <v>2</v>
      </c>
      <c r="BY171" s="120"/>
      <c r="BZ171" s="4" t="s">
        <v>97</v>
      </c>
      <c r="CA171" s="18">
        <v>0</v>
      </c>
      <c r="CB171" s="120"/>
      <c r="CC171" s="4" t="s">
        <v>49</v>
      </c>
      <c r="CD171" s="18">
        <v>1</v>
      </c>
      <c r="CE171" s="120"/>
      <c r="CF171" s="18" t="s">
        <v>77</v>
      </c>
      <c r="CG171" s="18">
        <v>1</v>
      </c>
      <c r="CH171" s="120"/>
      <c r="CI171" s="4" t="s">
        <v>77</v>
      </c>
      <c r="CJ171" s="34">
        <v>1</v>
      </c>
      <c r="CK171" s="34">
        <v>0</v>
      </c>
      <c r="CL171" s="34">
        <v>1</v>
      </c>
      <c r="CM171" s="34">
        <v>0</v>
      </c>
      <c r="CN171" s="5" t="s">
        <v>54</v>
      </c>
    </row>
    <row r="172" spans="1:92" ht="28" x14ac:dyDescent="0.15">
      <c r="A172" s="51">
        <v>45861.594898252311</v>
      </c>
      <c r="B172" s="3" t="s">
        <v>29</v>
      </c>
      <c r="C172" s="17">
        <v>2</v>
      </c>
      <c r="D172" s="116"/>
      <c r="E172" s="6" t="s">
        <v>55</v>
      </c>
      <c r="F172" s="17">
        <v>2</v>
      </c>
      <c r="G172" s="116"/>
      <c r="H172" s="6" t="s">
        <v>91</v>
      </c>
      <c r="I172" s="17">
        <v>0</v>
      </c>
      <c r="J172" s="116"/>
      <c r="K172" s="43" t="s">
        <v>107</v>
      </c>
      <c r="L172" s="17">
        <v>2</v>
      </c>
      <c r="M172" s="119"/>
      <c r="N172" s="1" t="s">
        <v>33</v>
      </c>
      <c r="O172" s="18">
        <v>1</v>
      </c>
      <c r="P172" s="117"/>
      <c r="Q172" s="1" t="s">
        <v>34</v>
      </c>
      <c r="R172" s="17">
        <v>0</v>
      </c>
      <c r="S172" s="119"/>
      <c r="T172" s="1" t="s">
        <v>49</v>
      </c>
      <c r="U172" s="17">
        <v>0</v>
      </c>
      <c r="V172" s="119"/>
      <c r="W172" s="1" t="s">
        <v>77</v>
      </c>
      <c r="X172" s="17">
        <v>1</v>
      </c>
      <c r="Y172" s="119"/>
      <c r="Z172" s="1" t="s">
        <v>58</v>
      </c>
      <c r="AA172" s="17">
        <v>1</v>
      </c>
      <c r="AB172" s="119"/>
      <c r="AC172" s="1" t="s">
        <v>69</v>
      </c>
      <c r="AD172" s="17">
        <v>5</v>
      </c>
      <c r="AE172" s="119"/>
      <c r="AF172" s="1" t="s">
        <v>115</v>
      </c>
      <c r="AG172" s="17">
        <v>0</v>
      </c>
      <c r="AH172" s="119"/>
      <c r="AI172" s="11" t="s">
        <v>84</v>
      </c>
      <c r="AJ172" s="25">
        <v>1</v>
      </c>
      <c r="AK172" s="127"/>
      <c r="AL172" s="1" t="s">
        <v>77</v>
      </c>
      <c r="AM172" s="17">
        <v>1</v>
      </c>
      <c r="AN172" s="119"/>
      <c r="AO172" s="1" t="s">
        <v>130</v>
      </c>
      <c r="AP172" s="17">
        <v>3</v>
      </c>
      <c r="AQ172" s="119"/>
      <c r="AR172" s="1" t="s">
        <v>61</v>
      </c>
      <c r="AS172" s="17">
        <v>1</v>
      </c>
      <c r="AT172" s="119"/>
      <c r="AU172" s="1" t="s">
        <v>86</v>
      </c>
      <c r="AV172" s="17">
        <v>0</v>
      </c>
      <c r="AW172" s="119"/>
      <c r="AX172" s="1" t="s">
        <v>73</v>
      </c>
      <c r="AY172" s="17">
        <v>1</v>
      </c>
      <c r="AZ172" s="119"/>
      <c r="BA172" s="1" t="s">
        <v>69</v>
      </c>
      <c r="BB172" s="17">
        <v>1</v>
      </c>
      <c r="BC172" s="17">
        <v>0</v>
      </c>
      <c r="BD172" s="17">
        <v>1</v>
      </c>
      <c r="BE172" s="17">
        <v>0</v>
      </c>
      <c r="BF172" s="17">
        <v>0</v>
      </c>
      <c r="BG172" s="17">
        <v>0</v>
      </c>
      <c r="BH172" s="149" t="s">
        <v>47</v>
      </c>
      <c r="BI172" s="17">
        <v>1</v>
      </c>
      <c r="BJ172" s="131"/>
      <c r="BK172" s="1" t="s">
        <v>96</v>
      </c>
      <c r="BL172" s="17">
        <v>1</v>
      </c>
      <c r="BM172" s="119"/>
      <c r="BN172" s="1" t="s">
        <v>59</v>
      </c>
      <c r="BO172" s="17">
        <v>0</v>
      </c>
      <c r="BP172" s="119"/>
      <c r="BQ172" s="17" t="s">
        <v>87</v>
      </c>
      <c r="BR172" s="17">
        <v>0</v>
      </c>
      <c r="BS172" s="119"/>
      <c r="BT172" s="1" t="s">
        <v>46</v>
      </c>
      <c r="BU172" s="17">
        <v>3</v>
      </c>
      <c r="BV172" s="119"/>
      <c r="BW172" s="1" t="s">
        <v>147</v>
      </c>
      <c r="BX172" s="17">
        <v>0</v>
      </c>
      <c r="BY172" s="119"/>
      <c r="BZ172" s="1" t="s">
        <v>119</v>
      </c>
      <c r="CA172" s="17">
        <v>2</v>
      </c>
      <c r="CB172" s="119"/>
      <c r="CC172" s="1" t="s">
        <v>76</v>
      </c>
      <c r="CD172" s="17">
        <v>1</v>
      </c>
      <c r="CE172" s="119"/>
      <c r="CF172" s="17" t="s">
        <v>77</v>
      </c>
      <c r="CG172" s="17">
        <v>1</v>
      </c>
      <c r="CH172" s="119"/>
      <c r="CI172" s="1" t="s">
        <v>77</v>
      </c>
      <c r="CJ172" s="33">
        <v>1</v>
      </c>
      <c r="CK172" s="33">
        <v>1</v>
      </c>
      <c r="CL172" s="33">
        <v>0</v>
      </c>
      <c r="CM172" s="33">
        <v>0</v>
      </c>
      <c r="CN172" s="2" t="s">
        <v>82</v>
      </c>
    </row>
    <row r="173" spans="1:92" ht="28" x14ac:dyDescent="0.15">
      <c r="A173" s="51">
        <v>45861.596197256949</v>
      </c>
      <c r="B173" s="3" t="s">
        <v>29</v>
      </c>
      <c r="C173" s="18">
        <v>3</v>
      </c>
      <c r="D173" s="117"/>
      <c r="E173" s="6" t="s">
        <v>90</v>
      </c>
      <c r="F173" s="18">
        <v>2</v>
      </c>
      <c r="G173" s="117"/>
      <c r="H173" s="6" t="s">
        <v>91</v>
      </c>
      <c r="I173" s="18">
        <v>1</v>
      </c>
      <c r="J173" s="117"/>
      <c r="K173" s="43" t="s">
        <v>32</v>
      </c>
      <c r="L173" s="18">
        <v>0</v>
      </c>
      <c r="M173" s="120"/>
      <c r="N173" s="4" t="s">
        <v>145</v>
      </c>
      <c r="O173" s="18">
        <v>1</v>
      </c>
      <c r="P173" s="120"/>
      <c r="Q173" s="4" t="s">
        <v>34</v>
      </c>
      <c r="R173" s="18">
        <v>1</v>
      </c>
      <c r="S173" s="120"/>
      <c r="T173" s="4" t="s">
        <v>57</v>
      </c>
      <c r="U173" s="18">
        <v>0</v>
      </c>
      <c r="V173" s="120"/>
      <c r="W173" s="4" t="s">
        <v>49</v>
      </c>
      <c r="X173" s="18">
        <v>0</v>
      </c>
      <c r="Y173" s="120"/>
      <c r="Z173" s="4" t="s">
        <v>108</v>
      </c>
      <c r="AA173" s="18">
        <v>0</v>
      </c>
      <c r="AB173" s="120"/>
      <c r="AC173" s="4" t="s">
        <v>46</v>
      </c>
      <c r="AD173" s="18">
        <v>2</v>
      </c>
      <c r="AE173" s="120"/>
      <c r="AF173" s="4" t="s">
        <v>83</v>
      </c>
      <c r="AG173" s="18">
        <v>0</v>
      </c>
      <c r="AH173" s="120"/>
      <c r="AI173" s="13" t="s">
        <v>84</v>
      </c>
      <c r="AJ173" s="24">
        <v>0</v>
      </c>
      <c r="AK173" s="126"/>
      <c r="AL173" s="4" t="s">
        <v>85</v>
      </c>
      <c r="AM173" s="18">
        <v>0</v>
      </c>
      <c r="AN173" s="120"/>
      <c r="AO173" s="4" t="s">
        <v>110</v>
      </c>
      <c r="AP173" s="18">
        <v>3</v>
      </c>
      <c r="AQ173" s="120"/>
      <c r="AR173" s="4" t="s">
        <v>61</v>
      </c>
      <c r="AS173" s="18">
        <v>0</v>
      </c>
      <c r="AT173" s="120"/>
      <c r="AU173" s="4" t="s">
        <v>102</v>
      </c>
      <c r="AV173" s="18">
        <v>0</v>
      </c>
      <c r="AW173" s="120"/>
      <c r="AX173" s="4" t="s">
        <v>62</v>
      </c>
      <c r="AY173" s="18">
        <v>0</v>
      </c>
      <c r="AZ173" s="120"/>
      <c r="BA173" s="4" t="s">
        <v>38</v>
      </c>
      <c r="BB173" s="18">
        <v>0</v>
      </c>
      <c r="BC173" s="18">
        <v>0</v>
      </c>
      <c r="BD173" s="18">
        <v>1</v>
      </c>
      <c r="BE173" s="18">
        <v>1</v>
      </c>
      <c r="BF173" s="18">
        <v>0</v>
      </c>
      <c r="BG173" s="18">
        <v>0</v>
      </c>
      <c r="BH173" s="150" t="s">
        <v>95</v>
      </c>
      <c r="BI173" s="18">
        <v>0</v>
      </c>
      <c r="BJ173" s="130"/>
      <c r="BK173" s="4" t="s">
        <v>75</v>
      </c>
      <c r="BL173" s="18">
        <v>0</v>
      </c>
      <c r="BM173" s="120"/>
      <c r="BN173" s="4" t="s">
        <v>36</v>
      </c>
      <c r="BO173" s="18">
        <v>0</v>
      </c>
      <c r="BP173" s="120"/>
      <c r="BQ173" s="18" t="s">
        <v>87</v>
      </c>
      <c r="BR173" s="18">
        <v>0</v>
      </c>
      <c r="BS173" s="120"/>
      <c r="BT173" s="4" t="s">
        <v>46</v>
      </c>
      <c r="BU173" s="18">
        <v>2</v>
      </c>
      <c r="BV173" s="120"/>
      <c r="BW173" s="4" t="s">
        <v>51</v>
      </c>
      <c r="BX173" s="18">
        <v>1</v>
      </c>
      <c r="BY173" s="120"/>
      <c r="BZ173" s="4" t="s">
        <v>67</v>
      </c>
      <c r="CA173" s="18">
        <v>0</v>
      </c>
      <c r="CB173" s="120"/>
      <c r="CC173" s="4" t="s">
        <v>49</v>
      </c>
      <c r="CD173" s="18">
        <v>0</v>
      </c>
      <c r="CE173" s="120"/>
      <c r="CF173" s="18" t="s">
        <v>49</v>
      </c>
      <c r="CG173" s="18">
        <v>2</v>
      </c>
      <c r="CH173" s="120"/>
      <c r="CI173" s="4" t="s">
        <v>78</v>
      </c>
      <c r="CJ173" s="34">
        <v>0</v>
      </c>
      <c r="CK173" s="34">
        <v>0</v>
      </c>
      <c r="CL173" s="34">
        <v>0</v>
      </c>
      <c r="CM173" s="34">
        <v>1</v>
      </c>
      <c r="CN173" s="5" t="s">
        <v>101</v>
      </c>
    </row>
    <row r="174" spans="1:92" ht="28" x14ac:dyDescent="0.15">
      <c r="A174" s="51">
        <v>45861.599191585643</v>
      </c>
      <c r="B174" s="3" t="s">
        <v>29</v>
      </c>
      <c r="C174" s="17">
        <v>3</v>
      </c>
      <c r="D174" s="116"/>
      <c r="E174" s="6" t="s">
        <v>90</v>
      </c>
      <c r="F174" s="17">
        <v>2</v>
      </c>
      <c r="G174" s="116"/>
      <c r="H174" s="6" t="s">
        <v>91</v>
      </c>
      <c r="I174" s="17">
        <v>0</v>
      </c>
      <c r="J174" s="116"/>
      <c r="K174" s="43" t="s">
        <v>107</v>
      </c>
      <c r="L174" s="17">
        <v>2</v>
      </c>
      <c r="M174" s="119"/>
      <c r="N174" s="1" t="s">
        <v>33</v>
      </c>
      <c r="O174" s="18">
        <v>1</v>
      </c>
      <c r="P174" s="117"/>
      <c r="Q174" s="1" t="s">
        <v>34</v>
      </c>
      <c r="R174" s="17">
        <v>0</v>
      </c>
      <c r="S174" s="119"/>
      <c r="T174" s="1" t="s">
        <v>49</v>
      </c>
      <c r="U174" s="17">
        <v>0</v>
      </c>
      <c r="V174" s="119"/>
      <c r="W174" s="1" t="s">
        <v>77</v>
      </c>
      <c r="X174" s="17">
        <v>0</v>
      </c>
      <c r="Y174" s="119"/>
      <c r="Z174" s="1" t="s">
        <v>108</v>
      </c>
      <c r="AA174" s="17">
        <v>0</v>
      </c>
      <c r="AB174" s="119"/>
      <c r="AC174" s="1" t="s">
        <v>46</v>
      </c>
      <c r="AD174" s="17">
        <v>5</v>
      </c>
      <c r="AE174" s="119"/>
      <c r="AF174" s="1" t="s">
        <v>115</v>
      </c>
      <c r="AG174" s="17">
        <v>0</v>
      </c>
      <c r="AH174" s="119"/>
      <c r="AI174" s="11" t="s">
        <v>84</v>
      </c>
      <c r="AJ174" s="25">
        <v>1</v>
      </c>
      <c r="AK174" s="127"/>
      <c r="AL174" s="1" t="s">
        <v>77</v>
      </c>
      <c r="AM174" s="17">
        <v>1</v>
      </c>
      <c r="AN174" s="119"/>
      <c r="AO174" s="1" t="s">
        <v>130</v>
      </c>
      <c r="AP174" s="17">
        <v>3</v>
      </c>
      <c r="AQ174" s="119"/>
      <c r="AR174" s="1" t="s">
        <v>61</v>
      </c>
      <c r="AS174" s="17">
        <v>1</v>
      </c>
      <c r="AT174" s="119"/>
      <c r="AU174" s="1" t="s">
        <v>86</v>
      </c>
      <c r="AV174" s="17">
        <v>0</v>
      </c>
      <c r="AW174" s="119"/>
      <c r="AX174" s="1" t="s">
        <v>73</v>
      </c>
      <c r="AY174" s="17">
        <v>3</v>
      </c>
      <c r="AZ174" s="119"/>
      <c r="BA174" s="1" t="s">
        <v>46</v>
      </c>
      <c r="BB174" s="17">
        <v>1</v>
      </c>
      <c r="BC174" s="17">
        <v>0</v>
      </c>
      <c r="BD174" s="17">
        <v>1</v>
      </c>
      <c r="BE174" s="17">
        <v>0</v>
      </c>
      <c r="BF174" s="17">
        <v>0</v>
      </c>
      <c r="BG174" s="17">
        <v>0</v>
      </c>
      <c r="BH174" s="149" t="s">
        <v>47</v>
      </c>
      <c r="BI174" s="17">
        <v>1</v>
      </c>
      <c r="BJ174" s="131"/>
      <c r="BK174" s="1" t="s">
        <v>96</v>
      </c>
      <c r="BL174" s="17">
        <v>3</v>
      </c>
      <c r="BM174" s="119"/>
      <c r="BN174" s="1" t="s">
        <v>49</v>
      </c>
      <c r="BO174" s="17">
        <v>0</v>
      </c>
      <c r="BP174" s="119"/>
      <c r="BQ174" s="17" t="s">
        <v>87</v>
      </c>
      <c r="BR174" s="17">
        <v>0</v>
      </c>
      <c r="BS174" s="119"/>
      <c r="BT174" s="1" t="s">
        <v>46</v>
      </c>
      <c r="BU174" s="17">
        <v>0</v>
      </c>
      <c r="BV174" s="119"/>
      <c r="BW174" s="1" t="s">
        <v>88</v>
      </c>
      <c r="BX174" s="17">
        <v>0</v>
      </c>
      <c r="BY174" s="119"/>
      <c r="BZ174" s="1" t="s">
        <v>119</v>
      </c>
      <c r="CA174" s="17">
        <v>1</v>
      </c>
      <c r="CB174" s="119"/>
      <c r="CC174" s="1" t="s">
        <v>77</v>
      </c>
      <c r="CD174" s="17">
        <v>1</v>
      </c>
      <c r="CE174" s="119"/>
      <c r="CF174" s="17" t="s">
        <v>77</v>
      </c>
      <c r="CG174" s="17">
        <v>1</v>
      </c>
      <c r="CH174" s="119"/>
      <c r="CI174" s="1" t="s">
        <v>77</v>
      </c>
      <c r="CJ174" s="33">
        <v>1</v>
      </c>
      <c r="CK174" s="33">
        <v>0</v>
      </c>
      <c r="CL174" s="33">
        <v>1</v>
      </c>
      <c r="CM174" s="33">
        <v>0</v>
      </c>
      <c r="CN174" s="2" t="s">
        <v>54</v>
      </c>
    </row>
    <row r="175" spans="1:92" ht="28" x14ac:dyDescent="0.15">
      <c r="A175" s="51">
        <v>45861.606131805558</v>
      </c>
      <c r="B175" s="3" t="s">
        <v>29</v>
      </c>
      <c r="C175" s="18">
        <v>4</v>
      </c>
      <c r="D175" s="117"/>
      <c r="E175" s="6" t="s">
        <v>127</v>
      </c>
      <c r="F175" s="18">
        <v>2</v>
      </c>
      <c r="G175" s="117"/>
      <c r="H175" s="6" t="s">
        <v>91</v>
      </c>
      <c r="I175" s="18">
        <v>0</v>
      </c>
      <c r="J175" s="117"/>
      <c r="K175" s="43" t="s">
        <v>107</v>
      </c>
      <c r="L175" s="18">
        <v>2</v>
      </c>
      <c r="M175" s="120"/>
      <c r="N175" s="4" t="s">
        <v>33</v>
      </c>
      <c r="O175" s="18">
        <v>1</v>
      </c>
      <c r="P175" s="120"/>
      <c r="Q175" s="4" t="s">
        <v>34</v>
      </c>
      <c r="R175" s="18">
        <v>1</v>
      </c>
      <c r="S175" s="120"/>
      <c r="T175" s="4" t="s">
        <v>57</v>
      </c>
      <c r="U175" s="18">
        <v>1</v>
      </c>
      <c r="V175" s="120"/>
      <c r="W175" s="4" t="s">
        <v>92</v>
      </c>
      <c r="X175" s="18">
        <v>1</v>
      </c>
      <c r="Y175" s="120"/>
      <c r="Z175" s="4" t="s">
        <v>58</v>
      </c>
      <c r="AA175" s="18">
        <v>1</v>
      </c>
      <c r="AB175" s="120"/>
      <c r="AC175" s="4" t="s">
        <v>69</v>
      </c>
      <c r="AD175" s="18">
        <v>4</v>
      </c>
      <c r="AE175" s="120"/>
      <c r="AF175" s="4" t="s">
        <v>93</v>
      </c>
      <c r="AG175" s="18">
        <v>0</v>
      </c>
      <c r="AH175" s="120"/>
      <c r="AI175" s="13" t="s">
        <v>84</v>
      </c>
      <c r="AJ175" s="24">
        <v>0</v>
      </c>
      <c r="AK175" s="126"/>
      <c r="AL175" s="4" t="s">
        <v>85</v>
      </c>
      <c r="AM175" s="18">
        <v>2</v>
      </c>
      <c r="AN175" s="120"/>
      <c r="AO175" s="4" t="s">
        <v>72</v>
      </c>
      <c r="AP175" s="18">
        <v>3</v>
      </c>
      <c r="AQ175" s="120"/>
      <c r="AR175" s="4" t="s">
        <v>61</v>
      </c>
      <c r="AS175" s="18">
        <v>2</v>
      </c>
      <c r="AT175" s="120"/>
      <c r="AU175" s="4" t="s">
        <v>44</v>
      </c>
      <c r="AV175" s="18">
        <v>0</v>
      </c>
      <c r="AW175" s="120"/>
      <c r="AX175" s="4" t="s">
        <v>73</v>
      </c>
      <c r="AY175" s="18">
        <v>2</v>
      </c>
      <c r="AZ175" s="120"/>
      <c r="BA175" s="4" t="s">
        <v>59</v>
      </c>
      <c r="BB175" s="18">
        <v>1</v>
      </c>
      <c r="BC175" s="18">
        <v>0</v>
      </c>
      <c r="BD175" s="18">
        <v>1</v>
      </c>
      <c r="BE175" s="18">
        <v>0</v>
      </c>
      <c r="BF175" s="18">
        <v>0</v>
      </c>
      <c r="BG175" s="18">
        <v>0</v>
      </c>
      <c r="BH175" s="150" t="s">
        <v>47</v>
      </c>
      <c r="BI175" s="18">
        <v>0</v>
      </c>
      <c r="BJ175" s="130"/>
      <c r="BK175" s="4" t="s">
        <v>75</v>
      </c>
      <c r="BL175" s="18">
        <v>3</v>
      </c>
      <c r="BM175" s="120"/>
      <c r="BN175" s="4" t="s">
        <v>49</v>
      </c>
      <c r="BO175" s="18">
        <v>2</v>
      </c>
      <c r="BP175" s="120"/>
      <c r="BQ175" s="18" t="s">
        <v>117</v>
      </c>
      <c r="BR175" s="18">
        <v>1</v>
      </c>
      <c r="BS175" s="120"/>
      <c r="BT175" s="4" t="s">
        <v>69</v>
      </c>
      <c r="BU175" s="18">
        <v>2</v>
      </c>
      <c r="BV175" s="120"/>
      <c r="BW175" s="4" t="s">
        <v>51</v>
      </c>
      <c r="BX175" s="18">
        <v>3</v>
      </c>
      <c r="BY175" s="120"/>
      <c r="BZ175" s="4" t="s">
        <v>52</v>
      </c>
      <c r="CA175" s="18">
        <v>2</v>
      </c>
      <c r="CB175" s="120"/>
      <c r="CC175" s="4" t="s">
        <v>76</v>
      </c>
      <c r="CD175" s="18">
        <v>1</v>
      </c>
      <c r="CE175" s="120"/>
      <c r="CF175" s="18" t="s">
        <v>77</v>
      </c>
      <c r="CG175" s="18">
        <v>1</v>
      </c>
      <c r="CH175" s="120"/>
      <c r="CI175" s="4" t="s">
        <v>77</v>
      </c>
      <c r="CJ175" s="34">
        <v>1</v>
      </c>
      <c r="CK175" s="34">
        <v>0</v>
      </c>
      <c r="CL175" s="34">
        <v>1</v>
      </c>
      <c r="CM175" s="34">
        <v>0</v>
      </c>
      <c r="CN175" s="5" t="s">
        <v>197</v>
      </c>
    </row>
    <row r="176" spans="1:92" ht="28" x14ac:dyDescent="0.15">
      <c r="A176" s="51">
        <v>45861.606681365738</v>
      </c>
      <c r="B176" s="3" t="s">
        <v>29</v>
      </c>
      <c r="C176" s="17">
        <v>3</v>
      </c>
      <c r="D176" s="116"/>
      <c r="E176" s="6" t="s">
        <v>90</v>
      </c>
      <c r="F176" s="17">
        <v>2</v>
      </c>
      <c r="G176" s="116"/>
      <c r="H176" s="6" t="s">
        <v>91</v>
      </c>
      <c r="I176" s="17">
        <v>3</v>
      </c>
      <c r="J176" s="116"/>
      <c r="K176" s="43" t="s">
        <v>56</v>
      </c>
      <c r="L176" s="17">
        <v>2</v>
      </c>
      <c r="M176" s="119"/>
      <c r="N176" s="1" t="s">
        <v>33</v>
      </c>
      <c r="O176" s="18">
        <v>1</v>
      </c>
      <c r="P176" s="117"/>
      <c r="Q176" s="1" t="s">
        <v>34</v>
      </c>
      <c r="R176" s="17">
        <v>1</v>
      </c>
      <c r="S176" s="119"/>
      <c r="T176" s="1" t="s">
        <v>57</v>
      </c>
      <c r="U176" s="17">
        <v>2</v>
      </c>
      <c r="V176" s="119"/>
      <c r="W176" s="1" t="s">
        <v>36</v>
      </c>
      <c r="X176" s="17">
        <v>1</v>
      </c>
      <c r="Y176" s="119"/>
      <c r="Z176" s="1" t="s">
        <v>58</v>
      </c>
      <c r="AA176" s="17">
        <v>0</v>
      </c>
      <c r="AB176" s="119"/>
      <c r="AC176" s="1" t="s">
        <v>46</v>
      </c>
      <c r="AD176" s="17">
        <v>5</v>
      </c>
      <c r="AE176" s="119"/>
      <c r="AF176" s="1" t="s">
        <v>115</v>
      </c>
      <c r="AG176" s="17">
        <v>0</v>
      </c>
      <c r="AH176" s="119"/>
      <c r="AI176" s="11" t="s">
        <v>84</v>
      </c>
      <c r="AJ176" s="25">
        <v>3</v>
      </c>
      <c r="AK176" s="127"/>
      <c r="AL176" s="1" t="s">
        <v>41</v>
      </c>
      <c r="AM176" s="17">
        <v>1</v>
      </c>
      <c r="AN176" s="119"/>
      <c r="AO176" s="1" t="s">
        <v>130</v>
      </c>
      <c r="AP176" s="17">
        <v>3</v>
      </c>
      <c r="AQ176" s="119"/>
      <c r="AR176" s="1" t="s">
        <v>61</v>
      </c>
      <c r="AS176" s="17">
        <v>2</v>
      </c>
      <c r="AT176" s="119"/>
      <c r="AU176" s="1" t="s">
        <v>44</v>
      </c>
      <c r="AV176" s="17">
        <v>2</v>
      </c>
      <c r="AW176" s="119"/>
      <c r="AX176" s="1" t="s">
        <v>80</v>
      </c>
      <c r="AY176" s="17">
        <v>1</v>
      </c>
      <c r="AZ176" s="119"/>
      <c r="BA176" s="1" t="s">
        <v>69</v>
      </c>
      <c r="BB176" s="17">
        <v>0</v>
      </c>
      <c r="BC176" s="17">
        <v>0</v>
      </c>
      <c r="BD176" s="17">
        <v>1</v>
      </c>
      <c r="BE176" s="17">
        <v>1</v>
      </c>
      <c r="BF176" s="17">
        <v>0</v>
      </c>
      <c r="BG176" s="17">
        <v>0</v>
      </c>
      <c r="BH176" s="149" t="s">
        <v>95</v>
      </c>
      <c r="BI176" s="17">
        <v>0</v>
      </c>
      <c r="BJ176" s="131"/>
      <c r="BK176" s="1" t="s">
        <v>75</v>
      </c>
      <c r="BL176" s="17">
        <v>3</v>
      </c>
      <c r="BM176" s="119"/>
      <c r="BN176" s="1" t="s">
        <v>49</v>
      </c>
      <c r="BO176" s="17">
        <v>0</v>
      </c>
      <c r="BP176" s="119"/>
      <c r="BQ176" s="17" t="s">
        <v>87</v>
      </c>
      <c r="BR176" s="17">
        <v>1</v>
      </c>
      <c r="BS176" s="119"/>
      <c r="BT176" s="1" t="s">
        <v>69</v>
      </c>
      <c r="BU176" s="17">
        <v>2</v>
      </c>
      <c r="BV176" s="119"/>
      <c r="BW176" s="1" t="s">
        <v>51</v>
      </c>
      <c r="BX176" s="17">
        <v>2</v>
      </c>
      <c r="BY176" s="119"/>
      <c r="BZ176" s="1" t="s">
        <v>97</v>
      </c>
      <c r="CA176" s="17">
        <v>2</v>
      </c>
      <c r="CB176" s="119"/>
      <c r="CC176" s="1" t="s">
        <v>76</v>
      </c>
      <c r="CD176" s="17">
        <v>0</v>
      </c>
      <c r="CE176" s="119"/>
      <c r="CF176" s="17" t="s">
        <v>49</v>
      </c>
      <c r="CG176" s="17">
        <v>2</v>
      </c>
      <c r="CH176" s="119"/>
      <c r="CI176" s="1" t="s">
        <v>78</v>
      </c>
      <c r="CJ176" s="33">
        <v>0</v>
      </c>
      <c r="CK176" s="33">
        <v>0</v>
      </c>
      <c r="CL176" s="33">
        <v>1</v>
      </c>
      <c r="CM176" s="33">
        <v>0</v>
      </c>
      <c r="CN176" s="2" t="s">
        <v>120</v>
      </c>
    </row>
    <row r="177" spans="1:92" ht="28" x14ac:dyDescent="0.15">
      <c r="A177" s="51">
        <v>45861.606765277778</v>
      </c>
      <c r="B177" s="3" t="s">
        <v>29</v>
      </c>
      <c r="C177" s="18">
        <v>2</v>
      </c>
      <c r="D177" s="117"/>
      <c r="E177" s="6" t="s">
        <v>55</v>
      </c>
      <c r="F177" s="18">
        <v>1</v>
      </c>
      <c r="G177" s="117"/>
      <c r="H177" s="6" t="s">
        <v>31</v>
      </c>
      <c r="I177" s="18">
        <v>3</v>
      </c>
      <c r="J177" s="117"/>
      <c r="K177" s="43" t="s">
        <v>56</v>
      </c>
      <c r="L177" s="18">
        <v>2</v>
      </c>
      <c r="M177" s="120"/>
      <c r="N177" s="4" t="s">
        <v>33</v>
      </c>
      <c r="O177" s="18">
        <v>1</v>
      </c>
      <c r="P177" s="120"/>
      <c r="Q177" s="4" t="s">
        <v>34</v>
      </c>
      <c r="R177" s="18">
        <v>2</v>
      </c>
      <c r="S177" s="120"/>
      <c r="T177" s="4" t="s">
        <v>35</v>
      </c>
      <c r="U177" s="18">
        <v>1</v>
      </c>
      <c r="V177" s="120"/>
      <c r="W177" s="4" t="s">
        <v>92</v>
      </c>
      <c r="X177" s="18">
        <v>1</v>
      </c>
      <c r="Y177" s="120"/>
      <c r="Z177" s="4" t="s">
        <v>58</v>
      </c>
      <c r="AA177" s="18">
        <v>2</v>
      </c>
      <c r="AB177" s="120"/>
      <c r="AC177" s="4" t="s">
        <v>59</v>
      </c>
      <c r="AD177" s="18">
        <v>4</v>
      </c>
      <c r="AE177" s="120"/>
      <c r="AF177" s="4" t="s">
        <v>93</v>
      </c>
      <c r="AG177" s="18">
        <v>0</v>
      </c>
      <c r="AH177" s="120"/>
      <c r="AI177" s="13" t="s">
        <v>84</v>
      </c>
      <c r="AJ177" s="24">
        <v>2</v>
      </c>
      <c r="AK177" s="126"/>
      <c r="AL177" s="4" t="s">
        <v>71</v>
      </c>
      <c r="AM177" s="18">
        <v>0</v>
      </c>
      <c r="AN177" s="120"/>
      <c r="AO177" s="4" t="s">
        <v>110</v>
      </c>
      <c r="AP177" s="18">
        <v>3</v>
      </c>
      <c r="AQ177" s="120"/>
      <c r="AR177" s="4" t="s">
        <v>61</v>
      </c>
      <c r="AS177" s="18">
        <v>2</v>
      </c>
      <c r="AT177" s="120"/>
      <c r="AU177" s="4" t="s">
        <v>44</v>
      </c>
      <c r="AV177" s="18">
        <v>0</v>
      </c>
      <c r="AW177" s="120"/>
      <c r="AX177" s="4" t="s">
        <v>62</v>
      </c>
      <c r="AY177" s="18">
        <v>0</v>
      </c>
      <c r="AZ177" s="120"/>
      <c r="BA177" s="4" t="s">
        <v>38</v>
      </c>
      <c r="BB177" s="18">
        <v>1</v>
      </c>
      <c r="BC177" s="18">
        <v>0</v>
      </c>
      <c r="BD177" s="18">
        <v>0</v>
      </c>
      <c r="BE177" s="18">
        <v>1</v>
      </c>
      <c r="BF177" s="18">
        <v>0</v>
      </c>
      <c r="BG177" s="18">
        <v>0</v>
      </c>
      <c r="BH177" s="150" t="s">
        <v>74</v>
      </c>
      <c r="BI177" s="18">
        <v>0</v>
      </c>
      <c r="BJ177" s="130"/>
      <c r="BK177" s="4" t="s">
        <v>75</v>
      </c>
      <c r="BL177" s="18">
        <v>0</v>
      </c>
      <c r="BM177" s="120"/>
      <c r="BN177" s="4" t="s">
        <v>36</v>
      </c>
      <c r="BO177" s="18">
        <v>0</v>
      </c>
      <c r="BP177" s="120"/>
      <c r="BQ177" s="18" t="s">
        <v>87</v>
      </c>
      <c r="BR177" s="18">
        <v>2</v>
      </c>
      <c r="BS177" s="120"/>
      <c r="BT177" s="4" t="s">
        <v>65</v>
      </c>
      <c r="BU177" s="18">
        <v>2</v>
      </c>
      <c r="BV177" s="120"/>
      <c r="BW177" s="4" t="s">
        <v>51</v>
      </c>
      <c r="BX177" s="18">
        <v>2</v>
      </c>
      <c r="BY177" s="120"/>
      <c r="BZ177" s="4" t="s">
        <v>97</v>
      </c>
      <c r="CA177" s="18">
        <v>2</v>
      </c>
      <c r="CB177" s="120"/>
      <c r="CC177" s="4" t="s">
        <v>76</v>
      </c>
      <c r="CD177" s="18">
        <v>0</v>
      </c>
      <c r="CE177" s="120"/>
      <c r="CF177" s="18" t="s">
        <v>49</v>
      </c>
      <c r="CG177" s="18">
        <v>2</v>
      </c>
      <c r="CH177" s="120"/>
      <c r="CI177" s="4" t="s">
        <v>78</v>
      </c>
      <c r="CJ177" s="34">
        <v>0</v>
      </c>
      <c r="CK177" s="34">
        <v>1</v>
      </c>
      <c r="CL177" s="34">
        <v>0</v>
      </c>
      <c r="CM177" s="34">
        <v>0</v>
      </c>
      <c r="CN177" s="5" t="s">
        <v>137</v>
      </c>
    </row>
    <row r="178" spans="1:92" ht="42" x14ac:dyDescent="0.15">
      <c r="A178" s="51">
        <v>45861.61084061343</v>
      </c>
      <c r="B178" s="3" t="s">
        <v>29</v>
      </c>
      <c r="C178" s="17">
        <v>3</v>
      </c>
      <c r="D178" s="116"/>
      <c r="E178" s="6" t="s">
        <v>90</v>
      </c>
      <c r="F178" s="17">
        <v>2</v>
      </c>
      <c r="G178" s="116"/>
      <c r="H178" s="6" t="s">
        <v>91</v>
      </c>
      <c r="I178" s="17">
        <v>2</v>
      </c>
      <c r="J178" s="116"/>
      <c r="K178" s="43" t="s">
        <v>116</v>
      </c>
      <c r="L178" s="17">
        <v>2</v>
      </c>
      <c r="M178" s="119"/>
      <c r="N178" s="1" t="s">
        <v>33</v>
      </c>
      <c r="O178" s="18">
        <v>1</v>
      </c>
      <c r="P178" s="117"/>
      <c r="Q178" s="1" t="s">
        <v>34</v>
      </c>
      <c r="R178" s="17">
        <v>2</v>
      </c>
      <c r="S178" s="119"/>
      <c r="T178" s="1" t="s">
        <v>35</v>
      </c>
      <c r="U178" s="17">
        <v>2</v>
      </c>
      <c r="V178" s="119"/>
      <c r="W178" s="1" t="s">
        <v>36</v>
      </c>
      <c r="X178" s="17">
        <v>0</v>
      </c>
      <c r="Y178" s="119"/>
      <c r="Z178" s="1" t="s">
        <v>108</v>
      </c>
      <c r="AA178" s="17">
        <v>1</v>
      </c>
      <c r="AB178" s="119"/>
      <c r="AC178" s="1" t="s">
        <v>69</v>
      </c>
      <c r="AD178" s="17">
        <v>1</v>
      </c>
      <c r="AE178" s="119"/>
      <c r="AF178" s="1" t="s">
        <v>39</v>
      </c>
      <c r="AG178" s="17">
        <v>0</v>
      </c>
      <c r="AH178" s="119"/>
      <c r="AI178" s="11" t="s">
        <v>84</v>
      </c>
      <c r="AJ178" s="25">
        <v>2</v>
      </c>
      <c r="AK178" s="127"/>
      <c r="AL178" s="1" t="s">
        <v>71</v>
      </c>
      <c r="AM178" s="17">
        <v>1</v>
      </c>
      <c r="AN178" s="119"/>
      <c r="AO178" s="1" t="s">
        <v>130</v>
      </c>
      <c r="AP178" s="17">
        <v>4</v>
      </c>
      <c r="AQ178" s="119"/>
      <c r="AR178" s="1" t="s">
        <v>43</v>
      </c>
      <c r="AS178" s="17">
        <v>2</v>
      </c>
      <c r="AT178" s="119"/>
      <c r="AU178" s="1" t="s">
        <v>44</v>
      </c>
      <c r="AV178" s="17">
        <v>1</v>
      </c>
      <c r="AW178" s="119"/>
      <c r="AX178" s="1" t="s">
        <v>62</v>
      </c>
      <c r="AY178" s="17">
        <v>1</v>
      </c>
      <c r="AZ178" s="119"/>
      <c r="BA178" s="1" t="s">
        <v>69</v>
      </c>
      <c r="BB178" s="17">
        <v>1</v>
      </c>
      <c r="BC178" s="17">
        <v>0</v>
      </c>
      <c r="BD178" s="17">
        <v>1</v>
      </c>
      <c r="BE178" s="17">
        <v>0</v>
      </c>
      <c r="BF178" s="17">
        <v>0</v>
      </c>
      <c r="BG178" s="17">
        <v>0</v>
      </c>
      <c r="BH178" s="149" t="s">
        <v>198</v>
      </c>
      <c r="BI178" s="17">
        <v>0</v>
      </c>
      <c r="BJ178" s="131"/>
      <c r="BK178" s="1" t="s">
        <v>75</v>
      </c>
      <c r="BL178" s="17">
        <v>3</v>
      </c>
      <c r="BM178" s="119"/>
      <c r="BN178" s="1" t="s">
        <v>49</v>
      </c>
      <c r="BO178" s="17">
        <v>1</v>
      </c>
      <c r="BP178" s="119"/>
      <c r="BQ178" s="17" t="s">
        <v>50</v>
      </c>
      <c r="BR178" s="17">
        <v>1</v>
      </c>
      <c r="BS178" s="119"/>
      <c r="BT178" s="1" t="s">
        <v>69</v>
      </c>
      <c r="BU178" s="17">
        <v>2</v>
      </c>
      <c r="BV178" s="119"/>
      <c r="BW178" s="1" t="s">
        <v>51</v>
      </c>
      <c r="BX178" s="17">
        <v>0</v>
      </c>
      <c r="BY178" s="119"/>
      <c r="BZ178" s="1" t="s">
        <v>119</v>
      </c>
      <c r="CA178" s="17">
        <v>0</v>
      </c>
      <c r="CB178" s="119"/>
      <c r="CC178" s="1" t="s">
        <v>49</v>
      </c>
      <c r="CD178" s="17">
        <v>0</v>
      </c>
      <c r="CE178" s="119"/>
      <c r="CF178" s="17" t="s">
        <v>49</v>
      </c>
      <c r="CG178" s="17">
        <v>2</v>
      </c>
      <c r="CH178" s="119"/>
      <c r="CI178" s="1" t="s">
        <v>78</v>
      </c>
      <c r="CJ178" s="33">
        <v>0</v>
      </c>
      <c r="CK178" s="33">
        <v>0</v>
      </c>
      <c r="CL178" s="33">
        <v>1</v>
      </c>
      <c r="CM178" s="33">
        <v>0</v>
      </c>
      <c r="CN178" s="2" t="s">
        <v>120</v>
      </c>
    </row>
    <row r="179" spans="1:92" ht="28" x14ac:dyDescent="0.15">
      <c r="A179" s="51">
        <v>45861.610972222217</v>
      </c>
      <c r="B179" s="3" t="s">
        <v>29</v>
      </c>
      <c r="C179" s="18">
        <v>3</v>
      </c>
      <c r="D179" s="117"/>
      <c r="E179" s="6" t="s">
        <v>90</v>
      </c>
      <c r="F179" s="18">
        <v>2</v>
      </c>
      <c r="G179" s="117"/>
      <c r="H179" s="6" t="s">
        <v>91</v>
      </c>
      <c r="I179" s="18">
        <v>1</v>
      </c>
      <c r="J179" s="117"/>
      <c r="K179" s="43" t="s">
        <v>32</v>
      </c>
      <c r="L179" s="18">
        <v>2</v>
      </c>
      <c r="M179" s="120"/>
      <c r="N179" s="4" t="s">
        <v>33</v>
      </c>
      <c r="O179" s="18">
        <v>1</v>
      </c>
      <c r="P179" s="120"/>
      <c r="Q179" s="4" t="s">
        <v>34</v>
      </c>
      <c r="R179" s="18">
        <v>2</v>
      </c>
      <c r="S179" s="120"/>
      <c r="T179" s="4" t="s">
        <v>35</v>
      </c>
      <c r="U179" s="18">
        <v>1</v>
      </c>
      <c r="V179" s="120"/>
      <c r="W179" s="4" t="s">
        <v>92</v>
      </c>
      <c r="X179" s="18">
        <v>0</v>
      </c>
      <c r="Y179" s="120"/>
      <c r="Z179" s="4" t="s">
        <v>108</v>
      </c>
      <c r="AA179" s="18">
        <v>3</v>
      </c>
      <c r="AB179" s="120"/>
      <c r="AC179" s="4" t="s">
        <v>38</v>
      </c>
      <c r="AD179" s="18">
        <v>0</v>
      </c>
      <c r="AE179" s="120"/>
      <c r="AF179" s="4" t="s">
        <v>70</v>
      </c>
      <c r="AG179" s="18">
        <v>0</v>
      </c>
      <c r="AH179" s="120"/>
      <c r="AI179" s="13" t="s">
        <v>84</v>
      </c>
      <c r="AJ179" s="24">
        <v>2</v>
      </c>
      <c r="AK179" s="126"/>
      <c r="AL179" s="4" t="s">
        <v>71</v>
      </c>
      <c r="AM179" s="18">
        <v>2</v>
      </c>
      <c r="AN179" s="120"/>
      <c r="AO179" s="4" t="s">
        <v>72</v>
      </c>
      <c r="AP179" s="18">
        <v>3</v>
      </c>
      <c r="AQ179" s="120"/>
      <c r="AR179" s="4" t="s">
        <v>61</v>
      </c>
      <c r="AS179" s="18">
        <v>1</v>
      </c>
      <c r="AT179" s="120"/>
      <c r="AU179" s="4" t="s">
        <v>86</v>
      </c>
      <c r="AV179" s="18">
        <v>0</v>
      </c>
      <c r="AW179" s="120"/>
      <c r="AX179" s="4" t="s">
        <v>73</v>
      </c>
      <c r="AY179" s="18">
        <v>2</v>
      </c>
      <c r="AZ179" s="120"/>
      <c r="BA179" s="4" t="s">
        <v>59</v>
      </c>
      <c r="BB179" s="18">
        <v>0</v>
      </c>
      <c r="BC179" s="18">
        <v>0</v>
      </c>
      <c r="BD179" s="18">
        <v>1</v>
      </c>
      <c r="BE179" s="18">
        <v>1</v>
      </c>
      <c r="BF179" s="18">
        <v>0</v>
      </c>
      <c r="BG179" s="18">
        <v>0</v>
      </c>
      <c r="BH179" s="150" t="s">
        <v>95</v>
      </c>
      <c r="BI179" s="18">
        <v>0</v>
      </c>
      <c r="BJ179" s="130"/>
      <c r="BK179" s="4" t="s">
        <v>75</v>
      </c>
      <c r="BL179" s="18">
        <v>3</v>
      </c>
      <c r="BM179" s="120"/>
      <c r="BN179" s="4" t="s">
        <v>49</v>
      </c>
      <c r="BO179" s="18">
        <v>1</v>
      </c>
      <c r="BP179" s="120"/>
      <c r="BQ179" s="18" t="s">
        <v>50</v>
      </c>
      <c r="BR179" s="18">
        <v>1</v>
      </c>
      <c r="BS179" s="120"/>
      <c r="BT179" s="4" t="s">
        <v>69</v>
      </c>
      <c r="BU179" s="18">
        <v>1</v>
      </c>
      <c r="BV179" s="120"/>
      <c r="BW179" s="4" t="s">
        <v>66</v>
      </c>
      <c r="BX179" s="18">
        <v>0</v>
      </c>
      <c r="BY179" s="120"/>
      <c r="BZ179" s="4" t="s">
        <v>119</v>
      </c>
      <c r="CA179" s="18">
        <v>1</v>
      </c>
      <c r="CB179" s="120"/>
      <c r="CC179" s="4" t="s">
        <v>77</v>
      </c>
      <c r="CD179" s="18">
        <v>2</v>
      </c>
      <c r="CE179" s="120"/>
      <c r="CF179" s="18" t="s">
        <v>36</v>
      </c>
      <c r="CG179" s="18">
        <v>0</v>
      </c>
      <c r="CH179" s="120"/>
      <c r="CI179" s="4" t="s">
        <v>89</v>
      </c>
      <c r="CJ179" s="34">
        <v>0</v>
      </c>
      <c r="CK179" s="34">
        <v>0</v>
      </c>
      <c r="CL179" s="34">
        <v>1</v>
      </c>
      <c r="CM179" s="34">
        <v>0</v>
      </c>
      <c r="CN179" s="5" t="s">
        <v>120</v>
      </c>
    </row>
    <row r="180" spans="1:92" ht="28" x14ac:dyDescent="0.15">
      <c r="A180" s="51">
        <v>45861.62275949074</v>
      </c>
      <c r="B180" s="3" t="s">
        <v>29</v>
      </c>
      <c r="C180" s="17">
        <v>3</v>
      </c>
      <c r="D180" s="116"/>
      <c r="E180" s="6" t="s">
        <v>90</v>
      </c>
      <c r="F180" s="17">
        <v>2</v>
      </c>
      <c r="G180" s="116"/>
      <c r="H180" s="6" t="s">
        <v>91</v>
      </c>
      <c r="I180" s="17">
        <v>1</v>
      </c>
      <c r="J180" s="116"/>
      <c r="K180" s="43" t="s">
        <v>32</v>
      </c>
      <c r="L180" s="17">
        <v>2</v>
      </c>
      <c r="M180" s="119"/>
      <c r="N180" s="1" t="s">
        <v>33</v>
      </c>
      <c r="O180" s="18">
        <v>1</v>
      </c>
      <c r="P180" s="117"/>
      <c r="Q180" s="1" t="s">
        <v>34</v>
      </c>
      <c r="R180" s="17">
        <v>1</v>
      </c>
      <c r="S180" s="119"/>
      <c r="T180" s="1" t="s">
        <v>57</v>
      </c>
      <c r="U180" s="17">
        <v>0</v>
      </c>
      <c r="V180" s="119"/>
      <c r="W180" s="1" t="s">
        <v>49</v>
      </c>
      <c r="X180" s="17">
        <v>1</v>
      </c>
      <c r="Y180" s="119"/>
      <c r="Z180" s="1" t="s">
        <v>58</v>
      </c>
      <c r="AA180" s="17">
        <v>1</v>
      </c>
      <c r="AB180" s="119"/>
      <c r="AC180" s="1" t="s">
        <v>69</v>
      </c>
      <c r="AD180" s="17">
        <v>4</v>
      </c>
      <c r="AE180" s="119"/>
      <c r="AF180" s="1" t="s">
        <v>93</v>
      </c>
      <c r="AG180" s="17">
        <v>3</v>
      </c>
      <c r="AH180" s="119"/>
      <c r="AI180" s="11" t="s">
        <v>94</v>
      </c>
      <c r="AJ180" s="25">
        <v>0</v>
      </c>
      <c r="AK180" s="127"/>
      <c r="AL180" s="1" t="s">
        <v>85</v>
      </c>
      <c r="AM180" s="17">
        <v>1</v>
      </c>
      <c r="AN180" s="119"/>
      <c r="AO180" s="1" t="s">
        <v>130</v>
      </c>
      <c r="AP180" s="17">
        <v>3</v>
      </c>
      <c r="AQ180" s="119"/>
      <c r="AR180" s="1" t="s">
        <v>61</v>
      </c>
      <c r="AS180" s="17">
        <v>0</v>
      </c>
      <c r="AT180" s="119"/>
      <c r="AU180" s="1" t="s">
        <v>102</v>
      </c>
      <c r="AV180" s="17">
        <v>0</v>
      </c>
      <c r="AW180" s="119"/>
      <c r="AX180" s="1" t="s">
        <v>73</v>
      </c>
      <c r="AY180" s="17">
        <v>0</v>
      </c>
      <c r="AZ180" s="119"/>
      <c r="BA180" s="1" t="s">
        <v>38</v>
      </c>
      <c r="BB180" s="17">
        <v>1</v>
      </c>
      <c r="BC180" s="17">
        <v>0</v>
      </c>
      <c r="BD180" s="17">
        <v>1</v>
      </c>
      <c r="BE180" s="17">
        <v>0</v>
      </c>
      <c r="BF180" s="17">
        <v>0</v>
      </c>
      <c r="BG180" s="17">
        <v>0</v>
      </c>
      <c r="BH180" s="149" t="s">
        <v>47</v>
      </c>
      <c r="BI180" s="17">
        <v>0</v>
      </c>
      <c r="BJ180" s="131"/>
      <c r="BK180" s="1" t="s">
        <v>75</v>
      </c>
      <c r="BL180" s="17">
        <v>1</v>
      </c>
      <c r="BM180" s="119"/>
      <c r="BN180" s="1" t="s">
        <v>59</v>
      </c>
      <c r="BO180" s="17">
        <v>1</v>
      </c>
      <c r="BP180" s="119"/>
      <c r="BQ180" s="17" t="s">
        <v>50</v>
      </c>
      <c r="BR180" s="17">
        <v>0</v>
      </c>
      <c r="BS180" s="119"/>
      <c r="BT180" s="1" t="s">
        <v>46</v>
      </c>
      <c r="BU180" s="17">
        <v>2</v>
      </c>
      <c r="BV180" s="119"/>
      <c r="BW180" s="1" t="s">
        <v>51</v>
      </c>
      <c r="BX180" s="17">
        <v>3</v>
      </c>
      <c r="BY180" s="119"/>
      <c r="BZ180" s="1" t="s">
        <v>52</v>
      </c>
      <c r="CA180" s="17">
        <v>2</v>
      </c>
      <c r="CB180" s="119"/>
      <c r="CC180" s="1" t="s">
        <v>76</v>
      </c>
      <c r="CD180" s="17">
        <v>1</v>
      </c>
      <c r="CE180" s="119"/>
      <c r="CF180" s="17" t="s">
        <v>77</v>
      </c>
      <c r="CG180" s="17">
        <v>0</v>
      </c>
      <c r="CH180" s="119"/>
      <c r="CI180" s="1" t="s">
        <v>89</v>
      </c>
      <c r="CJ180" s="33">
        <v>0</v>
      </c>
      <c r="CK180" s="33">
        <v>0</v>
      </c>
      <c r="CL180" s="33">
        <v>0</v>
      </c>
      <c r="CM180" s="33">
        <v>1</v>
      </c>
      <c r="CN180" s="2" t="s">
        <v>101</v>
      </c>
    </row>
    <row r="181" spans="1:92" ht="28" x14ac:dyDescent="0.15">
      <c r="A181" s="51">
        <v>45861.623510231482</v>
      </c>
      <c r="B181" s="3" t="s">
        <v>29</v>
      </c>
      <c r="C181" s="18">
        <v>2</v>
      </c>
      <c r="D181" s="117"/>
      <c r="E181" s="6" t="s">
        <v>55</v>
      </c>
      <c r="F181" s="18">
        <v>2</v>
      </c>
      <c r="G181" s="117"/>
      <c r="H181" s="6" t="s">
        <v>91</v>
      </c>
      <c r="I181" s="18">
        <v>0</v>
      </c>
      <c r="J181" s="117"/>
      <c r="K181" s="43" t="s">
        <v>107</v>
      </c>
      <c r="L181" s="18">
        <v>2</v>
      </c>
      <c r="M181" s="120"/>
      <c r="N181" s="4" t="s">
        <v>33</v>
      </c>
      <c r="O181" s="18">
        <v>1</v>
      </c>
      <c r="P181" s="120"/>
      <c r="Q181" s="4" t="s">
        <v>34</v>
      </c>
      <c r="R181" s="18">
        <v>2</v>
      </c>
      <c r="S181" s="120"/>
      <c r="T181" s="4" t="s">
        <v>35</v>
      </c>
      <c r="U181" s="18">
        <v>1</v>
      </c>
      <c r="V181" s="120"/>
      <c r="W181" s="4" t="s">
        <v>92</v>
      </c>
      <c r="X181" s="18">
        <v>1</v>
      </c>
      <c r="Y181" s="120"/>
      <c r="Z181" s="4" t="s">
        <v>58</v>
      </c>
      <c r="AA181" s="18">
        <v>2</v>
      </c>
      <c r="AB181" s="120"/>
      <c r="AC181" s="4" t="s">
        <v>59</v>
      </c>
      <c r="AD181" s="18">
        <v>1</v>
      </c>
      <c r="AE181" s="120"/>
      <c r="AF181" s="4" t="s">
        <v>39</v>
      </c>
      <c r="AG181" s="18">
        <v>0</v>
      </c>
      <c r="AH181" s="120"/>
      <c r="AI181" s="13" t="s">
        <v>84</v>
      </c>
      <c r="AJ181" s="24">
        <v>2</v>
      </c>
      <c r="AK181" s="126"/>
      <c r="AL181" s="4" t="s">
        <v>71</v>
      </c>
      <c r="AM181" s="18">
        <v>2</v>
      </c>
      <c r="AN181" s="120"/>
      <c r="AO181" s="4" t="s">
        <v>72</v>
      </c>
      <c r="AP181" s="18">
        <v>3</v>
      </c>
      <c r="AQ181" s="120"/>
      <c r="AR181" s="4" t="s">
        <v>61</v>
      </c>
      <c r="AS181" s="18">
        <v>2</v>
      </c>
      <c r="AT181" s="120"/>
      <c r="AU181" s="4" t="s">
        <v>44</v>
      </c>
      <c r="AV181" s="18">
        <v>2</v>
      </c>
      <c r="AW181" s="120"/>
      <c r="AX181" s="4" t="s">
        <v>80</v>
      </c>
      <c r="AY181" s="18">
        <v>2</v>
      </c>
      <c r="AZ181" s="120"/>
      <c r="BA181" s="4" t="s">
        <v>59</v>
      </c>
      <c r="BB181" s="18">
        <v>1</v>
      </c>
      <c r="BC181" s="18">
        <v>0</v>
      </c>
      <c r="BD181" s="18">
        <v>1</v>
      </c>
      <c r="BE181" s="18">
        <v>0</v>
      </c>
      <c r="BF181" s="18">
        <v>0</v>
      </c>
      <c r="BG181" s="18">
        <v>0</v>
      </c>
      <c r="BH181" s="150" t="s">
        <v>47</v>
      </c>
      <c r="BI181" s="18">
        <v>1</v>
      </c>
      <c r="BJ181" s="130"/>
      <c r="BK181" s="4" t="s">
        <v>96</v>
      </c>
      <c r="BL181" s="18">
        <v>3</v>
      </c>
      <c r="BM181" s="120"/>
      <c r="BN181" s="4" t="s">
        <v>49</v>
      </c>
      <c r="BO181" s="18">
        <v>0</v>
      </c>
      <c r="BP181" s="120"/>
      <c r="BQ181" s="18" t="s">
        <v>87</v>
      </c>
      <c r="BR181" s="18">
        <v>0</v>
      </c>
      <c r="BS181" s="120"/>
      <c r="BT181" s="4" t="s">
        <v>46</v>
      </c>
      <c r="BU181" s="18">
        <v>3</v>
      </c>
      <c r="BV181" s="120"/>
      <c r="BW181" s="4" t="s">
        <v>147</v>
      </c>
      <c r="BX181" s="18">
        <v>0</v>
      </c>
      <c r="BY181" s="120"/>
      <c r="BZ181" s="4" t="s">
        <v>119</v>
      </c>
      <c r="CA181" s="18">
        <v>0</v>
      </c>
      <c r="CB181" s="120"/>
      <c r="CC181" s="4" t="s">
        <v>49</v>
      </c>
      <c r="CD181" s="18">
        <v>0</v>
      </c>
      <c r="CE181" s="120"/>
      <c r="CF181" s="18" t="s">
        <v>49</v>
      </c>
      <c r="CG181" s="18">
        <v>0</v>
      </c>
      <c r="CH181" s="120"/>
      <c r="CI181" s="4" t="s">
        <v>89</v>
      </c>
      <c r="CJ181" s="34">
        <v>1</v>
      </c>
      <c r="CK181" s="34">
        <v>0</v>
      </c>
      <c r="CL181" s="34">
        <v>1</v>
      </c>
      <c r="CM181" s="34">
        <v>0</v>
      </c>
      <c r="CN181" s="5" t="s">
        <v>54</v>
      </c>
    </row>
    <row r="182" spans="1:92" ht="28" x14ac:dyDescent="0.15">
      <c r="A182" s="51">
        <v>45861.665032881945</v>
      </c>
      <c r="B182" s="3" t="s">
        <v>29</v>
      </c>
      <c r="C182" s="17">
        <v>4</v>
      </c>
      <c r="D182" s="116"/>
      <c r="E182" s="6" t="s">
        <v>127</v>
      </c>
      <c r="F182" s="17">
        <v>1</v>
      </c>
      <c r="G182" s="116"/>
      <c r="H182" s="6" t="s">
        <v>31</v>
      </c>
      <c r="I182" s="17">
        <v>1</v>
      </c>
      <c r="J182" s="116"/>
      <c r="K182" s="43" t="s">
        <v>32</v>
      </c>
      <c r="L182" s="17">
        <v>1</v>
      </c>
      <c r="M182" s="119"/>
      <c r="N182" s="1" t="s">
        <v>124</v>
      </c>
      <c r="O182" s="18">
        <v>1</v>
      </c>
      <c r="P182" s="117"/>
      <c r="Q182" s="1" t="s">
        <v>34</v>
      </c>
      <c r="R182" s="17">
        <v>0</v>
      </c>
      <c r="S182" s="119"/>
      <c r="T182" s="1" t="s">
        <v>49</v>
      </c>
      <c r="U182" s="17">
        <v>1</v>
      </c>
      <c r="V182" s="119"/>
      <c r="W182" s="1" t="s">
        <v>92</v>
      </c>
      <c r="X182" s="17">
        <v>1</v>
      </c>
      <c r="Y182" s="119"/>
      <c r="Z182" s="1" t="s">
        <v>58</v>
      </c>
      <c r="AA182" s="17">
        <v>3</v>
      </c>
      <c r="AB182" s="119"/>
      <c r="AC182" s="1" t="s">
        <v>38</v>
      </c>
      <c r="AD182" s="17">
        <v>1</v>
      </c>
      <c r="AE182" s="119"/>
      <c r="AF182" s="1" t="s">
        <v>39</v>
      </c>
      <c r="AG182" s="17">
        <v>3</v>
      </c>
      <c r="AH182" s="119"/>
      <c r="AI182" s="11" t="s">
        <v>94</v>
      </c>
      <c r="AJ182" s="25">
        <v>0</v>
      </c>
      <c r="AK182" s="127"/>
      <c r="AL182" s="1" t="s">
        <v>85</v>
      </c>
      <c r="AM182" s="17">
        <v>1</v>
      </c>
      <c r="AN182" s="119"/>
      <c r="AO182" s="1" t="s">
        <v>130</v>
      </c>
      <c r="AP182" s="17">
        <v>3</v>
      </c>
      <c r="AQ182" s="119"/>
      <c r="AR182" s="1" t="s">
        <v>61</v>
      </c>
      <c r="AS182" s="17">
        <v>1</v>
      </c>
      <c r="AT182" s="119"/>
      <c r="AU182" s="10" t="s">
        <v>199</v>
      </c>
      <c r="AV182" s="17">
        <v>1</v>
      </c>
      <c r="AW182" s="119"/>
      <c r="AX182" s="1" t="s">
        <v>62</v>
      </c>
      <c r="AY182" s="17">
        <v>3</v>
      </c>
      <c r="AZ182" s="119"/>
      <c r="BA182" s="1" t="s">
        <v>46</v>
      </c>
      <c r="BB182" s="17">
        <v>1</v>
      </c>
      <c r="BC182" s="17">
        <v>0</v>
      </c>
      <c r="BD182" s="17">
        <v>1</v>
      </c>
      <c r="BE182" s="17">
        <v>0</v>
      </c>
      <c r="BF182" s="17">
        <v>0</v>
      </c>
      <c r="BG182" s="17">
        <v>0</v>
      </c>
      <c r="BH182" s="149" t="s">
        <v>47</v>
      </c>
      <c r="BI182" s="17">
        <v>0</v>
      </c>
      <c r="BJ182" s="131"/>
      <c r="BK182" s="1" t="s">
        <v>75</v>
      </c>
      <c r="BL182" s="17">
        <v>3</v>
      </c>
      <c r="BM182" s="119"/>
      <c r="BN182" s="1" t="s">
        <v>49</v>
      </c>
      <c r="BO182" s="17">
        <v>1</v>
      </c>
      <c r="BP182" s="119"/>
      <c r="BQ182" s="17" t="s">
        <v>50</v>
      </c>
      <c r="BR182" s="17">
        <v>1</v>
      </c>
      <c r="BS182" s="119"/>
      <c r="BT182" s="1" t="s">
        <v>69</v>
      </c>
      <c r="BU182" s="17">
        <v>0</v>
      </c>
      <c r="BV182" s="119"/>
      <c r="BW182" s="1" t="s">
        <v>88</v>
      </c>
      <c r="BX182" s="17">
        <v>0</v>
      </c>
      <c r="BY182" s="119"/>
      <c r="BZ182" s="1" t="s">
        <v>119</v>
      </c>
      <c r="CA182" s="17">
        <v>0</v>
      </c>
      <c r="CB182" s="119"/>
      <c r="CC182" s="1" t="s">
        <v>49</v>
      </c>
      <c r="CD182" s="17">
        <v>1</v>
      </c>
      <c r="CE182" s="119"/>
      <c r="CF182" s="17" t="s">
        <v>77</v>
      </c>
      <c r="CG182" s="17">
        <v>3</v>
      </c>
      <c r="CH182" s="119"/>
      <c r="CI182" s="1" t="s">
        <v>53</v>
      </c>
      <c r="CJ182" s="33">
        <v>1</v>
      </c>
      <c r="CK182" s="33">
        <v>0</v>
      </c>
      <c r="CL182" s="33">
        <v>1</v>
      </c>
      <c r="CM182" s="33">
        <v>0</v>
      </c>
      <c r="CN182" s="2" t="s">
        <v>54</v>
      </c>
    </row>
    <row r="183" spans="1:92" ht="28" x14ac:dyDescent="0.15">
      <c r="A183" s="51">
        <v>45861.712288738425</v>
      </c>
      <c r="B183" s="3" t="s">
        <v>29</v>
      </c>
      <c r="C183" s="18">
        <v>4</v>
      </c>
      <c r="D183" s="117"/>
      <c r="E183" s="6" t="s">
        <v>127</v>
      </c>
      <c r="F183" s="18">
        <v>1</v>
      </c>
      <c r="G183" s="117"/>
      <c r="H183" s="6" t="s">
        <v>31</v>
      </c>
      <c r="I183" s="18">
        <v>3</v>
      </c>
      <c r="J183" s="117"/>
      <c r="K183" s="43" t="s">
        <v>56</v>
      </c>
      <c r="L183" s="18">
        <v>2</v>
      </c>
      <c r="M183" s="120"/>
      <c r="N183" s="4" t="s">
        <v>33</v>
      </c>
      <c r="O183" s="18">
        <v>1</v>
      </c>
      <c r="P183" s="120"/>
      <c r="Q183" s="4" t="s">
        <v>34</v>
      </c>
      <c r="R183" s="18">
        <v>2</v>
      </c>
      <c r="S183" s="120"/>
      <c r="T183" s="4" t="s">
        <v>35</v>
      </c>
      <c r="U183" s="18">
        <v>2</v>
      </c>
      <c r="V183" s="120"/>
      <c r="W183" s="4" t="s">
        <v>36</v>
      </c>
      <c r="X183" s="18">
        <v>0</v>
      </c>
      <c r="Y183" s="120"/>
      <c r="Z183" s="4" t="s">
        <v>108</v>
      </c>
      <c r="AA183" s="18">
        <v>0</v>
      </c>
      <c r="AB183" s="120"/>
      <c r="AC183" s="4" t="s">
        <v>46</v>
      </c>
      <c r="AD183" s="18">
        <v>5</v>
      </c>
      <c r="AE183" s="120"/>
      <c r="AF183" s="4" t="s">
        <v>115</v>
      </c>
      <c r="AG183" s="18">
        <v>0</v>
      </c>
      <c r="AH183" s="120"/>
      <c r="AI183" s="13" t="s">
        <v>84</v>
      </c>
      <c r="AJ183" s="24">
        <v>0</v>
      </c>
      <c r="AK183" s="126"/>
      <c r="AL183" s="4" t="s">
        <v>85</v>
      </c>
      <c r="AM183" s="18">
        <v>0</v>
      </c>
      <c r="AN183" s="120"/>
      <c r="AO183" s="4" t="s">
        <v>110</v>
      </c>
      <c r="AP183" s="18">
        <v>3</v>
      </c>
      <c r="AQ183" s="120"/>
      <c r="AR183" s="4" t="s">
        <v>61</v>
      </c>
      <c r="AS183" s="18">
        <v>0</v>
      </c>
      <c r="AT183" s="120"/>
      <c r="AU183" s="4" t="s">
        <v>102</v>
      </c>
      <c r="AV183" s="18">
        <v>0</v>
      </c>
      <c r="AW183" s="120"/>
      <c r="AX183" s="4" t="s">
        <v>73</v>
      </c>
      <c r="AY183" s="18">
        <v>2</v>
      </c>
      <c r="AZ183" s="120"/>
      <c r="BA183" s="4" t="s">
        <v>59</v>
      </c>
      <c r="BB183" s="18">
        <v>0</v>
      </c>
      <c r="BC183" s="18">
        <v>0</v>
      </c>
      <c r="BD183" s="18">
        <v>1</v>
      </c>
      <c r="BE183" s="18">
        <v>1</v>
      </c>
      <c r="BF183" s="18">
        <v>0</v>
      </c>
      <c r="BG183" s="18">
        <v>0</v>
      </c>
      <c r="BH183" s="150" t="s">
        <v>95</v>
      </c>
      <c r="BI183" s="18">
        <v>0</v>
      </c>
      <c r="BJ183" s="130"/>
      <c r="BK183" s="4" t="s">
        <v>75</v>
      </c>
      <c r="BL183" s="18">
        <v>0</v>
      </c>
      <c r="BM183" s="120"/>
      <c r="BN183" s="4" t="s">
        <v>36</v>
      </c>
      <c r="BO183" s="18">
        <v>0</v>
      </c>
      <c r="BP183" s="120"/>
      <c r="BQ183" s="18" t="s">
        <v>87</v>
      </c>
      <c r="BR183" s="18">
        <v>0</v>
      </c>
      <c r="BS183" s="120"/>
      <c r="BT183" s="4" t="s">
        <v>46</v>
      </c>
      <c r="BU183" s="18">
        <v>0</v>
      </c>
      <c r="BV183" s="120"/>
      <c r="BW183" s="4" t="s">
        <v>88</v>
      </c>
      <c r="BX183" s="18">
        <v>3</v>
      </c>
      <c r="BY183" s="120"/>
      <c r="BZ183" s="4" t="s">
        <v>52</v>
      </c>
      <c r="CA183" s="18">
        <v>3</v>
      </c>
      <c r="CB183" s="120"/>
      <c r="CC183" s="4" t="s">
        <v>36</v>
      </c>
      <c r="CD183" s="18">
        <v>2</v>
      </c>
      <c r="CE183" s="120"/>
      <c r="CF183" s="18" t="s">
        <v>36</v>
      </c>
      <c r="CG183" s="18">
        <v>2</v>
      </c>
      <c r="CH183" s="120"/>
      <c r="CI183" s="4" t="s">
        <v>78</v>
      </c>
      <c r="CJ183" s="34">
        <v>0</v>
      </c>
      <c r="CK183" s="34">
        <v>0</v>
      </c>
      <c r="CL183" s="34">
        <v>1</v>
      </c>
      <c r="CM183" s="34">
        <v>0</v>
      </c>
      <c r="CN183" s="5" t="s">
        <v>120</v>
      </c>
    </row>
    <row r="184" spans="1:92" ht="28" x14ac:dyDescent="0.15">
      <c r="A184" s="51">
        <v>45861.728983067129</v>
      </c>
      <c r="B184" s="3" t="s">
        <v>29</v>
      </c>
      <c r="C184" s="17">
        <v>5</v>
      </c>
      <c r="D184" s="116"/>
      <c r="E184" s="6" t="s">
        <v>30</v>
      </c>
      <c r="F184" s="17">
        <v>2</v>
      </c>
      <c r="G184" s="116"/>
      <c r="H184" s="6" t="s">
        <v>91</v>
      </c>
      <c r="I184" s="17">
        <v>1</v>
      </c>
      <c r="J184" s="116"/>
      <c r="K184" s="43" t="s">
        <v>32</v>
      </c>
      <c r="L184" s="17">
        <v>2</v>
      </c>
      <c r="M184" s="119"/>
      <c r="N184" s="1" t="s">
        <v>33</v>
      </c>
      <c r="O184" s="18">
        <v>1</v>
      </c>
      <c r="P184" s="117"/>
      <c r="Q184" s="1" t="s">
        <v>34</v>
      </c>
      <c r="R184" s="17">
        <v>0</v>
      </c>
      <c r="S184" s="119"/>
      <c r="T184" s="1" t="s">
        <v>49</v>
      </c>
      <c r="U184" s="17">
        <v>0</v>
      </c>
      <c r="V184" s="119"/>
      <c r="W184" s="1" t="s">
        <v>77</v>
      </c>
      <c r="X184" s="17">
        <v>1</v>
      </c>
      <c r="Y184" s="119"/>
      <c r="Z184" s="1" t="s">
        <v>58</v>
      </c>
      <c r="AA184" s="17">
        <v>1</v>
      </c>
      <c r="AB184" s="119"/>
      <c r="AC184" s="1" t="s">
        <v>69</v>
      </c>
      <c r="AD184" s="17">
        <v>4</v>
      </c>
      <c r="AE184" s="119"/>
      <c r="AF184" s="1" t="s">
        <v>93</v>
      </c>
      <c r="AG184" s="17">
        <v>2</v>
      </c>
      <c r="AH184" s="119"/>
      <c r="AI184" s="11" t="s">
        <v>40</v>
      </c>
      <c r="AJ184" s="25">
        <v>2</v>
      </c>
      <c r="AK184" s="127"/>
      <c r="AL184" s="1" t="s">
        <v>71</v>
      </c>
      <c r="AM184" s="17">
        <v>1</v>
      </c>
      <c r="AN184" s="119"/>
      <c r="AO184" s="1" t="s">
        <v>130</v>
      </c>
      <c r="AP184" s="17">
        <v>3</v>
      </c>
      <c r="AQ184" s="119"/>
      <c r="AR184" s="1" t="s">
        <v>61</v>
      </c>
      <c r="AS184" s="17">
        <v>2</v>
      </c>
      <c r="AT184" s="119"/>
      <c r="AU184" s="1" t="s">
        <v>44</v>
      </c>
      <c r="AV184" s="17">
        <v>0</v>
      </c>
      <c r="AW184" s="119"/>
      <c r="AX184" s="1" t="s">
        <v>73</v>
      </c>
      <c r="AY184" s="17">
        <v>2</v>
      </c>
      <c r="AZ184" s="119"/>
      <c r="BA184" s="1" t="s">
        <v>59</v>
      </c>
      <c r="BB184" s="17">
        <v>1</v>
      </c>
      <c r="BC184" s="17">
        <v>0</v>
      </c>
      <c r="BD184" s="17">
        <v>1</v>
      </c>
      <c r="BE184" s="17">
        <v>0</v>
      </c>
      <c r="BF184" s="17">
        <v>0</v>
      </c>
      <c r="BG184" s="17">
        <v>0</v>
      </c>
      <c r="BH184" s="149" t="s">
        <v>47</v>
      </c>
      <c r="BI184" s="17">
        <v>0</v>
      </c>
      <c r="BJ184" s="131"/>
      <c r="BK184" s="1" t="s">
        <v>75</v>
      </c>
      <c r="BL184" s="17">
        <v>1</v>
      </c>
      <c r="BM184" s="119"/>
      <c r="BN184" s="1" t="s">
        <v>59</v>
      </c>
      <c r="BO184" s="17">
        <v>1</v>
      </c>
      <c r="BP184" s="119"/>
      <c r="BQ184" s="17" t="s">
        <v>50</v>
      </c>
      <c r="BR184" s="17">
        <v>2</v>
      </c>
      <c r="BS184" s="119"/>
      <c r="BT184" s="1" t="s">
        <v>65</v>
      </c>
      <c r="BU184" s="17">
        <v>2</v>
      </c>
      <c r="BV184" s="119"/>
      <c r="BW184" s="1" t="s">
        <v>51</v>
      </c>
      <c r="BX184" s="17">
        <v>0</v>
      </c>
      <c r="BY184" s="119"/>
      <c r="BZ184" s="1" t="s">
        <v>119</v>
      </c>
      <c r="CA184" s="17">
        <v>2</v>
      </c>
      <c r="CB184" s="119"/>
      <c r="CC184" s="1" t="s">
        <v>76</v>
      </c>
      <c r="CD184" s="17">
        <v>1</v>
      </c>
      <c r="CE184" s="119"/>
      <c r="CF184" s="17" t="s">
        <v>77</v>
      </c>
      <c r="CG184" s="17">
        <v>3</v>
      </c>
      <c r="CH184" s="119"/>
      <c r="CI184" s="1" t="s">
        <v>53</v>
      </c>
      <c r="CJ184" s="33">
        <v>1</v>
      </c>
      <c r="CK184" s="33">
        <v>1</v>
      </c>
      <c r="CL184" s="33">
        <v>0</v>
      </c>
      <c r="CM184" s="33">
        <v>0</v>
      </c>
      <c r="CN184" s="2" t="s">
        <v>82</v>
      </c>
    </row>
    <row r="185" spans="1:92" ht="28" x14ac:dyDescent="0.15">
      <c r="A185" s="51">
        <v>45861.774911412038</v>
      </c>
      <c r="B185" s="3" t="s">
        <v>29</v>
      </c>
      <c r="C185" s="18">
        <v>2</v>
      </c>
      <c r="D185" s="117"/>
      <c r="E185" s="6" t="s">
        <v>55</v>
      </c>
      <c r="F185" s="18">
        <v>2</v>
      </c>
      <c r="G185" s="117"/>
      <c r="H185" s="6" t="s">
        <v>91</v>
      </c>
      <c r="I185" s="18">
        <v>0</v>
      </c>
      <c r="J185" s="117"/>
      <c r="K185" s="43" t="s">
        <v>107</v>
      </c>
      <c r="L185" s="18">
        <v>2</v>
      </c>
      <c r="M185" s="120"/>
      <c r="N185" s="4" t="s">
        <v>33</v>
      </c>
      <c r="O185" s="18">
        <v>1</v>
      </c>
      <c r="P185" s="120"/>
      <c r="Q185" s="4" t="s">
        <v>34</v>
      </c>
      <c r="R185" s="18">
        <v>1</v>
      </c>
      <c r="S185" s="120"/>
      <c r="T185" s="4" t="s">
        <v>57</v>
      </c>
      <c r="U185" s="18">
        <v>2</v>
      </c>
      <c r="V185" s="120"/>
      <c r="W185" s="4" t="s">
        <v>36</v>
      </c>
      <c r="X185" s="18">
        <v>1</v>
      </c>
      <c r="Y185" s="120"/>
      <c r="Z185" s="4" t="s">
        <v>58</v>
      </c>
      <c r="AA185" s="18">
        <v>1</v>
      </c>
      <c r="AB185" s="120"/>
      <c r="AC185" s="4" t="s">
        <v>69</v>
      </c>
      <c r="AD185" s="18">
        <v>1</v>
      </c>
      <c r="AE185" s="120"/>
      <c r="AF185" s="4" t="s">
        <v>39</v>
      </c>
      <c r="AG185" s="18">
        <v>3</v>
      </c>
      <c r="AH185" s="120"/>
      <c r="AI185" s="13" t="s">
        <v>94</v>
      </c>
      <c r="AJ185" s="24">
        <v>0</v>
      </c>
      <c r="AK185" s="126"/>
      <c r="AL185" s="4" t="s">
        <v>85</v>
      </c>
      <c r="AM185" s="18">
        <v>2</v>
      </c>
      <c r="AN185" s="120"/>
      <c r="AO185" s="4" t="s">
        <v>72</v>
      </c>
      <c r="AP185" s="18">
        <v>3</v>
      </c>
      <c r="AQ185" s="120"/>
      <c r="AR185" s="4" t="s">
        <v>61</v>
      </c>
      <c r="AS185" s="18">
        <v>2</v>
      </c>
      <c r="AT185" s="120"/>
      <c r="AU185" s="4" t="s">
        <v>44</v>
      </c>
      <c r="AV185" s="18">
        <v>2</v>
      </c>
      <c r="AW185" s="120"/>
      <c r="AX185" s="4" t="s">
        <v>80</v>
      </c>
      <c r="AY185" s="18">
        <v>1</v>
      </c>
      <c r="AZ185" s="120"/>
      <c r="BA185" s="4" t="s">
        <v>69</v>
      </c>
      <c r="BB185" s="18">
        <v>1</v>
      </c>
      <c r="BC185" s="18">
        <v>0</v>
      </c>
      <c r="BD185" s="18">
        <v>1</v>
      </c>
      <c r="BE185" s="18">
        <v>0</v>
      </c>
      <c r="BF185" s="18">
        <v>0</v>
      </c>
      <c r="BG185" s="18">
        <v>0</v>
      </c>
      <c r="BH185" s="150" t="s">
        <v>47</v>
      </c>
      <c r="BI185" s="18">
        <v>0</v>
      </c>
      <c r="BJ185" s="130"/>
      <c r="BK185" s="4" t="s">
        <v>75</v>
      </c>
      <c r="BL185" s="18">
        <v>1</v>
      </c>
      <c r="BM185" s="120"/>
      <c r="BN185" s="4" t="s">
        <v>59</v>
      </c>
      <c r="BO185" s="18">
        <v>1</v>
      </c>
      <c r="BP185" s="120"/>
      <c r="BQ185" s="18" t="s">
        <v>50</v>
      </c>
      <c r="BR185" s="18">
        <v>2</v>
      </c>
      <c r="BS185" s="120"/>
      <c r="BT185" s="4" t="s">
        <v>65</v>
      </c>
      <c r="BU185" s="18">
        <v>3</v>
      </c>
      <c r="BV185" s="120"/>
      <c r="BW185" s="4" t="s">
        <v>147</v>
      </c>
      <c r="BX185" s="18">
        <v>2</v>
      </c>
      <c r="BY185" s="120"/>
      <c r="BZ185" s="4" t="s">
        <v>97</v>
      </c>
      <c r="CA185" s="18">
        <v>2</v>
      </c>
      <c r="CB185" s="120"/>
      <c r="CC185" s="4" t="s">
        <v>76</v>
      </c>
      <c r="CD185" s="18">
        <v>1</v>
      </c>
      <c r="CE185" s="120"/>
      <c r="CF185" s="18" t="s">
        <v>77</v>
      </c>
      <c r="CG185" s="18">
        <v>1</v>
      </c>
      <c r="CH185" s="120"/>
      <c r="CI185" s="4" t="s">
        <v>77</v>
      </c>
      <c r="CJ185" s="34">
        <v>1</v>
      </c>
      <c r="CK185" s="34">
        <v>0</v>
      </c>
      <c r="CL185" s="34">
        <v>1</v>
      </c>
      <c r="CM185" s="34">
        <v>0</v>
      </c>
      <c r="CN185" s="5" t="s">
        <v>54</v>
      </c>
    </row>
    <row r="186" spans="1:92" ht="28" x14ac:dyDescent="0.15">
      <c r="A186" s="51">
        <v>45861.827231724536</v>
      </c>
      <c r="B186" s="3" t="s">
        <v>29</v>
      </c>
      <c r="C186" s="17">
        <v>4</v>
      </c>
      <c r="D186" s="116"/>
      <c r="E186" s="6" t="s">
        <v>127</v>
      </c>
      <c r="F186" s="17">
        <v>2</v>
      </c>
      <c r="G186" s="116"/>
      <c r="H186" s="6" t="s">
        <v>91</v>
      </c>
      <c r="I186" s="17">
        <v>1</v>
      </c>
      <c r="J186" s="116"/>
      <c r="K186" s="43" t="s">
        <v>32</v>
      </c>
      <c r="L186" s="17">
        <v>0</v>
      </c>
      <c r="M186" s="119"/>
      <c r="N186" s="1" t="s">
        <v>145</v>
      </c>
      <c r="O186" s="18">
        <v>1</v>
      </c>
      <c r="P186" s="117"/>
      <c r="Q186" s="1" t="s">
        <v>34</v>
      </c>
      <c r="R186" s="17">
        <v>1</v>
      </c>
      <c r="S186" s="119"/>
      <c r="T186" s="1" t="s">
        <v>57</v>
      </c>
      <c r="U186" s="17">
        <v>2</v>
      </c>
      <c r="V186" s="119"/>
      <c r="W186" s="1" t="s">
        <v>36</v>
      </c>
      <c r="X186" s="17">
        <v>2</v>
      </c>
      <c r="Y186" s="119"/>
      <c r="Z186" s="1" t="s">
        <v>37</v>
      </c>
      <c r="AA186" s="17">
        <v>3</v>
      </c>
      <c r="AB186" s="119"/>
      <c r="AC186" s="1" t="s">
        <v>38</v>
      </c>
      <c r="AD186" s="17">
        <v>4</v>
      </c>
      <c r="AE186" s="119"/>
      <c r="AF186" s="1" t="s">
        <v>93</v>
      </c>
      <c r="AG186" s="17">
        <v>1</v>
      </c>
      <c r="AH186" s="119"/>
      <c r="AI186" s="11" t="s">
        <v>200</v>
      </c>
      <c r="AJ186" s="25">
        <v>3</v>
      </c>
      <c r="AK186" s="127"/>
      <c r="AL186" s="1" t="s">
        <v>41</v>
      </c>
      <c r="AM186" s="17">
        <v>3</v>
      </c>
      <c r="AN186" s="119"/>
      <c r="AO186" s="1" t="s">
        <v>42</v>
      </c>
      <c r="AP186" s="17">
        <v>2</v>
      </c>
      <c r="AQ186" s="119"/>
      <c r="AR186" s="1" t="s">
        <v>104</v>
      </c>
      <c r="AS186" s="17">
        <v>3</v>
      </c>
      <c r="AT186" s="119"/>
      <c r="AU186" s="1" t="s">
        <v>79</v>
      </c>
      <c r="AV186" s="17">
        <v>2</v>
      </c>
      <c r="AW186" s="119"/>
      <c r="AX186" s="1" t="s">
        <v>80</v>
      </c>
      <c r="AY186" s="17">
        <v>3</v>
      </c>
      <c r="AZ186" s="119"/>
      <c r="BA186" s="1" t="s">
        <v>46</v>
      </c>
      <c r="BB186" s="17">
        <v>0</v>
      </c>
      <c r="BC186" s="17">
        <v>1</v>
      </c>
      <c r="BD186" s="17">
        <v>1</v>
      </c>
      <c r="BE186" s="17">
        <v>0</v>
      </c>
      <c r="BF186" s="17">
        <v>0</v>
      </c>
      <c r="BG186" s="17">
        <v>0</v>
      </c>
      <c r="BH186" s="149" t="s">
        <v>201</v>
      </c>
      <c r="BI186" s="17">
        <v>2</v>
      </c>
      <c r="BJ186" s="131"/>
      <c r="BK186" s="1" t="s">
        <v>48</v>
      </c>
      <c r="BL186" s="17">
        <v>1</v>
      </c>
      <c r="BM186" s="119"/>
      <c r="BN186" s="1" t="s">
        <v>59</v>
      </c>
      <c r="BO186" s="17">
        <v>3</v>
      </c>
      <c r="BP186" s="119"/>
      <c r="BQ186" s="17" t="s">
        <v>202</v>
      </c>
      <c r="BR186" s="17">
        <v>3</v>
      </c>
      <c r="BS186" s="119"/>
      <c r="BT186" s="1" t="s">
        <v>38</v>
      </c>
      <c r="BU186" s="17">
        <v>2</v>
      </c>
      <c r="BV186" s="119"/>
      <c r="BW186" s="1" t="s">
        <v>51</v>
      </c>
      <c r="BX186" s="17">
        <v>2</v>
      </c>
      <c r="BY186" s="119"/>
      <c r="BZ186" s="1" t="s">
        <v>97</v>
      </c>
      <c r="CA186" s="17">
        <v>3</v>
      </c>
      <c r="CB186" s="119"/>
      <c r="CC186" s="1" t="s">
        <v>36</v>
      </c>
      <c r="CD186" s="17">
        <v>1</v>
      </c>
      <c r="CE186" s="119"/>
      <c r="CF186" s="17" t="s">
        <v>77</v>
      </c>
      <c r="CG186" s="17">
        <v>3</v>
      </c>
      <c r="CH186" s="119"/>
      <c r="CI186" s="1" t="s">
        <v>53</v>
      </c>
      <c r="CJ186" s="33">
        <v>1</v>
      </c>
      <c r="CK186" s="33">
        <v>1</v>
      </c>
      <c r="CL186" s="33">
        <v>0</v>
      </c>
      <c r="CM186" s="33">
        <v>0</v>
      </c>
      <c r="CN186" s="2" t="s">
        <v>82</v>
      </c>
    </row>
    <row r="187" spans="1:92" ht="28" x14ac:dyDescent="0.15">
      <c r="A187" s="51">
        <v>45861.896009525459</v>
      </c>
      <c r="B187" s="3" t="s">
        <v>29</v>
      </c>
      <c r="C187" s="18">
        <v>4</v>
      </c>
      <c r="D187" s="117"/>
      <c r="E187" s="6" t="s">
        <v>127</v>
      </c>
      <c r="F187" s="18">
        <v>1</v>
      </c>
      <c r="G187" s="117"/>
      <c r="H187" s="6" t="s">
        <v>31</v>
      </c>
      <c r="I187" s="18">
        <v>4</v>
      </c>
      <c r="J187" s="117"/>
      <c r="K187" s="43" t="s">
        <v>118</v>
      </c>
      <c r="L187" s="18">
        <v>3</v>
      </c>
      <c r="M187" s="120"/>
      <c r="N187" s="4" t="s">
        <v>148</v>
      </c>
      <c r="O187" s="18">
        <v>0</v>
      </c>
      <c r="P187" s="120"/>
      <c r="Q187" s="4" t="s">
        <v>181</v>
      </c>
      <c r="R187" s="18">
        <v>2</v>
      </c>
      <c r="S187" s="120"/>
      <c r="T187" s="4" t="s">
        <v>35</v>
      </c>
      <c r="U187" s="18">
        <v>1</v>
      </c>
      <c r="V187" s="120"/>
      <c r="W187" s="4" t="s">
        <v>92</v>
      </c>
      <c r="X187" s="18">
        <v>1</v>
      </c>
      <c r="Y187" s="120"/>
      <c r="Z187" s="4" t="s">
        <v>58</v>
      </c>
      <c r="AA187" s="18">
        <v>2</v>
      </c>
      <c r="AB187" s="120"/>
      <c r="AC187" s="4" t="s">
        <v>59</v>
      </c>
      <c r="AD187" s="18">
        <v>4</v>
      </c>
      <c r="AE187" s="120"/>
      <c r="AF187" s="4" t="s">
        <v>93</v>
      </c>
      <c r="AG187" s="18">
        <v>0</v>
      </c>
      <c r="AH187" s="120"/>
      <c r="AI187" s="13" t="s">
        <v>84</v>
      </c>
      <c r="AJ187" s="24">
        <v>3</v>
      </c>
      <c r="AK187" s="126"/>
      <c r="AL187" s="4" t="s">
        <v>41</v>
      </c>
      <c r="AM187" s="18">
        <v>2</v>
      </c>
      <c r="AN187" s="120"/>
      <c r="AO187" s="4" t="s">
        <v>72</v>
      </c>
      <c r="AP187" s="18">
        <v>3</v>
      </c>
      <c r="AQ187" s="120"/>
      <c r="AR187" s="4" t="s">
        <v>61</v>
      </c>
      <c r="AS187" s="18">
        <v>3</v>
      </c>
      <c r="AT187" s="120"/>
      <c r="AU187" s="4" t="s">
        <v>79</v>
      </c>
      <c r="AV187" s="18">
        <v>2</v>
      </c>
      <c r="AW187" s="120"/>
      <c r="AX187" s="4" t="s">
        <v>80</v>
      </c>
      <c r="AY187" s="18">
        <v>2</v>
      </c>
      <c r="AZ187" s="120"/>
      <c r="BA187" s="4" t="s">
        <v>59</v>
      </c>
      <c r="BB187" s="18">
        <v>1</v>
      </c>
      <c r="BC187" s="18">
        <v>0</v>
      </c>
      <c r="BD187" s="18">
        <v>0</v>
      </c>
      <c r="BE187" s="18">
        <v>1</v>
      </c>
      <c r="BF187" s="18">
        <v>0</v>
      </c>
      <c r="BG187" s="18">
        <v>0</v>
      </c>
      <c r="BH187" s="150" t="s">
        <v>74</v>
      </c>
      <c r="BI187" s="18">
        <v>0</v>
      </c>
      <c r="BJ187" s="130"/>
      <c r="BK187" s="4" t="s">
        <v>75</v>
      </c>
      <c r="BL187" s="18">
        <v>1</v>
      </c>
      <c r="BM187" s="120"/>
      <c r="BN187" s="4" t="s">
        <v>59</v>
      </c>
      <c r="BO187" s="18">
        <v>1</v>
      </c>
      <c r="BP187" s="120"/>
      <c r="BQ187" s="18" t="s">
        <v>50</v>
      </c>
      <c r="BR187" s="18">
        <v>3</v>
      </c>
      <c r="BS187" s="120"/>
      <c r="BT187" s="4" t="s">
        <v>38</v>
      </c>
      <c r="BU187" s="18">
        <v>2</v>
      </c>
      <c r="BV187" s="120"/>
      <c r="BW187" s="4" t="s">
        <v>51</v>
      </c>
      <c r="BX187" s="18">
        <v>2</v>
      </c>
      <c r="BY187" s="120"/>
      <c r="BZ187" s="4" t="s">
        <v>97</v>
      </c>
      <c r="CA187" s="18">
        <v>2</v>
      </c>
      <c r="CB187" s="120"/>
      <c r="CC187" s="4" t="s">
        <v>76</v>
      </c>
      <c r="CD187" s="18">
        <v>1</v>
      </c>
      <c r="CE187" s="120"/>
      <c r="CF187" s="18" t="s">
        <v>77</v>
      </c>
      <c r="CG187" s="18">
        <v>1</v>
      </c>
      <c r="CH187" s="120"/>
      <c r="CI187" s="4" t="s">
        <v>77</v>
      </c>
      <c r="CJ187" s="34">
        <v>1</v>
      </c>
      <c r="CK187" s="34">
        <v>1</v>
      </c>
      <c r="CL187" s="34">
        <v>0</v>
      </c>
      <c r="CM187" s="34">
        <v>0</v>
      </c>
      <c r="CN187" s="5" t="s">
        <v>82</v>
      </c>
    </row>
    <row r="188" spans="1:92" ht="28" x14ac:dyDescent="0.15">
      <c r="A188" s="51">
        <v>45862.367691168984</v>
      </c>
      <c r="B188" s="3" t="s">
        <v>29</v>
      </c>
      <c r="C188" s="17">
        <v>2</v>
      </c>
      <c r="D188" s="116"/>
      <c r="E188" s="6" t="s">
        <v>55</v>
      </c>
      <c r="F188" s="17">
        <v>1</v>
      </c>
      <c r="G188" s="116"/>
      <c r="H188" s="6" t="s">
        <v>31</v>
      </c>
      <c r="I188" s="17">
        <v>2</v>
      </c>
      <c r="J188" s="116"/>
      <c r="K188" s="43" t="s">
        <v>116</v>
      </c>
      <c r="L188" s="17">
        <v>1</v>
      </c>
      <c r="M188" s="119"/>
      <c r="N188" s="1" t="s">
        <v>124</v>
      </c>
      <c r="O188" s="29">
        <v>1</v>
      </c>
      <c r="P188" s="122"/>
      <c r="Q188" s="1" t="s">
        <v>34</v>
      </c>
      <c r="R188" s="17">
        <v>2</v>
      </c>
      <c r="S188" s="119"/>
      <c r="T188" s="1" t="s">
        <v>35</v>
      </c>
      <c r="U188" s="17">
        <v>1</v>
      </c>
      <c r="V188" s="119"/>
      <c r="W188" s="1" t="s">
        <v>92</v>
      </c>
      <c r="X188" s="17">
        <v>1</v>
      </c>
      <c r="Y188" s="119"/>
      <c r="Z188" s="1" t="s">
        <v>58</v>
      </c>
      <c r="AA188" s="17">
        <v>1</v>
      </c>
      <c r="AB188" s="119"/>
      <c r="AC188" s="1" t="s">
        <v>69</v>
      </c>
      <c r="AD188" s="17">
        <v>4</v>
      </c>
      <c r="AE188" s="119"/>
      <c r="AF188" s="1" t="s">
        <v>93</v>
      </c>
      <c r="AG188" s="17">
        <v>0</v>
      </c>
      <c r="AH188" s="119"/>
      <c r="AI188" s="11" t="s">
        <v>84</v>
      </c>
      <c r="AJ188" s="25">
        <v>0</v>
      </c>
      <c r="AK188" s="127"/>
      <c r="AL188" s="1" t="s">
        <v>85</v>
      </c>
      <c r="AM188" s="17">
        <v>1</v>
      </c>
      <c r="AN188" s="119"/>
      <c r="AO188" s="1" t="s">
        <v>130</v>
      </c>
      <c r="AP188" s="17">
        <v>0</v>
      </c>
      <c r="AQ188" s="119"/>
      <c r="AR188" s="1" t="s">
        <v>121</v>
      </c>
      <c r="AS188" s="17">
        <v>0</v>
      </c>
      <c r="AT188" s="119"/>
      <c r="AU188" s="1" t="s">
        <v>102</v>
      </c>
      <c r="AV188" s="17">
        <v>0</v>
      </c>
      <c r="AW188" s="119"/>
      <c r="AX188" s="1" t="s">
        <v>62</v>
      </c>
      <c r="AY188" s="17">
        <v>2</v>
      </c>
      <c r="AZ188" s="119"/>
      <c r="BA188" s="1" t="s">
        <v>59</v>
      </c>
      <c r="BB188" s="17">
        <v>1</v>
      </c>
      <c r="BC188" s="17">
        <v>0</v>
      </c>
      <c r="BD188" s="17">
        <v>0</v>
      </c>
      <c r="BE188" s="17">
        <v>1</v>
      </c>
      <c r="BF188" s="17">
        <v>0</v>
      </c>
      <c r="BG188" s="17">
        <v>0</v>
      </c>
      <c r="BH188" s="149" t="s">
        <v>74</v>
      </c>
      <c r="BI188" s="17">
        <v>1</v>
      </c>
      <c r="BJ188" s="131"/>
      <c r="BK188" s="1" t="s">
        <v>96</v>
      </c>
      <c r="BL188" s="17">
        <v>0</v>
      </c>
      <c r="BM188" s="119"/>
      <c r="BN188" s="1" t="s">
        <v>36</v>
      </c>
      <c r="BO188" s="17">
        <v>0</v>
      </c>
      <c r="BP188" s="119"/>
      <c r="BQ188" s="17" t="s">
        <v>87</v>
      </c>
      <c r="BR188" s="17">
        <v>1</v>
      </c>
      <c r="BS188" s="119"/>
      <c r="BT188" s="1" t="s">
        <v>69</v>
      </c>
      <c r="BU188" s="17">
        <v>2</v>
      </c>
      <c r="BV188" s="119"/>
      <c r="BW188" s="1" t="s">
        <v>51</v>
      </c>
      <c r="BX188" s="17">
        <v>1</v>
      </c>
      <c r="BY188" s="119"/>
      <c r="BZ188" s="1" t="s">
        <v>67</v>
      </c>
      <c r="CA188" s="17">
        <v>1</v>
      </c>
      <c r="CB188" s="119"/>
      <c r="CC188" s="1" t="s">
        <v>77</v>
      </c>
      <c r="CD188" s="17">
        <v>0</v>
      </c>
      <c r="CE188" s="119"/>
      <c r="CF188" s="17" t="s">
        <v>49</v>
      </c>
      <c r="CG188" s="17">
        <v>2</v>
      </c>
      <c r="CH188" s="119"/>
      <c r="CI188" s="1" t="s">
        <v>78</v>
      </c>
      <c r="CJ188" s="33">
        <v>0</v>
      </c>
      <c r="CK188" s="33">
        <v>0</v>
      </c>
      <c r="CL188" s="33">
        <v>0</v>
      </c>
      <c r="CM188" s="33">
        <v>1</v>
      </c>
      <c r="CN188" s="2" t="s">
        <v>101</v>
      </c>
    </row>
    <row r="189" spans="1:92" ht="28" x14ac:dyDescent="0.15">
      <c r="A189" s="51">
        <v>45862.37492130787</v>
      </c>
      <c r="B189" s="3" t="s">
        <v>29</v>
      </c>
      <c r="C189" s="18">
        <v>3</v>
      </c>
      <c r="D189" s="117"/>
      <c r="E189" s="6" t="s">
        <v>90</v>
      </c>
      <c r="F189" s="18">
        <v>2</v>
      </c>
      <c r="G189" s="117"/>
      <c r="H189" s="6" t="s">
        <v>91</v>
      </c>
      <c r="I189" s="18">
        <v>1</v>
      </c>
      <c r="J189" s="117"/>
      <c r="K189" s="43" t="s">
        <v>32</v>
      </c>
      <c r="L189" s="18">
        <v>2</v>
      </c>
      <c r="M189" s="120"/>
      <c r="N189" s="4" t="s">
        <v>33</v>
      </c>
      <c r="O189" s="18">
        <v>1</v>
      </c>
      <c r="P189" s="120"/>
      <c r="Q189" s="4" t="s">
        <v>34</v>
      </c>
      <c r="R189" s="18">
        <v>2</v>
      </c>
      <c r="S189" s="120"/>
      <c r="T189" s="4" t="s">
        <v>35</v>
      </c>
      <c r="U189" s="18">
        <v>2</v>
      </c>
      <c r="V189" s="120"/>
      <c r="W189" s="4" t="s">
        <v>36</v>
      </c>
      <c r="X189" s="18">
        <v>1</v>
      </c>
      <c r="Y189" s="120"/>
      <c r="Z189" s="4" t="s">
        <v>58</v>
      </c>
      <c r="AA189" s="18">
        <v>3</v>
      </c>
      <c r="AB189" s="120"/>
      <c r="AC189" s="4" t="s">
        <v>38</v>
      </c>
      <c r="AD189" s="18">
        <v>1</v>
      </c>
      <c r="AE189" s="120"/>
      <c r="AF189" s="4" t="s">
        <v>39</v>
      </c>
      <c r="AG189" s="18">
        <v>3</v>
      </c>
      <c r="AH189" s="120"/>
      <c r="AI189" s="13" t="s">
        <v>94</v>
      </c>
      <c r="AJ189" s="24">
        <v>3</v>
      </c>
      <c r="AK189" s="126"/>
      <c r="AL189" s="4" t="s">
        <v>41</v>
      </c>
      <c r="AM189" s="18">
        <v>2</v>
      </c>
      <c r="AN189" s="120"/>
      <c r="AO189" s="4" t="s">
        <v>72</v>
      </c>
      <c r="AP189" s="18">
        <v>1</v>
      </c>
      <c r="AQ189" s="120"/>
      <c r="AR189" s="12" t="s">
        <v>203</v>
      </c>
      <c r="AS189" s="18">
        <v>3</v>
      </c>
      <c r="AT189" s="120"/>
      <c r="AU189" s="4" t="s">
        <v>79</v>
      </c>
      <c r="AV189" s="18">
        <v>0</v>
      </c>
      <c r="AW189" s="120"/>
      <c r="AX189" s="4" t="s">
        <v>62</v>
      </c>
      <c r="AY189" s="18">
        <v>2</v>
      </c>
      <c r="AZ189" s="120"/>
      <c r="BA189" s="4" t="s">
        <v>59</v>
      </c>
      <c r="BB189" s="18">
        <v>1</v>
      </c>
      <c r="BC189" s="18">
        <v>0</v>
      </c>
      <c r="BD189" s="18">
        <v>1</v>
      </c>
      <c r="BE189" s="18">
        <v>0</v>
      </c>
      <c r="BF189" s="18">
        <v>0</v>
      </c>
      <c r="BG189" s="18">
        <v>0</v>
      </c>
      <c r="BH189" s="150" t="s">
        <v>47</v>
      </c>
      <c r="BI189" s="18">
        <v>2</v>
      </c>
      <c r="BJ189" s="130"/>
      <c r="BK189" s="4" t="s">
        <v>48</v>
      </c>
      <c r="BL189" s="18">
        <v>1</v>
      </c>
      <c r="BM189" s="120"/>
      <c r="BN189" s="4" t="s">
        <v>59</v>
      </c>
      <c r="BO189" s="18">
        <v>1</v>
      </c>
      <c r="BP189" s="120"/>
      <c r="BQ189" s="18" t="s">
        <v>50</v>
      </c>
      <c r="BR189" s="18">
        <v>3</v>
      </c>
      <c r="BS189" s="120"/>
      <c r="BT189" s="4" t="s">
        <v>38</v>
      </c>
      <c r="BU189" s="18">
        <v>2</v>
      </c>
      <c r="BV189" s="120"/>
      <c r="BW189" s="4" t="s">
        <v>51</v>
      </c>
      <c r="BX189" s="18">
        <v>2</v>
      </c>
      <c r="BY189" s="120"/>
      <c r="BZ189" s="4" t="s">
        <v>97</v>
      </c>
      <c r="CA189" s="18">
        <v>3</v>
      </c>
      <c r="CB189" s="120"/>
      <c r="CC189" s="4" t="s">
        <v>36</v>
      </c>
      <c r="CD189" s="18">
        <v>0</v>
      </c>
      <c r="CE189" s="120"/>
      <c r="CF189" s="18" t="s">
        <v>49</v>
      </c>
      <c r="CG189" s="18">
        <v>0</v>
      </c>
      <c r="CH189" s="120"/>
      <c r="CI189" s="4" t="s">
        <v>89</v>
      </c>
      <c r="CJ189" s="34">
        <v>1</v>
      </c>
      <c r="CK189" s="34">
        <v>0</v>
      </c>
      <c r="CL189" s="34">
        <v>1</v>
      </c>
      <c r="CM189" s="34">
        <v>0</v>
      </c>
      <c r="CN189" s="5" t="s">
        <v>54</v>
      </c>
    </row>
    <row r="190" spans="1:92" ht="28" x14ac:dyDescent="0.15">
      <c r="A190" s="51">
        <v>45862.438690162038</v>
      </c>
      <c r="B190" s="3" t="s">
        <v>29</v>
      </c>
      <c r="C190" s="17">
        <v>3</v>
      </c>
      <c r="D190" s="116"/>
      <c r="E190" s="6" t="s">
        <v>90</v>
      </c>
      <c r="F190" s="17">
        <v>2</v>
      </c>
      <c r="G190" s="116"/>
      <c r="H190" s="6" t="s">
        <v>91</v>
      </c>
      <c r="I190" s="17">
        <v>3</v>
      </c>
      <c r="J190" s="116"/>
      <c r="K190" s="43" t="s">
        <v>56</v>
      </c>
      <c r="L190" s="17">
        <v>1</v>
      </c>
      <c r="M190" s="119"/>
      <c r="N190" s="1" t="s">
        <v>124</v>
      </c>
      <c r="O190" s="17">
        <v>1</v>
      </c>
      <c r="P190" s="119"/>
      <c r="Q190" s="1" t="s">
        <v>34</v>
      </c>
      <c r="R190" s="17">
        <v>2</v>
      </c>
      <c r="S190" s="119"/>
      <c r="T190" s="1" t="s">
        <v>35</v>
      </c>
      <c r="U190" s="17">
        <v>2</v>
      </c>
      <c r="V190" s="119"/>
      <c r="W190" s="1" t="s">
        <v>36</v>
      </c>
      <c r="X190" s="17">
        <v>1</v>
      </c>
      <c r="Y190" s="119"/>
      <c r="Z190" s="1" t="s">
        <v>58</v>
      </c>
      <c r="AA190" s="17">
        <v>3</v>
      </c>
      <c r="AB190" s="119"/>
      <c r="AC190" s="1" t="s">
        <v>38</v>
      </c>
      <c r="AD190" s="17">
        <v>1</v>
      </c>
      <c r="AE190" s="119"/>
      <c r="AF190" s="1" t="s">
        <v>39</v>
      </c>
      <c r="AG190" s="17">
        <v>2</v>
      </c>
      <c r="AH190" s="119"/>
      <c r="AI190" s="11" t="s">
        <v>40</v>
      </c>
      <c r="AJ190" s="25">
        <v>0</v>
      </c>
      <c r="AK190" s="127"/>
      <c r="AL190" s="1" t="s">
        <v>85</v>
      </c>
      <c r="AM190" s="17">
        <v>2</v>
      </c>
      <c r="AN190" s="119"/>
      <c r="AO190" s="1" t="s">
        <v>72</v>
      </c>
      <c r="AP190" s="17">
        <v>2</v>
      </c>
      <c r="AQ190" s="119"/>
      <c r="AR190" s="1" t="s">
        <v>104</v>
      </c>
      <c r="AS190" s="17">
        <v>0</v>
      </c>
      <c r="AT190" s="119"/>
      <c r="AU190" s="1" t="s">
        <v>102</v>
      </c>
      <c r="AV190" s="17">
        <v>1</v>
      </c>
      <c r="AW190" s="119"/>
      <c r="AX190" s="1" t="s">
        <v>45</v>
      </c>
      <c r="AY190" s="17">
        <v>1</v>
      </c>
      <c r="AZ190" s="119"/>
      <c r="BA190" s="1" t="s">
        <v>69</v>
      </c>
      <c r="BB190" s="17">
        <v>1</v>
      </c>
      <c r="BC190" s="17">
        <v>0</v>
      </c>
      <c r="BD190" s="17">
        <v>0</v>
      </c>
      <c r="BE190" s="17">
        <v>1</v>
      </c>
      <c r="BF190" s="17">
        <v>0</v>
      </c>
      <c r="BG190" s="17">
        <v>0</v>
      </c>
      <c r="BH190" s="149" t="s">
        <v>74</v>
      </c>
      <c r="BI190" s="17">
        <v>2</v>
      </c>
      <c r="BJ190" s="131"/>
      <c r="BK190" s="1" t="s">
        <v>48</v>
      </c>
      <c r="BL190" s="17">
        <v>1</v>
      </c>
      <c r="BM190" s="119"/>
      <c r="BN190" s="1" t="s">
        <v>59</v>
      </c>
      <c r="BO190" s="17">
        <v>2</v>
      </c>
      <c r="BP190" s="119"/>
      <c r="BQ190" s="17" t="s">
        <v>117</v>
      </c>
      <c r="BR190" s="17">
        <v>1</v>
      </c>
      <c r="BS190" s="119"/>
      <c r="BT190" s="1" t="s">
        <v>69</v>
      </c>
      <c r="BU190" s="17">
        <v>3</v>
      </c>
      <c r="BV190" s="119"/>
      <c r="BW190" s="1" t="s">
        <v>147</v>
      </c>
      <c r="BX190" s="17">
        <v>0</v>
      </c>
      <c r="BY190" s="119"/>
      <c r="BZ190" s="1" t="s">
        <v>119</v>
      </c>
      <c r="CA190" s="17">
        <v>3</v>
      </c>
      <c r="CB190" s="119"/>
      <c r="CC190" s="1" t="s">
        <v>36</v>
      </c>
      <c r="CD190" s="17">
        <v>0</v>
      </c>
      <c r="CE190" s="119"/>
      <c r="CF190" s="17" t="s">
        <v>49</v>
      </c>
      <c r="CG190" s="17">
        <v>0</v>
      </c>
      <c r="CH190" s="119"/>
      <c r="CI190" s="1" t="s">
        <v>89</v>
      </c>
      <c r="CJ190" s="33">
        <v>0</v>
      </c>
      <c r="CK190" s="33">
        <v>1</v>
      </c>
      <c r="CL190" s="33">
        <v>0</v>
      </c>
      <c r="CM190" s="33">
        <v>0</v>
      </c>
      <c r="CN190" s="2" t="s">
        <v>137</v>
      </c>
    </row>
    <row r="191" spans="1:92" ht="28" x14ac:dyDescent="0.15">
      <c r="A191" s="51">
        <v>45862.511098530093</v>
      </c>
      <c r="B191" s="3" t="s">
        <v>29</v>
      </c>
      <c r="C191" s="18">
        <v>3</v>
      </c>
      <c r="D191" s="117"/>
      <c r="E191" s="6" t="s">
        <v>90</v>
      </c>
      <c r="F191" s="18">
        <v>1</v>
      </c>
      <c r="G191" s="117"/>
      <c r="H191" s="6" t="s">
        <v>31</v>
      </c>
      <c r="I191" s="18">
        <v>2</v>
      </c>
      <c r="J191" s="117"/>
      <c r="K191" s="43" t="s">
        <v>116</v>
      </c>
      <c r="L191" s="18">
        <v>0</v>
      </c>
      <c r="M191" s="120"/>
      <c r="N191" s="4" t="s">
        <v>145</v>
      </c>
      <c r="O191" s="18">
        <v>1</v>
      </c>
      <c r="P191" s="120"/>
      <c r="Q191" s="4" t="s">
        <v>34</v>
      </c>
      <c r="R191" s="18">
        <v>1</v>
      </c>
      <c r="S191" s="120"/>
      <c r="T191" s="4" t="s">
        <v>57</v>
      </c>
      <c r="U191" s="18">
        <v>1</v>
      </c>
      <c r="V191" s="120"/>
      <c r="W191" s="4" t="s">
        <v>92</v>
      </c>
      <c r="X191" s="18">
        <v>1</v>
      </c>
      <c r="Y191" s="120"/>
      <c r="Z191" s="4" t="s">
        <v>58</v>
      </c>
      <c r="AA191" s="18">
        <v>2</v>
      </c>
      <c r="AB191" s="120"/>
      <c r="AC191" s="4" t="s">
        <v>59</v>
      </c>
      <c r="AD191" s="18">
        <v>2</v>
      </c>
      <c r="AE191" s="120"/>
      <c r="AF191" s="4" t="s">
        <v>83</v>
      </c>
      <c r="AG191" s="18">
        <v>3</v>
      </c>
      <c r="AH191" s="120"/>
      <c r="AI191" s="13" t="s">
        <v>94</v>
      </c>
      <c r="AJ191" s="24">
        <v>3</v>
      </c>
      <c r="AK191" s="126"/>
      <c r="AL191" s="4" t="s">
        <v>41</v>
      </c>
      <c r="AM191" s="18">
        <v>3</v>
      </c>
      <c r="AN191" s="120"/>
      <c r="AO191" s="4" t="s">
        <v>42</v>
      </c>
      <c r="AP191" s="18">
        <v>3</v>
      </c>
      <c r="AQ191" s="120"/>
      <c r="AR191" s="4" t="s">
        <v>61</v>
      </c>
      <c r="AS191" s="18">
        <v>3</v>
      </c>
      <c r="AT191" s="120"/>
      <c r="AU191" s="4" t="s">
        <v>79</v>
      </c>
      <c r="AV191" s="18">
        <v>2</v>
      </c>
      <c r="AW191" s="120"/>
      <c r="AX191" s="4" t="s">
        <v>80</v>
      </c>
      <c r="AY191" s="18">
        <v>3</v>
      </c>
      <c r="AZ191" s="120"/>
      <c r="BA191" s="4" t="s">
        <v>46</v>
      </c>
      <c r="BB191" s="18">
        <v>1</v>
      </c>
      <c r="BC191" s="18">
        <v>1</v>
      </c>
      <c r="BD191" s="18">
        <v>0</v>
      </c>
      <c r="BE191" s="18">
        <v>0</v>
      </c>
      <c r="BF191" s="18">
        <v>0</v>
      </c>
      <c r="BG191" s="18">
        <v>0</v>
      </c>
      <c r="BH191" s="150" t="s">
        <v>81</v>
      </c>
      <c r="BI191" s="18">
        <v>0</v>
      </c>
      <c r="BJ191" s="130"/>
      <c r="BK191" s="4" t="s">
        <v>75</v>
      </c>
      <c r="BL191" s="18">
        <v>3</v>
      </c>
      <c r="BM191" s="120"/>
      <c r="BN191" s="4" t="s">
        <v>49</v>
      </c>
      <c r="BO191" s="18">
        <v>1</v>
      </c>
      <c r="BP191" s="120"/>
      <c r="BQ191" s="18" t="s">
        <v>50</v>
      </c>
      <c r="BR191" s="18">
        <v>2</v>
      </c>
      <c r="BS191" s="120"/>
      <c r="BT191" s="4" t="s">
        <v>65</v>
      </c>
      <c r="BU191" s="18">
        <v>0</v>
      </c>
      <c r="BV191" s="120"/>
      <c r="BW191" s="4" t="s">
        <v>88</v>
      </c>
      <c r="BX191" s="18">
        <v>3</v>
      </c>
      <c r="BY191" s="120"/>
      <c r="BZ191" s="4" t="s">
        <v>52</v>
      </c>
      <c r="CA191" s="18">
        <v>3</v>
      </c>
      <c r="CB191" s="120"/>
      <c r="CC191" s="4" t="s">
        <v>36</v>
      </c>
      <c r="CD191" s="18">
        <v>0</v>
      </c>
      <c r="CE191" s="120"/>
      <c r="CF191" s="18" t="s">
        <v>49</v>
      </c>
      <c r="CG191" s="18">
        <v>2</v>
      </c>
      <c r="CH191" s="120"/>
      <c r="CI191" s="4" t="s">
        <v>78</v>
      </c>
      <c r="CJ191" s="34">
        <v>1</v>
      </c>
      <c r="CK191" s="34"/>
      <c r="CL191" s="34">
        <v>1</v>
      </c>
      <c r="CM191" s="34"/>
      <c r="CN191" s="5" t="s">
        <v>54</v>
      </c>
    </row>
    <row r="192" spans="1:92" ht="28" x14ac:dyDescent="0.15">
      <c r="A192" s="51">
        <v>45862.516100717592</v>
      </c>
      <c r="B192" s="3" t="s">
        <v>29</v>
      </c>
      <c r="C192" s="17">
        <v>1</v>
      </c>
      <c r="D192" s="116"/>
      <c r="E192" s="6" t="s">
        <v>114</v>
      </c>
      <c r="F192" s="17">
        <v>1</v>
      </c>
      <c r="G192" s="116"/>
      <c r="H192" s="6" t="s">
        <v>31</v>
      </c>
      <c r="I192" s="17">
        <v>2</v>
      </c>
      <c r="J192" s="116"/>
      <c r="K192" s="43" t="s">
        <v>116</v>
      </c>
      <c r="L192" s="17">
        <v>0</v>
      </c>
      <c r="M192" s="119"/>
      <c r="N192" s="1" t="s">
        <v>145</v>
      </c>
      <c r="O192" s="17">
        <v>1</v>
      </c>
      <c r="P192" s="119"/>
      <c r="Q192" s="1" t="s">
        <v>34</v>
      </c>
      <c r="R192" s="17">
        <v>1</v>
      </c>
      <c r="S192" s="119"/>
      <c r="T192" s="1" t="s">
        <v>57</v>
      </c>
      <c r="U192" s="17">
        <v>1</v>
      </c>
      <c r="V192" s="119"/>
      <c r="W192" s="1" t="s">
        <v>92</v>
      </c>
      <c r="X192" s="17">
        <v>1</v>
      </c>
      <c r="Y192" s="119"/>
      <c r="Z192" s="1" t="s">
        <v>58</v>
      </c>
      <c r="AA192" s="17">
        <v>0</v>
      </c>
      <c r="AB192" s="119"/>
      <c r="AC192" s="1" t="s">
        <v>46</v>
      </c>
      <c r="AD192" s="17">
        <v>2</v>
      </c>
      <c r="AE192" s="119"/>
      <c r="AF192" s="1" t="s">
        <v>83</v>
      </c>
      <c r="AG192" s="17">
        <v>2</v>
      </c>
      <c r="AH192" s="119"/>
      <c r="AI192" s="11" t="s">
        <v>40</v>
      </c>
      <c r="AJ192" s="25">
        <v>3</v>
      </c>
      <c r="AK192" s="127"/>
      <c r="AL192" s="1" t="s">
        <v>41</v>
      </c>
      <c r="AM192" s="17">
        <v>1</v>
      </c>
      <c r="AN192" s="119"/>
      <c r="AO192" s="1" t="s">
        <v>130</v>
      </c>
      <c r="AP192" s="17">
        <v>3</v>
      </c>
      <c r="AQ192" s="119"/>
      <c r="AR192" s="1" t="s">
        <v>61</v>
      </c>
      <c r="AS192" s="17">
        <v>3</v>
      </c>
      <c r="AT192" s="119"/>
      <c r="AU192" s="1" t="s">
        <v>79</v>
      </c>
      <c r="AV192" s="17">
        <v>1</v>
      </c>
      <c r="AW192" s="119"/>
      <c r="AX192" s="1" t="s">
        <v>45</v>
      </c>
      <c r="AY192" s="17">
        <v>1</v>
      </c>
      <c r="AZ192" s="119"/>
      <c r="BA192" s="1" t="s">
        <v>69</v>
      </c>
      <c r="BB192" s="17">
        <v>1</v>
      </c>
      <c r="BC192" s="17">
        <v>0</v>
      </c>
      <c r="BD192" s="17">
        <v>1</v>
      </c>
      <c r="BE192" s="17">
        <v>0</v>
      </c>
      <c r="BF192" s="17">
        <v>0</v>
      </c>
      <c r="BG192" s="17">
        <v>0</v>
      </c>
      <c r="BH192" s="149" t="s">
        <v>47</v>
      </c>
      <c r="BI192" s="17">
        <v>2</v>
      </c>
      <c r="BJ192" s="131"/>
      <c r="BK192" s="1" t="s">
        <v>48</v>
      </c>
      <c r="BL192" s="17">
        <v>1</v>
      </c>
      <c r="BM192" s="119"/>
      <c r="BN192" s="1" t="s">
        <v>59</v>
      </c>
      <c r="BO192" s="17">
        <v>1</v>
      </c>
      <c r="BP192" s="119"/>
      <c r="BQ192" s="17" t="s">
        <v>50</v>
      </c>
      <c r="BR192" s="17">
        <v>0</v>
      </c>
      <c r="BS192" s="119"/>
      <c r="BT192" s="1" t="s">
        <v>46</v>
      </c>
      <c r="BU192" s="17">
        <v>2</v>
      </c>
      <c r="BV192" s="119"/>
      <c r="BW192" s="1" t="s">
        <v>51</v>
      </c>
      <c r="BX192" s="17">
        <v>2</v>
      </c>
      <c r="BY192" s="119"/>
      <c r="BZ192" s="1" t="s">
        <v>97</v>
      </c>
      <c r="CA192" s="17">
        <v>2</v>
      </c>
      <c r="CB192" s="119"/>
      <c r="CC192" s="1" t="s">
        <v>76</v>
      </c>
      <c r="CD192" s="17">
        <v>0</v>
      </c>
      <c r="CE192" s="119"/>
      <c r="CF192" s="17" t="s">
        <v>49</v>
      </c>
      <c r="CG192" s="17">
        <v>2</v>
      </c>
      <c r="CH192" s="119"/>
      <c r="CI192" s="1" t="s">
        <v>78</v>
      </c>
      <c r="CJ192" s="33">
        <v>1</v>
      </c>
      <c r="CK192" s="33">
        <v>1</v>
      </c>
      <c r="CL192" s="33">
        <v>0</v>
      </c>
      <c r="CM192" s="33">
        <v>0</v>
      </c>
      <c r="CN192" s="2" t="s">
        <v>82</v>
      </c>
    </row>
    <row r="193" spans="1:92" ht="84" x14ac:dyDescent="0.15">
      <c r="A193" s="51">
        <v>45862.522760648149</v>
      </c>
      <c r="B193" s="3" t="s">
        <v>29</v>
      </c>
      <c r="C193" s="18">
        <v>2</v>
      </c>
      <c r="D193" s="117"/>
      <c r="E193" s="6" t="s">
        <v>55</v>
      </c>
      <c r="F193" s="18">
        <v>2</v>
      </c>
      <c r="G193" s="117"/>
      <c r="H193" s="6" t="s">
        <v>91</v>
      </c>
      <c r="I193" s="18">
        <v>4</v>
      </c>
      <c r="J193" s="117"/>
      <c r="K193" s="43" t="s">
        <v>118</v>
      </c>
      <c r="L193" s="18">
        <v>2</v>
      </c>
      <c r="M193" s="120"/>
      <c r="N193" s="4" t="s">
        <v>33</v>
      </c>
      <c r="O193" s="18">
        <v>1</v>
      </c>
      <c r="P193" s="120"/>
      <c r="Q193" s="4" t="s">
        <v>34</v>
      </c>
      <c r="R193" s="18">
        <v>2</v>
      </c>
      <c r="S193" s="120"/>
      <c r="T193" s="4" t="s">
        <v>35</v>
      </c>
      <c r="U193" s="18">
        <v>2</v>
      </c>
      <c r="V193" s="120"/>
      <c r="W193" s="4" t="s">
        <v>36</v>
      </c>
      <c r="X193" s="18">
        <v>2</v>
      </c>
      <c r="Y193" s="120"/>
      <c r="Z193" s="4" t="s">
        <v>37</v>
      </c>
      <c r="AA193" s="18">
        <v>1</v>
      </c>
      <c r="AB193" s="120"/>
      <c r="AC193" s="4" t="s">
        <v>69</v>
      </c>
      <c r="AD193" s="18">
        <v>4</v>
      </c>
      <c r="AE193" s="120"/>
      <c r="AF193" s="4" t="s">
        <v>93</v>
      </c>
      <c r="AG193" s="18">
        <v>3</v>
      </c>
      <c r="AH193" s="120"/>
      <c r="AI193" s="13" t="s">
        <v>94</v>
      </c>
      <c r="AJ193" s="24">
        <v>3</v>
      </c>
      <c r="AK193" s="126"/>
      <c r="AL193" s="4" t="s">
        <v>41</v>
      </c>
      <c r="AM193" s="18">
        <v>3</v>
      </c>
      <c r="AN193" s="120"/>
      <c r="AO193" s="4" t="s">
        <v>42</v>
      </c>
      <c r="AP193" s="18">
        <v>4</v>
      </c>
      <c r="AQ193" s="120"/>
      <c r="AR193" s="4" t="s">
        <v>43</v>
      </c>
      <c r="AS193" s="18">
        <v>3</v>
      </c>
      <c r="AT193" s="120"/>
      <c r="AU193" s="4" t="s">
        <v>79</v>
      </c>
      <c r="AV193" s="18">
        <v>2</v>
      </c>
      <c r="AW193" s="120"/>
      <c r="AX193" s="4" t="s">
        <v>80</v>
      </c>
      <c r="AY193" s="18">
        <v>1</v>
      </c>
      <c r="AZ193" s="120"/>
      <c r="BA193" s="4" t="s">
        <v>69</v>
      </c>
      <c r="BB193" s="18">
        <v>0</v>
      </c>
      <c r="BC193" s="18">
        <v>1</v>
      </c>
      <c r="BD193" s="18">
        <v>1</v>
      </c>
      <c r="BE193" s="18">
        <v>0</v>
      </c>
      <c r="BF193" s="18">
        <v>0</v>
      </c>
      <c r="BG193" s="18">
        <v>0</v>
      </c>
      <c r="BH193" s="150" t="s">
        <v>204</v>
      </c>
      <c r="BI193" s="18">
        <v>2</v>
      </c>
      <c r="BJ193" s="130"/>
      <c r="BK193" s="4" t="s">
        <v>48</v>
      </c>
      <c r="BL193" s="18">
        <v>2</v>
      </c>
      <c r="BM193" s="120"/>
      <c r="BN193" s="4" t="s">
        <v>64</v>
      </c>
      <c r="BO193" s="18">
        <v>2</v>
      </c>
      <c r="BP193" s="120"/>
      <c r="BQ193" s="18" t="s">
        <v>117</v>
      </c>
      <c r="BR193" s="18">
        <v>2</v>
      </c>
      <c r="BS193" s="120"/>
      <c r="BT193" s="4" t="s">
        <v>65</v>
      </c>
      <c r="BU193" s="18">
        <v>2</v>
      </c>
      <c r="BV193" s="120"/>
      <c r="BW193" s="4" t="s">
        <v>51</v>
      </c>
      <c r="BX193" s="18">
        <v>2</v>
      </c>
      <c r="BY193" s="120"/>
      <c r="BZ193" s="4" t="s">
        <v>97</v>
      </c>
      <c r="CA193" s="18">
        <v>3</v>
      </c>
      <c r="CB193" s="120"/>
      <c r="CC193" s="4" t="s">
        <v>36</v>
      </c>
      <c r="CD193" s="18">
        <v>1</v>
      </c>
      <c r="CE193" s="120"/>
      <c r="CF193" s="18" t="s">
        <v>77</v>
      </c>
      <c r="CG193" s="18">
        <v>3</v>
      </c>
      <c r="CH193" s="120"/>
      <c r="CI193" s="4" t="s">
        <v>53</v>
      </c>
      <c r="CJ193" s="34">
        <v>0</v>
      </c>
      <c r="CK193" s="34">
        <v>1</v>
      </c>
      <c r="CL193" s="34">
        <v>0</v>
      </c>
      <c r="CM193" s="34">
        <v>0</v>
      </c>
      <c r="CN193" s="48" t="s">
        <v>205</v>
      </c>
    </row>
    <row r="194" spans="1:92" ht="28" x14ac:dyDescent="0.15">
      <c r="A194" s="51">
        <v>45862.537993541671</v>
      </c>
      <c r="B194" s="3" t="s">
        <v>29</v>
      </c>
      <c r="C194" s="17">
        <v>1</v>
      </c>
      <c r="D194" s="116"/>
      <c r="E194" s="6" t="s">
        <v>114</v>
      </c>
      <c r="F194" s="17">
        <v>2</v>
      </c>
      <c r="G194" s="116"/>
      <c r="H194" s="6" t="s">
        <v>91</v>
      </c>
      <c r="I194" s="17">
        <v>2</v>
      </c>
      <c r="J194" s="116"/>
      <c r="K194" s="43" t="s">
        <v>116</v>
      </c>
      <c r="L194" s="17">
        <v>2</v>
      </c>
      <c r="M194" s="119"/>
      <c r="N194" s="1" t="s">
        <v>33</v>
      </c>
      <c r="O194" s="17">
        <v>1</v>
      </c>
      <c r="P194" s="119"/>
      <c r="Q194" s="1" t="s">
        <v>34</v>
      </c>
      <c r="R194" s="17">
        <v>2</v>
      </c>
      <c r="S194" s="119"/>
      <c r="T194" s="1" t="s">
        <v>35</v>
      </c>
      <c r="U194" s="17">
        <v>1</v>
      </c>
      <c r="V194" s="119"/>
      <c r="W194" s="1" t="s">
        <v>92</v>
      </c>
      <c r="X194" s="17">
        <v>1</v>
      </c>
      <c r="Y194" s="119"/>
      <c r="Z194" s="1" t="s">
        <v>58</v>
      </c>
      <c r="AA194" s="17">
        <v>1</v>
      </c>
      <c r="AB194" s="119"/>
      <c r="AC194" s="1" t="s">
        <v>69</v>
      </c>
      <c r="AD194" s="17">
        <v>3</v>
      </c>
      <c r="AE194" s="119"/>
      <c r="AF194" s="1" t="s">
        <v>60</v>
      </c>
      <c r="AG194" s="17">
        <v>0</v>
      </c>
      <c r="AH194" s="119"/>
      <c r="AI194" s="11" t="s">
        <v>84</v>
      </c>
      <c r="AJ194" s="25">
        <v>2</v>
      </c>
      <c r="AK194" s="127"/>
      <c r="AL194" s="1" t="s">
        <v>71</v>
      </c>
      <c r="AM194" s="17">
        <v>1</v>
      </c>
      <c r="AN194" s="119"/>
      <c r="AO194" s="1" t="s">
        <v>130</v>
      </c>
      <c r="AP194" s="17">
        <v>3</v>
      </c>
      <c r="AQ194" s="119"/>
      <c r="AR194" s="1" t="s">
        <v>61</v>
      </c>
      <c r="AS194" s="17">
        <v>2</v>
      </c>
      <c r="AT194" s="119"/>
      <c r="AU194" s="1" t="s">
        <v>44</v>
      </c>
      <c r="AV194" s="17">
        <v>1</v>
      </c>
      <c r="AW194" s="119"/>
      <c r="AX194" s="1" t="s">
        <v>45</v>
      </c>
      <c r="AY194" s="17">
        <v>2</v>
      </c>
      <c r="AZ194" s="119"/>
      <c r="BA194" s="1" t="s">
        <v>59</v>
      </c>
      <c r="BB194" s="17">
        <v>1</v>
      </c>
      <c r="BC194" s="17">
        <v>0</v>
      </c>
      <c r="BD194" s="17">
        <v>0</v>
      </c>
      <c r="BE194" s="17">
        <v>1</v>
      </c>
      <c r="BF194" s="17">
        <v>0</v>
      </c>
      <c r="BG194" s="17">
        <v>0</v>
      </c>
      <c r="BH194" s="149" t="s">
        <v>74</v>
      </c>
      <c r="BI194" s="17">
        <v>0</v>
      </c>
      <c r="BJ194" s="131"/>
      <c r="BK194" s="1" t="s">
        <v>75</v>
      </c>
      <c r="BL194" s="17">
        <v>1</v>
      </c>
      <c r="BM194" s="119"/>
      <c r="BN194" s="1" t="s">
        <v>59</v>
      </c>
      <c r="BO194" s="17">
        <v>1</v>
      </c>
      <c r="BP194" s="119"/>
      <c r="BQ194" s="17" t="s">
        <v>50</v>
      </c>
      <c r="BR194" s="17">
        <v>2</v>
      </c>
      <c r="BS194" s="119"/>
      <c r="BT194" s="1" t="s">
        <v>65</v>
      </c>
      <c r="BU194" s="17">
        <v>2</v>
      </c>
      <c r="BV194" s="119"/>
      <c r="BW194" s="1" t="s">
        <v>51</v>
      </c>
      <c r="BX194" s="17">
        <v>1</v>
      </c>
      <c r="BY194" s="119"/>
      <c r="BZ194" s="1" t="s">
        <v>67</v>
      </c>
      <c r="CA194" s="17">
        <v>0</v>
      </c>
      <c r="CB194" s="119"/>
      <c r="CC194" s="1" t="s">
        <v>49</v>
      </c>
      <c r="CD194" s="17">
        <v>0</v>
      </c>
      <c r="CE194" s="119"/>
      <c r="CF194" s="17" t="s">
        <v>49</v>
      </c>
      <c r="CG194" s="17">
        <v>2</v>
      </c>
      <c r="CH194" s="119"/>
      <c r="CI194" s="1" t="s">
        <v>78</v>
      </c>
      <c r="CJ194" s="33">
        <v>0</v>
      </c>
      <c r="CK194" s="33">
        <v>1</v>
      </c>
      <c r="CL194" s="33">
        <v>1</v>
      </c>
      <c r="CM194" s="33">
        <v>0</v>
      </c>
      <c r="CN194" s="2" t="s">
        <v>98</v>
      </c>
    </row>
    <row r="195" spans="1:92" ht="28" x14ac:dyDescent="0.15">
      <c r="A195" s="51">
        <v>45862.55060206019</v>
      </c>
      <c r="B195" s="3" t="s">
        <v>29</v>
      </c>
      <c r="C195" s="18">
        <v>2</v>
      </c>
      <c r="D195" s="117"/>
      <c r="E195" s="6" t="s">
        <v>55</v>
      </c>
      <c r="F195" s="18">
        <v>2</v>
      </c>
      <c r="G195" s="117"/>
      <c r="H195" s="6" t="s">
        <v>91</v>
      </c>
      <c r="I195" s="18">
        <v>3</v>
      </c>
      <c r="J195" s="117"/>
      <c r="K195" s="43" t="s">
        <v>56</v>
      </c>
      <c r="L195" s="18">
        <v>1</v>
      </c>
      <c r="M195" s="120"/>
      <c r="N195" s="4" t="s">
        <v>124</v>
      </c>
      <c r="O195" s="18">
        <v>1</v>
      </c>
      <c r="P195" s="120"/>
      <c r="Q195" s="4" t="s">
        <v>34</v>
      </c>
      <c r="R195" s="18">
        <v>2</v>
      </c>
      <c r="S195" s="120"/>
      <c r="T195" s="4" t="s">
        <v>35</v>
      </c>
      <c r="U195" s="18">
        <v>1</v>
      </c>
      <c r="V195" s="120"/>
      <c r="W195" s="4" t="s">
        <v>92</v>
      </c>
      <c r="X195" s="18">
        <v>1</v>
      </c>
      <c r="Y195" s="120"/>
      <c r="Z195" s="4" t="s">
        <v>58</v>
      </c>
      <c r="AA195" s="18">
        <v>2</v>
      </c>
      <c r="AB195" s="120"/>
      <c r="AC195" s="4" t="s">
        <v>59</v>
      </c>
      <c r="AD195" s="18">
        <v>5</v>
      </c>
      <c r="AE195" s="120"/>
      <c r="AF195" s="4" t="s">
        <v>206</v>
      </c>
      <c r="AG195" s="18">
        <v>0</v>
      </c>
      <c r="AH195" s="120"/>
      <c r="AI195" s="13" t="s">
        <v>84</v>
      </c>
      <c r="AJ195" s="24">
        <v>3</v>
      </c>
      <c r="AK195" s="126"/>
      <c r="AL195" s="4" t="s">
        <v>41</v>
      </c>
      <c r="AM195" s="18">
        <v>3</v>
      </c>
      <c r="AN195" s="120"/>
      <c r="AO195" s="4" t="s">
        <v>42</v>
      </c>
      <c r="AP195" s="18">
        <v>3</v>
      </c>
      <c r="AQ195" s="120"/>
      <c r="AR195" s="4" t="s">
        <v>61</v>
      </c>
      <c r="AS195" s="18">
        <v>3</v>
      </c>
      <c r="AT195" s="120"/>
      <c r="AU195" s="4" t="s">
        <v>79</v>
      </c>
      <c r="AV195" s="18">
        <v>0</v>
      </c>
      <c r="AW195" s="120"/>
      <c r="AX195" s="4" t="s">
        <v>62</v>
      </c>
      <c r="AY195" s="18">
        <v>1</v>
      </c>
      <c r="AZ195" s="120"/>
      <c r="BA195" s="4" t="s">
        <v>69</v>
      </c>
      <c r="BB195" s="18">
        <v>1</v>
      </c>
      <c r="BC195" s="18">
        <v>0</v>
      </c>
      <c r="BD195" s="18">
        <v>0</v>
      </c>
      <c r="BE195" s="18">
        <v>1</v>
      </c>
      <c r="BF195" s="18">
        <v>0</v>
      </c>
      <c r="BG195" s="18">
        <v>0</v>
      </c>
      <c r="BH195" s="150" t="s">
        <v>74</v>
      </c>
      <c r="BI195" s="18">
        <v>1</v>
      </c>
      <c r="BJ195" s="130"/>
      <c r="BK195" s="4" t="s">
        <v>96</v>
      </c>
      <c r="BL195" s="18">
        <v>1</v>
      </c>
      <c r="BM195" s="120"/>
      <c r="BN195" s="4" t="s">
        <v>59</v>
      </c>
      <c r="BO195" s="18">
        <v>1</v>
      </c>
      <c r="BP195" s="120"/>
      <c r="BQ195" s="18" t="s">
        <v>50</v>
      </c>
      <c r="BR195" s="18">
        <v>1</v>
      </c>
      <c r="BS195" s="120"/>
      <c r="BT195" s="4" t="s">
        <v>69</v>
      </c>
      <c r="BU195" s="18">
        <v>2</v>
      </c>
      <c r="BV195" s="120"/>
      <c r="BW195" s="4" t="s">
        <v>51</v>
      </c>
      <c r="BX195" s="18">
        <v>0</v>
      </c>
      <c r="BY195" s="120"/>
      <c r="BZ195" s="4" t="s">
        <v>207</v>
      </c>
      <c r="CA195" s="18">
        <v>3</v>
      </c>
      <c r="CB195" s="120"/>
      <c r="CC195" s="4" t="s">
        <v>36</v>
      </c>
      <c r="CD195" s="18">
        <v>0</v>
      </c>
      <c r="CE195" s="120"/>
      <c r="CF195" s="18" t="s">
        <v>49</v>
      </c>
      <c r="CG195" s="18">
        <v>3</v>
      </c>
      <c r="CH195" s="120"/>
      <c r="CI195" s="4" t="s">
        <v>53</v>
      </c>
      <c r="CJ195" s="34">
        <v>0</v>
      </c>
      <c r="CK195" s="34">
        <v>1</v>
      </c>
      <c r="CL195" s="34">
        <v>1</v>
      </c>
      <c r="CM195" s="34">
        <v>0</v>
      </c>
      <c r="CN195" s="5" t="s">
        <v>98</v>
      </c>
    </row>
    <row r="196" spans="1:92" ht="28" x14ac:dyDescent="0.15">
      <c r="A196" s="51">
        <v>45862.556098356479</v>
      </c>
      <c r="B196" s="3" t="s">
        <v>29</v>
      </c>
      <c r="C196" s="17">
        <v>2</v>
      </c>
      <c r="D196" s="116"/>
      <c r="E196" s="6" t="s">
        <v>55</v>
      </c>
      <c r="F196" s="17">
        <v>1</v>
      </c>
      <c r="G196" s="116"/>
      <c r="H196" s="6" t="s">
        <v>31</v>
      </c>
      <c r="I196" s="17">
        <v>3</v>
      </c>
      <c r="J196" s="116"/>
      <c r="K196" s="43" t="s">
        <v>56</v>
      </c>
      <c r="L196" s="17">
        <v>3</v>
      </c>
      <c r="M196" s="119"/>
      <c r="N196" s="1" t="s">
        <v>148</v>
      </c>
      <c r="O196" s="17">
        <v>0</v>
      </c>
      <c r="P196" s="119"/>
      <c r="Q196" s="1" t="s">
        <v>181</v>
      </c>
      <c r="R196" s="17">
        <v>2</v>
      </c>
      <c r="S196" s="119"/>
      <c r="T196" s="1" t="s">
        <v>35</v>
      </c>
      <c r="U196" s="17">
        <v>0</v>
      </c>
      <c r="V196" s="119"/>
      <c r="W196" s="1" t="s">
        <v>49</v>
      </c>
      <c r="X196" s="17">
        <v>0</v>
      </c>
      <c r="Y196" s="119"/>
      <c r="Z196" s="1" t="s">
        <v>108</v>
      </c>
      <c r="AA196" s="17">
        <v>0</v>
      </c>
      <c r="AB196" s="119"/>
      <c r="AC196" s="1" t="s">
        <v>46</v>
      </c>
      <c r="AD196" s="17">
        <v>0</v>
      </c>
      <c r="AE196" s="119"/>
      <c r="AF196" s="1" t="s">
        <v>70</v>
      </c>
      <c r="AG196" s="17">
        <v>0</v>
      </c>
      <c r="AH196" s="119"/>
      <c r="AI196" s="11" t="s">
        <v>84</v>
      </c>
      <c r="AJ196" s="25">
        <v>3</v>
      </c>
      <c r="AK196" s="127"/>
      <c r="AL196" s="1" t="s">
        <v>41</v>
      </c>
      <c r="AM196" s="17">
        <v>0</v>
      </c>
      <c r="AN196" s="119"/>
      <c r="AO196" s="1" t="s">
        <v>110</v>
      </c>
      <c r="AP196" s="17">
        <v>3</v>
      </c>
      <c r="AQ196" s="119"/>
      <c r="AR196" s="1" t="s">
        <v>61</v>
      </c>
      <c r="AS196" s="17">
        <v>2</v>
      </c>
      <c r="AT196" s="119"/>
      <c r="AU196" s="1" t="s">
        <v>44</v>
      </c>
      <c r="AV196" s="17">
        <v>0</v>
      </c>
      <c r="AW196" s="119"/>
      <c r="AX196" s="1" t="s">
        <v>62</v>
      </c>
      <c r="AY196" s="17">
        <v>0</v>
      </c>
      <c r="AZ196" s="119"/>
      <c r="BA196" s="1" t="s">
        <v>38</v>
      </c>
      <c r="BB196" s="17">
        <v>1</v>
      </c>
      <c r="BC196" s="17">
        <v>0</v>
      </c>
      <c r="BD196" s="17">
        <v>0</v>
      </c>
      <c r="BE196" s="17">
        <v>1</v>
      </c>
      <c r="BF196" s="17">
        <v>0</v>
      </c>
      <c r="BG196" s="17">
        <v>0</v>
      </c>
      <c r="BH196" s="149" t="s">
        <v>74</v>
      </c>
      <c r="BI196" s="17">
        <v>0</v>
      </c>
      <c r="BJ196" s="131"/>
      <c r="BK196" s="1" t="s">
        <v>75</v>
      </c>
      <c r="BL196" s="17">
        <v>0</v>
      </c>
      <c r="BM196" s="119"/>
      <c r="BN196" s="1" t="s">
        <v>36</v>
      </c>
      <c r="BO196" s="17">
        <v>0</v>
      </c>
      <c r="BP196" s="119"/>
      <c r="BQ196" s="17" t="s">
        <v>87</v>
      </c>
      <c r="BR196" s="17">
        <v>0</v>
      </c>
      <c r="BS196" s="119"/>
      <c r="BT196" s="1" t="s">
        <v>46</v>
      </c>
      <c r="BU196" s="17">
        <v>2</v>
      </c>
      <c r="BV196" s="119"/>
      <c r="BW196" s="1" t="s">
        <v>51</v>
      </c>
      <c r="BX196" s="17">
        <v>2</v>
      </c>
      <c r="BY196" s="119"/>
      <c r="BZ196" s="1" t="s">
        <v>97</v>
      </c>
      <c r="CA196" s="17">
        <v>0</v>
      </c>
      <c r="CB196" s="119"/>
      <c r="CC196" s="1" t="s">
        <v>49</v>
      </c>
      <c r="CD196" s="17">
        <v>0</v>
      </c>
      <c r="CE196" s="119"/>
      <c r="CF196" s="17" t="s">
        <v>49</v>
      </c>
      <c r="CG196" s="17">
        <v>2</v>
      </c>
      <c r="CH196" s="119"/>
      <c r="CI196" s="1" t="s">
        <v>78</v>
      </c>
      <c r="CJ196" s="33">
        <v>0</v>
      </c>
      <c r="CK196" s="33">
        <v>0</v>
      </c>
      <c r="CL196" s="33">
        <v>0</v>
      </c>
      <c r="CM196" s="33">
        <v>1</v>
      </c>
      <c r="CN196" s="2" t="s">
        <v>208</v>
      </c>
    </row>
    <row r="197" spans="1:92" ht="28" x14ac:dyDescent="0.15">
      <c r="A197" s="51">
        <v>45862.56813806713</v>
      </c>
      <c r="B197" s="3" t="s">
        <v>29</v>
      </c>
      <c r="C197" s="18">
        <v>4</v>
      </c>
      <c r="D197" s="117"/>
      <c r="E197" s="6" t="s">
        <v>127</v>
      </c>
      <c r="F197" s="18">
        <v>0</v>
      </c>
      <c r="G197" s="117"/>
      <c r="H197" s="6" t="s">
        <v>193</v>
      </c>
      <c r="I197" s="18">
        <v>0</v>
      </c>
      <c r="J197" s="117"/>
      <c r="K197" s="43" t="s">
        <v>107</v>
      </c>
      <c r="L197" s="18">
        <v>1</v>
      </c>
      <c r="M197" s="120"/>
      <c r="N197" s="4" t="s">
        <v>124</v>
      </c>
      <c r="O197" s="18">
        <v>1</v>
      </c>
      <c r="P197" s="120"/>
      <c r="Q197" s="4" t="s">
        <v>34</v>
      </c>
      <c r="R197" s="18">
        <v>2</v>
      </c>
      <c r="S197" s="120"/>
      <c r="T197" s="4" t="s">
        <v>35</v>
      </c>
      <c r="U197" s="18">
        <v>2</v>
      </c>
      <c r="V197" s="120"/>
      <c r="W197" s="4" t="s">
        <v>36</v>
      </c>
      <c r="X197" s="18">
        <v>2</v>
      </c>
      <c r="Y197" s="120"/>
      <c r="Z197" s="4" t="s">
        <v>37</v>
      </c>
      <c r="AA197" s="18">
        <v>3</v>
      </c>
      <c r="AB197" s="120"/>
      <c r="AC197" s="4" t="s">
        <v>38</v>
      </c>
      <c r="AD197" s="18">
        <v>4</v>
      </c>
      <c r="AE197" s="120"/>
      <c r="AF197" s="4" t="s">
        <v>93</v>
      </c>
      <c r="AG197" s="18">
        <v>3</v>
      </c>
      <c r="AH197" s="120"/>
      <c r="AI197" s="13" t="s">
        <v>94</v>
      </c>
      <c r="AJ197" s="24">
        <v>3</v>
      </c>
      <c r="AK197" s="126"/>
      <c r="AL197" s="4" t="s">
        <v>41</v>
      </c>
      <c r="AM197" s="18">
        <v>3</v>
      </c>
      <c r="AN197" s="120"/>
      <c r="AO197" s="4" t="s">
        <v>42</v>
      </c>
      <c r="AP197" s="18">
        <v>3</v>
      </c>
      <c r="AQ197" s="120"/>
      <c r="AR197" s="4" t="s">
        <v>99</v>
      </c>
      <c r="AS197" s="18">
        <v>3</v>
      </c>
      <c r="AT197" s="120"/>
      <c r="AU197" s="4" t="s">
        <v>79</v>
      </c>
      <c r="AV197" s="18">
        <v>0</v>
      </c>
      <c r="AW197" s="120"/>
      <c r="AX197" s="4" t="s">
        <v>62</v>
      </c>
      <c r="AY197" s="18">
        <v>3</v>
      </c>
      <c r="AZ197" s="120"/>
      <c r="BA197" s="4" t="s">
        <v>46</v>
      </c>
      <c r="BB197" s="18">
        <v>1</v>
      </c>
      <c r="BC197" s="18">
        <v>0</v>
      </c>
      <c r="BD197" s="18">
        <v>1</v>
      </c>
      <c r="BE197" s="18">
        <v>0</v>
      </c>
      <c r="BF197" s="18">
        <v>0</v>
      </c>
      <c r="BG197" s="18">
        <v>0</v>
      </c>
      <c r="BH197" s="150" t="s">
        <v>47</v>
      </c>
      <c r="BI197" s="18">
        <v>2</v>
      </c>
      <c r="BJ197" s="130"/>
      <c r="BK197" s="4" t="s">
        <v>48</v>
      </c>
      <c r="BL197" s="18">
        <v>3</v>
      </c>
      <c r="BM197" s="120"/>
      <c r="BN197" s="4" t="s">
        <v>49</v>
      </c>
      <c r="BO197" s="18">
        <v>1</v>
      </c>
      <c r="BP197" s="120"/>
      <c r="BQ197" s="18" t="s">
        <v>50</v>
      </c>
      <c r="BR197" s="18">
        <v>3</v>
      </c>
      <c r="BS197" s="120"/>
      <c r="BT197" s="4" t="s">
        <v>38</v>
      </c>
      <c r="BU197" s="18">
        <v>3</v>
      </c>
      <c r="BV197" s="120"/>
      <c r="BW197" s="4" t="s">
        <v>147</v>
      </c>
      <c r="BX197" s="18">
        <v>3</v>
      </c>
      <c r="BY197" s="120"/>
      <c r="BZ197" s="4" t="s">
        <v>52</v>
      </c>
      <c r="CA197" s="18">
        <v>3</v>
      </c>
      <c r="CB197" s="120"/>
      <c r="CC197" s="4" t="s">
        <v>36</v>
      </c>
      <c r="CD197" s="18">
        <v>0</v>
      </c>
      <c r="CE197" s="120"/>
      <c r="CF197" s="18" t="s">
        <v>49</v>
      </c>
      <c r="CG197" s="18">
        <v>3</v>
      </c>
      <c r="CH197" s="120"/>
      <c r="CI197" s="4" t="s">
        <v>53</v>
      </c>
      <c r="CJ197" s="34">
        <v>1</v>
      </c>
      <c r="CK197" s="34">
        <v>1</v>
      </c>
      <c r="CL197" s="34">
        <v>0</v>
      </c>
      <c r="CM197" s="34">
        <v>0</v>
      </c>
      <c r="CN197" s="5" t="s">
        <v>68</v>
      </c>
    </row>
    <row r="198" spans="1:92" ht="28" x14ac:dyDescent="0.15">
      <c r="A198" s="51">
        <v>45862.56955310185</v>
      </c>
      <c r="B198" s="3" t="s">
        <v>29</v>
      </c>
      <c r="C198" s="17">
        <v>2</v>
      </c>
      <c r="D198" s="116"/>
      <c r="E198" s="6" t="s">
        <v>55</v>
      </c>
      <c r="F198" s="17">
        <v>2</v>
      </c>
      <c r="G198" s="116"/>
      <c r="H198" s="6" t="s">
        <v>91</v>
      </c>
      <c r="I198" s="17">
        <v>2</v>
      </c>
      <c r="J198" s="116"/>
      <c r="K198" s="43" t="s">
        <v>116</v>
      </c>
      <c r="L198" s="17">
        <v>1</v>
      </c>
      <c r="M198" s="119"/>
      <c r="N198" s="1" t="s">
        <v>124</v>
      </c>
      <c r="O198" s="17">
        <v>1</v>
      </c>
      <c r="P198" s="119"/>
      <c r="Q198" s="1" t="s">
        <v>34</v>
      </c>
      <c r="R198" s="17">
        <v>1</v>
      </c>
      <c r="S198" s="119"/>
      <c r="T198" s="1" t="s">
        <v>57</v>
      </c>
      <c r="U198" s="17">
        <v>1</v>
      </c>
      <c r="V198" s="119"/>
      <c r="W198" s="1" t="s">
        <v>92</v>
      </c>
      <c r="X198" s="17">
        <v>1</v>
      </c>
      <c r="Y198" s="119"/>
      <c r="Z198" s="1" t="s">
        <v>58</v>
      </c>
      <c r="AA198" s="17">
        <v>2</v>
      </c>
      <c r="AB198" s="119"/>
      <c r="AC198" s="1" t="s">
        <v>59</v>
      </c>
      <c r="AD198" s="17">
        <v>1</v>
      </c>
      <c r="AE198" s="119"/>
      <c r="AF198" s="1" t="s">
        <v>39</v>
      </c>
      <c r="AG198" s="17">
        <v>2</v>
      </c>
      <c r="AH198" s="119"/>
      <c r="AI198" s="11" t="s">
        <v>40</v>
      </c>
      <c r="AJ198" s="25">
        <v>2</v>
      </c>
      <c r="AK198" s="127"/>
      <c r="AL198" s="1" t="s">
        <v>71</v>
      </c>
      <c r="AM198" s="17">
        <v>2</v>
      </c>
      <c r="AN198" s="119"/>
      <c r="AO198" s="1" t="s">
        <v>72</v>
      </c>
      <c r="AP198" s="17">
        <v>0</v>
      </c>
      <c r="AQ198" s="119"/>
      <c r="AR198" s="1" t="s">
        <v>121</v>
      </c>
      <c r="AS198" s="17">
        <v>0</v>
      </c>
      <c r="AT198" s="119"/>
      <c r="AU198" s="1" t="s">
        <v>102</v>
      </c>
      <c r="AV198" s="17">
        <v>0</v>
      </c>
      <c r="AW198" s="119"/>
      <c r="AX198" s="1" t="s">
        <v>62</v>
      </c>
      <c r="AY198" s="17">
        <v>2</v>
      </c>
      <c r="AZ198" s="119"/>
      <c r="BA198" s="1" t="s">
        <v>59</v>
      </c>
      <c r="BB198" s="17">
        <v>0</v>
      </c>
      <c r="BC198" s="17">
        <v>0</v>
      </c>
      <c r="BD198" s="17">
        <v>0</v>
      </c>
      <c r="BE198" s="17">
        <v>1</v>
      </c>
      <c r="BF198" s="17">
        <v>0</v>
      </c>
      <c r="BG198" s="17">
        <v>0</v>
      </c>
      <c r="BH198" s="149" t="s">
        <v>155</v>
      </c>
      <c r="BI198" s="17">
        <v>1</v>
      </c>
      <c r="BJ198" s="131"/>
      <c r="BK198" s="1" t="s">
        <v>96</v>
      </c>
      <c r="BL198" s="17">
        <v>0</v>
      </c>
      <c r="BM198" s="119"/>
      <c r="BN198" s="1" t="s">
        <v>36</v>
      </c>
      <c r="BO198" s="17">
        <v>2</v>
      </c>
      <c r="BP198" s="119"/>
      <c r="BQ198" s="17" t="s">
        <v>117</v>
      </c>
      <c r="BR198" s="17">
        <v>0</v>
      </c>
      <c r="BS198" s="119"/>
      <c r="BT198" s="1" t="s">
        <v>46</v>
      </c>
      <c r="BU198" s="17">
        <v>2</v>
      </c>
      <c r="BV198" s="119"/>
      <c r="BW198" s="1" t="s">
        <v>51</v>
      </c>
      <c r="BX198" s="17">
        <v>0</v>
      </c>
      <c r="BY198" s="119"/>
      <c r="BZ198" s="1" t="s">
        <v>119</v>
      </c>
      <c r="CA198" s="17">
        <v>1</v>
      </c>
      <c r="CB198" s="119"/>
      <c r="CC198" s="1" t="s">
        <v>77</v>
      </c>
      <c r="CD198" s="17">
        <v>1</v>
      </c>
      <c r="CE198" s="119"/>
      <c r="CF198" s="17" t="s">
        <v>77</v>
      </c>
      <c r="CG198" s="17">
        <v>1</v>
      </c>
      <c r="CH198" s="119"/>
      <c r="CI198" s="1" t="s">
        <v>77</v>
      </c>
      <c r="CJ198" s="33">
        <v>0</v>
      </c>
      <c r="CK198" s="33">
        <v>0</v>
      </c>
      <c r="CL198" s="33">
        <v>0</v>
      </c>
      <c r="CM198" s="33">
        <v>1</v>
      </c>
      <c r="CN198" s="2" t="s">
        <v>101</v>
      </c>
    </row>
    <row r="199" spans="1:92" ht="28" x14ac:dyDescent="0.15">
      <c r="A199" s="51">
        <v>45862.571164097222</v>
      </c>
      <c r="B199" s="3" t="s">
        <v>29</v>
      </c>
      <c r="C199" s="18">
        <v>5</v>
      </c>
      <c r="D199" s="117"/>
      <c r="E199" s="6" t="s">
        <v>30</v>
      </c>
      <c r="F199" s="18">
        <v>2</v>
      </c>
      <c r="G199" s="117"/>
      <c r="H199" s="6" t="s">
        <v>91</v>
      </c>
      <c r="I199" s="18">
        <v>3</v>
      </c>
      <c r="J199" s="117"/>
      <c r="K199" s="43" t="s">
        <v>56</v>
      </c>
      <c r="L199" s="18">
        <v>3</v>
      </c>
      <c r="M199" s="120"/>
      <c r="N199" s="4" t="s">
        <v>148</v>
      </c>
      <c r="O199" s="18">
        <v>1</v>
      </c>
      <c r="P199" s="120"/>
      <c r="Q199" s="4" t="s">
        <v>34</v>
      </c>
      <c r="R199" s="18">
        <v>2</v>
      </c>
      <c r="S199" s="120"/>
      <c r="T199" s="4" t="s">
        <v>35</v>
      </c>
      <c r="U199" s="18">
        <v>2</v>
      </c>
      <c r="V199" s="120"/>
      <c r="W199" s="4" t="s">
        <v>36</v>
      </c>
      <c r="X199" s="18">
        <v>2</v>
      </c>
      <c r="Y199" s="120"/>
      <c r="Z199" s="4" t="s">
        <v>37</v>
      </c>
      <c r="AA199" s="18">
        <v>3</v>
      </c>
      <c r="AB199" s="120"/>
      <c r="AC199" s="4" t="s">
        <v>38</v>
      </c>
      <c r="AD199" s="18">
        <v>0</v>
      </c>
      <c r="AE199" s="120"/>
      <c r="AF199" s="4" t="s">
        <v>70</v>
      </c>
      <c r="AG199" s="18">
        <v>3</v>
      </c>
      <c r="AH199" s="120"/>
      <c r="AI199" s="13" t="s">
        <v>94</v>
      </c>
      <c r="AJ199" s="24">
        <v>0</v>
      </c>
      <c r="AK199" s="126"/>
      <c r="AL199" s="4" t="s">
        <v>85</v>
      </c>
      <c r="AM199" s="18">
        <v>2</v>
      </c>
      <c r="AN199" s="120"/>
      <c r="AO199" s="4" t="s">
        <v>72</v>
      </c>
      <c r="AP199" s="18">
        <v>0</v>
      </c>
      <c r="AQ199" s="120"/>
      <c r="AR199" s="4" t="s">
        <v>121</v>
      </c>
      <c r="AS199" s="18">
        <v>0</v>
      </c>
      <c r="AT199" s="120"/>
      <c r="AU199" s="4" t="s">
        <v>102</v>
      </c>
      <c r="AV199" s="18">
        <v>0</v>
      </c>
      <c r="AW199" s="120"/>
      <c r="AX199" s="4" t="s">
        <v>62</v>
      </c>
      <c r="AY199" s="18">
        <v>2</v>
      </c>
      <c r="AZ199" s="120"/>
      <c r="BA199" s="4" t="s">
        <v>59</v>
      </c>
      <c r="BB199" s="18">
        <v>0</v>
      </c>
      <c r="BC199" s="18">
        <v>0</v>
      </c>
      <c r="BD199" s="18">
        <v>0</v>
      </c>
      <c r="BE199" s="18">
        <v>0</v>
      </c>
      <c r="BF199" s="18">
        <v>1</v>
      </c>
      <c r="BG199" s="18">
        <v>0</v>
      </c>
      <c r="BH199" s="150" t="s">
        <v>209</v>
      </c>
      <c r="BI199" s="18">
        <v>1</v>
      </c>
      <c r="BJ199" s="130"/>
      <c r="BK199" s="4" t="s">
        <v>96</v>
      </c>
      <c r="BL199" s="18">
        <v>0</v>
      </c>
      <c r="BM199" s="120"/>
      <c r="BN199" s="4" t="s">
        <v>36</v>
      </c>
      <c r="BO199" s="18">
        <v>1</v>
      </c>
      <c r="BP199" s="120"/>
      <c r="BQ199" s="18" t="s">
        <v>50</v>
      </c>
      <c r="BR199" s="18">
        <v>1</v>
      </c>
      <c r="BS199" s="120"/>
      <c r="BT199" s="4" t="s">
        <v>69</v>
      </c>
      <c r="BU199" s="18">
        <v>3</v>
      </c>
      <c r="BV199" s="120"/>
      <c r="BW199" s="4" t="s">
        <v>147</v>
      </c>
      <c r="BX199" s="18">
        <v>0</v>
      </c>
      <c r="BY199" s="120"/>
      <c r="BZ199" s="4" t="s">
        <v>119</v>
      </c>
      <c r="CA199" s="18">
        <v>0</v>
      </c>
      <c r="CB199" s="120"/>
      <c r="CC199" s="4" t="s">
        <v>49</v>
      </c>
      <c r="CD199" s="18">
        <v>0</v>
      </c>
      <c r="CE199" s="120"/>
      <c r="CF199" s="18" t="s">
        <v>49</v>
      </c>
      <c r="CG199" s="18">
        <v>2</v>
      </c>
      <c r="CH199" s="120"/>
      <c r="CI199" s="4" t="s">
        <v>78</v>
      </c>
      <c r="CJ199" s="34">
        <v>0</v>
      </c>
      <c r="CK199" s="34">
        <v>0</v>
      </c>
      <c r="CL199" s="34">
        <v>0</v>
      </c>
      <c r="CM199" s="34">
        <v>1</v>
      </c>
      <c r="CN199" s="5" t="s">
        <v>210</v>
      </c>
    </row>
    <row r="200" spans="1:92" ht="28" x14ac:dyDescent="0.15">
      <c r="A200" s="51">
        <v>45862.658298865739</v>
      </c>
      <c r="B200" s="3" t="s">
        <v>29</v>
      </c>
      <c r="C200" s="17">
        <v>2</v>
      </c>
      <c r="D200" s="116"/>
      <c r="E200" s="6" t="s">
        <v>55</v>
      </c>
      <c r="F200" s="17">
        <v>2</v>
      </c>
      <c r="G200" s="116"/>
      <c r="H200" s="6" t="s">
        <v>91</v>
      </c>
      <c r="I200" s="17">
        <v>2</v>
      </c>
      <c r="J200" s="116"/>
      <c r="K200" s="43" t="s">
        <v>116</v>
      </c>
      <c r="L200" s="17">
        <v>2</v>
      </c>
      <c r="M200" s="119"/>
      <c r="N200" s="1" t="s">
        <v>33</v>
      </c>
      <c r="O200" s="17">
        <v>1</v>
      </c>
      <c r="P200" s="119"/>
      <c r="Q200" s="1" t="s">
        <v>34</v>
      </c>
      <c r="R200" s="17">
        <v>0</v>
      </c>
      <c r="S200" s="119"/>
      <c r="T200" s="1" t="s">
        <v>49</v>
      </c>
      <c r="U200" s="17">
        <v>2</v>
      </c>
      <c r="V200" s="119"/>
      <c r="W200" s="1" t="s">
        <v>36</v>
      </c>
      <c r="X200" s="17">
        <v>1</v>
      </c>
      <c r="Y200" s="119"/>
      <c r="Z200" s="1" t="s">
        <v>58</v>
      </c>
      <c r="AA200" s="17">
        <v>1</v>
      </c>
      <c r="AB200" s="119"/>
      <c r="AC200" s="1" t="s">
        <v>69</v>
      </c>
      <c r="AD200" s="17">
        <v>2</v>
      </c>
      <c r="AE200" s="119"/>
      <c r="AF200" s="1" t="s">
        <v>83</v>
      </c>
      <c r="AG200" s="17">
        <v>0</v>
      </c>
      <c r="AH200" s="119"/>
      <c r="AI200" s="11" t="s">
        <v>84</v>
      </c>
      <c r="AJ200" s="25">
        <v>3</v>
      </c>
      <c r="AK200" s="127"/>
      <c r="AL200" s="1" t="s">
        <v>41</v>
      </c>
      <c r="AM200" s="17">
        <v>2</v>
      </c>
      <c r="AN200" s="119"/>
      <c r="AO200" s="1" t="s">
        <v>72</v>
      </c>
      <c r="AP200" s="17">
        <v>3</v>
      </c>
      <c r="AQ200" s="119"/>
      <c r="AR200" s="1" t="s">
        <v>61</v>
      </c>
      <c r="AS200" s="17">
        <v>3</v>
      </c>
      <c r="AT200" s="119"/>
      <c r="AU200" s="1" t="s">
        <v>79</v>
      </c>
      <c r="AV200" s="17">
        <v>1</v>
      </c>
      <c r="AW200" s="119"/>
      <c r="AX200" s="1" t="s">
        <v>45</v>
      </c>
      <c r="AY200" s="17">
        <v>3</v>
      </c>
      <c r="AZ200" s="119"/>
      <c r="BA200" s="1" t="s">
        <v>46</v>
      </c>
      <c r="BB200" s="17">
        <v>1</v>
      </c>
      <c r="BC200" s="17">
        <v>0</v>
      </c>
      <c r="BD200" s="17">
        <v>1</v>
      </c>
      <c r="BE200" s="17">
        <v>0</v>
      </c>
      <c r="BF200" s="17">
        <v>0</v>
      </c>
      <c r="BG200" s="17">
        <v>0</v>
      </c>
      <c r="BH200" s="149" t="s">
        <v>47</v>
      </c>
      <c r="BI200" s="17">
        <v>0</v>
      </c>
      <c r="BJ200" s="131"/>
      <c r="BK200" s="1" t="s">
        <v>75</v>
      </c>
      <c r="BL200" s="17">
        <v>2</v>
      </c>
      <c r="BM200" s="119"/>
      <c r="BN200" s="1" t="s">
        <v>64</v>
      </c>
      <c r="BO200" s="17">
        <v>1</v>
      </c>
      <c r="BP200" s="119"/>
      <c r="BQ200" s="17" t="s">
        <v>50</v>
      </c>
      <c r="BR200" s="17">
        <v>1</v>
      </c>
      <c r="BS200" s="119"/>
      <c r="BT200" s="1" t="s">
        <v>69</v>
      </c>
      <c r="BU200" s="17">
        <v>0</v>
      </c>
      <c r="BV200" s="119"/>
      <c r="BW200" s="1" t="s">
        <v>88</v>
      </c>
      <c r="BX200" s="17">
        <v>3</v>
      </c>
      <c r="BY200" s="119"/>
      <c r="BZ200" s="1" t="s">
        <v>52</v>
      </c>
      <c r="CA200" s="17">
        <v>1</v>
      </c>
      <c r="CB200" s="119"/>
      <c r="CC200" s="1" t="s">
        <v>77</v>
      </c>
      <c r="CD200" s="17">
        <v>1</v>
      </c>
      <c r="CE200" s="119"/>
      <c r="CF200" s="17" t="s">
        <v>77</v>
      </c>
      <c r="CG200" s="17">
        <v>3</v>
      </c>
      <c r="CH200" s="119"/>
      <c r="CI200" s="1" t="s">
        <v>53</v>
      </c>
      <c r="CJ200" s="33">
        <v>1</v>
      </c>
      <c r="CK200" s="33">
        <v>0</v>
      </c>
      <c r="CL200" s="33">
        <v>1</v>
      </c>
      <c r="CM200" s="33"/>
      <c r="CN200" s="2" t="s">
        <v>54</v>
      </c>
    </row>
    <row r="201" spans="1:92" ht="28" x14ac:dyDescent="0.15">
      <c r="A201" s="51">
        <v>45862.661914884258</v>
      </c>
      <c r="B201" s="3" t="s">
        <v>29</v>
      </c>
      <c r="C201" s="18">
        <v>1</v>
      </c>
      <c r="D201" s="117"/>
      <c r="E201" s="6" t="s">
        <v>114</v>
      </c>
      <c r="F201" s="18">
        <v>2</v>
      </c>
      <c r="G201" s="117"/>
      <c r="H201" s="6" t="s">
        <v>91</v>
      </c>
      <c r="I201" s="18">
        <v>1</v>
      </c>
      <c r="J201" s="117"/>
      <c r="K201" s="43" t="s">
        <v>32</v>
      </c>
      <c r="L201" s="18">
        <v>0</v>
      </c>
      <c r="M201" s="120"/>
      <c r="N201" s="4" t="s">
        <v>145</v>
      </c>
      <c r="O201" s="18">
        <v>0</v>
      </c>
      <c r="P201" s="120"/>
      <c r="Q201" s="4" t="s">
        <v>181</v>
      </c>
      <c r="R201" s="18">
        <v>2</v>
      </c>
      <c r="S201" s="120"/>
      <c r="T201" s="4" t="s">
        <v>35</v>
      </c>
      <c r="U201" s="18">
        <v>2</v>
      </c>
      <c r="V201" s="120"/>
      <c r="W201" s="4" t="s">
        <v>36</v>
      </c>
      <c r="X201" s="17">
        <v>1</v>
      </c>
      <c r="Y201" s="117"/>
      <c r="Z201" s="4" t="s">
        <v>58</v>
      </c>
      <c r="AA201" s="18">
        <v>3</v>
      </c>
      <c r="AB201" s="120"/>
      <c r="AC201" s="4" t="s">
        <v>38</v>
      </c>
      <c r="AD201" s="18">
        <v>3</v>
      </c>
      <c r="AE201" s="120"/>
      <c r="AF201" s="4" t="s">
        <v>60</v>
      </c>
      <c r="AG201" s="18">
        <v>2</v>
      </c>
      <c r="AH201" s="120"/>
      <c r="AI201" s="13" t="s">
        <v>40</v>
      </c>
      <c r="AJ201" s="24">
        <v>3</v>
      </c>
      <c r="AK201" s="126"/>
      <c r="AL201" s="4" t="s">
        <v>41</v>
      </c>
      <c r="AM201" s="18">
        <v>3</v>
      </c>
      <c r="AN201" s="120"/>
      <c r="AO201" s="4" t="s">
        <v>42</v>
      </c>
      <c r="AP201" s="18">
        <v>3</v>
      </c>
      <c r="AQ201" s="120"/>
      <c r="AR201" s="4" t="s">
        <v>61</v>
      </c>
      <c r="AS201" s="18">
        <v>3</v>
      </c>
      <c r="AT201" s="120"/>
      <c r="AU201" s="4" t="s">
        <v>79</v>
      </c>
      <c r="AV201" s="18">
        <v>2</v>
      </c>
      <c r="AW201" s="120"/>
      <c r="AX201" s="4" t="s">
        <v>80</v>
      </c>
      <c r="AY201" s="18">
        <v>2</v>
      </c>
      <c r="AZ201" s="120"/>
      <c r="BA201" s="4" t="s">
        <v>59</v>
      </c>
      <c r="BB201" s="18">
        <v>1</v>
      </c>
      <c r="BC201" s="18">
        <v>1</v>
      </c>
      <c r="BD201" s="18">
        <v>0</v>
      </c>
      <c r="BE201" s="18">
        <v>0</v>
      </c>
      <c r="BF201" s="18">
        <v>0</v>
      </c>
      <c r="BG201" s="18">
        <v>0</v>
      </c>
      <c r="BH201" s="150" t="s">
        <v>81</v>
      </c>
      <c r="BI201" s="18">
        <v>0</v>
      </c>
      <c r="BJ201" s="130"/>
      <c r="BK201" s="4" t="s">
        <v>75</v>
      </c>
      <c r="BL201" s="18">
        <v>2</v>
      </c>
      <c r="BM201" s="120"/>
      <c r="BN201" s="4" t="s">
        <v>64</v>
      </c>
      <c r="BO201" s="18">
        <v>2</v>
      </c>
      <c r="BP201" s="120"/>
      <c r="BQ201" s="18" t="s">
        <v>117</v>
      </c>
      <c r="BR201" s="18">
        <v>3</v>
      </c>
      <c r="BS201" s="120"/>
      <c r="BT201" s="4" t="s">
        <v>38</v>
      </c>
      <c r="BU201" s="18">
        <v>0</v>
      </c>
      <c r="BV201" s="120"/>
      <c r="BW201" s="4" t="s">
        <v>88</v>
      </c>
      <c r="BX201" s="18">
        <v>2</v>
      </c>
      <c r="BY201" s="120"/>
      <c r="BZ201" s="4" t="s">
        <v>97</v>
      </c>
      <c r="CA201" s="18">
        <v>3</v>
      </c>
      <c r="CB201" s="120"/>
      <c r="CC201" s="4" t="s">
        <v>36</v>
      </c>
      <c r="CD201" s="18">
        <v>2</v>
      </c>
      <c r="CE201" s="120"/>
      <c r="CF201" s="18" t="s">
        <v>36</v>
      </c>
      <c r="CG201" s="18">
        <v>3</v>
      </c>
      <c r="CH201" s="120"/>
      <c r="CI201" s="4" t="s">
        <v>53</v>
      </c>
      <c r="CJ201" s="34">
        <v>1</v>
      </c>
      <c r="CK201" s="34">
        <v>1</v>
      </c>
      <c r="CL201" s="34">
        <v>0</v>
      </c>
      <c r="CM201" s="34">
        <v>0</v>
      </c>
      <c r="CN201" s="5" t="s">
        <v>82</v>
      </c>
    </row>
    <row r="202" spans="1:92" ht="28" x14ac:dyDescent="0.15">
      <c r="A202" s="51">
        <v>45862.714326527777</v>
      </c>
      <c r="B202" s="3" t="s">
        <v>211</v>
      </c>
      <c r="C202" s="17">
        <v>2</v>
      </c>
      <c r="D202" s="116"/>
      <c r="E202" s="6" t="s">
        <v>55</v>
      </c>
      <c r="F202" s="17">
        <v>1</v>
      </c>
      <c r="G202" s="116"/>
      <c r="H202" s="6" t="s">
        <v>31</v>
      </c>
      <c r="I202" s="17">
        <v>1</v>
      </c>
      <c r="J202" s="116"/>
      <c r="K202" s="43" t="s">
        <v>32</v>
      </c>
      <c r="L202" s="17">
        <v>2</v>
      </c>
      <c r="M202" s="119"/>
      <c r="N202" s="1" t="s">
        <v>33</v>
      </c>
      <c r="O202" s="17">
        <v>1</v>
      </c>
      <c r="P202" s="119"/>
      <c r="Q202" s="1" t="s">
        <v>34</v>
      </c>
      <c r="R202" s="17">
        <v>2</v>
      </c>
      <c r="S202" s="119"/>
      <c r="T202" s="1" t="s">
        <v>35</v>
      </c>
      <c r="U202" s="17">
        <v>2</v>
      </c>
      <c r="V202" s="119"/>
      <c r="W202" s="1" t="s">
        <v>36</v>
      </c>
      <c r="X202" s="17">
        <v>2</v>
      </c>
      <c r="Y202" s="119"/>
      <c r="Z202" s="1" t="s">
        <v>37</v>
      </c>
      <c r="AA202" s="17">
        <v>3</v>
      </c>
      <c r="AB202" s="119"/>
      <c r="AC202" s="1" t="s">
        <v>38</v>
      </c>
      <c r="AD202" s="17">
        <v>4</v>
      </c>
      <c r="AE202" s="119"/>
      <c r="AF202" s="1" t="s">
        <v>93</v>
      </c>
      <c r="AG202" s="17">
        <v>3</v>
      </c>
      <c r="AH202" s="119"/>
      <c r="AI202" s="11" t="s">
        <v>94</v>
      </c>
      <c r="AJ202" s="25">
        <v>3</v>
      </c>
      <c r="AK202" s="127"/>
      <c r="AL202" s="1" t="s">
        <v>41</v>
      </c>
      <c r="AM202" s="17">
        <v>2</v>
      </c>
      <c r="AN202" s="119"/>
      <c r="AO202" s="1" t="s">
        <v>72</v>
      </c>
      <c r="AP202" s="17">
        <v>4</v>
      </c>
      <c r="AQ202" s="119"/>
      <c r="AR202" s="1" t="s">
        <v>43</v>
      </c>
      <c r="AS202" s="17">
        <v>3</v>
      </c>
      <c r="AT202" s="119"/>
      <c r="AU202" s="1" t="s">
        <v>79</v>
      </c>
      <c r="AV202" s="17">
        <v>2</v>
      </c>
      <c r="AW202" s="119"/>
      <c r="AX202" s="1" t="s">
        <v>80</v>
      </c>
      <c r="AY202" s="17">
        <v>3</v>
      </c>
      <c r="AZ202" s="119"/>
      <c r="BA202" s="1" t="s">
        <v>46</v>
      </c>
      <c r="BB202" s="17">
        <v>1</v>
      </c>
      <c r="BC202" s="17">
        <v>0</v>
      </c>
      <c r="BD202" s="17">
        <v>1</v>
      </c>
      <c r="BE202" s="17">
        <v>0</v>
      </c>
      <c r="BF202" s="17">
        <v>0</v>
      </c>
      <c r="BG202" s="17">
        <v>0</v>
      </c>
      <c r="BH202" s="149" t="s">
        <v>47</v>
      </c>
      <c r="BI202" s="17">
        <v>2</v>
      </c>
      <c r="BJ202" s="131"/>
      <c r="BK202" s="1" t="s">
        <v>48</v>
      </c>
      <c r="BL202" s="17">
        <v>1</v>
      </c>
      <c r="BM202" s="119"/>
      <c r="BN202" s="1" t="s">
        <v>59</v>
      </c>
      <c r="BO202" s="17">
        <v>2</v>
      </c>
      <c r="BP202" s="119"/>
      <c r="BQ202" s="17" t="s">
        <v>117</v>
      </c>
      <c r="BR202" s="17">
        <v>2</v>
      </c>
      <c r="BS202" s="119"/>
      <c r="BT202" s="1" t="s">
        <v>65</v>
      </c>
      <c r="BU202" s="17">
        <v>2</v>
      </c>
      <c r="BV202" s="119"/>
      <c r="BW202" s="1" t="s">
        <v>51</v>
      </c>
      <c r="BX202" s="17">
        <v>3</v>
      </c>
      <c r="BY202" s="119"/>
      <c r="BZ202" s="1" t="s">
        <v>52</v>
      </c>
      <c r="CA202" s="17">
        <v>3</v>
      </c>
      <c r="CB202" s="119"/>
      <c r="CC202" s="1" t="s">
        <v>36</v>
      </c>
      <c r="CD202" s="17">
        <v>2</v>
      </c>
      <c r="CE202" s="119"/>
      <c r="CF202" s="17" t="s">
        <v>36</v>
      </c>
      <c r="CG202" s="17">
        <v>1</v>
      </c>
      <c r="CH202" s="119"/>
      <c r="CI202" s="11" t="s">
        <v>212</v>
      </c>
      <c r="CJ202" s="36">
        <v>1</v>
      </c>
      <c r="CK202" s="36">
        <v>0</v>
      </c>
      <c r="CL202" s="36">
        <v>1</v>
      </c>
      <c r="CM202" s="36">
        <v>0</v>
      </c>
      <c r="CN202" s="2" t="s">
        <v>54</v>
      </c>
    </row>
    <row r="203" spans="1:92" ht="28" x14ac:dyDescent="0.15">
      <c r="A203" s="51">
        <v>45862.759567534726</v>
      </c>
      <c r="B203" s="3" t="s">
        <v>29</v>
      </c>
      <c r="C203" s="18">
        <v>5</v>
      </c>
      <c r="D203" s="117"/>
      <c r="E203" s="6" t="s">
        <v>30</v>
      </c>
      <c r="F203" s="18">
        <v>2</v>
      </c>
      <c r="G203" s="117"/>
      <c r="H203" s="6" t="s">
        <v>91</v>
      </c>
      <c r="I203" s="18">
        <v>1</v>
      </c>
      <c r="J203" s="117"/>
      <c r="K203" s="43" t="s">
        <v>32</v>
      </c>
      <c r="L203" s="18">
        <v>2</v>
      </c>
      <c r="M203" s="120"/>
      <c r="N203" s="4" t="s">
        <v>33</v>
      </c>
      <c r="O203" s="18">
        <v>1</v>
      </c>
      <c r="P203" s="120"/>
      <c r="Q203" s="4" t="s">
        <v>34</v>
      </c>
      <c r="R203" s="18">
        <v>0</v>
      </c>
      <c r="S203" s="120"/>
      <c r="T203" s="4" t="s">
        <v>49</v>
      </c>
      <c r="U203" s="18">
        <v>0</v>
      </c>
      <c r="V203" s="120"/>
      <c r="W203" s="4" t="s">
        <v>77</v>
      </c>
      <c r="X203" s="18">
        <v>1</v>
      </c>
      <c r="Y203" s="120"/>
      <c r="Z203" s="4" t="s">
        <v>58</v>
      </c>
      <c r="AA203" s="18">
        <v>1</v>
      </c>
      <c r="AB203" s="120"/>
      <c r="AC203" s="4" t="s">
        <v>69</v>
      </c>
      <c r="AD203" s="18">
        <v>5</v>
      </c>
      <c r="AE203" s="120"/>
      <c r="AF203" s="4" t="s">
        <v>115</v>
      </c>
      <c r="AG203" s="18">
        <v>0</v>
      </c>
      <c r="AH203" s="120"/>
      <c r="AI203" s="13" t="s">
        <v>84</v>
      </c>
      <c r="AJ203" s="24">
        <v>2</v>
      </c>
      <c r="AK203" s="126"/>
      <c r="AL203" s="4" t="s">
        <v>71</v>
      </c>
      <c r="AM203" s="18">
        <v>1</v>
      </c>
      <c r="AN203" s="120"/>
      <c r="AO203" s="4" t="s">
        <v>130</v>
      </c>
      <c r="AP203" s="18">
        <v>4</v>
      </c>
      <c r="AQ203" s="120"/>
      <c r="AR203" s="4" t="s">
        <v>61</v>
      </c>
      <c r="AS203" s="18">
        <v>2</v>
      </c>
      <c r="AT203" s="120"/>
      <c r="AU203" s="4" t="s">
        <v>44</v>
      </c>
      <c r="AV203" s="18">
        <v>1</v>
      </c>
      <c r="AW203" s="120"/>
      <c r="AX203" s="4" t="s">
        <v>45</v>
      </c>
      <c r="AY203" s="18">
        <v>1</v>
      </c>
      <c r="AZ203" s="120"/>
      <c r="BA203" s="4" t="s">
        <v>69</v>
      </c>
      <c r="BB203" s="18">
        <v>0</v>
      </c>
      <c r="BC203" s="18">
        <v>0</v>
      </c>
      <c r="BD203" s="18">
        <v>1</v>
      </c>
      <c r="BE203" s="18">
        <v>1</v>
      </c>
      <c r="BF203" s="18">
        <v>0</v>
      </c>
      <c r="BG203" s="18">
        <v>0</v>
      </c>
      <c r="BH203" s="150" t="s">
        <v>95</v>
      </c>
      <c r="BI203" s="18">
        <v>0</v>
      </c>
      <c r="BJ203" s="130"/>
      <c r="BK203" s="4" t="s">
        <v>75</v>
      </c>
      <c r="BL203" s="18">
        <v>2</v>
      </c>
      <c r="BM203" s="120"/>
      <c r="BN203" s="4" t="s">
        <v>64</v>
      </c>
      <c r="BO203" s="18">
        <v>0</v>
      </c>
      <c r="BP203" s="120"/>
      <c r="BQ203" s="18" t="s">
        <v>87</v>
      </c>
      <c r="BR203" s="18">
        <v>1</v>
      </c>
      <c r="BS203" s="120"/>
      <c r="BT203" s="4" t="s">
        <v>69</v>
      </c>
      <c r="BU203" s="18">
        <v>2</v>
      </c>
      <c r="BV203" s="120"/>
      <c r="BW203" s="4" t="s">
        <v>51</v>
      </c>
      <c r="BX203" s="18">
        <v>2</v>
      </c>
      <c r="BY203" s="120"/>
      <c r="BZ203" s="4" t="s">
        <v>119</v>
      </c>
      <c r="CA203" s="18">
        <v>2</v>
      </c>
      <c r="CB203" s="120"/>
      <c r="CC203" s="4" t="s">
        <v>76</v>
      </c>
      <c r="CD203" s="18">
        <v>1</v>
      </c>
      <c r="CE203" s="120"/>
      <c r="CF203" s="18" t="s">
        <v>77</v>
      </c>
      <c r="CG203" s="18">
        <v>2</v>
      </c>
      <c r="CH203" s="120"/>
      <c r="CI203" s="4" t="s">
        <v>78</v>
      </c>
      <c r="CJ203" s="34">
        <v>1</v>
      </c>
      <c r="CK203" s="34">
        <v>0</v>
      </c>
      <c r="CL203" s="34">
        <v>0</v>
      </c>
      <c r="CM203" s="34">
        <v>0</v>
      </c>
      <c r="CN203" s="5" t="s">
        <v>213</v>
      </c>
    </row>
    <row r="204" spans="1:92" ht="28" x14ac:dyDescent="0.15">
      <c r="A204" s="51">
        <v>45862.763059930556</v>
      </c>
      <c r="B204" s="3" t="s">
        <v>29</v>
      </c>
      <c r="C204" s="17">
        <v>3</v>
      </c>
      <c r="D204" s="116"/>
      <c r="E204" s="6" t="s">
        <v>90</v>
      </c>
      <c r="F204" s="17">
        <v>1</v>
      </c>
      <c r="G204" s="116"/>
      <c r="H204" s="6" t="s">
        <v>31</v>
      </c>
      <c r="I204" s="17">
        <v>3</v>
      </c>
      <c r="J204" s="116"/>
      <c r="K204" s="43" t="s">
        <v>56</v>
      </c>
      <c r="L204" s="17">
        <v>2</v>
      </c>
      <c r="M204" s="119"/>
      <c r="N204" s="1" t="s">
        <v>33</v>
      </c>
      <c r="O204" s="17">
        <v>1</v>
      </c>
      <c r="P204" s="119"/>
      <c r="Q204" s="1" t="s">
        <v>34</v>
      </c>
      <c r="R204" s="17">
        <v>2</v>
      </c>
      <c r="S204" s="119"/>
      <c r="T204" s="1" t="s">
        <v>35</v>
      </c>
      <c r="U204" s="17">
        <v>2</v>
      </c>
      <c r="V204" s="119"/>
      <c r="W204" s="1" t="s">
        <v>36</v>
      </c>
      <c r="X204" s="17">
        <v>1</v>
      </c>
      <c r="Y204" s="119"/>
      <c r="Z204" s="1" t="s">
        <v>58</v>
      </c>
      <c r="AA204" s="17">
        <v>2</v>
      </c>
      <c r="AB204" s="119"/>
      <c r="AC204" s="1" t="s">
        <v>59</v>
      </c>
      <c r="AD204" s="17">
        <v>0</v>
      </c>
      <c r="AE204" s="119"/>
      <c r="AF204" s="1" t="s">
        <v>70</v>
      </c>
      <c r="AG204" s="17">
        <v>3</v>
      </c>
      <c r="AH204" s="119"/>
      <c r="AI204" s="11" t="s">
        <v>94</v>
      </c>
      <c r="AJ204" s="25">
        <v>2</v>
      </c>
      <c r="AK204" s="127"/>
      <c r="AL204" s="1" t="s">
        <v>71</v>
      </c>
      <c r="AM204" s="17">
        <v>2</v>
      </c>
      <c r="AN204" s="119"/>
      <c r="AO204" s="1" t="s">
        <v>72</v>
      </c>
      <c r="AP204" s="17">
        <v>3</v>
      </c>
      <c r="AQ204" s="119"/>
      <c r="AR204" s="1" t="s">
        <v>61</v>
      </c>
      <c r="AS204" s="17">
        <v>3</v>
      </c>
      <c r="AT204" s="119"/>
      <c r="AU204" s="1" t="s">
        <v>79</v>
      </c>
      <c r="AV204" s="17">
        <v>0</v>
      </c>
      <c r="AW204" s="119"/>
      <c r="AX204" s="1" t="s">
        <v>62</v>
      </c>
      <c r="AY204" s="17">
        <v>2</v>
      </c>
      <c r="AZ204" s="119"/>
      <c r="BA204" s="1" t="s">
        <v>59</v>
      </c>
      <c r="BB204" s="17">
        <v>1</v>
      </c>
      <c r="BC204" s="17">
        <v>0</v>
      </c>
      <c r="BD204" s="17">
        <v>1</v>
      </c>
      <c r="BE204" s="17">
        <v>0</v>
      </c>
      <c r="BF204" s="17">
        <v>0</v>
      </c>
      <c r="BG204" s="17">
        <v>0</v>
      </c>
      <c r="BH204" s="149" t="s">
        <v>47</v>
      </c>
      <c r="BI204" s="17">
        <v>1</v>
      </c>
      <c r="BJ204" s="131"/>
      <c r="BK204" s="1" t="s">
        <v>96</v>
      </c>
      <c r="BL204" s="17">
        <v>2</v>
      </c>
      <c r="BM204" s="119"/>
      <c r="BN204" s="1" t="s">
        <v>64</v>
      </c>
      <c r="BO204" s="17">
        <v>1</v>
      </c>
      <c r="BP204" s="119"/>
      <c r="BQ204" s="17" t="s">
        <v>50</v>
      </c>
      <c r="BR204" s="17">
        <v>2</v>
      </c>
      <c r="BS204" s="119"/>
      <c r="BT204" s="1" t="s">
        <v>65</v>
      </c>
      <c r="BU204" s="17">
        <v>2</v>
      </c>
      <c r="BV204" s="119"/>
      <c r="BW204" s="1" t="s">
        <v>51</v>
      </c>
      <c r="BX204" s="17">
        <v>3</v>
      </c>
      <c r="BY204" s="119"/>
      <c r="BZ204" s="1" t="s">
        <v>97</v>
      </c>
      <c r="CA204" s="17">
        <v>3</v>
      </c>
      <c r="CB204" s="119"/>
      <c r="CC204" s="1" t="s">
        <v>36</v>
      </c>
      <c r="CD204" s="17">
        <v>1</v>
      </c>
      <c r="CE204" s="119"/>
      <c r="CF204" s="17" t="s">
        <v>77</v>
      </c>
      <c r="CG204" s="17">
        <v>0</v>
      </c>
      <c r="CH204" s="119"/>
      <c r="CI204" s="1" t="s">
        <v>89</v>
      </c>
      <c r="CJ204" s="33">
        <v>1</v>
      </c>
      <c r="CK204" s="33">
        <v>1</v>
      </c>
      <c r="CL204" s="33">
        <v>0</v>
      </c>
      <c r="CM204" s="33">
        <v>0</v>
      </c>
      <c r="CN204" s="2" t="s">
        <v>82</v>
      </c>
    </row>
    <row r="205" spans="1:92" ht="28" x14ac:dyDescent="0.15">
      <c r="A205" s="51">
        <v>45862.776096932866</v>
      </c>
      <c r="B205" s="3" t="s">
        <v>29</v>
      </c>
      <c r="C205" s="18">
        <v>3</v>
      </c>
      <c r="D205" s="117"/>
      <c r="E205" s="6" t="s">
        <v>90</v>
      </c>
      <c r="F205" s="18">
        <v>2</v>
      </c>
      <c r="G205" s="117"/>
      <c r="H205" s="6" t="s">
        <v>91</v>
      </c>
      <c r="I205" s="18">
        <v>1</v>
      </c>
      <c r="J205" s="117"/>
      <c r="K205" s="43" t="s">
        <v>32</v>
      </c>
      <c r="L205" s="18">
        <v>2</v>
      </c>
      <c r="M205" s="120"/>
      <c r="N205" s="4" t="s">
        <v>33</v>
      </c>
      <c r="O205" s="18">
        <v>1</v>
      </c>
      <c r="P205" s="120"/>
      <c r="Q205" s="4" t="s">
        <v>34</v>
      </c>
      <c r="R205" s="18">
        <v>1</v>
      </c>
      <c r="S205" s="120"/>
      <c r="T205" s="4" t="s">
        <v>57</v>
      </c>
      <c r="U205" s="18">
        <v>1</v>
      </c>
      <c r="V205" s="120"/>
      <c r="W205" s="4" t="s">
        <v>92</v>
      </c>
      <c r="X205" s="18">
        <v>0</v>
      </c>
      <c r="Y205" s="120"/>
      <c r="Z205" s="9" t="s">
        <v>214</v>
      </c>
      <c r="AA205" s="18">
        <v>2</v>
      </c>
      <c r="AB205" s="120"/>
      <c r="AC205" s="4" t="s">
        <v>59</v>
      </c>
      <c r="AD205" s="18">
        <v>2</v>
      </c>
      <c r="AE205" s="120"/>
      <c r="AF205" s="4" t="s">
        <v>83</v>
      </c>
      <c r="AG205" s="18">
        <v>0</v>
      </c>
      <c r="AH205" s="120"/>
      <c r="AI205" s="13" t="s">
        <v>84</v>
      </c>
      <c r="AJ205" s="24">
        <v>0</v>
      </c>
      <c r="AK205" s="126"/>
      <c r="AL205" s="4" t="s">
        <v>85</v>
      </c>
      <c r="AM205" s="18">
        <v>1</v>
      </c>
      <c r="AN205" s="120"/>
      <c r="AO205" s="4" t="s">
        <v>130</v>
      </c>
      <c r="AP205" s="18">
        <v>3</v>
      </c>
      <c r="AQ205" s="120"/>
      <c r="AR205" s="4" t="s">
        <v>61</v>
      </c>
      <c r="AS205" s="18">
        <v>0</v>
      </c>
      <c r="AT205" s="120"/>
      <c r="AU205" s="4" t="s">
        <v>102</v>
      </c>
      <c r="AV205" s="18">
        <v>0</v>
      </c>
      <c r="AW205" s="120"/>
      <c r="AX205" s="4" t="s">
        <v>73</v>
      </c>
      <c r="AY205" s="18">
        <v>3</v>
      </c>
      <c r="AZ205" s="120"/>
      <c r="BA205" s="4" t="s">
        <v>46</v>
      </c>
      <c r="BB205" s="18">
        <v>1</v>
      </c>
      <c r="BC205" s="18">
        <v>0</v>
      </c>
      <c r="BD205" s="18">
        <v>1</v>
      </c>
      <c r="BE205" s="18">
        <v>0</v>
      </c>
      <c r="BF205" s="18">
        <v>0</v>
      </c>
      <c r="BG205" s="18">
        <v>0</v>
      </c>
      <c r="BH205" s="150" t="s">
        <v>47</v>
      </c>
      <c r="BI205" s="18">
        <v>0</v>
      </c>
      <c r="BJ205" s="130"/>
      <c r="BK205" s="4" t="s">
        <v>75</v>
      </c>
      <c r="BL205" s="18">
        <v>0</v>
      </c>
      <c r="BM205" s="120"/>
      <c r="BN205" s="4" t="s">
        <v>36</v>
      </c>
      <c r="BO205" s="18">
        <v>0</v>
      </c>
      <c r="BP205" s="120"/>
      <c r="BQ205" s="18" t="s">
        <v>87</v>
      </c>
      <c r="BR205" s="18">
        <v>0</v>
      </c>
      <c r="BS205" s="120"/>
      <c r="BT205" s="4" t="s">
        <v>46</v>
      </c>
      <c r="BU205" s="18">
        <v>3</v>
      </c>
      <c r="BV205" s="120"/>
      <c r="BW205" s="4" t="s">
        <v>147</v>
      </c>
      <c r="BX205" s="18">
        <v>1</v>
      </c>
      <c r="BY205" s="120"/>
      <c r="BZ205" s="4" t="s">
        <v>67</v>
      </c>
      <c r="CA205" s="18">
        <v>1</v>
      </c>
      <c r="CB205" s="120"/>
      <c r="CC205" s="4" t="s">
        <v>77</v>
      </c>
      <c r="CD205" s="18">
        <v>1</v>
      </c>
      <c r="CE205" s="120"/>
      <c r="CF205" s="18" t="s">
        <v>77</v>
      </c>
      <c r="CG205" s="18">
        <v>1</v>
      </c>
      <c r="CH205" s="120"/>
      <c r="CI205" s="4" t="s">
        <v>77</v>
      </c>
      <c r="CJ205" s="34"/>
      <c r="CK205" s="34">
        <v>1</v>
      </c>
      <c r="CL205" s="34">
        <v>1</v>
      </c>
      <c r="CM205" s="34">
        <v>0</v>
      </c>
      <c r="CN205" s="5" t="s">
        <v>98</v>
      </c>
    </row>
    <row r="206" spans="1:92" ht="28" x14ac:dyDescent="0.15">
      <c r="A206" s="51">
        <v>45862.790769085652</v>
      </c>
      <c r="B206" s="3" t="s">
        <v>29</v>
      </c>
      <c r="C206" s="17">
        <v>3</v>
      </c>
      <c r="D206" s="116"/>
      <c r="E206" s="6" t="s">
        <v>90</v>
      </c>
      <c r="F206" s="17">
        <v>2</v>
      </c>
      <c r="G206" s="116"/>
      <c r="H206" s="6" t="s">
        <v>91</v>
      </c>
      <c r="I206" s="17">
        <v>2</v>
      </c>
      <c r="J206" s="116"/>
      <c r="K206" s="43" t="s">
        <v>116</v>
      </c>
      <c r="L206" s="17">
        <v>2</v>
      </c>
      <c r="M206" s="119"/>
      <c r="N206" s="1" t="s">
        <v>33</v>
      </c>
      <c r="O206" s="17">
        <v>1</v>
      </c>
      <c r="P206" s="119"/>
      <c r="Q206" s="1" t="s">
        <v>34</v>
      </c>
      <c r="R206" s="17">
        <v>2</v>
      </c>
      <c r="S206" s="119"/>
      <c r="T206" s="1" t="s">
        <v>35</v>
      </c>
      <c r="U206" s="17">
        <v>1</v>
      </c>
      <c r="V206" s="119"/>
      <c r="W206" s="1" t="s">
        <v>92</v>
      </c>
      <c r="X206" s="17">
        <v>1</v>
      </c>
      <c r="Y206" s="119"/>
      <c r="Z206" s="1" t="s">
        <v>58</v>
      </c>
      <c r="AA206" s="17">
        <v>3</v>
      </c>
      <c r="AB206" s="119"/>
      <c r="AC206" s="1" t="s">
        <v>38</v>
      </c>
      <c r="AD206" s="17">
        <v>4</v>
      </c>
      <c r="AE206" s="119"/>
      <c r="AF206" s="1" t="s">
        <v>93</v>
      </c>
      <c r="AG206" s="17">
        <v>2</v>
      </c>
      <c r="AH206" s="119"/>
      <c r="AI206" s="11" t="s">
        <v>40</v>
      </c>
      <c r="AJ206" s="25">
        <v>3</v>
      </c>
      <c r="AK206" s="127"/>
      <c r="AL206" s="1" t="s">
        <v>41</v>
      </c>
      <c r="AM206" s="17">
        <v>2</v>
      </c>
      <c r="AN206" s="119"/>
      <c r="AO206" s="1" t="s">
        <v>72</v>
      </c>
      <c r="AP206" s="17">
        <v>3</v>
      </c>
      <c r="AQ206" s="119"/>
      <c r="AR206" s="1" t="s">
        <v>61</v>
      </c>
      <c r="AS206" s="17">
        <v>3</v>
      </c>
      <c r="AT206" s="119"/>
      <c r="AU206" s="1" t="s">
        <v>79</v>
      </c>
      <c r="AV206" s="17">
        <v>0</v>
      </c>
      <c r="AW206" s="119"/>
      <c r="AX206" s="10" t="s">
        <v>215</v>
      </c>
      <c r="AY206" s="17">
        <v>1</v>
      </c>
      <c r="AZ206" s="119"/>
      <c r="BA206" s="1" t="s">
        <v>69</v>
      </c>
      <c r="BB206" s="17">
        <v>1</v>
      </c>
      <c r="BC206" s="17">
        <v>0</v>
      </c>
      <c r="BD206" s="17">
        <v>1</v>
      </c>
      <c r="BE206" s="17">
        <v>0</v>
      </c>
      <c r="BF206" s="17">
        <v>0</v>
      </c>
      <c r="BG206" s="17">
        <v>0</v>
      </c>
      <c r="BH206" s="149" t="s">
        <v>47</v>
      </c>
      <c r="BI206" s="17">
        <v>2</v>
      </c>
      <c r="BJ206" s="131"/>
      <c r="BK206" s="1" t="s">
        <v>48</v>
      </c>
      <c r="BL206" s="17">
        <v>1</v>
      </c>
      <c r="BM206" s="119"/>
      <c r="BN206" s="1" t="s">
        <v>59</v>
      </c>
      <c r="BO206" s="17">
        <v>1</v>
      </c>
      <c r="BP206" s="119"/>
      <c r="BQ206" s="17" t="s">
        <v>50</v>
      </c>
      <c r="BR206" s="17">
        <v>3</v>
      </c>
      <c r="BS206" s="119"/>
      <c r="BT206" s="1" t="s">
        <v>38</v>
      </c>
      <c r="BU206" s="17">
        <v>2</v>
      </c>
      <c r="BV206" s="119"/>
      <c r="BW206" s="1" t="s">
        <v>51</v>
      </c>
      <c r="BX206" s="17">
        <v>3</v>
      </c>
      <c r="BY206" s="119"/>
      <c r="BZ206" s="1" t="s">
        <v>97</v>
      </c>
      <c r="CA206" s="17">
        <v>3</v>
      </c>
      <c r="CB206" s="119"/>
      <c r="CC206" s="1" t="s">
        <v>36</v>
      </c>
      <c r="CD206" s="17">
        <v>1</v>
      </c>
      <c r="CE206" s="119"/>
      <c r="CF206" s="17" t="s">
        <v>77</v>
      </c>
      <c r="CG206" s="17">
        <v>3</v>
      </c>
      <c r="CH206" s="119"/>
      <c r="CI206" s="1" t="s">
        <v>53</v>
      </c>
      <c r="CJ206" s="33">
        <v>1</v>
      </c>
      <c r="CK206" s="33">
        <v>1</v>
      </c>
      <c r="CL206" s="33">
        <v>0</v>
      </c>
      <c r="CM206" s="33">
        <v>0</v>
      </c>
      <c r="CN206" s="2" t="s">
        <v>68</v>
      </c>
    </row>
    <row r="207" spans="1:92" ht="28" x14ac:dyDescent="0.15">
      <c r="A207" s="51">
        <v>45862.796979351857</v>
      </c>
      <c r="B207" s="3" t="s">
        <v>29</v>
      </c>
      <c r="C207" s="18">
        <v>3</v>
      </c>
      <c r="D207" s="117"/>
      <c r="E207" s="6" t="s">
        <v>90</v>
      </c>
      <c r="F207" s="18">
        <v>2</v>
      </c>
      <c r="G207" s="117"/>
      <c r="H207" s="6" t="s">
        <v>91</v>
      </c>
      <c r="I207" s="18">
        <v>3</v>
      </c>
      <c r="J207" s="117"/>
      <c r="K207" s="43" t="s">
        <v>56</v>
      </c>
      <c r="L207" s="18">
        <v>2</v>
      </c>
      <c r="M207" s="120"/>
      <c r="N207" s="4" t="s">
        <v>33</v>
      </c>
      <c r="O207" s="18">
        <v>1</v>
      </c>
      <c r="P207" s="120"/>
      <c r="Q207" s="4" t="s">
        <v>34</v>
      </c>
      <c r="R207" s="18">
        <v>2</v>
      </c>
      <c r="S207" s="120"/>
      <c r="T207" s="4" t="s">
        <v>35</v>
      </c>
      <c r="U207" s="18">
        <v>2</v>
      </c>
      <c r="V207" s="120"/>
      <c r="W207" s="4" t="s">
        <v>36</v>
      </c>
      <c r="X207" s="18">
        <v>1</v>
      </c>
      <c r="Y207" s="120"/>
      <c r="Z207" s="4" t="s">
        <v>58</v>
      </c>
      <c r="AA207" s="18">
        <v>2</v>
      </c>
      <c r="AB207" s="120"/>
      <c r="AC207" s="4" t="s">
        <v>59</v>
      </c>
      <c r="AD207" s="18">
        <v>3</v>
      </c>
      <c r="AE207" s="120"/>
      <c r="AF207" s="4" t="s">
        <v>60</v>
      </c>
      <c r="AG207" s="18">
        <v>2</v>
      </c>
      <c r="AH207" s="120"/>
      <c r="AI207" s="13" t="s">
        <v>40</v>
      </c>
      <c r="AJ207" s="24">
        <v>3</v>
      </c>
      <c r="AK207" s="126"/>
      <c r="AL207" s="4" t="s">
        <v>41</v>
      </c>
      <c r="AM207" s="18">
        <v>3</v>
      </c>
      <c r="AN207" s="120"/>
      <c r="AO207" s="4" t="s">
        <v>42</v>
      </c>
      <c r="AP207" s="18">
        <v>4</v>
      </c>
      <c r="AQ207" s="120"/>
      <c r="AR207" s="4" t="s">
        <v>43</v>
      </c>
      <c r="AS207" s="18">
        <v>3</v>
      </c>
      <c r="AT207" s="120"/>
      <c r="AU207" s="4" t="s">
        <v>79</v>
      </c>
      <c r="AV207" s="18">
        <v>1</v>
      </c>
      <c r="AW207" s="120"/>
      <c r="AX207" s="4" t="s">
        <v>45</v>
      </c>
      <c r="AY207" s="18">
        <v>3</v>
      </c>
      <c r="AZ207" s="120"/>
      <c r="BA207" s="4" t="s">
        <v>46</v>
      </c>
      <c r="BB207" s="18">
        <v>1</v>
      </c>
      <c r="BC207" s="18">
        <v>0</v>
      </c>
      <c r="BD207" s="18">
        <v>1</v>
      </c>
      <c r="BE207" s="18">
        <v>0</v>
      </c>
      <c r="BF207" s="18">
        <v>0</v>
      </c>
      <c r="BG207" s="18">
        <v>0</v>
      </c>
      <c r="BH207" s="150" t="s">
        <v>47</v>
      </c>
      <c r="BI207" s="18">
        <v>2</v>
      </c>
      <c r="BJ207" s="130"/>
      <c r="BK207" s="4" t="s">
        <v>48</v>
      </c>
      <c r="BL207" s="18">
        <v>2</v>
      </c>
      <c r="BM207" s="120"/>
      <c r="BN207" s="4" t="s">
        <v>64</v>
      </c>
      <c r="BO207" s="18">
        <v>1</v>
      </c>
      <c r="BP207" s="120"/>
      <c r="BQ207" s="18" t="s">
        <v>50</v>
      </c>
      <c r="BR207" s="18">
        <v>2</v>
      </c>
      <c r="BS207" s="120"/>
      <c r="BT207" s="4" t="s">
        <v>65</v>
      </c>
      <c r="BU207" s="18">
        <v>1</v>
      </c>
      <c r="BV207" s="120"/>
      <c r="BW207" s="4" t="s">
        <v>66</v>
      </c>
      <c r="BX207" s="18">
        <v>3</v>
      </c>
      <c r="BY207" s="120"/>
      <c r="BZ207" s="4" t="s">
        <v>97</v>
      </c>
      <c r="CA207" s="18">
        <v>3</v>
      </c>
      <c r="CB207" s="120"/>
      <c r="CC207" s="4" t="s">
        <v>36</v>
      </c>
      <c r="CD207" s="18">
        <v>1</v>
      </c>
      <c r="CE207" s="120"/>
      <c r="CF207" s="18" t="s">
        <v>77</v>
      </c>
      <c r="CG207" s="18">
        <v>3</v>
      </c>
      <c r="CH207" s="120"/>
      <c r="CI207" s="4" t="s">
        <v>53</v>
      </c>
      <c r="CJ207" s="34">
        <v>0</v>
      </c>
      <c r="CK207" s="34">
        <v>1</v>
      </c>
      <c r="CL207" s="34">
        <v>1</v>
      </c>
      <c r="CM207" s="34">
        <v>0</v>
      </c>
      <c r="CN207" s="5" t="s">
        <v>98</v>
      </c>
    </row>
    <row r="208" spans="1:92" ht="28" x14ac:dyDescent="0.15">
      <c r="A208" s="51">
        <v>45862.838421574073</v>
      </c>
      <c r="B208" s="3" t="s">
        <v>29</v>
      </c>
      <c r="C208" s="17">
        <v>3</v>
      </c>
      <c r="D208" s="116"/>
      <c r="E208" s="6" t="s">
        <v>90</v>
      </c>
      <c r="F208" s="17">
        <v>2</v>
      </c>
      <c r="G208" s="116"/>
      <c r="H208" s="6" t="s">
        <v>91</v>
      </c>
      <c r="I208" s="17">
        <v>1</v>
      </c>
      <c r="J208" s="116"/>
      <c r="K208" s="43" t="s">
        <v>32</v>
      </c>
      <c r="L208" s="17">
        <v>0</v>
      </c>
      <c r="M208" s="119"/>
      <c r="N208" s="1" t="s">
        <v>145</v>
      </c>
      <c r="O208" s="17">
        <v>1</v>
      </c>
      <c r="P208" s="119"/>
      <c r="Q208" s="1" t="s">
        <v>34</v>
      </c>
      <c r="R208" s="17">
        <v>2</v>
      </c>
      <c r="S208" s="119"/>
      <c r="T208" s="1" t="s">
        <v>35</v>
      </c>
      <c r="U208" s="17">
        <v>1</v>
      </c>
      <c r="V208" s="119"/>
      <c r="W208" s="1" t="s">
        <v>92</v>
      </c>
      <c r="X208" s="17">
        <v>0</v>
      </c>
      <c r="Y208" s="119"/>
      <c r="Z208" s="1" t="s">
        <v>108</v>
      </c>
      <c r="AA208" s="17">
        <v>0</v>
      </c>
      <c r="AB208" s="119"/>
      <c r="AC208" s="1" t="s">
        <v>46</v>
      </c>
      <c r="AD208" s="17">
        <v>2</v>
      </c>
      <c r="AE208" s="119"/>
      <c r="AF208" s="1" t="s">
        <v>83</v>
      </c>
      <c r="AG208" s="17">
        <v>0</v>
      </c>
      <c r="AH208" s="119"/>
      <c r="AI208" s="11" t="s">
        <v>84</v>
      </c>
      <c r="AJ208" s="25">
        <v>0</v>
      </c>
      <c r="AK208" s="127"/>
      <c r="AL208" s="1" t="s">
        <v>85</v>
      </c>
      <c r="AM208" s="17">
        <v>0</v>
      </c>
      <c r="AN208" s="119"/>
      <c r="AO208" s="1" t="s">
        <v>110</v>
      </c>
      <c r="AP208" s="17">
        <v>3</v>
      </c>
      <c r="AQ208" s="119"/>
      <c r="AR208" s="1" t="s">
        <v>61</v>
      </c>
      <c r="AS208" s="17">
        <v>1</v>
      </c>
      <c r="AT208" s="119"/>
      <c r="AU208" s="1" t="s">
        <v>86</v>
      </c>
      <c r="AV208" s="17">
        <v>0</v>
      </c>
      <c r="AW208" s="119"/>
      <c r="AX208" s="1" t="s">
        <v>73</v>
      </c>
      <c r="AY208" s="17">
        <v>3</v>
      </c>
      <c r="AZ208" s="119"/>
      <c r="BA208" s="1" t="s">
        <v>46</v>
      </c>
      <c r="BB208" s="17">
        <v>0</v>
      </c>
      <c r="BC208" s="17">
        <v>0</v>
      </c>
      <c r="BD208" s="17">
        <v>1</v>
      </c>
      <c r="BE208" s="17">
        <v>1</v>
      </c>
      <c r="BF208" s="17">
        <v>0</v>
      </c>
      <c r="BG208" s="17">
        <v>0</v>
      </c>
      <c r="BH208" s="149" t="s">
        <v>95</v>
      </c>
      <c r="BI208" s="17">
        <v>0</v>
      </c>
      <c r="BJ208" s="131"/>
      <c r="BK208" s="1" t="s">
        <v>75</v>
      </c>
      <c r="BL208" s="17">
        <v>2</v>
      </c>
      <c r="BM208" s="119"/>
      <c r="BN208" s="1" t="s">
        <v>64</v>
      </c>
      <c r="BO208" s="17">
        <v>2</v>
      </c>
      <c r="BP208" s="119"/>
      <c r="BQ208" s="17" t="s">
        <v>117</v>
      </c>
      <c r="BR208" s="17">
        <v>0</v>
      </c>
      <c r="BS208" s="119"/>
      <c r="BT208" s="1" t="s">
        <v>46</v>
      </c>
      <c r="BU208" s="17">
        <v>2</v>
      </c>
      <c r="BV208" s="119"/>
      <c r="BW208" s="1" t="s">
        <v>51</v>
      </c>
      <c r="BX208" s="17">
        <v>1</v>
      </c>
      <c r="BY208" s="119"/>
      <c r="BZ208" s="1" t="s">
        <v>67</v>
      </c>
      <c r="CA208" s="17">
        <v>2</v>
      </c>
      <c r="CB208" s="119"/>
      <c r="CC208" s="1" t="s">
        <v>76</v>
      </c>
      <c r="CD208" s="17">
        <v>0</v>
      </c>
      <c r="CE208" s="119"/>
      <c r="CF208" s="17" t="s">
        <v>49</v>
      </c>
      <c r="CG208" s="17">
        <v>0</v>
      </c>
      <c r="CH208" s="119"/>
      <c r="CI208" s="1" t="s">
        <v>89</v>
      </c>
      <c r="CJ208" s="33">
        <v>0</v>
      </c>
      <c r="CK208" s="33">
        <v>0</v>
      </c>
      <c r="CL208" s="33">
        <v>0</v>
      </c>
      <c r="CM208" s="33">
        <v>1</v>
      </c>
      <c r="CN208" s="2" t="s">
        <v>101</v>
      </c>
    </row>
    <row r="209" spans="1:92" ht="42" x14ac:dyDescent="0.15">
      <c r="A209" s="51">
        <v>45862.860434930553</v>
      </c>
      <c r="B209" s="3" t="s">
        <v>29</v>
      </c>
      <c r="C209" s="18">
        <v>3</v>
      </c>
      <c r="D209" s="117"/>
      <c r="E209" s="6" t="s">
        <v>90</v>
      </c>
      <c r="F209" s="18">
        <v>2</v>
      </c>
      <c r="G209" s="117"/>
      <c r="H209" s="6" t="s">
        <v>91</v>
      </c>
      <c r="I209" s="18">
        <v>3</v>
      </c>
      <c r="J209" s="117"/>
      <c r="K209" s="43" t="s">
        <v>56</v>
      </c>
      <c r="L209" s="18">
        <v>1</v>
      </c>
      <c r="M209" s="120"/>
      <c r="N209" s="4" t="s">
        <v>124</v>
      </c>
      <c r="O209" s="18">
        <v>1</v>
      </c>
      <c r="P209" s="120"/>
      <c r="Q209" s="4" t="s">
        <v>34</v>
      </c>
      <c r="R209" s="18">
        <v>1</v>
      </c>
      <c r="S209" s="120"/>
      <c r="T209" s="4" t="s">
        <v>57</v>
      </c>
      <c r="U209" s="18">
        <v>2</v>
      </c>
      <c r="V209" s="120"/>
      <c r="W209" s="4" t="s">
        <v>36</v>
      </c>
      <c r="X209" s="18">
        <v>1</v>
      </c>
      <c r="Y209" s="120"/>
      <c r="Z209" s="12" t="s">
        <v>216</v>
      </c>
      <c r="AA209" s="18">
        <v>2</v>
      </c>
      <c r="AB209" s="120"/>
      <c r="AC209" s="4" t="s">
        <v>59</v>
      </c>
      <c r="AD209" s="18">
        <v>2</v>
      </c>
      <c r="AE209" s="120"/>
      <c r="AF209" s="4" t="s">
        <v>83</v>
      </c>
      <c r="AG209" s="18">
        <v>2</v>
      </c>
      <c r="AH209" s="120"/>
      <c r="AI209" s="13" t="s">
        <v>40</v>
      </c>
      <c r="AJ209" s="24">
        <v>3</v>
      </c>
      <c r="AK209" s="126"/>
      <c r="AL209" s="4" t="s">
        <v>41</v>
      </c>
      <c r="AM209" s="18">
        <v>2</v>
      </c>
      <c r="AN209" s="120"/>
      <c r="AO209" s="4" t="s">
        <v>72</v>
      </c>
      <c r="AP209" s="18">
        <v>3</v>
      </c>
      <c r="AQ209" s="120"/>
      <c r="AR209" s="4" t="s">
        <v>61</v>
      </c>
      <c r="AS209" s="18">
        <v>3</v>
      </c>
      <c r="AT209" s="120"/>
      <c r="AU209" s="4" t="s">
        <v>79</v>
      </c>
      <c r="AV209" s="18">
        <v>2</v>
      </c>
      <c r="AW209" s="120"/>
      <c r="AX209" s="4" t="s">
        <v>80</v>
      </c>
      <c r="AY209" s="18">
        <v>2</v>
      </c>
      <c r="AZ209" s="120"/>
      <c r="BA209" s="4" t="s">
        <v>59</v>
      </c>
      <c r="BB209" s="18">
        <v>1</v>
      </c>
      <c r="BC209" s="18">
        <v>0</v>
      </c>
      <c r="BD209" s="18">
        <v>0</v>
      </c>
      <c r="BE209" s="18">
        <v>0</v>
      </c>
      <c r="BF209" s="18">
        <v>0</v>
      </c>
      <c r="BG209" s="18">
        <v>1</v>
      </c>
      <c r="BH209" s="150" t="s">
        <v>217</v>
      </c>
      <c r="BI209" s="18">
        <v>2</v>
      </c>
      <c r="BJ209" s="130"/>
      <c r="BK209" s="13" t="s">
        <v>218</v>
      </c>
      <c r="BL209" s="18">
        <v>3</v>
      </c>
      <c r="BM209" s="120"/>
      <c r="BN209" s="4" t="s">
        <v>49</v>
      </c>
      <c r="BO209" s="18">
        <v>1</v>
      </c>
      <c r="BP209" s="120"/>
      <c r="BQ209" s="18" t="s">
        <v>50</v>
      </c>
      <c r="BR209" s="18">
        <v>3</v>
      </c>
      <c r="BS209" s="120"/>
      <c r="BT209" s="4" t="s">
        <v>38</v>
      </c>
      <c r="BU209" s="18">
        <v>3</v>
      </c>
      <c r="BV209" s="120"/>
      <c r="BW209" s="4" t="s">
        <v>147</v>
      </c>
      <c r="BX209" s="18">
        <v>0</v>
      </c>
      <c r="BY209" s="120"/>
      <c r="BZ209" s="13" t="s">
        <v>219</v>
      </c>
      <c r="CA209" s="19">
        <v>1</v>
      </c>
      <c r="CB209" s="130"/>
      <c r="CC209" s="4" t="s">
        <v>77</v>
      </c>
      <c r="CD209" s="18">
        <v>0</v>
      </c>
      <c r="CE209" s="120"/>
      <c r="CF209" s="18" t="s">
        <v>49</v>
      </c>
      <c r="CG209" s="18">
        <v>3</v>
      </c>
      <c r="CH209" s="120"/>
      <c r="CI209" s="13" t="s">
        <v>220</v>
      </c>
      <c r="CJ209" s="35">
        <v>0</v>
      </c>
      <c r="CK209" s="35">
        <v>1</v>
      </c>
      <c r="CL209" s="35">
        <v>1</v>
      </c>
      <c r="CM209" s="35">
        <v>0</v>
      </c>
      <c r="CN209" s="5" t="s">
        <v>98</v>
      </c>
    </row>
    <row r="210" spans="1:92" ht="28" x14ac:dyDescent="0.15">
      <c r="A210" s="51">
        <v>45862.87047952546</v>
      </c>
      <c r="B210" s="3" t="s">
        <v>29</v>
      </c>
      <c r="C210" s="17">
        <v>5</v>
      </c>
      <c r="D210" s="116"/>
      <c r="E210" s="6" t="s">
        <v>30</v>
      </c>
      <c r="F210" s="17">
        <v>2</v>
      </c>
      <c r="G210" s="116"/>
      <c r="H210" s="6" t="s">
        <v>91</v>
      </c>
      <c r="I210" s="17">
        <v>1</v>
      </c>
      <c r="J210" s="116"/>
      <c r="K210" s="43" t="s">
        <v>32</v>
      </c>
      <c r="L210" s="17">
        <v>0</v>
      </c>
      <c r="M210" s="119"/>
      <c r="N210" s="1" t="s">
        <v>145</v>
      </c>
      <c r="O210" s="17">
        <v>1</v>
      </c>
      <c r="P210" s="119"/>
      <c r="Q210" s="1" t="s">
        <v>34</v>
      </c>
      <c r="R210" s="17">
        <v>1</v>
      </c>
      <c r="S210" s="119"/>
      <c r="T210" s="1" t="s">
        <v>57</v>
      </c>
      <c r="U210" s="17">
        <v>2</v>
      </c>
      <c r="V210" s="119"/>
      <c r="W210" s="1" t="s">
        <v>36</v>
      </c>
      <c r="X210" s="17">
        <v>2</v>
      </c>
      <c r="Y210" s="119"/>
      <c r="Z210" s="1" t="s">
        <v>37</v>
      </c>
      <c r="AA210" s="17">
        <v>2</v>
      </c>
      <c r="AB210" s="119"/>
      <c r="AC210" s="1" t="s">
        <v>59</v>
      </c>
      <c r="AD210" s="17">
        <v>1</v>
      </c>
      <c r="AE210" s="119"/>
      <c r="AF210" s="1" t="s">
        <v>39</v>
      </c>
      <c r="AG210" s="17">
        <v>0</v>
      </c>
      <c r="AH210" s="119"/>
      <c r="AI210" s="11" t="s">
        <v>84</v>
      </c>
      <c r="AJ210" s="25">
        <v>2</v>
      </c>
      <c r="AK210" s="127"/>
      <c r="AL210" s="1" t="s">
        <v>71</v>
      </c>
      <c r="AM210" s="17">
        <v>2</v>
      </c>
      <c r="AN210" s="119"/>
      <c r="AO210" s="1" t="s">
        <v>72</v>
      </c>
      <c r="AP210" s="17">
        <v>3</v>
      </c>
      <c r="AQ210" s="119"/>
      <c r="AR210" s="1" t="s">
        <v>61</v>
      </c>
      <c r="AS210" s="17">
        <v>2</v>
      </c>
      <c r="AT210" s="119"/>
      <c r="AU210" s="1" t="s">
        <v>44</v>
      </c>
      <c r="AV210" s="17">
        <v>2</v>
      </c>
      <c r="AW210" s="119"/>
      <c r="AX210" s="1" t="s">
        <v>80</v>
      </c>
      <c r="AY210" s="17">
        <v>2</v>
      </c>
      <c r="AZ210" s="119"/>
      <c r="BA210" s="1" t="s">
        <v>59</v>
      </c>
      <c r="BB210" s="17">
        <v>1</v>
      </c>
      <c r="BC210" s="17">
        <v>0</v>
      </c>
      <c r="BD210" s="17">
        <v>1</v>
      </c>
      <c r="BE210" s="17">
        <v>0</v>
      </c>
      <c r="BF210" s="17">
        <v>0</v>
      </c>
      <c r="BG210" s="17">
        <v>0</v>
      </c>
      <c r="BH210" s="149" t="s">
        <v>47</v>
      </c>
      <c r="BI210" s="17">
        <v>0</v>
      </c>
      <c r="BJ210" s="131"/>
      <c r="BK210" s="1" t="s">
        <v>75</v>
      </c>
      <c r="BL210" s="17">
        <v>3</v>
      </c>
      <c r="BM210" s="119"/>
      <c r="BN210" s="1" t="s">
        <v>49</v>
      </c>
      <c r="BO210" s="17">
        <v>1</v>
      </c>
      <c r="BP210" s="119"/>
      <c r="BQ210" s="17" t="s">
        <v>50</v>
      </c>
      <c r="BR210" s="17">
        <v>1</v>
      </c>
      <c r="BS210" s="119"/>
      <c r="BT210" s="1" t="s">
        <v>69</v>
      </c>
      <c r="BU210" s="17">
        <v>3</v>
      </c>
      <c r="BV210" s="119"/>
      <c r="BW210" s="1" t="s">
        <v>147</v>
      </c>
      <c r="BX210" s="17">
        <v>1</v>
      </c>
      <c r="BY210" s="119"/>
      <c r="BZ210" s="1" t="s">
        <v>67</v>
      </c>
      <c r="CA210" s="17">
        <v>3</v>
      </c>
      <c r="CB210" s="119"/>
      <c r="CC210" s="1" t="s">
        <v>36</v>
      </c>
      <c r="CD210" s="17">
        <v>1</v>
      </c>
      <c r="CE210" s="119"/>
      <c r="CF210" s="17" t="s">
        <v>77</v>
      </c>
      <c r="CG210" s="17">
        <v>1</v>
      </c>
      <c r="CH210" s="119"/>
      <c r="CI210" s="1" t="s">
        <v>77</v>
      </c>
      <c r="CJ210" s="33">
        <v>0</v>
      </c>
      <c r="CK210" s="33">
        <v>0</v>
      </c>
      <c r="CL210" s="33">
        <v>0</v>
      </c>
      <c r="CM210" s="33">
        <v>1</v>
      </c>
      <c r="CN210" s="2" t="s">
        <v>101</v>
      </c>
    </row>
    <row r="211" spans="1:92" ht="42" x14ac:dyDescent="0.15">
      <c r="A211" s="51">
        <v>45862.872074768515</v>
      </c>
      <c r="B211" s="3" t="s">
        <v>29</v>
      </c>
      <c r="C211" s="18">
        <v>0</v>
      </c>
      <c r="D211" s="117"/>
      <c r="E211" s="6" t="s">
        <v>106</v>
      </c>
      <c r="F211" s="18">
        <v>2</v>
      </c>
      <c r="G211" s="117"/>
      <c r="H211" s="6" t="s">
        <v>91</v>
      </c>
      <c r="I211" s="18">
        <v>0</v>
      </c>
      <c r="J211" s="117"/>
      <c r="K211" s="43" t="s">
        <v>107</v>
      </c>
      <c r="L211" s="18">
        <v>1</v>
      </c>
      <c r="M211" s="120"/>
      <c r="N211" s="4" t="s">
        <v>124</v>
      </c>
      <c r="O211" s="18">
        <v>1</v>
      </c>
      <c r="P211" s="120"/>
      <c r="Q211" s="4" t="s">
        <v>34</v>
      </c>
      <c r="R211" s="18">
        <v>1</v>
      </c>
      <c r="S211" s="120"/>
      <c r="T211" s="4" t="s">
        <v>57</v>
      </c>
      <c r="U211" s="18">
        <v>1</v>
      </c>
      <c r="V211" s="120"/>
      <c r="W211" s="4" t="s">
        <v>92</v>
      </c>
      <c r="X211" s="18">
        <v>1</v>
      </c>
      <c r="Y211" s="120"/>
      <c r="Z211" s="4" t="s">
        <v>58</v>
      </c>
      <c r="AA211" s="18">
        <v>0</v>
      </c>
      <c r="AB211" s="120"/>
      <c r="AC211" s="4" t="s">
        <v>46</v>
      </c>
      <c r="AD211" s="18">
        <v>2</v>
      </c>
      <c r="AE211" s="120"/>
      <c r="AF211" s="4" t="s">
        <v>83</v>
      </c>
      <c r="AG211" s="18">
        <v>0</v>
      </c>
      <c r="AH211" s="120"/>
      <c r="AI211" s="13" t="s">
        <v>84</v>
      </c>
      <c r="AJ211" s="24">
        <v>3</v>
      </c>
      <c r="AK211" s="126"/>
      <c r="AL211" s="4" t="s">
        <v>41</v>
      </c>
      <c r="AM211" s="18">
        <v>1</v>
      </c>
      <c r="AN211" s="120"/>
      <c r="AO211" s="4" t="s">
        <v>130</v>
      </c>
      <c r="AP211" s="18">
        <v>3</v>
      </c>
      <c r="AQ211" s="120"/>
      <c r="AR211" s="4" t="s">
        <v>61</v>
      </c>
      <c r="AS211" s="18">
        <v>3</v>
      </c>
      <c r="AT211" s="120"/>
      <c r="AU211" s="4" t="s">
        <v>79</v>
      </c>
      <c r="AV211" s="18">
        <v>2</v>
      </c>
      <c r="AW211" s="120"/>
      <c r="AX211" s="4" t="s">
        <v>80</v>
      </c>
      <c r="AY211" s="18">
        <v>2</v>
      </c>
      <c r="AZ211" s="120"/>
      <c r="BA211" s="4" t="s">
        <v>59</v>
      </c>
      <c r="BB211" s="18">
        <v>1</v>
      </c>
      <c r="BC211" s="18">
        <v>0</v>
      </c>
      <c r="BD211" s="18">
        <v>1</v>
      </c>
      <c r="BE211" s="18">
        <v>0</v>
      </c>
      <c r="BF211" s="18">
        <v>0</v>
      </c>
      <c r="BG211" s="18">
        <v>0</v>
      </c>
      <c r="BH211" s="150" t="s">
        <v>198</v>
      </c>
      <c r="BI211" s="18">
        <v>0</v>
      </c>
      <c r="BJ211" s="130"/>
      <c r="BK211" s="4" t="s">
        <v>75</v>
      </c>
      <c r="BL211" s="18">
        <v>3</v>
      </c>
      <c r="BM211" s="120"/>
      <c r="BN211" s="4" t="s">
        <v>49</v>
      </c>
      <c r="BO211" s="18">
        <v>0</v>
      </c>
      <c r="BP211" s="120"/>
      <c r="BQ211" s="18" t="s">
        <v>87</v>
      </c>
      <c r="BR211" s="18">
        <v>2</v>
      </c>
      <c r="BS211" s="120"/>
      <c r="BT211" s="4" t="s">
        <v>65</v>
      </c>
      <c r="BU211" s="18">
        <v>3</v>
      </c>
      <c r="BV211" s="120"/>
      <c r="BW211" s="4" t="s">
        <v>147</v>
      </c>
      <c r="BX211" s="18">
        <v>2</v>
      </c>
      <c r="BY211" s="120"/>
      <c r="BZ211" s="4" t="s">
        <v>97</v>
      </c>
      <c r="CA211" s="18">
        <v>1</v>
      </c>
      <c r="CB211" s="120"/>
      <c r="CC211" s="4" t="s">
        <v>77</v>
      </c>
      <c r="CD211" s="18">
        <v>0</v>
      </c>
      <c r="CE211" s="120"/>
      <c r="CF211" s="18" t="s">
        <v>49</v>
      </c>
      <c r="CG211" s="18">
        <v>2</v>
      </c>
      <c r="CH211" s="120"/>
      <c r="CI211" s="4" t="s">
        <v>78</v>
      </c>
      <c r="CJ211" s="34">
        <v>0</v>
      </c>
      <c r="CK211" s="34">
        <v>1</v>
      </c>
      <c r="CL211" s="34">
        <v>1</v>
      </c>
      <c r="CM211" s="34">
        <v>0</v>
      </c>
      <c r="CN211" s="5" t="s">
        <v>98</v>
      </c>
    </row>
    <row r="212" spans="1:92" ht="28" x14ac:dyDescent="0.15">
      <c r="A212" s="51">
        <v>45862.872660555557</v>
      </c>
      <c r="B212" s="3" t="s">
        <v>29</v>
      </c>
      <c r="C212" s="17">
        <v>2</v>
      </c>
      <c r="D212" s="116"/>
      <c r="E212" s="6" t="s">
        <v>55</v>
      </c>
      <c r="F212" s="17">
        <v>2</v>
      </c>
      <c r="G212" s="116"/>
      <c r="H212" s="6" t="s">
        <v>91</v>
      </c>
      <c r="I212" s="17">
        <v>3</v>
      </c>
      <c r="J212" s="116"/>
      <c r="K212" s="43" t="s">
        <v>56</v>
      </c>
      <c r="L212" s="17">
        <v>1</v>
      </c>
      <c r="M212" s="119"/>
      <c r="N212" s="1" t="s">
        <v>124</v>
      </c>
      <c r="O212" s="17">
        <v>1</v>
      </c>
      <c r="P212" s="119"/>
      <c r="Q212" s="1" t="s">
        <v>34</v>
      </c>
      <c r="R212" s="17">
        <v>2</v>
      </c>
      <c r="S212" s="119"/>
      <c r="T212" s="1" t="s">
        <v>35</v>
      </c>
      <c r="U212" s="17">
        <v>1</v>
      </c>
      <c r="V212" s="119"/>
      <c r="W212" s="1" t="s">
        <v>92</v>
      </c>
      <c r="X212" s="17">
        <v>1</v>
      </c>
      <c r="Y212" s="119"/>
      <c r="Z212" s="1" t="s">
        <v>58</v>
      </c>
      <c r="AA212" s="17">
        <v>3</v>
      </c>
      <c r="AB212" s="119"/>
      <c r="AC212" s="1" t="s">
        <v>38</v>
      </c>
      <c r="AD212" s="17">
        <v>2</v>
      </c>
      <c r="AE212" s="119"/>
      <c r="AF212" s="1" t="s">
        <v>83</v>
      </c>
      <c r="AG212" s="17">
        <v>2</v>
      </c>
      <c r="AH212" s="119"/>
      <c r="AI212" s="11" t="s">
        <v>40</v>
      </c>
      <c r="AJ212" s="25">
        <v>3</v>
      </c>
      <c r="AK212" s="127"/>
      <c r="AL212" s="1" t="s">
        <v>41</v>
      </c>
      <c r="AM212" s="17">
        <v>2</v>
      </c>
      <c r="AN212" s="119"/>
      <c r="AO212" s="1" t="s">
        <v>72</v>
      </c>
      <c r="AP212" s="17">
        <v>3</v>
      </c>
      <c r="AQ212" s="119"/>
      <c r="AR212" s="1" t="s">
        <v>99</v>
      </c>
      <c r="AS212" s="17">
        <v>3</v>
      </c>
      <c r="AT212" s="119"/>
      <c r="AU212" s="1" t="s">
        <v>79</v>
      </c>
      <c r="AV212" s="17">
        <v>0</v>
      </c>
      <c r="AW212" s="119"/>
      <c r="AX212" s="1" t="s">
        <v>62</v>
      </c>
      <c r="AY212" s="17">
        <v>2</v>
      </c>
      <c r="AZ212" s="119"/>
      <c r="BA212" s="1" t="s">
        <v>59</v>
      </c>
      <c r="BB212" s="17">
        <v>1</v>
      </c>
      <c r="BC212" s="17">
        <v>0</v>
      </c>
      <c r="BD212" s="17">
        <v>1</v>
      </c>
      <c r="BE212" s="17">
        <v>0</v>
      </c>
      <c r="BF212" s="17">
        <v>0</v>
      </c>
      <c r="BG212" s="17">
        <v>0</v>
      </c>
      <c r="BH212" s="149" t="s">
        <v>47</v>
      </c>
      <c r="BI212" s="17">
        <v>0</v>
      </c>
      <c r="BJ212" s="131"/>
      <c r="BK212" s="1" t="s">
        <v>75</v>
      </c>
      <c r="BL212" s="17">
        <v>1</v>
      </c>
      <c r="BM212" s="119"/>
      <c r="BN212" s="1" t="s">
        <v>59</v>
      </c>
      <c r="BO212" s="17">
        <v>1</v>
      </c>
      <c r="BP212" s="119"/>
      <c r="BQ212" s="17" t="s">
        <v>50</v>
      </c>
      <c r="BR212" s="17">
        <v>2</v>
      </c>
      <c r="BS212" s="119"/>
      <c r="BT212" s="1" t="s">
        <v>65</v>
      </c>
      <c r="BU212" s="17">
        <v>2</v>
      </c>
      <c r="BV212" s="119"/>
      <c r="BW212" s="1" t="s">
        <v>51</v>
      </c>
      <c r="BX212" s="17">
        <v>2</v>
      </c>
      <c r="BY212" s="119"/>
      <c r="BZ212" s="1" t="s">
        <v>97</v>
      </c>
      <c r="CA212" s="17">
        <v>2</v>
      </c>
      <c r="CB212" s="119"/>
      <c r="CC212" s="1" t="s">
        <v>76</v>
      </c>
      <c r="CD212" s="17">
        <v>2</v>
      </c>
      <c r="CE212" s="119"/>
      <c r="CF212" s="17" t="s">
        <v>36</v>
      </c>
      <c r="CG212" s="17">
        <v>2</v>
      </c>
      <c r="CH212" s="119"/>
      <c r="CI212" s="1" t="s">
        <v>78</v>
      </c>
      <c r="CJ212" s="33">
        <v>0</v>
      </c>
      <c r="CK212" s="33">
        <v>1</v>
      </c>
      <c r="CL212" s="33">
        <v>1</v>
      </c>
      <c r="CM212" s="33">
        <v>0</v>
      </c>
      <c r="CN212" s="2" t="s">
        <v>98</v>
      </c>
    </row>
    <row r="213" spans="1:92" ht="28" x14ac:dyDescent="0.15">
      <c r="A213" s="51">
        <v>45862.872840173615</v>
      </c>
      <c r="B213" s="3" t="s">
        <v>29</v>
      </c>
      <c r="C213" s="18">
        <v>2</v>
      </c>
      <c r="D213" s="117"/>
      <c r="E213" s="6" t="s">
        <v>55</v>
      </c>
      <c r="F213" s="18">
        <v>2</v>
      </c>
      <c r="G213" s="117"/>
      <c r="H213" s="6" t="s">
        <v>91</v>
      </c>
      <c r="I213" s="18">
        <v>1</v>
      </c>
      <c r="J213" s="117"/>
      <c r="K213" s="43" t="s">
        <v>32</v>
      </c>
      <c r="L213" s="18">
        <v>2</v>
      </c>
      <c r="M213" s="120"/>
      <c r="N213" s="4" t="s">
        <v>33</v>
      </c>
      <c r="O213" s="18">
        <v>1</v>
      </c>
      <c r="P213" s="120"/>
      <c r="Q213" s="4" t="s">
        <v>34</v>
      </c>
      <c r="R213" s="18">
        <v>2</v>
      </c>
      <c r="S213" s="120"/>
      <c r="T213" s="4" t="s">
        <v>35</v>
      </c>
      <c r="U213" s="18">
        <v>0</v>
      </c>
      <c r="V213" s="120"/>
      <c r="W213" s="4" t="s">
        <v>49</v>
      </c>
      <c r="X213" s="18">
        <v>0</v>
      </c>
      <c r="Y213" s="120"/>
      <c r="Z213" s="4" t="s">
        <v>108</v>
      </c>
      <c r="AA213" s="18">
        <v>0</v>
      </c>
      <c r="AB213" s="120"/>
      <c r="AC213" s="4" t="s">
        <v>46</v>
      </c>
      <c r="AD213" s="18">
        <v>4</v>
      </c>
      <c r="AE213" s="120"/>
      <c r="AF213" s="4" t="s">
        <v>93</v>
      </c>
      <c r="AG213" s="18">
        <v>2</v>
      </c>
      <c r="AH213" s="120"/>
      <c r="AI213" s="13" t="s">
        <v>40</v>
      </c>
      <c r="AJ213" s="24">
        <v>0</v>
      </c>
      <c r="AK213" s="126"/>
      <c r="AL213" s="4" t="s">
        <v>85</v>
      </c>
      <c r="AM213" s="18">
        <v>1</v>
      </c>
      <c r="AN213" s="120"/>
      <c r="AO213" s="4" t="s">
        <v>130</v>
      </c>
      <c r="AP213" s="18">
        <v>3</v>
      </c>
      <c r="AQ213" s="120"/>
      <c r="AR213" s="4" t="s">
        <v>61</v>
      </c>
      <c r="AS213" s="18">
        <v>0</v>
      </c>
      <c r="AT213" s="120"/>
      <c r="AU213" s="4" t="s">
        <v>102</v>
      </c>
      <c r="AV213" s="18">
        <v>0</v>
      </c>
      <c r="AW213" s="120"/>
      <c r="AX213" s="4" t="s">
        <v>62</v>
      </c>
      <c r="AY213" s="18">
        <v>2</v>
      </c>
      <c r="AZ213" s="120"/>
      <c r="BA213" s="4" t="s">
        <v>59</v>
      </c>
      <c r="BB213" s="18">
        <v>1</v>
      </c>
      <c r="BC213" s="18">
        <v>0</v>
      </c>
      <c r="BD213" s="18">
        <v>1</v>
      </c>
      <c r="BE213" s="18">
        <v>0</v>
      </c>
      <c r="BF213" s="18">
        <v>0</v>
      </c>
      <c r="BG213" s="18">
        <v>0</v>
      </c>
      <c r="BH213" s="150" t="s">
        <v>47</v>
      </c>
      <c r="BI213" s="18">
        <v>0</v>
      </c>
      <c r="BJ213" s="130"/>
      <c r="BK213" s="4" t="s">
        <v>75</v>
      </c>
      <c r="BL213" s="18">
        <v>0</v>
      </c>
      <c r="BM213" s="120"/>
      <c r="BN213" s="4" t="s">
        <v>36</v>
      </c>
      <c r="BO213" s="18">
        <v>0</v>
      </c>
      <c r="BP213" s="120"/>
      <c r="BQ213" s="18" t="s">
        <v>87</v>
      </c>
      <c r="BR213" s="18">
        <v>2</v>
      </c>
      <c r="BS213" s="120"/>
      <c r="BT213" s="4" t="s">
        <v>65</v>
      </c>
      <c r="BU213" s="18">
        <v>2</v>
      </c>
      <c r="BV213" s="120"/>
      <c r="BW213" s="4" t="s">
        <v>51</v>
      </c>
      <c r="BX213" s="18">
        <v>2</v>
      </c>
      <c r="BY213" s="120"/>
      <c r="BZ213" s="4" t="s">
        <v>97</v>
      </c>
      <c r="CA213" s="18">
        <v>0</v>
      </c>
      <c r="CB213" s="120"/>
      <c r="CC213" s="4" t="s">
        <v>49</v>
      </c>
      <c r="CD213" s="18">
        <v>0</v>
      </c>
      <c r="CE213" s="120"/>
      <c r="CF213" s="18" t="s">
        <v>49</v>
      </c>
      <c r="CG213" s="18">
        <v>2</v>
      </c>
      <c r="CH213" s="120"/>
      <c r="CI213" s="4" t="s">
        <v>78</v>
      </c>
      <c r="CJ213" s="34">
        <v>0</v>
      </c>
      <c r="CK213" s="34">
        <v>0</v>
      </c>
      <c r="CL213" s="34">
        <v>1</v>
      </c>
      <c r="CM213" s="34">
        <v>0</v>
      </c>
      <c r="CN213" s="5" t="s">
        <v>120</v>
      </c>
    </row>
    <row r="214" spans="1:92" ht="28" x14ac:dyDescent="0.15">
      <c r="A214" s="51">
        <v>45862.875355914352</v>
      </c>
      <c r="B214" s="3" t="s">
        <v>29</v>
      </c>
      <c r="C214" s="17">
        <v>3</v>
      </c>
      <c r="D214" s="116"/>
      <c r="E214" s="6" t="s">
        <v>90</v>
      </c>
      <c r="F214" s="17">
        <v>1</v>
      </c>
      <c r="G214" s="116"/>
      <c r="H214" s="6" t="s">
        <v>31</v>
      </c>
      <c r="I214" s="17">
        <v>3</v>
      </c>
      <c r="J214" s="116"/>
      <c r="K214" s="43" t="s">
        <v>56</v>
      </c>
      <c r="L214" s="17">
        <v>1</v>
      </c>
      <c r="M214" s="119"/>
      <c r="N214" s="1" t="s">
        <v>124</v>
      </c>
      <c r="O214" s="17">
        <v>1</v>
      </c>
      <c r="P214" s="119"/>
      <c r="Q214" s="1" t="s">
        <v>34</v>
      </c>
      <c r="R214" s="17">
        <v>2</v>
      </c>
      <c r="S214" s="119"/>
      <c r="T214" s="1" t="s">
        <v>35</v>
      </c>
      <c r="U214" s="17">
        <v>2</v>
      </c>
      <c r="V214" s="119"/>
      <c r="W214" s="1" t="s">
        <v>36</v>
      </c>
      <c r="X214" s="17">
        <v>2</v>
      </c>
      <c r="Y214" s="119"/>
      <c r="Z214" s="1" t="s">
        <v>37</v>
      </c>
      <c r="AA214" s="17">
        <v>3</v>
      </c>
      <c r="AB214" s="119"/>
      <c r="AC214" s="1" t="s">
        <v>38</v>
      </c>
      <c r="AD214" s="17">
        <v>0</v>
      </c>
      <c r="AE214" s="119"/>
      <c r="AF214" s="1" t="s">
        <v>70</v>
      </c>
      <c r="AG214" s="17">
        <v>3</v>
      </c>
      <c r="AH214" s="119"/>
      <c r="AI214" s="11" t="s">
        <v>94</v>
      </c>
      <c r="AJ214" s="25">
        <v>3</v>
      </c>
      <c r="AK214" s="127"/>
      <c r="AL214" s="1" t="s">
        <v>41</v>
      </c>
      <c r="AM214" s="17">
        <v>3</v>
      </c>
      <c r="AN214" s="119"/>
      <c r="AO214" s="1" t="s">
        <v>42</v>
      </c>
      <c r="AP214" s="17">
        <v>3</v>
      </c>
      <c r="AQ214" s="119"/>
      <c r="AR214" s="1" t="s">
        <v>99</v>
      </c>
      <c r="AS214" s="17">
        <v>3</v>
      </c>
      <c r="AT214" s="119"/>
      <c r="AU214" s="1" t="s">
        <v>79</v>
      </c>
      <c r="AV214" s="17">
        <v>2</v>
      </c>
      <c r="AW214" s="119"/>
      <c r="AX214" s="1" t="s">
        <v>80</v>
      </c>
      <c r="AY214" s="17">
        <v>0</v>
      </c>
      <c r="AZ214" s="119"/>
      <c r="BA214" s="1" t="s">
        <v>38</v>
      </c>
      <c r="BB214" s="17">
        <v>1</v>
      </c>
      <c r="BC214" s="17">
        <v>0</v>
      </c>
      <c r="BD214" s="17">
        <v>1</v>
      </c>
      <c r="BE214" s="17">
        <v>0</v>
      </c>
      <c r="BF214" s="17">
        <v>0</v>
      </c>
      <c r="BG214" s="17">
        <v>0</v>
      </c>
      <c r="BH214" s="149" t="s">
        <v>47</v>
      </c>
      <c r="BI214" s="17">
        <v>2</v>
      </c>
      <c r="BJ214" s="131"/>
      <c r="BK214" s="1" t="s">
        <v>48</v>
      </c>
      <c r="BL214" s="17">
        <v>3</v>
      </c>
      <c r="BM214" s="119"/>
      <c r="BN214" s="1" t="s">
        <v>49</v>
      </c>
      <c r="BO214" s="17">
        <v>2</v>
      </c>
      <c r="BP214" s="119"/>
      <c r="BQ214" s="17" t="s">
        <v>117</v>
      </c>
      <c r="BR214" s="17">
        <v>3</v>
      </c>
      <c r="BS214" s="119"/>
      <c r="BT214" s="1" t="s">
        <v>38</v>
      </c>
      <c r="BU214" s="17">
        <v>2</v>
      </c>
      <c r="BV214" s="119"/>
      <c r="BW214" s="1" t="s">
        <v>221</v>
      </c>
      <c r="BX214" s="17">
        <v>2</v>
      </c>
      <c r="BY214" s="119"/>
      <c r="BZ214" s="1" t="s">
        <v>97</v>
      </c>
      <c r="CA214" s="17">
        <v>3</v>
      </c>
      <c r="CB214" s="119"/>
      <c r="CC214" s="1" t="s">
        <v>36</v>
      </c>
      <c r="CD214" s="17">
        <v>2</v>
      </c>
      <c r="CE214" s="119"/>
      <c r="CF214" s="17" t="s">
        <v>36</v>
      </c>
      <c r="CG214" s="17">
        <v>3</v>
      </c>
      <c r="CH214" s="119"/>
      <c r="CI214" s="1" t="s">
        <v>53</v>
      </c>
      <c r="CJ214" s="33">
        <v>1</v>
      </c>
      <c r="CK214" s="33">
        <v>0</v>
      </c>
      <c r="CL214" s="33">
        <v>1</v>
      </c>
      <c r="CM214" s="33">
        <v>0</v>
      </c>
      <c r="CN214" s="2" t="s">
        <v>54</v>
      </c>
    </row>
    <row r="215" spans="1:92" ht="28" x14ac:dyDescent="0.15">
      <c r="A215" s="51">
        <v>45862.877401956022</v>
      </c>
      <c r="B215" s="3" t="s">
        <v>29</v>
      </c>
      <c r="C215" s="18">
        <v>1</v>
      </c>
      <c r="D215" s="117"/>
      <c r="E215" s="6" t="s">
        <v>114</v>
      </c>
      <c r="F215" s="18">
        <v>2</v>
      </c>
      <c r="G215" s="117"/>
      <c r="H215" s="6" t="s">
        <v>91</v>
      </c>
      <c r="I215" s="18">
        <v>1</v>
      </c>
      <c r="J215" s="117"/>
      <c r="K215" s="43" t="s">
        <v>32</v>
      </c>
      <c r="L215" s="18">
        <v>1</v>
      </c>
      <c r="M215" s="120"/>
      <c r="N215" s="4" t="s">
        <v>124</v>
      </c>
      <c r="O215" s="18">
        <v>1</v>
      </c>
      <c r="P215" s="120"/>
      <c r="Q215" s="4" t="s">
        <v>34</v>
      </c>
      <c r="R215" s="18">
        <v>1</v>
      </c>
      <c r="S215" s="120"/>
      <c r="T215" s="4" t="s">
        <v>57</v>
      </c>
      <c r="U215" s="18">
        <v>1</v>
      </c>
      <c r="V215" s="120"/>
      <c r="W215" s="4" t="s">
        <v>92</v>
      </c>
      <c r="X215" s="18">
        <v>2</v>
      </c>
      <c r="Y215" s="120"/>
      <c r="Z215" s="4" t="s">
        <v>37</v>
      </c>
      <c r="AA215" s="18">
        <v>3</v>
      </c>
      <c r="AB215" s="120"/>
      <c r="AC215" s="4" t="s">
        <v>38</v>
      </c>
      <c r="AD215" s="18">
        <v>3</v>
      </c>
      <c r="AE215" s="120"/>
      <c r="AF215" s="4" t="s">
        <v>60</v>
      </c>
      <c r="AG215" s="18">
        <v>1</v>
      </c>
      <c r="AH215" s="120"/>
      <c r="AI215" s="13" t="s">
        <v>138</v>
      </c>
      <c r="AJ215" s="24">
        <v>2</v>
      </c>
      <c r="AK215" s="126"/>
      <c r="AL215" s="4" t="s">
        <v>71</v>
      </c>
      <c r="AM215" s="18">
        <v>2</v>
      </c>
      <c r="AN215" s="120"/>
      <c r="AO215" s="4" t="s">
        <v>72</v>
      </c>
      <c r="AP215" s="18">
        <v>3</v>
      </c>
      <c r="AQ215" s="120"/>
      <c r="AR215" s="4" t="s">
        <v>61</v>
      </c>
      <c r="AS215" s="18">
        <v>2</v>
      </c>
      <c r="AT215" s="120"/>
      <c r="AU215" s="4" t="s">
        <v>44</v>
      </c>
      <c r="AV215" s="18">
        <v>2</v>
      </c>
      <c r="AW215" s="120"/>
      <c r="AX215" s="4" t="s">
        <v>80</v>
      </c>
      <c r="AY215" s="18">
        <v>1</v>
      </c>
      <c r="AZ215" s="120"/>
      <c r="BA215" s="4" t="s">
        <v>69</v>
      </c>
      <c r="BB215" s="18">
        <v>0</v>
      </c>
      <c r="BC215" s="18">
        <v>1</v>
      </c>
      <c r="BD215" s="18">
        <v>1</v>
      </c>
      <c r="BE215" s="18">
        <v>0</v>
      </c>
      <c r="BF215" s="18">
        <v>0</v>
      </c>
      <c r="BG215" s="18">
        <v>0</v>
      </c>
      <c r="BH215" s="150" t="s">
        <v>105</v>
      </c>
      <c r="BI215" s="18">
        <v>0</v>
      </c>
      <c r="BJ215" s="130"/>
      <c r="BK215" s="4" t="s">
        <v>75</v>
      </c>
      <c r="BL215" s="18">
        <v>3</v>
      </c>
      <c r="BM215" s="120"/>
      <c r="BN215" s="4" t="s">
        <v>49</v>
      </c>
      <c r="BO215" s="18">
        <v>2</v>
      </c>
      <c r="BP215" s="120"/>
      <c r="BQ215" s="18" t="s">
        <v>117</v>
      </c>
      <c r="BR215" s="18">
        <v>3</v>
      </c>
      <c r="BS215" s="120"/>
      <c r="BT215" s="4" t="s">
        <v>38</v>
      </c>
      <c r="BU215" s="18">
        <v>0</v>
      </c>
      <c r="BV215" s="120"/>
      <c r="BW215" s="4" t="s">
        <v>88</v>
      </c>
      <c r="BX215" s="18">
        <v>3</v>
      </c>
      <c r="BY215" s="120"/>
      <c r="BZ215" s="4" t="s">
        <v>52</v>
      </c>
      <c r="CA215" s="18">
        <v>3</v>
      </c>
      <c r="CB215" s="120"/>
      <c r="CC215" s="4" t="s">
        <v>36</v>
      </c>
      <c r="CD215" s="18">
        <v>0</v>
      </c>
      <c r="CE215" s="120"/>
      <c r="CF215" s="18" t="s">
        <v>49</v>
      </c>
      <c r="CG215" s="18">
        <v>3</v>
      </c>
      <c r="CH215" s="120"/>
      <c r="CI215" s="4" t="s">
        <v>53</v>
      </c>
      <c r="CJ215" s="34">
        <v>1</v>
      </c>
      <c r="CK215" s="34">
        <v>1</v>
      </c>
      <c r="CL215" s="34">
        <v>0</v>
      </c>
      <c r="CM215" s="34">
        <v>0</v>
      </c>
      <c r="CN215" s="5" t="s">
        <v>68</v>
      </c>
    </row>
    <row r="216" spans="1:92" ht="28" x14ac:dyDescent="0.15">
      <c r="A216" s="51">
        <v>45862.886005196764</v>
      </c>
      <c r="B216" s="3" t="s">
        <v>29</v>
      </c>
      <c r="C216" s="17">
        <v>4</v>
      </c>
      <c r="D216" s="116"/>
      <c r="E216" s="6" t="s">
        <v>127</v>
      </c>
      <c r="F216" s="17">
        <v>2</v>
      </c>
      <c r="G216" s="116"/>
      <c r="H216" s="6" t="s">
        <v>91</v>
      </c>
      <c r="I216" s="17">
        <v>3</v>
      </c>
      <c r="J216" s="116"/>
      <c r="K216" s="43" t="s">
        <v>56</v>
      </c>
      <c r="L216" s="17">
        <v>2</v>
      </c>
      <c r="M216" s="119"/>
      <c r="N216" s="1" t="s">
        <v>33</v>
      </c>
      <c r="O216" s="17">
        <v>1</v>
      </c>
      <c r="P216" s="119"/>
      <c r="Q216" s="1" t="s">
        <v>34</v>
      </c>
      <c r="R216" s="17">
        <v>1</v>
      </c>
      <c r="S216" s="119"/>
      <c r="T216" s="1" t="s">
        <v>57</v>
      </c>
      <c r="U216" s="17">
        <v>1</v>
      </c>
      <c r="V216" s="119"/>
      <c r="W216" s="1" t="s">
        <v>92</v>
      </c>
      <c r="X216" s="17">
        <v>0</v>
      </c>
      <c r="Y216" s="119"/>
      <c r="Z216" s="10" t="s">
        <v>222</v>
      </c>
      <c r="AA216" s="17">
        <v>0</v>
      </c>
      <c r="AB216" s="119"/>
      <c r="AC216" s="1" t="s">
        <v>46</v>
      </c>
      <c r="AD216" s="17">
        <v>2</v>
      </c>
      <c r="AE216" s="119"/>
      <c r="AF216" s="1" t="s">
        <v>83</v>
      </c>
      <c r="AG216" s="17">
        <v>0</v>
      </c>
      <c r="AH216" s="119"/>
      <c r="AI216" s="11" t="s">
        <v>84</v>
      </c>
      <c r="AJ216" s="25">
        <v>0</v>
      </c>
      <c r="AK216" s="127"/>
      <c r="AL216" s="1" t="s">
        <v>85</v>
      </c>
      <c r="AM216" s="17">
        <v>0</v>
      </c>
      <c r="AN216" s="119"/>
      <c r="AO216" s="1" t="s">
        <v>110</v>
      </c>
      <c r="AP216" s="17">
        <v>3</v>
      </c>
      <c r="AQ216" s="119"/>
      <c r="AR216" s="1" t="s">
        <v>61</v>
      </c>
      <c r="AS216" s="17">
        <v>0</v>
      </c>
      <c r="AT216" s="119"/>
      <c r="AU216" s="10" t="s">
        <v>223</v>
      </c>
      <c r="AV216" s="17">
        <v>0</v>
      </c>
      <c r="AW216" s="119"/>
      <c r="AX216" s="10" t="s">
        <v>224</v>
      </c>
      <c r="AY216" s="17">
        <v>0</v>
      </c>
      <c r="AZ216" s="119"/>
      <c r="BA216" s="1" t="s">
        <v>38</v>
      </c>
      <c r="BB216" s="17">
        <v>0</v>
      </c>
      <c r="BC216" s="17">
        <v>0</v>
      </c>
      <c r="BD216" s="17">
        <v>0</v>
      </c>
      <c r="BE216" s="17">
        <v>1</v>
      </c>
      <c r="BF216" s="17">
        <v>0</v>
      </c>
      <c r="BG216" s="17">
        <v>0</v>
      </c>
      <c r="BH216" s="149" t="s">
        <v>155</v>
      </c>
      <c r="BI216" s="17">
        <v>0</v>
      </c>
      <c r="BJ216" s="131"/>
      <c r="BK216" s="1" t="s">
        <v>75</v>
      </c>
      <c r="BL216" s="17">
        <v>3</v>
      </c>
      <c r="BM216" s="119"/>
      <c r="BN216" s="1" t="s">
        <v>49</v>
      </c>
      <c r="BO216" s="17">
        <v>0</v>
      </c>
      <c r="BP216" s="119"/>
      <c r="BQ216" s="17" t="s">
        <v>87</v>
      </c>
      <c r="BR216" s="17">
        <v>1</v>
      </c>
      <c r="BS216" s="119"/>
      <c r="BT216" s="1" t="s">
        <v>69</v>
      </c>
      <c r="BU216" s="17">
        <v>0</v>
      </c>
      <c r="BV216" s="119"/>
      <c r="BW216" s="1" t="s">
        <v>88</v>
      </c>
      <c r="BX216" s="17">
        <v>2</v>
      </c>
      <c r="BY216" s="119"/>
      <c r="BZ216" s="1" t="s">
        <v>97</v>
      </c>
      <c r="CA216" s="17">
        <v>2</v>
      </c>
      <c r="CB216" s="119"/>
      <c r="CC216" s="1" t="s">
        <v>76</v>
      </c>
      <c r="CD216" s="17">
        <v>0</v>
      </c>
      <c r="CE216" s="119"/>
      <c r="CF216" s="17" t="s">
        <v>49</v>
      </c>
      <c r="CG216" s="17">
        <v>2</v>
      </c>
      <c r="CH216" s="119"/>
      <c r="CI216" s="1" t="s">
        <v>78</v>
      </c>
      <c r="CJ216" s="33">
        <v>0</v>
      </c>
      <c r="CK216" s="33">
        <v>0</v>
      </c>
      <c r="CL216" s="33">
        <v>0</v>
      </c>
      <c r="CM216" s="33">
        <v>1</v>
      </c>
      <c r="CN216" s="2" t="s">
        <v>225</v>
      </c>
    </row>
    <row r="217" spans="1:92" ht="28" x14ac:dyDescent="0.15">
      <c r="A217" s="51">
        <v>45862.889713055556</v>
      </c>
      <c r="B217" s="3" t="s">
        <v>29</v>
      </c>
      <c r="C217" s="18">
        <v>1</v>
      </c>
      <c r="D217" s="117"/>
      <c r="E217" s="6" t="s">
        <v>114</v>
      </c>
      <c r="F217" s="18">
        <v>2</v>
      </c>
      <c r="G217" s="117"/>
      <c r="H217" s="6" t="s">
        <v>91</v>
      </c>
      <c r="I217" s="18">
        <v>3</v>
      </c>
      <c r="J217" s="117"/>
      <c r="K217" s="43" t="s">
        <v>56</v>
      </c>
      <c r="L217" s="18">
        <v>2</v>
      </c>
      <c r="M217" s="120"/>
      <c r="N217" s="4" t="s">
        <v>33</v>
      </c>
      <c r="O217" s="18">
        <v>1</v>
      </c>
      <c r="P217" s="120"/>
      <c r="Q217" s="4" t="s">
        <v>34</v>
      </c>
      <c r="R217" s="18">
        <v>2</v>
      </c>
      <c r="S217" s="120"/>
      <c r="T217" s="4" t="s">
        <v>35</v>
      </c>
      <c r="U217" s="18">
        <v>2</v>
      </c>
      <c r="V217" s="120"/>
      <c r="W217" s="4" t="s">
        <v>36</v>
      </c>
      <c r="X217" s="18">
        <v>1</v>
      </c>
      <c r="Y217" s="120"/>
      <c r="Z217" s="4" t="s">
        <v>58</v>
      </c>
      <c r="AA217" s="18">
        <v>1</v>
      </c>
      <c r="AB217" s="120"/>
      <c r="AC217" s="4" t="s">
        <v>69</v>
      </c>
      <c r="AD217" s="18">
        <v>2</v>
      </c>
      <c r="AE217" s="120"/>
      <c r="AF217" s="4" t="s">
        <v>83</v>
      </c>
      <c r="AG217" s="18">
        <v>2</v>
      </c>
      <c r="AH217" s="120"/>
      <c r="AI217" s="13" t="s">
        <v>40</v>
      </c>
      <c r="AJ217" s="24">
        <v>3</v>
      </c>
      <c r="AK217" s="126"/>
      <c r="AL217" s="4" t="s">
        <v>41</v>
      </c>
      <c r="AM217" s="18">
        <v>2</v>
      </c>
      <c r="AN217" s="120"/>
      <c r="AO217" s="4" t="s">
        <v>72</v>
      </c>
      <c r="AP217" s="18">
        <v>3</v>
      </c>
      <c r="AQ217" s="120"/>
      <c r="AR217" s="4" t="s">
        <v>61</v>
      </c>
      <c r="AS217" s="18">
        <v>3</v>
      </c>
      <c r="AT217" s="120"/>
      <c r="AU217" s="4" t="s">
        <v>79</v>
      </c>
      <c r="AV217" s="18">
        <v>0</v>
      </c>
      <c r="AW217" s="120"/>
      <c r="AX217" s="4" t="s">
        <v>62</v>
      </c>
      <c r="AY217" s="18">
        <v>2</v>
      </c>
      <c r="AZ217" s="120"/>
      <c r="BA217" s="4" t="s">
        <v>59</v>
      </c>
      <c r="BB217" s="18">
        <v>1</v>
      </c>
      <c r="BC217" s="18">
        <v>0</v>
      </c>
      <c r="BD217" s="18">
        <v>1</v>
      </c>
      <c r="BE217" s="18">
        <v>0</v>
      </c>
      <c r="BF217" s="18">
        <v>0</v>
      </c>
      <c r="BG217" s="18">
        <v>0</v>
      </c>
      <c r="BH217" s="150" t="s">
        <v>47</v>
      </c>
      <c r="BI217" s="18">
        <v>2</v>
      </c>
      <c r="BJ217" s="130"/>
      <c r="BK217" s="4" t="s">
        <v>48</v>
      </c>
      <c r="BL217" s="18">
        <v>1</v>
      </c>
      <c r="BM217" s="120"/>
      <c r="BN217" s="4" t="s">
        <v>59</v>
      </c>
      <c r="BO217" s="18">
        <v>1</v>
      </c>
      <c r="BP217" s="120"/>
      <c r="BQ217" s="18" t="s">
        <v>50</v>
      </c>
      <c r="BR217" s="18">
        <v>2</v>
      </c>
      <c r="BS217" s="120"/>
      <c r="BT217" s="4" t="s">
        <v>65</v>
      </c>
      <c r="BU217" s="18">
        <v>3</v>
      </c>
      <c r="BV217" s="120"/>
      <c r="BW217" s="4" t="s">
        <v>147</v>
      </c>
      <c r="BX217" s="18">
        <v>2</v>
      </c>
      <c r="BY217" s="120"/>
      <c r="BZ217" s="4" t="s">
        <v>97</v>
      </c>
      <c r="CA217" s="18">
        <v>2</v>
      </c>
      <c r="CB217" s="120"/>
      <c r="CC217" s="4" t="s">
        <v>76</v>
      </c>
      <c r="CD217" s="18">
        <v>1</v>
      </c>
      <c r="CE217" s="120"/>
      <c r="CF217" s="18" t="s">
        <v>77</v>
      </c>
      <c r="CG217" s="18">
        <v>3</v>
      </c>
      <c r="CH217" s="120"/>
      <c r="CI217" s="4" t="s">
        <v>53</v>
      </c>
      <c r="CJ217" s="34">
        <v>0</v>
      </c>
      <c r="CK217" s="34">
        <v>1</v>
      </c>
      <c r="CL217" s="34">
        <v>1</v>
      </c>
      <c r="CM217" s="34">
        <v>0</v>
      </c>
      <c r="CN217" s="5" t="s">
        <v>98</v>
      </c>
    </row>
    <row r="218" spans="1:92" ht="28" x14ac:dyDescent="0.15">
      <c r="A218" s="51">
        <v>45862.890908969908</v>
      </c>
      <c r="B218" s="3" t="s">
        <v>29</v>
      </c>
      <c r="C218" s="17">
        <v>2</v>
      </c>
      <c r="D218" s="116"/>
      <c r="E218" s="6" t="s">
        <v>55</v>
      </c>
      <c r="F218" s="17">
        <v>2</v>
      </c>
      <c r="G218" s="116"/>
      <c r="H218" s="6" t="s">
        <v>91</v>
      </c>
      <c r="I218" s="17">
        <v>1</v>
      </c>
      <c r="J218" s="116"/>
      <c r="K218" s="43" t="s">
        <v>32</v>
      </c>
      <c r="L218" s="17">
        <v>1</v>
      </c>
      <c r="M218" s="119"/>
      <c r="N218" s="1" t="s">
        <v>124</v>
      </c>
      <c r="O218" s="17">
        <v>1</v>
      </c>
      <c r="P218" s="119"/>
      <c r="Q218" s="1" t="s">
        <v>34</v>
      </c>
      <c r="R218" s="17">
        <v>2</v>
      </c>
      <c r="S218" s="119"/>
      <c r="T218" s="1" t="s">
        <v>35</v>
      </c>
      <c r="U218" s="17">
        <v>1</v>
      </c>
      <c r="V218" s="119"/>
      <c r="W218" s="1" t="s">
        <v>92</v>
      </c>
      <c r="X218" s="17">
        <v>1</v>
      </c>
      <c r="Y218" s="119"/>
      <c r="Z218" s="1" t="s">
        <v>58</v>
      </c>
      <c r="AA218" s="17">
        <v>3</v>
      </c>
      <c r="AB218" s="119"/>
      <c r="AC218" s="1" t="s">
        <v>38</v>
      </c>
      <c r="AD218" s="17">
        <v>0</v>
      </c>
      <c r="AE218" s="119"/>
      <c r="AF218" s="1" t="s">
        <v>70</v>
      </c>
      <c r="AG218" s="17">
        <v>3</v>
      </c>
      <c r="AH218" s="119"/>
      <c r="AI218" s="11" t="s">
        <v>94</v>
      </c>
      <c r="AJ218" s="25">
        <v>3</v>
      </c>
      <c r="AK218" s="127"/>
      <c r="AL218" s="1" t="s">
        <v>41</v>
      </c>
      <c r="AM218" s="17">
        <v>3</v>
      </c>
      <c r="AN218" s="119"/>
      <c r="AO218" s="1" t="s">
        <v>42</v>
      </c>
      <c r="AP218" s="17">
        <v>4</v>
      </c>
      <c r="AQ218" s="119"/>
      <c r="AR218" s="1" t="s">
        <v>43</v>
      </c>
      <c r="AS218" s="17">
        <v>3</v>
      </c>
      <c r="AT218" s="119"/>
      <c r="AU218" s="1" t="s">
        <v>79</v>
      </c>
      <c r="AV218" s="17">
        <v>1</v>
      </c>
      <c r="AW218" s="119"/>
      <c r="AX218" s="1" t="s">
        <v>45</v>
      </c>
      <c r="AY218" s="17">
        <v>2</v>
      </c>
      <c r="AZ218" s="119"/>
      <c r="BA218" s="1" t="s">
        <v>59</v>
      </c>
      <c r="BB218" s="17">
        <v>1</v>
      </c>
      <c r="BC218" s="17">
        <v>0</v>
      </c>
      <c r="BD218" s="17">
        <v>1</v>
      </c>
      <c r="BE218" s="17">
        <v>0</v>
      </c>
      <c r="BF218" s="17">
        <v>0</v>
      </c>
      <c r="BG218" s="17">
        <v>0</v>
      </c>
      <c r="BH218" s="149" t="s">
        <v>47</v>
      </c>
      <c r="BI218" s="17">
        <v>0</v>
      </c>
      <c r="BJ218" s="131"/>
      <c r="BK218" s="1" t="s">
        <v>75</v>
      </c>
      <c r="BL218" s="17">
        <v>1</v>
      </c>
      <c r="BM218" s="119"/>
      <c r="BN218" s="1" t="s">
        <v>59</v>
      </c>
      <c r="BO218" s="17">
        <v>1</v>
      </c>
      <c r="BP218" s="119"/>
      <c r="BQ218" s="17" t="s">
        <v>50</v>
      </c>
      <c r="BR218" s="17">
        <v>3</v>
      </c>
      <c r="BS218" s="119"/>
      <c r="BT218" s="1" t="s">
        <v>38</v>
      </c>
      <c r="BU218" s="17">
        <v>1</v>
      </c>
      <c r="BV218" s="119"/>
      <c r="BW218" s="1" t="s">
        <v>66</v>
      </c>
      <c r="BX218" s="17">
        <v>3</v>
      </c>
      <c r="BY218" s="119"/>
      <c r="BZ218" s="1" t="s">
        <v>52</v>
      </c>
      <c r="CA218" s="17">
        <v>3</v>
      </c>
      <c r="CB218" s="119"/>
      <c r="CC218" s="1" t="s">
        <v>36</v>
      </c>
      <c r="CD218" s="17">
        <v>0</v>
      </c>
      <c r="CE218" s="119"/>
      <c r="CF218" s="17" t="s">
        <v>49</v>
      </c>
      <c r="CG218" s="17">
        <v>2</v>
      </c>
      <c r="CH218" s="119"/>
      <c r="CI218" s="1" t="s">
        <v>78</v>
      </c>
      <c r="CJ218" s="33">
        <v>1</v>
      </c>
      <c r="CK218" s="33">
        <v>1</v>
      </c>
      <c r="CL218" s="33">
        <v>0</v>
      </c>
      <c r="CM218" s="33">
        <v>0</v>
      </c>
      <c r="CN218" s="2" t="s">
        <v>82</v>
      </c>
    </row>
    <row r="219" spans="1:92" ht="28" x14ac:dyDescent="0.15">
      <c r="A219" s="51">
        <v>45862.892580810185</v>
      </c>
      <c r="B219" s="3" t="s">
        <v>29</v>
      </c>
      <c r="C219" s="18">
        <v>1</v>
      </c>
      <c r="D219" s="117"/>
      <c r="E219" s="6" t="s">
        <v>114</v>
      </c>
      <c r="F219" s="18">
        <v>1</v>
      </c>
      <c r="G219" s="117"/>
      <c r="H219" s="6" t="s">
        <v>31</v>
      </c>
      <c r="I219" s="18">
        <v>2</v>
      </c>
      <c r="J219" s="117"/>
      <c r="K219" s="43" t="s">
        <v>116</v>
      </c>
      <c r="L219" s="18">
        <v>1</v>
      </c>
      <c r="M219" s="120"/>
      <c r="N219" s="4" t="s">
        <v>124</v>
      </c>
      <c r="O219" s="18">
        <v>1</v>
      </c>
      <c r="P219" s="120"/>
      <c r="Q219" s="4" t="s">
        <v>34</v>
      </c>
      <c r="R219" s="18">
        <v>2</v>
      </c>
      <c r="S219" s="120"/>
      <c r="T219" s="4" t="s">
        <v>35</v>
      </c>
      <c r="U219" s="18">
        <v>1</v>
      </c>
      <c r="V219" s="120"/>
      <c r="W219" s="4" t="s">
        <v>92</v>
      </c>
      <c r="X219" s="18">
        <v>1</v>
      </c>
      <c r="Y219" s="120"/>
      <c r="Z219" s="4" t="s">
        <v>58</v>
      </c>
      <c r="AA219" s="18">
        <v>3</v>
      </c>
      <c r="AB219" s="120"/>
      <c r="AC219" s="4" t="s">
        <v>38</v>
      </c>
      <c r="AD219" s="18">
        <v>0</v>
      </c>
      <c r="AE219" s="120"/>
      <c r="AF219" s="4" t="s">
        <v>70</v>
      </c>
      <c r="AG219" s="18">
        <v>2</v>
      </c>
      <c r="AH219" s="120"/>
      <c r="AI219" s="13" t="s">
        <v>40</v>
      </c>
      <c r="AJ219" s="24">
        <v>3</v>
      </c>
      <c r="AK219" s="126"/>
      <c r="AL219" s="4" t="s">
        <v>41</v>
      </c>
      <c r="AM219" s="18">
        <v>2</v>
      </c>
      <c r="AN219" s="120"/>
      <c r="AO219" s="4" t="s">
        <v>72</v>
      </c>
      <c r="AP219" s="18">
        <v>3</v>
      </c>
      <c r="AQ219" s="120"/>
      <c r="AR219" s="4" t="s">
        <v>61</v>
      </c>
      <c r="AS219" s="18">
        <v>3</v>
      </c>
      <c r="AT219" s="120"/>
      <c r="AU219" s="4" t="s">
        <v>79</v>
      </c>
      <c r="AV219" s="18">
        <v>2</v>
      </c>
      <c r="AW219" s="120"/>
      <c r="AX219" s="4" t="s">
        <v>80</v>
      </c>
      <c r="AY219" s="18">
        <v>1</v>
      </c>
      <c r="AZ219" s="120"/>
      <c r="BA219" s="4" t="s">
        <v>69</v>
      </c>
      <c r="BB219" s="18">
        <v>1</v>
      </c>
      <c r="BC219" s="18">
        <v>0</v>
      </c>
      <c r="BD219" s="18">
        <v>1</v>
      </c>
      <c r="BE219" s="18">
        <v>0</v>
      </c>
      <c r="BF219" s="18">
        <v>0</v>
      </c>
      <c r="BG219" s="18">
        <v>0</v>
      </c>
      <c r="BH219" s="150" t="s">
        <v>47</v>
      </c>
      <c r="BI219" s="18">
        <v>1</v>
      </c>
      <c r="BJ219" s="130"/>
      <c r="BK219" s="4" t="s">
        <v>96</v>
      </c>
      <c r="BL219" s="18">
        <v>3</v>
      </c>
      <c r="BM219" s="120"/>
      <c r="BN219" s="4" t="s">
        <v>49</v>
      </c>
      <c r="BO219" s="18">
        <v>1</v>
      </c>
      <c r="BP219" s="120"/>
      <c r="BQ219" s="18" t="s">
        <v>50</v>
      </c>
      <c r="BR219" s="18">
        <v>3</v>
      </c>
      <c r="BS219" s="120"/>
      <c r="BT219" s="4" t="s">
        <v>38</v>
      </c>
      <c r="BU219" s="18">
        <v>0</v>
      </c>
      <c r="BV219" s="120"/>
      <c r="BW219" s="4" t="s">
        <v>88</v>
      </c>
      <c r="BX219" s="18">
        <v>2</v>
      </c>
      <c r="BY219" s="120"/>
      <c r="BZ219" s="4" t="s">
        <v>97</v>
      </c>
      <c r="CA219" s="18">
        <v>3</v>
      </c>
      <c r="CB219" s="120"/>
      <c r="CC219" s="4" t="s">
        <v>36</v>
      </c>
      <c r="CD219" s="18">
        <v>0</v>
      </c>
      <c r="CE219" s="120"/>
      <c r="CF219" s="18" t="s">
        <v>49</v>
      </c>
      <c r="CG219" s="18">
        <v>2</v>
      </c>
      <c r="CH219" s="120"/>
      <c r="CI219" s="4" t="s">
        <v>78</v>
      </c>
      <c r="CJ219" s="34">
        <v>0</v>
      </c>
      <c r="CK219" s="34">
        <v>1</v>
      </c>
      <c r="CL219" s="34">
        <v>1</v>
      </c>
      <c r="CM219" s="34">
        <v>0</v>
      </c>
      <c r="CN219" s="5" t="s">
        <v>98</v>
      </c>
    </row>
    <row r="220" spans="1:92" ht="70" x14ac:dyDescent="0.15">
      <c r="A220" s="51">
        <v>45862.894422372687</v>
      </c>
      <c r="B220" s="3" t="s">
        <v>29</v>
      </c>
      <c r="C220" s="17">
        <v>2</v>
      </c>
      <c r="D220" s="116"/>
      <c r="E220" s="6" t="s">
        <v>55</v>
      </c>
      <c r="F220" s="17">
        <v>1</v>
      </c>
      <c r="G220" s="116"/>
      <c r="H220" s="6" t="s">
        <v>31</v>
      </c>
      <c r="I220" s="17">
        <v>4</v>
      </c>
      <c r="J220" s="116"/>
      <c r="K220" s="43" t="s">
        <v>118</v>
      </c>
      <c r="L220" s="17">
        <v>1</v>
      </c>
      <c r="M220" s="119"/>
      <c r="N220" s="1" t="s">
        <v>124</v>
      </c>
      <c r="O220" s="17">
        <v>1</v>
      </c>
      <c r="P220" s="119"/>
      <c r="Q220" s="1" t="s">
        <v>34</v>
      </c>
      <c r="R220" s="17">
        <v>1</v>
      </c>
      <c r="S220" s="119"/>
      <c r="T220" s="1" t="s">
        <v>57</v>
      </c>
      <c r="U220" s="17">
        <v>1</v>
      </c>
      <c r="V220" s="119"/>
      <c r="W220" s="1" t="s">
        <v>92</v>
      </c>
      <c r="X220" s="17">
        <v>1</v>
      </c>
      <c r="Y220" s="119"/>
      <c r="Z220" s="14" t="s">
        <v>226</v>
      </c>
      <c r="AA220" s="17">
        <v>3</v>
      </c>
      <c r="AB220" s="119"/>
      <c r="AC220" s="1" t="s">
        <v>38</v>
      </c>
      <c r="AD220" s="17">
        <v>5</v>
      </c>
      <c r="AE220" s="119"/>
      <c r="AF220" s="1" t="s">
        <v>227</v>
      </c>
      <c r="AG220" s="17">
        <v>2</v>
      </c>
      <c r="AH220" s="119"/>
      <c r="AI220" s="11" t="s">
        <v>40</v>
      </c>
      <c r="AJ220" s="25">
        <v>2</v>
      </c>
      <c r="AK220" s="127"/>
      <c r="AL220" s="1" t="s">
        <v>71</v>
      </c>
      <c r="AM220" s="17">
        <v>2</v>
      </c>
      <c r="AN220" s="119"/>
      <c r="AO220" s="1" t="s">
        <v>72</v>
      </c>
      <c r="AP220" s="17">
        <v>3</v>
      </c>
      <c r="AQ220" s="119"/>
      <c r="AR220" s="1" t="s">
        <v>61</v>
      </c>
      <c r="AS220" s="17">
        <v>2</v>
      </c>
      <c r="AT220" s="119"/>
      <c r="AU220" s="1" t="s">
        <v>44</v>
      </c>
      <c r="AV220" s="17">
        <v>0</v>
      </c>
      <c r="AW220" s="119"/>
      <c r="AX220" s="1" t="s">
        <v>62</v>
      </c>
      <c r="AY220" s="17">
        <v>2</v>
      </c>
      <c r="AZ220" s="119"/>
      <c r="BA220" s="1" t="s">
        <v>59</v>
      </c>
      <c r="BB220" s="17">
        <v>1</v>
      </c>
      <c r="BC220" s="17">
        <v>0</v>
      </c>
      <c r="BD220" s="17">
        <v>1</v>
      </c>
      <c r="BE220" s="17">
        <v>0</v>
      </c>
      <c r="BF220" s="17">
        <v>0</v>
      </c>
      <c r="BG220" s="17">
        <v>0</v>
      </c>
      <c r="BH220" s="149" t="s">
        <v>47</v>
      </c>
      <c r="BI220" s="17">
        <v>0</v>
      </c>
      <c r="BJ220" s="131"/>
      <c r="BK220" s="1" t="s">
        <v>75</v>
      </c>
      <c r="BL220" s="17">
        <v>2</v>
      </c>
      <c r="BM220" s="119"/>
      <c r="BN220" s="1" t="s">
        <v>64</v>
      </c>
      <c r="BO220" s="17">
        <v>1</v>
      </c>
      <c r="BP220" s="119"/>
      <c r="BQ220" s="17" t="s">
        <v>50</v>
      </c>
      <c r="BR220" s="17">
        <v>3</v>
      </c>
      <c r="BS220" s="119"/>
      <c r="BT220" s="1" t="s">
        <v>38</v>
      </c>
      <c r="BU220" s="17">
        <v>1</v>
      </c>
      <c r="BV220" s="119"/>
      <c r="BW220" s="1" t="s">
        <v>66</v>
      </c>
      <c r="BX220" s="17">
        <v>3</v>
      </c>
      <c r="BY220" s="119"/>
      <c r="BZ220" s="1" t="s">
        <v>52</v>
      </c>
      <c r="CA220" s="17">
        <v>2</v>
      </c>
      <c r="CB220" s="119"/>
      <c r="CC220" s="1" t="s">
        <v>76</v>
      </c>
      <c r="CD220" s="17">
        <v>0</v>
      </c>
      <c r="CE220" s="119"/>
      <c r="CF220" s="17" t="s">
        <v>49</v>
      </c>
      <c r="CG220" s="17">
        <v>2</v>
      </c>
      <c r="CH220" s="119"/>
      <c r="CI220" s="1" t="s">
        <v>78</v>
      </c>
      <c r="CJ220" s="33">
        <v>1</v>
      </c>
      <c r="CK220" s="33">
        <v>1</v>
      </c>
      <c r="CL220" s="33">
        <v>0</v>
      </c>
      <c r="CM220" s="33">
        <v>0</v>
      </c>
      <c r="CN220" s="2" t="s">
        <v>82</v>
      </c>
    </row>
    <row r="221" spans="1:92" ht="28" x14ac:dyDescent="0.15">
      <c r="A221" s="51">
        <v>45862.896108518515</v>
      </c>
      <c r="B221" s="3" t="s">
        <v>29</v>
      </c>
      <c r="C221" s="18">
        <v>2</v>
      </c>
      <c r="D221" s="117"/>
      <c r="E221" s="6" t="s">
        <v>55</v>
      </c>
      <c r="F221" s="18">
        <v>1</v>
      </c>
      <c r="G221" s="117"/>
      <c r="H221" s="6" t="s">
        <v>31</v>
      </c>
      <c r="I221" s="18">
        <v>3</v>
      </c>
      <c r="J221" s="117"/>
      <c r="K221" s="43" t="s">
        <v>56</v>
      </c>
      <c r="L221" s="18">
        <v>2</v>
      </c>
      <c r="M221" s="120"/>
      <c r="N221" s="4" t="s">
        <v>33</v>
      </c>
      <c r="O221" s="18">
        <v>1</v>
      </c>
      <c r="P221" s="120"/>
      <c r="Q221" s="4" t="s">
        <v>34</v>
      </c>
      <c r="R221" s="18">
        <v>2</v>
      </c>
      <c r="S221" s="120"/>
      <c r="T221" s="4" t="s">
        <v>35</v>
      </c>
      <c r="U221" s="18">
        <v>2</v>
      </c>
      <c r="V221" s="120"/>
      <c r="W221" s="4" t="s">
        <v>36</v>
      </c>
      <c r="X221" s="18">
        <v>1</v>
      </c>
      <c r="Y221" s="120"/>
      <c r="Z221" s="4" t="s">
        <v>58</v>
      </c>
      <c r="AA221" s="18">
        <v>2</v>
      </c>
      <c r="AB221" s="120"/>
      <c r="AC221" s="4" t="s">
        <v>59</v>
      </c>
      <c r="AD221" s="18">
        <v>2</v>
      </c>
      <c r="AE221" s="120"/>
      <c r="AF221" s="4" t="s">
        <v>83</v>
      </c>
      <c r="AG221" s="18">
        <v>2</v>
      </c>
      <c r="AH221" s="120"/>
      <c r="AI221" s="13" t="s">
        <v>40</v>
      </c>
      <c r="AJ221" s="24">
        <v>3</v>
      </c>
      <c r="AK221" s="126"/>
      <c r="AL221" s="4" t="s">
        <v>41</v>
      </c>
      <c r="AM221" s="18">
        <v>2</v>
      </c>
      <c r="AN221" s="120"/>
      <c r="AO221" s="4" t="s">
        <v>72</v>
      </c>
      <c r="AP221" s="18">
        <v>3</v>
      </c>
      <c r="AQ221" s="120"/>
      <c r="AR221" s="4" t="s">
        <v>61</v>
      </c>
      <c r="AS221" s="18">
        <v>3</v>
      </c>
      <c r="AT221" s="120"/>
      <c r="AU221" s="4" t="s">
        <v>79</v>
      </c>
      <c r="AV221" s="18">
        <v>2</v>
      </c>
      <c r="AW221" s="120"/>
      <c r="AX221" s="4" t="s">
        <v>80</v>
      </c>
      <c r="AY221" s="18">
        <v>1</v>
      </c>
      <c r="AZ221" s="120"/>
      <c r="BA221" s="4" t="s">
        <v>69</v>
      </c>
      <c r="BB221" s="18">
        <v>1</v>
      </c>
      <c r="BC221" s="18">
        <v>1</v>
      </c>
      <c r="BD221" s="18">
        <v>0</v>
      </c>
      <c r="BE221" s="18">
        <v>0</v>
      </c>
      <c r="BF221" s="18">
        <v>0</v>
      </c>
      <c r="BG221" s="18">
        <v>0</v>
      </c>
      <c r="BH221" s="150" t="s">
        <v>81</v>
      </c>
      <c r="BI221" s="18">
        <v>0</v>
      </c>
      <c r="BJ221" s="130"/>
      <c r="BK221" s="4" t="s">
        <v>75</v>
      </c>
      <c r="BL221" s="18">
        <v>3</v>
      </c>
      <c r="BM221" s="120"/>
      <c r="BN221" s="4" t="s">
        <v>49</v>
      </c>
      <c r="BO221" s="18">
        <v>1</v>
      </c>
      <c r="BP221" s="120"/>
      <c r="BQ221" s="18" t="s">
        <v>50</v>
      </c>
      <c r="BR221" s="18">
        <v>2</v>
      </c>
      <c r="BS221" s="120"/>
      <c r="BT221" s="4" t="s">
        <v>65</v>
      </c>
      <c r="BU221" s="18">
        <v>2</v>
      </c>
      <c r="BV221" s="120"/>
      <c r="BW221" s="4" t="s">
        <v>51</v>
      </c>
      <c r="BX221" s="18">
        <v>3</v>
      </c>
      <c r="BY221" s="120"/>
      <c r="BZ221" s="4" t="s">
        <v>52</v>
      </c>
      <c r="CA221" s="18">
        <v>3</v>
      </c>
      <c r="CB221" s="120"/>
      <c r="CC221" s="4" t="s">
        <v>36</v>
      </c>
      <c r="CD221" s="18">
        <v>1</v>
      </c>
      <c r="CE221" s="120"/>
      <c r="CF221" s="18" t="s">
        <v>77</v>
      </c>
      <c r="CG221" s="18">
        <v>3</v>
      </c>
      <c r="CH221" s="120"/>
      <c r="CI221" s="4" t="s">
        <v>53</v>
      </c>
      <c r="CJ221" s="34">
        <v>0</v>
      </c>
      <c r="CK221" s="34">
        <v>1</v>
      </c>
      <c r="CL221" s="34">
        <v>1</v>
      </c>
      <c r="CM221" s="34">
        <v>0</v>
      </c>
      <c r="CN221" s="5" t="s">
        <v>98</v>
      </c>
    </row>
    <row r="222" spans="1:92" ht="28" x14ac:dyDescent="0.15">
      <c r="A222" s="51">
        <v>45862.897497303245</v>
      </c>
      <c r="B222" s="3" t="s">
        <v>29</v>
      </c>
      <c r="C222" s="17">
        <v>2</v>
      </c>
      <c r="D222" s="116"/>
      <c r="E222" s="6" t="s">
        <v>55</v>
      </c>
      <c r="F222" s="17">
        <v>1</v>
      </c>
      <c r="G222" s="116"/>
      <c r="H222" s="6" t="s">
        <v>31</v>
      </c>
      <c r="I222" s="17">
        <v>3</v>
      </c>
      <c r="J222" s="116"/>
      <c r="K222" s="43" t="s">
        <v>56</v>
      </c>
      <c r="L222" s="17">
        <v>1</v>
      </c>
      <c r="M222" s="119"/>
      <c r="N222" s="1" t="s">
        <v>124</v>
      </c>
      <c r="O222" s="17">
        <v>1</v>
      </c>
      <c r="P222" s="119"/>
      <c r="Q222" s="1" t="s">
        <v>34</v>
      </c>
      <c r="R222" s="17">
        <v>2</v>
      </c>
      <c r="S222" s="119"/>
      <c r="T222" s="1" t="s">
        <v>35</v>
      </c>
      <c r="U222" s="17">
        <v>2</v>
      </c>
      <c r="V222" s="119"/>
      <c r="W222" s="1" t="s">
        <v>36</v>
      </c>
      <c r="X222" s="17">
        <v>2</v>
      </c>
      <c r="Y222" s="119"/>
      <c r="Z222" s="1" t="s">
        <v>37</v>
      </c>
      <c r="AA222" s="17">
        <v>3</v>
      </c>
      <c r="AB222" s="119"/>
      <c r="AC222" s="1" t="s">
        <v>38</v>
      </c>
      <c r="AD222" s="17">
        <v>4</v>
      </c>
      <c r="AE222" s="119"/>
      <c r="AF222" s="1" t="s">
        <v>93</v>
      </c>
      <c r="AG222" s="17">
        <v>1</v>
      </c>
      <c r="AH222" s="119"/>
      <c r="AI222" s="11" t="s">
        <v>200</v>
      </c>
      <c r="AJ222" s="25">
        <v>3</v>
      </c>
      <c r="AK222" s="127"/>
      <c r="AL222" s="1" t="s">
        <v>41</v>
      </c>
      <c r="AM222" s="17">
        <v>3</v>
      </c>
      <c r="AN222" s="119"/>
      <c r="AO222" s="1" t="s">
        <v>42</v>
      </c>
      <c r="AP222" s="17">
        <v>2</v>
      </c>
      <c r="AQ222" s="119"/>
      <c r="AR222" s="1" t="s">
        <v>104</v>
      </c>
      <c r="AS222" s="17">
        <v>3</v>
      </c>
      <c r="AT222" s="119"/>
      <c r="AU222" s="1" t="s">
        <v>79</v>
      </c>
      <c r="AV222" s="17">
        <v>2</v>
      </c>
      <c r="AW222" s="119"/>
      <c r="AX222" s="1" t="s">
        <v>80</v>
      </c>
      <c r="AY222" s="17">
        <v>3</v>
      </c>
      <c r="AZ222" s="119"/>
      <c r="BA222" s="1" t="s">
        <v>46</v>
      </c>
      <c r="BB222" s="17">
        <v>1</v>
      </c>
      <c r="BC222" s="17">
        <v>1</v>
      </c>
      <c r="BD222" s="17">
        <v>0</v>
      </c>
      <c r="BE222" s="17">
        <v>0</v>
      </c>
      <c r="BF222" s="17">
        <v>0</v>
      </c>
      <c r="BG222" s="17">
        <v>0</v>
      </c>
      <c r="BH222" s="149" t="s">
        <v>81</v>
      </c>
      <c r="BI222" s="17">
        <v>2</v>
      </c>
      <c r="BJ222" s="131"/>
      <c r="BK222" s="1" t="s">
        <v>48</v>
      </c>
      <c r="BL222" s="17">
        <v>2</v>
      </c>
      <c r="BM222" s="119"/>
      <c r="BN222" s="1" t="s">
        <v>64</v>
      </c>
      <c r="BO222" s="17">
        <v>2</v>
      </c>
      <c r="BP222" s="119"/>
      <c r="BQ222" s="17" t="s">
        <v>117</v>
      </c>
      <c r="BR222" s="17">
        <v>2</v>
      </c>
      <c r="BS222" s="119"/>
      <c r="BT222" s="1" t="s">
        <v>65</v>
      </c>
      <c r="BU222" s="17">
        <v>2</v>
      </c>
      <c r="BV222" s="119"/>
      <c r="BW222" s="1" t="s">
        <v>51</v>
      </c>
      <c r="BX222" s="17">
        <v>3</v>
      </c>
      <c r="BY222" s="119"/>
      <c r="BZ222" s="1" t="s">
        <v>228</v>
      </c>
      <c r="CA222" s="17">
        <v>3</v>
      </c>
      <c r="CB222" s="119"/>
      <c r="CC222" s="1" t="s">
        <v>36</v>
      </c>
      <c r="CD222" s="17">
        <v>2</v>
      </c>
      <c r="CE222" s="119"/>
      <c r="CF222" s="17" t="s">
        <v>36</v>
      </c>
      <c r="CG222" s="17">
        <v>3</v>
      </c>
      <c r="CH222" s="119"/>
      <c r="CI222" s="1" t="s">
        <v>53</v>
      </c>
      <c r="CJ222" s="33">
        <v>0</v>
      </c>
      <c r="CK222" s="33">
        <v>1</v>
      </c>
      <c r="CL222" s="33">
        <v>1</v>
      </c>
      <c r="CM222" s="33">
        <v>0</v>
      </c>
      <c r="CN222" s="2" t="s">
        <v>98</v>
      </c>
    </row>
    <row r="223" spans="1:92" ht="28" x14ac:dyDescent="0.15">
      <c r="A223" s="51">
        <v>45862.907972835645</v>
      </c>
      <c r="B223" s="3" t="s">
        <v>29</v>
      </c>
      <c r="C223" s="18">
        <v>1</v>
      </c>
      <c r="D223" s="117"/>
      <c r="E223" s="6" t="s">
        <v>114</v>
      </c>
      <c r="F223" s="18">
        <v>1</v>
      </c>
      <c r="G223" s="117"/>
      <c r="H223" s="6" t="s">
        <v>31</v>
      </c>
      <c r="I223" s="18">
        <v>1</v>
      </c>
      <c r="J223" s="117"/>
      <c r="K223" s="43" t="s">
        <v>32</v>
      </c>
      <c r="L223" s="18">
        <v>1</v>
      </c>
      <c r="M223" s="120"/>
      <c r="N223" s="4" t="s">
        <v>124</v>
      </c>
      <c r="O223" s="18">
        <v>1</v>
      </c>
      <c r="P223" s="120"/>
      <c r="Q223" s="4" t="s">
        <v>34</v>
      </c>
      <c r="R223" s="18">
        <v>0</v>
      </c>
      <c r="S223" s="120"/>
      <c r="T223" s="4" t="s">
        <v>49</v>
      </c>
      <c r="U223" s="18">
        <v>1</v>
      </c>
      <c r="V223" s="120"/>
      <c r="W223" s="4" t="s">
        <v>92</v>
      </c>
      <c r="X223" s="18">
        <v>1</v>
      </c>
      <c r="Y223" s="120"/>
      <c r="Z223" s="4" t="s">
        <v>58</v>
      </c>
      <c r="AA223" s="18">
        <v>1</v>
      </c>
      <c r="AB223" s="120"/>
      <c r="AC223" s="4" t="s">
        <v>69</v>
      </c>
      <c r="AD223" s="18">
        <v>2</v>
      </c>
      <c r="AE223" s="120"/>
      <c r="AF223" s="4" t="s">
        <v>83</v>
      </c>
      <c r="AG223" s="18">
        <v>2</v>
      </c>
      <c r="AH223" s="120"/>
      <c r="AI223" s="13" t="s">
        <v>40</v>
      </c>
      <c r="AJ223" s="24">
        <v>3</v>
      </c>
      <c r="AK223" s="126"/>
      <c r="AL223" s="4" t="s">
        <v>41</v>
      </c>
      <c r="AM223" s="18">
        <v>2</v>
      </c>
      <c r="AN223" s="120"/>
      <c r="AO223" s="4" t="s">
        <v>72</v>
      </c>
      <c r="AP223" s="18">
        <v>3</v>
      </c>
      <c r="AQ223" s="120"/>
      <c r="AR223" s="4" t="s">
        <v>61</v>
      </c>
      <c r="AS223" s="18">
        <v>3</v>
      </c>
      <c r="AT223" s="120"/>
      <c r="AU223" s="4" t="s">
        <v>79</v>
      </c>
      <c r="AV223" s="18">
        <v>0</v>
      </c>
      <c r="AW223" s="120"/>
      <c r="AX223" s="4" t="s">
        <v>62</v>
      </c>
      <c r="AY223" s="18">
        <v>3</v>
      </c>
      <c r="AZ223" s="120"/>
      <c r="BA223" s="4" t="s">
        <v>46</v>
      </c>
      <c r="BB223" s="18">
        <v>1</v>
      </c>
      <c r="BC223" s="18">
        <v>0</v>
      </c>
      <c r="BD223" s="18">
        <v>1</v>
      </c>
      <c r="BE223" s="18">
        <v>0</v>
      </c>
      <c r="BF223" s="18">
        <v>0</v>
      </c>
      <c r="BG223" s="18">
        <v>0</v>
      </c>
      <c r="BH223" s="150" t="s">
        <v>47</v>
      </c>
      <c r="BI223" s="18">
        <v>0</v>
      </c>
      <c r="BJ223" s="130"/>
      <c r="BK223" s="4" t="s">
        <v>75</v>
      </c>
      <c r="BL223" s="18">
        <v>1</v>
      </c>
      <c r="BM223" s="120"/>
      <c r="BN223" s="4" t="s">
        <v>59</v>
      </c>
      <c r="BO223" s="18">
        <v>1</v>
      </c>
      <c r="BP223" s="120"/>
      <c r="BQ223" s="18" t="s">
        <v>50</v>
      </c>
      <c r="BR223" s="18">
        <v>0</v>
      </c>
      <c r="BS223" s="120"/>
      <c r="BT223" s="4" t="s">
        <v>46</v>
      </c>
      <c r="BU223" s="18">
        <v>2</v>
      </c>
      <c r="BV223" s="120"/>
      <c r="BW223" s="4" t="s">
        <v>51</v>
      </c>
      <c r="BX223" s="18">
        <v>0</v>
      </c>
      <c r="BY223" s="120"/>
      <c r="BZ223" s="4" t="s">
        <v>119</v>
      </c>
      <c r="CA223" s="18">
        <v>2</v>
      </c>
      <c r="CB223" s="120"/>
      <c r="CC223" s="4" t="s">
        <v>76</v>
      </c>
      <c r="CD223" s="18">
        <v>1</v>
      </c>
      <c r="CE223" s="120"/>
      <c r="CF223" s="18" t="s">
        <v>77</v>
      </c>
      <c r="CG223" s="18">
        <v>0</v>
      </c>
      <c r="CH223" s="120"/>
      <c r="CI223" s="4" t="s">
        <v>89</v>
      </c>
      <c r="CJ223" s="34">
        <v>0</v>
      </c>
      <c r="CK223" s="34">
        <v>1</v>
      </c>
      <c r="CL223" s="34">
        <v>0</v>
      </c>
      <c r="CM223" s="34">
        <v>0</v>
      </c>
      <c r="CN223" s="5" t="s">
        <v>229</v>
      </c>
    </row>
    <row r="224" spans="1:92" ht="28" x14ac:dyDescent="0.15">
      <c r="A224" s="51">
        <v>45862.914112037033</v>
      </c>
      <c r="B224" s="3" t="s">
        <v>29</v>
      </c>
      <c r="C224" s="17">
        <v>3</v>
      </c>
      <c r="D224" s="116"/>
      <c r="E224" s="6" t="s">
        <v>90</v>
      </c>
      <c r="F224" s="17">
        <v>2</v>
      </c>
      <c r="G224" s="116"/>
      <c r="H224" s="6" t="s">
        <v>91</v>
      </c>
      <c r="I224" s="17">
        <v>3</v>
      </c>
      <c r="J224" s="116"/>
      <c r="K224" s="43" t="s">
        <v>56</v>
      </c>
      <c r="L224" s="17">
        <v>1</v>
      </c>
      <c r="M224" s="119"/>
      <c r="N224" s="1" t="s">
        <v>124</v>
      </c>
      <c r="O224" s="17">
        <v>1</v>
      </c>
      <c r="P224" s="119"/>
      <c r="Q224" s="1" t="s">
        <v>34</v>
      </c>
      <c r="R224" s="17">
        <v>1</v>
      </c>
      <c r="S224" s="119"/>
      <c r="T224" s="1" t="s">
        <v>57</v>
      </c>
      <c r="U224" s="17">
        <v>1</v>
      </c>
      <c r="V224" s="119"/>
      <c r="W224" s="1" t="s">
        <v>92</v>
      </c>
      <c r="X224" s="17">
        <v>1</v>
      </c>
      <c r="Y224" s="119"/>
      <c r="Z224" s="1" t="s">
        <v>58</v>
      </c>
      <c r="AA224" s="17">
        <v>2</v>
      </c>
      <c r="AB224" s="119"/>
      <c r="AC224" s="1" t="s">
        <v>59</v>
      </c>
      <c r="AD224" s="17">
        <v>3</v>
      </c>
      <c r="AE224" s="119"/>
      <c r="AF224" s="1" t="s">
        <v>60</v>
      </c>
      <c r="AG224" s="17">
        <v>0</v>
      </c>
      <c r="AH224" s="119"/>
      <c r="AI224" s="11" t="s">
        <v>84</v>
      </c>
      <c r="AJ224" s="25">
        <v>2</v>
      </c>
      <c r="AK224" s="127"/>
      <c r="AL224" s="1" t="s">
        <v>71</v>
      </c>
      <c r="AM224" s="17">
        <v>2</v>
      </c>
      <c r="AN224" s="119"/>
      <c r="AO224" s="1" t="s">
        <v>72</v>
      </c>
      <c r="AP224" s="17">
        <v>3</v>
      </c>
      <c r="AQ224" s="119"/>
      <c r="AR224" s="1" t="s">
        <v>61</v>
      </c>
      <c r="AS224" s="17">
        <v>2</v>
      </c>
      <c r="AT224" s="119"/>
      <c r="AU224" s="1" t="s">
        <v>44</v>
      </c>
      <c r="AV224" s="17">
        <v>0</v>
      </c>
      <c r="AW224" s="119"/>
      <c r="AX224" s="1" t="s">
        <v>62</v>
      </c>
      <c r="AY224" s="17">
        <v>1</v>
      </c>
      <c r="AZ224" s="119"/>
      <c r="BA224" s="1" t="s">
        <v>69</v>
      </c>
      <c r="BB224" s="17">
        <v>1</v>
      </c>
      <c r="BC224" s="17">
        <v>0</v>
      </c>
      <c r="BD224" s="17">
        <v>0</v>
      </c>
      <c r="BE224" s="17">
        <v>1</v>
      </c>
      <c r="BF224" s="17">
        <v>0</v>
      </c>
      <c r="BG224" s="17">
        <v>0</v>
      </c>
      <c r="BH224" s="149" t="s">
        <v>74</v>
      </c>
      <c r="BI224" s="17">
        <v>0</v>
      </c>
      <c r="BJ224" s="131"/>
      <c r="BK224" s="1" t="s">
        <v>75</v>
      </c>
      <c r="BL224" s="17">
        <v>3</v>
      </c>
      <c r="BM224" s="119"/>
      <c r="BN224" s="1" t="s">
        <v>49</v>
      </c>
      <c r="BO224" s="17">
        <v>0</v>
      </c>
      <c r="BP224" s="119"/>
      <c r="BQ224" s="17" t="s">
        <v>87</v>
      </c>
      <c r="BR224" s="17">
        <v>1</v>
      </c>
      <c r="BS224" s="119"/>
      <c r="BT224" s="1" t="s">
        <v>69</v>
      </c>
      <c r="BU224" s="17">
        <v>2</v>
      </c>
      <c r="BV224" s="119"/>
      <c r="BW224" s="1" t="s">
        <v>51</v>
      </c>
      <c r="BX224" s="17">
        <v>2</v>
      </c>
      <c r="BY224" s="119"/>
      <c r="BZ224" s="1" t="s">
        <v>97</v>
      </c>
      <c r="CA224" s="17">
        <v>3</v>
      </c>
      <c r="CB224" s="119"/>
      <c r="CC224" s="1" t="s">
        <v>36</v>
      </c>
      <c r="CD224" s="17">
        <v>0</v>
      </c>
      <c r="CE224" s="119"/>
      <c r="CF224" s="17" t="s">
        <v>49</v>
      </c>
      <c r="CG224" s="17">
        <v>3</v>
      </c>
      <c r="CH224" s="119"/>
      <c r="CI224" s="1" t="s">
        <v>53</v>
      </c>
      <c r="CJ224" s="33">
        <v>1</v>
      </c>
      <c r="CK224" s="33">
        <v>0</v>
      </c>
      <c r="CL224" s="33">
        <v>1</v>
      </c>
      <c r="CM224" s="33">
        <v>0</v>
      </c>
      <c r="CN224" s="2" t="s">
        <v>54</v>
      </c>
    </row>
    <row r="225" spans="1:92" ht="28" x14ac:dyDescent="0.15">
      <c r="A225" s="51">
        <v>45862.915398414349</v>
      </c>
      <c r="B225" s="3" t="s">
        <v>29</v>
      </c>
      <c r="C225" s="18">
        <v>2</v>
      </c>
      <c r="D225" s="117"/>
      <c r="E225" s="6" t="s">
        <v>55</v>
      </c>
      <c r="F225" s="18">
        <v>1</v>
      </c>
      <c r="G225" s="117"/>
      <c r="H225" s="6" t="s">
        <v>31</v>
      </c>
      <c r="I225" s="18">
        <v>3</v>
      </c>
      <c r="J225" s="117"/>
      <c r="K225" s="43" t="s">
        <v>56</v>
      </c>
      <c r="L225" s="18">
        <v>0</v>
      </c>
      <c r="M225" s="120"/>
      <c r="N225" s="4" t="s">
        <v>145</v>
      </c>
      <c r="O225" s="18">
        <v>1</v>
      </c>
      <c r="P225" s="120"/>
      <c r="Q225" s="4" t="s">
        <v>34</v>
      </c>
      <c r="R225" s="18">
        <v>2</v>
      </c>
      <c r="S225" s="120"/>
      <c r="T225" s="4" t="s">
        <v>35</v>
      </c>
      <c r="U225" s="18">
        <v>2</v>
      </c>
      <c r="V225" s="120"/>
      <c r="W225" s="4" t="s">
        <v>36</v>
      </c>
      <c r="X225" s="18">
        <v>1</v>
      </c>
      <c r="Y225" s="120"/>
      <c r="Z225" s="4" t="s">
        <v>58</v>
      </c>
      <c r="AA225" s="17">
        <v>3</v>
      </c>
      <c r="AB225" s="117"/>
      <c r="AC225" s="4" t="s">
        <v>38</v>
      </c>
      <c r="AD225" s="18">
        <v>1</v>
      </c>
      <c r="AE225" s="120"/>
      <c r="AF225" s="4" t="s">
        <v>39</v>
      </c>
      <c r="AG225" s="18">
        <v>2</v>
      </c>
      <c r="AH225" s="120"/>
      <c r="AI225" s="13" t="s">
        <v>40</v>
      </c>
      <c r="AJ225" s="24">
        <v>3</v>
      </c>
      <c r="AK225" s="126"/>
      <c r="AL225" s="4" t="s">
        <v>41</v>
      </c>
      <c r="AM225" s="18">
        <v>2</v>
      </c>
      <c r="AN225" s="120"/>
      <c r="AO225" s="4" t="s">
        <v>72</v>
      </c>
      <c r="AP225" s="18">
        <v>3</v>
      </c>
      <c r="AQ225" s="120"/>
      <c r="AR225" s="4" t="s">
        <v>61</v>
      </c>
      <c r="AS225" s="18">
        <v>3</v>
      </c>
      <c r="AT225" s="120"/>
      <c r="AU225" s="4" t="s">
        <v>79</v>
      </c>
      <c r="AV225" s="18">
        <v>2</v>
      </c>
      <c r="AW225" s="120"/>
      <c r="AX225" s="4" t="s">
        <v>80</v>
      </c>
      <c r="AY225" s="18">
        <v>2</v>
      </c>
      <c r="AZ225" s="120"/>
      <c r="BA225" s="4" t="s">
        <v>59</v>
      </c>
      <c r="BB225" s="18">
        <v>1</v>
      </c>
      <c r="BC225" s="18">
        <v>0</v>
      </c>
      <c r="BD225" s="18">
        <v>1</v>
      </c>
      <c r="BE225" s="18">
        <v>0</v>
      </c>
      <c r="BF225" s="18">
        <v>0</v>
      </c>
      <c r="BG225" s="18">
        <v>0</v>
      </c>
      <c r="BH225" s="150" t="s">
        <v>47</v>
      </c>
      <c r="BI225" s="18">
        <v>2</v>
      </c>
      <c r="BJ225" s="130"/>
      <c r="BK225" s="4" t="s">
        <v>48</v>
      </c>
      <c r="BL225" s="18">
        <v>2</v>
      </c>
      <c r="BM225" s="120"/>
      <c r="BN225" s="4" t="s">
        <v>64</v>
      </c>
      <c r="BO225" s="18">
        <v>1</v>
      </c>
      <c r="BP225" s="120"/>
      <c r="BQ225" s="18" t="s">
        <v>50</v>
      </c>
      <c r="BR225" s="18">
        <v>3</v>
      </c>
      <c r="BS225" s="120"/>
      <c r="BT225" s="4" t="s">
        <v>38</v>
      </c>
      <c r="BU225" s="18">
        <v>1</v>
      </c>
      <c r="BV225" s="120"/>
      <c r="BW225" s="13" t="s">
        <v>230</v>
      </c>
      <c r="BX225" s="19">
        <v>0</v>
      </c>
      <c r="BY225" s="130"/>
      <c r="BZ225" s="4" t="s">
        <v>231</v>
      </c>
      <c r="CA225" s="18">
        <v>2</v>
      </c>
      <c r="CB225" s="120"/>
      <c r="CC225" s="4" t="s">
        <v>76</v>
      </c>
      <c r="CD225" s="18">
        <v>2</v>
      </c>
      <c r="CE225" s="120"/>
      <c r="CF225" s="18" t="s">
        <v>36</v>
      </c>
      <c r="CG225" s="18">
        <v>3</v>
      </c>
      <c r="CH225" s="120"/>
      <c r="CI225" s="4" t="s">
        <v>53</v>
      </c>
      <c r="CJ225" s="34">
        <v>1</v>
      </c>
      <c r="CK225" s="34">
        <v>0</v>
      </c>
      <c r="CL225" s="34">
        <v>1</v>
      </c>
      <c r="CM225" s="34">
        <v>0</v>
      </c>
      <c r="CN225" s="5" t="s">
        <v>82</v>
      </c>
    </row>
    <row r="226" spans="1:92" ht="28" x14ac:dyDescent="0.15">
      <c r="A226" s="51">
        <v>45862.924315613425</v>
      </c>
      <c r="B226" s="3" t="s">
        <v>29</v>
      </c>
      <c r="C226" s="17">
        <v>2</v>
      </c>
      <c r="D226" s="116"/>
      <c r="E226" s="6" t="s">
        <v>55</v>
      </c>
      <c r="F226" s="17">
        <v>2</v>
      </c>
      <c r="G226" s="116"/>
      <c r="H226" s="6" t="s">
        <v>91</v>
      </c>
      <c r="I226" s="17">
        <v>4</v>
      </c>
      <c r="J226" s="116"/>
      <c r="K226" s="43" t="s">
        <v>118</v>
      </c>
      <c r="L226" s="17">
        <v>2</v>
      </c>
      <c r="M226" s="119"/>
      <c r="N226" s="1" t="s">
        <v>33</v>
      </c>
      <c r="O226" s="17">
        <v>1</v>
      </c>
      <c r="P226" s="119"/>
      <c r="Q226" s="1" t="s">
        <v>34</v>
      </c>
      <c r="R226" s="17">
        <v>2</v>
      </c>
      <c r="S226" s="119"/>
      <c r="T226" s="1" t="s">
        <v>35</v>
      </c>
      <c r="U226" s="17">
        <v>1</v>
      </c>
      <c r="V226" s="119"/>
      <c r="W226" s="1" t="s">
        <v>92</v>
      </c>
      <c r="X226" s="17">
        <v>0</v>
      </c>
      <c r="Y226" s="119"/>
      <c r="Z226" s="1" t="s">
        <v>232</v>
      </c>
      <c r="AA226" s="18">
        <v>3</v>
      </c>
      <c r="AB226" s="117"/>
      <c r="AC226" s="1" t="s">
        <v>38</v>
      </c>
      <c r="AD226" s="17">
        <v>4</v>
      </c>
      <c r="AE226" s="119"/>
      <c r="AF226" s="1" t="s">
        <v>93</v>
      </c>
      <c r="AG226" s="17">
        <v>0</v>
      </c>
      <c r="AH226" s="119"/>
      <c r="AI226" s="11" t="s">
        <v>84</v>
      </c>
      <c r="AJ226" s="25">
        <v>3</v>
      </c>
      <c r="AK226" s="127"/>
      <c r="AL226" s="1" t="s">
        <v>41</v>
      </c>
      <c r="AM226" s="17">
        <v>2</v>
      </c>
      <c r="AN226" s="119"/>
      <c r="AO226" s="1" t="s">
        <v>72</v>
      </c>
      <c r="AP226" s="17">
        <v>0</v>
      </c>
      <c r="AQ226" s="119"/>
      <c r="AR226" s="1" t="s">
        <v>121</v>
      </c>
      <c r="AS226" s="17">
        <v>3</v>
      </c>
      <c r="AT226" s="119"/>
      <c r="AU226" s="1" t="s">
        <v>79</v>
      </c>
      <c r="AV226" s="17">
        <v>0</v>
      </c>
      <c r="AW226" s="119"/>
      <c r="AX226" s="1" t="s">
        <v>62</v>
      </c>
      <c r="AY226" s="17">
        <v>0</v>
      </c>
      <c r="AZ226" s="119"/>
      <c r="BA226" s="1" t="s">
        <v>38</v>
      </c>
      <c r="BB226" s="17">
        <v>1</v>
      </c>
      <c r="BC226" s="17">
        <v>0</v>
      </c>
      <c r="BD226" s="17">
        <v>1</v>
      </c>
      <c r="BE226" s="17">
        <v>1</v>
      </c>
      <c r="BF226" s="17">
        <v>0</v>
      </c>
      <c r="BG226" s="17">
        <v>0</v>
      </c>
      <c r="BH226" s="149" t="s">
        <v>95</v>
      </c>
      <c r="BI226" s="17">
        <v>0</v>
      </c>
      <c r="BJ226" s="131"/>
      <c r="BK226" s="1" t="s">
        <v>75</v>
      </c>
      <c r="BL226" s="17">
        <v>2</v>
      </c>
      <c r="BM226" s="119"/>
      <c r="BN226" s="1" t="s">
        <v>64</v>
      </c>
      <c r="BO226" s="17">
        <v>3</v>
      </c>
      <c r="BP226" s="119"/>
      <c r="BQ226" s="17" t="s">
        <v>233</v>
      </c>
      <c r="BR226" s="17">
        <v>2</v>
      </c>
      <c r="BS226" s="119"/>
      <c r="BT226" s="1" t="s">
        <v>65</v>
      </c>
      <c r="BU226" s="17">
        <v>2</v>
      </c>
      <c r="BV226" s="119"/>
      <c r="BW226" s="1" t="s">
        <v>51</v>
      </c>
      <c r="BX226" s="17">
        <v>3</v>
      </c>
      <c r="BY226" s="119"/>
      <c r="BZ226" s="1" t="s">
        <v>234</v>
      </c>
      <c r="CA226" s="17">
        <v>3</v>
      </c>
      <c r="CB226" s="119"/>
      <c r="CC226" s="1" t="s">
        <v>36</v>
      </c>
      <c r="CD226" s="17">
        <v>1</v>
      </c>
      <c r="CE226" s="119"/>
      <c r="CF226" s="17" t="s">
        <v>77</v>
      </c>
      <c r="CG226" s="17">
        <v>2</v>
      </c>
      <c r="CH226" s="119"/>
      <c r="CI226" s="1" t="s">
        <v>78</v>
      </c>
      <c r="CJ226" s="33">
        <v>1</v>
      </c>
      <c r="CK226" s="33">
        <v>1</v>
      </c>
      <c r="CL226" s="33">
        <v>1</v>
      </c>
      <c r="CM226" s="33">
        <v>0</v>
      </c>
      <c r="CN226" s="2" t="s">
        <v>235</v>
      </c>
    </row>
    <row r="227" spans="1:92" ht="28" x14ac:dyDescent="0.15">
      <c r="A227" s="51">
        <v>45862.932831817132</v>
      </c>
      <c r="B227" s="3" t="s">
        <v>29</v>
      </c>
      <c r="C227" s="18">
        <v>3</v>
      </c>
      <c r="D227" s="117"/>
      <c r="E227" s="6" t="s">
        <v>90</v>
      </c>
      <c r="F227" s="18">
        <v>1</v>
      </c>
      <c r="G227" s="117"/>
      <c r="H227" s="6" t="s">
        <v>31</v>
      </c>
      <c r="I227" s="18">
        <v>1</v>
      </c>
      <c r="J227" s="117"/>
      <c r="K227" s="43" t="s">
        <v>32</v>
      </c>
      <c r="L227" s="18">
        <v>0</v>
      </c>
      <c r="M227" s="120"/>
      <c r="N227" s="4" t="s">
        <v>145</v>
      </c>
      <c r="O227" s="18">
        <v>1</v>
      </c>
      <c r="P227" s="120"/>
      <c r="Q227" s="4" t="s">
        <v>34</v>
      </c>
      <c r="R227" s="18">
        <v>1</v>
      </c>
      <c r="S227" s="120"/>
      <c r="T227" s="4" t="s">
        <v>57</v>
      </c>
      <c r="U227" s="18">
        <v>2</v>
      </c>
      <c r="V227" s="120"/>
      <c r="W227" s="4" t="s">
        <v>36</v>
      </c>
      <c r="X227" s="18">
        <v>1</v>
      </c>
      <c r="Y227" s="120"/>
      <c r="Z227" s="4" t="s">
        <v>58</v>
      </c>
      <c r="AA227" s="18">
        <v>1</v>
      </c>
      <c r="AB227" s="120"/>
      <c r="AC227" s="4" t="s">
        <v>69</v>
      </c>
      <c r="AD227" s="18">
        <v>0</v>
      </c>
      <c r="AE227" s="120"/>
      <c r="AF227" s="4" t="s">
        <v>70</v>
      </c>
      <c r="AG227" s="18">
        <v>2</v>
      </c>
      <c r="AH227" s="120"/>
      <c r="AI227" s="13" t="s">
        <v>40</v>
      </c>
      <c r="AJ227" s="24">
        <v>0</v>
      </c>
      <c r="AK227" s="126"/>
      <c r="AL227" s="4" t="s">
        <v>85</v>
      </c>
      <c r="AM227" s="18">
        <v>1</v>
      </c>
      <c r="AN227" s="120"/>
      <c r="AO227" s="4" t="s">
        <v>130</v>
      </c>
      <c r="AP227" s="18">
        <v>3</v>
      </c>
      <c r="AQ227" s="120"/>
      <c r="AR227" s="4" t="s">
        <v>61</v>
      </c>
      <c r="AS227" s="18">
        <v>2</v>
      </c>
      <c r="AT227" s="120"/>
      <c r="AU227" s="4" t="s">
        <v>44</v>
      </c>
      <c r="AV227" s="18">
        <v>1</v>
      </c>
      <c r="AW227" s="120"/>
      <c r="AX227" s="4" t="s">
        <v>45</v>
      </c>
      <c r="AY227" s="18">
        <v>2</v>
      </c>
      <c r="AZ227" s="120"/>
      <c r="BA227" s="4" t="s">
        <v>59</v>
      </c>
      <c r="BB227" s="18">
        <v>1</v>
      </c>
      <c r="BC227" s="18">
        <v>0</v>
      </c>
      <c r="BD227" s="18">
        <v>1</v>
      </c>
      <c r="BE227" s="18">
        <v>0</v>
      </c>
      <c r="BF227" s="18">
        <v>0</v>
      </c>
      <c r="BG227" s="18">
        <v>0</v>
      </c>
      <c r="BH227" s="150" t="s">
        <v>47</v>
      </c>
      <c r="BI227" s="18">
        <v>1</v>
      </c>
      <c r="BJ227" s="130"/>
      <c r="BK227" s="4" t="s">
        <v>96</v>
      </c>
      <c r="BL227" s="18">
        <v>1</v>
      </c>
      <c r="BM227" s="120"/>
      <c r="BN227" s="4" t="s">
        <v>59</v>
      </c>
      <c r="BO227" s="18">
        <v>1</v>
      </c>
      <c r="BP227" s="120"/>
      <c r="BQ227" s="18" t="s">
        <v>50</v>
      </c>
      <c r="BR227" s="18">
        <v>1</v>
      </c>
      <c r="BS227" s="120"/>
      <c r="BT227" s="4" t="s">
        <v>69</v>
      </c>
      <c r="BU227" s="18">
        <v>2</v>
      </c>
      <c r="BV227" s="120"/>
      <c r="BW227" s="4" t="s">
        <v>51</v>
      </c>
      <c r="BX227" s="18">
        <v>1</v>
      </c>
      <c r="BY227" s="120"/>
      <c r="BZ227" s="4" t="s">
        <v>67</v>
      </c>
      <c r="CA227" s="18">
        <v>2</v>
      </c>
      <c r="CB227" s="120"/>
      <c r="CC227" s="4" t="s">
        <v>76</v>
      </c>
      <c r="CD227" s="18">
        <v>0</v>
      </c>
      <c r="CE227" s="120"/>
      <c r="CF227" s="18" t="s">
        <v>49</v>
      </c>
      <c r="CG227" s="18">
        <v>0</v>
      </c>
      <c r="CH227" s="120"/>
      <c r="CI227" s="4" t="s">
        <v>89</v>
      </c>
      <c r="CJ227" s="34">
        <v>1</v>
      </c>
      <c r="CK227" s="34">
        <v>0</v>
      </c>
      <c r="CL227" s="34">
        <v>0</v>
      </c>
      <c r="CM227" s="34">
        <v>0</v>
      </c>
      <c r="CN227" s="5" t="s">
        <v>123</v>
      </c>
    </row>
    <row r="228" spans="1:92" ht="28" x14ac:dyDescent="0.15">
      <c r="A228" s="51">
        <v>45862.932963564817</v>
      </c>
      <c r="B228" s="3" t="s">
        <v>29</v>
      </c>
      <c r="C228" s="17">
        <v>2</v>
      </c>
      <c r="D228" s="116"/>
      <c r="E228" s="6" t="s">
        <v>55</v>
      </c>
      <c r="F228" s="17">
        <v>1</v>
      </c>
      <c r="G228" s="116"/>
      <c r="H228" s="6" t="s">
        <v>31</v>
      </c>
      <c r="I228" s="17">
        <v>3</v>
      </c>
      <c r="J228" s="116"/>
      <c r="K228" s="43" t="s">
        <v>56</v>
      </c>
      <c r="L228" s="17">
        <v>1</v>
      </c>
      <c r="M228" s="119"/>
      <c r="N228" s="1" t="s">
        <v>124</v>
      </c>
      <c r="O228" s="17">
        <v>1</v>
      </c>
      <c r="P228" s="119"/>
      <c r="Q228" s="1" t="s">
        <v>34</v>
      </c>
      <c r="R228" s="17">
        <v>2</v>
      </c>
      <c r="S228" s="119"/>
      <c r="T228" s="1" t="s">
        <v>35</v>
      </c>
      <c r="U228" s="17">
        <v>2</v>
      </c>
      <c r="V228" s="119"/>
      <c r="W228" s="1" t="s">
        <v>36</v>
      </c>
      <c r="X228" s="17">
        <v>2</v>
      </c>
      <c r="Y228" s="119"/>
      <c r="Z228" s="1" t="s">
        <v>37</v>
      </c>
      <c r="AA228" s="17">
        <v>3</v>
      </c>
      <c r="AB228" s="119"/>
      <c r="AC228" s="1" t="s">
        <v>38</v>
      </c>
      <c r="AD228" s="17">
        <v>2</v>
      </c>
      <c r="AE228" s="119"/>
      <c r="AF228" s="1" t="s">
        <v>83</v>
      </c>
      <c r="AG228" s="17">
        <v>2</v>
      </c>
      <c r="AH228" s="119"/>
      <c r="AI228" s="11" t="s">
        <v>40</v>
      </c>
      <c r="AJ228" s="25">
        <v>3</v>
      </c>
      <c r="AK228" s="127"/>
      <c r="AL228" s="1" t="s">
        <v>41</v>
      </c>
      <c r="AM228" s="17">
        <v>3</v>
      </c>
      <c r="AN228" s="119"/>
      <c r="AO228" s="1" t="s">
        <v>42</v>
      </c>
      <c r="AP228" s="17">
        <v>3</v>
      </c>
      <c r="AQ228" s="119"/>
      <c r="AR228" s="1" t="s">
        <v>99</v>
      </c>
      <c r="AS228" s="17">
        <v>3</v>
      </c>
      <c r="AT228" s="119"/>
      <c r="AU228" s="1" t="s">
        <v>79</v>
      </c>
      <c r="AV228" s="17">
        <v>2</v>
      </c>
      <c r="AW228" s="119"/>
      <c r="AX228" s="1" t="s">
        <v>80</v>
      </c>
      <c r="AY228" s="17">
        <v>3</v>
      </c>
      <c r="AZ228" s="119"/>
      <c r="BA228" s="1" t="s">
        <v>46</v>
      </c>
      <c r="BB228" s="17">
        <v>1</v>
      </c>
      <c r="BC228" s="17">
        <v>1</v>
      </c>
      <c r="BD228" s="17">
        <v>0</v>
      </c>
      <c r="BE228" s="17">
        <v>0</v>
      </c>
      <c r="BF228" s="17">
        <v>0</v>
      </c>
      <c r="BG228" s="17">
        <v>0</v>
      </c>
      <c r="BH228" s="149" t="s">
        <v>81</v>
      </c>
      <c r="BI228" s="17">
        <v>2</v>
      </c>
      <c r="BJ228" s="131"/>
      <c r="BK228" s="1" t="s">
        <v>48</v>
      </c>
      <c r="BL228" s="17">
        <v>1</v>
      </c>
      <c r="BM228" s="119"/>
      <c r="BN228" s="1" t="s">
        <v>59</v>
      </c>
      <c r="BO228" s="17">
        <v>1</v>
      </c>
      <c r="BP228" s="119"/>
      <c r="BQ228" s="17" t="s">
        <v>50</v>
      </c>
      <c r="BR228" s="17">
        <v>3</v>
      </c>
      <c r="BS228" s="119"/>
      <c r="BT228" s="1" t="s">
        <v>38</v>
      </c>
      <c r="BU228" s="17">
        <v>2</v>
      </c>
      <c r="BV228" s="119"/>
      <c r="BW228" s="1" t="s">
        <v>51</v>
      </c>
      <c r="BX228" s="17">
        <v>2</v>
      </c>
      <c r="BY228" s="119"/>
      <c r="BZ228" s="11" t="s">
        <v>236</v>
      </c>
      <c r="CA228" s="20">
        <v>3</v>
      </c>
      <c r="CB228" s="131"/>
      <c r="CC228" s="1" t="s">
        <v>36</v>
      </c>
      <c r="CD228" s="17">
        <v>2</v>
      </c>
      <c r="CE228" s="119"/>
      <c r="CF228" s="17" t="s">
        <v>36</v>
      </c>
      <c r="CG228" s="17">
        <v>3</v>
      </c>
      <c r="CH228" s="119"/>
      <c r="CI228" s="1" t="s">
        <v>53</v>
      </c>
      <c r="CJ228" s="33">
        <v>1</v>
      </c>
      <c r="CK228" s="33">
        <v>1</v>
      </c>
      <c r="CL228" s="33">
        <v>1</v>
      </c>
      <c r="CM228" s="33">
        <v>0</v>
      </c>
      <c r="CN228" s="2" t="s">
        <v>237</v>
      </c>
    </row>
    <row r="229" spans="1:92" ht="28" x14ac:dyDescent="0.15">
      <c r="A229" s="51">
        <v>45862.94037300926</v>
      </c>
      <c r="B229" s="3" t="s">
        <v>29</v>
      </c>
      <c r="C229" s="18">
        <v>1</v>
      </c>
      <c r="D229" s="117"/>
      <c r="E229" s="6" t="s">
        <v>114</v>
      </c>
      <c r="F229" s="18">
        <v>2</v>
      </c>
      <c r="G229" s="117"/>
      <c r="H229" s="6" t="s">
        <v>91</v>
      </c>
      <c r="I229" s="18">
        <v>2</v>
      </c>
      <c r="J229" s="117"/>
      <c r="K229" s="43" t="s">
        <v>116</v>
      </c>
      <c r="L229" s="18">
        <v>2</v>
      </c>
      <c r="M229" s="120"/>
      <c r="N229" s="4" t="s">
        <v>33</v>
      </c>
      <c r="O229" s="18">
        <v>1</v>
      </c>
      <c r="P229" s="120"/>
      <c r="Q229" s="4" t="s">
        <v>34</v>
      </c>
      <c r="R229" s="18">
        <v>2</v>
      </c>
      <c r="S229" s="120"/>
      <c r="T229" s="4" t="s">
        <v>35</v>
      </c>
      <c r="U229" s="18">
        <v>1</v>
      </c>
      <c r="V229" s="120"/>
      <c r="W229" s="4" t="s">
        <v>92</v>
      </c>
      <c r="X229" s="18">
        <v>0</v>
      </c>
      <c r="Y229" s="120"/>
      <c r="Z229" s="4" t="s">
        <v>108</v>
      </c>
      <c r="AA229" s="18">
        <v>0</v>
      </c>
      <c r="AB229" s="120"/>
      <c r="AC229" s="4" t="s">
        <v>46</v>
      </c>
      <c r="AD229" s="18">
        <v>2</v>
      </c>
      <c r="AE229" s="120"/>
      <c r="AF229" s="4" t="s">
        <v>83</v>
      </c>
      <c r="AG229" s="18">
        <v>2</v>
      </c>
      <c r="AH229" s="120"/>
      <c r="AI229" s="13" t="s">
        <v>40</v>
      </c>
      <c r="AJ229" s="24">
        <v>3</v>
      </c>
      <c r="AK229" s="126"/>
      <c r="AL229" s="4" t="s">
        <v>41</v>
      </c>
      <c r="AM229" s="18">
        <v>1</v>
      </c>
      <c r="AN229" s="120"/>
      <c r="AO229" s="4" t="s">
        <v>130</v>
      </c>
      <c r="AP229" s="18">
        <v>3</v>
      </c>
      <c r="AQ229" s="120"/>
      <c r="AR229" s="4" t="s">
        <v>61</v>
      </c>
      <c r="AS229" s="18">
        <v>3</v>
      </c>
      <c r="AT229" s="120"/>
      <c r="AU229" s="4" t="s">
        <v>79</v>
      </c>
      <c r="AV229" s="18">
        <v>1</v>
      </c>
      <c r="AW229" s="120"/>
      <c r="AX229" s="4" t="s">
        <v>45</v>
      </c>
      <c r="AY229" s="18">
        <v>2</v>
      </c>
      <c r="AZ229" s="120"/>
      <c r="BA229" s="4" t="s">
        <v>59</v>
      </c>
      <c r="BB229" s="18">
        <v>1</v>
      </c>
      <c r="BC229" s="18">
        <v>0</v>
      </c>
      <c r="BD229" s="18">
        <v>1</v>
      </c>
      <c r="BE229" s="18">
        <v>0</v>
      </c>
      <c r="BF229" s="18">
        <v>0</v>
      </c>
      <c r="BG229" s="18">
        <v>0</v>
      </c>
      <c r="BH229" s="150" t="s">
        <v>47</v>
      </c>
      <c r="BI229" s="18">
        <v>1</v>
      </c>
      <c r="BJ229" s="130"/>
      <c r="BK229" s="4" t="s">
        <v>96</v>
      </c>
      <c r="BL229" s="18">
        <v>1</v>
      </c>
      <c r="BM229" s="120"/>
      <c r="BN229" s="4" t="s">
        <v>59</v>
      </c>
      <c r="BO229" s="18">
        <v>1</v>
      </c>
      <c r="BP229" s="120"/>
      <c r="BQ229" s="18" t="s">
        <v>50</v>
      </c>
      <c r="BR229" s="18">
        <v>0</v>
      </c>
      <c r="BS229" s="120"/>
      <c r="BT229" s="4" t="s">
        <v>46</v>
      </c>
      <c r="BU229" s="18">
        <v>2</v>
      </c>
      <c r="BV229" s="120"/>
      <c r="BW229" s="4" t="s">
        <v>51</v>
      </c>
      <c r="BX229" s="18">
        <v>2</v>
      </c>
      <c r="BY229" s="120"/>
      <c r="BZ229" s="4" t="s">
        <v>97</v>
      </c>
      <c r="CA229" s="18">
        <v>2</v>
      </c>
      <c r="CB229" s="120"/>
      <c r="CC229" s="4" t="s">
        <v>76</v>
      </c>
      <c r="CD229" s="18">
        <v>2</v>
      </c>
      <c r="CE229" s="120"/>
      <c r="CF229" s="18" t="s">
        <v>36</v>
      </c>
      <c r="CG229" s="18">
        <v>2</v>
      </c>
      <c r="CH229" s="120"/>
      <c r="CI229" s="4" t="s">
        <v>78</v>
      </c>
      <c r="CJ229" s="34">
        <v>1</v>
      </c>
      <c r="CK229" s="34">
        <v>0</v>
      </c>
      <c r="CL229" s="34">
        <v>1</v>
      </c>
      <c r="CM229" s="34">
        <v>0</v>
      </c>
      <c r="CN229" s="5" t="s">
        <v>54</v>
      </c>
    </row>
    <row r="230" spans="1:92" ht="28" x14ac:dyDescent="0.15">
      <c r="A230" s="51">
        <v>45862.947193946762</v>
      </c>
      <c r="B230" s="3" t="s">
        <v>29</v>
      </c>
      <c r="C230" s="17">
        <v>1</v>
      </c>
      <c r="D230" s="116"/>
      <c r="E230" s="6" t="s">
        <v>114</v>
      </c>
      <c r="F230" s="17">
        <v>1</v>
      </c>
      <c r="G230" s="116"/>
      <c r="H230" s="6" t="s">
        <v>31</v>
      </c>
      <c r="I230" s="17">
        <v>2</v>
      </c>
      <c r="J230" s="116"/>
      <c r="K230" s="43" t="s">
        <v>116</v>
      </c>
      <c r="L230" s="17">
        <v>0</v>
      </c>
      <c r="M230" s="119"/>
      <c r="N230" s="1" t="s">
        <v>145</v>
      </c>
      <c r="O230" s="17">
        <v>1</v>
      </c>
      <c r="P230" s="119"/>
      <c r="Q230" s="1" t="s">
        <v>34</v>
      </c>
      <c r="R230" s="17">
        <v>2</v>
      </c>
      <c r="S230" s="119"/>
      <c r="T230" s="1" t="s">
        <v>35</v>
      </c>
      <c r="U230" s="17">
        <v>0</v>
      </c>
      <c r="V230" s="119"/>
      <c r="W230" s="1" t="s">
        <v>77</v>
      </c>
      <c r="X230" s="17">
        <v>1</v>
      </c>
      <c r="Y230" s="119"/>
      <c r="Z230" s="1" t="s">
        <v>58</v>
      </c>
      <c r="AA230" s="17">
        <v>1</v>
      </c>
      <c r="AB230" s="119"/>
      <c r="AC230" s="1" t="s">
        <v>69</v>
      </c>
      <c r="AD230" s="17">
        <v>0</v>
      </c>
      <c r="AE230" s="119"/>
      <c r="AF230" s="1" t="s">
        <v>70</v>
      </c>
      <c r="AG230" s="17">
        <v>2</v>
      </c>
      <c r="AH230" s="119"/>
      <c r="AI230" s="11" t="s">
        <v>40</v>
      </c>
      <c r="AJ230" s="25">
        <v>2</v>
      </c>
      <c r="AK230" s="127"/>
      <c r="AL230" s="1" t="s">
        <v>71</v>
      </c>
      <c r="AM230" s="17">
        <v>1</v>
      </c>
      <c r="AN230" s="119"/>
      <c r="AO230" s="1" t="s">
        <v>130</v>
      </c>
      <c r="AP230" s="17">
        <v>3</v>
      </c>
      <c r="AQ230" s="119"/>
      <c r="AR230" s="1" t="s">
        <v>61</v>
      </c>
      <c r="AS230" s="17">
        <v>2</v>
      </c>
      <c r="AT230" s="119"/>
      <c r="AU230" s="1" t="s">
        <v>44</v>
      </c>
      <c r="AV230" s="17">
        <v>2</v>
      </c>
      <c r="AW230" s="119"/>
      <c r="AX230" s="1" t="s">
        <v>80</v>
      </c>
      <c r="AY230" s="17">
        <v>2</v>
      </c>
      <c r="AZ230" s="119"/>
      <c r="BA230" s="1" t="s">
        <v>59</v>
      </c>
      <c r="BB230" s="17">
        <v>1</v>
      </c>
      <c r="BC230" s="17">
        <v>0</v>
      </c>
      <c r="BD230" s="17">
        <v>1</v>
      </c>
      <c r="BE230" s="17">
        <v>0</v>
      </c>
      <c r="BF230" s="17">
        <v>0</v>
      </c>
      <c r="BG230" s="17">
        <v>0</v>
      </c>
      <c r="BH230" s="149" t="s">
        <v>47</v>
      </c>
      <c r="BI230" s="17">
        <v>0</v>
      </c>
      <c r="BJ230" s="131"/>
      <c r="BK230" s="1" t="s">
        <v>75</v>
      </c>
      <c r="BL230" s="17">
        <v>2</v>
      </c>
      <c r="BM230" s="119"/>
      <c r="BN230" s="1" t="s">
        <v>64</v>
      </c>
      <c r="BO230" s="17">
        <v>0</v>
      </c>
      <c r="BP230" s="119"/>
      <c r="BQ230" s="17" t="s">
        <v>87</v>
      </c>
      <c r="BR230" s="17">
        <v>1</v>
      </c>
      <c r="BS230" s="119"/>
      <c r="BT230" s="1" t="s">
        <v>69</v>
      </c>
      <c r="BU230" s="17">
        <v>2</v>
      </c>
      <c r="BV230" s="119"/>
      <c r="BW230" s="1" t="s">
        <v>51</v>
      </c>
      <c r="BX230" s="17">
        <v>2</v>
      </c>
      <c r="BY230" s="119"/>
      <c r="BZ230" s="1" t="s">
        <v>97</v>
      </c>
      <c r="CA230" s="17">
        <v>0</v>
      </c>
      <c r="CB230" s="119"/>
      <c r="CC230" s="1" t="s">
        <v>49</v>
      </c>
      <c r="CD230" s="17">
        <v>0</v>
      </c>
      <c r="CE230" s="119"/>
      <c r="CF230" s="17" t="s">
        <v>49</v>
      </c>
      <c r="CG230" s="17">
        <v>2</v>
      </c>
      <c r="CH230" s="119"/>
      <c r="CI230" s="1" t="s">
        <v>78</v>
      </c>
      <c r="CJ230" s="33">
        <v>1</v>
      </c>
      <c r="CK230" s="33">
        <v>0</v>
      </c>
      <c r="CL230" s="33">
        <v>0</v>
      </c>
      <c r="CM230" s="33">
        <v>0</v>
      </c>
      <c r="CN230" s="2" t="s">
        <v>123</v>
      </c>
    </row>
    <row r="231" spans="1:92" ht="28" x14ac:dyDescent="0.15">
      <c r="A231" s="51">
        <v>45862.957218217591</v>
      </c>
      <c r="B231" s="3" t="s">
        <v>29</v>
      </c>
      <c r="C231" s="18">
        <v>5</v>
      </c>
      <c r="D231" s="117"/>
      <c r="E231" s="6" t="s">
        <v>30</v>
      </c>
      <c r="F231" s="18">
        <v>2</v>
      </c>
      <c r="G231" s="117"/>
      <c r="H231" s="6" t="s">
        <v>91</v>
      </c>
      <c r="I231" s="18">
        <v>3</v>
      </c>
      <c r="J231" s="117"/>
      <c r="K231" s="43" t="s">
        <v>56</v>
      </c>
      <c r="L231" s="18">
        <v>2</v>
      </c>
      <c r="M231" s="120"/>
      <c r="N231" s="4" t="s">
        <v>33</v>
      </c>
      <c r="O231" s="18">
        <v>1</v>
      </c>
      <c r="P231" s="120"/>
      <c r="Q231" s="4" t="s">
        <v>34</v>
      </c>
      <c r="R231" s="18">
        <v>1</v>
      </c>
      <c r="S231" s="120"/>
      <c r="T231" s="4" t="s">
        <v>57</v>
      </c>
      <c r="U231" s="18">
        <v>2</v>
      </c>
      <c r="V231" s="120"/>
      <c r="W231" s="4" t="s">
        <v>36</v>
      </c>
      <c r="X231" s="18">
        <v>1</v>
      </c>
      <c r="Y231" s="120"/>
      <c r="Z231" s="4" t="s">
        <v>58</v>
      </c>
      <c r="AA231" s="18">
        <v>2</v>
      </c>
      <c r="AB231" s="120"/>
      <c r="AC231" s="4" t="s">
        <v>59</v>
      </c>
      <c r="AD231" s="18">
        <v>2</v>
      </c>
      <c r="AE231" s="120"/>
      <c r="AF231" s="4" t="s">
        <v>83</v>
      </c>
      <c r="AG231" s="18">
        <v>2</v>
      </c>
      <c r="AH231" s="120"/>
      <c r="AI231" s="13" t="s">
        <v>40</v>
      </c>
      <c r="AJ231" s="24">
        <v>2</v>
      </c>
      <c r="AK231" s="126"/>
      <c r="AL231" s="4" t="s">
        <v>71</v>
      </c>
      <c r="AM231" s="18">
        <v>2</v>
      </c>
      <c r="AN231" s="120"/>
      <c r="AO231" s="4" t="s">
        <v>72</v>
      </c>
      <c r="AP231" s="18">
        <v>3</v>
      </c>
      <c r="AQ231" s="120"/>
      <c r="AR231" s="4" t="s">
        <v>61</v>
      </c>
      <c r="AS231" s="18">
        <v>2</v>
      </c>
      <c r="AT231" s="120"/>
      <c r="AU231" s="4" t="s">
        <v>44</v>
      </c>
      <c r="AV231" s="18">
        <v>0</v>
      </c>
      <c r="AW231" s="120"/>
      <c r="AX231" s="4" t="s">
        <v>73</v>
      </c>
      <c r="AY231" s="18">
        <v>1</v>
      </c>
      <c r="AZ231" s="120"/>
      <c r="BA231" s="4" t="s">
        <v>69</v>
      </c>
      <c r="BB231" s="18">
        <v>1</v>
      </c>
      <c r="BC231" s="18">
        <v>0</v>
      </c>
      <c r="BD231" s="18">
        <v>0</v>
      </c>
      <c r="BE231" s="18">
        <v>0</v>
      </c>
      <c r="BF231" s="18">
        <v>0</v>
      </c>
      <c r="BG231" s="18">
        <v>0</v>
      </c>
      <c r="BH231" s="150" t="s">
        <v>238</v>
      </c>
      <c r="BI231" s="18">
        <v>2</v>
      </c>
      <c r="BJ231" s="130"/>
      <c r="BK231" s="4" t="s">
        <v>48</v>
      </c>
      <c r="BL231" s="18">
        <v>1</v>
      </c>
      <c r="BM231" s="120"/>
      <c r="BN231" s="4" t="s">
        <v>49</v>
      </c>
      <c r="BO231" s="18">
        <v>1</v>
      </c>
      <c r="BP231" s="120"/>
      <c r="BQ231" s="18" t="s">
        <v>50</v>
      </c>
      <c r="BR231" s="18">
        <v>2</v>
      </c>
      <c r="BS231" s="120"/>
      <c r="BT231" s="4" t="s">
        <v>65</v>
      </c>
      <c r="BU231" s="18">
        <v>1</v>
      </c>
      <c r="BV231" s="120"/>
      <c r="BW231" s="4" t="s">
        <v>66</v>
      </c>
      <c r="BX231" s="18">
        <v>2</v>
      </c>
      <c r="BY231" s="120"/>
      <c r="BZ231" s="4" t="s">
        <v>97</v>
      </c>
      <c r="CA231" s="18">
        <v>0</v>
      </c>
      <c r="CB231" s="120"/>
      <c r="CC231" s="4" t="s">
        <v>49</v>
      </c>
      <c r="CD231" s="18">
        <v>2</v>
      </c>
      <c r="CE231" s="120"/>
      <c r="CF231" s="18" t="s">
        <v>36</v>
      </c>
      <c r="CG231" s="18">
        <v>3</v>
      </c>
      <c r="CH231" s="120"/>
      <c r="CI231" s="4" t="s">
        <v>53</v>
      </c>
      <c r="CJ231" s="34">
        <v>1</v>
      </c>
      <c r="CK231" s="34">
        <v>0</v>
      </c>
      <c r="CL231" s="34">
        <v>1</v>
      </c>
      <c r="CM231" s="34">
        <v>0</v>
      </c>
      <c r="CN231" s="5" t="s">
        <v>54</v>
      </c>
    </row>
    <row r="232" spans="1:92" ht="42" x14ac:dyDescent="0.15">
      <c r="A232" s="51">
        <v>45862.957264166667</v>
      </c>
      <c r="B232" s="3" t="s">
        <v>29</v>
      </c>
      <c r="C232" s="17">
        <v>3</v>
      </c>
      <c r="D232" s="116"/>
      <c r="E232" s="6" t="s">
        <v>90</v>
      </c>
      <c r="F232" s="17">
        <v>2</v>
      </c>
      <c r="G232" s="116"/>
      <c r="H232" s="6" t="s">
        <v>91</v>
      </c>
      <c r="I232" s="17">
        <v>0</v>
      </c>
      <c r="J232" s="116"/>
      <c r="K232" s="43" t="s">
        <v>107</v>
      </c>
      <c r="L232" s="17">
        <v>2</v>
      </c>
      <c r="M232" s="119"/>
      <c r="N232" s="1" t="s">
        <v>33</v>
      </c>
      <c r="O232" s="17">
        <v>1</v>
      </c>
      <c r="P232" s="119"/>
      <c r="Q232" s="1" t="s">
        <v>34</v>
      </c>
      <c r="R232" s="17">
        <v>1</v>
      </c>
      <c r="S232" s="119"/>
      <c r="T232" s="1" t="s">
        <v>57</v>
      </c>
      <c r="U232" s="17">
        <v>2</v>
      </c>
      <c r="V232" s="119"/>
      <c r="W232" s="1" t="s">
        <v>36</v>
      </c>
      <c r="X232" s="17">
        <v>2</v>
      </c>
      <c r="Y232" s="119"/>
      <c r="Z232" s="1" t="s">
        <v>37</v>
      </c>
      <c r="AA232" s="17">
        <v>2</v>
      </c>
      <c r="AB232" s="119"/>
      <c r="AC232" s="1" t="s">
        <v>59</v>
      </c>
      <c r="AD232" s="17">
        <v>2</v>
      </c>
      <c r="AE232" s="119"/>
      <c r="AF232" s="1" t="s">
        <v>83</v>
      </c>
      <c r="AG232" s="17">
        <v>0</v>
      </c>
      <c r="AH232" s="119"/>
      <c r="AI232" s="11" t="s">
        <v>84</v>
      </c>
      <c r="AJ232" s="25">
        <v>3</v>
      </c>
      <c r="AK232" s="127"/>
      <c r="AL232" s="1" t="s">
        <v>41</v>
      </c>
      <c r="AM232" s="17">
        <v>3</v>
      </c>
      <c r="AN232" s="119"/>
      <c r="AO232" s="1" t="s">
        <v>42</v>
      </c>
      <c r="AP232" s="17">
        <v>3</v>
      </c>
      <c r="AQ232" s="119"/>
      <c r="AR232" s="1" t="s">
        <v>61</v>
      </c>
      <c r="AS232" s="17">
        <v>2</v>
      </c>
      <c r="AT232" s="119"/>
      <c r="AU232" s="1" t="s">
        <v>44</v>
      </c>
      <c r="AV232" s="17">
        <v>2</v>
      </c>
      <c r="AW232" s="119"/>
      <c r="AX232" s="1" t="s">
        <v>80</v>
      </c>
      <c r="AY232" s="17">
        <v>2</v>
      </c>
      <c r="AZ232" s="119"/>
      <c r="BA232" s="1" t="s">
        <v>59</v>
      </c>
      <c r="BB232" s="17">
        <v>1</v>
      </c>
      <c r="BC232" s="17">
        <v>1</v>
      </c>
      <c r="BD232" s="17">
        <v>0</v>
      </c>
      <c r="BE232" s="17">
        <v>0</v>
      </c>
      <c r="BF232" s="17">
        <v>0</v>
      </c>
      <c r="BG232" s="17">
        <v>0</v>
      </c>
      <c r="BH232" s="149" t="s">
        <v>151</v>
      </c>
      <c r="BI232" s="17">
        <v>0</v>
      </c>
      <c r="BJ232" s="131"/>
      <c r="BK232" s="1" t="s">
        <v>75</v>
      </c>
      <c r="BL232" s="17">
        <v>0</v>
      </c>
      <c r="BM232" s="119"/>
      <c r="BN232" s="1" t="s">
        <v>36</v>
      </c>
      <c r="BO232" s="17">
        <v>1</v>
      </c>
      <c r="BP232" s="119"/>
      <c r="BQ232" s="17" t="s">
        <v>50</v>
      </c>
      <c r="BR232" s="17">
        <v>2</v>
      </c>
      <c r="BS232" s="119"/>
      <c r="BT232" s="1" t="s">
        <v>65</v>
      </c>
      <c r="BU232" s="17">
        <v>1</v>
      </c>
      <c r="BV232" s="119"/>
      <c r="BW232" s="1" t="s">
        <v>66</v>
      </c>
      <c r="BX232" s="17">
        <v>3</v>
      </c>
      <c r="BY232" s="119"/>
      <c r="BZ232" s="1" t="s">
        <v>52</v>
      </c>
      <c r="CA232" s="17">
        <v>0</v>
      </c>
      <c r="CB232" s="119"/>
      <c r="CC232" s="1" t="s">
        <v>49</v>
      </c>
      <c r="CD232" s="17">
        <v>0</v>
      </c>
      <c r="CE232" s="119"/>
      <c r="CF232" s="17" t="s">
        <v>49</v>
      </c>
      <c r="CG232" s="17">
        <v>2</v>
      </c>
      <c r="CH232" s="119"/>
      <c r="CI232" s="1" t="s">
        <v>78</v>
      </c>
      <c r="CJ232" s="33">
        <v>0</v>
      </c>
      <c r="CK232" s="33">
        <v>0</v>
      </c>
      <c r="CL232" s="33">
        <v>1</v>
      </c>
      <c r="CM232" s="33">
        <v>0</v>
      </c>
      <c r="CN232" s="2" t="s">
        <v>120</v>
      </c>
    </row>
    <row r="233" spans="1:92" ht="14" x14ac:dyDescent="0.15">
      <c r="A233" s="51">
        <v>45862.964014675927</v>
      </c>
      <c r="B233" s="3" t="s">
        <v>29</v>
      </c>
      <c r="C233" s="18">
        <v>2</v>
      </c>
      <c r="D233" s="117"/>
      <c r="E233" s="6" t="s">
        <v>55</v>
      </c>
      <c r="F233" s="18">
        <v>2</v>
      </c>
      <c r="G233" s="117"/>
      <c r="H233" s="6" t="s">
        <v>91</v>
      </c>
      <c r="I233" s="18">
        <v>0</v>
      </c>
      <c r="J233" s="117"/>
      <c r="K233" s="43" t="s">
        <v>107</v>
      </c>
      <c r="L233" s="18">
        <v>1</v>
      </c>
      <c r="M233" s="120"/>
      <c r="N233" s="4" t="s">
        <v>124</v>
      </c>
      <c r="O233" s="18">
        <v>0</v>
      </c>
      <c r="P233" s="120"/>
      <c r="Q233" s="4" t="s">
        <v>181</v>
      </c>
      <c r="R233" s="18">
        <v>0</v>
      </c>
      <c r="S233" s="120"/>
      <c r="T233" s="4" t="s">
        <v>49</v>
      </c>
      <c r="U233" s="18">
        <v>1</v>
      </c>
      <c r="V233" s="120"/>
      <c r="W233" s="4" t="s">
        <v>92</v>
      </c>
      <c r="X233" s="18">
        <v>2</v>
      </c>
      <c r="Y233" s="120"/>
      <c r="Z233" s="4" t="s">
        <v>37</v>
      </c>
      <c r="AA233" s="18">
        <v>2</v>
      </c>
      <c r="AB233" s="120"/>
      <c r="AC233" s="4" t="s">
        <v>59</v>
      </c>
      <c r="AD233" s="18">
        <v>1</v>
      </c>
      <c r="AE233" s="120"/>
      <c r="AF233" s="4" t="s">
        <v>39</v>
      </c>
      <c r="AG233" s="18">
        <v>0</v>
      </c>
      <c r="AH233" s="120"/>
      <c r="AI233" s="13" t="s">
        <v>84</v>
      </c>
      <c r="AJ233" s="24">
        <v>1</v>
      </c>
      <c r="AK233" s="126"/>
      <c r="AL233" s="4" t="s">
        <v>77</v>
      </c>
      <c r="AM233" s="18">
        <v>2</v>
      </c>
      <c r="AN233" s="120"/>
      <c r="AO233" s="4" t="s">
        <v>72</v>
      </c>
      <c r="AP233" s="18">
        <v>3</v>
      </c>
      <c r="AQ233" s="120"/>
      <c r="AR233" s="4" t="s">
        <v>61</v>
      </c>
      <c r="AS233" s="18">
        <v>1</v>
      </c>
      <c r="AT233" s="120"/>
      <c r="AU233" s="4" t="s">
        <v>86</v>
      </c>
      <c r="AV233" s="18">
        <v>0</v>
      </c>
      <c r="AW233" s="120"/>
      <c r="AX233" s="4" t="s">
        <v>73</v>
      </c>
      <c r="AY233" s="18">
        <v>0</v>
      </c>
      <c r="AZ233" s="120"/>
      <c r="BA233" s="4" t="s">
        <v>38</v>
      </c>
      <c r="BB233" s="18">
        <v>1</v>
      </c>
      <c r="BC233" s="18">
        <v>0</v>
      </c>
      <c r="BD233" s="18">
        <v>0</v>
      </c>
      <c r="BE233" s="18">
        <v>0</v>
      </c>
      <c r="BF233" s="18">
        <v>0</v>
      </c>
      <c r="BG233" s="18">
        <v>0</v>
      </c>
      <c r="BH233" s="150" t="s">
        <v>100</v>
      </c>
      <c r="BI233" s="18">
        <v>1</v>
      </c>
      <c r="BJ233" s="130"/>
      <c r="BK233" s="4" t="s">
        <v>96</v>
      </c>
      <c r="BL233" s="18">
        <v>2</v>
      </c>
      <c r="BM233" s="120"/>
      <c r="BN233" s="4" t="s">
        <v>64</v>
      </c>
      <c r="BO233" s="18">
        <v>2</v>
      </c>
      <c r="BP233" s="120"/>
      <c r="BQ233" s="18" t="s">
        <v>117</v>
      </c>
      <c r="BR233" s="18">
        <v>2</v>
      </c>
      <c r="BS233" s="120"/>
      <c r="BT233" s="4" t="s">
        <v>65</v>
      </c>
      <c r="BU233" s="18">
        <v>3</v>
      </c>
      <c r="BV233" s="120"/>
      <c r="BW233" s="4" t="s">
        <v>147</v>
      </c>
      <c r="BX233" s="18">
        <v>0</v>
      </c>
      <c r="BY233" s="120"/>
      <c r="BZ233" s="4" t="s">
        <v>119</v>
      </c>
      <c r="CA233" s="18">
        <v>1</v>
      </c>
      <c r="CB233" s="120"/>
      <c r="CC233" s="4" t="s">
        <v>77</v>
      </c>
      <c r="CD233" s="18">
        <v>2</v>
      </c>
      <c r="CE233" s="120"/>
      <c r="CF233" s="18" t="s">
        <v>36</v>
      </c>
      <c r="CG233" s="18">
        <v>0</v>
      </c>
      <c r="CH233" s="120"/>
      <c r="CI233" s="4" t="s">
        <v>89</v>
      </c>
      <c r="CJ233" s="34">
        <v>1</v>
      </c>
      <c r="CK233" s="34">
        <v>0</v>
      </c>
      <c r="CL233" s="34">
        <v>1</v>
      </c>
      <c r="CM233" s="34">
        <v>0</v>
      </c>
      <c r="CN233" s="5" t="s">
        <v>54</v>
      </c>
    </row>
    <row r="234" spans="1:92" ht="28" x14ac:dyDescent="0.15">
      <c r="A234" s="51">
        <v>45862.983940902777</v>
      </c>
      <c r="B234" s="3" t="s">
        <v>29</v>
      </c>
      <c r="C234" s="17">
        <v>2</v>
      </c>
      <c r="D234" s="116"/>
      <c r="E234" s="6" t="s">
        <v>55</v>
      </c>
      <c r="F234" s="17">
        <v>1</v>
      </c>
      <c r="G234" s="116"/>
      <c r="H234" s="6" t="s">
        <v>31</v>
      </c>
      <c r="I234" s="17">
        <v>3</v>
      </c>
      <c r="J234" s="116"/>
      <c r="K234" s="43" t="s">
        <v>56</v>
      </c>
      <c r="L234" s="17">
        <v>1</v>
      </c>
      <c r="M234" s="119"/>
      <c r="N234" s="1" t="s">
        <v>124</v>
      </c>
      <c r="O234" s="17">
        <v>0</v>
      </c>
      <c r="P234" s="119"/>
      <c r="Q234" s="1" t="s">
        <v>181</v>
      </c>
      <c r="R234" s="17">
        <v>0</v>
      </c>
      <c r="S234" s="119"/>
      <c r="T234" s="1" t="s">
        <v>49</v>
      </c>
      <c r="U234" s="17">
        <v>0</v>
      </c>
      <c r="V234" s="119"/>
      <c r="W234" s="1" t="s">
        <v>77</v>
      </c>
      <c r="X234" s="17">
        <v>2</v>
      </c>
      <c r="Y234" s="119"/>
      <c r="Z234" s="1" t="s">
        <v>37</v>
      </c>
      <c r="AA234" s="17">
        <v>2</v>
      </c>
      <c r="AB234" s="119"/>
      <c r="AC234" s="1" t="s">
        <v>59</v>
      </c>
      <c r="AD234" s="17">
        <v>2</v>
      </c>
      <c r="AE234" s="119"/>
      <c r="AF234" s="1" t="s">
        <v>83</v>
      </c>
      <c r="AG234" s="17">
        <v>2</v>
      </c>
      <c r="AH234" s="119"/>
      <c r="AI234" s="11" t="s">
        <v>40</v>
      </c>
      <c r="AJ234" s="25">
        <v>1</v>
      </c>
      <c r="AK234" s="127"/>
      <c r="AL234" s="1" t="s">
        <v>77</v>
      </c>
      <c r="AM234" s="17">
        <v>2</v>
      </c>
      <c r="AN234" s="119"/>
      <c r="AO234" s="1" t="s">
        <v>72</v>
      </c>
      <c r="AP234" s="17">
        <v>3</v>
      </c>
      <c r="AQ234" s="119"/>
      <c r="AR234" s="1" t="s">
        <v>61</v>
      </c>
      <c r="AS234" s="17">
        <v>2</v>
      </c>
      <c r="AT234" s="119"/>
      <c r="AU234" s="1" t="s">
        <v>44</v>
      </c>
      <c r="AV234" s="17">
        <v>0</v>
      </c>
      <c r="AW234" s="119"/>
      <c r="AX234" s="1" t="s">
        <v>62</v>
      </c>
      <c r="AY234" s="17">
        <v>0</v>
      </c>
      <c r="AZ234" s="119"/>
      <c r="BA234" s="1" t="s">
        <v>38</v>
      </c>
      <c r="BB234" s="17">
        <v>1</v>
      </c>
      <c r="BC234" s="17">
        <v>0</v>
      </c>
      <c r="BD234" s="17">
        <v>1</v>
      </c>
      <c r="BE234" s="17">
        <v>0</v>
      </c>
      <c r="BF234" s="17">
        <v>0</v>
      </c>
      <c r="BG234" s="17">
        <v>0</v>
      </c>
      <c r="BH234" s="149" t="s">
        <v>47</v>
      </c>
      <c r="BI234" s="17">
        <v>1</v>
      </c>
      <c r="BJ234" s="131"/>
      <c r="BK234" s="11" t="s">
        <v>239</v>
      </c>
      <c r="BL234" s="17">
        <v>2</v>
      </c>
      <c r="BM234" s="119"/>
      <c r="BN234" s="1" t="s">
        <v>64</v>
      </c>
      <c r="BO234" s="17">
        <v>2</v>
      </c>
      <c r="BP234" s="119"/>
      <c r="BQ234" s="17" t="s">
        <v>117</v>
      </c>
      <c r="BR234" s="17">
        <v>2</v>
      </c>
      <c r="BS234" s="119"/>
      <c r="BT234" s="1" t="s">
        <v>65</v>
      </c>
      <c r="BU234" s="17">
        <v>0</v>
      </c>
      <c r="BV234" s="119"/>
      <c r="BW234" s="1" t="s">
        <v>88</v>
      </c>
      <c r="BX234" s="17">
        <v>0</v>
      </c>
      <c r="BY234" s="119"/>
      <c r="BZ234" s="1" t="s">
        <v>119</v>
      </c>
      <c r="CA234" s="17">
        <v>1</v>
      </c>
      <c r="CB234" s="119"/>
      <c r="CC234" s="1" t="s">
        <v>77</v>
      </c>
      <c r="CD234" s="17">
        <v>0</v>
      </c>
      <c r="CE234" s="119"/>
      <c r="CF234" s="17" t="s">
        <v>49</v>
      </c>
      <c r="CG234" s="17">
        <v>2</v>
      </c>
      <c r="CH234" s="119"/>
      <c r="CI234" s="1" t="s">
        <v>78</v>
      </c>
      <c r="CJ234" s="33">
        <v>0</v>
      </c>
      <c r="CK234" s="33">
        <v>0</v>
      </c>
      <c r="CL234" s="33">
        <v>0</v>
      </c>
      <c r="CM234" s="33">
        <v>1</v>
      </c>
      <c r="CN234" s="2" t="s">
        <v>240</v>
      </c>
    </row>
    <row r="235" spans="1:92" ht="28" x14ac:dyDescent="0.15">
      <c r="A235" s="51">
        <v>45862.996536331018</v>
      </c>
      <c r="B235" s="3" t="s">
        <v>29</v>
      </c>
      <c r="C235" s="18">
        <v>2</v>
      </c>
      <c r="D235" s="117"/>
      <c r="E235" s="6" t="s">
        <v>55</v>
      </c>
      <c r="F235" s="18">
        <v>2</v>
      </c>
      <c r="G235" s="117"/>
      <c r="H235" s="6" t="s">
        <v>91</v>
      </c>
      <c r="I235" s="18">
        <v>3</v>
      </c>
      <c r="J235" s="117"/>
      <c r="K235" s="43" t="s">
        <v>56</v>
      </c>
      <c r="L235" s="18">
        <v>2</v>
      </c>
      <c r="M235" s="120"/>
      <c r="N235" s="4" t="s">
        <v>33</v>
      </c>
      <c r="O235" s="18">
        <v>1</v>
      </c>
      <c r="P235" s="120"/>
      <c r="Q235" s="4" t="s">
        <v>34</v>
      </c>
      <c r="R235" s="18">
        <v>2</v>
      </c>
      <c r="S235" s="120"/>
      <c r="T235" s="4" t="s">
        <v>35</v>
      </c>
      <c r="U235" s="18">
        <v>2</v>
      </c>
      <c r="V235" s="120"/>
      <c r="W235" s="4" t="s">
        <v>36</v>
      </c>
      <c r="X235" s="18">
        <v>2</v>
      </c>
      <c r="Y235" s="120"/>
      <c r="Z235" s="4" t="s">
        <v>37</v>
      </c>
      <c r="AA235" s="18">
        <v>3</v>
      </c>
      <c r="AB235" s="120"/>
      <c r="AC235" s="4" t="s">
        <v>38</v>
      </c>
      <c r="AD235" s="18">
        <v>2</v>
      </c>
      <c r="AE235" s="120"/>
      <c r="AF235" s="4" t="s">
        <v>83</v>
      </c>
      <c r="AG235" s="18">
        <v>1</v>
      </c>
      <c r="AH235" s="120"/>
      <c r="AI235" s="13" t="s">
        <v>200</v>
      </c>
      <c r="AJ235" s="24">
        <v>3</v>
      </c>
      <c r="AK235" s="126"/>
      <c r="AL235" s="4" t="s">
        <v>41</v>
      </c>
      <c r="AM235" s="18">
        <v>3</v>
      </c>
      <c r="AN235" s="120"/>
      <c r="AO235" s="4" t="s">
        <v>42</v>
      </c>
      <c r="AP235" s="18">
        <v>2</v>
      </c>
      <c r="AQ235" s="120"/>
      <c r="AR235" s="4" t="s">
        <v>104</v>
      </c>
      <c r="AS235" s="18">
        <v>3</v>
      </c>
      <c r="AT235" s="120"/>
      <c r="AU235" s="4" t="s">
        <v>79</v>
      </c>
      <c r="AV235" s="18">
        <v>2</v>
      </c>
      <c r="AW235" s="120"/>
      <c r="AX235" s="4" t="s">
        <v>80</v>
      </c>
      <c r="AY235" s="18">
        <v>2</v>
      </c>
      <c r="AZ235" s="120"/>
      <c r="BA235" s="4" t="s">
        <v>59</v>
      </c>
      <c r="BB235" s="18">
        <v>1</v>
      </c>
      <c r="BC235" s="18">
        <v>1</v>
      </c>
      <c r="BD235" s="18">
        <v>0</v>
      </c>
      <c r="BE235" s="18">
        <v>0</v>
      </c>
      <c r="BF235" s="18">
        <v>0</v>
      </c>
      <c r="BG235" s="18">
        <v>0</v>
      </c>
      <c r="BH235" s="150" t="s">
        <v>81</v>
      </c>
      <c r="BI235" s="18">
        <v>2</v>
      </c>
      <c r="BJ235" s="130"/>
      <c r="BK235" s="4" t="s">
        <v>48</v>
      </c>
      <c r="BL235" s="18">
        <v>3</v>
      </c>
      <c r="BM235" s="120"/>
      <c r="BN235" s="4" t="s">
        <v>49</v>
      </c>
      <c r="BO235" s="18">
        <v>1</v>
      </c>
      <c r="BP235" s="120"/>
      <c r="BQ235" s="18" t="s">
        <v>50</v>
      </c>
      <c r="BR235" s="18">
        <v>2</v>
      </c>
      <c r="BS235" s="120"/>
      <c r="BT235" s="4" t="s">
        <v>65</v>
      </c>
      <c r="BU235" s="18">
        <v>2</v>
      </c>
      <c r="BV235" s="120"/>
      <c r="BW235" s="4" t="s">
        <v>51</v>
      </c>
      <c r="BX235" s="18">
        <v>2</v>
      </c>
      <c r="BY235" s="120"/>
      <c r="BZ235" s="4" t="s">
        <v>97</v>
      </c>
      <c r="CA235" s="18">
        <v>3</v>
      </c>
      <c r="CB235" s="120"/>
      <c r="CC235" s="4" t="s">
        <v>36</v>
      </c>
      <c r="CD235" s="18">
        <v>1</v>
      </c>
      <c r="CE235" s="120"/>
      <c r="CF235" s="18" t="s">
        <v>77</v>
      </c>
      <c r="CG235" s="18">
        <v>3</v>
      </c>
      <c r="CH235" s="120"/>
      <c r="CI235" s="4" t="s">
        <v>53</v>
      </c>
      <c r="CJ235" s="34">
        <v>1</v>
      </c>
      <c r="CK235" s="34">
        <v>0</v>
      </c>
      <c r="CL235" s="34">
        <v>1</v>
      </c>
      <c r="CM235" s="34">
        <v>0</v>
      </c>
      <c r="CN235" s="5" t="s">
        <v>54</v>
      </c>
    </row>
    <row r="236" spans="1:92" ht="28" x14ac:dyDescent="0.15">
      <c r="A236" s="51">
        <v>45863.309467233797</v>
      </c>
      <c r="B236" s="3" t="s">
        <v>29</v>
      </c>
      <c r="C236" s="17">
        <v>5</v>
      </c>
      <c r="D236" s="116"/>
      <c r="E236" s="6" t="s">
        <v>30</v>
      </c>
      <c r="F236" s="17">
        <v>1</v>
      </c>
      <c r="G236" s="116"/>
      <c r="H236" s="6" t="s">
        <v>31</v>
      </c>
      <c r="I236" s="17">
        <v>3</v>
      </c>
      <c r="J236" s="116"/>
      <c r="K236" s="43" t="s">
        <v>56</v>
      </c>
      <c r="L236" s="17">
        <v>1</v>
      </c>
      <c r="M236" s="119"/>
      <c r="N236" s="1" t="s">
        <v>124</v>
      </c>
      <c r="O236" s="17">
        <v>1</v>
      </c>
      <c r="P236" s="119"/>
      <c r="Q236" s="1" t="s">
        <v>34</v>
      </c>
      <c r="R236" s="17">
        <v>2</v>
      </c>
      <c r="S236" s="119"/>
      <c r="T236" s="1" t="s">
        <v>35</v>
      </c>
      <c r="U236" s="17">
        <v>2</v>
      </c>
      <c r="V236" s="119"/>
      <c r="W236" s="1" t="s">
        <v>36</v>
      </c>
      <c r="X236" s="17">
        <v>1</v>
      </c>
      <c r="Y236" s="119"/>
      <c r="Z236" s="1" t="s">
        <v>58</v>
      </c>
      <c r="AA236" s="17">
        <v>3</v>
      </c>
      <c r="AB236" s="119"/>
      <c r="AC236" s="1" t="s">
        <v>38</v>
      </c>
      <c r="AD236" s="17">
        <v>5</v>
      </c>
      <c r="AE236" s="119"/>
      <c r="AF236" s="1" t="s">
        <v>115</v>
      </c>
      <c r="AG236" s="17">
        <v>2</v>
      </c>
      <c r="AH236" s="119"/>
      <c r="AI236" s="11" t="s">
        <v>40</v>
      </c>
      <c r="AJ236" s="25">
        <v>2</v>
      </c>
      <c r="AK236" s="127"/>
      <c r="AL236" s="1" t="s">
        <v>71</v>
      </c>
      <c r="AM236" s="17">
        <v>3</v>
      </c>
      <c r="AN236" s="119"/>
      <c r="AO236" s="1" t="s">
        <v>42</v>
      </c>
      <c r="AP236" s="17">
        <v>3</v>
      </c>
      <c r="AQ236" s="119"/>
      <c r="AR236" s="1" t="s">
        <v>61</v>
      </c>
      <c r="AS236" s="17">
        <v>2</v>
      </c>
      <c r="AT236" s="119"/>
      <c r="AU236" s="1" t="s">
        <v>44</v>
      </c>
      <c r="AV236" s="17">
        <v>2</v>
      </c>
      <c r="AW236" s="119"/>
      <c r="AX236" s="1" t="s">
        <v>80</v>
      </c>
      <c r="AY236" s="17">
        <v>3</v>
      </c>
      <c r="AZ236" s="119"/>
      <c r="BA236" s="1" t="s">
        <v>46</v>
      </c>
      <c r="BB236" s="17">
        <v>1</v>
      </c>
      <c r="BC236" s="17">
        <v>0</v>
      </c>
      <c r="BD236" s="17">
        <v>1</v>
      </c>
      <c r="BE236" s="17">
        <v>0</v>
      </c>
      <c r="BF236" s="17">
        <v>0</v>
      </c>
      <c r="BG236" s="17">
        <v>0</v>
      </c>
      <c r="BH236" s="149" t="s">
        <v>47</v>
      </c>
      <c r="BI236" s="17">
        <v>2</v>
      </c>
      <c r="BJ236" s="131"/>
      <c r="BK236" s="1" t="s">
        <v>48</v>
      </c>
      <c r="BL236" s="17">
        <v>3</v>
      </c>
      <c r="BM236" s="119"/>
      <c r="BN236" s="1" t="s">
        <v>49</v>
      </c>
      <c r="BO236" s="17">
        <v>2</v>
      </c>
      <c r="BP236" s="119"/>
      <c r="BQ236" s="17" t="s">
        <v>117</v>
      </c>
      <c r="BR236" s="17">
        <v>3</v>
      </c>
      <c r="BS236" s="119"/>
      <c r="BT236" s="1" t="s">
        <v>38</v>
      </c>
      <c r="BU236" s="17">
        <v>2</v>
      </c>
      <c r="BV236" s="119"/>
      <c r="BW236" s="1" t="s">
        <v>51</v>
      </c>
      <c r="BX236" s="17">
        <v>3</v>
      </c>
      <c r="BY236" s="119"/>
      <c r="BZ236" s="1" t="s">
        <v>52</v>
      </c>
      <c r="CA236" s="17">
        <v>3</v>
      </c>
      <c r="CB236" s="119"/>
      <c r="CC236" s="1" t="s">
        <v>36</v>
      </c>
      <c r="CD236" s="17">
        <v>1</v>
      </c>
      <c r="CE236" s="119"/>
      <c r="CF236" s="17" t="s">
        <v>77</v>
      </c>
      <c r="CG236" s="17">
        <v>3</v>
      </c>
      <c r="CH236" s="119"/>
      <c r="CI236" s="1" t="s">
        <v>53</v>
      </c>
      <c r="CJ236" s="33">
        <v>1</v>
      </c>
      <c r="CK236" s="33">
        <v>0</v>
      </c>
      <c r="CL236" s="33">
        <v>1</v>
      </c>
      <c r="CM236" s="33">
        <v>0</v>
      </c>
      <c r="CN236" s="2" t="s">
        <v>54</v>
      </c>
    </row>
    <row r="237" spans="1:92" ht="28" x14ac:dyDescent="0.15">
      <c r="A237" s="51">
        <v>45863.34836157407</v>
      </c>
      <c r="B237" s="3" t="s">
        <v>29</v>
      </c>
      <c r="C237" s="18">
        <v>3</v>
      </c>
      <c r="D237" s="117"/>
      <c r="E237" s="6" t="s">
        <v>90</v>
      </c>
      <c r="F237" s="18">
        <v>0</v>
      </c>
      <c r="G237" s="117"/>
      <c r="H237" s="6" t="s">
        <v>193</v>
      </c>
      <c r="I237" s="18">
        <v>4</v>
      </c>
      <c r="J237" s="117"/>
      <c r="K237" s="43" t="s">
        <v>118</v>
      </c>
      <c r="L237" s="18">
        <v>1</v>
      </c>
      <c r="M237" s="120"/>
      <c r="N237" s="4" t="s">
        <v>124</v>
      </c>
      <c r="O237" s="18">
        <v>1</v>
      </c>
      <c r="P237" s="120"/>
      <c r="Q237" s="4" t="s">
        <v>34</v>
      </c>
      <c r="R237" s="18">
        <v>2</v>
      </c>
      <c r="S237" s="120"/>
      <c r="T237" s="4" t="s">
        <v>35</v>
      </c>
      <c r="U237" s="18">
        <v>2</v>
      </c>
      <c r="V237" s="120"/>
      <c r="W237" s="4" t="s">
        <v>36</v>
      </c>
      <c r="X237" s="18">
        <v>2</v>
      </c>
      <c r="Y237" s="120"/>
      <c r="Z237" s="4" t="s">
        <v>37</v>
      </c>
      <c r="AA237" s="18">
        <v>3</v>
      </c>
      <c r="AB237" s="120"/>
      <c r="AC237" s="4" t="s">
        <v>38</v>
      </c>
      <c r="AD237" s="18">
        <v>4</v>
      </c>
      <c r="AE237" s="120"/>
      <c r="AF237" s="4" t="s">
        <v>93</v>
      </c>
      <c r="AG237" s="18">
        <v>1</v>
      </c>
      <c r="AH237" s="120"/>
      <c r="AI237" s="13" t="s">
        <v>138</v>
      </c>
      <c r="AJ237" s="24">
        <v>2</v>
      </c>
      <c r="AK237" s="126"/>
      <c r="AL237" s="4" t="s">
        <v>71</v>
      </c>
      <c r="AM237" s="18">
        <v>3</v>
      </c>
      <c r="AN237" s="120"/>
      <c r="AO237" s="4" t="s">
        <v>42</v>
      </c>
      <c r="AP237" s="18">
        <v>0</v>
      </c>
      <c r="AQ237" s="120"/>
      <c r="AR237" s="4" t="s">
        <v>241</v>
      </c>
      <c r="AS237" s="18">
        <v>3</v>
      </c>
      <c r="AT237" s="120"/>
      <c r="AU237" s="4" t="s">
        <v>79</v>
      </c>
      <c r="AV237" s="18">
        <v>2</v>
      </c>
      <c r="AW237" s="120"/>
      <c r="AX237" s="4" t="s">
        <v>80</v>
      </c>
      <c r="AY237" s="18">
        <v>1</v>
      </c>
      <c r="AZ237" s="120"/>
      <c r="BA237" s="4" t="s">
        <v>69</v>
      </c>
      <c r="BB237" s="18">
        <v>0</v>
      </c>
      <c r="BC237" s="18">
        <v>1</v>
      </c>
      <c r="BD237" s="18">
        <v>1</v>
      </c>
      <c r="BE237" s="18">
        <v>0</v>
      </c>
      <c r="BF237" s="18">
        <v>0</v>
      </c>
      <c r="BG237" s="18">
        <v>0</v>
      </c>
      <c r="BH237" s="150" t="s">
        <v>105</v>
      </c>
      <c r="BI237" s="18">
        <v>2</v>
      </c>
      <c r="BJ237" s="130"/>
      <c r="BK237" s="4" t="s">
        <v>48</v>
      </c>
      <c r="BL237" s="18">
        <v>3</v>
      </c>
      <c r="BM237" s="120"/>
      <c r="BN237" s="4" t="s">
        <v>49</v>
      </c>
      <c r="BO237" s="18">
        <v>1</v>
      </c>
      <c r="BP237" s="120"/>
      <c r="BQ237" s="18" t="s">
        <v>50</v>
      </c>
      <c r="BR237" s="18">
        <v>3</v>
      </c>
      <c r="BS237" s="120"/>
      <c r="BT237" s="4" t="s">
        <v>38</v>
      </c>
      <c r="BU237" s="18">
        <v>2</v>
      </c>
      <c r="BV237" s="120"/>
      <c r="BW237" s="4" t="s">
        <v>51</v>
      </c>
      <c r="BX237" s="18">
        <v>0</v>
      </c>
      <c r="BY237" s="120"/>
      <c r="BZ237" s="4" t="s">
        <v>242</v>
      </c>
      <c r="CA237" s="18">
        <v>2</v>
      </c>
      <c r="CB237" s="120"/>
      <c r="CC237" s="4" t="s">
        <v>76</v>
      </c>
      <c r="CD237" s="18">
        <v>1</v>
      </c>
      <c r="CE237" s="120"/>
      <c r="CF237" s="18" t="s">
        <v>77</v>
      </c>
      <c r="CG237" s="18">
        <v>1</v>
      </c>
      <c r="CH237" s="120"/>
      <c r="CI237" s="4" t="s">
        <v>77</v>
      </c>
      <c r="CJ237" s="34">
        <v>0</v>
      </c>
      <c r="CK237" s="34">
        <v>1</v>
      </c>
      <c r="CL237" s="34">
        <v>0</v>
      </c>
      <c r="CM237" s="34">
        <v>0</v>
      </c>
      <c r="CN237" s="5" t="s">
        <v>137</v>
      </c>
    </row>
    <row r="238" spans="1:92" ht="28" x14ac:dyDescent="0.15">
      <c r="A238" s="51">
        <v>45863.388125462967</v>
      </c>
      <c r="B238" s="3" t="s">
        <v>29</v>
      </c>
      <c r="C238" s="17">
        <v>2</v>
      </c>
      <c r="D238" s="116"/>
      <c r="E238" s="6" t="s">
        <v>55</v>
      </c>
      <c r="F238" s="17">
        <v>1</v>
      </c>
      <c r="G238" s="116"/>
      <c r="H238" s="6" t="s">
        <v>31</v>
      </c>
      <c r="I238" s="17">
        <v>1</v>
      </c>
      <c r="J238" s="116"/>
      <c r="K238" s="43" t="s">
        <v>32</v>
      </c>
      <c r="L238" s="17">
        <v>0</v>
      </c>
      <c r="M238" s="119"/>
      <c r="N238" s="1" t="s">
        <v>145</v>
      </c>
      <c r="O238" s="17">
        <v>1</v>
      </c>
      <c r="P238" s="119"/>
      <c r="Q238" s="1" t="s">
        <v>34</v>
      </c>
      <c r="R238" s="17">
        <v>1</v>
      </c>
      <c r="S238" s="119"/>
      <c r="T238" s="1" t="s">
        <v>57</v>
      </c>
      <c r="U238" s="17">
        <v>1</v>
      </c>
      <c r="V238" s="119"/>
      <c r="W238" s="1" t="s">
        <v>92</v>
      </c>
      <c r="X238" s="17">
        <v>1</v>
      </c>
      <c r="Y238" s="119"/>
      <c r="Z238" s="1" t="s">
        <v>58</v>
      </c>
      <c r="AA238" s="17">
        <v>0</v>
      </c>
      <c r="AB238" s="119"/>
      <c r="AC238" s="1" t="s">
        <v>46</v>
      </c>
      <c r="AD238" s="17">
        <v>2</v>
      </c>
      <c r="AE238" s="119"/>
      <c r="AF238" s="1" t="s">
        <v>83</v>
      </c>
      <c r="AG238" s="17">
        <v>3</v>
      </c>
      <c r="AH238" s="119"/>
      <c r="AI238" s="11" t="s">
        <v>94</v>
      </c>
      <c r="AJ238" s="25">
        <v>2</v>
      </c>
      <c r="AK238" s="127"/>
      <c r="AL238" s="1" t="s">
        <v>71</v>
      </c>
      <c r="AM238" s="17">
        <v>2</v>
      </c>
      <c r="AN238" s="119"/>
      <c r="AO238" s="1" t="s">
        <v>72</v>
      </c>
      <c r="AP238" s="17">
        <v>3</v>
      </c>
      <c r="AQ238" s="119"/>
      <c r="AR238" s="1" t="s">
        <v>61</v>
      </c>
      <c r="AS238" s="17">
        <v>2</v>
      </c>
      <c r="AT238" s="119"/>
      <c r="AU238" s="1" t="s">
        <v>44</v>
      </c>
      <c r="AV238" s="17">
        <v>0</v>
      </c>
      <c r="AW238" s="119"/>
      <c r="AX238" s="1" t="s">
        <v>62</v>
      </c>
      <c r="AY238" s="17">
        <v>2</v>
      </c>
      <c r="AZ238" s="119"/>
      <c r="BA238" s="1" t="s">
        <v>59</v>
      </c>
      <c r="BB238" s="17">
        <v>1</v>
      </c>
      <c r="BC238" s="17">
        <v>0</v>
      </c>
      <c r="BD238" s="17">
        <v>1</v>
      </c>
      <c r="BE238" s="17">
        <v>0</v>
      </c>
      <c r="BF238" s="17">
        <v>0</v>
      </c>
      <c r="BG238" s="17">
        <v>0</v>
      </c>
      <c r="BH238" s="149" t="s">
        <v>47</v>
      </c>
      <c r="BI238" s="17">
        <v>0</v>
      </c>
      <c r="BJ238" s="131"/>
      <c r="BK238" s="1" t="s">
        <v>75</v>
      </c>
      <c r="BL238" s="17">
        <v>0</v>
      </c>
      <c r="BM238" s="119"/>
      <c r="BN238" s="1" t="s">
        <v>36</v>
      </c>
      <c r="BO238" s="17">
        <v>0</v>
      </c>
      <c r="BP238" s="119"/>
      <c r="BQ238" s="17" t="s">
        <v>87</v>
      </c>
      <c r="BR238" s="17">
        <v>1</v>
      </c>
      <c r="BS238" s="119"/>
      <c r="BT238" s="1" t="s">
        <v>69</v>
      </c>
      <c r="BU238" s="17">
        <v>0</v>
      </c>
      <c r="BV238" s="119"/>
      <c r="BW238" s="1" t="s">
        <v>88</v>
      </c>
      <c r="BX238" s="17">
        <v>2</v>
      </c>
      <c r="BY238" s="119"/>
      <c r="BZ238" s="1" t="s">
        <v>97</v>
      </c>
      <c r="CA238" s="17">
        <v>0</v>
      </c>
      <c r="CB238" s="119"/>
      <c r="CC238" s="1" t="s">
        <v>49</v>
      </c>
      <c r="CD238" s="17">
        <v>0</v>
      </c>
      <c r="CE238" s="119"/>
      <c r="CF238" s="17" t="s">
        <v>49</v>
      </c>
      <c r="CG238" s="17">
        <v>0</v>
      </c>
      <c r="CH238" s="119"/>
      <c r="CI238" s="1" t="s">
        <v>89</v>
      </c>
      <c r="CJ238" s="33">
        <v>0</v>
      </c>
      <c r="CK238" s="33">
        <v>1</v>
      </c>
      <c r="CL238" s="33">
        <v>1</v>
      </c>
      <c r="CM238" s="33">
        <v>0</v>
      </c>
      <c r="CN238" s="2" t="s">
        <v>98</v>
      </c>
    </row>
    <row r="239" spans="1:92" ht="28" x14ac:dyDescent="0.15">
      <c r="A239" s="51">
        <v>45863.459585381948</v>
      </c>
      <c r="B239" s="3" t="s">
        <v>29</v>
      </c>
      <c r="C239" s="18">
        <v>1</v>
      </c>
      <c r="D239" s="117"/>
      <c r="E239" s="6" t="s">
        <v>114</v>
      </c>
      <c r="F239" s="18">
        <v>0</v>
      </c>
      <c r="G239" s="117"/>
      <c r="H239" s="6" t="s">
        <v>193</v>
      </c>
      <c r="I239" s="18">
        <v>1</v>
      </c>
      <c r="J239" s="117"/>
      <c r="K239" s="43" t="s">
        <v>32</v>
      </c>
      <c r="L239" s="18">
        <v>1</v>
      </c>
      <c r="M239" s="120"/>
      <c r="N239" s="4" t="s">
        <v>124</v>
      </c>
      <c r="O239" s="18">
        <v>1</v>
      </c>
      <c r="P239" s="120"/>
      <c r="Q239" s="4" t="s">
        <v>34</v>
      </c>
      <c r="R239" s="18">
        <v>2</v>
      </c>
      <c r="S239" s="120"/>
      <c r="T239" s="4" t="s">
        <v>35</v>
      </c>
      <c r="U239" s="18">
        <v>1</v>
      </c>
      <c r="V239" s="120"/>
      <c r="W239" s="4" t="s">
        <v>92</v>
      </c>
      <c r="X239" s="18">
        <v>1</v>
      </c>
      <c r="Y239" s="120"/>
      <c r="Z239" s="4" t="s">
        <v>58</v>
      </c>
      <c r="AA239" s="18">
        <v>3</v>
      </c>
      <c r="AB239" s="120"/>
      <c r="AC239" s="4" t="s">
        <v>38</v>
      </c>
      <c r="AD239" s="18">
        <v>2</v>
      </c>
      <c r="AE239" s="120"/>
      <c r="AF239" s="4" t="s">
        <v>83</v>
      </c>
      <c r="AG239" s="18">
        <v>3</v>
      </c>
      <c r="AH239" s="120"/>
      <c r="AI239" s="13" t="s">
        <v>94</v>
      </c>
      <c r="AJ239" s="24">
        <v>2</v>
      </c>
      <c r="AK239" s="126"/>
      <c r="AL239" s="4" t="s">
        <v>71</v>
      </c>
      <c r="AM239" s="18">
        <v>2</v>
      </c>
      <c r="AN239" s="120"/>
      <c r="AO239" s="4" t="s">
        <v>72</v>
      </c>
      <c r="AP239" s="18">
        <v>3</v>
      </c>
      <c r="AQ239" s="120"/>
      <c r="AR239" s="4" t="s">
        <v>61</v>
      </c>
      <c r="AS239" s="18">
        <v>2</v>
      </c>
      <c r="AT239" s="120"/>
      <c r="AU239" s="4" t="s">
        <v>44</v>
      </c>
      <c r="AV239" s="18">
        <v>2</v>
      </c>
      <c r="AW239" s="120"/>
      <c r="AX239" s="4" t="s">
        <v>80</v>
      </c>
      <c r="AY239" s="18">
        <v>1</v>
      </c>
      <c r="AZ239" s="120"/>
      <c r="BA239" s="4" t="s">
        <v>69</v>
      </c>
      <c r="BB239" s="18">
        <v>1</v>
      </c>
      <c r="BC239" s="18">
        <v>0</v>
      </c>
      <c r="BD239" s="18">
        <v>1</v>
      </c>
      <c r="BE239" s="18">
        <v>0</v>
      </c>
      <c r="BF239" s="18">
        <v>0</v>
      </c>
      <c r="BG239" s="18">
        <v>0</v>
      </c>
      <c r="BH239" s="150" t="s">
        <v>47</v>
      </c>
      <c r="BI239" s="18">
        <v>0</v>
      </c>
      <c r="BJ239" s="130"/>
      <c r="BK239" s="4" t="s">
        <v>75</v>
      </c>
      <c r="BL239" s="18">
        <v>2</v>
      </c>
      <c r="BM239" s="120"/>
      <c r="BN239" s="4" t="s">
        <v>64</v>
      </c>
      <c r="BO239" s="18">
        <v>1</v>
      </c>
      <c r="BP239" s="120"/>
      <c r="BQ239" s="18" t="s">
        <v>50</v>
      </c>
      <c r="BR239" s="18">
        <v>3</v>
      </c>
      <c r="BS239" s="120"/>
      <c r="BT239" s="4" t="s">
        <v>38</v>
      </c>
      <c r="BU239" s="18">
        <v>0</v>
      </c>
      <c r="BV239" s="120"/>
      <c r="BW239" s="4" t="s">
        <v>88</v>
      </c>
      <c r="BX239" s="18">
        <v>3</v>
      </c>
      <c r="BY239" s="120"/>
      <c r="BZ239" s="4" t="s">
        <v>52</v>
      </c>
      <c r="CA239" s="18">
        <v>2</v>
      </c>
      <c r="CB239" s="120"/>
      <c r="CC239" s="4" t="s">
        <v>76</v>
      </c>
      <c r="CD239" s="18">
        <v>1</v>
      </c>
      <c r="CE239" s="120"/>
      <c r="CF239" s="18" t="s">
        <v>77</v>
      </c>
      <c r="CG239" s="18">
        <v>0</v>
      </c>
      <c r="CH239" s="120"/>
      <c r="CI239" s="4" t="s">
        <v>89</v>
      </c>
      <c r="CJ239" s="34">
        <v>1</v>
      </c>
      <c r="CK239" s="34">
        <v>1</v>
      </c>
      <c r="CL239" s="34">
        <v>0</v>
      </c>
      <c r="CM239" s="34">
        <v>0</v>
      </c>
      <c r="CN239" s="5" t="s">
        <v>68</v>
      </c>
    </row>
    <row r="240" spans="1:92" ht="28" x14ac:dyDescent="0.15">
      <c r="A240" s="51">
        <v>45863.504644525463</v>
      </c>
      <c r="B240" s="3" t="s">
        <v>29</v>
      </c>
      <c r="C240" s="17">
        <v>4</v>
      </c>
      <c r="D240" s="116"/>
      <c r="E240" s="6" t="s">
        <v>127</v>
      </c>
      <c r="F240" s="17">
        <v>1</v>
      </c>
      <c r="G240" s="116"/>
      <c r="H240" s="6" t="s">
        <v>31</v>
      </c>
      <c r="I240" s="17">
        <v>3</v>
      </c>
      <c r="J240" s="116"/>
      <c r="K240" s="43" t="s">
        <v>56</v>
      </c>
      <c r="L240" s="17">
        <v>1</v>
      </c>
      <c r="M240" s="119"/>
      <c r="N240" s="1" t="s">
        <v>124</v>
      </c>
      <c r="O240" s="17">
        <v>1</v>
      </c>
      <c r="P240" s="119"/>
      <c r="Q240" s="1" t="s">
        <v>34</v>
      </c>
      <c r="R240" s="17">
        <v>2</v>
      </c>
      <c r="S240" s="119"/>
      <c r="T240" s="1" t="s">
        <v>35</v>
      </c>
      <c r="U240" s="17">
        <v>2</v>
      </c>
      <c r="V240" s="119"/>
      <c r="W240" s="1" t="s">
        <v>36</v>
      </c>
      <c r="X240" s="17">
        <v>2</v>
      </c>
      <c r="Y240" s="119"/>
      <c r="Z240" s="1" t="s">
        <v>37</v>
      </c>
      <c r="AA240" s="17">
        <v>3</v>
      </c>
      <c r="AB240" s="119"/>
      <c r="AC240" s="1" t="s">
        <v>38</v>
      </c>
      <c r="AD240" s="17">
        <v>0</v>
      </c>
      <c r="AE240" s="119"/>
      <c r="AF240" s="1" t="s">
        <v>70</v>
      </c>
      <c r="AG240" s="17">
        <v>2</v>
      </c>
      <c r="AH240" s="119"/>
      <c r="AI240" s="11" t="s">
        <v>40</v>
      </c>
      <c r="AJ240" s="25">
        <v>3</v>
      </c>
      <c r="AK240" s="127"/>
      <c r="AL240" s="1" t="s">
        <v>41</v>
      </c>
      <c r="AM240" s="17">
        <v>3</v>
      </c>
      <c r="AN240" s="119"/>
      <c r="AO240" s="1" t="s">
        <v>42</v>
      </c>
      <c r="AP240" s="17">
        <v>3</v>
      </c>
      <c r="AQ240" s="119"/>
      <c r="AR240" s="1" t="s">
        <v>99</v>
      </c>
      <c r="AS240" s="17">
        <v>3</v>
      </c>
      <c r="AT240" s="119"/>
      <c r="AU240" s="1" t="s">
        <v>79</v>
      </c>
      <c r="AV240" s="17">
        <v>2</v>
      </c>
      <c r="AW240" s="119"/>
      <c r="AX240" s="1" t="s">
        <v>80</v>
      </c>
      <c r="AY240" s="17">
        <v>3</v>
      </c>
      <c r="AZ240" s="119"/>
      <c r="BA240" s="1" t="s">
        <v>46</v>
      </c>
      <c r="BB240" s="17">
        <v>1</v>
      </c>
      <c r="BC240" s="17">
        <v>0</v>
      </c>
      <c r="BD240" s="17">
        <v>1</v>
      </c>
      <c r="BE240" s="17">
        <v>0</v>
      </c>
      <c r="BF240" s="17">
        <v>0</v>
      </c>
      <c r="BG240" s="17">
        <v>0</v>
      </c>
      <c r="BH240" s="149" t="s">
        <v>47</v>
      </c>
      <c r="BI240" s="17">
        <v>0</v>
      </c>
      <c r="BJ240" s="131"/>
      <c r="BK240" s="1" t="s">
        <v>75</v>
      </c>
      <c r="BL240" s="17">
        <v>3</v>
      </c>
      <c r="BM240" s="119"/>
      <c r="BN240" s="1" t="s">
        <v>49</v>
      </c>
      <c r="BO240" s="17">
        <v>1</v>
      </c>
      <c r="BP240" s="119"/>
      <c r="BQ240" s="17" t="s">
        <v>50</v>
      </c>
      <c r="BR240" s="17">
        <v>3</v>
      </c>
      <c r="BS240" s="119"/>
      <c r="BT240" s="1" t="s">
        <v>38</v>
      </c>
      <c r="BU240" s="17">
        <v>0</v>
      </c>
      <c r="BV240" s="119"/>
      <c r="BW240" s="1" t="s">
        <v>88</v>
      </c>
      <c r="BX240" s="17">
        <v>3</v>
      </c>
      <c r="BY240" s="119"/>
      <c r="BZ240" s="1" t="s">
        <v>52</v>
      </c>
      <c r="CA240" s="17">
        <v>3</v>
      </c>
      <c r="CB240" s="119"/>
      <c r="CC240" s="1" t="s">
        <v>36</v>
      </c>
      <c r="CD240" s="17">
        <v>2</v>
      </c>
      <c r="CE240" s="119"/>
      <c r="CF240" s="17" t="s">
        <v>36</v>
      </c>
      <c r="CG240" s="17">
        <v>3</v>
      </c>
      <c r="CH240" s="119"/>
      <c r="CI240" s="1" t="s">
        <v>53</v>
      </c>
      <c r="CJ240" s="33">
        <v>1</v>
      </c>
      <c r="CK240" s="33">
        <v>0</v>
      </c>
      <c r="CL240" s="33">
        <v>1</v>
      </c>
      <c r="CM240" s="33">
        <v>0</v>
      </c>
      <c r="CN240" s="2" t="s">
        <v>54</v>
      </c>
    </row>
    <row r="241" spans="1:94" ht="28" x14ac:dyDescent="0.15">
      <c r="A241" s="51">
        <v>45863.50641800926</v>
      </c>
      <c r="B241" s="3" t="s">
        <v>29</v>
      </c>
      <c r="C241" s="18">
        <v>3</v>
      </c>
      <c r="D241" s="117"/>
      <c r="E241" s="6" t="s">
        <v>90</v>
      </c>
      <c r="F241" s="18">
        <v>2</v>
      </c>
      <c r="G241" s="117"/>
      <c r="H241" s="6" t="s">
        <v>91</v>
      </c>
      <c r="I241" s="18">
        <v>3</v>
      </c>
      <c r="J241" s="117"/>
      <c r="K241" s="43" t="s">
        <v>56</v>
      </c>
      <c r="L241" s="18">
        <v>0</v>
      </c>
      <c r="M241" s="120"/>
      <c r="N241" s="4" t="s">
        <v>145</v>
      </c>
      <c r="O241" s="18">
        <v>1</v>
      </c>
      <c r="P241" s="120"/>
      <c r="Q241" s="4" t="s">
        <v>34</v>
      </c>
      <c r="R241" s="18">
        <v>1</v>
      </c>
      <c r="S241" s="120"/>
      <c r="T241" s="4" t="s">
        <v>57</v>
      </c>
      <c r="U241" s="18">
        <v>0</v>
      </c>
      <c r="V241" s="120"/>
      <c r="W241" s="4" t="s">
        <v>49</v>
      </c>
      <c r="X241" s="18">
        <v>0</v>
      </c>
      <c r="Y241" s="120"/>
      <c r="Z241" s="4" t="s">
        <v>108</v>
      </c>
      <c r="AA241" s="18">
        <v>0</v>
      </c>
      <c r="AB241" s="120"/>
      <c r="AC241" s="4" t="s">
        <v>46</v>
      </c>
      <c r="AD241" s="18">
        <v>2</v>
      </c>
      <c r="AE241" s="120"/>
      <c r="AF241" s="4" t="s">
        <v>83</v>
      </c>
      <c r="AG241" s="18">
        <v>0</v>
      </c>
      <c r="AH241" s="120"/>
      <c r="AI241" s="13" t="s">
        <v>84</v>
      </c>
      <c r="AJ241" s="24">
        <v>0</v>
      </c>
      <c r="AK241" s="126"/>
      <c r="AL241" s="4" t="s">
        <v>85</v>
      </c>
      <c r="AM241" s="18">
        <v>0</v>
      </c>
      <c r="AN241" s="120"/>
      <c r="AO241" s="4" t="s">
        <v>110</v>
      </c>
      <c r="AP241" s="18">
        <v>3</v>
      </c>
      <c r="AQ241" s="120"/>
      <c r="AR241" s="4" t="s">
        <v>61</v>
      </c>
      <c r="AS241" s="18">
        <v>0</v>
      </c>
      <c r="AT241" s="120"/>
      <c r="AU241" s="4" t="s">
        <v>102</v>
      </c>
      <c r="AV241" s="18">
        <v>0</v>
      </c>
      <c r="AW241" s="120"/>
      <c r="AX241" s="4" t="s">
        <v>62</v>
      </c>
      <c r="AY241" s="18">
        <v>3</v>
      </c>
      <c r="AZ241" s="120"/>
      <c r="BA241" s="4" t="s">
        <v>46</v>
      </c>
      <c r="BB241" s="18">
        <v>1</v>
      </c>
      <c r="BC241" s="18">
        <v>0</v>
      </c>
      <c r="BD241" s="18">
        <v>0</v>
      </c>
      <c r="BE241" s="18">
        <v>1</v>
      </c>
      <c r="BF241" s="18">
        <v>0</v>
      </c>
      <c r="BG241" s="18">
        <v>0</v>
      </c>
      <c r="BH241" s="150" t="s">
        <v>74</v>
      </c>
      <c r="BI241" s="18">
        <v>0</v>
      </c>
      <c r="BJ241" s="130"/>
      <c r="BK241" s="4" t="s">
        <v>75</v>
      </c>
      <c r="BL241" s="18">
        <v>3</v>
      </c>
      <c r="BM241" s="120"/>
      <c r="BN241" s="4" t="s">
        <v>49</v>
      </c>
      <c r="BO241" s="18">
        <v>0</v>
      </c>
      <c r="BP241" s="120"/>
      <c r="BQ241" s="18" t="s">
        <v>87</v>
      </c>
      <c r="BR241" s="18">
        <v>0</v>
      </c>
      <c r="BS241" s="120"/>
      <c r="BT241" s="4" t="s">
        <v>46</v>
      </c>
      <c r="BU241" s="18">
        <v>2</v>
      </c>
      <c r="BV241" s="120"/>
      <c r="BW241" s="4" t="s">
        <v>51</v>
      </c>
      <c r="BX241" s="18">
        <v>1</v>
      </c>
      <c r="BY241" s="120"/>
      <c r="BZ241" s="4" t="s">
        <v>67</v>
      </c>
      <c r="CA241" s="18">
        <v>0</v>
      </c>
      <c r="CB241" s="120"/>
      <c r="CC241" s="4" t="s">
        <v>49</v>
      </c>
      <c r="CD241" s="18">
        <v>0</v>
      </c>
      <c r="CE241" s="120"/>
      <c r="CF241" s="18" t="s">
        <v>49</v>
      </c>
      <c r="CG241" s="18">
        <v>2</v>
      </c>
      <c r="CH241" s="120"/>
      <c r="CI241" s="4" t="s">
        <v>78</v>
      </c>
      <c r="CJ241" s="34"/>
      <c r="CK241" s="34">
        <v>1</v>
      </c>
      <c r="CL241" s="34">
        <v>0</v>
      </c>
      <c r="CM241" s="34">
        <v>0</v>
      </c>
      <c r="CN241" s="5" t="s">
        <v>137</v>
      </c>
    </row>
    <row r="242" spans="1:94" ht="28" x14ac:dyDescent="0.15">
      <c r="A242" s="51">
        <v>45863.549012094911</v>
      </c>
      <c r="B242" s="3" t="s">
        <v>29</v>
      </c>
      <c r="C242" s="17">
        <v>3</v>
      </c>
      <c r="D242" s="116"/>
      <c r="E242" s="6" t="s">
        <v>90</v>
      </c>
      <c r="F242" s="17">
        <v>1</v>
      </c>
      <c r="G242" s="116"/>
      <c r="H242" s="6" t="s">
        <v>31</v>
      </c>
      <c r="I242" s="17">
        <v>3</v>
      </c>
      <c r="J242" s="116"/>
      <c r="K242" s="43" t="s">
        <v>56</v>
      </c>
      <c r="L242" s="17">
        <v>2</v>
      </c>
      <c r="M242" s="119"/>
      <c r="N242" s="1" t="s">
        <v>33</v>
      </c>
      <c r="O242" s="17">
        <v>1</v>
      </c>
      <c r="P242" s="119"/>
      <c r="Q242" s="1" t="s">
        <v>34</v>
      </c>
      <c r="R242" s="17">
        <v>1</v>
      </c>
      <c r="S242" s="119"/>
      <c r="T242" s="1" t="s">
        <v>57</v>
      </c>
      <c r="U242" s="17">
        <v>1</v>
      </c>
      <c r="V242" s="119"/>
      <c r="W242" s="1" t="s">
        <v>92</v>
      </c>
      <c r="X242" s="17">
        <v>0</v>
      </c>
      <c r="Y242" s="119"/>
      <c r="Z242" s="1" t="s">
        <v>108</v>
      </c>
      <c r="AA242" s="17">
        <v>0</v>
      </c>
      <c r="AB242" s="119"/>
      <c r="AC242" s="1" t="s">
        <v>46</v>
      </c>
      <c r="AD242" s="17">
        <v>2</v>
      </c>
      <c r="AE242" s="119"/>
      <c r="AF242" s="1" t="s">
        <v>83</v>
      </c>
      <c r="AG242" s="17">
        <v>3</v>
      </c>
      <c r="AH242" s="119"/>
      <c r="AI242" s="11" t="s">
        <v>94</v>
      </c>
      <c r="AJ242" s="25">
        <v>2</v>
      </c>
      <c r="AK242" s="127"/>
      <c r="AL242" s="1" t="s">
        <v>71</v>
      </c>
      <c r="AM242" s="17">
        <v>2</v>
      </c>
      <c r="AN242" s="119"/>
      <c r="AO242" s="1" t="s">
        <v>72</v>
      </c>
      <c r="AP242" s="17">
        <v>3</v>
      </c>
      <c r="AQ242" s="119"/>
      <c r="AR242" s="1" t="s">
        <v>61</v>
      </c>
      <c r="AS242" s="17">
        <v>3</v>
      </c>
      <c r="AT242" s="119"/>
      <c r="AU242" s="1" t="s">
        <v>79</v>
      </c>
      <c r="AV242" s="17">
        <v>0</v>
      </c>
      <c r="AW242" s="119"/>
      <c r="AX242" s="1" t="s">
        <v>62</v>
      </c>
      <c r="AY242" s="17">
        <v>1</v>
      </c>
      <c r="AZ242" s="119"/>
      <c r="BA242" s="1" t="s">
        <v>69</v>
      </c>
      <c r="BB242" s="17">
        <v>1</v>
      </c>
      <c r="BC242" s="17">
        <v>0</v>
      </c>
      <c r="BD242" s="17">
        <v>1</v>
      </c>
      <c r="BE242" s="17">
        <v>0</v>
      </c>
      <c r="BF242" s="17">
        <v>0</v>
      </c>
      <c r="BG242" s="17">
        <v>0</v>
      </c>
      <c r="BH242" s="149" t="s">
        <v>47</v>
      </c>
      <c r="BI242" s="17">
        <v>0</v>
      </c>
      <c r="BJ242" s="131"/>
      <c r="BK242" s="1" t="s">
        <v>75</v>
      </c>
      <c r="BL242" s="17">
        <v>3</v>
      </c>
      <c r="BM242" s="119"/>
      <c r="BN242" s="1" t="s">
        <v>49</v>
      </c>
      <c r="BO242" s="17">
        <v>1</v>
      </c>
      <c r="BP242" s="119"/>
      <c r="BQ242" s="17" t="s">
        <v>50</v>
      </c>
      <c r="BR242" s="17">
        <v>3</v>
      </c>
      <c r="BS242" s="119"/>
      <c r="BT242" s="1" t="s">
        <v>38</v>
      </c>
      <c r="BU242" s="17">
        <v>2</v>
      </c>
      <c r="BV242" s="119"/>
      <c r="BW242" s="1" t="s">
        <v>51</v>
      </c>
      <c r="BX242" s="17">
        <v>0</v>
      </c>
      <c r="BY242" s="119"/>
      <c r="BZ242" s="1" t="s">
        <v>119</v>
      </c>
      <c r="CA242" s="17">
        <v>2</v>
      </c>
      <c r="CB242" s="119"/>
      <c r="CC242" s="1" t="s">
        <v>76</v>
      </c>
      <c r="CD242" s="17">
        <v>1</v>
      </c>
      <c r="CE242" s="119"/>
      <c r="CF242" s="17" t="s">
        <v>77</v>
      </c>
      <c r="CG242" s="17">
        <v>2</v>
      </c>
      <c r="CH242" s="119"/>
      <c r="CI242" s="1" t="s">
        <v>78</v>
      </c>
      <c r="CJ242" s="33">
        <v>1</v>
      </c>
      <c r="CK242" s="33">
        <v>1</v>
      </c>
      <c r="CL242" s="33">
        <v>0</v>
      </c>
      <c r="CM242" s="33">
        <v>0</v>
      </c>
      <c r="CN242" s="2" t="s">
        <v>68</v>
      </c>
    </row>
    <row r="243" spans="1:94" ht="28" x14ac:dyDescent="0.15">
      <c r="A243" s="51">
        <v>45863.55108863426</v>
      </c>
      <c r="B243" s="3" t="s">
        <v>29</v>
      </c>
      <c r="C243" s="18">
        <v>3</v>
      </c>
      <c r="D243" s="117"/>
      <c r="E243" s="6" t="s">
        <v>90</v>
      </c>
      <c r="F243" s="18">
        <v>1</v>
      </c>
      <c r="G243" s="117"/>
      <c r="H243" s="6" t="s">
        <v>31</v>
      </c>
      <c r="I243" s="18">
        <v>1</v>
      </c>
      <c r="J243" s="117"/>
      <c r="K243" s="43" t="s">
        <v>32</v>
      </c>
      <c r="L243" s="18">
        <v>2</v>
      </c>
      <c r="M243" s="120"/>
      <c r="N243" s="4" t="s">
        <v>33</v>
      </c>
      <c r="O243" s="18">
        <v>1</v>
      </c>
      <c r="P243" s="120"/>
      <c r="Q243" s="4" t="s">
        <v>34</v>
      </c>
      <c r="R243" s="18">
        <v>1</v>
      </c>
      <c r="S243" s="120"/>
      <c r="T243" s="4" t="s">
        <v>57</v>
      </c>
      <c r="U243" s="18">
        <v>1</v>
      </c>
      <c r="V243" s="120"/>
      <c r="W243" s="4" t="s">
        <v>92</v>
      </c>
      <c r="X243" s="18">
        <v>1</v>
      </c>
      <c r="Y243" s="120"/>
      <c r="Z243" s="4" t="s">
        <v>58</v>
      </c>
      <c r="AA243" s="18">
        <v>2</v>
      </c>
      <c r="AB243" s="120"/>
      <c r="AC243" s="4" t="s">
        <v>59</v>
      </c>
      <c r="AD243" s="18">
        <v>2</v>
      </c>
      <c r="AE243" s="120"/>
      <c r="AF243" s="4" t="s">
        <v>83</v>
      </c>
      <c r="AG243" s="18">
        <v>2</v>
      </c>
      <c r="AH243" s="120"/>
      <c r="AI243" s="13" t="s">
        <v>40</v>
      </c>
      <c r="AJ243" s="24">
        <v>3</v>
      </c>
      <c r="AK243" s="126"/>
      <c r="AL243" s="4" t="s">
        <v>41</v>
      </c>
      <c r="AM243" s="18">
        <v>2</v>
      </c>
      <c r="AN243" s="120"/>
      <c r="AO243" s="4" t="s">
        <v>72</v>
      </c>
      <c r="AP243" s="18">
        <v>3</v>
      </c>
      <c r="AQ243" s="120"/>
      <c r="AR243" s="4" t="s">
        <v>99</v>
      </c>
      <c r="AS243" s="18">
        <v>3</v>
      </c>
      <c r="AT243" s="120"/>
      <c r="AU243" s="4" t="s">
        <v>79</v>
      </c>
      <c r="AV243" s="18">
        <v>2</v>
      </c>
      <c r="AW243" s="120"/>
      <c r="AX243" s="4" t="s">
        <v>243</v>
      </c>
      <c r="AY243" s="18">
        <v>3</v>
      </c>
      <c r="AZ243" s="120"/>
      <c r="BA243" s="4" t="s">
        <v>46</v>
      </c>
      <c r="BB243" s="18">
        <v>1</v>
      </c>
      <c r="BC243" s="18">
        <v>0</v>
      </c>
      <c r="BD243" s="18">
        <v>1</v>
      </c>
      <c r="BE243" s="18">
        <v>0</v>
      </c>
      <c r="BF243" s="18">
        <v>0</v>
      </c>
      <c r="BG243" s="18">
        <v>0</v>
      </c>
      <c r="BH243" s="150" t="s">
        <v>47</v>
      </c>
      <c r="BI243" s="18">
        <v>2</v>
      </c>
      <c r="BJ243" s="130"/>
      <c r="BK243" s="4" t="s">
        <v>48</v>
      </c>
      <c r="BL243" s="18">
        <v>2</v>
      </c>
      <c r="BM243" s="120"/>
      <c r="BN243" s="4" t="s">
        <v>64</v>
      </c>
      <c r="BO243" s="18">
        <v>2</v>
      </c>
      <c r="BP243" s="120"/>
      <c r="BQ243" s="18" t="s">
        <v>117</v>
      </c>
      <c r="BR243" s="18">
        <v>2</v>
      </c>
      <c r="BS243" s="120"/>
      <c r="BT243" s="4" t="s">
        <v>65</v>
      </c>
      <c r="BU243" s="18">
        <v>1</v>
      </c>
      <c r="BV243" s="120"/>
      <c r="BW243" s="4" t="s">
        <v>66</v>
      </c>
      <c r="BX243" s="18">
        <v>2</v>
      </c>
      <c r="BY243" s="120"/>
      <c r="BZ243" s="4" t="s">
        <v>97</v>
      </c>
      <c r="CA243" s="18">
        <v>1</v>
      </c>
      <c r="CB243" s="120"/>
      <c r="CC243" s="4" t="s">
        <v>77</v>
      </c>
      <c r="CD243" s="18">
        <v>1</v>
      </c>
      <c r="CE243" s="120"/>
      <c r="CF243" s="18" t="s">
        <v>77</v>
      </c>
      <c r="CG243" s="18">
        <v>3</v>
      </c>
      <c r="CH243" s="120"/>
      <c r="CI243" s="4" t="s">
        <v>53</v>
      </c>
      <c r="CJ243" s="34">
        <v>1</v>
      </c>
      <c r="CK243" s="34">
        <v>0</v>
      </c>
      <c r="CL243" s="34">
        <v>1</v>
      </c>
      <c r="CM243" s="34">
        <v>0</v>
      </c>
      <c r="CN243" s="5" t="s">
        <v>54</v>
      </c>
    </row>
    <row r="244" spans="1:94" ht="28" x14ac:dyDescent="0.15">
      <c r="A244" s="51">
        <v>45863.600269340277</v>
      </c>
      <c r="B244" s="3" t="s">
        <v>29</v>
      </c>
      <c r="C244" s="17">
        <v>2</v>
      </c>
      <c r="D244" s="116"/>
      <c r="E244" s="6" t="s">
        <v>55</v>
      </c>
      <c r="F244" s="17">
        <v>2</v>
      </c>
      <c r="G244" s="116"/>
      <c r="H244" s="6" t="s">
        <v>91</v>
      </c>
      <c r="I244" s="17">
        <v>3</v>
      </c>
      <c r="J244" s="116"/>
      <c r="K244" s="43" t="s">
        <v>56</v>
      </c>
      <c r="L244" s="17">
        <v>2</v>
      </c>
      <c r="M244" s="119"/>
      <c r="N244" s="1" t="s">
        <v>33</v>
      </c>
      <c r="O244" s="17">
        <v>1</v>
      </c>
      <c r="P244" s="119"/>
      <c r="Q244" s="1" t="s">
        <v>34</v>
      </c>
      <c r="R244" s="17">
        <v>2</v>
      </c>
      <c r="S244" s="119"/>
      <c r="T244" s="1" t="s">
        <v>35</v>
      </c>
      <c r="U244" s="17">
        <v>2</v>
      </c>
      <c r="V244" s="119"/>
      <c r="W244" s="1" t="s">
        <v>36</v>
      </c>
      <c r="X244" s="17">
        <v>2</v>
      </c>
      <c r="Y244" s="119"/>
      <c r="Z244" s="1" t="s">
        <v>37</v>
      </c>
      <c r="AA244" s="17">
        <v>3</v>
      </c>
      <c r="AB244" s="119"/>
      <c r="AC244" s="1" t="s">
        <v>38</v>
      </c>
      <c r="AD244" s="17">
        <v>4</v>
      </c>
      <c r="AE244" s="119"/>
      <c r="AF244" s="1" t="s">
        <v>93</v>
      </c>
      <c r="AG244" s="17">
        <v>2</v>
      </c>
      <c r="AH244" s="119"/>
      <c r="AI244" s="11" t="s">
        <v>40</v>
      </c>
      <c r="AJ244" s="25">
        <v>3</v>
      </c>
      <c r="AK244" s="127"/>
      <c r="AL244" s="1" t="s">
        <v>41</v>
      </c>
      <c r="AM244" s="17">
        <v>3</v>
      </c>
      <c r="AN244" s="119"/>
      <c r="AO244" s="1" t="s">
        <v>42</v>
      </c>
      <c r="AP244" s="17">
        <v>0</v>
      </c>
      <c r="AQ244" s="119"/>
      <c r="AR244" s="1" t="s">
        <v>121</v>
      </c>
      <c r="AS244" s="17">
        <v>3</v>
      </c>
      <c r="AT244" s="119"/>
      <c r="AU244" s="1" t="s">
        <v>79</v>
      </c>
      <c r="AV244" s="17">
        <v>2</v>
      </c>
      <c r="AW244" s="119"/>
      <c r="AX244" s="1" t="s">
        <v>80</v>
      </c>
      <c r="AY244" s="17">
        <v>1</v>
      </c>
      <c r="AZ244" s="119"/>
      <c r="BA244" s="1" t="s">
        <v>69</v>
      </c>
      <c r="BB244" s="17">
        <v>1</v>
      </c>
      <c r="BC244" s="17">
        <v>0</v>
      </c>
      <c r="BD244" s="17">
        <v>1</v>
      </c>
      <c r="BE244" s="17">
        <v>0</v>
      </c>
      <c r="BF244" s="17">
        <v>0</v>
      </c>
      <c r="BG244" s="17">
        <v>0</v>
      </c>
      <c r="BH244" s="149" t="s">
        <v>47</v>
      </c>
      <c r="BI244" s="17">
        <v>2</v>
      </c>
      <c r="BJ244" s="131"/>
      <c r="BK244" s="1" t="s">
        <v>48</v>
      </c>
      <c r="BL244" s="17">
        <v>2</v>
      </c>
      <c r="BM244" s="119"/>
      <c r="BN244" s="1" t="s">
        <v>64</v>
      </c>
      <c r="BO244" s="17">
        <v>1</v>
      </c>
      <c r="BP244" s="119"/>
      <c r="BQ244" s="17" t="s">
        <v>50</v>
      </c>
      <c r="BR244" s="17">
        <v>3</v>
      </c>
      <c r="BS244" s="119"/>
      <c r="BT244" s="1" t="s">
        <v>38</v>
      </c>
      <c r="BU244" s="17">
        <v>2</v>
      </c>
      <c r="BV244" s="119"/>
      <c r="BW244" s="1" t="s">
        <v>51</v>
      </c>
      <c r="BX244" s="17">
        <v>2</v>
      </c>
      <c r="BY244" s="119"/>
      <c r="BZ244" s="1" t="s">
        <v>97</v>
      </c>
      <c r="CA244" s="17">
        <v>2</v>
      </c>
      <c r="CB244" s="119"/>
      <c r="CC244" s="1" t="s">
        <v>76</v>
      </c>
      <c r="CD244" s="17">
        <v>2</v>
      </c>
      <c r="CE244" s="119"/>
      <c r="CF244" s="17" t="s">
        <v>36</v>
      </c>
      <c r="CG244" s="17">
        <v>3</v>
      </c>
      <c r="CH244" s="119"/>
      <c r="CI244" s="1" t="s">
        <v>53</v>
      </c>
      <c r="CJ244" s="33">
        <v>1</v>
      </c>
      <c r="CK244" s="33">
        <v>0</v>
      </c>
      <c r="CL244" s="33">
        <v>1</v>
      </c>
      <c r="CM244" s="33">
        <v>0</v>
      </c>
      <c r="CN244" s="2" t="s">
        <v>54</v>
      </c>
    </row>
    <row r="245" spans="1:94" ht="28" x14ac:dyDescent="0.15">
      <c r="A245" s="51">
        <v>45863.665609583331</v>
      </c>
      <c r="B245" s="3" t="s">
        <v>29</v>
      </c>
      <c r="C245" s="18">
        <v>2</v>
      </c>
      <c r="D245" s="117"/>
      <c r="E245" s="6" t="s">
        <v>55</v>
      </c>
      <c r="F245" s="18">
        <v>0</v>
      </c>
      <c r="G245" s="117"/>
      <c r="H245" s="6" t="s">
        <v>193</v>
      </c>
      <c r="I245" s="18">
        <v>3</v>
      </c>
      <c r="J245" s="117"/>
      <c r="K245" s="43" t="s">
        <v>56</v>
      </c>
      <c r="L245" s="18">
        <v>1</v>
      </c>
      <c r="M245" s="120"/>
      <c r="N245" s="4" t="s">
        <v>124</v>
      </c>
      <c r="O245" s="18">
        <v>1</v>
      </c>
      <c r="P245" s="120"/>
      <c r="Q245" s="4" t="s">
        <v>34</v>
      </c>
      <c r="R245" s="18">
        <v>2</v>
      </c>
      <c r="S245" s="120"/>
      <c r="T245" s="4" t="s">
        <v>35</v>
      </c>
      <c r="U245" s="18">
        <v>2</v>
      </c>
      <c r="V245" s="120"/>
      <c r="W245" s="4" t="s">
        <v>36</v>
      </c>
      <c r="X245" s="18">
        <v>2</v>
      </c>
      <c r="Y245" s="120"/>
      <c r="Z245" s="4" t="s">
        <v>37</v>
      </c>
      <c r="AA245" s="18">
        <v>3</v>
      </c>
      <c r="AB245" s="120"/>
      <c r="AC245" s="4" t="s">
        <v>38</v>
      </c>
      <c r="AD245" s="18">
        <v>1</v>
      </c>
      <c r="AE245" s="120"/>
      <c r="AF245" s="4" t="s">
        <v>39</v>
      </c>
      <c r="AG245" s="18">
        <v>2</v>
      </c>
      <c r="AH245" s="120"/>
      <c r="AI245" s="13" t="s">
        <v>40</v>
      </c>
      <c r="AJ245" s="24">
        <v>3</v>
      </c>
      <c r="AK245" s="126"/>
      <c r="AL245" s="4" t="s">
        <v>41</v>
      </c>
      <c r="AM245" s="18">
        <v>3</v>
      </c>
      <c r="AN245" s="120"/>
      <c r="AO245" s="4" t="s">
        <v>42</v>
      </c>
      <c r="AP245" s="18">
        <v>4</v>
      </c>
      <c r="AQ245" s="120"/>
      <c r="AR245" s="9" t="s">
        <v>244</v>
      </c>
      <c r="AS245" s="18">
        <v>3</v>
      </c>
      <c r="AT245" s="120"/>
      <c r="AU245" s="4" t="s">
        <v>79</v>
      </c>
      <c r="AV245" s="18">
        <v>2</v>
      </c>
      <c r="AW245" s="120"/>
      <c r="AX245" s="4" t="s">
        <v>80</v>
      </c>
      <c r="AY245" s="18">
        <v>1</v>
      </c>
      <c r="AZ245" s="120"/>
      <c r="BA245" s="4" t="s">
        <v>69</v>
      </c>
      <c r="BB245" s="18">
        <v>1</v>
      </c>
      <c r="BC245" s="18">
        <v>0</v>
      </c>
      <c r="BD245" s="18">
        <v>1</v>
      </c>
      <c r="BE245" s="18">
        <v>0</v>
      </c>
      <c r="BF245" s="18">
        <v>0</v>
      </c>
      <c r="BG245" s="18">
        <v>0</v>
      </c>
      <c r="BH245" s="150" t="s">
        <v>47</v>
      </c>
      <c r="BI245" s="18">
        <v>2</v>
      </c>
      <c r="BJ245" s="130"/>
      <c r="BK245" s="4" t="s">
        <v>48</v>
      </c>
      <c r="BL245" s="18">
        <v>2</v>
      </c>
      <c r="BM245" s="120"/>
      <c r="BN245" s="4" t="s">
        <v>64</v>
      </c>
      <c r="BO245" s="18">
        <v>1</v>
      </c>
      <c r="BP245" s="120"/>
      <c r="BQ245" s="18" t="s">
        <v>50</v>
      </c>
      <c r="BR245" s="18">
        <v>3</v>
      </c>
      <c r="BS245" s="120"/>
      <c r="BT245" s="4" t="s">
        <v>38</v>
      </c>
      <c r="BU245" s="18">
        <v>1</v>
      </c>
      <c r="BV245" s="120"/>
      <c r="BW245" s="4" t="s">
        <v>66</v>
      </c>
      <c r="BX245" s="18">
        <v>2</v>
      </c>
      <c r="BY245" s="120"/>
      <c r="BZ245" s="4" t="s">
        <v>245</v>
      </c>
      <c r="CA245" s="18">
        <v>3</v>
      </c>
      <c r="CB245" s="120"/>
      <c r="CC245" s="4" t="s">
        <v>36</v>
      </c>
      <c r="CD245" s="18">
        <v>2</v>
      </c>
      <c r="CE245" s="120"/>
      <c r="CF245" s="18" t="s">
        <v>36</v>
      </c>
      <c r="CG245" s="18">
        <v>3</v>
      </c>
      <c r="CH245" s="120"/>
      <c r="CI245" s="4" t="s">
        <v>246</v>
      </c>
      <c r="CJ245" s="34">
        <v>0</v>
      </c>
      <c r="CK245" s="34">
        <v>1</v>
      </c>
      <c r="CL245" s="34">
        <v>1</v>
      </c>
      <c r="CM245" s="34">
        <v>0</v>
      </c>
      <c r="CN245" s="5" t="s">
        <v>98</v>
      </c>
    </row>
    <row r="246" spans="1:94" ht="28" x14ac:dyDescent="0.15">
      <c r="A246" s="51">
        <v>45863.704546111112</v>
      </c>
      <c r="B246" s="3" t="s">
        <v>29</v>
      </c>
      <c r="C246" s="17">
        <v>3</v>
      </c>
      <c r="D246" s="116"/>
      <c r="E246" s="6" t="s">
        <v>90</v>
      </c>
      <c r="F246" s="17">
        <v>2</v>
      </c>
      <c r="G246" s="116"/>
      <c r="H246" s="6" t="s">
        <v>91</v>
      </c>
      <c r="I246" s="17">
        <v>3</v>
      </c>
      <c r="J246" s="116"/>
      <c r="K246" s="43" t="s">
        <v>56</v>
      </c>
      <c r="L246" s="17">
        <v>2</v>
      </c>
      <c r="M246" s="119"/>
      <c r="N246" s="1" t="s">
        <v>33</v>
      </c>
      <c r="O246" s="17">
        <v>1</v>
      </c>
      <c r="P246" s="119"/>
      <c r="Q246" s="1" t="s">
        <v>34</v>
      </c>
      <c r="R246" s="17">
        <v>1</v>
      </c>
      <c r="S246" s="119"/>
      <c r="T246" s="1" t="s">
        <v>57</v>
      </c>
      <c r="U246" s="17">
        <v>0</v>
      </c>
      <c r="V246" s="119"/>
      <c r="W246" s="1" t="s">
        <v>49</v>
      </c>
      <c r="X246" s="17">
        <v>1</v>
      </c>
      <c r="Y246" s="119"/>
      <c r="Z246" s="1" t="s">
        <v>58</v>
      </c>
      <c r="AA246" s="17">
        <v>0</v>
      </c>
      <c r="AB246" s="119"/>
      <c r="AC246" s="1" t="s">
        <v>46</v>
      </c>
      <c r="AD246" s="17">
        <v>2</v>
      </c>
      <c r="AE246" s="119"/>
      <c r="AF246" s="1" t="s">
        <v>83</v>
      </c>
      <c r="AG246" s="17">
        <v>0</v>
      </c>
      <c r="AH246" s="119"/>
      <c r="AI246" s="11" t="s">
        <v>84</v>
      </c>
      <c r="AJ246" s="25">
        <v>3</v>
      </c>
      <c r="AK246" s="127"/>
      <c r="AL246" s="1" t="s">
        <v>41</v>
      </c>
      <c r="AM246" s="17">
        <v>1</v>
      </c>
      <c r="AN246" s="119"/>
      <c r="AO246" s="1" t="s">
        <v>130</v>
      </c>
      <c r="AP246" s="17">
        <v>3</v>
      </c>
      <c r="AQ246" s="119"/>
      <c r="AR246" s="1" t="s">
        <v>61</v>
      </c>
      <c r="AS246" s="17">
        <v>2</v>
      </c>
      <c r="AT246" s="119"/>
      <c r="AU246" s="1" t="s">
        <v>44</v>
      </c>
      <c r="AV246" s="17">
        <v>2</v>
      </c>
      <c r="AW246" s="119"/>
      <c r="AX246" s="1" t="s">
        <v>80</v>
      </c>
      <c r="AY246" s="17">
        <v>1</v>
      </c>
      <c r="AZ246" s="119"/>
      <c r="BA246" s="1" t="s">
        <v>69</v>
      </c>
      <c r="BB246" s="17">
        <v>1</v>
      </c>
      <c r="BC246" s="17">
        <v>0</v>
      </c>
      <c r="BD246" s="17">
        <v>1</v>
      </c>
      <c r="BE246" s="17">
        <v>0</v>
      </c>
      <c r="BF246" s="17">
        <v>0</v>
      </c>
      <c r="BG246" s="17">
        <v>0</v>
      </c>
      <c r="BH246" s="149" t="s">
        <v>47</v>
      </c>
      <c r="BI246" s="17">
        <v>2</v>
      </c>
      <c r="BJ246" s="131"/>
      <c r="BK246" s="1" t="s">
        <v>48</v>
      </c>
      <c r="BL246" s="17">
        <v>1</v>
      </c>
      <c r="BM246" s="119"/>
      <c r="BN246" s="1" t="s">
        <v>59</v>
      </c>
      <c r="BO246" s="17">
        <v>1</v>
      </c>
      <c r="BP246" s="119"/>
      <c r="BQ246" s="17" t="s">
        <v>50</v>
      </c>
      <c r="BR246" s="17">
        <v>1</v>
      </c>
      <c r="BS246" s="119"/>
      <c r="BT246" s="1" t="s">
        <v>69</v>
      </c>
      <c r="BU246" s="17">
        <v>0</v>
      </c>
      <c r="BV246" s="119"/>
      <c r="BW246" s="1" t="s">
        <v>88</v>
      </c>
      <c r="BX246" s="17">
        <v>2</v>
      </c>
      <c r="BY246" s="119"/>
      <c r="BZ246" s="1" t="s">
        <v>97</v>
      </c>
      <c r="CA246" s="17">
        <v>3</v>
      </c>
      <c r="CB246" s="119"/>
      <c r="CC246" s="1" t="s">
        <v>36</v>
      </c>
      <c r="CD246" s="17">
        <v>1</v>
      </c>
      <c r="CE246" s="119"/>
      <c r="CF246" s="17" t="s">
        <v>77</v>
      </c>
      <c r="CG246" s="17">
        <v>3</v>
      </c>
      <c r="CH246" s="119"/>
      <c r="CI246" s="1" t="s">
        <v>53</v>
      </c>
      <c r="CJ246" s="33">
        <v>1</v>
      </c>
      <c r="CK246" s="33">
        <v>0</v>
      </c>
      <c r="CL246" s="33">
        <v>1</v>
      </c>
      <c r="CM246" s="33">
        <v>0</v>
      </c>
      <c r="CN246" s="2" t="s">
        <v>54</v>
      </c>
    </row>
    <row r="247" spans="1:94" ht="28" x14ac:dyDescent="0.15">
      <c r="A247" s="51">
        <v>45864.932842453709</v>
      </c>
      <c r="B247" s="3" t="s">
        <v>29</v>
      </c>
      <c r="C247" s="18">
        <v>2</v>
      </c>
      <c r="D247" s="117"/>
      <c r="E247" s="6" t="s">
        <v>55</v>
      </c>
      <c r="F247" s="18">
        <v>2</v>
      </c>
      <c r="G247" s="117"/>
      <c r="H247" s="6" t="s">
        <v>91</v>
      </c>
      <c r="I247" s="18">
        <v>3</v>
      </c>
      <c r="J247" s="117"/>
      <c r="K247" s="43" t="s">
        <v>56</v>
      </c>
      <c r="L247" s="18">
        <v>1</v>
      </c>
      <c r="M247" s="120"/>
      <c r="N247" s="4" t="s">
        <v>124</v>
      </c>
      <c r="O247" s="18">
        <v>1</v>
      </c>
      <c r="P247" s="120"/>
      <c r="Q247" s="4" t="s">
        <v>34</v>
      </c>
      <c r="R247" s="18">
        <v>2</v>
      </c>
      <c r="S247" s="120"/>
      <c r="T247" s="4" t="s">
        <v>35</v>
      </c>
      <c r="U247" s="18">
        <v>1</v>
      </c>
      <c r="V247" s="120"/>
      <c r="W247" s="4" t="s">
        <v>92</v>
      </c>
      <c r="X247" s="18">
        <v>1</v>
      </c>
      <c r="Y247" s="120"/>
      <c r="Z247" s="4" t="s">
        <v>58</v>
      </c>
      <c r="AA247" s="18">
        <v>3</v>
      </c>
      <c r="AB247" s="120"/>
      <c r="AC247" s="4" t="s">
        <v>38</v>
      </c>
      <c r="AD247" s="18">
        <v>0</v>
      </c>
      <c r="AE247" s="120"/>
      <c r="AF247" s="4" t="s">
        <v>70</v>
      </c>
      <c r="AG247" s="18">
        <v>1</v>
      </c>
      <c r="AH247" s="120"/>
      <c r="AI247" s="13" t="s">
        <v>138</v>
      </c>
      <c r="AJ247" s="24">
        <v>3</v>
      </c>
      <c r="AK247" s="126"/>
      <c r="AL247" s="4" t="s">
        <v>41</v>
      </c>
      <c r="AM247" s="18">
        <v>2</v>
      </c>
      <c r="AN247" s="120"/>
      <c r="AO247" s="4" t="s">
        <v>72</v>
      </c>
      <c r="AP247" s="18">
        <v>3</v>
      </c>
      <c r="AQ247" s="120"/>
      <c r="AR247" s="4" t="s">
        <v>61</v>
      </c>
      <c r="AS247" s="18">
        <v>2</v>
      </c>
      <c r="AT247" s="120"/>
      <c r="AU247" s="4" t="s">
        <v>44</v>
      </c>
      <c r="AV247" s="18">
        <v>2</v>
      </c>
      <c r="AW247" s="120"/>
      <c r="AX247" s="4" t="s">
        <v>80</v>
      </c>
      <c r="AY247" s="18">
        <v>2</v>
      </c>
      <c r="AZ247" s="120"/>
      <c r="BA247" s="4" t="s">
        <v>59</v>
      </c>
      <c r="BB247" s="18">
        <v>1</v>
      </c>
      <c r="BC247" s="18">
        <v>0</v>
      </c>
      <c r="BD247" s="18">
        <v>0</v>
      </c>
      <c r="BE247" s="18">
        <v>1</v>
      </c>
      <c r="BF247" s="18">
        <v>0</v>
      </c>
      <c r="BG247" s="18">
        <v>0</v>
      </c>
      <c r="BH247" s="150" t="s">
        <v>74</v>
      </c>
      <c r="BI247" s="18">
        <v>0</v>
      </c>
      <c r="BJ247" s="130"/>
      <c r="BK247" s="4" t="s">
        <v>75</v>
      </c>
      <c r="BL247" s="18">
        <v>2</v>
      </c>
      <c r="BM247" s="120"/>
      <c r="BN247" s="4" t="s">
        <v>64</v>
      </c>
      <c r="BO247" s="18">
        <v>2</v>
      </c>
      <c r="BP247" s="120"/>
      <c r="BQ247" s="18" t="s">
        <v>117</v>
      </c>
      <c r="BR247" s="18">
        <v>3</v>
      </c>
      <c r="BS247" s="120"/>
      <c r="BT247" s="4" t="s">
        <v>38</v>
      </c>
      <c r="BU247" s="18">
        <v>2</v>
      </c>
      <c r="BV247" s="120"/>
      <c r="BW247" s="4" t="s">
        <v>51</v>
      </c>
      <c r="BX247" s="18">
        <v>2</v>
      </c>
      <c r="BY247" s="120"/>
      <c r="BZ247" s="4" t="s">
        <v>97</v>
      </c>
      <c r="CA247" s="18">
        <v>3</v>
      </c>
      <c r="CB247" s="120"/>
      <c r="CC247" s="4" t="s">
        <v>36</v>
      </c>
      <c r="CD247" s="18">
        <v>1</v>
      </c>
      <c r="CE247" s="120"/>
      <c r="CF247" s="18" t="s">
        <v>77</v>
      </c>
      <c r="CG247" s="18">
        <v>2</v>
      </c>
      <c r="CH247" s="120"/>
      <c r="CI247" s="4" t="s">
        <v>78</v>
      </c>
      <c r="CJ247" s="34">
        <v>0</v>
      </c>
      <c r="CK247" s="34">
        <v>1</v>
      </c>
      <c r="CL247" s="34">
        <v>1</v>
      </c>
      <c r="CM247" s="34">
        <v>0</v>
      </c>
      <c r="CN247" s="5" t="s">
        <v>98</v>
      </c>
    </row>
    <row r="248" spans="1:94" ht="28" x14ac:dyDescent="0.15">
      <c r="A248" s="51">
        <v>45865.087112696754</v>
      </c>
      <c r="B248" s="3" t="s">
        <v>29</v>
      </c>
      <c r="C248" s="17">
        <v>3</v>
      </c>
      <c r="D248" s="116"/>
      <c r="E248" s="6" t="s">
        <v>90</v>
      </c>
      <c r="F248" s="17">
        <v>2</v>
      </c>
      <c r="G248" s="116"/>
      <c r="H248" s="6" t="s">
        <v>91</v>
      </c>
      <c r="I248" s="17">
        <v>3</v>
      </c>
      <c r="J248" s="116"/>
      <c r="K248" s="43" t="s">
        <v>56</v>
      </c>
      <c r="L248" s="17">
        <v>2</v>
      </c>
      <c r="M248" s="119"/>
      <c r="N248" s="1" t="s">
        <v>33</v>
      </c>
      <c r="O248" s="17">
        <v>1</v>
      </c>
      <c r="P248" s="119"/>
      <c r="Q248" s="1" t="s">
        <v>34</v>
      </c>
      <c r="R248" s="17">
        <v>1</v>
      </c>
      <c r="S248" s="119"/>
      <c r="T248" s="1" t="s">
        <v>57</v>
      </c>
      <c r="U248" s="17">
        <v>1</v>
      </c>
      <c r="V248" s="119"/>
      <c r="W248" s="1" t="s">
        <v>92</v>
      </c>
      <c r="X248" s="17">
        <v>1</v>
      </c>
      <c r="Y248" s="119"/>
      <c r="Z248" s="1" t="s">
        <v>58</v>
      </c>
      <c r="AA248" s="17">
        <v>0</v>
      </c>
      <c r="AB248" s="119"/>
      <c r="AC248" s="1" t="s">
        <v>46</v>
      </c>
      <c r="AD248" s="17">
        <v>2</v>
      </c>
      <c r="AE248" s="119"/>
      <c r="AF248" s="1" t="s">
        <v>83</v>
      </c>
      <c r="AG248" s="17">
        <v>0</v>
      </c>
      <c r="AH248" s="119"/>
      <c r="AI248" s="11" t="s">
        <v>84</v>
      </c>
      <c r="AJ248" s="25">
        <v>0</v>
      </c>
      <c r="AK248" s="127"/>
      <c r="AL248" s="1" t="s">
        <v>85</v>
      </c>
      <c r="AM248" s="17">
        <v>1</v>
      </c>
      <c r="AN248" s="119"/>
      <c r="AO248" s="1" t="s">
        <v>130</v>
      </c>
      <c r="AP248" s="17">
        <v>3</v>
      </c>
      <c r="AQ248" s="119"/>
      <c r="AR248" s="1" t="s">
        <v>61</v>
      </c>
      <c r="AS248" s="17">
        <v>2</v>
      </c>
      <c r="AT248" s="119"/>
      <c r="AU248" s="1" t="s">
        <v>44</v>
      </c>
      <c r="AV248" s="17">
        <v>0</v>
      </c>
      <c r="AW248" s="119"/>
      <c r="AX248" s="1" t="s">
        <v>62</v>
      </c>
      <c r="AY248" s="17">
        <v>3</v>
      </c>
      <c r="AZ248" s="119"/>
      <c r="BA248" s="1" t="s">
        <v>46</v>
      </c>
      <c r="BB248" s="17">
        <v>1</v>
      </c>
      <c r="BC248" s="17">
        <v>0</v>
      </c>
      <c r="BD248" s="17">
        <v>0</v>
      </c>
      <c r="BE248" s="17">
        <v>1</v>
      </c>
      <c r="BF248" s="17">
        <v>0</v>
      </c>
      <c r="BG248" s="17">
        <v>0</v>
      </c>
      <c r="BH248" s="149" t="s">
        <v>74</v>
      </c>
      <c r="BI248" s="17">
        <v>0</v>
      </c>
      <c r="BJ248" s="131"/>
      <c r="BK248" s="1" t="s">
        <v>75</v>
      </c>
      <c r="BL248" s="17">
        <v>2</v>
      </c>
      <c r="BM248" s="119"/>
      <c r="BN248" s="1" t="s">
        <v>64</v>
      </c>
      <c r="BO248" s="17">
        <v>1</v>
      </c>
      <c r="BP248" s="119"/>
      <c r="BQ248" s="17" t="s">
        <v>50</v>
      </c>
      <c r="BR248" s="17">
        <v>0</v>
      </c>
      <c r="BS248" s="119"/>
      <c r="BT248" s="1" t="s">
        <v>46</v>
      </c>
      <c r="BU248" s="17">
        <v>2</v>
      </c>
      <c r="BV248" s="119"/>
      <c r="BW248" s="1" t="s">
        <v>51</v>
      </c>
      <c r="BX248" s="17">
        <v>0</v>
      </c>
      <c r="BY248" s="119"/>
      <c r="BZ248" s="1" t="s">
        <v>119</v>
      </c>
      <c r="CA248" s="17">
        <v>1</v>
      </c>
      <c r="CB248" s="119"/>
      <c r="CC248" s="1" t="s">
        <v>77</v>
      </c>
      <c r="CD248" s="17">
        <v>0</v>
      </c>
      <c r="CE248" s="119"/>
      <c r="CF248" s="17" t="s">
        <v>49</v>
      </c>
      <c r="CG248" s="17">
        <v>2</v>
      </c>
      <c r="CH248" s="119"/>
      <c r="CI248" s="1" t="s">
        <v>78</v>
      </c>
      <c r="CJ248" s="33">
        <v>0</v>
      </c>
      <c r="CK248" s="33">
        <v>0</v>
      </c>
      <c r="CL248" s="33">
        <v>0</v>
      </c>
      <c r="CM248" s="33">
        <v>1</v>
      </c>
      <c r="CN248" s="2" t="s">
        <v>101</v>
      </c>
    </row>
    <row r="249" spans="1:94" ht="42" x14ac:dyDescent="0.15">
      <c r="A249" s="51">
        <v>45865.532982847217</v>
      </c>
      <c r="B249" s="3" t="s">
        <v>29</v>
      </c>
      <c r="C249" s="18">
        <v>2</v>
      </c>
      <c r="D249" s="117"/>
      <c r="E249" s="6" t="s">
        <v>55</v>
      </c>
      <c r="F249" s="18">
        <v>2</v>
      </c>
      <c r="G249" s="117"/>
      <c r="H249" s="6" t="s">
        <v>91</v>
      </c>
      <c r="I249" s="18">
        <v>3</v>
      </c>
      <c r="J249" s="117"/>
      <c r="K249" s="43" t="s">
        <v>56</v>
      </c>
      <c r="L249" s="18">
        <v>1</v>
      </c>
      <c r="M249" s="120"/>
      <c r="N249" s="4" t="s">
        <v>124</v>
      </c>
      <c r="O249" s="18">
        <v>0</v>
      </c>
      <c r="P249" s="120"/>
      <c r="Q249" s="4" t="s">
        <v>181</v>
      </c>
      <c r="R249" s="18">
        <v>1</v>
      </c>
      <c r="S249" s="120"/>
      <c r="T249" s="4" t="s">
        <v>57</v>
      </c>
      <c r="U249" s="18">
        <v>1</v>
      </c>
      <c r="V249" s="120"/>
      <c r="W249" s="4" t="s">
        <v>92</v>
      </c>
      <c r="X249" s="18">
        <v>1</v>
      </c>
      <c r="Y249" s="120"/>
      <c r="Z249" s="4" t="s">
        <v>58</v>
      </c>
      <c r="AA249" s="18">
        <v>1</v>
      </c>
      <c r="AB249" s="120"/>
      <c r="AC249" s="4" t="s">
        <v>69</v>
      </c>
      <c r="AD249" s="18">
        <v>4</v>
      </c>
      <c r="AE249" s="120"/>
      <c r="AF249" s="4" t="s">
        <v>93</v>
      </c>
      <c r="AG249" s="18">
        <v>3</v>
      </c>
      <c r="AH249" s="120"/>
      <c r="AI249" s="13" t="s">
        <v>94</v>
      </c>
      <c r="AJ249" s="24">
        <v>1</v>
      </c>
      <c r="AK249" s="126"/>
      <c r="AL249" s="4" t="s">
        <v>77</v>
      </c>
      <c r="AM249" s="18">
        <v>2</v>
      </c>
      <c r="AN249" s="120"/>
      <c r="AO249" s="4" t="s">
        <v>72</v>
      </c>
      <c r="AP249" s="18">
        <v>3</v>
      </c>
      <c r="AQ249" s="120"/>
      <c r="AR249" s="4" t="s">
        <v>61</v>
      </c>
      <c r="AS249" s="18">
        <v>2</v>
      </c>
      <c r="AT249" s="120"/>
      <c r="AU249" s="4" t="s">
        <v>44</v>
      </c>
      <c r="AV249" s="18">
        <v>0</v>
      </c>
      <c r="AW249" s="120"/>
      <c r="AX249" s="4" t="s">
        <v>73</v>
      </c>
      <c r="AY249" s="18">
        <v>3</v>
      </c>
      <c r="AZ249" s="120"/>
      <c r="BA249" s="4" t="s">
        <v>46</v>
      </c>
      <c r="BB249" s="18">
        <v>1</v>
      </c>
      <c r="BC249" s="18">
        <v>0</v>
      </c>
      <c r="BD249" s="18">
        <v>1</v>
      </c>
      <c r="BE249" s="18">
        <v>0</v>
      </c>
      <c r="BF249" s="18">
        <v>0</v>
      </c>
      <c r="BG249" s="18">
        <v>0</v>
      </c>
      <c r="BH249" s="150" t="s">
        <v>198</v>
      </c>
      <c r="BI249" s="18">
        <v>0</v>
      </c>
      <c r="BJ249" s="130"/>
      <c r="BK249" s="4" t="s">
        <v>75</v>
      </c>
      <c r="BL249" s="18">
        <v>1</v>
      </c>
      <c r="BM249" s="120"/>
      <c r="BN249" s="4" t="s">
        <v>59</v>
      </c>
      <c r="BO249" s="18">
        <v>2</v>
      </c>
      <c r="BP249" s="120"/>
      <c r="BQ249" s="18" t="s">
        <v>117</v>
      </c>
      <c r="BR249" s="18">
        <v>0</v>
      </c>
      <c r="BS249" s="120"/>
      <c r="BT249" s="4" t="s">
        <v>46</v>
      </c>
      <c r="BU249" s="18">
        <v>1</v>
      </c>
      <c r="BV249" s="120"/>
      <c r="BW249" s="4" t="s">
        <v>66</v>
      </c>
      <c r="BX249" s="18">
        <v>2</v>
      </c>
      <c r="BY249" s="120"/>
      <c r="BZ249" s="4" t="s">
        <v>97</v>
      </c>
      <c r="CA249" s="18">
        <v>2</v>
      </c>
      <c r="CB249" s="120"/>
      <c r="CC249" s="4" t="s">
        <v>76</v>
      </c>
      <c r="CD249" s="18">
        <v>2</v>
      </c>
      <c r="CE249" s="120"/>
      <c r="CF249" s="18" t="s">
        <v>36</v>
      </c>
      <c r="CG249" s="18">
        <v>3</v>
      </c>
      <c r="CH249" s="120"/>
      <c r="CI249" s="4" t="s">
        <v>53</v>
      </c>
      <c r="CJ249" s="34">
        <v>0</v>
      </c>
      <c r="CK249" s="34">
        <v>1</v>
      </c>
      <c r="CL249" s="34">
        <v>1</v>
      </c>
      <c r="CM249" s="34">
        <v>0</v>
      </c>
      <c r="CN249" s="5" t="s">
        <v>98</v>
      </c>
    </row>
    <row r="250" spans="1:94" ht="28" x14ac:dyDescent="0.15">
      <c r="A250" s="51">
        <v>45865.756814502311</v>
      </c>
      <c r="B250" s="3" t="s">
        <v>29</v>
      </c>
      <c r="C250" s="17">
        <v>5</v>
      </c>
      <c r="D250" s="116"/>
      <c r="E250" s="6" t="s">
        <v>30</v>
      </c>
      <c r="F250" s="17">
        <v>2</v>
      </c>
      <c r="G250" s="116"/>
      <c r="H250" s="6" t="s">
        <v>91</v>
      </c>
      <c r="I250" s="17">
        <v>1</v>
      </c>
      <c r="J250" s="116"/>
      <c r="K250" s="43" t="s">
        <v>32</v>
      </c>
      <c r="L250" s="17">
        <v>2</v>
      </c>
      <c r="M250" s="119"/>
      <c r="N250" s="1" t="s">
        <v>33</v>
      </c>
      <c r="O250" s="17">
        <v>1</v>
      </c>
      <c r="P250" s="119"/>
      <c r="Q250" s="1" t="s">
        <v>34</v>
      </c>
      <c r="R250" s="17">
        <v>1</v>
      </c>
      <c r="S250" s="119"/>
      <c r="T250" s="1" t="s">
        <v>57</v>
      </c>
      <c r="U250" s="17">
        <v>1</v>
      </c>
      <c r="V250" s="119"/>
      <c r="W250" s="1" t="s">
        <v>92</v>
      </c>
      <c r="X250" s="17">
        <v>1</v>
      </c>
      <c r="Y250" s="119"/>
      <c r="Z250" s="1" t="s">
        <v>58</v>
      </c>
      <c r="AA250" s="17">
        <v>2</v>
      </c>
      <c r="AB250" s="119"/>
      <c r="AC250" s="1" t="s">
        <v>59</v>
      </c>
      <c r="AD250" s="17">
        <v>2</v>
      </c>
      <c r="AE250" s="119"/>
      <c r="AF250" s="1" t="s">
        <v>83</v>
      </c>
      <c r="AG250" s="17">
        <v>3</v>
      </c>
      <c r="AH250" s="119"/>
      <c r="AI250" s="11" t="s">
        <v>94</v>
      </c>
      <c r="AJ250" s="25">
        <v>2</v>
      </c>
      <c r="AK250" s="127"/>
      <c r="AL250" s="1" t="s">
        <v>71</v>
      </c>
      <c r="AM250" s="17">
        <v>2</v>
      </c>
      <c r="AN250" s="119"/>
      <c r="AO250" s="1" t="s">
        <v>72</v>
      </c>
      <c r="AP250" s="17">
        <v>3</v>
      </c>
      <c r="AQ250" s="119"/>
      <c r="AR250" s="1" t="s">
        <v>61</v>
      </c>
      <c r="AS250" s="17">
        <v>2</v>
      </c>
      <c r="AT250" s="119"/>
      <c r="AU250" s="1" t="s">
        <v>44</v>
      </c>
      <c r="AV250" s="17">
        <v>0</v>
      </c>
      <c r="AW250" s="119"/>
      <c r="AX250" s="1" t="s">
        <v>73</v>
      </c>
      <c r="AY250" s="17">
        <v>1</v>
      </c>
      <c r="AZ250" s="119"/>
      <c r="BA250" s="1" t="s">
        <v>69</v>
      </c>
      <c r="BB250" s="17">
        <v>1</v>
      </c>
      <c r="BC250" s="17">
        <v>0</v>
      </c>
      <c r="BD250" s="17">
        <v>0</v>
      </c>
      <c r="BE250" s="17">
        <v>1</v>
      </c>
      <c r="BF250" s="17">
        <v>0</v>
      </c>
      <c r="BG250" s="17">
        <v>0</v>
      </c>
      <c r="BH250" s="149" t="s">
        <v>74</v>
      </c>
      <c r="BI250" s="17">
        <v>0</v>
      </c>
      <c r="BJ250" s="131"/>
      <c r="BK250" s="1" t="s">
        <v>75</v>
      </c>
      <c r="BL250" s="17">
        <v>1</v>
      </c>
      <c r="BM250" s="119"/>
      <c r="BN250" s="1" t="s">
        <v>59</v>
      </c>
      <c r="BO250" s="17">
        <v>1</v>
      </c>
      <c r="BP250" s="119"/>
      <c r="BQ250" s="17" t="s">
        <v>50</v>
      </c>
      <c r="BR250" s="17">
        <v>0</v>
      </c>
      <c r="BS250" s="119"/>
      <c r="BT250" s="1" t="s">
        <v>46</v>
      </c>
      <c r="BU250" s="17">
        <v>2</v>
      </c>
      <c r="BV250" s="119"/>
      <c r="BW250" s="1" t="s">
        <v>51</v>
      </c>
      <c r="BX250" s="17">
        <v>2</v>
      </c>
      <c r="BY250" s="119"/>
      <c r="BZ250" s="1" t="s">
        <v>97</v>
      </c>
      <c r="CA250" s="17">
        <v>0</v>
      </c>
      <c r="CB250" s="119"/>
      <c r="CC250" s="1" t="s">
        <v>49</v>
      </c>
      <c r="CD250" s="17">
        <v>0</v>
      </c>
      <c r="CE250" s="119"/>
      <c r="CF250" s="17" t="s">
        <v>49</v>
      </c>
      <c r="CG250" s="17">
        <v>2</v>
      </c>
      <c r="CH250" s="119"/>
      <c r="CI250" s="1" t="s">
        <v>78</v>
      </c>
      <c r="CJ250" s="33">
        <v>1</v>
      </c>
      <c r="CK250" s="33">
        <v>1</v>
      </c>
      <c r="CL250" s="33">
        <v>0</v>
      </c>
      <c r="CM250" s="33">
        <v>0</v>
      </c>
      <c r="CN250" s="2" t="s">
        <v>82</v>
      </c>
    </row>
    <row r="251" spans="1:94" ht="28" x14ac:dyDescent="0.15">
      <c r="A251" s="51">
        <v>45865.788416655094</v>
      </c>
      <c r="B251" s="3" t="s">
        <v>29</v>
      </c>
      <c r="C251" s="18">
        <v>2</v>
      </c>
      <c r="D251" s="117"/>
      <c r="E251" s="6" t="s">
        <v>55</v>
      </c>
      <c r="F251" s="18">
        <v>2</v>
      </c>
      <c r="G251" s="117"/>
      <c r="H251" s="6" t="s">
        <v>91</v>
      </c>
      <c r="I251" s="18">
        <v>2</v>
      </c>
      <c r="J251" s="117"/>
      <c r="K251" s="43" t="s">
        <v>116</v>
      </c>
      <c r="L251" s="18">
        <v>2</v>
      </c>
      <c r="M251" s="120"/>
      <c r="N251" s="4" t="s">
        <v>33</v>
      </c>
      <c r="O251" s="18">
        <v>1</v>
      </c>
      <c r="P251" s="120"/>
      <c r="Q251" s="4" t="s">
        <v>34</v>
      </c>
      <c r="R251" s="18">
        <v>1</v>
      </c>
      <c r="S251" s="120"/>
      <c r="T251" s="4" t="s">
        <v>57</v>
      </c>
      <c r="U251" s="18">
        <v>1</v>
      </c>
      <c r="V251" s="120"/>
      <c r="W251" s="4" t="s">
        <v>92</v>
      </c>
      <c r="X251" s="18">
        <v>1</v>
      </c>
      <c r="Y251" s="120"/>
      <c r="Z251" s="4" t="s">
        <v>58</v>
      </c>
      <c r="AA251" s="18">
        <v>0</v>
      </c>
      <c r="AB251" s="120"/>
      <c r="AC251" s="4" t="s">
        <v>46</v>
      </c>
      <c r="AD251" s="18">
        <v>2</v>
      </c>
      <c r="AE251" s="120"/>
      <c r="AF251" s="4" t="s">
        <v>83</v>
      </c>
      <c r="AG251" s="18">
        <v>2</v>
      </c>
      <c r="AH251" s="120"/>
      <c r="AI251" s="13" t="s">
        <v>40</v>
      </c>
      <c r="AJ251" s="24">
        <v>2</v>
      </c>
      <c r="AK251" s="126"/>
      <c r="AL251" s="4" t="s">
        <v>71</v>
      </c>
      <c r="AM251" s="18">
        <v>2</v>
      </c>
      <c r="AN251" s="120"/>
      <c r="AO251" s="4" t="s">
        <v>72</v>
      </c>
      <c r="AP251" s="18">
        <v>3</v>
      </c>
      <c r="AQ251" s="120"/>
      <c r="AR251" s="4" t="s">
        <v>61</v>
      </c>
      <c r="AS251" s="18">
        <v>2</v>
      </c>
      <c r="AT251" s="120"/>
      <c r="AU251" s="4" t="s">
        <v>44</v>
      </c>
      <c r="AV251" s="18">
        <v>2</v>
      </c>
      <c r="AW251" s="120"/>
      <c r="AX251" s="4" t="s">
        <v>80</v>
      </c>
      <c r="AY251" s="18">
        <v>3</v>
      </c>
      <c r="AZ251" s="120"/>
      <c r="BA251" s="4" t="s">
        <v>46</v>
      </c>
      <c r="BB251" s="18">
        <v>1</v>
      </c>
      <c r="BC251" s="18">
        <v>0</v>
      </c>
      <c r="BD251" s="18">
        <v>1</v>
      </c>
      <c r="BE251" s="18">
        <v>0</v>
      </c>
      <c r="BF251" s="18">
        <v>0</v>
      </c>
      <c r="BG251" s="18">
        <v>0</v>
      </c>
      <c r="BH251" s="150" t="s">
        <v>47</v>
      </c>
      <c r="BI251" s="18">
        <v>2</v>
      </c>
      <c r="BJ251" s="130"/>
      <c r="BK251" s="4" t="s">
        <v>48</v>
      </c>
      <c r="BL251" s="18">
        <v>2</v>
      </c>
      <c r="BM251" s="120"/>
      <c r="BN251" s="4" t="s">
        <v>64</v>
      </c>
      <c r="BO251" s="18">
        <v>1</v>
      </c>
      <c r="BP251" s="120"/>
      <c r="BQ251" s="18" t="s">
        <v>50</v>
      </c>
      <c r="BR251" s="18">
        <v>2</v>
      </c>
      <c r="BS251" s="120"/>
      <c r="BT251" s="4" t="s">
        <v>65</v>
      </c>
      <c r="BU251" s="18">
        <v>1</v>
      </c>
      <c r="BV251" s="120"/>
      <c r="BW251" s="4" t="s">
        <v>66</v>
      </c>
      <c r="BX251" s="18">
        <v>3</v>
      </c>
      <c r="BY251" s="120"/>
      <c r="BZ251" s="4" t="s">
        <v>52</v>
      </c>
      <c r="CA251" s="18">
        <v>3</v>
      </c>
      <c r="CB251" s="120"/>
      <c r="CC251" s="4" t="s">
        <v>36</v>
      </c>
      <c r="CD251" s="18">
        <v>1</v>
      </c>
      <c r="CE251" s="120"/>
      <c r="CF251" s="18" t="s">
        <v>77</v>
      </c>
      <c r="CG251" s="18">
        <v>3</v>
      </c>
      <c r="CH251" s="120"/>
      <c r="CI251" s="4" t="s">
        <v>53</v>
      </c>
      <c r="CJ251" s="34">
        <v>0</v>
      </c>
      <c r="CK251" s="34">
        <v>1</v>
      </c>
      <c r="CL251" s="34">
        <v>1</v>
      </c>
      <c r="CM251" s="34">
        <v>0</v>
      </c>
      <c r="CN251" s="5" t="s">
        <v>98</v>
      </c>
    </row>
    <row r="252" spans="1:94" ht="28" x14ac:dyDescent="0.15">
      <c r="A252" s="51">
        <v>45865.792491134256</v>
      </c>
      <c r="B252" s="3" t="s">
        <v>29</v>
      </c>
      <c r="C252" s="17">
        <v>4</v>
      </c>
      <c r="D252" s="116"/>
      <c r="E252" s="6" t="s">
        <v>127</v>
      </c>
      <c r="F252" s="17">
        <v>1</v>
      </c>
      <c r="G252" s="116"/>
      <c r="H252" s="6" t="s">
        <v>31</v>
      </c>
      <c r="I252" s="17">
        <v>3</v>
      </c>
      <c r="J252" s="116"/>
      <c r="K252" s="43" t="s">
        <v>56</v>
      </c>
      <c r="L252" s="17">
        <v>2</v>
      </c>
      <c r="M252" s="119"/>
      <c r="N252" s="1" t="s">
        <v>33</v>
      </c>
      <c r="O252" s="17">
        <v>1</v>
      </c>
      <c r="P252" s="119"/>
      <c r="Q252" s="1" t="s">
        <v>34</v>
      </c>
      <c r="R252" s="17">
        <v>2</v>
      </c>
      <c r="S252" s="119"/>
      <c r="T252" s="1" t="s">
        <v>35</v>
      </c>
      <c r="U252" s="17">
        <v>2</v>
      </c>
      <c r="V252" s="119"/>
      <c r="W252" s="1" t="s">
        <v>36</v>
      </c>
      <c r="X252" s="17">
        <v>1</v>
      </c>
      <c r="Y252" s="119"/>
      <c r="Z252" s="1" t="s">
        <v>58</v>
      </c>
      <c r="AA252" s="17">
        <v>2</v>
      </c>
      <c r="AB252" s="119"/>
      <c r="AC252" s="1" t="s">
        <v>59</v>
      </c>
      <c r="AD252" s="17">
        <v>2</v>
      </c>
      <c r="AE252" s="119"/>
      <c r="AF252" s="1" t="s">
        <v>83</v>
      </c>
      <c r="AG252" s="17">
        <v>3</v>
      </c>
      <c r="AH252" s="119"/>
      <c r="AI252" s="11" t="s">
        <v>94</v>
      </c>
      <c r="AJ252" s="25">
        <v>2</v>
      </c>
      <c r="AK252" s="127"/>
      <c r="AL252" s="1" t="s">
        <v>71</v>
      </c>
      <c r="AM252" s="17">
        <v>2</v>
      </c>
      <c r="AN252" s="119"/>
      <c r="AO252" s="1" t="s">
        <v>72</v>
      </c>
      <c r="AP252" s="17">
        <v>4</v>
      </c>
      <c r="AQ252" s="119"/>
      <c r="AR252" s="1" t="s">
        <v>43</v>
      </c>
      <c r="AS252" s="17">
        <v>2</v>
      </c>
      <c r="AT252" s="119"/>
      <c r="AU252" s="1" t="s">
        <v>44</v>
      </c>
      <c r="AV252" s="17">
        <v>2</v>
      </c>
      <c r="AW252" s="119"/>
      <c r="AX252" s="1" t="s">
        <v>80</v>
      </c>
      <c r="AY252" s="17">
        <v>2</v>
      </c>
      <c r="AZ252" s="119"/>
      <c r="BA252" s="1" t="s">
        <v>59</v>
      </c>
      <c r="BB252" s="17">
        <v>0</v>
      </c>
      <c r="BC252" s="17">
        <v>1</v>
      </c>
      <c r="BD252" s="17">
        <v>1</v>
      </c>
      <c r="BE252" s="17">
        <v>0</v>
      </c>
      <c r="BF252" s="17">
        <v>0</v>
      </c>
      <c r="BG252" s="17">
        <v>0</v>
      </c>
      <c r="BH252" s="149" t="s">
        <v>105</v>
      </c>
      <c r="BI252" s="17">
        <v>1</v>
      </c>
      <c r="BJ252" s="131"/>
      <c r="BK252" s="1" t="s">
        <v>96</v>
      </c>
      <c r="BL252" s="17">
        <v>2</v>
      </c>
      <c r="BM252" s="119"/>
      <c r="BN252" s="1" t="s">
        <v>64</v>
      </c>
      <c r="BO252" s="17">
        <v>1</v>
      </c>
      <c r="BP252" s="119"/>
      <c r="BQ252" s="17" t="s">
        <v>50</v>
      </c>
      <c r="BR252" s="17">
        <v>2</v>
      </c>
      <c r="BS252" s="119"/>
      <c r="BT252" s="1" t="s">
        <v>65</v>
      </c>
      <c r="BU252" s="17">
        <v>1</v>
      </c>
      <c r="BV252" s="119"/>
      <c r="BW252" s="1" t="s">
        <v>66</v>
      </c>
      <c r="BX252" s="17">
        <v>3</v>
      </c>
      <c r="BY252" s="119"/>
      <c r="BZ252" s="1" t="s">
        <v>52</v>
      </c>
      <c r="CA252" s="17">
        <v>3</v>
      </c>
      <c r="CB252" s="119"/>
      <c r="CC252" s="1" t="s">
        <v>36</v>
      </c>
      <c r="CD252" s="17">
        <v>1</v>
      </c>
      <c r="CE252" s="119"/>
      <c r="CF252" s="17" t="s">
        <v>77</v>
      </c>
      <c r="CG252" s="17">
        <v>3</v>
      </c>
      <c r="CH252" s="119"/>
      <c r="CI252" s="1" t="s">
        <v>53</v>
      </c>
      <c r="CJ252" s="33">
        <v>0</v>
      </c>
      <c r="CK252" s="33">
        <v>1</v>
      </c>
      <c r="CL252" s="33">
        <v>1</v>
      </c>
      <c r="CM252" s="33">
        <v>0</v>
      </c>
      <c r="CN252" s="2" t="s">
        <v>98</v>
      </c>
    </row>
    <row r="253" spans="1:94" ht="28" x14ac:dyDescent="0.15">
      <c r="A253" s="51">
        <v>45865.810876400465</v>
      </c>
      <c r="B253" s="3" t="s">
        <v>29</v>
      </c>
      <c r="C253" s="18">
        <v>3</v>
      </c>
      <c r="D253" s="117"/>
      <c r="E253" s="6" t="s">
        <v>90</v>
      </c>
      <c r="F253" s="18">
        <v>2</v>
      </c>
      <c r="G253" s="117"/>
      <c r="H253" s="6" t="s">
        <v>91</v>
      </c>
      <c r="I253" s="18">
        <v>0</v>
      </c>
      <c r="J253" s="117"/>
      <c r="K253" s="43" t="s">
        <v>107</v>
      </c>
      <c r="L253" s="18">
        <v>2</v>
      </c>
      <c r="M253" s="120"/>
      <c r="N253" s="4" t="s">
        <v>33</v>
      </c>
      <c r="O253" s="18">
        <v>1</v>
      </c>
      <c r="P253" s="120"/>
      <c r="Q253" s="4" t="s">
        <v>34</v>
      </c>
      <c r="R253" s="18">
        <v>1</v>
      </c>
      <c r="S253" s="120"/>
      <c r="T253" s="4" t="s">
        <v>57</v>
      </c>
      <c r="U253" s="18">
        <v>1</v>
      </c>
      <c r="V253" s="120"/>
      <c r="W253" s="4" t="s">
        <v>92</v>
      </c>
      <c r="X253" s="18">
        <v>0</v>
      </c>
      <c r="Y253" s="120"/>
      <c r="Z253" s="4" t="s">
        <v>108</v>
      </c>
      <c r="AA253" s="18">
        <v>0</v>
      </c>
      <c r="AB253" s="120"/>
      <c r="AC253" s="4" t="s">
        <v>46</v>
      </c>
      <c r="AD253" s="18">
        <v>4</v>
      </c>
      <c r="AE253" s="120"/>
      <c r="AF253" s="4" t="s">
        <v>93</v>
      </c>
      <c r="AG253" s="18">
        <v>0</v>
      </c>
      <c r="AH253" s="120"/>
      <c r="AI253" s="13" t="s">
        <v>84</v>
      </c>
      <c r="AJ253" s="24">
        <v>0</v>
      </c>
      <c r="AK253" s="126"/>
      <c r="AL253" s="4" t="s">
        <v>85</v>
      </c>
      <c r="AM253" s="18">
        <v>0</v>
      </c>
      <c r="AN253" s="120"/>
      <c r="AO253" s="4" t="s">
        <v>110</v>
      </c>
      <c r="AP253" s="18">
        <v>3</v>
      </c>
      <c r="AQ253" s="120"/>
      <c r="AR253" s="4" t="s">
        <v>61</v>
      </c>
      <c r="AS253" s="18">
        <v>2</v>
      </c>
      <c r="AT253" s="120"/>
      <c r="AU253" s="4" t="s">
        <v>44</v>
      </c>
      <c r="AV253" s="18">
        <v>1</v>
      </c>
      <c r="AW253" s="120"/>
      <c r="AX253" s="4" t="s">
        <v>45</v>
      </c>
      <c r="AY253" s="18">
        <v>2</v>
      </c>
      <c r="AZ253" s="120"/>
      <c r="BA253" s="4" t="s">
        <v>59</v>
      </c>
      <c r="BB253" s="18">
        <v>0</v>
      </c>
      <c r="BC253" s="18">
        <v>0</v>
      </c>
      <c r="BD253" s="18">
        <v>1</v>
      </c>
      <c r="BE253" s="18">
        <v>1</v>
      </c>
      <c r="BF253" s="18">
        <v>0</v>
      </c>
      <c r="BG253" s="18">
        <v>0</v>
      </c>
      <c r="BH253" s="150" t="s">
        <v>95</v>
      </c>
      <c r="BI253" s="18">
        <v>0</v>
      </c>
      <c r="BJ253" s="130"/>
      <c r="BK253" s="4" t="s">
        <v>75</v>
      </c>
      <c r="BL253" s="18">
        <v>0</v>
      </c>
      <c r="BM253" s="120"/>
      <c r="BN253" s="4" t="s">
        <v>36</v>
      </c>
      <c r="BO253" s="18">
        <v>2</v>
      </c>
      <c r="BP253" s="120"/>
      <c r="BQ253" s="18" t="s">
        <v>117</v>
      </c>
      <c r="BR253" s="18">
        <v>0</v>
      </c>
      <c r="BS253" s="120"/>
      <c r="BT253" s="4" t="s">
        <v>46</v>
      </c>
      <c r="BU253" s="18">
        <v>2</v>
      </c>
      <c r="BV253" s="120"/>
      <c r="BW253" s="4" t="s">
        <v>51</v>
      </c>
      <c r="BX253" s="18">
        <v>0</v>
      </c>
      <c r="BY253" s="120"/>
      <c r="BZ253" s="4" t="s">
        <v>119</v>
      </c>
      <c r="CA253" s="18">
        <v>0</v>
      </c>
      <c r="CB253" s="120"/>
      <c r="CC253" s="4" t="s">
        <v>49</v>
      </c>
      <c r="CD253" s="18">
        <v>1</v>
      </c>
      <c r="CE253" s="120"/>
      <c r="CF253" s="18" t="s">
        <v>77</v>
      </c>
      <c r="CG253" s="18">
        <v>2</v>
      </c>
      <c r="CH253" s="120"/>
      <c r="CI253" s="4" t="s">
        <v>78</v>
      </c>
      <c r="CJ253" s="34">
        <v>0</v>
      </c>
      <c r="CK253" s="34">
        <v>0</v>
      </c>
      <c r="CL253" s="34">
        <v>1</v>
      </c>
      <c r="CM253" s="34">
        <v>0</v>
      </c>
      <c r="CN253" s="5" t="s">
        <v>120</v>
      </c>
    </row>
    <row r="254" spans="1:94" ht="28" x14ac:dyDescent="0.15">
      <c r="A254" s="51">
        <v>45865.984509513888</v>
      </c>
      <c r="B254" s="3" t="s">
        <v>29</v>
      </c>
      <c r="C254" s="21">
        <v>5</v>
      </c>
      <c r="D254" s="118"/>
      <c r="E254" s="6" t="s">
        <v>30</v>
      </c>
      <c r="F254" s="21">
        <v>1</v>
      </c>
      <c r="G254" s="118"/>
      <c r="H254" s="6" t="s">
        <v>31</v>
      </c>
      <c r="I254" s="21">
        <v>1</v>
      </c>
      <c r="J254" s="118"/>
      <c r="K254" s="43" t="s">
        <v>32</v>
      </c>
      <c r="L254" s="21">
        <v>0</v>
      </c>
      <c r="M254" s="118"/>
      <c r="N254" s="6" t="s">
        <v>145</v>
      </c>
      <c r="O254" s="21">
        <v>1</v>
      </c>
      <c r="P254" s="118"/>
      <c r="Q254" s="6" t="s">
        <v>34</v>
      </c>
      <c r="R254" s="21">
        <v>1</v>
      </c>
      <c r="S254" s="118"/>
      <c r="T254" s="6" t="s">
        <v>57</v>
      </c>
      <c r="U254" s="21">
        <v>2</v>
      </c>
      <c r="V254" s="118"/>
      <c r="W254" s="6" t="s">
        <v>36</v>
      </c>
      <c r="X254" s="21">
        <v>2</v>
      </c>
      <c r="Y254" s="118"/>
      <c r="Z254" s="6" t="s">
        <v>37</v>
      </c>
      <c r="AA254" s="21">
        <v>3</v>
      </c>
      <c r="AB254" s="118"/>
      <c r="AC254" s="6" t="s">
        <v>38</v>
      </c>
      <c r="AD254" s="21">
        <v>4</v>
      </c>
      <c r="AE254" s="118"/>
      <c r="AF254" s="6" t="s">
        <v>93</v>
      </c>
      <c r="AG254" s="21">
        <v>2</v>
      </c>
      <c r="AH254" s="118"/>
      <c r="AI254" s="15" t="s">
        <v>40</v>
      </c>
      <c r="AJ254" s="26">
        <v>3</v>
      </c>
      <c r="AK254" s="128"/>
      <c r="AL254" s="6" t="s">
        <v>41</v>
      </c>
      <c r="AM254" s="21">
        <v>3</v>
      </c>
      <c r="AN254" s="118"/>
      <c r="AO254" s="6" t="s">
        <v>42</v>
      </c>
      <c r="AP254" s="21">
        <v>4</v>
      </c>
      <c r="AQ254" s="118"/>
      <c r="AR254" s="6" t="s">
        <v>43</v>
      </c>
      <c r="AS254" s="21">
        <v>3</v>
      </c>
      <c r="AT254" s="118"/>
      <c r="AU254" s="6" t="s">
        <v>79</v>
      </c>
      <c r="AV254" s="21">
        <v>2</v>
      </c>
      <c r="AW254" s="118"/>
      <c r="AX254" s="6" t="s">
        <v>80</v>
      </c>
      <c r="AY254" s="21">
        <v>3</v>
      </c>
      <c r="AZ254" s="118"/>
      <c r="BA254" s="6" t="s">
        <v>46</v>
      </c>
      <c r="BB254" s="21">
        <v>1</v>
      </c>
      <c r="BC254" s="21">
        <v>0</v>
      </c>
      <c r="BD254" s="21">
        <v>1</v>
      </c>
      <c r="BE254" s="21">
        <v>0</v>
      </c>
      <c r="BF254" s="21">
        <v>0</v>
      </c>
      <c r="BG254" s="21">
        <v>0</v>
      </c>
      <c r="BH254" s="43" t="s">
        <v>47</v>
      </c>
      <c r="BI254" s="21">
        <v>2</v>
      </c>
      <c r="BJ254" s="133"/>
      <c r="BK254" s="6" t="s">
        <v>48</v>
      </c>
      <c r="BL254" s="21">
        <v>3</v>
      </c>
      <c r="BM254" s="118"/>
      <c r="BN254" s="6" t="s">
        <v>49</v>
      </c>
      <c r="BO254" s="21">
        <v>0</v>
      </c>
      <c r="BP254" s="118"/>
      <c r="BQ254" s="21" t="s">
        <v>87</v>
      </c>
      <c r="BR254" s="21">
        <v>3</v>
      </c>
      <c r="BS254" s="118"/>
      <c r="BT254" s="6" t="s">
        <v>38</v>
      </c>
      <c r="BU254" s="21">
        <v>2</v>
      </c>
      <c r="BV254" s="118"/>
      <c r="BW254" s="6" t="s">
        <v>51</v>
      </c>
      <c r="BX254" s="21">
        <v>3</v>
      </c>
      <c r="BY254" s="118"/>
      <c r="BZ254" s="6" t="s">
        <v>52</v>
      </c>
      <c r="CA254" s="21">
        <v>3</v>
      </c>
      <c r="CB254" s="118"/>
      <c r="CC254" s="6" t="s">
        <v>36</v>
      </c>
      <c r="CD254" s="21">
        <v>1</v>
      </c>
      <c r="CE254" s="118"/>
      <c r="CF254" s="21" t="s">
        <v>77</v>
      </c>
      <c r="CG254" s="21">
        <v>3</v>
      </c>
      <c r="CH254" s="118"/>
      <c r="CI254" s="6" t="s">
        <v>53</v>
      </c>
      <c r="CJ254" s="37">
        <v>0</v>
      </c>
      <c r="CK254" s="37">
        <v>1</v>
      </c>
      <c r="CL254" s="37">
        <v>1</v>
      </c>
      <c r="CM254" s="37">
        <v>0</v>
      </c>
      <c r="CN254" s="7" t="s">
        <v>98</v>
      </c>
    </row>
    <row r="255" spans="1:94" ht="15.75" customHeight="1" x14ac:dyDescent="0.15">
      <c r="A255" s="51" t="s">
        <v>283</v>
      </c>
      <c r="B255" s="3" t="s">
        <v>29</v>
      </c>
      <c r="C255" s="17">
        <v>4</v>
      </c>
      <c r="D255" s="116"/>
      <c r="E255" s="6" t="s">
        <v>127</v>
      </c>
      <c r="F255" s="17">
        <v>1</v>
      </c>
      <c r="G255" s="116"/>
      <c r="H255" s="6" t="s">
        <v>31</v>
      </c>
      <c r="I255" s="17">
        <v>2</v>
      </c>
      <c r="J255" s="116"/>
      <c r="K255" s="43" t="s">
        <v>116</v>
      </c>
      <c r="L255" s="17">
        <v>0</v>
      </c>
      <c r="M255" s="116"/>
      <c r="N255" s="6" t="s">
        <v>145</v>
      </c>
      <c r="O255" s="21">
        <v>1</v>
      </c>
      <c r="P255" s="118"/>
      <c r="Q255" s="6" t="s">
        <v>34</v>
      </c>
      <c r="R255" s="21">
        <v>1</v>
      </c>
      <c r="S255" s="118"/>
      <c r="T255" s="6" t="s">
        <v>57</v>
      </c>
      <c r="U255" s="17">
        <v>2</v>
      </c>
      <c r="V255" s="116"/>
      <c r="W255" s="6" t="s">
        <v>36</v>
      </c>
      <c r="X255" s="17">
        <v>2</v>
      </c>
      <c r="Y255" s="116"/>
      <c r="Z255" s="6" t="s">
        <v>37</v>
      </c>
      <c r="AA255" s="17">
        <v>3</v>
      </c>
      <c r="AB255" s="116"/>
      <c r="AC255" s="6" t="s">
        <v>38</v>
      </c>
      <c r="AD255" s="17">
        <v>4</v>
      </c>
      <c r="AE255" s="116"/>
      <c r="AF255" s="6" t="s">
        <v>93</v>
      </c>
      <c r="AG255" s="17">
        <v>3</v>
      </c>
      <c r="AH255" s="116"/>
      <c r="AI255" s="15" t="s">
        <v>94</v>
      </c>
      <c r="AJ255" s="25">
        <v>3</v>
      </c>
      <c r="AK255" s="129"/>
      <c r="AL255" s="6" t="s">
        <v>41</v>
      </c>
      <c r="AM255" s="17">
        <v>3</v>
      </c>
      <c r="AN255" s="116"/>
      <c r="AO255" s="6" t="s">
        <v>42</v>
      </c>
      <c r="AP255" s="17">
        <v>4</v>
      </c>
      <c r="AQ255" s="116"/>
      <c r="AR255" s="6" t="s">
        <v>43</v>
      </c>
      <c r="AS255" s="17">
        <v>3</v>
      </c>
      <c r="AT255" s="116"/>
      <c r="AU255" s="6" t="s">
        <v>79</v>
      </c>
      <c r="AV255" s="17">
        <v>2</v>
      </c>
      <c r="AW255" s="116"/>
      <c r="AX255" s="6" t="s">
        <v>80</v>
      </c>
      <c r="AY255" s="17">
        <v>3</v>
      </c>
      <c r="AZ255" s="116"/>
      <c r="BA255" s="6" t="s">
        <v>46</v>
      </c>
      <c r="BB255" s="17">
        <v>0</v>
      </c>
      <c r="BC255" s="17">
        <v>1</v>
      </c>
      <c r="BD255" s="17">
        <v>1</v>
      </c>
      <c r="BE255" s="17">
        <v>0</v>
      </c>
      <c r="BF255" s="17">
        <v>0</v>
      </c>
      <c r="BG255" s="17">
        <v>0</v>
      </c>
      <c r="BH255" s="43" t="s">
        <v>105</v>
      </c>
      <c r="BI255" s="17">
        <v>2</v>
      </c>
      <c r="BJ255" s="134"/>
      <c r="BK255" s="6" t="s">
        <v>48</v>
      </c>
      <c r="BL255" s="17">
        <v>3</v>
      </c>
      <c r="BM255" s="116"/>
      <c r="BN255" s="6" t="s">
        <v>49</v>
      </c>
      <c r="BO255" s="17">
        <v>1</v>
      </c>
      <c r="BP255" s="119"/>
      <c r="BQ255" s="17" t="s">
        <v>50</v>
      </c>
      <c r="BR255" s="17">
        <v>3</v>
      </c>
      <c r="BS255" s="117"/>
      <c r="BT255" s="4" t="s">
        <v>38</v>
      </c>
      <c r="BU255" s="17">
        <v>2</v>
      </c>
      <c r="BV255" s="116"/>
      <c r="BW255" s="6" t="s">
        <v>51</v>
      </c>
      <c r="BX255" s="17">
        <v>3</v>
      </c>
      <c r="BY255" s="117"/>
      <c r="BZ255" s="4" t="s">
        <v>52</v>
      </c>
      <c r="CA255" s="17">
        <v>3</v>
      </c>
      <c r="CB255" s="116"/>
      <c r="CC255" s="6" t="s">
        <v>36</v>
      </c>
      <c r="CD255" s="17">
        <v>1</v>
      </c>
      <c r="CE255" s="119"/>
      <c r="CF255" s="17" t="s">
        <v>77</v>
      </c>
      <c r="CG255" s="17">
        <v>3</v>
      </c>
      <c r="CH255" s="116"/>
      <c r="CI255" s="6" t="s">
        <v>53</v>
      </c>
      <c r="CJ255" s="33">
        <v>1</v>
      </c>
      <c r="CK255" s="38">
        <v>1</v>
      </c>
      <c r="CL255" s="38">
        <v>0</v>
      </c>
      <c r="CM255" s="38">
        <v>0</v>
      </c>
      <c r="CN255" s="7" t="s">
        <v>82</v>
      </c>
      <c r="CO255" s="7"/>
      <c r="CP255" s="7"/>
    </row>
    <row r="256" spans="1:94" ht="15.75" customHeight="1" x14ac:dyDescent="0.15">
      <c r="A256" s="51" t="s">
        <v>284</v>
      </c>
      <c r="B256" s="3" t="s">
        <v>29</v>
      </c>
      <c r="C256" s="17">
        <v>4</v>
      </c>
      <c r="D256" s="116"/>
      <c r="E256" s="6" t="s">
        <v>127</v>
      </c>
      <c r="F256" s="21">
        <v>1</v>
      </c>
      <c r="G256" s="118"/>
      <c r="H256" s="6" t="s">
        <v>31</v>
      </c>
      <c r="I256" s="17">
        <v>1</v>
      </c>
      <c r="J256" s="116"/>
      <c r="K256" s="43" t="s">
        <v>32</v>
      </c>
      <c r="L256" s="44">
        <v>0</v>
      </c>
      <c r="M256" s="121"/>
      <c r="N256" s="6" t="s">
        <v>145</v>
      </c>
      <c r="O256" s="21">
        <v>1</v>
      </c>
      <c r="P256" s="118"/>
      <c r="Q256" s="6" t="s">
        <v>34</v>
      </c>
      <c r="R256" s="17">
        <v>2</v>
      </c>
      <c r="S256" s="116"/>
      <c r="T256" s="6" t="s">
        <v>35</v>
      </c>
      <c r="U256" s="17">
        <v>2</v>
      </c>
      <c r="V256" s="116"/>
      <c r="W256" s="6" t="s">
        <v>36</v>
      </c>
      <c r="X256" s="17">
        <v>2</v>
      </c>
      <c r="Y256" s="116"/>
      <c r="Z256" s="6" t="s">
        <v>37</v>
      </c>
      <c r="AA256" s="17">
        <v>3</v>
      </c>
      <c r="AB256" s="116"/>
      <c r="AC256" s="6" t="s">
        <v>38</v>
      </c>
      <c r="AD256" s="17">
        <v>2</v>
      </c>
      <c r="AE256" s="116"/>
      <c r="AF256" s="6" t="s">
        <v>83</v>
      </c>
      <c r="AG256" s="17">
        <v>3</v>
      </c>
      <c r="AH256" s="116"/>
      <c r="AI256" s="15" t="s">
        <v>94</v>
      </c>
      <c r="AJ256" s="25">
        <v>3</v>
      </c>
      <c r="AK256" s="129"/>
      <c r="AL256" s="6" t="s">
        <v>41</v>
      </c>
      <c r="AM256" s="17">
        <v>3</v>
      </c>
      <c r="AN256" s="116"/>
      <c r="AO256" s="6" t="s">
        <v>42</v>
      </c>
      <c r="AP256" s="17">
        <v>4</v>
      </c>
      <c r="AQ256" s="116"/>
      <c r="AR256" s="6" t="s">
        <v>43</v>
      </c>
      <c r="AS256" s="17">
        <v>3</v>
      </c>
      <c r="AT256" s="116"/>
      <c r="AU256" s="6" t="s">
        <v>79</v>
      </c>
      <c r="AV256" s="17">
        <v>2</v>
      </c>
      <c r="AW256" s="116"/>
      <c r="AX256" s="6" t="s">
        <v>80</v>
      </c>
      <c r="AY256" s="17">
        <v>3</v>
      </c>
      <c r="AZ256" s="116"/>
      <c r="BA256" s="6" t="s">
        <v>46</v>
      </c>
      <c r="BB256" s="17">
        <v>0</v>
      </c>
      <c r="BC256" s="17">
        <v>1</v>
      </c>
      <c r="BD256" s="17">
        <v>1</v>
      </c>
      <c r="BE256" s="17">
        <v>0</v>
      </c>
      <c r="BF256" s="17">
        <v>0</v>
      </c>
      <c r="BG256" s="17">
        <v>0</v>
      </c>
      <c r="BH256" s="43" t="s">
        <v>105</v>
      </c>
      <c r="BI256" s="17">
        <v>2</v>
      </c>
      <c r="BJ256" s="134"/>
      <c r="BK256" s="6" t="s">
        <v>48</v>
      </c>
      <c r="BL256" s="17">
        <v>1</v>
      </c>
      <c r="BM256" s="116"/>
      <c r="BN256" s="6" t="s">
        <v>59</v>
      </c>
      <c r="BO256" s="17">
        <v>2</v>
      </c>
      <c r="BP256" s="119"/>
      <c r="BQ256" s="17" t="s">
        <v>117</v>
      </c>
      <c r="BR256" s="17">
        <v>3</v>
      </c>
      <c r="BS256" s="119"/>
      <c r="BT256" s="1" t="s">
        <v>38</v>
      </c>
      <c r="BU256" s="17">
        <v>1</v>
      </c>
      <c r="BV256" s="116"/>
      <c r="BW256" s="6" t="s">
        <v>66</v>
      </c>
      <c r="BX256" s="17">
        <v>3</v>
      </c>
      <c r="BY256" s="119"/>
      <c r="BZ256" s="1" t="s">
        <v>52</v>
      </c>
      <c r="CA256" s="17">
        <v>3</v>
      </c>
      <c r="CB256" s="116"/>
      <c r="CC256" s="6" t="s">
        <v>36</v>
      </c>
      <c r="CD256" s="17">
        <v>1</v>
      </c>
      <c r="CE256" s="119"/>
      <c r="CF256" s="17" t="s">
        <v>77</v>
      </c>
      <c r="CG256" s="17">
        <v>3</v>
      </c>
      <c r="CH256" s="116"/>
      <c r="CI256" s="6" t="s">
        <v>53</v>
      </c>
      <c r="CJ256" s="33">
        <v>1</v>
      </c>
      <c r="CK256" s="38">
        <v>1</v>
      </c>
      <c r="CL256" s="38">
        <v>0</v>
      </c>
      <c r="CM256" s="38">
        <v>0</v>
      </c>
      <c r="CN256" s="7" t="s">
        <v>82</v>
      </c>
      <c r="CO256" s="7"/>
      <c r="CP256" s="7"/>
    </row>
    <row r="257" spans="1:94" ht="15.75" customHeight="1" x14ac:dyDescent="0.15">
      <c r="A257" s="51" t="s">
        <v>285</v>
      </c>
      <c r="B257" s="3" t="s">
        <v>29</v>
      </c>
      <c r="C257" s="17">
        <v>4</v>
      </c>
      <c r="D257" s="116"/>
      <c r="E257" s="6" t="s">
        <v>127</v>
      </c>
      <c r="F257" s="18">
        <v>1</v>
      </c>
      <c r="G257" s="117"/>
      <c r="H257" s="6" t="s">
        <v>31</v>
      </c>
      <c r="I257" s="17">
        <v>3</v>
      </c>
      <c r="J257" s="116"/>
      <c r="K257" s="43" t="s">
        <v>56</v>
      </c>
      <c r="L257" s="17">
        <v>0</v>
      </c>
      <c r="M257" s="116"/>
      <c r="N257" s="6" t="s">
        <v>145</v>
      </c>
      <c r="O257" s="21">
        <v>1</v>
      </c>
      <c r="P257" s="118"/>
      <c r="Q257" s="6" t="s">
        <v>34</v>
      </c>
      <c r="R257" s="17">
        <v>2</v>
      </c>
      <c r="S257" s="116"/>
      <c r="T257" s="6" t="s">
        <v>35</v>
      </c>
      <c r="U257" s="17">
        <v>2</v>
      </c>
      <c r="V257" s="116"/>
      <c r="W257" s="6" t="s">
        <v>36</v>
      </c>
      <c r="X257" s="17">
        <v>2</v>
      </c>
      <c r="Y257" s="116"/>
      <c r="Z257" s="6" t="s">
        <v>37</v>
      </c>
      <c r="AA257" s="17">
        <v>3</v>
      </c>
      <c r="AB257" s="116"/>
      <c r="AC257" s="6" t="s">
        <v>38</v>
      </c>
      <c r="AD257" s="112">
        <v>4</v>
      </c>
      <c r="AE257" s="116"/>
      <c r="AF257" s="6" t="s">
        <v>93</v>
      </c>
      <c r="AG257" s="17">
        <v>3</v>
      </c>
      <c r="AH257" s="116"/>
      <c r="AI257" s="15" t="s">
        <v>94</v>
      </c>
      <c r="AJ257" s="25">
        <v>3</v>
      </c>
      <c r="AK257" s="129"/>
      <c r="AL257" s="6" t="s">
        <v>41</v>
      </c>
      <c r="AM257" s="17">
        <v>3</v>
      </c>
      <c r="AN257" s="116"/>
      <c r="AO257" s="6" t="s">
        <v>42</v>
      </c>
      <c r="AP257" s="17">
        <v>4</v>
      </c>
      <c r="AQ257" s="116"/>
      <c r="AR257" s="6" t="s">
        <v>43</v>
      </c>
      <c r="AS257" s="17">
        <v>3</v>
      </c>
      <c r="AT257" s="116"/>
      <c r="AU257" s="6" t="s">
        <v>79</v>
      </c>
      <c r="AV257" s="17">
        <v>2</v>
      </c>
      <c r="AW257" s="116"/>
      <c r="AX257" s="6" t="s">
        <v>80</v>
      </c>
      <c r="AY257" s="17">
        <v>1</v>
      </c>
      <c r="AZ257" s="116"/>
      <c r="BA257" s="6" t="s">
        <v>69</v>
      </c>
      <c r="BB257" s="17">
        <v>1</v>
      </c>
      <c r="BC257" s="17">
        <v>0</v>
      </c>
      <c r="BD257" s="17">
        <v>1</v>
      </c>
      <c r="BE257" s="17">
        <v>0</v>
      </c>
      <c r="BF257" s="17">
        <v>0</v>
      </c>
      <c r="BG257" s="17">
        <v>0</v>
      </c>
      <c r="BH257" s="43" t="s">
        <v>47</v>
      </c>
      <c r="BI257" s="17">
        <v>2</v>
      </c>
      <c r="BJ257" s="134"/>
      <c r="BK257" s="6" t="s">
        <v>48</v>
      </c>
      <c r="BL257" s="17">
        <v>1</v>
      </c>
      <c r="BM257" s="116"/>
      <c r="BN257" s="6" t="s">
        <v>59</v>
      </c>
      <c r="BO257" s="17">
        <v>1</v>
      </c>
      <c r="BP257" s="119"/>
      <c r="BQ257" s="17" t="s">
        <v>50</v>
      </c>
      <c r="BR257" s="17">
        <v>3</v>
      </c>
      <c r="BS257" s="117"/>
      <c r="BT257" s="4" t="s">
        <v>38</v>
      </c>
      <c r="BU257" s="17">
        <v>2</v>
      </c>
      <c r="BV257" s="116"/>
      <c r="BW257" s="6" t="s">
        <v>51</v>
      </c>
      <c r="BX257" s="17">
        <v>0</v>
      </c>
      <c r="BY257" s="117"/>
      <c r="BZ257" s="4" t="s">
        <v>286</v>
      </c>
      <c r="CA257" s="17">
        <v>3</v>
      </c>
      <c r="CB257" s="116"/>
      <c r="CC257" s="6" t="s">
        <v>36</v>
      </c>
      <c r="CD257" s="17">
        <v>1</v>
      </c>
      <c r="CE257" s="119"/>
      <c r="CF257" s="17" t="s">
        <v>77</v>
      </c>
      <c r="CG257" s="17">
        <v>3</v>
      </c>
      <c r="CH257" s="116"/>
      <c r="CI257" s="6" t="s">
        <v>53</v>
      </c>
      <c r="CJ257" s="33">
        <v>1</v>
      </c>
      <c r="CK257" s="38">
        <v>1</v>
      </c>
      <c r="CL257" s="38">
        <v>0</v>
      </c>
      <c r="CM257" s="38">
        <v>0</v>
      </c>
      <c r="CN257" s="7" t="s">
        <v>82</v>
      </c>
      <c r="CO257" s="7"/>
      <c r="CP257" s="7"/>
    </row>
    <row r="258" spans="1:94" ht="15.75" customHeight="1" x14ac:dyDescent="0.15">
      <c r="A258" s="51" t="s">
        <v>287</v>
      </c>
      <c r="B258" s="3" t="s">
        <v>29</v>
      </c>
      <c r="C258" s="17">
        <v>3</v>
      </c>
      <c r="D258" s="116"/>
      <c r="E258" s="6" t="s">
        <v>90</v>
      </c>
      <c r="F258" s="21">
        <v>1</v>
      </c>
      <c r="G258" s="118"/>
      <c r="H258" s="6" t="s">
        <v>31</v>
      </c>
      <c r="I258" s="17">
        <v>1</v>
      </c>
      <c r="J258" s="116"/>
      <c r="K258" s="43" t="s">
        <v>32</v>
      </c>
      <c r="L258" s="17">
        <v>0</v>
      </c>
      <c r="M258" s="116"/>
      <c r="N258" s="6" t="s">
        <v>145</v>
      </c>
      <c r="O258" s="21">
        <v>1</v>
      </c>
      <c r="P258" s="118"/>
      <c r="Q258" s="6" t="s">
        <v>34</v>
      </c>
      <c r="R258" s="21">
        <v>1</v>
      </c>
      <c r="S258" s="118"/>
      <c r="T258" s="6" t="s">
        <v>57</v>
      </c>
      <c r="U258" s="17">
        <v>2</v>
      </c>
      <c r="V258" s="116"/>
      <c r="W258" s="6" t="s">
        <v>36</v>
      </c>
      <c r="X258" s="17">
        <v>2</v>
      </c>
      <c r="Y258" s="116"/>
      <c r="Z258" s="6" t="s">
        <v>37</v>
      </c>
      <c r="AA258" s="17">
        <v>3</v>
      </c>
      <c r="AB258" s="116"/>
      <c r="AC258" s="6" t="s">
        <v>38</v>
      </c>
      <c r="AD258" s="17">
        <v>2</v>
      </c>
      <c r="AE258" s="116"/>
      <c r="AF258" s="6" t="s">
        <v>83</v>
      </c>
      <c r="AG258" s="17">
        <v>2</v>
      </c>
      <c r="AH258" s="116"/>
      <c r="AI258" s="15" t="s">
        <v>40</v>
      </c>
      <c r="AJ258" s="25">
        <v>3</v>
      </c>
      <c r="AK258" s="129"/>
      <c r="AL258" s="6" t="s">
        <v>41</v>
      </c>
      <c r="AM258" s="17">
        <v>3</v>
      </c>
      <c r="AN258" s="116"/>
      <c r="AO258" s="6" t="s">
        <v>42</v>
      </c>
      <c r="AP258" s="17">
        <v>3</v>
      </c>
      <c r="AQ258" s="116"/>
      <c r="AR258" s="6" t="s">
        <v>99</v>
      </c>
      <c r="AS258" s="17">
        <v>3</v>
      </c>
      <c r="AT258" s="116"/>
      <c r="AU258" s="6" t="s">
        <v>79</v>
      </c>
      <c r="AV258" s="17">
        <v>2</v>
      </c>
      <c r="AW258" s="116"/>
      <c r="AX258" s="6" t="s">
        <v>80</v>
      </c>
      <c r="AY258" s="17">
        <v>3</v>
      </c>
      <c r="AZ258" s="116"/>
      <c r="BA258" s="6" t="s">
        <v>46</v>
      </c>
      <c r="BB258" s="17">
        <v>0</v>
      </c>
      <c r="BC258" s="17">
        <v>1</v>
      </c>
      <c r="BD258" s="17">
        <v>1</v>
      </c>
      <c r="BE258" s="17">
        <v>0</v>
      </c>
      <c r="BF258" s="17">
        <v>0</v>
      </c>
      <c r="BG258" s="17">
        <v>0</v>
      </c>
      <c r="BH258" s="43" t="s">
        <v>105</v>
      </c>
      <c r="BI258" s="17">
        <v>2</v>
      </c>
      <c r="BJ258" s="134"/>
      <c r="BK258" s="6" t="s">
        <v>48</v>
      </c>
      <c r="BL258" s="17">
        <v>3</v>
      </c>
      <c r="BM258" s="116"/>
      <c r="BN258" s="6" t="s">
        <v>49</v>
      </c>
      <c r="BO258" s="17">
        <v>2</v>
      </c>
      <c r="BP258" s="119"/>
      <c r="BQ258" s="17" t="s">
        <v>117</v>
      </c>
      <c r="BR258" s="17">
        <v>3</v>
      </c>
      <c r="BS258" s="116"/>
      <c r="BT258" s="6" t="s">
        <v>38</v>
      </c>
      <c r="BU258" s="17">
        <v>2</v>
      </c>
      <c r="BV258" s="116"/>
      <c r="BW258" s="6" t="s">
        <v>51</v>
      </c>
      <c r="BX258" s="17">
        <v>3</v>
      </c>
      <c r="BY258" s="116"/>
      <c r="BZ258" s="6" t="s">
        <v>52</v>
      </c>
      <c r="CA258" s="17">
        <v>3</v>
      </c>
      <c r="CB258" s="116"/>
      <c r="CC258" s="6" t="s">
        <v>36</v>
      </c>
      <c r="CD258" s="17">
        <v>1</v>
      </c>
      <c r="CE258" s="119"/>
      <c r="CF258" s="17" t="s">
        <v>77</v>
      </c>
      <c r="CG258" s="17">
        <v>3</v>
      </c>
      <c r="CH258" s="116"/>
      <c r="CI258" s="6" t="s">
        <v>53</v>
      </c>
      <c r="CJ258" s="33">
        <v>1</v>
      </c>
      <c r="CK258" s="38">
        <v>1</v>
      </c>
      <c r="CL258" s="38">
        <v>0</v>
      </c>
      <c r="CM258" s="38">
        <v>0</v>
      </c>
      <c r="CN258" s="7" t="s">
        <v>82</v>
      </c>
      <c r="CO258" s="7"/>
      <c r="CP258" s="7"/>
    </row>
    <row r="259" spans="1:94" ht="15.75" customHeight="1" x14ac:dyDescent="0.15">
      <c r="A259" s="51" t="s">
        <v>288</v>
      </c>
      <c r="B259" s="3" t="s">
        <v>29</v>
      </c>
      <c r="C259" s="17">
        <v>4</v>
      </c>
      <c r="D259" s="116"/>
      <c r="E259" s="6" t="s">
        <v>127</v>
      </c>
      <c r="F259" s="21">
        <v>1</v>
      </c>
      <c r="G259" s="118"/>
      <c r="H259" s="6" t="s">
        <v>31</v>
      </c>
      <c r="I259" s="17">
        <v>3</v>
      </c>
      <c r="J259" s="116"/>
      <c r="K259" s="43" t="s">
        <v>56</v>
      </c>
      <c r="L259" s="17">
        <v>0</v>
      </c>
      <c r="M259" s="116"/>
      <c r="N259" s="6" t="s">
        <v>145</v>
      </c>
      <c r="O259" s="21">
        <v>1</v>
      </c>
      <c r="P259" s="118"/>
      <c r="Q259" s="6" t="s">
        <v>34</v>
      </c>
      <c r="R259" s="17">
        <v>2</v>
      </c>
      <c r="S259" s="116"/>
      <c r="T259" s="6" t="s">
        <v>35</v>
      </c>
      <c r="U259" s="17">
        <v>2</v>
      </c>
      <c r="V259" s="116"/>
      <c r="W259" s="6" t="s">
        <v>36</v>
      </c>
      <c r="X259" s="17">
        <v>2</v>
      </c>
      <c r="Y259" s="116"/>
      <c r="Z259" s="6" t="s">
        <v>37</v>
      </c>
      <c r="AA259" s="17">
        <v>3</v>
      </c>
      <c r="AB259" s="116"/>
      <c r="AC259" s="6" t="s">
        <v>38</v>
      </c>
      <c r="AD259" s="17">
        <v>1</v>
      </c>
      <c r="AE259" s="116"/>
      <c r="AF259" s="6" t="s">
        <v>39</v>
      </c>
      <c r="AG259" s="17">
        <v>2</v>
      </c>
      <c r="AH259" s="116"/>
      <c r="AI259" s="15" t="s">
        <v>40</v>
      </c>
      <c r="AJ259" s="25">
        <v>3</v>
      </c>
      <c r="AK259" s="129"/>
      <c r="AL259" s="6" t="s">
        <v>41</v>
      </c>
      <c r="AM259" s="17">
        <v>3</v>
      </c>
      <c r="AN259" s="116"/>
      <c r="AO259" s="6" t="s">
        <v>42</v>
      </c>
      <c r="AP259" s="17">
        <v>4</v>
      </c>
      <c r="AQ259" s="116"/>
      <c r="AR259" s="6" t="s">
        <v>43</v>
      </c>
      <c r="AS259" s="17">
        <v>3</v>
      </c>
      <c r="AT259" s="116"/>
      <c r="AU259" s="6" t="s">
        <v>79</v>
      </c>
      <c r="AV259" s="17">
        <v>2</v>
      </c>
      <c r="AW259" s="116"/>
      <c r="AX259" s="6" t="s">
        <v>80</v>
      </c>
      <c r="AY259" s="17">
        <v>2</v>
      </c>
      <c r="AZ259" s="116"/>
      <c r="BA259" s="6" t="s">
        <v>59</v>
      </c>
      <c r="BB259" s="17">
        <v>1</v>
      </c>
      <c r="BC259" s="17">
        <v>0</v>
      </c>
      <c r="BD259" s="17">
        <v>1</v>
      </c>
      <c r="BE259" s="17">
        <v>0</v>
      </c>
      <c r="BF259" s="17">
        <v>0</v>
      </c>
      <c r="BG259" s="17">
        <v>0</v>
      </c>
      <c r="BH259" s="43" t="s">
        <v>47</v>
      </c>
      <c r="BI259" s="17">
        <v>2</v>
      </c>
      <c r="BJ259" s="134"/>
      <c r="BK259" s="6" t="s">
        <v>48</v>
      </c>
      <c r="BL259" s="17">
        <v>3</v>
      </c>
      <c r="BM259" s="116"/>
      <c r="BN259" s="6" t="s">
        <v>49</v>
      </c>
      <c r="BO259" s="17">
        <v>2</v>
      </c>
      <c r="BP259" s="119"/>
      <c r="BQ259" s="17" t="s">
        <v>117</v>
      </c>
      <c r="BR259" s="17">
        <v>3</v>
      </c>
      <c r="BS259" s="117"/>
      <c r="BT259" s="4" t="s">
        <v>38</v>
      </c>
      <c r="BU259" s="17">
        <v>2</v>
      </c>
      <c r="BV259" s="116"/>
      <c r="BW259" s="6" t="s">
        <v>51</v>
      </c>
      <c r="BX259" s="17">
        <v>2</v>
      </c>
      <c r="BY259" s="117"/>
      <c r="BZ259" s="4" t="s">
        <v>97</v>
      </c>
      <c r="CA259" s="17">
        <v>3</v>
      </c>
      <c r="CB259" s="116"/>
      <c r="CC259" s="6" t="s">
        <v>36</v>
      </c>
      <c r="CD259" s="17">
        <v>1</v>
      </c>
      <c r="CE259" s="119"/>
      <c r="CF259" s="17" t="s">
        <v>77</v>
      </c>
      <c r="CG259" s="17">
        <v>3</v>
      </c>
      <c r="CH259" s="116"/>
      <c r="CI259" s="6" t="s">
        <v>53</v>
      </c>
      <c r="CJ259" s="33">
        <v>1</v>
      </c>
      <c r="CK259" s="38">
        <v>1</v>
      </c>
      <c r="CL259" s="38">
        <v>0</v>
      </c>
      <c r="CM259" s="38">
        <v>0</v>
      </c>
      <c r="CN259" s="7" t="s">
        <v>82</v>
      </c>
      <c r="CO259" s="7"/>
      <c r="CP259" s="7"/>
    </row>
    <row r="260" spans="1:94" ht="15.75" customHeight="1" x14ac:dyDescent="0.15">
      <c r="A260" s="51" t="s">
        <v>289</v>
      </c>
      <c r="B260" s="3" t="s">
        <v>29</v>
      </c>
      <c r="C260" s="17">
        <v>3</v>
      </c>
      <c r="D260" s="116"/>
      <c r="E260" s="6" t="s">
        <v>90</v>
      </c>
      <c r="F260" s="18">
        <v>2</v>
      </c>
      <c r="G260" s="117"/>
      <c r="H260" s="6" t="s">
        <v>91</v>
      </c>
      <c r="I260" s="17">
        <v>3</v>
      </c>
      <c r="J260" s="116"/>
      <c r="K260" s="43" t="s">
        <v>56</v>
      </c>
      <c r="L260" s="17">
        <v>0</v>
      </c>
      <c r="M260" s="116"/>
      <c r="N260" s="6" t="s">
        <v>145</v>
      </c>
      <c r="O260" s="21">
        <v>1</v>
      </c>
      <c r="P260" s="118"/>
      <c r="Q260" s="6" t="s">
        <v>34</v>
      </c>
      <c r="R260" s="17">
        <v>2</v>
      </c>
      <c r="S260" s="116"/>
      <c r="T260" s="6" t="s">
        <v>35</v>
      </c>
      <c r="U260" s="17">
        <v>1</v>
      </c>
      <c r="V260" s="116"/>
      <c r="W260" s="6" t="s">
        <v>92</v>
      </c>
      <c r="X260" s="17">
        <v>1</v>
      </c>
      <c r="Y260" s="116"/>
      <c r="Z260" s="6" t="s">
        <v>58</v>
      </c>
      <c r="AA260" s="17">
        <v>0</v>
      </c>
      <c r="AB260" s="116"/>
      <c r="AC260" s="6" t="s">
        <v>46</v>
      </c>
      <c r="AD260" s="17">
        <v>4</v>
      </c>
      <c r="AE260" s="116"/>
      <c r="AF260" s="6" t="s">
        <v>93</v>
      </c>
      <c r="AG260" s="17">
        <v>3</v>
      </c>
      <c r="AH260" s="116"/>
      <c r="AI260" s="15" t="s">
        <v>94</v>
      </c>
      <c r="AJ260" s="25">
        <v>2</v>
      </c>
      <c r="AK260" s="129"/>
      <c r="AL260" s="6" t="s">
        <v>71</v>
      </c>
      <c r="AM260" s="17">
        <v>2</v>
      </c>
      <c r="AN260" s="116"/>
      <c r="AO260" s="6" t="s">
        <v>72</v>
      </c>
      <c r="AP260" s="17">
        <v>3</v>
      </c>
      <c r="AQ260" s="116"/>
      <c r="AR260" s="6" t="s">
        <v>99</v>
      </c>
      <c r="AS260" s="17">
        <v>2</v>
      </c>
      <c r="AT260" s="116"/>
      <c r="AU260" s="6" t="s">
        <v>44</v>
      </c>
      <c r="AV260" s="17">
        <v>2</v>
      </c>
      <c r="AW260" s="116"/>
      <c r="AX260" s="6" t="s">
        <v>80</v>
      </c>
      <c r="AY260" s="17">
        <v>2</v>
      </c>
      <c r="AZ260" s="116"/>
      <c r="BA260" s="6" t="s">
        <v>59</v>
      </c>
      <c r="BB260" s="17">
        <v>1</v>
      </c>
      <c r="BC260" s="17">
        <v>0</v>
      </c>
      <c r="BD260" s="17">
        <v>1</v>
      </c>
      <c r="BE260" s="17">
        <v>0</v>
      </c>
      <c r="BF260" s="17">
        <v>0</v>
      </c>
      <c r="BG260" s="17">
        <v>0</v>
      </c>
      <c r="BH260" s="43" t="s">
        <v>47</v>
      </c>
      <c r="BI260" s="17">
        <v>1</v>
      </c>
      <c r="BJ260" s="134"/>
      <c r="BK260" s="6" t="s">
        <v>96</v>
      </c>
      <c r="BL260" s="17">
        <v>2</v>
      </c>
      <c r="BM260" s="116"/>
      <c r="BN260" s="6" t="s">
        <v>64</v>
      </c>
      <c r="BO260" s="17">
        <v>1</v>
      </c>
      <c r="BP260" s="119"/>
      <c r="BQ260" s="17" t="s">
        <v>50</v>
      </c>
      <c r="BR260" s="17">
        <v>1</v>
      </c>
      <c r="BS260" s="119"/>
      <c r="BT260" s="1" t="s">
        <v>69</v>
      </c>
      <c r="BU260" s="17">
        <v>0</v>
      </c>
      <c r="BV260" s="116"/>
      <c r="BW260" s="6" t="s">
        <v>88</v>
      </c>
      <c r="BX260" s="17">
        <v>3</v>
      </c>
      <c r="BY260" s="119"/>
      <c r="BZ260" s="1" t="s">
        <v>52</v>
      </c>
      <c r="CA260" s="17">
        <v>2</v>
      </c>
      <c r="CB260" s="116"/>
      <c r="CC260" s="6" t="s">
        <v>76</v>
      </c>
      <c r="CD260" s="17">
        <v>0</v>
      </c>
      <c r="CE260" s="119"/>
      <c r="CF260" s="17" t="s">
        <v>49</v>
      </c>
      <c r="CG260" s="17">
        <v>2</v>
      </c>
      <c r="CH260" s="116"/>
      <c r="CI260" s="6" t="s">
        <v>78</v>
      </c>
      <c r="CJ260" s="33">
        <v>1</v>
      </c>
      <c r="CK260" s="38">
        <v>1</v>
      </c>
      <c r="CL260" s="38">
        <v>0</v>
      </c>
      <c r="CM260" s="38">
        <v>0</v>
      </c>
      <c r="CN260" s="7" t="s">
        <v>82</v>
      </c>
      <c r="CO260" s="7"/>
      <c r="CP260" s="7"/>
    </row>
    <row r="261" spans="1:94" ht="30" customHeight="1" x14ac:dyDescent="0.15">
      <c r="A261" s="51" t="s">
        <v>290</v>
      </c>
      <c r="B261" s="3" t="s">
        <v>29</v>
      </c>
      <c r="C261" s="17">
        <v>2</v>
      </c>
      <c r="D261" s="116"/>
      <c r="E261" s="6" t="s">
        <v>55</v>
      </c>
      <c r="F261" s="21">
        <v>1</v>
      </c>
      <c r="G261" s="118"/>
      <c r="H261" s="6" t="s">
        <v>31</v>
      </c>
      <c r="I261" s="17">
        <v>3</v>
      </c>
      <c r="J261" s="116"/>
      <c r="K261" s="43" t="s">
        <v>56</v>
      </c>
      <c r="L261" s="17">
        <v>0</v>
      </c>
      <c r="M261" s="116"/>
      <c r="N261" s="6" t="s">
        <v>145</v>
      </c>
      <c r="O261" s="21">
        <v>1</v>
      </c>
      <c r="P261" s="118"/>
      <c r="Q261" s="6" t="s">
        <v>34</v>
      </c>
      <c r="R261" s="17">
        <v>2</v>
      </c>
      <c r="S261" s="116"/>
      <c r="T261" s="6" t="s">
        <v>35</v>
      </c>
      <c r="U261" s="17">
        <v>2</v>
      </c>
      <c r="V261" s="116"/>
      <c r="W261" s="6" t="s">
        <v>36</v>
      </c>
      <c r="X261" s="17">
        <v>1</v>
      </c>
      <c r="Y261" s="116"/>
      <c r="Z261" s="6" t="s">
        <v>58</v>
      </c>
      <c r="AA261" s="17">
        <v>2</v>
      </c>
      <c r="AB261" s="116"/>
      <c r="AC261" s="6" t="s">
        <v>59</v>
      </c>
      <c r="AD261" s="17">
        <v>4</v>
      </c>
      <c r="AE261" s="116"/>
      <c r="AF261" s="6" t="s">
        <v>93</v>
      </c>
      <c r="AG261" s="17">
        <v>3</v>
      </c>
      <c r="AH261" s="116"/>
      <c r="AI261" s="15" t="s">
        <v>94</v>
      </c>
      <c r="AJ261" s="25">
        <v>3</v>
      </c>
      <c r="AK261" s="129"/>
      <c r="AL261" s="6" t="s">
        <v>41</v>
      </c>
      <c r="AM261" s="17">
        <v>2</v>
      </c>
      <c r="AN261" s="116"/>
      <c r="AO261" s="6" t="s">
        <v>72</v>
      </c>
      <c r="AP261" s="17">
        <v>3</v>
      </c>
      <c r="AQ261" s="116"/>
      <c r="AR261" s="6" t="s">
        <v>99</v>
      </c>
      <c r="AS261" s="17">
        <v>3</v>
      </c>
      <c r="AT261" s="116"/>
      <c r="AU261" s="6" t="s">
        <v>79</v>
      </c>
      <c r="AV261" s="17">
        <v>0</v>
      </c>
      <c r="AW261" s="116"/>
      <c r="AX261" s="6" t="s">
        <v>62</v>
      </c>
      <c r="AY261" s="17">
        <v>2</v>
      </c>
      <c r="AZ261" s="116"/>
      <c r="BA261" s="6" t="s">
        <v>59</v>
      </c>
      <c r="BB261" s="17">
        <v>1</v>
      </c>
      <c r="BC261" s="17">
        <v>0</v>
      </c>
      <c r="BD261" s="17">
        <v>1</v>
      </c>
      <c r="BE261" s="17">
        <v>0</v>
      </c>
      <c r="BF261" s="17">
        <v>0</v>
      </c>
      <c r="BG261" s="17">
        <v>0</v>
      </c>
      <c r="BH261" s="43" t="s">
        <v>47</v>
      </c>
      <c r="BI261" s="17">
        <v>2</v>
      </c>
      <c r="BJ261" s="134"/>
      <c r="BK261" s="6" t="s">
        <v>48</v>
      </c>
      <c r="BL261" s="17">
        <v>1</v>
      </c>
      <c r="BM261" s="116"/>
      <c r="BN261" s="6" t="s">
        <v>59</v>
      </c>
      <c r="BO261" s="17">
        <v>1</v>
      </c>
      <c r="BP261" s="119"/>
      <c r="BQ261" s="17" t="s">
        <v>50</v>
      </c>
      <c r="BR261" s="17">
        <v>1</v>
      </c>
      <c r="BS261" s="117"/>
      <c r="BT261" s="4" t="s">
        <v>69</v>
      </c>
      <c r="BU261" s="17">
        <v>2</v>
      </c>
      <c r="BV261" s="116"/>
      <c r="BW261" s="6" t="s">
        <v>51</v>
      </c>
      <c r="BX261" s="17">
        <v>3</v>
      </c>
      <c r="BY261" s="116"/>
      <c r="BZ261" s="6" t="s">
        <v>52</v>
      </c>
      <c r="CA261" s="17">
        <v>3</v>
      </c>
      <c r="CB261" s="116"/>
      <c r="CC261" s="6" t="s">
        <v>36</v>
      </c>
      <c r="CD261" s="17">
        <v>1</v>
      </c>
      <c r="CE261" s="119"/>
      <c r="CF261" s="17" t="s">
        <v>77</v>
      </c>
      <c r="CG261" s="17">
        <v>2</v>
      </c>
      <c r="CH261" s="116"/>
      <c r="CI261" s="15" t="s">
        <v>291</v>
      </c>
      <c r="CJ261" s="33">
        <v>1</v>
      </c>
      <c r="CK261" s="38">
        <v>1</v>
      </c>
      <c r="CL261" s="38">
        <v>0</v>
      </c>
      <c r="CM261" s="38">
        <v>0</v>
      </c>
      <c r="CN261" s="7" t="s">
        <v>82</v>
      </c>
      <c r="CO261" s="7"/>
      <c r="CP261" s="7"/>
    </row>
    <row r="262" spans="1:94" ht="15.75" customHeight="1" x14ac:dyDescent="0.15">
      <c r="A262" s="51" t="s">
        <v>292</v>
      </c>
      <c r="B262" s="3" t="s">
        <v>29</v>
      </c>
      <c r="C262" s="17">
        <v>4</v>
      </c>
      <c r="D262" s="116"/>
      <c r="E262" s="6" t="s">
        <v>127</v>
      </c>
      <c r="F262" s="18">
        <v>2</v>
      </c>
      <c r="G262" s="117"/>
      <c r="H262" s="6" t="s">
        <v>91</v>
      </c>
      <c r="I262" s="17">
        <v>1</v>
      </c>
      <c r="J262" s="116"/>
      <c r="K262" s="43" t="s">
        <v>32</v>
      </c>
      <c r="L262" s="17">
        <v>1</v>
      </c>
      <c r="M262" s="116"/>
      <c r="N262" s="6" t="s">
        <v>124</v>
      </c>
      <c r="O262" s="21">
        <v>1</v>
      </c>
      <c r="P262" s="118"/>
      <c r="Q262" s="6" t="s">
        <v>34</v>
      </c>
      <c r="R262" s="17">
        <v>2</v>
      </c>
      <c r="S262" s="116"/>
      <c r="T262" s="6" t="s">
        <v>35</v>
      </c>
      <c r="U262" s="17">
        <v>1</v>
      </c>
      <c r="V262" s="116"/>
      <c r="W262" s="6" t="s">
        <v>92</v>
      </c>
      <c r="X262" s="17">
        <v>1</v>
      </c>
      <c r="Y262" s="116"/>
      <c r="Z262" s="6" t="s">
        <v>58</v>
      </c>
      <c r="AA262" s="17">
        <v>2</v>
      </c>
      <c r="AB262" s="116"/>
      <c r="AC262" s="6" t="s">
        <v>59</v>
      </c>
      <c r="AD262" s="17">
        <v>2</v>
      </c>
      <c r="AE262" s="116"/>
      <c r="AF262" s="6" t="s">
        <v>83</v>
      </c>
      <c r="AG262" s="17">
        <v>3</v>
      </c>
      <c r="AH262" s="116"/>
      <c r="AI262" s="15" t="s">
        <v>94</v>
      </c>
      <c r="AJ262" s="25">
        <v>3</v>
      </c>
      <c r="AK262" s="129"/>
      <c r="AL262" s="6" t="s">
        <v>41</v>
      </c>
      <c r="AM262" s="17">
        <v>3</v>
      </c>
      <c r="AN262" s="116"/>
      <c r="AO262" s="6" t="s">
        <v>42</v>
      </c>
      <c r="AP262" s="17">
        <v>3</v>
      </c>
      <c r="AQ262" s="116"/>
      <c r="AR262" s="6" t="s">
        <v>61</v>
      </c>
      <c r="AS262" s="17">
        <v>3</v>
      </c>
      <c r="AT262" s="116"/>
      <c r="AU262" s="6" t="s">
        <v>79</v>
      </c>
      <c r="AV262" s="17">
        <v>1</v>
      </c>
      <c r="AW262" s="116"/>
      <c r="AX262" s="6" t="s">
        <v>45</v>
      </c>
      <c r="AY262" s="17">
        <v>2</v>
      </c>
      <c r="AZ262" s="116"/>
      <c r="BA262" s="6" t="s">
        <v>59</v>
      </c>
      <c r="BB262" s="17">
        <v>1</v>
      </c>
      <c r="BC262" s="17">
        <v>0</v>
      </c>
      <c r="BD262" s="17">
        <v>1</v>
      </c>
      <c r="BE262" s="17">
        <v>0</v>
      </c>
      <c r="BF262" s="17">
        <v>0</v>
      </c>
      <c r="BG262" s="17">
        <v>0</v>
      </c>
      <c r="BH262" s="43" t="s">
        <v>47</v>
      </c>
      <c r="BI262" s="17">
        <v>0</v>
      </c>
      <c r="BJ262" s="134"/>
      <c r="BK262" s="6" t="s">
        <v>75</v>
      </c>
      <c r="BL262" s="17">
        <v>1</v>
      </c>
      <c r="BM262" s="116"/>
      <c r="BN262" s="6" t="s">
        <v>59</v>
      </c>
      <c r="BO262" s="17">
        <v>0</v>
      </c>
      <c r="BP262" s="119"/>
      <c r="BQ262" s="17" t="s">
        <v>87</v>
      </c>
      <c r="BR262" s="17">
        <v>2</v>
      </c>
      <c r="BS262" s="116"/>
      <c r="BT262" s="6" t="s">
        <v>65</v>
      </c>
      <c r="BU262" s="17">
        <v>2</v>
      </c>
      <c r="BV262" s="116"/>
      <c r="BW262" s="6" t="s">
        <v>51</v>
      </c>
      <c r="BX262" s="17">
        <v>2</v>
      </c>
      <c r="BY262" s="116"/>
      <c r="BZ262" s="6" t="s">
        <v>97</v>
      </c>
      <c r="CA262" s="17">
        <v>3</v>
      </c>
      <c r="CB262" s="116"/>
      <c r="CC262" s="6" t="s">
        <v>36</v>
      </c>
      <c r="CD262" s="17">
        <v>0</v>
      </c>
      <c r="CE262" s="119"/>
      <c r="CF262" s="17" t="s">
        <v>49</v>
      </c>
      <c r="CG262" s="17">
        <v>2</v>
      </c>
      <c r="CH262" s="116"/>
      <c r="CI262" s="6" t="s">
        <v>78</v>
      </c>
      <c r="CJ262" s="33">
        <v>0</v>
      </c>
      <c r="CK262" s="38">
        <v>1</v>
      </c>
      <c r="CL262" s="38">
        <v>1</v>
      </c>
      <c r="CM262" s="38"/>
      <c r="CN262" s="7" t="s">
        <v>98</v>
      </c>
      <c r="CO262" s="7"/>
      <c r="CP262" s="7"/>
    </row>
    <row r="263" spans="1:94" ht="15.75" customHeight="1" x14ac:dyDescent="0.15">
      <c r="A263" s="51" t="s">
        <v>293</v>
      </c>
      <c r="B263" s="3" t="s">
        <v>29</v>
      </c>
      <c r="C263" s="17">
        <v>4</v>
      </c>
      <c r="D263" s="116"/>
      <c r="E263" s="6" t="s">
        <v>127</v>
      </c>
      <c r="F263" s="18">
        <v>2</v>
      </c>
      <c r="G263" s="117"/>
      <c r="H263" s="6" t="s">
        <v>91</v>
      </c>
      <c r="I263" s="17">
        <v>1</v>
      </c>
      <c r="J263" s="116"/>
      <c r="K263" s="43" t="s">
        <v>32</v>
      </c>
      <c r="L263" s="17">
        <v>0</v>
      </c>
      <c r="M263" s="116"/>
      <c r="N263" s="6" t="s">
        <v>145</v>
      </c>
      <c r="O263" s="21">
        <v>1</v>
      </c>
      <c r="P263" s="118"/>
      <c r="Q263" s="6" t="s">
        <v>34</v>
      </c>
      <c r="R263" s="17">
        <v>1</v>
      </c>
      <c r="S263" s="116"/>
      <c r="T263" s="6" t="s">
        <v>57</v>
      </c>
      <c r="U263" s="17">
        <v>2</v>
      </c>
      <c r="V263" s="116"/>
      <c r="W263" s="6" t="s">
        <v>36</v>
      </c>
      <c r="X263" s="17">
        <v>1</v>
      </c>
      <c r="Y263" s="116"/>
      <c r="Z263" s="6" t="s">
        <v>58</v>
      </c>
      <c r="AA263" s="17">
        <v>3</v>
      </c>
      <c r="AB263" s="116"/>
      <c r="AC263" s="6" t="s">
        <v>38</v>
      </c>
      <c r="AD263" s="17">
        <v>4</v>
      </c>
      <c r="AE263" s="116"/>
      <c r="AF263" s="6" t="s">
        <v>93</v>
      </c>
      <c r="AG263" s="17">
        <v>3</v>
      </c>
      <c r="AH263" s="116"/>
      <c r="AI263" s="15" t="s">
        <v>94</v>
      </c>
      <c r="AJ263" s="25">
        <v>3</v>
      </c>
      <c r="AK263" s="129"/>
      <c r="AL263" s="6" t="s">
        <v>41</v>
      </c>
      <c r="AM263" s="17">
        <v>3</v>
      </c>
      <c r="AN263" s="116"/>
      <c r="AO263" s="6" t="s">
        <v>42</v>
      </c>
      <c r="AP263" s="17">
        <v>3</v>
      </c>
      <c r="AQ263" s="116"/>
      <c r="AR263" s="6" t="s">
        <v>61</v>
      </c>
      <c r="AS263" s="17">
        <v>3</v>
      </c>
      <c r="AT263" s="116"/>
      <c r="AU263" s="6" t="s">
        <v>79</v>
      </c>
      <c r="AV263" s="17">
        <v>2</v>
      </c>
      <c r="AW263" s="116"/>
      <c r="AX263" s="6" t="s">
        <v>80</v>
      </c>
      <c r="AY263" s="17">
        <v>3</v>
      </c>
      <c r="AZ263" s="116"/>
      <c r="BA263" s="6" t="s">
        <v>46</v>
      </c>
      <c r="BB263" s="17">
        <v>1</v>
      </c>
      <c r="BC263" s="17">
        <v>0</v>
      </c>
      <c r="BD263" s="17">
        <v>1</v>
      </c>
      <c r="BE263" s="17">
        <v>0</v>
      </c>
      <c r="BF263" s="17">
        <v>0</v>
      </c>
      <c r="BG263" s="17">
        <v>0</v>
      </c>
      <c r="BH263" s="43" t="s">
        <v>47</v>
      </c>
      <c r="BI263" s="17">
        <v>1</v>
      </c>
      <c r="BJ263" s="134"/>
      <c r="BK263" s="6" t="s">
        <v>96</v>
      </c>
      <c r="BL263" s="17">
        <v>3</v>
      </c>
      <c r="BM263" s="116"/>
      <c r="BN263" s="6" t="s">
        <v>49</v>
      </c>
      <c r="BO263" s="17">
        <v>1</v>
      </c>
      <c r="BP263" s="119"/>
      <c r="BQ263" s="17" t="s">
        <v>50</v>
      </c>
      <c r="BR263" s="17">
        <v>2</v>
      </c>
      <c r="BS263" s="117"/>
      <c r="BT263" s="4" t="s">
        <v>65</v>
      </c>
      <c r="BU263" s="17">
        <v>2</v>
      </c>
      <c r="BV263" s="116"/>
      <c r="BW263" s="6" t="s">
        <v>51</v>
      </c>
      <c r="BX263" s="17">
        <v>3</v>
      </c>
      <c r="BY263" s="116"/>
      <c r="BZ263" s="6" t="s">
        <v>52</v>
      </c>
      <c r="CA263" s="17">
        <v>3</v>
      </c>
      <c r="CB263" s="116"/>
      <c r="CC263" s="6" t="s">
        <v>36</v>
      </c>
      <c r="CD263" s="17">
        <v>0</v>
      </c>
      <c r="CE263" s="119"/>
      <c r="CF263" s="17" t="s">
        <v>49</v>
      </c>
      <c r="CG263" s="17">
        <v>3</v>
      </c>
      <c r="CH263" s="116"/>
      <c r="CI263" s="6" t="s">
        <v>53</v>
      </c>
      <c r="CJ263" s="33">
        <v>1</v>
      </c>
      <c r="CK263" s="38">
        <v>1</v>
      </c>
      <c r="CL263" s="38">
        <v>0</v>
      </c>
      <c r="CM263" s="38">
        <v>0</v>
      </c>
      <c r="CN263" s="7" t="s">
        <v>82</v>
      </c>
      <c r="CO263" s="7"/>
      <c r="CP263" s="7"/>
    </row>
    <row r="264" spans="1:94" ht="38" customHeight="1" x14ac:dyDescent="0.15">
      <c r="A264" s="51" t="s">
        <v>294</v>
      </c>
      <c r="B264" s="3" t="s">
        <v>29</v>
      </c>
      <c r="C264" s="17">
        <v>4</v>
      </c>
      <c r="D264" s="116"/>
      <c r="E264" s="6" t="s">
        <v>127</v>
      </c>
      <c r="F264" s="21">
        <v>1</v>
      </c>
      <c r="G264" s="118"/>
      <c r="H264" s="6" t="s">
        <v>31</v>
      </c>
      <c r="I264" s="17">
        <v>1</v>
      </c>
      <c r="J264" s="116"/>
      <c r="K264" s="43" t="s">
        <v>32</v>
      </c>
      <c r="L264" s="17">
        <v>0</v>
      </c>
      <c r="M264" s="116"/>
      <c r="N264" s="6" t="s">
        <v>145</v>
      </c>
      <c r="O264" s="21">
        <v>1</v>
      </c>
      <c r="P264" s="118"/>
      <c r="Q264" s="6" t="s">
        <v>34</v>
      </c>
      <c r="R264" s="17">
        <v>2</v>
      </c>
      <c r="S264" s="116"/>
      <c r="T264" s="6" t="s">
        <v>35</v>
      </c>
      <c r="U264" s="17">
        <v>2</v>
      </c>
      <c r="V264" s="116"/>
      <c r="W264" s="6" t="s">
        <v>36</v>
      </c>
      <c r="X264" s="17">
        <v>0</v>
      </c>
      <c r="Y264" s="116"/>
      <c r="Z264" s="53" t="s">
        <v>295</v>
      </c>
      <c r="AA264" s="17">
        <v>2</v>
      </c>
      <c r="AB264" s="116"/>
      <c r="AC264" s="6" t="s">
        <v>59</v>
      </c>
      <c r="AD264" s="17">
        <v>2</v>
      </c>
      <c r="AE264" s="116"/>
      <c r="AF264" s="6" t="s">
        <v>83</v>
      </c>
      <c r="AG264" s="17">
        <v>3</v>
      </c>
      <c r="AH264" s="116"/>
      <c r="AI264" s="15" t="s">
        <v>94</v>
      </c>
      <c r="AJ264" s="25">
        <v>3</v>
      </c>
      <c r="AK264" s="129"/>
      <c r="AL264" s="6" t="s">
        <v>41</v>
      </c>
      <c r="AM264" s="17">
        <v>2</v>
      </c>
      <c r="AN264" s="116"/>
      <c r="AO264" s="6" t="s">
        <v>72</v>
      </c>
      <c r="AP264" s="17">
        <v>4</v>
      </c>
      <c r="AQ264" s="116"/>
      <c r="AR264" s="6" t="s">
        <v>43</v>
      </c>
      <c r="AS264" s="17">
        <v>3</v>
      </c>
      <c r="AT264" s="116"/>
      <c r="AU264" s="6" t="s">
        <v>79</v>
      </c>
      <c r="AV264" s="17">
        <v>2</v>
      </c>
      <c r="AW264" s="116"/>
      <c r="AX264" s="6" t="s">
        <v>80</v>
      </c>
      <c r="AY264" s="17">
        <v>3</v>
      </c>
      <c r="AZ264" s="116"/>
      <c r="BA264" s="6" t="s">
        <v>46</v>
      </c>
      <c r="BB264" s="17">
        <v>1</v>
      </c>
      <c r="BC264" s="17">
        <v>0</v>
      </c>
      <c r="BD264" s="17">
        <v>1</v>
      </c>
      <c r="BE264" s="17">
        <v>0</v>
      </c>
      <c r="BF264" s="17">
        <v>0</v>
      </c>
      <c r="BG264" s="17">
        <v>0</v>
      </c>
      <c r="BH264" s="43" t="s">
        <v>47</v>
      </c>
      <c r="BI264" s="17">
        <v>2</v>
      </c>
      <c r="BJ264" s="135"/>
      <c r="BK264" s="6" t="s">
        <v>48</v>
      </c>
      <c r="BL264" s="17">
        <v>3</v>
      </c>
      <c r="BM264" s="116"/>
      <c r="BN264" s="6" t="s">
        <v>49</v>
      </c>
      <c r="BO264" s="17">
        <v>0</v>
      </c>
      <c r="BP264" s="119"/>
      <c r="BQ264" s="17" t="s">
        <v>87</v>
      </c>
      <c r="BR264" s="17">
        <v>3</v>
      </c>
      <c r="BS264" s="119"/>
      <c r="BT264" s="1" t="s">
        <v>38</v>
      </c>
      <c r="BU264" s="17">
        <v>2</v>
      </c>
      <c r="BV264" s="116"/>
      <c r="BW264" s="6" t="s">
        <v>51</v>
      </c>
      <c r="BX264" s="17">
        <v>2</v>
      </c>
      <c r="BY264" s="116"/>
      <c r="BZ264" s="15" t="s">
        <v>296</v>
      </c>
      <c r="CA264" s="17">
        <v>3</v>
      </c>
      <c r="CB264" s="116"/>
      <c r="CC264" s="6" t="s">
        <v>36</v>
      </c>
      <c r="CD264" s="17">
        <v>0</v>
      </c>
      <c r="CE264" s="119"/>
      <c r="CF264" s="17" t="s">
        <v>49</v>
      </c>
      <c r="CG264" s="17">
        <v>3</v>
      </c>
      <c r="CH264" s="116"/>
      <c r="CI264" s="6" t="s">
        <v>53</v>
      </c>
      <c r="CJ264" s="33">
        <v>1</v>
      </c>
      <c r="CK264" s="38">
        <v>1</v>
      </c>
      <c r="CL264" s="38">
        <v>1</v>
      </c>
      <c r="CM264" s="38">
        <v>0</v>
      </c>
      <c r="CN264" s="7" t="s">
        <v>297</v>
      </c>
      <c r="CO264" s="7"/>
      <c r="CP264" s="7"/>
    </row>
    <row r="265" spans="1:94" ht="15.75" customHeight="1" x14ac:dyDescent="0.15">
      <c r="A265" s="51" t="s">
        <v>298</v>
      </c>
      <c r="B265" s="3" t="s">
        <v>29</v>
      </c>
      <c r="C265" s="17">
        <v>4</v>
      </c>
      <c r="D265" s="116"/>
      <c r="E265" s="6" t="s">
        <v>127</v>
      </c>
      <c r="F265" s="21">
        <v>1</v>
      </c>
      <c r="G265" s="118"/>
      <c r="H265" s="6" t="s">
        <v>31</v>
      </c>
      <c r="I265" s="17">
        <v>1</v>
      </c>
      <c r="J265" s="116"/>
      <c r="K265" s="43" t="s">
        <v>32</v>
      </c>
      <c r="L265" s="17">
        <v>0</v>
      </c>
      <c r="M265" s="116"/>
      <c r="N265" s="6" t="s">
        <v>145</v>
      </c>
      <c r="O265" s="21">
        <v>1</v>
      </c>
      <c r="P265" s="118"/>
      <c r="Q265" s="6" t="s">
        <v>34</v>
      </c>
      <c r="R265" s="17">
        <v>1</v>
      </c>
      <c r="S265" s="116"/>
      <c r="T265" s="6" t="s">
        <v>57</v>
      </c>
      <c r="U265" s="17">
        <v>1</v>
      </c>
      <c r="V265" s="116"/>
      <c r="W265" s="6" t="s">
        <v>92</v>
      </c>
      <c r="X265" s="17">
        <v>1</v>
      </c>
      <c r="Y265" s="116"/>
      <c r="Z265" s="6" t="s">
        <v>58</v>
      </c>
      <c r="AA265" s="17">
        <v>2</v>
      </c>
      <c r="AB265" s="116"/>
      <c r="AC265" s="6" t="s">
        <v>59</v>
      </c>
      <c r="AD265" s="17">
        <v>2</v>
      </c>
      <c r="AE265" s="116"/>
      <c r="AF265" s="6" t="s">
        <v>83</v>
      </c>
      <c r="AG265" s="17">
        <v>3</v>
      </c>
      <c r="AH265" s="116"/>
      <c r="AI265" s="15" t="s">
        <v>94</v>
      </c>
      <c r="AJ265" s="25">
        <v>0</v>
      </c>
      <c r="AK265" s="129"/>
      <c r="AL265" s="6" t="s">
        <v>85</v>
      </c>
      <c r="AM265" s="17">
        <v>3</v>
      </c>
      <c r="AN265" s="116"/>
      <c r="AO265" s="6" t="s">
        <v>42</v>
      </c>
      <c r="AP265" s="17">
        <v>4</v>
      </c>
      <c r="AQ265" s="116"/>
      <c r="AR265" s="6" t="s">
        <v>43</v>
      </c>
      <c r="AS265" s="17">
        <v>2</v>
      </c>
      <c r="AT265" s="116"/>
      <c r="AU265" s="6" t="s">
        <v>44</v>
      </c>
      <c r="AV265" s="17">
        <v>2</v>
      </c>
      <c r="AW265" s="116"/>
      <c r="AX265" s="6" t="s">
        <v>80</v>
      </c>
      <c r="AY265" s="17">
        <v>3</v>
      </c>
      <c r="AZ265" s="116"/>
      <c r="BA265" s="6" t="s">
        <v>46</v>
      </c>
      <c r="BB265" s="17"/>
      <c r="BC265" s="17">
        <v>1</v>
      </c>
      <c r="BD265" s="17">
        <v>1</v>
      </c>
      <c r="BE265" s="17">
        <v>0</v>
      </c>
      <c r="BF265" s="17">
        <v>0</v>
      </c>
      <c r="BG265" s="17">
        <v>0</v>
      </c>
      <c r="BH265" s="43" t="s">
        <v>105</v>
      </c>
      <c r="BI265" s="17">
        <v>2</v>
      </c>
      <c r="BJ265" s="134"/>
      <c r="BK265" s="6" t="s">
        <v>48</v>
      </c>
      <c r="BL265" s="17">
        <v>3</v>
      </c>
      <c r="BM265" s="116"/>
      <c r="BN265" s="6" t="s">
        <v>49</v>
      </c>
      <c r="BO265" s="17">
        <v>1</v>
      </c>
      <c r="BP265" s="119"/>
      <c r="BQ265" s="17" t="s">
        <v>50</v>
      </c>
      <c r="BR265" s="17">
        <v>2</v>
      </c>
      <c r="BS265" s="117"/>
      <c r="BT265" s="4" t="s">
        <v>65</v>
      </c>
      <c r="BU265" s="17">
        <v>2</v>
      </c>
      <c r="BV265" s="116"/>
      <c r="BW265" s="6" t="s">
        <v>51</v>
      </c>
      <c r="BX265" s="17">
        <v>2</v>
      </c>
      <c r="BY265" s="116"/>
      <c r="BZ265" s="6" t="s">
        <v>97</v>
      </c>
      <c r="CA265" s="17">
        <v>3</v>
      </c>
      <c r="CB265" s="116"/>
      <c r="CC265" s="6" t="s">
        <v>36</v>
      </c>
      <c r="CD265" s="17">
        <v>1</v>
      </c>
      <c r="CE265" s="119"/>
      <c r="CF265" s="17" t="s">
        <v>77</v>
      </c>
      <c r="CG265" s="17">
        <v>3</v>
      </c>
      <c r="CH265" s="116"/>
      <c r="CI265" s="6" t="s">
        <v>53</v>
      </c>
      <c r="CJ265" s="33">
        <v>0</v>
      </c>
      <c r="CK265" s="38">
        <v>1</v>
      </c>
      <c r="CL265" s="38">
        <v>1</v>
      </c>
      <c r="CM265" s="38">
        <v>0</v>
      </c>
      <c r="CN265" s="7" t="s">
        <v>98</v>
      </c>
      <c r="CO265" s="7"/>
      <c r="CP265" s="7"/>
    </row>
    <row r="266" spans="1:94" ht="15.75" customHeight="1" x14ac:dyDescent="0.15">
      <c r="A266" s="51" t="s">
        <v>299</v>
      </c>
      <c r="B266" s="3" t="s">
        <v>29</v>
      </c>
      <c r="C266" s="17">
        <v>5</v>
      </c>
      <c r="D266" s="116"/>
      <c r="E266" s="6" t="s">
        <v>30</v>
      </c>
      <c r="F266" s="18">
        <v>2</v>
      </c>
      <c r="G266" s="117"/>
      <c r="H266" s="6" t="s">
        <v>91</v>
      </c>
      <c r="I266" s="17">
        <v>3</v>
      </c>
      <c r="J266" s="116"/>
      <c r="K266" s="43" t="s">
        <v>56</v>
      </c>
      <c r="L266" s="17">
        <v>0</v>
      </c>
      <c r="M266" s="116"/>
      <c r="N266" s="6" t="s">
        <v>145</v>
      </c>
      <c r="O266" s="21">
        <v>1</v>
      </c>
      <c r="P266" s="118"/>
      <c r="Q266" s="6" t="s">
        <v>34</v>
      </c>
      <c r="R266" s="17">
        <v>0</v>
      </c>
      <c r="S266" s="116"/>
      <c r="T266" s="6" t="s">
        <v>49</v>
      </c>
      <c r="U266" s="17">
        <v>0</v>
      </c>
      <c r="V266" s="116"/>
      <c r="W266" s="6" t="s">
        <v>77</v>
      </c>
      <c r="X266" s="17">
        <v>1</v>
      </c>
      <c r="Y266" s="116"/>
      <c r="Z266" s="6" t="s">
        <v>58</v>
      </c>
      <c r="AA266" s="17">
        <v>3</v>
      </c>
      <c r="AB266" s="116"/>
      <c r="AC266" s="6" t="s">
        <v>38</v>
      </c>
      <c r="AD266" s="17">
        <v>5</v>
      </c>
      <c r="AE266" s="116"/>
      <c r="AF266" s="6" t="s">
        <v>300</v>
      </c>
      <c r="AG266" s="17">
        <v>0</v>
      </c>
      <c r="AH266" s="116"/>
      <c r="AI266" s="15" t="s">
        <v>84</v>
      </c>
      <c r="AJ266" s="25">
        <v>3</v>
      </c>
      <c r="AK266" s="129"/>
      <c r="AL266" s="6" t="s">
        <v>41</v>
      </c>
      <c r="AM266" s="17">
        <v>2</v>
      </c>
      <c r="AN266" s="116"/>
      <c r="AO266" s="6" t="s">
        <v>72</v>
      </c>
      <c r="AP266" s="17">
        <v>3</v>
      </c>
      <c r="AQ266" s="116"/>
      <c r="AR266" s="6" t="s">
        <v>61</v>
      </c>
      <c r="AS266" s="17">
        <v>3</v>
      </c>
      <c r="AT266" s="116"/>
      <c r="AU266" s="6" t="s">
        <v>79</v>
      </c>
      <c r="AV266" s="17">
        <v>0</v>
      </c>
      <c r="AW266" s="116"/>
      <c r="AX266" s="6" t="s">
        <v>62</v>
      </c>
      <c r="AY266" s="17">
        <v>3</v>
      </c>
      <c r="AZ266" s="116"/>
      <c r="BA266" s="6" t="s">
        <v>46</v>
      </c>
      <c r="BB266" s="17">
        <v>1</v>
      </c>
      <c r="BC266" s="17">
        <v>0</v>
      </c>
      <c r="BD266" s="17">
        <v>1</v>
      </c>
      <c r="BE266" s="17">
        <v>0</v>
      </c>
      <c r="BF266" s="17">
        <v>0</v>
      </c>
      <c r="BG266" s="17">
        <v>0</v>
      </c>
      <c r="BH266" s="43" t="s">
        <v>47</v>
      </c>
      <c r="BI266" s="17">
        <v>1</v>
      </c>
      <c r="BJ266" s="134"/>
      <c r="BK266" s="6" t="s">
        <v>96</v>
      </c>
      <c r="BL266" s="17">
        <v>3</v>
      </c>
      <c r="BM266" s="116"/>
      <c r="BN266" s="6" t="s">
        <v>49</v>
      </c>
      <c r="BO266" s="17">
        <v>0</v>
      </c>
      <c r="BP266" s="119"/>
      <c r="BQ266" s="17" t="s">
        <v>87</v>
      </c>
      <c r="BR266" s="17">
        <v>0</v>
      </c>
      <c r="BS266" s="116"/>
      <c r="BT266" s="6" t="s">
        <v>46</v>
      </c>
      <c r="BU266" s="17">
        <v>1</v>
      </c>
      <c r="BV266" s="116"/>
      <c r="BW266" s="6" t="s">
        <v>66</v>
      </c>
      <c r="BX266" s="17">
        <v>0</v>
      </c>
      <c r="BY266" s="116"/>
      <c r="BZ266" s="6" t="s">
        <v>119</v>
      </c>
      <c r="CA266" s="17">
        <v>0</v>
      </c>
      <c r="CB266" s="116"/>
      <c r="CC266" s="6" t="s">
        <v>49</v>
      </c>
      <c r="CD266" s="17">
        <v>1</v>
      </c>
      <c r="CE266" s="119"/>
      <c r="CF266" s="17" t="s">
        <v>77</v>
      </c>
      <c r="CG266" s="17">
        <v>2</v>
      </c>
      <c r="CH266" s="116"/>
      <c r="CI266" s="6" t="s">
        <v>78</v>
      </c>
      <c r="CJ266" s="33">
        <v>0</v>
      </c>
      <c r="CK266" s="38">
        <v>0</v>
      </c>
      <c r="CL266" s="38">
        <v>0</v>
      </c>
      <c r="CM266" s="38">
        <v>1</v>
      </c>
      <c r="CN266" s="7" t="s">
        <v>301</v>
      </c>
      <c r="CO266" s="7"/>
      <c r="CP266" s="7"/>
    </row>
    <row r="267" spans="1:94" ht="40" customHeight="1" x14ac:dyDescent="0.15">
      <c r="A267" s="51" t="s">
        <v>302</v>
      </c>
      <c r="B267" s="3" t="s">
        <v>29</v>
      </c>
      <c r="C267" s="17">
        <v>3</v>
      </c>
      <c r="D267" s="116"/>
      <c r="E267" s="6" t="s">
        <v>90</v>
      </c>
      <c r="F267" s="21">
        <v>1</v>
      </c>
      <c r="G267" s="118"/>
      <c r="H267" s="6" t="s">
        <v>31</v>
      </c>
      <c r="I267" s="17">
        <v>3</v>
      </c>
      <c r="J267" s="116"/>
      <c r="K267" s="43" t="s">
        <v>56</v>
      </c>
      <c r="L267" s="17">
        <v>1</v>
      </c>
      <c r="M267" s="116"/>
      <c r="N267" s="6" t="s">
        <v>124</v>
      </c>
      <c r="O267" s="21">
        <v>1</v>
      </c>
      <c r="P267" s="118"/>
      <c r="Q267" s="6" t="s">
        <v>34</v>
      </c>
      <c r="R267" s="17">
        <v>2</v>
      </c>
      <c r="S267" s="116"/>
      <c r="T267" s="6" t="s">
        <v>35</v>
      </c>
      <c r="U267" s="17">
        <v>2</v>
      </c>
      <c r="V267" s="116"/>
      <c r="W267" s="6" t="s">
        <v>36</v>
      </c>
      <c r="X267" s="17">
        <v>2</v>
      </c>
      <c r="Y267" s="116"/>
      <c r="Z267" s="6" t="s">
        <v>37</v>
      </c>
      <c r="AA267" s="17">
        <v>3</v>
      </c>
      <c r="AB267" s="116"/>
      <c r="AC267" s="6" t="s">
        <v>38</v>
      </c>
      <c r="AD267" s="17">
        <v>4</v>
      </c>
      <c r="AE267" s="116"/>
      <c r="AF267" s="6" t="s">
        <v>93</v>
      </c>
      <c r="AG267" s="17">
        <v>3</v>
      </c>
      <c r="AH267" s="116"/>
      <c r="AI267" s="15" t="s">
        <v>94</v>
      </c>
      <c r="AJ267" s="25">
        <v>3</v>
      </c>
      <c r="AK267" s="129"/>
      <c r="AL267" s="6" t="s">
        <v>41</v>
      </c>
      <c r="AM267" s="17">
        <v>3</v>
      </c>
      <c r="AN267" s="116"/>
      <c r="AO267" s="6" t="s">
        <v>42</v>
      </c>
      <c r="AP267" s="17">
        <v>3</v>
      </c>
      <c r="AQ267" s="116"/>
      <c r="AR267" s="6" t="s">
        <v>99</v>
      </c>
      <c r="AS267" s="17">
        <v>3</v>
      </c>
      <c r="AT267" s="116"/>
      <c r="AU267" s="6" t="s">
        <v>79</v>
      </c>
      <c r="AV267" s="17">
        <v>0</v>
      </c>
      <c r="AW267" s="116"/>
      <c r="AX267" s="53" t="s">
        <v>303</v>
      </c>
      <c r="AY267" s="17">
        <v>3</v>
      </c>
      <c r="AZ267" s="116"/>
      <c r="BA267" s="6" t="s">
        <v>46</v>
      </c>
      <c r="BB267" s="17">
        <v>1</v>
      </c>
      <c r="BC267" s="17">
        <v>0</v>
      </c>
      <c r="BD267" s="17">
        <v>1</v>
      </c>
      <c r="BE267" s="17">
        <v>0</v>
      </c>
      <c r="BF267" s="17">
        <v>0</v>
      </c>
      <c r="BG267" s="17">
        <v>0</v>
      </c>
      <c r="BH267" s="43" t="s">
        <v>47</v>
      </c>
      <c r="BI267" s="17">
        <v>2</v>
      </c>
      <c r="BJ267" s="135"/>
      <c r="BK267" s="6" t="s">
        <v>48</v>
      </c>
      <c r="BL267" s="17">
        <v>3</v>
      </c>
      <c r="BM267" s="116"/>
      <c r="BN267" s="6" t="s">
        <v>49</v>
      </c>
      <c r="BO267" s="17">
        <v>2</v>
      </c>
      <c r="BP267" s="119"/>
      <c r="BQ267" s="17" t="s">
        <v>117</v>
      </c>
      <c r="BR267" s="17">
        <v>3</v>
      </c>
      <c r="BS267" s="117"/>
      <c r="BT267" s="4" t="s">
        <v>38</v>
      </c>
      <c r="BU267" s="17">
        <v>2</v>
      </c>
      <c r="BV267" s="116"/>
      <c r="BW267" s="6" t="s">
        <v>51</v>
      </c>
      <c r="BX267" s="17">
        <v>3</v>
      </c>
      <c r="BY267" s="116"/>
      <c r="BZ267" s="6" t="s">
        <v>52</v>
      </c>
      <c r="CA267" s="17">
        <v>3</v>
      </c>
      <c r="CB267" s="116"/>
      <c r="CC267" s="6" t="s">
        <v>36</v>
      </c>
      <c r="CD267" s="17">
        <v>1</v>
      </c>
      <c r="CE267" s="119"/>
      <c r="CF267" s="17" t="s">
        <v>77</v>
      </c>
      <c r="CG267" s="17">
        <v>3</v>
      </c>
      <c r="CH267" s="116"/>
      <c r="CI267" s="6" t="s">
        <v>53</v>
      </c>
      <c r="CJ267" s="33">
        <v>1</v>
      </c>
      <c r="CK267" s="38">
        <v>0</v>
      </c>
      <c r="CL267" s="38">
        <v>1</v>
      </c>
      <c r="CM267" s="38">
        <v>0</v>
      </c>
      <c r="CN267" s="7" t="s">
        <v>54</v>
      </c>
      <c r="CO267" s="7"/>
      <c r="CP267" s="7"/>
    </row>
    <row r="268" spans="1:94" ht="15.75" customHeight="1" x14ac:dyDescent="0.15">
      <c r="A268" s="51" t="s">
        <v>304</v>
      </c>
      <c r="B268" s="3" t="s">
        <v>29</v>
      </c>
      <c r="C268" s="17">
        <v>3</v>
      </c>
      <c r="D268" s="116"/>
      <c r="E268" s="6" t="s">
        <v>90</v>
      </c>
      <c r="F268" s="21">
        <v>1</v>
      </c>
      <c r="G268" s="118"/>
      <c r="H268" s="6" t="s">
        <v>31</v>
      </c>
      <c r="I268" s="17">
        <v>0</v>
      </c>
      <c r="J268" s="116"/>
      <c r="K268" s="43" t="s">
        <v>107</v>
      </c>
      <c r="L268" s="17">
        <v>1</v>
      </c>
      <c r="M268" s="116"/>
      <c r="N268" s="6" t="s">
        <v>124</v>
      </c>
      <c r="O268" s="21">
        <v>1</v>
      </c>
      <c r="P268" s="118"/>
      <c r="Q268" s="6" t="s">
        <v>34</v>
      </c>
      <c r="R268" s="17">
        <v>2</v>
      </c>
      <c r="S268" s="116"/>
      <c r="T268" s="6" t="s">
        <v>35</v>
      </c>
      <c r="U268" s="17">
        <v>1</v>
      </c>
      <c r="V268" s="116"/>
      <c r="W268" s="6" t="s">
        <v>92</v>
      </c>
      <c r="X268" s="17">
        <v>0</v>
      </c>
      <c r="Y268" s="116"/>
      <c r="Z268" s="6" t="s">
        <v>108</v>
      </c>
      <c r="AA268" s="17">
        <v>0</v>
      </c>
      <c r="AB268" s="116"/>
      <c r="AC268" s="6" t="s">
        <v>46</v>
      </c>
      <c r="AD268" s="17">
        <v>4</v>
      </c>
      <c r="AE268" s="116"/>
      <c r="AF268" s="6" t="s">
        <v>93</v>
      </c>
      <c r="AG268" s="17">
        <v>3</v>
      </c>
      <c r="AH268" s="116"/>
      <c r="AI268" s="15" t="s">
        <v>94</v>
      </c>
      <c r="AJ268" s="25">
        <v>0</v>
      </c>
      <c r="AK268" s="129"/>
      <c r="AL268" s="6" t="s">
        <v>85</v>
      </c>
      <c r="AM268" s="17">
        <v>2</v>
      </c>
      <c r="AN268" s="116"/>
      <c r="AO268" s="6" t="s">
        <v>72</v>
      </c>
      <c r="AP268" s="17">
        <v>4</v>
      </c>
      <c r="AQ268" s="116"/>
      <c r="AR268" s="6" t="s">
        <v>43</v>
      </c>
      <c r="AS268" s="17">
        <v>0</v>
      </c>
      <c r="AT268" s="116"/>
      <c r="AU268" s="6" t="s">
        <v>102</v>
      </c>
      <c r="AV268" s="17">
        <v>0</v>
      </c>
      <c r="AW268" s="116"/>
      <c r="AX268" s="6" t="s">
        <v>62</v>
      </c>
      <c r="AY268" s="17">
        <v>0</v>
      </c>
      <c r="AZ268" s="116"/>
      <c r="BA268" s="6" t="s">
        <v>38</v>
      </c>
      <c r="BB268" s="17">
        <v>0</v>
      </c>
      <c r="BC268" s="17">
        <v>0</v>
      </c>
      <c r="BD268" s="17">
        <v>1</v>
      </c>
      <c r="BE268" s="17">
        <v>1</v>
      </c>
      <c r="BF268" s="17">
        <v>0</v>
      </c>
      <c r="BG268" s="17">
        <v>0</v>
      </c>
      <c r="BH268" s="43" t="s">
        <v>95</v>
      </c>
      <c r="BI268" s="17">
        <v>0</v>
      </c>
      <c r="BJ268" s="134"/>
      <c r="BK268" s="6" t="s">
        <v>75</v>
      </c>
      <c r="BL268" s="17">
        <v>0</v>
      </c>
      <c r="BM268" s="116"/>
      <c r="BN268" s="6" t="s">
        <v>36</v>
      </c>
      <c r="BO268" s="17">
        <v>0</v>
      </c>
      <c r="BP268" s="119"/>
      <c r="BQ268" s="17" t="s">
        <v>87</v>
      </c>
      <c r="BR268" s="17">
        <v>3</v>
      </c>
      <c r="BS268" s="119"/>
      <c r="BT268" s="1" t="s">
        <v>38</v>
      </c>
      <c r="BU268" s="17">
        <v>2</v>
      </c>
      <c r="BV268" s="116"/>
      <c r="BW268" s="6" t="s">
        <v>51</v>
      </c>
      <c r="BX268" s="17">
        <v>1</v>
      </c>
      <c r="BY268" s="116"/>
      <c r="BZ268" s="6" t="s">
        <v>67</v>
      </c>
      <c r="CA268" s="17">
        <v>1</v>
      </c>
      <c r="CB268" s="116"/>
      <c r="CC268" s="6" t="s">
        <v>77</v>
      </c>
      <c r="CD268" s="17">
        <v>1</v>
      </c>
      <c r="CE268" s="119"/>
      <c r="CF268" s="17" t="s">
        <v>77</v>
      </c>
      <c r="CG268" s="17">
        <v>2</v>
      </c>
      <c r="CH268" s="116"/>
      <c r="CI268" s="6" t="s">
        <v>78</v>
      </c>
      <c r="CJ268" s="33">
        <v>0</v>
      </c>
      <c r="CK268" s="38">
        <v>0</v>
      </c>
      <c r="CL268" s="38">
        <v>0</v>
      </c>
      <c r="CM268" s="38">
        <v>1</v>
      </c>
      <c r="CN268" s="7" t="s">
        <v>305</v>
      </c>
      <c r="CO268" s="7"/>
      <c r="CP268" s="7"/>
    </row>
    <row r="269" spans="1:94" ht="15.75" customHeight="1" x14ac:dyDescent="0.15">
      <c r="A269" s="51" t="s">
        <v>306</v>
      </c>
      <c r="B269" s="3" t="s">
        <v>29</v>
      </c>
      <c r="C269" s="17">
        <v>5</v>
      </c>
      <c r="D269" s="116"/>
      <c r="E269" s="6" t="s">
        <v>30</v>
      </c>
      <c r="F269" s="18">
        <v>2</v>
      </c>
      <c r="G269" s="117"/>
      <c r="H269" s="6" t="s">
        <v>91</v>
      </c>
      <c r="I269" s="17">
        <v>4</v>
      </c>
      <c r="J269" s="116"/>
      <c r="K269" s="43" t="s">
        <v>118</v>
      </c>
      <c r="L269" s="17">
        <v>0</v>
      </c>
      <c r="M269" s="116"/>
      <c r="N269" s="6" t="s">
        <v>145</v>
      </c>
      <c r="O269" s="21">
        <v>1</v>
      </c>
      <c r="P269" s="118"/>
      <c r="Q269" s="6" t="s">
        <v>34</v>
      </c>
      <c r="R269" s="17">
        <v>2</v>
      </c>
      <c r="S269" s="116"/>
      <c r="T269" s="6" t="s">
        <v>35</v>
      </c>
      <c r="U269" s="17">
        <v>0</v>
      </c>
      <c r="V269" s="116"/>
      <c r="W269" s="6" t="s">
        <v>49</v>
      </c>
      <c r="X269" s="17">
        <v>0</v>
      </c>
      <c r="Y269" s="116"/>
      <c r="Z269" s="6" t="s">
        <v>108</v>
      </c>
      <c r="AA269" s="17">
        <v>0</v>
      </c>
      <c r="AB269" s="116"/>
      <c r="AC269" s="6" t="s">
        <v>46</v>
      </c>
      <c r="AD269" s="17">
        <v>4</v>
      </c>
      <c r="AE269" s="116"/>
      <c r="AF269" s="6" t="s">
        <v>93</v>
      </c>
      <c r="AG269" s="17">
        <v>0</v>
      </c>
      <c r="AH269" s="116"/>
      <c r="AI269" s="15" t="s">
        <v>84</v>
      </c>
      <c r="AJ269" s="25">
        <v>2</v>
      </c>
      <c r="AK269" s="129"/>
      <c r="AL269" s="6" t="s">
        <v>71</v>
      </c>
      <c r="AM269" s="17">
        <v>0</v>
      </c>
      <c r="AN269" s="116"/>
      <c r="AO269" s="6" t="s">
        <v>110</v>
      </c>
      <c r="AP269" s="17">
        <v>3</v>
      </c>
      <c r="AQ269" s="116"/>
      <c r="AR269" s="6" t="s">
        <v>61</v>
      </c>
      <c r="AS269" s="17">
        <v>2</v>
      </c>
      <c r="AT269" s="116"/>
      <c r="AU269" s="6" t="s">
        <v>44</v>
      </c>
      <c r="AV269" s="17">
        <v>0</v>
      </c>
      <c r="AW269" s="116"/>
      <c r="AX269" s="6" t="s">
        <v>62</v>
      </c>
      <c r="AY269" s="17">
        <v>0</v>
      </c>
      <c r="AZ269" s="116"/>
      <c r="BA269" s="6" t="s">
        <v>38</v>
      </c>
      <c r="BB269" s="17">
        <v>0</v>
      </c>
      <c r="BC269" s="17">
        <v>0</v>
      </c>
      <c r="BD269" s="17">
        <v>1</v>
      </c>
      <c r="BE269" s="17">
        <v>1</v>
      </c>
      <c r="BF269" s="17">
        <v>0</v>
      </c>
      <c r="BG269" s="17">
        <v>0</v>
      </c>
      <c r="BH269" s="43" t="s">
        <v>95</v>
      </c>
      <c r="BI269" s="17">
        <v>0</v>
      </c>
      <c r="BJ269" s="134"/>
      <c r="BK269" s="6" t="s">
        <v>75</v>
      </c>
      <c r="BL269" s="17">
        <v>0</v>
      </c>
      <c r="BM269" s="116"/>
      <c r="BN269" s="6" t="s">
        <v>36</v>
      </c>
      <c r="BO269" s="17">
        <v>0</v>
      </c>
      <c r="BP269" s="119"/>
      <c r="BQ269" s="17" t="s">
        <v>87</v>
      </c>
      <c r="BR269" s="17">
        <v>0</v>
      </c>
      <c r="BS269" s="117"/>
      <c r="BT269" s="4" t="s">
        <v>46</v>
      </c>
      <c r="BU269" s="17">
        <v>2</v>
      </c>
      <c r="BV269" s="116"/>
      <c r="BW269" s="6" t="s">
        <v>51</v>
      </c>
      <c r="BX269" s="17">
        <v>1</v>
      </c>
      <c r="BY269" s="116"/>
      <c r="BZ269" s="6" t="s">
        <v>67</v>
      </c>
      <c r="CA269" s="17">
        <v>0</v>
      </c>
      <c r="CB269" s="116"/>
      <c r="CC269" s="6" t="s">
        <v>49</v>
      </c>
      <c r="CD269" s="17">
        <v>0</v>
      </c>
      <c r="CE269" s="119"/>
      <c r="CF269" s="17" t="s">
        <v>49</v>
      </c>
      <c r="CG269" s="17">
        <v>2</v>
      </c>
      <c r="CH269" s="116"/>
      <c r="CI269" s="6" t="s">
        <v>78</v>
      </c>
      <c r="CJ269" s="33">
        <v>0</v>
      </c>
      <c r="CK269" s="38">
        <v>0</v>
      </c>
      <c r="CL269" s="38">
        <v>0</v>
      </c>
      <c r="CM269" s="38">
        <v>1</v>
      </c>
      <c r="CN269" s="7" t="s">
        <v>307</v>
      </c>
      <c r="CO269" s="7"/>
      <c r="CP269" s="7"/>
    </row>
    <row r="270" spans="1:94" ht="15.75" customHeight="1" x14ac:dyDescent="0.15">
      <c r="A270" s="51" t="s">
        <v>308</v>
      </c>
      <c r="B270" s="3" t="s">
        <v>29</v>
      </c>
      <c r="C270" s="17">
        <v>4</v>
      </c>
      <c r="D270" s="116"/>
      <c r="E270" s="6" t="s">
        <v>127</v>
      </c>
      <c r="F270" s="21">
        <v>1</v>
      </c>
      <c r="G270" s="118"/>
      <c r="H270" s="6" t="s">
        <v>31</v>
      </c>
      <c r="I270" s="17">
        <v>1</v>
      </c>
      <c r="J270" s="116"/>
      <c r="K270" s="43" t="s">
        <v>32</v>
      </c>
      <c r="L270" s="17">
        <v>0</v>
      </c>
      <c r="M270" s="116"/>
      <c r="N270" s="6" t="s">
        <v>145</v>
      </c>
      <c r="O270" s="21">
        <v>1</v>
      </c>
      <c r="P270" s="118"/>
      <c r="Q270" s="6" t="s">
        <v>34</v>
      </c>
      <c r="R270" s="17">
        <v>1</v>
      </c>
      <c r="S270" s="116"/>
      <c r="T270" s="6" t="s">
        <v>57</v>
      </c>
      <c r="U270" s="17">
        <v>1</v>
      </c>
      <c r="V270" s="116"/>
      <c r="W270" s="6" t="s">
        <v>92</v>
      </c>
      <c r="X270" s="17">
        <v>1</v>
      </c>
      <c r="Y270" s="116"/>
      <c r="Z270" s="6" t="s">
        <v>58</v>
      </c>
      <c r="AA270" s="17">
        <v>2</v>
      </c>
      <c r="AB270" s="116"/>
      <c r="AC270" s="6" t="s">
        <v>59</v>
      </c>
      <c r="AD270" s="17">
        <v>1</v>
      </c>
      <c r="AE270" s="116"/>
      <c r="AF270" s="6" t="s">
        <v>39</v>
      </c>
      <c r="AG270" s="17">
        <v>0</v>
      </c>
      <c r="AH270" s="116"/>
      <c r="AI270" s="15" t="s">
        <v>84</v>
      </c>
      <c r="AJ270" s="25">
        <v>0</v>
      </c>
      <c r="AK270" s="129"/>
      <c r="AL270" s="6" t="s">
        <v>85</v>
      </c>
      <c r="AM270" s="17">
        <v>2</v>
      </c>
      <c r="AN270" s="116"/>
      <c r="AO270" s="6" t="s">
        <v>72</v>
      </c>
      <c r="AP270" s="17">
        <v>3</v>
      </c>
      <c r="AQ270" s="116"/>
      <c r="AR270" s="6" t="s">
        <v>61</v>
      </c>
      <c r="AS270" s="17">
        <v>2</v>
      </c>
      <c r="AT270" s="116"/>
      <c r="AU270" s="6" t="s">
        <v>44</v>
      </c>
      <c r="AV270" s="17">
        <v>0</v>
      </c>
      <c r="AW270" s="116"/>
      <c r="AX270" s="6" t="s">
        <v>62</v>
      </c>
      <c r="AY270" s="17">
        <v>2</v>
      </c>
      <c r="AZ270" s="116"/>
      <c r="BA270" s="6" t="s">
        <v>59</v>
      </c>
      <c r="BB270" s="17">
        <v>0</v>
      </c>
      <c r="BC270" s="17">
        <v>0</v>
      </c>
      <c r="BD270" s="17">
        <v>1</v>
      </c>
      <c r="BE270" s="17">
        <v>1</v>
      </c>
      <c r="BF270" s="17">
        <v>0</v>
      </c>
      <c r="BG270" s="17">
        <v>0</v>
      </c>
      <c r="BH270" s="43" t="s">
        <v>95</v>
      </c>
      <c r="BI270" s="17">
        <v>0</v>
      </c>
      <c r="BJ270" s="134"/>
      <c r="BK270" s="6" t="s">
        <v>75</v>
      </c>
      <c r="BL270" s="17">
        <v>3</v>
      </c>
      <c r="BM270" s="116"/>
      <c r="BN270" s="6" t="s">
        <v>49</v>
      </c>
      <c r="BO270" s="17">
        <v>1</v>
      </c>
      <c r="BP270" s="119"/>
      <c r="BQ270" s="17" t="s">
        <v>50</v>
      </c>
      <c r="BR270" s="17">
        <v>3</v>
      </c>
      <c r="BS270" s="116"/>
      <c r="BT270" s="6" t="s">
        <v>38</v>
      </c>
      <c r="BU270" s="17">
        <v>2</v>
      </c>
      <c r="BV270" s="116"/>
      <c r="BW270" s="6" t="s">
        <v>51</v>
      </c>
      <c r="BX270" s="17">
        <v>1</v>
      </c>
      <c r="BY270" s="116"/>
      <c r="BZ270" s="6" t="s">
        <v>67</v>
      </c>
      <c r="CA270" s="17">
        <v>0</v>
      </c>
      <c r="CB270" s="116"/>
      <c r="CC270" s="6" t="s">
        <v>49</v>
      </c>
      <c r="CD270" s="17">
        <v>2</v>
      </c>
      <c r="CE270" s="119"/>
      <c r="CF270" s="17" t="s">
        <v>36</v>
      </c>
      <c r="CG270" s="17">
        <v>2</v>
      </c>
      <c r="CH270" s="116"/>
      <c r="CI270" s="6" t="s">
        <v>78</v>
      </c>
      <c r="CJ270" s="33">
        <v>0</v>
      </c>
      <c r="CK270" s="38">
        <v>0</v>
      </c>
      <c r="CL270" s="38">
        <v>0</v>
      </c>
      <c r="CM270" s="38">
        <v>1</v>
      </c>
      <c r="CN270" s="7" t="s">
        <v>150</v>
      </c>
      <c r="CO270" s="7"/>
      <c r="CP270" s="7"/>
    </row>
    <row r="271" spans="1:94" ht="15.75" customHeight="1" x14ac:dyDescent="0.15">
      <c r="A271" s="51" t="s">
        <v>309</v>
      </c>
      <c r="B271" s="3" t="s">
        <v>29</v>
      </c>
      <c r="C271" s="17">
        <v>4</v>
      </c>
      <c r="D271" s="116"/>
      <c r="E271" s="6" t="s">
        <v>127</v>
      </c>
      <c r="F271" s="18">
        <v>2</v>
      </c>
      <c r="G271" s="117"/>
      <c r="H271" s="6" t="s">
        <v>91</v>
      </c>
      <c r="I271" s="17">
        <v>3</v>
      </c>
      <c r="J271" s="116"/>
      <c r="K271" s="43" t="s">
        <v>56</v>
      </c>
      <c r="L271" s="17">
        <v>2</v>
      </c>
      <c r="M271" s="116"/>
      <c r="N271" s="6" t="s">
        <v>33</v>
      </c>
      <c r="O271" s="21">
        <v>1</v>
      </c>
      <c r="P271" s="118"/>
      <c r="Q271" s="6" t="s">
        <v>34</v>
      </c>
      <c r="R271" s="17">
        <v>2</v>
      </c>
      <c r="S271" s="116"/>
      <c r="T271" s="6" t="s">
        <v>35</v>
      </c>
      <c r="U271" s="17">
        <v>2</v>
      </c>
      <c r="V271" s="116"/>
      <c r="W271" s="6" t="s">
        <v>36</v>
      </c>
      <c r="X271" s="17">
        <v>2</v>
      </c>
      <c r="Y271" s="116"/>
      <c r="Z271" s="6" t="s">
        <v>37</v>
      </c>
      <c r="AA271" s="17">
        <v>3</v>
      </c>
      <c r="AB271" s="116"/>
      <c r="AC271" s="6" t="s">
        <v>38</v>
      </c>
      <c r="AD271" s="17">
        <v>2</v>
      </c>
      <c r="AE271" s="116"/>
      <c r="AF271" s="6" t="s">
        <v>83</v>
      </c>
      <c r="AG271" s="17">
        <v>3</v>
      </c>
      <c r="AH271" s="116"/>
      <c r="AI271" s="15" t="s">
        <v>94</v>
      </c>
      <c r="AJ271" s="25">
        <v>2</v>
      </c>
      <c r="AK271" s="129"/>
      <c r="AL271" s="6" t="s">
        <v>71</v>
      </c>
      <c r="AM271" s="17">
        <v>3</v>
      </c>
      <c r="AN271" s="116"/>
      <c r="AO271" s="6" t="s">
        <v>42</v>
      </c>
      <c r="AP271" s="17">
        <v>0</v>
      </c>
      <c r="AQ271" s="116"/>
      <c r="AR271" s="6" t="s">
        <v>121</v>
      </c>
      <c r="AS271" s="17">
        <v>3</v>
      </c>
      <c r="AT271" s="116"/>
      <c r="AU271" s="6" t="s">
        <v>79</v>
      </c>
      <c r="AV271" s="17">
        <v>2</v>
      </c>
      <c r="AW271" s="116"/>
      <c r="AX271" s="6" t="s">
        <v>80</v>
      </c>
      <c r="AY271" s="17">
        <v>1</v>
      </c>
      <c r="AZ271" s="116"/>
      <c r="BA271" s="6" t="s">
        <v>69</v>
      </c>
      <c r="BB271" s="17">
        <v>1</v>
      </c>
      <c r="BC271" s="17">
        <v>0</v>
      </c>
      <c r="BD271" s="17">
        <v>1</v>
      </c>
      <c r="BE271" s="17">
        <v>0</v>
      </c>
      <c r="BF271" s="17">
        <v>0</v>
      </c>
      <c r="BG271" s="17">
        <v>0</v>
      </c>
      <c r="BH271" s="43" t="s">
        <v>47</v>
      </c>
      <c r="BI271" s="17">
        <v>2</v>
      </c>
      <c r="BJ271" s="134"/>
      <c r="BK271" s="6" t="s">
        <v>48</v>
      </c>
      <c r="BL271" s="17">
        <v>1</v>
      </c>
      <c r="BM271" s="116"/>
      <c r="BN271" s="6" t="s">
        <v>59</v>
      </c>
      <c r="BO271" s="17">
        <v>1</v>
      </c>
      <c r="BP271" s="119"/>
      <c r="BQ271" s="17" t="s">
        <v>50</v>
      </c>
      <c r="BR271" s="17">
        <v>3</v>
      </c>
      <c r="BS271" s="117"/>
      <c r="BT271" s="4" t="s">
        <v>38</v>
      </c>
      <c r="BU271" s="17">
        <v>2</v>
      </c>
      <c r="BV271" s="116"/>
      <c r="BW271" s="6" t="s">
        <v>51</v>
      </c>
      <c r="BX271" s="17">
        <v>2</v>
      </c>
      <c r="BY271" s="116"/>
      <c r="BZ271" s="6" t="s">
        <v>97</v>
      </c>
      <c r="CA271" s="17">
        <v>3</v>
      </c>
      <c r="CB271" s="116"/>
      <c r="CC271" s="6" t="s">
        <v>36</v>
      </c>
      <c r="CD271" s="17">
        <v>0</v>
      </c>
      <c r="CE271" s="119"/>
      <c r="CF271" s="17" t="s">
        <v>49</v>
      </c>
      <c r="CG271" s="17">
        <v>1</v>
      </c>
      <c r="CH271" s="116"/>
      <c r="CI271" s="6" t="s">
        <v>77</v>
      </c>
      <c r="CJ271" s="33">
        <v>0</v>
      </c>
      <c r="CK271" s="38">
        <v>1</v>
      </c>
      <c r="CL271" s="38">
        <v>1</v>
      </c>
      <c r="CM271" s="38">
        <v>0</v>
      </c>
      <c r="CN271" s="7" t="s">
        <v>98</v>
      </c>
      <c r="CO271" s="7"/>
      <c r="CP271" s="7"/>
    </row>
    <row r="272" spans="1:94" ht="15.75" customHeight="1" x14ac:dyDescent="0.15">
      <c r="A272" s="51" t="s">
        <v>310</v>
      </c>
      <c r="B272" s="3" t="s">
        <v>29</v>
      </c>
      <c r="C272" s="17">
        <v>4</v>
      </c>
      <c r="D272" s="116"/>
      <c r="E272" s="6" t="s">
        <v>127</v>
      </c>
      <c r="F272" s="21">
        <v>1</v>
      </c>
      <c r="G272" s="118"/>
      <c r="H272" s="6" t="s">
        <v>31</v>
      </c>
      <c r="I272" s="17">
        <v>3</v>
      </c>
      <c r="J272" s="116"/>
      <c r="K272" s="43" t="s">
        <v>56</v>
      </c>
      <c r="L272" s="17">
        <v>0</v>
      </c>
      <c r="M272" s="116"/>
      <c r="N272" s="6" t="s">
        <v>145</v>
      </c>
      <c r="O272" s="21">
        <v>1</v>
      </c>
      <c r="P272" s="118"/>
      <c r="Q272" s="6" t="s">
        <v>34</v>
      </c>
      <c r="R272" s="17">
        <v>2</v>
      </c>
      <c r="S272" s="116"/>
      <c r="T272" s="6" t="s">
        <v>35</v>
      </c>
      <c r="U272" s="17">
        <v>2</v>
      </c>
      <c r="V272" s="116"/>
      <c r="W272" s="6" t="s">
        <v>36</v>
      </c>
      <c r="X272" s="17">
        <v>2</v>
      </c>
      <c r="Y272" s="116"/>
      <c r="Z272" s="6" t="s">
        <v>37</v>
      </c>
      <c r="AA272" s="17">
        <v>3</v>
      </c>
      <c r="AB272" s="116"/>
      <c r="AC272" s="6" t="s">
        <v>38</v>
      </c>
      <c r="AD272" s="17">
        <v>0</v>
      </c>
      <c r="AE272" s="116"/>
      <c r="AF272" s="6" t="s">
        <v>70</v>
      </c>
      <c r="AG272" s="17">
        <v>2</v>
      </c>
      <c r="AH272" s="116"/>
      <c r="AI272" s="15" t="s">
        <v>40</v>
      </c>
      <c r="AJ272" s="25">
        <v>3</v>
      </c>
      <c r="AK272" s="129"/>
      <c r="AL272" s="6" t="s">
        <v>41</v>
      </c>
      <c r="AM272" s="17">
        <v>3</v>
      </c>
      <c r="AN272" s="116"/>
      <c r="AO272" s="6" t="s">
        <v>42</v>
      </c>
      <c r="AP272" s="17">
        <v>3</v>
      </c>
      <c r="AQ272" s="116"/>
      <c r="AR272" s="6" t="s">
        <v>61</v>
      </c>
      <c r="AS272" s="17">
        <v>3</v>
      </c>
      <c r="AT272" s="116"/>
      <c r="AU272" s="6" t="s">
        <v>79</v>
      </c>
      <c r="AV272" s="17">
        <v>2</v>
      </c>
      <c r="AW272" s="116"/>
      <c r="AX272" s="6" t="s">
        <v>80</v>
      </c>
      <c r="AY272" s="17">
        <v>2</v>
      </c>
      <c r="AZ272" s="116"/>
      <c r="BA272" s="6" t="s">
        <v>59</v>
      </c>
      <c r="BB272" s="17">
        <v>1</v>
      </c>
      <c r="BC272" s="17">
        <v>1</v>
      </c>
      <c r="BD272" s="17">
        <v>0</v>
      </c>
      <c r="BE272" s="17">
        <v>0</v>
      </c>
      <c r="BF272" s="17">
        <v>0</v>
      </c>
      <c r="BG272" s="17">
        <v>0</v>
      </c>
      <c r="BH272" s="43" t="s">
        <v>81</v>
      </c>
      <c r="BI272" s="17">
        <v>2</v>
      </c>
      <c r="BJ272" s="134"/>
      <c r="BK272" s="6" t="s">
        <v>48</v>
      </c>
      <c r="BL272" s="17">
        <v>0</v>
      </c>
      <c r="BM272" s="116"/>
      <c r="BN272" s="6" t="s">
        <v>36</v>
      </c>
      <c r="BO272" s="17">
        <v>2</v>
      </c>
      <c r="BP272" s="119"/>
      <c r="BQ272" s="17" t="s">
        <v>117</v>
      </c>
      <c r="BR272" s="17">
        <v>3</v>
      </c>
      <c r="BS272" s="119"/>
      <c r="BT272" s="1" t="s">
        <v>38</v>
      </c>
      <c r="BU272" s="17">
        <v>1</v>
      </c>
      <c r="BV272" s="116"/>
      <c r="BW272" s="6" t="s">
        <v>66</v>
      </c>
      <c r="BX272" s="17">
        <v>2</v>
      </c>
      <c r="BY272" s="116"/>
      <c r="BZ272" s="6" t="s">
        <v>97</v>
      </c>
      <c r="CA272" s="17">
        <v>0</v>
      </c>
      <c r="CB272" s="116"/>
      <c r="CC272" s="6" t="s">
        <v>49</v>
      </c>
      <c r="CD272" s="17">
        <v>0</v>
      </c>
      <c r="CE272" s="119"/>
      <c r="CF272" s="17" t="s">
        <v>49</v>
      </c>
      <c r="CG272" s="17">
        <v>3</v>
      </c>
      <c r="CH272" s="116"/>
      <c r="CI272" s="6" t="s">
        <v>53</v>
      </c>
      <c r="CJ272" s="33">
        <v>1</v>
      </c>
      <c r="CK272" s="38">
        <v>0</v>
      </c>
      <c r="CL272" s="38">
        <v>0</v>
      </c>
      <c r="CM272" s="38">
        <v>0</v>
      </c>
      <c r="CN272" s="7" t="s">
        <v>311</v>
      </c>
      <c r="CO272" s="7"/>
      <c r="CP272" s="7"/>
    </row>
    <row r="273" spans="1:94" ht="15.75" customHeight="1" x14ac:dyDescent="0.15">
      <c r="A273" s="51" t="s">
        <v>312</v>
      </c>
      <c r="B273" s="3" t="s">
        <v>29</v>
      </c>
      <c r="C273" s="17">
        <v>5</v>
      </c>
      <c r="D273" s="116"/>
      <c r="E273" s="6" t="s">
        <v>30</v>
      </c>
      <c r="F273" s="21">
        <v>1</v>
      </c>
      <c r="G273" s="118"/>
      <c r="H273" s="6" t="s">
        <v>31</v>
      </c>
      <c r="I273" s="17">
        <v>3</v>
      </c>
      <c r="J273" s="116"/>
      <c r="K273" s="43" t="s">
        <v>56</v>
      </c>
      <c r="L273" s="17">
        <v>0</v>
      </c>
      <c r="M273" s="116"/>
      <c r="N273" s="6" t="s">
        <v>145</v>
      </c>
      <c r="O273" s="21">
        <v>1</v>
      </c>
      <c r="P273" s="118"/>
      <c r="Q273" s="6" t="s">
        <v>34</v>
      </c>
      <c r="R273" s="17">
        <v>2</v>
      </c>
      <c r="S273" s="116"/>
      <c r="T273" s="6" t="s">
        <v>35</v>
      </c>
      <c r="U273" s="17">
        <v>2</v>
      </c>
      <c r="V273" s="116"/>
      <c r="W273" s="6" t="s">
        <v>36</v>
      </c>
      <c r="X273" s="17">
        <v>2</v>
      </c>
      <c r="Y273" s="116"/>
      <c r="Z273" s="6" t="s">
        <v>37</v>
      </c>
      <c r="AA273" s="17">
        <v>3</v>
      </c>
      <c r="AB273" s="116"/>
      <c r="AC273" s="6" t="s">
        <v>38</v>
      </c>
      <c r="AD273" s="17">
        <v>0</v>
      </c>
      <c r="AE273" s="116"/>
      <c r="AF273" s="6" t="s">
        <v>70</v>
      </c>
      <c r="AG273" s="17">
        <v>2</v>
      </c>
      <c r="AH273" s="116"/>
      <c r="AI273" s="15" t="s">
        <v>40</v>
      </c>
      <c r="AJ273" s="25">
        <v>3</v>
      </c>
      <c r="AK273" s="129"/>
      <c r="AL273" s="6" t="s">
        <v>41</v>
      </c>
      <c r="AM273" s="17">
        <v>3</v>
      </c>
      <c r="AN273" s="116"/>
      <c r="AO273" s="6" t="s">
        <v>42</v>
      </c>
      <c r="AP273" s="17">
        <v>2</v>
      </c>
      <c r="AQ273" s="116"/>
      <c r="AR273" s="6" t="s">
        <v>104</v>
      </c>
      <c r="AS273" s="17">
        <v>3</v>
      </c>
      <c r="AT273" s="116"/>
      <c r="AU273" s="6" t="s">
        <v>79</v>
      </c>
      <c r="AV273" s="17">
        <v>2</v>
      </c>
      <c r="AW273" s="116"/>
      <c r="AX273" s="6" t="s">
        <v>80</v>
      </c>
      <c r="AY273" s="17">
        <v>3</v>
      </c>
      <c r="AZ273" s="116"/>
      <c r="BA273" s="6" t="s">
        <v>46</v>
      </c>
      <c r="BB273" s="17">
        <v>1</v>
      </c>
      <c r="BC273" s="17">
        <v>0</v>
      </c>
      <c r="BD273" s="17">
        <v>1</v>
      </c>
      <c r="BE273" s="17">
        <v>0</v>
      </c>
      <c r="BF273" s="17">
        <v>0</v>
      </c>
      <c r="BG273" s="17">
        <v>0</v>
      </c>
      <c r="BH273" s="43" t="s">
        <v>47</v>
      </c>
      <c r="BI273" s="17">
        <v>2</v>
      </c>
      <c r="BJ273" s="134"/>
      <c r="BK273" s="6" t="s">
        <v>48</v>
      </c>
      <c r="BL273" s="17">
        <v>3</v>
      </c>
      <c r="BM273" s="116"/>
      <c r="BN273" s="6" t="s">
        <v>49</v>
      </c>
      <c r="BO273" s="17">
        <v>2</v>
      </c>
      <c r="BP273" s="119"/>
      <c r="BQ273" s="17" t="s">
        <v>117</v>
      </c>
      <c r="BR273" s="17">
        <v>3</v>
      </c>
      <c r="BS273" s="117"/>
      <c r="BT273" s="4" t="s">
        <v>38</v>
      </c>
      <c r="BU273" s="17">
        <v>2</v>
      </c>
      <c r="BV273" s="116"/>
      <c r="BW273" s="6" t="s">
        <v>51</v>
      </c>
      <c r="BX273" s="17">
        <v>3</v>
      </c>
      <c r="BY273" s="116"/>
      <c r="BZ273" s="6" t="s">
        <v>313</v>
      </c>
      <c r="CA273" s="17">
        <v>3</v>
      </c>
      <c r="CB273" s="116"/>
      <c r="CC273" s="6" t="s">
        <v>36</v>
      </c>
      <c r="CD273" s="17">
        <v>1</v>
      </c>
      <c r="CE273" s="119"/>
      <c r="CF273" s="17" t="s">
        <v>77</v>
      </c>
      <c r="CG273" s="17">
        <v>3</v>
      </c>
      <c r="CH273" s="116"/>
      <c r="CI273" s="6" t="s">
        <v>53</v>
      </c>
      <c r="CJ273" s="33">
        <v>1</v>
      </c>
      <c r="CK273" s="38">
        <v>1</v>
      </c>
      <c r="CL273" s="38">
        <v>0</v>
      </c>
      <c r="CM273" s="38">
        <v>0</v>
      </c>
      <c r="CN273" s="7" t="s">
        <v>82</v>
      </c>
      <c r="CO273" s="7"/>
      <c r="CP273" s="7"/>
    </row>
    <row r="274" spans="1:94" ht="15.75" customHeight="1" x14ac:dyDescent="0.15">
      <c r="A274" s="51" t="s">
        <v>314</v>
      </c>
      <c r="B274" s="3" t="s">
        <v>29</v>
      </c>
      <c r="C274" s="17">
        <v>4</v>
      </c>
      <c r="D274" s="116"/>
      <c r="E274" s="6" t="s">
        <v>127</v>
      </c>
      <c r="F274" s="21">
        <v>1</v>
      </c>
      <c r="G274" s="118"/>
      <c r="H274" s="6" t="s">
        <v>31</v>
      </c>
      <c r="I274" s="17">
        <v>3</v>
      </c>
      <c r="J274" s="116"/>
      <c r="K274" s="43" t="s">
        <v>56</v>
      </c>
      <c r="L274" s="17">
        <v>0</v>
      </c>
      <c r="M274" s="116"/>
      <c r="N274" s="6" t="s">
        <v>145</v>
      </c>
      <c r="O274" s="21">
        <v>1</v>
      </c>
      <c r="P274" s="118"/>
      <c r="Q274" s="6" t="s">
        <v>34</v>
      </c>
      <c r="R274" s="17">
        <v>2</v>
      </c>
      <c r="S274" s="116"/>
      <c r="T274" s="6" t="s">
        <v>35</v>
      </c>
      <c r="U274" s="17">
        <v>2</v>
      </c>
      <c r="V274" s="116"/>
      <c r="W274" s="6" t="s">
        <v>36</v>
      </c>
      <c r="X274" s="17">
        <v>2</v>
      </c>
      <c r="Y274" s="116"/>
      <c r="Z274" s="6" t="s">
        <v>37</v>
      </c>
      <c r="AA274" s="17">
        <v>2</v>
      </c>
      <c r="AB274" s="116"/>
      <c r="AC274" s="6" t="s">
        <v>59</v>
      </c>
      <c r="AD274" s="17">
        <v>4</v>
      </c>
      <c r="AE274" s="116"/>
      <c r="AF274" s="6" t="s">
        <v>93</v>
      </c>
      <c r="AG274" s="17">
        <v>3</v>
      </c>
      <c r="AH274" s="116"/>
      <c r="AI274" s="15" t="s">
        <v>94</v>
      </c>
      <c r="AJ274" s="25">
        <v>3</v>
      </c>
      <c r="AK274" s="129"/>
      <c r="AL274" s="6" t="s">
        <v>41</v>
      </c>
      <c r="AM274" s="17">
        <v>3</v>
      </c>
      <c r="AN274" s="116"/>
      <c r="AO274" s="6" t="s">
        <v>42</v>
      </c>
      <c r="AP274" s="17">
        <v>4</v>
      </c>
      <c r="AQ274" s="116"/>
      <c r="AR274" s="6" t="s">
        <v>43</v>
      </c>
      <c r="AS274" s="17">
        <v>3</v>
      </c>
      <c r="AT274" s="116"/>
      <c r="AU274" s="6" t="s">
        <v>79</v>
      </c>
      <c r="AV274" s="17">
        <v>2</v>
      </c>
      <c r="AW274" s="116"/>
      <c r="AX274" s="6" t="s">
        <v>80</v>
      </c>
      <c r="AY274" s="17">
        <v>3</v>
      </c>
      <c r="AZ274" s="116"/>
      <c r="BA274" s="6" t="s">
        <v>46</v>
      </c>
      <c r="BB274" s="17">
        <v>1</v>
      </c>
      <c r="BC274" s="17">
        <v>0</v>
      </c>
      <c r="BD274" s="17">
        <v>1</v>
      </c>
      <c r="BE274" s="17">
        <v>0</v>
      </c>
      <c r="BF274" s="17">
        <v>0</v>
      </c>
      <c r="BG274" s="17">
        <v>0</v>
      </c>
      <c r="BH274" s="43" t="s">
        <v>47</v>
      </c>
      <c r="BI274" s="17">
        <v>2</v>
      </c>
      <c r="BJ274" s="134"/>
      <c r="BK274" s="6" t="s">
        <v>48</v>
      </c>
      <c r="BL274" s="17">
        <v>3</v>
      </c>
      <c r="BM274" s="116"/>
      <c r="BN274" s="6" t="s">
        <v>49</v>
      </c>
      <c r="BO274" s="17">
        <v>2</v>
      </c>
      <c r="BP274" s="119"/>
      <c r="BQ274" s="17" t="s">
        <v>117</v>
      </c>
      <c r="BR274" s="17">
        <v>3</v>
      </c>
      <c r="BS274" s="116"/>
      <c r="BT274" s="6" t="s">
        <v>38</v>
      </c>
      <c r="BU274" s="17">
        <v>0</v>
      </c>
      <c r="BV274" s="116"/>
      <c r="BW274" s="6" t="s">
        <v>88</v>
      </c>
      <c r="BX274" s="17">
        <v>3</v>
      </c>
      <c r="BY274" s="116"/>
      <c r="BZ274" s="6" t="s">
        <v>52</v>
      </c>
      <c r="CA274" s="17">
        <v>3</v>
      </c>
      <c r="CB274" s="116"/>
      <c r="CC274" s="6" t="s">
        <v>36</v>
      </c>
      <c r="CD274" s="17">
        <v>1</v>
      </c>
      <c r="CE274" s="119"/>
      <c r="CF274" s="17" t="s">
        <v>77</v>
      </c>
      <c r="CG274" s="17">
        <v>3</v>
      </c>
      <c r="CH274" s="116"/>
      <c r="CI274" s="6" t="s">
        <v>53</v>
      </c>
      <c r="CJ274" s="33">
        <v>1</v>
      </c>
      <c r="CK274" s="38">
        <v>1</v>
      </c>
      <c r="CL274" s="38">
        <v>0</v>
      </c>
      <c r="CM274" s="38">
        <v>0</v>
      </c>
      <c r="CN274" s="7" t="s">
        <v>82</v>
      </c>
      <c r="CO274" s="7"/>
      <c r="CP274" s="7"/>
    </row>
    <row r="275" spans="1:94" ht="15.75" customHeight="1" x14ac:dyDescent="0.15">
      <c r="A275" s="51" t="s">
        <v>315</v>
      </c>
      <c r="B275" s="3" t="s">
        <v>29</v>
      </c>
      <c r="C275" s="17">
        <v>4</v>
      </c>
      <c r="D275" s="116"/>
      <c r="E275" s="6" t="s">
        <v>127</v>
      </c>
      <c r="F275" s="18">
        <v>2</v>
      </c>
      <c r="G275" s="117"/>
      <c r="H275" s="6" t="s">
        <v>91</v>
      </c>
      <c r="I275" s="17">
        <v>3</v>
      </c>
      <c r="J275" s="116"/>
      <c r="K275" s="43" t="s">
        <v>56</v>
      </c>
      <c r="L275" s="17">
        <v>0</v>
      </c>
      <c r="M275" s="116"/>
      <c r="N275" s="6" t="s">
        <v>145</v>
      </c>
      <c r="O275" s="21">
        <v>1</v>
      </c>
      <c r="P275" s="118"/>
      <c r="Q275" s="6" t="s">
        <v>34</v>
      </c>
      <c r="R275" s="17">
        <v>2</v>
      </c>
      <c r="S275" s="116"/>
      <c r="T275" s="6" t="s">
        <v>35</v>
      </c>
      <c r="U275" s="17">
        <v>1</v>
      </c>
      <c r="V275" s="116"/>
      <c r="W275" s="6" t="s">
        <v>92</v>
      </c>
      <c r="X275" s="17">
        <v>1</v>
      </c>
      <c r="Y275" s="116"/>
      <c r="Z275" s="6" t="s">
        <v>58</v>
      </c>
      <c r="AA275" s="17">
        <v>3</v>
      </c>
      <c r="AB275" s="116"/>
      <c r="AC275" s="6" t="s">
        <v>38</v>
      </c>
      <c r="AD275" s="17">
        <v>2</v>
      </c>
      <c r="AE275" s="116"/>
      <c r="AF275" s="6" t="s">
        <v>83</v>
      </c>
      <c r="AG275" s="17">
        <v>3</v>
      </c>
      <c r="AH275" s="116"/>
      <c r="AI275" s="15" t="s">
        <v>94</v>
      </c>
      <c r="AJ275" s="25">
        <v>3</v>
      </c>
      <c r="AK275" s="129"/>
      <c r="AL275" s="6" t="s">
        <v>41</v>
      </c>
      <c r="AM275" s="17">
        <v>3</v>
      </c>
      <c r="AN275" s="116"/>
      <c r="AO275" s="6" t="s">
        <v>42</v>
      </c>
      <c r="AP275" s="17">
        <v>4</v>
      </c>
      <c r="AQ275" s="116"/>
      <c r="AR275" s="6" t="s">
        <v>43</v>
      </c>
      <c r="AS275" s="17">
        <v>3</v>
      </c>
      <c r="AT275" s="116"/>
      <c r="AU275" s="6" t="s">
        <v>79</v>
      </c>
      <c r="AV275" s="17">
        <v>2</v>
      </c>
      <c r="AW275" s="116"/>
      <c r="AX275" s="6" t="s">
        <v>80</v>
      </c>
      <c r="AY275" s="17">
        <v>1</v>
      </c>
      <c r="AZ275" s="116"/>
      <c r="BA275" s="6" t="s">
        <v>69</v>
      </c>
      <c r="BB275" s="17">
        <v>0</v>
      </c>
      <c r="BC275" s="17">
        <v>1</v>
      </c>
      <c r="BD275" s="17">
        <v>1</v>
      </c>
      <c r="BE275" s="17">
        <v>0</v>
      </c>
      <c r="BF275" s="17">
        <v>0</v>
      </c>
      <c r="BG275" s="17">
        <v>0</v>
      </c>
      <c r="BH275" s="43" t="s">
        <v>105</v>
      </c>
      <c r="BI275" s="17">
        <v>2</v>
      </c>
      <c r="BJ275" s="134"/>
      <c r="BK275" s="6" t="s">
        <v>48</v>
      </c>
      <c r="BL275" s="17">
        <v>2</v>
      </c>
      <c r="BM275" s="116"/>
      <c r="BN275" s="6" t="s">
        <v>64</v>
      </c>
      <c r="BO275" s="17">
        <v>2</v>
      </c>
      <c r="BP275" s="119"/>
      <c r="BQ275" s="17" t="s">
        <v>117</v>
      </c>
      <c r="BR275" s="17">
        <v>2</v>
      </c>
      <c r="BS275" s="117"/>
      <c r="BT275" s="4" t="s">
        <v>65</v>
      </c>
      <c r="BU275" s="17">
        <v>1</v>
      </c>
      <c r="BV275" s="116"/>
      <c r="BW275" s="6" t="s">
        <v>66</v>
      </c>
      <c r="BX275" s="17">
        <v>2</v>
      </c>
      <c r="BY275" s="116"/>
      <c r="BZ275" s="6" t="s">
        <v>97</v>
      </c>
      <c r="CA275" s="17">
        <v>3</v>
      </c>
      <c r="CB275" s="116"/>
      <c r="CC275" s="6" t="s">
        <v>36</v>
      </c>
      <c r="CD275" s="17">
        <v>1</v>
      </c>
      <c r="CE275" s="119"/>
      <c r="CF275" s="17" t="s">
        <v>77</v>
      </c>
      <c r="CG275" s="17">
        <v>3</v>
      </c>
      <c r="CH275" s="116"/>
      <c r="CI275" s="6" t="s">
        <v>53</v>
      </c>
      <c r="CJ275" s="33">
        <v>1</v>
      </c>
      <c r="CK275" s="38">
        <v>1</v>
      </c>
      <c r="CL275" s="38">
        <v>0</v>
      </c>
      <c r="CM275" s="38">
        <v>0</v>
      </c>
      <c r="CN275" s="7" t="s">
        <v>82</v>
      </c>
      <c r="CO275" s="7"/>
      <c r="CP275" s="7"/>
    </row>
    <row r="276" spans="1:94" ht="15.75" customHeight="1" x14ac:dyDescent="0.15">
      <c r="A276" s="51" t="s">
        <v>316</v>
      </c>
      <c r="B276" s="3" t="s">
        <v>29</v>
      </c>
      <c r="C276" s="17">
        <v>4</v>
      </c>
      <c r="D276" s="116"/>
      <c r="E276" s="6" t="s">
        <v>127</v>
      </c>
      <c r="F276" s="21">
        <v>1</v>
      </c>
      <c r="G276" s="118"/>
      <c r="H276" s="6" t="s">
        <v>31</v>
      </c>
      <c r="I276" s="17">
        <v>1</v>
      </c>
      <c r="J276" s="116"/>
      <c r="K276" s="43" t="s">
        <v>32</v>
      </c>
      <c r="L276" s="17">
        <v>0</v>
      </c>
      <c r="M276" s="116"/>
      <c r="N276" s="6" t="s">
        <v>145</v>
      </c>
      <c r="O276" s="21">
        <v>1</v>
      </c>
      <c r="P276" s="118"/>
      <c r="Q276" s="6" t="s">
        <v>34</v>
      </c>
      <c r="R276" s="17">
        <v>2</v>
      </c>
      <c r="S276" s="116"/>
      <c r="T276" s="6" t="s">
        <v>35</v>
      </c>
      <c r="U276" s="17">
        <v>1</v>
      </c>
      <c r="V276" s="116"/>
      <c r="W276" s="6" t="s">
        <v>92</v>
      </c>
      <c r="X276" s="17">
        <v>1</v>
      </c>
      <c r="Y276" s="116"/>
      <c r="Z276" s="6" t="s">
        <v>58</v>
      </c>
      <c r="AA276" s="17">
        <v>1</v>
      </c>
      <c r="AB276" s="116"/>
      <c r="AC276" s="6" t="s">
        <v>69</v>
      </c>
      <c r="AD276" s="17">
        <v>2</v>
      </c>
      <c r="AE276" s="116"/>
      <c r="AF276" s="6" t="s">
        <v>83</v>
      </c>
      <c r="AG276" s="17">
        <v>3</v>
      </c>
      <c r="AH276" s="116"/>
      <c r="AI276" s="15" t="s">
        <v>94</v>
      </c>
      <c r="AJ276" s="25">
        <v>0</v>
      </c>
      <c r="AK276" s="129"/>
      <c r="AL276" s="6" t="s">
        <v>85</v>
      </c>
      <c r="AM276" s="17">
        <v>1</v>
      </c>
      <c r="AN276" s="116"/>
      <c r="AO276" s="6" t="s">
        <v>130</v>
      </c>
      <c r="AP276" s="17">
        <v>3</v>
      </c>
      <c r="AQ276" s="116"/>
      <c r="AR276" s="6" t="s">
        <v>61</v>
      </c>
      <c r="AS276" s="17">
        <v>2</v>
      </c>
      <c r="AT276" s="116"/>
      <c r="AU276" s="6" t="s">
        <v>44</v>
      </c>
      <c r="AV276" s="17">
        <v>2</v>
      </c>
      <c r="AW276" s="116"/>
      <c r="AX276" s="6" t="s">
        <v>80</v>
      </c>
      <c r="AY276" s="17">
        <v>2</v>
      </c>
      <c r="AZ276" s="116"/>
      <c r="BA276" s="6" t="s">
        <v>59</v>
      </c>
      <c r="BB276" s="17">
        <v>1</v>
      </c>
      <c r="BC276" s="17">
        <v>0</v>
      </c>
      <c r="BD276" s="17">
        <v>1</v>
      </c>
      <c r="BE276" s="17">
        <v>0</v>
      </c>
      <c r="BF276" s="17">
        <v>0</v>
      </c>
      <c r="BG276" s="17">
        <v>0</v>
      </c>
      <c r="BH276" s="43" t="s">
        <v>47</v>
      </c>
      <c r="BI276" s="17">
        <v>0</v>
      </c>
      <c r="BJ276" s="134"/>
      <c r="BK276" s="6" t="s">
        <v>75</v>
      </c>
      <c r="BL276" s="17">
        <v>1</v>
      </c>
      <c r="BM276" s="116"/>
      <c r="BN276" s="6" t="s">
        <v>59</v>
      </c>
      <c r="BO276" s="17">
        <v>2</v>
      </c>
      <c r="BP276" s="119"/>
      <c r="BQ276" s="17" t="s">
        <v>117</v>
      </c>
      <c r="BR276" s="17">
        <v>3</v>
      </c>
      <c r="BS276" s="119"/>
      <c r="BT276" s="1" t="s">
        <v>38</v>
      </c>
      <c r="BU276" s="17">
        <v>2</v>
      </c>
      <c r="BV276" s="116"/>
      <c r="BW276" s="6" t="s">
        <v>51</v>
      </c>
      <c r="BX276" s="17">
        <v>3</v>
      </c>
      <c r="BY276" s="116"/>
      <c r="BZ276" s="6" t="s">
        <v>52</v>
      </c>
      <c r="CA276" s="17">
        <v>2</v>
      </c>
      <c r="CB276" s="116"/>
      <c r="CC276" s="6" t="s">
        <v>76</v>
      </c>
      <c r="CD276" s="17">
        <v>0</v>
      </c>
      <c r="CE276" s="119"/>
      <c r="CF276" s="17" t="s">
        <v>49</v>
      </c>
      <c r="CG276" s="17">
        <v>2</v>
      </c>
      <c r="CH276" s="116"/>
      <c r="CI276" s="6" t="s">
        <v>78</v>
      </c>
      <c r="CJ276" s="33">
        <v>1</v>
      </c>
      <c r="CK276" s="38">
        <v>1</v>
      </c>
      <c r="CL276" s="38">
        <v>0</v>
      </c>
      <c r="CM276" s="38">
        <v>0</v>
      </c>
      <c r="CN276" s="7" t="s">
        <v>68</v>
      </c>
      <c r="CO276" s="7"/>
      <c r="CP276" s="7"/>
    </row>
    <row r="277" spans="1:94" ht="15.75" customHeight="1" x14ac:dyDescent="0.15">
      <c r="A277" s="51" t="s">
        <v>317</v>
      </c>
      <c r="B277" s="3" t="s">
        <v>29</v>
      </c>
      <c r="C277" s="17">
        <v>5</v>
      </c>
      <c r="D277" s="116"/>
      <c r="E277" s="6" t="s">
        <v>30</v>
      </c>
      <c r="F277" s="18">
        <v>2</v>
      </c>
      <c r="G277" s="117"/>
      <c r="H277" s="6" t="s">
        <v>91</v>
      </c>
      <c r="I277" s="17">
        <v>3</v>
      </c>
      <c r="J277" s="116"/>
      <c r="K277" s="43" t="s">
        <v>56</v>
      </c>
      <c r="L277" s="17">
        <v>0</v>
      </c>
      <c r="M277" s="116"/>
      <c r="N277" s="6" t="s">
        <v>145</v>
      </c>
      <c r="O277" s="21">
        <v>1</v>
      </c>
      <c r="P277" s="118"/>
      <c r="Q277" s="6" t="s">
        <v>34</v>
      </c>
      <c r="R277" s="17">
        <v>1</v>
      </c>
      <c r="S277" s="116"/>
      <c r="T277" s="6" t="s">
        <v>57</v>
      </c>
      <c r="U277" s="17">
        <v>1</v>
      </c>
      <c r="V277" s="116"/>
      <c r="W277" s="6" t="s">
        <v>92</v>
      </c>
      <c r="X277" s="17">
        <v>1</v>
      </c>
      <c r="Y277" s="116"/>
      <c r="Z277" s="6" t="s">
        <v>58</v>
      </c>
      <c r="AA277" s="17">
        <v>2</v>
      </c>
      <c r="AB277" s="116"/>
      <c r="AC277" s="6" t="s">
        <v>59</v>
      </c>
      <c r="AD277" s="17">
        <v>4</v>
      </c>
      <c r="AE277" s="116"/>
      <c r="AF277" s="6" t="s">
        <v>93</v>
      </c>
      <c r="AG277" s="17">
        <v>3</v>
      </c>
      <c r="AH277" s="116"/>
      <c r="AI277" s="15" t="s">
        <v>94</v>
      </c>
      <c r="AJ277" s="25">
        <v>2</v>
      </c>
      <c r="AK277" s="129"/>
      <c r="AL277" s="6" t="s">
        <v>71</v>
      </c>
      <c r="AM277" s="17">
        <v>2</v>
      </c>
      <c r="AN277" s="116"/>
      <c r="AO277" s="6" t="s">
        <v>72</v>
      </c>
      <c r="AP277" s="17">
        <v>3</v>
      </c>
      <c r="AQ277" s="116"/>
      <c r="AR277" s="6" t="s">
        <v>61</v>
      </c>
      <c r="AS277" s="17">
        <v>2</v>
      </c>
      <c r="AT277" s="116"/>
      <c r="AU277" s="6" t="s">
        <v>44</v>
      </c>
      <c r="AV277" s="17">
        <v>2</v>
      </c>
      <c r="AW277" s="116"/>
      <c r="AX277" s="6" t="s">
        <v>80</v>
      </c>
      <c r="AY277" s="17">
        <v>1</v>
      </c>
      <c r="AZ277" s="116"/>
      <c r="BA277" s="6" t="s">
        <v>69</v>
      </c>
      <c r="BB277" s="17">
        <v>1</v>
      </c>
      <c r="BC277" s="17">
        <v>0</v>
      </c>
      <c r="BD277" s="17">
        <v>1</v>
      </c>
      <c r="BE277" s="17">
        <v>0</v>
      </c>
      <c r="BF277" s="17">
        <v>0</v>
      </c>
      <c r="BG277" s="17">
        <v>0</v>
      </c>
      <c r="BH277" s="43" t="s">
        <v>47</v>
      </c>
      <c r="BI277" s="17">
        <v>2</v>
      </c>
      <c r="BJ277" s="134"/>
      <c r="BK277" s="6" t="s">
        <v>48</v>
      </c>
      <c r="BL277" s="17">
        <v>1</v>
      </c>
      <c r="BM277" s="116"/>
      <c r="BN277" s="6" t="s">
        <v>59</v>
      </c>
      <c r="BO277" s="17">
        <v>1</v>
      </c>
      <c r="BP277" s="119"/>
      <c r="BQ277" s="17" t="s">
        <v>50</v>
      </c>
      <c r="BR277" s="17">
        <v>1</v>
      </c>
      <c r="BS277" s="117"/>
      <c r="BT277" s="4" t="s">
        <v>69</v>
      </c>
      <c r="BU277" s="17">
        <v>2</v>
      </c>
      <c r="BV277" s="116"/>
      <c r="BW277" s="6" t="s">
        <v>51</v>
      </c>
      <c r="BX277" s="17">
        <v>3</v>
      </c>
      <c r="BY277" s="116"/>
      <c r="BZ277" s="6" t="s">
        <v>52</v>
      </c>
      <c r="CA277" s="17">
        <v>2</v>
      </c>
      <c r="CB277" s="116"/>
      <c r="CC277" s="6" t="s">
        <v>76</v>
      </c>
      <c r="CD277" s="17">
        <v>1</v>
      </c>
      <c r="CE277" s="119"/>
      <c r="CF277" s="17" t="s">
        <v>77</v>
      </c>
      <c r="CG277" s="17">
        <v>0</v>
      </c>
      <c r="CH277" s="116"/>
      <c r="CI277" s="6" t="s">
        <v>89</v>
      </c>
      <c r="CJ277" s="33">
        <v>0</v>
      </c>
      <c r="CK277" s="38">
        <v>0</v>
      </c>
      <c r="CL277" s="38">
        <v>1</v>
      </c>
      <c r="CM277" s="38">
        <v>0</v>
      </c>
      <c r="CN277" s="7" t="s">
        <v>120</v>
      </c>
      <c r="CO277" s="7"/>
      <c r="CP277" s="7"/>
    </row>
    <row r="278" spans="1:94" ht="15.75" customHeight="1" x14ac:dyDescent="0.15">
      <c r="A278" s="51" t="s">
        <v>318</v>
      </c>
      <c r="B278" s="3" t="s">
        <v>29</v>
      </c>
      <c r="C278" s="17">
        <v>4</v>
      </c>
      <c r="D278" s="116"/>
      <c r="E278" s="6" t="s">
        <v>127</v>
      </c>
      <c r="F278" s="18">
        <v>2</v>
      </c>
      <c r="G278" s="117"/>
      <c r="H278" s="6" t="s">
        <v>91</v>
      </c>
      <c r="I278" s="17">
        <v>1</v>
      </c>
      <c r="J278" s="116"/>
      <c r="K278" s="43" t="s">
        <v>32</v>
      </c>
      <c r="L278" s="17">
        <v>0</v>
      </c>
      <c r="M278" s="116"/>
      <c r="N278" s="6" t="s">
        <v>145</v>
      </c>
      <c r="O278" s="21">
        <v>1</v>
      </c>
      <c r="P278" s="118"/>
      <c r="Q278" s="6" t="s">
        <v>34</v>
      </c>
      <c r="R278" s="17">
        <v>2</v>
      </c>
      <c r="S278" s="116"/>
      <c r="T278" s="6" t="s">
        <v>35</v>
      </c>
      <c r="U278" s="17">
        <v>2</v>
      </c>
      <c r="V278" s="116"/>
      <c r="W278" s="6" t="s">
        <v>36</v>
      </c>
      <c r="X278" s="17">
        <v>0</v>
      </c>
      <c r="Y278" s="116"/>
      <c r="Z278" s="6" t="s">
        <v>108</v>
      </c>
      <c r="AA278" s="17">
        <v>2</v>
      </c>
      <c r="AB278" s="116"/>
      <c r="AC278" s="6" t="s">
        <v>59</v>
      </c>
      <c r="AD278" s="17">
        <v>4</v>
      </c>
      <c r="AE278" s="116"/>
      <c r="AF278" s="6" t="s">
        <v>93</v>
      </c>
      <c r="AG278" s="17">
        <v>3</v>
      </c>
      <c r="AH278" s="116"/>
      <c r="AI278" s="15" t="s">
        <v>94</v>
      </c>
      <c r="AJ278" s="25">
        <v>2</v>
      </c>
      <c r="AK278" s="129"/>
      <c r="AL278" s="6" t="s">
        <v>71</v>
      </c>
      <c r="AM278" s="17">
        <v>2</v>
      </c>
      <c r="AN278" s="116"/>
      <c r="AO278" s="6" t="s">
        <v>72</v>
      </c>
      <c r="AP278" s="17">
        <v>4</v>
      </c>
      <c r="AQ278" s="116"/>
      <c r="AR278" s="6" t="s">
        <v>43</v>
      </c>
      <c r="AS278" s="17">
        <v>2</v>
      </c>
      <c r="AT278" s="116"/>
      <c r="AU278" s="6" t="s">
        <v>44</v>
      </c>
      <c r="AV278" s="17">
        <v>2</v>
      </c>
      <c r="AW278" s="116"/>
      <c r="AX278" s="6" t="s">
        <v>80</v>
      </c>
      <c r="AY278" s="17">
        <v>2</v>
      </c>
      <c r="AZ278" s="116"/>
      <c r="BA278" s="6" t="s">
        <v>59</v>
      </c>
      <c r="BB278" s="17">
        <v>1</v>
      </c>
      <c r="BC278" s="17">
        <v>0</v>
      </c>
      <c r="BD278" s="17">
        <v>1</v>
      </c>
      <c r="BE278" s="17">
        <v>0</v>
      </c>
      <c r="BF278" s="17">
        <v>0</v>
      </c>
      <c r="BG278" s="17">
        <v>0</v>
      </c>
      <c r="BH278" s="43" t="s">
        <v>47</v>
      </c>
      <c r="BI278" s="17">
        <v>0</v>
      </c>
      <c r="BJ278" s="134"/>
      <c r="BK278" s="6" t="s">
        <v>75</v>
      </c>
      <c r="BL278" s="17">
        <v>0</v>
      </c>
      <c r="BM278" s="116"/>
      <c r="BN278" s="6" t="s">
        <v>36</v>
      </c>
      <c r="BO278" s="17">
        <v>0</v>
      </c>
      <c r="BP278" s="119"/>
      <c r="BQ278" s="17" t="s">
        <v>87</v>
      </c>
      <c r="BR278" s="17">
        <v>2</v>
      </c>
      <c r="BS278" s="116"/>
      <c r="BT278" s="6" t="s">
        <v>65</v>
      </c>
      <c r="BU278" s="17">
        <v>0</v>
      </c>
      <c r="BV278" s="116"/>
      <c r="BW278" s="6" t="s">
        <v>88</v>
      </c>
      <c r="BX278" s="17">
        <v>0</v>
      </c>
      <c r="BY278" s="116"/>
      <c r="BZ278" s="6" t="s">
        <v>119</v>
      </c>
      <c r="CA278" s="17">
        <v>0</v>
      </c>
      <c r="CB278" s="116"/>
      <c r="CC278" s="6" t="s">
        <v>49</v>
      </c>
      <c r="CD278" s="17">
        <v>0</v>
      </c>
      <c r="CE278" s="119"/>
      <c r="CF278" s="17" t="s">
        <v>49</v>
      </c>
      <c r="CG278" s="17">
        <v>2</v>
      </c>
      <c r="CH278" s="116"/>
      <c r="CI278" s="6" t="s">
        <v>78</v>
      </c>
      <c r="CJ278" s="33">
        <v>0</v>
      </c>
      <c r="CK278" s="38">
        <v>1</v>
      </c>
      <c r="CL278" s="38">
        <v>0</v>
      </c>
      <c r="CM278" s="38">
        <v>0</v>
      </c>
      <c r="CN278" s="7" t="s">
        <v>137</v>
      </c>
      <c r="CO278" s="7"/>
      <c r="CP278" s="7"/>
    </row>
    <row r="279" spans="1:94" ht="15.75" customHeight="1" x14ac:dyDescent="0.15">
      <c r="A279" s="51" t="s">
        <v>319</v>
      </c>
      <c r="B279" s="3" t="s">
        <v>29</v>
      </c>
      <c r="C279" s="17">
        <v>4</v>
      </c>
      <c r="D279" s="116"/>
      <c r="E279" s="6" t="s">
        <v>127</v>
      </c>
      <c r="F279" s="21">
        <v>1</v>
      </c>
      <c r="G279" s="118"/>
      <c r="H279" s="6" t="s">
        <v>31</v>
      </c>
      <c r="I279" s="17">
        <v>3</v>
      </c>
      <c r="J279" s="116"/>
      <c r="K279" s="43" t="s">
        <v>56</v>
      </c>
      <c r="L279" s="17">
        <v>0</v>
      </c>
      <c r="M279" s="116"/>
      <c r="N279" s="6" t="s">
        <v>145</v>
      </c>
      <c r="O279" s="21">
        <v>1</v>
      </c>
      <c r="P279" s="118"/>
      <c r="Q279" s="6" t="s">
        <v>34</v>
      </c>
      <c r="R279" s="17">
        <v>2</v>
      </c>
      <c r="S279" s="116"/>
      <c r="T279" s="6" t="s">
        <v>35</v>
      </c>
      <c r="U279" s="17">
        <v>1</v>
      </c>
      <c r="V279" s="116"/>
      <c r="W279" s="6" t="s">
        <v>92</v>
      </c>
      <c r="X279" s="17">
        <v>1</v>
      </c>
      <c r="Y279" s="116"/>
      <c r="Z279" s="6" t="s">
        <v>58</v>
      </c>
      <c r="AA279" s="17">
        <v>3</v>
      </c>
      <c r="AB279" s="116"/>
      <c r="AC279" s="6" t="s">
        <v>38</v>
      </c>
      <c r="AD279" s="17">
        <v>1</v>
      </c>
      <c r="AE279" s="116"/>
      <c r="AF279" s="6" t="s">
        <v>39</v>
      </c>
      <c r="AG279" s="17">
        <v>3</v>
      </c>
      <c r="AH279" s="116"/>
      <c r="AI279" s="15" t="s">
        <v>94</v>
      </c>
      <c r="AJ279" s="25">
        <v>2</v>
      </c>
      <c r="AK279" s="129"/>
      <c r="AL279" s="6" t="s">
        <v>71</v>
      </c>
      <c r="AM279" s="17">
        <v>2</v>
      </c>
      <c r="AN279" s="116"/>
      <c r="AO279" s="6" t="s">
        <v>72</v>
      </c>
      <c r="AP279" s="17">
        <v>3</v>
      </c>
      <c r="AQ279" s="116"/>
      <c r="AR279" s="6" t="s">
        <v>61</v>
      </c>
      <c r="AS279" s="17">
        <v>2</v>
      </c>
      <c r="AT279" s="116"/>
      <c r="AU279" s="6" t="s">
        <v>44</v>
      </c>
      <c r="AV279" s="17">
        <v>0</v>
      </c>
      <c r="AW279" s="116"/>
      <c r="AX279" s="6" t="s">
        <v>62</v>
      </c>
      <c r="AY279" s="17">
        <v>1</v>
      </c>
      <c r="AZ279" s="116"/>
      <c r="BA279" s="6" t="s">
        <v>69</v>
      </c>
      <c r="BB279" s="17">
        <v>1</v>
      </c>
      <c r="BC279" s="17">
        <v>0</v>
      </c>
      <c r="BD279" s="17">
        <v>1</v>
      </c>
      <c r="BE279" s="17">
        <v>0</v>
      </c>
      <c r="BF279" s="17">
        <v>0</v>
      </c>
      <c r="BG279" s="17">
        <v>0</v>
      </c>
      <c r="BH279" s="43" t="s">
        <v>47</v>
      </c>
      <c r="BI279" s="17">
        <v>0</v>
      </c>
      <c r="BJ279" s="134"/>
      <c r="BK279" s="6" t="s">
        <v>75</v>
      </c>
      <c r="BL279" s="17">
        <v>1</v>
      </c>
      <c r="BM279" s="116"/>
      <c r="BN279" s="6" t="s">
        <v>59</v>
      </c>
      <c r="BO279" s="17">
        <v>0</v>
      </c>
      <c r="BP279" s="119"/>
      <c r="BQ279" s="17" t="s">
        <v>87</v>
      </c>
      <c r="BR279" s="17">
        <v>2</v>
      </c>
      <c r="BS279" s="117"/>
      <c r="BT279" s="4" t="s">
        <v>65</v>
      </c>
      <c r="BU279" s="17">
        <v>1</v>
      </c>
      <c r="BV279" s="116"/>
      <c r="BW279" s="6" t="s">
        <v>66</v>
      </c>
      <c r="BX279" s="17">
        <v>2</v>
      </c>
      <c r="BY279" s="116"/>
      <c r="BZ279" s="6" t="s">
        <v>97</v>
      </c>
      <c r="CA279" s="17">
        <v>0</v>
      </c>
      <c r="CB279" s="116"/>
      <c r="CC279" s="6" t="s">
        <v>49</v>
      </c>
      <c r="CD279" s="17">
        <v>0</v>
      </c>
      <c r="CE279" s="119"/>
      <c r="CF279" s="17" t="s">
        <v>49</v>
      </c>
      <c r="CG279" s="17">
        <v>2</v>
      </c>
      <c r="CH279" s="116"/>
      <c r="CI279" s="6" t="s">
        <v>78</v>
      </c>
      <c r="CJ279" s="33">
        <v>0</v>
      </c>
      <c r="CK279" s="38">
        <v>0</v>
      </c>
      <c r="CL279" s="38">
        <v>0</v>
      </c>
      <c r="CM279" s="38">
        <v>1</v>
      </c>
      <c r="CN279" s="7" t="s">
        <v>305</v>
      </c>
      <c r="CO279" s="7"/>
      <c r="CP279" s="7"/>
    </row>
    <row r="280" spans="1:94" ht="15.75" customHeight="1" x14ac:dyDescent="0.15">
      <c r="A280" s="51" t="s">
        <v>320</v>
      </c>
      <c r="B280" s="3" t="s">
        <v>29</v>
      </c>
      <c r="C280" s="17">
        <v>5</v>
      </c>
      <c r="D280" s="116"/>
      <c r="E280" s="6" t="s">
        <v>30</v>
      </c>
      <c r="F280" s="21">
        <v>1</v>
      </c>
      <c r="G280" s="118"/>
      <c r="H280" s="6" t="s">
        <v>31</v>
      </c>
      <c r="I280" s="17">
        <v>0</v>
      </c>
      <c r="J280" s="116"/>
      <c r="K280" s="43" t="s">
        <v>107</v>
      </c>
      <c r="L280" s="17">
        <v>0</v>
      </c>
      <c r="M280" s="116"/>
      <c r="N280" s="6" t="s">
        <v>145</v>
      </c>
      <c r="O280" s="21">
        <v>1</v>
      </c>
      <c r="P280" s="118"/>
      <c r="Q280" s="6" t="s">
        <v>34</v>
      </c>
      <c r="R280" s="17">
        <v>2</v>
      </c>
      <c r="S280" s="116"/>
      <c r="T280" s="6" t="s">
        <v>35</v>
      </c>
      <c r="U280" s="17">
        <v>1</v>
      </c>
      <c r="V280" s="116"/>
      <c r="W280" s="6" t="s">
        <v>92</v>
      </c>
      <c r="X280" s="17">
        <v>2</v>
      </c>
      <c r="Y280" s="116"/>
      <c r="Z280" s="6" t="s">
        <v>37</v>
      </c>
      <c r="AA280" s="17">
        <v>2</v>
      </c>
      <c r="AB280" s="116"/>
      <c r="AC280" s="6" t="s">
        <v>59</v>
      </c>
      <c r="AD280" s="17">
        <v>4</v>
      </c>
      <c r="AE280" s="116"/>
      <c r="AF280" s="6" t="s">
        <v>93</v>
      </c>
      <c r="AG280" s="17">
        <v>3</v>
      </c>
      <c r="AH280" s="116"/>
      <c r="AI280" s="15" t="s">
        <v>94</v>
      </c>
      <c r="AJ280" s="25">
        <v>2</v>
      </c>
      <c r="AK280" s="129"/>
      <c r="AL280" s="6" t="s">
        <v>71</v>
      </c>
      <c r="AM280" s="17">
        <v>3</v>
      </c>
      <c r="AN280" s="116"/>
      <c r="AO280" s="6" t="s">
        <v>42</v>
      </c>
      <c r="AP280" s="17">
        <v>3</v>
      </c>
      <c r="AQ280" s="116"/>
      <c r="AR280" s="6" t="s">
        <v>99</v>
      </c>
      <c r="AS280" s="17">
        <v>3</v>
      </c>
      <c r="AT280" s="116"/>
      <c r="AU280" s="6" t="s">
        <v>79</v>
      </c>
      <c r="AV280" s="17">
        <v>2</v>
      </c>
      <c r="AW280" s="116"/>
      <c r="AX280" s="6" t="s">
        <v>80</v>
      </c>
      <c r="AY280" s="17">
        <v>1</v>
      </c>
      <c r="AZ280" s="116"/>
      <c r="BA280" s="6" t="s">
        <v>69</v>
      </c>
      <c r="BB280" s="17">
        <v>1</v>
      </c>
      <c r="BC280" s="17">
        <v>0</v>
      </c>
      <c r="BD280" s="17">
        <v>1</v>
      </c>
      <c r="BE280" s="17">
        <v>0</v>
      </c>
      <c r="BF280" s="17">
        <v>0</v>
      </c>
      <c r="BG280" s="17">
        <v>0</v>
      </c>
      <c r="BH280" s="43" t="s">
        <v>47</v>
      </c>
      <c r="BI280" s="17">
        <v>1</v>
      </c>
      <c r="BJ280" s="134"/>
      <c r="BK280" s="6" t="s">
        <v>96</v>
      </c>
      <c r="BL280" s="17">
        <v>1</v>
      </c>
      <c r="BM280" s="116"/>
      <c r="BN280" s="6" t="s">
        <v>59</v>
      </c>
      <c r="BO280" s="17">
        <v>1</v>
      </c>
      <c r="BP280" s="119"/>
      <c r="BQ280" s="17" t="s">
        <v>50</v>
      </c>
      <c r="BR280" s="17">
        <v>1</v>
      </c>
      <c r="BS280" s="119"/>
      <c r="BT280" s="1" t="s">
        <v>69</v>
      </c>
      <c r="BU280" s="17">
        <v>2</v>
      </c>
      <c r="BV280" s="116"/>
      <c r="BW280" s="6" t="s">
        <v>51</v>
      </c>
      <c r="BX280" s="17">
        <v>0</v>
      </c>
      <c r="BY280" s="116"/>
      <c r="BZ280" s="6" t="s">
        <v>119</v>
      </c>
      <c r="CA280" s="17">
        <v>3</v>
      </c>
      <c r="CB280" s="116"/>
      <c r="CC280" s="6" t="s">
        <v>36</v>
      </c>
      <c r="CD280" s="17">
        <v>1</v>
      </c>
      <c r="CE280" s="119"/>
      <c r="CF280" s="17" t="s">
        <v>77</v>
      </c>
      <c r="CG280" s="17">
        <v>3</v>
      </c>
      <c r="CH280" s="116"/>
      <c r="CI280" s="6" t="s">
        <v>53</v>
      </c>
      <c r="CJ280" s="33">
        <v>0</v>
      </c>
      <c r="CK280" s="38">
        <v>1</v>
      </c>
      <c r="CL280" s="38">
        <v>1</v>
      </c>
      <c r="CM280" s="38">
        <v>0</v>
      </c>
      <c r="CN280" s="7" t="s">
        <v>98</v>
      </c>
      <c r="CO280" s="7"/>
      <c r="CP280" s="7"/>
    </row>
    <row r="281" spans="1:94" ht="15.75" customHeight="1" x14ac:dyDescent="0.15">
      <c r="A281" s="51" t="s">
        <v>321</v>
      </c>
      <c r="B281" s="3" t="s">
        <v>29</v>
      </c>
      <c r="C281" s="17">
        <v>3</v>
      </c>
      <c r="D281" s="116"/>
      <c r="E281" s="6" t="s">
        <v>90</v>
      </c>
      <c r="F281" s="21">
        <v>1</v>
      </c>
      <c r="G281" s="118"/>
      <c r="H281" s="6" t="s">
        <v>31</v>
      </c>
      <c r="I281" s="17">
        <v>3</v>
      </c>
      <c r="J281" s="116"/>
      <c r="K281" s="43" t="s">
        <v>56</v>
      </c>
      <c r="L281" s="17">
        <v>0</v>
      </c>
      <c r="M281" s="116"/>
      <c r="N281" s="6" t="s">
        <v>145</v>
      </c>
      <c r="O281" s="21">
        <v>1</v>
      </c>
      <c r="P281" s="118"/>
      <c r="Q281" s="6" t="s">
        <v>34</v>
      </c>
      <c r="R281" s="17">
        <v>1</v>
      </c>
      <c r="S281" s="116"/>
      <c r="T281" s="6" t="s">
        <v>57</v>
      </c>
      <c r="U281" s="17">
        <v>1</v>
      </c>
      <c r="V281" s="116"/>
      <c r="W281" s="6" t="s">
        <v>92</v>
      </c>
      <c r="X281" s="17">
        <v>1</v>
      </c>
      <c r="Y281" s="116"/>
      <c r="Z281" s="6" t="s">
        <v>58</v>
      </c>
      <c r="AA281" s="17">
        <v>2</v>
      </c>
      <c r="AB281" s="116"/>
      <c r="AC281" s="6" t="s">
        <v>59</v>
      </c>
      <c r="AD281" s="17">
        <v>1</v>
      </c>
      <c r="AE281" s="116"/>
      <c r="AF281" s="6" t="s">
        <v>39</v>
      </c>
      <c r="AG281" s="17">
        <v>0</v>
      </c>
      <c r="AH281" s="116"/>
      <c r="AI281" s="15" t="s">
        <v>84</v>
      </c>
      <c r="AJ281" s="25">
        <v>0</v>
      </c>
      <c r="AK281" s="129"/>
      <c r="AL281" s="6" t="s">
        <v>85</v>
      </c>
      <c r="AM281" s="17">
        <v>2</v>
      </c>
      <c r="AN281" s="116"/>
      <c r="AO281" s="6" t="s">
        <v>72</v>
      </c>
      <c r="AP281" s="17">
        <v>3</v>
      </c>
      <c r="AQ281" s="116"/>
      <c r="AR281" s="6" t="s">
        <v>61</v>
      </c>
      <c r="AS281" s="17">
        <v>2</v>
      </c>
      <c r="AT281" s="116"/>
      <c r="AU281" s="6" t="s">
        <v>44</v>
      </c>
      <c r="AV281" s="17">
        <v>0</v>
      </c>
      <c r="AW281" s="116"/>
      <c r="AX281" s="6" t="s">
        <v>62</v>
      </c>
      <c r="AY281" s="17">
        <v>2</v>
      </c>
      <c r="AZ281" s="116"/>
      <c r="BA281" s="6" t="s">
        <v>59</v>
      </c>
      <c r="BB281" s="17">
        <v>1</v>
      </c>
      <c r="BC281" s="17">
        <v>0</v>
      </c>
      <c r="BD281" s="17">
        <v>0</v>
      </c>
      <c r="BE281" s="17">
        <v>1</v>
      </c>
      <c r="BF281" s="17">
        <v>0</v>
      </c>
      <c r="BG281" s="17">
        <v>0</v>
      </c>
      <c r="BH281" s="43" t="s">
        <v>74</v>
      </c>
      <c r="BI281" s="17">
        <v>0</v>
      </c>
      <c r="BJ281" s="134"/>
      <c r="BK281" s="6" t="s">
        <v>75</v>
      </c>
      <c r="BL281" s="17">
        <v>3</v>
      </c>
      <c r="BM281" s="116"/>
      <c r="BN281" s="6" t="s">
        <v>49</v>
      </c>
      <c r="BO281" s="17">
        <v>1</v>
      </c>
      <c r="BP281" s="119"/>
      <c r="BQ281" s="17" t="s">
        <v>50</v>
      </c>
      <c r="BR281" s="17">
        <v>2</v>
      </c>
      <c r="BS281" s="117"/>
      <c r="BT281" s="4" t="s">
        <v>65</v>
      </c>
      <c r="BU281" s="17">
        <v>2</v>
      </c>
      <c r="BV281" s="116"/>
      <c r="BW281" s="6" t="s">
        <v>51</v>
      </c>
      <c r="BX281" s="17">
        <v>3</v>
      </c>
      <c r="BY281" s="116"/>
      <c r="BZ281" s="6" t="s">
        <v>52</v>
      </c>
      <c r="CA281" s="17">
        <v>2</v>
      </c>
      <c r="CB281" s="116"/>
      <c r="CC281" s="6" t="s">
        <v>76</v>
      </c>
      <c r="CD281" s="17">
        <v>1</v>
      </c>
      <c r="CE281" s="119"/>
      <c r="CF281" s="17" t="s">
        <v>77</v>
      </c>
      <c r="CG281" s="17">
        <v>2</v>
      </c>
      <c r="CH281" s="116"/>
      <c r="CI281" s="6" t="s">
        <v>78</v>
      </c>
      <c r="CJ281" s="33">
        <v>1</v>
      </c>
      <c r="CK281" s="38">
        <v>0</v>
      </c>
      <c r="CL281" s="38">
        <v>0</v>
      </c>
      <c r="CM281" s="38">
        <v>0</v>
      </c>
      <c r="CN281" s="7" t="s">
        <v>123</v>
      </c>
      <c r="CO281" s="7"/>
      <c r="CP281" s="7"/>
    </row>
    <row r="282" spans="1:94" ht="15.75" customHeight="1" x14ac:dyDescent="0.15">
      <c r="A282" s="51" t="s">
        <v>322</v>
      </c>
      <c r="B282" s="3" t="s">
        <v>29</v>
      </c>
      <c r="C282" s="17">
        <v>5</v>
      </c>
      <c r="D282" s="116"/>
      <c r="E282" s="6" t="s">
        <v>30</v>
      </c>
      <c r="F282" s="18">
        <v>2</v>
      </c>
      <c r="G282" s="117"/>
      <c r="H282" s="6" t="s">
        <v>91</v>
      </c>
      <c r="I282" s="17">
        <v>1</v>
      </c>
      <c r="J282" s="116"/>
      <c r="K282" s="43" t="s">
        <v>32</v>
      </c>
      <c r="L282" s="17">
        <v>0</v>
      </c>
      <c r="M282" s="116"/>
      <c r="N282" s="6" t="s">
        <v>145</v>
      </c>
      <c r="O282" s="21">
        <v>1</v>
      </c>
      <c r="P282" s="118"/>
      <c r="Q282" s="6" t="s">
        <v>34</v>
      </c>
      <c r="R282" s="17">
        <v>1</v>
      </c>
      <c r="S282" s="116"/>
      <c r="T282" s="6" t="s">
        <v>57</v>
      </c>
      <c r="U282" s="17">
        <v>2</v>
      </c>
      <c r="V282" s="116"/>
      <c r="W282" s="6" t="s">
        <v>36</v>
      </c>
      <c r="X282" s="17">
        <v>1</v>
      </c>
      <c r="Y282" s="116"/>
      <c r="Z282" s="6" t="s">
        <v>58</v>
      </c>
      <c r="AA282" s="17">
        <v>2</v>
      </c>
      <c r="AB282" s="116"/>
      <c r="AC282" s="6" t="s">
        <v>59</v>
      </c>
      <c r="AD282" s="17">
        <v>2</v>
      </c>
      <c r="AE282" s="116"/>
      <c r="AF282" s="6" t="s">
        <v>83</v>
      </c>
      <c r="AG282" s="17">
        <v>2</v>
      </c>
      <c r="AH282" s="116"/>
      <c r="AI282" s="15" t="s">
        <v>40</v>
      </c>
      <c r="AJ282" s="25">
        <v>3</v>
      </c>
      <c r="AK282" s="129"/>
      <c r="AL282" s="6" t="s">
        <v>41</v>
      </c>
      <c r="AM282" s="17">
        <v>3</v>
      </c>
      <c r="AN282" s="116"/>
      <c r="AO282" s="6" t="s">
        <v>42</v>
      </c>
      <c r="AP282" s="17">
        <v>3</v>
      </c>
      <c r="AQ282" s="116"/>
      <c r="AR282" s="6" t="s">
        <v>61</v>
      </c>
      <c r="AS282" s="17">
        <v>2</v>
      </c>
      <c r="AT282" s="116"/>
      <c r="AU282" s="6" t="s">
        <v>44</v>
      </c>
      <c r="AV282" s="17">
        <v>2</v>
      </c>
      <c r="AW282" s="116"/>
      <c r="AX282" s="6" t="s">
        <v>80</v>
      </c>
      <c r="AY282" s="17">
        <v>3</v>
      </c>
      <c r="AZ282" s="116"/>
      <c r="BA282" s="6" t="s">
        <v>46</v>
      </c>
      <c r="BB282" s="17">
        <v>1</v>
      </c>
      <c r="BC282" s="17">
        <v>0</v>
      </c>
      <c r="BD282" s="17">
        <v>1</v>
      </c>
      <c r="BE282" s="17">
        <v>0</v>
      </c>
      <c r="BF282" s="17">
        <v>0</v>
      </c>
      <c r="BG282" s="17">
        <v>0</v>
      </c>
      <c r="BH282" s="43" t="s">
        <v>47</v>
      </c>
      <c r="BI282" s="17">
        <v>0</v>
      </c>
      <c r="BJ282" s="134"/>
      <c r="BK282" s="6" t="s">
        <v>75</v>
      </c>
      <c r="BL282" s="17">
        <v>3</v>
      </c>
      <c r="BM282" s="116"/>
      <c r="BN282" s="6" t="s">
        <v>49</v>
      </c>
      <c r="BO282" s="17">
        <v>0</v>
      </c>
      <c r="BP282" s="119"/>
      <c r="BQ282" s="17" t="s">
        <v>87</v>
      </c>
      <c r="BR282" s="17">
        <v>0</v>
      </c>
      <c r="BS282" s="116"/>
      <c r="BT282" s="6" t="s">
        <v>46</v>
      </c>
      <c r="BU282" s="17">
        <v>1</v>
      </c>
      <c r="BV282" s="116"/>
      <c r="BW282" s="6" t="s">
        <v>66</v>
      </c>
      <c r="BX282" s="17">
        <v>3</v>
      </c>
      <c r="BY282" s="116"/>
      <c r="BZ282" s="6" t="s">
        <v>52</v>
      </c>
      <c r="CA282" s="17">
        <v>3</v>
      </c>
      <c r="CB282" s="116"/>
      <c r="CC282" s="6" t="s">
        <v>36</v>
      </c>
      <c r="CD282" s="17">
        <v>0</v>
      </c>
      <c r="CE282" s="119"/>
      <c r="CF282" s="17" t="s">
        <v>49</v>
      </c>
      <c r="CG282" s="17">
        <v>3</v>
      </c>
      <c r="CH282" s="116"/>
      <c r="CI282" s="6" t="s">
        <v>53</v>
      </c>
      <c r="CJ282" s="33">
        <v>0</v>
      </c>
      <c r="CK282" s="38">
        <v>1</v>
      </c>
      <c r="CL282" s="38">
        <v>1</v>
      </c>
      <c r="CM282" s="38">
        <v>0</v>
      </c>
      <c r="CN282" s="7" t="s">
        <v>98</v>
      </c>
      <c r="CO282" s="7"/>
      <c r="CP282" s="7"/>
    </row>
    <row r="283" spans="1:94" ht="15.75" customHeight="1" x14ac:dyDescent="0.15">
      <c r="A283" s="51" t="s">
        <v>323</v>
      </c>
      <c r="B283" s="3" t="s">
        <v>29</v>
      </c>
      <c r="C283" s="17">
        <v>5</v>
      </c>
      <c r="D283" s="116"/>
      <c r="E283" s="6" t="s">
        <v>30</v>
      </c>
      <c r="F283" s="18">
        <v>2</v>
      </c>
      <c r="G283" s="117"/>
      <c r="H283" s="6" t="s">
        <v>91</v>
      </c>
      <c r="I283" s="17">
        <v>3</v>
      </c>
      <c r="J283" s="116"/>
      <c r="K283" s="43" t="s">
        <v>56</v>
      </c>
      <c r="L283" s="17">
        <v>0</v>
      </c>
      <c r="M283" s="116"/>
      <c r="N283" s="6" t="s">
        <v>145</v>
      </c>
      <c r="O283" s="21">
        <v>1</v>
      </c>
      <c r="P283" s="118"/>
      <c r="Q283" s="6" t="s">
        <v>34</v>
      </c>
      <c r="R283" s="17">
        <v>1</v>
      </c>
      <c r="S283" s="116"/>
      <c r="T283" s="6" t="s">
        <v>57</v>
      </c>
      <c r="U283" s="17">
        <v>2</v>
      </c>
      <c r="V283" s="116"/>
      <c r="W283" s="6" t="s">
        <v>36</v>
      </c>
      <c r="X283" s="17">
        <v>1</v>
      </c>
      <c r="Y283" s="116"/>
      <c r="Z283" s="6" t="s">
        <v>58</v>
      </c>
      <c r="AA283" s="17">
        <v>3</v>
      </c>
      <c r="AB283" s="116"/>
      <c r="AC283" s="6" t="s">
        <v>38</v>
      </c>
      <c r="AD283" s="17">
        <v>4</v>
      </c>
      <c r="AE283" s="116"/>
      <c r="AF283" s="6" t="s">
        <v>93</v>
      </c>
      <c r="AG283" s="17">
        <v>3</v>
      </c>
      <c r="AH283" s="116"/>
      <c r="AI283" s="15" t="s">
        <v>94</v>
      </c>
      <c r="AJ283" s="25">
        <v>0</v>
      </c>
      <c r="AK283" s="129"/>
      <c r="AL283" s="6" t="s">
        <v>85</v>
      </c>
      <c r="AM283" s="17">
        <v>1</v>
      </c>
      <c r="AN283" s="116"/>
      <c r="AO283" s="6" t="s">
        <v>130</v>
      </c>
      <c r="AP283" s="17">
        <v>3</v>
      </c>
      <c r="AQ283" s="116"/>
      <c r="AR283" s="6" t="s">
        <v>61</v>
      </c>
      <c r="AS283" s="17">
        <v>0</v>
      </c>
      <c r="AT283" s="116"/>
      <c r="AU283" s="6" t="s">
        <v>102</v>
      </c>
      <c r="AV283" s="17">
        <v>0</v>
      </c>
      <c r="AW283" s="116"/>
      <c r="AX283" s="6" t="s">
        <v>62</v>
      </c>
      <c r="AY283" s="17">
        <v>2</v>
      </c>
      <c r="AZ283" s="116"/>
      <c r="BA283" s="6" t="s">
        <v>59</v>
      </c>
      <c r="BB283" s="17">
        <v>1</v>
      </c>
      <c r="BC283" s="17">
        <v>0</v>
      </c>
      <c r="BD283" s="17">
        <v>1</v>
      </c>
      <c r="BE283" s="17">
        <v>0</v>
      </c>
      <c r="BF283" s="17">
        <v>0</v>
      </c>
      <c r="BG283" s="17">
        <v>0</v>
      </c>
      <c r="BH283" s="43" t="s">
        <v>47</v>
      </c>
      <c r="BI283" s="17">
        <v>1</v>
      </c>
      <c r="BJ283" s="134"/>
      <c r="BK283" s="6" t="s">
        <v>96</v>
      </c>
      <c r="BL283" s="17">
        <v>2</v>
      </c>
      <c r="BM283" s="116"/>
      <c r="BN283" s="6" t="s">
        <v>64</v>
      </c>
      <c r="BO283" s="17">
        <v>0</v>
      </c>
      <c r="BP283" s="119"/>
      <c r="BQ283" s="17" t="s">
        <v>87</v>
      </c>
      <c r="BR283" s="17">
        <v>1</v>
      </c>
      <c r="BS283" s="117"/>
      <c r="BT283" s="4" t="s">
        <v>69</v>
      </c>
      <c r="BU283" s="17">
        <v>2</v>
      </c>
      <c r="BV283" s="116"/>
      <c r="BW283" s="6" t="s">
        <v>51</v>
      </c>
      <c r="BX283" s="17">
        <v>1</v>
      </c>
      <c r="BY283" s="116"/>
      <c r="BZ283" s="6" t="s">
        <v>67</v>
      </c>
      <c r="CA283" s="17">
        <v>2</v>
      </c>
      <c r="CB283" s="116"/>
      <c r="CC283" s="6" t="s">
        <v>76</v>
      </c>
      <c r="CD283" s="17">
        <v>0</v>
      </c>
      <c r="CE283" s="119"/>
      <c r="CF283" s="17" t="s">
        <v>49</v>
      </c>
      <c r="CG283" s="17">
        <v>2</v>
      </c>
      <c r="CH283" s="116"/>
      <c r="CI283" s="6" t="s">
        <v>78</v>
      </c>
      <c r="CJ283" s="33">
        <v>0</v>
      </c>
      <c r="CK283" s="38">
        <v>0</v>
      </c>
      <c r="CL283" s="38">
        <v>0</v>
      </c>
      <c r="CM283" s="38">
        <v>1</v>
      </c>
      <c r="CN283" s="7" t="s">
        <v>324</v>
      </c>
      <c r="CO283" s="7"/>
      <c r="CP283" s="7"/>
    </row>
    <row r="284" spans="1:94" ht="15.75" customHeight="1" x14ac:dyDescent="0.15">
      <c r="A284" s="51" t="s">
        <v>325</v>
      </c>
      <c r="B284" s="3" t="s">
        <v>29</v>
      </c>
      <c r="C284" s="17">
        <v>5</v>
      </c>
      <c r="D284" s="116"/>
      <c r="E284" s="6" t="s">
        <v>30</v>
      </c>
      <c r="F284" s="18">
        <v>2</v>
      </c>
      <c r="G284" s="117"/>
      <c r="H284" s="6" t="s">
        <v>91</v>
      </c>
      <c r="I284" s="17">
        <v>3</v>
      </c>
      <c r="J284" s="116"/>
      <c r="K284" s="43" t="s">
        <v>56</v>
      </c>
      <c r="L284" s="17">
        <v>0</v>
      </c>
      <c r="M284" s="116"/>
      <c r="N284" s="6" t="s">
        <v>145</v>
      </c>
      <c r="O284" s="21">
        <v>1</v>
      </c>
      <c r="P284" s="118"/>
      <c r="Q284" s="6" t="s">
        <v>34</v>
      </c>
      <c r="R284" s="17">
        <v>1</v>
      </c>
      <c r="S284" s="116"/>
      <c r="T284" s="6" t="s">
        <v>57</v>
      </c>
      <c r="U284" s="17">
        <v>2</v>
      </c>
      <c r="V284" s="116"/>
      <c r="W284" s="6" t="s">
        <v>36</v>
      </c>
      <c r="X284" s="17">
        <v>2</v>
      </c>
      <c r="Y284" s="116"/>
      <c r="Z284" s="6" t="s">
        <v>37</v>
      </c>
      <c r="AA284" s="17">
        <v>3</v>
      </c>
      <c r="AB284" s="116"/>
      <c r="AC284" s="6" t="s">
        <v>38</v>
      </c>
      <c r="AD284" s="17">
        <v>5</v>
      </c>
      <c r="AE284" s="116"/>
      <c r="AF284" s="6" t="s">
        <v>115</v>
      </c>
      <c r="AG284" s="17">
        <v>3</v>
      </c>
      <c r="AH284" s="116"/>
      <c r="AI284" s="15" t="s">
        <v>94</v>
      </c>
      <c r="AJ284" s="25">
        <v>3</v>
      </c>
      <c r="AK284" s="129"/>
      <c r="AL284" s="6" t="s">
        <v>41</v>
      </c>
      <c r="AM284" s="17">
        <v>3</v>
      </c>
      <c r="AN284" s="116"/>
      <c r="AO284" s="6" t="s">
        <v>42</v>
      </c>
      <c r="AP284" s="17">
        <v>0</v>
      </c>
      <c r="AQ284" s="116"/>
      <c r="AR284" s="6" t="s">
        <v>121</v>
      </c>
      <c r="AS284" s="17">
        <v>3</v>
      </c>
      <c r="AT284" s="116"/>
      <c r="AU284" s="6" t="s">
        <v>79</v>
      </c>
      <c r="AV284" s="17">
        <v>2</v>
      </c>
      <c r="AW284" s="116"/>
      <c r="AX284" s="6" t="s">
        <v>80</v>
      </c>
      <c r="AY284" s="17">
        <v>3</v>
      </c>
      <c r="AZ284" s="116"/>
      <c r="BA284" s="6" t="s">
        <v>46</v>
      </c>
      <c r="BB284" s="17">
        <v>1</v>
      </c>
      <c r="BC284" s="17">
        <v>0</v>
      </c>
      <c r="BD284" s="17">
        <v>1</v>
      </c>
      <c r="BE284" s="17">
        <v>0</v>
      </c>
      <c r="BF284" s="17">
        <v>0</v>
      </c>
      <c r="BG284" s="17">
        <v>0</v>
      </c>
      <c r="BH284" s="43" t="s">
        <v>47</v>
      </c>
      <c r="BI284" s="17">
        <v>2</v>
      </c>
      <c r="BJ284" s="134"/>
      <c r="BK284" s="6" t="s">
        <v>48</v>
      </c>
      <c r="BL284" s="17">
        <v>1</v>
      </c>
      <c r="BM284" s="116"/>
      <c r="BN284" s="6" t="s">
        <v>59</v>
      </c>
      <c r="BO284" s="17">
        <v>0</v>
      </c>
      <c r="BP284" s="119"/>
      <c r="BQ284" s="17" t="s">
        <v>87</v>
      </c>
      <c r="BR284" s="17">
        <v>3</v>
      </c>
      <c r="BS284" s="119"/>
      <c r="BT284" s="1" t="s">
        <v>38</v>
      </c>
      <c r="BU284" s="17">
        <v>1</v>
      </c>
      <c r="BV284" s="116"/>
      <c r="BW284" s="6" t="s">
        <v>66</v>
      </c>
      <c r="BX284" s="17">
        <v>2</v>
      </c>
      <c r="BY284" s="116"/>
      <c r="BZ284" s="6" t="s">
        <v>97</v>
      </c>
      <c r="CA284" s="17">
        <v>3</v>
      </c>
      <c r="CB284" s="116"/>
      <c r="CC284" s="6" t="s">
        <v>36</v>
      </c>
      <c r="CD284" s="17">
        <v>1</v>
      </c>
      <c r="CE284" s="119"/>
      <c r="CF284" s="17" t="s">
        <v>77</v>
      </c>
      <c r="CG284" s="17">
        <v>3</v>
      </c>
      <c r="CH284" s="116"/>
      <c r="CI284" s="6" t="s">
        <v>53</v>
      </c>
      <c r="CJ284" s="33">
        <v>1</v>
      </c>
      <c r="CK284" s="38">
        <v>1</v>
      </c>
      <c r="CL284" s="38">
        <v>0</v>
      </c>
      <c r="CM284" s="38">
        <v>0</v>
      </c>
      <c r="CN284" s="7" t="s">
        <v>82</v>
      </c>
      <c r="CO284" s="7"/>
      <c r="CP284" s="7"/>
    </row>
    <row r="285" spans="1:94" ht="15.75" customHeight="1" x14ac:dyDescent="0.15">
      <c r="A285" s="51" t="s">
        <v>326</v>
      </c>
      <c r="B285" s="3" t="s">
        <v>29</v>
      </c>
      <c r="C285" s="17">
        <v>2</v>
      </c>
      <c r="D285" s="116"/>
      <c r="E285" s="6" t="s">
        <v>55</v>
      </c>
      <c r="F285" s="18">
        <v>2</v>
      </c>
      <c r="G285" s="117"/>
      <c r="H285" s="6" t="s">
        <v>91</v>
      </c>
      <c r="I285" s="17">
        <v>1</v>
      </c>
      <c r="J285" s="116"/>
      <c r="K285" s="43" t="s">
        <v>32</v>
      </c>
      <c r="L285" s="17">
        <v>0</v>
      </c>
      <c r="M285" s="116"/>
      <c r="N285" s="6" t="s">
        <v>145</v>
      </c>
      <c r="O285" s="21">
        <v>1</v>
      </c>
      <c r="P285" s="118"/>
      <c r="Q285" s="6" t="s">
        <v>34</v>
      </c>
      <c r="R285" s="17">
        <v>2</v>
      </c>
      <c r="S285" s="116"/>
      <c r="T285" s="6" t="s">
        <v>35</v>
      </c>
      <c r="U285" s="17">
        <v>1</v>
      </c>
      <c r="V285" s="116"/>
      <c r="W285" s="6" t="s">
        <v>92</v>
      </c>
      <c r="X285" s="17">
        <v>2</v>
      </c>
      <c r="Y285" s="116"/>
      <c r="Z285" s="6" t="s">
        <v>37</v>
      </c>
      <c r="AA285" s="17">
        <v>2</v>
      </c>
      <c r="AB285" s="116"/>
      <c r="AC285" s="6" t="s">
        <v>59</v>
      </c>
      <c r="AD285" s="17">
        <v>4</v>
      </c>
      <c r="AE285" s="116"/>
      <c r="AF285" s="6" t="s">
        <v>93</v>
      </c>
      <c r="AG285" s="17">
        <v>3</v>
      </c>
      <c r="AH285" s="116"/>
      <c r="AI285" s="15" t="s">
        <v>94</v>
      </c>
      <c r="AJ285" s="25">
        <v>3</v>
      </c>
      <c r="AK285" s="129"/>
      <c r="AL285" s="6" t="s">
        <v>41</v>
      </c>
      <c r="AM285" s="17">
        <v>2</v>
      </c>
      <c r="AN285" s="116"/>
      <c r="AO285" s="6" t="s">
        <v>72</v>
      </c>
      <c r="AP285" s="17">
        <v>4</v>
      </c>
      <c r="AQ285" s="116"/>
      <c r="AR285" s="6" t="s">
        <v>43</v>
      </c>
      <c r="AS285" s="17">
        <v>3</v>
      </c>
      <c r="AT285" s="116"/>
      <c r="AU285" s="6" t="s">
        <v>79</v>
      </c>
      <c r="AV285" s="17">
        <v>2</v>
      </c>
      <c r="AW285" s="116"/>
      <c r="AX285" s="6" t="s">
        <v>80</v>
      </c>
      <c r="AY285" s="17">
        <v>3</v>
      </c>
      <c r="AZ285" s="116"/>
      <c r="BA285" s="6" t="s">
        <v>46</v>
      </c>
      <c r="BB285" s="17">
        <v>1</v>
      </c>
      <c r="BC285" s="17">
        <v>0</v>
      </c>
      <c r="BD285" s="17">
        <v>1</v>
      </c>
      <c r="BE285" s="17">
        <v>0</v>
      </c>
      <c r="BF285" s="17">
        <v>0</v>
      </c>
      <c r="BG285" s="17">
        <v>0</v>
      </c>
      <c r="BH285" s="43" t="s">
        <v>47</v>
      </c>
      <c r="BI285" s="17">
        <v>2</v>
      </c>
      <c r="BJ285" s="134"/>
      <c r="BK285" s="6" t="s">
        <v>48</v>
      </c>
      <c r="BL285" s="17">
        <v>3</v>
      </c>
      <c r="BM285" s="116"/>
      <c r="BN285" s="6" t="s">
        <v>49</v>
      </c>
      <c r="BO285" s="17">
        <v>1</v>
      </c>
      <c r="BP285" s="119"/>
      <c r="BQ285" s="17" t="s">
        <v>50</v>
      </c>
      <c r="BR285" s="17">
        <v>3</v>
      </c>
      <c r="BS285" s="117"/>
      <c r="BT285" s="4" t="s">
        <v>38</v>
      </c>
      <c r="BU285" s="17">
        <v>0</v>
      </c>
      <c r="BV285" s="116"/>
      <c r="BW285" s="6" t="s">
        <v>88</v>
      </c>
      <c r="BX285" s="17">
        <v>2</v>
      </c>
      <c r="BY285" s="116"/>
      <c r="BZ285" s="6" t="s">
        <v>97</v>
      </c>
      <c r="CA285" s="17">
        <v>2</v>
      </c>
      <c r="CB285" s="116"/>
      <c r="CC285" s="6" t="s">
        <v>76</v>
      </c>
      <c r="CD285" s="17">
        <v>2</v>
      </c>
      <c r="CE285" s="119"/>
      <c r="CF285" s="17" t="s">
        <v>36</v>
      </c>
      <c r="CG285" s="17">
        <v>3</v>
      </c>
      <c r="CH285" s="116"/>
      <c r="CI285" s="6" t="s">
        <v>53</v>
      </c>
      <c r="CJ285" s="33">
        <v>1</v>
      </c>
      <c r="CK285" s="38">
        <v>0</v>
      </c>
      <c r="CL285" s="38">
        <v>1</v>
      </c>
      <c r="CM285" s="38">
        <v>0</v>
      </c>
      <c r="CN285" s="7" t="s">
        <v>54</v>
      </c>
      <c r="CO285" s="7"/>
      <c r="CP285" s="7"/>
    </row>
    <row r="286" spans="1:94" ht="15.75" customHeight="1" x14ac:dyDescent="0.15">
      <c r="A286" s="51" t="s">
        <v>327</v>
      </c>
      <c r="B286" s="3" t="s">
        <v>29</v>
      </c>
      <c r="C286" s="17">
        <v>4</v>
      </c>
      <c r="D286" s="116"/>
      <c r="E286" s="6" t="s">
        <v>127</v>
      </c>
      <c r="F286" s="21">
        <v>1</v>
      </c>
      <c r="G286" s="118"/>
      <c r="H286" s="6" t="s">
        <v>31</v>
      </c>
      <c r="I286" s="17">
        <v>3</v>
      </c>
      <c r="J286" s="116"/>
      <c r="K286" s="43" t="s">
        <v>56</v>
      </c>
      <c r="L286" s="17">
        <v>0</v>
      </c>
      <c r="M286" s="116"/>
      <c r="N286" s="6" t="s">
        <v>145</v>
      </c>
      <c r="O286" s="21">
        <v>1</v>
      </c>
      <c r="P286" s="118"/>
      <c r="Q286" s="6" t="s">
        <v>34</v>
      </c>
      <c r="R286" s="17">
        <v>2</v>
      </c>
      <c r="S286" s="116"/>
      <c r="T286" s="6" t="s">
        <v>35</v>
      </c>
      <c r="U286" s="17">
        <v>2</v>
      </c>
      <c r="V286" s="116"/>
      <c r="W286" s="6" t="s">
        <v>36</v>
      </c>
      <c r="X286" s="17">
        <v>2</v>
      </c>
      <c r="Y286" s="116"/>
      <c r="Z286" s="6" t="s">
        <v>37</v>
      </c>
      <c r="AA286" s="17">
        <v>3</v>
      </c>
      <c r="AB286" s="116"/>
      <c r="AC286" s="6" t="s">
        <v>38</v>
      </c>
      <c r="AD286" s="17">
        <v>2</v>
      </c>
      <c r="AE286" s="116"/>
      <c r="AF286" s="6" t="s">
        <v>83</v>
      </c>
      <c r="AG286" s="17">
        <v>3</v>
      </c>
      <c r="AH286" s="116"/>
      <c r="AI286" s="15" t="s">
        <v>94</v>
      </c>
      <c r="AJ286" s="25">
        <v>2</v>
      </c>
      <c r="AK286" s="129"/>
      <c r="AL286" s="6" t="s">
        <v>71</v>
      </c>
      <c r="AM286" s="17">
        <v>3</v>
      </c>
      <c r="AN286" s="116"/>
      <c r="AO286" s="6" t="s">
        <v>42</v>
      </c>
      <c r="AP286" s="17">
        <v>3</v>
      </c>
      <c r="AQ286" s="116"/>
      <c r="AR286" s="6" t="s">
        <v>99</v>
      </c>
      <c r="AS286" s="17">
        <v>1</v>
      </c>
      <c r="AT286" s="116"/>
      <c r="AU286" s="6" t="s">
        <v>86</v>
      </c>
      <c r="AV286" s="17">
        <v>2</v>
      </c>
      <c r="AW286" s="116"/>
      <c r="AX286" s="6" t="s">
        <v>80</v>
      </c>
      <c r="AY286" s="17">
        <v>1</v>
      </c>
      <c r="AZ286" s="116"/>
      <c r="BA286" s="6" t="s">
        <v>69</v>
      </c>
      <c r="BB286" s="17">
        <v>1</v>
      </c>
      <c r="BC286" s="17">
        <v>0</v>
      </c>
      <c r="BD286" s="17">
        <v>1</v>
      </c>
      <c r="BE286" s="17">
        <v>0</v>
      </c>
      <c r="BF286" s="17">
        <v>0</v>
      </c>
      <c r="BG286" s="17">
        <v>0</v>
      </c>
      <c r="BH286" s="43" t="s">
        <v>47</v>
      </c>
      <c r="BI286" s="17">
        <v>2</v>
      </c>
      <c r="BJ286" s="134"/>
      <c r="BK286" s="6" t="s">
        <v>48</v>
      </c>
      <c r="BL286" s="17">
        <v>0</v>
      </c>
      <c r="BM286" s="116"/>
      <c r="BN286" s="6" t="s">
        <v>36</v>
      </c>
      <c r="BO286" s="17">
        <v>1</v>
      </c>
      <c r="BP286" s="119"/>
      <c r="BQ286" s="17" t="s">
        <v>50</v>
      </c>
      <c r="BR286" s="17">
        <v>3</v>
      </c>
      <c r="BS286" s="116"/>
      <c r="BT286" s="6" t="s">
        <v>38</v>
      </c>
      <c r="BU286" s="17">
        <v>0</v>
      </c>
      <c r="BV286" s="116"/>
      <c r="BW286" s="6" t="s">
        <v>88</v>
      </c>
      <c r="BX286" s="17">
        <v>2</v>
      </c>
      <c r="BY286" s="116"/>
      <c r="BZ286" s="6" t="s">
        <v>97</v>
      </c>
      <c r="CA286" s="17">
        <v>3</v>
      </c>
      <c r="CB286" s="116"/>
      <c r="CC286" s="6" t="s">
        <v>36</v>
      </c>
      <c r="CD286" s="17">
        <v>1</v>
      </c>
      <c r="CE286" s="119"/>
      <c r="CF286" s="17" t="s">
        <v>77</v>
      </c>
      <c r="CG286" s="17">
        <v>3</v>
      </c>
      <c r="CH286" s="116"/>
      <c r="CI286" s="6" t="s">
        <v>53</v>
      </c>
      <c r="CJ286" s="33">
        <v>0</v>
      </c>
      <c r="CK286" s="38">
        <v>1</v>
      </c>
      <c r="CL286" s="38">
        <v>1</v>
      </c>
      <c r="CM286" s="38">
        <v>0</v>
      </c>
      <c r="CN286" s="7" t="s">
        <v>98</v>
      </c>
      <c r="CO286" s="7"/>
      <c r="CP286" s="7"/>
    </row>
    <row r="287" spans="1:94" ht="15.75" customHeight="1" x14ac:dyDescent="0.15">
      <c r="A287" s="51" t="s">
        <v>328</v>
      </c>
      <c r="B287" s="3" t="s">
        <v>29</v>
      </c>
      <c r="C287" s="17">
        <v>4</v>
      </c>
      <c r="D287" s="116"/>
      <c r="E287" s="6" t="s">
        <v>127</v>
      </c>
      <c r="F287" s="21">
        <v>1</v>
      </c>
      <c r="G287" s="118"/>
      <c r="H287" s="6" t="s">
        <v>31</v>
      </c>
      <c r="I287" s="17">
        <v>3</v>
      </c>
      <c r="J287" s="116"/>
      <c r="K287" s="43" t="s">
        <v>56</v>
      </c>
      <c r="L287" s="17">
        <v>0</v>
      </c>
      <c r="M287" s="116"/>
      <c r="N287" s="6" t="s">
        <v>145</v>
      </c>
      <c r="O287" s="21">
        <v>1</v>
      </c>
      <c r="P287" s="118"/>
      <c r="Q287" s="6" t="s">
        <v>34</v>
      </c>
      <c r="R287" s="17">
        <v>1</v>
      </c>
      <c r="S287" s="116"/>
      <c r="T287" s="6" t="s">
        <v>57</v>
      </c>
      <c r="U287" s="17">
        <v>1</v>
      </c>
      <c r="V287" s="116"/>
      <c r="W287" s="6" t="s">
        <v>92</v>
      </c>
      <c r="X287" s="17">
        <v>0</v>
      </c>
      <c r="Y287" s="116"/>
      <c r="Z287" s="6" t="s">
        <v>108</v>
      </c>
      <c r="AA287" s="17">
        <v>0</v>
      </c>
      <c r="AB287" s="116"/>
      <c r="AC287" s="6" t="s">
        <v>46</v>
      </c>
      <c r="AD287" s="17">
        <v>5</v>
      </c>
      <c r="AE287" s="116"/>
      <c r="AF287" s="6" t="s">
        <v>329</v>
      </c>
      <c r="AG287" s="17">
        <v>0</v>
      </c>
      <c r="AH287" s="116"/>
      <c r="AI287" s="15" t="s">
        <v>84</v>
      </c>
      <c r="AJ287" s="25">
        <v>0</v>
      </c>
      <c r="AK287" s="129"/>
      <c r="AL287" s="6" t="s">
        <v>85</v>
      </c>
      <c r="AM287" s="17">
        <v>0</v>
      </c>
      <c r="AN287" s="116"/>
      <c r="AO287" s="6" t="s">
        <v>110</v>
      </c>
      <c r="AP287" s="17">
        <v>3</v>
      </c>
      <c r="AQ287" s="116"/>
      <c r="AR287" s="6" t="s">
        <v>61</v>
      </c>
      <c r="AS287" s="17">
        <v>0</v>
      </c>
      <c r="AT287" s="116"/>
      <c r="AU287" s="6" t="s">
        <v>102</v>
      </c>
      <c r="AV287" s="17">
        <v>0</v>
      </c>
      <c r="AW287" s="116"/>
      <c r="AX287" s="6" t="s">
        <v>62</v>
      </c>
      <c r="AY287" s="17">
        <v>2</v>
      </c>
      <c r="AZ287" s="116"/>
      <c r="BA287" s="6" t="s">
        <v>59</v>
      </c>
      <c r="BB287" s="17">
        <v>1</v>
      </c>
      <c r="BC287" s="17">
        <v>0</v>
      </c>
      <c r="BD287" s="17">
        <v>0</v>
      </c>
      <c r="BE287" s="17">
        <v>1</v>
      </c>
      <c r="BF287" s="17">
        <v>0</v>
      </c>
      <c r="BG287" s="17">
        <v>0</v>
      </c>
      <c r="BH287" s="43" t="s">
        <v>74</v>
      </c>
      <c r="BI287" s="17">
        <v>1</v>
      </c>
      <c r="BJ287" s="134"/>
      <c r="BK287" s="6" t="s">
        <v>96</v>
      </c>
      <c r="BL287" s="17">
        <v>1</v>
      </c>
      <c r="BM287" s="116"/>
      <c r="BN287" s="6" t="s">
        <v>59</v>
      </c>
      <c r="BO287" s="17">
        <v>0</v>
      </c>
      <c r="BP287" s="119"/>
      <c r="BQ287" s="17" t="s">
        <v>87</v>
      </c>
      <c r="BR287" s="17">
        <v>0</v>
      </c>
      <c r="BS287" s="117"/>
      <c r="BT287" s="4" t="s">
        <v>46</v>
      </c>
      <c r="BU287" s="17">
        <v>3</v>
      </c>
      <c r="BV287" s="116"/>
      <c r="BW287" s="6" t="s">
        <v>147</v>
      </c>
      <c r="BX287" s="17">
        <v>1</v>
      </c>
      <c r="BY287" s="116"/>
      <c r="BZ287" s="6" t="s">
        <v>67</v>
      </c>
      <c r="CA287" s="17">
        <v>0</v>
      </c>
      <c r="CB287" s="116"/>
      <c r="CC287" s="6" t="s">
        <v>49</v>
      </c>
      <c r="CD287" s="17">
        <v>0</v>
      </c>
      <c r="CE287" s="119"/>
      <c r="CF287" s="17" t="s">
        <v>49</v>
      </c>
      <c r="CG287" s="17">
        <v>2</v>
      </c>
      <c r="CH287" s="116"/>
      <c r="CI287" s="6" t="s">
        <v>78</v>
      </c>
      <c r="CJ287" s="33">
        <v>0</v>
      </c>
      <c r="CK287" s="38">
        <v>0</v>
      </c>
      <c r="CL287" s="38">
        <v>0</v>
      </c>
      <c r="CM287" s="38">
        <v>1</v>
      </c>
      <c r="CN287" s="7" t="s">
        <v>330</v>
      </c>
      <c r="CO287" s="7"/>
      <c r="CP287" s="7"/>
    </row>
    <row r="288" spans="1:94" ht="15.75" customHeight="1" x14ac:dyDescent="0.15">
      <c r="A288" s="51" t="s">
        <v>331</v>
      </c>
      <c r="B288" s="3" t="s">
        <v>29</v>
      </c>
      <c r="C288" s="17">
        <v>4</v>
      </c>
      <c r="D288" s="116"/>
      <c r="E288" s="6" t="s">
        <v>127</v>
      </c>
      <c r="F288" s="21">
        <v>1</v>
      </c>
      <c r="G288" s="118"/>
      <c r="H288" s="6" t="s">
        <v>31</v>
      </c>
      <c r="I288" s="17">
        <v>3</v>
      </c>
      <c r="J288" s="116"/>
      <c r="K288" s="43" t="s">
        <v>56</v>
      </c>
      <c r="L288" s="17">
        <v>0</v>
      </c>
      <c r="M288" s="116"/>
      <c r="N288" s="6" t="s">
        <v>145</v>
      </c>
      <c r="O288" s="21">
        <v>1</v>
      </c>
      <c r="P288" s="118"/>
      <c r="Q288" s="6" t="s">
        <v>34</v>
      </c>
      <c r="R288" s="17">
        <v>2</v>
      </c>
      <c r="S288" s="116"/>
      <c r="T288" s="6" t="s">
        <v>35</v>
      </c>
      <c r="U288" s="17">
        <v>1</v>
      </c>
      <c r="V288" s="116"/>
      <c r="W288" s="6" t="s">
        <v>92</v>
      </c>
      <c r="X288" s="17">
        <v>2</v>
      </c>
      <c r="Y288" s="116"/>
      <c r="Z288" s="6" t="s">
        <v>37</v>
      </c>
      <c r="AA288" s="17">
        <v>3</v>
      </c>
      <c r="AB288" s="116"/>
      <c r="AC288" s="6" t="s">
        <v>38</v>
      </c>
      <c r="AD288" s="17">
        <v>4</v>
      </c>
      <c r="AE288" s="116"/>
      <c r="AF288" s="6" t="s">
        <v>93</v>
      </c>
      <c r="AG288" s="17">
        <v>2</v>
      </c>
      <c r="AH288" s="116"/>
      <c r="AI288" s="15" t="s">
        <v>40</v>
      </c>
      <c r="AJ288" s="25">
        <v>0</v>
      </c>
      <c r="AK288" s="129"/>
      <c r="AL288" s="6" t="s">
        <v>85</v>
      </c>
      <c r="AM288" s="17">
        <v>3</v>
      </c>
      <c r="AN288" s="116"/>
      <c r="AO288" s="6" t="s">
        <v>42</v>
      </c>
      <c r="AP288" s="17">
        <v>3</v>
      </c>
      <c r="AQ288" s="116"/>
      <c r="AR288" s="6" t="s">
        <v>61</v>
      </c>
      <c r="AS288" s="17">
        <v>2</v>
      </c>
      <c r="AT288" s="116"/>
      <c r="AU288" s="6" t="s">
        <v>44</v>
      </c>
      <c r="AV288" s="17">
        <v>2</v>
      </c>
      <c r="AW288" s="116"/>
      <c r="AX288" s="6" t="s">
        <v>80</v>
      </c>
      <c r="AY288" s="17">
        <v>3</v>
      </c>
      <c r="AZ288" s="116"/>
      <c r="BA288" s="6" t="s">
        <v>46</v>
      </c>
      <c r="BB288" s="17">
        <v>1</v>
      </c>
      <c r="BC288" s="17">
        <v>1</v>
      </c>
      <c r="BD288" s="17">
        <v>0</v>
      </c>
      <c r="BE288" s="17">
        <v>0</v>
      </c>
      <c r="BF288" s="17">
        <v>0</v>
      </c>
      <c r="BG288" s="17">
        <v>0</v>
      </c>
      <c r="BH288" s="43" t="s">
        <v>81</v>
      </c>
      <c r="BI288" s="17">
        <v>2</v>
      </c>
      <c r="BJ288" s="134"/>
      <c r="BK288" s="6" t="s">
        <v>48</v>
      </c>
      <c r="BL288" s="17">
        <v>3</v>
      </c>
      <c r="BM288" s="116"/>
      <c r="BN288" s="6" t="s">
        <v>49</v>
      </c>
      <c r="BO288" s="17">
        <v>1</v>
      </c>
      <c r="BP288" s="119"/>
      <c r="BQ288" s="17" t="s">
        <v>50</v>
      </c>
      <c r="BR288" s="17">
        <v>0</v>
      </c>
      <c r="BS288" s="119"/>
      <c r="BT288" s="1" t="s">
        <v>46</v>
      </c>
      <c r="BU288" s="17">
        <v>3</v>
      </c>
      <c r="BV288" s="116"/>
      <c r="BW288" s="6" t="s">
        <v>147</v>
      </c>
      <c r="BX288" s="17">
        <v>1</v>
      </c>
      <c r="BY288" s="116"/>
      <c r="BZ288" s="6" t="s">
        <v>67</v>
      </c>
      <c r="CA288" s="17">
        <v>2</v>
      </c>
      <c r="CB288" s="116"/>
      <c r="CC288" s="6" t="s">
        <v>76</v>
      </c>
      <c r="CD288" s="17">
        <v>1</v>
      </c>
      <c r="CE288" s="119"/>
      <c r="CF288" s="17" t="s">
        <v>77</v>
      </c>
      <c r="CG288" s="17">
        <v>3</v>
      </c>
      <c r="CH288" s="116"/>
      <c r="CI288" s="6" t="s">
        <v>53</v>
      </c>
      <c r="CJ288" s="33">
        <v>0</v>
      </c>
      <c r="CK288" s="38">
        <v>1</v>
      </c>
      <c r="CL288" s="38">
        <v>1</v>
      </c>
      <c r="CM288" s="38">
        <v>0</v>
      </c>
      <c r="CN288" s="7" t="s">
        <v>98</v>
      </c>
      <c r="CO288" s="7"/>
      <c r="CP288" s="7"/>
    </row>
    <row r="289" spans="1:94" ht="15.75" customHeight="1" x14ac:dyDescent="0.15">
      <c r="A289" s="51" t="s">
        <v>332</v>
      </c>
      <c r="B289" s="3" t="s">
        <v>29</v>
      </c>
      <c r="C289" s="17">
        <v>4</v>
      </c>
      <c r="D289" s="116"/>
      <c r="E289" s="6" t="s">
        <v>127</v>
      </c>
      <c r="F289" s="21">
        <v>1</v>
      </c>
      <c r="G289" s="118"/>
      <c r="H289" s="6" t="s">
        <v>31</v>
      </c>
      <c r="I289" s="17">
        <v>3</v>
      </c>
      <c r="J289" s="116"/>
      <c r="K289" s="43" t="s">
        <v>56</v>
      </c>
      <c r="L289" s="17">
        <v>0</v>
      </c>
      <c r="M289" s="116"/>
      <c r="N289" s="6" t="s">
        <v>145</v>
      </c>
      <c r="O289" s="21">
        <v>1</v>
      </c>
      <c r="P289" s="118"/>
      <c r="Q289" s="6" t="s">
        <v>34</v>
      </c>
      <c r="R289" s="17">
        <v>1</v>
      </c>
      <c r="S289" s="116"/>
      <c r="T289" s="6" t="s">
        <v>57</v>
      </c>
      <c r="U289" s="17">
        <v>1</v>
      </c>
      <c r="V289" s="116"/>
      <c r="W289" s="6" t="s">
        <v>92</v>
      </c>
      <c r="X289" s="17">
        <v>1</v>
      </c>
      <c r="Y289" s="116"/>
      <c r="Z289" s="6" t="s">
        <v>58</v>
      </c>
      <c r="AA289" s="17">
        <v>2</v>
      </c>
      <c r="AB289" s="116"/>
      <c r="AC289" s="6" t="s">
        <v>59</v>
      </c>
      <c r="AD289" s="17">
        <v>4</v>
      </c>
      <c r="AE289" s="116"/>
      <c r="AF289" s="6" t="s">
        <v>93</v>
      </c>
      <c r="AG289" s="17">
        <v>0</v>
      </c>
      <c r="AH289" s="116"/>
      <c r="AI289" s="15" t="s">
        <v>84</v>
      </c>
      <c r="AJ289" s="25">
        <v>2</v>
      </c>
      <c r="AK289" s="129"/>
      <c r="AL289" s="6" t="s">
        <v>71</v>
      </c>
      <c r="AM289" s="17">
        <v>3</v>
      </c>
      <c r="AN289" s="116"/>
      <c r="AO289" s="6" t="s">
        <v>42</v>
      </c>
      <c r="AP289" s="17">
        <v>4</v>
      </c>
      <c r="AQ289" s="116"/>
      <c r="AR289" s="6" t="s">
        <v>43</v>
      </c>
      <c r="AS289" s="17">
        <v>2</v>
      </c>
      <c r="AT289" s="116"/>
      <c r="AU289" s="6" t="s">
        <v>44</v>
      </c>
      <c r="AV289" s="17">
        <v>2</v>
      </c>
      <c r="AW289" s="116"/>
      <c r="AX289" s="6" t="s">
        <v>80</v>
      </c>
      <c r="AY289" s="17">
        <v>2</v>
      </c>
      <c r="AZ289" s="116"/>
      <c r="BA289" s="6" t="s">
        <v>59</v>
      </c>
      <c r="BB289" s="17">
        <v>0</v>
      </c>
      <c r="BC289" s="17">
        <v>0</v>
      </c>
      <c r="BD289" s="17">
        <v>1</v>
      </c>
      <c r="BE289" s="17">
        <v>0</v>
      </c>
      <c r="BF289" s="17">
        <v>0</v>
      </c>
      <c r="BG289" s="17">
        <v>1</v>
      </c>
      <c r="BH289" s="43" t="s">
        <v>333</v>
      </c>
      <c r="BI289" s="17">
        <v>2</v>
      </c>
      <c r="BJ289" s="134"/>
      <c r="BK289" s="6" t="s">
        <v>48</v>
      </c>
      <c r="BL289" s="17">
        <v>2</v>
      </c>
      <c r="BM289" s="116"/>
      <c r="BN289" s="6" t="s">
        <v>64</v>
      </c>
      <c r="BO289" s="17">
        <v>2</v>
      </c>
      <c r="BP289" s="119"/>
      <c r="BQ289" s="17" t="s">
        <v>117</v>
      </c>
      <c r="BR289" s="17">
        <v>2</v>
      </c>
      <c r="BS289" s="117"/>
      <c r="BT289" s="4" t="s">
        <v>65</v>
      </c>
      <c r="BU289" s="17">
        <v>2</v>
      </c>
      <c r="BV289" s="116"/>
      <c r="BW289" s="6" t="s">
        <v>51</v>
      </c>
      <c r="BX289" s="17">
        <v>2</v>
      </c>
      <c r="BY289" s="116"/>
      <c r="BZ289" s="6" t="s">
        <v>97</v>
      </c>
      <c r="CA289" s="17">
        <v>1</v>
      </c>
      <c r="CB289" s="116"/>
      <c r="CC289" s="6" t="s">
        <v>77</v>
      </c>
      <c r="CD289" s="17">
        <v>1</v>
      </c>
      <c r="CE289" s="119"/>
      <c r="CF289" s="17" t="s">
        <v>77</v>
      </c>
      <c r="CG289" s="17">
        <v>3</v>
      </c>
      <c r="CH289" s="116"/>
      <c r="CI289" s="6" t="s">
        <v>53</v>
      </c>
      <c r="CJ289" s="33">
        <v>0</v>
      </c>
      <c r="CK289" s="38">
        <v>1</v>
      </c>
      <c r="CL289" s="38">
        <v>1</v>
      </c>
      <c r="CM289" s="38">
        <v>0</v>
      </c>
      <c r="CN289" s="7" t="s">
        <v>98</v>
      </c>
      <c r="CO289" s="7"/>
      <c r="CP289" s="7"/>
    </row>
    <row r="290" spans="1:94" ht="15.75" customHeight="1" x14ac:dyDescent="0.15">
      <c r="A290" s="51" t="s">
        <v>334</v>
      </c>
      <c r="B290" s="3" t="s">
        <v>29</v>
      </c>
      <c r="C290" s="17">
        <v>5</v>
      </c>
      <c r="D290" s="116"/>
      <c r="E290" s="6" t="s">
        <v>30</v>
      </c>
      <c r="F290" s="18">
        <v>2</v>
      </c>
      <c r="G290" s="117"/>
      <c r="H290" s="6" t="s">
        <v>91</v>
      </c>
      <c r="I290" s="17">
        <v>3</v>
      </c>
      <c r="J290" s="116"/>
      <c r="K290" s="43" t="s">
        <v>56</v>
      </c>
      <c r="L290" s="17">
        <v>0</v>
      </c>
      <c r="M290" s="116"/>
      <c r="N290" s="6" t="s">
        <v>145</v>
      </c>
      <c r="O290" s="21">
        <v>1</v>
      </c>
      <c r="P290" s="118"/>
      <c r="Q290" s="6" t="s">
        <v>34</v>
      </c>
      <c r="R290" s="17">
        <v>2</v>
      </c>
      <c r="S290" s="116"/>
      <c r="T290" s="6" t="s">
        <v>35</v>
      </c>
      <c r="U290" s="17">
        <v>2</v>
      </c>
      <c r="V290" s="116"/>
      <c r="W290" s="6" t="s">
        <v>36</v>
      </c>
      <c r="X290" s="17">
        <v>2</v>
      </c>
      <c r="Y290" s="116"/>
      <c r="Z290" s="6" t="s">
        <v>37</v>
      </c>
      <c r="AA290" s="17">
        <v>3</v>
      </c>
      <c r="AB290" s="116"/>
      <c r="AC290" s="6" t="s">
        <v>38</v>
      </c>
      <c r="AD290" s="17">
        <v>4</v>
      </c>
      <c r="AE290" s="116"/>
      <c r="AF290" s="6" t="s">
        <v>93</v>
      </c>
      <c r="AG290" s="17">
        <v>2</v>
      </c>
      <c r="AH290" s="116"/>
      <c r="AI290" s="15" t="s">
        <v>40</v>
      </c>
      <c r="AJ290" s="25">
        <v>3</v>
      </c>
      <c r="AK290" s="129"/>
      <c r="AL290" s="6" t="s">
        <v>41</v>
      </c>
      <c r="AM290" s="17">
        <v>3</v>
      </c>
      <c r="AN290" s="116"/>
      <c r="AO290" s="6" t="s">
        <v>42</v>
      </c>
      <c r="AP290" s="17">
        <v>3</v>
      </c>
      <c r="AQ290" s="116"/>
      <c r="AR290" s="6" t="s">
        <v>61</v>
      </c>
      <c r="AS290" s="17">
        <v>3</v>
      </c>
      <c r="AT290" s="116"/>
      <c r="AU290" s="6" t="s">
        <v>79</v>
      </c>
      <c r="AV290" s="17">
        <v>0</v>
      </c>
      <c r="AW290" s="116"/>
      <c r="AX290" s="6" t="s">
        <v>62</v>
      </c>
      <c r="AY290" s="17">
        <v>3</v>
      </c>
      <c r="AZ290" s="116"/>
      <c r="BA290" s="6" t="s">
        <v>46</v>
      </c>
      <c r="BB290" s="17">
        <v>0</v>
      </c>
      <c r="BC290" s="17">
        <v>0</v>
      </c>
      <c r="BD290" s="17">
        <v>1</v>
      </c>
      <c r="BE290" s="17">
        <v>0</v>
      </c>
      <c r="BF290" s="17">
        <v>0</v>
      </c>
      <c r="BG290" s="17">
        <v>0</v>
      </c>
      <c r="BH290" s="43" t="s">
        <v>47</v>
      </c>
      <c r="BI290" s="17">
        <v>2</v>
      </c>
      <c r="BJ290" s="134"/>
      <c r="BK290" s="6" t="s">
        <v>48</v>
      </c>
      <c r="BL290" s="17">
        <v>3</v>
      </c>
      <c r="BM290" s="116"/>
      <c r="BN290" s="6" t="s">
        <v>49</v>
      </c>
      <c r="BO290" s="17">
        <v>1</v>
      </c>
      <c r="BP290" s="119"/>
      <c r="BQ290" s="17" t="s">
        <v>50</v>
      </c>
      <c r="BR290" s="17">
        <v>3</v>
      </c>
      <c r="BS290" s="116"/>
      <c r="BT290" s="6" t="s">
        <v>38</v>
      </c>
      <c r="BU290" s="17">
        <v>2</v>
      </c>
      <c r="BV290" s="116"/>
      <c r="BW290" s="6" t="s">
        <v>51</v>
      </c>
      <c r="BX290" s="17">
        <v>2</v>
      </c>
      <c r="BY290" s="116"/>
      <c r="BZ290" s="6" t="s">
        <v>97</v>
      </c>
      <c r="CA290" s="17">
        <v>3</v>
      </c>
      <c r="CB290" s="116"/>
      <c r="CC290" s="6" t="s">
        <v>36</v>
      </c>
      <c r="CD290" s="17">
        <v>1</v>
      </c>
      <c r="CE290" s="119"/>
      <c r="CF290" s="17" t="s">
        <v>77</v>
      </c>
      <c r="CG290" s="17">
        <v>3</v>
      </c>
      <c r="CH290" s="116"/>
      <c r="CI290" s="6" t="s">
        <v>53</v>
      </c>
      <c r="CJ290" s="33">
        <v>0</v>
      </c>
      <c r="CK290" s="38">
        <v>1</v>
      </c>
      <c r="CL290" s="38">
        <v>1</v>
      </c>
      <c r="CM290" s="38">
        <v>0</v>
      </c>
      <c r="CN290" s="7" t="s">
        <v>98</v>
      </c>
      <c r="CO290" s="7"/>
      <c r="CP290" s="7"/>
    </row>
    <row r="291" spans="1:94" ht="15.75" customHeight="1" x14ac:dyDescent="0.15">
      <c r="A291" s="51" t="s">
        <v>335</v>
      </c>
      <c r="B291" s="3" t="s">
        <v>29</v>
      </c>
      <c r="C291" s="17">
        <v>4</v>
      </c>
      <c r="D291" s="116"/>
      <c r="E291" s="6" t="s">
        <v>127</v>
      </c>
      <c r="F291" s="21">
        <v>1</v>
      </c>
      <c r="G291" s="118"/>
      <c r="H291" s="6" t="s">
        <v>31</v>
      </c>
      <c r="I291" s="17">
        <v>1</v>
      </c>
      <c r="J291" s="116"/>
      <c r="K291" s="43" t="s">
        <v>32</v>
      </c>
      <c r="L291" s="17">
        <v>0</v>
      </c>
      <c r="M291" s="116"/>
      <c r="N291" s="6" t="s">
        <v>145</v>
      </c>
      <c r="O291" s="21">
        <v>1</v>
      </c>
      <c r="P291" s="118"/>
      <c r="Q291" s="6" t="s">
        <v>34</v>
      </c>
      <c r="R291" s="17">
        <v>2</v>
      </c>
      <c r="S291" s="116"/>
      <c r="T291" s="6" t="s">
        <v>35</v>
      </c>
      <c r="U291" s="17">
        <v>0</v>
      </c>
      <c r="V291" s="116"/>
      <c r="W291" s="6" t="s">
        <v>77</v>
      </c>
      <c r="X291" s="17">
        <v>1</v>
      </c>
      <c r="Y291" s="116"/>
      <c r="Z291" s="6" t="s">
        <v>58</v>
      </c>
      <c r="AA291" s="17">
        <v>2</v>
      </c>
      <c r="AB291" s="116"/>
      <c r="AC291" s="6" t="s">
        <v>59</v>
      </c>
      <c r="AD291" s="17">
        <v>4</v>
      </c>
      <c r="AE291" s="116"/>
      <c r="AF291" s="6" t="s">
        <v>93</v>
      </c>
      <c r="AG291" s="17">
        <v>3</v>
      </c>
      <c r="AH291" s="116"/>
      <c r="AI291" s="15" t="s">
        <v>94</v>
      </c>
      <c r="AJ291" s="25">
        <v>0</v>
      </c>
      <c r="AK291" s="129"/>
      <c r="AL291" s="6" t="s">
        <v>85</v>
      </c>
      <c r="AM291" s="17">
        <v>3</v>
      </c>
      <c r="AN291" s="116"/>
      <c r="AO291" s="6" t="s">
        <v>42</v>
      </c>
      <c r="AP291" s="17">
        <v>0</v>
      </c>
      <c r="AQ291" s="116"/>
      <c r="AR291" s="6" t="s">
        <v>121</v>
      </c>
      <c r="AS291" s="17">
        <v>2</v>
      </c>
      <c r="AT291" s="116"/>
      <c r="AU291" s="6" t="s">
        <v>44</v>
      </c>
      <c r="AV291" s="17">
        <v>2</v>
      </c>
      <c r="AW291" s="116"/>
      <c r="AX291" s="6" t="s">
        <v>80</v>
      </c>
      <c r="AY291" s="17">
        <v>3</v>
      </c>
      <c r="AZ291" s="116"/>
      <c r="BA291" s="6" t="s">
        <v>46</v>
      </c>
      <c r="BB291" s="17">
        <v>0</v>
      </c>
      <c r="BC291" s="17">
        <v>1</v>
      </c>
      <c r="BD291" s="17">
        <v>1</v>
      </c>
      <c r="BE291" s="17">
        <v>0</v>
      </c>
      <c r="BF291" s="17">
        <v>0</v>
      </c>
      <c r="BG291" s="17">
        <v>0</v>
      </c>
      <c r="BH291" s="43" t="s">
        <v>105</v>
      </c>
      <c r="BI291" s="17">
        <v>0</v>
      </c>
      <c r="BJ291" s="134"/>
      <c r="BK291" s="6" t="s">
        <v>75</v>
      </c>
      <c r="BL291" s="17">
        <v>2</v>
      </c>
      <c r="BM291" s="116"/>
      <c r="BN291" s="6" t="s">
        <v>64</v>
      </c>
      <c r="BO291" s="17">
        <v>1</v>
      </c>
      <c r="BP291" s="119"/>
      <c r="BQ291" s="17" t="s">
        <v>50</v>
      </c>
      <c r="BR291" s="17">
        <v>2</v>
      </c>
      <c r="BS291" s="117"/>
      <c r="BT291" s="4" t="s">
        <v>65</v>
      </c>
      <c r="BU291" s="17">
        <v>0</v>
      </c>
      <c r="BV291" s="116"/>
      <c r="BW291" s="6" t="s">
        <v>88</v>
      </c>
      <c r="BX291" s="17">
        <v>3</v>
      </c>
      <c r="BY291" s="116"/>
      <c r="BZ291" s="6" t="s">
        <v>52</v>
      </c>
      <c r="CA291" s="17">
        <v>3</v>
      </c>
      <c r="CB291" s="116"/>
      <c r="CC291" s="6" t="s">
        <v>36</v>
      </c>
      <c r="CD291" s="17">
        <v>1</v>
      </c>
      <c r="CE291" s="119"/>
      <c r="CF291" s="17" t="s">
        <v>77</v>
      </c>
      <c r="CG291" s="17">
        <v>1</v>
      </c>
      <c r="CH291" s="116"/>
      <c r="CI291" s="6" t="s">
        <v>77</v>
      </c>
      <c r="CJ291" s="33">
        <v>0</v>
      </c>
      <c r="CK291" s="38">
        <v>0</v>
      </c>
      <c r="CL291" s="38">
        <v>1</v>
      </c>
      <c r="CM291" s="38">
        <v>0</v>
      </c>
      <c r="CN291" s="7" t="s">
        <v>120</v>
      </c>
      <c r="CO291" s="7"/>
      <c r="CP291" s="7"/>
    </row>
    <row r="292" spans="1:94" ht="15.75" customHeight="1" x14ac:dyDescent="0.15">
      <c r="A292" s="51" t="s">
        <v>336</v>
      </c>
      <c r="B292" s="3" t="s">
        <v>29</v>
      </c>
      <c r="C292" s="39">
        <v>5</v>
      </c>
      <c r="D292" s="116"/>
      <c r="E292" s="6" t="s">
        <v>30</v>
      </c>
      <c r="F292" s="21">
        <v>1</v>
      </c>
      <c r="G292" s="118"/>
      <c r="H292" s="6" t="s">
        <v>31</v>
      </c>
      <c r="I292" s="39">
        <v>2</v>
      </c>
      <c r="J292" s="116"/>
      <c r="K292" s="43" t="s">
        <v>116</v>
      </c>
      <c r="L292" s="39">
        <v>0</v>
      </c>
      <c r="M292" s="116"/>
      <c r="N292" s="6" t="s">
        <v>145</v>
      </c>
      <c r="O292" s="21">
        <v>1</v>
      </c>
      <c r="P292" s="118"/>
      <c r="Q292" s="6" t="s">
        <v>34</v>
      </c>
      <c r="R292" s="39">
        <v>2</v>
      </c>
      <c r="S292" s="116"/>
      <c r="T292" s="6" t="s">
        <v>35</v>
      </c>
      <c r="U292" s="39">
        <v>1</v>
      </c>
      <c r="V292" s="116"/>
      <c r="W292" s="6" t="s">
        <v>92</v>
      </c>
      <c r="X292" s="39">
        <v>2</v>
      </c>
      <c r="Y292" s="116"/>
      <c r="Z292" s="6" t="s">
        <v>37</v>
      </c>
      <c r="AA292" s="39">
        <v>3</v>
      </c>
      <c r="AB292" s="116"/>
      <c r="AC292" s="6" t="s">
        <v>38</v>
      </c>
      <c r="AD292" s="39">
        <v>4</v>
      </c>
      <c r="AE292" s="116"/>
      <c r="AF292" s="6" t="s">
        <v>93</v>
      </c>
      <c r="AG292" s="39">
        <v>3</v>
      </c>
      <c r="AH292" s="116"/>
      <c r="AI292" s="15" t="s">
        <v>94</v>
      </c>
      <c r="AJ292" s="40">
        <v>3</v>
      </c>
      <c r="AK292" s="129"/>
      <c r="AL292" s="6" t="s">
        <v>41</v>
      </c>
      <c r="AM292" s="39">
        <v>2</v>
      </c>
      <c r="AN292" s="116"/>
      <c r="AO292" s="6" t="s">
        <v>72</v>
      </c>
      <c r="AP292" s="39">
        <v>2</v>
      </c>
      <c r="AQ292" s="116"/>
      <c r="AR292" s="6" t="s">
        <v>104</v>
      </c>
      <c r="AS292" s="39">
        <v>3</v>
      </c>
      <c r="AT292" s="116"/>
      <c r="AU292" s="6" t="s">
        <v>79</v>
      </c>
      <c r="AV292" s="39">
        <v>2</v>
      </c>
      <c r="AW292" s="116"/>
      <c r="AX292" s="6" t="s">
        <v>80</v>
      </c>
      <c r="AY292" s="39">
        <v>2</v>
      </c>
      <c r="AZ292" s="116"/>
      <c r="BA292" s="6" t="s">
        <v>59</v>
      </c>
      <c r="BB292" s="39">
        <v>0</v>
      </c>
      <c r="BC292" s="39">
        <v>1</v>
      </c>
      <c r="BD292" s="39">
        <v>1</v>
      </c>
      <c r="BE292" s="39">
        <v>0</v>
      </c>
      <c r="BF292" s="39">
        <v>0</v>
      </c>
      <c r="BG292" s="39">
        <v>0</v>
      </c>
      <c r="BH292" s="43" t="s">
        <v>105</v>
      </c>
      <c r="BI292" s="39">
        <v>2</v>
      </c>
      <c r="BJ292" s="134"/>
      <c r="BK292" s="6" t="s">
        <v>48</v>
      </c>
      <c r="BL292" s="39">
        <v>2</v>
      </c>
      <c r="BM292" s="116"/>
      <c r="BN292" s="6" t="s">
        <v>64</v>
      </c>
      <c r="BO292" s="39">
        <v>2</v>
      </c>
      <c r="BP292" s="116"/>
      <c r="BQ292" s="39" t="s">
        <v>117</v>
      </c>
      <c r="BR292" s="39">
        <v>3</v>
      </c>
      <c r="BS292" s="117"/>
      <c r="BT292" s="4" t="s">
        <v>38</v>
      </c>
      <c r="BU292" s="39">
        <v>2</v>
      </c>
      <c r="BV292" s="116"/>
      <c r="BW292" s="6" t="s">
        <v>51</v>
      </c>
      <c r="BX292" s="39">
        <v>2</v>
      </c>
      <c r="BY292" s="116"/>
      <c r="BZ292" s="6" t="s">
        <v>97</v>
      </c>
      <c r="CA292" s="39">
        <v>3</v>
      </c>
      <c r="CB292" s="116"/>
      <c r="CC292" s="6" t="s">
        <v>36</v>
      </c>
      <c r="CD292" s="39">
        <v>1</v>
      </c>
      <c r="CE292" s="116"/>
      <c r="CF292" s="39" t="s">
        <v>77</v>
      </c>
      <c r="CG292" s="39">
        <v>3</v>
      </c>
      <c r="CH292" s="116"/>
      <c r="CI292" s="6" t="s">
        <v>53</v>
      </c>
      <c r="CJ292" s="41">
        <v>1</v>
      </c>
      <c r="CK292" s="42">
        <v>1</v>
      </c>
      <c r="CL292" s="42">
        <v>0</v>
      </c>
      <c r="CM292" s="42">
        <v>0</v>
      </c>
      <c r="CN292" s="7" t="s">
        <v>82</v>
      </c>
      <c r="CO292" s="7"/>
      <c r="CP292" s="7"/>
    </row>
    <row r="293" spans="1:94" ht="28" customHeight="1" x14ac:dyDescent="0.15">
      <c r="A293" s="51" t="s">
        <v>337</v>
      </c>
      <c r="B293" s="3" t="s">
        <v>29</v>
      </c>
      <c r="C293" s="17">
        <v>2</v>
      </c>
      <c r="D293" s="116"/>
      <c r="E293" s="6" t="s">
        <v>55</v>
      </c>
      <c r="F293" s="17">
        <v>2</v>
      </c>
      <c r="G293" s="116"/>
      <c r="H293" s="6" t="s">
        <v>91</v>
      </c>
      <c r="I293" s="17">
        <v>1</v>
      </c>
      <c r="J293" s="116"/>
      <c r="K293" s="43" t="s">
        <v>32</v>
      </c>
      <c r="L293" s="17">
        <v>2</v>
      </c>
      <c r="M293" s="116"/>
      <c r="N293" s="6" t="s">
        <v>33</v>
      </c>
      <c r="O293" s="17">
        <v>1</v>
      </c>
      <c r="P293" s="116"/>
      <c r="Q293" s="6" t="s">
        <v>34</v>
      </c>
      <c r="R293" s="17">
        <v>1</v>
      </c>
      <c r="S293" s="116"/>
      <c r="T293" s="6" t="s">
        <v>57</v>
      </c>
      <c r="U293" s="17">
        <v>2</v>
      </c>
      <c r="V293" s="116"/>
      <c r="W293" s="6" t="s">
        <v>36</v>
      </c>
      <c r="X293" s="17">
        <v>0</v>
      </c>
      <c r="Y293" s="116"/>
      <c r="Z293" s="6" t="s">
        <v>108</v>
      </c>
      <c r="AA293" s="17">
        <v>0</v>
      </c>
      <c r="AB293" s="116"/>
      <c r="AC293" s="6" t="s">
        <v>46</v>
      </c>
      <c r="AD293" s="17">
        <v>2</v>
      </c>
      <c r="AE293" s="116"/>
      <c r="AF293" s="6" t="s">
        <v>83</v>
      </c>
      <c r="AG293" s="17">
        <v>0</v>
      </c>
      <c r="AH293" s="116"/>
      <c r="AI293" s="15" t="s">
        <v>84</v>
      </c>
      <c r="AJ293" s="25">
        <v>2</v>
      </c>
      <c r="AK293" s="129"/>
      <c r="AL293" s="6" t="s">
        <v>71</v>
      </c>
      <c r="AM293" s="17">
        <v>0</v>
      </c>
      <c r="AN293" s="116"/>
      <c r="AO293" s="6" t="s">
        <v>110</v>
      </c>
      <c r="AP293" s="17">
        <v>3</v>
      </c>
      <c r="AQ293" s="116"/>
      <c r="AR293" s="6" t="s">
        <v>61</v>
      </c>
      <c r="AS293" s="17">
        <v>2</v>
      </c>
      <c r="AT293" s="116"/>
      <c r="AU293" s="6" t="s">
        <v>44</v>
      </c>
      <c r="AV293" s="17">
        <v>0</v>
      </c>
      <c r="AW293" s="116"/>
      <c r="AX293" s="6" t="s">
        <v>62</v>
      </c>
      <c r="AY293" s="17">
        <v>2</v>
      </c>
      <c r="AZ293" s="116"/>
      <c r="BA293" s="6" t="s">
        <v>59</v>
      </c>
      <c r="BB293" s="17">
        <v>1</v>
      </c>
      <c r="BC293" s="17">
        <v>0</v>
      </c>
      <c r="BD293" s="17">
        <v>1</v>
      </c>
      <c r="BE293" s="17">
        <v>0</v>
      </c>
      <c r="BF293" s="17">
        <v>0</v>
      </c>
      <c r="BG293" s="17">
        <v>0</v>
      </c>
      <c r="BH293" s="43" t="s">
        <v>47</v>
      </c>
      <c r="BI293" s="17">
        <v>0</v>
      </c>
      <c r="BJ293" s="134"/>
      <c r="BK293" s="6" t="s">
        <v>75</v>
      </c>
      <c r="BL293" s="17">
        <v>0</v>
      </c>
      <c r="BM293" s="116"/>
      <c r="BN293" s="6" t="s">
        <v>36</v>
      </c>
      <c r="BO293" s="17">
        <v>0</v>
      </c>
      <c r="BP293" s="119"/>
      <c r="BQ293" s="17" t="s">
        <v>341</v>
      </c>
      <c r="BR293" s="17">
        <v>0</v>
      </c>
      <c r="BS293" s="119"/>
      <c r="BT293" s="1" t="s">
        <v>46</v>
      </c>
      <c r="BU293" s="17">
        <v>2</v>
      </c>
      <c r="BV293" s="116"/>
      <c r="BW293" s="6" t="s">
        <v>51</v>
      </c>
      <c r="BX293" s="17">
        <v>0</v>
      </c>
      <c r="BY293" s="116"/>
      <c r="BZ293" s="151" t="s">
        <v>342</v>
      </c>
      <c r="CA293" s="17">
        <v>0</v>
      </c>
      <c r="CB293" s="116"/>
      <c r="CC293" s="6" t="s">
        <v>49</v>
      </c>
      <c r="CD293" s="17">
        <v>0</v>
      </c>
      <c r="CE293" s="119"/>
      <c r="CF293" s="17" t="s">
        <v>49</v>
      </c>
      <c r="CG293" s="17">
        <v>0</v>
      </c>
      <c r="CH293" s="116"/>
      <c r="CI293" s="6" t="s">
        <v>89</v>
      </c>
      <c r="CJ293" s="33">
        <v>0</v>
      </c>
      <c r="CK293" s="38">
        <v>0</v>
      </c>
      <c r="CL293" s="38">
        <v>0</v>
      </c>
      <c r="CM293" s="38">
        <v>1</v>
      </c>
      <c r="CN293" s="7" t="s">
        <v>150</v>
      </c>
    </row>
    <row r="294" spans="1:94" ht="15.75" customHeight="1" x14ac:dyDescent="0.15">
      <c r="A294" s="51" t="s">
        <v>338</v>
      </c>
      <c r="B294" s="3" t="s">
        <v>29</v>
      </c>
      <c r="C294" s="17">
        <v>2</v>
      </c>
      <c r="D294" s="116"/>
      <c r="E294" s="6" t="s">
        <v>55</v>
      </c>
      <c r="F294" s="17">
        <v>2</v>
      </c>
      <c r="G294" s="116"/>
      <c r="H294" s="6" t="s">
        <v>91</v>
      </c>
      <c r="I294" s="17">
        <v>2</v>
      </c>
      <c r="J294" s="116"/>
      <c r="K294" s="43" t="s">
        <v>116</v>
      </c>
      <c r="L294" s="17">
        <v>2</v>
      </c>
      <c r="M294" s="116"/>
      <c r="N294" s="6" t="s">
        <v>33</v>
      </c>
      <c r="O294" s="17">
        <v>1</v>
      </c>
      <c r="P294" s="116"/>
      <c r="Q294" s="6" t="s">
        <v>34</v>
      </c>
      <c r="R294" s="17">
        <v>2</v>
      </c>
      <c r="S294" s="116"/>
      <c r="T294" s="6" t="s">
        <v>35</v>
      </c>
      <c r="U294" s="17">
        <v>1</v>
      </c>
      <c r="V294" s="116"/>
      <c r="W294" s="6" t="s">
        <v>92</v>
      </c>
      <c r="X294" s="17">
        <v>1</v>
      </c>
      <c r="Y294" s="116"/>
      <c r="Z294" s="6" t="s">
        <v>58</v>
      </c>
      <c r="AA294" s="17">
        <v>1</v>
      </c>
      <c r="AB294" s="116"/>
      <c r="AC294" s="6" t="s">
        <v>69</v>
      </c>
      <c r="AD294" s="17">
        <v>2</v>
      </c>
      <c r="AE294" s="116"/>
      <c r="AF294" s="6" t="s">
        <v>83</v>
      </c>
      <c r="AG294" s="17">
        <v>0</v>
      </c>
      <c r="AH294" s="116"/>
      <c r="AI294" s="15" t="s">
        <v>84</v>
      </c>
      <c r="AJ294" s="25">
        <v>0</v>
      </c>
      <c r="AK294" s="129"/>
      <c r="AL294" s="6" t="s">
        <v>85</v>
      </c>
      <c r="AM294" s="17">
        <v>3</v>
      </c>
      <c r="AN294" s="116"/>
      <c r="AO294" s="6" t="s">
        <v>42</v>
      </c>
      <c r="AP294" s="17">
        <v>0</v>
      </c>
      <c r="AQ294" s="116"/>
      <c r="AR294" s="6" t="s">
        <v>121</v>
      </c>
      <c r="AS294" s="17">
        <v>2</v>
      </c>
      <c r="AT294" s="116"/>
      <c r="AU294" s="6" t="s">
        <v>44</v>
      </c>
      <c r="AV294" s="17">
        <v>2</v>
      </c>
      <c r="AW294" s="116"/>
      <c r="AX294" s="6" t="s">
        <v>80</v>
      </c>
      <c r="AY294" s="17">
        <v>1</v>
      </c>
      <c r="AZ294" s="116"/>
      <c r="BA294" s="6" t="s">
        <v>69</v>
      </c>
      <c r="BB294" s="17">
        <v>1</v>
      </c>
      <c r="BC294" s="17">
        <v>0</v>
      </c>
      <c r="BD294" s="17">
        <v>1</v>
      </c>
      <c r="BE294" s="17">
        <v>0</v>
      </c>
      <c r="BF294" s="17">
        <v>0</v>
      </c>
      <c r="BG294" s="17">
        <v>0</v>
      </c>
      <c r="BH294" s="43" t="s">
        <v>47</v>
      </c>
      <c r="BI294" s="17">
        <v>1</v>
      </c>
      <c r="BJ294" s="134"/>
      <c r="BK294" s="6" t="s">
        <v>96</v>
      </c>
      <c r="BL294" s="17">
        <v>1</v>
      </c>
      <c r="BM294" s="116"/>
      <c r="BN294" s="6" t="s">
        <v>59</v>
      </c>
      <c r="BO294" s="17">
        <v>1</v>
      </c>
      <c r="BP294" s="119"/>
      <c r="BQ294" s="17" t="s">
        <v>50</v>
      </c>
      <c r="BR294" s="17">
        <v>2</v>
      </c>
      <c r="BS294" s="117"/>
      <c r="BT294" s="4" t="s">
        <v>65</v>
      </c>
      <c r="BU294" s="17">
        <v>2</v>
      </c>
      <c r="BV294" s="116"/>
      <c r="BW294" s="6" t="s">
        <v>51</v>
      </c>
      <c r="BX294" s="17">
        <v>0</v>
      </c>
      <c r="BY294" s="116"/>
      <c r="BZ294" s="6" t="s">
        <v>119</v>
      </c>
      <c r="CA294" s="17">
        <v>3</v>
      </c>
      <c r="CB294" s="116"/>
      <c r="CC294" s="6" t="s">
        <v>36</v>
      </c>
      <c r="CD294" s="17">
        <v>1</v>
      </c>
      <c r="CE294" s="119"/>
      <c r="CF294" s="17" t="s">
        <v>77</v>
      </c>
      <c r="CG294" s="17">
        <v>0</v>
      </c>
      <c r="CH294" s="116"/>
      <c r="CI294" s="6" t="s">
        <v>89</v>
      </c>
      <c r="CJ294" s="33">
        <v>1</v>
      </c>
      <c r="CK294" s="38">
        <v>1</v>
      </c>
      <c r="CL294" s="38">
        <v>0</v>
      </c>
      <c r="CM294" s="38">
        <v>0</v>
      </c>
      <c r="CN294" s="7" t="s">
        <v>82</v>
      </c>
    </row>
    <row r="295" spans="1:94" ht="15.75" customHeight="1" x14ac:dyDescent="0.15">
      <c r="A295" s="141" t="s">
        <v>339</v>
      </c>
      <c r="B295" s="142" t="s">
        <v>29</v>
      </c>
      <c r="C295" s="17">
        <v>4</v>
      </c>
      <c r="D295" s="116"/>
      <c r="E295" s="140" t="s">
        <v>127</v>
      </c>
      <c r="F295" s="17">
        <v>1</v>
      </c>
      <c r="G295" s="116"/>
      <c r="H295" s="140" t="s">
        <v>31</v>
      </c>
      <c r="I295" s="17">
        <v>2</v>
      </c>
      <c r="J295" s="116"/>
      <c r="K295" s="145" t="s">
        <v>116</v>
      </c>
      <c r="L295" s="17">
        <v>0</v>
      </c>
      <c r="M295" s="116"/>
      <c r="N295" s="140" t="s">
        <v>145</v>
      </c>
      <c r="O295" s="17">
        <v>1</v>
      </c>
      <c r="P295" s="116"/>
      <c r="Q295" s="140" t="s">
        <v>34</v>
      </c>
      <c r="R295" s="17">
        <v>1</v>
      </c>
      <c r="S295" s="116"/>
      <c r="T295" s="140" t="s">
        <v>57</v>
      </c>
      <c r="U295" s="17">
        <v>1</v>
      </c>
      <c r="V295" s="116"/>
      <c r="W295" s="143" t="s">
        <v>92</v>
      </c>
      <c r="X295" s="17">
        <v>1</v>
      </c>
      <c r="Y295" s="116"/>
      <c r="Z295" s="140" t="s">
        <v>58</v>
      </c>
      <c r="AA295" s="17">
        <v>1</v>
      </c>
      <c r="AB295" s="116"/>
      <c r="AC295" s="140" t="s">
        <v>69</v>
      </c>
      <c r="AD295" s="39">
        <v>4</v>
      </c>
      <c r="AE295" s="116"/>
      <c r="AF295" s="140" t="s">
        <v>93</v>
      </c>
      <c r="AG295" s="17">
        <v>3</v>
      </c>
      <c r="AH295" s="116"/>
      <c r="AI295" s="140" t="s">
        <v>94</v>
      </c>
      <c r="AJ295" s="25">
        <v>2</v>
      </c>
      <c r="AK295" s="129"/>
      <c r="AL295" s="140" t="s">
        <v>71</v>
      </c>
      <c r="AM295" s="17">
        <v>3</v>
      </c>
      <c r="AN295" s="116"/>
      <c r="AO295" s="140" t="s">
        <v>42</v>
      </c>
      <c r="AP295" s="39">
        <v>4</v>
      </c>
      <c r="AQ295" s="116"/>
      <c r="AR295" s="140" t="s">
        <v>43</v>
      </c>
      <c r="AS295" s="17">
        <v>2</v>
      </c>
      <c r="AT295" s="116"/>
      <c r="AU295" s="140" t="s">
        <v>44</v>
      </c>
      <c r="AV295" s="17">
        <v>2</v>
      </c>
      <c r="AW295" s="116"/>
      <c r="AX295" s="140" t="s">
        <v>80</v>
      </c>
      <c r="AY295" s="39">
        <v>3</v>
      </c>
      <c r="AZ295" s="116"/>
      <c r="BA295" s="140" t="s">
        <v>46</v>
      </c>
      <c r="BB295" s="17">
        <v>1</v>
      </c>
      <c r="BC295" s="17">
        <v>0</v>
      </c>
      <c r="BD295" s="17">
        <v>1</v>
      </c>
      <c r="BE295" s="17">
        <v>0</v>
      </c>
      <c r="BF295" s="17">
        <v>0</v>
      </c>
      <c r="BG295" s="17">
        <v>0</v>
      </c>
      <c r="BH295" s="142" t="s">
        <v>47</v>
      </c>
      <c r="BI295" s="17">
        <v>0</v>
      </c>
      <c r="BJ295" s="134"/>
      <c r="BK295" s="140" t="s">
        <v>75</v>
      </c>
      <c r="BL295" s="17">
        <v>3</v>
      </c>
      <c r="BM295" s="116"/>
      <c r="BN295" s="140" t="s">
        <v>49</v>
      </c>
      <c r="BO295" s="17">
        <v>2</v>
      </c>
      <c r="BP295" s="119"/>
      <c r="BQ295" s="140" t="s">
        <v>117</v>
      </c>
      <c r="BR295" s="17">
        <v>2</v>
      </c>
      <c r="BS295" s="117"/>
      <c r="BT295" s="140" t="s">
        <v>65</v>
      </c>
      <c r="BU295" s="17">
        <v>2</v>
      </c>
      <c r="BV295" s="116"/>
      <c r="BW295" s="140" t="s">
        <v>51</v>
      </c>
      <c r="BX295" s="17">
        <v>3</v>
      </c>
      <c r="BY295" s="116"/>
      <c r="BZ295" s="140" t="s">
        <v>52</v>
      </c>
      <c r="CA295" s="39">
        <v>3</v>
      </c>
      <c r="CB295" s="116"/>
      <c r="CC295" s="140" t="s">
        <v>36</v>
      </c>
      <c r="CD295" s="17">
        <v>1</v>
      </c>
      <c r="CE295" s="119"/>
      <c r="CF295" s="140" t="s">
        <v>77</v>
      </c>
      <c r="CG295" s="39">
        <v>3</v>
      </c>
      <c r="CH295" s="116"/>
      <c r="CI295" s="143" t="s">
        <v>53</v>
      </c>
      <c r="CJ295" s="33">
        <v>1</v>
      </c>
      <c r="CK295" s="38">
        <v>1</v>
      </c>
      <c r="CL295" s="38"/>
      <c r="CM295" s="38"/>
      <c r="CN295" s="140" t="s">
        <v>68</v>
      </c>
    </row>
    <row r="296" spans="1:94" ht="15.75" customHeight="1" x14ac:dyDescent="0.15">
      <c r="A296" s="141" t="s">
        <v>340</v>
      </c>
      <c r="B296" s="142" t="s">
        <v>29</v>
      </c>
      <c r="C296" s="17">
        <v>4</v>
      </c>
      <c r="D296" s="116"/>
      <c r="E296" s="140" t="s">
        <v>127</v>
      </c>
      <c r="F296" s="17">
        <v>2</v>
      </c>
      <c r="G296" s="116"/>
      <c r="H296" s="140" t="s">
        <v>91</v>
      </c>
      <c r="I296" s="17">
        <v>1</v>
      </c>
      <c r="J296" s="116"/>
      <c r="K296" s="145" t="s">
        <v>32</v>
      </c>
      <c r="L296" s="17">
        <v>0</v>
      </c>
      <c r="M296" s="116"/>
      <c r="N296" s="140" t="s">
        <v>145</v>
      </c>
      <c r="O296" s="17">
        <v>1</v>
      </c>
      <c r="P296" s="116"/>
      <c r="Q296" s="140" t="s">
        <v>34</v>
      </c>
      <c r="R296" s="17">
        <v>0</v>
      </c>
      <c r="S296" s="116"/>
      <c r="T296" s="140" t="s">
        <v>49</v>
      </c>
      <c r="U296" s="17">
        <v>2</v>
      </c>
      <c r="V296" s="116"/>
      <c r="W296" s="143" t="s">
        <v>36</v>
      </c>
      <c r="X296" s="17">
        <v>2</v>
      </c>
      <c r="Y296" s="116"/>
      <c r="Z296" s="140" t="s">
        <v>37</v>
      </c>
      <c r="AA296" s="17">
        <v>3</v>
      </c>
      <c r="AB296" s="116"/>
      <c r="AC296" s="140" t="s">
        <v>38</v>
      </c>
      <c r="AD296" s="39">
        <v>2</v>
      </c>
      <c r="AE296" s="116"/>
      <c r="AF296" s="140" t="s">
        <v>83</v>
      </c>
      <c r="AG296" s="17">
        <v>3</v>
      </c>
      <c r="AH296" s="116"/>
      <c r="AI296" s="140" t="s">
        <v>94</v>
      </c>
      <c r="AJ296" s="25">
        <v>3</v>
      </c>
      <c r="AK296" s="129"/>
      <c r="AL296" s="140" t="s">
        <v>41</v>
      </c>
      <c r="AM296" s="17">
        <v>3</v>
      </c>
      <c r="AN296" s="116"/>
      <c r="AO296" s="140" t="s">
        <v>42</v>
      </c>
      <c r="AP296" s="39">
        <v>3</v>
      </c>
      <c r="AQ296" s="116"/>
      <c r="AR296" s="140" t="s">
        <v>61</v>
      </c>
      <c r="AS296" s="17">
        <v>3</v>
      </c>
      <c r="AT296" s="116"/>
      <c r="AU296" s="140" t="s">
        <v>79</v>
      </c>
      <c r="AV296" s="17">
        <v>0</v>
      </c>
      <c r="AW296" s="116"/>
      <c r="AX296" s="140" t="s">
        <v>73</v>
      </c>
      <c r="AY296" s="39">
        <v>3</v>
      </c>
      <c r="AZ296" s="116"/>
      <c r="BA296" s="140" t="s">
        <v>46</v>
      </c>
      <c r="BB296" s="17">
        <v>1</v>
      </c>
      <c r="BC296" s="17">
        <v>1</v>
      </c>
      <c r="BD296" s="17">
        <v>0</v>
      </c>
      <c r="BE296" s="17">
        <v>0</v>
      </c>
      <c r="BF296" s="17">
        <v>0</v>
      </c>
      <c r="BG296" s="17">
        <v>0</v>
      </c>
      <c r="BH296" s="142" t="s">
        <v>81</v>
      </c>
      <c r="BI296" s="17">
        <v>0</v>
      </c>
      <c r="BJ296" s="134"/>
      <c r="BK296" s="140" t="s">
        <v>75</v>
      </c>
      <c r="BL296" s="17">
        <v>3</v>
      </c>
      <c r="BM296" s="116"/>
      <c r="BN296" s="140" t="s">
        <v>49</v>
      </c>
      <c r="BO296" s="17">
        <v>0</v>
      </c>
      <c r="BP296" s="119"/>
      <c r="BQ296" s="140" t="s">
        <v>87</v>
      </c>
      <c r="BR296" s="17">
        <v>1</v>
      </c>
      <c r="BS296" s="117"/>
      <c r="BT296" s="140" t="s">
        <v>69</v>
      </c>
      <c r="BU296" s="17">
        <v>1</v>
      </c>
      <c r="BV296" s="116"/>
      <c r="BW296" s="140" t="s">
        <v>66</v>
      </c>
      <c r="BX296" s="17">
        <v>2</v>
      </c>
      <c r="BY296" s="116"/>
      <c r="BZ296" s="140" t="s">
        <v>97</v>
      </c>
      <c r="CA296" s="39">
        <v>1</v>
      </c>
      <c r="CB296" s="116"/>
      <c r="CC296" s="140" t="s">
        <v>77</v>
      </c>
      <c r="CD296" s="17">
        <v>1</v>
      </c>
      <c r="CE296" s="119"/>
      <c r="CF296" s="140" t="s">
        <v>77</v>
      </c>
      <c r="CG296" s="39">
        <v>1</v>
      </c>
      <c r="CH296" s="116"/>
      <c r="CI296" s="143" t="s">
        <v>77</v>
      </c>
      <c r="CJ296" s="33">
        <v>1</v>
      </c>
      <c r="CK296" s="38">
        <v>0</v>
      </c>
      <c r="CL296" s="38">
        <v>0</v>
      </c>
      <c r="CM296" s="38">
        <v>0</v>
      </c>
      <c r="CN296" s="140" t="s">
        <v>311</v>
      </c>
    </row>
    <row r="297" spans="1:94" ht="15.75" customHeight="1" x14ac:dyDescent="0.15">
      <c r="A297" s="141" t="s">
        <v>555</v>
      </c>
      <c r="B297" s="142" t="s">
        <v>29</v>
      </c>
      <c r="C297" s="17">
        <v>1</v>
      </c>
      <c r="D297" s="116"/>
      <c r="E297" s="140" t="s">
        <v>114</v>
      </c>
      <c r="F297" s="17">
        <v>2</v>
      </c>
      <c r="G297" s="116"/>
      <c r="H297" s="140" t="s">
        <v>91</v>
      </c>
      <c r="I297" s="17">
        <v>1</v>
      </c>
      <c r="J297" s="116"/>
      <c r="K297" s="145" t="s">
        <v>32</v>
      </c>
      <c r="L297" s="17">
        <v>2</v>
      </c>
      <c r="M297" s="116"/>
      <c r="N297" s="140" t="s">
        <v>33</v>
      </c>
      <c r="O297" s="17">
        <v>1</v>
      </c>
      <c r="P297" s="116"/>
      <c r="Q297" s="140" t="s">
        <v>34</v>
      </c>
      <c r="R297" s="17">
        <v>1</v>
      </c>
      <c r="S297" s="116"/>
      <c r="T297" s="140" t="s">
        <v>57</v>
      </c>
      <c r="U297" s="17">
        <v>0</v>
      </c>
      <c r="V297" s="116"/>
      <c r="W297" s="146" t="s">
        <v>592</v>
      </c>
      <c r="X297" s="17">
        <v>0</v>
      </c>
      <c r="Y297" s="116"/>
      <c r="Z297" s="140" t="s">
        <v>108</v>
      </c>
      <c r="AA297" s="17">
        <v>0</v>
      </c>
      <c r="AB297" s="116"/>
      <c r="AC297" s="140" t="s">
        <v>46</v>
      </c>
      <c r="AD297" s="39">
        <v>5</v>
      </c>
      <c r="AE297" s="116"/>
      <c r="AF297" s="140" t="s">
        <v>115</v>
      </c>
      <c r="AG297" s="17">
        <v>0</v>
      </c>
      <c r="AH297" s="116"/>
      <c r="AI297" s="140" t="s">
        <v>84</v>
      </c>
      <c r="AJ297" s="25">
        <v>0</v>
      </c>
      <c r="AK297" s="129"/>
      <c r="AL297" s="140" t="s">
        <v>85</v>
      </c>
      <c r="AM297" s="17">
        <v>0</v>
      </c>
      <c r="AN297" s="116"/>
      <c r="AO297" s="140" t="s">
        <v>110</v>
      </c>
      <c r="AP297" s="39">
        <v>3</v>
      </c>
      <c r="AQ297" s="116"/>
      <c r="AR297" s="140" t="s">
        <v>61</v>
      </c>
      <c r="AS297" s="17">
        <v>0</v>
      </c>
      <c r="AT297" s="116"/>
      <c r="AU297" s="140" t="s">
        <v>102</v>
      </c>
      <c r="AV297" s="17">
        <v>0</v>
      </c>
      <c r="AW297" s="116"/>
      <c r="AX297" s="140" t="s">
        <v>62</v>
      </c>
      <c r="AY297" s="39">
        <v>0</v>
      </c>
      <c r="AZ297" s="116"/>
      <c r="BA297" s="140" t="s">
        <v>38</v>
      </c>
      <c r="BB297" s="17">
        <v>1</v>
      </c>
      <c r="BC297" s="17">
        <v>0</v>
      </c>
      <c r="BD297" s="17">
        <v>1</v>
      </c>
      <c r="BE297" s="17">
        <v>0</v>
      </c>
      <c r="BF297" s="17">
        <v>0</v>
      </c>
      <c r="BG297" s="17">
        <v>0</v>
      </c>
      <c r="BH297" s="142" t="s">
        <v>47</v>
      </c>
      <c r="BI297" s="17">
        <v>0</v>
      </c>
      <c r="BJ297" s="134"/>
      <c r="BK297" s="140" t="s">
        <v>75</v>
      </c>
      <c r="BL297" s="17">
        <v>0</v>
      </c>
      <c r="BM297" s="116"/>
      <c r="BN297" s="140" t="s">
        <v>36</v>
      </c>
      <c r="BO297" s="17">
        <v>0</v>
      </c>
      <c r="BP297" s="119"/>
      <c r="BQ297" s="140" t="s">
        <v>87</v>
      </c>
      <c r="BR297" s="17">
        <v>0</v>
      </c>
      <c r="BS297" s="117"/>
      <c r="BT297" s="140" t="s">
        <v>46</v>
      </c>
      <c r="BU297" s="17">
        <v>3</v>
      </c>
      <c r="BV297" s="116"/>
      <c r="BW297" s="140" t="s">
        <v>147</v>
      </c>
      <c r="BX297" s="17">
        <v>0</v>
      </c>
      <c r="BY297" s="116"/>
      <c r="BZ297" s="147" t="s">
        <v>608</v>
      </c>
      <c r="CA297" s="39">
        <v>0</v>
      </c>
      <c r="CB297" s="116"/>
      <c r="CC297" s="140" t="s">
        <v>49</v>
      </c>
      <c r="CD297" s="17">
        <v>0</v>
      </c>
      <c r="CE297" s="119"/>
      <c r="CF297" s="140" t="s">
        <v>49</v>
      </c>
      <c r="CG297" s="39">
        <v>2</v>
      </c>
      <c r="CH297" s="116"/>
      <c r="CI297" s="143" t="s">
        <v>78</v>
      </c>
      <c r="CJ297" s="33">
        <v>0</v>
      </c>
      <c r="CK297" s="38">
        <v>0</v>
      </c>
      <c r="CL297" s="38">
        <v>0</v>
      </c>
      <c r="CM297" s="38">
        <v>1</v>
      </c>
      <c r="CN297" s="140" t="s">
        <v>150</v>
      </c>
    </row>
    <row r="298" spans="1:94" ht="15.75" customHeight="1" x14ac:dyDescent="0.15">
      <c r="A298" s="141" t="s">
        <v>556</v>
      </c>
      <c r="B298" s="142" t="s">
        <v>29</v>
      </c>
      <c r="C298" s="17">
        <v>2</v>
      </c>
      <c r="D298" s="116"/>
      <c r="E298" s="140" t="s">
        <v>55</v>
      </c>
      <c r="F298" s="17">
        <v>1</v>
      </c>
      <c r="G298" s="116"/>
      <c r="H298" s="140" t="s">
        <v>31</v>
      </c>
      <c r="I298" s="17">
        <v>2</v>
      </c>
      <c r="J298" s="116"/>
      <c r="K298" s="145" t="s">
        <v>116</v>
      </c>
      <c r="L298" s="17">
        <v>2</v>
      </c>
      <c r="M298" s="116"/>
      <c r="N298" s="140" t="s">
        <v>33</v>
      </c>
      <c r="O298" s="17">
        <v>1</v>
      </c>
      <c r="P298" s="116"/>
      <c r="Q298" s="140" t="s">
        <v>34</v>
      </c>
      <c r="R298" s="17">
        <v>1</v>
      </c>
      <c r="S298" s="116"/>
      <c r="T298" s="140" t="s">
        <v>57</v>
      </c>
      <c r="U298" s="17">
        <v>1</v>
      </c>
      <c r="V298" s="116"/>
      <c r="W298" s="143" t="s">
        <v>92</v>
      </c>
      <c r="X298" s="17">
        <v>1</v>
      </c>
      <c r="Y298" s="116"/>
      <c r="Z298" s="140" t="s">
        <v>58</v>
      </c>
      <c r="AA298" s="17">
        <v>1</v>
      </c>
      <c r="AB298" s="116"/>
      <c r="AC298" s="140" t="s">
        <v>69</v>
      </c>
      <c r="AD298" s="39">
        <v>2</v>
      </c>
      <c r="AE298" s="116"/>
      <c r="AF298" s="140" t="s">
        <v>83</v>
      </c>
      <c r="AG298" s="17">
        <v>3</v>
      </c>
      <c r="AH298" s="116"/>
      <c r="AI298" s="140" t="s">
        <v>94</v>
      </c>
      <c r="AJ298" s="25">
        <v>3</v>
      </c>
      <c r="AK298" s="129"/>
      <c r="AL298" s="140" t="s">
        <v>41</v>
      </c>
      <c r="AM298" s="17">
        <v>2</v>
      </c>
      <c r="AN298" s="116"/>
      <c r="AO298" s="140" t="s">
        <v>72</v>
      </c>
      <c r="AP298" s="39">
        <v>4</v>
      </c>
      <c r="AQ298" s="116"/>
      <c r="AR298" s="140" t="s">
        <v>43</v>
      </c>
      <c r="AS298" s="17">
        <v>3</v>
      </c>
      <c r="AT298" s="116"/>
      <c r="AU298" s="140" t="s">
        <v>79</v>
      </c>
      <c r="AV298" s="17">
        <v>2</v>
      </c>
      <c r="AW298" s="116"/>
      <c r="AX298" s="140" t="s">
        <v>80</v>
      </c>
      <c r="AY298" s="39">
        <v>3</v>
      </c>
      <c r="AZ298" s="116"/>
      <c r="BA298" s="140" t="s">
        <v>46</v>
      </c>
      <c r="BB298" s="17">
        <v>1</v>
      </c>
      <c r="BC298" s="17">
        <v>0</v>
      </c>
      <c r="BD298" s="17">
        <v>1</v>
      </c>
      <c r="BE298" s="17">
        <v>0</v>
      </c>
      <c r="BF298" s="17">
        <v>0</v>
      </c>
      <c r="BG298" s="17">
        <v>0</v>
      </c>
      <c r="BH298" s="142" t="s">
        <v>47</v>
      </c>
      <c r="BI298" s="17">
        <v>1</v>
      </c>
      <c r="BJ298" s="134"/>
      <c r="BK298" s="140" t="s">
        <v>96</v>
      </c>
      <c r="BL298" s="17">
        <v>1</v>
      </c>
      <c r="BM298" s="116"/>
      <c r="BN298" s="140" t="s">
        <v>59</v>
      </c>
      <c r="BO298" s="17">
        <v>2</v>
      </c>
      <c r="BP298" s="119"/>
      <c r="BQ298" s="140" t="s">
        <v>117</v>
      </c>
      <c r="BR298" s="17">
        <v>2</v>
      </c>
      <c r="BS298" s="117"/>
      <c r="BT298" s="140" t="s">
        <v>65</v>
      </c>
      <c r="BU298" s="17">
        <v>2</v>
      </c>
      <c r="BV298" s="116"/>
      <c r="BW298" s="140" t="s">
        <v>51</v>
      </c>
      <c r="BX298" s="17">
        <v>3</v>
      </c>
      <c r="BY298" s="116"/>
      <c r="BZ298" s="140" t="s">
        <v>52</v>
      </c>
      <c r="CA298" s="39">
        <v>3</v>
      </c>
      <c r="CB298" s="116"/>
      <c r="CC298" s="140" t="s">
        <v>36</v>
      </c>
      <c r="CD298" s="17">
        <v>1</v>
      </c>
      <c r="CE298" s="119"/>
      <c r="CF298" s="140" t="s">
        <v>77</v>
      </c>
      <c r="CG298" s="39">
        <v>3</v>
      </c>
      <c r="CH298" s="116"/>
      <c r="CI298" s="143" t="s">
        <v>53</v>
      </c>
      <c r="CJ298" s="33">
        <v>1</v>
      </c>
      <c r="CK298" s="38">
        <v>0</v>
      </c>
      <c r="CL298" s="38">
        <v>1</v>
      </c>
      <c r="CM298" s="38">
        <v>0</v>
      </c>
      <c r="CN298" s="140" t="s">
        <v>68</v>
      </c>
    </row>
    <row r="299" spans="1:94" ht="15.75" customHeight="1" x14ac:dyDescent="0.15">
      <c r="A299" s="141" t="s">
        <v>557</v>
      </c>
      <c r="B299" s="142" t="s">
        <v>29</v>
      </c>
      <c r="C299" s="17">
        <v>2</v>
      </c>
      <c r="D299" s="116"/>
      <c r="E299" s="140" t="s">
        <v>55</v>
      </c>
      <c r="F299" s="17">
        <v>2</v>
      </c>
      <c r="G299" s="116"/>
      <c r="H299" s="140" t="s">
        <v>91</v>
      </c>
      <c r="I299" s="17">
        <v>3</v>
      </c>
      <c r="J299" s="116"/>
      <c r="K299" s="145" t="s">
        <v>56</v>
      </c>
      <c r="L299" s="17">
        <v>2</v>
      </c>
      <c r="M299" s="116"/>
      <c r="N299" s="140" t="s">
        <v>33</v>
      </c>
      <c r="O299" s="17">
        <v>1</v>
      </c>
      <c r="P299" s="116"/>
      <c r="Q299" s="140" t="s">
        <v>34</v>
      </c>
      <c r="R299" s="17">
        <v>1</v>
      </c>
      <c r="S299" s="116"/>
      <c r="T299" s="140" t="s">
        <v>57</v>
      </c>
      <c r="U299" s="17">
        <v>2</v>
      </c>
      <c r="V299" s="116"/>
      <c r="W299" s="143" t="s">
        <v>36</v>
      </c>
      <c r="X299" s="17">
        <v>1</v>
      </c>
      <c r="Y299" s="116"/>
      <c r="Z299" s="140" t="s">
        <v>58</v>
      </c>
      <c r="AA299" s="17">
        <v>3</v>
      </c>
      <c r="AB299" s="116"/>
      <c r="AC299" s="140" t="s">
        <v>38</v>
      </c>
      <c r="AD299" s="39">
        <v>1</v>
      </c>
      <c r="AE299" s="116"/>
      <c r="AF299" s="140" t="s">
        <v>39</v>
      </c>
      <c r="AG299" s="17">
        <v>2</v>
      </c>
      <c r="AH299" s="116"/>
      <c r="AI299" s="140" t="s">
        <v>40</v>
      </c>
      <c r="AJ299" s="25">
        <v>2</v>
      </c>
      <c r="AK299" s="129"/>
      <c r="AL299" s="140" t="s">
        <v>71</v>
      </c>
      <c r="AM299" s="17">
        <v>3</v>
      </c>
      <c r="AN299" s="116"/>
      <c r="AO299" s="140" t="s">
        <v>42</v>
      </c>
      <c r="AP299" s="39">
        <v>3</v>
      </c>
      <c r="AQ299" s="116"/>
      <c r="AR299" s="140" t="s">
        <v>61</v>
      </c>
      <c r="AS299" s="17">
        <v>2</v>
      </c>
      <c r="AT299" s="116"/>
      <c r="AU299" s="140" t="s">
        <v>44</v>
      </c>
      <c r="AV299" s="17">
        <v>1</v>
      </c>
      <c r="AW299" s="116"/>
      <c r="AX299" s="140" t="s">
        <v>45</v>
      </c>
      <c r="AY299" s="39">
        <v>3</v>
      </c>
      <c r="AZ299" s="116"/>
      <c r="BA299" s="140" t="s">
        <v>46</v>
      </c>
      <c r="BB299" s="17">
        <v>1</v>
      </c>
      <c r="BC299" s="17">
        <v>0</v>
      </c>
      <c r="BD299" s="17">
        <v>1</v>
      </c>
      <c r="BE299" s="17">
        <v>0</v>
      </c>
      <c r="BF299" s="17">
        <v>0</v>
      </c>
      <c r="BG299" s="17">
        <v>0</v>
      </c>
      <c r="BH299" s="142" t="s">
        <v>47</v>
      </c>
      <c r="BI299" s="17">
        <v>0</v>
      </c>
      <c r="BJ299" s="134"/>
      <c r="BK299" s="140" t="s">
        <v>75</v>
      </c>
      <c r="BL299" s="17">
        <v>3</v>
      </c>
      <c r="BM299" s="116"/>
      <c r="BN299" s="140" t="s">
        <v>49</v>
      </c>
      <c r="BO299" s="17">
        <v>1</v>
      </c>
      <c r="BP299" s="119"/>
      <c r="BQ299" s="140" t="s">
        <v>50</v>
      </c>
      <c r="BR299" s="17">
        <v>2</v>
      </c>
      <c r="BS299" s="117"/>
      <c r="BT299" s="140" t="s">
        <v>65</v>
      </c>
      <c r="BU299" s="17">
        <v>1</v>
      </c>
      <c r="BV299" s="116"/>
      <c r="BW299" s="140" t="s">
        <v>66</v>
      </c>
      <c r="BX299" s="17">
        <v>2</v>
      </c>
      <c r="BY299" s="116"/>
      <c r="BZ299" s="140" t="s">
        <v>97</v>
      </c>
      <c r="CA299" s="39">
        <v>2</v>
      </c>
      <c r="CB299" s="116"/>
      <c r="CC299" s="140" t="s">
        <v>76</v>
      </c>
      <c r="CD299" s="17">
        <v>1</v>
      </c>
      <c r="CE299" s="119"/>
      <c r="CF299" s="140" t="s">
        <v>77</v>
      </c>
      <c r="CG299" s="39">
        <v>2</v>
      </c>
      <c r="CH299" s="116"/>
      <c r="CI299" s="143" t="s">
        <v>78</v>
      </c>
      <c r="CJ299" s="33">
        <v>1</v>
      </c>
      <c r="CK299" s="38">
        <v>0</v>
      </c>
      <c r="CL299" s="38">
        <v>1</v>
      </c>
      <c r="CM299" s="38">
        <v>0</v>
      </c>
      <c r="CN299" s="140" t="s">
        <v>54</v>
      </c>
    </row>
    <row r="300" spans="1:94" ht="15.75" customHeight="1" x14ac:dyDescent="0.15">
      <c r="A300" s="141" t="s">
        <v>558</v>
      </c>
      <c r="B300" s="142" t="s">
        <v>29</v>
      </c>
      <c r="C300" s="17">
        <v>3</v>
      </c>
      <c r="D300" s="116"/>
      <c r="E300" s="140" t="s">
        <v>90</v>
      </c>
      <c r="F300" s="17">
        <v>1</v>
      </c>
      <c r="G300" s="116"/>
      <c r="H300" s="140" t="s">
        <v>31</v>
      </c>
      <c r="I300" s="17">
        <v>3</v>
      </c>
      <c r="J300" s="116"/>
      <c r="K300" s="145" t="s">
        <v>56</v>
      </c>
      <c r="L300" s="17">
        <v>2</v>
      </c>
      <c r="M300" s="116"/>
      <c r="N300" s="140" t="s">
        <v>33</v>
      </c>
      <c r="O300" s="17">
        <v>1</v>
      </c>
      <c r="P300" s="116"/>
      <c r="Q300" s="140" t="s">
        <v>34</v>
      </c>
      <c r="R300" s="17">
        <v>0</v>
      </c>
      <c r="S300" s="116"/>
      <c r="T300" s="140" t="s">
        <v>49</v>
      </c>
      <c r="U300" s="17">
        <v>1</v>
      </c>
      <c r="V300" s="116"/>
      <c r="W300" s="143" t="s">
        <v>92</v>
      </c>
      <c r="X300" s="17">
        <v>2</v>
      </c>
      <c r="Y300" s="116"/>
      <c r="Z300" s="140" t="s">
        <v>37</v>
      </c>
      <c r="AA300" s="17">
        <v>3</v>
      </c>
      <c r="AB300" s="116"/>
      <c r="AC300" s="140" t="s">
        <v>38</v>
      </c>
      <c r="AD300" s="39">
        <v>1</v>
      </c>
      <c r="AE300" s="116"/>
      <c r="AF300" s="140" t="s">
        <v>39</v>
      </c>
      <c r="AG300" s="17">
        <v>0</v>
      </c>
      <c r="AH300" s="116"/>
      <c r="AI300" s="140" t="s">
        <v>84</v>
      </c>
      <c r="AJ300" s="25">
        <v>1</v>
      </c>
      <c r="AK300" s="129"/>
      <c r="AL300" s="140" t="s">
        <v>77</v>
      </c>
      <c r="AM300" s="17">
        <v>3</v>
      </c>
      <c r="AN300" s="116"/>
      <c r="AO300" s="140" t="s">
        <v>42</v>
      </c>
      <c r="AP300" s="39">
        <v>3</v>
      </c>
      <c r="AQ300" s="116"/>
      <c r="AR300" s="140" t="s">
        <v>61</v>
      </c>
      <c r="AS300" s="17">
        <v>1</v>
      </c>
      <c r="AT300" s="116"/>
      <c r="AU300" s="140" t="s">
        <v>86</v>
      </c>
      <c r="AV300" s="17">
        <v>0</v>
      </c>
      <c r="AW300" s="116"/>
      <c r="AX300" s="140" t="s">
        <v>73</v>
      </c>
      <c r="AY300" s="39">
        <v>2</v>
      </c>
      <c r="AZ300" s="116"/>
      <c r="BA300" s="140" t="s">
        <v>59</v>
      </c>
      <c r="BB300" s="17">
        <v>1</v>
      </c>
      <c r="BC300" s="17">
        <v>0</v>
      </c>
      <c r="BD300" s="17">
        <v>0</v>
      </c>
      <c r="BE300" s="17">
        <v>0</v>
      </c>
      <c r="BF300" s="17">
        <v>0</v>
      </c>
      <c r="BG300" s="17">
        <v>0</v>
      </c>
      <c r="BH300" s="142" t="s">
        <v>100</v>
      </c>
      <c r="BI300" s="17">
        <v>0</v>
      </c>
      <c r="BJ300" s="134"/>
      <c r="BK300" s="140" t="s">
        <v>75</v>
      </c>
      <c r="BL300" s="17">
        <v>3</v>
      </c>
      <c r="BM300" s="116"/>
      <c r="BN300" s="140" t="s">
        <v>49</v>
      </c>
      <c r="BO300" s="17">
        <v>0</v>
      </c>
      <c r="BP300" s="119"/>
      <c r="BQ300" s="140" t="s">
        <v>87</v>
      </c>
      <c r="BR300" s="17">
        <v>2</v>
      </c>
      <c r="BS300" s="117"/>
      <c r="BT300" s="140" t="s">
        <v>65</v>
      </c>
      <c r="BU300" s="17">
        <v>1</v>
      </c>
      <c r="BV300" s="116"/>
      <c r="BW300" s="140" t="s">
        <v>66</v>
      </c>
      <c r="BX300" s="17">
        <v>3</v>
      </c>
      <c r="BY300" s="116"/>
      <c r="BZ300" s="140" t="s">
        <v>52</v>
      </c>
      <c r="CA300" s="39">
        <v>3</v>
      </c>
      <c r="CB300" s="116"/>
      <c r="CC300" s="140" t="s">
        <v>36</v>
      </c>
      <c r="CD300" s="17">
        <v>0</v>
      </c>
      <c r="CE300" s="119"/>
      <c r="CF300" s="140" t="s">
        <v>49</v>
      </c>
      <c r="CG300" s="39">
        <v>1</v>
      </c>
      <c r="CH300" s="116"/>
      <c r="CI300" s="143" t="s">
        <v>77</v>
      </c>
      <c r="CJ300" s="33">
        <v>1</v>
      </c>
      <c r="CK300" s="38">
        <v>0</v>
      </c>
      <c r="CL300" s="38">
        <v>1</v>
      </c>
      <c r="CM300" s="38">
        <v>0</v>
      </c>
      <c r="CN300" s="140" t="s">
        <v>54</v>
      </c>
    </row>
    <row r="301" spans="1:94" ht="15.75" customHeight="1" x14ac:dyDescent="0.15">
      <c r="A301" s="141" t="s">
        <v>559</v>
      </c>
      <c r="B301" s="142" t="s">
        <v>29</v>
      </c>
      <c r="C301" s="17">
        <v>3</v>
      </c>
      <c r="D301" s="116"/>
      <c r="E301" s="140" t="s">
        <v>90</v>
      </c>
      <c r="F301" s="17">
        <v>1</v>
      </c>
      <c r="G301" s="116"/>
      <c r="H301" s="140" t="s">
        <v>31</v>
      </c>
      <c r="I301" s="17">
        <v>2</v>
      </c>
      <c r="J301" s="116"/>
      <c r="K301" s="145" t="s">
        <v>116</v>
      </c>
      <c r="L301" s="17">
        <v>2</v>
      </c>
      <c r="M301" s="116"/>
      <c r="N301" s="140" t="s">
        <v>33</v>
      </c>
      <c r="O301" s="17">
        <v>1</v>
      </c>
      <c r="P301" s="116"/>
      <c r="Q301" s="140" t="s">
        <v>34</v>
      </c>
      <c r="R301" s="17">
        <v>1</v>
      </c>
      <c r="S301" s="116"/>
      <c r="T301" s="140" t="s">
        <v>57</v>
      </c>
      <c r="U301" s="17">
        <v>2</v>
      </c>
      <c r="V301" s="116"/>
      <c r="W301" s="143" t="s">
        <v>36</v>
      </c>
      <c r="X301" s="17">
        <v>0</v>
      </c>
      <c r="Y301" s="116"/>
      <c r="Z301" s="140" t="s">
        <v>108</v>
      </c>
      <c r="AA301" s="17">
        <v>2</v>
      </c>
      <c r="AB301" s="116"/>
      <c r="AC301" s="140" t="s">
        <v>59</v>
      </c>
      <c r="AD301" s="39">
        <v>2</v>
      </c>
      <c r="AE301" s="116"/>
      <c r="AF301" s="140" t="s">
        <v>83</v>
      </c>
      <c r="AG301" s="17">
        <v>3</v>
      </c>
      <c r="AH301" s="116"/>
      <c r="AI301" s="140" t="s">
        <v>94</v>
      </c>
      <c r="AJ301" s="25">
        <v>2</v>
      </c>
      <c r="AK301" s="129"/>
      <c r="AL301" s="140" t="s">
        <v>71</v>
      </c>
      <c r="AM301" s="17">
        <v>2</v>
      </c>
      <c r="AN301" s="116"/>
      <c r="AO301" s="140" t="s">
        <v>72</v>
      </c>
      <c r="AP301" s="39">
        <v>3</v>
      </c>
      <c r="AQ301" s="116"/>
      <c r="AR301" s="140" t="s">
        <v>61</v>
      </c>
      <c r="AS301" s="17">
        <v>2</v>
      </c>
      <c r="AT301" s="116"/>
      <c r="AU301" s="140" t="s">
        <v>44</v>
      </c>
      <c r="AV301" s="17">
        <v>0</v>
      </c>
      <c r="AW301" s="116"/>
      <c r="AX301" s="140" t="s">
        <v>62</v>
      </c>
      <c r="AY301" s="39">
        <v>1</v>
      </c>
      <c r="AZ301" s="116"/>
      <c r="BA301" s="140" t="s">
        <v>69</v>
      </c>
      <c r="BB301" s="17">
        <v>1</v>
      </c>
      <c r="BC301" s="17">
        <v>0</v>
      </c>
      <c r="BD301" s="17">
        <v>1</v>
      </c>
      <c r="BE301" s="17">
        <v>0</v>
      </c>
      <c r="BF301" s="17">
        <v>0</v>
      </c>
      <c r="BG301" s="17">
        <v>0</v>
      </c>
      <c r="BH301" s="142" t="s">
        <v>47</v>
      </c>
      <c r="BI301" s="17">
        <v>0</v>
      </c>
      <c r="BJ301" s="134"/>
      <c r="BK301" s="140" t="s">
        <v>75</v>
      </c>
      <c r="BL301" s="17">
        <v>3</v>
      </c>
      <c r="BM301" s="116"/>
      <c r="BN301" s="140" t="s">
        <v>49</v>
      </c>
      <c r="BO301" s="17">
        <v>2</v>
      </c>
      <c r="BP301" s="119"/>
      <c r="BQ301" s="140" t="s">
        <v>117</v>
      </c>
      <c r="BR301" s="17">
        <v>2</v>
      </c>
      <c r="BS301" s="117"/>
      <c r="BT301" s="140" t="s">
        <v>65</v>
      </c>
      <c r="BU301" s="17">
        <v>2</v>
      </c>
      <c r="BV301" s="116"/>
      <c r="BW301" s="140" t="s">
        <v>51</v>
      </c>
      <c r="BX301" s="17">
        <v>2</v>
      </c>
      <c r="BY301" s="116"/>
      <c r="BZ301" s="140" t="s">
        <v>97</v>
      </c>
      <c r="CA301" s="39">
        <v>3</v>
      </c>
      <c r="CB301" s="116"/>
      <c r="CC301" s="140" t="s">
        <v>36</v>
      </c>
      <c r="CD301" s="17">
        <v>0</v>
      </c>
      <c r="CE301" s="119"/>
      <c r="CF301" s="140" t="s">
        <v>49</v>
      </c>
      <c r="CG301" s="39">
        <v>3</v>
      </c>
      <c r="CH301" s="116"/>
      <c r="CI301" s="143" t="s">
        <v>53</v>
      </c>
      <c r="CJ301" s="33">
        <v>0</v>
      </c>
      <c r="CK301" s="38">
        <v>1</v>
      </c>
      <c r="CL301" s="38">
        <v>1</v>
      </c>
      <c r="CM301" s="38">
        <v>0</v>
      </c>
      <c r="CN301" s="140" t="s">
        <v>98</v>
      </c>
    </row>
    <row r="302" spans="1:94" ht="15.75" customHeight="1" x14ac:dyDescent="0.15">
      <c r="A302" s="141" t="s">
        <v>560</v>
      </c>
      <c r="B302" s="142" t="s">
        <v>29</v>
      </c>
      <c r="C302" s="17">
        <v>3</v>
      </c>
      <c r="D302" s="116"/>
      <c r="E302" s="140" t="s">
        <v>90</v>
      </c>
      <c r="F302" s="17">
        <v>1</v>
      </c>
      <c r="G302" s="116"/>
      <c r="H302" s="140" t="s">
        <v>31</v>
      </c>
      <c r="I302" s="17">
        <v>2</v>
      </c>
      <c r="J302" s="116"/>
      <c r="K302" s="145" t="s">
        <v>116</v>
      </c>
      <c r="L302" s="17">
        <v>2</v>
      </c>
      <c r="M302" s="116"/>
      <c r="N302" s="140" t="s">
        <v>33</v>
      </c>
      <c r="O302" s="17">
        <v>1</v>
      </c>
      <c r="P302" s="116"/>
      <c r="Q302" s="140" t="s">
        <v>34</v>
      </c>
      <c r="R302" s="17">
        <v>2</v>
      </c>
      <c r="S302" s="116"/>
      <c r="T302" s="140" t="s">
        <v>35</v>
      </c>
      <c r="U302" s="17">
        <v>2</v>
      </c>
      <c r="V302" s="116"/>
      <c r="W302" s="143" t="s">
        <v>36</v>
      </c>
      <c r="X302" s="17">
        <v>1</v>
      </c>
      <c r="Y302" s="116"/>
      <c r="Z302" s="140" t="s">
        <v>58</v>
      </c>
      <c r="AA302" s="17">
        <v>3</v>
      </c>
      <c r="AB302" s="116"/>
      <c r="AC302" s="140" t="s">
        <v>38</v>
      </c>
      <c r="AD302" s="39">
        <v>2</v>
      </c>
      <c r="AE302" s="116"/>
      <c r="AF302" s="140" t="s">
        <v>83</v>
      </c>
      <c r="AG302" s="17">
        <v>3</v>
      </c>
      <c r="AH302" s="116"/>
      <c r="AI302" s="140" t="s">
        <v>94</v>
      </c>
      <c r="AJ302" s="25">
        <v>3</v>
      </c>
      <c r="AK302" s="129"/>
      <c r="AL302" s="140" t="s">
        <v>41</v>
      </c>
      <c r="AM302" s="17">
        <v>3</v>
      </c>
      <c r="AN302" s="116"/>
      <c r="AO302" s="140" t="s">
        <v>42</v>
      </c>
      <c r="AP302" s="39">
        <v>3</v>
      </c>
      <c r="AQ302" s="116"/>
      <c r="AR302" s="140" t="s">
        <v>61</v>
      </c>
      <c r="AS302" s="17">
        <v>2</v>
      </c>
      <c r="AT302" s="116"/>
      <c r="AU302" s="140" t="s">
        <v>44</v>
      </c>
      <c r="AV302" s="17">
        <v>2</v>
      </c>
      <c r="AW302" s="116"/>
      <c r="AX302" s="140" t="s">
        <v>80</v>
      </c>
      <c r="AY302" s="39">
        <v>1</v>
      </c>
      <c r="AZ302" s="116"/>
      <c r="BA302" s="140" t="s">
        <v>69</v>
      </c>
      <c r="BB302" s="17">
        <v>1</v>
      </c>
      <c r="BC302" s="17">
        <v>1</v>
      </c>
      <c r="BD302" s="17">
        <v>0</v>
      </c>
      <c r="BE302" s="17">
        <v>0</v>
      </c>
      <c r="BF302" s="17">
        <v>0</v>
      </c>
      <c r="BG302" s="17">
        <v>0</v>
      </c>
      <c r="BH302" s="142" t="s">
        <v>47</v>
      </c>
      <c r="BI302" s="17">
        <v>2</v>
      </c>
      <c r="BJ302" s="134"/>
      <c r="BK302" s="140" t="s">
        <v>48</v>
      </c>
      <c r="BL302" s="17">
        <v>1</v>
      </c>
      <c r="BM302" s="116"/>
      <c r="BN302" s="140" t="s">
        <v>59</v>
      </c>
      <c r="BO302" s="17">
        <v>2</v>
      </c>
      <c r="BP302" s="119"/>
      <c r="BQ302" s="140" t="s">
        <v>117</v>
      </c>
      <c r="BR302" s="17">
        <v>3</v>
      </c>
      <c r="BS302" s="117"/>
      <c r="BT302" s="140" t="s">
        <v>38</v>
      </c>
      <c r="BU302" s="17">
        <v>0</v>
      </c>
      <c r="BV302" s="116"/>
      <c r="BW302" s="140" t="s">
        <v>88</v>
      </c>
      <c r="BX302" s="17">
        <v>3</v>
      </c>
      <c r="BY302" s="116"/>
      <c r="BZ302" s="140" t="s">
        <v>52</v>
      </c>
      <c r="CA302" s="39">
        <v>3</v>
      </c>
      <c r="CB302" s="116"/>
      <c r="CC302" s="140" t="s">
        <v>36</v>
      </c>
      <c r="CD302" s="17">
        <v>0</v>
      </c>
      <c r="CE302" s="119"/>
      <c r="CF302" s="140" t="s">
        <v>49</v>
      </c>
      <c r="CG302" s="39">
        <v>2</v>
      </c>
      <c r="CH302" s="116"/>
      <c r="CI302" s="143" t="s">
        <v>78</v>
      </c>
      <c r="CJ302" s="33">
        <v>1</v>
      </c>
      <c r="CK302" s="38">
        <v>1</v>
      </c>
      <c r="CL302" s="38">
        <v>0</v>
      </c>
      <c r="CM302" s="38">
        <v>0</v>
      </c>
      <c r="CN302" s="140" t="s">
        <v>82</v>
      </c>
    </row>
    <row r="303" spans="1:94" ht="15.75" customHeight="1" x14ac:dyDescent="0.15">
      <c r="A303" s="141" t="s">
        <v>561</v>
      </c>
      <c r="B303" s="142" t="s">
        <v>29</v>
      </c>
      <c r="C303" s="17">
        <v>2</v>
      </c>
      <c r="D303" s="116"/>
      <c r="E303" s="140" t="s">
        <v>55</v>
      </c>
      <c r="F303" s="17">
        <v>1</v>
      </c>
      <c r="G303" s="116"/>
      <c r="H303" s="140" t="s">
        <v>31</v>
      </c>
      <c r="I303" s="17">
        <v>3</v>
      </c>
      <c r="J303" s="116"/>
      <c r="K303" s="145" t="s">
        <v>56</v>
      </c>
      <c r="L303" s="17">
        <v>2</v>
      </c>
      <c r="M303" s="116"/>
      <c r="N303" s="140" t="s">
        <v>33</v>
      </c>
      <c r="O303" s="17">
        <v>1</v>
      </c>
      <c r="P303" s="116"/>
      <c r="Q303" s="140" t="s">
        <v>34</v>
      </c>
      <c r="R303" s="17">
        <v>2</v>
      </c>
      <c r="S303" s="116"/>
      <c r="T303" s="140" t="s">
        <v>35</v>
      </c>
      <c r="U303" s="17">
        <v>2</v>
      </c>
      <c r="V303" s="116"/>
      <c r="W303" s="143" t="s">
        <v>36</v>
      </c>
      <c r="X303" s="17">
        <v>2</v>
      </c>
      <c r="Y303" s="116"/>
      <c r="Z303" s="140" t="s">
        <v>37</v>
      </c>
      <c r="AA303" s="17">
        <v>3</v>
      </c>
      <c r="AB303" s="116"/>
      <c r="AC303" s="140" t="s">
        <v>38</v>
      </c>
      <c r="AD303" s="39">
        <v>2</v>
      </c>
      <c r="AE303" s="116"/>
      <c r="AF303" s="140" t="s">
        <v>83</v>
      </c>
      <c r="AG303" s="17">
        <v>2</v>
      </c>
      <c r="AH303" s="116"/>
      <c r="AI303" s="140" t="s">
        <v>40</v>
      </c>
      <c r="AJ303" s="25">
        <v>3</v>
      </c>
      <c r="AK303" s="129"/>
      <c r="AL303" s="140" t="s">
        <v>41</v>
      </c>
      <c r="AM303" s="17">
        <v>3</v>
      </c>
      <c r="AN303" s="116"/>
      <c r="AO303" s="140" t="s">
        <v>42</v>
      </c>
      <c r="AP303" s="39">
        <v>3</v>
      </c>
      <c r="AQ303" s="116"/>
      <c r="AR303" s="140" t="s">
        <v>61</v>
      </c>
      <c r="AS303" s="17">
        <v>3</v>
      </c>
      <c r="AT303" s="116"/>
      <c r="AU303" s="140" t="s">
        <v>79</v>
      </c>
      <c r="AV303" s="17">
        <v>2</v>
      </c>
      <c r="AW303" s="116"/>
      <c r="AX303" s="140" t="s">
        <v>80</v>
      </c>
      <c r="AY303" s="39">
        <v>1</v>
      </c>
      <c r="AZ303" s="116"/>
      <c r="BA303" s="140" t="s">
        <v>69</v>
      </c>
      <c r="BB303" s="17">
        <v>1</v>
      </c>
      <c r="BC303" s="17">
        <v>1</v>
      </c>
      <c r="BD303" s="17">
        <v>0</v>
      </c>
      <c r="BE303" s="17">
        <v>0</v>
      </c>
      <c r="BF303" s="17">
        <v>0</v>
      </c>
      <c r="BG303" s="17">
        <v>0</v>
      </c>
      <c r="BH303" s="142" t="s">
        <v>81</v>
      </c>
      <c r="BI303" s="17">
        <v>2</v>
      </c>
      <c r="BJ303" s="134"/>
      <c r="BK303" s="140" t="s">
        <v>48</v>
      </c>
      <c r="BL303" s="17">
        <v>2</v>
      </c>
      <c r="BM303" s="116"/>
      <c r="BN303" s="140" t="s">
        <v>64</v>
      </c>
      <c r="BO303" s="17">
        <v>1</v>
      </c>
      <c r="BP303" s="119"/>
      <c r="BQ303" s="140" t="s">
        <v>50</v>
      </c>
      <c r="BR303" s="17">
        <v>3</v>
      </c>
      <c r="BS303" s="117"/>
      <c r="BT303" s="140" t="s">
        <v>38</v>
      </c>
      <c r="BU303" s="17">
        <v>0</v>
      </c>
      <c r="BV303" s="116"/>
      <c r="BW303" s="140" t="s">
        <v>88</v>
      </c>
      <c r="BX303" s="17">
        <v>3</v>
      </c>
      <c r="BY303" s="116"/>
      <c r="BZ303" s="140" t="s">
        <v>52</v>
      </c>
      <c r="CA303" s="39">
        <v>3</v>
      </c>
      <c r="CB303" s="116"/>
      <c r="CC303" s="140" t="s">
        <v>36</v>
      </c>
      <c r="CD303" s="17">
        <v>2</v>
      </c>
      <c r="CE303" s="119"/>
      <c r="CF303" s="140" t="s">
        <v>36</v>
      </c>
      <c r="CG303" s="39">
        <v>3</v>
      </c>
      <c r="CH303" s="116"/>
      <c r="CI303" s="146" t="s">
        <v>610</v>
      </c>
      <c r="CJ303" s="33">
        <v>1</v>
      </c>
      <c r="CK303" s="38">
        <v>1</v>
      </c>
      <c r="CL303" s="38">
        <v>0</v>
      </c>
      <c r="CM303" s="38">
        <v>0</v>
      </c>
      <c r="CN303" s="140" t="s">
        <v>68</v>
      </c>
    </row>
    <row r="304" spans="1:94" ht="15.75" customHeight="1" x14ac:dyDescent="0.15">
      <c r="A304" s="141" t="s">
        <v>562</v>
      </c>
      <c r="B304" s="142" t="s">
        <v>29</v>
      </c>
      <c r="C304" s="17">
        <v>2</v>
      </c>
      <c r="D304" s="116"/>
      <c r="E304" s="140" t="s">
        <v>55</v>
      </c>
      <c r="F304" s="17">
        <v>1</v>
      </c>
      <c r="G304" s="116"/>
      <c r="H304" s="140" t="s">
        <v>31</v>
      </c>
      <c r="I304" s="17">
        <v>1</v>
      </c>
      <c r="J304" s="116"/>
      <c r="K304" s="145" t="s">
        <v>32</v>
      </c>
      <c r="L304" s="17">
        <v>2</v>
      </c>
      <c r="M304" s="116"/>
      <c r="N304" s="140" t="s">
        <v>33</v>
      </c>
      <c r="O304" s="17">
        <v>1</v>
      </c>
      <c r="P304" s="116"/>
      <c r="Q304" s="140" t="s">
        <v>34</v>
      </c>
      <c r="R304" s="17">
        <v>1</v>
      </c>
      <c r="S304" s="116"/>
      <c r="T304" s="140" t="s">
        <v>57</v>
      </c>
      <c r="U304" s="17">
        <v>0</v>
      </c>
      <c r="V304" s="116"/>
      <c r="W304" s="143" t="s">
        <v>49</v>
      </c>
      <c r="X304" s="17">
        <v>1</v>
      </c>
      <c r="Y304" s="116"/>
      <c r="Z304" s="140" t="s">
        <v>58</v>
      </c>
      <c r="AA304" s="17">
        <v>1</v>
      </c>
      <c r="AB304" s="116"/>
      <c r="AC304" s="140" t="s">
        <v>69</v>
      </c>
      <c r="AD304" s="39">
        <v>4</v>
      </c>
      <c r="AE304" s="116"/>
      <c r="AF304" s="140" t="s">
        <v>93</v>
      </c>
      <c r="AG304" s="17">
        <v>3</v>
      </c>
      <c r="AH304" s="116"/>
      <c r="AI304" s="140" t="s">
        <v>94</v>
      </c>
      <c r="AJ304" s="25">
        <v>0</v>
      </c>
      <c r="AK304" s="129"/>
      <c r="AL304" s="140" t="s">
        <v>85</v>
      </c>
      <c r="AM304" s="17">
        <v>0</v>
      </c>
      <c r="AN304" s="116"/>
      <c r="AO304" s="140" t="s">
        <v>110</v>
      </c>
      <c r="AP304" s="39">
        <v>0</v>
      </c>
      <c r="AQ304" s="116"/>
      <c r="AR304" s="140" t="s">
        <v>121</v>
      </c>
      <c r="AS304" s="17">
        <v>2</v>
      </c>
      <c r="AT304" s="116"/>
      <c r="AU304" s="140" t="s">
        <v>44</v>
      </c>
      <c r="AV304" s="17">
        <v>1</v>
      </c>
      <c r="AW304" s="116"/>
      <c r="AX304" s="140" t="s">
        <v>45</v>
      </c>
      <c r="AY304" s="39">
        <v>3</v>
      </c>
      <c r="AZ304" s="116"/>
      <c r="BA304" s="140" t="s">
        <v>46</v>
      </c>
      <c r="BB304" s="17">
        <v>1</v>
      </c>
      <c r="BC304" s="17">
        <v>0</v>
      </c>
      <c r="BD304" s="17">
        <v>1</v>
      </c>
      <c r="BE304" s="17">
        <v>0</v>
      </c>
      <c r="BF304" s="17">
        <v>0</v>
      </c>
      <c r="BG304" s="17">
        <v>0</v>
      </c>
      <c r="BH304" s="142" t="s">
        <v>47</v>
      </c>
      <c r="BI304" s="17">
        <v>0</v>
      </c>
      <c r="BJ304" s="134"/>
      <c r="BK304" s="140" t="s">
        <v>75</v>
      </c>
      <c r="BL304" s="17">
        <v>2</v>
      </c>
      <c r="BM304" s="116"/>
      <c r="BN304" s="140" t="s">
        <v>64</v>
      </c>
      <c r="BO304" s="17">
        <v>0</v>
      </c>
      <c r="BP304" s="119"/>
      <c r="BQ304" s="140" t="s">
        <v>87</v>
      </c>
      <c r="BR304" s="17">
        <v>0</v>
      </c>
      <c r="BS304" s="117"/>
      <c r="BT304" s="140" t="s">
        <v>46</v>
      </c>
      <c r="BU304" s="17">
        <v>0</v>
      </c>
      <c r="BV304" s="116"/>
      <c r="BW304" s="140" t="s">
        <v>88</v>
      </c>
      <c r="BX304" s="17">
        <v>1</v>
      </c>
      <c r="BY304" s="116"/>
      <c r="BZ304" s="140" t="s">
        <v>67</v>
      </c>
      <c r="CA304" s="39">
        <v>2</v>
      </c>
      <c r="CB304" s="116"/>
      <c r="CC304" s="140" t="s">
        <v>76</v>
      </c>
      <c r="CD304" s="17">
        <v>1</v>
      </c>
      <c r="CE304" s="119"/>
      <c r="CF304" s="140" t="s">
        <v>77</v>
      </c>
      <c r="CG304" s="39">
        <v>0</v>
      </c>
      <c r="CH304" s="116"/>
      <c r="CI304" s="143" t="s">
        <v>89</v>
      </c>
      <c r="CJ304" s="33">
        <v>0</v>
      </c>
      <c r="CK304" s="38">
        <v>0</v>
      </c>
      <c r="CL304" s="38">
        <v>0</v>
      </c>
      <c r="CM304" s="38">
        <v>1</v>
      </c>
      <c r="CN304" s="140" t="s">
        <v>150</v>
      </c>
    </row>
    <row r="305" spans="1:92" ht="15.75" customHeight="1" x14ac:dyDescent="0.15">
      <c r="A305" s="141" t="s">
        <v>563</v>
      </c>
      <c r="B305" s="142" t="s">
        <v>29</v>
      </c>
      <c r="C305" s="17">
        <v>3</v>
      </c>
      <c r="D305" s="116"/>
      <c r="E305" s="140" t="s">
        <v>90</v>
      </c>
      <c r="F305" s="17">
        <v>1</v>
      </c>
      <c r="G305" s="116"/>
      <c r="H305" s="140" t="s">
        <v>31</v>
      </c>
      <c r="I305" s="17">
        <v>1</v>
      </c>
      <c r="J305" s="116"/>
      <c r="K305" s="145" t="s">
        <v>32</v>
      </c>
      <c r="L305" s="17">
        <v>2</v>
      </c>
      <c r="M305" s="116"/>
      <c r="N305" s="140" t="s">
        <v>33</v>
      </c>
      <c r="O305" s="17">
        <v>1</v>
      </c>
      <c r="P305" s="116"/>
      <c r="Q305" s="140" t="s">
        <v>34</v>
      </c>
      <c r="R305" s="17">
        <v>1</v>
      </c>
      <c r="S305" s="116"/>
      <c r="T305" s="140" t="s">
        <v>57</v>
      </c>
      <c r="U305" s="17">
        <v>1</v>
      </c>
      <c r="V305" s="116"/>
      <c r="W305" s="143" t="s">
        <v>92</v>
      </c>
      <c r="X305" s="17">
        <v>1</v>
      </c>
      <c r="Y305" s="116"/>
      <c r="Z305" s="140" t="s">
        <v>58</v>
      </c>
      <c r="AA305" s="17">
        <v>2</v>
      </c>
      <c r="AB305" s="116"/>
      <c r="AC305" s="140" t="s">
        <v>59</v>
      </c>
      <c r="AD305" s="39">
        <v>2</v>
      </c>
      <c r="AE305" s="116"/>
      <c r="AF305" s="140" t="s">
        <v>83</v>
      </c>
      <c r="AG305" s="17">
        <v>3</v>
      </c>
      <c r="AH305" s="116"/>
      <c r="AI305" s="140" t="s">
        <v>94</v>
      </c>
      <c r="AJ305" s="25">
        <v>2</v>
      </c>
      <c r="AK305" s="129"/>
      <c r="AL305" s="140" t="s">
        <v>71</v>
      </c>
      <c r="AM305" s="17">
        <v>3</v>
      </c>
      <c r="AN305" s="116"/>
      <c r="AO305" s="140" t="s">
        <v>42</v>
      </c>
      <c r="AP305" s="39">
        <v>3</v>
      </c>
      <c r="AQ305" s="116"/>
      <c r="AR305" s="140" t="s">
        <v>61</v>
      </c>
      <c r="AS305" s="17">
        <v>2</v>
      </c>
      <c r="AT305" s="116"/>
      <c r="AU305" s="140" t="s">
        <v>44</v>
      </c>
      <c r="AV305" s="17">
        <v>2</v>
      </c>
      <c r="AW305" s="116"/>
      <c r="AX305" s="140" t="s">
        <v>80</v>
      </c>
      <c r="AY305" s="39">
        <v>3</v>
      </c>
      <c r="AZ305" s="116"/>
      <c r="BA305" s="140" t="s">
        <v>46</v>
      </c>
      <c r="BB305" s="17">
        <v>1</v>
      </c>
      <c r="BC305" s="17">
        <v>0</v>
      </c>
      <c r="BD305" s="17">
        <v>1</v>
      </c>
      <c r="BE305" s="17">
        <v>0</v>
      </c>
      <c r="BF305" s="17">
        <v>0</v>
      </c>
      <c r="BG305" s="17">
        <v>0</v>
      </c>
      <c r="BH305" s="142" t="s">
        <v>47</v>
      </c>
      <c r="BI305" s="17">
        <v>0</v>
      </c>
      <c r="BJ305" s="134"/>
      <c r="BK305" s="140" t="s">
        <v>75</v>
      </c>
      <c r="BL305" s="17">
        <v>2</v>
      </c>
      <c r="BM305" s="116"/>
      <c r="BN305" s="140" t="s">
        <v>64</v>
      </c>
      <c r="BO305" s="17">
        <v>1</v>
      </c>
      <c r="BP305" s="119"/>
      <c r="BQ305" s="140" t="s">
        <v>50</v>
      </c>
      <c r="BR305" s="17">
        <v>2</v>
      </c>
      <c r="BS305" s="117"/>
      <c r="BT305" s="140" t="s">
        <v>65</v>
      </c>
      <c r="BU305" s="17">
        <v>2</v>
      </c>
      <c r="BV305" s="116"/>
      <c r="BW305" s="140" t="s">
        <v>51</v>
      </c>
      <c r="BX305" s="17">
        <v>3</v>
      </c>
      <c r="BY305" s="116"/>
      <c r="BZ305" s="140" t="s">
        <v>52</v>
      </c>
      <c r="CA305" s="39">
        <v>2</v>
      </c>
      <c r="CB305" s="116"/>
      <c r="CC305" s="140" t="s">
        <v>76</v>
      </c>
      <c r="CD305" s="17">
        <v>0</v>
      </c>
      <c r="CE305" s="119"/>
      <c r="CF305" s="140" t="s">
        <v>49</v>
      </c>
      <c r="CG305" s="39">
        <v>3</v>
      </c>
      <c r="CH305" s="116"/>
      <c r="CI305" s="143" t="s">
        <v>53</v>
      </c>
      <c r="CJ305" s="33">
        <v>0</v>
      </c>
      <c r="CK305" s="38">
        <v>1</v>
      </c>
      <c r="CL305" s="38">
        <v>1</v>
      </c>
      <c r="CM305" s="38">
        <v>0</v>
      </c>
      <c r="CN305" s="140" t="s">
        <v>98</v>
      </c>
    </row>
    <row r="306" spans="1:92" ht="15.75" customHeight="1" x14ac:dyDescent="0.15">
      <c r="A306" s="141" t="s">
        <v>564</v>
      </c>
      <c r="B306" s="142" t="s">
        <v>29</v>
      </c>
      <c r="C306" s="17">
        <v>3</v>
      </c>
      <c r="D306" s="116"/>
      <c r="E306" s="140" t="s">
        <v>90</v>
      </c>
      <c r="F306" s="17">
        <v>1</v>
      </c>
      <c r="G306" s="116"/>
      <c r="H306" s="140" t="s">
        <v>31</v>
      </c>
      <c r="I306" s="17">
        <v>2</v>
      </c>
      <c r="J306" s="116"/>
      <c r="K306" s="145" t="s">
        <v>116</v>
      </c>
      <c r="L306" s="17">
        <v>2</v>
      </c>
      <c r="M306" s="116"/>
      <c r="N306" s="140" t="s">
        <v>33</v>
      </c>
      <c r="O306" s="17">
        <v>1</v>
      </c>
      <c r="P306" s="116"/>
      <c r="Q306" s="140" t="s">
        <v>34</v>
      </c>
      <c r="R306" s="17">
        <v>1</v>
      </c>
      <c r="S306" s="116"/>
      <c r="T306" s="140" t="s">
        <v>57</v>
      </c>
      <c r="U306" s="17">
        <v>1</v>
      </c>
      <c r="V306" s="116"/>
      <c r="W306" s="143" t="s">
        <v>92</v>
      </c>
      <c r="X306" s="17">
        <v>1</v>
      </c>
      <c r="Y306" s="116"/>
      <c r="Z306" s="140" t="s">
        <v>58</v>
      </c>
      <c r="AA306" s="17">
        <v>1</v>
      </c>
      <c r="AB306" s="116"/>
      <c r="AC306" s="140" t="s">
        <v>69</v>
      </c>
      <c r="AD306" s="39">
        <v>2</v>
      </c>
      <c r="AE306" s="116"/>
      <c r="AF306" s="140" t="s">
        <v>83</v>
      </c>
      <c r="AG306" s="17">
        <v>3</v>
      </c>
      <c r="AH306" s="116"/>
      <c r="AI306" s="140" t="s">
        <v>94</v>
      </c>
      <c r="AJ306" s="25">
        <v>0</v>
      </c>
      <c r="AK306" s="129"/>
      <c r="AL306" s="140" t="s">
        <v>85</v>
      </c>
      <c r="AM306" s="17">
        <v>1</v>
      </c>
      <c r="AN306" s="116"/>
      <c r="AO306" s="140" t="s">
        <v>130</v>
      </c>
      <c r="AP306" s="39">
        <v>3</v>
      </c>
      <c r="AQ306" s="116"/>
      <c r="AR306" s="140" t="s">
        <v>61</v>
      </c>
      <c r="AS306" s="17">
        <v>0</v>
      </c>
      <c r="AT306" s="116"/>
      <c r="AU306" s="140" t="s">
        <v>102</v>
      </c>
      <c r="AV306" s="17">
        <v>2</v>
      </c>
      <c r="AW306" s="116"/>
      <c r="AX306" s="140" t="s">
        <v>80</v>
      </c>
      <c r="AY306" s="39">
        <v>3</v>
      </c>
      <c r="AZ306" s="116"/>
      <c r="BA306" s="140" t="s">
        <v>46</v>
      </c>
      <c r="BB306" s="17">
        <v>0</v>
      </c>
      <c r="BC306" s="17">
        <v>0</v>
      </c>
      <c r="BD306" s="17">
        <v>1</v>
      </c>
      <c r="BE306" s="17">
        <v>1</v>
      </c>
      <c r="BF306" s="17">
        <v>0</v>
      </c>
      <c r="BG306" s="17">
        <v>0</v>
      </c>
      <c r="BH306" s="142" t="s">
        <v>95</v>
      </c>
      <c r="BI306" s="17">
        <v>0</v>
      </c>
      <c r="BJ306" s="134"/>
      <c r="BK306" s="140" t="s">
        <v>75</v>
      </c>
      <c r="BL306" s="17">
        <v>2</v>
      </c>
      <c r="BM306" s="116"/>
      <c r="BN306" s="140" t="s">
        <v>64</v>
      </c>
      <c r="BO306" s="17">
        <v>0</v>
      </c>
      <c r="BP306" s="119"/>
      <c r="BQ306" s="140" t="s">
        <v>87</v>
      </c>
      <c r="BR306" s="17">
        <v>1</v>
      </c>
      <c r="BS306" s="117"/>
      <c r="BT306" s="140" t="s">
        <v>69</v>
      </c>
      <c r="BU306" s="17">
        <v>2</v>
      </c>
      <c r="BV306" s="116"/>
      <c r="BW306" s="140" t="s">
        <v>51</v>
      </c>
      <c r="BX306" s="17">
        <v>1</v>
      </c>
      <c r="BY306" s="116"/>
      <c r="BZ306" s="140" t="s">
        <v>67</v>
      </c>
      <c r="CA306" s="39">
        <v>0</v>
      </c>
      <c r="CB306" s="116"/>
      <c r="CC306" s="140" t="s">
        <v>49</v>
      </c>
      <c r="CD306" s="17">
        <v>0</v>
      </c>
      <c r="CE306" s="119"/>
      <c r="CF306" s="140" t="s">
        <v>49</v>
      </c>
      <c r="CG306" s="39">
        <v>1</v>
      </c>
      <c r="CH306" s="116"/>
      <c r="CI306" s="143" t="s">
        <v>77</v>
      </c>
      <c r="CJ306" s="33">
        <v>1</v>
      </c>
      <c r="CK306" s="38">
        <v>0</v>
      </c>
      <c r="CL306" s="38">
        <v>0</v>
      </c>
      <c r="CM306" s="38">
        <v>0</v>
      </c>
      <c r="CN306" s="140" t="s">
        <v>123</v>
      </c>
    </row>
    <row r="307" spans="1:92" ht="15.75" customHeight="1" x14ac:dyDescent="0.15">
      <c r="A307" s="141" t="s">
        <v>565</v>
      </c>
      <c r="B307" s="142" t="s">
        <v>29</v>
      </c>
      <c r="C307" s="17">
        <v>3</v>
      </c>
      <c r="D307" s="116"/>
      <c r="E307" s="140" t="s">
        <v>90</v>
      </c>
      <c r="F307" s="17">
        <v>1</v>
      </c>
      <c r="G307" s="116"/>
      <c r="H307" s="140" t="s">
        <v>31</v>
      </c>
      <c r="I307" s="17">
        <v>3</v>
      </c>
      <c r="J307" s="116"/>
      <c r="K307" s="145" t="s">
        <v>56</v>
      </c>
      <c r="L307" s="17">
        <v>1</v>
      </c>
      <c r="M307" s="116"/>
      <c r="N307" s="140" t="s">
        <v>124</v>
      </c>
      <c r="O307" s="17">
        <v>1</v>
      </c>
      <c r="P307" s="116"/>
      <c r="Q307" s="140" t="s">
        <v>34</v>
      </c>
      <c r="R307" s="17">
        <v>1</v>
      </c>
      <c r="S307" s="116"/>
      <c r="T307" s="140" t="s">
        <v>57</v>
      </c>
      <c r="U307" s="17">
        <v>1</v>
      </c>
      <c r="V307" s="116"/>
      <c r="W307" s="143" t="s">
        <v>92</v>
      </c>
      <c r="X307" s="17">
        <v>1</v>
      </c>
      <c r="Y307" s="116"/>
      <c r="Z307" s="140" t="s">
        <v>58</v>
      </c>
      <c r="AA307" s="17">
        <v>2</v>
      </c>
      <c r="AB307" s="116"/>
      <c r="AC307" s="140" t="s">
        <v>59</v>
      </c>
      <c r="AD307" s="39">
        <v>2</v>
      </c>
      <c r="AE307" s="116"/>
      <c r="AF307" s="140" t="s">
        <v>83</v>
      </c>
      <c r="AG307" s="17">
        <v>2</v>
      </c>
      <c r="AH307" s="116"/>
      <c r="AI307" s="140" t="s">
        <v>40</v>
      </c>
      <c r="AJ307" s="25">
        <v>3</v>
      </c>
      <c r="AK307" s="129"/>
      <c r="AL307" s="140" t="s">
        <v>41</v>
      </c>
      <c r="AM307" s="17">
        <v>3</v>
      </c>
      <c r="AN307" s="116"/>
      <c r="AO307" s="140" t="s">
        <v>42</v>
      </c>
      <c r="AP307" s="39">
        <v>3</v>
      </c>
      <c r="AQ307" s="116"/>
      <c r="AR307" s="140" t="s">
        <v>61</v>
      </c>
      <c r="AS307" s="17">
        <v>3</v>
      </c>
      <c r="AT307" s="116"/>
      <c r="AU307" s="140" t="s">
        <v>79</v>
      </c>
      <c r="AV307" s="17">
        <v>2</v>
      </c>
      <c r="AW307" s="116"/>
      <c r="AX307" s="140" t="s">
        <v>80</v>
      </c>
      <c r="AY307" s="39">
        <v>1</v>
      </c>
      <c r="AZ307" s="116"/>
      <c r="BA307" s="140" t="s">
        <v>69</v>
      </c>
      <c r="BB307" s="17">
        <v>1</v>
      </c>
      <c r="BC307" s="17">
        <v>0</v>
      </c>
      <c r="BD307" s="17">
        <v>1</v>
      </c>
      <c r="BE307" s="17">
        <v>0</v>
      </c>
      <c r="BF307" s="17">
        <v>0</v>
      </c>
      <c r="BG307" s="17">
        <v>0</v>
      </c>
      <c r="BH307" s="142" t="s">
        <v>47</v>
      </c>
      <c r="BI307" s="17">
        <v>2</v>
      </c>
      <c r="BJ307" s="134"/>
      <c r="BK307" s="140" t="s">
        <v>48</v>
      </c>
      <c r="BL307" s="17">
        <v>3</v>
      </c>
      <c r="BM307" s="116"/>
      <c r="BN307" s="140" t="s">
        <v>49</v>
      </c>
      <c r="BO307" s="17">
        <v>2</v>
      </c>
      <c r="BP307" s="119"/>
      <c r="BQ307" s="140" t="s">
        <v>117</v>
      </c>
      <c r="BR307" s="17">
        <v>2</v>
      </c>
      <c r="BS307" s="117"/>
      <c r="BT307" s="140" t="s">
        <v>65</v>
      </c>
      <c r="BU307" s="17">
        <v>1</v>
      </c>
      <c r="BV307" s="116"/>
      <c r="BW307" s="140" t="s">
        <v>66</v>
      </c>
      <c r="BX307" s="17">
        <v>2</v>
      </c>
      <c r="BY307" s="116"/>
      <c r="BZ307" s="140" t="s">
        <v>97</v>
      </c>
      <c r="CA307" s="39">
        <v>3</v>
      </c>
      <c r="CB307" s="116"/>
      <c r="CC307" s="140" t="s">
        <v>36</v>
      </c>
      <c r="CD307" s="17">
        <v>0</v>
      </c>
      <c r="CE307" s="119"/>
      <c r="CF307" s="140" t="s">
        <v>49</v>
      </c>
      <c r="CG307" s="39">
        <v>3</v>
      </c>
      <c r="CH307" s="116"/>
      <c r="CI307" s="143" t="s">
        <v>53</v>
      </c>
      <c r="CJ307" s="33">
        <v>0</v>
      </c>
      <c r="CK307" s="38">
        <v>1</v>
      </c>
      <c r="CL307" s="38">
        <v>1</v>
      </c>
      <c r="CM307" s="38">
        <v>0</v>
      </c>
      <c r="CN307" s="140" t="s">
        <v>98</v>
      </c>
    </row>
    <row r="308" spans="1:92" ht="15.75" customHeight="1" x14ac:dyDescent="0.15">
      <c r="A308" s="141" t="s">
        <v>566</v>
      </c>
      <c r="B308" s="142" t="s">
        <v>29</v>
      </c>
      <c r="C308" s="17">
        <v>3</v>
      </c>
      <c r="D308" s="116"/>
      <c r="E308" s="140" t="s">
        <v>90</v>
      </c>
      <c r="F308" s="17">
        <v>1</v>
      </c>
      <c r="G308" s="116"/>
      <c r="H308" s="140" t="s">
        <v>31</v>
      </c>
      <c r="I308" s="17">
        <v>3</v>
      </c>
      <c r="J308" s="116"/>
      <c r="K308" s="145" t="s">
        <v>56</v>
      </c>
      <c r="L308" s="17">
        <v>2</v>
      </c>
      <c r="M308" s="116"/>
      <c r="N308" s="140" t="s">
        <v>33</v>
      </c>
      <c r="O308" s="17">
        <v>1</v>
      </c>
      <c r="P308" s="116"/>
      <c r="Q308" s="140" t="s">
        <v>34</v>
      </c>
      <c r="R308" s="17">
        <v>1</v>
      </c>
      <c r="S308" s="116"/>
      <c r="T308" s="140" t="s">
        <v>57</v>
      </c>
      <c r="U308" s="17">
        <v>1</v>
      </c>
      <c r="V308" s="116"/>
      <c r="W308" s="143" t="s">
        <v>92</v>
      </c>
      <c r="X308" s="17">
        <v>0</v>
      </c>
      <c r="Y308" s="116"/>
      <c r="Z308" s="140" t="s">
        <v>108</v>
      </c>
      <c r="AA308" s="17">
        <v>2</v>
      </c>
      <c r="AB308" s="116"/>
      <c r="AC308" s="140" t="s">
        <v>59</v>
      </c>
      <c r="AD308" s="39">
        <v>2</v>
      </c>
      <c r="AE308" s="116"/>
      <c r="AF308" s="140" t="s">
        <v>83</v>
      </c>
      <c r="AG308" s="17">
        <v>0</v>
      </c>
      <c r="AH308" s="116"/>
      <c r="AI308" s="140" t="s">
        <v>84</v>
      </c>
      <c r="AJ308" s="25">
        <v>2</v>
      </c>
      <c r="AK308" s="129"/>
      <c r="AL308" s="140" t="s">
        <v>71</v>
      </c>
      <c r="AM308" s="17">
        <v>2</v>
      </c>
      <c r="AN308" s="116"/>
      <c r="AO308" s="140" t="s">
        <v>72</v>
      </c>
      <c r="AP308" s="39">
        <v>3</v>
      </c>
      <c r="AQ308" s="116"/>
      <c r="AR308" s="140" t="s">
        <v>61</v>
      </c>
      <c r="AS308" s="17">
        <v>2</v>
      </c>
      <c r="AT308" s="116"/>
      <c r="AU308" s="140" t="s">
        <v>44</v>
      </c>
      <c r="AV308" s="17">
        <v>0</v>
      </c>
      <c r="AW308" s="116"/>
      <c r="AX308" s="140" t="s">
        <v>62</v>
      </c>
      <c r="AY308" s="39">
        <v>3</v>
      </c>
      <c r="AZ308" s="116"/>
      <c r="BA308" s="140" t="s">
        <v>46</v>
      </c>
      <c r="BB308" s="17">
        <v>1</v>
      </c>
      <c r="BC308" s="17">
        <v>0</v>
      </c>
      <c r="BD308" s="17">
        <v>1</v>
      </c>
      <c r="BE308" s="17">
        <v>0</v>
      </c>
      <c r="BF308" s="17">
        <v>0</v>
      </c>
      <c r="BG308" s="17">
        <v>0</v>
      </c>
      <c r="BH308" s="142" t="s">
        <v>47</v>
      </c>
      <c r="BI308" s="17">
        <v>1</v>
      </c>
      <c r="BJ308" s="134"/>
      <c r="BK308" s="140" t="s">
        <v>96</v>
      </c>
      <c r="BL308" s="17">
        <v>0</v>
      </c>
      <c r="BM308" s="116"/>
      <c r="BN308" s="140" t="s">
        <v>36</v>
      </c>
      <c r="BO308" s="17">
        <v>0</v>
      </c>
      <c r="BP308" s="119"/>
      <c r="BQ308" s="140" t="s">
        <v>87</v>
      </c>
      <c r="BR308" s="17">
        <v>2</v>
      </c>
      <c r="BS308" s="117"/>
      <c r="BT308" s="140" t="s">
        <v>65</v>
      </c>
      <c r="BU308" s="17">
        <v>2</v>
      </c>
      <c r="BV308" s="116"/>
      <c r="BW308" s="140" t="s">
        <v>51</v>
      </c>
      <c r="BX308" s="17">
        <v>1</v>
      </c>
      <c r="BY308" s="116"/>
      <c r="BZ308" s="140" t="s">
        <v>67</v>
      </c>
      <c r="CA308" s="39">
        <v>1</v>
      </c>
      <c r="CB308" s="116"/>
      <c r="CC308" s="140" t="s">
        <v>77</v>
      </c>
      <c r="CD308" s="17">
        <v>0</v>
      </c>
      <c r="CE308" s="119"/>
      <c r="CF308" s="140" t="s">
        <v>49</v>
      </c>
      <c r="CG308" s="39">
        <v>2</v>
      </c>
      <c r="CH308" s="116"/>
      <c r="CI308" s="143" t="s">
        <v>78</v>
      </c>
      <c r="CJ308" s="33">
        <v>1</v>
      </c>
      <c r="CK308" s="38">
        <v>1</v>
      </c>
      <c r="CL308" s="38">
        <v>0</v>
      </c>
      <c r="CM308" s="38">
        <v>0</v>
      </c>
      <c r="CN308" s="140" t="s">
        <v>82</v>
      </c>
    </row>
    <row r="309" spans="1:92" ht="15.75" customHeight="1" x14ac:dyDescent="0.15">
      <c r="A309" s="141" t="s">
        <v>567</v>
      </c>
      <c r="B309" s="142" t="s">
        <v>29</v>
      </c>
      <c r="C309" s="17">
        <v>3</v>
      </c>
      <c r="D309" s="116"/>
      <c r="E309" s="140" t="s">
        <v>90</v>
      </c>
      <c r="F309" s="17">
        <v>1</v>
      </c>
      <c r="G309" s="116"/>
      <c r="H309" s="140" t="s">
        <v>31</v>
      </c>
      <c r="I309" s="17">
        <v>1</v>
      </c>
      <c r="J309" s="116"/>
      <c r="K309" s="145" t="s">
        <v>32</v>
      </c>
      <c r="L309" s="17">
        <v>2</v>
      </c>
      <c r="M309" s="116"/>
      <c r="N309" s="140" t="s">
        <v>33</v>
      </c>
      <c r="O309" s="17">
        <v>1</v>
      </c>
      <c r="P309" s="116"/>
      <c r="Q309" s="140" t="s">
        <v>34</v>
      </c>
      <c r="R309" s="17">
        <v>0</v>
      </c>
      <c r="S309" s="116"/>
      <c r="T309" s="140" t="s">
        <v>49</v>
      </c>
      <c r="U309" s="17">
        <v>1</v>
      </c>
      <c r="V309" s="116"/>
      <c r="W309" s="143" t="s">
        <v>92</v>
      </c>
      <c r="X309" s="17">
        <v>0</v>
      </c>
      <c r="Y309" s="116"/>
      <c r="Z309" s="140" t="s">
        <v>108</v>
      </c>
      <c r="AA309" s="17">
        <v>1</v>
      </c>
      <c r="AB309" s="116"/>
      <c r="AC309" s="140" t="s">
        <v>69</v>
      </c>
      <c r="AD309" s="39">
        <v>2</v>
      </c>
      <c r="AE309" s="116"/>
      <c r="AF309" s="140" t="s">
        <v>83</v>
      </c>
      <c r="AG309" s="17">
        <v>3</v>
      </c>
      <c r="AH309" s="116"/>
      <c r="AI309" s="140" t="s">
        <v>94</v>
      </c>
      <c r="AJ309" s="25">
        <v>2</v>
      </c>
      <c r="AK309" s="129"/>
      <c r="AL309" s="140" t="s">
        <v>71</v>
      </c>
      <c r="AM309" s="17">
        <v>2</v>
      </c>
      <c r="AN309" s="116"/>
      <c r="AO309" s="140" t="s">
        <v>72</v>
      </c>
      <c r="AP309" s="39">
        <v>3</v>
      </c>
      <c r="AQ309" s="116"/>
      <c r="AR309" s="140" t="s">
        <v>61</v>
      </c>
      <c r="AS309" s="17">
        <v>2</v>
      </c>
      <c r="AT309" s="116"/>
      <c r="AU309" s="140" t="s">
        <v>44</v>
      </c>
      <c r="AV309" s="17">
        <v>0</v>
      </c>
      <c r="AW309" s="116"/>
      <c r="AX309" s="140" t="s">
        <v>73</v>
      </c>
      <c r="AY309" s="39">
        <v>1</v>
      </c>
      <c r="AZ309" s="116"/>
      <c r="BA309" s="140" t="s">
        <v>69</v>
      </c>
      <c r="BB309" s="17">
        <v>0</v>
      </c>
      <c r="BC309" s="17">
        <v>0</v>
      </c>
      <c r="BD309" s="17">
        <v>1</v>
      </c>
      <c r="BE309" s="17">
        <v>0</v>
      </c>
      <c r="BF309" s="17">
        <v>0</v>
      </c>
      <c r="BG309" s="17">
        <v>0</v>
      </c>
      <c r="BH309" s="142" t="s">
        <v>600</v>
      </c>
      <c r="BI309" s="17">
        <v>0</v>
      </c>
      <c r="BJ309" s="134"/>
      <c r="BK309" s="140" t="s">
        <v>75</v>
      </c>
      <c r="BL309" s="17">
        <v>3</v>
      </c>
      <c r="BM309" s="116"/>
      <c r="BN309" s="140" t="s">
        <v>49</v>
      </c>
      <c r="BO309" s="17">
        <v>1</v>
      </c>
      <c r="BP309" s="119"/>
      <c r="BQ309" s="140" t="s">
        <v>50</v>
      </c>
      <c r="BR309" s="17">
        <v>0</v>
      </c>
      <c r="BS309" s="117"/>
      <c r="BT309" s="140" t="s">
        <v>46</v>
      </c>
      <c r="BU309" s="17">
        <v>0</v>
      </c>
      <c r="BV309" s="116"/>
      <c r="BW309" s="140" t="s">
        <v>88</v>
      </c>
      <c r="BX309" s="17">
        <v>1</v>
      </c>
      <c r="BY309" s="116"/>
      <c r="BZ309" s="140" t="s">
        <v>67</v>
      </c>
      <c r="CA309" s="39">
        <v>2</v>
      </c>
      <c r="CB309" s="116"/>
      <c r="CC309" s="140" t="s">
        <v>76</v>
      </c>
      <c r="CD309" s="17">
        <v>0</v>
      </c>
      <c r="CE309" s="119"/>
      <c r="CF309" s="140" t="s">
        <v>49</v>
      </c>
      <c r="CG309" s="39">
        <v>1</v>
      </c>
      <c r="CH309" s="116"/>
      <c r="CI309" s="143" t="s">
        <v>77</v>
      </c>
      <c r="CJ309" s="33">
        <v>0</v>
      </c>
      <c r="CK309" s="38">
        <v>0</v>
      </c>
      <c r="CL309" s="38">
        <v>0</v>
      </c>
      <c r="CM309" s="38">
        <v>1</v>
      </c>
      <c r="CN309" s="140" t="s">
        <v>305</v>
      </c>
    </row>
    <row r="310" spans="1:92" ht="15.75" customHeight="1" x14ac:dyDescent="0.15">
      <c r="A310" s="141" t="s">
        <v>568</v>
      </c>
      <c r="B310" s="142" t="s">
        <v>29</v>
      </c>
      <c r="C310" s="17">
        <v>3</v>
      </c>
      <c r="D310" s="116"/>
      <c r="E310" s="140" t="s">
        <v>90</v>
      </c>
      <c r="F310" s="17">
        <v>2</v>
      </c>
      <c r="G310" s="116"/>
      <c r="H310" s="140" t="s">
        <v>91</v>
      </c>
      <c r="I310" s="17">
        <v>2</v>
      </c>
      <c r="J310" s="116"/>
      <c r="K310" s="145" t="s">
        <v>116</v>
      </c>
      <c r="L310" s="17">
        <v>2</v>
      </c>
      <c r="M310" s="116"/>
      <c r="N310" s="140" t="s">
        <v>33</v>
      </c>
      <c r="O310" s="17">
        <v>1</v>
      </c>
      <c r="P310" s="116"/>
      <c r="Q310" s="140" t="s">
        <v>34</v>
      </c>
      <c r="R310" s="17">
        <v>0</v>
      </c>
      <c r="S310" s="116"/>
      <c r="T310" s="140" t="s">
        <v>49</v>
      </c>
      <c r="U310" s="17">
        <v>0</v>
      </c>
      <c r="V310" s="116"/>
      <c r="W310" s="143" t="s">
        <v>49</v>
      </c>
      <c r="X310" s="17">
        <v>1</v>
      </c>
      <c r="Y310" s="116"/>
      <c r="Z310" s="140" t="s">
        <v>58</v>
      </c>
      <c r="AA310" s="17">
        <v>1</v>
      </c>
      <c r="AB310" s="116"/>
      <c r="AC310" s="140" t="s">
        <v>69</v>
      </c>
      <c r="AD310" s="39">
        <v>4</v>
      </c>
      <c r="AE310" s="116"/>
      <c r="AF310" s="140" t="s">
        <v>93</v>
      </c>
      <c r="AG310" s="17">
        <v>0</v>
      </c>
      <c r="AH310" s="116"/>
      <c r="AI310" s="140" t="s">
        <v>84</v>
      </c>
      <c r="AJ310" s="25">
        <v>2</v>
      </c>
      <c r="AK310" s="129"/>
      <c r="AL310" s="140" t="s">
        <v>71</v>
      </c>
      <c r="AM310" s="17">
        <v>2</v>
      </c>
      <c r="AN310" s="116"/>
      <c r="AO310" s="140" t="s">
        <v>72</v>
      </c>
      <c r="AP310" s="39">
        <v>3</v>
      </c>
      <c r="AQ310" s="116"/>
      <c r="AR310" s="140" t="s">
        <v>61</v>
      </c>
      <c r="AS310" s="17">
        <v>3</v>
      </c>
      <c r="AT310" s="116"/>
      <c r="AU310" s="140" t="s">
        <v>79</v>
      </c>
      <c r="AV310" s="17">
        <v>2</v>
      </c>
      <c r="AW310" s="116"/>
      <c r="AX310" s="140" t="s">
        <v>80</v>
      </c>
      <c r="AY310" s="39">
        <v>1</v>
      </c>
      <c r="AZ310" s="116"/>
      <c r="BA310" s="140" t="s">
        <v>69</v>
      </c>
      <c r="BB310" s="17">
        <v>0</v>
      </c>
      <c r="BC310" s="17">
        <v>1</v>
      </c>
      <c r="BD310" s="17">
        <v>1</v>
      </c>
      <c r="BE310" s="17">
        <v>0</v>
      </c>
      <c r="BF310" s="17">
        <v>0</v>
      </c>
      <c r="BG310" s="17">
        <v>0</v>
      </c>
      <c r="BH310" s="142" t="s">
        <v>105</v>
      </c>
      <c r="BI310" s="17">
        <v>0</v>
      </c>
      <c r="BJ310" s="134"/>
      <c r="BK310" s="140" t="s">
        <v>75</v>
      </c>
      <c r="BL310" s="17">
        <v>2</v>
      </c>
      <c r="BM310" s="116"/>
      <c r="BN310" s="140" t="s">
        <v>64</v>
      </c>
      <c r="BO310" s="17">
        <v>2</v>
      </c>
      <c r="BP310" s="119"/>
      <c r="BQ310" s="140" t="s">
        <v>117</v>
      </c>
      <c r="BR310" s="17">
        <v>2</v>
      </c>
      <c r="BS310" s="117"/>
      <c r="BT310" s="140" t="s">
        <v>65</v>
      </c>
      <c r="BU310" s="17">
        <v>2</v>
      </c>
      <c r="BV310" s="116"/>
      <c r="BW310" s="140" t="s">
        <v>51</v>
      </c>
      <c r="BX310" s="17">
        <v>3</v>
      </c>
      <c r="BY310" s="116"/>
      <c r="BZ310" s="140" t="s">
        <v>52</v>
      </c>
      <c r="CA310" s="39">
        <v>2</v>
      </c>
      <c r="CB310" s="116"/>
      <c r="CC310" s="140" t="s">
        <v>76</v>
      </c>
      <c r="CD310" s="17">
        <v>0</v>
      </c>
      <c r="CE310" s="119"/>
      <c r="CF310" s="140" t="s">
        <v>49</v>
      </c>
      <c r="CG310" s="39">
        <v>2</v>
      </c>
      <c r="CH310" s="116"/>
      <c r="CI310" s="143" t="s">
        <v>78</v>
      </c>
      <c r="CJ310" s="33">
        <v>0</v>
      </c>
      <c r="CK310" s="38">
        <v>0</v>
      </c>
      <c r="CL310" s="38">
        <v>1</v>
      </c>
      <c r="CM310" s="38">
        <v>0</v>
      </c>
      <c r="CN310" s="140" t="s">
        <v>120</v>
      </c>
    </row>
    <row r="311" spans="1:92" ht="15.75" customHeight="1" x14ac:dyDescent="0.15">
      <c r="A311" s="141" t="s">
        <v>569</v>
      </c>
      <c r="B311" s="142" t="s">
        <v>29</v>
      </c>
      <c r="C311" s="17">
        <v>3</v>
      </c>
      <c r="D311" s="116"/>
      <c r="E311" s="140" t="s">
        <v>90</v>
      </c>
      <c r="F311" s="17">
        <v>1</v>
      </c>
      <c r="G311" s="116"/>
      <c r="H311" s="140" t="s">
        <v>31</v>
      </c>
      <c r="I311" s="17">
        <v>1</v>
      </c>
      <c r="J311" s="116"/>
      <c r="K311" s="145" t="s">
        <v>32</v>
      </c>
      <c r="L311" s="17">
        <v>2</v>
      </c>
      <c r="M311" s="116"/>
      <c r="N311" s="140" t="s">
        <v>33</v>
      </c>
      <c r="O311" s="17">
        <v>1</v>
      </c>
      <c r="P311" s="116"/>
      <c r="Q311" s="140" t="s">
        <v>34</v>
      </c>
      <c r="R311" s="17">
        <v>1</v>
      </c>
      <c r="S311" s="116"/>
      <c r="T311" s="140" t="s">
        <v>57</v>
      </c>
      <c r="U311" s="17">
        <v>2</v>
      </c>
      <c r="V311" s="116"/>
      <c r="W311" s="143" t="s">
        <v>36</v>
      </c>
      <c r="X311" s="17">
        <v>1</v>
      </c>
      <c r="Y311" s="116"/>
      <c r="Z311" s="140" t="s">
        <v>58</v>
      </c>
      <c r="AA311" s="17">
        <v>2</v>
      </c>
      <c r="AB311" s="116"/>
      <c r="AC311" s="140" t="s">
        <v>59</v>
      </c>
      <c r="AD311" s="39">
        <v>4</v>
      </c>
      <c r="AE311" s="116"/>
      <c r="AF311" s="140" t="s">
        <v>93</v>
      </c>
      <c r="AG311" s="17">
        <v>3</v>
      </c>
      <c r="AH311" s="116"/>
      <c r="AI311" s="140" t="s">
        <v>94</v>
      </c>
      <c r="AJ311" s="25">
        <v>2</v>
      </c>
      <c r="AK311" s="129"/>
      <c r="AL311" s="140" t="s">
        <v>71</v>
      </c>
      <c r="AM311" s="17">
        <v>2</v>
      </c>
      <c r="AN311" s="116"/>
      <c r="AO311" s="140" t="s">
        <v>72</v>
      </c>
      <c r="AP311" s="39">
        <v>2</v>
      </c>
      <c r="AQ311" s="116"/>
      <c r="AR311" s="140" t="s">
        <v>104</v>
      </c>
      <c r="AS311" s="17">
        <v>3</v>
      </c>
      <c r="AT311" s="116"/>
      <c r="AU311" s="140" t="s">
        <v>79</v>
      </c>
      <c r="AV311" s="17">
        <v>2</v>
      </c>
      <c r="AW311" s="116"/>
      <c r="AX311" s="140" t="s">
        <v>80</v>
      </c>
      <c r="AY311" s="39">
        <v>3</v>
      </c>
      <c r="AZ311" s="116"/>
      <c r="BA311" s="140" t="s">
        <v>46</v>
      </c>
      <c r="BB311" s="17">
        <v>0</v>
      </c>
      <c r="BC311" s="17">
        <v>1</v>
      </c>
      <c r="BD311" s="17">
        <v>1</v>
      </c>
      <c r="BE311" s="17">
        <v>0</v>
      </c>
      <c r="BF311" s="17">
        <v>0</v>
      </c>
      <c r="BG311" s="17">
        <v>0</v>
      </c>
      <c r="BH311" s="142" t="s">
        <v>105</v>
      </c>
      <c r="BI311" s="17">
        <v>2</v>
      </c>
      <c r="BJ311" s="134"/>
      <c r="BK311" s="140" t="s">
        <v>48</v>
      </c>
      <c r="BL311" s="17">
        <v>3</v>
      </c>
      <c r="BM311" s="116"/>
      <c r="BN311" s="140" t="s">
        <v>49</v>
      </c>
      <c r="BO311" s="17">
        <v>1</v>
      </c>
      <c r="BP311" s="119"/>
      <c r="BQ311" s="140" t="s">
        <v>50</v>
      </c>
      <c r="BR311" s="17">
        <v>2</v>
      </c>
      <c r="BS311" s="117"/>
      <c r="BT311" s="140" t="s">
        <v>65</v>
      </c>
      <c r="BU311" s="17">
        <v>2</v>
      </c>
      <c r="BV311" s="116"/>
      <c r="BW311" s="140" t="s">
        <v>51</v>
      </c>
      <c r="BX311" s="17">
        <v>2</v>
      </c>
      <c r="BY311" s="116"/>
      <c r="BZ311" s="140" t="s">
        <v>97</v>
      </c>
      <c r="CA311" s="39">
        <v>3</v>
      </c>
      <c r="CB311" s="116"/>
      <c r="CC311" s="140" t="s">
        <v>36</v>
      </c>
      <c r="CD311" s="17">
        <v>2</v>
      </c>
      <c r="CE311" s="119"/>
      <c r="CF311" s="140" t="s">
        <v>36</v>
      </c>
      <c r="CG311" s="39">
        <v>3</v>
      </c>
      <c r="CH311" s="116"/>
      <c r="CI311" s="143" t="s">
        <v>53</v>
      </c>
      <c r="CJ311" s="33">
        <v>1</v>
      </c>
      <c r="CK311" s="38">
        <v>0</v>
      </c>
      <c r="CL311" s="38">
        <v>1</v>
      </c>
      <c r="CM311" s="38">
        <v>0</v>
      </c>
      <c r="CN311" s="140" t="s">
        <v>54</v>
      </c>
    </row>
    <row r="312" spans="1:92" ht="15.75" customHeight="1" x14ac:dyDescent="0.15">
      <c r="A312" s="141" t="s">
        <v>570</v>
      </c>
      <c r="B312" s="142" t="s">
        <v>29</v>
      </c>
      <c r="C312" s="17">
        <v>3</v>
      </c>
      <c r="D312" s="116"/>
      <c r="E312" s="140" t="s">
        <v>90</v>
      </c>
      <c r="F312" s="17">
        <v>2</v>
      </c>
      <c r="G312" s="116"/>
      <c r="H312" s="140" t="s">
        <v>91</v>
      </c>
      <c r="I312" s="17">
        <v>3</v>
      </c>
      <c r="J312" s="116"/>
      <c r="K312" s="145" t="s">
        <v>56</v>
      </c>
      <c r="L312" s="17">
        <v>2</v>
      </c>
      <c r="M312" s="116"/>
      <c r="N312" s="140" t="s">
        <v>33</v>
      </c>
      <c r="O312" s="17">
        <v>1</v>
      </c>
      <c r="P312" s="116"/>
      <c r="Q312" s="140" t="s">
        <v>34</v>
      </c>
      <c r="R312" s="17">
        <v>2</v>
      </c>
      <c r="S312" s="116"/>
      <c r="T312" s="140" t="s">
        <v>35</v>
      </c>
      <c r="U312" s="17">
        <v>1</v>
      </c>
      <c r="V312" s="116"/>
      <c r="W312" s="143" t="s">
        <v>92</v>
      </c>
      <c r="X312" s="17">
        <v>0</v>
      </c>
      <c r="Y312" s="116"/>
      <c r="Z312" s="140" t="s">
        <v>108</v>
      </c>
      <c r="AA312" s="17">
        <v>2</v>
      </c>
      <c r="AB312" s="116"/>
      <c r="AC312" s="140" t="s">
        <v>59</v>
      </c>
      <c r="AD312" s="39">
        <v>0</v>
      </c>
      <c r="AE312" s="116"/>
      <c r="AF312" s="140" t="s">
        <v>70</v>
      </c>
      <c r="AG312" s="17">
        <v>3</v>
      </c>
      <c r="AH312" s="116"/>
      <c r="AI312" s="140" t="s">
        <v>94</v>
      </c>
      <c r="AJ312" s="25">
        <v>0</v>
      </c>
      <c r="AK312" s="129"/>
      <c r="AL312" s="140" t="s">
        <v>85</v>
      </c>
      <c r="AM312" s="17">
        <v>3</v>
      </c>
      <c r="AN312" s="116"/>
      <c r="AO312" s="140" t="s">
        <v>42</v>
      </c>
      <c r="AP312" s="39">
        <v>3</v>
      </c>
      <c r="AQ312" s="116"/>
      <c r="AR312" s="140" t="s">
        <v>61</v>
      </c>
      <c r="AS312" s="17">
        <v>0</v>
      </c>
      <c r="AT312" s="116"/>
      <c r="AU312" s="140" t="s">
        <v>102</v>
      </c>
      <c r="AV312" s="17">
        <v>0</v>
      </c>
      <c r="AW312" s="116"/>
      <c r="AX312" s="140" t="s">
        <v>62</v>
      </c>
      <c r="AY312" s="39">
        <v>1</v>
      </c>
      <c r="AZ312" s="116"/>
      <c r="BA312" s="140" t="s">
        <v>69</v>
      </c>
      <c r="BB312" s="17">
        <v>1</v>
      </c>
      <c r="BC312" s="17">
        <v>0</v>
      </c>
      <c r="BD312" s="17">
        <v>1</v>
      </c>
      <c r="BE312" s="17">
        <v>0</v>
      </c>
      <c r="BF312" s="17">
        <v>0</v>
      </c>
      <c r="BG312" s="17">
        <v>0</v>
      </c>
      <c r="BH312" s="142" t="s">
        <v>47</v>
      </c>
      <c r="BI312" s="17">
        <v>0</v>
      </c>
      <c r="BJ312" s="134"/>
      <c r="BK312" s="140" t="s">
        <v>75</v>
      </c>
      <c r="BL312" s="17">
        <v>1</v>
      </c>
      <c r="BM312" s="116"/>
      <c r="BN312" s="140" t="s">
        <v>59</v>
      </c>
      <c r="BO312" s="17">
        <v>0</v>
      </c>
      <c r="BP312" s="119"/>
      <c r="BQ312" s="140" t="s">
        <v>87</v>
      </c>
      <c r="BR312" s="17">
        <v>2</v>
      </c>
      <c r="BS312" s="117"/>
      <c r="BT312" s="140" t="s">
        <v>65</v>
      </c>
      <c r="BU312" s="17">
        <v>1</v>
      </c>
      <c r="BV312" s="116"/>
      <c r="BW312" s="140" t="s">
        <v>66</v>
      </c>
      <c r="BX312" s="17">
        <v>3</v>
      </c>
      <c r="BY312" s="116"/>
      <c r="BZ312" s="140" t="s">
        <v>52</v>
      </c>
      <c r="CA312" s="39">
        <v>3</v>
      </c>
      <c r="CB312" s="116"/>
      <c r="CC312" s="140" t="s">
        <v>36</v>
      </c>
      <c r="CD312" s="17">
        <v>0</v>
      </c>
      <c r="CE312" s="119"/>
      <c r="CF312" s="140" t="s">
        <v>77</v>
      </c>
      <c r="CG312" s="39">
        <v>0</v>
      </c>
      <c r="CH312" s="116"/>
      <c r="CI312" s="143" t="s">
        <v>89</v>
      </c>
      <c r="CJ312" s="33">
        <v>0</v>
      </c>
      <c r="CK312" s="38">
        <v>0</v>
      </c>
      <c r="CL312" s="38">
        <v>0</v>
      </c>
      <c r="CM312" s="38">
        <v>1</v>
      </c>
      <c r="CN312" s="140" t="s">
        <v>179</v>
      </c>
    </row>
    <row r="313" spans="1:92" ht="15.75" customHeight="1" x14ac:dyDescent="0.15">
      <c r="A313" s="141" t="s">
        <v>571</v>
      </c>
      <c r="B313" s="142" t="s">
        <v>29</v>
      </c>
      <c r="C313" s="17">
        <v>3</v>
      </c>
      <c r="D313" s="116"/>
      <c r="E313" s="140" t="s">
        <v>90</v>
      </c>
      <c r="F313" s="17">
        <v>1</v>
      </c>
      <c r="G313" s="116"/>
      <c r="H313" s="140" t="s">
        <v>31</v>
      </c>
      <c r="I313" s="17">
        <v>1</v>
      </c>
      <c r="J313" s="116"/>
      <c r="K313" s="145" t="s">
        <v>32</v>
      </c>
      <c r="L313" s="17">
        <v>2</v>
      </c>
      <c r="M313" s="116"/>
      <c r="N313" s="140" t="s">
        <v>33</v>
      </c>
      <c r="O313" s="17">
        <v>1</v>
      </c>
      <c r="P313" s="116"/>
      <c r="Q313" s="140" t="s">
        <v>34</v>
      </c>
      <c r="R313" s="17">
        <v>1</v>
      </c>
      <c r="S313" s="116"/>
      <c r="T313" s="140" t="s">
        <v>57</v>
      </c>
      <c r="U313" s="17">
        <v>1</v>
      </c>
      <c r="V313" s="116"/>
      <c r="W313" s="143" t="s">
        <v>92</v>
      </c>
      <c r="X313" s="17">
        <v>1</v>
      </c>
      <c r="Y313" s="116"/>
      <c r="Z313" s="140" t="s">
        <v>58</v>
      </c>
      <c r="AA313" s="17">
        <v>2</v>
      </c>
      <c r="AB313" s="116"/>
      <c r="AC313" s="140" t="s">
        <v>59</v>
      </c>
      <c r="AD313" s="39">
        <v>1</v>
      </c>
      <c r="AE313" s="116"/>
      <c r="AF313" s="140" t="s">
        <v>39</v>
      </c>
      <c r="AG313" s="17">
        <v>0</v>
      </c>
      <c r="AH313" s="116"/>
      <c r="AI313" s="140" t="s">
        <v>84</v>
      </c>
      <c r="AJ313" s="25">
        <v>2</v>
      </c>
      <c r="AK313" s="129"/>
      <c r="AL313" s="140" t="s">
        <v>71</v>
      </c>
      <c r="AM313" s="17">
        <v>1</v>
      </c>
      <c r="AN313" s="116"/>
      <c r="AO313" s="140" t="s">
        <v>130</v>
      </c>
      <c r="AP313" s="39">
        <v>4</v>
      </c>
      <c r="AQ313" s="116"/>
      <c r="AR313" s="140" t="s">
        <v>43</v>
      </c>
      <c r="AS313" s="17">
        <v>2</v>
      </c>
      <c r="AT313" s="116"/>
      <c r="AU313" s="140" t="s">
        <v>44</v>
      </c>
      <c r="AV313" s="17">
        <v>0</v>
      </c>
      <c r="AW313" s="116"/>
      <c r="AX313" s="140" t="s">
        <v>73</v>
      </c>
      <c r="AY313" s="39">
        <v>2</v>
      </c>
      <c r="AZ313" s="116"/>
      <c r="BA313" s="140" t="s">
        <v>59</v>
      </c>
      <c r="BB313" s="17">
        <v>1</v>
      </c>
      <c r="BC313" s="17">
        <v>0</v>
      </c>
      <c r="BD313" s="17">
        <v>0</v>
      </c>
      <c r="BE313" s="17">
        <v>1</v>
      </c>
      <c r="BF313" s="17">
        <v>0</v>
      </c>
      <c r="BG313" s="17">
        <v>0</v>
      </c>
      <c r="BH313" s="142" t="s">
        <v>74</v>
      </c>
      <c r="BI313" s="17">
        <v>0</v>
      </c>
      <c r="BJ313" s="134"/>
      <c r="BK313" s="140" t="s">
        <v>75</v>
      </c>
      <c r="BL313" s="17">
        <v>1</v>
      </c>
      <c r="BM313" s="116"/>
      <c r="BN313" s="140" t="s">
        <v>59</v>
      </c>
      <c r="BO313" s="17">
        <v>1</v>
      </c>
      <c r="BP313" s="119"/>
      <c r="BQ313" s="140" t="s">
        <v>50</v>
      </c>
      <c r="BR313" s="17">
        <v>2</v>
      </c>
      <c r="BS313" s="117"/>
      <c r="BT313" s="140" t="s">
        <v>65</v>
      </c>
      <c r="BU313" s="17">
        <v>2</v>
      </c>
      <c r="BV313" s="116"/>
      <c r="BW313" s="140" t="s">
        <v>51</v>
      </c>
      <c r="BX313" s="17">
        <v>2</v>
      </c>
      <c r="BY313" s="116"/>
      <c r="BZ313" s="140" t="s">
        <v>97</v>
      </c>
      <c r="CA313" s="39">
        <v>2</v>
      </c>
      <c r="CB313" s="116"/>
      <c r="CC313" s="140" t="s">
        <v>76</v>
      </c>
      <c r="CD313" s="17">
        <v>0</v>
      </c>
      <c r="CE313" s="119"/>
      <c r="CF313" s="140" t="s">
        <v>49</v>
      </c>
      <c r="CG313" s="39">
        <v>0</v>
      </c>
      <c r="CH313" s="116"/>
      <c r="CI313" s="143" t="s">
        <v>89</v>
      </c>
      <c r="CJ313" s="33">
        <v>0</v>
      </c>
      <c r="CK313" s="38">
        <v>0</v>
      </c>
      <c r="CL313" s="38">
        <v>0</v>
      </c>
      <c r="CM313" s="38">
        <v>1</v>
      </c>
      <c r="CN313" s="140" t="s">
        <v>305</v>
      </c>
    </row>
    <row r="314" spans="1:92" ht="15.75" customHeight="1" x14ac:dyDescent="0.15">
      <c r="A314" s="141" t="s">
        <v>572</v>
      </c>
      <c r="B314" s="142" t="s">
        <v>29</v>
      </c>
      <c r="C314" s="17">
        <v>2</v>
      </c>
      <c r="D314" s="116"/>
      <c r="E314" s="140" t="s">
        <v>55</v>
      </c>
      <c r="F314" s="17">
        <v>1</v>
      </c>
      <c r="G314" s="116"/>
      <c r="H314" s="140" t="s">
        <v>31</v>
      </c>
      <c r="I314" s="17">
        <v>1</v>
      </c>
      <c r="J314" s="116"/>
      <c r="K314" s="145" t="s">
        <v>32</v>
      </c>
      <c r="L314" s="17">
        <v>2</v>
      </c>
      <c r="M314" s="116"/>
      <c r="N314" s="140" t="s">
        <v>33</v>
      </c>
      <c r="O314" s="17">
        <v>1</v>
      </c>
      <c r="P314" s="116"/>
      <c r="Q314" s="140" t="s">
        <v>34</v>
      </c>
      <c r="R314" s="17">
        <v>1</v>
      </c>
      <c r="S314" s="116"/>
      <c r="T314" s="140" t="s">
        <v>57</v>
      </c>
      <c r="U314" s="17">
        <v>1</v>
      </c>
      <c r="V314" s="116"/>
      <c r="W314" s="143" t="s">
        <v>92</v>
      </c>
      <c r="X314" s="17">
        <v>0</v>
      </c>
      <c r="Y314" s="116"/>
      <c r="Z314" s="140" t="s">
        <v>108</v>
      </c>
      <c r="AA314" s="17">
        <v>0</v>
      </c>
      <c r="AB314" s="116"/>
      <c r="AC314" s="140" t="s">
        <v>46</v>
      </c>
      <c r="AD314" s="39">
        <v>2</v>
      </c>
      <c r="AE314" s="116"/>
      <c r="AF314" s="140" t="s">
        <v>83</v>
      </c>
      <c r="AG314" s="17">
        <v>0</v>
      </c>
      <c r="AH314" s="116"/>
      <c r="AI314" s="140" t="s">
        <v>84</v>
      </c>
      <c r="AJ314" s="25">
        <v>2</v>
      </c>
      <c r="AK314" s="129"/>
      <c r="AL314" s="140" t="s">
        <v>71</v>
      </c>
      <c r="AM314" s="17">
        <v>2</v>
      </c>
      <c r="AN314" s="116"/>
      <c r="AO314" s="140" t="s">
        <v>72</v>
      </c>
      <c r="AP314" s="39">
        <v>3</v>
      </c>
      <c r="AQ314" s="116"/>
      <c r="AR314" s="140" t="s">
        <v>61</v>
      </c>
      <c r="AS314" s="17">
        <v>1</v>
      </c>
      <c r="AT314" s="116"/>
      <c r="AU314" s="140" t="s">
        <v>86</v>
      </c>
      <c r="AV314" s="17">
        <v>0</v>
      </c>
      <c r="AW314" s="116"/>
      <c r="AX314" s="140" t="s">
        <v>62</v>
      </c>
      <c r="AY314" s="39">
        <v>3</v>
      </c>
      <c r="AZ314" s="116"/>
      <c r="BA314" s="140" t="s">
        <v>46</v>
      </c>
      <c r="BB314" s="17">
        <v>0</v>
      </c>
      <c r="BC314" s="17">
        <v>0</v>
      </c>
      <c r="BD314" s="17">
        <v>1</v>
      </c>
      <c r="BE314" s="17">
        <v>0</v>
      </c>
      <c r="BF314" s="17">
        <v>0</v>
      </c>
      <c r="BG314" s="17">
        <v>0</v>
      </c>
      <c r="BH314" s="142" t="s">
        <v>601</v>
      </c>
      <c r="BI314" s="17">
        <v>0</v>
      </c>
      <c r="BJ314" s="134"/>
      <c r="BK314" s="140" t="s">
        <v>75</v>
      </c>
      <c r="BL314" s="17">
        <v>1</v>
      </c>
      <c r="BM314" s="116"/>
      <c r="BN314" s="140" t="s">
        <v>59</v>
      </c>
      <c r="BO314" s="17">
        <v>0</v>
      </c>
      <c r="BP314" s="119"/>
      <c r="BQ314" s="140" t="s">
        <v>87</v>
      </c>
      <c r="BR314" s="17">
        <v>0</v>
      </c>
      <c r="BS314" s="117"/>
      <c r="BT314" s="140" t="s">
        <v>46</v>
      </c>
      <c r="BU314" s="17">
        <v>0</v>
      </c>
      <c r="BV314" s="116"/>
      <c r="BW314" s="140" t="s">
        <v>88</v>
      </c>
      <c r="BX314" s="17">
        <v>3</v>
      </c>
      <c r="BY314" s="116"/>
      <c r="BZ314" s="140" t="s">
        <v>52</v>
      </c>
      <c r="CA314" s="39">
        <v>1</v>
      </c>
      <c r="CB314" s="116"/>
      <c r="CC314" s="140" t="s">
        <v>77</v>
      </c>
      <c r="CD314" s="17">
        <v>1</v>
      </c>
      <c r="CE314" s="119"/>
      <c r="CF314" s="140" t="s">
        <v>77</v>
      </c>
      <c r="CG314" s="39">
        <v>2</v>
      </c>
      <c r="CH314" s="116"/>
      <c r="CI314" s="143" t="s">
        <v>78</v>
      </c>
      <c r="CJ314" s="33">
        <v>0</v>
      </c>
      <c r="CK314" s="38">
        <v>0</v>
      </c>
      <c r="CL314" s="38">
        <v>0</v>
      </c>
      <c r="CM314" s="38">
        <v>1</v>
      </c>
      <c r="CN314" s="140" t="s">
        <v>150</v>
      </c>
    </row>
    <row r="315" spans="1:92" ht="15.75" customHeight="1" x14ac:dyDescent="0.15">
      <c r="A315" s="141" t="s">
        <v>573</v>
      </c>
      <c r="B315" s="142" t="s">
        <v>29</v>
      </c>
      <c r="C315" s="17">
        <v>1</v>
      </c>
      <c r="D315" s="116"/>
      <c r="E315" s="140" t="s">
        <v>114</v>
      </c>
      <c r="F315" s="17">
        <v>1</v>
      </c>
      <c r="G315" s="116"/>
      <c r="H315" s="140" t="s">
        <v>31</v>
      </c>
      <c r="I315" s="17">
        <v>1</v>
      </c>
      <c r="J315" s="116"/>
      <c r="K315" s="145" t="s">
        <v>32</v>
      </c>
      <c r="L315" s="17">
        <v>2</v>
      </c>
      <c r="M315" s="116"/>
      <c r="N315" s="140" t="s">
        <v>33</v>
      </c>
      <c r="O315" s="17">
        <v>1</v>
      </c>
      <c r="P315" s="116"/>
      <c r="Q315" s="140" t="s">
        <v>34</v>
      </c>
      <c r="R315" s="17">
        <v>2</v>
      </c>
      <c r="S315" s="116"/>
      <c r="T315" s="140" t="s">
        <v>35</v>
      </c>
      <c r="U315" s="17">
        <v>2</v>
      </c>
      <c r="V315" s="116"/>
      <c r="W315" s="143" t="s">
        <v>36</v>
      </c>
      <c r="X315" s="17">
        <v>2</v>
      </c>
      <c r="Y315" s="116"/>
      <c r="Z315" s="140" t="s">
        <v>37</v>
      </c>
      <c r="AA315" s="17">
        <v>3</v>
      </c>
      <c r="AB315" s="116"/>
      <c r="AC315" s="140" t="s">
        <v>38</v>
      </c>
      <c r="AD315" s="39">
        <v>4</v>
      </c>
      <c r="AE315" s="116"/>
      <c r="AF315" s="140" t="s">
        <v>93</v>
      </c>
      <c r="AG315" s="17">
        <v>3</v>
      </c>
      <c r="AH315" s="116"/>
      <c r="AI315" s="140" t="s">
        <v>94</v>
      </c>
      <c r="AJ315" s="25">
        <v>3</v>
      </c>
      <c r="AK315" s="129"/>
      <c r="AL315" s="140" t="s">
        <v>41</v>
      </c>
      <c r="AM315" s="17">
        <v>3</v>
      </c>
      <c r="AN315" s="116"/>
      <c r="AO315" s="140" t="s">
        <v>42</v>
      </c>
      <c r="AP315" s="39">
        <v>4</v>
      </c>
      <c r="AQ315" s="116"/>
      <c r="AR315" s="140" t="s">
        <v>43</v>
      </c>
      <c r="AS315" s="17">
        <v>3</v>
      </c>
      <c r="AT315" s="116"/>
      <c r="AU315" s="140" t="s">
        <v>79</v>
      </c>
      <c r="AV315" s="17">
        <v>2</v>
      </c>
      <c r="AW315" s="116"/>
      <c r="AX315" s="140" t="s">
        <v>80</v>
      </c>
      <c r="AY315" s="39">
        <v>3</v>
      </c>
      <c r="AZ315" s="116"/>
      <c r="BA315" s="140" t="s">
        <v>46</v>
      </c>
      <c r="BB315" s="17">
        <v>0</v>
      </c>
      <c r="BC315" s="17">
        <v>1</v>
      </c>
      <c r="BD315" s="17">
        <v>1</v>
      </c>
      <c r="BE315" s="17">
        <v>0</v>
      </c>
      <c r="BF315" s="17">
        <v>0</v>
      </c>
      <c r="BG315" s="17">
        <v>0</v>
      </c>
      <c r="BH315" s="142" t="s">
        <v>105</v>
      </c>
      <c r="BI315" s="17">
        <v>2</v>
      </c>
      <c r="BJ315" s="134"/>
      <c r="BK315" s="140" t="s">
        <v>48</v>
      </c>
      <c r="BL315" s="17">
        <v>2</v>
      </c>
      <c r="BM315" s="116"/>
      <c r="BN315" s="140" t="s">
        <v>64</v>
      </c>
      <c r="BO315" s="17">
        <v>2</v>
      </c>
      <c r="BP315" s="119"/>
      <c r="BQ315" s="140" t="s">
        <v>117</v>
      </c>
      <c r="BR315" s="17">
        <v>3</v>
      </c>
      <c r="BS315" s="117"/>
      <c r="BT315" s="140" t="s">
        <v>38</v>
      </c>
      <c r="BU315" s="17">
        <v>2</v>
      </c>
      <c r="BV315" s="116"/>
      <c r="BW315" s="140" t="s">
        <v>51</v>
      </c>
      <c r="BX315" s="17">
        <v>2</v>
      </c>
      <c r="BY315" s="116"/>
      <c r="BZ315" s="140" t="s">
        <v>97</v>
      </c>
      <c r="CA315" s="39">
        <v>1</v>
      </c>
      <c r="CB315" s="116"/>
      <c r="CC315" s="140" t="s">
        <v>77</v>
      </c>
      <c r="CD315" s="17">
        <v>1</v>
      </c>
      <c r="CE315" s="119"/>
      <c r="CF315" s="140" t="s">
        <v>77</v>
      </c>
      <c r="CG315" s="39">
        <v>1</v>
      </c>
      <c r="CH315" s="116"/>
      <c r="CI315" s="143" t="s">
        <v>77</v>
      </c>
      <c r="CJ315" s="33">
        <v>1</v>
      </c>
      <c r="CK315" s="38">
        <v>1</v>
      </c>
      <c r="CL315" s="38">
        <v>0</v>
      </c>
      <c r="CM315" s="38">
        <v>0</v>
      </c>
      <c r="CN315" s="140" t="s">
        <v>82</v>
      </c>
    </row>
    <row r="316" spans="1:92" ht="15.75" customHeight="1" x14ac:dyDescent="0.15">
      <c r="A316" s="141" t="s">
        <v>574</v>
      </c>
      <c r="B316" s="142" t="s">
        <v>29</v>
      </c>
      <c r="C316" s="17">
        <v>2</v>
      </c>
      <c r="D316" s="116"/>
      <c r="E316" s="140" t="s">
        <v>55</v>
      </c>
      <c r="F316" s="17">
        <v>1</v>
      </c>
      <c r="G316" s="116"/>
      <c r="H316" s="140" t="s">
        <v>31</v>
      </c>
      <c r="I316" s="17">
        <v>3</v>
      </c>
      <c r="J316" s="116"/>
      <c r="K316" s="145" t="s">
        <v>56</v>
      </c>
      <c r="L316" s="17">
        <v>2</v>
      </c>
      <c r="M316" s="116"/>
      <c r="N316" s="140" t="s">
        <v>33</v>
      </c>
      <c r="O316" s="17">
        <v>1</v>
      </c>
      <c r="P316" s="116"/>
      <c r="Q316" s="140" t="s">
        <v>34</v>
      </c>
      <c r="R316" s="17">
        <v>1</v>
      </c>
      <c r="S316" s="116"/>
      <c r="T316" s="140" t="s">
        <v>57</v>
      </c>
      <c r="U316" s="17">
        <v>2</v>
      </c>
      <c r="V316" s="116"/>
      <c r="W316" s="143" t="s">
        <v>36</v>
      </c>
      <c r="X316" s="17">
        <v>1</v>
      </c>
      <c r="Y316" s="116"/>
      <c r="Z316" s="140" t="s">
        <v>58</v>
      </c>
      <c r="AA316" s="17">
        <v>3</v>
      </c>
      <c r="AB316" s="116"/>
      <c r="AC316" s="140" t="s">
        <v>38</v>
      </c>
      <c r="AD316" s="39">
        <v>2</v>
      </c>
      <c r="AE316" s="116"/>
      <c r="AF316" s="140" t="s">
        <v>83</v>
      </c>
      <c r="AG316" s="17">
        <v>3</v>
      </c>
      <c r="AH316" s="116"/>
      <c r="AI316" s="140" t="s">
        <v>94</v>
      </c>
      <c r="AJ316" s="25">
        <v>2</v>
      </c>
      <c r="AK316" s="129"/>
      <c r="AL316" s="140" t="s">
        <v>71</v>
      </c>
      <c r="AM316" s="17">
        <v>3</v>
      </c>
      <c r="AN316" s="116"/>
      <c r="AO316" s="140" t="s">
        <v>42</v>
      </c>
      <c r="AP316" s="39">
        <v>4</v>
      </c>
      <c r="AQ316" s="116"/>
      <c r="AR316" s="140" t="s">
        <v>43</v>
      </c>
      <c r="AS316" s="17">
        <v>1</v>
      </c>
      <c r="AT316" s="116"/>
      <c r="AU316" s="140" t="s">
        <v>86</v>
      </c>
      <c r="AV316" s="17">
        <v>0</v>
      </c>
      <c r="AW316" s="116"/>
      <c r="AX316" s="140" t="s">
        <v>73</v>
      </c>
      <c r="AY316" s="39">
        <v>3</v>
      </c>
      <c r="AZ316" s="116"/>
      <c r="BA316" s="140" t="s">
        <v>46</v>
      </c>
      <c r="BB316" s="17">
        <v>0</v>
      </c>
      <c r="BC316" s="17">
        <v>1</v>
      </c>
      <c r="BD316" s="17">
        <v>1</v>
      </c>
      <c r="BE316" s="17">
        <v>0</v>
      </c>
      <c r="BF316" s="17">
        <v>0</v>
      </c>
      <c r="BG316" s="17">
        <v>0</v>
      </c>
      <c r="BH316" s="142" t="s">
        <v>105</v>
      </c>
      <c r="BI316" s="17">
        <v>0</v>
      </c>
      <c r="BJ316" s="134"/>
      <c r="BK316" s="140" t="s">
        <v>75</v>
      </c>
      <c r="BL316" s="17">
        <v>2</v>
      </c>
      <c r="BM316" s="116"/>
      <c r="BN316" s="140" t="s">
        <v>64</v>
      </c>
      <c r="BO316" s="17">
        <v>1</v>
      </c>
      <c r="BP316" s="119"/>
      <c r="BQ316" s="140" t="s">
        <v>50</v>
      </c>
      <c r="BR316" s="17">
        <v>2</v>
      </c>
      <c r="BS316" s="117"/>
      <c r="BT316" s="140" t="s">
        <v>65</v>
      </c>
      <c r="BU316" s="17">
        <v>0</v>
      </c>
      <c r="BV316" s="116"/>
      <c r="BW316" s="140" t="s">
        <v>88</v>
      </c>
      <c r="BX316" s="17">
        <v>3</v>
      </c>
      <c r="BY316" s="116"/>
      <c r="BZ316" s="140" t="s">
        <v>52</v>
      </c>
      <c r="CA316" s="39">
        <v>3</v>
      </c>
      <c r="CB316" s="116"/>
      <c r="CC316" s="140" t="s">
        <v>36</v>
      </c>
      <c r="CD316" s="17">
        <v>1</v>
      </c>
      <c r="CE316" s="119"/>
      <c r="CF316" s="140" t="s">
        <v>77</v>
      </c>
      <c r="CG316" s="39">
        <v>1</v>
      </c>
      <c r="CH316" s="116"/>
      <c r="CI316" s="143" t="s">
        <v>77</v>
      </c>
      <c r="CJ316" s="33">
        <v>0</v>
      </c>
      <c r="CK316" s="38">
        <v>1</v>
      </c>
      <c r="CL316" s="38">
        <v>1</v>
      </c>
      <c r="CM316" s="38">
        <v>0</v>
      </c>
      <c r="CN316" s="140" t="s">
        <v>98</v>
      </c>
    </row>
    <row r="317" spans="1:92" ht="15.75" customHeight="1" x14ac:dyDescent="0.15">
      <c r="A317" s="141" t="s">
        <v>575</v>
      </c>
      <c r="B317" s="142" t="s">
        <v>29</v>
      </c>
      <c r="C317" s="17">
        <v>3</v>
      </c>
      <c r="D317" s="116"/>
      <c r="E317" s="140" t="s">
        <v>90</v>
      </c>
      <c r="F317" s="17">
        <v>1</v>
      </c>
      <c r="G317" s="116"/>
      <c r="H317" s="140" t="s">
        <v>31</v>
      </c>
      <c r="I317" s="17">
        <v>1</v>
      </c>
      <c r="J317" s="116"/>
      <c r="K317" s="145" t="s">
        <v>32</v>
      </c>
      <c r="L317" s="17">
        <v>2</v>
      </c>
      <c r="M317" s="116"/>
      <c r="N317" s="140" t="s">
        <v>33</v>
      </c>
      <c r="O317" s="17">
        <v>1</v>
      </c>
      <c r="P317" s="116"/>
      <c r="Q317" s="140" t="s">
        <v>34</v>
      </c>
      <c r="R317" s="17">
        <v>1</v>
      </c>
      <c r="S317" s="116"/>
      <c r="T317" s="140" t="s">
        <v>57</v>
      </c>
      <c r="U317" s="17">
        <v>2</v>
      </c>
      <c r="V317" s="116"/>
      <c r="W317" s="143" t="s">
        <v>36</v>
      </c>
      <c r="X317" s="17">
        <v>1</v>
      </c>
      <c r="Y317" s="116"/>
      <c r="Z317" s="140" t="s">
        <v>58</v>
      </c>
      <c r="AA317" s="17">
        <v>3</v>
      </c>
      <c r="AB317" s="116"/>
      <c r="AC317" s="140" t="s">
        <v>38</v>
      </c>
      <c r="AD317" s="39">
        <v>2</v>
      </c>
      <c r="AE317" s="116"/>
      <c r="AF317" s="140" t="s">
        <v>83</v>
      </c>
      <c r="AG317" s="17">
        <v>3</v>
      </c>
      <c r="AH317" s="116"/>
      <c r="AI317" s="140" t="s">
        <v>94</v>
      </c>
      <c r="AJ317" s="25">
        <v>0</v>
      </c>
      <c r="AK317" s="129"/>
      <c r="AL317" s="140" t="s">
        <v>85</v>
      </c>
      <c r="AM317" s="17">
        <v>2</v>
      </c>
      <c r="AN317" s="116"/>
      <c r="AO317" s="140" t="s">
        <v>72</v>
      </c>
      <c r="AP317" s="39">
        <v>3</v>
      </c>
      <c r="AQ317" s="116"/>
      <c r="AR317" s="140" t="s">
        <v>61</v>
      </c>
      <c r="AS317" s="17">
        <v>2</v>
      </c>
      <c r="AT317" s="116"/>
      <c r="AU317" s="140" t="s">
        <v>44</v>
      </c>
      <c r="AV317" s="17">
        <v>0</v>
      </c>
      <c r="AW317" s="116"/>
      <c r="AX317" s="140" t="s">
        <v>62</v>
      </c>
      <c r="AY317" s="39">
        <v>2</v>
      </c>
      <c r="AZ317" s="116"/>
      <c r="BA317" s="140" t="s">
        <v>59</v>
      </c>
      <c r="BB317" s="17">
        <v>1</v>
      </c>
      <c r="BC317" s="17">
        <v>0</v>
      </c>
      <c r="BD317" s="17">
        <v>1</v>
      </c>
      <c r="BE317" s="17">
        <v>0</v>
      </c>
      <c r="BF317" s="17">
        <v>0</v>
      </c>
      <c r="BG317" s="17">
        <v>0</v>
      </c>
      <c r="BH317" s="142" t="s">
        <v>47</v>
      </c>
      <c r="BI317" s="17">
        <v>0</v>
      </c>
      <c r="BJ317" s="134"/>
      <c r="BK317" s="140" t="s">
        <v>75</v>
      </c>
      <c r="BL317" s="17">
        <v>3</v>
      </c>
      <c r="BM317" s="116"/>
      <c r="BN317" s="140" t="s">
        <v>49</v>
      </c>
      <c r="BO317" s="17">
        <v>1</v>
      </c>
      <c r="BP317" s="119"/>
      <c r="BQ317" s="140" t="s">
        <v>50</v>
      </c>
      <c r="BR317" s="17">
        <v>1</v>
      </c>
      <c r="BS317" s="117"/>
      <c r="BT317" s="140" t="s">
        <v>69</v>
      </c>
      <c r="BU317" s="17">
        <v>2</v>
      </c>
      <c r="BV317" s="116"/>
      <c r="BW317" s="140" t="s">
        <v>51</v>
      </c>
      <c r="BX317" s="17">
        <v>3</v>
      </c>
      <c r="BY317" s="116"/>
      <c r="BZ317" s="140" t="s">
        <v>52</v>
      </c>
      <c r="CA317" s="39">
        <v>0</v>
      </c>
      <c r="CB317" s="116"/>
      <c r="CC317" s="140" t="s">
        <v>49</v>
      </c>
      <c r="CD317" s="17">
        <v>0</v>
      </c>
      <c r="CE317" s="119"/>
      <c r="CF317" s="140" t="s">
        <v>49</v>
      </c>
      <c r="CG317" s="39">
        <v>2</v>
      </c>
      <c r="CH317" s="116"/>
      <c r="CI317" s="143" t="s">
        <v>78</v>
      </c>
      <c r="CJ317" s="33">
        <v>0</v>
      </c>
      <c r="CK317" s="38">
        <v>0</v>
      </c>
      <c r="CL317" s="38">
        <v>0</v>
      </c>
      <c r="CM317" s="38">
        <v>1</v>
      </c>
      <c r="CN317" s="140" t="s">
        <v>612</v>
      </c>
    </row>
    <row r="318" spans="1:92" ht="15.75" customHeight="1" x14ac:dyDescent="0.15">
      <c r="A318" s="141" t="s">
        <v>576</v>
      </c>
      <c r="B318" s="142" t="s">
        <v>29</v>
      </c>
      <c r="C318" s="17">
        <v>4</v>
      </c>
      <c r="D318" s="116"/>
      <c r="E318" s="140" t="s">
        <v>127</v>
      </c>
      <c r="F318" s="17">
        <v>2</v>
      </c>
      <c r="G318" s="116"/>
      <c r="H318" s="140" t="s">
        <v>91</v>
      </c>
      <c r="I318" s="17">
        <v>3</v>
      </c>
      <c r="J318" s="116"/>
      <c r="K318" s="145" t="s">
        <v>56</v>
      </c>
      <c r="L318" s="17">
        <v>1</v>
      </c>
      <c r="M318" s="116"/>
      <c r="N318" s="140" t="s">
        <v>124</v>
      </c>
      <c r="O318" s="17">
        <v>1</v>
      </c>
      <c r="P318" s="116"/>
      <c r="Q318" s="140" t="s">
        <v>34</v>
      </c>
      <c r="R318" s="17">
        <v>0</v>
      </c>
      <c r="S318" s="116"/>
      <c r="T318" s="140" t="s">
        <v>49</v>
      </c>
      <c r="U318" s="17">
        <v>0</v>
      </c>
      <c r="V318" s="116"/>
      <c r="W318" s="143" t="s">
        <v>77</v>
      </c>
      <c r="X318" s="17">
        <v>0</v>
      </c>
      <c r="Y318" s="116"/>
      <c r="Z318" s="147" t="s">
        <v>593</v>
      </c>
      <c r="AA318" s="17">
        <v>0</v>
      </c>
      <c r="AB318" s="116"/>
      <c r="AC318" s="140" t="s">
        <v>46</v>
      </c>
      <c r="AD318" s="39">
        <v>5</v>
      </c>
      <c r="AE318" s="116"/>
      <c r="AF318" s="140" t="s">
        <v>594</v>
      </c>
      <c r="AG318" s="17">
        <v>0</v>
      </c>
      <c r="AH318" s="116"/>
      <c r="AI318" s="140" t="s">
        <v>84</v>
      </c>
      <c r="AJ318" s="25">
        <v>0</v>
      </c>
      <c r="AK318" s="129"/>
      <c r="AL318" s="140" t="s">
        <v>85</v>
      </c>
      <c r="AM318" s="17">
        <v>0</v>
      </c>
      <c r="AN318" s="116"/>
      <c r="AO318" s="140" t="s">
        <v>110</v>
      </c>
      <c r="AP318" s="39">
        <v>3</v>
      </c>
      <c r="AQ318" s="116"/>
      <c r="AR318" s="140" t="s">
        <v>61</v>
      </c>
      <c r="AS318" s="17">
        <v>0</v>
      </c>
      <c r="AT318" s="116"/>
      <c r="AU318" s="146" t="s">
        <v>597</v>
      </c>
      <c r="AV318" s="17">
        <v>0</v>
      </c>
      <c r="AW318" s="116"/>
      <c r="AX318" s="147" t="s">
        <v>599</v>
      </c>
      <c r="AY318" s="39">
        <v>0</v>
      </c>
      <c r="AZ318" s="116"/>
      <c r="BA318" s="140" t="s">
        <v>38</v>
      </c>
      <c r="BB318" s="17">
        <v>1</v>
      </c>
      <c r="BC318" s="17">
        <v>0</v>
      </c>
      <c r="BD318" s="17">
        <v>0</v>
      </c>
      <c r="BE318" s="17">
        <v>1</v>
      </c>
      <c r="BF318" s="17">
        <v>0</v>
      </c>
      <c r="BG318" s="17">
        <v>0</v>
      </c>
      <c r="BH318" s="142" t="s">
        <v>95</v>
      </c>
      <c r="BI318" s="17">
        <v>0</v>
      </c>
      <c r="BJ318" s="134"/>
      <c r="BK318" s="140" t="s">
        <v>75</v>
      </c>
      <c r="BL318" s="17">
        <v>0</v>
      </c>
      <c r="BM318" s="116"/>
      <c r="BN318" s="140" t="s">
        <v>36</v>
      </c>
      <c r="BO318" s="17"/>
      <c r="BP318" s="119"/>
      <c r="BQ318" s="146" t="s">
        <v>603</v>
      </c>
      <c r="BR318" s="17">
        <v>0</v>
      </c>
      <c r="BS318" s="117"/>
      <c r="BT318" s="140" t="s">
        <v>46</v>
      </c>
      <c r="BU318" s="112">
        <v>0</v>
      </c>
      <c r="BV318" s="116"/>
      <c r="BW318" s="147" t="s">
        <v>605</v>
      </c>
      <c r="BX318" s="17">
        <v>0</v>
      </c>
      <c r="BY318" s="116"/>
      <c r="BZ318" s="147" t="s">
        <v>609</v>
      </c>
      <c r="CA318" s="39">
        <v>0</v>
      </c>
      <c r="CB318" s="116"/>
      <c r="CC318" s="140" t="s">
        <v>49</v>
      </c>
      <c r="CD318" s="17">
        <v>0</v>
      </c>
      <c r="CE318" s="119"/>
      <c r="CF318" s="140" t="s">
        <v>49</v>
      </c>
      <c r="CG318" s="39">
        <v>2</v>
      </c>
      <c r="CH318" s="116"/>
      <c r="CI318" s="143" t="s">
        <v>78</v>
      </c>
      <c r="CJ318" s="33">
        <v>0</v>
      </c>
      <c r="CK318" s="38">
        <v>0</v>
      </c>
      <c r="CL318" s="38">
        <v>0</v>
      </c>
      <c r="CM318" s="38">
        <v>1</v>
      </c>
      <c r="CN318" s="140" t="s">
        <v>613</v>
      </c>
    </row>
    <row r="319" spans="1:92" ht="15.75" customHeight="1" x14ac:dyDescent="0.15">
      <c r="A319" s="141" t="s">
        <v>577</v>
      </c>
      <c r="B319" s="142" t="s">
        <v>29</v>
      </c>
      <c r="C319" s="17">
        <v>3</v>
      </c>
      <c r="D319" s="116"/>
      <c r="E319" s="140" t="s">
        <v>90</v>
      </c>
      <c r="F319" s="17">
        <v>1</v>
      </c>
      <c r="G319" s="116"/>
      <c r="H319" s="140" t="s">
        <v>31</v>
      </c>
      <c r="I319" s="17">
        <v>2</v>
      </c>
      <c r="J319" s="116"/>
      <c r="K319" s="145" t="s">
        <v>116</v>
      </c>
      <c r="L319" s="17">
        <v>2</v>
      </c>
      <c r="M319" s="116"/>
      <c r="N319" s="140" t="s">
        <v>33</v>
      </c>
      <c r="O319" s="17">
        <v>1</v>
      </c>
      <c r="P319" s="116"/>
      <c r="Q319" s="140" t="s">
        <v>34</v>
      </c>
      <c r="R319" s="17">
        <v>2</v>
      </c>
      <c r="S319" s="116"/>
      <c r="T319" s="140" t="s">
        <v>35</v>
      </c>
      <c r="U319" s="17">
        <v>1</v>
      </c>
      <c r="V319" s="116"/>
      <c r="W319" s="143" t="s">
        <v>92</v>
      </c>
      <c r="X319" s="17">
        <v>1</v>
      </c>
      <c r="Y319" s="116"/>
      <c r="Z319" s="140" t="s">
        <v>58</v>
      </c>
      <c r="AA319" s="17">
        <v>2</v>
      </c>
      <c r="AB319" s="116"/>
      <c r="AC319" s="140" t="s">
        <v>59</v>
      </c>
      <c r="AD319" s="39">
        <v>4</v>
      </c>
      <c r="AE319" s="116"/>
      <c r="AF319" s="140" t="s">
        <v>93</v>
      </c>
      <c r="AG319" s="17">
        <v>0</v>
      </c>
      <c r="AH319" s="116"/>
      <c r="AI319" s="140" t="s">
        <v>84</v>
      </c>
      <c r="AJ319" s="25">
        <v>3</v>
      </c>
      <c r="AK319" s="129"/>
      <c r="AL319" s="140" t="s">
        <v>41</v>
      </c>
      <c r="AM319" s="17">
        <v>1</v>
      </c>
      <c r="AN319" s="116"/>
      <c r="AO319" s="140" t="s">
        <v>130</v>
      </c>
      <c r="AP319" s="39">
        <v>3</v>
      </c>
      <c r="AQ319" s="116"/>
      <c r="AR319" s="140" t="s">
        <v>61</v>
      </c>
      <c r="AS319" s="17">
        <v>2</v>
      </c>
      <c r="AT319" s="116"/>
      <c r="AU319" s="140" t="s">
        <v>44</v>
      </c>
      <c r="AV319" s="17">
        <v>1</v>
      </c>
      <c r="AW319" s="116"/>
      <c r="AX319" s="140" t="s">
        <v>45</v>
      </c>
      <c r="AY319" s="39">
        <v>3</v>
      </c>
      <c r="AZ319" s="116"/>
      <c r="BA319" s="140" t="s">
        <v>46</v>
      </c>
      <c r="BB319" s="17">
        <v>1</v>
      </c>
      <c r="BC319" s="17">
        <v>0</v>
      </c>
      <c r="BD319" s="17">
        <v>1</v>
      </c>
      <c r="BE319" s="17">
        <v>0</v>
      </c>
      <c r="BF319" s="17">
        <v>0</v>
      </c>
      <c r="BG319" s="17">
        <v>0</v>
      </c>
      <c r="BH319" s="142" t="s">
        <v>47</v>
      </c>
      <c r="BI319" s="17">
        <v>1</v>
      </c>
      <c r="BJ319" s="134"/>
      <c r="BK319" s="140" t="s">
        <v>96</v>
      </c>
      <c r="BL319" s="17">
        <v>2</v>
      </c>
      <c r="BM319" s="116"/>
      <c r="BN319" s="140" t="s">
        <v>64</v>
      </c>
      <c r="BO319" s="17">
        <v>2</v>
      </c>
      <c r="BP319" s="119"/>
      <c r="BQ319" s="143" t="s">
        <v>604</v>
      </c>
      <c r="BR319" s="17">
        <v>2</v>
      </c>
      <c r="BS319" s="117"/>
      <c r="BT319" s="140" t="s">
        <v>65</v>
      </c>
      <c r="BU319" s="112">
        <v>0</v>
      </c>
      <c r="BV319" s="116"/>
      <c r="BW319" s="147" t="s">
        <v>606</v>
      </c>
      <c r="BX319" s="17">
        <v>0</v>
      </c>
      <c r="BY319" s="116"/>
      <c r="BZ319" s="140" t="s">
        <v>119</v>
      </c>
      <c r="CA319" s="39">
        <v>3</v>
      </c>
      <c r="CB319" s="116"/>
      <c r="CC319" s="140" t="s">
        <v>36</v>
      </c>
      <c r="CD319" s="17">
        <v>0</v>
      </c>
      <c r="CE319" s="119"/>
      <c r="CF319" s="140" t="s">
        <v>49</v>
      </c>
      <c r="CG319" s="39">
        <v>3</v>
      </c>
      <c r="CH319" s="116"/>
      <c r="CI319" s="143" t="s">
        <v>53</v>
      </c>
      <c r="CJ319" s="33">
        <v>1</v>
      </c>
      <c r="CK319" s="38">
        <v>1</v>
      </c>
      <c r="CL319" s="38">
        <v>0</v>
      </c>
      <c r="CM319" s="38">
        <v>0</v>
      </c>
      <c r="CN319" s="140" t="s">
        <v>82</v>
      </c>
    </row>
    <row r="320" spans="1:92" ht="15.75" customHeight="1" x14ac:dyDescent="0.15">
      <c r="A320" s="141" t="s">
        <v>578</v>
      </c>
      <c r="B320" s="142" t="s">
        <v>29</v>
      </c>
      <c r="C320" s="17">
        <v>3</v>
      </c>
      <c r="D320" s="116"/>
      <c r="E320" s="140" t="s">
        <v>90</v>
      </c>
      <c r="F320" s="17">
        <v>2</v>
      </c>
      <c r="G320" s="116"/>
      <c r="H320" s="140" t="s">
        <v>91</v>
      </c>
      <c r="I320" s="17">
        <v>1</v>
      </c>
      <c r="J320" s="116"/>
      <c r="K320" s="145" t="s">
        <v>32</v>
      </c>
      <c r="L320" s="17">
        <v>2</v>
      </c>
      <c r="M320" s="116"/>
      <c r="N320" s="140" t="s">
        <v>33</v>
      </c>
      <c r="O320" s="17">
        <v>1</v>
      </c>
      <c r="P320" s="116"/>
      <c r="Q320" s="140" t="s">
        <v>34</v>
      </c>
      <c r="R320" s="17">
        <v>2</v>
      </c>
      <c r="S320" s="116"/>
      <c r="T320" s="140" t="s">
        <v>35</v>
      </c>
      <c r="U320" s="17">
        <v>2</v>
      </c>
      <c r="V320" s="116"/>
      <c r="W320" s="143" t="s">
        <v>36</v>
      </c>
      <c r="X320" s="17">
        <v>2</v>
      </c>
      <c r="Y320" s="116"/>
      <c r="Z320" s="140" t="s">
        <v>37</v>
      </c>
      <c r="AA320" s="17">
        <v>3</v>
      </c>
      <c r="AB320" s="116"/>
      <c r="AC320" s="140" t="s">
        <v>38</v>
      </c>
      <c r="AD320" s="148">
        <v>1</v>
      </c>
      <c r="AE320" s="116"/>
      <c r="AF320" s="147" t="s">
        <v>595</v>
      </c>
      <c r="AG320" s="17">
        <v>0</v>
      </c>
      <c r="AH320" s="116"/>
      <c r="AI320" s="140" t="s">
        <v>84</v>
      </c>
      <c r="AJ320" s="25">
        <v>0</v>
      </c>
      <c r="AK320" s="129"/>
      <c r="AL320" s="140" t="s">
        <v>85</v>
      </c>
      <c r="AM320" s="17">
        <v>3</v>
      </c>
      <c r="AN320" s="116"/>
      <c r="AO320" s="140" t="s">
        <v>42</v>
      </c>
      <c r="AP320" s="39">
        <v>3</v>
      </c>
      <c r="AQ320" s="116"/>
      <c r="AR320" s="140" t="s">
        <v>61</v>
      </c>
      <c r="AS320" s="17">
        <v>0</v>
      </c>
      <c r="AT320" s="116"/>
      <c r="AU320" s="140" t="s">
        <v>102</v>
      </c>
      <c r="AV320" s="17">
        <v>1</v>
      </c>
      <c r="AW320" s="116"/>
      <c r="AX320" s="140" t="s">
        <v>45</v>
      </c>
      <c r="AY320" s="39">
        <v>1</v>
      </c>
      <c r="AZ320" s="116"/>
      <c r="BA320" s="140" t="s">
        <v>69</v>
      </c>
      <c r="BB320" s="17">
        <v>1</v>
      </c>
      <c r="BC320" s="17">
        <v>0</v>
      </c>
      <c r="BD320" s="17">
        <v>1</v>
      </c>
      <c r="BE320" s="17">
        <v>0</v>
      </c>
      <c r="BF320" s="17">
        <v>0</v>
      </c>
      <c r="BG320" s="17">
        <v>0</v>
      </c>
      <c r="BH320" s="142" t="s">
        <v>47</v>
      </c>
      <c r="BI320" s="17">
        <v>0</v>
      </c>
      <c r="BJ320" s="134"/>
      <c r="BK320" s="140" t="s">
        <v>75</v>
      </c>
      <c r="BL320" s="17">
        <v>1</v>
      </c>
      <c r="BM320" s="116"/>
      <c r="BN320" s="140" t="s">
        <v>59</v>
      </c>
      <c r="BO320" s="17">
        <v>0</v>
      </c>
      <c r="BP320" s="119"/>
      <c r="BQ320" s="140" t="s">
        <v>87</v>
      </c>
      <c r="BR320" s="17">
        <v>1</v>
      </c>
      <c r="BS320" s="117"/>
      <c r="BT320" s="140" t="s">
        <v>69</v>
      </c>
      <c r="BU320" s="17">
        <v>1</v>
      </c>
      <c r="BV320" s="116"/>
      <c r="BW320" s="140" t="s">
        <v>66</v>
      </c>
      <c r="BX320" s="17">
        <v>3</v>
      </c>
      <c r="BY320" s="116"/>
      <c r="BZ320" s="140" t="s">
        <v>52</v>
      </c>
      <c r="CA320" s="39">
        <v>3</v>
      </c>
      <c r="CB320" s="116"/>
      <c r="CC320" s="140" t="s">
        <v>36</v>
      </c>
      <c r="CD320" s="17">
        <v>0</v>
      </c>
      <c r="CE320" s="119"/>
      <c r="CF320" s="140" t="s">
        <v>49</v>
      </c>
      <c r="CG320" s="39">
        <v>3</v>
      </c>
      <c r="CH320" s="116"/>
      <c r="CI320" s="143" t="s">
        <v>53</v>
      </c>
      <c r="CJ320" s="33">
        <v>1</v>
      </c>
      <c r="CK320" s="38">
        <v>1</v>
      </c>
      <c r="CL320" s="38">
        <v>1</v>
      </c>
      <c r="CM320" s="38">
        <v>0</v>
      </c>
      <c r="CN320" s="140" t="s">
        <v>297</v>
      </c>
    </row>
    <row r="321" spans="1:92" ht="15.75" customHeight="1" x14ac:dyDescent="0.15">
      <c r="A321" s="141" t="s">
        <v>579</v>
      </c>
      <c r="B321" s="142" t="s">
        <v>29</v>
      </c>
      <c r="C321" s="17">
        <v>0</v>
      </c>
      <c r="D321" s="116"/>
      <c r="E321" s="140" t="s">
        <v>106</v>
      </c>
      <c r="F321" s="17">
        <v>0</v>
      </c>
      <c r="G321" s="116"/>
      <c r="H321" s="140" t="s">
        <v>193</v>
      </c>
      <c r="I321" s="17">
        <v>0</v>
      </c>
      <c r="J321" s="116"/>
      <c r="K321" s="145" t="s">
        <v>107</v>
      </c>
      <c r="L321" s="17">
        <v>0</v>
      </c>
      <c r="M321" s="116"/>
      <c r="N321" s="140" t="s">
        <v>145</v>
      </c>
      <c r="O321" s="17">
        <v>1</v>
      </c>
      <c r="P321" s="116"/>
      <c r="Q321" s="140" t="s">
        <v>34</v>
      </c>
      <c r="R321" s="17">
        <v>2</v>
      </c>
      <c r="S321" s="116"/>
      <c r="T321" s="140" t="s">
        <v>35</v>
      </c>
      <c r="U321" s="17">
        <v>0</v>
      </c>
      <c r="V321" s="116"/>
      <c r="W321" s="143" t="s">
        <v>77</v>
      </c>
      <c r="X321" s="17">
        <v>1</v>
      </c>
      <c r="Y321" s="116"/>
      <c r="Z321" s="140" t="s">
        <v>58</v>
      </c>
      <c r="AA321" s="17">
        <v>3</v>
      </c>
      <c r="AB321" s="116"/>
      <c r="AC321" s="140" t="s">
        <v>38</v>
      </c>
      <c r="AD321" s="39">
        <v>2</v>
      </c>
      <c r="AE321" s="116"/>
      <c r="AF321" s="140" t="s">
        <v>83</v>
      </c>
      <c r="AG321" s="17">
        <v>3</v>
      </c>
      <c r="AH321" s="116"/>
      <c r="AI321" s="140" t="s">
        <v>94</v>
      </c>
      <c r="AJ321" s="25">
        <v>3</v>
      </c>
      <c r="AK321" s="129"/>
      <c r="AL321" s="140" t="s">
        <v>41</v>
      </c>
      <c r="AM321" s="17">
        <v>2</v>
      </c>
      <c r="AN321" s="116"/>
      <c r="AO321" s="140" t="s">
        <v>72</v>
      </c>
      <c r="AP321" s="39">
        <v>4</v>
      </c>
      <c r="AQ321" s="116"/>
      <c r="AR321" s="140" t="s">
        <v>43</v>
      </c>
      <c r="AS321" s="17">
        <v>3</v>
      </c>
      <c r="AT321" s="116"/>
      <c r="AU321" s="140" t="s">
        <v>79</v>
      </c>
      <c r="AV321" s="17">
        <v>0</v>
      </c>
      <c r="AW321" s="116"/>
      <c r="AX321" s="140" t="s">
        <v>62</v>
      </c>
      <c r="AY321" s="39">
        <v>2</v>
      </c>
      <c r="AZ321" s="116"/>
      <c r="BA321" s="140" t="s">
        <v>59</v>
      </c>
      <c r="BB321" s="17">
        <v>1</v>
      </c>
      <c r="BC321" s="17">
        <v>0</v>
      </c>
      <c r="BD321" s="17">
        <v>1</v>
      </c>
      <c r="BE321" s="17">
        <v>0</v>
      </c>
      <c r="BF321" s="17">
        <v>0</v>
      </c>
      <c r="BG321" s="17">
        <v>0</v>
      </c>
      <c r="BH321" s="142" t="s">
        <v>47</v>
      </c>
      <c r="BI321" s="17">
        <v>0</v>
      </c>
      <c r="BJ321" s="134"/>
      <c r="BK321" s="140" t="s">
        <v>75</v>
      </c>
      <c r="BL321" s="17">
        <v>2</v>
      </c>
      <c r="BM321" s="116"/>
      <c r="BN321" s="140" t="s">
        <v>64</v>
      </c>
      <c r="BO321" s="17">
        <v>1</v>
      </c>
      <c r="BP321" s="119"/>
      <c r="BQ321" s="140" t="s">
        <v>50</v>
      </c>
      <c r="BR321" s="17">
        <v>3</v>
      </c>
      <c r="BS321" s="117"/>
      <c r="BT321" s="140" t="s">
        <v>38</v>
      </c>
      <c r="BU321" s="17">
        <v>0</v>
      </c>
      <c r="BV321" s="116"/>
      <c r="BW321" s="140" t="s">
        <v>147</v>
      </c>
      <c r="BX321" s="17">
        <v>3</v>
      </c>
      <c r="BY321" s="116"/>
      <c r="BZ321" s="140" t="s">
        <v>52</v>
      </c>
      <c r="CA321" s="39">
        <v>3</v>
      </c>
      <c r="CB321" s="116"/>
      <c r="CC321" s="140" t="s">
        <v>36</v>
      </c>
      <c r="CD321" s="17">
        <v>1</v>
      </c>
      <c r="CE321" s="119"/>
      <c r="CF321" s="140" t="s">
        <v>77</v>
      </c>
      <c r="CG321" s="39">
        <v>3</v>
      </c>
      <c r="CH321" s="116"/>
      <c r="CI321" s="143" t="s">
        <v>53</v>
      </c>
      <c r="CJ321" s="33">
        <v>0</v>
      </c>
      <c r="CK321" s="38">
        <v>1</v>
      </c>
      <c r="CL321" s="38">
        <v>1</v>
      </c>
      <c r="CM321" s="38">
        <v>0</v>
      </c>
      <c r="CN321" s="140" t="s">
        <v>98</v>
      </c>
    </row>
    <row r="322" spans="1:92" ht="15.75" customHeight="1" x14ac:dyDescent="0.15">
      <c r="A322" s="141" t="s">
        <v>580</v>
      </c>
      <c r="B322" s="142" t="s">
        <v>29</v>
      </c>
      <c r="C322" s="17">
        <v>2</v>
      </c>
      <c r="D322" s="116"/>
      <c r="E322" s="140" t="s">
        <v>55</v>
      </c>
      <c r="F322" s="17">
        <v>1</v>
      </c>
      <c r="G322" s="116"/>
      <c r="H322" s="140" t="s">
        <v>31</v>
      </c>
      <c r="I322" s="17">
        <v>3</v>
      </c>
      <c r="J322" s="116"/>
      <c r="K322" s="145" t="s">
        <v>56</v>
      </c>
      <c r="L322" s="17">
        <v>2</v>
      </c>
      <c r="M322" s="116"/>
      <c r="N322" s="140" t="s">
        <v>33</v>
      </c>
      <c r="O322" s="17">
        <v>1</v>
      </c>
      <c r="P322" s="116"/>
      <c r="Q322" s="140" t="s">
        <v>34</v>
      </c>
      <c r="R322" s="17">
        <v>2</v>
      </c>
      <c r="S322" s="116"/>
      <c r="T322" s="140" t="s">
        <v>35</v>
      </c>
      <c r="U322" s="17">
        <v>2</v>
      </c>
      <c r="V322" s="116"/>
      <c r="W322" s="143" t="s">
        <v>36</v>
      </c>
      <c r="X322" s="17">
        <v>1</v>
      </c>
      <c r="Y322" s="116"/>
      <c r="Z322" s="140" t="s">
        <v>58</v>
      </c>
      <c r="AA322" s="17">
        <v>2</v>
      </c>
      <c r="AB322" s="116"/>
      <c r="AC322" s="140" t="s">
        <v>59</v>
      </c>
      <c r="AD322" s="39">
        <v>4</v>
      </c>
      <c r="AE322" s="116"/>
      <c r="AF322" s="140" t="s">
        <v>93</v>
      </c>
      <c r="AG322" s="17">
        <v>3</v>
      </c>
      <c r="AH322" s="116"/>
      <c r="AI322" s="140" t="s">
        <v>94</v>
      </c>
      <c r="AJ322" s="25">
        <v>2</v>
      </c>
      <c r="AK322" s="129"/>
      <c r="AL322" s="140" t="s">
        <v>71</v>
      </c>
      <c r="AM322" s="17">
        <v>3</v>
      </c>
      <c r="AN322" s="116"/>
      <c r="AO322" s="140" t="s">
        <v>42</v>
      </c>
      <c r="AP322" s="39">
        <v>3</v>
      </c>
      <c r="AQ322" s="116"/>
      <c r="AR322" s="140" t="s">
        <v>61</v>
      </c>
      <c r="AS322" s="17">
        <v>2</v>
      </c>
      <c r="AT322" s="116"/>
      <c r="AU322" s="140" t="s">
        <v>44</v>
      </c>
      <c r="AV322" s="17">
        <v>2</v>
      </c>
      <c r="AW322" s="116"/>
      <c r="AX322" s="140" t="s">
        <v>80</v>
      </c>
      <c r="AY322" s="39">
        <v>1</v>
      </c>
      <c r="AZ322" s="116"/>
      <c r="BA322" s="140" t="s">
        <v>69</v>
      </c>
      <c r="BB322" s="17">
        <v>1</v>
      </c>
      <c r="BC322" s="17">
        <v>0</v>
      </c>
      <c r="BD322" s="17">
        <v>1</v>
      </c>
      <c r="BE322" s="17">
        <v>0</v>
      </c>
      <c r="BF322" s="17">
        <v>0</v>
      </c>
      <c r="BG322" s="17">
        <v>0</v>
      </c>
      <c r="BH322" s="142" t="s">
        <v>47</v>
      </c>
      <c r="BI322" s="17">
        <v>0</v>
      </c>
      <c r="BJ322" s="134"/>
      <c r="BK322" s="140" t="s">
        <v>75</v>
      </c>
      <c r="BL322" s="17">
        <v>1</v>
      </c>
      <c r="BM322" s="116"/>
      <c r="BN322" s="140" t="s">
        <v>59</v>
      </c>
      <c r="BO322" s="17">
        <v>2</v>
      </c>
      <c r="BP322" s="119"/>
      <c r="BQ322" s="140" t="s">
        <v>117</v>
      </c>
      <c r="BR322" s="17">
        <v>2</v>
      </c>
      <c r="BS322" s="117"/>
      <c r="BT322" s="140" t="s">
        <v>65</v>
      </c>
      <c r="BU322" s="17">
        <v>2</v>
      </c>
      <c r="BV322" s="116"/>
      <c r="BW322" s="140" t="s">
        <v>51</v>
      </c>
      <c r="BX322" s="17">
        <v>3</v>
      </c>
      <c r="BY322" s="116"/>
      <c r="BZ322" s="140" t="s">
        <v>52</v>
      </c>
      <c r="CA322" s="39">
        <v>2</v>
      </c>
      <c r="CB322" s="116"/>
      <c r="CC322" s="140" t="s">
        <v>76</v>
      </c>
      <c r="CD322" s="17">
        <v>0</v>
      </c>
      <c r="CE322" s="119"/>
      <c r="CF322" s="140" t="s">
        <v>49</v>
      </c>
      <c r="CG322" s="39">
        <v>2</v>
      </c>
      <c r="CH322" s="116"/>
      <c r="CI322" s="143" t="s">
        <v>78</v>
      </c>
      <c r="CJ322" s="33">
        <v>1</v>
      </c>
      <c r="CK322" s="38">
        <v>1</v>
      </c>
      <c r="CL322" s="38">
        <v>0</v>
      </c>
      <c r="CM322" s="38">
        <v>0</v>
      </c>
      <c r="CN322" s="140" t="s">
        <v>68</v>
      </c>
    </row>
    <row r="323" spans="1:92" ht="15.75" customHeight="1" x14ac:dyDescent="0.15">
      <c r="A323" s="141" t="s">
        <v>581</v>
      </c>
      <c r="B323" s="142" t="s">
        <v>29</v>
      </c>
      <c r="C323" s="17">
        <v>3</v>
      </c>
      <c r="D323" s="116"/>
      <c r="E323" s="140" t="s">
        <v>90</v>
      </c>
      <c r="F323" s="17">
        <v>1</v>
      </c>
      <c r="G323" s="116"/>
      <c r="H323" s="140" t="s">
        <v>31</v>
      </c>
      <c r="I323" s="17">
        <v>2</v>
      </c>
      <c r="J323" s="116"/>
      <c r="K323" s="145" t="s">
        <v>116</v>
      </c>
      <c r="L323" s="17">
        <v>2</v>
      </c>
      <c r="M323" s="116"/>
      <c r="N323" s="140" t="s">
        <v>33</v>
      </c>
      <c r="O323" s="17">
        <v>1</v>
      </c>
      <c r="P323" s="116"/>
      <c r="Q323" s="140" t="s">
        <v>34</v>
      </c>
      <c r="R323" s="17">
        <v>2</v>
      </c>
      <c r="S323" s="116"/>
      <c r="T323" s="140" t="s">
        <v>35</v>
      </c>
      <c r="U323" s="17">
        <v>2</v>
      </c>
      <c r="V323" s="116"/>
      <c r="W323" s="143" t="s">
        <v>36</v>
      </c>
      <c r="X323" s="17">
        <v>1</v>
      </c>
      <c r="Y323" s="116"/>
      <c r="Z323" s="140" t="s">
        <v>58</v>
      </c>
      <c r="AA323" s="17">
        <v>2</v>
      </c>
      <c r="AB323" s="116"/>
      <c r="AC323" s="140" t="s">
        <v>59</v>
      </c>
      <c r="AD323" s="39">
        <v>2</v>
      </c>
      <c r="AE323" s="116"/>
      <c r="AF323" s="140" t="s">
        <v>83</v>
      </c>
      <c r="AG323" s="17">
        <v>0</v>
      </c>
      <c r="AH323" s="116"/>
      <c r="AI323" s="140" t="s">
        <v>84</v>
      </c>
      <c r="AJ323" s="25">
        <v>0</v>
      </c>
      <c r="AK323" s="129"/>
      <c r="AL323" s="140" t="s">
        <v>85</v>
      </c>
      <c r="AM323" s="17">
        <v>2</v>
      </c>
      <c r="AN323" s="116"/>
      <c r="AO323" s="140" t="s">
        <v>72</v>
      </c>
      <c r="AP323" s="39">
        <v>3</v>
      </c>
      <c r="AQ323" s="116"/>
      <c r="AR323" s="140" t="s">
        <v>61</v>
      </c>
      <c r="AS323" s="17">
        <v>2</v>
      </c>
      <c r="AT323" s="116"/>
      <c r="AU323" s="146" t="s">
        <v>598</v>
      </c>
      <c r="AV323" s="17">
        <v>2</v>
      </c>
      <c r="AW323" s="116"/>
      <c r="AX323" s="140" t="s">
        <v>80</v>
      </c>
      <c r="AY323" s="39">
        <v>3</v>
      </c>
      <c r="AZ323" s="116"/>
      <c r="BA323" s="140" t="s">
        <v>46</v>
      </c>
      <c r="BB323" s="17">
        <v>1</v>
      </c>
      <c r="BC323" s="17">
        <v>0</v>
      </c>
      <c r="BD323" s="17">
        <v>1</v>
      </c>
      <c r="BE323" s="17">
        <v>0</v>
      </c>
      <c r="BF323" s="17">
        <v>0</v>
      </c>
      <c r="BG323" s="17">
        <v>0</v>
      </c>
      <c r="BH323" s="142" t="s">
        <v>47</v>
      </c>
      <c r="BI323" s="17">
        <v>1</v>
      </c>
      <c r="BJ323" s="134"/>
      <c r="BK323" s="140" t="s">
        <v>96</v>
      </c>
      <c r="BL323" s="17">
        <v>1</v>
      </c>
      <c r="BM323" s="116"/>
      <c r="BN323" s="140" t="s">
        <v>59</v>
      </c>
      <c r="BO323" s="17">
        <v>0</v>
      </c>
      <c r="BP323" s="119"/>
      <c r="BQ323" s="140" t="s">
        <v>87</v>
      </c>
      <c r="BR323" s="17">
        <v>2</v>
      </c>
      <c r="BS323" s="117"/>
      <c r="BT323" s="140" t="s">
        <v>65</v>
      </c>
      <c r="BU323" s="17">
        <v>0</v>
      </c>
      <c r="BV323" s="116"/>
      <c r="BW323" s="140" t="s">
        <v>88</v>
      </c>
      <c r="BX323" s="17">
        <v>2</v>
      </c>
      <c r="BY323" s="116"/>
      <c r="BZ323" s="140" t="s">
        <v>97</v>
      </c>
      <c r="CA323" s="39">
        <v>0</v>
      </c>
      <c r="CB323" s="116"/>
      <c r="CC323" s="140" t="s">
        <v>49</v>
      </c>
      <c r="CD323" s="17">
        <v>1</v>
      </c>
      <c r="CE323" s="119"/>
      <c r="CF323" s="140" t="s">
        <v>77</v>
      </c>
      <c r="CG323" s="39">
        <v>0</v>
      </c>
      <c r="CH323" s="116"/>
      <c r="CI323" s="143" t="s">
        <v>89</v>
      </c>
      <c r="CJ323" s="33">
        <v>1</v>
      </c>
      <c r="CK323" s="38">
        <v>1</v>
      </c>
      <c r="CL323" s="38">
        <v>0</v>
      </c>
      <c r="CM323" s="38">
        <v>0</v>
      </c>
      <c r="CN323" s="140" t="s">
        <v>82</v>
      </c>
    </row>
    <row r="324" spans="1:92" ht="15.75" customHeight="1" x14ac:dyDescent="0.15">
      <c r="A324" s="141" t="s">
        <v>582</v>
      </c>
      <c r="B324" s="142" t="s">
        <v>29</v>
      </c>
      <c r="C324" s="17">
        <v>2</v>
      </c>
      <c r="D324" s="116"/>
      <c r="E324" s="140" t="s">
        <v>55</v>
      </c>
      <c r="F324" s="17">
        <v>2</v>
      </c>
      <c r="G324" s="116"/>
      <c r="H324" s="140" t="s">
        <v>91</v>
      </c>
      <c r="I324" s="17">
        <v>2</v>
      </c>
      <c r="J324" s="116"/>
      <c r="K324" s="145" t="s">
        <v>116</v>
      </c>
      <c r="L324" s="17">
        <v>2</v>
      </c>
      <c r="M324" s="116"/>
      <c r="N324" s="140" t="s">
        <v>33</v>
      </c>
      <c r="O324" s="17">
        <v>1</v>
      </c>
      <c r="P324" s="116"/>
      <c r="Q324" s="140" t="s">
        <v>34</v>
      </c>
      <c r="R324" s="17">
        <v>2</v>
      </c>
      <c r="S324" s="116"/>
      <c r="T324" s="140" t="s">
        <v>35</v>
      </c>
      <c r="U324" s="17">
        <v>1</v>
      </c>
      <c r="V324" s="116"/>
      <c r="W324" s="143" t="s">
        <v>92</v>
      </c>
      <c r="X324" s="17">
        <v>1</v>
      </c>
      <c r="Y324" s="116"/>
      <c r="Z324" s="140" t="s">
        <v>58</v>
      </c>
      <c r="AA324" s="17">
        <v>3</v>
      </c>
      <c r="AB324" s="116"/>
      <c r="AC324" s="140" t="s">
        <v>38</v>
      </c>
      <c r="AD324" s="148">
        <v>2</v>
      </c>
      <c r="AE324" s="116"/>
      <c r="AF324" s="147" t="s">
        <v>596</v>
      </c>
      <c r="AG324" s="17">
        <v>2</v>
      </c>
      <c r="AH324" s="116"/>
      <c r="AI324" s="140" t="s">
        <v>40</v>
      </c>
      <c r="AJ324" s="25">
        <v>3</v>
      </c>
      <c r="AK324" s="129"/>
      <c r="AL324" s="140" t="s">
        <v>41</v>
      </c>
      <c r="AM324" s="17">
        <v>3</v>
      </c>
      <c r="AN324" s="116"/>
      <c r="AO324" s="140" t="s">
        <v>42</v>
      </c>
      <c r="AP324" s="39">
        <v>3</v>
      </c>
      <c r="AQ324" s="116"/>
      <c r="AR324" s="140" t="s">
        <v>61</v>
      </c>
      <c r="AS324" s="17">
        <v>3</v>
      </c>
      <c r="AT324" s="116"/>
      <c r="AU324" s="140" t="s">
        <v>79</v>
      </c>
      <c r="AV324" s="17">
        <v>1</v>
      </c>
      <c r="AW324" s="116"/>
      <c r="AX324" s="140" t="s">
        <v>45</v>
      </c>
      <c r="AY324" s="39">
        <v>2</v>
      </c>
      <c r="AZ324" s="116"/>
      <c r="BA324" s="140" t="s">
        <v>59</v>
      </c>
      <c r="BB324" s="17">
        <v>1</v>
      </c>
      <c r="BC324" s="17">
        <v>0</v>
      </c>
      <c r="BD324" s="17">
        <v>1</v>
      </c>
      <c r="BE324" s="17">
        <v>0</v>
      </c>
      <c r="BF324" s="17">
        <v>0</v>
      </c>
      <c r="BG324" s="17">
        <v>0</v>
      </c>
      <c r="BH324" s="142" t="s">
        <v>47</v>
      </c>
      <c r="BI324" s="17">
        <v>2</v>
      </c>
      <c r="BJ324" s="134"/>
      <c r="BK324" s="140" t="s">
        <v>602</v>
      </c>
      <c r="BL324" s="17">
        <v>2</v>
      </c>
      <c r="BM324" s="116"/>
      <c r="BN324" s="140" t="s">
        <v>64</v>
      </c>
      <c r="BO324" s="17">
        <v>2</v>
      </c>
      <c r="BP324" s="119"/>
      <c r="BQ324" s="140" t="s">
        <v>117</v>
      </c>
      <c r="BR324" s="17">
        <v>3</v>
      </c>
      <c r="BS324" s="117"/>
      <c r="BT324" s="140" t="s">
        <v>38</v>
      </c>
      <c r="BU324" s="17">
        <v>3</v>
      </c>
      <c r="BV324" s="116"/>
      <c r="BW324" s="143" t="s">
        <v>607</v>
      </c>
      <c r="BX324" s="17">
        <v>2</v>
      </c>
      <c r="BY324" s="116"/>
      <c r="BZ324" s="140" t="s">
        <v>97</v>
      </c>
      <c r="CA324" s="39">
        <v>3</v>
      </c>
      <c r="CB324" s="116"/>
      <c r="CC324" s="140" t="s">
        <v>36</v>
      </c>
      <c r="CD324" s="17">
        <v>0</v>
      </c>
      <c r="CE324" s="119"/>
      <c r="CF324" s="140" t="s">
        <v>49</v>
      </c>
      <c r="CG324" s="39">
        <v>3</v>
      </c>
      <c r="CH324" s="116"/>
      <c r="CI324" s="146" t="s">
        <v>611</v>
      </c>
      <c r="CJ324" s="33">
        <v>1</v>
      </c>
      <c r="CK324" s="38">
        <v>1</v>
      </c>
      <c r="CL324" s="38">
        <v>0</v>
      </c>
      <c r="CM324" s="38">
        <v>0</v>
      </c>
      <c r="CN324" s="140" t="s">
        <v>68</v>
      </c>
    </row>
    <row r="325" spans="1:92" ht="15.75" customHeight="1" x14ac:dyDescent="0.15">
      <c r="A325" s="141" t="s">
        <v>583</v>
      </c>
      <c r="B325" s="142" t="s">
        <v>29</v>
      </c>
      <c r="C325" s="17">
        <v>2</v>
      </c>
      <c r="D325" s="116"/>
      <c r="E325" s="140" t="s">
        <v>55</v>
      </c>
      <c r="F325" s="17">
        <v>1</v>
      </c>
      <c r="G325" s="116"/>
      <c r="H325" s="140" t="s">
        <v>31</v>
      </c>
      <c r="I325" s="17">
        <v>0</v>
      </c>
      <c r="J325" s="116"/>
      <c r="K325" s="145" t="s">
        <v>107</v>
      </c>
      <c r="L325" s="17">
        <v>2</v>
      </c>
      <c r="M325" s="116"/>
      <c r="N325" s="140" t="s">
        <v>33</v>
      </c>
      <c r="O325" s="17">
        <v>1</v>
      </c>
      <c r="P325" s="116"/>
      <c r="Q325" s="140" t="s">
        <v>34</v>
      </c>
      <c r="R325" s="17">
        <v>0</v>
      </c>
      <c r="S325" s="116"/>
      <c r="T325" s="140" t="s">
        <v>49</v>
      </c>
      <c r="U325" s="17">
        <v>2</v>
      </c>
      <c r="V325" s="116"/>
      <c r="W325" s="143" t="s">
        <v>36</v>
      </c>
      <c r="X325" s="17">
        <v>1</v>
      </c>
      <c r="Y325" s="116"/>
      <c r="Z325" s="140" t="s">
        <v>58</v>
      </c>
      <c r="AA325" s="17">
        <v>2</v>
      </c>
      <c r="AB325" s="116"/>
      <c r="AC325" s="140" t="s">
        <v>59</v>
      </c>
      <c r="AD325" s="39">
        <v>2</v>
      </c>
      <c r="AE325" s="116"/>
      <c r="AF325" s="140" t="s">
        <v>83</v>
      </c>
      <c r="AG325" s="17">
        <v>0</v>
      </c>
      <c r="AH325" s="116"/>
      <c r="AI325" s="140" t="s">
        <v>84</v>
      </c>
      <c r="AJ325" s="25">
        <v>1</v>
      </c>
      <c r="AK325" s="129"/>
      <c r="AL325" s="140" t="s">
        <v>77</v>
      </c>
      <c r="AM325" s="17">
        <v>2</v>
      </c>
      <c r="AN325" s="116"/>
      <c r="AO325" s="140" t="s">
        <v>72</v>
      </c>
      <c r="AP325" s="39">
        <v>3</v>
      </c>
      <c r="AQ325" s="116"/>
      <c r="AR325" s="140" t="s">
        <v>61</v>
      </c>
      <c r="AS325" s="17">
        <v>2</v>
      </c>
      <c r="AT325" s="116"/>
      <c r="AU325" s="140" t="s">
        <v>44</v>
      </c>
      <c r="AV325" s="17">
        <v>1</v>
      </c>
      <c r="AW325" s="116"/>
      <c r="AX325" s="140" t="s">
        <v>45</v>
      </c>
      <c r="AY325" s="39">
        <v>2</v>
      </c>
      <c r="AZ325" s="116"/>
      <c r="BA325" s="140" t="s">
        <v>59</v>
      </c>
      <c r="BB325" s="17">
        <v>1</v>
      </c>
      <c r="BC325" s="17">
        <v>1</v>
      </c>
      <c r="BD325" s="17">
        <v>0</v>
      </c>
      <c r="BE325" s="17">
        <v>0</v>
      </c>
      <c r="BF325" s="17">
        <v>0</v>
      </c>
      <c r="BG325" s="17">
        <v>0</v>
      </c>
      <c r="BH325" s="142" t="s">
        <v>81</v>
      </c>
      <c r="BI325" s="17">
        <v>0</v>
      </c>
      <c r="BJ325" s="134"/>
      <c r="BK325" s="140" t="s">
        <v>75</v>
      </c>
      <c r="BL325" s="17">
        <v>1</v>
      </c>
      <c r="BM325" s="116"/>
      <c r="BN325" s="140" t="s">
        <v>59</v>
      </c>
      <c r="BO325" s="17">
        <v>1</v>
      </c>
      <c r="BP325" s="119"/>
      <c r="BQ325" s="140" t="s">
        <v>50</v>
      </c>
      <c r="BR325" s="17">
        <v>3</v>
      </c>
      <c r="BS325" s="117"/>
      <c r="BT325" s="140" t="s">
        <v>38</v>
      </c>
      <c r="BU325" s="17">
        <v>0</v>
      </c>
      <c r="BV325" s="116"/>
      <c r="BW325" s="140" t="s">
        <v>88</v>
      </c>
      <c r="BX325" s="17">
        <v>3</v>
      </c>
      <c r="BY325" s="116"/>
      <c r="BZ325" s="140" t="s">
        <v>52</v>
      </c>
      <c r="CA325" s="39">
        <v>0</v>
      </c>
      <c r="CB325" s="116"/>
      <c r="CC325" s="140" t="s">
        <v>49</v>
      </c>
      <c r="CD325" s="17">
        <v>0</v>
      </c>
      <c r="CE325" s="119"/>
      <c r="CF325" s="140" t="s">
        <v>49</v>
      </c>
      <c r="CG325" s="39">
        <v>3</v>
      </c>
      <c r="CH325" s="116"/>
      <c r="CI325" s="143" t="s">
        <v>53</v>
      </c>
      <c r="CJ325" s="33">
        <v>1</v>
      </c>
      <c r="CK325" s="38">
        <v>0</v>
      </c>
      <c r="CL325" s="38">
        <v>1</v>
      </c>
      <c r="CM325" s="38">
        <v>0</v>
      </c>
      <c r="CN325" s="140" t="s">
        <v>54</v>
      </c>
    </row>
    <row r="326" spans="1:92" ht="15.75" customHeight="1" x14ac:dyDescent="0.15">
      <c r="A326" s="141" t="s">
        <v>584</v>
      </c>
      <c r="B326" s="142" t="s">
        <v>29</v>
      </c>
      <c r="C326" s="17">
        <v>2</v>
      </c>
      <c r="D326" s="116"/>
      <c r="E326" s="140" t="s">
        <v>55</v>
      </c>
      <c r="F326" s="17">
        <v>1</v>
      </c>
      <c r="G326" s="116"/>
      <c r="H326" s="140" t="s">
        <v>31</v>
      </c>
      <c r="I326" s="17">
        <v>2</v>
      </c>
      <c r="J326" s="116"/>
      <c r="K326" s="145" t="s">
        <v>116</v>
      </c>
      <c r="L326" s="17">
        <v>2</v>
      </c>
      <c r="M326" s="116"/>
      <c r="N326" s="140" t="s">
        <v>33</v>
      </c>
      <c r="O326" s="17">
        <v>1</v>
      </c>
      <c r="P326" s="116"/>
      <c r="Q326" s="140" t="s">
        <v>34</v>
      </c>
      <c r="R326" s="17">
        <v>2</v>
      </c>
      <c r="S326" s="116"/>
      <c r="T326" s="140" t="s">
        <v>35</v>
      </c>
      <c r="U326" s="17">
        <v>2</v>
      </c>
      <c r="V326" s="116"/>
      <c r="W326" s="143" t="s">
        <v>36</v>
      </c>
      <c r="X326" s="17">
        <v>2</v>
      </c>
      <c r="Y326" s="116"/>
      <c r="Z326" s="140" t="s">
        <v>37</v>
      </c>
      <c r="AA326" s="17">
        <v>3</v>
      </c>
      <c r="AB326" s="116"/>
      <c r="AC326" s="140" t="s">
        <v>38</v>
      </c>
      <c r="AD326" s="39">
        <v>1</v>
      </c>
      <c r="AE326" s="116"/>
      <c r="AF326" s="140" t="s">
        <v>39</v>
      </c>
      <c r="AG326" s="17">
        <v>3</v>
      </c>
      <c r="AH326" s="116"/>
      <c r="AI326" s="140" t="s">
        <v>94</v>
      </c>
      <c r="AJ326" s="25">
        <v>3</v>
      </c>
      <c r="AK326" s="129"/>
      <c r="AL326" s="140" t="s">
        <v>41</v>
      </c>
      <c r="AM326" s="17">
        <v>3</v>
      </c>
      <c r="AN326" s="116"/>
      <c r="AO326" s="140" t="s">
        <v>42</v>
      </c>
      <c r="AP326" s="39">
        <v>3</v>
      </c>
      <c r="AQ326" s="116"/>
      <c r="AR326" s="140" t="s">
        <v>99</v>
      </c>
      <c r="AS326" s="17">
        <v>3</v>
      </c>
      <c r="AT326" s="116"/>
      <c r="AU326" s="140" t="s">
        <v>79</v>
      </c>
      <c r="AV326" s="17">
        <v>2</v>
      </c>
      <c r="AW326" s="116"/>
      <c r="AX326" s="140" t="s">
        <v>80</v>
      </c>
      <c r="AY326" s="39">
        <v>3</v>
      </c>
      <c r="AZ326" s="116"/>
      <c r="BA326" s="140" t="s">
        <v>46</v>
      </c>
      <c r="BB326" s="17">
        <v>1</v>
      </c>
      <c r="BC326" s="17">
        <v>0</v>
      </c>
      <c r="BD326" s="17">
        <v>1</v>
      </c>
      <c r="BE326" s="17">
        <v>0</v>
      </c>
      <c r="BF326" s="17">
        <v>0</v>
      </c>
      <c r="BG326" s="17">
        <v>0</v>
      </c>
      <c r="BH326" s="142" t="s">
        <v>47</v>
      </c>
      <c r="BI326" s="17">
        <v>2</v>
      </c>
      <c r="BJ326" s="134"/>
      <c r="BK326" s="140" t="s">
        <v>48</v>
      </c>
      <c r="BL326" s="17">
        <v>3</v>
      </c>
      <c r="BM326" s="116"/>
      <c r="BN326" s="140" t="s">
        <v>49</v>
      </c>
      <c r="BO326" s="17">
        <v>2</v>
      </c>
      <c r="BP326" s="119"/>
      <c r="BQ326" s="140" t="s">
        <v>117</v>
      </c>
      <c r="BR326" s="17">
        <v>3</v>
      </c>
      <c r="BS326" s="117"/>
      <c r="BT326" s="140" t="s">
        <v>38</v>
      </c>
      <c r="BU326" s="17">
        <v>0</v>
      </c>
      <c r="BV326" s="116"/>
      <c r="BW326" s="140" t="s">
        <v>88</v>
      </c>
      <c r="BX326" s="17">
        <v>2</v>
      </c>
      <c r="BY326" s="116"/>
      <c r="BZ326" s="140" t="s">
        <v>97</v>
      </c>
      <c r="CA326" s="39">
        <v>3</v>
      </c>
      <c r="CB326" s="116"/>
      <c r="CC326" s="140" t="s">
        <v>36</v>
      </c>
      <c r="CD326" s="17">
        <v>0</v>
      </c>
      <c r="CE326" s="119"/>
      <c r="CF326" s="140" t="s">
        <v>49</v>
      </c>
      <c r="CG326" s="39">
        <v>3</v>
      </c>
      <c r="CH326" s="116"/>
      <c r="CI326" s="143" t="s">
        <v>53</v>
      </c>
      <c r="CJ326" s="33">
        <v>1</v>
      </c>
      <c r="CK326" s="38">
        <v>1</v>
      </c>
      <c r="CL326" s="38">
        <v>0</v>
      </c>
      <c r="CM326" s="38">
        <v>0</v>
      </c>
      <c r="CN326" s="140" t="s">
        <v>68</v>
      </c>
    </row>
    <row r="327" spans="1:92" ht="15.75" customHeight="1" x14ac:dyDescent="0.15">
      <c r="A327" s="141" t="s">
        <v>585</v>
      </c>
      <c r="B327" s="142" t="s">
        <v>29</v>
      </c>
      <c r="C327" s="17">
        <v>3</v>
      </c>
      <c r="D327" s="116"/>
      <c r="E327" s="140" t="s">
        <v>90</v>
      </c>
      <c r="F327" s="17">
        <v>1</v>
      </c>
      <c r="G327" s="116"/>
      <c r="H327" s="140" t="s">
        <v>31</v>
      </c>
      <c r="I327" s="17">
        <v>2</v>
      </c>
      <c r="J327" s="116"/>
      <c r="K327" s="145" t="s">
        <v>116</v>
      </c>
      <c r="L327" s="17">
        <v>2</v>
      </c>
      <c r="M327" s="116"/>
      <c r="N327" s="140" t="s">
        <v>33</v>
      </c>
      <c r="O327" s="17">
        <v>1</v>
      </c>
      <c r="P327" s="116"/>
      <c r="Q327" s="140" t="s">
        <v>34</v>
      </c>
      <c r="R327" s="17">
        <v>1</v>
      </c>
      <c r="S327" s="116"/>
      <c r="T327" s="140" t="s">
        <v>57</v>
      </c>
      <c r="U327" s="17">
        <v>1</v>
      </c>
      <c r="V327" s="116"/>
      <c r="W327" s="143" t="s">
        <v>92</v>
      </c>
      <c r="X327" s="17">
        <v>1</v>
      </c>
      <c r="Y327" s="116"/>
      <c r="Z327" s="140" t="s">
        <v>58</v>
      </c>
      <c r="AA327" s="17">
        <v>2</v>
      </c>
      <c r="AB327" s="116"/>
      <c r="AC327" s="140" t="s">
        <v>59</v>
      </c>
      <c r="AD327" s="39">
        <v>2</v>
      </c>
      <c r="AE327" s="116"/>
      <c r="AF327" s="140" t="s">
        <v>83</v>
      </c>
      <c r="AG327" s="17">
        <v>1</v>
      </c>
      <c r="AH327" s="116"/>
      <c r="AI327" s="140" t="s">
        <v>138</v>
      </c>
      <c r="AJ327" s="25">
        <v>1</v>
      </c>
      <c r="AK327" s="129"/>
      <c r="AL327" s="140" t="s">
        <v>77</v>
      </c>
      <c r="AM327" s="17">
        <v>2</v>
      </c>
      <c r="AN327" s="116"/>
      <c r="AO327" s="140" t="s">
        <v>72</v>
      </c>
      <c r="AP327" s="39">
        <v>3</v>
      </c>
      <c r="AQ327" s="116"/>
      <c r="AR327" s="140" t="s">
        <v>61</v>
      </c>
      <c r="AS327" s="17">
        <v>2</v>
      </c>
      <c r="AT327" s="116"/>
      <c r="AU327" s="140" t="s">
        <v>44</v>
      </c>
      <c r="AV327" s="17">
        <v>2</v>
      </c>
      <c r="AW327" s="116"/>
      <c r="AX327" s="140" t="s">
        <v>80</v>
      </c>
      <c r="AY327" s="39">
        <v>2</v>
      </c>
      <c r="AZ327" s="116"/>
      <c r="BA327" s="140" t="s">
        <v>59</v>
      </c>
      <c r="BB327" s="17">
        <v>0</v>
      </c>
      <c r="BC327" s="17">
        <v>1</v>
      </c>
      <c r="BD327" s="17">
        <v>1</v>
      </c>
      <c r="BE327" s="17">
        <v>0</v>
      </c>
      <c r="BF327" s="17">
        <v>0</v>
      </c>
      <c r="BG327" s="17">
        <v>0</v>
      </c>
      <c r="BH327" s="142" t="s">
        <v>105</v>
      </c>
      <c r="BI327" s="17">
        <v>0</v>
      </c>
      <c r="BJ327" s="134"/>
      <c r="BK327" s="140" t="s">
        <v>75</v>
      </c>
      <c r="BL327" s="17">
        <v>3</v>
      </c>
      <c r="BM327" s="116"/>
      <c r="BN327" s="140" t="s">
        <v>49</v>
      </c>
      <c r="BO327" s="17">
        <v>2</v>
      </c>
      <c r="BP327" s="119"/>
      <c r="BQ327" s="140" t="s">
        <v>117</v>
      </c>
      <c r="BR327" s="17">
        <v>2</v>
      </c>
      <c r="BS327" s="117"/>
      <c r="BT327" s="140" t="s">
        <v>65</v>
      </c>
      <c r="BU327" s="17">
        <v>2</v>
      </c>
      <c r="BV327" s="116"/>
      <c r="BW327" s="140" t="s">
        <v>51</v>
      </c>
      <c r="BX327" s="17">
        <v>3</v>
      </c>
      <c r="BY327" s="116"/>
      <c r="BZ327" s="140" t="s">
        <v>52</v>
      </c>
      <c r="CA327" s="39">
        <v>1</v>
      </c>
      <c r="CB327" s="116"/>
      <c r="CC327" s="140" t="s">
        <v>77</v>
      </c>
      <c r="CD327" s="17">
        <v>0</v>
      </c>
      <c r="CE327" s="119"/>
      <c r="CF327" s="140" t="s">
        <v>49</v>
      </c>
      <c r="CG327" s="39">
        <v>1</v>
      </c>
      <c r="CH327" s="116"/>
      <c r="CI327" s="143" t="s">
        <v>77</v>
      </c>
      <c r="CJ327" s="33">
        <v>1</v>
      </c>
      <c r="CK327" s="38">
        <v>1</v>
      </c>
      <c r="CL327" s="38">
        <v>0</v>
      </c>
      <c r="CM327" s="38">
        <v>0</v>
      </c>
      <c r="CN327" s="140" t="s">
        <v>82</v>
      </c>
    </row>
    <row r="328" spans="1:92" ht="15.75" customHeight="1" x14ac:dyDescent="0.15">
      <c r="A328" s="141" t="s">
        <v>586</v>
      </c>
      <c r="B328" s="142" t="s">
        <v>29</v>
      </c>
      <c r="C328" s="17">
        <v>3</v>
      </c>
      <c r="D328" s="116"/>
      <c r="E328" s="140" t="s">
        <v>90</v>
      </c>
      <c r="F328" s="17">
        <v>1</v>
      </c>
      <c r="G328" s="116"/>
      <c r="H328" s="140" t="s">
        <v>31</v>
      </c>
      <c r="I328" s="17">
        <v>1</v>
      </c>
      <c r="J328" s="116"/>
      <c r="K328" s="145" t="s">
        <v>32</v>
      </c>
      <c r="L328" s="17">
        <v>2</v>
      </c>
      <c r="M328" s="116"/>
      <c r="N328" s="140" t="s">
        <v>33</v>
      </c>
      <c r="O328" s="17">
        <v>1</v>
      </c>
      <c r="P328" s="116"/>
      <c r="Q328" s="140" t="s">
        <v>34</v>
      </c>
      <c r="R328" s="17">
        <v>1</v>
      </c>
      <c r="S328" s="116"/>
      <c r="T328" s="140" t="s">
        <v>57</v>
      </c>
      <c r="U328" s="17">
        <v>2</v>
      </c>
      <c r="V328" s="116"/>
      <c r="W328" s="143" t="s">
        <v>36</v>
      </c>
      <c r="X328" s="17">
        <v>1</v>
      </c>
      <c r="Y328" s="116"/>
      <c r="Z328" s="140" t="s">
        <v>58</v>
      </c>
      <c r="AA328" s="17">
        <v>3</v>
      </c>
      <c r="AB328" s="116"/>
      <c r="AC328" s="140" t="s">
        <v>38</v>
      </c>
      <c r="AD328" s="39">
        <v>2</v>
      </c>
      <c r="AE328" s="116"/>
      <c r="AF328" s="140" t="s">
        <v>83</v>
      </c>
      <c r="AG328" s="17">
        <v>3</v>
      </c>
      <c r="AH328" s="116"/>
      <c r="AI328" s="140" t="s">
        <v>94</v>
      </c>
      <c r="AJ328" s="25">
        <v>3</v>
      </c>
      <c r="AK328" s="129"/>
      <c r="AL328" s="140" t="s">
        <v>41</v>
      </c>
      <c r="AM328" s="17">
        <v>2</v>
      </c>
      <c r="AN328" s="116"/>
      <c r="AO328" s="140" t="s">
        <v>72</v>
      </c>
      <c r="AP328" s="39">
        <v>3</v>
      </c>
      <c r="AQ328" s="116"/>
      <c r="AR328" s="140" t="s">
        <v>61</v>
      </c>
      <c r="AS328" s="17">
        <v>1</v>
      </c>
      <c r="AT328" s="116"/>
      <c r="AU328" s="140" t="s">
        <v>86</v>
      </c>
      <c r="AV328" s="17">
        <v>0</v>
      </c>
      <c r="AW328" s="116"/>
      <c r="AX328" s="140" t="s">
        <v>73</v>
      </c>
      <c r="AY328" s="39">
        <v>1</v>
      </c>
      <c r="AZ328" s="116"/>
      <c r="BA328" s="140" t="s">
        <v>69</v>
      </c>
      <c r="BB328" s="17">
        <v>1</v>
      </c>
      <c r="BC328" s="17">
        <v>0</v>
      </c>
      <c r="BD328" s="17">
        <v>1</v>
      </c>
      <c r="BE328" s="17">
        <v>0</v>
      </c>
      <c r="BF328" s="17">
        <v>0</v>
      </c>
      <c r="BG328" s="17">
        <v>0</v>
      </c>
      <c r="BH328" s="142" t="s">
        <v>47</v>
      </c>
      <c r="BI328" s="17">
        <v>0</v>
      </c>
      <c r="BJ328" s="134"/>
      <c r="BK328" s="140" t="s">
        <v>75</v>
      </c>
      <c r="BL328" s="17">
        <v>2</v>
      </c>
      <c r="BM328" s="116"/>
      <c r="BN328" s="140" t="s">
        <v>64</v>
      </c>
      <c r="BO328" s="17">
        <v>0</v>
      </c>
      <c r="BP328" s="119"/>
      <c r="BQ328" s="140" t="s">
        <v>87</v>
      </c>
      <c r="BR328" s="17">
        <v>1</v>
      </c>
      <c r="BS328" s="117"/>
      <c r="BT328" s="140" t="s">
        <v>69</v>
      </c>
      <c r="BU328" s="17">
        <v>2</v>
      </c>
      <c r="BV328" s="116"/>
      <c r="BW328" s="140" t="s">
        <v>51</v>
      </c>
      <c r="BX328" s="17">
        <v>0</v>
      </c>
      <c r="BY328" s="116"/>
      <c r="BZ328" s="140" t="s">
        <v>119</v>
      </c>
      <c r="CA328" s="39">
        <v>2</v>
      </c>
      <c r="CB328" s="116"/>
      <c r="CC328" s="140" t="s">
        <v>76</v>
      </c>
      <c r="CD328" s="17">
        <v>0</v>
      </c>
      <c r="CE328" s="119"/>
      <c r="CF328" s="140" t="s">
        <v>49</v>
      </c>
      <c r="CG328" s="39">
        <v>2</v>
      </c>
      <c r="CH328" s="116"/>
      <c r="CI328" s="143" t="s">
        <v>78</v>
      </c>
      <c r="CJ328" s="33">
        <v>0</v>
      </c>
      <c r="CK328" s="38">
        <v>1</v>
      </c>
      <c r="CL328" s="38">
        <v>1</v>
      </c>
      <c r="CM328" s="38">
        <v>0</v>
      </c>
      <c r="CN328" s="140" t="s">
        <v>98</v>
      </c>
    </row>
    <row r="329" spans="1:92" ht="15.75" customHeight="1" x14ac:dyDescent="0.15">
      <c r="A329" s="141" t="s">
        <v>587</v>
      </c>
      <c r="B329" s="142" t="s">
        <v>29</v>
      </c>
      <c r="C329" s="17">
        <v>3</v>
      </c>
      <c r="D329" s="116"/>
      <c r="E329" s="140" t="s">
        <v>90</v>
      </c>
      <c r="F329" s="17">
        <v>2</v>
      </c>
      <c r="G329" s="116"/>
      <c r="H329" s="140" t="s">
        <v>91</v>
      </c>
      <c r="I329" s="17">
        <v>1</v>
      </c>
      <c r="J329" s="116"/>
      <c r="K329" s="145" t="s">
        <v>32</v>
      </c>
      <c r="L329" s="17">
        <v>2</v>
      </c>
      <c r="M329" s="116"/>
      <c r="N329" s="140" t="s">
        <v>33</v>
      </c>
      <c r="O329" s="17">
        <v>1</v>
      </c>
      <c r="P329" s="116"/>
      <c r="Q329" s="140" t="s">
        <v>34</v>
      </c>
      <c r="R329" s="17">
        <v>1</v>
      </c>
      <c r="S329" s="116"/>
      <c r="T329" s="140" t="s">
        <v>57</v>
      </c>
      <c r="U329" s="17">
        <v>0</v>
      </c>
      <c r="V329" s="116"/>
      <c r="W329" s="143" t="s">
        <v>77</v>
      </c>
      <c r="X329" s="17">
        <v>1</v>
      </c>
      <c r="Y329" s="116"/>
      <c r="Z329" s="140" t="s">
        <v>58</v>
      </c>
      <c r="AA329" s="17">
        <v>1</v>
      </c>
      <c r="AB329" s="116"/>
      <c r="AC329" s="140" t="s">
        <v>69</v>
      </c>
      <c r="AD329" s="39">
        <v>2</v>
      </c>
      <c r="AE329" s="116"/>
      <c r="AF329" s="140" t="s">
        <v>83</v>
      </c>
      <c r="AG329" s="17">
        <v>2</v>
      </c>
      <c r="AH329" s="116"/>
      <c r="AI329" s="140" t="s">
        <v>40</v>
      </c>
      <c r="AJ329" s="25">
        <v>3</v>
      </c>
      <c r="AK329" s="129"/>
      <c r="AL329" s="140" t="s">
        <v>41</v>
      </c>
      <c r="AM329" s="17">
        <v>3</v>
      </c>
      <c r="AN329" s="116"/>
      <c r="AO329" s="140" t="s">
        <v>42</v>
      </c>
      <c r="AP329" s="39">
        <v>3</v>
      </c>
      <c r="AQ329" s="116"/>
      <c r="AR329" s="140" t="s">
        <v>61</v>
      </c>
      <c r="AS329" s="17">
        <v>2</v>
      </c>
      <c r="AT329" s="116"/>
      <c r="AU329" s="140" t="s">
        <v>44</v>
      </c>
      <c r="AV329" s="17">
        <v>2</v>
      </c>
      <c r="AW329" s="116"/>
      <c r="AX329" s="140" t="s">
        <v>80</v>
      </c>
      <c r="AY329" s="39">
        <v>2</v>
      </c>
      <c r="AZ329" s="116"/>
      <c r="BA329" s="140" t="s">
        <v>59</v>
      </c>
      <c r="BB329" s="17">
        <v>1</v>
      </c>
      <c r="BC329" s="17">
        <v>0</v>
      </c>
      <c r="BD329" s="17">
        <v>1</v>
      </c>
      <c r="BE329" s="17">
        <v>0</v>
      </c>
      <c r="BF329" s="17">
        <v>0</v>
      </c>
      <c r="BG329" s="17">
        <v>0</v>
      </c>
      <c r="BH329" s="142" t="s">
        <v>47</v>
      </c>
      <c r="BI329" s="17">
        <v>2</v>
      </c>
      <c r="BJ329" s="134"/>
      <c r="BK329" s="140" t="s">
        <v>48</v>
      </c>
      <c r="BL329" s="17">
        <v>3</v>
      </c>
      <c r="BM329" s="116"/>
      <c r="BN329" s="140" t="s">
        <v>49</v>
      </c>
      <c r="BO329" s="17">
        <v>1</v>
      </c>
      <c r="BP329" s="119"/>
      <c r="BQ329" s="140" t="s">
        <v>50</v>
      </c>
      <c r="BR329" s="17">
        <v>2</v>
      </c>
      <c r="BS329" s="117"/>
      <c r="BT329" s="140" t="s">
        <v>65</v>
      </c>
      <c r="BU329" s="17">
        <v>0</v>
      </c>
      <c r="BV329" s="116"/>
      <c r="BW329" s="140" t="s">
        <v>88</v>
      </c>
      <c r="BX329" s="17">
        <v>3</v>
      </c>
      <c r="BY329" s="116"/>
      <c r="BZ329" s="140" t="s">
        <v>52</v>
      </c>
      <c r="CA329" s="39">
        <v>3</v>
      </c>
      <c r="CB329" s="116"/>
      <c r="CC329" s="140" t="s">
        <v>36</v>
      </c>
      <c r="CD329" s="17">
        <v>1</v>
      </c>
      <c r="CE329" s="119"/>
      <c r="CF329" s="140" t="s">
        <v>77</v>
      </c>
      <c r="CG329" s="39">
        <v>2</v>
      </c>
      <c r="CH329" s="116"/>
      <c r="CI329" s="143" t="s">
        <v>78</v>
      </c>
      <c r="CJ329" s="33">
        <v>0</v>
      </c>
      <c r="CK329" s="38">
        <v>1</v>
      </c>
      <c r="CL329" s="38">
        <v>1</v>
      </c>
      <c r="CM329" s="38">
        <v>0</v>
      </c>
      <c r="CN329" s="140" t="s">
        <v>98</v>
      </c>
    </row>
    <row r="330" spans="1:92" ht="15.75" customHeight="1" x14ac:dyDescent="0.15">
      <c r="A330" s="141" t="s">
        <v>588</v>
      </c>
      <c r="B330" s="142" t="s">
        <v>29</v>
      </c>
      <c r="C330" s="17">
        <v>3</v>
      </c>
      <c r="D330" s="116"/>
      <c r="E330" s="140" t="s">
        <v>90</v>
      </c>
      <c r="F330" s="17">
        <v>1</v>
      </c>
      <c r="G330" s="116"/>
      <c r="H330" s="140" t="s">
        <v>31</v>
      </c>
      <c r="I330" s="17">
        <v>3</v>
      </c>
      <c r="J330" s="116"/>
      <c r="K330" s="145" t="s">
        <v>56</v>
      </c>
      <c r="L330" s="17">
        <v>2</v>
      </c>
      <c r="M330" s="116"/>
      <c r="N330" s="140" t="s">
        <v>33</v>
      </c>
      <c r="O330" s="17">
        <v>1</v>
      </c>
      <c r="P330" s="116"/>
      <c r="Q330" s="140" t="s">
        <v>34</v>
      </c>
      <c r="R330" s="17">
        <v>1</v>
      </c>
      <c r="S330" s="116"/>
      <c r="T330" s="140" t="s">
        <v>57</v>
      </c>
      <c r="U330" s="17">
        <v>2</v>
      </c>
      <c r="V330" s="116"/>
      <c r="W330" s="143" t="s">
        <v>36</v>
      </c>
      <c r="X330" s="17">
        <v>1</v>
      </c>
      <c r="Y330" s="116"/>
      <c r="Z330" s="140" t="s">
        <v>58</v>
      </c>
      <c r="AA330" s="17">
        <v>2</v>
      </c>
      <c r="AB330" s="116"/>
      <c r="AC330" s="140" t="s">
        <v>59</v>
      </c>
      <c r="AD330" s="39">
        <v>5</v>
      </c>
      <c r="AE330" s="116"/>
      <c r="AF330" s="140" t="s">
        <v>115</v>
      </c>
      <c r="AG330" s="17">
        <v>2</v>
      </c>
      <c r="AH330" s="116"/>
      <c r="AI330" s="140" t="s">
        <v>40</v>
      </c>
      <c r="AJ330" s="25">
        <v>0</v>
      </c>
      <c r="AK330" s="129"/>
      <c r="AL330" s="140" t="s">
        <v>85</v>
      </c>
      <c r="AM330" s="17">
        <v>2</v>
      </c>
      <c r="AN330" s="116"/>
      <c r="AO330" s="140" t="s">
        <v>72</v>
      </c>
      <c r="AP330" s="39">
        <v>3</v>
      </c>
      <c r="AQ330" s="116"/>
      <c r="AR330" s="140" t="s">
        <v>61</v>
      </c>
      <c r="AS330" s="17">
        <v>2</v>
      </c>
      <c r="AT330" s="116"/>
      <c r="AU330" s="140" t="s">
        <v>44</v>
      </c>
      <c r="AV330" s="17">
        <v>1</v>
      </c>
      <c r="AW330" s="116"/>
      <c r="AX330" s="140" t="s">
        <v>45</v>
      </c>
      <c r="AY330" s="39">
        <v>2</v>
      </c>
      <c r="AZ330" s="116"/>
      <c r="BA330" s="140" t="s">
        <v>59</v>
      </c>
      <c r="BB330" s="17">
        <v>1</v>
      </c>
      <c r="BC330" s="17">
        <v>0</v>
      </c>
      <c r="BD330" s="17">
        <v>0</v>
      </c>
      <c r="BE330" s="17">
        <v>0</v>
      </c>
      <c r="BF330" s="17">
        <v>0</v>
      </c>
      <c r="BG330" s="17">
        <v>0</v>
      </c>
      <c r="BH330" s="142" t="s">
        <v>100</v>
      </c>
      <c r="BI330" s="17">
        <v>0</v>
      </c>
      <c r="BJ330" s="134"/>
      <c r="BK330" s="140" t="s">
        <v>75</v>
      </c>
      <c r="BL330" s="17">
        <v>1</v>
      </c>
      <c r="BM330" s="116"/>
      <c r="BN330" s="140" t="s">
        <v>59</v>
      </c>
      <c r="BO330" s="17">
        <v>1</v>
      </c>
      <c r="BP330" s="119"/>
      <c r="BQ330" s="140" t="s">
        <v>50</v>
      </c>
      <c r="BR330" s="17">
        <v>1</v>
      </c>
      <c r="BS330" s="117"/>
      <c r="BT330" s="140" t="s">
        <v>69</v>
      </c>
      <c r="BU330" s="17">
        <v>2</v>
      </c>
      <c r="BV330" s="116"/>
      <c r="BW330" s="140" t="s">
        <v>51</v>
      </c>
      <c r="BX330" s="17">
        <v>3</v>
      </c>
      <c r="BY330" s="116"/>
      <c r="BZ330" s="140" t="s">
        <v>52</v>
      </c>
      <c r="CA330" s="39">
        <v>2</v>
      </c>
      <c r="CB330" s="116"/>
      <c r="CC330" s="140" t="s">
        <v>76</v>
      </c>
      <c r="CD330" s="17">
        <v>0</v>
      </c>
      <c r="CE330" s="119"/>
      <c r="CF330" s="140" t="s">
        <v>49</v>
      </c>
      <c r="CG330" s="39">
        <v>2</v>
      </c>
      <c r="CH330" s="116"/>
      <c r="CI330" s="143" t="s">
        <v>78</v>
      </c>
      <c r="CJ330" s="33">
        <v>0</v>
      </c>
      <c r="CK330" s="38">
        <v>1</v>
      </c>
      <c r="CL330" s="38">
        <v>0</v>
      </c>
      <c r="CM330" s="38">
        <v>0</v>
      </c>
      <c r="CN330" s="140" t="s">
        <v>137</v>
      </c>
    </row>
    <row r="331" spans="1:92" ht="15.75" customHeight="1" x14ac:dyDescent="0.15">
      <c r="A331" s="141" t="s">
        <v>589</v>
      </c>
      <c r="B331" s="142" t="s">
        <v>29</v>
      </c>
      <c r="C331" s="17">
        <v>3</v>
      </c>
      <c r="D331" s="116"/>
      <c r="E331" s="140" t="s">
        <v>90</v>
      </c>
      <c r="F331" s="17">
        <v>2</v>
      </c>
      <c r="G331" s="116"/>
      <c r="H331" s="140" t="s">
        <v>91</v>
      </c>
      <c r="I331" s="17">
        <v>2</v>
      </c>
      <c r="J331" s="116"/>
      <c r="K331" s="145" t="s">
        <v>116</v>
      </c>
      <c r="L331" s="17">
        <v>2</v>
      </c>
      <c r="M331" s="116"/>
      <c r="N331" s="140" t="s">
        <v>33</v>
      </c>
      <c r="O331" s="17">
        <v>1</v>
      </c>
      <c r="P331" s="116"/>
      <c r="Q331" s="140" t="s">
        <v>34</v>
      </c>
      <c r="R331" s="17">
        <v>1</v>
      </c>
      <c r="S331" s="116"/>
      <c r="T331" s="140" t="s">
        <v>57</v>
      </c>
      <c r="U331" s="17">
        <v>2</v>
      </c>
      <c r="V331" s="116"/>
      <c r="W331" s="143" t="s">
        <v>36</v>
      </c>
      <c r="X331" s="17">
        <v>1</v>
      </c>
      <c r="Y331" s="116"/>
      <c r="Z331" s="140" t="s">
        <v>58</v>
      </c>
      <c r="AA331" s="17">
        <v>0</v>
      </c>
      <c r="AB331" s="116"/>
      <c r="AC331" s="140" t="s">
        <v>46</v>
      </c>
      <c r="AD331" s="39">
        <v>4</v>
      </c>
      <c r="AE331" s="116"/>
      <c r="AF331" s="140" t="s">
        <v>93</v>
      </c>
      <c r="AG331" s="17">
        <v>3</v>
      </c>
      <c r="AH331" s="116"/>
      <c r="AI331" s="140" t="s">
        <v>94</v>
      </c>
      <c r="AJ331" s="25">
        <v>3</v>
      </c>
      <c r="AK331" s="129"/>
      <c r="AL331" s="140" t="s">
        <v>41</v>
      </c>
      <c r="AM331" s="17">
        <v>2</v>
      </c>
      <c r="AN331" s="116"/>
      <c r="AO331" s="140" t="s">
        <v>72</v>
      </c>
      <c r="AP331" s="39">
        <v>4</v>
      </c>
      <c r="AQ331" s="116"/>
      <c r="AR331" s="140" t="s">
        <v>43</v>
      </c>
      <c r="AS331" s="17">
        <v>2</v>
      </c>
      <c r="AT331" s="116"/>
      <c r="AU331" s="140" t="s">
        <v>44</v>
      </c>
      <c r="AV331" s="17">
        <v>2</v>
      </c>
      <c r="AW331" s="116"/>
      <c r="AX331" s="140" t="s">
        <v>80</v>
      </c>
      <c r="AY331" s="39">
        <v>3</v>
      </c>
      <c r="AZ331" s="116"/>
      <c r="BA331" s="140" t="s">
        <v>46</v>
      </c>
      <c r="BB331" s="17">
        <v>1</v>
      </c>
      <c r="BC331" s="17">
        <v>0</v>
      </c>
      <c r="BD331" s="17">
        <v>1</v>
      </c>
      <c r="BE331" s="17">
        <v>0</v>
      </c>
      <c r="BF331" s="17">
        <v>0</v>
      </c>
      <c r="BG331" s="17">
        <v>0</v>
      </c>
      <c r="BH331" s="142" t="s">
        <v>47</v>
      </c>
      <c r="BI331" s="17">
        <v>0</v>
      </c>
      <c r="BJ331" s="134"/>
      <c r="BK331" s="140" t="s">
        <v>75</v>
      </c>
      <c r="BL331" s="17">
        <v>2</v>
      </c>
      <c r="BM331" s="116"/>
      <c r="BN331" s="140" t="s">
        <v>64</v>
      </c>
      <c r="BO331" s="17">
        <v>1</v>
      </c>
      <c r="BP331" s="119"/>
      <c r="BQ331" s="140" t="s">
        <v>50</v>
      </c>
      <c r="BR331" s="17">
        <v>0</v>
      </c>
      <c r="BS331" s="117"/>
      <c r="BT331" s="140" t="s">
        <v>46</v>
      </c>
      <c r="BU331" s="17">
        <v>0</v>
      </c>
      <c r="BV331" s="116"/>
      <c r="BW331" s="140" t="s">
        <v>147</v>
      </c>
      <c r="BX331" s="17">
        <v>3</v>
      </c>
      <c r="BY331" s="116"/>
      <c r="BZ331" s="140" t="s">
        <v>52</v>
      </c>
      <c r="CA331" s="39">
        <v>3</v>
      </c>
      <c r="CB331" s="116"/>
      <c r="CC331" s="140" t="s">
        <v>36</v>
      </c>
      <c r="CD331" s="17">
        <v>1</v>
      </c>
      <c r="CE331" s="119"/>
      <c r="CF331" s="140" t="s">
        <v>77</v>
      </c>
      <c r="CG331" s="39">
        <v>2</v>
      </c>
      <c r="CH331" s="116"/>
      <c r="CI331" s="143" t="s">
        <v>78</v>
      </c>
      <c r="CJ331" s="33">
        <v>0</v>
      </c>
      <c r="CK331" s="38">
        <v>1</v>
      </c>
      <c r="CL331" s="38">
        <v>0</v>
      </c>
      <c r="CM331" s="38">
        <v>0</v>
      </c>
      <c r="CN331" s="140" t="s">
        <v>54</v>
      </c>
    </row>
    <row r="332" spans="1:92" ht="15.75" customHeight="1" x14ac:dyDescent="0.15">
      <c r="A332" s="141" t="s">
        <v>590</v>
      </c>
      <c r="B332" s="142" t="s">
        <v>29</v>
      </c>
      <c r="C332" s="17">
        <v>3</v>
      </c>
      <c r="D332" s="116"/>
      <c r="E332" s="140" t="s">
        <v>90</v>
      </c>
      <c r="F332" s="17">
        <v>1</v>
      </c>
      <c r="G332" s="116"/>
      <c r="H332" s="140" t="s">
        <v>31</v>
      </c>
      <c r="I332" s="17">
        <v>1</v>
      </c>
      <c r="J332" s="116"/>
      <c r="K332" s="145" t="s">
        <v>32</v>
      </c>
      <c r="L332" s="17">
        <v>2</v>
      </c>
      <c r="M332" s="116"/>
      <c r="N332" s="140" t="s">
        <v>33</v>
      </c>
      <c r="O332" s="17">
        <v>1</v>
      </c>
      <c r="P332" s="116"/>
      <c r="Q332" s="140" t="s">
        <v>34</v>
      </c>
      <c r="R332" s="17">
        <v>1</v>
      </c>
      <c r="S332" s="116"/>
      <c r="T332" s="140" t="s">
        <v>57</v>
      </c>
      <c r="U332" s="17">
        <v>1</v>
      </c>
      <c r="V332" s="116"/>
      <c r="W332" s="143" t="s">
        <v>92</v>
      </c>
      <c r="X332" s="17">
        <v>1</v>
      </c>
      <c r="Y332" s="116"/>
      <c r="Z332" s="140" t="s">
        <v>58</v>
      </c>
      <c r="AA332" s="17">
        <v>2</v>
      </c>
      <c r="AB332" s="116"/>
      <c r="AC332" s="140" t="s">
        <v>59</v>
      </c>
      <c r="AD332" s="39">
        <v>2</v>
      </c>
      <c r="AE332" s="116"/>
      <c r="AF332" s="140" t="s">
        <v>83</v>
      </c>
      <c r="AG332" s="17">
        <v>2</v>
      </c>
      <c r="AH332" s="116"/>
      <c r="AI332" s="140" t="s">
        <v>40</v>
      </c>
      <c r="AJ332" s="25">
        <v>0</v>
      </c>
      <c r="AK332" s="129"/>
      <c r="AL332" s="140" t="s">
        <v>85</v>
      </c>
      <c r="AM332" s="17">
        <v>2</v>
      </c>
      <c r="AN332" s="116"/>
      <c r="AO332" s="140" t="s">
        <v>72</v>
      </c>
      <c r="AP332" s="39">
        <v>3</v>
      </c>
      <c r="AQ332" s="116"/>
      <c r="AR332" s="140" t="s">
        <v>99</v>
      </c>
      <c r="AS332" s="17">
        <v>1</v>
      </c>
      <c r="AT332" s="116"/>
      <c r="AU332" s="140" t="s">
        <v>86</v>
      </c>
      <c r="AV332" s="17">
        <v>0</v>
      </c>
      <c r="AW332" s="116"/>
      <c r="AX332" s="140" t="s">
        <v>62</v>
      </c>
      <c r="AY332" s="39">
        <v>1</v>
      </c>
      <c r="AZ332" s="116"/>
      <c r="BA332" s="140" t="s">
        <v>69</v>
      </c>
      <c r="BB332" s="17">
        <v>1</v>
      </c>
      <c r="BC332" s="17">
        <v>0</v>
      </c>
      <c r="BD332" s="17">
        <v>1</v>
      </c>
      <c r="BE332" s="17">
        <v>0</v>
      </c>
      <c r="BF332" s="17">
        <v>0</v>
      </c>
      <c r="BG332" s="17">
        <v>0</v>
      </c>
      <c r="BH332" s="142" t="s">
        <v>47</v>
      </c>
      <c r="BI332" s="17">
        <v>0</v>
      </c>
      <c r="BJ332" s="134"/>
      <c r="BK332" s="140" t="s">
        <v>75</v>
      </c>
      <c r="BL332" s="17">
        <v>2</v>
      </c>
      <c r="BM332" s="116"/>
      <c r="BN332" s="140" t="s">
        <v>64</v>
      </c>
      <c r="BO332" s="17">
        <v>0</v>
      </c>
      <c r="BP332" s="119"/>
      <c r="BQ332" s="140" t="s">
        <v>87</v>
      </c>
      <c r="BR332" s="17">
        <v>2</v>
      </c>
      <c r="BS332" s="117"/>
      <c r="BT332" s="140" t="s">
        <v>65</v>
      </c>
      <c r="BU332" s="17">
        <v>0</v>
      </c>
      <c r="BV332" s="116"/>
      <c r="BW332" s="140" t="s">
        <v>147</v>
      </c>
      <c r="BX332" s="17">
        <v>1</v>
      </c>
      <c r="BY332" s="116"/>
      <c r="BZ332" s="140" t="s">
        <v>67</v>
      </c>
      <c r="CA332" s="39">
        <v>2</v>
      </c>
      <c r="CB332" s="116"/>
      <c r="CC332" s="140" t="s">
        <v>76</v>
      </c>
      <c r="CD332" s="17">
        <v>1</v>
      </c>
      <c r="CE332" s="119"/>
      <c r="CF332" s="140" t="s">
        <v>77</v>
      </c>
      <c r="CG332" s="39">
        <v>0</v>
      </c>
      <c r="CH332" s="116"/>
      <c r="CI332" s="143" t="s">
        <v>89</v>
      </c>
      <c r="CJ332" s="33">
        <v>0</v>
      </c>
      <c r="CK332" s="38">
        <v>1</v>
      </c>
      <c r="CL332" s="38">
        <v>0</v>
      </c>
      <c r="CM332" s="38">
        <v>0</v>
      </c>
      <c r="CN332" s="140" t="s">
        <v>137</v>
      </c>
    </row>
    <row r="333" spans="1:92" ht="15.75" customHeight="1" x14ac:dyDescent="0.15">
      <c r="A333" s="141" t="s">
        <v>591</v>
      </c>
      <c r="B333" s="142" t="s">
        <v>29</v>
      </c>
      <c r="C333" s="39">
        <v>2</v>
      </c>
      <c r="D333" s="116"/>
      <c r="E333" s="140" t="s">
        <v>55</v>
      </c>
      <c r="F333" s="39">
        <v>1</v>
      </c>
      <c r="G333" s="116"/>
      <c r="H333" s="140" t="s">
        <v>31</v>
      </c>
      <c r="I333" s="39">
        <v>2</v>
      </c>
      <c r="J333" s="116"/>
      <c r="K333" s="145" t="s">
        <v>116</v>
      </c>
      <c r="L333" s="39">
        <v>0</v>
      </c>
      <c r="M333" s="116"/>
      <c r="N333" s="140" t="s">
        <v>145</v>
      </c>
      <c r="O333" s="39">
        <v>1</v>
      </c>
      <c r="P333" s="116"/>
      <c r="Q333" s="140" t="s">
        <v>34</v>
      </c>
      <c r="R333" s="39">
        <v>2</v>
      </c>
      <c r="S333" s="116"/>
      <c r="T333" s="140" t="s">
        <v>35</v>
      </c>
      <c r="U333" s="39">
        <v>2</v>
      </c>
      <c r="V333" s="116"/>
      <c r="W333" s="143" t="s">
        <v>36</v>
      </c>
      <c r="X333" s="39">
        <v>2</v>
      </c>
      <c r="Y333" s="116"/>
      <c r="Z333" s="140" t="s">
        <v>37</v>
      </c>
      <c r="AA333" s="39">
        <v>3</v>
      </c>
      <c r="AB333" s="116"/>
      <c r="AC333" s="140" t="s">
        <v>38</v>
      </c>
      <c r="AD333" s="39">
        <v>2</v>
      </c>
      <c r="AE333" s="116"/>
      <c r="AF333" s="140" t="s">
        <v>83</v>
      </c>
      <c r="AG333" s="39">
        <v>3</v>
      </c>
      <c r="AH333" s="116"/>
      <c r="AI333" s="140" t="s">
        <v>94</v>
      </c>
      <c r="AJ333" s="40">
        <v>3</v>
      </c>
      <c r="AK333" s="129"/>
      <c r="AL333" s="140" t="s">
        <v>41</v>
      </c>
      <c r="AM333" s="39">
        <v>3</v>
      </c>
      <c r="AN333" s="116"/>
      <c r="AO333" s="140" t="s">
        <v>42</v>
      </c>
      <c r="AP333" s="39">
        <v>4</v>
      </c>
      <c r="AQ333" s="116"/>
      <c r="AR333" s="140" t="s">
        <v>43</v>
      </c>
      <c r="AS333" s="39">
        <v>3</v>
      </c>
      <c r="AT333" s="116"/>
      <c r="AU333" s="140" t="s">
        <v>79</v>
      </c>
      <c r="AV333" s="39">
        <v>2</v>
      </c>
      <c r="AW333" s="116"/>
      <c r="AX333" s="140" t="s">
        <v>80</v>
      </c>
      <c r="AY333" s="39">
        <v>3</v>
      </c>
      <c r="AZ333" s="116"/>
      <c r="BA333" s="140" t="s">
        <v>46</v>
      </c>
      <c r="BB333" s="39">
        <v>0</v>
      </c>
      <c r="BC333" s="39">
        <v>1</v>
      </c>
      <c r="BD333" s="39">
        <v>1</v>
      </c>
      <c r="BE333" s="39">
        <v>0</v>
      </c>
      <c r="BF333" s="39">
        <v>0</v>
      </c>
      <c r="BG333" s="39">
        <v>0</v>
      </c>
      <c r="BH333" s="142" t="s">
        <v>105</v>
      </c>
      <c r="BI333" s="39">
        <v>2</v>
      </c>
      <c r="BJ333" s="134"/>
      <c r="BK333" s="140" t="s">
        <v>48</v>
      </c>
      <c r="BL333" s="39">
        <v>3</v>
      </c>
      <c r="BM333" s="116"/>
      <c r="BN333" s="140" t="s">
        <v>49</v>
      </c>
      <c r="BO333" s="39">
        <v>2</v>
      </c>
      <c r="BP333" s="116"/>
      <c r="BQ333" s="140" t="s">
        <v>117</v>
      </c>
      <c r="BR333" s="39">
        <v>3</v>
      </c>
      <c r="BS333" s="117"/>
      <c r="BT333" s="140" t="s">
        <v>38</v>
      </c>
      <c r="BU333" s="39">
        <v>2</v>
      </c>
      <c r="BV333" s="116"/>
      <c r="BW333" s="140" t="s">
        <v>51</v>
      </c>
      <c r="BX333" s="39">
        <v>2</v>
      </c>
      <c r="BY333" s="116"/>
      <c r="BZ333" s="140" t="s">
        <v>97</v>
      </c>
      <c r="CA333" s="39">
        <v>3</v>
      </c>
      <c r="CB333" s="116"/>
      <c r="CC333" s="140" t="s">
        <v>36</v>
      </c>
      <c r="CD333" s="39">
        <v>2</v>
      </c>
      <c r="CE333" s="116"/>
      <c r="CF333" s="140" t="s">
        <v>36</v>
      </c>
      <c r="CG333" s="39">
        <v>3</v>
      </c>
      <c r="CH333" s="116"/>
      <c r="CI333" s="143" t="s">
        <v>53</v>
      </c>
      <c r="CJ333" s="41">
        <v>1</v>
      </c>
      <c r="CK333" s="42">
        <v>1</v>
      </c>
      <c r="CL333" s="42">
        <v>0</v>
      </c>
      <c r="CM333" s="42">
        <v>0</v>
      </c>
      <c r="CN333" s="140" t="s">
        <v>82</v>
      </c>
    </row>
    <row r="334" spans="1:92" ht="15.75" customHeight="1" x14ac:dyDescent="0.15">
      <c r="A334" s="141" t="s">
        <v>614</v>
      </c>
      <c r="B334" s="142" t="s">
        <v>29</v>
      </c>
      <c r="C334" s="39">
        <v>2</v>
      </c>
      <c r="D334" s="116"/>
      <c r="E334" s="152" t="s">
        <v>55</v>
      </c>
      <c r="F334" s="39">
        <v>1</v>
      </c>
      <c r="G334" s="116"/>
      <c r="H334" s="140" t="s">
        <v>31</v>
      </c>
      <c r="I334" s="39">
        <v>3</v>
      </c>
      <c r="J334" s="116"/>
      <c r="K334" s="145" t="s">
        <v>56</v>
      </c>
      <c r="L334" s="39">
        <v>2</v>
      </c>
      <c r="M334" s="116"/>
      <c r="N334" s="140" t="s">
        <v>33</v>
      </c>
      <c r="O334" s="39">
        <v>1</v>
      </c>
      <c r="P334" s="116"/>
      <c r="Q334" s="153" t="s">
        <v>34</v>
      </c>
      <c r="R334" s="39">
        <v>2</v>
      </c>
      <c r="S334" s="116"/>
      <c r="T334" s="153" t="s">
        <v>35</v>
      </c>
      <c r="U334" s="39">
        <v>2</v>
      </c>
      <c r="V334" s="116"/>
      <c r="W334" s="153" t="s">
        <v>36</v>
      </c>
      <c r="X334" s="39">
        <v>2</v>
      </c>
      <c r="Y334" s="116"/>
      <c r="Z334" s="153" t="s">
        <v>37</v>
      </c>
      <c r="AA334" s="39">
        <v>3</v>
      </c>
      <c r="AB334" s="116"/>
      <c r="AC334" s="153" t="s">
        <v>38</v>
      </c>
      <c r="AD334" s="39">
        <v>1</v>
      </c>
      <c r="AE334" s="116"/>
      <c r="AF334" s="154" t="s">
        <v>39</v>
      </c>
      <c r="AG334" s="39">
        <v>3</v>
      </c>
      <c r="AH334" s="116"/>
      <c r="AI334" s="154" t="s">
        <v>94</v>
      </c>
      <c r="AJ334" s="40">
        <v>3</v>
      </c>
      <c r="AK334" s="129"/>
      <c r="AL334" s="155" t="s">
        <v>41</v>
      </c>
      <c r="AM334" s="39">
        <v>3</v>
      </c>
      <c r="AN334" s="116"/>
      <c r="AO334" s="153" t="s">
        <v>42</v>
      </c>
      <c r="AP334" s="39">
        <v>4</v>
      </c>
      <c r="AQ334" s="116"/>
      <c r="AR334" s="140" t="s">
        <v>43</v>
      </c>
      <c r="AS334" s="39">
        <v>2</v>
      </c>
      <c r="AT334" s="116"/>
      <c r="AU334" s="153" t="s">
        <v>44</v>
      </c>
      <c r="AV334" s="39">
        <v>2</v>
      </c>
      <c r="AW334" s="116"/>
      <c r="AX334" s="153" t="s">
        <v>80</v>
      </c>
      <c r="AY334" s="39">
        <v>3</v>
      </c>
      <c r="AZ334" s="116"/>
      <c r="BA334" s="140" t="s">
        <v>46</v>
      </c>
      <c r="BB334" s="39">
        <v>1</v>
      </c>
      <c r="BC334" s="39">
        <v>0</v>
      </c>
      <c r="BD334" s="39">
        <v>1</v>
      </c>
      <c r="BE334" s="39">
        <v>0</v>
      </c>
      <c r="BF334" s="39">
        <v>0</v>
      </c>
      <c r="BG334" s="39">
        <v>0</v>
      </c>
      <c r="BH334" s="142" t="s">
        <v>47</v>
      </c>
      <c r="BI334" s="39">
        <v>2</v>
      </c>
      <c r="BJ334" s="134"/>
      <c r="BK334" s="153" t="s">
        <v>48</v>
      </c>
      <c r="BL334" s="39">
        <v>2</v>
      </c>
      <c r="BM334" s="116"/>
      <c r="BN334" s="153" t="s">
        <v>64</v>
      </c>
      <c r="BO334" s="39">
        <v>2</v>
      </c>
      <c r="BP334" s="116"/>
      <c r="BQ334" s="140" t="s">
        <v>117</v>
      </c>
      <c r="BR334" s="39">
        <v>3</v>
      </c>
      <c r="BS334" s="117"/>
      <c r="BT334" s="153" t="s">
        <v>38</v>
      </c>
      <c r="BU334" s="39">
        <v>1</v>
      </c>
      <c r="BV334" s="116"/>
      <c r="BW334" s="153" t="s">
        <v>66</v>
      </c>
      <c r="BX334" s="39">
        <v>2</v>
      </c>
      <c r="BY334" s="116"/>
      <c r="BZ334" s="153" t="s">
        <v>97</v>
      </c>
      <c r="CA334" s="39">
        <v>3</v>
      </c>
      <c r="CB334" s="116"/>
      <c r="CC334" s="153" t="s">
        <v>36</v>
      </c>
      <c r="CD334" s="39">
        <v>1</v>
      </c>
      <c r="CE334" s="116"/>
      <c r="CF334" s="140" t="s">
        <v>77</v>
      </c>
      <c r="CG334" s="39">
        <v>3</v>
      </c>
      <c r="CH334" s="116"/>
      <c r="CI334" s="143" t="s">
        <v>53</v>
      </c>
      <c r="CJ334" s="41">
        <v>1</v>
      </c>
      <c r="CK334" s="42">
        <v>1</v>
      </c>
      <c r="CL334" s="42">
        <v>0</v>
      </c>
      <c r="CM334" s="42">
        <v>0</v>
      </c>
      <c r="CN334" s="152" t="s">
        <v>82</v>
      </c>
    </row>
    <row r="335" spans="1:92" ht="15.75" customHeight="1" x14ac:dyDescent="0.15">
      <c r="A335" s="156" t="s">
        <v>615</v>
      </c>
      <c r="B335" s="157" t="s">
        <v>29</v>
      </c>
      <c r="C335" s="22">
        <v>3</v>
      </c>
      <c r="E335" s="158" t="s">
        <v>90</v>
      </c>
      <c r="F335" s="39">
        <v>1</v>
      </c>
      <c r="H335" s="158" t="s">
        <v>31</v>
      </c>
      <c r="I335" s="39">
        <v>2</v>
      </c>
      <c r="K335" s="159" t="s">
        <v>116</v>
      </c>
      <c r="L335" s="39">
        <v>2</v>
      </c>
      <c r="N335" s="158" t="s">
        <v>33</v>
      </c>
      <c r="O335" s="39">
        <v>1</v>
      </c>
      <c r="Q335" s="160" t="s">
        <v>34</v>
      </c>
      <c r="R335" s="17">
        <v>1</v>
      </c>
      <c r="T335" s="158" t="s">
        <v>57</v>
      </c>
      <c r="U335" s="17">
        <v>1</v>
      </c>
      <c r="W335" s="161" t="s">
        <v>92</v>
      </c>
      <c r="X335" s="17">
        <v>1</v>
      </c>
      <c r="Z335" s="158" t="s">
        <v>58</v>
      </c>
      <c r="AA335" s="17">
        <v>2</v>
      </c>
      <c r="AC335" s="158" t="s">
        <v>59</v>
      </c>
      <c r="AD335" s="39">
        <v>2</v>
      </c>
      <c r="AF335" s="162" t="s">
        <v>83</v>
      </c>
      <c r="AG335" s="39">
        <v>3</v>
      </c>
      <c r="AI335" s="163" t="s">
        <v>94</v>
      </c>
      <c r="AJ335" s="22">
        <v>2</v>
      </c>
      <c r="AL335" s="153" t="s">
        <v>71</v>
      </c>
      <c r="AM335" s="22">
        <v>2</v>
      </c>
      <c r="AO335" s="153" t="s">
        <v>72</v>
      </c>
      <c r="AP335" s="39">
        <v>4</v>
      </c>
      <c r="AR335" s="140" t="s">
        <v>43</v>
      </c>
      <c r="AS335" s="22">
        <v>3</v>
      </c>
      <c r="AU335" s="140" t="s">
        <v>79</v>
      </c>
      <c r="AV335" s="39">
        <v>2</v>
      </c>
      <c r="AX335" s="140" t="s">
        <v>80</v>
      </c>
      <c r="AY335" s="39">
        <v>3</v>
      </c>
      <c r="BA335" s="140" t="s">
        <v>46</v>
      </c>
      <c r="BB335" s="22">
        <v>1</v>
      </c>
      <c r="BC335" s="22">
        <v>0</v>
      </c>
      <c r="BD335" s="22">
        <v>1</v>
      </c>
      <c r="BE335" s="22">
        <v>0</v>
      </c>
      <c r="BF335" s="39">
        <v>0</v>
      </c>
      <c r="BG335" s="31">
        <v>0</v>
      </c>
      <c r="BH335" s="157" t="s">
        <v>47</v>
      </c>
      <c r="BI335" s="31">
        <v>2</v>
      </c>
      <c r="BK335" s="140" t="s">
        <v>48</v>
      </c>
      <c r="BL335" s="31">
        <v>3</v>
      </c>
      <c r="BN335" s="140" t="s">
        <v>49</v>
      </c>
      <c r="BO335" s="22">
        <v>2</v>
      </c>
      <c r="BQ335" s="140" t="s">
        <v>117</v>
      </c>
      <c r="BR335" s="22">
        <v>3</v>
      </c>
      <c r="BT335" s="140" t="s">
        <v>38</v>
      </c>
      <c r="BU335" s="39">
        <v>2</v>
      </c>
      <c r="BW335" s="140" t="s">
        <v>51</v>
      </c>
      <c r="BX335" s="22">
        <v>3</v>
      </c>
      <c r="BZ335" s="140" t="s">
        <v>52</v>
      </c>
      <c r="CA335" s="39">
        <v>3</v>
      </c>
      <c r="CC335" s="140" t="s">
        <v>36</v>
      </c>
      <c r="CD335" s="39">
        <v>1</v>
      </c>
      <c r="CF335" s="140" t="s">
        <v>77</v>
      </c>
      <c r="CG335" s="39">
        <v>3</v>
      </c>
      <c r="CI335" s="140" t="s">
        <v>53</v>
      </c>
      <c r="CJ335" s="41">
        <v>1</v>
      </c>
      <c r="CK335" s="22">
        <v>1</v>
      </c>
      <c r="CL335" s="42">
        <v>0</v>
      </c>
      <c r="CM335" s="42">
        <v>0</v>
      </c>
      <c r="CN335" s="140" t="s">
        <v>68</v>
      </c>
    </row>
    <row r="336" spans="1:92" ht="15.75" customHeight="1" x14ac:dyDescent="0.15">
      <c r="A336" s="140" t="s">
        <v>616</v>
      </c>
      <c r="B336" s="157" t="s">
        <v>29</v>
      </c>
      <c r="C336" s="22">
        <v>2</v>
      </c>
      <c r="E336" s="140" t="s">
        <v>55</v>
      </c>
      <c r="F336" s="39">
        <v>1</v>
      </c>
      <c r="H336" s="140" t="s">
        <v>31</v>
      </c>
      <c r="I336" s="39">
        <v>1</v>
      </c>
      <c r="K336" s="143" t="s">
        <v>32</v>
      </c>
      <c r="L336" s="39">
        <v>2</v>
      </c>
      <c r="N336" s="140" t="s">
        <v>33</v>
      </c>
      <c r="O336" s="39">
        <v>1</v>
      </c>
      <c r="Q336" s="160" t="s">
        <v>34</v>
      </c>
      <c r="R336" s="22">
        <v>2</v>
      </c>
      <c r="T336" s="140" t="s">
        <v>35</v>
      </c>
      <c r="U336" s="22">
        <v>2</v>
      </c>
      <c r="W336" s="140" t="s">
        <v>36</v>
      </c>
      <c r="X336" s="22">
        <v>2</v>
      </c>
      <c r="Z336" s="140" t="s">
        <v>37</v>
      </c>
      <c r="AA336" s="22">
        <v>3</v>
      </c>
      <c r="AC336" s="140" t="s">
        <v>38</v>
      </c>
      <c r="AD336" s="22">
        <v>2</v>
      </c>
      <c r="AF336" s="140" t="s">
        <v>83</v>
      </c>
      <c r="AG336" s="27">
        <v>3</v>
      </c>
      <c r="AI336" s="140" t="s">
        <v>94</v>
      </c>
      <c r="AJ336" s="22">
        <v>3</v>
      </c>
      <c r="AL336" s="140" t="s">
        <v>41</v>
      </c>
      <c r="AM336" s="22">
        <v>3</v>
      </c>
      <c r="AO336" s="140" t="s">
        <v>42</v>
      </c>
      <c r="AP336" s="39">
        <v>4</v>
      </c>
      <c r="AR336" s="140" t="s">
        <v>43</v>
      </c>
      <c r="AS336" s="22">
        <v>3</v>
      </c>
      <c r="AU336" s="140" t="s">
        <v>79</v>
      </c>
      <c r="AV336" s="39">
        <v>2</v>
      </c>
      <c r="AX336" s="140" t="s">
        <v>80</v>
      </c>
      <c r="AY336" s="39">
        <v>3</v>
      </c>
      <c r="BA336" s="140" t="s">
        <v>46</v>
      </c>
      <c r="BB336" s="22">
        <v>1</v>
      </c>
      <c r="BC336" s="22">
        <v>0</v>
      </c>
      <c r="BD336" s="22">
        <v>1</v>
      </c>
      <c r="BE336" s="22">
        <v>0</v>
      </c>
      <c r="BF336" s="39">
        <v>0</v>
      </c>
      <c r="BG336" s="31">
        <v>0</v>
      </c>
      <c r="BH336" s="140" t="s">
        <v>47</v>
      </c>
      <c r="BI336" s="31">
        <v>2</v>
      </c>
      <c r="BK336" s="140" t="s">
        <v>48</v>
      </c>
      <c r="BL336" s="31">
        <v>3</v>
      </c>
      <c r="BN336" s="140" t="s">
        <v>49</v>
      </c>
      <c r="BO336" s="22">
        <v>2</v>
      </c>
      <c r="BQ336" s="140" t="s">
        <v>117</v>
      </c>
      <c r="BR336" s="22">
        <v>3</v>
      </c>
      <c r="BT336" s="140" t="s">
        <v>38</v>
      </c>
      <c r="BU336" s="39">
        <v>2</v>
      </c>
      <c r="BW336" s="140" t="s">
        <v>51</v>
      </c>
      <c r="BX336" s="22">
        <v>3</v>
      </c>
      <c r="BZ336" s="140" t="s">
        <v>52</v>
      </c>
      <c r="CA336" s="39">
        <v>3</v>
      </c>
      <c r="CC336" s="140" t="s">
        <v>36</v>
      </c>
      <c r="CD336" s="39">
        <v>1</v>
      </c>
      <c r="CF336" s="140" t="s">
        <v>77</v>
      </c>
      <c r="CG336" s="39">
        <v>3</v>
      </c>
      <c r="CI336" s="140" t="s">
        <v>53</v>
      </c>
      <c r="CJ336" s="22">
        <v>1</v>
      </c>
      <c r="CK336" s="42">
        <v>1</v>
      </c>
      <c r="CL336" s="42">
        <v>0</v>
      </c>
      <c r="CM336" s="42">
        <v>0</v>
      </c>
      <c r="CN336" s="140" t="s">
        <v>68</v>
      </c>
    </row>
    <row r="337" spans="1:92" ht="15.75" customHeight="1" x14ac:dyDescent="0.15">
      <c r="A337" s="140" t="s">
        <v>617</v>
      </c>
      <c r="B337" s="157" t="s">
        <v>29</v>
      </c>
      <c r="C337" s="22">
        <v>2</v>
      </c>
      <c r="E337" s="140" t="s">
        <v>55</v>
      </c>
      <c r="F337" s="39">
        <v>1</v>
      </c>
      <c r="H337" s="140" t="s">
        <v>31</v>
      </c>
      <c r="I337" s="39">
        <v>3</v>
      </c>
      <c r="K337" s="143" t="s">
        <v>56</v>
      </c>
      <c r="L337" s="39">
        <v>2</v>
      </c>
      <c r="N337" s="140" t="s">
        <v>33</v>
      </c>
      <c r="O337" s="39">
        <v>1</v>
      </c>
      <c r="Q337" s="160" t="s">
        <v>34</v>
      </c>
      <c r="R337" s="22">
        <v>2</v>
      </c>
      <c r="T337" s="140" t="s">
        <v>35</v>
      </c>
      <c r="U337" s="22">
        <v>2</v>
      </c>
      <c r="W337" s="140" t="s">
        <v>36</v>
      </c>
      <c r="X337" s="22">
        <v>1</v>
      </c>
      <c r="Z337" s="140" t="s">
        <v>58</v>
      </c>
      <c r="AA337" s="22">
        <v>3</v>
      </c>
      <c r="AC337" s="140" t="s">
        <v>38</v>
      </c>
      <c r="AD337" s="22">
        <v>2</v>
      </c>
      <c r="AF337" s="140" t="s">
        <v>83</v>
      </c>
      <c r="AG337" s="27">
        <v>3</v>
      </c>
      <c r="AI337" s="140" t="s">
        <v>94</v>
      </c>
      <c r="AJ337" s="22">
        <v>3</v>
      </c>
      <c r="AL337" s="140" t="s">
        <v>41</v>
      </c>
      <c r="AM337" s="22">
        <v>3</v>
      </c>
      <c r="AO337" s="140" t="s">
        <v>42</v>
      </c>
      <c r="AP337" s="39">
        <v>4</v>
      </c>
      <c r="AR337" s="140" t="s">
        <v>43</v>
      </c>
      <c r="AS337" s="22">
        <v>3</v>
      </c>
      <c r="AU337" s="140" t="s">
        <v>79</v>
      </c>
      <c r="AV337" s="39">
        <v>2</v>
      </c>
      <c r="AX337" s="140" t="s">
        <v>80</v>
      </c>
      <c r="AY337" s="39">
        <v>2</v>
      </c>
      <c r="BA337" s="140" t="s">
        <v>59</v>
      </c>
      <c r="BB337" s="22">
        <v>1</v>
      </c>
      <c r="BC337" s="22">
        <v>0</v>
      </c>
      <c r="BD337" s="22">
        <v>1</v>
      </c>
      <c r="BE337" s="22">
        <v>0</v>
      </c>
      <c r="BF337" s="39">
        <v>0</v>
      </c>
      <c r="BG337" s="31">
        <v>0</v>
      </c>
      <c r="BH337" s="140" t="s">
        <v>47</v>
      </c>
      <c r="BI337" s="31">
        <v>0</v>
      </c>
      <c r="BK337" s="140" t="s">
        <v>75</v>
      </c>
      <c r="BL337" s="31">
        <v>2</v>
      </c>
      <c r="BN337" s="140" t="s">
        <v>64</v>
      </c>
      <c r="BO337" s="22">
        <v>2</v>
      </c>
      <c r="BQ337" s="140" t="s">
        <v>117</v>
      </c>
      <c r="BR337" s="22">
        <v>3</v>
      </c>
      <c r="BT337" s="140" t="s">
        <v>38</v>
      </c>
      <c r="BU337" s="39">
        <v>0</v>
      </c>
      <c r="BW337" s="140" t="s">
        <v>88</v>
      </c>
      <c r="BX337" s="22">
        <v>2</v>
      </c>
      <c r="BZ337" s="140" t="s">
        <v>97</v>
      </c>
      <c r="CA337" s="39">
        <v>1</v>
      </c>
      <c r="CC337" s="140" t="s">
        <v>77</v>
      </c>
      <c r="CD337" s="39">
        <v>1</v>
      </c>
      <c r="CF337" s="140" t="s">
        <v>77</v>
      </c>
      <c r="CG337" s="39">
        <v>3</v>
      </c>
      <c r="CI337" s="140" t="s">
        <v>53</v>
      </c>
      <c r="CJ337" s="22">
        <v>1</v>
      </c>
      <c r="CK337" s="42">
        <v>0</v>
      </c>
      <c r="CL337" s="42">
        <v>1</v>
      </c>
      <c r="CM337" s="42">
        <v>0</v>
      </c>
      <c r="CN337" s="140" t="s">
        <v>54</v>
      </c>
    </row>
    <row r="338" spans="1:92" ht="15.75" customHeight="1" x14ac:dyDescent="0.15">
      <c r="A338" s="140" t="s">
        <v>618</v>
      </c>
      <c r="B338" s="157" t="s">
        <v>29</v>
      </c>
      <c r="C338" s="22">
        <v>3</v>
      </c>
      <c r="E338" s="140" t="s">
        <v>90</v>
      </c>
      <c r="F338" s="39">
        <v>1</v>
      </c>
      <c r="H338" s="140" t="s">
        <v>31</v>
      </c>
      <c r="I338" s="39">
        <v>1</v>
      </c>
      <c r="K338" s="143" t="s">
        <v>32</v>
      </c>
      <c r="L338" s="39">
        <v>2</v>
      </c>
      <c r="N338" s="140" t="s">
        <v>33</v>
      </c>
      <c r="O338" s="39">
        <v>1</v>
      </c>
      <c r="Q338" s="160" t="s">
        <v>34</v>
      </c>
      <c r="R338" s="22">
        <v>1</v>
      </c>
      <c r="T338" s="140" t="s">
        <v>57</v>
      </c>
      <c r="U338" s="22">
        <v>1</v>
      </c>
      <c r="W338" s="140" t="s">
        <v>92</v>
      </c>
      <c r="X338" s="22">
        <v>1</v>
      </c>
      <c r="Z338" s="140" t="s">
        <v>58</v>
      </c>
      <c r="AA338" s="22">
        <v>1</v>
      </c>
      <c r="AC338" s="140" t="s">
        <v>69</v>
      </c>
      <c r="AD338" s="22">
        <v>2</v>
      </c>
      <c r="AF338" s="140" t="s">
        <v>83</v>
      </c>
      <c r="AG338" s="27">
        <v>2</v>
      </c>
      <c r="AI338" s="140" t="s">
        <v>40</v>
      </c>
      <c r="AJ338" s="22">
        <v>3</v>
      </c>
      <c r="AL338" s="140" t="s">
        <v>41</v>
      </c>
      <c r="AM338" s="22">
        <v>2</v>
      </c>
      <c r="AO338" s="140" t="s">
        <v>72</v>
      </c>
      <c r="AP338" s="39">
        <v>3</v>
      </c>
      <c r="AR338" s="140" t="s">
        <v>61</v>
      </c>
      <c r="AS338" s="22">
        <v>2</v>
      </c>
      <c r="AU338" s="140" t="s">
        <v>44</v>
      </c>
      <c r="AV338" s="39">
        <v>0</v>
      </c>
      <c r="AX338" s="140" t="s">
        <v>62</v>
      </c>
      <c r="AY338" s="39">
        <v>2</v>
      </c>
      <c r="BA338" s="140" t="s">
        <v>59</v>
      </c>
      <c r="BB338" s="22">
        <v>1</v>
      </c>
      <c r="BC338" s="22">
        <v>0</v>
      </c>
      <c r="BD338" s="22">
        <v>1</v>
      </c>
      <c r="BE338" s="22">
        <v>0</v>
      </c>
      <c r="BF338" s="39">
        <v>0</v>
      </c>
      <c r="BG338" s="31">
        <v>0</v>
      </c>
      <c r="BH338" s="140" t="s">
        <v>47</v>
      </c>
      <c r="BI338" s="31">
        <v>0</v>
      </c>
      <c r="BK338" s="140" t="s">
        <v>75</v>
      </c>
      <c r="BL338" s="31">
        <v>2</v>
      </c>
      <c r="BN338" s="140" t="s">
        <v>64</v>
      </c>
      <c r="BO338" s="22">
        <v>2</v>
      </c>
      <c r="BQ338" s="140" t="s">
        <v>117</v>
      </c>
      <c r="BR338" s="22">
        <v>1</v>
      </c>
      <c r="BT338" s="140" t="s">
        <v>69</v>
      </c>
      <c r="BU338" s="39">
        <v>2</v>
      </c>
      <c r="BW338" s="140" t="s">
        <v>51</v>
      </c>
      <c r="BX338" s="22">
        <v>3</v>
      </c>
      <c r="BZ338" s="140" t="s">
        <v>52</v>
      </c>
      <c r="CA338" s="39">
        <v>2</v>
      </c>
      <c r="CC338" s="140" t="s">
        <v>76</v>
      </c>
      <c r="CD338" s="39">
        <v>1</v>
      </c>
      <c r="CF338" s="140" t="s">
        <v>77</v>
      </c>
      <c r="CG338" s="39">
        <v>2</v>
      </c>
      <c r="CI338" s="140" t="s">
        <v>78</v>
      </c>
      <c r="CJ338" s="42">
        <v>1</v>
      </c>
      <c r="CK338" s="22">
        <v>0</v>
      </c>
      <c r="CL338" s="42">
        <v>1</v>
      </c>
      <c r="CM338" s="42">
        <v>0</v>
      </c>
      <c r="CN338" s="140" t="s">
        <v>54</v>
      </c>
    </row>
    <row r="339" spans="1:92" ht="15.75" customHeight="1" x14ac:dyDescent="0.15">
      <c r="A339" s="140" t="s">
        <v>619</v>
      </c>
      <c r="B339" s="157" t="s">
        <v>29</v>
      </c>
      <c r="C339" s="22">
        <v>2</v>
      </c>
      <c r="E339" s="140" t="s">
        <v>55</v>
      </c>
      <c r="F339" s="39">
        <v>1</v>
      </c>
      <c r="H339" s="140" t="s">
        <v>31</v>
      </c>
      <c r="I339" s="39">
        <v>2</v>
      </c>
      <c r="K339" s="143" t="s">
        <v>116</v>
      </c>
      <c r="L339" s="39">
        <v>2</v>
      </c>
      <c r="N339" s="140" t="s">
        <v>33</v>
      </c>
      <c r="O339" s="39">
        <v>1</v>
      </c>
      <c r="Q339" s="160" t="s">
        <v>34</v>
      </c>
      <c r="R339" s="22">
        <v>2</v>
      </c>
      <c r="T339" s="140" t="s">
        <v>35</v>
      </c>
      <c r="U339" s="22">
        <v>2</v>
      </c>
      <c r="W339" s="140" t="s">
        <v>36</v>
      </c>
      <c r="X339" s="22">
        <v>2</v>
      </c>
      <c r="Z339" s="140" t="s">
        <v>37</v>
      </c>
      <c r="AA339" s="22">
        <v>3</v>
      </c>
      <c r="AC339" s="140" t="s">
        <v>38</v>
      </c>
      <c r="AD339" s="39">
        <v>4</v>
      </c>
      <c r="AF339" s="140" t="s">
        <v>93</v>
      </c>
      <c r="AG339" s="27">
        <v>3</v>
      </c>
      <c r="AI339" s="140" t="s">
        <v>94</v>
      </c>
      <c r="AJ339" s="22">
        <v>3</v>
      </c>
      <c r="AL339" s="140" t="s">
        <v>41</v>
      </c>
      <c r="AM339" s="22">
        <v>3</v>
      </c>
      <c r="AO339" s="140" t="s">
        <v>42</v>
      </c>
      <c r="AP339" s="39">
        <v>1</v>
      </c>
      <c r="AR339" s="162" t="s">
        <v>104</v>
      </c>
      <c r="AS339" s="22">
        <v>3</v>
      </c>
      <c r="AU339" s="140" t="s">
        <v>79</v>
      </c>
      <c r="AV339" s="39">
        <v>2</v>
      </c>
      <c r="AX339" s="140" t="s">
        <v>80</v>
      </c>
      <c r="AY339" s="39">
        <v>3</v>
      </c>
      <c r="BA339" s="140" t="s">
        <v>46</v>
      </c>
      <c r="BB339" s="22">
        <v>0</v>
      </c>
      <c r="BC339" s="22">
        <v>1</v>
      </c>
      <c r="BD339" s="22">
        <v>1</v>
      </c>
      <c r="BE339" s="22">
        <v>0</v>
      </c>
      <c r="BF339" s="39">
        <v>0</v>
      </c>
      <c r="BG339" s="31">
        <v>0</v>
      </c>
      <c r="BH339" s="140" t="s">
        <v>105</v>
      </c>
      <c r="BI339" s="31">
        <v>2</v>
      </c>
      <c r="BK339" s="140" t="s">
        <v>48</v>
      </c>
      <c r="BL339" s="31">
        <v>3</v>
      </c>
      <c r="BN339" s="140" t="s">
        <v>49</v>
      </c>
      <c r="BO339" s="22">
        <v>2</v>
      </c>
      <c r="BQ339" s="140" t="s">
        <v>117</v>
      </c>
      <c r="BR339" s="22">
        <v>3</v>
      </c>
      <c r="BT339" s="140" t="s">
        <v>38</v>
      </c>
      <c r="BU339" s="39">
        <v>0</v>
      </c>
      <c r="BW339" s="140" t="s">
        <v>88</v>
      </c>
      <c r="BX339" s="22">
        <v>2</v>
      </c>
      <c r="BZ339" s="140" t="s">
        <v>97</v>
      </c>
      <c r="CA339" s="39">
        <v>1</v>
      </c>
      <c r="CC339" s="140" t="s">
        <v>77</v>
      </c>
      <c r="CD339" s="39">
        <v>1</v>
      </c>
      <c r="CF339" s="140" t="s">
        <v>77</v>
      </c>
      <c r="CG339" s="39">
        <v>2</v>
      </c>
      <c r="CI339" s="140" t="s">
        <v>78</v>
      </c>
      <c r="CJ339" s="22">
        <v>0</v>
      </c>
      <c r="CK339" s="22">
        <v>1</v>
      </c>
      <c r="CL339" s="42">
        <v>1</v>
      </c>
      <c r="CM339" s="42">
        <v>0</v>
      </c>
      <c r="CN339" s="140" t="s">
        <v>98</v>
      </c>
    </row>
    <row r="340" spans="1:92" ht="15.75" customHeight="1" x14ac:dyDescent="0.15">
      <c r="A340" s="140" t="s">
        <v>620</v>
      </c>
      <c r="B340" s="157" t="s">
        <v>29</v>
      </c>
      <c r="C340" s="22">
        <v>2</v>
      </c>
      <c r="E340" s="140" t="s">
        <v>55</v>
      </c>
      <c r="F340" s="39">
        <v>1</v>
      </c>
      <c r="H340" s="140" t="s">
        <v>31</v>
      </c>
      <c r="I340" s="39">
        <v>2</v>
      </c>
      <c r="K340" s="143" t="s">
        <v>116</v>
      </c>
      <c r="L340" s="39">
        <v>2</v>
      </c>
      <c r="N340" s="140" t="s">
        <v>33</v>
      </c>
      <c r="O340" s="39">
        <v>1</v>
      </c>
      <c r="Q340" s="160" t="s">
        <v>34</v>
      </c>
      <c r="R340" s="22">
        <v>2</v>
      </c>
      <c r="T340" s="140" t="s">
        <v>35</v>
      </c>
      <c r="U340" s="22">
        <v>2</v>
      </c>
      <c r="W340" s="140" t="s">
        <v>36</v>
      </c>
      <c r="X340" s="22">
        <v>1</v>
      </c>
      <c r="Z340" s="140" t="s">
        <v>58</v>
      </c>
      <c r="AA340" s="22">
        <v>2</v>
      </c>
      <c r="AC340" s="140" t="s">
        <v>59</v>
      </c>
      <c r="AD340" s="22">
        <v>0</v>
      </c>
      <c r="AF340" s="140" t="s">
        <v>70</v>
      </c>
      <c r="AG340" s="27">
        <v>2</v>
      </c>
      <c r="AI340" s="140" t="s">
        <v>40</v>
      </c>
      <c r="AJ340" s="22">
        <v>3</v>
      </c>
      <c r="AL340" s="140" t="s">
        <v>41</v>
      </c>
      <c r="AM340" s="22">
        <v>3</v>
      </c>
      <c r="AO340" s="140" t="s">
        <v>42</v>
      </c>
      <c r="AP340" s="22">
        <v>3</v>
      </c>
      <c r="AR340" s="140" t="s">
        <v>61</v>
      </c>
      <c r="AS340" s="22">
        <v>2</v>
      </c>
      <c r="AU340" s="140" t="s">
        <v>44</v>
      </c>
      <c r="AV340" s="39">
        <v>1</v>
      </c>
      <c r="AX340" s="140" t="s">
        <v>45</v>
      </c>
      <c r="AY340" s="39">
        <v>1</v>
      </c>
      <c r="BA340" s="140" t="s">
        <v>69</v>
      </c>
      <c r="BB340" s="22">
        <v>1</v>
      </c>
      <c r="BC340" s="22">
        <v>0</v>
      </c>
      <c r="BD340" s="22">
        <v>1</v>
      </c>
      <c r="BE340" s="22">
        <v>0</v>
      </c>
      <c r="BF340" s="39">
        <v>0</v>
      </c>
      <c r="BG340" s="31">
        <v>0</v>
      </c>
      <c r="BH340" s="140" t="s">
        <v>47</v>
      </c>
      <c r="BI340" s="31">
        <v>0</v>
      </c>
      <c r="BK340" s="140" t="s">
        <v>75</v>
      </c>
      <c r="BL340" s="31">
        <v>2</v>
      </c>
      <c r="BN340" s="140" t="s">
        <v>64</v>
      </c>
      <c r="BO340" s="22">
        <v>1</v>
      </c>
      <c r="BQ340" s="140" t="s">
        <v>50</v>
      </c>
      <c r="BR340" s="22">
        <v>2</v>
      </c>
      <c r="BT340" s="140" t="s">
        <v>65</v>
      </c>
      <c r="BU340" s="39">
        <v>0</v>
      </c>
      <c r="BW340" s="140" t="s">
        <v>88</v>
      </c>
      <c r="BX340" s="22">
        <v>3</v>
      </c>
      <c r="BZ340" s="140" t="s">
        <v>52</v>
      </c>
      <c r="CA340" s="39">
        <v>3</v>
      </c>
      <c r="CC340" s="140" t="s">
        <v>36</v>
      </c>
      <c r="CD340" s="39">
        <v>1</v>
      </c>
      <c r="CF340" s="140" t="s">
        <v>77</v>
      </c>
      <c r="CG340" s="39">
        <v>2</v>
      </c>
      <c r="CI340" s="140" t="s">
        <v>78</v>
      </c>
      <c r="CJ340" s="42">
        <v>1</v>
      </c>
      <c r="CK340" s="42">
        <v>1</v>
      </c>
      <c r="CL340" s="42">
        <v>0</v>
      </c>
      <c r="CM340" s="42">
        <v>0</v>
      </c>
      <c r="CN340" s="140" t="s">
        <v>82</v>
      </c>
    </row>
    <row r="341" spans="1:92" ht="15.75" customHeight="1" x14ac:dyDescent="0.15">
      <c r="A341" s="140" t="s">
        <v>621</v>
      </c>
      <c r="B341" s="157" t="s">
        <v>29</v>
      </c>
      <c r="C341" s="22">
        <v>3</v>
      </c>
      <c r="E341" s="140" t="s">
        <v>90</v>
      </c>
      <c r="F341" s="39">
        <v>2</v>
      </c>
      <c r="H341" s="140" t="s">
        <v>91</v>
      </c>
      <c r="I341" s="39">
        <v>2</v>
      </c>
      <c r="K341" s="143" t="s">
        <v>116</v>
      </c>
      <c r="L341" s="39">
        <v>3</v>
      </c>
      <c r="N341" s="140" t="s">
        <v>148</v>
      </c>
      <c r="O341" s="39">
        <v>1</v>
      </c>
      <c r="Q341" s="160" t="s">
        <v>34</v>
      </c>
      <c r="R341" s="22">
        <v>2</v>
      </c>
      <c r="T341" s="140" t="s">
        <v>35</v>
      </c>
      <c r="U341" s="22">
        <v>0</v>
      </c>
      <c r="W341" s="140" t="s">
        <v>49</v>
      </c>
      <c r="X341" s="22">
        <v>1</v>
      </c>
      <c r="Z341" s="140" t="s">
        <v>58</v>
      </c>
      <c r="AA341" s="22">
        <v>2</v>
      </c>
      <c r="AC341" s="140" t="s">
        <v>59</v>
      </c>
      <c r="AD341" s="22">
        <v>1</v>
      </c>
      <c r="AF341" s="140" t="s">
        <v>39</v>
      </c>
      <c r="AG341" s="27">
        <v>3</v>
      </c>
      <c r="AI341" s="140" t="s">
        <v>94</v>
      </c>
      <c r="AJ341" s="22">
        <v>1</v>
      </c>
      <c r="AL341" s="140" t="s">
        <v>77</v>
      </c>
      <c r="AM341" s="22">
        <v>1</v>
      </c>
      <c r="AO341" s="140" t="s">
        <v>130</v>
      </c>
      <c r="AP341" s="22">
        <v>0</v>
      </c>
      <c r="AR341" s="140" t="s">
        <v>121</v>
      </c>
      <c r="AS341" s="22">
        <v>1</v>
      </c>
      <c r="AU341" s="140" t="s">
        <v>86</v>
      </c>
      <c r="AV341" s="39">
        <v>2</v>
      </c>
      <c r="AX341" s="140" t="s">
        <v>80</v>
      </c>
      <c r="AY341" s="39">
        <v>3</v>
      </c>
      <c r="BA341" s="140" t="s">
        <v>46</v>
      </c>
      <c r="BB341" s="22">
        <v>0</v>
      </c>
      <c r="BC341" s="22">
        <v>1</v>
      </c>
      <c r="BD341" s="22">
        <v>1</v>
      </c>
      <c r="BE341" s="22">
        <v>0</v>
      </c>
      <c r="BF341" s="39">
        <v>0</v>
      </c>
      <c r="BG341" s="39">
        <v>0</v>
      </c>
      <c r="BH341" s="143" t="s">
        <v>105</v>
      </c>
      <c r="BI341" s="31">
        <v>0</v>
      </c>
      <c r="BK341" s="140" t="s">
        <v>75</v>
      </c>
      <c r="BL341" s="31">
        <v>3</v>
      </c>
      <c r="BN341" s="140" t="s">
        <v>49</v>
      </c>
      <c r="BO341" s="22">
        <v>1</v>
      </c>
      <c r="BQ341" s="140" t="s">
        <v>50</v>
      </c>
      <c r="BR341" s="22">
        <v>1</v>
      </c>
      <c r="BT341" s="140" t="s">
        <v>69</v>
      </c>
      <c r="BU341" s="22">
        <v>2</v>
      </c>
      <c r="BW341" s="140" t="s">
        <v>51</v>
      </c>
      <c r="BX341" s="22">
        <v>3</v>
      </c>
      <c r="BZ341" s="140" t="s">
        <v>52</v>
      </c>
      <c r="CA341" s="22">
        <v>2</v>
      </c>
      <c r="CC341" s="140" t="s">
        <v>76</v>
      </c>
      <c r="CD341" s="22">
        <v>1</v>
      </c>
      <c r="CF341" s="140" t="s">
        <v>77</v>
      </c>
      <c r="CG341" s="22">
        <v>0</v>
      </c>
      <c r="CI341" s="140" t="s">
        <v>89</v>
      </c>
      <c r="CJ341" s="22">
        <v>0</v>
      </c>
      <c r="CK341" s="22">
        <v>0</v>
      </c>
      <c r="CL341" s="42">
        <v>1</v>
      </c>
      <c r="CM341" s="42">
        <v>0</v>
      </c>
      <c r="CN341" s="140" t="s">
        <v>120</v>
      </c>
    </row>
    <row r="342" spans="1:92" s="28" customFormat="1" ht="15.75" customHeight="1" x14ac:dyDescent="0.15"/>
    <row r="343" spans="1:92" s="28" customFormat="1" ht="15.75" customHeight="1" x14ac:dyDescent="0.15"/>
    <row r="344" spans="1:92" s="28" customFormat="1" ht="15.75" customHeight="1" x14ac:dyDescent="0.15"/>
    <row r="345" spans="1:92" s="28" customFormat="1" ht="15.75" customHeight="1" x14ac:dyDescent="0.15"/>
    <row r="346" spans="1:92" s="28" customFormat="1" ht="15.75" customHeight="1" x14ac:dyDescent="0.15"/>
    <row r="347" spans="1:92" s="28" customFormat="1" ht="15.75" customHeight="1" x14ac:dyDescent="0.15"/>
    <row r="348" spans="1:92" s="28" customFormat="1" ht="15.75" customHeight="1" x14ac:dyDescent="0.15"/>
    <row r="349" spans="1:92" s="28" customFormat="1" ht="15.75" customHeight="1" x14ac:dyDescent="0.15"/>
    <row r="350" spans="1:92" s="28" customFormat="1" ht="15.75" customHeight="1" x14ac:dyDescent="0.15"/>
    <row r="351" spans="1:92" s="28" customFormat="1" ht="15.75" customHeight="1" x14ac:dyDescent="0.15"/>
    <row r="352" spans="1:92" s="28" customFormat="1" ht="15.75" customHeight="1" x14ac:dyDescent="0.15"/>
    <row r="353" s="28" customFormat="1" ht="15.75" customHeight="1" x14ac:dyDescent="0.15"/>
    <row r="354" s="28" customFormat="1" ht="15.75" customHeight="1" x14ac:dyDescent="0.15"/>
    <row r="355" s="28" customFormat="1" ht="15.75" customHeight="1" x14ac:dyDescent="0.15"/>
    <row r="356" s="28" customFormat="1" ht="15.75" customHeight="1" x14ac:dyDescent="0.15"/>
    <row r="357" s="28" customFormat="1" ht="15.75" customHeight="1" x14ac:dyDescent="0.15"/>
    <row r="358" s="28" customFormat="1" ht="15.75" customHeight="1" x14ac:dyDescent="0.15"/>
    <row r="359" s="28" customFormat="1" ht="15.75" customHeight="1" x14ac:dyDescent="0.15"/>
    <row r="360" s="28" customFormat="1" ht="15.75" customHeight="1" x14ac:dyDescent="0.15"/>
    <row r="361" s="28" customFormat="1" ht="15.75" customHeight="1" x14ac:dyDescent="0.15"/>
    <row r="362" s="28" customFormat="1" ht="15.75" customHeight="1" x14ac:dyDescent="0.15"/>
    <row r="363" s="28" customFormat="1" ht="15.75" customHeight="1" x14ac:dyDescent="0.15"/>
    <row r="364" s="28" customFormat="1" ht="15.75" customHeight="1" x14ac:dyDescent="0.15"/>
    <row r="365" s="28" customFormat="1" ht="15.75" customHeight="1" x14ac:dyDescent="0.15"/>
    <row r="366" s="28" customFormat="1" ht="15.75" customHeight="1" x14ac:dyDescent="0.15"/>
    <row r="367" s="28" customFormat="1" ht="15.75" customHeight="1" x14ac:dyDescent="0.15"/>
    <row r="368" s="28" customFormat="1" ht="15.75" customHeight="1" x14ac:dyDescent="0.15"/>
    <row r="369" s="28" customFormat="1" ht="15.75" customHeight="1" x14ac:dyDescent="0.15"/>
    <row r="370" s="28" customFormat="1" ht="15.75" customHeight="1" x14ac:dyDescent="0.15"/>
    <row r="371" s="28" customFormat="1" ht="15.75" customHeight="1" x14ac:dyDescent="0.15"/>
    <row r="372" s="28" customFormat="1" ht="15.75" customHeight="1" x14ac:dyDescent="0.15"/>
    <row r="373" s="28" customFormat="1" ht="15.75" customHeight="1" x14ac:dyDescent="0.15"/>
    <row r="374" s="28" customFormat="1" ht="15.75" customHeight="1" x14ac:dyDescent="0.15"/>
    <row r="375" s="28" customFormat="1" ht="15.75" customHeight="1" x14ac:dyDescent="0.15"/>
    <row r="376" s="28" customFormat="1" ht="15.75" customHeight="1" x14ac:dyDescent="0.15"/>
    <row r="377" s="28" customFormat="1" ht="15.75" customHeight="1" x14ac:dyDescent="0.15"/>
    <row r="378" s="28" customFormat="1" ht="15.75" customHeight="1" x14ac:dyDescent="0.15"/>
    <row r="379" s="28" customFormat="1" ht="15.75" customHeight="1" x14ac:dyDescent="0.15"/>
    <row r="380" s="28" customFormat="1" ht="15.75" customHeight="1" x14ac:dyDescent="0.15"/>
    <row r="381" s="28" customFormat="1" ht="15.75" customHeight="1" x14ac:dyDescent="0.15"/>
    <row r="382" s="28" customFormat="1" ht="15.75" customHeight="1" x14ac:dyDescent="0.15"/>
    <row r="383" s="28" customFormat="1" ht="15.75" customHeight="1" x14ac:dyDescent="0.15"/>
    <row r="384" s="28" customFormat="1" ht="15.75" customHeight="1" x14ac:dyDescent="0.15"/>
    <row r="385" s="28" customFormat="1" ht="15.75" customHeight="1" x14ac:dyDescent="0.15"/>
    <row r="386" s="28" customFormat="1" ht="15.75" customHeight="1" x14ac:dyDescent="0.15"/>
    <row r="387" s="28" customFormat="1" ht="15.75" customHeight="1" x14ac:dyDescent="0.15"/>
    <row r="388" s="28" customFormat="1" ht="15.75" customHeight="1" x14ac:dyDescent="0.15"/>
    <row r="389" s="28" customFormat="1" ht="15.75" customHeight="1" x14ac:dyDescent="0.15"/>
    <row r="390" s="28" customFormat="1" ht="15.75" customHeight="1" x14ac:dyDescent="0.15"/>
    <row r="391" s="28" customFormat="1" ht="15.75" customHeight="1" x14ac:dyDescent="0.15"/>
    <row r="392" s="28" customFormat="1" ht="15.75" customHeight="1" x14ac:dyDescent="0.15"/>
    <row r="393" s="28" customFormat="1" ht="15.75" customHeight="1" x14ac:dyDescent="0.15"/>
    <row r="394" s="28" customFormat="1" ht="15.75" customHeight="1" x14ac:dyDescent="0.15"/>
    <row r="395" s="28" customFormat="1" ht="15.75" customHeight="1" x14ac:dyDescent="0.15"/>
    <row r="396" s="28" customFormat="1" ht="15.75" customHeight="1" x14ac:dyDescent="0.15"/>
    <row r="397" s="28" customFormat="1" ht="15.75" customHeight="1" x14ac:dyDescent="0.15"/>
    <row r="398" s="28" customFormat="1" ht="15.75" customHeight="1" x14ac:dyDescent="0.15"/>
    <row r="399" s="28" customFormat="1" ht="15.75" customHeight="1" x14ac:dyDescent="0.15"/>
    <row r="400" s="28" customFormat="1" ht="15.75" customHeight="1" x14ac:dyDescent="0.15"/>
    <row r="401" s="28" customFormat="1" ht="15.75" customHeight="1" x14ac:dyDescent="0.15"/>
    <row r="402" s="28" customFormat="1" ht="15.75" customHeight="1" x14ac:dyDescent="0.15"/>
    <row r="403" s="28" customFormat="1" ht="15.75" customHeight="1" x14ac:dyDescent="0.15"/>
    <row r="404" s="28" customFormat="1" ht="15.75" customHeight="1" x14ac:dyDescent="0.15"/>
    <row r="405" s="28" customFormat="1" ht="15.75" customHeight="1" x14ac:dyDescent="0.15"/>
    <row r="406" s="28" customFormat="1" ht="15.75" customHeight="1" x14ac:dyDescent="0.15"/>
    <row r="407" s="28" customFormat="1" ht="15.75" customHeight="1" x14ac:dyDescent="0.15"/>
    <row r="408" s="28" customFormat="1" ht="15.75" customHeight="1" x14ac:dyDescent="0.15"/>
    <row r="409" s="28" customFormat="1" ht="15.75" customHeight="1" x14ac:dyDescent="0.15"/>
    <row r="410" s="28" customFormat="1" ht="15.75" customHeight="1" x14ac:dyDescent="0.15"/>
    <row r="411" s="28" customFormat="1" ht="15.75" customHeight="1" x14ac:dyDescent="0.15"/>
    <row r="412" s="28" customFormat="1" ht="15.75" customHeight="1" x14ac:dyDescent="0.15"/>
    <row r="413" s="28" customFormat="1" ht="15.75" customHeight="1" x14ac:dyDescent="0.15"/>
    <row r="414" s="28" customFormat="1" ht="15.75" customHeight="1" x14ac:dyDescent="0.15"/>
    <row r="415" s="28" customFormat="1" ht="15.75" customHeight="1" x14ac:dyDescent="0.15"/>
    <row r="416" s="28" customFormat="1" ht="15.75" customHeight="1" x14ac:dyDescent="0.15"/>
    <row r="417" s="28" customFormat="1" ht="15.75" customHeight="1" x14ac:dyDescent="0.15"/>
    <row r="418" s="28" customFormat="1" ht="15.75" customHeight="1" x14ac:dyDescent="0.15"/>
    <row r="419" s="28" customFormat="1" ht="15.75" customHeight="1" x14ac:dyDescent="0.15"/>
    <row r="420" s="28" customFormat="1" ht="15.75" customHeight="1" x14ac:dyDescent="0.15"/>
    <row r="421" s="28" customFormat="1" ht="15.75" customHeight="1" x14ac:dyDescent="0.15"/>
    <row r="422" s="28" customFormat="1" ht="15.75" customHeight="1" x14ac:dyDescent="0.15"/>
    <row r="423" s="28" customFormat="1" ht="15.75" customHeight="1" x14ac:dyDescent="0.15"/>
    <row r="424" s="28" customFormat="1" ht="15.75" customHeight="1" x14ac:dyDescent="0.15"/>
    <row r="425" s="28" customFormat="1" ht="15.75" customHeight="1" x14ac:dyDescent="0.15"/>
    <row r="426" s="28" customFormat="1" ht="15.75" customHeight="1" x14ac:dyDescent="0.15"/>
    <row r="427" s="28" customFormat="1" ht="15.75" customHeight="1" x14ac:dyDescent="0.15"/>
    <row r="428" s="28" customFormat="1" ht="15.75" customHeight="1" x14ac:dyDescent="0.15"/>
    <row r="429" s="28" customFormat="1" ht="15.75" customHeight="1" x14ac:dyDescent="0.15"/>
    <row r="430" s="28" customFormat="1" ht="15.75" customHeight="1" x14ac:dyDescent="0.15"/>
    <row r="431" s="28" customFormat="1" ht="15.75" customHeight="1" x14ac:dyDescent="0.15"/>
    <row r="432" s="28" customFormat="1" ht="15.75" customHeight="1" x14ac:dyDescent="0.15"/>
    <row r="433" s="28" customFormat="1" ht="15.75" customHeight="1" x14ac:dyDescent="0.15"/>
    <row r="434" s="28" customFormat="1" ht="15.75" customHeight="1" x14ac:dyDescent="0.15"/>
    <row r="435" s="28" customFormat="1" ht="15.75" customHeight="1" x14ac:dyDescent="0.15"/>
    <row r="436" s="28" customFormat="1" ht="15.75" customHeight="1" x14ac:dyDescent="0.15"/>
    <row r="437" s="28" customFormat="1" ht="15.75" customHeight="1" x14ac:dyDescent="0.15"/>
    <row r="438" s="28" customFormat="1" ht="15.75" customHeight="1" x14ac:dyDescent="0.15"/>
    <row r="439" s="28" customFormat="1" ht="15.75" customHeight="1" x14ac:dyDescent="0.15"/>
    <row r="440" s="28" customFormat="1" ht="15.75" customHeight="1" x14ac:dyDescent="0.15"/>
    <row r="441" s="28" customFormat="1" ht="15.75" customHeight="1" x14ac:dyDescent="0.15"/>
    <row r="442" s="28" customFormat="1" ht="15.75" customHeight="1" x14ac:dyDescent="0.15"/>
    <row r="443" s="28" customFormat="1" ht="15.75" customHeight="1" x14ac:dyDescent="0.15"/>
    <row r="444" s="28" customFormat="1" ht="15.75" customHeight="1" x14ac:dyDescent="0.15"/>
    <row r="445" s="28" customFormat="1" ht="15.75" customHeight="1" x14ac:dyDescent="0.15"/>
    <row r="446" s="28" customFormat="1" ht="15.75" customHeight="1" x14ac:dyDescent="0.15"/>
    <row r="447" s="28" customFormat="1" ht="15.75" customHeight="1" x14ac:dyDescent="0.15"/>
    <row r="448" s="28" customFormat="1" ht="15.75" customHeight="1" x14ac:dyDescent="0.15"/>
    <row r="449" s="28" customFormat="1" ht="15.75" customHeight="1" x14ac:dyDescent="0.15"/>
    <row r="450" s="28" customFormat="1" ht="15.75" customHeight="1" x14ac:dyDescent="0.15"/>
    <row r="451" s="28" customFormat="1" ht="15.75" customHeight="1" x14ac:dyDescent="0.15"/>
    <row r="452" s="28" customFormat="1" ht="15.75" customHeight="1" x14ac:dyDescent="0.15"/>
    <row r="453" s="28" customFormat="1" ht="15.75" customHeight="1" x14ac:dyDescent="0.15"/>
    <row r="454" s="28" customFormat="1" ht="15.75" customHeight="1" x14ac:dyDescent="0.15"/>
    <row r="455" s="28" customFormat="1" ht="15.75" customHeight="1" x14ac:dyDescent="0.15"/>
    <row r="456" s="28" customFormat="1" ht="15.75" customHeight="1" x14ac:dyDescent="0.15"/>
    <row r="457" s="28" customFormat="1" ht="15.75" customHeight="1" x14ac:dyDescent="0.15"/>
    <row r="458" s="28" customFormat="1" ht="15.75" customHeight="1" x14ac:dyDescent="0.15"/>
    <row r="459" s="28" customFormat="1" ht="15.75" customHeight="1" x14ac:dyDescent="0.15"/>
    <row r="460" s="28" customFormat="1" ht="15.75" customHeight="1" x14ac:dyDescent="0.15"/>
    <row r="461" s="28" customFormat="1" ht="15.75" customHeight="1" x14ac:dyDescent="0.15"/>
    <row r="462" s="28" customFormat="1" ht="15.75" customHeight="1" x14ac:dyDescent="0.15"/>
    <row r="463" s="28" customFormat="1" ht="15.75" customHeight="1" x14ac:dyDescent="0.15"/>
    <row r="464" s="28" customFormat="1" ht="15.75" customHeight="1" x14ac:dyDescent="0.15"/>
    <row r="465" s="28" customFormat="1" ht="15.75" customHeight="1" x14ac:dyDescent="0.15"/>
    <row r="466" s="28" customFormat="1" ht="15.75" customHeight="1" x14ac:dyDescent="0.15"/>
    <row r="467" s="28" customFormat="1" ht="15.75" customHeight="1" x14ac:dyDescent="0.15"/>
    <row r="468" s="28" customFormat="1" ht="15.75" customHeight="1" x14ac:dyDescent="0.15"/>
    <row r="469" s="28" customFormat="1" ht="15.75" customHeight="1" x14ac:dyDescent="0.15"/>
    <row r="470" s="28" customFormat="1" ht="15.75" customHeight="1" x14ac:dyDescent="0.15"/>
    <row r="471" s="28" customFormat="1" ht="15.75" customHeight="1" x14ac:dyDescent="0.15"/>
    <row r="472" s="28" customFormat="1" ht="15.75" customHeight="1" x14ac:dyDescent="0.15"/>
    <row r="473" s="28" customFormat="1" ht="15.75" customHeight="1" x14ac:dyDescent="0.15"/>
    <row r="474" s="28" customFormat="1" ht="15.75" customHeight="1" x14ac:dyDescent="0.15"/>
    <row r="475" s="28" customFormat="1" ht="15.75" customHeight="1" x14ac:dyDescent="0.15"/>
    <row r="476" s="28" customFormat="1" ht="15.75" customHeight="1" x14ac:dyDescent="0.15"/>
    <row r="477" s="28" customFormat="1" ht="15.75" customHeight="1" x14ac:dyDescent="0.15"/>
    <row r="478" s="28" customFormat="1" ht="15.75" customHeight="1" x14ac:dyDescent="0.15"/>
    <row r="479" s="28" customFormat="1" ht="15.75" customHeight="1" x14ac:dyDescent="0.15"/>
    <row r="480" s="28" customFormat="1" ht="15.75" customHeight="1" x14ac:dyDescent="0.15"/>
    <row r="481" s="28" customFormat="1" ht="15.75" customHeight="1" x14ac:dyDescent="0.15"/>
    <row r="482" s="28" customFormat="1" ht="15.75" customHeight="1" x14ac:dyDescent="0.15"/>
    <row r="483" s="28" customFormat="1" ht="15.75" customHeight="1" x14ac:dyDescent="0.15"/>
    <row r="484" s="28" customFormat="1" ht="15.75" customHeight="1" x14ac:dyDescent="0.15"/>
    <row r="485" s="28" customFormat="1" ht="15.75" customHeight="1" x14ac:dyDescent="0.15"/>
    <row r="486" s="28" customFormat="1" ht="15.75" customHeight="1" x14ac:dyDescent="0.15"/>
    <row r="487" s="28" customFormat="1" ht="15.75" customHeight="1" x14ac:dyDescent="0.15"/>
    <row r="488" s="28" customFormat="1" ht="15.75" customHeight="1" x14ac:dyDescent="0.15"/>
    <row r="489" s="28" customFormat="1" ht="15.75" customHeight="1" x14ac:dyDescent="0.15"/>
    <row r="490" s="28" customFormat="1" ht="15.75" customHeight="1" x14ac:dyDescent="0.15"/>
    <row r="491" s="28" customFormat="1" ht="15.75" customHeight="1" x14ac:dyDescent="0.15"/>
    <row r="492" s="28" customFormat="1" ht="15.75" customHeight="1" x14ac:dyDescent="0.15"/>
    <row r="493" s="28" customFormat="1" ht="15.75" customHeight="1" x14ac:dyDescent="0.15"/>
    <row r="494" s="28" customFormat="1" ht="15.75" customHeight="1" x14ac:dyDescent="0.15"/>
    <row r="495" s="28" customFormat="1" ht="15.75" customHeight="1" x14ac:dyDescent="0.15"/>
    <row r="496" s="28" customFormat="1" ht="15.75" customHeight="1" x14ac:dyDescent="0.15"/>
    <row r="497" s="28" customFormat="1" ht="15.75" customHeight="1" x14ac:dyDescent="0.15"/>
    <row r="498" s="28" customFormat="1" ht="15.75" customHeight="1" x14ac:dyDescent="0.15"/>
    <row r="499" s="28" customFormat="1" ht="15.75" customHeight="1" x14ac:dyDescent="0.15"/>
    <row r="500" s="28" customFormat="1" ht="15.75" customHeight="1" x14ac:dyDescent="0.15"/>
    <row r="501" s="28" customFormat="1" ht="15.75" customHeight="1" x14ac:dyDescent="0.15"/>
    <row r="502" s="28" customFormat="1" ht="15.75" customHeight="1" x14ac:dyDescent="0.15"/>
    <row r="503" s="28" customFormat="1" ht="15.75" customHeight="1" x14ac:dyDescent="0.15"/>
    <row r="504" s="28" customFormat="1" ht="15.75" customHeight="1" x14ac:dyDescent="0.15"/>
    <row r="505" s="28" customFormat="1" ht="15.75" customHeight="1" x14ac:dyDescent="0.15"/>
    <row r="506" s="28" customFormat="1" ht="15.75" customHeight="1" x14ac:dyDescent="0.15"/>
    <row r="507" s="28" customFormat="1" ht="15.75" customHeight="1" x14ac:dyDescent="0.15"/>
    <row r="508" s="28" customFormat="1" ht="15.75" customHeight="1" x14ac:dyDescent="0.15"/>
    <row r="509" s="28" customFormat="1" ht="15.75" customHeight="1" x14ac:dyDescent="0.15"/>
    <row r="510" s="28" customFormat="1" ht="15.75" customHeight="1" x14ac:dyDescent="0.15"/>
    <row r="511" s="28" customFormat="1" ht="15.75" customHeight="1" x14ac:dyDescent="0.15"/>
    <row r="512" s="28" customFormat="1" ht="15.75" customHeight="1" x14ac:dyDescent="0.15"/>
    <row r="513" s="28" customFormat="1" ht="15.75" customHeight="1" x14ac:dyDescent="0.15"/>
    <row r="514" s="28" customFormat="1" ht="15.75" customHeight="1" x14ac:dyDescent="0.15"/>
    <row r="515" s="28" customFormat="1" ht="15.75" customHeight="1" x14ac:dyDescent="0.15"/>
    <row r="516" s="28" customFormat="1" ht="15.75" customHeight="1" x14ac:dyDescent="0.15"/>
    <row r="517" s="28" customFormat="1" ht="15.75" customHeight="1" x14ac:dyDescent="0.15"/>
    <row r="518" s="28" customFormat="1" ht="15.75" customHeight="1" x14ac:dyDescent="0.15"/>
    <row r="519" s="28" customFormat="1" ht="15.75" customHeight="1" x14ac:dyDescent="0.15"/>
    <row r="520" s="28" customFormat="1" ht="15.75" customHeight="1" x14ac:dyDescent="0.15"/>
    <row r="521" s="28" customFormat="1" ht="15.75" customHeight="1" x14ac:dyDescent="0.15"/>
    <row r="522" s="28" customFormat="1" ht="15.75" customHeight="1" x14ac:dyDescent="0.15"/>
    <row r="523" s="28" customFormat="1" ht="15.75" customHeight="1" x14ac:dyDescent="0.15"/>
    <row r="524" s="28" customFormat="1" ht="15.75" customHeight="1" x14ac:dyDescent="0.15"/>
    <row r="525" s="28" customFormat="1" ht="15.75" customHeight="1" x14ac:dyDescent="0.15"/>
    <row r="526" s="28" customFormat="1" ht="15.75" customHeight="1" x14ac:dyDescent="0.15"/>
    <row r="527" s="28" customFormat="1" ht="15.75" customHeight="1" x14ac:dyDescent="0.15"/>
    <row r="528" s="28" customFormat="1" ht="15.75" customHeight="1" x14ac:dyDescent="0.15"/>
    <row r="529" s="28" customFormat="1" ht="15.75" customHeight="1" x14ac:dyDescent="0.15"/>
    <row r="530" s="28" customFormat="1" ht="15.75" customHeight="1" x14ac:dyDescent="0.15"/>
    <row r="531" s="28" customFormat="1" ht="15.75" customHeight="1" x14ac:dyDescent="0.15"/>
    <row r="532" s="28" customFormat="1" ht="15.75" customHeight="1" x14ac:dyDescent="0.15"/>
    <row r="533" s="28" customFormat="1" ht="15.75" customHeight="1" x14ac:dyDescent="0.15"/>
    <row r="534" s="28" customFormat="1" ht="15.75" customHeight="1" x14ac:dyDescent="0.15"/>
    <row r="535" s="28" customFormat="1" ht="15.75" customHeight="1" x14ac:dyDescent="0.15"/>
    <row r="536" s="28" customFormat="1" ht="15.75" customHeight="1" x14ac:dyDescent="0.15"/>
    <row r="537" s="28" customFormat="1" ht="15.75" customHeight="1" x14ac:dyDescent="0.15"/>
    <row r="538" s="28" customFormat="1" ht="15.75" customHeight="1" x14ac:dyDescent="0.15"/>
    <row r="539" s="28" customFormat="1" ht="15.75" customHeight="1" x14ac:dyDescent="0.15"/>
    <row r="540" s="28" customFormat="1" ht="15.75" customHeight="1" x14ac:dyDescent="0.15"/>
    <row r="541" s="28" customFormat="1" ht="15.75" customHeight="1" x14ac:dyDescent="0.15"/>
    <row r="542" s="28" customFormat="1" ht="15.75" customHeight="1" x14ac:dyDescent="0.15"/>
    <row r="543" s="28" customFormat="1" ht="15.75" customHeight="1" x14ac:dyDescent="0.15"/>
    <row r="544" s="28" customFormat="1" ht="15.75" customHeight="1" x14ac:dyDescent="0.15"/>
    <row r="545" s="28" customFormat="1" ht="15.75" customHeight="1" x14ac:dyDescent="0.15"/>
    <row r="546" s="28" customFormat="1" ht="15.75" customHeight="1" x14ac:dyDescent="0.15"/>
    <row r="547" s="28" customFormat="1" ht="15.75" customHeight="1" x14ac:dyDescent="0.15"/>
    <row r="548" s="28" customFormat="1" ht="15.75" customHeight="1" x14ac:dyDescent="0.15"/>
    <row r="549" s="28" customFormat="1" ht="15.75" customHeight="1" x14ac:dyDescent="0.15"/>
    <row r="550" s="28" customFormat="1" ht="15.75" customHeight="1" x14ac:dyDescent="0.15"/>
    <row r="551" s="28" customFormat="1" ht="15.75" customHeight="1" x14ac:dyDescent="0.15"/>
    <row r="552" s="28" customFormat="1" ht="15.75" customHeight="1" x14ac:dyDescent="0.15"/>
    <row r="553" s="28" customFormat="1" ht="15.75" customHeight="1" x14ac:dyDescent="0.15"/>
    <row r="554" s="28" customFormat="1" ht="15.75" customHeight="1" x14ac:dyDescent="0.15"/>
    <row r="555" s="28" customFormat="1" ht="15.75" customHeight="1" x14ac:dyDescent="0.15"/>
    <row r="556" s="28" customFormat="1" ht="15.75" customHeight="1" x14ac:dyDescent="0.15"/>
    <row r="557" s="28" customFormat="1" ht="15.75" customHeight="1" x14ac:dyDescent="0.15"/>
    <row r="558" s="28" customFormat="1" ht="15.75" customHeight="1" x14ac:dyDescent="0.15"/>
    <row r="559" s="28" customFormat="1" ht="15.75" customHeight="1" x14ac:dyDescent="0.15"/>
    <row r="560" s="28" customFormat="1" ht="15.75" customHeight="1" x14ac:dyDescent="0.15"/>
    <row r="561" s="28" customFormat="1" ht="15.75" customHeight="1" x14ac:dyDescent="0.15"/>
    <row r="562" s="28" customFormat="1" ht="15.75" customHeight="1" x14ac:dyDescent="0.15"/>
    <row r="563" s="28" customFormat="1" ht="15.75" customHeight="1" x14ac:dyDescent="0.15"/>
    <row r="564" s="28" customFormat="1" ht="15.75" customHeight="1" x14ac:dyDescent="0.15"/>
    <row r="565" s="28" customFormat="1" ht="15.75" customHeight="1" x14ac:dyDescent="0.15"/>
    <row r="566" s="28" customFormat="1" ht="15.75" customHeight="1" x14ac:dyDescent="0.15"/>
    <row r="567" s="28" customFormat="1" ht="15.75" customHeight="1" x14ac:dyDescent="0.15"/>
    <row r="568" s="28" customFormat="1" ht="15.75" customHeight="1" x14ac:dyDescent="0.15"/>
    <row r="569" s="28" customFormat="1" ht="15.75" customHeight="1" x14ac:dyDescent="0.15"/>
    <row r="570" s="28" customFormat="1" ht="15.75" customHeight="1" x14ac:dyDescent="0.15"/>
    <row r="571" s="28" customFormat="1" ht="15.75" customHeight="1" x14ac:dyDescent="0.15"/>
    <row r="572" s="28" customFormat="1" ht="15.75" customHeight="1" x14ac:dyDescent="0.15"/>
    <row r="573" s="28" customFormat="1" ht="15.75" customHeight="1" x14ac:dyDescent="0.15"/>
    <row r="574" s="28" customFormat="1" ht="15.75" customHeight="1" x14ac:dyDescent="0.15"/>
    <row r="575" s="28" customFormat="1" ht="15.75" customHeight="1" x14ac:dyDescent="0.15"/>
    <row r="576" s="28" customFormat="1" ht="15.75" customHeight="1" x14ac:dyDescent="0.15"/>
    <row r="577" s="28" customFormat="1" ht="15.75" customHeight="1" x14ac:dyDescent="0.15"/>
    <row r="578" s="28" customFormat="1" ht="15.75" customHeight="1" x14ac:dyDescent="0.15"/>
    <row r="579" s="28" customFormat="1" ht="15.75" customHeight="1" x14ac:dyDescent="0.15"/>
    <row r="580" s="28" customFormat="1" ht="15.75" customHeight="1" x14ac:dyDescent="0.15"/>
    <row r="581" s="28" customFormat="1" ht="15.75" customHeight="1" x14ac:dyDescent="0.15"/>
    <row r="582" s="28" customFormat="1" ht="15.75" customHeight="1" x14ac:dyDescent="0.15"/>
    <row r="583" s="28" customFormat="1" ht="15.75" customHeight="1" x14ac:dyDescent="0.15"/>
    <row r="584" s="28" customFormat="1" ht="15.75" customHeight="1" x14ac:dyDescent="0.15"/>
    <row r="585" s="28" customFormat="1" ht="15.75" customHeight="1" x14ac:dyDescent="0.15"/>
    <row r="586" s="28" customFormat="1" ht="15.75" customHeight="1" x14ac:dyDescent="0.15"/>
    <row r="587" s="28" customFormat="1" ht="15.75" customHeight="1" x14ac:dyDescent="0.15"/>
    <row r="588" s="28" customFormat="1" ht="15.75" customHeight="1" x14ac:dyDescent="0.15"/>
    <row r="589" s="28" customFormat="1" ht="15.75" customHeight="1" x14ac:dyDescent="0.15"/>
    <row r="590" s="28" customFormat="1" ht="15.75" customHeight="1" x14ac:dyDescent="0.15"/>
    <row r="591" s="28" customFormat="1" ht="15.75" customHeight="1" x14ac:dyDescent="0.15"/>
    <row r="592" s="28" customFormat="1" ht="15.75" customHeight="1" x14ac:dyDescent="0.15"/>
    <row r="593" s="28" customFormat="1" ht="15.75" customHeight="1" x14ac:dyDescent="0.15"/>
    <row r="594" s="28" customFormat="1" ht="15.75" customHeight="1" x14ac:dyDescent="0.15"/>
    <row r="595" s="28" customFormat="1" ht="15.75" customHeight="1" x14ac:dyDescent="0.15"/>
    <row r="596" s="28" customFormat="1" ht="15.75" customHeight="1" x14ac:dyDescent="0.15"/>
    <row r="597" s="28" customFormat="1" ht="15.75" customHeight="1" x14ac:dyDescent="0.15"/>
    <row r="598" s="28" customFormat="1" ht="15.75" customHeight="1" x14ac:dyDescent="0.15"/>
    <row r="599" s="28" customFormat="1" ht="15.75" customHeight="1" x14ac:dyDescent="0.15"/>
    <row r="600" s="28" customFormat="1" ht="15.75" customHeight="1" x14ac:dyDescent="0.15"/>
    <row r="601" s="28" customFormat="1" ht="15.75" customHeight="1" x14ac:dyDescent="0.15"/>
    <row r="602" s="28" customFormat="1" ht="15.75" customHeight="1" x14ac:dyDescent="0.15"/>
    <row r="603" s="28" customFormat="1" ht="15.75" customHeight="1" x14ac:dyDescent="0.15"/>
    <row r="604" s="28" customFormat="1" ht="15.75" customHeight="1" x14ac:dyDescent="0.15"/>
    <row r="605" s="28" customFormat="1" ht="15.75" customHeight="1" x14ac:dyDescent="0.15"/>
    <row r="606" s="28" customFormat="1" ht="15.75" customHeight="1" x14ac:dyDescent="0.15"/>
    <row r="607" s="28" customFormat="1" ht="15.75" customHeight="1" x14ac:dyDescent="0.15"/>
    <row r="608" s="28" customFormat="1" ht="15.75" customHeight="1" x14ac:dyDescent="0.15"/>
    <row r="609" s="28" customFormat="1" ht="15.75" customHeight="1" x14ac:dyDescent="0.15"/>
    <row r="610" s="28" customFormat="1" ht="15.75" customHeight="1" x14ac:dyDescent="0.15"/>
    <row r="611" s="28" customFormat="1" ht="15.75" customHeight="1" x14ac:dyDescent="0.15"/>
    <row r="612" s="28" customFormat="1" ht="15.75" customHeight="1" x14ac:dyDescent="0.15"/>
    <row r="613" s="28" customFormat="1" ht="15.75" customHeight="1" x14ac:dyDescent="0.15"/>
    <row r="614" s="28" customFormat="1" ht="15.75" customHeight="1" x14ac:dyDescent="0.15"/>
    <row r="615" s="28" customFormat="1" ht="15.75" customHeight="1" x14ac:dyDescent="0.15"/>
    <row r="616" s="28" customFormat="1" ht="15.75" customHeight="1" x14ac:dyDescent="0.15"/>
    <row r="617" s="28" customFormat="1" ht="15.75" customHeight="1" x14ac:dyDescent="0.15"/>
    <row r="618" s="28" customFormat="1" ht="15.75" customHeight="1" x14ac:dyDescent="0.15"/>
    <row r="619" s="28" customFormat="1" ht="15.75" customHeight="1" x14ac:dyDescent="0.15"/>
    <row r="620" s="28" customFormat="1" ht="15.75" customHeight="1" x14ac:dyDescent="0.15"/>
    <row r="621" s="28" customFormat="1" ht="15.75" customHeight="1" x14ac:dyDescent="0.15"/>
    <row r="622" s="28" customFormat="1" ht="15.75" customHeight="1" x14ac:dyDescent="0.15"/>
    <row r="623" s="28" customFormat="1" ht="15.75" customHeight="1" x14ac:dyDescent="0.15"/>
    <row r="624" s="28" customFormat="1" ht="15.75" customHeight="1" x14ac:dyDescent="0.15"/>
    <row r="625" s="28" customFormat="1" ht="15.75" customHeight="1" x14ac:dyDescent="0.15"/>
    <row r="626" s="28" customFormat="1" ht="15.75" customHeight="1" x14ac:dyDescent="0.15"/>
    <row r="627" s="28" customFormat="1" ht="15.75" customHeight="1" x14ac:dyDescent="0.15"/>
    <row r="628" s="28" customFormat="1" ht="15.75" customHeight="1" x14ac:dyDescent="0.15"/>
    <row r="629" s="28" customFormat="1" ht="15.75" customHeight="1" x14ac:dyDescent="0.15"/>
    <row r="630" s="28" customFormat="1" ht="15.75" customHeight="1" x14ac:dyDescent="0.15"/>
    <row r="631" s="28" customFormat="1" ht="15.75" customHeight="1" x14ac:dyDescent="0.15"/>
    <row r="632" s="28" customFormat="1" ht="15.75" customHeight="1" x14ac:dyDescent="0.15"/>
    <row r="633" s="28" customFormat="1" ht="15.75" customHeight="1" x14ac:dyDescent="0.15"/>
    <row r="634" s="28" customFormat="1" ht="15.75" customHeight="1" x14ac:dyDescent="0.15"/>
    <row r="635" s="28" customFormat="1" ht="15.75" customHeight="1" x14ac:dyDescent="0.15"/>
    <row r="636" s="28" customFormat="1" ht="15.75" customHeight="1" x14ac:dyDescent="0.15"/>
    <row r="637" s="28" customFormat="1" ht="15.75" customHeight="1" x14ac:dyDescent="0.15"/>
    <row r="638" s="28" customFormat="1" ht="15.75" customHeight="1" x14ac:dyDescent="0.15"/>
    <row r="639" s="28" customFormat="1" ht="15.75" customHeight="1" x14ac:dyDescent="0.15"/>
    <row r="640" s="28" customFormat="1" ht="15.75" customHeight="1" x14ac:dyDescent="0.15"/>
    <row r="641" s="28" customFormat="1" ht="15.75" customHeight="1" x14ac:dyDescent="0.15"/>
    <row r="642" s="28" customFormat="1" ht="15.75" customHeight="1" x14ac:dyDescent="0.15"/>
    <row r="643" s="28" customFormat="1" ht="15.75" customHeight="1" x14ac:dyDescent="0.15"/>
    <row r="644" s="28" customFormat="1" ht="15.75" customHeight="1" x14ac:dyDescent="0.15"/>
    <row r="645" s="28" customFormat="1" ht="15.75" customHeight="1" x14ac:dyDescent="0.15"/>
    <row r="646" s="28" customFormat="1" ht="15.75" customHeight="1" x14ac:dyDescent="0.15"/>
    <row r="647" s="28" customFormat="1" ht="15.75" customHeight="1" x14ac:dyDescent="0.15"/>
    <row r="648" s="28" customFormat="1" ht="15.75" customHeight="1" x14ac:dyDescent="0.15"/>
    <row r="649" s="28" customFormat="1" ht="15.75" customHeight="1" x14ac:dyDescent="0.15"/>
    <row r="650" s="28" customFormat="1" ht="15.75" customHeight="1" x14ac:dyDescent="0.15"/>
    <row r="651" s="28" customFormat="1" ht="15.75" customHeight="1" x14ac:dyDescent="0.15"/>
    <row r="652" s="28" customFormat="1" ht="15.75" customHeight="1" x14ac:dyDescent="0.15"/>
    <row r="653" s="28" customFormat="1" ht="15.75" customHeight="1" x14ac:dyDescent="0.15"/>
    <row r="654" s="28" customFormat="1" ht="15.75" customHeight="1" x14ac:dyDescent="0.15"/>
    <row r="655" s="28" customFormat="1" ht="15.75" customHeight="1" x14ac:dyDescent="0.15"/>
    <row r="656" s="28" customFormat="1" ht="15.75" customHeight="1" x14ac:dyDescent="0.15"/>
    <row r="657" s="28" customFormat="1" ht="15.75" customHeight="1" x14ac:dyDescent="0.15"/>
    <row r="658" s="28" customFormat="1" ht="15.75" customHeight="1" x14ac:dyDescent="0.15"/>
    <row r="659" s="28" customFormat="1" ht="15.75" customHeight="1" x14ac:dyDescent="0.15"/>
    <row r="660" s="28" customFormat="1" ht="15.75" customHeight="1" x14ac:dyDescent="0.15"/>
    <row r="661" s="28" customFormat="1" ht="15.75" customHeight="1" x14ac:dyDescent="0.15"/>
    <row r="662" s="28" customFormat="1" ht="15.75" customHeight="1" x14ac:dyDescent="0.15"/>
    <row r="663" s="28" customFormat="1" ht="15.75" customHeight="1" x14ac:dyDescent="0.15"/>
    <row r="664" s="28" customFormat="1" ht="15.75" customHeight="1" x14ac:dyDescent="0.15"/>
    <row r="665" s="28" customFormat="1" ht="15.75" customHeight="1" x14ac:dyDescent="0.15"/>
    <row r="666" s="28" customFormat="1" ht="15.75" customHeight="1" x14ac:dyDescent="0.15"/>
    <row r="667" s="28" customFormat="1" ht="15.75" customHeight="1" x14ac:dyDescent="0.15"/>
    <row r="668" s="28" customFormat="1" ht="15.75" customHeight="1" x14ac:dyDescent="0.15"/>
    <row r="669" s="28" customFormat="1" ht="15.75" customHeight="1" x14ac:dyDescent="0.15"/>
    <row r="670" s="28" customFormat="1" ht="15.75" customHeight="1" x14ac:dyDescent="0.15"/>
    <row r="671" s="28" customFormat="1" ht="15.75" customHeight="1" x14ac:dyDescent="0.15"/>
    <row r="672" s="28" customFormat="1" ht="15.75" customHeight="1" x14ac:dyDescent="0.15"/>
    <row r="673" s="28" customFormat="1" ht="15.75" customHeight="1" x14ac:dyDescent="0.15"/>
    <row r="674" s="28" customFormat="1" ht="15.75" customHeight="1" x14ac:dyDescent="0.15"/>
    <row r="675" s="28" customFormat="1" ht="15.75" customHeight="1" x14ac:dyDescent="0.15"/>
    <row r="676" s="28" customFormat="1" ht="15.75" customHeight="1" x14ac:dyDescent="0.15"/>
    <row r="677" s="28" customFormat="1" ht="15.75" customHeight="1" x14ac:dyDescent="0.15"/>
    <row r="678" s="28" customFormat="1" ht="15.75" customHeight="1" x14ac:dyDescent="0.15"/>
    <row r="679" s="28" customFormat="1" ht="15.75" customHeight="1" x14ac:dyDescent="0.15"/>
    <row r="680" s="28" customFormat="1" ht="15.75" customHeight="1" x14ac:dyDescent="0.15"/>
    <row r="681" s="28" customFormat="1" ht="15.75" customHeight="1" x14ac:dyDescent="0.15"/>
    <row r="682" s="28" customFormat="1" ht="15.75" customHeight="1" x14ac:dyDescent="0.15"/>
    <row r="683" s="28" customFormat="1" ht="15.75" customHeight="1" x14ac:dyDescent="0.15"/>
    <row r="684" s="28" customFormat="1" ht="15.75" customHeight="1" x14ac:dyDescent="0.15"/>
    <row r="685" s="28" customFormat="1" ht="15.75" customHeight="1" x14ac:dyDescent="0.15"/>
    <row r="686" s="28" customFormat="1" ht="15.75" customHeight="1" x14ac:dyDescent="0.15"/>
    <row r="687" s="28" customFormat="1" ht="15.75" customHeight="1" x14ac:dyDescent="0.15"/>
    <row r="688" s="28" customFormat="1" ht="15.75" customHeight="1" x14ac:dyDescent="0.15"/>
    <row r="689" s="28" customFormat="1" ht="15.75" customHeight="1" x14ac:dyDescent="0.15"/>
    <row r="690" s="28" customFormat="1" ht="15.75" customHeight="1" x14ac:dyDescent="0.15"/>
    <row r="691" s="28" customFormat="1" ht="15.75" customHeight="1" x14ac:dyDescent="0.15"/>
    <row r="692" s="28" customFormat="1" ht="15.75" customHeight="1" x14ac:dyDescent="0.15"/>
    <row r="693" s="28" customFormat="1" ht="15.75" customHeight="1" x14ac:dyDescent="0.15"/>
    <row r="694" s="28" customFormat="1" ht="15.75" customHeight="1" x14ac:dyDescent="0.15"/>
    <row r="695" s="28" customFormat="1" ht="15.75" customHeight="1" x14ac:dyDescent="0.15"/>
    <row r="696" s="28" customFormat="1" ht="15.75" customHeight="1" x14ac:dyDescent="0.15"/>
    <row r="697" s="28" customFormat="1" ht="15.75" customHeight="1" x14ac:dyDescent="0.15"/>
    <row r="698" s="28" customFormat="1" ht="15.75" customHeight="1" x14ac:dyDescent="0.15"/>
    <row r="699" s="28" customFormat="1" ht="15.75" customHeight="1" x14ac:dyDescent="0.15"/>
    <row r="700" s="28" customFormat="1" ht="15.75" customHeight="1" x14ac:dyDescent="0.15"/>
    <row r="701" s="28" customFormat="1" ht="15.75" customHeight="1" x14ac:dyDescent="0.15"/>
    <row r="702" s="28" customFormat="1" ht="15.75" customHeight="1" x14ac:dyDescent="0.15"/>
    <row r="703" s="28" customFormat="1" ht="15.75" customHeight="1" x14ac:dyDescent="0.15"/>
    <row r="704" s="28" customFormat="1" ht="15.75" customHeight="1" x14ac:dyDescent="0.15"/>
    <row r="705" s="28" customFormat="1" ht="15.75" customHeight="1" x14ac:dyDescent="0.15"/>
    <row r="706" s="28" customFormat="1" ht="15.75" customHeight="1" x14ac:dyDescent="0.15"/>
    <row r="707" s="28" customFormat="1" ht="15.75" customHeight="1" x14ac:dyDescent="0.15"/>
    <row r="708" s="28" customFormat="1" ht="15.75" customHeight="1" x14ac:dyDescent="0.15"/>
    <row r="709" s="28" customFormat="1" ht="15.75" customHeight="1" x14ac:dyDescent="0.15"/>
    <row r="710" s="28" customFormat="1" ht="15.75" customHeight="1" x14ac:dyDescent="0.15"/>
    <row r="711" s="28" customFormat="1" ht="15.75" customHeight="1" x14ac:dyDescent="0.15"/>
    <row r="712" s="28" customFormat="1" ht="15.75" customHeight="1" x14ac:dyDescent="0.15"/>
    <row r="713" s="28" customFormat="1" ht="15.75" customHeight="1" x14ac:dyDescent="0.15"/>
    <row r="714" s="28" customFormat="1" ht="15.75" customHeight="1" x14ac:dyDescent="0.15"/>
    <row r="715" s="28" customFormat="1" ht="15.75" customHeight="1" x14ac:dyDescent="0.15"/>
    <row r="716" s="28" customFormat="1" ht="15.75" customHeight="1" x14ac:dyDescent="0.15"/>
    <row r="717" s="28" customFormat="1" ht="15.75" customHeight="1" x14ac:dyDescent="0.15"/>
    <row r="718" s="28" customFormat="1" ht="15.75" customHeight="1" x14ac:dyDescent="0.15"/>
    <row r="719" s="28" customFormat="1" ht="15.75" customHeight="1" x14ac:dyDescent="0.15"/>
    <row r="720" s="28" customFormat="1" ht="15.75" customHeight="1" x14ac:dyDescent="0.15"/>
    <row r="721" s="28" customFormat="1" ht="15.75" customHeight="1" x14ac:dyDescent="0.15"/>
    <row r="722" s="28" customFormat="1" ht="15.75" customHeight="1" x14ac:dyDescent="0.15"/>
    <row r="723" s="28" customFormat="1" ht="15.75" customHeight="1" x14ac:dyDescent="0.15"/>
    <row r="724" s="28" customFormat="1" ht="15.75" customHeight="1" x14ac:dyDescent="0.15"/>
    <row r="725" s="28" customFormat="1" ht="15.75" customHeight="1" x14ac:dyDescent="0.15"/>
    <row r="726" s="28" customFormat="1" ht="15.75" customHeight="1" x14ac:dyDescent="0.15"/>
    <row r="727" s="28" customFormat="1" ht="15.75" customHeight="1" x14ac:dyDescent="0.15"/>
    <row r="728" s="28" customFormat="1" ht="15.75" customHeight="1" x14ac:dyDescent="0.15"/>
    <row r="729" s="28" customFormat="1" ht="15.75" customHeight="1" x14ac:dyDescent="0.15"/>
    <row r="730" s="28" customFormat="1" ht="15.75" customHeight="1" x14ac:dyDescent="0.15"/>
    <row r="731" s="28" customFormat="1" ht="15.75" customHeight="1" x14ac:dyDescent="0.15"/>
    <row r="732" s="28" customFormat="1" ht="15.75" customHeight="1" x14ac:dyDescent="0.15"/>
    <row r="733" s="28" customFormat="1" ht="15.75" customHeight="1" x14ac:dyDescent="0.15"/>
    <row r="734" s="28" customFormat="1" ht="15.75" customHeight="1" x14ac:dyDescent="0.15"/>
    <row r="735" s="28" customFormat="1" ht="15.75" customHeight="1" x14ac:dyDescent="0.15"/>
    <row r="736" s="28" customFormat="1" ht="15.75" customHeight="1" x14ac:dyDescent="0.15"/>
    <row r="737" s="28" customFormat="1" ht="15.75" customHeight="1" x14ac:dyDescent="0.15"/>
    <row r="738" s="28" customFormat="1" ht="15.75" customHeight="1" x14ac:dyDescent="0.15"/>
    <row r="739" s="28" customFormat="1" ht="15.75" customHeight="1" x14ac:dyDescent="0.15"/>
    <row r="740" s="28" customFormat="1" ht="15.75" customHeight="1" x14ac:dyDescent="0.15"/>
    <row r="741" s="28" customFormat="1" ht="15.75" customHeight="1" x14ac:dyDescent="0.15"/>
    <row r="742" s="28" customFormat="1" ht="15.75" customHeight="1" x14ac:dyDescent="0.15"/>
    <row r="743" s="28" customFormat="1" ht="15.75" customHeight="1" x14ac:dyDescent="0.15"/>
    <row r="744" s="28" customFormat="1" ht="15.75" customHeight="1" x14ac:dyDescent="0.15"/>
    <row r="745" s="28" customFormat="1" ht="15.75" customHeight="1" x14ac:dyDescent="0.15"/>
    <row r="746" s="28" customFormat="1" ht="15.75" customHeight="1" x14ac:dyDescent="0.15"/>
    <row r="747" s="28" customFormat="1" ht="15.75" customHeight="1" x14ac:dyDescent="0.15"/>
    <row r="748" s="28" customFormat="1" ht="15.75" customHeight="1" x14ac:dyDescent="0.15"/>
    <row r="749" s="28" customFormat="1" ht="15.75" customHeight="1" x14ac:dyDescent="0.15"/>
    <row r="750" s="28" customFormat="1" ht="15.75" customHeight="1" x14ac:dyDescent="0.15"/>
    <row r="751" s="28" customFormat="1" ht="15.75" customHeight="1" x14ac:dyDescent="0.15"/>
    <row r="752" s="28" customFormat="1" ht="15.75" customHeight="1" x14ac:dyDescent="0.15"/>
    <row r="753" s="28" customFormat="1" ht="15.75" customHeight="1" x14ac:dyDescent="0.15"/>
    <row r="754" s="28" customFormat="1" ht="15.75" customHeight="1" x14ac:dyDescent="0.15"/>
    <row r="755" s="28" customFormat="1" ht="15.75" customHeight="1" x14ac:dyDescent="0.15"/>
    <row r="756" s="28" customFormat="1" ht="15.75" customHeight="1" x14ac:dyDescent="0.15"/>
    <row r="757" s="28" customFormat="1" ht="15.75" customHeight="1" x14ac:dyDescent="0.15"/>
    <row r="758" s="28" customFormat="1" ht="15.75" customHeight="1" x14ac:dyDescent="0.15"/>
    <row r="759" s="28" customFormat="1" ht="15.75" customHeight="1" x14ac:dyDescent="0.15"/>
    <row r="760" s="28" customFormat="1" ht="15.75" customHeight="1" x14ac:dyDescent="0.15"/>
    <row r="761" s="28" customFormat="1" ht="15.75" customHeight="1" x14ac:dyDescent="0.15"/>
    <row r="762" s="28" customFormat="1" ht="15.75" customHeight="1" x14ac:dyDescent="0.15"/>
    <row r="763" s="28" customFormat="1" ht="15.75" customHeight="1" x14ac:dyDescent="0.15"/>
    <row r="764" s="28" customFormat="1" ht="15.75" customHeight="1" x14ac:dyDescent="0.15"/>
    <row r="765" s="28" customFormat="1" ht="15.75" customHeight="1" x14ac:dyDescent="0.15"/>
    <row r="766" s="28" customFormat="1" ht="15.75" customHeight="1" x14ac:dyDescent="0.15"/>
    <row r="767" s="28" customFormat="1" ht="15.75" customHeight="1" x14ac:dyDescent="0.15"/>
    <row r="768" s="28" customFormat="1" ht="15.75" customHeight="1" x14ac:dyDescent="0.15"/>
    <row r="769" s="28" customFormat="1" ht="15.75" customHeight="1" x14ac:dyDescent="0.15"/>
    <row r="770" s="28" customFormat="1" ht="15.75" customHeight="1" x14ac:dyDescent="0.15"/>
    <row r="771" s="28" customFormat="1" ht="15.75" customHeight="1" x14ac:dyDescent="0.15"/>
    <row r="772" s="28" customFormat="1" ht="15.75" customHeight="1" x14ac:dyDescent="0.15"/>
    <row r="773" s="28" customFormat="1" ht="15.75" customHeight="1" x14ac:dyDescent="0.15"/>
    <row r="774" s="28" customFormat="1" ht="15.75" customHeight="1" x14ac:dyDescent="0.15"/>
    <row r="775" s="28" customFormat="1" ht="15.75" customHeight="1" x14ac:dyDescent="0.15"/>
    <row r="776" s="28" customFormat="1" ht="15.75" customHeight="1" x14ac:dyDescent="0.15"/>
    <row r="777" s="28" customFormat="1" ht="15.75" customHeight="1" x14ac:dyDescent="0.15"/>
    <row r="778" s="28" customFormat="1" ht="15.75" customHeight="1" x14ac:dyDescent="0.15"/>
    <row r="779" s="28" customFormat="1" ht="15.75" customHeight="1" x14ac:dyDescent="0.15"/>
    <row r="780" s="28" customFormat="1" ht="15.75" customHeight="1" x14ac:dyDescent="0.15"/>
    <row r="781" s="28" customFormat="1" ht="15.75" customHeight="1" x14ac:dyDescent="0.15"/>
    <row r="782" s="28" customFormat="1" ht="15.75" customHeight="1" x14ac:dyDescent="0.15"/>
    <row r="783" s="28" customFormat="1" ht="15.75" customHeight="1" x14ac:dyDescent="0.15"/>
    <row r="784" s="28" customFormat="1" ht="15.75" customHeight="1" x14ac:dyDescent="0.15"/>
    <row r="785" s="28" customFormat="1" ht="15.75" customHeight="1" x14ac:dyDescent="0.15"/>
    <row r="786" s="28" customFormat="1" ht="15.75" customHeight="1" x14ac:dyDescent="0.15"/>
    <row r="787" s="28" customFormat="1" ht="15.75" customHeight="1" x14ac:dyDescent="0.15"/>
    <row r="788" s="28" customFormat="1" ht="15.75" customHeight="1" x14ac:dyDescent="0.15"/>
    <row r="789" s="28" customFormat="1" ht="15.75" customHeight="1" x14ac:dyDescent="0.15"/>
    <row r="790" s="28" customFormat="1" ht="15.75" customHeight="1" x14ac:dyDescent="0.15"/>
    <row r="791" s="28" customFormat="1" ht="15.75" customHeight="1" x14ac:dyDescent="0.15"/>
    <row r="792" s="28" customFormat="1" ht="15.75" customHeight="1" x14ac:dyDescent="0.15"/>
    <row r="793" s="28" customFormat="1" ht="15.75" customHeight="1" x14ac:dyDescent="0.15"/>
    <row r="794" s="28" customFormat="1" ht="15.75" customHeight="1" x14ac:dyDescent="0.15"/>
    <row r="795" s="28" customFormat="1" ht="15.75" customHeight="1" x14ac:dyDescent="0.15"/>
    <row r="796" s="28" customFormat="1" ht="15.75" customHeight="1" x14ac:dyDescent="0.15"/>
    <row r="797" s="28" customFormat="1" ht="15.75" customHeight="1" x14ac:dyDescent="0.15"/>
    <row r="798" s="28" customFormat="1" ht="15.75" customHeight="1" x14ac:dyDescent="0.15"/>
    <row r="799" s="28" customFormat="1" ht="15.75" customHeight="1" x14ac:dyDescent="0.15"/>
    <row r="800" s="28" customFormat="1" ht="15.75" customHeight="1" x14ac:dyDescent="0.15"/>
    <row r="801" s="28" customFormat="1" ht="15.75" customHeight="1" x14ac:dyDescent="0.15"/>
    <row r="802" s="28" customFormat="1" ht="15.75" customHeight="1" x14ac:dyDescent="0.15"/>
    <row r="803" s="28" customFormat="1" ht="15.75" customHeight="1" x14ac:dyDescent="0.15"/>
    <row r="804" s="28" customFormat="1" ht="15.75" customHeight="1" x14ac:dyDescent="0.15"/>
    <row r="805" s="28" customFormat="1" ht="15.75" customHeight="1" x14ac:dyDescent="0.15"/>
    <row r="806" s="28" customFormat="1" ht="15.75" customHeight="1" x14ac:dyDescent="0.15"/>
    <row r="807" s="28" customFormat="1" ht="15.75" customHeight="1" x14ac:dyDescent="0.15"/>
    <row r="808" s="28" customFormat="1" ht="15.75" customHeight="1" x14ac:dyDescent="0.15"/>
    <row r="809" s="28" customFormat="1" ht="15.75" customHeight="1" x14ac:dyDescent="0.15"/>
    <row r="810" s="28" customFormat="1" ht="15.75" customHeight="1" x14ac:dyDescent="0.15"/>
    <row r="811" s="28" customFormat="1" ht="15.75" customHeight="1" x14ac:dyDescent="0.15"/>
    <row r="812" s="28" customFormat="1" ht="15.75" customHeight="1" x14ac:dyDescent="0.15"/>
    <row r="813" s="28" customFormat="1" ht="15.75" customHeight="1" x14ac:dyDescent="0.15"/>
    <row r="814" s="28" customFormat="1" ht="15.75" customHeight="1" x14ac:dyDescent="0.15"/>
    <row r="815" s="28" customFormat="1" ht="15.75" customHeight="1" x14ac:dyDescent="0.15"/>
    <row r="816" s="28" customFormat="1" ht="15.75" customHeight="1" x14ac:dyDescent="0.15"/>
    <row r="817" s="28" customFormat="1" ht="15.75" customHeight="1" x14ac:dyDescent="0.15"/>
    <row r="818" s="28" customFormat="1" ht="15.75" customHeight="1" x14ac:dyDescent="0.15"/>
    <row r="819" s="28" customFormat="1" ht="15.75" customHeight="1" x14ac:dyDescent="0.15"/>
    <row r="820" s="28" customFormat="1" ht="15.75" customHeight="1" x14ac:dyDescent="0.15"/>
    <row r="821" s="28" customFormat="1" ht="15.75" customHeight="1" x14ac:dyDescent="0.15"/>
    <row r="822" s="28" customFormat="1" ht="15.75" customHeight="1" x14ac:dyDescent="0.15"/>
    <row r="823" s="28" customFormat="1" ht="15.75" customHeight="1" x14ac:dyDescent="0.15"/>
    <row r="824" s="28" customFormat="1" ht="15.75" customHeight="1" x14ac:dyDescent="0.15"/>
    <row r="825" s="28" customFormat="1" ht="15.75" customHeight="1" x14ac:dyDescent="0.15"/>
    <row r="826" s="28" customFormat="1" ht="15.75" customHeight="1" x14ac:dyDescent="0.15"/>
    <row r="827" s="28" customFormat="1" ht="15.75" customHeight="1" x14ac:dyDescent="0.15"/>
    <row r="828" s="28" customFormat="1" ht="15.75" customHeight="1" x14ac:dyDescent="0.15"/>
    <row r="829" s="28" customFormat="1" ht="15.75" customHeight="1" x14ac:dyDescent="0.15"/>
    <row r="830" s="28" customFormat="1" ht="15.75" customHeight="1" x14ac:dyDescent="0.15"/>
    <row r="831" s="28" customFormat="1" ht="15.75" customHeight="1" x14ac:dyDescent="0.15"/>
    <row r="832" s="28" customFormat="1" ht="15.75" customHeight="1" x14ac:dyDescent="0.15"/>
    <row r="833" s="28" customFormat="1" ht="15.75" customHeight="1" x14ac:dyDescent="0.15"/>
    <row r="834" s="28" customFormat="1" ht="15.75" customHeight="1" x14ac:dyDescent="0.15"/>
    <row r="835" s="28" customFormat="1" ht="15.75" customHeight="1" x14ac:dyDescent="0.15"/>
    <row r="836" s="28" customFormat="1" ht="15.75" customHeight="1" x14ac:dyDescent="0.15"/>
    <row r="837" s="28" customFormat="1" ht="15.75" customHeight="1" x14ac:dyDescent="0.15"/>
    <row r="838" s="28" customFormat="1" ht="15.75" customHeight="1" x14ac:dyDescent="0.15"/>
    <row r="839" s="28" customFormat="1" ht="15.75" customHeight="1" x14ac:dyDescent="0.15"/>
    <row r="840" s="28" customFormat="1" ht="15.75" customHeight="1" x14ac:dyDescent="0.15"/>
    <row r="841" s="28" customFormat="1" ht="15.75" customHeight="1" x14ac:dyDescent="0.15"/>
    <row r="842" s="28" customFormat="1" ht="15.75" customHeight="1" x14ac:dyDescent="0.15"/>
    <row r="843" s="28" customFormat="1" ht="15.75" customHeight="1" x14ac:dyDescent="0.15"/>
    <row r="844" s="28" customFormat="1" ht="15.75" customHeight="1" x14ac:dyDescent="0.15"/>
    <row r="845" s="28" customFormat="1" ht="15.75" customHeight="1" x14ac:dyDescent="0.15"/>
    <row r="846" s="28" customFormat="1" ht="15.75" customHeight="1" x14ac:dyDescent="0.15"/>
    <row r="847" s="28" customFormat="1" ht="15.75" customHeight="1" x14ac:dyDescent="0.15"/>
    <row r="848" s="28" customFormat="1" ht="15.75" customHeight="1" x14ac:dyDescent="0.15"/>
    <row r="849" s="28" customFormat="1" ht="15.75" customHeight="1" x14ac:dyDescent="0.15"/>
    <row r="850" s="28" customFormat="1" ht="15.75" customHeight="1" x14ac:dyDescent="0.15"/>
    <row r="851" s="28" customFormat="1" ht="15.75" customHeight="1" x14ac:dyDescent="0.15"/>
    <row r="852" s="28" customFormat="1" ht="15.75" customHeight="1" x14ac:dyDescent="0.15"/>
    <row r="853" s="28" customFormat="1" ht="15.75" customHeight="1" x14ac:dyDescent="0.15"/>
    <row r="854" s="28" customFormat="1" ht="15.75" customHeight="1" x14ac:dyDescent="0.15"/>
    <row r="855" s="28" customFormat="1" ht="15.75" customHeight="1" x14ac:dyDescent="0.15"/>
    <row r="856" s="28" customFormat="1" ht="15.75" customHeight="1" x14ac:dyDescent="0.15"/>
    <row r="857" s="28" customFormat="1" ht="15.75" customHeight="1" x14ac:dyDescent="0.15"/>
    <row r="858" s="28" customFormat="1" ht="15.75" customHeight="1" x14ac:dyDescent="0.15"/>
    <row r="859" s="28" customFormat="1" ht="15.75" customHeight="1" x14ac:dyDescent="0.15"/>
    <row r="860" s="28" customFormat="1" ht="15.75" customHeight="1" x14ac:dyDescent="0.15"/>
    <row r="861" s="28" customFormat="1" ht="15.75" customHeight="1" x14ac:dyDescent="0.15"/>
    <row r="862" s="28" customFormat="1" ht="15.75" customHeight="1" x14ac:dyDescent="0.15"/>
    <row r="863" s="28" customFormat="1" ht="15.75" customHeight="1" x14ac:dyDescent="0.15"/>
    <row r="864" s="28" customFormat="1" ht="15.75" customHeight="1" x14ac:dyDescent="0.15"/>
    <row r="865" s="28" customFormat="1" ht="15.75" customHeight="1" x14ac:dyDescent="0.15"/>
    <row r="866" s="28" customFormat="1" ht="15.75" customHeight="1" x14ac:dyDescent="0.15"/>
    <row r="867" s="28" customFormat="1" ht="15.75" customHeight="1" x14ac:dyDescent="0.15"/>
    <row r="868" s="28" customFormat="1" ht="15.75" customHeight="1" x14ac:dyDescent="0.15"/>
    <row r="869" s="28" customFormat="1" ht="15.75" customHeight="1" x14ac:dyDescent="0.15"/>
    <row r="870" s="28" customFormat="1" ht="15.75" customHeight="1" x14ac:dyDescent="0.15"/>
    <row r="871" s="28" customFormat="1" ht="15.75" customHeight="1" x14ac:dyDescent="0.15"/>
    <row r="872" s="28" customFormat="1" ht="15.75" customHeight="1" x14ac:dyDescent="0.15"/>
    <row r="873" s="28" customFormat="1" ht="15.75" customHeight="1" x14ac:dyDescent="0.15"/>
    <row r="874" s="28" customFormat="1" ht="15.75" customHeight="1" x14ac:dyDescent="0.15"/>
    <row r="875" s="28" customFormat="1" ht="15.75" customHeight="1" x14ac:dyDescent="0.15"/>
    <row r="876" s="28" customFormat="1" ht="15.75" customHeight="1" x14ac:dyDescent="0.15"/>
    <row r="877" s="28" customFormat="1" ht="15.75" customHeight="1" x14ac:dyDescent="0.15"/>
    <row r="878" s="28" customFormat="1" ht="15.75" customHeight="1" x14ac:dyDescent="0.15"/>
    <row r="879" s="28" customFormat="1" ht="15.75" customHeight="1" x14ac:dyDescent="0.15"/>
    <row r="880" s="28" customFormat="1" ht="15.75" customHeight="1" x14ac:dyDescent="0.15"/>
    <row r="881" s="28" customFormat="1" ht="15.75" customHeight="1" x14ac:dyDescent="0.15"/>
    <row r="882" s="28" customFormat="1" ht="15.75" customHeight="1" x14ac:dyDescent="0.15"/>
    <row r="883" s="28" customFormat="1" ht="15.75" customHeight="1" x14ac:dyDescent="0.15"/>
    <row r="884" s="28" customFormat="1" ht="15.75" customHeight="1" x14ac:dyDescent="0.15"/>
    <row r="885" s="28" customFormat="1" ht="15.75" customHeight="1" x14ac:dyDescent="0.15"/>
    <row r="886" s="28" customFormat="1" ht="15.75" customHeight="1" x14ac:dyDescent="0.15"/>
    <row r="887" s="28" customFormat="1" ht="15.75" customHeight="1" x14ac:dyDescent="0.15"/>
    <row r="888" s="28" customFormat="1" ht="15.75" customHeight="1" x14ac:dyDescent="0.15"/>
    <row r="889" s="28" customFormat="1" ht="15.75" customHeight="1" x14ac:dyDescent="0.15"/>
    <row r="890" s="28" customFormat="1" ht="15.75" customHeight="1" x14ac:dyDescent="0.15"/>
    <row r="891" s="28" customFormat="1" ht="15.75" customHeight="1" x14ac:dyDescent="0.15"/>
    <row r="892" s="28" customFormat="1" ht="15.75" customHeight="1" x14ac:dyDescent="0.15"/>
    <row r="893" s="28" customFormat="1" ht="15.75" customHeight="1" x14ac:dyDescent="0.15"/>
    <row r="894" s="28" customFormat="1" ht="15.75" customHeight="1" x14ac:dyDescent="0.15"/>
    <row r="895" s="28" customFormat="1" ht="15.75" customHeight="1" x14ac:dyDescent="0.15"/>
    <row r="896" s="28" customFormat="1" ht="15.75" customHeight="1" x14ac:dyDescent="0.15"/>
    <row r="897" s="28" customFormat="1" ht="15.75" customHeight="1" x14ac:dyDescent="0.15"/>
    <row r="898" s="28" customFormat="1" ht="15.75" customHeight="1" x14ac:dyDescent="0.15"/>
    <row r="899" s="28" customFormat="1" ht="15.75" customHeight="1" x14ac:dyDescent="0.15"/>
    <row r="900" s="28" customFormat="1" ht="15.75" customHeight="1" x14ac:dyDescent="0.15"/>
    <row r="901" s="28" customFormat="1" ht="15.75" customHeight="1" x14ac:dyDescent="0.15"/>
    <row r="902" s="28" customFormat="1" ht="15.75" customHeight="1" x14ac:dyDescent="0.15"/>
    <row r="903" s="28" customFormat="1" ht="15.75" customHeight="1" x14ac:dyDescent="0.15"/>
    <row r="904" s="28" customFormat="1" ht="15.75" customHeight="1" x14ac:dyDescent="0.15"/>
    <row r="905" s="28" customFormat="1" ht="15.75" customHeight="1" x14ac:dyDescent="0.15"/>
    <row r="906" s="28" customFormat="1" ht="15.75" customHeight="1" x14ac:dyDescent="0.15"/>
    <row r="907" s="28" customFormat="1" ht="15.75" customHeight="1" x14ac:dyDescent="0.15"/>
    <row r="908" s="28" customFormat="1" ht="15.75" customHeight="1" x14ac:dyDescent="0.15"/>
    <row r="909" s="28" customFormat="1" ht="15.75" customHeight="1" x14ac:dyDescent="0.15"/>
    <row r="910" s="28" customFormat="1" ht="15.75" customHeight="1" x14ac:dyDescent="0.15"/>
    <row r="911" s="28" customFormat="1" ht="15.75" customHeight="1" x14ac:dyDescent="0.15"/>
    <row r="912" s="28" customFormat="1" ht="15.75" customHeight="1" x14ac:dyDescent="0.15"/>
    <row r="913" s="28" customFormat="1" ht="15.75" customHeight="1" x14ac:dyDescent="0.15"/>
    <row r="914" s="28" customFormat="1" ht="15.75" customHeight="1" x14ac:dyDescent="0.15"/>
    <row r="915" s="28" customFormat="1" ht="15.75" customHeight="1" x14ac:dyDescent="0.15"/>
    <row r="916" s="28" customFormat="1" ht="15.75" customHeight="1" x14ac:dyDescent="0.15"/>
    <row r="917" s="28" customFormat="1" ht="15.75" customHeight="1" x14ac:dyDescent="0.15"/>
    <row r="918" s="28" customFormat="1" ht="15.75" customHeight="1" x14ac:dyDescent="0.15"/>
    <row r="919" s="28" customFormat="1" ht="15.75" customHeight="1" x14ac:dyDescent="0.15"/>
    <row r="920" s="28" customFormat="1" ht="15.75" customHeight="1" x14ac:dyDescent="0.15"/>
    <row r="921" s="28" customFormat="1" ht="15.75" customHeight="1" x14ac:dyDescent="0.15"/>
    <row r="922" s="28" customFormat="1" ht="15.75" customHeight="1" x14ac:dyDescent="0.15"/>
    <row r="923" s="28" customFormat="1" ht="15.75" customHeight="1" x14ac:dyDescent="0.15"/>
    <row r="924" s="28" customFormat="1" ht="15.75" customHeight="1" x14ac:dyDescent="0.15"/>
    <row r="925" s="28" customFormat="1" ht="15.75" customHeight="1" x14ac:dyDescent="0.15"/>
    <row r="926" s="28" customFormat="1" ht="15.75" customHeight="1" x14ac:dyDescent="0.15"/>
    <row r="927" s="28" customFormat="1" ht="15.75" customHeight="1" x14ac:dyDescent="0.15"/>
    <row r="928" s="28" customFormat="1" ht="15.75" customHeight="1" x14ac:dyDescent="0.15"/>
    <row r="929" s="28" customFormat="1" ht="15.75" customHeight="1" x14ac:dyDescent="0.15"/>
    <row r="930" s="28" customFormat="1" ht="15.75" customHeight="1" x14ac:dyDescent="0.15"/>
    <row r="931" s="28" customFormat="1" ht="15.75" customHeight="1" x14ac:dyDescent="0.15"/>
    <row r="932" s="28" customFormat="1" ht="15.75" customHeight="1" x14ac:dyDescent="0.15"/>
    <row r="933" s="28" customFormat="1" ht="15.75" customHeight="1" x14ac:dyDescent="0.15"/>
    <row r="934" s="28" customFormat="1" ht="15.75" customHeight="1" x14ac:dyDescent="0.15"/>
    <row r="935" s="28" customFormat="1" ht="15.75" customHeight="1" x14ac:dyDescent="0.15"/>
    <row r="936" s="28" customFormat="1" ht="15.75" customHeight="1" x14ac:dyDescent="0.15"/>
    <row r="937" s="28" customFormat="1" ht="15.75" customHeight="1" x14ac:dyDescent="0.15"/>
    <row r="938" s="28" customFormat="1" ht="15.75" customHeight="1" x14ac:dyDescent="0.15"/>
    <row r="939" s="28" customFormat="1" ht="15.75" customHeight="1" x14ac:dyDescent="0.15"/>
    <row r="940" s="28" customFormat="1" ht="15.75" customHeight="1" x14ac:dyDescent="0.15"/>
    <row r="941" s="28" customFormat="1" ht="15.75" customHeight="1" x14ac:dyDescent="0.15"/>
    <row r="942" s="28" customFormat="1" ht="15.75" customHeight="1" x14ac:dyDescent="0.15"/>
    <row r="943" s="28" customFormat="1" ht="15.75" customHeight="1" x14ac:dyDescent="0.15"/>
    <row r="944" s="28" customFormat="1" ht="15.75" customHeight="1" x14ac:dyDescent="0.15"/>
    <row r="945" s="28" customFormat="1" ht="15.75" customHeight="1" x14ac:dyDescent="0.15"/>
    <row r="946" s="28" customFormat="1" ht="15.75" customHeight="1" x14ac:dyDescent="0.15"/>
    <row r="947" s="28" customFormat="1" ht="15.75" customHeight="1" x14ac:dyDescent="0.15"/>
    <row r="948" s="28" customFormat="1" ht="15.75" customHeight="1" x14ac:dyDescent="0.15"/>
    <row r="949" s="28" customFormat="1" ht="15.75" customHeight="1" x14ac:dyDescent="0.15"/>
    <row r="950" s="28" customFormat="1" ht="15.75" customHeight="1" x14ac:dyDescent="0.15"/>
    <row r="951" s="28" customFormat="1" ht="15.75" customHeight="1" x14ac:dyDescent="0.15"/>
    <row r="952" s="28" customFormat="1" ht="15.75" customHeight="1" x14ac:dyDescent="0.15"/>
    <row r="953" s="28" customFormat="1" ht="15.75" customHeight="1" x14ac:dyDescent="0.15"/>
    <row r="954" s="28" customFormat="1" ht="15.75" customHeight="1" x14ac:dyDescent="0.15"/>
    <row r="955" s="28" customFormat="1" ht="15.75" customHeight="1" x14ac:dyDescent="0.15"/>
    <row r="956" s="28" customFormat="1" ht="15.75" customHeight="1" x14ac:dyDescent="0.15"/>
    <row r="957" s="28" customFormat="1" ht="15.75" customHeight="1" x14ac:dyDescent="0.15"/>
    <row r="958" s="28" customFormat="1" ht="15.75" customHeight="1" x14ac:dyDescent="0.15"/>
    <row r="959" s="28" customFormat="1" ht="15.75" customHeight="1" x14ac:dyDescent="0.15"/>
    <row r="960" s="28" customFormat="1" ht="15.75" customHeight="1" x14ac:dyDescent="0.15"/>
    <row r="961" s="28" customFormat="1" ht="15.75" customHeight="1" x14ac:dyDescent="0.15"/>
    <row r="962" s="28" customFormat="1" ht="15.75" customHeight="1" x14ac:dyDescent="0.15"/>
    <row r="963" s="28" customFormat="1" ht="15.75" customHeight="1" x14ac:dyDescent="0.15"/>
    <row r="964" s="28" customFormat="1" ht="15.75" customHeight="1" x14ac:dyDescent="0.15"/>
    <row r="965" s="28" customFormat="1" ht="15.75" customHeight="1" x14ac:dyDescent="0.15"/>
    <row r="966" s="28" customFormat="1" ht="15.75" customHeight="1" x14ac:dyDescent="0.15"/>
    <row r="967" s="28" customFormat="1" ht="15.75" customHeight="1" x14ac:dyDescent="0.15"/>
    <row r="968" s="28" customFormat="1" ht="15.75" customHeight="1" x14ac:dyDescent="0.15"/>
    <row r="969" s="28" customFormat="1" ht="15.75" customHeight="1" x14ac:dyDescent="0.15"/>
    <row r="970" s="28" customFormat="1" ht="15.75" customHeight="1" x14ac:dyDescent="0.15"/>
    <row r="971" s="28" customFormat="1" ht="15.75" customHeight="1" x14ac:dyDescent="0.15"/>
    <row r="972" s="28" customFormat="1" ht="15.75" customHeight="1" x14ac:dyDescent="0.15"/>
    <row r="973" s="28" customFormat="1" ht="15.75" customHeight="1" x14ac:dyDescent="0.15"/>
    <row r="974" s="28" customFormat="1" ht="15.75" customHeight="1" x14ac:dyDescent="0.15"/>
    <row r="975" s="28" customFormat="1" ht="15.75" customHeight="1" x14ac:dyDescent="0.15"/>
    <row r="976" s="28" customFormat="1" ht="15.75" customHeight="1" x14ac:dyDescent="0.15"/>
    <row r="977" s="28" customFormat="1" ht="15.75" customHeight="1" x14ac:dyDescent="0.15"/>
    <row r="978" s="28" customFormat="1" ht="15.75" customHeight="1" x14ac:dyDescent="0.15"/>
    <row r="979" s="28" customFormat="1" ht="15.75" customHeight="1" x14ac:dyDescent="0.15"/>
    <row r="980" s="28" customFormat="1" ht="15.75" customHeight="1" x14ac:dyDescent="0.15"/>
    <row r="981" s="28" customFormat="1" ht="15.75" customHeight="1" x14ac:dyDescent="0.15"/>
    <row r="982" s="28" customFormat="1" ht="15.75" customHeight="1" x14ac:dyDescent="0.15"/>
    <row r="983" s="28" customFormat="1" ht="15.75" customHeight="1" x14ac:dyDescent="0.15"/>
    <row r="984" s="28" customFormat="1" ht="15.75" customHeight="1" x14ac:dyDescent="0.15"/>
    <row r="985" s="28" customFormat="1" ht="15.75" customHeight="1" x14ac:dyDescent="0.15"/>
    <row r="986" s="28" customFormat="1" ht="15.75" customHeight="1" x14ac:dyDescent="0.15"/>
    <row r="987" s="28" customFormat="1" ht="15.75" customHeight="1" x14ac:dyDescent="0.15"/>
    <row r="988" s="28" customFormat="1" ht="15.75" customHeight="1" x14ac:dyDescent="0.15"/>
    <row r="989" s="28" customFormat="1" ht="15.75" customHeight="1" x14ac:dyDescent="0.15"/>
    <row r="990" s="28" customFormat="1" ht="15.75" customHeight="1" x14ac:dyDescent="0.15"/>
    <row r="991" s="28" customFormat="1" ht="15.75" customHeight="1" x14ac:dyDescent="0.15"/>
    <row r="992" s="28" customFormat="1" ht="15.75" customHeight="1" x14ac:dyDescent="0.15"/>
    <row r="993" s="28" customFormat="1" ht="15.75" customHeight="1" x14ac:dyDescent="0.15"/>
    <row r="994" s="28" customFormat="1" ht="15.75" customHeight="1" x14ac:dyDescent="0.15"/>
    <row r="995" s="28" customFormat="1" ht="15.75" customHeight="1" x14ac:dyDescent="0.15"/>
    <row r="996" s="28" customFormat="1" ht="15.75" customHeight="1" x14ac:dyDescent="0.15"/>
    <row r="997" s="28" customFormat="1" ht="15.75" customHeight="1" x14ac:dyDescent="0.15"/>
    <row r="998" s="28" customFormat="1" ht="15.75" customHeight="1" x14ac:dyDescent="0.15"/>
    <row r="999" s="28" customFormat="1" ht="15.75" customHeight="1" x14ac:dyDescent="0.15"/>
    <row r="1000" s="28" customFormat="1" ht="15.75" customHeight="1" x14ac:dyDescent="0.15"/>
    <row r="1001" s="28" customFormat="1" ht="15.75" customHeight="1" x14ac:dyDescent="0.15"/>
    <row r="1002" s="28" customFormat="1" ht="15.75" customHeight="1" x14ac:dyDescent="0.15"/>
    <row r="1003" s="28" customFormat="1" ht="15.75" customHeight="1" x14ac:dyDescent="0.15"/>
    <row r="1004" s="28" customFormat="1" ht="15.75" customHeight="1" x14ac:dyDescent="0.15"/>
    <row r="1005" s="28" customFormat="1" ht="15.75" customHeight="1" x14ac:dyDescent="0.15"/>
    <row r="1006" s="28" customFormat="1" ht="15.75" customHeight="1" x14ac:dyDescent="0.15"/>
    <row r="1007" s="28" customFormat="1" ht="15.75" customHeight="1" x14ac:dyDescent="0.15"/>
    <row r="1008" s="28" customFormat="1" ht="15.75" customHeight="1" x14ac:dyDescent="0.15"/>
    <row r="1009" s="28" customFormat="1" ht="15.75" customHeight="1" x14ac:dyDescent="0.15"/>
    <row r="1010" s="28" customFormat="1" ht="15.75" customHeight="1" x14ac:dyDescent="0.15"/>
    <row r="1011" s="28" customFormat="1" ht="15.75" customHeight="1" x14ac:dyDescent="0.15"/>
    <row r="1012" s="28" customFormat="1" ht="15.75" customHeight="1" x14ac:dyDescent="0.15"/>
    <row r="1013" s="28" customFormat="1" ht="15.75" customHeight="1" x14ac:dyDescent="0.15"/>
    <row r="1014" s="28" customFormat="1" ht="15.75" customHeight="1" x14ac:dyDescent="0.15"/>
    <row r="1015" s="28" customFormat="1" ht="15.75" customHeight="1" x14ac:dyDescent="0.15"/>
    <row r="1016" s="28" customFormat="1" ht="15.75" customHeight="1" x14ac:dyDescent="0.15"/>
    <row r="1017" s="28" customFormat="1" ht="15.75" customHeight="1" x14ac:dyDescent="0.15"/>
    <row r="1018" s="28" customFormat="1" ht="15.75" customHeight="1" x14ac:dyDescent="0.15"/>
    <row r="1019" s="28" customFormat="1" ht="15.75" customHeight="1" x14ac:dyDescent="0.15"/>
    <row r="1020" s="28" customFormat="1" ht="15.75" customHeight="1" x14ac:dyDescent="0.15"/>
    <row r="1021" s="28" customFormat="1" ht="15.75" customHeight="1" x14ac:dyDescent="0.15"/>
    <row r="1022" s="28" customFormat="1" ht="15.75" customHeight="1" x14ac:dyDescent="0.15"/>
    <row r="1023" s="28" customFormat="1" ht="15.75" customHeight="1" x14ac:dyDescent="0.15"/>
    <row r="1024" s="28" customFormat="1" ht="15.75" customHeight="1" x14ac:dyDescent="0.15"/>
    <row r="1025" s="28" customFormat="1" ht="15.75" customHeight="1" x14ac:dyDescent="0.15"/>
    <row r="1026" s="28" customFormat="1" ht="15.75" customHeight="1" x14ac:dyDescent="0.15"/>
    <row r="1027" s="28" customFormat="1" ht="15.75" customHeight="1" x14ac:dyDescent="0.15"/>
    <row r="1028" s="28" customFormat="1" ht="15.75" customHeight="1" x14ac:dyDescent="0.15"/>
    <row r="1029" s="28" customFormat="1" ht="15.75" customHeight="1" x14ac:dyDescent="0.15"/>
    <row r="1030" s="28" customFormat="1" ht="15.75" customHeight="1" x14ac:dyDescent="0.15"/>
    <row r="1031" s="28" customFormat="1" ht="15.75" customHeight="1" x14ac:dyDescent="0.15"/>
    <row r="1032" s="28" customFormat="1" ht="15.75" customHeight="1" x14ac:dyDescent="0.15"/>
    <row r="1033" s="28" customFormat="1" ht="15.75" customHeight="1" x14ac:dyDescent="0.15"/>
    <row r="1034" s="28" customFormat="1" ht="15.75" customHeight="1" x14ac:dyDescent="0.15"/>
    <row r="1035" s="28" customFormat="1" ht="15.75" customHeight="1" x14ac:dyDescent="0.15"/>
    <row r="1036" s="28" customFormat="1" ht="15.75" customHeight="1" x14ac:dyDescent="0.15"/>
    <row r="1037" s="28" customFormat="1" ht="15.75" customHeight="1" x14ac:dyDescent="0.15"/>
    <row r="1038" s="28" customFormat="1" ht="15.75" customHeight="1" x14ac:dyDescent="0.15"/>
    <row r="1039" s="28" customFormat="1" ht="15.75" customHeight="1" x14ac:dyDescent="0.15"/>
    <row r="1040" s="28" customFormat="1" ht="15.75" customHeight="1" x14ac:dyDescent="0.15"/>
    <row r="1041" s="28" customFormat="1" ht="15.75" customHeight="1" x14ac:dyDescent="0.15"/>
    <row r="1042" s="28" customFormat="1" ht="15.75" customHeight="1" x14ac:dyDescent="0.15"/>
    <row r="1043" s="28" customFormat="1" ht="15.75" customHeight="1" x14ac:dyDescent="0.15"/>
    <row r="1044" s="28" customFormat="1" ht="15.75" customHeight="1" x14ac:dyDescent="0.15"/>
    <row r="1045" s="28" customFormat="1" ht="15.75" customHeight="1" x14ac:dyDescent="0.15"/>
    <row r="1046" s="28" customFormat="1" ht="15.75" customHeight="1" x14ac:dyDescent="0.15"/>
    <row r="1047" s="28" customFormat="1" ht="15.75" customHeight="1" x14ac:dyDescent="0.15"/>
    <row r="1048" s="28" customFormat="1" ht="15.75" customHeight="1" x14ac:dyDescent="0.15"/>
    <row r="1049" s="28" customFormat="1" ht="15.75" customHeight="1" x14ac:dyDescent="0.15"/>
    <row r="1050" s="28" customFormat="1" ht="15.75" customHeight="1" x14ac:dyDescent="0.15"/>
    <row r="1051" s="28" customFormat="1" ht="15.75" customHeight="1" x14ac:dyDescent="0.15"/>
    <row r="1052" s="28" customFormat="1" ht="15.75" customHeight="1" x14ac:dyDescent="0.15"/>
    <row r="1053" s="28" customFormat="1" ht="15.75" customHeight="1" x14ac:dyDescent="0.15"/>
    <row r="1054" s="28" customFormat="1" ht="15.75" customHeight="1" x14ac:dyDescent="0.15"/>
    <row r="1055" s="28" customFormat="1" ht="15.75" customHeight="1" x14ac:dyDescent="0.15"/>
    <row r="1056" s="28" customFormat="1" ht="15.75" customHeight="1" x14ac:dyDescent="0.15"/>
    <row r="1057" s="28" customFormat="1" ht="15.75" customHeight="1" x14ac:dyDescent="0.15"/>
    <row r="1058" s="28" customFormat="1" ht="15.75" customHeight="1" x14ac:dyDescent="0.15"/>
    <row r="1059" s="28" customFormat="1" ht="15.75" customHeight="1" x14ac:dyDescent="0.15"/>
    <row r="1060" s="28" customFormat="1" ht="15.75" customHeight="1" x14ac:dyDescent="0.15"/>
    <row r="1061" s="28" customFormat="1" ht="15.75" customHeight="1" x14ac:dyDescent="0.15"/>
    <row r="1062" s="28" customFormat="1" ht="15.75" customHeight="1" x14ac:dyDescent="0.15"/>
    <row r="1063" s="28" customFormat="1" ht="15.75" customHeight="1" x14ac:dyDescent="0.15"/>
    <row r="1064" s="28" customFormat="1" ht="15.75" customHeight="1" x14ac:dyDescent="0.15"/>
    <row r="1065" s="28" customFormat="1" ht="15.75" customHeight="1" x14ac:dyDescent="0.15"/>
    <row r="1066" s="28" customFormat="1" ht="15.75" customHeight="1" x14ac:dyDescent="0.15"/>
    <row r="1067" s="28" customFormat="1" ht="15.75" customHeight="1" x14ac:dyDescent="0.15"/>
    <row r="1068" s="28" customFormat="1" ht="15.75" customHeight="1" x14ac:dyDescent="0.15"/>
    <row r="1069" s="28" customFormat="1" ht="15.75" customHeight="1" x14ac:dyDescent="0.15"/>
    <row r="1070" s="28" customFormat="1" ht="15.75" customHeight="1" x14ac:dyDescent="0.15"/>
    <row r="1071" s="28" customFormat="1" ht="15.75" customHeight="1" x14ac:dyDescent="0.15"/>
    <row r="1072" s="28" customFormat="1" ht="15.75" customHeight="1" x14ac:dyDescent="0.15"/>
    <row r="1073" s="28" customFormat="1" ht="15.75" customHeight="1" x14ac:dyDescent="0.15"/>
    <row r="1074" s="28" customFormat="1" ht="15.75" customHeight="1" x14ac:dyDescent="0.15"/>
    <row r="1075" s="28" customFormat="1" ht="15.75" customHeight="1" x14ac:dyDescent="0.15"/>
    <row r="1076" s="28" customFormat="1" ht="15.75" customHeight="1" x14ac:dyDescent="0.15"/>
    <row r="1077" s="28" customFormat="1" ht="15.75" customHeight="1" x14ac:dyDescent="0.15"/>
    <row r="1078" s="28" customFormat="1" ht="15.75" customHeight="1" x14ac:dyDescent="0.15"/>
    <row r="1079" s="28" customFormat="1" ht="15.75" customHeight="1" x14ac:dyDescent="0.15"/>
    <row r="1080" s="28" customFormat="1" ht="15.75" customHeight="1" x14ac:dyDescent="0.15"/>
    <row r="1081" s="28" customFormat="1" ht="15.75" customHeight="1" x14ac:dyDescent="0.15"/>
    <row r="1082" s="28" customFormat="1" ht="15.75" customHeight="1" x14ac:dyDescent="0.15"/>
    <row r="1083" s="28" customFormat="1" ht="15.75" customHeight="1" x14ac:dyDescent="0.15"/>
    <row r="1084" s="28" customFormat="1" ht="15.75" customHeight="1" x14ac:dyDescent="0.15"/>
    <row r="1085" s="28" customFormat="1" ht="15.75" customHeight="1" x14ac:dyDescent="0.15"/>
    <row r="1086" s="28" customFormat="1" ht="15.75" customHeight="1" x14ac:dyDescent="0.15"/>
    <row r="1087" s="28" customFormat="1" ht="15.75" customHeight="1" x14ac:dyDescent="0.15"/>
    <row r="1088" s="28" customFormat="1" ht="15.75" customHeight="1" x14ac:dyDescent="0.15"/>
    <row r="1089" s="28" customFormat="1" ht="15.75" customHeight="1" x14ac:dyDescent="0.15"/>
    <row r="1090" s="28" customFormat="1" ht="15.75" customHeight="1" x14ac:dyDescent="0.15"/>
    <row r="1091" s="28" customFormat="1" ht="15.75" customHeight="1" x14ac:dyDescent="0.15"/>
    <row r="1092" s="28" customFormat="1" ht="15.75" customHeight="1" x14ac:dyDescent="0.15"/>
    <row r="1093" s="28" customFormat="1" ht="15.75" customHeight="1" x14ac:dyDescent="0.15"/>
    <row r="1094" s="28" customFormat="1" ht="15.75" customHeight="1" x14ac:dyDescent="0.15"/>
    <row r="1095" s="28" customFormat="1" ht="15.75" customHeight="1" x14ac:dyDescent="0.15"/>
    <row r="1096" s="28" customFormat="1" ht="15.75" customHeight="1" x14ac:dyDescent="0.15"/>
    <row r="1097" s="28" customFormat="1" ht="15.75" customHeight="1" x14ac:dyDescent="0.15"/>
    <row r="1098" s="28" customFormat="1" ht="15.75" customHeight="1" x14ac:dyDescent="0.15"/>
    <row r="1099" s="28" customFormat="1" ht="15.75" customHeight="1" x14ac:dyDescent="0.15"/>
    <row r="1100" s="28" customFormat="1" ht="15.75" customHeight="1" x14ac:dyDescent="0.15"/>
    <row r="1101" s="28" customFormat="1" ht="15.75" customHeight="1" x14ac:dyDescent="0.15"/>
    <row r="1102" s="28" customFormat="1" ht="15.75" customHeight="1" x14ac:dyDescent="0.15"/>
    <row r="1103" s="28" customFormat="1" ht="15.75" customHeight="1" x14ac:dyDescent="0.15"/>
    <row r="1104" s="28" customFormat="1" ht="15.75" customHeight="1" x14ac:dyDescent="0.15"/>
    <row r="1105" s="28" customFormat="1" ht="15.75" customHeight="1" x14ac:dyDescent="0.15"/>
    <row r="1106" s="28" customFormat="1" ht="15.75" customHeight="1" x14ac:dyDescent="0.15"/>
    <row r="1107" s="28" customFormat="1" ht="15.75" customHeight="1" x14ac:dyDescent="0.15"/>
    <row r="1108" s="28" customFormat="1" ht="15.75" customHeight="1" x14ac:dyDescent="0.15"/>
    <row r="1109" s="28" customFormat="1" ht="15.75" customHeight="1" x14ac:dyDescent="0.15"/>
    <row r="1110" s="28" customFormat="1" ht="15.75" customHeight="1" x14ac:dyDescent="0.15"/>
    <row r="1111" s="28" customFormat="1" ht="15.75" customHeight="1" x14ac:dyDescent="0.15"/>
    <row r="1112" s="28" customFormat="1" ht="15.75" customHeight="1" x14ac:dyDescent="0.15"/>
    <row r="1113" s="28" customFormat="1" ht="15.75" customHeight="1" x14ac:dyDescent="0.15"/>
    <row r="1114" s="28" customFormat="1" ht="15.75" customHeight="1" x14ac:dyDescent="0.15"/>
    <row r="1115" s="28" customFormat="1" ht="15.75" customHeight="1" x14ac:dyDescent="0.15"/>
    <row r="1116" s="28" customFormat="1" ht="15.75" customHeight="1" x14ac:dyDescent="0.15"/>
    <row r="1117" s="28" customFormat="1" ht="15.75" customHeight="1" x14ac:dyDescent="0.15"/>
    <row r="1118" s="28" customFormat="1" ht="15.75" customHeight="1" x14ac:dyDescent="0.15"/>
    <row r="1119" s="28" customFormat="1" ht="15.75" customHeight="1" x14ac:dyDescent="0.15"/>
    <row r="1120" s="28" customFormat="1" ht="15.75" customHeight="1" x14ac:dyDescent="0.15"/>
    <row r="1121" s="28" customFormat="1" ht="15.75" customHeight="1" x14ac:dyDescent="0.15"/>
    <row r="1122" s="28" customFormat="1" ht="15.75" customHeight="1" x14ac:dyDescent="0.15"/>
    <row r="1123" s="28" customFormat="1" ht="15.75" customHeight="1" x14ac:dyDescent="0.15"/>
    <row r="1124" s="28" customFormat="1" ht="15.75" customHeight="1" x14ac:dyDescent="0.15"/>
    <row r="1125" s="28" customFormat="1" ht="15.75" customHeight="1" x14ac:dyDescent="0.15"/>
    <row r="1126" s="28" customFormat="1" ht="15.75" customHeight="1" x14ac:dyDescent="0.15"/>
    <row r="1127" s="28" customFormat="1" ht="15.75" customHeight="1" x14ac:dyDescent="0.15"/>
    <row r="1128" s="28" customFormat="1" ht="15.75" customHeight="1" x14ac:dyDescent="0.15"/>
    <row r="1129" s="28" customFormat="1" ht="15.75" customHeight="1" x14ac:dyDescent="0.15"/>
    <row r="1130" s="28" customFormat="1" ht="15.75" customHeight="1" x14ac:dyDescent="0.15"/>
    <row r="1131" s="28" customFormat="1" ht="15.75" customHeight="1" x14ac:dyDescent="0.15"/>
    <row r="1132" s="28" customFormat="1" ht="15.75" customHeight="1" x14ac:dyDescent="0.15"/>
    <row r="1133" s="28" customFormat="1" ht="15.75" customHeight="1" x14ac:dyDescent="0.15"/>
    <row r="1134" s="28" customFormat="1" ht="15.75" customHeight="1" x14ac:dyDescent="0.15"/>
    <row r="1135" s="28" customFormat="1" ht="15.75" customHeight="1" x14ac:dyDescent="0.15"/>
    <row r="1136" s="28" customFormat="1" ht="15.75" customHeight="1" x14ac:dyDescent="0.15"/>
    <row r="1137" s="28" customFormat="1" ht="15.75" customHeight="1" x14ac:dyDescent="0.15"/>
    <row r="1138" s="28" customFormat="1" ht="15.75" customHeight="1" x14ac:dyDescent="0.15"/>
    <row r="1139" s="28" customFormat="1" ht="15.75" customHeight="1" x14ac:dyDescent="0.15"/>
    <row r="1140" s="28" customFormat="1" ht="15.75" customHeight="1" x14ac:dyDescent="0.15"/>
    <row r="1141" s="28" customFormat="1" ht="15.75" customHeight="1" x14ac:dyDescent="0.15"/>
    <row r="1142" s="28" customFormat="1" ht="15.75" customHeight="1" x14ac:dyDescent="0.15"/>
    <row r="1143" s="28" customFormat="1" ht="15.75" customHeight="1" x14ac:dyDescent="0.15"/>
    <row r="1144" s="28" customFormat="1" ht="15.75" customHeight="1" x14ac:dyDescent="0.15"/>
    <row r="1145" s="28" customFormat="1" ht="15.75" customHeight="1" x14ac:dyDescent="0.15"/>
    <row r="1146" s="28" customFormat="1" ht="15.75" customHeight="1" x14ac:dyDescent="0.15"/>
    <row r="1147" s="28" customFormat="1" ht="15.75" customHeight="1" x14ac:dyDescent="0.15"/>
    <row r="1148" s="28" customFormat="1" ht="15.75" customHeight="1" x14ac:dyDescent="0.15"/>
    <row r="1149" s="28" customFormat="1" ht="15.75" customHeight="1" x14ac:dyDescent="0.15"/>
    <row r="1150" s="28" customFormat="1" ht="15.75" customHeight="1" x14ac:dyDescent="0.15"/>
    <row r="1151" s="28" customFormat="1" ht="15.75" customHeight="1" x14ac:dyDescent="0.15"/>
    <row r="1152" s="28" customFormat="1" ht="15.75" customHeight="1" x14ac:dyDescent="0.15"/>
    <row r="1153" s="28" customFormat="1" ht="15.75" customHeight="1" x14ac:dyDescent="0.15"/>
    <row r="1154" s="28" customFormat="1" ht="15.75" customHeight="1" x14ac:dyDescent="0.15"/>
    <row r="1155" s="28" customFormat="1" ht="15.75" customHeight="1" x14ac:dyDescent="0.15"/>
    <row r="1156" s="28" customFormat="1" ht="15.75" customHeight="1" x14ac:dyDescent="0.15"/>
    <row r="1157" s="28" customFormat="1" ht="15.75" customHeight="1" x14ac:dyDescent="0.15"/>
    <row r="1158" s="28" customFormat="1" ht="15.75" customHeight="1" x14ac:dyDescent="0.15"/>
    <row r="1159" s="28" customFormat="1" ht="15.75" customHeight="1" x14ac:dyDescent="0.15"/>
    <row r="1160" s="28" customFormat="1" ht="15.75" customHeight="1" x14ac:dyDescent="0.15"/>
    <row r="1161" s="28" customFormat="1" ht="15.75" customHeight="1" x14ac:dyDescent="0.15"/>
    <row r="1162" s="28" customFormat="1" ht="15.75" customHeight="1" x14ac:dyDescent="0.15"/>
    <row r="1163" s="28" customFormat="1" ht="15.75" customHeight="1" x14ac:dyDescent="0.15"/>
    <row r="1164" s="28" customFormat="1" ht="15.75" customHeight="1" x14ac:dyDescent="0.15"/>
    <row r="1165" s="28" customFormat="1" ht="15.75" customHeight="1" x14ac:dyDescent="0.15"/>
    <row r="1166" s="28" customFormat="1" ht="15.75" customHeight="1" x14ac:dyDescent="0.15"/>
    <row r="1167" s="28" customFormat="1" ht="15.75" customHeight="1" x14ac:dyDescent="0.15"/>
    <row r="1168" s="28" customFormat="1" ht="15.75" customHeight="1" x14ac:dyDescent="0.15"/>
    <row r="1169" s="28" customFormat="1" ht="15.75" customHeight="1" x14ac:dyDescent="0.15"/>
    <row r="1170" s="28" customFormat="1" ht="15.75" customHeight="1" x14ac:dyDescent="0.15"/>
    <row r="1171" s="28" customFormat="1" ht="15.75" customHeight="1" x14ac:dyDescent="0.15"/>
    <row r="1172" s="28" customFormat="1" ht="15.75" customHeight="1" x14ac:dyDescent="0.15"/>
    <row r="1173" s="28" customFormat="1" ht="15.75" customHeight="1" x14ac:dyDescent="0.15"/>
    <row r="1174" s="28" customFormat="1" ht="15.75" customHeight="1" x14ac:dyDescent="0.15"/>
    <row r="1175" s="28" customFormat="1" ht="15.75" customHeight="1" x14ac:dyDescent="0.15"/>
    <row r="1176" s="28" customFormat="1" ht="15.75" customHeight="1" x14ac:dyDescent="0.15"/>
    <row r="1177" s="28" customFormat="1" ht="15.75" customHeight="1" x14ac:dyDescent="0.15"/>
    <row r="1178" s="28" customFormat="1" ht="15.75" customHeight="1" x14ac:dyDescent="0.15"/>
    <row r="1179" s="28" customFormat="1" ht="15.75" customHeight="1" x14ac:dyDescent="0.15"/>
    <row r="1180" s="28" customFormat="1" ht="15.75" customHeight="1" x14ac:dyDescent="0.15"/>
    <row r="1181" s="28" customFormat="1" ht="15.75" customHeight="1" x14ac:dyDescent="0.15"/>
    <row r="1182" s="28" customFormat="1" ht="15.75" customHeight="1" x14ac:dyDescent="0.15"/>
    <row r="1183" s="28" customFormat="1" ht="15.75" customHeight="1" x14ac:dyDescent="0.15"/>
    <row r="1184" s="28" customFormat="1" ht="15.75" customHeight="1" x14ac:dyDescent="0.15"/>
    <row r="1185" s="28" customFormat="1" ht="15.75" customHeight="1" x14ac:dyDescent="0.15"/>
    <row r="1186" s="28" customFormat="1" ht="15.75" customHeight="1" x14ac:dyDescent="0.15"/>
    <row r="1187" s="28" customFormat="1" ht="15.75" customHeight="1" x14ac:dyDescent="0.15"/>
    <row r="1188" s="28" customFormat="1" ht="15.75" customHeight="1" x14ac:dyDescent="0.15"/>
    <row r="1189" s="28" customFormat="1" ht="15.75" customHeight="1" x14ac:dyDescent="0.15"/>
    <row r="1190" s="28" customFormat="1" ht="15.75" customHeight="1" x14ac:dyDescent="0.15"/>
    <row r="1191" s="28" customFormat="1" ht="15.75" customHeight="1" x14ac:dyDescent="0.15"/>
    <row r="1192" s="28" customFormat="1" ht="15.75" customHeight="1" x14ac:dyDescent="0.15"/>
    <row r="1193" s="28" customFormat="1" ht="15.75" customHeight="1" x14ac:dyDescent="0.15"/>
    <row r="1194" s="28" customFormat="1" ht="15.75" customHeight="1" x14ac:dyDescent="0.15"/>
    <row r="1195" s="28" customFormat="1" ht="15.75" customHeight="1" x14ac:dyDescent="0.15"/>
    <row r="1196" s="28" customFormat="1" ht="15.75" customHeight="1" x14ac:dyDescent="0.15"/>
    <row r="1197" s="28" customFormat="1" ht="15.75" customHeight="1" x14ac:dyDescent="0.15"/>
    <row r="1198" s="28" customFormat="1" ht="15.75" customHeight="1" x14ac:dyDescent="0.15"/>
    <row r="1199" s="28" customFormat="1" ht="15.75" customHeight="1" x14ac:dyDescent="0.15"/>
    <row r="1200" s="28" customFormat="1" ht="15.75" customHeight="1" x14ac:dyDescent="0.15"/>
    <row r="1201" s="28" customFormat="1" ht="15.75" customHeight="1" x14ac:dyDescent="0.15"/>
    <row r="1202" s="28" customFormat="1" ht="15.75" customHeight="1" x14ac:dyDescent="0.15"/>
    <row r="1203" s="28" customFormat="1" ht="15.75" customHeight="1" x14ac:dyDescent="0.15"/>
    <row r="1204" s="28" customFormat="1" ht="15.75" customHeight="1" x14ac:dyDescent="0.15"/>
    <row r="1205" s="28" customFormat="1" ht="15.75" customHeight="1" x14ac:dyDescent="0.15"/>
    <row r="1206" s="28" customFormat="1" ht="15.75" customHeight="1" x14ac:dyDescent="0.15"/>
    <row r="1207" s="28" customFormat="1" ht="15.75" customHeight="1" x14ac:dyDescent="0.15"/>
    <row r="1208" s="28" customFormat="1" ht="15.75" customHeight="1" x14ac:dyDescent="0.15"/>
    <row r="1209" s="28" customFormat="1" ht="15.75" customHeight="1" x14ac:dyDescent="0.15"/>
    <row r="1210" s="28" customFormat="1" ht="15.75" customHeight="1" x14ac:dyDescent="0.15"/>
    <row r="1211" s="28" customFormat="1" ht="15.75" customHeight="1" x14ac:dyDescent="0.15"/>
    <row r="1212" s="28" customFormat="1" ht="15.75" customHeight="1" x14ac:dyDescent="0.15"/>
    <row r="1213" s="28" customFormat="1" ht="15.75" customHeight="1" x14ac:dyDescent="0.15"/>
    <row r="1214" s="28" customFormat="1" ht="15.75" customHeight="1" x14ac:dyDescent="0.15"/>
    <row r="1215" s="28" customFormat="1" ht="15.75" customHeight="1" x14ac:dyDescent="0.15"/>
    <row r="1216" s="28" customFormat="1" ht="15.75" customHeight="1" x14ac:dyDescent="0.15"/>
    <row r="1217" s="28" customFormat="1" ht="15.75" customHeight="1" x14ac:dyDescent="0.15"/>
    <row r="1218" s="28" customFormat="1" ht="15.75" customHeight="1" x14ac:dyDescent="0.15"/>
    <row r="1219" s="28" customFormat="1" ht="15.75" customHeight="1" x14ac:dyDescent="0.15"/>
    <row r="1220" s="28" customFormat="1" ht="15.75" customHeight="1" x14ac:dyDescent="0.15"/>
    <row r="1221" s="28" customFormat="1" ht="15.75" customHeight="1" x14ac:dyDescent="0.15"/>
    <row r="1222" s="28" customFormat="1" ht="15.75" customHeight="1" x14ac:dyDescent="0.15"/>
    <row r="1223" s="28" customFormat="1" ht="15.75" customHeight="1" x14ac:dyDescent="0.15"/>
    <row r="1224" s="28" customFormat="1" ht="15.75" customHeight="1" x14ac:dyDescent="0.15"/>
    <row r="1225" s="28" customFormat="1" ht="15.75" customHeight="1" x14ac:dyDescent="0.15"/>
    <row r="1226" s="28" customFormat="1" ht="15.75" customHeight="1" x14ac:dyDescent="0.15"/>
    <row r="1227" s="28" customFormat="1" ht="15.75" customHeight="1" x14ac:dyDescent="0.15"/>
    <row r="1228" s="28" customFormat="1" ht="15.75" customHeight="1" x14ac:dyDescent="0.15"/>
    <row r="1229" s="28" customFormat="1" ht="15.75" customHeight="1" x14ac:dyDescent="0.15"/>
    <row r="1230" s="28" customFormat="1" ht="15.75" customHeight="1" x14ac:dyDescent="0.15"/>
    <row r="1231" s="28" customFormat="1" ht="15.75" customHeight="1" x14ac:dyDescent="0.15"/>
    <row r="1232" s="28" customFormat="1" ht="15.75" customHeight="1" x14ac:dyDescent="0.15"/>
    <row r="1233" s="28" customFormat="1" ht="15.75" customHeight="1" x14ac:dyDescent="0.15"/>
    <row r="1234" s="28" customFormat="1" ht="15.75" customHeight="1" x14ac:dyDescent="0.15"/>
    <row r="1235" s="28" customFormat="1" ht="15.75" customHeight="1" x14ac:dyDescent="0.15"/>
    <row r="1236" s="28" customFormat="1" ht="15.75" customHeight="1" x14ac:dyDescent="0.15"/>
    <row r="1237" s="28" customFormat="1" ht="15.75" customHeight="1" x14ac:dyDescent="0.15"/>
    <row r="1238" s="28" customFormat="1" ht="15.75" customHeight="1" x14ac:dyDescent="0.15"/>
    <row r="1239" s="28" customFormat="1" ht="15.75" customHeight="1" x14ac:dyDescent="0.15"/>
    <row r="1240" s="28" customFormat="1" ht="15.75" customHeight="1" x14ac:dyDescent="0.15"/>
    <row r="1241" s="28" customFormat="1" ht="15.75" customHeight="1" x14ac:dyDescent="0.15"/>
    <row r="1242" s="28" customFormat="1" ht="15.75" customHeight="1" x14ac:dyDescent="0.15"/>
    <row r="1243" s="28" customFormat="1" ht="15.75" customHeight="1" x14ac:dyDescent="0.15"/>
    <row r="1244" s="28" customFormat="1" ht="15.75" customHeight="1" x14ac:dyDescent="0.15"/>
    <row r="1245" s="28" customFormat="1" ht="15.75" customHeight="1" x14ac:dyDescent="0.15"/>
    <row r="1246" s="28" customFormat="1" ht="15.75" customHeight="1" x14ac:dyDescent="0.15"/>
    <row r="1247" s="28" customFormat="1" ht="15.75" customHeight="1" x14ac:dyDescent="0.15"/>
    <row r="1248" s="28" customFormat="1" ht="15.75" customHeight="1" x14ac:dyDescent="0.15"/>
    <row r="1249" s="28" customFormat="1" ht="15.75" customHeight="1" x14ac:dyDescent="0.15"/>
    <row r="1250" s="28" customFormat="1" ht="15.75" customHeight="1" x14ac:dyDescent="0.15"/>
    <row r="1251" s="28" customFormat="1" ht="15.75" customHeight="1" x14ac:dyDescent="0.15"/>
    <row r="1252" s="28" customFormat="1" ht="15.75" customHeight="1" x14ac:dyDescent="0.15"/>
    <row r="1253" s="28" customFormat="1" ht="15.75" customHeight="1" x14ac:dyDescent="0.15"/>
    <row r="1254" s="28" customFormat="1" ht="15.75" customHeight="1" x14ac:dyDescent="0.15"/>
    <row r="1255" s="28" customFormat="1" ht="15.75" customHeight="1" x14ac:dyDescent="0.15"/>
    <row r="1256" s="28" customFormat="1" ht="15.75" customHeight="1" x14ac:dyDescent="0.15"/>
    <row r="1257" s="28" customFormat="1" ht="15.75" customHeight="1" x14ac:dyDescent="0.15"/>
    <row r="1258" s="28" customFormat="1" ht="15.75" customHeight="1" x14ac:dyDescent="0.15"/>
    <row r="1259" s="28" customFormat="1" ht="15.75" customHeight="1" x14ac:dyDescent="0.15"/>
    <row r="1260" s="28" customFormat="1" ht="15.75" customHeight="1" x14ac:dyDescent="0.15"/>
    <row r="1261" s="28" customFormat="1" ht="15.75" customHeight="1" x14ac:dyDescent="0.15"/>
    <row r="1262" s="28" customFormat="1" ht="15.75" customHeight="1" x14ac:dyDescent="0.15"/>
    <row r="1263" s="28" customFormat="1" ht="15.75" customHeight="1" x14ac:dyDescent="0.15"/>
    <row r="1264" s="28" customFormat="1" ht="15.75" customHeight="1" x14ac:dyDescent="0.15"/>
    <row r="1265" s="28" customFormat="1" ht="15.75" customHeight="1" x14ac:dyDescent="0.15"/>
    <row r="1266" s="28" customFormat="1" ht="15.75" customHeight="1" x14ac:dyDescent="0.15"/>
    <row r="1267" s="28" customFormat="1" ht="15.75" customHeight="1" x14ac:dyDescent="0.15"/>
    <row r="1268" s="28" customFormat="1" ht="15.75" customHeight="1" x14ac:dyDescent="0.15"/>
    <row r="1269" s="28" customFormat="1" ht="15.75" customHeight="1" x14ac:dyDescent="0.15"/>
    <row r="1270" s="28" customFormat="1" ht="15.75" customHeight="1" x14ac:dyDescent="0.15"/>
    <row r="1271" s="28" customFormat="1" ht="15.75" customHeight="1" x14ac:dyDescent="0.15"/>
    <row r="1272" s="28" customFormat="1" ht="15.75" customHeight="1" x14ac:dyDescent="0.15"/>
    <row r="1273" s="28" customFormat="1" ht="15.75" customHeight="1" x14ac:dyDescent="0.15"/>
    <row r="1274" s="28" customFormat="1" ht="15.75" customHeight="1" x14ac:dyDescent="0.15"/>
    <row r="1275" s="28" customFormat="1" ht="15.75" customHeight="1" x14ac:dyDescent="0.15"/>
    <row r="1276" s="28" customFormat="1" ht="15.75" customHeight="1" x14ac:dyDescent="0.15"/>
    <row r="1277" s="28" customFormat="1" ht="15.75" customHeight="1" x14ac:dyDescent="0.15"/>
    <row r="1278" s="28" customFormat="1" ht="15.75" customHeight="1" x14ac:dyDescent="0.15"/>
    <row r="1279" s="28" customFormat="1" ht="15.75" customHeight="1" x14ac:dyDescent="0.15"/>
    <row r="1280" s="28" customFormat="1" ht="15.75" customHeight="1" x14ac:dyDescent="0.15"/>
    <row r="1281" s="28" customFormat="1" ht="15.75" customHeight="1" x14ac:dyDescent="0.15"/>
    <row r="1282" s="28" customFormat="1" ht="15.75" customHeight="1" x14ac:dyDescent="0.15"/>
    <row r="1283" s="28" customFormat="1" ht="15.75" customHeight="1" x14ac:dyDescent="0.15"/>
    <row r="1284" s="28" customFormat="1" ht="15.75" customHeight="1" x14ac:dyDescent="0.15"/>
    <row r="1285" s="28" customFormat="1" ht="15.75" customHeight="1" x14ac:dyDescent="0.15"/>
    <row r="1286" s="28" customFormat="1" ht="15.75" customHeight="1" x14ac:dyDescent="0.15"/>
    <row r="1287" s="28" customFormat="1" ht="15.75" customHeight="1" x14ac:dyDescent="0.15"/>
    <row r="1288" s="28" customFormat="1" ht="15.75" customHeight="1" x14ac:dyDescent="0.15"/>
    <row r="1289" s="28" customFormat="1" ht="15.75" customHeight="1" x14ac:dyDescent="0.15"/>
    <row r="1290" s="28" customFormat="1" ht="15.75" customHeight="1" x14ac:dyDescent="0.15"/>
    <row r="1291" s="28" customFormat="1" ht="15.75" customHeight="1" x14ac:dyDescent="0.15"/>
    <row r="1292" s="28" customFormat="1" ht="15.75" customHeight="1" x14ac:dyDescent="0.15"/>
    <row r="1293" s="28" customFormat="1" ht="15.75" customHeight="1" x14ac:dyDescent="0.15"/>
    <row r="1294" s="28" customFormat="1" ht="15.75" customHeight="1" x14ac:dyDescent="0.15"/>
    <row r="1295" s="28" customFormat="1" ht="15.75" customHeight="1" x14ac:dyDescent="0.15"/>
    <row r="1296" s="28" customFormat="1" ht="15.75" customHeight="1" x14ac:dyDescent="0.15"/>
    <row r="1297" s="28" customFormat="1" ht="15.75" customHeight="1" x14ac:dyDescent="0.15"/>
    <row r="1298" s="28" customFormat="1" ht="15.75" customHeight="1" x14ac:dyDescent="0.15"/>
    <row r="1299" s="28" customFormat="1" ht="15.75" customHeight="1" x14ac:dyDescent="0.15"/>
    <row r="1300" s="28" customFormat="1" ht="15.75" customHeight="1" x14ac:dyDescent="0.15"/>
    <row r="1301" s="28" customFormat="1" ht="15.75" customHeight="1" x14ac:dyDescent="0.15"/>
    <row r="1302" s="28" customFormat="1" ht="15.75" customHeight="1" x14ac:dyDescent="0.15"/>
    <row r="1303" s="28" customFormat="1" ht="15.75" customHeight="1" x14ac:dyDescent="0.15"/>
    <row r="1304" s="28" customFormat="1" ht="15.75" customHeight="1" x14ac:dyDescent="0.15"/>
    <row r="1305" s="28" customFormat="1" ht="15.75" customHeight="1" x14ac:dyDescent="0.15"/>
    <row r="1306" s="28" customFormat="1" ht="15.75" customHeight="1" x14ac:dyDescent="0.15"/>
    <row r="1307" s="28" customFormat="1" ht="15.75" customHeight="1" x14ac:dyDescent="0.15"/>
    <row r="1308" s="28" customFormat="1" ht="15.75" customHeight="1" x14ac:dyDescent="0.15"/>
    <row r="1309" s="28" customFormat="1" ht="15.75" customHeight="1" x14ac:dyDescent="0.15"/>
    <row r="1310" s="28" customFormat="1" ht="15.75" customHeight="1" x14ac:dyDescent="0.15"/>
    <row r="1311" s="28" customFormat="1" ht="15.75" customHeight="1" x14ac:dyDescent="0.15"/>
    <row r="1312" s="28" customFormat="1" ht="15.75" customHeight="1" x14ac:dyDescent="0.15"/>
    <row r="1313" s="28" customFormat="1" ht="15.75" customHeight="1" x14ac:dyDescent="0.15"/>
    <row r="1314" s="28" customFormat="1" ht="15.75" customHeight="1" x14ac:dyDescent="0.15"/>
    <row r="1315" s="28" customFormat="1" ht="15.75" customHeight="1" x14ac:dyDescent="0.15"/>
    <row r="1316" s="28" customFormat="1" ht="15.75" customHeight="1" x14ac:dyDescent="0.15"/>
    <row r="1317" s="28" customFormat="1" ht="15.75" customHeight="1" x14ac:dyDescent="0.15"/>
    <row r="1318" s="28" customFormat="1" ht="15.75" customHeight="1" x14ac:dyDescent="0.15"/>
    <row r="1319" s="28" customFormat="1" ht="15.75" customHeight="1" x14ac:dyDescent="0.15"/>
    <row r="1320" s="28" customFormat="1" ht="15.75" customHeight="1" x14ac:dyDescent="0.15"/>
    <row r="1321" s="28" customFormat="1" ht="15.75" customHeight="1" x14ac:dyDescent="0.15"/>
    <row r="1322" s="28" customFormat="1" ht="15.75" customHeight="1" x14ac:dyDescent="0.15"/>
    <row r="1323" s="28" customFormat="1" ht="15.75" customHeight="1" x14ac:dyDescent="0.15"/>
    <row r="1324" s="28" customFormat="1" ht="15.75" customHeight="1" x14ac:dyDescent="0.15"/>
    <row r="1325" s="28" customFormat="1" ht="15.75" customHeight="1" x14ac:dyDescent="0.15"/>
    <row r="1326" s="28" customFormat="1" ht="15.75" customHeight="1" x14ac:dyDescent="0.15"/>
    <row r="1327" s="28" customFormat="1" ht="15.75" customHeight="1" x14ac:dyDescent="0.15"/>
    <row r="1328" s="28" customFormat="1" ht="15.75" customHeight="1" x14ac:dyDescent="0.15"/>
    <row r="1329" s="28" customFormat="1" ht="15.75" customHeight="1" x14ac:dyDescent="0.15"/>
    <row r="1330" s="28" customFormat="1" ht="15.75" customHeight="1" x14ac:dyDescent="0.15"/>
    <row r="1331" s="28" customFormat="1" ht="15.75" customHeight="1" x14ac:dyDescent="0.15"/>
    <row r="1332" s="28" customFormat="1" ht="15.75" customHeight="1" x14ac:dyDescent="0.15"/>
    <row r="1333" s="28" customFormat="1" ht="15.75" customHeight="1" x14ac:dyDescent="0.15"/>
    <row r="1334" s="28" customFormat="1" ht="15.75" customHeight="1" x14ac:dyDescent="0.15"/>
    <row r="1335" s="28" customFormat="1" ht="15.75" customHeight="1" x14ac:dyDescent="0.15"/>
    <row r="1336" s="28" customFormat="1" ht="15.75" customHeight="1" x14ac:dyDescent="0.15"/>
    <row r="1337" s="28" customFormat="1" ht="15.75" customHeight="1" x14ac:dyDescent="0.15"/>
    <row r="1338" s="28" customFormat="1" ht="15.75" customHeight="1" x14ac:dyDescent="0.15"/>
    <row r="1339" s="28" customFormat="1" ht="15.75" customHeight="1" x14ac:dyDescent="0.15"/>
    <row r="1340" s="28" customFormat="1" ht="15.75" customHeight="1" x14ac:dyDescent="0.15"/>
    <row r="1341" s="28" customFormat="1" ht="15.75" customHeight="1" x14ac:dyDescent="0.15"/>
    <row r="1342" s="28" customFormat="1" ht="15.75" customHeight="1" x14ac:dyDescent="0.15"/>
    <row r="1343" s="28" customFormat="1" ht="15.75" customHeight="1" x14ac:dyDescent="0.15"/>
    <row r="1344" s="28" customFormat="1" ht="15.75" customHeight="1" x14ac:dyDescent="0.15"/>
    <row r="1345" s="28" customFormat="1" ht="15.75" customHeight="1" x14ac:dyDescent="0.15"/>
    <row r="1346" s="28" customFormat="1" ht="15.75" customHeight="1" x14ac:dyDescent="0.15"/>
    <row r="1347" s="28" customFormat="1" ht="15.75" customHeight="1" x14ac:dyDescent="0.15"/>
    <row r="1348" s="28" customFormat="1" ht="15.75" customHeight="1" x14ac:dyDescent="0.15"/>
    <row r="1349" s="28" customFormat="1" ht="15.75" customHeight="1" x14ac:dyDescent="0.15"/>
    <row r="1350" s="28" customFormat="1" ht="15.75" customHeight="1" x14ac:dyDescent="0.15"/>
    <row r="1351" s="28" customFormat="1" ht="15.75" customHeight="1" x14ac:dyDescent="0.15"/>
    <row r="1352" s="28" customFormat="1" ht="15.75" customHeight="1" x14ac:dyDescent="0.15"/>
    <row r="1353" s="28" customFormat="1" ht="15.75" customHeight="1" x14ac:dyDescent="0.15"/>
    <row r="1354" s="28" customFormat="1" ht="15.75" customHeight="1" x14ac:dyDescent="0.15"/>
    <row r="1355" s="28" customFormat="1" ht="15.75" customHeight="1" x14ac:dyDescent="0.15"/>
  </sheetData>
  <phoneticPr fontId="5" type="noConversion"/>
  <dataValidations count="9">
    <dataValidation type="list" allowBlank="1" showInputMessage="1" showErrorMessage="1" sqref="F44:F254 F256:F294 X293:X294 R258 BI1 F1:F42 R1:R255 U1:U254 X1:X254 E342:E1048576 U293:U1048576 R293:R1048576 AV1:AV1048576" xr:uid="{923D619A-685B-7640-9A02-7A681449FCBE}">
      <formula1>"0, 1, 2"</formula1>
    </dataValidation>
    <dataValidation type="list" allowBlank="1" showInputMessage="1" showErrorMessage="1" sqref="AA226:AA254 BI49:BI292 L293:L294 AA293:AA294 AM293:AM294 AM1:AM254 BX1:BX294 AJ1:AJ254 AG1:AG254 AA1:AA224 L1:L254 BR1:BR294 BI2:BI47 AD334 AD336:AD338 BU295:BU1048576 AD340:AD1048576 X295:X1048576 AY1:AY341 K342:K1048576 BG342:BG1048576 AG293:AG1048576 AJ293:AJ1048576 BL295:BL1048576 BG295:BG340 BO1:BO1048576" xr:uid="{4CABFBB2-5791-5F4D-990C-DFAC24976A9F}">
      <formula1>"0, 1, 2, 3"</formula1>
    </dataValidation>
    <dataValidation type="list" allowBlank="1" showInputMessage="1" showErrorMessage="1" sqref="BU1:BU294 AD1:AD254 AD335 AD339 AA295:AA1048576 BR295:BR1048576 AD293:AD333" xr:uid="{0691A208-F1FB-2644-B028-6F0DFA4726B3}">
      <formula1>"0, 1, 2, 3, 4, 5"</formula1>
    </dataValidation>
    <dataValidation type="list" allowBlank="1" showInputMessage="1" showErrorMessage="1" sqref="CJ1:CM294 BB1:BG294 O1:O187 O189:O294 CJ295:CJ334 CK295:CK335 CJ336:CJ337 CJ339 CK338:CK339 AY342:AY1048576 CG341:CG1048576 N342:N1048576 BA342:BA1048576 BB295:BE1048576 CJ341:CK1048576 CI342:CI1048576" xr:uid="{20414422-E743-0F45-B1FA-C79A37B317DC}">
      <formula1>"0, 1"</formula1>
    </dataValidation>
    <dataValidation type="list" allowBlank="1" showInputMessage="1" showErrorMessage="1" sqref="I293:I294 AP1:AP254 I1:I254 CD295:CD1048576 AM295:AM1048576 H342:H1048576 AP293:AP339 CG1:CG340" xr:uid="{1EB1EB36-0D94-6948-B913-A5C085DC881C}">
      <formula1>"0, 1, 2, 3, 4"</formula1>
    </dataValidation>
    <dataValidation type="list" allowBlank="1" showInputMessage="1" showErrorMessage="1" sqref="CD243:CD294 CD1:CD241 CA341:CA1048576" xr:uid="{06A0179C-FF01-D440-84A9-4C07D1181C00}">
      <formula1>"0, 1, 2,"</formula1>
    </dataValidation>
    <dataValidation type="list" allowBlank="1" showInputMessage="1" showErrorMessage="1" sqref="C20:C254 C1:C18 C293:C1048576" xr:uid="{32439D38-D37B-184A-B7BC-27D84EFA912E}">
      <formula1>"0, 1, 2, 3, 4, 5, "</formula1>
    </dataValidation>
    <dataValidation type="list" allowBlank="1" showInputMessage="1" showErrorMessage="1" sqref="BL1:BL294 BI295:BI1048576 CA1:CA340 AS295:AS1048576 BX295:BX1048576" xr:uid="{79B8E286-5A5E-C74E-8F1C-F23F3A82CB17}">
      <formula1>"0, 1, 2, 3, "</formula1>
    </dataValidation>
    <dataValidation type="list" allowBlank="1" showInputMessage="1" showErrorMessage="1" sqref="AS1:AS294 AP340:AP1048576" xr:uid="{F2EEA80A-8247-AA49-963D-4E4A78B5806E}">
      <formula1>"0, 1, 2, 3, nan"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2F48-3027-084C-B03C-9A79ED03AF6A}">
  <dimension ref="A1:BH1116"/>
  <sheetViews>
    <sheetView topLeftCell="BE1" zoomScale="163" workbookViewId="0">
      <selection activeCell="BE109" sqref="A109:XFD109"/>
    </sheetView>
  </sheetViews>
  <sheetFormatPr baseColWidth="10" defaultRowHeight="13" x14ac:dyDescent="0.15"/>
  <cols>
    <col min="1" max="1" width="15.33203125" style="64" customWidth="1"/>
    <col min="2" max="2" width="14.6640625" style="64" customWidth="1"/>
    <col min="3" max="3" width="13.33203125" style="64" customWidth="1"/>
    <col min="4" max="5" width="14.33203125" style="64" customWidth="1"/>
    <col min="6" max="6" width="23.83203125" style="22" customWidth="1"/>
    <col min="7" max="7" width="17.5" style="64" customWidth="1"/>
    <col min="8" max="8" width="17.83203125" style="22" customWidth="1"/>
    <col min="9" max="9" width="15.33203125" style="64" customWidth="1"/>
    <col min="10" max="10" width="24.5" style="22" customWidth="1"/>
    <col min="11" max="11" width="15.5" style="64" customWidth="1"/>
    <col min="12" max="12" width="22.1640625" style="22" customWidth="1"/>
    <col min="13" max="13" width="13.83203125" style="64" customWidth="1"/>
    <col min="14" max="14" width="20" style="22" customWidth="1"/>
    <col min="15" max="15" width="13.33203125" style="64" customWidth="1"/>
    <col min="16" max="16" width="22.1640625" style="22" customWidth="1"/>
    <col min="17" max="17" width="13" style="64" customWidth="1"/>
    <col min="18" max="18" width="24.1640625" style="27" customWidth="1"/>
    <col min="19" max="19" width="12.83203125" style="68" customWidth="1"/>
    <col min="20" max="20" width="21" style="22" customWidth="1"/>
    <col min="21" max="21" width="13.33203125" style="64" customWidth="1"/>
    <col min="22" max="22" width="25.33203125" style="22" customWidth="1"/>
    <col min="23" max="23" width="14" style="68" customWidth="1"/>
    <col min="24" max="24" width="26.6640625" style="22" customWidth="1"/>
    <col min="25" max="25" width="13.33203125" customWidth="1"/>
    <col min="26" max="26" width="21.33203125" style="22" customWidth="1"/>
    <col min="27" max="27" width="14.5" customWidth="1"/>
    <col min="28" max="28" width="17" style="22" customWidth="1"/>
    <col min="29" max="29" width="14" customWidth="1"/>
    <col min="30" max="35" width="10.1640625" style="64" customWidth="1"/>
    <col min="36" max="36" width="25.1640625" style="31" customWidth="1"/>
    <col min="37" max="37" width="14.5" customWidth="1"/>
    <col min="38" max="38" width="17.33203125" style="22" customWidth="1"/>
    <col min="39" max="39" width="14.1640625" customWidth="1"/>
    <col min="40" max="40" width="16" style="22" customWidth="1"/>
    <col min="41" max="41" width="14" customWidth="1"/>
    <col min="42" max="42" width="22.33203125" style="22" customWidth="1"/>
    <col min="43" max="43" width="16.1640625" customWidth="1"/>
    <col min="44" max="44" width="14.5" style="64" customWidth="1"/>
    <col min="45" max="45" width="20.33203125" style="22" customWidth="1"/>
    <col min="46" max="46" width="16.1640625" customWidth="1"/>
    <col min="47" max="47" width="17.5" style="22" customWidth="1"/>
    <col min="48" max="48" width="12.1640625" customWidth="1"/>
    <col min="49" max="49" width="17.1640625" style="22" customWidth="1"/>
    <col min="50" max="50" width="13.83203125" customWidth="1"/>
    <col min="51" max="51" width="23.5" style="22" customWidth="1"/>
    <col min="52" max="52" width="16" customWidth="1"/>
    <col min="53" max="56" width="16.83203125" style="64" customWidth="1"/>
    <col min="57" max="57" width="34" customWidth="1"/>
    <col min="58" max="58" width="20.33203125" style="70" customWidth="1"/>
    <col min="59" max="59" width="30.5" customWidth="1"/>
    <col min="60" max="60" width="29.6640625" customWidth="1"/>
  </cols>
  <sheetData>
    <row r="1" spans="1:60" ht="15" thickBot="1" x14ac:dyDescent="0.2">
      <c r="A1" s="56" t="s">
        <v>273</v>
      </c>
      <c r="B1" s="56" t="s">
        <v>265</v>
      </c>
      <c r="C1" s="56" t="s">
        <v>267</v>
      </c>
      <c r="D1" s="56" t="s">
        <v>268</v>
      </c>
      <c r="E1" s="56" t="s">
        <v>266</v>
      </c>
      <c r="F1" s="49" t="s">
        <v>247</v>
      </c>
      <c r="G1" s="66" t="s">
        <v>347</v>
      </c>
      <c r="H1" s="49" t="s">
        <v>248</v>
      </c>
      <c r="I1" s="69" t="s">
        <v>344</v>
      </c>
      <c r="J1" s="49" t="s">
        <v>249</v>
      </c>
      <c r="K1" s="66" t="s">
        <v>345</v>
      </c>
      <c r="L1" s="49" t="s">
        <v>250</v>
      </c>
      <c r="M1" s="66" t="s">
        <v>346</v>
      </c>
      <c r="N1" s="49" t="s">
        <v>251</v>
      </c>
      <c r="O1" s="66" t="s">
        <v>348</v>
      </c>
      <c r="P1" s="49" t="s">
        <v>252</v>
      </c>
      <c r="Q1" s="66" t="s">
        <v>349</v>
      </c>
      <c r="R1" s="49" t="s">
        <v>253</v>
      </c>
      <c r="S1" s="66" t="s">
        <v>350</v>
      </c>
      <c r="T1" s="49" t="s">
        <v>254</v>
      </c>
      <c r="U1" s="66" t="s">
        <v>351</v>
      </c>
      <c r="V1" s="49" t="s">
        <v>255</v>
      </c>
      <c r="W1" s="66" t="s">
        <v>352</v>
      </c>
      <c r="X1" s="49" t="s">
        <v>256</v>
      </c>
      <c r="Y1" s="66" t="s">
        <v>353</v>
      </c>
      <c r="Z1" s="49" t="s">
        <v>257</v>
      </c>
      <c r="AA1" s="66" t="s">
        <v>354</v>
      </c>
      <c r="AB1" s="49" t="s">
        <v>258</v>
      </c>
      <c r="AC1" s="66" t="s">
        <v>355</v>
      </c>
      <c r="AD1" s="56" t="s">
        <v>259</v>
      </c>
      <c r="AE1" s="56" t="s">
        <v>260</v>
      </c>
      <c r="AF1" s="56" t="s">
        <v>261</v>
      </c>
      <c r="AG1" s="56" t="s">
        <v>262</v>
      </c>
      <c r="AH1" s="56" t="s">
        <v>263</v>
      </c>
      <c r="AI1" s="56" t="s">
        <v>264</v>
      </c>
      <c r="AJ1" s="49" t="s">
        <v>269</v>
      </c>
      <c r="AK1" s="65" t="s">
        <v>356</v>
      </c>
      <c r="AL1" s="49" t="s">
        <v>270</v>
      </c>
      <c r="AM1" s="65" t="s">
        <v>357</v>
      </c>
      <c r="AN1" s="49"/>
      <c r="AO1" s="65" t="s">
        <v>358</v>
      </c>
      <c r="AP1" s="49" t="s">
        <v>272</v>
      </c>
      <c r="AQ1" s="65" t="s">
        <v>359</v>
      </c>
      <c r="AR1" s="72" t="s">
        <v>348</v>
      </c>
      <c r="AS1" s="49" t="s">
        <v>275</v>
      </c>
      <c r="AT1" s="72" t="s">
        <v>360</v>
      </c>
      <c r="AU1" s="49" t="s">
        <v>276</v>
      </c>
      <c r="AV1" s="72" t="s">
        <v>361</v>
      </c>
      <c r="AW1" s="49" t="s">
        <v>277</v>
      </c>
      <c r="AX1" s="72" t="s">
        <v>362</v>
      </c>
      <c r="AY1" s="49" t="s">
        <v>278</v>
      </c>
      <c r="AZ1" s="72" t="s">
        <v>363</v>
      </c>
      <c r="BA1" s="56" t="s">
        <v>279</v>
      </c>
      <c r="BB1" s="56" t="s">
        <v>280</v>
      </c>
      <c r="BC1" s="72" t="s">
        <v>281</v>
      </c>
      <c r="BD1" s="72" t="s">
        <v>282</v>
      </c>
      <c r="BE1" s="72" t="s">
        <v>364</v>
      </c>
      <c r="BF1" s="72" t="s">
        <v>365</v>
      </c>
      <c r="BG1" s="72" t="s">
        <v>366</v>
      </c>
      <c r="BH1" s="72" t="s">
        <v>367</v>
      </c>
    </row>
    <row r="2" spans="1:60" ht="14" thickTop="1" x14ac:dyDescent="0.15">
      <c r="A2" s="57">
        <v>5</v>
      </c>
      <c r="B2" s="57">
        <v>1</v>
      </c>
      <c r="C2" s="57">
        <v>1</v>
      </c>
      <c r="D2" s="57">
        <v>2</v>
      </c>
      <c r="E2" s="57">
        <v>1</v>
      </c>
      <c r="F2" s="17">
        <v>2</v>
      </c>
      <c r="G2" s="64">
        <f t="shared" ref="G2:G65" si="0">F2/2</f>
        <v>1</v>
      </c>
      <c r="H2" s="17">
        <v>2</v>
      </c>
      <c r="I2" s="64">
        <f>H2/2</f>
        <v>1</v>
      </c>
      <c r="J2" s="17">
        <v>2</v>
      </c>
      <c r="K2" s="64">
        <f>J2/2</f>
        <v>1</v>
      </c>
      <c r="L2" s="17">
        <v>3</v>
      </c>
      <c r="M2" s="64">
        <f>L2/3</f>
        <v>1</v>
      </c>
      <c r="N2" s="17">
        <v>1</v>
      </c>
      <c r="O2" s="64">
        <f>N2/5</f>
        <v>0.2</v>
      </c>
      <c r="P2" s="17">
        <v>2</v>
      </c>
      <c r="Q2" s="64">
        <f>P2/3</f>
        <v>0.66666666666666663</v>
      </c>
      <c r="R2" s="23">
        <v>3</v>
      </c>
      <c r="S2" s="71">
        <f>R2/3</f>
        <v>1</v>
      </c>
      <c r="T2" s="17">
        <v>3</v>
      </c>
      <c r="U2" s="64">
        <f>T2/3</f>
        <v>1</v>
      </c>
      <c r="V2" s="17">
        <v>4</v>
      </c>
      <c r="W2" s="71">
        <f>V2/4</f>
        <v>1</v>
      </c>
      <c r="X2" s="17">
        <v>1</v>
      </c>
      <c r="Y2" s="71">
        <f>X2/3</f>
        <v>0.33333333333333331</v>
      </c>
      <c r="Z2" s="17">
        <v>3</v>
      </c>
      <c r="AA2" s="71">
        <f>Z2/3</f>
        <v>1</v>
      </c>
      <c r="AB2" s="17">
        <v>0</v>
      </c>
      <c r="AC2" s="71">
        <f>AB2/2</f>
        <v>0</v>
      </c>
      <c r="AD2" s="57">
        <v>1</v>
      </c>
      <c r="AE2" s="57">
        <v>0</v>
      </c>
      <c r="AF2" s="57">
        <v>1</v>
      </c>
      <c r="AG2" s="57">
        <v>0</v>
      </c>
      <c r="AH2" s="57">
        <v>0</v>
      </c>
      <c r="AI2" s="57">
        <v>0</v>
      </c>
      <c r="AJ2" s="20">
        <v>2</v>
      </c>
      <c r="AK2" s="71">
        <f>AJ2/2</f>
        <v>1</v>
      </c>
      <c r="AL2" s="17">
        <v>2</v>
      </c>
      <c r="AM2" s="71">
        <f>AL2/3</f>
        <v>0.66666666666666663</v>
      </c>
      <c r="AN2" s="17">
        <v>1</v>
      </c>
      <c r="AO2" s="71">
        <f>AN2/3</f>
        <v>0.33333333333333331</v>
      </c>
      <c r="AP2" s="17">
        <v>3</v>
      </c>
      <c r="AQ2" s="71">
        <f>AP2/3</f>
        <v>1</v>
      </c>
      <c r="AR2" s="57">
        <v>2</v>
      </c>
      <c r="AS2" s="17">
        <v>3</v>
      </c>
      <c r="AT2" s="71">
        <f>AS2/3</f>
        <v>1</v>
      </c>
      <c r="AU2" s="17">
        <v>3</v>
      </c>
      <c r="AV2" s="71">
        <f>AU2/3</f>
        <v>1</v>
      </c>
      <c r="AW2" s="17">
        <v>2</v>
      </c>
      <c r="AX2" s="71">
        <f>AW2/2</f>
        <v>1</v>
      </c>
      <c r="AY2" s="17">
        <v>3</v>
      </c>
      <c r="AZ2" s="71">
        <f>AY2/3</f>
        <v>1</v>
      </c>
      <c r="BA2" s="73">
        <v>1</v>
      </c>
      <c r="BB2" s="73">
        <v>0</v>
      </c>
      <c r="BC2" s="73">
        <v>1</v>
      </c>
      <c r="BD2" s="73">
        <v>0</v>
      </c>
      <c r="BE2" s="81">
        <f>AVERAGE(F2,I2,K2,M2,O2,Q2,S2,U2,W2,Y2,AA2,AC2,AK2,AM2,AO2,AQ2,AT2,AV2,AX2,AZ2)</f>
        <v>0.8600000000000001</v>
      </c>
      <c r="BF2" s="81" t="str">
        <f>IF(BE2="","",IF(VALUE(BE2)&lt;0.34,"BASSO",IF(VALUE(BE2)&lt;=0.66,"MEDIO","ALTO")))</f>
        <v>ALTO</v>
      </c>
      <c r="BG2" s="82">
        <f>AVERAGE(BE2:BE296)</f>
        <v>0.62858474576271162</v>
      </c>
      <c r="BH2" s="82" t="str">
        <f>IF(BG2="","",IF(VALUE(BG2)&lt;=0.33,"BASSO",IF(VALUE(BG2)&lt;=0.66,"MEDIO","ALTO")))</f>
        <v>MEDIO</v>
      </c>
    </row>
    <row r="3" spans="1:60" x14ac:dyDescent="0.15">
      <c r="A3" s="58">
        <v>2</v>
      </c>
      <c r="B3" s="58">
        <v>1</v>
      </c>
      <c r="C3" s="58">
        <v>3</v>
      </c>
      <c r="D3" s="58">
        <v>2</v>
      </c>
      <c r="E3" s="58">
        <v>1</v>
      </c>
      <c r="F3" s="18">
        <v>1</v>
      </c>
      <c r="G3" s="64">
        <f t="shared" si="0"/>
        <v>0.5</v>
      </c>
      <c r="H3" s="18">
        <v>2</v>
      </c>
      <c r="I3" s="64">
        <f t="shared" ref="I3:I66" si="1">H3/2</f>
        <v>1</v>
      </c>
      <c r="J3" s="18">
        <v>1</v>
      </c>
      <c r="K3" s="64">
        <f t="shared" ref="K3:K66" si="2">J3/2</f>
        <v>0.5</v>
      </c>
      <c r="L3" s="18">
        <v>2</v>
      </c>
      <c r="M3" s="64">
        <f t="shared" ref="M3:M66" si="3">L3/3</f>
        <v>0.66666666666666663</v>
      </c>
      <c r="N3" s="18">
        <v>3</v>
      </c>
      <c r="O3" s="64">
        <f t="shared" ref="O3:O66" si="4">N3/5</f>
        <v>0.6</v>
      </c>
      <c r="P3" s="18">
        <v>2</v>
      </c>
      <c r="Q3" s="64">
        <f t="shared" ref="Q3:Q66" si="5">P3/3</f>
        <v>0.66666666666666663</v>
      </c>
      <c r="R3" s="24">
        <v>3</v>
      </c>
      <c r="S3" s="71">
        <f t="shared" ref="S3:S66" si="6">R3/3</f>
        <v>1</v>
      </c>
      <c r="T3" s="18">
        <v>3</v>
      </c>
      <c r="U3" s="64">
        <f t="shared" ref="U3:U66" si="7">T3/3</f>
        <v>1</v>
      </c>
      <c r="V3" s="18">
        <v>3</v>
      </c>
      <c r="W3" s="71">
        <f t="shared" ref="W3:W66" si="8">V3/4</f>
        <v>0.75</v>
      </c>
      <c r="X3" s="18">
        <v>1</v>
      </c>
      <c r="Y3" s="71">
        <f t="shared" ref="Y3:Y66" si="9">X3/3</f>
        <v>0.33333333333333331</v>
      </c>
      <c r="Z3" s="18">
        <v>1</v>
      </c>
      <c r="AA3" s="71">
        <f t="shared" ref="AA3:AA66" si="10">Z3/3</f>
        <v>0.33333333333333331</v>
      </c>
      <c r="AB3" s="18">
        <v>2</v>
      </c>
      <c r="AC3" s="71">
        <f t="shared" ref="AC3:AC66" si="11">AB3/2</f>
        <v>1</v>
      </c>
      <c r="AD3" s="58">
        <v>1</v>
      </c>
      <c r="AE3" s="58">
        <v>0</v>
      </c>
      <c r="AF3" s="58">
        <v>1</v>
      </c>
      <c r="AG3" s="58">
        <v>0</v>
      </c>
      <c r="AH3" s="58">
        <v>0</v>
      </c>
      <c r="AI3" s="58">
        <v>1</v>
      </c>
      <c r="AJ3" s="19">
        <v>2</v>
      </c>
      <c r="AK3" s="71">
        <f t="shared" ref="AK3:AK66" si="12">AJ3/2</f>
        <v>1</v>
      </c>
      <c r="AL3" s="18">
        <v>3</v>
      </c>
      <c r="AM3" s="71">
        <f t="shared" ref="AM3:AM66" si="13">AL3/3</f>
        <v>1</v>
      </c>
      <c r="AN3" s="18">
        <v>1</v>
      </c>
      <c r="AO3" s="71">
        <f t="shared" ref="AO3:AO66" si="14">AN3/3</f>
        <v>0.33333333333333331</v>
      </c>
      <c r="AP3" s="18">
        <v>2</v>
      </c>
      <c r="AQ3" s="71">
        <f t="shared" ref="AQ3:AQ66" si="15">AP3/3</f>
        <v>0.66666666666666663</v>
      </c>
      <c r="AR3" s="58">
        <v>1</v>
      </c>
      <c r="AS3" s="18">
        <v>2</v>
      </c>
      <c r="AT3" s="71">
        <f t="shared" ref="AT3:AT66" si="16">AS3/3</f>
        <v>0.66666666666666663</v>
      </c>
      <c r="AU3" s="18">
        <v>3</v>
      </c>
      <c r="AV3" s="71">
        <f t="shared" ref="AV3:AV66" si="17">AU3/3</f>
        <v>1</v>
      </c>
      <c r="AW3" s="18">
        <v>2</v>
      </c>
      <c r="AX3" s="71">
        <f t="shared" ref="AX3:AX66" si="18">AW3/2</f>
        <v>1</v>
      </c>
      <c r="AY3" s="18">
        <v>3</v>
      </c>
      <c r="AZ3" s="71">
        <f t="shared" ref="AZ3:AZ66" si="19">AY3/3</f>
        <v>1</v>
      </c>
      <c r="BA3" s="74">
        <v>1</v>
      </c>
      <c r="BB3" s="74">
        <v>1</v>
      </c>
      <c r="BC3" s="74">
        <v>0</v>
      </c>
      <c r="BD3" s="74">
        <v>0</v>
      </c>
      <c r="BE3" s="81">
        <f t="shared" ref="BE3:BE66" si="20">AVERAGE(F3,I3,K3,M3,O3,Q3,S3,U3,W3,Y3,AA3,AC3,AK3,AM3,AO3,AQ3,AT3,AV3,AX3,AZ3)</f>
        <v>0.77583333333333326</v>
      </c>
      <c r="BF3" s="81" t="str">
        <f t="shared" ref="BF3:BF66" si="21">IF(BE3="","",IF(VALUE(BE3)&lt;0.34,"BASSO",IF(VALUE(BE3)&lt;=0.66,"MEDIO","ALTO")))</f>
        <v>ALTO</v>
      </c>
    </row>
    <row r="4" spans="1:60" x14ac:dyDescent="0.15">
      <c r="A4" s="57">
        <v>2</v>
      </c>
      <c r="B4" s="57">
        <v>1</v>
      </c>
      <c r="C4" s="57">
        <v>1</v>
      </c>
      <c r="D4" s="57">
        <v>2</v>
      </c>
      <c r="E4" s="57">
        <v>1</v>
      </c>
      <c r="F4" s="17">
        <v>1</v>
      </c>
      <c r="G4" s="64">
        <f t="shared" si="0"/>
        <v>0.5</v>
      </c>
      <c r="H4" s="17">
        <v>0</v>
      </c>
      <c r="I4" s="64">
        <f t="shared" si="1"/>
        <v>0</v>
      </c>
      <c r="J4" s="17">
        <v>2</v>
      </c>
      <c r="K4" s="64">
        <f t="shared" si="2"/>
        <v>1</v>
      </c>
      <c r="L4" s="17">
        <v>1</v>
      </c>
      <c r="M4" s="64">
        <f t="shared" si="3"/>
        <v>0.33333333333333331</v>
      </c>
      <c r="N4" s="17">
        <v>0</v>
      </c>
      <c r="O4" s="64">
        <f t="shared" si="4"/>
        <v>0</v>
      </c>
      <c r="P4" s="17">
        <v>2</v>
      </c>
      <c r="Q4" s="64">
        <f t="shared" si="5"/>
        <v>0.66666666666666663</v>
      </c>
      <c r="R4" s="25">
        <v>2</v>
      </c>
      <c r="S4" s="71">
        <f t="shared" si="6"/>
        <v>0.66666666666666663</v>
      </c>
      <c r="T4" s="17">
        <v>2</v>
      </c>
      <c r="U4" s="64">
        <f t="shared" si="7"/>
        <v>0.66666666666666663</v>
      </c>
      <c r="V4" s="17">
        <v>3</v>
      </c>
      <c r="W4" s="71">
        <f t="shared" si="8"/>
        <v>0.75</v>
      </c>
      <c r="X4" s="17">
        <v>1</v>
      </c>
      <c r="Y4" s="71">
        <f t="shared" si="9"/>
        <v>0.33333333333333331</v>
      </c>
      <c r="Z4" s="17">
        <v>0</v>
      </c>
      <c r="AA4" s="71">
        <f t="shared" si="10"/>
        <v>0</v>
      </c>
      <c r="AB4" s="17">
        <v>2</v>
      </c>
      <c r="AC4" s="71">
        <f t="shared" si="11"/>
        <v>1</v>
      </c>
      <c r="AD4" s="57">
        <v>1</v>
      </c>
      <c r="AE4" s="57">
        <v>0</v>
      </c>
      <c r="AF4" s="57">
        <v>0</v>
      </c>
      <c r="AG4" s="57">
        <v>1</v>
      </c>
      <c r="AH4" s="57">
        <v>0</v>
      </c>
      <c r="AI4" s="57">
        <v>0</v>
      </c>
      <c r="AJ4" s="20">
        <v>1</v>
      </c>
      <c r="AK4" s="71">
        <f t="shared" si="12"/>
        <v>0.5</v>
      </c>
      <c r="AL4" s="17">
        <v>2</v>
      </c>
      <c r="AM4" s="71">
        <f t="shared" si="13"/>
        <v>0.66666666666666663</v>
      </c>
      <c r="AN4" s="17">
        <v>1</v>
      </c>
      <c r="AO4" s="71">
        <f t="shared" si="14"/>
        <v>0.33333333333333331</v>
      </c>
      <c r="AP4" s="17">
        <v>2</v>
      </c>
      <c r="AQ4" s="71">
        <f t="shared" si="15"/>
        <v>0.66666666666666663</v>
      </c>
      <c r="AR4" s="57">
        <v>1</v>
      </c>
      <c r="AS4" s="17">
        <v>3</v>
      </c>
      <c r="AT4" s="71">
        <f t="shared" si="16"/>
        <v>1</v>
      </c>
      <c r="AU4" s="17">
        <v>2</v>
      </c>
      <c r="AV4" s="71">
        <f t="shared" si="17"/>
        <v>0.66666666666666663</v>
      </c>
      <c r="AW4" s="17">
        <v>1</v>
      </c>
      <c r="AX4" s="71">
        <f t="shared" si="18"/>
        <v>0.5</v>
      </c>
      <c r="AY4" s="17">
        <v>2</v>
      </c>
      <c r="AZ4" s="71">
        <f t="shared" si="19"/>
        <v>0.66666666666666663</v>
      </c>
      <c r="BA4" s="73">
        <v>1</v>
      </c>
      <c r="BB4" s="73">
        <v>0</v>
      </c>
      <c r="BC4" s="73">
        <v>1</v>
      </c>
      <c r="BD4" s="73">
        <v>0</v>
      </c>
      <c r="BE4" s="81">
        <f t="shared" si="20"/>
        <v>0.57083333333333319</v>
      </c>
      <c r="BF4" s="81" t="str">
        <f t="shared" si="21"/>
        <v>MEDIO</v>
      </c>
    </row>
    <row r="5" spans="1:60" x14ac:dyDescent="0.15">
      <c r="A5" s="58">
        <v>5</v>
      </c>
      <c r="B5" s="58">
        <v>1</v>
      </c>
      <c r="C5" s="58">
        <v>1</v>
      </c>
      <c r="D5" s="58">
        <v>2</v>
      </c>
      <c r="E5" s="58">
        <v>1</v>
      </c>
      <c r="F5" s="18">
        <v>2</v>
      </c>
      <c r="G5" s="64">
        <f t="shared" si="0"/>
        <v>1</v>
      </c>
      <c r="H5" s="18">
        <v>2</v>
      </c>
      <c r="I5" s="64">
        <f t="shared" si="1"/>
        <v>1</v>
      </c>
      <c r="J5" s="18">
        <v>1</v>
      </c>
      <c r="K5" s="64">
        <f t="shared" si="2"/>
        <v>0.5</v>
      </c>
      <c r="L5" s="18">
        <v>3</v>
      </c>
      <c r="M5" s="64">
        <f t="shared" si="3"/>
        <v>1</v>
      </c>
      <c r="N5" s="18">
        <v>0</v>
      </c>
      <c r="O5" s="64">
        <f t="shared" si="4"/>
        <v>0</v>
      </c>
      <c r="P5" s="18">
        <v>2</v>
      </c>
      <c r="Q5" s="64">
        <f t="shared" si="5"/>
        <v>0.66666666666666663</v>
      </c>
      <c r="R5" s="24">
        <v>3</v>
      </c>
      <c r="S5" s="71">
        <f t="shared" si="6"/>
        <v>1</v>
      </c>
      <c r="T5" s="18">
        <v>3</v>
      </c>
      <c r="U5" s="64">
        <f t="shared" si="7"/>
        <v>1</v>
      </c>
      <c r="V5" s="18">
        <v>3</v>
      </c>
      <c r="W5" s="71">
        <f t="shared" si="8"/>
        <v>0.75</v>
      </c>
      <c r="X5" s="18">
        <v>0</v>
      </c>
      <c r="Y5" s="71">
        <f t="shared" si="9"/>
        <v>0</v>
      </c>
      <c r="Z5" s="18">
        <v>3</v>
      </c>
      <c r="AA5" s="71">
        <f t="shared" si="10"/>
        <v>1</v>
      </c>
      <c r="AB5" s="18">
        <v>0</v>
      </c>
      <c r="AC5" s="71">
        <f t="shared" si="11"/>
        <v>0</v>
      </c>
      <c r="AD5" s="58">
        <v>1</v>
      </c>
      <c r="AE5" s="58">
        <v>1</v>
      </c>
      <c r="AF5" s="58">
        <v>0</v>
      </c>
      <c r="AG5" s="58">
        <v>0</v>
      </c>
      <c r="AH5" s="58">
        <v>0</v>
      </c>
      <c r="AI5" s="58">
        <v>0</v>
      </c>
      <c r="AJ5" s="19">
        <v>1</v>
      </c>
      <c r="AK5" s="71">
        <f t="shared" si="12"/>
        <v>0.5</v>
      </c>
      <c r="AL5" s="18">
        <v>2</v>
      </c>
      <c r="AM5" s="71">
        <f t="shared" si="13"/>
        <v>0.66666666666666663</v>
      </c>
      <c r="AN5" s="18">
        <v>1</v>
      </c>
      <c r="AO5" s="71">
        <f t="shared" si="14"/>
        <v>0.33333333333333331</v>
      </c>
      <c r="AP5" s="18">
        <v>2</v>
      </c>
      <c r="AQ5" s="71">
        <f t="shared" si="15"/>
        <v>0.66666666666666663</v>
      </c>
      <c r="AR5" s="58">
        <v>2</v>
      </c>
      <c r="AS5" s="18">
        <v>3</v>
      </c>
      <c r="AT5" s="71">
        <f t="shared" si="16"/>
        <v>1</v>
      </c>
      <c r="AU5" s="18">
        <v>3</v>
      </c>
      <c r="AV5" s="71">
        <f t="shared" si="17"/>
        <v>1</v>
      </c>
      <c r="AW5" s="18">
        <v>1</v>
      </c>
      <c r="AX5" s="71">
        <f t="shared" si="18"/>
        <v>0.5</v>
      </c>
      <c r="AY5" s="18">
        <v>3</v>
      </c>
      <c r="AZ5" s="71">
        <f t="shared" si="19"/>
        <v>1</v>
      </c>
      <c r="BA5" s="74">
        <v>1</v>
      </c>
      <c r="BB5" s="74">
        <v>1</v>
      </c>
      <c r="BC5" s="74">
        <v>0</v>
      </c>
      <c r="BD5" s="74">
        <v>0</v>
      </c>
      <c r="BE5" s="81">
        <f t="shared" si="20"/>
        <v>0.72916666666666674</v>
      </c>
      <c r="BF5" s="81" t="str">
        <f t="shared" si="21"/>
        <v>ALTO</v>
      </c>
    </row>
    <row r="6" spans="1:60" x14ac:dyDescent="0.15">
      <c r="A6" s="57">
        <v>2</v>
      </c>
      <c r="B6" s="57">
        <v>1</v>
      </c>
      <c r="C6" s="57">
        <v>1</v>
      </c>
      <c r="D6" s="57">
        <v>2</v>
      </c>
      <c r="E6" s="58">
        <v>1</v>
      </c>
      <c r="F6" s="17">
        <v>1</v>
      </c>
      <c r="G6" s="64">
        <f t="shared" si="0"/>
        <v>0.5</v>
      </c>
      <c r="H6" s="17">
        <v>0</v>
      </c>
      <c r="I6" s="64">
        <f t="shared" si="1"/>
        <v>0</v>
      </c>
      <c r="J6" s="17">
        <v>2</v>
      </c>
      <c r="K6" s="64">
        <f t="shared" si="2"/>
        <v>1</v>
      </c>
      <c r="L6" s="17">
        <v>1</v>
      </c>
      <c r="M6" s="64">
        <f t="shared" si="3"/>
        <v>0.33333333333333331</v>
      </c>
      <c r="N6" s="17">
        <v>2</v>
      </c>
      <c r="O6" s="64">
        <f t="shared" si="4"/>
        <v>0.4</v>
      </c>
      <c r="P6" s="17">
        <v>0</v>
      </c>
      <c r="Q6" s="64">
        <f t="shared" si="5"/>
        <v>0</v>
      </c>
      <c r="R6" s="25">
        <v>0</v>
      </c>
      <c r="S6" s="71">
        <f t="shared" si="6"/>
        <v>0</v>
      </c>
      <c r="T6" s="17">
        <v>3</v>
      </c>
      <c r="U6" s="64">
        <f t="shared" si="7"/>
        <v>1</v>
      </c>
      <c r="V6" s="17">
        <v>3</v>
      </c>
      <c r="W6" s="71">
        <f t="shared" si="8"/>
        <v>0.75</v>
      </c>
      <c r="X6" s="17">
        <v>3</v>
      </c>
      <c r="Y6" s="71">
        <f t="shared" si="9"/>
        <v>1</v>
      </c>
      <c r="Z6" s="17">
        <v>3</v>
      </c>
      <c r="AA6" s="71">
        <f t="shared" si="10"/>
        <v>1</v>
      </c>
      <c r="AB6" s="17">
        <v>1</v>
      </c>
      <c r="AC6" s="71">
        <f t="shared" si="11"/>
        <v>0.5</v>
      </c>
      <c r="AD6" s="57">
        <v>1</v>
      </c>
      <c r="AE6" s="57">
        <v>0</v>
      </c>
      <c r="AF6" s="57">
        <v>1</v>
      </c>
      <c r="AG6" s="57">
        <v>0</v>
      </c>
      <c r="AH6" s="57">
        <v>0</v>
      </c>
      <c r="AI6" s="57">
        <v>0</v>
      </c>
      <c r="AJ6" s="20">
        <v>1</v>
      </c>
      <c r="AK6" s="71">
        <f t="shared" si="12"/>
        <v>0.5</v>
      </c>
      <c r="AL6" s="17">
        <v>3</v>
      </c>
      <c r="AM6" s="71">
        <f t="shared" si="13"/>
        <v>1</v>
      </c>
      <c r="AN6" s="17">
        <v>0</v>
      </c>
      <c r="AO6" s="71">
        <f t="shared" si="14"/>
        <v>0</v>
      </c>
      <c r="AP6" s="17">
        <v>3</v>
      </c>
      <c r="AQ6" s="71">
        <f t="shared" si="15"/>
        <v>1</v>
      </c>
      <c r="AR6" s="57">
        <v>0</v>
      </c>
      <c r="AS6" s="17">
        <v>3</v>
      </c>
      <c r="AT6" s="71">
        <f t="shared" si="16"/>
        <v>1</v>
      </c>
      <c r="AU6" s="17">
        <v>3</v>
      </c>
      <c r="AV6" s="71">
        <f t="shared" si="17"/>
        <v>1</v>
      </c>
      <c r="AW6" s="17">
        <v>2</v>
      </c>
      <c r="AX6" s="71">
        <f t="shared" si="18"/>
        <v>1</v>
      </c>
      <c r="AY6" s="17">
        <v>0</v>
      </c>
      <c r="AZ6" s="71">
        <f t="shared" si="19"/>
        <v>0</v>
      </c>
      <c r="BA6" s="73">
        <v>1</v>
      </c>
      <c r="BB6" s="73">
        <v>0</v>
      </c>
      <c r="BC6" s="73">
        <v>1</v>
      </c>
      <c r="BD6" s="73">
        <v>0</v>
      </c>
      <c r="BE6" s="81">
        <f t="shared" si="20"/>
        <v>0.62416666666666676</v>
      </c>
      <c r="BF6" s="81" t="str">
        <f t="shared" si="21"/>
        <v>MEDIO</v>
      </c>
    </row>
    <row r="7" spans="1:60" x14ac:dyDescent="0.15">
      <c r="A7" s="58">
        <v>3</v>
      </c>
      <c r="B7" s="58">
        <v>2</v>
      </c>
      <c r="C7" s="58">
        <v>3</v>
      </c>
      <c r="D7" s="58">
        <v>2</v>
      </c>
      <c r="E7" s="58">
        <v>1</v>
      </c>
      <c r="F7" s="18">
        <v>1</v>
      </c>
      <c r="G7" s="64">
        <f t="shared" si="0"/>
        <v>0.5</v>
      </c>
      <c r="H7" s="18">
        <v>1</v>
      </c>
      <c r="I7" s="64">
        <f t="shared" si="1"/>
        <v>0.5</v>
      </c>
      <c r="J7" s="18">
        <v>1</v>
      </c>
      <c r="K7" s="64">
        <f t="shared" si="2"/>
        <v>0.5</v>
      </c>
      <c r="L7" s="18">
        <v>1</v>
      </c>
      <c r="M7" s="64">
        <f t="shared" si="3"/>
        <v>0.33333333333333331</v>
      </c>
      <c r="N7" s="18">
        <v>4</v>
      </c>
      <c r="O7" s="64">
        <f t="shared" si="4"/>
        <v>0.8</v>
      </c>
      <c r="P7" s="18">
        <v>3</v>
      </c>
      <c r="Q7" s="64">
        <f t="shared" si="5"/>
        <v>1</v>
      </c>
      <c r="R7" s="24">
        <v>2</v>
      </c>
      <c r="S7" s="71">
        <f t="shared" si="6"/>
        <v>0.66666666666666663</v>
      </c>
      <c r="T7" s="18">
        <v>2</v>
      </c>
      <c r="U7" s="64">
        <f t="shared" si="7"/>
        <v>0.66666666666666663</v>
      </c>
      <c r="V7" s="18">
        <v>3</v>
      </c>
      <c r="W7" s="71">
        <f t="shared" si="8"/>
        <v>0.75</v>
      </c>
      <c r="X7" s="18">
        <v>1</v>
      </c>
      <c r="Y7" s="71">
        <f t="shared" si="9"/>
        <v>0.33333333333333331</v>
      </c>
      <c r="Z7" s="18">
        <v>1</v>
      </c>
      <c r="AA7" s="71">
        <f t="shared" si="10"/>
        <v>0.33333333333333331</v>
      </c>
      <c r="AB7" s="18">
        <v>2</v>
      </c>
      <c r="AC7" s="71">
        <f t="shared" si="11"/>
        <v>1</v>
      </c>
      <c r="AD7" s="58">
        <v>0</v>
      </c>
      <c r="AE7" s="58">
        <v>0</v>
      </c>
      <c r="AF7" s="58">
        <v>1</v>
      </c>
      <c r="AG7" s="58">
        <v>1</v>
      </c>
      <c r="AH7" s="58">
        <v>0</v>
      </c>
      <c r="AI7" s="58">
        <v>0</v>
      </c>
      <c r="AJ7" s="19">
        <v>0</v>
      </c>
      <c r="AK7" s="71">
        <f t="shared" si="12"/>
        <v>0</v>
      </c>
      <c r="AL7" s="18">
        <v>3</v>
      </c>
      <c r="AM7" s="71">
        <f t="shared" si="13"/>
        <v>1</v>
      </c>
      <c r="AN7" s="18">
        <v>0</v>
      </c>
      <c r="AO7" s="71">
        <f t="shared" si="14"/>
        <v>0</v>
      </c>
      <c r="AP7" s="18">
        <v>2</v>
      </c>
      <c r="AQ7" s="71">
        <f t="shared" si="15"/>
        <v>0.66666666666666663</v>
      </c>
      <c r="AR7" s="58">
        <v>0</v>
      </c>
      <c r="AS7" s="18">
        <v>3</v>
      </c>
      <c r="AT7" s="71">
        <f t="shared" si="16"/>
        <v>1</v>
      </c>
      <c r="AU7" s="18">
        <v>3</v>
      </c>
      <c r="AV7" s="71">
        <f t="shared" si="17"/>
        <v>1</v>
      </c>
      <c r="AW7" s="18">
        <v>0</v>
      </c>
      <c r="AX7" s="71">
        <f t="shared" si="18"/>
        <v>0</v>
      </c>
      <c r="AY7" s="18">
        <v>0</v>
      </c>
      <c r="AZ7" s="71">
        <f t="shared" si="19"/>
        <v>0</v>
      </c>
      <c r="BA7" s="74">
        <v>1</v>
      </c>
      <c r="BB7" s="74">
        <v>0</v>
      </c>
      <c r="BC7" s="74">
        <v>1</v>
      </c>
      <c r="BD7" s="74">
        <v>0</v>
      </c>
      <c r="BE7" s="81">
        <f t="shared" si="20"/>
        <v>0.5774999999999999</v>
      </c>
      <c r="BF7" s="81" t="str">
        <f t="shared" si="21"/>
        <v>MEDIO</v>
      </c>
    </row>
    <row r="8" spans="1:60" x14ac:dyDescent="0.15">
      <c r="A8" s="57">
        <v>3</v>
      </c>
      <c r="B8" s="57">
        <v>2</v>
      </c>
      <c r="C8" s="57">
        <v>3</v>
      </c>
      <c r="D8" s="57">
        <v>2</v>
      </c>
      <c r="E8" s="58">
        <v>1</v>
      </c>
      <c r="F8" s="17">
        <v>2</v>
      </c>
      <c r="G8" s="64">
        <f t="shared" si="0"/>
        <v>1</v>
      </c>
      <c r="H8" s="17">
        <v>1</v>
      </c>
      <c r="I8" s="64">
        <f t="shared" si="1"/>
        <v>0.5</v>
      </c>
      <c r="J8" s="17">
        <v>1</v>
      </c>
      <c r="K8" s="64">
        <f t="shared" si="2"/>
        <v>0.5</v>
      </c>
      <c r="L8" s="17">
        <v>3</v>
      </c>
      <c r="M8" s="64">
        <f t="shared" si="3"/>
        <v>1</v>
      </c>
      <c r="N8" s="17">
        <v>1</v>
      </c>
      <c r="O8" s="64">
        <f t="shared" si="4"/>
        <v>0.2</v>
      </c>
      <c r="P8" s="17">
        <v>3</v>
      </c>
      <c r="Q8" s="64">
        <f t="shared" si="5"/>
        <v>1</v>
      </c>
      <c r="R8" s="25">
        <v>3</v>
      </c>
      <c r="S8" s="71">
        <f t="shared" si="6"/>
        <v>1</v>
      </c>
      <c r="T8" s="17">
        <v>3</v>
      </c>
      <c r="U8" s="64">
        <f t="shared" si="7"/>
        <v>1</v>
      </c>
      <c r="V8" s="17">
        <v>3</v>
      </c>
      <c r="W8" s="71">
        <f t="shared" si="8"/>
        <v>0.75</v>
      </c>
      <c r="X8" s="17">
        <v>2</v>
      </c>
      <c r="Y8" s="71">
        <f t="shared" si="9"/>
        <v>0.66666666666666663</v>
      </c>
      <c r="Z8" s="17">
        <v>3</v>
      </c>
      <c r="AA8" s="71">
        <f t="shared" si="10"/>
        <v>1</v>
      </c>
      <c r="AB8" s="17">
        <v>2</v>
      </c>
      <c r="AC8" s="71">
        <f t="shared" si="11"/>
        <v>1</v>
      </c>
      <c r="AD8" s="57">
        <v>1</v>
      </c>
      <c r="AE8" s="57">
        <v>0</v>
      </c>
      <c r="AF8" s="57">
        <v>1</v>
      </c>
      <c r="AG8" s="57">
        <v>0</v>
      </c>
      <c r="AH8" s="57">
        <v>0</v>
      </c>
      <c r="AI8" s="57">
        <v>0</v>
      </c>
      <c r="AJ8" s="20">
        <v>1</v>
      </c>
      <c r="AK8" s="71">
        <f t="shared" si="12"/>
        <v>0.5</v>
      </c>
      <c r="AL8" s="17">
        <v>2</v>
      </c>
      <c r="AM8" s="71">
        <f t="shared" si="13"/>
        <v>0.66666666666666663</v>
      </c>
      <c r="AN8" s="17">
        <v>1</v>
      </c>
      <c r="AO8" s="71">
        <f t="shared" si="14"/>
        <v>0.33333333333333331</v>
      </c>
      <c r="AP8" s="17">
        <v>3</v>
      </c>
      <c r="AQ8" s="71">
        <f t="shared" si="15"/>
        <v>1</v>
      </c>
      <c r="AR8" s="57">
        <v>2</v>
      </c>
      <c r="AS8" s="17">
        <v>2</v>
      </c>
      <c r="AT8" s="71">
        <f t="shared" si="16"/>
        <v>0.66666666666666663</v>
      </c>
      <c r="AU8" s="17">
        <v>3</v>
      </c>
      <c r="AV8" s="71">
        <f t="shared" si="17"/>
        <v>1</v>
      </c>
      <c r="AW8" s="17">
        <v>1</v>
      </c>
      <c r="AX8" s="71">
        <f t="shared" si="18"/>
        <v>0.5</v>
      </c>
      <c r="AY8" s="17">
        <v>3</v>
      </c>
      <c r="AZ8" s="71">
        <f t="shared" si="19"/>
        <v>1</v>
      </c>
      <c r="BA8" s="73">
        <v>0</v>
      </c>
      <c r="BB8" s="73">
        <v>1</v>
      </c>
      <c r="BC8" s="73">
        <v>1</v>
      </c>
      <c r="BD8" s="73">
        <v>0</v>
      </c>
      <c r="BE8" s="81">
        <f t="shared" si="20"/>
        <v>0.81416666666666659</v>
      </c>
      <c r="BF8" s="81" t="str">
        <f t="shared" si="21"/>
        <v>ALTO</v>
      </c>
    </row>
    <row r="9" spans="1:60" x14ac:dyDescent="0.15">
      <c r="A9" s="58">
        <v>3</v>
      </c>
      <c r="B9" s="58">
        <v>1</v>
      </c>
      <c r="C9" s="58">
        <v>1</v>
      </c>
      <c r="D9" s="58">
        <v>2</v>
      </c>
      <c r="E9" s="58">
        <v>1</v>
      </c>
      <c r="F9" s="18">
        <v>2</v>
      </c>
      <c r="G9" s="64">
        <f t="shared" si="0"/>
        <v>1</v>
      </c>
      <c r="H9" s="18">
        <v>1</v>
      </c>
      <c r="I9" s="64">
        <f t="shared" si="1"/>
        <v>0.5</v>
      </c>
      <c r="J9" s="18">
        <v>2</v>
      </c>
      <c r="K9" s="64">
        <f t="shared" si="2"/>
        <v>1</v>
      </c>
      <c r="L9" s="18">
        <v>3</v>
      </c>
      <c r="M9" s="64">
        <f t="shared" si="3"/>
        <v>1</v>
      </c>
      <c r="N9" s="18">
        <v>1</v>
      </c>
      <c r="O9" s="64">
        <f t="shared" si="4"/>
        <v>0.2</v>
      </c>
      <c r="P9" s="18">
        <v>1</v>
      </c>
      <c r="Q9" s="64">
        <f t="shared" si="5"/>
        <v>0.33333333333333331</v>
      </c>
      <c r="R9" s="24">
        <v>3</v>
      </c>
      <c r="S9" s="71">
        <f t="shared" si="6"/>
        <v>1</v>
      </c>
      <c r="T9" s="18">
        <v>3</v>
      </c>
      <c r="U9" s="64">
        <f t="shared" si="7"/>
        <v>1</v>
      </c>
      <c r="V9" s="18">
        <v>3</v>
      </c>
      <c r="W9" s="71">
        <f t="shared" si="8"/>
        <v>0.75</v>
      </c>
      <c r="X9" s="18">
        <v>3</v>
      </c>
      <c r="Y9" s="71">
        <f t="shared" si="9"/>
        <v>1</v>
      </c>
      <c r="Z9" s="18">
        <v>3</v>
      </c>
      <c r="AA9" s="71">
        <f t="shared" si="10"/>
        <v>1</v>
      </c>
      <c r="AB9" s="18">
        <v>3</v>
      </c>
      <c r="AC9" s="71">
        <f t="shared" si="11"/>
        <v>1.5</v>
      </c>
      <c r="AD9" s="58">
        <v>1</v>
      </c>
      <c r="AE9" s="58">
        <v>0</v>
      </c>
      <c r="AF9" s="58">
        <v>0</v>
      </c>
      <c r="AG9" s="58">
        <v>0</v>
      </c>
      <c r="AH9" s="58">
        <v>0</v>
      </c>
      <c r="AI9" s="58">
        <v>0</v>
      </c>
      <c r="AJ9" s="19">
        <v>2</v>
      </c>
      <c r="AK9" s="71">
        <f t="shared" si="12"/>
        <v>1</v>
      </c>
      <c r="AL9" s="18">
        <v>2</v>
      </c>
      <c r="AM9" s="71">
        <f t="shared" si="13"/>
        <v>0.66666666666666663</v>
      </c>
      <c r="AN9" s="18">
        <v>0</v>
      </c>
      <c r="AO9" s="71">
        <f t="shared" si="14"/>
        <v>0</v>
      </c>
      <c r="AP9" s="18">
        <v>3</v>
      </c>
      <c r="AQ9" s="71">
        <f t="shared" si="15"/>
        <v>1</v>
      </c>
      <c r="AR9" s="58">
        <v>0</v>
      </c>
      <c r="AS9" s="18">
        <v>3</v>
      </c>
      <c r="AT9" s="71">
        <f t="shared" si="16"/>
        <v>1</v>
      </c>
      <c r="AU9" s="18">
        <v>3</v>
      </c>
      <c r="AV9" s="71">
        <f t="shared" si="17"/>
        <v>1</v>
      </c>
      <c r="AW9" s="18">
        <v>1</v>
      </c>
      <c r="AX9" s="71">
        <f t="shared" si="18"/>
        <v>0.5</v>
      </c>
      <c r="AY9" s="18">
        <v>3</v>
      </c>
      <c r="AZ9" s="71">
        <f t="shared" si="19"/>
        <v>1</v>
      </c>
      <c r="BA9" s="74">
        <v>0</v>
      </c>
      <c r="BB9" s="74">
        <v>0</v>
      </c>
      <c r="BC9" s="74">
        <v>0</v>
      </c>
      <c r="BD9" s="74">
        <v>1</v>
      </c>
      <c r="BE9" s="81">
        <f t="shared" si="20"/>
        <v>0.87249999999999994</v>
      </c>
      <c r="BF9" s="81" t="str">
        <f t="shared" si="21"/>
        <v>ALTO</v>
      </c>
    </row>
    <row r="10" spans="1:60" x14ac:dyDescent="0.15">
      <c r="A10" s="57">
        <v>3</v>
      </c>
      <c r="B10" s="57">
        <v>1</v>
      </c>
      <c r="C10" s="57">
        <v>1</v>
      </c>
      <c r="D10" s="57">
        <v>2</v>
      </c>
      <c r="E10" s="58">
        <v>1</v>
      </c>
      <c r="F10" s="17">
        <v>2</v>
      </c>
      <c r="G10" s="64">
        <f t="shared" si="0"/>
        <v>1</v>
      </c>
      <c r="H10" s="17">
        <v>2</v>
      </c>
      <c r="I10" s="64">
        <f t="shared" si="1"/>
        <v>1</v>
      </c>
      <c r="J10" s="17">
        <v>1</v>
      </c>
      <c r="K10" s="64">
        <f t="shared" si="2"/>
        <v>0.5</v>
      </c>
      <c r="L10" s="17">
        <v>2</v>
      </c>
      <c r="M10" s="64">
        <f t="shared" si="3"/>
        <v>0.66666666666666663</v>
      </c>
      <c r="N10" s="17">
        <v>0</v>
      </c>
      <c r="O10" s="64">
        <f t="shared" si="4"/>
        <v>0</v>
      </c>
      <c r="P10" s="17">
        <v>1</v>
      </c>
      <c r="Q10" s="64">
        <f t="shared" si="5"/>
        <v>0.33333333333333331</v>
      </c>
      <c r="R10" s="25">
        <v>2</v>
      </c>
      <c r="S10" s="71">
        <f t="shared" si="6"/>
        <v>0.66666666666666663</v>
      </c>
      <c r="T10" s="17">
        <v>2</v>
      </c>
      <c r="U10" s="64">
        <f t="shared" si="7"/>
        <v>0.66666666666666663</v>
      </c>
      <c r="V10" s="17">
        <v>3</v>
      </c>
      <c r="W10" s="71">
        <f t="shared" si="8"/>
        <v>0.75</v>
      </c>
      <c r="X10" s="17">
        <v>2</v>
      </c>
      <c r="Y10" s="71">
        <f t="shared" si="9"/>
        <v>0.66666666666666663</v>
      </c>
      <c r="Z10" s="17">
        <v>2</v>
      </c>
      <c r="AA10" s="71">
        <f t="shared" si="10"/>
        <v>0.66666666666666663</v>
      </c>
      <c r="AB10" s="17">
        <v>3</v>
      </c>
      <c r="AC10" s="71">
        <f t="shared" si="11"/>
        <v>1.5</v>
      </c>
      <c r="AD10" s="57">
        <v>1</v>
      </c>
      <c r="AE10" s="57">
        <v>0</v>
      </c>
      <c r="AF10" s="57">
        <v>1</v>
      </c>
      <c r="AG10" s="57">
        <v>0</v>
      </c>
      <c r="AH10" s="57">
        <v>0</v>
      </c>
      <c r="AI10" s="57">
        <v>0</v>
      </c>
      <c r="AJ10" s="20">
        <v>1</v>
      </c>
      <c r="AK10" s="71">
        <f t="shared" si="12"/>
        <v>0.5</v>
      </c>
      <c r="AL10" s="17">
        <v>1</v>
      </c>
      <c r="AM10" s="71">
        <f t="shared" si="13"/>
        <v>0.33333333333333331</v>
      </c>
      <c r="AN10" s="17">
        <v>1</v>
      </c>
      <c r="AO10" s="71">
        <f t="shared" si="14"/>
        <v>0.33333333333333331</v>
      </c>
      <c r="AP10" s="17">
        <v>3</v>
      </c>
      <c r="AQ10" s="71">
        <f t="shared" si="15"/>
        <v>1</v>
      </c>
      <c r="AR10" s="57">
        <v>1</v>
      </c>
      <c r="AS10" s="17">
        <v>2</v>
      </c>
      <c r="AT10" s="71">
        <f t="shared" si="16"/>
        <v>0.66666666666666663</v>
      </c>
      <c r="AU10" s="17">
        <v>2</v>
      </c>
      <c r="AV10" s="71">
        <f t="shared" si="17"/>
        <v>0.66666666666666663</v>
      </c>
      <c r="AW10" s="17">
        <v>1</v>
      </c>
      <c r="AX10" s="71">
        <f t="shared" si="18"/>
        <v>0.5</v>
      </c>
      <c r="AY10" s="17">
        <v>0</v>
      </c>
      <c r="AZ10" s="71">
        <f t="shared" si="19"/>
        <v>0</v>
      </c>
      <c r="BA10" s="73">
        <v>1</v>
      </c>
      <c r="BB10" s="73">
        <v>1</v>
      </c>
      <c r="BC10" s="73">
        <v>0</v>
      </c>
      <c r="BD10" s="73">
        <v>0</v>
      </c>
      <c r="BE10" s="81">
        <f t="shared" si="20"/>
        <v>0.67083333333333339</v>
      </c>
      <c r="BF10" s="81" t="str">
        <f t="shared" si="21"/>
        <v>ALTO</v>
      </c>
    </row>
    <row r="11" spans="1:60" x14ac:dyDescent="0.15">
      <c r="A11" s="58">
        <v>2</v>
      </c>
      <c r="B11" s="58">
        <v>1</v>
      </c>
      <c r="C11" s="58">
        <v>3</v>
      </c>
      <c r="D11" s="58">
        <v>2</v>
      </c>
      <c r="E11" s="58">
        <v>1</v>
      </c>
      <c r="F11" s="18">
        <v>2</v>
      </c>
      <c r="G11" s="64">
        <f t="shared" si="0"/>
        <v>1</v>
      </c>
      <c r="H11" s="18">
        <v>1</v>
      </c>
      <c r="I11" s="64">
        <f t="shared" si="1"/>
        <v>0.5</v>
      </c>
      <c r="J11" s="18">
        <v>1</v>
      </c>
      <c r="K11" s="64">
        <f t="shared" si="2"/>
        <v>0.5</v>
      </c>
      <c r="L11" s="18">
        <v>1</v>
      </c>
      <c r="M11" s="64">
        <f t="shared" si="3"/>
        <v>0.33333333333333331</v>
      </c>
      <c r="N11" s="18">
        <v>3</v>
      </c>
      <c r="O11" s="64">
        <f t="shared" si="4"/>
        <v>0.6</v>
      </c>
      <c r="P11" s="18">
        <v>3</v>
      </c>
      <c r="Q11" s="64">
        <f t="shared" si="5"/>
        <v>1</v>
      </c>
      <c r="R11" s="24">
        <v>0</v>
      </c>
      <c r="S11" s="71">
        <f t="shared" si="6"/>
        <v>0</v>
      </c>
      <c r="T11" s="18">
        <v>3</v>
      </c>
      <c r="U11" s="64">
        <f t="shared" si="7"/>
        <v>1</v>
      </c>
      <c r="V11" s="18">
        <v>4</v>
      </c>
      <c r="W11" s="71">
        <f t="shared" si="8"/>
        <v>1</v>
      </c>
      <c r="X11" s="18">
        <v>0</v>
      </c>
      <c r="Y11" s="71">
        <f t="shared" si="9"/>
        <v>0</v>
      </c>
      <c r="Z11" s="18">
        <v>3</v>
      </c>
      <c r="AA11" s="71">
        <f t="shared" si="10"/>
        <v>1</v>
      </c>
      <c r="AB11" s="18">
        <v>1</v>
      </c>
      <c r="AC11" s="71">
        <f t="shared" si="11"/>
        <v>0.5</v>
      </c>
      <c r="AD11" s="58">
        <v>1</v>
      </c>
      <c r="AE11" s="58">
        <v>0</v>
      </c>
      <c r="AF11" s="58">
        <v>1</v>
      </c>
      <c r="AG11" s="58">
        <v>0</v>
      </c>
      <c r="AH11" s="58">
        <v>0</v>
      </c>
      <c r="AI11" s="58">
        <v>0</v>
      </c>
      <c r="AJ11" s="19">
        <v>1</v>
      </c>
      <c r="AK11" s="71">
        <f t="shared" si="12"/>
        <v>0.5</v>
      </c>
      <c r="AL11" s="18">
        <v>2</v>
      </c>
      <c r="AM11" s="71">
        <f t="shared" si="13"/>
        <v>0.66666666666666663</v>
      </c>
      <c r="AN11" s="18">
        <v>1</v>
      </c>
      <c r="AO11" s="71">
        <f t="shared" si="14"/>
        <v>0.33333333333333331</v>
      </c>
      <c r="AP11" s="18">
        <v>2</v>
      </c>
      <c r="AQ11" s="71">
        <f t="shared" si="15"/>
        <v>0.66666666666666663</v>
      </c>
      <c r="AR11" s="58">
        <v>1</v>
      </c>
      <c r="AS11" s="18">
        <v>3</v>
      </c>
      <c r="AT11" s="71">
        <f t="shared" si="16"/>
        <v>1</v>
      </c>
      <c r="AU11" s="18">
        <v>2</v>
      </c>
      <c r="AV11" s="71">
        <f t="shared" si="17"/>
        <v>0.66666666666666663</v>
      </c>
      <c r="AW11" s="18">
        <v>1</v>
      </c>
      <c r="AX11" s="71">
        <f t="shared" si="18"/>
        <v>0.5</v>
      </c>
      <c r="AY11" s="18">
        <v>3</v>
      </c>
      <c r="AZ11" s="71">
        <f t="shared" si="19"/>
        <v>1</v>
      </c>
      <c r="BA11" s="74">
        <v>1</v>
      </c>
      <c r="BB11" s="74">
        <v>1</v>
      </c>
      <c r="BC11" s="74">
        <v>0</v>
      </c>
      <c r="BD11" s="74">
        <v>0</v>
      </c>
      <c r="BE11" s="81">
        <f t="shared" si="20"/>
        <v>0.68833333333333324</v>
      </c>
      <c r="BF11" s="81" t="str">
        <f t="shared" si="21"/>
        <v>ALTO</v>
      </c>
    </row>
    <row r="12" spans="1:60" x14ac:dyDescent="0.15">
      <c r="A12" s="57">
        <v>3</v>
      </c>
      <c r="B12" s="57">
        <v>2</v>
      </c>
      <c r="C12" s="57">
        <v>3</v>
      </c>
      <c r="D12" s="57">
        <v>2</v>
      </c>
      <c r="E12" s="58">
        <v>1</v>
      </c>
      <c r="F12" s="17">
        <v>2</v>
      </c>
      <c r="G12" s="64">
        <f t="shared" si="0"/>
        <v>1</v>
      </c>
      <c r="H12" s="17">
        <v>2</v>
      </c>
      <c r="I12" s="64">
        <f t="shared" si="1"/>
        <v>1</v>
      </c>
      <c r="J12" s="17">
        <v>2</v>
      </c>
      <c r="K12" s="64">
        <f t="shared" si="2"/>
        <v>1</v>
      </c>
      <c r="L12" s="17">
        <v>3</v>
      </c>
      <c r="M12" s="64">
        <f t="shared" si="3"/>
        <v>1</v>
      </c>
      <c r="N12" s="17">
        <v>5</v>
      </c>
      <c r="O12" s="64">
        <f t="shared" si="4"/>
        <v>1</v>
      </c>
      <c r="P12" s="17">
        <v>3</v>
      </c>
      <c r="Q12" s="64">
        <f t="shared" si="5"/>
        <v>1</v>
      </c>
      <c r="R12" s="25">
        <v>3</v>
      </c>
      <c r="S12" s="71">
        <f t="shared" si="6"/>
        <v>1</v>
      </c>
      <c r="T12" s="17">
        <v>3</v>
      </c>
      <c r="U12" s="64">
        <f t="shared" si="7"/>
        <v>1</v>
      </c>
      <c r="V12" s="17">
        <v>2</v>
      </c>
      <c r="W12" s="71">
        <f t="shared" si="8"/>
        <v>0.5</v>
      </c>
      <c r="X12" s="17">
        <v>3</v>
      </c>
      <c r="Y12" s="71">
        <f t="shared" si="9"/>
        <v>1</v>
      </c>
      <c r="Z12" s="17">
        <v>3</v>
      </c>
      <c r="AA12" s="71">
        <f t="shared" si="10"/>
        <v>1</v>
      </c>
      <c r="AB12" s="17">
        <v>0</v>
      </c>
      <c r="AC12" s="71">
        <f t="shared" si="11"/>
        <v>0</v>
      </c>
      <c r="AD12" s="57">
        <v>0</v>
      </c>
      <c r="AE12" s="57">
        <v>1</v>
      </c>
      <c r="AF12" s="57">
        <v>1</v>
      </c>
      <c r="AG12" s="57">
        <v>0</v>
      </c>
      <c r="AH12" s="57">
        <v>0</v>
      </c>
      <c r="AI12" s="57">
        <v>0</v>
      </c>
      <c r="AJ12" s="20">
        <v>2</v>
      </c>
      <c r="AK12" s="71">
        <f t="shared" si="12"/>
        <v>1</v>
      </c>
      <c r="AL12" s="17">
        <v>2</v>
      </c>
      <c r="AM12" s="71">
        <f t="shared" si="13"/>
        <v>0.66666666666666663</v>
      </c>
      <c r="AN12" s="17">
        <v>1</v>
      </c>
      <c r="AO12" s="71">
        <f t="shared" si="14"/>
        <v>0.33333333333333331</v>
      </c>
      <c r="AP12" s="17">
        <v>3</v>
      </c>
      <c r="AQ12" s="71">
        <f t="shared" si="15"/>
        <v>1</v>
      </c>
      <c r="AR12" s="57">
        <v>1</v>
      </c>
      <c r="AS12" s="17">
        <v>2</v>
      </c>
      <c r="AT12" s="71">
        <f t="shared" si="16"/>
        <v>0.66666666666666663</v>
      </c>
      <c r="AU12" s="17">
        <v>3</v>
      </c>
      <c r="AV12" s="71">
        <f t="shared" si="17"/>
        <v>1</v>
      </c>
      <c r="AW12" s="17">
        <v>1</v>
      </c>
      <c r="AX12" s="71">
        <f t="shared" si="18"/>
        <v>0.5</v>
      </c>
      <c r="AY12" s="17">
        <v>3</v>
      </c>
      <c r="AZ12" s="71">
        <f t="shared" si="19"/>
        <v>1</v>
      </c>
      <c r="BA12" s="73">
        <v>1</v>
      </c>
      <c r="BB12" s="73">
        <v>1</v>
      </c>
      <c r="BC12" s="73">
        <v>0</v>
      </c>
      <c r="BD12" s="73">
        <v>0</v>
      </c>
      <c r="BE12" s="81">
        <f t="shared" si="20"/>
        <v>0.88333333333333319</v>
      </c>
      <c r="BF12" s="81" t="str">
        <f t="shared" si="21"/>
        <v>ALTO</v>
      </c>
    </row>
    <row r="13" spans="1:60" x14ac:dyDescent="0.15">
      <c r="A13" s="58">
        <v>0</v>
      </c>
      <c r="B13" s="58">
        <v>2</v>
      </c>
      <c r="C13" s="58">
        <v>0</v>
      </c>
      <c r="D13" s="58">
        <v>2</v>
      </c>
      <c r="E13" s="58">
        <v>1</v>
      </c>
      <c r="F13" s="18">
        <v>0</v>
      </c>
      <c r="G13" s="64">
        <f t="shared" si="0"/>
        <v>0</v>
      </c>
      <c r="H13" s="18">
        <v>0</v>
      </c>
      <c r="I13" s="64">
        <f t="shared" si="1"/>
        <v>0</v>
      </c>
      <c r="J13" s="18">
        <v>0</v>
      </c>
      <c r="K13" s="64">
        <f t="shared" si="2"/>
        <v>0</v>
      </c>
      <c r="L13" s="18">
        <v>0</v>
      </c>
      <c r="M13" s="64">
        <f t="shared" si="3"/>
        <v>0</v>
      </c>
      <c r="N13" s="18">
        <v>5</v>
      </c>
      <c r="O13" s="64">
        <f t="shared" si="4"/>
        <v>1</v>
      </c>
      <c r="P13" s="18">
        <v>0</v>
      </c>
      <c r="Q13" s="64">
        <f t="shared" si="5"/>
        <v>0</v>
      </c>
      <c r="R13" s="24">
        <v>0</v>
      </c>
      <c r="S13" s="71">
        <f t="shared" si="6"/>
        <v>0</v>
      </c>
      <c r="T13" s="18">
        <v>0</v>
      </c>
      <c r="U13" s="64">
        <f t="shared" si="7"/>
        <v>0</v>
      </c>
      <c r="V13" s="18">
        <v>3</v>
      </c>
      <c r="W13" s="71">
        <f t="shared" si="8"/>
        <v>0.75</v>
      </c>
      <c r="X13" s="18">
        <v>0</v>
      </c>
      <c r="Y13" s="71">
        <f t="shared" si="9"/>
        <v>0</v>
      </c>
      <c r="Z13" s="18">
        <v>0</v>
      </c>
      <c r="AA13" s="71">
        <f t="shared" si="10"/>
        <v>0</v>
      </c>
      <c r="AB13" s="18">
        <v>1</v>
      </c>
      <c r="AC13" s="71">
        <f t="shared" si="11"/>
        <v>0.5</v>
      </c>
      <c r="AD13" s="58">
        <v>0</v>
      </c>
      <c r="AE13" s="58">
        <v>0</v>
      </c>
      <c r="AF13" s="58">
        <v>0</v>
      </c>
      <c r="AG13" s="58">
        <v>1</v>
      </c>
      <c r="AH13" s="58">
        <v>1</v>
      </c>
      <c r="AI13" s="58">
        <v>0</v>
      </c>
      <c r="AJ13" s="19">
        <v>1</v>
      </c>
      <c r="AK13" s="71">
        <f t="shared" si="12"/>
        <v>0.5</v>
      </c>
      <c r="AL13" s="18">
        <v>0</v>
      </c>
      <c r="AM13" s="71">
        <f t="shared" si="13"/>
        <v>0</v>
      </c>
      <c r="AN13" s="18">
        <v>0</v>
      </c>
      <c r="AO13" s="71">
        <f t="shared" si="14"/>
        <v>0</v>
      </c>
      <c r="AP13" s="18">
        <v>0</v>
      </c>
      <c r="AQ13" s="71">
        <f t="shared" si="15"/>
        <v>0</v>
      </c>
      <c r="AR13" s="58">
        <v>2</v>
      </c>
      <c r="AS13" s="18">
        <v>1</v>
      </c>
      <c r="AT13" s="71">
        <f t="shared" si="16"/>
        <v>0.33333333333333331</v>
      </c>
      <c r="AU13" s="18">
        <v>0</v>
      </c>
      <c r="AV13" s="71">
        <f t="shared" si="17"/>
        <v>0</v>
      </c>
      <c r="AW13" s="18">
        <v>0</v>
      </c>
      <c r="AX13" s="71">
        <f t="shared" si="18"/>
        <v>0</v>
      </c>
      <c r="AY13" s="18">
        <v>2</v>
      </c>
      <c r="AZ13" s="71">
        <f t="shared" si="19"/>
        <v>0.66666666666666663</v>
      </c>
      <c r="BA13" s="74">
        <v>0</v>
      </c>
      <c r="BB13" s="74">
        <v>0</v>
      </c>
      <c r="BC13" s="74">
        <v>0</v>
      </c>
      <c r="BD13" s="74">
        <v>1</v>
      </c>
      <c r="BE13" s="81">
        <f t="shared" si="20"/>
        <v>0.1875</v>
      </c>
      <c r="BF13" s="81" t="str">
        <f t="shared" si="21"/>
        <v>BASSO</v>
      </c>
    </row>
    <row r="14" spans="1:60" x14ac:dyDescent="0.15">
      <c r="A14" s="57">
        <v>3</v>
      </c>
      <c r="B14" s="57">
        <v>1</v>
      </c>
      <c r="C14" s="57">
        <v>1</v>
      </c>
      <c r="D14" s="57">
        <v>2</v>
      </c>
      <c r="E14" s="58">
        <v>1</v>
      </c>
      <c r="F14" s="17">
        <v>1</v>
      </c>
      <c r="G14" s="64">
        <f t="shared" si="0"/>
        <v>0.5</v>
      </c>
      <c r="H14" s="17">
        <v>1</v>
      </c>
      <c r="I14" s="64">
        <f t="shared" si="1"/>
        <v>0.5</v>
      </c>
      <c r="J14" s="17">
        <v>1</v>
      </c>
      <c r="K14" s="64">
        <f t="shared" si="2"/>
        <v>0.5</v>
      </c>
      <c r="L14" s="17">
        <v>2</v>
      </c>
      <c r="M14" s="64">
        <f t="shared" si="3"/>
        <v>0.66666666666666663</v>
      </c>
      <c r="N14" s="17">
        <v>4</v>
      </c>
      <c r="O14" s="64">
        <f t="shared" si="4"/>
        <v>0.8</v>
      </c>
      <c r="P14" s="17">
        <v>3</v>
      </c>
      <c r="Q14" s="64">
        <f t="shared" si="5"/>
        <v>1</v>
      </c>
      <c r="R14" s="25">
        <v>2</v>
      </c>
      <c r="S14" s="71">
        <f t="shared" si="6"/>
        <v>0.66666666666666663</v>
      </c>
      <c r="T14" s="17">
        <v>2</v>
      </c>
      <c r="U14" s="64">
        <f t="shared" si="7"/>
        <v>0.66666666666666663</v>
      </c>
      <c r="V14" s="17">
        <v>3</v>
      </c>
      <c r="W14" s="71">
        <f t="shared" si="8"/>
        <v>0.75</v>
      </c>
      <c r="X14" s="17">
        <v>2</v>
      </c>
      <c r="Y14" s="71">
        <f t="shared" si="9"/>
        <v>0.66666666666666663</v>
      </c>
      <c r="Z14" s="17">
        <v>2</v>
      </c>
      <c r="AA14" s="71">
        <f t="shared" si="10"/>
        <v>0.66666666666666663</v>
      </c>
      <c r="AB14" s="17">
        <v>1</v>
      </c>
      <c r="AC14" s="71">
        <f t="shared" si="11"/>
        <v>0.5</v>
      </c>
      <c r="AD14" s="57">
        <v>0</v>
      </c>
      <c r="AE14" s="57">
        <v>0</v>
      </c>
      <c r="AF14" s="57">
        <v>1</v>
      </c>
      <c r="AG14" s="57">
        <v>1</v>
      </c>
      <c r="AH14" s="57">
        <v>0</v>
      </c>
      <c r="AI14" s="57">
        <v>0</v>
      </c>
      <c r="AJ14" s="20">
        <v>2</v>
      </c>
      <c r="AK14" s="71">
        <f t="shared" si="12"/>
        <v>1</v>
      </c>
      <c r="AL14" s="17">
        <v>1</v>
      </c>
      <c r="AM14" s="71">
        <f t="shared" si="13"/>
        <v>0.33333333333333331</v>
      </c>
      <c r="AN14" s="17">
        <v>1</v>
      </c>
      <c r="AO14" s="71">
        <f t="shared" si="14"/>
        <v>0.33333333333333331</v>
      </c>
      <c r="AP14" s="17">
        <v>1</v>
      </c>
      <c r="AQ14" s="71">
        <f t="shared" si="15"/>
        <v>0.33333333333333331</v>
      </c>
      <c r="AR14" s="57">
        <v>0</v>
      </c>
      <c r="AS14" s="17">
        <v>2</v>
      </c>
      <c r="AT14" s="71">
        <f t="shared" si="16"/>
        <v>0.66666666666666663</v>
      </c>
      <c r="AU14" s="17">
        <v>2</v>
      </c>
      <c r="AV14" s="71">
        <f t="shared" si="17"/>
        <v>0.66666666666666663</v>
      </c>
      <c r="AW14" s="17">
        <v>1</v>
      </c>
      <c r="AX14" s="71">
        <f t="shared" si="18"/>
        <v>0.5</v>
      </c>
      <c r="AY14" s="17">
        <v>1</v>
      </c>
      <c r="AZ14" s="71">
        <f t="shared" si="19"/>
        <v>0.33333333333333331</v>
      </c>
      <c r="BA14" s="73">
        <v>0</v>
      </c>
      <c r="BB14" s="73">
        <v>1</v>
      </c>
      <c r="BC14" s="73">
        <v>1</v>
      </c>
      <c r="BD14" s="73">
        <v>0</v>
      </c>
      <c r="BE14" s="81">
        <f t="shared" si="20"/>
        <v>0.62750000000000017</v>
      </c>
      <c r="BF14" s="81" t="str">
        <f t="shared" si="21"/>
        <v>MEDIO</v>
      </c>
    </row>
    <row r="15" spans="1:60" x14ac:dyDescent="0.15">
      <c r="A15" s="58">
        <v>1</v>
      </c>
      <c r="B15" s="58">
        <v>2</v>
      </c>
      <c r="C15" s="58">
        <v>1</v>
      </c>
      <c r="D15" s="58">
        <v>2</v>
      </c>
      <c r="E15" s="58">
        <v>1</v>
      </c>
      <c r="F15" s="18">
        <v>1</v>
      </c>
      <c r="G15" s="64">
        <f t="shared" si="0"/>
        <v>0.5</v>
      </c>
      <c r="H15" s="18">
        <v>2</v>
      </c>
      <c r="I15" s="64">
        <f t="shared" si="1"/>
        <v>1</v>
      </c>
      <c r="J15" s="18">
        <v>1</v>
      </c>
      <c r="K15" s="64">
        <f t="shared" si="2"/>
        <v>0.5</v>
      </c>
      <c r="L15" s="18">
        <v>2</v>
      </c>
      <c r="M15" s="64">
        <f t="shared" si="3"/>
        <v>0.66666666666666663</v>
      </c>
      <c r="N15" s="18">
        <v>0</v>
      </c>
      <c r="O15" s="64">
        <f t="shared" si="4"/>
        <v>0</v>
      </c>
      <c r="P15" s="18">
        <v>2</v>
      </c>
      <c r="Q15" s="64">
        <f t="shared" si="5"/>
        <v>0.66666666666666663</v>
      </c>
      <c r="R15" s="24">
        <v>3</v>
      </c>
      <c r="S15" s="71">
        <f t="shared" si="6"/>
        <v>1</v>
      </c>
      <c r="T15" s="18">
        <v>3</v>
      </c>
      <c r="U15" s="64">
        <f t="shared" si="7"/>
        <v>1</v>
      </c>
      <c r="V15" s="18">
        <v>3</v>
      </c>
      <c r="W15" s="71">
        <f t="shared" si="8"/>
        <v>0.75</v>
      </c>
      <c r="X15" s="18">
        <v>2</v>
      </c>
      <c r="Y15" s="71">
        <f t="shared" si="9"/>
        <v>0.66666666666666663</v>
      </c>
      <c r="Z15" s="18">
        <v>2</v>
      </c>
      <c r="AA15" s="71">
        <f t="shared" si="10"/>
        <v>0.66666666666666663</v>
      </c>
      <c r="AB15" s="18">
        <v>0</v>
      </c>
      <c r="AC15" s="71">
        <f t="shared" si="11"/>
        <v>0</v>
      </c>
      <c r="AD15" s="58">
        <v>1</v>
      </c>
      <c r="AE15" s="58">
        <v>0</v>
      </c>
      <c r="AF15" s="58">
        <v>1</v>
      </c>
      <c r="AG15" s="58">
        <v>0</v>
      </c>
      <c r="AH15" s="58">
        <v>0</v>
      </c>
      <c r="AI15" s="58">
        <v>0</v>
      </c>
      <c r="AJ15" s="19">
        <v>2</v>
      </c>
      <c r="AK15" s="71">
        <f t="shared" si="12"/>
        <v>1</v>
      </c>
      <c r="AL15" s="18">
        <v>2</v>
      </c>
      <c r="AM15" s="71">
        <f t="shared" si="13"/>
        <v>0.66666666666666663</v>
      </c>
      <c r="AN15" s="18">
        <v>1</v>
      </c>
      <c r="AO15" s="71">
        <f t="shared" si="14"/>
        <v>0.33333333333333331</v>
      </c>
      <c r="AP15" s="18">
        <v>3</v>
      </c>
      <c r="AQ15" s="71">
        <f t="shared" si="15"/>
        <v>1</v>
      </c>
      <c r="AR15" s="58">
        <v>0</v>
      </c>
      <c r="AS15" s="18">
        <v>3</v>
      </c>
      <c r="AT15" s="71">
        <f t="shared" si="16"/>
        <v>1</v>
      </c>
      <c r="AU15" s="18">
        <v>3</v>
      </c>
      <c r="AV15" s="71">
        <f t="shared" si="17"/>
        <v>1</v>
      </c>
      <c r="AW15" s="18">
        <v>1</v>
      </c>
      <c r="AX15" s="71">
        <f t="shared" si="18"/>
        <v>0.5</v>
      </c>
      <c r="AY15" s="18">
        <v>3</v>
      </c>
      <c r="AZ15" s="71">
        <f t="shared" si="19"/>
        <v>1</v>
      </c>
      <c r="BA15" s="74">
        <v>1</v>
      </c>
      <c r="BB15" s="74">
        <v>0</v>
      </c>
      <c r="BC15" s="74">
        <v>1</v>
      </c>
      <c r="BD15" s="74">
        <v>0</v>
      </c>
      <c r="BE15" s="81">
        <f t="shared" si="20"/>
        <v>0.72083333333333344</v>
      </c>
      <c r="BF15" s="81" t="str">
        <f t="shared" si="21"/>
        <v>ALTO</v>
      </c>
    </row>
    <row r="16" spans="1:60" x14ac:dyDescent="0.15">
      <c r="A16" s="57">
        <v>2</v>
      </c>
      <c r="B16" s="57">
        <v>1</v>
      </c>
      <c r="C16" s="57">
        <v>1</v>
      </c>
      <c r="D16" s="57">
        <v>2</v>
      </c>
      <c r="E16" s="58">
        <v>1</v>
      </c>
      <c r="F16" s="17">
        <v>1</v>
      </c>
      <c r="G16" s="64">
        <f t="shared" si="0"/>
        <v>0.5</v>
      </c>
      <c r="H16" s="17">
        <v>2</v>
      </c>
      <c r="I16" s="64">
        <f t="shared" si="1"/>
        <v>1</v>
      </c>
      <c r="J16" s="17">
        <v>1</v>
      </c>
      <c r="K16" s="64">
        <f t="shared" si="2"/>
        <v>0.5</v>
      </c>
      <c r="L16" s="17">
        <v>2</v>
      </c>
      <c r="M16" s="64">
        <f t="shared" si="3"/>
        <v>0.66666666666666663</v>
      </c>
      <c r="N16" s="17">
        <v>5</v>
      </c>
      <c r="O16" s="64">
        <f t="shared" si="4"/>
        <v>1</v>
      </c>
      <c r="P16" s="17">
        <v>2</v>
      </c>
      <c r="Q16" s="64">
        <f t="shared" si="5"/>
        <v>0.66666666666666663</v>
      </c>
      <c r="R16" s="25">
        <v>3</v>
      </c>
      <c r="S16" s="71">
        <f t="shared" si="6"/>
        <v>1</v>
      </c>
      <c r="T16" s="17">
        <v>3</v>
      </c>
      <c r="U16" s="64">
        <f t="shared" si="7"/>
        <v>1</v>
      </c>
      <c r="V16" s="17">
        <v>3</v>
      </c>
      <c r="W16" s="71">
        <f t="shared" si="8"/>
        <v>0.75</v>
      </c>
      <c r="X16" s="17">
        <v>2</v>
      </c>
      <c r="Y16" s="71">
        <f t="shared" si="9"/>
        <v>0.66666666666666663</v>
      </c>
      <c r="Z16" s="17">
        <v>3</v>
      </c>
      <c r="AA16" s="71">
        <f t="shared" si="10"/>
        <v>1</v>
      </c>
      <c r="AB16" s="17">
        <v>0</v>
      </c>
      <c r="AC16" s="71">
        <f t="shared" si="11"/>
        <v>0</v>
      </c>
      <c r="AD16" s="57">
        <v>1</v>
      </c>
      <c r="AE16" s="57">
        <v>0</v>
      </c>
      <c r="AF16" s="57">
        <v>0</v>
      </c>
      <c r="AG16" s="57">
        <v>1</v>
      </c>
      <c r="AH16" s="57">
        <v>0</v>
      </c>
      <c r="AI16" s="57">
        <v>0</v>
      </c>
      <c r="AJ16" s="20">
        <v>0</v>
      </c>
      <c r="AK16" s="71">
        <f t="shared" si="12"/>
        <v>0</v>
      </c>
      <c r="AL16" s="17">
        <v>3</v>
      </c>
      <c r="AM16" s="71">
        <f t="shared" si="13"/>
        <v>1</v>
      </c>
      <c r="AN16" s="17">
        <v>1</v>
      </c>
      <c r="AO16" s="71">
        <f t="shared" si="14"/>
        <v>0.33333333333333331</v>
      </c>
      <c r="AP16" s="17">
        <v>3</v>
      </c>
      <c r="AQ16" s="71">
        <f t="shared" si="15"/>
        <v>1</v>
      </c>
      <c r="AR16" s="57">
        <v>0</v>
      </c>
      <c r="AS16" s="17">
        <v>2</v>
      </c>
      <c r="AT16" s="71">
        <f t="shared" si="16"/>
        <v>0.66666666666666663</v>
      </c>
      <c r="AU16" s="17">
        <v>2</v>
      </c>
      <c r="AV16" s="71">
        <f t="shared" si="17"/>
        <v>0.66666666666666663</v>
      </c>
      <c r="AW16" s="17">
        <v>2</v>
      </c>
      <c r="AX16" s="71">
        <f t="shared" si="18"/>
        <v>1</v>
      </c>
      <c r="AY16" s="17">
        <v>3</v>
      </c>
      <c r="AZ16" s="71">
        <f t="shared" si="19"/>
        <v>1</v>
      </c>
      <c r="BA16" s="73">
        <v>1</v>
      </c>
      <c r="BB16" s="73">
        <v>1</v>
      </c>
      <c r="BC16" s="73">
        <v>0</v>
      </c>
      <c r="BD16" s="73">
        <v>0</v>
      </c>
      <c r="BE16" s="81">
        <f t="shared" si="20"/>
        <v>0.74583333333333335</v>
      </c>
      <c r="BF16" s="81" t="str">
        <f t="shared" si="21"/>
        <v>ALTO</v>
      </c>
    </row>
    <row r="17" spans="1:58" x14ac:dyDescent="0.15">
      <c r="A17" s="58">
        <v>5</v>
      </c>
      <c r="B17" s="58">
        <v>1</v>
      </c>
      <c r="C17" s="58">
        <v>2</v>
      </c>
      <c r="D17" s="58">
        <v>2</v>
      </c>
      <c r="E17" s="58">
        <v>1</v>
      </c>
      <c r="F17" s="18">
        <v>1</v>
      </c>
      <c r="G17" s="64">
        <f t="shared" si="0"/>
        <v>0.5</v>
      </c>
      <c r="H17" s="18">
        <v>2</v>
      </c>
      <c r="I17" s="64">
        <f t="shared" si="1"/>
        <v>1</v>
      </c>
      <c r="J17" s="18">
        <v>1</v>
      </c>
      <c r="K17" s="64">
        <f t="shared" si="2"/>
        <v>0.5</v>
      </c>
      <c r="L17" s="18">
        <v>2</v>
      </c>
      <c r="M17" s="64">
        <f t="shared" si="3"/>
        <v>0.66666666666666663</v>
      </c>
      <c r="N17" s="18">
        <v>4</v>
      </c>
      <c r="O17" s="64">
        <f t="shared" si="4"/>
        <v>0.8</v>
      </c>
      <c r="P17" s="17">
        <v>2</v>
      </c>
      <c r="Q17" s="64">
        <f t="shared" si="5"/>
        <v>0.66666666666666663</v>
      </c>
      <c r="R17" s="24">
        <v>2</v>
      </c>
      <c r="S17" s="71">
        <f t="shared" si="6"/>
        <v>0.66666666666666663</v>
      </c>
      <c r="T17" s="18">
        <v>3</v>
      </c>
      <c r="U17" s="64">
        <f t="shared" si="7"/>
        <v>1</v>
      </c>
      <c r="V17" s="18">
        <v>3</v>
      </c>
      <c r="W17" s="71">
        <f t="shared" si="8"/>
        <v>0.75</v>
      </c>
      <c r="X17" s="18">
        <v>2</v>
      </c>
      <c r="Y17" s="71">
        <f t="shared" si="9"/>
        <v>0.66666666666666663</v>
      </c>
      <c r="Z17" s="18">
        <v>0</v>
      </c>
      <c r="AA17" s="71">
        <f t="shared" si="10"/>
        <v>0</v>
      </c>
      <c r="AB17" s="18">
        <v>2</v>
      </c>
      <c r="AC17" s="71">
        <f t="shared" si="11"/>
        <v>1</v>
      </c>
      <c r="AD17" s="58">
        <v>1</v>
      </c>
      <c r="AE17" s="58">
        <v>1</v>
      </c>
      <c r="AF17" s="58">
        <v>0</v>
      </c>
      <c r="AG17" s="58">
        <v>0</v>
      </c>
      <c r="AH17" s="58">
        <v>0</v>
      </c>
      <c r="AI17" s="58">
        <v>0</v>
      </c>
      <c r="AJ17" s="19">
        <v>1</v>
      </c>
      <c r="AK17" s="71">
        <f t="shared" si="12"/>
        <v>0.5</v>
      </c>
      <c r="AL17" s="18">
        <v>3</v>
      </c>
      <c r="AM17" s="71">
        <f t="shared" si="13"/>
        <v>1</v>
      </c>
      <c r="AN17" s="18">
        <v>2</v>
      </c>
      <c r="AO17" s="71">
        <f t="shared" si="14"/>
        <v>0.66666666666666663</v>
      </c>
      <c r="AP17" s="18">
        <v>2</v>
      </c>
      <c r="AQ17" s="71">
        <f t="shared" si="15"/>
        <v>0.66666666666666663</v>
      </c>
      <c r="AR17" s="58">
        <v>2</v>
      </c>
      <c r="AS17" s="18">
        <v>2</v>
      </c>
      <c r="AT17" s="71">
        <f t="shared" si="16"/>
        <v>0.66666666666666663</v>
      </c>
      <c r="AU17" s="18">
        <v>3</v>
      </c>
      <c r="AV17" s="71">
        <f t="shared" si="17"/>
        <v>1</v>
      </c>
      <c r="AW17" s="18">
        <v>1</v>
      </c>
      <c r="AX17" s="71">
        <f t="shared" si="18"/>
        <v>0.5</v>
      </c>
      <c r="AY17" s="18">
        <v>2</v>
      </c>
      <c r="AZ17" s="71">
        <f t="shared" si="19"/>
        <v>0.66666666666666663</v>
      </c>
      <c r="BA17" s="74">
        <v>0</v>
      </c>
      <c r="BB17" s="74">
        <v>1</v>
      </c>
      <c r="BC17" s="74">
        <v>1</v>
      </c>
      <c r="BD17" s="74">
        <v>0</v>
      </c>
      <c r="BE17" s="81">
        <f t="shared" si="20"/>
        <v>0.71916666666666662</v>
      </c>
      <c r="BF17" s="81" t="str">
        <f t="shared" si="21"/>
        <v>ALTO</v>
      </c>
    </row>
    <row r="18" spans="1:58" x14ac:dyDescent="0.15">
      <c r="A18" s="57">
        <v>3</v>
      </c>
      <c r="B18" s="57">
        <v>1</v>
      </c>
      <c r="C18" s="57">
        <v>1</v>
      </c>
      <c r="D18" s="57">
        <v>2</v>
      </c>
      <c r="E18" s="58">
        <v>1</v>
      </c>
      <c r="F18" s="17">
        <v>2</v>
      </c>
      <c r="G18" s="64">
        <f t="shared" si="0"/>
        <v>1</v>
      </c>
      <c r="H18" s="17">
        <v>1</v>
      </c>
      <c r="I18" s="64">
        <f t="shared" si="1"/>
        <v>0.5</v>
      </c>
      <c r="J18" s="17">
        <v>1</v>
      </c>
      <c r="K18" s="64">
        <f t="shared" si="2"/>
        <v>0.5</v>
      </c>
      <c r="L18" s="17">
        <v>2</v>
      </c>
      <c r="M18" s="64">
        <f t="shared" si="3"/>
        <v>0.66666666666666663</v>
      </c>
      <c r="N18" s="17">
        <v>2</v>
      </c>
      <c r="O18" s="64">
        <f t="shared" si="4"/>
        <v>0.4</v>
      </c>
      <c r="P18" s="17">
        <v>3</v>
      </c>
      <c r="Q18" s="64">
        <f t="shared" si="5"/>
        <v>1</v>
      </c>
      <c r="R18" s="25">
        <v>0</v>
      </c>
      <c r="S18" s="71">
        <f t="shared" si="6"/>
        <v>0</v>
      </c>
      <c r="T18" s="17">
        <v>3</v>
      </c>
      <c r="U18" s="64">
        <f t="shared" si="7"/>
        <v>1</v>
      </c>
      <c r="V18" s="17">
        <v>4</v>
      </c>
      <c r="W18" s="71">
        <f t="shared" si="8"/>
        <v>1</v>
      </c>
      <c r="X18" s="17">
        <v>0</v>
      </c>
      <c r="Y18" s="71">
        <f t="shared" si="9"/>
        <v>0</v>
      </c>
      <c r="Z18" s="17">
        <v>0</v>
      </c>
      <c r="AA18" s="71">
        <f t="shared" si="10"/>
        <v>0</v>
      </c>
      <c r="AB18" s="17">
        <v>0</v>
      </c>
      <c r="AC18" s="71">
        <f t="shared" si="11"/>
        <v>0</v>
      </c>
      <c r="AD18" s="57">
        <v>0</v>
      </c>
      <c r="AE18" s="57">
        <v>1</v>
      </c>
      <c r="AF18" s="57">
        <v>1</v>
      </c>
      <c r="AG18" s="57">
        <v>0</v>
      </c>
      <c r="AH18" s="57">
        <v>0</v>
      </c>
      <c r="AI18" s="57">
        <v>0</v>
      </c>
      <c r="AJ18" s="20">
        <v>1</v>
      </c>
      <c r="AK18" s="71">
        <f t="shared" si="12"/>
        <v>0.5</v>
      </c>
      <c r="AL18" s="17">
        <v>3</v>
      </c>
      <c r="AM18" s="71">
        <f t="shared" si="13"/>
        <v>1</v>
      </c>
      <c r="AN18" s="17">
        <v>1</v>
      </c>
      <c r="AO18" s="71">
        <f t="shared" si="14"/>
        <v>0.33333333333333331</v>
      </c>
      <c r="AP18" s="17">
        <v>2</v>
      </c>
      <c r="AQ18" s="71">
        <f t="shared" si="15"/>
        <v>0.66666666666666663</v>
      </c>
      <c r="AR18" s="57">
        <v>0</v>
      </c>
      <c r="AS18" s="17">
        <v>2</v>
      </c>
      <c r="AT18" s="71">
        <f t="shared" si="16"/>
        <v>0.66666666666666663</v>
      </c>
      <c r="AU18" s="17">
        <v>3</v>
      </c>
      <c r="AV18" s="71">
        <f t="shared" si="17"/>
        <v>1</v>
      </c>
      <c r="AW18" s="17">
        <v>0</v>
      </c>
      <c r="AX18" s="71">
        <f t="shared" si="18"/>
        <v>0</v>
      </c>
      <c r="AY18" s="17">
        <v>3</v>
      </c>
      <c r="AZ18" s="71">
        <f t="shared" si="19"/>
        <v>1</v>
      </c>
      <c r="BA18" s="73">
        <v>1</v>
      </c>
      <c r="BB18" s="73">
        <v>0</v>
      </c>
      <c r="BC18" s="73">
        <v>1</v>
      </c>
      <c r="BD18" s="73">
        <v>0</v>
      </c>
      <c r="BE18" s="81">
        <f t="shared" si="20"/>
        <v>0.61166666666666658</v>
      </c>
      <c r="BF18" s="81" t="str">
        <f t="shared" si="21"/>
        <v>MEDIO</v>
      </c>
    </row>
    <row r="19" spans="1:58" x14ac:dyDescent="0.15">
      <c r="A19" s="59">
        <v>3</v>
      </c>
      <c r="B19" s="58">
        <v>1</v>
      </c>
      <c r="C19" s="58">
        <v>4</v>
      </c>
      <c r="D19" s="58">
        <v>2</v>
      </c>
      <c r="E19" s="58">
        <v>1</v>
      </c>
      <c r="F19" s="18">
        <v>1</v>
      </c>
      <c r="G19" s="64">
        <f t="shared" si="0"/>
        <v>0.5</v>
      </c>
      <c r="H19" s="18">
        <v>0</v>
      </c>
      <c r="I19" s="64">
        <f t="shared" si="1"/>
        <v>0</v>
      </c>
      <c r="J19" s="18">
        <v>0</v>
      </c>
      <c r="K19" s="64">
        <f t="shared" si="2"/>
        <v>0</v>
      </c>
      <c r="L19" s="18">
        <v>0</v>
      </c>
      <c r="M19" s="64">
        <f t="shared" si="3"/>
        <v>0</v>
      </c>
      <c r="N19" s="18">
        <v>4</v>
      </c>
      <c r="O19" s="64">
        <f t="shared" si="4"/>
        <v>0.8</v>
      </c>
      <c r="P19" s="18">
        <v>3</v>
      </c>
      <c r="Q19" s="64">
        <f t="shared" si="5"/>
        <v>1</v>
      </c>
      <c r="R19" s="24">
        <v>0</v>
      </c>
      <c r="S19" s="71">
        <f t="shared" si="6"/>
        <v>0</v>
      </c>
      <c r="T19" s="18">
        <v>0</v>
      </c>
      <c r="U19" s="64">
        <f t="shared" si="7"/>
        <v>0</v>
      </c>
      <c r="V19" s="18">
        <v>3</v>
      </c>
      <c r="W19" s="71">
        <f t="shared" si="8"/>
        <v>0.75</v>
      </c>
      <c r="X19" s="18">
        <v>0</v>
      </c>
      <c r="Y19" s="71">
        <f t="shared" si="9"/>
        <v>0</v>
      </c>
      <c r="Z19" s="18">
        <v>1</v>
      </c>
      <c r="AA19" s="71">
        <f t="shared" si="10"/>
        <v>0.33333333333333331</v>
      </c>
      <c r="AB19" s="18">
        <v>0</v>
      </c>
      <c r="AC19" s="71">
        <f t="shared" si="11"/>
        <v>0</v>
      </c>
      <c r="AD19" s="58">
        <v>0</v>
      </c>
      <c r="AE19" s="58">
        <v>0</v>
      </c>
      <c r="AF19" s="58">
        <v>1</v>
      </c>
      <c r="AG19" s="58">
        <v>1</v>
      </c>
      <c r="AH19" s="58">
        <v>0</v>
      </c>
      <c r="AI19" s="58">
        <v>0</v>
      </c>
      <c r="AJ19" s="19">
        <v>1</v>
      </c>
      <c r="AK19" s="71">
        <f t="shared" si="12"/>
        <v>0.5</v>
      </c>
      <c r="AL19" s="18">
        <v>0</v>
      </c>
      <c r="AM19" s="71">
        <f t="shared" si="13"/>
        <v>0</v>
      </c>
      <c r="AN19" s="18">
        <v>0</v>
      </c>
      <c r="AO19" s="71">
        <f t="shared" si="14"/>
        <v>0</v>
      </c>
      <c r="AP19" s="18">
        <v>1</v>
      </c>
      <c r="AQ19" s="71">
        <f t="shared" si="15"/>
        <v>0.33333333333333331</v>
      </c>
      <c r="AR19" s="58">
        <v>2</v>
      </c>
      <c r="AS19" s="18">
        <v>0</v>
      </c>
      <c r="AT19" s="71">
        <f t="shared" si="16"/>
        <v>0</v>
      </c>
      <c r="AU19" s="18">
        <v>0</v>
      </c>
      <c r="AV19" s="71">
        <f t="shared" si="17"/>
        <v>0</v>
      </c>
      <c r="AW19" s="18">
        <v>1</v>
      </c>
      <c r="AX19" s="71">
        <f t="shared" si="18"/>
        <v>0.5</v>
      </c>
      <c r="AY19" s="18">
        <v>0</v>
      </c>
      <c r="AZ19" s="71">
        <f t="shared" si="19"/>
        <v>0</v>
      </c>
      <c r="BA19" s="74">
        <v>0</v>
      </c>
      <c r="BB19" s="74">
        <v>0</v>
      </c>
      <c r="BC19" s="74">
        <v>1</v>
      </c>
      <c r="BD19" s="74">
        <v>0</v>
      </c>
      <c r="BE19" s="81">
        <f t="shared" si="20"/>
        <v>0.26083333333333331</v>
      </c>
      <c r="BF19" s="81" t="str">
        <f t="shared" si="21"/>
        <v>BASSO</v>
      </c>
    </row>
    <row r="20" spans="1:58" x14ac:dyDescent="0.15">
      <c r="A20" s="59">
        <v>3</v>
      </c>
      <c r="B20" s="57">
        <v>1</v>
      </c>
      <c r="C20" s="57">
        <v>1</v>
      </c>
      <c r="D20" s="57">
        <v>2</v>
      </c>
      <c r="E20" s="58">
        <v>1</v>
      </c>
      <c r="F20" s="17">
        <v>1</v>
      </c>
      <c r="G20" s="64">
        <f t="shared" si="0"/>
        <v>0.5</v>
      </c>
      <c r="H20" s="17">
        <v>2</v>
      </c>
      <c r="I20" s="64">
        <f t="shared" si="1"/>
        <v>1</v>
      </c>
      <c r="J20" s="17">
        <v>1</v>
      </c>
      <c r="K20" s="64">
        <f t="shared" si="2"/>
        <v>0.5</v>
      </c>
      <c r="L20" s="17">
        <v>1</v>
      </c>
      <c r="M20" s="64">
        <f t="shared" si="3"/>
        <v>0.33333333333333331</v>
      </c>
      <c r="N20" s="17">
        <v>2</v>
      </c>
      <c r="O20" s="64">
        <f t="shared" si="4"/>
        <v>0.4</v>
      </c>
      <c r="P20" s="17">
        <v>3</v>
      </c>
      <c r="Q20" s="64">
        <f t="shared" si="5"/>
        <v>1</v>
      </c>
      <c r="R20" s="25">
        <v>2</v>
      </c>
      <c r="S20" s="71">
        <f t="shared" si="6"/>
        <v>0.66666666666666663</v>
      </c>
      <c r="T20" s="17">
        <v>3</v>
      </c>
      <c r="U20" s="64">
        <f t="shared" si="7"/>
        <v>1</v>
      </c>
      <c r="V20" s="17">
        <v>0</v>
      </c>
      <c r="W20" s="71">
        <f t="shared" si="8"/>
        <v>0</v>
      </c>
      <c r="X20" s="17">
        <v>2</v>
      </c>
      <c r="Y20" s="71">
        <f t="shared" si="9"/>
        <v>0.66666666666666663</v>
      </c>
      <c r="Z20" s="17">
        <v>3</v>
      </c>
      <c r="AA20" s="71">
        <f t="shared" si="10"/>
        <v>1</v>
      </c>
      <c r="AB20" s="17">
        <v>2</v>
      </c>
      <c r="AC20" s="71">
        <f t="shared" si="11"/>
        <v>1</v>
      </c>
      <c r="AD20" s="57">
        <v>1</v>
      </c>
      <c r="AE20" s="57">
        <v>0</v>
      </c>
      <c r="AF20" s="57">
        <v>1</v>
      </c>
      <c r="AG20" s="57">
        <v>0</v>
      </c>
      <c r="AH20" s="57">
        <v>0</v>
      </c>
      <c r="AI20" s="57">
        <v>0</v>
      </c>
      <c r="AJ20" s="20">
        <v>2</v>
      </c>
      <c r="AK20" s="71">
        <f t="shared" si="12"/>
        <v>1</v>
      </c>
      <c r="AL20" s="17">
        <v>2</v>
      </c>
      <c r="AM20" s="71">
        <f t="shared" si="13"/>
        <v>0.66666666666666663</v>
      </c>
      <c r="AN20" s="17">
        <v>1</v>
      </c>
      <c r="AO20" s="71">
        <f t="shared" si="14"/>
        <v>0.33333333333333331</v>
      </c>
      <c r="AP20" s="17">
        <v>2</v>
      </c>
      <c r="AQ20" s="71">
        <f t="shared" si="15"/>
        <v>0.66666666666666663</v>
      </c>
      <c r="AR20" s="57">
        <v>1</v>
      </c>
      <c r="AS20" s="17">
        <v>3</v>
      </c>
      <c r="AT20" s="71">
        <f t="shared" si="16"/>
        <v>1</v>
      </c>
      <c r="AU20" s="17">
        <v>3</v>
      </c>
      <c r="AV20" s="71">
        <f t="shared" si="17"/>
        <v>1</v>
      </c>
      <c r="AW20" s="17">
        <v>1</v>
      </c>
      <c r="AX20" s="71">
        <f t="shared" si="18"/>
        <v>0.5</v>
      </c>
      <c r="AY20" s="17">
        <v>3</v>
      </c>
      <c r="AZ20" s="71">
        <f t="shared" si="19"/>
        <v>1</v>
      </c>
      <c r="BA20" s="73">
        <v>1</v>
      </c>
      <c r="BB20" s="73">
        <v>1</v>
      </c>
      <c r="BC20" s="73">
        <v>0</v>
      </c>
      <c r="BD20" s="73">
        <v>0</v>
      </c>
      <c r="BE20" s="81">
        <f t="shared" si="20"/>
        <v>0.73666666666666658</v>
      </c>
      <c r="BF20" s="81" t="str">
        <f t="shared" si="21"/>
        <v>ALTO</v>
      </c>
    </row>
    <row r="21" spans="1:58" x14ac:dyDescent="0.15">
      <c r="A21" s="58">
        <v>1</v>
      </c>
      <c r="B21" s="58">
        <v>1</v>
      </c>
      <c r="C21" s="58">
        <v>1</v>
      </c>
      <c r="D21" s="58">
        <v>2</v>
      </c>
      <c r="E21" s="58">
        <v>1</v>
      </c>
      <c r="F21" s="18">
        <v>1</v>
      </c>
      <c r="G21" s="64">
        <f t="shared" si="0"/>
        <v>0.5</v>
      </c>
      <c r="H21" s="18">
        <v>0</v>
      </c>
      <c r="I21" s="64">
        <f t="shared" si="1"/>
        <v>0</v>
      </c>
      <c r="J21" s="18">
        <v>1</v>
      </c>
      <c r="K21" s="64">
        <f t="shared" si="2"/>
        <v>0.5</v>
      </c>
      <c r="L21" s="18">
        <v>2</v>
      </c>
      <c r="M21" s="64">
        <f t="shared" si="3"/>
        <v>0.66666666666666663</v>
      </c>
      <c r="N21" s="18">
        <v>2</v>
      </c>
      <c r="O21" s="64">
        <f t="shared" si="4"/>
        <v>0.4</v>
      </c>
      <c r="P21" s="18">
        <v>3</v>
      </c>
      <c r="Q21" s="64">
        <f t="shared" si="5"/>
        <v>1</v>
      </c>
      <c r="R21" s="24">
        <v>2</v>
      </c>
      <c r="S21" s="71">
        <f t="shared" si="6"/>
        <v>0.66666666666666663</v>
      </c>
      <c r="T21" s="18">
        <v>2</v>
      </c>
      <c r="U21" s="64">
        <f t="shared" si="7"/>
        <v>0.66666666666666663</v>
      </c>
      <c r="V21" s="18">
        <v>3</v>
      </c>
      <c r="W21" s="71">
        <f t="shared" si="8"/>
        <v>0.75</v>
      </c>
      <c r="X21" s="18">
        <v>2</v>
      </c>
      <c r="Y21" s="71">
        <f t="shared" si="9"/>
        <v>0.66666666666666663</v>
      </c>
      <c r="Z21" s="18">
        <v>3</v>
      </c>
      <c r="AA21" s="71">
        <f t="shared" si="10"/>
        <v>1</v>
      </c>
      <c r="AB21" s="18">
        <v>1</v>
      </c>
      <c r="AC21" s="71">
        <f t="shared" si="11"/>
        <v>0.5</v>
      </c>
      <c r="AD21" s="58">
        <v>1</v>
      </c>
      <c r="AE21" s="58">
        <v>0</v>
      </c>
      <c r="AF21" s="58">
        <v>1</v>
      </c>
      <c r="AG21" s="58">
        <v>0</v>
      </c>
      <c r="AH21" s="58">
        <v>0</v>
      </c>
      <c r="AI21" s="58">
        <v>0</v>
      </c>
      <c r="AJ21" s="19">
        <v>1</v>
      </c>
      <c r="AK21" s="71">
        <f t="shared" si="12"/>
        <v>0.5</v>
      </c>
      <c r="AL21" s="18">
        <v>3</v>
      </c>
      <c r="AM21" s="71">
        <f t="shared" si="13"/>
        <v>1</v>
      </c>
      <c r="AN21" s="18">
        <v>1</v>
      </c>
      <c r="AO21" s="71">
        <f t="shared" si="14"/>
        <v>0.33333333333333331</v>
      </c>
      <c r="AP21" s="18">
        <v>1</v>
      </c>
      <c r="AQ21" s="71">
        <f t="shared" si="15"/>
        <v>0.33333333333333331</v>
      </c>
      <c r="AR21" s="58">
        <v>2</v>
      </c>
      <c r="AS21" s="18">
        <v>3</v>
      </c>
      <c r="AT21" s="71">
        <f t="shared" si="16"/>
        <v>1</v>
      </c>
      <c r="AU21" s="18">
        <v>2</v>
      </c>
      <c r="AV21" s="71">
        <f t="shared" si="17"/>
        <v>0.66666666666666663</v>
      </c>
      <c r="AW21" s="18">
        <v>0</v>
      </c>
      <c r="AX21" s="71">
        <f t="shared" si="18"/>
        <v>0</v>
      </c>
      <c r="AY21" s="18">
        <v>2</v>
      </c>
      <c r="AZ21" s="71">
        <f t="shared" si="19"/>
        <v>0.66666666666666663</v>
      </c>
      <c r="BA21" s="74">
        <v>1</v>
      </c>
      <c r="BB21" s="74">
        <v>1</v>
      </c>
      <c r="BC21" s="74">
        <v>0</v>
      </c>
      <c r="BD21" s="74">
        <v>0</v>
      </c>
      <c r="BE21" s="81">
        <f t="shared" si="20"/>
        <v>0.61583333333333334</v>
      </c>
      <c r="BF21" s="81" t="str">
        <f t="shared" si="21"/>
        <v>MEDIO</v>
      </c>
    </row>
    <row r="22" spans="1:58" x14ac:dyDescent="0.15">
      <c r="A22" s="57">
        <v>1</v>
      </c>
      <c r="B22" s="57">
        <v>1</v>
      </c>
      <c r="C22" s="57">
        <v>1</v>
      </c>
      <c r="D22" s="57">
        <v>2</v>
      </c>
      <c r="E22" s="58">
        <v>1</v>
      </c>
      <c r="F22" s="17">
        <v>2</v>
      </c>
      <c r="G22" s="64">
        <f t="shared" si="0"/>
        <v>1</v>
      </c>
      <c r="H22" s="17">
        <v>1</v>
      </c>
      <c r="I22" s="64">
        <f t="shared" si="1"/>
        <v>0.5</v>
      </c>
      <c r="J22" s="17">
        <v>1</v>
      </c>
      <c r="K22" s="64">
        <f t="shared" si="2"/>
        <v>0.5</v>
      </c>
      <c r="L22" s="17">
        <v>2</v>
      </c>
      <c r="M22" s="64">
        <f t="shared" si="3"/>
        <v>0.66666666666666663</v>
      </c>
      <c r="N22" s="17">
        <v>5</v>
      </c>
      <c r="O22" s="64">
        <f t="shared" si="4"/>
        <v>1</v>
      </c>
      <c r="P22" s="17">
        <v>0</v>
      </c>
      <c r="Q22" s="64">
        <f t="shared" si="5"/>
        <v>0</v>
      </c>
      <c r="R22" s="25">
        <v>0</v>
      </c>
      <c r="S22" s="71">
        <f t="shared" si="6"/>
        <v>0</v>
      </c>
      <c r="T22" s="17">
        <v>2</v>
      </c>
      <c r="U22" s="64">
        <f t="shared" si="7"/>
        <v>0.66666666666666663</v>
      </c>
      <c r="V22" s="17">
        <v>4</v>
      </c>
      <c r="W22" s="71">
        <f t="shared" si="8"/>
        <v>1</v>
      </c>
      <c r="X22" s="17">
        <v>0</v>
      </c>
      <c r="Y22" s="71">
        <f t="shared" si="9"/>
        <v>0</v>
      </c>
      <c r="Z22" s="17">
        <v>3</v>
      </c>
      <c r="AA22" s="71">
        <f t="shared" si="10"/>
        <v>1</v>
      </c>
      <c r="AB22" s="17">
        <v>2</v>
      </c>
      <c r="AC22" s="71">
        <f t="shared" si="11"/>
        <v>1</v>
      </c>
      <c r="AD22" s="57">
        <v>0</v>
      </c>
      <c r="AE22" s="57">
        <v>0</v>
      </c>
      <c r="AF22" s="57">
        <v>1</v>
      </c>
      <c r="AG22" s="57">
        <v>1</v>
      </c>
      <c r="AH22" s="57">
        <v>0</v>
      </c>
      <c r="AI22" s="57">
        <v>0</v>
      </c>
      <c r="AJ22" s="20">
        <v>1</v>
      </c>
      <c r="AK22" s="71">
        <f t="shared" si="12"/>
        <v>0.5</v>
      </c>
      <c r="AL22" s="17">
        <v>3</v>
      </c>
      <c r="AM22" s="71">
        <f t="shared" si="13"/>
        <v>1</v>
      </c>
      <c r="AN22" s="17">
        <v>2</v>
      </c>
      <c r="AO22" s="71">
        <f t="shared" si="14"/>
        <v>0.66666666666666663</v>
      </c>
      <c r="AP22" s="17">
        <v>0</v>
      </c>
      <c r="AQ22" s="71">
        <f t="shared" si="15"/>
        <v>0</v>
      </c>
      <c r="AR22" s="57">
        <v>2</v>
      </c>
      <c r="AS22" s="17">
        <v>0</v>
      </c>
      <c r="AT22" s="71">
        <f t="shared" si="16"/>
        <v>0</v>
      </c>
      <c r="AU22" s="17">
        <v>0</v>
      </c>
      <c r="AV22" s="71">
        <f t="shared" si="17"/>
        <v>0</v>
      </c>
      <c r="AW22" s="17">
        <v>0</v>
      </c>
      <c r="AX22" s="71">
        <f t="shared" si="18"/>
        <v>0</v>
      </c>
      <c r="AY22" s="17">
        <v>3</v>
      </c>
      <c r="AZ22" s="71">
        <f t="shared" si="19"/>
        <v>1</v>
      </c>
      <c r="BA22" s="73">
        <v>0</v>
      </c>
      <c r="BB22" s="73">
        <v>0</v>
      </c>
      <c r="BC22" s="73">
        <v>0</v>
      </c>
      <c r="BD22" s="73">
        <v>1</v>
      </c>
      <c r="BE22" s="81">
        <f t="shared" si="20"/>
        <v>0.57499999999999996</v>
      </c>
      <c r="BF22" s="81" t="str">
        <f t="shared" si="21"/>
        <v>MEDIO</v>
      </c>
    </row>
    <row r="23" spans="1:58" x14ac:dyDescent="0.15">
      <c r="A23" s="58">
        <v>2</v>
      </c>
      <c r="B23" s="58">
        <v>1</v>
      </c>
      <c r="C23" s="58">
        <v>1</v>
      </c>
      <c r="D23" s="58">
        <v>2</v>
      </c>
      <c r="E23" s="58">
        <v>1</v>
      </c>
      <c r="F23" s="18">
        <v>1</v>
      </c>
      <c r="G23" s="64">
        <f t="shared" si="0"/>
        <v>0.5</v>
      </c>
      <c r="H23" s="18">
        <v>1</v>
      </c>
      <c r="I23" s="64">
        <f t="shared" si="1"/>
        <v>0.5</v>
      </c>
      <c r="J23" s="18">
        <v>1</v>
      </c>
      <c r="K23" s="64">
        <f t="shared" si="2"/>
        <v>0.5</v>
      </c>
      <c r="L23" s="18">
        <v>1</v>
      </c>
      <c r="M23" s="64">
        <f t="shared" si="3"/>
        <v>0.33333333333333331</v>
      </c>
      <c r="N23" s="18">
        <v>4</v>
      </c>
      <c r="O23" s="64">
        <f t="shared" si="4"/>
        <v>0.8</v>
      </c>
      <c r="P23" s="18">
        <v>3</v>
      </c>
      <c r="Q23" s="64">
        <f t="shared" si="5"/>
        <v>1</v>
      </c>
      <c r="R23" s="24">
        <v>0</v>
      </c>
      <c r="S23" s="71">
        <f t="shared" si="6"/>
        <v>0</v>
      </c>
      <c r="T23" s="18">
        <v>2</v>
      </c>
      <c r="U23" s="64">
        <f t="shared" si="7"/>
        <v>0.66666666666666663</v>
      </c>
      <c r="V23" s="18">
        <v>3</v>
      </c>
      <c r="W23" s="71">
        <f t="shared" si="8"/>
        <v>0.75</v>
      </c>
      <c r="X23" s="18">
        <v>2</v>
      </c>
      <c r="Y23" s="71">
        <f t="shared" si="9"/>
        <v>0.66666666666666663</v>
      </c>
      <c r="Z23" s="18">
        <v>0</v>
      </c>
      <c r="AA23" s="71">
        <f t="shared" si="10"/>
        <v>0</v>
      </c>
      <c r="AB23" s="18">
        <v>1</v>
      </c>
      <c r="AC23" s="71">
        <f t="shared" si="11"/>
        <v>0.5</v>
      </c>
      <c r="AD23" s="58">
        <v>1</v>
      </c>
      <c r="AE23" s="58">
        <v>0</v>
      </c>
      <c r="AF23" s="58">
        <v>1</v>
      </c>
      <c r="AG23" s="58">
        <v>0</v>
      </c>
      <c r="AH23" s="58">
        <v>0</v>
      </c>
      <c r="AI23" s="58">
        <v>0</v>
      </c>
      <c r="AJ23" s="19">
        <v>1</v>
      </c>
      <c r="AK23" s="71">
        <f t="shared" si="12"/>
        <v>0.5</v>
      </c>
      <c r="AL23" s="18">
        <v>2</v>
      </c>
      <c r="AM23" s="71">
        <f t="shared" si="13"/>
        <v>0.66666666666666663</v>
      </c>
      <c r="AN23" s="18">
        <v>1</v>
      </c>
      <c r="AO23" s="71">
        <f t="shared" si="14"/>
        <v>0.33333333333333331</v>
      </c>
      <c r="AP23" s="18">
        <v>1</v>
      </c>
      <c r="AQ23" s="71">
        <f t="shared" si="15"/>
        <v>0.33333333333333331</v>
      </c>
      <c r="AR23" s="58">
        <v>1</v>
      </c>
      <c r="AS23" s="18">
        <v>3</v>
      </c>
      <c r="AT23" s="71">
        <f t="shared" si="16"/>
        <v>1</v>
      </c>
      <c r="AU23" s="18">
        <v>2</v>
      </c>
      <c r="AV23" s="71">
        <f t="shared" si="17"/>
        <v>0.66666666666666663</v>
      </c>
      <c r="AW23" s="18">
        <v>0</v>
      </c>
      <c r="AX23" s="71">
        <f t="shared" si="18"/>
        <v>0</v>
      </c>
      <c r="AY23" s="18">
        <v>2</v>
      </c>
      <c r="AZ23" s="71">
        <f t="shared" si="19"/>
        <v>0.66666666666666663</v>
      </c>
      <c r="BA23" s="74">
        <v>1</v>
      </c>
      <c r="BB23" s="74">
        <v>0</v>
      </c>
      <c r="BC23" s="74">
        <v>0</v>
      </c>
      <c r="BD23" s="74">
        <v>0</v>
      </c>
      <c r="BE23" s="81">
        <f t="shared" si="20"/>
        <v>0.54416666666666669</v>
      </c>
      <c r="BF23" s="81" t="str">
        <f t="shared" si="21"/>
        <v>MEDIO</v>
      </c>
    </row>
    <row r="24" spans="1:58" x14ac:dyDescent="0.15">
      <c r="A24" s="57">
        <v>3</v>
      </c>
      <c r="B24" s="57">
        <v>2</v>
      </c>
      <c r="C24" s="57">
        <v>0</v>
      </c>
      <c r="D24" s="57">
        <v>2</v>
      </c>
      <c r="E24" s="58">
        <v>1</v>
      </c>
      <c r="F24" s="17">
        <v>1</v>
      </c>
      <c r="G24" s="64">
        <f t="shared" si="0"/>
        <v>0.5</v>
      </c>
      <c r="H24" s="17">
        <v>2</v>
      </c>
      <c r="I24" s="64">
        <f t="shared" si="1"/>
        <v>1</v>
      </c>
      <c r="J24" s="17">
        <v>1</v>
      </c>
      <c r="K24" s="64">
        <f t="shared" si="2"/>
        <v>0.5</v>
      </c>
      <c r="L24" s="17">
        <v>3</v>
      </c>
      <c r="M24" s="64">
        <f t="shared" si="3"/>
        <v>1</v>
      </c>
      <c r="N24" s="17">
        <v>1</v>
      </c>
      <c r="O24" s="64">
        <f t="shared" si="4"/>
        <v>0.2</v>
      </c>
      <c r="P24" s="17">
        <v>0</v>
      </c>
      <c r="Q24" s="64">
        <f t="shared" si="5"/>
        <v>0</v>
      </c>
      <c r="R24" s="25">
        <v>0</v>
      </c>
      <c r="S24" s="71">
        <f t="shared" si="6"/>
        <v>0</v>
      </c>
      <c r="T24" s="17">
        <v>2</v>
      </c>
      <c r="U24" s="64">
        <f t="shared" si="7"/>
        <v>0.66666666666666663</v>
      </c>
      <c r="V24" s="17">
        <v>3</v>
      </c>
      <c r="W24" s="71">
        <f t="shared" si="8"/>
        <v>0.75</v>
      </c>
      <c r="X24" s="17">
        <v>2</v>
      </c>
      <c r="Y24" s="71">
        <f t="shared" si="9"/>
        <v>0.66666666666666663</v>
      </c>
      <c r="Z24" s="17">
        <v>0</v>
      </c>
      <c r="AA24" s="71">
        <f t="shared" si="10"/>
        <v>0</v>
      </c>
      <c r="AB24" s="17">
        <v>1</v>
      </c>
      <c r="AC24" s="71">
        <f t="shared" si="11"/>
        <v>0.5</v>
      </c>
      <c r="AD24" s="57">
        <v>0</v>
      </c>
      <c r="AE24" s="57">
        <v>1</v>
      </c>
      <c r="AF24" s="57">
        <v>1</v>
      </c>
      <c r="AG24" s="57">
        <v>0</v>
      </c>
      <c r="AH24" s="57">
        <v>0</v>
      </c>
      <c r="AI24" s="57">
        <v>0</v>
      </c>
      <c r="AJ24" s="20">
        <v>1</v>
      </c>
      <c r="AK24" s="71">
        <f t="shared" si="12"/>
        <v>0.5</v>
      </c>
      <c r="AL24" s="17">
        <v>3</v>
      </c>
      <c r="AM24" s="71">
        <f t="shared" si="13"/>
        <v>1</v>
      </c>
      <c r="AN24" s="17">
        <v>0</v>
      </c>
      <c r="AO24" s="71">
        <f t="shared" si="14"/>
        <v>0</v>
      </c>
      <c r="AP24" s="17">
        <v>2</v>
      </c>
      <c r="AQ24" s="71">
        <f t="shared" si="15"/>
        <v>0.66666666666666663</v>
      </c>
      <c r="AR24" s="57">
        <v>0</v>
      </c>
      <c r="AS24" s="17">
        <v>3</v>
      </c>
      <c r="AT24" s="71">
        <f t="shared" si="16"/>
        <v>1</v>
      </c>
      <c r="AU24" s="17">
        <v>2</v>
      </c>
      <c r="AV24" s="71">
        <f t="shared" si="17"/>
        <v>0.66666666666666663</v>
      </c>
      <c r="AW24" s="17">
        <v>1</v>
      </c>
      <c r="AX24" s="71">
        <f t="shared" si="18"/>
        <v>0.5</v>
      </c>
      <c r="AY24" s="17">
        <v>0</v>
      </c>
      <c r="AZ24" s="71">
        <f t="shared" si="19"/>
        <v>0</v>
      </c>
      <c r="BA24" s="73">
        <v>1</v>
      </c>
      <c r="BB24" s="73">
        <v>0</v>
      </c>
      <c r="BC24" s="73">
        <v>0</v>
      </c>
      <c r="BD24" s="73">
        <v>0</v>
      </c>
      <c r="BE24" s="81">
        <f t="shared" si="20"/>
        <v>0.53083333333333338</v>
      </c>
      <c r="BF24" s="81" t="str">
        <f t="shared" si="21"/>
        <v>MEDIO</v>
      </c>
    </row>
    <row r="25" spans="1:58" x14ac:dyDescent="0.15">
      <c r="A25" s="58">
        <v>2</v>
      </c>
      <c r="B25" s="58">
        <v>1</v>
      </c>
      <c r="C25" s="58">
        <v>2</v>
      </c>
      <c r="D25" s="58">
        <v>1</v>
      </c>
      <c r="E25" s="58">
        <v>1</v>
      </c>
      <c r="F25" s="18">
        <v>1</v>
      </c>
      <c r="G25" s="64">
        <f t="shared" si="0"/>
        <v>0.5</v>
      </c>
      <c r="H25" s="18">
        <v>1</v>
      </c>
      <c r="I25" s="64">
        <f t="shared" si="1"/>
        <v>0.5</v>
      </c>
      <c r="J25" s="18">
        <v>1</v>
      </c>
      <c r="K25" s="64">
        <f t="shared" si="2"/>
        <v>0.5</v>
      </c>
      <c r="L25" s="18">
        <v>1</v>
      </c>
      <c r="M25" s="64">
        <f t="shared" si="3"/>
        <v>0.33333333333333331</v>
      </c>
      <c r="N25" s="18">
        <v>2</v>
      </c>
      <c r="O25" s="64">
        <f t="shared" si="4"/>
        <v>0.4</v>
      </c>
      <c r="P25" s="18">
        <v>3</v>
      </c>
      <c r="Q25" s="64">
        <f t="shared" si="5"/>
        <v>1</v>
      </c>
      <c r="R25" s="24">
        <v>2</v>
      </c>
      <c r="S25" s="71">
        <f t="shared" si="6"/>
        <v>0.66666666666666663</v>
      </c>
      <c r="T25" s="18">
        <v>3</v>
      </c>
      <c r="U25" s="64">
        <f t="shared" si="7"/>
        <v>1</v>
      </c>
      <c r="V25" s="18">
        <v>1</v>
      </c>
      <c r="W25" s="71">
        <f t="shared" si="8"/>
        <v>0.25</v>
      </c>
      <c r="X25" s="18">
        <v>0</v>
      </c>
      <c r="Y25" s="71">
        <f t="shared" si="9"/>
        <v>0</v>
      </c>
      <c r="Z25" s="18">
        <v>1</v>
      </c>
      <c r="AA25" s="71">
        <f t="shared" si="10"/>
        <v>0.33333333333333331</v>
      </c>
      <c r="AB25" s="18">
        <v>3</v>
      </c>
      <c r="AC25" s="71">
        <f t="shared" si="11"/>
        <v>1.5</v>
      </c>
      <c r="AD25" s="58">
        <v>1</v>
      </c>
      <c r="AE25" s="58">
        <v>0</v>
      </c>
      <c r="AF25" s="58">
        <v>1</v>
      </c>
      <c r="AG25" s="58">
        <v>0</v>
      </c>
      <c r="AH25" s="58">
        <v>0</v>
      </c>
      <c r="AI25" s="58">
        <v>0</v>
      </c>
      <c r="AJ25" s="19">
        <v>0</v>
      </c>
      <c r="AK25" s="71">
        <f t="shared" si="12"/>
        <v>0</v>
      </c>
      <c r="AL25" s="18">
        <v>3</v>
      </c>
      <c r="AM25" s="71">
        <f t="shared" si="13"/>
        <v>1</v>
      </c>
      <c r="AN25" s="18">
        <v>2</v>
      </c>
      <c r="AO25" s="71">
        <f t="shared" si="14"/>
        <v>0.66666666666666663</v>
      </c>
      <c r="AP25" s="18">
        <v>2</v>
      </c>
      <c r="AQ25" s="71">
        <f t="shared" si="15"/>
        <v>0.66666666666666663</v>
      </c>
      <c r="AR25" s="58">
        <v>0</v>
      </c>
      <c r="AS25" s="18">
        <v>2</v>
      </c>
      <c r="AT25" s="71">
        <f t="shared" si="16"/>
        <v>0.66666666666666663</v>
      </c>
      <c r="AU25" s="18">
        <v>2</v>
      </c>
      <c r="AV25" s="71">
        <f t="shared" si="17"/>
        <v>0.66666666666666663</v>
      </c>
      <c r="AW25" s="18">
        <v>2</v>
      </c>
      <c r="AX25" s="71">
        <f t="shared" si="18"/>
        <v>1</v>
      </c>
      <c r="AY25" s="18">
        <v>2</v>
      </c>
      <c r="AZ25" s="71">
        <f t="shared" si="19"/>
        <v>0.66666666666666663</v>
      </c>
      <c r="BA25" s="74">
        <v>0</v>
      </c>
      <c r="BB25" s="74">
        <v>1</v>
      </c>
      <c r="BC25" s="74">
        <v>1</v>
      </c>
      <c r="BD25" s="74">
        <v>0</v>
      </c>
      <c r="BE25" s="81">
        <f t="shared" si="20"/>
        <v>0.64083333333333325</v>
      </c>
      <c r="BF25" s="81" t="str">
        <f t="shared" si="21"/>
        <v>MEDIO</v>
      </c>
    </row>
    <row r="26" spans="1:58" x14ac:dyDescent="0.15">
      <c r="A26" s="57">
        <v>4</v>
      </c>
      <c r="B26" s="57">
        <v>2</v>
      </c>
      <c r="C26" s="57">
        <v>3</v>
      </c>
      <c r="D26" s="57">
        <v>2</v>
      </c>
      <c r="E26" s="58">
        <v>1</v>
      </c>
      <c r="F26" s="17">
        <v>1</v>
      </c>
      <c r="G26" s="64">
        <f t="shared" si="0"/>
        <v>0.5</v>
      </c>
      <c r="H26" s="17">
        <v>2</v>
      </c>
      <c r="I26" s="64">
        <f t="shared" si="1"/>
        <v>1</v>
      </c>
      <c r="J26" s="17">
        <v>1</v>
      </c>
      <c r="K26" s="64">
        <f t="shared" si="2"/>
        <v>0.5</v>
      </c>
      <c r="L26" s="17">
        <v>1</v>
      </c>
      <c r="M26" s="64">
        <f t="shared" si="3"/>
        <v>0.33333333333333331</v>
      </c>
      <c r="N26" s="17">
        <v>5</v>
      </c>
      <c r="O26" s="64">
        <f t="shared" si="4"/>
        <v>1</v>
      </c>
      <c r="P26" s="17">
        <v>3</v>
      </c>
      <c r="Q26" s="64">
        <f t="shared" si="5"/>
        <v>1</v>
      </c>
      <c r="R26" s="25">
        <v>2</v>
      </c>
      <c r="S26" s="71">
        <f t="shared" si="6"/>
        <v>0.66666666666666663</v>
      </c>
      <c r="T26" s="17">
        <v>2</v>
      </c>
      <c r="U26" s="64">
        <f t="shared" si="7"/>
        <v>0.66666666666666663</v>
      </c>
      <c r="V26" s="17">
        <v>4</v>
      </c>
      <c r="W26" s="71">
        <f t="shared" si="8"/>
        <v>1</v>
      </c>
      <c r="X26" s="17">
        <v>1</v>
      </c>
      <c r="Y26" s="71">
        <f t="shared" si="9"/>
        <v>0.33333333333333331</v>
      </c>
      <c r="Z26" s="17">
        <v>0</v>
      </c>
      <c r="AA26" s="71">
        <f t="shared" si="10"/>
        <v>0</v>
      </c>
      <c r="AB26" s="17">
        <v>0</v>
      </c>
      <c r="AC26" s="71">
        <f t="shared" si="11"/>
        <v>0</v>
      </c>
      <c r="AD26" s="57">
        <v>1</v>
      </c>
      <c r="AE26" s="57">
        <v>0</v>
      </c>
      <c r="AF26" s="57">
        <v>1</v>
      </c>
      <c r="AG26" s="57">
        <v>0</v>
      </c>
      <c r="AH26" s="57">
        <v>0</v>
      </c>
      <c r="AI26" s="57">
        <v>0</v>
      </c>
      <c r="AJ26" s="20">
        <v>0</v>
      </c>
      <c r="AK26" s="71">
        <f t="shared" si="12"/>
        <v>0</v>
      </c>
      <c r="AL26" s="17">
        <v>3</v>
      </c>
      <c r="AM26" s="71">
        <f t="shared" si="13"/>
        <v>1</v>
      </c>
      <c r="AN26" s="17">
        <v>0</v>
      </c>
      <c r="AO26" s="71">
        <f t="shared" si="14"/>
        <v>0</v>
      </c>
      <c r="AP26" s="17">
        <v>0</v>
      </c>
      <c r="AQ26" s="71">
        <f t="shared" si="15"/>
        <v>0</v>
      </c>
      <c r="AR26" s="57">
        <v>0</v>
      </c>
      <c r="AS26" s="17">
        <v>0</v>
      </c>
      <c r="AT26" s="71">
        <f t="shared" si="16"/>
        <v>0</v>
      </c>
      <c r="AU26" s="17">
        <v>1</v>
      </c>
      <c r="AV26" s="71">
        <f t="shared" si="17"/>
        <v>0.33333333333333331</v>
      </c>
      <c r="AW26" s="17">
        <v>1</v>
      </c>
      <c r="AX26" s="71">
        <f t="shared" si="18"/>
        <v>0.5</v>
      </c>
      <c r="AY26" s="17">
        <v>2</v>
      </c>
      <c r="AZ26" s="71">
        <f t="shared" si="19"/>
        <v>0.66666666666666663</v>
      </c>
      <c r="BA26" s="73">
        <v>0</v>
      </c>
      <c r="BB26" s="73">
        <v>0</v>
      </c>
      <c r="BC26" s="73">
        <v>0</v>
      </c>
      <c r="BD26" s="73">
        <v>1</v>
      </c>
      <c r="BE26" s="81">
        <f t="shared" si="20"/>
        <v>0.5</v>
      </c>
      <c r="BF26" s="81" t="str">
        <f t="shared" si="21"/>
        <v>MEDIO</v>
      </c>
    </row>
    <row r="27" spans="1:58" x14ac:dyDescent="0.15">
      <c r="A27" s="58">
        <v>2</v>
      </c>
      <c r="B27" s="58">
        <v>1</v>
      </c>
      <c r="C27" s="58">
        <v>2</v>
      </c>
      <c r="D27" s="58">
        <v>2</v>
      </c>
      <c r="E27" s="58">
        <v>1</v>
      </c>
      <c r="F27" s="18">
        <v>2</v>
      </c>
      <c r="G27" s="64">
        <f t="shared" si="0"/>
        <v>1</v>
      </c>
      <c r="H27" s="18">
        <v>1</v>
      </c>
      <c r="I27" s="64">
        <f t="shared" si="1"/>
        <v>0.5</v>
      </c>
      <c r="J27" s="18">
        <v>1</v>
      </c>
      <c r="K27" s="64">
        <f t="shared" si="2"/>
        <v>0.5</v>
      </c>
      <c r="L27" s="18">
        <v>3</v>
      </c>
      <c r="M27" s="64">
        <f t="shared" si="3"/>
        <v>1</v>
      </c>
      <c r="N27" s="18">
        <v>2</v>
      </c>
      <c r="O27" s="64">
        <f t="shared" si="4"/>
        <v>0.4</v>
      </c>
      <c r="P27" s="18">
        <v>3</v>
      </c>
      <c r="Q27" s="64">
        <f t="shared" si="5"/>
        <v>1</v>
      </c>
      <c r="R27" s="24">
        <v>3</v>
      </c>
      <c r="S27" s="71">
        <f t="shared" si="6"/>
        <v>1</v>
      </c>
      <c r="T27" s="18">
        <v>3</v>
      </c>
      <c r="U27" s="64">
        <f t="shared" si="7"/>
        <v>1</v>
      </c>
      <c r="V27" s="18">
        <v>1</v>
      </c>
      <c r="W27" s="71">
        <f t="shared" si="8"/>
        <v>0.25</v>
      </c>
      <c r="X27" s="18">
        <v>3</v>
      </c>
      <c r="Y27" s="71">
        <f t="shared" si="9"/>
        <v>1</v>
      </c>
      <c r="Z27" s="18">
        <v>3</v>
      </c>
      <c r="AA27" s="71">
        <f t="shared" si="10"/>
        <v>1</v>
      </c>
      <c r="AB27" s="18">
        <v>0</v>
      </c>
      <c r="AC27" s="71">
        <f t="shared" si="11"/>
        <v>0</v>
      </c>
      <c r="AD27" s="58">
        <v>0</v>
      </c>
      <c r="AE27" s="58">
        <v>1</v>
      </c>
      <c r="AF27" s="58">
        <v>1</v>
      </c>
      <c r="AG27" s="58">
        <v>0</v>
      </c>
      <c r="AH27" s="58">
        <v>0</v>
      </c>
      <c r="AI27" s="58">
        <v>0</v>
      </c>
      <c r="AJ27" s="19">
        <v>1</v>
      </c>
      <c r="AK27" s="71">
        <f t="shared" si="12"/>
        <v>0.5</v>
      </c>
      <c r="AL27" s="18">
        <v>3</v>
      </c>
      <c r="AM27" s="71">
        <f t="shared" si="13"/>
        <v>1</v>
      </c>
      <c r="AN27" s="18">
        <v>1</v>
      </c>
      <c r="AO27" s="71">
        <f t="shared" si="14"/>
        <v>0.33333333333333331</v>
      </c>
      <c r="AP27" s="18">
        <v>3</v>
      </c>
      <c r="AQ27" s="71">
        <f t="shared" si="15"/>
        <v>1</v>
      </c>
      <c r="AR27" s="58">
        <v>0</v>
      </c>
      <c r="AS27" s="18">
        <v>2</v>
      </c>
      <c r="AT27" s="71">
        <f t="shared" si="16"/>
        <v>0.66666666666666663</v>
      </c>
      <c r="AU27" s="18">
        <v>3</v>
      </c>
      <c r="AV27" s="71">
        <f t="shared" si="17"/>
        <v>1</v>
      </c>
      <c r="AW27" s="18">
        <v>0</v>
      </c>
      <c r="AX27" s="71">
        <f t="shared" si="18"/>
        <v>0</v>
      </c>
      <c r="AY27" s="18">
        <v>3</v>
      </c>
      <c r="AZ27" s="71">
        <f t="shared" si="19"/>
        <v>1</v>
      </c>
      <c r="BA27" s="74">
        <v>1</v>
      </c>
      <c r="BB27" s="74">
        <v>1</v>
      </c>
      <c r="BC27" s="74">
        <v>0</v>
      </c>
      <c r="BD27" s="74">
        <v>0</v>
      </c>
      <c r="BE27" s="81">
        <f t="shared" si="20"/>
        <v>0.75750000000000006</v>
      </c>
      <c r="BF27" s="81" t="str">
        <f t="shared" si="21"/>
        <v>ALTO</v>
      </c>
    </row>
    <row r="28" spans="1:58" x14ac:dyDescent="0.15">
      <c r="A28" s="57">
        <v>3</v>
      </c>
      <c r="B28" s="57">
        <v>1</v>
      </c>
      <c r="C28" s="57">
        <v>1</v>
      </c>
      <c r="D28" s="57">
        <v>2</v>
      </c>
      <c r="E28" s="58">
        <v>1</v>
      </c>
      <c r="F28" s="17">
        <v>1</v>
      </c>
      <c r="G28" s="64">
        <f t="shared" si="0"/>
        <v>0.5</v>
      </c>
      <c r="H28" s="17">
        <v>1</v>
      </c>
      <c r="I28" s="64">
        <f t="shared" si="1"/>
        <v>0.5</v>
      </c>
      <c r="J28" s="17">
        <v>1</v>
      </c>
      <c r="K28" s="64">
        <f t="shared" si="2"/>
        <v>0.5</v>
      </c>
      <c r="L28" s="17">
        <v>2</v>
      </c>
      <c r="M28" s="64">
        <f t="shared" si="3"/>
        <v>0.66666666666666663</v>
      </c>
      <c r="N28" s="17">
        <v>5</v>
      </c>
      <c r="O28" s="64">
        <f t="shared" si="4"/>
        <v>1</v>
      </c>
      <c r="P28" s="17">
        <v>0</v>
      </c>
      <c r="Q28" s="64">
        <f t="shared" si="5"/>
        <v>0</v>
      </c>
      <c r="R28" s="25">
        <v>3</v>
      </c>
      <c r="S28" s="71">
        <f t="shared" si="6"/>
        <v>1</v>
      </c>
      <c r="T28" s="17">
        <v>1</v>
      </c>
      <c r="U28" s="64">
        <f t="shared" si="7"/>
        <v>0.33333333333333331</v>
      </c>
      <c r="V28" s="17">
        <v>3</v>
      </c>
      <c r="W28" s="71">
        <f t="shared" si="8"/>
        <v>0.75</v>
      </c>
      <c r="X28" s="17">
        <v>1</v>
      </c>
      <c r="Y28" s="71">
        <f t="shared" si="9"/>
        <v>0.33333333333333331</v>
      </c>
      <c r="Z28" s="17">
        <v>0</v>
      </c>
      <c r="AA28" s="71">
        <f t="shared" si="10"/>
        <v>0</v>
      </c>
      <c r="AB28" s="17">
        <v>0</v>
      </c>
      <c r="AC28" s="71">
        <f t="shared" si="11"/>
        <v>0</v>
      </c>
      <c r="AD28" s="57">
        <v>1</v>
      </c>
      <c r="AE28" s="57">
        <v>0</v>
      </c>
      <c r="AF28" s="57">
        <v>1</v>
      </c>
      <c r="AG28" s="57">
        <v>0</v>
      </c>
      <c r="AH28" s="57">
        <v>0</v>
      </c>
      <c r="AI28" s="57">
        <v>0</v>
      </c>
      <c r="AJ28" s="20">
        <v>1</v>
      </c>
      <c r="AK28" s="71">
        <f t="shared" si="12"/>
        <v>0.5</v>
      </c>
      <c r="AL28" s="17">
        <v>3</v>
      </c>
      <c r="AM28" s="71">
        <f t="shared" si="13"/>
        <v>1</v>
      </c>
      <c r="AN28" s="17">
        <v>0</v>
      </c>
      <c r="AO28" s="71">
        <f t="shared" si="14"/>
        <v>0</v>
      </c>
      <c r="AP28" s="17">
        <v>2</v>
      </c>
      <c r="AQ28" s="71">
        <f t="shared" si="15"/>
        <v>0.66666666666666663</v>
      </c>
      <c r="AR28" s="57">
        <v>2</v>
      </c>
      <c r="AS28" s="17">
        <v>3</v>
      </c>
      <c r="AT28" s="71">
        <f t="shared" si="16"/>
        <v>1</v>
      </c>
      <c r="AU28" s="17">
        <v>2</v>
      </c>
      <c r="AV28" s="71">
        <f t="shared" si="17"/>
        <v>0.66666666666666663</v>
      </c>
      <c r="AW28" s="17">
        <v>1</v>
      </c>
      <c r="AX28" s="71">
        <f t="shared" si="18"/>
        <v>0.5</v>
      </c>
      <c r="AY28" s="17">
        <v>2</v>
      </c>
      <c r="AZ28" s="71">
        <f t="shared" si="19"/>
        <v>0.66666666666666663</v>
      </c>
      <c r="BA28" s="73">
        <v>0</v>
      </c>
      <c r="BB28" s="73">
        <v>1</v>
      </c>
      <c r="BC28" s="73">
        <v>1</v>
      </c>
      <c r="BD28" s="73">
        <v>0</v>
      </c>
      <c r="BE28" s="81">
        <f t="shared" si="20"/>
        <v>0.55416666666666647</v>
      </c>
      <c r="BF28" s="81" t="str">
        <f t="shared" si="21"/>
        <v>MEDIO</v>
      </c>
    </row>
    <row r="29" spans="1:58" x14ac:dyDescent="0.15">
      <c r="A29" s="58">
        <v>4</v>
      </c>
      <c r="B29" s="58">
        <v>2</v>
      </c>
      <c r="C29" s="58">
        <v>4</v>
      </c>
      <c r="D29" s="58">
        <v>2</v>
      </c>
      <c r="E29" s="58">
        <v>1</v>
      </c>
      <c r="F29" s="18">
        <v>1</v>
      </c>
      <c r="G29" s="64">
        <f t="shared" si="0"/>
        <v>0.5</v>
      </c>
      <c r="H29" s="18">
        <v>2</v>
      </c>
      <c r="I29" s="64">
        <f t="shared" si="1"/>
        <v>1</v>
      </c>
      <c r="J29" s="18">
        <v>1</v>
      </c>
      <c r="K29" s="64">
        <f t="shared" si="2"/>
        <v>0.5</v>
      </c>
      <c r="L29" s="18">
        <v>1</v>
      </c>
      <c r="M29" s="64">
        <f t="shared" si="3"/>
        <v>0.33333333333333331</v>
      </c>
      <c r="N29" s="18">
        <v>0</v>
      </c>
      <c r="O29" s="64">
        <f t="shared" si="4"/>
        <v>0</v>
      </c>
      <c r="P29" s="18">
        <v>2</v>
      </c>
      <c r="Q29" s="64">
        <f t="shared" si="5"/>
        <v>0.66666666666666663</v>
      </c>
      <c r="R29" s="24">
        <v>3</v>
      </c>
      <c r="S29" s="71">
        <f t="shared" si="6"/>
        <v>1</v>
      </c>
      <c r="T29" s="18">
        <v>2</v>
      </c>
      <c r="U29" s="64">
        <f t="shared" si="7"/>
        <v>0.66666666666666663</v>
      </c>
      <c r="V29" s="18">
        <v>3</v>
      </c>
      <c r="W29" s="71">
        <f t="shared" si="8"/>
        <v>0.75</v>
      </c>
      <c r="X29" s="18">
        <v>2</v>
      </c>
      <c r="Y29" s="71">
        <f t="shared" si="9"/>
        <v>0.66666666666666663</v>
      </c>
      <c r="Z29" s="18">
        <v>1</v>
      </c>
      <c r="AA29" s="71">
        <f t="shared" si="10"/>
        <v>0.33333333333333331</v>
      </c>
      <c r="AB29" s="18">
        <v>1</v>
      </c>
      <c r="AC29" s="71">
        <f t="shared" si="11"/>
        <v>0.5</v>
      </c>
      <c r="AD29" s="58">
        <v>1</v>
      </c>
      <c r="AE29" s="58">
        <v>0</v>
      </c>
      <c r="AF29" s="58">
        <v>0</v>
      </c>
      <c r="AG29" s="58">
        <v>1</v>
      </c>
      <c r="AH29" s="58">
        <v>0</v>
      </c>
      <c r="AI29" s="58">
        <v>0</v>
      </c>
      <c r="AJ29" s="19">
        <v>0</v>
      </c>
      <c r="AK29" s="71">
        <f t="shared" si="12"/>
        <v>0</v>
      </c>
      <c r="AL29" s="18">
        <v>1</v>
      </c>
      <c r="AM29" s="71">
        <f t="shared" si="13"/>
        <v>0.33333333333333331</v>
      </c>
      <c r="AN29" s="18">
        <v>1</v>
      </c>
      <c r="AO29" s="71">
        <f t="shared" si="14"/>
        <v>0.33333333333333331</v>
      </c>
      <c r="AP29" s="18">
        <v>1</v>
      </c>
      <c r="AQ29" s="71">
        <f t="shared" si="15"/>
        <v>0.33333333333333331</v>
      </c>
      <c r="AR29" s="58">
        <v>2</v>
      </c>
      <c r="AS29" s="18">
        <v>2</v>
      </c>
      <c r="AT29" s="71">
        <f t="shared" si="16"/>
        <v>0.66666666666666663</v>
      </c>
      <c r="AU29" s="18">
        <v>0</v>
      </c>
      <c r="AV29" s="71">
        <f t="shared" si="17"/>
        <v>0</v>
      </c>
      <c r="AW29" s="18">
        <v>1</v>
      </c>
      <c r="AX29" s="71">
        <f t="shared" si="18"/>
        <v>0.5</v>
      </c>
      <c r="AY29" s="18">
        <v>0</v>
      </c>
      <c r="AZ29" s="71">
        <f t="shared" si="19"/>
        <v>0</v>
      </c>
      <c r="BA29" s="74">
        <v>0</v>
      </c>
      <c r="BB29" s="74">
        <v>0</v>
      </c>
      <c r="BC29" s="74">
        <v>0</v>
      </c>
      <c r="BD29" s="74">
        <v>1</v>
      </c>
      <c r="BE29" s="81">
        <f t="shared" si="20"/>
        <v>0.47916666666666669</v>
      </c>
      <c r="BF29" s="81" t="str">
        <f t="shared" si="21"/>
        <v>MEDIO</v>
      </c>
    </row>
    <row r="30" spans="1:58" x14ac:dyDescent="0.15">
      <c r="A30" s="57">
        <v>3</v>
      </c>
      <c r="B30" s="57">
        <v>2</v>
      </c>
      <c r="C30" s="57">
        <v>4</v>
      </c>
      <c r="D30" s="57">
        <v>2</v>
      </c>
      <c r="E30" s="58">
        <v>1</v>
      </c>
      <c r="F30" s="17">
        <v>2</v>
      </c>
      <c r="G30" s="64">
        <f t="shared" si="0"/>
        <v>1</v>
      </c>
      <c r="H30" s="17">
        <v>2</v>
      </c>
      <c r="I30" s="64">
        <f t="shared" si="1"/>
        <v>1</v>
      </c>
      <c r="J30" s="17">
        <v>1</v>
      </c>
      <c r="K30" s="64">
        <f t="shared" si="2"/>
        <v>0.5</v>
      </c>
      <c r="L30" s="17">
        <v>3</v>
      </c>
      <c r="M30" s="64">
        <f t="shared" si="3"/>
        <v>1</v>
      </c>
      <c r="N30" s="17">
        <v>0</v>
      </c>
      <c r="O30" s="64">
        <f t="shared" si="4"/>
        <v>0</v>
      </c>
      <c r="P30" s="17">
        <v>2</v>
      </c>
      <c r="Q30" s="64">
        <f t="shared" si="5"/>
        <v>0.66666666666666663</v>
      </c>
      <c r="R30" s="25">
        <v>3</v>
      </c>
      <c r="S30" s="71">
        <f t="shared" si="6"/>
        <v>1</v>
      </c>
      <c r="T30" s="17">
        <v>2</v>
      </c>
      <c r="U30" s="64">
        <f t="shared" si="7"/>
        <v>0.66666666666666663</v>
      </c>
      <c r="V30" s="17">
        <v>3</v>
      </c>
      <c r="W30" s="71">
        <f t="shared" si="8"/>
        <v>0.75</v>
      </c>
      <c r="X30" s="17">
        <v>3</v>
      </c>
      <c r="Y30" s="71">
        <f t="shared" si="9"/>
        <v>1</v>
      </c>
      <c r="Z30" s="17">
        <v>1</v>
      </c>
      <c r="AA30" s="71">
        <f t="shared" si="10"/>
        <v>0.33333333333333331</v>
      </c>
      <c r="AB30" s="17">
        <v>2</v>
      </c>
      <c r="AC30" s="71">
        <f t="shared" si="11"/>
        <v>1</v>
      </c>
      <c r="AD30" s="57">
        <v>1</v>
      </c>
      <c r="AE30" s="57">
        <v>0</v>
      </c>
      <c r="AF30" s="57">
        <v>0</v>
      </c>
      <c r="AG30" s="57">
        <v>1</v>
      </c>
      <c r="AH30" s="57">
        <v>0</v>
      </c>
      <c r="AI30" s="57">
        <v>0</v>
      </c>
      <c r="AJ30" s="20">
        <v>1</v>
      </c>
      <c r="AK30" s="71">
        <f t="shared" si="12"/>
        <v>0.5</v>
      </c>
      <c r="AL30" s="17">
        <v>0</v>
      </c>
      <c r="AM30" s="71">
        <f t="shared" si="13"/>
        <v>0</v>
      </c>
      <c r="AN30" s="17">
        <v>2</v>
      </c>
      <c r="AO30" s="71">
        <f t="shared" si="14"/>
        <v>0.66666666666666663</v>
      </c>
      <c r="AP30" s="17">
        <v>3</v>
      </c>
      <c r="AQ30" s="71">
        <f t="shared" si="15"/>
        <v>1</v>
      </c>
      <c r="AR30" s="57">
        <v>2</v>
      </c>
      <c r="AS30" s="17">
        <v>2</v>
      </c>
      <c r="AT30" s="71">
        <f t="shared" si="16"/>
        <v>0.66666666666666663</v>
      </c>
      <c r="AU30" s="17">
        <v>2</v>
      </c>
      <c r="AV30" s="71">
        <f t="shared" si="17"/>
        <v>0.66666666666666663</v>
      </c>
      <c r="AW30" s="17">
        <v>1</v>
      </c>
      <c r="AX30" s="71">
        <f t="shared" si="18"/>
        <v>0.5</v>
      </c>
      <c r="AY30" s="17">
        <v>3</v>
      </c>
      <c r="AZ30" s="71">
        <f t="shared" si="19"/>
        <v>1</v>
      </c>
      <c r="BA30" s="73">
        <v>0</v>
      </c>
      <c r="BB30" s="73">
        <v>1</v>
      </c>
      <c r="BC30" s="73">
        <v>1</v>
      </c>
      <c r="BD30" s="73">
        <v>0</v>
      </c>
      <c r="BE30" s="81">
        <f t="shared" si="20"/>
        <v>0.74583333333333335</v>
      </c>
      <c r="BF30" s="81" t="str">
        <f t="shared" si="21"/>
        <v>ALTO</v>
      </c>
    </row>
    <row r="31" spans="1:58" x14ac:dyDescent="0.15">
      <c r="A31" s="58">
        <v>2</v>
      </c>
      <c r="B31" s="58">
        <v>2</v>
      </c>
      <c r="C31" s="58">
        <v>3</v>
      </c>
      <c r="D31" s="58">
        <v>2</v>
      </c>
      <c r="E31" s="58">
        <v>1</v>
      </c>
      <c r="F31" s="18">
        <v>2</v>
      </c>
      <c r="G31" s="64">
        <f t="shared" si="0"/>
        <v>1</v>
      </c>
      <c r="H31" s="18">
        <v>2</v>
      </c>
      <c r="I31" s="64">
        <f t="shared" si="1"/>
        <v>1</v>
      </c>
      <c r="J31" s="18">
        <v>2</v>
      </c>
      <c r="K31" s="64">
        <f t="shared" si="2"/>
        <v>1</v>
      </c>
      <c r="L31" s="18">
        <v>0</v>
      </c>
      <c r="M31" s="64">
        <f t="shared" si="3"/>
        <v>0</v>
      </c>
      <c r="N31" s="18">
        <v>2</v>
      </c>
      <c r="O31" s="64">
        <f t="shared" si="4"/>
        <v>0.4</v>
      </c>
      <c r="P31" s="18">
        <v>3</v>
      </c>
      <c r="Q31" s="64">
        <f t="shared" si="5"/>
        <v>1</v>
      </c>
      <c r="R31" s="24">
        <v>3</v>
      </c>
      <c r="S31" s="71">
        <f t="shared" si="6"/>
        <v>1</v>
      </c>
      <c r="T31" s="18">
        <v>3</v>
      </c>
      <c r="U31" s="64">
        <f t="shared" si="7"/>
        <v>1</v>
      </c>
      <c r="V31" s="18">
        <v>2</v>
      </c>
      <c r="W31" s="71">
        <f t="shared" si="8"/>
        <v>0.5</v>
      </c>
      <c r="X31" s="18">
        <v>2</v>
      </c>
      <c r="Y31" s="71">
        <f t="shared" si="9"/>
        <v>0.66666666666666663</v>
      </c>
      <c r="Z31" s="18">
        <v>3</v>
      </c>
      <c r="AA31" s="71">
        <f t="shared" si="10"/>
        <v>1</v>
      </c>
      <c r="AB31" s="18">
        <v>2</v>
      </c>
      <c r="AC31" s="71">
        <f t="shared" si="11"/>
        <v>1</v>
      </c>
      <c r="AD31" s="58">
        <v>0</v>
      </c>
      <c r="AE31" s="58">
        <v>1</v>
      </c>
      <c r="AF31" s="58">
        <v>1</v>
      </c>
      <c r="AG31" s="58">
        <v>0</v>
      </c>
      <c r="AH31" s="58">
        <v>0</v>
      </c>
      <c r="AI31" s="58">
        <v>0</v>
      </c>
      <c r="AJ31" s="19">
        <v>2</v>
      </c>
      <c r="AK31" s="71">
        <f t="shared" si="12"/>
        <v>1</v>
      </c>
      <c r="AL31" s="18">
        <v>3</v>
      </c>
      <c r="AM31" s="71">
        <f t="shared" si="13"/>
        <v>1</v>
      </c>
      <c r="AN31" s="18">
        <v>1</v>
      </c>
      <c r="AO31" s="71">
        <f t="shared" si="14"/>
        <v>0.33333333333333331</v>
      </c>
      <c r="AP31" s="18">
        <v>2</v>
      </c>
      <c r="AQ31" s="71">
        <f t="shared" si="15"/>
        <v>0.66666666666666663</v>
      </c>
      <c r="AR31" s="58">
        <v>1</v>
      </c>
      <c r="AS31" s="18">
        <v>2</v>
      </c>
      <c r="AT31" s="71">
        <f t="shared" si="16"/>
        <v>0.66666666666666663</v>
      </c>
      <c r="AU31" s="18">
        <v>3</v>
      </c>
      <c r="AV31" s="71">
        <f t="shared" si="17"/>
        <v>1</v>
      </c>
      <c r="AW31" s="18">
        <v>1</v>
      </c>
      <c r="AX31" s="71">
        <f t="shared" si="18"/>
        <v>0.5</v>
      </c>
      <c r="AY31" s="18">
        <v>3</v>
      </c>
      <c r="AZ31" s="71">
        <f t="shared" si="19"/>
        <v>1</v>
      </c>
      <c r="BA31" s="74">
        <v>0</v>
      </c>
      <c r="BB31" s="74">
        <v>1</v>
      </c>
      <c r="BC31" s="74">
        <v>1</v>
      </c>
      <c r="BD31" s="74">
        <v>0</v>
      </c>
      <c r="BE31" s="81">
        <f t="shared" si="20"/>
        <v>0.83666666666666667</v>
      </c>
      <c r="BF31" s="81" t="str">
        <f t="shared" si="21"/>
        <v>ALTO</v>
      </c>
    </row>
    <row r="32" spans="1:58" x14ac:dyDescent="0.15">
      <c r="A32" s="57">
        <v>3</v>
      </c>
      <c r="B32" s="57">
        <v>2</v>
      </c>
      <c r="C32" s="57">
        <v>3</v>
      </c>
      <c r="D32" s="57">
        <v>2</v>
      </c>
      <c r="E32" s="58">
        <v>1</v>
      </c>
      <c r="F32" s="17">
        <v>1</v>
      </c>
      <c r="G32" s="64">
        <f t="shared" si="0"/>
        <v>0.5</v>
      </c>
      <c r="H32" s="17">
        <v>1</v>
      </c>
      <c r="I32" s="64">
        <f t="shared" si="1"/>
        <v>0.5</v>
      </c>
      <c r="J32" s="17">
        <v>1</v>
      </c>
      <c r="K32" s="64">
        <f t="shared" si="2"/>
        <v>0.5</v>
      </c>
      <c r="L32" s="17">
        <v>0</v>
      </c>
      <c r="M32" s="64">
        <f t="shared" si="3"/>
        <v>0</v>
      </c>
      <c r="N32" s="17">
        <v>2</v>
      </c>
      <c r="O32" s="64">
        <f t="shared" si="4"/>
        <v>0.4</v>
      </c>
      <c r="P32" s="17">
        <v>0</v>
      </c>
      <c r="Q32" s="64">
        <f t="shared" si="5"/>
        <v>0</v>
      </c>
      <c r="R32" s="25">
        <v>0</v>
      </c>
      <c r="S32" s="71">
        <f t="shared" si="6"/>
        <v>0</v>
      </c>
      <c r="T32" s="17">
        <v>3</v>
      </c>
      <c r="U32" s="64">
        <f t="shared" si="7"/>
        <v>1</v>
      </c>
      <c r="V32" s="17">
        <v>3</v>
      </c>
      <c r="W32" s="71">
        <f t="shared" si="8"/>
        <v>0.75</v>
      </c>
      <c r="X32" s="17">
        <v>2</v>
      </c>
      <c r="Y32" s="71">
        <f t="shared" si="9"/>
        <v>0.66666666666666663</v>
      </c>
      <c r="Z32" s="17">
        <v>0</v>
      </c>
      <c r="AA32" s="71">
        <f t="shared" si="10"/>
        <v>0</v>
      </c>
      <c r="AB32" s="17">
        <v>2</v>
      </c>
      <c r="AC32" s="71">
        <f t="shared" si="11"/>
        <v>1</v>
      </c>
      <c r="AD32" s="57">
        <v>0</v>
      </c>
      <c r="AE32" s="57">
        <v>1</v>
      </c>
      <c r="AF32" s="57">
        <v>0</v>
      </c>
      <c r="AG32" s="57">
        <v>1</v>
      </c>
      <c r="AH32" s="57">
        <v>0</v>
      </c>
      <c r="AI32" s="57">
        <v>0</v>
      </c>
      <c r="AJ32" s="20">
        <v>1</v>
      </c>
      <c r="AK32" s="71">
        <f t="shared" si="12"/>
        <v>0.5</v>
      </c>
      <c r="AL32" s="17">
        <v>1</v>
      </c>
      <c r="AM32" s="71">
        <f t="shared" si="13"/>
        <v>0.33333333333333331</v>
      </c>
      <c r="AN32" s="17">
        <v>0</v>
      </c>
      <c r="AO32" s="71">
        <f t="shared" si="14"/>
        <v>0</v>
      </c>
      <c r="AP32" s="17">
        <v>0</v>
      </c>
      <c r="AQ32" s="71">
        <f t="shared" si="15"/>
        <v>0</v>
      </c>
      <c r="AR32" s="57">
        <v>2</v>
      </c>
      <c r="AS32" s="17">
        <v>3</v>
      </c>
      <c r="AT32" s="71">
        <f t="shared" si="16"/>
        <v>1</v>
      </c>
      <c r="AU32" s="17">
        <v>3</v>
      </c>
      <c r="AV32" s="71">
        <f t="shared" si="17"/>
        <v>1</v>
      </c>
      <c r="AW32" s="17">
        <v>0</v>
      </c>
      <c r="AX32" s="71">
        <f t="shared" si="18"/>
        <v>0</v>
      </c>
      <c r="AY32" s="17">
        <v>2</v>
      </c>
      <c r="AZ32" s="71">
        <f t="shared" si="19"/>
        <v>0.66666666666666663</v>
      </c>
      <c r="BA32" s="73">
        <v>1</v>
      </c>
      <c r="BB32" s="73">
        <v>0</v>
      </c>
      <c r="BC32" s="73">
        <v>1</v>
      </c>
      <c r="BD32" s="73">
        <v>0</v>
      </c>
      <c r="BE32" s="81">
        <f t="shared" si="20"/>
        <v>0.46583333333333332</v>
      </c>
      <c r="BF32" s="81" t="str">
        <f t="shared" si="21"/>
        <v>MEDIO</v>
      </c>
    </row>
    <row r="33" spans="1:58" x14ac:dyDescent="0.15">
      <c r="A33" s="58">
        <v>2</v>
      </c>
      <c r="B33" s="58">
        <v>1</v>
      </c>
      <c r="C33" s="58">
        <v>1</v>
      </c>
      <c r="D33" s="58">
        <v>2</v>
      </c>
      <c r="E33" s="58">
        <v>1</v>
      </c>
      <c r="F33" s="18">
        <v>1</v>
      </c>
      <c r="G33" s="64">
        <f t="shared" si="0"/>
        <v>0.5</v>
      </c>
      <c r="H33" s="18">
        <v>1</v>
      </c>
      <c r="I33" s="64">
        <f t="shared" si="1"/>
        <v>0.5</v>
      </c>
      <c r="J33" s="18">
        <v>2</v>
      </c>
      <c r="K33" s="64">
        <f t="shared" si="2"/>
        <v>1</v>
      </c>
      <c r="L33" s="18">
        <v>3</v>
      </c>
      <c r="M33" s="64">
        <f t="shared" si="3"/>
        <v>1</v>
      </c>
      <c r="N33" s="18">
        <v>1</v>
      </c>
      <c r="O33" s="64">
        <f t="shared" si="4"/>
        <v>0.2</v>
      </c>
      <c r="P33" s="18">
        <v>0</v>
      </c>
      <c r="Q33" s="64">
        <f t="shared" si="5"/>
        <v>0</v>
      </c>
      <c r="R33" s="24">
        <v>3</v>
      </c>
      <c r="S33" s="71">
        <f t="shared" si="6"/>
        <v>1</v>
      </c>
      <c r="T33" s="18">
        <v>2</v>
      </c>
      <c r="U33" s="64">
        <f t="shared" si="7"/>
        <v>0.66666666666666663</v>
      </c>
      <c r="V33" s="18">
        <v>3</v>
      </c>
      <c r="W33" s="71">
        <f t="shared" si="8"/>
        <v>0.75</v>
      </c>
      <c r="X33" s="18">
        <v>3</v>
      </c>
      <c r="Y33" s="71">
        <f t="shared" si="9"/>
        <v>1</v>
      </c>
      <c r="Z33" s="18">
        <v>3</v>
      </c>
      <c r="AA33" s="71">
        <f t="shared" si="10"/>
        <v>1</v>
      </c>
      <c r="AB33" s="18">
        <v>2</v>
      </c>
      <c r="AC33" s="71">
        <f t="shared" si="11"/>
        <v>1</v>
      </c>
      <c r="AD33" s="58">
        <v>1</v>
      </c>
      <c r="AE33" s="58">
        <v>1</v>
      </c>
      <c r="AF33" s="58">
        <v>0</v>
      </c>
      <c r="AG33" s="58">
        <v>0</v>
      </c>
      <c r="AH33" s="58">
        <v>0</v>
      </c>
      <c r="AI33" s="58">
        <v>0</v>
      </c>
      <c r="AJ33" s="19">
        <v>1</v>
      </c>
      <c r="AK33" s="71">
        <f t="shared" si="12"/>
        <v>0.5</v>
      </c>
      <c r="AL33" s="18">
        <v>2</v>
      </c>
      <c r="AM33" s="71">
        <f t="shared" si="13"/>
        <v>0.66666666666666663</v>
      </c>
      <c r="AN33" s="18">
        <v>1</v>
      </c>
      <c r="AO33" s="71">
        <f t="shared" si="14"/>
        <v>0.33333333333333331</v>
      </c>
      <c r="AP33" s="18">
        <v>2</v>
      </c>
      <c r="AQ33" s="71">
        <f t="shared" si="15"/>
        <v>0.66666666666666663</v>
      </c>
      <c r="AR33" s="58">
        <v>0</v>
      </c>
      <c r="AS33" s="18">
        <v>2</v>
      </c>
      <c r="AT33" s="71">
        <f t="shared" si="16"/>
        <v>0.66666666666666663</v>
      </c>
      <c r="AU33" s="18">
        <v>2</v>
      </c>
      <c r="AV33" s="71">
        <f t="shared" si="17"/>
        <v>0.66666666666666663</v>
      </c>
      <c r="AW33" s="18">
        <v>1</v>
      </c>
      <c r="AX33" s="71">
        <f t="shared" si="18"/>
        <v>0.5</v>
      </c>
      <c r="AY33" s="18">
        <v>2</v>
      </c>
      <c r="AZ33" s="71">
        <f t="shared" si="19"/>
        <v>0.66666666666666663</v>
      </c>
      <c r="BA33" s="74">
        <v>0</v>
      </c>
      <c r="BB33" s="74">
        <v>1</v>
      </c>
      <c r="BC33" s="74">
        <v>1</v>
      </c>
      <c r="BD33" s="74">
        <v>0</v>
      </c>
      <c r="BE33" s="81">
        <f t="shared" si="20"/>
        <v>0.68916666666666659</v>
      </c>
      <c r="BF33" s="81" t="str">
        <f t="shared" si="21"/>
        <v>ALTO</v>
      </c>
    </row>
    <row r="34" spans="1:58" x14ac:dyDescent="0.15">
      <c r="A34" s="57">
        <v>3</v>
      </c>
      <c r="B34" s="57">
        <v>1</v>
      </c>
      <c r="C34" s="57">
        <v>1</v>
      </c>
      <c r="D34" s="57">
        <v>2</v>
      </c>
      <c r="E34" s="58">
        <v>1</v>
      </c>
      <c r="F34" s="17">
        <v>0</v>
      </c>
      <c r="G34" s="64">
        <f t="shared" si="0"/>
        <v>0</v>
      </c>
      <c r="H34" s="17">
        <v>1</v>
      </c>
      <c r="I34" s="64">
        <f t="shared" si="1"/>
        <v>0.5</v>
      </c>
      <c r="J34" s="17">
        <v>1</v>
      </c>
      <c r="K34" s="64">
        <f t="shared" si="2"/>
        <v>0.5</v>
      </c>
      <c r="L34" s="17">
        <v>2</v>
      </c>
      <c r="M34" s="64">
        <f t="shared" si="3"/>
        <v>0.66666666666666663</v>
      </c>
      <c r="N34" s="17">
        <v>0</v>
      </c>
      <c r="O34" s="64">
        <f t="shared" si="4"/>
        <v>0</v>
      </c>
      <c r="P34" s="17">
        <v>3</v>
      </c>
      <c r="Q34" s="64">
        <f t="shared" si="5"/>
        <v>1</v>
      </c>
      <c r="R34" s="25">
        <v>2</v>
      </c>
      <c r="S34" s="71">
        <f t="shared" si="6"/>
        <v>0.66666666666666663</v>
      </c>
      <c r="T34" s="17">
        <v>2</v>
      </c>
      <c r="U34" s="64">
        <f t="shared" si="7"/>
        <v>0.66666666666666663</v>
      </c>
      <c r="V34" s="17">
        <v>3</v>
      </c>
      <c r="W34" s="71">
        <f t="shared" si="8"/>
        <v>0.75</v>
      </c>
      <c r="X34" s="17">
        <v>2</v>
      </c>
      <c r="Y34" s="71">
        <f t="shared" si="9"/>
        <v>0.66666666666666663</v>
      </c>
      <c r="Z34" s="17">
        <v>2</v>
      </c>
      <c r="AA34" s="71">
        <f t="shared" si="10"/>
        <v>0.66666666666666663</v>
      </c>
      <c r="AB34" s="17">
        <v>1</v>
      </c>
      <c r="AC34" s="71">
        <f t="shared" si="11"/>
        <v>0.5</v>
      </c>
      <c r="AD34" s="57">
        <v>1</v>
      </c>
      <c r="AE34" s="57">
        <v>0</v>
      </c>
      <c r="AF34" s="57">
        <v>1</v>
      </c>
      <c r="AG34" s="57">
        <v>0</v>
      </c>
      <c r="AH34" s="57">
        <v>0</v>
      </c>
      <c r="AI34" s="57">
        <v>0</v>
      </c>
      <c r="AJ34" s="20">
        <v>1</v>
      </c>
      <c r="AK34" s="71">
        <f t="shared" si="12"/>
        <v>0.5</v>
      </c>
      <c r="AL34" s="17">
        <v>1</v>
      </c>
      <c r="AM34" s="71">
        <f t="shared" si="13"/>
        <v>0.33333333333333331</v>
      </c>
      <c r="AN34" s="17">
        <v>0</v>
      </c>
      <c r="AO34" s="71">
        <f t="shared" si="14"/>
        <v>0</v>
      </c>
      <c r="AP34" s="17">
        <v>1</v>
      </c>
      <c r="AQ34" s="71">
        <f t="shared" si="15"/>
        <v>0.33333333333333331</v>
      </c>
      <c r="AR34" s="57">
        <v>2</v>
      </c>
      <c r="AS34" s="17">
        <v>3</v>
      </c>
      <c r="AT34" s="71">
        <f t="shared" si="16"/>
        <v>1</v>
      </c>
      <c r="AU34" s="17">
        <v>2</v>
      </c>
      <c r="AV34" s="71">
        <f t="shared" si="17"/>
        <v>0.66666666666666663</v>
      </c>
      <c r="AW34" s="17">
        <v>0</v>
      </c>
      <c r="AX34" s="71">
        <f t="shared" si="18"/>
        <v>0</v>
      </c>
      <c r="AY34" s="17">
        <v>0</v>
      </c>
      <c r="AZ34" s="71">
        <f t="shared" si="19"/>
        <v>0</v>
      </c>
      <c r="BA34" s="73">
        <v>0</v>
      </c>
      <c r="BB34" s="73">
        <v>0</v>
      </c>
      <c r="BC34" s="73">
        <v>1</v>
      </c>
      <c r="BD34" s="73">
        <v>0</v>
      </c>
      <c r="BE34" s="81">
        <f t="shared" si="20"/>
        <v>0.47083333333333333</v>
      </c>
      <c r="BF34" s="81" t="str">
        <f t="shared" si="21"/>
        <v>MEDIO</v>
      </c>
    </row>
    <row r="35" spans="1:58" x14ac:dyDescent="0.15">
      <c r="A35" s="58">
        <v>2</v>
      </c>
      <c r="B35" s="58">
        <v>1</v>
      </c>
      <c r="C35" s="58">
        <v>1</v>
      </c>
      <c r="D35" s="58">
        <v>2</v>
      </c>
      <c r="E35" s="58">
        <v>1</v>
      </c>
      <c r="F35" s="18">
        <v>1</v>
      </c>
      <c r="G35" s="64">
        <f t="shared" si="0"/>
        <v>0.5</v>
      </c>
      <c r="H35" s="18">
        <v>1</v>
      </c>
      <c r="I35" s="64">
        <f t="shared" si="1"/>
        <v>0.5</v>
      </c>
      <c r="J35" s="18">
        <v>1</v>
      </c>
      <c r="K35" s="64">
        <f t="shared" si="2"/>
        <v>0.5</v>
      </c>
      <c r="L35" s="18">
        <v>2</v>
      </c>
      <c r="M35" s="64">
        <f t="shared" si="3"/>
        <v>0.66666666666666663</v>
      </c>
      <c r="N35" s="18">
        <v>2</v>
      </c>
      <c r="O35" s="64">
        <f t="shared" si="4"/>
        <v>0.4</v>
      </c>
      <c r="P35" s="18">
        <v>3</v>
      </c>
      <c r="Q35" s="64">
        <f t="shared" si="5"/>
        <v>1</v>
      </c>
      <c r="R35" s="24">
        <v>2</v>
      </c>
      <c r="S35" s="71">
        <f t="shared" si="6"/>
        <v>0.66666666666666663</v>
      </c>
      <c r="T35" s="18">
        <v>2</v>
      </c>
      <c r="U35" s="64">
        <f t="shared" si="7"/>
        <v>0.66666666666666663</v>
      </c>
      <c r="V35" s="18">
        <v>3</v>
      </c>
      <c r="W35" s="71">
        <f t="shared" si="8"/>
        <v>0.75</v>
      </c>
      <c r="X35" s="18">
        <v>2</v>
      </c>
      <c r="Y35" s="71">
        <f t="shared" si="9"/>
        <v>0.66666666666666663</v>
      </c>
      <c r="Z35" s="18">
        <v>1</v>
      </c>
      <c r="AA35" s="71">
        <f t="shared" si="10"/>
        <v>0.33333333333333331</v>
      </c>
      <c r="AB35" s="18">
        <v>2</v>
      </c>
      <c r="AC35" s="71">
        <f t="shared" si="11"/>
        <v>1</v>
      </c>
      <c r="AD35" s="58">
        <v>1</v>
      </c>
      <c r="AE35" s="58">
        <v>0</v>
      </c>
      <c r="AF35" s="58">
        <v>1</v>
      </c>
      <c r="AG35" s="58">
        <v>0</v>
      </c>
      <c r="AH35" s="58">
        <v>0</v>
      </c>
      <c r="AI35" s="58">
        <v>0</v>
      </c>
      <c r="AJ35" s="19">
        <v>1</v>
      </c>
      <c r="AK35" s="71">
        <f t="shared" si="12"/>
        <v>0.5</v>
      </c>
      <c r="AL35" s="18">
        <v>1</v>
      </c>
      <c r="AM35" s="71">
        <f t="shared" si="13"/>
        <v>0.33333333333333331</v>
      </c>
      <c r="AN35" s="18">
        <v>1</v>
      </c>
      <c r="AO35" s="71">
        <f t="shared" si="14"/>
        <v>0.33333333333333331</v>
      </c>
      <c r="AP35" s="18">
        <v>2</v>
      </c>
      <c r="AQ35" s="71">
        <f t="shared" si="15"/>
        <v>0.66666666666666663</v>
      </c>
      <c r="AR35" s="58">
        <v>2</v>
      </c>
      <c r="AS35" s="18">
        <v>3</v>
      </c>
      <c r="AT35" s="71">
        <f t="shared" si="16"/>
        <v>1</v>
      </c>
      <c r="AU35" s="18">
        <v>2</v>
      </c>
      <c r="AV35" s="71">
        <f t="shared" si="17"/>
        <v>0.66666666666666663</v>
      </c>
      <c r="AW35" s="18">
        <v>0</v>
      </c>
      <c r="AX35" s="71">
        <f t="shared" si="18"/>
        <v>0</v>
      </c>
      <c r="AY35" s="18">
        <v>2</v>
      </c>
      <c r="AZ35" s="71">
        <f t="shared" si="19"/>
        <v>0.66666666666666663</v>
      </c>
      <c r="BA35" s="74">
        <v>0</v>
      </c>
      <c r="BB35" s="74">
        <v>1</v>
      </c>
      <c r="BC35" s="74">
        <v>1</v>
      </c>
      <c r="BD35" s="74">
        <v>0</v>
      </c>
      <c r="BE35" s="81">
        <f t="shared" si="20"/>
        <v>0.61583333333333334</v>
      </c>
      <c r="BF35" s="81" t="str">
        <f t="shared" si="21"/>
        <v>MEDIO</v>
      </c>
    </row>
    <row r="36" spans="1:58" x14ac:dyDescent="0.15">
      <c r="A36" s="57">
        <v>3</v>
      </c>
      <c r="B36" s="57">
        <v>1</v>
      </c>
      <c r="C36" s="57">
        <v>2</v>
      </c>
      <c r="D36" s="57">
        <v>2</v>
      </c>
      <c r="E36" s="58">
        <v>1</v>
      </c>
      <c r="F36" s="17">
        <v>2</v>
      </c>
      <c r="G36" s="64">
        <f t="shared" si="0"/>
        <v>1</v>
      </c>
      <c r="H36" s="17">
        <v>2</v>
      </c>
      <c r="I36" s="64">
        <f t="shared" si="1"/>
        <v>1</v>
      </c>
      <c r="J36" s="17">
        <v>2</v>
      </c>
      <c r="K36" s="64">
        <f t="shared" si="2"/>
        <v>1</v>
      </c>
      <c r="L36" s="17">
        <v>3</v>
      </c>
      <c r="M36" s="64">
        <f t="shared" si="3"/>
        <v>1</v>
      </c>
      <c r="N36" s="17">
        <v>2</v>
      </c>
      <c r="O36" s="64">
        <f t="shared" si="4"/>
        <v>0.4</v>
      </c>
      <c r="P36" s="17">
        <v>0</v>
      </c>
      <c r="Q36" s="64">
        <f t="shared" si="5"/>
        <v>0</v>
      </c>
      <c r="R36" s="25">
        <v>3</v>
      </c>
      <c r="S36" s="71">
        <f t="shared" si="6"/>
        <v>1</v>
      </c>
      <c r="T36" s="17">
        <v>3</v>
      </c>
      <c r="U36" s="64">
        <f t="shared" si="7"/>
        <v>1</v>
      </c>
      <c r="V36" s="17">
        <v>3</v>
      </c>
      <c r="W36" s="71">
        <f t="shared" si="8"/>
        <v>0.75</v>
      </c>
      <c r="X36" s="17">
        <v>2</v>
      </c>
      <c r="Y36" s="71">
        <f t="shared" si="9"/>
        <v>0.66666666666666663</v>
      </c>
      <c r="Z36" s="17">
        <v>1</v>
      </c>
      <c r="AA36" s="71">
        <f t="shared" si="10"/>
        <v>0.33333333333333331</v>
      </c>
      <c r="AB36" s="17">
        <v>1</v>
      </c>
      <c r="AC36" s="71">
        <f t="shared" si="11"/>
        <v>0.5</v>
      </c>
      <c r="AD36" s="57">
        <v>1</v>
      </c>
      <c r="AE36" s="57">
        <v>0</v>
      </c>
      <c r="AF36" s="57">
        <v>0</v>
      </c>
      <c r="AG36" s="57">
        <v>1</v>
      </c>
      <c r="AH36" s="57">
        <v>0</v>
      </c>
      <c r="AI36" s="57">
        <v>0</v>
      </c>
      <c r="AJ36" s="20">
        <v>1</v>
      </c>
      <c r="AK36" s="71">
        <f t="shared" si="12"/>
        <v>0.5</v>
      </c>
      <c r="AL36" s="17">
        <v>2</v>
      </c>
      <c r="AM36" s="71">
        <f t="shared" si="13"/>
        <v>0.66666666666666663</v>
      </c>
      <c r="AN36" s="17">
        <v>2</v>
      </c>
      <c r="AO36" s="71">
        <f t="shared" si="14"/>
        <v>0.66666666666666663</v>
      </c>
      <c r="AP36" s="17">
        <v>3</v>
      </c>
      <c r="AQ36" s="71">
        <f t="shared" si="15"/>
        <v>1</v>
      </c>
      <c r="AR36" s="57">
        <v>0</v>
      </c>
      <c r="AS36" s="17">
        <v>3</v>
      </c>
      <c r="AT36" s="71">
        <f t="shared" si="16"/>
        <v>1</v>
      </c>
      <c r="AU36" s="17">
        <v>2</v>
      </c>
      <c r="AV36" s="71">
        <f t="shared" si="17"/>
        <v>0.66666666666666663</v>
      </c>
      <c r="AW36" s="17">
        <v>0</v>
      </c>
      <c r="AX36" s="71">
        <f t="shared" si="18"/>
        <v>0</v>
      </c>
      <c r="AY36" s="17">
        <v>2</v>
      </c>
      <c r="AZ36" s="71">
        <f t="shared" si="19"/>
        <v>0.66666666666666663</v>
      </c>
      <c r="BA36" s="73">
        <v>0</v>
      </c>
      <c r="BB36" s="73">
        <v>1</v>
      </c>
      <c r="BC36" s="73">
        <v>1</v>
      </c>
      <c r="BD36" s="73">
        <v>0</v>
      </c>
      <c r="BE36" s="81">
        <f t="shared" si="20"/>
        <v>0.74083333333333323</v>
      </c>
      <c r="BF36" s="81" t="str">
        <f t="shared" si="21"/>
        <v>ALTO</v>
      </c>
    </row>
    <row r="37" spans="1:58" x14ac:dyDescent="0.15">
      <c r="A37" s="58">
        <v>1</v>
      </c>
      <c r="B37" s="58">
        <v>1</v>
      </c>
      <c r="C37" s="58">
        <v>1</v>
      </c>
      <c r="D37" s="58">
        <v>2</v>
      </c>
      <c r="E37" s="58">
        <v>1</v>
      </c>
      <c r="F37" s="18">
        <v>1</v>
      </c>
      <c r="G37" s="64">
        <f t="shared" si="0"/>
        <v>0.5</v>
      </c>
      <c r="H37" s="18">
        <v>1</v>
      </c>
      <c r="I37" s="64">
        <f t="shared" si="1"/>
        <v>0.5</v>
      </c>
      <c r="J37" s="18">
        <v>1</v>
      </c>
      <c r="K37" s="64">
        <f t="shared" si="2"/>
        <v>0.5</v>
      </c>
      <c r="L37" s="18">
        <v>2</v>
      </c>
      <c r="M37" s="64">
        <f t="shared" si="3"/>
        <v>0.66666666666666663</v>
      </c>
      <c r="N37" s="18">
        <v>0</v>
      </c>
      <c r="O37" s="64">
        <f t="shared" si="4"/>
        <v>0</v>
      </c>
      <c r="P37" s="18">
        <v>3</v>
      </c>
      <c r="Q37" s="64">
        <f t="shared" si="5"/>
        <v>1</v>
      </c>
      <c r="R37" s="24">
        <v>0</v>
      </c>
      <c r="S37" s="71">
        <f t="shared" si="6"/>
        <v>0</v>
      </c>
      <c r="T37" s="18">
        <v>2</v>
      </c>
      <c r="U37" s="64">
        <f t="shared" si="7"/>
        <v>0.66666666666666663</v>
      </c>
      <c r="V37" s="18">
        <v>3</v>
      </c>
      <c r="W37" s="71">
        <f t="shared" si="8"/>
        <v>0.75</v>
      </c>
      <c r="X37" s="18">
        <v>2</v>
      </c>
      <c r="Y37" s="71">
        <f t="shared" si="9"/>
        <v>0.66666666666666663</v>
      </c>
      <c r="Z37" s="18">
        <v>3</v>
      </c>
      <c r="AA37" s="71">
        <f t="shared" si="10"/>
        <v>1</v>
      </c>
      <c r="AB37" s="18">
        <v>0</v>
      </c>
      <c r="AC37" s="71">
        <f t="shared" si="11"/>
        <v>0</v>
      </c>
      <c r="AD37" s="58">
        <v>1</v>
      </c>
      <c r="AE37" s="58">
        <v>0</v>
      </c>
      <c r="AF37" s="58">
        <v>1</v>
      </c>
      <c r="AG37" s="58">
        <v>0</v>
      </c>
      <c r="AH37" s="58">
        <v>0</v>
      </c>
      <c r="AI37" s="58">
        <v>0</v>
      </c>
      <c r="AJ37" s="19">
        <v>1</v>
      </c>
      <c r="AK37" s="71">
        <f t="shared" si="12"/>
        <v>0.5</v>
      </c>
      <c r="AL37" s="18">
        <v>2</v>
      </c>
      <c r="AM37" s="71">
        <f t="shared" si="13"/>
        <v>0.66666666666666663</v>
      </c>
      <c r="AN37" s="18">
        <v>1</v>
      </c>
      <c r="AO37" s="71">
        <f t="shared" si="14"/>
        <v>0.33333333333333331</v>
      </c>
      <c r="AP37" s="18">
        <v>3</v>
      </c>
      <c r="AQ37" s="71">
        <f t="shared" si="15"/>
        <v>1</v>
      </c>
      <c r="AR37" s="58">
        <v>1</v>
      </c>
      <c r="AS37" s="18">
        <v>3</v>
      </c>
      <c r="AT37" s="71">
        <f t="shared" si="16"/>
        <v>1</v>
      </c>
      <c r="AU37" s="18">
        <v>3</v>
      </c>
      <c r="AV37" s="71">
        <f t="shared" si="17"/>
        <v>1</v>
      </c>
      <c r="AW37" s="18">
        <v>0</v>
      </c>
      <c r="AX37" s="71">
        <f t="shared" si="18"/>
        <v>0</v>
      </c>
      <c r="AY37" s="18">
        <v>0</v>
      </c>
      <c r="AZ37" s="71">
        <f t="shared" si="19"/>
        <v>0</v>
      </c>
      <c r="BA37" s="74">
        <v>0</v>
      </c>
      <c r="BB37" s="74">
        <v>1</v>
      </c>
      <c r="BC37" s="74">
        <v>1</v>
      </c>
      <c r="BD37" s="74">
        <v>0</v>
      </c>
      <c r="BE37" s="81">
        <f t="shared" si="20"/>
        <v>0.5625</v>
      </c>
      <c r="BF37" s="81" t="str">
        <f t="shared" si="21"/>
        <v>MEDIO</v>
      </c>
    </row>
    <row r="38" spans="1:58" x14ac:dyDescent="0.15">
      <c r="A38" s="57">
        <v>2</v>
      </c>
      <c r="B38" s="57">
        <v>1</v>
      </c>
      <c r="C38" s="57">
        <v>3</v>
      </c>
      <c r="D38" s="57">
        <v>2</v>
      </c>
      <c r="E38" s="58">
        <v>1</v>
      </c>
      <c r="F38" s="17">
        <v>1</v>
      </c>
      <c r="G38" s="64">
        <f t="shared" si="0"/>
        <v>0.5</v>
      </c>
      <c r="H38" s="17">
        <v>1</v>
      </c>
      <c r="I38" s="64">
        <f t="shared" si="1"/>
        <v>0.5</v>
      </c>
      <c r="J38" s="17">
        <v>0</v>
      </c>
      <c r="K38" s="64">
        <f t="shared" si="2"/>
        <v>0</v>
      </c>
      <c r="L38" s="17">
        <v>1</v>
      </c>
      <c r="M38" s="64">
        <f t="shared" si="3"/>
        <v>0.33333333333333331</v>
      </c>
      <c r="N38" s="17">
        <v>4</v>
      </c>
      <c r="O38" s="64">
        <f t="shared" si="4"/>
        <v>0.8</v>
      </c>
      <c r="P38" s="17">
        <v>0</v>
      </c>
      <c r="Q38" s="64">
        <f t="shared" si="5"/>
        <v>0</v>
      </c>
      <c r="R38" s="25">
        <v>0</v>
      </c>
      <c r="S38" s="71">
        <f t="shared" si="6"/>
        <v>0</v>
      </c>
      <c r="T38" s="17">
        <v>0</v>
      </c>
      <c r="U38" s="64">
        <f t="shared" si="7"/>
        <v>0</v>
      </c>
      <c r="V38" s="17">
        <v>3</v>
      </c>
      <c r="W38" s="71">
        <f t="shared" si="8"/>
        <v>0.75</v>
      </c>
      <c r="X38" s="17">
        <v>0</v>
      </c>
      <c r="Y38" s="71">
        <f t="shared" si="9"/>
        <v>0</v>
      </c>
      <c r="Z38" s="17">
        <v>0</v>
      </c>
      <c r="AA38" s="71">
        <f t="shared" si="10"/>
        <v>0</v>
      </c>
      <c r="AB38" s="17">
        <v>2</v>
      </c>
      <c r="AC38" s="71">
        <f t="shared" si="11"/>
        <v>1</v>
      </c>
      <c r="AD38" s="57">
        <v>0</v>
      </c>
      <c r="AE38" s="57">
        <v>0</v>
      </c>
      <c r="AF38" s="57">
        <v>1</v>
      </c>
      <c r="AG38" s="57">
        <v>1</v>
      </c>
      <c r="AH38" s="57">
        <v>0</v>
      </c>
      <c r="AI38" s="57">
        <v>0</v>
      </c>
      <c r="AJ38" s="20">
        <v>1</v>
      </c>
      <c r="AK38" s="71">
        <f t="shared" si="12"/>
        <v>0.5</v>
      </c>
      <c r="AL38" s="17">
        <v>1</v>
      </c>
      <c r="AM38" s="71">
        <f t="shared" si="13"/>
        <v>0.33333333333333331</v>
      </c>
      <c r="AN38" s="17">
        <v>1</v>
      </c>
      <c r="AO38" s="71">
        <f t="shared" si="14"/>
        <v>0.33333333333333331</v>
      </c>
      <c r="AP38" s="17">
        <v>1</v>
      </c>
      <c r="AQ38" s="71">
        <f t="shared" si="15"/>
        <v>0.33333333333333331</v>
      </c>
      <c r="AR38" s="57">
        <v>2</v>
      </c>
      <c r="AS38" s="17">
        <v>0</v>
      </c>
      <c r="AT38" s="71">
        <f t="shared" si="16"/>
        <v>0</v>
      </c>
      <c r="AU38" s="17">
        <v>0</v>
      </c>
      <c r="AV38" s="71">
        <f t="shared" si="17"/>
        <v>0</v>
      </c>
      <c r="AW38" s="17">
        <v>1</v>
      </c>
      <c r="AX38" s="71">
        <f t="shared" si="18"/>
        <v>0.5</v>
      </c>
      <c r="AY38" s="17">
        <v>2</v>
      </c>
      <c r="AZ38" s="71">
        <f t="shared" si="19"/>
        <v>0.66666666666666663</v>
      </c>
      <c r="BA38" s="73">
        <v>0</v>
      </c>
      <c r="BB38" s="73">
        <v>0</v>
      </c>
      <c r="BC38" s="73">
        <v>0</v>
      </c>
      <c r="BD38" s="73">
        <v>1</v>
      </c>
      <c r="BE38" s="81">
        <f t="shared" si="20"/>
        <v>0.35249999999999992</v>
      </c>
      <c r="BF38" s="81" t="str">
        <f t="shared" si="21"/>
        <v>MEDIO</v>
      </c>
    </row>
    <row r="39" spans="1:58" x14ac:dyDescent="0.15">
      <c r="A39" s="58">
        <v>1</v>
      </c>
      <c r="B39" s="58">
        <v>1</v>
      </c>
      <c r="C39" s="58">
        <v>1</v>
      </c>
      <c r="D39" s="58">
        <v>2</v>
      </c>
      <c r="E39" s="58">
        <v>1</v>
      </c>
      <c r="F39" s="18">
        <v>2</v>
      </c>
      <c r="G39" s="64">
        <f t="shared" si="0"/>
        <v>1</v>
      </c>
      <c r="H39" s="18">
        <v>1</v>
      </c>
      <c r="I39" s="64">
        <f t="shared" si="1"/>
        <v>0.5</v>
      </c>
      <c r="J39" s="18">
        <v>1</v>
      </c>
      <c r="K39" s="64">
        <f t="shared" si="2"/>
        <v>0.5</v>
      </c>
      <c r="L39" s="18">
        <v>1</v>
      </c>
      <c r="M39" s="64">
        <f t="shared" si="3"/>
        <v>0.33333333333333331</v>
      </c>
      <c r="N39" s="18">
        <v>2</v>
      </c>
      <c r="O39" s="64">
        <f t="shared" si="4"/>
        <v>0.4</v>
      </c>
      <c r="P39" s="18">
        <v>2</v>
      </c>
      <c r="Q39" s="64">
        <f t="shared" si="5"/>
        <v>0.66666666666666663</v>
      </c>
      <c r="R39" s="24">
        <v>3</v>
      </c>
      <c r="S39" s="71">
        <f t="shared" si="6"/>
        <v>1</v>
      </c>
      <c r="T39" s="18">
        <v>2</v>
      </c>
      <c r="U39" s="64">
        <f t="shared" si="7"/>
        <v>0.66666666666666663</v>
      </c>
      <c r="V39" s="18">
        <v>3</v>
      </c>
      <c r="W39" s="71">
        <f t="shared" si="8"/>
        <v>0.75</v>
      </c>
      <c r="X39" s="18">
        <v>3</v>
      </c>
      <c r="Y39" s="71">
        <f t="shared" si="9"/>
        <v>1</v>
      </c>
      <c r="Z39" s="18">
        <v>3</v>
      </c>
      <c r="AA39" s="71">
        <f t="shared" si="10"/>
        <v>1</v>
      </c>
      <c r="AB39" s="18">
        <v>0</v>
      </c>
      <c r="AC39" s="71">
        <f t="shared" si="11"/>
        <v>0</v>
      </c>
      <c r="AD39" s="58">
        <v>1</v>
      </c>
      <c r="AE39" s="58">
        <v>0</v>
      </c>
      <c r="AF39" s="58">
        <v>0</v>
      </c>
      <c r="AG39" s="58">
        <v>1</v>
      </c>
      <c r="AH39" s="58">
        <v>0</v>
      </c>
      <c r="AI39" s="58">
        <v>0</v>
      </c>
      <c r="AJ39" s="19">
        <v>1</v>
      </c>
      <c r="AK39" s="71">
        <f t="shared" si="12"/>
        <v>0.5</v>
      </c>
      <c r="AL39" s="18">
        <v>1</v>
      </c>
      <c r="AM39" s="71">
        <f t="shared" si="13"/>
        <v>0.33333333333333331</v>
      </c>
      <c r="AN39" s="18">
        <v>1</v>
      </c>
      <c r="AO39" s="71">
        <f t="shared" si="14"/>
        <v>0.33333333333333331</v>
      </c>
      <c r="AP39" s="18">
        <v>1</v>
      </c>
      <c r="AQ39" s="71">
        <f t="shared" si="15"/>
        <v>0.33333333333333331</v>
      </c>
      <c r="AR39" s="58">
        <v>0</v>
      </c>
      <c r="AS39" s="18">
        <v>2</v>
      </c>
      <c r="AT39" s="71">
        <f t="shared" si="16"/>
        <v>0.66666666666666663</v>
      </c>
      <c r="AU39" s="18">
        <v>2</v>
      </c>
      <c r="AV39" s="71">
        <f t="shared" si="17"/>
        <v>0.66666666666666663</v>
      </c>
      <c r="AW39" s="18">
        <v>0</v>
      </c>
      <c r="AX39" s="71">
        <f t="shared" si="18"/>
        <v>0</v>
      </c>
      <c r="AY39" s="18">
        <v>2</v>
      </c>
      <c r="AZ39" s="71">
        <f t="shared" si="19"/>
        <v>0.66666666666666663</v>
      </c>
      <c r="BA39" s="74">
        <v>0</v>
      </c>
      <c r="BB39" s="74">
        <v>1</v>
      </c>
      <c r="BC39" s="74">
        <v>0</v>
      </c>
      <c r="BD39" s="74">
        <v>0</v>
      </c>
      <c r="BE39" s="81">
        <f t="shared" si="20"/>
        <v>0.61583333333333334</v>
      </c>
      <c r="BF39" s="81" t="str">
        <f t="shared" si="21"/>
        <v>MEDIO</v>
      </c>
    </row>
    <row r="40" spans="1:58" x14ac:dyDescent="0.15">
      <c r="A40" s="57">
        <v>2</v>
      </c>
      <c r="B40" s="57">
        <v>1</v>
      </c>
      <c r="C40" s="57">
        <v>2</v>
      </c>
      <c r="D40" s="57">
        <v>2</v>
      </c>
      <c r="E40" s="58">
        <v>1</v>
      </c>
      <c r="F40" s="17">
        <v>1</v>
      </c>
      <c r="G40" s="64">
        <f t="shared" si="0"/>
        <v>0.5</v>
      </c>
      <c r="H40" s="17">
        <v>1</v>
      </c>
      <c r="I40" s="64">
        <f t="shared" si="1"/>
        <v>0.5</v>
      </c>
      <c r="J40" s="17">
        <v>2</v>
      </c>
      <c r="K40" s="64">
        <f t="shared" si="2"/>
        <v>1</v>
      </c>
      <c r="L40" s="17">
        <v>2</v>
      </c>
      <c r="M40" s="64">
        <f t="shared" si="3"/>
        <v>0.66666666666666663</v>
      </c>
      <c r="N40" s="17">
        <v>0</v>
      </c>
      <c r="O40" s="64">
        <f t="shared" si="4"/>
        <v>0</v>
      </c>
      <c r="P40" s="17">
        <v>2</v>
      </c>
      <c r="Q40" s="64">
        <f t="shared" si="5"/>
        <v>0.66666666666666663</v>
      </c>
      <c r="R40" s="25">
        <v>3</v>
      </c>
      <c r="S40" s="71">
        <f t="shared" si="6"/>
        <v>1</v>
      </c>
      <c r="T40" s="17">
        <v>2</v>
      </c>
      <c r="U40" s="64">
        <f t="shared" si="7"/>
        <v>0.66666666666666663</v>
      </c>
      <c r="V40" s="17">
        <v>3</v>
      </c>
      <c r="W40" s="71">
        <f t="shared" si="8"/>
        <v>0.75</v>
      </c>
      <c r="X40" s="17">
        <v>2</v>
      </c>
      <c r="Y40" s="71">
        <f t="shared" si="9"/>
        <v>0.66666666666666663</v>
      </c>
      <c r="Z40" s="17">
        <v>1</v>
      </c>
      <c r="AA40" s="71">
        <f t="shared" si="10"/>
        <v>0.33333333333333331</v>
      </c>
      <c r="AB40" s="17">
        <v>2</v>
      </c>
      <c r="AC40" s="71">
        <f t="shared" si="11"/>
        <v>1</v>
      </c>
      <c r="AD40" s="57">
        <v>1</v>
      </c>
      <c r="AE40" s="57">
        <v>0</v>
      </c>
      <c r="AF40" s="57">
        <v>1</v>
      </c>
      <c r="AG40" s="57">
        <v>0</v>
      </c>
      <c r="AH40" s="57">
        <v>0</v>
      </c>
      <c r="AI40" s="57">
        <v>0</v>
      </c>
      <c r="AJ40" s="20">
        <v>1</v>
      </c>
      <c r="AK40" s="71">
        <f t="shared" si="12"/>
        <v>0.5</v>
      </c>
      <c r="AL40" s="17">
        <v>2</v>
      </c>
      <c r="AM40" s="71">
        <f t="shared" si="13"/>
        <v>0.66666666666666663</v>
      </c>
      <c r="AN40" s="17">
        <v>1</v>
      </c>
      <c r="AO40" s="71">
        <f t="shared" si="14"/>
        <v>0.33333333333333331</v>
      </c>
      <c r="AP40" s="17">
        <v>2</v>
      </c>
      <c r="AQ40" s="71">
        <f t="shared" si="15"/>
        <v>0.66666666666666663</v>
      </c>
      <c r="AR40" s="57">
        <v>0</v>
      </c>
      <c r="AS40" s="17">
        <v>2</v>
      </c>
      <c r="AT40" s="71">
        <f t="shared" si="16"/>
        <v>0.66666666666666663</v>
      </c>
      <c r="AU40" s="17">
        <v>3</v>
      </c>
      <c r="AV40" s="71">
        <f t="shared" si="17"/>
        <v>1</v>
      </c>
      <c r="AW40" s="17">
        <v>1</v>
      </c>
      <c r="AX40" s="71">
        <f t="shared" si="18"/>
        <v>0.5</v>
      </c>
      <c r="AY40" s="17">
        <v>3</v>
      </c>
      <c r="AZ40" s="71">
        <f t="shared" si="19"/>
        <v>1</v>
      </c>
      <c r="BA40" s="73">
        <v>1</v>
      </c>
      <c r="BB40" s="73">
        <v>0</v>
      </c>
      <c r="BC40" s="73">
        <v>1</v>
      </c>
      <c r="BD40" s="73">
        <v>0</v>
      </c>
      <c r="BE40" s="81">
        <f t="shared" si="20"/>
        <v>0.67916666666666659</v>
      </c>
      <c r="BF40" s="81" t="str">
        <f t="shared" si="21"/>
        <v>ALTO</v>
      </c>
    </row>
    <row r="41" spans="1:58" x14ac:dyDescent="0.15">
      <c r="A41" s="58">
        <v>1</v>
      </c>
      <c r="B41" s="58">
        <v>1</v>
      </c>
      <c r="C41" s="58">
        <v>1</v>
      </c>
      <c r="D41" s="58">
        <v>2</v>
      </c>
      <c r="E41" s="58">
        <v>1</v>
      </c>
      <c r="F41" s="18">
        <v>2</v>
      </c>
      <c r="G41" s="64">
        <f t="shared" si="0"/>
        <v>1</v>
      </c>
      <c r="H41" s="18">
        <v>2</v>
      </c>
      <c r="I41" s="64">
        <f t="shared" si="1"/>
        <v>1</v>
      </c>
      <c r="J41" s="18">
        <v>2</v>
      </c>
      <c r="K41" s="64">
        <f t="shared" si="2"/>
        <v>1</v>
      </c>
      <c r="L41" s="18">
        <v>1</v>
      </c>
      <c r="M41" s="64">
        <f t="shared" si="3"/>
        <v>0.33333333333333331</v>
      </c>
      <c r="N41" s="18">
        <v>5</v>
      </c>
      <c r="O41" s="64">
        <f t="shared" si="4"/>
        <v>1</v>
      </c>
      <c r="P41" s="18">
        <v>2</v>
      </c>
      <c r="Q41" s="64">
        <f t="shared" si="5"/>
        <v>0.66666666666666663</v>
      </c>
      <c r="R41" s="24">
        <v>3</v>
      </c>
      <c r="S41" s="71">
        <f t="shared" si="6"/>
        <v>1</v>
      </c>
      <c r="T41" s="18">
        <v>3</v>
      </c>
      <c r="U41" s="64">
        <f t="shared" si="7"/>
        <v>1</v>
      </c>
      <c r="V41" s="18">
        <v>2</v>
      </c>
      <c r="W41" s="71">
        <f t="shared" si="8"/>
        <v>0.5</v>
      </c>
      <c r="X41" s="18">
        <v>1</v>
      </c>
      <c r="Y41" s="71">
        <f t="shared" si="9"/>
        <v>0.33333333333333331</v>
      </c>
      <c r="Z41" s="18">
        <v>3</v>
      </c>
      <c r="AA41" s="71">
        <f t="shared" si="10"/>
        <v>1</v>
      </c>
      <c r="AB41" s="18">
        <v>0</v>
      </c>
      <c r="AC41" s="71">
        <f t="shared" si="11"/>
        <v>0</v>
      </c>
      <c r="AD41" s="58">
        <v>1</v>
      </c>
      <c r="AE41" s="58">
        <v>1</v>
      </c>
      <c r="AF41" s="58">
        <v>0</v>
      </c>
      <c r="AG41" s="58">
        <v>0</v>
      </c>
      <c r="AH41" s="58">
        <v>0</v>
      </c>
      <c r="AI41" s="58">
        <v>0</v>
      </c>
      <c r="AJ41" s="19">
        <v>1</v>
      </c>
      <c r="AK41" s="71">
        <f t="shared" si="12"/>
        <v>0.5</v>
      </c>
      <c r="AL41" s="18">
        <v>2</v>
      </c>
      <c r="AM41" s="71">
        <f t="shared" si="13"/>
        <v>0.66666666666666663</v>
      </c>
      <c r="AN41" s="18">
        <v>2</v>
      </c>
      <c r="AO41" s="71">
        <f t="shared" si="14"/>
        <v>0.66666666666666663</v>
      </c>
      <c r="AP41" s="18">
        <v>2</v>
      </c>
      <c r="AQ41" s="71">
        <f t="shared" si="15"/>
        <v>0.66666666666666663</v>
      </c>
      <c r="AR41" s="58">
        <v>0</v>
      </c>
      <c r="AS41" s="18">
        <v>2</v>
      </c>
      <c r="AT41" s="71">
        <f t="shared" si="16"/>
        <v>0.66666666666666663</v>
      </c>
      <c r="AU41" s="18">
        <v>3</v>
      </c>
      <c r="AV41" s="71">
        <f t="shared" si="17"/>
        <v>1</v>
      </c>
      <c r="AW41" s="18">
        <v>0</v>
      </c>
      <c r="AX41" s="71">
        <f t="shared" si="18"/>
        <v>0</v>
      </c>
      <c r="AY41" s="18">
        <v>3</v>
      </c>
      <c r="AZ41" s="71">
        <f t="shared" si="19"/>
        <v>1</v>
      </c>
      <c r="BA41" s="74">
        <v>0</v>
      </c>
      <c r="BB41" s="74">
        <v>1</v>
      </c>
      <c r="BC41" s="74">
        <v>1</v>
      </c>
      <c r="BD41" s="74">
        <v>0</v>
      </c>
      <c r="BE41" s="81">
        <f t="shared" si="20"/>
        <v>0.74999999999999989</v>
      </c>
      <c r="BF41" s="81" t="str">
        <f t="shared" si="21"/>
        <v>ALTO</v>
      </c>
    </row>
    <row r="42" spans="1:58" x14ac:dyDescent="0.15">
      <c r="A42" s="57">
        <v>3</v>
      </c>
      <c r="B42" s="57">
        <v>1</v>
      </c>
      <c r="C42" s="57">
        <v>3</v>
      </c>
      <c r="D42" s="57">
        <v>2</v>
      </c>
      <c r="E42" s="58">
        <v>1</v>
      </c>
      <c r="F42" s="17">
        <v>2</v>
      </c>
      <c r="G42" s="64">
        <f t="shared" si="0"/>
        <v>1</v>
      </c>
      <c r="H42" s="17">
        <v>2</v>
      </c>
      <c r="I42" s="64">
        <f t="shared" si="1"/>
        <v>1</v>
      </c>
      <c r="J42" s="17">
        <v>2</v>
      </c>
      <c r="K42" s="64">
        <f t="shared" si="2"/>
        <v>1</v>
      </c>
      <c r="L42" s="17">
        <v>3</v>
      </c>
      <c r="M42" s="64">
        <f t="shared" si="3"/>
        <v>1</v>
      </c>
      <c r="N42" s="17">
        <v>4</v>
      </c>
      <c r="O42" s="64">
        <f t="shared" si="4"/>
        <v>0.8</v>
      </c>
      <c r="P42" s="17">
        <v>1</v>
      </c>
      <c r="Q42" s="64">
        <f t="shared" si="5"/>
        <v>0.33333333333333331</v>
      </c>
      <c r="R42" s="25">
        <v>3</v>
      </c>
      <c r="S42" s="71">
        <f t="shared" si="6"/>
        <v>1</v>
      </c>
      <c r="T42" s="17">
        <v>3</v>
      </c>
      <c r="U42" s="64">
        <f t="shared" si="7"/>
        <v>1</v>
      </c>
      <c r="V42" s="17">
        <v>4</v>
      </c>
      <c r="W42" s="71">
        <f t="shared" si="8"/>
        <v>1</v>
      </c>
      <c r="X42" s="17">
        <v>3</v>
      </c>
      <c r="Y42" s="71">
        <f t="shared" si="9"/>
        <v>1</v>
      </c>
      <c r="Z42" s="17">
        <v>3</v>
      </c>
      <c r="AA42" s="71">
        <f t="shared" si="10"/>
        <v>1</v>
      </c>
      <c r="AB42" s="17">
        <v>0</v>
      </c>
      <c r="AC42" s="71">
        <f t="shared" si="11"/>
        <v>0</v>
      </c>
      <c r="AD42" s="57">
        <v>0</v>
      </c>
      <c r="AE42" s="57">
        <v>1</v>
      </c>
      <c r="AF42" s="57">
        <v>1</v>
      </c>
      <c r="AG42" s="57">
        <v>0</v>
      </c>
      <c r="AH42" s="57">
        <v>0</v>
      </c>
      <c r="AI42" s="57">
        <v>0</v>
      </c>
      <c r="AJ42" s="20">
        <v>2</v>
      </c>
      <c r="AK42" s="71">
        <f t="shared" si="12"/>
        <v>1</v>
      </c>
      <c r="AL42" s="17">
        <v>2</v>
      </c>
      <c r="AM42" s="71">
        <f t="shared" si="13"/>
        <v>0.66666666666666663</v>
      </c>
      <c r="AN42" s="17">
        <v>2</v>
      </c>
      <c r="AO42" s="71">
        <f t="shared" si="14"/>
        <v>0.66666666666666663</v>
      </c>
      <c r="AP42" s="17">
        <v>3</v>
      </c>
      <c r="AQ42" s="71">
        <f t="shared" si="15"/>
        <v>1</v>
      </c>
      <c r="AR42" s="57">
        <v>2</v>
      </c>
      <c r="AS42" s="17">
        <v>2</v>
      </c>
      <c r="AT42" s="71">
        <f t="shared" si="16"/>
        <v>0.66666666666666663</v>
      </c>
      <c r="AU42" s="17">
        <v>3</v>
      </c>
      <c r="AV42" s="71">
        <f t="shared" si="17"/>
        <v>1</v>
      </c>
      <c r="AW42" s="17">
        <v>2</v>
      </c>
      <c r="AX42" s="71">
        <f t="shared" si="18"/>
        <v>1</v>
      </c>
      <c r="AY42" s="17">
        <v>3</v>
      </c>
      <c r="AZ42" s="71">
        <f t="shared" si="19"/>
        <v>1</v>
      </c>
      <c r="BA42" s="73">
        <v>1</v>
      </c>
      <c r="BB42" s="73">
        <v>1</v>
      </c>
      <c r="BC42" s="73">
        <v>1</v>
      </c>
      <c r="BD42" s="73">
        <v>0</v>
      </c>
      <c r="BE42" s="81">
        <f t="shared" si="20"/>
        <v>0.90666666666666662</v>
      </c>
      <c r="BF42" s="81" t="str">
        <f t="shared" si="21"/>
        <v>ALTO</v>
      </c>
    </row>
    <row r="43" spans="1:58" x14ac:dyDescent="0.15">
      <c r="A43" s="58">
        <v>2</v>
      </c>
      <c r="B43" s="57">
        <v>1</v>
      </c>
      <c r="C43" s="58">
        <v>2</v>
      </c>
      <c r="D43" s="58">
        <v>2</v>
      </c>
      <c r="E43" s="58">
        <v>1</v>
      </c>
      <c r="F43" s="18">
        <v>2</v>
      </c>
      <c r="G43" s="64">
        <f t="shared" si="0"/>
        <v>1</v>
      </c>
      <c r="H43" s="18">
        <v>0</v>
      </c>
      <c r="I43" s="64">
        <f t="shared" si="1"/>
        <v>0</v>
      </c>
      <c r="J43" s="18">
        <v>1</v>
      </c>
      <c r="K43" s="64">
        <f t="shared" si="2"/>
        <v>0.5</v>
      </c>
      <c r="L43" s="18">
        <v>2</v>
      </c>
      <c r="M43" s="64">
        <f t="shared" si="3"/>
        <v>0.66666666666666663</v>
      </c>
      <c r="N43" s="18">
        <v>2</v>
      </c>
      <c r="O43" s="64">
        <f t="shared" si="4"/>
        <v>0.4</v>
      </c>
      <c r="P43" s="18">
        <v>2</v>
      </c>
      <c r="Q43" s="64">
        <f t="shared" si="5"/>
        <v>0.66666666666666663</v>
      </c>
      <c r="R43" s="24">
        <v>3</v>
      </c>
      <c r="S43" s="71">
        <f t="shared" si="6"/>
        <v>1</v>
      </c>
      <c r="T43" s="18">
        <v>1</v>
      </c>
      <c r="U43" s="64">
        <f t="shared" si="7"/>
        <v>0.33333333333333331</v>
      </c>
      <c r="V43" s="18">
        <v>3</v>
      </c>
      <c r="W43" s="71">
        <f t="shared" si="8"/>
        <v>0.75</v>
      </c>
      <c r="X43" s="18">
        <v>2</v>
      </c>
      <c r="Y43" s="71">
        <f t="shared" si="9"/>
        <v>0.66666666666666663</v>
      </c>
      <c r="Z43" s="18">
        <v>1</v>
      </c>
      <c r="AA43" s="71">
        <f t="shared" si="10"/>
        <v>0.33333333333333331</v>
      </c>
      <c r="AB43" s="18">
        <v>2</v>
      </c>
      <c r="AC43" s="71">
        <f t="shared" si="11"/>
        <v>1</v>
      </c>
      <c r="AD43" s="58">
        <v>1</v>
      </c>
      <c r="AE43" s="58">
        <v>0</v>
      </c>
      <c r="AF43" s="58">
        <v>1</v>
      </c>
      <c r="AG43" s="58">
        <v>0</v>
      </c>
      <c r="AH43" s="58">
        <v>0</v>
      </c>
      <c r="AI43" s="58">
        <v>0</v>
      </c>
      <c r="AJ43" s="19">
        <v>0</v>
      </c>
      <c r="AK43" s="71">
        <f t="shared" si="12"/>
        <v>0</v>
      </c>
      <c r="AL43" s="18">
        <v>3</v>
      </c>
      <c r="AM43" s="71">
        <f t="shared" si="13"/>
        <v>1</v>
      </c>
      <c r="AN43" s="18">
        <v>1</v>
      </c>
      <c r="AO43" s="71">
        <f t="shared" si="14"/>
        <v>0.33333333333333331</v>
      </c>
      <c r="AP43" s="18">
        <v>2</v>
      </c>
      <c r="AQ43" s="71">
        <f t="shared" si="15"/>
        <v>0.66666666666666663</v>
      </c>
      <c r="AR43" s="58">
        <v>2</v>
      </c>
      <c r="AS43" s="18">
        <v>2</v>
      </c>
      <c r="AT43" s="71">
        <f t="shared" si="16"/>
        <v>0.66666666666666663</v>
      </c>
      <c r="AU43" s="18">
        <v>2</v>
      </c>
      <c r="AV43" s="71">
        <f t="shared" si="17"/>
        <v>0.66666666666666663</v>
      </c>
      <c r="AW43" s="18">
        <v>0</v>
      </c>
      <c r="AX43" s="71">
        <f t="shared" si="18"/>
        <v>0</v>
      </c>
      <c r="AY43" s="18">
        <v>0</v>
      </c>
      <c r="AZ43" s="71">
        <f t="shared" si="19"/>
        <v>0</v>
      </c>
      <c r="BA43" s="74">
        <v>0</v>
      </c>
      <c r="BB43" s="74">
        <v>1</v>
      </c>
      <c r="BC43" s="74">
        <v>1</v>
      </c>
      <c r="BD43" s="74">
        <v>0</v>
      </c>
      <c r="BE43" s="81">
        <f t="shared" si="20"/>
        <v>0.58249999999999991</v>
      </c>
      <c r="BF43" s="81" t="str">
        <f t="shared" si="21"/>
        <v>MEDIO</v>
      </c>
    </row>
    <row r="44" spans="1:58" x14ac:dyDescent="0.15">
      <c r="A44" s="57">
        <v>3</v>
      </c>
      <c r="B44" s="58">
        <v>1</v>
      </c>
      <c r="C44" s="57">
        <v>2</v>
      </c>
      <c r="D44" s="57">
        <v>2</v>
      </c>
      <c r="E44" s="58">
        <v>1</v>
      </c>
      <c r="F44" s="17">
        <v>1</v>
      </c>
      <c r="G44" s="64">
        <f t="shared" si="0"/>
        <v>0.5</v>
      </c>
      <c r="H44" s="17">
        <v>1</v>
      </c>
      <c r="I44" s="64">
        <f t="shared" si="1"/>
        <v>0.5</v>
      </c>
      <c r="J44" s="17">
        <v>1</v>
      </c>
      <c r="K44" s="64">
        <f t="shared" si="2"/>
        <v>0.5</v>
      </c>
      <c r="L44" s="17">
        <v>2</v>
      </c>
      <c r="M44" s="64">
        <f t="shared" si="3"/>
        <v>0.66666666666666663</v>
      </c>
      <c r="N44" s="17">
        <v>5</v>
      </c>
      <c r="O44" s="64">
        <f t="shared" si="4"/>
        <v>1</v>
      </c>
      <c r="P44" s="17">
        <v>2</v>
      </c>
      <c r="Q44" s="64">
        <f t="shared" si="5"/>
        <v>0.66666666666666663</v>
      </c>
      <c r="R44" s="25">
        <v>2</v>
      </c>
      <c r="S44" s="71">
        <f t="shared" si="6"/>
        <v>0.66666666666666663</v>
      </c>
      <c r="T44" s="17">
        <v>2</v>
      </c>
      <c r="U44" s="64">
        <f t="shared" si="7"/>
        <v>0.66666666666666663</v>
      </c>
      <c r="V44" s="17">
        <v>3</v>
      </c>
      <c r="W44" s="71">
        <f t="shared" si="8"/>
        <v>0.75</v>
      </c>
      <c r="X44" s="17">
        <v>2</v>
      </c>
      <c r="Y44" s="71">
        <f t="shared" si="9"/>
        <v>0.66666666666666663</v>
      </c>
      <c r="Z44" s="17">
        <v>0</v>
      </c>
      <c r="AA44" s="71">
        <f t="shared" si="10"/>
        <v>0</v>
      </c>
      <c r="AB44" s="17">
        <v>2</v>
      </c>
      <c r="AC44" s="71">
        <f t="shared" si="11"/>
        <v>1</v>
      </c>
      <c r="AD44" s="57">
        <v>1</v>
      </c>
      <c r="AE44" s="57">
        <v>0</v>
      </c>
      <c r="AF44" s="57">
        <v>1</v>
      </c>
      <c r="AG44" s="57">
        <v>0</v>
      </c>
      <c r="AH44" s="57">
        <v>0</v>
      </c>
      <c r="AI44" s="57">
        <v>0</v>
      </c>
      <c r="AJ44" s="20">
        <v>1</v>
      </c>
      <c r="AK44" s="71">
        <f t="shared" si="12"/>
        <v>0.5</v>
      </c>
      <c r="AL44" s="17">
        <v>3</v>
      </c>
      <c r="AM44" s="71">
        <f t="shared" si="13"/>
        <v>1</v>
      </c>
      <c r="AN44" s="17">
        <v>1</v>
      </c>
      <c r="AO44" s="71">
        <f t="shared" si="14"/>
        <v>0.33333333333333331</v>
      </c>
      <c r="AP44" s="17">
        <v>3</v>
      </c>
      <c r="AQ44" s="71">
        <f t="shared" si="15"/>
        <v>1</v>
      </c>
      <c r="AR44" s="57">
        <v>2</v>
      </c>
      <c r="AS44" s="17">
        <v>3</v>
      </c>
      <c r="AT44" s="71">
        <f t="shared" si="16"/>
        <v>1</v>
      </c>
      <c r="AU44" s="17">
        <v>2</v>
      </c>
      <c r="AV44" s="71">
        <f t="shared" si="17"/>
        <v>0.66666666666666663</v>
      </c>
      <c r="AW44" s="17">
        <v>1</v>
      </c>
      <c r="AX44" s="71">
        <f t="shared" si="18"/>
        <v>0.5</v>
      </c>
      <c r="AY44" s="17">
        <v>2</v>
      </c>
      <c r="AZ44" s="71">
        <f t="shared" si="19"/>
        <v>0.66666666666666663</v>
      </c>
      <c r="BA44" s="73">
        <v>0</v>
      </c>
      <c r="BB44" s="73">
        <v>1</v>
      </c>
      <c r="BC44" s="73">
        <v>1</v>
      </c>
      <c r="BD44" s="73">
        <v>0</v>
      </c>
      <c r="BE44" s="81">
        <f t="shared" si="20"/>
        <v>0.6875</v>
      </c>
      <c r="BF44" s="81" t="str">
        <f t="shared" si="21"/>
        <v>ALTO</v>
      </c>
    </row>
    <row r="45" spans="1:58" x14ac:dyDescent="0.15">
      <c r="A45" s="58">
        <v>3</v>
      </c>
      <c r="B45" s="58">
        <v>2</v>
      </c>
      <c r="C45" s="58">
        <v>3</v>
      </c>
      <c r="D45" s="58">
        <v>0</v>
      </c>
      <c r="E45" s="58">
        <v>1</v>
      </c>
      <c r="F45" s="18">
        <v>1</v>
      </c>
      <c r="G45" s="64">
        <f t="shared" si="0"/>
        <v>0.5</v>
      </c>
      <c r="H45" s="18">
        <v>1</v>
      </c>
      <c r="I45" s="64">
        <f t="shared" si="1"/>
        <v>0.5</v>
      </c>
      <c r="J45" s="18">
        <v>1</v>
      </c>
      <c r="K45" s="64">
        <f t="shared" si="2"/>
        <v>0.5</v>
      </c>
      <c r="L45" s="18">
        <v>2</v>
      </c>
      <c r="M45" s="64">
        <f t="shared" si="3"/>
        <v>0.66666666666666663</v>
      </c>
      <c r="N45" s="18">
        <v>1</v>
      </c>
      <c r="O45" s="64">
        <f t="shared" si="4"/>
        <v>0.2</v>
      </c>
      <c r="P45" s="18">
        <v>2</v>
      </c>
      <c r="Q45" s="64">
        <f t="shared" si="5"/>
        <v>0.66666666666666663</v>
      </c>
      <c r="R45" s="24">
        <v>2</v>
      </c>
      <c r="S45" s="71">
        <f t="shared" si="6"/>
        <v>0.66666666666666663</v>
      </c>
      <c r="T45" s="18">
        <v>2</v>
      </c>
      <c r="U45" s="64">
        <f t="shared" si="7"/>
        <v>0.66666666666666663</v>
      </c>
      <c r="V45" s="18">
        <v>3</v>
      </c>
      <c r="W45" s="71">
        <f t="shared" si="8"/>
        <v>0.75</v>
      </c>
      <c r="X45" s="18">
        <v>2</v>
      </c>
      <c r="Y45" s="71">
        <f t="shared" si="9"/>
        <v>0.66666666666666663</v>
      </c>
      <c r="Z45" s="18">
        <v>1</v>
      </c>
      <c r="AA45" s="71">
        <f t="shared" si="10"/>
        <v>0.33333333333333331</v>
      </c>
      <c r="AB45" s="18">
        <v>2</v>
      </c>
      <c r="AC45" s="71">
        <f t="shared" si="11"/>
        <v>1</v>
      </c>
      <c r="AD45" s="58">
        <v>1</v>
      </c>
      <c r="AE45" s="58">
        <v>0</v>
      </c>
      <c r="AF45" s="58">
        <v>1</v>
      </c>
      <c r="AG45" s="58">
        <v>0</v>
      </c>
      <c r="AH45" s="58">
        <v>0</v>
      </c>
      <c r="AI45" s="58">
        <v>0</v>
      </c>
      <c r="AJ45" s="19">
        <v>1</v>
      </c>
      <c r="AK45" s="71">
        <f t="shared" si="12"/>
        <v>0.5</v>
      </c>
      <c r="AL45" s="18">
        <v>1</v>
      </c>
      <c r="AM45" s="71">
        <f t="shared" si="13"/>
        <v>0.33333333333333331</v>
      </c>
      <c r="AN45" s="18">
        <v>1</v>
      </c>
      <c r="AO45" s="71">
        <f t="shared" si="14"/>
        <v>0.33333333333333331</v>
      </c>
      <c r="AP45" s="18">
        <v>1</v>
      </c>
      <c r="AQ45" s="71">
        <f t="shared" si="15"/>
        <v>0.33333333333333331</v>
      </c>
      <c r="AR45" s="58">
        <v>0</v>
      </c>
      <c r="AS45" s="18">
        <v>3</v>
      </c>
      <c r="AT45" s="71">
        <f t="shared" si="16"/>
        <v>1</v>
      </c>
      <c r="AU45" s="18">
        <v>3</v>
      </c>
      <c r="AV45" s="71">
        <f t="shared" si="17"/>
        <v>1</v>
      </c>
      <c r="AW45" s="18">
        <v>1</v>
      </c>
      <c r="AX45" s="71">
        <f t="shared" si="18"/>
        <v>0.5</v>
      </c>
      <c r="AY45" s="18">
        <v>2</v>
      </c>
      <c r="AZ45" s="71">
        <f t="shared" si="19"/>
        <v>0.66666666666666663</v>
      </c>
      <c r="BA45" s="74">
        <v>0</v>
      </c>
      <c r="BB45" s="74">
        <v>1</v>
      </c>
      <c r="BC45" s="74">
        <v>1</v>
      </c>
      <c r="BD45" s="74">
        <v>0</v>
      </c>
      <c r="BE45" s="81">
        <f t="shared" si="20"/>
        <v>0.61416666666666675</v>
      </c>
      <c r="BF45" s="81" t="str">
        <f t="shared" si="21"/>
        <v>MEDIO</v>
      </c>
    </row>
    <row r="46" spans="1:58" x14ac:dyDescent="0.15">
      <c r="A46" s="57">
        <v>2</v>
      </c>
      <c r="B46" s="57">
        <v>1</v>
      </c>
      <c r="C46" s="57">
        <v>3</v>
      </c>
      <c r="D46" s="57">
        <v>2</v>
      </c>
      <c r="E46" s="58">
        <v>1</v>
      </c>
      <c r="F46" s="17">
        <v>1</v>
      </c>
      <c r="G46" s="64">
        <f t="shared" si="0"/>
        <v>0.5</v>
      </c>
      <c r="H46" s="17">
        <v>0</v>
      </c>
      <c r="I46" s="64">
        <f t="shared" si="1"/>
        <v>0</v>
      </c>
      <c r="J46" s="17">
        <v>0</v>
      </c>
      <c r="K46" s="64">
        <f t="shared" si="2"/>
        <v>0</v>
      </c>
      <c r="L46" s="17">
        <v>0</v>
      </c>
      <c r="M46" s="64">
        <f t="shared" si="3"/>
        <v>0</v>
      </c>
      <c r="N46" s="17">
        <v>2</v>
      </c>
      <c r="O46" s="64">
        <f t="shared" si="4"/>
        <v>0.4</v>
      </c>
      <c r="P46" s="17">
        <v>3</v>
      </c>
      <c r="Q46" s="64">
        <f t="shared" si="5"/>
        <v>1</v>
      </c>
      <c r="R46" s="25">
        <v>0</v>
      </c>
      <c r="S46" s="71">
        <f t="shared" si="6"/>
        <v>0</v>
      </c>
      <c r="T46" s="17">
        <v>1</v>
      </c>
      <c r="U46" s="64">
        <f t="shared" si="7"/>
        <v>0.33333333333333331</v>
      </c>
      <c r="V46" s="17">
        <v>3</v>
      </c>
      <c r="W46" s="71">
        <f t="shared" si="8"/>
        <v>0.75</v>
      </c>
      <c r="X46" s="17">
        <v>0</v>
      </c>
      <c r="Y46" s="71">
        <f t="shared" si="9"/>
        <v>0</v>
      </c>
      <c r="Z46" s="17">
        <v>1</v>
      </c>
      <c r="AA46" s="71">
        <f t="shared" si="10"/>
        <v>0.33333333333333331</v>
      </c>
      <c r="AB46" s="17">
        <v>3</v>
      </c>
      <c r="AC46" s="71">
        <f t="shared" si="11"/>
        <v>1.5</v>
      </c>
      <c r="AD46" s="57">
        <v>0</v>
      </c>
      <c r="AE46" s="57">
        <v>0</v>
      </c>
      <c r="AF46" s="57">
        <v>1</v>
      </c>
      <c r="AG46" s="57">
        <v>1</v>
      </c>
      <c r="AH46" s="57">
        <v>0</v>
      </c>
      <c r="AI46" s="57">
        <v>0</v>
      </c>
      <c r="AJ46" s="20">
        <v>1</v>
      </c>
      <c r="AK46" s="71">
        <f t="shared" si="12"/>
        <v>0.5</v>
      </c>
      <c r="AL46" s="17">
        <v>0</v>
      </c>
      <c r="AM46" s="71">
        <f t="shared" si="13"/>
        <v>0</v>
      </c>
      <c r="AN46" s="17">
        <v>1</v>
      </c>
      <c r="AO46" s="71">
        <f t="shared" si="14"/>
        <v>0.33333333333333331</v>
      </c>
      <c r="AP46" s="17">
        <v>0</v>
      </c>
      <c r="AQ46" s="71">
        <f t="shared" si="15"/>
        <v>0</v>
      </c>
      <c r="AR46" s="57">
        <v>2</v>
      </c>
      <c r="AS46" s="17">
        <v>0</v>
      </c>
      <c r="AT46" s="71">
        <f t="shared" si="16"/>
        <v>0</v>
      </c>
      <c r="AU46" s="17">
        <v>0</v>
      </c>
      <c r="AV46" s="71">
        <f t="shared" si="17"/>
        <v>0</v>
      </c>
      <c r="AW46" s="17">
        <v>0</v>
      </c>
      <c r="AX46" s="71">
        <f t="shared" si="18"/>
        <v>0</v>
      </c>
      <c r="AY46" s="17">
        <v>2</v>
      </c>
      <c r="AZ46" s="71">
        <f t="shared" si="19"/>
        <v>0.66666666666666663</v>
      </c>
      <c r="BA46" s="73">
        <v>0</v>
      </c>
      <c r="BB46" s="73">
        <v>1</v>
      </c>
      <c r="BC46" s="73">
        <v>1</v>
      </c>
      <c r="BD46" s="73">
        <v>0</v>
      </c>
      <c r="BE46" s="81">
        <f t="shared" si="20"/>
        <v>0.34083333333333332</v>
      </c>
      <c r="BF46" s="81" t="str">
        <f t="shared" si="21"/>
        <v>MEDIO</v>
      </c>
    </row>
    <row r="47" spans="1:58" x14ac:dyDescent="0.15">
      <c r="A47" s="58">
        <v>3</v>
      </c>
      <c r="B47" s="58">
        <v>1</v>
      </c>
      <c r="C47" s="58">
        <v>3</v>
      </c>
      <c r="D47" s="58">
        <v>2</v>
      </c>
      <c r="E47" s="58">
        <v>1</v>
      </c>
      <c r="F47" s="18">
        <v>1</v>
      </c>
      <c r="G47" s="64">
        <f t="shared" si="0"/>
        <v>0.5</v>
      </c>
      <c r="H47" s="18">
        <v>1</v>
      </c>
      <c r="I47" s="64">
        <f t="shared" si="1"/>
        <v>0.5</v>
      </c>
      <c r="J47" s="18">
        <v>0</v>
      </c>
      <c r="K47" s="64">
        <f t="shared" si="2"/>
        <v>0</v>
      </c>
      <c r="L47" s="18">
        <v>2</v>
      </c>
      <c r="M47" s="64">
        <f t="shared" si="3"/>
        <v>0.66666666666666663</v>
      </c>
      <c r="N47" s="18">
        <v>1</v>
      </c>
      <c r="O47" s="64">
        <f t="shared" si="4"/>
        <v>0.2</v>
      </c>
      <c r="P47" s="18">
        <v>0</v>
      </c>
      <c r="Q47" s="64">
        <f t="shared" si="5"/>
        <v>0</v>
      </c>
      <c r="R47" s="24">
        <v>2</v>
      </c>
      <c r="S47" s="71">
        <f t="shared" si="6"/>
        <v>0.66666666666666663</v>
      </c>
      <c r="T47" s="18">
        <v>2</v>
      </c>
      <c r="U47" s="64">
        <f t="shared" si="7"/>
        <v>0.66666666666666663</v>
      </c>
      <c r="V47" s="18">
        <v>0</v>
      </c>
      <c r="W47" s="71">
        <f t="shared" si="8"/>
        <v>0</v>
      </c>
      <c r="X47" s="18">
        <v>2</v>
      </c>
      <c r="Y47" s="71">
        <f t="shared" si="9"/>
        <v>0.66666666666666663</v>
      </c>
      <c r="Z47" s="18">
        <v>3</v>
      </c>
      <c r="AA47" s="71">
        <f t="shared" si="10"/>
        <v>1</v>
      </c>
      <c r="AB47" s="18">
        <v>1</v>
      </c>
      <c r="AC47" s="71">
        <f t="shared" si="11"/>
        <v>0.5</v>
      </c>
      <c r="AD47" s="58">
        <v>0</v>
      </c>
      <c r="AE47" s="58">
        <v>1</v>
      </c>
      <c r="AF47" s="58">
        <v>1</v>
      </c>
      <c r="AG47" s="58">
        <v>0</v>
      </c>
      <c r="AH47" s="58">
        <v>0</v>
      </c>
      <c r="AI47" s="58">
        <v>0</v>
      </c>
      <c r="AJ47" s="19">
        <v>1</v>
      </c>
      <c r="AK47" s="71">
        <f t="shared" si="12"/>
        <v>0.5</v>
      </c>
      <c r="AL47" s="18">
        <v>0</v>
      </c>
      <c r="AM47" s="71">
        <f t="shared" si="13"/>
        <v>0</v>
      </c>
      <c r="AN47" s="18">
        <v>1</v>
      </c>
      <c r="AO47" s="71">
        <f t="shared" si="14"/>
        <v>0.33333333333333331</v>
      </c>
      <c r="AP47" s="18">
        <v>2</v>
      </c>
      <c r="AQ47" s="71">
        <f t="shared" si="15"/>
        <v>0.66666666666666663</v>
      </c>
      <c r="AR47" s="58">
        <v>1</v>
      </c>
      <c r="AS47" s="18">
        <v>2</v>
      </c>
      <c r="AT47" s="71">
        <f t="shared" si="16"/>
        <v>0.66666666666666663</v>
      </c>
      <c r="AU47" s="18">
        <v>2</v>
      </c>
      <c r="AV47" s="71">
        <f t="shared" si="17"/>
        <v>0.66666666666666663</v>
      </c>
      <c r="AW47" s="18">
        <v>0</v>
      </c>
      <c r="AX47" s="71">
        <f t="shared" si="18"/>
        <v>0</v>
      </c>
      <c r="AY47" s="18">
        <v>0</v>
      </c>
      <c r="AZ47" s="71">
        <f t="shared" si="19"/>
        <v>0</v>
      </c>
      <c r="BA47" s="74">
        <v>1</v>
      </c>
      <c r="BB47" s="74">
        <v>0</v>
      </c>
      <c r="BC47" s="74">
        <v>1</v>
      </c>
      <c r="BD47" s="74">
        <v>0</v>
      </c>
      <c r="BE47" s="81">
        <f t="shared" si="20"/>
        <v>0.43499999999999994</v>
      </c>
      <c r="BF47" s="81" t="str">
        <f t="shared" si="21"/>
        <v>MEDIO</v>
      </c>
    </row>
    <row r="48" spans="1:58" x14ac:dyDescent="0.15">
      <c r="A48" s="57">
        <v>3</v>
      </c>
      <c r="B48" s="57">
        <v>1</v>
      </c>
      <c r="C48" s="57">
        <v>3</v>
      </c>
      <c r="D48" s="57">
        <v>2</v>
      </c>
      <c r="E48" s="58">
        <v>1</v>
      </c>
      <c r="F48" s="17">
        <v>2</v>
      </c>
      <c r="G48" s="64">
        <f t="shared" si="0"/>
        <v>1</v>
      </c>
      <c r="H48" s="17">
        <v>1</v>
      </c>
      <c r="I48" s="64">
        <f t="shared" si="1"/>
        <v>0.5</v>
      </c>
      <c r="J48" s="17">
        <v>1</v>
      </c>
      <c r="K48" s="64">
        <f t="shared" si="2"/>
        <v>0.5</v>
      </c>
      <c r="L48" s="17">
        <v>2</v>
      </c>
      <c r="M48" s="64">
        <f t="shared" si="3"/>
        <v>0.66666666666666663</v>
      </c>
      <c r="N48" s="17">
        <v>1</v>
      </c>
      <c r="O48" s="64">
        <f t="shared" si="4"/>
        <v>0.2</v>
      </c>
      <c r="P48" s="17">
        <v>0</v>
      </c>
      <c r="Q48" s="64">
        <f t="shared" si="5"/>
        <v>0</v>
      </c>
      <c r="R48" s="25">
        <v>2</v>
      </c>
      <c r="S48" s="71">
        <f t="shared" si="6"/>
        <v>0.66666666666666663</v>
      </c>
      <c r="T48" s="17">
        <v>2</v>
      </c>
      <c r="U48" s="64">
        <f t="shared" si="7"/>
        <v>0.66666666666666663</v>
      </c>
      <c r="V48" s="17">
        <v>3</v>
      </c>
      <c r="W48" s="71">
        <f t="shared" si="8"/>
        <v>0.75</v>
      </c>
      <c r="X48" s="17">
        <v>2</v>
      </c>
      <c r="Y48" s="71">
        <f t="shared" si="9"/>
        <v>0.66666666666666663</v>
      </c>
      <c r="Z48" s="17">
        <v>3</v>
      </c>
      <c r="AA48" s="71">
        <f t="shared" si="10"/>
        <v>1</v>
      </c>
      <c r="AB48" s="17">
        <v>2</v>
      </c>
      <c r="AC48" s="71">
        <f t="shared" si="11"/>
        <v>1</v>
      </c>
      <c r="AD48" s="57">
        <v>1</v>
      </c>
      <c r="AE48" s="57">
        <v>0</v>
      </c>
      <c r="AF48" s="57">
        <v>1</v>
      </c>
      <c r="AG48" s="57">
        <v>0</v>
      </c>
      <c r="AH48" s="57">
        <v>0</v>
      </c>
      <c r="AI48" s="57">
        <v>0</v>
      </c>
      <c r="AJ48" s="20">
        <v>1</v>
      </c>
      <c r="AK48" s="71">
        <f t="shared" si="12"/>
        <v>0.5</v>
      </c>
      <c r="AL48" s="17">
        <v>1</v>
      </c>
      <c r="AM48" s="71">
        <f t="shared" si="13"/>
        <v>0.33333333333333331</v>
      </c>
      <c r="AN48" s="17">
        <v>0</v>
      </c>
      <c r="AO48" s="71">
        <f t="shared" si="14"/>
        <v>0</v>
      </c>
      <c r="AP48" s="17">
        <v>2</v>
      </c>
      <c r="AQ48" s="71">
        <f t="shared" si="15"/>
        <v>0.66666666666666663</v>
      </c>
      <c r="AR48" s="57">
        <v>1</v>
      </c>
      <c r="AS48" s="17">
        <v>2</v>
      </c>
      <c r="AT48" s="71">
        <f t="shared" si="16"/>
        <v>0.66666666666666663</v>
      </c>
      <c r="AU48" s="17">
        <v>3</v>
      </c>
      <c r="AV48" s="71">
        <f t="shared" si="17"/>
        <v>1</v>
      </c>
      <c r="AW48" s="17">
        <v>0</v>
      </c>
      <c r="AX48" s="71">
        <f t="shared" si="18"/>
        <v>0</v>
      </c>
      <c r="AY48" s="17">
        <v>2</v>
      </c>
      <c r="AZ48" s="71">
        <f t="shared" si="19"/>
        <v>0.66666666666666663</v>
      </c>
      <c r="BA48" s="73">
        <v>0</v>
      </c>
      <c r="BB48" s="73">
        <v>1</v>
      </c>
      <c r="BC48" s="73">
        <v>1</v>
      </c>
      <c r="BD48" s="73">
        <v>0</v>
      </c>
      <c r="BE48" s="81">
        <f t="shared" si="20"/>
        <v>0.62249999999999994</v>
      </c>
      <c r="BF48" s="81" t="str">
        <f t="shared" si="21"/>
        <v>MEDIO</v>
      </c>
    </row>
    <row r="49" spans="1:58" x14ac:dyDescent="0.15">
      <c r="A49" s="58">
        <v>3</v>
      </c>
      <c r="B49" s="58">
        <v>1</v>
      </c>
      <c r="C49" s="58">
        <v>3</v>
      </c>
      <c r="D49" s="58">
        <v>2</v>
      </c>
      <c r="E49" s="58">
        <v>1</v>
      </c>
      <c r="F49" s="18">
        <v>1</v>
      </c>
      <c r="G49" s="64">
        <f t="shared" si="0"/>
        <v>0.5</v>
      </c>
      <c r="H49" s="18">
        <v>2</v>
      </c>
      <c r="I49" s="64">
        <f t="shared" si="1"/>
        <v>1</v>
      </c>
      <c r="J49" s="18">
        <v>1</v>
      </c>
      <c r="K49" s="64">
        <f t="shared" si="2"/>
        <v>0.5</v>
      </c>
      <c r="L49" s="18">
        <v>0</v>
      </c>
      <c r="M49" s="64">
        <f t="shared" si="3"/>
        <v>0</v>
      </c>
      <c r="N49" s="18">
        <v>0</v>
      </c>
      <c r="O49" s="64">
        <f t="shared" si="4"/>
        <v>0</v>
      </c>
      <c r="P49" s="18">
        <v>3</v>
      </c>
      <c r="Q49" s="64">
        <f t="shared" si="5"/>
        <v>1</v>
      </c>
      <c r="R49" s="24">
        <v>0</v>
      </c>
      <c r="S49" s="71">
        <f t="shared" si="6"/>
        <v>0</v>
      </c>
      <c r="T49" s="18">
        <v>2</v>
      </c>
      <c r="U49" s="64">
        <f t="shared" si="7"/>
        <v>0.66666666666666663</v>
      </c>
      <c r="V49" s="18">
        <v>3</v>
      </c>
      <c r="W49" s="71">
        <f t="shared" si="8"/>
        <v>0.75</v>
      </c>
      <c r="X49" s="18">
        <v>2</v>
      </c>
      <c r="Y49" s="71">
        <f t="shared" si="9"/>
        <v>0.66666666666666663</v>
      </c>
      <c r="Z49" s="18">
        <v>1</v>
      </c>
      <c r="AA49" s="71">
        <f t="shared" si="10"/>
        <v>0.33333333333333331</v>
      </c>
      <c r="AB49" s="18">
        <v>2</v>
      </c>
      <c r="AC49" s="71">
        <f t="shared" si="11"/>
        <v>1</v>
      </c>
      <c r="AD49" s="58">
        <v>1</v>
      </c>
      <c r="AE49" s="58">
        <v>0</v>
      </c>
      <c r="AF49" s="58">
        <v>1</v>
      </c>
      <c r="AG49" s="58">
        <v>0</v>
      </c>
      <c r="AH49" s="58">
        <v>0</v>
      </c>
      <c r="AI49" s="58">
        <v>0</v>
      </c>
      <c r="AJ49" s="20">
        <v>1</v>
      </c>
      <c r="AK49" s="71">
        <f t="shared" si="12"/>
        <v>0.5</v>
      </c>
      <c r="AL49" s="18">
        <v>1</v>
      </c>
      <c r="AM49" s="71">
        <f t="shared" si="13"/>
        <v>0.33333333333333331</v>
      </c>
      <c r="AN49" s="18">
        <v>1</v>
      </c>
      <c r="AO49" s="71">
        <f t="shared" si="14"/>
        <v>0.33333333333333331</v>
      </c>
      <c r="AP49" s="18">
        <v>2</v>
      </c>
      <c r="AQ49" s="71">
        <f t="shared" si="15"/>
        <v>0.66666666666666663</v>
      </c>
      <c r="AR49" s="58">
        <v>2</v>
      </c>
      <c r="AS49" s="18">
        <v>2</v>
      </c>
      <c r="AT49" s="71">
        <f t="shared" si="16"/>
        <v>0.66666666666666663</v>
      </c>
      <c r="AU49" s="18">
        <v>0</v>
      </c>
      <c r="AV49" s="71">
        <f t="shared" si="17"/>
        <v>0</v>
      </c>
      <c r="AW49" s="18">
        <v>1</v>
      </c>
      <c r="AX49" s="71">
        <f t="shared" si="18"/>
        <v>0.5</v>
      </c>
      <c r="AY49" s="18">
        <v>0</v>
      </c>
      <c r="AZ49" s="71">
        <f t="shared" si="19"/>
        <v>0</v>
      </c>
      <c r="BA49" s="74">
        <v>0</v>
      </c>
      <c r="BB49" s="74">
        <v>0</v>
      </c>
      <c r="BC49" s="74">
        <v>0</v>
      </c>
      <c r="BD49" s="74">
        <v>1</v>
      </c>
      <c r="BE49" s="81">
        <f t="shared" si="20"/>
        <v>0.49583333333333329</v>
      </c>
      <c r="BF49" s="81" t="str">
        <f t="shared" si="21"/>
        <v>MEDIO</v>
      </c>
    </row>
    <row r="50" spans="1:58" x14ac:dyDescent="0.15">
      <c r="A50" s="57">
        <v>4</v>
      </c>
      <c r="B50" s="57">
        <v>1</v>
      </c>
      <c r="C50" s="57">
        <v>2</v>
      </c>
      <c r="D50" s="57">
        <v>2</v>
      </c>
      <c r="E50" s="58">
        <v>1</v>
      </c>
      <c r="F50" s="17">
        <v>2</v>
      </c>
      <c r="G50" s="64">
        <f t="shared" si="0"/>
        <v>1</v>
      </c>
      <c r="H50" s="17">
        <v>2</v>
      </c>
      <c r="I50" s="64">
        <f t="shared" si="1"/>
        <v>1</v>
      </c>
      <c r="J50" s="17">
        <v>2</v>
      </c>
      <c r="K50" s="64">
        <f t="shared" si="2"/>
        <v>1</v>
      </c>
      <c r="L50" s="17">
        <v>3</v>
      </c>
      <c r="M50" s="64">
        <f t="shared" si="3"/>
        <v>1</v>
      </c>
      <c r="N50" s="17">
        <v>1</v>
      </c>
      <c r="O50" s="64">
        <f t="shared" si="4"/>
        <v>0.2</v>
      </c>
      <c r="P50" s="17">
        <v>3</v>
      </c>
      <c r="Q50" s="64">
        <f t="shared" si="5"/>
        <v>1</v>
      </c>
      <c r="R50" s="25">
        <v>2</v>
      </c>
      <c r="S50" s="71">
        <f t="shared" si="6"/>
        <v>0.66666666666666663</v>
      </c>
      <c r="T50" s="17">
        <v>3</v>
      </c>
      <c r="U50" s="64">
        <f t="shared" si="7"/>
        <v>1</v>
      </c>
      <c r="V50" s="17">
        <v>4</v>
      </c>
      <c r="W50" s="71">
        <f t="shared" si="8"/>
        <v>1</v>
      </c>
      <c r="X50" s="17">
        <v>2</v>
      </c>
      <c r="Y50" s="71">
        <f t="shared" si="9"/>
        <v>0.66666666666666663</v>
      </c>
      <c r="Z50" s="17">
        <v>2</v>
      </c>
      <c r="AA50" s="71">
        <f t="shared" si="10"/>
        <v>0.66666666666666663</v>
      </c>
      <c r="AB50" s="17">
        <v>2</v>
      </c>
      <c r="AC50" s="71">
        <f t="shared" si="11"/>
        <v>1</v>
      </c>
      <c r="AD50" s="57">
        <v>1</v>
      </c>
      <c r="AE50" s="57">
        <v>0</v>
      </c>
      <c r="AF50" s="57">
        <v>1</v>
      </c>
      <c r="AG50" s="57">
        <v>0</v>
      </c>
      <c r="AH50" s="57">
        <v>0</v>
      </c>
      <c r="AI50" s="57">
        <v>0</v>
      </c>
      <c r="AJ50" s="20">
        <v>1</v>
      </c>
      <c r="AK50" s="71">
        <f t="shared" si="12"/>
        <v>0.5</v>
      </c>
      <c r="AL50" s="17">
        <v>2</v>
      </c>
      <c r="AM50" s="71">
        <f t="shared" si="13"/>
        <v>0.66666666666666663</v>
      </c>
      <c r="AN50" s="17">
        <v>2</v>
      </c>
      <c r="AO50" s="71">
        <f t="shared" si="14"/>
        <v>0.66666666666666663</v>
      </c>
      <c r="AP50" s="17">
        <v>3</v>
      </c>
      <c r="AQ50" s="71">
        <f t="shared" si="15"/>
        <v>1</v>
      </c>
      <c r="AR50" s="57">
        <v>2</v>
      </c>
      <c r="AS50" s="17">
        <v>3</v>
      </c>
      <c r="AT50" s="71">
        <f t="shared" si="16"/>
        <v>1</v>
      </c>
      <c r="AU50" s="17">
        <v>3</v>
      </c>
      <c r="AV50" s="71">
        <f t="shared" si="17"/>
        <v>1</v>
      </c>
      <c r="AW50" s="17">
        <v>2</v>
      </c>
      <c r="AX50" s="71">
        <f t="shared" si="18"/>
        <v>1</v>
      </c>
      <c r="AY50" s="17">
        <v>3</v>
      </c>
      <c r="AZ50" s="71">
        <f t="shared" si="19"/>
        <v>1</v>
      </c>
      <c r="BA50" s="73">
        <v>1</v>
      </c>
      <c r="BB50" s="73">
        <v>1</v>
      </c>
      <c r="BC50" s="73">
        <v>0</v>
      </c>
      <c r="BD50" s="73">
        <v>0</v>
      </c>
      <c r="BE50" s="81">
        <f t="shared" si="20"/>
        <v>0.90166666666666662</v>
      </c>
      <c r="BF50" s="81" t="str">
        <f t="shared" si="21"/>
        <v>ALTO</v>
      </c>
    </row>
    <row r="51" spans="1:58" x14ac:dyDescent="0.15">
      <c r="A51" s="58">
        <v>3</v>
      </c>
      <c r="B51" s="58">
        <v>1</v>
      </c>
      <c r="C51" s="58">
        <v>1</v>
      </c>
      <c r="D51" s="58">
        <v>2</v>
      </c>
      <c r="E51" s="58">
        <v>1</v>
      </c>
      <c r="F51" s="18">
        <v>1</v>
      </c>
      <c r="G51" s="64">
        <f t="shared" si="0"/>
        <v>0.5</v>
      </c>
      <c r="H51" s="18">
        <v>1</v>
      </c>
      <c r="I51" s="64">
        <f t="shared" si="1"/>
        <v>0.5</v>
      </c>
      <c r="J51" s="18">
        <v>2</v>
      </c>
      <c r="K51" s="64">
        <f t="shared" si="2"/>
        <v>1</v>
      </c>
      <c r="L51" s="18">
        <v>2</v>
      </c>
      <c r="M51" s="64">
        <f t="shared" si="3"/>
        <v>0.66666666666666663</v>
      </c>
      <c r="N51" s="18">
        <v>1</v>
      </c>
      <c r="O51" s="64">
        <f t="shared" si="4"/>
        <v>0.2</v>
      </c>
      <c r="P51" s="18">
        <v>0</v>
      </c>
      <c r="Q51" s="64">
        <f t="shared" si="5"/>
        <v>0</v>
      </c>
      <c r="R51" s="24">
        <v>3</v>
      </c>
      <c r="S51" s="71">
        <f t="shared" si="6"/>
        <v>1</v>
      </c>
      <c r="T51" s="18">
        <v>3</v>
      </c>
      <c r="U51" s="64">
        <f t="shared" si="7"/>
        <v>1</v>
      </c>
      <c r="V51" s="18">
        <v>3</v>
      </c>
      <c r="W51" s="71">
        <f t="shared" si="8"/>
        <v>0.75</v>
      </c>
      <c r="X51" s="18">
        <v>3</v>
      </c>
      <c r="Y51" s="71">
        <f t="shared" si="9"/>
        <v>1</v>
      </c>
      <c r="Z51" s="18">
        <v>3</v>
      </c>
      <c r="AA51" s="71">
        <f t="shared" si="10"/>
        <v>1</v>
      </c>
      <c r="AB51" s="18">
        <v>2</v>
      </c>
      <c r="AC51" s="71">
        <f t="shared" si="11"/>
        <v>1</v>
      </c>
      <c r="AD51" s="58">
        <v>1</v>
      </c>
      <c r="AE51" s="58">
        <v>0</v>
      </c>
      <c r="AF51" s="58">
        <v>1</v>
      </c>
      <c r="AG51" s="58">
        <v>0</v>
      </c>
      <c r="AH51" s="58">
        <v>0</v>
      </c>
      <c r="AI51" s="58">
        <v>0</v>
      </c>
      <c r="AJ51" s="19">
        <v>1</v>
      </c>
      <c r="AK51" s="71">
        <f t="shared" si="12"/>
        <v>0.5</v>
      </c>
      <c r="AL51" s="18">
        <v>0</v>
      </c>
      <c r="AM51" s="71">
        <f t="shared" si="13"/>
        <v>0</v>
      </c>
      <c r="AN51" s="18">
        <v>1</v>
      </c>
      <c r="AO51" s="71">
        <f t="shared" si="14"/>
        <v>0.33333333333333331</v>
      </c>
      <c r="AP51" s="18">
        <v>3</v>
      </c>
      <c r="AQ51" s="71">
        <f t="shared" si="15"/>
        <v>1</v>
      </c>
      <c r="AR51" s="58">
        <v>1</v>
      </c>
      <c r="AS51" s="18">
        <v>2</v>
      </c>
      <c r="AT51" s="71">
        <f t="shared" si="16"/>
        <v>0.66666666666666663</v>
      </c>
      <c r="AU51" s="18">
        <v>3</v>
      </c>
      <c r="AV51" s="71">
        <f t="shared" si="17"/>
        <v>1</v>
      </c>
      <c r="AW51" s="18">
        <v>2</v>
      </c>
      <c r="AX51" s="71">
        <f t="shared" si="18"/>
        <v>1</v>
      </c>
      <c r="AY51" s="18">
        <v>3</v>
      </c>
      <c r="AZ51" s="71">
        <f t="shared" si="19"/>
        <v>1</v>
      </c>
      <c r="BA51" s="74">
        <v>1</v>
      </c>
      <c r="BB51" s="74">
        <v>0</v>
      </c>
      <c r="BC51" s="74">
        <v>1</v>
      </c>
      <c r="BD51" s="74">
        <v>0</v>
      </c>
      <c r="BE51" s="81">
        <f t="shared" si="20"/>
        <v>0.73083333333333333</v>
      </c>
      <c r="BF51" s="81" t="str">
        <f t="shared" si="21"/>
        <v>ALTO</v>
      </c>
    </row>
    <row r="52" spans="1:58" x14ac:dyDescent="0.15">
      <c r="A52" s="57">
        <v>1</v>
      </c>
      <c r="B52" s="57">
        <v>1</v>
      </c>
      <c r="C52" s="57">
        <v>1</v>
      </c>
      <c r="D52" s="57">
        <v>2</v>
      </c>
      <c r="E52" s="58">
        <v>1</v>
      </c>
      <c r="F52" s="17">
        <v>2</v>
      </c>
      <c r="G52" s="64">
        <f t="shared" si="0"/>
        <v>1</v>
      </c>
      <c r="H52" s="17">
        <v>2</v>
      </c>
      <c r="I52" s="64">
        <f t="shared" si="1"/>
        <v>1</v>
      </c>
      <c r="J52" s="17">
        <v>2</v>
      </c>
      <c r="K52" s="64">
        <f t="shared" si="2"/>
        <v>1</v>
      </c>
      <c r="L52" s="17">
        <v>3</v>
      </c>
      <c r="M52" s="64">
        <f t="shared" si="3"/>
        <v>1</v>
      </c>
      <c r="N52" s="17">
        <v>0</v>
      </c>
      <c r="O52" s="64">
        <f t="shared" si="4"/>
        <v>0</v>
      </c>
      <c r="P52" s="17">
        <v>0</v>
      </c>
      <c r="Q52" s="64">
        <f t="shared" si="5"/>
        <v>0</v>
      </c>
      <c r="R52" s="25">
        <v>3</v>
      </c>
      <c r="S52" s="71">
        <f t="shared" si="6"/>
        <v>1</v>
      </c>
      <c r="T52" s="17">
        <v>3</v>
      </c>
      <c r="U52" s="64">
        <f t="shared" si="7"/>
        <v>1</v>
      </c>
      <c r="V52" s="17">
        <v>3</v>
      </c>
      <c r="W52" s="71">
        <f t="shared" si="8"/>
        <v>0.75</v>
      </c>
      <c r="X52" s="17">
        <v>3</v>
      </c>
      <c r="Y52" s="71">
        <f t="shared" si="9"/>
        <v>1</v>
      </c>
      <c r="Z52" s="17">
        <v>3</v>
      </c>
      <c r="AA52" s="71">
        <f t="shared" si="10"/>
        <v>1</v>
      </c>
      <c r="AB52" s="17">
        <v>3</v>
      </c>
      <c r="AC52" s="71">
        <f t="shared" si="11"/>
        <v>1.5</v>
      </c>
      <c r="AD52" s="57">
        <v>1</v>
      </c>
      <c r="AE52" s="57">
        <v>0</v>
      </c>
      <c r="AF52" s="57">
        <v>0</v>
      </c>
      <c r="AG52" s="57">
        <v>1</v>
      </c>
      <c r="AH52" s="57">
        <v>0</v>
      </c>
      <c r="AI52" s="57">
        <v>0</v>
      </c>
      <c r="AJ52" s="20">
        <v>1</v>
      </c>
      <c r="AK52" s="71">
        <f t="shared" si="12"/>
        <v>0.5</v>
      </c>
      <c r="AL52" s="17">
        <v>0</v>
      </c>
      <c r="AM52" s="71">
        <f t="shared" si="13"/>
        <v>0</v>
      </c>
      <c r="AN52" s="17">
        <v>0</v>
      </c>
      <c r="AO52" s="71">
        <f t="shared" si="14"/>
        <v>0</v>
      </c>
      <c r="AP52" s="17">
        <v>3</v>
      </c>
      <c r="AQ52" s="71">
        <f t="shared" si="15"/>
        <v>1</v>
      </c>
      <c r="AR52" s="57">
        <v>0</v>
      </c>
      <c r="AS52" s="17">
        <v>3</v>
      </c>
      <c r="AT52" s="71">
        <f t="shared" si="16"/>
        <v>1</v>
      </c>
      <c r="AU52" s="17">
        <v>3</v>
      </c>
      <c r="AV52" s="71">
        <f t="shared" si="17"/>
        <v>1</v>
      </c>
      <c r="AW52" s="17">
        <v>2</v>
      </c>
      <c r="AX52" s="71">
        <f t="shared" si="18"/>
        <v>1</v>
      </c>
      <c r="AY52" s="17">
        <v>2</v>
      </c>
      <c r="AZ52" s="71">
        <f t="shared" si="19"/>
        <v>0.66666666666666663</v>
      </c>
      <c r="BA52" s="73">
        <v>1</v>
      </c>
      <c r="BB52" s="73">
        <v>1</v>
      </c>
      <c r="BC52" s="73">
        <v>0</v>
      </c>
      <c r="BD52" s="73">
        <v>0</v>
      </c>
      <c r="BE52" s="81">
        <f t="shared" si="20"/>
        <v>0.82083333333333341</v>
      </c>
      <c r="BF52" s="81" t="str">
        <f t="shared" si="21"/>
        <v>ALTO</v>
      </c>
    </row>
    <row r="53" spans="1:58" x14ac:dyDescent="0.15">
      <c r="A53" s="58">
        <v>2</v>
      </c>
      <c r="B53" s="58">
        <v>1</v>
      </c>
      <c r="C53" s="58">
        <v>3</v>
      </c>
      <c r="D53" s="58">
        <v>2</v>
      </c>
      <c r="E53" s="58">
        <v>1</v>
      </c>
      <c r="F53" s="18">
        <v>2</v>
      </c>
      <c r="G53" s="64">
        <f t="shared" si="0"/>
        <v>1</v>
      </c>
      <c r="H53" s="18">
        <v>2</v>
      </c>
      <c r="I53" s="64">
        <f t="shared" si="1"/>
        <v>1</v>
      </c>
      <c r="J53" s="18">
        <v>2</v>
      </c>
      <c r="K53" s="64">
        <f t="shared" si="2"/>
        <v>1</v>
      </c>
      <c r="L53" s="18">
        <v>3</v>
      </c>
      <c r="M53" s="64">
        <f t="shared" si="3"/>
        <v>1</v>
      </c>
      <c r="N53" s="18">
        <v>4</v>
      </c>
      <c r="O53" s="64">
        <f t="shared" si="4"/>
        <v>0.8</v>
      </c>
      <c r="P53" s="18">
        <v>3</v>
      </c>
      <c r="Q53" s="64">
        <f t="shared" si="5"/>
        <v>1</v>
      </c>
      <c r="R53" s="24">
        <v>3</v>
      </c>
      <c r="S53" s="71">
        <f t="shared" si="6"/>
        <v>1</v>
      </c>
      <c r="T53" s="18">
        <v>2</v>
      </c>
      <c r="U53" s="64">
        <f t="shared" si="7"/>
        <v>0.66666666666666663</v>
      </c>
      <c r="V53" s="18">
        <v>4</v>
      </c>
      <c r="W53" s="71">
        <f t="shared" si="8"/>
        <v>1</v>
      </c>
      <c r="X53" s="18">
        <v>3</v>
      </c>
      <c r="Y53" s="71">
        <f t="shared" si="9"/>
        <v>1</v>
      </c>
      <c r="Z53" s="18">
        <v>3</v>
      </c>
      <c r="AA53" s="71">
        <f t="shared" si="10"/>
        <v>1</v>
      </c>
      <c r="AB53" s="18">
        <v>2</v>
      </c>
      <c r="AC53" s="71">
        <f t="shared" si="11"/>
        <v>1</v>
      </c>
      <c r="AD53" s="58">
        <v>1</v>
      </c>
      <c r="AE53" s="58">
        <v>0</v>
      </c>
      <c r="AF53" s="58">
        <v>1</v>
      </c>
      <c r="AG53" s="58">
        <v>0</v>
      </c>
      <c r="AH53" s="58">
        <v>0</v>
      </c>
      <c r="AI53" s="58">
        <v>0</v>
      </c>
      <c r="AJ53" s="19">
        <v>2</v>
      </c>
      <c r="AK53" s="71">
        <f t="shared" si="12"/>
        <v>1</v>
      </c>
      <c r="AL53" s="18">
        <v>3</v>
      </c>
      <c r="AM53" s="71">
        <f t="shared" si="13"/>
        <v>1</v>
      </c>
      <c r="AN53" s="18">
        <v>2</v>
      </c>
      <c r="AO53" s="71">
        <f t="shared" si="14"/>
        <v>0.66666666666666663</v>
      </c>
      <c r="AP53" s="18">
        <v>2</v>
      </c>
      <c r="AQ53" s="71">
        <f t="shared" si="15"/>
        <v>0.66666666666666663</v>
      </c>
      <c r="AR53" s="58">
        <v>2</v>
      </c>
      <c r="AS53" s="18">
        <v>2</v>
      </c>
      <c r="AT53" s="71">
        <f t="shared" si="16"/>
        <v>0.66666666666666663</v>
      </c>
      <c r="AU53" s="18">
        <v>3</v>
      </c>
      <c r="AV53" s="71">
        <f t="shared" si="17"/>
        <v>1</v>
      </c>
      <c r="AW53" s="18">
        <v>2</v>
      </c>
      <c r="AX53" s="71">
        <f t="shared" si="18"/>
        <v>1</v>
      </c>
      <c r="AY53" s="18">
        <v>3</v>
      </c>
      <c r="AZ53" s="71">
        <f t="shared" si="19"/>
        <v>1</v>
      </c>
      <c r="BA53" s="74">
        <v>1</v>
      </c>
      <c r="BB53" s="74">
        <v>1</v>
      </c>
      <c r="BC53" s="74">
        <v>0</v>
      </c>
      <c r="BD53" s="74">
        <v>0</v>
      </c>
      <c r="BE53" s="81">
        <f t="shared" si="20"/>
        <v>0.97333333333333327</v>
      </c>
      <c r="BF53" s="81" t="str">
        <f t="shared" si="21"/>
        <v>ALTO</v>
      </c>
    </row>
    <row r="54" spans="1:58" x14ac:dyDescent="0.15">
      <c r="A54" s="57">
        <v>3</v>
      </c>
      <c r="B54" s="57">
        <v>1</v>
      </c>
      <c r="C54" s="57">
        <v>2</v>
      </c>
      <c r="D54" s="57">
        <v>2</v>
      </c>
      <c r="E54" s="58">
        <v>1</v>
      </c>
      <c r="F54" s="17">
        <v>1</v>
      </c>
      <c r="G54" s="64">
        <f t="shared" si="0"/>
        <v>0.5</v>
      </c>
      <c r="H54" s="17">
        <v>1</v>
      </c>
      <c r="I54" s="64">
        <f t="shared" si="1"/>
        <v>0.5</v>
      </c>
      <c r="J54" s="17">
        <v>1</v>
      </c>
      <c r="K54" s="64">
        <f t="shared" si="2"/>
        <v>0.5</v>
      </c>
      <c r="L54" s="17">
        <v>2</v>
      </c>
      <c r="M54" s="64">
        <f t="shared" si="3"/>
        <v>0.66666666666666663</v>
      </c>
      <c r="N54" s="17">
        <v>2</v>
      </c>
      <c r="O54" s="64">
        <f t="shared" si="4"/>
        <v>0.4</v>
      </c>
      <c r="P54" s="17">
        <v>2</v>
      </c>
      <c r="Q54" s="64">
        <f t="shared" si="5"/>
        <v>0.66666666666666663</v>
      </c>
      <c r="R54" s="25">
        <v>3</v>
      </c>
      <c r="S54" s="71">
        <f t="shared" si="6"/>
        <v>1</v>
      </c>
      <c r="T54" s="17">
        <v>2</v>
      </c>
      <c r="U54" s="64">
        <f t="shared" si="7"/>
        <v>0.66666666666666663</v>
      </c>
      <c r="V54" s="17">
        <v>3</v>
      </c>
      <c r="W54" s="71">
        <f t="shared" si="8"/>
        <v>0.75</v>
      </c>
      <c r="X54" s="17">
        <v>3</v>
      </c>
      <c r="Y54" s="71">
        <f t="shared" si="9"/>
        <v>1</v>
      </c>
      <c r="Z54" s="17">
        <v>3</v>
      </c>
      <c r="AA54" s="71">
        <f t="shared" si="10"/>
        <v>1</v>
      </c>
      <c r="AB54" s="17">
        <v>1</v>
      </c>
      <c r="AC54" s="71">
        <f t="shared" si="11"/>
        <v>0.5</v>
      </c>
      <c r="AD54" s="57">
        <v>1</v>
      </c>
      <c r="AE54" s="57">
        <v>0</v>
      </c>
      <c r="AF54" s="57">
        <v>1</v>
      </c>
      <c r="AG54" s="57">
        <v>0</v>
      </c>
      <c r="AH54" s="57">
        <v>0</v>
      </c>
      <c r="AI54" s="57">
        <v>0</v>
      </c>
      <c r="AJ54" s="20">
        <v>1</v>
      </c>
      <c r="AK54" s="71">
        <f t="shared" si="12"/>
        <v>0.5</v>
      </c>
      <c r="AL54" s="17">
        <v>2</v>
      </c>
      <c r="AM54" s="71">
        <f t="shared" si="13"/>
        <v>0.66666666666666663</v>
      </c>
      <c r="AN54" s="17">
        <v>1</v>
      </c>
      <c r="AO54" s="71">
        <f t="shared" si="14"/>
        <v>0.33333333333333331</v>
      </c>
      <c r="AP54" s="17">
        <v>1</v>
      </c>
      <c r="AQ54" s="71">
        <f t="shared" si="15"/>
        <v>0.33333333333333331</v>
      </c>
      <c r="AR54" s="57">
        <v>3</v>
      </c>
      <c r="AS54" s="17">
        <v>0</v>
      </c>
      <c r="AT54" s="71">
        <f t="shared" si="16"/>
        <v>0</v>
      </c>
      <c r="AU54" s="17">
        <v>2</v>
      </c>
      <c r="AV54" s="71">
        <f t="shared" si="17"/>
        <v>0.66666666666666663</v>
      </c>
      <c r="AW54" s="17">
        <v>0</v>
      </c>
      <c r="AX54" s="71">
        <f t="shared" si="18"/>
        <v>0</v>
      </c>
      <c r="AY54" s="17">
        <v>2</v>
      </c>
      <c r="AZ54" s="71">
        <f t="shared" si="19"/>
        <v>0.66666666666666663</v>
      </c>
      <c r="BA54" s="73">
        <v>0</v>
      </c>
      <c r="BB54" s="73">
        <v>1</v>
      </c>
      <c r="BC54" s="73">
        <v>0</v>
      </c>
      <c r="BD54" s="73">
        <v>0</v>
      </c>
      <c r="BE54" s="81">
        <f t="shared" si="20"/>
        <v>0.59083333333333321</v>
      </c>
      <c r="BF54" s="81" t="str">
        <f t="shared" si="21"/>
        <v>MEDIO</v>
      </c>
    </row>
    <row r="55" spans="1:58" x14ac:dyDescent="0.15">
      <c r="A55" s="58">
        <v>4</v>
      </c>
      <c r="B55" s="58">
        <v>1</v>
      </c>
      <c r="C55" s="58">
        <v>1</v>
      </c>
      <c r="D55" s="58">
        <v>0</v>
      </c>
      <c r="E55" s="58">
        <v>1</v>
      </c>
      <c r="F55" s="18">
        <v>1</v>
      </c>
      <c r="G55" s="64">
        <f t="shared" si="0"/>
        <v>0.5</v>
      </c>
      <c r="H55" s="18">
        <v>2</v>
      </c>
      <c r="I55" s="64">
        <f t="shared" si="1"/>
        <v>1</v>
      </c>
      <c r="J55" s="18">
        <v>2</v>
      </c>
      <c r="K55" s="64">
        <f t="shared" si="2"/>
        <v>1</v>
      </c>
      <c r="L55" s="18">
        <v>2</v>
      </c>
      <c r="M55" s="64">
        <f t="shared" si="3"/>
        <v>0.66666666666666663</v>
      </c>
      <c r="N55" s="18">
        <v>1</v>
      </c>
      <c r="O55" s="64">
        <f t="shared" si="4"/>
        <v>0.2</v>
      </c>
      <c r="P55" s="18">
        <v>3</v>
      </c>
      <c r="Q55" s="64">
        <f t="shared" si="5"/>
        <v>1</v>
      </c>
      <c r="R55" s="24">
        <v>3</v>
      </c>
      <c r="S55" s="71">
        <f t="shared" si="6"/>
        <v>1</v>
      </c>
      <c r="T55" s="18">
        <v>3</v>
      </c>
      <c r="U55" s="64">
        <f t="shared" si="7"/>
        <v>1</v>
      </c>
      <c r="V55" s="18">
        <v>3</v>
      </c>
      <c r="W55" s="71">
        <f t="shared" si="8"/>
        <v>0.75</v>
      </c>
      <c r="X55" s="18">
        <v>3</v>
      </c>
      <c r="Y55" s="71">
        <f t="shared" si="9"/>
        <v>1</v>
      </c>
      <c r="Z55" s="18">
        <v>2</v>
      </c>
      <c r="AA55" s="71">
        <f t="shared" si="10"/>
        <v>0.66666666666666663</v>
      </c>
      <c r="AB55" s="18">
        <v>2</v>
      </c>
      <c r="AC55" s="71">
        <f t="shared" si="11"/>
        <v>1</v>
      </c>
      <c r="AD55" s="58">
        <v>1</v>
      </c>
      <c r="AE55" s="58">
        <v>0</v>
      </c>
      <c r="AF55" s="58">
        <v>1</v>
      </c>
      <c r="AG55" s="58">
        <v>0</v>
      </c>
      <c r="AH55" s="58">
        <v>0</v>
      </c>
      <c r="AI55" s="58">
        <v>0</v>
      </c>
      <c r="AJ55" s="19">
        <v>1</v>
      </c>
      <c r="AK55" s="71">
        <f t="shared" si="12"/>
        <v>0.5</v>
      </c>
      <c r="AL55" s="18">
        <v>2</v>
      </c>
      <c r="AM55" s="71">
        <f t="shared" si="13"/>
        <v>0.66666666666666663</v>
      </c>
      <c r="AN55" s="18">
        <v>1</v>
      </c>
      <c r="AO55" s="71">
        <f t="shared" si="14"/>
        <v>0.33333333333333331</v>
      </c>
      <c r="AP55" s="18">
        <v>2</v>
      </c>
      <c r="AQ55" s="71">
        <f t="shared" si="15"/>
        <v>0.66666666666666663</v>
      </c>
      <c r="AR55" s="58">
        <v>0</v>
      </c>
      <c r="AS55" s="18">
        <v>0</v>
      </c>
      <c r="AT55" s="71">
        <f t="shared" si="16"/>
        <v>0</v>
      </c>
      <c r="AU55" s="18">
        <v>3</v>
      </c>
      <c r="AV55" s="71">
        <f t="shared" si="17"/>
        <v>1</v>
      </c>
      <c r="AW55" s="18">
        <v>1</v>
      </c>
      <c r="AX55" s="71">
        <f t="shared" si="18"/>
        <v>0.5</v>
      </c>
      <c r="AY55" s="18">
        <v>3</v>
      </c>
      <c r="AZ55" s="71">
        <f t="shared" si="19"/>
        <v>1</v>
      </c>
      <c r="BA55" s="74">
        <v>0</v>
      </c>
      <c r="BB55" s="74">
        <v>0</v>
      </c>
      <c r="BC55" s="74">
        <v>0</v>
      </c>
      <c r="BD55" s="74">
        <v>1</v>
      </c>
      <c r="BE55" s="81">
        <f t="shared" si="20"/>
        <v>0.74749999999999994</v>
      </c>
      <c r="BF55" s="81" t="str">
        <f t="shared" si="21"/>
        <v>ALTO</v>
      </c>
    </row>
    <row r="56" spans="1:58" x14ac:dyDescent="0.15">
      <c r="A56" s="57">
        <v>3</v>
      </c>
      <c r="B56" s="57">
        <v>2</v>
      </c>
      <c r="C56" s="57">
        <v>2</v>
      </c>
      <c r="D56" s="57">
        <v>3</v>
      </c>
      <c r="E56" s="58">
        <v>1</v>
      </c>
      <c r="F56" s="17">
        <v>2</v>
      </c>
      <c r="G56" s="64">
        <f t="shared" si="0"/>
        <v>1</v>
      </c>
      <c r="H56" s="17">
        <v>0</v>
      </c>
      <c r="I56" s="64">
        <f t="shared" si="1"/>
        <v>0</v>
      </c>
      <c r="J56" s="17">
        <v>0</v>
      </c>
      <c r="K56" s="64">
        <f t="shared" si="2"/>
        <v>0</v>
      </c>
      <c r="L56" s="17">
        <v>0</v>
      </c>
      <c r="M56" s="64">
        <f t="shared" si="3"/>
        <v>0</v>
      </c>
      <c r="N56" s="17">
        <v>2</v>
      </c>
      <c r="O56" s="64">
        <f t="shared" si="4"/>
        <v>0.4</v>
      </c>
      <c r="P56" s="17">
        <v>0</v>
      </c>
      <c r="Q56" s="64">
        <f t="shared" si="5"/>
        <v>0</v>
      </c>
      <c r="R56" s="25">
        <v>0</v>
      </c>
      <c r="S56" s="71">
        <f t="shared" si="6"/>
        <v>0</v>
      </c>
      <c r="T56" s="17">
        <v>0</v>
      </c>
      <c r="U56" s="64">
        <f t="shared" si="7"/>
        <v>0</v>
      </c>
      <c r="V56" s="17">
        <v>1</v>
      </c>
      <c r="W56" s="71">
        <f t="shared" si="8"/>
        <v>0.25</v>
      </c>
      <c r="X56" s="17">
        <v>0</v>
      </c>
      <c r="Y56" s="71">
        <f t="shared" si="9"/>
        <v>0</v>
      </c>
      <c r="Z56" s="17">
        <v>1</v>
      </c>
      <c r="AA56" s="71">
        <f t="shared" si="10"/>
        <v>0.33333333333333331</v>
      </c>
      <c r="AB56" s="17">
        <v>3</v>
      </c>
      <c r="AC56" s="71">
        <f t="shared" si="11"/>
        <v>1.5</v>
      </c>
      <c r="AD56" s="57">
        <v>0</v>
      </c>
      <c r="AE56" s="57">
        <v>0</v>
      </c>
      <c r="AF56" s="57">
        <v>1</v>
      </c>
      <c r="AG56" s="57">
        <v>1</v>
      </c>
      <c r="AH56" s="57">
        <v>0</v>
      </c>
      <c r="AI56" s="57">
        <v>0</v>
      </c>
      <c r="AJ56" s="20">
        <v>1</v>
      </c>
      <c r="AK56" s="71">
        <f t="shared" si="12"/>
        <v>0.5</v>
      </c>
      <c r="AL56" s="17">
        <v>0</v>
      </c>
      <c r="AM56" s="71">
        <f t="shared" si="13"/>
        <v>0</v>
      </c>
      <c r="AN56" s="17">
        <v>2</v>
      </c>
      <c r="AO56" s="71">
        <f t="shared" si="14"/>
        <v>0.66666666666666663</v>
      </c>
      <c r="AP56" s="17">
        <v>0</v>
      </c>
      <c r="AQ56" s="71">
        <f t="shared" si="15"/>
        <v>0</v>
      </c>
      <c r="AR56" s="57">
        <v>0</v>
      </c>
      <c r="AS56" s="17">
        <v>1</v>
      </c>
      <c r="AT56" s="71">
        <f t="shared" si="16"/>
        <v>0.33333333333333331</v>
      </c>
      <c r="AU56" s="17">
        <v>0</v>
      </c>
      <c r="AV56" s="71">
        <f t="shared" si="17"/>
        <v>0</v>
      </c>
      <c r="AW56" s="17">
        <v>1</v>
      </c>
      <c r="AX56" s="71">
        <f t="shared" si="18"/>
        <v>0.5</v>
      </c>
      <c r="AY56" s="17">
        <v>2</v>
      </c>
      <c r="AZ56" s="71">
        <f t="shared" si="19"/>
        <v>0.66666666666666663</v>
      </c>
      <c r="BA56" s="73">
        <v>0</v>
      </c>
      <c r="BB56" s="73">
        <v>0</v>
      </c>
      <c r="BC56" s="73">
        <v>0</v>
      </c>
      <c r="BD56" s="73">
        <v>1</v>
      </c>
      <c r="BE56" s="81">
        <f t="shared" si="20"/>
        <v>0.35750000000000004</v>
      </c>
      <c r="BF56" s="81" t="str">
        <f t="shared" si="21"/>
        <v>MEDIO</v>
      </c>
    </row>
    <row r="57" spans="1:58" x14ac:dyDescent="0.15">
      <c r="A57" s="58">
        <v>3</v>
      </c>
      <c r="B57" s="58">
        <v>1</v>
      </c>
      <c r="C57" s="58">
        <v>1</v>
      </c>
      <c r="D57" s="58">
        <v>2</v>
      </c>
      <c r="E57" s="58">
        <v>1</v>
      </c>
      <c r="F57" s="18">
        <v>0</v>
      </c>
      <c r="G57" s="64">
        <f t="shared" si="0"/>
        <v>0</v>
      </c>
      <c r="H57" s="18">
        <v>2</v>
      </c>
      <c r="I57" s="64">
        <f t="shared" si="1"/>
        <v>1</v>
      </c>
      <c r="J57" s="18">
        <v>1</v>
      </c>
      <c r="K57" s="64">
        <f t="shared" si="2"/>
        <v>0.5</v>
      </c>
      <c r="L57" s="18">
        <v>2</v>
      </c>
      <c r="M57" s="64">
        <f t="shared" si="3"/>
        <v>0.66666666666666663</v>
      </c>
      <c r="N57" s="18">
        <v>2</v>
      </c>
      <c r="O57" s="64">
        <f t="shared" si="4"/>
        <v>0.4</v>
      </c>
      <c r="P57" s="18">
        <v>2</v>
      </c>
      <c r="Q57" s="64">
        <f t="shared" si="5"/>
        <v>0.66666666666666663</v>
      </c>
      <c r="R57" s="24">
        <v>3</v>
      </c>
      <c r="S57" s="71">
        <f t="shared" si="6"/>
        <v>1</v>
      </c>
      <c r="T57" s="18">
        <v>2</v>
      </c>
      <c r="U57" s="64">
        <f t="shared" si="7"/>
        <v>0.66666666666666663</v>
      </c>
      <c r="V57" s="18">
        <v>3</v>
      </c>
      <c r="W57" s="71">
        <f t="shared" si="8"/>
        <v>0.75</v>
      </c>
      <c r="X57" s="18">
        <v>2</v>
      </c>
      <c r="Y57" s="71">
        <f t="shared" si="9"/>
        <v>0.66666666666666663</v>
      </c>
      <c r="Z57" s="18">
        <v>2</v>
      </c>
      <c r="AA57" s="71">
        <f t="shared" si="10"/>
        <v>0.66666666666666663</v>
      </c>
      <c r="AB57" s="18">
        <v>0</v>
      </c>
      <c r="AC57" s="71">
        <f t="shared" si="11"/>
        <v>0</v>
      </c>
      <c r="AD57" s="58">
        <v>1</v>
      </c>
      <c r="AE57" s="58">
        <v>0</v>
      </c>
      <c r="AF57" s="58">
        <v>1</v>
      </c>
      <c r="AG57" s="58">
        <v>0</v>
      </c>
      <c r="AH57" s="58">
        <v>0</v>
      </c>
      <c r="AI57" s="58">
        <v>0</v>
      </c>
      <c r="AJ57" s="19">
        <v>1</v>
      </c>
      <c r="AK57" s="71">
        <f t="shared" si="12"/>
        <v>0.5</v>
      </c>
      <c r="AL57" s="18">
        <v>0</v>
      </c>
      <c r="AM57" s="71">
        <f t="shared" si="13"/>
        <v>0</v>
      </c>
      <c r="AN57" s="18">
        <v>1</v>
      </c>
      <c r="AO57" s="71">
        <f t="shared" si="14"/>
        <v>0.33333333333333331</v>
      </c>
      <c r="AP57" s="18">
        <v>2</v>
      </c>
      <c r="AQ57" s="71">
        <f t="shared" si="15"/>
        <v>0.66666666666666663</v>
      </c>
      <c r="AR57" s="58">
        <v>0</v>
      </c>
      <c r="AS57" s="18">
        <v>3</v>
      </c>
      <c r="AT57" s="71">
        <f t="shared" si="16"/>
        <v>1</v>
      </c>
      <c r="AU57" s="18">
        <v>3</v>
      </c>
      <c r="AV57" s="71">
        <f t="shared" si="17"/>
        <v>1</v>
      </c>
      <c r="AW57" s="18">
        <v>0</v>
      </c>
      <c r="AX57" s="71">
        <f t="shared" si="18"/>
        <v>0</v>
      </c>
      <c r="AY57" s="18">
        <v>2</v>
      </c>
      <c r="AZ57" s="71">
        <f t="shared" si="19"/>
        <v>0.66666666666666663</v>
      </c>
      <c r="BA57" s="74">
        <v>0</v>
      </c>
      <c r="BB57" s="74">
        <v>1</v>
      </c>
      <c r="BC57" s="74">
        <v>1</v>
      </c>
      <c r="BD57" s="74">
        <v>0</v>
      </c>
      <c r="BE57" s="81">
        <f t="shared" si="20"/>
        <v>0.55749999999999988</v>
      </c>
      <c r="BF57" s="81" t="str">
        <f t="shared" si="21"/>
        <v>MEDIO</v>
      </c>
    </row>
    <row r="58" spans="1:58" x14ac:dyDescent="0.15">
      <c r="A58" s="57">
        <v>2</v>
      </c>
      <c r="B58" s="57">
        <v>1</v>
      </c>
      <c r="C58" s="57">
        <v>3</v>
      </c>
      <c r="D58" s="57">
        <v>0</v>
      </c>
      <c r="E58" s="58">
        <v>1</v>
      </c>
      <c r="F58" s="17">
        <v>1</v>
      </c>
      <c r="G58" s="64">
        <f t="shared" si="0"/>
        <v>0.5</v>
      </c>
      <c r="H58" s="17">
        <v>1</v>
      </c>
      <c r="I58" s="64">
        <f t="shared" si="1"/>
        <v>0.5</v>
      </c>
      <c r="J58" s="17">
        <v>1</v>
      </c>
      <c r="K58" s="64">
        <f t="shared" si="2"/>
        <v>0.5</v>
      </c>
      <c r="L58" s="17">
        <v>2</v>
      </c>
      <c r="M58" s="64">
        <f t="shared" si="3"/>
        <v>0.66666666666666663</v>
      </c>
      <c r="N58" s="17">
        <v>5</v>
      </c>
      <c r="O58" s="64">
        <f t="shared" si="4"/>
        <v>1</v>
      </c>
      <c r="P58" s="17">
        <v>3</v>
      </c>
      <c r="Q58" s="64">
        <f t="shared" si="5"/>
        <v>1</v>
      </c>
      <c r="R58" s="25">
        <v>3</v>
      </c>
      <c r="S58" s="71">
        <f t="shared" si="6"/>
        <v>1</v>
      </c>
      <c r="T58" s="17">
        <v>3</v>
      </c>
      <c r="U58" s="64">
        <f t="shared" si="7"/>
        <v>1</v>
      </c>
      <c r="V58" s="17">
        <v>3</v>
      </c>
      <c r="W58" s="71">
        <f t="shared" si="8"/>
        <v>0.75</v>
      </c>
      <c r="X58" s="17">
        <v>3</v>
      </c>
      <c r="Y58" s="71">
        <f t="shared" si="9"/>
        <v>1</v>
      </c>
      <c r="Z58" s="17">
        <v>3</v>
      </c>
      <c r="AA58" s="71">
        <f t="shared" si="10"/>
        <v>1</v>
      </c>
      <c r="AB58" s="17">
        <v>1</v>
      </c>
      <c r="AC58" s="71">
        <f t="shared" si="11"/>
        <v>0.5</v>
      </c>
      <c r="AD58" s="57">
        <v>1</v>
      </c>
      <c r="AE58" s="57">
        <v>0</v>
      </c>
      <c r="AF58" s="57">
        <v>1</v>
      </c>
      <c r="AG58" s="57">
        <v>0</v>
      </c>
      <c r="AH58" s="57">
        <v>0</v>
      </c>
      <c r="AI58" s="57">
        <v>0</v>
      </c>
      <c r="AJ58" s="20">
        <v>0</v>
      </c>
      <c r="AK58" s="71">
        <f t="shared" si="12"/>
        <v>0</v>
      </c>
      <c r="AL58" s="17">
        <v>2</v>
      </c>
      <c r="AM58" s="71">
        <f t="shared" si="13"/>
        <v>0.66666666666666663</v>
      </c>
      <c r="AN58" s="17">
        <v>1</v>
      </c>
      <c r="AO58" s="71">
        <f t="shared" si="14"/>
        <v>0.33333333333333331</v>
      </c>
      <c r="AP58" s="17">
        <v>1</v>
      </c>
      <c r="AQ58" s="71">
        <f t="shared" si="15"/>
        <v>0.33333333333333331</v>
      </c>
      <c r="AR58" s="57">
        <v>0</v>
      </c>
      <c r="AS58" s="17">
        <v>3</v>
      </c>
      <c r="AT58" s="71">
        <f t="shared" si="16"/>
        <v>1</v>
      </c>
      <c r="AU58" s="17">
        <v>3</v>
      </c>
      <c r="AV58" s="71">
        <f t="shared" si="17"/>
        <v>1</v>
      </c>
      <c r="AW58" s="17">
        <v>1</v>
      </c>
      <c r="AX58" s="71">
        <f t="shared" si="18"/>
        <v>0.5</v>
      </c>
      <c r="AY58" s="17">
        <v>0</v>
      </c>
      <c r="AZ58" s="71">
        <f t="shared" si="19"/>
        <v>0</v>
      </c>
      <c r="BA58" s="73"/>
      <c r="BB58" s="73">
        <v>1</v>
      </c>
      <c r="BC58" s="73">
        <v>1</v>
      </c>
      <c r="BD58" s="73"/>
      <c r="BE58" s="81">
        <f t="shared" si="20"/>
        <v>0.6875</v>
      </c>
      <c r="BF58" s="81" t="str">
        <f t="shared" si="21"/>
        <v>ALTO</v>
      </c>
    </row>
    <row r="59" spans="1:58" x14ac:dyDescent="0.15">
      <c r="A59" s="58">
        <v>4</v>
      </c>
      <c r="B59" s="58">
        <v>1</v>
      </c>
      <c r="C59" s="58">
        <v>1</v>
      </c>
      <c r="D59" s="58">
        <v>2</v>
      </c>
      <c r="E59" s="58">
        <v>1</v>
      </c>
      <c r="F59" s="18">
        <v>1</v>
      </c>
      <c r="G59" s="64">
        <f t="shared" si="0"/>
        <v>0.5</v>
      </c>
      <c r="H59" s="18">
        <v>2</v>
      </c>
      <c r="I59" s="64">
        <f t="shared" si="1"/>
        <v>1</v>
      </c>
      <c r="J59" s="18">
        <v>1</v>
      </c>
      <c r="K59" s="64">
        <f t="shared" si="2"/>
        <v>0.5</v>
      </c>
      <c r="L59" s="18">
        <v>2</v>
      </c>
      <c r="M59" s="64">
        <f t="shared" si="3"/>
        <v>0.66666666666666663</v>
      </c>
      <c r="N59" s="18">
        <v>0</v>
      </c>
      <c r="O59" s="64">
        <f t="shared" si="4"/>
        <v>0</v>
      </c>
      <c r="P59" s="18">
        <v>0</v>
      </c>
      <c r="Q59" s="64">
        <f t="shared" si="5"/>
        <v>0</v>
      </c>
      <c r="R59" s="24">
        <v>0</v>
      </c>
      <c r="S59" s="71">
        <f t="shared" si="6"/>
        <v>0</v>
      </c>
      <c r="T59" s="18">
        <v>1</v>
      </c>
      <c r="U59" s="64">
        <f t="shared" si="7"/>
        <v>0.33333333333333331</v>
      </c>
      <c r="V59" s="18">
        <v>3</v>
      </c>
      <c r="W59" s="71">
        <f t="shared" si="8"/>
        <v>0.75</v>
      </c>
      <c r="X59" s="18">
        <v>2</v>
      </c>
      <c r="Y59" s="71">
        <f t="shared" si="9"/>
        <v>0.66666666666666663</v>
      </c>
      <c r="Z59" s="18">
        <v>1</v>
      </c>
      <c r="AA59" s="71">
        <f t="shared" si="10"/>
        <v>0.33333333333333331</v>
      </c>
      <c r="AB59" s="18">
        <v>2</v>
      </c>
      <c r="AC59" s="71">
        <f t="shared" si="11"/>
        <v>1</v>
      </c>
      <c r="AD59" s="58">
        <v>1</v>
      </c>
      <c r="AE59" s="58">
        <v>1</v>
      </c>
      <c r="AF59" s="58">
        <v>0</v>
      </c>
      <c r="AG59" s="58">
        <v>0</v>
      </c>
      <c r="AH59" s="58">
        <v>0</v>
      </c>
      <c r="AI59" s="58">
        <v>0</v>
      </c>
      <c r="AJ59" s="19">
        <v>1</v>
      </c>
      <c r="AK59" s="71">
        <f t="shared" si="12"/>
        <v>0.5</v>
      </c>
      <c r="AL59" s="18">
        <v>0</v>
      </c>
      <c r="AM59" s="71">
        <f t="shared" si="13"/>
        <v>0</v>
      </c>
      <c r="AN59" s="18">
        <v>1</v>
      </c>
      <c r="AO59" s="71">
        <f t="shared" si="14"/>
        <v>0.33333333333333331</v>
      </c>
      <c r="AP59" s="18">
        <v>0</v>
      </c>
      <c r="AQ59" s="71">
        <f t="shared" si="15"/>
        <v>0</v>
      </c>
      <c r="AR59" s="58">
        <v>0</v>
      </c>
      <c r="AS59" s="18">
        <v>2</v>
      </c>
      <c r="AT59" s="71">
        <f t="shared" si="16"/>
        <v>0.66666666666666663</v>
      </c>
      <c r="AU59" s="18">
        <v>2</v>
      </c>
      <c r="AV59" s="71">
        <f t="shared" si="17"/>
        <v>0.66666666666666663</v>
      </c>
      <c r="AW59" s="18">
        <v>1</v>
      </c>
      <c r="AX59" s="71">
        <f t="shared" si="18"/>
        <v>0.5</v>
      </c>
      <c r="AY59" s="18">
        <v>2</v>
      </c>
      <c r="AZ59" s="71">
        <f t="shared" si="19"/>
        <v>0.66666666666666663</v>
      </c>
      <c r="BA59" s="74">
        <v>1</v>
      </c>
      <c r="BB59" s="74">
        <v>1</v>
      </c>
      <c r="BC59" s="74">
        <v>0</v>
      </c>
      <c r="BD59" s="74">
        <v>0</v>
      </c>
      <c r="BE59" s="81">
        <f t="shared" si="20"/>
        <v>0.47916666666666663</v>
      </c>
      <c r="BF59" s="81" t="str">
        <f t="shared" si="21"/>
        <v>MEDIO</v>
      </c>
    </row>
    <row r="60" spans="1:58" x14ac:dyDescent="0.15">
      <c r="A60" s="57">
        <v>2</v>
      </c>
      <c r="B60" s="57">
        <v>2</v>
      </c>
      <c r="C60" s="57">
        <v>2</v>
      </c>
      <c r="D60" s="57">
        <v>2</v>
      </c>
      <c r="E60" s="58">
        <v>1</v>
      </c>
      <c r="F60" s="17">
        <v>2</v>
      </c>
      <c r="G60" s="64">
        <f t="shared" si="0"/>
        <v>1</v>
      </c>
      <c r="H60" s="17">
        <v>2</v>
      </c>
      <c r="I60" s="64">
        <f t="shared" si="1"/>
        <v>1</v>
      </c>
      <c r="J60" s="17">
        <v>2</v>
      </c>
      <c r="K60" s="64">
        <f t="shared" si="2"/>
        <v>1</v>
      </c>
      <c r="L60" s="17">
        <v>3</v>
      </c>
      <c r="M60" s="64">
        <f t="shared" si="3"/>
        <v>1</v>
      </c>
      <c r="N60" s="17">
        <v>4</v>
      </c>
      <c r="O60" s="64">
        <f t="shared" si="4"/>
        <v>0.8</v>
      </c>
      <c r="P60" s="17">
        <v>3</v>
      </c>
      <c r="Q60" s="64">
        <f t="shared" si="5"/>
        <v>1</v>
      </c>
      <c r="R60" s="25">
        <v>3</v>
      </c>
      <c r="S60" s="71">
        <f t="shared" si="6"/>
        <v>1</v>
      </c>
      <c r="T60" s="17">
        <v>3</v>
      </c>
      <c r="U60" s="64">
        <f t="shared" si="7"/>
        <v>1</v>
      </c>
      <c r="V60" s="17">
        <v>3</v>
      </c>
      <c r="W60" s="71">
        <f t="shared" si="8"/>
        <v>0.75</v>
      </c>
      <c r="X60" s="17">
        <v>3</v>
      </c>
      <c r="Y60" s="71">
        <f t="shared" si="9"/>
        <v>1</v>
      </c>
      <c r="Z60" s="17">
        <v>3</v>
      </c>
      <c r="AA60" s="71">
        <f t="shared" si="10"/>
        <v>1</v>
      </c>
      <c r="AB60" s="17">
        <v>0</v>
      </c>
      <c r="AC60" s="71">
        <f t="shared" si="11"/>
        <v>0</v>
      </c>
      <c r="AD60" s="57">
        <v>1</v>
      </c>
      <c r="AE60" s="57">
        <v>1</v>
      </c>
      <c r="AF60" s="57">
        <v>0</v>
      </c>
      <c r="AG60" s="57">
        <v>0</v>
      </c>
      <c r="AH60" s="57">
        <v>0</v>
      </c>
      <c r="AI60" s="57">
        <v>0</v>
      </c>
      <c r="AJ60" s="20">
        <v>2</v>
      </c>
      <c r="AK60" s="71">
        <f t="shared" si="12"/>
        <v>1</v>
      </c>
      <c r="AL60" s="17">
        <v>3</v>
      </c>
      <c r="AM60" s="71">
        <f t="shared" si="13"/>
        <v>1</v>
      </c>
      <c r="AN60" s="17">
        <v>1</v>
      </c>
      <c r="AO60" s="71">
        <f t="shared" si="14"/>
        <v>0.33333333333333331</v>
      </c>
      <c r="AP60" s="17">
        <v>3</v>
      </c>
      <c r="AQ60" s="71">
        <f t="shared" si="15"/>
        <v>1</v>
      </c>
      <c r="AR60" s="57">
        <v>0</v>
      </c>
      <c r="AS60" s="17">
        <v>3</v>
      </c>
      <c r="AT60" s="71">
        <f t="shared" si="16"/>
        <v>1</v>
      </c>
      <c r="AU60" s="17">
        <v>3</v>
      </c>
      <c r="AV60" s="71">
        <f t="shared" si="17"/>
        <v>1</v>
      </c>
      <c r="AW60" s="17">
        <v>1</v>
      </c>
      <c r="AX60" s="71">
        <f t="shared" si="18"/>
        <v>0.5</v>
      </c>
      <c r="AY60" s="17">
        <v>3</v>
      </c>
      <c r="AZ60" s="71">
        <f t="shared" si="19"/>
        <v>1</v>
      </c>
      <c r="BA60" s="73">
        <v>1</v>
      </c>
      <c r="BB60" s="73">
        <v>1</v>
      </c>
      <c r="BC60" s="73">
        <v>0</v>
      </c>
      <c r="BD60" s="73">
        <v>0</v>
      </c>
      <c r="BE60" s="81">
        <f t="shared" si="20"/>
        <v>0.91916666666666669</v>
      </c>
      <c r="BF60" s="81" t="str">
        <f t="shared" si="21"/>
        <v>ALTO</v>
      </c>
    </row>
    <row r="61" spans="1:58" x14ac:dyDescent="0.15">
      <c r="A61" s="58">
        <v>2</v>
      </c>
      <c r="B61" s="58">
        <v>1</v>
      </c>
      <c r="C61" s="58">
        <v>3</v>
      </c>
      <c r="D61" s="58">
        <v>2</v>
      </c>
      <c r="E61" s="58">
        <v>1</v>
      </c>
      <c r="F61" s="18">
        <v>2</v>
      </c>
      <c r="G61" s="64">
        <f t="shared" si="0"/>
        <v>1</v>
      </c>
      <c r="H61" s="18">
        <v>1</v>
      </c>
      <c r="I61" s="64">
        <f t="shared" si="1"/>
        <v>0.5</v>
      </c>
      <c r="J61" s="18">
        <v>1</v>
      </c>
      <c r="K61" s="64">
        <f t="shared" si="2"/>
        <v>0.5</v>
      </c>
      <c r="L61" s="18">
        <v>1</v>
      </c>
      <c r="M61" s="64">
        <f t="shared" si="3"/>
        <v>0.33333333333333331</v>
      </c>
      <c r="N61" s="18">
        <v>2</v>
      </c>
      <c r="O61" s="64">
        <f t="shared" si="4"/>
        <v>0.4</v>
      </c>
      <c r="P61" s="18">
        <v>0</v>
      </c>
      <c r="Q61" s="64">
        <f t="shared" si="5"/>
        <v>0</v>
      </c>
      <c r="R61" s="24">
        <v>2</v>
      </c>
      <c r="S61" s="71">
        <f t="shared" si="6"/>
        <v>0.66666666666666663</v>
      </c>
      <c r="T61" s="18">
        <v>1</v>
      </c>
      <c r="U61" s="64">
        <f t="shared" si="7"/>
        <v>0.33333333333333331</v>
      </c>
      <c r="V61" s="18">
        <v>3</v>
      </c>
      <c r="W61" s="71">
        <f t="shared" si="8"/>
        <v>0.75</v>
      </c>
      <c r="X61" s="18">
        <v>2</v>
      </c>
      <c r="Y61" s="71">
        <f t="shared" si="9"/>
        <v>0.66666666666666663</v>
      </c>
      <c r="Z61" s="18">
        <v>3</v>
      </c>
      <c r="AA61" s="71">
        <f t="shared" si="10"/>
        <v>1</v>
      </c>
      <c r="AB61" s="18">
        <v>2</v>
      </c>
      <c r="AC61" s="71">
        <f t="shared" si="11"/>
        <v>1</v>
      </c>
      <c r="AD61" s="58">
        <v>1</v>
      </c>
      <c r="AE61" s="58">
        <v>0</v>
      </c>
      <c r="AF61" s="58">
        <v>0</v>
      </c>
      <c r="AG61" s="58">
        <v>1</v>
      </c>
      <c r="AH61" s="58">
        <v>0</v>
      </c>
      <c r="AI61" s="58">
        <v>0</v>
      </c>
      <c r="AJ61" s="19">
        <v>1</v>
      </c>
      <c r="AK61" s="71">
        <f t="shared" si="12"/>
        <v>0.5</v>
      </c>
      <c r="AL61" s="18">
        <v>1</v>
      </c>
      <c r="AM61" s="71">
        <f t="shared" si="13"/>
        <v>0.33333333333333331</v>
      </c>
      <c r="AN61" s="18">
        <v>1</v>
      </c>
      <c r="AO61" s="71">
        <f t="shared" si="14"/>
        <v>0.33333333333333331</v>
      </c>
      <c r="AP61" s="18">
        <v>1</v>
      </c>
      <c r="AQ61" s="71">
        <f t="shared" si="15"/>
        <v>0.33333333333333331</v>
      </c>
      <c r="AR61" s="58">
        <v>2</v>
      </c>
      <c r="AS61" s="18">
        <v>2</v>
      </c>
      <c r="AT61" s="71">
        <f t="shared" si="16"/>
        <v>0.66666666666666663</v>
      </c>
      <c r="AU61" s="18">
        <v>2</v>
      </c>
      <c r="AV61" s="71">
        <f t="shared" si="17"/>
        <v>0.66666666666666663</v>
      </c>
      <c r="AW61" s="18">
        <v>0</v>
      </c>
      <c r="AX61" s="71">
        <f t="shared" si="18"/>
        <v>0</v>
      </c>
      <c r="AY61" s="18">
        <v>2</v>
      </c>
      <c r="AZ61" s="71">
        <f t="shared" si="19"/>
        <v>0.66666666666666663</v>
      </c>
      <c r="BA61" s="74">
        <v>1</v>
      </c>
      <c r="BB61" s="74">
        <v>0</v>
      </c>
      <c r="BC61" s="74">
        <v>1</v>
      </c>
      <c r="BD61" s="74">
        <v>0</v>
      </c>
      <c r="BE61" s="81">
        <f t="shared" si="20"/>
        <v>0.58250000000000002</v>
      </c>
      <c r="BF61" s="81" t="str">
        <f t="shared" si="21"/>
        <v>MEDIO</v>
      </c>
    </row>
    <row r="62" spans="1:58" x14ac:dyDescent="0.15">
      <c r="A62" s="57">
        <v>4</v>
      </c>
      <c r="B62" s="57">
        <v>1</v>
      </c>
      <c r="C62" s="57">
        <v>3</v>
      </c>
      <c r="D62" s="57">
        <v>2</v>
      </c>
      <c r="E62" s="58">
        <v>1</v>
      </c>
      <c r="F62" s="17">
        <v>2</v>
      </c>
      <c r="G62" s="64">
        <f t="shared" si="0"/>
        <v>1</v>
      </c>
      <c r="H62" s="17">
        <v>2</v>
      </c>
      <c r="I62" s="64">
        <f t="shared" si="1"/>
        <v>1</v>
      </c>
      <c r="J62" s="17">
        <v>1</v>
      </c>
      <c r="K62" s="64">
        <f t="shared" si="2"/>
        <v>0.5</v>
      </c>
      <c r="L62" s="17">
        <v>2</v>
      </c>
      <c r="M62" s="64">
        <f t="shared" si="3"/>
        <v>0.66666666666666663</v>
      </c>
      <c r="N62" s="17">
        <v>0</v>
      </c>
      <c r="O62" s="64">
        <f t="shared" si="4"/>
        <v>0</v>
      </c>
      <c r="P62" s="17">
        <v>3</v>
      </c>
      <c r="Q62" s="64">
        <f t="shared" si="5"/>
        <v>1</v>
      </c>
      <c r="R62" s="25">
        <v>0</v>
      </c>
      <c r="S62" s="71">
        <f t="shared" si="6"/>
        <v>0</v>
      </c>
      <c r="T62" s="17">
        <v>1</v>
      </c>
      <c r="U62" s="64">
        <f t="shared" si="7"/>
        <v>0.33333333333333331</v>
      </c>
      <c r="V62" s="17">
        <v>3</v>
      </c>
      <c r="W62" s="71">
        <f t="shared" si="8"/>
        <v>0.75</v>
      </c>
      <c r="X62" s="17">
        <v>0</v>
      </c>
      <c r="Y62" s="71">
        <f t="shared" si="9"/>
        <v>0</v>
      </c>
      <c r="Z62" s="17">
        <v>3</v>
      </c>
      <c r="AA62" s="71">
        <f t="shared" si="10"/>
        <v>1</v>
      </c>
      <c r="AB62" s="17">
        <v>3</v>
      </c>
      <c r="AC62" s="71">
        <f t="shared" si="11"/>
        <v>1.5</v>
      </c>
      <c r="AD62" s="57">
        <v>0</v>
      </c>
      <c r="AE62" s="57">
        <v>1</v>
      </c>
      <c r="AF62" s="57">
        <v>1</v>
      </c>
      <c r="AG62" s="57">
        <v>0</v>
      </c>
      <c r="AH62" s="57">
        <v>0</v>
      </c>
      <c r="AI62" s="57">
        <v>0</v>
      </c>
      <c r="AJ62" s="20">
        <v>0</v>
      </c>
      <c r="AK62" s="71">
        <f t="shared" si="12"/>
        <v>0</v>
      </c>
      <c r="AL62" s="17">
        <v>2</v>
      </c>
      <c r="AM62" s="71">
        <f t="shared" si="13"/>
        <v>0.66666666666666663</v>
      </c>
      <c r="AN62" s="17">
        <v>0</v>
      </c>
      <c r="AO62" s="71">
        <f t="shared" si="14"/>
        <v>0</v>
      </c>
      <c r="AP62" s="17">
        <v>0</v>
      </c>
      <c r="AQ62" s="71">
        <f t="shared" si="15"/>
        <v>0</v>
      </c>
      <c r="AR62" s="57">
        <v>3</v>
      </c>
      <c r="AS62" s="17">
        <v>0</v>
      </c>
      <c r="AT62" s="71">
        <f t="shared" si="16"/>
        <v>0</v>
      </c>
      <c r="AU62" s="17">
        <v>0</v>
      </c>
      <c r="AV62" s="71">
        <f t="shared" si="17"/>
        <v>0</v>
      </c>
      <c r="AW62" s="17">
        <v>0</v>
      </c>
      <c r="AX62" s="71">
        <f t="shared" si="18"/>
        <v>0</v>
      </c>
      <c r="AY62" s="17">
        <v>0</v>
      </c>
      <c r="AZ62" s="71">
        <f t="shared" si="19"/>
        <v>0</v>
      </c>
      <c r="BA62" s="73">
        <v>0</v>
      </c>
      <c r="BB62" s="73">
        <v>0</v>
      </c>
      <c r="BC62" s="73">
        <v>0</v>
      </c>
      <c r="BD62" s="73">
        <v>1</v>
      </c>
      <c r="BE62" s="81">
        <f t="shared" si="20"/>
        <v>0.47083333333333333</v>
      </c>
      <c r="BF62" s="81" t="str">
        <f t="shared" si="21"/>
        <v>MEDIO</v>
      </c>
    </row>
    <row r="63" spans="1:58" x14ac:dyDescent="0.15">
      <c r="A63" s="58">
        <v>2</v>
      </c>
      <c r="B63" s="58">
        <v>2</v>
      </c>
      <c r="C63" s="58">
        <v>3</v>
      </c>
      <c r="D63" s="58">
        <v>2</v>
      </c>
      <c r="E63" s="58">
        <v>1</v>
      </c>
      <c r="F63" s="18">
        <v>2</v>
      </c>
      <c r="G63" s="64">
        <f t="shared" si="0"/>
        <v>1</v>
      </c>
      <c r="H63" s="18">
        <v>1</v>
      </c>
      <c r="I63" s="64">
        <f t="shared" si="1"/>
        <v>0.5</v>
      </c>
      <c r="J63" s="18">
        <v>0</v>
      </c>
      <c r="K63" s="64">
        <f t="shared" si="2"/>
        <v>0</v>
      </c>
      <c r="L63" s="18">
        <v>0</v>
      </c>
      <c r="M63" s="64">
        <f t="shared" si="3"/>
        <v>0</v>
      </c>
      <c r="N63" s="18">
        <v>4</v>
      </c>
      <c r="O63" s="64">
        <f t="shared" si="4"/>
        <v>0.8</v>
      </c>
      <c r="P63" s="18">
        <v>0</v>
      </c>
      <c r="Q63" s="64">
        <f t="shared" si="5"/>
        <v>0</v>
      </c>
      <c r="R63" s="24">
        <v>0</v>
      </c>
      <c r="S63" s="71">
        <f t="shared" si="6"/>
        <v>0</v>
      </c>
      <c r="T63" s="18">
        <v>0</v>
      </c>
      <c r="U63" s="64">
        <f t="shared" si="7"/>
        <v>0</v>
      </c>
      <c r="V63" s="18">
        <v>3</v>
      </c>
      <c r="W63" s="71">
        <f t="shared" si="8"/>
        <v>0.75</v>
      </c>
      <c r="X63" s="18">
        <v>2</v>
      </c>
      <c r="Y63" s="71">
        <f t="shared" si="9"/>
        <v>0.66666666666666663</v>
      </c>
      <c r="Z63" s="18">
        <v>2</v>
      </c>
      <c r="AA63" s="71">
        <f t="shared" si="10"/>
        <v>0.66666666666666663</v>
      </c>
      <c r="AB63" s="19">
        <v>1</v>
      </c>
      <c r="AC63" s="71">
        <f t="shared" si="11"/>
        <v>0.5</v>
      </c>
      <c r="AD63" s="58">
        <v>1</v>
      </c>
      <c r="AE63" s="58">
        <v>0</v>
      </c>
      <c r="AF63" s="58">
        <v>0</v>
      </c>
      <c r="AG63" s="58">
        <v>1</v>
      </c>
      <c r="AH63" s="58">
        <v>0</v>
      </c>
      <c r="AI63" s="58">
        <v>0</v>
      </c>
      <c r="AJ63" s="19">
        <v>0</v>
      </c>
      <c r="AK63" s="71">
        <f t="shared" si="12"/>
        <v>0</v>
      </c>
      <c r="AL63" s="18">
        <v>0</v>
      </c>
      <c r="AM63" s="71">
        <f t="shared" si="13"/>
        <v>0</v>
      </c>
      <c r="AN63" s="18">
        <v>0</v>
      </c>
      <c r="AO63" s="71">
        <f t="shared" si="14"/>
        <v>0</v>
      </c>
      <c r="AP63" s="18">
        <v>0</v>
      </c>
      <c r="AQ63" s="71">
        <f t="shared" si="15"/>
        <v>0</v>
      </c>
      <c r="AR63" s="58">
        <v>2</v>
      </c>
      <c r="AS63" s="18">
        <v>1</v>
      </c>
      <c r="AT63" s="71">
        <f t="shared" si="16"/>
        <v>0.33333333333333331</v>
      </c>
      <c r="AU63" s="18">
        <v>1</v>
      </c>
      <c r="AV63" s="71">
        <f t="shared" si="17"/>
        <v>0.33333333333333331</v>
      </c>
      <c r="AW63" s="18">
        <v>1</v>
      </c>
      <c r="AX63" s="71">
        <f t="shared" si="18"/>
        <v>0.5</v>
      </c>
      <c r="AY63" s="18">
        <v>1</v>
      </c>
      <c r="AZ63" s="71">
        <f t="shared" si="19"/>
        <v>0.33333333333333331</v>
      </c>
      <c r="BA63" s="74">
        <v>0</v>
      </c>
      <c r="BB63" s="74">
        <v>0</v>
      </c>
      <c r="BC63" s="74">
        <v>1</v>
      </c>
      <c r="BD63" s="74">
        <v>0</v>
      </c>
      <c r="BE63" s="81">
        <f t="shared" si="20"/>
        <v>0.36916666666666664</v>
      </c>
      <c r="BF63" s="81" t="str">
        <f t="shared" si="21"/>
        <v>MEDIO</v>
      </c>
    </row>
    <row r="64" spans="1:58" x14ac:dyDescent="0.15">
      <c r="A64" s="57">
        <v>5</v>
      </c>
      <c r="B64" s="57">
        <v>1</v>
      </c>
      <c r="C64" s="57">
        <v>1</v>
      </c>
      <c r="D64" s="57">
        <v>2</v>
      </c>
      <c r="E64" s="58">
        <v>1</v>
      </c>
      <c r="F64" s="17">
        <v>2</v>
      </c>
      <c r="G64" s="64">
        <f t="shared" si="0"/>
        <v>1</v>
      </c>
      <c r="H64" s="17">
        <v>1</v>
      </c>
      <c r="I64" s="64">
        <f t="shared" si="1"/>
        <v>0.5</v>
      </c>
      <c r="J64" s="17">
        <v>1</v>
      </c>
      <c r="K64" s="64">
        <f t="shared" si="2"/>
        <v>0.5</v>
      </c>
      <c r="L64" s="17">
        <v>2</v>
      </c>
      <c r="M64" s="64">
        <f t="shared" si="3"/>
        <v>0.66666666666666663</v>
      </c>
      <c r="N64" s="17">
        <v>3</v>
      </c>
      <c r="O64" s="64">
        <f t="shared" si="4"/>
        <v>0.6</v>
      </c>
      <c r="P64" s="17">
        <v>0</v>
      </c>
      <c r="Q64" s="64">
        <f t="shared" si="5"/>
        <v>0</v>
      </c>
      <c r="R64" s="25">
        <v>0</v>
      </c>
      <c r="S64" s="71">
        <f t="shared" si="6"/>
        <v>0</v>
      </c>
      <c r="T64" s="17">
        <v>1</v>
      </c>
      <c r="U64" s="64">
        <f t="shared" si="7"/>
        <v>0.33333333333333331</v>
      </c>
      <c r="V64" s="17">
        <v>3</v>
      </c>
      <c r="W64" s="71">
        <f t="shared" si="8"/>
        <v>0.75</v>
      </c>
      <c r="X64" s="17">
        <v>2</v>
      </c>
      <c r="Y64" s="71">
        <f t="shared" si="9"/>
        <v>0.66666666666666663</v>
      </c>
      <c r="Z64" s="17">
        <v>2</v>
      </c>
      <c r="AA64" s="71">
        <f t="shared" si="10"/>
        <v>0.66666666666666663</v>
      </c>
      <c r="AB64" s="17">
        <v>2</v>
      </c>
      <c r="AC64" s="71">
        <f t="shared" si="11"/>
        <v>1</v>
      </c>
      <c r="AD64" s="57">
        <v>1</v>
      </c>
      <c r="AE64" s="57">
        <v>0</v>
      </c>
      <c r="AF64" s="57">
        <v>0</v>
      </c>
      <c r="AG64" s="57">
        <v>1</v>
      </c>
      <c r="AH64" s="57">
        <v>0</v>
      </c>
      <c r="AI64" s="57">
        <v>0</v>
      </c>
      <c r="AJ64" s="20">
        <v>1</v>
      </c>
      <c r="AK64" s="71">
        <f t="shared" si="12"/>
        <v>0.5</v>
      </c>
      <c r="AL64" s="17">
        <v>1</v>
      </c>
      <c r="AM64" s="71">
        <f t="shared" si="13"/>
        <v>0.33333333333333331</v>
      </c>
      <c r="AN64" s="17">
        <v>0</v>
      </c>
      <c r="AO64" s="71">
        <f t="shared" si="14"/>
        <v>0</v>
      </c>
      <c r="AP64" s="17">
        <v>1</v>
      </c>
      <c r="AQ64" s="71">
        <f t="shared" si="15"/>
        <v>0.33333333333333331</v>
      </c>
      <c r="AR64" s="57">
        <v>2</v>
      </c>
      <c r="AS64" s="17">
        <v>1</v>
      </c>
      <c r="AT64" s="71">
        <f t="shared" si="16"/>
        <v>0.33333333333333331</v>
      </c>
      <c r="AU64" s="17">
        <v>1</v>
      </c>
      <c r="AV64" s="71">
        <f t="shared" si="17"/>
        <v>0.33333333333333331</v>
      </c>
      <c r="AW64" s="17">
        <v>2</v>
      </c>
      <c r="AX64" s="71">
        <f t="shared" si="18"/>
        <v>1</v>
      </c>
      <c r="AY64" s="17">
        <v>2</v>
      </c>
      <c r="AZ64" s="71">
        <f t="shared" si="19"/>
        <v>0.66666666666666663</v>
      </c>
      <c r="BA64" s="73">
        <v>0</v>
      </c>
      <c r="BB64" s="73">
        <v>1</v>
      </c>
      <c r="BC64" s="73">
        <v>1</v>
      </c>
      <c r="BD64" s="73">
        <v>0</v>
      </c>
      <c r="BE64" s="81">
        <f t="shared" si="20"/>
        <v>0.55916666666666681</v>
      </c>
      <c r="BF64" s="81" t="str">
        <f t="shared" si="21"/>
        <v>MEDIO</v>
      </c>
    </row>
    <row r="65" spans="1:58" x14ac:dyDescent="0.15">
      <c r="A65" s="58">
        <v>3</v>
      </c>
      <c r="B65" s="58">
        <v>1</v>
      </c>
      <c r="C65" s="58">
        <v>1</v>
      </c>
      <c r="D65" s="58">
        <v>2</v>
      </c>
      <c r="E65" s="58">
        <v>1</v>
      </c>
      <c r="F65" s="18">
        <v>0</v>
      </c>
      <c r="G65" s="64">
        <f t="shared" si="0"/>
        <v>0</v>
      </c>
      <c r="H65" s="18">
        <v>1</v>
      </c>
      <c r="I65" s="64">
        <f t="shared" si="1"/>
        <v>0.5</v>
      </c>
      <c r="J65" s="18">
        <v>1</v>
      </c>
      <c r="K65" s="64">
        <f t="shared" si="2"/>
        <v>0.5</v>
      </c>
      <c r="L65" s="18">
        <v>2</v>
      </c>
      <c r="M65" s="64">
        <f t="shared" si="3"/>
        <v>0.66666666666666663</v>
      </c>
      <c r="N65" s="18">
        <v>1</v>
      </c>
      <c r="O65" s="64">
        <f t="shared" si="4"/>
        <v>0.2</v>
      </c>
      <c r="P65" s="18">
        <v>0</v>
      </c>
      <c r="Q65" s="64">
        <f t="shared" si="5"/>
        <v>0</v>
      </c>
      <c r="R65" s="24">
        <v>0</v>
      </c>
      <c r="S65" s="71">
        <f t="shared" si="6"/>
        <v>0</v>
      </c>
      <c r="T65" s="18">
        <v>2</v>
      </c>
      <c r="U65" s="64">
        <f t="shared" si="7"/>
        <v>0.66666666666666663</v>
      </c>
      <c r="V65" s="18">
        <v>3</v>
      </c>
      <c r="W65" s="71">
        <f t="shared" si="8"/>
        <v>0.75</v>
      </c>
      <c r="X65" s="18">
        <v>2</v>
      </c>
      <c r="Y65" s="71">
        <f t="shared" si="9"/>
        <v>0.66666666666666663</v>
      </c>
      <c r="Z65" s="18">
        <v>0</v>
      </c>
      <c r="AA65" s="71">
        <f t="shared" si="10"/>
        <v>0</v>
      </c>
      <c r="AB65" s="18">
        <v>0</v>
      </c>
      <c r="AC65" s="71">
        <f t="shared" si="11"/>
        <v>0</v>
      </c>
      <c r="AD65" s="58">
        <v>1</v>
      </c>
      <c r="AE65" s="58">
        <v>0</v>
      </c>
      <c r="AF65" s="58">
        <v>0</v>
      </c>
      <c r="AG65" s="58">
        <v>1</v>
      </c>
      <c r="AH65" s="58">
        <v>0</v>
      </c>
      <c r="AI65" s="58">
        <v>0</v>
      </c>
      <c r="AJ65" s="19">
        <v>0</v>
      </c>
      <c r="AK65" s="71">
        <f t="shared" si="12"/>
        <v>0</v>
      </c>
      <c r="AL65" s="18">
        <v>2</v>
      </c>
      <c r="AM65" s="71">
        <f t="shared" si="13"/>
        <v>0.66666666666666663</v>
      </c>
      <c r="AN65" s="18">
        <v>2</v>
      </c>
      <c r="AO65" s="71">
        <f t="shared" si="14"/>
        <v>0.66666666666666663</v>
      </c>
      <c r="AP65" s="18">
        <v>0</v>
      </c>
      <c r="AQ65" s="71">
        <f t="shared" si="15"/>
        <v>0</v>
      </c>
      <c r="AR65" s="58">
        <v>3</v>
      </c>
      <c r="AS65" s="18">
        <v>3</v>
      </c>
      <c r="AT65" s="71">
        <f t="shared" si="16"/>
        <v>1</v>
      </c>
      <c r="AU65" s="18">
        <v>3</v>
      </c>
      <c r="AV65" s="71">
        <f t="shared" si="17"/>
        <v>1</v>
      </c>
      <c r="AW65" s="18">
        <v>0</v>
      </c>
      <c r="AX65" s="71">
        <f t="shared" si="18"/>
        <v>0</v>
      </c>
      <c r="AY65" s="18">
        <v>2</v>
      </c>
      <c r="AZ65" s="71">
        <f t="shared" si="19"/>
        <v>0.66666666666666663</v>
      </c>
      <c r="BA65" s="74">
        <v>1</v>
      </c>
      <c r="BB65" s="74">
        <v>0</v>
      </c>
      <c r="BC65" s="74">
        <v>1</v>
      </c>
      <c r="BD65" s="74">
        <v>0</v>
      </c>
      <c r="BE65" s="81">
        <f t="shared" si="20"/>
        <v>0.39750000000000002</v>
      </c>
      <c r="BF65" s="81" t="str">
        <f t="shared" si="21"/>
        <v>MEDIO</v>
      </c>
    </row>
    <row r="66" spans="1:58" x14ac:dyDescent="0.15">
      <c r="A66" s="57">
        <v>1</v>
      </c>
      <c r="B66" s="57">
        <v>1</v>
      </c>
      <c r="C66" s="57">
        <v>1</v>
      </c>
      <c r="D66" s="57">
        <v>2</v>
      </c>
      <c r="E66" s="58">
        <v>1</v>
      </c>
      <c r="F66" s="17">
        <v>1</v>
      </c>
      <c r="G66" s="64">
        <f t="shared" ref="G66:G129" si="22">F66/2</f>
        <v>0.5</v>
      </c>
      <c r="H66" s="17">
        <v>0</v>
      </c>
      <c r="I66" s="64">
        <f t="shared" si="1"/>
        <v>0</v>
      </c>
      <c r="J66" s="17">
        <v>1</v>
      </c>
      <c r="K66" s="64">
        <f t="shared" si="2"/>
        <v>0.5</v>
      </c>
      <c r="L66" s="17">
        <v>1</v>
      </c>
      <c r="M66" s="64">
        <f t="shared" si="3"/>
        <v>0.33333333333333331</v>
      </c>
      <c r="N66" s="17">
        <v>2</v>
      </c>
      <c r="O66" s="64">
        <f t="shared" si="4"/>
        <v>0.4</v>
      </c>
      <c r="P66" s="17">
        <v>2</v>
      </c>
      <c r="Q66" s="64">
        <f t="shared" si="5"/>
        <v>0.66666666666666663</v>
      </c>
      <c r="R66" s="25">
        <v>3</v>
      </c>
      <c r="S66" s="71">
        <f t="shared" si="6"/>
        <v>1</v>
      </c>
      <c r="T66" s="17">
        <v>1</v>
      </c>
      <c r="U66" s="64">
        <f t="shared" si="7"/>
        <v>0.33333333333333331</v>
      </c>
      <c r="V66" s="17">
        <v>3</v>
      </c>
      <c r="W66" s="71">
        <f t="shared" si="8"/>
        <v>0.75</v>
      </c>
      <c r="X66" s="17">
        <v>3</v>
      </c>
      <c r="Y66" s="71">
        <f t="shared" si="9"/>
        <v>1</v>
      </c>
      <c r="Z66" s="17">
        <v>1</v>
      </c>
      <c r="AA66" s="71">
        <f t="shared" si="10"/>
        <v>0.33333333333333331</v>
      </c>
      <c r="AB66" s="17">
        <v>2</v>
      </c>
      <c r="AC66" s="71">
        <f t="shared" si="11"/>
        <v>1</v>
      </c>
      <c r="AD66" s="57">
        <v>1</v>
      </c>
      <c r="AE66" s="57">
        <v>0</v>
      </c>
      <c r="AF66" s="57">
        <v>1</v>
      </c>
      <c r="AG66" s="57">
        <v>0</v>
      </c>
      <c r="AH66" s="57">
        <v>0</v>
      </c>
      <c r="AI66" s="57">
        <v>0</v>
      </c>
      <c r="AJ66" s="20">
        <v>2</v>
      </c>
      <c r="AK66" s="71">
        <f t="shared" si="12"/>
        <v>1</v>
      </c>
      <c r="AL66" s="17">
        <v>0</v>
      </c>
      <c r="AM66" s="71">
        <f t="shared" si="13"/>
        <v>0</v>
      </c>
      <c r="AN66" s="17">
        <v>1</v>
      </c>
      <c r="AO66" s="71">
        <f t="shared" si="14"/>
        <v>0.33333333333333331</v>
      </c>
      <c r="AP66" s="17">
        <v>0</v>
      </c>
      <c r="AQ66" s="71">
        <f t="shared" si="15"/>
        <v>0</v>
      </c>
      <c r="AR66" s="57">
        <v>2</v>
      </c>
      <c r="AS66" s="17">
        <v>1</v>
      </c>
      <c r="AT66" s="71">
        <f t="shared" si="16"/>
        <v>0.33333333333333331</v>
      </c>
      <c r="AU66" s="17">
        <v>1</v>
      </c>
      <c r="AV66" s="71">
        <f t="shared" si="17"/>
        <v>0.33333333333333331</v>
      </c>
      <c r="AW66" s="17">
        <v>0</v>
      </c>
      <c r="AX66" s="71">
        <f t="shared" si="18"/>
        <v>0</v>
      </c>
      <c r="AY66" s="17">
        <v>1</v>
      </c>
      <c r="AZ66" s="71">
        <f t="shared" si="19"/>
        <v>0.33333333333333331</v>
      </c>
      <c r="BA66" s="73">
        <v>0</v>
      </c>
      <c r="BB66" s="73">
        <v>0</v>
      </c>
      <c r="BC66" s="73">
        <v>0</v>
      </c>
      <c r="BD66" s="73">
        <v>1</v>
      </c>
      <c r="BE66" s="81">
        <f t="shared" si="20"/>
        <v>0.4825000000000001</v>
      </c>
      <c r="BF66" s="81" t="str">
        <f t="shared" si="21"/>
        <v>MEDIO</v>
      </c>
    </row>
    <row r="67" spans="1:58" x14ac:dyDescent="0.15">
      <c r="A67" s="58">
        <v>4</v>
      </c>
      <c r="B67" s="58">
        <v>1</v>
      </c>
      <c r="C67" s="58">
        <v>3</v>
      </c>
      <c r="D67" s="58">
        <v>2</v>
      </c>
      <c r="E67" s="58">
        <v>1</v>
      </c>
      <c r="F67" s="18">
        <v>1</v>
      </c>
      <c r="G67" s="64">
        <f t="shared" si="22"/>
        <v>0.5</v>
      </c>
      <c r="H67" s="18">
        <v>1</v>
      </c>
      <c r="I67" s="64">
        <f t="shared" ref="I67:I130" si="23">H67/2</f>
        <v>0.5</v>
      </c>
      <c r="J67" s="18">
        <v>1</v>
      </c>
      <c r="K67" s="64">
        <f t="shared" ref="K67:K130" si="24">J67/2</f>
        <v>0.5</v>
      </c>
      <c r="L67" s="18">
        <v>1</v>
      </c>
      <c r="M67" s="64">
        <f t="shared" ref="M67:M130" si="25">L67/3</f>
        <v>0.33333333333333331</v>
      </c>
      <c r="N67" s="18">
        <v>5</v>
      </c>
      <c r="O67" s="64">
        <f t="shared" ref="O67:O130" si="26">N67/5</f>
        <v>1</v>
      </c>
      <c r="P67" s="18">
        <v>0</v>
      </c>
      <c r="Q67" s="64">
        <f t="shared" ref="Q67:Q130" si="27">P67/3</f>
        <v>0</v>
      </c>
      <c r="R67" s="24">
        <v>0</v>
      </c>
      <c r="S67" s="71">
        <f t="shared" ref="S67:S130" si="28">R67/3</f>
        <v>0</v>
      </c>
      <c r="T67" s="18">
        <v>1</v>
      </c>
      <c r="U67" s="64">
        <f t="shared" ref="U67:U130" si="29">T67/3</f>
        <v>0.33333333333333331</v>
      </c>
      <c r="V67" s="18">
        <v>3</v>
      </c>
      <c r="W67" s="71">
        <f t="shared" ref="W67:W130" si="30">V67/4</f>
        <v>0.75</v>
      </c>
      <c r="X67" s="18">
        <v>0</v>
      </c>
      <c r="Y67" s="71">
        <f t="shared" ref="Y67:Y130" si="31">X67/3</f>
        <v>0</v>
      </c>
      <c r="Z67" s="18">
        <v>0</v>
      </c>
      <c r="AA67" s="71">
        <f t="shared" ref="AA67:AA130" si="32">Z67/3</f>
        <v>0</v>
      </c>
      <c r="AB67" s="18">
        <v>3</v>
      </c>
      <c r="AC67" s="71">
        <f t="shared" ref="AC67:AC130" si="33">AB67/2</f>
        <v>1.5</v>
      </c>
      <c r="AD67" s="58">
        <v>0</v>
      </c>
      <c r="AE67" s="58">
        <v>0</v>
      </c>
      <c r="AF67" s="58">
        <v>0</v>
      </c>
      <c r="AG67" s="58">
        <v>1</v>
      </c>
      <c r="AH67" s="58">
        <v>0</v>
      </c>
      <c r="AI67" s="58">
        <v>0</v>
      </c>
      <c r="AJ67" s="19">
        <v>1</v>
      </c>
      <c r="AK67" s="71">
        <f t="shared" ref="AK67:AK130" si="34">AJ67/2</f>
        <v>0.5</v>
      </c>
      <c r="AL67" s="18">
        <v>0</v>
      </c>
      <c r="AM67" s="71">
        <f t="shared" ref="AM67:AM130" si="35">AL67/3</f>
        <v>0</v>
      </c>
      <c r="AN67" s="18">
        <v>0</v>
      </c>
      <c r="AO67" s="71">
        <f t="shared" ref="AO67:AO130" si="36">AN67/3</f>
        <v>0</v>
      </c>
      <c r="AP67" s="18">
        <v>0</v>
      </c>
      <c r="AQ67" s="71">
        <f t="shared" ref="AQ67:AQ130" si="37">AP67/3</f>
        <v>0</v>
      </c>
      <c r="AR67" s="58">
        <v>2</v>
      </c>
      <c r="AS67" s="18">
        <v>1</v>
      </c>
      <c r="AT67" s="71">
        <f t="shared" ref="AT67:AT130" si="38">AS67/3</f>
        <v>0.33333333333333331</v>
      </c>
      <c r="AU67" s="18">
        <v>0</v>
      </c>
      <c r="AV67" s="71">
        <f t="shared" ref="AV67:AV130" si="39">AU67/3</f>
        <v>0</v>
      </c>
      <c r="AW67" s="18">
        <v>0</v>
      </c>
      <c r="AX67" s="71">
        <f t="shared" ref="AX67:AX130" si="40">AW67/2</f>
        <v>0</v>
      </c>
      <c r="AY67" s="18">
        <v>2</v>
      </c>
      <c r="AZ67" s="71">
        <f t="shared" ref="AZ67:AZ130" si="41">AY67/3</f>
        <v>0.66666666666666663</v>
      </c>
      <c r="BA67" s="74">
        <v>0</v>
      </c>
      <c r="BB67" s="74">
        <v>0</v>
      </c>
      <c r="BC67" s="74">
        <v>1</v>
      </c>
      <c r="BD67" s="74">
        <v>0</v>
      </c>
      <c r="BE67" s="81">
        <f t="shared" ref="BE67:BE130" si="42">AVERAGE(F67,I67,K67,M67,O67,Q67,S67,U67,W67,Y67,AA67,AC67,AK67,AM67,AO67,AQ67,AT67,AV67,AX67,AZ67)</f>
        <v>0.37083333333333335</v>
      </c>
      <c r="BF67" s="81" t="str">
        <f t="shared" ref="BF67:BF130" si="43">IF(BE67="","",IF(VALUE(BE67)&lt;0.34,"BASSO",IF(VALUE(BE67)&lt;=0.66,"MEDIO","ALTO")))</f>
        <v>MEDIO</v>
      </c>
    </row>
    <row r="68" spans="1:58" x14ac:dyDescent="0.15">
      <c r="A68" s="57">
        <v>4</v>
      </c>
      <c r="B68" s="57">
        <v>1</v>
      </c>
      <c r="C68" s="57">
        <v>1</v>
      </c>
      <c r="D68" s="57">
        <v>2</v>
      </c>
      <c r="E68" s="58">
        <v>1</v>
      </c>
      <c r="F68" s="17">
        <v>2</v>
      </c>
      <c r="G68" s="64">
        <f t="shared" si="22"/>
        <v>1</v>
      </c>
      <c r="H68" s="17">
        <v>1</v>
      </c>
      <c r="I68" s="64">
        <f t="shared" si="23"/>
        <v>0.5</v>
      </c>
      <c r="J68" s="17">
        <v>1</v>
      </c>
      <c r="K68" s="64">
        <f t="shared" si="24"/>
        <v>0.5</v>
      </c>
      <c r="L68" s="17">
        <v>2</v>
      </c>
      <c r="M68" s="64">
        <f t="shared" si="25"/>
        <v>0.66666666666666663</v>
      </c>
      <c r="N68" s="17">
        <v>2</v>
      </c>
      <c r="O68" s="64">
        <f t="shared" si="26"/>
        <v>0.4</v>
      </c>
      <c r="P68" s="17">
        <v>3</v>
      </c>
      <c r="Q68" s="64">
        <f t="shared" si="27"/>
        <v>1</v>
      </c>
      <c r="R68" s="25">
        <v>2</v>
      </c>
      <c r="S68" s="71">
        <f t="shared" si="28"/>
        <v>0.66666666666666663</v>
      </c>
      <c r="T68" s="17">
        <v>2</v>
      </c>
      <c r="U68" s="64">
        <f t="shared" si="29"/>
        <v>0.66666666666666663</v>
      </c>
      <c r="V68" s="17">
        <v>3</v>
      </c>
      <c r="W68" s="71">
        <f t="shared" si="30"/>
        <v>0.75</v>
      </c>
      <c r="X68" s="17">
        <v>2</v>
      </c>
      <c r="Y68" s="71">
        <f t="shared" si="31"/>
        <v>0.66666666666666663</v>
      </c>
      <c r="Z68" s="17">
        <v>0</v>
      </c>
      <c r="AA68" s="71">
        <f t="shared" si="32"/>
        <v>0</v>
      </c>
      <c r="AB68" s="17">
        <v>1</v>
      </c>
      <c r="AC68" s="71">
        <f t="shared" si="33"/>
        <v>0.5</v>
      </c>
      <c r="AD68" s="57">
        <v>1</v>
      </c>
      <c r="AE68" s="57">
        <v>0</v>
      </c>
      <c r="AF68" s="57">
        <v>1</v>
      </c>
      <c r="AG68" s="57">
        <v>0</v>
      </c>
      <c r="AH68" s="57">
        <v>0</v>
      </c>
      <c r="AI68" s="57">
        <v>0</v>
      </c>
      <c r="AJ68" s="20">
        <v>0</v>
      </c>
      <c r="AK68" s="71">
        <f t="shared" si="34"/>
        <v>0</v>
      </c>
      <c r="AL68" s="17">
        <v>3</v>
      </c>
      <c r="AM68" s="71">
        <f t="shared" si="35"/>
        <v>1</v>
      </c>
      <c r="AN68" s="17">
        <v>0</v>
      </c>
      <c r="AO68" s="71">
        <f t="shared" si="36"/>
        <v>0</v>
      </c>
      <c r="AP68" s="17">
        <v>1</v>
      </c>
      <c r="AQ68" s="71">
        <f t="shared" si="37"/>
        <v>0.33333333333333331</v>
      </c>
      <c r="AR68" s="57">
        <v>3</v>
      </c>
      <c r="AS68" s="17">
        <v>0</v>
      </c>
      <c r="AT68" s="71">
        <f t="shared" si="38"/>
        <v>0</v>
      </c>
      <c r="AU68" s="17">
        <v>2</v>
      </c>
      <c r="AV68" s="71">
        <f t="shared" si="39"/>
        <v>0.66666666666666663</v>
      </c>
      <c r="AW68" s="17">
        <v>1</v>
      </c>
      <c r="AX68" s="71">
        <f t="shared" si="40"/>
        <v>0.5</v>
      </c>
      <c r="AY68" s="17">
        <v>0</v>
      </c>
      <c r="AZ68" s="71">
        <f t="shared" si="41"/>
        <v>0</v>
      </c>
      <c r="BA68" s="73">
        <v>1</v>
      </c>
      <c r="BB68" s="73">
        <v>0</v>
      </c>
      <c r="BC68" s="73">
        <v>0</v>
      </c>
      <c r="BD68" s="73">
        <v>0</v>
      </c>
      <c r="BE68" s="81">
        <f t="shared" si="42"/>
        <v>0.54083333333333328</v>
      </c>
      <c r="BF68" s="81" t="str">
        <f t="shared" si="43"/>
        <v>MEDIO</v>
      </c>
    </row>
    <row r="69" spans="1:58" x14ac:dyDescent="0.15">
      <c r="A69" s="58">
        <v>3</v>
      </c>
      <c r="B69" s="58">
        <v>1</v>
      </c>
      <c r="C69" s="58">
        <v>3</v>
      </c>
      <c r="D69" s="58">
        <v>2</v>
      </c>
      <c r="E69" s="58">
        <v>1</v>
      </c>
      <c r="F69" s="18">
        <v>1</v>
      </c>
      <c r="G69" s="64">
        <f t="shared" si="22"/>
        <v>0.5</v>
      </c>
      <c r="H69" s="18">
        <v>2</v>
      </c>
      <c r="I69" s="64">
        <f t="shared" si="23"/>
        <v>1</v>
      </c>
      <c r="J69" s="18">
        <v>1</v>
      </c>
      <c r="K69" s="64">
        <f t="shared" si="24"/>
        <v>0.5</v>
      </c>
      <c r="L69" s="18">
        <v>0</v>
      </c>
      <c r="M69" s="64">
        <f t="shared" si="25"/>
        <v>0</v>
      </c>
      <c r="N69" s="18">
        <v>2</v>
      </c>
      <c r="O69" s="64">
        <f t="shared" si="26"/>
        <v>0.4</v>
      </c>
      <c r="P69" s="18">
        <v>0</v>
      </c>
      <c r="Q69" s="64">
        <f t="shared" si="27"/>
        <v>0</v>
      </c>
      <c r="R69" s="24">
        <v>0</v>
      </c>
      <c r="S69" s="71">
        <f t="shared" si="28"/>
        <v>0</v>
      </c>
      <c r="T69" s="18">
        <v>2</v>
      </c>
      <c r="U69" s="64">
        <f t="shared" si="29"/>
        <v>0.66666666666666663</v>
      </c>
      <c r="V69" s="18">
        <v>3</v>
      </c>
      <c r="W69" s="71">
        <f t="shared" si="30"/>
        <v>0.75</v>
      </c>
      <c r="X69" s="18">
        <v>2</v>
      </c>
      <c r="Y69" s="71">
        <f t="shared" si="31"/>
        <v>0.66666666666666663</v>
      </c>
      <c r="Z69" s="18">
        <v>2</v>
      </c>
      <c r="AA69" s="71">
        <f t="shared" si="32"/>
        <v>0.66666666666666663</v>
      </c>
      <c r="AB69" s="18">
        <v>0</v>
      </c>
      <c r="AC69" s="71">
        <f t="shared" si="33"/>
        <v>0</v>
      </c>
      <c r="AD69" s="58">
        <v>1</v>
      </c>
      <c r="AE69" s="58">
        <v>0</v>
      </c>
      <c r="AF69" s="58">
        <v>1</v>
      </c>
      <c r="AG69" s="58">
        <v>0</v>
      </c>
      <c r="AH69" s="58">
        <v>0</v>
      </c>
      <c r="AI69" s="58">
        <v>0</v>
      </c>
      <c r="AJ69" s="19">
        <v>1</v>
      </c>
      <c r="AK69" s="71">
        <f t="shared" si="34"/>
        <v>0.5</v>
      </c>
      <c r="AL69" s="18">
        <v>3</v>
      </c>
      <c r="AM69" s="71">
        <f t="shared" si="35"/>
        <v>1</v>
      </c>
      <c r="AN69" s="18">
        <v>1</v>
      </c>
      <c r="AO69" s="71">
        <f t="shared" si="36"/>
        <v>0.33333333333333331</v>
      </c>
      <c r="AP69" s="18">
        <v>0</v>
      </c>
      <c r="AQ69" s="71">
        <f t="shared" si="37"/>
        <v>0</v>
      </c>
      <c r="AR69" s="58">
        <v>2</v>
      </c>
      <c r="AS69" s="18">
        <v>3</v>
      </c>
      <c r="AT69" s="71">
        <f t="shared" si="38"/>
        <v>1</v>
      </c>
      <c r="AU69" s="18">
        <v>1</v>
      </c>
      <c r="AV69" s="71">
        <f t="shared" si="39"/>
        <v>0.33333333333333331</v>
      </c>
      <c r="AW69" s="18">
        <v>0</v>
      </c>
      <c r="AX69" s="71">
        <f t="shared" si="40"/>
        <v>0</v>
      </c>
      <c r="AY69" s="18">
        <v>2</v>
      </c>
      <c r="AZ69" s="71">
        <f t="shared" si="41"/>
        <v>0.66666666666666663</v>
      </c>
      <c r="BA69" s="74">
        <v>0</v>
      </c>
      <c r="BB69" s="74">
        <v>1</v>
      </c>
      <c r="BC69" s="74">
        <v>1</v>
      </c>
      <c r="BD69" s="74">
        <v>0</v>
      </c>
      <c r="BE69" s="81">
        <f t="shared" si="42"/>
        <v>0.47416666666666674</v>
      </c>
      <c r="BF69" s="81" t="str">
        <f t="shared" si="43"/>
        <v>MEDIO</v>
      </c>
    </row>
    <row r="70" spans="1:58" x14ac:dyDescent="0.15">
      <c r="A70" s="57">
        <v>3</v>
      </c>
      <c r="B70" s="57">
        <v>1</v>
      </c>
      <c r="C70" s="57">
        <v>3</v>
      </c>
      <c r="D70" s="57">
        <v>2</v>
      </c>
      <c r="E70" s="58">
        <v>1</v>
      </c>
      <c r="F70" s="17">
        <v>2</v>
      </c>
      <c r="G70" s="64">
        <f t="shared" si="22"/>
        <v>1</v>
      </c>
      <c r="H70" s="17">
        <v>2</v>
      </c>
      <c r="I70" s="64">
        <f t="shared" si="23"/>
        <v>1</v>
      </c>
      <c r="J70" s="17">
        <v>1</v>
      </c>
      <c r="K70" s="64">
        <f t="shared" si="24"/>
        <v>0.5</v>
      </c>
      <c r="L70" s="17">
        <v>2</v>
      </c>
      <c r="M70" s="64">
        <f t="shared" si="25"/>
        <v>0.66666666666666663</v>
      </c>
      <c r="N70" s="17">
        <v>4</v>
      </c>
      <c r="O70" s="64">
        <f t="shared" si="26"/>
        <v>0.8</v>
      </c>
      <c r="P70" s="17">
        <v>3</v>
      </c>
      <c r="Q70" s="64">
        <f t="shared" si="27"/>
        <v>1</v>
      </c>
      <c r="R70" s="25">
        <v>2</v>
      </c>
      <c r="S70" s="71">
        <f t="shared" si="28"/>
        <v>0.66666666666666663</v>
      </c>
      <c r="T70" s="17">
        <v>2</v>
      </c>
      <c r="U70" s="64">
        <f t="shared" si="29"/>
        <v>0.66666666666666663</v>
      </c>
      <c r="V70" s="17">
        <v>3</v>
      </c>
      <c r="W70" s="71">
        <f t="shared" si="30"/>
        <v>0.75</v>
      </c>
      <c r="X70" s="17">
        <v>2</v>
      </c>
      <c r="Y70" s="71">
        <f t="shared" si="31"/>
        <v>0.66666666666666663</v>
      </c>
      <c r="Z70" s="17">
        <v>1</v>
      </c>
      <c r="AA70" s="71">
        <f t="shared" si="32"/>
        <v>0.33333333333333331</v>
      </c>
      <c r="AB70" s="17">
        <v>2</v>
      </c>
      <c r="AC70" s="71">
        <f t="shared" si="33"/>
        <v>1</v>
      </c>
      <c r="AD70" s="57">
        <v>1</v>
      </c>
      <c r="AE70" s="57">
        <v>0</v>
      </c>
      <c r="AF70" s="57">
        <v>1</v>
      </c>
      <c r="AG70" s="57">
        <v>0</v>
      </c>
      <c r="AH70" s="57">
        <v>0</v>
      </c>
      <c r="AI70" s="57">
        <v>0</v>
      </c>
      <c r="AJ70" s="20">
        <v>1</v>
      </c>
      <c r="AK70" s="71">
        <f t="shared" si="34"/>
        <v>0.5</v>
      </c>
      <c r="AL70" s="17">
        <v>2</v>
      </c>
      <c r="AM70" s="71">
        <f t="shared" si="35"/>
        <v>0.66666666666666663</v>
      </c>
      <c r="AN70" s="17">
        <v>1</v>
      </c>
      <c r="AO70" s="71">
        <f t="shared" si="36"/>
        <v>0.33333333333333331</v>
      </c>
      <c r="AP70" s="17">
        <v>2</v>
      </c>
      <c r="AQ70" s="71">
        <f t="shared" si="37"/>
        <v>0.66666666666666663</v>
      </c>
      <c r="AR70" s="57">
        <v>2</v>
      </c>
      <c r="AS70" s="17">
        <v>2</v>
      </c>
      <c r="AT70" s="71">
        <f t="shared" si="38"/>
        <v>0.66666666666666663</v>
      </c>
      <c r="AU70" s="17">
        <v>1</v>
      </c>
      <c r="AV70" s="71">
        <f t="shared" si="39"/>
        <v>0.33333333333333331</v>
      </c>
      <c r="AW70" s="17">
        <v>1</v>
      </c>
      <c r="AX70" s="71">
        <f t="shared" si="40"/>
        <v>0.5</v>
      </c>
      <c r="AY70" s="17">
        <v>2</v>
      </c>
      <c r="AZ70" s="71">
        <f t="shared" si="41"/>
        <v>0.66666666666666663</v>
      </c>
      <c r="BA70" s="73">
        <v>1</v>
      </c>
      <c r="BB70" s="73">
        <v>0</v>
      </c>
      <c r="BC70" s="73">
        <v>0</v>
      </c>
      <c r="BD70" s="73">
        <v>0</v>
      </c>
      <c r="BE70" s="81">
        <f t="shared" si="42"/>
        <v>0.71916666666666662</v>
      </c>
      <c r="BF70" s="81" t="str">
        <f t="shared" si="43"/>
        <v>ALTO</v>
      </c>
    </row>
    <row r="71" spans="1:58" x14ac:dyDescent="0.15">
      <c r="A71" s="58">
        <v>4</v>
      </c>
      <c r="B71" s="58">
        <v>1</v>
      </c>
      <c r="C71" s="58">
        <v>0</v>
      </c>
      <c r="D71" s="58">
        <v>2</v>
      </c>
      <c r="E71" s="58">
        <v>1</v>
      </c>
      <c r="F71" s="18">
        <v>1</v>
      </c>
      <c r="G71" s="64">
        <f t="shared" si="22"/>
        <v>0.5</v>
      </c>
      <c r="H71" s="18">
        <v>0</v>
      </c>
      <c r="I71" s="64">
        <f t="shared" si="23"/>
        <v>0</v>
      </c>
      <c r="J71" s="18">
        <v>1</v>
      </c>
      <c r="K71" s="64">
        <f t="shared" si="24"/>
        <v>0.5</v>
      </c>
      <c r="L71" s="18">
        <v>2</v>
      </c>
      <c r="M71" s="64">
        <f t="shared" si="25"/>
        <v>0.66666666666666663</v>
      </c>
      <c r="N71" s="18">
        <v>2</v>
      </c>
      <c r="O71" s="64">
        <f t="shared" si="26"/>
        <v>0.4</v>
      </c>
      <c r="P71" s="18">
        <v>3</v>
      </c>
      <c r="Q71" s="64">
        <f t="shared" si="27"/>
        <v>1</v>
      </c>
      <c r="R71" s="24">
        <v>2</v>
      </c>
      <c r="S71" s="71">
        <f t="shared" si="28"/>
        <v>0.66666666666666663</v>
      </c>
      <c r="T71" s="18">
        <v>3</v>
      </c>
      <c r="U71" s="64">
        <f t="shared" si="29"/>
        <v>1</v>
      </c>
      <c r="V71" s="18">
        <v>3</v>
      </c>
      <c r="W71" s="71">
        <f t="shared" si="30"/>
        <v>0.75</v>
      </c>
      <c r="X71" s="18">
        <v>2</v>
      </c>
      <c r="Y71" s="71">
        <f t="shared" si="31"/>
        <v>0.66666666666666663</v>
      </c>
      <c r="Z71" s="18">
        <v>2</v>
      </c>
      <c r="AA71" s="71">
        <f t="shared" si="32"/>
        <v>0.66666666666666663</v>
      </c>
      <c r="AB71" s="18">
        <v>2</v>
      </c>
      <c r="AC71" s="71">
        <f t="shared" si="33"/>
        <v>1</v>
      </c>
      <c r="AD71" s="58">
        <v>0</v>
      </c>
      <c r="AE71" s="58">
        <v>1</v>
      </c>
      <c r="AF71" s="58">
        <v>1</v>
      </c>
      <c r="AG71" s="58">
        <v>0</v>
      </c>
      <c r="AH71" s="58">
        <v>0</v>
      </c>
      <c r="AI71" s="58">
        <v>0</v>
      </c>
      <c r="AJ71" s="19">
        <v>1</v>
      </c>
      <c r="AK71" s="71">
        <f t="shared" si="34"/>
        <v>0.5</v>
      </c>
      <c r="AL71" s="18">
        <v>1</v>
      </c>
      <c r="AM71" s="71">
        <f t="shared" si="35"/>
        <v>0.33333333333333331</v>
      </c>
      <c r="AN71" s="18">
        <v>1</v>
      </c>
      <c r="AO71" s="71">
        <f t="shared" si="36"/>
        <v>0.33333333333333331</v>
      </c>
      <c r="AP71" s="18">
        <v>2</v>
      </c>
      <c r="AQ71" s="71">
        <f t="shared" si="37"/>
        <v>0.66666666666666663</v>
      </c>
      <c r="AR71" s="58">
        <v>1</v>
      </c>
      <c r="AS71" s="18">
        <v>2</v>
      </c>
      <c r="AT71" s="71">
        <f t="shared" si="38"/>
        <v>0.66666666666666663</v>
      </c>
      <c r="AU71" s="18">
        <v>2</v>
      </c>
      <c r="AV71" s="71">
        <f t="shared" si="39"/>
        <v>0.66666666666666663</v>
      </c>
      <c r="AW71" s="18">
        <v>2</v>
      </c>
      <c r="AX71" s="71">
        <f t="shared" si="40"/>
        <v>1</v>
      </c>
      <c r="AY71" s="18">
        <v>0</v>
      </c>
      <c r="AZ71" s="71">
        <f t="shared" si="41"/>
        <v>0</v>
      </c>
      <c r="BA71" s="74">
        <v>1</v>
      </c>
      <c r="BB71" s="74">
        <v>1</v>
      </c>
      <c r="BC71" s="74">
        <v>0</v>
      </c>
      <c r="BD71" s="74">
        <v>0</v>
      </c>
      <c r="BE71" s="81">
        <f t="shared" si="42"/>
        <v>0.62416666666666665</v>
      </c>
      <c r="BF71" s="81" t="str">
        <f t="shared" si="43"/>
        <v>MEDIO</v>
      </c>
    </row>
    <row r="72" spans="1:58" x14ac:dyDescent="0.15">
      <c r="A72" s="57">
        <v>4</v>
      </c>
      <c r="B72" s="57">
        <v>1</v>
      </c>
      <c r="C72" s="57">
        <v>1</v>
      </c>
      <c r="D72" s="57">
        <v>2</v>
      </c>
      <c r="E72" s="58">
        <v>1</v>
      </c>
      <c r="F72" s="17">
        <v>1</v>
      </c>
      <c r="G72" s="64">
        <f t="shared" si="22"/>
        <v>0.5</v>
      </c>
      <c r="H72" s="17">
        <v>1</v>
      </c>
      <c r="I72" s="64">
        <f t="shared" si="23"/>
        <v>0.5</v>
      </c>
      <c r="J72" s="17">
        <v>2</v>
      </c>
      <c r="K72" s="64">
        <f t="shared" si="24"/>
        <v>1</v>
      </c>
      <c r="L72" s="17">
        <v>2</v>
      </c>
      <c r="M72" s="64">
        <f t="shared" si="25"/>
        <v>0.66666666666666663</v>
      </c>
      <c r="N72" s="17">
        <v>3</v>
      </c>
      <c r="O72" s="64">
        <f t="shared" si="26"/>
        <v>0.6</v>
      </c>
      <c r="P72" s="17">
        <v>3</v>
      </c>
      <c r="Q72" s="64">
        <f t="shared" si="27"/>
        <v>1</v>
      </c>
      <c r="R72" s="25">
        <v>2</v>
      </c>
      <c r="S72" s="71">
        <f t="shared" si="28"/>
        <v>0.66666666666666663</v>
      </c>
      <c r="T72" s="17">
        <v>2</v>
      </c>
      <c r="U72" s="64">
        <f t="shared" si="29"/>
        <v>0.66666666666666663</v>
      </c>
      <c r="V72" s="17">
        <v>4</v>
      </c>
      <c r="W72" s="71">
        <f t="shared" si="30"/>
        <v>1</v>
      </c>
      <c r="X72" s="17">
        <v>2</v>
      </c>
      <c r="Y72" s="71">
        <f t="shared" si="31"/>
        <v>0.66666666666666663</v>
      </c>
      <c r="Z72" s="17">
        <v>3</v>
      </c>
      <c r="AA72" s="71">
        <f t="shared" si="32"/>
        <v>1</v>
      </c>
      <c r="AB72" s="17">
        <v>2</v>
      </c>
      <c r="AC72" s="71">
        <f t="shared" si="33"/>
        <v>1</v>
      </c>
      <c r="AD72" s="57">
        <v>0</v>
      </c>
      <c r="AE72" s="57">
        <v>0</v>
      </c>
      <c r="AF72" s="57">
        <v>1</v>
      </c>
      <c r="AG72" s="57">
        <v>1</v>
      </c>
      <c r="AH72" s="57">
        <v>0</v>
      </c>
      <c r="AI72" s="57">
        <v>0</v>
      </c>
      <c r="AJ72" s="20">
        <v>1</v>
      </c>
      <c r="AK72" s="71">
        <f t="shared" si="34"/>
        <v>0.5</v>
      </c>
      <c r="AL72" s="17">
        <v>2</v>
      </c>
      <c r="AM72" s="71">
        <f t="shared" si="35"/>
        <v>0.66666666666666663</v>
      </c>
      <c r="AN72" s="17">
        <v>0</v>
      </c>
      <c r="AO72" s="71">
        <f t="shared" si="36"/>
        <v>0</v>
      </c>
      <c r="AP72" s="17">
        <v>1</v>
      </c>
      <c r="AQ72" s="71">
        <f t="shared" si="37"/>
        <v>0.33333333333333331</v>
      </c>
      <c r="AR72" s="57">
        <v>0</v>
      </c>
      <c r="AS72" s="17">
        <v>3</v>
      </c>
      <c r="AT72" s="71">
        <f t="shared" si="38"/>
        <v>1</v>
      </c>
      <c r="AU72" s="17">
        <v>2</v>
      </c>
      <c r="AV72" s="71">
        <f t="shared" si="39"/>
        <v>0.66666666666666663</v>
      </c>
      <c r="AW72" s="17">
        <v>0</v>
      </c>
      <c r="AX72" s="71">
        <f t="shared" si="40"/>
        <v>0</v>
      </c>
      <c r="AY72" s="17">
        <v>2</v>
      </c>
      <c r="AZ72" s="71">
        <f t="shared" si="41"/>
        <v>0.66666666666666663</v>
      </c>
      <c r="BA72" s="73">
        <v>1</v>
      </c>
      <c r="BB72" s="73">
        <v>1</v>
      </c>
      <c r="BC72" s="73">
        <v>0</v>
      </c>
      <c r="BD72" s="73">
        <v>0</v>
      </c>
      <c r="BE72" s="81">
        <f t="shared" si="42"/>
        <v>0.67999999999999994</v>
      </c>
      <c r="BF72" s="81" t="str">
        <f t="shared" si="43"/>
        <v>ALTO</v>
      </c>
    </row>
    <row r="73" spans="1:58" x14ac:dyDescent="0.15">
      <c r="A73" s="58">
        <v>3</v>
      </c>
      <c r="B73" s="58">
        <v>1</v>
      </c>
      <c r="C73" s="58">
        <v>3</v>
      </c>
      <c r="D73" s="58">
        <v>0</v>
      </c>
      <c r="E73" s="58">
        <v>1</v>
      </c>
      <c r="F73" s="18">
        <v>2</v>
      </c>
      <c r="G73" s="64">
        <f t="shared" si="22"/>
        <v>1</v>
      </c>
      <c r="H73" s="18">
        <v>2</v>
      </c>
      <c r="I73" s="64">
        <f t="shared" si="23"/>
        <v>1</v>
      </c>
      <c r="J73" s="18">
        <v>2</v>
      </c>
      <c r="K73" s="64">
        <f t="shared" si="24"/>
        <v>1</v>
      </c>
      <c r="L73" s="18">
        <v>3</v>
      </c>
      <c r="M73" s="64">
        <f t="shared" si="25"/>
        <v>1</v>
      </c>
      <c r="N73" s="18">
        <v>4</v>
      </c>
      <c r="O73" s="64">
        <f t="shared" si="26"/>
        <v>0.8</v>
      </c>
      <c r="P73" s="18">
        <v>3</v>
      </c>
      <c r="Q73" s="64">
        <f t="shared" si="27"/>
        <v>1</v>
      </c>
      <c r="R73" s="24">
        <v>3</v>
      </c>
      <c r="S73" s="71">
        <f t="shared" si="28"/>
        <v>1</v>
      </c>
      <c r="T73" s="18">
        <v>3</v>
      </c>
      <c r="U73" s="64">
        <f t="shared" si="29"/>
        <v>1</v>
      </c>
      <c r="V73" s="18">
        <v>4</v>
      </c>
      <c r="W73" s="71">
        <f t="shared" si="30"/>
        <v>1</v>
      </c>
      <c r="X73" s="18">
        <v>3</v>
      </c>
      <c r="Y73" s="71">
        <f t="shared" si="31"/>
        <v>1</v>
      </c>
      <c r="Z73" s="18">
        <v>3</v>
      </c>
      <c r="AA73" s="71">
        <f t="shared" si="32"/>
        <v>1</v>
      </c>
      <c r="AB73" s="18">
        <v>0</v>
      </c>
      <c r="AC73" s="71">
        <f t="shared" si="33"/>
        <v>0</v>
      </c>
      <c r="AD73" s="58">
        <v>0</v>
      </c>
      <c r="AE73" s="58">
        <v>1</v>
      </c>
      <c r="AF73" s="58">
        <v>1</v>
      </c>
      <c r="AG73" s="58">
        <v>0</v>
      </c>
      <c r="AH73" s="58">
        <v>0</v>
      </c>
      <c r="AI73" s="58">
        <v>0</v>
      </c>
      <c r="AJ73" s="19">
        <v>2</v>
      </c>
      <c r="AK73" s="71">
        <f t="shared" si="34"/>
        <v>1</v>
      </c>
      <c r="AL73" s="18">
        <v>1</v>
      </c>
      <c r="AM73" s="71">
        <f t="shared" si="35"/>
        <v>0.33333333333333331</v>
      </c>
      <c r="AN73" s="18">
        <v>1</v>
      </c>
      <c r="AO73" s="71">
        <f t="shared" si="36"/>
        <v>0.33333333333333331</v>
      </c>
      <c r="AP73" s="18">
        <v>3</v>
      </c>
      <c r="AQ73" s="71">
        <f t="shared" si="37"/>
        <v>1</v>
      </c>
      <c r="AR73" s="58">
        <v>2</v>
      </c>
      <c r="AS73" s="18">
        <v>3</v>
      </c>
      <c r="AT73" s="71">
        <f t="shared" si="38"/>
        <v>1</v>
      </c>
      <c r="AU73" s="18">
        <v>3</v>
      </c>
      <c r="AV73" s="71">
        <f t="shared" si="39"/>
        <v>1</v>
      </c>
      <c r="AW73" s="18">
        <v>1</v>
      </c>
      <c r="AX73" s="71">
        <f t="shared" si="40"/>
        <v>0.5</v>
      </c>
      <c r="AY73" s="18">
        <v>3</v>
      </c>
      <c r="AZ73" s="71">
        <f t="shared" si="41"/>
        <v>1</v>
      </c>
      <c r="BA73" s="74">
        <v>0</v>
      </c>
      <c r="BB73" s="74">
        <v>1</v>
      </c>
      <c r="BC73" s="74">
        <v>0</v>
      </c>
      <c r="BD73" s="74">
        <v>0</v>
      </c>
      <c r="BE73" s="81">
        <f t="shared" si="42"/>
        <v>0.89833333333333343</v>
      </c>
      <c r="BF73" s="81" t="str">
        <f t="shared" si="43"/>
        <v>ALTO</v>
      </c>
    </row>
    <row r="74" spans="1:58" x14ac:dyDescent="0.15">
      <c r="A74" s="57">
        <v>5</v>
      </c>
      <c r="B74" s="57">
        <v>1</v>
      </c>
      <c r="C74" s="57">
        <v>1</v>
      </c>
      <c r="D74" s="57">
        <v>2</v>
      </c>
      <c r="E74" s="58">
        <v>1</v>
      </c>
      <c r="F74" s="17">
        <v>1</v>
      </c>
      <c r="G74" s="64">
        <f t="shared" si="22"/>
        <v>0.5</v>
      </c>
      <c r="H74" s="17">
        <v>1</v>
      </c>
      <c r="I74" s="64">
        <f t="shared" si="23"/>
        <v>0.5</v>
      </c>
      <c r="J74" s="17">
        <v>0</v>
      </c>
      <c r="K74" s="64">
        <f t="shared" si="24"/>
        <v>0</v>
      </c>
      <c r="L74" s="17">
        <v>1</v>
      </c>
      <c r="M74" s="64">
        <f t="shared" si="25"/>
        <v>0.33333333333333331</v>
      </c>
      <c r="N74" s="17">
        <v>4</v>
      </c>
      <c r="O74" s="64">
        <f t="shared" si="26"/>
        <v>0.8</v>
      </c>
      <c r="P74" s="17">
        <v>0</v>
      </c>
      <c r="Q74" s="64">
        <f t="shared" si="27"/>
        <v>0</v>
      </c>
      <c r="R74" s="25">
        <v>0</v>
      </c>
      <c r="S74" s="71">
        <f t="shared" si="28"/>
        <v>0</v>
      </c>
      <c r="T74" s="17">
        <v>1</v>
      </c>
      <c r="U74" s="64">
        <f t="shared" si="29"/>
        <v>0.33333333333333331</v>
      </c>
      <c r="V74" s="17">
        <v>3</v>
      </c>
      <c r="W74" s="71">
        <f t="shared" si="30"/>
        <v>0.75</v>
      </c>
      <c r="X74" s="17">
        <v>0</v>
      </c>
      <c r="Y74" s="71">
        <f t="shared" si="31"/>
        <v>0</v>
      </c>
      <c r="Z74" s="17">
        <v>1</v>
      </c>
      <c r="AA74" s="71">
        <f t="shared" si="32"/>
        <v>0.33333333333333331</v>
      </c>
      <c r="AB74" s="17">
        <v>2</v>
      </c>
      <c r="AC74" s="71">
        <f t="shared" si="33"/>
        <v>1</v>
      </c>
      <c r="AD74" s="57">
        <v>0</v>
      </c>
      <c r="AE74" s="57">
        <v>0</v>
      </c>
      <c r="AF74" s="57">
        <v>1</v>
      </c>
      <c r="AG74" s="57">
        <v>1</v>
      </c>
      <c r="AH74" s="57">
        <v>0</v>
      </c>
      <c r="AI74" s="57">
        <v>0</v>
      </c>
      <c r="AJ74" s="20">
        <v>1</v>
      </c>
      <c r="AK74" s="71">
        <f t="shared" si="34"/>
        <v>0.5</v>
      </c>
      <c r="AL74" s="17">
        <v>1</v>
      </c>
      <c r="AM74" s="71">
        <f t="shared" si="35"/>
        <v>0.33333333333333331</v>
      </c>
      <c r="AN74" s="17">
        <v>1</v>
      </c>
      <c r="AO74" s="71">
        <f t="shared" si="36"/>
        <v>0.33333333333333331</v>
      </c>
      <c r="AP74" s="17">
        <v>1</v>
      </c>
      <c r="AQ74" s="71">
        <f t="shared" si="37"/>
        <v>0.33333333333333331</v>
      </c>
      <c r="AR74" s="57">
        <v>2</v>
      </c>
      <c r="AS74" s="17">
        <v>1</v>
      </c>
      <c r="AT74" s="71">
        <f t="shared" si="38"/>
        <v>0.33333333333333331</v>
      </c>
      <c r="AU74" s="17">
        <v>2</v>
      </c>
      <c r="AV74" s="71">
        <f t="shared" si="39"/>
        <v>0.66666666666666663</v>
      </c>
      <c r="AW74" s="17">
        <v>1</v>
      </c>
      <c r="AX74" s="71">
        <f t="shared" si="40"/>
        <v>0.5</v>
      </c>
      <c r="AY74" s="17">
        <v>2</v>
      </c>
      <c r="AZ74" s="71">
        <f t="shared" si="41"/>
        <v>0.66666666666666663</v>
      </c>
      <c r="BA74" s="73">
        <v>0</v>
      </c>
      <c r="BB74" s="73">
        <v>1</v>
      </c>
      <c r="BC74" s="73">
        <v>0</v>
      </c>
      <c r="BD74" s="73">
        <v>0</v>
      </c>
      <c r="BE74" s="81">
        <f t="shared" si="42"/>
        <v>0.43583333333333324</v>
      </c>
      <c r="BF74" s="81" t="str">
        <f t="shared" si="43"/>
        <v>MEDIO</v>
      </c>
    </row>
    <row r="75" spans="1:58" x14ac:dyDescent="0.15">
      <c r="A75" s="58">
        <v>5</v>
      </c>
      <c r="B75" s="58">
        <v>1</v>
      </c>
      <c r="C75" s="58">
        <v>1</v>
      </c>
      <c r="D75" s="58">
        <v>2</v>
      </c>
      <c r="E75" s="58">
        <v>1</v>
      </c>
      <c r="F75" s="18">
        <v>1</v>
      </c>
      <c r="G75" s="64">
        <f t="shared" si="22"/>
        <v>0.5</v>
      </c>
      <c r="H75" s="18">
        <v>1</v>
      </c>
      <c r="I75" s="64">
        <f t="shared" si="23"/>
        <v>0.5</v>
      </c>
      <c r="J75" s="18">
        <v>0</v>
      </c>
      <c r="K75" s="64">
        <f t="shared" si="24"/>
        <v>0</v>
      </c>
      <c r="L75" s="18">
        <v>1</v>
      </c>
      <c r="M75" s="64">
        <f t="shared" si="25"/>
        <v>0.33333333333333331</v>
      </c>
      <c r="N75" s="18">
        <v>4</v>
      </c>
      <c r="O75" s="64">
        <f t="shared" si="26"/>
        <v>0.8</v>
      </c>
      <c r="P75" s="18">
        <v>3</v>
      </c>
      <c r="Q75" s="64">
        <f t="shared" si="27"/>
        <v>1</v>
      </c>
      <c r="R75" s="24">
        <v>0</v>
      </c>
      <c r="S75" s="71">
        <f t="shared" si="28"/>
        <v>0</v>
      </c>
      <c r="T75" s="18">
        <v>1</v>
      </c>
      <c r="U75" s="64">
        <f t="shared" si="29"/>
        <v>0.33333333333333331</v>
      </c>
      <c r="V75" s="18">
        <v>3</v>
      </c>
      <c r="W75" s="71">
        <f t="shared" si="30"/>
        <v>0.75</v>
      </c>
      <c r="X75" s="18">
        <v>0</v>
      </c>
      <c r="Y75" s="71">
        <f t="shared" si="31"/>
        <v>0</v>
      </c>
      <c r="Z75" s="18">
        <v>1</v>
      </c>
      <c r="AA75" s="71">
        <f t="shared" si="32"/>
        <v>0.33333333333333331</v>
      </c>
      <c r="AB75" s="18">
        <v>2</v>
      </c>
      <c r="AC75" s="71">
        <f t="shared" si="33"/>
        <v>1</v>
      </c>
      <c r="AD75" s="58">
        <v>0</v>
      </c>
      <c r="AE75" s="58">
        <v>0</v>
      </c>
      <c r="AF75" s="58">
        <v>1</v>
      </c>
      <c r="AG75" s="58">
        <v>1</v>
      </c>
      <c r="AH75" s="58">
        <v>0</v>
      </c>
      <c r="AI75" s="58">
        <v>0</v>
      </c>
      <c r="AJ75" s="19">
        <v>1</v>
      </c>
      <c r="AK75" s="71">
        <f t="shared" si="34"/>
        <v>0.5</v>
      </c>
      <c r="AL75" s="18">
        <v>1</v>
      </c>
      <c r="AM75" s="71">
        <f t="shared" si="35"/>
        <v>0.33333333333333331</v>
      </c>
      <c r="AN75" s="18">
        <v>0</v>
      </c>
      <c r="AO75" s="71">
        <f t="shared" si="36"/>
        <v>0</v>
      </c>
      <c r="AP75" s="18">
        <v>1</v>
      </c>
      <c r="AQ75" s="71">
        <f t="shared" si="37"/>
        <v>0.33333333333333331</v>
      </c>
      <c r="AR75" s="58">
        <v>2</v>
      </c>
      <c r="AS75" s="18">
        <v>1</v>
      </c>
      <c r="AT75" s="71">
        <f t="shared" si="38"/>
        <v>0.33333333333333331</v>
      </c>
      <c r="AU75" s="18">
        <v>2</v>
      </c>
      <c r="AV75" s="71">
        <f t="shared" si="39"/>
        <v>0.66666666666666663</v>
      </c>
      <c r="AW75" s="18">
        <v>0</v>
      </c>
      <c r="AX75" s="71">
        <f t="shared" si="40"/>
        <v>0</v>
      </c>
      <c r="AY75" s="18">
        <v>0</v>
      </c>
      <c r="AZ75" s="71">
        <f t="shared" si="41"/>
        <v>0</v>
      </c>
      <c r="BA75" s="74">
        <v>0</v>
      </c>
      <c r="BB75" s="74">
        <v>0</v>
      </c>
      <c r="BC75" s="74">
        <v>1</v>
      </c>
      <c r="BD75" s="74">
        <v>0</v>
      </c>
      <c r="BE75" s="81">
        <f t="shared" si="42"/>
        <v>0.41083333333333327</v>
      </c>
      <c r="BF75" s="81" t="str">
        <f t="shared" si="43"/>
        <v>MEDIO</v>
      </c>
    </row>
    <row r="76" spans="1:58" x14ac:dyDescent="0.15">
      <c r="A76" s="57">
        <v>2</v>
      </c>
      <c r="B76" s="57">
        <v>1</v>
      </c>
      <c r="C76" s="57">
        <v>3</v>
      </c>
      <c r="D76" s="57">
        <v>0</v>
      </c>
      <c r="E76" s="58">
        <v>1</v>
      </c>
      <c r="F76" s="17">
        <v>2</v>
      </c>
      <c r="G76" s="64">
        <f t="shared" si="22"/>
        <v>1</v>
      </c>
      <c r="H76" s="17">
        <v>2</v>
      </c>
      <c r="I76" s="64">
        <f t="shared" si="23"/>
        <v>1</v>
      </c>
      <c r="J76" s="17">
        <v>2</v>
      </c>
      <c r="K76" s="64">
        <f t="shared" si="24"/>
        <v>1</v>
      </c>
      <c r="L76" s="17">
        <v>2</v>
      </c>
      <c r="M76" s="64">
        <f t="shared" si="25"/>
        <v>0.66666666666666663</v>
      </c>
      <c r="N76" s="17">
        <v>4</v>
      </c>
      <c r="O76" s="64">
        <f t="shared" si="26"/>
        <v>0.8</v>
      </c>
      <c r="P76" s="17">
        <v>3</v>
      </c>
      <c r="Q76" s="64">
        <f t="shared" si="27"/>
        <v>1</v>
      </c>
      <c r="R76" s="25">
        <v>3</v>
      </c>
      <c r="S76" s="71">
        <f t="shared" si="28"/>
        <v>1</v>
      </c>
      <c r="T76" s="17">
        <v>2</v>
      </c>
      <c r="U76" s="64">
        <f t="shared" si="29"/>
        <v>0.66666666666666663</v>
      </c>
      <c r="V76" s="17">
        <v>4</v>
      </c>
      <c r="W76" s="71">
        <f t="shared" si="30"/>
        <v>1</v>
      </c>
      <c r="X76" s="17">
        <v>3</v>
      </c>
      <c r="Y76" s="71">
        <f t="shared" si="31"/>
        <v>1</v>
      </c>
      <c r="Z76" s="17">
        <v>3</v>
      </c>
      <c r="AA76" s="71">
        <f t="shared" si="32"/>
        <v>1</v>
      </c>
      <c r="AB76" s="17">
        <v>1</v>
      </c>
      <c r="AC76" s="71">
        <f t="shared" si="33"/>
        <v>0.5</v>
      </c>
      <c r="AD76" s="57">
        <v>0</v>
      </c>
      <c r="AE76" s="57">
        <v>0</v>
      </c>
      <c r="AF76" s="57">
        <v>1</v>
      </c>
      <c r="AG76" s="57">
        <v>0</v>
      </c>
      <c r="AH76" s="57">
        <v>0</v>
      </c>
      <c r="AI76" s="57">
        <v>0</v>
      </c>
      <c r="AJ76" s="20">
        <v>2</v>
      </c>
      <c r="AK76" s="71">
        <f t="shared" si="34"/>
        <v>1</v>
      </c>
      <c r="AL76" s="17">
        <v>1</v>
      </c>
      <c r="AM76" s="71">
        <f t="shared" si="35"/>
        <v>0.33333333333333331</v>
      </c>
      <c r="AN76" s="17">
        <v>0</v>
      </c>
      <c r="AO76" s="71">
        <f t="shared" si="36"/>
        <v>0</v>
      </c>
      <c r="AP76" s="17">
        <v>3</v>
      </c>
      <c r="AQ76" s="71">
        <f t="shared" si="37"/>
        <v>1</v>
      </c>
      <c r="AR76" s="57">
        <v>2</v>
      </c>
      <c r="AS76" s="17">
        <v>3</v>
      </c>
      <c r="AT76" s="71">
        <f t="shared" si="38"/>
        <v>1</v>
      </c>
      <c r="AU76" s="17">
        <v>3</v>
      </c>
      <c r="AV76" s="71">
        <f t="shared" si="39"/>
        <v>1</v>
      </c>
      <c r="AW76" s="17">
        <v>1</v>
      </c>
      <c r="AX76" s="71">
        <f t="shared" si="40"/>
        <v>0.5</v>
      </c>
      <c r="AY76" s="17">
        <v>2</v>
      </c>
      <c r="AZ76" s="71">
        <f t="shared" si="41"/>
        <v>0.66666666666666663</v>
      </c>
      <c r="BA76" s="73">
        <v>1</v>
      </c>
      <c r="BB76" s="73">
        <v>1</v>
      </c>
      <c r="BC76" s="73">
        <v>0</v>
      </c>
      <c r="BD76" s="73">
        <v>0</v>
      </c>
      <c r="BE76" s="81">
        <f t="shared" si="42"/>
        <v>0.8566666666666668</v>
      </c>
      <c r="BF76" s="81" t="str">
        <f t="shared" si="43"/>
        <v>ALTO</v>
      </c>
    </row>
    <row r="77" spans="1:58" x14ac:dyDescent="0.15">
      <c r="A77" s="58">
        <v>3</v>
      </c>
      <c r="B77" s="58">
        <v>1</v>
      </c>
      <c r="C77" s="58">
        <v>1</v>
      </c>
      <c r="D77" s="58">
        <v>2</v>
      </c>
      <c r="E77" s="58">
        <v>1</v>
      </c>
      <c r="F77" s="18">
        <v>1</v>
      </c>
      <c r="G77" s="64">
        <f t="shared" si="22"/>
        <v>0.5</v>
      </c>
      <c r="H77" s="18">
        <v>0</v>
      </c>
      <c r="I77" s="64">
        <f t="shared" si="23"/>
        <v>0</v>
      </c>
      <c r="J77" s="18">
        <v>1</v>
      </c>
      <c r="K77" s="64">
        <f t="shared" si="24"/>
        <v>0.5</v>
      </c>
      <c r="L77" s="18">
        <v>2</v>
      </c>
      <c r="M77" s="64">
        <f t="shared" si="25"/>
        <v>0.66666666666666663</v>
      </c>
      <c r="N77" s="18">
        <v>2</v>
      </c>
      <c r="O77" s="64">
        <f t="shared" si="26"/>
        <v>0.4</v>
      </c>
      <c r="P77" s="18">
        <v>0</v>
      </c>
      <c r="Q77" s="64">
        <f t="shared" si="27"/>
        <v>0</v>
      </c>
      <c r="R77" s="24">
        <v>0</v>
      </c>
      <c r="S77" s="71">
        <f t="shared" si="28"/>
        <v>0</v>
      </c>
      <c r="T77" s="18">
        <v>1</v>
      </c>
      <c r="U77" s="64">
        <f t="shared" si="29"/>
        <v>0.33333333333333331</v>
      </c>
      <c r="V77" s="18">
        <v>0</v>
      </c>
      <c r="W77" s="71">
        <f t="shared" si="30"/>
        <v>0</v>
      </c>
      <c r="X77" s="18">
        <v>2</v>
      </c>
      <c r="Y77" s="71">
        <f t="shared" si="31"/>
        <v>0.66666666666666663</v>
      </c>
      <c r="Z77" s="18">
        <v>0</v>
      </c>
      <c r="AA77" s="71">
        <f t="shared" si="32"/>
        <v>0</v>
      </c>
      <c r="AB77" s="18">
        <v>2</v>
      </c>
      <c r="AC77" s="71">
        <f t="shared" si="33"/>
        <v>1</v>
      </c>
      <c r="AD77" s="58">
        <v>0</v>
      </c>
      <c r="AE77" s="58">
        <v>0</v>
      </c>
      <c r="AF77" s="58">
        <v>1</v>
      </c>
      <c r="AG77" s="58">
        <v>1</v>
      </c>
      <c r="AH77" s="58">
        <v>0</v>
      </c>
      <c r="AI77" s="58">
        <v>0</v>
      </c>
      <c r="AJ77" s="19">
        <v>1</v>
      </c>
      <c r="AK77" s="71">
        <f t="shared" si="34"/>
        <v>0.5</v>
      </c>
      <c r="AL77" s="18">
        <v>1</v>
      </c>
      <c r="AM77" s="71">
        <f t="shared" si="35"/>
        <v>0.33333333333333331</v>
      </c>
      <c r="AN77" s="18">
        <v>1</v>
      </c>
      <c r="AO77" s="71">
        <f t="shared" si="36"/>
        <v>0.33333333333333331</v>
      </c>
      <c r="AP77" s="18">
        <v>1</v>
      </c>
      <c r="AQ77" s="71">
        <f t="shared" si="37"/>
        <v>0.33333333333333331</v>
      </c>
      <c r="AR77" s="58">
        <v>2</v>
      </c>
      <c r="AS77" s="18">
        <v>0</v>
      </c>
      <c r="AT77" s="71">
        <f t="shared" si="38"/>
        <v>0</v>
      </c>
      <c r="AU77" s="18">
        <v>1</v>
      </c>
      <c r="AV77" s="71">
        <f t="shared" si="39"/>
        <v>0.33333333333333331</v>
      </c>
      <c r="AW77" s="18">
        <v>1</v>
      </c>
      <c r="AX77" s="71">
        <f t="shared" si="40"/>
        <v>0.5</v>
      </c>
      <c r="AY77" s="18">
        <v>2</v>
      </c>
      <c r="AZ77" s="71">
        <f t="shared" si="41"/>
        <v>0.66666666666666663</v>
      </c>
      <c r="BA77" s="74">
        <v>0</v>
      </c>
      <c r="BB77" s="74">
        <v>0</v>
      </c>
      <c r="BC77" s="74">
        <v>1</v>
      </c>
      <c r="BD77" s="74">
        <v>0</v>
      </c>
      <c r="BE77" s="81">
        <f t="shared" si="42"/>
        <v>0.3783333333333333</v>
      </c>
      <c r="BF77" s="81" t="str">
        <f t="shared" si="43"/>
        <v>MEDIO</v>
      </c>
    </row>
    <row r="78" spans="1:58" x14ac:dyDescent="0.15">
      <c r="A78" s="57">
        <v>2</v>
      </c>
      <c r="B78" s="57">
        <v>1</v>
      </c>
      <c r="C78" s="57">
        <v>2</v>
      </c>
      <c r="D78" s="57">
        <v>0</v>
      </c>
      <c r="E78" s="58">
        <v>1</v>
      </c>
      <c r="F78" s="17">
        <v>2</v>
      </c>
      <c r="G78" s="64">
        <f t="shared" si="22"/>
        <v>1</v>
      </c>
      <c r="H78" s="17">
        <v>2</v>
      </c>
      <c r="I78" s="64">
        <f t="shared" si="23"/>
        <v>1</v>
      </c>
      <c r="J78" s="17">
        <v>2</v>
      </c>
      <c r="K78" s="64">
        <f t="shared" si="24"/>
        <v>1</v>
      </c>
      <c r="L78" s="17">
        <v>3</v>
      </c>
      <c r="M78" s="64">
        <f t="shared" si="25"/>
        <v>1</v>
      </c>
      <c r="N78" s="17">
        <v>4</v>
      </c>
      <c r="O78" s="64">
        <f t="shared" si="26"/>
        <v>0.8</v>
      </c>
      <c r="P78" s="17">
        <v>3</v>
      </c>
      <c r="Q78" s="64">
        <f t="shared" si="27"/>
        <v>1</v>
      </c>
      <c r="R78" s="25">
        <v>3</v>
      </c>
      <c r="S78" s="71">
        <f t="shared" si="28"/>
        <v>1</v>
      </c>
      <c r="T78" s="17">
        <v>3</v>
      </c>
      <c r="U78" s="64">
        <f t="shared" si="29"/>
        <v>1</v>
      </c>
      <c r="V78" s="17">
        <v>4</v>
      </c>
      <c r="W78" s="71">
        <f t="shared" si="30"/>
        <v>1</v>
      </c>
      <c r="X78" s="17">
        <v>3</v>
      </c>
      <c r="Y78" s="71">
        <f t="shared" si="31"/>
        <v>1</v>
      </c>
      <c r="Z78" s="17">
        <v>3</v>
      </c>
      <c r="AA78" s="71">
        <f t="shared" si="32"/>
        <v>1</v>
      </c>
      <c r="AB78" s="17">
        <v>0</v>
      </c>
      <c r="AC78" s="71">
        <f t="shared" si="33"/>
        <v>0</v>
      </c>
      <c r="AD78" s="57">
        <v>1</v>
      </c>
      <c r="AE78" s="57">
        <v>0</v>
      </c>
      <c r="AF78" s="57">
        <v>1</v>
      </c>
      <c r="AG78" s="57">
        <v>0</v>
      </c>
      <c r="AH78" s="57">
        <v>0</v>
      </c>
      <c r="AI78" s="57">
        <v>0</v>
      </c>
      <c r="AJ78" s="20">
        <v>2</v>
      </c>
      <c r="AK78" s="71">
        <f t="shared" si="34"/>
        <v>1</v>
      </c>
      <c r="AL78" s="17">
        <v>3</v>
      </c>
      <c r="AM78" s="71">
        <f t="shared" si="35"/>
        <v>1</v>
      </c>
      <c r="AN78" s="17">
        <v>2</v>
      </c>
      <c r="AO78" s="71">
        <f t="shared" si="36"/>
        <v>0.66666666666666663</v>
      </c>
      <c r="AP78" s="17">
        <v>3</v>
      </c>
      <c r="AQ78" s="71">
        <f t="shared" si="37"/>
        <v>1</v>
      </c>
      <c r="AR78" s="57">
        <v>2</v>
      </c>
      <c r="AS78" s="17">
        <v>3</v>
      </c>
      <c r="AT78" s="71">
        <f t="shared" si="38"/>
        <v>1</v>
      </c>
      <c r="AU78" s="17">
        <v>3</v>
      </c>
      <c r="AV78" s="71">
        <f t="shared" si="39"/>
        <v>1</v>
      </c>
      <c r="AW78" s="17">
        <v>2</v>
      </c>
      <c r="AX78" s="71">
        <f t="shared" si="40"/>
        <v>1</v>
      </c>
      <c r="AY78" s="17">
        <v>3</v>
      </c>
      <c r="AZ78" s="71">
        <f t="shared" si="41"/>
        <v>1</v>
      </c>
      <c r="BA78" s="73">
        <v>1</v>
      </c>
      <c r="BB78" s="73">
        <v>1</v>
      </c>
      <c r="BC78" s="73">
        <v>0</v>
      </c>
      <c r="BD78" s="73">
        <v>0</v>
      </c>
      <c r="BE78" s="81">
        <f t="shared" si="42"/>
        <v>0.97333333333333338</v>
      </c>
      <c r="BF78" s="81" t="str">
        <f t="shared" si="43"/>
        <v>ALTO</v>
      </c>
    </row>
    <row r="79" spans="1:58" x14ac:dyDescent="0.15">
      <c r="A79" s="58">
        <v>2</v>
      </c>
      <c r="B79" s="58">
        <v>1</v>
      </c>
      <c r="C79" s="58">
        <v>3</v>
      </c>
      <c r="D79" s="58">
        <v>2</v>
      </c>
      <c r="E79" s="58">
        <v>1</v>
      </c>
      <c r="F79" s="18">
        <v>2</v>
      </c>
      <c r="G79" s="64">
        <f t="shared" si="22"/>
        <v>1</v>
      </c>
      <c r="H79" s="18">
        <v>2</v>
      </c>
      <c r="I79" s="64">
        <f t="shared" si="23"/>
        <v>1</v>
      </c>
      <c r="J79" s="18">
        <v>1</v>
      </c>
      <c r="K79" s="64">
        <f t="shared" si="24"/>
        <v>0.5</v>
      </c>
      <c r="L79" s="18">
        <v>3</v>
      </c>
      <c r="M79" s="64">
        <f t="shared" si="25"/>
        <v>1</v>
      </c>
      <c r="N79" s="18">
        <v>0</v>
      </c>
      <c r="O79" s="64">
        <f t="shared" si="26"/>
        <v>0</v>
      </c>
      <c r="P79" s="18">
        <v>3</v>
      </c>
      <c r="Q79" s="64">
        <f t="shared" si="27"/>
        <v>1</v>
      </c>
      <c r="R79" s="24">
        <v>3</v>
      </c>
      <c r="S79" s="71">
        <f t="shared" si="28"/>
        <v>1</v>
      </c>
      <c r="T79" s="18">
        <v>3</v>
      </c>
      <c r="U79" s="64">
        <f t="shared" si="29"/>
        <v>1</v>
      </c>
      <c r="V79" s="18">
        <v>3</v>
      </c>
      <c r="W79" s="71">
        <f t="shared" si="30"/>
        <v>0.75</v>
      </c>
      <c r="X79" s="18">
        <v>3</v>
      </c>
      <c r="Y79" s="71">
        <f t="shared" si="31"/>
        <v>1</v>
      </c>
      <c r="Z79" s="18">
        <v>1</v>
      </c>
      <c r="AA79" s="71">
        <f t="shared" si="32"/>
        <v>0.33333333333333331</v>
      </c>
      <c r="AB79" s="18">
        <v>2</v>
      </c>
      <c r="AC79" s="71">
        <f t="shared" si="33"/>
        <v>1</v>
      </c>
      <c r="AD79" s="58">
        <v>1</v>
      </c>
      <c r="AE79" s="58">
        <v>0</v>
      </c>
      <c r="AF79" s="58">
        <v>1</v>
      </c>
      <c r="AG79" s="58">
        <v>0</v>
      </c>
      <c r="AH79" s="58">
        <v>0</v>
      </c>
      <c r="AI79" s="58">
        <v>0</v>
      </c>
      <c r="AJ79" s="19">
        <v>0</v>
      </c>
      <c r="AK79" s="71">
        <f t="shared" si="34"/>
        <v>0</v>
      </c>
      <c r="AL79" s="18">
        <v>3</v>
      </c>
      <c r="AM79" s="71">
        <f t="shared" si="35"/>
        <v>1</v>
      </c>
      <c r="AN79" s="18">
        <v>1</v>
      </c>
      <c r="AO79" s="71">
        <f t="shared" si="36"/>
        <v>0.33333333333333331</v>
      </c>
      <c r="AP79" s="18">
        <v>3</v>
      </c>
      <c r="AQ79" s="71">
        <f t="shared" si="37"/>
        <v>1</v>
      </c>
      <c r="AR79" s="58">
        <v>0</v>
      </c>
      <c r="AS79" s="18">
        <v>0</v>
      </c>
      <c r="AT79" s="71">
        <f t="shared" si="38"/>
        <v>0</v>
      </c>
      <c r="AU79" s="18">
        <v>3</v>
      </c>
      <c r="AV79" s="71">
        <f t="shared" si="39"/>
        <v>1</v>
      </c>
      <c r="AW79" s="18">
        <v>1</v>
      </c>
      <c r="AX79" s="71">
        <f t="shared" si="40"/>
        <v>0.5</v>
      </c>
      <c r="AY79" s="18">
        <v>3</v>
      </c>
      <c r="AZ79" s="71">
        <f t="shared" si="41"/>
        <v>1</v>
      </c>
      <c r="BA79" s="74">
        <v>1</v>
      </c>
      <c r="BB79" s="74">
        <v>0</v>
      </c>
      <c r="BC79" s="74">
        <v>1</v>
      </c>
      <c r="BD79" s="74">
        <v>0</v>
      </c>
      <c r="BE79" s="81">
        <f t="shared" si="42"/>
        <v>0.77083333333333337</v>
      </c>
      <c r="BF79" s="81" t="str">
        <f t="shared" si="43"/>
        <v>ALTO</v>
      </c>
    </row>
    <row r="80" spans="1:58" x14ac:dyDescent="0.15">
      <c r="A80" s="57">
        <v>3</v>
      </c>
      <c r="B80" s="57">
        <v>1</v>
      </c>
      <c r="C80" s="57">
        <v>2</v>
      </c>
      <c r="D80" s="57">
        <v>0</v>
      </c>
      <c r="E80" s="58">
        <v>1</v>
      </c>
      <c r="F80" s="17">
        <v>1</v>
      </c>
      <c r="G80" s="64">
        <f t="shared" si="22"/>
        <v>0.5</v>
      </c>
      <c r="H80" s="17">
        <v>2</v>
      </c>
      <c r="I80" s="64">
        <f t="shared" si="23"/>
        <v>1</v>
      </c>
      <c r="J80" s="17">
        <v>2</v>
      </c>
      <c r="K80" s="64">
        <f t="shared" si="24"/>
        <v>1</v>
      </c>
      <c r="L80" s="17">
        <v>2</v>
      </c>
      <c r="M80" s="64">
        <f t="shared" si="25"/>
        <v>0.66666666666666663</v>
      </c>
      <c r="N80" s="17">
        <v>4</v>
      </c>
      <c r="O80" s="64">
        <f t="shared" si="26"/>
        <v>0.8</v>
      </c>
      <c r="P80" s="17">
        <v>3</v>
      </c>
      <c r="Q80" s="64">
        <f t="shared" si="27"/>
        <v>1</v>
      </c>
      <c r="R80" s="25">
        <v>3</v>
      </c>
      <c r="S80" s="71">
        <f t="shared" si="28"/>
        <v>1</v>
      </c>
      <c r="T80" s="17">
        <v>3</v>
      </c>
      <c r="U80" s="64">
        <f t="shared" si="29"/>
        <v>1</v>
      </c>
      <c r="V80" s="17">
        <v>2</v>
      </c>
      <c r="W80" s="71">
        <f t="shared" si="30"/>
        <v>0.5</v>
      </c>
      <c r="X80" s="17">
        <v>3</v>
      </c>
      <c r="Y80" s="71">
        <f t="shared" si="31"/>
        <v>1</v>
      </c>
      <c r="Z80" s="17">
        <v>3</v>
      </c>
      <c r="AA80" s="71">
        <f t="shared" si="32"/>
        <v>1</v>
      </c>
      <c r="AB80" s="17">
        <v>0</v>
      </c>
      <c r="AC80" s="71">
        <f t="shared" si="33"/>
        <v>0</v>
      </c>
      <c r="AD80" s="57">
        <v>0</v>
      </c>
      <c r="AE80" s="57">
        <v>1</v>
      </c>
      <c r="AF80" s="57">
        <v>1</v>
      </c>
      <c r="AG80" s="57">
        <v>0</v>
      </c>
      <c r="AH80" s="57">
        <v>0</v>
      </c>
      <c r="AI80" s="57">
        <v>0</v>
      </c>
      <c r="AJ80" s="20">
        <v>2</v>
      </c>
      <c r="AK80" s="71">
        <f t="shared" si="34"/>
        <v>1</v>
      </c>
      <c r="AL80" s="17">
        <v>2</v>
      </c>
      <c r="AM80" s="71">
        <f t="shared" si="35"/>
        <v>0.66666666666666663</v>
      </c>
      <c r="AN80" s="17">
        <v>2</v>
      </c>
      <c r="AO80" s="71">
        <f t="shared" si="36"/>
        <v>0.66666666666666663</v>
      </c>
      <c r="AP80" s="17">
        <v>3</v>
      </c>
      <c r="AQ80" s="71">
        <f t="shared" si="37"/>
        <v>1</v>
      </c>
      <c r="AR80" s="57">
        <v>2</v>
      </c>
      <c r="AS80" s="17">
        <v>2</v>
      </c>
      <c r="AT80" s="71">
        <f t="shared" si="38"/>
        <v>0.66666666666666663</v>
      </c>
      <c r="AU80" s="17">
        <v>3</v>
      </c>
      <c r="AV80" s="71">
        <f t="shared" si="39"/>
        <v>1</v>
      </c>
      <c r="AW80" s="17">
        <v>1</v>
      </c>
      <c r="AX80" s="71">
        <f t="shared" si="40"/>
        <v>0.5</v>
      </c>
      <c r="AY80" s="17">
        <v>3</v>
      </c>
      <c r="AZ80" s="71">
        <f t="shared" si="41"/>
        <v>1</v>
      </c>
      <c r="BA80" s="73">
        <v>1</v>
      </c>
      <c r="BB80" s="73">
        <v>1</v>
      </c>
      <c r="BC80" s="73">
        <v>1</v>
      </c>
      <c r="BD80" s="73">
        <v>0</v>
      </c>
      <c r="BE80" s="81">
        <f t="shared" si="42"/>
        <v>0.82333333333333325</v>
      </c>
      <c r="BF80" s="81" t="str">
        <f t="shared" si="43"/>
        <v>ALTO</v>
      </c>
    </row>
    <row r="81" spans="1:58" x14ac:dyDescent="0.15">
      <c r="A81" s="58">
        <v>4</v>
      </c>
      <c r="B81" s="58">
        <v>1</v>
      </c>
      <c r="C81" s="58">
        <v>3</v>
      </c>
      <c r="D81" s="58">
        <v>2</v>
      </c>
      <c r="E81" s="58">
        <v>1</v>
      </c>
      <c r="F81" s="18">
        <v>1</v>
      </c>
      <c r="G81" s="64">
        <f t="shared" si="22"/>
        <v>0.5</v>
      </c>
      <c r="H81" s="18">
        <v>0</v>
      </c>
      <c r="I81" s="64">
        <f t="shared" si="23"/>
        <v>0</v>
      </c>
      <c r="J81" s="18">
        <v>1</v>
      </c>
      <c r="K81" s="64">
        <f t="shared" si="24"/>
        <v>0.5</v>
      </c>
      <c r="L81" s="18">
        <v>2</v>
      </c>
      <c r="M81" s="64">
        <f t="shared" si="25"/>
        <v>0.66666666666666663</v>
      </c>
      <c r="N81" s="18">
        <v>3</v>
      </c>
      <c r="O81" s="64">
        <f t="shared" si="26"/>
        <v>0.6</v>
      </c>
      <c r="P81" s="18">
        <v>3</v>
      </c>
      <c r="Q81" s="64">
        <f t="shared" si="27"/>
        <v>1</v>
      </c>
      <c r="R81" s="24">
        <v>0</v>
      </c>
      <c r="S81" s="71">
        <f t="shared" si="28"/>
        <v>0</v>
      </c>
      <c r="T81" s="18">
        <v>2</v>
      </c>
      <c r="U81" s="64">
        <f t="shared" si="29"/>
        <v>0.66666666666666663</v>
      </c>
      <c r="V81" s="18">
        <v>3</v>
      </c>
      <c r="W81" s="71">
        <f t="shared" si="30"/>
        <v>0.75</v>
      </c>
      <c r="X81" s="18">
        <v>2</v>
      </c>
      <c r="Y81" s="71">
        <f t="shared" si="31"/>
        <v>0.66666666666666663</v>
      </c>
      <c r="Z81" s="18">
        <v>0</v>
      </c>
      <c r="AA81" s="71">
        <f t="shared" si="32"/>
        <v>0</v>
      </c>
      <c r="AB81" s="18">
        <v>1</v>
      </c>
      <c r="AC81" s="71">
        <f t="shared" si="33"/>
        <v>0.5</v>
      </c>
      <c r="AD81" s="58">
        <v>0</v>
      </c>
      <c r="AE81" s="58">
        <v>0</v>
      </c>
      <c r="AF81" s="58">
        <v>1</v>
      </c>
      <c r="AG81" s="58">
        <v>1</v>
      </c>
      <c r="AH81" s="58">
        <v>0</v>
      </c>
      <c r="AI81" s="58">
        <v>0</v>
      </c>
      <c r="AJ81" s="19">
        <v>1</v>
      </c>
      <c r="AK81" s="71">
        <f t="shared" si="34"/>
        <v>0.5</v>
      </c>
      <c r="AL81" s="18">
        <v>1</v>
      </c>
      <c r="AM81" s="71">
        <f t="shared" si="35"/>
        <v>0.33333333333333331</v>
      </c>
      <c r="AN81" s="18">
        <v>1</v>
      </c>
      <c r="AO81" s="71">
        <f t="shared" si="36"/>
        <v>0.33333333333333331</v>
      </c>
      <c r="AP81" s="18">
        <v>2</v>
      </c>
      <c r="AQ81" s="71">
        <f t="shared" si="37"/>
        <v>0.66666666666666663</v>
      </c>
      <c r="AR81" s="58">
        <v>1</v>
      </c>
      <c r="AS81" s="18">
        <v>2</v>
      </c>
      <c r="AT81" s="71">
        <f t="shared" si="38"/>
        <v>0.66666666666666663</v>
      </c>
      <c r="AU81" s="18">
        <v>3</v>
      </c>
      <c r="AV81" s="71">
        <f t="shared" si="39"/>
        <v>1</v>
      </c>
      <c r="AW81" s="18">
        <v>0</v>
      </c>
      <c r="AX81" s="71">
        <f t="shared" si="40"/>
        <v>0</v>
      </c>
      <c r="AY81" s="18">
        <v>1</v>
      </c>
      <c r="AZ81" s="71">
        <f t="shared" si="41"/>
        <v>0.33333333333333331</v>
      </c>
      <c r="BA81" s="74">
        <v>0</v>
      </c>
      <c r="BB81" s="74">
        <v>0</v>
      </c>
      <c r="BC81" s="74">
        <v>0</v>
      </c>
      <c r="BD81" s="74">
        <v>1</v>
      </c>
      <c r="BE81" s="81">
        <f t="shared" si="42"/>
        <v>0.50916666666666666</v>
      </c>
      <c r="BF81" s="81" t="str">
        <f t="shared" si="43"/>
        <v>MEDIO</v>
      </c>
    </row>
    <row r="82" spans="1:58" x14ac:dyDescent="0.15">
      <c r="A82" s="57">
        <v>4</v>
      </c>
      <c r="B82" s="57">
        <v>1</v>
      </c>
      <c r="C82" s="57">
        <v>1</v>
      </c>
      <c r="D82" s="57">
        <v>2</v>
      </c>
      <c r="E82" s="58">
        <v>1</v>
      </c>
      <c r="F82" s="17">
        <v>1</v>
      </c>
      <c r="G82" s="64">
        <f t="shared" si="22"/>
        <v>0.5</v>
      </c>
      <c r="H82" s="17">
        <v>2</v>
      </c>
      <c r="I82" s="64">
        <f t="shared" si="23"/>
        <v>1</v>
      </c>
      <c r="J82" s="17">
        <v>1</v>
      </c>
      <c r="K82" s="64">
        <f t="shared" si="24"/>
        <v>0.5</v>
      </c>
      <c r="L82" s="17">
        <v>3</v>
      </c>
      <c r="M82" s="64">
        <f t="shared" si="25"/>
        <v>1</v>
      </c>
      <c r="N82" s="17">
        <v>0</v>
      </c>
      <c r="O82" s="64">
        <f t="shared" si="26"/>
        <v>0</v>
      </c>
      <c r="P82" s="17">
        <v>0</v>
      </c>
      <c r="Q82" s="64">
        <f t="shared" si="27"/>
        <v>0</v>
      </c>
      <c r="R82" s="25">
        <v>3</v>
      </c>
      <c r="S82" s="71">
        <f t="shared" si="28"/>
        <v>1</v>
      </c>
      <c r="T82" s="17">
        <v>3</v>
      </c>
      <c r="U82" s="64">
        <f t="shared" si="29"/>
        <v>1</v>
      </c>
      <c r="V82" s="17">
        <v>3</v>
      </c>
      <c r="W82" s="71">
        <f t="shared" si="30"/>
        <v>0.75</v>
      </c>
      <c r="X82" s="17">
        <v>2</v>
      </c>
      <c r="Y82" s="71">
        <f t="shared" si="31"/>
        <v>0.66666666666666663</v>
      </c>
      <c r="Z82" s="17">
        <v>0</v>
      </c>
      <c r="AA82" s="71">
        <f t="shared" si="32"/>
        <v>0</v>
      </c>
      <c r="AB82" s="17">
        <v>0</v>
      </c>
      <c r="AC82" s="71">
        <f t="shared" si="33"/>
        <v>0</v>
      </c>
      <c r="AD82" s="57">
        <v>1</v>
      </c>
      <c r="AE82" s="57">
        <v>0</v>
      </c>
      <c r="AF82" s="57">
        <v>0</v>
      </c>
      <c r="AG82" s="57">
        <v>1</v>
      </c>
      <c r="AH82" s="57">
        <v>0</v>
      </c>
      <c r="AI82" s="57">
        <v>0</v>
      </c>
      <c r="AJ82" s="20">
        <v>1</v>
      </c>
      <c r="AK82" s="71">
        <f t="shared" si="34"/>
        <v>0.5</v>
      </c>
      <c r="AL82" s="17">
        <v>2</v>
      </c>
      <c r="AM82" s="71">
        <f t="shared" si="35"/>
        <v>0.66666666666666663</v>
      </c>
      <c r="AN82" s="17">
        <v>1</v>
      </c>
      <c r="AO82" s="71">
        <f t="shared" si="36"/>
        <v>0.33333333333333331</v>
      </c>
      <c r="AP82" s="17">
        <v>2</v>
      </c>
      <c r="AQ82" s="71">
        <f t="shared" si="37"/>
        <v>0.66666666666666663</v>
      </c>
      <c r="AR82" s="57">
        <v>1</v>
      </c>
      <c r="AS82" s="17">
        <v>3</v>
      </c>
      <c r="AT82" s="71">
        <f t="shared" si="38"/>
        <v>1</v>
      </c>
      <c r="AU82" s="17">
        <v>2</v>
      </c>
      <c r="AV82" s="71">
        <f t="shared" si="39"/>
        <v>0.66666666666666663</v>
      </c>
      <c r="AW82" s="17">
        <v>1</v>
      </c>
      <c r="AX82" s="71">
        <f t="shared" si="40"/>
        <v>0.5</v>
      </c>
      <c r="AY82" s="17">
        <v>0</v>
      </c>
      <c r="AZ82" s="71">
        <f t="shared" si="41"/>
        <v>0</v>
      </c>
      <c r="BA82" s="73">
        <v>1</v>
      </c>
      <c r="BB82" s="73">
        <v>0</v>
      </c>
      <c r="BC82" s="73">
        <v>1</v>
      </c>
      <c r="BD82" s="73">
        <v>0</v>
      </c>
      <c r="BE82" s="81">
        <f t="shared" si="42"/>
        <v>0.5625</v>
      </c>
      <c r="BF82" s="81" t="str">
        <f t="shared" si="43"/>
        <v>MEDIO</v>
      </c>
    </row>
    <row r="83" spans="1:58" x14ac:dyDescent="0.15">
      <c r="A83" s="58">
        <v>4</v>
      </c>
      <c r="B83" s="58">
        <v>1</v>
      </c>
      <c r="C83" s="58">
        <v>2</v>
      </c>
      <c r="D83" s="58">
        <v>2</v>
      </c>
      <c r="E83" s="58">
        <v>1</v>
      </c>
      <c r="F83" s="18">
        <v>1</v>
      </c>
      <c r="G83" s="64">
        <f t="shared" si="22"/>
        <v>0.5</v>
      </c>
      <c r="H83" s="18">
        <v>1</v>
      </c>
      <c r="I83" s="64">
        <f t="shared" si="23"/>
        <v>0.5</v>
      </c>
      <c r="J83" s="18">
        <v>1</v>
      </c>
      <c r="K83" s="64">
        <f t="shared" si="24"/>
        <v>0.5</v>
      </c>
      <c r="L83" s="18">
        <v>2</v>
      </c>
      <c r="M83" s="64">
        <f t="shared" si="25"/>
        <v>0.66666666666666663</v>
      </c>
      <c r="N83" s="18">
        <v>2</v>
      </c>
      <c r="O83" s="64">
        <f t="shared" si="26"/>
        <v>0.4</v>
      </c>
      <c r="P83" s="18">
        <v>3</v>
      </c>
      <c r="Q83" s="64">
        <f t="shared" si="27"/>
        <v>1</v>
      </c>
      <c r="R83" s="24">
        <v>0</v>
      </c>
      <c r="S83" s="71">
        <f t="shared" si="28"/>
        <v>0</v>
      </c>
      <c r="T83" s="18">
        <v>3</v>
      </c>
      <c r="U83" s="64">
        <f t="shared" si="29"/>
        <v>1</v>
      </c>
      <c r="V83" s="18">
        <v>4</v>
      </c>
      <c r="W83" s="71">
        <f t="shared" si="30"/>
        <v>1</v>
      </c>
      <c r="X83" s="18">
        <v>2</v>
      </c>
      <c r="Y83" s="71">
        <f t="shared" si="31"/>
        <v>0.66666666666666663</v>
      </c>
      <c r="Z83" s="18">
        <v>0</v>
      </c>
      <c r="AA83" s="71">
        <f t="shared" si="32"/>
        <v>0</v>
      </c>
      <c r="AB83" s="18">
        <v>1</v>
      </c>
      <c r="AC83" s="71">
        <f t="shared" si="33"/>
        <v>0.5</v>
      </c>
      <c r="AD83" s="58">
        <v>0</v>
      </c>
      <c r="AE83" s="58">
        <v>1</v>
      </c>
      <c r="AF83" s="58">
        <v>1</v>
      </c>
      <c r="AG83" s="58">
        <v>0</v>
      </c>
      <c r="AH83" s="58">
        <v>0</v>
      </c>
      <c r="AI83" s="58">
        <v>0</v>
      </c>
      <c r="AJ83" s="19">
        <v>1</v>
      </c>
      <c r="AK83" s="71">
        <f t="shared" si="34"/>
        <v>0.5</v>
      </c>
      <c r="AL83" s="18">
        <v>2</v>
      </c>
      <c r="AM83" s="71">
        <f t="shared" si="35"/>
        <v>0.66666666666666663</v>
      </c>
      <c r="AN83" s="18">
        <v>1</v>
      </c>
      <c r="AO83" s="71">
        <f t="shared" si="36"/>
        <v>0.33333333333333331</v>
      </c>
      <c r="AP83" s="18">
        <v>2</v>
      </c>
      <c r="AQ83" s="71">
        <f t="shared" si="37"/>
        <v>0.66666666666666663</v>
      </c>
      <c r="AR83" s="58">
        <v>0</v>
      </c>
      <c r="AS83" s="18">
        <v>3</v>
      </c>
      <c r="AT83" s="71">
        <f t="shared" si="38"/>
        <v>1</v>
      </c>
      <c r="AU83" s="18">
        <v>2</v>
      </c>
      <c r="AV83" s="71">
        <f t="shared" si="39"/>
        <v>0.66666666666666663</v>
      </c>
      <c r="AW83" s="18">
        <v>0</v>
      </c>
      <c r="AX83" s="71">
        <f t="shared" si="40"/>
        <v>0</v>
      </c>
      <c r="AY83" s="18">
        <v>3</v>
      </c>
      <c r="AZ83" s="71">
        <f t="shared" si="41"/>
        <v>1</v>
      </c>
      <c r="BA83" s="74">
        <v>1</v>
      </c>
      <c r="BB83" s="74">
        <v>0</v>
      </c>
      <c r="BC83" s="74">
        <v>1</v>
      </c>
      <c r="BD83" s="74">
        <v>0</v>
      </c>
      <c r="BE83" s="81">
        <f t="shared" si="42"/>
        <v>0.60333333333333328</v>
      </c>
      <c r="BF83" s="81" t="str">
        <f t="shared" si="43"/>
        <v>MEDIO</v>
      </c>
    </row>
    <row r="84" spans="1:58" x14ac:dyDescent="0.15">
      <c r="A84" s="57">
        <v>4</v>
      </c>
      <c r="B84" s="57">
        <v>1</v>
      </c>
      <c r="C84" s="57">
        <v>3</v>
      </c>
      <c r="D84" s="57">
        <v>2</v>
      </c>
      <c r="E84" s="58">
        <v>1</v>
      </c>
      <c r="F84" s="17">
        <v>2</v>
      </c>
      <c r="G84" s="64">
        <f t="shared" si="22"/>
        <v>1</v>
      </c>
      <c r="H84" s="17">
        <v>2</v>
      </c>
      <c r="I84" s="64">
        <f t="shared" si="23"/>
        <v>1</v>
      </c>
      <c r="J84" s="17">
        <v>2</v>
      </c>
      <c r="K84" s="64">
        <f t="shared" si="24"/>
        <v>1</v>
      </c>
      <c r="L84" s="17">
        <v>3</v>
      </c>
      <c r="M84" s="64">
        <f t="shared" si="25"/>
        <v>1</v>
      </c>
      <c r="N84" s="17">
        <v>0</v>
      </c>
      <c r="O84" s="64">
        <f t="shared" si="26"/>
        <v>0</v>
      </c>
      <c r="P84" s="17">
        <v>3</v>
      </c>
      <c r="Q84" s="64">
        <f t="shared" si="27"/>
        <v>1</v>
      </c>
      <c r="R84" s="25">
        <v>0</v>
      </c>
      <c r="S84" s="71">
        <f t="shared" si="28"/>
        <v>0</v>
      </c>
      <c r="T84" s="17">
        <v>2</v>
      </c>
      <c r="U84" s="64">
        <f t="shared" si="29"/>
        <v>0.66666666666666663</v>
      </c>
      <c r="V84" s="17">
        <v>3</v>
      </c>
      <c r="W84" s="71">
        <f t="shared" si="30"/>
        <v>0.75</v>
      </c>
      <c r="X84" s="17">
        <v>0</v>
      </c>
      <c r="Y84" s="71">
        <f t="shared" si="31"/>
        <v>0</v>
      </c>
      <c r="Z84" s="17">
        <v>2</v>
      </c>
      <c r="AA84" s="71">
        <f t="shared" si="32"/>
        <v>0.66666666666666663</v>
      </c>
      <c r="AB84" s="17">
        <v>0</v>
      </c>
      <c r="AC84" s="71">
        <f t="shared" si="33"/>
        <v>0</v>
      </c>
      <c r="AD84" s="57">
        <v>1</v>
      </c>
      <c r="AE84" s="57">
        <v>0</v>
      </c>
      <c r="AF84" s="57">
        <v>1</v>
      </c>
      <c r="AG84" s="57">
        <v>0</v>
      </c>
      <c r="AH84" s="57">
        <v>0</v>
      </c>
      <c r="AI84" s="57">
        <v>0</v>
      </c>
      <c r="AJ84" s="20">
        <v>1</v>
      </c>
      <c r="AK84" s="71">
        <f t="shared" si="34"/>
        <v>0.5</v>
      </c>
      <c r="AL84" s="17">
        <v>2</v>
      </c>
      <c r="AM84" s="71">
        <f t="shared" si="35"/>
        <v>0.66666666666666663</v>
      </c>
      <c r="AN84" s="17">
        <v>0</v>
      </c>
      <c r="AO84" s="71">
        <f t="shared" si="36"/>
        <v>0</v>
      </c>
      <c r="AP84" s="17">
        <v>0</v>
      </c>
      <c r="AQ84" s="71">
        <f t="shared" si="37"/>
        <v>0</v>
      </c>
      <c r="AR84" s="57">
        <v>1</v>
      </c>
      <c r="AS84" s="17">
        <v>3</v>
      </c>
      <c r="AT84" s="71">
        <f t="shared" si="38"/>
        <v>1</v>
      </c>
      <c r="AU84" s="17">
        <v>3</v>
      </c>
      <c r="AV84" s="71">
        <f t="shared" si="39"/>
        <v>1</v>
      </c>
      <c r="AW84" s="17">
        <v>0</v>
      </c>
      <c r="AX84" s="71">
        <f t="shared" si="40"/>
        <v>0</v>
      </c>
      <c r="AY84" s="17">
        <v>0</v>
      </c>
      <c r="AZ84" s="71">
        <f t="shared" si="41"/>
        <v>0</v>
      </c>
      <c r="BA84" s="73">
        <v>0</v>
      </c>
      <c r="BB84" s="73">
        <v>1</v>
      </c>
      <c r="BC84" s="73">
        <v>0</v>
      </c>
      <c r="BD84" s="73">
        <v>0</v>
      </c>
      <c r="BE84" s="81">
        <f t="shared" si="42"/>
        <v>0.5625</v>
      </c>
      <c r="BF84" s="81" t="str">
        <f t="shared" si="43"/>
        <v>MEDIO</v>
      </c>
    </row>
    <row r="85" spans="1:58" x14ac:dyDescent="0.15">
      <c r="A85" s="58">
        <v>5</v>
      </c>
      <c r="B85" s="58">
        <v>1</v>
      </c>
      <c r="C85" s="58">
        <v>1</v>
      </c>
      <c r="D85" s="58">
        <v>2</v>
      </c>
      <c r="E85" s="58">
        <v>1</v>
      </c>
      <c r="F85" s="18">
        <v>1</v>
      </c>
      <c r="G85" s="64">
        <f t="shared" si="22"/>
        <v>0.5</v>
      </c>
      <c r="H85" s="18">
        <v>1</v>
      </c>
      <c r="I85" s="64">
        <f t="shared" si="23"/>
        <v>0.5</v>
      </c>
      <c r="J85" s="18">
        <v>1</v>
      </c>
      <c r="K85" s="64">
        <f t="shared" si="24"/>
        <v>0.5</v>
      </c>
      <c r="L85" s="18">
        <v>2</v>
      </c>
      <c r="M85" s="64">
        <f t="shared" si="25"/>
        <v>0.66666666666666663</v>
      </c>
      <c r="N85" s="18">
        <v>0</v>
      </c>
      <c r="O85" s="64">
        <f t="shared" si="26"/>
        <v>0</v>
      </c>
      <c r="P85" s="18">
        <v>2</v>
      </c>
      <c r="Q85" s="64">
        <f t="shared" si="27"/>
        <v>0.66666666666666663</v>
      </c>
      <c r="R85" s="24">
        <v>2</v>
      </c>
      <c r="S85" s="71">
        <f t="shared" si="28"/>
        <v>0.66666666666666663</v>
      </c>
      <c r="T85" s="18">
        <v>2</v>
      </c>
      <c r="U85" s="64">
        <f t="shared" si="29"/>
        <v>0.66666666666666663</v>
      </c>
      <c r="V85" s="18">
        <v>3</v>
      </c>
      <c r="W85" s="71">
        <f t="shared" si="30"/>
        <v>0.75</v>
      </c>
      <c r="X85" s="18">
        <v>2</v>
      </c>
      <c r="Y85" s="71">
        <f t="shared" si="31"/>
        <v>0.66666666666666663</v>
      </c>
      <c r="Z85" s="18">
        <v>2</v>
      </c>
      <c r="AA85" s="71">
        <f t="shared" si="32"/>
        <v>0.66666666666666663</v>
      </c>
      <c r="AB85" s="18">
        <v>2</v>
      </c>
      <c r="AC85" s="71">
        <f t="shared" si="33"/>
        <v>1</v>
      </c>
      <c r="AD85" s="58">
        <v>1</v>
      </c>
      <c r="AE85" s="58">
        <v>0</v>
      </c>
      <c r="AF85" s="58">
        <v>1</v>
      </c>
      <c r="AG85" s="58">
        <v>0</v>
      </c>
      <c r="AH85" s="58">
        <v>0</v>
      </c>
      <c r="AI85" s="58">
        <v>0</v>
      </c>
      <c r="AJ85" s="19">
        <v>2</v>
      </c>
      <c r="AK85" s="71">
        <f t="shared" si="34"/>
        <v>1</v>
      </c>
      <c r="AL85" s="18">
        <v>1</v>
      </c>
      <c r="AM85" s="71">
        <f t="shared" si="35"/>
        <v>0.33333333333333331</v>
      </c>
      <c r="AN85" s="18">
        <v>1</v>
      </c>
      <c r="AO85" s="71">
        <f t="shared" si="36"/>
        <v>0.33333333333333331</v>
      </c>
      <c r="AP85" s="18">
        <v>2</v>
      </c>
      <c r="AQ85" s="71">
        <f t="shared" si="37"/>
        <v>0.66666666666666663</v>
      </c>
      <c r="AR85" s="58">
        <v>3</v>
      </c>
      <c r="AS85" s="18">
        <v>3</v>
      </c>
      <c r="AT85" s="71">
        <f t="shared" si="38"/>
        <v>1</v>
      </c>
      <c r="AU85" s="18">
        <v>2</v>
      </c>
      <c r="AV85" s="71">
        <f t="shared" si="39"/>
        <v>0.66666666666666663</v>
      </c>
      <c r="AW85" s="18">
        <v>1</v>
      </c>
      <c r="AX85" s="71">
        <f t="shared" si="40"/>
        <v>0.5</v>
      </c>
      <c r="AY85" s="18">
        <v>3</v>
      </c>
      <c r="AZ85" s="71">
        <f t="shared" si="41"/>
        <v>1</v>
      </c>
      <c r="BA85" s="74">
        <v>1</v>
      </c>
      <c r="BB85" s="74">
        <v>1</v>
      </c>
      <c r="BC85" s="74">
        <v>0</v>
      </c>
      <c r="BD85" s="74">
        <v>0</v>
      </c>
      <c r="BE85" s="81">
        <f t="shared" si="42"/>
        <v>0.66249999999999998</v>
      </c>
      <c r="BF85" s="81" t="str">
        <f t="shared" si="43"/>
        <v>ALTO</v>
      </c>
    </row>
    <row r="86" spans="1:58" x14ac:dyDescent="0.15">
      <c r="A86" s="57">
        <v>2</v>
      </c>
      <c r="B86" s="57">
        <v>1</v>
      </c>
      <c r="C86" s="57">
        <v>2</v>
      </c>
      <c r="D86" s="57">
        <v>2</v>
      </c>
      <c r="E86" s="58">
        <v>1</v>
      </c>
      <c r="F86" s="17">
        <v>2</v>
      </c>
      <c r="G86" s="64">
        <f t="shared" si="22"/>
        <v>1</v>
      </c>
      <c r="H86" s="17">
        <v>2</v>
      </c>
      <c r="I86" s="64">
        <f t="shared" si="23"/>
        <v>1</v>
      </c>
      <c r="J86" s="17">
        <v>1</v>
      </c>
      <c r="K86" s="64">
        <f t="shared" si="24"/>
        <v>0.5</v>
      </c>
      <c r="L86" s="17">
        <v>2</v>
      </c>
      <c r="M86" s="64">
        <f t="shared" si="25"/>
        <v>0.66666666666666663</v>
      </c>
      <c r="N86" s="17">
        <v>2</v>
      </c>
      <c r="O86" s="64">
        <f t="shared" si="26"/>
        <v>0.4</v>
      </c>
      <c r="P86" s="17">
        <v>3</v>
      </c>
      <c r="Q86" s="64">
        <f t="shared" si="27"/>
        <v>1</v>
      </c>
      <c r="R86" s="25">
        <v>3</v>
      </c>
      <c r="S86" s="71">
        <f t="shared" si="28"/>
        <v>1</v>
      </c>
      <c r="T86" s="17">
        <v>3</v>
      </c>
      <c r="U86" s="64">
        <f t="shared" si="29"/>
        <v>1</v>
      </c>
      <c r="V86" s="17">
        <v>3</v>
      </c>
      <c r="W86" s="71">
        <f t="shared" si="30"/>
        <v>0.75</v>
      </c>
      <c r="X86" s="17">
        <v>2</v>
      </c>
      <c r="Y86" s="71">
        <f t="shared" si="31"/>
        <v>0.66666666666666663</v>
      </c>
      <c r="Z86" s="17">
        <v>3</v>
      </c>
      <c r="AA86" s="71">
        <f t="shared" si="32"/>
        <v>1</v>
      </c>
      <c r="AB86" s="17">
        <v>2</v>
      </c>
      <c r="AC86" s="71">
        <f t="shared" si="33"/>
        <v>1</v>
      </c>
      <c r="AD86" s="57">
        <v>1</v>
      </c>
      <c r="AE86" s="57">
        <v>0</v>
      </c>
      <c r="AF86" s="57">
        <v>1</v>
      </c>
      <c r="AG86" s="57">
        <v>0</v>
      </c>
      <c r="AH86" s="57">
        <v>0</v>
      </c>
      <c r="AI86" s="57">
        <v>0</v>
      </c>
      <c r="AJ86" s="20">
        <v>1</v>
      </c>
      <c r="AK86" s="71">
        <f t="shared" si="34"/>
        <v>0.5</v>
      </c>
      <c r="AL86" s="17">
        <v>2</v>
      </c>
      <c r="AM86" s="71">
        <f t="shared" si="35"/>
        <v>0.66666666666666663</v>
      </c>
      <c r="AN86" s="17">
        <v>1</v>
      </c>
      <c r="AO86" s="71">
        <f t="shared" si="36"/>
        <v>0.33333333333333331</v>
      </c>
      <c r="AP86" s="17">
        <v>2</v>
      </c>
      <c r="AQ86" s="71">
        <f t="shared" si="37"/>
        <v>0.66666666666666663</v>
      </c>
      <c r="AR86" s="57">
        <v>0</v>
      </c>
      <c r="AS86" s="17">
        <v>3</v>
      </c>
      <c r="AT86" s="71">
        <f t="shared" si="38"/>
        <v>1</v>
      </c>
      <c r="AU86" s="17">
        <v>0</v>
      </c>
      <c r="AV86" s="71">
        <f t="shared" si="39"/>
        <v>0</v>
      </c>
      <c r="AW86" s="17">
        <v>0</v>
      </c>
      <c r="AX86" s="71">
        <f t="shared" si="40"/>
        <v>0</v>
      </c>
      <c r="AY86" s="17">
        <v>3</v>
      </c>
      <c r="AZ86" s="71">
        <f t="shared" si="41"/>
        <v>1</v>
      </c>
      <c r="BA86" s="73">
        <v>1</v>
      </c>
      <c r="BB86" s="73">
        <v>1</v>
      </c>
      <c r="BC86" s="73">
        <v>0</v>
      </c>
      <c r="BD86" s="73">
        <v>0</v>
      </c>
      <c r="BE86" s="81">
        <f t="shared" si="42"/>
        <v>0.75749999999999995</v>
      </c>
      <c r="BF86" s="81" t="str">
        <f t="shared" si="43"/>
        <v>ALTO</v>
      </c>
    </row>
    <row r="87" spans="1:58" x14ac:dyDescent="0.15">
      <c r="A87" s="58">
        <v>3</v>
      </c>
      <c r="B87" s="58">
        <v>2</v>
      </c>
      <c r="C87" s="58">
        <v>3</v>
      </c>
      <c r="D87" s="58">
        <v>3</v>
      </c>
      <c r="E87" s="58">
        <v>1</v>
      </c>
      <c r="F87" s="18">
        <v>2</v>
      </c>
      <c r="G87" s="64">
        <f t="shared" si="22"/>
        <v>1</v>
      </c>
      <c r="H87" s="18">
        <v>2</v>
      </c>
      <c r="I87" s="64">
        <f t="shared" si="23"/>
        <v>1</v>
      </c>
      <c r="J87" s="18">
        <v>2</v>
      </c>
      <c r="K87" s="64">
        <f t="shared" si="24"/>
        <v>1</v>
      </c>
      <c r="L87" s="18">
        <v>3</v>
      </c>
      <c r="M87" s="64">
        <f t="shared" si="25"/>
        <v>1</v>
      </c>
      <c r="N87" s="18">
        <v>0</v>
      </c>
      <c r="O87" s="64">
        <f t="shared" si="26"/>
        <v>0</v>
      </c>
      <c r="P87" s="18">
        <v>2</v>
      </c>
      <c r="Q87" s="64">
        <f t="shared" si="27"/>
        <v>0.66666666666666663</v>
      </c>
      <c r="R87" s="24">
        <v>3</v>
      </c>
      <c r="S87" s="71">
        <f t="shared" si="28"/>
        <v>1</v>
      </c>
      <c r="T87" s="18">
        <v>3</v>
      </c>
      <c r="U87" s="64">
        <f t="shared" si="29"/>
        <v>1</v>
      </c>
      <c r="V87" s="18">
        <v>3</v>
      </c>
      <c r="W87" s="71">
        <f t="shared" si="30"/>
        <v>0.75</v>
      </c>
      <c r="X87" s="18">
        <v>2</v>
      </c>
      <c r="Y87" s="71">
        <f t="shared" si="31"/>
        <v>0.66666666666666663</v>
      </c>
      <c r="Z87" s="18">
        <v>1</v>
      </c>
      <c r="AA87" s="71">
        <f t="shared" si="32"/>
        <v>0.33333333333333331</v>
      </c>
      <c r="AB87" s="18">
        <v>3</v>
      </c>
      <c r="AC87" s="71">
        <f t="shared" si="33"/>
        <v>1.5</v>
      </c>
      <c r="AD87" s="58">
        <v>1</v>
      </c>
      <c r="AE87" s="58">
        <v>0</v>
      </c>
      <c r="AF87" s="58">
        <v>1</v>
      </c>
      <c r="AG87" s="58">
        <v>0</v>
      </c>
      <c r="AH87" s="58">
        <v>0</v>
      </c>
      <c r="AI87" s="58">
        <v>0</v>
      </c>
      <c r="AJ87" s="19">
        <v>2</v>
      </c>
      <c r="AK87" s="71">
        <f t="shared" si="34"/>
        <v>1</v>
      </c>
      <c r="AL87" s="18">
        <v>0</v>
      </c>
      <c r="AM87" s="71">
        <f t="shared" si="35"/>
        <v>0</v>
      </c>
      <c r="AN87" s="18">
        <v>0</v>
      </c>
      <c r="AO87" s="71">
        <f t="shared" si="36"/>
        <v>0</v>
      </c>
      <c r="AP87" s="18">
        <v>3</v>
      </c>
      <c r="AQ87" s="71">
        <f t="shared" si="37"/>
        <v>1</v>
      </c>
      <c r="AR87" s="58">
        <v>0</v>
      </c>
      <c r="AS87" s="18">
        <v>3</v>
      </c>
      <c r="AT87" s="71">
        <f t="shared" si="38"/>
        <v>1</v>
      </c>
      <c r="AU87" s="18">
        <v>1</v>
      </c>
      <c r="AV87" s="71">
        <f t="shared" si="39"/>
        <v>0.33333333333333331</v>
      </c>
      <c r="AW87" s="18">
        <v>0</v>
      </c>
      <c r="AX87" s="71">
        <f t="shared" si="40"/>
        <v>0</v>
      </c>
      <c r="AY87" s="18">
        <v>1</v>
      </c>
      <c r="AZ87" s="71">
        <f t="shared" si="41"/>
        <v>0.33333333333333331</v>
      </c>
      <c r="BA87" s="74">
        <v>0</v>
      </c>
      <c r="BB87" s="74">
        <v>0</v>
      </c>
      <c r="BC87" s="74">
        <v>0</v>
      </c>
      <c r="BD87" s="74">
        <v>1</v>
      </c>
      <c r="BE87" s="81">
        <f t="shared" si="42"/>
        <v>0.72916666666666674</v>
      </c>
      <c r="BF87" s="81" t="str">
        <f t="shared" si="43"/>
        <v>ALTO</v>
      </c>
    </row>
    <row r="88" spans="1:58" x14ac:dyDescent="0.15">
      <c r="A88" s="57">
        <v>3</v>
      </c>
      <c r="B88" s="57">
        <v>1</v>
      </c>
      <c r="C88" s="57">
        <v>3</v>
      </c>
      <c r="D88" s="57">
        <v>2</v>
      </c>
      <c r="E88" s="58">
        <v>1</v>
      </c>
      <c r="F88" s="17">
        <v>1</v>
      </c>
      <c r="G88" s="64">
        <f t="shared" si="22"/>
        <v>0.5</v>
      </c>
      <c r="H88" s="17">
        <v>1</v>
      </c>
      <c r="I88" s="64">
        <f t="shared" si="23"/>
        <v>0.5</v>
      </c>
      <c r="J88" s="17">
        <v>1</v>
      </c>
      <c r="K88" s="64">
        <f t="shared" si="24"/>
        <v>0.5</v>
      </c>
      <c r="L88" s="17">
        <v>1</v>
      </c>
      <c r="M88" s="64">
        <f t="shared" si="25"/>
        <v>0.33333333333333331</v>
      </c>
      <c r="N88" s="17">
        <v>2</v>
      </c>
      <c r="O88" s="64">
        <f t="shared" si="26"/>
        <v>0.4</v>
      </c>
      <c r="P88" s="17">
        <v>3</v>
      </c>
      <c r="Q88" s="64">
        <f t="shared" si="27"/>
        <v>1</v>
      </c>
      <c r="R88" s="25">
        <v>0</v>
      </c>
      <c r="S88" s="71">
        <f t="shared" si="28"/>
        <v>0</v>
      </c>
      <c r="T88" s="17">
        <v>2</v>
      </c>
      <c r="U88" s="64">
        <f t="shared" si="29"/>
        <v>0.66666666666666663</v>
      </c>
      <c r="V88" s="17">
        <v>3</v>
      </c>
      <c r="W88" s="71">
        <f t="shared" si="30"/>
        <v>0.75</v>
      </c>
      <c r="X88" s="17">
        <v>2</v>
      </c>
      <c r="Y88" s="71">
        <f t="shared" si="31"/>
        <v>0.66666666666666663</v>
      </c>
      <c r="Z88" s="17">
        <v>1</v>
      </c>
      <c r="AA88" s="71">
        <f t="shared" si="32"/>
        <v>0.33333333333333331</v>
      </c>
      <c r="AB88" s="17">
        <v>1</v>
      </c>
      <c r="AC88" s="71">
        <f t="shared" si="33"/>
        <v>0.5</v>
      </c>
      <c r="AD88" s="57">
        <v>1</v>
      </c>
      <c r="AE88" s="57">
        <v>0</v>
      </c>
      <c r="AF88" s="57">
        <v>1</v>
      </c>
      <c r="AG88" s="57">
        <v>0</v>
      </c>
      <c r="AH88" s="57">
        <v>0</v>
      </c>
      <c r="AI88" s="57">
        <v>0</v>
      </c>
      <c r="AJ88" s="20">
        <v>1</v>
      </c>
      <c r="AK88" s="71">
        <f t="shared" si="34"/>
        <v>0.5</v>
      </c>
      <c r="AL88" s="17">
        <v>1</v>
      </c>
      <c r="AM88" s="71">
        <f t="shared" si="35"/>
        <v>0.33333333333333331</v>
      </c>
      <c r="AN88" s="17">
        <v>1</v>
      </c>
      <c r="AO88" s="71">
        <f t="shared" si="36"/>
        <v>0.33333333333333331</v>
      </c>
      <c r="AP88" s="17">
        <v>1</v>
      </c>
      <c r="AQ88" s="71">
        <f t="shared" si="37"/>
        <v>0.33333333333333331</v>
      </c>
      <c r="AR88" s="57">
        <v>2</v>
      </c>
      <c r="AS88" s="17">
        <v>1</v>
      </c>
      <c r="AT88" s="71">
        <f t="shared" si="38"/>
        <v>0.33333333333333331</v>
      </c>
      <c r="AU88" s="17">
        <v>3</v>
      </c>
      <c r="AV88" s="71">
        <f t="shared" si="39"/>
        <v>1</v>
      </c>
      <c r="AW88" s="17">
        <v>1</v>
      </c>
      <c r="AX88" s="71">
        <f t="shared" si="40"/>
        <v>0.5</v>
      </c>
      <c r="AY88" s="17">
        <v>1</v>
      </c>
      <c r="AZ88" s="71">
        <f t="shared" si="41"/>
        <v>0.33333333333333331</v>
      </c>
      <c r="BA88" s="73">
        <v>0</v>
      </c>
      <c r="BB88" s="73">
        <v>1</v>
      </c>
      <c r="BC88" s="73">
        <v>1</v>
      </c>
      <c r="BD88" s="73">
        <v>0</v>
      </c>
      <c r="BE88" s="81">
        <f t="shared" si="42"/>
        <v>0.51583333333333337</v>
      </c>
      <c r="BF88" s="81" t="str">
        <f t="shared" si="43"/>
        <v>MEDIO</v>
      </c>
    </row>
    <row r="89" spans="1:58" x14ac:dyDescent="0.15">
      <c r="A89" s="58">
        <v>2</v>
      </c>
      <c r="B89" s="58">
        <v>1</v>
      </c>
      <c r="C89" s="58">
        <v>3</v>
      </c>
      <c r="D89" s="58">
        <v>1</v>
      </c>
      <c r="E89" s="58">
        <v>1</v>
      </c>
      <c r="F89" s="18">
        <v>1</v>
      </c>
      <c r="G89" s="64">
        <f t="shared" si="22"/>
        <v>0.5</v>
      </c>
      <c r="H89" s="18">
        <v>1</v>
      </c>
      <c r="I89" s="64">
        <f t="shared" si="23"/>
        <v>0.5</v>
      </c>
      <c r="J89" s="18">
        <v>0</v>
      </c>
      <c r="K89" s="64">
        <f t="shared" si="24"/>
        <v>0</v>
      </c>
      <c r="L89" s="18">
        <v>0</v>
      </c>
      <c r="M89" s="64">
        <f t="shared" si="25"/>
        <v>0</v>
      </c>
      <c r="N89" s="18">
        <v>1</v>
      </c>
      <c r="O89" s="64">
        <f t="shared" si="26"/>
        <v>0.2</v>
      </c>
      <c r="P89" s="18">
        <v>0</v>
      </c>
      <c r="Q89" s="64">
        <f t="shared" si="27"/>
        <v>0</v>
      </c>
      <c r="R89" s="24">
        <v>0</v>
      </c>
      <c r="S89" s="71">
        <f t="shared" si="28"/>
        <v>0</v>
      </c>
      <c r="T89" s="18">
        <v>1</v>
      </c>
      <c r="U89" s="64">
        <f t="shared" si="29"/>
        <v>0.33333333333333331</v>
      </c>
      <c r="V89" s="18">
        <v>3</v>
      </c>
      <c r="W89" s="71">
        <f t="shared" si="30"/>
        <v>0.75</v>
      </c>
      <c r="X89" s="18">
        <v>0</v>
      </c>
      <c r="Y89" s="71">
        <f t="shared" si="31"/>
        <v>0</v>
      </c>
      <c r="Z89" s="18">
        <v>1</v>
      </c>
      <c r="AA89" s="71">
        <f t="shared" si="32"/>
        <v>0.33333333333333331</v>
      </c>
      <c r="AB89" s="18">
        <v>1</v>
      </c>
      <c r="AC89" s="71">
        <f t="shared" si="33"/>
        <v>0.5</v>
      </c>
      <c r="AD89" s="58">
        <v>0</v>
      </c>
      <c r="AE89" s="58">
        <v>0</v>
      </c>
      <c r="AF89" s="58">
        <v>1</v>
      </c>
      <c r="AG89" s="58">
        <v>0</v>
      </c>
      <c r="AH89" s="58">
        <v>0</v>
      </c>
      <c r="AI89" s="58">
        <v>0</v>
      </c>
      <c r="AJ89" s="19">
        <v>1</v>
      </c>
      <c r="AK89" s="71">
        <f t="shared" si="34"/>
        <v>0.5</v>
      </c>
      <c r="AL89" s="18">
        <v>0</v>
      </c>
      <c r="AM89" s="71">
        <f t="shared" si="35"/>
        <v>0</v>
      </c>
      <c r="AN89" s="18">
        <v>0</v>
      </c>
      <c r="AO89" s="71">
        <f t="shared" si="36"/>
        <v>0</v>
      </c>
      <c r="AP89" s="18">
        <v>0</v>
      </c>
      <c r="AQ89" s="71">
        <f t="shared" si="37"/>
        <v>0</v>
      </c>
      <c r="AR89" s="58">
        <v>2</v>
      </c>
      <c r="AS89" s="18">
        <v>1</v>
      </c>
      <c r="AT89" s="71">
        <f t="shared" si="38"/>
        <v>0.33333333333333331</v>
      </c>
      <c r="AU89" s="18">
        <v>0</v>
      </c>
      <c r="AV89" s="71">
        <f t="shared" si="39"/>
        <v>0</v>
      </c>
      <c r="AW89" s="18">
        <v>0</v>
      </c>
      <c r="AX89" s="71">
        <f t="shared" si="40"/>
        <v>0</v>
      </c>
      <c r="AY89" s="18">
        <v>3</v>
      </c>
      <c r="AZ89" s="71">
        <f t="shared" si="41"/>
        <v>1</v>
      </c>
      <c r="BA89" s="74">
        <v>0</v>
      </c>
      <c r="BB89" s="74">
        <v>0</v>
      </c>
      <c r="BC89" s="74">
        <v>0</v>
      </c>
      <c r="BD89" s="74">
        <v>1</v>
      </c>
      <c r="BE89" s="81">
        <f t="shared" si="42"/>
        <v>0.27250000000000002</v>
      </c>
      <c r="BF89" s="81" t="str">
        <f t="shared" si="43"/>
        <v>BASSO</v>
      </c>
    </row>
    <row r="90" spans="1:58" x14ac:dyDescent="0.15">
      <c r="A90" s="57">
        <v>4</v>
      </c>
      <c r="B90" s="57">
        <v>1</v>
      </c>
      <c r="C90" s="57">
        <v>1</v>
      </c>
      <c r="D90" s="57">
        <v>2</v>
      </c>
      <c r="E90" s="58">
        <v>1</v>
      </c>
      <c r="F90" s="17">
        <v>2</v>
      </c>
      <c r="G90" s="64">
        <f t="shared" si="22"/>
        <v>1</v>
      </c>
      <c r="H90" s="17">
        <v>0</v>
      </c>
      <c r="I90" s="64">
        <f t="shared" si="23"/>
        <v>0</v>
      </c>
      <c r="J90" s="17">
        <v>2</v>
      </c>
      <c r="K90" s="64">
        <f t="shared" si="24"/>
        <v>1</v>
      </c>
      <c r="L90" s="17">
        <v>2</v>
      </c>
      <c r="M90" s="64">
        <f t="shared" si="25"/>
        <v>0.66666666666666663</v>
      </c>
      <c r="N90" s="17">
        <v>1</v>
      </c>
      <c r="O90" s="64">
        <f t="shared" si="26"/>
        <v>0.2</v>
      </c>
      <c r="P90" s="17">
        <v>3</v>
      </c>
      <c r="Q90" s="64">
        <f t="shared" si="27"/>
        <v>1</v>
      </c>
      <c r="R90" s="25">
        <v>2</v>
      </c>
      <c r="S90" s="71">
        <f t="shared" si="28"/>
        <v>0.66666666666666663</v>
      </c>
      <c r="T90" s="17">
        <v>2</v>
      </c>
      <c r="U90" s="64">
        <f t="shared" si="29"/>
        <v>0.66666666666666663</v>
      </c>
      <c r="V90" s="17">
        <v>3</v>
      </c>
      <c r="W90" s="71">
        <f t="shared" si="30"/>
        <v>0.75</v>
      </c>
      <c r="X90" s="17">
        <v>2</v>
      </c>
      <c r="Y90" s="71">
        <f t="shared" si="31"/>
        <v>0.66666666666666663</v>
      </c>
      <c r="Z90" s="17">
        <v>3</v>
      </c>
      <c r="AA90" s="71">
        <f t="shared" si="32"/>
        <v>1</v>
      </c>
      <c r="AB90" s="17">
        <v>0</v>
      </c>
      <c r="AC90" s="71">
        <f t="shared" si="33"/>
        <v>0</v>
      </c>
      <c r="AD90" s="57">
        <v>0</v>
      </c>
      <c r="AE90" s="57">
        <v>0</v>
      </c>
      <c r="AF90" s="57">
        <v>1</v>
      </c>
      <c r="AG90" s="57">
        <v>1</v>
      </c>
      <c r="AH90" s="57">
        <v>0</v>
      </c>
      <c r="AI90" s="57">
        <v>0</v>
      </c>
      <c r="AJ90" s="20">
        <v>1</v>
      </c>
      <c r="AK90" s="71">
        <f t="shared" si="34"/>
        <v>0.5</v>
      </c>
      <c r="AL90" s="17">
        <v>3</v>
      </c>
      <c r="AM90" s="71">
        <f t="shared" si="35"/>
        <v>1</v>
      </c>
      <c r="AN90" s="17">
        <v>1</v>
      </c>
      <c r="AO90" s="71">
        <f t="shared" si="36"/>
        <v>0.33333333333333331</v>
      </c>
      <c r="AP90" s="17">
        <v>0</v>
      </c>
      <c r="AQ90" s="71">
        <f t="shared" si="37"/>
        <v>0</v>
      </c>
      <c r="AR90" s="57">
        <v>0</v>
      </c>
      <c r="AS90" s="17">
        <v>2</v>
      </c>
      <c r="AT90" s="71">
        <f t="shared" si="38"/>
        <v>0.66666666666666663</v>
      </c>
      <c r="AU90" s="17">
        <v>2</v>
      </c>
      <c r="AV90" s="71">
        <f t="shared" si="39"/>
        <v>0.66666666666666663</v>
      </c>
      <c r="AW90" s="17">
        <v>0</v>
      </c>
      <c r="AX90" s="71">
        <f t="shared" si="40"/>
        <v>0</v>
      </c>
      <c r="AY90" s="17">
        <v>0</v>
      </c>
      <c r="AZ90" s="71">
        <f t="shared" si="41"/>
        <v>0</v>
      </c>
      <c r="BA90" s="73">
        <v>1</v>
      </c>
      <c r="BB90" s="73">
        <v>1</v>
      </c>
      <c r="BC90" s="73">
        <v>0</v>
      </c>
      <c r="BD90" s="73">
        <v>0</v>
      </c>
      <c r="BE90" s="81">
        <f t="shared" si="42"/>
        <v>0.58916666666666662</v>
      </c>
      <c r="BF90" s="81" t="str">
        <f t="shared" si="43"/>
        <v>MEDIO</v>
      </c>
    </row>
    <row r="91" spans="1:58" x14ac:dyDescent="0.15">
      <c r="A91" s="58">
        <v>3</v>
      </c>
      <c r="B91" s="58">
        <v>1</v>
      </c>
      <c r="C91" s="58">
        <v>1</v>
      </c>
      <c r="D91" s="58">
        <v>2</v>
      </c>
      <c r="E91" s="58">
        <v>1</v>
      </c>
      <c r="F91" s="18">
        <v>1</v>
      </c>
      <c r="G91" s="64">
        <f t="shared" si="22"/>
        <v>0.5</v>
      </c>
      <c r="H91" s="18">
        <v>1</v>
      </c>
      <c r="I91" s="64">
        <f t="shared" si="23"/>
        <v>0.5</v>
      </c>
      <c r="J91" s="18">
        <v>1</v>
      </c>
      <c r="K91" s="64">
        <f t="shared" si="24"/>
        <v>0.5</v>
      </c>
      <c r="L91" s="18">
        <v>0</v>
      </c>
      <c r="M91" s="64">
        <f t="shared" si="25"/>
        <v>0</v>
      </c>
      <c r="N91" s="18">
        <v>2</v>
      </c>
      <c r="O91" s="64">
        <f t="shared" si="26"/>
        <v>0.4</v>
      </c>
      <c r="P91" s="18">
        <v>0</v>
      </c>
      <c r="Q91" s="64">
        <f t="shared" si="27"/>
        <v>0</v>
      </c>
      <c r="R91" s="24">
        <v>3</v>
      </c>
      <c r="S91" s="71">
        <f t="shared" si="28"/>
        <v>1</v>
      </c>
      <c r="T91" s="18">
        <v>2</v>
      </c>
      <c r="U91" s="64">
        <f t="shared" si="29"/>
        <v>0.66666666666666663</v>
      </c>
      <c r="V91" s="18">
        <v>3</v>
      </c>
      <c r="W91" s="71">
        <f t="shared" si="30"/>
        <v>0.75</v>
      </c>
      <c r="X91" s="18">
        <v>2</v>
      </c>
      <c r="Y91" s="71">
        <f t="shared" si="31"/>
        <v>0.66666666666666663</v>
      </c>
      <c r="Z91" s="18">
        <v>0</v>
      </c>
      <c r="AA91" s="71">
        <f t="shared" si="32"/>
        <v>0</v>
      </c>
      <c r="AB91" s="18">
        <v>2</v>
      </c>
      <c r="AC91" s="71">
        <f t="shared" si="33"/>
        <v>1</v>
      </c>
      <c r="AD91" s="58">
        <v>1</v>
      </c>
      <c r="AE91" s="58">
        <v>0</v>
      </c>
      <c r="AF91" s="58">
        <v>0</v>
      </c>
      <c r="AG91" s="58">
        <v>1</v>
      </c>
      <c r="AH91" s="58">
        <v>0</v>
      </c>
      <c r="AI91" s="58">
        <v>0</v>
      </c>
      <c r="AJ91" s="19">
        <v>1</v>
      </c>
      <c r="AK91" s="71">
        <f t="shared" si="34"/>
        <v>0.5</v>
      </c>
      <c r="AL91" s="18">
        <v>3</v>
      </c>
      <c r="AM91" s="71">
        <f t="shared" si="35"/>
        <v>1</v>
      </c>
      <c r="AN91" s="18">
        <v>1</v>
      </c>
      <c r="AO91" s="71">
        <f t="shared" si="36"/>
        <v>0.33333333333333331</v>
      </c>
      <c r="AP91" s="18">
        <v>0</v>
      </c>
      <c r="AQ91" s="71">
        <f t="shared" si="37"/>
        <v>0</v>
      </c>
      <c r="AR91" s="58">
        <v>2</v>
      </c>
      <c r="AS91" s="18">
        <v>0</v>
      </c>
      <c r="AT91" s="71">
        <f t="shared" si="38"/>
        <v>0</v>
      </c>
      <c r="AU91" s="18">
        <v>0</v>
      </c>
      <c r="AV91" s="71">
        <f t="shared" si="39"/>
        <v>0</v>
      </c>
      <c r="AW91" s="18">
        <v>0</v>
      </c>
      <c r="AX91" s="71">
        <f t="shared" si="40"/>
        <v>0</v>
      </c>
      <c r="AY91" s="18">
        <v>2</v>
      </c>
      <c r="AZ91" s="71">
        <f t="shared" si="41"/>
        <v>0.66666666666666663</v>
      </c>
      <c r="BA91" s="74">
        <v>0</v>
      </c>
      <c r="BB91" s="74">
        <v>0</v>
      </c>
      <c r="BC91" s="74">
        <v>0</v>
      </c>
      <c r="BD91" s="74">
        <v>1</v>
      </c>
      <c r="BE91" s="81">
        <f t="shared" si="42"/>
        <v>0.4491666666666666</v>
      </c>
      <c r="BF91" s="81" t="str">
        <f t="shared" si="43"/>
        <v>MEDIO</v>
      </c>
    </row>
    <row r="92" spans="1:58" x14ac:dyDescent="0.15">
      <c r="A92" s="57">
        <v>4</v>
      </c>
      <c r="B92" s="57">
        <v>1</v>
      </c>
      <c r="C92" s="57">
        <v>3</v>
      </c>
      <c r="D92" s="57">
        <v>2</v>
      </c>
      <c r="E92" s="58">
        <v>1</v>
      </c>
      <c r="F92" s="17">
        <v>1</v>
      </c>
      <c r="G92" s="64">
        <f t="shared" si="22"/>
        <v>0.5</v>
      </c>
      <c r="H92" s="17">
        <v>2</v>
      </c>
      <c r="I92" s="64">
        <f t="shared" si="23"/>
        <v>1</v>
      </c>
      <c r="J92" s="17">
        <v>1</v>
      </c>
      <c r="K92" s="64">
        <f t="shared" si="24"/>
        <v>0.5</v>
      </c>
      <c r="L92" s="17">
        <v>2</v>
      </c>
      <c r="M92" s="64">
        <f t="shared" si="25"/>
        <v>0.66666666666666663</v>
      </c>
      <c r="N92" s="17">
        <v>0</v>
      </c>
      <c r="O92" s="64">
        <f t="shared" si="26"/>
        <v>0</v>
      </c>
      <c r="P92" s="17">
        <v>3</v>
      </c>
      <c r="Q92" s="64">
        <f t="shared" si="27"/>
        <v>1</v>
      </c>
      <c r="R92" s="25">
        <v>2</v>
      </c>
      <c r="S92" s="71">
        <f t="shared" si="28"/>
        <v>0.66666666666666663</v>
      </c>
      <c r="T92" s="17">
        <v>2</v>
      </c>
      <c r="U92" s="64">
        <f t="shared" si="29"/>
        <v>0.66666666666666663</v>
      </c>
      <c r="V92" s="17">
        <v>3</v>
      </c>
      <c r="W92" s="71">
        <f t="shared" si="30"/>
        <v>0.75</v>
      </c>
      <c r="X92" s="17">
        <v>2</v>
      </c>
      <c r="Y92" s="71">
        <f t="shared" si="31"/>
        <v>0.66666666666666663</v>
      </c>
      <c r="Z92" s="17">
        <v>0</v>
      </c>
      <c r="AA92" s="71">
        <f t="shared" si="32"/>
        <v>0</v>
      </c>
      <c r="AB92" s="17">
        <v>1</v>
      </c>
      <c r="AC92" s="71">
        <f t="shared" si="33"/>
        <v>0.5</v>
      </c>
      <c r="AD92" s="57">
        <v>1</v>
      </c>
      <c r="AE92" s="57">
        <v>0</v>
      </c>
      <c r="AF92" s="57">
        <v>1</v>
      </c>
      <c r="AG92" s="57">
        <v>0</v>
      </c>
      <c r="AH92" s="57">
        <v>0</v>
      </c>
      <c r="AI92" s="57">
        <v>0</v>
      </c>
      <c r="AJ92" s="20">
        <v>1</v>
      </c>
      <c r="AK92" s="71">
        <f t="shared" si="34"/>
        <v>0.5</v>
      </c>
      <c r="AL92" s="17">
        <v>3</v>
      </c>
      <c r="AM92" s="71">
        <f t="shared" si="35"/>
        <v>1</v>
      </c>
      <c r="AN92" s="17">
        <v>1</v>
      </c>
      <c r="AO92" s="71">
        <f t="shared" si="36"/>
        <v>0.33333333333333331</v>
      </c>
      <c r="AP92" s="17">
        <v>2</v>
      </c>
      <c r="AQ92" s="71">
        <f t="shared" si="37"/>
        <v>0.66666666666666663</v>
      </c>
      <c r="AR92" s="57">
        <v>0</v>
      </c>
      <c r="AS92" s="17">
        <v>2</v>
      </c>
      <c r="AT92" s="71">
        <f t="shared" si="38"/>
        <v>0.66666666666666663</v>
      </c>
      <c r="AU92" s="17">
        <v>2</v>
      </c>
      <c r="AV92" s="71">
        <f t="shared" si="39"/>
        <v>0.66666666666666663</v>
      </c>
      <c r="AW92" s="17">
        <v>1</v>
      </c>
      <c r="AX92" s="71">
        <f t="shared" si="40"/>
        <v>0.5</v>
      </c>
      <c r="AY92" s="17">
        <v>3</v>
      </c>
      <c r="AZ92" s="71">
        <f t="shared" si="41"/>
        <v>1</v>
      </c>
      <c r="BA92" s="73">
        <v>1</v>
      </c>
      <c r="BB92" s="73">
        <v>1</v>
      </c>
      <c r="BC92" s="73">
        <v>0</v>
      </c>
      <c r="BD92" s="73"/>
      <c r="BE92" s="81">
        <f t="shared" si="42"/>
        <v>0.63749999999999996</v>
      </c>
      <c r="BF92" s="81" t="str">
        <f t="shared" si="43"/>
        <v>MEDIO</v>
      </c>
    </row>
    <row r="93" spans="1:58" x14ac:dyDescent="0.15">
      <c r="A93" s="58">
        <v>2</v>
      </c>
      <c r="B93" s="58">
        <v>2</v>
      </c>
      <c r="C93" s="58">
        <v>1</v>
      </c>
      <c r="D93" s="58">
        <v>1</v>
      </c>
      <c r="E93" s="58">
        <v>1</v>
      </c>
      <c r="F93" s="18">
        <v>2</v>
      </c>
      <c r="G93" s="64">
        <f t="shared" si="22"/>
        <v>1</v>
      </c>
      <c r="H93" s="18">
        <v>0</v>
      </c>
      <c r="I93" s="64">
        <f t="shared" si="23"/>
        <v>0</v>
      </c>
      <c r="J93" s="18">
        <v>0</v>
      </c>
      <c r="K93" s="64">
        <f t="shared" si="24"/>
        <v>0</v>
      </c>
      <c r="L93" s="18">
        <v>0</v>
      </c>
      <c r="M93" s="64">
        <f t="shared" si="25"/>
        <v>0</v>
      </c>
      <c r="N93" s="18">
        <v>2</v>
      </c>
      <c r="O93" s="64">
        <f t="shared" si="26"/>
        <v>0.4</v>
      </c>
      <c r="P93" s="18">
        <v>0</v>
      </c>
      <c r="Q93" s="64">
        <f t="shared" si="27"/>
        <v>0</v>
      </c>
      <c r="R93" s="24">
        <v>0</v>
      </c>
      <c r="S93" s="71">
        <f t="shared" si="28"/>
        <v>0</v>
      </c>
      <c r="T93" s="18">
        <v>0</v>
      </c>
      <c r="U93" s="64">
        <f t="shared" si="29"/>
        <v>0</v>
      </c>
      <c r="V93" s="18">
        <v>1</v>
      </c>
      <c r="W93" s="71">
        <f t="shared" si="30"/>
        <v>0.25</v>
      </c>
      <c r="X93" s="18">
        <v>0</v>
      </c>
      <c r="Y93" s="71">
        <f t="shared" si="31"/>
        <v>0</v>
      </c>
      <c r="Z93" s="18">
        <v>1</v>
      </c>
      <c r="AA93" s="71">
        <f t="shared" si="32"/>
        <v>0.33333333333333331</v>
      </c>
      <c r="AB93" s="18">
        <v>3</v>
      </c>
      <c r="AC93" s="71">
        <f t="shared" si="33"/>
        <v>1.5</v>
      </c>
      <c r="AD93" s="58">
        <v>0</v>
      </c>
      <c r="AE93" s="58">
        <v>0</v>
      </c>
      <c r="AF93" s="58">
        <v>1</v>
      </c>
      <c r="AG93" s="58">
        <v>1</v>
      </c>
      <c r="AH93" s="58">
        <v>0</v>
      </c>
      <c r="AI93" s="58">
        <v>0</v>
      </c>
      <c r="AJ93" s="19">
        <v>0</v>
      </c>
      <c r="AK93" s="71">
        <f t="shared" si="34"/>
        <v>0</v>
      </c>
      <c r="AL93" s="18">
        <v>0</v>
      </c>
      <c r="AM93" s="71">
        <f t="shared" si="35"/>
        <v>0</v>
      </c>
      <c r="AN93" s="18">
        <v>0</v>
      </c>
      <c r="AO93" s="71">
        <f t="shared" si="36"/>
        <v>0</v>
      </c>
      <c r="AP93" s="18">
        <v>0</v>
      </c>
      <c r="AQ93" s="71">
        <f t="shared" si="37"/>
        <v>0</v>
      </c>
      <c r="AR93" s="58">
        <v>2</v>
      </c>
      <c r="AS93" s="18">
        <v>1</v>
      </c>
      <c r="AT93" s="71">
        <f t="shared" si="38"/>
        <v>0.33333333333333331</v>
      </c>
      <c r="AU93" s="18">
        <v>0</v>
      </c>
      <c r="AV93" s="71">
        <f t="shared" si="39"/>
        <v>0</v>
      </c>
      <c r="AW93" s="18">
        <v>0</v>
      </c>
      <c r="AX93" s="71">
        <f t="shared" si="40"/>
        <v>0</v>
      </c>
      <c r="AY93" s="18">
        <v>2</v>
      </c>
      <c r="AZ93" s="71">
        <f t="shared" si="41"/>
        <v>0.66666666666666663</v>
      </c>
      <c r="BA93" s="74">
        <v>0</v>
      </c>
      <c r="BB93" s="74">
        <v>0</v>
      </c>
      <c r="BC93" s="74">
        <v>0</v>
      </c>
      <c r="BD93" s="74">
        <v>1</v>
      </c>
      <c r="BE93" s="81">
        <f t="shared" si="42"/>
        <v>0.27416666666666667</v>
      </c>
      <c r="BF93" s="81" t="str">
        <f t="shared" si="43"/>
        <v>BASSO</v>
      </c>
    </row>
    <row r="94" spans="1:58" x14ac:dyDescent="0.15">
      <c r="A94" s="57">
        <v>3</v>
      </c>
      <c r="B94" s="57">
        <v>1</v>
      </c>
      <c r="C94" s="57">
        <v>1</v>
      </c>
      <c r="D94" s="57">
        <v>0</v>
      </c>
      <c r="E94" s="58">
        <v>1</v>
      </c>
      <c r="F94" s="17">
        <v>1</v>
      </c>
      <c r="G94" s="64">
        <f t="shared" si="22"/>
        <v>0.5</v>
      </c>
      <c r="H94" s="17">
        <v>2</v>
      </c>
      <c r="I94" s="64">
        <f t="shared" si="23"/>
        <v>1</v>
      </c>
      <c r="J94" s="17">
        <v>2</v>
      </c>
      <c r="K94" s="64">
        <f t="shared" si="24"/>
        <v>1</v>
      </c>
      <c r="L94" s="17">
        <v>3</v>
      </c>
      <c r="M94" s="64">
        <f t="shared" si="25"/>
        <v>1</v>
      </c>
      <c r="N94" s="17">
        <v>1</v>
      </c>
      <c r="O94" s="64">
        <f t="shared" si="26"/>
        <v>0.2</v>
      </c>
      <c r="P94" s="17">
        <v>2</v>
      </c>
      <c r="Q94" s="64">
        <f t="shared" si="27"/>
        <v>0.66666666666666663</v>
      </c>
      <c r="R94" s="25">
        <v>1</v>
      </c>
      <c r="S94" s="71">
        <f t="shared" si="28"/>
        <v>0.33333333333333331</v>
      </c>
      <c r="T94" s="17">
        <v>2</v>
      </c>
      <c r="U94" s="64">
        <f t="shared" si="29"/>
        <v>0.66666666666666663</v>
      </c>
      <c r="V94" s="17">
        <v>3</v>
      </c>
      <c r="W94" s="71">
        <f t="shared" si="30"/>
        <v>0.75</v>
      </c>
      <c r="X94" s="17">
        <v>2</v>
      </c>
      <c r="Y94" s="71">
        <f t="shared" si="31"/>
        <v>0.66666666666666663</v>
      </c>
      <c r="Z94" s="17">
        <v>2</v>
      </c>
      <c r="AA94" s="71">
        <f t="shared" si="32"/>
        <v>0.66666666666666663</v>
      </c>
      <c r="AB94" s="17">
        <v>0</v>
      </c>
      <c r="AC94" s="71">
        <f t="shared" si="33"/>
        <v>0</v>
      </c>
      <c r="AD94" s="57">
        <v>1</v>
      </c>
      <c r="AE94" s="57">
        <v>1</v>
      </c>
      <c r="AF94" s="57">
        <v>0</v>
      </c>
      <c r="AG94" s="57">
        <v>0</v>
      </c>
      <c r="AH94" s="57">
        <v>0</v>
      </c>
      <c r="AI94" s="57">
        <v>0</v>
      </c>
      <c r="AJ94" s="20">
        <v>1</v>
      </c>
      <c r="AK94" s="71">
        <f t="shared" si="34"/>
        <v>0.5</v>
      </c>
      <c r="AL94" s="17">
        <v>2</v>
      </c>
      <c r="AM94" s="71">
        <f t="shared" si="35"/>
        <v>0.66666666666666663</v>
      </c>
      <c r="AN94" s="17">
        <v>1</v>
      </c>
      <c r="AO94" s="71">
        <f t="shared" si="36"/>
        <v>0.33333333333333331</v>
      </c>
      <c r="AP94" s="17">
        <v>2</v>
      </c>
      <c r="AQ94" s="71">
        <f t="shared" si="37"/>
        <v>0.66666666666666663</v>
      </c>
      <c r="AR94" s="57">
        <v>0</v>
      </c>
      <c r="AS94" s="17">
        <v>3</v>
      </c>
      <c r="AT94" s="71">
        <f t="shared" si="38"/>
        <v>1</v>
      </c>
      <c r="AU94" s="17">
        <v>3</v>
      </c>
      <c r="AV94" s="71">
        <f t="shared" si="39"/>
        <v>1</v>
      </c>
      <c r="AW94" s="17">
        <v>1</v>
      </c>
      <c r="AX94" s="71">
        <f t="shared" si="40"/>
        <v>0.5</v>
      </c>
      <c r="AY94" s="17">
        <v>1</v>
      </c>
      <c r="AZ94" s="71">
        <f t="shared" si="41"/>
        <v>0.33333333333333331</v>
      </c>
      <c r="BA94" s="73">
        <v>0</v>
      </c>
      <c r="BB94" s="73">
        <v>1</v>
      </c>
      <c r="BC94" s="73">
        <v>1</v>
      </c>
      <c r="BD94" s="73">
        <v>0</v>
      </c>
      <c r="BE94" s="81">
        <f t="shared" si="42"/>
        <v>0.64750000000000008</v>
      </c>
      <c r="BF94" s="81" t="str">
        <f t="shared" si="43"/>
        <v>MEDIO</v>
      </c>
    </row>
    <row r="95" spans="1:58" x14ac:dyDescent="0.15">
      <c r="A95" s="58">
        <v>2</v>
      </c>
      <c r="B95" s="58">
        <v>1</v>
      </c>
      <c r="C95" s="58">
        <v>2</v>
      </c>
      <c r="D95" s="58">
        <v>0</v>
      </c>
      <c r="E95" s="58">
        <v>1</v>
      </c>
      <c r="F95" s="18">
        <v>1</v>
      </c>
      <c r="G95" s="64">
        <f t="shared" si="22"/>
        <v>0.5</v>
      </c>
      <c r="H95" s="18">
        <v>1</v>
      </c>
      <c r="I95" s="64">
        <f t="shared" si="23"/>
        <v>0.5</v>
      </c>
      <c r="J95" s="18">
        <v>1</v>
      </c>
      <c r="K95" s="64">
        <f t="shared" si="24"/>
        <v>0.5</v>
      </c>
      <c r="L95" s="18">
        <v>2</v>
      </c>
      <c r="M95" s="64">
        <f t="shared" si="25"/>
        <v>0.66666666666666663</v>
      </c>
      <c r="N95" s="18">
        <v>2</v>
      </c>
      <c r="O95" s="64">
        <f t="shared" si="26"/>
        <v>0.4</v>
      </c>
      <c r="P95" s="18">
        <v>3</v>
      </c>
      <c r="Q95" s="64">
        <f t="shared" si="27"/>
        <v>1</v>
      </c>
      <c r="R95" s="24">
        <v>2</v>
      </c>
      <c r="S95" s="71">
        <f t="shared" si="28"/>
        <v>0.66666666666666663</v>
      </c>
      <c r="T95" s="18">
        <v>3</v>
      </c>
      <c r="U95" s="64">
        <f t="shared" si="29"/>
        <v>1</v>
      </c>
      <c r="V95" s="18">
        <v>4</v>
      </c>
      <c r="W95" s="71">
        <f t="shared" si="30"/>
        <v>1</v>
      </c>
      <c r="X95" s="18">
        <v>2</v>
      </c>
      <c r="Y95" s="71">
        <f t="shared" si="31"/>
        <v>0.66666666666666663</v>
      </c>
      <c r="Z95" s="18">
        <v>2</v>
      </c>
      <c r="AA95" s="71">
        <f t="shared" si="32"/>
        <v>0.66666666666666663</v>
      </c>
      <c r="AB95" s="18">
        <v>0</v>
      </c>
      <c r="AC95" s="71">
        <f t="shared" si="33"/>
        <v>0</v>
      </c>
      <c r="AD95" s="58">
        <v>1</v>
      </c>
      <c r="AE95" s="58">
        <v>0</v>
      </c>
      <c r="AF95" s="58">
        <v>1</v>
      </c>
      <c r="AG95" s="58">
        <v>0</v>
      </c>
      <c r="AH95" s="58">
        <v>0</v>
      </c>
      <c r="AI95" s="58">
        <v>0</v>
      </c>
      <c r="AJ95" s="19">
        <v>1</v>
      </c>
      <c r="AK95" s="71">
        <f t="shared" si="34"/>
        <v>0.5</v>
      </c>
      <c r="AL95" s="18">
        <v>1</v>
      </c>
      <c r="AM95" s="71">
        <f t="shared" si="35"/>
        <v>0.33333333333333331</v>
      </c>
      <c r="AN95" s="18">
        <v>1</v>
      </c>
      <c r="AO95" s="71">
        <f t="shared" si="36"/>
        <v>0.33333333333333331</v>
      </c>
      <c r="AP95" s="18">
        <v>1</v>
      </c>
      <c r="AQ95" s="71">
        <f t="shared" si="37"/>
        <v>0.33333333333333331</v>
      </c>
      <c r="AR95" s="58">
        <v>0</v>
      </c>
      <c r="AS95" s="18">
        <v>2</v>
      </c>
      <c r="AT95" s="71">
        <f t="shared" si="38"/>
        <v>0.66666666666666663</v>
      </c>
      <c r="AU95" s="18">
        <v>2</v>
      </c>
      <c r="AV95" s="71">
        <f t="shared" si="39"/>
        <v>0.66666666666666663</v>
      </c>
      <c r="AW95" s="18">
        <v>1</v>
      </c>
      <c r="AX95" s="71">
        <f t="shared" si="40"/>
        <v>0.5</v>
      </c>
      <c r="AY95" s="18">
        <v>1</v>
      </c>
      <c r="AZ95" s="71">
        <f t="shared" si="41"/>
        <v>0.33333333333333331</v>
      </c>
      <c r="BA95" s="74">
        <v>1</v>
      </c>
      <c r="BB95" s="74">
        <v>0</v>
      </c>
      <c r="BC95" s="74">
        <v>1</v>
      </c>
      <c r="BD95" s="74">
        <v>0</v>
      </c>
      <c r="BE95" s="81">
        <f t="shared" si="42"/>
        <v>0.58666666666666667</v>
      </c>
      <c r="BF95" s="81" t="str">
        <f t="shared" si="43"/>
        <v>MEDIO</v>
      </c>
    </row>
    <row r="96" spans="1:58" x14ac:dyDescent="0.15">
      <c r="A96" s="57">
        <v>3</v>
      </c>
      <c r="B96" s="57">
        <v>1</v>
      </c>
      <c r="C96" s="57">
        <v>3</v>
      </c>
      <c r="D96" s="57">
        <v>0</v>
      </c>
      <c r="E96" s="58">
        <v>1</v>
      </c>
      <c r="F96" s="17">
        <v>1</v>
      </c>
      <c r="G96" s="64">
        <f t="shared" si="22"/>
        <v>0.5</v>
      </c>
      <c r="H96" s="17">
        <v>1</v>
      </c>
      <c r="I96" s="64">
        <f t="shared" si="23"/>
        <v>0.5</v>
      </c>
      <c r="J96" s="17">
        <v>1</v>
      </c>
      <c r="K96" s="64">
        <f t="shared" si="24"/>
        <v>0.5</v>
      </c>
      <c r="L96" s="17">
        <v>2</v>
      </c>
      <c r="M96" s="64">
        <f t="shared" si="25"/>
        <v>0.66666666666666663</v>
      </c>
      <c r="N96" s="17">
        <v>0</v>
      </c>
      <c r="O96" s="64">
        <f t="shared" si="26"/>
        <v>0</v>
      </c>
      <c r="P96" s="17">
        <v>2</v>
      </c>
      <c r="Q96" s="64">
        <f t="shared" si="27"/>
        <v>0.66666666666666663</v>
      </c>
      <c r="R96" s="25">
        <v>3</v>
      </c>
      <c r="S96" s="71">
        <f t="shared" si="28"/>
        <v>1</v>
      </c>
      <c r="T96" s="17">
        <v>2</v>
      </c>
      <c r="U96" s="64">
        <f t="shared" si="29"/>
        <v>0.66666666666666663</v>
      </c>
      <c r="V96" s="17">
        <v>3</v>
      </c>
      <c r="W96" s="71">
        <f t="shared" si="30"/>
        <v>0.75</v>
      </c>
      <c r="X96" s="17">
        <v>3</v>
      </c>
      <c r="Y96" s="71">
        <f t="shared" si="31"/>
        <v>1</v>
      </c>
      <c r="Z96" s="17">
        <v>1</v>
      </c>
      <c r="AA96" s="71">
        <f t="shared" si="32"/>
        <v>0.33333333333333331</v>
      </c>
      <c r="AB96" s="17">
        <v>2</v>
      </c>
      <c r="AC96" s="71">
        <f t="shared" si="33"/>
        <v>1</v>
      </c>
      <c r="AD96" s="57">
        <v>1</v>
      </c>
      <c r="AE96" s="57">
        <v>0</v>
      </c>
      <c r="AF96" s="57">
        <v>1</v>
      </c>
      <c r="AG96" s="57">
        <v>0</v>
      </c>
      <c r="AH96" s="57">
        <v>0</v>
      </c>
      <c r="AI96" s="57">
        <v>0</v>
      </c>
      <c r="AJ96" s="20">
        <v>1</v>
      </c>
      <c r="AK96" s="71">
        <f t="shared" si="34"/>
        <v>0.5</v>
      </c>
      <c r="AL96" s="17">
        <v>1</v>
      </c>
      <c r="AM96" s="71">
        <f t="shared" si="35"/>
        <v>0.33333333333333331</v>
      </c>
      <c r="AN96" s="17">
        <v>3</v>
      </c>
      <c r="AO96" s="71">
        <f t="shared" si="36"/>
        <v>1</v>
      </c>
      <c r="AP96" s="20">
        <v>1</v>
      </c>
      <c r="AQ96" s="71">
        <f t="shared" si="37"/>
        <v>0.33333333333333331</v>
      </c>
      <c r="AR96" s="57">
        <v>2</v>
      </c>
      <c r="AS96" s="17">
        <v>1</v>
      </c>
      <c r="AT96" s="71">
        <f t="shared" si="38"/>
        <v>0.33333333333333331</v>
      </c>
      <c r="AU96" s="17">
        <v>2</v>
      </c>
      <c r="AV96" s="71">
        <f t="shared" si="39"/>
        <v>0.66666666666666663</v>
      </c>
      <c r="AW96" s="17">
        <v>0</v>
      </c>
      <c r="AX96" s="71">
        <f t="shared" si="40"/>
        <v>0</v>
      </c>
      <c r="AY96" s="17">
        <v>2</v>
      </c>
      <c r="AZ96" s="71">
        <f t="shared" si="41"/>
        <v>0.66666666666666663</v>
      </c>
      <c r="BA96" s="73">
        <v>0</v>
      </c>
      <c r="BB96" s="73">
        <v>0</v>
      </c>
      <c r="BC96" s="73">
        <v>1</v>
      </c>
      <c r="BD96" s="73">
        <v>0</v>
      </c>
      <c r="BE96" s="81">
        <f t="shared" si="42"/>
        <v>0.59583333333333333</v>
      </c>
      <c r="BF96" s="81" t="str">
        <f t="shared" si="43"/>
        <v>MEDIO</v>
      </c>
    </row>
    <row r="97" spans="1:58" x14ac:dyDescent="0.15">
      <c r="A97" s="58">
        <v>3</v>
      </c>
      <c r="B97" s="58">
        <v>1</v>
      </c>
      <c r="C97" s="58">
        <v>4</v>
      </c>
      <c r="D97" s="58">
        <v>1</v>
      </c>
      <c r="E97" s="58">
        <v>1</v>
      </c>
      <c r="F97" s="18">
        <v>2</v>
      </c>
      <c r="G97" s="64">
        <f t="shared" si="22"/>
        <v>1</v>
      </c>
      <c r="H97" s="18">
        <v>2</v>
      </c>
      <c r="I97" s="64">
        <f t="shared" si="23"/>
        <v>1</v>
      </c>
      <c r="J97" s="18">
        <v>1</v>
      </c>
      <c r="K97" s="64">
        <f t="shared" si="24"/>
        <v>0.5</v>
      </c>
      <c r="L97" s="18">
        <v>3</v>
      </c>
      <c r="M97" s="64">
        <f t="shared" si="25"/>
        <v>1</v>
      </c>
      <c r="N97" s="18">
        <v>0</v>
      </c>
      <c r="O97" s="64">
        <f t="shared" si="26"/>
        <v>0</v>
      </c>
      <c r="P97" s="18">
        <v>2</v>
      </c>
      <c r="Q97" s="64">
        <f t="shared" si="27"/>
        <v>0.66666666666666663</v>
      </c>
      <c r="R97" s="24">
        <v>3</v>
      </c>
      <c r="S97" s="71">
        <f t="shared" si="28"/>
        <v>1</v>
      </c>
      <c r="T97" s="18">
        <v>3</v>
      </c>
      <c r="U97" s="64">
        <f t="shared" si="29"/>
        <v>1</v>
      </c>
      <c r="V97" s="18">
        <v>3</v>
      </c>
      <c r="W97" s="71">
        <f t="shared" si="30"/>
        <v>0.75</v>
      </c>
      <c r="X97" s="18">
        <v>3</v>
      </c>
      <c r="Y97" s="71">
        <f t="shared" si="31"/>
        <v>1</v>
      </c>
      <c r="Z97" s="18">
        <v>3</v>
      </c>
      <c r="AA97" s="71">
        <f t="shared" si="32"/>
        <v>1</v>
      </c>
      <c r="AB97" s="18">
        <v>1</v>
      </c>
      <c r="AC97" s="71">
        <f t="shared" si="33"/>
        <v>0.5</v>
      </c>
      <c r="AD97" s="58">
        <v>1</v>
      </c>
      <c r="AE97" s="58">
        <v>0</v>
      </c>
      <c r="AF97" s="58">
        <v>1</v>
      </c>
      <c r="AG97" s="58">
        <v>0</v>
      </c>
      <c r="AH97" s="58">
        <v>0</v>
      </c>
      <c r="AI97" s="58">
        <v>0</v>
      </c>
      <c r="AJ97" s="19">
        <v>2</v>
      </c>
      <c r="AK97" s="71">
        <f t="shared" si="34"/>
        <v>1</v>
      </c>
      <c r="AL97" s="18">
        <v>0</v>
      </c>
      <c r="AM97" s="71">
        <f t="shared" si="35"/>
        <v>0</v>
      </c>
      <c r="AN97" s="18">
        <v>2</v>
      </c>
      <c r="AO97" s="71">
        <f t="shared" si="36"/>
        <v>0.66666666666666663</v>
      </c>
      <c r="AP97" s="18">
        <v>2</v>
      </c>
      <c r="AQ97" s="71">
        <f t="shared" si="37"/>
        <v>0.66666666666666663</v>
      </c>
      <c r="AR97" s="58">
        <v>2</v>
      </c>
      <c r="AS97" s="18">
        <v>3</v>
      </c>
      <c r="AT97" s="71">
        <f t="shared" si="38"/>
        <v>1</v>
      </c>
      <c r="AU97" s="18">
        <v>3</v>
      </c>
      <c r="AV97" s="71">
        <f t="shared" si="39"/>
        <v>1</v>
      </c>
      <c r="AW97" s="18">
        <v>1</v>
      </c>
      <c r="AX97" s="71">
        <f t="shared" si="40"/>
        <v>0.5</v>
      </c>
      <c r="AY97" s="18">
        <v>3</v>
      </c>
      <c r="AZ97" s="71">
        <f t="shared" si="41"/>
        <v>1</v>
      </c>
      <c r="BA97" s="74">
        <v>1</v>
      </c>
      <c r="BB97" s="74">
        <v>0</v>
      </c>
      <c r="BC97" s="74">
        <v>1</v>
      </c>
      <c r="BD97" s="74">
        <v>0</v>
      </c>
      <c r="BE97" s="81">
        <f t="shared" si="42"/>
        <v>0.8125</v>
      </c>
      <c r="BF97" s="81" t="str">
        <f t="shared" si="43"/>
        <v>ALTO</v>
      </c>
    </row>
    <row r="98" spans="1:58" x14ac:dyDescent="0.15">
      <c r="A98" s="57">
        <v>4</v>
      </c>
      <c r="B98" s="57">
        <v>1</v>
      </c>
      <c r="C98" s="57">
        <v>3</v>
      </c>
      <c r="D98" s="57">
        <v>2</v>
      </c>
      <c r="E98" s="58">
        <v>1</v>
      </c>
      <c r="F98" s="17">
        <v>1</v>
      </c>
      <c r="G98" s="64">
        <f t="shared" si="22"/>
        <v>0.5</v>
      </c>
      <c r="H98" s="17">
        <v>1</v>
      </c>
      <c r="I98" s="64">
        <f t="shared" si="23"/>
        <v>0.5</v>
      </c>
      <c r="J98" s="17">
        <v>1</v>
      </c>
      <c r="K98" s="64">
        <f t="shared" si="24"/>
        <v>0.5</v>
      </c>
      <c r="L98" s="17">
        <v>2</v>
      </c>
      <c r="M98" s="64">
        <f t="shared" si="25"/>
        <v>0.66666666666666663</v>
      </c>
      <c r="N98" s="17">
        <v>4</v>
      </c>
      <c r="O98" s="64">
        <f t="shared" si="26"/>
        <v>0.8</v>
      </c>
      <c r="P98" s="17">
        <v>3</v>
      </c>
      <c r="Q98" s="64">
        <f t="shared" si="27"/>
        <v>1</v>
      </c>
      <c r="R98" s="25">
        <v>2</v>
      </c>
      <c r="S98" s="71">
        <f t="shared" si="28"/>
        <v>0.66666666666666663</v>
      </c>
      <c r="T98" s="17">
        <v>2</v>
      </c>
      <c r="U98" s="64">
        <f t="shared" si="29"/>
        <v>0.66666666666666663</v>
      </c>
      <c r="V98" s="17">
        <v>3</v>
      </c>
      <c r="W98" s="71">
        <f t="shared" si="30"/>
        <v>0.75</v>
      </c>
      <c r="X98" s="17">
        <v>2</v>
      </c>
      <c r="Y98" s="71">
        <f t="shared" si="31"/>
        <v>0.66666666666666663</v>
      </c>
      <c r="Z98" s="17">
        <v>3</v>
      </c>
      <c r="AA98" s="71">
        <f t="shared" si="32"/>
        <v>1</v>
      </c>
      <c r="AB98" s="17">
        <v>1</v>
      </c>
      <c r="AC98" s="71">
        <f t="shared" si="33"/>
        <v>0.5</v>
      </c>
      <c r="AD98" s="57">
        <v>1</v>
      </c>
      <c r="AE98" s="57">
        <v>0</v>
      </c>
      <c r="AF98" s="57">
        <v>1</v>
      </c>
      <c r="AG98" s="57">
        <v>0</v>
      </c>
      <c r="AH98" s="57">
        <v>0</v>
      </c>
      <c r="AI98" s="57">
        <v>0</v>
      </c>
      <c r="AJ98" s="20">
        <v>0</v>
      </c>
      <c r="AK98" s="71">
        <f t="shared" si="34"/>
        <v>0</v>
      </c>
      <c r="AL98" s="17">
        <v>2</v>
      </c>
      <c r="AM98" s="71">
        <f t="shared" si="35"/>
        <v>0.66666666666666663</v>
      </c>
      <c r="AN98" s="17">
        <v>1</v>
      </c>
      <c r="AO98" s="71">
        <f t="shared" si="36"/>
        <v>0.33333333333333331</v>
      </c>
      <c r="AP98" s="17">
        <v>2</v>
      </c>
      <c r="AQ98" s="71">
        <f t="shared" si="37"/>
        <v>0.66666666666666663</v>
      </c>
      <c r="AR98" s="57">
        <v>2</v>
      </c>
      <c r="AS98" s="17">
        <v>3</v>
      </c>
      <c r="AT98" s="71">
        <f t="shared" si="38"/>
        <v>1</v>
      </c>
      <c r="AU98" s="17">
        <v>0</v>
      </c>
      <c r="AV98" s="71">
        <f t="shared" si="39"/>
        <v>0</v>
      </c>
      <c r="AW98" s="17">
        <v>0</v>
      </c>
      <c r="AX98" s="71">
        <f t="shared" si="40"/>
        <v>0</v>
      </c>
      <c r="AY98" s="17">
        <v>1</v>
      </c>
      <c r="AZ98" s="71">
        <f t="shared" si="41"/>
        <v>0.33333333333333331</v>
      </c>
      <c r="BA98" s="73">
        <v>1</v>
      </c>
      <c r="BB98" s="73">
        <v>0</v>
      </c>
      <c r="BC98" s="73">
        <v>1</v>
      </c>
      <c r="BD98" s="73">
        <v>0</v>
      </c>
      <c r="BE98" s="81">
        <f t="shared" si="42"/>
        <v>0.58583333333333343</v>
      </c>
      <c r="BF98" s="81" t="str">
        <f t="shared" si="43"/>
        <v>MEDIO</v>
      </c>
    </row>
    <row r="99" spans="1:58" x14ac:dyDescent="0.15">
      <c r="A99" s="58">
        <v>3</v>
      </c>
      <c r="B99" s="58">
        <v>1</v>
      </c>
      <c r="C99" s="58">
        <v>2</v>
      </c>
      <c r="D99" s="58">
        <v>0</v>
      </c>
      <c r="E99" s="58">
        <v>1</v>
      </c>
      <c r="F99" s="18">
        <v>2</v>
      </c>
      <c r="G99" s="64">
        <f t="shared" si="22"/>
        <v>1</v>
      </c>
      <c r="H99" s="18">
        <v>1</v>
      </c>
      <c r="I99" s="64">
        <f t="shared" si="23"/>
        <v>0.5</v>
      </c>
      <c r="J99" s="18">
        <v>1</v>
      </c>
      <c r="K99" s="64">
        <f t="shared" si="24"/>
        <v>0.5</v>
      </c>
      <c r="L99" s="18">
        <v>3</v>
      </c>
      <c r="M99" s="64">
        <f t="shared" si="25"/>
        <v>1</v>
      </c>
      <c r="N99" s="18">
        <v>1</v>
      </c>
      <c r="O99" s="64">
        <f t="shared" si="26"/>
        <v>0.2</v>
      </c>
      <c r="P99" s="18">
        <v>3</v>
      </c>
      <c r="Q99" s="64">
        <f t="shared" si="27"/>
        <v>1</v>
      </c>
      <c r="R99" s="24">
        <v>3</v>
      </c>
      <c r="S99" s="71">
        <f t="shared" si="28"/>
        <v>1</v>
      </c>
      <c r="T99" s="18">
        <v>3</v>
      </c>
      <c r="U99" s="64">
        <f t="shared" si="29"/>
        <v>1</v>
      </c>
      <c r="V99" s="18">
        <v>3</v>
      </c>
      <c r="W99" s="71">
        <f t="shared" si="30"/>
        <v>0.75</v>
      </c>
      <c r="X99" s="18">
        <v>2</v>
      </c>
      <c r="Y99" s="71">
        <f t="shared" si="31"/>
        <v>0.66666666666666663</v>
      </c>
      <c r="Z99" s="18">
        <v>1</v>
      </c>
      <c r="AA99" s="71">
        <f t="shared" si="32"/>
        <v>0.33333333333333331</v>
      </c>
      <c r="AB99" s="18">
        <v>2</v>
      </c>
      <c r="AC99" s="71">
        <f t="shared" si="33"/>
        <v>1</v>
      </c>
      <c r="AD99" s="58">
        <v>1</v>
      </c>
      <c r="AE99" s="58">
        <v>0</v>
      </c>
      <c r="AF99" s="58">
        <v>1</v>
      </c>
      <c r="AG99" s="58">
        <v>0</v>
      </c>
      <c r="AH99" s="58">
        <v>0</v>
      </c>
      <c r="AI99" s="58">
        <v>0</v>
      </c>
      <c r="AJ99" s="19">
        <v>1</v>
      </c>
      <c r="AK99" s="71">
        <f t="shared" si="34"/>
        <v>0.5</v>
      </c>
      <c r="AL99" s="18">
        <v>0</v>
      </c>
      <c r="AM99" s="71">
        <f t="shared" si="35"/>
        <v>0</v>
      </c>
      <c r="AN99" s="18">
        <v>0</v>
      </c>
      <c r="AO99" s="71">
        <f t="shared" si="36"/>
        <v>0</v>
      </c>
      <c r="AP99" s="18">
        <v>2</v>
      </c>
      <c r="AQ99" s="71">
        <f t="shared" si="37"/>
        <v>0.66666666666666663</v>
      </c>
      <c r="AR99" s="58">
        <v>2</v>
      </c>
      <c r="AS99" s="18">
        <v>2</v>
      </c>
      <c r="AT99" s="71">
        <f t="shared" si="38"/>
        <v>0.66666666666666663</v>
      </c>
      <c r="AU99" s="18">
        <v>2</v>
      </c>
      <c r="AV99" s="71">
        <f t="shared" si="39"/>
        <v>0.66666666666666663</v>
      </c>
      <c r="AW99" s="18">
        <v>2</v>
      </c>
      <c r="AX99" s="71">
        <f t="shared" si="40"/>
        <v>1</v>
      </c>
      <c r="AY99" s="18">
        <v>2</v>
      </c>
      <c r="AZ99" s="71">
        <f t="shared" si="41"/>
        <v>0.66666666666666663</v>
      </c>
      <c r="BA99" s="74">
        <v>1</v>
      </c>
      <c r="BB99" s="74">
        <v>1</v>
      </c>
      <c r="BC99" s="74">
        <v>0</v>
      </c>
      <c r="BD99" s="74">
        <v>0</v>
      </c>
      <c r="BE99" s="81">
        <f t="shared" si="42"/>
        <v>0.70583333333333331</v>
      </c>
      <c r="BF99" s="81" t="str">
        <f t="shared" si="43"/>
        <v>ALTO</v>
      </c>
    </row>
    <row r="100" spans="1:58" x14ac:dyDescent="0.15">
      <c r="A100" s="57">
        <v>3</v>
      </c>
      <c r="B100" s="57">
        <v>1</v>
      </c>
      <c r="C100" s="57">
        <v>4</v>
      </c>
      <c r="D100" s="57">
        <v>2</v>
      </c>
      <c r="E100" s="58">
        <v>1</v>
      </c>
      <c r="F100" s="17">
        <v>2</v>
      </c>
      <c r="G100" s="64">
        <f t="shared" si="22"/>
        <v>1</v>
      </c>
      <c r="H100" s="17">
        <v>2</v>
      </c>
      <c r="I100" s="64">
        <f t="shared" si="23"/>
        <v>1</v>
      </c>
      <c r="J100" s="17">
        <v>2</v>
      </c>
      <c r="K100" s="64">
        <f t="shared" si="24"/>
        <v>1</v>
      </c>
      <c r="L100" s="17">
        <v>3</v>
      </c>
      <c r="M100" s="64">
        <f t="shared" si="25"/>
        <v>1</v>
      </c>
      <c r="N100" s="17">
        <v>0</v>
      </c>
      <c r="O100" s="64">
        <f t="shared" si="26"/>
        <v>0</v>
      </c>
      <c r="P100" s="17">
        <v>2</v>
      </c>
      <c r="Q100" s="64">
        <f t="shared" si="27"/>
        <v>0.66666666666666663</v>
      </c>
      <c r="R100" s="25">
        <v>2</v>
      </c>
      <c r="S100" s="71">
        <f t="shared" si="28"/>
        <v>0.66666666666666663</v>
      </c>
      <c r="T100" s="17">
        <v>3</v>
      </c>
      <c r="U100" s="64">
        <f t="shared" si="29"/>
        <v>1</v>
      </c>
      <c r="V100" s="17">
        <v>3</v>
      </c>
      <c r="W100" s="71">
        <f t="shared" si="30"/>
        <v>0.75</v>
      </c>
      <c r="X100" s="17">
        <v>3</v>
      </c>
      <c r="Y100" s="71">
        <f t="shared" si="31"/>
        <v>1</v>
      </c>
      <c r="Z100" s="17">
        <v>3</v>
      </c>
      <c r="AA100" s="71">
        <f t="shared" si="32"/>
        <v>1</v>
      </c>
      <c r="AB100" s="17">
        <v>1</v>
      </c>
      <c r="AC100" s="71">
        <f t="shared" si="33"/>
        <v>0.5</v>
      </c>
      <c r="AD100" s="57">
        <v>1</v>
      </c>
      <c r="AE100" s="57">
        <v>1</v>
      </c>
      <c r="AF100" s="57">
        <v>0</v>
      </c>
      <c r="AG100" s="57">
        <v>0</v>
      </c>
      <c r="AH100" s="57">
        <v>0</v>
      </c>
      <c r="AI100" s="57">
        <v>0</v>
      </c>
      <c r="AJ100" s="20">
        <v>2</v>
      </c>
      <c r="AK100" s="71">
        <f t="shared" si="34"/>
        <v>1</v>
      </c>
      <c r="AL100" s="17">
        <v>2</v>
      </c>
      <c r="AM100" s="71">
        <f t="shared" si="35"/>
        <v>0.66666666666666663</v>
      </c>
      <c r="AN100" s="17">
        <v>1</v>
      </c>
      <c r="AO100" s="71">
        <f t="shared" si="36"/>
        <v>0.33333333333333331</v>
      </c>
      <c r="AP100" s="17">
        <v>3</v>
      </c>
      <c r="AQ100" s="71">
        <f t="shared" si="37"/>
        <v>1</v>
      </c>
      <c r="AR100" s="57">
        <v>3</v>
      </c>
      <c r="AS100" s="17">
        <v>3</v>
      </c>
      <c r="AT100" s="71">
        <f t="shared" si="38"/>
        <v>1</v>
      </c>
      <c r="AU100" s="17">
        <v>3</v>
      </c>
      <c r="AV100" s="71">
        <f t="shared" si="39"/>
        <v>1</v>
      </c>
      <c r="AW100" s="17">
        <v>2</v>
      </c>
      <c r="AX100" s="71">
        <f t="shared" si="40"/>
        <v>1</v>
      </c>
      <c r="AY100" s="17">
        <v>3</v>
      </c>
      <c r="AZ100" s="71">
        <f t="shared" si="41"/>
        <v>1</v>
      </c>
      <c r="BA100" s="73">
        <v>1</v>
      </c>
      <c r="BB100" s="73">
        <v>1</v>
      </c>
      <c r="BC100" s="73">
        <v>0</v>
      </c>
      <c r="BD100" s="73">
        <v>0</v>
      </c>
      <c r="BE100" s="81">
        <f t="shared" si="42"/>
        <v>0.87916666666666676</v>
      </c>
      <c r="BF100" s="81" t="str">
        <f t="shared" si="43"/>
        <v>ALTO</v>
      </c>
    </row>
    <row r="101" spans="1:58" x14ac:dyDescent="0.15">
      <c r="A101" s="58">
        <v>4</v>
      </c>
      <c r="B101" s="58">
        <v>1</v>
      </c>
      <c r="C101" s="58">
        <v>3</v>
      </c>
      <c r="D101" s="58">
        <v>2</v>
      </c>
      <c r="E101" s="58">
        <v>1</v>
      </c>
      <c r="F101" s="18">
        <v>1</v>
      </c>
      <c r="G101" s="64">
        <f t="shared" si="22"/>
        <v>0.5</v>
      </c>
      <c r="H101" s="18">
        <v>2</v>
      </c>
      <c r="I101" s="64">
        <f t="shared" si="23"/>
        <v>1</v>
      </c>
      <c r="J101" s="18">
        <v>1</v>
      </c>
      <c r="K101" s="64">
        <f t="shared" si="24"/>
        <v>0.5</v>
      </c>
      <c r="L101" s="18">
        <v>3</v>
      </c>
      <c r="M101" s="64">
        <f t="shared" si="25"/>
        <v>1</v>
      </c>
      <c r="N101" s="18">
        <v>0</v>
      </c>
      <c r="O101" s="64">
        <f t="shared" si="26"/>
        <v>0</v>
      </c>
      <c r="P101" s="18">
        <v>3</v>
      </c>
      <c r="Q101" s="64">
        <f t="shared" si="27"/>
        <v>1</v>
      </c>
      <c r="R101" s="24">
        <v>2</v>
      </c>
      <c r="S101" s="71">
        <f t="shared" si="28"/>
        <v>0.66666666666666663</v>
      </c>
      <c r="T101" s="18">
        <v>3</v>
      </c>
      <c r="U101" s="64">
        <f t="shared" si="29"/>
        <v>1</v>
      </c>
      <c r="V101" s="18">
        <v>3</v>
      </c>
      <c r="W101" s="71">
        <f t="shared" si="30"/>
        <v>0.75</v>
      </c>
      <c r="X101" s="18">
        <v>2</v>
      </c>
      <c r="Y101" s="71">
        <f t="shared" si="31"/>
        <v>0.66666666666666663</v>
      </c>
      <c r="Z101" s="18">
        <v>2</v>
      </c>
      <c r="AA101" s="71">
        <f t="shared" si="32"/>
        <v>0.66666666666666663</v>
      </c>
      <c r="AB101" s="18">
        <v>0</v>
      </c>
      <c r="AC101" s="71">
        <f t="shared" si="33"/>
        <v>0</v>
      </c>
      <c r="AD101" s="58">
        <v>1</v>
      </c>
      <c r="AE101" s="58">
        <v>0</v>
      </c>
      <c r="AF101" s="58">
        <v>1</v>
      </c>
      <c r="AG101" s="58">
        <v>0</v>
      </c>
      <c r="AH101" s="58">
        <v>0</v>
      </c>
      <c r="AI101" s="58">
        <v>0</v>
      </c>
      <c r="AJ101" s="19">
        <v>1</v>
      </c>
      <c r="AK101" s="71">
        <f t="shared" si="34"/>
        <v>0.5</v>
      </c>
      <c r="AL101" s="18">
        <v>1</v>
      </c>
      <c r="AM101" s="71">
        <f t="shared" si="35"/>
        <v>0.33333333333333331</v>
      </c>
      <c r="AN101" s="18">
        <v>2</v>
      </c>
      <c r="AO101" s="71">
        <f t="shared" si="36"/>
        <v>0.66666666666666663</v>
      </c>
      <c r="AP101" s="18">
        <v>2</v>
      </c>
      <c r="AQ101" s="71">
        <f t="shared" si="37"/>
        <v>0.66666666666666663</v>
      </c>
      <c r="AR101" s="58">
        <v>1</v>
      </c>
      <c r="AS101" s="18">
        <v>3</v>
      </c>
      <c r="AT101" s="71">
        <f t="shared" si="38"/>
        <v>1</v>
      </c>
      <c r="AU101" s="18">
        <v>3</v>
      </c>
      <c r="AV101" s="71">
        <f t="shared" si="39"/>
        <v>1</v>
      </c>
      <c r="AW101" s="18">
        <v>1</v>
      </c>
      <c r="AX101" s="71">
        <f t="shared" si="40"/>
        <v>0.5</v>
      </c>
      <c r="AY101" s="18">
        <v>3</v>
      </c>
      <c r="AZ101" s="71">
        <f t="shared" si="41"/>
        <v>1</v>
      </c>
      <c r="BA101" s="74">
        <v>1</v>
      </c>
      <c r="BB101" s="74">
        <v>0</v>
      </c>
      <c r="BC101" s="74">
        <v>1</v>
      </c>
      <c r="BD101" s="74">
        <v>0</v>
      </c>
      <c r="BE101" s="81">
        <f t="shared" si="42"/>
        <v>0.6958333333333333</v>
      </c>
      <c r="BF101" s="81" t="str">
        <f t="shared" si="43"/>
        <v>ALTO</v>
      </c>
    </row>
    <row r="102" spans="1:58" x14ac:dyDescent="0.15">
      <c r="A102" s="57">
        <v>2</v>
      </c>
      <c r="B102" s="57">
        <v>1</v>
      </c>
      <c r="C102" s="57">
        <v>4</v>
      </c>
      <c r="D102" s="57">
        <v>1</v>
      </c>
      <c r="E102" s="58">
        <v>1</v>
      </c>
      <c r="F102" s="17">
        <v>1</v>
      </c>
      <c r="G102" s="64">
        <f t="shared" si="22"/>
        <v>0.5</v>
      </c>
      <c r="H102" s="17">
        <v>2</v>
      </c>
      <c r="I102" s="64">
        <f t="shared" si="23"/>
        <v>1</v>
      </c>
      <c r="J102" s="17">
        <v>1</v>
      </c>
      <c r="K102" s="64">
        <f t="shared" si="24"/>
        <v>0.5</v>
      </c>
      <c r="L102" s="17">
        <v>2</v>
      </c>
      <c r="M102" s="64">
        <f t="shared" si="25"/>
        <v>0.66666666666666663</v>
      </c>
      <c r="N102" s="17">
        <v>2</v>
      </c>
      <c r="O102" s="64">
        <f t="shared" si="26"/>
        <v>0.4</v>
      </c>
      <c r="P102" s="17">
        <v>1</v>
      </c>
      <c r="Q102" s="64">
        <f t="shared" si="27"/>
        <v>0.33333333333333331</v>
      </c>
      <c r="R102" s="25">
        <v>3</v>
      </c>
      <c r="S102" s="71">
        <f t="shared" si="28"/>
        <v>1</v>
      </c>
      <c r="T102" s="17">
        <v>3</v>
      </c>
      <c r="U102" s="64">
        <f t="shared" si="29"/>
        <v>1</v>
      </c>
      <c r="V102" s="17">
        <v>4</v>
      </c>
      <c r="W102" s="71">
        <f t="shared" si="30"/>
        <v>1</v>
      </c>
      <c r="X102" s="17">
        <v>3</v>
      </c>
      <c r="Y102" s="71">
        <f t="shared" si="31"/>
        <v>1</v>
      </c>
      <c r="Z102" s="17">
        <v>1</v>
      </c>
      <c r="AA102" s="71">
        <f t="shared" si="32"/>
        <v>0.33333333333333331</v>
      </c>
      <c r="AB102" s="17">
        <v>1</v>
      </c>
      <c r="AC102" s="71">
        <f t="shared" si="33"/>
        <v>0.5</v>
      </c>
      <c r="AD102" s="57">
        <v>1</v>
      </c>
      <c r="AE102" s="57">
        <v>1</v>
      </c>
      <c r="AF102" s="57">
        <v>0</v>
      </c>
      <c r="AG102" s="57">
        <v>0</v>
      </c>
      <c r="AH102" s="57">
        <v>0</v>
      </c>
      <c r="AI102" s="57">
        <v>0</v>
      </c>
      <c r="AJ102" s="20">
        <v>0</v>
      </c>
      <c r="AK102" s="71">
        <f t="shared" si="34"/>
        <v>0</v>
      </c>
      <c r="AL102" s="17">
        <v>1</v>
      </c>
      <c r="AM102" s="71">
        <f t="shared" si="35"/>
        <v>0.33333333333333331</v>
      </c>
      <c r="AN102" s="17">
        <v>2</v>
      </c>
      <c r="AO102" s="71">
        <f t="shared" si="36"/>
        <v>0.66666666666666663</v>
      </c>
      <c r="AP102" s="17">
        <v>2</v>
      </c>
      <c r="AQ102" s="71">
        <f t="shared" si="37"/>
        <v>0.66666666666666663</v>
      </c>
      <c r="AR102" s="57">
        <v>0</v>
      </c>
      <c r="AS102" s="17">
        <v>3</v>
      </c>
      <c r="AT102" s="71">
        <f t="shared" si="38"/>
        <v>1</v>
      </c>
      <c r="AU102" s="17">
        <v>3</v>
      </c>
      <c r="AV102" s="71">
        <f t="shared" si="39"/>
        <v>1</v>
      </c>
      <c r="AW102" s="17">
        <v>1</v>
      </c>
      <c r="AX102" s="71">
        <f t="shared" si="40"/>
        <v>0.5</v>
      </c>
      <c r="AY102" s="17">
        <v>3</v>
      </c>
      <c r="AZ102" s="71">
        <f t="shared" si="41"/>
        <v>1</v>
      </c>
      <c r="BA102" s="73">
        <v>1</v>
      </c>
      <c r="BB102" s="73">
        <v>1</v>
      </c>
      <c r="BC102" s="73">
        <v>0</v>
      </c>
      <c r="BD102" s="73">
        <v>0</v>
      </c>
      <c r="BE102" s="81">
        <f t="shared" si="42"/>
        <v>0.69500000000000006</v>
      </c>
      <c r="BF102" s="81" t="str">
        <f t="shared" si="43"/>
        <v>ALTO</v>
      </c>
    </row>
    <row r="103" spans="1:58" x14ac:dyDescent="0.15">
      <c r="A103" s="58">
        <v>4</v>
      </c>
      <c r="B103" s="58">
        <v>2</v>
      </c>
      <c r="C103" s="58">
        <v>1</v>
      </c>
      <c r="D103" s="58">
        <v>2</v>
      </c>
      <c r="E103" s="58">
        <v>1</v>
      </c>
      <c r="F103" s="18">
        <v>1</v>
      </c>
      <c r="G103" s="64">
        <f t="shared" si="22"/>
        <v>0.5</v>
      </c>
      <c r="H103" s="18">
        <v>2</v>
      </c>
      <c r="I103" s="64">
        <f t="shared" si="23"/>
        <v>1</v>
      </c>
      <c r="J103" s="18">
        <v>1</v>
      </c>
      <c r="K103" s="64">
        <f t="shared" si="24"/>
        <v>0.5</v>
      </c>
      <c r="L103" s="18">
        <v>3</v>
      </c>
      <c r="M103" s="64">
        <f t="shared" si="25"/>
        <v>1</v>
      </c>
      <c r="N103" s="18">
        <v>3</v>
      </c>
      <c r="O103" s="64">
        <f t="shared" si="26"/>
        <v>0.6</v>
      </c>
      <c r="P103" s="18">
        <v>2</v>
      </c>
      <c r="Q103" s="64">
        <f t="shared" si="27"/>
        <v>0.66666666666666663</v>
      </c>
      <c r="R103" s="24">
        <v>3</v>
      </c>
      <c r="S103" s="71">
        <f t="shared" si="28"/>
        <v>1</v>
      </c>
      <c r="T103" s="18">
        <v>3</v>
      </c>
      <c r="U103" s="64">
        <f t="shared" si="29"/>
        <v>1</v>
      </c>
      <c r="V103" s="18">
        <v>3</v>
      </c>
      <c r="W103" s="71">
        <f t="shared" si="30"/>
        <v>0.75</v>
      </c>
      <c r="X103" s="18">
        <v>3</v>
      </c>
      <c r="Y103" s="71">
        <f t="shared" si="31"/>
        <v>1</v>
      </c>
      <c r="Z103" s="18">
        <v>2</v>
      </c>
      <c r="AA103" s="71">
        <f t="shared" si="32"/>
        <v>0.66666666666666663</v>
      </c>
      <c r="AB103" s="18">
        <v>0</v>
      </c>
      <c r="AC103" s="71">
        <f t="shared" si="33"/>
        <v>0</v>
      </c>
      <c r="AD103" s="58">
        <v>1</v>
      </c>
      <c r="AE103" s="58">
        <v>0</v>
      </c>
      <c r="AF103" s="58">
        <v>1</v>
      </c>
      <c r="AG103" s="58">
        <v>0</v>
      </c>
      <c r="AH103" s="58">
        <v>0</v>
      </c>
      <c r="AI103" s="58">
        <v>0</v>
      </c>
      <c r="AJ103" s="19">
        <v>2</v>
      </c>
      <c r="AK103" s="71">
        <f t="shared" si="34"/>
        <v>1</v>
      </c>
      <c r="AL103" s="18">
        <v>2</v>
      </c>
      <c r="AM103" s="71">
        <f t="shared" si="35"/>
        <v>0.66666666666666663</v>
      </c>
      <c r="AN103" s="18">
        <v>1</v>
      </c>
      <c r="AO103" s="71">
        <f t="shared" si="36"/>
        <v>0.33333333333333331</v>
      </c>
      <c r="AP103" s="18">
        <v>3</v>
      </c>
      <c r="AQ103" s="71">
        <f t="shared" si="37"/>
        <v>1</v>
      </c>
      <c r="AR103" s="58">
        <v>0</v>
      </c>
      <c r="AS103" s="18">
        <v>3</v>
      </c>
      <c r="AT103" s="71">
        <f t="shared" si="38"/>
        <v>1</v>
      </c>
      <c r="AU103" s="18">
        <v>3</v>
      </c>
      <c r="AV103" s="71">
        <f t="shared" si="39"/>
        <v>1</v>
      </c>
      <c r="AW103" s="18">
        <v>1</v>
      </c>
      <c r="AX103" s="71">
        <f t="shared" si="40"/>
        <v>0.5</v>
      </c>
      <c r="AY103" s="18">
        <v>3</v>
      </c>
      <c r="AZ103" s="71">
        <f t="shared" si="41"/>
        <v>1</v>
      </c>
      <c r="BA103" s="74">
        <v>1</v>
      </c>
      <c r="BB103" s="74">
        <v>1</v>
      </c>
      <c r="BC103" s="74">
        <v>0</v>
      </c>
      <c r="BD103" s="74">
        <v>0</v>
      </c>
      <c r="BE103" s="81">
        <f t="shared" si="42"/>
        <v>0.78416666666666657</v>
      </c>
      <c r="BF103" s="81" t="str">
        <f t="shared" si="43"/>
        <v>ALTO</v>
      </c>
    </row>
    <row r="104" spans="1:58" x14ac:dyDescent="0.15">
      <c r="A104" s="57">
        <v>3</v>
      </c>
      <c r="B104" s="57">
        <v>1</v>
      </c>
      <c r="C104" s="57">
        <v>1</v>
      </c>
      <c r="D104" s="57">
        <v>2</v>
      </c>
      <c r="E104" s="58">
        <v>1</v>
      </c>
      <c r="F104" s="17">
        <v>2</v>
      </c>
      <c r="G104" s="64">
        <f t="shared" si="22"/>
        <v>1</v>
      </c>
      <c r="H104" s="17">
        <v>1</v>
      </c>
      <c r="I104" s="64">
        <f t="shared" si="23"/>
        <v>0.5</v>
      </c>
      <c r="J104" s="17">
        <v>1</v>
      </c>
      <c r="K104" s="64">
        <f t="shared" si="24"/>
        <v>0.5</v>
      </c>
      <c r="L104" s="17">
        <v>2</v>
      </c>
      <c r="M104" s="64">
        <f t="shared" si="25"/>
        <v>0.66666666666666663</v>
      </c>
      <c r="N104" s="17">
        <v>1</v>
      </c>
      <c r="O104" s="64">
        <f t="shared" si="26"/>
        <v>0.2</v>
      </c>
      <c r="P104" s="17">
        <v>2</v>
      </c>
      <c r="Q104" s="64">
        <f t="shared" si="27"/>
        <v>0.66666666666666663</v>
      </c>
      <c r="R104" s="25">
        <v>2</v>
      </c>
      <c r="S104" s="71">
        <f t="shared" si="28"/>
        <v>0.66666666666666663</v>
      </c>
      <c r="T104" s="17">
        <v>2</v>
      </c>
      <c r="U104" s="64">
        <f t="shared" si="29"/>
        <v>0.66666666666666663</v>
      </c>
      <c r="V104" s="17">
        <v>0</v>
      </c>
      <c r="W104" s="71">
        <f t="shared" si="30"/>
        <v>0</v>
      </c>
      <c r="X104" s="17">
        <v>2</v>
      </c>
      <c r="Y104" s="71">
        <f t="shared" si="31"/>
        <v>0.66666666666666663</v>
      </c>
      <c r="Z104" s="17">
        <v>2</v>
      </c>
      <c r="AA104" s="71">
        <f t="shared" si="32"/>
        <v>0.66666666666666663</v>
      </c>
      <c r="AB104" s="17">
        <v>2</v>
      </c>
      <c r="AC104" s="71">
        <f t="shared" si="33"/>
        <v>1</v>
      </c>
      <c r="AD104" s="57">
        <v>0</v>
      </c>
      <c r="AE104" s="57">
        <v>1</v>
      </c>
      <c r="AF104" s="57">
        <v>0</v>
      </c>
      <c r="AG104" s="57">
        <v>1</v>
      </c>
      <c r="AH104" s="57">
        <v>0</v>
      </c>
      <c r="AI104" s="57">
        <v>0</v>
      </c>
      <c r="AJ104" s="20">
        <v>1</v>
      </c>
      <c r="AK104" s="71">
        <f t="shared" si="34"/>
        <v>0.5</v>
      </c>
      <c r="AL104" s="17">
        <v>1</v>
      </c>
      <c r="AM104" s="71">
        <f t="shared" si="35"/>
        <v>0.33333333333333331</v>
      </c>
      <c r="AN104" s="17">
        <v>1</v>
      </c>
      <c r="AO104" s="71">
        <f t="shared" si="36"/>
        <v>0.33333333333333331</v>
      </c>
      <c r="AP104" s="17">
        <v>2</v>
      </c>
      <c r="AQ104" s="71">
        <f t="shared" si="37"/>
        <v>0.66666666666666663</v>
      </c>
      <c r="AR104" s="57">
        <v>1</v>
      </c>
      <c r="AS104" s="17">
        <v>3</v>
      </c>
      <c r="AT104" s="71">
        <f t="shared" si="38"/>
        <v>1</v>
      </c>
      <c r="AU104" s="17">
        <v>3</v>
      </c>
      <c r="AV104" s="71">
        <f t="shared" si="39"/>
        <v>1</v>
      </c>
      <c r="AW104" s="17">
        <v>2</v>
      </c>
      <c r="AX104" s="71">
        <f t="shared" si="40"/>
        <v>1</v>
      </c>
      <c r="AY104" s="17">
        <v>2</v>
      </c>
      <c r="AZ104" s="71">
        <f t="shared" si="41"/>
        <v>0.66666666666666663</v>
      </c>
      <c r="BA104" s="73">
        <v>1</v>
      </c>
      <c r="BB104" s="73">
        <v>0</v>
      </c>
      <c r="BC104" s="73">
        <v>1</v>
      </c>
      <c r="BD104" s="73">
        <v>0</v>
      </c>
      <c r="BE104" s="81">
        <f t="shared" si="42"/>
        <v>0.68500000000000005</v>
      </c>
      <c r="BF104" s="81" t="str">
        <f t="shared" si="43"/>
        <v>ALTO</v>
      </c>
    </row>
    <row r="105" spans="1:58" x14ac:dyDescent="0.15">
      <c r="A105" s="58">
        <v>2</v>
      </c>
      <c r="B105" s="58">
        <v>1</v>
      </c>
      <c r="C105" s="58">
        <v>3</v>
      </c>
      <c r="D105" s="58">
        <v>1</v>
      </c>
      <c r="E105" s="58">
        <v>1</v>
      </c>
      <c r="F105" s="18">
        <v>2</v>
      </c>
      <c r="G105" s="64">
        <f t="shared" si="22"/>
        <v>1</v>
      </c>
      <c r="H105" s="18">
        <v>2</v>
      </c>
      <c r="I105" s="64">
        <f t="shared" si="23"/>
        <v>1</v>
      </c>
      <c r="J105" s="18">
        <v>2</v>
      </c>
      <c r="K105" s="64">
        <f t="shared" si="24"/>
        <v>1</v>
      </c>
      <c r="L105" s="18">
        <v>3</v>
      </c>
      <c r="M105" s="64">
        <f t="shared" si="25"/>
        <v>1</v>
      </c>
      <c r="N105" s="18">
        <v>4</v>
      </c>
      <c r="O105" s="64">
        <f t="shared" si="26"/>
        <v>0.8</v>
      </c>
      <c r="P105" s="18">
        <v>2</v>
      </c>
      <c r="Q105" s="64">
        <f t="shared" si="27"/>
        <v>0.66666666666666663</v>
      </c>
      <c r="R105" s="24">
        <v>3</v>
      </c>
      <c r="S105" s="71">
        <f t="shared" si="28"/>
        <v>1</v>
      </c>
      <c r="T105" s="18">
        <v>3</v>
      </c>
      <c r="U105" s="64">
        <f t="shared" si="29"/>
        <v>1</v>
      </c>
      <c r="V105" s="18">
        <v>4</v>
      </c>
      <c r="W105" s="71">
        <f t="shared" si="30"/>
        <v>1</v>
      </c>
      <c r="X105" s="18">
        <v>3</v>
      </c>
      <c r="Y105" s="71">
        <f t="shared" si="31"/>
        <v>1</v>
      </c>
      <c r="Z105" s="18">
        <v>3</v>
      </c>
      <c r="AA105" s="71">
        <f t="shared" si="32"/>
        <v>1</v>
      </c>
      <c r="AB105" s="18">
        <v>0</v>
      </c>
      <c r="AC105" s="71">
        <f t="shared" si="33"/>
        <v>0</v>
      </c>
      <c r="AD105" s="58">
        <v>1</v>
      </c>
      <c r="AE105" s="58">
        <v>1</v>
      </c>
      <c r="AF105" s="58">
        <v>0</v>
      </c>
      <c r="AG105" s="58">
        <v>0</v>
      </c>
      <c r="AH105" s="58">
        <v>0</v>
      </c>
      <c r="AI105" s="58">
        <v>0</v>
      </c>
      <c r="AJ105" s="19">
        <v>2</v>
      </c>
      <c r="AK105" s="71">
        <f t="shared" si="34"/>
        <v>1</v>
      </c>
      <c r="AL105" s="18">
        <v>3</v>
      </c>
      <c r="AM105" s="71">
        <f t="shared" si="35"/>
        <v>1</v>
      </c>
      <c r="AN105" s="18">
        <v>2</v>
      </c>
      <c r="AO105" s="71">
        <f t="shared" si="36"/>
        <v>0.66666666666666663</v>
      </c>
      <c r="AP105" s="18">
        <v>3</v>
      </c>
      <c r="AQ105" s="71">
        <f t="shared" si="37"/>
        <v>1</v>
      </c>
      <c r="AR105" s="58">
        <v>0</v>
      </c>
      <c r="AS105" s="18">
        <v>3</v>
      </c>
      <c r="AT105" s="71">
        <f t="shared" si="38"/>
        <v>1</v>
      </c>
      <c r="AU105" s="18">
        <v>3</v>
      </c>
      <c r="AV105" s="71">
        <f t="shared" si="39"/>
        <v>1</v>
      </c>
      <c r="AW105" s="18">
        <v>2</v>
      </c>
      <c r="AX105" s="71">
        <f t="shared" si="40"/>
        <v>1</v>
      </c>
      <c r="AY105" s="18">
        <v>3</v>
      </c>
      <c r="AZ105" s="71">
        <f t="shared" si="41"/>
        <v>1</v>
      </c>
      <c r="BA105" s="74">
        <v>0</v>
      </c>
      <c r="BB105" s="74">
        <v>1</v>
      </c>
      <c r="BC105" s="74">
        <v>1</v>
      </c>
      <c r="BD105" s="74">
        <v>0</v>
      </c>
      <c r="BE105" s="81">
        <f t="shared" si="42"/>
        <v>0.95666666666666667</v>
      </c>
      <c r="BF105" s="81" t="str">
        <f t="shared" si="43"/>
        <v>ALTO</v>
      </c>
    </row>
    <row r="106" spans="1:58" x14ac:dyDescent="0.15">
      <c r="A106" s="57">
        <v>3</v>
      </c>
      <c r="B106" s="57">
        <v>1</v>
      </c>
      <c r="C106" s="57">
        <v>3</v>
      </c>
      <c r="D106" s="57">
        <v>2</v>
      </c>
      <c r="E106" s="58">
        <v>1</v>
      </c>
      <c r="F106" s="17">
        <v>1</v>
      </c>
      <c r="G106" s="64">
        <f t="shared" si="22"/>
        <v>0.5</v>
      </c>
      <c r="H106" s="17">
        <v>1</v>
      </c>
      <c r="I106" s="64">
        <f t="shared" si="23"/>
        <v>0.5</v>
      </c>
      <c r="J106" s="17">
        <v>1</v>
      </c>
      <c r="K106" s="64">
        <f t="shared" si="24"/>
        <v>0.5</v>
      </c>
      <c r="L106" s="17">
        <v>1</v>
      </c>
      <c r="M106" s="64">
        <f t="shared" si="25"/>
        <v>0.33333333333333331</v>
      </c>
      <c r="N106" s="17">
        <v>2</v>
      </c>
      <c r="O106" s="64">
        <f t="shared" si="26"/>
        <v>0.4</v>
      </c>
      <c r="P106" s="17">
        <v>0</v>
      </c>
      <c r="Q106" s="64">
        <f t="shared" si="27"/>
        <v>0</v>
      </c>
      <c r="R106" s="25">
        <v>0</v>
      </c>
      <c r="S106" s="71">
        <f t="shared" si="28"/>
        <v>0</v>
      </c>
      <c r="T106" s="17">
        <v>2</v>
      </c>
      <c r="U106" s="64">
        <f t="shared" si="29"/>
        <v>0.66666666666666663</v>
      </c>
      <c r="V106" s="17">
        <v>4</v>
      </c>
      <c r="W106" s="71">
        <f t="shared" si="30"/>
        <v>1</v>
      </c>
      <c r="X106" s="17">
        <v>2</v>
      </c>
      <c r="Y106" s="71">
        <f t="shared" si="31"/>
        <v>0.66666666666666663</v>
      </c>
      <c r="Z106" s="17">
        <v>3</v>
      </c>
      <c r="AA106" s="71">
        <f t="shared" si="32"/>
        <v>1</v>
      </c>
      <c r="AB106" s="17">
        <v>2</v>
      </c>
      <c r="AC106" s="71">
        <f t="shared" si="33"/>
        <v>1</v>
      </c>
      <c r="AD106" s="57">
        <v>1</v>
      </c>
      <c r="AE106" s="57">
        <v>0</v>
      </c>
      <c r="AF106" s="57">
        <v>1</v>
      </c>
      <c r="AG106" s="57">
        <v>0</v>
      </c>
      <c r="AH106" s="57">
        <v>0</v>
      </c>
      <c r="AI106" s="57">
        <v>0</v>
      </c>
      <c r="AJ106" s="20">
        <v>1</v>
      </c>
      <c r="AK106" s="71">
        <f t="shared" si="34"/>
        <v>0.5</v>
      </c>
      <c r="AL106" s="17">
        <v>2</v>
      </c>
      <c r="AM106" s="71">
        <f t="shared" si="35"/>
        <v>0.66666666666666663</v>
      </c>
      <c r="AN106" s="17">
        <v>0</v>
      </c>
      <c r="AO106" s="71">
        <f t="shared" si="36"/>
        <v>0</v>
      </c>
      <c r="AP106" s="17">
        <v>2</v>
      </c>
      <c r="AQ106" s="71">
        <f t="shared" si="37"/>
        <v>0.66666666666666663</v>
      </c>
      <c r="AR106" s="57">
        <v>3</v>
      </c>
      <c r="AS106" s="17">
        <v>3</v>
      </c>
      <c r="AT106" s="71">
        <f t="shared" si="38"/>
        <v>1</v>
      </c>
      <c r="AU106" s="17">
        <v>2</v>
      </c>
      <c r="AV106" s="71">
        <f t="shared" si="39"/>
        <v>0.66666666666666663</v>
      </c>
      <c r="AW106" s="17">
        <v>1</v>
      </c>
      <c r="AX106" s="71">
        <f t="shared" si="40"/>
        <v>0.5</v>
      </c>
      <c r="AY106" s="17">
        <v>0</v>
      </c>
      <c r="AZ106" s="71">
        <f t="shared" si="41"/>
        <v>0</v>
      </c>
      <c r="BA106" s="73">
        <v>0</v>
      </c>
      <c r="BB106" s="73">
        <v>1</v>
      </c>
      <c r="BC106" s="73">
        <v>1</v>
      </c>
      <c r="BD106" s="73">
        <v>0</v>
      </c>
      <c r="BE106" s="81">
        <f t="shared" si="42"/>
        <v>0.55333333333333334</v>
      </c>
      <c r="BF106" s="81" t="str">
        <f t="shared" si="43"/>
        <v>MEDIO</v>
      </c>
    </row>
    <row r="107" spans="1:58" x14ac:dyDescent="0.15">
      <c r="A107" s="58">
        <v>3</v>
      </c>
      <c r="B107" s="58">
        <v>1</v>
      </c>
      <c r="C107" s="58">
        <v>3</v>
      </c>
      <c r="D107" s="58">
        <v>2</v>
      </c>
      <c r="E107" s="58">
        <v>1</v>
      </c>
      <c r="F107" s="18">
        <v>2</v>
      </c>
      <c r="G107" s="64">
        <f t="shared" si="22"/>
        <v>1</v>
      </c>
      <c r="H107" s="18">
        <v>1</v>
      </c>
      <c r="I107" s="64">
        <f t="shared" si="23"/>
        <v>0.5</v>
      </c>
      <c r="J107" s="18">
        <v>2</v>
      </c>
      <c r="K107" s="64">
        <f t="shared" si="24"/>
        <v>1</v>
      </c>
      <c r="L107" s="18">
        <v>3</v>
      </c>
      <c r="M107" s="64">
        <f t="shared" si="25"/>
        <v>1</v>
      </c>
      <c r="N107" s="18">
        <v>2</v>
      </c>
      <c r="O107" s="64">
        <f t="shared" si="26"/>
        <v>0.4</v>
      </c>
      <c r="P107" s="18">
        <v>3</v>
      </c>
      <c r="Q107" s="64">
        <f t="shared" si="27"/>
        <v>1</v>
      </c>
      <c r="R107" s="24">
        <v>3</v>
      </c>
      <c r="S107" s="71">
        <f t="shared" si="28"/>
        <v>1</v>
      </c>
      <c r="T107" s="18">
        <v>3</v>
      </c>
      <c r="U107" s="64">
        <f t="shared" si="29"/>
        <v>1</v>
      </c>
      <c r="V107" s="18">
        <v>4</v>
      </c>
      <c r="W107" s="71">
        <f t="shared" si="30"/>
        <v>1</v>
      </c>
      <c r="X107" s="18">
        <v>3</v>
      </c>
      <c r="Y107" s="71">
        <f t="shared" si="31"/>
        <v>1</v>
      </c>
      <c r="Z107" s="18">
        <v>3</v>
      </c>
      <c r="AA107" s="71">
        <f t="shared" si="32"/>
        <v>1</v>
      </c>
      <c r="AB107" s="18">
        <v>0</v>
      </c>
      <c r="AC107" s="71">
        <f t="shared" si="33"/>
        <v>0</v>
      </c>
      <c r="AD107" s="58">
        <v>0</v>
      </c>
      <c r="AE107" s="58">
        <v>1</v>
      </c>
      <c r="AF107" s="58">
        <v>1</v>
      </c>
      <c r="AG107" s="58">
        <v>0</v>
      </c>
      <c r="AH107" s="58">
        <v>0</v>
      </c>
      <c r="AI107" s="58">
        <v>0</v>
      </c>
      <c r="AJ107" s="19">
        <v>2</v>
      </c>
      <c r="AK107" s="71">
        <f t="shared" si="34"/>
        <v>1</v>
      </c>
      <c r="AL107" s="18">
        <v>2</v>
      </c>
      <c r="AM107" s="71">
        <f t="shared" si="35"/>
        <v>0.66666666666666663</v>
      </c>
      <c r="AN107" s="18">
        <v>2</v>
      </c>
      <c r="AO107" s="71">
        <f t="shared" si="36"/>
        <v>0.66666666666666663</v>
      </c>
      <c r="AP107" s="18">
        <v>2</v>
      </c>
      <c r="AQ107" s="71">
        <f t="shared" si="37"/>
        <v>0.66666666666666663</v>
      </c>
      <c r="AR107" s="58">
        <v>0</v>
      </c>
      <c r="AS107" s="18">
        <v>3</v>
      </c>
      <c r="AT107" s="71">
        <f t="shared" si="38"/>
        <v>1</v>
      </c>
      <c r="AU107" s="18">
        <v>3</v>
      </c>
      <c r="AV107" s="71">
        <f t="shared" si="39"/>
        <v>1</v>
      </c>
      <c r="AW107" s="18">
        <v>1</v>
      </c>
      <c r="AX107" s="71">
        <f t="shared" si="40"/>
        <v>0.5</v>
      </c>
      <c r="AY107" s="18">
        <v>0</v>
      </c>
      <c r="AZ107" s="71">
        <f t="shared" si="41"/>
        <v>0</v>
      </c>
      <c r="BA107" s="74">
        <v>1</v>
      </c>
      <c r="BB107" s="74">
        <v>1</v>
      </c>
      <c r="BC107" s="74">
        <v>0</v>
      </c>
      <c r="BD107" s="74">
        <v>0</v>
      </c>
      <c r="BE107" s="81">
        <f t="shared" si="42"/>
        <v>0.82</v>
      </c>
      <c r="BF107" s="81" t="str">
        <f t="shared" si="43"/>
        <v>ALTO</v>
      </c>
    </row>
    <row r="108" spans="1:58" x14ac:dyDescent="0.15">
      <c r="A108" s="57">
        <v>4</v>
      </c>
      <c r="B108" s="57">
        <v>1</v>
      </c>
      <c r="C108" s="57">
        <v>1</v>
      </c>
      <c r="D108" s="57">
        <v>2</v>
      </c>
      <c r="E108" s="58">
        <v>1</v>
      </c>
      <c r="F108" s="17">
        <v>1</v>
      </c>
      <c r="G108" s="64">
        <f t="shared" si="22"/>
        <v>0.5</v>
      </c>
      <c r="H108" s="17">
        <v>0</v>
      </c>
      <c r="I108" s="64">
        <f t="shared" si="23"/>
        <v>0</v>
      </c>
      <c r="J108" s="17">
        <v>1</v>
      </c>
      <c r="K108" s="64">
        <f t="shared" si="24"/>
        <v>0.5</v>
      </c>
      <c r="L108" s="17">
        <v>2</v>
      </c>
      <c r="M108" s="64">
        <f t="shared" si="25"/>
        <v>0.66666666666666663</v>
      </c>
      <c r="N108" s="17">
        <v>3</v>
      </c>
      <c r="O108" s="64">
        <f t="shared" si="26"/>
        <v>0.6</v>
      </c>
      <c r="P108" s="17">
        <v>3</v>
      </c>
      <c r="Q108" s="64">
        <f t="shared" si="27"/>
        <v>1</v>
      </c>
      <c r="R108" s="25">
        <v>0</v>
      </c>
      <c r="S108" s="71">
        <f t="shared" si="28"/>
        <v>0</v>
      </c>
      <c r="T108" s="17">
        <v>2</v>
      </c>
      <c r="U108" s="64">
        <f t="shared" si="29"/>
        <v>0.66666666666666663</v>
      </c>
      <c r="V108" s="17">
        <v>3</v>
      </c>
      <c r="W108" s="71">
        <f t="shared" si="30"/>
        <v>0.75</v>
      </c>
      <c r="X108" s="17">
        <v>2</v>
      </c>
      <c r="Y108" s="71">
        <f t="shared" si="31"/>
        <v>0.66666666666666663</v>
      </c>
      <c r="Z108" s="17">
        <v>2</v>
      </c>
      <c r="AA108" s="71">
        <f t="shared" si="32"/>
        <v>0.66666666666666663</v>
      </c>
      <c r="AB108" s="17">
        <v>2</v>
      </c>
      <c r="AC108" s="71">
        <f t="shared" si="33"/>
        <v>1</v>
      </c>
      <c r="AD108" s="57">
        <v>1</v>
      </c>
      <c r="AE108" s="57">
        <v>0</v>
      </c>
      <c r="AF108" s="57">
        <v>1</v>
      </c>
      <c r="AG108" s="57">
        <v>0</v>
      </c>
      <c r="AH108" s="57">
        <v>0</v>
      </c>
      <c r="AI108" s="57">
        <v>0</v>
      </c>
      <c r="AJ108" s="20">
        <v>1</v>
      </c>
      <c r="AK108" s="71">
        <f t="shared" si="34"/>
        <v>0.5</v>
      </c>
      <c r="AL108" s="17">
        <v>3</v>
      </c>
      <c r="AM108" s="71">
        <f t="shared" si="35"/>
        <v>1</v>
      </c>
      <c r="AN108" s="17">
        <v>1</v>
      </c>
      <c r="AO108" s="71">
        <f t="shared" si="36"/>
        <v>0.33333333333333331</v>
      </c>
      <c r="AP108" s="17">
        <v>2</v>
      </c>
      <c r="AQ108" s="71">
        <f t="shared" si="37"/>
        <v>0.66666666666666663</v>
      </c>
      <c r="AR108" s="57">
        <v>3</v>
      </c>
      <c r="AS108" s="17">
        <v>0</v>
      </c>
      <c r="AT108" s="71">
        <f t="shared" si="38"/>
        <v>0</v>
      </c>
      <c r="AU108" s="17">
        <v>1</v>
      </c>
      <c r="AV108" s="71">
        <f t="shared" si="39"/>
        <v>0.33333333333333331</v>
      </c>
      <c r="AW108" s="17">
        <v>1</v>
      </c>
      <c r="AX108" s="71">
        <f t="shared" si="40"/>
        <v>0.5</v>
      </c>
      <c r="AY108" s="17">
        <v>3</v>
      </c>
      <c r="AZ108" s="71">
        <f t="shared" si="41"/>
        <v>1</v>
      </c>
      <c r="BA108" s="73">
        <v>1</v>
      </c>
      <c r="BB108" s="73">
        <v>1</v>
      </c>
      <c r="BC108" s="73">
        <v>0</v>
      </c>
      <c r="BD108" s="73">
        <v>0</v>
      </c>
      <c r="BE108" s="81">
        <f t="shared" si="42"/>
        <v>0.59250000000000003</v>
      </c>
      <c r="BF108" s="81" t="str">
        <f t="shared" si="43"/>
        <v>MEDIO</v>
      </c>
    </row>
    <row r="109" spans="1:58" x14ac:dyDescent="0.15">
      <c r="A109" s="58">
        <v>4</v>
      </c>
      <c r="B109" s="58">
        <v>2</v>
      </c>
      <c r="C109" s="58">
        <v>0</v>
      </c>
      <c r="D109" s="58">
        <v>1</v>
      </c>
      <c r="E109" s="58">
        <v>1</v>
      </c>
      <c r="F109" s="18">
        <v>1</v>
      </c>
      <c r="G109" s="64">
        <f t="shared" si="22"/>
        <v>0.5</v>
      </c>
      <c r="H109" s="18">
        <v>0</v>
      </c>
      <c r="I109" s="64">
        <f t="shared" si="23"/>
        <v>0</v>
      </c>
      <c r="J109" s="18">
        <v>0</v>
      </c>
      <c r="K109" s="64">
        <f t="shared" si="24"/>
        <v>0</v>
      </c>
      <c r="L109" s="18">
        <v>2</v>
      </c>
      <c r="M109" s="64">
        <f t="shared" si="25"/>
        <v>0.66666666666666663</v>
      </c>
      <c r="N109" s="18">
        <v>5</v>
      </c>
      <c r="O109" s="64">
        <f t="shared" si="26"/>
        <v>1</v>
      </c>
      <c r="P109" s="18">
        <v>0</v>
      </c>
      <c r="Q109" s="64">
        <f t="shared" si="27"/>
        <v>0</v>
      </c>
      <c r="R109" s="24">
        <v>0</v>
      </c>
      <c r="S109" s="71">
        <f t="shared" si="28"/>
        <v>0</v>
      </c>
      <c r="T109" s="18">
        <v>1</v>
      </c>
      <c r="U109" s="64">
        <f t="shared" si="29"/>
        <v>0.33333333333333331</v>
      </c>
      <c r="V109" s="18">
        <v>3</v>
      </c>
      <c r="W109" s="71">
        <f t="shared" si="30"/>
        <v>0.75</v>
      </c>
      <c r="X109" s="18">
        <v>1</v>
      </c>
      <c r="Y109" s="71">
        <f t="shared" si="31"/>
        <v>0.33333333333333331</v>
      </c>
      <c r="Z109" s="18">
        <v>0</v>
      </c>
      <c r="AA109" s="71">
        <f t="shared" si="32"/>
        <v>0</v>
      </c>
      <c r="AB109" s="18">
        <v>0</v>
      </c>
      <c r="AC109" s="71">
        <f t="shared" si="33"/>
        <v>0</v>
      </c>
      <c r="AD109" s="58">
        <v>1</v>
      </c>
      <c r="AE109" s="58">
        <v>0</v>
      </c>
      <c r="AF109" s="58">
        <v>1</v>
      </c>
      <c r="AG109" s="58">
        <v>0</v>
      </c>
      <c r="AH109" s="58">
        <v>0</v>
      </c>
      <c r="AI109" s="58">
        <v>0</v>
      </c>
      <c r="AJ109" s="19">
        <v>1</v>
      </c>
      <c r="AK109" s="71">
        <f t="shared" si="34"/>
        <v>0.5</v>
      </c>
      <c r="AL109" s="18">
        <v>0</v>
      </c>
      <c r="AM109" s="71">
        <f t="shared" si="35"/>
        <v>0</v>
      </c>
      <c r="AN109" s="18">
        <v>0</v>
      </c>
      <c r="AO109" s="71">
        <f t="shared" si="36"/>
        <v>0</v>
      </c>
      <c r="AP109" s="18">
        <v>0</v>
      </c>
      <c r="AQ109" s="71">
        <f t="shared" si="37"/>
        <v>0</v>
      </c>
      <c r="AR109" s="58">
        <v>3</v>
      </c>
      <c r="AS109" s="18">
        <v>0</v>
      </c>
      <c r="AT109" s="71">
        <f t="shared" si="38"/>
        <v>0</v>
      </c>
      <c r="AU109" s="18">
        <v>0</v>
      </c>
      <c r="AV109" s="71">
        <f t="shared" si="39"/>
        <v>0</v>
      </c>
      <c r="AW109" s="18">
        <v>2</v>
      </c>
      <c r="AX109" s="71">
        <f t="shared" si="40"/>
        <v>1</v>
      </c>
      <c r="AY109" s="18">
        <v>0</v>
      </c>
      <c r="AZ109" s="71">
        <f t="shared" si="41"/>
        <v>0</v>
      </c>
      <c r="BA109" s="74">
        <v>0</v>
      </c>
      <c r="BB109" s="74">
        <v>0</v>
      </c>
      <c r="BC109" s="74">
        <v>0</v>
      </c>
      <c r="BD109" s="74">
        <v>1</v>
      </c>
      <c r="BE109" s="81">
        <f t="shared" si="42"/>
        <v>0.27916666666666667</v>
      </c>
      <c r="BF109" s="81" t="str">
        <f t="shared" si="43"/>
        <v>BASSO</v>
      </c>
    </row>
    <row r="110" spans="1:58" x14ac:dyDescent="0.15">
      <c r="A110" s="57">
        <v>3</v>
      </c>
      <c r="B110" s="57">
        <v>1</v>
      </c>
      <c r="C110" s="57">
        <v>2</v>
      </c>
      <c r="D110" s="57">
        <v>0</v>
      </c>
      <c r="E110" s="58">
        <v>1</v>
      </c>
      <c r="F110" s="17">
        <v>1</v>
      </c>
      <c r="G110" s="64">
        <f t="shared" si="22"/>
        <v>0.5</v>
      </c>
      <c r="H110" s="17">
        <v>1</v>
      </c>
      <c r="I110" s="64">
        <f t="shared" si="23"/>
        <v>0.5</v>
      </c>
      <c r="J110" s="17">
        <v>1</v>
      </c>
      <c r="K110" s="64">
        <f t="shared" si="24"/>
        <v>0.5</v>
      </c>
      <c r="L110" s="17">
        <v>1</v>
      </c>
      <c r="M110" s="64">
        <f t="shared" si="25"/>
        <v>0.33333333333333331</v>
      </c>
      <c r="N110" s="17">
        <v>2</v>
      </c>
      <c r="O110" s="64">
        <f t="shared" si="26"/>
        <v>0.4</v>
      </c>
      <c r="P110" s="17">
        <v>3</v>
      </c>
      <c r="Q110" s="64">
        <f t="shared" si="27"/>
        <v>1</v>
      </c>
      <c r="R110" s="25">
        <v>2</v>
      </c>
      <c r="S110" s="71">
        <f t="shared" si="28"/>
        <v>0.66666666666666663</v>
      </c>
      <c r="T110" s="17">
        <v>2</v>
      </c>
      <c r="U110" s="64">
        <f t="shared" si="29"/>
        <v>0.66666666666666663</v>
      </c>
      <c r="V110" s="17">
        <v>3</v>
      </c>
      <c r="W110" s="71">
        <f t="shared" si="30"/>
        <v>0.75</v>
      </c>
      <c r="X110" s="17">
        <v>2</v>
      </c>
      <c r="Y110" s="71">
        <f t="shared" si="31"/>
        <v>0.66666666666666663</v>
      </c>
      <c r="Z110" s="17">
        <v>0</v>
      </c>
      <c r="AA110" s="71">
        <f t="shared" si="32"/>
        <v>0</v>
      </c>
      <c r="AB110" s="17">
        <v>1</v>
      </c>
      <c r="AC110" s="71">
        <f t="shared" si="33"/>
        <v>0.5</v>
      </c>
      <c r="AD110" s="57">
        <v>1</v>
      </c>
      <c r="AE110" s="57">
        <v>0</v>
      </c>
      <c r="AF110" s="57">
        <v>1</v>
      </c>
      <c r="AG110" s="57">
        <v>0</v>
      </c>
      <c r="AH110" s="57">
        <v>0</v>
      </c>
      <c r="AI110" s="57">
        <v>0</v>
      </c>
      <c r="AJ110" s="20">
        <v>1</v>
      </c>
      <c r="AK110" s="71">
        <f t="shared" si="34"/>
        <v>0.5</v>
      </c>
      <c r="AL110" s="17">
        <v>3</v>
      </c>
      <c r="AM110" s="71">
        <f t="shared" si="35"/>
        <v>1</v>
      </c>
      <c r="AN110" s="17">
        <v>1</v>
      </c>
      <c r="AO110" s="71">
        <f t="shared" si="36"/>
        <v>0.33333333333333331</v>
      </c>
      <c r="AP110" s="17">
        <v>1</v>
      </c>
      <c r="AQ110" s="71">
        <f t="shared" si="37"/>
        <v>0.33333333333333331</v>
      </c>
      <c r="AR110" s="57">
        <v>0</v>
      </c>
      <c r="AS110" s="17">
        <v>2</v>
      </c>
      <c r="AT110" s="71">
        <f t="shared" si="38"/>
        <v>0.66666666666666663</v>
      </c>
      <c r="AU110" s="17">
        <v>2</v>
      </c>
      <c r="AV110" s="71">
        <f t="shared" si="39"/>
        <v>0.66666666666666663</v>
      </c>
      <c r="AW110" s="17">
        <v>1</v>
      </c>
      <c r="AX110" s="71">
        <f t="shared" si="40"/>
        <v>0.5</v>
      </c>
      <c r="AY110" s="17">
        <v>3</v>
      </c>
      <c r="AZ110" s="71">
        <f t="shared" si="41"/>
        <v>1</v>
      </c>
      <c r="BA110" s="73">
        <v>1</v>
      </c>
      <c r="BB110" s="73">
        <v>0</v>
      </c>
      <c r="BC110" s="73">
        <v>1</v>
      </c>
      <c r="BD110" s="73">
        <v>0</v>
      </c>
      <c r="BE110" s="81">
        <f t="shared" si="42"/>
        <v>0.59916666666666674</v>
      </c>
      <c r="BF110" s="81" t="str">
        <f t="shared" si="43"/>
        <v>MEDIO</v>
      </c>
    </row>
    <row r="111" spans="1:58" x14ac:dyDescent="0.15">
      <c r="A111" s="58">
        <v>3</v>
      </c>
      <c r="B111" s="58">
        <v>2</v>
      </c>
      <c r="C111" s="58">
        <v>3</v>
      </c>
      <c r="D111" s="58">
        <v>3</v>
      </c>
      <c r="E111" s="58">
        <v>1</v>
      </c>
      <c r="F111" s="18">
        <v>2</v>
      </c>
      <c r="G111" s="64">
        <f t="shared" si="22"/>
        <v>1</v>
      </c>
      <c r="H111" s="18">
        <v>2</v>
      </c>
      <c r="I111" s="64">
        <f t="shared" si="23"/>
        <v>1</v>
      </c>
      <c r="J111" s="18">
        <v>1</v>
      </c>
      <c r="K111" s="64">
        <f t="shared" si="24"/>
        <v>0.5</v>
      </c>
      <c r="L111" s="18">
        <v>2</v>
      </c>
      <c r="M111" s="64">
        <f t="shared" si="25"/>
        <v>0.66666666666666663</v>
      </c>
      <c r="N111" s="18">
        <v>4</v>
      </c>
      <c r="O111" s="64">
        <f t="shared" si="26"/>
        <v>0.8</v>
      </c>
      <c r="P111" s="18">
        <v>3</v>
      </c>
      <c r="Q111" s="64">
        <f t="shared" si="27"/>
        <v>1</v>
      </c>
      <c r="R111" s="24">
        <v>3</v>
      </c>
      <c r="S111" s="71">
        <f t="shared" si="28"/>
        <v>1</v>
      </c>
      <c r="T111" s="18">
        <v>3</v>
      </c>
      <c r="U111" s="64">
        <f t="shared" si="29"/>
        <v>1</v>
      </c>
      <c r="V111" s="18">
        <v>0</v>
      </c>
      <c r="W111" s="71">
        <f t="shared" si="30"/>
        <v>0</v>
      </c>
      <c r="X111" s="18">
        <v>2</v>
      </c>
      <c r="Y111" s="71">
        <f t="shared" si="31"/>
        <v>0.66666666666666663</v>
      </c>
      <c r="Z111" s="18">
        <v>3</v>
      </c>
      <c r="AA111" s="71">
        <f t="shared" si="32"/>
        <v>1</v>
      </c>
      <c r="AB111" s="18">
        <v>1</v>
      </c>
      <c r="AC111" s="71">
        <f t="shared" si="33"/>
        <v>0.5</v>
      </c>
      <c r="AD111" s="58">
        <v>1</v>
      </c>
      <c r="AE111" s="58">
        <v>0</v>
      </c>
      <c r="AF111" s="58">
        <v>1</v>
      </c>
      <c r="AG111" s="58">
        <v>0</v>
      </c>
      <c r="AH111" s="58">
        <v>0</v>
      </c>
      <c r="AI111" s="58">
        <v>0</v>
      </c>
      <c r="AJ111" s="19">
        <v>2</v>
      </c>
      <c r="AK111" s="71">
        <f t="shared" si="34"/>
        <v>1</v>
      </c>
      <c r="AL111" s="18">
        <v>3</v>
      </c>
      <c r="AM111" s="71">
        <f t="shared" si="35"/>
        <v>1</v>
      </c>
      <c r="AN111" s="18">
        <v>1</v>
      </c>
      <c r="AO111" s="71">
        <f t="shared" si="36"/>
        <v>0.33333333333333331</v>
      </c>
      <c r="AP111" s="18">
        <v>2</v>
      </c>
      <c r="AQ111" s="71">
        <f t="shared" si="37"/>
        <v>0.66666666666666663</v>
      </c>
      <c r="AR111" s="58">
        <v>2</v>
      </c>
      <c r="AS111" s="18">
        <v>2</v>
      </c>
      <c r="AT111" s="71">
        <f t="shared" si="38"/>
        <v>0.66666666666666663</v>
      </c>
      <c r="AU111" s="18">
        <v>3</v>
      </c>
      <c r="AV111" s="71">
        <f t="shared" si="39"/>
        <v>1</v>
      </c>
      <c r="AW111" s="18">
        <v>0</v>
      </c>
      <c r="AX111" s="71">
        <f t="shared" si="40"/>
        <v>0</v>
      </c>
      <c r="AY111" s="18">
        <v>1</v>
      </c>
      <c r="AZ111" s="71">
        <f t="shared" si="41"/>
        <v>0.33333333333333331</v>
      </c>
      <c r="BA111" s="74">
        <v>0</v>
      </c>
      <c r="BB111" s="74">
        <v>1</v>
      </c>
      <c r="BC111" s="74">
        <v>1</v>
      </c>
      <c r="BD111" s="74">
        <v>0</v>
      </c>
      <c r="BE111" s="81">
        <f t="shared" si="42"/>
        <v>0.7566666666666666</v>
      </c>
      <c r="BF111" s="81" t="str">
        <f t="shared" si="43"/>
        <v>ALTO</v>
      </c>
    </row>
    <row r="112" spans="1:58" x14ac:dyDescent="0.15">
      <c r="A112" s="57">
        <v>3</v>
      </c>
      <c r="B112" s="57">
        <v>1</v>
      </c>
      <c r="C112" s="57">
        <v>2</v>
      </c>
      <c r="D112" s="57">
        <v>2</v>
      </c>
      <c r="E112" s="58">
        <v>1</v>
      </c>
      <c r="F112" s="17">
        <v>1</v>
      </c>
      <c r="G112" s="64">
        <f t="shared" si="22"/>
        <v>0.5</v>
      </c>
      <c r="H112" s="17">
        <v>0</v>
      </c>
      <c r="I112" s="64">
        <f t="shared" si="23"/>
        <v>0</v>
      </c>
      <c r="J112" s="17">
        <v>1</v>
      </c>
      <c r="K112" s="64">
        <f t="shared" si="24"/>
        <v>0.5</v>
      </c>
      <c r="L112" s="17">
        <v>1</v>
      </c>
      <c r="M112" s="64">
        <f t="shared" si="25"/>
        <v>0.33333333333333331</v>
      </c>
      <c r="N112" s="17">
        <v>3</v>
      </c>
      <c r="O112" s="64">
        <f t="shared" si="26"/>
        <v>0.6</v>
      </c>
      <c r="P112" s="17">
        <v>0</v>
      </c>
      <c r="Q112" s="64">
        <f t="shared" si="27"/>
        <v>0</v>
      </c>
      <c r="R112" s="25">
        <v>2</v>
      </c>
      <c r="S112" s="71">
        <f t="shared" si="28"/>
        <v>0.66666666666666663</v>
      </c>
      <c r="T112" s="17">
        <v>2</v>
      </c>
      <c r="U112" s="64">
        <f t="shared" si="29"/>
        <v>0.66666666666666663</v>
      </c>
      <c r="V112" s="17">
        <v>3</v>
      </c>
      <c r="W112" s="71">
        <f t="shared" si="30"/>
        <v>0.75</v>
      </c>
      <c r="X112" s="17">
        <v>2</v>
      </c>
      <c r="Y112" s="71">
        <f t="shared" si="31"/>
        <v>0.66666666666666663</v>
      </c>
      <c r="Z112" s="17">
        <v>0</v>
      </c>
      <c r="AA112" s="71">
        <f t="shared" si="32"/>
        <v>0</v>
      </c>
      <c r="AB112" s="17">
        <v>0</v>
      </c>
      <c r="AC112" s="71">
        <f t="shared" si="33"/>
        <v>0</v>
      </c>
      <c r="AD112" s="57">
        <v>1</v>
      </c>
      <c r="AE112" s="57">
        <v>0</v>
      </c>
      <c r="AF112" s="57">
        <v>1</v>
      </c>
      <c r="AG112" s="57">
        <v>0</v>
      </c>
      <c r="AH112" s="57">
        <v>0</v>
      </c>
      <c r="AI112" s="57">
        <v>0</v>
      </c>
      <c r="AJ112" s="20">
        <v>1</v>
      </c>
      <c r="AK112" s="71">
        <f t="shared" si="34"/>
        <v>0.5</v>
      </c>
      <c r="AL112" s="17">
        <v>2</v>
      </c>
      <c r="AM112" s="71">
        <f t="shared" si="35"/>
        <v>0.66666666666666663</v>
      </c>
      <c r="AN112" s="17">
        <v>0</v>
      </c>
      <c r="AO112" s="71">
        <f t="shared" si="36"/>
        <v>0</v>
      </c>
      <c r="AP112" s="17">
        <v>0</v>
      </c>
      <c r="AQ112" s="71">
        <f t="shared" si="37"/>
        <v>0</v>
      </c>
      <c r="AR112" s="57">
        <v>0</v>
      </c>
      <c r="AS112" s="17">
        <v>3</v>
      </c>
      <c r="AT112" s="71">
        <f t="shared" si="38"/>
        <v>1</v>
      </c>
      <c r="AU112" s="17">
        <v>2</v>
      </c>
      <c r="AV112" s="71">
        <f t="shared" si="39"/>
        <v>0.66666666666666663</v>
      </c>
      <c r="AW112" s="17">
        <v>1</v>
      </c>
      <c r="AX112" s="71">
        <f t="shared" si="40"/>
        <v>0.5</v>
      </c>
      <c r="AY112" s="17">
        <v>3</v>
      </c>
      <c r="AZ112" s="71">
        <f t="shared" si="41"/>
        <v>1</v>
      </c>
      <c r="BA112" s="73">
        <v>1</v>
      </c>
      <c r="BB112" s="73">
        <v>1</v>
      </c>
      <c r="BC112" s="73">
        <v>0</v>
      </c>
      <c r="BD112" s="73">
        <v>0</v>
      </c>
      <c r="BE112" s="81">
        <f t="shared" si="42"/>
        <v>0.47583333333333327</v>
      </c>
      <c r="BF112" s="81" t="str">
        <f t="shared" si="43"/>
        <v>MEDIO</v>
      </c>
    </row>
    <row r="113" spans="1:58" x14ac:dyDescent="0.15">
      <c r="A113" s="58">
        <v>3</v>
      </c>
      <c r="B113" s="58">
        <v>1</v>
      </c>
      <c r="C113" s="58">
        <v>3</v>
      </c>
      <c r="D113" s="58">
        <v>2</v>
      </c>
      <c r="E113" s="58">
        <v>1</v>
      </c>
      <c r="F113" s="18">
        <v>2</v>
      </c>
      <c r="G113" s="64">
        <f t="shared" si="22"/>
        <v>1</v>
      </c>
      <c r="H113" s="18">
        <v>2</v>
      </c>
      <c r="I113" s="64">
        <f t="shared" si="23"/>
        <v>1</v>
      </c>
      <c r="J113" s="18">
        <v>1</v>
      </c>
      <c r="K113" s="64">
        <f t="shared" si="24"/>
        <v>0.5</v>
      </c>
      <c r="L113" s="18">
        <v>2</v>
      </c>
      <c r="M113" s="64">
        <f t="shared" si="25"/>
        <v>0.66666666666666663</v>
      </c>
      <c r="N113" s="18">
        <v>0</v>
      </c>
      <c r="O113" s="64">
        <f t="shared" si="26"/>
        <v>0</v>
      </c>
      <c r="P113" s="18">
        <v>2</v>
      </c>
      <c r="Q113" s="64">
        <f t="shared" si="27"/>
        <v>0.66666666666666663</v>
      </c>
      <c r="R113" s="24">
        <v>3</v>
      </c>
      <c r="S113" s="71">
        <f t="shared" si="28"/>
        <v>1</v>
      </c>
      <c r="T113" s="18">
        <v>3</v>
      </c>
      <c r="U113" s="64">
        <f t="shared" si="29"/>
        <v>1</v>
      </c>
      <c r="V113" s="18">
        <v>3</v>
      </c>
      <c r="W113" s="71">
        <f t="shared" si="30"/>
        <v>0.75</v>
      </c>
      <c r="X113" s="18">
        <v>3</v>
      </c>
      <c r="Y113" s="71">
        <f t="shared" si="31"/>
        <v>1</v>
      </c>
      <c r="Z113" s="18">
        <v>1</v>
      </c>
      <c r="AA113" s="71">
        <f t="shared" si="32"/>
        <v>0.33333333333333331</v>
      </c>
      <c r="AB113" s="18">
        <v>1</v>
      </c>
      <c r="AC113" s="71">
        <f t="shared" si="33"/>
        <v>0.5</v>
      </c>
      <c r="AD113" s="58">
        <v>1</v>
      </c>
      <c r="AE113" s="58">
        <v>0</v>
      </c>
      <c r="AF113" s="58">
        <v>1</v>
      </c>
      <c r="AG113" s="58">
        <v>0</v>
      </c>
      <c r="AH113" s="58">
        <v>0</v>
      </c>
      <c r="AI113" s="58">
        <v>0</v>
      </c>
      <c r="AJ113" s="19">
        <v>2</v>
      </c>
      <c r="AK113" s="71">
        <f t="shared" si="34"/>
        <v>1</v>
      </c>
      <c r="AL113" s="18">
        <v>0</v>
      </c>
      <c r="AM113" s="71">
        <f t="shared" si="35"/>
        <v>0</v>
      </c>
      <c r="AN113" s="18">
        <v>2</v>
      </c>
      <c r="AO113" s="71">
        <f t="shared" si="36"/>
        <v>0.66666666666666663</v>
      </c>
      <c r="AP113" s="18">
        <v>3</v>
      </c>
      <c r="AQ113" s="71">
        <f t="shared" si="37"/>
        <v>1</v>
      </c>
      <c r="AR113" s="58">
        <v>1</v>
      </c>
      <c r="AS113" s="18">
        <v>3</v>
      </c>
      <c r="AT113" s="71">
        <f t="shared" si="38"/>
        <v>1</v>
      </c>
      <c r="AU113" s="18">
        <v>3</v>
      </c>
      <c r="AV113" s="71">
        <f t="shared" si="39"/>
        <v>1</v>
      </c>
      <c r="AW113" s="18">
        <v>1</v>
      </c>
      <c r="AX113" s="71">
        <f t="shared" si="40"/>
        <v>0.5</v>
      </c>
      <c r="AY113" s="18">
        <v>1</v>
      </c>
      <c r="AZ113" s="71">
        <f t="shared" si="41"/>
        <v>0.33333333333333331</v>
      </c>
      <c r="BA113" s="74">
        <v>0</v>
      </c>
      <c r="BB113" s="74">
        <v>1</v>
      </c>
      <c r="BC113" s="74">
        <v>1</v>
      </c>
      <c r="BD113" s="74">
        <v>0</v>
      </c>
      <c r="BE113" s="81">
        <f t="shared" si="42"/>
        <v>0.74583333333333335</v>
      </c>
      <c r="BF113" s="81" t="str">
        <f t="shared" si="43"/>
        <v>ALTO</v>
      </c>
    </row>
    <row r="114" spans="1:58" x14ac:dyDescent="0.15">
      <c r="A114" s="57">
        <v>3</v>
      </c>
      <c r="B114" s="57">
        <v>1</v>
      </c>
      <c r="C114" s="57">
        <v>3</v>
      </c>
      <c r="D114" s="57">
        <v>2</v>
      </c>
      <c r="E114" s="58">
        <v>1</v>
      </c>
      <c r="F114" s="17">
        <v>1</v>
      </c>
      <c r="G114" s="64">
        <f t="shared" si="22"/>
        <v>0.5</v>
      </c>
      <c r="H114" s="17">
        <v>1</v>
      </c>
      <c r="I114" s="64">
        <f t="shared" si="23"/>
        <v>0.5</v>
      </c>
      <c r="J114" s="17">
        <v>0</v>
      </c>
      <c r="K114" s="64">
        <f t="shared" si="24"/>
        <v>0</v>
      </c>
      <c r="L114" s="17">
        <v>0</v>
      </c>
      <c r="M114" s="64">
        <f t="shared" si="25"/>
        <v>0</v>
      </c>
      <c r="N114" s="17">
        <v>4</v>
      </c>
      <c r="O114" s="64">
        <f t="shared" si="26"/>
        <v>0.8</v>
      </c>
      <c r="P114" s="17">
        <v>0</v>
      </c>
      <c r="Q114" s="64">
        <f t="shared" si="27"/>
        <v>0</v>
      </c>
      <c r="R114" s="25">
        <v>3</v>
      </c>
      <c r="S114" s="71">
        <f t="shared" si="28"/>
        <v>1</v>
      </c>
      <c r="T114" s="17">
        <v>0</v>
      </c>
      <c r="U114" s="64">
        <f t="shared" si="29"/>
        <v>0</v>
      </c>
      <c r="V114" s="17">
        <v>3</v>
      </c>
      <c r="W114" s="71">
        <f t="shared" si="30"/>
        <v>0.75</v>
      </c>
      <c r="X114" s="17">
        <v>3</v>
      </c>
      <c r="Y114" s="71">
        <f t="shared" si="31"/>
        <v>1</v>
      </c>
      <c r="Z114" s="17">
        <v>1</v>
      </c>
      <c r="AA114" s="71">
        <f t="shared" si="32"/>
        <v>0.33333333333333331</v>
      </c>
      <c r="AB114" s="17">
        <v>3</v>
      </c>
      <c r="AC114" s="71">
        <f t="shared" si="33"/>
        <v>1.5</v>
      </c>
      <c r="AD114" s="57">
        <v>1</v>
      </c>
      <c r="AE114" s="57">
        <v>0</v>
      </c>
      <c r="AF114" s="57">
        <v>0</v>
      </c>
      <c r="AG114" s="57">
        <v>1</v>
      </c>
      <c r="AH114" s="57">
        <v>0</v>
      </c>
      <c r="AI114" s="57">
        <v>0</v>
      </c>
      <c r="AJ114" s="20">
        <v>1</v>
      </c>
      <c r="AK114" s="71">
        <f t="shared" si="34"/>
        <v>0.5</v>
      </c>
      <c r="AL114" s="17">
        <v>0</v>
      </c>
      <c r="AM114" s="71">
        <f t="shared" si="35"/>
        <v>0</v>
      </c>
      <c r="AN114" s="17">
        <v>0</v>
      </c>
      <c r="AO114" s="71">
        <f t="shared" si="36"/>
        <v>0</v>
      </c>
      <c r="AP114" s="17">
        <v>3</v>
      </c>
      <c r="AQ114" s="71">
        <f t="shared" si="37"/>
        <v>1</v>
      </c>
      <c r="AR114" s="57">
        <v>2</v>
      </c>
      <c r="AS114" s="17">
        <v>2</v>
      </c>
      <c r="AT114" s="71">
        <f t="shared" si="38"/>
        <v>0.66666666666666663</v>
      </c>
      <c r="AU114" s="17">
        <v>0</v>
      </c>
      <c r="AV114" s="71">
        <f t="shared" si="39"/>
        <v>0</v>
      </c>
      <c r="AW114" s="17">
        <v>0</v>
      </c>
      <c r="AX114" s="71">
        <f t="shared" si="40"/>
        <v>0</v>
      </c>
      <c r="AY114" s="17">
        <v>2</v>
      </c>
      <c r="AZ114" s="71">
        <f t="shared" si="41"/>
        <v>0.66666666666666663</v>
      </c>
      <c r="BA114" s="73">
        <v>0</v>
      </c>
      <c r="BB114" s="73">
        <v>1</v>
      </c>
      <c r="BC114" s="73">
        <v>0</v>
      </c>
      <c r="BD114" s="73">
        <v>0</v>
      </c>
      <c r="BE114" s="81">
        <f t="shared" si="42"/>
        <v>0.48583333333333323</v>
      </c>
      <c r="BF114" s="81" t="str">
        <f t="shared" si="43"/>
        <v>MEDIO</v>
      </c>
    </row>
    <row r="115" spans="1:58" x14ac:dyDescent="0.15">
      <c r="A115" s="58">
        <v>3</v>
      </c>
      <c r="B115" s="58">
        <v>2</v>
      </c>
      <c r="C115" s="58">
        <v>3</v>
      </c>
      <c r="D115" s="58">
        <v>2</v>
      </c>
      <c r="E115" s="58">
        <v>1</v>
      </c>
      <c r="F115" s="18">
        <v>2</v>
      </c>
      <c r="G115" s="64">
        <f t="shared" si="22"/>
        <v>1</v>
      </c>
      <c r="H115" s="18">
        <v>1</v>
      </c>
      <c r="I115" s="64">
        <f t="shared" si="23"/>
        <v>0.5</v>
      </c>
      <c r="J115" s="18">
        <v>1</v>
      </c>
      <c r="K115" s="64">
        <f t="shared" si="24"/>
        <v>0.5</v>
      </c>
      <c r="L115" s="18">
        <v>2</v>
      </c>
      <c r="M115" s="64">
        <f t="shared" si="25"/>
        <v>0.66666666666666663</v>
      </c>
      <c r="N115" s="18">
        <v>4</v>
      </c>
      <c r="O115" s="64">
        <f t="shared" si="26"/>
        <v>0.8</v>
      </c>
      <c r="P115" s="18">
        <v>0</v>
      </c>
      <c r="Q115" s="64">
        <f t="shared" si="27"/>
        <v>0</v>
      </c>
      <c r="R115" s="24">
        <v>1</v>
      </c>
      <c r="S115" s="71">
        <f t="shared" si="28"/>
        <v>0.33333333333333331</v>
      </c>
      <c r="T115" s="18">
        <v>1</v>
      </c>
      <c r="U115" s="64">
        <f t="shared" si="29"/>
        <v>0.33333333333333331</v>
      </c>
      <c r="V115" s="18">
        <v>3</v>
      </c>
      <c r="W115" s="71">
        <f t="shared" si="30"/>
        <v>0.75</v>
      </c>
      <c r="X115" s="18">
        <v>1</v>
      </c>
      <c r="Y115" s="71">
        <f t="shared" si="31"/>
        <v>0.33333333333333331</v>
      </c>
      <c r="Z115" s="18">
        <v>3</v>
      </c>
      <c r="AA115" s="71">
        <f t="shared" si="32"/>
        <v>1</v>
      </c>
      <c r="AB115" s="18">
        <v>2</v>
      </c>
      <c r="AC115" s="71">
        <f t="shared" si="33"/>
        <v>1</v>
      </c>
      <c r="AD115" s="58">
        <v>0</v>
      </c>
      <c r="AE115" s="58">
        <v>0</v>
      </c>
      <c r="AF115" s="58">
        <v>0</v>
      </c>
      <c r="AG115" s="58">
        <v>1</v>
      </c>
      <c r="AH115" s="58">
        <v>0</v>
      </c>
      <c r="AI115" s="58">
        <v>0</v>
      </c>
      <c r="AJ115" s="19">
        <v>0</v>
      </c>
      <c r="AK115" s="71">
        <f t="shared" si="34"/>
        <v>0</v>
      </c>
      <c r="AL115" s="18">
        <v>2</v>
      </c>
      <c r="AM115" s="71">
        <f t="shared" si="35"/>
        <v>0.66666666666666663</v>
      </c>
      <c r="AN115" s="18">
        <v>0</v>
      </c>
      <c r="AO115" s="71">
        <f t="shared" si="36"/>
        <v>0</v>
      </c>
      <c r="AP115" s="18">
        <v>2</v>
      </c>
      <c r="AQ115" s="71">
        <f t="shared" si="37"/>
        <v>0.66666666666666663</v>
      </c>
      <c r="AR115" s="58">
        <v>2</v>
      </c>
      <c r="AS115" s="18">
        <v>1</v>
      </c>
      <c r="AT115" s="71">
        <f t="shared" si="38"/>
        <v>0.33333333333333331</v>
      </c>
      <c r="AU115" s="18">
        <v>1</v>
      </c>
      <c r="AV115" s="71">
        <f t="shared" si="39"/>
        <v>0.33333333333333331</v>
      </c>
      <c r="AW115" s="18">
        <v>1</v>
      </c>
      <c r="AX115" s="71">
        <f t="shared" si="40"/>
        <v>0.5</v>
      </c>
      <c r="AY115" s="18">
        <v>2</v>
      </c>
      <c r="AZ115" s="71">
        <f t="shared" si="41"/>
        <v>0.66666666666666663</v>
      </c>
      <c r="BA115" s="74">
        <v>0</v>
      </c>
      <c r="BB115" s="74">
        <v>0</v>
      </c>
      <c r="BC115" s="74">
        <v>0</v>
      </c>
      <c r="BD115" s="74">
        <v>1</v>
      </c>
      <c r="BE115" s="81">
        <f t="shared" si="42"/>
        <v>0.5691666666666666</v>
      </c>
      <c r="BF115" s="81" t="str">
        <f t="shared" si="43"/>
        <v>MEDIO</v>
      </c>
    </row>
    <row r="116" spans="1:58" x14ac:dyDescent="0.15">
      <c r="A116" s="57">
        <v>3</v>
      </c>
      <c r="B116" s="57">
        <v>1</v>
      </c>
      <c r="C116" s="57">
        <v>4</v>
      </c>
      <c r="D116" s="57">
        <v>2</v>
      </c>
      <c r="E116" s="58">
        <v>1</v>
      </c>
      <c r="F116" s="17">
        <v>1</v>
      </c>
      <c r="G116" s="64">
        <f t="shared" si="22"/>
        <v>0.5</v>
      </c>
      <c r="H116" s="17">
        <v>2</v>
      </c>
      <c r="I116" s="64">
        <f t="shared" si="23"/>
        <v>1</v>
      </c>
      <c r="J116" s="17">
        <v>2</v>
      </c>
      <c r="K116" s="64">
        <f t="shared" si="24"/>
        <v>1</v>
      </c>
      <c r="L116" s="17">
        <v>1</v>
      </c>
      <c r="M116" s="64">
        <f t="shared" si="25"/>
        <v>0.33333333333333331</v>
      </c>
      <c r="N116" s="17">
        <v>2</v>
      </c>
      <c r="O116" s="64">
        <f t="shared" si="26"/>
        <v>0.4</v>
      </c>
      <c r="P116" s="17">
        <v>3</v>
      </c>
      <c r="Q116" s="64">
        <f t="shared" si="27"/>
        <v>1</v>
      </c>
      <c r="R116" s="25">
        <v>3</v>
      </c>
      <c r="S116" s="71">
        <f t="shared" si="28"/>
        <v>1</v>
      </c>
      <c r="T116" s="17">
        <v>3</v>
      </c>
      <c r="U116" s="64">
        <f t="shared" si="29"/>
        <v>1</v>
      </c>
      <c r="V116" s="17">
        <v>3</v>
      </c>
      <c r="W116" s="71">
        <f t="shared" si="30"/>
        <v>0.75</v>
      </c>
      <c r="X116" s="17">
        <v>3</v>
      </c>
      <c r="Y116" s="71">
        <f t="shared" si="31"/>
        <v>1</v>
      </c>
      <c r="Z116" s="17">
        <v>3</v>
      </c>
      <c r="AA116" s="71">
        <f t="shared" si="32"/>
        <v>1</v>
      </c>
      <c r="AB116" s="17">
        <v>0</v>
      </c>
      <c r="AC116" s="71">
        <f t="shared" si="33"/>
        <v>0</v>
      </c>
      <c r="AD116" s="57">
        <v>1</v>
      </c>
      <c r="AE116" s="57">
        <v>0</v>
      </c>
      <c r="AF116" s="57">
        <v>1</v>
      </c>
      <c r="AG116" s="57">
        <v>0</v>
      </c>
      <c r="AH116" s="57">
        <v>0</v>
      </c>
      <c r="AI116" s="57">
        <v>0</v>
      </c>
      <c r="AJ116" s="20">
        <v>2</v>
      </c>
      <c r="AK116" s="71">
        <f t="shared" si="34"/>
        <v>1</v>
      </c>
      <c r="AL116" s="17">
        <v>2</v>
      </c>
      <c r="AM116" s="71">
        <f t="shared" si="35"/>
        <v>0.66666666666666663</v>
      </c>
      <c r="AN116" s="17">
        <v>2</v>
      </c>
      <c r="AO116" s="71">
        <f t="shared" si="36"/>
        <v>0.66666666666666663</v>
      </c>
      <c r="AP116" s="17">
        <v>2</v>
      </c>
      <c r="AQ116" s="71">
        <f t="shared" si="37"/>
        <v>0.66666666666666663</v>
      </c>
      <c r="AR116" s="57">
        <v>1</v>
      </c>
      <c r="AS116" s="17">
        <v>3</v>
      </c>
      <c r="AT116" s="71">
        <f t="shared" si="38"/>
        <v>1</v>
      </c>
      <c r="AU116" s="17">
        <v>3</v>
      </c>
      <c r="AV116" s="71">
        <f t="shared" si="39"/>
        <v>1</v>
      </c>
      <c r="AW116" s="17">
        <v>0</v>
      </c>
      <c r="AX116" s="71">
        <f t="shared" si="40"/>
        <v>0</v>
      </c>
      <c r="AY116" s="17">
        <v>3</v>
      </c>
      <c r="AZ116" s="71">
        <f t="shared" si="41"/>
        <v>1</v>
      </c>
      <c r="BA116" s="73">
        <v>0</v>
      </c>
      <c r="BB116" s="73">
        <v>1</v>
      </c>
      <c r="BC116" s="73">
        <v>1</v>
      </c>
      <c r="BD116" s="73">
        <v>0</v>
      </c>
      <c r="BE116" s="81">
        <f t="shared" si="42"/>
        <v>0.77416666666666667</v>
      </c>
      <c r="BF116" s="81" t="str">
        <f t="shared" si="43"/>
        <v>ALTO</v>
      </c>
    </row>
    <row r="117" spans="1:58" x14ac:dyDescent="0.15">
      <c r="A117" s="58">
        <v>2</v>
      </c>
      <c r="B117" s="58">
        <v>2</v>
      </c>
      <c r="C117" s="58">
        <v>3</v>
      </c>
      <c r="D117" s="58">
        <v>2</v>
      </c>
      <c r="E117" s="58">
        <v>1</v>
      </c>
      <c r="F117" s="18">
        <v>2</v>
      </c>
      <c r="G117" s="64">
        <f t="shared" si="22"/>
        <v>1</v>
      </c>
      <c r="H117" s="18">
        <v>1</v>
      </c>
      <c r="I117" s="64">
        <f t="shared" si="23"/>
        <v>0.5</v>
      </c>
      <c r="J117" s="18">
        <v>1</v>
      </c>
      <c r="K117" s="64">
        <f t="shared" si="24"/>
        <v>0.5</v>
      </c>
      <c r="L117" s="18">
        <v>1</v>
      </c>
      <c r="M117" s="64">
        <f t="shared" si="25"/>
        <v>0.33333333333333331</v>
      </c>
      <c r="N117" s="18">
        <v>0</v>
      </c>
      <c r="O117" s="64">
        <f t="shared" si="26"/>
        <v>0</v>
      </c>
      <c r="P117" s="18">
        <v>0</v>
      </c>
      <c r="Q117" s="64">
        <f t="shared" si="27"/>
        <v>0</v>
      </c>
      <c r="R117" s="24">
        <v>2</v>
      </c>
      <c r="S117" s="71">
        <f t="shared" si="28"/>
        <v>0.66666666666666663</v>
      </c>
      <c r="T117" s="18">
        <v>1</v>
      </c>
      <c r="U117" s="64">
        <f t="shared" si="29"/>
        <v>0.33333333333333331</v>
      </c>
      <c r="V117" s="18">
        <v>3</v>
      </c>
      <c r="W117" s="71">
        <f t="shared" si="30"/>
        <v>0.75</v>
      </c>
      <c r="X117" s="18">
        <v>2</v>
      </c>
      <c r="Y117" s="71">
        <f t="shared" si="31"/>
        <v>0.66666666666666663</v>
      </c>
      <c r="Z117" s="18">
        <v>1</v>
      </c>
      <c r="AA117" s="71">
        <f t="shared" si="32"/>
        <v>0.33333333333333331</v>
      </c>
      <c r="AB117" s="18">
        <v>2</v>
      </c>
      <c r="AC117" s="71">
        <f t="shared" si="33"/>
        <v>1</v>
      </c>
      <c r="AD117" s="58">
        <v>1</v>
      </c>
      <c r="AE117" s="58">
        <v>0</v>
      </c>
      <c r="AF117" s="58">
        <v>1</v>
      </c>
      <c r="AG117" s="58">
        <v>0</v>
      </c>
      <c r="AH117" s="58">
        <v>0</v>
      </c>
      <c r="AI117" s="58">
        <v>0</v>
      </c>
      <c r="AJ117" s="19">
        <v>1</v>
      </c>
      <c r="AK117" s="71">
        <f t="shared" si="34"/>
        <v>0.5</v>
      </c>
      <c r="AL117" s="18">
        <v>1</v>
      </c>
      <c r="AM117" s="71">
        <f t="shared" si="35"/>
        <v>0.33333333333333331</v>
      </c>
      <c r="AN117" s="18">
        <v>1</v>
      </c>
      <c r="AO117" s="71">
        <f t="shared" si="36"/>
        <v>0.33333333333333331</v>
      </c>
      <c r="AP117" s="18">
        <v>2</v>
      </c>
      <c r="AQ117" s="71">
        <f t="shared" si="37"/>
        <v>0.66666666666666663</v>
      </c>
      <c r="AR117" s="58">
        <v>3</v>
      </c>
      <c r="AS117" s="18">
        <v>0</v>
      </c>
      <c r="AT117" s="71">
        <f t="shared" si="38"/>
        <v>0</v>
      </c>
      <c r="AU117" s="18">
        <v>2</v>
      </c>
      <c r="AV117" s="71">
        <f t="shared" si="39"/>
        <v>0.66666666666666663</v>
      </c>
      <c r="AW117" s="18">
        <v>1</v>
      </c>
      <c r="AX117" s="71">
        <f t="shared" si="40"/>
        <v>0.5</v>
      </c>
      <c r="AY117" s="18">
        <v>0</v>
      </c>
      <c r="AZ117" s="71">
        <f t="shared" si="41"/>
        <v>0</v>
      </c>
      <c r="BA117" s="74">
        <v>0</v>
      </c>
      <c r="BB117" s="74">
        <v>1</v>
      </c>
      <c r="BC117" s="74">
        <v>0</v>
      </c>
      <c r="BD117" s="74">
        <v>0</v>
      </c>
      <c r="BE117" s="81">
        <f t="shared" si="42"/>
        <v>0.50416666666666665</v>
      </c>
      <c r="BF117" s="81" t="str">
        <f t="shared" si="43"/>
        <v>MEDIO</v>
      </c>
    </row>
    <row r="118" spans="1:58" x14ac:dyDescent="0.15">
      <c r="A118" s="57">
        <v>2</v>
      </c>
      <c r="B118" s="57">
        <v>2</v>
      </c>
      <c r="C118" s="57">
        <v>3</v>
      </c>
      <c r="D118" s="57">
        <v>2</v>
      </c>
      <c r="E118" s="58">
        <v>1</v>
      </c>
      <c r="F118" s="17">
        <v>2</v>
      </c>
      <c r="G118" s="64">
        <f t="shared" si="22"/>
        <v>1</v>
      </c>
      <c r="H118" s="17">
        <v>2</v>
      </c>
      <c r="I118" s="64">
        <f t="shared" si="23"/>
        <v>1</v>
      </c>
      <c r="J118" s="17">
        <v>1</v>
      </c>
      <c r="K118" s="64">
        <f t="shared" si="24"/>
        <v>0.5</v>
      </c>
      <c r="L118" s="17">
        <v>1</v>
      </c>
      <c r="M118" s="64">
        <f t="shared" si="25"/>
        <v>0.33333333333333331</v>
      </c>
      <c r="N118" s="17">
        <v>0</v>
      </c>
      <c r="O118" s="64">
        <f t="shared" si="26"/>
        <v>0</v>
      </c>
      <c r="P118" s="17">
        <v>2</v>
      </c>
      <c r="Q118" s="64">
        <f t="shared" si="27"/>
        <v>0.66666666666666663</v>
      </c>
      <c r="R118" s="25">
        <v>3</v>
      </c>
      <c r="S118" s="71">
        <f t="shared" si="28"/>
        <v>1</v>
      </c>
      <c r="T118" s="17">
        <v>1</v>
      </c>
      <c r="U118" s="64">
        <f t="shared" si="29"/>
        <v>0.33333333333333331</v>
      </c>
      <c r="V118" s="17">
        <v>3</v>
      </c>
      <c r="W118" s="71">
        <f t="shared" si="30"/>
        <v>0.75</v>
      </c>
      <c r="X118" s="17">
        <v>3</v>
      </c>
      <c r="Y118" s="71">
        <f t="shared" si="31"/>
        <v>1</v>
      </c>
      <c r="Z118" s="17">
        <v>2</v>
      </c>
      <c r="AA118" s="71">
        <f t="shared" si="32"/>
        <v>0.66666666666666663</v>
      </c>
      <c r="AB118" s="17">
        <v>2</v>
      </c>
      <c r="AC118" s="71">
        <f t="shared" si="33"/>
        <v>1</v>
      </c>
      <c r="AD118" s="57">
        <v>1</v>
      </c>
      <c r="AE118" s="57">
        <v>0</v>
      </c>
      <c r="AF118" s="57">
        <v>1</v>
      </c>
      <c r="AG118" s="57">
        <v>0</v>
      </c>
      <c r="AH118" s="57">
        <v>0</v>
      </c>
      <c r="AI118" s="57">
        <v>0</v>
      </c>
      <c r="AJ118" s="20">
        <v>1</v>
      </c>
      <c r="AK118" s="71">
        <f t="shared" si="34"/>
        <v>0.5</v>
      </c>
      <c r="AL118" s="17">
        <v>2</v>
      </c>
      <c r="AM118" s="71">
        <f t="shared" si="35"/>
        <v>0.66666666666666663</v>
      </c>
      <c r="AN118" s="17">
        <v>0</v>
      </c>
      <c r="AO118" s="71">
        <f t="shared" si="36"/>
        <v>0</v>
      </c>
      <c r="AP118" s="17">
        <v>2</v>
      </c>
      <c r="AQ118" s="71">
        <f t="shared" si="37"/>
        <v>0.66666666666666663</v>
      </c>
      <c r="AR118" s="57">
        <v>2</v>
      </c>
      <c r="AS118" s="17">
        <v>2</v>
      </c>
      <c r="AT118" s="71">
        <f t="shared" si="38"/>
        <v>0.66666666666666663</v>
      </c>
      <c r="AU118" s="17">
        <v>1</v>
      </c>
      <c r="AV118" s="71">
        <f t="shared" si="39"/>
        <v>0.33333333333333331</v>
      </c>
      <c r="AW118" s="17">
        <v>1</v>
      </c>
      <c r="AX118" s="71">
        <f t="shared" si="40"/>
        <v>0.5</v>
      </c>
      <c r="AY118" s="17">
        <v>0</v>
      </c>
      <c r="AZ118" s="71">
        <f t="shared" si="41"/>
        <v>0</v>
      </c>
      <c r="BA118" s="73">
        <v>1</v>
      </c>
      <c r="BB118" s="73">
        <v>1</v>
      </c>
      <c r="BC118" s="73">
        <v>0</v>
      </c>
      <c r="BD118" s="73">
        <v>0</v>
      </c>
      <c r="BE118" s="81">
        <f t="shared" si="42"/>
        <v>0.62916666666666665</v>
      </c>
      <c r="BF118" s="81" t="str">
        <f t="shared" si="43"/>
        <v>MEDIO</v>
      </c>
    </row>
    <row r="119" spans="1:58" x14ac:dyDescent="0.15">
      <c r="A119" s="58">
        <v>3</v>
      </c>
      <c r="B119" s="58">
        <v>1</v>
      </c>
      <c r="C119" s="58">
        <v>3</v>
      </c>
      <c r="D119" s="58">
        <v>2</v>
      </c>
      <c r="E119" s="58">
        <v>1</v>
      </c>
      <c r="F119" s="18">
        <v>1</v>
      </c>
      <c r="G119" s="64">
        <f t="shared" si="22"/>
        <v>0.5</v>
      </c>
      <c r="H119" s="18">
        <v>1</v>
      </c>
      <c r="I119" s="64">
        <f t="shared" si="23"/>
        <v>0.5</v>
      </c>
      <c r="J119" s="18">
        <v>0</v>
      </c>
      <c r="K119" s="64">
        <f t="shared" si="24"/>
        <v>0</v>
      </c>
      <c r="L119" s="18">
        <v>0</v>
      </c>
      <c r="M119" s="64">
        <f t="shared" si="25"/>
        <v>0</v>
      </c>
      <c r="N119" s="18">
        <v>2</v>
      </c>
      <c r="O119" s="64">
        <f t="shared" si="26"/>
        <v>0.4</v>
      </c>
      <c r="P119" s="18">
        <v>3</v>
      </c>
      <c r="Q119" s="64">
        <f t="shared" si="27"/>
        <v>1</v>
      </c>
      <c r="R119" s="24">
        <v>3</v>
      </c>
      <c r="S119" s="71">
        <f t="shared" si="28"/>
        <v>1</v>
      </c>
      <c r="T119" s="18">
        <v>1</v>
      </c>
      <c r="U119" s="64">
        <f t="shared" si="29"/>
        <v>0.33333333333333331</v>
      </c>
      <c r="V119" s="18">
        <v>4</v>
      </c>
      <c r="W119" s="71">
        <f t="shared" si="30"/>
        <v>1</v>
      </c>
      <c r="X119" s="18">
        <v>3</v>
      </c>
      <c r="Y119" s="71">
        <f t="shared" si="31"/>
        <v>1</v>
      </c>
      <c r="Z119" s="18">
        <v>1</v>
      </c>
      <c r="AA119" s="71">
        <f t="shared" si="32"/>
        <v>0.33333333333333331</v>
      </c>
      <c r="AB119" s="18">
        <v>2</v>
      </c>
      <c r="AC119" s="71">
        <f t="shared" si="33"/>
        <v>1</v>
      </c>
      <c r="AD119" s="58">
        <v>0</v>
      </c>
      <c r="AE119" s="58">
        <v>0</v>
      </c>
      <c r="AF119" s="58">
        <v>1</v>
      </c>
      <c r="AG119" s="58">
        <v>1</v>
      </c>
      <c r="AH119" s="58">
        <v>0</v>
      </c>
      <c r="AI119" s="58">
        <v>0</v>
      </c>
      <c r="AJ119" s="19">
        <v>1</v>
      </c>
      <c r="AK119" s="71">
        <f t="shared" si="34"/>
        <v>0.5</v>
      </c>
      <c r="AL119" s="18">
        <v>1</v>
      </c>
      <c r="AM119" s="71">
        <f t="shared" si="35"/>
        <v>0.33333333333333331</v>
      </c>
      <c r="AN119" s="18">
        <v>0</v>
      </c>
      <c r="AO119" s="71">
        <f t="shared" si="36"/>
        <v>0</v>
      </c>
      <c r="AP119" s="18">
        <v>2</v>
      </c>
      <c r="AQ119" s="71">
        <f t="shared" si="37"/>
        <v>0.66666666666666663</v>
      </c>
      <c r="AR119" s="58">
        <v>2</v>
      </c>
      <c r="AS119" s="18">
        <v>2</v>
      </c>
      <c r="AT119" s="71">
        <f t="shared" si="38"/>
        <v>0.66666666666666663</v>
      </c>
      <c r="AU119" s="18">
        <v>2</v>
      </c>
      <c r="AV119" s="71">
        <f t="shared" si="39"/>
        <v>0.66666666666666663</v>
      </c>
      <c r="AW119" s="18">
        <v>0</v>
      </c>
      <c r="AX119" s="71">
        <f t="shared" si="40"/>
        <v>0</v>
      </c>
      <c r="AY119" s="18">
        <v>2</v>
      </c>
      <c r="AZ119" s="71">
        <f t="shared" si="41"/>
        <v>0.66666666666666663</v>
      </c>
      <c r="BA119" s="74">
        <v>0</v>
      </c>
      <c r="BB119" s="74">
        <v>0</v>
      </c>
      <c r="BC119" s="74">
        <v>0</v>
      </c>
      <c r="BD119" s="74">
        <v>1</v>
      </c>
      <c r="BE119" s="81">
        <f t="shared" si="42"/>
        <v>0.55333333333333323</v>
      </c>
      <c r="BF119" s="81" t="str">
        <f t="shared" si="43"/>
        <v>MEDIO</v>
      </c>
    </row>
    <row r="120" spans="1:58" x14ac:dyDescent="0.15">
      <c r="A120" s="57">
        <v>4</v>
      </c>
      <c r="B120" s="57">
        <v>2</v>
      </c>
      <c r="C120" s="57">
        <v>3</v>
      </c>
      <c r="D120" s="57">
        <v>0</v>
      </c>
      <c r="E120" s="58">
        <v>1</v>
      </c>
      <c r="F120" s="17">
        <v>1</v>
      </c>
      <c r="G120" s="64">
        <f t="shared" si="22"/>
        <v>0.5</v>
      </c>
      <c r="H120" s="17">
        <v>1</v>
      </c>
      <c r="I120" s="64">
        <f t="shared" si="23"/>
        <v>0.5</v>
      </c>
      <c r="J120" s="17">
        <v>2</v>
      </c>
      <c r="K120" s="64">
        <f t="shared" si="24"/>
        <v>1</v>
      </c>
      <c r="L120" s="17">
        <v>2</v>
      </c>
      <c r="M120" s="64">
        <f t="shared" si="25"/>
        <v>0.66666666666666663</v>
      </c>
      <c r="N120" s="17">
        <v>3</v>
      </c>
      <c r="O120" s="64">
        <f t="shared" si="26"/>
        <v>0.6</v>
      </c>
      <c r="P120" s="17">
        <v>0</v>
      </c>
      <c r="Q120" s="64">
        <f t="shared" si="27"/>
        <v>0</v>
      </c>
      <c r="R120" s="25">
        <v>2</v>
      </c>
      <c r="S120" s="71">
        <f t="shared" si="28"/>
        <v>0.66666666666666663</v>
      </c>
      <c r="T120" s="17">
        <v>2</v>
      </c>
      <c r="U120" s="64">
        <f t="shared" si="29"/>
        <v>0.66666666666666663</v>
      </c>
      <c r="V120" s="17">
        <v>3</v>
      </c>
      <c r="W120" s="71">
        <f t="shared" si="30"/>
        <v>0.75</v>
      </c>
      <c r="X120" s="17">
        <v>3</v>
      </c>
      <c r="Y120" s="71">
        <f t="shared" si="31"/>
        <v>1</v>
      </c>
      <c r="Z120" s="17">
        <v>0</v>
      </c>
      <c r="AA120" s="71">
        <f t="shared" si="32"/>
        <v>0</v>
      </c>
      <c r="AB120" s="17">
        <v>0</v>
      </c>
      <c r="AC120" s="71">
        <f t="shared" si="33"/>
        <v>0</v>
      </c>
      <c r="AD120" s="57">
        <v>1</v>
      </c>
      <c r="AE120" s="57">
        <v>0</v>
      </c>
      <c r="AF120" s="57">
        <v>1</v>
      </c>
      <c r="AG120" s="57">
        <v>0</v>
      </c>
      <c r="AH120" s="57">
        <v>0</v>
      </c>
      <c r="AI120" s="57">
        <v>0</v>
      </c>
      <c r="AJ120" s="20">
        <v>1</v>
      </c>
      <c r="AK120" s="71">
        <f t="shared" si="34"/>
        <v>0.5</v>
      </c>
      <c r="AL120" s="17">
        <v>2</v>
      </c>
      <c r="AM120" s="71">
        <f t="shared" si="35"/>
        <v>0.66666666666666663</v>
      </c>
      <c r="AN120" s="17">
        <v>1</v>
      </c>
      <c r="AO120" s="71">
        <f t="shared" si="36"/>
        <v>0.33333333333333331</v>
      </c>
      <c r="AP120" s="17">
        <v>2</v>
      </c>
      <c r="AQ120" s="71">
        <f t="shared" si="37"/>
        <v>0.66666666666666663</v>
      </c>
      <c r="AR120" s="57">
        <v>1</v>
      </c>
      <c r="AS120" s="17">
        <v>2</v>
      </c>
      <c r="AT120" s="71">
        <f t="shared" si="38"/>
        <v>0.66666666666666663</v>
      </c>
      <c r="AU120" s="17">
        <v>2</v>
      </c>
      <c r="AV120" s="71">
        <f t="shared" si="39"/>
        <v>0.66666666666666663</v>
      </c>
      <c r="AW120" s="17">
        <v>0</v>
      </c>
      <c r="AX120" s="71">
        <f t="shared" si="40"/>
        <v>0</v>
      </c>
      <c r="AY120" s="17">
        <v>2</v>
      </c>
      <c r="AZ120" s="71">
        <f t="shared" si="41"/>
        <v>0.66666666666666663</v>
      </c>
      <c r="BA120" s="73">
        <v>0</v>
      </c>
      <c r="BB120" s="73">
        <v>1</v>
      </c>
      <c r="BC120" s="73">
        <v>1</v>
      </c>
      <c r="BD120" s="73">
        <v>0</v>
      </c>
      <c r="BE120" s="81">
        <f t="shared" si="42"/>
        <v>0.55083333333333329</v>
      </c>
      <c r="BF120" s="81" t="str">
        <f t="shared" si="43"/>
        <v>MEDIO</v>
      </c>
    </row>
    <row r="121" spans="1:58" x14ac:dyDescent="0.15">
      <c r="A121" s="58">
        <v>3</v>
      </c>
      <c r="B121" s="58">
        <v>1</v>
      </c>
      <c r="C121" s="58">
        <v>3</v>
      </c>
      <c r="D121" s="58">
        <v>0</v>
      </c>
      <c r="E121" s="58">
        <v>1</v>
      </c>
      <c r="F121" s="18">
        <v>1</v>
      </c>
      <c r="G121" s="64">
        <f t="shared" si="22"/>
        <v>0.5</v>
      </c>
      <c r="H121" s="18">
        <v>2</v>
      </c>
      <c r="I121" s="64">
        <f t="shared" si="23"/>
        <v>1</v>
      </c>
      <c r="J121" s="18">
        <v>1</v>
      </c>
      <c r="K121" s="64">
        <f t="shared" si="24"/>
        <v>0.5</v>
      </c>
      <c r="L121" s="18">
        <v>2</v>
      </c>
      <c r="M121" s="64">
        <f t="shared" si="25"/>
        <v>0.66666666666666663</v>
      </c>
      <c r="N121" s="18">
        <v>0</v>
      </c>
      <c r="O121" s="64">
        <f t="shared" si="26"/>
        <v>0</v>
      </c>
      <c r="P121" s="18">
        <v>3</v>
      </c>
      <c r="Q121" s="64">
        <f t="shared" si="27"/>
        <v>1</v>
      </c>
      <c r="R121" s="24">
        <v>0</v>
      </c>
      <c r="S121" s="71">
        <f t="shared" si="28"/>
        <v>0</v>
      </c>
      <c r="T121" s="18">
        <v>1</v>
      </c>
      <c r="U121" s="64">
        <f t="shared" si="29"/>
        <v>0.33333333333333331</v>
      </c>
      <c r="V121" s="18">
        <v>4</v>
      </c>
      <c r="W121" s="71">
        <f t="shared" si="30"/>
        <v>1</v>
      </c>
      <c r="X121" s="18">
        <v>0</v>
      </c>
      <c r="Y121" s="71">
        <f t="shared" si="31"/>
        <v>0</v>
      </c>
      <c r="Z121" s="18">
        <v>1</v>
      </c>
      <c r="AA121" s="71">
        <f t="shared" si="32"/>
        <v>0.33333333333333331</v>
      </c>
      <c r="AB121" s="18">
        <v>2</v>
      </c>
      <c r="AC121" s="71">
        <f t="shared" si="33"/>
        <v>1</v>
      </c>
      <c r="AD121" s="58">
        <v>1</v>
      </c>
      <c r="AE121" s="58">
        <v>0</v>
      </c>
      <c r="AF121" s="58">
        <v>1</v>
      </c>
      <c r="AG121" s="58">
        <v>0</v>
      </c>
      <c r="AH121" s="58">
        <v>0</v>
      </c>
      <c r="AI121" s="58">
        <v>0</v>
      </c>
      <c r="AJ121" s="19">
        <v>2</v>
      </c>
      <c r="AK121" s="71">
        <f t="shared" si="34"/>
        <v>1</v>
      </c>
      <c r="AL121" s="18">
        <v>2</v>
      </c>
      <c r="AM121" s="71">
        <f t="shared" si="35"/>
        <v>0.66666666666666663</v>
      </c>
      <c r="AN121" s="18">
        <v>2</v>
      </c>
      <c r="AO121" s="71">
        <f t="shared" si="36"/>
        <v>0.66666666666666663</v>
      </c>
      <c r="AP121" s="18">
        <v>1</v>
      </c>
      <c r="AQ121" s="71">
        <f t="shared" si="37"/>
        <v>0.33333333333333331</v>
      </c>
      <c r="AR121" s="58">
        <v>0</v>
      </c>
      <c r="AS121" s="18">
        <v>2</v>
      </c>
      <c r="AT121" s="71">
        <f t="shared" si="38"/>
        <v>0.66666666666666663</v>
      </c>
      <c r="AU121" s="18">
        <v>2</v>
      </c>
      <c r="AV121" s="71">
        <f t="shared" si="39"/>
        <v>0.66666666666666663</v>
      </c>
      <c r="AW121" s="18">
        <v>0</v>
      </c>
      <c r="AX121" s="71">
        <f t="shared" si="40"/>
        <v>0</v>
      </c>
      <c r="AY121" s="18">
        <v>0</v>
      </c>
      <c r="AZ121" s="71">
        <f t="shared" si="41"/>
        <v>0</v>
      </c>
      <c r="BA121" s="74">
        <v>0</v>
      </c>
      <c r="BB121" s="74">
        <v>0</v>
      </c>
      <c r="BC121" s="74">
        <v>0</v>
      </c>
      <c r="BD121" s="74">
        <v>1</v>
      </c>
      <c r="BE121" s="81">
        <f t="shared" si="42"/>
        <v>0.54166666666666652</v>
      </c>
      <c r="BF121" s="81" t="str">
        <f t="shared" si="43"/>
        <v>MEDIO</v>
      </c>
    </row>
    <row r="122" spans="1:58" x14ac:dyDescent="0.15">
      <c r="A122" s="57">
        <v>3</v>
      </c>
      <c r="B122" s="57">
        <v>2</v>
      </c>
      <c r="C122" s="57">
        <v>1</v>
      </c>
      <c r="D122" s="57">
        <v>2</v>
      </c>
      <c r="E122" s="58">
        <v>1</v>
      </c>
      <c r="F122" s="17">
        <v>2</v>
      </c>
      <c r="G122" s="64">
        <f t="shared" si="22"/>
        <v>1</v>
      </c>
      <c r="H122" s="17">
        <v>2</v>
      </c>
      <c r="I122" s="64">
        <f t="shared" si="23"/>
        <v>1</v>
      </c>
      <c r="J122" s="17">
        <v>1</v>
      </c>
      <c r="K122" s="64">
        <f t="shared" si="24"/>
        <v>0.5</v>
      </c>
      <c r="L122" s="17">
        <v>2</v>
      </c>
      <c r="M122" s="64">
        <f t="shared" si="25"/>
        <v>0.66666666666666663</v>
      </c>
      <c r="N122" s="17">
        <v>2</v>
      </c>
      <c r="O122" s="64">
        <f t="shared" si="26"/>
        <v>0.4</v>
      </c>
      <c r="P122" s="17">
        <v>3</v>
      </c>
      <c r="Q122" s="64">
        <f t="shared" si="27"/>
        <v>1</v>
      </c>
      <c r="R122" s="25">
        <v>3</v>
      </c>
      <c r="S122" s="71">
        <f t="shared" si="28"/>
        <v>1</v>
      </c>
      <c r="T122" s="17">
        <v>3</v>
      </c>
      <c r="U122" s="64">
        <f t="shared" si="29"/>
        <v>1</v>
      </c>
      <c r="V122" s="17">
        <v>0</v>
      </c>
      <c r="W122" s="71">
        <f t="shared" si="30"/>
        <v>0</v>
      </c>
      <c r="X122" s="17">
        <v>2</v>
      </c>
      <c r="Y122" s="71">
        <f t="shared" si="31"/>
        <v>0.66666666666666663</v>
      </c>
      <c r="Z122" s="17">
        <v>3</v>
      </c>
      <c r="AA122" s="71">
        <f t="shared" si="32"/>
        <v>1</v>
      </c>
      <c r="AB122" s="17">
        <v>1</v>
      </c>
      <c r="AC122" s="71">
        <f t="shared" si="33"/>
        <v>0.5</v>
      </c>
      <c r="AD122" s="57">
        <v>1</v>
      </c>
      <c r="AE122" s="57">
        <v>0</v>
      </c>
      <c r="AF122" s="57">
        <v>1</v>
      </c>
      <c r="AG122" s="57">
        <v>0</v>
      </c>
      <c r="AH122" s="57">
        <v>0</v>
      </c>
      <c r="AI122" s="57">
        <v>0</v>
      </c>
      <c r="AJ122" s="20">
        <v>2</v>
      </c>
      <c r="AK122" s="71">
        <f t="shared" si="34"/>
        <v>1</v>
      </c>
      <c r="AL122" s="17">
        <v>2</v>
      </c>
      <c r="AM122" s="71">
        <f t="shared" si="35"/>
        <v>0.66666666666666663</v>
      </c>
      <c r="AN122" s="17">
        <v>2</v>
      </c>
      <c r="AO122" s="71">
        <f t="shared" si="36"/>
        <v>0.66666666666666663</v>
      </c>
      <c r="AP122" s="17">
        <v>3</v>
      </c>
      <c r="AQ122" s="71">
        <f t="shared" si="37"/>
        <v>1</v>
      </c>
      <c r="AR122" s="57">
        <v>2</v>
      </c>
      <c r="AS122" s="17">
        <v>3</v>
      </c>
      <c r="AT122" s="71">
        <f t="shared" si="38"/>
        <v>1</v>
      </c>
      <c r="AU122" s="17">
        <v>3</v>
      </c>
      <c r="AV122" s="71">
        <f t="shared" si="39"/>
        <v>1</v>
      </c>
      <c r="AW122" s="17">
        <v>2</v>
      </c>
      <c r="AX122" s="71">
        <f t="shared" si="40"/>
        <v>1</v>
      </c>
      <c r="AY122" s="17">
        <v>3</v>
      </c>
      <c r="AZ122" s="71">
        <f t="shared" si="41"/>
        <v>1</v>
      </c>
      <c r="BA122" s="73">
        <v>0</v>
      </c>
      <c r="BB122" s="73">
        <v>1</v>
      </c>
      <c r="BC122" s="73">
        <v>1</v>
      </c>
      <c r="BD122" s="73">
        <v>0</v>
      </c>
      <c r="BE122" s="81">
        <f t="shared" si="42"/>
        <v>0.85333333333333328</v>
      </c>
      <c r="BF122" s="81" t="str">
        <f t="shared" si="43"/>
        <v>ALTO</v>
      </c>
    </row>
    <row r="123" spans="1:58" x14ac:dyDescent="0.15">
      <c r="A123" s="58">
        <v>4</v>
      </c>
      <c r="B123" s="58">
        <v>1</v>
      </c>
      <c r="C123" s="58">
        <v>3</v>
      </c>
      <c r="D123" s="58">
        <v>2</v>
      </c>
      <c r="E123" s="58">
        <v>1</v>
      </c>
      <c r="F123" s="18">
        <v>1</v>
      </c>
      <c r="G123" s="64">
        <f t="shared" si="22"/>
        <v>0.5</v>
      </c>
      <c r="H123" s="18">
        <v>2</v>
      </c>
      <c r="I123" s="64">
        <f t="shared" si="23"/>
        <v>1</v>
      </c>
      <c r="J123" s="18">
        <v>1</v>
      </c>
      <c r="K123" s="64">
        <f t="shared" si="24"/>
        <v>0.5</v>
      </c>
      <c r="L123" s="18">
        <v>2</v>
      </c>
      <c r="M123" s="64">
        <f t="shared" si="25"/>
        <v>0.66666666666666663</v>
      </c>
      <c r="N123" s="18">
        <v>3</v>
      </c>
      <c r="O123" s="64">
        <f t="shared" si="26"/>
        <v>0.6</v>
      </c>
      <c r="P123" s="18">
        <v>2</v>
      </c>
      <c r="Q123" s="64">
        <f t="shared" si="27"/>
        <v>0.66666666666666663</v>
      </c>
      <c r="R123" s="24">
        <v>2</v>
      </c>
      <c r="S123" s="71">
        <f t="shared" si="28"/>
        <v>0.66666666666666663</v>
      </c>
      <c r="T123" s="18">
        <v>2</v>
      </c>
      <c r="U123" s="64">
        <f t="shared" si="29"/>
        <v>0.66666666666666663</v>
      </c>
      <c r="V123" s="18">
        <v>3</v>
      </c>
      <c r="W123" s="71">
        <f t="shared" si="30"/>
        <v>0.75</v>
      </c>
      <c r="X123" s="18">
        <v>2</v>
      </c>
      <c r="Y123" s="71">
        <f t="shared" si="31"/>
        <v>0.66666666666666663</v>
      </c>
      <c r="Z123" s="18">
        <v>2</v>
      </c>
      <c r="AA123" s="71">
        <f t="shared" si="32"/>
        <v>0.66666666666666663</v>
      </c>
      <c r="AB123" s="18">
        <v>2</v>
      </c>
      <c r="AC123" s="71">
        <f t="shared" si="33"/>
        <v>1</v>
      </c>
      <c r="AD123" s="58">
        <v>1</v>
      </c>
      <c r="AE123" s="58">
        <v>0</v>
      </c>
      <c r="AF123" s="58">
        <v>1</v>
      </c>
      <c r="AG123" s="58">
        <v>0</v>
      </c>
      <c r="AH123" s="58">
        <v>0</v>
      </c>
      <c r="AI123" s="58">
        <v>0</v>
      </c>
      <c r="AJ123" s="19">
        <v>1</v>
      </c>
      <c r="AK123" s="71">
        <f t="shared" si="34"/>
        <v>0.5</v>
      </c>
      <c r="AL123" s="18">
        <v>1</v>
      </c>
      <c r="AM123" s="71">
        <f t="shared" si="35"/>
        <v>0.33333333333333331</v>
      </c>
      <c r="AN123" s="18">
        <v>1</v>
      </c>
      <c r="AO123" s="71">
        <f t="shared" si="36"/>
        <v>0.33333333333333331</v>
      </c>
      <c r="AP123" s="18">
        <v>2</v>
      </c>
      <c r="AQ123" s="71">
        <f t="shared" si="37"/>
        <v>0.66666666666666663</v>
      </c>
      <c r="AR123" s="58">
        <v>2</v>
      </c>
      <c r="AS123" s="18">
        <v>2</v>
      </c>
      <c r="AT123" s="71">
        <f t="shared" si="38"/>
        <v>0.66666666666666663</v>
      </c>
      <c r="AU123" s="18">
        <v>2</v>
      </c>
      <c r="AV123" s="71">
        <f t="shared" si="39"/>
        <v>0.66666666666666663</v>
      </c>
      <c r="AW123" s="18">
        <v>0</v>
      </c>
      <c r="AX123" s="71">
        <f t="shared" si="40"/>
        <v>0</v>
      </c>
      <c r="AY123" s="18">
        <v>0</v>
      </c>
      <c r="AZ123" s="71">
        <f t="shared" si="41"/>
        <v>0</v>
      </c>
      <c r="BA123" s="74">
        <v>1</v>
      </c>
      <c r="BB123" s="74">
        <v>1</v>
      </c>
      <c r="BC123" s="74">
        <v>0</v>
      </c>
      <c r="BD123" s="74">
        <v>0</v>
      </c>
      <c r="BE123" s="81">
        <f t="shared" si="42"/>
        <v>0.60083333333333333</v>
      </c>
      <c r="BF123" s="81" t="str">
        <f t="shared" si="43"/>
        <v>MEDIO</v>
      </c>
    </row>
    <row r="124" spans="1:58" x14ac:dyDescent="0.15">
      <c r="A124" s="57">
        <v>2</v>
      </c>
      <c r="B124" s="57">
        <v>1</v>
      </c>
      <c r="C124" s="57">
        <v>3</v>
      </c>
      <c r="D124" s="57">
        <v>2</v>
      </c>
      <c r="E124" s="58">
        <v>1</v>
      </c>
      <c r="F124" s="17">
        <v>1</v>
      </c>
      <c r="G124" s="64">
        <f t="shared" si="22"/>
        <v>0.5</v>
      </c>
      <c r="H124" s="17">
        <v>1</v>
      </c>
      <c r="I124" s="64">
        <f t="shared" si="23"/>
        <v>0.5</v>
      </c>
      <c r="J124" s="17">
        <v>1</v>
      </c>
      <c r="K124" s="64">
        <f t="shared" si="24"/>
        <v>0.5</v>
      </c>
      <c r="L124" s="17">
        <v>2</v>
      </c>
      <c r="M124" s="64">
        <f t="shared" si="25"/>
        <v>0.66666666666666663</v>
      </c>
      <c r="N124" s="17">
        <v>3</v>
      </c>
      <c r="O124" s="64">
        <f t="shared" si="26"/>
        <v>0.6</v>
      </c>
      <c r="P124" s="17">
        <v>0</v>
      </c>
      <c r="Q124" s="64">
        <f t="shared" si="27"/>
        <v>0</v>
      </c>
      <c r="R124" s="25">
        <v>2</v>
      </c>
      <c r="S124" s="71">
        <f t="shared" si="28"/>
        <v>0.66666666666666663</v>
      </c>
      <c r="T124" s="17">
        <v>2</v>
      </c>
      <c r="U124" s="64">
        <f t="shared" si="29"/>
        <v>0.66666666666666663</v>
      </c>
      <c r="V124" s="17">
        <v>3</v>
      </c>
      <c r="W124" s="71">
        <f t="shared" si="30"/>
        <v>0.75</v>
      </c>
      <c r="X124" s="17">
        <v>2</v>
      </c>
      <c r="Y124" s="71">
        <f t="shared" si="31"/>
        <v>0.66666666666666663</v>
      </c>
      <c r="Z124" s="17">
        <v>1</v>
      </c>
      <c r="AA124" s="71">
        <f t="shared" si="32"/>
        <v>0.33333333333333331</v>
      </c>
      <c r="AB124" s="17">
        <v>2</v>
      </c>
      <c r="AC124" s="71">
        <f t="shared" si="33"/>
        <v>1</v>
      </c>
      <c r="AD124" s="57">
        <v>1</v>
      </c>
      <c r="AE124" s="57">
        <v>0</v>
      </c>
      <c r="AF124" s="57">
        <v>0</v>
      </c>
      <c r="AG124" s="57">
        <v>1</v>
      </c>
      <c r="AH124" s="57">
        <v>0</v>
      </c>
      <c r="AI124" s="57">
        <v>0</v>
      </c>
      <c r="AJ124" s="20">
        <v>1</v>
      </c>
      <c r="AK124" s="71">
        <f t="shared" si="34"/>
        <v>0.5</v>
      </c>
      <c r="AL124" s="17">
        <v>3</v>
      </c>
      <c r="AM124" s="71">
        <f t="shared" si="35"/>
        <v>1</v>
      </c>
      <c r="AN124" s="17">
        <v>1</v>
      </c>
      <c r="AO124" s="71">
        <f t="shared" si="36"/>
        <v>0.33333333333333331</v>
      </c>
      <c r="AP124" s="17">
        <v>1</v>
      </c>
      <c r="AQ124" s="71">
        <f t="shared" si="37"/>
        <v>0.33333333333333331</v>
      </c>
      <c r="AR124" s="57">
        <v>2</v>
      </c>
      <c r="AS124" s="17">
        <v>1</v>
      </c>
      <c r="AT124" s="71">
        <f t="shared" si="38"/>
        <v>0.33333333333333331</v>
      </c>
      <c r="AU124" s="17">
        <v>0</v>
      </c>
      <c r="AV124" s="71">
        <f t="shared" si="39"/>
        <v>0</v>
      </c>
      <c r="AW124" s="17">
        <v>0</v>
      </c>
      <c r="AX124" s="71">
        <f t="shared" si="40"/>
        <v>0</v>
      </c>
      <c r="AY124" s="17">
        <v>2</v>
      </c>
      <c r="AZ124" s="71">
        <f t="shared" si="41"/>
        <v>0.66666666666666663</v>
      </c>
      <c r="BA124" s="73">
        <v>0</v>
      </c>
      <c r="BB124" s="73">
        <v>0</v>
      </c>
      <c r="BC124" s="73">
        <v>0</v>
      </c>
      <c r="BD124" s="73">
        <v>1</v>
      </c>
      <c r="BE124" s="81">
        <f t="shared" si="42"/>
        <v>0.52583333333333337</v>
      </c>
      <c r="BF124" s="81" t="str">
        <f t="shared" si="43"/>
        <v>MEDIO</v>
      </c>
    </row>
    <row r="125" spans="1:58" x14ac:dyDescent="0.15">
      <c r="A125" s="58">
        <v>3</v>
      </c>
      <c r="B125" s="58">
        <v>1</v>
      </c>
      <c r="C125" s="58">
        <v>3</v>
      </c>
      <c r="D125" s="58">
        <v>2</v>
      </c>
      <c r="E125" s="58">
        <v>1</v>
      </c>
      <c r="F125" s="18">
        <v>2</v>
      </c>
      <c r="G125" s="64">
        <f t="shared" si="22"/>
        <v>1</v>
      </c>
      <c r="H125" s="18">
        <v>1</v>
      </c>
      <c r="I125" s="64">
        <f t="shared" si="23"/>
        <v>0.5</v>
      </c>
      <c r="J125" s="18">
        <v>1</v>
      </c>
      <c r="K125" s="64">
        <f t="shared" si="24"/>
        <v>0.5</v>
      </c>
      <c r="L125" s="18">
        <v>2</v>
      </c>
      <c r="M125" s="64">
        <f t="shared" si="25"/>
        <v>0.66666666666666663</v>
      </c>
      <c r="N125" s="18">
        <v>2</v>
      </c>
      <c r="O125" s="64">
        <f t="shared" si="26"/>
        <v>0.4</v>
      </c>
      <c r="P125" s="18">
        <v>2</v>
      </c>
      <c r="Q125" s="64">
        <f t="shared" si="27"/>
        <v>0.66666666666666663</v>
      </c>
      <c r="R125" s="24">
        <v>3</v>
      </c>
      <c r="S125" s="71">
        <f t="shared" si="28"/>
        <v>1</v>
      </c>
      <c r="T125" s="18">
        <v>1</v>
      </c>
      <c r="U125" s="64">
        <f t="shared" si="29"/>
        <v>0.33333333333333331</v>
      </c>
      <c r="V125" s="18">
        <v>3</v>
      </c>
      <c r="W125" s="71">
        <f t="shared" si="30"/>
        <v>0.75</v>
      </c>
      <c r="X125" s="18">
        <v>2</v>
      </c>
      <c r="Y125" s="71">
        <f t="shared" si="31"/>
        <v>0.66666666666666663</v>
      </c>
      <c r="Z125" s="18">
        <v>1</v>
      </c>
      <c r="AA125" s="71">
        <f t="shared" si="32"/>
        <v>0.33333333333333331</v>
      </c>
      <c r="AB125" s="18">
        <v>2</v>
      </c>
      <c r="AC125" s="71">
        <f t="shared" si="33"/>
        <v>1</v>
      </c>
      <c r="AD125" s="58">
        <v>1</v>
      </c>
      <c r="AE125" s="58">
        <v>0</v>
      </c>
      <c r="AF125" s="58">
        <v>1</v>
      </c>
      <c r="AG125" s="58">
        <v>0</v>
      </c>
      <c r="AH125" s="58">
        <v>0</v>
      </c>
      <c r="AI125" s="58">
        <v>0</v>
      </c>
      <c r="AJ125" s="19">
        <v>0</v>
      </c>
      <c r="AK125" s="71">
        <f t="shared" si="34"/>
        <v>0</v>
      </c>
      <c r="AL125" s="18">
        <v>3</v>
      </c>
      <c r="AM125" s="71">
        <f t="shared" si="35"/>
        <v>1</v>
      </c>
      <c r="AN125" s="18">
        <v>2</v>
      </c>
      <c r="AO125" s="71">
        <f t="shared" si="36"/>
        <v>0.66666666666666663</v>
      </c>
      <c r="AP125" s="18">
        <v>2</v>
      </c>
      <c r="AQ125" s="71">
        <f t="shared" si="37"/>
        <v>0.66666666666666663</v>
      </c>
      <c r="AR125" s="58">
        <v>2</v>
      </c>
      <c r="AS125" s="18">
        <v>2</v>
      </c>
      <c r="AT125" s="71">
        <f t="shared" si="38"/>
        <v>0.66666666666666663</v>
      </c>
      <c r="AU125" s="18">
        <v>3</v>
      </c>
      <c r="AV125" s="71">
        <f t="shared" si="39"/>
        <v>1</v>
      </c>
      <c r="AW125" s="18">
        <v>0</v>
      </c>
      <c r="AX125" s="71">
        <f t="shared" si="40"/>
        <v>0</v>
      </c>
      <c r="AY125" s="18">
        <v>3</v>
      </c>
      <c r="AZ125" s="71">
        <f t="shared" si="41"/>
        <v>1</v>
      </c>
      <c r="BA125" s="74">
        <v>1</v>
      </c>
      <c r="BB125" s="74">
        <v>1</v>
      </c>
      <c r="BC125" s="74">
        <v>0</v>
      </c>
      <c r="BD125" s="74">
        <v>0</v>
      </c>
      <c r="BE125" s="81">
        <f t="shared" si="42"/>
        <v>0.69083333333333319</v>
      </c>
      <c r="BF125" s="81" t="str">
        <f t="shared" si="43"/>
        <v>ALTO</v>
      </c>
    </row>
    <row r="126" spans="1:58" x14ac:dyDescent="0.15">
      <c r="A126" s="57">
        <v>1</v>
      </c>
      <c r="B126" s="57">
        <v>1</v>
      </c>
      <c r="C126" s="57">
        <v>1</v>
      </c>
      <c r="D126" s="57">
        <v>2</v>
      </c>
      <c r="E126" s="58">
        <v>1</v>
      </c>
      <c r="F126" s="17">
        <v>2</v>
      </c>
      <c r="G126" s="64">
        <f t="shared" si="22"/>
        <v>1</v>
      </c>
      <c r="H126" s="17">
        <v>2</v>
      </c>
      <c r="I126" s="64">
        <f t="shared" si="23"/>
        <v>1</v>
      </c>
      <c r="J126" s="17">
        <v>2</v>
      </c>
      <c r="K126" s="64">
        <f t="shared" si="24"/>
        <v>1</v>
      </c>
      <c r="L126" s="17">
        <v>3</v>
      </c>
      <c r="M126" s="64">
        <f t="shared" si="25"/>
        <v>1</v>
      </c>
      <c r="N126" s="17">
        <v>2</v>
      </c>
      <c r="O126" s="64">
        <f t="shared" si="26"/>
        <v>0.4</v>
      </c>
      <c r="P126" s="17">
        <v>1</v>
      </c>
      <c r="Q126" s="64">
        <f t="shared" si="27"/>
        <v>0.33333333333333331</v>
      </c>
      <c r="R126" s="25">
        <v>3</v>
      </c>
      <c r="S126" s="71">
        <f t="shared" si="28"/>
        <v>1</v>
      </c>
      <c r="T126" s="17">
        <v>3</v>
      </c>
      <c r="U126" s="64">
        <f t="shared" si="29"/>
        <v>1</v>
      </c>
      <c r="V126" s="17">
        <v>4</v>
      </c>
      <c r="W126" s="71">
        <f t="shared" si="30"/>
        <v>1</v>
      </c>
      <c r="X126" s="17">
        <v>3</v>
      </c>
      <c r="Y126" s="71">
        <f t="shared" si="31"/>
        <v>1</v>
      </c>
      <c r="Z126" s="17">
        <v>3</v>
      </c>
      <c r="AA126" s="71">
        <f t="shared" si="32"/>
        <v>1</v>
      </c>
      <c r="AB126" s="17">
        <v>0</v>
      </c>
      <c r="AC126" s="71">
        <f t="shared" si="33"/>
        <v>0</v>
      </c>
      <c r="AD126" s="57">
        <v>1</v>
      </c>
      <c r="AE126" s="57">
        <v>1</v>
      </c>
      <c r="AF126" s="57">
        <v>0</v>
      </c>
      <c r="AG126" s="57">
        <v>0</v>
      </c>
      <c r="AH126" s="57">
        <v>0</v>
      </c>
      <c r="AI126" s="57">
        <v>0</v>
      </c>
      <c r="AJ126" s="20">
        <v>2</v>
      </c>
      <c r="AK126" s="71">
        <f t="shared" si="34"/>
        <v>1</v>
      </c>
      <c r="AL126" s="17">
        <v>2</v>
      </c>
      <c r="AM126" s="71">
        <f t="shared" si="35"/>
        <v>0.66666666666666663</v>
      </c>
      <c r="AN126" s="17">
        <v>1</v>
      </c>
      <c r="AO126" s="71">
        <f t="shared" si="36"/>
        <v>0.33333333333333331</v>
      </c>
      <c r="AP126" s="17">
        <v>3</v>
      </c>
      <c r="AQ126" s="71">
        <f t="shared" si="37"/>
        <v>1</v>
      </c>
      <c r="AR126" s="57">
        <v>0</v>
      </c>
      <c r="AS126" s="17">
        <v>2</v>
      </c>
      <c r="AT126" s="71">
        <f t="shared" si="38"/>
        <v>0.66666666666666663</v>
      </c>
      <c r="AU126" s="17">
        <v>3</v>
      </c>
      <c r="AV126" s="71">
        <f t="shared" si="39"/>
        <v>1</v>
      </c>
      <c r="AW126" s="17">
        <v>2</v>
      </c>
      <c r="AX126" s="71">
        <f t="shared" si="40"/>
        <v>1</v>
      </c>
      <c r="AY126" s="17">
        <v>3</v>
      </c>
      <c r="AZ126" s="71">
        <f t="shared" si="41"/>
        <v>1</v>
      </c>
      <c r="BA126" s="73">
        <v>1</v>
      </c>
      <c r="BB126" s="73">
        <v>1</v>
      </c>
      <c r="BC126" s="73">
        <v>0</v>
      </c>
      <c r="BD126" s="73">
        <v>0</v>
      </c>
      <c r="BE126" s="81">
        <f t="shared" si="42"/>
        <v>0.86999999999999988</v>
      </c>
      <c r="BF126" s="81" t="str">
        <f t="shared" si="43"/>
        <v>ALTO</v>
      </c>
    </row>
    <row r="127" spans="1:58" x14ac:dyDescent="0.15">
      <c r="A127" s="58">
        <v>4</v>
      </c>
      <c r="B127" s="58">
        <v>1</v>
      </c>
      <c r="C127" s="58">
        <v>3</v>
      </c>
      <c r="D127" s="58">
        <v>1</v>
      </c>
      <c r="E127" s="58">
        <v>1</v>
      </c>
      <c r="F127" s="18">
        <v>2</v>
      </c>
      <c r="G127" s="64">
        <f t="shared" si="22"/>
        <v>1</v>
      </c>
      <c r="H127" s="18">
        <v>1</v>
      </c>
      <c r="I127" s="64">
        <f t="shared" si="23"/>
        <v>0.5</v>
      </c>
      <c r="J127" s="18">
        <v>1</v>
      </c>
      <c r="K127" s="64">
        <f t="shared" si="24"/>
        <v>0.5</v>
      </c>
      <c r="L127" s="18">
        <v>1</v>
      </c>
      <c r="M127" s="64">
        <f t="shared" si="25"/>
        <v>0.33333333333333331</v>
      </c>
      <c r="N127" s="18">
        <v>2</v>
      </c>
      <c r="O127" s="64">
        <f t="shared" si="26"/>
        <v>0.4</v>
      </c>
      <c r="P127" s="18">
        <v>3</v>
      </c>
      <c r="Q127" s="64">
        <f t="shared" si="27"/>
        <v>1</v>
      </c>
      <c r="R127" s="24">
        <v>3</v>
      </c>
      <c r="S127" s="71">
        <f t="shared" si="28"/>
        <v>1</v>
      </c>
      <c r="T127" s="18">
        <v>2</v>
      </c>
      <c r="U127" s="64">
        <f t="shared" si="29"/>
        <v>0.66666666666666663</v>
      </c>
      <c r="V127" s="18">
        <v>3</v>
      </c>
      <c r="W127" s="71">
        <f t="shared" si="30"/>
        <v>0.75</v>
      </c>
      <c r="X127" s="18">
        <v>3</v>
      </c>
      <c r="Y127" s="71">
        <f t="shared" si="31"/>
        <v>1</v>
      </c>
      <c r="Z127" s="18">
        <v>1</v>
      </c>
      <c r="AA127" s="71">
        <f t="shared" si="32"/>
        <v>0.33333333333333331</v>
      </c>
      <c r="AB127" s="18">
        <v>2</v>
      </c>
      <c r="AC127" s="71">
        <f t="shared" si="33"/>
        <v>1</v>
      </c>
      <c r="AD127" s="58">
        <v>1</v>
      </c>
      <c r="AE127" s="58">
        <v>0</v>
      </c>
      <c r="AF127" s="58">
        <v>1</v>
      </c>
      <c r="AG127" s="58">
        <v>0</v>
      </c>
      <c r="AH127" s="58">
        <v>0</v>
      </c>
      <c r="AI127" s="58">
        <v>0</v>
      </c>
      <c r="AJ127" s="19">
        <v>1</v>
      </c>
      <c r="AK127" s="71">
        <f t="shared" si="34"/>
        <v>0.5</v>
      </c>
      <c r="AL127" s="18">
        <v>1</v>
      </c>
      <c r="AM127" s="71">
        <f t="shared" si="35"/>
        <v>0.33333333333333331</v>
      </c>
      <c r="AN127" s="18">
        <v>1</v>
      </c>
      <c r="AO127" s="71">
        <f t="shared" si="36"/>
        <v>0.33333333333333331</v>
      </c>
      <c r="AP127" s="18">
        <v>2</v>
      </c>
      <c r="AQ127" s="71">
        <f t="shared" si="37"/>
        <v>0.66666666666666663</v>
      </c>
      <c r="AR127" s="58">
        <v>2</v>
      </c>
      <c r="AS127" s="18">
        <v>2</v>
      </c>
      <c r="AT127" s="71">
        <f t="shared" si="38"/>
        <v>0.66666666666666663</v>
      </c>
      <c r="AU127" s="18">
        <v>1</v>
      </c>
      <c r="AV127" s="71">
        <f t="shared" si="39"/>
        <v>0.33333333333333331</v>
      </c>
      <c r="AW127" s="18">
        <v>1</v>
      </c>
      <c r="AX127" s="71">
        <f t="shared" si="40"/>
        <v>0.5</v>
      </c>
      <c r="AY127" s="18">
        <v>1</v>
      </c>
      <c r="AZ127" s="71">
        <f t="shared" si="41"/>
        <v>0.33333333333333331</v>
      </c>
      <c r="BA127" s="74">
        <v>1</v>
      </c>
      <c r="BB127" s="74">
        <v>1</v>
      </c>
      <c r="BC127" s="74">
        <v>0</v>
      </c>
      <c r="BD127" s="74">
        <v>0</v>
      </c>
      <c r="BE127" s="81">
        <f t="shared" si="42"/>
        <v>0.65750000000000008</v>
      </c>
      <c r="BF127" s="81" t="str">
        <f t="shared" si="43"/>
        <v>MEDIO</v>
      </c>
    </row>
    <row r="128" spans="1:58" x14ac:dyDescent="0.15">
      <c r="A128" s="57">
        <v>5</v>
      </c>
      <c r="B128" s="57">
        <v>1</v>
      </c>
      <c r="C128" s="57">
        <v>1</v>
      </c>
      <c r="D128" s="57">
        <v>2</v>
      </c>
      <c r="E128" s="58">
        <v>1</v>
      </c>
      <c r="F128" s="17">
        <v>1</v>
      </c>
      <c r="G128" s="64">
        <f t="shared" si="22"/>
        <v>0.5</v>
      </c>
      <c r="H128" s="17">
        <v>0</v>
      </c>
      <c r="I128" s="64">
        <f t="shared" si="23"/>
        <v>0</v>
      </c>
      <c r="J128" s="17">
        <v>1</v>
      </c>
      <c r="K128" s="64">
        <f t="shared" si="24"/>
        <v>0.5</v>
      </c>
      <c r="L128" s="17">
        <v>3</v>
      </c>
      <c r="M128" s="64">
        <f t="shared" si="25"/>
        <v>1</v>
      </c>
      <c r="N128" s="17">
        <v>0</v>
      </c>
      <c r="O128" s="64">
        <f t="shared" si="26"/>
        <v>0</v>
      </c>
      <c r="P128" s="17">
        <v>3</v>
      </c>
      <c r="Q128" s="64">
        <f t="shared" si="27"/>
        <v>1</v>
      </c>
      <c r="R128" s="25">
        <v>0</v>
      </c>
      <c r="S128" s="71">
        <f t="shared" si="28"/>
        <v>0</v>
      </c>
      <c r="T128" s="17">
        <v>2</v>
      </c>
      <c r="U128" s="64">
        <f t="shared" si="29"/>
        <v>0.66666666666666663</v>
      </c>
      <c r="V128" s="17">
        <v>4</v>
      </c>
      <c r="W128" s="71">
        <f t="shared" si="30"/>
        <v>1</v>
      </c>
      <c r="X128" s="17">
        <v>2</v>
      </c>
      <c r="Y128" s="71">
        <f t="shared" si="31"/>
        <v>0.66666666666666663</v>
      </c>
      <c r="Z128" s="17">
        <v>0</v>
      </c>
      <c r="AA128" s="71">
        <f t="shared" si="32"/>
        <v>0</v>
      </c>
      <c r="AB128" s="17">
        <v>1</v>
      </c>
      <c r="AC128" s="71">
        <f t="shared" si="33"/>
        <v>0.5</v>
      </c>
      <c r="AD128" s="57">
        <v>1</v>
      </c>
      <c r="AE128" s="57">
        <v>0</v>
      </c>
      <c r="AF128" s="57">
        <v>1</v>
      </c>
      <c r="AG128" s="57">
        <v>0</v>
      </c>
      <c r="AH128" s="57">
        <v>0</v>
      </c>
      <c r="AI128" s="57">
        <v>0</v>
      </c>
      <c r="AJ128" s="20">
        <v>1</v>
      </c>
      <c r="AK128" s="71">
        <f t="shared" si="34"/>
        <v>0.5</v>
      </c>
      <c r="AL128" s="17">
        <v>3</v>
      </c>
      <c r="AM128" s="71">
        <f t="shared" si="35"/>
        <v>1</v>
      </c>
      <c r="AN128" s="17">
        <v>2</v>
      </c>
      <c r="AO128" s="71">
        <f t="shared" si="36"/>
        <v>0.66666666666666663</v>
      </c>
      <c r="AP128" s="17">
        <v>2</v>
      </c>
      <c r="AQ128" s="71">
        <f t="shared" si="37"/>
        <v>0.66666666666666663</v>
      </c>
      <c r="AR128" s="57">
        <v>1</v>
      </c>
      <c r="AS128" s="17">
        <v>0</v>
      </c>
      <c r="AT128" s="71">
        <f t="shared" si="38"/>
        <v>0</v>
      </c>
      <c r="AU128" s="17">
        <v>1</v>
      </c>
      <c r="AV128" s="71">
        <f t="shared" si="39"/>
        <v>0.33333333333333331</v>
      </c>
      <c r="AW128" s="17">
        <v>1</v>
      </c>
      <c r="AX128" s="71">
        <f t="shared" si="40"/>
        <v>0.5</v>
      </c>
      <c r="AY128" s="17">
        <v>1</v>
      </c>
      <c r="AZ128" s="71">
        <f t="shared" si="41"/>
        <v>0.33333333333333331</v>
      </c>
      <c r="BA128" s="73">
        <v>0</v>
      </c>
      <c r="BB128" s="73">
        <v>0</v>
      </c>
      <c r="BC128" s="73">
        <v>0</v>
      </c>
      <c r="BD128" s="73">
        <v>1</v>
      </c>
      <c r="BE128" s="81">
        <f t="shared" si="42"/>
        <v>0.51666666666666672</v>
      </c>
      <c r="BF128" s="81" t="str">
        <f t="shared" si="43"/>
        <v>MEDIO</v>
      </c>
    </row>
    <row r="129" spans="1:58" x14ac:dyDescent="0.15">
      <c r="A129" s="58">
        <v>2</v>
      </c>
      <c r="B129" s="58">
        <v>1</v>
      </c>
      <c r="C129" s="58">
        <v>2</v>
      </c>
      <c r="D129" s="58">
        <v>0</v>
      </c>
      <c r="E129" s="58">
        <v>1</v>
      </c>
      <c r="F129" s="18">
        <v>1</v>
      </c>
      <c r="G129" s="64">
        <f t="shared" si="22"/>
        <v>0.5</v>
      </c>
      <c r="H129" s="18">
        <v>2</v>
      </c>
      <c r="I129" s="64">
        <f t="shared" si="23"/>
        <v>1</v>
      </c>
      <c r="J129" s="18">
        <v>2</v>
      </c>
      <c r="K129" s="64">
        <f t="shared" si="24"/>
        <v>1</v>
      </c>
      <c r="L129" s="18">
        <v>2</v>
      </c>
      <c r="M129" s="64">
        <f t="shared" si="25"/>
        <v>0.66666666666666663</v>
      </c>
      <c r="N129" s="18">
        <v>0</v>
      </c>
      <c r="O129" s="64">
        <f t="shared" si="26"/>
        <v>0</v>
      </c>
      <c r="P129" s="18">
        <v>2</v>
      </c>
      <c r="Q129" s="64">
        <f t="shared" si="27"/>
        <v>0.66666666666666663</v>
      </c>
      <c r="R129" s="24">
        <v>1</v>
      </c>
      <c r="S129" s="71">
        <f t="shared" si="28"/>
        <v>0.33333333333333331</v>
      </c>
      <c r="T129" s="18">
        <v>3</v>
      </c>
      <c r="U129" s="64">
        <f t="shared" si="29"/>
        <v>1</v>
      </c>
      <c r="V129" s="18">
        <v>3</v>
      </c>
      <c r="W129" s="71">
        <f t="shared" si="30"/>
        <v>0.75</v>
      </c>
      <c r="X129" s="18">
        <v>2</v>
      </c>
      <c r="Y129" s="71">
        <f t="shared" si="31"/>
        <v>0.66666666666666663</v>
      </c>
      <c r="Z129" s="18">
        <v>3</v>
      </c>
      <c r="AA129" s="71">
        <f t="shared" si="32"/>
        <v>1</v>
      </c>
      <c r="AB129" s="18">
        <v>1</v>
      </c>
      <c r="AC129" s="71">
        <f t="shared" si="33"/>
        <v>0.5</v>
      </c>
      <c r="AD129" s="58">
        <v>1</v>
      </c>
      <c r="AE129" s="58">
        <v>1</v>
      </c>
      <c r="AF129" s="58">
        <v>0</v>
      </c>
      <c r="AG129" s="58">
        <v>0</v>
      </c>
      <c r="AH129" s="58">
        <v>0</v>
      </c>
      <c r="AI129" s="58">
        <v>0</v>
      </c>
      <c r="AJ129" s="19">
        <v>2</v>
      </c>
      <c r="AK129" s="71">
        <f t="shared" si="34"/>
        <v>1</v>
      </c>
      <c r="AL129" s="18">
        <v>2</v>
      </c>
      <c r="AM129" s="71">
        <f t="shared" si="35"/>
        <v>0.66666666666666663</v>
      </c>
      <c r="AN129" s="18">
        <v>1</v>
      </c>
      <c r="AO129" s="71">
        <f t="shared" si="36"/>
        <v>0.33333333333333331</v>
      </c>
      <c r="AP129" s="18">
        <v>0</v>
      </c>
      <c r="AQ129" s="71">
        <f t="shared" si="37"/>
        <v>0</v>
      </c>
      <c r="AR129" s="58">
        <v>0</v>
      </c>
      <c r="AS129" s="18">
        <v>2</v>
      </c>
      <c r="AT129" s="71">
        <f t="shared" si="38"/>
        <v>0.66666666666666663</v>
      </c>
      <c r="AU129" s="18">
        <v>3</v>
      </c>
      <c r="AV129" s="71">
        <f t="shared" si="39"/>
        <v>1</v>
      </c>
      <c r="AW129" s="18">
        <v>1</v>
      </c>
      <c r="AX129" s="71">
        <f t="shared" si="40"/>
        <v>0.5</v>
      </c>
      <c r="AY129" s="18">
        <v>3</v>
      </c>
      <c r="AZ129" s="71">
        <f t="shared" si="41"/>
        <v>1</v>
      </c>
      <c r="BA129" s="74">
        <v>1</v>
      </c>
      <c r="BB129" s="74">
        <v>1</v>
      </c>
      <c r="BC129" s="74">
        <v>0</v>
      </c>
      <c r="BD129" s="74">
        <v>0</v>
      </c>
      <c r="BE129" s="81">
        <f t="shared" si="42"/>
        <v>0.68749999999999989</v>
      </c>
      <c r="BF129" s="81" t="str">
        <f t="shared" si="43"/>
        <v>ALTO</v>
      </c>
    </row>
    <row r="130" spans="1:58" x14ac:dyDescent="0.15">
      <c r="A130" s="57">
        <v>3</v>
      </c>
      <c r="B130" s="57">
        <v>2</v>
      </c>
      <c r="C130" s="57">
        <v>1</v>
      </c>
      <c r="D130" s="57">
        <v>2</v>
      </c>
      <c r="E130" s="58">
        <v>1</v>
      </c>
      <c r="F130" s="17">
        <v>0</v>
      </c>
      <c r="G130" s="64">
        <f t="shared" ref="G130:G193" si="44">F130/2</f>
        <v>0</v>
      </c>
      <c r="H130" s="17">
        <v>2</v>
      </c>
      <c r="I130" s="64">
        <f t="shared" si="23"/>
        <v>1</v>
      </c>
      <c r="J130" s="17">
        <v>0</v>
      </c>
      <c r="K130" s="64">
        <f t="shared" si="24"/>
        <v>0</v>
      </c>
      <c r="L130" s="17">
        <v>0</v>
      </c>
      <c r="M130" s="64">
        <f t="shared" si="25"/>
        <v>0</v>
      </c>
      <c r="N130" s="17">
        <v>4</v>
      </c>
      <c r="O130" s="64">
        <f t="shared" si="26"/>
        <v>0.8</v>
      </c>
      <c r="P130" s="17">
        <v>0</v>
      </c>
      <c r="Q130" s="64">
        <f t="shared" si="27"/>
        <v>0</v>
      </c>
      <c r="R130" s="25">
        <v>0</v>
      </c>
      <c r="S130" s="71">
        <f t="shared" si="28"/>
        <v>0</v>
      </c>
      <c r="T130" s="17">
        <v>1</v>
      </c>
      <c r="U130" s="64">
        <f t="shared" si="29"/>
        <v>0.33333333333333331</v>
      </c>
      <c r="V130" s="17">
        <v>3</v>
      </c>
      <c r="W130" s="71">
        <f t="shared" si="30"/>
        <v>0.75</v>
      </c>
      <c r="X130" s="17">
        <v>0</v>
      </c>
      <c r="Y130" s="71">
        <f t="shared" si="31"/>
        <v>0</v>
      </c>
      <c r="Z130" s="17">
        <v>1</v>
      </c>
      <c r="AA130" s="71">
        <f t="shared" si="32"/>
        <v>0.33333333333333331</v>
      </c>
      <c r="AB130" s="17">
        <v>2</v>
      </c>
      <c r="AC130" s="71">
        <f t="shared" si="33"/>
        <v>1</v>
      </c>
      <c r="AD130" s="57">
        <v>0</v>
      </c>
      <c r="AE130" s="57">
        <v>0</v>
      </c>
      <c r="AF130" s="57">
        <v>1</v>
      </c>
      <c r="AG130" s="57">
        <v>1</v>
      </c>
      <c r="AH130" s="57">
        <v>0</v>
      </c>
      <c r="AI130" s="57">
        <v>0</v>
      </c>
      <c r="AJ130" s="20">
        <v>1</v>
      </c>
      <c r="AK130" s="71">
        <f t="shared" si="34"/>
        <v>0.5</v>
      </c>
      <c r="AL130" s="17">
        <v>0</v>
      </c>
      <c r="AM130" s="71">
        <f t="shared" si="35"/>
        <v>0</v>
      </c>
      <c r="AN130" s="17">
        <v>1</v>
      </c>
      <c r="AO130" s="71">
        <f t="shared" si="36"/>
        <v>0.33333333333333331</v>
      </c>
      <c r="AP130" s="17">
        <v>0</v>
      </c>
      <c r="AQ130" s="71">
        <f t="shared" si="37"/>
        <v>0</v>
      </c>
      <c r="AR130" s="57">
        <v>0</v>
      </c>
      <c r="AS130" s="17">
        <v>0</v>
      </c>
      <c r="AT130" s="71">
        <f t="shared" si="38"/>
        <v>0</v>
      </c>
      <c r="AU130" s="17">
        <v>0</v>
      </c>
      <c r="AV130" s="71">
        <f t="shared" si="39"/>
        <v>0</v>
      </c>
      <c r="AW130" s="17">
        <v>1</v>
      </c>
      <c r="AX130" s="71">
        <f t="shared" si="40"/>
        <v>0.5</v>
      </c>
      <c r="AY130" s="17">
        <v>2</v>
      </c>
      <c r="AZ130" s="71">
        <f t="shared" si="41"/>
        <v>0.66666666666666663</v>
      </c>
      <c r="BA130" s="73">
        <v>0</v>
      </c>
      <c r="BB130" s="73">
        <v>0</v>
      </c>
      <c r="BC130" s="73">
        <v>1</v>
      </c>
      <c r="BD130" s="73">
        <v>0</v>
      </c>
      <c r="BE130" s="81">
        <f t="shared" si="42"/>
        <v>0.31083333333333335</v>
      </c>
      <c r="BF130" s="81" t="str">
        <f t="shared" si="43"/>
        <v>BASSO</v>
      </c>
    </row>
    <row r="131" spans="1:58" x14ac:dyDescent="0.15">
      <c r="A131" s="58">
        <v>2</v>
      </c>
      <c r="B131" s="58">
        <v>2</v>
      </c>
      <c r="C131" s="58">
        <v>2</v>
      </c>
      <c r="D131" s="58">
        <v>2</v>
      </c>
      <c r="E131" s="58">
        <v>1</v>
      </c>
      <c r="F131" s="18">
        <v>1</v>
      </c>
      <c r="G131" s="64">
        <f t="shared" si="44"/>
        <v>0.5</v>
      </c>
      <c r="H131" s="18">
        <v>1</v>
      </c>
      <c r="I131" s="64">
        <f t="shared" ref="I131:I194" si="45">H131/2</f>
        <v>0.5</v>
      </c>
      <c r="J131" s="18">
        <v>1</v>
      </c>
      <c r="K131" s="64">
        <f t="shared" ref="K131:K194" si="46">J131/2</f>
        <v>0.5</v>
      </c>
      <c r="L131" s="18">
        <v>1</v>
      </c>
      <c r="M131" s="64">
        <f t="shared" ref="M131:M194" si="47">L131/3</f>
        <v>0.33333333333333331</v>
      </c>
      <c r="N131" s="18">
        <v>4</v>
      </c>
      <c r="O131" s="64">
        <f t="shared" ref="O131:O194" si="48">N131/5</f>
        <v>0.8</v>
      </c>
      <c r="P131" s="18">
        <v>2</v>
      </c>
      <c r="Q131" s="64">
        <f t="shared" ref="Q131:Q194" si="49">P131/3</f>
        <v>0.66666666666666663</v>
      </c>
      <c r="R131" s="24">
        <v>0</v>
      </c>
      <c r="S131" s="71">
        <f t="shared" ref="S131:S194" si="50">R131/3</f>
        <v>0</v>
      </c>
      <c r="T131" s="18">
        <v>2</v>
      </c>
      <c r="U131" s="64">
        <f t="shared" ref="U131:U194" si="51">T131/3</f>
        <v>0.66666666666666663</v>
      </c>
      <c r="V131" s="18">
        <v>3</v>
      </c>
      <c r="W131" s="71">
        <f t="shared" ref="W131:W194" si="52">V131/4</f>
        <v>0.75</v>
      </c>
      <c r="X131" s="18">
        <v>2</v>
      </c>
      <c r="Y131" s="71">
        <f t="shared" ref="Y131:Y194" si="53">X131/3</f>
        <v>0.66666666666666663</v>
      </c>
      <c r="Z131" s="18">
        <v>2</v>
      </c>
      <c r="AA131" s="71">
        <f t="shared" ref="AA131:AA194" si="54">Z131/3</f>
        <v>0.66666666666666663</v>
      </c>
      <c r="AB131" s="18">
        <v>2</v>
      </c>
      <c r="AC131" s="71">
        <f t="shared" ref="AC131:AC194" si="55">AB131/2</f>
        <v>1</v>
      </c>
      <c r="AD131" s="58">
        <v>1</v>
      </c>
      <c r="AE131" s="58">
        <v>0</v>
      </c>
      <c r="AF131" s="58">
        <v>1</v>
      </c>
      <c r="AG131" s="58">
        <v>0</v>
      </c>
      <c r="AH131" s="58">
        <v>0</v>
      </c>
      <c r="AI131" s="58">
        <v>0</v>
      </c>
      <c r="AJ131" s="19">
        <v>1</v>
      </c>
      <c r="AK131" s="71">
        <f t="shared" ref="AK131:AK194" si="56">AJ131/2</f>
        <v>0.5</v>
      </c>
      <c r="AL131" s="18">
        <v>1</v>
      </c>
      <c r="AM131" s="71">
        <f t="shared" ref="AM131:AM194" si="57">AL131/3</f>
        <v>0.33333333333333331</v>
      </c>
      <c r="AN131" s="18">
        <v>1</v>
      </c>
      <c r="AO131" s="71">
        <f t="shared" ref="AO131:AO194" si="58">AN131/3</f>
        <v>0.33333333333333331</v>
      </c>
      <c r="AP131" s="18">
        <v>0</v>
      </c>
      <c r="AQ131" s="71">
        <f t="shared" ref="AQ131:AQ194" si="59">AP131/3</f>
        <v>0</v>
      </c>
      <c r="AR131" s="58">
        <v>2</v>
      </c>
      <c r="AS131" s="18">
        <v>2</v>
      </c>
      <c r="AT131" s="71">
        <f t="shared" ref="AT131:AT194" si="60">AS131/3</f>
        <v>0.66666666666666663</v>
      </c>
      <c r="AU131" s="18">
        <v>2</v>
      </c>
      <c r="AV131" s="71">
        <f t="shared" ref="AV131:AV194" si="61">AU131/3</f>
        <v>0.66666666666666663</v>
      </c>
      <c r="AW131" s="18">
        <v>0</v>
      </c>
      <c r="AX131" s="71">
        <f t="shared" ref="AX131:AX194" si="62">AW131/2</f>
        <v>0</v>
      </c>
      <c r="AY131" s="18">
        <v>1</v>
      </c>
      <c r="AZ131" s="71">
        <f t="shared" ref="AZ131:AZ194" si="63">AY131/3</f>
        <v>0.33333333333333331</v>
      </c>
      <c r="BA131" s="74">
        <v>1</v>
      </c>
      <c r="BB131" s="74">
        <v>0</v>
      </c>
      <c r="BC131" s="74">
        <v>1</v>
      </c>
      <c r="BD131" s="74">
        <v>0</v>
      </c>
      <c r="BE131" s="81">
        <f t="shared" ref="BE131:BE194" si="64">AVERAGE(F131,I131,K131,M131,O131,Q131,S131,U131,W131,Y131,AA131,AC131,AK131,AM131,AO131,AQ131,AT131,AV131,AX131,AZ131)</f>
        <v>0.51916666666666678</v>
      </c>
      <c r="BF131" s="81" t="str">
        <f t="shared" ref="BF131:BF194" si="65">IF(BE131="","",IF(VALUE(BE131)&lt;0.34,"BASSO",IF(VALUE(BE131)&lt;=0.66,"MEDIO","ALTO")))</f>
        <v>MEDIO</v>
      </c>
    </row>
    <row r="132" spans="1:58" x14ac:dyDescent="0.15">
      <c r="A132" s="57">
        <v>5</v>
      </c>
      <c r="B132" s="57">
        <v>2</v>
      </c>
      <c r="C132" s="57">
        <v>2</v>
      </c>
      <c r="D132" s="57">
        <v>2</v>
      </c>
      <c r="E132" s="58">
        <v>1</v>
      </c>
      <c r="F132" s="17">
        <v>2</v>
      </c>
      <c r="G132" s="64">
        <f t="shared" si="44"/>
        <v>1</v>
      </c>
      <c r="H132" s="17">
        <v>0</v>
      </c>
      <c r="I132" s="64">
        <f t="shared" si="45"/>
        <v>0</v>
      </c>
      <c r="J132" s="17">
        <v>0</v>
      </c>
      <c r="K132" s="64">
        <f t="shared" si="46"/>
        <v>0</v>
      </c>
      <c r="L132" s="17">
        <v>0</v>
      </c>
      <c r="M132" s="64">
        <f t="shared" si="47"/>
        <v>0</v>
      </c>
      <c r="N132" s="17">
        <v>2</v>
      </c>
      <c r="O132" s="64">
        <f t="shared" si="48"/>
        <v>0.4</v>
      </c>
      <c r="P132" s="17">
        <v>0</v>
      </c>
      <c r="Q132" s="64">
        <f t="shared" si="49"/>
        <v>0</v>
      </c>
      <c r="R132" s="25">
        <v>0</v>
      </c>
      <c r="S132" s="71">
        <f t="shared" si="50"/>
        <v>0</v>
      </c>
      <c r="T132" s="17">
        <v>0</v>
      </c>
      <c r="U132" s="64">
        <f t="shared" si="51"/>
        <v>0</v>
      </c>
      <c r="V132" s="17">
        <v>3</v>
      </c>
      <c r="W132" s="71">
        <f t="shared" si="52"/>
        <v>0.75</v>
      </c>
      <c r="X132" s="17">
        <v>0</v>
      </c>
      <c r="Y132" s="71">
        <f t="shared" si="53"/>
        <v>0</v>
      </c>
      <c r="Z132" s="17">
        <v>0</v>
      </c>
      <c r="AA132" s="71">
        <f t="shared" si="54"/>
        <v>0</v>
      </c>
      <c r="AB132" s="17">
        <v>3</v>
      </c>
      <c r="AC132" s="71">
        <f t="shared" si="55"/>
        <v>1.5</v>
      </c>
      <c r="AD132" s="57">
        <v>1</v>
      </c>
      <c r="AE132" s="57">
        <v>0</v>
      </c>
      <c r="AF132" s="57">
        <v>0</v>
      </c>
      <c r="AG132" s="57">
        <v>1</v>
      </c>
      <c r="AH132" s="57">
        <v>0</v>
      </c>
      <c r="AI132" s="57">
        <v>0</v>
      </c>
      <c r="AJ132" s="20">
        <v>1</v>
      </c>
      <c r="AK132" s="71">
        <f t="shared" si="56"/>
        <v>0.5</v>
      </c>
      <c r="AL132" s="17">
        <v>0</v>
      </c>
      <c r="AM132" s="71">
        <f t="shared" si="57"/>
        <v>0</v>
      </c>
      <c r="AN132" s="17">
        <v>0</v>
      </c>
      <c r="AO132" s="71">
        <f t="shared" si="58"/>
        <v>0</v>
      </c>
      <c r="AP132" s="17">
        <v>0</v>
      </c>
      <c r="AQ132" s="71">
        <f t="shared" si="59"/>
        <v>0</v>
      </c>
      <c r="AR132" s="57">
        <v>2</v>
      </c>
      <c r="AS132" s="17">
        <v>1</v>
      </c>
      <c r="AT132" s="71">
        <f t="shared" si="60"/>
        <v>0.33333333333333331</v>
      </c>
      <c r="AU132" s="17">
        <v>0</v>
      </c>
      <c r="AV132" s="71">
        <f t="shared" si="61"/>
        <v>0</v>
      </c>
      <c r="AW132" s="17">
        <v>1</v>
      </c>
      <c r="AX132" s="71">
        <f t="shared" si="62"/>
        <v>0.5</v>
      </c>
      <c r="AY132" s="17">
        <v>0</v>
      </c>
      <c r="AZ132" s="71">
        <f t="shared" si="63"/>
        <v>0</v>
      </c>
      <c r="BA132" s="73">
        <v>1</v>
      </c>
      <c r="BB132" s="73">
        <v>0</v>
      </c>
      <c r="BC132" s="73">
        <v>1</v>
      </c>
      <c r="BD132" s="73">
        <v>0</v>
      </c>
      <c r="BE132" s="81">
        <f t="shared" si="64"/>
        <v>0.29916666666666669</v>
      </c>
      <c r="BF132" s="81" t="str">
        <f t="shared" si="65"/>
        <v>BASSO</v>
      </c>
    </row>
    <row r="133" spans="1:58" x14ac:dyDescent="0.15">
      <c r="A133" s="58">
        <v>3</v>
      </c>
      <c r="B133" s="58">
        <v>1</v>
      </c>
      <c r="C133" s="58">
        <v>3</v>
      </c>
      <c r="D133" s="58">
        <v>2</v>
      </c>
      <c r="E133" s="58">
        <v>1</v>
      </c>
      <c r="F133" s="18">
        <v>2</v>
      </c>
      <c r="G133" s="64">
        <f t="shared" si="44"/>
        <v>1</v>
      </c>
      <c r="H133" s="18">
        <v>2</v>
      </c>
      <c r="I133" s="64">
        <f t="shared" si="45"/>
        <v>1</v>
      </c>
      <c r="J133" s="18">
        <v>2</v>
      </c>
      <c r="K133" s="64">
        <f t="shared" si="46"/>
        <v>1</v>
      </c>
      <c r="L133" s="18">
        <v>3</v>
      </c>
      <c r="M133" s="64">
        <f t="shared" si="47"/>
        <v>1</v>
      </c>
      <c r="N133" s="18">
        <v>0</v>
      </c>
      <c r="O133" s="64">
        <f t="shared" si="48"/>
        <v>0</v>
      </c>
      <c r="P133" s="18">
        <v>2</v>
      </c>
      <c r="Q133" s="64">
        <f t="shared" si="49"/>
        <v>0.66666666666666663</v>
      </c>
      <c r="R133" s="24">
        <v>3</v>
      </c>
      <c r="S133" s="71">
        <f t="shared" si="50"/>
        <v>1</v>
      </c>
      <c r="T133" s="18">
        <v>3</v>
      </c>
      <c r="U133" s="64">
        <f t="shared" si="51"/>
        <v>1</v>
      </c>
      <c r="V133" s="18">
        <v>3</v>
      </c>
      <c r="W133" s="71">
        <f t="shared" si="52"/>
        <v>0.75</v>
      </c>
      <c r="X133" s="18">
        <v>3</v>
      </c>
      <c r="Y133" s="71">
        <f t="shared" si="53"/>
        <v>1</v>
      </c>
      <c r="Z133" s="18">
        <v>3</v>
      </c>
      <c r="AA133" s="71">
        <f t="shared" si="54"/>
        <v>1</v>
      </c>
      <c r="AB133" s="18">
        <v>0</v>
      </c>
      <c r="AC133" s="71">
        <f t="shared" si="55"/>
        <v>0</v>
      </c>
      <c r="AD133" s="58">
        <v>1</v>
      </c>
      <c r="AE133" s="58">
        <v>1</v>
      </c>
      <c r="AF133" s="58">
        <v>0</v>
      </c>
      <c r="AG133" s="58">
        <v>0</v>
      </c>
      <c r="AH133" s="58">
        <v>0</v>
      </c>
      <c r="AI133" s="58">
        <v>0</v>
      </c>
      <c r="AJ133" s="19">
        <v>1</v>
      </c>
      <c r="AK133" s="71">
        <f t="shared" si="56"/>
        <v>0.5</v>
      </c>
      <c r="AL133" s="18">
        <v>2</v>
      </c>
      <c r="AM133" s="71">
        <f t="shared" si="57"/>
        <v>0.66666666666666663</v>
      </c>
      <c r="AN133" s="18">
        <v>1</v>
      </c>
      <c r="AO133" s="71">
        <f t="shared" si="58"/>
        <v>0.33333333333333331</v>
      </c>
      <c r="AP133" s="18">
        <v>3</v>
      </c>
      <c r="AQ133" s="71">
        <f t="shared" si="59"/>
        <v>1</v>
      </c>
      <c r="AR133" s="58">
        <v>1</v>
      </c>
      <c r="AS133" s="18">
        <v>3</v>
      </c>
      <c r="AT133" s="71">
        <f t="shared" si="60"/>
        <v>1</v>
      </c>
      <c r="AU133" s="18">
        <v>3</v>
      </c>
      <c r="AV133" s="71">
        <f t="shared" si="61"/>
        <v>1</v>
      </c>
      <c r="AW133" s="18">
        <v>0</v>
      </c>
      <c r="AX133" s="71">
        <f t="shared" si="62"/>
        <v>0</v>
      </c>
      <c r="AY133" s="18">
        <v>3</v>
      </c>
      <c r="AZ133" s="71">
        <f t="shared" si="63"/>
        <v>1</v>
      </c>
      <c r="BA133" s="74">
        <v>1</v>
      </c>
      <c r="BB133" s="74">
        <v>0</v>
      </c>
      <c r="BC133" s="74">
        <v>1</v>
      </c>
      <c r="BD133" s="74">
        <v>0</v>
      </c>
      <c r="BE133" s="81">
        <f t="shared" si="64"/>
        <v>0.79583333333333339</v>
      </c>
      <c r="BF133" s="81" t="str">
        <f t="shared" si="65"/>
        <v>ALTO</v>
      </c>
    </row>
    <row r="134" spans="1:58" x14ac:dyDescent="0.15">
      <c r="A134" s="57">
        <v>2</v>
      </c>
      <c r="B134" s="57">
        <v>1</v>
      </c>
      <c r="C134" s="57">
        <v>1</v>
      </c>
      <c r="D134" s="57">
        <v>1</v>
      </c>
      <c r="E134" s="58">
        <v>1</v>
      </c>
      <c r="F134" s="17">
        <v>1</v>
      </c>
      <c r="G134" s="64">
        <f t="shared" si="44"/>
        <v>0.5</v>
      </c>
      <c r="H134" s="17">
        <v>1</v>
      </c>
      <c r="I134" s="64">
        <f t="shared" si="45"/>
        <v>0.5</v>
      </c>
      <c r="J134" s="17">
        <v>1</v>
      </c>
      <c r="K134" s="64">
        <f t="shared" si="46"/>
        <v>0.5</v>
      </c>
      <c r="L134" s="17">
        <v>1</v>
      </c>
      <c r="M134" s="64">
        <f t="shared" si="47"/>
        <v>0.33333333333333331</v>
      </c>
      <c r="N134" s="17">
        <v>2</v>
      </c>
      <c r="O134" s="64">
        <f t="shared" si="48"/>
        <v>0.4</v>
      </c>
      <c r="P134" s="17">
        <v>0</v>
      </c>
      <c r="Q134" s="64">
        <f t="shared" si="49"/>
        <v>0</v>
      </c>
      <c r="R134" s="25">
        <v>2</v>
      </c>
      <c r="S134" s="71">
        <f t="shared" si="50"/>
        <v>0.66666666666666663</v>
      </c>
      <c r="T134" s="17">
        <v>1</v>
      </c>
      <c r="U134" s="64">
        <f t="shared" si="51"/>
        <v>0.33333333333333331</v>
      </c>
      <c r="V134" s="17">
        <v>3</v>
      </c>
      <c r="W134" s="71">
        <f t="shared" si="52"/>
        <v>0.75</v>
      </c>
      <c r="X134" s="17">
        <v>2</v>
      </c>
      <c r="Y134" s="71">
        <f t="shared" si="53"/>
        <v>0.66666666666666663</v>
      </c>
      <c r="Z134" s="17">
        <v>1</v>
      </c>
      <c r="AA134" s="71">
        <f t="shared" si="54"/>
        <v>0.33333333333333331</v>
      </c>
      <c r="AB134" s="17">
        <v>2</v>
      </c>
      <c r="AC134" s="71">
        <f t="shared" si="55"/>
        <v>1</v>
      </c>
      <c r="AD134" s="57">
        <v>1</v>
      </c>
      <c r="AE134" s="57">
        <v>0</v>
      </c>
      <c r="AF134" s="57">
        <v>1</v>
      </c>
      <c r="AG134" s="57">
        <v>0</v>
      </c>
      <c r="AH134" s="57">
        <v>0</v>
      </c>
      <c r="AI134" s="57">
        <v>0</v>
      </c>
      <c r="AJ134" s="20">
        <v>1</v>
      </c>
      <c r="AK134" s="71">
        <f t="shared" si="56"/>
        <v>0.5</v>
      </c>
      <c r="AL134" s="17">
        <v>3</v>
      </c>
      <c r="AM134" s="71">
        <f t="shared" si="57"/>
        <v>1</v>
      </c>
      <c r="AN134" s="17">
        <v>1</v>
      </c>
      <c r="AO134" s="71">
        <f t="shared" si="58"/>
        <v>0.33333333333333331</v>
      </c>
      <c r="AP134" s="17">
        <v>2</v>
      </c>
      <c r="AQ134" s="71">
        <f t="shared" si="59"/>
        <v>0.66666666666666663</v>
      </c>
      <c r="AR134" s="57">
        <v>0</v>
      </c>
      <c r="AS134" s="17">
        <v>3</v>
      </c>
      <c r="AT134" s="71">
        <f t="shared" si="60"/>
        <v>1</v>
      </c>
      <c r="AU134" s="17">
        <v>2</v>
      </c>
      <c r="AV134" s="71">
        <f t="shared" si="61"/>
        <v>0.66666666666666663</v>
      </c>
      <c r="AW134" s="17">
        <v>1</v>
      </c>
      <c r="AX134" s="71">
        <f t="shared" si="62"/>
        <v>0.5</v>
      </c>
      <c r="AY134" s="17">
        <v>0</v>
      </c>
      <c r="AZ134" s="71">
        <f t="shared" si="63"/>
        <v>0</v>
      </c>
      <c r="BA134" s="73"/>
      <c r="BB134" s="73">
        <v>1</v>
      </c>
      <c r="BC134" s="73">
        <v>1</v>
      </c>
      <c r="BD134" s="73">
        <v>0</v>
      </c>
      <c r="BE134" s="81">
        <f t="shared" si="64"/>
        <v>0.55749999999999988</v>
      </c>
      <c r="BF134" s="81" t="str">
        <f t="shared" si="65"/>
        <v>MEDIO</v>
      </c>
    </row>
    <row r="135" spans="1:58" x14ac:dyDescent="0.15">
      <c r="A135" s="58">
        <v>3</v>
      </c>
      <c r="B135" s="58">
        <v>1</v>
      </c>
      <c r="C135" s="58">
        <v>1</v>
      </c>
      <c r="D135" s="58">
        <v>2</v>
      </c>
      <c r="E135" s="58">
        <v>1</v>
      </c>
      <c r="F135" s="18">
        <v>0</v>
      </c>
      <c r="G135" s="64">
        <f t="shared" si="44"/>
        <v>0</v>
      </c>
      <c r="H135" s="18">
        <v>2</v>
      </c>
      <c r="I135" s="64">
        <f t="shared" si="45"/>
        <v>1</v>
      </c>
      <c r="J135" s="18">
        <v>2</v>
      </c>
      <c r="K135" s="64">
        <f t="shared" si="46"/>
        <v>1</v>
      </c>
      <c r="L135" s="18">
        <v>3</v>
      </c>
      <c r="M135" s="64">
        <f t="shared" si="47"/>
        <v>1</v>
      </c>
      <c r="N135" s="18">
        <v>1</v>
      </c>
      <c r="O135" s="64">
        <f t="shared" si="48"/>
        <v>0.2</v>
      </c>
      <c r="P135" s="18">
        <v>0</v>
      </c>
      <c r="Q135" s="64">
        <f t="shared" si="49"/>
        <v>0</v>
      </c>
      <c r="R135" s="24">
        <v>0</v>
      </c>
      <c r="S135" s="71">
        <f t="shared" si="50"/>
        <v>0</v>
      </c>
      <c r="T135" s="18">
        <v>2</v>
      </c>
      <c r="U135" s="64">
        <f t="shared" si="51"/>
        <v>0.66666666666666663</v>
      </c>
      <c r="V135" s="18">
        <v>0</v>
      </c>
      <c r="W135" s="71">
        <f t="shared" si="52"/>
        <v>0</v>
      </c>
      <c r="X135" s="18">
        <v>2</v>
      </c>
      <c r="Y135" s="71">
        <f t="shared" si="53"/>
        <v>0.66666666666666663</v>
      </c>
      <c r="Z135" s="18">
        <v>0</v>
      </c>
      <c r="AA135" s="71">
        <f t="shared" si="54"/>
        <v>0</v>
      </c>
      <c r="AB135" s="18">
        <v>2</v>
      </c>
      <c r="AC135" s="71">
        <f t="shared" si="55"/>
        <v>1</v>
      </c>
      <c r="AD135" s="58">
        <v>0</v>
      </c>
      <c r="AE135" s="58">
        <v>0</v>
      </c>
      <c r="AF135" s="58">
        <v>1</v>
      </c>
      <c r="AG135" s="58">
        <v>1</v>
      </c>
      <c r="AH135" s="58">
        <v>0</v>
      </c>
      <c r="AI135" s="58">
        <v>0</v>
      </c>
      <c r="AJ135" s="19">
        <v>1</v>
      </c>
      <c r="AK135" s="71">
        <f t="shared" si="56"/>
        <v>0.5</v>
      </c>
      <c r="AL135" s="18">
        <v>0</v>
      </c>
      <c r="AM135" s="71">
        <f t="shared" si="57"/>
        <v>0</v>
      </c>
      <c r="AN135" s="18">
        <v>1</v>
      </c>
      <c r="AO135" s="71">
        <f t="shared" si="58"/>
        <v>0.33333333333333331</v>
      </c>
      <c r="AP135" s="18">
        <v>2</v>
      </c>
      <c r="AQ135" s="71">
        <f t="shared" si="59"/>
        <v>0.66666666666666663</v>
      </c>
      <c r="AR135" s="58">
        <v>1</v>
      </c>
      <c r="AS135" s="18">
        <v>0</v>
      </c>
      <c r="AT135" s="71">
        <f t="shared" si="60"/>
        <v>0</v>
      </c>
      <c r="AU135" s="18">
        <v>2</v>
      </c>
      <c r="AV135" s="71">
        <f t="shared" si="61"/>
        <v>0.66666666666666663</v>
      </c>
      <c r="AW135" s="18">
        <v>0</v>
      </c>
      <c r="AX135" s="71">
        <f t="shared" si="62"/>
        <v>0</v>
      </c>
      <c r="AY135" s="18">
        <v>2</v>
      </c>
      <c r="AZ135" s="71">
        <f t="shared" si="63"/>
        <v>0.66666666666666663</v>
      </c>
      <c r="BA135" s="74">
        <v>1</v>
      </c>
      <c r="BB135" s="74">
        <v>1</v>
      </c>
      <c r="BC135" s="74">
        <v>0</v>
      </c>
      <c r="BD135" s="74">
        <v>0</v>
      </c>
      <c r="BE135" s="81">
        <f t="shared" si="64"/>
        <v>0.41833333333333333</v>
      </c>
      <c r="BF135" s="81" t="str">
        <f t="shared" si="65"/>
        <v>MEDIO</v>
      </c>
    </row>
    <row r="136" spans="1:58" x14ac:dyDescent="0.15">
      <c r="A136" s="57">
        <v>4</v>
      </c>
      <c r="B136" s="57">
        <v>2</v>
      </c>
      <c r="C136" s="57">
        <v>3</v>
      </c>
      <c r="D136" s="57">
        <v>2</v>
      </c>
      <c r="E136" s="58">
        <v>1</v>
      </c>
      <c r="F136" s="17">
        <v>1</v>
      </c>
      <c r="G136" s="64">
        <f t="shared" si="44"/>
        <v>0.5</v>
      </c>
      <c r="H136" s="17">
        <v>1</v>
      </c>
      <c r="I136" s="64">
        <f t="shared" si="45"/>
        <v>0.5</v>
      </c>
      <c r="J136" s="17">
        <v>1</v>
      </c>
      <c r="K136" s="64">
        <f t="shared" si="46"/>
        <v>0.5</v>
      </c>
      <c r="L136" s="17">
        <v>2</v>
      </c>
      <c r="M136" s="64">
        <f t="shared" si="47"/>
        <v>0.66666666666666663</v>
      </c>
      <c r="N136" s="17">
        <v>1</v>
      </c>
      <c r="O136" s="64">
        <f t="shared" si="48"/>
        <v>0.2</v>
      </c>
      <c r="P136" s="17">
        <v>2</v>
      </c>
      <c r="Q136" s="64">
        <f t="shared" si="49"/>
        <v>0.66666666666666663</v>
      </c>
      <c r="R136" s="25">
        <v>2</v>
      </c>
      <c r="S136" s="71">
        <f t="shared" si="50"/>
        <v>0.66666666666666663</v>
      </c>
      <c r="T136" s="17">
        <v>2</v>
      </c>
      <c r="U136" s="64">
        <f t="shared" si="51"/>
        <v>0.66666666666666663</v>
      </c>
      <c r="V136" s="17">
        <v>3</v>
      </c>
      <c r="W136" s="71">
        <f t="shared" si="52"/>
        <v>0.75</v>
      </c>
      <c r="X136" s="17">
        <v>2</v>
      </c>
      <c r="Y136" s="71">
        <f t="shared" si="53"/>
        <v>0.66666666666666663</v>
      </c>
      <c r="Z136" s="17">
        <v>2</v>
      </c>
      <c r="AA136" s="71">
        <f t="shared" si="54"/>
        <v>0.66666666666666663</v>
      </c>
      <c r="AB136" s="17">
        <v>2</v>
      </c>
      <c r="AC136" s="71">
        <f t="shared" si="55"/>
        <v>1</v>
      </c>
      <c r="AD136" s="57">
        <v>1</v>
      </c>
      <c r="AE136" s="57">
        <v>0</v>
      </c>
      <c r="AF136" s="57">
        <v>1</v>
      </c>
      <c r="AG136" s="57">
        <v>0</v>
      </c>
      <c r="AH136" s="57">
        <v>0</v>
      </c>
      <c r="AI136" s="57">
        <v>0</v>
      </c>
      <c r="AJ136" s="20">
        <v>1</v>
      </c>
      <c r="AK136" s="71">
        <f t="shared" si="56"/>
        <v>0.5</v>
      </c>
      <c r="AL136" s="17">
        <v>3</v>
      </c>
      <c r="AM136" s="71">
        <f t="shared" si="57"/>
        <v>1</v>
      </c>
      <c r="AN136" s="17">
        <v>1</v>
      </c>
      <c r="AO136" s="71">
        <f t="shared" si="58"/>
        <v>0.33333333333333331</v>
      </c>
      <c r="AP136" s="17">
        <v>2</v>
      </c>
      <c r="AQ136" s="71">
        <f t="shared" si="59"/>
        <v>0.66666666666666663</v>
      </c>
      <c r="AR136" s="57">
        <v>3</v>
      </c>
      <c r="AS136" s="17">
        <v>2</v>
      </c>
      <c r="AT136" s="71">
        <f t="shared" si="60"/>
        <v>0.66666666666666663</v>
      </c>
      <c r="AU136" s="17">
        <v>2</v>
      </c>
      <c r="AV136" s="71">
        <f t="shared" si="61"/>
        <v>0.66666666666666663</v>
      </c>
      <c r="AW136" s="17">
        <v>2</v>
      </c>
      <c r="AX136" s="71">
        <f t="shared" si="62"/>
        <v>1</v>
      </c>
      <c r="AY136" s="17">
        <v>3</v>
      </c>
      <c r="AZ136" s="71">
        <f t="shared" si="63"/>
        <v>1</v>
      </c>
      <c r="BA136" s="73">
        <v>1</v>
      </c>
      <c r="BB136" s="73">
        <v>1</v>
      </c>
      <c r="BC136" s="73">
        <v>0</v>
      </c>
      <c r="BD136" s="73">
        <v>0</v>
      </c>
      <c r="BE136" s="81">
        <f t="shared" si="64"/>
        <v>0.68916666666666671</v>
      </c>
      <c r="BF136" s="81" t="str">
        <f t="shared" si="65"/>
        <v>ALTO</v>
      </c>
    </row>
    <row r="137" spans="1:58" x14ac:dyDescent="0.15">
      <c r="A137" s="58">
        <v>3</v>
      </c>
      <c r="B137" s="58">
        <v>1</v>
      </c>
      <c r="C137" s="58">
        <v>3</v>
      </c>
      <c r="D137" s="58">
        <v>2</v>
      </c>
      <c r="E137" s="58">
        <v>1</v>
      </c>
      <c r="F137" s="18">
        <v>1</v>
      </c>
      <c r="G137" s="64">
        <f t="shared" si="44"/>
        <v>0.5</v>
      </c>
      <c r="H137" s="18">
        <v>1</v>
      </c>
      <c r="I137" s="64">
        <f t="shared" si="45"/>
        <v>0.5</v>
      </c>
      <c r="J137" s="18">
        <v>1</v>
      </c>
      <c r="K137" s="64">
        <f t="shared" si="46"/>
        <v>0.5</v>
      </c>
      <c r="L137" s="18">
        <v>2</v>
      </c>
      <c r="M137" s="64">
        <f t="shared" si="47"/>
        <v>0.66666666666666663</v>
      </c>
      <c r="N137" s="18">
        <v>0</v>
      </c>
      <c r="O137" s="64">
        <f t="shared" si="48"/>
        <v>0</v>
      </c>
      <c r="P137" s="18">
        <v>2</v>
      </c>
      <c r="Q137" s="64">
        <f t="shared" si="49"/>
        <v>0.66666666666666663</v>
      </c>
      <c r="R137" s="24">
        <v>0</v>
      </c>
      <c r="S137" s="71">
        <f t="shared" si="50"/>
        <v>0</v>
      </c>
      <c r="T137" s="18">
        <v>2</v>
      </c>
      <c r="U137" s="64">
        <f t="shared" si="51"/>
        <v>0.66666666666666663</v>
      </c>
      <c r="V137" s="18">
        <v>3</v>
      </c>
      <c r="W137" s="71">
        <f t="shared" si="52"/>
        <v>0.75</v>
      </c>
      <c r="X137" s="18">
        <v>0</v>
      </c>
      <c r="Y137" s="71">
        <f t="shared" si="53"/>
        <v>0</v>
      </c>
      <c r="Z137" s="18">
        <v>1</v>
      </c>
      <c r="AA137" s="71">
        <f t="shared" si="54"/>
        <v>0.33333333333333331</v>
      </c>
      <c r="AB137" s="18">
        <v>2</v>
      </c>
      <c r="AC137" s="71">
        <f t="shared" si="55"/>
        <v>1</v>
      </c>
      <c r="AD137" s="58">
        <v>1</v>
      </c>
      <c r="AE137" s="58">
        <v>0</v>
      </c>
      <c r="AF137" s="58">
        <v>1</v>
      </c>
      <c r="AG137" s="58">
        <v>0</v>
      </c>
      <c r="AH137" s="58">
        <v>0</v>
      </c>
      <c r="AI137" s="58">
        <v>0</v>
      </c>
      <c r="AJ137" s="19">
        <v>1</v>
      </c>
      <c r="AK137" s="71">
        <f t="shared" si="56"/>
        <v>0.5</v>
      </c>
      <c r="AL137" s="18">
        <v>1</v>
      </c>
      <c r="AM137" s="71">
        <f t="shared" si="57"/>
        <v>0.33333333333333331</v>
      </c>
      <c r="AN137" s="18">
        <v>2</v>
      </c>
      <c r="AO137" s="71">
        <f t="shared" si="58"/>
        <v>0.66666666666666663</v>
      </c>
      <c r="AP137" s="18">
        <v>2</v>
      </c>
      <c r="AQ137" s="71">
        <f t="shared" si="59"/>
        <v>0.66666666666666663</v>
      </c>
      <c r="AR137" s="58">
        <v>0</v>
      </c>
      <c r="AS137" s="18">
        <v>3</v>
      </c>
      <c r="AT137" s="71">
        <f t="shared" si="60"/>
        <v>1</v>
      </c>
      <c r="AU137" s="18">
        <v>2</v>
      </c>
      <c r="AV137" s="71">
        <f t="shared" si="61"/>
        <v>0.66666666666666663</v>
      </c>
      <c r="AW137" s="18">
        <v>1</v>
      </c>
      <c r="AX137" s="71">
        <f t="shared" si="62"/>
        <v>0.5</v>
      </c>
      <c r="AY137" s="18">
        <v>2</v>
      </c>
      <c r="AZ137" s="71">
        <f t="shared" si="63"/>
        <v>0.66666666666666663</v>
      </c>
      <c r="BA137" s="74">
        <v>0</v>
      </c>
      <c r="BB137" s="74">
        <v>0</v>
      </c>
      <c r="BC137" s="74">
        <v>1</v>
      </c>
      <c r="BD137" s="74">
        <v>0</v>
      </c>
      <c r="BE137" s="81">
        <f t="shared" si="64"/>
        <v>0.55416666666666659</v>
      </c>
      <c r="BF137" s="81" t="str">
        <f t="shared" si="65"/>
        <v>MEDIO</v>
      </c>
    </row>
    <row r="138" spans="1:58" x14ac:dyDescent="0.15">
      <c r="A138" s="57">
        <v>4</v>
      </c>
      <c r="B138" s="57">
        <v>1</v>
      </c>
      <c r="C138" s="57">
        <v>4</v>
      </c>
      <c r="D138" s="57">
        <v>2</v>
      </c>
      <c r="E138" s="58">
        <v>1</v>
      </c>
      <c r="F138" s="17">
        <v>1</v>
      </c>
      <c r="G138" s="64">
        <f t="shared" si="44"/>
        <v>0.5</v>
      </c>
      <c r="H138" s="17">
        <v>2</v>
      </c>
      <c r="I138" s="64">
        <f t="shared" si="45"/>
        <v>1</v>
      </c>
      <c r="J138" s="17">
        <v>1</v>
      </c>
      <c r="K138" s="64">
        <f t="shared" si="46"/>
        <v>0.5</v>
      </c>
      <c r="L138" s="17">
        <v>1</v>
      </c>
      <c r="M138" s="64">
        <f t="shared" si="47"/>
        <v>0.33333333333333331</v>
      </c>
      <c r="N138" s="17">
        <v>5</v>
      </c>
      <c r="O138" s="64">
        <f t="shared" si="48"/>
        <v>1</v>
      </c>
      <c r="P138" s="17">
        <v>0</v>
      </c>
      <c r="Q138" s="64">
        <f t="shared" si="49"/>
        <v>0</v>
      </c>
      <c r="R138" s="25">
        <v>3</v>
      </c>
      <c r="S138" s="71">
        <f t="shared" si="50"/>
        <v>1</v>
      </c>
      <c r="T138" s="17">
        <v>2</v>
      </c>
      <c r="U138" s="64">
        <f t="shared" si="51"/>
        <v>0.66666666666666663</v>
      </c>
      <c r="V138" s="17">
        <v>3</v>
      </c>
      <c r="W138" s="71">
        <f t="shared" si="52"/>
        <v>0.75</v>
      </c>
      <c r="X138" s="17">
        <v>2</v>
      </c>
      <c r="Y138" s="71">
        <f t="shared" si="53"/>
        <v>0.66666666666666663</v>
      </c>
      <c r="Z138" s="17">
        <v>0</v>
      </c>
      <c r="AA138" s="71">
        <f t="shared" si="54"/>
        <v>0</v>
      </c>
      <c r="AB138" s="17">
        <v>1</v>
      </c>
      <c r="AC138" s="71">
        <f t="shared" si="55"/>
        <v>0.5</v>
      </c>
      <c r="AD138" s="57">
        <v>0</v>
      </c>
      <c r="AE138" s="57">
        <v>0</v>
      </c>
      <c r="AF138" s="57">
        <v>1</v>
      </c>
      <c r="AG138" s="57">
        <v>1</v>
      </c>
      <c r="AH138" s="57">
        <v>0</v>
      </c>
      <c r="AI138" s="57">
        <v>0</v>
      </c>
      <c r="AJ138" s="20">
        <v>0</v>
      </c>
      <c r="AK138" s="71">
        <f t="shared" si="56"/>
        <v>0</v>
      </c>
      <c r="AL138" s="17">
        <v>0</v>
      </c>
      <c r="AM138" s="71">
        <f t="shared" si="57"/>
        <v>0</v>
      </c>
      <c r="AN138" s="17">
        <v>1</v>
      </c>
      <c r="AO138" s="71">
        <f t="shared" si="58"/>
        <v>0.33333333333333331</v>
      </c>
      <c r="AP138" s="17">
        <v>2</v>
      </c>
      <c r="AQ138" s="71">
        <f t="shared" si="59"/>
        <v>0.66666666666666663</v>
      </c>
      <c r="AR138" s="57">
        <v>2</v>
      </c>
      <c r="AS138" s="17">
        <v>3</v>
      </c>
      <c r="AT138" s="71">
        <f t="shared" si="60"/>
        <v>1</v>
      </c>
      <c r="AU138" s="17">
        <v>3</v>
      </c>
      <c r="AV138" s="71">
        <f t="shared" si="61"/>
        <v>1</v>
      </c>
      <c r="AW138" s="17">
        <v>1</v>
      </c>
      <c r="AX138" s="71">
        <f t="shared" si="62"/>
        <v>0.5</v>
      </c>
      <c r="AY138" s="17">
        <v>3</v>
      </c>
      <c r="AZ138" s="71">
        <f t="shared" si="63"/>
        <v>1</v>
      </c>
      <c r="BA138" s="73">
        <v>1</v>
      </c>
      <c r="BB138" s="73">
        <v>0</v>
      </c>
      <c r="BC138" s="73">
        <v>1</v>
      </c>
      <c r="BD138" s="73">
        <v>0</v>
      </c>
      <c r="BE138" s="81">
        <f t="shared" si="64"/>
        <v>0.59583333333333344</v>
      </c>
      <c r="BF138" s="81" t="str">
        <f t="shared" si="65"/>
        <v>MEDIO</v>
      </c>
    </row>
    <row r="139" spans="1:58" x14ac:dyDescent="0.15">
      <c r="A139" s="58">
        <v>4</v>
      </c>
      <c r="B139" s="58">
        <v>1</v>
      </c>
      <c r="C139" s="58">
        <v>4</v>
      </c>
      <c r="D139" s="58">
        <v>2</v>
      </c>
      <c r="E139" s="58">
        <v>1</v>
      </c>
      <c r="F139" s="18">
        <v>1</v>
      </c>
      <c r="G139" s="64">
        <f t="shared" si="44"/>
        <v>0.5</v>
      </c>
      <c r="H139" s="18">
        <v>1</v>
      </c>
      <c r="I139" s="64">
        <f t="shared" si="45"/>
        <v>0.5</v>
      </c>
      <c r="J139" s="18">
        <v>2</v>
      </c>
      <c r="K139" s="64">
        <f t="shared" si="46"/>
        <v>1</v>
      </c>
      <c r="L139" s="18">
        <v>3</v>
      </c>
      <c r="M139" s="64">
        <f t="shared" si="47"/>
        <v>1</v>
      </c>
      <c r="N139" s="18">
        <v>0</v>
      </c>
      <c r="O139" s="64">
        <f t="shared" si="48"/>
        <v>0</v>
      </c>
      <c r="P139" s="18">
        <v>3</v>
      </c>
      <c r="Q139" s="64">
        <f t="shared" si="49"/>
        <v>1</v>
      </c>
      <c r="R139" s="24">
        <v>3</v>
      </c>
      <c r="S139" s="71">
        <f t="shared" si="50"/>
        <v>1</v>
      </c>
      <c r="T139" s="18">
        <v>2</v>
      </c>
      <c r="U139" s="64">
        <f t="shared" si="51"/>
        <v>0.66666666666666663</v>
      </c>
      <c r="V139" s="18">
        <v>3</v>
      </c>
      <c r="W139" s="71">
        <f t="shared" si="52"/>
        <v>0.75</v>
      </c>
      <c r="X139" s="18">
        <v>3</v>
      </c>
      <c r="Y139" s="71">
        <f t="shared" si="53"/>
        <v>1</v>
      </c>
      <c r="Z139" s="18">
        <v>2</v>
      </c>
      <c r="AA139" s="71">
        <f t="shared" si="54"/>
        <v>0.66666666666666663</v>
      </c>
      <c r="AB139" s="18">
        <v>1</v>
      </c>
      <c r="AC139" s="71">
        <f t="shared" si="55"/>
        <v>0.5</v>
      </c>
      <c r="AD139" s="58">
        <v>1</v>
      </c>
      <c r="AE139" s="58">
        <v>0</v>
      </c>
      <c r="AF139" s="58">
        <v>1</v>
      </c>
      <c r="AG139" s="58">
        <v>0</v>
      </c>
      <c r="AH139" s="58">
        <v>0</v>
      </c>
      <c r="AI139" s="58">
        <v>0</v>
      </c>
      <c r="AJ139" s="19">
        <v>2</v>
      </c>
      <c r="AK139" s="71">
        <f t="shared" si="56"/>
        <v>1</v>
      </c>
      <c r="AL139" s="18">
        <v>3</v>
      </c>
      <c r="AM139" s="71">
        <f t="shared" si="57"/>
        <v>1</v>
      </c>
      <c r="AN139" s="18">
        <v>1</v>
      </c>
      <c r="AO139" s="71">
        <f t="shared" si="58"/>
        <v>0.33333333333333331</v>
      </c>
      <c r="AP139" s="18">
        <v>2</v>
      </c>
      <c r="AQ139" s="71">
        <f t="shared" si="59"/>
        <v>0.66666666666666663</v>
      </c>
      <c r="AR139" s="58">
        <v>3</v>
      </c>
      <c r="AS139" s="18">
        <v>3</v>
      </c>
      <c r="AT139" s="71">
        <f t="shared" si="60"/>
        <v>1</v>
      </c>
      <c r="AU139" s="18">
        <v>3</v>
      </c>
      <c r="AV139" s="71">
        <f t="shared" si="61"/>
        <v>1</v>
      </c>
      <c r="AW139" s="18">
        <v>1</v>
      </c>
      <c r="AX139" s="71">
        <f t="shared" si="62"/>
        <v>0.5</v>
      </c>
      <c r="AY139" s="18">
        <v>3</v>
      </c>
      <c r="AZ139" s="71">
        <f t="shared" si="63"/>
        <v>1</v>
      </c>
      <c r="BA139" s="74">
        <v>1</v>
      </c>
      <c r="BB139" s="74">
        <v>0</v>
      </c>
      <c r="BC139" s="74">
        <v>1</v>
      </c>
      <c r="BD139" s="74">
        <v>0</v>
      </c>
      <c r="BE139" s="81">
        <f t="shared" si="64"/>
        <v>0.77916666666666667</v>
      </c>
      <c r="BF139" s="81" t="str">
        <f t="shared" si="65"/>
        <v>ALTO</v>
      </c>
    </row>
    <row r="140" spans="1:58" x14ac:dyDescent="0.15">
      <c r="A140" s="57">
        <v>4</v>
      </c>
      <c r="B140" s="57">
        <v>1</v>
      </c>
      <c r="C140" s="57">
        <v>3</v>
      </c>
      <c r="D140" s="57">
        <v>2</v>
      </c>
      <c r="E140" s="58">
        <v>1</v>
      </c>
      <c r="F140" s="17">
        <v>2</v>
      </c>
      <c r="G140" s="64">
        <f t="shared" si="44"/>
        <v>1</v>
      </c>
      <c r="H140" s="17">
        <v>2</v>
      </c>
      <c r="I140" s="64">
        <f t="shared" si="45"/>
        <v>1</v>
      </c>
      <c r="J140" s="17">
        <v>1</v>
      </c>
      <c r="K140" s="64">
        <f t="shared" si="46"/>
        <v>0.5</v>
      </c>
      <c r="L140" s="17">
        <v>2</v>
      </c>
      <c r="M140" s="64">
        <f t="shared" si="47"/>
        <v>0.66666666666666663</v>
      </c>
      <c r="N140" s="17">
        <v>3</v>
      </c>
      <c r="O140" s="64">
        <f t="shared" si="48"/>
        <v>0.6</v>
      </c>
      <c r="P140" s="17">
        <v>1</v>
      </c>
      <c r="Q140" s="64">
        <f t="shared" si="49"/>
        <v>0.33333333333333331</v>
      </c>
      <c r="R140" s="25">
        <v>2</v>
      </c>
      <c r="S140" s="71">
        <f t="shared" si="50"/>
        <v>0.66666666666666663</v>
      </c>
      <c r="T140" s="17">
        <v>3</v>
      </c>
      <c r="U140" s="64">
        <f t="shared" si="51"/>
        <v>1</v>
      </c>
      <c r="V140" s="17">
        <v>3</v>
      </c>
      <c r="W140" s="71">
        <f t="shared" si="52"/>
        <v>0.75</v>
      </c>
      <c r="X140" s="17">
        <v>0</v>
      </c>
      <c r="Y140" s="71">
        <f t="shared" si="53"/>
        <v>0</v>
      </c>
      <c r="Z140" s="17">
        <v>3</v>
      </c>
      <c r="AA140" s="71">
        <f t="shared" si="54"/>
        <v>1</v>
      </c>
      <c r="AB140" s="17">
        <v>0</v>
      </c>
      <c r="AC140" s="71">
        <f t="shared" si="55"/>
        <v>0</v>
      </c>
      <c r="AD140" s="57">
        <v>1</v>
      </c>
      <c r="AE140" s="57">
        <v>0</v>
      </c>
      <c r="AF140" s="57">
        <v>1</v>
      </c>
      <c r="AG140" s="57">
        <v>0</v>
      </c>
      <c r="AH140" s="57">
        <v>0</v>
      </c>
      <c r="AI140" s="57">
        <v>0</v>
      </c>
      <c r="AJ140" s="20">
        <v>1</v>
      </c>
      <c r="AK140" s="71">
        <f t="shared" si="56"/>
        <v>0.5</v>
      </c>
      <c r="AL140" s="17">
        <v>2</v>
      </c>
      <c r="AM140" s="71">
        <f t="shared" si="57"/>
        <v>0.66666666666666663</v>
      </c>
      <c r="AN140" s="17">
        <v>0</v>
      </c>
      <c r="AO140" s="71">
        <f t="shared" si="58"/>
        <v>0</v>
      </c>
      <c r="AP140" s="17">
        <v>2</v>
      </c>
      <c r="AQ140" s="71">
        <f t="shared" si="59"/>
        <v>0.66666666666666663</v>
      </c>
      <c r="AR140" s="57">
        <v>0</v>
      </c>
      <c r="AS140" s="17">
        <v>3</v>
      </c>
      <c r="AT140" s="71">
        <f t="shared" si="60"/>
        <v>1</v>
      </c>
      <c r="AU140" s="17">
        <v>3</v>
      </c>
      <c r="AV140" s="71">
        <f t="shared" si="61"/>
        <v>1</v>
      </c>
      <c r="AW140" s="17">
        <v>1</v>
      </c>
      <c r="AX140" s="71">
        <f t="shared" si="62"/>
        <v>0.5</v>
      </c>
      <c r="AY140" s="17">
        <v>2</v>
      </c>
      <c r="AZ140" s="71">
        <f t="shared" si="63"/>
        <v>0.66666666666666663</v>
      </c>
      <c r="BA140" s="73">
        <v>1</v>
      </c>
      <c r="BB140" s="73">
        <v>1</v>
      </c>
      <c r="BC140" s="73">
        <v>0</v>
      </c>
      <c r="BD140" s="73">
        <v>0</v>
      </c>
      <c r="BE140" s="81">
        <f t="shared" si="64"/>
        <v>0.67583333333333317</v>
      </c>
      <c r="BF140" s="81" t="str">
        <f t="shared" si="65"/>
        <v>ALTO</v>
      </c>
    </row>
    <row r="141" spans="1:58" x14ac:dyDescent="0.15">
      <c r="A141" s="58">
        <v>4</v>
      </c>
      <c r="B141" s="58">
        <v>2</v>
      </c>
      <c r="C141" s="58">
        <v>3</v>
      </c>
      <c r="D141" s="58">
        <v>2</v>
      </c>
      <c r="E141" s="58">
        <v>1</v>
      </c>
      <c r="F141" s="18">
        <v>2</v>
      </c>
      <c r="G141" s="64">
        <f t="shared" si="44"/>
        <v>1</v>
      </c>
      <c r="H141" s="18">
        <v>2</v>
      </c>
      <c r="I141" s="64">
        <f t="shared" si="45"/>
        <v>1</v>
      </c>
      <c r="J141" s="18">
        <v>0</v>
      </c>
      <c r="K141" s="64">
        <f t="shared" si="46"/>
        <v>0</v>
      </c>
      <c r="L141" s="18">
        <v>1</v>
      </c>
      <c r="M141" s="64">
        <f t="shared" si="47"/>
        <v>0.33333333333333331</v>
      </c>
      <c r="N141" s="18">
        <v>4</v>
      </c>
      <c r="O141" s="64">
        <f t="shared" si="48"/>
        <v>0.8</v>
      </c>
      <c r="P141" s="18">
        <v>0</v>
      </c>
      <c r="Q141" s="64">
        <f t="shared" si="49"/>
        <v>0</v>
      </c>
      <c r="R141" s="24">
        <v>0</v>
      </c>
      <c r="S141" s="71">
        <f t="shared" si="50"/>
        <v>0</v>
      </c>
      <c r="T141" s="18">
        <v>1</v>
      </c>
      <c r="U141" s="64">
        <f t="shared" si="51"/>
        <v>0.33333333333333331</v>
      </c>
      <c r="V141" s="18">
        <v>3</v>
      </c>
      <c r="W141" s="71">
        <f t="shared" si="52"/>
        <v>0.75</v>
      </c>
      <c r="X141" s="18">
        <v>2</v>
      </c>
      <c r="Y141" s="71">
        <f t="shared" si="53"/>
        <v>0.66666666666666663</v>
      </c>
      <c r="Z141" s="18">
        <v>0</v>
      </c>
      <c r="AA141" s="71">
        <f t="shared" si="54"/>
        <v>0</v>
      </c>
      <c r="AB141" s="18">
        <v>1</v>
      </c>
      <c r="AC141" s="71">
        <f t="shared" si="55"/>
        <v>0.5</v>
      </c>
      <c r="AD141" s="58">
        <v>1</v>
      </c>
      <c r="AE141" s="58">
        <v>0</v>
      </c>
      <c r="AF141" s="58">
        <v>1</v>
      </c>
      <c r="AG141" s="58">
        <v>0</v>
      </c>
      <c r="AH141" s="58">
        <v>0</v>
      </c>
      <c r="AI141" s="58">
        <v>0</v>
      </c>
      <c r="AJ141" s="19">
        <v>1</v>
      </c>
      <c r="AK141" s="71">
        <f t="shared" si="56"/>
        <v>0.5</v>
      </c>
      <c r="AL141" s="18">
        <v>3</v>
      </c>
      <c r="AM141" s="71">
        <f t="shared" si="57"/>
        <v>1</v>
      </c>
      <c r="AN141" s="18">
        <v>1</v>
      </c>
      <c r="AO141" s="71">
        <f t="shared" si="58"/>
        <v>0.33333333333333331</v>
      </c>
      <c r="AP141" s="18">
        <v>2</v>
      </c>
      <c r="AQ141" s="71">
        <f t="shared" si="59"/>
        <v>0.66666666666666663</v>
      </c>
      <c r="AR141" s="58">
        <v>2</v>
      </c>
      <c r="AS141" s="18">
        <v>1</v>
      </c>
      <c r="AT141" s="71">
        <f t="shared" si="60"/>
        <v>0.33333333333333331</v>
      </c>
      <c r="AU141" s="18">
        <v>2</v>
      </c>
      <c r="AV141" s="71">
        <f t="shared" si="61"/>
        <v>0.66666666666666663</v>
      </c>
      <c r="AW141" s="18">
        <v>1</v>
      </c>
      <c r="AX141" s="71">
        <f t="shared" si="62"/>
        <v>0.5</v>
      </c>
      <c r="AY141" s="18">
        <v>2</v>
      </c>
      <c r="AZ141" s="71">
        <f t="shared" si="63"/>
        <v>0.66666666666666663</v>
      </c>
      <c r="BA141" s="74">
        <v>0</v>
      </c>
      <c r="BB141" s="74">
        <v>0</v>
      </c>
      <c r="BC141" s="74">
        <v>0</v>
      </c>
      <c r="BD141" s="74">
        <v>1</v>
      </c>
      <c r="BE141" s="81">
        <f t="shared" si="64"/>
        <v>0.55249999999999999</v>
      </c>
      <c r="BF141" s="81" t="str">
        <f t="shared" si="65"/>
        <v>MEDIO</v>
      </c>
    </row>
    <row r="142" spans="1:58" x14ac:dyDescent="0.15">
      <c r="A142" s="57">
        <v>4</v>
      </c>
      <c r="B142" s="57">
        <v>2</v>
      </c>
      <c r="C142" s="57">
        <v>3</v>
      </c>
      <c r="D142" s="57">
        <v>2</v>
      </c>
      <c r="E142" s="58">
        <v>1</v>
      </c>
      <c r="F142" s="17">
        <v>1</v>
      </c>
      <c r="G142" s="64">
        <f t="shared" si="44"/>
        <v>0.5</v>
      </c>
      <c r="H142" s="17">
        <v>1</v>
      </c>
      <c r="I142" s="64">
        <f t="shared" si="45"/>
        <v>0.5</v>
      </c>
      <c r="J142" s="17">
        <v>1</v>
      </c>
      <c r="K142" s="64">
        <f t="shared" si="46"/>
        <v>0.5</v>
      </c>
      <c r="L142" s="17">
        <v>1</v>
      </c>
      <c r="M142" s="64">
        <f t="shared" si="47"/>
        <v>0.33333333333333331</v>
      </c>
      <c r="N142" s="17">
        <v>4</v>
      </c>
      <c r="O142" s="64">
        <f t="shared" si="48"/>
        <v>0.8</v>
      </c>
      <c r="P142" s="17">
        <v>3</v>
      </c>
      <c r="Q142" s="64">
        <f t="shared" si="49"/>
        <v>1</v>
      </c>
      <c r="R142" s="25">
        <v>0</v>
      </c>
      <c r="S142" s="71">
        <f t="shared" si="50"/>
        <v>0</v>
      </c>
      <c r="T142" s="17">
        <v>1</v>
      </c>
      <c r="U142" s="64">
        <f t="shared" si="51"/>
        <v>0.33333333333333331</v>
      </c>
      <c r="V142" s="17">
        <v>3</v>
      </c>
      <c r="W142" s="71">
        <f t="shared" si="52"/>
        <v>0.75</v>
      </c>
      <c r="X142" s="17">
        <v>0</v>
      </c>
      <c r="Y142" s="71">
        <f t="shared" si="53"/>
        <v>0</v>
      </c>
      <c r="Z142" s="17">
        <v>3</v>
      </c>
      <c r="AA142" s="71">
        <f t="shared" si="54"/>
        <v>1</v>
      </c>
      <c r="AB142" s="17">
        <v>2</v>
      </c>
      <c r="AC142" s="71">
        <f t="shared" si="55"/>
        <v>1</v>
      </c>
      <c r="AD142" s="57">
        <v>0</v>
      </c>
      <c r="AE142" s="57">
        <v>0</v>
      </c>
      <c r="AF142" s="57">
        <v>1</v>
      </c>
      <c r="AG142" s="57">
        <v>1</v>
      </c>
      <c r="AH142" s="57">
        <v>0</v>
      </c>
      <c r="AI142" s="57">
        <v>0</v>
      </c>
      <c r="AJ142" s="20">
        <v>1</v>
      </c>
      <c r="AK142" s="71">
        <f t="shared" si="56"/>
        <v>0.5</v>
      </c>
      <c r="AL142" s="17">
        <v>1</v>
      </c>
      <c r="AM142" s="71">
        <f t="shared" si="57"/>
        <v>0.33333333333333331</v>
      </c>
      <c r="AN142" s="17">
        <v>0</v>
      </c>
      <c r="AO142" s="71">
        <f t="shared" si="58"/>
        <v>0</v>
      </c>
      <c r="AP142" s="17">
        <v>1</v>
      </c>
      <c r="AQ142" s="71">
        <f t="shared" si="59"/>
        <v>0.33333333333333331</v>
      </c>
      <c r="AR142" s="57">
        <v>2</v>
      </c>
      <c r="AS142" s="17">
        <v>1</v>
      </c>
      <c r="AT142" s="71">
        <f t="shared" si="60"/>
        <v>0.33333333333333331</v>
      </c>
      <c r="AU142" s="17">
        <v>0</v>
      </c>
      <c r="AV142" s="71">
        <f t="shared" si="61"/>
        <v>0</v>
      </c>
      <c r="AW142" s="17">
        <v>1</v>
      </c>
      <c r="AX142" s="71">
        <f t="shared" si="62"/>
        <v>0.5</v>
      </c>
      <c r="AY142" s="17">
        <v>2</v>
      </c>
      <c r="AZ142" s="71">
        <f t="shared" si="63"/>
        <v>0.66666666666666663</v>
      </c>
      <c r="BA142" s="73">
        <v>0</v>
      </c>
      <c r="BB142" s="73">
        <v>0</v>
      </c>
      <c r="BC142" s="73">
        <v>1</v>
      </c>
      <c r="BD142" s="73"/>
      <c r="BE142" s="81">
        <f t="shared" si="64"/>
        <v>0.49416666666666675</v>
      </c>
      <c r="BF142" s="81" t="str">
        <f t="shared" si="65"/>
        <v>MEDIO</v>
      </c>
    </row>
    <row r="143" spans="1:58" x14ac:dyDescent="0.15">
      <c r="A143" s="58">
        <v>4</v>
      </c>
      <c r="B143" s="58">
        <v>1</v>
      </c>
      <c r="C143" s="58">
        <v>4</v>
      </c>
      <c r="D143" s="58">
        <v>2</v>
      </c>
      <c r="E143" s="58">
        <v>0</v>
      </c>
      <c r="F143" s="18">
        <v>2</v>
      </c>
      <c r="G143" s="64">
        <f t="shared" si="44"/>
        <v>1</v>
      </c>
      <c r="H143" s="18">
        <v>2</v>
      </c>
      <c r="I143" s="64">
        <f t="shared" si="45"/>
        <v>1</v>
      </c>
      <c r="J143" s="18">
        <v>2</v>
      </c>
      <c r="K143" s="64">
        <f t="shared" si="46"/>
        <v>1</v>
      </c>
      <c r="L143" s="18">
        <v>3</v>
      </c>
      <c r="M143" s="64">
        <f t="shared" si="47"/>
        <v>1</v>
      </c>
      <c r="N143" s="18">
        <v>1</v>
      </c>
      <c r="O143" s="64">
        <f t="shared" si="48"/>
        <v>0.2</v>
      </c>
      <c r="P143" s="18">
        <v>3</v>
      </c>
      <c r="Q143" s="64">
        <f t="shared" si="49"/>
        <v>1</v>
      </c>
      <c r="R143" s="24">
        <v>3</v>
      </c>
      <c r="S143" s="71">
        <f t="shared" si="50"/>
        <v>1</v>
      </c>
      <c r="T143" s="18">
        <v>3</v>
      </c>
      <c r="U143" s="64">
        <f t="shared" si="51"/>
        <v>1</v>
      </c>
      <c r="V143" s="18">
        <v>4</v>
      </c>
      <c r="W143" s="71">
        <f t="shared" si="52"/>
        <v>1</v>
      </c>
      <c r="X143" s="18">
        <v>3</v>
      </c>
      <c r="Y143" s="71">
        <f t="shared" si="53"/>
        <v>1</v>
      </c>
      <c r="Z143" s="18">
        <v>3</v>
      </c>
      <c r="AA143" s="71">
        <f t="shared" si="54"/>
        <v>1</v>
      </c>
      <c r="AB143" s="18">
        <v>0</v>
      </c>
      <c r="AC143" s="71">
        <f t="shared" si="55"/>
        <v>0</v>
      </c>
      <c r="AD143" s="58">
        <v>1</v>
      </c>
      <c r="AE143" s="58">
        <v>0</v>
      </c>
      <c r="AF143" s="58">
        <v>1</v>
      </c>
      <c r="AG143" s="58">
        <v>0</v>
      </c>
      <c r="AH143" s="58">
        <v>0</v>
      </c>
      <c r="AI143" s="58">
        <v>0</v>
      </c>
      <c r="AJ143" s="19">
        <v>2</v>
      </c>
      <c r="AK143" s="71">
        <f t="shared" si="56"/>
        <v>1</v>
      </c>
      <c r="AL143" s="18">
        <v>2</v>
      </c>
      <c r="AM143" s="71">
        <f t="shared" si="57"/>
        <v>0.66666666666666663</v>
      </c>
      <c r="AN143" s="18">
        <v>3</v>
      </c>
      <c r="AO143" s="71">
        <f t="shared" si="58"/>
        <v>1</v>
      </c>
      <c r="AP143" s="18">
        <v>3</v>
      </c>
      <c r="AQ143" s="71">
        <f t="shared" si="59"/>
        <v>1</v>
      </c>
      <c r="AR143" s="58">
        <v>2</v>
      </c>
      <c r="AS143" s="18">
        <v>0</v>
      </c>
      <c r="AT143" s="71">
        <f t="shared" si="60"/>
        <v>0</v>
      </c>
      <c r="AU143" s="19">
        <v>3</v>
      </c>
      <c r="AV143" s="71">
        <f t="shared" si="61"/>
        <v>1</v>
      </c>
      <c r="AW143" s="18">
        <v>2</v>
      </c>
      <c r="AX143" s="71">
        <f t="shared" si="62"/>
        <v>1</v>
      </c>
      <c r="AY143" s="18">
        <v>3</v>
      </c>
      <c r="AZ143" s="71">
        <f t="shared" si="63"/>
        <v>1</v>
      </c>
      <c r="BA143" s="75">
        <v>0</v>
      </c>
      <c r="BB143" s="75">
        <v>1</v>
      </c>
      <c r="BC143" s="75">
        <v>1</v>
      </c>
      <c r="BD143" s="75">
        <v>0</v>
      </c>
      <c r="BE143" s="81">
        <f t="shared" si="64"/>
        <v>0.89333333333333331</v>
      </c>
      <c r="BF143" s="81" t="str">
        <f t="shared" si="65"/>
        <v>ALTO</v>
      </c>
    </row>
    <row r="144" spans="1:58" x14ac:dyDescent="0.15">
      <c r="A144" s="57">
        <v>3</v>
      </c>
      <c r="B144" s="57">
        <v>2</v>
      </c>
      <c r="C144" s="57">
        <v>4</v>
      </c>
      <c r="D144" s="57">
        <v>2</v>
      </c>
      <c r="E144" s="58">
        <v>1</v>
      </c>
      <c r="F144" s="17">
        <v>2</v>
      </c>
      <c r="G144" s="64">
        <f t="shared" si="44"/>
        <v>1</v>
      </c>
      <c r="H144" s="17">
        <v>0</v>
      </c>
      <c r="I144" s="64">
        <f t="shared" si="45"/>
        <v>0</v>
      </c>
      <c r="J144" s="17">
        <v>0</v>
      </c>
      <c r="K144" s="64">
        <f t="shared" si="46"/>
        <v>0</v>
      </c>
      <c r="L144" s="17">
        <v>1</v>
      </c>
      <c r="M144" s="64">
        <f t="shared" si="47"/>
        <v>0.33333333333333331</v>
      </c>
      <c r="N144" s="17">
        <v>0</v>
      </c>
      <c r="O144" s="64">
        <f t="shared" si="48"/>
        <v>0</v>
      </c>
      <c r="P144" s="17">
        <v>0</v>
      </c>
      <c r="Q144" s="64">
        <f t="shared" si="49"/>
        <v>0</v>
      </c>
      <c r="R144" s="25">
        <v>2</v>
      </c>
      <c r="S144" s="71">
        <f t="shared" si="50"/>
        <v>0.66666666666666663</v>
      </c>
      <c r="T144" s="17">
        <v>0</v>
      </c>
      <c r="U144" s="64">
        <f t="shared" si="51"/>
        <v>0</v>
      </c>
      <c r="V144" s="17">
        <v>3</v>
      </c>
      <c r="W144" s="71">
        <f t="shared" si="52"/>
        <v>0.75</v>
      </c>
      <c r="X144" s="17">
        <v>2</v>
      </c>
      <c r="Y144" s="71">
        <f t="shared" si="53"/>
        <v>0.66666666666666663</v>
      </c>
      <c r="Z144" s="17">
        <v>1</v>
      </c>
      <c r="AA144" s="71">
        <f t="shared" si="54"/>
        <v>0.33333333333333331</v>
      </c>
      <c r="AB144" s="17">
        <v>3</v>
      </c>
      <c r="AC144" s="71">
        <f t="shared" si="55"/>
        <v>1.5</v>
      </c>
      <c r="AD144" s="57">
        <v>0</v>
      </c>
      <c r="AE144" s="57">
        <v>0</v>
      </c>
      <c r="AF144" s="57">
        <v>0</v>
      </c>
      <c r="AG144" s="57">
        <v>0</v>
      </c>
      <c r="AH144" s="57">
        <v>1</v>
      </c>
      <c r="AI144" s="57">
        <v>0</v>
      </c>
      <c r="AJ144" s="20">
        <v>1</v>
      </c>
      <c r="AK144" s="71">
        <f t="shared" si="56"/>
        <v>0.5</v>
      </c>
      <c r="AL144" s="17">
        <v>0</v>
      </c>
      <c r="AM144" s="71">
        <f t="shared" si="57"/>
        <v>0</v>
      </c>
      <c r="AN144" s="17">
        <v>0</v>
      </c>
      <c r="AO144" s="71">
        <f t="shared" si="58"/>
        <v>0</v>
      </c>
      <c r="AP144" s="17">
        <v>1</v>
      </c>
      <c r="AQ144" s="71">
        <f t="shared" si="59"/>
        <v>0.33333333333333331</v>
      </c>
      <c r="AR144" s="57">
        <v>2</v>
      </c>
      <c r="AS144" s="17">
        <v>3</v>
      </c>
      <c r="AT144" s="71">
        <f t="shared" si="60"/>
        <v>1</v>
      </c>
      <c r="AU144" s="17">
        <v>1</v>
      </c>
      <c r="AV144" s="71">
        <f t="shared" si="61"/>
        <v>0.33333333333333331</v>
      </c>
      <c r="AW144" s="17">
        <v>1</v>
      </c>
      <c r="AX144" s="71">
        <f t="shared" si="62"/>
        <v>0.5</v>
      </c>
      <c r="AY144" s="17">
        <v>2</v>
      </c>
      <c r="AZ144" s="71">
        <f t="shared" si="63"/>
        <v>0.66666666666666663</v>
      </c>
      <c r="BA144" s="73">
        <v>0</v>
      </c>
      <c r="BB144" s="73">
        <v>0</v>
      </c>
      <c r="BC144" s="73">
        <v>0</v>
      </c>
      <c r="BD144" s="73">
        <v>1</v>
      </c>
      <c r="BE144" s="81">
        <f t="shared" si="64"/>
        <v>0.47916666666666663</v>
      </c>
      <c r="BF144" s="81" t="str">
        <f t="shared" si="65"/>
        <v>MEDIO</v>
      </c>
    </row>
    <row r="145" spans="1:58" x14ac:dyDescent="0.15">
      <c r="A145" s="58">
        <v>3</v>
      </c>
      <c r="B145" s="58">
        <v>1</v>
      </c>
      <c r="C145" s="58">
        <v>3</v>
      </c>
      <c r="D145" s="58">
        <v>2</v>
      </c>
      <c r="E145" s="58">
        <v>1</v>
      </c>
      <c r="F145" s="18">
        <v>1</v>
      </c>
      <c r="G145" s="64">
        <f t="shared" si="44"/>
        <v>0.5</v>
      </c>
      <c r="H145" s="18">
        <v>1</v>
      </c>
      <c r="I145" s="64">
        <f t="shared" si="45"/>
        <v>0.5</v>
      </c>
      <c r="J145" s="18">
        <v>1</v>
      </c>
      <c r="K145" s="64">
        <f t="shared" si="46"/>
        <v>0.5</v>
      </c>
      <c r="L145" s="18">
        <v>2</v>
      </c>
      <c r="M145" s="64">
        <f t="shared" si="47"/>
        <v>0.66666666666666663</v>
      </c>
      <c r="N145" s="18">
        <v>5</v>
      </c>
      <c r="O145" s="64">
        <f t="shared" si="48"/>
        <v>1</v>
      </c>
      <c r="P145" s="18">
        <v>3</v>
      </c>
      <c r="Q145" s="64">
        <f t="shared" si="49"/>
        <v>1</v>
      </c>
      <c r="R145" s="24">
        <v>2</v>
      </c>
      <c r="S145" s="71">
        <f t="shared" si="50"/>
        <v>0.66666666666666663</v>
      </c>
      <c r="T145" s="18">
        <v>1</v>
      </c>
      <c r="U145" s="64">
        <f t="shared" si="51"/>
        <v>0.33333333333333331</v>
      </c>
      <c r="V145" s="18">
        <v>3</v>
      </c>
      <c r="W145" s="71">
        <f t="shared" si="52"/>
        <v>0.75</v>
      </c>
      <c r="X145" s="18">
        <v>0</v>
      </c>
      <c r="Y145" s="71">
        <f t="shared" si="53"/>
        <v>0</v>
      </c>
      <c r="Z145" s="18">
        <v>1</v>
      </c>
      <c r="AA145" s="71">
        <f t="shared" si="54"/>
        <v>0.33333333333333331</v>
      </c>
      <c r="AB145" s="18">
        <v>2</v>
      </c>
      <c r="AC145" s="71">
        <f t="shared" si="55"/>
        <v>1</v>
      </c>
      <c r="AD145" s="58">
        <v>1</v>
      </c>
      <c r="AE145" s="58">
        <v>0</v>
      </c>
      <c r="AF145" s="58">
        <v>1</v>
      </c>
      <c r="AG145" s="58">
        <v>0</v>
      </c>
      <c r="AH145" s="58">
        <v>0</v>
      </c>
      <c r="AI145" s="58">
        <v>0</v>
      </c>
      <c r="AJ145" s="19">
        <v>1</v>
      </c>
      <c r="AK145" s="71">
        <f t="shared" si="56"/>
        <v>0.5</v>
      </c>
      <c r="AL145" s="18">
        <v>3</v>
      </c>
      <c r="AM145" s="71">
        <f t="shared" si="57"/>
        <v>1</v>
      </c>
      <c r="AN145" s="18">
        <v>0</v>
      </c>
      <c r="AO145" s="71">
        <f t="shared" si="58"/>
        <v>0</v>
      </c>
      <c r="AP145" s="18">
        <v>2</v>
      </c>
      <c r="AQ145" s="71">
        <f t="shared" si="59"/>
        <v>0.66666666666666663</v>
      </c>
      <c r="AR145" s="58">
        <v>2</v>
      </c>
      <c r="AS145" s="18">
        <v>1</v>
      </c>
      <c r="AT145" s="71">
        <f t="shared" si="60"/>
        <v>0.33333333333333331</v>
      </c>
      <c r="AU145" s="18">
        <v>1</v>
      </c>
      <c r="AV145" s="71">
        <f t="shared" si="61"/>
        <v>0.33333333333333331</v>
      </c>
      <c r="AW145" s="18">
        <v>1</v>
      </c>
      <c r="AX145" s="71">
        <f t="shared" si="62"/>
        <v>0.5</v>
      </c>
      <c r="AY145" s="18">
        <v>1</v>
      </c>
      <c r="AZ145" s="71">
        <f t="shared" si="63"/>
        <v>0.33333333333333331</v>
      </c>
      <c r="BA145" s="74">
        <v>0</v>
      </c>
      <c r="BB145" s="74">
        <v>1</v>
      </c>
      <c r="BC145" s="74">
        <v>1</v>
      </c>
      <c r="BD145" s="74">
        <v>0</v>
      </c>
      <c r="BE145" s="81">
        <f t="shared" si="64"/>
        <v>0.57083333333333341</v>
      </c>
      <c r="BF145" s="81" t="str">
        <f t="shared" si="65"/>
        <v>MEDIO</v>
      </c>
    </row>
    <row r="146" spans="1:58" x14ac:dyDescent="0.15">
      <c r="A146" s="57">
        <v>4</v>
      </c>
      <c r="B146" s="57">
        <v>2</v>
      </c>
      <c r="C146" s="57">
        <v>1</v>
      </c>
      <c r="D146" s="57">
        <v>2</v>
      </c>
      <c r="E146" s="58">
        <v>1</v>
      </c>
      <c r="F146" s="17">
        <v>1</v>
      </c>
      <c r="G146" s="64">
        <f t="shared" si="44"/>
        <v>0.5</v>
      </c>
      <c r="H146" s="17">
        <v>0</v>
      </c>
      <c r="I146" s="64">
        <f t="shared" si="45"/>
        <v>0</v>
      </c>
      <c r="J146" s="17">
        <v>1</v>
      </c>
      <c r="K146" s="64">
        <f t="shared" si="46"/>
        <v>0.5</v>
      </c>
      <c r="L146" s="17">
        <v>0</v>
      </c>
      <c r="M146" s="64">
        <f t="shared" si="47"/>
        <v>0</v>
      </c>
      <c r="N146" s="17">
        <v>4</v>
      </c>
      <c r="O146" s="64">
        <f t="shared" si="48"/>
        <v>0.8</v>
      </c>
      <c r="P146" s="17">
        <v>0</v>
      </c>
      <c r="Q146" s="64">
        <f t="shared" si="49"/>
        <v>0</v>
      </c>
      <c r="R146" s="25">
        <v>0</v>
      </c>
      <c r="S146" s="71">
        <f t="shared" si="50"/>
        <v>0</v>
      </c>
      <c r="T146" s="17">
        <v>1</v>
      </c>
      <c r="U146" s="64">
        <f t="shared" si="51"/>
        <v>0.33333333333333331</v>
      </c>
      <c r="V146" s="17">
        <v>3</v>
      </c>
      <c r="W146" s="71">
        <f t="shared" si="52"/>
        <v>0.75</v>
      </c>
      <c r="X146" s="17">
        <v>2</v>
      </c>
      <c r="Y146" s="71">
        <f t="shared" si="53"/>
        <v>0.66666666666666663</v>
      </c>
      <c r="Z146" s="17">
        <v>0</v>
      </c>
      <c r="AA146" s="71">
        <f t="shared" si="54"/>
        <v>0</v>
      </c>
      <c r="AB146" s="17">
        <v>1</v>
      </c>
      <c r="AC146" s="71">
        <f t="shared" si="55"/>
        <v>0.5</v>
      </c>
      <c r="AD146" s="57">
        <v>0</v>
      </c>
      <c r="AE146" s="57">
        <v>0</v>
      </c>
      <c r="AF146" s="57">
        <v>1</v>
      </c>
      <c r="AG146" s="57">
        <v>1</v>
      </c>
      <c r="AH146" s="57">
        <v>0</v>
      </c>
      <c r="AI146" s="57">
        <v>0</v>
      </c>
      <c r="AJ146" s="20">
        <v>1</v>
      </c>
      <c r="AK146" s="71">
        <f t="shared" si="56"/>
        <v>0.5</v>
      </c>
      <c r="AL146" s="17">
        <v>2</v>
      </c>
      <c r="AM146" s="71">
        <f t="shared" si="57"/>
        <v>0.66666666666666663</v>
      </c>
      <c r="AN146" s="17">
        <v>1</v>
      </c>
      <c r="AO146" s="71">
        <f t="shared" si="58"/>
        <v>0.33333333333333331</v>
      </c>
      <c r="AP146" s="17">
        <v>0</v>
      </c>
      <c r="AQ146" s="71">
        <f t="shared" si="59"/>
        <v>0</v>
      </c>
      <c r="AR146" s="57">
        <v>2</v>
      </c>
      <c r="AS146" s="17">
        <v>0</v>
      </c>
      <c r="AT146" s="71">
        <f t="shared" si="60"/>
        <v>0</v>
      </c>
      <c r="AU146" s="17">
        <v>2</v>
      </c>
      <c r="AV146" s="71">
        <f t="shared" si="61"/>
        <v>0.66666666666666663</v>
      </c>
      <c r="AW146" s="17">
        <v>0</v>
      </c>
      <c r="AX146" s="71">
        <f t="shared" si="62"/>
        <v>0</v>
      </c>
      <c r="AY146" s="17">
        <v>2</v>
      </c>
      <c r="AZ146" s="71">
        <f t="shared" si="63"/>
        <v>0.66666666666666663</v>
      </c>
      <c r="BA146" s="73">
        <v>1</v>
      </c>
      <c r="BB146" s="73">
        <v>1</v>
      </c>
      <c r="BC146" s="73">
        <v>0</v>
      </c>
      <c r="BD146" s="73">
        <v>0</v>
      </c>
      <c r="BE146" s="81">
        <f t="shared" si="64"/>
        <v>0.3691666666666667</v>
      </c>
      <c r="BF146" s="81" t="str">
        <f t="shared" si="65"/>
        <v>MEDIO</v>
      </c>
    </row>
    <row r="147" spans="1:58" x14ac:dyDescent="0.15">
      <c r="A147" s="58">
        <v>4</v>
      </c>
      <c r="B147" s="58">
        <v>2</v>
      </c>
      <c r="C147" s="58">
        <v>2</v>
      </c>
      <c r="D147" s="58">
        <v>2</v>
      </c>
      <c r="E147" s="58">
        <v>1</v>
      </c>
      <c r="F147" s="18">
        <v>1</v>
      </c>
      <c r="G147" s="64">
        <f t="shared" si="44"/>
        <v>0.5</v>
      </c>
      <c r="H147" s="18">
        <v>2</v>
      </c>
      <c r="I147" s="64">
        <f t="shared" si="45"/>
        <v>1</v>
      </c>
      <c r="J147" s="18">
        <v>2</v>
      </c>
      <c r="K147" s="64">
        <f t="shared" si="46"/>
        <v>1</v>
      </c>
      <c r="L147" s="18">
        <v>3</v>
      </c>
      <c r="M147" s="64">
        <f t="shared" si="47"/>
        <v>1</v>
      </c>
      <c r="N147" s="18">
        <v>4</v>
      </c>
      <c r="O147" s="64">
        <f t="shared" si="48"/>
        <v>0.8</v>
      </c>
      <c r="P147" s="18">
        <v>2</v>
      </c>
      <c r="Q147" s="64">
        <f t="shared" si="49"/>
        <v>0.66666666666666663</v>
      </c>
      <c r="R147" s="24">
        <v>0</v>
      </c>
      <c r="S147" s="71">
        <f t="shared" si="50"/>
        <v>0</v>
      </c>
      <c r="T147" s="18">
        <v>3</v>
      </c>
      <c r="U147" s="64">
        <f t="shared" si="51"/>
        <v>1</v>
      </c>
      <c r="V147" s="18">
        <v>3</v>
      </c>
      <c r="W147" s="71">
        <f t="shared" si="52"/>
        <v>0.75</v>
      </c>
      <c r="X147" s="18">
        <v>2</v>
      </c>
      <c r="Y147" s="71">
        <f t="shared" si="53"/>
        <v>0.66666666666666663</v>
      </c>
      <c r="Z147" s="18">
        <v>3</v>
      </c>
      <c r="AA147" s="71">
        <f t="shared" si="54"/>
        <v>1</v>
      </c>
      <c r="AB147" s="18">
        <v>1</v>
      </c>
      <c r="AC147" s="71">
        <f t="shared" si="55"/>
        <v>0.5</v>
      </c>
      <c r="AD147" s="58">
        <v>1</v>
      </c>
      <c r="AE147" s="58">
        <v>0</v>
      </c>
      <c r="AF147" s="58">
        <v>1</v>
      </c>
      <c r="AG147" s="58">
        <v>0</v>
      </c>
      <c r="AH147" s="58">
        <v>0</v>
      </c>
      <c r="AI147" s="58">
        <v>0</v>
      </c>
      <c r="AJ147" s="19">
        <v>1</v>
      </c>
      <c r="AK147" s="71">
        <f t="shared" si="56"/>
        <v>0.5</v>
      </c>
      <c r="AL147" s="18">
        <v>2</v>
      </c>
      <c r="AM147" s="71">
        <f t="shared" si="57"/>
        <v>0.66666666666666663</v>
      </c>
      <c r="AN147" s="18">
        <v>1</v>
      </c>
      <c r="AO147" s="71">
        <f t="shared" si="58"/>
        <v>0.33333333333333331</v>
      </c>
      <c r="AP147" s="18">
        <v>2</v>
      </c>
      <c r="AQ147" s="71">
        <f t="shared" si="59"/>
        <v>0.66666666666666663</v>
      </c>
      <c r="AR147" s="58">
        <v>2</v>
      </c>
      <c r="AS147" s="18">
        <v>3</v>
      </c>
      <c r="AT147" s="71">
        <f t="shared" si="60"/>
        <v>1</v>
      </c>
      <c r="AU147" s="18">
        <v>2</v>
      </c>
      <c r="AV147" s="71">
        <f t="shared" si="61"/>
        <v>0.66666666666666663</v>
      </c>
      <c r="AW147" s="18">
        <v>0</v>
      </c>
      <c r="AX147" s="71">
        <f t="shared" si="62"/>
        <v>0</v>
      </c>
      <c r="AY147" s="18">
        <v>3</v>
      </c>
      <c r="AZ147" s="71">
        <f t="shared" si="63"/>
        <v>1</v>
      </c>
      <c r="BA147" s="74">
        <v>1</v>
      </c>
      <c r="BB147" s="74">
        <v>0</v>
      </c>
      <c r="BC147" s="74">
        <v>1</v>
      </c>
      <c r="BD147" s="74">
        <v>0</v>
      </c>
      <c r="BE147" s="81">
        <f t="shared" si="64"/>
        <v>0.71083333333333321</v>
      </c>
      <c r="BF147" s="81" t="str">
        <f t="shared" si="65"/>
        <v>ALTO</v>
      </c>
    </row>
    <row r="148" spans="1:58" x14ac:dyDescent="0.15">
      <c r="A148" s="57">
        <v>4</v>
      </c>
      <c r="B148" s="57">
        <v>1</v>
      </c>
      <c r="C148" s="57">
        <v>4</v>
      </c>
      <c r="D148" s="57">
        <v>2</v>
      </c>
      <c r="E148" s="58">
        <v>1</v>
      </c>
      <c r="F148" s="17">
        <v>1</v>
      </c>
      <c r="G148" s="64">
        <f t="shared" si="44"/>
        <v>0.5</v>
      </c>
      <c r="H148" s="17">
        <v>1</v>
      </c>
      <c r="I148" s="64">
        <f t="shared" si="45"/>
        <v>0.5</v>
      </c>
      <c r="J148" s="17">
        <v>2</v>
      </c>
      <c r="K148" s="64">
        <f t="shared" si="46"/>
        <v>1</v>
      </c>
      <c r="L148" s="17">
        <v>2</v>
      </c>
      <c r="M148" s="64">
        <f t="shared" si="47"/>
        <v>0.66666666666666663</v>
      </c>
      <c r="N148" s="17">
        <v>0</v>
      </c>
      <c r="O148" s="64">
        <f t="shared" si="48"/>
        <v>0</v>
      </c>
      <c r="P148" s="17">
        <v>2</v>
      </c>
      <c r="Q148" s="64">
        <f t="shared" si="49"/>
        <v>0.66666666666666663</v>
      </c>
      <c r="R148" s="25">
        <v>2</v>
      </c>
      <c r="S148" s="71">
        <f t="shared" si="50"/>
        <v>0.66666666666666663</v>
      </c>
      <c r="T148" s="17">
        <v>2</v>
      </c>
      <c r="U148" s="64">
        <f t="shared" si="51"/>
        <v>0.66666666666666663</v>
      </c>
      <c r="V148" s="17">
        <v>3</v>
      </c>
      <c r="W148" s="71">
        <f t="shared" si="52"/>
        <v>0.75</v>
      </c>
      <c r="X148" s="17">
        <v>1</v>
      </c>
      <c r="Y148" s="71">
        <f t="shared" si="53"/>
        <v>0.33333333333333331</v>
      </c>
      <c r="Z148" s="17">
        <v>0</v>
      </c>
      <c r="AA148" s="71">
        <f t="shared" si="54"/>
        <v>0</v>
      </c>
      <c r="AB148" s="17">
        <v>0</v>
      </c>
      <c r="AC148" s="71">
        <f t="shared" si="55"/>
        <v>0</v>
      </c>
      <c r="AD148" s="57">
        <v>1</v>
      </c>
      <c r="AE148" s="57">
        <v>1</v>
      </c>
      <c r="AF148" s="57">
        <v>0</v>
      </c>
      <c r="AG148" s="57">
        <v>0</v>
      </c>
      <c r="AH148" s="57">
        <v>0</v>
      </c>
      <c r="AI148" s="57">
        <v>0</v>
      </c>
      <c r="AJ148" s="20">
        <v>1</v>
      </c>
      <c r="AK148" s="71">
        <f t="shared" si="56"/>
        <v>0.5</v>
      </c>
      <c r="AL148" s="17">
        <v>1</v>
      </c>
      <c r="AM148" s="71">
        <f t="shared" si="57"/>
        <v>0.33333333333333331</v>
      </c>
      <c r="AN148" s="17">
        <v>1</v>
      </c>
      <c r="AO148" s="71">
        <f t="shared" si="58"/>
        <v>0.33333333333333331</v>
      </c>
      <c r="AP148" s="17">
        <v>2</v>
      </c>
      <c r="AQ148" s="71">
        <f t="shared" si="59"/>
        <v>0.66666666666666663</v>
      </c>
      <c r="AR148" s="57">
        <v>2</v>
      </c>
      <c r="AS148" s="17">
        <v>2</v>
      </c>
      <c r="AT148" s="71">
        <f t="shared" si="60"/>
        <v>0.66666666666666663</v>
      </c>
      <c r="AU148" s="17">
        <v>3</v>
      </c>
      <c r="AV148" s="71">
        <f t="shared" si="61"/>
        <v>1</v>
      </c>
      <c r="AW148" s="17">
        <v>0</v>
      </c>
      <c r="AX148" s="71">
        <f t="shared" si="62"/>
        <v>0</v>
      </c>
      <c r="AY148" s="17">
        <v>3</v>
      </c>
      <c r="AZ148" s="71">
        <f t="shared" si="63"/>
        <v>1</v>
      </c>
      <c r="BA148" s="73">
        <v>1</v>
      </c>
      <c r="BB148" s="73">
        <v>1</v>
      </c>
      <c r="BC148" s="73">
        <v>0</v>
      </c>
      <c r="BD148" s="73">
        <v>0</v>
      </c>
      <c r="BE148" s="81">
        <f t="shared" si="64"/>
        <v>0.53749999999999987</v>
      </c>
      <c r="BF148" s="81" t="str">
        <f t="shared" si="65"/>
        <v>MEDIO</v>
      </c>
    </row>
    <row r="149" spans="1:58" x14ac:dyDescent="0.15">
      <c r="A149" s="58">
        <v>1</v>
      </c>
      <c r="B149" s="58">
        <v>2</v>
      </c>
      <c r="C149" s="58">
        <v>2</v>
      </c>
      <c r="D149" s="58">
        <v>2</v>
      </c>
      <c r="E149" s="58">
        <v>1</v>
      </c>
      <c r="F149" s="18">
        <v>1</v>
      </c>
      <c r="G149" s="64">
        <f t="shared" si="44"/>
        <v>0.5</v>
      </c>
      <c r="H149" s="18">
        <v>0</v>
      </c>
      <c r="I149" s="64">
        <f t="shared" si="45"/>
        <v>0</v>
      </c>
      <c r="J149" s="18">
        <v>0</v>
      </c>
      <c r="K149" s="64">
        <f t="shared" si="46"/>
        <v>0</v>
      </c>
      <c r="L149" s="18">
        <v>0</v>
      </c>
      <c r="M149" s="64">
        <f t="shared" si="47"/>
        <v>0</v>
      </c>
      <c r="N149" s="18">
        <v>0</v>
      </c>
      <c r="O149" s="64">
        <f t="shared" si="48"/>
        <v>0</v>
      </c>
      <c r="P149" s="18">
        <v>3</v>
      </c>
      <c r="Q149" s="64">
        <f t="shared" si="49"/>
        <v>1</v>
      </c>
      <c r="R149" s="24">
        <v>2</v>
      </c>
      <c r="S149" s="71">
        <f t="shared" si="50"/>
        <v>0.66666666666666663</v>
      </c>
      <c r="T149" s="18">
        <v>1</v>
      </c>
      <c r="U149" s="64">
        <f t="shared" si="51"/>
        <v>0.33333333333333331</v>
      </c>
      <c r="V149" s="18">
        <v>4</v>
      </c>
      <c r="W149" s="71">
        <f t="shared" si="52"/>
        <v>1</v>
      </c>
      <c r="X149" s="18">
        <v>2</v>
      </c>
      <c r="Y149" s="71">
        <f t="shared" si="53"/>
        <v>0.66666666666666663</v>
      </c>
      <c r="Z149" s="18">
        <v>2</v>
      </c>
      <c r="AA149" s="71">
        <f t="shared" si="54"/>
        <v>0.66666666666666663</v>
      </c>
      <c r="AB149" s="18">
        <v>2</v>
      </c>
      <c r="AC149" s="71">
        <f t="shared" si="55"/>
        <v>1</v>
      </c>
      <c r="AD149" s="58">
        <v>0</v>
      </c>
      <c r="AE149" s="58">
        <v>0</v>
      </c>
      <c r="AF149" s="58">
        <v>1</v>
      </c>
      <c r="AG149" s="58">
        <v>1</v>
      </c>
      <c r="AH149" s="58">
        <v>0</v>
      </c>
      <c r="AI149" s="58">
        <v>0</v>
      </c>
      <c r="AJ149" s="19">
        <v>1</v>
      </c>
      <c r="AK149" s="71">
        <f t="shared" si="56"/>
        <v>0.5</v>
      </c>
      <c r="AL149" s="18">
        <v>3</v>
      </c>
      <c r="AM149" s="71">
        <f t="shared" si="57"/>
        <v>1</v>
      </c>
      <c r="AN149" s="18">
        <v>1</v>
      </c>
      <c r="AO149" s="71">
        <f t="shared" si="58"/>
        <v>0.33333333333333331</v>
      </c>
      <c r="AP149" s="18">
        <v>0</v>
      </c>
      <c r="AQ149" s="71">
        <f t="shared" si="59"/>
        <v>0</v>
      </c>
      <c r="AR149" s="58">
        <v>0</v>
      </c>
      <c r="AS149" s="18">
        <v>2</v>
      </c>
      <c r="AT149" s="71">
        <f t="shared" si="60"/>
        <v>0.66666666666666663</v>
      </c>
      <c r="AU149" s="18">
        <v>2</v>
      </c>
      <c r="AV149" s="71">
        <f t="shared" si="61"/>
        <v>0.66666666666666663</v>
      </c>
      <c r="AW149" s="18">
        <v>0</v>
      </c>
      <c r="AX149" s="71">
        <f t="shared" si="62"/>
        <v>0</v>
      </c>
      <c r="AY149" s="18">
        <v>2</v>
      </c>
      <c r="AZ149" s="71">
        <f t="shared" si="63"/>
        <v>0.66666666666666663</v>
      </c>
      <c r="BA149" s="74">
        <v>1</v>
      </c>
      <c r="BB149" s="74">
        <v>0</v>
      </c>
      <c r="BC149" s="74">
        <v>1</v>
      </c>
      <c r="BD149" s="74">
        <v>0</v>
      </c>
      <c r="BE149" s="81">
        <f t="shared" si="64"/>
        <v>0.5083333333333333</v>
      </c>
      <c r="BF149" s="81" t="str">
        <f t="shared" si="65"/>
        <v>MEDIO</v>
      </c>
    </row>
    <row r="150" spans="1:58" x14ac:dyDescent="0.15">
      <c r="A150" s="57">
        <v>4</v>
      </c>
      <c r="B150" s="57">
        <v>1</v>
      </c>
      <c r="C150" s="57">
        <v>1</v>
      </c>
      <c r="D150" s="57">
        <v>2</v>
      </c>
      <c r="E150" s="58">
        <v>1</v>
      </c>
      <c r="F150" s="17">
        <v>1</v>
      </c>
      <c r="G150" s="64">
        <f t="shared" si="44"/>
        <v>0.5</v>
      </c>
      <c r="H150" s="17">
        <v>2</v>
      </c>
      <c r="I150" s="64">
        <f t="shared" si="45"/>
        <v>1</v>
      </c>
      <c r="J150" s="17">
        <v>2</v>
      </c>
      <c r="K150" s="64">
        <f t="shared" si="46"/>
        <v>1</v>
      </c>
      <c r="L150" s="17">
        <v>2</v>
      </c>
      <c r="M150" s="64">
        <f t="shared" si="47"/>
        <v>0.66666666666666663</v>
      </c>
      <c r="N150" s="17">
        <v>0</v>
      </c>
      <c r="O150" s="64">
        <f t="shared" si="48"/>
        <v>0</v>
      </c>
      <c r="P150" s="17">
        <v>3</v>
      </c>
      <c r="Q150" s="64">
        <f t="shared" si="49"/>
        <v>1</v>
      </c>
      <c r="R150" s="25">
        <v>3</v>
      </c>
      <c r="S150" s="71">
        <f t="shared" si="50"/>
        <v>1</v>
      </c>
      <c r="T150" s="17">
        <v>3</v>
      </c>
      <c r="U150" s="64">
        <f t="shared" si="51"/>
        <v>1</v>
      </c>
      <c r="V150" s="17">
        <v>3</v>
      </c>
      <c r="W150" s="71">
        <f t="shared" si="52"/>
        <v>0.75</v>
      </c>
      <c r="X150" s="17">
        <v>2</v>
      </c>
      <c r="Y150" s="71">
        <f t="shared" si="53"/>
        <v>0.66666666666666663</v>
      </c>
      <c r="Z150" s="17">
        <v>2</v>
      </c>
      <c r="AA150" s="71">
        <f t="shared" si="54"/>
        <v>0.66666666666666663</v>
      </c>
      <c r="AB150" s="17">
        <v>0</v>
      </c>
      <c r="AC150" s="71">
        <f t="shared" si="55"/>
        <v>0</v>
      </c>
      <c r="AD150" s="57">
        <v>1</v>
      </c>
      <c r="AE150" s="57">
        <v>0</v>
      </c>
      <c r="AF150" s="57">
        <v>1</v>
      </c>
      <c r="AG150" s="57">
        <v>0</v>
      </c>
      <c r="AH150" s="57">
        <v>0</v>
      </c>
      <c r="AI150" s="57">
        <v>0</v>
      </c>
      <c r="AJ150" s="20">
        <v>1</v>
      </c>
      <c r="AK150" s="71">
        <f t="shared" si="56"/>
        <v>0.5</v>
      </c>
      <c r="AL150" s="17">
        <v>2</v>
      </c>
      <c r="AM150" s="71">
        <f t="shared" si="57"/>
        <v>0.66666666666666663</v>
      </c>
      <c r="AN150" s="17">
        <v>2</v>
      </c>
      <c r="AO150" s="71">
        <f t="shared" si="58"/>
        <v>0.66666666666666663</v>
      </c>
      <c r="AP150" s="17">
        <v>2</v>
      </c>
      <c r="AQ150" s="71">
        <f t="shared" si="59"/>
        <v>0.66666666666666663</v>
      </c>
      <c r="AR150" s="57">
        <v>1</v>
      </c>
      <c r="AS150" s="17">
        <v>2</v>
      </c>
      <c r="AT150" s="71">
        <f t="shared" si="60"/>
        <v>0.66666666666666663</v>
      </c>
      <c r="AU150" s="17">
        <v>2</v>
      </c>
      <c r="AV150" s="71">
        <f t="shared" si="61"/>
        <v>0.66666666666666663</v>
      </c>
      <c r="AW150" s="17">
        <v>1</v>
      </c>
      <c r="AX150" s="71">
        <f t="shared" si="62"/>
        <v>0.5</v>
      </c>
      <c r="AY150" s="17">
        <v>0</v>
      </c>
      <c r="AZ150" s="71">
        <f t="shared" si="63"/>
        <v>0</v>
      </c>
      <c r="BA150" s="73">
        <v>1</v>
      </c>
      <c r="BB150" s="73">
        <v>1</v>
      </c>
      <c r="BC150" s="73">
        <v>0</v>
      </c>
      <c r="BD150" s="73">
        <v>0</v>
      </c>
      <c r="BE150" s="81">
        <f t="shared" si="64"/>
        <v>0.65416666666666645</v>
      </c>
      <c r="BF150" s="81" t="str">
        <f t="shared" si="65"/>
        <v>MEDIO</v>
      </c>
    </row>
    <row r="151" spans="1:58" x14ac:dyDescent="0.15">
      <c r="A151" s="58">
        <v>5</v>
      </c>
      <c r="B151" s="58">
        <v>2</v>
      </c>
      <c r="C151" s="58">
        <v>3</v>
      </c>
      <c r="D151" s="58">
        <v>2</v>
      </c>
      <c r="E151" s="58">
        <v>1</v>
      </c>
      <c r="F151" s="18">
        <v>1</v>
      </c>
      <c r="G151" s="64">
        <f t="shared" si="44"/>
        <v>0.5</v>
      </c>
      <c r="H151" s="18">
        <v>2</v>
      </c>
      <c r="I151" s="64">
        <f t="shared" si="45"/>
        <v>1</v>
      </c>
      <c r="J151" s="18">
        <v>1</v>
      </c>
      <c r="K151" s="64">
        <f t="shared" si="46"/>
        <v>0.5</v>
      </c>
      <c r="L151" s="18">
        <v>2</v>
      </c>
      <c r="M151" s="64">
        <f t="shared" si="47"/>
        <v>0.66666666666666663</v>
      </c>
      <c r="N151" s="18">
        <v>2</v>
      </c>
      <c r="O151" s="64">
        <f t="shared" si="48"/>
        <v>0.4</v>
      </c>
      <c r="P151" s="18">
        <v>0</v>
      </c>
      <c r="Q151" s="64">
        <f t="shared" si="49"/>
        <v>0</v>
      </c>
      <c r="R151" s="24">
        <v>2</v>
      </c>
      <c r="S151" s="71">
        <f t="shared" si="50"/>
        <v>0.66666666666666663</v>
      </c>
      <c r="T151" s="18">
        <v>3</v>
      </c>
      <c r="U151" s="64">
        <f t="shared" si="51"/>
        <v>1</v>
      </c>
      <c r="V151" s="18">
        <v>3</v>
      </c>
      <c r="W151" s="71">
        <f t="shared" si="52"/>
        <v>0.75</v>
      </c>
      <c r="X151" s="18">
        <v>2</v>
      </c>
      <c r="Y151" s="71">
        <f t="shared" si="53"/>
        <v>0.66666666666666663</v>
      </c>
      <c r="Z151" s="18">
        <v>0</v>
      </c>
      <c r="AA151" s="71">
        <f t="shared" si="54"/>
        <v>0</v>
      </c>
      <c r="AB151" s="18">
        <v>2</v>
      </c>
      <c r="AC151" s="71">
        <f t="shared" si="55"/>
        <v>1</v>
      </c>
      <c r="AD151" s="58">
        <v>1</v>
      </c>
      <c r="AE151" s="58">
        <v>0</v>
      </c>
      <c r="AF151" s="58">
        <v>0</v>
      </c>
      <c r="AG151" s="58">
        <v>1</v>
      </c>
      <c r="AH151" s="58">
        <v>0</v>
      </c>
      <c r="AI151" s="58">
        <v>0</v>
      </c>
      <c r="AJ151" s="19">
        <v>1</v>
      </c>
      <c r="AK151" s="71">
        <f t="shared" si="56"/>
        <v>0.5</v>
      </c>
      <c r="AL151" s="18">
        <v>1</v>
      </c>
      <c r="AM151" s="71">
        <f t="shared" si="57"/>
        <v>0.33333333333333331</v>
      </c>
      <c r="AN151" s="18">
        <v>2</v>
      </c>
      <c r="AO151" s="71">
        <f t="shared" si="58"/>
        <v>0.66666666666666663</v>
      </c>
      <c r="AP151" s="18">
        <v>2</v>
      </c>
      <c r="AQ151" s="71">
        <f t="shared" si="59"/>
        <v>0.66666666666666663</v>
      </c>
      <c r="AR151" s="58">
        <v>1</v>
      </c>
      <c r="AS151" s="18">
        <v>0</v>
      </c>
      <c r="AT151" s="71">
        <f t="shared" si="60"/>
        <v>0</v>
      </c>
      <c r="AU151" s="18">
        <v>0</v>
      </c>
      <c r="AV151" s="71">
        <f t="shared" si="61"/>
        <v>0</v>
      </c>
      <c r="AW151" s="18">
        <v>1</v>
      </c>
      <c r="AX151" s="71">
        <f t="shared" si="62"/>
        <v>0.5</v>
      </c>
      <c r="AY151" s="18">
        <v>3</v>
      </c>
      <c r="AZ151" s="71">
        <f t="shared" si="63"/>
        <v>1</v>
      </c>
      <c r="BA151" s="74">
        <v>0</v>
      </c>
      <c r="BB151" s="74">
        <v>1</v>
      </c>
      <c r="BC151" s="74">
        <v>1</v>
      </c>
      <c r="BD151" s="74">
        <v>0</v>
      </c>
      <c r="BE151" s="81">
        <f t="shared" si="64"/>
        <v>0.5658333333333333</v>
      </c>
      <c r="BF151" s="81" t="str">
        <f t="shared" si="65"/>
        <v>MEDIO</v>
      </c>
    </row>
    <row r="152" spans="1:58" x14ac:dyDescent="0.15">
      <c r="A152" s="57">
        <v>3</v>
      </c>
      <c r="B152" s="57">
        <v>2</v>
      </c>
      <c r="C152" s="57">
        <v>4</v>
      </c>
      <c r="D152" s="57">
        <v>1</v>
      </c>
      <c r="E152" s="58">
        <v>1</v>
      </c>
      <c r="F152" s="17">
        <v>2</v>
      </c>
      <c r="G152" s="64">
        <f t="shared" si="44"/>
        <v>1</v>
      </c>
      <c r="H152" s="17">
        <v>0</v>
      </c>
      <c r="I152" s="64">
        <f t="shared" si="45"/>
        <v>0</v>
      </c>
      <c r="J152" s="17">
        <v>0</v>
      </c>
      <c r="K152" s="64">
        <f t="shared" si="46"/>
        <v>0</v>
      </c>
      <c r="L152" s="17">
        <v>0</v>
      </c>
      <c r="M152" s="64">
        <f t="shared" si="47"/>
        <v>0</v>
      </c>
      <c r="N152" s="17">
        <v>1</v>
      </c>
      <c r="O152" s="64">
        <f t="shared" si="48"/>
        <v>0.2</v>
      </c>
      <c r="P152" s="17">
        <v>3</v>
      </c>
      <c r="Q152" s="64">
        <f t="shared" si="49"/>
        <v>1</v>
      </c>
      <c r="R152" s="25">
        <v>3</v>
      </c>
      <c r="S152" s="71">
        <f t="shared" si="50"/>
        <v>1</v>
      </c>
      <c r="T152" s="17">
        <v>1</v>
      </c>
      <c r="U152" s="64">
        <f t="shared" si="51"/>
        <v>0.33333333333333331</v>
      </c>
      <c r="V152" s="17">
        <v>3</v>
      </c>
      <c r="W152" s="71">
        <f t="shared" si="52"/>
        <v>0.75</v>
      </c>
      <c r="X152" s="17">
        <v>3</v>
      </c>
      <c r="Y152" s="71">
        <f t="shared" si="53"/>
        <v>1</v>
      </c>
      <c r="Z152" s="17">
        <v>1</v>
      </c>
      <c r="AA152" s="71">
        <f t="shared" si="54"/>
        <v>0.33333333333333331</v>
      </c>
      <c r="AB152" s="17">
        <v>2</v>
      </c>
      <c r="AC152" s="71">
        <f t="shared" si="55"/>
        <v>1</v>
      </c>
      <c r="AD152" s="57">
        <v>0</v>
      </c>
      <c r="AE152" s="57">
        <v>0</v>
      </c>
      <c r="AF152" s="57">
        <v>1</v>
      </c>
      <c r="AG152" s="57">
        <v>1</v>
      </c>
      <c r="AH152" s="57">
        <v>0</v>
      </c>
      <c r="AI152" s="57">
        <v>0</v>
      </c>
      <c r="AJ152" s="20">
        <v>1</v>
      </c>
      <c r="AK152" s="71">
        <f t="shared" si="56"/>
        <v>0.5</v>
      </c>
      <c r="AL152" s="17">
        <v>0</v>
      </c>
      <c r="AM152" s="71">
        <f t="shared" si="57"/>
        <v>0</v>
      </c>
      <c r="AN152" s="17">
        <v>0</v>
      </c>
      <c r="AO152" s="71">
        <f t="shared" si="58"/>
        <v>0</v>
      </c>
      <c r="AP152" s="17">
        <v>1</v>
      </c>
      <c r="AQ152" s="71">
        <f t="shared" si="59"/>
        <v>0.33333333333333331</v>
      </c>
      <c r="AR152" s="57">
        <v>2</v>
      </c>
      <c r="AS152" s="17">
        <v>1</v>
      </c>
      <c r="AT152" s="71">
        <f t="shared" si="60"/>
        <v>0.33333333333333331</v>
      </c>
      <c r="AU152" s="17">
        <v>1</v>
      </c>
      <c r="AV152" s="71">
        <f t="shared" si="61"/>
        <v>0.33333333333333331</v>
      </c>
      <c r="AW152" s="17">
        <v>1</v>
      </c>
      <c r="AX152" s="71">
        <f t="shared" si="62"/>
        <v>0.5</v>
      </c>
      <c r="AY152" s="17">
        <v>2</v>
      </c>
      <c r="AZ152" s="71">
        <f t="shared" si="63"/>
        <v>0.66666666666666663</v>
      </c>
      <c r="BA152" s="73">
        <v>0</v>
      </c>
      <c r="BB152" s="73">
        <v>0</v>
      </c>
      <c r="BC152" s="73">
        <v>0</v>
      </c>
      <c r="BD152" s="73">
        <v>1</v>
      </c>
      <c r="BE152" s="81">
        <f t="shared" si="64"/>
        <v>0.51416666666666677</v>
      </c>
      <c r="BF152" s="81" t="str">
        <f t="shared" si="65"/>
        <v>MEDIO</v>
      </c>
    </row>
    <row r="153" spans="1:58" x14ac:dyDescent="0.15">
      <c r="A153" s="58">
        <v>2</v>
      </c>
      <c r="B153" s="58">
        <v>1</v>
      </c>
      <c r="C153" s="58">
        <v>3</v>
      </c>
      <c r="D153" s="58">
        <v>1</v>
      </c>
      <c r="E153" s="58">
        <v>1</v>
      </c>
      <c r="F153" s="18">
        <v>2</v>
      </c>
      <c r="G153" s="64">
        <f t="shared" si="44"/>
        <v>1</v>
      </c>
      <c r="H153" s="18">
        <v>0</v>
      </c>
      <c r="I153" s="64">
        <f t="shared" si="45"/>
        <v>0</v>
      </c>
      <c r="J153" s="18">
        <v>0</v>
      </c>
      <c r="K153" s="64">
        <f t="shared" si="46"/>
        <v>0</v>
      </c>
      <c r="L153" s="18">
        <v>1</v>
      </c>
      <c r="M153" s="64">
        <f t="shared" si="47"/>
        <v>0.33333333333333331</v>
      </c>
      <c r="N153" s="18">
        <v>2</v>
      </c>
      <c r="O153" s="64">
        <f t="shared" si="48"/>
        <v>0.4</v>
      </c>
      <c r="P153" s="18">
        <v>3</v>
      </c>
      <c r="Q153" s="64">
        <f t="shared" si="49"/>
        <v>1</v>
      </c>
      <c r="R153" s="24">
        <v>3</v>
      </c>
      <c r="S153" s="71">
        <f t="shared" si="50"/>
        <v>1</v>
      </c>
      <c r="T153" s="18">
        <v>1</v>
      </c>
      <c r="U153" s="64">
        <f t="shared" si="51"/>
        <v>0.33333333333333331</v>
      </c>
      <c r="V153" s="18">
        <v>3</v>
      </c>
      <c r="W153" s="71">
        <f t="shared" si="52"/>
        <v>0.75</v>
      </c>
      <c r="X153" s="18">
        <v>3</v>
      </c>
      <c r="Y153" s="71">
        <f t="shared" si="53"/>
        <v>1</v>
      </c>
      <c r="Z153" s="18">
        <v>2</v>
      </c>
      <c r="AA153" s="71">
        <f t="shared" si="54"/>
        <v>0.66666666666666663</v>
      </c>
      <c r="AB153" s="18">
        <v>2</v>
      </c>
      <c r="AC153" s="71">
        <f t="shared" si="55"/>
        <v>1</v>
      </c>
      <c r="AD153" s="58">
        <v>0</v>
      </c>
      <c r="AE153" s="58">
        <v>0</v>
      </c>
      <c r="AF153" s="58">
        <v>1</v>
      </c>
      <c r="AG153" s="58">
        <v>0</v>
      </c>
      <c r="AH153" s="58">
        <v>0</v>
      </c>
      <c r="AI153" s="58">
        <v>0</v>
      </c>
      <c r="AJ153" s="19">
        <v>1</v>
      </c>
      <c r="AK153" s="71">
        <f t="shared" si="56"/>
        <v>0.5</v>
      </c>
      <c r="AL153" s="18">
        <v>0</v>
      </c>
      <c r="AM153" s="71">
        <f t="shared" si="57"/>
        <v>0</v>
      </c>
      <c r="AN153" s="18">
        <v>0</v>
      </c>
      <c r="AO153" s="71">
        <f t="shared" si="58"/>
        <v>0</v>
      </c>
      <c r="AP153" s="18">
        <v>0</v>
      </c>
      <c r="AQ153" s="71">
        <f t="shared" si="59"/>
        <v>0</v>
      </c>
      <c r="AR153" s="58">
        <v>0</v>
      </c>
      <c r="AS153" s="18">
        <v>2</v>
      </c>
      <c r="AT153" s="71">
        <f t="shared" si="60"/>
        <v>0.66666666666666663</v>
      </c>
      <c r="AU153" s="18">
        <v>2</v>
      </c>
      <c r="AV153" s="71">
        <f t="shared" si="61"/>
        <v>0.66666666666666663</v>
      </c>
      <c r="AW153" s="18">
        <v>0</v>
      </c>
      <c r="AX153" s="71">
        <f t="shared" si="62"/>
        <v>0</v>
      </c>
      <c r="AY153" s="18">
        <v>2</v>
      </c>
      <c r="AZ153" s="71">
        <f t="shared" si="63"/>
        <v>0.66666666666666663</v>
      </c>
      <c r="BA153" s="74">
        <v>0</v>
      </c>
      <c r="BB153" s="74">
        <v>0</v>
      </c>
      <c r="BC153" s="74">
        <v>0</v>
      </c>
      <c r="BD153" s="74">
        <v>1</v>
      </c>
      <c r="BE153" s="81">
        <f t="shared" si="64"/>
        <v>0.54916666666666658</v>
      </c>
      <c r="BF153" s="81" t="str">
        <f t="shared" si="65"/>
        <v>MEDIO</v>
      </c>
    </row>
    <row r="154" spans="1:58" x14ac:dyDescent="0.15">
      <c r="A154" s="57">
        <v>4</v>
      </c>
      <c r="B154" s="57">
        <v>2</v>
      </c>
      <c r="C154" s="57">
        <v>1</v>
      </c>
      <c r="D154" s="57">
        <v>2</v>
      </c>
      <c r="E154" s="58">
        <v>1</v>
      </c>
      <c r="F154" s="17">
        <v>2</v>
      </c>
      <c r="G154" s="64">
        <f t="shared" si="44"/>
        <v>1</v>
      </c>
      <c r="H154" s="17">
        <v>1</v>
      </c>
      <c r="I154" s="64">
        <f t="shared" si="45"/>
        <v>0.5</v>
      </c>
      <c r="J154" s="17">
        <v>0</v>
      </c>
      <c r="K154" s="64">
        <f t="shared" si="46"/>
        <v>0</v>
      </c>
      <c r="L154" s="17">
        <v>1</v>
      </c>
      <c r="M154" s="64">
        <f t="shared" si="47"/>
        <v>0.33333333333333331</v>
      </c>
      <c r="N154" s="17">
        <v>4</v>
      </c>
      <c r="O154" s="64">
        <f t="shared" si="48"/>
        <v>0.8</v>
      </c>
      <c r="P154" s="17">
        <v>3</v>
      </c>
      <c r="Q154" s="64">
        <f t="shared" si="49"/>
        <v>1</v>
      </c>
      <c r="R154" s="25">
        <v>0</v>
      </c>
      <c r="S154" s="71">
        <f t="shared" si="50"/>
        <v>0</v>
      </c>
      <c r="T154" s="17">
        <v>0</v>
      </c>
      <c r="U154" s="64">
        <f t="shared" si="51"/>
        <v>0</v>
      </c>
      <c r="V154" s="17">
        <v>3</v>
      </c>
      <c r="W154" s="71">
        <f t="shared" si="52"/>
        <v>0.75</v>
      </c>
      <c r="X154" s="17">
        <v>0</v>
      </c>
      <c r="Y154" s="71">
        <f t="shared" si="53"/>
        <v>0</v>
      </c>
      <c r="Z154" s="17">
        <v>1</v>
      </c>
      <c r="AA154" s="71">
        <f t="shared" si="54"/>
        <v>0.33333333333333331</v>
      </c>
      <c r="AB154" s="17">
        <v>2</v>
      </c>
      <c r="AC154" s="71">
        <f t="shared" si="55"/>
        <v>1</v>
      </c>
      <c r="AD154" s="57">
        <v>1</v>
      </c>
      <c r="AE154" s="57">
        <v>0</v>
      </c>
      <c r="AF154" s="57">
        <v>1</v>
      </c>
      <c r="AG154" s="57">
        <v>0</v>
      </c>
      <c r="AH154" s="57">
        <v>0</v>
      </c>
      <c r="AI154" s="57">
        <v>0</v>
      </c>
      <c r="AJ154" s="20">
        <v>1</v>
      </c>
      <c r="AK154" s="71">
        <f t="shared" si="56"/>
        <v>0.5</v>
      </c>
      <c r="AL154" s="17">
        <v>3</v>
      </c>
      <c r="AM154" s="71">
        <f t="shared" si="57"/>
        <v>1</v>
      </c>
      <c r="AN154" s="17">
        <v>0</v>
      </c>
      <c r="AO154" s="71">
        <f t="shared" si="58"/>
        <v>0</v>
      </c>
      <c r="AP154" s="17">
        <v>0</v>
      </c>
      <c r="AQ154" s="71">
        <f t="shared" si="59"/>
        <v>0</v>
      </c>
      <c r="AR154" s="57">
        <v>2</v>
      </c>
      <c r="AS154" s="17">
        <v>1</v>
      </c>
      <c r="AT154" s="71">
        <f t="shared" si="60"/>
        <v>0.33333333333333331</v>
      </c>
      <c r="AU154" s="17">
        <v>0</v>
      </c>
      <c r="AV154" s="71">
        <f t="shared" si="61"/>
        <v>0</v>
      </c>
      <c r="AW154" s="17">
        <v>0</v>
      </c>
      <c r="AX154" s="71">
        <f t="shared" si="62"/>
        <v>0</v>
      </c>
      <c r="AY154" s="17">
        <v>0</v>
      </c>
      <c r="AZ154" s="71">
        <f t="shared" si="63"/>
        <v>0</v>
      </c>
      <c r="BA154" s="73">
        <v>0</v>
      </c>
      <c r="BB154" s="73">
        <v>0</v>
      </c>
      <c r="BC154" s="73">
        <v>0</v>
      </c>
      <c r="BD154" s="73">
        <v>1</v>
      </c>
      <c r="BE154" s="81">
        <f t="shared" si="64"/>
        <v>0.42750000000000005</v>
      </c>
      <c r="BF154" s="81" t="str">
        <f t="shared" si="65"/>
        <v>MEDIO</v>
      </c>
    </row>
    <row r="155" spans="1:58" x14ac:dyDescent="0.15">
      <c r="A155" s="58">
        <v>3</v>
      </c>
      <c r="B155" s="58">
        <v>1</v>
      </c>
      <c r="C155" s="58">
        <v>4</v>
      </c>
      <c r="D155" s="58">
        <v>2</v>
      </c>
      <c r="E155" s="58">
        <v>1</v>
      </c>
      <c r="F155" s="18">
        <v>2</v>
      </c>
      <c r="G155" s="64">
        <f t="shared" si="44"/>
        <v>1</v>
      </c>
      <c r="H155" s="18">
        <v>2</v>
      </c>
      <c r="I155" s="64">
        <f t="shared" si="45"/>
        <v>1</v>
      </c>
      <c r="J155" s="18">
        <v>2</v>
      </c>
      <c r="K155" s="64">
        <f t="shared" si="46"/>
        <v>1</v>
      </c>
      <c r="L155" s="18">
        <v>3</v>
      </c>
      <c r="M155" s="64">
        <f t="shared" si="47"/>
        <v>1</v>
      </c>
      <c r="N155" s="18">
        <v>0</v>
      </c>
      <c r="O155" s="64">
        <f t="shared" si="48"/>
        <v>0</v>
      </c>
      <c r="P155" s="18">
        <v>2</v>
      </c>
      <c r="Q155" s="64">
        <f t="shared" si="49"/>
        <v>0.66666666666666663</v>
      </c>
      <c r="R155" s="24">
        <v>3</v>
      </c>
      <c r="S155" s="71">
        <f t="shared" si="50"/>
        <v>1</v>
      </c>
      <c r="T155" s="18">
        <v>3</v>
      </c>
      <c r="U155" s="64">
        <f t="shared" si="51"/>
        <v>1</v>
      </c>
      <c r="V155" s="18">
        <v>3</v>
      </c>
      <c r="W155" s="71">
        <f t="shared" si="52"/>
        <v>0.75</v>
      </c>
      <c r="X155" s="18">
        <v>3</v>
      </c>
      <c r="Y155" s="71">
        <f t="shared" si="53"/>
        <v>1</v>
      </c>
      <c r="Z155" s="18">
        <v>3</v>
      </c>
      <c r="AA155" s="71">
        <f t="shared" si="54"/>
        <v>1</v>
      </c>
      <c r="AB155" s="18">
        <v>0</v>
      </c>
      <c r="AC155" s="71">
        <f t="shared" si="55"/>
        <v>0</v>
      </c>
      <c r="AD155" s="58">
        <v>1</v>
      </c>
      <c r="AE155" s="58">
        <v>0</v>
      </c>
      <c r="AF155" s="58">
        <v>1</v>
      </c>
      <c r="AG155" s="58">
        <v>0</v>
      </c>
      <c r="AH155" s="58">
        <v>0</v>
      </c>
      <c r="AI155" s="58">
        <v>0</v>
      </c>
      <c r="AJ155" s="19">
        <v>2</v>
      </c>
      <c r="AK155" s="71">
        <f t="shared" si="56"/>
        <v>1</v>
      </c>
      <c r="AL155" s="18">
        <v>2</v>
      </c>
      <c r="AM155" s="71">
        <f t="shared" si="57"/>
        <v>0.66666666666666663</v>
      </c>
      <c r="AN155" s="18">
        <v>1</v>
      </c>
      <c r="AO155" s="71">
        <f t="shared" si="58"/>
        <v>0.33333333333333331</v>
      </c>
      <c r="AP155" s="18">
        <v>3</v>
      </c>
      <c r="AQ155" s="71">
        <f t="shared" si="59"/>
        <v>1</v>
      </c>
      <c r="AR155" s="58">
        <v>2</v>
      </c>
      <c r="AS155" s="18">
        <v>2</v>
      </c>
      <c r="AT155" s="71">
        <f t="shared" si="60"/>
        <v>0.66666666666666663</v>
      </c>
      <c r="AU155" s="18">
        <v>3</v>
      </c>
      <c r="AV155" s="71">
        <f t="shared" si="61"/>
        <v>1</v>
      </c>
      <c r="AW155" s="18">
        <v>1</v>
      </c>
      <c r="AX155" s="71">
        <f t="shared" si="62"/>
        <v>0.5</v>
      </c>
      <c r="AY155" s="18">
        <v>3</v>
      </c>
      <c r="AZ155" s="71">
        <f t="shared" si="63"/>
        <v>1</v>
      </c>
      <c r="BA155" s="74">
        <v>1</v>
      </c>
      <c r="BB155" s="74">
        <v>1</v>
      </c>
      <c r="BC155" s="74">
        <v>0</v>
      </c>
      <c r="BD155" s="74">
        <v>0</v>
      </c>
      <c r="BE155" s="81">
        <f t="shared" si="64"/>
        <v>0.82916666666666683</v>
      </c>
      <c r="BF155" s="81" t="str">
        <f t="shared" si="65"/>
        <v>ALTO</v>
      </c>
    </row>
    <row r="156" spans="1:58" x14ac:dyDescent="0.15">
      <c r="A156" s="57">
        <v>3</v>
      </c>
      <c r="B156" s="57">
        <v>2</v>
      </c>
      <c r="C156" s="57">
        <v>3</v>
      </c>
      <c r="D156" s="57">
        <v>2</v>
      </c>
      <c r="E156" s="58">
        <v>1</v>
      </c>
      <c r="F156" s="17">
        <v>2</v>
      </c>
      <c r="G156" s="64">
        <f t="shared" si="44"/>
        <v>1</v>
      </c>
      <c r="H156" s="17">
        <v>1</v>
      </c>
      <c r="I156" s="64">
        <f t="shared" si="45"/>
        <v>0.5</v>
      </c>
      <c r="J156" s="17">
        <v>1</v>
      </c>
      <c r="K156" s="64">
        <f t="shared" si="46"/>
        <v>0.5</v>
      </c>
      <c r="L156" s="17">
        <v>3</v>
      </c>
      <c r="M156" s="64">
        <f t="shared" si="47"/>
        <v>1</v>
      </c>
      <c r="N156" s="17">
        <v>0</v>
      </c>
      <c r="O156" s="64">
        <f t="shared" si="48"/>
        <v>0</v>
      </c>
      <c r="P156" s="17">
        <v>3</v>
      </c>
      <c r="Q156" s="64">
        <f t="shared" si="49"/>
        <v>1</v>
      </c>
      <c r="R156" s="25">
        <v>0</v>
      </c>
      <c r="S156" s="71">
        <f t="shared" si="50"/>
        <v>0</v>
      </c>
      <c r="T156" s="17">
        <v>2</v>
      </c>
      <c r="U156" s="64">
        <f t="shared" si="51"/>
        <v>0.66666666666666663</v>
      </c>
      <c r="V156" s="17">
        <v>0</v>
      </c>
      <c r="W156" s="71">
        <f t="shared" si="52"/>
        <v>0</v>
      </c>
      <c r="X156" s="17">
        <v>0</v>
      </c>
      <c r="Y156" s="71">
        <f t="shared" si="53"/>
        <v>0</v>
      </c>
      <c r="Z156" s="17">
        <v>2</v>
      </c>
      <c r="AA156" s="71">
        <f t="shared" si="54"/>
        <v>0.66666666666666663</v>
      </c>
      <c r="AB156" s="17">
        <v>1</v>
      </c>
      <c r="AC156" s="71">
        <f t="shared" si="55"/>
        <v>0.5</v>
      </c>
      <c r="AD156" s="57">
        <v>0</v>
      </c>
      <c r="AE156" s="57">
        <v>0</v>
      </c>
      <c r="AF156" s="57">
        <v>1</v>
      </c>
      <c r="AG156" s="57">
        <v>1</v>
      </c>
      <c r="AH156" s="57">
        <v>0</v>
      </c>
      <c r="AI156" s="57">
        <v>0</v>
      </c>
      <c r="AJ156" s="20">
        <v>1</v>
      </c>
      <c r="AK156" s="71">
        <f t="shared" si="56"/>
        <v>0.5</v>
      </c>
      <c r="AL156" s="17">
        <v>2</v>
      </c>
      <c r="AM156" s="71">
        <f t="shared" si="57"/>
        <v>0.66666666666666663</v>
      </c>
      <c r="AN156" s="17">
        <v>0</v>
      </c>
      <c r="AO156" s="71">
        <f t="shared" si="58"/>
        <v>0</v>
      </c>
      <c r="AP156" s="17">
        <v>2</v>
      </c>
      <c r="AQ156" s="71">
        <f t="shared" si="59"/>
        <v>0.66666666666666663</v>
      </c>
      <c r="AR156" s="57">
        <v>0</v>
      </c>
      <c r="AS156" s="17">
        <v>3</v>
      </c>
      <c r="AT156" s="71">
        <f t="shared" si="60"/>
        <v>1</v>
      </c>
      <c r="AU156" s="17">
        <v>2</v>
      </c>
      <c r="AV156" s="71">
        <f t="shared" si="61"/>
        <v>0.66666666666666663</v>
      </c>
      <c r="AW156" s="17">
        <v>0</v>
      </c>
      <c r="AX156" s="71">
        <f t="shared" si="62"/>
        <v>0</v>
      </c>
      <c r="AY156" s="17">
        <v>2</v>
      </c>
      <c r="AZ156" s="71">
        <f t="shared" si="63"/>
        <v>0.66666666666666663</v>
      </c>
      <c r="BA156" s="73">
        <v>0</v>
      </c>
      <c r="BB156" s="73">
        <v>1</v>
      </c>
      <c r="BC156" s="73">
        <v>0</v>
      </c>
      <c r="BD156" s="73">
        <v>0</v>
      </c>
      <c r="BE156" s="81">
        <f t="shared" si="64"/>
        <v>0.54999999999999993</v>
      </c>
      <c r="BF156" s="81" t="str">
        <f t="shared" si="65"/>
        <v>MEDIO</v>
      </c>
    </row>
    <row r="157" spans="1:58" x14ac:dyDescent="0.15">
      <c r="A157" s="58">
        <v>5</v>
      </c>
      <c r="B157" s="58">
        <v>2</v>
      </c>
      <c r="C157" s="58">
        <v>3</v>
      </c>
      <c r="D157" s="58">
        <v>2</v>
      </c>
      <c r="E157" s="58">
        <v>1</v>
      </c>
      <c r="F157" s="18">
        <v>1</v>
      </c>
      <c r="G157" s="64">
        <f t="shared" si="44"/>
        <v>0.5</v>
      </c>
      <c r="H157" s="18">
        <v>1</v>
      </c>
      <c r="I157" s="64">
        <f t="shared" si="45"/>
        <v>0.5</v>
      </c>
      <c r="J157" s="18">
        <v>1</v>
      </c>
      <c r="K157" s="64">
        <f t="shared" si="46"/>
        <v>0.5</v>
      </c>
      <c r="L157" s="18">
        <v>2</v>
      </c>
      <c r="M157" s="64">
        <f t="shared" si="47"/>
        <v>0.66666666666666663</v>
      </c>
      <c r="N157" s="18">
        <v>2</v>
      </c>
      <c r="O157" s="64">
        <f t="shared" si="48"/>
        <v>0.4</v>
      </c>
      <c r="P157" s="18">
        <v>0</v>
      </c>
      <c r="Q157" s="64">
        <f t="shared" si="49"/>
        <v>0</v>
      </c>
      <c r="R157" s="24">
        <v>2</v>
      </c>
      <c r="S157" s="71">
        <f t="shared" si="50"/>
        <v>0.66666666666666663</v>
      </c>
      <c r="T157" s="18">
        <v>2</v>
      </c>
      <c r="U157" s="64">
        <f t="shared" si="51"/>
        <v>0.66666666666666663</v>
      </c>
      <c r="V157" s="18">
        <v>3</v>
      </c>
      <c r="W157" s="71">
        <f t="shared" si="52"/>
        <v>0.75</v>
      </c>
      <c r="X157" s="18">
        <v>0</v>
      </c>
      <c r="Y157" s="71">
        <f t="shared" si="53"/>
        <v>0</v>
      </c>
      <c r="Z157" s="18">
        <v>0</v>
      </c>
      <c r="AA157" s="71">
        <f t="shared" si="54"/>
        <v>0</v>
      </c>
      <c r="AB157" s="18">
        <v>2</v>
      </c>
      <c r="AC157" s="71">
        <f t="shared" si="55"/>
        <v>1</v>
      </c>
      <c r="AD157" s="58">
        <v>1</v>
      </c>
      <c r="AE157" s="58">
        <v>0</v>
      </c>
      <c r="AF157" s="58">
        <v>1</v>
      </c>
      <c r="AG157" s="58">
        <v>0</v>
      </c>
      <c r="AH157" s="58">
        <v>0</v>
      </c>
      <c r="AI157" s="58">
        <v>0</v>
      </c>
      <c r="AJ157" s="19">
        <v>1</v>
      </c>
      <c r="AK157" s="71">
        <f t="shared" si="56"/>
        <v>0.5</v>
      </c>
      <c r="AL157" s="18">
        <v>1</v>
      </c>
      <c r="AM157" s="71">
        <f t="shared" si="57"/>
        <v>0.33333333333333331</v>
      </c>
      <c r="AN157" s="18">
        <v>1</v>
      </c>
      <c r="AO157" s="71">
        <f t="shared" si="58"/>
        <v>0.33333333333333331</v>
      </c>
      <c r="AP157" s="18">
        <v>3</v>
      </c>
      <c r="AQ157" s="71">
        <f t="shared" si="59"/>
        <v>1</v>
      </c>
      <c r="AR157" s="58">
        <v>2</v>
      </c>
      <c r="AS157" s="18">
        <v>2</v>
      </c>
      <c r="AT157" s="71">
        <f t="shared" si="60"/>
        <v>0.66666666666666663</v>
      </c>
      <c r="AU157" s="18">
        <v>2</v>
      </c>
      <c r="AV157" s="71">
        <f t="shared" si="61"/>
        <v>0.66666666666666663</v>
      </c>
      <c r="AW157" s="18">
        <v>2</v>
      </c>
      <c r="AX157" s="71">
        <f t="shared" si="62"/>
        <v>1</v>
      </c>
      <c r="AY157" s="18">
        <v>2</v>
      </c>
      <c r="AZ157" s="71">
        <f t="shared" si="63"/>
        <v>0.66666666666666663</v>
      </c>
      <c r="BA157" s="74">
        <v>1</v>
      </c>
      <c r="BB157" s="74">
        <v>1</v>
      </c>
      <c r="BC157" s="74">
        <v>0</v>
      </c>
      <c r="BD157" s="74">
        <v>0</v>
      </c>
      <c r="BE157" s="81">
        <f t="shared" si="64"/>
        <v>0.56583333333333319</v>
      </c>
      <c r="BF157" s="81" t="str">
        <f t="shared" si="65"/>
        <v>MEDIO</v>
      </c>
    </row>
    <row r="158" spans="1:58" x14ac:dyDescent="0.15">
      <c r="A158" s="57">
        <v>2</v>
      </c>
      <c r="B158" s="57">
        <v>2</v>
      </c>
      <c r="C158" s="57">
        <v>3</v>
      </c>
      <c r="D158" s="57">
        <v>2</v>
      </c>
      <c r="E158" s="58">
        <v>1</v>
      </c>
      <c r="F158" s="17">
        <v>2</v>
      </c>
      <c r="G158" s="64">
        <f t="shared" si="44"/>
        <v>1</v>
      </c>
      <c r="H158" s="17">
        <v>2</v>
      </c>
      <c r="I158" s="64">
        <f t="shared" si="45"/>
        <v>1</v>
      </c>
      <c r="J158" s="17">
        <v>0</v>
      </c>
      <c r="K158" s="64">
        <f t="shared" si="46"/>
        <v>0</v>
      </c>
      <c r="L158" s="17">
        <v>0</v>
      </c>
      <c r="M158" s="64">
        <f t="shared" si="47"/>
        <v>0</v>
      </c>
      <c r="N158" s="17">
        <v>2</v>
      </c>
      <c r="O158" s="64">
        <f t="shared" si="48"/>
        <v>0.4</v>
      </c>
      <c r="P158" s="17">
        <v>3</v>
      </c>
      <c r="Q158" s="64">
        <f t="shared" si="49"/>
        <v>1</v>
      </c>
      <c r="R158" s="25">
        <v>0</v>
      </c>
      <c r="S158" s="71">
        <f t="shared" si="50"/>
        <v>0</v>
      </c>
      <c r="T158" s="17">
        <v>0</v>
      </c>
      <c r="U158" s="64">
        <f t="shared" si="51"/>
        <v>0</v>
      </c>
      <c r="V158" s="17">
        <v>3</v>
      </c>
      <c r="W158" s="71">
        <f t="shared" si="52"/>
        <v>0.75</v>
      </c>
      <c r="X158" s="17">
        <v>0</v>
      </c>
      <c r="Y158" s="71">
        <f t="shared" si="53"/>
        <v>0</v>
      </c>
      <c r="Z158" s="17">
        <v>1</v>
      </c>
      <c r="AA158" s="71">
        <f t="shared" si="54"/>
        <v>0.33333333333333331</v>
      </c>
      <c r="AB158" s="17">
        <v>3</v>
      </c>
      <c r="AC158" s="71">
        <f t="shared" si="55"/>
        <v>1.5</v>
      </c>
      <c r="AD158" s="57">
        <v>0</v>
      </c>
      <c r="AE158" s="57">
        <v>0</v>
      </c>
      <c r="AF158" s="57">
        <v>1</v>
      </c>
      <c r="AG158" s="57">
        <v>1</v>
      </c>
      <c r="AH158" s="57">
        <v>0</v>
      </c>
      <c r="AI158" s="57">
        <v>0</v>
      </c>
      <c r="AJ158" s="20">
        <v>1</v>
      </c>
      <c r="AK158" s="71">
        <f t="shared" si="56"/>
        <v>0.5</v>
      </c>
      <c r="AL158" s="17">
        <v>2</v>
      </c>
      <c r="AM158" s="71">
        <f t="shared" si="57"/>
        <v>0.66666666666666663</v>
      </c>
      <c r="AN158" s="17">
        <v>0</v>
      </c>
      <c r="AO158" s="71">
        <f t="shared" si="58"/>
        <v>0</v>
      </c>
      <c r="AP158" s="17">
        <v>0</v>
      </c>
      <c r="AQ158" s="71">
        <f t="shared" si="59"/>
        <v>0</v>
      </c>
      <c r="AR158" s="57">
        <v>2</v>
      </c>
      <c r="AS158" s="17">
        <v>1</v>
      </c>
      <c r="AT158" s="71">
        <f t="shared" si="60"/>
        <v>0.33333333333333331</v>
      </c>
      <c r="AU158" s="17">
        <v>0</v>
      </c>
      <c r="AV158" s="71">
        <f t="shared" si="61"/>
        <v>0</v>
      </c>
      <c r="AW158" s="17">
        <v>0</v>
      </c>
      <c r="AX158" s="71">
        <f t="shared" si="62"/>
        <v>0</v>
      </c>
      <c r="AY158" s="17">
        <v>2</v>
      </c>
      <c r="AZ158" s="71">
        <f t="shared" si="63"/>
        <v>0.66666666666666663</v>
      </c>
      <c r="BA158" s="73">
        <v>0</v>
      </c>
      <c r="BB158" s="73">
        <v>0</v>
      </c>
      <c r="BC158" s="73">
        <v>0</v>
      </c>
      <c r="BD158" s="73">
        <v>1</v>
      </c>
      <c r="BE158" s="81">
        <f t="shared" si="64"/>
        <v>0.45750000000000002</v>
      </c>
      <c r="BF158" s="81" t="str">
        <f t="shared" si="65"/>
        <v>MEDIO</v>
      </c>
    </row>
    <row r="159" spans="1:58" x14ac:dyDescent="0.15">
      <c r="A159" s="58">
        <v>2</v>
      </c>
      <c r="B159" s="58">
        <v>0</v>
      </c>
      <c r="C159" s="58">
        <v>4</v>
      </c>
      <c r="D159" s="58">
        <v>0</v>
      </c>
      <c r="E159" s="58">
        <v>1</v>
      </c>
      <c r="F159" s="18">
        <v>2</v>
      </c>
      <c r="G159" s="64">
        <f t="shared" si="44"/>
        <v>1</v>
      </c>
      <c r="H159" s="18">
        <v>1</v>
      </c>
      <c r="I159" s="64">
        <f t="shared" si="45"/>
        <v>0.5</v>
      </c>
      <c r="J159" s="18">
        <v>1</v>
      </c>
      <c r="K159" s="64">
        <f t="shared" si="46"/>
        <v>0.5</v>
      </c>
      <c r="L159" s="18">
        <v>3</v>
      </c>
      <c r="M159" s="64">
        <f t="shared" si="47"/>
        <v>1</v>
      </c>
      <c r="N159" s="18">
        <v>2</v>
      </c>
      <c r="O159" s="64">
        <f t="shared" si="48"/>
        <v>0.4</v>
      </c>
      <c r="P159" s="18">
        <v>1</v>
      </c>
      <c r="Q159" s="64">
        <f t="shared" si="49"/>
        <v>0.33333333333333331</v>
      </c>
      <c r="R159" s="24">
        <v>3</v>
      </c>
      <c r="S159" s="71">
        <f t="shared" si="50"/>
        <v>1</v>
      </c>
      <c r="T159" s="18">
        <v>2</v>
      </c>
      <c r="U159" s="64">
        <f t="shared" si="51"/>
        <v>0.66666666666666663</v>
      </c>
      <c r="V159" s="18">
        <v>3</v>
      </c>
      <c r="W159" s="71">
        <f t="shared" si="52"/>
        <v>0.75</v>
      </c>
      <c r="X159" s="18">
        <v>3</v>
      </c>
      <c r="Y159" s="71">
        <f t="shared" si="53"/>
        <v>1</v>
      </c>
      <c r="Z159" s="18">
        <v>3</v>
      </c>
      <c r="AA159" s="71">
        <f t="shared" si="54"/>
        <v>1</v>
      </c>
      <c r="AB159" s="18">
        <v>0</v>
      </c>
      <c r="AC159" s="71">
        <f t="shared" si="55"/>
        <v>0</v>
      </c>
      <c r="AD159" s="58">
        <v>0</v>
      </c>
      <c r="AE159" s="58">
        <v>1</v>
      </c>
      <c r="AF159" s="58">
        <v>1</v>
      </c>
      <c r="AG159" s="58">
        <v>0</v>
      </c>
      <c r="AH159" s="58">
        <v>0</v>
      </c>
      <c r="AI159" s="58">
        <v>0</v>
      </c>
      <c r="AJ159" s="19">
        <v>1</v>
      </c>
      <c r="AK159" s="71">
        <f t="shared" si="56"/>
        <v>0.5</v>
      </c>
      <c r="AL159" s="18">
        <v>1</v>
      </c>
      <c r="AM159" s="71">
        <f t="shared" si="57"/>
        <v>0.33333333333333331</v>
      </c>
      <c r="AN159" s="18">
        <v>1</v>
      </c>
      <c r="AO159" s="71">
        <f t="shared" si="58"/>
        <v>0.33333333333333331</v>
      </c>
      <c r="AP159" s="18">
        <v>3</v>
      </c>
      <c r="AQ159" s="71">
        <f t="shared" si="59"/>
        <v>1</v>
      </c>
      <c r="AR159" s="58">
        <v>0</v>
      </c>
      <c r="AS159" s="18">
        <v>3</v>
      </c>
      <c r="AT159" s="71">
        <f t="shared" si="60"/>
        <v>1</v>
      </c>
      <c r="AU159" s="18">
        <v>2</v>
      </c>
      <c r="AV159" s="71">
        <f t="shared" si="61"/>
        <v>0.66666666666666663</v>
      </c>
      <c r="AW159" s="18">
        <v>0</v>
      </c>
      <c r="AX159" s="71">
        <f t="shared" si="62"/>
        <v>0</v>
      </c>
      <c r="AY159" s="18">
        <v>2</v>
      </c>
      <c r="AZ159" s="71">
        <f t="shared" si="63"/>
        <v>0.66666666666666663</v>
      </c>
      <c r="BA159" s="74">
        <v>1</v>
      </c>
      <c r="BB159" s="74">
        <v>1</v>
      </c>
      <c r="BC159" s="74">
        <v>0</v>
      </c>
      <c r="BD159" s="74">
        <v>0</v>
      </c>
      <c r="BE159" s="81">
        <f t="shared" si="64"/>
        <v>0.6825</v>
      </c>
      <c r="BF159" s="81" t="str">
        <f t="shared" si="65"/>
        <v>ALTO</v>
      </c>
    </row>
    <row r="160" spans="1:58" x14ac:dyDescent="0.15">
      <c r="A160" s="57">
        <v>3</v>
      </c>
      <c r="B160" s="57">
        <v>2</v>
      </c>
      <c r="C160" s="57">
        <v>3</v>
      </c>
      <c r="D160" s="57">
        <v>2</v>
      </c>
      <c r="E160" s="58">
        <v>1</v>
      </c>
      <c r="F160" s="17">
        <v>2</v>
      </c>
      <c r="G160" s="64">
        <f t="shared" si="44"/>
        <v>1</v>
      </c>
      <c r="H160" s="17">
        <v>2</v>
      </c>
      <c r="I160" s="64">
        <f t="shared" si="45"/>
        <v>1</v>
      </c>
      <c r="J160" s="17">
        <v>2</v>
      </c>
      <c r="K160" s="64">
        <f t="shared" si="46"/>
        <v>1</v>
      </c>
      <c r="L160" s="17">
        <v>3</v>
      </c>
      <c r="M160" s="64">
        <f t="shared" si="47"/>
        <v>1</v>
      </c>
      <c r="N160" s="17">
        <v>4</v>
      </c>
      <c r="O160" s="64">
        <f t="shared" si="48"/>
        <v>0.8</v>
      </c>
      <c r="P160" s="17">
        <v>3</v>
      </c>
      <c r="Q160" s="64">
        <f t="shared" si="49"/>
        <v>1</v>
      </c>
      <c r="R160" s="25">
        <v>3</v>
      </c>
      <c r="S160" s="71">
        <f t="shared" si="50"/>
        <v>1</v>
      </c>
      <c r="T160" s="17">
        <v>3</v>
      </c>
      <c r="U160" s="64">
        <f t="shared" si="51"/>
        <v>1</v>
      </c>
      <c r="V160" s="17">
        <v>2</v>
      </c>
      <c r="W160" s="71">
        <f t="shared" si="52"/>
        <v>0.5</v>
      </c>
      <c r="X160" s="17">
        <v>3</v>
      </c>
      <c r="Y160" s="71">
        <f t="shared" si="53"/>
        <v>1</v>
      </c>
      <c r="Z160" s="17">
        <v>3</v>
      </c>
      <c r="AA160" s="71">
        <f t="shared" si="54"/>
        <v>1</v>
      </c>
      <c r="AB160" s="17">
        <v>0</v>
      </c>
      <c r="AC160" s="71">
        <f t="shared" si="55"/>
        <v>0</v>
      </c>
      <c r="AD160" s="57">
        <v>0</v>
      </c>
      <c r="AE160" s="57">
        <v>1</v>
      </c>
      <c r="AF160" s="57">
        <v>1</v>
      </c>
      <c r="AG160" s="57">
        <v>0</v>
      </c>
      <c r="AH160" s="57">
        <v>0</v>
      </c>
      <c r="AI160" s="57">
        <v>0</v>
      </c>
      <c r="AJ160" s="20">
        <v>1</v>
      </c>
      <c r="AK160" s="71">
        <f t="shared" si="56"/>
        <v>0.5</v>
      </c>
      <c r="AL160" s="17">
        <v>2</v>
      </c>
      <c r="AM160" s="71">
        <f t="shared" si="57"/>
        <v>0.66666666666666663</v>
      </c>
      <c r="AN160" s="17">
        <v>1</v>
      </c>
      <c r="AO160" s="71">
        <f t="shared" si="58"/>
        <v>0.33333333333333331</v>
      </c>
      <c r="AP160" s="17">
        <v>2</v>
      </c>
      <c r="AQ160" s="71">
        <f t="shared" si="59"/>
        <v>0.66666666666666663</v>
      </c>
      <c r="AR160" s="57">
        <v>0</v>
      </c>
      <c r="AS160" s="17">
        <v>2</v>
      </c>
      <c r="AT160" s="71">
        <f t="shared" si="60"/>
        <v>0.66666666666666663</v>
      </c>
      <c r="AU160" s="17">
        <v>3</v>
      </c>
      <c r="AV160" s="71">
        <f t="shared" si="61"/>
        <v>1</v>
      </c>
      <c r="AW160" s="17">
        <v>0</v>
      </c>
      <c r="AX160" s="71">
        <f t="shared" si="62"/>
        <v>0</v>
      </c>
      <c r="AY160" s="17">
        <v>3</v>
      </c>
      <c r="AZ160" s="71">
        <f t="shared" si="63"/>
        <v>1</v>
      </c>
      <c r="BA160" s="73">
        <v>1</v>
      </c>
      <c r="BB160" s="73"/>
      <c r="BC160" s="73">
        <v>1</v>
      </c>
      <c r="BD160" s="73">
        <v>0</v>
      </c>
      <c r="BE160" s="81">
        <f t="shared" si="64"/>
        <v>0.80666666666666664</v>
      </c>
      <c r="BF160" s="81" t="str">
        <f t="shared" si="65"/>
        <v>ALTO</v>
      </c>
    </row>
    <row r="161" spans="1:58" x14ac:dyDescent="0.15">
      <c r="A161" s="58">
        <v>3</v>
      </c>
      <c r="B161" s="58">
        <v>2</v>
      </c>
      <c r="C161" s="58">
        <v>1</v>
      </c>
      <c r="D161" s="58">
        <v>2</v>
      </c>
      <c r="E161" s="58">
        <v>1</v>
      </c>
      <c r="F161" s="18">
        <v>1</v>
      </c>
      <c r="G161" s="64">
        <f t="shared" si="44"/>
        <v>0.5</v>
      </c>
      <c r="H161" s="18">
        <v>2</v>
      </c>
      <c r="I161" s="64">
        <f t="shared" si="45"/>
        <v>1</v>
      </c>
      <c r="J161" s="18">
        <v>1</v>
      </c>
      <c r="K161" s="64">
        <f t="shared" si="46"/>
        <v>0.5</v>
      </c>
      <c r="L161" s="18">
        <v>2</v>
      </c>
      <c r="M161" s="64">
        <f t="shared" si="47"/>
        <v>0.66666666666666663</v>
      </c>
      <c r="N161" s="18">
        <v>1</v>
      </c>
      <c r="O161" s="64">
        <f t="shared" si="48"/>
        <v>0.2</v>
      </c>
      <c r="P161" s="18">
        <v>3</v>
      </c>
      <c r="Q161" s="64">
        <f t="shared" si="49"/>
        <v>1</v>
      </c>
      <c r="R161" s="24">
        <v>2</v>
      </c>
      <c r="S161" s="71">
        <f t="shared" si="50"/>
        <v>0.66666666666666663</v>
      </c>
      <c r="T161" s="18">
        <v>1</v>
      </c>
      <c r="U161" s="64">
        <f t="shared" si="51"/>
        <v>0.33333333333333331</v>
      </c>
      <c r="V161" s="18">
        <v>3</v>
      </c>
      <c r="W161" s="71">
        <f t="shared" si="52"/>
        <v>0.75</v>
      </c>
      <c r="X161" s="18">
        <v>2</v>
      </c>
      <c r="Y161" s="71">
        <f t="shared" si="53"/>
        <v>0.66666666666666663</v>
      </c>
      <c r="Z161" s="18">
        <v>1</v>
      </c>
      <c r="AA161" s="71">
        <f t="shared" si="54"/>
        <v>0.33333333333333331</v>
      </c>
      <c r="AB161" s="18">
        <v>1</v>
      </c>
      <c r="AC161" s="71">
        <f t="shared" si="55"/>
        <v>0.5</v>
      </c>
      <c r="AD161" s="58">
        <v>1</v>
      </c>
      <c r="AE161" s="58">
        <v>0</v>
      </c>
      <c r="AF161" s="58">
        <v>1</v>
      </c>
      <c r="AG161" s="58">
        <v>0</v>
      </c>
      <c r="AH161" s="58">
        <v>0</v>
      </c>
      <c r="AI161" s="58">
        <v>0</v>
      </c>
      <c r="AJ161" s="19">
        <v>1</v>
      </c>
      <c r="AK161" s="71">
        <f t="shared" si="56"/>
        <v>0.5</v>
      </c>
      <c r="AL161" s="18">
        <v>3</v>
      </c>
      <c r="AM161" s="71">
        <f t="shared" si="57"/>
        <v>1</v>
      </c>
      <c r="AN161" s="18">
        <v>1</v>
      </c>
      <c r="AO161" s="71">
        <f t="shared" si="58"/>
        <v>0.33333333333333331</v>
      </c>
      <c r="AP161" s="18">
        <v>1</v>
      </c>
      <c r="AQ161" s="71">
        <f t="shared" si="59"/>
        <v>0.33333333333333331</v>
      </c>
      <c r="AR161" s="58">
        <v>3</v>
      </c>
      <c r="AS161" s="18">
        <v>3</v>
      </c>
      <c r="AT161" s="71">
        <f t="shared" si="60"/>
        <v>1</v>
      </c>
      <c r="AU161" s="18">
        <v>2</v>
      </c>
      <c r="AV161" s="71">
        <f t="shared" si="61"/>
        <v>0.66666666666666663</v>
      </c>
      <c r="AW161" s="18">
        <v>0</v>
      </c>
      <c r="AX161" s="71">
        <f t="shared" si="62"/>
        <v>0</v>
      </c>
      <c r="AY161" s="18">
        <v>2</v>
      </c>
      <c r="AZ161" s="71">
        <f t="shared" si="63"/>
        <v>0.66666666666666663</v>
      </c>
      <c r="BA161" s="74">
        <v>1</v>
      </c>
      <c r="BB161" s="74">
        <v>1</v>
      </c>
      <c r="BC161" s="74">
        <v>0</v>
      </c>
      <c r="BD161" s="74">
        <v>0</v>
      </c>
      <c r="BE161" s="81">
        <f t="shared" si="64"/>
        <v>0.60583333333333333</v>
      </c>
      <c r="BF161" s="81" t="str">
        <f t="shared" si="65"/>
        <v>MEDIO</v>
      </c>
    </row>
    <row r="162" spans="1:58" x14ac:dyDescent="0.15">
      <c r="A162" s="57">
        <v>2</v>
      </c>
      <c r="B162" s="57">
        <v>2</v>
      </c>
      <c r="C162" s="57">
        <v>3</v>
      </c>
      <c r="D162" s="57">
        <v>0</v>
      </c>
      <c r="E162" s="58">
        <v>1</v>
      </c>
      <c r="F162" s="17">
        <v>2</v>
      </c>
      <c r="G162" s="64">
        <f t="shared" si="44"/>
        <v>1</v>
      </c>
      <c r="H162" s="17">
        <v>2</v>
      </c>
      <c r="I162" s="64">
        <f t="shared" si="45"/>
        <v>1</v>
      </c>
      <c r="J162" s="17">
        <v>1</v>
      </c>
      <c r="K162" s="64">
        <f t="shared" si="46"/>
        <v>0.5</v>
      </c>
      <c r="L162" s="17">
        <v>3</v>
      </c>
      <c r="M162" s="64">
        <f t="shared" si="47"/>
        <v>1</v>
      </c>
      <c r="N162" s="17">
        <v>4</v>
      </c>
      <c r="O162" s="64">
        <f t="shared" si="48"/>
        <v>0.8</v>
      </c>
      <c r="P162" s="17">
        <v>3</v>
      </c>
      <c r="Q162" s="64">
        <f t="shared" si="49"/>
        <v>1</v>
      </c>
      <c r="R162" s="25">
        <v>3</v>
      </c>
      <c r="S162" s="71">
        <f t="shared" si="50"/>
        <v>1</v>
      </c>
      <c r="T162" s="17">
        <v>3</v>
      </c>
      <c r="U162" s="64">
        <f t="shared" si="51"/>
        <v>1</v>
      </c>
      <c r="V162" s="17">
        <v>4</v>
      </c>
      <c r="W162" s="71">
        <f t="shared" si="52"/>
        <v>1</v>
      </c>
      <c r="X162" s="17">
        <v>2</v>
      </c>
      <c r="Y162" s="71">
        <f t="shared" si="53"/>
        <v>0.66666666666666663</v>
      </c>
      <c r="Z162" s="17">
        <v>2</v>
      </c>
      <c r="AA162" s="71">
        <f t="shared" si="54"/>
        <v>0.66666666666666663</v>
      </c>
      <c r="AB162" s="20">
        <v>2</v>
      </c>
      <c r="AC162" s="71">
        <f t="shared" si="55"/>
        <v>1</v>
      </c>
      <c r="AD162" s="57">
        <v>1</v>
      </c>
      <c r="AE162" s="57">
        <v>0</v>
      </c>
      <c r="AF162" s="57">
        <v>1</v>
      </c>
      <c r="AG162" s="57">
        <v>0</v>
      </c>
      <c r="AH162" s="57">
        <v>0</v>
      </c>
      <c r="AI162" s="57">
        <v>0</v>
      </c>
      <c r="AJ162" s="20">
        <v>2</v>
      </c>
      <c r="AK162" s="71">
        <f t="shared" si="56"/>
        <v>1</v>
      </c>
      <c r="AL162" s="17">
        <v>3</v>
      </c>
      <c r="AM162" s="71">
        <f t="shared" si="57"/>
        <v>1</v>
      </c>
      <c r="AN162" s="17">
        <v>2</v>
      </c>
      <c r="AO162" s="71">
        <f t="shared" si="58"/>
        <v>0.66666666666666663</v>
      </c>
      <c r="AP162" s="17">
        <v>3</v>
      </c>
      <c r="AQ162" s="71">
        <f t="shared" si="59"/>
        <v>1</v>
      </c>
      <c r="AR162" s="57">
        <v>2</v>
      </c>
      <c r="AS162" s="17">
        <v>2</v>
      </c>
      <c r="AT162" s="71">
        <f t="shared" si="60"/>
        <v>0.66666666666666663</v>
      </c>
      <c r="AU162" s="17">
        <v>2</v>
      </c>
      <c r="AV162" s="71">
        <f t="shared" si="61"/>
        <v>0.66666666666666663</v>
      </c>
      <c r="AW162" s="17">
        <v>2</v>
      </c>
      <c r="AX162" s="71">
        <f t="shared" si="62"/>
        <v>1</v>
      </c>
      <c r="AY162" s="17">
        <v>2</v>
      </c>
      <c r="AZ162" s="71">
        <f t="shared" si="63"/>
        <v>0.66666666666666663</v>
      </c>
      <c r="BA162" s="73">
        <v>0</v>
      </c>
      <c r="BB162" s="73">
        <v>1</v>
      </c>
      <c r="BC162" s="73">
        <v>0</v>
      </c>
      <c r="BD162" s="73">
        <v>0</v>
      </c>
      <c r="BE162" s="81">
        <f t="shared" si="64"/>
        <v>0.91500000000000004</v>
      </c>
      <c r="BF162" s="81" t="str">
        <f t="shared" si="65"/>
        <v>ALTO</v>
      </c>
    </row>
    <row r="163" spans="1:58" x14ac:dyDescent="0.15">
      <c r="A163" s="58">
        <v>3</v>
      </c>
      <c r="B163" s="58">
        <v>1</v>
      </c>
      <c r="C163" s="58">
        <v>3</v>
      </c>
      <c r="D163" s="58">
        <v>2</v>
      </c>
      <c r="E163" s="58">
        <v>1</v>
      </c>
      <c r="F163" s="18">
        <v>1</v>
      </c>
      <c r="G163" s="64">
        <f t="shared" si="44"/>
        <v>0.5</v>
      </c>
      <c r="H163" s="18">
        <v>1</v>
      </c>
      <c r="I163" s="64">
        <f t="shared" si="45"/>
        <v>0.5</v>
      </c>
      <c r="J163" s="18">
        <v>1</v>
      </c>
      <c r="K163" s="64">
        <f t="shared" si="46"/>
        <v>0.5</v>
      </c>
      <c r="L163" s="18">
        <v>2</v>
      </c>
      <c r="M163" s="64">
        <f t="shared" si="47"/>
        <v>0.66666666666666663</v>
      </c>
      <c r="N163" s="18">
        <v>2</v>
      </c>
      <c r="O163" s="64">
        <f t="shared" si="48"/>
        <v>0.4</v>
      </c>
      <c r="P163" s="18">
        <v>3</v>
      </c>
      <c r="Q163" s="64">
        <f t="shared" si="49"/>
        <v>1</v>
      </c>
      <c r="R163" s="24">
        <v>0</v>
      </c>
      <c r="S163" s="71">
        <f t="shared" si="50"/>
        <v>0</v>
      </c>
      <c r="T163" s="18">
        <v>2</v>
      </c>
      <c r="U163" s="64">
        <f t="shared" si="51"/>
        <v>0.66666666666666663</v>
      </c>
      <c r="V163" s="18">
        <v>2</v>
      </c>
      <c r="W163" s="71">
        <f t="shared" si="52"/>
        <v>0.5</v>
      </c>
      <c r="X163" s="18">
        <v>0</v>
      </c>
      <c r="Y163" s="71">
        <f t="shared" si="53"/>
        <v>0</v>
      </c>
      <c r="Z163" s="18">
        <v>3</v>
      </c>
      <c r="AA163" s="71">
        <f t="shared" si="54"/>
        <v>1</v>
      </c>
      <c r="AB163" s="18">
        <v>1</v>
      </c>
      <c r="AC163" s="71">
        <f t="shared" si="55"/>
        <v>0.5</v>
      </c>
      <c r="AD163" s="58">
        <v>0</v>
      </c>
      <c r="AE163" s="58">
        <v>1</v>
      </c>
      <c r="AF163" s="58">
        <v>1</v>
      </c>
      <c r="AG163" s="58">
        <v>0</v>
      </c>
      <c r="AH163" s="58">
        <v>0</v>
      </c>
      <c r="AI163" s="58">
        <v>0</v>
      </c>
      <c r="AJ163" s="19">
        <v>2</v>
      </c>
      <c r="AK163" s="71">
        <f t="shared" si="56"/>
        <v>1</v>
      </c>
      <c r="AL163" s="18">
        <v>1</v>
      </c>
      <c r="AM163" s="71">
        <f t="shared" si="57"/>
        <v>0.33333333333333331</v>
      </c>
      <c r="AN163" s="18">
        <v>1</v>
      </c>
      <c r="AO163" s="71">
        <f t="shared" si="58"/>
        <v>0.33333333333333331</v>
      </c>
      <c r="AP163" s="18">
        <v>2</v>
      </c>
      <c r="AQ163" s="71">
        <f t="shared" si="59"/>
        <v>0.66666666666666663</v>
      </c>
      <c r="AR163" s="58">
        <v>2</v>
      </c>
      <c r="AS163" s="18">
        <v>3</v>
      </c>
      <c r="AT163" s="71">
        <f t="shared" si="60"/>
        <v>1</v>
      </c>
      <c r="AU163" s="18">
        <v>3</v>
      </c>
      <c r="AV163" s="71">
        <f t="shared" si="61"/>
        <v>1</v>
      </c>
      <c r="AW163" s="18">
        <v>1</v>
      </c>
      <c r="AX163" s="71">
        <f t="shared" si="62"/>
        <v>0.5</v>
      </c>
      <c r="AY163" s="18">
        <v>3</v>
      </c>
      <c r="AZ163" s="71">
        <f t="shared" si="63"/>
        <v>1</v>
      </c>
      <c r="BA163" s="74">
        <v>1</v>
      </c>
      <c r="BB163" s="74">
        <v>1</v>
      </c>
      <c r="BC163" s="74">
        <v>0</v>
      </c>
      <c r="BD163" s="74">
        <v>0</v>
      </c>
      <c r="BE163" s="81">
        <f t="shared" si="64"/>
        <v>0.6283333333333333</v>
      </c>
      <c r="BF163" s="81" t="str">
        <f t="shared" si="65"/>
        <v>MEDIO</v>
      </c>
    </row>
    <row r="164" spans="1:58" x14ac:dyDescent="0.15">
      <c r="A164" s="57">
        <v>2</v>
      </c>
      <c r="B164" s="57">
        <v>1</v>
      </c>
      <c r="C164" s="57">
        <v>2</v>
      </c>
      <c r="D164" s="57">
        <v>2</v>
      </c>
      <c r="E164" s="58">
        <v>1</v>
      </c>
      <c r="F164" s="17">
        <v>1</v>
      </c>
      <c r="G164" s="64">
        <f t="shared" si="44"/>
        <v>0.5</v>
      </c>
      <c r="H164" s="17">
        <v>1</v>
      </c>
      <c r="I164" s="64">
        <f t="shared" si="45"/>
        <v>0.5</v>
      </c>
      <c r="J164" s="17">
        <v>1</v>
      </c>
      <c r="K164" s="64">
        <f t="shared" si="46"/>
        <v>0.5</v>
      </c>
      <c r="L164" s="17">
        <v>1</v>
      </c>
      <c r="M164" s="64">
        <f t="shared" si="47"/>
        <v>0.33333333333333331</v>
      </c>
      <c r="N164" s="17">
        <v>2</v>
      </c>
      <c r="O164" s="64">
        <f t="shared" si="48"/>
        <v>0.4</v>
      </c>
      <c r="P164" s="17">
        <v>2</v>
      </c>
      <c r="Q164" s="64">
        <f t="shared" si="49"/>
        <v>0.66666666666666663</v>
      </c>
      <c r="R164" s="25">
        <v>2</v>
      </c>
      <c r="S164" s="71">
        <f t="shared" si="50"/>
        <v>0.66666666666666663</v>
      </c>
      <c r="T164" s="17">
        <v>2</v>
      </c>
      <c r="U164" s="64">
        <f t="shared" si="51"/>
        <v>0.66666666666666663</v>
      </c>
      <c r="V164" s="17">
        <v>3</v>
      </c>
      <c r="W164" s="71">
        <f t="shared" si="52"/>
        <v>0.75</v>
      </c>
      <c r="X164" s="17">
        <v>2</v>
      </c>
      <c r="Y164" s="71">
        <f t="shared" si="53"/>
        <v>0.66666666666666663</v>
      </c>
      <c r="Z164" s="17">
        <v>3</v>
      </c>
      <c r="AA164" s="71">
        <f t="shared" si="54"/>
        <v>1</v>
      </c>
      <c r="AB164" s="17">
        <v>2</v>
      </c>
      <c r="AC164" s="71">
        <f t="shared" si="55"/>
        <v>1</v>
      </c>
      <c r="AD164" s="57">
        <v>1</v>
      </c>
      <c r="AE164" s="57">
        <v>0</v>
      </c>
      <c r="AF164" s="57">
        <v>1</v>
      </c>
      <c r="AG164" s="57">
        <v>0</v>
      </c>
      <c r="AH164" s="57">
        <v>0</v>
      </c>
      <c r="AI164" s="57">
        <v>0</v>
      </c>
      <c r="AJ164" s="20">
        <v>1</v>
      </c>
      <c r="AK164" s="71">
        <f t="shared" si="56"/>
        <v>0.5</v>
      </c>
      <c r="AL164" s="17">
        <v>2</v>
      </c>
      <c r="AM164" s="71">
        <f t="shared" si="57"/>
        <v>0.66666666666666663</v>
      </c>
      <c r="AN164" s="17">
        <v>1</v>
      </c>
      <c r="AO164" s="71">
        <f t="shared" si="58"/>
        <v>0.33333333333333331</v>
      </c>
      <c r="AP164" s="17">
        <v>0</v>
      </c>
      <c r="AQ164" s="71">
        <f t="shared" si="59"/>
        <v>0</v>
      </c>
      <c r="AR164" s="57">
        <v>2</v>
      </c>
      <c r="AS164" s="17">
        <v>2</v>
      </c>
      <c r="AT164" s="71">
        <f t="shared" si="60"/>
        <v>0.66666666666666663</v>
      </c>
      <c r="AU164" s="17">
        <v>3</v>
      </c>
      <c r="AV164" s="71">
        <f t="shared" si="61"/>
        <v>1</v>
      </c>
      <c r="AW164" s="17">
        <v>1</v>
      </c>
      <c r="AX164" s="71">
        <f t="shared" si="62"/>
        <v>0.5</v>
      </c>
      <c r="AY164" s="17">
        <v>2</v>
      </c>
      <c r="AZ164" s="71">
        <f t="shared" si="63"/>
        <v>0.66666666666666663</v>
      </c>
      <c r="BA164" s="73">
        <v>1</v>
      </c>
      <c r="BB164" s="73">
        <v>1</v>
      </c>
      <c r="BC164" s="73">
        <v>0</v>
      </c>
      <c r="BD164" s="73">
        <v>0</v>
      </c>
      <c r="BE164" s="81">
        <f t="shared" si="64"/>
        <v>0.62416666666666665</v>
      </c>
      <c r="BF164" s="81" t="str">
        <f t="shared" si="65"/>
        <v>MEDIO</v>
      </c>
    </row>
    <row r="165" spans="1:58" x14ac:dyDescent="0.15">
      <c r="A165" s="58">
        <v>2</v>
      </c>
      <c r="B165" s="58">
        <v>2</v>
      </c>
      <c r="C165" s="58">
        <v>3</v>
      </c>
      <c r="D165" s="58">
        <v>2</v>
      </c>
      <c r="E165" s="58">
        <v>1</v>
      </c>
      <c r="F165" s="18">
        <v>1</v>
      </c>
      <c r="G165" s="64">
        <f t="shared" si="44"/>
        <v>0.5</v>
      </c>
      <c r="H165" s="18">
        <v>0</v>
      </c>
      <c r="I165" s="64">
        <f t="shared" si="45"/>
        <v>0</v>
      </c>
      <c r="J165" s="18">
        <v>1</v>
      </c>
      <c r="K165" s="64">
        <f t="shared" si="46"/>
        <v>0.5</v>
      </c>
      <c r="L165" s="18">
        <v>2</v>
      </c>
      <c r="M165" s="64">
        <f t="shared" si="47"/>
        <v>0.66666666666666663</v>
      </c>
      <c r="N165" s="18">
        <v>4</v>
      </c>
      <c r="O165" s="64">
        <f t="shared" si="48"/>
        <v>0.8</v>
      </c>
      <c r="P165" s="18">
        <v>2</v>
      </c>
      <c r="Q165" s="64">
        <f t="shared" si="49"/>
        <v>0.66666666666666663</v>
      </c>
      <c r="R165" s="24">
        <v>3</v>
      </c>
      <c r="S165" s="71">
        <f t="shared" si="50"/>
        <v>1</v>
      </c>
      <c r="T165" s="18">
        <v>1</v>
      </c>
      <c r="U165" s="64">
        <f t="shared" si="51"/>
        <v>0.33333333333333331</v>
      </c>
      <c r="V165" s="18">
        <v>3</v>
      </c>
      <c r="W165" s="71">
        <f t="shared" si="52"/>
        <v>0.75</v>
      </c>
      <c r="X165" s="18">
        <v>2</v>
      </c>
      <c r="Y165" s="71">
        <f t="shared" si="53"/>
        <v>0.66666666666666663</v>
      </c>
      <c r="Z165" s="18">
        <v>1</v>
      </c>
      <c r="AA165" s="71">
        <f t="shared" si="54"/>
        <v>0.33333333333333331</v>
      </c>
      <c r="AB165" s="18">
        <v>2</v>
      </c>
      <c r="AC165" s="71">
        <f t="shared" si="55"/>
        <v>1</v>
      </c>
      <c r="AD165" s="58">
        <v>1</v>
      </c>
      <c r="AE165" s="58">
        <v>0</v>
      </c>
      <c r="AF165" s="58">
        <v>0</v>
      </c>
      <c r="AG165" s="58">
        <v>1</v>
      </c>
      <c r="AH165" s="58">
        <v>0</v>
      </c>
      <c r="AI165" s="58">
        <v>0</v>
      </c>
      <c r="AJ165" s="19">
        <v>0</v>
      </c>
      <c r="AK165" s="71">
        <f t="shared" si="56"/>
        <v>0</v>
      </c>
      <c r="AL165" s="18">
        <v>1</v>
      </c>
      <c r="AM165" s="71">
        <f t="shared" si="57"/>
        <v>0.33333333333333331</v>
      </c>
      <c r="AN165" s="18">
        <v>0</v>
      </c>
      <c r="AO165" s="71">
        <f t="shared" si="58"/>
        <v>0</v>
      </c>
      <c r="AP165" s="18">
        <v>1</v>
      </c>
      <c r="AQ165" s="71">
        <f t="shared" si="59"/>
        <v>0.33333333333333331</v>
      </c>
      <c r="AR165" s="58">
        <v>2</v>
      </c>
      <c r="AS165" s="18">
        <v>2</v>
      </c>
      <c r="AT165" s="71">
        <f t="shared" si="60"/>
        <v>0.66666666666666663</v>
      </c>
      <c r="AU165" s="18">
        <v>2</v>
      </c>
      <c r="AV165" s="71">
        <f t="shared" si="61"/>
        <v>0.66666666666666663</v>
      </c>
      <c r="AW165" s="18">
        <v>0</v>
      </c>
      <c r="AX165" s="71">
        <f t="shared" si="62"/>
        <v>0</v>
      </c>
      <c r="AY165" s="18">
        <v>2</v>
      </c>
      <c r="AZ165" s="71">
        <f t="shared" si="63"/>
        <v>0.66666666666666663</v>
      </c>
      <c r="BA165" s="74">
        <v>0</v>
      </c>
      <c r="BB165" s="74">
        <v>0</v>
      </c>
      <c r="BC165" s="74">
        <v>0</v>
      </c>
      <c r="BD165" s="74">
        <v>1</v>
      </c>
      <c r="BE165" s="81">
        <f t="shared" si="64"/>
        <v>0.51916666666666655</v>
      </c>
      <c r="BF165" s="81" t="str">
        <f t="shared" si="65"/>
        <v>MEDIO</v>
      </c>
    </row>
    <row r="166" spans="1:58" x14ac:dyDescent="0.15">
      <c r="A166" s="57">
        <v>2</v>
      </c>
      <c r="B166" s="57">
        <v>1</v>
      </c>
      <c r="C166" s="57">
        <v>3</v>
      </c>
      <c r="D166" s="57">
        <v>2</v>
      </c>
      <c r="E166" s="58">
        <v>1</v>
      </c>
      <c r="F166" s="17">
        <v>2</v>
      </c>
      <c r="G166" s="64">
        <f t="shared" si="44"/>
        <v>1</v>
      </c>
      <c r="H166" s="17">
        <v>1</v>
      </c>
      <c r="I166" s="64">
        <f t="shared" si="45"/>
        <v>0.5</v>
      </c>
      <c r="J166" s="17">
        <v>1</v>
      </c>
      <c r="K166" s="64">
        <f t="shared" si="46"/>
        <v>0.5</v>
      </c>
      <c r="L166" s="17">
        <v>1</v>
      </c>
      <c r="M166" s="64">
        <f t="shared" si="47"/>
        <v>0.33333333333333331</v>
      </c>
      <c r="N166" s="17">
        <v>3</v>
      </c>
      <c r="O166" s="64">
        <f t="shared" si="48"/>
        <v>0.6</v>
      </c>
      <c r="P166" s="17">
        <v>3</v>
      </c>
      <c r="Q166" s="64">
        <f t="shared" si="49"/>
        <v>1</v>
      </c>
      <c r="R166" s="25">
        <v>2</v>
      </c>
      <c r="S166" s="71">
        <f t="shared" si="50"/>
        <v>0.66666666666666663</v>
      </c>
      <c r="T166" s="17">
        <v>1</v>
      </c>
      <c r="U166" s="64">
        <f t="shared" si="51"/>
        <v>0.33333333333333331</v>
      </c>
      <c r="V166" s="17">
        <v>4</v>
      </c>
      <c r="W166" s="71">
        <f t="shared" si="52"/>
        <v>1</v>
      </c>
      <c r="X166" s="17">
        <v>2</v>
      </c>
      <c r="Y166" s="71">
        <f t="shared" si="53"/>
        <v>0.66666666666666663</v>
      </c>
      <c r="Z166" s="17">
        <v>1</v>
      </c>
      <c r="AA166" s="71">
        <f t="shared" si="54"/>
        <v>0.33333333333333331</v>
      </c>
      <c r="AB166" s="17">
        <v>2</v>
      </c>
      <c r="AC166" s="71">
        <f t="shared" si="55"/>
        <v>1</v>
      </c>
      <c r="AD166" s="57">
        <v>1</v>
      </c>
      <c r="AE166" s="57">
        <v>0</v>
      </c>
      <c r="AF166" s="57">
        <v>0</v>
      </c>
      <c r="AG166" s="57">
        <v>1</v>
      </c>
      <c r="AH166" s="57">
        <v>0</v>
      </c>
      <c r="AI166" s="57">
        <v>0</v>
      </c>
      <c r="AJ166" s="20">
        <v>1</v>
      </c>
      <c r="AK166" s="71">
        <f t="shared" si="56"/>
        <v>0.5</v>
      </c>
      <c r="AL166" s="17">
        <v>0</v>
      </c>
      <c r="AM166" s="71">
        <f t="shared" si="57"/>
        <v>0</v>
      </c>
      <c r="AN166" s="17">
        <v>1</v>
      </c>
      <c r="AO166" s="71">
        <f t="shared" si="58"/>
        <v>0.33333333333333331</v>
      </c>
      <c r="AP166" s="17">
        <v>1</v>
      </c>
      <c r="AQ166" s="71">
        <f t="shared" si="59"/>
        <v>0.33333333333333331</v>
      </c>
      <c r="AR166" s="57">
        <v>0</v>
      </c>
      <c r="AS166" s="17">
        <v>2</v>
      </c>
      <c r="AT166" s="71">
        <f t="shared" si="60"/>
        <v>0.66666666666666663</v>
      </c>
      <c r="AU166" s="17">
        <v>0</v>
      </c>
      <c r="AV166" s="71">
        <f t="shared" si="61"/>
        <v>0</v>
      </c>
      <c r="AW166" s="17">
        <v>1</v>
      </c>
      <c r="AX166" s="71">
        <f t="shared" si="62"/>
        <v>0.5</v>
      </c>
      <c r="AY166" s="17">
        <v>2</v>
      </c>
      <c r="AZ166" s="71">
        <f t="shared" si="63"/>
        <v>0.66666666666666663</v>
      </c>
      <c r="BA166" s="73">
        <v>0</v>
      </c>
      <c r="BB166" s="73">
        <v>1</v>
      </c>
      <c r="BC166" s="73">
        <v>1</v>
      </c>
      <c r="BD166" s="73">
        <v>0</v>
      </c>
      <c r="BE166" s="81">
        <f t="shared" si="64"/>
        <v>0.59666666666666668</v>
      </c>
      <c r="BF166" s="81" t="str">
        <f t="shared" si="65"/>
        <v>MEDIO</v>
      </c>
    </row>
    <row r="167" spans="1:58" x14ac:dyDescent="0.15">
      <c r="A167" s="58">
        <v>3</v>
      </c>
      <c r="B167" s="58">
        <v>2</v>
      </c>
      <c r="C167" s="58">
        <v>3</v>
      </c>
      <c r="D167" s="58">
        <v>2</v>
      </c>
      <c r="E167" s="58">
        <v>1</v>
      </c>
      <c r="F167" s="18">
        <v>2</v>
      </c>
      <c r="G167" s="64">
        <f t="shared" si="44"/>
        <v>1</v>
      </c>
      <c r="H167" s="18">
        <v>2</v>
      </c>
      <c r="I167" s="64">
        <f t="shared" si="45"/>
        <v>1</v>
      </c>
      <c r="J167" s="18">
        <v>2</v>
      </c>
      <c r="K167" s="64">
        <f t="shared" si="46"/>
        <v>1</v>
      </c>
      <c r="L167" s="18">
        <v>3</v>
      </c>
      <c r="M167" s="64">
        <f t="shared" si="47"/>
        <v>1</v>
      </c>
      <c r="N167" s="18">
        <v>4</v>
      </c>
      <c r="O167" s="64">
        <f t="shared" si="48"/>
        <v>0.8</v>
      </c>
      <c r="P167" s="18">
        <v>2</v>
      </c>
      <c r="Q167" s="64">
        <f t="shared" si="49"/>
        <v>0.66666666666666663</v>
      </c>
      <c r="R167" s="24">
        <v>3</v>
      </c>
      <c r="S167" s="71">
        <f t="shared" si="50"/>
        <v>1</v>
      </c>
      <c r="T167" s="18">
        <v>3</v>
      </c>
      <c r="U167" s="64">
        <f t="shared" si="51"/>
        <v>1</v>
      </c>
      <c r="V167" s="18">
        <v>3</v>
      </c>
      <c r="W167" s="71">
        <f t="shared" si="52"/>
        <v>0.75</v>
      </c>
      <c r="X167" s="18">
        <v>3</v>
      </c>
      <c r="Y167" s="71">
        <f t="shared" si="53"/>
        <v>1</v>
      </c>
      <c r="Z167" s="18">
        <v>3</v>
      </c>
      <c r="AA167" s="71">
        <f t="shared" si="54"/>
        <v>1</v>
      </c>
      <c r="AB167" s="18">
        <v>0</v>
      </c>
      <c r="AC167" s="71">
        <f t="shared" si="55"/>
        <v>0</v>
      </c>
      <c r="AD167" s="58">
        <v>1</v>
      </c>
      <c r="AE167" s="58">
        <v>1</v>
      </c>
      <c r="AF167" s="58">
        <v>0</v>
      </c>
      <c r="AG167" s="58">
        <v>0</v>
      </c>
      <c r="AH167" s="58">
        <v>0</v>
      </c>
      <c r="AI167" s="58">
        <v>0</v>
      </c>
      <c r="AJ167" s="19">
        <v>2</v>
      </c>
      <c r="AK167" s="71">
        <f t="shared" si="56"/>
        <v>1</v>
      </c>
      <c r="AL167" s="18">
        <v>2</v>
      </c>
      <c r="AM167" s="71">
        <f t="shared" si="57"/>
        <v>0.66666666666666663</v>
      </c>
      <c r="AN167" s="18">
        <v>2</v>
      </c>
      <c r="AO167" s="71">
        <f t="shared" si="58"/>
        <v>0.66666666666666663</v>
      </c>
      <c r="AP167" s="18">
        <v>3</v>
      </c>
      <c r="AQ167" s="71">
        <f t="shared" si="59"/>
        <v>1</v>
      </c>
      <c r="AR167" s="58">
        <v>2</v>
      </c>
      <c r="AS167" s="18">
        <v>2</v>
      </c>
      <c r="AT167" s="71">
        <f t="shared" si="60"/>
        <v>0.66666666666666663</v>
      </c>
      <c r="AU167" s="18">
        <v>3</v>
      </c>
      <c r="AV167" s="71">
        <f t="shared" si="61"/>
        <v>1</v>
      </c>
      <c r="AW167" s="18">
        <v>1</v>
      </c>
      <c r="AX167" s="71">
        <f t="shared" si="62"/>
        <v>0.5</v>
      </c>
      <c r="AY167" s="18">
        <v>3</v>
      </c>
      <c r="AZ167" s="71">
        <f t="shared" si="63"/>
        <v>1</v>
      </c>
      <c r="BA167" s="74">
        <v>1</v>
      </c>
      <c r="BB167" s="74">
        <v>1</v>
      </c>
      <c r="BC167" s="74">
        <v>0</v>
      </c>
      <c r="BD167" s="74">
        <v>0</v>
      </c>
      <c r="BE167" s="81">
        <f t="shared" si="64"/>
        <v>0.88583333333333325</v>
      </c>
      <c r="BF167" s="81" t="str">
        <f t="shared" si="65"/>
        <v>ALTO</v>
      </c>
    </row>
    <row r="168" spans="1:58" x14ac:dyDescent="0.15">
      <c r="A168" s="57">
        <v>3</v>
      </c>
      <c r="B168" s="57">
        <v>2</v>
      </c>
      <c r="C168" s="57">
        <v>3</v>
      </c>
      <c r="D168" s="57">
        <v>2</v>
      </c>
      <c r="E168" s="58">
        <v>1</v>
      </c>
      <c r="F168" s="17">
        <v>1</v>
      </c>
      <c r="G168" s="64">
        <f t="shared" si="44"/>
        <v>0.5</v>
      </c>
      <c r="H168" s="17">
        <v>1</v>
      </c>
      <c r="I168" s="64">
        <f t="shared" si="45"/>
        <v>0.5</v>
      </c>
      <c r="J168" s="17">
        <v>0</v>
      </c>
      <c r="K168" s="64">
        <f t="shared" si="46"/>
        <v>0</v>
      </c>
      <c r="L168" s="17">
        <v>0</v>
      </c>
      <c r="M168" s="64">
        <f t="shared" si="47"/>
        <v>0</v>
      </c>
      <c r="N168" s="17">
        <v>4</v>
      </c>
      <c r="O168" s="64">
        <f t="shared" si="48"/>
        <v>0.8</v>
      </c>
      <c r="P168" s="17">
        <v>0</v>
      </c>
      <c r="Q168" s="64">
        <f t="shared" si="49"/>
        <v>0</v>
      </c>
      <c r="R168" s="25">
        <v>0</v>
      </c>
      <c r="S168" s="71">
        <f t="shared" si="50"/>
        <v>0</v>
      </c>
      <c r="T168" s="17">
        <v>0</v>
      </c>
      <c r="U168" s="64">
        <f t="shared" si="51"/>
        <v>0</v>
      </c>
      <c r="V168" s="17">
        <v>3</v>
      </c>
      <c r="W168" s="71">
        <f t="shared" si="52"/>
        <v>0.75</v>
      </c>
      <c r="X168" s="17">
        <v>2</v>
      </c>
      <c r="Y168" s="71">
        <f t="shared" si="53"/>
        <v>0.66666666666666663</v>
      </c>
      <c r="Z168" s="17">
        <v>1</v>
      </c>
      <c r="AA168" s="71">
        <f t="shared" si="54"/>
        <v>0.33333333333333331</v>
      </c>
      <c r="AB168" s="17">
        <v>2</v>
      </c>
      <c r="AC168" s="71">
        <f t="shared" si="55"/>
        <v>1</v>
      </c>
      <c r="AD168" s="57">
        <v>0</v>
      </c>
      <c r="AE168" s="57">
        <v>0</v>
      </c>
      <c r="AF168" s="57">
        <v>1</v>
      </c>
      <c r="AG168" s="57">
        <v>1</v>
      </c>
      <c r="AH168" s="57">
        <v>0</v>
      </c>
      <c r="AI168" s="57">
        <v>0</v>
      </c>
      <c r="AJ168" s="20">
        <v>1</v>
      </c>
      <c r="AK168" s="71">
        <f t="shared" si="56"/>
        <v>0.5</v>
      </c>
      <c r="AL168" s="17">
        <v>2</v>
      </c>
      <c r="AM168" s="71">
        <f t="shared" si="57"/>
        <v>0.66666666666666663</v>
      </c>
      <c r="AN168" s="17">
        <v>0</v>
      </c>
      <c r="AO168" s="71">
        <f t="shared" si="58"/>
        <v>0</v>
      </c>
      <c r="AP168" s="17">
        <v>0</v>
      </c>
      <c r="AQ168" s="71">
        <f t="shared" si="59"/>
        <v>0</v>
      </c>
      <c r="AR168" s="57">
        <v>2</v>
      </c>
      <c r="AS168" s="17">
        <v>1</v>
      </c>
      <c r="AT168" s="71">
        <f t="shared" si="60"/>
        <v>0.33333333333333331</v>
      </c>
      <c r="AU168" s="17">
        <v>0</v>
      </c>
      <c r="AV168" s="71">
        <f t="shared" si="61"/>
        <v>0</v>
      </c>
      <c r="AW168" s="17">
        <v>0</v>
      </c>
      <c r="AX168" s="71">
        <f t="shared" si="62"/>
        <v>0</v>
      </c>
      <c r="AY168" s="17">
        <v>2</v>
      </c>
      <c r="AZ168" s="71">
        <f t="shared" si="63"/>
        <v>0.66666666666666663</v>
      </c>
      <c r="BA168" s="73">
        <v>0</v>
      </c>
      <c r="BB168" s="73">
        <v>0</v>
      </c>
      <c r="BC168" s="73">
        <v>0</v>
      </c>
      <c r="BD168" s="73">
        <v>1</v>
      </c>
      <c r="BE168" s="81">
        <f t="shared" si="64"/>
        <v>0.36083333333333334</v>
      </c>
      <c r="BF168" s="81" t="str">
        <f t="shared" si="65"/>
        <v>MEDIO</v>
      </c>
    </row>
    <row r="169" spans="1:58" x14ac:dyDescent="0.15">
      <c r="A169" s="58">
        <v>1</v>
      </c>
      <c r="B169" s="58">
        <v>2</v>
      </c>
      <c r="C169" s="58">
        <v>1</v>
      </c>
      <c r="D169" s="58">
        <v>2</v>
      </c>
      <c r="E169" s="58">
        <v>1</v>
      </c>
      <c r="F169" s="18">
        <v>1</v>
      </c>
      <c r="G169" s="64">
        <f t="shared" si="44"/>
        <v>0.5</v>
      </c>
      <c r="H169" s="18">
        <v>2</v>
      </c>
      <c r="I169" s="64">
        <f t="shared" si="45"/>
        <v>1</v>
      </c>
      <c r="J169" s="18">
        <v>2</v>
      </c>
      <c r="K169" s="64">
        <f t="shared" si="46"/>
        <v>1</v>
      </c>
      <c r="L169" s="18">
        <v>3</v>
      </c>
      <c r="M169" s="64">
        <f t="shared" si="47"/>
        <v>1</v>
      </c>
      <c r="N169" s="18">
        <v>5</v>
      </c>
      <c r="O169" s="64">
        <f t="shared" si="48"/>
        <v>1</v>
      </c>
      <c r="P169" s="18">
        <v>0</v>
      </c>
      <c r="Q169" s="64">
        <f t="shared" si="49"/>
        <v>0</v>
      </c>
      <c r="R169" s="24">
        <v>0</v>
      </c>
      <c r="S169" s="71">
        <f t="shared" si="50"/>
        <v>0</v>
      </c>
      <c r="T169" s="18">
        <v>2</v>
      </c>
      <c r="U169" s="64">
        <f t="shared" si="51"/>
        <v>0.66666666666666663</v>
      </c>
      <c r="V169" s="18">
        <v>3</v>
      </c>
      <c r="W169" s="71">
        <f t="shared" si="52"/>
        <v>0.75</v>
      </c>
      <c r="X169" s="18">
        <v>2</v>
      </c>
      <c r="Y169" s="71">
        <f t="shared" si="53"/>
        <v>0.66666666666666663</v>
      </c>
      <c r="Z169" s="18">
        <v>0</v>
      </c>
      <c r="AA169" s="71">
        <f t="shared" si="54"/>
        <v>0</v>
      </c>
      <c r="AB169" s="18">
        <v>2</v>
      </c>
      <c r="AC169" s="71">
        <f t="shared" si="55"/>
        <v>1</v>
      </c>
      <c r="AD169" s="58">
        <v>1</v>
      </c>
      <c r="AE169" s="58">
        <v>0</v>
      </c>
      <c r="AF169" s="58">
        <v>0</v>
      </c>
      <c r="AG169" s="58">
        <v>1</v>
      </c>
      <c r="AH169" s="58">
        <v>0</v>
      </c>
      <c r="AI169" s="58">
        <v>0</v>
      </c>
      <c r="AJ169" s="19">
        <v>1</v>
      </c>
      <c r="AK169" s="71">
        <f t="shared" si="56"/>
        <v>0.5</v>
      </c>
      <c r="AL169" s="18">
        <v>2</v>
      </c>
      <c r="AM169" s="71">
        <f t="shared" si="57"/>
        <v>0.66666666666666663</v>
      </c>
      <c r="AN169" s="18">
        <v>1</v>
      </c>
      <c r="AO169" s="71">
        <f t="shared" si="58"/>
        <v>0.33333333333333331</v>
      </c>
      <c r="AP169" s="18">
        <v>2</v>
      </c>
      <c r="AQ169" s="71">
        <f t="shared" si="59"/>
        <v>0.66666666666666663</v>
      </c>
      <c r="AR169" s="58">
        <v>1</v>
      </c>
      <c r="AS169" s="18">
        <v>0</v>
      </c>
      <c r="AT169" s="71">
        <f t="shared" si="60"/>
        <v>0</v>
      </c>
      <c r="AU169" s="18">
        <v>2</v>
      </c>
      <c r="AV169" s="71">
        <f t="shared" si="61"/>
        <v>0.66666666666666663</v>
      </c>
      <c r="AW169" s="18">
        <v>0</v>
      </c>
      <c r="AX169" s="71">
        <f t="shared" si="62"/>
        <v>0</v>
      </c>
      <c r="AY169" s="18">
        <v>2</v>
      </c>
      <c r="AZ169" s="71">
        <f t="shared" si="63"/>
        <v>0.66666666666666663</v>
      </c>
      <c r="BA169" s="74">
        <v>1</v>
      </c>
      <c r="BB169" s="74">
        <v>0</v>
      </c>
      <c r="BC169" s="74">
        <v>0</v>
      </c>
      <c r="BD169" s="74">
        <v>0</v>
      </c>
      <c r="BE169" s="81">
        <f t="shared" si="64"/>
        <v>0.57916666666666661</v>
      </c>
      <c r="BF169" s="81" t="str">
        <f t="shared" si="65"/>
        <v>MEDIO</v>
      </c>
    </row>
    <row r="170" spans="1:58" x14ac:dyDescent="0.15">
      <c r="A170" s="57">
        <v>3</v>
      </c>
      <c r="B170" s="57">
        <v>2</v>
      </c>
      <c r="C170" s="57">
        <v>3</v>
      </c>
      <c r="D170" s="57">
        <v>1</v>
      </c>
      <c r="E170" s="58">
        <v>1</v>
      </c>
      <c r="F170" s="17">
        <v>2</v>
      </c>
      <c r="G170" s="64">
        <f t="shared" si="44"/>
        <v>1</v>
      </c>
      <c r="H170" s="17">
        <v>1</v>
      </c>
      <c r="I170" s="64">
        <f t="shared" si="45"/>
        <v>0.5</v>
      </c>
      <c r="J170" s="17">
        <v>1</v>
      </c>
      <c r="K170" s="64">
        <f t="shared" si="46"/>
        <v>0.5</v>
      </c>
      <c r="L170" s="17">
        <v>3</v>
      </c>
      <c r="M170" s="64">
        <f t="shared" si="47"/>
        <v>1</v>
      </c>
      <c r="N170" s="17">
        <v>1</v>
      </c>
      <c r="O170" s="64">
        <f t="shared" si="48"/>
        <v>0.2</v>
      </c>
      <c r="P170" s="17">
        <v>3</v>
      </c>
      <c r="Q170" s="64">
        <f t="shared" si="49"/>
        <v>1</v>
      </c>
      <c r="R170" s="25">
        <v>0</v>
      </c>
      <c r="S170" s="71">
        <f t="shared" si="50"/>
        <v>0</v>
      </c>
      <c r="T170" s="17">
        <v>2</v>
      </c>
      <c r="U170" s="64">
        <f t="shared" si="51"/>
        <v>0.66666666666666663</v>
      </c>
      <c r="V170" s="17">
        <v>3</v>
      </c>
      <c r="W170" s="71">
        <f t="shared" si="52"/>
        <v>0.75</v>
      </c>
      <c r="X170" s="17">
        <v>2</v>
      </c>
      <c r="Y170" s="71">
        <f t="shared" si="53"/>
        <v>0.66666666666666663</v>
      </c>
      <c r="Z170" s="17">
        <v>3</v>
      </c>
      <c r="AA170" s="71">
        <f t="shared" si="54"/>
        <v>1</v>
      </c>
      <c r="AB170" s="17">
        <v>2</v>
      </c>
      <c r="AC170" s="71">
        <f t="shared" si="55"/>
        <v>1</v>
      </c>
      <c r="AD170" s="57">
        <v>1</v>
      </c>
      <c r="AE170" s="57">
        <v>1</v>
      </c>
      <c r="AF170" s="57">
        <v>0</v>
      </c>
      <c r="AG170" s="57">
        <v>0</v>
      </c>
      <c r="AH170" s="57">
        <v>0</v>
      </c>
      <c r="AI170" s="57">
        <v>0</v>
      </c>
      <c r="AJ170" s="20">
        <v>1</v>
      </c>
      <c r="AK170" s="71">
        <f t="shared" si="56"/>
        <v>0.5</v>
      </c>
      <c r="AL170" s="17">
        <v>2</v>
      </c>
      <c r="AM170" s="71">
        <f t="shared" si="57"/>
        <v>0.66666666666666663</v>
      </c>
      <c r="AN170" s="17">
        <v>1</v>
      </c>
      <c r="AO170" s="71">
        <f t="shared" si="58"/>
        <v>0.33333333333333331</v>
      </c>
      <c r="AP170" s="17">
        <v>2</v>
      </c>
      <c r="AQ170" s="71">
        <f t="shared" si="59"/>
        <v>0.66666666666666663</v>
      </c>
      <c r="AR170" s="57">
        <v>0</v>
      </c>
      <c r="AS170" s="17">
        <v>3</v>
      </c>
      <c r="AT170" s="71">
        <f t="shared" si="60"/>
        <v>1</v>
      </c>
      <c r="AU170" s="17">
        <v>2</v>
      </c>
      <c r="AV170" s="71">
        <f t="shared" si="61"/>
        <v>0.66666666666666663</v>
      </c>
      <c r="AW170" s="17">
        <v>0</v>
      </c>
      <c r="AX170" s="71">
        <f t="shared" si="62"/>
        <v>0</v>
      </c>
      <c r="AY170" s="17">
        <v>2</v>
      </c>
      <c r="AZ170" s="71">
        <f t="shared" si="63"/>
        <v>0.66666666666666663</v>
      </c>
      <c r="BA170" s="73">
        <v>1</v>
      </c>
      <c r="BB170" s="73">
        <v>0</v>
      </c>
      <c r="BC170" s="73">
        <v>1</v>
      </c>
      <c r="BD170" s="73">
        <v>0</v>
      </c>
      <c r="BE170" s="81">
        <f t="shared" si="64"/>
        <v>0.68916666666666671</v>
      </c>
      <c r="BF170" s="81" t="str">
        <f t="shared" si="65"/>
        <v>ALTO</v>
      </c>
    </row>
    <row r="171" spans="1:58" x14ac:dyDescent="0.15">
      <c r="A171" s="58">
        <v>2</v>
      </c>
      <c r="B171" s="58">
        <v>2</v>
      </c>
      <c r="C171" s="58">
        <v>0</v>
      </c>
      <c r="D171" s="58">
        <v>2</v>
      </c>
      <c r="E171" s="58">
        <v>1</v>
      </c>
      <c r="F171" s="18">
        <v>1</v>
      </c>
      <c r="G171" s="64">
        <f t="shared" si="44"/>
        <v>0.5</v>
      </c>
      <c r="H171" s="18">
        <v>2</v>
      </c>
      <c r="I171" s="64">
        <f t="shared" si="45"/>
        <v>1</v>
      </c>
      <c r="J171" s="18">
        <v>1</v>
      </c>
      <c r="K171" s="64">
        <f t="shared" si="46"/>
        <v>0.5</v>
      </c>
      <c r="L171" s="18">
        <v>2</v>
      </c>
      <c r="M171" s="64">
        <f t="shared" si="47"/>
        <v>0.66666666666666663</v>
      </c>
      <c r="N171" s="18">
        <v>1</v>
      </c>
      <c r="O171" s="64">
        <f t="shared" si="48"/>
        <v>0.2</v>
      </c>
      <c r="P171" s="18">
        <v>0</v>
      </c>
      <c r="Q171" s="64">
        <f t="shared" si="49"/>
        <v>0</v>
      </c>
      <c r="R171" s="24">
        <v>2</v>
      </c>
      <c r="S171" s="71">
        <f t="shared" si="50"/>
        <v>0.66666666666666663</v>
      </c>
      <c r="T171" s="18">
        <v>2</v>
      </c>
      <c r="U171" s="64">
        <f t="shared" si="51"/>
        <v>0.66666666666666663</v>
      </c>
      <c r="V171" s="18">
        <v>3</v>
      </c>
      <c r="W171" s="71">
        <f t="shared" si="52"/>
        <v>0.75</v>
      </c>
      <c r="X171" s="18">
        <v>2</v>
      </c>
      <c r="Y171" s="71">
        <f t="shared" si="53"/>
        <v>0.66666666666666663</v>
      </c>
      <c r="Z171" s="18">
        <v>3</v>
      </c>
      <c r="AA171" s="71">
        <f t="shared" si="54"/>
        <v>1</v>
      </c>
      <c r="AB171" s="18">
        <v>2</v>
      </c>
      <c r="AC171" s="71">
        <f t="shared" si="55"/>
        <v>1</v>
      </c>
      <c r="AD171" s="58">
        <v>1</v>
      </c>
      <c r="AE171" s="58">
        <v>0</v>
      </c>
      <c r="AF171" s="58">
        <v>1</v>
      </c>
      <c r="AG171" s="58">
        <v>0</v>
      </c>
      <c r="AH171" s="58">
        <v>0</v>
      </c>
      <c r="AI171" s="58">
        <v>0</v>
      </c>
      <c r="AJ171" s="19">
        <v>1</v>
      </c>
      <c r="AK171" s="71">
        <f t="shared" si="56"/>
        <v>0.5</v>
      </c>
      <c r="AL171" s="18">
        <v>1</v>
      </c>
      <c r="AM171" s="71">
        <f t="shared" si="57"/>
        <v>0.33333333333333331</v>
      </c>
      <c r="AN171" s="18">
        <v>0</v>
      </c>
      <c r="AO171" s="71">
        <f t="shared" si="58"/>
        <v>0</v>
      </c>
      <c r="AP171" s="18">
        <v>2</v>
      </c>
      <c r="AQ171" s="71">
        <f t="shared" si="59"/>
        <v>0.66666666666666663</v>
      </c>
      <c r="AR171" s="58">
        <v>3</v>
      </c>
      <c r="AS171" s="18">
        <v>2</v>
      </c>
      <c r="AT171" s="71">
        <f t="shared" si="60"/>
        <v>0.66666666666666663</v>
      </c>
      <c r="AU171" s="18">
        <v>0</v>
      </c>
      <c r="AV171" s="71">
        <f t="shared" si="61"/>
        <v>0</v>
      </c>
      <c r="AW171" s="18">
        <v>1</v>
      </c>
      <c r="AX171" s="71">
        <f t="shared" si="62"/>
        <v>0.5</v>
      </c>
      <c r="AY171" s="18">
        <v>1</v>
      </c>
      <c r="AZ171" s="71">
        <f t="shared" si="63"/>
        <v>0.33333333333333331</v>
      </c>
      <c r="BA171" s="74">
        <v>1</v>
      </c>
      <c r="BB171" s="74">
        <v>0</v>
      </c>
      <c r="BC171" s="74">
        <v>1</v>
      </c>
      <c r="BD171" s="74">
        <v>0</v>
      </c>
      <c r="BE171" s="81">
        <f t="shared" si="64"/>
        <v>0.5558333333333334</v>
      </c>
      <c r="BF171" s="81" t="str">
        <f t="shared" si="65"/>
        <v>MEDIO</v>
      </c>
    </row>
    <row r="172" spans="1:58" x14ac:dyDescent="0.15">
      <c r="A172" s="57">
        <v>2</v>
      </c>
      <c r="B172" s="57">
        <v>2</v>
      </c>
      <c r="C172" s="57">
        <v>0</v>
      </c>
      <c r="D172" s="57">
        <v>2</v>
      </c>
      <c r="E172" s="58">
        <v>1</v>
      </c>
      <c r="F172" s="17">
        <v>0</v>
      </c>
      <c r="G172" s="64">
        <f t="shared" si="44"/>
        <v>0</v>
      </c>
      <c r="H172" s="17">
        <v>0</v>
      </c>
      <c r="I172" s="64">
        <f t="shared" si="45"/>
        <v>0</v>
      </c>
      <c r="J172" s="17">
        <v>1</v>
      </c>
      <c r="K172" s="64">
        <f t="shared" si="46"/>
        <v>0.5</v>
      </c>
      <c r="L172" s="17">
        <v>1</v>
      </c>
      <c r="M172" s="64">
        <f t="shared" si="47"/>
        <v>0.33333333333333331</v>
      </c>
      <c r="N172" s="17">
        <v>5</v>
      </c>
      <c r="O172" s="64">
        <f t="shared" si="48"/>
        <v>1</v>
      </c>
      <c r="P172" s="17">
        <v>0</v>
      </c>
      <c r="Q172" s="64">
        <f t="shared" si="49"/>
        <v>0</v>
      </c>
      <c r="R172" s="25">
        <v>1</v>
      </c>
      <c r="S172" s="71">
        <f t="shared" si="50"/>
        <v>0.33333333333333331</v>
      </c>
      <c r="T172" s="17">
        <v>1</v>
      </c>
      <c r="U172" s="64">
        <f t="shared" si="51"/>
        <v>0.33333333333333331</v>
      </c>
      <c r="V172" s="17">
        <v>3</v>
      </c>
      <c r="W172" s="71">
        <f t="shared" si="52"/>
        <v>0.75</v>
      </c>
      <c r="X172" s="17">
        <v>1</v>
      </c>
      <c r="Y172" s="71">
        <f t="shared" si="53"/>
        <v>0.33333333333333331</v>
      </c>
      <c r="Z172" s="17">
        <v>0</v>
      </c>
      <c r="AA172" s="71">
        <f t="shared" si="54"/>
        <v>0</v>
      </c>
      <c r="AB172" s="17">
        <v>1</v>
      </c>
      <c r="AC172" s="71">
        <f t="shared" si="55"/>
        <v>0.5</v>
      </c>
      <c r="AD172" s="57">
        <v>1</v>
      </c>
      <c r="AE172" s="57">
        <v>0</v>
      </c>
      <c r="AF172" s="57">
        <v>1</v>
      </c>
      <c r="AG172" s="57">
        <v>0</v>
      </c>
      <c r="AH172" s="57">
        <v>0</v>
      </c>
      <c r="AI172" s="57">
        <v>0</v>
      </c>
      <c r="AJ172" s="20">
        <v>0</v>
      </c>
      <c r="AK172" s="71">
        <f t="shared" si="56"/>
        <v>0</v>
      </c>
      <c r="AL172" s="17">
        <v>1</v>
      </c>
      <c r="AM172" s="71">
        <f t="shared" si="57"/>
        <v>0.33333333333333331</v>
      </c>
      <c r="AN172" s="17">
        <v>0</v>
      </c>
      <c r="AO172" s="71">
        <f t="shared" si="58"/>
        <v>0</v>
      </c>
      <c r="AP172" s="17">
        <v>0</v>
      </c>
      <c r="AQ172" s="71">
        <f t="shared" si="59"/>
        <v>0</v>
      </c>
      <c r="AR172" s="57">
        <v>3</v>
      </c>
      <c r="AS172" s="17">
        <v>0</v>
      </c>
      <c r="AT172" s="71">
        <f t="shared" si="60"/>
        <v>0</v>
      </c>
      <c r="AU172" s="17">
        <v>2</v>
      </c>
      <c r="AV172" s="71">
        <f t="shared" si="61"/>
        <v>0.66666666666666663</v>
      </c>
      <c r="AW172" s="17">
        <v>1</v>
      </c>
      <c r="AX172" s="71">
        <f t="shared" si="62"/>
        <v>0.5</v>
      </c>
      <c r="AY172" s="17">
        <v>1</v>
      </c>
      <c r="AZ172" s="71">
        <f t="shared" si="63"/>
        <v>0.33333333333333331</v>
      </c>
      <c r="BA172" s="73">
        <v>1</v>
      </c>
      <c r="BB172" s="73">
        <v>1</v>
      </c>
      <c r="BC172" s="73">
        <v>0</v>
      </c>
      <c r="BD172" s="73">
        <v>0</v>
      </c>
      <c r="BE172" s="81">
        <f t="shared" si="64"/>
        <v>0.29583333333333334</v>
      </c>
      <c r="BF172" s="81" t="str">
        <f t="shared" si="65"/>
        <v>BASSO</v>
      </c>
    </row>
    <row r="173" spans="1:58" x14ac:dyDescent="0.15">
      <c r="A173" s="58">
        <v>3</v>
      </c>
      <c r="B173" s="58">
        <v>2</v>
      </c>
      <c r="C173" s="58">
        <v>1</v>
      </c>
      <c r="D173" s="58">
        <v>0</v>
      </c>
      <c r="E173" s="58">
        <v>1</v>
      </c>
      <c r="F173" s="18">
        <v>1</v>
      </c>
      <c r="G173" s="64">
        <f t="shared" si="44"/>
        <v>0.5</v>
      </c>
      <c r="H173" s="18">
        <v>0</v>
      </c>
      <c r="I173" s="64">
        <f t="shared" si="45"/>
        <v>0</v>
      </c>
      <c r="J173" s="18">
        <v>0</v>
      </c>
      <c r="K173" s="64">
        <f t="shared" si="46"/>
        <v>0</v>
      </c>
      <c r="L173" s="18">
        <v>0</v>
      </c>
      <c r="M173" s="64">
        <f t="shared" si="47"/>
        <v>0</v>
      </c>
      <c r="N173" s="18">
        <v>2</v>
      </c>
      <c r="O173" s="64">
        <f t="shared" si="48"/>
        <v>0.4</v>
      </c>
      <c r="P173" s="18">
        <v>0</v>
      </c>
      <c r="Q173" s="64">
        <f t="shared" si="49"/>
        <v>0</v>
      </c>
      <c r="R173" s="24">
        <v>0</v>
      </c>
      <c r="S173" s="71">
        <f t="shared" si="50"/>
        <v>0</v>
      </c>
      <c r="T173" s="18">
        <v>0</v>
      </c>
      <c r="U173" s="64">
        <f t="shared" si="51"/>
        <v>0</v>
      </c>
      <c r="V173" s="18">
        <v>3</v>
      </c>
      <c r="W173" s="71">
        <f t="shared" si="52"/>
        <v>0.75</v>
      </c>
      <c r="X173" s="18">
        <v>0</v>
      </c>
      <c r="Y173" s="71">
        <f t="shared" si="53"/>
        <v>0</v>
      </c>
      <c r="Z173" s="18">
        <v>1</v>
      </c>
      <c r="AA173" s="71">
        <f t="shared" si="54"/>
        <v>0.33333333333333331</v>
      </c>
      <c r="AB173" s="18">
        <v>3</v>
      </c>
      <c r="AC173" s="71">
        <f t="shared" si="55"/>
        <v>1.5</v>
      </c>
      <c r="AD173" s="58">
        <v>0</v>
      </c>
      <c r="AE173" s="58">
        <v>0</v>
      </c>
      <c r="AF173" s="58">
        <v>1</v>
      </c>
      <c r="AG173" s="58">
        <v>1</v>
      </c>
      <c r="AH173" s="58">
        <v>0</v>
      </c>
      <c r="AI173" s="58">
        <v>0</v>
      </c>
      <c r="AJ173" s="19">
        <v>1</v>
      </c>
      <c r="AK173" s="71">
        <f t="shared" si="56"/>
        <v>0.5</v>
      </c>
      <c r="AL173" s="18">
        <v>0</v>
      </c>
      <c r="AM173" s="71">
        <f t="shared" si="57"/>
        <v>0</v>
      </c>
      <c r="AN173" s="18">
        <v>0</v>
      </c>
      <c r="AO173" s="71">
        <f t="shared" si="58"/>
        <v>0</v>
      </c>
      <c r="AP173" s="18">
        <v>0</v>
      </c>
      <c r="AQ173" s="71">
        <f t="shared" si="59"/>
        <v>0</v>
      </c>
      <c r="AR173" s="58">
        <v>2</v>
      </c>
      <c r="AS173" s="18">
        <v>1</v>
      </c>
      <c r="AT173" s="71">
        <f t="shared" si="60"/>
        <v>0.33333333333333331</v>
      </c>
      <c r="AU173" s="18">
        <v>0</v>
      </c>
      <c r="AV173" s="71">
        <f t="shared" si="61"/>
        <v>0</v>
      </c>
      <c r="AW173" s="18">
        <v>0</v>
      </c>
      <c r="AX173" s="71">
        <f t="shared" si="62"/>
        <v>0</v>
      </c>
      <c r="AY173" s="18">
        <v>2</v>
      </c>
      <c r="AZ173" s="71">
        <f t="shared" si="63"/>
        <v>0.66666666666666663</v>
      </c>
      <c r="BA173" s="74">
        <v>0</v>
      </c>
      <c r="BB173" s="74">
        <v>0</v>
      </c>
      <c r="BC173" s="74">
        <v>0</v>
      </c>
      <c r="BD173" s="74">
        <v>1</v>
      </c>
      <c r="BE173" s="81">
        <f t="shared" si="64"/>
        <v>0.27416666666666667</v>
      </c>
      <c r="BF173" s="81" t="str">
        <f t="shared" si="65"/>
        <v>BASSO</v>
      </c>
    </row>
    <row r="174" spans="1:58" x14ac:dyDescent="0.15">
      <c r="A174" s="57">
        <v>3</v>
      </c>
      <c r="B174" s="57">
        <v>2</v>
      </c>
      <c r="C174" s="57">
        <v>0</v>
      </c>
      <c r="D174" s="57">
        <v>2</v>
      </c>
      <c r="E174" s="58">
        <v>1</v>
      </c>
      <c r="F174" s="17">
        <v>0</v>
      </c>
      <c r="G174" s="64">
        <f t="shared" si="44"/>
        <v>0</v>
      </c>
      <c r="H174" s="17">
        <v>0</v>
      </c>
      <c r="I174" s="64">
        <f t="shared" si="45"/>
        <v>0</v>
      </c>
      <c r="J174" s="17">
        <v>0</v>
      </c>
      <c r="K174" s="64">
        <f t="shared" si="46"/>
        <v>0</v>
      </c>
      <c r="L174" s="17">
        <v>0</v>
      </c>
      <c r="M174" s="64">
        <f t="shared" si="47"/>
        <v>0</v>
      </c>
      <c r="N174" s="17">
        <v>5</v>
      </c>
      <c r="O174" s="64">
        <f t="shared" si="48"/>
        <v>1</v>
      </c>
      <c r="P174" s="17">
        <v>0</v>
      </c>
      <c r="Q174" s="64">
        <f t="shared" si="49"/>
        <v>0</v>
      </c>
      <c r="R174" s="25">
        <v>1</v>
      </c>
      <c r="S174" s="71">
        <f t="shared" si="50"/>
        <v>0.33333333333333331</v>
      </c>
      <c r="T174" s="17">
        <v>1</v>
      </c>
      <c r="U174" s="64">
        <f t="shared" si="51"/>
        <v>0.33333333333333331</v>
      </c>
      <c r="V174" s="17">
        <v>3</v>
      </c>
      <c r="W174" s="71">
        <f t="shared" si="52"/>
        <v>0.75</v>
      </c>
      <c r="X174" s="17">
        <v>1</v>
      </c>
      <c r="Y174" s="71">
        <f t="shared" si="53"/>
        <v>0.33333333333333331</v>
      </c>
      <c r="Z174" s="17">
        <v>0</v>
      </c>
      <c r="AA174" s="71">
        <f t="shared" si="54"/>
        <v>0</v>
      </c>
      <c r="AB174" s="17">
        <v>0</v>
      </c>
      <c r="AC174" s="71">
        <f t="shared" si="55"/>
        <v>0</v>
      </c>
      <c r="AD174" s="57">
        <v>1</v>
      </c>
      <c r="AE174" s="57">
        <v>0</v>
      </c>
      <c r="AF174" s="57">
        <v>1</v>
      </c>
      <c r="AG174" s="57">
        <v>0</v>
      </c>
      <c r="AH174" s="57">
        <v>0</v>
      </c>
      <c r="AI174" s="57">
        <v>0</v>
      </c>
      <c r="AJ174" s="20">
        <v>0</v>
      </c>
      <c r="AK174" s="71">
        <f t="shared" si="56"/>
        <v>0</v>
      </c>
      <c r="AL174" s="17">
        <v>2</v>
      </c>
      <c r="AM174" s="71">
        <f t="shared" si="57"/>
        <v>0.66666666666666663</v>
      </c>
      <c r="AN174" s="17">
        <v>0</v>
      </c>
      <c r="AO174" s="71">
        <f t="shared" si="58"/>
        <v>0</v>
      </c>
      <c r="AP174" s="17">
        <v>0</v>
      </c>
      <c r="AQ174" s="71">
        <f t="shared" si="59"/>
        <v>0</v>
      </c>
      <c r="AR174" s="57">
        <v>0</v>
      </c>
      <c r="AS174" s="17">
        <v>0</v>
      </c>
      <c r="AT174" s="71">
        <f t="shared" si="60"/>
        <v>0</v>
      </c>
      <c r="AU174" s="17">
        <v>1</v>
      </c>
      <c r="AV174" s="71">
        <f t="shared" si="61"/>
        <v>0.33333333333333331</v>
      </c>
      <c r="AW174" s="17">
        <v>1</v>
      </c>
      <c r="AX174" s="71">
        <f t="shared" si="62"/>
        <v>0.5</v>
      </c>
      <c r="AY174" s="17">
        <v>1</v>
      </c>
      <c r="AZ174" s="71">
        <f t="shared" si="63"/>
        <v>0.33333333333333331</v>
      </c>
      <c r="BA174" s="73">
        <v>1</v>
      </c>
      <c r="BB174" s="73">
        <v>0</v>
      </c>
      <c r="BC174" s="73">
        <v>1</v>
      </c>
      <c r="BD174" s="73">
        <v>0</v>
      </c>
      <c r="BE174" s="81">
        <f t="shared" si="64"/>
        <v>0.22916666666666666</v>
      </c>
      <c r="BF174" s="81" t="str">
        <f t="shared" si="65"/>
        <v>BASSO</v>
      </c>
    </row>
    <row r="175" spans="1:58" x14ac:dyDescent="0.15">
      <c r="A175" s="58">
        <v>4</v>
      </c>
      <c r="B175" s="58">
        <v>2</v>
      </c>
      <c r="C175" s="58">
        <v>0</v>
      </c>
      <c r="D175" s="58">
        <v>2</v>
      </c>
      <c r="E175" s="58">
        <v>1</v>
      </c>
      <c r="F175" s="18">
        <v>1</v>
      </c>
      <c r="G175" s="64">
        <f t="shared" si="44"/>
        <v>0.5</v>
      </c>
      <c r="H175" s="18">
        <v>1</v>
      </c>
      <c r="I175" s="64">
        <f t="shared" si="45"/>
        <v>0.5</v>
      </c>
      <c r="J175" s="18">
        <v>1</v>
      </c>
      <c r="K175" s="64">
        <f t="shared" si="46"/>
        <v>0.5</v>
      </c>
      <c r="L175" s="18">
        <v>1</v>
      </c>
      <c r="M175" s="64">
        <f t="shared" si="47"/>
        <v>0.33333333333333331</v>
      </c>
      <c r="N175" s="18">
        <v>4</v>
      </c>
      <c r="O175" s="64">
        <f t="shared" si="48"/>
        <v>0.8</v>
      </c>
      <c r="P175" s="18">
        <v>0</v>
      </c>
      <c r="Q175" s="64">
        <f t="shared" si="49"/>
        <v>0</v>
      </c>
      <c r="R175" s="24">
        <v>0</v>
      </c>
      <c r="S175" s="71">
        <f t="shared" si="50"/>
        <v>0</v>
      </c>
      <c r="T175" s="18">
        <v>2</v>
      </c>
      <c r="U175" s="64">
        <f t="shared" si="51"/>
        <v>0.66666666666666663</v>
      </c>
      <c r="V175" s="18">
        <v>3</v>
      </c>
      <c r="W175" s="71">
        <f t="shared" si="52"/>
        <v>0.75</v>
      </c>
      <c r="X175" s="18">
        <v>2</v>
      </c>
      <c r="Y175" s="71">
        <f t="shared" si="53"/>
        <v>0.66666666666666663</v>
      </c>
      <c r="Z175" s="18">
        <v>0</v>
      </c>
      <c r="AA175" s="71">
        <f t="shared" si="54"/>
        <v>0</v>
      </c>
      <c r="AB175" s="18">
        <v>2</v>
      </c>
      <c r="AC175" s="71">
        <f t="shared" si="55"/>
        <v>1</v>
      </c>
      <c r="AD175" s="58">
        <v>1</v>
      </c>
      <c r="AE175" s="58">
        <v>0</v>
      </c>
      <c r="AF175" s="58">
        <v>1</v>
      </c>
      <c r="AG175" s="58">
        <v>0</v>
      </c>
      <c r="AH175" s="58">
        <v>0</v>
      </c>
      <c r="AI175" s="58">
        <v>0</v>
      </c>
      <c r="AJ175" s="19">
        <v>1</v>
      </c>
      <c r="AK175" s="71">
        <f t="shared" si="56"/>
        <v>0.5</v>
      </c>
      <c r="AL175" s="18">
        <v>2</v>
      </c>
      <c r="AM175" s="71">
        <f t="shared" si="57"/>
        <v>0.66666666666666663</v>
      </c>
      <c r="AN175" s="18">
        <v>2</v>
      </c>
      <c r="AO175" s="71">
        <f t="shared" si="58"/>
        <v>0.66666666666666663</v>
      </c>
      <c r="AP175" s="18">
        <v>1</v>
      </c>
      <c r="AQ175" s="71">
        <f t="shared" si="59"/>
        <v>0.33333333333333331</v>
      </c>
      <c r="AR175" s="58">
        <v>2</v>
      </c>
      <c r="AS175" s="18">
        <v>3</v>
      </c>
      <c r="AT175" s="71">
        <f t="shared" si="60"/>
        <v>1</v>
      </c>
      <c r="AU175" s="18">
        <v>2</v>
      </c>
      <c r="AV175" s="71">
        <f t="shared" si="61"/>
        <v>0.66666666666666663</v>
      </c>
      <c r="AW175" s="18">
        <v>1</v>
      </c>
      <c r="AX175" s="71">
        <f t="shared" si="62"/>
        <v>0.5</v>
      </c>
      <c r="AY175" s="18">
        <v>1</v>
      </c>
      <c r="AZ175" s="71">
        <f t="shared" si="63"/>
        <v>0.33333333333333331</v>
      </c>
      <c r="BA175" s="74">
        <v>1</v>
      </c>
      <c r="BB175" s="74">
        <v>0</v>
      </c>
      <c r="BC175" s="74">
        <v>1</v>
      </c>
      <c r="BD175" s="74">
        <v>0</v>
      </c>
      <c r="BE175" s="81">
        <f t="shared" si="64"/>
        <v>0.54416666666666669</v>
      </c>
      <c r="BF175" s="81" t="str">
        <f t="shared" si="65"/>
        <v>MEDIO</v>
      </c>
    </row>
    <row r="176" spans="1:58" x14ac:dyDescent="0.15">
      <c r="A176" s="57">
        <v>3</v>
      </c>
      <c r="B176" s="57">
        <v>2</v>
      </c>
      <c r="C176" s="57">
        <v>3</v>
      </c>
      <c r="D176" s="57">
        <v>2</v>
      </c>
      <c r="E176" s="58">
        <v>1</v>
      </c>
      <c r="F176" s="17">
        <v>1</v>
      </c>
      <c r="G176" s="64">
        <f t="shared" si="44"/>
        <v>0.5</v>
      </c>
      <c r="H176" s="17">
        <v>2</v>
      </c>
      <c r="I176" s="64">
        <f t="shared" si="45"/>
        <v>1</v>
      </c>
      <c r="J176" s="17">
        <v>1</v>
      </c>
      <c r="K176" s="64">
        <f t="shared" si="46"/>
        <v>0.5</v>
      </c>
      <c r="L176" s="17">
        <v>0</v>
      </c>
      <c r="M176" s="64">
        <f t="shared" si="47"/>
        <v>0</v>
      </c>
      <c r="N176" s="17">
        <v>5</v>
      </c>
      <c r="O176" s="64">
        <f t="shared" si="48"/>
        <v>1</v>
      </c>
      <c r="P176" s="17">
        <v>0</v>
      </c>
      <c r="Q176" s="64">
        <f t="shared" si="49"/>
        <v>0</v>
      </c>
      <c r="R176" s="25">
        <v>3</v>
      </c>
      <c r="S176" s="71">
        <f t="shared" si="50"/>
        <v>1</v>
      </c>
      <c r="T176" s="17">
        <v>1</v>
      </c>
      <c r="U176" s="64">
        <f t="shared" si="51"/>
        <v>0.33333333333333331</v>
      </c>
      <c r="V176" s="17">
        <v>3</v>
      </c>
      <c r="W176" s="71">
        <f t="shared" si="52"/>
        <v>0.75</v>
      </c>
      <c r="X176" s="17">
        <v>2</v>
      </c>
      <c r="Y176" s="71">
        <f t="shared" si="53"/>
        <v>0.66666666666666663</v>
      </c>
      <c r="Z176" s="17">
        <v>3</v>
      </c>
      <c r="AA176" s="71">
        <f t="shared" si="54"/>
        <v>1</v>
      </c>
      <c r="AB176" s="17">
        <v>1</v>
      </c>
      <c r="AC176" s="71">
        <f t="shared" si="55"/>
        <v>0.5</v>
      </c>
      <c r="AD176" s="57">
        <v>0</v>
      </c>
      <c r="AE176" s="57">
        <v>0</v>
      </c>
      <c r="AF176" s="57">
        <v>1</v>
      </c>
      <c r="AG176" s="57">
        <v>1</v>
      </c>
      <c r="AH176" s="57">
        <v>0</v>
      </c>
      <c r="AI176" s="57">
        <v>0</v>
      </c>
      <c r="AJ176" s="20">
        <v>1</v>
      </c>
      <c r="AK176" s="71">
        <f t="shared" si="56"/>
        <v>0.5</v>
      </c>
      <c r="AL176" s="17">
        <v>2</v>
      </c>
      <c r="AM176" s="71">
        <f t="shared" si="57"/>
        <v>0.66666666666666663</v>
      </c>
      <c r="AN176" s="17">
        <v>0</v>
      </c>
      <c r="AO176" s="71">
        <f t="shared" si="58"/>
        <v>0</v>
      </c>
      <c r="AP176" s="17">
        <v>1</v>
      </c>
      <c r="AQ176" s="71">
        <f t="shared" si="59"/>
        <v>0.33333333333333331</v>
      </c>
      <c r="AR176" s="57">
        <v>2</v>
      </c>
      <c r="AS176" s="17">
        <v>2</v>
      </c>
      <c r="AT176" s="71">
        <f t="shared" si="60"/>
        <v>0.66666666666666663</v>
      </c>
      <c r="AU176" s="17">
        <v>2</v>
      </c>
      <c r="AV176" s="71">
        <f t="shared" si="61"/>
        <v>0.66666666666666663</v>
      </c>
      <c r="AW176" s="17">
        <v>0</v>
      </c>
      <c r="AX176" s="71">
        <f t="shared" si="62"/>
        <v>0</v>
      </c>
      <c r="AY176" s="17">
        <v>2</v>
      </c>
      <c r="AZ176" s="71">
        <f t="shared" si="63"/>
        <v>0.66666666666666663</v>
      </c>
      <c r="BA176" s="73">
        <v>0</v>
      </c>
      <c r="BB176" s="73">
        <v>0</v>
      </c>
      <c r="BC176" s="73">
        <v>1</v>
      </c>
      <c r="BD176" s="73">
        <v>0</v>
      </c>
      <c r="BE176" s="81">
        <f t="shared" si="64"/>
        <v>0.56249999999999989</v>
      </c>
      <c r="BF176" s="81" t="str">
        <f t="shared" si="65"/>
        <v>MEDIO</v>
      </c>
    </row>
    <row r="177" spans="1:58" x14ac:dyDescent="0.15">
      <c r="A177" s="58">
        <v>2</v>
      </c>
      <c r="B177" s="58">
        <v>1</v>
      </c>
      <c r="C177" s="58">
        <v>3</v>
      </c>
      <c r="D177" s="58">
        <v>2</v>
      </c>
      <c r="E177" s="58">
        <v>1</v>
      </c>
      <c r="F177" s="18">
        <v>2</v>
      </c>
      <c r="G177" s="64">
        <f t="shared" si="44"/>
        <v>1</v>
      </c>
      <c r="H177" s="18">
        <v>1</v>
      </c>
      <c r="I177" s="64">
        <f t="shared" si="45"/>
        <v>0.5</v>
      </c>
      <c r="J177" s="18">
        <v>1</v>
      </c>
      <c r="K177" s="64">
        <f t="shared" si="46"/>
        <v>0.5</v>
      </c>
      <c r="L177" s="18">
        <v>2</v>
      </c>
      <c r="M177" s="64">
        <f t="shared" si="47"/>
        <v>0.66666666666666663</v>
      </c>
      <c r="N177" s="18">
        <v>4</v>
      </c>
      <c r="O177" s="64">
        <f t="shared" si="48"/>
        <v>0.8</v>
      </c>
      <c r="P177" s="18">
        <v>0</v>
      </c>
      <c r="Q177" s="64">
        <f t="shared" si="49"/>
        <v>0</v>
      </c>
      <c r="R177" s="24">
        <v>2</v>
      </c>
      <c r="S177" s="71">
        <f t="shared" si="50"/>
        <v>0.66666666666666663</v>
      </c>
      <c r="T177" s="18">
        <v>0</v>
      </c>
      <c r="U177" s="64">
        <f t="shared" si="51"/>
        <v>0</v>
      </c>
      <c r="V177" s="18">
        <v>3</v>
      </c>
      <c r="W177" s="71">
        <f t="shared" si="52"/>
        <v>0.75</v>
      </c>
      <c r="X177" s="18">
        <v>2</v>
      </c>
      <c r="Y177" s="71">
        <f t="shared" si="53"/>
        <v>0.66666666666666663</v>
      </c>
      <c r="Z177" s="18">
        <v>1</v>
      </c>
      <c r="AA177" s="71">
        <f t="shared" si="54"/>
        <v>0.33333333333333331</v>
      </c>
      <c r="AB177" s="18">
        <v>3</v>
      </c>
      <c r="AC177" s="71">
        <f t="shared" si="55"/>
        <v>1.5</v>
      </c>
      <c r="AD177" s="58">
        <v>1</v>
      </c>
      <c r="AE177" s="58">
        <v>0</v>
      </c>
      <c r="AF177" s="58">
        <v>0</v>
      </c>
      <c r="AG177" s="58">
        <v>1</v>
      </c>
      <c r="AH177" s="58">
        <v>0</v>
      </c>
      <c r="AI177" s="58">
        <v>0</v>
      </c>
      <c r="AJ177" s="19">
        <v>1</v>
      </c>
      <c r="AK177" s="71">
        <f t="shared" si="56"/>
        <v>0.5</v>
      </c>
      <c r="AL177" s="18">
        <v>0</v>
      </c>
      <c r="AM177" s="71">
        <f t="shared" si="57"/>
        <v>0</v>
      </c>
      <c r="AN177" s="18">
        <v>0</v>
      </c>
      <c r="AO177" s="71">
        <f t="shared" si="58"/>
        <v>0</v>
      </c>
      <c r="AP177" s="18">
        <v>2</v>
      </c>
      <c r="AQ177" s="71">
        <f t="shared" si="59"/>
        <v>0.66666666666666663</v>
      </c>
      <c r="AR177" s="58">
        <v>2</v>
      </c>
      <c r="AS177" s="18">
        <v>2</v>
      </c>
      <c r="AT177" s="71">
        <f t="shared" si="60"/>
        <v>0.66666666666666663</v>
      </c>
      <c r="AU177" s="18">
        <v>2</v>
      </c>
      <c r="AV177" s="71">
        <f t="shared" si="61"/>
        <v>0.66666666666666663</v>
      </c>
      <c r="AW177" s="18">
        <v>0</v>
      </c>
      <c r="AX177" s="71">
        <f t="shared" si="62"/>
        <v>0</v>
      </c>
      <c r="AY177" s="18">
        <v>2</v>
      </c>
      <c r="AZ177" s="71">
        <f t="shared" si="63"/>
        <v>0.66666666666666663</v>
      </c>
      <c r="BA177" s="74">
        <v>0</v>
      </c>
      <c r="BB177" s="74">
        <v>1</v>
      </c>
      <c r="BC177" s="74">
        <v>0</v>
      </c>
      <c r="BD177" s="74">
        <v>0</v>
      </c>
      <c r="BE177" s="81">
        <f t="shared" si="64"/>
        <v>0.5774999999999999</v>
      </c>
      <c r="BF177" s="81" t="str">
        <f t="shared" si="65"/>
        <v>MEDIO</v>
      </c>
    </row>
    <row r="178" spans="1:58" x14ac:dyDescent="0.15">
      <c r="A178" s="57">
        <v>3</v>
      </c>
      <c r="B178" s="57">
        <v>2</v>
      </c>
      <c r="C178" s="57">
        <v>2</v>
      </c>
      <c r="D178" s="57">
        <v>2</v>
      </c>
      <c r="E178" s="58">
        <v>1</v>
      </c>
      <c r="F178" s="17">
        <v>2</v>
      </c>
      <c r="G178" s="64">
        <f t="shared" si="44"/>
        <v>1</v>
      </c>
      <c r="H178" s="17">
        <v>2</v>
      </c>
      <c r="I178" s="64">
        <f t="shared" si="45"/>
        <v>1</v>
      </c>
      <c r="J178" s="17">
        <v>0</v>
      </c>
      <c r="K178" s="64">
        <f t="shared" si="46"/>
        <v>0</v>
      </c>
      <c r="L178" s="17">
        <v>1</v>
      </c>
      <c r="M178" s="64">
        <f t="shared" si="47"/>
        <v>0.33333333333333331</v>
      </c>
      <c r="N178" s="17">
        <v>1</v>
      </c>
      <c r="O178" s="64">
        <f t="shared" si="48"/>
        <v>0.2</v>
      </c>
      <c r="P178" s="17">
        <v>0</v>
      </c>
      <c r="Q178" s="64">
        <f t="shared" si="49"/>
        <v>0</v>
      </c>
      <c r="R178" s="25">
        <v>2</v>
      </c>
      <c r="S178" s="71">
        <f t="shared" si="50"/>
        <v>0.66666666666666663</v>
      </c>
      <c r="T178" s="17">
        <v>1</v>
      </c>
      <c r="U178" s="64">
        <f t="shared" si="51"/>
        <v>0.33333333333333331</v>
      </c>
      <c r="V178" s="17">
        <v>4</v>
      </c>
      <c r="W178" s="71">
        <f t="shared" si="52"/>
        <v>1</v>
      </c>
      <c r="X178" s="17">
        <v>2</v>
      </c>
      <c r="Y178" s="71">
        <f t="shared" si="53"/>
        <v>0.66666666666666663</v>
      </c>
      <c r="Z178" s="17">
        <v>1</v>
      </c>
      <c r="AA178" s="71">
        <f t="shared" si="54"/>
        <v>0.33333333333333331</v>
      </c>
      <c r="AB178" s="17">
        <v>1</v>
      </c>
      <c r="AC178" s="71">
        <f t="shared" si="55"/>
        <v>0.5</v>
      </c>
      <c r="AD178" s="57">
        <v>1</v>
      </c>
      <c r="AE178" s="57">
        <v>0</v>
      </c>
      <c r="AF178" s="57">
        <v>1</v>
      </c>
      <c r="AG178" s="57">
        <v>0</v>
      </c>
      <c r="AH178" s="57">
        <v>0</v>
      </c>
      <c r="AI178" s="57">
        <v>0</v>
      </c>
      <c r="AJ178" s="20">
        <v>1</v>
      </c>
      <c r="AK178" s="71">
        <f t="shared" si="56"/>
        <v>0.5</v>
      </c>
      <c r="AL178" s="17">
        <v>2</v>
      </c>
      <c r="AM178" s="71">
        <f t="shared" si="57"/>
        <v>0.66666666666666663</v>
      </c>
      <c r="AN178" s="17">
        <v>1</v>
      </c>
      <c r="AO178" s="71">
        <f t="shared" si="58"/>
        <v>0.33333333333333331</v>
      </c>
      <c r="AP178" s="17">
        <v>1</v>
      </c>
      <c r="AQ178" s="71">
        <f t="shared" si="59"/>
        <v>0.33333333333333331</v>
      </c>
      <c r="AR178" s="57">
        <v>2</v>
      </c>
      <c r="AS178" s="17">
        <v>0</v>
      </c>
      <c r="AT178" s="71">
        <f t="shared" si="60"/>
        <v>0</v>
      </c>
      <c r="AU178" s="17">
        <v>0</v>
      </c>
      <c r="AV178" s="71">
        <f t="shared" si="61"/>
        <v>0</v>
      </c>
      <c r="AW178" s="17">
        <v>0</v>
      </c>
      <c r="AX178" s="71">
        <f t="shared" si="62"/>
        <v>0</v>
      </c>
      <c r="AY178" s="17">
        <v>2</v>
      </c>
      <c r="AZ178" s="71">
        <f t="shared" si="63"/>
        <v>0.66666666666666663</v>
      </c>
      <c r="BA178" s="73">
        <v>0</v>
      </c>
      <c r="BB178" s="73">
        <v>0</v>
      </c>
      <c r="BC178" s="73">
        <v>1</v>
      </c>
      <c r="BD178" s="73">
        <v>0</v>
      </c>
      <c r="BE178" s="81">
        <f t="shared" si="64"/>
        <v>0.47666666666666668</v>
      </c>
      <c r="BF178" s="81" t="str">
        <f t="shared" si="65"/>
        <v>MEDIO</v>
      </c>
    </row>
    <row r="179" spans="1:58" x14ac:dyDescent="0.15">
      <c r="A179" s="58">
        <v>3</v>
      </c>
      <c r="B179" s="58">
        <v>2</v>
      </c>
      <c r="C179" s="58">
        <v>1</v>
      </c>
      <c r="D179" s="58">
        <v>2</v>
      </c>
      <c r="E179" s="58">
        <v>1</v>
      </c>
      <c r="F179" s="18">
        <v>2</v>
      </c>
      <c r="G179" s="64">
        <f t="shared" si="44"/>
        <v>1</v>
      </c>
      <c r="H179" s="18">
        <v>1</v>
      </c>
      <c r="I179" s="64">
        <f t="shared" si="45"/>
        <v>0.5</v>
      </c>
      <c r="J179" s="18">
        <v>0</v>
      </c>
      <c r="K179" s="64">
        <f t="shared" si="46"/>
        <v>0</v>
      </c>
      <c r="L179" s="18">
        <v>3</v>
      </c>
      <c r="M179" s="64">
        <f t="shared" si="47"/>
        <v>1</v>
      </c>
      <c r="N179" s="18">
        <v>0</v>
      </c>
      <c r="O179" s="64">
        <f t="shared" si="48"/>
        <v>0</v>
      </c>
      <c r="P179" s="18">
        <v>0</v>
      </c>
      <c r="Q179" s="64">
        <f t="shared" si="49"/>
        <v>0</v>
      </c>
      <c r="R179" s="24">
        <v>2</v>
      </c>
      <c r="S179" s="71">
        <f t="shared" si="50"/>
        <v>0.66666666666666663</v>
      </c>
      <c r="T179" s="18">
        <v>2</v>
      </c>
      <c r="U179" s="64">
        <f t="shared" si="51"/>
        <v>0.66666666666666663</v>
      </c>
      <c r="V179" s="18">
        <v>3</v>
      </c>
      <c r="W179" s="71">
        <f t="shared" si="52"/>
        <v>0.75</v>
      </c>
      <c r="X179" s="18">
        <v>1</v>
      </c>
      <c r="Y179" s="71">
        <f t="shared" si="53"/>
        <v>0.33333333333333331</v>
      </c>
      <c r="Z179" s="18">
        <v>0</v>
      </c>
      <c r="AA179" s="71">
        <f t="shared" si="54"/>
        <v>0</v>
      </c>
      <c r="AB179" s="18">
        <v>2</v>
      </c>
      <c r="AC179" s="71">
        <f t="shared" si="55"/>
        <v>1</v>
      </c>
      <c r="AD179" s="58">
        <v>0</v>
      </c>
      <c r="AE179" s="58">
        <v>0</v>
      </c>
      <c r="AF179" s="58">
        <v>1</v>
      </c>
      <c r="AG179" s="58">
        <v>1</v>
      </c>
      <c r="AH179" s="58">
        <v>0</v>
      </c>
      <c r="AI179" s="58">
        <v>0</v>
      </c>
      <c r="AJ179" s="19">
        <v>1</v>
      </c>
      <c r="AK179" s="71">
        <f t="shared" si="56"/>
        <v>0.5</v>
      </c>
      <c r="AL179" s="18">
        <v>2</v>
      </c>
      <c r="AM179" s="71">
        <f t="shared" si="57"/>
        <v>0.66666666666666663</v>
      </c>
      <c r="AN179" s="18">
        <v>1</v>
      </c>
      <c r="AO179" s="71">
        <f t="shared" si="58"/>
        <v>0.33333333333333331</v>
      </c>
      <c r="AP179" s="18">
        <v>1</v>
      </c>
      <c r="AQ179" s="71">
        <f t="shared" si="59"/>
        <v>0.33333333333333331</v>
      </c>
      <c r="AR179" s="58">
        <v>1</v>
      </c>
      <c r="AS179" s="18">
        <v>0</v>
      </c>
      <c r="AT179" s="71">
        <f t="shared" si="60"/>
        <v>0</v>
      </c>
      <c r="AU179" s="18">
        <v>1</v>
      </c>
      <c r="AV179" s="71">
        <f t="shared" si="61"/>
        <v>0.33333333333333331</v>
      </c>
      <c r="AW179" s="18">
        <v>2</v>
      </c>
      <c r="AX179" s="71">
        <f t="shared" si="62"/>
        <v>1</v>
      </c>
      <c r="AY179" s="18">
        <v>0</v>
      </c>
      <c r="AZ179" s="71">
        <f t="shared" si="63"/>
        <v>0</v>
      </c>
      <c r="BA179" s="74">
        <v>0</v>
      </c>
      <c r="BB179" s="74">
        <v>0</v>
      </c>
      <c r="BC179" s="74">
        <v>1</v>
      </c>
      <c r="BD179" s="74">
        <v>0</v>
      </c>
      <c r="BE179" s="81">
        <f t="shared" si="64"/>
        <v>0.50416666666666676</v>
      </c>
      <c r="BF179" s="81" t="str">
        <f t="shared" si="65"/>
        <v>MEDIO</v>
      </c>
    </row>
    <row r="180" spans="1:58" x14ac:dyDescent="0.15">
      <c r="A180" s="57">
        <v>3</v>
      </c>
      <c r="B180" s="57">
        <v>2</v>
      </c>
      <c r="C180" s="57">
        <v>1</v>
      </c>
      <c r="D180" s="57">
        <v>2</v>
      </c>
      <c r="E180" s="58">
        <v>1</v>
      </c>
      <c r="F180" s="17">
        <v>1</v>
      </c>
      <c r="G180" s="64">
        <f t="shared" si="44"/>
        <v>0.5</v>
      </c>
      <c r="H180" s="17">
        <v>0</v>
      </c>
      <c r="I180" s="64">
        <f t="shared" si="45"/>
        <v>0</v>
      </c>
      <c r="J180" s="17">
        <v>1</v>
      </c>
      <c r="K180" s="64">
        <f t="shared" si="46"/>
        <v>0.5</v>
      </c>
      <c r="L180" s="17">
        <v>1</v>
      </c>
      <c r="M180" s="64">
        <f t="shared" si="47"/>
        <v>0.33333333333333331</v>
      </c>
      <c r="N180" s="17">
        <v>4</v>
      </c>
      <c r="O180" s="64">
        <f t="shared" si="48"/>
        <v>0.8</v>
      </c>
      <c r="P180" s="17">
        <v>3</v>
      </c>
      <c r="Q180" s="64">
        <f t="shared" si="49"/>
        <v>1</v>
      </c>
      <c r="R180" s="25">
        <v>0</v>
      </c>
      <c r="S180" s="71">
        <f t="shared" si="50"/>
        <v>0</v>
      </c>
      <c r="T180" s="17">
        <v>1</v>
      </c>
      <c r="U180" s="64">
        <f t="shared" si="51"/>
        <v>0.33333333333333331</v>
      </c>
      <c r="V180" s="17">
        <v>3</v>
      </c>
      <c r="W180" s="71">
        <f t="shared" si="52"/>
        <v>0.75</v>
      </c>
      <c r="X180" s="17">
        <v>0</v>
      </c>
      <c r="Y180" s="71">
        <f t="shared" si="53"/>
        <v>0</v>
      </c>
      <c r="Z180" s="17">
        <v>0</v>
      </c>
      <c r="AA180" s="71">
        <f t="shared" si="54"/>
        <v>0</v>
      </c>
      <c r="AB180" s="17">
        <v>3</v>
      </c>
      <c r="AC180" s="71">
        <f t="shared" si="55"/>
        <v>1.5</v>
      </c>
      <c r="AD180" s="57">
        <v>1</v>
      </c>
      <c r="AE180" s="57">
        <v>0</v>
      </c>
      <c r="AF180" s="57">
        <v>1</v>
      </c>
      <c r="AG180" s="57">
        <v>0</v>
      </c>
      <c r="AH180" s="57">
        <v>0</v>
      </c>
      <c r="AI180" s="57">
        <v>0</v>
      </c>
      <c r="AJ180" s="20">
        <v>1</v>
      </c>
      <c r="AK180" s="71">
        <f t="shared" si="56"/>
        <v>0.5</v>
      </c>
      <c r="AL180" s="17">
        <v>1</v>
      </c>
      <c r="AM180" s="71">
        <f t="shared" si="57"/>
        <v>0.33333333333333331</v>
      </c>
      <c r="AN180" s="17">
        <v>1</v>
      </c>
      <c r="AO180" s="71">
        <f t="shared" si="58"/>
        <v>0.33333333333333331</v>
      </c>
      <c r="AP180" s="17">
        <v>0</v>
      </c>
      <c r="AQ180" s="71">
        <f t="shared" si="59"/>
        <v>0</v>
      </c>
      <c r="AR180" s="57">
        <v>2</v>
      </c>
      <c r="AS180" s="17">
        <v>3</v>
      </c>
      <c r="AT180" s="71">
        <f t="shared" si="60"/>
        <v>1</v>
      </c>
      <c r="AU180" s="17">
        <v>2</v>
      </c>
      <c r="AV180" s="71">
        <f t="shared" si="61"/>
        <v>0.66666666666666663</v>
      </c>
      <c r="AW180" s="17">
        <v>1</v>
      </c>
      <c r="AX180" s="71">
        <f t="shared" si="62"/>
        <v>0.5</v>
      </c>
      <c r="AY180" s="17">
        <v>0</v>
      </c>
      <c r="AZ180" s="71">
        <f t="shared" si="63"/>
        <v>0</v>
      </c>
      <c r="BA180" s="73">
        <v>0</v>
      </c>
      <c r="BB180" s="73">
        <v>0</v>
      </c>
      <c r="BC180" s="73">
        <v>0</v>
      </c>
      <c r="BD180" s="73">
        <v>1</v>
      </c>
      <c r="BE180" s="81">
        <f t="shared" si="64"/>
        <v>0.47749999999999992</v>
      </c>
      <c r="BF180" s="81" t="str">
        <f t="shared" si="65"/>
        <v>MEDIO</v>
      </c>
    </row>
    <row r="181" spans="1:58" x14ac:dyDescent="0.15">
      <c r="A181" s="58">
        <v>2</v>
      </c>
      <c r="B181" s="58">
        <v>2</v>
      </c>
      <c r="C181" s="58">
        <v>0</v>
      </c>
      <c r="D181" s="58">
        <v>2</v>
      </c>
      <c r="E181" s="58">
        <v>1</v>
      </c>
      <c r="F181" s="18">
        <v>2</v>
      </c>
      <c r="G181" s="64">
        <f t="shared" si="44"/>
        <v>1</v>
      </c>
      <c r="H181" s="18">
        <v>1</v>
      </c>
      <c r="I181" s="64">
        <f t="shared" si="45"/>
        <v>0.5</v>
      </c>
      <c r="J181" s="18">
        <v>1</v>
      </c>
      <c r="K181" s="64">
        <f t="shared" si="46"/>
        <v>0.5</v>
      </c>
      <c r="L181" s="18">
        <v>2</v>
      </c>
      <c r="M181" s="64">
        <f t="shared" si="47"/>
        <v>0.66666666666666663</v>
      </c>
      <c r="N181" s="18">
        <v>1</v>
      </c>
      <c r="O181" s="64">
        <f t="shared" si="48"/>
        <v>0.2</v>
      </c>
      <c r="P181" s="18">
        <v>0</v>
      </c>
      <c r="Q181" s="64">
        <f t="shared" si="49"/>
        <v>0</v>
      </c>
      <c r="R181" s="24">
        <v>2</v>
      </c>
      <c r="S181" s="71">
        <f t="shared" si="50"/>
        <v>0.66666666666666663</v>
      </c>
      <c r="T181" s="18">
        <v>2</v>
      </c>
      <c r="U181" s="64">
        <f t="shared" si="51"/>
        <v>0.66666666666666663</v>
      </c>
      <c r="V181" s="18">
        <v>3</v>
      </c>
      <c r="W181" s="71">
        <f t="shared" si="52"/>
        <v>0.75</v>
      </c>
      <c r="X181" s="18">
        <v>2</v>
      </c>
      <c r="Y181" s="71">
        <f t="shared" si="53"/>
        <v>0.66666666666666663</v>
      </c>
      <c r="Z181" s="18">
        <v>3</v>
      </c>
      <c r="AA181" s="71">
        <f t="shared" si="54"/>
        <v>1</v>
      </c>
      <c r="AB181" s="18">
        <v>2</v>
      </c>
      <c r="AC181" s="71">
        <f t="shared" si="55"/>
        <v>1</v>
      </c>
      <c r="AD181" s="58">
        <v>1</v>
      </c>
      <c r="AE181" s="58">
        <v>0</v>
      </c>
      <c r="AF181" s="58">
        <v>1</v>
      </c>
      <c r="AG181" s="58">
        <v>0</v>
      </c>
      <c r="AH181" s="58">
        <v>0</v>
      </c>
      <c r="AI181" s="58">
        <v>0</v>
      </c>
      <c r="AJ181" s="19">
        <v>0</v>
      </c>
      <c r="AK181" s="71">
        <f t="shared" si="56"/>
        <v>0</v>
      </c>
      <c r="AL181" s="18">
        <v>2</v>
      </c>
      <c r="AM181" s="71">
        <f t="shared" si="57"/>
        <v>0.66666666666666663</v>
      </c>
      <c r="AN181" s="18">
        <v>0</v>
      </c>
      <c r="AO181" s="71">
        <f t="shared" si="58"/>
        <v>0</v>
      </c>
      <c r="AP181" s="18">
        <v>0</v>
      </c>
      <c r="AQ181" s="71">
        <f t="shared" si="59"/>
        <v>0</v>
      </c>
      <c r="AR181" s="58">
        <v>3</v>
      </c>
      <c r="AS181" s="18">
        <v>0</v>
      </c>
      <c r="AT181" s="71">
        <f t="shared" si="60"/>
        <v>0</v>
      </c>
      <c r="AU181" s="18">
        <v>0</v>
      </c>
      <c r="AV181" s="71">
        <f t="shared" si="61"/>
        <v>0</v>
      </c>
      <c r="AW181" s="18">
        <v>0</v>
      </c>
      <c r="AX181" s="71">
        <f t="shared" si="62"/>
        <v>0</v>
      </c>
      <c r="AY181" s="18">
        <v>0</v>
      </c>
      <c r="AZ181" s="71">
        <f t="shared" si="63"/>
        <v>0</v>
      </c>
      <c r="BA181" s="74">
        <v>1</v>
      </c>
      <c r="BB181" s="74">
        <v>0</v>
      </c>
      <c r="BC181" s="74">
        <v>1</v>
      </c>
      <c r="BD181" s="74">
        <v>0</v>
      </c>
      <c r="BE181" s="81">
        <f t="shared" si="64"/>
        <v>0.46416666666666667</v>
      </c>
      <c r="BF181" s="81" t="str">
        <f t="shared" si="65"/>
        <v>MEDIO</v>
      </c>
    </row>
    <row r="182" spans="1:58" x14ac:dyDescent="0.15">
      <c r="A182" s="57">
        <v>4</v>
      </c>
      <c r="B182" s="57">
        <v>1</v>
      </c>
      <c r="C182" s="57">
        <v>1</v>
      </c>
      <c r="D182" s="57">
        <v>1</v>
      </c>
      <c r="E182" s="58">
        <v>1</v>
      </c>
      <c r="F182" s="17">
        <v>0</v>
      </c>
      <c r="G182" s="64">
        <f t="shared" si="44"/>
        <v>0</v>
      </c>
      <c r="H182" s="17">
        <v>1</v>
      </c>
      <c r="I182" s="64">
        <f t="shared" si="45"/>
        <v>0.5</v>
      </c>
      <c r="J182" s="17">
        <v>1</v>
      </c>
      <c r="K182" s="64">
        <f t="shared" si="46"/>
        <v>0.5</v>
      </c>
      <c r="L182" s="17">
        <v>3</v>
      </c>
      <c r="M182" s="64">
        <f t="shared" si="47"/>
        <v>1</v>
      </c>
      <c r="N182" s="17">
        <v>1</v>
      </c>
      <c r="O182" s="64">
        <f t="shared" si="48"/>
        <v>0.2</v>
      </c>
      <c r="P182" s="17">
        <v>3</v>
      </c>
      <c r="Q182" s="64">
        <f t="shared" si="49"/>
        <v>1</v>
      </c>
      <c r="R182" s="25">
        <v>0</v>
      </c>
      <c r="S182" s="71">
        <f t="shared" si="50"/>
        <v>0</v>
      </c>
      <c r="T182" s="17">
        <v>1</v>
      </c>
      <c r="U182" s="64">
        <f t="shared" si="51"/>
        <v>0.33333333333333331</v>
      </c>
      <c r="V182" s="17">
        <v>3</v>
      </c>
      <c r="W182" s="71">
        <f t="shared" si="52"/>
        <v>0.75</v>
      </c>
      <c r="X182" s="17">
        <v>1</v>
      </c>
      <c r="Y182" s="71">
        <f t="shared" si="53"/>
        <v>0.33333333333333331</v>
      </c>
      <c r="Z182" s="17">
        <v>1</v>
      </c>
      <c r="AA182" s="71">
        <f t="shared" si="54"/>
        <v>0.33333333333333331</v>
      </c>
      <c r="AB182" s="17">
        <v>0</v>
      </c>
      <c r="AC182" s="71">
        <f t="shared" si="55"/>
        <v>0</v>
      </c>
      <c r="AD182" s="57">
        <v>1</v>
      </c>
      <c r="AE182" s="57">
        <v>0</v>
      </c>
      <c r="AF182" s="57">
        <v>1</v>
      </c>
      <c r="AG182" s="57">
        <v>0</v>
      </c>
      <c r="AH182" s="57">
        <v>0</v>
      </c>
      <c r="AI182" s="57">
        <v>0</v>
      </c>
      <c r="AJ182" s="20">
        <v>1</v>
      </c>
      <c r="AK182" s="71">
        <f t="shared" si="56"/>
        <v>0.5</v>
      </c>
      <c r="AL182" s="17">
        <v>2</v>
      </c>
      <c r="AM182" s="71">
        <f t="shared" si="57"/>
        <v>0.66666666666666663</v>
      </c>
      <c r="AN182" s="17">
        <v>1</v>
      </c>
      <c r="AO182" s="71">
        <f t="shared" si="58"/>
        <v>0.33333333333333331</v>
      </c>
      <c r="AP182" s="17">
        <v>1</v>
      </c>
      <c r="AQ182" s="71">
        <f t="shared" si="59"/>
        <v>0.33333333333333331</v>
      </c>
      <c r="AR182" s="57">
        <v>0</v>
      </c>
      <c r="AS182" s="17">
        <v>0</v>
      </c>
      <c r="AT182" s="71">
        <f t="shared" si="60"/>
        <v>0</v>
      </c>
      <c r="AU182" s="17">
        <v>0</v>
      </c>
      <c r="AV182" s="71">
        <f t="shared" si="61"/>
        <v>0</v>
      </c>
      <c r="AW182" s="17">
        <v>1</v>
      </c>
      <c r="AX182" s="71">
        <f t="shared" si="62"/>
        <v>0.5</v>
      </c>
      <c r="AY182" s="17">
        <v>3</v>
      </c>
      <c r="AZ182" s="71">
        <f t="shared" si="63"/>
        <v>1</v>
      </c>
      <c r="BA182" s="73">
        <v>1</v>
      </c>
      <c r="BB182" s="73">
        <v>0</v>
      </c>
      <c r="BC182" s="73">
        <v>1</v>
      </c>
      <c r="BD182" s="73">
        <v>0</v>
      </c>
      <c r="BE182" s="81">
        <f t="shared" si="64"/>
        <v>0.41416666666666657</v>
      </c>
      <c r="BF182" s="81" t="str">
        <f t="shared" si="65"/>
        <v>MEDIO</v>
      </c>
    </row>
    <row r="183" spans="1:58" x14ac:dyDescent="0.15">
      <c r="A183" s="58">
        <v>4</v>
      </c>
      <c r="B183" s="58">
        <v>1</v>
      </c>
      <c r="C183" s="58">
        <v>3</v>
      </c>
      <c r="D183" s="58">
        <v>2</v>
      </c>
      <c r="E183" s="58">
        <v>1</v>
      </c>
      <c r="F183" s="18">
        <v>2</v>
      </c>
      <c r="G183" s="64">
        <f t="shared" si="44"/>
        <v>1</v>
      </c>
      <c r="H183" s="18">
        <v>2</v>
      </c>
      <c r="I183" s="64">
        <f t="shared" si="45"/>
        <v>1</v>
      </c>
      <c r="J183" s="18">
        <v>0</v>
      </c>
      <c r="K183" s="64">
        <f t="shared" si="46"/>
        <v>0</v>
      </c>
      <c r="L183" s="18">
        <v>0</v>
      </c>
      <c r="M183" s="64">
        <f t="shared" si="47"/>
        <v>0</v>
      </c>
      <c r="N183" s="18">
        <v>5</v>
      </c>
      <c r="O183" s="64">
        <f t="shared" si="48"/>
        <v>1</v>
      </c>
      <c r="P183" s="18">
        <v>0</v>
      </c>
      <c r="Q183" s="64">
        <f t="shared" si="49"/>
        <v>0</v>
      </c>
      <c r="R183" s="24">
        <v>0</v>
      </c>
      <c r="S183" s="71">
        <f t="shared" si="50"/>
        <v>0</v>
      </c>
      <c r="T183" s="18">
        <v>0</v>
      </c>
      <c r="U183" s="64">
        <f t="shared" si="51"/>
        <v>0</v>
      </c>
      <c r="V183" s="18">
        <v>3</v>
      </c>
      <c r="W183" s="71">
        <f t="shared" si="52"/>
        <v>0.75</v>
      </c>
      <c r="X183" s="18">
        <v>0</v>
      </c>
      <c r="Y183" s="71">
        <f t="shared" si="53"/>
        <v>0</v>
      </c>
      <c r="Z183" s="18">
        <v>0</v>
      </c>
      <c r="AA183" s="71">
        <f t="shared" si="54"/>
        <v>0</v>
      </c>
      <c r="AB183" s="18">
        <v>2</v>
      </c>
      <c r="AC183" s="71">
        <f t="shared" si="55"/>
        <v>1</v>
      </c>
      <c r="AD183" s="58">
        <v>0</v>
      </c>
      <c r="AE183" s="58">
        <v>0</v>
      </c>
      <c r="AF183" s="58">
        <v>1</v>
      </c>
      <c r="AG183" s="58">
        <v>1</v>
      </c>
      <c r="AH183" s="58">
        <v>0</v>
      </c>
      <c r="AI183" s="58">
        <v>0</v>
      </c>
      <c r="AJ183" s="19">
        <v>1</v>
      </c>
      <c r="AK183" s="71">
        <f t="shared" si="56"/>
        <v>0.5</v>
      </c>
      <c r="AL183" s="18">
        <v>0</v>
      </c>
      <c r="AM183" s="71">
        <f t="shared" si="57"/>
        <v>0</v>
      </c>
      <c r="AN183" s="18">
        <v>0</v>
      </c>
      <c r="AO183" s="71">
        <f t="shared" si="58"/>
        <v>0</v>
      </c>
      <c r="AP183" s="18">
        <v>0</v>
      </c>
      <c r="AQ183" s="71">
        <f t="shared" si="59"/>
        <v>0</v>
      </c>
      <c r="AR183" s="58">
        <v>0</v>
      </c>
      <c r="AS183" s="18">
        <v>3</v>
      </c>
      <c r="AT183" s="71">
        <f t="shared" si="60"/>
        <v>1</v>
      </c>
      <c r="AU183" s="18">
        <v>3</v>
      </c>
      <c r="AV183" s="71">
        <f t="shared" si="61"/>
        <v>1</v>
      </c>
      <c r="AW183" s="18">
        <v>2</v>
      </c>
      <c r="AX183" s="71">
        <f t="shared" si="62"/>
        <v>1</v>
      </c>
      <c r="AY183" s="18">
        <v>2</v>
      </c>
      <c r="AZ183" s="71">
        <f t="shared" si="63"/>
        <v>0.66666666666666663</v>
      </c>
      <c r="BA183" s="74">
        <v>0</v>
      </c>
      <c r="BB183" s="74">
        <v>0</v>
      </c>
      <c r="BC183" s="74">
        <v>1</v>
      </c>
      <c r="BD183" s="74">
        <v>0</v>
      </c>
      <c r="BE183" s="81">
        <f t="shared" si="64"/>
        <v>0.49583333333333329</v>
      </c>
      <c r="BF183" s="81" t="str">
        <f t="shared" si="65"/>
        <v>MEDIO</v>
      </c>
    </row>
    <row r="184" spans="1:58" x14ac:dyDescent="0.15">
      <c r="A184" s="57">
        <v>5</v>
      </c>
      <c r="B184" s="57">
        <v>2</v>
      </c>
      <c r="C184" s="57">
        <v>1</v>
      </c>
      <c r="D184" s="57">
        <v>2</v>
      </c>
      <c r="E184" s="58">
        <v>1</v>
      </c>
      <c r="F184" s="17">
        <v>0</v>
      </c>
      <c r="G184" s="64">
        <f t="shared" si="44"/>
        <v>0</v>
      </c>
      <c r="H184" s="17">
        <v>0</v>
      </c>
      <c r="I184" s="64">
        <f t="shared" si="45"/>
        <v>0</v>
      </c>
      <c r="J184" s="17">
        <v>1</v>
      </c>
      <c r="K184" s="64">
        <f t="shared" si="46"/>
        <v>0.5</v>
      </c>
      <c r="L184" s="17">
        <v>1</v>
      </c>
      <c r="M184" s="64">
        <f t="shared" si="47"/>
        <v>0.33333333333333331</v>
      </c>
      <c r="N184" s="17">
        <v>4</v>
      </c>
      <c r="O184" s="64">
        <f t="shared" si="48"/>
        <v>0.8</v>
      </c>
      <c r="P184" s="17">
        <v>2</v>
      </c>
      <c r="Q184" s="64">
        <f t="shared" si="49"/>
        <v>0.66666666666666663</v>
      </c>
      <c r="R184" s="25">
        <v>2</v>
      </c>
      <c r="S184" s="71">
        <f t="shared" si="50"/>
        <v>0.66666666666666663</v>
      </c>
      <c r="T184" s="17">
        <v>1</v>
      </c>
      <c r="U184" s="64">
        <f t="shared" si="51"/>
        <v>0.33333333333333331</v>
      </c>
      <c r="V184" s="17">
        <v>3</v>
      </c>
      <c r="W184" s="71">
        <f t="shared" si="52"/>
        <v>0.75</v>
      </c>
      <c r="X184" s="17">
        <v>2</v>
      </c>
      <c r="Y184" s="71">
        <f t="shared" si="53"/>
        <v>0.66666666666666663</v>
      </c>
      <c r="Z184" s="17">
        <v>0</v>
      </c>
      <c r="AA184" s="71">
        <f t="shared" si="54"/>
        <v>0</v>
      </c>
      <c r="AB184" s="17">
        <v>2</v>
      </c>
      <c r="AC184" s="71">
        <f t="shared" si="55"/>
        <v>1</v>
      </c>
      <c r="AD184" s="57">
        <v>1</v>
      </c>
      <c r="AE184" s="57">
        <v>0</v>
      </c>
      <c r="AF184" s="57">
        <v>1</v>
      </c>
      <c r="AG184" s="57">
        <v>0</v>
      </c>
      <c r="AH184" s="57">
        <v>0</v>
      </c>
      <c r="AI184" s="57">
        <v>0</v>
      </c>
      <c r="AJ184" s="20">
        <v>1</v>
      </c>
      <c r="AK184" s="71">
        <f t="shared" si="56"/>
        <v>0.5</v>
      </c>
      <c r="AL184" s="17">
        <v>1</v>
      </c>
      <c r="AM184" s="71">
        <f t="shared" si="57"/>
        <v>0.33333333333333331</v>
      </c>
      <c r="AN184" s="17">
        <v>1</v>
      </c>
      <c r="AO184" s="71">
        <f t="shared" si="58"/>
        <v>0.33333333333333331</v>
      </c>
      <c r="AP184" s="17">
        <v>2</v>
      </c>
      <c r="AQ184" s="71">
        <f t="shared" si="59"/>
        <v>0.66666666666666663</v>
      </c>
      <c r="AR184" s="57">
        <v>2</v>
      </c>
      <c r="AS184" s="17">
        <v>0</v>
      </c>
      <c r="AT184" s="71">
        <f t="shared" si="60"/>
        <v>0</v>
      </c>
      <c r="AU184" s="17">
        <v>2</v>
      </c>
      <c r="AV184" s="71">
        <f t="shared" si="61"/>
        <v>0.66666666666666663</v>
      </c>
      <c r="AW184" s="17">
        <v>1</v>
      </c>
      <c r="AX184" s="71">
        <f t="shared" si="62"/>
        <v>0.5</v>
      </c>
      <c r="AY184" s="17">
        <v>3</v>
      </c>
      <c r="AZ184" s="71">
        <f t="shared" si="63"/>
        <v>1</v>
      </c>
      <c r="BA184" s="73">
        <v>1</v>
      </c>
      <c r="BB184" s="73">
        <v>1</v>
      </c>
      <c r="BC184" s="73">
        <v>0</v>
      </c>
      <c r="BD184" s="73">
        <v>0</v>
      </c>
      <c r="BE184" s="81">
        <f t="shared" si="64"/>
        <v>0.48583333333333334</v>
      </c>
      <c r="BF184" s="81" t="str">
        <f t="shared" si="65"/>
        <v>MEDIO</v>
      </c>
    </row>
    <row r="185" spans="1:58" x14ac:dyDescent="0.15">
      <c r="A185" s="58">
        <v>2</v>
      </c>
      <c r="B185" s="58">
        <v>2</v>
      </c>
      <c r="C185" s="58">
        <v>0</v>
      </c>
      <c r="D185" s="58">
        <v>2</v>
      </c>
      <c r="E185" s="58">
        <v>1</v>
      </c>
      <c r="F185" s="18">
        <v>1</v>
      </c>
      <c r="G185" s="64">
        <f t="shared" si="44"/>
        <v>0.5</v>
      </c>
      <c r="H185" s="18">
        <v>2</v>
      </c>
      <c r="I185" s="64">
        <f t="shared" si="45"/>
        <v>1</v>
      </c>
      <c r="J185" s="18">
        <v>1</v>
      </c>
      <c r="K185" s="64">
        <f t="shared" si="46"/>
        <v>0.5</v>
      </c>
      <c r="L185" s="18">
        <v>1</v>
      </c>
      <c r="M185" s="64">
        <f t="shared" si="47"/>
        <v>0.33333333333333331</v>
      </c>
      <c r="N185" s="18">
        <v>1</v>
      </c>
      <c r="O185" s="64">
        <f t="shared" si="48"/>
        <v>0.2</v>
      </c>
      <c r="P185" s="18">
        <v>3</v>
      </c>
      <c r="Q185" s="64">
        <f t="shared" si="49"/>
        <v>1</v>
      </c>
      <c r="R185" s="24">
        <v>0</v>
      </c>
      <c r="S185" s="71">
        <f t="shared" si="50"/>
        <v>0</v>
      </c>
      <c r="T185" s="18">
        <v>2</v>
      </c>
      <c r="U185" s="64">
        <f t="shared" si="51"/>
        <v>0.66666666666666663</v>
      </c>
      <c r="V185" s="18">
        <v>3</v>
      </c>
      <c r="W185" s="71">
        <f t="shared" si="52"/>
        <v>0.75</v>
      </c>
      <c r="X185" s="18">
        <v>2</v>
      </c>
      <c r="Y185" s="71">
        <f t="shared" si="53"/>
        <v>0.66666666666666663</v>
      </c>
      <c r="Z185" s="18">
        <v>3</v>
      </c>
      <c r="AA185" s="71">
        <f t="shared" si="54"/>
        <v>1</v>
      </c>
      <c r="AB185" s="18">
        <v>1</v>
      </c>
      <c r="AC185" s="71">
        <f t="shared" si="55"/>
        <v>0.5</v>
      </c>
      <c r="AD185" s="58">
        <v>1</v>
      </c>
      <c r="AE185" s="58">
        <v>0</v>
      </c>
      <c r="AF185" s="58">
        <v>1</v>
      </c>
      <c r="AG185" s="58">
        <v>0</v>
      </c>
      <c r="AH185" s="58">
        <v>0</v>
      </c>
      <c r="AI185" s="58">
        <v>0</v>
      </c>
      <c r="AJ185" s="19">
        <v>1</v>
      </c>
      <c r="AK185" s="71">
        <f t="shared" si="56"/>
        <v>0.5</v>
      </c>
      <c r="AL185" s="18">
        <v>1</v>
      </c>
      <c r="AM185" s="71">
        <f t="shared" si="57"/>
        <v>0.33333333333333331</v>
      </c>
      <c r="AN185" s="18">
        <v>1</v>
      </c>
      <c r="AO185" s="71">
        <f t="shared" si="58"/>
        <v>0.33333333333333331</v>
      </c>
      <c r="AP185" s="18">
        <v>2</v>
      </c>
      <c r="AQ185" s="71">
        <f t="shared" si="59"/>
        <v>0.66666666666666663</v>
      </c>
      <c r="AR185" s="58">
        <v>3</v>
      </c>
      <c r="AS185" s="18">
        <v>2</v>
      </c>
      <c r="AT185" s="71">
        <f t="shared" si="60"/>
        <v>0.66666666666666663</v>
      </c>
      <c r="AU185" s="18">
        <v>2</v>
      </c>
      <c r="AV185" s="71">
        <f t="shared" si="61"/>
        <v>0.66666666666666663</v>
      </c>
      <c r="AW185" s="18">
        <v>1</v>
      </c>
      <c r="AX185" s="71">
        <f t="shared" si="62"/>
        <v>0.5</v>
      </c>
      <c r="AY185" s="18">
        <v>1</v>
      </c>
      <c r="AZ185" s="71">
        <f t="shared" si="63"/>
        <v>0.33333333333333331</v>
      </c>
      <c r="BA185" s="74">
        <v>1</v>
      </c>
      <c r="BB185" s="74">
        <v>0</v>
      </c>
      <c r="BC185" s="74">
        <v>1</v>
      </c>
      <c r="BD185" s="74">
        <v>0</v>
      </c>
      <c r="BE185" s="81">
        <f t="shared" si="64"/>
        <v>0.58083333333333331</v>
      </c>
      <c r="BF185" s="81" t="str">
        <f t="shared" si="65"/>
        <v>MEDIO</v>
      </c>
    </row>
    <row r="186" spans="1:58" x14ac:dyDescent="0.15">
      <c r="A186" s="57">
        <v>4</v>
      </c>
      <c r="B186" s="57">
        <v>2</v>
      </c>
      <c r="C186" s="57">
        <v>1</v>
      </c>
      <c r="D186" s="57">
        <v>0</v>
      </c>
      <c r="E186" s="58">
        <v>1</v>
      </c>
      <c r="F186" s="17">
        <v>1</v>
      </c>
      <c r="G186" s="64">
        <f t="shared" si="44"/>
        <v>0.5</v>
      </c>
      <c r="H186" s="17">
        <v>2</v>
      </c>
      <c r="I186" s="64">
        <f t="shared" si="45"/>
        <v>1</v>
      </c>
      <c r="J186" s="17">
        <v>2</v>
      </c>
      <c r="K186" s="64">
        <f t="shared" si="46"/>
        <v>1</v>
      </c>
      <c r="L186" s="17">
        <v>3</v>
      </c>
      <c r="M186" s="64">
        <f t="shared" si="47"/>
        <v>1</v>
      </c>
      <c r="N186" s="17">
        <v>4</v>
      </c>
      <c r="O186" s="64">
        <f t="shared" si="48"/>
        <v>0.8</v>
      </c>
      <c r="P186" s="17">
        <v>1</v>
      </c>
      <c r="Q186" s="64">
        <f t="shared" si="49"/>
        <v>0.33333333333333331</v>
      </c>
      <c r="R186" s="25">
        <v>3</v>
      </c>
      <c r="S186" s="71">
        <f t="shared" si="50"/>
        <v>1</v>
      </c>
      <c r="T186" s="17">
        <v>3</v>
      </c>
      <c r="U186" s="64">
        <f t="shared" si="51"/>
        <v>1</v>
      </c>
      <c r="V186" s="17">
        <v>2</v>
      </c>
      <c r="W186" s="71">
        <f t="shared" si="52"/>
        <v>0.5</v>
      </c>
      <c r="X186" s="17">
        <v>3</v>
      </c>
      <c r="Y186" s="71">
        <f t="shared" si="53"/>
        <v>1</v>
      </c>
      <c r="Z186" s="17">
        <v>3</v>
      </c>
      <c r="AA186" s="71">
        <f t="shared" si="54"/>
        <v>1</v>
      </c>
      <c r="AB186" s="17">
        <v>0</v>
      </c>
      <c r="AC186" s="71">
        <f t="shared" si="55"/>
        <v>0</v>
      </c>
      <c r="AD186" s="57">
        <v>0</v>
      </c>
      <c r="AE186" s="57">
        <v>1</v>
      </c>
      <c r="AF186" s="57">
        <v>1</v>
      </c>
      <c r="AG186" s="57">
        <v>0</v>
      </c>
      <c r="AH186" s="57">
        <v>0</v>
      </c>
      <c r="AI186" s="57">
        <v>0</v>
      </c>
      <c r="AJ186" s="20">
        <v>2</v>
      </c>
      <c r="AK186" s="71">
        <f t="shared" si="56"/>
        <v>1</v>
      </c>
      <c r="AL186" s="17">
        <v>1</v>
      </c>
      <c r="AM186" s="71">
        <f t="shared" si="57"/>
        <v>0.33333333333333331</v>
      </c>
      <c r="AN186" s="17">
        <v>3</v>
      </c>
      <c r="AO186" s="71">
        <f t="shared" si="58"/>
        <v>1</v>
      </c>
      <c r="AP186" s="17">
        <v>3</v>
      </c>
      <c r="AQ186" s="71">
        <f t="shared" si="59"/>
        <v>1</v>
      </c>
      <c r="AR186" s="57">
        <v>2</v>
      </c>
      <c r="AS186" s="17">
        <v>2</v>
      </c>
      <c r="AT186" s="71">
        <f t="shared" si="60"/>
        <v>0.66666666666666663</v>
      </c>
      <c r="AU186" s="17">
        <v>3</v>
      </c>
      <c r="AV186" s="71">
        <f t="shared" si="61"/>
        <v>1</v>
      </c>
      <c r="AW186" s="17">
        <v>1</v>
      </c>
      <c r="AX186" s="71">
        <f t="shared" si="62"/>
        <v>0.5</v>
      </c>
      <c r="AY186" s="17">
        <v>3</v>
      </c>
      <c r="AZ186" s="71">
        <f t="shared" si="63"/>
        <v>1</v>
      </c>
      <c r="BA186" s="73">
        <v>1</v>
      </c>
      <c r="BB186" s="73">
        <v>1</v>
      </c>
      <c r="BC186" s="73">
        <v>0</v>
      </c>
      <c r="BD186" s="73">
        <v>0</v>
      </c>
      <c r="BE186" s="81">
        <f t="shared" si="64"/>
        <v>0.80666666666666664</v>
      </c>
      <c r="BF186" s="81" t="str">
        <f t="shared" si="65"/>
        <v>ALTO</v>
      </c>
    </row>
    <row r="187" spans="1:58" x14ac:dyDescent="0.15">
      <c r="A187" s="58">
        <v>4</v>
      </c>
      <c r="B187" s="58">
        <v>1</v>
      </c>
      <c r="C187" s="58">
        <v>4</v>
      </c>
      <c r="D187" s="58">
        <v>3</v>
      </c>
      <c r="E187" s="58">
        <v>0</v>
      </c>
      <c r="F187" s="18">
        <v>2</v>
      </c>
      <c r="G187" s="64">
        <f t="shared" si="44"/>
        <v>1</v>
      </c>
      <c r="H187" s="18">
        <v>1</v>
      </c>
      <c r="I187" s="64">
        <f t="shared" si="45"/>
        <v>0.5</v>
      </c>
      <c r="J187" s="18">
        <v>1</v>
      </c>
      <c r="K187" s="64">
        <f t="shared" si="46"/>
        <v>0.5</v>
      </c>
      <c r="L187" s="18">
        <v>2</v>
      </c>
      <c r="M187" s="64">
        <f t="shared" si="47"/>
        <v>0.66666666666666663</v>
      </c>
      <c r="N187" s="18">
        <v>4</v>
      </c>
      <c r="O187" s="64">
        <f t="shared" si="48"/>
        <v>0.8</v>
      </c>
      <c r="P187" s="18">
        <v>0</v>
      </c>
      <c r="Q187" s="64">
        <f t="shared" si="49"/>
        <v>0</v>
      </c>
      <c r="R187" s="24">
        <v>3</v>
      </c>
      <c r="S187" s="71">
        <f t="shared" si="50"/>
        <v>1</v>
      </c>
      <c r="T187" s="18">
        <v>2</v>
      </c>
      <c r="U187" s="64">
        <f t="shared" si="51"/>
        <v>0.66666666666666663</v>
      </c>
      <c r="V187" s="18">
        <v>3</v>
      </c>
      <c r="W187" s="71">
        <f t="shared" si="52"/>
        <v>0.75</v>
      </c>
      <c r="X187" s="18">
        <v>3</v>
      </c>
      <c r="Y187" s="71">
        <f t="shared" si="53"/>
        <v>1</v>
      </c>
      <c r="Z187" s="18">
        <v>3</v>
      </c>
      <c r="AA187" s="71">
        <f t="shared" si="54"/>
        <v>1</v>
      </c>
      <c r="AB187" s="18">
        <v>2</v>
      </c>
      <c r="AC187" s="71">
        <f t="shared" si="55"/>
        <v>1</v>
      </c>
      <c r="AD187" s="58">
        <v>1</v>
      </c>
      <c r="AE187" s="58">
        <v>0</v>
      </c>
      <c r="AF187" s="58">
        <v>0</v>
      </c>
      <c r="AG187" s="58">
        <v>1</v>
      </c>
      <c r="AH187" s="58">
        <v>0</v>
      </c>
      <c r="AI187" s="58">
        <v>0</v>
      </c>
      <c r="AJ187" s="19">
        <v>1</v>
      </c>
      <c r="AK187" s="71">
        <f t="shared" si="56"/>
        <v>0.5</v>
      </c>
      <c r="AL187" s="18">
        <v>1</v>
      </c>
      <c r="AM187" s="71">
        <f t="shared" si="57"/>
        <v>0.33333333333333331</v>
      </c>
      <c r="AN187" s="18">
        <v>1</v>
      </c>
      <c r="AO187" s="71">
        <f t="shared" si="58"/>
        <v>0.33333333333333331</v>
      </c>
      <c r="AP187" s="18">
        <v>3</v>
      </c>
      <c r="AQ187" s="71">
        <f t="shared" si="59"/>
        <v>1</v>
      </c>
      <c r="AR187" s="58">
        <v>2</v>
      </c>
      <c r="AS187" s="18">
        <v>2</v>
      </c>
      <c r="AT187" s="71">
        <f t="shared" si="60"/>
        <v>0.66666666666666663</v>
      </c>
      <c r="AU187" s="18">
        <v>2</v>
      </c>
      <c r="AV187" s="71">
        <f t="shared" si="61"/>
        <v>0.66666666666666663</v>
      </c>
      <c r="AW187" s="18">
        <v>1</v>
      </c>
      <c r="AX187" s="71">
        <f t="shared" si="62"/>
        <v>0.5</v>
      </c>
      <c r="AY187" s="18">
        <v>1</v>
      </c>
      <c r="AZ187" s="71">
        <f t="shared" si="63"/>
        <v>0.33333333333333331</v>
      </c>
      <c r="BA187" s="74">
        <v>1</v>
      </c>
      <c r="BB187" s="74">
        <v>1</v>
      </c>
      <c r="BC187" s="74">
        <v>0</v>
      </c>
      <c r="BD187" s="74">
        <v>0</v>
      </c>
      <c r="BE187" s="81">
        <f t="shared" si="64"/>
        <v>0.71083333333333332</v>
      </c>
      <c r="BF187" s="81" t="str">
        <f t="shared" si="65"/>
        <v>ALTO</v>
      </c>
    </row>
    <row r="188" spans="1:58" x14ac:dyDescent="0.15">
      <c r="A188" s="57">
        <v>2</v>
      </c>
      <c r="B188" s="57">
        <v>1</v>
      </c>
      <c r="C188" s="57">
        <v>2</v>
      </c>
      <c r="D188" s="57">
        <v>1</v>
      </c>
      <c r="E188" s="60">
        <v>1</v>
      </c>
      <c r="F188" s="17">
        <v>2</v>
      </c>
      <c r="G188" s="64">
        <f t="shared" si="44"/>
        <v>1</v>
      </c>
      <c r="H188" s="17">
        <v>1</v>
      </c>
      <c r="I188" s="64">
        <f t="shared" si="45"/>
        <v>0.5</v>
      </c>
      <c r="J188" s="17">
        <v>1</v>
      </c>
      <c r="K188" s="64">
        <f t="shared" si="46"/>
        <v>0.5</v>
      </c>
      <c r="L188" s="17">
        <v>1</v>
      </c>
      <c r="M188" s="64">
        <f t="shared" si="47"/>
        <v>0.33333333333333331</v>
      </c>
      <c r="N188" s="17">
        <v>4</v>
      </c>
      <c r="O188" s="64">
        <f t="shared" si="48"/>
        <v>0.8</v>
      </c>
      <c r="P188" s="17">
        <v>0</v>
      </c>
      <c r="Q188" s="64">
        <f t="shared" si="49"/>
        <v>0</v>
      </c>
      <c r="R188" s="25">
        <v>0</v>
      </c>
      <c r="S188" s="71">
        <f t="shared" si="50"/>
        <v>0</v>
      </c>
      <c r="T188" s="17">
        <v>1</v>
      </c>
      <c r="U188" s="64">
        <f t="shared" si="51"/>
        <v>0.33333333333333331</v>
      </c>
      <c r="V188" s="17">
        <v>0</v>
      </c>
      <c r="W188" s="71">
        <f t="shared" si="52"/>
        <v>0</v>
      </c>
      <c r="X188" s="17">
        <v>0</v>
      </c>
      <c r="Y188" s="71">
        <f t="shared" si="53"/>
        <v>0</v>
      </c>
      <c r="Z188" s="17">
        <v>1</v>
      </c>
      <c r="AA188" s="71">
        <f t="shared" si="54"/>
        <v>0.33333333333333331</v>
      </c>
      <c r="AB188" s="17">
        <v>2</v>
      </c>
      <c r="AC188" s="71">
        <f t="shared" si="55"/>
        <v>1</v>
      </c>
      <c r="AD188" s="57">
        <v>1</v>
      </c>
      <c r="AE188" s="57">
        <v>0</v>
      </c>
      <c r="AF188" s="57">
        <v>0</v>
      </c>
      <c r="AG188" s="57">
        <v>1</v>
      </c>
      <c r="AH188" s="57">
        <v>0</v>
      </c>
      <c r="AI188" s="57">
        <v>0</v>
      </c>
      <c r="AJ188" s="20">
        <v>0</v>
      </c>
      <c r="AK188" s="71">
        <f t="shared" si="56"/>
        <v>0</v>
      </c>
      <c r="AL188" s="17">
        <v>0</v>
      </c>
      <c r="AM188" s="71">
        <f t="shared" si="57"/>
        <v>0</v>
      </c>
      <c r="AN188" s="17">
        <v>0</v>
      </c>
      <c r="AO188" s="71">
        <f t="shared" si="58"/>
        <v>0</v>
      </c>
      <c r="AP188" s="17">
        <v>1</v>
      </c>
      <c r="AQ188" s="71">
        <f t="shared" si="59"/>
        <v>0.33333333333333331</v>
      </c>
      <c r="AR188" s="57">
        <v>2</v>
      </c>
      <c r="AS188" s="17">
        <v>1</v>
      </c>
      <c r="AT188" s="71">
        <f t="shared" si="60"/>
        <v>0.33333333333333331</v>
      </c>
      <c r="AU188" s="17">
        <v>1</v>
      </c>
      <c r="AV188" s="71">
        <f t="shared" si="61"/>
        <v>0.33333333333333331</v>
      </c>
      <c r="AW188" s="17">
        <v>0</v>
      </c>
      <c r="AX188" s="71">
        <f t="shared" si="62"/>
        <v>0</v>
      </c>
      <c r="AY188" s="17">
        <v>2</v>
      </c>
      <c r="AZ188" s="71">
        <f t="shared" si="63"/>
        <v>0.66666666666666663</v>
      </c>
      <c r="BA188" s="73">
        <v>0</v>
      </c>
      <c r="BB188" s="73">
        <v>0</v>
      </c>
      <c r="BC188" s="73">
        <v>0</v>
      </c>
      <c r="BD188" s="73">
        <v>1</v>
      </c>
      <c r="BE188" s="81">
        <f t="shared" si="64"/>
        <v>0.37333333333333329</v>
      </c>
      <c r="BF188" s="81" t="str">
        <f t="shared" si="65"/>
        <v>MEDIO</v>
      </c>
    </row>
    <row r="189" spans="1:58" x14ac:dyDescent="0.15">
      <c r="A189" s="58">
        <v>3</v>
      </c>
      <c r="B189" s="58">
        <v>2</v>
      </c>
      <c r="C189" s="58">
        <v>1</v>
      </c>
      <c r="D189" s="58">
        <v>2</v>
      </c>
      <c r="E189" s="58">
        <v>1</v>
      </c>
      <c r="F189" s="18">
        <v>2</v>
      </c>
      <c r="G189" s="64">
        <f t="shared" si="44"/>
        <v>1</v>
      </c>
      <c r="H189" s="18">
        <v>2</v>
      </c>
      <c r="I189" s="64">
        <f t="shared" si="45"/>
        <v>1</v>
      </c>
      <c r="J189" s="18">
        <v>1</v>
      </c>
      <c r="K189" s="64">
        <f t="shared" si="46"/>
        <v>0.5</v>
      </c>
      <c r="L189" s="18">
        <v>3</v>
      </c>
      <c r="M189" s="64">
        <f t="shared" si="47"/>
        <v>1</v>
      </c>
      <c r="N189" s="18">
        <v>1</v>
      </c>
      <c r="O189" s="64">
        <f t="shared" si="48"/>
        <v>0.2</v>
      </c>
      <c r="P189" s="18">
        <v>3</v>
      </c>
      <c r="Q189" s="64">
        <f t="shared" si="49"/>
        <v>1</v>
      </c>
      <c r="R189" s="24">
        <v>3</v>
      </c>
      <c r="S189" s="71">
        <f t="shared" si="50"/>
        <v>1</v>
      </c>
      <c r="T189" s="18">
        <v>2</v>
      </c>
      <c r="U189" s="64">
        <f t="shared" si="51"/>
        <v>0.66666666666666663</v>
      </c>
      <c r="V189" s="18">
        <v>1</v>
      </c>
      <c r="W189" s="71">
        <f t="shared" si="52"/>
        <v>0.25</v>
      </c>
      <c r="X189" s="18">
        <v>3</v>
      </c>
      <c r="Y189" s="71">
        <f t="shared" si="53"/>
        <v>1</v>
      </c>
      <c r="Z189" s="18">
        <v>1</v>
      </c>
      <c r="AA189" s="71">
        <f t="shared" si="54"/>
        <v>0.33333333333333331</v>
      </c>
      <c r="AB189" s="18">
        <v>2</v>
      </c>
      <c r="AC189" s="71">
        <f t="shared" si="55"/>
        <v>1</v>
      </c>
      <c r="AD189" s="58">
        <v>1</v>
      </c>
      <c r="AE189" s="58">
        <v>0</v>
      </c>
      <c r="AF189" s="58">
        <v>1</v>
      </c>
      <c r="AG189" s="58">
        <v>0</v>
      </c>
      <c r="AH189" s="58">
        <v>0</v>
      </c>
      <c r="AI189" s="58">
        <v>0</v>
      </c>
      <c r="AJ189" s="19">
        <v>2</v>
      </c>
      <c r="AK189" s="71">
        <f t="shared" si="56"/>
        <v>1</v>
      </c>
      <c r="AL189" s="18">
        <v>1</v>
      </c>
      <c r="AM189" s="71">
        <f t="shared" si="57"/>
        <v>0.33333333333333331</v>
      </c>
      <c r="AN189" s="18">
        <v>1</v>
      </c>
      <c r="AO189" s="71">
        <f t="shared" si="58"/>
        <v>0.33333333333333331</v>
      </c>
      <c r="AP189" s="18">
        <v>3</v>
      </c>
      <c r="AQ189" s="71">
        <f t="shared" si="59"/>
        <v>1</v>
      </c>
      <c r="AR189" s="58">
        <v>2</v>
      </c>
      <c r="AS189" s="18">
        <v>2</v>
      </c>
      <c r="AT189" s="71">
        <f t="shared" si="60"/>
        <v>0.66666666666666663</v>
      </c>
      <c r="AU189" s="18">
        <v>3</v>
      </c>
      <c r="AV189" s="71">
        <f t="shared" si="61"/>
        <v>1</v>
      </c>
      <c r="AW189" s="18">
        <v>0</v>
      </c>
      <c r="AX189" s="71">
        <f t="shared" si="62"/>
        <v>0</v>
      </c>
      <c r="AY189" s="18">
        <v>0</v>
      </c>
      <c r="AZ189" s="71">
        <f t="shared" si="63"/>
        <v>0</v>
      </c>
      <c r="BA189" s="74">
        <v>1</v>
      </c>
      <c r="BB189" s="74">
        <v>0</v>
      </c>
      <c r="BC189" s="74">
        <v>1</v>
      </c>
      <c r="BD189" s="74">
        <v>0</v>
      </c>
      <c r="BE189" s="81">
        <f t="shared" si="64"/>
        <v>0.71416666666666673</v>
      </c>
      <c r="BF189" s="81" t="str">
        <f t="shared" si="65"/>
        <v>ALTO</v>
      </c>
    </row>
    <row r="190" spans="1:58" x14ac:dyDescent="0.15">
      <c r="A190" s="57">
        <v>3</v>
      </c>
      <c r="B190" s="57">
        <v>2</v>
      </c>
      <c r="C190" s="57">
        <v>3</v>
      </c>
      <c r="D190" s="57">
        <v>1</v>
      </c>
      <c r="E190" s="57">
        <v>1</v>
      </c>
      <c r="F190" s="17">
        <v>2</v>
      </c>
      <c r="G190" s="64">
        <f t="shared" si="44"/>
        <v>1</v>
      </c>
      <c r="H190" s="17">
        <v>2</v>
      </c>
      <c r="I190" s="64">
        <f t="shared" si="45"/>
        <v>1</v>
      </c>
      <c r="J190" s="17">
        <v>1</v>
      </c>
      <c r="K190" s="64">
        <f t="shared" si="46"/>
        <v>0.5</v>
      </c>
      <c r="L190" s="17">
        <v>3</v>
      </c>
      <c r="M190" s="64">
        <f t="shared" si="47"/>
        <v>1</v>
      </c>
      <c r="N190" s="17">
        <v>1</v>
      </c>
      <c r="O190" s="64">
        <f t="shared" si="48"/>
        <v>0.2</v>
      </c>
      <c r="P190" s="17">
        <v>2</v>
      </c>
      <c r="Q190" s="64">
        <f t="shared" si="49"/>
        <v>0.66666666666666663</v>
      </c>
      <c r="R190" s="25">
        <v>0</v>
      </c>
      <c r="S190" s="71">
        <f t="shared" si="50"/>
        <v>0</v>
      </c>
      <c r="T190" s="17">
        <v>2</v>
      </c>
      <c r="U190" s="64">
        <f t="shared" si="51"/>
        <v>0.66666666666666663</v>
      </c>
      <c r="V190" s="17">
        <v>2</v>
      </c>
      <c r="W190" s="71">
        <f t="shared" si="52"/>
        <v>0.5</v>
      </c>
      <c r="X190" s="17">
        <v>0</v>
      </c>
      <c r="Y190" s="71">
        <f t="shared" si="53"/>
        <v>0</v>
      </c>
      <c r="Z190" s="17">
        <v>2</v>
      </c>
      <c r="AA190" s="71">
        <f t="shared" si="54"/>
        <v>0.66666666666666663</v>
      </c>
      <c r="AB190" s="17">
        <v>1</v>
      </c>
      <c r="AC190" s="71">
        <f t="shared" si="55"/>
        <v>0.5</v>
      </c>
      <c r="AD190" s="57">
        <v>1</v>
      </c>
      <c r="AE190" s="57">
        <v>0</v>
      </c>
      <c r="AF190" s="57">
        <v>0</v>
      </c>
      <c r="AG190" s="57">
        <v>1</v>
      </c>
      <c r="AH190" s="57">
        <v>0</v>
      </c>
      <c r="AI190" s="57">
        <v>0</v>
      </c>
      <c r="AJ190" s="20">
        <v>2</v>
      </c>
      <c r="AK190" s="71">
        <f t="shared" si="56"/>
        <v>1</v>
      </c>
      <c r="AL190" s="17">
        <v>1</v>
      </c>
      <c r="AM190" s="71">
        <f t="shared" si="57"/>
        <v>0.33333333333333331</v>
      </c>
      <c r="AN190" s="17">
        <v>2</v>
      </c>
      <c r="AO190" s="71">
        <f t="shared" si="58"/>
        <v>0.66666666666666663</v>
      </c>
      <c r="AP190" s="17">
        <v>1</v>
      </c>
      <c r="AQ190" s="71">
        <f t="shared" si="59"/>
        <v>0.33333333333333331</v>
      </c>
      <c r="AR190" s="57">
        <v>3</v>
      </c>
      <c r="AS190" s="17">
        <v>0</v>
      </c>
      <c r="AT190" s="71">
        <f t="shared" si="60"/>
        <v>0</v>
      </c>
      <c r="AU190" s="17">
        <v>3</v>
      </c>
      <c r="AV190" s="71">
        <f t="shared" si="61"/>
        <v>1</v>
      </c>
      <c r="AW190" s="17">
        <v>0</v>
      </c>
      <c r="AX190" s="71">
        <f t="shared" si="62"/>
        <v>0</v>
      </c>
      <c r="AY190" s="17">
        <v>0</v>
      </c>
      <c r="AZ190" s="71">
        <f t="shared" si="63"/>
        <v>0</v>
      </c>
      <c r="BA190" s="73">
        <v>0</v>
      </c>
      <c r="BB190" s="73">
        <v>1</v>
      </c>
      <c r="BC190" s="73">
        <v>0</v>
      </c>
      <c r="BD190" s="73">
        <v>0</v>
      </c>
      <c r="BE190" s="81">
        <f t="shared" si="64"/>
        <v>0.55166666666666675</v>
      </c>
      <c r="BF190" s="81" t="str">
        <f t="shared" si="65"/>
        <v>MEDIO</v>
      </c>
    </row>
    <row r="191" spans="1:58" x14ac:dyDescent="0.15">
      <c r="A191" s="58">
        <v>3</v>
      </c>
      <c r="B191" s="58">
        <v>1</v>
      </c>
      <c r="C191" s="58">
        <v>2</v>
      </c>
      <c r="D191" s="58">
        <v>0</v>
      </c>
      <c r="E191" s="58">
        <v>1</v>
      </c>
      <c r="F191" s="18">
        <v>1</v>
      </c>
      <c r="G191" s="64">
        <f t="shared" si="44"/>
        <v>0.5</v>
      </c>
      <c r="H191" s="18">
        <v>1</v>
      </c>
      <c r="I191" s="64">
        <f t="shared" si="45"/>
        <v>0.5</v>
      </c>
      <c r="J191" s="18">
        <v>1</v>
      </c>
      <c r="K191" s="64">
        <f t="shared" si="46"/>
        <v>0.5</v>
      </c>
      <c r="L191" s="18">
        <v>2</v>
      </c>
      <c r="M191" s="64">
        <f t="shared" si="47"/>
        <v>0.66666666666666663</v>
      </c>
      <c r="N191" s="18">
        <v>2</v>
      </c>
      <c r="O191" s="64">
        <f t="shared" si="48"/>
        <v>0.4</v>
      </c>
      <c r="P191" s="18">
        <v>3</v>
      </c>
      <c r="Q191" s="64">
        <f t="shared" si="49"/>
        <v>1</v>
      </c>
      <c r="R191" s="24">
        <v>3</v>
      </c>
      <c r="S191" s="71">
        <f t="shared" si="50"/>
        <v>1</v>
      </c>
      <c r="T191" s="18">
        <v>3</v>
      </c>
      <c r="U191" s="64">
        <f t="shared" si="51"/>
        <v>1</v>
      </c>
      <c r="V191" s="18">
        <v>3</v>
      </c>
      <c r="W191" s="71">
        <f t="shared" si="52"/>
        <v>0.75</v>
      </c>
      <c r="X191" s="18">
        <v>3</v>
      </c>
      <c r="Y191" s="71">
        <f t="shared" si="53"/>
        <v>1</v>
      </c>
      <c r="Z191" s="18">
        <v>3</v>
      </c>
      <c r="AA191" s="71">
        <f t="shared" si="54"/>
        <v>1</v>
      </c>
      <c r="AB191" s="18">
        <v>0</v>
      </c>
      <c r="AC191" s="71">
        <f t="shared" si="55"/>
        <v>0</v>
      </c>
      <c r="AD191" s="58">
        <v>1</v>
      </c>
      <c r="AE191" s="58">
        <v>1</v>
      </c>
      <c r="AF191" s="58">
        <v>0</v>
      </c>
      <c r="AG191" s="58">
        <v>0</v>
      </c>
      <c r="AH191" s="58">
        <v>0</v>
      </c>
      <c r="AI191" s="58">
        <v>0</v>
      </c>
      <c r="AJ191" s="19">
        <v>1</v>
      </c>
      <c r="AK191" s="71">
        <f t="shared" si="56"/>
        <v>0.5</v>
      </c>
      <c r="AL191" s="18">
        <v>2</v>
      </c>
      <c r="AM191" s="71">
        <f t="shared" si="57"/>
        <v>0.66666666666666663</v>
      </c>
      <c r="AN191" s="18">
        <v>1</v>
      </c>
      <c r="AO191" s="71">
        <f t="shared" si="58"/>
        <v>0.33333333333333331</v>
      </c>
      <c r="AP191" s="18">
        <v>2</v>
      </c>
      <c r="AQ191" s="71">
        <f t="shared" si="59"/>
        <v>0.66666666666666663</v>
      </c>
      <c r="AR191" s="58">
        <v>0</v>
      </c>
      <c r="AS191" s="18">
        <v>3</v>
      </c>
      <c r="AT191" s="71">
        <f t="shared" si="60"/>
        <v>1</v>
      </c>
      <c r="AU191" s="18">
        <v>3</v>
      </c>
      <c r="AV191" s="71">
        <f t="shared" si="61"/>
        <v>1</v>
      </c>
      <c r="AW191" s="18">
        <v>0</v>
      </c>
      <c r="AX191" s="71">
        <f t="shared" si="62"/>
        <v>0</v>
      </c>
      <c r="AY191" s="18">
        <v>2</v>
      </c>
      <c r="AZ191" s="71">
        <f t="shared" si="63"/>
        <v>0.66666666666666663</v>
      </c>
      <c r="BA191" s="74">
        <v>1</v>
      </c>
      <c r="BB191" s="74"/>
      <c r="BC191" s="74">
        <v>1</v>
      </c>
      <c r="BD191" s="74"/>
      <c r="BE191" s="81">
        <f t="shared" si="64"/>
        <v>0.68249999999999988</v>
      </c>
      <c r="BF191" s="81" t="str">
        <f t="shared" si="65"/>
        <v>ALTO</v>
      </c>
    </row>
    <row r="192" spans="1:58" x14ac:dyDescent="0.15">
      <c r="A192" s="57">
        <v>1</v>
      </c>
      <c r="B192" s="57">
        <v>1</v>
      </c>
      <c r="C192" s="57">
        <v>2</v>
      </c>
      <c r="D192" s="57">
        <v>0</v>
      </c>
      <c r="E192" s="57">
        <v>1</v>
      </c>
      <c r="F192" s="17">
        <v>1</v>
      </c>
      <c r="G192" s="64">
        <f t="shared" si="44"/>
        <v>0.5</v>
      </c>
      <c r="H192" s="17">
        <v>1</v>
      </c>
      <c r="I192" s="64">
        <f t="shared" si="45"/>
        <v>0.5</v>
      </c>
      <c r="J192" s="17">
        <v>1</v>
      </c>
      <c r="K192" s="64">
        <f t="shared" si="46"/>
        <v>0.5</v>
      </c>
      <c r="L192" s="17">
        <v>0</v>
      </c>
      <c r="M192" s="64">
        <f t="shared" si="47"/>
        <v>0</v>
      </c>
      <c r="N192" s="17">
        <v>2</v>
      </c>
      <c r="O192" s="64">
        <f t="shared" si="48"/>
        <v>0.4</v>
      </c>
      <c r="P192" s="17">
        <v>2</v>
      </c>
      <c r="Q192" s="64">
        <f t="shared" si="49"/>
        <v>0.66666666666666663</v>
      </c>
      <c r="R192" s="25">
        <v>3</v>
      </c>
      <c r="S192" s="71">
        <f t="shared" si="50"/>
        <v>1</v>
      </c>
      <c r="T192" s="17">
        <v>1</v>
      </c>
      <c r="U192" s="64">
        <f t="shared" si="51"/>
        <v>0.33333333333333331</v>
      </c>
      <c r="V192" s="17">
        <v>3</v>
      </c>
      <c r="W192" s="71">
        <f t="shared" si="52"/>
        <v>0.75</v>
      </c>
      <c r="X192" s="17">
        <v>3</v>
      </c>
      <c r="Y192" s="71">
        <f t="shared" si="53"/>
        <v>1</v>
      </c>
      <c r="Z192" s="17">
        <v>2</v>
      </c>
      <c r="AA192" s="71">
        <f t="shared" si="54"/>
        <v>0.66666666666666663</v>
      </c>
      <c r="AB192" s="17">
        <v>1</v>
      </c>
      <c r="AC192" s="71">
        <f t="shared" si="55"/>
        <v>0.5</v>
      </c>
      <c r="AD192" s="57">
        <v>1</v>
      </c>
      <c r="AE192" s="57">
        <v>0</v>
      </c>
      <c r="AF192" s="57">
        <v>1</v>
      </c>
      <c r="AG192" s="57">
        <v>0</v>
      </c>
      <c r="AH192" s="57">
        <v>0</v>
      </c>
      <c r="AI192" s="57">
        <v>0</v>
      </c>
      <c r="AJ192" s="20">
        <v>2</v>
      </c>
      <c r="AK192" s="71">
        <f t="shared" si="56"/>
        <v>1</v>
      </c>
      <c r="AL192" s="17">
        <v>1</v>
      </c>
      <c r="AM192" s="71">
        <f t="shared" si="57"/>
        <v>0.33333333333333331</v>
      </c>
      <c r="AN192" s="17">
        <v>1</v>
      </c>
      <c r="AO192" s="71">
        <f t="shared" si="58"/>
        <v>0.33333333333333331</v>
      </c>
      <c r="AP192" s="17">
        <v>0</v>
      </c>
      <c r="AQ192" s="71">
        <f t="shared" si="59"/>
        <v>0</v>
      </c>
      <c r="AR192" s="57">
        <v>2</v>
      </c>
      <c r="AS192" s="17">
        <v>2</v>
      </c>
      <c r="AT192" s="71">
        <f t="shared" si="60"/>
        <v>0.66666666666666663</v>
      </c>
      <c r="AU192" s="17">
        <v>2</v>
      </c>
      <c r="AV192" s="71">
        <f t="shared" si="61"/>
        <v>0.66666666666666663</v>
      </c>
      <c r="AW192" s="17">
        <v>0</v>
      </c>
      <c r="AX192" s="71">
        <f t="shared" si="62"/>
        <v>0</v>
      </c>
      <c r="AY192" s="17">
        <v>2</v>
      </c>
      <c r="AZ192" s="71">
        <f t="shared" si="63"/>
        <v>0.66666666666666663</v>
      </c>
      <c r="BA192" s="73">
        <v>1</v>
      </c>
      <c r="BB192" s="73">
        <v>1</v>
      </c>
      <c r="BC192" s="73">
        <v>0</v>
      </c>
      <c r="BD192" s="73">
        <v>0</v>
      </c>
      <c r="BE192" s="81">
        <f t="shared" si="64"/>
        <v>0.54916666666666658</v>
      </c>
      <c r="BF192" s="81" t="str">
        <f t="shared" si="65"/>
        <v>MEDIO</v>
      </c>
    </row>
    <row r="193" spans="1:58" x14ac:dyDescent="0.15">
      <c r="A193" s="58">
        <v>2</v>
      </c>
      <c r="B193" s="58">
        <v>2</v>
      </c>
      <c r="C193" s="58">
        <v>4</v>
      </c>
      <c r="D193" s="58">
        <v>2</v>
      </c>
      <c r="E193" s="58">
        <v>1</v>
      </c>
      <c r="F193" s="18">
        <v>2</v>
      </c>
      <c r="G193" s="64">
        <f t="shared" si="44"/>
        <v>1</v>
      </c>
      <c r="H193" s="18">
        <v>2</v>
      </c>
      <c r="I193" s="64">
        <f t="shared" si="45"/>
        <v>1</v>
      </c>
      <c r="J193" s="18">
        <v>2</v>
      </c>
      <c r="K193" s="64">
        <f t="shared" si="46"/>
        <v>1</v>
      </c>
      <c r="L193" s="18">
        <v>1</v>
      </c>
      <c r="M193" s="64">
        <f t="shared" si="47"/>
        <v>0.33333333333333331</v>
      </c>
      <c r="N193" s="18">
        <v>4</v>
      </c>
      <c r="O193" s="64">
        <f t="shared" si="48"/>
        <v>0.8</v>
      </c>
      <c r="P193" s="18">
        <v>3</v>
      </c>
      <c r="Q193" s="64">
        <f t="shared" si="49"/>
        <v>1</v>
      </c>
      <c r="R193" s="24">
        <v>3</v>
      </c>
      <c r="S193" s="71">
        <f t="shared" si="50"/>
        <v>1</v>
      </c>
      <c r="T193" s="18">
        <v>3</v>
      </c>
      <c r="U193" s="64">
        <f t="shared" si="51"/>
        <v>1</v>
      </c>
      <c r="V193" s="18">
        <v>4</v>
      </c>
      <c r="W193" s="71">
        <f t="shared" si="52"/>
        <v>1</v>
      </c>
      <c r="X193" s="18">
        <v>3</v>
      </c>
      <c r="Y193" s="71">
        <f t="shared" si="53"/>
        <v>1</v>
      </c>
      <c r="Z193" s="18">
        <v>3</v>
      </c>
      <c r="AA193" s="71">
        <f t="shared" si="54"/>
        <v>1</v>
      </c>
      <c r="AB193" s="18">
        <v>1</v>
      </c>
      <c r="AC193" s="71">
        <f t="shared" si="55"/>
        <v>0.5</v>
      </c>
      <c r="AD193" s="58">
        <v>0</v>
      </c>
      <c r="AE193" s="58">
        <v>1</v>
      </c>
      <c r="AF193" s="58">
        <v>1</v>
      </c>
      <c r="AG193" s="58">
        <v>0</v>
      </c>
      <c r="AH193" s="58">
        <v>0</v>
      </c>
      <c r="AI193" s="58">
        <v>0</v>
      </c>
      <c r="AJ193" s="19">
        <v>2</v>
      </c>
      <c r="AK193" s="71">
        <f t="shared" si="56"/>
        <v>1</v>
      </c>
      <c r="AL193" s="18">
        <v>3</v>
      </c>
      <c r="AM193" s="71">
        <f t="shared" si="57"/>
        <v>1</v>
      </c>
      <c r="AN193" s="18">
        <v>2</v>
      </c>
      <c r="AO193" s="71">
        <f t="shared" si="58"/>
        <v>0.66666666666666663</v>
      </c>
      <c r="AP193" s="18">
        <v>2</v>
      </c>
      <c r="AQ193" s="71">
        <f t="shared" si="59"/>
        <v>0.66666666666666663</v>
      </c>
      <c r="AR193" s="58">
        <v>2</v>
      </c>
      <c r="AS193" s="18">
        <v>2</v>
      </c>
      <c r="AT193" s="71">
        <f t="shared" si="60"/>
        <v>0.66666666666666663</v>
      </c>
      <c r="AU193" s="18">
        <v>3</v>
      </c>
      <c r="AV193" s="71">
        <f t="shared" si="61"/>
        <v>1</v>
      </c>
      <c r="AW193" s="18">
        <v>1</v>
      </c>
      <c r="AX193" s="71">
        <f t="shared" si="62"/>
        <v>0.5</v>
      </c>
      <c r="AY193" s="18">
        <v>3</v>
      </c>
      <c r="AZ193" s="71">
        <f t="shared" si="63"/>
        <v>1</v>
      </c>
      <c r="BA193" s="74">
        <v>0</v>
      </c>
      <c r="BB193" s="74">
        <v>1</v>
      </c>
      <c r="BC193" s="74">
        <v>0</v>
      </c>
      <c r="BD193" s="74">
        <v>0</v>
      </c>
      <c r="BE193" s="81">
        <f t="shared" si="64"/>
        <v>0.90666666666666662</v>
      </c>
      <c r="BF193" s="81" t="str">
        <f t="shared" si="65"/>
        <v>ALTO</v>
      </c>
    </row>
    <row r="194" spans="1:58" x14ac:dyDescent="0.15">
      <c r="A194" s="57">
        <v>1</v>
      </c>
      <c r="B194" s="57">
        <v>2</v>
      </c>
      <c r="C194" s="57">
        <v>2</v>
      </c>
      <c r="D194" s="57">
        <v>2</v>
      </c>
      <c r="E194" s="57">
        <v>1</v>
      </c>
      <c r="F194" s="17">
        <v>2</v>
      </c>
      <c r="G194" s="64">
        <f t="shared" ref="G194:G257" si="66">F194/2</f>
        <v>1</v>
      </c>
      <c r="H194" s="17">
        <v>1</v>
      </c>
      <c r="I194" s="64">
        <f t="shared" si="45"/>
        <v>0.5</v>
      </c>
      <c r="J194" s="17">
        <v>1</v>
      </c>
      <c r="K194" s="64">
        <f t="shared" si="46"/>
        <v>0.5</v>
      </c>
      <c r="L194" s="17">
        <v>1</v>
      </c>
      <c r="M194" s="64">
        <f t="shared" si="47"/>
        <v>0.33333333333333331</v>
      </c>
      <c r="N194" s="17">
        <v>3</v>
      </c>
      <c r="O194" s="64">
        <f t="shared" si="48"/>
        <v>0.6</v>
      </c>
      <c r="P194" s="17">
        <v>0</v>
      </c>
      <c r="Q194" s="64">
        <f t="shared" si="49"/>
        <v>0</v>
      </c>
      <c r="R194" s="25">
        <v>2</v>
      </c>
      <c r="S194" s="71">
        <f t="shared" si="50"/>
        <v>0.66666666666666663</v>
      </c>
      <c r="T194" s="17">
        <v>1</v>
      </c>
      <c r="U194" s="64">
        <f t="shared" si="51"/>
        <v>0.33333333333333331</v>
      </c>
      <c r="V194" s="17">
        <v>3</v>
      </c>
      <c r="W194" s="71">
        <f t="shared" si="52"/>
        <v>0.75</v>
      </c>
      <c r="X194" s="17">
        <v>2</v>
      </c>
      <c r="Y194" s="71">
        <f t="shared" si="53"/>
        <v>0.66666666666666663</v>
      </c>
      <c r="Z194" s="17">
        <v>2</v>
      </c>
      <c r="AA194" s="71">
        <f t="shared" si="54"/>
        <v>0.66666666666666663</v>
      </c>
      <c r="AB194" s="17">
        <v>2</v>
      </c>
      <c r="AC194" s="71">
        <f t="shared" si="55"/>
        <v>1</v>
      </c>
      <c r="AD194" s="57">
        <v>1</v>
      </c>
      <c r="AE194" s="57">
        <v>0</v>
      </c>
      <c r="AF194" s="57">
        <v>0</v>
      </c>
      <c r="AG194" s="57">
        <v>1</v>
      </c>
      <c r="AH194" s="57">
        <v>0</v>
      </c>
      <c r="AI194" s="57">
        <v>0</v>
      </c>
      <c r="AJ194" s="20">
        <v>1</v>
      </c>
      <c r="AK194" s="71">
        <f t="shared" si="56"/>
        <v>0.5</v>
      </c>
      <c r="AL194" s="17">
        <v>1</v>
      </c>
      <c r="AM194" s="71">
        <f t="shared" si="57"/>
        <v>0.33333333333333331</v>
      </c>
      <c r="AN194" s="17">
        <v>1</v>
      </c>
      <c r="AO194" s="71">
        <f t="shared" si="58"/>
        <v>0.33333333333333331</v>
      </c>
      <c r="AP194" s="17">
        <v>2</v>
      </c>
      <c r="AQ194" s="71">
        <f t="shared" si="59"/>
        <v>0.66666666666666663</v>
      </c>
      <c r="AR194" s="57">
        <v>2</v>
      </c>
      <c r="AS194" s="17">
        <v>1</v>
      </c>
      <c r="AT194" s="71">
        <f t="shared" si="60"/>
        <v>0.33333333333333331</v>
      </c>
      <c r="AU194" s="17">
        <v>0</v>
      </c>
      <c r="AV194" s="71">
        <f t="shared" si="61"/>
        <v>0</v>
      </c>
      <c r="AW194" s="17">
        <v>0</v>
      </c>
      <c r="AX194" s="71">
        <f t="shared" si="62"/>
        <v>0</v>
      </c>
      <c r="AY194" s="17">
        <v>2</v>
      </c>
      <c r="AZ194" s="71">
        <f t="shared" si="63"/>
        <v>0.66666666666666663</v>
      </c>
      <c r="BA194" s="73">
        <v>0</v>
      </c>
      <c r="BB194" s="73">
        <v>1</v>
      </c>
      <c r="BC194" s="73">
        <v>1</v>
      </c>
      <c r="BD194" s="73">
        <v>0</v>
      </c>
      <c r="BE194" s="81">
        <f t="shared" si="64"/>
        <v>0.54250000000000009</v>
      </c>
      <c r="BF194" s="81" t="str">
        <f t="shared" si="65"/>
        <v>MEDIO</v>
      </c>
    </row>
    <row r="195" spans="1:58" x14ac:dyDescent="0.15">
      <c r="A195" s="58">
        <v>2</v>
      </c>
      <c r="B195" s="58">
        <v>2</v>
      </c>
      <c r="C195" s="58">
        <v>3</v>
      </c>
      <c r="D195" s="58">
        <v>1</v>
      </c>
      <c r="E195" s="58">
        <v>1</v>
      </c>
      <c r="F195" s="18">
        <v>2</v>
      </c>
      <c r="G195" s="64">
        <f t="shared" si="66"/>
        <v>1</v>
      </c>
      <c r="H195" s="18">
        <v>1</v>
      </c>
      <c r="I195" s="64">
        <f t="shared" ref="I195:I258" si="67">H195/2</f>
        <v>0.5</v>
      </c>
      <c r="J195" s="18">
        <v>1</v>
      </c>
      <c r="K195" s="64">
        <f t="shared" ref="K195:K258" si="68">J195/2</f>
        <v>0.5</v>
      </c>
      <c r="L195" s="18">
        <v>2</v>
      </c>
      <c r="M195" s="64">
        <f t="shared" ref="M195:M258" si="69">L195/3</f>
        <v>0.66666666666666663</v>
      </c>
      <c r="N195" s="18">
        <v>5</v>
      </c>
      <c r="O195" s="64">
        <f t="shared" ref="O195:O258" si="70">N195/5</f>
        <v>1</v>
      </c>
      <c r="P195" s="18">
        <v>0</v>
      </c>
      <c r="Q195" s="64">
        <f t="shared" ref="Q195:Q258" si="71">P195/3</f>
        <v>0</v>
      </c>
      <c r="R195" s="24">
        <v>3</v>
      </c>
      <c r="S195" s="71">
        <f t="shared" ref="S195:S258" si="72">R195/3</f>
        <v>1</v>
      </c>
      <c r="T195" s="18">
        <v>3</v>
      </c>
      <c r="U195" s="64">
        <f t="shared" ref="U195:U258" si="73">T195/3</f>
        <v>1</v>
      </c>
      <c r="V195" s="18">
        <v>3</v>
      </c>
      <c r="W195" s="71">
        <f t="shared" ref="W195:W258" si="74">V195/4</f>
        <v>0.75</v>
      </c>
      <c r="X195" s="18">
        <v>3</v>
      </c>
      <c r="Y195" s="71">
        <f t="shared" ref="Y195:Y258" si="75">X195/3</f>
        <v>1</v>
      </c>
      <c r="Z195" s="18">
        <v>1</v>
      </c>
      <c r="AA195" s="71">
        <f t="shared" ref="AA195:AA258" si="76">Z195/3</f>
        <v>0.33333333333333331</v>
      </c>
      <c r="AB195" s="18">
        <v>1</v>
      </c>
      <c r="AC195" s="71">
        <f t="shared" ref="AC195:AC258" si="77">AB195/2</f>
        <v>0.5</v>
      </c>
      <c r="AD195" s="58">
        <v>1</v>
      </c>
      <c r="AE195" s="58">
        <v>0</v>
      </c>
      <c r="AF195" s="58">
        <v>0</v>
      </c>
      <c r="AG195" s="58">
        <v>1</v>
      </c>
      <c r="AH195" s="58">
        <v>0</v>
      </c>
      <c r="AI195" s="58">
        <v>0</v>
      </c>
      <c r="AJ195" s="19">
        <v>0</v>
      </c>
      <c r="AK195" s="71">
        <f t="shared" ref="AK195:AK258" si="78">AJ195/2</f>
        <v>0</v>
      </c>
      <c r="AL195" s="18">
        <v>1</v>
      </c>
      <c r="AM195" s="71">
        <f t="shared" ref="AM195:AM258" si="79">AL195/3</f>
        <v>0.33333333333333331</v>
      </c>
      <c r="AN195" s="18">
        <v>1</v>
      </c>
      <c r="AO195" s="71">
        <f t="shared" ref="AO195:AO258" si="80">AN195/3</f>
        <v>0.33333333333333331</v>
      </c>
      <c r="AP195" s="18">
        <v>1</v>
      </c>
      <c r="AQ195" s="71">
        <f t="shared" ref="AQ195:AQ258" si="81">AP195/3</f>
        <v>0.33333333333333331</v>
      </c>
      <c r="AR195" s="58">
        <v>2</v>
      </c>
      <c r="AS195" s="18">
        <v>0</v>
      </c>
      <c r="AT195" s="71">
        <f t="shared" ref="AT195:AT258" si="82">AS195/3</f>
        <v>0</v>
      </c>
      <c r="AU195" s="18">
        <v>3</v>
      </c>
      <c r="AV195" s="71">
        <f t="shared" ref="AV195:AV258" si="83">AU195/3</f>
        <v>1</v>
      </c>
      <c r="AW195" s="18">
        <v>0</v>
      </c>
      <c r="AX195" s="71">
        <f t="shared" ref="AX195:AX258" si="84">AW195/2</f>
        <v>0</v>
      </c>
      <c r="AY195" s="18">
        <v>3</v>
      </c>
      <c r="AZ195" s="71">
        <f t="shared" ref="AZ195:AZ258" si="85">AY195/3</f>
        <v>1</v>
      </c>
      <c r="BA195" s="74">
        <v>0</v>
      </c>
      <c r="BB195" s="74">
        <v>1</v>
      </c>
      <c r="BC195" s="74">
        <v>1</v>
      </c>
      <c r="BD195" s="74">
        <v>0</v>
      </c>
      <c r="BE195" s="81">
        <f t="shared" ref="BE195:BE258" si="86">AVERAGE(F195,I195,K195,M195,O195,Q195,S195,U195,W195,Y195,AA195,AC195,AK195,AM195,AO195,AQ195,AT195,AV195,AX195,AZ195)</f>
        <v>0.61250000000000004</v>
      </c>
      <c r="BF195" s="81" t="str">
        <f t="shared" ref="BF195:BF258" si="87">IF(BE195="","",IF(VALUE(BE195)&lt;0.34,"BASSO",IF(VALUE(BE195)&lt;=0.66,"MEDIO","ALTO")))</f>
        <v>MEDIO</v>
      </c>
    </row>
    <row r="196" spans="1:58" x14ac:dyDescent="0.15">
      <c r="A196" s="57">
        <v>2</v>
      </c>
      <c r="B196" s="57">
        <v>1</v>
      </c>
      <c r="C196" s="57">
        <v>3</v>
      </c>
      <c r="D196" s="57">
        <v>3</v>
      </c>
      <c r="E196" s="57">
        <v>0</v>
      </c>
      <c r="F196" s="17">
        <v>2</v>
      </c>
      <c r="G196" s="64">
        <f t="shared" si="66"/>
        <v>1</v>
      </c>
      <c r="H196" s="17">
        <v>0</v>
      </c>
      <c r="I196" s="64">
        <f t="shared" si="67"/>
        <v>0</v>
      </c>
      <c r="J196" s="17">
        <v>0</v>
      </c>
      <c r="K196" s="64">
        <f t="shared" si="68"/>
        <v>0</v>
      </c>
      <c r="L196" s="17">
        <v>0</v>
      </c>
      <c r="M196" s="64">
        <f t="shared" si="69"/>
        <v>0</v>
      </c>
      <c r="N196" s="17">
        <v>0</v>
      </c>
      <c r="O196" s="64">
        <f t="shared" si="70"/>
        <v>0</v>
      </c>
      <c r="P196" s="17">
        <v>0</v>
      </c>
      <c r="Q196" s="64">
        <f t="shared" si="71"/>
        <v>0</v>
      </c>
      <c r="R196" s="25">
        <v>3</v>
      </c>
      <c r="S196" s="71">
        <f t="shared" si="72"/>
        <v>1</v>
      </c>
      <c r="T196" s="17">
        <v>0</v>
      </c>
      <c r="U196" s="64">
        <f t="shared" si="73"/>
        <v>0</v>
      </c>
      <c r="V196" s="17">
        <v>3</v>
      </c>
      <c r="W196" s="71">
        <f t="shared" si="74"/>
        <v>0.75</v>
      </c>
      <c r="X196" s="17">
        <v>2</v>
      </c>
      <c r="Y196" s="71">
        <f t="shared" si="75"/>
        <v>0.66666666666666663</v>
      </c>
      <c r="Z196" s="17">
        <v>1</v>
      </c>
      <c r="AA196" s="71">
        <f t="shared" si="76"/>
        <v>0.33333333333333331</v>
      </c>
      <c r="AB196" s="17">
        <v>3</v>
      </c>
      <c r="AC196" s="71">
        <f t="shared" si="77"/>
        <v>1.5</v>
      </c>
      <c r="AD196" s="57">
        <v>1</v>
      </c>
      <c r="AE196" s="57">
        <v>0</v>
      </c>
      <c r="AF196" s="57">
        <v>0</v>
      </c>
      <c r="AG196" s="57">
        <v>1</v>
      </c>
      <c r="AH196" s="57">
        <v>0</v>
      </c>
      <c r="AI196" s="57">
        <v>0</v>
      </c>
      <c r="AJ196" s="20">
        <v>1</v>
      </c>
      <c r="AK196" s="71">
        <f t="shared" si="78"/>
        <v>0.5</v>
      </c>
      <c r="AL196" s="17">
        <v>0</v>
      </c>
      <c r="AM196" s="71">
        <f t="shared" si="79"/>
        <v>0</v>
      </c>
      <c r="AN196" s="17">
        <v>0</v>
      </c>
      <c r="AO196" s="71">
        <f t="shared" si="80"/>
        <v>0</v>
      </c>
      <c r="AP196" s="17">
        <v>0</v>
      </c>
      <c r="AQ196" s="71">
        <f t="shared" si="81"/>
        <v>0</v>
      </c>
      <c r="AR196" s="57">
        <v>2</v>
      </c>
      <c r="AS196" s="17">
        <v>2</v>
      </c>
      <c r="AT196" s="71">
        <f t="shared" si="82"/>
        <v>0.66666666666666663</v>
      </c>
      <c r="AU196" s="17">
        <v>0</v>
      </c>
      <c r="AV196" s="71">
        <f t="shared" si="83"/>
        <v>0</v>
      </c>
      <c r="AW196" s="17">
        <v>0</v>
      </c>
      <c r="AX196" s="71">
        <f t="shared" si="84"/>
        <v>0</v>
      </c>
      <c r="AY196" s="17">
        <v>2</v>
      </c>
      <c r="AZ196" s="71">
        <f t="shared" si="85"/>
        <v>0.66666666666666663</v>
      </c>
      <c r="BA196" s="73">
        <v>0</v>
      </c>
      <c r="BB196" s="73">
        <v>0</v>
      </c>
      <c r="BC196" s="73">
        <v>0</v>
      </c>
      <c r="BD196" s="73">
        <v>1</v>
      </c>
      <c r="BE196" s="81">
        <f t="shared" si="86"/>
        <v>0.40416666666666667</v>
      </c>
      <c r="BF196" s="81" t="str">
        <f t="shared" si="87"/>
        <v>MEDIO</v>
      </c>
    </row>
    <row r="197" spans="1:58" x14ac:dyDescent="0.15">
      <c r="A197" s="58">
        <v>4</v>
      </c>
      <c r="B197" s="58">
        <v>0</v>
      </c>
      <c r="C197" s="58">
        <v>0</v>
      </c>
      <c r="D197" s="58">
        <v>1</v>
      </c>
      <c r="E197" s="58">
        <v>1</v>
      </c>
      <c r="F197" s="18">
        <v>2</v>
      </c>
      <c r="G197" s="64">
        <f t="shared" si="66"/>
        <v>1</v>
      </c>
      <c r="H197" s="18">
        <v>2</v>
      </c>
      <c r="I197" s="64">
        <f t="shared" si="67"/>
        <v>1</v>
      </c>
      <c r="J197" s="18">
        <v>2</v>
      </c>
      <c r="K197" s="64">
        <f t="shared" si="68"/>
        <v>1</v>
      </c>
      <c r="L197" s="18">
        <v>3</v>
      </c>
      <c r="M197" s="64">
        <f t="shared" si="69"/>
        <v>1</v>
      </c>
      <c r="N197" s="18">
        <v>4</v>
      </c>
      <c r="O197" s="64">
        <f t="shared" si="70"/>
        <v>0.8</v>
      </c>
      <c r="P197" s="18">
        <v>3</v>
      </c>
      <c r="Q197" s="64">
        <f t="shared" si="71"/>
        <v>1</v>
      </c>
      <c r="R197" s="24">
        <v>3</v>
      </c>
      <c r="S197" s="71">
        <f t="shared" si="72"/>
        <v>1</v>
      </c>
      <c r="T197" s="18">
        <v>3</v>
      </c>
      <c r="U197" s="64">
        <f t="shared" si="73"/>
        <v>1</v>
      </c>
      <c r="V197" s="18">
        <v>3</v>
      </c>
      <c r="W197" s="71">
        <f t="shared" si="74"/>
        <v>0.75</v>
      </c>
      <c r="X197" s="18">
        <v>3</v>
      </c>
      <c r="Y197" s="71">
        <f t="shared" si="75"/>
        <v>1</v>
      </c>
      <c r="Z197" s="18">
        <v>1</v>
      </c>
      <c r="AA197" s="71">
        <f t="shared" si="76"/>
        <v>0.33333333333333331</v>
      </c>
      <c r="AB197" s="18">
        <v>0</v>
      </c>
      <c r="AC197" s="71">
        <f t="shared" si="77"/>
        <v>0</v>
      </c>
      <c r="AD197" s="58">
        <v>1</v>
      </c>
      <c r="AE197" s="58">
        <v>0</v>
      </c>
      <c r="AF197" s="58">
        <v>1</v>
      </c>
      <c r="AG197" s="58">
        <v>0</v>
      </c>
      <c r="AH197" s="58">
        <v>0</v>
      </c>
      <c r="AI197" s="58">
        <v>0</v>
      </c>
      <c r="AJ197" s="19">
        <v>2</v>
      </c>
      <c r="AK197" s="71">
        <f t="shared" si="78"/>
        <v>1</v>
      </c>
      <c r="AL197" s="18">
        <v>2</v>
      </c>
      <c r="AM197" s="71">
        <f t="shared" si="79"/>
        <v>0.66666666666666663</v>
      </c>
      <c r="AN197" s="18">
        <v>1</v>
      </c>
      <c r="AO197" s="71">
        <f t="shared" si="80"/>
        <v>0.33333333333333331</v>
      </c>
      <c r="AP197" s="18">
        <v>3</v>
      </c>
      <c r="AQ197" s="71">
        <f t="shared" si="81"/>
        <v>1</v>
      </c>
      <c r="AR197" s="58">
        <v>3</v>
      </c>
      <c r="AS197" s="18">
        <v>3</v>
      </c>
      <c r="AT197" s="71">
        <f t="shared" si="82"/>
        <v>1</v>
      </c>
      <c r="AU197" s="18">
        <v>3</v>
      </c>
      <c r="AV197" s="71">
        <f t="shared" si="83"/>
        <v>1</v>
      </c>
      <c r="AW197" s="18">
        <v>0</v>
      </c>
      <c r="AX197" s="71">
        <f t="shared" si="84"/>
        <v>0</v>
      </c>
      <c r="AY197" s="18">
        <v>3</v>
      </c>
      <c r="AZ197" s="71">
        <f t="shared" si="85"/>
        <v>1</v>
      </c>
      <c r="BA197" s="74">
        <v>1</v>
      </c>
      <c r="BB197" s="74">
        <v>1</v>
      </c>
      <c r="BC197" s="74">
        <v>0</v>
      </c>
      <c r="BD197" s="74">
        <v>0</v>
      </c>
      <c r="BE197" s="81">
        <f t="shared" si="86"/>
        <v>0.84416666666666662</v>
      </c>
      <c r="BF197" s="81" t="str">
        <f t="shared" si="87"/>
        <v>ALTO</v>
      </c>
    </row>
    <row r="198" spans="1:58" x14ac:dyDescent="0.15">
      <c r="A198" s="57">
        <v>2</v>
      </c>
      <c r="B198" s="57">
        <v>2</v>
      </c>
      <c r="C198" s="57">
        <v>2</v>
      </c>
      <c r="D198" s="57">
        <v>1</v>
      </c>
      <c r="E198" s="57">
        <v>1</v>
      </c>
      <c r="F198" s="17">
        <v>1</v>
      </c>
      <c r="G198" s="64">
        <f t="shared" si="66"/>
        <v>0.5</v>
      </c>
      <c r="H198" s="17">
        <v>1</v>
      </c>
      <c r="I198" s="64">
        <f t="shared" si="67"/>
        <v>0.5</v>
      </c>
      <c r="J198" s="17">
        <v>1</v>
      </c>
      <c r="K198" s="64">
        <f t="shared" si="68"/>
        <v>0.5</v>
      </c>
      <c r="L198" s="17">
        <v>2</v>
      </c>
      <c r="M198" s="64">
        <f t="shared" si="69"/>
        <v>0.66666666666666663</v>
      </c>
      <c r="N198" s="17">
        <v>1</v>
      </c>
      <c r="O198" s="64">
        <f t="shared" si="70"/>
        <v>0.2</v>
      </c>
      <c r="P198" s="17">
        <v>2</v>
      </c>
      <c r="Q198" s="64">
        <f t="shared" si="71"/>
        <v>0.66666666666666663</v>
      </c>
      <c r="R198" s="25">
        <v>2</v>
      </c>
      <c r="S198" s="71">
        <f t="shared" si="72"/>
        <v>0.66666666666666663</v>
      </c>
      <c r="T198" s="17">
        <v>2</v>
      </c>
      <c r="U198" s="64">
        <f t="shared" si="73"/>
        <v>0.66666666666666663</v>
      </c>
      <c r="V198" s="17">
        <v>0</v>
      </c>
      <c r="W198" s="71">
        <f t="shared" si="74"/>
        <v>0</v>
      </c>
      <c r="X198" s="17">
        <v>0</v>
      </c>
      <c r="Y198" s="71">
        <f t="shared" si="75"/>
        <v>0</v>
      </c>
      <c r="Z198" s="17">
        <v>1</v>
      </c>
      <c r="AA198" s="71">
        <f t="shared" si="76"/>
        <v>0.33333333333333331</v>
      </c>
      <c r="AB198" s="17">
        <v>2</v>
      </c>
      <c r="AC198" s="71">
        <f t="shared" si="77"/>
        <v>1</v>
      </c>
      <c r="AD198" s="57">
        <v>0</v>
      </c>
      <c r="AE198" s="57">
        <v>0</v>
      </c>
      <c r="AF198" s="57">
        <v>0</v>
      </c>
      <c r="AG198" s="57">
        <v>1</v>
      </c>
      <c r="AH198" s="57">
        <v>0</v>
      </c>
      <c r="AI198" s="57">
        <v>0</v>
      </c>
      <c r="AJ198" s="20">
        <v>0</v>
      </c>
      <c r="AK198" s="71">
        <f t="shared" si="78"/>
        <v>0</v>
      </c>
      <c r="AL198" s="17">
        <v>0</v>
      </c>
      <c r="AM198" s="71">
        <f t="shared" si="79"/>
        <v>0</v>
      </c>
      <c r="AN198" s="17">
        <v>2</v>
      </c>
      <c r="AO198" s="71">
        <f t="shared" si="80"/>
        <v>0.66666666666666663</v>
      </c>
      <c r="AP198" s="17">
        <v>0</v>
      </c>
      <c r="AQ198" s="71">
        <f t="shared" si="81"/>
        <v>0</v>
      </c>
      <c r="AR198" s="57">
        <v>2</v>
      </c>
      <c r="AS198" s="17">
        <v>0</v>
      </c>
      <c r="AT198" s="71">
        <f t="shared" si="82"/>
        <v>0</v>
      </c>
      <c r="AU198" s="17">
        <v>1</v>
      </c>
      <c r="AV198" s="71">
        <f t="shared" si="83"/>
        <v>0.33333333333333331</v>
      </c>
      <c r="AW198" s="17">
        <v>1</v>
      </c>
      <c r="AX198" s="71">
        <f t="shared" si="84"/>
        <v>0.5</v>
      </c>
      <c r="AY198" s="17">
        <v>1</v>
      </c>
      <c r="AZ198" s="71">
        <f t="shared" si="85"/>
        <v>0.33333333333333331</v>
      </c>
      <c r="BA198" s="73">
        <v>0</v>
      </c>
      <c r="BB198" s="73">
        <v>0</v>
      </c>
      <c r="BC198" s="73">
        <v>0</v>
      </c>
      <c r="BD198" s="73">
        <v>1</v>
      </c>
      <c r="BE198" s="81">
        <f t="shared" si="86"/>
        <v>0.40166666666666667</v>
      </c>
      <c r="BF198" s="81" t="str">
        <f t="shared" si="87"/>
        <v>MEDIO</v>
      </c>
    </row>
    <row r="199" spans="1:58" x14ac:dyDescent="0.15">
      <c r="A199" s="58">
        <v>5</v>
      </c>
      <c r="B199" s="58">
        <v>2</v>
      </c>
      <c r="C199" s="58">
        <v>3</v>
      </c>
      <c r="D199" s="58">
        <v>3</v>
      </c>
      <c r="E199" s="58">
        <v>1</v>
      </c>
      <c r="F199" s="18">
        <v>2</v>
      </c>
      <c r="G199" s="64">
        <f t="shared" si="66"/>
        <v>1</v>
      </c>
      <c r="H199" s="18">
        <v>2</v>
      </c>
      <c r="I199" s="64">
        <f t="shared" si="67"/>
        <v>1</v>
      </c>
      <c r="J199" s="18">
        <v>2</v>
      </c>
      <c r="K199" s="64">
        <f t="shared" si="68"/>
        <v>1</v>
      </c>
      <c r="L199" s="18">
        <v>3</v>
      </c>
      <c r="M199" s="64">
        <f t="shared" si="69"/>
        <v>1</v>
      </c>
      <c r="N199" s="18">
        <v>0</v>
      </c>
      <c r="O199" s="64">
        <f t="shared" si="70"/>
        <v>0</v>
      </c>
      <c r="P199" s="18">
        <v>3</v>
      </c>
      <c r="Q199" s="64">
        <f t="shared" si="71"/>
        <v>1</v>
      </c>
      <c r="R199" s="24">
        <v>0</v>
      </c>
      <c r="S199" s="71">
        <f t="shared" si="72"/>
        <v>0</v>
      </c>
      <c r="T199" s="18">
        <v>2</v>
      </c>
      <c r="U199" s="64">
        <f t="shared" si="73"/>
        <v>0.66666666666666663</v>
      </c>
      <c r="V199" s="18">
        <v>0</v>
      </c>
      <c r="W199" s="71">
        <f t="shared" si="74"/>
        <v>0</v>
      </c>
      <c r="X199" s="18">
        <v>0</v>
      </c>
      <c r="Y199" s="71">
        <f t="shared" si="75"/>
        <v>0</v>
      </c>
      <c r="Z199" s="18">
        <v>1</v>
      </c>
      <c r="AA199" s="71">
        <f t="shared" si="76"/>
        <v>0.33333333333333331</v>
      </c>
      <c r="AB199" s="18">
        <v>2</v>
      </c>
      <c r="AC199" s="71">
        <f t="shared" si="77"/>
        <v>1</v>
      </c>
      <c r="AD199" s="58">
        <v>0</v>
      </c>
      <c r="AE199" s="58">
        <v>0</v>
      </c>
      <c r="AF199" s="58">
        <v>0</v>
      </c>
      <c r="AG199" s="58">
        <v>0</v>
      </c>
      <c r="AH199" s="58">
        <v>1</v>
      </c>
      <c r="AI199" s="58">
        <v>0</v>
      </c>
      <c r="AJ199" s="19">
        <v>0</v>
      </c>
      <c r="AK199" s="71">
        <f t="shared" si="78"/>
        <v>0</v>
      </c>
      <c r="AL199" s="18">
        <v>0</v>
      </c>
      <c r="AM199" s="71">
        <f t="shared" si="79"/>
        <v>0</v>
      </c>
      <c r="AN199" s="18">
        <v>1</v>
      </c>
      <c r="AO199" s="71">
        <f t="shared" si="80"/>
        <v>0.33333333333333331</v>
      </c>
      <c r="AP199" s="18">
        <v>1</v>
      </c>
      <c r="AQ199" s="71">
        <f t="shared" si="81"/>
        <v>0.33333333333333331</v>
      </c>
      <c r="AR199" s="58">
        <v>3</v>
      </c>
      <c r="AS199" s="18">
        <v>0</v>
      </c>
      <c r="AT199" s="71">
        <f t="shared" si="82"/>
        <v>0</v>
      </c>
      <c r="AU199" s="18">
        <v>0</v>
      </c>
      <c r="AV199" s="71">
        <f t="shared" si="83"/>
        <v>0</v>
      </c>
      <c r="AW199" s="18">
        <v>0</v>
      </c>
      <c r="AX199" s="71">
        <f t="shared" si="84"/>
        <v>0</v>
      </c>
      <c r="AY199" s="18">
        <v>2</v>
      </c>
      <c r="AZ199" s="71">
        <f t="shared" si="85"/>
        <v>0.66666666666666663</v>
      </c>
      <c r="BA199" s="74">
        <v>0</v>
      </c>
      <c r="BB199" s="74">
        <v>0</v>
      </c>
      <c r="BC199" s="74">
        <v>0</v>
      </c>
      <c r="BD199" s="74">
        <v>1</v>
      </c>
      <c r="BE199" s="81">
        <f t="shared" si="86"/>
        <v>0.46666666666666667</v>
      </c>
      <c r="BF199" s="81" t="str">
        <f t="shared" si="87"/>
        <v>MEDIO</v>
      </c>
    </row>
    <row r="200" spans="1:58" x14ac:dyDescent="0.15">
      <c r="A200" s="57">
        <v>2</v>
      </c>
      <c r="B200" s="57">
        <v>2</v>
      </c>
      <c r="C200" s="57">
        <v>2</v>
      </c>
      <c r="D200" s="57">
        <v>2</v>
      </c>
      <c r="E200" s="57">
        <v>1</v>
      </c>
      <c r="F200" s="17">
        <v>0</v>
      </c>
      <c r="G200" s="64">
        <f t="shared" si="66"/>
        <v>0</v>
      </c>
      <c r="H200" s="17">
        <v>2</v>
      </c>
      <c r="I200" s="64">
        <f t="shared" si="67"/>
        <v>1</v>
      </c>
      <c r="J200" s="17">
        <v>1</v>
      </c>
      <c r="K200" s="64">
        <f t="shared" si="68"/>
        <v>0.5</v>
      </c>
      <c r="L200" s="17">
        <v>1</v>
      </c>
      <c r="M200" s="64">
        <f t="shared" si="69"/>
        <v>0.33333333333333331</v>
      </c>
      <c r="N200" s="17">
        <v>2</v>
      </c>
      <c r="O200" s="64">
        <f t="shared" si="70"/>
        <v>0.4</v>
      </c>
      <c r="P200" s="17">
        <v>0</v>
      </c>
      <c r="Q200" s="64">
        <f t="shared" si="71"/>
        <v>0</v>
      </c>
      <c r="R200" s="25">
        <v>3</v>
      </c>
      <c r="S200" s="71">
        <f t="shared" si="72"/>
        <v>1</v>
      </c>
      <c r="T200" s="17">
        <v>2</v>
      </c>
      <c r="U200" s="64">
        <f t="shared" si="73"/>
        <v>0.66666666666666663</v>
      </c>
      <c r="V200" s="17">
        <v>3</v>
      </c>
      <c r="W200" s="71">
        <f t="shared" si="74"/>
        <v>0.75</v>
      </c>
      <c r="X200" s="17">
        <v>3</v>
      </c>
      <c r="Y200" s="71">
        <f t="shared" si="75"/>
        <v>1</v>
      </c>
      <c r="Z200" s="17">
        <v>2</v>
      </c>
      <c r="AA200" s="71">
        <f t="shared" si="76"/>
        <v>0.66666666666666663</v>
      </c>
      <c r="AB200" s="17">
        <v>0</v>
      </c>
      <c r="AC200" s="71">
        <f t="shared" si="77"/>
        <v>0</v>
      </c>
      <c r="AD200" s="57">
        <v>1</v>
      </c>
      <c r="AE200" s="57">
        <v>0</v>
      </c>
      <c r="AF200" s="57">
        <v>1</v>
      </c>
      <c r="AG200" s="57">
        <v>0</v>
      </c>
      <c r="AH200" s="57">
        <v>0</v>
      </c>
      <c r="AI200" s="57">
        <v>0</v>
      </c>
      <c r="AJ200" s="20">
        <v>1</v>
      </c>
      <c r="AK200" s="71">
        <f t="shared" si="78"/>
        <v>0.5</v>
      </c>
      <c r="AL200" s="17">
        <v>3</v>
      </c>
      <c r="AM200" s="71">
        <f t="shared" si="79"/>
        <v>1</v>
      </c>
      <c r="AN200" s="17">
        <v>1</v>
      </c>
      <c r="AO200" s="71">
        <f t="shared" si="80"/>
        <v>0.33333333333333331</v>
      </c>
      <c r="AP200" s="17">
        <v>1</v>
      </c>
      <c r="AQ200" s="71">
        <f t="shared" si="81"/>
        <v>0.33333333333333331</v>
      </c>
      <c r="AR200" s="57">
        <v>0</v>
      </c>
      <c r="AS200" s="17">
        <v>3</v>
      </c>
      <c r="AT200" s="71">
        <f t="shared" si="82"/>
        <v>1</v>
      </c>
      <c r="AU200" s="17">
        <v>1</v>
      </c>
      <c r="AV200" s="71">
        <f t="shared" si="83"/>
        <v>0.33333333333333331</v>
      </c>
      <c r="AW200" s="17">
        <v>1</v>
      </c>
      <c r="AX200" s="71">
        <f t="shared" si="84"/>
        <v>0.5</v>
      </c>
      <c r="AY200" s="17">
        <v>3</v>
      </c>
      <c r="AZ200" s="71">
        <f t="shared" si="85"/>
        <v>1</v>
      </c>
      <c r="BA200" s="73">
        <v>1</v>
      </c>
      <c r="BB200" s="73">
        <v>0</v>
      </c>
      <c r="BC200" s="73">
        <v>1</v>
      </c>
      <c r="BD200" s="73"/>
      <c r="BE200" s="81">
        <f t="shared" si="86"/>
        <v>0.56583333333333341</v>
      </c>
      <c r="BF200" s="81" t="str">
        <f t="shared" si="87"/>
        <v>MEDIO</v>
      </c>
    </row>
    <row r="201" spans="1:58" x14ac:dyDescent="0.15">
      <c r="A201" s="58">
        <v>1</v>
      </c>
      <c r="B201" s="58">
        <v>2</v>
      </c>
      <c r="C201" s="58">
        <v>1</v>
      </c>
      <c r="D201" s="58">
        <v>0</v>
      </c>
      <c r="E201" s="58">
        <v>0</v>
      </c>
      <c r="F201" s="18">
        <v>2</v>
      </c>
      <c r="G201" s="64">
        <f t="shared" si="66"/>
        <v>1</v>
      </c>
      <c r="H201" s="18">
        <v>2</v>
      </c>
      <c r="I201" s="64">
        <f t="shared" si="67"/>
        <v>1</v>
      </c>
      <c r="J201" s="17">
        <v>1</v>
      </c>
      <c r="K201" s="64">
        <f t="shared" si="68"/>
        <v>0.5</v>
      </c>
      <c r="L201" s="18">
        <v>3</v>
      </c>
      <c r="M201" s="64">
        <f t="shared" si="69"/>
        <v>1</v>
      </c>
      <c r="N201" s="18">
        <v>3</v>
      </c>
      <c r="O201" s="64">
        <f t="shared" si="70"/>
        <v>0.6</v>
      </c>
      <c r="P201" s="18">
        <v>2</v>
      </c>
      <c r="Q201" s="64">
        <f t="shared" si="71"/>
        <v>0.66666666666666663</v>
      </c>
      <c r="R201" s="24">
        <v>3</v>
      </c>
      <c r="S201" s="71">
        <f t="shared" si="72"/>
        <v>1</v>
      </c>
      <c r="T201" s="18">
        <v>3</v>
      </c>
      <c r="U201" s="64">
        <f t="shared" si="73"/>
        <v>1</v>
      </c>
      <c r="V201" s="18">
        <v>3</v>
      </c>
      <c r="W201" s="71">
        <f t="shared" si="74"/>
        <v>0.75</v>
      </c>
      <c r="X201" s="18">
        <v>3</v>
      </c>
      <c r="Y201" s="71">
        <f t="shared" si="75"/>
        <v>1</v>
      </c>
      <c r="Z201" s="18">
        <v>3</v>
      </c>
      <c r="AA201" s="71">
        <f t="shared" si="76"/>
        <v>1</v>
      </c>
      <c r="AB201" s="18">
        <v>2</v>
      </c>
      <c r="AC201" s="71">
        <f t="shared" si="77"/>
        <v>1</v>
      </c>
      <c r="AD201" s="58">
        <v>1</v>
      </c>
      <c r="AE201" s="58">
        <v>1</v>
      </c>
      <c r="AF201" s="58">
        <v>0</v>
      </c>
      <c r="AG201" s="58">
        <v>0</v>
      </c>
      <c r="AH201" s="58">
        <v>0</v>
      </c>
      <c r="AI201" s="58">
        <v>0</v>
      </c>
      <c r="AJ201" s="19">
        <v>1</v>
      </c>
      <c r="AK201" s="71">
        <f t="shared" si="78"/>
        <v>0.5</v>
      </c>
      <c r="AL201" s="18">
        <v>3</v>
      </c>
      <c r="AM201" s="71">
        <f t="shared" si="79"/>
        <v>1</v>
      </c>
      <c r="AN201" s="18">
        <v>2</v>
      </c>
      <c r="AO201" s="71">
        <f t="shared" si="80"/>
        <v>0.66666666666666663</v>
      </c>
      <c r="AP201" s="18">
        <v>3</v>
      </c>
      <c r="AQ201" s="71">
        <f t="shared" si="81"/>
        <v>1</v>
      </c>
      <c r="AR201" s="58">
        <v>0</v>
      </c>
      <c r="AS201" s="18">
        <v>2</v>
      </c>
      <c r="AT201" s="71">
        <f t="shared" si="82"/>
        <v>0.66666666666666663</v>
      </c>
      <c r="AU201" s="18">
        <v>3</v>
      </c>
      <c r="AV201" s="71">
        <f t="shared" si="83"/>
        <v>1</v>
      </c>
      <c r="AW201" s="18">
        <v>2</v>
      </c>
      <c r="AX201" s="71">
        <f t="shared" si="84"/>
        <v>1</v>
      </c>
      <c r="AY201" s="18">
        <v>3</v>
      </c>
      <c r="AZ201" s="71">
        <f t="shared" si="85"/>
        <v>1</v>
      </c>
      <c r="BA201" s="74">
        <v>1</v>
      </c>
      <c r="BB201" s="74">
        <v>1</v>
      </c>
      <c r="BC201" s="74">
        <v>0</v>
      </c>
      <c r="BD201" s="74">
        <v>0</v>
      </c>
      <c r="BE201" s="81">
        <f t="shared" si="86"/>
        <v>0.91749999999999987</v>
      </c>
      <c r="BF201" s="81" t="str">
        <f t="shared" si="87"/>
        <v>ALTO</v>
      </c>
    </row>
    <row r="202" spans="1:58" x14ac:dyDescent="0.15">
      <c r="A202" s="57">
        <v>2</v>
      </c>
      <c r="B202" s="57">
        <v>1</v>
      </c>
      <c r="C202" s="57">
        <v>1</v>
      </c>
      <c r="D202" s="57">
        <v>2</v>
      </c>
      <c r="E202" s="57">
        <v>1</v>
      </c>
      <c r="F202" s="17">
        <v>2</v>
      </c>
      <c r="G202" s="64">
        <f t="shared" si="66"/>
        <v>1</v>
      </c>
      <c r="H202" s="17">
        <v>2</v>
      </c>
      <c r="I202" s="64">
        <f t="shared" si="67"/>
        <v>1</v>
      </c>
      <c r="J202" s="17">
        <v>2</v>
      </c>
      <c r="K202" s="64">
        <f t="shared" si="68"/>
        <v>1</v>
      </c>
      <c r="L202" s="17">
        <v>3</v>
      </c>
      <c r="M202" s="64">
        <f t="shared" si="69"/>
        <v>1</v>
      </c>
      <c r="N202" s="17">
        <v>4</v>
      </c>
      <c r="O202" s="64">
        <f t="shared" si="70"/>
        <v>0.8</v>
      </c>
      <c r="P202" s="17">
        <v>3</v>
      </c>
      <c r="Q202" s="64">
        <f t="shared" si="71"/>
        <v>1</v>
      </c>
      <c r="R202" s="25">
        <v>3</v>
      </c>
      <c r="S202" s="71">
        <f t="shared" si="72"/>
        <v>1</v>
      </c>
      <c r="T202" s="17">
        <v>2</v>
      </c>
      <c r="U202" s="64">
        <f t="shared" si="73"/>
        <v>0.66666666666666663</v>
      </c>
      <c r="V202" s="17">
        <v>4</v>
      </c>
      <c r="W202" s="71">
        <f t="shared" si="74"/>
        <v>1</v>
      </c>
      <c r="X202" s="17">
        <v>3</v>
      </c>
      <c r="Y202" s="71">
        <f t="shared" si="75"/>
        <v>1</v>
      </c>
      <c r="Z202" s="17">
        <v>3</v>
      </c>
      <c r="AA202" s="71">
        <f t="shared" si="76"/>
        <v>1</v>
      </c>
      <c r="AB202" s="17">
        <v>0</v>
      </c>
      <c r="AC202" s="71">
        <f t="shared" si="77"/>
        <v>0</v>
      </c>
      <c r="AD202" s="57">
        <v>1</v>
      </c>
      <c r="AE202" s="57">
        <v>0</v>
      </c>
      <c r="AF202" s="57">
        <v>1</v>
      </c>
      <c r="AG202" s="57">
        <v>0</v>
      </c>
      <c r="AH202" s="57">
        <v>0</v>
      </c>
      <c r="AI202" s="57">
        <v>0</v>
      </c>
      <c r="AJ202" s="20">
        <v>2</v>
      </c>
      <c r="AK202" s="71">
        <f t="shared" si="78"/>
        <v>1</v>
      </c>
      <c r="AL202" s="17">
        <v>1</v>
      </c>
      <c r="AM202" s="71">
        <f t="shared" si="79"/>
        <v>0.33333333333333331</v>
      </c>
      <c r="AN202" s="17">
        <v>2</v>
      </c>
      <c r="AO202" s="71">
        <f t="shared" si="80"/>
        <v>0.66666666666666663</v>
      </c>
      <c r="AP202" s="17">
        <v>2</v>
      </c>
      <c r="AQ202" s="71">
        <f t="shared" si="81"/>
        <v>0.66666666666666663</v>
      </c>
      <c r="AR202" s="57">
        <v>2</v>
      </c>
      <c r="AS202" s="17">
        <v>3</v>
      </c>
      <c r="AT202" s="71">
        <f t="shared" si="82"/>
        <v>1</v>
      </c>
      <c r="AU202" s="17">
        <v>3</v>
      </c>
      <c r="AV202" s="71">
        <f t="shared" si="83"/>
        <v>1</v>
      </c>
      <c r="AW202" s="17">
        <v>2</v>
      </c>
      <c r="AX202" s="71">
        <f t="shared" si="84"/>
        <v>1</v>
      </c>
      <c r="AY202" s="17">
        <v>1</v>
      </c>
      <c r="AZ202" s="71">
        <f t="shared" si="85"/>
        <v>0.33333333333333331</v>
      </c>
      <c r="BA202" s="76">
        <v>1</v>
      </c>
      <c r="BB202" s="76">
        <v>0</v>
      </c>
      <c r="BC202" s="76">
        <v>1</v>
      </c>
      <c r="BD202" s="76">
        <v>0</v>
      </c>
      <c r="BE202" s="81">
        <f t="shared" si="86"/>
        <v>0.87333333333333329</v>
      </c>
      <c r="BF202" s="81" t="str">
        <f t="shared" si="87"/>
        <v>ALTO</v>
      </c>
    </row>
    <row r="203" spans="1:58" x14ac:dyDescent="0.15">
      <c r="A203" s="58">
        <v>5</v>
      </c>
      <c r="B203" s="58">
        <v>2</v>
      </c>
      <c r="C203" s="58">
        <v>1</v>
      </c>
      <c r="D203" s="58">
        <v>2</v>
      </c>
      <c r="E203" s="58">
        <v>1</v>
      </c>
      <c r="F203" s="18">
        <v>0</v>
      </c>
      <c r="G203" s="64">
        <f t="shared" si="66"/>
        <v>0</v>
      </c>
      <c r="H203" s="18">
        <v>0</v>
      </c>
      <c r="I203" s="64">
        <f t="shared" si="67"/>
        <v>0</v>
      </c>
      <c r="J203" s="18">
        <v>1</v>
      </c>
      <c r="K203" s="64">
        <f t="shared" si="68"/>
        <v>0.5</v>
      </c>
      <c r="L203" s="18">
        <v>1</v>
      </c>
      <c r="M203" s="64">
        <f t="shared" si="69"/>
        <v>0.33333333333333331</v>
      </c>
      <c r="N203" s="18">
        <v>5</v>
      </c>
      <c r="O203" s="64">
        <f t="shared" si="70"/>
        <v>1</v>
      </c>
      <c r="P203" s="18">
        <v>0</v>
      </c>
      <c r="Q203" s="64">
        <f t="shared" si="71"/>
        <v>0</v>
      </c>
      <c r="R203" s="24">
        <v>2</v>
      </c>
      <c r="S203" s="71">
        <f t="shared" si="72"/>
        <v>0.66666666666666663</v>
      </c>
      <c r="T203" s="18">
        <v>1</v>
      </c>
      <c r="U203" s="64">
        <f t="shared" si="73"/>
        <v>0.33333333333333331</v>
      </c>
      <c r="V203" s="18">
        <v>4</v>
      </c>
      <c r="W203" s="71">
        <f t="shared" si="74"/>
        <v>1</v>
      </c>
      <c r="X203" s="18">
        <v>2</v>
      </c>
      <c r="Y203" s="71">
        <f t="shared" si="75"/>
        <v>0.66666666666666663</v>
      </c>
      <c r="Z203" s="18">
        <v>2</v>
      </c>
      <c r="AA203" s="71">
        <f t="shared" si="76"/>
        <v>0.66666666666666663</v>
      </c>
      <c r="AB203" s="18">
        <v>1</v>
      </c>
      <c r="AC203" s="71">
        <f t="shared" si="77"/>
        <v>0.5</v>
      </c>
      <c r="AD203" s="58">
        <v>0</v>
      </c>
      <c r="AE203" s="58">
        <v>0</v>
      </c>
      <c r="AF203" s="58">
        <v>1</v>
      </c>
      <c r="AG203" s="58">
        <v>1</v>
      </c>
      <c r="AH203" s="58">
        <v>0</v>
      </c>
      <c r="AI203" s="58">
        <v>0</v>
      </c>
      <c r="AJ203" s="19">
        <v>1</v>
      </c>
      <c r="AK203" s="71">
        <f t="shared" si="78"/>
        <v>0.5</v>
      </c>
      <c r="AL203" s="18">
        <v>3</v>
      </c>
      <c r="AM203" s="71">
        <f t="shared" si="79"/>
        <v>1</v>
      </c>
      <c r="AN203" s="18">
        <v>0</v>
      </c>
      <c r="AO203" s="71">
        <f t="shared" si="80"/>
        <v>0</v>
      </c>
      <c r="AP203" s="18">
        <v>1</v>
      </c>
      <c r="AQ203" s="71">
        <f t="shared" si="81"/>
        <v>0.33333333333333331</v>
      </c>
      <c r="AR203" s="58">
        <v>2</v>
      </c>
      <c r="AS203" s="18">
        <v>2</v>
      </c>
      <c r="AT203" s="71">
        <f t="shared" si="82"/>
        <v>0.66666666666666663</v>
      </c>
      <c r="AU203" s="18">
        <v>2</v>
      </c>
      <c r="AV203" s="71">
        <f t="shared" si="83"/>
        <v>0.66666666666666663</v>
      </c>
      <c r="AW203" s="18">
        <v>1</v>
      </c>
      <c r="AX203" s="71">
        <f t="shared" si="84"/>
        <v>0.5</v>
      </c>
      <c r="AY203" s="18">
        <v>2</v>
      </c>
      <c r="AZ203" s="71">
        <f t="shared" si="85"/>
        <v>0.66666666666666663</v>
      </c>
      <c r="BA203" s="74">
        <v>1</v>
      </c>
      <c r="BB203" s="74">
        <v>0</v>
      </c>
      <c r="BC203" s="74">
        <v>0</v>
      </c>
      <c r="BD203" s="74">
        <v>0</v>
      </c>
      <c r="BE203" s="81">
        <f t="shared" si="86"/>
        <v>0.49999999999999989</v>
      </c>
      <c r="BF203" s="81" t="str">
        <f t="shared" si="87"/>
        <v>MEDIO</v>
      </c>
    </row>
    <row r="204" spans="1:58" x14ac:dyDescent="0.15">
      <c r="A204" s="57">
        <v>3</v>
      </c>
      <c r="B204" s="57">
        <v>1</v>
      </c>
      <c r="C204" s="57">
        <v>3</v>
      </c>
      <c r="D204" s="57">
        <v>2</v>
      </c>
      <c r="E204" s="57">
        <v>1</v>
      </c>
      <c r="F204" s="17">
        <v>2</v>
      </c>
      <c r="G204" s="64">
        <f t="shared" si="66"/>
        <v>1</v>
      </c>
      <c r="H204" s="17">
        <v>2</v>
      </c>
      <c r="I204" s="64">
        <f t="shared" si="67"/>
        <v>1</v>
      </c>
      <c r="J204" s="17">
        <v>1</v>
      </c>
      <c r="K204" s="64">
        <f t="shared" si="68"/>
        <v>0.5</v>
      </c>
      <c r="L204" s="17">
        <v>2</v>
      </c>
      <c r="M204" s="64">
        <f t="shared" si="69"/>
        <v>0.66666666666666663</v>
      </c>
      <c r="N204" s="17">
        <v>0</v>
      </c>
      <c r="O204" s="64">
        <f t="shared" si="70"/>
        <v>0</v>
      </c>
      <c r="P204" s="17">
        <v>3</v>
      </c>
      <c r="Q204" s="64">
        <f t="shared" si="71"/>
        <v>1</v>
      </c>
      <c r="R204" s="25">
        <v>2</v>
      </c>
      <c r="S204" s="71">
        <f t="shared" si="72"/>
        <v>0.66666666666666663</v>
      </c>
      <c r="T204" s="17">
        <v>2</v>
      </c>
      <c r="U204" s="64">
        <f t="shared" si="73"/>
        <v>0.66666666666666663</v>
      </c>
      <c r="V204" s="17">
        <v>3</v>
      </c>
      <c r="W204" s="71">
        <f t="shared" si="74"/>
        <v>0.75</v>
      </c>
      <c r="X204" s="17">
        <v>3</v>
      </c>
      <c r="Y204" s="71">
        <f t="shared" si="75"/>
        <v>1</v>
      </c>
      <c r="Z204" s="17">
        <v>1</v>
      </c>
      <c r="AA204" s="71">
        <f t="shared" si="76"/>
        <v>0.33333333333333331</v>
      </c>
      <c r="AB204" s="17">
        <v>2</v>
      </c>
      <c r="AC204" s="71">
        <f t="shared" si="77"/>
        <v>1</v>
      </c>
      <c r="AD204" s="57">
        <v>1</v>
      </c>
      <c r="AE204" s="57">
        <v>0</v>
      </c>
      <c r="AF204" s="57">
        <v>1</v>
      </c>
      <c r="AG204" s="57">
        <v>0</v>
      </c>
      <c r="AH204" s="57">
        <v>0</v>
      </c>
      <c r="AI204" s="57">
        <v>0</v>
      </c>
      <c r="AJ204" s="20">
        <v>0</v>
      </c>
      <c r="AK204" s="71">
        <f t="shared" si="78"/>
        <v>0</v>
      </c>
      <c r="AL204" s="17">
        <v>3</v>
      </c>
      <c r="AM204" s="71">
        <f t="shared" si="79"/>
        <v>1</v>
      </c>
      <c r="AN204" s="17">
        <v>1</v>
      </c>
      <c r="AO204" s="71">
        <f t="shared" si="80"/>
        <v>0.33333333333333331</v>
      </c>
      <c r="AP204" s="17">
        <v>2</v>
      </c>
      <c r="AQ204" s="71">
        <f t="shared" si="81"/>
        <v>0.66666666666666663</v>
      </c>
      <c r="AR204" s="57">
        <v>2</v>
      </c>
      <c r="AS204" s="17">
        <v>3</v>
      </c>
      <c r="AT204" s="71">
        <f t="shared" si="82"/>
        <v>1</v>
      </c>
      <c r="AU204" s="17">
        <v>3</v>
      </c>
      <c r="AV204" s="71">
        <f t="shared" si="83"/>
        <v>1</v>
      </c>
      <c r="AW204" s="17">
        <v>1</v>
      </c>
      <c r="AX204" s="71">
        <f t="shared" si="84"/>
        <v>0.5</v>
      </c>
      <c r="AY204" s="17">
        <v>0</v>
      </c>
      <c r="AZ204" s="71">
        <f t="shared" si="85"/>
        <v>0</v>
      </c>
      <c r="BA204" s="73">
        <v>1</v>
      </c>
      <c r="BB204" s="73">
        <v>1</v>
      </c>
      <c r="BC204" s="73">
        <v>0</v>
      </c>
      <c r="BD204" s="73">
        <v>0</v>
      </c>
      <c r="BE204" s="81">
        <f t="shared" si="86"/>
        <v>0.70416666666666672</v>
      </c>
      <c r="BF204" s="81" t="str">
        <f t="shared" si="87"/>
        <v>ALTO</v>
      </c>
    </row>
    <row r="205" spans="1:58" x14ac:dyDescent="0.15">
      <c r="A205" s="58">
        <v>3</v>
      </c>
      <c r="B205" s="58">
        <v>2</v>
      </c>
      <c r="C205" s="58">
        <v>1</v>
      </c>
      <c r="D205" s="58">
        <v>2</v>
      </c>
      <c r="E205" s="58">
        <v>1</v>
      </c>
      <c r="F205" s="18">
        <v>1</v>
      </c>
      <c r="G205" s="64">
        <f t="shared" si="66"/>
        <v>0.5</v>
      </c>
      <c r="H205" s="18">
        <v>1</v>
      </c>
      <c r="I205" s="64">
        <f t="shared" si="67"/>
        <v>0.5</v>
      </c>
      <c r="J205" s="18">
        <v>0</v>
      </c>
      <c r="K205" s="64">
        <f t="shared" si="68"/>
        <v>0</v>
      </c>
      <c r="L205" s="18">
        <v>2</v>
      </c>
      <c r="M205" s="64">
        <f t="shared" si="69"/>
        <v>0.66666666666666663</v>
      </c>
      <c r="N205" s="18">
        <v>2</v>
      </c>
      <c r="O205" s="64">
        <f t="shared" si="70"/>
        <v>0.4</v>
      </c>
      <c r="P205" s="18">
        <v>0</v>
      </c>
      <c r="Q205" s="64">
        <f t="shared" si="71"/>
        <v>0</v>
      </c>
      <c r="R205" s="24">
        <v>0</v>
      </c>
      <c r="S205" s="71">
        <f t="shared" si="72"/>
        <v>0</v>
      </c>
      <c r="T205" s="18">
        <v>1</v>
      </c>
      <c r="U205" s="64">
        <f t="shared" si="73"/>
        <v>0.33333333333333331</v>
      </c>
      <c r="V205" s="18">
        <v>3</v>
      </c>
      <c r="W205" s="71">
        <f t="shared" si="74"/>
        <v>0.75</v>
      </c>
      <c r="X205" s="18">
        <v>0</v>
      </c>
      <c r="Y205" s="71">
        <f t="shared" si="75"/>
        <v>0</v>
      </c>
      <c r="Z205" s="18">
        <v>0</v>
      </c>
      <c r="AA205" s="71">
        <f t="shared" si="76"/>
        <v>0</v>
      </c>
      <c r="AB205" s="18">
        <v>0</v>
      </c>
      <c r="AC205" s="71">
        <f t="shared" si="77"/>
        <v>0</v>
      </c>
      <c r="AD205" s="58">
        <v>1</v>
      </c>
      <c r="AE205" s="58">
        <v>0</v>
      </c>
      <c r="AF205" s="58">
        <v>1</v>
      </c>
      <c r="AG205" s="58">
        <v>0</v>
      </c>
      <c r="AH205" s="58">
        <v>0</v>
      </c>
      <c r="AI205" s="58">
        <v>0</v>
      </c>
      <c r="AJ205" s="19">
        <v>1</v>
      </c>
      <c r="AK205" s="71">
        <f t="shared" si="78"/>
        <v>0.5</v>
      </c>
      <c r="AL205" s="18">
        <v>0</v>
      </c>
      <c r="AM205" s="71">
        <f t="shared" si="79"/>
        <v>0</v>
      </c>
      <c r="AN205" s="18">
        <v>0</v>
      </c>
      <c r="AO205" s="71">
        <f t="shared" si="80"/>
        <v>0</v>
      </c>
      <c r="AP205" s="18">
        <v>0</v>
      </c>
      <c r="AQ205" s="71">
        <f t="shared" si="81"/>
        <v>0</v>
      </c>
      <c r="AR205" s="58">
        <v>3</v>
      </c>
      <c r="AS205" s="18">
        <v>1</v>
      </c>
      <c r="AT205" s="71">
        <f t="shared" si="82"/>
        <v>0.33333333333333331</v>
      </c>
      <c r="AU205" s="18">
        <v>1</v>
      </c>
      <c r="AV205" s="71">
        <f t="shared" si="83"/>
        <v>0.33333333333333331</v>
      </c>
      <c r="AW205" s="18">
        <v>1</v>
      </c>
      <c r="AX205" s="71">
        <f t="shared" si="84"/>
        <v>0.5</v>
      </c>
      <c r="AY205" s="18">
        <v>1</v>
      </c>
      <c r="AZ205" s="71">
        <f t="shared" si="85"/>
        <v>0.33333333333333331</v>
      </c>
      <c r="BA205" s="74"/>
      <c r="BB205" s="74">
        <v>1</v>
      </c>
      <c r="BC205" s="74">
        <v>1</v>
      </c>
      <c r="BD205" s="74">
        <v>0</v>
      </c>
      <c r="BE205" s="81">
        <f t="shared" si="86"/>
        <v>0.28249999999999997</v>
      </c>
      <c r="BF205" s="81" t="str">
        <f t="shared" si="87"/>
        <v>BASSO</v>
      </c>
    </row>
    <row r="206" spans="1:58" x14ac:dyDescent="0.15">
      <c r="A206" s="57">
        <v>3</v>
      </c>
      <c r="B206" s="57">
        <v>2</v>
      </c>
      <c r="C206" s="57">
        <v>2</v>
      </c>
      <c r="D206" s="57">
        <v>2</v>
      </c>
      <c r="E206" s="57">
        <v>1</v>
      </c>
      <c r="F206" s="17">
        <v>2</v>
      </c>
      <c r="G206" s="64">
        <f t="shared" si="66"/>
        <v>1</v>
      </c>
      <c r="H206" s="17">
        <v>1</v>
      </c>
      <c r="I206" s="64">
        <f t="shared" si="67"/>
        <v>0.5</v>
      </c>
      <c r="J206" s="17">
        <v>1</v>
      </c>
      <c r="K206" s="64">
        <f t="shared" si="68"/>
        <v>0.5</v>
      </c>
      <c r="L206" s="17">
        <v>3</v>
      </c>
      <c r="M206" s="64">
        <f t="shared" si="69"/>
        <v>1</v>
      </c>
      <c r="N206" s="17">
        <v>4</v>
      </c>
      <c r="O206" s="64">
        <f t="shared" si="70"/>
        <v>0.8</v>
      </c>
      <c r="P206" s="17">
        <v>2</v>
      </c>
      <c r="Q206" s="64">
        <f t="shared" si="71"/>
        <v>0.66666666666666663</v>
      </c>
      <c r="R206" s="25">
        <v>3</v>
      </c>
      <c r="S206" s="71">
        <f t="shared" si="72"/>
        <v>1</v>
      </c>
      <c r="T206" s="17">
        <v>2</v>
      </c>
      <c r="U206" s="64">
        <f t="shared" si="73"/>
        <v>0.66666666666666663</v>
      </c>
      <c r="V206" s="17">
        <v>3</v>
      </c>
      <c r="W206" s="71">
        <f t="shared" si="74"/>
        <v>0.75</v>
      </c>
      <c r="X206" s="17">
        <v>3</v>
      </c>
      <c r="Y206" s="71">
        <f t="shared" si="75"/>
        <v>1</v>
      </c>
      <c r="Z206" s="17">
        <v>1</v>
      </c>
      <c r="AA206" s="71">
        <f t="shared" si="76"/>
        <v>0.33333333333333331</v>
      </c>
      <c r="AB206" s="17">
        <v>1</v>
      </c>
      <c r="AC206" s="71">
        <f t="shared" si="77"/>
        <v>0.5</v>
      </c>
      <c r="AD206" s="57">
        <v>1</v>
      </c>
      <c r="AE206" s="57">
        <v>0</v>
      </c>
      <c r="AF206" s="57">
        <v>1</v>
      </c>
      <c r="AG206" s="57">
        <v>0</v>
      </c>
      <c r="AH206" s="57">
        <v>0</v>
      </c>
      <c r="AI206" s="57">
        <v>0</v>
      </c>
      <c r="AJ206" s="20">
        <v>2</v>
      </c>
      <c r="AK206" s="71">
        <f t="shared" si="78"/>
        <v>1</v>
      </c>
      <c r="AL206" s="17">
        <v>1</v>
      </c>
      <c r="AM206" s="71">
        <f t="shared" si="79"/>
        <v>0.33333333333333331</v>
      </c>
      <c r="AN206" s="17">
        <v>1</v>
      </c>
      <c r="AO206" s="71">
        <f t="shared" si="80"/>
        <v>0.33333333333333331</v>
      </c>
      <c r="AP206" s="17">
        <v>3</v>
      </c>
      <c r="AQ206" s="71">
        <f t="shared" si="81"/>
        <v>1</v>
      </c>
      <c r="AR206" s="57">
        <v>2</v>
      </c>
      <c r="AS206" s="17">
        <v>3</v>
      </c>
      <c r="AT206" s="71">
        <f t="shared" si="82"/>
        <v>1</v>
      </c>
      <c r="AU206" s="17">
        <v>3</v>
      </c>
      <c r="AV206" s="71">
        <f t="shared" si="83"/>
        <v>1</v>
      </c>
      <c r="AW206" s="17">
        <v>1</v>
      </c>
      <c r="AX206" s="71">
        <f t="shared" si="84"/>
        <v>0.5</v>
      </c>
      <c r="AY206" s="17">
        <v>3</v>
      </c>
      <c r="AZ206" s="71">
        <f t="shared" si="85"/>
        <v>1</v>
      </c>
      <c r="BA206" s="73">
        <v>1</v>
      </c>
      <c r="BB206" s="73">
        <v>1</v>
      </c>
      <c r="BC206" s="73">
        <v>0</v>
      </c>
      <c r="BD206" s="73">
        <v>0</v>
      </c>
      <c r="BE206" s="81">
        <f t="shared" si="86"/>
        <v>0.79416666666666669</v>
      </c>
      <c r="BF206" s="81" t="str">
        <f t="shared" si="87"/>
        <v>ALTO</v>
      </c>
    </row>
    <row r="207" spans="1:58" x14ac:dyDescent="0.15">
      <c r="A207" s="58">
        <v>3</v>
      </c>
      <c r="B207" s="58">
        <v>2</v>
      </c>
      <c r="C207" s="58">
        <v>3</v>
      </c>
      <c r="D207" s="58">
        <v>2</v>
      </c>
      <c r="E207" s="58">
        <v>1</v>
      </c>
      <c r="F207" s="18">
        <v>2</v>
      </c>
      <c r="G207" s="64">
        <f t="shared" si="66"/>
        <v>1</v>
      </c>
      <c r="H207" s="18">
        <v>2</v>
      </c>
      <c r="I207" s="64">
        <f t="shared" si="67"/>
        <v>1</v>
      </c>
      <c r="J207" s="18">
        <v>1</v>
      </c>
      <c r="K207" s="64">
        <f t="shared" si="68"/>
        <v>0.5</v>
      </c>
      <c r="L207" s="18">
        <v>2</v>
      </c>
      <c r="M207" s="64">
        <f t="shared" si="69"/>
        <v>0.66666666666666663</v>
      </c>
      <c r="N207" s="18">
        <v>3</v>
      </c>
      <c r="O207" s="64">
        <f t="shared" si="70"/>
        <v>0.6</v>
      </c>
      <c r="P207" s="18">
        <v>2</v>
      </c>
      <c r="Q207" s="64">
        <f t="shared" si="71"/>
        <v>0.66666666666666663</v>
      </c>
      <c r="R207" s="24">
        <v>3</v>
      </c>
      <c r="S207" s="71">
        <f t="shared" si="72"/>
        <v>1</v>
      </c>
      <c r="T207" s="18">
        <v>3</v>
      </c>
      <c r="U207" s="64">
        <f t="shared" si="73"/>
        <v>1</v>
      </c>
      <c r="V207" s="18">
        <v>4</v>
      </c>
      <c r="W207" s="71">
        <f t="shared" si="74"/>
        <v>1</v>
      </c>
      <c r="X207" s="18">
        <v>3</v>
      </c>
      <c r="Y207" s="71">
        <f t="shared" si="75"/>
        <v>1</v>
      </c>
      <c r="Z207" s="18">
        <v>2</v>
      </c>
      <c r="AA207" s="71">
        <f t="shared" si="76"/>
        <v>0.66666666666666663</v>
      </c>
      <c r="AB207" s="18">
        <v>0</v>
      </c>
      <c r="AC207" s="71">
        <f t="shared" si="77"/>
        <v>0</v>
      </c>
      <c r="AD207" s="58">
        <v>1</v>
      </c>
      <c r="AE207" s="58">
        <v>0</v>
      </c>
      <c r="AF207" s="58">
        <v>1</v>
      </c>
      <c r="AG207" s="58">
        <v>0</v>
      </c>
      <c r="AH207" s="58">
        <v>0</v>
      </c>
      <c r="AI207" s="58">
        <v>0</v>
      </c>
      <c r="AJ207" s="19">
        <v>2</v>
      </c>
      <c r="AK207" s="71">
        <f t="shared" si="78"/>
        <v>1</v>
      </c>
      <c r="AL207" s="18">
        <v>3</v>
      </c>
      <c r="AM207" s="71">
        <f t="shared" si="79"/>
        <v>1</v>
      </c>
      <c r="AN207" s="18">
        <v>1</v>
      </c>
      <c r="AO207" s="71">
        <f t="shared" si="80"/>
        <v>0.33333333333333331</v>
      </c>
      <c r="AP207" s="18">
        <v>2</v>
      </c>
      <c r="AQ207" s="71">
        <f t="shared" si="81"/>
        <v>0.66666666666666663</v>
      </c>
      <c r="AR207" s="58">
        <v>1</v>
      </c>
      <c r="AS207" s="18">
        <v>3</v>
      </c>
      <c r="AT207" s="71">
        <f t="shared" si="82"/>
        <v>1</v>
      </c>
      <c r="AU207" s="18">
        <v>3</v>
      </c>
      <c r="AV207" s="71">
        <f t="shared" si="83"/>
        <v>1</v>
      </c>
      <c r="AW207" s="18">
        <v>1</v>
      </c>
      <c r="AX207" s="71">
        <f t="shared" si="84"/>
        <v>0.5</v>
      </c>
      <c r="AY207" s="18">
        <v>3</v>
      </c>
      <c r="AZ207" s="71">
        <f t="shared" si="85"/>
        <v>1</v>
      </c>
      <c r="BA207" s="74">
        <v>0</v>
      </c>
      <c r="BB207" s="74">
        <v>1</v>
      </c>
      <c r="BC207" s="74">
        <v>1</v>
      </c>
      <c r="BD207" s="74">
        <v>0</v>
      </c>
      <c r="BE207" s="81">
        <f t="shared" si="86"/>
        <v>0.83000000000000007</v>
      </c>
      <c r="BF207" s="81" t="str">
        <f t="shared" si="87"/>
        <v>ALTO</v>
      </c>
    </row>
    <row r="208" spans="1:58" x14ac:dyDescent="0.15">
      <c r="A208" s="57">
        <v>3</v>
      </c>
      <c r="B208" s="57">
        <v>2</v>
      </c>
      <c r="C208" s="57">
        <v>1</v>
      </c>
      <c r="D208" s="57">
        <v>0</v>
      </c>
      <c r="E208" s="57">
        <v>1</v>
      </c>
      <c r="F208" s="17">
        <v>2</v>
      </c>
      <c r="G208" s="64">
        <f t="shared" si="66"/>
        <v>1</v>
      </c>
      <c r="H208" s="17">
        <v>1</v>
      </c>
      <c r="I208" s="64">
        <f t="shared" si="67"/>
        <v>0.5</v>
      </c>
      <c r="J208" s="17">
        <v>0</v>
      </c>
      <c r="K208" s="64">
        <f t="shared" si="68"/>
        <v>0</v>
      </c>
      <c r="L208" s="17">
        <v>0</v>
      </c>
      <c r="M208" s="64">
        <f t="shared" si="69"/>
        <v>0</v>
      </c>
      <c r="N208" s="17">
        <v>2</v>
      </c>
      <c r="O208" s="64">
        <f t="shared" si="70"/>
        <v>0.4</v>
      </c>
      <c r="P208" s="17">
        <v>0</v>
      </c>
      <c r="Q208" s="64">
        <f t="shared" si="71"/>
        <v>0</v>
      </c>
      <c r="R208" s="25">
        <v>0</v>
      </c>
      <c r="S208" s="71">
        <f t="shared" si="72"/>
        <v>0</v>
      </c>
      <c r="T208" s="17">
        <v>0</v>
      </c>
      <c r="U208" s="64">
        <f t="shared" si="73"/>
        <v>0</v>
      </c>
      <c r="V208" s="17">
        <v>3</v>
      </c>
      <c r="W208" s="71">
        <f t="shared" si="74"/>
        <v>0.75</v>
      </c>
      <c r="X208" s="17">
        <v>1</v>
      </c>
      <c r="Y208" s="71">
        <f t="shared" si="75"/>
        <v>0.33333333333333331</v>
      </c>
      <c r="Z208" s="17">
        <v>0</v>
      </c>
      <c r="AA208" s="71">
        <f t="shared" si="76"/>
        <v>0</v>
      </c>
      <c r="AB208" s="17">
        <v>0</v>
      </c>
      <c r="AC208" s="71">
        <f t="shared" si="77"/>
        <v>0</v>
      </c>
      <c r="AD208" s="57">
        <v>0</v>
      </c>
      <c r="AE208" s="57">
        <v>0</v>
      </c>
      <c r="AF208" s="57">
        <v>1</v>
      </c>
      <c r="AG208" s="57">
        <v>1</v>
      </c>
      <c r="AH208" s="57">
        <v>0</v>
      </c>
      <c r="AI208" s="57">
        <v>0</v>
      </c>
      <c r="AJ208" s="20">
        <v>1</v>
      </c>
      <c r="AK208" s="71">
        <f t="shared" si="78"/>
        <v>0.5</v>
      </c>
      <c r="AL208" s="17">
        <v>3</v>
      </c>
      <c r="AM208" s="71">
        <f t="shared" si="79"/>
        <v>1</v>
      </c>
      <c r="AN208" s="17">
        <v>2</v>
      </c>
      <c r="AO208" s="71">
        <f t="shared" si="80"/>
        <v>0.66666666666666663</v>
      </c>
      <c r="AP208" s="17">
        <v>0</v>
      </c>
      <c r="AQ208" s="71">
        <f t="shared" si="81"/>
        <v>0</v>
      </c>
      <c r="AR208" s="57">
        <v>2</v>
      </c>
      <c r="AS208" s="17">
        <v>1</v>
      </c>
      <c r="AT208" s="71">
        <f t="shared" si="82"/>
        <v>0.33333333333333331</v>
      </c>
      <c r="AU208" s="17">
        <v>2</v>
      </c>
      <c r="AV208" s="71">
        <f t="shared" si="83"/>
        <v>0.66666666666666663</v>
      </c>
      <c r="AW208" s="17">
        <v>0</v>
      </c>
      <c r="AX208" s="71">
        <f t="shared" si="84"/>
        <v>0</v>
      </c>
      <c r="AY208" s="17">
        <v>0</v>
      </c>
      <c r="AZ208" s="71">
        <f t="shared" si="85"/>
        <v>0</v>
      </c>
      <c r="BA208" s="73">
        <v>0</v>
      </c>
      <c r="BB208" s="73">
        <v>0</v>
      </c>
      <c r="BC208" s="73">
        <v>0</v>
      </c>
      <c r="BD208" s="73">
        <v>1</v>
      </c>
      <c r="BE208" s="81">
        <f t="shared" si="86"/>
        <v>0.35750000000000004</v>
      </c>
      <c r="BF208" s="81" t="str">
        <f t="shared" si="87"/>
        <v>MEDIO</v>
      </c>
    </row>
    <row r="209" spans="1:58" x14ac:dyDescent="0.15">
      <c r="A209" s="58">
        <v>3</v>
      </c>
      <c r="B209" s="58">
        <v>2</v>
      </c>
      <c r="C209" s="58">
        <v>3</v>
      </c>
      <c r="D209" s="58">
        <v>1</v>
      </c>
      <c r="E209" s="58">
        <v>1</v>
      </c>
      <c r="F209" s="18">
        <v>1</v>
      </c>
      <c r="G209" s="64">
        <f t="shared" si="66"/>
        <v>0.5</v>
      </c>
      <c r="H209" s="18">
        <v>2</v>
      </c>
      <c r="I209" s="64">
        <f t="shared" si="67"/>
        <v>1</v>
      </c>
      <c r="J209" s="18">
        <v>1</v>
      </c>
      <c r="K209" s="64">
        <f t="shared" si="68"/>
        <v>0.5</v>
      </c>
      <c r="L209" s="18">
        <v>2</v>
      </c>
      <c r="M209" s="64">
        <f t="shared" si="69"/>
        <v>0.66666666666666663</v>
      </c>
      <c r="N209" s="18">
        <v>2</v>
      </c>
      <c r="O209" s="64">
        <f t="shared" si="70"/>
        <v>0.4</v>
      </c>
      <c r="P209" s="18">
        <v>2</v>
      </c>
      <c r="Q209" s="64">
        <f t="shared" si="71"/>
        <v>0.66666666666666663</v>
      </c>
      <c r="R209" s="24">
        <v>3</v>
      </c>
      <c r="S209" s="71">
        <f t="shared" si="72"/>
        <v>1</v>
      </c>
      <c r="T209" s="18">
        <v>2</v>
      </c>
      <c r="U209" s="64">
        <f t="shared" si="73"/>
        <v>0.66666666666666663</v>
      </c>
      <c r="V209" s="18">
        <v>3</v>
      </c>
      <c r="W209" s="71">
        <f t="shared" si="74"/>
        <v>0.75</v>
      </c>
      <c r="X209" s="18">
        <v>3</v>
      </c>
      <c r="Y209" s="71">
        <f t="shared" si="75"/>
        <v>1</v>
      </c>
      <c r="Z209" s="18">
        <v>3</v>
      </c>
      <c r="AA209" s="71">
        <f t="shared" si="76"/>
        <v>1</v>
      </c>
      <c r="AB209" s="18">
        <v>2</v>
      </c>
      <c r="AC209" s="71">
        <f t="shared" si="77"/>
        <v>1</v>
      </c>
      <c r="AD209" s="58">
        <v>1</v>
      </c>
      <c r="AE209" s="58">
        <v>0</v>
      </c>
      <c r="AF209" s="58">
        <v>0</v>
      </c>
      <c r="AG209" s="58">
        <v>0</v>
      </c>
      <c r="AH209" s="58">
        <v>0</v>
      </c>
      <c r="AI209" s="58">
        <v>1</v>
      </c>
      <c r="AJ209" s="19">
        <v>2</v>
      </c>
      <c r="AK209" s="71">
        <f t="shared" si="78"/>
        <v>1</v>
      </c>
      <c r="AL209" s="18">
        <v>2</v>
      </c>
      <c r="AM209" s="71">
        <f t="shared" si="79"/>
        <v>0.66666666666666663</v>
      </c>
      <c r="AN209" s="18">
        <v>1</v>
      </c>
      <c r="AO209" s="71">
        <f t="shared" si="80"/>
        <v>0.33333333333333331</v>
      </c>
      <c r="AP209" s="18">
        <v>3</v>
      </c>
      <c r="AQ209" s="71">
        <f t="shared" si="81"/>
        <v>1</v>
      </c>
      <c r="AR209" s="58">
        <v>3</v>
      </c>
      <c r="AS209" s="18">
        <v>0</v>
      </c>
      <c r="AT209" s="71">
        <f t="shared" si="82"/>
        <v>0</v>
      </c>
      <c r="AU209" s="19">
        <v>1</v>
      </c>
      <c r="AV209" s="71">
        <f t="shared" si="83"/>
        <v>0.33333333333333331</v>
      </c>
      <c r="AW209" s="18">
        <v>0</v>
      </c>
      <c r="AX209" s="71">
        <f t="shared" si="84"/>
        <v>0</v>
      </c>
      <c r="AY209" s="18">
        <v>3</v>
      </c>
      <c r="AZ209" s="71">
        <f t="shared" si="85"/>
        <v>1</v>
      </c>
      <c r="BA209" s="75">
        <v>0</v>
      </c>
      <c r="BB209" s="75">
        <v>1</v>
      </c>
      <c r="BC209" s="75">
        <v>1</v>
      </c>
      <c r="BD209" s="75">
        <v>0</v>
      </c>
      <c r="BE209" s="81">
        <f t="shared" si="86"/>
        <v>0.69916666666666671</v>
      </c>
      <c r="BF209" s="81" t="str">
        <f t="shared" si="87"/>
        <v>ALTO</v>
      </c>
    </row>
    <row r="210" spans="1:58" x14ac:dyDescent="0.15">
      <c r="A210" s="57">
        <v>5</v>
      </c>
      <c r="B210" s="57">
        <v>2</v>
      </c>
      <c r="C210" s="57">
        <v>1</v>
      </c>
      <c r="D210" s="57">
        <v>0</v>
      </c>
      <c r="E210" s="57">
        <v>1</v>
      </c>
      <c r="F210" s="17">
        <v>1</v>
      </c>
      <c r="G210" s="64">
        <f t="shared" si="66"/>
        <v>0.5</v>
      </c>
      <c r="H210" s="17">
        <v>2</v>
      </c>
      <c r="I210" s="64">
        <f t="shared" si="67"/>
        <v>1</v>
      </c>
      <c r="J210" s="17">
        <v>2</v>
      </c>
      <c r="K210" s="64">
        <f t="shared" si="68"/>
        <v>1</v>
      </c>
      <c r="L210" s="17">
        <v>2</v>
      </c>
      <c r="M210" s="64">
        <f t="shared" si="69"/>
        <v>0.66666666666666663</v>
      </c>
      <c r="N210" s="17">
        <v>1</v>
      </c>
      <c r="O210" s="64">
        <f t="shared" si="70"/>
        <v>0.2</v>
      </c>
      <c r="P210" s="17">
        <v>0</v>
      </c>
      <c r="Q210" s="64">
        <f t="shared" si="71"/>
        <v>0</v>
      </c>
      <c r="R210" s="25">
        <v>2</v>
      </c>
      <c r="S210" s="71">
        <f t="shared" si="72"/>
        <v>0.66666666666666663</v>
      </c>
      <c r="T210" s="17">
        <v>2</v>
      </c>
      <c r="U210" s="64">
        <f t="shared" si="73"/>
        <v>0.66666666666666663</v>
      </c>
      <c r="V210" s="17">
        <v>3</v>
      </c>
      <c r="W210" s="71">
        <f t="shared" si="74"/>
        <v>0.75</v>
      </c>
      <c r="X210" s="17">
        <v>2</v>
      </c>
      <c r="Y210" s="71">
        <f t="shared" si="75"/>
        <v>0.66666666666666663</v>
      </c>
      <c r="Z210" s="17">
        <v>3</v>
      </c>
      <c r="AA210" s="71">
        <f t="shared" si="76"/>
        <v>1</v>
      </c>
      <c r="AB210" s="17">
        <v>2</v>
      </c>
      <c r="AC210" s="71">
        <f t="shared" si="77"/>
        <v>1</v>
      </c>
      <c r="AD210" s="57">
        <v>1</v>
      </c>
      <c r="AE210" s="57">
        <v>0</v>
      </c>
      <c r="AF210" s="57">
        <v>1</v>
      </c>
      <c r="AG210" s="57">
        <v>0</v>
      </c>
      <c r="AH210" s="57">
        <v>0</v>
      </c>
      <c r="AI210" s="57">
        <v>0</v>
      </c>
      <c r="AJ210" s="20">
        <v>1</v>
      </c>
      <c r="AK210" s="71">
        <f t="shared" si="78"/>
        <v>0.5</v>
      </c>
      <c r="AL210" s="17">
        <v>2</v>
      </c>
      <c r="AM210" s="71">
        <f t="shared" si="79"/>
        <v>0.66666666666666663</v>
      </c>
      <c r="AN210" s="17">
        <v>1</v>
      </c>
      <c r="AO210" s="71">
        <f t="shared" si="80"/>
        <v>0.33333333333333331</v>
      </c>
      <c r="AP210" s="17">
        <v>1</v>
      </c>
      <c r="AQ210" s="71">
        <f t="shared" si="81"/>
        <v>0.33333333333333331</v>
      </c>
      <c r="AR210" s="57">
        <v>3</v>
      </c>
      <c r="AS210" s="17">
        <v>1</v>
      </c>
      <c r="AT210" s="71">
        <f t="shared" si="82"/>
        <v>0.33333333333333331</v>
      </c>
      <c r="AU210" s="17">
        <v>3</v>
      </c>
      <c r="AV210" s="71">
        <f t="shared" si="83"/>
        <v>1</v>
      </c>
      <c r="AW210" s="17">
        <v>1</v>
      </c>
      <c r="AX210" s="71">
        <f t="shared" si="84"/>
        <v>0.5</v>
      </c>
      <c r="AY210" s="17">
        <v>1</v>
      </c>
      <c r="AZ210" s="71">
        <f t="shared" si="85"/>
        <v>0.33333333333333331</v>
      </c>
      <c r="BA210" s="73">
        <v>0</v>
      </c>
      <c r="BB210" s="73">
        <v>0</v>
      </c>
      <c r="BC210" s="73">
        <v>0</v>
      </c>
      <c r="BD210" s="73">
        <v>1</v>
      </c>
      <c r="BE210" s="81">
        <f t="shared" si="86"/>
        <v>0.63083333333333347</v>
      </c>
      <c r="BF210" s="81" t="str">
        <f t="shared" si="87"/>
        <v>MEDIO</v>
      </c>
    </row>
    <row r="211" spans="1:58" x14ac:dyDescent="0.15">
      <c r="A211" s="58">
        <v>0</v>
      </c>
      <c r="B211" s="58">
        <v>2</v>
      </c>
      <c r="C211" s="58">
        <v>0</v>
      </c>
      <c r="D211" s="58">
        <v>1</v>
      </c>
      <c r="E211" s="58">
        <v>1</v>
      </c>
      <c r="F211" s="18">
        <v>1</v>
      </c>
      <c r="G211" s="64">
        <f t="shared" si="66"/>
        <v>0.5</v>
      </c>
      <c r="H211" s="18">
        <v>1</v>
      </c>
      <c r="I211" s="64">
        <f t="shared" si="67"/>
        <v>0.5</v>
      </c>
      <c r="J211" s="18">
        <v>1</v>
      </c>
      <c r="K211" s="64">
        <f t="shared" si="68"/>
        <v>0.5</v>
      </c>
      <c r="L211" s="18">
        <v>0</v>
      </c>
      <c r="M211" s="64">
        <f t="shared" si="69"/>
        <v>0</v>
      </c>
      <c r="N211" s="18">
        <v>2</v>
      </c>
      <c r="O211" s="64">
        <f t="shared" si="70"/>
        <v>0.4</v>
      </c>
      <c r="P211" s="18">
        <v>0</v>
      </c>
      <c r="Q211" s="64">
        <f t="shared" si="71"/>
        <v>0</v>
      </c>
      <c r="R211" s="24">
        <v>3</v>
      </c>
      <c r="S211" s="71">
        <f t="shared" si="72"/>
        <v>1</v>
      </c>
      <c r="T211" s="18">
        <v>1</v>
      </c>
      <c r="U211" s="64">
        <f t="shared" si="73"/>
        <v>0.33333333333333331</v>
      </c>
      <c r="V211" s="18">
        <v>3</v>
      </c>
      <c r="W211" s="71">
        <f t="shared" si="74"/>
        <v>0.75</v>
      </c>
      <c r="X211" s="18">
        <v>3</v>
      </c>
      <c r="Y211" s="71">
        <f t="shared" si="75"/>
        <v>1</v>
      </c>
      <c r="Z211" s="18">
        <v>3</v>
      </c>
      <c r="AA211" s="71">
        <f t="shared" si="76"/>
        <v>1</v>
      </c>
      <c r="AB211" s="18">
        <v>2</v>
      </c>
      <c r="AC211" s="71">
        <f t="shared" si="77"/>
        <v>1</v>
      </c>
      <c r="AD211" s="58">
        <v>1</v>
      </c>
      <c r="AE211" s="58">
        <v>0</v>
      </c>
      <c r="AF211" s="58">
        <v>1</v>
      </c>
      <c r="AG211" s="58">
        <v>0</v>
      </c>
      <c r="AH211" s="58">
        <v>0</v>
      </c>
      <c r="AI211" s="58">
        <v>0</v>
      </c>
      <c r="AJ211" s="19">
        <v>1</v>
      </c>
      <c r="AK211" s="71">
        <f t="shared" si="78"/>
        <v>0.5</v>
      </c>
      <c r="AL211" s="18">
        <v>2</v>
      </c>
      <c r="AM211" s="71">
        <f t="shared" si="79"/>
        <v>0.66666666666666663</v>
      </c>
      <c r="AN211" s="18">
        <v>0</v>
      </c>
      <c r="AO211" s="71">
        <f t="shared" si="80"/>
        <v>0</v>
      </c>
      <c r="AP211" s="18">
        <v>2</v>
      </c>
      <c r="AQ211" s="71">
        <f t="shared" si="81"/>
        <v>0.66666666666666663</v>
      </c>
      <c r="AR211" s="58">
        <v>3</v>
      </c>
      <c r="AS211" s="18">
        <v>2</v>
      </c>
      <c r="AT211" s="71">
        <f t="shared" si="82"/>
        <v>0.66666666666666663</v>
      </c>
      <c r="AU211" s="18">
        <v>1</v>
      </c>
      <c r="AV211" s="71">
        <f t="shared" si="83"/>
        <v>0.33333333333333331</v>
      </c>
      <c r="AW211" s="18">
        <v>0</v>
      </c>
      <c r="AX211" s="71">
        <f t="shared" si="84"/>
        <v>0</v>
      </c>
      <c r="AY211" s="18">
        <v>2</v>
      </c>
      <c r="AZ211" s="71">
        <f t="shared" si="85"/>
        <v>0.66666666666666663</v>
      </c>
      <c r="BA211" s="74">
        <v>0</v>
      </c>
      <c r="BB211" s="74">
        <v>1</v>
      </c>
      <c r="BC211" s="74">
        <v>1</v>
      </c>
      <c r="BD211" s="74">
        <v>0</v>
      </c>
      <c r="BE211" s="81">
        <f t="shared" si="86"/>
        <v>0.54916666666666658</v>
      </c>
      <c r="BF211" s="81" t="str">
        <f t="shared" si="87"/>
        <v>MEDIO</v>
      </c>
    </row>
    <row r="212" spans="1:58" x14ac:dyDescent="0.15">
      <c r="A212" s="57">
        <v>2</v>
      </c>
      <c r="B212" s="57">
        <v>2</v>
      </c>
      <c r="C212" s="57">
        <v>3</v>
      </c>
      <c r="D212" s="57">
        <v>1</v>
      </c>
      <c r="E212" s="57">
        <v>1</v>
      </c>
      <c r="F212" s="17">
        <v>2</v>
      </c>
      <c r="G212" s="64">
        <f t="shared" si="66"/>
        <v>1</v>
      </c>
      <c r="H212" s="17">
        <v>1</v>
      </c>
      <c r="I212" s="64">
        <f t="shared" si="67"/>
        <v>0.5</v>
      </c>
      <c r="J212" s="17">
        <v>1</v>
      </c>
      <c r="K212" s="64">
        <f t="shared" si="68"/>
        <v>0.5</v>
      </c>
      <c r="L212" s="17">
        <v>3</v>
      </c>
      <c r="M212" s="64">
        <f t="shared" si="69"/>
        <v>1</v>
      </c>
      <c r="N212" s="17">
        <v>2</v>
      </c>
      <c r="O212" s="64">
        <f t="shared" si="70"/>
        <v>0.4</v>
      </c>
      <c r="P212" s="17">
        <v>2</v>
      </c>
      <c r="Q212" s="64">
        <f t="shared" si="71"/>
        <v>0.66666666666666663</v>
      </c>
      <c r="R212" s="25">
        <v>3</v>
      </c>
      <c r="S212" s="71">
        <f t="shared" si="72"/>
        <v>1</v>
      </c>
      <c r="T212" s="17">
        <v>2</v>
      </c>
      <c r="U212" s="64">
        <f t="shared" si="73"/>
        <v>0.66666666666666663</v>
      </c>
      <c r="V212" s="17">
        <v>3</v>
      </c>
      <c r="W212" s="71">
        <f t="shared" si="74"/>
        <v>0.75</v>
      </c>
      <c r="X212" s="17">
        <v>3</v>
      </c>
      <c r="Y212" s="71">
        <f t="shared" si="75"/>
        <v>1</v>
      </c>
      <c r="Z212" s="17">
        <v>1</v>
      </c>
      <c r="AA212" s="71">
        <f t="shared" si="76"/>
        <v>0.33333333333333331</v>
      </c>
      <c r="AB212" s="17">
        <v>2</v>
      </c>
      <c r="AC212" s="71">
        <f t="shared" si="77"/>
        <v>1</v>
      </c>
      <c r="AD212" s="57">
        <v>1</v>
      </c>
      <c r="AE212" s="57">
        <v>0</v>
      </c>
      <c r="AF212" s="57">
        <v>1</v>
      </c>
      <c r="AG212" s="57">
        <v>0</v>
      </c>
      <c r="AH212" s="57">
        <v>0</v>
      </c>
      <c r="AI212" s="57">
        <v>0</v>
      </c>
      <c r="AJ212" s="20">
        <v>1</v>
      </c>
      <c r="AK212" s="71">
        <f t="shared" si="78"/>
        <v>0.5</v>
      </c>
      <c r="AL212" s="17">
        <v>1</v>
      </c>
      <c r="AM212" s="71">
        <f t="shared" si="79"/>
        <v>0.33333333333333331</v>
      </c>
      <c r="AN212" s="17">
        <v>1</v>
      </c>
      <c r="AO212" s="71">
        <f t="shared" si="80"/>
        <v>0.33333333333333331</v>
      </c>
      <c r="AP212" s="17">
        <v>2</v>
      </c>
      <c r="AQ212" s="71">
        <f t="shared" si="81"/>
        <v>0.66666666666666663</v>
      </c>
      <c r="AR212" s="57">
        <v>2</v>
      </c>
      <c r="AS212" s="17">
        <v>2</v>
      </c>
      <c r="AT212" s="71">
        <f t="shared" si="82"/>
        <v>0.66666666666666663</v>
      </c>
      <c r="AU212" s="17">
        <v>2</v>
      </c>
      <c r="AV212" s="71">
        <f t="shared" si="83"/>
        <v>0.66666666666666663</v>
      </c>
      <c r="AW212" s="17">
        <v>2</v>
      </c>
      <c r="AX212" s="71">
        <f t="shared" si="84"/>
        <v>1</v>
      </c>
      <c r="AY212" s="17">
        <v>2</v>
      </c>
      <c r="AZ212" s="71">
        <f t="shared" si="85"/>
        <v>0.66666666666666663</v>
      </c>
      <c r="BA212" s="73">
        <v>0</v>
      </c>
      <c r="BB212" s="73">
        <v>1</v>
      </c>
      <c r="BC212" s="73">
        <v>1</v>
      </c>
      <c r="BD212" s="73">
        <v>0</v>
      </c>
      <c r="BE212" s="81">
        <f t="shared" si="86"/>
        <v>0.73250000000000004</v>
      </c>
      <c r="BF212" s="81" t="str">
        <f t="shared" si="87"/>
        <v>ALTO</v>
      </c>
    </row>
    <row r="213" spans="1:58" x14ac:dyDescent="0.15">
      <c r="A213" s="58">
        <v>2</v>
      </c>
      <c r="B213" s="58">
        <v>2</v>
      </c>
      <c r="C213" s="58">
        <v>1</v>
      </c>
      <c r="D213" s="58">
        <v>2</v>
      </c>
      <c r="E213" s="58">
        <v>1</v>
      </c>
      <c r="F213" s="18">
        <v>2</v>
      </c>
      <c r="G213" s="64">
        <f t="shared" si="66"/>
        <v>1</v>
      </c>
      <c r="H213" s="18">
        <v>0</v>
      </c>
      <c r="I213" s="64">
        <f t="shared" si="67"/>
        <v>0</v>
      </c>
      <c r="J213" s="18">
        <v>0</v>
      </c>
      <c r="K213" s="64">
        <f t="shared" si="68"/>
        <v>0</v>
      </c>
      <c r="L213" s="18">
        <v>0</v>
      </c>
      <c r="M213" s="64">
        <f t="shared" si="69"/>
        <v>0</v>
      </c>
      <c r="N213" s="18">
        <v>4</v>
      </c>
      <c r="O213" s="64">
        <f t="shared" si="70"/>
        <v>0.8</v>
      </c>
      <c r="P213" s="18">
        <v>2</v>
      </c>
      <c r="Q213" s="64">
        <f t="shared" si="71"/>
        <v>0.66666666666666663</v>
      </c>
      <c r="R213" s="24">
        <v>0</v>
      </c>
      <c r="S213" s="71">
        <f t="shared" si="72"/>
        <v>0</v>
      </c>
      <c r="T213" s="18">
        <v>1</v>
      </c>
      <c r="U213" s="64">
        <f t="shared" si="73"/>
        <v>0.33333333333333331</v>
      </c>
      <c r="V213" s="18">
        <v>3</v>
      </c>
      <c r="W213" s="71">
        <f t="shared" si="74"/>
        <v>0.75</v>
      </c>
      <c r="X213" s="18">
        <v>0</v>
      </c>
      <c r="Y213" s="71">
        <f t="shared" si="75"/>
        <v>0</v>
      </c>
      <c r="Z213" s="18">
        <v>1</v>
      </c>
      <c r="AA213" s="71">
        <f t="shared" si="76"/>
        <v>0.33333333333333331</v>
      </c>
      <c r="AB213" s="18">
        <v>2</v>
      </c>
      <c r="AC213" s="71">
        <f t="shared" si="77"/>
        <v>1</v>
      </c>
      <c r="AD213" s="58">
        <v>1</v>
      </c>
      <c r="AE213" s="58">
        <v>0</v>
      </c>
      <c r="AF213" s="58">
        <v>1</v>
      </c>
      <c r="AG213" s="58">
        <v>0</v>
      </c>
      <c r="AH213" s="58">
        <v>0</v>
      </c>
      <c r="AI213" s="58">
        <v>0</v>
      </c>
      <c r="AJ213" s="19">
        <v>1</v>
      </c>
      <c r="AK213" s="71">
        <f t="shared" si="78"/>
        <v>0.5</v>
      </c>
      <c r="AL213" s="18">
        <v>0</v>
      </c>
      <c r="AM213" s="71">
        <f t="shared" si="79"/>
        <v>0</v>
      </c>
      <c r="AN213" s="18">
        <v>0</v>
      </c>
      <c r="AO213" s="71">
        <f t="shared" si="80"/>
        <v>0</v>
      </c>
      <c r="AP213" s="18">
        <v>2</v>
      </c>
      <c r="AQ213" s="71">
        <f t="shared" si="81"/>
        <v>0.66666666666666663</v>
      </c>
      <c r="AR213" s="58">
        <v>2</v>
      </c>
      <c r="AS213" s="18">
        <v>2</v>
      </c>
      <c r="AT213" s="71">
        <f t="shared" si="82"/>
        <v>0.66666666666666663</v>
      </c>
      <c r="AU213" s="18">
        <v>0</v>
      </c>
      <c r="AV213" s="71">
        <f t="shared" si="83"/>
        <v>0</v>
      </c>
      <c r="AW213" s="18">
        <v>0</v>
      </c>
      <c r="AX213" s="71">
        <f t="shared" si="84"/>
        <v>0</v>
      </c>
      <c r="AY213" s="18">
        <v>2</v>
      </c>
      <c r="AZ213" s="71">
        <f t="shared" si="85"/>
        <v>0.66666666666666663</v>
      </c>
      <c r="BA213" s="74">
        <v>0</v>
      </c>
      <c r="BB213" s="74">
        <v>0</v>
      </c>
      <c r="BC213" s="74">
        <v>1</v>
      </c>
      <c r="BD213" s="74">
        <v>0</v>
      </c>
      <c r="BE213" s="81">
        <f t="shared" si="86"/>
        <v>0.41916666666666663</v>
      </c>
      <c r="BF213" s="81" t="str">
        <f t="shared" si="87"/>
        <v>MEDIO</v>
      </c>
    </row>
    <row r="214" spans="1:58" x14ac:dyDescent="0.15">
      <c r="A214" s="57">
        <v>3</v>
      </c>
      <c r="B214" s="57">
        <v>1</v>
      </c>
      <c r="C214" s="57">
        <v>3</v>
      </c>
      <c r="D214" s="57">
        <v>1</v>
      </c>
      <c r="E214" s="57">
        <v>1</v>
      </c>
      <c r="F214" s="17">
        <v>2</v>
      </c>
      <c r="G214" s="64">
        <f t="shared" si="66"/>
        <v>1</v>
      </c>
      <c r="H214" s="17">
        <v>2</v>
      </c>
      <c r="I214" s="64">
        <f t="shared" si="67"/>
        <v>1</v>
      </c>
      <c r="J214" s="17">
        <v>2</v>
      </c>
      <c r="K214" s="64">
        <f t="shared" si="68"/>
        <v>1</v>
      </c>
      <c r="L214" s="17">
        <v>3</v>
      </c>
      <c r="M214" s="64">
        <f t="shared" si="69"/>
        <v>1</v>
      </c>
      <c r="N214" s="17">
        <v>0</v>
      </c>
      <c r="O214" s="64">
        <f t="shared" si="70"/>
        <v>0</v>
      </c>
      <c r="P214" s="17">
        <v>3</v>
      </c>
      <c r="Q214" s="64">
        <f t="shared" si="71"/>
        <v>1</v>
      </c>
      <c r="R214" s="25">
        <v>3</v>
      </c>
      <c r="S214" s="71">
        <f t="shared" si="72"/>
        <v>1</v>
      </c>
      <c r="T214" s="17">
        <v>3</v>
      </c>
      <c r="U214" s="64">
        <f t="shared" si="73"/>
        <v>1</v>
      </c>
      <c r="V214" s="17">
        <v>3</v>
      </c>
      <c r="W214" s="71">
        <f t="shared" si="74"/>
        <v>0.75</v>
      </c>
      <c r="X214" s="17">
        <v>3</v>
      </c>
      <c r="Y214" s="71">
        <f t="shared" si="75"/>
        <v>1</v>
      </c>
      <c r="Z214" s="17">
        <v>3</v>
      </c>
      <c r="AA214" s="71">
        <f t="shared" si="76"/>
        <v>1</v>
      </c>
      <c r="AB214" s="17">
        <v>3</v>
      </c>
      <c r="AC214" s="71">
        <f t="shared" si="77"/>
        <v>1.5</v>
      </c>
      <c r="AD214" s="57">
        <v>1</v>
      </c>
      <c r="AE214" s="57">
        <v>0</v>
      </c>
      <c r="AF214" s="57">
        <v>1</v>
      </c>
      <c r="AG214" s="57">
        <v>0</v>
      </c>
      <c r="AH214" s="57">
        <v>0</v>
      </c>
      <c r="AI214" s="57">
        <v>0</v>
      </c>
      <c r="AJ214" s="20">
        <v>2</v>
      </c>
      <c r="AK214" s="71">
        <f t="shared" si="78"/>
        <v>1</v>
      </c>
      <c r="AL214" s="17">
        <v>2</v>
      </c>
      <c r="AM214" s="71">
        <f t="shared" si="79"/>
        <v>0.66666666666666663</v>
      </c>
      <c r="AN214" s="17">
        <v>2</v>
      </c>
      <c r="AO214" s="71">
        <f t="shared" si="80"/>
        <v>0.66666666666666663</v>
      </c>
      <c r="AP214" s="17">
        <v>3</v>
      </c>
      <c r="AQ214" s="71">
        <f t="shared" si="81"/>
        <v>1</v>
      </c>
      <c r="AR214" s="57">
        <v>2</v>
      </c>
      <c r="AS214" s="17">
        <v>2</v>
      </c>
      <c r="AT214" s="71">
        <f t="shared" si="82"/>
        <v>0.66666666666666663</v>
      </c>
      <c r="AU214" s="17">
        <v>3</v>
      </c>
      <c r="AV214" s="71">
        <f t="shared" si="83"/>
        <v>1</v>
      </c>
      <c r="AW214" s="17">
        <v>2</v>
      </c>
      <c r="AX214" s="71">
        <f t="shared" si="84"/>
        <v>1</v>
      </c>
      <c r="AY214" s="17">
        <v>3</v>
      </c>
      <c r="AZ214" s="71">
        <f t="shared" si="85"/>
        <v>1</v>
      </c>
      <c r="BA214" s="73">
        <v>1</v>
      </c>
      <c r="BB214" s="73">
        <v>0</v>
      </c>
      <c r="BC214" s="73">
        <v>1</v>
      </c>
      <c r="BD214" s="73">
        <v>0</v>
      </c>
      <c r="BE214" s="81">
        <f t="shared" si="86"/>
        <v>0.96250000000000002</v>
      </c>
      <c r="BF214" s="81" t="str">
        <f t="shared" si="87"/>
        <v>ALTO</v>
      </c>
    </row>
    <row r="215" spans="1:58" x14ac:dyDescent="0.15">
      <c r="A215" s="58">
        <v>1</v>
      </c>
      <c r="B215" s="58">
        <v>2</v>
      </c>
      <c r="C215" s="58">
        <v>1</v>
      </c>
      <c r="D215" s="58">
        <v>1</v>
      </c>
      <c r="E215" s="58">
        <v>1</v>
      </c>
      <c r="F215" s="18">
        <v>1</v>
      </c>
      <c r="G215" s="64">
        <f t="shared" si="66"/>
        <v>0.5</v>
      </c>
      <c r="H215" s="18">
        <v>1</v>
      </c>
      <c r="I215" s="64">
        <f t="shared" si="67"/>
        <v>0.5</v>
      </c>
      <c r="J215" s="18">
        <v>2</v>
      </c>
      <c r="K215" s="64">
        <f t="shared" si="68"/>
        <v>1</v>
      </c>
      <c r="L215" s="18">
        <v>3</v>
      </c>
      <c r="M215" s="64">
        <f t="shared" si="69"/>
        <v>1</v>
      </c>
      <c r="N215" s="18">
        <v>3</v>
      </c>
      <c r="O215" s="64">
        <f t="shared" si="70"/>
        <v>0.6</v>
      </c>
      <c r="P215" s="18">
        <v>1</v>
      </c>
      <c r="Q215" s="64">
        <f t="shared" si="71"/>
        <v>0.33333333333333331</v>
      </c>
      <c r="R215" s="24">
        <v>2</v>
      </c>
      <c r="S215" s="71">
        <f t="shared" si="72"/>
        <v>0.66666666666666663</v>
      </c>
      <c r="T215" s="18">
        <v>2</v>
      </c>
      <c r="U215" s="64">
        <f t="shared" si="73"/>
        <v>0.66666666666666663</v>
      </c>
      <c r="V215" s="18">
        <v>3</v>
      </c>
      <c r="W215" s="71">
        <f t="shared" si="74"/>
        <v>0.75</v>
      </c>
      <c r="X215" s="18">
        <v>2</v>
      </c>
      <c r="Y215" s="71">
        <f t="shared" si="75"/>
        <v>0.66666666666666663</v>
      </c>
      <c r="Z215" s="18">
        <v>3</v>
      </c>
      <c r="AA215" s="71">
        <f t="shared" si="76"/>
        <v>1</v>
      </c>
      <c r="AB215" s="18">
        <v>1</v>
      </c>
      <c r="AC215" s="71">
        <f t="shared" si="77"/>
        <v>0.5</v>
      </c>
      <c r="AD215" s="58">
        <v>0</v>
      </c>
      <c r="AE215" s="58">
        <v>1</v>
      </c>
      <c r="AF215" s="58">
        <v>1</v>
      </c>
      <c r="AG215" s="58">
        <v>0</v>
      </c>
      <c r="AH215" s="58">
        <v>0</v>
      </c>
      <c r="AI215" s="58">
        <v>0</v>
      </c>
      <c r="AJ215" s="19">
        <v>1</v>
      </c>
      <c r="AK215" s="71">
        <f t="shared" si="78"/>
        <v>0.5</v>
      </c>
      <c r="AL215" s="18">
        <v>2</v>
      </c>
      <c r="AM215" s="71">
        <f t="shared" si="79"/>
        <v>0.66666666666666663</v>
      </c>
      <c r="AN215" s="18">
        <v>2</v>
      </c>
      <c r="AO215" s="71">
        <f t="shared" si="80"/>
        <v>0.66666666666666663</v>
      </c>
      <c r="AP215" s="18">
        <v>3</v>
      </c>
      <c r="AQ215" s="71">
        <f t="shared" si="81"/>
        <v>1</v>
      </c>
      <c r="AR215" s="58">
        <v>0</v>
      </c>
      <c r="AS215" s="18">
        <v>3</v>
      </c>
      <c r="AT215" s="71">
        <f t="shared" si="82"/>
        <v>1</v>
      </c>
      <c r="AU215" s="18">
        <v>3</v>
      </c>
      <c r="AV215" s="71">
        <f t="shared" si="83"/>
        <v>1</v>
      </c>
      <c r="AW215" s="18">
        <v>0</v>
      </c>
      <c r="AX215" s="71">
        <f t="shared" si="84"/>
        <v>0</v>
      </c>
      <c r="AY215" s="18">
        <v>3</v>
      </c>
      <c r="AZ215" s="71">
        <f t="shared" si="85"/>
        <v>1</v>
      </c>
      <c r="BA215" s="74">
        <v>1</v>
      </c>
      <c r="BB215" s="74">
        <v>1</v>
      </c>
      <c r="BC215" s="74">
        <v>0</v>
      </c>
      <c r="BD215" s="74">
        <v>0</v>
      </c>
      <c r="BE215" s="81">
        <f t="shared" si="86"/>
        <v>0.72583333333333333</v>
      </c>
      <c r="BF215" s="81" t="str">
        <f t="shared" si="87"/>
        <v>ALTO</v>
      </c>
    </row>
    <row r="216" spans="1:58" x14ac:dyDescent="0.15">
      <c r="A216" s="57">
        <v>4</v>
      </c>
      <c r="B216" s="57">
        <v>2</v>
      </c>
      <c r="C216" s="57">
        <v>3</v>
      </c>
      <c r="D216" s="57">
        <v>2</v>
      </c>
      <c r="E216" s="57">
        <v>1</v>
      </c>
      <c r="F216" s="17">
        <v>1</v>
      </c>
      <c r="G216" s="64">
        <f t="shared" si="66"/>
        <v>0.5</v>
      </c>
      <c r="H216" s="17">
        <v>1</v>
      </c>
      <c r="I216" s="64">
        <f t="shared" si="67"/>
        <v>0.5</v>
      </c>
      <c r="J216" s="17">
        <v>0</v>
      </c>
      <c r="K216" s="64">
        <f t="shared" si="68"/>
        <v>0</v>
      </c>
      <c r="L216" s="17">
        <v>0</v>
      </c>
      <c r="M216" s="64">
        <f t="shared" si="69"/>
        <v>0</v>
      </c>
      <c r="N216" s="17">
        <v>2</v>
      </c>
      <c r="O216" s="64">
        <f t="shared" si="70"/>
        <v>0.4</v>
      </c>
      <c r="P216" s="17">
        <v>0</v>
      </c>
      <c r="Q216" s="64">
        <f t="shared" si="71"/>
        <v>0</v>
      </c>
      <c r="R216" s="25">
        <v>0</v>
      </c>
      <c r="S216" s="71">
        <f t="shared" si="72"/>
        <v>0</v>
      </c>
      <c r="T216" s="17">
        <v>0</v>
      </c>
      <c r="U216" s="64">
        <f t="shared" si="73"/>
        <v>0</v>
      </c>
      <c r="V216" s="17">
        <v>3</v>
      </c>
      <c r="W216" s="71">
        <f t="shared" si="74"/>
        <v>0.75</v>
      </c>
      <c r="X216" s="17">
        <v>0</v>
      </c>
      <c r="Y216" s="71">
        <f t="shared" si="75"/>
        <v>0</v>
      </c>
      <c r="Z216" s="17">
        <v>1</v>
      </c>
      <c r="AA216" s="71">
        <f t="shared" si="76"/>
        <v>0.33333333333333331</v>
      </c>
      <c r="AB216" s="17">
        <v>3</v>
      </c>
      <c r="AC216" s="71">
        <f t="shared" si="77"/>
        <v>1.5</v>
      </c>
      <c r="AD216" s="57">
        <v>0</v>
      </c>
      <c r="AE216" s="57">
        <v>0</v>
      </c>
      <c r="AF216" s="57">
        <v>0</v>
      </c>
      <c r="AG216" s="57">
        <v>1</v>
      </c>
      <c r="AH216" s="57">
        <v>0</v>
      </c>
      <c r="AI216" s="57">
        <v>0</v>
      </c>
      <c r="AJ216" s="20">
        <v>1</v>
      </c>
      <c r="AK216" s="71">
        <f t="shared" si="78"/>
        <v>0.5</v>
      </c>
      <c r="AL216" s="17">
        <v>2</v>
      </c>
      <c r="AM216" s="71">
        <f t="shared" si="79"/>
        <v>0.66666666666666663</v>
      </c>
      <c r="AN216" s="17">
        <v>0</v>
      </c>
      <c r="AO216" s="71">
        <f t="shared" si="80"/>
        <v>0</v>
      </c>
      <c r="AP216" s="17">
        <v>1</v>
      </c>
      <c r="AQ216" s="71">
        <f t="shared" si="81"/>
        <v>0.33333333333333331</v>
      </c>
      <c r="AR216" s="57">
        <v>0</v>
      </c>
      <c r="AS216" s="17">
        <v>2</v>
      </c>
      <c r="AT216" s="71">
        <f t="shared" si="82"/>
        <v>0.66666666666666663</v>
      </c>
      <c r="AU216" s="17">
        <v>2</v>
      </c>
      <c r="AV216" s="71">
        <f t="shared" si="83"/>
        <v>0.66666666666666663</v>
      </c>
      <c r="AW216" s="17">
        <v>0</v>
      </c>
      <c r="AX216" s="71">
        <f t="shared" si="84"/>
        <v>0</v>
      </c>
      <c r="AY216" s="17">
        <v>2</v>
      </c>
      <c r="AZ216" s="71">
        <f t="shared" si="85"/>
        <v>0.66666666666666663</v>
      </c>
      <c r="BA216" s="73">
        <v>0</v>
      </c>
      <c r="BB216" s="73">
        <v>0</v>
      </c>
      <c r="BC216" s="73">
        <v>0</v>
      </c>
      <c r="BD216" s="73">
        <v>1</v>
      </c>
      <c r="BE216" s="81">
        <f t="shared" si="86"/>
        <v>0.39916666666666673</v>
      </c>
      <c r="BF216" s="81" t="str">
        <f t="shared" si="87"/>
        <v>MEDIO</v>
      </c>
    </row>
    <row r="217" spans="1:58" x14ac:dyDescent="0.15">
      <c r="A217" s="58">
        <v>1</v>
      </c>
      <c r="B217" s="58">
        <v>2</v>
      </c>
      <c r="C217" s="58">
        <v>3</v>
      </c>
      <c r="D217" s="58">
        <v>2</v>
      </c>
      <c r="E217" s="58">
        <v>1</v>
      </c>
      <c r="F217" s="18">
        <v>2</v>
      </c>
      <c r="G217" s="64">
        <f t="shared" si="66"/>
        <v>1</v>
      </c>
      <c r="H217" s="18">
        <v>2</v>
      </c>
      <c r="I217" s="64">
        <f t="shared" si="67"/>
        <v>1</v>
      </c>
      <c r="J217" s="18">
        <v>1</v>
      </c>
      <c r="K217" s="64">
        <f t="shared" si="68"/>
        <v>0.5</v>
      </c>
      <c r="L217" s="18">
        <v>1</v>
      </c>
      <c r="M217" s="64">
        <f t="shared" si="69"/>
        <v>0.33333333333333331</v>
      </c>
      <c r="N217" s="18">
        <v>2</v>
      </c>
      <c r="O217" s="64">
        <f t="shared" si="70"/>
        <v>0.4</v>
      </c>
      <c r="P217" s="18">
        <v>2</v>
      </c>
      <c r="Q217" s="64">
        <f t="shared" si="71"/>
        <v>0.66666666666666663</v>
      </c>
      <c r="R217" s="24">
        <v>3</v>
      </c>
      <c r="S217" s="71">
        <f t="shared" si="72"/>
        <v>1</v>
      </c>
      <c r="T217" s="18">
        <v>2</v>
      </c>
      <c r="U217" s="64">
        <f t="shared" si="73"/>
        <v>0.66666666666666663</v>
      </c>
      <c r="V217" s="18">
        <v>3</v>
      </c>
      <c r="W217" s="71">
        <f t="shared" si="74"/>
        <v>0.75</v>
      </c>
      <c r="X217" s="18">
        <v>3</v>
      </c>
      <c r="Y217" s="71">
        <f t="shared" si="75"/>
        <v>1</v>
      </c>
      <c r="Z217" s="18">
        <v>1</v>
      </c>
      <c r="AA217" s="71">
        <f t="shared" si="76"/>
        <v>0.33333333333333331</v>
      </c>
      <c r="AB217" s="18">
        <v>2</v>
      </c>
      <c r="AC217" s="71">
        <f t="shared" si="77"/>
        <v>1</v>
      </c>
      <c r="AD217" s="58">
        <v>1</v>
      </c>
      <c r="AE217" s="58">
        <v>0</v>
      </c>
      <c r="AF217" s="58">
        <v>1</v>
      </c>
      <c r="AG217" s="58">
        <v>0</v>
      </c>
      <c r="AH217" s="58">
        <v>0</v>
      </c>
      <c r="AI217" s="58">
        <v>0</v>
      </c>
      <c r="AJ217" s="19">
        <v>2</v>
      </c>
      <c r="AK217" s="71">
        <f t="shared" si="78"/>
        <v>1</v>
      </c>
      <c r="AL217" s="18">
        <v>1</v>
      </c>
      <c r="AM217" s="71">
        <f t="shared" si="79"/>
        <v>0.33333333333333331</v>
      </c>
      <c r="AN217" s="18">
        <v>1</v>
      </c>
      <c r="AO217" s="71">
        <f t="shared" si="80"/>
        <v>0.33333333333333331</v>
      </c>
      <c r="AP217" s="18">
        <v>2</v>
      </c>
      <c r="AQ217" s="71">
        <f t="shared" si="81"/>
        <v>0.66666666666666663</v>
      </c>
      <c r="AR217" s="58">
        <v>3</v>
      </c>
      <c r="AS217" s="18">
        <v>2</v>
      </c>
      <c r="AT217" s="71">
        <f t="shared" si="82"/>
        <v>0.66666666666666663</v>
      </c>
      <c r="AU217" s="18">
        <v>2</v>
      </c>
      <c r="AV217" s="71">
        <f t="shared" si="83"/>
        <v>0.66666666666666663</v>
      </c>
      <c r="AW217" s="18">
        <v>1</v>
      </c>
      <c r="AX217" s="71">
        <f t="shared" si="84"/>
        <v>0.5</v>
      </c>
      <c r="AY217" s="18">
        <v>3</v>
      </c>
      <c r="AZ217" s="71">
        <f t="shared" si="85"/>
        <v>1</v>
      </c>
      <c r="BA217" s="74">
        <v>0</v>
      </c>
      <c r="BB217" s="74">
        <v>1</v>
      </c>
      <c r="BC217" s="74">
        <v>1</v>
      </c>
      <c r="BD217" s="74">
        <v>0</v>
      </c>
      <c r="BE217" s="81">
        <f t="shared" si="86"/>
        <v>0.74083333333333334</v>
      </c>
      <c r="BF217" s="81" t="str">
        <f t="shared" si="87"/>
        <v>ALTO</v>
      </c>
    </row>
    <row r="218" spans="1:58" x14ac:dyDescent="0.15">
      <c r="A218" s="57">
        <v>2</v>
      </c>
      <c r="B218" s="57">
        <v>2</v>
      </c>
      <c r="C218" s="57">
        <v>1</v>
      </c>
      <c r="D218" s="57">
        <v>1</v>
      </c>
      <c r="E218" s="57">
        <v>1</v>
      </c>
      <c r="F218" s="17">
        <v>2</v>
      </c>
      <c r="G218" s="64">
        <f t="shared" si="66"/>
        <v>1</v>
      </c>
      <c r="H218" s="17">
        <v>1</v>
      </c>
      <c r="I218" s="64">
        <f t="shared" si="67"/>
        <v>0.5</v>
      </c>
      <c r="J218" s="17">
        <v>1</v>
      </c>
      <c r="K218" s="64">
        <f t="shared" si="68"/>
        <v>0.5</v>
      </c>
      <c r="L218" s="17">
        <v>3</v>
      </c>
      <c r="M218" s="64">
        <f t="shared" si="69"/>
        <v>1</v>
      </c>
      <c r="N218" s="17">
        <v>0</v>
      </c>
      <c r="O218" s="64">
        <f t="shared" si="70"/>
        <v>0</v>
      </c>
      <c r="P218" s="17">
        <v>3</v>
      </c>
      <c r="Q218" s="64">
        <f t="shared" si="71"/>
        <v>1</v>
      </c>
      <c r="R218" s="25">
        <v>3</v>
      </c>
      <c r="S218" s="71">
        <f t="shared" si="72"/>
        <v>1</v>
      </c>
      <c r="T218" s="17">
        <v>3</v>
      </c>
      <c r="U218" s="64">
        <f t="shared" si="73"/>
        <v>1</v>
      </c>
      <c r="V218" s="17">
        <v>4</v>
      </c>
      <c r="W218" s="71">
        <f t="shared" si="74"/>
        <v>1</v>
      </c>
      <c r="X218" s="17">
        <v>3</v>
      </c>
      <c r="Y218" s="71">
        <f t="shared" si="75"/>
        <v>1</v>
      </c>
      <c r="Z218" s="17">
        <v>2</v>
      </c>
      <c r="AA218" s="71">
        <f t="shared" si="76"/>
        <v>0.66666666666666663</v>
      </c>
      <c r="AB218" s="17">
        <v>2</v>
      </c>
      <c r="AC218" s="71">
        <f t="shared" si="77"/>
        <v>1</v>
      </c>
      <c r="AD218" s="57">
        <v>1</v>
      </c>
      <c r="AE218" s="57">
        <v>0</v>
      </c>
      <c r="AF218" s="57">
        <v>1</v>
      </c>
      <c r="AG218" s="57">
        <v>0</v>
      </c>
      <c r="AH218" s="57">
        <v>0</v>
      </c>
      <c r="AI218" s="57">
        <v>0</v>
      </c>
      <c r="AJ218" s="20">
        <v>1</v>
      </c>
      <c r="AK218" s="71">
        <f t="shared" si="78"/>
        <v>0.5</v>
      </c>
      <c r="AL218" s="17">
        <v>1</v>
      </c>
      <c r="AM218" s="71">
        <f t="shared" si="79"/>
        <v>0.33333333333333331</v>
      </c>
      <c r="AN218" s="17">
        <v>1</v>
      </c>
      <c r="AO218" s="71">
        <f t="shared" si="80"/>
        <v>0.33333333333333331</v>
      </c>
      <c r="AP218" s="17">
        <v>3</v>
      </c>
      <c r="AQ218" s="71">
        <f t="shared" si="81"/>
        <v>1</v>
      </c>
      <c r="AR218" s="57">
        <v>1</v>
      </c>
      <c r="AS218" s="17">
        <v>3</v>
      </c>
      <c r="AT218" s="71">
        <f t="shared" si="82"/>
        <v>1</v>
      </c>
      <c r="AU218" s="17">
        <v>3</v>
      </c>
      <c r="AV218" s="71">
        <f t="shared" si="83"/>
        <v>1</v>
      </c>
      <c r="AW218" s="17">
        <v>0</v>
      </c>
      <c r="AX218" s="71">
        <f t="shared" si="84"/>
        <v>0</v>
      </c>
      <c r="AY218" s="17">
        <v>2</v>
      </c>
      <c r="AZ218" s="71">
        <f t="shared" si="85"/>
        <v>0.66666666666666663</v>
      </c>
      <c r="BA218" s="73">
        <v>1</v>
      </c>
      <c r="BB218" s="73">
        <v>1</v>
      </c>
      <c r="BC218" s="73">
        <v>0</v>
      </c>
      <c r="BD218" s="73">
        <v>0</v>
      </c>
      <c r="BE218" s="81">
        <f t="shared" si="86"/>
        <v>0.77500000000000002</v>
      </c>
      <c r="BF218" s="81" t="str">
        <f t="shared" si="87"/>
        <v>ALTO</v>
      </c>
    </row>
    <row r="219" spans="1:58" x14ac:dyDescent="0.15">
      <c r="A219" s="58">
        <v>1</v>
      </c>
      <c r="B219" s="58">
        <v>1</v>
      </c>
      <c r="C219" s="58">
        <v>2</v>
      </c>
      <c r="D219" s="58">
        <v>1</v>
      </c>
      <c r="E219" s="58">
        <v>1</v>
      </c>
      <c r="F219" s="18">
        <v>2</v>
      </c>
      <c r="G219" s="64">
        <f t="shared" si="66"/>
        <v>1</v>
      </c>
      <c r="H219" s="18">
        <v>1</v>
      </c>
      <c r="I219" s="64">
        <f t="shared" si="67"/>
        <v>0.5</v>
      </c>
      <c r="J219" s="18">
        <v>1</v>
      </c>
      <c r="K219" s="64">
        <f t="shared" si="68"/>
        <v>0.5</v>
      </c>
      <c r="L219" s="18">
        <v>3</v>
      </c>
      <c r="M219" s="64">
        <f t="shared" si="69"/>
        <v>1</v>
      </c>
      <c r="N219" s="18">
        <v>0</v>
      </c>
      <c r="O219" s="64">
        <f t="shared" si="70"/>
        <v>0</v>
      </c>
      <c r="P219" s="18">
        <v>2</v>
      </c>
      <c r="Q219" s="64">
        <f t="shared" si="71"/>
        <v>0.66666666666666663</v>
      </c>
      <c r="R219" s="24">
        <v>3</v>
      </c>
      <c r="S219" s="71">
        <f t="shared" si="72"/>
        <v>1</v>
      </c>
      <c r="T219" s="18">
        <v>2</v>
      </c>
      <c r="U219" s="64">
        <f t="shared" si="73"/>
        <v>0.66666666666666663</v>
      </c>
      <c r="V219" s="18">
        <v>3</v>
      </c>
      <c r="W219" s="71">
        <f t="shared" si="74"/>
        <v>0.75</v>
      </c>
      <c r="X219" s="18">
        <v>3</v>
      </c>
      <c r="Y219" s="71">
        <f t="shared" si="75"/>
        <v>1</v>
      </c>
      <c r="Z219" s="18">
        <v>3</v>
      </c>
      <c r="AA219" s="71">
        <f t="shared" si="76"/>
        <v>1</v>
      </c>
      <c r="AB219" s="18">
        <v>1</v>
      </c>
      <c r="AC219" s="71">
        <f t="shared" si="77"/>
        <v>0.5</v>
      </c>
      <c r="AD219" s="58">
        <v>1</v>
      </c>
      <c r="AE219" s="58">
        <v>0</v>
      </c>
      <c r="AF219" s="58">
        <v>1</v>
      </c>
      <c r="AG219" s="58">
        <v>0</v>
      </c>
      <c r="AH219" s="58">
        <v>0</v>
      </c>
      <c r="AI219" s="58">
        <v>0</v>
      </c>
      <c r="AJ219" s="19">
        <v>0</v>
      </c>
      <c r="AK219" s="71">
        <f t="shared" si="78"/>
        <v>0</v>
      </c>
      <c r="AL219" s="18">
        <v>2</v>
      </c>
      <c r="AM219" s="71">
        <f t="shared" si="79"/>
        <v>0.66666666666666663</v>
      </c>
      <c r="AN219" s="18">
        <v>1</v>
      </c>
      <c r="AO219" s="71">
        <f t="shared" si="80"/>
        <v>0.33333333333333331</v>
      </c>
      <c r="AP219" s="18">
        <v>3</v>
      </c>
      <c r="AQ219" s="71">
        <f t="shared" si="81"/>
        <v>1</v>
      </c>
      <c r="AR219" s="58">
        <v>0</v>
      </c>
      <c r="AS219" s="18">
        <v>2</v>
      </c>
      <c r="AT219" s="71">
        <f t="shared" si="82"/>
        <v>0.66666666666666663</v>
      </c>
      <c r="AU219" s="18">
        <v>3</v>
      </c>
      <c r="AV219" s="71">
        <f t="shared" si="83"/>
        <v>1</v>
      </c>
      <c r="AW219" s="18">
        <v>0</v>
      </c>
      <c r="AX219" s="71">
        <f t="shared" si="84"/>
        <v>0</v>
      </c>
      <c r="AY219" s="18">
        <v>2</v>
      </c>
      <c r="AZ219" s="71">
        <f t="shared" si="85"/>
        <v>0.66666666666666663</v>
      </c>
      <c r="BA219" s="74">
        <v>0</v>
      </c>
      <c r="BB219" s="74">
        <v>1</v>
      </c>
      <c r="BC219" s="74">
        <v>1</v>
      </c>
      <c r="BD219" s="74">
        <v>0</v>
      </c>
      <c r="BE219" s="81">
        <f t="shared" si="86"/>
        <v>0.6958333333333333</v>
      </c>
      <c r="BF219" s="81" t="str">
        <f t="shared" si="87"/>
        <v>ALTO</v>
      </c>
    </row>
    <row r="220" spans="1:58" x14ac:dyDescent="0.15">
      <c r="A220" s="57">
        <v>2</v>
      </c>
      <c r="B220" s="57">
        <v>1</v>
      </c>
      <c r="C220" s="57">
        <v>4</v>
      </c>
      <c r="D220" s="57">
        <v>1</v>
      </c>
      <c r="E220" s="57">
        <v>1</v>
      </c>
      <c r="F220" s="17">
        <v>1</v>
      </c>
      <c r="G220" s="64">
        <f t="shared" si="66"/>
        <v>0.5</v>
      </c>
      <c r="H220" s="17">
        <v>1</v>
      </c>
      <c r="I220" s="64">
        <f t="shared" si="67"/>
        <v>0.5</v>
      </c>
      <c r="J220" s="17">
        <v>1</v>
      </c>
      <c r="K220" s="64">
        <f t="shared" si="68"/>
        <v>0.5</v>
      </c>
      <c r="L220" s="17">
        <v>3</v>
      </c>
      <c r="M220" s="64">
        <f t="shared" si="69"/>
        <v>1</v>
      </c>
      <c r="N220" s="17">
        <v>5</v>
      </c>
      <c r="O220" s="64">
        <f t="shared" si="70"/>
        <v>1</v>
      </c>
      <c r="P220" s="17">
        <v>2</v>
      </c>
      <c r="Q220" s="64">
        <f t="shared" si="71"/>
        <v>0.66666666666666663</v>
      </c>
      <c r="R220" s="25">
        <v>2</v>
      </c>
      <c r="S220" s="71">
        <f t="shared" si="72"/>
        <v>0.66666666666666663</v>
      </c>
      <c r="T220" s="17">
        <v>2</v>
      </c>
      <c r="U220" s="64">
        <f t="shared" si="73"/>
        <v>0.66666666666666663</v>
      </c>
      <c r="V220" s="17">
        <v>3</v>
      </c>
      <c r="W220" s="71">
        <f t="shared" si="74"/>
        <v>0.75</v>
      </c>
      <c r="X220" s="17">
        <v>2</v>
      </c>
      <c r="Y220" s="71">
        <f t="shared" si="75"/>
        <v>0.66666666666666663</v>
      </c>
      <c r="Z220" s="17">
        <v>1</v>
      </c>
      <c r="AA220" s="71">
        <f t="shared" si="76"/>
        <v>0.33333333333333331</v>
      </c>
      <c r="AB220" s="17">
        <v>2</v>
      </c>
      <c r="AC220" s="71">
        <f t="shared" si="77"/>
        <v>1</v>
      </c>
      <c r="AD220" s="57">
        <v>1</v>
      </c>
      <c r="AE220" s="57">
        <v>0</v>
      </c>
      <c r="AF220" s="57">
        <v>1</v>
      </c>
      <c r="AG220" s="57">
        <v>0</v>
      </c>
      <c r="AH220" s="57">
        <v>0</v>
      </c>
      <c r="AI220" s="57">
        <v>0</v>
      </c>
      <c r="AJ220" s="20">
        <v>1</v>
      </c>
      <c r="AK220" s="71">
        <f t="shared" si="78"/>
        <v>0.5</v>
      </c>
      <c r="AL220" s="17">
        <v>3</v>
      </c>
      <c r="AM220" s="71">
        <f t="shared" si="79"/>
        <v>1</v>
      </c>
      <c r="AN220" s="17">
        <v>1</v>
      </c>
      <c r="AO220" s="71">
        <f t="shared" si="80"/>
        <v>0.33333333333333331</v>
      </c>
      <c r="AP220" s="17">
        <v>3</v>
      </c>
      <c r="AQ220" s="71">
        <f t="shared" si="81"/>
        <v>1</v>
      </c>
      <c r="AR220" s="57">
        <v>1</v>
      </c>
      <c r="AS220" s="17">
        <v>3</v>
      </c>
      <c r="AT220" s="71">
        <f t="shared" si="82"/>
        <v>1</v>
      </c>
      <c r="AU220" s="17">
        <v>2</v>
      </c>
      <c r="AV220" s="71">
        <f t="shared" si="83"/>
        <v>0.66666666666666663</v>
      </c>
      <c r="AW220" s="17">
        <v>0</v>
      </c>
      <c r="AX220" s="71">
        <f t="shared" si="84"/>
        <v>0</v>
      </c>
      <c r="AY220" s="17">
        <v>2</v>
      </c>
      <c r="AZ220" s="71">
        <f t="shared" si="85"/>
        <v>0.66666666666666663</v>
      </c>
      <c r="BA220" s="73">
        <v>1</v>
      </c>
      <c r="BB220" s="73">
        <v>1</v>
      </c>
      <c r="BC220" s="73">
        <v>0</v>
      </c>
      <c r="BD220" s="73">
        <v>0</v>
      </c>
      <c r="BE220" s="81">
        <f t="shared" si="86"/>
        <v>0.6958333333333333</v>
      </c>
      <c r="BF220" s="81" t="str">
        <f t="shared" si="87"/>
        <v>ALTO</v>
      </c>
    </row>
    <row r="221" spans="1:58" x14ac:dyDescent="0.15">
      <c r="A221" s="58">
        <v>2</v>
      </c>
      <c r="B221" s="58">
        <v>1</v>
      </c>
      <c r="C221" s="58">
        <v>3</v>
      </c>
      <c r="D221" s="58">
        <v>2</v>
      </c>
      <c r="E221" s="58">
        <v>1</v>
      </c>
      <c r="F221" s="18">
        <v>2</v>
      </c>
      <c r="G221" s="64">
        <f t="shared" si="66"/>
        <v>1</v>
      </c>
      <c r="H221" s="18">
        <v>2</v>
      </c>
      <c r="I221" s="64">
        <f t="shared" si="67"/>
        <v>1</v>
      </c>
      <c r="J221" s="18">
        <v>1</v>
      </c>
      <c r="K221" s="64">
        <f t="shared" si="68"/>
        <v>0.5</v>
      </c>
      <c r="L221" s="18">
        <v>2</v>
      </c>
      <c r="M221" s="64">
        <f t="shared" si="69"/>
        <v>0.66666666666666663</v>
      </c>
      <c r="N221" s="18">
        <v>2</v>
      </c>
      <c r="O221" s="64">
        <f t="shared" si="70"/>
        <v>0.4</v>
      </c>
      <c r="P221" s="18">
        <v>2</v>
      </c>
      <c r="Q221" s="64">
        <f t="shared" si="71"/>
        <v>0.66666666666666663</v>
      </c>
      <c r="R221" s="24">
        <v>3</v>
      </c>
      <c r="S221" s="71">
        <f t="shared" si="72"/>
        <v>1</v>
      </c>
      <c r="T221" s="18">
        <v>2</v>
      </c>
      <c r="U221" s="64">
        <f t="shared" si="73"/>
        <v>0.66666666666666663</v>
      </c>
      <c r="V221" s="18">
        <v>3</v>
      </c>
      <c r="W221" s="71">
        <f t="shared" si="74"/>
        <v>0.75</v>
      </c>
      <c r="X221" s="18">
        <v>3</v>
      </c>
      <c r="Y221" s="71">
        <f t="shared" si="75"/>
        <v>1</v>
      </c>
      <c r="Z221" s="18">
        <v>3</v>
      </c>
      <c r="AA221" s="71">
        <f t="shared" si="76"/>
        <v>1</v>
      </c>
      <c r="AB221" s="18">
        <v>1</v>
      </c>
      <c r="AC221" s="71">
        <f t="shared" si="77"/>
        <v>0.5</v>
      </c>
      <c r="AD221" s="58">
        <v>1</v>
      </c>
      <c r="AE221" s="58">
        <v>1</v>
      </c>
      <c r="AF221" s="58">
        <v>0</v>
      </c>
      <c r="AG221" s="58">
        <v>0</v>
      </c>
      <c r="AH221" s="58">
        <v>0</v>
      </c>
      <c r="AI221" s="58">
        <v>0</v>
      </c>
      <c r="AJ221" s="19">
        <v>1</v>
      </c>
      <c r="AK221" s="71">
        <f t="shared" si="78"/>
        <v>0.5</v>
      </c>
      <c r="AL221" s="18">
        <v>2</v>
      </c>
      <c r="AM221" s="71">
        <f t="shared" si="79"/>
        <v>0.66666666666666663</v>
      </c>
      <c r="AN221" s="18">
        <v>1</v>
      </c>
      <c r="AO221" s="71">
        <f t="shared" si="80"/>
        <v>0.33333333333333331</v>
      </c>
      <c r="AP221" s="18">
        <v>2</v>
      </c>
      <c r="AQ221" s="71">
        <f t="shared" si="81"/>
        <v>0.66666666666666663</v>
      </c>
      <c r="AR221" s="58">
        <v>2</v>
      </c>
      <c r="AS221" s="18">
        <v>3</v>
      </c>
      <c r="AT221" s="71">
        <f t="shared" si="82"/>
        <v>1</v>
      </c>
      <c r="AU221" s="18">
        <v>3</v>
      </c>
      <c r="AV221" s="71">
        <f t="shared" si="83"/>
        <v>1</v>
      </c>
      <c r="AW221" s="18">
        <v>1</v>
      </c>
      <c r="AX221" s="71">
        <f t="shared" si="84"/>
        <v>0.5</v>
      </c>
      <c r="AY221" s="18">
        <v>3</v>
      </c>
      <c r="AZ221" s="71">
        <f t="shared" si="85"/>
        <v>1</v>
      </c>
      <c r="BA221" s="74">
        <v>0</v>
      </c>
      <c r="BB221" s="74">
        <v>1</v>
      </c>
      <c r="BC221" s="74">
        <v>1</v>
      </c>
      <c r="BD221" s="74">
        <v>0</v>
      </c>
      <c r="BE221" s="81">
        <f t="shared" si="86"/>
        <v>0.79083333333333339</v>
      </c>
      <c r="BF221" s="81" t="str">
        <f t="shared" si="87"/>
        <v>ALTO</v>
      </c>
    </row>
    <row r="222" spans="1:58" x14ac:dyDescent="0.15">
      <c r="A222" s="57">
        <v>2</v>
      </c>
      <c r="B222" s="57">
        <v>1</v>
      </c>
      <c r="C222" s="57">
        <v>3</v>
      </c>
      <c r="D222" s="57">
        <v>1</v>
      </c>
      <c r="E222" s="57">
        <v>1</v>
      </c>
      <c r="F222" s="17">
        <v>2</v>
      </c>
      <c r="G222" s="64">
        <f t="shared" si="66"/>
        <v>1</v>
      </c>
      <c r="H222" s="17">
        <v>2</v>
      </c>
      <c r="I222" s="64">
        <f t="shared" si="67"/>
        <v>1</v>
      </c>
      <c r="J222" s="17">
        <v>2</v>
      </c>
      <c r="K222" s="64">
        <f t="shared" si="68"/>
        <v>1</v>
      </c>
      <c r="L222" s="17">
        <v>3</v>
      </c>
      <c r="M222" s="64">
        <f t="shared" si="69"/>
        <v>1</v>
      </c>
      <c r="N222" s="17">
        <v>4</v>
      </c>
      <c r="O222" s="64">
        <f t="shared" si="70"/>
        <v>0.8</v>
      </c>
      <c r="P222" s="17">
        <v>1</v>
      </c>
      <c r="Q222" s="64">
        <f t="shared" si="71"/>
        <v>0.33333333333333331</v>
      </c>
      <c r="R222" s="25">
        <v>3</v>
      </c>
      <c r="S222" s="71">
        <f t="shared" si="72"/>
        <v>1</v>
      </c>
      <c r="T222" s="17">
        <v>3</v>
      </c>
      <c r="U222" s="64">
        <f t="shared" si="73"/>
        <v>1</v>
      </c>
      <c r="V222" s="17">
        <v>2</v>
      </c>
      <c r="W222" s="71">
        <f t="shared" si="74"/>
        <v>0.5</v>
      </c>
      <c r="X222" s="17">
        <v>3</v>
      </c>
      <c r="Y222" s="71">
        <f t="shared" si="75"/>
        <v>1</v>
      </c>
      <c r="Z222" s="17">
        <v>3</v>
      </c>
      <c r="AA222" s="71">
        <f t="shared" si="76"/>
        <v>1</v>
      </c>
      <c r="AB222" s="17">
        <v>0</v>
      </c>
      <c r="AC222" s="71">
        <f t="shared" si="77"/>
        <v>0</v>
      </c>
      <c r="AD222" s="57">
        <v>1</v>
      </c>
      <c r="AE222" s="57">
        <v>1</v>
      </c>
      <c r="AF222" s="57">
        <v>0</v>
      </c>
      <c r="AG222" s="57">
        <v>0</v>
      </c>
      <c r="AH222" s="57">
        <v>0</v>
      </c>
      <c r="AI222" s="57">
        <v>0</v>
      </c>
      <c r="AJ222" s="20">
        <v>2</v>
      </c>
      <c r="AK222" s="71">
        <f t="shared" si="78"/>
        <v>1</v>
      </c>
      <c r="AL222" s="17">
        <v>3</v>
      </c>
      <c r="AM222" s="71">
        <f t="shared" si="79"/>
        <v>1</v>
      </c>
      <c r="AN222" s="17">
        <v>2</v>
      </c>
      <c r="AO222" s="71">
        <f t="shared" si="80"/>
        <v>0.66666666666666663</v>
      </c>
      <c r="AP222" s="17">
        <v>2</v>
      </c>
      <c r="AQ222" s="71">
        <f t="shared" si="81"/>
        <v>0.66666666666666663</v>
      </c>
      <c r="AR222" s="57">
        <v>2</v>
      </c>
      <c r="AS222" s="17">
        <v>3</v>
      </c>
      <c r="AT222" s="71">
        <f t="shared" si="82"/>
        <v>1</v>
      </c>
      <c r="AU222" s="17">
        <v>3</v>
      </c>
      <c r="AV222" s="71">
        <f t="shared" si="83"/>
        <v>1</v>
      </c>
      <c r="AW222" s="17">
        <v>2</v>
      </c>
      <c r="AX222" s="71">
        <f t="shared" si="84"/>
        <v>1</v>
      </c>
      <c r="AY222" s="17">
        <v>3</v>
      </c>
      <c r="AZ222" s="71">
        <f t="shared" si="85"/>
        <v>1</v>
      </c>
      <c r="BA222" s="73">
        <v>0</v>
      </c>
      <c r="BB222" s="73">
        <v>1</v>
      </c>
      <c r="BC222" s="73">
        <v>1</v>
      </c>
      <c r="BD222" s="73">
        <v>0</v>
      </c>
      <c r="BE222" s="81">
        <f t="shared" si="86"/>
        <v>0.89833333333333321</v>
      </c>
      <c r="BF222" s="81" t="str">
        <f t="shared" si="87"/>
        <v>ALTO</v>
      </c>
    </row>
    <row r="223" spans="1:58" x14ac:dyDescent="0.15">
      <c r="A223" s="58">
        <v>1</v>
      </c>
      <c r="B223" s="58">
        <v>1</v>
      </c>
      <c r="C223" s="58">
        <v>1</v>
      </c>
      <c r="D223" s="58">
        <v>1</v>
      </c>
      <c r="E223" s="58">
        <v>1</v>
      </c>
      <c r="F223" s="18">
        <v>0</v>
      </c>
      <c r="G223" s="64">
        <f t="shared" si="66"/>
        <v>0</v>
      </c>
      <c r="H223" s="18">
        <v>1</v>
      </c>
      <c r="I223" s="64">
        <f t="shared" si="67"/>
        <v>0.5</v>
      </c>
      <c r="J223" s="18">
        <v>1</v>
      </c>
      <c r="K223" s="64">
        <f t="shared" si="68"/>
        <v>0.5</v>
      </c>
      <c r="L223" s="18">
        <v>1</v>
      </c>
      <c r="M223" s="64">
        <f t="shared" si="69"/>
        <v>0.33333333333333331</v>
      </c>
      <c r="N223" s="18">
        <v>2</v>
      </c>
      <c r="O223" s="64">
        <f t="shared" si="70"/>
        <v>0.4</v>
      </c>
      <c r="P223" s="18">
        <v>2</v>
      </c>
      <c r="Q223" s="64">
        <f t="shared" si="71"/>
        <v>0.66666666666666663</v>
      </c>
      <c r="R223" s="24">
        <v>3</v>
      </c>
      <c r="S223" s="71">
        <f t="shared" si="72"/>
        <v>1</v>
      </c>
      <c r="T223" s="18">
        <v>2</v>
      </c>
      <c r="U223" s="64">
        <f t="shared" si="73"/>
        <v>0.66666666666666663</v>
      </c>
      <c r="V223" s="18">
        <v>3</v>
      </c>
      <c r="W223" s="71">
        <f t="shared" si="74"/>
        <v>0.75</v>
      </c>
      <c r="X223" s="18">
        <v>3</v>
      </c>
      <c r="Y223" s="71">
        <f t="shared" si="75"/>
        <v>1</v>
      </c>
      <c r="Z223" s="18">
        <v>1</v>
      </c>
      <c r="AA223" s="71">
        <f t="shared" si="76"/>
        <v>0.33333333333333331</v>
      </c>
      <c r="AB223" s="18">
        <v>0</v>
      </c>
      <c r="AC223" s="71">
        <f t="shared" si="77"/>
        <v>0</v>
      </c>
      <c r="AD223" s="58">
        <v>1</v>
      </c>
      <c r="AE223" s="58">
        <v>0</v>
      </c>
      <c r="AF223" s="58">
        <v>1</v>
      </c>
      <c r="AG223" s="58">
        <v>0</v>
      </c>
      <c r="AH223" s="58">
        <v>0</v>
      </c>
      <c r="AI223" s="58">
        <v>0</v>
      </c>
      <c r="AJ223" s="19">
        <v>1</v>
      </c>
      <c r="AK223" s="71">
        <f t="shared" si="78"/>
        <v>0.5</v>
      </c>
      <c r="AL223" s="18">
        <v>1</v>
      </c>
      <c r="AM223" s="71">
        <f t="shared" si="79"/>
        <v>0.33333333333333331</v>
      </c>
      <c r="AN223" s="18">
        <v>1</v>
      </c>
      <c r="AO223" s="71">
        <f t="shared" si="80"/>
        <v>0.33333333333333331</v>
      </c>
      <c r="AP223" s="18">
        <v>0</v>
      </c>
      <c r="AQ223" s="71">
        <f t="shared" si="81"/>
        <v>0</v>
      </c>
      <c r="AR223" s="58">
        <v>2</v>
      </c>
      <c r="AS223" s="18">
        <v>0</v>
      </c>
      <c r="AT223" s="71">
        <f t="shared" si="82"/>
        <v>0</v>
      </c>
      <c r="AU223" s="18">
        <v>2</v>
      </c>
      <c r="AV223" s="71">
        <f t="shared" si="83"/>
        <v>0.66666666666666663</v>
      </c>
      <c r="AW223" s="18">
        <v>1</v>
      </c>
      <c r="AX223" s="71">
        <f t="shared" si="84"/>
        <v>0.5</v>
      </c>
      <c r="AY223" s="18">
        <v>0</v>
      </c>
      <c r="AZ223" s="71">
        <f t="shared" si="85"/>
        <v>0</v>
      </c>
      <c r="BA223" s="74">
        <v>0</v>
      </c>
      <c r="BB223" s="74">
        <v>1</v>
      </c>
      <c r="BC223" s="74">
        <v>0</v>
      </c>
      <c r="BD223" s="74">
        <v>0</v>
      </c>
      <c r="BE223" s="81">
        <f t="shared" si="86"/>
        <v>0.42416666666666664</v>
      </c>
      <c r="BF223" s="81" t="str">
        <f t="shared" si="87"/>
        <v>MEDIO</v>
      </c>
    </row>
    <row r="224" spans="1:58" x14ac:dyDescent="0.15">
      <c r="A224" s="57">
        <v>3</v>
      </c>
      <c r="B224" s="57">
        <v>2</v>
      </c>
      <c r="C224" s="57">
        <v>3</v>
      </c>
      <c r="D224" s="57">
        <v>1</v>
      </c>
      <c r="E224" s="57">
        <v>1</v>
      </c>
      <c r="F224" s="17">
        <v>1</v>
      </c>
      <c r="G224" s="64">
        <f t="shared" si="66"/>
        <v>0.5</v>
      </c>
      <c r="H224" s="17">
        <v>1</v>
      </c>
      <c r="I224" s="64">
        <f t="shared" si="67"/>
        <v>0.5</v>
      </c>
      <c r="J224" s="17">
        <v>1</v>
      </c>
      <c r="K224" s="64">
        <f t="shared" si="68"/>
        <v>0.5</v>
      </c>
      <c r="L224" s="17">
        <v>2</v>
      </c>
      <c r="M224" s="64">
        <f t="shared" si="69"/>
        <v>0.66666666666666663</v>
      </c>
      <c r="N224" s="17">
        <v>3</v>
      </c>
      <c r="O224" s="64">
        <f t="shared" si="70"/>
        <v>0.6</v>
      </c>
      <c r="P224" s="17">
        <v>0</v>
      </c>
      <c r="Q224" s="64">
        <f t="shared" si="71"/>
        <v>0</v>
      </c>
      <c r="R224" s="25">
        <v>2</v>
      </c>
      <c r="S224" s="71">
        <f t="shared" si="72"/>
        <v>0.66666666666666663</v>
      </c>
      <c r="T224" s="17">
        <v>2</v>
      </c>
      <c r="U224" s="64">
        <f t="shared" si="73"/>
        <v>0.66666666666666663</v>
      </c>
      <c r="V224" s="17">
        <v>3</v>
      </c>
      <c r="W224" s="71">
        <f t="shared" si="74"/>
        <v>0.75</v>
      </c>
      <c r="X224" s="17">
        <v>2</v>
      </c>
      <c r="Y224" s="71">
        <f t="shared" si="75"/>
        <v>0.66666666666666663</v>
      </c>
      <c r="Z224" s="17">
        <v>1</v>
      </c>
      <c r="AA224" s="71">
        <f t="shared" si="76"/>
        <v>0.33333333333333331</v>
      </c>
      <c r="AB224" s="17">
        <v>1</v>
      </c>
      <c r="AC224" s="71">
        <f t="shared" si="77"/>
        <v>0.5</v>
      </c>
      <c r="AD224" s="57">
        <v>1</v>
      </c>
      <c r="AE224" s="57">
        <v>0</v>
      </c>
      <c r="AF224" s="57">
        <v>0</v>
      </c>
      <c r="AG224" s="57">
        <v>1</v>
      </c>
      <c r="AH224" s="57">
        <v>0</v>
      </c>
      <c r="AI224" s="57">
        <v>0</v>
      </c>
      <c r="AJ224" s="20">
        <v>1</v>
      </c>
      <c r="AK224" s="71">
        <f t="shared" si="78"/>
        <v>0.5</v>
      </c>
      <c r="AL224" s="17">
        <v>2</v>
      </c>
      <c r="AM224" s="71">
        <f t="shared" si="79"/>
        <v>0.66666666666666663</v>
      </c>
      <c r="AN224" s="17">
        <v>0</v>
      </c>
      <c r="AO224" s="71">
        <f t="shared" si="80"/>
        <v>0</v>
      </c>
      <c r="AP224" s="17">
        <v>1</v>
      </c>
      <c r="AQ224" s="71">
        <f t="shared" si="81"/>
        <v>0.33333333333333331</v>
      </c>
      <c r="AR224" s="57">
        <v>2</v>
      </c>
      <c r="AS224" s="17">
        <v>2</v>
      </c>
      <c r="AT224" s="71">
        <f t="shared" si="82"/>
        <v>0.66666666666666663</v>
      </c>
      <c r="AU224" s="17">
        <v>3</v>
      </c>
      <c r="AV224" s="71">
        <f t="shared" si="83"/>
        <v>1</v>
      </c>
      <c r="AW224" s="17">
        <v>0</v>
      </c>
      <c r="AX224" s="71">
        <f t="shared" si="84"/>
        <v>0</v>
      </c>
      <c r="AY224" s="17">
        <v>3</v>
      </c>
      <c r="AZ224" s="71">
        <f t="shared" si="85"/>
        <v>1</v>
      </c>
      <c r="BA224" s="73">
        <v>1</v>
      </c>
      <c r="BB224" s="73">
        <v>0</v>
      </c>
      <c r="BC224" s="73">
        <v>1</v>
      </c>
      <c r="BD224" s="73">
        <v>0</v>
      </c>
      <c r="BE224" s="81">
        <f t="shared" si="86"/>
        <v>0.55083333333333329</v>
      </c>
      <c r="BF224" s="81" t="str">
        <f t="shared" si="87"/>
        <v>MEDIO</v>
      </c>
    </row>
    <row r="225" spans="1:58" x14ac:dyDescent="0.15">
      <c r="A225" s="58">
        <v>2</v>
      </c>
      <c r="B225" s="58">
        <v>1</v>
      </c>
      <c r="C225" s="58">
        <v>3</v>
      </c>
      <c r="D225" s="58">
        <v>0</v>
      </c>
      <c r="E225" s="58">
        <v>1</v>
      </c>
      <c r="F225" s="18">
        <v>2</v>
      </c>
      <c r="G225" s="64">
        <f t="shared" si="66"/>
        <v>1</v>
      </c>
      <c r="H225" s="18">
        <v>2</v>
      </c>
      <c r="I225" s="64">
        <f t="shared" si="67"/>
        <v>1</v>
      </c>
      <c r="J225" s="18">
        <v>1</v>
      </c>
      <c r="K225" s="64">
        <f t="shared" si="68"/>
        <v>0.5</v>
      </c>
      <c r="L225" s="17">
        <v>3</v>
      </c>
      <c r="M225" s="64">
        <f t="shared" si="69"/>
        <v>1</v>
      </c>
      <c r="N225" s="18">
        <v>1</v>
      </c>
      <c r="O225" s="64">
        <f t="shared" si="70"/>
        <v>0.2</v>
      </c>
      <c r="P225" s="18">
        <v>2</v>
      </c>
      <c r="Q225" s="64">
        <f t="shared" si="71"/>
        <v>0.66666666666666663</v>
      </c>
      <c r="R225" s="24">
        <v>3</v>
      </c>
      <c r="S225" s="71">
        <f t="shared" si="72"/>
        <v>1</v>
      </c>
      <c r="T225" s="18">
        <v>2</v>
      </c>
      <c r="U225" s="64">
        <f t="shared" si="73"/>
        <v>0.66666666666666663</v>
      </c>
      <c r="V225" s="18">
        <v>3</v>
      </c>
      <c r="W225" s="71">
        <f t="shared" si="74"/>
        <v>0.75</v>
      </c>
      <c r="X225" s="18">
        <v>3</v>
      </c>
      <c r="Y225" s="71">
        <f t="shared" si="75"/>
        <v>1</v>
      </c>
      <c r="Z225" s="18">
        <v>3</v>
      </c>
      <c r="AA225" s="71">
        <f t="shared" si="76"/>
        <v>1</v>
      </c>
      <c r="AB225" s="18">
        <v>2</v>
      </c>
      <c r="AC225" s="71">
        <f t="shared" si="77"/>
        <v>1</v>
      </c>
      <c r="AD225" s="58">
        <v>1</v>
      </c>
      <c r="AE225" s="58">
        <v>0</v>
      </c>
      <c r="AF225" s="58">
        <v>1</v>
      </c>
      <c r="AG225" s="58">
        <v>0</v>
      </c>
      <c r="AH225" s="58">
        <v>0</v>
      </c>
      <c r="AI225" s="58">
        <v>0</v>
      </c>
      <c r="AJ225" s="19">
        <v>2</v>
      </c>
      <c r="AK225" s="71">
        <f t="shared" si="78"/>
        <v>1</v>
      </c>
      <c r="AL225" s="18">
        <v>3</v>
      </c>
      <c r="AM225" s="71">
        <f t="shared" si="79"/>
        <v>1</v>
      </c>
      <c r="AN225" s="18">
        <v>1</v>
      </c>
      <c r="AO225" s="71">
        <f t="shared" si="80"/>
        <v>0.33333333333333331</v>
      </c>
      <c r="AP225" s="18">
        <v>3</v>
      </c>
      <c r="AQ225" s="71">
        <f t="shared" si="81"/>
        <v>1</v>
      </c>
      <c r="AR225" s="58">
        <v>1</v>
      </c>
      <c r="AS225" s="19">
        <v>0</v>
      </c>
      <c r="AT225" s="71">
        <f t="shared" si="82"/>
        <v>0</v>
      </c>
      <c r="AU225" s="18">
        <v>2</v>
      </c>
      <c r="AV225" s="71">
        <f t="shared" si="83"/>
        <v>0.66666666666666663</v>
      </c>
      <c r="AW225" s="18">
        <v>2</v>
      </c>
      <c r="AX225" s="71">
        <f t="shared" si="84"/>
        <v>1</v>
      </c>
      <c r="AY225" s="18">
        <v>3</v>
      </c>
      <c r="AZ225" s="71">
        <f t="shared" si="85"/>
        <v>1</v>
      </c>
      <c r="BA225" s="74">
        <v>1</v>
      </c>
      <c r="BB225" s="74">
        <v>0</v>
      </c>
      <c r="BC225" s="74">
        <v>1</v>
      </c>
      <c r="BD225" s="74">
        <v>0</v>
      </c>
      <c r="BE225" s="81">
        <f t="shared" si="86"/>
        <v>0.83916666666666673</v>
      </c>
      <c r="BF225" s="81" t="str">
        <f t="shared" si="87"/>
        <v>ALTO</v>
      </c>
    </row>
    <row r="226" spans="1:58" x14ac:dyDescent="0.15">
      <c r="A226" s="57">
        <v>2</v>
      </c>
      <c r="B226" s="57">
        <v>2</v>
      </c>
      <c r="C226" s="57">
        <v>4</v>
      </c>
      <c r="D226" s="57">
        <v>2</v>
      </c>
      <c r="E226" s="57">
        <v>1</v>
      </c>
      <c r="F226" s="17">
        <v>2</v>
      </c>
      <c r="G226" s="64">
        <f t="shared" si="66"/>
        <v>1</v>
      </c>
      <c r="H226" s="17">
        <v>1</v>
      </c>
      <c r="I226" s="64">
        <f t="shared" si="67"/>
        <v>0.5</v>
      </c>
      <c r="J226" s="17">
        <v>0</v>
      </c>
      <c r="K226" s="64">
        <f t="shared" si="68"/>
        <v>0</v>
      </c>
      <c r="L226" s="18">
        <v>3</v>
      </c>
      <c r="M226" s="64">
        <f t="shared" si="69"/>
        <v>1</v>
      </c>
      <c r="N226" s="17">
        <v>4</v>
      </c>
      <c r="O226" s="64">
        <f t="shared" si="70"/>
        <v>0.8</v>
      </c>
      <c r="P226" s="17">
        <v>0</v>
      </c>
      <c r="Q226" s="64">
        <f t="shared" si="71"/>
        <v>0</v>
      </c>
      <c r="R226" s="25">
        <v>3</v>
      </c>
      <c r="S226" s="71">
        <f t="shared" si="72"/>
        <v>1</v>
      </c>
      <c r="T226" s="17">
        <v>2</v>
      </c>
      <c r="U226" s="64">
        <f t="shared" si="73"/>
        <v>0.66666666666666663</v>
      </c>
      <c r="V226" s="17">
        <v>0</v>
      </c>
      <c r="W226" s="71">
        <f t="shared" si="74"/>
        <v>0</v>
      </c>
      <c r="X226" s="17">
        <v>3</v>
      </c>
      <c r="Y226" s="71">
        <f t="shared" si="75"/>
        <v>1</v>
      </c>
      <c r="Z226" s="17">
        <v>1</v>
      </c>
      <c r="AA226" s="71">
        <f t="shared" si="76"/>
        <v>0.33333333333333331</v>
      </c>
      <c r="AB226" s="17">
        <v>3</v>
      </c>
      <c r="AC226" s="71">
        <f t="shared" si="77"/>
        <v>1.5</v>
      </c>
      <c r="AD226" s="57">
        <v>1</v>
      </c>
      <c r="AE226" s="57">
        <v>0</v>
      </c>
      <c r="AF226" s="57">
        <v>1</v>
      </c>
      <c r="AG226" s="57">
        <v>1</v>
      </c>
      <c r="AH226" s="57">
        <v>0</v>
      </c>
      <c r="AI226" s="57">
        <v>0</v>
      </c>
      <c r="AJ226" s="20">
        <v>1</v>
      </c>
      <c r="AK226" s="71">
        <f t="shared" si="78"/>
        <v>0.5</v>
      </c>
      <c r="AL226" s="17">
        <v>3</v>
      </c>
      <c r="AM226" s="71">
        <f t="shared" si="79"/>
        <v>1</v>
      </c>
      <c r="AN226" s="17">
        <v>3</v>
      </c>
      <c r="AO226" s="71">
        <f t="shared" si="80"/>
        <v>1</v>
      </c>
      <c r="AP226" s="17">
        <v>2</v>
      </c>
      <c r="AQ226" s="71">
        <f t="shared" si="81"/>
        <v>0.66666666666666663</v>
      </c>
      <c r="AR226" s="57">
        <v>2</v>
      </c>
      <c r="AS226" s="17">
        <v>3</v>
      </c>
      <c r="AT226" s="71">
        <f t="shared" si="82"/>
        <v>1</v>
      </c>
      <c r="AU226" s="17">
        <v>3</v>
      </c>
      <c r="AV226" s="71">
        <f t="shared" si="83"/>
        <v>1</v>
      </c>
      <c r="AW226" s="17">
        <v>1</v>
      </c>
      <c r="AX226" s="71">
        <f t="shared" si="84"/>
        <v>0.5</v>
      </c>
      <c r="AY226" s="17">
        <v>2</v>
      </c>
      <c r="AZ226" s="71">
        <f t="shared" si="85"/>
        <v>0.66666666666666663</v>
      </c>
      <c r="BA226" s="73">
        <v>1</v>
      </c>
      <c r="BB226" s="73">
        <v>1</v>
      </c>
      <c r="BC226" s="73">
        <v>1</v>
      </c>
      <c r="BD226" s="73">
        <v>0</v>
      </c>
      <c r="BE226" s="81">
        <f t="shared" si="86"/>
        <v>0.7566666666666666</v>
      </c>
      <c r="BF226" s="81" t="str">
        <f t="shared" si="87"/>
        <v>ALTO</v>
      </c>
    </row>
    <row r="227" spans="1:58" x14ac:dyDescent="0.15">
      <c r="A227" s="58">
        <v>3</v>
      </c>
      <c r="B227" s="58">
        <v>1</v>
      </c>
      <c r="C227" s="58">
        <v>1</v>
      </c>
      <c r="D227" s="58">
        <v>0</v>
      </c>
      <c r="E227" s="58">
        <v>1</v>
      </c>
      <c r="F227" s="18">
        <v>1</v>
      </c>
      <c r="G227" s="64">
        <f t="shared" si="66"/>
        <v>0.5</v>
      </c>
      <c r="H227" s="18">
        <v>2</v>
      </c>
      <c r="I227" s="64">
        <f t="shared" si="67"/>
        <v>1</v>
      </c>
      <c r="J227" s="18">
        <v>1</v>
      </c>
      <c r="K227" s="64">
        <f t="shared" si="68"/>
        <v>0.5</v>
      </c>
      <c r="L227" s="18">
        <v>1</v>
      </c>
      <c r="M227" s="64">
        <f t="shared" si="69"/>
        <v>0.33333333333333331</v>
      </c>
      <c r="N227" s="18">
        <v>0</v>
      </c>
      <c r="O227" s="64">
        <f t="shared" si="70"/>
        <v>0</v>
      </c>
      <c r="P227" s="18">
        <v>2</v>
      </c>
      <c r="Q227" s="64">
        <f t="shared" si="71"/>
        <v>0.66666666666666663</v>
      </c>
      <c r="R227" s="24">
        <v>0</v>
      </c>
      <c r="S227" s="71">
        <f t="shared" si="72"/>
        <v>0</v>
      </c>
      <c r="T227" s="18">
        <v>1</v>
      </c>
      <c r="U227" s="64">
        <f t="shared" si="73"/>
        <v>0.33333333333333331</v>
      </c>
      <c r="V227" s="18">
        <v>3</v>
      </c>
      <c r="W227" s="71">
        <f t="shared" si="74"/>
        <v>0.75</v>
      </c>
      <c r="X227" s="18">
        <v>2</v>
      </c>
      <c r="Y227" s="71">
        <f t="shared" si="75"/>
        <v>0.66666666666666663</v>
      </c>
      <c r="Z227" s="18">
        <v>2</v>
      </c>
      <c r="AA227" s="71">
        <f t="shared" si="76"/>
        <v>0.66666666666666663</v>
      </c>
      <c r="AB227" s="18">
        <v>2</v>
      </c>
      <c r="AC227" s="71">
        <f t="shared" si="77"/>
        <v>1</v>
      </c>
      <c r="AD227" s="58">
        <v>1</v>
      </c>
      <c r="AE227" s="58">
        <v>0</v>
      </c>
      <c r="AF227" s="58">
        <v>1</v>
      </c>
      <c r="AG227" s="58">
        <v>0</v>
      </c>
      <c r="AH227" s="58">
        <v>0</v>
      </c>
      <c r="AI227" s="58">
        <v>0</v>
      </c>
      <c r="AJ227" s="19">
        <v>0</v>
      </c>
      <c r="AK227" s="71">
        <f t="shared" si="78"/>
        <v>0</v>
      </c>
      <c r="AL227" s="18">
        <v>1</v>
      </c>
      <c r="AM227" s="71">
        <f t="shared" si="79"/>
        <v>0.33333333333333331</v>
      </c>
      <c r="AN227" s="18">
        <v>1</v>
      </c>
      <c r="AO227" s="71">
        <f t="shared" si="80"/>
        <v>0.33333333333333331</v>
      </c>
      <c r="AP227" s="18">
        <v>1</v>
      </c>
      <c r="AQ227" s="71">
        <f t="shared" si="81"/>
        <v>0.33333333333333331</v>
      </c>
      <c r="AR227" s="58">
        <v>2</v>
      </c>
      <c r="AS227" s="18">
        <v>1</v>
      </c>
      <c r="AT227" s="71">
        <f t="shared" si="82"/>
        <v>0.33333333333333331</v>
      </c>
      <c r="AU227" s="18">
        <v>2</v>
      </c>
      <c r="AV227" s="71">
        <f t="shared" si="83"/>
        <v>0.66666666666666663</v>
      </c>
      <c r="AW227" s="18">
        <v>0</v>
      </c>
      <c r="AX227" s="71">
        <f t="shared" si="84"/>
        <v>0</v>
      </c>
      <c r="AY227" s="18">
        <v>0</v>
      </c>
      <c r="AZ227" s="71">
        <f t="shared" si="85"/>
        <v>0</v>
      </c>
      <c r="BA227" s="74">
        <v>1</v>
      </c>
      <c r="BB227" s="74">
        <v>0</v>
      </c>
      <c r="BC227" s="74">
        <v>0</v>
      </c>
      <c r="BD227" s="74">
        <v>0</v>
      </c>
      <c r="BE227" s="81">
        <f t="shared" si="86"/>
        <v>0.4458333333333333</v>
      </c>
      <c r="BF227" s="81" t="str">
        <f t="shared" si="87"/>
        <v>MEDIO</v>
      </c>
    </row>
    <row r="228" spans="1:58" x14ac:dyDescent="0.15">
      <c r="A228" s="57">
        <v>2</v>
      </c>
      <c r="B228" s="57">
        <v>1</v>
      </c>
      <c r="C228" s="57">
        <v>3</v>
      </c>
      <c r="D228" s="57">
        <v>1</v>
      </c>
      <c r="E228" s="57">
        <v>1</v>
      </c>
      <c r="F228" s="17">
        <v>2</v>
      </c>
      <c r="G228" s="64">
        <f t="shared" si="66"/>
        <v>1</v>
      </c>
      <c r="H228" s="17">
        <v>2</v>
      </c>
      <c r="I228" s="64">
        <f t="shared" si="67"/>
        <v>1</v>
      </c>
      <c r="J228" s="17">
        <v>2</v>
      </c>
      <c r="K228" s="64">
        <f t="shared" si="68"/>
        <v>1</v>
      </c>
      <c r="L228" s="17">
        <v>3</v>
      </c>
      <c r="M228" s="64">
        <f t="shared" si="69"/>
        <v>1</v>
      </c>
      <c r="N228" s="17">
        <v>2</v>
      </c>
      <c r="O228" s="64">
        <f t="shared" si="70"/>
        <v>0.4</v>
      </c>
      <c r="P228" s="17">
        <v>2</v>
      </c>
      <c r="Q228" s="64">
        <f t="shared" si="71"/>
        <v>0.66666666666666663</v>
      </c>
      <c r="R228" s="25">
        <v>3</v>
      </c>
      <c r="S228" s="71">
        <f t="shared" si="72"/>
        <v>1</v>
      </c>
      <c r="T228" s="17">
        <v>3</v>
      </c>
      <c r="U228" s="64">
        <f t="shared" si="73"/>
        <v>1</v>
      </c>
      <c r="V228" s="17">
        <v>3</v>
      </c>
      <c r="W228" s="71">
        <f t="shared" si="74"/>
        <v>0.75</v>
      </c>
      <c r="X228" s="17">
        <v>3</v>
      </c>
      <c r="Y228" s="71">
        <f t="shared" si="75"/>
        <v>1</v>
      </c>
      <c r="Z228" s="17">
        <v>3</v>
      </c>
      <c r="AA228" s="71">
        <f t="shared" si="76"/>
        <v>1</v>
      </c>
      <c r="AB228" s="17">
        <v>0</v>
      </c>
      <c r="AC228" s="71">
        <f t="shared" si="77"/>
        <v>0</v>
      </c>
      <c r="AD228" s="57">
        <v>1</v>
      </c>
      <c r="AE228" s="57">
        <v>1</v>
      </c>
      <c r="AF228" s="57">
        <v>0</v>
      </c>
      <c r="AG228" s="57">
        <v>0</v>
      </c>
      <c r="AH228" s="57">
        <v>0</v>
      </c>
      <c r="AI228" s="57">
        <v>0</v>
      </c>
      <c r="AJ228" s="20">
        <v>2</v>
      </c>
      <c r="AK228" s="71">
        <f t="shared" si="78"/>
        <v>1</v>
      </c>
      <c r="AL228" s="17">
        <v>1</v>
      </c>
      <c r="AM228" s="71">
        <f t="shared" si="79"/>
        <v>0.33333333333333331</v>
      </c>
      <c r="AN228" s="17">
        <v>1</v>
      </c>
      <c r="AO228" s="71">
        <f t="shared" si="80"/>
        <v>0.33333333333333331</v>
      </c>
      <c r="AP228" s="17">
        <v>3</v>
      </c>
      <c r="AQ228" s="71">
        <f t="shared" si="81"/>
        <v>1</v>
      </c>
      <c r="AR228" s="57">
        <v>2</v>
      </c>
      <c r="AS228" s="17">
        <v>2</v>
      </c>
      <c r="AT228" s="71">
        <f t="shared" si="82"/>
        <v>0.66666666666666663</v>
      </c>
      <c r="AU228" s="20">
        <v>3</v>
      </c>
      <c r="AV228" s="71">
        <f t="shared" si="83"/>
        <v>1</v>
      </c>
      <c r="AW228" s="17">
        <v>2</v>
      </c>
      <c r="AX228" s="71">
        <f t="shared" si="84"/>
        <v>1</v>
      </c>
      <c r="AY228" s="17">
        <v>3</v>
      </c>
      <c r="AZ228" s="71">
        <f t="shared" si="85"/>
        <v>1</v>
      </c>
      <c r="BA228" s="73">
        <v>1</v>
      </c>
      <c r="BB228" s="73">
        <v>1</v>
      </c>
      <c r="BC228" s="73">
        <v>1</v>
      </c>
      <c r="BD228" s="73">
        <v>0</v>
      </c>
      <c r="BE228" s="81">
        <f t="shared" si="86"/>
        <v>0.85749999999999993</v>
      </c>
      <c r="BF228" s="81" t="str">
        <f t="shared" si="87"/>
        <v>ALTO</v>
      </c>
    </row>
    <row r="229" spans="1:58" x14ac:dyDescent="0.15">
      <c r="A229" s="58">
        <v>1</v>
      </c>
      <c r="B229" s="58">
        <v>2</v>
      </c>
      <c r="C229" s="58">
        <v>2</v>
      </c>
      <c r="D229" s="58">
        <v>2</v>
      </c>
      <c r="E229" s="58">
        <v>1</v>
      </c>
      <c r="F229" s="18">
        <v>2</v>
      </c>
      <c r="G229" s="64">
        <f t="shared" si="66"/>
        <v>1</v>
      </c>
      <c r="H229" s="18">
        <v>1</v>
      </c>
      <c r="I229" s="64">
        <f t="shared" si="67"/>
        <v>0.5</v>
      </c>
      <c r="J229" s="18">
        <v>0</v>
      </c>
      <c r="K229" s="64">
        <f t="shared" si="68"/>
        <v>0</v>
      </c>
      <c r="L229" s="18">
        <v>0</v>
      </c>
      <c r="M229" s="64">
        <f t="shared" si="69"/>
        <v>0</v>
      </c>
      <c r="N229" s="18">
        <v>2</v>
      </c>
      <c r="O229" s="64">
        <f t="shared" si="70"/>
        <v>0.4</v>
      </c>
      <c r="P229" s="18">
        <v>2</v>
      </c>
      <c r="Q229" s="64">
        <f t="shared" si="71"/>
        <v>0.66666666666666663</v>
      </c>
      <c r="R229" s="24">
        <v>3</v>
      </c>
      <c r="S229" s="71">
        <f t="shared" si="72"/>
        <v>1</v>
      </c>
      <c r="T229" s="18">
        <v>1</v>
      </c>
      <c r="U229" s="64">
        <f t="shared" si="73"/>
        <v>0.33333333333333331</v>
      </c>
      <c r="V229" s="18">
        <v>3</v>
      </c>
      <c r="W229" s="71">
        <f t="shared" si="74"/>
        <v>0.75</v>
      </c>
      <c r="X229" s="18">
        <v>3</v>
      </c>
      <c r="Y229" s="71">
        <f t="shared" si="75"/>
        <v>1</v>
      </c>
      <c r="Z229" s="18">
        <v>2</v>
      </c>
      <c r="AA229" s="71">
        <f t="shared" si="76"/>
        <v>0.66666666666666663</v>
      </c>
      <c r="AB229" s="18">
        <v>2</v>
      </c>
      <c r="AC229" s="71">
        <f t="shared" si="77"/>
        <v>1</v>
      </c>
      <c r="AD229" s="58">
        <v>1</v>
      </c>
      <c r="AE229" s="58">
        <v>0</v>
      </c>
      <c r="AF229" s="58">
        <v>1</v>
      </c>
      <c r="AG229" s="58">
        <v>0</v>
      </c>
      <c r="AH229" s="58">
        <v>0</v>
      </c>
      <c r="AI229" s="58">
        <v>0</v>
      </c>
      <c r="AJ229" s="19">
        <v>0</v>
      </c>
      <c r="AK229" s="71">
        <f t="shared" si="78"/>
        <v>0</v>
      </c>
      <c r="AL229" s="18">
        <v>1</v>
      </c>
      <c r="AM229" s="71">
        <f t="shared" si="79"/>
        <v>0.33333333333333331</v>
      </c>
      <c r="AN229" s="18">
        <v>1</v>
      </c>
      <c r="AO229" s="71">
        <f t="shared" si="80"/>
        <v>0.33333333333333331</v>
      </c>
      <c r="AP229" s="18">
        <v>0</v>
      </c>
      <c r="AQ229" s="71">
        <f t="shared" si="81"/>
        <v>0</v>
      </c>
      <c r="AR229" s="58">
        <v>2</v>
      </c>
      <c r="AS229" s="18">
        <v>2</v>
      </c>
      <c r="AT229" s="71">
        <f t="shared" si="82"/>
        <v>0.66666666666666663</v>
      </c>
      <c r="AU229" s="18">
        <v>2</v>
      </c>
      <c r="AV229" s="71">
        <f t="shared" si="83"/>
        <v>0.66666666666666663</v>
      </c>
      <c r="AW229" s="18">
        <v>2</v>
      </c>
      <c r="AX229" s="71">
        <f t="shared" si="84"/>
        <v>1</v>
      </c>
      <c r="AY229" s="18">
        <v>2</v>
      </c>
      <c r="AZ229" s="71">
        <f t="shared" si="85"/>
        <v>0.66666666666666663</v>
      </c>
      <c r="BA229" s="74">
        <v>1</v>
      </c>
      <c r="BB229" s="74">
        <v>0</v>
      </c>
      <c r="BC229" s="74">
        <v>1</v>
      </c>
      <c r="BD229" s="74">
        <v>0</v>
      </c>
      <c r="BE229" s="81">
        <f t="shared" si="86"/>
        <v>0.59916666666666663</v>
      </c>
      <c r="BF229" s="81" t="str">
        <f t="shared" si="87"/>
        <v>MEDIO</v>
      </c>
    </row>
    <row r="230" spans="1:58" x14ac:dyDescent="0.15">
      <c r="A230" s="57">
        <v>1</v>
      </c>
      <c r="B230" s="57">
        <v>1</v>
      </c>
      <c r="C230" s="57">
        <v>2</v>
      </c>
      <c r="D230" s="57">
        <v>0</v>
      </c>
      <c r="E230" s="57">
        <v>1</v>
      </c>
      <c r="F230" s="17">
        <v>2</v>
      </c>
      <c r="G230" s="64">
        <f t="shared" si="66"/>
        <v>1</v>
      </c>
      <c r="H230" s="17">
        <v>0</v>
      </c>
      <c r="I230" s="64">
        <f t="shared" si="67"/>
        <v>0</v>
      </c>
      <c r="J230" s="17">
        <v>1</v>
      </c>
      <c r="K230" s="64">
        <f t="shared" si="68"/>
        <v>0.5</v>
      </c>
      <c r="L230" s="17">
        <v>1</v>
      </c>
      <c r="M230" s="64">
        <f t="shared" si="69"/>
        <v>0.33333333333333331</v>
      </c>
      <c r="N230" s="17">
        <v>0</v>
      </c>
      <c r="O230" s="64">
        <f t="shared" si="70"/>
        <v>0</v>
      </c>
      <c r="P230" s="17">
        <v>2</v>
      </c>
      <c r="Q230" s="64">
        <f t="shared" si="71"/>
        <v>0.66666666666666663</v>
      </c>
      <c r="R230" s="25">
        <v>2</v>
      </c>
      <c r="S230" s="71">
        <f t="shared" si="72"/>
        <v>0.66666666666666663</v>
      </c>
      <c r="T230" s="17">
        <v>1</v>
      </c>
      <c r="U230" s="64">
        <f t="shared" si="73"/>
        <v>0.33333333333333331</v>
      </c>
      <c r="V230" s="17">
        <v>3</v>
      </c>
      <c r="W230" s="71">
        <f t="shared" si="74"/>
        <v>0.75</v>
      </c>
      <c r="X230" s="17">
        <v>2</v>
      </c>
      <c r="Y230" s="71">
        <f t="shared" si="75"/>
        <v>0.66666666666666663</v>
      </c>
      <c r="Z230" s="17">
        <v>3</v>
      </c>
      <c r="AA230" s="71">
        <f t="shared" si="76"/>
        <v>1</v>
      </c>
      <c r="AB230" s="17">
        <v>2</v>
      </c>
      <c r="AC230" s="71">
        <f t="shared" si="77"/>
        <v>1</v>
      </c>
      <c r="AD230" s="57">
        <v>1</v>
      </c>
      <c r="AE230" s="57">
        <v>0</v>
      </c>
      <c r="AF230" s="57">
        <v>1</v>
      </c>
      <c r="AG230" s="57">
        <v>0</v>
      </c>
      <c r="AH230" s="57">
        <v>0</v>
      </c>
      <c r="AI230" s="57">
        <v>0</v>
      </c>
      <c r="AJ230" s="20">
        <v>1</v>
      </c>
      <c r="AK230" s="71">
        <f t="shared" si="78"/>
        <v>0.5</v>
      </c>
      <c r="AL230" s="17">
        <v>3</v>
      </c>
      <c r="AM230" s="71">
        <f t="shared" si="79"/>
        <v>1</v>
      </c>
      <c r="AN230" s="17">
        <v>0</v>
      </c>
      <c r="AO230" s="71">
        <f t="shared" si="80"/>
        <v>0</v>
      </c>
      <c r="AP230" s="17">
        <v>1</v>
      </c>
      <c r="AQ230" s="71">
        <f t="shared" si="81"/>
        <v>0.33333333333333331</v>
      </c>
      <c r="AR230" s="57">
        <v>2</v>
      </c>
      <c r="AS230" s="17">
        <v>2</v>
      </c>
      <c r="AT230" s="71">
        <f t="shared" si="82"/>
        <v>0.66666666666666663</v>
      </c>
      <c r="AU230" s="17">
        <v>0</v>
      </c>
      <c r="AV230" s="71">
        <f t="shared" si="83"/>
        <v>0</v>
      </c>
      <c r="AW230" s="17">
        <v>0</v>
      </c>
      <c r="AX230" s="71">
        <f t="shared" si="84"/>
        <v>0</v>
      </c>
      <c r="AY230" s="17">
        <v>2</v>
      </c>
      <c r="AZ230" s="71">
        <f t="shared" si="85"/>
        <v>0.66666666666666663</v>
      </c>
      <c r="BA230" s="73">
        <v>1</v>
      </c>
      <c r="BB230" s="73">
        <v>0</v>
      </c>
      <c r="BC230" s="73">
        <v>0</v>
      </c>
      <c r="BD230" s="73">
        <v>0</v>
      </c>
      <c r="BE230" s="81">
        <f t="shared" si="86"/>
        <v>0.5541666666666667</v>
      </c>
      <c r="BF230" s="81" t="str">
        <f t="shared" si="87"/>
        <v>MEDIO</v>
      </c>
    </row>
    <row r="231" spans="1:58" x14ac:dyDescent="0.15">
      <c r="A231" s="58">
        <v>5</v>
      </c>
      <c r="B231" s="58">
        <v>2</v>
      </c>
      <c r="C231" s="58">
        <v>3</v>
      </c>
      <c r="D231" s="58">
        <v>2</v>
      </c>
      <c r="E231" s="58">
        <v>1</v>
      </c>
      <c r="F231" s="18">
        <v>1</v>
      </c>
      <c r="G231" s="64">
        <f t="shared" si="66"/>
        <v>0.5</v>
      </c>
      <c r="H231" s="18">
        <v>2</v>
      </c>
      <c r="I231" s="64">
        <f t="shared" si="67"/>
        <v>1</v>
      </c>
      <c r="J231" s="18">
        <v>1</v>
      </c>
      <c r="K231" s="64">
        <f t="shared" si="68"/>
        <v>0.5</v>
      </c>
      <c r="L231" s="18">
        <v>2</v>
      </c>
      <c r="M231" s="64">
        <f t="shared" si="69"/>
        <v>0.66666666666666663</v>
      </c>
      <c r="N231" s="18">
        <v>2</v>
      </c>
      <c r="O231" s="64">
        <f t="shared" si="70"/>
        <v>0.4</v>
      </c>
      <c r="P231" s="18">
        <v>2</v>
      </c>
      <c r="Q231" s="64">
        <f t="shared" si="71"/>
        <v>0.66666666666666663</v>
      </c>
      <c r="R231" s="24">
        <v>2</v>
      </c>
      <c r="S231" s="71">
        <f t="shared" si="72"/>
        <v>0.66666666666666663</v>
      </c>
      <c r="T231" s="18">
        <v>2</v>
      </c>
      <c r="U231" s="64">
        <f t="shared" si="73"/>
        <v>0.66666666666666663</v>
      </c>
      <c r="V231" s="18">
        <v>3</v>
      </c>
      <c r="W231" s="71">
        <f t="shared" si="74"/>
        <v>0.75</v>
      </c>
      <c r="X231" s="18">
        <v>2</v>
      </c>
      <c r="Y231" s="71">
        <f t="shared" si="75"/>
        <v>0.66666666666666663</v>
      </c>
      <c r="Z231" s="18">
        <v>0</v>
      </c>
      <c r="AA231" s="71">
        <f t="shared" si="76"/>
        <v>0</v>
      </c>
      <c r="AB231" s="18">
        <v>1</v>
      </c>
      <c r="AC231" s="71">
        <f t="shared" si="77"/>
        <v>0.5</v>
      </c>
      <c r="AD231" s="58">
        <v>1</v>
      </c>
      <c r="AE231" s="58">
        <v>0</v>
      </c>
      <c r="AF231" s="58">
        <v>0</v>
      </c>
      <c r="AG231" s="58">
        <v>0</v>
      </c>
      <c r="AH231" s="58">
        <v>0</v>
      </c>
      <c r="AI231" s="58">
        <v>0</v>
      </c>
      <c r="AJ231" s="19">
        <v>2</v>
      </c>
      <c r="AK231" s="71">
        <f t="shared" si="78"/>
        <v>1</v>
      </c>
      <c r="AL231" s="18">
        <v>1</v>
      </c>
      <c r="AM231" s="71">
        <f t="shared" si="79"/>
        <v>0.33333333333333331</v>
      </c>
      <c r="AN231" s="18">
        <v>1</v>
      </c>
      <c r="AO231" s="71">
        <f t="shared" si="80"/>
        <v>0.33333333333333331</v>
      </c>
      <c r="AP231" s="18">
        <v>2</v>
      </c>
      <c r="AQ231" s="71">
        <f t="shared" si="81"/>
        <v>0.66666666666666663</v>
      </c>
      <c r="AR231" s="58">
        <v>1</v>
      </c>
      <c r="AS231" s="18">
        <v>2</v>
      </c>
      <c r="AT231" s="71">
        <f t="shared" si="82"/>
        <v>0.66666666666666663</v>
      </c>
      <c r="AU231" s="18">
        <v>0</v>
      </c>
      <c r="AV231" s="71">
        <f t="shared" si="83"/>
        <v>0</v>
      </c>
      <c r="AW231" s="18">
        <v>2</v>
      </c>
      <c r="AX231" s="71">
        <f t="shared" si="84"/>
        <v>1</v>
      </c>
      <c r="AY231" s="18">
        <v>3</v>
      </c>
      <c r="AZ231" s="71">
        <f t="shared" si="85"/>
        <v>1</v>
      </c>
      <c r="BA231" s="74">
        <v>1</v>
      </c>
      <c r="BB231" s="74">
        <v>0</v>
      </c>
      <c r="BC231" s="74">
        <v>1</v>
      </c>
      <c r="BD231" s="74">
        <v>0</v>
      </c>
      <c r="BE231" s="81">
        <f t="shared" si="86"/>
        <v>0.62416666666666676</v>
      </c>
      <c r="BF231" s="81" t="str">
        <f t="shared" si="87"/>
        <v>MEDIO</v>
      </c>
    </row>
    <row r="232" spans="1:58" x14ac:dyDescent="0.15">
      <c r="A232" s="57">
        <v>3</v>
      </c>
      <c r="B232" s="57">
        <v>2</v>
      </c>
      <c r="C232" s="57">
        <v>0</v>
      </c>
      <c r="D232" s="57">
        <v>2</v>
      </c>
      <c r="E232" s="57">
        <v>1</v>
      </c>
      <c r="F232" s="17">
        <v>1</v>
      </c>
      <c r="G232" s="64">
        <f t="shared" si="66"/>
        <v>0.5</v>
      </c>
      <c r="H232" s="17">
        <v>2</v>
      </c>
      <c r="I232" s="64">
        <f t="shared" si="67"/>
        <v>1</v>
      </c>
      <c r="J232" s="17">
        <v>2</v>
      </c>
      <c r="K232" s="64">
        <f t="shared" si="68"/>
        <v>1</v>
      </c>
      <c r="L232" s="17">
        <v>2</v>
      </c>
      <c r="M232" s="64">
        <f t="shared" si="69"/>
        <v>0.66666666666666663</v>
      </c>
      <c r="N232" s="17">
        <v>2</v>
      </c>
      <c r="O232" s="64">
        <f t="shared" si="70"/>
        <v>0.4</v>
      </c>
      <c r="P232" s="17">
        <v>0</v>
      </c>
      <c r="Q232" s="64">
        <f t="shared" si="71"/>
        <v>0</v>
      </c>
      <c r="R232" s="25">
        <v>3</v>
      </c>
      <c r="S232" s="71">
        <f t="shared" si="72"/>
        <v>1</v>
      </c>
      <c r="T232" s="17">
        <v>3</v>
      </c>
      <c r="U232" s="64">
        <f t="shared" si="73"/>
        <v>1</v>
      </c>
      <c r="V232" s="17">
        <v>3</v>
      </c>
      <c r="W232" s="71">
        <f t="shared" si="74"/>
        <v>0.75</v>
      </c>
      <c r="X232" s="17">
        <v>2</v>
      </c>
      <c r="Y232" s="71">
        <f t="shared" si="75"/>
        <v>0.66666666666666663</v>
      </c>
      <c r="Z232" s="17">
        <v>3</v>
      </c>
      <c r="AA232" s="71">
        <f t="shared" si="76"/>
        <v>1</v>
      </c>
      <c r="AB232" s="17">
        <v>2</v>
      </c>
      <c r="AC232" s="71">
        <f t="shared" si="77"/>
        <v>1</v>
      </c>
      <c r="AD232" s="57">
        <v>1</v>
      </c>
      <c r="AE232" s="57">
        <v>1</v>
      </c>
      <c r="AF232" s="57">
        <v>0</v>
      </c>
      <c r="AG232" s="57">
        <v>0</v>
      </c>
      <c r="AH232" s="57">
        <v>0</v>
      </c>
      <c r="AI232" s="57">
        <v>0</v>
      </c>
      <c r="AJ232" s="20">
        <v>1</v>
      </c>
      <c r="AK232" s="71">
        <f t="shared" si="78"/>
        <v>0.5</v>
      </c>
      <c r="AL232" s="17">
        <v>0</v>
      </c>
      <c r="AM232" s="71">
        <f t="shared" si="79"/>
        <v>0</v>
      </c>
      <c r="AN232" s="17">
        <v>1</v>
      </c>
      <c r="AO232" s="71">
        <f t="shared" si="80"/>
        <v>0.33333333333333331</v>
      </c>
      <c r="AP232" s="17">
        <v>2</v>
      </c>
      <c r="AQ232" s="71">
        <f t="shared" si="81"/>
        <v>0.66666666666666663</v>
      </c>
      <c r="AR232" s="57">
        <v>1</v>
      </c>
      <c r="AS232" s="17">
        <v>3</v>
      </c>
      <c r="AT232" s="71">
        <f t="shared" si="82"/>
        <v>1</v>
      </c>
      <c r="AU232" s="17">
        <v>0</v>
      </c>
      <c r="AV232" s="71">
        <f t="shared" si="83"/>
        <v>0</v>
      </c>
      <c r="AW232" s="17">
        <v>0</v>
      </c>
      <c r="AX232" s="71">
        <f t="shared" si="84"/>
        <v>0</v>
      </c>
      <c r="AY232" s="17">
        <v>2</v>
      </c>
      <c r="AZ232" s="71">
        <f t="shared" si="85"/>
        <v>0.66666666666666663</v>
      </c>
      <c r="BA232" s="73">
        <v>0</v>
      </c>
      <c r="BB232" s="73">
        <v>0</v>
      </c>
      <c r="BC232" s="73">
        <v>1</v>
      </c>
      <c r="BD232" s="73">
        <v>0</v>
      </c>
      <c r="BE232" s="81">
        <f t="shared" si="86"/>
        <v>0.63250000000000006</v>
      </c>
      <c r="BF232" s="81" t="str">
        <f t="shared" si="87"/>
        <v>MEDIO</v>
      </c>
    </row>
    <row r="233" spans="1:58" x14ac:dyDescent="0.15">
      <c r="A233" s="58">
        <v>2</v>
      </c>
      <c r="B233" s="58">
        <v>2</v>
      </c>
      <c r="C233" s="58">
        <v>0</v>
      </c>
      <c r="D233" s="58">
        <v>1</v>
      </c>
      <c r="E233" s="58">
        <v>0</v>
      </c>
      <c r="F233" s="18">
        <v>0</v>
      </c>
      <c r="G233" s="64">
        <f t="shared" si="66"/>
        <v>0</v>
      </c>
      <c r="H233" s="18">
        <v>1</v>
      </c>
      <c r="I233" s="64">
        <f t="shared" si="67"/>
        <v>0.5</v>
      </c>
      <c r="J233" s="18">
        <v>2</v>
      </c>
      <c r="K233" s="64">
        <f t="shared" si="68"/>
        <v>1</v>
      </c>
      <c r="L233" s="18">
        <v>2</v>
      </c>
      <c r="M233" s="64">
        <f t="shared" si="69"/>
        <v>0.66666666666666663</v>
      </c>
      <c r="N233" s="18">
        <v>1</v>
      </c>
      <c r="O233" s="64">
        <f t="shared" si="70"/>
        <v>0.2</v>
      </c>
      <c r="P233" s="18">
        <v>0</v>
      </c>
      <c r="Q233" s="64">
        <f t="shared" si="71"/>
        <v>0</v>
      </c>
      <c r="R233" s="24">
        <v>1</v>
      </c>
      <c r="S233" s="71">
        <f t="shared" si="72"/>
        <v>0.33333333333333331</v>
      </c>
      <c r="T233" s="18">
        <v>2</v>
      </c>
      <c r="U233" s="64">
        <f t="shared" si="73"/>
        <v>0.66666666666666663</v>
      </c>
      <c r="V233" s="18">
        <v>3</v>
      </c>
      <c r="W233" s="71">
        <f t="shared" si="74"/>
        <v>0.75</v>
      </c>
      <c r="X233" s="18">
        <v>1</v>
      </c>
      <c r="Y233" s="71">
        <f t="shared" si="75"/>
        <v>0.33333333333333331</v>
      </c>
      <c r="Z233" s="18">
        <v>0</v>
      </c>
      <c r="AA233" s="71">
        <f t="shared" si="76"/>
        <v>0</v>
      </c>
      <c r="AB233" s="18">
        <v>3</v>
      </c>
      <c r="AC233" s="71">
        <f t="shared" si="77"/>
        <v>1.5</v>
      </c>
      <c r="AD233" s="58">
        <v>1</v>
      </c>
      <c r="AE233" s="58">
        <v>0</v>
      </c>
      <c r="AF233" s="58">
        <v>0</v>
      </c>
      <c r="AG233" s="58">
        <v>0</v>
      </c>
      <c r="AH233" s="58">
        <v>0</v>
      </c>
      <c r="AI233" s="58">
        <v>0</v>
      </c>
      <c r="AJ233" s="19">
        <v>0</v>
      </c>
      <c r="AK233" s="71">
        <f t="shared" si="78"/>
        <v>0</v>
      </c>
      <c r="AL233" s="18">
        <v>3</v>
      </c>
      <c r="AM233" s="71">
        <f t="shared" si="79"/>
        <v>1</v>
      </c>
      <c r="AN233" s="18">
        <v>2</v>
      </c>
      <c r="AO233" s="71">
        <f t="shared" si="80"/>
        <v>0.66666666666666663</v>
      </c>
      <c r="AP233" s="18">
        <v>2</v>
      </c>
      <c r="AQ233" s="71">
        <f t="shared" si="81"/>
        <v>0.66666666666666663</v>
      </c>
      <c r="AR233" s="58">
        <v>3</v>
      </c>
      <c r="AS233" s="18">
        <v>0</v>
      </c>
      <c r="AT233" s="71">
        <f t="shared" si="82"/>
        <v>0</v>
      </c>
      <c r="AU233" s="18">
        <v>1</v>
      </c>
      <c r="AV233" s="71">
        <f t="shared" si="83"/>
        <v>0.33333333333333331</v>
      </c>
      <c r="AW233" s="18">
        <v>2</v>
      </c>
      <c r="AX233" s="71">
        <f t="shared" si="84"/>
        <v>1</v>
      </c>
      <c r="AY233" s="18">
        <v>0</v>
      </c>
      <c r="AZ233" s="71">
        <f t="shared" si="85"/>
        <v>0</v>
      </c>
      <c r="BA233" s="74">
        <v>1</v>
      </c>
      <c r="BB233" s="74">
        <v>0</v>
      </c>
      <c r="BC233" s="74">
        <v>1</v>
      </c>
      <c r="BD233" s="74">
        <v>0</v>
      </c>
      <c r="BE233" s="81">
        <f t="shared" si="86"/>
        <v>0.48083333333333333</v>
      </c>
      <c r="BF233" s="81" t="str">
        <f t="shared" si="87"/>
        <v>MEDIO</v>
      </c>
    </row>
    <row r="234" spans="1:58" x14ac:dyDescent="0.15">
      <c r="A234" s="57">
        <v>2</v>
      </c>
      <c r="B234" s="57">
        <v>1</v>
      </c>
      <c r="C234" s="57">
        <v>3</v>
      </c>
      <c r="D234" s="57">
        <v>1</v>
      </c>
      <c r="E234" s="57">
        <v>0</v>
      </c>
      <c r="F234" s="17">
        <v>0</v>
      </c>
      <c r="G234" s="64">
        <f t="shared" si="66"/>
        <v>0</v>
      </c>
      <c r="H234" s="17">
        <v>0</v>
      </c>
      <c r="I234" s="64">
        <f t="shared" si="67"/>
        <v>0</v>
      </c>
      <c r="J234" s="17">
        <v>2</v>
      </c>
      <c r="K234" s="64">
        <f t="shared" si="68"/>
        <v>1</v>
      </c>
      <c r="L234" s="17">
        <v>2</v>
      </c>
      <c r="M234" s="64">
        <f t="shared" si="69"/>
        <v>0.66666666666666663</v>
      </c>
      <c r="N234" s="17">
        <v>2</v>
      </c>
      <c r="O234" s="64">
        <f t="shared" si="70"/>
        <v>0.4</v>
      </c>
      <c r="P234" s="17">
        <v>2</v>
      </c>
      <c r="Q234" s="64">
        <f t="shared" si="71"/>
        <v>0.66666666666666663</v>
      </c>
      <c r="R234" s="25">
        <v>1</v>
      </c>
      <c r="S234" s="71">
        <f t="shared" si="72"/>
        <v>0.33333333333333331</v>
      </c>
      <c r="T234" s="17">
        <v>2</v>
      </c>
      <c r="U234" s="64">
        <f t="shared" si="73"/>
        <v>0.66666666666666663</v>
      </c>
      <c r="V234" s="17">
        <v>3</v>
      </c>
      <c r="W234" s="71">
        <f t="shared" si="74"/>
        <v>0.75</v>
      </c>
      <c r="X234" s="17">
        <v>2</v>
      </c>
      <c r="Y234" s="71">
        <f t="shared" si="75"/>
        <v>0.66666666666666663</v>
      </c>
      <c r="Z234" s="17">
        <v>1</v>
      </c>
      <c r="AA234" s="71">
        <f t="shared" si="76"/>
        <v>0.33333333333333331</v>
      </c>
      <c r="AB234" s="17">
        <v>3</v>
      </c>
      <c r="AC234" s="71">
        <f t="shared" si="77"/>
        <v>1.5</v>
      </c>
      <c r="AD234" s="57">
        <v>1</v>
      </c>
      <c r="AE234" s="57">
        <v>0</v>
      </c>
      <c r="AF234" s="57">
        <v>1</v>
      </c>
      <c r="AG234" s="57">
        <v>0</v>
      </c>
      <c r="AH234" s="57">
        <v>0</v>
      </c>
      <c r="AI234" s="57">
        <v>0</v>
      </c>
      <c r="AJ234" s="20">
        <v>1</v>
      </c>
      <c r="AK234" s="71">
        <f t="shared" si="78"/>
        <v>0.5</v>
      </c>
      <c r="AL234" s="17">
        <v>3</v>
      </c>
      <c r="AM234" s="71">
        <f t="shared" si="79"/>
        <v>1</v>
      </c>
      <c r="AN234" s="17">
        <v>2</v>
      </c>
      <c r="AO234" s="71">
        <f t="shared" si="80"/>
        <v>0.66666666666666663</v>
      </c>
      <c r="AP234" s="17">
        <v>2</v>
      </c>
      <c r="AQ234" s="71">
        <f t="shared" si="81"/>
        <v>0.66666666666666663</v>
      </c>
      <c r="AR234" s="57">
        <v>0</v>
      </c>
      <c r="AS234" s="17">
        <v>0</v>
      </c>
      <c r="AT234" s="71">
        <f t="shared" si="82"/>
        <v>0</v>
      </c>
      <c r="AU234" s="17">
        <v>1</v>
      </c>
      <c r="AV234" s="71">
        <f t="shared" si="83"/>
        <v>0.33333333333333331</v>
      </c>
      <c r="AW234" s="17">
        <v>0</v>
      </c>
      <c r="AX234" s="71">
        <f t="shared" si="84"/>
        <v>0</v>
      </c>
      <c r="AY234" s="17">
        <v>2</v>
      </c>
      <c r="AZ234" s="71">
        <f t="shared" si="85"/>
        <v>0.66666666666666663</v>
      </c>
      <c r="BA234" s="73">
        <v>0</v>
      </c>
      <c r="BB234" s="73">
        <v>0</v>
      </c>
      <c r="BC234" s="73">
        <v>0</v>
      </c>
      <c r="BD234" s="73">
        <v>1</v>
      </c>
      <c r="BE234" s="81">
        <f t="shared" si="86"/>
        <v>0.54083333333333328</v>
      </c>
      <c r="BF234" s="81" t="str">
        <f t="shared" si="87"/>
        <v>MEDIO</v>
      </c>
    </row>
    <row r="235" spans="1:58" x14ac:dyDescent="0.15">
      <c r="A235" s="58">
        <v>2</v>
      </c>
      <c r="B235" s="58">
        <v>2</v>
      </c>
      <c r="C235" s="58">
        <v>3</v>
      </c>
      <c r="D235" s="58">
        <v>2</v>
      </c>
      <c r="E235" s="58">
        <v>1</v>
      </c>
      <c r="F235" s="18">
        <v>2</v>
      </c>
      <c r="G235" s="64">
        <f t="shared" si="66"/>
        <v>1</v>
      </c>
      <c r="H235" s="18">
        <v>2</v>
      </c>
      <c r="I235" s="64">
        <f t="shared" si="67"/>
        <v>1</v>
      </c>
      <c r="J235" s="18">
        <v>2</v>
      </c>
      <c r="K235" s="64">
        <f t="shared" si="68"/>
        <v>1</v>
      </c>
      <c r="L235" s="18">
        <v>3</v>
      </c>
      <c r="M235" s="64">
        <f t="shared" si="69"/>
        <v>1</v>
      </c>
      <c r="N235" s="18">
        <v>2</v>
      </c>
      <c r="O235" s="64">
        <f t="shared" si="70"/>
        <v>0.4</v>
      </c>
      <c r="P235" s="18">
        <v>1</v>
      </c>
      <c r="Q235" s="64">
        <f t="shared" si="71"/>
        <v>0.33333333333333331</v>
      </c>
      <c r="R235" s="24">
        <v>3</v>
      </c>
      <c r="S235" s="71">
        <f t="shared" si="72"/>
        <v>1</v>
      </c>
      <c r="T235" s="18">
        <v>3</v>
      </c>
      <c r="U235" s="64">
        <f t="shared" si="73"/>
        <v>1</v>
      </c>
      <c r="V235" s="18">
        <v>2</v>
      </c>
      <c r="W235" s="71">
        <f t="shared" si="74"/>
        <v>0.5</v>
      </c>
      <c r="X235" s="18">
        <v>3</v>
      </c>
      <c r="Y235" s="71">
        <f t="shared" si="75"/>
        <v>1</v>
      </c>
      <c r="Z235" s="18">
        <v>3</v>
      </c>
      <c r="AA235" s="71">
        <f t="shared" si="76"/>
        <v>1</v>
      </c>
      <c r="AB235" s="18">
        <v>2</v>
      </c>
      <c r="AC235" s="71">
        <f t="shared" si="77"/>
        <v>1</v>
      </c>
      <c r="AD235" s="58">
        <v>1</v>
      </c>
      <c r="AE235" s="58">
        <v>1</v>
      </c>
      <c r="AF235" s="58">
        <v>0</v>
      </c>
      <c r="AG235" s="58">
        <v>0</v>
      </c>
      <c r="AH235" s="58">
        <v>0</v>
      </c>
      <c r="AI235" s="58">
        <v>0</v>
      </c>
      <c r="AJ235" s="19">
        <v>2</v>
      </c>
      <c r="AK235" s="71">
        <f t="shared" si="78"/>
        <v>1</v>
      </c>
      <c r="AL235" s="18">
        <v>2</v>
      </c>
      <c r="AM235" s="71">
        <f t="shared" si="79"/>
        <v>0.66666666666666663</v>
      </c>
      <c r="AN235" s="18">
        <v>1</v>
      </c>
      <c r="AO235" s="71">
        <f t="shared" si="80"/>
        <v>0.33333333333333331</v>
      </c>
      <c r="AP235" s="18">
        <v>2</v>
      </c>
      <c r="AQ235" s="71">
        <f t="shared" si="81"/>
        <v>0.66666666666666663</v>
      </c>
      <c r="AR235" s="58">
        <v>2</v>
      </c>
      <c r="AS235" s="18">
        <v>2</v>
      </c>
      <c r="AT235" s="71">
        <f t="shared" si="82"/>
        <v>0.66666666666666663</v>
      </c>
      <c r="AU235" s="18">
        <v>3</v>
      </c>
      <c r="AV235" s="71">
        <f t="shared" si="83"/>
        <v>1</v>
      </c>
      <c r="AW235" s="18">
        <v>1</v>
      </c>
      <c r="AX235" s="71">
        <f t="shared" si="84"/>
        <v>0.5</v>
      </c>
      <c r="AY235" s="18">
        <v>3</v>
      </c>
      <c r="AZ235" s="71">
        <f t="shared" si="85"/>
        <v>1</v>
      </c>
      <c r="BA235" s="74">
        <v>1</v>
      </c>
      <c r="BB235" s="74">
        <v>0</v>
      </c>
      <c r="BC235" s="74">
        <v>1</v>
      </c>
      <c r="BD235" s="74">
        <v>0</v>
      </c>
      <c r="BE235" s="81">
        <f t="shared" si="86"/>
        <v>0.85333333333333328</v>
      </c>
      <c r="BF235" s="81" t="str">
        <f t="shared" si="87"/>
        <v>ALTO</v>
      </c>
    </row>
    <row r="236" spans="1:58" x14ac:dyDescent="0.15">
      <c r="A236" s="57">
        <v>5</v>
      </c>
      <c r="B236" s="57">
        <v>1</v>
      </c>
      <c r="C236" s="57">
        <v>3</v>
      </c>
      <c r="D236" s="57">
        <v>1</v>
      </c>
      <c r="E236" s="57">
        <v>1</v>
      </c>
      <c r="F236" s="17">
        <v>2</v>
      </c>
      <c r="G236" s="64">
        <f t="shared" si="66"/>
        <v>1</v>
      </c>
      <c r="H236" s="17">
        <v>2</v>
      </c>
      <c r="I236" s="64">
        <f t="shared" si="67"/>
        <v>1</v>
      </c>
      <c r="J236" s="17">
        <v>1</v>
      </c>
      <c r="K236" s="64">
        <f t="shared" si="68"/>
        <v>0.5</v>
      </c>
      <c r="L236" s="17">
        <v>3</v>
      </c>
      <c r="M236" s="64">
        <f t="shared" si="69"/>
        <v>1</v>
      </c>
      <c r="N236" s="17">
        <v>5</v>
      </c>
      <c r="O236" s="64">
        <f t="shared" si="70"/>
        <v>1</v>
      </c>
      <c r="P236" s="17">
        <v>2</v>
      </c>
      <c r="Q236" s="64">
        <f t="shared" si="71"/>
        <v>0.66666666666666663</v>
      </c>
      <c r="R236" s="25">
        <v>2</v>
      </c>
      <c r="S236" s="71">
        <f t="shared" si="72"/>
        <v>0.66666666666666663</v>
      </c>
      <c r="T236" s="17">
        <v>3</v>
      </c>
      <c r="U236" s="64">
        <f t="shared" si="73"/>
        <v>1</v>
      </c>
      <c r="V236" s="17">
        <v>3</v>
      </c>
      <c r="W236" s="71">
        <f t="shared" si="74"/>
        <v>0.75</v>
      </c>
      <c r="X236" s="17">
        <v>2</v>
      </c>
      <c r="Y236" s="71">
        <f t="shared" si="75"/>
        <v>0.66666666666666663</v>
      </c>
      <c r="Z236" s="17">
        <v>3</v>
      </c>
      <c r="AA236" s="71">
        <f t="shared" si="76"/>
        <v>1</v>
      </c>
      <c r="AB236" s="17">
        <v>0</v>
      </c>
      <c r="AC236" s="71">
        <f t="shared" si="77"/>
        <v>0</v>
      </c>
      <c r="AD236" s="57">
        <v>1</v>
      </c>
      <c r="AE236" s="57">
        <v>0</v>
      </c>
      <c r="AF236" s="57">
        <v>1</v>
      </c>
      <c r="AG236" s="57">
        <v>0</v>
      </c>
      <c r="AH236" s="57">
        <v>0</v>
      </c>
      <c r="AI236" s="57">
        <v>0</v>
      </c>
      <c r="AJ236" s="20">
        <v>2</v>
      </c>
      <c r="AK236" s="71">
        <f t="shared" si="78"/>
        <v>1</v>
      </c>
      <c r="AL236" s="17">
        <v>2</v>
      </c>
      <c r="AM236" s="71">
        <f t="shared" si="79"/>
        <v>0.66666666666666663</v>
      </c>
      <c r="AN236" s="17">
        <v>2</v>
      </c>
      <c r="AO236" s="71">
        <f t="shared" si="80"/>
        <v>0.66666666666666663</v>
      </c>
      <c r="AP236" s="17">
        <v>3</v>
      </c>
      <c r="AQ236" s="71">
        <f t="shared" si="81"/>
        <v>1</v>
      </c>
      <c r="AR236" s="57">
        <v>2</v>
      </c>
      <c r="AS236" s="17">
        <v>3</v>
      </c>
      <c r="AT236" s="71">
        <f t="shared" si="82"/>
        <v>1</v>
      </c>
      <c r="AU236" s="17">
        <v>3</v>
      </c>
      <c r="AV236" s="71">
        <f t="shared" si="83"/>
        <v>1</v>
      </c>
      <c r="AW236" s="17">
        <v>1</v>
      </c>
      <c r="AX236" s="71">
        <f t="shared" si="84"/>
        <v>0.5</v>
      </c>
      <c r="AY236" s="17">
        <v>3</v>
      </c>
      <c r="AZ236" s="71">
        <f t="shared" si="85"/>
        <v>1</v>
      </c>
      <c r="BA236" s="73">
        <v>1</v>
      </c>
      <c r="BB236" s="73">
        <v>0</v>
      </c>
      <c r="BC236" s="73">
        <v>1</v>
      </c>
      <c r="BD236" s="73">
        <v>0</v>
      </c>
      <c r="BE236" s="81">
        <f t="shared" si="86"/>
        <v>0.85416666666666663</v>
      </c>
      <c r="BF236" s="81" t="str">
        <f t="shared" si="87"/>
        <v>ALTO</v>
      </c>
    </row>
    <row r="237" spans="1:58" x14ac:dyDescent="0.15">
      <c r="A237" s="58">
        <v>3</v>
      </c>
      <c r="B237" s="58">
        <v>0</v>
      </c>
      <c r="C237" s="58">
        <v>4</v>
      </c>
      <c r="D237" s="58">
        <v>1</v>
      </c>
      <c r="E237" s="58">
        <v>1</v>
      </c>
      <c r="F237" s="18">
        <v>2</v>
      </c>
      <c r="G237" s="64">
        <f t="shared" si="66"/>
        <v>1</v>
      </c>
      <c r="H237" s="18">
        <v>2</v>
      </c>
      <c r="I237" s="64">
        <f t="shared" si="67"/>
        <v>1</v>
      </c>
      <c r="J237" s="18">
        <v>2</v>
      </c>
      <c r="K237" s="64">
        <f t="shared" si="68"/>
        <v>1</v>
      </c>
      <c r="L237" s="18">
        <v>3</v>
      </c>
      <c r="M237" s="64">
        <f t="shared" si="69"/>
        <v>1</v>
      </c>
      <c r="N237" s="18">
        <v>4</v>
      </c>
      <c r="O237" s="64">
        <f t="shared" si="70"/>
        <v>0.8</v>
      </c>
      <c r="P237" s="18">
        <v>1</v>
      </c>
      <c r="Q237" s="64">
        <f t="shared" si="71"/>
        <v>0.33333333333333331</v>
      </c>
      <c r="R237" s="24">
        <v>2</v>
      </c>
      <c r="S237" s="71">
        <f t="shared" si="72"/>
        <v>0.66666666666666663</v>
      </c>
      <c r="T237" s="18">
        <v>3</v>
      </c>
      <c r="U237" s="64">
        <f t="shared" si="73"/>
        <v>1</v>
      </c>
      <c r="V237" s="18">
        <v>0</v>
      </c>
      <c r="W237" s="71">
        <f t="shared" si="74"/>
        <v>0</v>
      </c>
      <c r="X237" s="18">
        <v>3</v>
      </c>
      <c r="Y237" s="71">
        <f t="shared" si="75"/>
        <v>1</v>
      </c>
      <c r="Z237" s="18">
        <v>3</v>
      </c>
      <c r="AA237" s="71">
        <f t="shared" si="76"/>
        <v>1</v>
      </c>
      <c r="AB237" s="18">
        <v>1</v>
      </c>
      <c r="AC237" s="71">
        <f t="shared" si="77"/>
        <v>0.5</v>
      </c>
      <c r="AD237" s="58">
        <v>0</v>
      </c>
      <c r="AE237" s="58">
        <v>1</v>
      </c>
      <c r="AF237" s="58">
        <v>1</v>
      </c>
      <c r="AG237" s="58">
        <v>0</v>
      </c>
      <c r="AH237" s="58">
        <v>0</v>
      </c>
      <c r="AI237" s="58">
        <v>0</v>
      </c>
      <c r="AJ237" s="19">
        <v>2</v>
      </c>
      <c r="AK237" s="71">
        <f t="shared" si="78"/>
        <v>1</v>
      </c>
      <c r="AL237" s="18">
        <v>2</v>
      </c>
      <c r="AM237" s="71">
        <f t="shared" si="79"/>
        <v>0.66666666666666663</v>
      </c>
      <c r="AN237" s="18">
        <v>1</v>
      </c>
      <c r="AO237" s="71">
        <f t="shared" si="80"/>
        <v>0.33333333333333331</v>
      </c>
      <c r="AP237" s="18">
        <v>3</v>
      </c>
      <c r="AQ237" s="71">
        <f t="shared" si="81"/>
        <v>1</v>
      </c>
      <c r="AR237" s="58">
        <v>2</v>
      </c>
      <c r="AS237" s="18">
        <v>0</v>
      </c>
      <c r="AT237" s="71">
        <f t="shared" si="82"/>
        <v>0</v>
      </c>
      <c r="AU237" s="18">
        <v>2</v>
      </c>
      <c r="AV237" s="71">
        <f t="shared" si="83"/>
        <v>0.66666666666666663</v>
      </c>
      <c r="AW237" s="18">
        <v>1</v>
      </c>
      <c r="AX237" s="71">
        <f t="shared" si="84"/>
        <v>0.5</v>
      </c>
      <c r="AY237" s="18">
        <v>1</v>
      </c>
      <c r="AZ237" s="71">
        <f t="shared" si="85"/>
        <v>0.33333333333333331</v>
      </c>
      <c r="BA237" s="74">
        <v>0</v>
      </c>
      <c r="BB237" s="74">
        <v>1</v>
      </c>
      <c r="BC237" s="74">
        <v>0</v>
      </c>
      <c r="BD237" s="74">
        <v>0</v>
      </c>
      <c r="BE237" s="81">
        <f t="shared" si="86"/>
        <v>0.74</v>
      </c>
      <c r="BF237" s="81" t="str">
        <f t="shared" si="87"/>
        <v>ALTO</v>
      </c>
    </row>
    <row r="238" spans="1:58" x14ac:dyDescent="0.15">
      <c r="A238" s="57">
        <v>2</v>
      </c>
      <c r="B238" s="57">
        <v>1</v>
      </c>
      <c r="C238" s="57">
        <v>1</v>
      </c>
      <c r="D238" s="57">
        <v>0</v>
      </c>
      <c r="E238" s="57">
        <v>1</v>
      </c>
      <c r="F238" s="17">
        <v>1</v>
      </c>
      <c r="G238" s="64">
        <f t="shared" si="66"/>
        <v>0.5</v>
      </c>
      <c r="H238" s="17">
        <v>1</v>
      </c>
      <c r="I238" s="64">
        <f t="shared" si="67"/>
        <v>0.5</v>
      </c>
      <c r="J238" s="17">
        <v>1</v>
      </c>
      <c r="K238" s="64">
        <f t="shared" si="68"/>
        <v>0.5</v>
      </c>
      <c r="L238" s="17">
        <v>0</v>
      </c>
      <c r="M238" s="64">
        <f t="shared" si="69"/>
        <v>0</v>
      </c>
      <c r="N238" s="17">
        <v>2</v>
      </c>
      <c r="O238" s="64">
        <f t="shared" si="70"/>
        <v>0.4</v>
      </c>
      <c r="P238" s="17">
        <v>3</v>
      </c>
      <c r="Q238" s="64">
        <f t="shared" si="71"/>
        <v>1</v>
      </c>
      <c r="R238" s="25">
        <v>2</v>
      </c>
      <c r="S238" s="71">
        <f t="shared" si="72"/>
        <v>0.66666666666666663</v>
      </c>
      <c r="T238" s="17">
        <v>2</v>
      </c>
      <c r="U238" s="64">
        <f t="shared" si="73"/>
        <v>0.66666666666666663</v>
      </c>
      <c r="V238" s="17">
        <v>3</v>
      </c>
      <c r="W238" s="71">
        <f t="shared" si="74"/>
        <v>0.75</v>
      </c>
      <c r="X238" s="17">
        <v>2</v>
      </c>
      <c r="Y238" s="71">
        <f t="shared" si="75"/>
        <v>0.66666666666666663</v>
      </c>
      <c r="Z238" s="17">
        <v>1</v>
      </c>
      <c r="AA238" s="71">
        <f t="shared" si="76"/>
        <v>0.33333333333333331</v>
      </c>
      <c r="AB238" s="17">
        <v>2</v>
      </c>
      <c r="AC238" s="71">
        <f t="shared" si="77"/>
        <v>1</v>
      </c>
      <c r="AD238" s="57">
        <v>1</v>
      </c>
      <c r="AE238" s="57">
        <v>0</v>
      </c>
      <c r="AF238" s="57">
        <v>1</v>
      </c>
      <c r="AG238" s="57">
        <v>0</v>
      </c>
      <c r="AH238" s="57">
        <v>0</v>
      </c>
      <c r="AI238" s="57">
        <v>0</v>
      </c>
      <c r="AJ238" s="20">
        <v>1</v>
      </c>
      <c r="AK238" s="71">
        <f t="shared" si="78"/>
        <v>0.5</v>
      </c>
      <c r="AL238" s="17">
        <v>0</v>
      </c>
      <c r="AM238" s="71">
        <f t="shared" si="79"/>
        <v>0</v>
      </c>
      <c r="AN238" s="17">
        <v>0</v>
      </c>
      <c r="AO238" s="71">
        <f t="shared" si="80"/>
        <v>0</v>
      </c>
      <c r="AP238" s="17">
        <v>1</v>
      </c>
      <c r="AQ238" s="71">
        <f t="shared" si="81"/>
        <v>0.33333333333333331</v>
      </c>
      <c r="AR238" s="57">
        <v>0</v>
      </c>
      <c r="AS238" s="17">
        <v>2</v>
      </c>
      <c r="AT238" s="71">
        <f t="shared" si="82"/>
        <v>0.66666666666666663</v>
      </c>
      <c r="AU238" s="17">
        <v>0</v>
      </c>
      <c r="AV238" s="71">
        <f t="shared" si="83"/>
        <v>0</v>
      </c>
      <c r="AW238" s="17">
        <v>0</v>
      </c>
      <c r="AX238" s="71">
        <f t="shared" si="84"/>
        <v>0</v>
      </c>
      <c r="AY238" s="17">
        <v>0</v>
      </c>
      <c r="AZ238" s="71">
        <f t="shared" si="85"/>
        <v>0</v>
      </c>
      <c r="BA238" s="73">
        <v>0</v>
      </c>
      <c r="BB238" s="73">
        <v>1</v>
      </c>
      <c r="BC238" s="73">
        <v>1</v>
      </c>
      <c r="BD238" s="73">
        <v>0</v>
      </c>
      <c r="BE238" s="81">
        <f t="shared" si="86"/>
        <v>0.4491666666666666</v>
      </c>
      <c r="BF238" s="81" t="str">
        <f t="shared" si="87"/>
        <v>MEDIO</v>
      </c>
    </row>
    <row r="239" spans="1:58" x14ac:dyDescent="0.15">
      <c r="A239" s="58">
        <v>1</v>
      </c>
      <c r="B239" s="58">
        <v>0</v>
      </c>
      <c r="C239" s="58">
        <v>1</v>
      </c>
      <c r="D239" s="58">
        <v>1</v>
      </c>
      <c r="E239" s="58">
        <v>1</v>
      </c>
      <c r="F239" s="18">
        <v>2</v>
      </c>
      <c r="G239" s="64">
        <f t="shared" si="66"/>
        <v>1</v>
      </c>
      <c r="H239" s="18">
        <v>1</v>
      </c>
      <c r="I239" s="64">
        <f t="shared" si="67"/>
        <v>0.5</v>
      </c>
      <c r="J239" s="18">
        <v>1</v>
      </c>
      <c r="K239" s="64">
        <f t="shared" si="68"/>
        <v>0.5</v>
      </c>
      <c r="L239" s="18">
        <v>3</v>
      </c>
      <c r="M239" s="64">
        <f t="shared" si="69"/>
        <v>1</v>
      </c>
      <c r="N239" s="18">
        <v>2</v>
      </c>
      <c r="O239" s="64">
        <f t="shared" si="70"/>
        <v>0.4</v>
      </c>
      <c r="P239" s="18">
        <v>3</v>
      </c>
      <c r="Q239" s="64">
        <f t="shared" si="71"/>
        <v>1</v>
      </c>
      <c r="R239" s="24">
        <v>2</v>
      </c>
      <c r="S239" s="71">
        <f t="shared" si="72"/>
        <v>0.66666666666666663</v>
      </c>
      <c r="T239" s="18">
        <v>2</v>
      </c>
      <c r="U239" s="64">
        <f t="shared" si="73"/>
        <v>0.66666666666666663</v>
      </c>
      <c r="V239" s="18">
        <v>3</v>
      </c>
      <c r="W239" s="71">
        <f t="shared" si="74"/>
        <v>0.75</v>
      </c>
      <c r="X239" s="18">
        <v>2</v>
      </c>
      <c r="Y239" s="71">
        <f t="shared" si="75"/>
        <v>0.66666666666666663</v>
      </c>
      <c r="Z239" s="18">
        <v>3</v>
      </c>
      <c r="AA239" s="71">
        <f t="shared" si="76"/>
        <v>1</v>
      </c>
      <c r="AB239" s="18">
        <v>1</v>
      </c>
      <c r="AC239" s="71">
        <f t="shared" si="77"/>
        <v>0.5</v>
      </c>
      <c r="AD239" s="58">
        <v>1</v>
      </c>
      <c r="AE239" s="58">
        <v>0</v>
      </c>
      <c r="AF239" s="58">
        <v>1</v>
      </c>
      <c r="AG239" s="58">
        <v>0</v>
      </c>
      <c r="AH239" s="58">
        <v>0</v>
      </c>
      <c r="AI239" s="58">
        <v>0</v>
      </c>
      <c r="AJ239" s="19">
        <v>1</v>
      </c>
      <c r="AK239" s="71">
        <f t="shared" si="78"/>
        <v>0.5</v>
      </c>
      <c r="AL239" s="18">
        <v>3</v>
      </c>
      <c r="AM239" s="71">
        <f t="shared" si="79"/>
        <v>1</v>
      </c>
      <c r="AN239" s="18">
        <v>1</v>
      </c>
      <c r="AO239" s="71">
        <f t="shared" si="80"/>
        <v>0.33333333333333331</v>
      </c>
      <c r="AP239" s="18">
        <v>3</v>
      </c>
      <c r="AQ239" s="71">
        <f t="shared" si="81"/>
        <v>1</v>
      </c>
      <c r="AR239" s="58">
        <v>0</v>
      </c>
      <c r="AS239" s="18">
        <v>3</v>
      </c>
      <c r="AT239" s="71">
        <f t="shared" si="82"/>
        <v>1</v>
      </c>
      <c r="AU239" s="18">
        <v>2</v>
      </c>
      <c r="AV239" s="71">
        <f t="shared" si="83"/>
        <v>0.66666666666666663</v>
      </c>
      <c r="AW239" s="18">
        <v>1</v>
      </c>
      <c r="AX239" s="71">
        <f t="shared" si="84"/>
        <v>0.5</v>
      </c>
      <c r="AY239" s="18">
        <v>0</v>
      </c>
      <c r="AZ239" s="71">
        <f t="shared" si="85"/>
        <v>0</v>
      </c>
      <c r="BA239" s="74">
        <v>1</v>
      </c>
      <c r="BB239" s="74">
        <v>1</v>
      </c>
      <c r="BC239" s="74">
        <v>0</v>
      </c>
      <c r="BD239" s="74">
        <v>0</v>
      </c>
      <c r="BE239" s="81">
        <f t="shared" si="86"/>
        <v>0.73250000000000004</v>
      </c>
      <c r="BF239" s="81" t="str">
        <f t="shared" si="87"/>
        <v>ALTO</v>
      </c>
    </row>
    <row r="240" spans="1:58" x14ac:dyDescent="0.15">
      <c r="A240" s="57">
        <v>4</v>
      </c>
      <c r="B240" s="57">
        <v>1</v>
      </c>
      <c r="C240" s="57">
        <v>3</v>
      </c>
      <c r="D240" s="57">
        <v>1</v>
      </c>
      <c r="E240" s="57">
        <v>1</v>
      </c>
      <c r="F240" s="17">
        <v>2</v>
      </c>
      <c r="G240" s="64">
        <f t="shared" si="66"/>
        <v>1</v>
      </c>
      <c r="H240" s="17">
        <v>2</v>
      </c>
      <c r="I240" s="64">
        <f t="shared" si="67"/>
        <v>1</v>
      </c>
      <c r="J240" s="17">
        <v>2</v>
      </c>
      <c r="K240" s="64">
        <f t="shared" si="68"/>
        <v>1</v>
      </c>
      <c r="L240" s="17">
        <v>3</v>
      </c>
      <c r="M240" s="64">
        <f t="shared" si="69"/>
        <v>1</v>
      </c>
      <c r="N240" s="17">
        <v>0</v>
      </c>
      <c r="O240" s="64">
        <f t="shared" si="70"/>
        <v>0</v>
      </c>
      <c r="P240" s="17">
        <v>2</v>
      </c>
      <c r="Q240" s="64">
        <f t="shared" si="71"/>
        <v>0.66666666666666663</v>
      </c>
      <c r="R240" s="25">
        <v>3</v>
      </c>
      <c r="S240" s="71">
        <f t="shared" si="72"/>
        <v>1</v>
      </c>
      <c r="T240" s="17">
        <v>3</v>
      </c>
      <c r="U240" s="64">
        <f t="shared" si="73"/>
        <v>1</v>
      </c>
      <c r="V240" s="17">
        <v>3</v>
      </c>
      <c r="W240" s="71">
        <f t="shared" si="74"/>
        <v>0.75</v>
      </c>
      <c r="X240" s="17">
        <v>3</v>
      </c>
      <c r="Y240" s="71">
        <f t="shared" si="75"/>
        <v>1</v>
      </c>
      <c r="Z240" s="17">
        <v>3</v>
      </c>
      <c r="AA240" s="71">
        <f t="shared" si="76"/>
        <v>1</v>
      </c>
      <c r="AB240" s="17">
        <v>0</v>
      </c>
      <c r="AC240" s="71">
        <f t="shared" si="77"/>
        <v>0</v>
      </c>
      <c r="AD240" s="57">
        <v>1</v>
      </c>
      <c r="AE240" s="57">
        <v>0</v>
      </c>
      <c r="AF240" s="57">
        <v>1</v>
      </c>
      <c r="AG240" s="57">
        <v>0</v>
      </c>
      <c r="AH240" s="57">
        <v>0</v>
      </c>
      <c r="AI240" s="57">
        <v>0</v>
      </c>
      <c r="AJ240" s="20">
        <v>1</v>
      </c>
      <c r="AK240" s="71">
        <f t="shared" si="78"/>
        <v>0.5</v>
      </c>
      <c r="AL240" s="17">
        <v>2</v>
      </c>
      <c r="AM240" s="71">
        <f t="shared" si="79"/>
        <v>0.66666666666666663</v>
      </c>
      <c r="AN240" s="17">
        <v>1</v>
      </c>
      <c r="AO240" s="71">
        <f t="shared" si="80"/>
        <v>0.33333333333333331</v>
      </c>
      <c r="AP240" s="17">
        <v>3</v>
      </c>
      <c r="AQ240" s="71">
        <f t="shared" si="81"/>
        <v>1</v>
      </c>
      <c r="AR240" s="57">
        <v>0</v>
      </c>
      <c r="AS240" s="17">
        <v>3</v>
      </c>
      <c r="AT240" s="71">
        <f t="shared" si="82"/>
        <v>1</v>
      </c>
      <c r="AU240" s="17">
        <v>3</v>
      </c>
      <c r="AV240" s="71">
        <f t="shared" si="83"/>
        <v>1</v>
      </c>
      <c r="AW240" s="17">
        <v>2</v>
      </c>
      <c r="AX240" s="71">
        <f t="shared" si="84"/>
        <v>1</v>
      </c>
      <c r="AY240" s="17">
        <v>3</v>
      </c>
      <c r="AZ240" s="71">
        <f t="shared" si="85"/>
        <v>1</v>
      </c>
      <c r="BA240" s="73">
        <v>1</v>
      </c>
      <c r="BB240" s="73">
        <v>0</v>
      </c>
      <c r="BC240" s="73">
        <v>1</v>
      </c>
      <c r="BD240" s="73">
        <v>0</v>
      </c>
      <c r="BE240" s="81">
        <f t="shared" si="86"/>
        <v>0.84583333333333344</v>
      </c>
      <c r="BF240" s="81" t="str">
        <f t="shared" si="87"/>
        <v>ALTO</v>
      </c>
    </row>
    <row r="241" spans="1:58" x14ac:dyDescent="0.15">
      <c r="A241" s="58">
        <v>3</v>
      </c>
      <c r="B241" s="58">
        <v>2</v>
      </c>
      <c r="C241" s="58">
        <v>3</v>
      </c>
      <c r="D241" s="58">
        <v>0</v>
      </c>
      <c r="E241" s="58">
        <v>1</v>
      </c>
      <c r="F241" s="18">
        <v>1</v>
      </c>
      <c r="G241" s="64">
        <f t="shared" si="66"/>
        <v>0.5</v>
      </c>
      <c r="H241" s="18">
        <v>0</v>
      </c>
      <c r="I241" s="64">
        <f t="shared" si="67"/>
        <v>0</v>
      </c>
      <c r="J241" s="18">
        <v>0</v>
      </c>
      <c r="K241" s="64">
        <f t="shared" si="68"/>
        <v>0</v>
      </c>
      <c r="L241" s="18">
        <v>0</v>
      </c>
      <c r="M241" s="64">
        <f t="shared" si="69"/>
        <v>0</v>
      </c>
      <c r="N241" s="18">
        <v>2</v>
      </c>
      <c r="O241" s="64">
        <f t="shared" si="70"/>
        <v>0.4</v>
      </c>
      <c r="P241" s="18">
        <v>0</v>
      </c>
      <c r="Q241" s="64">
        <f t="shared" si="71"/>
        <v>0</v>
      </c>
      <c r="R241" s="24">
        <v>0</v>
      </c>
      <c r="S241" s="71">
        <f t="shared" si="72"/>
        <v>0</v>
      </c>
      <c r="T241" s="18">
        <v>0</v>
      </c>
      <c r="U241" s="64">
        <f t="shared" si="73"/>
        <v>0</v>
      </c>
      <c r="V241" s="18">
        <v>3</v>
      </c>
      <c r="W241" s="71">
        <f t="shared" si="74"/>
        <v>0.75</v>
      </c>
      <c r="X241" s="18">
        <v>0</v>
      </c>
      <c r="Y241" s="71">
        <f t="shared" si="75"/>
        <v>0</v>
      </c>
      <c r="Z241" s="18">
        <v>1</v>
      </c>
      <c r="AA241" s="71">
        <f t="shared" si="76"/>
        <v>0.33333333333333331</v>
      </c>
      <c r="AB241" s="18">
        <v>0</v>
      </c>
      <c r="AC241" s="71">
        <f t="shared" si="77"/>
        <v>0</v>
      </c>
      <c r="AD241" s="58">
        <v>1</v>
      </c>
      <c r="AE241" s="58">
        <v>0</v>
      </c>
      <c r="AF241" s="58">
        <v>0</v>
      </c>
      <c r="AG241" s="58">
        <v>1</v>
      </c>
      <c r="AH241" s="58">
        <v>0</v>
      </c>
      <c r="AI241" s="58">
        <v>0</v>
      </c>
      <c r="AJ241" s="19">
        <v>1</v>
      </c>
      <c r="AK241" s="71">
        <f t="shared" si="78"/>
        <v>0.5</v>
      </c>
      <c r="AL241" s="18">
        <v>2</v>
      </c>
      <c r="AM241" s="71">
        <f t="shared" si="79"/>
        <v>0.66666666666666663</v>
      </c>
      <c r="AN241" s="18">
        <v>0</v>
      </c>
      <c r="AO241" s="71">
        <f t="shared" si="80"/>
        <v>0</v>
      </c>
      <c r="AP241" s="18">
        <v>0</v>
      </c>
      <c r="AQ241" s="71">
        <f t="shared" si="81"/>
        <v>0</v>
      </c>
      <c r="AR241" s="58">
        <v>2</v>
      </c>
      <c r="AS241" s="18">
        <v>1</v>
      </c>
      <c r="AT241" s="71">
        <f t="shared" si="82"/>
        <v>0.33333333333333331</v>
      </c>
      <c r="AU241" s="18">
        <v>0</v>
      </c>
      <c r="AV241" s="71">
        <f t="shared" si="83"/>
        <v>0</v>
      </c>
      <c r="AW241" s="18">
        <v>0</v>
      </c>
      <c r="AX241" s="71">
        <f t="shared" si="84"/>
        <v>0</v>
      </c>
      <c r="AY241" s="18">
        <v>2</v>
      </c>
      <c r="AZ241" s="71">
        <f t="shared" si="85"/>
        <v>0.66666666666666663</v>
      </c>
      <c r="BA241" s="74"/>
      <c r="BB241" s="74">
        <v>1</v>
      </c>
      <c r="BC241" s="74">
        <v>0</v>
      </c>
      <c r="BD241" s="74">
        <v>0</v>
      </c>
      <c r="BE241" s="81">
        <f t="shared" si="86"/>
        <v>0.23250000000000001</v>
      </c>
      <c r="BF241" s="81" t="str">
        <f t="shared" si="87"/>
        <v>BASSO</v>
      </c>
    </row>
    <row r="242" spans="1:58" x14ac:dyDescent="0.15">
      <c r="A242" s="57">
        <v>3</v>
      </c>
      <c r="B242" s="57">
        <v>1</v>
      </c>
      <c r="C242" s="57">
        <v>3</v>
      </c>
      <c r="D242" s="57">
        <v>2</v>
      </c>
      <c r="E242" s="57">
        <v>1</v>
      </c>
      <c r="F242" s="17">
        <v>1</v>
      </c>
      <c r="G242" s="64">
        <f t="shared" si="66"/>
        <v>0.5</v>
      </c>
      <c r="H242" s="17">
        <v>1</v>
      </c>
      <c r="I242" s="64">
        <f t="shared" si="67"/>
        <v>0.5</v>
      </c>
      <c r="J242" s="17">
        <v>0</v>
      </c>
      <c r="K242" s="64">
        <f t="shared" si="68"/>
        <v>0</v>
      </c>
      <c r="L242" s="17">
        <v>0</v>
      </c>
      <c r="M242" s="64">
        <f t="shared" si="69"/>
        <v>0</v>
      </c>
      <c r="N242" s="17">
        <v>2</v>
      </c>
      <c r="O242" s="64">
        <f t="shared" si="70"/>
        <v>0.4</v>
      </c>
      <c r="P242" s="17">
        <v>3</v>
      </c>
      <c r="Q242" s="64">
        <f t="shared" si="71"/>
        <v>1</v>
      </c>
      <c r="R242" s="25">
        <v>2</v>
      </c>
      <c r="S242" s="71">
        <f t="shared" si="72"/>
        <v>0.66666666666666663</v>
      </c>
      <c r="T242" s="17">
        <v>2</v>
      </c>
      <c r="U242" s="64">
        <f t="shared" si="73"/>
        <v>0.66666666666666663</v>
      </c>
      <c r="V242" s="17">
        <v>3</v>
      </c>
      <c r="W242" s="71">
        <f t="shared" si="74"/>
        <v>0.75</v>
      </c>
      <c r="X242" s="17">
        <v>3</v>
      </c>
      <c r="Y242" s="71">
        <f t="shared" si="75"/>
        <v>1</v>
      </c>
      <c r="Z242" s="17">
        <v>1</v>
      </c>
      <c r="AA242" s="71">
        <f t="shared" si="76"/>
        <v>0.33333333333333331</v>
      </c>
      <c r="AB242" s="17">
        <v>1</v>
      </c>
      <c r="AC242" s="71">
        <f t="shared" si="77"/>
        <v>0.5</v>
      </c>
      <c r="AD242" s="57">
        <v>1</v>
      </c>
      <c r="AE242" s="57">
        <v>0</v>
      </c>
      <c r="AF242" s="57">
        <v>1</v>
      </c>
      <c r="AG242" s="57">
        <v>0</v>
      </c>
      <c r="AH242" s="57">
        <v>0</v>
      </c>
      <c r="AI242" s="57">
        <v>0</v>
      </c>
      <c r="AJ242" s="20">
        <v>1</v>
      </c>
      <c r="AK242" s="71">
        <f t="shared" si="78"/>
        <v>0.5</v>
      </c>
      <c r="AL242" s="17">
        <v>2</v>
      </c>
      <c r="AM242" s="71">
        <f t="shared" si="79"/>
        <v>0.66666666666666663</v>
      </c>
      <c r="AN242" s="17">
        <v>1</v>
      </c>
      <c r="AO242" s="71">
        <f t="shared" si="80"/>
        <v>0.33333333333333331</v>
      </c>
      <c r="AP242" s="17">
        <v>3</v>
      </c>
      <c r="AQ242" s="71">
        <f t="shared" si="81"/>
        <v>1</v>
      </c>
      <c r="AR242" s="57">
        <v>2</v>
      </c>
      <c r="AS242" s="17">
        <v>0</v>
      </c>
      <c r="AT242" s="71">
        <f t="shared" si="82"/>
        <v>0</v>
      </c>
      <c r="AU242" s="17">
        <v>2</v>
      </c>
      <c r="AV242" s="71">
        <f t="shared" si="83"/>
        <v>0.66666666666666663</v>
      </c>
      <c r="AW242" s="17">
        <v>1</v>
      </c>
      <c r="AX242" s="71">
        <f t="shared" si="84"/>
        <v>0.5</v>
      </c>
      <c r="AY242" s="17">
        <v>2</v>
      </c>
      <c r="AZ242" s="71">
        <f t="shared" si="85"/>
        <v>0.66666666666666663</v>
      </c>
      <c r="BA242" s="73">
        <v>1</v>
      </c>
      <c r="BB242" s="73">
        <v>1</v>
      </c>
      <c r="BC242" s="73">
        <v>0</v>
      </c>
      <c r="BD242" s="73">
        <v>0</v>
      </c>
      <c r="BE242" s="81">
        <f t="shared" si="86"/>
        <v>0.55749999999999988</v>
      </c>
      <c r="BF242" s="81" t="str">
        <f t="shared" si="87"/>
        <v>MEDIO</v>
      </c>
    </row>
    <row r="243" spans="1:58" x14ac:dyDescent="0.15">
      <c r="A243" s="58">
        <v>3</v>
      </c>
      <c r="B243" s="58">
        <v>1</v>
      </c>
      <c r="C243" s="58">
        <v>1</v>
      </c>
      <c r="D243" s="58">
        <v>2</v>
      </c>
      <c r="E243" s="58">
        <v>1</v>
      </c>
      <c r="F243" s="18">
        <v>1</v>
      </c>
      <c r="G243" s="64">
        <f t="shared" si="66"/>
        <v>0.5</v>
      </c>
      <c r="H243" s="18">
        <v>1</v>
      </c>
      <c r="I243" s="64">
        <f t="shared" si="67"/>
        <v>0.5</v>
      </c>
      <c r="J243" s="18">
        <v>1</v>
      </c>
      <c r="K243" s="64">
        <f t="shared" si="68"/>
        <v>0.5</v>
      </c>
      <c r="L243" s="18">
        <v>2</v>
      </c>
      <c r="M243" s="64">
        <f t="shared" si="69"/>
        <v>0.66666666666666663</v>
      </c>
      <c r="N243" s="18">
        <v>2</v>
      </c>
      <c r="O243" s="64">
        <f t="shared" si="70"/>
        <v>0.4</v>
      </c>
      <c r="P243" s="18">
        <v>2</v>
      </c>
      <c r="Q243" s="64">
        <f t="shared" si="71"/>
        <v>0.66666666666666663</v>
      </c>
      <c r="R243" s="24">
        <v>3</v>
      </c>
      <c r="S243" s="71">
        <f t="shared" si="72"/>
        <v>1</v>
      </c>
      <c r="T243" s="18">
        <v>2</v>
      </c>
      <c r="U243" s="64">
        <f t="shared" si="73"/>
        <v>0.66666666666666663</v>
      </c>
      <c r="V243" s="18">
        <v>3</v>
      </c>
      <c r="W243" s="71">
        <f t="shared" si="74"/>
        <v>0.75</v>
      </c>
      <c r="X243" s="18">
        <v>3</v>
      </c>
      <c r="Y243" s="71">
        <f t="shared" si="75"/>
        <v>1</v>
      </c>
      <c r="Z243" s="18">
        <v>1</v>
      </c>
      <c r="AA243" s="71">
        <f t="shared" si="76"/>
        <v>0.33333333333333331</v>
      </c>
      <c r="AB243" s="18">
        <v>0</v>
      </c>
      <c r="AC243" s="71">
        <f t="shared" si="77"/>
        <v>0</v>
      </c>
      <c r="AD243" s="58">
        <v>1</v>
      </c>
      <c r="AE243" s="58">
        <v>0</v>
      </c>
      <c r="AF243" s="58">
        <v>1</v>
      </c>
      <c r="AG243" s="58">
        <v>0</v>
      </c>
      <c r="AH243" s="58">
        <v>0</v>
      </c>
      <c r="AI243" s="58">
        <v>0</v>
      </c>
      <c r="AJ243" s="19">
        <v>2</v>
      </c>
      <c r="AK243" s="71">
        <f t="shared" si="78"/>
        <v>1</v>
      </c>
      <c r="AL243" s="18">
        <v>3</v>
      </c>
      <c r="AM243" s="71">
        <f t="shared" si="79"/>
        <v>1</v>
      </c>
      <c r="AN243" s="18">
        <v>2</v>
      </c>
      <c r="AO243" s="71">
        <f t="shared" si="80"/>
        <v>0.66666666666666663</v>
      </c>
      <c r="AP243" s="18">
        <v>2</v>
      </c>
      <c r="AQ243" s="71">
        <f t="shared" si="81"/>
        <v>0.66666666666666663</v>
      </c>
      <c r="AR243" s="58">
        <v>1</v>
      </c>
      <c r="AS243" s="18">
        <v>2</v>
      </c>
      <c r="AT243" s="71">
        <f t="shared" si="82"/>
        <v>0.66666666666666663</v>
      </c>
      <c r="AU243" s="18">
        <v>1</v>
      </c>
      <c r="AV243" s="71">
        <f t="shared" si="83"/>
        <v>0.33333333333333331</v>
      </c>
      <c r="AW243" s="17">
        <v>1</v>
      </c>
      <c r="AX243" s="71">
        <f t="shared" si="84"/>
        <v>0.5</v>
      </c>
      <c r="AY243" s="18">
        <v>3</v>
      </c>
      <c r="AZ243" s="71">
        <f t="shared" si="85"/>
        <v>1</v>
      </c>
      <c r="BA243" s="74">
        <v>1</v>
      </c>
      <c r="BB243" s="74">
        <v>0</v>
      </c>
      <c r="BC243" s="74">
        <v>1</v>
      </c>
      <c r="BD243" s="74">
        <v>0</v>
      </c>
      <c r="BE243" s="81">
        <f t="shared" si="86"/>
        <v>0.66583333333333328</v>
      </c>
      <c r="BF243" s="81" t="str">
        <f t="shared" si="87"/>
        <v>ALTO</v>
      </c>
    </row>
    <row r="244" spans="1:58" x14ac:dyDescent="0.15">
      <c r="A244" s="57">
        <v>2</v>
      </c>
      <c r="B244" s="57">
        <v>2</v>
      </c>
      <c r="C244" s="57">
        <v>3</v>
      </c>
      <c r="D244" s="57">
        <v>2</v>
      </c>
      <c r="E244" s="57">
        <v>1</v>
      </c>
      <c r="F244" s="17">
        <v>2</v>
      </c>
      <c r="G244" s="64">
        <f t="shared" si="66"/>
        <v>1</v>
      </c>
      <c r="H244" s="17">
        <v>2</v>
      </c>
      <c r="I244" s="64">
        <f t="shared" si="67"/>
        <v>1</v>
      </c>
      <c r="J244" s="17">
        <v>2</v>
      </c>
      <c r="K244" s="64">
        <f t="shared" si="68"/>
        <v>1</v>
      </c>
      <c r="L244" s="17">
        <v>3</v>
      </c>
      <c r="M244" s="64">
        <f t="shared" si="69"/>
        <v>1</v>
      </c>
      <c r="N244" s="17">
        <v>4</v>
      </c>
      <c r="O244" s="64">
        <f t="shared" si="70"/>
        <v>0.8</v>
      </c>
      <c r="P244" s="17">
        <v>2</v>
      </c>
      <c r="Q244" s="64">
        <f t="shared" si="71"/>
        <v>0.66666666666666663</v>
      </c>
      <c r="R244" s="25">
        <v>3</v>
      </c>
      <c r="S244" s="71">
        <f t="shared" si="72"/>
        <v>1</v>
      </c>
      <c r="T244" s="17">
        <v>3</v>
      </c>
      <c r="U244" s="64">
        <f t="shared" si="73"/>
        <v>1</v>
      </c>
      <c r="V244" s="17">
        <v>0</v>
      </c>
      <c r="W244" s="71">
        <f t="shared" si="74"/>
        <v>0</v>
      </c>
      <c r="X244" s="17">
        <v>3</v>
      </c>
      <c r="Y244" s="71">
        <f t="shared" si="75"/>
        <v>1</v>
      </c>
      <c r="Z244" s="17">
        <v>3</v>
      </c>
      <c r="AA244" s="71">
        <f t="shared" si="76"/>
        <v>1</v>
      </c>
      <c r="AB244" s="17">
        <v>1</v>
      </c>
      <c r="AC244" s="71">
        <f t="shared" si="77"/>
        <v>0.5</v>
      </c>
      <c r="AD244" s="57">
        <v>1</v>
      </c>
      <c r="AE244" s="57">
        <v>0</v>
      </c>
      <c r="AF244" s="57">
        <v>1</v>
      </c>
      <c r="AG244" s="57">
        <v>0</v>
      </c>
      <c r="AH244" s="57">
        <v>0</v>
      </c>
      <c r="AI244" s="57">
        <v>0</v>
      </c>
      <c r="AJ244" s="20">
        <v>2</v>
      </c>
      <c r="AK244" s="71">
        <f t="shared" si="78"/>
        <v>1</v>
      </c>
      <c r="AL244" s="17">
        <v>3</v>
      </c>
      <c r="AM244" s="71">
        <f t="shared" si="79"/>
        <v>1</v>
      </c>
      <c r="AN244" s="17">
        <v>1</v>
      </c>
      <c r="AO244" s="71">
        <f t="shared" si="80"/>
        <v>0.33333333333333331</v>
      </c>
      <c r="AP244" s="17">
        <v>3</v>
      </c>
      <c r="AQ244" s="71">
        <f t="shared" si="81"/>
        <v>1</v>
      </c>
      <c r="AR244" s="57">
        <v>2</v>
      </c>
      <c r="AS244" s="17">
        <v>2</v>
      </c>
      <c r="AT244" s="71">
        <f t="shared" si="82"/>
        <v>0.66666666666666663</v>
      </c>
      <c r="AU244" s="17">
        <v>2</v>
      </c>
      <c r="AV244" s="71">
        <f t="shared" si="83"/>
        <v>0.66666666666666663</v>
      </c>
      <c r="AW244" s="17">
        <v>2</v>
      </c>
      <c r="AX244" s="71">
        <f t="shared" si="84"/>
        <v>1</v>
      </c>
      <c r="AY244" s="17">
        <v>3</v>
      </c>
      <c r="AZ244" s="71">
        <f t="shared" si="85"/>
        <v>1</v>
      </c>
      <c r="BA244" s="73">
        <v>1</v>
      </c>
      <c r="BB244" s="73">
        <v>0</v>
      </c>
      <c r="BC244" s="73">
        <v>1</v>
      </c>
      <c r="BD244" s="73">
        <v>0</v>
      </c>
      <c r="BE244" s="81">
        <f t="shared" si="86"/>
        <v>0.8816666666666666</v>
      </c>
      <c r="BF244" s="81" t="str">
        <f t="shared" si="87"/>
        <v>ALTO</v>
      </c>
    </row>
    <row r="245" spans="1:58" x14ac:dyDescent="0.15">
      <c r="A245" s="58">
        <v>2</v>
      </c>
      <c r="B245" s="58">
        <v>0</v>
      </c>
      <c r="C245" s="58">
        <v>3</v>
      </c>
      <c r="D245" s="58">
        <v>1</v>
      </c>
      <c r="E245" s="58">
        <v>1</v>
      </c>
      <c r="F245" s="18">
        <v>2</v>
      </c>
      <c r="G245" s="64">
        <f t="shared" si="66"/>
        <v>1</v>
      </c>
      <c r="H245" s="18">
        <v>2</v>
      </c>
      <c r="I245" s="64">
        <f t="shared" si="67"/>
        <v>1</v>
      </c>
      <c r="J245" s="18">
        <v>2</v>
      </c>
      <c r="K245" s="64">
        <f t="shared" si="68"/>
        <v>1</v>
      </c>
      <c r="L245" s="18">
        <v>3</v>
      </c>
      <c r="M245" s="64">
        <f t="shared" si="69"/>
        <v>1</v>
      </c>
      <c r="N245" s="18">
        <v>1</v>
      </c>
      <c r="O245" s="64">
        <f t="shared" si="70"/>
        <v>0.2</v>
      </c>
      <c r="P245" s="18">
        <v>2</v>
      </c>
      <c r="Q245" s="64">
        <f t="shared" si="71"/>
        <v>0.66666666666666663</v>
      </c>
      <c r="R245" s="24">
        <v>3</v>
      </c>
      <c r="S245" s="71">
        <f t="shared" si="72"/>
        <v>1</v>
      </c>
      <c r="T245" s="18">
        <v>3</v>
      </c>
      <c r="U245" s="64">
        <f t="shared" si="73"/>
        <v>1</v>
      </c>
      <c r="V245" s="18">
        <v>4</v>
      </c>
      <c r="W245" s="71">
        <f t="shared" si="74"/>
        <v>1</v>
      </c>
      <c r="X245" s="18">
        <v>3</v>
      </c>
      <c r="Y245" s="71">
        <f t="shared" si="75"/>
        <v>1</v>
      </c>
      <c r="Z245" s="18">
        <v>3</v>
      </c>
      <c r="AA245" s="71">
        <f t="shared" si="76"/>
        <v>1</v>
      </c>
      <c r="AB245" s="18">
        <v>1</v>
      </c>
      <c r="AC245" s="71">
        <f t="shared" si="77"/>
        <v>0.5</v>
      </c>
      <c r="AD245" s="58">
        <v>1</v>
      </c>
      <c r="AE245" s="58">
        <v>0</v>
      </c>
      <c r="AF245" s="58">
        <v>1</v>
      </c>
      <c r="AG245" s="58">
        <v>0</v>
      </c>
      <c r="AH245" s="58">
        <v>0</v>
      </c>
      <c r="AI245" s="58">
        <v>0</v>
      </c>
      <c r="AJ245" s="19">
        <v>2</v>
      </c>
      <c r="AK245" s="71">
        <f t="shared" si="78"/>
        <v>1</v>
      </c>
      <c r="AL245" s="18">
        <v>3</v>
      </c>
      <c r="AM245" s="71">
        <f t="shared" si="79"/>
        <v>1</v>
      </c>
      <c r="AN245" s="18">
        <v>1</v>
      </c>
      <c r="AO245" s="71">
        <f t="shared" si="80"/>
        <v>0.33333333333333331</v>
      </c>
      <c r="AP245" s="18">
        <v>3</v>
      </c>
      <c r="AQ245" s="71">
        <f t="shared" si="81"/>
        <v>1</v>
      </c>
      <c r="AR245" s="58">
        <v>1</v>
      </c>
      <c r="AS245" s="18">
        <v>2</v>
      </c>
      <c r="AT245" s="71">
        <f t="shared" si="82"/>
        <v>0.66666666666666663</v>
      </c>
      <c r="AU245" s="18">
        <v>3</v>
      </c>
      <c r="AV245" s="71">
        <f t="shared" si="83"/>
        <v>1</v>
      </c>
      <c r="AW245" s="18">
        <v>2</v>
      </c>
      <c r="AX245" s="71">
        <f t="shared" si="84"/>
        <v>1</v>
      </c>
      <c r="AY245" s="18">
        <v>3</v>
      </c>
      <c r="AZ245" s="71">
        <f t="shared" si="85"/>
        <v>1</v>
      </c>
      <c r="BA245" s="74">
        <v>0</v>
      </c>
      <c r="BB245" s="74">
        <v>1</v>
      </c>
      <c r="BC245" s="74">
        <v>1</v>
      </c>
      <c r="BD245" s="74">
        <v>0</v>
      </c>
      <c r="BE245" s="81">
        <f t="shared" si="86"/>
        <v>0.91833333333333333</v>
      </c>
      <c r="BF245" s="81" t="str">
        <f t="shared" si="87"/>
        <v>ALTO</v>
      </c>
    </row>
    <row r="246" spans="1:58" x14ac:dyDescent="0.15">
      <c r="A246" s="57">
        <v>3</v>
      </c>
      <c r="B246" s="57">
        <v>2</v>
      </c>
      <c r="C246" s="57">
        <v>3</v>
      </c>
      <c r="D246" s="57">
        <v>2</v>
      </c>
      <c r="E246" s="57">
        <v>1</v>
      </c>
      <c r="F246" s="17">
        <v>1</v>
      </c>
      <c r="G246" s="64">
        <f t="shared" si="66"/>
        <v>0.5</v>
      </c>
      <c r="H246" s="17">
        <v>0</v>
      </c>
      <c r="I246" s="64">
        <f t="shared" si="67"/>
        <v>0</v>
      </c>
      <c r="J246" s="17">
        <v>1</v>
      </c>
      <c r="K246" s="64">
        <f t="shared" si="68"/>
        <v>0.5</v>
      </c>
      <c r="L246" s="17">
        <v>0</v>
      </c>
      <c r="M246" s="64">
        <f t="shared" si="69"/>
        <v>0</v>
      </c>
      <c r="N246" s="17">
        <v>2</v>
      </c>
      <c r="O246" s="64">
        <f t="shared" si="70"/>
        <v>0.4</v>
      </c>
      <c r="P246" s="17">
        <v>0</v>
      </c>
      <c r="Q246" s="64">
        <f t="shared" si="71"/>
        <v>0</v>
      </c>
      <c r="R246" s="25">
        <v>3</v>
      </c>
      <c r="S246" s="71">
        <f t="shared" si="72"/>
        <v>1</v>
      </c>
      <c r="T246" s="17">
        <v>1</v>
      </c>
      <c r="U246" s="64">
        <f t="shared" si="73"/>
        <v>0.33333333333333331</v>
      </c>
      <c r="V246" s="17">
        <v>3</v>
      </c>
      <c r="W246" s="71">
        <f t="shared" si="74"/>
        <v>0.75</v>
      </c>
      <c r="X246" s="17">
        <v>2</v>
      </c>
      <c r="Y246" s="71">
        <f t="shared" si="75"/>
        <v>0.66666666666666663</v>
      </c>
      <c r="Z246" s="17">
        <v>3</v>
      </c>
      <c r="AA246" s="71">
        <f t="shared" si="76"/>
        <v>1</v>
      </c>
      <c r="AB246" s="17">
        <v>1</v>
      </c>
      <c r="AC246" s="71">
        <f t="shared" si="77"/>
        <v>0.5</v>
      </c>
      <c r="AD246" s="57">
        <v>1</v>
      </c>
      <c r="AE246" s="57">
        <v>0</v>
      </c>
      <c r="AF246" s="57">
        <v>1</v>
      </c>
      <c r="AG246" s="57">
        <v>0</v>
      </c>
      <c r="AH246" s="57">
        <v>0</v>
      </c>
      <c r="AI246" s="57">
        <v>0</v>
      </c>
      <c r="AJ246" s="20">
        <v>2</v>
      </c>
      <c r="AK246" s="71">
        <f t="shared" si="78"/>
        <v>1</v>
      </c>
      <c r="AL246" s="17">
        <v>1</v>
      </c>
      <c r="AM246" s="71">
        <f t="shared" si="79"/>
        <v>0.33333333333333331</v>
      </c>
      <c r="AN246" s="17">
        <v>1</v>
      </c>
      <c r="AO246" s="71">
        <f t="shared" si="80"/>
        <v>0.33333333333333331</v>
      </c>
      <c r="AP246" s="17">
        <v>1</v>
      </c>
      <c r="AQ246" s="71">
        <f t="shared" si="81"/>
        <v>0.33333333333333331</v>
      </c>
      <c r="AR246" s="57">
        <v>0</v>
      </c>
      <c r="AS246" s="17">
        <v>2</v>
      </c>
      <c r="AT246" s="71">
        <f t="shared" si="82"/>
        <v>0.66666666666666663</v>
      </c>
      <c r="AU246" s="17">
        <v>3</v>
      </c>
      <c r="AV246" s="71">
        <f t="shared" si="83"/>
        <v>1</v>
      </c>
      <c r="AW246" s="17">
        <v>1</v>
      </c>
      <c r="AX246" s="71">
        <f t="shared" si="84"/>
        <v>0.5</v>
      </c>
      <c r="AY246" s="17">
        <v>3</v>
      </c>
      <c r="AZ246" s="71">
        <f t="shared" si="85"/>
        <v>1</v>
      </c>
      <c r="BA246" s="73">
        <v>1</v>
      </c>
      <c r="BB246" s="73">
        <v>0</v>
      </c>
      <c r="BC246" s="73">
        <v>1</v>
      </c>
      <c r="BD246" s="73">
        <v>0</v>
      </c>
      <c r="BE246" s="81">
        <f t="shared" si="86"/>
        <v>0.5658333333333333</v>
      </c>
      <c r="BF246" s="81" t="str">
        <f t="shared" si="87"/>
        <v>MEDIO</v>
      </c>
    </row>
    <row r="247" spans="1:58" x14ac:dyDescent="0.15">
      <c r="A247" s="58">
        <v>2</v>
      </c>
      <c r="B247" s="58">
        <v>2</v>
      </c>
      <c r="C247" s="58">
        <v>3</v>
      </c>
      <c r="D247" s="58">
        <v>1</v>
      </c>
      <c r="E247" s="58">
        <v>1</v>
      </c>
      <c r="F247" s="18">
        <v>2</v>
      </c>
      <c r="G247" s="64">
        <f t="shared" si="66"/>
        <v>1</v>
      </c>
      <c r="H247" s="18">
        <v>1</v>
      </c>
      <c r="I247" s="64">
        <f t="shared" si="67"/>
        <v>0.5</v>
      </c>
      <c r="J247" s="18">
        <v>1</v>
      </c>
      <c r="K247" s="64">
        <f t="shared" si="68"/>
        <v>0.5</v>
      </c>
      <c r="L247" s="18">
        <v>3</v>
      </c>
      <c r="M247" s="64">
        <f t="shared" si="69"/>
        <v>1</v>
      </c>
      <c r="N247" s="18">
        <v>0</v>
      </c>
      <c r="O247" s="64">
        <f t="shared" si="70"/>
        <v>0</v>
      </c>
      <c r="P247" s="18">
        <v>1</v>
      </c>
      <c r="Q247" s="64">
        <f t="shared" si="71"/>
        <v>0.33333333333333331</v>
      </c>
      <c r="R247" s="24">
        <v>3</v>
      </c>
      <c r="S247" s="71">
        <f t="shared" si="72"/>
        <v>1</v>
      </c>
      <c r="T247" s="18">
        <v>2</v>
      </c>
      <c r="U247" s="64">
        <f t="shared" si="73"/>
        <v>0.66666666666666663</v>
      </c>
      <c r="V247" s="18">
        <v>3</v>
      </c>
      <c r="W247" s="71">
        <f t="shared" si="74"/>
        <v>0.75</v>
      </c>
      <c r="X247" s="18">
        <v>2</v>
      </c>
      <c r="Y247" s="71">
        <f t="shared" si="75"/>
        <v>0.66666666666666663</v>
      </c>
      <c r="Z247" s="18">
        <v>3</v>
      </c>
      <c r="AA247" s="71">
        <f t="shared" si="76"/>
        <v>1</v>
      </c>
      <c r="AB247" s="18">
        <v>2</v>
      </c>
      <c r="AC247" s="71">
        <f t="shared" si="77"/>
        <v>1</v>
      </c>
      <c r="AD247" s="58">
        <v>1</v>
      </c>
      <c r="AE247" s="58">
        <v>0</v>
      </c>
      <c r="AF247" s="58">
        <v>0</v>
      </c>
      <c r="AG247" s="58">
        <v>1</v>
      </c>
      <c r="AH247" s="58">
        <v>0</v>
      </c>
      <c r="AI247" s="58">
        <v>0</v>
      </c>
      <c r="AJ247" s="19">
        <v>1</v>
      </c>
      <c r="AK247" s="71">
        <f t="shared" si="78"/>
        <v>0.5</v>
      </c>
      <c r="AL247" s="18">
        <v>3</v>
      </c>
      <c r="AM247" s="71">
        <f t="shared" si="79"/>
        <v>1</v>
      </c>
      <c r="AN247" s="18">
        <v>2</v>
      </c>
      <c r="AO247" s="71">
        <f t="shared" si="80"/>
        <v>0.66666666666666663</v>
      </c>
      <c r="AP247" s="18">
        <v>3</v>
      </c>
      <c r="AQ247" s="71">
        <f t="shared" si="81"/>
        <v>1</v>
      </c>
      <c r="AR247" s="58">
        <v>2</v>
      </c>
      <c r="AS247" s="18">
        <v>2</v>
      </c>
      <c r="AT247" s="71">
        <f t="shared" si="82"/>
        <v>0.66666666666666663</v>
      </c>
      <c r="AU247" s="18">
        <v>3</v>
      </c>
      <c r="AV247" s="71">
        <f t="shared" si="83"/>
        <v>1</v>
      </c>
      <c r="AW247" s="18">
        <v>1</v>
      </c>
      <c r="AX247" s="71">
        <f t="shared" si="84"/>
        <v>0.5</v>
      </c>
      <c r="AY247" s="18">
        <v>2</v>
      </c>
      <c r="AZ247" s="71">
        <f t="shared" si="85"/>
        <v>0.66666666666666663</v>
      </c>
      <c r="BA247" s="74">
        <v>0</v>
      </c>
      <c r="BB247" s="74">
        <v>1</v>
      </c>
      <c r="BC247" s="74">
        <v>1</v>
      </c>
      <c r="BD247" s="74">
        <v>0</v>
      </c>
      <c r="BE247" s="81">
        <f t="shared" si="86"/>
        <v>0.77083333333333326</v>
      </c>
      <c r="BF247" s="81" t="str">
        <f t="shared" si="87"/>
        <v>ALTO</v>
      </c>
    </row>
    <row r="248" spans="1:58" x14ac:dyDescent="0.15">
      <c r="A248" s="57">
        <v>3</v>
      </c>
      <c r="B248" s="57">
        <v>2</v>
      </c>
      <c r="C248" s="57">
        <v>3</v>
      </c>
      <c r="D248" s="57">
        <v>2</v>
      </c>
      <c r="E248" s="57">
        <v>1</v>
      </c>
      <c r="F248" s="17">
        <v>1</v>
      </c>
      <c r="G248" s="64">
        <f t="shared" si="66"/>
        <v>0.5</v>
      </c>
      <c r="H248" s="17">
        <v>1</v>
      </c>
      <c r="I248" s="64">
        <f t="shared" si="67"/>
        <v>0.5</v>
      </c>
      <c r="J248" s="17">
        <v>1</v>
      </c>
      <c r="K248" s="64">
        <f t="shared" si="68"/>
        <v>0.5</v>
      </c>
      <c r="L248" s="17">
        <v>0</v>
      </c>
      <c r="M248" s="64">
        <f t="shared" si="69"/>
        <v>0</v>
      </c>
      <c r="N248" s="17">
        <v>2</v>
      </c>
      <c r="O248" s="64">
        <f t="shared" si="70"/>
        <v>0.4</v>
      </c>
      <c r="P248" s="17">
        <v>0</v>
      </c>
      <c r="Q248" s="64">
        <f t="shared" si="71"/>
        <v>0</v>
      </c>
      <c r="R248" s="25">
        <v>0</v>
      </c>
      <c r="S248" s="71">
        <f t="shared" si="72"/>
        <v>0</v>
      </c>
      <c r="T248" s="17">
        <v>1</v>
      </c>
      <c r="U248" s="64">
        <f t="shared" si="73"/>
        <v>0.33333333333333331</v>
      </c>
      <c r="V248" s="17">
        <v>3</v>
      </c>
      <c r="W248" s="71">
        <f t="shared" si="74"/>
        <v>0.75</v>
      </c>
      <c r="X248" s="17">
        <v>2</v>
      </c>
      <c r="Y248" s="71">
        <f t="shared" si="75"/>
        <v>0.66666666666666663</v>
      </c>
      <c r="Z248" s="17">
        <v>1</v>
      </c>
      <c r="AA248" s="71">
        <f t="shared" si="76"/>
        <v>0.33333333333333331</v>
      </c>
      <c r="AB248" s="17">
        <v>0</v>
      </c>
      <c r="AC248" s="71">
        <f t="shared" si="77"/>
        <v>0</v>
      </c>
      <c r="AD248" s="57">
        <v>1</v>
      </c>
      <c r="AE248" s="57">
        <v>0</v>
      </c>
      <c r="AF248" s="57">
        <v>0</v>
      </c>
      <c r="AG248" s="57">
        <v>1</v>
      </c>
      <c r="AH248" s="57">
        <v>0</v>
      </c>
      <c r="AI248" s="57">
        <v>0</v>
      </c>
      <c r="AJ248" s="20">
        <v>1</v>
      </c>
      <c r="AK248" s="71">
        <f t="shared" si="78"/>
        <v>0.5</v>
      </c>
      <c r="AL248" s="17">
        <v>3</v>
      </c>
      <c r="AM248" s="71">
        <f t="shared" si="79"/>
        <v>1</v>
      </c>
      <c r="AN248" s="17">
        <v>1</v>
      </c>
      <c r="AO248" s="71">
        <f t="shared" si="80"/>
        <v>0.33333333333333331</v>
      </c>
      <c r="AP248" s="17">
        <v>0</v>
      </c>
      <c r="AQ248" s="71">
        <f t="shared" si="81"/>
        <v>0</v>
      </c>
      <c r="AR248" s="57">
        <v>2</v>
      </c>
      <c r="AS248" s="17">
        <v>0</v>
      </c>
      <c r="AT248" s="71">
        <f t="shared" si="82"/>
        <v>0</v>
      </c>
      <c r="AU248" s="17">
        <v>1</v>
      </c>
      <c r="AV248" s="71">
        <f t="shared" si="83"/>
        <v>0.33333333333333331</v>
      </c>
      <c r="AW248" s="17">
        <v>0</v>
      </c>
      <c r="AX248" s="71">
        <f t="shared" si="84"/>
        <v>0</v>
      </c>
      <c r="AY248" s="17">
        <v>2</v>
      </c>
      <c r="AZ248" s="71">
        <f t="shared" si="85"/>
        <v>0.66666666666666663</v>
      </c>
      <c r="BA248" s="73">
        <v>0</v>
      </c>
      <c r="BB248" s="73">
        <v>0</v>
      </c>
      <c r="BC248" s="73">
        <v>0</v>
      </c>
      <c r="BD248" s="73">
        <v>1</v>
      </c>
      <c r="BE248" s="81">
        <f t="shared" si="86"/>
        <v>0.36583333333333334</v>
      </c>
      <c r="BF248" s="81" t="str">
        <f t="shared" si="87"/>
        <v>MEDIO</v>
      </c>
    </row>
    <row r="249" spans="1:58" x14ac:dyDescent="0.15">
      <c r="A249" s="58">
        <v>2</v>
      </c>
      <c r="B249" s="58">
        <v>2</v>
      </c>
      <c r="C249" s="58">
        <v>3</v>
      </c>
      <c r="D249" s="58">
        <v>1</v>
      </c>
      <c r="E249" s="58">
        <v>0</v>
      </c>
      <c r="F249" s="18">
        <v>1</v>
      </c>
      <c r="G249" s="64">
        <f t="shared" si="66"/>
        <v>0.5</v>
      </c>
      <c r="H249" s="18">
        <v>1</v>
      </c>
      <c r="I249" s="64">
        <f t="shared" si="67"/>
        <v>0.5</v>
      </c>
      <c r="J249" s="18">
        <v>1</v>
      </c>
      <c r="K249" s="64">
        <f t="shared" si="68"/>
        <v>0.5</v>
      </c>
      <c r="L249" s="18">
        <v>1</v>
      </c>
      <c r="M249" s="64">
        <f t="shared" si="69"/>
        <v>0.33333333333333331</v>
      </c>
      <c r="N249" s="18">
        <v>4</v>
      </c>
      <c r="O249" s="64">
        <f t="shared" si="70"/>
        <v>0.8</v>
      </c>
      <c r="P249" s="18">
        <v>3</v>
      </c>
      <c r="Q249" s="64">
        <f t="shared" si="71"/>
        <v>1</v>
      </c>
      <c r="R249" s="24">
        <v>1</v>
      </c>
      <c r="S249" s="71">
        <f t="shared" si="72"/>
        <v>0.33333333333333331</v>
      </c>
      <c r="T249" s="18">
        <v>2</v>
      </c>
      <c r="U249" s="64">
        <f t="shared" si="73"/>
        <v>0.66666666666666663</v>
      </c>
      <c r="V249" s="18">
        <v>3</v>
      </c>
      <c r="W249" s="71">
        <f t="shared" si="74"/>
        <v>0.75</v>
      </c>
      <c r="X249" s="18">
        <v>2</v>
      </c>
      <c r="Y249" s="71">
        <f t="shared" si="75"/>
        <v>0.66666666666666663</v>
      </c>
      <c r="Z249" s="18">
        <v>0</v>
      </c>
      <c r="AA249" s="71">
        <f t="shared" si="76"/>
        <v>0</v>
      </c>
      <c r="AB249" s="18">
        <v>0</v>
      </c>
      <c r="AC249" s="71">
        <f t="shared" si="77"/>
        <v>0</v>
      </c>
      <c r="AD249" s="58">
        <v>1</v>
      </c>
      <c r="AE249" s="58">
        <v>0</v>
      </c>
      <c r="AF249" s="58">
        <v>1</v>
      </c>
      <c r="AG249" s="58">
        <v>0</v>
      </c>
      <c r="AH249" s="58">
        <v>0</v>
      </c>
      <c r="AI249" s="58">
        <v>0</v>
      </c>
      <c r="AJ249" s="19">
        <v>1</v>
      </c>
      <c r="AK249" s="71">
        <f t="shared" si="78"/>
        <v>0.5</v>
      </c>
      <c r="AL249" s="18">
        <v>1</v>
      </c>
      <c r="AM249" s="71">
        <f t="shared" si="79"/>
        <v>0.33333333333333331</v>
      </c>
      <c r="AN249" s="18">
        <v>2</v>
      </c>
      <c r="AO249" s="71">
        <f t="shared" si="80"/>
        <v>0.66666666666666663</v>
      </c>
      <c r="AP249" s="18">
        <v>0</v>
      </c>
      <c r="AQ249" s="71">
        <f t="shared" si="81"/>
        <v>0</v>
      </c>
      <c r="AR249" s="58">
        <v>1</v>
      </c>
      <c r="AS249" s="18">
        <v>2</v>
      </c>
      <c r="AT249" s="71">
        <f t="shared" si="82"/>
        <v>0.66666666666666663</v>
      </c>
      <c r="AU249" s="18">
        <v>2</v>
      </c>
      <c r="AV249" s="71">
        <f t="shared" si="83"/>
        <v>0.66666666666666663</v>
      </c>
      <c r="AW249" s="18">
        <v>2</v>
      </c>
      <c r="AX249" s="71">
        <f t="shared" si="84"/>
        <v>1</v>
      </c>
      <c r="AY249" s="18">
        <v>3</v>
      </c>
      <c r="AZ249" s="71">
        <f t="shared" si="85"/>
        <v>1</v>
      </c>
      <c r="BA249" s="74">
        <v>0</v>
      </c>
      <c r="BB249" s="74">
        <v>1</v>
      </c>
      <c r="BC249" s="74">
        <v>1</v>
      </c>
      <c r="BD249" s="74">
        <v>0</v>
      </c>
      <c r="BE249" s="81">
        <f t="shared" si="86"/>
        <v>0.5691666666666666</v>
      </c>
      <c r="BF249" s="81" t="str">
        <f t="shared" si="87"/>
        <v>MEDIO</v>
      </c>
    </row>
    <row r="250" spans="1:58" x14ac:dyDescent="0.15">
      <c r="A250" s="57">
        <v>5</v>
      </c>
      <c r="B250" s="57">
        <v>2</v>
      </c>
      <c r="C250" s="57">
        <v>1</v>
      </c>
      <c r="D250" s="57">
        <v>2</v>
      </c>
      <c r="E250" s="57">
        <v>1</v>
      </c>
      <c r="F250" s="17">
        <v>1</v>
      </c>
      <c r="G250" s="64">
        <f t="shared" si="66"/>
        <v>0.5</v>
      </c>
      <c r="H250" s="17">
        <v>1</v>
      </c>
      <c r="I250" s="64">
        <f t="shared" si="67"/>
        <v>0.5</v>
      </c>
      <c r="J250" s="17">
        <v>1</v>
      </c>
      <c r="K250" s="64">
        <f t="shared" si="68"/>
        <v>0.5</v>
      </c>
      <c r="L250" s="17">
        <v>2</v>
      </c>
      <c r="M250" s="64">
        <f t="shared" si="69"/>
        <v>0.66666666666666663</v>
      </c>
      <c r="N250" s="17">
        <v>2</v>
      </c>
      <c r="O250" s="64">
        <f t="shared" si="70"/>
        <v>0.4</v>
      </c>
      <c r="P250" s="17">
        <v>3</v>
      </c>
      <c r="Q250" s="64">
        <f t="shared" si="71"/>
        <v>1</v>
      </c>
      <c r="R250" s="25">
        <v>2</v>
      </c>
      <c r="S250" s="71">
        <f t="shared" si="72"/>
        <v>0.66666666666666663</v>
      </c>
      <c r="T250" s="17">
        <v>2</v>
      </c>
      <c r="U250" s="64">
        <f t="shared" si="73"/>
        <v>0.66666666666666663</v>
      </c>
      <c r="V250" s="17">
        <v>3</v>
      </c>
      <c r="W250" s="71">
        <f t="shared" si="74"/>
        <v>0.75</v>
      </c>
      <c r="X250" s="17">
        <v>2</v>
      </c>
      <c r="Y250" s="71">
        <f t="shared" si="75"/>
        <v>0.66666666666666663</v>
      </c>
      <c r="Z250" s="17">
        <v>0</v>
      </c>
      <c r="AA250" s="71">
        <f t="shared" si="76"/>
        <v>0</v>
      </c>
      <c r="AB250" s="17">
        <v>1</v>
      </c>
      <c r="AC250" s="71">
        <f t="shared" si="77"/>
        <v>0.5</v>
      </c>
      <c r="AD250" s="57">
        <v>1</v>
      </c>
      <c r="AE250" s="57">
        <v>0</v>
      </c>
      <c r="AF250" s="57">
        <v>0</v>
      </c>
      <c r="AG250" s="57">
        <v>1</v>
      </c>
      <c r="AH250" s="57">
        <v>0</v>
      </c>
      <c r="AI250" s="57">
        <v>0</v>
      </c>
      <c r="AJ250" s="20">
        <v>1</v>
      </c>
      <c r="AK250" s="71">
        <f t="shared" si="78"/>
        <v>0.5</v>
      </c>
      <c r="AL250" s="17">
        <v>1</v>
      </c>
      <c r="AM250" s="71">
        <f t="shared" si="79"/>
        <v>0.33333333333333331</v>
      </c>
      <c r="AN250" s="17">
        <v>1</v>
      </c>
      <c r="AO250" s="71">
        <f t="shared" si="80"/>
        <v>0.33333333333333331</v>
      </c>
      <c r="AP250" s="17">
        <v>0</v>
      </c>
      <c r="AQ250" s="71">
        <f t="shared" si="81"/>
        <v>0</v>
      </c>
      <c r="AR250" s="57">
        <v>2</v>
      </c>
      <c r="AS250" s="17">
        <v>2</v>
      </c>
      <c r="AT250" s="71">
        <f t="shared" si="82"/>
        <v>0.66666666666666663</v>
      </c>
      <c r="AU250" s="17">
        <v>0</v>
      </c>
      <c r="AV250" s="71">
        <f t="shared" si="83"/>
        <v>0</v>
      </c>
      <c r="AW250" s="17">
        <v>0</v>
      </c>
      <c r="AX250" s="71">
        <f t="shared" si="84"/>
        <v>0</v>
      </c>
      <c r="AY250" s="17">
        <v>2</v>
      </c>
      <c r="AZ250" s="71">
        <f t="shared" si="85"/>
        <v>0.66666666666666663</v>
      </c>
      <c r="BA250" s="73">
        <v>1</v>
      </c>
      <c r="BB250" s="73">
        <v>1</v>
      </c>
      <c r="BC250" s="73">
        <v>0</v>
      </c>
      <c r="BD250" s="73">
        <v>0</v>
      </c>
      <c r="BE250" s="81">
        <f t="shared" si="86"/>
        <v>0.49083333333333334</v>
      </c>
      <c r="BF250" s="81" t="str">
        <f t="shared" si="87"/>
        <v>MEDIO</v>
      </c>
    </row>
    <row r="251" spans="1:58" x14ac:dyDescent="0.15">
      <c r="A251" s="58">
        <v>2</v>
      </c>
      <c r="B251" s="58">
        <v>2</v>
      </c>
      <c r="C251" s="58">
        <v>2</v>
      </c>
      <c r="D251" s="58">
        <v>2</v>
      </c>
      <c r="E251" s="58">
        <v>1</v>
      </c>
      <c r="F251" s="18">
        <v>1</v>
      </c>
      <c r="G251" s="64">
        <f t="shared" si="66"/>
        <v>0.5</v>
      </c>
      <c r="H251" s="18">
        <v>1</v>
      </c>
      <c r="I251" s="64">
        <f t="shared" si="67"/>
        <v>0.5</v>
      </c>
      <c r="J251" s="18">
        <v>1</v>
      </c>
      <c r="K251" s="64">
        <f t="shared" si="68"/>
        <v>0.5</v>
      </c>
      <c r="L251" s="18">
        <v>0</v>
      </c>
      <c r="M251" s="64">
        <f t="shared" si="69"/>
        <v>0</v>
      </c>
      <c r="N251" s="18">
        <v>2</v>
      </c>
      <c r="O251" s="64">
        <f t="shared" si="70"/>
        <v>0.4</v>
      </c>
      <c r="P251" s="18">
        <v>2</v>
      </c>
      <c r="Q251" s="64">
        <f t="shared" si="71"/>
        <v>0.66666666666666663</v>
      </c>
      <c r="R251" s="24">
        <v>2</v>
      </c>
      <c r="S251" s="71">
        <f t="shared" si="72"/>
        <v>0.66666666666666663</v>
      </c>
      <c r="T251" s="18">
        <v>2</v>
      </c>
      <c r="U251" s="64">
        <f t="shared" si="73"/>
        <v>0.66666666666666663</v>
      </c>
      <c r="V251" s="18">
        <v>3</v>
      </c>
      <c r="W251" s="71">
        <f t="shared" si="74"/>
        <v>0.75</v>
      </c>
      <c r="X251" s="18">
        <v>2</v>
      </c>
      <c r="Y251" s="71">
        <f t="shared" si="75"/>
        <v>0.66666666666666663</v>
      </c>
      <c r="Z251" s="18">
        <v>3</v>
      </c>
      <c r="AA251" s="71">
        <f t="shared" si="76"/>
        <v>1</v>
      </c>
      <c r="AB251" s="18">
        <v>0</v>
      </c>
      <c r="AC251" s="71">
        <f t="shared" si="77"/>
        <v>0</v>
      </c>
      <c r="AD251" s="58">
        <v>1</v>
      </c>
      <c r="AE251" s="58">
        <v>0</v>
      </c>
      <c r="AF251" s="58">
        <v>1</v>
      </c>
      <c r="AG251" s="58">
        <v>0</v>
      </c>
      <c r="AH251" s="58">
        <v>0</v>
      </c>
      <c r="AI251" s="58">
        <v>0</v>
      </c>
      <c r="AJ251" s="19">
        <v>2</v>
      </c>
      <c r="AK251" s="71">
        <f t="shared" si="78"/>
        <v>1</v>
      </c>
      <c r="AL251" s="18">
        <v>3</v>
      </c>
      <c r="AM251" s="71">
        <f t="shared" si="79"/>
        <v>1</v>
      </c>
      <c r="AN251" s="18">
        <v>1</v>
      </c>
      <c r="AO251" s="71">
        <f t="shared" si="80"/>
        <v>0.33333333333333331</v>
      </c>
      <c r="AP251" s="18">
        <v>2</v>
      </c>
      <c r="AQ251" s="71">
        <f t="shared" si="81"/>
        <v>0.66666666666666663</v>
      </c>
      <c r="AR251" s="58">
        <v>1</v>
      </c>
      <c r="AS251" s="18">
        <v>3</v>
      </c>
      <c r="AT251" s="71">
        <f t="shared" si="82"/>
        <v>1</v>
      </c>
      <c r="AU251" s="18">
        <v>3</v>
      </c>
      <c r="AV251" s="71">
        <f t="shared" si="83"/>
        <v>1</v>
      </c>
      <c r="AW251" s="18">
        <v>1</v>
      </c>
      <c r="AX251" s="71">
        <f t="shared" si="84"/>
        <v>0.5</v>
      </c>
      <c r="AY251" s="18">
        <v>3</v>
      </c>
      <c r="AZ251" s="71">
        <f t="shared" si="85"/>
        <v>1</v>
      </c>
      <c r="BA251" s="74">
        <v>0</v>
      </c>
      <c r="BB251" s="74">
        <v>1</v>
      </c>
      <c r="BC251" s="74">
        <v>1</v>
      </c>
      <c r="BD251" s="74">
        <v>0</v>
      </c>
      <c r="BE251" s="81">
        <f t="shared" si="86"/>
        <v>0.66583333333333328</v>
      </c>
      <c r="BF251" s="81" t="str">
        <f t="shared" si="87"/>
        <v>ALTO</v>
      </c>
    </row>
    <row r="252" spans="1:58" x14ac:dyDescent="0.15">
      <c r="A252" s="57">
        <v>4</v>
      </c>
      <c r="B252" s="57">
        <v>1</v>
      </c>
      <c r="C252" s="57">
        <v>3</v>
      </c>
      <c r="D252" s="57">
        <v>2</v>
      </c>
      <c r="E252" s="57">
        <v>1</v>
      </c>
      <c r="F252" s="17">
        <v>2</v>
      </c>
      <c r="G252" s="64">
        <f t="shared" si="66"/>
        <v>1</v>
      </c>
      <c r="H252" s="17">
        <v>2</v>
      </c>
      <c r="I252" s="64">
        <f t="shared" si="67"/>
        <v>1</v>
      </c>
      <c r="J252" s="17">
        <v>1</v>
      </c>
      <c r="K252" s="64">
        <f t="shared" si="68"/>
        <v>0.5</v>
      </c>
      <c r="L252" s="17">
        <v>2</v>
      </c>
      <c r="M252" s="64">
        <f t="shared" si="69"/>
        <v>0.66666666666666663</v>
      </c>
      <c r="N252" s="17">
        <v>2</v>
      </c>
      <c r="O252" s="64">
        <f t="shared" si="70"/>
        <v>0.4</v>
      </c>
      <c r="P252" s="17">
        <v>3</v>
      </c>
      <c r="Q252" s="64">
        <f t="shared" si="71"/>
        <v>1</v>
      </c>
      <c r="R252" s="25">
        <v>2</v>
      </c>
      <c r="S252" s="71">
        <f t="shared" si="72"/>
        <v>0.66666666666666663</v>
      </c>
      <c r="T252" s="17">
        <v>2</v>
      </c>
      <c r="U252" s="64">
        <f t="shared" si="73"/>
        <v>0.66666666666666663</v>
      </c>
      <c r="V252" s="17">
        <v>4</v>
      </c>
      <c r="W252" s="71">
        <f t="shared" si="74"/>
        <v>1</v>
      </c>
      <c r="X252" s="17">
        <v>2</v>
      </c>
      <c r="Y252" s="71">
        <f t="shared" si="75"/>
        <v>0.66666666666666663</v>
      </c>
      <c r="Z252" s="17">
        <v>3</v>
      </c>
      <c r="AA252" s="71">
        <f t="shared" si="76"/>
        <v>1</v>
      </c>
      <c r="AB252" s="17">
        <v>2</v>
      </c>
      <c r="AC252" s="71">
        <f t="shared" si="77"/>
        <v>1</v>
      </c>
      <c r="AD252" s="57">
        <v>0</v>
      </c>
      <c r="AE252" s="57">
        <v>1</v>
      </c>
      <c r="AF252" s="57">
        <v>1</v>
      </c>
      <c r="AG252" s="57">
        <v>0</v>
      </c>
      <c r="AH252" s="57">
        <v>0</v>
      </c>
      <c r="AI252" s="57">
        <v>0</v>
      </c>
      <c r="AJ252" s="20">
        <v>0</v>
      </c>
      <c r="AK252" s="71">
        <f t="shared" si="78"/>
        <v>0</v>
      </c>
      <c r="AL252" s="17">
        <v>3</v>
      </c>
      <c r="AM252" s="71">
        <f t="shared" si="79"/>
        <v>1</v>
      </c>
      <c r="AN252" s="17">
        <v>1</v>
      </c>
      <c r="AO252" s="71">
        <f t="shared" si="80"/>
        <v>0.33333333333333331</v>
      </c>
      <c r="AP252" s="17">
        <v>2</v>
      </c>
      <c r="AQ252" s="71">
        <f t="shared" si="81"/>
        <v>0.66666666666666663</v>
      </c>
      <c r="AR252" s="57">
        <v>1</v>
      </c>
      <c r="AS252" s="17">
        <v>3</v>
      </c>
      <c r="AT252" s="71">
        <f t="shared" si="82"/>
        <v>1</v>
      </c>
      <c r="AU252" s="17">
        <v>3</v>
      </c>
      <c r="AV252" s="71">
        <f t="shared" si="83"/>
        <v>1</v>
      </c>
      <c r="AW252" s="17">
        <v>1</v>
      </c>
      <c r="AX252" s="71">
        <f t="shared" si="84"/>
        <v>0.5</v>
      </c>
      <c r="AY252" s="17">
        <v>3</v>
      </c>
      <c r="AZ252" s="71">
        <f t="shared" si="85"/>
        <v>1</v>
      </c>
      <c r="BA252" s="73">
        <v>0</v>
      </c>
      <c r="BB252" s="73">
        <v>1</v>
      </c>
      <c r="BC252" s="73">
        <v>1</v>
      </c>
      <c r="BD252" s="73">
        <v>0</v>
      </c>
      <c r="BE252" s="81">
        <f t="shared" si="86"/>
        <v>0.80333333333333345</v>
      </c>
      <c r="BF252" s="81" t="str">
        <f t="shared" si="87"/>
        <v>ALTO</v>
      </c>
    </row>
    <row r="253" spans="1:58" x14ac:dyDescent="0.15">
      <c r="A253" s="58">
        <v>3</v>
      </c>
      <c r="B253" s="58">
        <v>2</v>
      </c>
      <c r="C253" s="58">
        <v>0</v>
      </c>
      <c r="D253" s="58">
        <v>2</v>
      </c>
      <c r="E253" s="58">
        <v>1</v>
      </c>
      <c r="F253" s="18">
        <v>1</v>
      </c>
      <c r="G253" s="64">
        <f t="shared" si="66"/>
        <v>0.5</v>
      </c>
      <c r="H253" s="18">
        <v>1</v>
      </c>
      <c r="I253" s="64">
        <f t="shared" si="67"/>
        <v>0.5</v>
      </c>
      <c r="J253" s="18">
        <v>0</v>
      </c>
      <c r="K253" s="64">
        <f t="shared" si="68"/>
        <v>0</v>
      </c>
      <c r="L253" s="18">
        <v>0</v>
      </c>
      <c r="M253" s="64">
        <f t="shared" si="69"/>
        <v>0</v>
      </c>
      <c r="N253" s="18">
        <v>4</v>
      </c>
      <c r="O253" s="64">
        <f t="shared" si="70"/>
        <v>0.8</v>
      </c>
      <c r="P253" s="18">
        <v>0</v>
      </c>
      <c r="Q253" s="64">
        <f t="shared" si="71"/>
        <v>0</v>
      </c>
      <c r="R253" s="24">
        <v>0</v>
      </c>
      <c r="S253" s="71">
        <f t="shared" si="72"/>
        <v>0</v>
      </c>
      <c r="T253" s="18">
        <v>0</v>
      </c>
      <c r="U253" s="64">
        <f t="shared" si="73"/>
        <v>0</v>
      </c>
      <c r="V253" s="18">
        <v>3</v>
      </c>
      <c r="W253" s="71">
        <f t="shared" si="74"/>
        <v>0.75</v>
      </c>
      <c r="X253" s="18">
        <v>2</v>
      </c>
      <c r="Y253" s="71">
        <f t="shared" si="75"/>
        <v>0.66666666666666663</v>
      </c>
      <c r="Z253" s="18">
        <v>2</v>
      </c>
      <c r="AA253" s="71">
        <f t="shared" si="76"/>
        <v>0.66666666666666663</v>
      </c>
      <c r="AB253" s="18">
        <v>2</v>
      </c>
      <c r="AC253" s="71">
        <f t="shared" si="77"/>
        <v>1</v>
      </c>
      <c r="AD253" s="58">
        <v>0</v>
      </c>
      <c r="AE253" s="58">
        <v>0</v>
      </c>
      <c r="AF253" s="58">
        <v>1</v>
      </c>
      <c r="AG253" s="58">
        <v>1</v>
      </c>
      <c r="AH253" s="58">
        <v>0</v>
      </c>
      <c r="AI253" s="58">
        <v>0</v>
      </c>
      <c r="AJ253" s="19">
        <v>1</v>
      </c>
      <c r="AK253" s="71">
        <f t="shared" si="78"/>
        <v>0.5</v>
      </c>
      <c r="AL253" s="18">
        <v>0</v>
      </c>
      <c r="AM253" s="71">
        <f t="shared" si="79"/>
        <v>0</v>
      </c>
      <c r="AN253" s="18">
        <v>2</v>
      </c>
      <c r="AO253" s="71">
        <f t="shared" si="80"/>
        <v>0.66666666666666663</v>
      </c>
      <c r="AP253" s="18">
        <v>0</v>
      </c>
      <c r="AQ253" s="71">
        <f t="shared" si="81"/>
        <v>0</v>
      </c>
      <c r="AR253" s="58">
        <v>2</v>
      </c>
      <c r="AS253" s="18">
        <v>0</v>
      </c>
      <c r="AT253" s="71">
        <f t="shared" si="82"/>
        <v>0</v>
      </c>
      <c r="AU253" s="18">
        <v>0</v>
      </c>
      <c r="AV253" s="71">
        <f t="shared" si="83"/>
        <v>0</v>
      </c>
      <c r="AW253" s="18">
        <v>1</v>
      </c>
      <c r="AX253" s="71">
        <f t="shared" si="84"/>
        <v>0.5</v>
      </c>
      <c r="AY253" s="18">
        <v>2</v>
      </c>
      <c r="AZ253" s="71">
        <f t="shared" si="85"/>
        <v>0.66666666666666663</v>
      </c>
      <c r="BA253" s="74">
        <v>0</v>
      </c>
      <c r="BB253" s="74">
        <v>0</v>
      </c>
      <c r="BC253" s="74">
        <v>1</v>
      </c>
      <c r="BD253" s="74">
        <v>0</v>
      </c>
      <c r="BE253" s="81">
        <f t="shared" si="86"/>
        <v>0.38583333333333336</v>
      </c>
      <c r="BF253" s="81" t="str">
        <f t="shared" si="87"/>
        <v>MEDIO</v>
      </c>
    </row>
    <row r="254" spans="1:58" x14ac:dyDescent="0.15">
      <c r="A254" s="61">
        <v>5</v>
      </c>
      <c r="B254" s="61">
        <v>1</v>
      </c>
      <c r="C254" s="61">
        <v>1</v>
      </c>
      <c r="D254" s="61">
        <v>0</v>
      </c>
      <c r="E254" s="61">
        <v>1</v>
      </c>
      <c r="F254" s="21">
        <v>1</v>
      </c>
      <c r="G254" s="64">
        <f t="shared" si="66"/>
        <v>0.5</v>
      </c>
      <c r="H254" s="21">
        <v>2</v>
      </c>
      <c r="I254" s="64">
        <f t="shared" si="67"/>
        <v>1</v>
      </c>
      <c r="J254" s="21">
        <v>2</v>
      </c>
      <c r="K254" s="64">
        <f t="shared" si="68"/>
        <v>1</v>
      </c>
      <c r="L254" s="21">
        <v>3</v>
      </c>
      <c r="M254" s="64">
        <f t="shared" si="69"/>
        <v>1</v>
      </c>
      <c r="N254" s="21">
        <v>4</v>
      </c>
      <c r="O254" s="64">
        <f t="shared" si="70"/>
        <v>0.8</v>
      </c>
      <c r="P254" s="21">
        <v>2</v>
      </c>
      <c r="Q254" s="64">
        <f t="shared" si="71"/>
        <v>0.66666666666666663</v>
      </c>
      <c r="R254" s="26">
        <v>3</v>
      </c>
      <c r="S254" s="71">
        <f t="shared" si="72"/>
        <v>1</v>
      </c>
      <c r="T254" s="21">
        <v>3</v>
      </c>
      <c r="U254" s="64">
        <f t="shared" si="73"/>
        <v>1</v>
      </c>
      <c r="V254" s="21">
        <v>4</v>
      </c>
      <c r="W254" s="71">
        <f t="shared" si="74"/>
        <v>1</v>
      </c>
      <c r="X254" s="21">
        <v>3</v>
      </c>
      <c r="Y254" s="71">
        <f t="shared" si="75"/>
        <v>1</v>
      </c>
      <c r="Z254" s="21">
        <v>3</v>
      </c>
      <c r="AA254" s="71">
        <f t="shared" si="76"/>
        <v>1</v>
      </c>
      <c r="AB254" s="21">
        <v>0</v>
      </c>
      <c r="AC254" s="71">
        <f t="shared" si="77"/>
        <v>0</v>
      </c>
      <c r="AD254" s="61">
        <v>1</v>
      </c>
      <c r="AE254" s="61">
        <v>0</v>
      </c>
      <c r="AF254" s="61">
        <v>1</v>
      </c>
      <c r="AG254" s="61">
        <v>0</v>
      </c>
      <c r="AH254" s="61">
        <v>0</v>
      </c>
      <c r="AI254" s="61">
        <v>0</v>
      </c>
      <c r="AJ254" s="30">
        <v>2</v>
      </c>
      <c r="AK254" s="71">
        <f t="shared" si="78"/>
        <v>1</v>
      </c>
      <c r="AL254" s="21">
        <v>2</v>
      </c>
      <c r="AM254" s="71">
        <f t="shared" si="79"/>
        <v>0.66666666666666663</v>
      </c>
      <c r="AN254" s="21">
        <v>0</v>
      </c>
      <c r="AO254" s="71">
        <f t="shared" si="80"/>
        <v>0</v>
      </c>
      <c r="AP254" s="21">
        <v>3</v>
      </c>
      <c r="AQ254" s="71">
        <f t="shared" si="81"/>
        <v>1</v>
      </c>
      <c r="AR254" s="61">
        <v>2</v>
      </c>
      <c r="AS254" s="21">
        <v>3</v>
      </c>
      <c r="AT254" s="71">
        <f t="shared" si="82"/>
        <v>1</v>
      </c>
      <c r="AU254" s="21">
        <v>3</v>
      </c>
      <c r="AV254" s="71">
        <f t="shared" si="83"/>
        <v>1</v>
      </c>
      <c r="AW254" s="21">
        <v>1</v>
      </c>
      <c r="AX254" s="71">
        <f t="shared" si="84"/>
        <v>0.5</v>
      </c>
      <c r="AY254" s="21">
        <v>3</v>
      </c>
      <c r="AZ254" s="71">
        <f t="shared" si="85"/>
        <v>1</v>
      </c>
      <c r="BA254" s="77">
        <v>0</v>
      </c>
      <c r="BB254" s="77">
        <v>1</v>
      </c>
      <c r="BC254" s="77">
        <v>1</v>
      </c>
      <c r="BD254" s="77">
        <v>0</v>
      </c>
      <c r="BE254" s="81">
        <f t="shared" si="86"/>
        <v>0.83166666666666667</v>
      </c>
      <c r="BF254" s="81" t="str">
        <f t="shared" si="87"/>
        <v>ALTO</v>
      </c>
    </row>
    <row r="255" spans="1:58" x14ac:dyDescent="0.15">
      <c r="A255" s="57">
        <v>4</v>
      </c>
      <c r="B255" s="57">
        <v>1</v>
      </c>
      <c r="C255" s="57">
        <v>2</v>
      </c>
      <c r="D255" s="57">
        <v>0</v>
      </c>
      <c r="E255" s="61">
        <v>1</v>
      </c>
      <c r="F255" s="21">
        <v>1</v>
      </c>
      <c r="G255" s="64">
        <f t="shared" si="66"/>
        <v>0.5</v>
      </c>
      <c r="H255" s="17">
        <v>2</v>
      </c>
      <c r="I255" s="64">
        <f t="shared" si="67"/>
        <v>1</v>
      </c>
      <c r="J255" s="17">
        <v>2</v>
      </c>
      <c r="K255" s="64">
        <f t="shared" si="68"/>
        <v>1</v>
      </c>
      <c r="L255" s="17">
        <v>3</v>
      </c>
      <c r="M255" s="64">
        <f t="shared" si="69"/>
        <v>1</v>
      </c>
      <c r="N255" s="17">
        <v>4</v>
      </c>
      <c r="O255" s="64">
        <f t="shared" si="70"/>
        <v>0.8</v>
      </c>
      <c r="P255" s="17">
        <v>3</v>
      </c>
      <c r="Q255" s="64">
        <f t="shared" si="71"/>
        <v>1</v>
      </c>
      <c r="R255" s="25">
        <v>3</v>
      </c>
      <c r="S255" s="71">
        <f t="shared" si="72"/>
        <v>1</v>
      </c>
      <c r="T255" s="17">
        <v>3</v>
      </c>
      <c r="U255" s="64">
        <f t="shared" si="73"/>
        <v>1</v>
      </c>
      <c r="V255" s="17">
        <v>4</v>
      </c>
      <c r="W255" s="71">
        <f t="shared" si="74"/>
        <v>1</v>
      </c>
      <c r="X255" s="17">
        <v>3</v>
      </c>
      <c r="Y255" s="71">
        <f t="shared" si="75"/>
        <v>1</v>
      </c>
      <c r="Z255" s="17">
        <v>3</v>
      </c>
      <c r="AA255" s="71">
        <f t="shared" si="76"/>
        <v>1</v>
      </c>
      <c r="AB255" s="17">
        <v>0</v>
      </c>
      <c r="AC255" s="71">
        <f t="shared" si="77"/>
        <v>0</v>
      </c>
      <c r="AD255" s="57">
        <v>0</v>
      </c>
      <c r="AE255" s="57">
        <v>1</v>
      </c>
      <c r="AF255" s="57">
        <v>1</v>
      </c>
      <c r="AG255" s="57">
        <v>0</v>
      </c>
      <c r="AH255" s="57">
        <v>0</v>
      </c>
      <c r="AI255" s="57">
        <v>0</v>
      </c>
      <c r="AJ255" s="45">
        <v>2</v>
      </c>
      <c r="AK255" s="71">
        <f t="shared" si="78"/>
        <v>1</v>
      </c>
      <c r="AL255" s="17">
        <v>2</v>
      </c>
      <c r="AM255" s="71">
        <f t="shared" si="79"/>
        <v>0.66666666666666663</v>
      </c>
      <c r="AN255" s="17">
        <v>1</v>
      </c>
      <c r="AO255" s="71">
        <f t="shared" si="80"/>
        <v>0.33333333333333331</v>
      </c>
      <c r="AP255" s="17">
        <v>3</v>
      </c>
      <c r="AQ255" s="71">
        <f t="shared" si="81"/>
        <v>1</v>
      </c>
      <c r="AR255" s="57">
        <v>2</v>
      </c>
      <c r="AS255" s="17">
        <v>3</v>
      </c>
      <c r="AT255" s="71">
        <f t="shared" si="82"/>
        <v>1</v>
      </c>
      <c r="AU255" s="17">
        <v>3</v>
      </c>
      <c r="AV255" s="71">
        <f t="shared" si="83"/>
        <v>1</v>
      </c>
      <c r="AW255" s="17">
        <v>1</v>
      </c>
      <c r="AX255" s="71">
        <f t="shared" si="84"/>
        <v>0.5</v>
      </c>
      <c r="AY255" s="17">
        <v>3</v>
      </c>
      <c r="AZ255" s="71">
        <f t="shared" si="85"/>
        <v>1</v>
      </c>
      <c r="BA255" s="73">
        <v>1</v>
      </c>
      <c r="BB255" s="78">
        <v>1</v>
      </c>
      <c r="BC255" s="78">
        <v>0</v>
      </c>
      <c r="BD255" s="78">
        <v>0</v>
      </c>
      <c r="BE255" s="81">
        <f t="shared" si="86"/>
        <v>0.86499999999999999</v>
      </c>
      <c r="BF255" s="81" t="str">
        <f t="shared" si="87"/>
        <v>ALTO</v>
      </c>
    </row>
    <row r="256" spans="1:58" x14ac:dyDescent="0.15">
      <c r="A256" s="57">
        <v>4</v>
      </c>
      <c r="B256" s="61">
        <v>1</v>
      </c>
      <c r="C256" s="57">
        <v>1</v>
      </c>
      <c r="D256" s="62">
        <v>0</v>
      </c>
      <c r="E256" s="61">
        <v>1</v>
      </c>
      <c r="F256" s="17">
        <v>2</v>
      </c>
      <c r="G256" s="64">
        <f t="shared" si="66"/>
        <v>1</v>
      </c>
      <c r="H256" s="17">
        <v>2</v>
      </c>
      <c r="I256" s="64">
        <f t="shared" si="67"/>
        <v>1</v>
      </c>
      <c r="J256" s="17">
        <v>2</v>
      </c>
      <c r="K256" s="64">
        <f t="shared" si="68"/>
        <v>1</v>
      </c>
      <c r="L256" s="17">
        <v>3</v>
      </c>
      <c r="M256" s="64">
        <f t="shared" si="69"/>
        <v>1</v>
      </c>
      <c r="N256" s="17">
        <v>2</v>
      </c>
      <c r="O256" s="64">
        <f t="shared" si="70"/>
        <v>0.4</v>
      </c>
      <c r="P256" s="17">
        <v>3</v>
      </c>
      <c r="Q256" s="64">
        <f t="shared" si="71"/>
        <v>1</v>
      </c>
      <c r="R256" s="25">
        <v>3</v>
      </c>
      <c r="S256" s="71">
        <f t="shared" si="72"/>
        <v>1</v>
      </c>
      <c r="T256" s="17">
        <v>3</v>
      </c>
      <c r="U256" s="64">
        <f t="shared" si="73"/>
        <v>1</v>
      </c>
      <c r="V256" s="17">
        <v>4</v>
      </c>
      <c r="W256" s="71">
        <f t="shared" si="74"/>
        <v>1</v>
      </c>
      <c r="X256" s="17">
        <v>3</v>
      </c>
      <c r="Y256" s="71">
        <f t="shared" si="75"/>
        <v>1</v>
      </c>
      <c r="Z256" s="17">
        <v>3</v>
      </c>
      <c r="AA256" s="71">
        <f t="shared" si="76"/>
        <v>1</v>
      </c>
      <c r="AB256" s="17">
        <v>0</v>
      </c>
      <c r="AC256" s="71">
        <f t="shared" si="77"/>
        <v>0</v>
      </c>
      <c r="AD256" s="57">
        <v>0</v>
      </c>
      <c r="AE256" s="57">
        <v>1</v>
      </c>
      <c r="AF256" s="57">
        <v>1</v>
      </c>
      <c r="AG256" s="57">
        <v>0</v>
      </c>
      <c r="AH256" s="57">
        <v>0</v>
      </c>
      <c r="AI256" s="57">
        <v>0</v>
      </c>
      <c r="AJ256" s="45">
        <v>2</v>
      </c>
      <c r="AK256" s="71">
        <f t="shared" si="78"/>
        <v>1</v>
      </c>
      <c r="AL256" s="17">
        <v>1</v>
      </c>
      <c r="AM256" s="71">
        <f t="shared" si="79"/>
        <v>0.33333333333333331</v>
      </c>
      <c r="AN256" s="17">
        <v>2</v>
      </c>
      <c r="AO256" s="71">
        <f t="shared" si="80"/>
        <v>0.66666666666666663</v>
      </c>
      <c r="AP256" s="17">
        <v>3</v>
      </c>
      <c r="AQ256" s="71">
        <f t="shared" si="81"/>
        <v>1</v>
      </c>
      <c r="AR256" s="57">
        <v>1</v>
      </c>
      <c r="AS256" s="17">
        <v>3</v>
      </c>
      <c r="AT256" s="71">
        <f t="shared" si="82"/>
        <v>1</v>
      </c>
      <c r="AU256" s="17">
        <v>3</v>
      </c>
      <c r="AV256" s="71">
        <f t="shared" si="83"/>
        <v>1</v>
      </c>
      <c r="AW256" s="17">
        <v>1</v>
      </c>
      <c r="AX256" s="71">
        <f t="shared" si="84"/>
        <v>0.5</v>
      </c>
      <c r="AY256" s="17">
        <v>3</v>
      </c>
      <c r="AZ256" s="71">
        <f t="shared" si="85"/>
        <v>1</v>
      </c>
      <c r="BA256" s="73">
        <v>1</v>
      </c>
      <c r="BB256" s="78">
        <v>1</v>
      </c>
      <c r="BC256" s="78">
        <v>0</v>
      </c>
      <c r="BD256" s="78">
        <v>0</v>
      </c>
      <c r="BE256" s="81">
        <f t="shared" si="86"/>
        <v>0.89499999999999991</v>
      </c>
      <c r="BF256" s="81" t="str">
        <f t="shared" si="87"/>
        <v>ALTO</v>
      </c>
    </row>
    <row r="257" spans="1:58" x14ac:dyDescent="0.15">
      <c r="A257" s="57">
        <v>4</v>
      </c>
      <c r="B257" s="58">
        <v>2</v>
      </c>
      <c r="C257" s="57">
        <v>3</v>
      </c>
      <c r="D257" s="57">
        <v>0</v>
      </c>
      <c r="E257" s="61">
        <v>1</v>
      </c>
      <c r="F257" s="17">
        <v>2</v>
      </c>
      <c r="G257" s="64">
        <f t="shared" si="66"/>
        <v>1</v>
      </c>
      <c r="H257" s="17">
        <v>2</v>
      </c>
      <c r="I257" s="64">
        <f t="shared" si="67"/>
        <v>1</v>
      </c>
      <c r="J257" s="17">
        <v>2</v>
      </c>
      <c r="K257" s="64">
        <f t="shared" si="68"/>
        <v>1</v>
      </c>
      <c r="L257" s="17">
        <v>3</v>
      </c>
      <c r="M257" s="64">
        <f t="shared" si="69"/>
        <v>1</v>
      </c>
      <c r="N257" s="17">
        <v>3</v>
      </c>
      <c r="O257" s="64">
        <f t="shared" si="70"/>
        <v>0.6</v>
      </c>
      <c r="P257" s="17">
        <v>3</v>
      </c>
      <c r="Q257" s="64">
        <f t="shared" si="71"/>
        <v>1</v>
      </c>
      <c r="R257" s="25">
        <v>3</v>
      </c>
      <c r="S257" s="71">
        <f t="shared" si="72"/>
        <v>1</v>
      </c>
      <c r="T257" s="17">
        <v>3</v>
      </c>
      <c r="U257" s="64">
        <f t="shared" si="73"/>
        <v>1</v>
      </c>
      <c r="V257" s="17">
        <v>4</v>
      </c>
      <c r="W257" s="71">
        <f t="shared" si="74"/>
        <v>1</v>
      </c>
      <c r="X257" s="17">
        <v>3</v>
      </c>
      <c r="Y257" s="71">
        <f t="shared" si="75"/>
        <v>1</v>
      </c>
      <c r="Z257" s="17">
        <v>3</v>
      </c>
      <c r="AA257" s="71">
        <f t="shared" si="76"/>
        <v>1</v>
      </c>
      <c r="AB257" s="17">
        <v>1</v>
      </c>
      <c r="AC257" s="71">
        <f t="shared" si="77"/>
        <v>0.5</v>
      </c>
      <c r="AD257" s="57">
        <v>1</v>
      </c>
      <c r="AE257" s="57">
        <v>0</v>
      </c>
      <c r="AF257" s="57">
        <v>1</v>
      </c>
      <c r="AG257" s="57">
        <v>0</v>
      </c>
      <c r="AH257" s="57">
        <v>0</v>
      </c>
      <c r="AI257" s="57">
        <v>0</v>
      </c>
      <c r="AJ257" s="45">
        <v>2</v>
      </c>
      <c r="AK257" s="71">
        <f t="shared" si="78"/>
        <v>1</v>
      </c>
      <c r="AL257" s="17">
        <v>1</v>
      </c>
      <c r="AM257" s="71">
        <f t="shared" si="79"/>
        <v>0.33333333333333331</v>
      </c>
      <c r="AN257" s="17">
        <v>1</v>
      </c>
      <c r="AO257" s="71">
        <f t="shared" si="80"/>
        <v>0.33333333333333331</v>
      </c>
      <c r="AP257" s="17">
        <v>3</v>
      </c>
      <c r="AQ257" s="71">
        <f t="shared" si="81"/>
        <v>1</v>
      </c>
      <c r="AR257" s="57">
        <v>2</v>
      </c>
      <c r="AS257" s="17">
        <v>0</v>
      </c>
      <c r="AT257" s="71">
        <f t="shared" si="82"/>
        <v>0</v>
      </c>
      <c r="AU257" s="17">
        <v>3</v>
      </c>
      <c r="AV257" s="71">
        <f t="shared" si="83"/>
        <v>1</v>
      </c>
      <c r="AW257" s="17">
        <v>1</v>
      </c>
      <c r="AX257" s="71">
        <f t="shared" si="84"/>
        <v>0.5</v>
      </c>
      <c r="AY257" s="17">
        <v>3</v>
      </c>
      <c r="AZ257" s="71">
        <f t="shared" si="85"/>
        <v>1</v>
      </c>
      <c r="BA257" s="73">
        <v>1</v>
      </c>
      <c r="BB257" s="78">
        <v>1</v>
      </c>
      <c r="BC257" s="78">
        <v>0</v>
      </c>
      <c r="BD257" s="78">
        <v>0</v>
      </c>
      <c r="BE257" s="81">
        <f t="shared" si="86"/>
        <v>0.86333333333333329</v>
      </c>
      <c r="BF257" s="81" t="str">
        <f t="shared" si="87"/>
        <v>ALTO</v>
      </c>
    </row>
    <row r="258" spans="1:58" x14ac:dyDescent="0.15">
      <c r="A258" s="57">
        <v>3</v>
      </c>
      <c r="B258" s="61">
        <v>1</v>
      </c>
      <c r="C258" s="57">
        <v>1</v>
      </c>
      <c r="D258" s="57">
        <v>0</v>
      </c>
      <c r="E258" s="61">
        <v>1</v>
      </c>
      <c r="F258" s="21">
        <v>1</v>
      </c>
      <c r="G258" s="64">
        <f t="shared" ref="G258:G295" si="88">F258/2</f>
        <v>0.5</v>
      </c>
      <c r="H258" s="17">
        <v>2</v>
      </c>
      <c r="I258" s="64">
        <f t="shared" si="67"/>
        <v>1</v>
      </c>
      <c r="J258" s="17">
        <v>2</v>
      </c>
      <c r="K258" s="64">
        <f t="shared" si="68"/>
        <v>1</v>
      </c>
      <c r="L258" s="17">
        <v>3</v>
      </c>
      <c r="M258" s="64">
        <f t="shared" si="69"/>
        <v>1</v>
      </c>
      <c r="N258" s="17">
        <v>2</v>
      </c>
      <c r="O258" s="64">
        <f t="shared" si="70"/>
        <v>0.4</v>
      </c>
      <c r="P258" s="17">
        <v>2</v>
      </c>
      <c r="Q258" s="64">
        <f t="shared" si="71"/>
        <v>0.66666666666666663</v>
      </c>
      <c r="R258" s="25">
        <v>3</v>
      </c>
      <c r="S258" s="71">
        <f t="shared" si="72"/>
        <v>1</v>
      </c>
      <c r="T258" s="17">
        <v>3</v>
      </c>
      <c r="U258" s="64">
        <f t="shared" si="73"/>
        <v>1</v>
      </c>
      <c r="V258" s="17">
        <v>3</v>
      </c>
      <c r="W258" s="71">
        <f t="shared" si="74"/>
        <v>0.75</v>
      </c>
      <c r="X258" s="17">
        <v>3</v>
      </c>
      <c r="Y258" s="71">
        <f t="shared" si="75"/>
        <v>1</v>
      </c>
      <c r="Z258" s="17">
        <v>3</v>
      </c>
      <c r="AA258" s="71">
        <f t="shared" si="76"/>
        <v>1</v>
      </c>
      <c r="AB258" s="17">
        <v>0</v>
      </c>
      <c r="AC258" s="71">
        <f t="shared" si="77"/>
        <v>0</v>
      </c>
      <c r="AD258" s="57">
        <v>0</v>
      </c>
      <c r="AE258" s="57">
        <v>1</v>
      </c>
      <c r="AF258" s="57">
        <v>1</v>
      </c>
      <c r="AG258" s="57">
        <v>0</v>
      </c>
      <c r="AH258" s="57">
        <v>0</v>
      </c>
      <c r="AI258" s="57">
        <v>0</v>
      </c>
      <c r="AJ258" s="45">
        <v>2</v>
      </c>
      <c r="AK258" s="71">
        <f t="shared" si="78"/>
        <v>1</v>
      </c>
      <c r="AL258" s="17">
        <v>2</v>
      </c>
      <c r="AM258" s="71">
        <f t="shared" si="79"/>
        <v>0.66666666666666663</v>
      </c>
      <c r="AN258" s="17">
        <v>2</v>
      </c>
      <c r="AO258" s="71">
        <f t="shared" si="80"/>
        <v>0.66666666666666663</v>
      </c>
      <c r="AP258" s="17">
        <v>3</v>
      </c>
      <c r="AQ258" s="71">
        <f t="shared" si="81"/>
        <v>1</v>
      </c>
      <c r="AR258" s="57">
        <v>2</v>
      </c>
      <c r="AS258" s="17">
        <v>3</v>
      </c>
      <c r="AT258" s="71">
        <f t="shared" si="82"/>
        <v>1</v>
      </c>
      <c r="AU258" s="17">
        <v>3</v>
      </c>
      <c r="AV258" s="71">
        <f t="shared" si="83"/>
        <v>1</v>
      </c>
      <c r="AW258" s="17">
        <v>1</v>
      </c>
      <c r="AX258" s="71">
        <f t="shared" si="84"/>
        <v>0.5</v>
      </c>
      <c r="AY258" s="17">
        <v>3</v>
      </c>
      <c r="AZ258" s="71">
        <f t="shared" si="85"/>
        <v>1</v>
      </c>
      <c r="BA258" s="73">
        <v>1</v>
      </c>
      <c r="BB258" s="78">
        <v>1</v>
      </c>
      <c r="BC258" s="78">
        <v>0</v>
      </c>
      <c r="BD258" s="78">
        <v>0</v>
      </c>
      <c r="BE258" s="81">
        <f t="shared" si="86"/>
        <v>0.83249999999999991</v>
      </c>
      <c r="BF258" s="81" t="str">
        <f t="shared" si="87"/>
        <v>ALTO</v>
      </c>
    </row>
    <row r="259" spans="1:58" x14ac:dyDescent="0.15">
      <c r="A259" s="57">
        <v>4</v>
      </c>
      <c r="B259" s="61">
        <v>1</v>
      </c>
      <c r="C259" s="57">
        <v>3</v>
      </c>
      <c r="D259" s="57">
        <v>0</v>
      </c>
      <c r="E259" s="61">
        <v>1</v>
      </c>
      <c r="F259" s="17">
        <v>2</v>
      </c>
      <c r="G259" s="64">
        <f t="shared" si="88"/>
        <v>1</v>
      </c>
      <c r="H259" s="17">
        <v>2</v>
      </c>
      <c r="I259" s="64">
        <f t="shared" ref="I259:I322" si="89">H259/2</f>
        <v>1</v>
      </c>
      <c r="J259" s="17">
        <v>2</v>
      </c>
      <c r="K259" s="64">
        <f t="shared" ref="K259:K322" si="90">J259/2</f>
        <v>1</v>
      </c>
      <c r="L259" s="17">
        <v>3</v>
      </c>
      <c r="M259" s="64">
        <f t="shared" ref="M259:M322" si="91">L259/3</f>
        <v>1</v>
      </c>
      <c r="N259" s="17">
        <v>1</v>
      </c>
      <c r="O259" s="64">
        <f t="shared" ref="O259:O322" si="92">N259/5</f>
        <v>0.2</v>
      </c>
      <c r="P259" s="17">
        <v>2</v>
      </c>
      <c r="Q259" s="64">
        <f t="shared" ref="Q259:Q322" si="93">P259/3</f>
        <v>0.66666666666666663</v>
      </c>
      <c r="R259" s="25">
        <v>3</v>
      </c>
      <c r="S259" s="71">
        <f t="shared" ref="S259:S322" si="94">R259/3</f>
        <v>1</v>
      </c>
      <c r="T259" s="17">
        <v>3</v>
      </c>
      <c r="U259" s="64">
        <f t="shared" ref="U259:U322" si="95">T259/3</f>
        <v>1</v>
      </c>
      <c r="V259" s="17">
        <v>4</v>
      </c>
      <c r="W259" s="71">
        <f t="shared" ref="W259:W322" si="96">V259/4</f>
        <v>1</v>
      </c>
      <c r="X259" s="17">
        <v>3</v>
      </c>
      <c r="Y259" s="71">
        <f t="shared" ref="Y259:Y322" si="97">X259/3</f>
        <v>1</v>
      </c>
      <c r="Z259" s="17">
        <v>3</v>
      </c>
      <c r="AA259" s="71">
        <f t="shared" ref="AA259:AA322" si="98">Z259/3</f>
        <v>1</v>
      </c>
      <c r="AB259" s="17">
        <v>2</v>
      </c>
      <c r="AC259" s="71">
        <f t="shared" ref="AC259:AC322" si="99">AB259/2</f>
        <v>1</v>
      </c>
      <c r="AD259" s="57">
        <v>1</v>
      </c>
      <c r="AE259" s="57">
        <v>0</v>
      </c>
      <c r="AF259" s="57">
        <v>1</v>
      </c>
      <c r="AG259" s="57">
        <v>0</v>
      </c>
      <c r="AH259" s="57">
        <v>0</v>
      </c>
      <c r="AI259" s="57">
        <v>0</v>
      </c>
      <c r="AJ259" s="45">
        <v>2</v>
      </c>
      <c r="AK259" s="71">
        <f t="shared" ref="AK259:AK322" si="100">AJ259/2</f>
        <v>1</v>
      </c>
      <c r="AL259" s="17">
        <v>2</v>
      </c>
      <c r="AM259" s="71">
        <f t="shared" ref="AM259:AM322" si="101">AL259/3</f>
        <v>0.66666666666666663</v>
      </c>
      <c r="AN259" s="17">
        <v>2</v>
      </c>
      <c r="AO259" s="71">
        <f t="shared" ref="AO259:AO322" si="102">AN259/3</f>
        <v>0.66666666666666663</v>
      </c>
      <c r="AP259" s="17">
        <v>3</v>
      </c>
      <c r="AQ259" s="71">
        <f t="shared" ref="AQ259:AQ322" si="103">AP259/3</f>
        <v>1</v>
      </c>
      <c r="AR259" s="57">
        <v>2</v>
      </c>
      <c r="AS259" s="17">
        <v>2</v>
      </c>
      <c r="AT259" s="71">
        <f t="shared" ref="AT259:AT322" si="104">AS259/3</f>
        <v>0.66666666666666663</v>
      </c>
      <c r="AU259" s="17">
        <v>3</v>
      </c>
      <c r="AV259" s="71">
        <f t="shared" ref="AV259:AV322" si="105">AU259/3</f>
        <v>1</v>
      </c>
      <c r="AW259" s="17">
        <v>1</v>
      </c>
      <c r="AX259" s="71">
        <f t="shared" ref="AX259:AX322" si="106">AW259/2</f>
        <v>0.5</v>
      </c>
      <c r="AY259" s="17">
        <v>3</v>
      </c>
      <c r="AZ259" s="71">
        <f t="shared" ref="AZ259:AZ322" si="107">AY259/3</f>
        <v>1</v>
      </c>
      <c r="BA259" s="73">
        <v>1</v>
      </c>
      <c r="BB259" s="78">
        <v>1</v>
      </c>
      <c r="BC259" s="78">
        <v>0</v>
      </c>
      <c r="BD259" s="78">
        <v>0</v>
      </c>
      <c r="BE259" s="81">
        <f t="shared" ref="BE259:BE322" si="108">AVERAGE(F259,I259,K259,M259,O259,Q259,S259,U259,W259,Y259,AA259,AC259,AK259,AM259,AO259,AQ259,AT259,AV259,AX259,AZ259)</f>
        <v>0.91833333333333333</v>
      </c>
      <c r="BF259" s="81" t="str">
        <f t="shared" ref="BF259:BF322" si="109">IF(BE259="","",IF(VALUE(BE259)&lt;0.34,"BASSO",IF(VALUE(BE259)&lt;=0.66,"MEDIO","ALTO")))</f>
        <v>ALTO</v>
      </c>
    </row>
    <row r="260" spans="1:58" x14ac:dyDescent="0.15">
      <c r="A260" s="57">
        <v>3</v>
      </c>
      <c r="B260" s="58">
        <v>2</v>
      </c>
      <c r="C260" s="57">
        <v>3</v>
      </c>
      <c r="D260" s="57">
        <v>0</v>
      </c>
      <c r="E260" s="61">
        <v>1</v>
      </c>
      <c r="F260" s="17">
        <v>2</v>
      </c>
      <c r="G260" s="64">
        <f t="shared" si="88"/>
        <v>1</v>
      </c>
      <c r="H260" s="17">
        <v>1</v>
      </c>
      <c r="I260" s="64">
        <f t="shared" si="89"/>
        <v>0.5</v>
      </c>
      <c r="J260" s="17">
        <v>1</v>
      </c>
      <c r="K260" s="64">
        <f t="shared" si="90"/>
        <v>0.5</v>
      </c>
      <c r="L260" s="17">
        <v>0</v>
      </c>
      <c r="M260" s="64">
        <f t="shared" si="91"/>
        <v>0</v>
      </c>
      <c r="N260" s="17">
        <v>4</v>
      </c>
      <c r="O260" s="64">
        <f t="shared" si="92"/>
        <v>0.8</v>
      </c>
      <c r="P260" s="17">
        <v>3</v>
      </c>
      <c r="Q260" s="64">
        <f t="shared" si="93"/>
        <v>1</v>
      </c>
      <c r="R260" s="25">
        <v>2</v>
      </c>
      <c r="S260" s="71">
        <f t="shared" si="94"/>
        <v>0.66666666666666663</v>
      </c>
      <c r="T260" s="17">
        <v>2</v>
      </c>
      <c r="U260" s="64">
        <f t="shared" si="95"/>
        <v>0.66666666666666663</v>
      </c>
      <c r="V260" s="17">
        <v>3</v>
      </c>
      <c r="W260" s="71">
        <f t="shared" si="96"/>
        <v>0.75</v>
      </c>
      <c r="X260" s="17">
        <v>2</v>
      </c>
      <c r="Y260" s="71">
        <f t="shared" si="97"/>
        <v>0.66666666666666663</v>
      </c>
      <c r="Z260" s="17">
        <v>3</v>
      </c>
      <c r="AA260" s="71">
        <f t="shared" si="98"/>
        <v>1</v>
      </c>
      <c r="AB260" s="17">
        <v>2</v>
      </c>
      <c r="AC260" s="71">
        <f t="shared" si="99"/>
        <v>1</v>
      </c>
      <c r="AD260" s="57">
        <v>1</v>
      </c>
      <c r="AE260" s="57">
        <v>0</v>
      </c>
      <c r="AF260" s="57">
        <v>1</v>
      </c>
      <c r="AG260" s="57">
        <v>0</v>
      </c>
      <c r="AH260" s="57">
        <v>0</v>
      </c>
      <c r="AI260" s="57">
        <v>0</v>
      </c>
      <c r="AJ260" s="45">
        <v>0</v>
      </c>
      <c r="AK260" s="71">
        <f t="shared" si="100"/>
        <v>0</v>
      </c>
      <c r="AL260" s="17">
        <v>3</v>
      </c>
      <c r="AM260" s="71">
        <f t="shared" si="101"/>
        <v>1</v>
      </c>
      <c r="AN260" s="17">
        <v>1</v>
      </c>
      <c r="AO260" s="71">
        <f t="shared" si="102"/>
        <v>0.33333333333333331</v>
      </c>
      <c r="AP260" s="17">
        <v>1</v>
      </c>
      <c r="AQ260" s="71">
        <f t="shared" si="103"/>
        <v>0.33333333333333331</v>
      </c>
      <c r="AR260" s="57">
        <v>0</v>
      </c>
      <c r="AS260" s="17">
        <v>3</v>
      </c>
      <c r="AT260" s="71">
        <f t="shared" si="104"/>
        <v>1</v>
      </c>
      <c r="AU260" s="17">
        <v>2</v>
      </c>
      <c r="AV260" s="71">
        <f t="shared" si="105"/>
        <v>0.66666666666666663</v>
      </c>
      <c r="AW260" s="17">
        <v>0</v>
      </c>
      <c r="AX260" s="71">
        <f t="shared" si="106"/>
        <v>0</v>
      </c>
      <c r="AY260" s="17">
        <v>2</v>
      </c>
      <c r="AZ260" s="71">
        <f t="shared" si="107"/>
        <v>0.66666666666666663</v>
      </c>
      <c r="BA260" s="73">
        <v>1</v>
      </c>
      <c r="BB260" s="78">
        <v>1</v>
      </c>
      <c r="BC260" s="78">
        <v>0</v>
      </c>
      <c r="BD260" s="78">
        <v>0</v>
      </c>
      <c r="BE260" s="81">
        <f t="shared" si="108"/>
        <v>0.67749999999999999</v>
      </c>
      <c r="BF260" s="81" t="str">
        <f t="shared" si="109"/>
        <v>ALTO</v>
      </c>
    </row>
    <row r="261" spans="1:58" x14ac:dyDescent="0.15">
      <c r="A261" s="57">
        <v>2</v>
      </c>
      <c r="B261" s="61">
        <v>1</v>
      </c>
      <c r="C261" s="57">
        <v>3</v>
      </c>
      <c r="D261" s="57">
        <v>0</v>
      </c>
      <c r="E261" s="61">
        <v>1</v>
      </c>
      <c r="F261" s="17">
        <v>2</v>
      </c>
      <c r="G261" s="64">
        <f t="shared" si="88"/>
        <v>1</v>
      </c>
      <c r="H261" s="17">
        <v>2</v>
      </c>
      <c r="I261" s="64">
        <f t="shared" si="89"/>
        <v>1</v>
      </c>
      <c r="J261" s="17">
        <v>1</v>
      </c>
      <c r="K261" s="64">
        <f t="shared" si="90"/>
        <v>0.5</v>
      </c>
      <c r="L261" s="17">
        <v>2</v>
      </c>
      <c r="M261" s="64">
        <f t="shared" si="91"/>
        <v>0.66666666666666663</v>
      </c>
      <c r="N261" s="17">
        <v>4</v>
      </c>
      <c r="O261" s="64">
        <f t="shared" si="92"/>
        <v>0.8</v>
      </c>
      <c r="P261" s="17">
        <v>3</v>
      </c>
      <c r="Q261" s="64">
        <f t="shared" si="93"/>
        <v>1</v>
      </c>
      <c r="R261" s="25">
        <v>3</v>
      </c>
      <c r="S261" s="71">
        <f t="shared" si="94"/>
        <v>1</v>
      </c>
      <c r="T261" s="17">
        <v>2</v>
      </c>
      <c r="U261" s="64">
        <f t="shared" si="95"/>
        <v>0.66666666666666663</v>
      </c>
      <c r="V261" s="17">
        <v>3</v>
      </c>
      <c r="W261" s="71">
        <f t="shared" si="96"/>
        <v>0.75</v>
      </c>
      <c r="X261" s="17">
        <v>3</v>
      </c>
      <c r="Y261" s="71">
        <f t="shared" si="97"/>
        <v>1</v>
      </c>
      <c r="Z261" s="17">
        <v>1</v>
      </c>
      <c r="AA261" s="71">
        <f t="shared" si="98"/>
        <v>0.33333333333333331</v>
      </c>
      <c r="AB261" s="17">
        <v>2</v>
      </c>
      <c r="AC261" s="71">
        <f t="shared" si="99"/>
        <v>1</v>
      </c>
      <c r="AD261" s="57">
        <v>1</v>
      </c>
      <c r="AE261" s="57">
        <v>0</v>
      </c>
      <c r="AF261" s="57">
        <v>1</v>
      </c>
      <c r="AG261" s="57">
        <v>0</v>
      </c>
      <c r="AH261" s="57">
        <v>0</v>
      </c>
      <c r="AI261" s="57">
        <v>0</v>
      </c>
      <c r="AJ261" s="45">
        <v>2</v>
      </c>
      <c r="AK261" s="71">
        <f t="shared" si="100"/>
        <v>1</v>
      </c>
      <c r="AL261" s="17">
        <v>1</v>
      </c>
      <c r="AM261" s="71">
        <f t="shared" si="101"/>
        <v>0.33333333333333331</v>
      </c>
      <c r="AN261" s="17">
        <v>1</v>
      </c>
      <c r="AO261" s="71">
        <f t="shared" si="102"/>
        <v>0.33333333333333331</v>
      </c>
      <c r="AP261" s="17">
        <v>1</v>
      </c>
      <c r="AQ261" s="71">
        <f t="shared" si="103"/>
        <v>0.33333333333333331</v>
      </c>
      <c r="AR261" s="57">
        <v>2</v>
      </c>
      <c r="AS261" s="17">
        <v>3</v>
      </c>
      <c r="AT261" s="71">
        <f t="shared" si="104"/>
        <v>1</v>
      </c>
      <c r="AU261" s="17">
        <v>3</v>
      </c>
      <c r="AV261" s="71">
        <f t="shared" si="105"/>
        <v>1</v>
      </c>
      <c r="AW261" s="17">
        <v>1</v>
      </c>
      <c r="AX261" s="71">
        <f t="shared" si="106"/>
        <v>0.5</v>
      </c>
      <c r="AY261" s="17">
        <v>2</v>
      </c>
      <c r="AZ261" s="71">
        <f t="shared" si="107"/>
        <v>0.66666666666666663</v>
      </c>
      <c r="BA261" s="73">
        <v>1</v>
      </c>
      <c r="BB261" s="78">
        <v>1</v>
      </c>
      <c r="BC261" s="78">
        <v>0</v>
      </c>
      <c r="BD261" s="78">
        <v>0</v>
      </c>
      <c r="BE261" s="81">
        <f t="shared" si="108"/>
        <v>0.79416666666666669</v>
      </c>
      <c r="BF261" s="81" t="str">
        <f t="shared" si="109"/>
        <v>ALTO</v>
      </c>
    </row>
    <row r="262" spans="1:58" x14ac:dyDescent="0.15">
      <c r="A262" s="57">
        <v>4</v>
      </c>
      <c r="B262" s="58">
        <v>2</v>
      </c>
      <c r="C262" s="57">
        <v>1</v>
      </c>
      <c r="D262" s="57">
        <v>1</v>
      </c>
      <c r="E262" s="61">
        <v>1</v>
      </c>
      <c r="F262" s="17">
        <v>2</v>
      </c>
      <c r="G262" s="64">
        <f t="shared" si="88"/>
        <v>1</v>
      </c>
      <c r="H262" s="17">
        <v>1</v>
      </c>
      <c r="I262" s="64">
        <f t="shared" si="89"/>
        <v>0.5</v>
      </c>
      <c r="J262" s="17">
        <v>1</v>
      </c>
      <c r="K262" s="64">
        <f t="shared" si="90"/>
        <v>0.5</v>
      </c>
      <c r="L262" s="17">
        <v>2</v>
      </c>
      <c r="M262" s="64">
        <f t="shared" si="91"/>
        <v>0.66666666666666663</v>
      </c>
      <c r="N262" s="17">
        <v>2</v>
      </c>
      <c r="O262" s="64">
        <f t="shared" si="92"/>
        <v>0.4</v>
      </c>
      <c r="P262" s="17">
        <v>3</v>
      </c>
      <c r="Q262" s="64">
        <f t="shared" si="93"/>
        <v>1</v>
      </c>
      <c r="R262" s="25">
        <v>3</v>
      </c>
      <c r="S262" s="71">
        <f t="shared" si="94"/>
        <v>1</v>
      </c>
      <c r="T262" s="17">
        <v>3</v>
      </c>
      <c r="U262" s="64">
        <f t="shared" si="95"/>
        <v>1</v>
      </c>
      <c r="V262" s="17">
        <v>3</v>
      </c>
      <c r="W262" s="71">
        <f t="shared" si="96"/>
        <v>0.75</v>
      </c>
      <c r="X262" s="17">
        <v>3</v>
      </c>
      <c r="Y262" s="71">
        <f t="shared" si="97"/>
        <v>1</v>
      </c>
      <c r="Z262" s="17">
        <v>2</v>
      </c>
      <c r="AA262" s="71">
        <f t="shared" si="98"/>
        <v>0.66666666666666663</v>
      </c>
      <c r="AB262" s="17">
        <v>2</v>
      </c>
      <c r="AC262" s="71">
        <f t="shared" si="99"/>
        <v>1</v>
      </c>
      <c r="AD262" s="57">
        <v>1</v>
      </c>
      <c r="AE262" s="57">
        <v>0</v>
      </c>
      <c r="AF262" s="57">
        <v>1</v>
      </c>
      <c r="AG262" s="57">
        <v>0</v>
      </c>
      <c r="AH262" s="57">
        <v>0</v>
      </c>
      <c r="AI262" s="57">
        <v>0</v>
      </c>
      <c r="AJ262" s="45">
        <v>1</v>
      </c>
      <c r="AK262" s="71">
        <f t="shared" si="100"/>
        <v>0.5</v>
      </c>
      <c r="AL262" s="17">
        <v>1</v>
      </c>
      <c r="AM262" s="71">
        <f t="shared" si="101"/>
        <v>0.33333333333333331</v>
      </c>
      <c r="AN262" s="17">
        <v>0</v>
      </c>
      <c r="AO262" s="71">
        <f t="shared" si="102"/>
        <v>0</v>
      </c>
      <c r="AP262" s="17">
        <v>2</v>
      </c>
      <c r="AQ262" s="71">
        <f t="shared" si="103"/>
        <v>0.66666666666666663</v>
      </c>
      <c r="AR262" s="57">
        <v>2</v>
      </c>
      <c r="AS262" s="17">
        <v>2</v>
      </c>
      <c r="AT262" s="71">
        <f t="shared" si="104"/>
        <v>0.66666666666666663</v>
      </c>
      <c r="AU262" s="17">
        <v>3</v>
      </c>
      <c r="AV262" s="71">
        <f t="shared" si="105"/>
        <v>1</v>
      </c>
      <c r="AW262" s="17">
        <v>0</v>
      </c>
      <c r="AX262" s="71">
        <f t="shared" si="106"/>
        <v>0</v>
      </c>
      <c r="AY262" s="17">
        <v>2</v>
      </c>
      <c r="AZ262" s="71">
        <f t="shared" si="107"/>
        <v>0.66666666666666663</v>
      </c>
      <c r="BA262" s="73">
        <v>0</v>
      </c>
      <c r="BB262" s="78">
        <v>1</v>
      </c>
      <c r="BC262" s="78">
        <v>1</v>
      </c>
      <c r="BD262" s="78"/>
      <c r="BE262" s="81">
        <f t="shared" si="108"/>
        <v>0.71583333333333321</v>
      </c>
      <c r="BF262" s="81" t="str">
        <f t="shared" si="109"/>
        <v>ALTO</v>
      </c>
    </row>
    <row r="263" spans="1:58" x14ac:dyDescent="0.15">
      <c r="A263" s="57">
        <v>4</v>
      </c>
      <c r="B263" s="58">
        <v>2</v>
      </c>
      <c r="C263" s="57">
        <v>1</v>
      </c>
      <c r="D263" s="57">
        <v>0</v>
      </c>
      <c r="E263" s="61">
        <v>1</v>
      </c>
      <c r="F263" s="17">
        <v>1</v>
      </c>
      <c r="G263" s="64">
        <f t="shared" si="88"/>
        <v>0.5</v>
      </c>
      <c r="H263" s="17">
        <v>2</v>
      </c>
      <c r="I263" s="64">
        <f t="shared" si="89"/>
        <v>1</v>
      </c>
      <c r="J263" s="17">
        <v>1</v>
      </c>
      <c r="K263" s="64">
        <f t="shared" si="90"/>
        <v>0.5</v>
      </c>
      <c r="L263" s="17">
        <v>3</v>
      </c>
      <c r="M263" s="64">
        <f t="shared" si="91"/>
        <v>1</v>
      </c>
      <c r="N263" s="17">
        <v>4</v>
      </c>
      <c r="O263" s="64">
        <f t="shared" si="92"/>
        <v>0.8</v>
      </c>
      <c r="P263" s="17">
        <v>3</v>
      </c>
      <c r="Q263" s="64">
        <f t="shared" si="93"/>
        <v>1</v>
      </c>
      <c r="R263" s="25">
        <v>3</v>
      </c>
      <c r="S263" s="71">
        <f t="shared" si="94"/>
        <v>1</v>
      </c>
      <c r="T263" s="17">
        <v>3</v>
      </c>
      <c r="U263" s="64">
        <f t="shared" si="95"/>
        <v>1</v>
      </c>
      <c r="V263" s="17">
        <v>3</v>
      </c>
      <c r="W263" s="71">
        <f t="shared" si="96"/>
        <v>0.75</v>
      </c>
      <c r="X263" s="17">
        <v>3</v>
      </c>
      <c r="Y263" s="71">
        <f t="shared" si="97"/>
        <v>1</v>
      </c>
      <c r="Z263" s="17">
        <v>3</v>
      </c>
      <c r="AA263" s="71">
        <f t="shared" si="98"/>
        <v>1</v>
      </c>
      <c r="AB263" s="17">
        <v>0</v>
      </c>
      <c r="AC263" s="71">
        <f t="shared" si="99"/>
        <v>0</v>
      </c>
      <c r="AD263" s="57">
        <v>1</v>
      </c>
      <c r="AE263" s="57">
        <v>0</v>
      </c>
      <c r="AF263" s="57">
        <v>1</v>
      </c>
      <c r="AG263" s="57">
        <v>0</v>
      </c>
      <c r="AH263" s="57">
        <v>0</v>
      </c>
      <c r="AI263" s="57">
        <v>0</v>
      </c>
      <c r="AJ263" s="45">
        <v>0</v>
      </c>
      <c r="AK263" s="71">
        <f t="shared" si="100"/>
        <v>0</v>
      </c>
      <c r="AL263" s="17">
        <v>2</v>
      </c>
      <c r="AM263" s="71">
        <f t="shared" si="101"/>
        <v>0.66666666666666663</v>
      </c>
      <c r="AN263" s="17">
        <v>1</v>
      </c>
      <c r="AO263" s="71">
        <f t="shared" si="102"/>
        <v>0.33333333333333331</v>
      </c>
      <c r="AP263" s="17">
        <v>2</v>
      </c>
      <c r="AQ263" s="71">
        <f t="shared" si="103"/>
        <v>0.66666666666666663</v>
      </c>
      <c r="AR263" s="57">
        <v>2</v>
      </c>
      <c r="AS263" s="17">
        <v>3</v>
      </c>
      <c r="AT263" s="71">
        <f t="shared" si="104"/>
        <v>1</v>
      </c>
      <c r="AU263" s="17">
        <v>3</v>
      </c>
      <c r="AV263" s="71">
        <f t="shared" si="105"/>
        <v>1</v>
      </c>
      <c r="AW263" s="17">
        <v>0</v>
      </c>
      <c r="AX263" s="71">
        <f t="shared" si="106"/>
        <v>0</v>
      </c>
      <c r="AY263" s="17">
        <v>3</v>
      </c>
      <c r="AZ263" s="71">
        <f t="shared" si="107"/>
        <v>1</v>
      </c>
      <c r="BA263" s="73">
        <v>1</v>
      </c>
      <c r="BB263" s="78">
        <v>1</v>
      </c>
      <c r="BC263" s="78">
        <v>0</v>
      </c>
      <c r="BD263" s="78">
        <v>0</v>
      </c>
      <c r="BE263" s="81">
        <f t="shared" si="108"/>
        <v>0.73583333333333334</v>
      </c>
      <c r="BF263" s="81" t="str">
        <f t="shared" si="109"/>
        <v>ALTO</v>
      </c>
    </row>
    <row r="264" spans="1:58" x14ac:dyDescent="0.15">
      <c r="A264" s="57">
        <v>4</v>
      </c>
      <c r="B264" s="61">
        <v>1</v>
      </c>
      <c r="C264" s="57">
        <v>1</v>
      </c>
      <c r="D264" s="57">
        <v>0</v>
      </c>
      <c r="E264" s="61">
        <v>1</v>
      </c>
      <c r="F264" s="17">
        <v>2</v>
      </c>
      <c r="G264" s="64">
        <f t="shared" si="88"/>
        <v>1</v>
      </c>
      <c r="H264" s="17">
        <v>2</v>
      </c>
      <c r="I264" s="64">
        <f t="shared" si="89"/>
        <v>1</v>
      </c>
      <c r="J264" s="17">
        <v>0</v>
      </c>
      <c r="K264" s="64">
        <f t="shared" si="90"/>
        <v>0</v>
      </c>
      <c r="L264" s="17">
        <v>2</v>
      </c>
      <c r="M264" s="64">
        <f t="shared" si="91"/>
        <v>0.66666666666666663</v>
      </c>
      <c r="N264" s="17">
        <v>2</v>
      </c>
      <c r="O264" s="64">
        <f t="shared" si="92"/>
        <v>0.4</v>
      </c>
      <c r="P264" s="17">
        <v>3</v>
      </c>
      <c r="Q264" s="64">
        <f t="shared" si="93"/>
        <v>1</v>
      </c>
      <c r="R264" s="25">
        <v>3</v>
      </c>
      <c r="S264" s="71">
        <f t="shared" si="94"/>
        <v>1</v>
      </c>
      <c r="T264" s="17">
        <v>2</v>
      </c>
      <c r="U264" s="64">
        <f t="shared" si="95"/>
        <v>0.66666666666666663</v>
      </c>
      <c r="V264" s="17">
        <v>4</v>
      </c>
      <c r="W264" s="71">
        <f t="shared" si="96"/>
        <v>1</v>
      </c>
      <c r="X264" s="17">
        <v>3</v>
      </c>
      <c r="Y264" s="71">
        <f t="shared" si="97"/>
        <v>1</v>
      </c>
      <c r="Z264" s="17">
        <v>3</v>
      </c>
      <c r="AA264" s="71">
        <f t="shared" si="98"/>
        <v>1</v>
      </c>
      <c r="AB264" s="17">
        <v>0</v>
      </c>
      <c r="AC264" s="71">
        <f t="shared" si="99"/>
        <v>0</v>
      </c>
      <c r="AD264" s="57">
        <v>1</v>
      </c>
      <c r="AE264" s="57">
        <v>0</v>
      </c>
      <c r="AF264" s="57">
        <v>1</v>
      </c>
      <c r="AG264" s="57">
        <v>0</v>
      </c>
      <c r="AH264" s="57">
        <v>0</v>
      </c>
      <c r="AI264" s="57">
        <v>0</v>
      </c>
      <c r="AJ264" s="46">
        <v>2</v>
      </c>
      <c r="AK264" s="71">
        <f t="shared" si="100"/>
        <v>1</v>
      </c>
      <c r="AL264" s="17">
        <v>2</v>
      </c>
      <c r="AM264" s="71">
        <f t="shared" si="101"/>
        <v>0.66666666666666663</v>
      </c>
      <c r="AN264" s="17">
        <v>0</v>
      </c>
      <c r="AO264" s="71">
        <f t="shared" si="102"/>
        <v>0</v>
      </c>
      <c r="AP264" s="17">
        <v>3</v>
      </c>
      <c r="AQ264" s="71">
        <f t="shared" si="103"/>
        <v>1</v>
      </c>
      <c r="AR264" s="57">
        <v>2</v>
      </c>
      <c r="AS264" s="17">
        <v>2</v>
      </c>
      <c r="AT264" s="71">
        <f t="shared" si="104"/>
        <v>0.66666666666666663</v>
      </c>
      <c r="AU264" s="17">
        <v>3</v>
      </c>
      <c r="AV264" s="71">
        <f t="shared" si="105"/>
        <v>1</v>
      </c>
      <c r="AW264" s="17">
        <v>0</v>
      </c>
      <c r="AX264" s="71">
        <f t="shared" si="106"/>
        <v>0</v>
      </c>
      <c r="AY264" s="17">
        <v>3</v>
      </c>
      <c r="AZ264" s="71">
        <f t="shared" si="107"/>
        <v>1</v>
      </c>
      <c r="BA264" s="73">
        <v>1</v>
      </c>
      <c r="BB264" s="78">
        <v>1</v>
      </c>
      <c r="BC264" s="78">
        <v>1</v>
      </c>
      <c r="BD264" s="78">
        <v>0</v>
      </c>
      <c r="BE264" s="81">
        <f t="shared" si="108"/>
        <v>0.7533333333333333</v>
      </c>
      <c r="BF264" s="81" t="str">
        <f t="shared" si="109"/>
        <v>ALTO</v>
      </c>
    </row>
    <row r="265" spans="1:58" x14ac:dyDescent="0.15">
      <c r="A265" s="57">
        <v>4</v>
      </c>
      <c r="B265" s="61">
        <v>1</v>
      </c>
      <c r="C265" s="57">
        <v>1</v>
      </c>
      <c r="D265" s="57">
        <v>0</v>
      </c>
      <c r="E265" s="61">
        <v>1</v>
      </c>
      <c r="F265" s="17">
        <v>1</v>
      </c>
      <c r="G265" s="64">
        <f t="shared" si="88"/>
        <v>0.5</v>
      </c>
      <c r="H265" s="17">
        <v>1</v>
      </c>
      <c r="I265" s="64">
        <f t="shared" si="89"/>
        <v>0.5</v>
      </c>
      <c r="J265" s="17">
        <v>1</v>
      </c>
      <c r="K265" s="64">
        <f t="shared" si="90"/>
        <v>0.5</v>
      </c>
      <c r="L265" s="17">
        <v>2</v>
      </c>
      <c r="M265" s="64">
        <f t="shared" si="91"/>
        <v>0.66666666666666663</v>
      </c>
      <c r="N265" s="17">
        <v>2</v>
      </c>
      <c r="O265" s="64">
        <f t="shared" si="92"/>
        <v>0.4</v>
      </c>
      <c r="P265" s="17">
        <v>3</v>
      </c>
      <c r="Q265" s="64">
        <f t="shared" si="93"/>
        <v>1</v>
      </c>
      <c r="R265" s="25">
        <v>0</v>
      </c>
      <c r="S265" s="71">
        <f t="shared" si="94"/>
        <v>0</v>
      </c>
      <c r="T265" s="17">
        <v>3</v>
      </c>
      <c r="U265" s="64">
        <f t="shared" si="95"/>
        <v>1</v>
      </c>
      <c r="V265" s="17">
        <v>4</v>
      </c>
      <c r="W265" s="71">
        <f t="shared" si="96"/>
        <v>1</v>
      </c>
      <c r="X265" s="17">
        <v>2</v>
      </c>
      <c r="Y265" s="71">
        <f t="shared" si="97"/>
        <v>0.66666666666666663</v>
      </c>
      <c r="Z265" s="17">
        <v>3</v>
      </c>
      <c r="AA265" s="71">
        <f t="shared" si="98"/>
        <v>1</v>
      </c>
      <c r="AB265" s="17">
        <v>0</v>
      </c>
      <c r="AC265" s="71">
        <f t="shared" si="99"/>
        <v>0</v>
      </c>
      <c r="AD265" s="57"/>
      <c r="AE265" s="57">
        <v>1</v>
      </c>
      <c r="AF265" s="57">
        <v>1</v>
      </c>
      <c r="AG265" s="57">
        <v>0</v>
      </c>
      <c r="AH265" s="57">
        <v>0</v>
      </c>
      <c r="AI265" s="57">
        <v>0</v>
      </c>
      <c r="AJ265" s="45">
        <v>2</v>
      </c>
      <c r="AK265" s="71">
        <f t="shared" si="100"/>
        <v>1</v>
      </c>
      <c r="AL265" s="17">
        <v>2</v>
      </c>
      <c r="AM265" s="71">
        <f t="shared" si="101"/>
        <v>0.66666666666666663</v>
      </c>
      <c r="AN265" s="17">
        <v>1</v>
      </c>
      <c r="AO265" s="71">
        <f t="shared" si="102"/>
        <v>0.33333333333333331</v>
      </c>
      <c r="AP265" s="17">
        <v>2</v>
      </c>
      <c r="AQ265" s="71">
        <f t="shared" si="103"/>
        <v>0.66666666666666663</v>
      </c>
      <c r="AR265" s="57">
        <v>2</v>
      </c>
      <c r="AS265" s="17">
        <v>2</v>
      </c>
      <c r="AT265" s="71">
        <f t="shared" si="104"/>
        <v>0.66666666666666663</v>
      </c>
      <c r="AU265" s="17">
        <v>3</v>
      </c>
      <c r="AV265" s="71">
        <f t="shared" si="105"/>
        <v>1</v>
      </c>
      <c r="AW265" s="17">
        <v>1</v>
      </c>
      <c r="AX265" s="71">
        <f t="shared" si="106"/>
        <v>0.5</v>
      </c>
      <c r="AY265" s="17">
        <v>3</v>
      </c>
      <c r="AZ265" s="71">
        <f t="shared" si="107"/>
        <v>1</v>
      </c>
      <c r="BA265" s="73">
        <v>0</v>
      </c>
      <c r="BB265" s="78">
        <v>1</v>
      </c>
      <c r="BC265" s="78">
        <v>1</v>
      </c>
      <c r="BD265" s="78">
        <v>0</v>
      </c>
      <c r="BE265" s="81">
        <f t="shared" si="108"/>
        <v>0.67833333333333334</v>
      </c>
      <c r="BF265" s="81" t="str">
        <f t="shared" si="109"/>
        <v>ALTO</v>
      </c>
    </row>
    <row r="266" spans="1:58" x14ac:dyDescent="0.15">
      <c r="A266" s="57">
        <v>5</v>
      </c>
      <c r="B266" s="58">
        <v>2</v>
      </c>
      <c r="C266" s="57">
        <v>3</v>
      </c>
      <c r="D266" s="57">
        <v>0</v>
      </c>
      <c r="E266" s="61">
        <v>1</v>
      </c>
      <c r="F266" s="17">
        <v>0</v>
      </c>
      <c r="G266" s="64">
        <f t="shared" si="88"/>
        <v>0</v>
      </c>
      <c r="H266" s="17">
        <v>0</v>
      </c>
      <c r="I266" s="64">
        <f t="shared" si="89"/>
        <v>0</v>
      </c>
      <c r="J266" s="17">
        <v>1</v>
      </c>
      <c r="K266" s="64">
        <f t="shared" si="90"/>
        <v>0.5</v>
      </c>
      <c r="L266" s="17">
        <v>3</v>
      </c>
      <c r="M266" s="64">
        <f t="shared" si="91"/>
        <v>1</v>
      </c>
      <c r="N266" s="17">
        <v>5</v>
      </c>
      <c r="O266" s="64">
        <f t="shared" si="92"/>
        <v>1</v>
      </c>
      <c r="P266" s="17">
        <v>0</v>
      </c>
      <c r="Q266" s="64">
        <f t="shared" si="93"/>
        <v>0</v>
      </c>
      <c r="R266" s="25">
        <v>3</v>
      </c>
      <c r="S266" s="71">
        <f t="shared" si="94"/>
        <v>1</v>
      </c>
      <c r="T266" s="17">
        <v>2</v>
      </c>
      <c r="U266" s="64">
        <f t="shared" si="95"/>
        <v>0.66666666666666663</v>
      </c>
      <c r="V266" s="17">
        <v>3</v>
      </c>
      <c r="W266" s="71">
        <f t="shared" si="96"/>
        <v>0.75</v>
      </c>
      <c r="X266" s="17">
        <v>3</v>
      </c>
      <c r="Y266" s="71">
        <f t="shared" si="97"/>
        <v>1</v>
      </c>
      <c r="Z266" s="17">
        <v>1</v>
      </c>
      <c r="AA266" s="71">
        <f t="shared" si="98"/>
        <v>0.33333333333333331</v>
      </c>
      <c r="AB266" s="17">
        <v>0</v>
      </c>
      <c r="AC266" s="71">
        <f t="shared" si="99"/>
        <v>0</v>
      </c>
      <c r="AD266" s="57">
        <v>1</v>
      </c>
      <c r="AE266" s="57">
        <v>0</v>
      </c>
      <c r="AF266" s="57">
        <v>1</v>
      </c>
      <c r="AG266" s="57">
        <v>0</v>
      </c>
      <c r="AH266" s="57">
        <v>0</v>
      </c>
      <c r="AI266" s="57">
        <v>0</v>
      </c>
      <c r="AJ266" s="45">
        <v>0</v>
      </c>
      <c r="AK266" s="71">
        <f t="shared" si="100"/>
        <v>0</v>
      </c>
      <c r="AL266" s="17">
        <v>2</v>
      </c>
      <c r="AM266" s="71">
        <f t="shared" si="101"/>
        <v>0.66666666666666663</v>
      </c>
      <c r="AN266" s="17">
        <v>0</v>
      </c>
      <c r="AO266" s="71">
        <f t="shared" si="102"/>
        <v>0</v>
      </c>
      <c r="AP266" s="17">
        <v>0</v>
      </c>
      <c r="AQ266" s="71">
        <f t="shared" si="103"/>
        <v>0</v>
      </c>
      <c r="AR266" s="57">
        <v>1</v>
      </c>
      <c r="AS266" s="17">
        <v>0</v>
      </c>
      <c r="AT266" s="71">
        <f t="shared" si="104"/>
        <v>0</v>
      </c>
      <c r="AU266" s="17">
        <v>0</v>
      </c>
      <c r="AV266" s="71">
        <f t="shared" si="105"/>
        <v>0</v>
      </c>
      <c r="AW266" s="17">
        <v>1</v>
      </c>
      <c r="AX266" s="71">
        <f t="shared" si="106"/>
        <v>0.5</v>
      </c>
      <c r="AY266" s="17">
        <v>2</v>
      </c>
      <c r="AZ266" s="71">
        <f t="shared" si="107"/>
        <v>0.66666666666666663</v>
      </c>
      <c r="BA266" s="73">
        <v>0</v>
      </c>
      <c r="BB266" s="78">
        <v>0</v>
      </c>
      <c r="BC266" s="78">
        <v>0</v>
      </c>
      <c r="BD266" s="78">
        <v>1</v>
      </c>
      <c r="BE266" s="81">
        <f t="shared" si="108"/>
        <v>0.40416666666666667</v>
      </c>
      <c r="BF266" s="81" t="str">
        <f t="shared" si="109"/>
        <v>MEDIO</v>
      </c>
    </row>
    <row r="267" spans="1:58" x14ac:dyDescent="0.15">
      <c r="A267" s="57">
        <v>3</v>
      </c>
      <c r="B267" s="61">
        <v>1</v>
      </c>
      <c r="C267" s="57">
        <v>3</v>
      </c>
      <c r="D267" s="57">
        <v>1</v>
      </c>
      <c r="E267" s="61">
        <v>1</v>
      </c>
      <c r="F267" s="17">
        <v>2</v>
      </c>
      <c r="G267" s="64">
        <f t="shared" si="88"/>
        <v>1</v>
      </c>
      <c r="H267" s="17">
        <v>2</v>
      </c>
      <c r="I267" s="64">
        <f t="shared" si="89"/>
        <v>1</v>
      </c>
      <c r="J267" s="17">
        <v>2</v>
      </c>
      <c r="K267" s="64">
        <f t="shared" si="90"/>
        <v>1</v>
      </c>
      <c r="L267" s="17">
        <v>3</v>
      </c>
      <c r="M267" s="64">
        <f t="shared" si="91"/>
        <v>1</v>
      </c>
      <c r="N267" s="17">
        <v>4</v>
      </c>
      <c r="O267" s="64">
        <f t="shared" si="92"/>
        <v>0.8</v>
      </c>
      <c r="P267" s="17">
        <v>3</v>
      </c>
      <c r="Q267" s="64">
        <f t="shared" si="93"/>
        <v>1</v>
      </c>
      <c r="R267" s="25">
        <v>3</v>
      </c>
      <c r="S267" s="71">
        <f t="shared" si="94"/>
        <v>1</v>
      </c>
      <c r="T267" s="17">
        <v>3</v>
      </c>
      <c r="U267" s="64">
        <f t="shared" si="95"/>
        <v>1</v>
      </c>
      <c r="V267" s="17">
        <v>3</v>
      </c>
      <c r="W267" s="71">
        <f t="shared" si="96"/>
        <v>0.75</v>
      </c>
      <c r="X267" s="17">
        <v>3</v>
      </c>
      <c r="Y267" s="71">
        <f t="shared" si="97"/>
        <v>1</v>
      </c>
      <c r="Z267" s="17">
        <v>1</v>
      </c>
      <c r="AA267" s="71">
        <f t="shared" si="98"/>
        <v>0.33333333333333331</v>
      </c>
      <c r="AB267" s="17">
        <v>0</v>
      </c>
      <c r="AC267" s="71">
        <f t="shared" si="99"/>
        <v>0</v>
      </c>
      <c r="AD267" s="57">
        <v>1</v>
      </c>
      <c r="AE267" s="57">
        <v>0</v>
      </c>
      <c r="AF267" s="57">
        <v>1</v>
      </c>
      <c r="AG267" s="57">
        <v>0</v>
      </c>
      <c r="AH267" s="57">
        <v>0</v>
      </c>
      <c r="AI267" s="57">
        <v>0</v>
      </c>
      <c r="AJ267" s="46">
        <v>2</v>
      </c>
      <c r="AK267" s="71">
        <f t="shared" si="100"/>
        <v>1</v>
      </c>
      <c r="AL267" s="17">
        <v>2</v>
      </c>
      <c r="AM267" s="71">
        <f t="shared" si="101"/>
        <v>0.66666666666666663</v>
      </c>
      <c r="AN267" s="17">
        <v>2</v>
      </c>
      <c r="AO267" s="71">
        <f t="shared" si="102"/>
        <v>0.66666666666666663</v>
      </c>
      <c r="AP267" s="17">
        <v>3</v>
      </c>
      <c r="AQ267" s="71">
        <f t="shared" si="103"/>
        <v>1</v>
      </c>
      <c r="AR267" s="57">
        <v>2</v>
      </c>
      <c r="AS267" s="17">
        <v>3</v>
      </c>
      <c r="AT267" s="71">
        <f t="shared" si="104"/>
        <v>1</v>
      </c>
      <c r="AU267" s="17">
        <v>3</v>
      </c>
      <c r="AV267" s="71">
        <f t="shared" si="105"/>
        <v>1</v>
      </c>
      <c r="AW267" s="17">
        <v>1</v>
      </c>
      <c r="AX267" s="71">
        <f t="shared" si="106"/>
        <v>0.5</v>
      </c>
      <c r="AY267" s="17">
        <v>3</v>
      </c>
      <c r="AZ267" s="71">
        <f t="shared" si="107"/>
        <v>1</v>
      </c>
      <c r="BA267" s="73">
        <v>1</v>
      </c>
      <c r="BB267" s="78">
        <v>0</v>
      </c>
      <c r="BC267" s="78">
        <v>1</v>
      </c>
      <c r="BD267" s="78">
        <v>0</v>
      </c>
      <c r="BE267" s="81">
        <f t="shared" si="108"/>
        <v>0.88583333333333347</v>
      </c>
      <c r="BF267" s="81" t="str">
        <f t="shared" si="109"/>
        <v>ALTO</v>
      </c>
    </row>
    <row r="268" spans="1:58" x14ac:dyDescent="0.15">
      <c r="A268" s="57">
        <v>3</v>
      </c>
      <c r="B268" s="61">
        <v>1</v>
      </c>
      <c r="C268" s="57">
        <v>0</v>
      </c>
      <c r="D268" s="57">
        <v>1</v>
      </c>
      <c r="E268" s="61">
        <v>1</v>
      </c>
      <c r="F268" s="17">
        <v>2</v>
      </c>
      <c r="G268" s="64">
        <f t="shared" si="88"/>
        <v>1</v>
      </c>
      <c r="H268" s="17">
        <v>1</v>
      </c>
      <c r="I268" s="64">
        <f t="shared" si="89"/>
        <v>0.5</v>
      </c>
      <c r="J268" s="17">
        <v>0</v>
      </c>
      <c r="K268" s="64">
        <f t="shared" si="90"/>
        <v>0</v>
      </c>
      <c r="L268" s="17">
        <v>0</v>
      </c>
      <c r="M268" s="64">
        <f t="shared" si="91"/>
        <v>0</v>
      </c>
      <c r="N268" s="17">
        <v>4</v>
      </c>
      <c r="O268" s="64">
        <f t="shared" si="92"/>
        <v>0.8</v>
      </c>
      <c r="P268" s="17">
        <v>3</v>
      </c>
      <c r="Q268" s="64">
        <f t="shared" si="93"/>
        <v>1</v>
      </c>
      <c r="R268" s="25">
        <v>0</v>
      </c>
      <c r="S268" s="71">
        <f t="shared" si="94"/>
        <v>0</v>
      </c>
      <c r="T268" s="17">
        <v>2</v>
      </c>
      <c r="U268" s="64">
        <f t="shared" si="95"/>
        <v>0.66666666666666663</v>
      </c>
      <c r="V268" s="17">
        <v>4</v>
      </c>
      <c r="W268" s="71">
        <f t="shared" si="96"/>
        <v>1</v>
      </c>
      <c r="X268" s="17">
        <v>0</v>
      </c>
      <c r="Y268" s="71">
        <f t="shared" si="97"/>
        <v>0</v>
      </c>
      <c r="Z268" s="17">
        <v>1</v>
      </c>
      <c r="AA268" s="71">
        <f t="shared" si="98"/>
        <v>0.33333333333333331</v>
      </c>
      <c r="AB268" s="17">
        <v>3</v>
      </c>
      <c r="AC268" s="71">
        <f t="shared" si="99"/>
        <v>1.5</v>
      </c>
      <c r="AD268" s="57">
        <v>0</v>
      </c>
      <c r="AE268" s="57">
        <v>0</v>
      </c>
      <c r="AF268" s="57">
        <v>1</v>
      </c>
      <c r="AG268" s="57">
        <v>1</v>
      </c>
      <c r="AH268" s="57">
        <v>0</v>
      </c>
      <c r="AI268" s="57">
        <v>0</v>
      </c>
      <c r="AJ268" s="45">
        <v>1</v>
      </c>
      <c r="AK268" s="71">
        <f t="shared" si="100"/>
        <v>0.5</v>
      </c>
      <c r="AL268" s="17">
        <v>0</v>
      </c>
      <c r="AM268" s="71">
        <f t="shared" si="101"/>
        <v>0</v>
      </c>
      <c r="AN268" s="17">
        <v>0</v>
      </c>
      <c r="AO268" s="71">
        <f t="shared" si="102"/>
        <v>0</v>
      </c>
      <c r="AP268" s="17">
        <v>3</v>
      </c>
      <c r="AQ268" s="71">
        <f t="shared" si="103"/>
        <v>1</v>
      </c>
      <c r="AR268" s="57">
        <v>2</v>
      </c>
      <c r="AS268" s="17">
        <v>1</v>
      </c>
      <c r="AT268" s="71">
        <f t="shared" si="104"/>
        <v>0.33333333333333331</v>
      </c>
      <c r="AU268" s="17">
        <v>1</v>
      </c>
      <c r="AV268" s="71">
        <f t="shared" si="105"/>
        <v>0.33333333333333331</v>
      </c>
      <c r="AW268" s="17">
        <v>1</v>
      </c>
      <c r="AX268" s="71">
        <f t="shared" si="106"/>
        <v>0.5</v>
      </c>
      <c r="AY268" s="17">
        <v>2</v>
      </c>
      <c r="AZ268" s="71">
        <f t="shared" si="107"/>
        <v>0.66666666666666663</v>
      </c>
      <c r="BA268" s="73">
        <v>0</v>
      </c>
      <c r="BB268" s="78">
        <v>0</v>
      </c>
      <c r="BC268" s="78">
        <v>0</v>
      </c>
      <c r="BD268" s="78">
        <v>1</v>
      </c>
      <c r="BE268" s="81">
        <f t="shared" si="108"/>
        <v>0.55666666666666675</v>
      </c>
      <c r="BF268" s="81" t="str">
        <f t="shared" si="109"/>
        <v>MEDIO</v>
      </c>
    </row>
    <row r="269" spans="1:58" x14ac:dyDescent="0.15">
      <c r="A269" s="57">
        <v>5</v>
      </c>
      <c r="B269" s="58">
        <v>2</v>
      </c>
      <c r="C269" s="57">
        <v>4</v>
      </c>
      <c r="D269" s="57">
        <v>0</v>
      </c>
      <c r="E269" s="61">
        <v>1</v>
      </c>
      <c r="F269" s="17">
        <v>2</v>
      </c>
      <c r="G269" s="64">
        <f t="shared" si="88"/>
        <v>1</v>
      </c>
      <c r="H269" s="17">
        <v>0</v>
      </c>
      <c r="I269" s="64">
        <f t="shared" si="89"/>
        <v>0</v>
      </c>
      <c r="J269" s="17">
        <v>0</v>
      </c>
      <c r="K269" s="64">
        <f t="shared" si="90"/>
        <v>0</v>
      </c>
      <c r="L269" s="17">
        <v>0</v>
      </c>
      <c r="M269" s="64">
        <f t="shared" si="91"/>
        <v>0</v>
      </c>
      <c r="N269" s="17">
        <v>4</v>
      </c>
      <c r="O269" s="64">
        <f t="shared" si="92"/>
        <v>0.8</v>
      </c>
      <c r="P269" s="17">
        <v>0</v>
      </c>
      <c r="Q269" s="64">
        <f t="shared" si="93"/>
        <v>0</v>
      </c>
      <c r="R269" s="25">
        <v>2</v>
      </c>
      <c r="S269" s="71">
        <f t="shared" si="94"/>
        <v>0.66666666666666663</v>
      </c>
      <c r="T269" s="17">
        <v>0</v>
      </c>
      <c r="U269" s="64">
        <f t="shared" si="95"/>
        <v>0</v>
      </c>
      <c r="V269" s="17">
        <v>3</v>
      </c>
      <c r="W269" s="71">
        <f t="shared" si="96"/>
        <v>0.75</v>
      </c>
      <c r="X269" s="17">
        <v>2</v>
      </c>
      <c r="Y269" s="71">
        <f t="shared" si="97"/>
        <v>0.66666666666666663</v>
      </c>
      <c r="Z269" s="17">
        <v>1</v>
      </c>
      <c r="AA269" s="71">
        <f t="shared" si="98"/>
        <v>0.33333333333333331</v>
      </c>
      <c r="AB269" s="17">
        <v>3</v>
      </c>
      <c r="AC269" s="71">
        <f t="shared" si="99"/>
        <v>1.5</v>
      </c>
      <c r="AD269" s="57">
        <v>0</v>
      </c>
      <c r="AE269" s="57">
        <v>0</v>
      </c>
      <c r="AF269" s="57">
        <v>1</v>
      </c>
      <c r="AG269" s="57">
        <v>1</v>
      </c>
      <c r="AH269" s="57">
        <v>0</v>
      </c>
      <c r="AI269" s="57">
        <v>0</v>
      </c>
      <c r="AJ269" s="45">
        <v>1</v>
      </c>
      <c r="AK269" s="71">
        <f t="shared" si="100"/>
        <v>0.5</v>
      </c>
      <c r="AL269" s="17">
        <v>0</v>
      </c>
      <c r="AM269" s="71">
        <f t="shared" si="101"/>
        <v>0</v>
      </c>
      <c r="AN269" s="17">
        <v>0</v>
      </c>
      <c r="AO269" s="71">
        <f t="shared" si="102"/>
        <v>0</v>
      </c>
      <c r="AP269" s="17">
        <v>0</v>
      </c>
      <c r="AQ269" s="71">
        <f t="shared" si="103"/>
        <v>0</v>
      </c>
      <c r="AR269" s="57">
        <v>2</v>
      </c>
      <c r="AS269" s="17">
        <v>1</v>
      </c>
      <c r="AT269" s="71">
        <f t="shared" si="104"/>
        <v>0.33333333333333331</v>
      </c>
      <c r="AU269" s="17">
        <v>0</v>
      </c>
      <c r="AV269" s="71">
        <f t="shared" si="105"/>
        <v>0</v>
      </c>
      <c r="AW269" s="17">
        <v>0</v>
      </c>
      <c r="AX269" s="71">
        <f t="shared" si="106"/>
        <v>0</v>
      </c>
      <c r="AY269" s="17">
        <v>2</v>
      </c>
      <c r="AZ269" s="71">
        <f t="shared" si="107"/>
        <v>0.66666666666666663</v>
      </c>
      <c r="BA269" s="73">
        <v>0</v>
      </c>
      <c r="BB269" s="78">
        <v>0</v>
      </c>
      <c r="BC269" s="78">
        <v>0</v>
      </c>
      <c r="BD269" s="78">
        <v>1</v>
      </c>
      <c r="BE269" s="81">
        <f t="shared" si="108"/>
        <v>0.41083333333333333</v>
      </c>
      <c r="BF269" s="81" t="str">
        <f t="shared" si="109"/>
        <v>MEDIO</v>
      </c>
    </row>
    <row r="270" spans="1:58" x14ac:dyDescent="0.15">
      <c r="A270" s="57">
        <v>4</v>
      </c>
      <c r="B270" s="61">
        <v>1</v>
      </c>
      <c r="C270" s="57">
        <v>1</v>
      </c>
      <c r="D270" s="57">
        <v>0</v>
      </c>
      <c r="E270" s="61">
        <v>1</v>
      </c>
      <c r="F270" s="17">
        <v>1</v>
      </c>
      <c r="G270" s="64">
        <f t="shared" si="88"/>
        <v>0.5</v>
      </c>
      <c r="H270" s="17">
        <v>1</v>
      </c>
      <c r="I270" s="64">
        <f t="shared" si="89"/>
        <v>0.5</v>
      </c>
      <c r="J270" s="17">
        <v>1</v>
      </c>
      <c r="K270" s="64">
        <f t="shared" si="90"/>
        <v>0.5</v>
      </c>
      <c r="L270" s="17">
        <v>2</v>
      </c>
      <c r="M270" s="64">
        <f t="shared" si="91"/>
        <v>0.66666666666666663</v>
      </c>
      <c r="N270" s="17">
        <v>1</v>
      </c>
      <c r="O270" s="64">
        <f t="shared" si="92"/>
        <v>0.2</v>
      </c>
      <c r="P270" s="17">
        <v>0</v>
      </c>
      <c r="Q270" s="64">
        <f t="shared" si="93"/>
        <v>0</v>
      </c>
      <c r="R270" s="25">
        <v>0</v>
      </c>
      <c r="S270" s="71">
        <f t="shared" si="94"/>
        <v>0</v>
      </c>
      <c r="T270" s="17">
        <v>2</v>
      </c>
      <c r="U270" s="64">
        <f t="shared" si="95"/>
        <v>0.66666666666666663</v>
      </c>
      <c r="V270" s="17">
        <v>3</v>
      </c>
      <c r="W270" s="71">
        <f t="shared" si="96"/>
        <v>0.75</v>
      </c>
      <c r="X270" s="17">
        <v>2</v>
      </c>
      <c r="Y270" s="71">
        <f t="shared" si="97"/>
        <v>0.66666666666666663</v>
      </c>
      <c r="Z270" s="17">
        <v>1</v>
      </c>
      <c r="AA270" s="71">
        <f t="shared" si="98"/>
        <v>0.33333333333333331</v>
      </c>
      <c r="AB270" s="17">
        <v>2</v>
      </c>
      <c r="AC270" s="71">
        <f t="shared" si="99"/>
        <v>1</v>
      </c>
      <c r="AD270" s="57">
        <v>0</v>
      </c>
      <c r="AE270" s="57">
        <v>0</v>
      </c>
      <c r="AF270" s="57">
        <v>1</v>
      </c>
      <c r="AG270" s="57">
        <v>1</v>
      </c>
      <c r="AH270" s="57">
        <v>0</v>
      </c>
      <c r="AI270" s="57">
        <v>0</v>
      </c>
      <c r="AJ270" s="45">
        <v>1</v>
      </c>
      <c r="AK270" s="71">
        <f t="shared" si="100"/>
        <v>0.5</v>
      </c>
      <c r="AL270" s="17">
        <v>2</v>
      </c>
      <c r="AM270" s="71">
        <f t="shared" si="101"/>
        <v>0.66666666666666663</v>
      </c>
      <c r="AN270" s="17">
        <v>1</v>
      </c>
      <c r="AO270" s="71">
        <f t="shared" si="102"/>
        <v>0.33333333333333331</v>
      </c>
      <c r="AP270" s="17">
        <v>3</v>
      </c>
      <c r="AQ270" s="71">
        <f t="shared" si="103"/>
        <v>1</v>
      </c>
      <c r="AR270" s="57">
        <v>2</v>
      </c>
      <c r="AS270" s="17">
        <v>1</v>
      </c>
      <c r="AT270" s="71">
        <f t="shared" si="104"/>
        <v>0.33333333333333331</v>
      </c>
      <c r="AU270" s="17">
        <v>0</v>
      </c>
      <c r="AV270" s="71">
        <f t="shared" si="105"/>
        <v>0</v>
      </c>
      <c r="AW270" s="17">
        <v>2</v>
      </c>
      <c r="AX270" s="71">
        <f t="shared" si="106"/>
        <v>1</v>
      </c>
      <c r="AY270" s="17">
        <v>2</v>
      </c>
      <c r="AZ270" s="71">
        <f t="shared" si="107"/>
        <v>0.66666666666666663</v>
      </c>
      <c r="BA270" s="73">
        <v>0</v>
      </c>
      <c r="BB270" s="78">
        <v>0</v>
      </c>
      <c r="BC270" s="78">
        <v>0</v>
      </c>
      <c r="BD270" s="78">
        <v>1</v>
      </c>
      <c r="BE270" s="81">
        <f t="shared" si="108"/>
        <v>0.53916666666666668</v>
      </c>
      <c r="BF270" s="81" t="str">
        <f t="shared" si="109"/>
        <v>MEDIO</v>
      </c>
    </row>
    <row r="271" spans="1:58" x14ac:dyDescent="0.15">
      <c r="A271" s="57">
        <v>4</v>
      </c>
      <c r="B271" s="58">
        <v>2</v>
      </c>
      <c r="C271" s="57">
        <v>3</v>
      </c>
      <c r="D271" s="57">
        <v>2</v>
      </c>
      <c r="E271" s="61">
        <v>1</v>
      </c>
      <c r="F271" s="17">
        <v>2</v>
      </c>
      <c r="G271" s="64">
        <f t="shared" si="88"/>
        <v>1</v>
      </c>
      <c r="H271" s="17">
        <v>2</v>
      </c>
      <c r="I271" s="64">
        <f t="shared" si="89"/>
        <v>1</v>
      </c>
      <c r="J271" s="17">
        <v>2</v>
      </c>
      <c r="K271" s="64">
        <f t="shared" si="90"/>
        <v>1</v>
      </c>
      <c r="L271" s="17">
        <v>3</v>
      </c>
      <c r="M271" s="64">
        <f t="shared" si="91"/>
        <v>1</v>
      </c>
      <c r="N271" s="17">
        <v>2</v>
      </c>
      <c r="O271" s="64">
        <f t="shared" si="92"/>
        <v>0.4</v>
      </c>
      <c r="P271" s="17">
        <v>3</v>
      </c>
      <c r="Q271" s="64">
        <f t="shared" si="93"/>
        <v>1</v>
      </c>
      <c r="R271" s="25">
        <v>2</v>
      </c>
      <c r="S271" s="71">
        <f t="shared" si="94"/>
        <v>0.66666666666666663</v>
      </c>
      <c r="T271" s="17">
        <v>3</v>
      </c>
      <c r="U271" s="64">
        <f t="shared" si="95"/>
        <v>1</v>
      </c>
      <c r="V271" s="17">
        <v>0</v>
      </c>
      <c r="W271" s="71">
        <f t="shared" si="96"/>
        <v>0</v>
      </c>
      <c r="X271" s="17">
        <v>3</v>
      </c>
      <c r="Y271" s="71">
        <f t="shared" si="97"/>
        <v>1</v>
      </c>
      <c r="Z271" s="17">
        <v>3</v>
      </c>
      <c r="AA271" s="71">
        <f t="shared" si="98"/>
        <v>1</v>
      </c>
      <c r="AB271" s="17">
        <v>1</v>
      </c>
      <c r="AC271" s="71">
        <f t="shared" si="99"/>
        <v>0.5</v>
      </c>
      <c r="AD271" s="57">
        <v>1</v>
      </c>
      <c r="AE271" s="57">
        <v>0</v>
      </c>
      <c r="AF271" s="57">
        <v>1</v>
      </c>
      <c r="AG271" s="57">
        <v>0</v>
      </c>
      <c r="AH271" s="57">
        <v>0</v>
      </c>
      <c r="AI271" s="57">
        <v>0</v>
      </c>
      <c r="AJ271" s="45">
        <v>2</v>
      </c>
      <c r="AK271" s="71">
        <f t="shared" si="100"/>
        <v>1</v>
      </c>
      <c r="AL271" s="17">
        <v>1</v>
      </c>
      <c r="AM271" s="71">
        <f t="shared" si="101"/>
        <v>0.33333333333333331</v>
      </c>
      <c r="AN271" s="17">
        <v>1</v>
      </c>
      <c r="AO271" s="71">
        <f t="shared" si="102"/>
        <v>0.33333333333333331</v>
      </c>
      <c r="AP271" s="17">
        <v>3</v>
      </c>
      <c r="AQ271" s="71">
        <f t="shared" si="103"/>
        <v>1</v>
      </c>
      <c r="AR271" s="57">
        <v>2</v>
      </c>
      <c r="AS271" s="17">
        <v>2</v>
      </c>
      <c r="AT271" s="71">
        <f t="shared" si="104"/>
        <v>0.66666666666666663</v>
      </c>
      <c r="AU271" s="17">
        <v>3</v>
      </c>
      <c r="AV271" s="71">
        <f t="shared" si="105"/>
        <v>1</v>
      </c>
      <c r="AW271" s="17">
        <v>0</v>
      </c>
      <c r="AX271" s="71">
        <f t="shared" si="106"/>
        <v>0</v>
      </c>
      <c r="AY271" s="17">
        <v>1</v>
      </c>
      <c r="AZ271" s="71">
        <f t="shared" si="107"/>
        <v>0.33333333333333331</v>
      </c>
      <c r="BA271" s="73">
        <v>0</v>
      </c>
      <c r="BB271" s="78">
        <v>1</v>
      </c>
      <c r="BC271" s="78">
        <v>1</v>
      </c>
      <c r="BD271" s="78">
        <v>0</v>
      </c>
      <c r="BE271" s="81">
        <f t="shared" si="108"/>
        <v>0.76166666666666671</v>
      </c>
      <c r="BF271" s="81" t="str">
        <f t="shared" si="109"/>
        <v>ALTO</v>
      </c>
    </row>
    <row r="272" spans="1:58" x14ac:dyDescent="0.15">
      <c r="A272" s="57">
        <v>4</v>
      </c>
      <c r="B272" s="61">
        <v>1</v>
      </c>
      <c r="C272" s="57">
        <v>3</v>
      </c>
      <c r="D272" s="57">
        <v>0</v>
      </c>
      <c r="E272" s="61">
        <v>1</v>
      </c>
      <c r="F272" s="17">
        <v>2</v>
      </c>
      <c r="G272" s="64">
        <f t="shared" si="88"/>
        <v>1</v>
      </c>
      <c r="H272" s="17">
        <v>2</v>
      </c>
      <c r="I272" s="64">
        <f t="shared" si="89"/>
        <v>1</v>
      </c>
      <c r="J272" s="17">
        <v>2</v>
      </c>
      <c r="K272" s="64">
        <f t="shared" si="90"/>
        <v>1</v>
      </c>
      <c r="L272" s="17">
        <v>3</v>
      </c>
      <c r="M272" s="64">
        <f t="shared" si="91"/>
        <v>1</v>
      </c>
      <c r="N272" s="17">
        <v>0</v>
      </c>
      <c r="O272" s="64">
        <f t="shared" si="92"/>
        <v>0</v>
      </c>
      <c r="P272" s="17">
        <v>2</v>
      </c>
      <c r="Q272" s="64">
        <f t="shared" si="93"/>
        <v>0.66666666666666663</v>
      </c>
      <c r="R272" s="25">
        <v>3</v>
      </c>
      <c r="S272" s="71">
        <f t="shared" si="94"/>
        <v>1</v>
      </c>
      <c r="T272" s="17">
        <v>3</v>
      </c>
      <c r="U272" s="64">
        <f t="shared" si="95"/>
        <v>1</v>
      </c>
      <c r="V272" s="17">
        <v>3</v>
      </c>
      <c r="W272" s="71">
        <f t="shared" si="96"/>
        <v>0.75</v>
      </c>
      <c r="X272" s="17">
        <v>3</v>
      </c>
      <c r="Y272" s="71">
        <f t="shared" si="97"/>
        <v>1</v>
      </c>
      <c r="Z272" s="17">
        <v>3</v>
      </c>
      <c r="AA272" s="71">
        <f t="shared" si="98"/>
        <v>1</v>
      </c>
      <c r="AB272" s="17">
        <v>2</v>
      </c>
      <c r="AC272" s="71">
        <f t="shared" si="99"/>
        <v>1</v>
      </c>
      <c r="AD272" s="57">
        <v>1</v>
      </c>
      <c r="AE272" s="57">
        <v>1</v>
      </c>
      <c r="AF272" s="57">
        <v>0</v>
      </c>
      <c r="AG272" s="57">
        <v>0</v>
      </c>
      <c r="AH272" s="57">
        <v>0</v>
      </c>
      <c r="AI272" s="57">
        <v>0</v>
      </c>
      <c r="AJ272" s="45">
        <v>2</v>
      </c>
      <c r="AK272" s="71">
        <f t="shared" si="100"/>
        <v>1</v>
      </c>
      <c r="AL272" s="17">
        <v>0</v>
      </c>
      <c r="AM272" s="71">
        <f t="shared" si="101"/>
        <v>0</v>
      </c>
      <c r="AN272" s="17">
        <v>2</v>
      </c>
      <c r="AO272" s="71">
        <f t="shared" si="102"/>
        <v>0.66666666666666663</v>
      </c>
      <c r="AP272" s="17">
        <v>3</v>
      </c>
      <c r="AQ272" s="71">
        <f t="shared" si="103"/>
        <v>1</v>
      </c>
      <c r="AR272" s="57">
        <v>1</v>
      </c>
      <c r="AS272" s="17">
        <v>2</v>
      </c>
      <c r="AT272" s="71">
        <f t="shared" si="104"/>
        <v>0.66666666666666663</v>
      </c>
      <c r="AU272" s="17">
        <v>0</v>
      </c>
      <c r="AV272" s="71">
        <f t="shared" si="105"/>
        <v>0</v>
      </c>
      <c r="AW272" s="17">
        <v>0</v>
      </c>
      <c r="AX272" s="71">
        <f t="shared" si="106"/>
        <v>0</v>
      </c>
      <c r="AY272" s="17">
        <v>3</v>
      </c>
      <c r="AZ272" s="71">
        <f t="shared" si="107"/>
        <v>1</v>
      </c>
      <c r="BA272" s="73">
        <v>1</v>
      </c>
      <c r="BB272" s="78">
        <v>0</v>
      </c>
      <c r="BC272" s="78">
        <v>0</v>
      </c>
      <c r="BD272" s="78">
        <v>0</v>
      </c>
      <c r="BE272" s="81">
        <f t="shared" si="108"/>
        <v>0.78749999999999998</v>
      </c>
      <c r="BF272" s="81" t="str">
        <f t="shared" si="109"/>
        <v>ALTO</v>
      </c>
    </row>
    <row r="273" spans="1:58" x14ac:dyDescent="0.15">
      <c r="A273" s="57">
        <v>5</v>
      </c>
      <c r="B273" s="61">
        <v>1</v>
      </c>
      <c r="C273" s="57">
        <v>3</v>
      </c>
      <c r="D273" s="57">
        <v>0</v>
      </c>
      <c r="E273" s="61">
        <v>1</v>
      </c>
      <c r="F273" s="17">
        <v>2</v>
      </c>
      <c r="G273" s="64">
        <f t="shared" si="88"/>
        <v>1</v>
      </c>
      <c r="H273" s="17">
        <v>2</v>
      </c>
      <c r="I273" s="64">
        <f t="shared" si="89"/>
        <v>1</v>
      </c>
      <c r="J273" s="17">
        <v>2</v>
      </c>
      <c r="K273" s="64">
        <f t="shared" si="90"/>
        <v>1</v>
      </c>
      <c r="L273" s="17">
        <v>3</v>
      </c>
      <c r="M273" s="64">
        <f t="shared" si="91"/>
        <v>1</v>
      </c>
      <c r="N273" s="17">
        <v>0</v>
      </c>
      <c r="O273" s="64">
        <f t="shared" si="92"/>
        <v>0</v>
      </c>
      <c r="P273" s="17">
        <v>2</v>
      </c>
      <c r="Q273" s="64">
        <f t="shared" si="93"/>
        <v>0.66666666666666663</v>
      </c>
      <c r="R273" s="25">
        <v>3</v>
      </c>
      <c r="S273" s="71">
        <f t="shared" si="94"/>
        <v>1</v>
      </c>
      <c r="T273" s="17">
        <v>3</v>
      </c>
      <c r="U273" s="64">
        <f t="shared" si="95"/>
        <v>1</v>
      </c>
      <c r="V273" s="17">
        <v>2</v>
      </c>
      <c r="W273" s="71">
        <f t="shared" si="96"/>
        <v>0.5</v>
      </c>
      <c r="X273" s="17">
        <v>3</v>
      </c>
      <c r="Y273" s="71">
        <f t="shared" si="97"/>
        <v>1</v>
      </c>
      <c r="Z273" s="17">
        <v>3</v>
      </c>
      <c r="AA273" s="71">
        <f t="shared" si="98"/>
        <v>1</v>
      </c>
      <c r="AB273" s="17">
        <v>0</v>
      </c>
      <c r="AC273" s="71">
        <f t="shared" si="99"/>
        <v>0</v>
      </c>
      <c r="AD273" s="57">
        <v>1</v>
      </c>
      <c r="AE273" s="57">
        <v>0</v>
      </c>
      <c r="AF273" s="57">
        <v>1</v>
      </c>
      <c r="AG273" s="57">
        <v>0</v>
      </c>
      <c r="AH273" s="57">
        <v>0</v>
      </c>
      <c r="AI273" s="57">
        <v>0</v>
      </c>
      <c r="AJ273" s="45">
        <v>2</v>
      </c>
      <c r="AK273" s="71">
        <f t="shared" si="100"/>
        <v>1</v>
      </c>
      <c r="AL273" s="17">
        <v>2</v>
      </c>
      <c r="AM273" s="71">
        <f t="shared" si="101"/>
        <v>0.66666666666666663</v>
      </c>
      <c r="AN273" s="17">
        <v>2</v>
      </c>
      <c r="AO273" s="71">
        <f t="shared" si="102"/>
        <v>0.66666666666666663</v>
      </c>
      <c r="AP273" s="17">
        <v>3</v>
      </c>
      <c r="AQ273" s="71">
        <f t="shared" si="103"/>
        <v>1</v>
      </c>
      <c r="AR273" s="57">
        <v>2</v>
      </c>
      <c r="AS273" s="17">
        <v>3</v>
      </c>
      <c r="AT273" s="71">
        <f t="shared" si="104"/>
        <v>1</v>
      </c>
      <c r="AU273" s="17">
        <v>3</v>
      </c>
      <c r="AV273" s="71">
        <f t="shared" si="105"/>
        <v>1</v>
      </c>
      <c r="AW273" s="17">
        <v>1</v>
      </c>
      <c r="AX273" s="71">
        <f t="shared" si="106"/>
        <v>0.5</v>
      </c>
      <c r="AY273" s="17">
        <v>3</v>
      </c>
      <c r="AZ273" s="71">
        <f t="shared" si="107"/>
        <v>1</v>
      </c>
      <c r="BA273" s="73">
        <v>1</v>
      </c>
      <c r="BB273" s="78">
        <v>1</v>
      </c>
      <c r="BC273" s="78">
        <v>0</v>
      </c>
      <c r="BD273" s="78">
        <v>0</v>
      </c>
      <c r="BE273" s="81">
        <f t="shared" si="108"/>
        <v>0.85</v>
      </c>
      <c r="BF273" s="81" t="str">
        <f t="shared" si="109"/>
        <v>ALTO</v>
      </c>
    </row>
    <row r="274" spans="1:58" x14ac:dyDescent="0.15">
      <c r="A274" s="57">
        <v>4</v>
      </c>
      <c r="B274" s="61">
        <v>1</v>
      </c>
      <c r="C274" s="57">
        <v>3</v>
      </c>
      <c r="D274" s="57">
        <v>0</v>
      </c>
      <c r="E274" s="61">
        <v>1</v>
      </c>
      <c r="F274" s="17">
        <v>2</v>
      </c>
      <c r="G274" s="64">
        <f t="shared" si="88"/>
        <v>1</v>
      </c>
      <c r="H274" s="17">
        <v>2</v>
      </c>
      <c r="I274" s="64">
        <f t="shared" si="89"/>
        <v>1</v>
      </c>
      <c r="J274" s="17">
        <v>2</v>
      </c>
      <c r="K274" s="64">
        <f t="shared" si="90"/>
        <v>1</v>
      </c>
      <c r="L274" s="17">
        <v>2</v>
      </c>
      <c r="M274" s="64">
        <f t="shared" si="91"/>
        <v>0.66666666666666663</v>
      </c>
      <c r="N274" s="17">
        <v>4</v>
      </c>
      <c r="O274" s="64">
        <f t="shared" si="92"/>
        <v>0.8</v>
      </c>
      <c r="P274" s="17">
        <v>3</v>
      </c>
      <c r="Q274" s="64">
        <f t="shared" si="93"/>
        <v>1</v>
      </c>
      <c r="R274" s="25">
        <v>3</v>
      </c>
      <c r="S274" s="71">
        <f t="shared" si="94"/>
        <v>1</v>
      </c>
      <c r="T274" s="17">
        <v>3</v>
      </c>
      <c r="U274" s="64">
        <f t="shared" si="95"/>
        <v>1</v>
      </c>
      <c r="V274" s="17">
        <v>4</v>
      </c>
      <c r="W274" s="71">
        <f t="shared" si="96"/>
        <v>1</v>
      </c>
      <c r="X274" s="17">
        <v>3</v>
      </c>
      <c r="Y274" s="71">
        <f t="shared" si="97"/>
        <v>1</v>
      </c>
      <c r="Z274" s="17">
        <v>3</v>
      </c>
      <c r="AA274" s="71">
        <f t="shared" si="98"/>
        <v>1</v>
      </c>
      <c r="AB274" s="17">
        <v>0</v>
      </c>
      <c r="AC274" s="71">
        <f t="shared" si="99"/>
        <v>0</v>
      </c>
      <c r="AD274" s="57">
        <v>1</v>
      </c>
      <c r="AE274" s="57">
        <v>0</v>
      </c>
      <c r="AF274" s="57">
        <v>1</v>
      </c>
      <c r="AG274" s="57">
        <v>0</v>
      </c>
      <c r="AH274" s="57">
        <v>0</v>
      </c>
      <c r="AI274" s="57">
        <v>0</v>
      </c>
      <c r="AJ274" s="45">
        <v>2</v>
      </c>
      <c r="AK274" s="71">
        <f t="shared" si="100"/>
        <v>1</v>
      </c>
      <c r="AL274" s="17">
        <v>2</v>
      </c>
      <c r="AM274" s="71">
        <f t="shared" si="101"/>
        <v>0.66666666666666663</v>
      </c>
      <c r="AN274" s="17">
        <v>2</v>
      </c>
      <c r="AO274" s="71">
        <f t="shared" si="102"/>
        <v>0.66666666666666663</v>
      </c>
      <c r="AP274" s="17">
        <v>3</v>
      </c>
      <c r="AQ274" s="71">
        <f t="shared" si="103"/>
        <v>1</v>
      </c>
      <c r="AR274" s="57">
        <v>0</v>
      </c>
      <c r="AS274" s="17">
        <v>3</v>
      </c>
      <c r="AT274" s="71">
        <f t="shared" si="104"/>
        <v>1</v>
      </c>
      <c r="AU274" s="17">
        <v>3</v>
      </c>
      <c r="AV274" s="71">
        <f t="shared" si="105"/>
        <v>1</v>
      </c>
      <c r="AW274" s="17">
        <v>1</v>
      </c>
      <c r="AX274" s="71">
        <f t="shared" si="106"/>
        <v>0.5</v>
      </c>
      <c r="AY274" s="17">
        <v>3</v>
      </c>
      <c r="AZ274" s="71">
        <f t="shared" si="107"/>
        <v>1</v>
      </c>
      <c r="BA274" s="73">
        <v>1</v>
      </c>
      <c r="BB274" s="78">
        <v>1</v>
      </c>
      <c r="BC274" s="78">
        <v>0</v>
      </c>
      <c r="BD274" s="78">
        <v>0</v>
      </c>
      <c r="BE274" s="81">
        <f t="shared" si="108"/>
        <v>0.91499999999999981</v>
      </c>
      <c r="BF274" s="81" t="str">
        <f t="shared" si="109"/>
        <v>ALTO</v>
      </c>
    </row>
    <row r="275" spans="1:58" x14ac:dyDescent="0.15">
      <c r="A275" s="57">
        <v>4</v>
      </c>
      <c r="B275" s="58">
        <v>2</v>
      </c>
      <c r="C275" s="57">
        <v>3</v>
      </c>
      <c r="D275" s="57">
        <v>0</v>
      </c>
      <c r="E275" s="61">
        <v>1</v>
      </c>
      <c r="F275" s="17">
        <v>2</v>
      </c>
      <c r="G275" s="64">
        <f t="shared" si="88"/>
        <v>1</v>
      </c>
      <c r="H275" s="17">
        <v>1</v>
      </c>
      <c r="I275" s="64">
        <f t="shared" si="89"/>
        <v>0.5</v>
      </c>
      <c r="J275" s="17">
        <v>1</v>
      </c>
      <c r="K275" s="64">
        <f t="shared" si="90"/>
        <v>0.5</v>
      </c>
      <c r="L275" s="17">
        <v>3</v>
      </c>
      <c r="M275" s="64">
        <f t="shared" si="91"/>
        <v>1</v>
      </c>
      <c r="N275" s="17">
        <v>2</v>
      </c>
      <c r="O275" s="64">
        <f t="shared" si="92"/>
        <v>0.4</v>
      </c>
      <c r="P275" s="17">
        <v>3</v>
      </c>
      <c r="Q275" s="64">
        <f t="shared" si="93"/>
        <v>1</v>
      </c>
      <c r="R275" s="25">
        <v>3</v>
      </c>
      <c r="S275" s="71">
        <f t="shared" si="94"/>
        <v>1</v>
      </c>
      <c r="T275" s="17">
        <v>3</v>
      </c>
      <c r="U275" s="64">
        <f t="shared" si="95"/>
        <v>1</v>
      </c>
      <c r="V275" s="17">
        <v>4</v>
      </c>
      <c r="W275" s="71">
        <f t="shared" si="96"/>
        <v>1</v>
      </c>
      <c r="X275" s="17">
        <v>3</v>
      </c>
      <c r="Y275" s="71">
        <f t="shared" si="97"/>
        <v>1</v>
      </c>
      <c r="Z275" s="17">
        <v>3</v>
      </c>
      <c r="AA275" s="71">
        <f t="shared" si="98"/>
        <v>1</v>
      </c>
      <c r="AB275" s="17">
        <v>1</v>
      </c>
      <c r="AC275" s="71">
        <f t="shared" si="99"/>
        <v>0.5</v>
      </c>
      <c r="AD275" s="57">
        <v>0</v>
      </c>
      <c r="AE275" s="57">
        <v>1</v>
      </c>
      <c r="AF275" s="57">
        <v>1</v>
      </c>
      <c r="AG275" s="57">
        <v>0</v>
      </c>
      <c r="AH275" s="57">
        <v>0</v>
      </c>
      <c r="AI275" s="57">
        <v>0</v>
      </c>
      <c r="AJ275" s="45">
        <v>2</v>
      </c>
      <c r="AK275" s="71">
        <f t="shared" si="100"/>
        <v>1</v>
      </c>
      <c r="AL275" s="17">
        <v>3</v>
      </c>
      <c r="AM275" s="71">
        <f t="shared" si="101"/>
        <v>1</v>
      </c>
      <c r="AN275" s="17">
        <v>2</v>
      </c>
      <c r="AO275" s="71">
        <f t="shared" si="102"/>
        <v>0.66666666666666663</v>
      </c>
      <c r="AP275" s="17">
        <v>2</v>
      </c>
      <c r="AQ275" s="71">
        <f t="shared" si="103"/>
        <v>0.66666666666666663</v>
      </c>
      <c r="AR275" s="57">
        <v>1</v>
      </c>
      <c r="AS275" s="17">
        <v>2</v>
      </c>
      <c r="AT275" s="71">
        <f t="shared" si="104"/>
        <v>0.66666666666666663</v>
      </c>
      <c r="AU275" s="17">
        <v>3</v>
      </c>
      <c r="AV275" s="71">
        <f t="shared" si="105"/>
        <v>1</v>
      </c>
      <c r="AW275" s="17">
        <v>1</v>
      </c>
      <c r="AX275" s="71">
        <f t="shared" si="106"/>
        <v>0.5</v>
      </c>
      <c r="AY275" s="17">
        <v>3</v>
      </c>
      <c r="AZ275" s="71">
        <f t="shared" si="107"/>
        <v>1</v>
      </c>
      <c r="BA275" s="73">
        <v>1</v>
      </c>
      <c r="BB275" s="78">
        <v>1</v>
      </c>
      <c r="BC275" s="78">
        <v>0</v>
      </c>
      <c r="BD275" s="78">
        <v>0</v>
      </c>
      <c r="BE275" s="81">
        <f t="shared" si="108"/>
        <v>0.86999999999999988</v>
      </c>
      <c r="BF275" s="81" t="str">
        <f t="shared" si="109"/>
        <v>ALTO</v>
      </c>
    </row>
    <row r="276" spans="1:58" x14ac:dyDescent="0.15">
      <c r="A276" s="57">
        <v>4</v>
      </c>
      <c r="B276" s="61">
        <v>1</v>
      </c>
      <c r="C276" s="57">
        <v>1</v>
      </c>
      <c r="D276" s="57">
        <v>0</v>
      </c>
      <c r="E276" s="61">
        <v>1</v>
      </c>
      <c r="F276" s="17">
        <v>2</v>
      </c>
      <c r="G276" s="64">
        <f t="shared" si="88"/>
        <v>1</v>
      </c>
      <c r="H276" s="17">
        <v>1</v>
      </c>
      <c r="I276" s="64">
        <f t="shared" si="89"/>
        <v>0.5</v>
      </c>
      <c r="J276" s="17">
        <v>1</v>
      </c>
      <c r="K276" s="64">
        <f t="shared" si="90"/>
        <v>0.5</v>
      </c>
      <c r="L276" s="17">
        <v>1</v>
      </c>
      <c r="M276" s="64">
        <f t="shared" si="91"/>
        <v>0.33333333333333331</v>
      </c>
      <c r="N276" s="17">
        <v>2</v>
      </c>
      <c r="O276" s="64">
        <f t="shared" si="92"/>
        <v>0.4</v>
      </c>
      <c r="P276" s="17">
        <v>3</v>
      </c>
      <c r="Q276" s="64">
        <f t="shared" si="93"/>
        <v>1</v>
      </c>
      <c r="R276" s="25">
        <v>0</v>
      </c>
      <c r="S276" s="71">
        <f t="shared" si="94"/>
        <v>0</v>
      </c>
      <c r="T276" s="17">
        <v>1</v>
      </c>
      <c r="U276" s="64">
        <f t="shared" si="95"/>
        <v>0.33333333333333331</v>
      </c>
      <c r="V276" s="17">
        <v>3</v>
      </c>
      <c r="W276" s="71">
        <f t="shared" si="96"/>
        <v>0.75</v>
      </c>
      <c r="X276" s="17">
        <v>2</v>
      </c>
      <c r="Y276" s="71">
        <f t="shared" si="97"/>
        <v>0.66666666666666663</v>
      </c>
      <c r="Z276" s="17">
        <v>3</v>
      </c>
      <c r="AA276" s="71">
        <f t="shared" si="98"/>
        <v>1</v>
      </c>
      <c r="AB276" s="17">
        <v>2</v>
      </c>
      <c r="AC276" s="71">
        <f t="shared" si="99"/>
        <v>1</v>
      </c>
      <c r="AD276" s="57">
        <v>1</v>
      </c>
      <c r="AE276" s="57">
        <v>0</v>
      </c>
      <c r="AF276" s="57">
        <v>1</v>
      </c>
      <c r="AG276" s="57">
        <v>0</v>
      </c>
      <c r="AH276" s="57">
        <v>0</v>
      </c>
      <c r="AI276" s="57">
        <v>0</v>
      </c>
      <c r="AJ276" s="45">
        <v>1</v>
      </c>
      <c r="AK276" s="71">
        <f t="shared" si="100"/>
        <v>0.5</v>
      </c>
      <c r="AL276" s="17">
        <v>1</v>
      </c>
      <c r="AM276" s="71">
        <f t="shared" si="101"/>
        <v>0.33333333333333331</v>
      </c>
      <c r="AN276" s="17">
        <v>2</v>
      </c>
      <c r="AO276" s="71">
        <f t="shared" si="102"/>
        <v>0.66666666666666663</v>
      </c>
      <c r="AP276" s="17">
        <v>3</v>
      </c>
      <c r="AQ276" s="71">
        <f t="shared" si="103"/>
        <v>1</v>
      </c>
      <c r="AR276" s="57">
        <v>2</v>
      </c>
      <c r="AS276" s="17">
        <v>3</v>
      </c>
      <c r="AT276" s="71">
        <f t="shared" si="104"/>
        <v>1</v>
      </c>
      <c r="AU276" s="17">
        <v>2</v>
      </c>
      <c r="AV276" s="71">
        <f t="shared" si="105"/>
        <v>0.66666666666666663</v>
      </c>
      <c r="AW276" s="17">
        <v>0</v>
      </c>
      <c r="AX276" s="71">
        <f t="shared" si="106"/>
        <v>0</v>
      </c>
      <c r="AY276" s="17">
        <v>2</v>
      </c>
      <c r="AZ276" s="71">
        <f t="shared" si="107"/>
        <v>0.66666666666666663</v>
      </c>
      <c r="BA276" s="73">
        <v>1</v>
      </c>
      <c r="BB276" s="78">
        <v>1</v>
      </c>
      <c r="BC276" s="78">
        <v>0</v>
      </c>
      <c r="BD276" s="78">
        <v>0</v>
      </c>
      <c r="BE276" s="81">
        <f t="shared" si="108"/>
        <v>0.66583333333333328</v>
      </c>
      <c r="BF276" s="81" t="str">
        <f t="shared" si="109"/>
        <v>ALTO</v>
      </c>
    </row>
    <row r="277" spans="1:58" x14ac:dyDescent="0.15">
      <c r="A277" s="57">
        <v>5</v>
      </c>
      <c r="B277" s="58">
        <v>2</v>
      </c>
      <c r="C277" s="57">
        <v>3</v>
      </c>
      <c r="D277" s="57">
        <v>0</v>
      </c>
      <c r="E277" s="61">
        <v>1</v>
      </c>
      <c r="F277" s="17">
        <v>1</v>
      </c>
      <c r="G277" s="64">
        <f t="shared" si="88"/>
        <v>0.5</v>
      </c>
      <c r="H277" s="17">
        <v>1</v>
      </c>
      <c r="I277" s="64">
        <f t="shared" si="89"/>
        <v>0.5</v>
      </c>
      <c r="J277" s="17">
        <v>1</v>
      </c>
      <c r="K277" s="64">
        <f t="shared" si="90"/>
        <v>0.5</v>
      </c>
      <c r="L277" s="17">
        <v>2</v>
      </c>
      <c r="M277" s="64">
        <f t="shared" si="91"/>
        <v>0.66666666666666663</v>
      </c>
      <c r="N277" s="17">
        <v>4</v>
      </c>
      <c r="O277" s="64">
        <f t="shared" si="92"/>
        <v>0.8</v>
      </c>
      <c r="P277" s="17">
        <v>3</v>
      </c>
      <c r="Q277" s="64">
        <f t="shared" si="93"/>
        <v>1</v>
      </c>
      <c r="R277" s="25">
        <v>2</v>
      </c>
      <c r="S277" s="71">
        <f t="shared" si="94"/>
        <v>0.66666666666666663</v>
      </c>
      <c r="T277" s="17">
        <v>2</v>
      </c>
      <c r="U277" s="64">
        <f t="shared" si="95"/>
        <v>0.66666666666666663</v>
      </c>
      <c r="V277" s="17">
        <v>3</v>
      </c>
      <c r="W277" s="71">
        <f t="shared" si="96"/>
        <v>0.75</v>
      </c>
      <c r="X277" s="17">
        <v>2</v>
      </c>
      <c r="Y277" s="71">
        <f t="shared" si="97"/>
        <v>0.66666666666666663</v>
      </c>
      <c r="Z277" s="17">
        <v>3</v>
      </c>
      <c r="AA277" s="71">
        <f t="shared" si="98"/>
        <v>1</v>
      </c>
      <c r="AB277" s="17">
        <v>1</v>
      </c>
      <c r="AC277" s="71">
        <f t="shared" si="99"/>
        <v>0.5</v>
      </c>
      <c r="AD277" s="57">
        <v>1</v>
      </c>
      <c r="AE277" s="57">
        <v>0</v>
      </c>
      <c r="AF277" s="57">
        <v>1</v>
      </c>
      <c r="AG277" s="57">
        <v>0</v>
      </c>
      <c r="AH277" s="57">
        <v>0</v>
      </c>
      <c r="AI277" s="57">
        <v>0</v>
      </c>
      <c r="AJ277" s="45">
        <v>2</v>
      </c>
      <c r="AK277" s="71">
        <f t="shared" si="100"/>
        <v>1</v>
      </c>
      <c r="AL277" s="17">
        <v>1</v>
      </c>
      <c r="AM277" s="71">
        <f t="shared" si="101"/>
        <v>0.33333333333333331</v>
      </c>
      <c r="AN277" s="17">
        <v>1</v>
      </c>
      <c r="AO277" s="71">
        <f t="shared" si="102"/>
        <v>0.33333333333333331</v>
      </c>
      <c r="AP277" s="17">
        <v>1</v>
      </c>
      <c r="AQ277" s="71">
        <f t="shared" si="103"/>
        <v>0.33333333333333331</v>
      </c>
      <c r="AR277" s="57">
        <v>2</v>
      </c>
      <c r="AS277" s="17">
        <v>3</v>
      </c>
      <c r="AT277" s="71">
        <f t="shared" si="104"/>
        <v>1</v>
      </c>
      <c r="AU277" s="17">
        <v>2</v>
      </c>
      <c r="AV277" s="71">
        <f t="shared" si="105"/>
        <v>0.66666666666666663</v>
      </c>
      <c r="AW277" s="17">
        <v>1</v>
      </c>
      <c r="AX277" s="71">
        <f t="shared" si="106"/>
        <v>0.5</v>
      </c>
      <c r="AY277" s="17">
        <v>0</v>
      </c>
      <c r="AZ277" s="71">
        <f t="shared" si="107"/>
        <v>0</v>
      </c>
      <c r="BA277" s="73">
        <v>0</v>
      </c>
      <c r="BB277" s="78">
        <v>0</v>
      </c>
      <c r="BC277" s="78">
        <v>1</v>
      </c>
      <c r="BD277" s="78">
        <v>0</v>
      </c>
      <c r="BE277" s="81">
        <f t="shared" si="108"/>
        <v>0.64416666666666678</v>
      </c>
      <c r="BF277" s="81" t="str">
        <f t="shared" si="109"/>
        <v>MEDIO</v>
      </c>
    </row>
    <row r="278" spans="1:58" x14ac:dyDescent="0.15">
      <c r="A278" s="57">
        <v>4</v>
      </c>
      <c r="B278" s="58">
        <v>2</v>
      </c>
      <c r="C278" s="57">
        <v>1</v>
      </c>
      <c r="D278" s="57">
        <v>0</v>
      </c>
      <c r="E278" s="61">
        <v>1</v>
      </c>
      <c r="F278" s="17">
        <v>2</v>
      </c>
      <c r="G278" s="64">
        <f t="shared" si="88"/>
        <v>1</v>
      </c>
      <c r="H278" s="17">
        <v>2</v>
      </c>
      <c r="I278" s="64">
        <f t="shared" si="89"/>
        <v>1</v>
      </c>
      <c r="J278" s="17">
        <v>0</v>
      </c>
      <c r="K278" s="64">
        <f t="shared" si="90"/>
        <v>0</v>
      </c>
      <c r="L278" s="17">
        <v>2</v>
      </c>
      <c r="M278" s="64">
        <f t="shared" si="91"/>
        <v>0.66666666666666663</v>
      </c>
      <c r="N278" s="17">
        <v>4</v>
      </c>
      <c r="O278" s="64">
        <f t="shared" si="92"/>
        <v>0.8</v>
      </c>
      <c r="P278" s="17">
        <v>3</v>
      </c>
      <c r="Q278" s="64">
        <f t="shared" si="93"/>
        <v>1</v>
      </c>
      <c r="R278" s="25">
        <v>2</v>
      </c>
      <c r="S278" s="71">
        <f t="shared" si="94"/>
        <v>0.66666666666666663</v>
      </c>
      <c r="T278" s="17">
        <v>2</v>
      </c>
      <c r="U278" s="64">
        <f t="shared" si="95"/>
        <v>0.66666666666666663</v>
      </c>
      <c r="V278" s="17">
        <v>4</v>
      </c>
      <c r="W278" s="71">
        <f t="shared" si="96"/>
        <v>1</v>
      </c>
      <c r="X278" s="17">
        <v>2</v>
      </c>
      <c r="Y278" s="71">
        <f t="shared" si="97"/>
        <v>0.66666666666666663</v>
      </c>
      <c r="Z278" s="17">
        <v>3</v>
      </c>
      <c r="AA278" s="71">
        <f t="shared" si="98"/>
        <v>1</v>
      </c>
      <c r="AB278" s="17">
        <v>2</v>
      </c>
      <c r="AC278" s="71">
        <f t="shared" si="99"/>
        <v>1</v>
      </c>
      <c r="AD278" s="57">
        <v>1</v>
      </c>
      <c r="AE278" s="57">
        <v>0</v>
      </c>
      <c r="AF278" s="57">
        <v>1</v>
      </c>
      <c r="AG278" s="57">
        <v>0</v>
      </c>
      <c r="AH278" s="57">
        <v>0</v>
      </c>
      <c r="AI278" s="57">
        <v>0</v>
      </c>
      <c r="AJ278" s="45">
        <v>1</v>
      </c>
      <c r="AK278" s="71">
        <f t="shared" si="100"/>
        <v>0.5</v>
      </c>
      <c r="AL278" s="17">
        <v>0</v>
      </c>
      <c r="AM278" s="71">
        <f t="shared" si="101"/>
        <v>0</v>
      </c>
      <c r="AN278" s="17">
        <v>0</v>
      </c>
      <c r="AO278" s="71">
        <f t="shared" si="102"/>
        <v>0</v>
      </c>
      <c r="AP278" s="17">
        <v>2</v>
      </c>
      <c r="AQ278" s="71">
        <f t="shared" si="103"/>
        <v>0.66666666666666663</v>
      </c>
      <c r="AR278" s="57">
        <v>0</v>
      </c>
      <c r="AS278" s="17">
        <v>0</v>
      </c>
      <c r="AT278" s="71">
        <f t="shared" si="104"/>
        <v>0</v>
      </c>
      <c r="AU278" s="17">
        <v>0</v>
      </c>
      <c r="AV278" s="71">
        <f t="shared" si="105"/>
        <v>0</v>
      </c>
      <c r="AW278" s="17">
        <v>0</v>
      </c>
      <c r="AX278" s="71">
        <f t="shared" si="106"/>
        <v>0</v>
      </c>
      <c r="AY278" s="17">
        <v>2</v>
      </c>
      <c r="AZ278" s="71">
        <f t="shared" si="107"/>
        <v>0.66666666666666663</v>
      </c>
      <c r="BA278" s="73">
        <v>0</v>
      </c>
      <c r="BB278" s="78">
        <v>1</v>
      </c>
      <c r="BC278" s="78">
        <v>0</v>
      </c>
      <c r="BD278" s="78">
        <v>0</v>
      </c>
      <c r="BE278" s="81">
        <f t="shared" si="108"/>
        <v>0.61499999999999999</v>
      </c>
      <c r="BF278" s="81" t="str">
        <f t="shared" si="109"/>
        <v>MEDIO</v>
      </c>
    </row>
    <row r="279" spans="1:58" x14ac:dyDescent="0.15">
      <c r="A279" s="57">
        <v>4</v>
      </c>
      <c r="B279" s="61">
        <v>1</v>
      </c>
      <c r="C279" s="57">
        <v>3</v>
      </c>
      <c r="D279" s="57">
        <v>0</v>
      </c>
      <c r="E279" s="61">
        <v>1</v>
      </c>
      <c r="F279" s="17">
        <v>2</v>
      </c>
      <c r="G279" s="64">
        <f t="shared" si="88"/>
        <v>1</v>
      </c>
      <c r="H279" s="17">
        <v>1</v>
      </c>
      <c r="I279" s="64">
        <f t="shared" si="89"/>
        <v>0.5</v>
      </c>
      <c r="J279" s="17">
        <v>1</v>
      </c>
      <c r="K279" s="64">
        <f t="shared" si="90"/>
        <v>0.5</v>
      </c>
      <c r="L279" s="17">
        <v>3</v>
      </c>
      <c r="M279" s="64">
        <f t="shared" si="91"/>
        <v>1</v>
      </c>
      <c r="N279" s="17">
        <v>1</v>
      </c>
      <c r="O279" s="64">
        <f t="shared" si="92"/>
        <v>0.2</v>
      </c>
      <c r="P279" s="17">
        <v>3</v>
      </c>
      <c r="Q279" s="64">
        <f t="shared" si="93"/>
        <v>1</v>
      </c>
      <c r="R279" s="25">
        <v>2</v>
      </c>
      <c r="S279" s="71">
        <f t="shared" si="94"/>
        <v>0.66666666666666663</v>
      </c>
      <c r="T279" s="17">
        <v>2</v>
      </c>
      <c r="U279" s="64">
        <f t="shared" si="95"/>
        <v>0.66666666666666663</v>
      </c>
      <c r="V279" s="17">
        <v>3</v>
      </c>
      <c r="W279" s="71">
        <f t="shared" si="96"/>
        <v>0.75</v>
      </c>
      <c r="X279" s="17">
        <v>2</v>
      </c>
      <c r="Y279" s="71">
        <f t="shared" si="97"/>
        <v>0.66666666666666663</v>
      </c>
      <c r="Z279" s="17">
        <v>1</v>
      </c>
      <c r="AA279" s="71">
        <f t="shared" si="98"/>
        <v>0.33333333333333331</v>
      </c>
      <c r="AB279" s="17">
        <v>1</v>
      </c>
      <c r="AC279" s="71">
        <f t="shared" si="99"/>
        <v>0.5</v>
      </c>
      <c r="AD279" s="57">
        <v>1</v>
      </c>
      <c r="AE279" s="57">
        <v>0</v>
      </c>
      <c r="AF279" s="57">
        <v>1</v>
      </c>
      <c r="AG279" s="57">
        <v>0</v>
      </c>
      <c r="AH279" s="57">
        <v>0</v>
      </c>
      <c r="AI279" s="57">
        <v>0</v>
      </c>
      <c r="AJ279" s="45">
        <v>1</v>
      </c>
      <c r="AK279" s="71">
        <f t="shared" si="100"/>
        <v>0.5</v>
      </c>
      <c r="AL279" s="17">
        <v>1</v>
      </c>
      <c r="AM279" s="71">
        <f t="shared" si="101"/>
        <v>0.33333333333333331</v>
      </c>
      <c r="AN279" s="17">
        <v>0</v>
      </c>
      <c r="AO279" s="71">
        <f t="shared" si="102"/>
        <v>0</v>
      </c>
      <c r="AP279" s="17">
        <v>2</v>
      </c>
      <c r="AQ279" s="71">
        <f t="shared" si="103"/>
        <v>0.66666666666666663</v>
      </c>
      <c r="AR279" s="57">
        <v>1</v>
      </c>
      <c r="AS279" s="17">
        <v>2</v>
      </c>
      <c r="AT279" s="71">
        <f t="shared" si="104"/>
        <v>0.66666666666666663</v>
      </c>
      <c r="AU279" s="17">
        <v>0</v>
      </c>
      <c r="AV279" s="71">
        <f t="shared" si="105"/>
        <v>0</v>
      </c>
      <c r="AW279" s="17">
        <v>0</v>
      </c>
      <c r="AX279" s="71">
        <f t="shared" si="106"/>
        <v>0</v>
      </c>
      <c r="AY279" s="17">
        <v>2</v>
      </c>
      <c r="AZ279" s="71">
        <f t="shared" si="107"/>
        <v>0.66666666666666663</v>
      </c>
      <c r="BA279" s="73">
        <v>0</v>
      </c>
      <c r="BB279" s="78">
        <v>0</v>
      </c>
      <c r="BC279" s="78">
        <v>0</v>
      </c>
      <c r="BD279" s="78">
        <v>1</v>
      </c>
      <c r="BE279" s="81">
        <f t="shared" si="108"/>
        <v>0.58083333333333331</v>
      </c>
      <c r="BF279" s="81" t="str">
        <f t="shared" si="109"/>
        <v>MEDIO</v>
      </c>
    </row>
    <row r="280" spans="1:58" x14ac:dyDescent="0.15">
      <c r="A280" s="57">
        <v>5</v>
      </c>
      <c r="B280" s="61">
        <v>1</v>
      </c>
      <c r="C280" s="57">
        <v>0</v>
      </c>
      <c r="D280" s="57">
        <v>0</v>
      </c>
      <c r="E280" s="61">
        <v>1</v>
      </c>
      <c r="F280" s="17">
        <v>2</v>
      </c>
      <c r="G280" s="64">
        <f t="shared" si="88"/>
        <v>1</v>
      </c>
      <c r="H280" s="17">
        <v>1</v>
      </c>
      <c r="I280" s="64">
        <f t="shared" si="89"/>
        <v>0.5</v>
      </c>
      <c r="J280" s="17">
        <v>2</v>
      </c>
      <c r="K280" s="64">
        <f t="shared" si="90"/>
        <v>1</v>
      </c>
      <c r="L280" s="17">
        <v>2</v>
      </c>
      <c r="M280" s="64">
        <f t="shared" si="91"/>
        <v>0.66666666666666663</v>
      </c>
      <c r="N280" s="17">
        <v>4</v>
      </c>
      <c r="O280" s="64">
        <f t="shared" si="92"/>
        <v>0.8</v>
      </c>
      <c r="P280" s="17">
        <v>3</v>
      </c>
      <c r="Q280" s="64">
        <f t="shared" si="93"/>
        <v>1</v>
      </c>
      <c r="R280" s="25">
        <v>2</v>
      </c>
      <c r="S280" s="71">
        <f t="shared" si="94"/>
        <v>0.66666666666666663</v>
      </c>
      <c r="T280" s="17">
        <v>3</v>
      </c>
      <c r="U280" s="64">
        <f t="shared" si="95"/>
        <v>1</v>
      </c>
      <c r="V280" s="17">
        <v>3</v>
      </c>
      <c r="W280" s="71">
        <f t="shared" si="96"/>
        <v>0.75</v>
      </c>
      <c r="X280" s="17">
        <v>3</v>
      </c>
      <c r="Y280" s="71">
        <f t="shared" si="97"/>
        <v>1</v>
      </c>
      <c r="Z280" s="17">
        <v>3</v>
      </c>
      <c r="AA280" s="71">
        <f t="shared" si="98"/>
        <v>1</v>
      </c>
      <c r="AB280" s="17">
        <v>1</v>
      </c>
      <c r="AC280" s="71">
        <f t="shared" si="99"/>
        <v>0.5</v>
      </c>
      <c r="AD280" s="57">
        <v>1</v>
      </c>
      <c r="AE280" s="57">
        <v>0</v>
      </c>
      <c r="AF280" s="57">
        <v>1</v>
      </c>
      <c r="AG280" s="57">
        <v>0</v>
      </c>
      <c r="AH280" s="57">
        <v>0</v>
      </c>
      <c r="AI280" s="57">
        <v>0</v>
      </c>
      <c r="AJ280" s="45">
        <v>0</v>
      </c>
      <c r="AK280" s="71">
        <f t="shared" si="100"/>
        <v>0</v>
      </c>
      <c r="AL280" s="17">
        <v>1</v>
      </c>
      <c r="AM280" s="71">
        <f t="shared" si="101"/>
        <v>0.33333333333333331</v>
      </c>
      <c r="AN280" s="17">
        <v>1</v>
      </c>
      <c r="AO280" s="71">
        <f t="shared" si="102"/>
        <v>0.33333333333333331</v>
      </c>
      <c r="AP280" s="17">
        <v>1</v>
      </c>
      <c r="AQ280" s="71">
        <f t="shared" si="103"/>
        <v>0.33333333333333331</v>
      </c>
      <c r="AR280" s="57">
        <v>2</v>
      </c>
      <c r="AS280" s="17">
        <v>0</v>
      </c>
      <c r="AT280" s="71">
        <f t="shared" si="104"/>
        <v>0</v>
      </c>
      <c r="AU280" s="17">
        <v>3</v>
      </c>
      <c r="AV280" s="71">
        <f t="shared" si="105"/>
        <v>1</v>
      </c>
      <c r="AW280" s="17">
        <v>1</v>
      </c>
      <c r="AX280" s="71">
        <f t="shared" si="106"/>
        <v>0.5</v>
      </c>
      <c r="AY280" s="17">
        <v>3</v>
      </c>
      <c r="AZ280" s="71">
        <f t="shared" si="107"/>
        <v>1</v>
      </c>
      <c r="BA280" s="73">
        <v>0</v>
      </c>
      <c r="BB280" s="78">
        <v>1</v>
      </c>
      <c r="BC280" s="78">
        <v>1</v>
      </c>
      <c r="BD280" s="78">
        <v>0</v>
      </c>
      <c r="BE280" s="81">
        <f t="shared" si="108"/>
        <v>0.71916666666666673</v>
      </c>
      <c r="BF280" s="81" t="str">
        <f t="shared" si="109"/>
        <v>ALTO</v>
      </c>
    </row>
    <row r="281" spans="1:58" x14ac:dyDescent="0.15">
      <c r="A281" s="57">
        <v>3</v>
      </c>
      <c r="B281" s="61">
        <v>1</v>
      </c>
      <c r="C281" s="57">
        <v>3</v>
      </c>
      <c r="D281" s="57">
        <v>0</v>
      </c>
      <c r="E281" s="61">
        <v>1</v>
      </c>
      <c r="F281" s="17">
        <v>1</v>
      </c>
      <c r="G281" s="64">
        <f t="shared" si="88"/>
        <v>0.5</v>
      </c>
      <c r="H281" s="17">
        <v>1</v>
      </c>
      <c r="I281" s="64">
        <f t="shared" si="89"/>
        <v>0.5</v>
      </c>
      <c r="J281" s="17">
        <v>1</v>
      </c>
      <c r="K281" s="64">
        <f t="shared" si="90"/>
        <v>0.5</v>
      </c>
      <c r="L281" s="17">
        <v>2</v>
      </c>
      <c r="M281" s="64">
        <f t="shared" si="91"/>
        <v>0.66666666666666663</v>
      </c>
      <c r="N281" s="17">
        <v>1</v>
      </c>
      <c r="O281" s="64">
        <f t="shared" si="92"/>
        <v>0.2</v>
      </c>
      <c r="P281" s="17">
        <v>0</v>
      </c>
      <c r="Q281" s="64">
        <f t="shared" si="93"/>
        <v>0</v>
      </c>
      <c r="R281" s="25">
        <v>0</v>
      </c>
      <c r="S281" s="71">
        <f t="shared" si="94"/>
        <v>0</v>
      </c>
      <c r="T281" s="17">
        <v>2</v>
      </c>
      <c r="U281" s="64">
        <f t="shared" si="95"/>
        <v>0.66666666666666663</v>
      </c>
      <c r="V281" s="17">
        <v>3</v>
      </c>
      <c r="W281" s="71">
        <f t="shared" si="96"/>
        <v>0.75</v>
      </c>
      <c r="X281" s="17">
        <v>2</v>
      </c>
      <c r="Y281" s="71">
        <f t="shared" si="97"/>
        <v>0.66666666666666663</v>
      </c>
      <c r="Z281" s="17">
        <v>1</v>
      </c>
      <c r="AA281" s="71">
        <f t="shared" si="98"/>
        <v>0.33333333333333331</v>
      </c>
      <c r="AB281" s="17">
        <v>2</v>
      </c>
      <c r="AC281" s="71">
        <f t="shared" si="99"/>
        <v>1</v>
      </c>
      <c r="AD281" s="57">
        <v>1</v>
      </c>
      <c r="AE281" s="57">
        <v>0</v>
      </c>
      <c r="AF281" s="57">
        <v>0</v>
      </c>
      <c r="AG281" s="57">
        <v>1</v>
      </c>
      <c r="AH281" s="57">
        <v>0</v>
      </c>
      <c r="AI281" s="57">
        <v>0</v>
      </c>
      <c r="AJ281" s="45">
        <v>1</v>
      </c>
      <c r="AK281" s="71">
        <f t="shared" si="100"/>
        <v>0.5</v>
      </c>
      <c r="AL281" s="17">
        <v>2</v>
      </c>
      <c r="AM281" s="71">
        <f t="shared" si="101"/>
        <v>0.66666666666666663</v>
      </c>
      <c r="AN281" s="17">
        <v>1</v>
      </c>
      <c r="AO281" s="71">
        <f t="shared" si="102"/>
        <v>0.33333333333333331</v>
      </c>
      <c r="AP281" s="17">
        <v>2</v>
      </c>
      <c r="AQ281" s="71">
        <f t="shared" si="103"/>
        <v>0.66666666666666663</v>
      </c>
      <c r="AR281" s="57">
        <v>2</v>
      </c>
      <c r="AS281" s="17">
        <v>3</v>
      </c>
      <c r="AT281" s="71">
        <f t="shared" si="104"/>
        <v>1</v>
      </c>
      <c r="AU281" s="17">
        <v>2</v>
      </c>
      <c r="AV281" s="71">
        <f t="shared" si="105"/>
        <v>0.66666666666666663</v>
      </c>
      <c r="AW281" s="17">
        <v>1</v>
      </c>
      <c r="AX281" s="71">
        <f t="shared" si="106"/>
        <v>0.5</v>
      </c>
      <c r="AY281" s="17">
        <v>2</v>
      </c>
      <c r="AZ281" s="71">
        <f t="shared" si="107"/>
        <v>0.66666666666666663</v>
      </c>
      <c r="BA281" s="73">
        <v>1</v>
      </c>
      <c r="BB281" s="78">
        <v>0</v>
      </c>
      <c r="BC281" s="78">
        <v>0</v>
      </c>
      <c r="BD281" s="78">
        <v>0</v>
      </c>
      <c r="BE281" s="81">
        <f t="shared" si="108"/>
        <v>0.56416666666666659</v>
      </c>
      <c r="BF281" s="81" t="str">
        <f t="shared" si="109"/>
        <v>MEDIO</v>
      </c>
    </row>
    <row r="282" spans="1:58" x14ac:dyDescent="0.15">
      <c r="A282" s="57">
        <v>5</v>
      </c>
      <c r="B282" s="58">
        <v>2</v>
      </c>
      <c r="C282" s="57">
        <v>1</v>
      </c>
      <c r="D282" s="57">
        <v>0</v>
      </c>
      <c r="E282" s="61">
        <v>1</v>
      </c>
      <c r="F282" s="17">
        <v>1</v>
      </c>
      <c r="G282" s="64">
        <f t="shared" si="88"/>
        <v>0.5</v>
      </c>
      <c r="H282" s="17">
        <v>2</v>
      </c>
      <c r="I282" s="64">
        <f t="shared" si="89"/>
        <v>1</v>
      </c>
      <c r="J282" s="17">
        <v>1</v>
      </c>
      <c r="K282" s="64">
        <f t="shared" si="90"/>
        <v>0.5</v>
      </c>
      <c r="L282" s="17">
        <v>2</v>
      </c>
      <c r="M282" s="64">
        <f t="shared" si="91"/>
        <v>0.66666666666666663</v>
      </c>
      <c r="N282" s="17">
        <v>2</v>
      </c>
      <c r="O282" s="64">
        <f t="shared" si="92"/>
        <v>0.4</v>
      </c>
      <c r="P282" s="17">
        <v>2</v>
      </c>
      <c r="Q282" s="64">
        <f t="shared" si="93"/>
        <v>0.66666666666666663</v>
      </c>
      <c r="R282" s="25">
        <v>3</v>
      </c>
      <c r="S282" s="71">
        <f t="shared" si="94"/>
        <v>1</v>
      </c>
      <c r="T282" s="17">
        <v>3</v>
      </c>
      <c r="U282" s="64">
        <f t="shared" si="95"/>
        <v>1</v>
      </c>
      <c r="V282" s="17">
        <v>3</v>
      </c>
      <c r="W282" s="71">
        <f t="shared" si="96"/>
        <v>0.75</v>
      </c>
      <c r="X282" s="17">
        <v>2</v>
      </c>
      <c r="Y282" s="71">
        <f t="shared" si="97"/>
        <v>0.66666666666666663</v>
      </c>
      <c r="Z282" s="17">
        <v>3</v>
      </c>
      <c r="AA282" s="71">
        <f t="shared" si="98"/>
        <v>1</v>
      </c>
      <c r="AB282" s="17">
        <v>0</v>
      </c>
      <c r="AC282" s="71">
        <f t="shared" si="99"/>
        <v>0</v>
      </c>
      <c r="AD282" s="57">
        <v>1</v>
      </c>
      <c r="AE282" s="57">
        <v>0</v>
      </c>
      <c r="AF282" s="57">
        <v>1</v>
      </c>
      <c r="AG282" s="57">
        <v>0</v>
      </c>
      <c r="AH282" s="57">
        <v>0</v>
      </c>
      <c r="AI282" s="57">
        <v>0</v>
      </c>
      <c r="AJ282" s="45">
        <v>1</v>
      </c>
      <c r="AK282" s="71">
        <f t="shared" si="100"/>
        <v>0.5</v>
      </c>
      <c r="AL282" s="17">
        <v>2</v>
      </c>
      <c r="AM282" s="71">
        <f t="shared" si="101"/>
        <v>0.66666666666666663</v>
      </c>
      <c r="AN282" s="17">
        <v>0</v>
      </c>
      <c r="AO282" s="71">
        <f t="shared" si="102"/>
        <v>0</v>
      </c>
      <c r="AP282" s="17">
        <v>0</v>
      </c>
      <c r="AQ282" s="71">
        <f t="shared" si="103"/>
        <v>0</v>
      </c>
      <c r="AR282" s="57">
        <v>1</v>
      </c>
      <c r="AS282" s="17">
        <v>3</v>
      </c>
      <c r="AT282" s="71">
        <f t="shared" si="104"/>
        <v>1</v>
      </c>
      <c r="AU282" s="17">
        <v>3</v>
      </c>
      <c r="AV282" s="71">
        <f t="shared" si="105"/>
        <v>1</v>
      </c>
      <c r="AW282" s="17">
        <v>0</v>
      </c>
      <c r="AX282" s="71">
        <f t="shared" si="106"/>
        <v>0</v>
      </c>
      <c r="AY282" s="17">
        <v>3</v>
      </c>
      <c r="AZ282" s="71">
        <f t="shared" si="107"/>
        <v>1</v>
      </c>
      <c r="BA282" s="73">
        <v>0</v>
      </c>
      <c r="BB282" s="78">
        <v>1</v>
      </c>
      <c r="BC282" s="78">
        <v>1</v>
      </c>
      <c r="BD282" s="78">
        <v>0</v>
      </c>
      <c r="BE282" s="81">
        <f t="shared" si="108"/>
        <v>0.64083333333333337</v>
      </c>
      <c r="BF282" s="81" t="str">
        <f t="shared" si="109"/>
        <v>MEDIO</v>
      </c>
    </row>
    <row r="283" spans="1:58" x14ac:dyDescent="0.15">
      <c r="A283" s="57">
        <v>5</v>
      </c>
      <c r="B283" s="58">
        <v>2</v>
      </c>
      <c r="C283" s="57">
        <v>3</v>
      </c>
      <c r="D283" s="57">
        <v>0</v>
      </c>
      <c r="E283" s="61">
        <v>1</v>
      </c>
      <c r="F283" s="17">
        <v>1</v>
      </c>
      <c r="G283" s="64">
        <f t="shared" si="88"/>
        <v>0.5</v>
      </c>
      <c r="H283" s="17">
        <v>2</v>
      </c>
      <c r="I283" s="64">
        <f t="shared" si="89"/>
        <v>1</v>
      </c>
      <c r="J283" s="17">
        <v>1</v>
      </c>
      <c r="K283" s="64">
        <f t="shared" si="90"/>
        <v>0.5</v>
      </c>
      <c r="L283" s="17">
        <v>3</v>
      </c>
      <c r="M283" s="64">
        <f t="shared" si="91"/>
        <v>1</v>
      </c>
      <c r="N283" s="17">
        <v>4</v>
      </c>
      <c r="O283" s="64">
        <f t="shared" si="92"/>
        <v>0.8</v>
      </c>
      <c r="P283" s="17">
        <v>3</v>
      </c>
      <c r="Q283" s="64">
        <f t="shared" si="93"/>
        <v>1</v>
      </c>
      <c r="R283" s="25">
        <v>0</v>
      </c>
      <c r="S283" s="71">
        <f t="shared" si="94"/>
        <v>0</v>
      </c>
      <c r="T283" s="17">
        <v>1</v>
      </c>
      <c r="U283" s="64">
        <f t="shared" si="95"/>
        <v>0.33333333333333331</v>
      </c>
      <c r="V283" s="17">
        <v>3</v>
      </c>
      <c r="W283" s="71">
        <f t="shared" si="96"/>
        <v>0.75</v>
      </c>
      <c r="X283" s="17">
        <v>0</v>
      </c>
      <c r="Y283" s="71">
        <f t="shared" si="97"/>
        <v>0</v>
      </c>
      <c r="Z283" s="17">
        <v>1</v>
      </c>
      <c r="AA283" s="71">
        <f t="shared" si="98"/>
        <v>0.33333333333333331</v>
      </c>
      <c r="AB283" s="17">
        <v>2</v>
      </c>
      <c r="AC283" s="71">
        <f t="shared" si="99"/>
        <v>1</v>
      </c>
      <c r="AD283" s="57">
        <v>1</v>
      </c>
      <c r="AE283" s="57">
        <v>0</v>
      </c>
      <c r="AF283" s="57">
        <v>1</v>
      </c>
      <c r="AG283" s="57">
        <v>0</v>
      </c>
      <c r="AH283" s="57">
        <v>0</v>
      </c>
      <c r="AI283" s="57">
        <v>0</v>
      </c>
      <c r="AJ283" s="45">
        <v>0</v>
      </c>
      <c r="AK283" s="71">
        <f t="shared" si="100"/>
        <v>0</v>
      </c>
      <c r="AL283" s="17">
        <v>3</v>
      </c>
      <c r="AM283" s="71">
        <f t="shared" si="101"/>
        <v>1</v>
      </c>
      <c r="AN283" s="17">
        <v>0</v>
      </c>
      <c r="AO283" s="71">
        <f t="shared" si="102"/>
        <v>0</v>
      </c>
      <c r="AP283" s="17">
        <v>1</v>
      </c>
      <c r="AQ283" s="71">
        <f t="shared" si="103"/>
        <v>0.33333333333333331</v>
      </c>
      <c r="AR283" s="57">
        <v>2</v>
      </c>
      <c r="AS283" s="17">
        <v>1</v>
      </c>
      <c r="AT283" s="71">
        <f t="shared" si="104"/>
        <v>0.33333333333333331</v>
      </c>
      <c r="AU283" s="17">
        <v>2</v>
      </c>
      <c r="AV283" s="71">
        <f t="shared" si="105"/>
        <v>0.66666666666666663</v>
      </c>
      <c r="AW283" s="17">
        <v>0</v>
      </c>
      <c r="AX283" s="71">
        <f t="shared" si="106"/>
        <v>0</v>
      </c>
      <c r="AY283" s="17">
        <v>2</v>
      </c>
      <c r="AZ283" s="71">
        <f t="shared" si="107"/>
        <v>0.66666666666666663</v>
      </c>
      <c r="BA283" s="73">
        <v>0</v>
      </c>
      <c r="BB283" s="78">
        <v>0</v>
      </c>
      <c r="BC283" s="78">
        <v>0</v>
      </c>
      <c r="BD283" s="78">
        <v>1</v>
      </c>
      <c r="BE283" s="81">
        <f t="shared" si="108"/>
        <v>0.53583333333333327</v>
      </c>
      <c r="BF283" s="81" t="str">
        <f t="shared" si="109"/>
        <v>MEDIO</v>
      </c>
    </row>
    <row r="284" spans="1:58" x14ac:dyDescent="0.15">
      <c r="A284" s="57">
        <v>5</v>
      </c>
      <c r="B284" s="58">
        <v>2</v>
      </c>
      <c r="C284" s="57">
        <v>3</v>
      </c>
      <c r="D284" s="57">
        <v>0</v>
      </c>
      <c r="E284" s="61">
        <v>1</v>
      </c>
      <c r="F284" s="17">
        <v>1</v>
      </c>
      <c r="G284" s="64">
        <f t="shared" si="88"/>
        <v>0.5</v>
      </c>
      <c r="H284" s="17">
        <v>2</v>
      </c>
      <c r="I284" s="64">
        <f t="shared" si="89"/>
        <v>1</v>
      </c>
      <c r="J284" s="17">
        <v>2</v>
      </c>
      <c r="K284" s="64">
        <f t="shared" si="90"/>
        <v>1</v>
      </c>
      <c r="L284" s="17">
        <v>3</v>
      </c>
      <c r="M284" s="64">
        <f t="shared" si="91"/>
        <v>1</v>
      </c>
      <c r="N284" s="17">
        <v>5</v>
      </c>
      <c r="O284" s="64">
        <f t="shared" si="92"/>
        <v>1</v>
      </c>
      <c r="P284" s="17">
        <v>3</v>
      </c>
      <c r="Q284" s="64">
        <f t="shared" si="93"/>
        <v>1</v>
      </c>
      <c r="R284" s="25">
        <v>3</v>
      </c>
      <c r="S284" s="71">
        <f t="shared" si="94"/>
        <v>1</v>
      </c>
      <c r="T284" s="17">
        <v>3</v>
      </c>
      <c r="U284" s="64">
        <f t="shared" si="95"/>
        <v>1</v>
      </c>
      <c r="V284" s="17">
        <v>0</v>
      </c>
      <c r="W284" s="71">
        <f t="shared" si="96"/>
        <v>0</v>
      </c>
      <c r="X284" s="17">
        <v>3</v>
      </c>
      <c r="Y284" s="71">
        <f t="shared" si="97"/>
        <v>1</v>
      </c>
      <c r="Z284" s="17">
        <v>3</v>
      </c>
      <c r="AA284" s="71">
        <f t="shared" si="98"/>
        <v>1</v>
      </c>
      <c r="AB284" s="17">
        <v>0</v>
      </c>
      <c r="AC284" s="71">
        <f t="shared" si="99"/>
        <v>0</v>
      </c>
      <c r="AD284" s="57">
        <v>1</v>
      </c>
      <c r="AE284" s="57">
        <v>0</v>
      </c>
      <c r="AF284" s="57">
        <v>1</v>
      </c>
      <c r="AG284" s="57">
        <v>0</v>
      </c>
      <c r="AH284" s="57">
        <v>0</v>
      </c>
      <c r="AI284" s="57">
        <v>0</v>
      </c>
      <c r="AJ284" s="45">
        <v>2</v>
      </c>
      <c r="AK284" s="71">
        <f t="shared" si="100"/>
        <v>1</v>
      </c>
      <c r="AL284" s="17">
        <v>1</v>
      </c>
      <c r="AM284" s="71">
        <f t="shared" si="101"/>
        <v>0.33333333333333331</v>
      </c>
      <c r="AN284" s="17">
        <v>0</v>
      </c>
      <c r="AO284" s="71">
        <f t="shared" si="102"/>
        <v>0</v>
      </c>
      <c r="AP284" s="17">
        <v>3</v>
      </c>
      <c r="AQ284" s="71">
        <f t="shared" si="103"/>
        <v>1</v>
      </c>
      <c r="AR284" s="57">
        <v>1</v>
      </c>
      <c r="AS284" s="17">
        <v>2</v>
      </c>
      <c r="AT284" s="71">
        <f t="shared" si="104"/>
        <v>0.66666666666666663</v>
      </c>
      <c r="AU284" s="17">
        <v>3</v>
      </c>
      <c r="AV284" s="71">
        <f t="shared" si="105"/>
        <v>1</v>
      </c>
      <c r="AW284" s="17">
        <v>1</v>
      </c>
      <c r="AX284" s="71">
        <f t="shared" si="106"/>
        <v>0.5</v>
      </c>
      <c r="AY284" s="17">
        <v>3</v>
      </c>
      <c r="AZ284" s="71">
        <f t="shared" si="107"/>
        <v>1</v>
      </c>
      <c r="BA284" s="73">
        <v>1</v>
      </c>
      <c r="BB284" s="78">
        <v>1</v>
      </c>
      <c r="BC284" s="78">
        <v>0</v>
      </c>
      <c r="BD284" s="78">
        <v>0</v>
      </c>
      <c r="BE284" s="81">
        <f t="shared" si="108"/>
        <v>0.77500000000000002</v>
      </c>
      <c r="BF284" s="81" t="str">
        <f t="shared" si="109"/>
        <v>ALTO</v>
      </c>
    </row>
    <row r="285" spans="1:58" x14ac:dyDescent="0.15">
      <c r="A285" s="57">
        <v>2</v>
      </c>
      <c r="B285" s="58">
        <v>2</v>
      </c>
      <c r="C285" s="57">
        <v>1</v>
      </c>
      <c r="D285" s="57">
        <v>0</v>
      </c>
      <c r="E285" s="61">
        <v>1</v>
      </c>
      <c r="F285" s="17">
        <v>2</v>
      </c>
      <c r="G285" s="64">
        <f t="shared" si="88"/>
        <v>1</v>
      </c>
      <c r="H285" s="17">
        <v>1</v>
      </c>
      <c r="I285" s="64">
        <f t="shared" si="89"/>
        <v>0.5</v>
      </c>
      <c r="J285" s="17">
        <v>2</v>
      </c>
      <c r="K285" s="64">
        <f t="shared" si="90"/>
        <v>1</v>
      </c>
      <c r="L285" s="17">
        <v>2</v>
      </c>
      <c r="M285" s="64">
        <f t="shared" si="91"/>
        <v>0.66666666666666663</v>
      </c>
      <c r="N285" s="17">
        <v>4</v>
      </c>
      <c r="O285" s="64">
        <f t="shared" si="92"/>
        <v>0.8</v>
      </c>
      <c r="P285" s="17">
        <v>3</v>
      </c>
      <c r="Q285" s="64">
        <f t="shared" si="93"/>
        <v>1</v>
      </c>
      <c r="R285" s="25">
        <v>3</v>
      </c>
      <c r="S285" s="71">
        <f t="shared" si="94"/>
        <v>1</v>
      </c>
      <c r="T285" s="17">
        <v>2</v>
      </c>
      <c r="U285" s="64">
        <f t="shared" si="95"/>
        <v>0.66666666666666663</v>
      </c>
      <c r="V285" s="17">
        <v>4</v>
      </c>
      <c r="W285" s="71">
        <f t="shared" si="96"/>
        <v>1</v>
      </c>
      <c r="X285" s="17">
        <v>3</v>
      </c>
      <c r="Y285" s="71">
        <f t="shared" si="97"/>
        <v>1</v>
      </c>
      <c r="Z285" s="17">
        <v>3</v>
      </c>
      <c r="AA285" s="71">
        <f t="shared" si="98"/>
        <v>1</v>
      </c>
      <c r="AB285" s="17">
        <v>0</v>
      </c>
      <c r="AC285" s="71">
        <f t="shared" si="99"/>
        <v>0</v>
      </c>
      <c r="AD285" s="57">
        <v>1</v>
      </c>
      <c r="AE285" s="57">
        <v>0</v>
      </c>
      <c r="AF285" s="57">
        <v>1</v>
      </c>
      <c r="AG285" s="57">
        <v>0</v>
      </c>
      <c r="AH285" s="57">
        <v>0</v>
      </c>
      <c r="AI285" s="57">
        <v>0</v>
      </c>
      <c r="AJ285" s="45">
        <v>2</v>
      </c>
      <c r="AK285" s="71">
        <f t="shared" si="100"/>
        <v>1</v>
      </c>
      <c r="AL285" s="17">
        <v>2</v>
      </c>
      <c r="AM285" s="71">
        <f t="shared" si="101"/>
        <v>0.66666666666666663</v>
      </c>
      <c r="AN285" s="17">
        <v>1</v>
      </c>
      <c r="AO285" s="71">
        <f t="shared" si="102"/>
        <v>0.33333333333333331</v>
      </c>
      <c r="AP285" s="17">
        <v>3</v>
      </c>
      <c r="AQ285" s="71">
        <f t="shared" si="103"/>
        <v>1</v>
      </c>
      <c r="AR285" s="57">
        <v>0</v>
      </c>
      <c r="AS285" s="17">
        <v>2</v>
      </c>
      <c r="AT285" s="71">
        <f t="shared" si="104"/>
        <v>0.66666666666666663</v>
      </c>
      <c r="AU285" s="17">
        <v>2</v>
      </c>
      <c r="AV285" s="71">
        <f t="shared" si="105"/>
        <v>0.66666666666666663</v>
      </c>
      <c r="AW285" s="17">
        <v>2</v>
      </c>
      <c r="AX285" s="71">
        <f t="shared" si="106"/>
        <v>1</v>
      </c>
      <c r="AY285" s="17">
        <v>3</v>
      </c>
      <c r="AZ285" s="71">
        <f t="shared" si="107"/>
        <v>1</v>
      </c>
      <c r="BA285" s="73">
        <v>1</v>
      </c>
      <c r="BB285" s="78">
        <v>0</v>
      </c>
      <c r="BC285" s="78">
        <v>1</v>
      </c>
      <c r="BD285" s="78">
        <v>0</v>
      </c>
      <c r="BE285" s="81">
        <f t="shared" si="108"/>
        <v>0.84833333333333327</v>
      </c>
      <c r="BF285" s="81" t="str">
        <f t="shared" si="109"/>
        <v>ALTO</v>
      </c>
    </row>
    <row r="286" spans="1:58" x14ac:dyDescent="0.15">
      <c r="A286" s="57">
        <v>4</v>
      </c>
      <c r="B286" s="61">
        <v>1</v>
      </c>
      <c r="C286" s="57">
        <v>3</v>
      </c>
      <c r="D286" s="57">
        <v>0</v>
      </c>
      <c r="E286" s="61">
        <v>1</v>
      </c>
      <c r="F286" s="17">
        <v>2</v>
      </c>
      <c r="G286" s="64">
        <f t="shared" si="88"/>
        <v>1</v>
      </c>
      <c r="H286" s="17">
        <v>2</v>
      </c>
      <c r="I286" s="64">
        <f t="shared" si="89"/>
        <v>1</v>
      </c>
      <c r="J286" s="17">
        <v>2</v>
      </c>
      <c r="K286" s="64">
        <f t="shared" si="90"/>
        <v>1</v>
      </c>
      <c r="L286" s="17">
        <v>3</v>
      </c>
      <c r="M286" s="64">
        <f t="shared" si="91"/>
        <v>1</v>
      </c>
      <c r="N286" s="17">
        <v>2</v>
      </c>
      <c r="O286" s="64">
        <f t="shared" si="92"/>
        <v>0.4</v>
      </c>
      <c r="P286" s="17">
        <v>3</v>
      </c>
      <c r="Q286" s="64">
        <f t="shared" si="93"/>
        <v>1</v>
      </c>
      <c r="R286" s="25">
        <v>2</v>
      </c>
      <c r="S286" s="71">
        <f t="shared" si="94"/>
        <v>0.66666666666666663</v>
      </c>
      <c r="T286" s="17">
        <v>3</v>
      </c>
      <c r="U286" s="64">
        <f t="shared" si="95"/>
        <v>1</v>
      </c>
      <c r="V286" s="17">
        <v>3</v>
      </c>
      <c r="W286" s="71">
        <f t="shared" si="96"/>
        <v>0.75</v>
      </c>
      <c r="X286" s="17">
        <v>1</v>
      </c>
      <c r="Y286" s="71">
        <f t="shared" si="97"/>
        <v>0.33333333333333331</v>
      </c>
      <c r="Z286" s="17">
        <v>3</v>
      </c>
      <c r="AA286" s="71">
        <f t="shared" si="98"/>
        <v>1</v>
      </c>
      <c r="AB286" s="17">
        <v>1</v>
      </c>
      <c r="AC286" s="71">
        <f t="shared" si="99"/>
        <v>0.5</v>
      </c>
      <c r="AD286" s="57">
        <v>1</v>
      </c>
      <c r="AE286" s="57">
        <v>0</v>
      </c>
      <c r="AF286" s="57">
        <v>1</v>
      </c>
      <c r="AG286" s="57">
        <v>0</v>
      </c>
      <c r="AH286" s="57">
        <v>0</v>
      </c>
      <c r="AI286" s="57">
        <v>0</v>
      </c>
      <c r="AJ286" s="45">
        <v>2</v>
      </c>
      <c r="AK286" s="71">
        <f t="shared" si="100"/>
        <v>1</v>
      </c>
      <c r="AL286" s="17">
        <v>0</v>
      </c>
      <c r="AM286" s="71">
        <f t="shared" si="101"/>
        <v>0</v>
      </c>
      <c r="AN286" s="17">
        <v>1</v>
      </c>
      <c r="AO286" s="71">
        <f t="shared" si="102"/>
        <v>0.33333333333333331</v>
      </c>
      <c r="AP286" s="17">
        <v>3</v>
      </c>
      <c r="AQ286" s="71">
        <f t="shared" si="103"/>
        <v>1</v>
      </c>
      <c r="AR286" s="57">
        <v>0</v>
      </c>
      <c r="AS286" s="17">
        <v>2</v>
      </c>
      <c r="AT286" s="71">
        <f t="shared" si="104"/>
        <v>0.66666666666666663</v>
      </c>
      <c r="AU286" s="17">
        <v>3</v>
      </c>
      <c r="AV286" s="71">
        <f t="shared" si="105"/>
        <v>1</v>
      </c>
      <c r="AW286" s="17">
        <v>1</v>
      </c>
      <c r="AX286" s="71">
        <f t="shared" si="106"/>
        <v>0.5</v>
      </c>
      <c r="AY286" s="17">
        <v>3</v>
      </c>
      <c r="AZ286" s="71">
        <f t="shared" si="107"/>
        <v>1</v>
      </c>
      <c r="BA286" s="73">
        <v>0</v>
      </c>
      <c r="BB286" s="78">
        <v>1</v>
      </c>
      <c r="BC286" s="78">
        <v>1</v>
      </c>
      <c r="BD286" s="78">
        <v>0</v>
      </c>
      <c r="BE286" s="81">
        <f t="shared" si="108"/>
        <v>0.80749999999999988</v>
      </c>
      <c r="BF286" s="81" t="str">
        <f t="shared" si="109"/>
        <v>ALTO</v>
      </c>
    </row>
    <row r="287" spans="1:58" x14ac:dyDescent="0.15">
      <c r="A287" s="57">
        <v>4</v>
      </c>
      <c r="B287" s="61">
        <v>1</v>
      </c>
      <c r="C287" s="57">
        <v>3</v>
      </c>
      <c r="D287" s="57">
        <v>0</v>
      </c>
      <c r="E287" s="61">
        <v>1</v>
      </c>
      <c r="F287" s="17">
        <v>1</v>
      </c>
      <c r="G287" s="64">
        <f t="shared" si="88"/>
        <v>0.5</v>
      </c>
      <c r="H287" s="17">
        <v>1</v>
      </c>
      <c r="I287" s="64">
        <f t="shared" si="89"/>
        <v>0.5</v>
      </c>
      <c r="J287" s="17">
        <v>0</v>
      </c>
      <c r="K287" s="64">
        <f t="shared" si="90"/>
        <v>0</v>
      </c>
      <c r="L287" s="17">
        <v>0</v>
      </c>
      <c r="M287" s="64">
        <f t="shared" si="91"/>
        <v>0</v>
      </c>
      <c r="N287" s="17">
        <v>5</v>
      </c>
      <c r="O287" s="64">
        <f t="shared" si="92"/>
        <v>1</v>
      </c>
      <c r="P287" s="17">
        <v>0</v>
      </c>
      <c r="Q287" s="64">
        <f t="shared" si="93"/>
        <v>0</v>
      </c>
      <c r="R287" s="25">
        <v>0</v>
      </c>
      <c r="S287" s="71">
        <f t="shared" si="94"/>
        <v>0</v>
      </c>
      <c r="T287" s="17">
        <v>0</v>
      </c>
      <c r="U287" s="64">
        <f t="shared" si="95"/>
        <v>0</v>
      </c>
      <c r="V287" s="17">
        <v>3</v>
      </c>
      <c r="W287" s="71">
        <f t="shared" si="96"/>
        <v>0.75</v>
      </c>
      <c r="X287" s="17">
        <v>0</v>
      </c>
      <c r="Y287" s="71">
        <f t="shared" si="97"/>
        <v>0</v>
      </c>
      <c r="Z287" s="17">
        <v>1</v>
      </c>
      <c r="AA287" s="71">
        <f t="shared" si="98"/>
        <v>0.33333333333333331</v>
      </c>
      <c r="AB287" s="17">
        <v>2</v>
      </c>
      <c r="AC287" s="71">
        <f t="shared" si="99"/>
        <v>1</v>
      </c>
      <c r="AD287" s="57">
        <v>1</v>
      </c>
      <c r="AE287" s="57">
        <v>0</v>
      </c>
      <c r="AF287" s="57">
        <v>0</v>
      </c>
      <c r="AG287" s="57">
        <v>1</v>
      </c>
      <c r="AH287" s="57">
        <v>0</v>
      </c>
      <c r="AI287" s="57">
        <v>0</v>
      </c>
      <c r="AJ287" s="45">
        <v>0</v>
      </c>
      <c r="AK287" s="71">
        <f t="shared" si="100"/>
        <v>0</v>
      </c>
      <c r="AL287" s="17">
        <v>1</v>
      </c>
      <c r="AM287" s="71">
        <f t="shared" si="101"/>
        <v>0.33333333333333331</v>
      </c>
      <c r="AN287" s="17">
        <v>0</v>
      </c>
      <c r="AO287" s="71">
        <f t="shared" si="102"/>
        <v>0</v>
      </c>
      <c r="AP287" s="17">
        <v>0</v>
      </c>
      <c r="AQ287" s="71">
        <f t="shared" si="103"/>
        <v>0</v>
      </c>
      <c r="AR287" s="57">
        <v>3</v>
      </c>
      <c r="AS287" s="17">
        <v>1</v>
      </c>
      <c r="AT287" s="71">
        <f t="shared" si="104"/>
        <v>0.33333333333333331</v>
      </c>
      <c r="AU287" s="17">
        <v>0</v>
      </c>
      <c r="AV287" s="71">
        <f t="shared" si="105"/>
        <v>0</v>
      </c>
      <c r="AW287" s="17">
        <v>0</v>
      </c>
      <c r="AX287" s="71">
        <f t="shared" si="106"/>
        <v>0</v>
      </c>
      <c r="AY287" s="17">
        <v>2</v>
      </c>
      <c r="AZ287" s="71">
        <f t="shared" si="107"/>
        <v>0.66666666666666663</v>
      </c>
      <c r="BA287" s="73">
        <v>0</v>
      </c>
      <c r="BB287" s="78">
        <v>0</v>
      </c>
      <c r="BC287" s="78">
        <v>0</v>
      </c>
      <c r="BD287" s="78">
        <v>1</v>
      </c>
      <c r="BE287" s="81">
        <f t="shared" si="108"/>
        <v>0.29583333333333334</v>
      </c>
      <c r="BF287" s="81" t="str">
        <f t="shared" si="109"/>
        <v>BASSO</v>
      </c>
    </row>
    <row r="288" spans="1:58" x14ac:dyDescent="0.15">
      <c r="A288" s="57">
        <v>4</v>
      </c>
      <c r="B288" s="61">
        <v>1</v>
      </c>
      <c r="C288" s="57">
        <v>3</v>
      </c>
      <c r="D288" s="57">
        <v>0</v>
      </c>
      <c r="E288" s="61">
        <v>1</v>
      </c>
      <c r="F288" s="17">
        <v>2</v>
      </c>
      <c r="G288" s="64">
        <f t="shared" si="88"/>
        <v>1</v>
      </c>
      <c r="H288" s="17">
        <v>1</v>
      </c>
      <c r="I288" s="64">
        <f t="shared" si="89"/>
        <v>0.5</v>
      </c>
      <c r="J288" s="17">
        <v>2</v>
      </c>
      <c r="K288" s="64">
        <f t="shared" si="90"/>
        <v>1</v>
      </c>
      <c r="L288" s="17">
        <v>3</v>
      </c>
      <c r="M288" s="64">
        <f t="shared" si="91"/>
        <v>1</v>
      </c>
      <c r="N288" s="17">
        <v>4</v>
      </c>
      <c r="O288" s="64">
        <f t="shared" si="92"/>
        <v>0.8</v>
      </c>
      <c r="P288" s="17">
        <v>2</v>
      </c>
      <c r="Q288" s="64">
        <f t="shared" si="93"/>
        <v>0.66666666666666663</v>
      </c>
      <c r="R288" s="25">
        <v>0</v>
      </c>
      <c r="S288" s="71">
        <f t="shared" si="94"/>
        <v>0</v>
      </c>
      <c r="T288" s="17">
        <v>3</v>
      </c>
      <c r="U288" s="64">
        <f t="shared" si="95"/>
        <v>1</v>
      </c>
      <c r="V288" s="17">
        <v>3</v>
      </c>
      <c r="W288" s="71">
        <f t="shared" si="96"/>
        <v>0.75</v>
      </c>
      <c r="X288" s="17">
        <v>2</v>
      </c>
      <c r="Y288" s="71">
        <f t="shared" si="97"/>
        <v>0.66666666666666663</v>
      </c>
      <c r="Z288" s="17">
        <v>3</v>
      </c>
      <c r="AA288" s="71">
        <f t="shared" si="98"/>
        <v>1</v>
      </c>
      <c r="AB288" s="17">
        <v>0</v>
      </c>
      <c r="AC288" s="71">
        <f t="shared" si="99"/>
        <v>0</v>
      </c>
      <c r="AD288" s="57">
        <v>1</v>
      </c>
      <c r="AE288" s="57">
        <v>1</v>
      </c>
      <c r="AF288" s="57">
        <v>0</v>
      </c>
      <c r="AG288" s="57">
        <v>0</v>
      </c>
      <c r="AH288" s="57">
        <v>0</v>
      </c>
      <c r="AI288" s="57">
        <v>0</v>
      </c>
      <c r="AJ288" s="45">
        <v>2</v>
      </c>
      <c r="AK288" s="71">
        <f t="shared" si="100"/>
        <v>1</v>
      </c>
      <c r="AL288" s="17">
        <v>2</v>
      </c>
      <c r="AM288" s="71">
        <f t="shared" si="101"/>
        <v>0.66666666666666663</v>
      </c>
      <c r="AN288" s="17">
        <v>1</v>
      </c>
      <c r="AO288" s="71">
        <f t="shared" si="102"/>
        <v>0.33333333333333331</v>
      </c>
      <c r="AP288" s="17">
        <v>0</v>
      </c>
      <c r="AQ288" s="71">
        <f t="shared" si="103"/>
        <v>0</v>
      </c>
      <c r="AR288" s="57">
        <v>3</v>
      </c>
      <c r="AS288" s="17">
        <v>1</v>
      </c>
      <c r="AT288" s="71">
        <f t="shared" si="104"/>
        <v>0.33333333333333331</v>
      </c>
      <c r="AU288" s="17">
        <v>2</v>
      </c>
      <c r="AV288" s="71">
        <f t="shared" si="105"/>
        <v>0.66666666666666663</v>
      </c>
      <c r="AW288" s="17">
        <v>1</v>
      </c>
      <c r="AX288" s="71">
        <f t="shared" si="106"/>
        <v>0.5</v>
      </c>
      <c r="AY288" s="17">
        <v>3</v>
      </c>
      <c r="AZ288" s="71">
        <f t="shared" si="107"/>
        <v>1</v>
      </c>
      <c r="BA288" s="73">
        <v>0</v>
      </c>
      <c r="BB288" s="78">
        <v>1</v>
      </c>
      <c r="BC288" s="78">
        <v>1</v>
      </c>
      <c r="BD288" s="78">
        <v>0</v>
      </c>
      <c r="BE288" s="81">
        <f t="shared" si="108"/>
        <v>0.6941666666666666</v>
      </c>
      <c r="BF288" s="81" t="str">
        <f t="shared" si="109"/>
        <v>ALTO</v>
      </c>
    </row>
    <row r="289" spans="1:58" x14ac:dyDescent="0.15">
      <c r="A289" s="57">
        <v>4</v>
      </c>
      <c r="B289" s="61">
        <v>1</v>
      </c>
      <c r="C289" s="57">
        <v>3</v>
      </c>
      <c r="D289" s="57">
        <v>0</v>
      </c>
      <c r="E289" s="61">
        <v>1</v>
      </c>
      <c r="F289" s="17">
        <v>1</v>
      </c>
      <c r="G289" s="64">
        <f t="shared" si="88"/>
        <v>0.5</v>
      </c>
      <c r="H289" s="17">
        <v>1</v>
      </c>
      <c r="I289" s="64">
        <f t="shared" si="89"/>
        <v>0.5</v>
      </c>
      <c r="J289" s="17">
        <v>1</v>
      </c>
      <c r="K289" s="64">
        <f t="shared" si="90"/>
        <v>0.5</v>
      </c>
      <c r="L289" s="17">
        <v>2</v>
      </c>
      <c r="M289" s="64">
        <f t="shared" si="91"/>
        <v>0.66666666666666663</v>
      </c>
      <c r="N289" s="17">
        <v>4</v>
      </c>
      <c r="O289" s="64">
        <f t="shared" si="92"/>
        <v>0.8</v>
      </c>
      <c r="P289" s="17">
        <v>0</v>
      </c>
      <c r="Q289" s="64">
        <f t="shared" si="93"/>
        <v>0</v>
      </c>
      <c r="R289" s="25">
        <v>2</v>
      </c>
      <c r="S289" s="71">
        <f t="shared" si="94"/>
        <v>0.66666666666666663</v>
      </c>
      <c r="T289" s="17">
        <v>3</v>
      </c>
      <c r="U289" s="64">
        <f t="shared" si="95"/>
        <v>1</v>
      </c>
      <c r="V289" s="17">
        <v>4</v>
      </c>
      <c r="W289" s="71">
        <f t="shared" si="96"/>
        <v>1</v>
      </c>
      <c r="X289" s="17">
        <v>2</v>
      </c>
      <c r="Y289" s="71">
        <f t="shared" si="97"/>
        <v>0.66666666666666663</v>
      </c>
      <c r="Z289" s="17">
        <v>3</v>
      </c>
      <c r="AA289" s="71">
        <f t="shared" si="98"/>
        <v>1</v>
      </c>
      <c r="AB289" s="17">
        <v>2</v>
      </c>
      <c r="AC289" s="71">
        <f t="shared" si="99"/>
        <v>1</v>
      </c>
      <c r="AD289" s="57">
        <v>0</v>
      </c>
      <c r="AE289" s="57">
        <v>0</v>
      </c>
      <c r="AF289" s="57">
        <v>1</v>
      </c>
      <c r="AG289" s="57">
        <v>0</v>
      </c>
      <c r="AH289" s="57">
        <v>0</v>
      </c>
      <c r="AI289" s="57">
        <v>1</v>
      </c>
      <c r="AJ289" s="45">
        <v>2</v>
      </c>
      <c r="AK289" s="71">
        <f t="shared" si="100"/>
        <v>1</v>
      </c>
      <c r="AL289" s="17">
        <v>3</v>
      </c>
      <c r="AM289" s="71">
        <f t="shared" si="101"/>
        <v>1</v>
      </c>
      <c r="AN289" s="17">
        <v>2</v>
      </c>
      <c r="AO289" s="71">
        <f t="shared" si="102"/>
        <v>0.66666666666666663</v>
      </c>
      <c r="AP289" s="17">
        <v>2</v>
      </c>
      <c r="AQ289" s="71">
        <f t="shared" si="103"/>
        <v>0.66666666666666663</v>
      </c>
      <c r="AR289" s="57">
        <v>2</v>
      </c>
      <c r="AS289" s="17">
        <v>2</v>
      </c>
      <c r="AT289" s="71">
        <f t="shared" si="104"/>
        <v>0.66666666666666663</v>
      </c>
      <c r="AU289" s="17">
        <v>1</v>
      </c>
      <c r="AV289" s="71">
        <f t="shared" si="105"/>
        <v>0.33333333333333331</v>
      </c>
      <c r="AW289" s="17">
        <v>1</v>
      </c>
      <c r="AX289" s="71">
        <f t="shared" si="106"/>
        <v>0.5</v>
      </c>
      <c r="AY289" s="17">
        <v>3</v>
      </c>
      <c r="AZ289" s="71">
        <f t="shared" si="107"/>
        <v>1</v>
      </c>
      <c r="BA289" s="73">
        <v>0</v>
      </c>
      <c r="BB289" s="78">
        <v>1</v>
      </c>
      <c r="BC289" s="78">
        <v>1</v>
      </c>
      <c r="BD289" s="78">
        <v>0</v>
      </c>
      <c r="BE289" s="81">
        <f t="shared" si="108"/>
        <v>0.73166666666666669</v>
      </c>
      <c r="BF289" s="81" t="str">
        <f t="shared" si="109"/>
        <v>ALTO</v>
      </c>
    </row>
    <row r="290" spans="1:58" x14ac:dyDescent="0.15">
      <c r="A290" s="57">
        <v>5</v>
      </c>
      <c r="B290" s="58">
        <v>2</v>
      </c>
      <c r="C290" s="57">
        <v>3</v>
      </c>
      <c r="D290" s="57">
        <v>0</v>
      </c>
      <c r="E290" s="61">
        <v>1</v>
      </c>
      <c r="F290" s="17">
        <v>2</v>
      </c>
      <c r="G290" s="64">
        <f t="shared" si="88"/>
        <v>1</v>
      </c>
      <c r="H290" s="17">
        <v>2</v>
      </c>
      <c r="I290" s="64">
        <f t="shared" si="89"/>
        <v>1</v>
      </c>
      <c r="J290" s="17">
        <v>2</v>
      </c>
      <c r="K290" s="64">
        <f t="shared" si="90"/>
        <v>1</v>
      </c>
      <c r="L290" s="17">
        <v>3</v>
      </c>
      <c r="M290" s="64">
        <f t="shared" si="91"/>
        <v>1</v>
      </c>
      <c r="N290" s="17">
        <v>4</v>
      </c>
      <c r="O290" s="64">
        <f t="shared" si="92"/>
        <v>0.8</v>
      </c>
      <c r="P290" s="17">
        <v>2</v>
      </c>
      <c r="Q290" s="64">
        <f t="shared" si="93"/>
        <v>0.66666666666666663</v>
      </c>
      <c r="R290" s="25">
        <v>3</v>
      </c>
      <c r="S290" s="71">
        <f t="shared" si="94"/>
        <v>1</v>
      </c>
      <c r="T290" s="17">
        <v>3</v>
      </c>
      <c r="U290" s="64">
        <f t="shared" si="95"/>
        <v>1</v>
      </c>
      <c r="V290" s="17">
        <v>3</v>
      </c>
      <c r="W290" s="71">
        <f t="shared" si="96"/>
        <v>0.75</v>
      </c>
      <c r="X290" s="17">
        <v>3</v>
      </c>
      <c r="Y290" s="71">
        <f t="shared" si="97"/>
        <v>1</v>
      </c>
      <c r="Z290" s="17">
        <v>1</v>
      </c>
      <c r="AA290" s="71">
        <f t="shared" si="98"/>
        <v>0.33333333333333331</v>
      </c>
      <c r="AB290" s="17">
        <v>0</v>
      </c>
      <c r="AC290" s="71">
        <f t="shared" si="99"/>
        <v>0</v>
      </c>
      <c r="AD290" s="57">
        <v>0</v>
      </c>
      <c r="AE290" s="57">
        <v>0</v>
      </c>
      <c r="AF290" s="57">
        <v>1</v>
      </c>
      <c r="AG290" s="57">
        <v>0</v>
      </c>
      <c r="AH290" s="57">
        <v>0</v>
      </c>
      <c r="AI290" s="57">
        <v>0</v>
      </c>
      <c r="AJ290" s="45">
        <v>2</v>
      </c>
      <c r="AK290" s="71">
        <f t="shared" si="100"/>
        <v>1</v>
      </c>
      <c r="AL290" s="17">
        <v>2</v>
      </c>
      <c r="AM290" s="71">
        <f t="shared" si="101"/>
        <v>0.66666666666666663</v>
      </c>
      <c r="AN290" s="17">
        <v>1</v>
      </c>
      <c r="AO290" s="71">
        <f t="shared" si="102"/>
        <v>0.33333333333333331</v>
      </c>
      <c r="AP290" s="17">
        <v>3</v>
      </c>
      <c r="AQ290" s="71">
        <f t="shared" si="103"/>
        <v>1</v>
      </c>
      <c r="AR290" s="57">
        <v>2</v>
      </c>
      <c r="AS290" s="17">
        <v>2</v>
      </c>
      <c r="AT290" s="71">
        <f t="shared" si="104"/>
        <v>0.66666666666666663</v>
      </c>
      <c r="AU290" s="17">
        <v>3</v>
      </c>
      <c r="AV290" s="71">
        <f t="shared" si="105"/>
        <v>1</v>
      </c>
      <c r="AW290" s="17">
        <v>1</v>
      </c>
      <c r="AX290" s="71">
        <f t="shared" si="106"/>
        <v>0.5</v>
      </c>
      <c r="AY290" s="17">
        <v>3</v>
      </c>
      <c r="AZ290" s="71">
        <f t="shared" si="107"/>
        <v>1</v>
      </c>
      <c r="BA290" s="73">
        <v>0</v>
      </c>
      <c r="BB290" s="78">
        <v>1</v>
      </c>
      <c r="BC290" s="78">
        <v>1</v>
      </c>
      <c r="BD290" s="78">
        <v>0</v>
      </c>
      <c r="BE290" s="81">
        <f t="shared" si="108"/>
        <v>0.83583333333333343</v>
      </c>
      <c r="BF290" s="81" t="str">
        <f t="shared" si="109"/>
        <v>ALTO</v>
      </c>
    </row>
    <row r="291" spans="1:58" x14ac:dyDescent="0.15">
      <c r="A291" s="57">
        <v>4</v>
      </c>
      <c r="B291" s="61">
        <v>1</v>
      </c>
      <c r="C291" s="57">
        <v>1</v>
      </c>
      <c r="D291" s="57">
        <v>0</v>
      </c>
      <c r="E291" s="61">
        <v>1</v>
      </c>
      <c r="F291" s="17">
        <v>2</v>
      </c>
      <c r="G291" s="64">
        <f t="shared" si="88"/>
        <v>1</v>
      </c>
      <c r="H291" s="17">
        <v>0</v>
      </c>
      <c r="I291" s="64">
        <f t="shared" si="89"/>
        <v>0</v>
      </c>
      <c r="J291" s="17">
        <v>1</v>
      </c>
      <c r="K291" s="64">
        <f t="shared" si="90"/>
        <v>0.5</v>
      </c>
      <c r="L291" s="17">
        <v>2</v>
      </c>
      <c r="M291" s="64">
        <f t="shared" si="91"/>
        <v>0.66666666666666663</v>
      </c>
      <c r="N291" s="17">
        <v>4</v>
      </c>
      <c r="O291" s="64">
        <f t="shared" si="92"/>
        <v>0.8</v>
      </c>
      <c r="P291" s="17">
        <v>3</v>
      </c>
      <c r="Q291" s="64">
        <f t="shared" si="93"/>
        <v>1</v>
      </c>
      <c r="R291" s="25">
        <v>0</v>
      </c>
      <c r="S291" s="71">
        <f t="shared" si="94"/>
        <v>0</v>
      </c>
      <c r="T291" s="17">
        <v>3</v>
      </c>
      <c r="U291" s="64">
        <f t="shared" si="95"/>
        <v>1</v>
      </c>
      <c r="V291" s="17">
        <v>0</v>
      </c>
      <c r="W291" s="71">
        <f t="shared" si="96"/>
        <v>0</v>
      </c>
      <c r="X291" s="17">
        <v>2</v>
      </c>
      <c r="Y291" s="71">
        <f t="shared" si="97"/>
        <v>0.66666666666666663</v>
      </c>
      <c r="Z291" s="17">
        <v>3</v>
      </c>
      <c r="AA291" s="71">
        <f t="shared" si="98"/>
        <v>1</v>
      </c>
      <c r="AB291" s="17">
        <v>0</v>
      </c>
      <c r="AC291" s="71">
        <f t="shared" si="99"/>
        <v>0</v>
      </c>
      <c r="AD291" s="57">
        <v>0</v>
      </c>
      <c r="AE291" s="57">
        <v>1</v>
      </c>
      <c r="AF291" s="57">
        <v>1</v>
      </c>
      <c r="AG291" s="57">
        <v>0</v>
      </c>
      <c r="AH291" s="57">
        <v>0</v>
      </c>
      <c r="AI291" s="57">
        <v>0</v>
      </c>
      <c r="AJ291" s="45">
        <v>1</v>
      </c>
      <c r="AK291" s="71">
        <f t="shared" si="100"/>
        <v>0.5</v>
      </c>
      <c r="AL291" s="17">
        <v>3</v>
      </c>
      <c r="AM291" s="71">
        <f t="shared" si="101"/>
        <v>1</v>
      </c>
      <c r="AN291" s="17">
        <v>1</v>
      </c>
      <c r="AO291" s="71">
        <f t="shared" si="102"/>
        <v>0.33333333333333331</v>
      </c>
      <c r="AP291" s="17">
        <v>2</v>
      </c>
      <c r="AQ291" s="71">
        <f t="shared" si="103"/>
        <v>0.66666666666666663</v>
      </c>
      <c r="AR291" s="57">
        <v>0</v>
      </c>
      <c r="AS291" s="17">
        <v>3</v>
      </c>
      <c r="AT291" s="71">
        <f t="shared" si="104"/>
        <v>1</v>
      </c>
      <c r="AU291" s="17">
        <v>3</v>
      </c>
      <c r="AV291" s="71">
        <f t="shared" si="105"/>
        <v>1</v>
      </c>
      <c r="AW291" s="17">
        <v>1</v>
      </c>
      <c r="AX291" s="71">
        <f t="shared" si="106"/>
        <v>0.5</v>
      </c>
      <c r="AY291" s="17">
        <v>1</v>
      </c>
      <c r="AZ291" s="71">
        <f t="shared" si="107"/>
        <v>0.33333333333333331</v>
      </c>
      <c r="BA291" s="73">
        <v>0</v>
      </c>
      <c r="BB291" s="78">
        <v>0</v>
      </c>
      <c r="BC291" s="78">
        <v>1</v>
      </c>
      <c r="BD291" s="78">
        <v>0</v>
      </c>
      <c r="BE291" s="81">
        <f t="shared" si="108"/>
        <v>0.64833333333333332</v>
      </c>
      <c r="BF291" s="81" t="str">
        <f t="shared" si="109"/>
        <v>MEDIO</v>
      </c>
    </row>
    <row r="292" spans="1:58" x14ac:dyDescent="0.15">
      <c r="A292" s="63">
        <v>5</v>
      </c>
      <c r="B292" s="61">
        <v>1</v>
      </c>
      <c r="C292" s="63">
        <v>2</v>
      </c>
      <c r="D292" s="63">
        <v>0</v>
      </c>
      <c r="E292" s="61">
        <v>1</v>
      </c>
      <c r="F292" s="39">
        <v>2</v>
      </c>
      <c r="G292" s="64">
        <f t="shared" si="88"/>
        <v>1</v>
      </c>
      <c r="H292" s="39">
        <v>1</v>
      </c>
      <c r="I292" s="64">
        <f t="shared" si="89"/>
        <v>0.5</v>
      </c>
      <c r="J292" s="39">
        <v>2</v>
      </c>
      <c r="K292" s="64">
        <f t="shared" si="90"/>
        <v>1</v>
      </c>
      <c r="L292" s="39">
        <v>3</v>
      </c>
      <c r="M292" s="64">
        <f t="shared" si="91"/>
        <v>1</v>
      </c>
      <c r="N292" s="39">
        <v>4</v>
      </c>
      <c r="O292" s="64">
        <f t="shared" si="92"/>
        <v>0.8</v>
      </c>
      <c r="P292" s="39">
        <v>3</v>
      </c>
      <c r="Q292" s="64">
        <f t="shared" si="93"/>
        <v>1</v>
      </c>
      <c r="R292" s="40">
        <v>3</v>
      </c>
      <c r="S292" s="71">
        <f t="shared" si="94"/>
        <v>1</v>
      </c>
      <c r="T292" s="39">
        <v>2</v>
      </c>
      <c r="U292" s="64">
        <f t="shared" si="95"/>
        <v>0.66666666666666663</v>
      </c>
      <c r="V292" s="39">
        <v>2</v>
      </c>
      <c r="W292" s="71">
        <f t="shared" si="96"/>
        <v>0.5</v>
      </c>
      <c r="X292" s="39">
        <v>3</v>
      </c>
      <c r="Y292" s="71">
        <f t="shared" si="97"/>
        <v>1</v>
      </c>
      <c r="Z292" s="39">
        <v>3</v>
      </c>
      <c r="AA292" s="71">
        <f t="shared" si="98"/>
        <v>1</v>
      </c>
      <c r="AB292" s="39">
        <v>2</v>
      </c>
      <c r="AC292" s="71">
        <f t="shared" si="99"/>
        <v>1</v>
      </c>
      <c r="AD292" s="63">
        <v>0</v>
      </c>
      <c r="AE292" s="63">
        <v>1</v>
      </c>
      <c r="AF292" s="63">
        <v>1</v>
      </c>
      <c r="AG292" s="63">
        <v>0</v>
      </c>
      <c r="AH292" s="63">
        <v>0</v>
      </c>
      <c r="AI292" s="63">
        <v>0</v>
      </c>
      <c r="AJ292" s="45">
        <v>2</v>
      </c>
      <c r="AK292" s="71">
        <f t="shared" si="100"/>
        <v>1</v>
      </c>
      <c r="AL292" s="39">
        <v>3</v>
      </c>
      <c r="AM292" s="71">
        <f t="shared" si="101"/>
        <v>1</v>
      </c>
      <c r="AN292" s="39">
        <v>2</v>
      </c>
      <c r="AO292" s="71">
        <f t="shared" si="102"/>
        <v>0.66666666666666663</v>
      </c>
      <c r="AP292" s="39">
        <v>3</v>
      </c>
      <c r="AQ292" s="71">
        <f t="shared" si="103"/>
        <v>1</v>
      </c>
      <c r="AR292" s="63">
        <v>2</v>
      </c>
      <c r="AS292" s="39">
        <v>2</v>
      </c>
      <c r="AT292" s="71">
        <f t="shared" si="104"/>
        <v>0.66666666666666663</v>
      </c>
      <c r="AU292" s="39">
        <v>3</v>
      </c>
      <c r="AV292" s="71">
        <f t="shared" si="105"/>
        <v>1</v>
      </c>
      <c r="AW292" s="39">
        <v>1</v>
      </c>
      <c r="AX292" s="71">
        <f t="shared" si="106"/>
        <v>0.5</v>
      </c>
      <c r="AY292" s="39">
        <v>3</v>
      </c>
      <c r="AZ292" s="71">
        <f t="shared" si="107"/>
        <v>1</v>
      </c>
      <c r="BA292" s="79">
        <v>1</v>
      </c>
      <c r="BB292" s="80">
        <v>1</v>
      </c>
      <c r="BC292" s="80">
        <v>0</v>
      </c>
      <c r="BD292" s="80">
        <v>0</v>
      </c>
      <c r="BE292" s="81">
        <f t="shared" si="108"/>
        <v>0.91499999999999981</v>
      </c>
      <c r="BF292" s="81" t="str">
        <f t="shared" si="109"/>
        <v>ALTO</v>
      </c>
    </row>
    <row r="293" spans="1:58" x14ac:dyDescent="0.15">
      <c r="A293" s="57">
        <v>2</v>
      </c>
      <c r="B293" s="57">
        <v>2</v>
      </c>
      <c r="C293" s="57">
        <v>1</v>
      </c>
      <c r="D293" s="57">
        <v>2</v>
      </c>
      <c r="E293" s="57">
        <v>1</v>
      </c>
      <c r="F293" s="17">
        <v>1</v>
      </c>
      <c r="G293" s="64">
        <f t="shared" si="88"/>
        <v>0.5</v>
      </c>
      <c r="H293" s="17">
        <v>2</v>
      </c>
      <c r="I293" s="64">
        <f t="shared" si="89"/>
        <v>1</v>
      </c>
      <c r="J293" s="17">
        <v>0</v>
      </c>
      <c r="K293" s="64">
        <f t="shared" si="90"/>
        <v>0</v>
      </c>
      <c r="L293" s="17">
        <v>0</v>
      </c>
      <c r="M293" s="64">
        <f t="shared" si="91"/>
        <v>0</v>
      </c>
      <c r="N293" s="17">
        <v>2</v>
      </c>
      <c r="O293" s="64">
        <f t="shared" si="92"/>
        <v>0.4</v>
      </c>
      <c r="P293" s="17">
        <v>0</v>
      </c>
      <c r="Q293" s="64">
        <f t="shared" si="93"/>
        <v>0</v>
      </c>
      <c r="R293" s="25">
        <v>2</v>
      </c>
      <c r="S293" s="71">
        <f t="shared" si="94"/>
        <v>0.66666666666666663</v>
      </c>
      <c r="T293" s="17">
        <v>0</v>
      </c>
      <c r="U293" s="64">
        <f t="shared" si="95"/>
        <v>0</v>
      </c>
      <c r="V293" s="17">
        <v>3</v>
      </c>
      <c r="W293" s="71">
        <f t="shared" si="96"/>
        <v>0.75</v>
      </c>
      <c r="X293" s="17">
        <v>2</v>
      </c>
      <c r="Y293" s="71">
        <f t="shared" si="97"/>
        <v>0.66666666666666663</v>
      </c>
      <c r="Z293" s="17">
        <v>1</v>
      </c>
      <c r="AA293" s="71">
        <f t="shared" si="98"/>
        <v>0.33333333333333331</v>
      </c>
      <c r="AB293" s="17">
        <v>2</v>
      </c>
      <c r="AC293" s="71">
        <f t="shared" si="99"/>
        <v>1</v>
      </c>
      <c r="AD293" s="57">
        <v>1</v>
      </c>
      <c r="AE293" s="57">
        <v>0</v>
      </c>
      <c r="AF293" s="57">
        <v>1</v>
      </c>
      <c r="AG293" s="57">
        <v>0</v>
      </c>
      <c r="AH293" s="57">
        <v>0</v>
      </c>
      <c r="AI293" s="57">
        <v>0</v>
      </c>
      <c r="AJ293" s="45">
        <v>1</v>
      </c>
      <c r="AK293" s="71">
        <f t="shared" si="100"/>
        <v>0.5</v>
      </c>
      <c r="AL293" s="17">
        <v>0</v>
      </c>
      <c r="AM293" s="71">
        <f t="shared" si="101"/>
        <v>0</v>
      </c>
      <c r="AN293" s="17">
        <v>0</v>
      </c>
      <c r="AO293" s="71">
        <f t="shared" si="102"/>
        <v>0</v>
      </c>
      <c r="AP293" s="17">
        <v>0</v>
      </c>
      <c r="AQ293" s="71">
        <f t="shared" si="103"/>
        <v>0</v>
      </c>
      <c r="AR293" s="57">
        <v>2</v>
      </c>
      <c r="AS293" s="17">
        <v>0</v>
      </c>
      <c r="AT293" s="71">
        <f t="shared" si="104"/>
        <v>0</v>
      </c>
      <c r="AU293" s="17">
        <v>0</v>
      </c>
      <c r="AV293" s="71">
        <f t="shared" si="105"/>
        <v>0</v>
      </c>
      <c r="AW293" s="17">
        <v>0</v>
      </c>
      <c r="AX293" s="71">
        <f t="shared" si="106"/>
        <v>0</v>
      </c>
      <c r="AY293" s="17">
        <v>0</v>
      </c>
      <c r="AZ293" s="71">
        <f t="shared" si="107"/>
        <v>0</v>
      </c>
      <c r="BA293" s="73">
        <v>0</v>
      </c>
      <c r="BB293" s="78">
        <v>0</v>
      </c>
      <c r="BC293" s="78">
        <v>0</v>
      </c>
      <c r="BD293" s="78">
        <v>1</v>
      </c>
      <c r="BE293" s="81">
        <f t="shared" si="108"/>
        <v>0.3158333333333333</v>
      </c>
      <c r="BF293" s="81" t="str">
        <f t="shared" si="109"/>
        <v>BASSO</v>
      </c>
    </row>
    <row r="294" spans="1:58" x14ac:dyDescent="0.15">
      <c r="A294" s="57">
        <v>2</v>
      </c>
      <c r="B294" s="57">
        <v>2</v>
      </c>
      <c r="C294" s="57">
        <v>2</v>
      </c>
      <c r="D294" s="57">
        <v>2</v>
      </c>
      <c r="E294" s="57">
        <v>1</v>
      </c>
      <c r="F294" s="17">
        <v>2</v>
      </c>
      <c r="G294" s="64">
        <f t="shared" si="88"/>
        <v>1</v>
      </c>
      <c r="H294" s="17">
        <v>1</v>
      </c>
      <c r="I294" s="64">
        <f t="shared" si="89"/>
        <v>0.5</v>
      </c>
      <c r="J294" s="17">
        <v>1</v>
      </c>
      <c r="K294" s="64">
        <f t="shared" si="90"/>
        <v>0.5</v>
      </c>
      <c r="L294" s="17">
        <v>1</v>
      </c>
      <c r="M294" s="64">
        <f t="shared" si="91"/>
        <v>0.33333333333333331</v>
      </c>
      <c r="N294" s="17">
        <v>2</v>
      </c>
      <c r="O294" s="64">
        <f t="shared" si="92"/>
        <v>0.4</v>
      </c>
      <c r="P294" s="17">
        <v>0</v>
      </c>
      <c r="Q294" s="64">
        <f t="shared" si="93"/>
        <v>0</v>
      </c>
      <c r="R294" s="25">
        <v>0</v>
      </c>
      <c r="S294" s="71">
        <f t="shared" si="94"/>
        <v>0</v>
      </c>
      <c r="T294" s="17">
        <v>3</v>
      </c>
      <c r="U294" s="64">
        <f t="shared" si="95"/>
        <v>1</v>
      </c>
      <c r="V294" s="17">
        <v>0</v>
      </c>
      <c r="W294" s="71">
        <f t="shared" si="96"/>
        <v>0</v>
      </c>
      <c r="X294" s="17">
        <v>2</v>
      </c>
      <c r="Y294" s="71">
        <f t="shared" si="97"/>
        <v>0.66666666666666663</v>
      </c>
      <c r="Z294" s="17">
        <v>3</v>
      </c>
      <c r="AA294" s="71">
        <f t="shared" si="98"/>
        <v>1</v>
      </c>
      <c r="AB294" s="17">
        <v>1</v>
      </c>
      <c r="AC294" s="71">
        <f t="shared" si="99"/>
        <v>0.5</v>
      </c>
      <c r="AD294" s="57">
        <v>1</v>
      </c>
      <c r="AE294" s="57">
        <v>0</v>
      </c>
      <c r="AF294" s="57">
        <v>1</v>
      </c>
      <c r="AG294" s="57">
        <v>0</v>
      </c>
      <c r="AH294" s="57">
        <v>0</v>
      </c>
      <c r="AI294" s="57">
        <v>0</v>
      </c>
      <c r="AJ294" s="45">
        <v>0</v>
      </c>
      <c r="AK294" s="71">
        <f t="shared" si="100"/>
        <v>0</v>
      </c>
      <c r="AL294" s="17">
        <v>1</v>
      </c>
      <c r="AM294" s="71">
        <f t="shared" si="101"/>
        <v>0.33333333333333331</v>
      </c>
      <c r="AN294" s="17">
        <v>1</v>
      </c>
      <c r="AO294" s="71">
        <f t="shared" si="102"/>
        <v>0.33333333333333331</v>
      </c>
      <c r="AP294" s="17">
        <v>2</v>
      </c>
      <c r="AQ294" s="71">
        <f t="shared" si="103"/>
        <v>0.66666666666666663</v>
      </c>
      <c r="AR294" s="57">
        <v>2</v>
      </c>
      <c r="AS294" s="17">
        <v>0</v>
      </c>
      <c r="AT294" s="71">
        <f t="shared" si="104"/>
        <v>0</v>
      </c>
      <c r="AU294" s="17">
        <v>3</v>
      </c>
      <c r="AV294" s="71">
        <f t="shared" si="105"/>
        <v>1</v>
      </c>
      <c r="AW294" s="17">
        <v>1</v>
      </c>
      <c r="AX294" s="71">
        <f t="shared" si="106"/>
        <v>0.5</v>
      </c>
      <c r="AY294" s="17">
        <v>0</v>
      </c>
      <c r="AZ294" s="71">
        <f t="shared" si="107"/>
        <v>0</v>
      </c>
      <c r="BA294" s="73">
        <v>1</v>
      </c>
      <c r="BB294" s="78">
        <v>1</v>
      </c>
      <c r="BC294" s="78">
        <v>0</v>
      </c>
      <c r="BD294" s="78">
        <v>0</v>
      </c>
      <c r="BE294" s="81">
        <f t="shared" si="108"/>
        <v>0.48666666666666664</v>
      </c>
      <c r="BF294" s="81" t="str">
        <f t="shared" si="109"/>
        <v>MEDIO</v>
      </c>
    </row>
    <row r="295" spans="1:58" x14ac:dyDescent="0.15">
      <c r="A295" s="57">
        <v>4</v>
      </c>
      <c r="B295" s="57">
        <v>1</v>
      </c>
      <c r="C295" s="57">
        <v>2</v>
      </c>
      <c r="D295" s="57">
        <v>0</v>
      </c>
      <c r="E295" s="57">
        <v>1</v>
      </c>
      <c r="F295" s="17">
        <v>1</v>
      </c>
      <c r="G295" s="64">
        <f t="shared" si="88"/>
        <v>0.5</v>
      </c>
      <c r="H295" s="17">
        <v>1</v>
      </c>
      <c r="I295" s="64">
        <f t="shared" si="89"/>
        <v>0.5</v>
      </c>
      <c r="J295" s="17">
        <v>1</v>
      </c>
      <c r="K295" s="64">
        <f t="shared" si="90"/>
        <v>0.5</v>
      </c>
      <c r="L295" s="17">
        <v>1</v>
      </c>
      <c r="M295" s="64">
        <f t="shared" si="91"/>
        <v>0.33333333333333331</v>
      </c>
      <c r="N295" s="17">
        <v>4</v>
      </c>
      <c r="O295" s="64">
        <f t="shared" si="92"/>
        <v>0.8</v>
      </c>
      <c r="P295" s="17">
        <v>3</v>
      </c>
      <c r="Q295" s="64">
        <f t="shared" si="93"/>
        <v>1</v>
      </c>
      <c r="R295" s="25">
        <v>2</v>
      </c>
      <c r="S295" s="71">
        <f t="shared" si="94"/>
        <v>0.66666666666666663</v>
      </c>
      <c r="T295" s="17">
        <v>3</v>
      </c>
      <c r="U295" s="64">
        <f t="shared" si="95"/>
        <v>1</v>
      </c>
      <c r="V295" s="17">
        <v>4</v>
      </c>
      <c r="W295" s="71">
        <f t="shared" si="96"/>
        <v>1</v>
      </c>
      <c r="X295" s="17">
        <v>2</v>
      </c>
      <c r="Y295" s="71">
        <f t="shared" si="97"/>
        <v>0.66666666666666663</v>
      </c>
      <c r="Z295" s="17">
        <v>3</v>
      </c>
      <c r="AA295" s="71">
        <f t="shared" si="98"/>
        <v>1</v>
      </c>
      <c r="AB295" s="17">
        <v>0</v>
      </c>
      <c r="AC295" s="71">
        <f t="shared" si="99"/>
        <v>0</v>
      </c>
      <c r="AD295" s="57">
        <v>1</v>
      </c>
      <c r="AE295" s="57">
        <v>0</v>
      </c>
      <c r="AF295" s="57">
        <v>1</v>
      </c>
      <c r="AG295" s="57">
        <v>0</v>
      </c>
      <c r="AH295" s="57">
        <v>0</v>
      </c>
      <c r="AI295" s="57">
        <v>0</v>
      </c>
      <c r="AJ295" s="45">
        <v>1</v>
      </c>
      <c r="AK295" s="71">
        <f t="shared" si="100"/>
        <v>0.5</v>
      </c>
      <c r="AL295" s="17">
        <v>2</v>
      </c>
      <c r="AM295" s="71">
        <f t="shared" si="101"/>
        <v>0.66666666666666663</v>
      </c>
      <c r="AN295" s="17">
        <v>2</v>
      </c>
      <c r="AO295" s="71">
        <f t="shared" si="102"/>
        <v>0.66666666666666663</v>
      </c>
      <c r="AP295" s="17">
        <v>2</v>
      </c>
      <c r="AQ295" s="71">
        <f t="shared" si="103"/>
        <v>0.66666666666666663</v>
      </c>
      <c r="AR295" s="57">
        <v>2</v>
      </c>
      <c r="AS295" s="17">
        <v>3</v>
      </c>
      <c r="AT295" s="71">
        <f t="shared" si="104"/>
        <v>1</v>
      </c>
      <c r="AU295" s="17">
        <v>3</v>
      </c>
      <c r="AV295" s="71">
        <f t="shared" si="105"/>
        <v>1</v>
      </c>
      <c r="AW295" s="17">
        <v>1</v>
      </c>
      <c r="AX295" s="71">
        <f t="shared" si="106"/>
        <v>0.5</v>
      </c>
      <c r="AY295" s="17">
        <v>3</v>
      </c>
      <c r="AZ295" s="71">
        <f t="shared" si="107"/>
        <v>1</v>
      </c>
      <c r="BA295" s="73">
        <v>1</v>
      </c>
      <c r="BB295" s="78">
        <v>1</v>
      </c>
      <c r="BC295" s="78">
        <v>0</v>
      </c>
      <c r="BD295" s="78">
        <v>0</v>
      </c>
      <c r="BE295" s="81">
        <f t="shared" si="108"/>
        <v>0.72333333333333338</v>
      </c>
      <c r="BF295" s="81" t="str">
        <f t="shared" si="109"/>
        <v>ALTO</v>
      </c>
    </row>
    <row r="296" spans="1:58" x14ac:dyDescent="0.15">
      <c r="A296" s="63">
        <v>4</v>
      </c>
      <c r="B296" s="63">
        <v>2</v>
      </c>
      <c r="C296" s="63">
        <v>1</v>
      </c>
      <c r="D296" s="63">
        <v>0</v>
      </c>
      <c r="E296" s="63">
        <v>1</v>
      </c>
      <c r="F296" s="39">
        <v>0</v>
      </c>
      <c r="G296" s="64">
        <f t="shared" ref="G296:G321" si="110">F297/2</f>
        <v>0</v>
      </c>
      <c r="H296" s="39">
        <v>2</v>
      </c>
      <c r="I296" s="64">
        <f t="shared" si="89"/>
        <v>1</v>
      </c>
      <c r="J296" s="39">
        <v>2</v>
      </c>
      <c r="K296" s="64">
        <f t="shared" si="90"/>
        <v>1</v>
      </c>
      <c r="L296" s="39">
        <v>3</v>
      </c>
      <c r="M296" s="64">
        <f t="shared" si="91"/>
        <v>1</v>
      </c>
      <c r="N296" s="39">
        <v>2</v>
      </c>
      <c r="O296" s="64">
        <f t="shared" si="92"/>
        <v>0.4</v>
      </c>
      <c r="P296" s="39">
        <v>3</v>
      </c>
      <c r="Q296" s="64">
        <f t="shared" si="93"/>
        <v>1</v>
      </c>
      <c r="R296" s="40">
        <v>3</v>
      </c>
      <c r="S296" s="71">
        <f t="shared" si="94"/>
        <v>1</v>
      </c>
      <c r="T296" s="39">
        <v>3</v>
      </c>
      <c r="U296" s="64">
        <f t="shared" si="95"/>
        <v>1</v>
      </c>
      <c r="V296" s="39">
        <v>3</v>
      </c>
      <c r="W296" s="71">
        <f t="shared" si="96"/>
        <v>0.75</v>
      </c>
      <c r="X296" s="39">
        <v>3</v>
      </c>
      <c r="Y296" s="71">
        <f t="shared" si="97"/>
        <v>1</v>
      </c>
      <c r="Z296" s="39">
        <v>0</v>
      </c>
      <c r="AA296" s="71">
        <f t="shared" si="98"/>
        <v>0</v>
      </c>
      <c r="AB296" s="39">
        <v>0</v>
      </c>
      <c r="AC296" s="71">
        <f t="shared" si="99"/>
        <v>0</v>
      </c>
      <c r="AD296" s="63">
        <v>1</v>
      </c>
      <c r="AE296" s="63">
        <v>1</v>
      </c>
      <c r="AF296" s="63">
        <v>0</v>
      </c>
      <c r="AG296" s="63">
        <v>0</v>
      </c>
      <c r="AH296" s="63">
        <v>0</v>
      </c>
      <c r="AI296" s="63">
        <v>0</v>
      </c>
      <c r="AJ296" s="45">
        <v>1</v>
      </c>
      <c r="AK296" s="71">
        <f t="shared" si="100"/>
        <v>0.5</v>
      </c>
      <c r="AL296" s="39">
        <v>2</v>
      </c>
      <c r="AM296" s="71">
        <f t="shared" si="101"/>
        <v>0.66666666666666663</v>
      </c>
      <c r="AN296" s="39">
        <v>0</v>
      </c>
      <c r="AO296" s="71">
        <f t="shared" si="102"/>
        <v>0</v>
      </c>
      <c r="AP296" s="39">
        <v>1</v>
      </c>
      <c r="AQ296" s="71">
        <f t="shared" si="103"/>
        <v>0.33333333333333331</v>
      </c>
      <c r="AR296" s="63">
        <v>1</v>
      </c>
      <c r="AS296" s="39">
        <v>2</v>
      </c>
      <c r="AT296" s="71">
        <f t="shared" si="104"/>
        <v>0.66666666666666663</v>
      </c>
      <c r="AU296" s="39">
        <v>1</v>
      </c>
      <c r="AV296" s="71">
        <f t="shared" si="105"/>
        <v>0.33333333333333331</v>
      </c>
      <c r="AW296" s="39">
        <v>1</v>
      </c>
      <c r="AX296" s="71">
        <f t="shared" si="106"/>
        <v>0.5</v>
      </c>
      <c r="AY296" s="39">
        <v>1</v>
      </c>
      <c r="AZ296" s="71">
        <f t="shared" si="107"/>
        <v>0.33333333333333331</v>
      </c>
      <c r="BA296" s="79">
        <v>1</v>
      </c>
      <c r="BB296" s="80">
        <v>0</v>
      </c>
      <c r="BC296" s="80">
        <v>0</v>
      </c>
      <c r="BD296" s="80">
        <v>0</v>
      </c>
      <c r="BE296" s="81">
        <f t="shared" si="108"/>
        <v>0.57416666666666671</v>
      </c>
      <c r="BF296" s="81" t="str">
        <f t="shared" si="109"/>
        <v>MEDIO</v>
      </c>
    </row>
    <row r="297" spans="1:58" x14ac:dyDescent="0.15">
      <c r="G297" s="64">
        <f t="shared" si="110"/>
        <v>0</v>
      </c>
      <c r="I297" s="64">
        <f t="shared" si="89"/>
        <v>0</v>
      </c>
      <c r="K297" s="64">
        <f t="shared" si="90"/>
        <v>0</v>
      </c>
      <c r="M297" s="64">
        <f t="shared" si="91"/>
        <v>0</v>
      </c>
      <c r="O297" s="64">
        <f t="shared" si="92"/>
        <v>0</v>
      </c>
      <c r="Q297" s="64">
        <f t="shared" si="93"/>
        <v>0</v>
      </c>
      <c r="S297" s="71">
        <f t="shared" si="94"/>
        <v>0</v>
      </c>
      <c r="U297" s="64">
        <f t="shared" si="95"/>
        <v>0</v>
      </c>
      <c r="W297" s="71">
        <f t="shared" si="96"/>
        <v>0</v>
      </c>
      <c r="Y297" s="71">
        <f t="shared" si="97"/>
        <v>0</v>
      </c>
      <c r="AA297" s="71">
        <f t="shared" si="98"/>
        <v>0</v>
      </c>
      <c r="AC297" s="71">
        <f t="shared" si="99"/>
        <v>0</v>
      </c>
      <c r="AK297" s="71">
        <f t="shared" si="100"/>
        <v>0</v>
      </c>
      <c r="AM297" s="71">
        <f t="shared" si="101"/>
        <v>0</v>
      </c>
      <c r="AO297" s="71">
        <f t="shared" si="102"/>
        <v>0</v>
      </c>
      <c r="AQ297" s="71">
        <f t="shared" si="103"/>
        <v>0</v>
      </c>
      <c r="AT297" s="71">
        <f t="shared" si="104"/>
        <v>0</v>
      </c>
      <c r="AV297" s="71">
        <f t="shared" si="105"/>
        <v>0</v>
      </c>
      <c r="AX297" s="71">
        <f t="shared" si="106"/>
        <v>0</v>
      </c>
      <c r="AZ297" s="71">
        <f t="shared" si="107"/>
        <v>0</v>
      </c>
      <c r="BE297" s="81">
        <f t="shared" si="108"/>
        <v>0</v>
      </c>
      <c r="BF297" s="81" t="str">
        <f t="shared" si="109"/>
        <v>BASSO</v>
      </c>
    </row>
    <row r="298" spans="1:58" x14ac:dyDescent="0.15">
      <c r="G298" s="64">
        <f t="shared" si="110"/>
        <v>0</v>
      </c>
      <c r="I298" s="64">
        <f t="shared" si="89"/>
        <v>0</v>
      </c>
      <c r="K298" s="64">
        <f t="shared" si="90"/>
        <v>0</v>
      </c>
      <c r="M298" s="64">
        <f t="shared" si="91"/>
        <v>0</v>
      </c>
      <c r="O298" s="64">
        <f t="shared" si="92"/>
        <v>0</v>
      </c>
      <c r="Q298" s="64">
        <f t="shared" si="93"/>
        <v>0</v>
      </c>
      <c r="S298" s="71">
        <f t="shared" si="94"/>
        <v>0</v>
      </c>
      <c r="U298" s="64">
        <f t="shared" si="95"/>
        <v>0</v>
      </c>
      <c r="W298" s="71">
        <f t="shared" si="96"/>
        <v>0</v>
      </c>
      <c r="Y298" s="71">
        <f t="shared" si="97"/>
        <v>0</v>
      </c>
      <c r="AA298" s="71">
        <f t="shared" si="98"/>
        <v>0</v>
      </c>
      <c r="AC298" s="71">
        <f t="shared" si="99"/>
        <v>0</v>
      </c>
      <c r="AK298" s="71">
        <f t="shared" si="100"/>
        <v>0</v>
      </c>
      <c r="AM298" s="71">
        <f t="shared" si="101"/>
        <v>0</v>
      </c>
      <c r="AO298" s="71">
        <f t="shared" si="102"/>
        <v>0</v>
      </c>
      <c r="AQ298" s="71">
        <f t="shared" si="103"/>
        <v>0</v>
      </c>
      <c r="AT298" s="71">
        <f t="shared" si="104"/>
        <v>0</v>
      </c>
      <c r="AV298" s="71">
        <f t="shared" si="105"/>
        <v>0</v>
      </c>
      <c r="AX298" s="71">
        <f t="shared" si="106"/>
        <v>0</v>
      </c>
      <c r="AZ298" s="71">
        <f t="shared" si="107"/>
        <v>0</v>
      </c>
      <c r="BE298" s="81">
        <f t="shared" si="108"/>
        <v>0</v>
      </c>
      <c r="BF298" s="81" t="str">
        <f t="shared" si="109"/>
        <v>BASSO</v>
      </c>
    </row>
    <row r="299" spans="1:58" x14ac:dyDescent="0.15">
      <c r="G299" s="64">
        <f t="shared" si="110"/>
        <v>0</v>
      </c>
      <c r="I299" s="64">
        <f t="shared" si="89"/>
        <v>0</v>
      </c>
      <c r="K299" s="64">
        <f t="shared" si="90"/>
        <v>0</v>
      </c>
      <c r="M299" s="64">
        <f t="shared" si="91"/>
        <v>0</v>
      </c>
      <c r="O299" s="64">
        <f t="shared" si="92"/>
        <v>0</v>
      </c>
      <c r="Q299" s="64">
        <f t="shared" si="93"/>
        <v>0</v>
      </c>
      <c r="S299" s="71">
        <f t="shared" si="94"/>
        <v>0</v>
      </c>
      <c r="U299" s="64">
        <f t="shared" si="95"/>
        <v>0</v>
      </c>
      <c r="W299" s="71">
        <f t="shared" si="96"/>
        <v>0</v>
      </c>
      <c r="Y299" s="71">
        <f t="shared" si="97"/>
        <v>0</v>
      </c>
      <c r="AA299" s="71">
        <f t="shared" si="98"/>
        <v>0</v>
      </c>
      <c r="AC299" s="71">
        <f t="shared" si="99"/>
        <v>0</v>
      </c>
      <c r="AK299" s="71">
        <f t="shared" si="100"/>
        <v>0</v>
      </c>
      <c r="AM299" s="71">
        <f t="shared" si="101"/>
        <v>0</v>
      </c>
      <c r="AO299" s="71">
        <f t="shared" si="102"/>
        <v>0</v>
      </c>
      <c r="AQ299" s="71">
        <f t="shared" si="103"/>
        <v>0</v>
      </c>
      <c r="AT299" s="71">
        <f t="shared" si="104"/>
        <v>0</v>
      </c>
      <c r="AV299" s="71">
        <f t="shared" si="105"/>
        <v>0</v>
      </c>
      <c r="AX299" s="71">
        <f t="shared" si="106"/>
        <v>0</v>
      </c>
      <c r="AZ299" s="71">
        <f t="shared" si="107"/>
        <v>0</v>
      </c>
      <c r="BE299" s="81">
        <f t="shared" si="108"/>
        <v>0</v>
      </c>
      <c r="BF299" s="81" t="str">
        <f t="shared" si="109"/>
        <v>BASSO</v>
      </c>
    </row>
    <row r="300" spans="1:58" x14ac:dyDescent="0.15">
      <c r="G300" s="64">
        <f t="shared" si="110"/>
        <v>0</v>
      </c>
      <c r="I300" s="64">
        <f t="shared" si="89"/>
        <v>0</v>
      </c>
      <c r="K300" s="64">
        <f t="shared" si="90"/>
        <v>0</v>
      </c>
      <c r="M300" s="64">
        <f t="shared" si="91"/>
        <v>0</v>
      </c>
      <c r="O300" s="64">
        <f t="shared" si="92"/>
        <v>0</v>
      </c>
      <c r="Q300" s="64">
        <f t="shared" si="93"/>
        <v>0</v>
      </c>
      <c r="S300" s="71">
        <f t="shared" si="94"/>
        <v>0</v>
      </c>
      <c r="U300" s="64">
        <f t="shared" si="95"/>
        <v>0</v>
      </c>
      <c r="W300" s="71">
        <f t="shared" si="96"/>
        <v>0</v>
      </c>
      <c r="Y300" s="71">
        <f t="shared" si="97"/>
        <v>0</v>
      </c>
      <c r="AA300" s="71">
        <f t="shared" si="98"/>
        <v>0</v>
      </c>
      <c r="AC300" s="71">
        <f t="shared" si="99"/>
        <v>0</v>
      </c>
      <c r="AK300" s="71">
        <f t="shared" si="100"/>
        <v>0</v>
      </c>
      <c r="AM300" s="71">
        <f t="shared" si="101"/>
        <v>0</v>
      </c>
      <c r="AO300" s="71">
        <f t="shared" si="102"/>
        <v>0</v>
      </c>
      <c r="AQ300" s="71">
        <f t="shared" si="103"/>
        <v>0</v>
      </c>
      <c r="AT300" s="71">
        <f t="shared" si="104"/>
        <v>0</v>
      </c>
      <c r="AV300" s="71">
        <f t="shared" si="105"/>
        <v>0</v>
      </c>
      <c r="AX300" s="71">
        <f t="shared" si="106"/>
        <v>0</v>
      </c>
      <c r="AZ300" s="71">
        <f t="shared" si="107"/>
        <v>0</v>
      </c>
      <c r="BE300" s="81">
        <f t="shared" si="108"/>
        <v>0</v>
      </c>
      <c r="BF300" s="81" t="str">
        <f t="shared" si="109"/>
        <v>BASSO</v>
      </c>
    </row>
    <row r="301" spans="1:58" x14ac:dyDescent="0.15">
      <c r="G301" s="64">
        <f t="shared" si="110"/>
        <v>0</v>
      </c>
      <c r="I301" s="64">
        <f t="shared" si="89"/>
        <v>0</v>
      </c>
      <c r="K301" s="64">
        <f t="shared" si="90"/>
        <v>0</v>
      </c>
      <c r="M301" s="64">
        <f t="shared" si="91"/>
        <v>0</v>
      </c>
      <c r="O301" s="64">
        <f t="shared" si="92"/>
        <v>0</v>
      </c>
      <c r="Q301" s="64">
        <f t="shared" si="93"/>
        <v>0</v>
      </c>
      <c r="S301" s="71">
        <f t="shared" si="94"/>
        <v>0</v>
      </c>
      <c r="U301" s="64">
        <f t="shared" si="95"/>
        <v>0</v>
      </c>
      <c r="W301" s="71">
        <f t="shared" si="96"/>
        <v>0</v>
      </c>
      <c r="Y301" s="71">
        <f t="shared" si="97"/>
        <v>0</v>
      </c>
      <c r="AA301" s="71">
        <f t="shared" si="98"/>
        <v>0</v>
      </c>
      <c r="AC301" s="71">
        <f t="shared" si="99"/>
        <v>0</v>
      </c>
      <c r="AK301" s="71">
        <f t="shared" si="100"/>
        <v>0</v>
      </c>
      <c r="AM301" s="71">
        <f t="shared" si="101"/>
        <v>0</v>
      </c>
      <c r="AO301" s="71">
        <f t="shared" si="102"/>
        <v>0</v>
      </c>
      <c r="AQ301" s="71">
        <f t="shared" si="103"/>
        <v>0</v>
      </c>
      <c r="AT301" s="71">
        <f t="shared" si="104"/>
        <v>0</v>
      </c>
      <c r="AV301" s="71">
        <f t="shared" si="105"/>
        <v>0</v>
      </c>
      <c r="AX301" s="71">
        <f t="shared" si="106"/>
        <v>0</v>
      </c>
      <c r="AZ301" s="71">
        <f t="shared" si="107"/>
        <v>0</v>
      </c>
      <c r="BE301" s="81">
        <f t="shared" si="108"/>
        <v>0</v>
      </c>
      <c r="BF301" s="81" t="str">
        <f t="shared" si="109"/>
        <v>BASSO</v>
      </c>
    </row>
    <row r="302" spans="1:58" x14ac:dyDescent="0.15">
      <c r="G302" s="64">
        <f t="shared" si="110"/>
        <v>0</v>
      </c>
      <c r="I302" s="64">
        <f t="shared" si="89"/>
        <v>0</v>
      </c>
      <c r="K302" s="64">
        <f t="shared" si="90"/>
        <v>0</v>
      </c>
      <c r="M302" s="64">
        <f t="shared" si="91"/>
        <v>0</v>
      </c>
      <c r="O302" s="64">
        <f t="shared" si="92"/>
        <v>0</v>
      </c>
      <c r="Q302" s="64">
        <f t="shared" si="93"/>
        <v>0</v>
      </c>
      <c r="S302" s="71">
        <f t="shared" si="94"/>
        <v>0</v>
      </c>
      <c r="U302" s="64">
        <f t="shared" si="95"/>
        <v>0</v>
      </c>
      <c r="W302" s="71">
        <f t="shared" si="96"/>
        <v>0</v>
      </c>
      <c r="Y302" s="71">
        <f t="shared" si="97"/>
        <v>0</v>
      </c>
      <c r="AA302" s="71">
        <f t="shared" si="98"/>
        <v>0</v>
      </c>
      <c r="AC302" s="71">
        <f t="shared" si="99"/>
        <v>0</v>
      </c>
      <c r="AK302" s="71">
        <f t="shared" si="100"/>
        <v>0</v>
      </c>
      <c r="AM302" s="71">
        <f t="shared" si="101"/>
        <v>0</v>
      </c>
      <c r="AO302" s="71">
        <f t="shared" si="102"/>
        <v>0</v>
      </c>
      <c r="AQ302" s="71">
        <f t="shared" si="103"/>
        <v>0</v>
      </c>
      <c r="AT302" s="71">
        <f t="shared" si="104"/>
        <v>0</v>
      </c>
      <c r="AV302" s="71">
        <f t="shared" si="105"/>
        <v>0</v>
      </c>
      <c r="AX302" s="71">
        <f t="shared" si="106"/>
        <v>0</v>
      </c>
      <c r="AZ302" s="71">
        <f t="shared" si="107"/>
        <v>0</v>
      </c>
      <c r="BE302" s="81">
        <f t="shared" si="108"/>
        <v>0</v>
      </c>
      <c r="BF302" s="81" t="str">
        <f t="shared" si="109"/>
        <v>BASSO</v>
      </c>
    </row>
    <row r="303" spans="1:58" x14ac:dyDescent="0.15">
      <c r="G303" s="64">
        <f t="shared" si="110"/>
        <v>0</v>
      </c>
      <c r="I303" s="64">
        <f t="shared" si="89"/>
        <v>0</v>
      </c>
      <c r="K303" s="64">
        <f t="shared" si="90"/>
        <v>0</v>
      </c>
      <c r="M303" s="64">
        <f t="shared" si="91"/>
        <v>0</v>
      </c>
      <c r="O303" s="64">
        <f t="shared" si="92"/>
        <v>0</v>
      </c>
      <c r="Q303" s="64">
        <f t="shared" si="93"/>
        <v>0</v>
      </c>
      <c r="S303" s="71">
        <f t="shared" si="94"/>
        <v>0</v>
      </c>
      <c r="U303" s="64">
        <f t="shared" si="95"/>
        <v>0</v>
      </c>
      <c r="W303" s="71">
        <f t="shared" si="96"/>
        <v>0</v>
      </c>
      <c r="Y303" s="71">
        <f t="shared" si="97"/>
        <v>0</v>
      </c>
      <c r="AA303" s="71">
        <f t="shared" si="98"/>
        <v>0</v>
      </c>
      <c r="AC303" s="71">
        <f t="shared" si="99"/>
        <v>0</v>
      </c>
      <c r="AK303" s="71">
        <f t="shared" si="100"/>
        <v>0</v>
      </c>
      <c r="AM303" s="71">
        <f t="shared" si="101"/>
        <v>0</v>
      </c>
      <c r="AO303" s="71">
        <f t="shared" si="102"/>
        <v>0</v>
      </c>
      <c r="AQ303" s="71">
        <f t="shared" si="103"/>
        <v>0</v>
      </c>
      <c r="AT303" s="71">
        <f t="shared" si="104"/>
        <v>0</v>
      </c>
      <c r="AV303" s="71">
        <f t="shared" si="105"/>
        <v>0</v>
      </c>
      <c r="AX303" s="71">
        <f t="shared" si="106"/>
        <v>0</v>
      </c>
      <c r="AZ303" s="71">
        <f t="shared" si="107"/>
        <v>0</v>
      </c>
      <c r="BE303" s="81">
        <f t="shared" si="108"/>
        <v>0</v>
      </c>
      <c r="BF303" s="81" t="str">
        <f t="shared" si="109"/>
        <v>BASSO</v>
      </c>
    </row>
    <row r="304" spans="1:58" x14ac:dyDescent="0.15">
      <c r="G304" s="64">
        <f t="shared" si="110"/>
        <v>0</v>
      </c>
      <c r="I304" s="64">
        <f t="shared" si="89"/>
        <v>0</v>
      </c>
      <c r="K304" s="64">
        <f t="shared" si="90"/>
        <v>0</v>
      </c>
      <c r="M304" s="64">
        <f t="shared" si="91"/>
        <v>0</v>
      </c>
      <c r="O304" s="64">
        <f t="shared" si="92"/>
        <v>0</v>
      </c>
      <c r="Q304" s="64">
        <f t="shared" si="93"/>
        <v>0</v>
      </c>
      <c r="S304" s="71">
        <f t="shared" si="94"/>
        <v>0</v>
      </c>
      <c r="U304" s="64">
        <f t="shared" si="95"/>
        <v>0</v>
      </c>
      <c r="W304" s="71">
        <f t="shared" si="96"/>
        <v>0</v>
      </c>
      <c r="Y304" s="71">
        <f t="shared" si="97"/>
        <v>0</v>
      </c>
      <c r="AA304" s="71">
        <f t="shared" si="98"/>
        <v>0</v>
      </c>
      <c r="AC304" s="71">
        <f t="shared" si="99"/>
        <v>0</v>
      </c>
      <c r="AK304" s="71">
        <f t="shared" si="100"/>
        <v>0</v>
      </c>
      <c r="AM304" s="71">
        <f t="shared" si="101"/>
        <v>0</v>
      </c>
      <c r="AO304" s="71">
        <f t="shared" si="102"/>
        <v>0</v>
      </c>
      <c r="AQ304" s="71">
        <f t="shared" si="103"/>
        <v>0</v>
      </c>
      <c r="AT304" s="71">
        <f t="shared" si="104"/>
        <v>0</v>
      </c>
      <c r="AV304" s="71">
        <f t="shared" si="105"/>
        <v>0</v>
      </c>
      <c r="AX304" s="71">
        <f t="shared" si="106"/>
        <v>0</v>
      </c>
      <c r="AZ304" s="71">
        <f t="shared" si="107"/>
        <v>0</v>
      </c>
      <c r="BE304" s="81">
        <f t="shared" si="108"/>
        <v>0</v>
      </c>
      <c r="BF304" s="81" t="str">
        <f t="shared" si="109"/>
        <v>BASSO</v>
      </c>
    </row>
    <row r="305" spans="7:58" x14ac:dyDescent="0.15">
      <c r="G305" s="64">
        <f t="shared" si="110"/>
        <v>0</v>
      </c>
      <c r="I305" s="64">
        <f t="shared" si="89"/>
        <v>0</v>
      </c>
      <c r="K305" s="64">
        <f t="shared" si="90"/>
        <v>0</v>
      </c>
      <c r="M305" s="64">
        <f t="shared" si="91"/>
        <v>0</v>
      </c>
      <c r="O305" s="64">
        <f t="shared" si="92"/>
        <v>0</v>
      </c>
      <c r="Q305" s="64">
        <f t="shared" si="93"/>
        <v>0</v>
      </c>
      <c r="S305" s="71">
        <f t="shared" si="94"/>
        <v>0</v>
      </c>
      <c r="U305" s="64">
        <f t="shared" si="95"/>
        <v>0</v>
      </c>
      <c r="W305" s="71">
        <f t="shared" si="96"/>
        <v>0</v>
      </c>
      <c r="Y305" s="71">
        <f t="shared" si="97"/>
        <v>0</v>
      </c>
      <c r="AA305" s="71">
        <f t="shared" si="98"/>
        <v>0</v>
      </c>
      <c r="AC305" s="71">
        <f t="shared" si="99"/>
        <v>0</v>
      </c>
      <c r="AK305" s="71">
        <f t="shared" si="100"/>
        <v>0</v>
      </c>
      <c r="AM305" s="71">
        <f t="shared" si="101"/>
        <v>0</v>
      </c>
      <c r="AO305" s="71">
        <f t="shared" si="102"/>
        <v>0</v>
      </c>
      <c r="AQ305" s="71">
        <f t="shared" si="103"/>
        <v>0</v>
      </c>
      <c r="AT305" s="71">
        <f t="shared" si="104"/>
        <v>0</v>
      </c>
      <c r="AV305" s="71">
        <f t="shared" si="105"/>
        <v>0</v>
      </c>
      <c r="AX305" s="71">
        <f t="shared" si="106"/>
        <v>0</v>
      </c>
      <c r="AZ305" s="71">
        <f t="shared" si="107"/>
        <v>0</v>
      </c>
      <c r="BE305" s="81">
        <f t="shared" si="108"/>
        <v>0</v>
      </c>
      <c r="BF305" s="81" t="str">
        <f t="shared" si="109"/>
        <v>BASSO</v>
      </c>
    </row>
    <row r="306" spans="7:58" x14ac:dyDescent="0.15">
      <c r="G306" s="64">
        <f t="shared" si="110"/>
        <v>0</v>
      </c>
      <c r="I306" s="64">
        <f t="shared" si="89"/>
        <v>0</v>
      </c>
      <c r="K306" s="64">
        <f t="shared" si="90"/>
        <v>0</v>
      </c>
      <c r="M306" s="64">
        <f t="shared" si="91"/>
        <v>0</v>
      </c>
      <c r="O306" s="64">
        <f t="shared" si="92"/>
        <v>0</v>
      </c>
      <c r="Q306" s="64">
        <f t="shared" si="93"/>
        <v>0</v>
      </c>
      <c r="S306" s="71">
        <f t="shared" si="94"/>
        <v>0</v>
      </c>
      <c r="U306" s="64">
        <f t="shared" si="95"/>
        <v>0</v>
      </c>
      <c r="W306" s="71">
        <f t="shared" si="96"/>
        <v>0</v>
      </c>
      <c r="Y306" s="71">
        <f t="shared" si="97"/>
        <v>0</v>
      </c>
      <c r="AA306" s="71">
        <f t="shared" si="98"/>
        <v>0</v>
      </c>
      <c r="AC306" s="71">
        <f t="shared" si="99"/>
        <v>0</v>
      </c>
      <c r="AK306" s="71">
        <f t="shared" si="100"/>
        <v>0</v>
      </c>
      <c r="AM306" s="71">
        <f t="shared" si="101"/>
        <v>0</v>
      </c>
      <c r="AO306" s="71">
        <f t="shared" si="102"/>
        <v>0</v>
      </c>
      <c r="AQ306" s="71">
        <f t="shared" si="103"/>
        <v>0</v>
      </c>
      <c r="AT306" s="71">
        <f t="shared" si="104"/>
        <v>0</v>
      </c>
      <c r="AV306" s="71">
        <f t="shared" si="105"/>
        <v>0</v>
      </c>
      <c r="AX306" s="71">
        <f t="shared" si="106"/>
        <v>0</v>
      </c>
      <c r="AZ306" s="71">
        <f t="shared" si="107"/>
        <v>0</v>
      </c>
      <c r="BE306" s="81">
        <f t="shared" si="108"/>
        <v>0</v>
      </c>
      <c r="BF306" s="81" t="str">
        <f t="shared" si="109"/>
        <v>BASSO</v>
      </c>
    </row>
    <row r="307" spans="7:58" x14ac:dyDescent="0.15">
      <c r="G307" s="64">
        <f t="shared" si="110"/>
        <v>0</v>
      </c>
      <c r="I307" s="64">
        <f t="shared" si="89"/>
        <v>0</v>
      </c>
      <c r="K307" s="64">
        <f t="shared" si="90"/>
        <v>0</v>
      </c>
      <c r="M307" s="64">
        <f t="shared" si="91"/>
        <v>0</v>
      </c>
      <c r="O307" s="64">
        <f t="shared" si="92"/>
        <v>0</v>
      </c>
      <c r="Q307" s="64">
        <f t="shared" si="93"/>
        <v>0</v>
      </c>
      <c r="S307" s="71">
        <f t="shared" si="94"/>
        <v>0</v>
      </c>
      <c r="U307" s="64">
        <f t="shared" si="95"/>
        <v>0</v>
      </c>
      <c r="W307" s="71">
        <f t="shared" si="96"/>
        <v>0</v>
      </c>
      <c r="Y307" s="71">
        <f t="shared" si="97"/>
        <v>0</v>
      </c>
      <c r="AA307" s="71">
        <f t="shared" si="98"/>
        <v>0</v>
      </c>
      <c r="AC307" s="71">
        <f t="shared" si="99"/>
        <v>0</v>
      </c>
      <c r="AK307" s="71">
        <f t="shared" si="100"/>
        <v>0</v>
      </c>
      <c r="AM307" s="71">
        <f t="shared" si="101"/>
        <v>0</v>
      </c>
      <c r="AO307" s="71">
        <f t="shared" si="102"/>
        <v>0</v>
      </c>
      <c r="AQ307" s="71">
        <f t="shared" si="103"/>
        <v>0</v>
      </c>
      <c r="AT307" s="71">
        <f t="shared" si="104"/>
        <v>0</v>
      </c>
      <c r="AV307" s="71">
        <f t="shared" si="105"/>
        <v>0</v>
      </c>
      <c r="AX307" s="71">
        <f t="shared" si="106"/>
        <v>0</v>
      </c>
      <c r="AZ307" s="71">
        <f t="shared" si="107"/>
        <v>0</v>
      </c>
      <c r="BE307" s="81">
        <f t="shared" si="108"/>
        <v>0</v>
      </c>
      <c r="BF307" s="81" t="str">
        <f t="shared" si="109"/>
        <v>BASSO</v>
      </c>
    </row>
    <row r="308" spans="7:58" x14ac:dyDescent="0.15">
      <c r="G308" s="64">
        <f t="shared" si="110"/>
        <v>0</v>
      </c>
      <c r="I308" s="64">
        <f t="shared" si="89"/>
        <v>0</v>
      </c>
      <c r="K308" s="64">
        <f t="shared" si="90"/>
        <v>0</v>
      </c>
      <c r="M308" s="64">
        <f t="shared" si="91"/>
        <v>0</v>
      </c>
      <c r="O308" s="64">
        <f t="shared" si="92"/>
        <v>0</v>
      </c>
      <c r="Q308" s="64">
        <f t="shared" si="93"/>
        <v>0</v>
      </c>
      <c r="S308" s="71">
        <f t="shared" si="94"/>
        <v>0</v>
      </c>
      <c r="U308" s="64">
        <f t="shared" si="95"/>
        <v>0</v>
      </c>
      <c r="W308" s="71">
        <f t="shared" si="96"/>
        <v>0</v>
      </c>
      <c r="Y308" s="71">
        <f t="shared" si="97"/>
        <v>0</v>
      </c>
      <c r="AA308" s="71">
        <f t="shared" si="98"/>
        <v>0</v>
      </c>
      <c r="AC308" s="71">
        <f t="shared" si="99"/>
        <v>0</v>
      </c>
      <c r="AK308" s="71">
        <f t="shared" si="100"/>
        <v>0</v>
      </c>
      <c r="AM308" s="71">
        <f t="shared" si="101"/>
        <v>0</v>
      </c>
      <c r="AO308" s="71">
        <f t="shared" si="102"/>
        <v>0</v>
      </c>
      <c r="AQ308" s="71">
        <f t="shared" si="103"/>
        <v>0</v>
      </c>
      <c r="AT308" s="71">
        <f t="shared" si="104"/>
        <v>0</v>
      </c>
      <c r="AV308" s="71">
        <f t="shared" si="105"/>
        <v>0</v>
      </c>
      <c r="AX308" s="71">
        <f t="shared" si="106"/>
        <v>0</v>
      </c>
      <c r="AZ308" s="71">
        <f t="shared" si="107"/>
        <v>0</v>
      </c>
      <c r="BE308" s="81">
        <f t="shared" si="108"/>
        <v>0</v>
      </c>
      <c r="BF308" s="81" t="str">
        <f t="shared" si="109"/>
        <v>BASSO</v>
      </c>
    </row>
    <row r="309" spans="7:58" x14ac:dyDescent="0.15">
      <c r="G309" s="64">
        <f t="shared" si="110"/>
        <v>0</v>
      </c>
      <c r="I309" s="64">
        <f t="shared" si="89"/>
        <v>0</v>
      </c>
      <c r="K309" s="64">
        <f t="shared" si="90"/>
        <v>0</v>
      </c>
      <c r="M309" s="64">
        <f t="shared" si="91"/>
        <v>0</v>
      </c>
      <c r="O309" s="64">
        <f t="shared" si="92"/>
        <v>0</v>
      </c>
      <c r="Q309" s="64">
        <f t="shared" si="93"/>
        <v>0</v>
      </c>
      <c r="S309" s="71">
        <f t="shared" si="94"/>
        <v>0</v>
      </c>
      <c r="U309" s="64">
        <f t="shared" si="95"/>
        <v>0</v>
      </c>
      <c r="W309" s="71">
        <f t="shared" si="96"/>
        <v>0</v>
      </c>
      <c r="Y309" s="71">
        <f t="shared" si="97"/>
        <v>0</v>
      </c>
      <c r="AA309" s="71">
        <f t="shared" si="98"/>
        <v>0</v>
      </c>
      <c r="AC309" s="71">
        <f t="shared" si="99"/>
        <v>0</v>
      </c>
      <c r="AK309" s="71">
        <f t="shared" si="100"/>
        <v>0</v>
      </c>
      <c r="AM309" s="71">
        <f t="shared" si="101"/>
        <v>0</v>
      </c>
      <c r="AO309" s="71">
        <f t="shared" si="102"/>
        <v>0</v>
      </c>
      <c r="AQ309" s="71">
        <f t="shared" si="103"/>
        <v>0</v>
      </c>
      <c r="AT309" s="71">
        <f t="shared" si="104"/>
        <v>0</v>
      </c>
      <c r="AV309" s="71">
        <f t="shared" si="105"/>
        <v>0</v>
      </c>
      <c r="AX309" s="71">
        <f t="shared" si="106"/>
        <v>0</v>
      </c>
      <c r="AZ309" s="71">
        <f t="shared" si="107"/>
        <v>0</v>
      </c>
      <c r="BE309" s="81">
        <f t="shared" si="108"/>
        <v>0</v>
      </c>
      <c r="BF309" s="81" t="str">
        <f t="shared" si="109"/>
        <v>BASSO</v>
      </c>
    </row>
    <row r="310" spans="7:58" x14ac:dyDescent="0.15">
      <c r="G310" s="64">
        <f t="shared" si="110"/>
        <v>0</v>
      </c>
      <c r="I310" s="64">
        <f t="shared" si="89"/>
        <v>0</v>
      </c>
      <c r="K310" s="64">
        <f t="shared" si="90"/>
        <v>0</v>
      </c>
      <c r="M310" s="64">
        <f t="shared" si="91"/>
        <v>0</v>
      </c>
      <c r="O310" s="64">
        <f t="shared" si="92"/>
        <v>0</v>
      </c>
      <c r="Q310" s="64">
        <f t="shared" si="93"/>
        <v>0</v>
      </c>
      <c r="S310" s="71">
        <f t="shared" si="94"/>
        <v>0</v>
      </c>
      <c r="U310" s="64">
        <f t="shared" si="95"/>
        <v>0</v>
      </c>
      <c r="W310" s="71">
        <f t="shared" si="96"/>
        <v>0</v>
      </c>
      <c r="Y310" s="71">
        <f t="shared" si="97"/>
        <v>0</v>
      </c>
      <c r="AA310" s="71">
        <f t="shared" si="98"/>
        <v>0</v>
      </c>
      <c r="AC310" s="71">
        <f t="shared" si="99"/>
        <v>0</v>
      </c>
      <c r="AK310" s="71">
        <f t="shared" si="100"/>
        <v>0</v>
      </c>
      <c r="AM310" s="71">
        <f t="shared" si="101"/>
        <v>0</v>
      </c>
      <c r="AO310" s="71">
        <f t="shared" si="102"/>
        <v>0</v>
      </c>
      <c r="AQ310" s="71">
        <f t="shared" si="103"/>
        <v>0</v>
      </c>
      <c r="AT310" s="71">
        <f t="shared" si="104"/>
        <v>0</v>
      </c>
      <c r="AV310" s="71">
        <f t="shared" si="105"/>
        <v>0</v>
      </c>
      <c r="AX310" s="71">
        <f t="shared" si="106"/>
        <v>0</v>
      </c>
      <c r="AZ310" s="71">
        <f t="shared" si="107"/>
        <v>0</v>
      </c>
      <c r="BE310" s="81">
        <f t="shared" si="108"/>
        <v>0</v>
      </c>
      <c r="BF310" s="81" t="str">
        <f t="shared" si="109"/>
        <v>BASSO</v>
      </c>
    </row>
    <row r="311" spans="7:58" x14ac:dyDescent="0.15">
      <c r="G311" s="64">
        <f t="shared" si="110"/>
        <v>0</v>
      </c>
      <c r="I311" s="64">
        <f t="shared" si="89"/>
        <v>0</v>
      </c>
      <c r="K311" s="64">
        <f t="shared" si="90"/>
        <v>0</v>
      </c>
      <c r="M311" s="64">
        <f t="shared" si="91"/>
        <v>0</v>
      </c>
      <c r="O311" s="64">
        <f t="shared" si="92"/>
        <v>0</v>
      </c>
      <c r="Q311" s="64">
        <f t="shared" si="93"/>
        <v>0</v>
      </c>
      <c r="S311" s="71">
        <f t="shared" si="94"/>
        <v>0</v>
      </c>
      <c r="U311" s="64">
        <f t="shared" si="95"/>
        <v>0</v>
      </c>
      <c r="W311" s="71">
        <f t="shared" si="96"/>
        <v>0</v>
      </c>
      <c r="Y311" s="71">
        <f t="shared" si="97"/>
        <v>0</v>
      </c>
      <c r="AA311" s="71">
        <f t="shared" si="98"/>
        <v>0</v>
      </c>
      <c r="AC311" s="71">
        <f t="shared" si="99"/>
        <v>0</v>
      </c>
      <c r="AK311" s="71">
        <f t="shared" si="100"/>
        <v>0</v>
      </c>
      <c r="AM311" s="71">
        <f t="shared" si="101"/>
        <v>0</v>
      </c>
      <c r="AO311" s="71">
        <f t="shared" si="102"/>
        <v>0</v>
      </c>
      <c r="AQ311" s="71">
        <f t="shared" si="103"/>
        <v>0</v>
      </c>
      <c r="AT311" s="71">
        <f t="shared" si="104"/>
        <v>0</v>
      </c>
      <c r="AV311" s="71">
        <f t="shared" si="105"/>
        <v>0</v>
      </c>
      <c r="AX311" s="71">
        <f t="shared" si="106"/>
        <v>0</v>
      </c>
      <c r="AZ311" s="71">
        <f t="shared" si="107"/>
        <v>0</v>
      </c>
      <c r="BE311" s="81">
        <f t="shared" si="108"/>
        <v>0</v>
      </c>
      <c r="BF311" s="81" t="str">
        <f t="shared" si="109"/>
        <v>BASSO</v>
      </c>
    </row>
    <row r="312" spans="7:58" x14ac:dyDescent="0.15">
      <c r="G312" s="64">
        <f t="shared" si="110"/>
        <v>0</v>
      </c>
      <c r="I312" s="64">
        <f t="shared" si="89"/>
        <v>0</v>
      </c>
      <c r="K312" s="64">
        <f t="shared" si="90"/>
        <v>0</v>
      </c>
      <c r="M312" s="64">
        <f t="shared" si="91"/>
        <v>0</v>
      </c>
      <c r="O312" s="64">
        <f t="shared" si="92"/>
        <v>0</v>
      </c>
      <c r="Q312" s="64">
        <f t="shared" si="93"/>
        <v>0</v>
      </c>
      <c r="S312" s="71">
        <f t="shared" si="94"/>
        <v>0</v>
      </c>
      <c r="U312" s="64">
        <f t="shared" si="95"/>
        <v>0</v>
      </c>
      <c r="W312" s="71">
        <f t="shared" si="96"/>
        <v>0</v>
      </c>
      <c r="Y312" s="71">
        <f t="shared" si="97"/>
        <v>0</v>
      </c>
      <c r="AA312" s="71">
        <f t="shared" si="98"/>
        <v>0</v>
      </c>
      <c r="AC312" s="71">
        <f t="shared" si="99"/>
        <v>0</v>
      </c>
      <c r="AK312" s="71">
        <f t="shared" si="100"/>
        <v>0</v>
      </c>
      <c r="AM312" s="71">
        <f t="shared" si="101"/>
        <v>0</v>
      </c>
      <c r="AO312" s="71">
        <f t="shared" si="102"/>
        <v>0</v>
      </c>
      <c r="AQ312" s="71">
        <f t="shared" si="103"/>
        <v>0</v>
      </c>
      <c r="AT312" s="71">
        <f t="shared" si="104"/>
        <v>0</v>
      </c>
      <c r="AV312" s="71">
        <f t="shared" si="105"/>
        <v>0</v>
      </c>
      <c r="AX312" s="71">
        <f t="shared" si="106"/>
        <v>0</v>
      </c>
      <c r="AZ312" s="71">
        <f t="shared" si="107"/>
        <v>0</v>
      </c>
      <c r="BE312" s="81">
        <f t="shared" si="108"/>
        <v>0</v>
      </c>
      <c r="BF312" s="81" t="str">
        <f t="shared" si="109"/>
        <v>BASSO</v>
      </c>
    </row>
    <row r="313" spans="7:58" x14ac:dyDescent="0.15">
      <c r="G313" s="64">
        <f t="shared" si="110"/>
        <v>0</v>
      </c>
      <c r="I313" s="64">
        <f t="shared" si="89"/>
        <v>0</v>
      </c>
      <c r="K313" s="64">
        <f t="shared" si="90"/>
        <v>0</v>
      </c>
      <c r="M313" s="64">
        <f t="shared" si="91"/>
        <v>0</v>
      </c>
      <c r="O313" s="64">
        <f t="shared" si="92"/>
        <v>0</v>
      </c>
      <c r="Q313" s="64">
        <f t="shared" si="93"/>
        <v>0</v>
      </c>
      <c r="S313" s="71">
        <f t="shared" si="94"/>
        <v>0</v>
      </c>
      <c r="U313" s="64">
        <f t="shared" si="95"/>
        <v>0</v>
      </c>
      <c r="W313" s="71">
        <f t="shared" si="96"/>
        <v>0</v>
      </c>
      <c r="Y313" s="71">
        <f t="shared" si="97"/>
        <v>0</v>
      </c>
      <c r="AA313" s="71">
        <f t="shared" si="98"/>
        <v>0</v>
      </c>
      <c r="AC313" s="71">
        <f t="shared" si="99"/>
        <v>0</v>
      </c>
      <c r="AK313" s="71">
        <f t="shared" si="100"/>
        <v>0</v>
      </c>
      <c r="AM313" s="71">
        <f t="shared" si="101"/>
        <v>0</v>
      </c>
      <c r="AO313" s="71">
        <f t="shared" si="102"/>
        <v>0</v>
      </c>
      <c r="AQ313" s="71">
        <f t="shared" si="103"/>
        <v>0</v>
      </c>
      <c r="AT313" s="71">
        <f t="shared" si="104"/>
        <v>0</v>
      </c>
      <c r="AV313" s="71">
        <f t="shared" si="105"/>
        <v>0</v>
      </c>
      <c r="AX313" s="71">
        <f t="shared" si="106"/>
        <v>0</v>
      </c>
      <c r="AZ313" s="71">
        <f t="shared" si="107"/>
        <v>0</v>
      </c>
      <c r="BE313" s="81">
        <f t="shared" si="108"/>
        <v>0</v>
      </c>
      <c r="BF313" s="81" t="str">
        <f t="shared" si="109"/>
        <v>BASSO</v>
      </c>
    </row>
    <row r="314" spans="7:58" x14ac:dyDescent="0.15">
      <c r="G314" s="64">
        <f t="shared" si="110"/>
        <v>0</v>
      </c>
      <c r="I314" s="64">
        <f t="shared" si="89"/>
        <v>0</v>
      </c>
      <c r="K314" s="64">
        <f t="shared" si="90"/>
        <v>0</v>
      </c>
      <c r="M314" s="64">
        <f t="shared" si="91"/>
        <v>0</v>
      </c>
      <c r="O314" s="64">
        <f t="shared" si="92"/>
        <v>0</v>
      </c>
      <c r="Q314" s="64">
        <f t="shared" si="93"/>
        <v>0</v>
      </c>
      <c r="S314" s="71">
        <f t="shared" si="94"/>
        <v>0</v>
      </c>
      <c r="U314" s="64">
        <f t="shared" si="95"/>
        <v>0</v>
      </c>
      <c r="W314" s="71">
        <f t="shared" si="96"/>
        <v>0</v>
      </c>
      <c r="Y314" s="71">
        <f t="shared" si="97"/>
        <v>0</v>
      </c>
      <c r="AA314" s="71">
        <f t="shared" si="98"/>
        <v>0</v>
      </c>
      <c r="AC314" s="71">
        <f t="shared" si="99"/>
        <v>0</v>
      </c>
      <c r="AK314" s="71">
        <f t="shared" si="100"/>
        <v>0</v>
      </c>
      <c r="AM314" s="71">
        <f t="shared" si="101"/>
        <v>0</v>
      </c>
      <c r="AO314" s="71">
        <f t="shared" si="102"/>
        <v>0</v>
      </c>
      <c r="AQ314" s="71">
        <f t="shared" si="103"/>
        <v>0</v>
      </c>
      <c r="AT314" s="71">
        <f t="shared" si="104"/>
        <v>0</v>
      </c>
      <c r="AV314" s="71">
        <f t="shared" si="105"/>
        <v>0</v>
      </c>
      <c r="AX314" s="71">
        <f t="shared" si="106"/>
        <v>0</v>
      </c>
      <c r="AZ314" s="71">
        <f t="shared" si="107"/>
        <v>0</v>
      </c>
      <c r="BE314" s="81">
        <f t="shared" si="108"/>
        <v>0</v>
      </c>
      <c r="BF314" s="81" t="str">
        <f t="shared" si="109"/>
        <v>BASSO</v>
      </c>
    </row>
    <row r="315" spans="7:58" x14ac:dyDescent="0.15">
      <c r="G315" s="64">
        <f t="shared" si="110"/>
        <v>0</v>
      </c>
      <c r="I315" s="64">
        <f t="shared" si="89"/>
        <v>0</v>
      </c>
      <c r="K315" s="64">
        <f t="shared" si="90"/>
        <v>0</v>
      </c>
      <c r="M315" s="64">
        <f t="shared" si="91"/>
        <v>0</v>
      </c>
      <c r="O315" s="64">
        <f t="shared" si="92"/>
        <v>0</v>
      </c>
      <c r="Q315" s="64">
        <f t="shared" si="93"/>
        <v>0</v>
      </c>
      <c r="S315" s="71">
        <f t="shared" si="94"/>
        <v>0</v>
      </c>
      <c r="U315" s="64">
        <f t="shared" si="95"/>
        <v>0</v>
      </c>
      <c r="W315" s="71">
        <f t="shared" si="96"/>
        <v>0</v>
      </c>
      <c r="Y315" s="71">
        <f t="shared" si="97"/>
        <v>0</v>
      </c>
      <c r="AA315" s="71">
        <f t="shared" si="98"/>
        <v>0</v>
      </c>
      <c r="AC315" s="71">
        <f t="shared" si="99"/>
        <v>0</v>
      </c>
      <c r="AK315" s="71">
        <f t="shared" si="100"/>
        <v>0</v>
      </c>
      <c r="AM315" s="71">
        <f t="shared" si="101"/>
        <v>0</v>
      </c>
      <c r="AO315" s="71">
        <f t="shared" si="102"/>
        <v>0</v>
      </c>
      <c r="AQ315" s="71">
        <f t="shared" si="103"/>
        <v>0</v>
      </c>
      <c r="AT315" s="71">
        <f t="shared" si="104"/>
        <v>0</v>
      </c>
      <c r="AV315" s="71">
        <f t="shared" si="105"/>
        <v>0</v>
      </c>
      <c r="AX315" s="71">
        <f t="shared" si="106"/>
        <v>0</v>
      </c>
      <c r="AZ315" s="71">
        <f t="shared" si="107"/>
        <v>0</v>
      </c>
      <c r="BE315" s="81">
        <f t="shared" si="108"/>
        <v>0</v>
      </c>
      <c r="BF315" s="81" t="str">
        <f t="shared" si="109"/>
        <v>BASSO</v>
      </c>
    </row>
    <row r="316" spans="7:58" x14ac:dyDescent="0.15">
      <c r="G316" s="64">
        <f t="shared" si="110"/>
        <v>0</v>
      </c>
      <c r="I316" s="64">
        <f t="shared" si="89"/>
        <v>0</v>
      </c>
      <c r="K316" s="64">
        <f t="shared" si="90"/>
        <v>0</v>
      </c>
      <c r="M316" s="64">
        <f t="shared" si="91"/>
        <v>0</v>
      </c>
      <c r="O316" s="64">
        <f t="shared" si="92"/>
        <v>0</v>
      </c>
      <c r="Q316" s="64">
        <f t="shared" si="93"/>
        <v>0</v>
      </c>
      <c r="S316" s="71">
        <f t="shared" si="94"/>
        <v>0</v>
      </c>
      <c r="U316" s="64">
        <f t="shared" si="95"/>
        <v>0</v>
      </c>
      <c r="W316" s="71">
        <f t="shared" si="96"/>
        <v>0</v>
      </c>
      <c r="Y316" s="71">
        <f t="shared" si="97"/>
        <v>0</v>
      </c>
      <c r="AA316" s="71">
        <f t="shared" si="98"/>
        <v>0</v>
      </c>
      <c r="AC316" s="71">
        <f t="shared" si="99"/>
        <v>0</v>
      </c>
      <c r="AK316" s="71">
        <f t="shared" si="100"/>
        <v>0</v>
      </c>
      <c r="AM316" s="71">
        <f t="shared" si="101"/>
        <v>0</v>
      </c>
      <c r="AO316" s="71">
        <f t="shared" si="102"/>
        <v>0</v>
      </c>
      <c r="AQ316" s="71">
        <f t="shared" si="103"/>
        <v>0</v>
      </c>
      <c r="AT316" s="71">
        <f t="shared" si="104"/>
        <v>0</v>
      </c>
      <c r="AV316" s="71">
        <f t="shared" si="105"/>
        <v>0</v>
      </c>
      <c r="AX316" s="71">
        <f t="shared" si="106"/>
        <v>0</v>
      </c>
      <c r="AZ316" s="71">
        <f t="shared" si="107"/>
        <v>0</v>
      </c>
      <c r="BE316" s="81">
        <f t="shared" si="108"/>
        <v>0</v>
      </c>
      <c r="BF316" s="81" t="str">
        <f t="shared" si="109"/>
        <v>BASSO</v>
      </c>
    </row>
    <row r="317" spans="7:58" x14ac:dyDescent="0.15">
      <c r="G317" s="64">
        <f t="shared" si="110"/>
        <v>0</v>
      </c>
      <c r="I317" s="64">
        <f t="shared" si="89"/>
        <v>0</v>
      </c>
      <c r="K317" s="64">
        <f t="shared" si="90"/>
        <v>0</v>
      </c>
      <c r="M317" s="64">
        <f t="shared" si="91"/>
        <v>0</v>
      </c>
      <c r="O317" s="64">
        <f t="shared" si="92"/>
        <v>0</v>
      </c>
      <c r="Q317" s="64">
        <f t="shared" si="93"/>
        <v>0</v>
      </c>
      <c r="S317" s="71">
        <f t="shared" si="94"/>
        <v>0</v>
      </c>
      <c r="U317" s="64">
        <f t="shared" si="95"/>
        <v>0</v>
      </c>
      <c r="W317" s="71">
        <f t="shared" si="96"/>
        <v>0</v>
      </c>
      <c r="Y317" s="71">
        <f t="shared" si="97"/>
        <v>0</v>
      </c>
      <c r="AA317" s="71">
        <f t="shared" si="98"/>
        <v>0</v>
      </c>
      <c r="AC317" s="71">
        <f t="shared" si="99"/>
        <v>0</v>
      </c>
      <c r="AK317" s="71">
        <f t="shared" si="100"/>
        <v>0</v>
      </c>
      <c r="AM317" s="71">
        <f t="shared" si="101"/>
        <v>0</v>
      </c>
      <c r="AO317" s="71">
        <f t="shared" si="102"/>
        <v>0</v>
      </c>
      <c r="AQ317" s="71">
        <f t="shared" si="103"/>
        <v>0</v>
      </c>
      <c r="AT317" s="71">
        <f t="shared" si="104"/>
        <v>0</v>
      </c>
      <c r="AV317" s="71">
        <f t="shared" si="105"/>
        <v>0</v>
      </c>
      <c r="AX317" s="71">
        <f t="shared" si="106"/>
        <v>0</v>
      </c>
      <c r="AZ317" s="71">
        <f t="shared" si="107"/>
        <v>0</v>
      </c>
      <c r="BE317" s="81">
        <f t="shared" si="108"/>
        <v>0</v>
      </c>
      <c r="BF317" s="81" t="str">
        <f t="shared" si="109"/>
        <v>BASSO</v>
      </c>
    </row>
    <row r="318" spans="7:58" x14ac:dyDescent="0.15">
      <c r="G318" s="64">
        <f t="shared" si="110"/>
        <v>0</v>
      </c>
      <c r="I318" s="64">
        <f t="shared" si="89"/>
        <v>0</v>
      </c>
      <c r="K318" s="64">
        <f t="shared" si="90"/>
        <v>0</v>
      </c>
      <c r="M318" s="64">
        <f t="shared" si="91"/>
        <v>0</v>
      </c>
      <c r="O318" s="64">
        <f t="shared" si="92"/>
        <v>0</v>
      </c>
      <c r="Q318" s="64">
        <f t="shared" si="93"/>
        <v>0</v>
      </c>
      <c r="S318" s="71">
        <f t="shared" si="94"/>
        <v>0</v>
      </c>
      <c r="U318" s="64">
        <f t="shared" si="95"/>
        <v>0</v>
      </c>
      <c r="W318" s="71">
        <f t="shared" si="96"/>
        <v>0</v>
      </c>
      <c r="Y318" s="71">
        <f t="shared" si="97"/>
        <v>0</v>
      </c>
      <c r="AA318" s="71">
        <f t="shared" si="98"/>
        <v>0</v>
      </c>
      <c r="AC318" s="71">
        <f t="shared" si="99"/>
        <v>0</v>
      </c>
      <c r="AK318" s="71">
        <f t="shared" si="100"/>
        <v>0</v>
      </c>
      <c r="AM318" s="71">
        <f t="shared" si="101"/>
        <v>0</v>
      </c>
      <c r="AO318" s="71">
        <f t="shared" si="102"/>
        <v>0</v>
      </c>
      <c r="AQ318" s="71">
        <f t="shared" si="103"/>
        <v>0</v>
      </c>
      <c r="AT318" s="71">
        <f t="shared" si="104"/>
        <v>0</v>
      </c>
      <c r="AV318" s="71">
        <f t="shared" si="105"/>
        <v>0</v>
      </c>
      <c r="AX318" s="71">
        <f t="shared" si="106"/>
        <v>0</v>
      </c>
      <c r="AZ318" s="71">
        <f t="shared" si="107"/>
        <v>0</v>
      </c>
      <c r="BE318" s="81">
        <f t="shared" si="108"/>
        <v>0</v>
      </c>
      <c r="BF318" s="81" t="str">
        <f t="shared" si="109"/>
        <v>BASSO</v>
      </c>
    </row>
    <row r="319" spans="7:58" x14ac:dyDescent="0.15">
      <c r="G319" s="64">
        <f t="shared" si="110"/>
        <v>0</v>
      </c>
      <c r="I319" s="64">
        <f t="shared" si="89"/>
        <v>0</v>
      </c>
      <c r="K319" s="64">
        <f t="shared" si="90"/>
        <v>0</v>
      </c>
      <c r="M319" s="64">
        <f t="shared" si="91"/>
        <v>0</v>
      </c>
      <c r="O319" s="64">
        <f t="shared" si="92"/>
        <v>0</v>
      </c>
      <c r="Q319" s="64">
        <f t="shared" si="93"/>
        <v>0</v>
      </c>
      <c r="S319" s="71">
        <f t="shared" si="94"/>
        <v>0</v>
      </c>
      <c r="U319" s="64">
        <f t="shared" si="95"/>
        <v>0</v>
      </c>
      <c r="W319" s="71">
        <f t="shared" si="96"/>
        <v>0</v>
      </c>
      <c r="Y319" s="71">
        <f t="shared" si="97"/>
        <v>0</v>
      </c>
      <c r="AA319" s="71">
        <f t="shared" si="98"/>
        <v>0</v>
      </c>
      <c r="AC319" s="71">
        <f t="shared" si="99"/>
        <v>0</v>
      </c>
      <c r="AK319" s="71">
        <f t="shared" si="100"/>
        <v>0</v>
      </c>
      <c r="AM319" s="71">
        <f t="shared" si="101"/>
        <v>0</v>
      </c>
      <c r="AO319" s="71">
        <f t="shared" si="102"/>
        <v>0</v>
      </c>
      <c r="AQ319" s="71">
        <f t="shared" si="103"/>
        <v>0</v>
      </c>
      <c r="AT319" s="71">
        <f t="shared" si="104"/>
        <v>0</v>
      </c>
      <c r="AV319" s="71">
        <f t="shared" si="105"/>
        <v>0</v>
      </c>
      <c r="AX319" s="71">
        <f t="shared" si="106"/>
        <v>0</v>
      </c>
      <c r="AZ319" s="71">
        <f t="shared" si="107"/>
        <v>0</v>
      </c>
      <c r="BE319" s="81">
        <f t="shared" si="108"/>
        <v>0</v>
      </c>
      <c r="BF319" s="81" t="str">
        <f t="shared" si="109"/>
        <v>BASSO</v>
      </c>
    </row>
    <row r="320" spans="7:58" x14ac:dyDescent="0.15">
      <c r="G320" s="64">
        <f t="shared" si="110"/>
        <v>0</v>
      </c>
      <c r="I320" s="64">
        <f t="shared" si="89"/>
        <v>0</v>
      </c>
      <c r="K320" s="64">
        <f t="shared" si="90"/>
        <v>0</v>
      </c>
      <c r="M320" s="64">
        <f t="shared" si="91"/>
        <v>0</v>
      </c>
      <c r="O320" s="64">
        <f t="shared" si="92"/>
        <v>0</v>
      </c>
      <c r="Q320" s="64">
        <f t="shared" si="93"/>
        <v>0</v>
      </c>
      <c r="S320" s="71">
        <f t="shared" si="94"/>
        <v>0</v>
      </c>
      <c r="U320" s="64">
        <f t="shared" si="95"/>
        <v>0</v>
      </c>
      <c r="W320" s="71">
        <f t="shared" si="96"/>
        <v>0</v>
      </c>
      <c r="Y320" s="71">
        <f t="shared" si="97"/>
        <v>0</v>
      </c>
      <c r="AA320" s="71">
        <f t="shared" si="98"/>
        <v>0</v>
      </c>
      <c r="AC320" s="71">
        <f t="shared" si="99"/>
        <v>0</v>
      </c>
      <c r="AK320" s="71">
        <f t="shared" si="100"/>
        <v>0</v>
      </c>
      <c r="AM320" s="71">
        <f t="shared" si="101"/>
        <v>0</v>
      </c>
      <c r="AO320" s="71">
        <f t="shared" si="102"/>
        <v>0</v>
      </c>
      <c r="AQ320" s="71">
        <f t="shared" si="103"/>
        <v>0</v>
      </c>
      <c r="AT320" s="71">
        <f t="shared" si="104"/>
        <v>0</v>
      </c>
      <c r="AV320" s="71">
        <f t="shared" si="105"/>
        <v>0</v>
      </c>
      <c r="AX320" s="71">
        <f t="shared" si="106"/>
        <v>0</v>
      </c>
      <c r="AZ320" s="71">
        <f t="shared" si="107"/>
        <v>0</v>
      </c>
      <c r="BE320" s="81">
        <f t="shared" si="108"/>
        <v>0</v>
      </c>
      <c r="BF320" s="81" t="str">
        <f t="shared" si="109"/>
        <v>BASSO</v>
      </c>
    </row>
    <row r="321" spans="7:58" x14ac:dyDescent="0.15">
      <c r="G321" s="64">
        <f t="shared" si="110"/>
        <v>0</v>
      </c>
      <c r="I321" s="64">
        <f t="shared" si="89"/>
        <v>0</v>
      </c>
      <c r="K321" s="64">
        <f t="shared" si="90"/>
        <v>0</v>
      </c>
      <c r="M321" s="64">
        <f t="shared" si="91"/>
        <v>0</v>
      </c>
      <c r="O321" s="64">
        <f t="shared" si="92"/>
        <v>0</v>
      </c>
      <c r="Q321" s="64">
        <f t="shared" si="93"/>
        <v>0</v>
      </c>
      <c r="S321" s="71">
        <f t="shared" si="94"/>
        <v>0</v>
      </c>
      <c r="U321" s="64">
        <f t="shared" si="95"/>
        <v>0</v>
      </c>
      <c r="W321" s="71">
        <f t="shared" si="96"/>
        <v>0</v>
      </c>
      <c r="Y321" s="71">
        <f t="shared" si="97"/>
        <v>0</v>
      </c>
      <c r="AA321" s="71">
        <f t="shared" si="98"/>
        <v>0</v>
      </c>
      <c r="AC321" s="71">
        <f t="shared" si="99"/>
        <v>0</v>
      </c>
      <c r="AK321" s="71">
        <f t="shared" si="100"/>
        <v>0</v>
      </c>
      <c r="AM321" s="71">
        <f t="shared" si="101"/>
        <v>0</v>
      </c>
      <c r="AO321" s="71">
        <f t="shared" si="102"/>
        <v>0</v>
      </c>
      <c r="AQ321" s="71">
        <f t="shared" si="103"/>
        <v>0</v>
      </c>
      <c r="AT321" s="71">
        <f t="shared" si="104"/>
        <v>0</v>
      </c>
      <c r="AV321" s="71">
        <f t="shared" si="105"/>
        <v>0</v>
      </c>
      <c r="AX321" s="71">
        <f t="shared" si="106"/>
        <v>0</v>
      </c>
      <c r="AZ321" s="71">
        <f t="shared" si="107"/>
        <v>0</v>
      </c>
      <c r="BE321" s="81">
        <f t="shared" si="108"/>
        <v>0</v>
      </c>
      <c r="BF321" s="81" t="str">
        <f t="shared" si="109"/>
        <v>BASSO</v>
      </c>
    </row>
    <row r="322" spans="7:58" x14ac:dyDescent="0.15">
      <c r="G322" s="64">
        <f t="shared" ref="G322:G385" si="111">F323/2</f>
        <v>0</v>
      </c>
      <c r="I322" s="64">
        <f t="shared" si="89"/>
        <v>0</v>
      </c>
      <c r="K322" s="64">
        <f t="shared" si="90"/>
        <v>0</v>
      </c>
      <c r="M322" s="64">
        <f t="shared" si="91"/>
        <v>0</v>
      </c>
      <c r="O322" s="64">
        <f t="shared" si="92"/>
        <v>0</v>
      </c>
      <c r="Q322" s="64">
        <f t="shared" si="93"/>
        <v>0</v>
      </c>
      <c r="S322" s="71">
        <f t="shared" si="94"/>
        <v>0</v>
      </c>
      <c r="U322" s="64">
        <f t="shared" si="95"/>
        <v>0</v>
      </c>
      <c r="W322" s="71">
        <f t="shared" si="96"/>
        <v>0</v>
      </c>
      <c r="Y322" s="71">
        <f t="shared" si="97"/>
        <v>0</v>
      </c>
      <c r="AA322" s="71">
        <f t="shared" si="98"/>
        <v>0</v>
      </c>
      <c r="AC322" s="71">
        <f t="shared" si="99"/>
        <v>0</v>
      </c>
      <c r="AK322" s="71">
        <f t="shared" si="100"/>
        <v>0</v>
      </c>
      <c r="AM322" s="71">
        <f t="shared" si="101"/>
        <v>0</v>
      </c>
      <c r="AO322" s="71">
        <f t="shared" si="102"/>
        <v>0</v>
      </c>
      <c r="AQ322" s="71">
        <f t="shared" si="103"/>
        <v>0</v>
      </c>
      <c r="AT322" s="71">
        <f t="shared" si="104"/>
        <v>0</v>
      </c>
      <c r="AV322" s="71">
        <f t="shared" si="105"/>
        <v>0</v>
      </c>
      <c r="AX322" s="71">
        <f t="shared" si="106"/>
        <v>0</v>
      </c>
      <c r="AZ322" s="71">
        <f t="shared" si="107"/>
        <v>0</v>
      </c>
      <c r="BE322" s="81">
        <f t="shared" si="108"/>
        <v>0</v>
      </c>
      <c r="BF322" s="81" t="str">
        <f t="shared" si="109"/>
        <v>BASSO</v>
      </c>
    </row>
    <row r="323" spans="7:58" x14ac:dyDescent="0.15">
      <c r="G323" s="64">
        <f t="shared" si="111"/>
        <v>0</v>
      </c>
      <c r="I323" s="64">
        <f t="shared" ref="I323:I386" si="112">H323/2</f>
        <v>0</v>
      </c>
      <c r="K323" s="64">
        <f t="shared" ref="K323:K386" si="113">J323/2</f>
        <v>0</v>
      </c>
      <c r="M323" s="64">
        <f t="shared" ref="M323:M386" si="114">L323/3</f>
        <v>0</v>
      </c>
      <c r="O323" s="64">
        <f t="shared" ref="O323:O386" si="115">N323/5</f>
        <v>0</v>
      </c>
      <c r="Q323" s="64">
        <f t="shared" ref="Q323:Q386" si="116">P323/3</f>
        <v>0</v>
      </c>
      <c r="S323" s="71">
        <f t="shared" ref="S323:S386" si="117">R323/3</f>
        <v>0</v>
      </c>
      <c r="U323" s="64">
        <f t="shared" ref="U323:U386" si="118">T323/3</f>
        <v>0</v>
      </c>
      <c r="W323" s="71">
        <f t="shared" ref="W323:W386" si="119">V323/4</f>
        <v>0</v>
      </c>
      <c r="Y323" s="71">
        <f t="shared" ref="Y323:Y386" si="120">X323/3</f>
        <v>0</v>
      </c>
      <c r="AA323" s="71">
        <f t="shared" ref="AA323:AA386" si="121">Z323/3</f>
        <v>0</v>
      </c>
      <c r="AC323" s="71">
        <f t="shared" ref="AC323:AC386" si="122">AB323/2</f>
        <v>0</v>
      </c>
      <c r="AK323" s="71">
        <f t="shared" ref="AK323:AK386" si="123">AJ323/2</f>
        <v>0</v>
      </c>
      <c r="AM323" s="71">
        <f t="shared" ref="AM323:AM386" si="124">AL323/3</f>
        <v>0</v>
      </c>
      <c r="AO323" s="71">
        <f t="shared" ref="AO323:AO386" si="125">AN323/3</f>
        <v>0</v>
      </c>
      <c r="AQ323" s="71">
        <f t="shared" ref="AQ323:AQ386" si="126">AP323/3</f>
        <v>0</v>
      </c>
      <c r="AT323" s="71">
        <f t="shared" ref="AT323:AT386" si="127">AS323/3</f>
        <v>0</v>
      </c>
      <c r="AV323" s="71">
        <f t="shared" ref="AV323:AV386" si="128">AU323/3</f>
        <v>0</v>
      </c>
      <c r="AX323" s="71">
        <f t="shared" ref="AX323:AX386" si="129">AW323/2</f>
        <v>0</v>
      </c>
      <c r="AZ323" s="71">
        <f t="shared" ref="AZ323:AZ386" si="130">AY323/3</f>
        <v>0</v>
      </c>
      <c r="BE323" s="81">
        <f t="shared" ref="BE323:BE386" si="131">AVERAGE(F323,I323,K323,M323,O323,Q323,S323,U323,W323,Y323,AA323,AC323,AK323,AM323,AO323,AQ323,AT323,AV323,AX323,AZ323)</f>
        <v>0</v>
      </c>
      <c r="BF323" s="81" t="str">
        <f t="shared" ref="BF323:BF386" si="132">IF(BE323="","",IF(VALUE(BE323)&lt;0.34,"BASSO",IF(VALUE(BE323)&lt;=0.66,"MEDIO","ALTO")))</f>
        <v>BASSO</v>
      </c>
    </row>
    <row r="324" spans="7:58" x14ac:dyDescent="0.15">
      <c r="G324" s="64">
        <f t="shared" si="111"/>
        <v>0</v>
      </c>
      <c r="I324" s="64">
        <f t="shared" si="112"/>
        <v>0</v>
      </c>
      <c r="K324" s="64">
        <f t="shared" si="113"/>
        <v>0</v>
      </c>
      <c r="M324" s="64">
        <f t="shared" si="114"/>
        <v>0</v>
      </c>
      <c r="O324" s="64">
        <f t="shared" si="115"/>
        <v>0</v>
      </c>
      <c r="Q324" s="64">
        <f t="shared" si="116"/>
        <v>0</v>
      </c>
      <c r="S324" s="71">
        <f t="shared" si="117"/>
        <v>0</v>
      </c>
      <c r="U324" s="64">
        <f t="shared" si="118"/>
        <v>0</v>
      </c>
      <c r="W324" s="71">
        <f t="shared" si="119"/>
        <v>0</v>
      </c>
      <c r="Y324" s="71">
        <f t="shared" si="120"/>
        <v>0</v>
      </c>
      <c r="AA324" s="71">
        <f t="shared" si="121"/>
        <v>0</v>
      </c>
      <c r="AC324" s="71">
        <f t="shared" si="122"/>
        <v>0</v>
      </c>
      <c r="AK324" s="71">
        <f t="shared" si="123"/>
        <v>0</v>
      </c>
      <c r="AM324" s="71">
        <f t="shared" si="124"/>
        <v>0</v>
      </c>
      <c r="AO324" s="71">
        <f t="shared" si="125"/>
        <v>0</v>
      </c>
      <c r="AQ324" s="71">
        <f t="shared" si="126"/>
        <v>0</v>
      </c>
      <c r="AT324" s="71">
        <f t="shared" si="127"/>
        <v>0</v>
      </c>
      <c r="AV324" s="71">
        <f t="shared" si="128"/>
        <v>0</v>
      </c>
      <c r="AX324" s="71">
        <f t="shared" si="129"/>
        <v>0</v>
      </c>
      <c r="AZ324" s="71">
        <f t="shared" si="130"/>
        <v>0</v>
      </c>
      <c r="BE324" s="81">
        <f t="shared" si="131"/>
        <v>0</v>
      </c>
      <c r="BF324" s="81" t="str">
        <f t="shared" si="132"/>
        <v>BASSO</v>
      </c>
    </row>
    <row r="325" spans="7:58" x14ac:dyDescent="0.15">
      <c r="G325" s="64">
        <f t="shared" si="111"/>
        <v>0</v>
      </c>
      <c r="I325" s="64">
        <f t="shared" si="112"/>
        <v>0</v>
      </c>
      <c r="K325" s="64">
        <f t="shared" si="113"/>
        <v>0</v>
      </c>
      <c r="M325" s="64">
        <f t="shared" si="114"/>
        <v>0</v>
      </c>
      <c r="O325" s="64">
        <f t="shared" si="115"/>
        <v>0</v>
      </c>
      <c r="Q325" s="64">
        <f t="shared" si="116"/>
        <v>0</v>
      </c>
      <c r="S325" s="71">
        <f t="shared" si="117"/>
        <v>0</v>
      </c>
      <c r="U325" s="64">
        <f t="shared" si="118"/>
        <v>0</v>
      </c>
      <c r="W325" s="71">
        <f t="shared" si="119"/>
        <v>0</v>
      </c>
      <c r="Y325" s="71">
        <f t="shared" si="120"/>
        <v>0</v>
      </c>
      <c r="AA325" s="71">
        <f t="shared" si="121"/>
        <v>0</v>
      </c>
      <c r="AC325" s="71">
        <f t="shared" si="122"/>
        <v>0</v>
      </c>
      <c r="AK325" s="71">
        <f t="shared" si="123"/>
        <v>0</v>
      </c>
      <c r="AM325" s="71">
        <f t="shared" si="124"/>
        <v>0</v>
      </c>
      <c r="AO325" s="71">
        <f t="shared" si="125"/>
        <v>0</v>
      </c>
      <c r="AQ325" s="71">
        <f t="shared" si="126"/>
        <v>0</v>
      </c>
      <c r="AT325" s="71">
        <f t="shared" si="127"/>
        <v>0</v>
      </c>
      <c r="AV325" s="71">
        <f t="shared" si="128"/>
        <v>0</v>
      </c>
      <c r="AX325" s="71">
        <f t="shared" si="129"/>
        <v>0</v>
      </c>
      <c r="AZ325" s="71">
        <f t="shared" si="130"/>
        <v>0</v>
      </c>
      <c r="BE325" s="81">
        <f t="shared" si="131"/>
        <v>0</v>
      </c>
      <c r="BF325" s="81" t="str">
        <f t="shared" si="132"/>
        <v>BASSO</v>
      </c>
    </row>
    <row r="326" spans="7:58" x14ac:dyDescent="0.15">
      <c r="G326" s="64">
        <f t="shared" si="111"/>
        <v>0</v>
      </c>
      <c r="I326" s="64">
        <f t="shared" si="112"/>
        <v>0</v>
      </c>
      <c r="K326" s="64">
        <f t="shared" si="113"/>
        <v>0</v>
      </c>
      <c r="M326" s="64">
        <f t="shared" si="114"/>
        <v>0</v>
      </c>
      <c r="O326" s="64">
        <f t="shared" si="115"/>
        <v>0</v>
      </c>
      <c r="Q326" s="64">
        <f t="shared" si="116"/>
        <v>0</v>
      </c>
      <c r="S326" s="71">
        <f t="shared" si="117"/>
        <v>0</v>
      </c>
      <c r="U326" s="64">
        <f t="shared" si="118"/>
        <v>0</v>
      </c>
      <c r="W326" s="71">
        <f t="shared" si="119"/>
        <v>0</v>
      </c>
      <c r="Y326" s="71">
        <f t="shared" si="120"/>
        <v>0</v>
      </c>
      <c r="AA326" s="71">
        <f t="shared" si="121"/>
        <v>0</v>
      </c>
      <c r="AC326" s="71">
        <f t="shared" si="122"/>
        <v>0</v>
      </c>
      <c r="AK326" s="71">
        <f t="shared" si="123"/>
        <v>0</v>
      </c>
      <c r="AM326" s="71">
        <f t="shared" si="124"/>
        <v>0</v>
      </c>
      <c r="AO326" s="71">
        <f t="shared" si="125"/>
        <v>0</v>
      </c>
      <c r="AQ326" s="71">
        <f t="shared" si="126"/>
        <v>0</v>
      </c>
      <c r="AT326" s="71">
        <f t="shared" si="127"/>
        <v>0</v>
      </c>
      <c r="AV326" s="71">
        <f t="shared" si="128"/>
        <v>0</v>
      </c>
      <c r="AX326" s="71">
        <f t="shared" si="129"/>
        <v>0</v>
      </c>
      <c r="AZ326" s="71">
        <f t="shared" si="130"/>
        <v>0</v>
      </c>
      <c r="BE326" s="81">
        <f t="shared" si="131"/>
        <v>0</v>
      </c>
      <c r="BF326" s="81" t="str">
        <f t="shared" si="132"/>
        <v>BASSO</v>
      </c>
    </row>
    <row r="327" spans="7:58" x14ac:dyDescent="0.15">
      <c r="G327" s="64">
        <f t="shared" si="111"/>
        <v>0</v>
      </c>
      <c r="I327" s="64">
        <f t="shared" si="112"/>
        <v>0</v>
      </c>
      <c r="K327" s="64">
        <f t="shared" si="113"/>
        <v>0</v>
      </c>
      <c r="M327" s="64">
        <f t="shared" si="114"/>
        <v>0</v>
      </c>
      <c r="O327" s="64">
        <f t="shared" si="115"/>
        <v>0</v>
      </c>
      <c r="Q327" s="64">
        <f t="shared" si="116"/>
        <v>0</v>
      </c>
      <c r="S327" s="71">
        <f t="shared" si="117"/>
        <v>0</v>
      </c>
      <c r="U327" s="64">
        <f t="shared" si="118"/>
        <v>0</v>
      </c>
      <c r="W327" s="71">
        <f t="shared" si="119"/>
        <v>0</v>
      </c>
      <c r="Y327" s="71">
        <f t="shared" si="120"/>
        <v>0</v>
      </c>
      <c r="AA327" s="71">
        <f t="shared" si="121"/>
        <v>0</v>
      </c>
      <c r="AC327" s="71">
        <f t="shared" si="122"/>
        <v>0</v>
      </c>
      <c r="AK327" s="71">
        <f t="shared" si="123"/>
        <v>0</v>
      </c>
      <c r="AM327" s="71">
        <f t="shared" si="124"/>
        <v>0</v>
      </c>
      <c r="AO327" s="71">
        <f t="shared" si="125"/>
        <v>0</v>
      </c>
      <c r="AQ327" s="71">
        <f t="shared" si="126"/>
        <v>0</v>
      </c>
      <c r="AT327" s="71">
        <f t="shared" si="127"/>
        <v>0</v>
      </c>
      <c r="AV327" s="71">
        <f t="shared" si="128"/>
        <v>0</v>
      </c>
      <c r="AX327" s="71">
        <f t="shared" si="129"/>
        <v>0</v>
      </c>
      <c r="AZ327" s="71">
        <f t="shared" si="130"/>
        <v>0</v>
      </c>
      <c r="BE327" s="81">
        <f t="shared" si="131"/>
        <v>0</v>
      </c>
      <c r="BF327" s="81" t="str">
        <f t="shared" si="132"/>
        <v>BASSO</v>
      </c>
    </row>
    <row r="328" spans="7:58" x14ac:dyDescent="0.15">
      <c r="G328" s="64">
        <f t="shared" si="111"/>
        <v>0</v>
      </c>
      <c r="I328" s="64">
        <f t="shared" si="112"/>
        <v>0</v>
      </c>
      <c r="K328" s="64">
        <f t="shared" si="113"/>
        <v>0</v>
      </c>
      <c r="M328" s="64">
        <f t="shared" si="114"/>
        <v>0</v>
      </c>
      <c r="O328" s="64">
        <f t="shared" si="115"/>
        <v>0</v>
      </c>
      <c r="Q328" s="64">
        <f t="shared" si="116"/>
        <v>0</v>
      </c>
      <c r="S328" s="71">
        <f t="shared" si="117"/>
        <v>0</v>
      </c>
      <c r="U328" s="64">
        <f t="shared" si="118"/>
        <v>0</v>
      </c>
      <c r="W328" s="71">
        <f t="shared" si="119"/>
        <v>0</v>
      </c>
      <c r="Y328" s="71">
        <f t="shared" si="120"/>
        <v>0</v>
      </c>
      <c r="AA328" s="71">
        <f t="shared" si="121"/>
        <v>0</v>
      </c>
      <c r="AC328" s="71">
        <f t="shared" si="122"/>
        <v>0</v>
      </c>
      <c r="AK328" s="71">
        <f t="shared" si="123"/>
        <v>0</v>
      </c>
      <c r="AM328" s="71">
        <f t="shared" si="124"/>
        <v>0</v>
      </c>
      <c r="AO328" s="71">
        <f t="shared" si="125"/>
        <v>0</v>
      </c>
      <c r="AQ328" s="71">
        <f t="shared" si="126"/>
        <v>0</v>
      </c>
      <c r="AT328" s="71">
        <f t="shared" si="127"/>
        <v>0</v>
      </c>
      <c r="AV328" s="71">
        <f t="shared" si="128"/>
        <v>0</v>
      </c>
      <c r="AX328" s="71">
        <f t="shared" si="129"/>
        <v>0</v>
      </c>
      <c r="AZ328" s="71">
        <f t="shared" si="130"/>
        <v>0</v>
      </c>
      <c r="BE328" s="81">
        <f t="shared" si="131"/>
        <v>0</v>
      </c>
      <c r="BF328" s="81" t="str">
        <f t="shared" si="132"/>
        <v>BASSO</v>
      </c>
    </row>
    <row r="329" spans="7:58" x14ac:dyDescent="0.15">
      <c r="G329" s="64">
        <f t="shared" si="111"/>
        <v>0</v>
      </c>
      <c r="I329" s="64">
        <f t="shared" si="112"/>
        <v>0</v>
      </c>
      <c r="K329" s="64">
        <f t="shared" si="113"/>
        <v>0</v>
      </c>
      <c r="M329" s="64">
        <f t="shared" si="114"/>
        <v>0</v>
      </c>
      <c r="O329" s="64">
        <f t="shared" si="115"/>
        <v>0</v>
      </c>
      <c r="Q329" s="64">
        <f t="shared" si="116"/>
        <v>0</v>
      </c>
      <c r="S329" s="71">
        <f t="shared" si="117"/>
        <v>0</v>
      </c>
      <c r="U329" s="64">
        <f t="shared" si="118"/>
        <v>0</v>
      </c>
      <c r="W329" s="71">
        <f t="shared" si="119"/>
        <v>0</v>
      </c>
      <c r="Y329" s="71">
        <f t="shared" si="120"/>
        <v>0</v>
      </c>
      <c r="AA329" s="71">
        <f t="shared" si="121"/>
        <v>0</v>
      </c>
      <c r="AC329" s="71">
        <f t="shared" si="122"/>
        <v>0</v>
      </c>
      <c r="AK329" s="71">
        <f t="shared" si="123"/>
        <v>0</v>
      </c>
      <c r="AM329" s="71">
        <f t="shared" si="124"/>
        <v>0</v>
      </c>
      <c r="AO329" s="71">
        <f t="shared" si="125"/>
        <v>0</v>
      </c>
      <c r="AQ329" s="71">
        <f t="shared" si="126"/>
        <v>0</v>
      </c>
      <c r="AT329" s="71">
        <f t="shared" si="127"/>
        <v>0</v>
      </c>
      <c r="AV329" s="71">
        <f t="shared" si="128"/>
        <v>0</v>
      </c>
      <c r="AX329" s="71">
        <f t="shared" si="129"/>
        <v>0</v>
      </c>
      <c r="AZ329" s="71">
        <f t="shared" si="130"/>
        <v>0</v>
      </c>
      <c r="BE329" s="81">
        <f t="shared" si="131"/>
        <v>0</v>
      </c>
      <c r="BF329" s="81" t="str">
        <f t="shared" si="132"/>
        <v>BASSO</v>
      </c>
    </row>
    <row r="330" spans="7:58" x14ac:dyDescent="0.15">
      <c r="G330" s="64">
        <f t="shared" si="111"/>
        <v>0</v>
      </c>
      <c r="I330" s="64">
        <f t="shared" si="112"/>
        <v>0</v>
      </c>
      <c r="K330" s="64">
        <f t="shared" si="113"/>
        <v>0</v>
      </c>
      <c r="M330" s="64">
        <f t="shared" si="114"/>
        <v>0</v>
      </c>
      <c r="O330" s="64">
        <f t="shared" si="115"/>
        <v>0</v>
      </c>
      <c r="Q330" s="64">
        <f t="shared" si="116"/>
        <v>0</v>
      </c>
      <c r="S330" s="71">
        <f t="shared" si="117"/>
        <v>0</v>
      </c>
      <c r="U330" s="64">
        <f t="shared" si="118"/>
        <v>0</v>
      </c>
      <c r="W330" s="71">
        <f t="shared" si="119"/>
        <v>0</v>
      </c>
      <c r="Y330" s="71">
        <f t="shared" si="120"/>
        <v>0</v>
      </c>
      <c r="AA330" s="71">
        <f t="shared" si="121"/>
        <v>0</v>
      </c>
      <c r="AC330" s="71">
        <f t="shared" si="122"/>
        <v>0</v>
      </c>
      <c r="AK330" s="71">
        <f t="shared" si="123"/>
        <v>0</v>
      </c>
      <c r="AM330" s="71">
        <f t="shared" si="124"/>
        <v>0</v>
      </c>
      <c r="AO330" s="71">
        <f t="shared" si="125"/>
        <v>0</v>
      </c>
      <c r="AQ330" s="71">
        <f t="shared" si="126"/>
        <v>0</v>
      </c>
      <c r="AT330" s="71">
        <f t="shared" si="127"/>
        <v>0</v>
      </c>
      <c r="AV330" s="71">
        <f t="shared" si="128"/>
        <v>0</v>
      </c>
      <c r="AX330" s="71">
        <f t="shared" si="129"/>
        <v>0</v>
      </c>
      <c r="AZ330" s="71">
        <f t="shared" si="130"/>
        <v>0</v>
      </c>
      <c r="BE330" s="81">
        <f t="shared" si="131"/>
        <v>0</v>
      </c>
      <c r="BF330" s="81" t="str">
        <f t="shared" si="132"/>
        <v>BASSO</v>
      </c>
    </row>
    <row r="331" spans="7:58" x14ac:dyDescent="0.15">
      <c r="G331" s="64">
        <f t="shared" si="111"/>
        <v>0</v>
      </c>
      <c r="I331" s="64">
        <f t="shared" si="112"/>
        <v>0</v>
      </c>
      <c r="K331" s="64">
        <f t="shared" si="113"/>
        <v>0</v>
      </c>
      <c r="M331" s="64">
        <f t="shared" si="114"/>
        <v>0</v>
      </c>
      <c r="O331" s="64">
        <f t="shared" si="115"/>
        <v>0</v>
      </c>
      <c r="Q331" s="64">
        <f t="shared" si="116"/>
        <v>0</v>
      </c>
      <c r="S331" s="71">
        <f t="shared" si="117"/>
        <v>0</v>
      </c>
      <c r="U331" s="64">
        <f t="shared" si="118"/>
        <v>0</v>
      </c>
      <c r="W331" s="71">
        <f t="shared" si="119"/>
        <v>0</v>
      </c>
      <c r="Y331" s="71">
        <f t="shared" si="120"/>
        <v>0</v>
      </c>
      <c r="AA331" s="71">
        <f t="shared" si="121"/>
        <v>0</v>
      </c>
      <c r="AC331" s="71">
        <f t="shared" si="122"/>
        <v>0</v>
      </c>
      <c r="AK331" s="71">
        <f t="shared" si="123"/>
        <v>0</v>
      </c>
      <c r="AM331" s="71">
        <f t="shared" si="124"/>
        <v>0</v>
      </c>
      <c r="AO331" s="71">
        <f t="shared" si="125"/>
        <v>0</v>
      </c>
      <c r="AQ331" s="71">
        <f t="shared" si="126"/>
        <v>0</v>
      </c>
      <c r="AT331" s="71">
        <f t="shared" si="127"/>
        <v>0</v>
      </c>
      <c r="AV331" s="71">
        <f t="shared" si="128"/>
        <v>0</v>
      </c>
      <c r="AX331" s="71">
        <f t="shared" si="129"/>
        <v>0</v>
      </c>
      <c r="AZ331" s="71">
        <f t="shared" si="130"/>
        <v>0</v>
      </c>
      <c r="BE331" s="81">
        <f t="shared" si="131"/>
        <v>0</v>
      </c>
      <c r="BF331" s="81" t="str">
        <f t="shared" si="132"/>
        <v>BASSO</v>
      </c>
    </row>
    <row r="332" spans="7:58" x14ac:dyDescent="0.15">
      <c r="G332" s="64">
        <f t="shared" si="111"/>
        <v>0</v>
      </c>
      <c r="I332" s="64">
        <f t="shared" si="112"/>
        <v>0</v>
      </c>
      <c r="K332" s="64">
        <f t="shared" si="113"/>
        <v>0</v>
      </c>
      <c r="M332" s="64">
        <f t="shared" si="114"/>
        <v>0</v>
      </c>
      <c r="O332" s="64">
        <f t="shared" si="115"/>
        <v>0</v>
      </c>
      <c r="Q332" s="64">
        <f t="shared" si="116"/>
        <v>0</v>
      </c>
      <c r="S332" s="71">
        <f t="shared" si="117"/>
        <v>0</v>
      </c>
      <c r="U332" s="64">
        <f t="shared" si="118"/>
        <v>0</v>
      </c>
      <c r="W332" s="71">
        <f t="shared" si="119"/>
        <v>0</v>
      </c>
      <c r="Y332" s="71">
        <f t="shared" si="120"/>
        <v>0</v>
      </c>
      <c r="AA332" s="71">
        <f t="shared" si="121"/>
        <v>0</v>
      </c>
      <c r="AC332" s="71">
        <f t="shared" si="122"/>
        <v>0</v>
      </c>
      <c r="AK332" s="71">
        <f t="shared" si="123"/>
        <v>0</v>
      </c>
      <c r="AM332" s="71">
        <f t="shared" si="124"/>
        <v>0</v>
      </c>
      <c r="AO332" s="71">
        <f t="shared" si="125"/>
        <v>0</v>
      </c>
      <c r="AQ332" s="71">
        <f t="shared" si="126"/>
        <v>0</v>
      </c>
      <c r="AT332" s="71">
        <f t="shared" si="127"/>
        <v>0</v>
      </c>
      <c r="AV332" s="71">
        <f t="shared" si="128"/>
        <v>0</v>
      </c>
      <c r="AX332" s="71">
        <f t="shared" si="129"/>
        <v>0</v>
      </c>
      <c r="AZ332" s="71">
        <f t="shared" si="130"/>
        <v>0</v>
      </c>
      <c r="BE332" s="81">
        <f t="shared" si="131"/>
        <v>0</v>
      </c>
      <c r="BF332" s="81" t="str">
        <f t="shared" si="132"/>
        <v>BASSO</v>
      </c>
    </row>
    <row r="333" spans="7:58" x14ac:dyDescent="0.15">
      <c r="G333" s="64">
        <f t="shared" si="111"/>
        <v>0</v>
      </c>
      <c r="I333" s="64">
        <f t="shared" si="112"/>
        <v>0</v>
      </c>
      <c r="K333" s="64">
        <f t="shared" si="113"/>
        <v>0</v>
      </c>
      <c r="M333" s="64">
        <f t="shared" si="114"/>
        <v>0</v>
      </c>
      <c r="O333" s="64">
        <f t="shared" si="115"/>
        <v>0</v>
      </c>
      <c r="Q333" s="64">
        <f t="shared" si="116"/>
        <v>0</v>
      </c>
      <c r="S333" s="71">
        <f t="shared" si="117"/>
        <v>0</v>
      </c>
      <c r="U333" s="64">
        <f t="shared" si="118"/>
        <v>0</v>
      </c>
      <c r="W333" s="71">
        <f t="shared" si="119"/>
        <v>0</v>
      </c>
      <c r="Y333" s="71">
        <f t="shared" si="120"/>
        <v>0</v>
      </c>
      <c r="AA333" s="71">
        <f t="shared" si="121"/>
        <v>0</v>
      </c>
      <c r="AC333" s="71">
        <f t="shared" si="122"/>
        <v>0</v>
      </c>
      <c r="AK333" s="71">
        <f t="shared" si="123"/>
        <v>0</v>
      </c>
      <c r="AM333" s="71">
        <f t="shared" si="124"/>
        <v>0</v>
      </c>
      <c r="AO333" s="71">
        <f t="shared" si="125"/>
        <v>0</v>
      </c>
      <c r="AQ333" s="71">
        <f t="shared" si="126"/>
        <v>0</v>
      </c>
      <c r="AT333" s="71">
        <f t="shared" si="127"/>
        <v>0</v>
      </c>
      <c r="AV333" s="71">
        <f t="shared" si="128"/>
        <v>0</v>
      </c>
      <c r="AX333" s="71">
        <f t="shared" si="129"/>
        <v>0</v>
      </c>
      <c r="AZ333" s="71">
        <f t="shared" si="130"/>
        <v>0</v>
      </c>
      <c r="BE333" s="81">
        <f t="shared" si="131"/>
        <v>0</v>
      </c>
      <c r="BF333" s="81" t="str">
        <f t="shared" si="132"/>
        <v>BASSO</v>
      </c>
    </row>
    <row r="334" spans="7:58" x14ac:dyDescent="0.15">
      <c r="G334" s="64">
        <f t="shared" si="111"/>
        <v>0</v>
      </c>
      <c r="I334" s="64">
        <f t="shared" si="112"/>
        <v>0</v>
      </c>
      <c r="K334" s="64">
        <f t="shared" si="113"/>
        <v>0</v>
      </c>
      <c r="M334" s="64">
        <f t="shared" si="114"/>
        <v>0</v>
      </c>
      <c r="O334" s="64">
        <f t="shared" si="115"/>
        <v>0</v>
      </c>
      <c r="Q334" s="64">
        <f t="shared" si="116"/>
        <v>0</v>
      </c>
      <c r="S334" s="71">
        <f t="shared" si="117"/>
        <v>0</v>
      </c>
      <c r="U334" s="64">
        <f t="shared" si="118"/>
        <v>0</v>
      </c>
      <c r="W334" s="71">
        <f t="shared" si="119"/>
        <v>0</v>
      </c>
      <c r="Y334" s="71">
        <f t="shared" si="120"/>
        <v>0</v>
      </c>
      <c r="AA334" s="71">
        <f t="shared" si="121"/>
        <v>0</v>
      </c>
      <c r="AC334" s="71">
        <f t="shared" si="122"/>
        <v>0</v>
      </c>
      <c r="AK334" s="71">
        <f t="shared" si="123"/>
        <v>0</v>
      </c>
      <c r="AM334" s="71">
        <f t="shared" si="124"/>
        <v>0</v>
      </c>
      <c r="AO334" s="71">
        <f t="shared" si="125"/>
        <v>0</v>
      </c>
      <c r="AQ334" s="71">
        <f t="shared" si="126"/>
        <v>0</v>
      </c>
      <c r="AT334" s="71">
        <f t="shared" si="127"/>
        <v>0</v>
      </c>
      <c r="AV334" s="71">
        <f t="shared" si="128"/>
        <v>0</v>
      </c>
      <c r="AX334" s="71">
        <f t="shared" si="129"/>
        <v>0</v>
      </c>
      <c r="AZ334" s="71">
        <f t="shared" si="130"/>
        <v>0</v>
      </c>
      <c r="BE334" s="81">
        <f t="shared" si="131"/>
        <v>0</v>
      </c>
      <c r="BF334" s="81" t="str">
        <f t="shared" si="132"/>
        <v>BASSO</v>
      </c>
    </row>
    <row r="335" spans="7:58" x14ac:dyDescent="0.15">
      <c r="G335" s="64">
        <f t="shared" si="111"/>
        <v>0</v>
      </c>
      <c r="I335" s="64">
        <f t="shared" si="112"/>
        <v>0</v>
      </c>
      <c r="K335" s="64">
        <f t="shared" si="113"/>
        <v>0</v>
      </c>
      <c r="M335" s="64">
        <f t="shared" si="114"/>
        <v>0</v>
      </c>
      <c r="O335" s="64">
        <f t="shared" si="115"/>
        <v>0</v>
      </c>
      <c r="Q335" s="64">
        <f t="shared" si="116"/>
        <v>0</v>
      </c>
      <c r="S335" s="71">
        <f t="shared" si="117"/>
        <v>0</v>
      </c>
      <c r="U335" s="64">
        <f t="shared" si="118"/>
        <v>0</v>
      </c>
      <c r="W335" s="71">
        <f t="shared" si="119"/>
        <v>0</v>
      </c>
      <c r="Y335" s="71">
        <f t="shared" si="120"/>
        <v>0</v>
      </c>
      <c r="AA335" s="71">
        <f t="shared" si="121"/>
        <v>0</v>
      </c>
      <c r="AC335" s="71">
        <f t="shared" si="122"/>
        <v>0</v>
      </c>
      <c r="AK335" s="71">
        <f t="shared" si="123"/>
        <v>0</v>
      </c>
      <c r="AM335" s="71">
        <f t="shared" si="124"/>
        <v>0</v>
      </c>
      <c r="AO335" s="71">
        <f t="shared" si="125"/>
        <v>0</v>
      </c>
      <c r="AQ335" s="71">
        <f t="shared" si="126"/>
        <v>0</v>
      </c>
      <c r="AT335" s="71">
        <f t="shared" si="127"/>
        <v>0</v>
      </c>
      <c r="AV335" s="71">
        <f t="shared" si="128"/>
        <v>0</v>
      </c>
      <c r="AX335" s="71">
        <f t="shared" si="129"/>
        <v>0</v>
      </c>
      <c r="AZ335" s="71">
        <f t="shared" si="130"/>
        <v>0</v>
      </c>
      <c r="BE335" s="81">
        <f t="shared" si="131"/>
        <v>0</v>
      </c>
      <c r="BF335" s="81" t="str">
        <f t="shared" si="132"/>
        <v>BASSO</v>
      </c>
    </row>
    <row r="336" spans="7:58" x14ac:dyDescent="0.15">
      <c r="G336" s="64">
        <f t="shared" si="111"/>
        <v>0</v>
      </c>
      <c r="I336" s="64">
        <f t="shared" si="112"/>
        <v>0</v>
      </c>
      <c r="K336" s="64">
        <f t="shared" si="113"/>
        <v>0</v>
      </c>
      <c r="M336" s="64">
        <f t="shared" si="114"/>
        <v>0</v>
      </c>
      <c r="O336" s="64">
        <f t="shared" si="115"/>
        <v>0</v>
      </c>
      <c r="Q336" s="64">
        <f t="shared" si="116"/>
        <v>0</v>
      </c>
      <c r="S336" s="71">
        <f t="shared" si="117"/>
        <v>0</v>
      </c>
      <c r="U336" s="64">
        <f t="shared" si="118"/>
        <v>0</v>
      </c>
      <c r="W336" s="71">
        <f t="shared" si="119"/>
        <v>0</v>
      </c>
      <c r="Y336" s="71">
        <f t="shared" si="120"/>
        <v>0</v>
      </c>
      <c r="AA336" s="71">
        <f t="shared" si="121"/>
        <v>0</v>
      </c>
      <c r="AC336" s="71">
        <f t="shared" si="122"/>
        <v>0</v>
      </c>
      <c r="AK336" s="71">
        <f t="shared" si="123"/>
        <v>0</v>
      </c>
      <c r="AM336" s="71">
        <f t="shared" si="124"/>
        <v>0</v>
      </c>
      <c r="AO336" s="71">
        <f t="shared" si="125"/>
        <v>0</v>
      </c>
      <c r="AQ336" s="71">
        <f t="shared" si="126"/>
        <v>0</v>
      </c>
      <c r="AT336" s="71">
        <f t="shared" si="127"/>
        <v>0</v>
      </c>
      <c r="AV336" s="71">
        <f t="shared" si="128"/>
        <v>0</v>
      </c>
      <c r="AX336" s="71">
        <f t="shared" si="129"/>
        <v>0</v>
      </c>
      <c r="AZ336" s="71">
        <f t="shared" si="130"/>
        <v>0</v>
      </c>
      <c r="BE336" s="81">
        <f t="shared" si="131"/>
        <v>0</v>
      </c>
      <c r="BF336" s="81" t="str">
        <f t="shared" si="132"/>
        <v>BASSO</v>
      </c>
    </row>
    <row r="337" spans="7:58" x14ac:dyDescent="0.15">
      <c r="G337" s="64">
        <f t="shared" si="111"/>
        <v>0</v>
      </c>
      <c r="I337" s="64">
        <f t="shared" si="112"/>
        <v>0</v>
      </c>
      <c r="K337" s="64">
        <f t="shared" si="113"/>
        <v>0</v>
      </c>
      <c r="M337" s="64">
        <f t="shared" si="114"/>
        <v>0</v>
      </c>
      <c r="O337" s="64">
        <f t="shared" si="115"/>
        <v>0</v>
      </c>
      <c r="Q337" s="64">
        <f t="shared" si="116"/>
        <v>0</v>
      </c>
      <c r="S337" s="71">
        <f t="shared" si="117"/>
        <v>0</v>
      </c>
      <c r="U337" s="64">
        <f t="shared" si="118"/>
        <v>0</v>
      </c>
      <c r="W337" s="71">
        <f t="shared" si="119"/>
        <v>0</v>
      </c>
      <c r="Y337" s="71">
        <f t="shared" si="120"/>
        <v>0</v>
      </c>
      <c r="AA337" s="71">
        <f t="shared" si="121"/>
        <v>0</v>
      </c>
      <c r="AC337" s="71">
        <f t="shared" si="122"/>
        <v>0</v>
      </c>
      <c r="AK337" s="71">
        <f t="shared" si="123"/>
        <v>0</v>
      </c>
      <c r="AM337" s="71">
        <f t="shared" si="124"/>
        <v>0</v>
      </c>
      <c r="AO337" s="71">
        <f t="shared" si="125"/>
        <v>0</v>
      </c>
      <c r="AQ337" s="71">
        <f t="shared" si="126"/>
        <v>0</v>
      </c>
      <c r="AT337" s="71">
        <f t="shared" si="127"/>
        <v>0</v>
      </c>
      <c r="AV337" s="71">
        <f t="shared" si="128"/>
        <v>0</v>
      </c>
      <c r="AX337" s="71">
        <f t="shared" si="129"/>
        <v>0</v>
      </c>
      <c r="AZ337" s="71">
        <f t="shared" si="130"/>
        <v>0</v>
      </c>
      <c r="BE337" s="81">
        <f t="shared" si="131"/>
        <v>0</v>
      </c>
      <c r="BF337" s="81" t="str">
        <f t="shared" si="132"/>
        <v>BASSO</v>
      </c>
    </row>
    <row r="338" spans="7:58" x14ac:dyDescent="0.15">
      <c r="G338" s="64">
        <f t="shared" si="111"/>
        <v>0</v>
      </c>
      <c r="I338" s="64">
        <f t="shared" si="112"/>
        <v>0</v>
      </c>
      <c r="K338" s="64">
        <f t="shared" si="113"/>
        <v>0</v>
      </c>
      <c r="M338" s="64">
        <f t="shared" si="114"/>
        <v>0</v>
      </c>
      <c r="O338" s="64">
        <f t="shared" si="115"/>
        <v>0</v>
      </c>
      <c r="Q338" s="64">
        <f t="shared" si="116"/>
        <v>0</v>
      </c>
      <c r="S338" s="71">
        <f t="shared" si="117"/>
        <v>0</v>
      </c>
      <c r="U338" s="64">
        <f t="shared" si="118"/>
        <v>0</v>
      </c>
      <c r="W338" s="71">
        <f t="shared" si="119"/>
        <v>0</v>
      </c>
      <c r="Y338" s="71">
        <f t="shared" si="120"/>
        <v>0</v>
      </c>
      <c r="AA338" s="71">
        <f t="shared" si="121"/>
        <v>0</v>
      </c>
      <c r="AC338" s="71">
        <f t="shared" si="122"/>
        <v>0</v>
      </c>
      <c r="AK338" s="71">
        <f t="shared" si="123"/>
        <v>0</v>
      </c>
      <c r="AM338" s="71">
        <f t="shared" si="124"/>
        <v>0</v>
      </c>
      <c r="AO338" s="71">
        <f t="shared" si="125"/>
        <v>0</v>
      </c>
      <c r="AQ338" s="71">
        <f t="shared" si="126"/>
        <v>0</v>
      </c>
      <c r="AT338" s="71">
        <f t="shared" si="127"/>
        <v>0</v>
      </c>
      <c r="AV338" s="71">
        <f t="shared" si="128"/>
        <v>0</v>
      </c>
      <c r="AX338" s="71">
        <f t="shared" si="129"/>
        <v>0</v>
      </c>
      <c r="AZ338" s="71">
        <f t="shared" si="130"/>
        <v>0</v>
      </c>
      <c r="BE338" s="81">
        <f t="shared" si="131"/>
        <v>0</v>
      </c>
      <c r="BF338" s="81" t="str">
        <f t="shared" si="132"/>
        <v>BASSO</v>
      </c>
    </row>
    <row r="339" spans="7:58" x14ac:dyDescent="0.15">
      <c r="G339" s="64">
        <f t="shared" si="111"/>
        <v>0</v>
      </c>
      <c r="I339" s="64">
        <f t="shared" si="112"/>
        <v>0</v>
      </c>
      <c r="K339" s="64">
        <f t="shared" si="113"/>
        <v>0</v>
      </c>
      <c r="M339" s="64">
        <f t="shared" si="114"/>
        <v>0</v>
      </c>
      <c r="O339" s="64">
        <f t="shared" si="115"/>
        <v>0</v>
      </c>
      <c r="Q339" s="64">
        <f t="shared" si="116"/>
        <v>0</v>
      </c>
      <c r="S339" s="71">
        <f t="shared" si="117"/>
        <v>0</v>
      </c>
      <c r="U339" s="64">
        <f t="shared" si="118"/>
        <v>0</v>
      </c>
      <c r="W339" s="71">
        <f t="shared" si="119"/>
        <v>0</v>
      </c>
      <c r="Y339" s="71">
        <f t="shared" si="120"/>
        <v>0</v>
      </c>
      <c r="AA339" s="71">
        <f t="shared" si="121"/>
        <v>0</v>
      </c>
      <c r="AC339" s="71">
        <f t="shared" si="122"/>
        <v>0</v>
      </c>
      <c r="AK339" s="71">
        <f t="shared" si="123"/>
        <v>0</v>
      </c>
      <c r="AM339" s="71">
        <f t="shared" si="124"/>
        <v>0</v>
      </c>
      <c r="AO339" s="71">
        <f t="shared" si="125"/>
        <v>0</v>
      </c>
      <c r="AQ339" s="71">
        <f t="shared" si="126"/>
        <v>0</v>
      </c>
      <c r="AT339" s="71">
        <f t="shared" si="127"/>
        <v>0</v>
      </c>
      <c r="AV339" s="71">
        <f t="shared" si="128"/>
        <v>0</v>
      </c>
      <c r="AX339" s="71">
        <f t="shared" si="129"/>
        <v>0</v>
      </c>
      <c r="AZ339" s="71">
        <f t="shared" si="130"/>
        <v>0</v>
      </c>
      <c r="BE339" s="81">
        <f t="shared" si="131"/>
        <v>0</v>
      </c>
      <c r="BF339" s="81" t="str">
        <f t="shared" si="132"/>
        <v>BASSO</v>
      </c>
    </row>
    <row r="340" spans="7:58" x14ac:dyDescent="0.15">
      <c r="G340" s="64">
        <f t="shared" si="111"/>
        <v>0</v>
      </c>
      <c r="I340" s="64">
        <f t="shared" si="112"/>
        <v>0</v>
      </c>
      <c r="K340" s="64">
        <f t="shared" si="113"/>
        <v>0</v>
      </c>
      <c r="M340" s="64">
        <f t="shared" si="114"/>
        <v>0</v>
      </c>
      <c r="O340" s="64">
        <f t="shared" si="115"/>
        <v>0</v>
      </c>
      <c r="Q340" s="64">
        <f t="shared" si="116"/>
        <v>0</v>
      </c>
      <c r="S340" s="71">
        <f t="shared" si="117"/>
        <v>0</v>
      </c>
      <c r="U340" s="64">
        <f t="shared" si="118"/>
        <v>0</v>
      </c>
      <c r="W340" s="71">
        <f t="shared" si="119"/>
        <v>0</v>
      </c>
      <c r="Y340" s="71">
        <f t="shared" si="120"/>
        <v>0</v>
      </c>
      <c r="AA340" s="71">
        <f t="shared" si="121"/>
        <v>0</v>
      </c>
      <c r="AC340" s="71">
        <f t="shared" si="122"/>
        <v>0</v>
      </c>
      <c r="AK340" s="71">
        <f t="shared" si="123"/>
        <v>0</v>
      </c>
      <c r="AM340" s="71">
        <f t="shared" si="124"/>
        <v>0</v>
      </c>
      <c r="AO340" s="71">
        <f t="shared" si="125"/>
        <v>0</v>
      </c>
      <c r="AQ340" s="71">
        <f t="shared" si="126"/>
        <v>0</v>
      </c>
      <c r="AT340" s="71">
        <f t="shared" si="127"/>
        <v>0</v>
      </c>
      <c r="AV340" s="71">
        <f t="shared" si="128"/>
        <v>0</v>
      </c>
      <c r="AX340" s="71">
        <f t="shared" si="129"/>
        <v>0</v>
      </c>
      <c r="AZ340" s="71">
        <f t="shared" si="130"/>
        <v>0</v>
      </c>
      <c r="BE340" s="81">
        <f t="shared" si="131"/>
        <v>0</v>
      </c>
      <c r="BF340" s="81" t="str">
        <f t="shared" si="132"/>
        <v>BASSO</v>
      </c>
    </row>
    <row r="341" spans="7:58" x14ac:dyDescent="0.15">
      <c r="G341" s="64">
        <f t="shared" si="111"/>
        <v>0</v>
      </c>
      <c r="I341" s="64">
        <f t="shared" si="112"/>
        <v>0</v>
      </c>
      <c r="K341" s="64">
        <f t="shared" si="113"/>
        <v>0</v>
      </c>
      <c r="M341" s="64">
        <f t="shared" si="114"/>
        <v>0</v>
      </c>
      <c r="O341" s="64">
        <f t="shared" si="115"/>
        <v>0</v>
      </c>
      <c r="Q341" s="64">
        <f t="shared" si="116"/>
        <v>0</v>
      </c>
      <c r="S341" s="71">
        <f t="shared" si="117"/>
        <v>0</v>
      </c>
      <c r="U341" s="64">
        <f t="shared" si="118"/>
        <v>0</v>
      </c>
      <c r="W341" s="71">
        <f t="shared" si="119"/>
        <v>0</v>
      </c>
      <c r="Y341" s="71">
        <f t="shared" si="120"/>
        <v>0</v>
      </c>
      <c r="AA341" s="71">
        <f t="shared" si="121"/>
        <v>0</v>
      </c>
      <c r="AC341" s="71">
        <f t="shared" si="122"/>
        <v>0</v>
      </c>
      <c r="AK341" s="71">
        <f t="shared" si="123"/>
        <v>0</v>
      </c>
      <c r="AM341" s="71">
        <f t="shared" si="124"/>
        <v>0</v>
      </c>
      <c r="AO341" s="71">
        <f t="shared" si="125"/>
        <v>0</v>
      </c>
      <c r="AQ341" s="71">
        <f t="shared" si="126"/>
        <v>0</v>
      </c>
      <c r="AT341" s="71">
        <f t="shared" si="127"/>
        <v>0</v>
      </c>
      <c r="AV341" s="71">
        <f t="shared" si="128"/>
        <v>0</v>
      </c>
      <c r="AX341" s="71">
        <f t="shared" si="129"/>
        <v>0</v>
      </c>
      <c r="AZ341" s="71">
        <f t="shared" si="130"/>
        <v>0</v>
      </c>
      <c r="BE341" s="81">
        <f t="shared" si="131"/>
        <v>0</v>
      </c>
      <c r="BF341" s="81" t="str">
        <f t="shared" si="132"/>
        <v>BASSO</v>
      </c>
    </row>
    <row r="342" spans="7:58" x14ac:dyDescent="0.15">
      <c r="G342" s="64">
        <f t="shared" si="111"/>
        <v>0</v>
      </c>
      <c r="I342" s="64">
        <f t="shared" si="112"/>
        <v>0</v>
      </c>
      <c r="K342" s="64">
        <f t="shared" si="113"/>
        <v>0</v>
      </c>
      <c r="M342" s="64">
        <f t="shared" si="114"/>
        <v>0</v>
      </c>
      <c r="O342" s="64">
        <f t="shared" si="115"/>
        <v>0</v>
      </c>
      <c r="Q342" s="64">
        <f t="shared" si="116"/>
        <v>0</v>
      </c>
      <c r="S342" s="71">
        <f t="shared" si="117"/>
        <v>0</v>
      </c>
      <c r="U342" s="64">
        <f t="shared" si="118"/>
        <v>0</v>
      </c>
      <c r="W342" s="71">
        <f t="shared" si="119"/>
        <v>0</v>
      </c>
      <c r="Y342" s="71">
        <f t="shared" si="120"/>
        <v>0</v>
      </c>
      <c r="AA342" s="71">
        <f t="shared" si="121"/>
        <v>0</v>
      </c>
      <c r="AC342" s="71">
        <f t="shared" si="122"/>
        <v>0</v>
      </c>
      <c r="AK342" s="71">
        <f t="shared" si="123"/>
        <v>0</v>
      </c>
      <c r="AM342" s="71">
        <f t="shared" si="124"/>
        <v>0</v>
      </c>
      <c r="AO342" s="71">
        <f t="shared" si="125"/>
        <v>0</v>
      </c>
      <c r="AQ342" s="71">
        <f t="shared" si="126"/>
        <v>0</v>
      </c>
      <c r="AT342" s="71">
        <f t="shared" si="127"/>
        <v>0</v>
      </c>
      <c r="AV342" s="71">
        <f t="shared" si="128"/>
        <v>0</v>
      </c>
      <c r="AX342" s="71">
        <f t="shared" si="129"/>
        <v>0</v>
      </c>
      <c r="AZ342" s="71">
        <f t="shared" si="130"/>
        <v>0</v>
      </c>
      <c r="BE342" s="81">
        <f t="shared" si="131"/>
        <v>0</v>
      </c>
      <c r="BF342" s="81" t="str">
        <f t="shared" si="132"/>
        <v>BASSO</v>
      </c>
    </row>
    <row r="343" spans="7:58" x14ac:dyDescent="0.15">
      <c r="G343" s="64">
        <f t="shared" si="111"/>
        <v>0</v>
      </c>
      <c r="I343" s="64">
        <f t="shared" si="112"/>
        <v>0</v>
      </c>
      <c r="K343" s="64">
        <f t="shared" si="113"/>
        <v>0</v>
      </c>
      <c r="M343" s="64">
        <f t="shared" si="114"/>
        <v>0</v>
      </c>
      <c r="O343" s="64">
        <f t="shared" si="115"/>
        <v>0</v>
      </c>
      <c r="Q343" s="64">
        <f t="shared" si="116"/>
        <v>0</v>
      </c>
      <c r="S343" s="71">
        <f t="shared" si="117"/>
        <v>0</v>
      </c>
      <c r="U343" s="64">
        <f t="shared" si="118"/>
        <v>0</v>
      </c>
      <c r="W343" s="71">
        <f t="shared" si="119"/>
        <v>0</v>
      </c>
      <c r="Y343" s="71">
        <f t="shared" si="120"/>
        <v>0</v>
      </c>
      <c r="AA343" s="71">
        <f t="shared" si="121"/>
        <v>0</v>
      </c>
      <c r="AC343" s="71">
        <f t="shared" si="122"/>
        <v>0</v>
      </c>
      <c r="AK343" s="71">
        <f t="shared" si="123"/>
        <v>0</v>
      </c>
      <c r="AM343" s="71">
        <f t="shared" si="124"/>
        <v>0</v>
      </c>
      <c r="AO343" s="71">
        <f t="shared" si="125"/>
        <v>0</v>
      </c>
      <c r="AQ343" s="71">
        <f t="shared" si="126"/>
        <v>0</v>
      </c>
      <c r="AT343" s="71">
        <f t="shared" si="127"/>
        <v>0</v>
      </c>
      <c r="AV343" s="71">
        <f t="shared" si="128"/>
        <v>0</v>
      </c>
      <c r="AX343" s="71">
        <f t="shared" si="129"/>
        <v>0</v>
      </c>
      <c r="AZ343" s="71">
        <f t="shared" si="130"/>
        <v>0</v>
      </c>
      <c r="BE343" s="81">
        <f t="shared" si="131"/>
        <v>0</v>
      </c>
      <c r="BF343" s="81" t="str">
        <f t="shared" si="132"/>
        <v>BASSO</v>
      </c>
    </row>
    <row r="344" spans="7:58" x14ac:dyDescent="0.15">
      <c r="G344" s="64">
        <f t="shared" si="111"/>
        <v>0</v>
      </c>
      <c r="I344" s="64">
        <f t="shared" si="112"/>
        <v>0</v>
      </c>
      <c r="K344" s="64">
        <f t="shared" si="113"/>
        <v>0</v>
      </c>
      <c r="M344" s="64">
        <f t="shared" si="114"/>
        <v>0</v>
      </c>
      <c r="O344" s="64">
        <f t="shared" si="115"/>
        <v>0</v>
      </c>
      <c r="Q344" s="64">
        <f t="shared" si="116"/>
        <v>0</v>
      </c>
      <c r="S344" s="71">
        <f t="shared" si="117"/>
        <v>0</v>
      </c>
      <c r="U344" s="64">
        <f t="shared" si="118"/>
        <v>0</v>
      </c>
      <c r="W344" s="71">
        <f t="shared" si="119"/>
        <v>0</v>
      </c>
      <c r="Y344" s="71">
        <f t="shared" si="120"/>
        <v>0</v>
      </c>
      <c r="AA344" s="71">
        <f t="shared" si="121"/>
        <v>0</v>
      </c>
      <c r="AC344" s="71">
        <f t="shared" si="122"/>
        <v>0</v>
      </c>
      <c r="AK344" s="71">
        <f t="shared" si="123"/>
        <v>0</v>
      </c>
      <c r="AM344" s="71">
        <f t="shared" si="124"/>
        <v>0</v>
      </c>
      <c r="AO344" s="71">
        <f t="shared" si="125"/>
        <v>0</v>
      </c>
      <c r="AQ344" s="71">
        <f t="shared" si="126"/>
        <v>0</v>
      </c>
      <c r="AT344" s="71">
        <f t="shared" si="127"/>
        <v>0</v>
      </c>
      <c r="AV344" s="71">
        <f t="shared" si="128"/>
        <v>0</v>
      </c>
      <c r="AX344" s="71">
        <f t="shared" si="129"/>
        <v>0</v>
      </c>
      <c r="AZ344" s="71">
        <f t="shared" si="130"/>
        <v>0</v>
      </c>
      <c r="BE344" s="81">
        <f t="shared" si="131"/>
        <v>0</v>
      </c>
      <c r="BF344" s="81" t="str">
        <f t="shared" si="132"/>
        <v>BASSO</v>
      </c>
    </row>
    <row r="345" spans="7:58" x14ac:dyDescent="0.15">
      <c r="G345" s="64">
        <f t="shared" si="111"/>
        <v>0</v>
      </c>
      <c r="I345" s="64">
        <f t="shared" si="112"/>
        <v>0</v>
      </c>
      <c r="K345" s="64">
        <f t="shared" si="113"/>
        <v>0</v>
      </c>
      <c r="M345" s="64">
        <f t="shared" si="114"/>
        <v>0</v>
      </c>
      <c r="O345" s="64">
        <f t="shared" si="115"/>
        <v>0</v>
      </c>
      <c r="Q345" s="64">
        <f t="shared" si="116"/>
        <v>0</v>
      </c>
      <c r="S345" s="71">
        <f t="shared" si="117"/>
        <v>0</v>
      </c>
      <c r="U345" s="64">
        <f t="shared" si="118"/>
        <v>0</v>
      </c>
      <c r="W345" s="71">
        <f t="shared" si="119"/>
        <v>0</v>
      </c>
      <c r="Y345" s="71">
        <f t="shared" si="120"/>
        <v>0</v>
      </c>
      <c r="AA345" s="71">
        <f t="shared" si="121"/>
        <v>0</v>
      </c>
      <c r="AC345" s="71">
        <f t="shared" si="122"/>
        <v>0</v>
      </c>
      <c r="AK345" s="71">
        <f t="shared" si="123"/>
        <v>0</v>
      </c>
      <c r="AM345" s="71">
        <f t="shared" si="124"/>
        <v>0</v>
      </c>
      <c r="AO345" s="71">
        <f t="shared" si="125"/>
        <v>0</v>
      </c>
      <c r="AQ345" s="71">
        <f t="shared" si="126"/>
        <v>0</v>
      </c>
      <c r="AT345" s="71">
        <f t="shared" si="127"/>
        <v>0</v>
      </c>
      <c r="AV345" s="71">
        <f t="shared" si="128"/>
        <v>0</v>
      </c>
      <c r="AX345" s="71">
        <f t="shared" si="129"/>
        <v>0</v>
      </c>
      <c r="AZ345" s="71">
        <f t="shared" si="130"/>
        <v>0</v>
      </c>
      <c r="BE345" s="81">
        <f t="shared" si="131"/>
        <v>0</v>
      </c>
      <c r="BF345" s="81" t="str">
        <f t="shared" si="132"/>
        <v>BASSO</v>
      </c>
    </row>
    <row r="346" spans="7:58" x14ac:dyDescent="0.15">
      <c r="G346" s="64">
        <f t="shared" si="111"/>
        <v>0</v>
      </c>
      <c r="I346" s="64">
        <f t="shared" si="112"/>
        <v>0</v>
      </c>
      <c r="K346" s="64">
        <f t="shared" si="113"/>
        <v>0</v>
      </c>
      <c r="M346" s="64">
        <f t="shared" si="114"/>
        <v>0</v>
      </c>
      <c r="O346" s="64">
        <f t="shared" si="115"/>
        <v>0</v>
      </c>
      <c r="Q346" s="64">
        <f t="shared" si="116"/>
        <v>0</v>
      </c>
      <c r="S346" s="71">
        <f t="shared" si="117"/>
        <v>0</v>
      </c>
      <c r="U346" s="64">
        <f t="shared" si="118"/>
        <v>0</v>
      </c>
      <c r="W346" s="71">
        <f t="shared" si="119"/>
        <v>0</v>
      </c>
      <c r="Y346" s="71">
        <f t="shared" si="120"/>
        <v>0</v>
      </c>
      <c r="AA346" s="71">
        <f t="shared" si="121"/>
        <v>0</v>
      </c>
      <c r="AC346" s="71">
        <f t="shared" si="122"/>
        <v>0</v>
      </c>
      <c r="AK346" s="71">
        <f t="shared" si="123"/>
        <v>0</v>
      </c>
      <c r="AM346" s="71">
        <f t="shared" si="124"/>
        <v>0</v>
      </c>
      <c r="AO346" s="71">
        <f t="shared" si="125"/>
        <v>0</v>
      </c>
      <c r="AQ346" s="71">
        <f t="shared" si="126"/>
        <v>0</v>
      </c>
      <c r="AT346" s="71">
        <f t="shared" si="127"/>
        <v>0</v>
      </c>
      <c r="AV346" s="71">
        <f t="shared" si="128"/>
        <v>0</v>
      </c>
      <c r="AX346" s="71">
        <f t="shared" si="129"/>
        <v>0</v>
      </c>
      <c r="AZ346" s="71">
        <f t="shared" si="130"/>
        <v>0</v>
      </c>
      <c r="BE346" s="81">
        <f t="shared" si="131"/>
        <v>0</v>
      </c>
      <c r="BF346" s="81" t="str">
        <f t="shared" si="132"/>
        <v>BASSO</v>
      </c>
    </row>
    <row r="347" spans="7:58" x14ac:dyDescent="0.15">
      <c r="G347" s="64">
        <f t="shared" si="111"/>
        <v>0</v>
      </c>
      <c r="I347" s="64">
        <f t="shared" si="112"/>
        <v>0</v>
      </c>
      <c r="K347" s="64">
        <f t="shared" si="113"/>
        <v>0</v>
      </c>
      <c r="M347" s="64">
        <f t="shared" si="114"/>
        <v>0</v>
      </c>
      <c r="O347" s="64">
        <f t="shared" si="115"/>
        <v>0</v>
      </c>
      <c r="Q347" s="64">
        <f t="shared" si="116"/>
        <v>0</v>
      </c>
      <c r="S347" s="71">
        <f t="shared" si="117"/>
        <v>0</v>
      </c>
      <c r="U347" s="64">
        <f t="shared" si="118"/>
        <v>0</v>
      </c>
      <c r="W347" s="71">
        <f t="shared" si="119"/>
        <v>0</v>
      </c>
      <c r="Y347" s="71">
        <f t="shared" si="120"/>
        <v>0</v>
      </c>
      <c r="AA347" s="71">
        <f t="shared" si="121"/>
        <v>0</v>
      </c>
      <c r="AC347" s="71">
        <f t="shared" si="122"/>
        <v>0</v>
      </c>
      <c r="AK347" s="71">
        <f t="shared" si="123"/>
        <v>0</v>
      </c>
      <c r="AM347" s="71">
        <f t="shared" si="124"/>
        <v>0</v>
      </c>
      <c r="AO347" s="71">
        <f t="shared" si="125"/>
        <v>0</v>
      </c>
      <c r="AQ347" s="71">
        <f t="shared" si="126"/>
        <v>0</v>
      </c>
      <c r="AT347" s="71">
        <f t="shared" si="127"/>
        <v>0</v>
      </c>
      <c r="AV347" s="71">
        <f t="shared" si="128"/>
        <v>0</v>
      </c>
      <c r="AX347" s="71">
        <f t="shared" si="129"/>
        <v>0</v>
      </c>
      <c r="AZ347" s="71">
        <f t="shared" si="130"/>
        <v>0</v>
      </c>
      <c r="BE347" s="81">
        <f t="shared" si="131"/>
        <v>0</v>
      </c>
      <c r="BF347" s="81" t="str">
        <f t="shared" si="132"/>
        <v>BASSO</v>
      </c>
    </row>
    <row r="348" spans="7:58" x14ac:dyDescent="0.15">
      <c r="G348" s="64">
        <f t="shared" si="111"/>
        <v>0</v>
      </c>
      <c r="I348" s="64">
        <f t="shared" si="112"/>
        <v>0</v>
      </c>
      <c r="K348" s="64">
        <f t="shared" si="113"/>
        <v>0</v>
      </c>
      <c r="M348" s="64">
        <f t="shared" si="114"/>
        <v>0</v>
      </c>
      <c r="O348" s="64">
        <f t="shared" si="115"/>
        <v>0</v>
      </c>
      <c r="Q348" s="64">
        <f t="shared" si="116"/>
        <v>0</v>
      </c>
      <c r="S348" s="71">
        <f t="shared" si="117"/>
        <v>0</v>
      </c>
      <c r="U348" s="64">
        <f t="shared" si="118"/>
        <v>0</v>
      </c>
      <c r="W348" s="71">
        <f t="shared" si="119"/>
        <v>0</v>
      </c>
      <c r="Y348" s="71">
        <f t="shared" si="120"/>
        <v>0</v>
      </c>
      <c r="AA348" s="71">
        <f t="shared" si="121"/>
        <v>0</v>
      </c>
      <c r="AC348" s="71">
        <f t="shared" si="122"/>
        <v>0</v>
      </c>
      <c r="AK348" s="71">
        <f t="shared" si="123"/>
        <v>0</v>
      </c>
      <c r="AM348" s="71">
        <f t="shared" si="124"/>
        <v>0</v>
      </c>
      <c r="AO348" s="71">
        <f t="shared" si="125"/>
        <v>0</v>
      </c>
      <c r="AQ348" s="71">
        <f t="shared" si="126"/>
        <v>0</v>
      </c>
      <c r="AT348" s="71">
        <f t="shared" si="127"/>
        <v>0</v>
      </c>
      <c r="AV348" s="71">
        <f t="shared" si="128"/>
        <v>0</v>
      </c>
      <c r="AX348" s="71">
        <f t="shared" si="129"/>
        <v>0</v>
      </c>
      <c r="AZ348" s="71">
        <f t="shared" si="130"/>
        <v>0</v>
      </c>
      <c r="BE348" s="81">
        <f t="shared" si="131"/>
        <v>0</v>
      </c>
      <c r="BF348" s="81" t="str">
        <f t="shared" si="132"/>
        <v>BASSO</v>
      </c>
    </row>
    <row r="349" spans="7:58" x14ac:dyDescent="0.15">
      <c r="G349" s="64">
        <f t="shared" si="111"/>
        <v>0</v>
      </c>
      <c r="I349" s="64">
        <f t="shared" si="112"/>
        <v>0</v>
      </c>
      <c r="K349" s="64">
        <f t="shared" si="113"/>
        <v>0</v>
      </c>
      <c r="M349" s="64">
        <f t="shared" si="114"/>
        <v>0</v>
      </c>
      <c r="O349" s="64">
        <f t="shared" si="115"/>
        <v>0</v>
      </c>
      <c r="Q349" s="64">
        <f t="shared" si="116"/>
        <v>0</v>
      </c>
      <c r="S349" s="71">
        <f t="shared" si="117"/>
        <v>0</v>
      </c>
      <c r="U349" s="64">
        <f t="shared" si="118"/>
        <v>0</v>
      </c>
      <c r="W349" s="71">
        <f t="shared" si="119"/>
        <v>0</v>
      </c>
      <c r="Y349" s="71">
        <f t="shared" si="120"/>
        <v>0</v>
      </c>
      <c r="AA349" s="71">
        <f t="shared" si="121"/>
        <v>0</v>
      </c>
      <c r="AC349" s="71">
        <f t="shared" si="122"/>
        <v>0</v>
      </c>
      <c r="AK349" s="71">
        <f t="shared" si="123"/>
        <v>0</v>
      </c>
      <c r="AM349" s="71">
        <f t="shared" si="124"/>
        <v>0</v>
      </c>
      <c r="AO349" s="71">
        <f t="shared" si="125"/>
        <v>0</v>
      </c>
      <c r="AQ349" s="71">
        <f t="shared" si="126"/>
        <v>0</v>
      </c>
      <c r="AT349" s="71">
        <f t="shared" si="127"/>
        <v>0</v>
      </c>
      <c r="AV349" s="71">
        <f t="shared" si="128"/>
        <v>0</v>
      </c>
      <c r="AX349" s="71">
        <f t="shared" si="129"/>
        <v>0</v>
      </c>
      <c r="AZ349" s="71">
        <f t="shared" si="130"/>
        <v>0</v>
      </c>
      <c r="BE349" s="81">
        <f t="shared" si="131"/>
        <v>0</v>
      </c>
      <c r="BF349" s="81" t="str">
        <f t="shared" si="132"/>
        <v>BASSO</v>
      </c>
    </row>
    <row r="350" spans="7:58" x14ac:dyDescent="0.15">
      <c r="G350" s="64">
        <f t="shared" si="111"/>
        <v>0</v>
      </c>
      <c r="I350" s="64">
        <f t="shared" si="112"/>
        <v>0</v>
      </c>
      <c r="K350" s="64">
        <f t="shared" si="113"/>
        <v>0</v>
      </c>
      <c r="M350" s="64">
        <f t="shared" si="114"/>
        <v>0</v>
      </c>
      <c r="O350" s="64">
        <f t="shared" si="115"/>
        <v>0</v>
      </c>
      <c r="Q350" s="64">
        <f t="shared" si="116"/>
        <v>0</v>
      </c>
      <c r="S350" s="71">
        <f t="shared" si="117"/>
        <v>0</v>
      </c>
      <c r="U350" s="64">
        <f t="shared" si="118"/>
        <v>0</v>
      </c>
      <c r="W350" s="71">
        <f t="shared" si="119"/>
        <v>0</v>
      </c>
      <c r="Y350" s="71">
        <f t="shared" si="120"/>
        <v>0</v>
      </c>
      <c r="AA350" s="71">
        <f t="shared" si="121"/>
        <v>0</v>
      </c>
      <c r="AC350" s="71">
        <f t="shared" si="122"/>
        <v>0</v>
      </c>
      <c r="AK350" s="71">
        <f t="shared" si="123"/>
        <v>0</v>
      </c>
      <c r="AM350" s="71">
        <f t="shared" si="124"/>
        <v>0</v>
      </c>
      <c r="AO350" s="71">
        <f t="shared" si="125"/>
        <v>0</v>
      </c>
      <c r="AQ350" s="71">
        <f t="shared" si="126"/>
        <v>0</v>
      </c>
      <c r="AT350" s="71">
        <f t="shared" si="127"/>
        <v>0</v>
      </c>
      <c r="AV350" s="71">
        <f t="shared" si="128"/>
        <v>0</v>
      </c>
      <c r="AX350" s="71">
        <f t="shared" si="129"/>
        <v>0</v>
      </c>
      <c r="AZ350" s="71">
        <f t="shared" si="130"/>
        <v>0</v>
      </c>
      <c r="BE350" s="81">
        <f t="shared" si="131"/>
        <v>0</v>
      </c>
      <c r="BF350" s="81" t="str">
        <f t="shared" si="132"/>
        <v>BASSO</v>
      </c>
    </row>
    <row r="351" spans="7:58" x14ac:dyDescent="0.15">
      <c r="G351" s="64">
        <f t="shared" si="111"/>
        <v>0</v>
      </c>
      <c r="I351" s="64">
        <f t="shared" si="112"/>
        <v>0</v>
      </c>
      <c r="K351" s="64">
        <f t="shared" si="113"/>
        <v>0</v>
      </c>
      <c r="M351" s="64">
        <f t="shared" si="114"/>
        <v>0</v>
      </c>
      <c r="O351" s="64">
        <f t="shared" si="115"/>
        <v>0</v>
      </c>
      <c r="Q351" s="64">
        <f t="shared" si="116"/>
        <v>0</v>
      </c>
      <c r="S351" s="71">
        <f t="shared" si="117"/>
        <v>0</v>
      </c>
      <c r="U351" s="64">
        <f t="shared" si="118"/>
        <v>0</v>
      </c>
      <c r="W351" s="71">
        <f t="shared" si="119"/>
        <v>0</v>
      </c>
      <c r="Y351" s="71">
        <f t="shared" si="120"/>
        <v>0</v>
      </c>
      <c r="AA351" s="71">
        <f t="shared" si="121"/>
        <v>0</v>
      </c>
      <c r="AC351" s="71">
        <f t="shared" si="122"/>
        <v>0</v>
      </c>
      <c r="AK351" s="71">
        <f t="shared" si="123"/>
        <v>0</v>
      </c>
      <c r="AM351" s="71">
        <f t="shared" si="124"/>
        <v>0</v>
      </c>
      <c r="AO351" s="71">
        <f t="shared" si="125"/>
        <v>0</v>
      </c>
      <c r="AQ351" s="71">
        <f t="shared" si="126"/>
        <v>0</v>
      </c>
      <c r="AT351" s="71">
        <f t="shared" si="127"/>
        <v>0</v>
      </c>
      <c r="AV351" s="71">
        <f t="shared" si="128"/>
        <v>0</v>
      </c>
      <c r="AX351" s="71">
        <f t="shared" si="129"/>
        <v>0</v>
      </c>
      <c r="AZ351" s="71">
        <f t="shared" si="130"/>
        <v>0</v>
      </c>
      <c r="BE351" s="81">
        <f t="shared" si="131"/>
        <v>0</v>
      </c>
      <c r="BF351" s="81" t="str">
        <f t="shared" si="132"/>
        <v>BASSO</v>
      </c>
    </row>
    <row r="352" spans="7:58" x14ac:dyDescent="0.15">
      <c r="G352" s="64">
        <f t="shared" si="111"/>
        <v>0</v>
      </c>
      <c r="I352" s="64">
        <f t="shared" si="112"/>
        <v>0</v>
      </c>
      <c r="K352" s="64">
        <f t="shared" si="113"/>
        <v>0</v>
      </c>
      <c r="M352" s="64">
        <f t="shared" si="114"/>
        <v>0</v>
      </c>
      <c r="O352" s="64">
        <f t="shared" si="115"/>
        <v>0</v>
      </c>
      <c r="Q352" s="64">
        <f t="shared" si="116"/>
        <v>0</v>
      </c>
      <c r="S352" s="71">
        <f t="shared" si="117"/>
        <v>0</v>
      </c>
      <c r="U352" s="64">
        <f t="shared" si="118"/>
        <v>0</v>
      </c>
      <c r="W352" s="71">
        <f t="shared" si="119"/>
        <v>0</v>
      </c>
      <c r="Y352" s="71">
        <f t="shared" si="120"/>
        <v>0</v>
      </c>
      <c r="AA352" s="71">
        <f t="shared" si="121"/>
        <v>0</v>
      </c>
      <c r="AC352" s="71">
        <f t="shared" si="122"/>
        <v>0</v>
      </c>
      <c r="AK352" s="71">
        <f t="shared" si="123"/>
        <v>0</v>
      </c>
      <c r="AM352" s="71">
        <f t="shared" si="124"/>
        <v>0</v>
      </c>
      <c r="AO352" s="71">
        <f t="shared" si="125"/>
        <v>0</v>
      </c>
      <c r="AQ352" s="71">
        <f t="shared" si="126"/>
        <v>0</v>
      </c>
      <c r="AT352" s="71">
        <f t="shared" si="127"/>
        <v>0</v>
      </c>
      <c r="AV352" s="71">
        <f t="shared" si="128"/>
        <v>0</v>
      </c>
      <c r="AX352" s="71">
        <f t="shared" si="129"/>
        <v>0</v>
      </c>
      <c r="AZ352" s="71">
        <f t="shared" si="130"/>
        <v>0</v>
      </c>
      <c r="BE352" s="81">
        <f t="shared" si="131"/>
        <v>0</v>
      </c>
      <c r="BF352" s="81" t="str">
        <f t="shared" si="132"/>
        <v>BASSO</v>
      </c>
    </row>
    <row r="353" spans="7:58" x14ac:dyDescent="0.15">
      <c r="G353" s="64">
        <f t="shared" si="111"/>
        <v>0</v>
      </c>
      <c r="I353" s="64">
        <f t="shared" si="112"/>
        <v>0</v>
      </c>
      <c r="K353" s="64">
        <f t="shared" si="113"/>
        <v>0</v>
      </c>
      <c r="M353" s="64">
        <f t="shared" si="114"/>
        <v>0</v>
      </c>
      <c r="O353" s="64">
        <f t="shared" si="115"/>
        <v>0</v>
      </c>
      <c r="Q353" s="64">
        <f t="shared" si="116"/>
        <v>0</v>
      </c>
      <c r="S353" s="71">
        <f t="shared" si="117"/>
        <v>0</v>
      </c>
      <c r="U353" s="64">
        <f t="shared" si="118"/>
        <v>0</v>
      </c>
      <c r="W353" s="71">
        <f t="shared" si="119"/>
        <v>0</v>
      </c>
      <c r="Y353" s="71">
        <f t="shared" si="120"/>
        <v>0</v>
      </c>
      <c r="AA353" s="71">
        <f t="shared" si="121"/>
        <v>0</v>
      </c>
      <c r="AC353" s="71">
        <f t="shared" si="122"/>
        <v>0</v>
      </c>
      <c r="AK353" s="71">
        <f t="shared" si="123"/>
        <v>0</v>
      </c>
      <c r="AM353" s="71">
        <f t="shared" si="124"/>
        <v>0</v>
      </c>
      <c r="AO353" s="71">
        <f t="shared" si="125"/>
        <v>0</v>
      </c>
      <c r="AQ353" s="71">
        <f t="shared" si="126"/>
        <v>0</v>
      </c>
      <c r="AT353" s="71">
        <f t="shared" si="127"/>
        <v>0</v>
      </c>
      <c r="AV353" s="71">
        <f t="shared" si="128"/>
        <v>0</v>
      </c>
      <c r="AX353" s="71">
        <f t="shared" si="129"/>
        <v>0</v>
      </c>
      <c r="AZ353" s="71">
        <f t="shared" si="130"/>
        <v>0</v>
      </c>
      <c r="BE353" s="81">
        <f t="shared" si="131"/>
        <v>0</v>
      </c>
      <c r="BF353" s="81" t="str">
        <f t="shared" si="132"/>
        <v>BASSO</v>
      </c>
    </row>
    <row r="354" spans="7:58" x14ac:dyDescent="0.15">
      <c r="G354" s="64">
        <f t="shared" si="111"/>
        <v>0</v>
      </c>
      <c r="I354" s="64">
        <f t="shared" si="112"/>
        <v>0</v>
      </c>
      <c r="K354" s="64">
        <f t="shared" si="113"/>
        <v>0</v>
      </c>
      <c r="M354" s="64">
        <f t="shared" si="114"/>
        <v>0</v>
      </c>
      <c r="O354" s="64">
        <f t="shared" si="115"/>
        <v>0</v>
      </c>
      <c r="Q354" s="64">
        <f t="shared" si="116"/>
        <v>0</v>
      </c>
      <c r="S354" s="71">
        <f t="shared" si="117"/>
        <v>0</v>
      </c>
      <c r="U354" s="64">
        <f t="shared" si="118"/>
        <v>0</v>
      </c>
      <c r="W354" s="71">
        <f t="shared" si="119"/>
        <v>0</v>
      </c>
      <c r="Y354" s="71">
        <f t="shared" si="120"/>
        <v>0</v>
      </c>
      <c r="AA354" s="71">
        <f t="shared" si="121"/>
        <v>0</v>
      </c>
      <c r="AC354" s="71">
        <f t="shared" si="122"/>
        <v>0</v>
      </c>
      <c r="AK354" s="71">
        <f t="shared" si="123"/>
        <v>0</v>
      </c>
      <c r="AM354" s="71">
        <f t="shared" si="124"/>
        <v>0</v>
      </c>
      <c r="AO354" s="71">
        <f t="shared" si="125"/>
        <v>0</v>
      </c>
      <c r="AQ354" s="71">
        <f t="shared" si="126"/>
        <v>0</v>
      </c>
      <c r="AT354" s="71">
        <f t="shared" si="127"/>
        <v>0</v>
      </c>
      <c r="AV354" s="71">
        <f t="shared" si="128"/>
        <v>0</v>
      </c>
      <c r="AX354" s="71">
        <f t="shared" si="129"/>
        <v>0</v>
      </c>
      <c r="AZ354" s="71">
        <f t="shared" si="130"/>
        <v>0</v>
      </c>
      <c r="BE354" s="81">
        <f t="shared" si="131"/>
        <v>0</v>
      </c>
      <c r="BF354" s="81" t="str">
        <f t="shared" si="132"/>
        <v>BASSO</v>
      </c>
    </row>
    <row r="355" spans="7:58" x14ac:dyDescent="0.15">
      <c r="G355" s="64">
        <f t="shared" si="111"/>
        <v>0</v>
      </c>
      <c r="I355" s="64">
        <f t="shared" si="112"/>
        <v>0</v>
      </c>
      <c r="K355" s="64">
        <f t="shared" si="113"/>
        <v>0</v>
      </c>
      <c r="M355" s="64">
        <f t="shared" si="114"/>
        <v>0</v>
      </c>
      <c r="O355" s="64">
        <f t="shared" si="115"/>
        <v>0</v>
      </c>
      <c r="Q355" s="64">
        <f t="shared" si="116"/>
        <v>0</v>
      </c>
      <c r="S355" s="71">
        <f t="shared" si="117"/>
        <v>0</v>
      </c>
      <c r="U355" s="64">
        <f t="shared" si="118"/>
        <v>0</v>
      </c>
      <c r="W355" s="71">
        <f t="shared" si="119"/>
        <v>0</v>
      </c>
      <c r="Y355" s="71">
        <f t="shared" si="120"/>
        <v>0</v>
      </c>
      <c r="AA355" s="71">
        <f t="shared" si="121"/>
        <v>0</v>
      </c>
      <c r="AC355" s="71">
        <f t="shared" si="122"/>
        <v>0</v>
      </c>
      <c r="AK355" s="71">
        <f t="shared" si="123"/>
        <v>0</v>
      </c>
      <c r="AM355" s="71">
        <f t="shared" si="124"/>
        <v>0</v>
      </c>
      <c r="AO355" s="71">
        <f t="shared" si="125"/>
        <v>0</v>
      </c>
      <c r="AQ355" s="71">
        <f t="shared" si="126"/>
        <v>0</v>
      </c>
      <c r="AT355" s="71">
        <f t="shared" si="127"/>
        <v>0</v>
      </c>
      <c r="AV355" s="71">
        <f t="shared" si="128"/>
        <v>0</v>
      </c>
      <c r="AX355" s="71">
        <f t="shared" si="129"/>
        <v>0</v>
      </c>
      <c r="AZ355" s="71">
        <f t="shared" si="130"/>
        <v>0</v>
      </c>
      <c r="BE355" s="81">
        <f t="shared" si="131"/>
        <v>0</v>
      </c>
      <c r="BF355" s="81" t="str">
        <f t="shared" si="132"/>
        <v>BASSO</v>
      </c>
    </row>
    <row r="356" spans="7:58" x14ac:dyDescent="0.15">
      <c r="G356" s="64">
        <f t="shared" si="111"/>
        <v>0</v>
      </c>
      <c r="I356" s="64">
        <f t="shared" si="112"/>
        <v>0</v>
      </c>
      <c r="K356" s="64">
        <f t="shared" si="113"/>
        <v>0</v>
      </c>
      <c r="M356" s="64">
        <f t="shared" si="114"/>
        <v>0</v>
      </c>
      <c r="O356" s="64">
        <f t="shared" si="115"/>
        <v>0</v>
      </c>
      <c r="Q356" s="64">
        <f t="shared" si="116"/>
        <v>0</v>
      </c>
      <c r="S356" s="71">
        <f t="shared" si="117"/>
        <v>0</v>
      </c>
      <c r="U356" s="64">
        <f t="shared" si="118"/>
        <v>0</v>
      </c>
      <c r="W356" s="71">
        <f t="shared" si="119"/>
        <v>0</v>
      </c>
      <c r="Y356" s="71">
        <f t="shared" si="120"/>
        <v>0</v>
      </c>
      <c r="AA356" s="71">
        <f t="shared" si="121"/>
        <v>0</v>
      </c>
      <c r="AC356" s="71">
        <f t="shared" si="122"/>
        <v>0</v>
      </c>
      <c r="AK356" s="71">
        <f t="shared" si="123"/>
        <v>0</v>
      </c>
      <c r="AM356" s="71">
        <f t="shared" si="124"/>
        <v>0</v>
      </c>
      <c r="AO356" s="71">
        <f t="shared" si="125"/>
        <v>0</v>
      </c>
      <c r="AQ356" s="71">
        <f t="shared" si="126"/>
        <v>0</v>
      </c>
      <c r="AT356" s="71">
        <f t="shared" si="127"/>
        <v>0</v>
      </c>
      <c r="AV356" s="71">
        <f t="shared" si="128"/>
        <v>0</v>
      </c>
      <c r="AX356" s="71">
        <f t="shared" si="129"/>
        <v>0</v>
      </c>
      <c r="AZ356" s="71">
        <f t="shared" si="130"/>
        <v>0</v>
      </c>
      <c r="BE356" s="81">
        <f t="shared" si="131"/>
        <v>0</v>
      </c>
      <c r="BF356" s="81" t="str">
        <f t="shared" si="132"/>
        <v>BASSO</v>
      </c>
    </row>
    <row r="357" spans="7:58" x14ac:dyDescent="0.15">
      <c r="G357" s="64">
        <f t="shared" si="111"/>
        <v>0</v>
      </c>
      <c r="I357" s="64">
        <f t="shared" si="112"/>
        <v>0</v>
      </c>
      <c r="K357" s="64">
        <f t="shared" si="113"/>
        <v>0</v>
      </c>
      <c r="M357" s="64">
        <f t="shared" si="114"/>
        <v>0</v>
      </c>
      <c r="O357" s="64">
        <f t="shared" si="115"/>
        <v>0</v>
      </c>
      <c r="Q357" s="64">
        <f t="shared" si="116"/>
        <v>0</v>
      </c>
      <c r="S357" s="71">
        <f t="shared" si="117"/>
        <v>0</v>
      </c>
      <c r="U357" s="64">
        <f t="shared" si="118"/>
        <v>0</v>
      </c>
      <c r="W357" s="71">
        <f t="shared" si="119"/>
        <v>0</v>
      </c>
      <c r="Y357" s="71">
        <f t="shared" si="120"/>
        <v>0</v>
      </c>
      <c r="AA357" s="71">
        <f t="shared" si="121"/>
        <v>0</v>
      </c>
      <c r="AC357" s="71">
        <f t="shared" si="122"/>
        <v>0</v>
      </c>
      <c r="AK357" s="71">
        <f t="shared" si="123"/>
        <v>0</v>
      </c>
      <c r="AM357" s="71">
        <f t="shared" si="124"/>
        <v>0</v>
      </c>
      <c r="AO357" s="71">
        <f t="shared" si="125"/>
        <v>0</v>
      </c>
      <c r="AQ357" s="71">
        <f t="shared" si="126"/>
        <v>0</v>
      </c>
      <c r="AT357" s="71">
        <f t="shared" si="127"/>
        <v>0</v>
      </c>
      <c r="AV357" s="71">
        <f t="shared" si="128"/>
        <v>0</v>
      </c>
      <c r="AX357" s="71">
        <f t="shared" si="129"/>
        <v>0</v>
      </c>
      <c r="AZ357" s="71">
        <f t="shared" si="130"/>
        <v>0</v>
      </c>
      <c r="BE357" s="81">
        <f t="shared" si="131"/>
        <v>0</v>
      </c>
      <c r="BF357" s="81" t="str">
        <f t="shared" si="132"/>
        <v>BASSO</v>
      </c>
    </row>
    <row r="358" spans="7:58" x14ac:dyDescent="0.15">
      <c r="G358" s="64">
        <f t="shared" si="111"/>
        <v>0</v>
      </c>
      <c r="I358" s="64">
        <f t="shared" si="112"/>
        <v>0</v>
      </c>
      <c r="K358" s="64">
        <f t="shared" si="113"/>
        <v>0</v>
      </c>
      <c r="M358" s="64">
        <f t="shared" si="114"/>
        <v>0</v>
      </c>
      <c r="O358" s="64">
        <f t="shared" si="115"/>
        <v>0</v>
      </c>
      <c r="Q358" s="64">
        <f t="shared" si="116"/>
        <v>0</v>
      </c>
      <c r="S358" s="71">
        <f t="shared" si="117"/>
        <v>0</v>
      </c>
      <c r="U358" s="64">
        <f t="shared" si="118"/>
        <v>0</v>
      </c>
      <c r="W358" s="71">
        <f t="shared" si="119"/>
        <v>0</v>
      </c>
      <c r="Y358" s="71">
        <f t="shared" si="120"/>
        <v>0</v>
      </c>
      <c r="AA358" s="71">
        <f t="shared" si="121"/>
        <v>0</v>
      </c>
      <c r="AC358" s="71">
        <f t="shared" si="122"/>
        <v>0</v>
      </c>
      <c r="AK358" s="71">
        <f t="shared" si="123"/>
        <v>0</v>
      </c>
      <c r="AM358" s="71">
        <f t="shared" si="124"/>
        <v>0</v>
      </c>
      <c r="AO358" s="71">
        <f t="shared" si="125"/>
        <v>0</v>
      </c>
      <c r="AQ358" s="71">
        <f t="shared" si="126"/>
        <v>0</v>
      </c>
      <c r="AT358" s="71">
        <f t="shared" si="127"/>
        <v>0</v>
      </c>
      <c r="AV358" s="71">
        <f t="shared" si="128"/>
        <v>0</v>
      </c>
      <c r="AX358" s="71">
        <f t="shared" si="129"/>
        <v>0</v>
      </c>
      <c r="AZ358" s="71">
        <f t="shared" si="130"/>
        <v>0</v>
      </c>
      <c r="BE358" s="81">
        <f t="shared" si="131"/>
        <v>0</v>
      </c>
      <c r="BF358" s="81" t="str">
        <f t="shared" si="132"/>
        <v>BASSO</v>
      </c>
    </row>
    <row r="359" spans="7:58" x14ac:dyDescent="0.15">
      <c r="G359" s="64">
        <f t="shared" si="111"/>
        <v>0</v>
      </c>
      <c r="I359" s="64">
        <f t="shared" si="112"/>
        <v>0</v>
      </c>
      <c r="K359" s="64">
        <f t="shared" si="113"/>
        <v>0</v>
      </c>
      <c r="M359" s="64">
        <f t="shared" si="114"/>
        <v>0</v>
      </c>
      <c r="O359" s="64">
        <f t="shared" si="115"/>
        <v>0</v>
      </c>
      <c r="Q359" s="64">
        <f t="shared" si="116"/>
        <v>0</v>
      </c>
      <c r="S359" s="71">
        <f t="shared" si="117"/>
        <v>0</v>
      </c>
      <c r="U359" s="64">
        <f t="shared" si="118"/>
        <v>0</v>
      </c>
      <c r="W359" s="71">
        <f t="shared" si="119"/>
        <v>0</v>
      </c>
      <c r="Y359" s="71">
        <f t="shared" si="120"/>
        <v>0</v>
      </c>
      <c r="AA359" s="71">
        <f t="shared" si="121"/>
        <v>0</v>
      </c>
      <c r="AC359" s="71">
        <f t="shared" si="122"/>
        <v>0</v>
      </c>
      <c r="AK359" s="71">
        <f t="shared" si="123"/>
        <v>0</v>
      </c>
      <c r="AM359" s="71">
        <f t="shared" si="124"/>
        <v>0</v>
      </c>
      <c r="AO359" s="71">
        <f t="shared" si="125"/>
        <v>0</v>
      </c>
      <c r="AQ359" s="71">
        <f t="shared" si="126"/>
        <v>0</v>
      </c>
      <c r="AT359" s="71">
        <f t="shared" si="127"/>
        <v>0</v>
      </c>
      <c r="AV359" s="71">
        <f t="shared" si="128"/>
        <v>0</v>
      </c>
      <c r="AX359" s="71">
        <f t="shared" si="129"/>
        <v>0</v>
      </c>
      <c r="AZ359" s="71">
        <f t="shared" si="130"/>
        <v>0</v>
      </c>
      <c r="BE359" s="81">
        <f t="shared" si="131"/>
        <v>0</v>
      </c>
      <c r="BF359" s="81" t="str">
        <f t="shared" si="132"/>
        <v>BASSO</v>
      </c>
    </row>
    <row r="360" spans="7:58" x14ac:dyDescent="0.15">
      <c r="G360" s="64">
        <f t="shared" si="111"/>
        <v>0</v>
      </c>
      <c r="I360" s="64">
        <f t="shared" si="112"/>
        <v>0</v>
      </c>
      <c r="K360" s="64">
        <f t="shared" si="113"/>
        <v>0</v>
      </c>
      <c r="M360" s="64">
        <f t="shared" si="114"/>
        <v>0</v>
      </c>
      <c r="O360" s="64">
        <f t="shared" si="115"/>
        <v>0</v>
      </c>
      <c r="Q360" s="64">
        <f t="shared" si="116"/>
        <v>0</v>
      </c>
      <c r="S360" s="71">
        <f t="shared" si="117"/>
        <v>0</v>
      </c>
      <c r="U360" s="64">
        <f t="shared" si="118"/>
        <v>0</v>
      </c>
      <c r="W360" s="71">
        <f t="shared" si="119"/>
        <v>0</v>
      </c>
      <c r="Y360" s="71">
        <f t="shared" si="120"/>
        <v>0</v>
      </c>
      <c r="AA360" s="71">
        <f t="shared" si="121"/>
        <v>0</v>
      </c>
      <c r="AC360" s="71">
        <f t="shared" si="122"/>
        <v>0</v>
      </c>
      <c r="AK360" s="71">
        <f t="shared" si="123"/>
        <v>0</v>
      </c>
      <c r="AM360" s="71">
        <f t="shared" si="124"/>
        <v>0</v>
      </c>
      <c r="AO360" s="71">
        <f t="shared" si="125"/>
        <v>0</v>
      </c>
      <c r="AQ360" s="71">
        <f t="shared" si="126"/>
        <v>0</v>
      </c>
      <c r="AT360" s="71">
        <f t="shared" si="127"/>
        <v>0</v>
      </c>
      <c r="AV360" s="71">
        <f t="shared" si="128"/>
        <v>0</v>
      </c>
      <c r="AX360" s="71">
        <f t="shared" si="129"/>
        <v>0</v>
      </c>
      <c r="AZ360" s="71">
        <f t="shared" si="130"/>
        <v>0</v>
      </c>
      <c r="BE360" s="81">
        <f t="shared" si="131"/>
        <v>0</v>
      </c>
      <c r="BF360" s="81" t="str">
        <f t="shared" si="132"/>
        <v>BASSO</v>
      </c>
    </row>
    <row r="361" spans="7:58" x14ac:dyDescent="0.15">
      <c r="G361" s="64">
        <f t="shared" si="111"/>
        <v>0</v>
      </c>
      <c r="I361" s="64">
        <f t="shared" si="112"/>
        <v>0</v>
      </c>
      <c r="K361" s="64">
        <f t="shared" si="113"/>
        <v>0</v>
      </c>
      <c r="M361" s="64">
        <f t="shared" si="114"/>
        <v>0</v>
      </c>
      <c r="O361" s="64">
        <f t="shared" si="115"/>
        <v>0</v>
      </c>
      <c r="Q361" s="64">
        <f t="shared" si="116"/>
        <v>0</v>
      </c>
      <c r="S361" s="71">
        <f t="shared" si="117"/>
        <v>0</v>
      </c>
      <c r="U361" s="64">
        <f t="shared" si="118"/>
        <v>0</v>
      </c>
      <c r="W361" s="71">
        <f t="shared" si="119"/>
        <v>0</v>
      </c>
      <c r="Y361" s="71">
        <f t="shared" si="120"/>
        <v>0</v>
      </c>
      <c r="AA361" s="71">
        <f t="shared" si="121"/>
        <v>0</v>
      </c>
      <c r="AC361" s="71">
        <f t="shared" si="122"/>
        <v>0</v>
      </c>
      <c r="AK361" s="71">
        <f t="shared" si="123"/>
        <v>0</v>
      </c>
      <c r="AM361" s="71">
        <f t="shared" si="124"/>
        <v>0</v>
      </c>
      <c r="AO361" s="71">
        <f t="shared" si="125"/>
        <v>0</v>
      </c>
      <c r="AQ361" s="71">
        <f t="shared" si="126"/>
        <v>0</v>
      </c>
      <c r="AT361" s="71">
        <f t="shared" si="127"/>
        <v>0</v>
      </c>
      <c r="AV361" s="71">
        <f t="shared" si="128"/>
        <v>0</v>
      </c>
      <c r="AX361" s="71">
        <f t="shared" si="129"/>
        <v>0</v>
      </c>
      <c r="AZ361" s="71">
        <f t="shared" si="130"/>
        <v>0</v>
      </c>
      <c r="BE361" s="81">
        <f t="shared" si="131"/>
        <v>0</v>
      </c>
      <c r="BF361" s="81" t="str">
        <f t="shared" si="132"/>
        <v>BASSO</v>
      </c>
    </row>
    <row r="362" spans="7:58" x14ac:dyDescent="0.15">
      <c r="G362" s="64">
        <f t="shared" si="111"/>
        <v>0</v>
      </c>
      <c r="I362" s="64">
        <f t="shared" si="112"/>
        <v>0</v>
      </c>
      <c r="K362" s="64">
        <f t="shared" si="113"/>
        <v>0</v>
      </c>
      <c r="M362" s="64">
        <f t="shared" si="114"/>
        <v>0</v>
      </c>
      <c r="O362" s="64">
        <f t="shared" si="115"/>
        <v>0</v>
      </c>
      <c r="Q362" s="64">
        <f t="shared" si="116"/>
        <v>0</v>
      </c>
      <c r="S362" s="71">
        <f t="shared" si="117"/>
        <v>0</v>
      </c>
      <c r="U362" s="64">
        <f t="shared" si="118"/>
        <v>0</v>
      </c>
      <c r="W362" s="71">
        <f t="shared" si="119"/>
        <v>0</v>
      </c>
      <c r="Y362" s="71">
        <f t="shared" si="120"/>
        <v>0</v>
      </c>
      <c r="AA362" s="71">
        <f t="shared" si="121"/>
        <v>0</v>
      </c>
      <c r="AC362" s="71">
        <f t="shared" si="122"/>
        <v>0</v>
      </c>
      <c r="AK362" s="71">
        <f t="shared" si="123"/>
        <v>0</v>
      </c>
      <c r="AM362" s="71">
        <f t="shared" si="124"/>
        <v>0</v>
      </c>
      <c r="AO362" s="71">
        <f t="shared" si="125"/>
        <v>0</v>
      </c>
      <c r="AQ362" s="71">
        <f t="shared" si="126"/>
        <v>0</v>
      </c>
      <c r="AT362" s="71">
        <f t="shared" si="127"/>
        <v>0</v>
      </c>
      <c r="AV362" s="71">
        <f t="shared" si="128"/>
        <v>0</v>
      </c>
      <c r="AX362" s="71">
        <f t="shared" si="129"/>
        <v>0</v>
      </c>
      <c r="AZ362" s="71">
        <f t="shared" si="130"/>
        <v>0</v>
      </c>
      <c r="BE362" s="81">
        <f t="shared" si="131"/>
        <v>0</v>
      </c>
      <c r="BF362" s="81" t="str">
        <f t="shared" si="132"/>
        <v>BASSO</v>
      </c>
    </row>
    <row r="363" spans="7:58" x14ac:dyDescent="0.15">
      <c r="G363" s="64">
        <f t="shared" si="111"/>
        <v>0</v>
      </c>
      <c r="I363" s="64">
        <f t="shared" si="112"/>
        <v>0</v>
      </c>
      <c r="K363" s="64">
        <f t="shared" si="113"/>
        <v>0</v>
      </c>
      <c r="M363" s="64">
        <f t="shared" si="114"/>
        <v>0</v>
      </c>
      <c r="O363" s="64">
        <f t="shared" si="115"/>
        <v>0</v>
      </c>
      <c r="Q363" s="64">
        <f t="shared" si="116"/>
        <v>0</v>
      </c>
      <c r="S363" s="71">
        <f t="shared" si="117"/>
        <v>0</v>
      </c>
      <c r="U363" s="64">
        <f t="shared" si="118"/>
        <v>0</v>
      </c>
      <c r="W363" s="71">
        <f t="shared" si="119"/>
        <v>0</v>
      </c>
      <c r="Y363" s="71">
        <f t="shared" si="120"/>
        <v>0</v>
      </c>
      <c r="AA363" s="71">
        <f t="shared" si="121"/>
        <v>0</v>
      </c>
      <c r="AC363" s="71">
        <f t="shared" si="122"/>
        <v>0</v>
      </c>
      <c r="AK363" s="71">
        <f t="shared" si="123"/>
        <v>0</v>
      </c>
      <c r="AM363" s="71">
        <f t="shared" si="124"/>
        <v>0</v>
      </c>
      <c r="AO363" s="71">
        <f t="shared" si="125"/>
        <v>0</v>
      </c>
      <c r="AQ363" s="71">
        <f t="shared" si="126"/>
        <v>0</v>
      </c>
      <c r="AT363" s="71">
        <f t="shared" si="127"/>
        <v>0</v>
      </c>
      <c r="AV363" s="71">
        <f t="shared" si="128"/>
        <v>0</v>
      </c>
      <c r="AX363" s="71">
        <f t="shared" si="129"/>
        <v>0</v>
      </c>
      <c r="AZ363" s="71">
        <f t="shared" si="130"/>
        <v>0</v>
      </c>
      <c r="BE363" s="81">
        <f t="shared" si="131"/>
        <v>0</v>
      </c>
      <c r="BF363" s="81" t="str">
        <f t="shared" si="132"/>
        <v>BASSO</v>
      </c>
    </row>
    <row r="364" spans="7:58" x14ac:dyDescent="0.15">
      <c r="G364" s="64">
        <f t="shared" si="111"/>
        <v>0</v>
      </c>
      <c r="I364" s="64">
        <f t="shared" si="112"/>
        <v>0</v>
      </c>
      <c r="K364" s="64">
        <f t="shared" si="113"/>
        <v>0</v>
      </c>
      <c r="M364" s="64">
        <f t="shared" si="114"/>
        <v>0</v>
      </c>
      <c r="O364" s="64">
        <f t="shared" si="115"/>
        <v>0</v>
      </c>
      <c r="Q364" s="64">
        <f t="shared" si="116"/>
        <v>0</v>
      </c>
      <c r="S364" s="71">
        <f t="shared" si="117"/>
        <v>0</v>
      </c>
      <c r="U364" s="64">
        <f t="shared" si="118"/>
        <v>0</v>
      </c>
      <c r="W364" s="71">
        <f t="shared" si="119"/>
        <v>0</v>
      </c>
      <c r="Y364" s="71">
        <f t="shared" si="120"/>
        <v>0</v>
      </c>
      <c r="AA364" s="71">
        <f t="shared" si="121"/>
        <v>0</v>
      </c>
      <c r="AC364" s="71">
        <f t="shared" si="122"/>
        <v>0</v>
      </c>
      <c r="AK364" s="71">
        <f t="shared" si="123"/>
        <v>0</v>
      </c>
      <c r="AM364" s="71">
        <f t="shared" si="124"/>
        <v>0</v>
      </c>
      <c r="AO364" s="71">
        <f t="shared" si="125"/>
        <v>0</v>
      </c>
      <c r="AQ364" s="71">
        <f t="shared" si="126"/>
        <v>0</v>
      </c>
      <c r="AT364" s="71">
        <f t="shared" si="127"/>
        <v>0</v>
      </c>
      <c r="AV364" s="71">
        <f t="shared" si="128"/>
        <v>0</v>
      </c>
      <c r="AX364" s="71">
        <f t="shared" si="129"/>
        <v>0</v>
      </c>
      <c r="AZ364" s="71">
        <f t="shared" si="130"/>
        <v>0</v>
      </c>
      <c r="BE364" s="81">
        <f t="shared" si="131"/>
        <v>0</v>
      </c>
      <c r="BF364" s="81" t="str">
        <f t="shared" si="132"/>
        <v>BASSO</v>
      </c>
    </row>
    <row r="365" spans="7:58" x14ac:dyDescent="0.15">
      <c r="G365" s="64">
        <f t="shared" si="111"/>
        <v>0</v>
      </c>
      <c r="I365" s="64">
        <f t="shared" si="112"/>
        <v>0</v>
      </c>
      <c r="K365" s="64">
        <f t="shared" si="113"/>
        <v>0</v>
      </c>
      <c r="M365" s="64">
        <f t="shared" si="114"/>
        <v>0</v>
      </c>
      <c r="O365" s="64">
        <f t="shared" si="115"/>
        <v>0</v>
      </c>
      <c r="Q365" s="64">
        <f t="shared" si="116"/>
        <v>0</v>
      </c>
      <c r="S365" s="71">
        <f t="shared" si="117"/>
        <v>0</v>
      </c>
      <c r="U365" s="64">
        <f t="shared" si="118"/>
        <v>0</v>
      </c>
      <c r="W365" s="71">
        <f t="shared" si="119"/>
        <v>0</v>
      </c>
      <c r="Y365" s="71">
        <f t="shared" si="120"/>
        <v>0</v>
      </c>
      <c r="AA365" s="71">
        <f t="shared" si="121"/>
        <v>0</v>
      </c>
      <c r="AC365" s="71">
        <f t="shared" si="122"/>
        <v>0</v>
      </c>
      <c r="AK365" s="71">
        <f t="shared" si="123"/>
        <v>0</v>
      </c>
      <c r="AM365" s="71">
        <f t="shared" si="124"/>
        <v>0</v>
      </c>
      <c r="AO365" s="71">
        <f t="shared" si="125"/>
        <v>0</v>
      </c>
      <c r="AQ365" s="71">
        <f t="shared" si="126"/>
        <v>0</v>
      </c>
      <c r="AT365" s="71">
        <f t="shared" si="127"/>
        <v>0</v>
      </c>
      <c r="AV365" s="71">
        <f t="shared" si="128"/>
        <v>0</v>
      </c>
      <c r="AX365" s="71">
        <f t="shared" si="129"/>
        <v>0</v>
      </c>
      <c r="AZ365" s="71">
        <f t="shared" si="130"/>
        <v>0</v>
      </c>
      <c r="BE365" s="81">
        <f t="shared" si="131"/>
        <v>0</v>
      </c>
      <c r="BF365" s="81" t="str">
        <f t="shared" si="132"/>
        <v>BASSO</v>
      </c>
    </row>
    <row r="366" spans="7:58" x14ac:dyDescent="0.15">
      <c r="G366" s="64">
        <f t="shared" si="111"/>
        <v>0</v>
      </c>
      <c r="I366" s="64">
        <f t="shared" si="112"/>
        <v>0</v>
      </c>
      <c r="K366" s="64">
        <f t="shared" si="113"/>
        <v>0</v>
      </c>
      <c r="M366" s="64">
        <f t="shared" si="114"/>
        <v>0</v>
      </c>
      <c r="O366" s="64">
        <f t="shared" si="115"/>
        <v>0</v>
      </c>
      <c r="Q366" s="64">
        <f t="shared" si="116"/>
        <v>0</v>
      </c>
      <c r="S366" s="71">
        <f t="shared" si="117"/>
        <v>0</v>
      </c>
      <c r="U366" s="64">
        <f t="shared" si="118"/>
        <v>0</v>
      </c>
      <c r="W366" s="71">
        <f t="shared" si="119"/>
        <v>0</v>
      </c>
      <c r="Y366" s="71">
        <f t="shared" si="120"/>
        <v>0</v>
      </c>
      <c r="AA366" s="71">
        <f t="shared" si="121"/>
        <v>0</v>
      </c>
      <c r="AC366" s="71">
        <f t="shared" si="122"/>
        <v>0</v>
      </c>
      <c r="AK366" s="71">
        <f t="shared" si="123"/>
        <v>0</v>
      </c>
      <c r="AM366" s="71">
        <f t="shared" si="124"/>
        <v>0</v>
      </c>
      <c r="AO366" s="71">
        <f t="shared" si="125"/>
        <v>0</v>
      </c>
      <c r="AQ366" s="71">
        <f t="shared" si="126"/>
        <v>0</v>
      </c>
      <c r="AT366" s="71">
        <f t="shared" si="127"/>
        <v>0</v>
      </c>
      <c r="AV366" s="71">
        <f t="shared" si="128"/>
        <v>0</v>
      </c>
      <c r="AX366" s="71">
        <f t="shared" si="129"/>
        <v>0</v>
      </c>
      <c r="AZ366" s="71">
        <f t="shared" si="130"/>
        <v>0</v>
      </c>
      <c r="BE366" s="81">
        <f t="shared" si="131"/>
        <v>0</v>
      </c>
      <c r="BF366" s="81" t="str">
        <f t="shared" si="132"/>
        <v>BASSO</v>
      </c>
    </row>
    <row r="367" spans="7:58" x14ac:dyDescent="0.15">
      <c r="G367" s="64">
        <f t="shared" si="111"/>
        <v>0</v>
      </c>
      <c r="I367" s="64">
        <f t="shared" si="112"/>
        <v>0</v>
      </c>
      <c r="K367" s="64">
        <f t="shared" si="113"/>
        <v>0</v>
      </c>
      <c r="M367" s="64">
        <f t="shared" si="114"/>
        <v>0</v>
      </c>
      <c r="O367" s="64">
        <f t="shared" si="115"/>
        <v>0</v>
      </c>
      <c r="Q367" s="64">
        <f t="shared" si="116"/>
        <v>0</v>
      </c>
      <c r="S367" s="71">
        <f t="shared" si="117"/>
        <v>0</v>
      </c>
      <c r="U367" s="64">
        <f t="shared" si="118"/>
        <v>0</v>
      </c>
      <c r="W367" s="71">
        <f t="shared" si="119"/>
        <v>0</v>
      </c>
      <c r="Y367" s="71">
        <f t="shared" si="120"/>
        <v>0</v>
      </c>
      <c r="AA367" s="71">
        <f t="shared" si="121"/>
        <v>0</v>
      </c>
      <c r="AC367" s="71">
        <f t="shared" si="122"/>
        <v>0</v>
      </c>
      <c r="AK367" s="71">
        <f t="shared" si="123"/>
        <v>0</v>
      </c>
      <c r="AM367" s="71">
        <f t="shared" si="124"/>
        <v>0</v>
      </c>
      <c r="AO367" s="71">
        <f t="shared" si="125"/>
        <v>0</v>
      </c>
      <c r="AQ367" s="71">
        <f t="shared" si="126"/>
        <v>0</v>
      </c>
      <c r="AT367" s="71">
        <f t="shared" si="127"/>
        <v>0</v>
      </c>
      <c r="AV367" s="71">
        <f t="shared" si="128"/>
        <v>0</v>
      </c>
      <c r="AX367" s="71">
        <f t="shared" si="129"/>
        <v>0</v>
      </c>
      <c r="AZ367" s="71">
        <f t="shared" si="130"/>
        <v>0</v>
      </c>
      <c r="BE367" s="81">
        <f t="shared" si="131"/>
        <v>0</v>
      </c>
      <c r="BF367" s="81" t="str">
        <f t="shared" si="132"/>
        <v>BASSO</v>
      </c>
    </row>
    <row r="368" spans="7:58" x14ac:dyDescent="0.15">
      <c r="G368" s="64">
        <f t="shared" si="111"/>
        <v>0</v>
      </c>
      <c r="I368" s="64">
        <f t="shared" si="112"/>
        <v>0</v>
      </c>
      <c r="K368" s="64">
        <f t="shared" si="113"/>
        <v>0</v>
      </c>
      <c r="M368" s="64">
        <f t="shared" si="114"/>
        <v>0</v>
      </c>
      <c r="O368" s="64">
        <f t="shared" si="115"/>
        <v>0</v>
      </c>
      <c r="Q368" s="64">
        <f t="shared" si="116"/>
        <v>0</v>
      </c>
      <c r="S368" s="71">
        <f t="shared" si="117"/>
        <v>0</v>
      </c>
      <c r="U368" s="64">
        <f t="shared" si="118"/>
        <v>0</v>
      </c>
      <c r="W368" s="71">
        <f t="shared" si="119"/>
        <v>0</v>
      </c>
      <c r="Y368" s="71">
        <f t="shared" si="120"/>
        <v>0</v>
      </c>
      <c r="AA368" s="71">
        <f t="shared" si="121"/>
        <v>0</v>
      </c>
      <c r="AC368" s="71">
        <f t="shared" si="122"/>
        <v>0</v>
      </c>
      <c r="AK368" s="71">
        <f t="shared" si="123"/>
        <v>0</v>
      </c>
      <c r="AM368" s="71">
        <f t="shared" si="124"/>
        <v>0</v>
      </c>
      <c r="AO368" s="71">
        <f t="shared" si="125"/>
        <v>0</v>
      </c>
      <c r="AQ368" s="71">
        <f t="shared" si="126"/>
        <v>0</v>
      </c>
      <c r="AT368" s="71">
        <f t="shared" si="127"/>
        <v>0</v>
      </c>
      <c r="AV368" s="71">
        <f t="shared" si="128"/>
        <v>0</v>
      </c>
      <c r="AX368" s="71">
        <f t="shared" si="129"/>
        <v>0</v>
      </c>
      <c r="AZ368" s="71">
        <f t="shared" si="130"/>
        <v>0</v>
      </c>
      <c r="BE368" s="81">
        <f t="shared" si="131"/>
        <v>0</v>
      </c>
      <c r="BF368" s="81" t="str">
        <f t="shared" si="132"/>
        <v>BASSO</v>
      </c>
    </row>
    <row r="369" spans="7:58" x14ac:dyDescent="0.15">
      <c r="G369" s="64">
        <f t="shared" si="111"/>
        <v>0</v>
      </c>
      <c r="I369" s="64">
        <f t="shared" si="112"/>
        <v>0</v>
      </c>
      <c r="K369" s="64">
        <f t="shared" si="113"/>
        <v>0</v>
      </c>
      <c r="M369" s="64">
        <f t="shared" si="114"/>
        <v>0</v>
      </c>
      <c r="O369" s="64">
        <f t="shared" si="115"/>
        <v>0</v>
      </c>
      <c r="Q369" s="64">
        <f t="shared" si="116"/>
        <v>0</v>
      </c>
      <c r="S369" s="71">
        <f t="shared" si="117"/>
        <v>0</v>
      </c>
      <c r="U369" s="64">
        <f t="shared" si="118"/>
        <v>0</v>
      </c>
      <c r="W369" s="71">
        <f t="shared" si="119"/>
        <v>0</v>
      </c>
      <c r="Y369" s="71">
        <f t="shared" si="120"/>
        <v>0</v>
      </c>
      <c r="AA369" s="71">
        <f t="shared" si="121"/>
        <v>0</v>
      </c>
      <c r="AC369" s="71">
        <f t="shared" si="122"/>
        <v>0</v>
      </c>
      <c r="AK369" s="71">
        <f t="shared" si="123"/>
        <v>0</v>
      </c>
      <c r="AM369" s="71">
        <f t="shared" si="124"/>
        <v>0</v>
      </c>
      <c r="AO369" s="71">
        <f t="shared" si="125"/>
        <v>0</v>
      </c>
      <c r="AQ369" s="71">
        <f t="shared" si="126"/>
        <v>0</v>
      </c>
      <c r="AT369" s="71">
        <f t="shared" si="127"/>
        <v>0</v>
      </c>
      <c r="AV369" s="71">
        <f t="shared" si="128"/>
        <v>0</v>
      </c>
      <c r="AX369" s="71">
        <f t="shared" si="129"/>
        <v>0</v>
      </c>
      <c r="AZ369" s="71">
        <f t="shared" si="130"/>
        <v>0</v>
      </c>
      <c r="BE369" s="81">
        <f t="shared" si="131"/>
        <v>0</v>
      </c>
      <c r="BF369" s="81" t="str">
        <f t="shared" si="132"/>
        <v>BASSO</v>
      </c>
    </row>
    <row r="370" spans="7:58" x14ac:dyDescent="0.15">
      <c r="G370" s="64">
        <f t="shared" si="111"/>
        <v>0</v>
      </c>
      <c r="I370" s="64">
        <f t="shared" si="112"/>
        <v>0</v>
      </c>
      <c r="K370" s="64">
        <f t="shared" si="113"/>
        <v>0</v>
      </c>
      <c r="M370" s="64">
        <f t="shared" si="114"/>
        <v>0</v>
      </c>
      <c r="O370" s="64">
        <f t="shared" si="115"/>
        <v>0</v>
      </c>
      <c r="Q370" s="64">
        <f t="shared" si="116"/>
        <v>0</v>
      </c>
      <c r="S370" s="71">
        <f t="shared" si="117"/>
        <v>0</v>
      </c>
      <c r="U370" s="64">
        <f t="shared" si="118"/>
        <v>0</v>
      </c>
      <c r="W370" s="71">
        <f t="shared" si="119"/>
        <v>0</v>
      </c>
      <c r="Y370" s="71">
        <f t="shared" si="120"/>
        <v>0</v>
      </c>
      <c r="AA370" s="71">
        <f t="shared" si="121"/>
        <v>0</v>
      </c>
      <c r="AC370" s="71">
        <f t="shared" si="122"/>
        <v>0</v>
      </c>
      <c r="AK370" s="71">
        <f t="shared" si="123"/>
        <v>0</v>
      </c>
      <c r="AM370" s="71">
        <f t="shared" si="124"/>
        <v>0</v>
      </c>
      <c r="AO370" s="71">
        <f t="shared" si="125"/>
        <v>0</v>
      </c>
      <c r="AQ370" s="71">
        <f t="shared" si="126"/>
        <v>0</v>
      </c>
      <c r="AT370" s="71">
        <f t="shared" si="127"/>
        <v>0</v>
      </c>
      <c r="AV370" s="71">
        <f t="shared" si="128"/>
        <v>0</v>
      </c>
      <c r="AX370" s="71">
        <f t="shared" si="129"/>
        <v>0</v>
      </c>
      <c r="AZ370" s="71">
        <f t="shared" si="130"/>
        <v>0</v>
      </c>
      <c r="BE370" s="81">
        <f t="shared" si="131"/>
        <v>0</v>
      </c>
      <c r="BF370" s="81" t="str">
        <f t="shared" si="132"/>
        <v>BASSO</v>
      </c>
    </row>
    <row r="371" spans="7:58" x14ac:dyDescent="0.15">
      <c r="G371" s="64">
        <f t="shared" si="111"/>
        <v>0</v>
      </c>
      <c r="I371" s="64">
        <f t="shared" si="112"/>
        <v>0</v>
      </c>
      <c r="K371" s="64">
        <f t="shared" si="113"/>
        <v>0</v>
      </c>
      <c r="M371" s="64">
        <f t="shared" si="114"/>
        <v>0</v>
      </c>
      <c r="O371" s="64">
        <f t="shared" si="115"/>
        <v>0</v>
      </c>
      <c r="Q371" s="64">
        <f t="shared" si="116"/>
        <v>0</v>
      </c>
      <c r="S371" s="71">
        <f t="shared" si="117"/>
        <v>0</v>
      </c>
      <c r="U371" s="64">
        <f t="shared" si="118"/>
        <v>0</v>
      </c>
      <c r="W371" s="71">
        <f t="shared" si="119"/>
        <v>0</v>
      </c>
      <c r="Y371" s="71">
        <f t="shared" si="120"/>
        <v>0</v>
      </c>
      <c r="AA371" s="71">
        <f t="shared" si="121"/>
        <v>0</v>
      </c>
      <c r="AC371" s="71">
        <f t="shared" si="122"/>
        <v>0</v>
      </c>
      <c r="AK371" s="71">
        <f t="shared" si="123"/>
        <v>0</v>
      </c>
      <c r="AM371" s="71">
        <f t="shared" si="124"/>
        <v>0</v>
      </c>
      <c r="AO371" s="71">
        <f t="shared" si="125"/>
        <v>0</v>
      </c>
      <c r="AQ371" s="71">
        <f t="shared" si="126"/>
        <v>0</v>
      </c>
      <c r="AT371" s="71">
        <f t="shared" si="127"/>
        <v>0</v>
      </c>
      <c r="AV371" s="71">
        <f t="shared" si="128"/>
        <v>0</v>
      </c>
      <c r="AX371" s="71">
        <f t="shared" si="129"/>
        <v>0</v>
      </c>
      <c r="AZ371" s="71">
        <f t="shared" si="130"/>
        <v>0</v>
      </c>
      <c r="BE371" s="81">
        <f t="shared" si="131"/>
        <v>0</v>
      </c>
      <c r="BF371" s="81" t="str">
        <f t="shared" si="132"/>
        <v>BASSO</v>
      </c>
    </row>
    <row r="372" spans="7:58" x14ac:dyDescent="0.15">
      <c r="G372" s="64">
        <f t="shared" si="111"/>
        <v>0</v>
      </c>
      <c r="I372" s="64">
        <f t="shared" si="112"/>
        <v>0</v>
      </c>
      <c r="K372" s="64">
        <f t="shared" si="113"/>
        <v>0</v>
      </c>
      <c r="M372" s="64">
        <f t="shared" si="114"/>
        <v>0</v>
      </c>
      <c r="O372" s="64">
        <f t="shared" si="115"/>
        <v>0</v>
      </c>
      <c r="Q372" s="64">
        <f t="shared" si="116"/>
        <v>0</v>
      </c>
      <c r="S372" s="71">
        <f t="shared" si="117"/>
        <v>0</v>
      </c>
      <c r="U372" s="64">
        <f t="shared" si="118"/>
        <v>0</v>
      </c>
      <c r="W372" s="71">
        <f t="shared" si="119"/>
        <v>0</v>
      </c>
      <c r="Y372" s="71">
        <f t="shared" si="120"/>
        <v>0</v>
      </c>
      <c r="AA372" s="71">
        <f t="shared" si="121"/>
        <v>0</v>
      </c>
      <c r="AC372" s="71">
        <f t="shared" si="122"/>
        <v>0</v>
      </c>
      <c r="AK372" s="71">
        <f t="shared" si="123"/>
        <v>0</v>
      </c>
      <c r="AM372" s="71">
        <f t="shared" si="124"/>
        <v>0</v>
      </c>
      <c r="AO372" s="71">
        <f t="shared" si="125"/>
        <v>0</v>
      </c>
      <c r="AQ372" s="71">
        <f t="shared" si="126"/>
        <v>0</v>
      </c>
      <c r="AT372" s="71">
        <f t="shared" si="127"/>
        <v>0</v>
      </c>
      <c r="AV372" s="71">
        <f t="shared" si="128"/>
        <v>0</v>
      </c>
      <c r="AX372" s="71">
        <f t="shared" si="129"/>
        <v>0</v>
      </c>
      <c r="AZ372" s="71">
        <f t="shared" si="130"/>
        <v>0</v>
      </c>
      <c r="BE372" s="81">
        <f t="shared" si="131"/>
        <v>0</v>
      </c>
      <c r="BF372" s="81" t="str">
        <f t="shared" si="132"/>
        <v>BASSO</v>
      </c>
    </row>
    <row r="373" spans="7:58" x14ac:dyDescent="0.15">
      <c r="G373" s="64">
        <f t="shared" si="111"/>
        <v>0</v>
      </c>
      <c r="I373" s="64">
        <f t="shared" si="112"/>
        <v>0</v>
      </c>
      <c r="K373" s="64">
        <f t="shared" si="113"/>
        <v>0</v>
      </c>
      <c r="M373" s="64">
        <f t="shared" si="114"/>
        <v>0</v>
      </c>
      <c r="O373" s="64">
        <f t="shared" si="115"/>
        <v>0</v>
      </c>
      <c r="Q373" s="64">
        <f t="shared" si="116"/>
        <v>0</v>
      </c>
      <c r="S373" s="71">
        <f t="shared" si="117"/>
        <v>0</v>
      </c>
      <c r="U373" s="64">
        <f t="shared" si="118"/>
        <v>0</v>
      </c>
      <c r="W373" s="71">
        <f t="shared" si="119"/>
        <v>0</v>
      </c>
      <c r="Y373" s="71">
        <f t="shared" si="120"/>
        <v>0</v>
      </c>
      <c r="AA373" s="71">
        <f t="shared" si="121"/>
        <v>0</v>
      </c>
      <c r="AC373" s="71">
        <f t="shared" si="122"/>
        <v>0</v>
      </c>
      <c r="AK373" s="71">
        <f t="shared" si="123"/>
        <v>0</v>
      </c>
      <c r="AM373" s="71">
        <f t="shared" si="124"/>
        <v>0</v>
      </c>
      <c r="AO373" s="71">
        <f t="shared" si="125"/>
        <v>0</v>
      </c>
      <c r="AQ373" s="71">
        <f t="shared" si="126"/>
        <v>0</v>
      </c>
      <c r="AT373" s="71">
        <f t="shared" si="127"/>
        <v>0</v>
      </c>
      <c r="AV373" s="71">
        <f t="shared" si="128"/>
        <v>0</v>
      </c>
      <c r="AX373" s="71">
        <f t="shared" si="129"/>
        <v>0</v>
      </c>
      <c r="AZ373" s="71">
        <f t="shared" si="130"/>
        <v>0</v>
      </c>
      <c r="BE373" s="81">
        <f t="shared" si="131"/>
        <v>0</v>
      </c>
      <c r="BF373" s="81" t="str">
        <f t="shared" si="132"/>
        <v>BASSO</v>
      </c>
    </row>
    <row r="374" spans="7:58" x14ac:dyDescent="0.15">
      <c r="G374" s="64">
        <f t="shared" si="111"/>
        <v>0</v>
      </c>
      <c r="I374" s="64">
        <f t="shared" si="112"/>
        <v>0</v>
      </c>
      <c r="K374" s="64">
        <f t="shared" si="113"/>
        <v>0</v>
      </c>
      <c r="M374" s="64">
        <f t="shared" si="114"/>
        <v>0</v>
      </c>
      <c r="O374" s="64">
        <f t="shared" si="115"/>
        <v>0</v>
      </c>
      <c r="Q374" s="64">
        <f t="shared" si="116"/>
        <v>0</v>
      </c>
      <c r="S374" s="71">
        <f t="shared" si="117"/>
        <v>0</v>
      </c>
      <c r="U374" s="64">
        <f t="shared" si="118"/>
        <v>0</v>
      </c>
      <c r="W374" s="71">
        <f t="shared" si="119"/>
        <v>0</v>
      </c>
      <c r="Y374" s="71">
        <f t="shared" si="120"/>
        <v>0</v>
      </c>
      <c r="AA374" s="71">
        <f t="shared" si="121"/>
        <v>0</v>
      </c>
      <c r="AC374" s="71">
        <f t="shared" si="122"/>
        <v>0</v>
      </c>
      <c r="AK374" s="71">
        <f t="shared" si="123"/>
        <v>0</v>
      </c>
      <c r="AM374" s="71">
        <f t="shared" si="124"/>
        <v>0</v>
      </c>
      <c r="AO374" s="71">
        <f t="shared" si="125"/>
        <v>0</v>
      </c>
      <c r="AQ374" s="71">
        <f t="shared" si="126"/>
        <v>0</v>
      </c>
      <c r="AT374" s="71">
        <f t="shared" si="127"/>
        <v>0</v>
      </c>
      <c r="AV374" s="71">
        <f t="shared" si="128"/>
        <v>0</v>
      </c>
      <c r="AX374" s="71">
        <f t="shared" si="129"/>
        <v>0</v>
      </c>
      <c r="AZ374" s="71">
        <f t="shared" si="130"/>
        <v>0</v>
      </c>
      <c r="BE374" s="81">
        <f t="shared" si="131"/>
        <v>0</v>
      </c>
      <c r="BF374" s="81" t="str">
        <f t="shared" si="132"/>
        <v>BASSO</v>
      </c>
    </row>
    <row r="375" spans="7:58" x14ac:dyDescent="0.15">
      <c r="G375" s="64">
        <f t="shared" si="111"/>
        <v>0</v>
      </c>
      <c r="I375" s="64">
        <f t="shared" si="112"/>
        <v>0</v>
      </c>
      <c r="K375" s="64">
        <f t="shared" si="113"/>
        <v>0</v>
      </c>
      <c r="M375" s="64">
        <f t="shared" si="114"/>
        <v>0</v>
      </c>
      <c r="O375" s="64">
        <f t="shared" si="115"/>
        <v>0</v>
      </c>
      <c r="Q375" s="64">
        <f t="shared" si="116"/>
        <v>0</v>
      </c>
      <c r="S375" s="71">
        <f t="shared" si="117"/>
        <v>0</v>
      </c>
      <c r="U375" s="64">
        <f t="shared" si="118"/>
        <v>0</v>
      </c>
      <c r="W375" s="71">
        <f t="shared" si="119"/>
        <v>0</v>
      </c>
      <c r="Y375" s="71">
        <f t="shared" si="120"/>
        <v>0</v>
      </c>
      <c r="AA375" s="71">
        <f t="shared" si="121"/>
        <v>0</v>
      </c>
      <c r="AC375" s="71">
        <f t="shared" si="122"/>
        <v>0</v>
      </c>
      <c r="AK375" s="71">
        <f t="shared" si="123"/>
        <v>0</v>
      </c>
      <c r="AM375" s="71">
        <f t="shared" si="124"/>
        <v>0</v>
      </c>
      <c r="AO375" s="71">
        <f t="shared" si="125"/>
        <v>0</v>
      </c>
      <c r="AQ375" s="71">
        <f t="shared" si="126"/>
        <v>0</v>
      </c>
      <c r="AT375" s="71">
        <f t="shared" si="127"/>
        <v>0</v>
      </c>
      <c r="AV375" s="71">
        <f t="shared" si="128"/>
        <v>0</v>
      </c>
      <c r="AX375" s="71">
        <f t="shared" si="129"/>
        <v>0</v>
      </c>
      <c r="AZ375" s="71">
        <f t="shared" si="130"/>
        <v>0</v>
      </c>
      <c r="BE375" s="81">
        <f t="shared" si="131"/>
        <v>0</v>
      </c>
      <c r="BF375" s="81" t="str">
        <f t="shared" si="132"/>
        <v>BASSO</v>
      </c>
    </row>
    <row r="376" spans="7:58" x14ac:dyDescent="0.15">
      <c r="G376" s="64">
        <f t="shared" si="111"/>
        <v>0</v>
      </c>
      <c r="I376" s="64">
        <f t="shared" si="112"/>
        <v>0</v>
      </c>
      <c r="K376" s="64">
        <f t="shared" si="113"/>
        <v>0</v>
      </c>
      <c r="M376" s="64">
        <f t="shared" si="114"/>
        <v>0</v>
      </c>
      <c r="O376" s="64">
        <f t="shared" si="115"/>
        <v>0</v>
      </c>
      <c r="Q376" s="64">
        <f t="shared" si="116"/>
        <v>0</v>
      </c>
      <c r="S376" s="71">
        <f t="shared" si="117"/>
        <v>0</v>
      </c>
      <c r="U376" s="64">
        <f t="shared" si="118"/>
        <v>0</v>
      </c>
      <c r="W376" s="71">
        <f t="shared" si="119"/>
        <v>0</v>
      </c>
      <c r="Y376" s="71">
        <f t="shared" si="120"/>
        <v>0</v>
      </c>
      <c r="AA376" s="71">
        <f t="shared" si="121"/>
        <v>0</v>
      </c>
      <c r="AC376" s="71">
        <f t="shared" si="122"/>
        <v>0</v>
      </c>
      <c r="AK376" s="71">
        <f t="shared" si="123"/>
        <v>0</v>
      </c>
      <c r="AM376" s="71">
        <f t="shared" si="124"/>
        <v>0</v>
      </c>
      <c r="AO376" s="71">
        <f t="shared" si="125"/>
        <v>0</v>
      </c>
      <c r="AQ376" s="71">
        <f t="shared" si="126"/>
        <v>0</v>
      </c>
      <c r="AT376" s="71">
        <f t="shared" si="127"/>
        <v>0</v>
      </c>
      <c r="AV376" s="71">
        <f t="shared" si="128"/>
        <v>0</v>
      </c>
      <c r="AX376" s="71">
        <f t="shared" si="129"/>
        <v>0</v>
      </c>
      <c r="AZ376" s="71">
        <f t="shared" si="130"/>
        <v>0</v>
      </c>
      <c r="BE376" s="81">
        <f t="shared" si="131"/>
        <v>0</v>
      </c>
      <c r="BF376" s="81" t="str">
        <f t="shared" si="132"/>
        <v>BASSO</v>
      </c>
    </row>
    <row r="377" spans="7:58" x14ac:dyDescent="0.15">
      <c r="G377" s="64">
        <f t="shared" si="111"/>
        <v>0</v>
      </c>
      <c r="I377" s="64">
        <f t="shared" si="112"/>
        <v>0</v>
      </c>
      <c r="K377" s="64">
        <f t="shared" si="113"/>
        <v>0</v>
      </c>
      <c r="M377" s="64">
        <f t="shared" si="114"/>
        <v>0</v>
      </c>
      <c r="O377" s="64">
        <f t="shared" si="115"/>
        <v>0</v>
      </c>
      <c r="Q377" s="64">
        <f t="shared" si="116"/>
        <v>0</v>
      </c>
      <c r="S377" s="71">
        <f t="shared" si="117"/>
        <v>0</v>
      </c>
      <c r="U377" s="64">
        <f t="shared" si="118"/>
        <v>0</v>
      </c>
      <c r="W377" s="71">
        <f t="shared" si="119"/>
        <v>0</v>
      </c>
      <c r="Y377" s="71">
        <f t="shared" si="120"/>
        <v>0</v>
      </c>
      <c r="AA377" s="71">
        <f t="shared" si="121"/>
        <v>0</v>
      </c>
      <c r="AC377" s="71">
        <f t="shared" si="122"/>
        <v>0</v>
      </c>
      <c r="AK377" s="71">
        <f t="shared" si="123"/>
        <v>0</v>
      </c>
      <c r="AM377" s="71">
        <f t="shared" si="124"/>
        <v>0</v>
      </c>
      <c r="AO377" s="71">
        <f t="shared" si="125"/>
        <v>0</v>
      </c>
      <c r="AQ377" s="71">
        <f t="shared" si="126"/>
        <v>0</v>
      </c>
      <c r="AT377" s="71">
        <f t="shared" si="127"/>
        <v>0</v>
      </c>
      <c r="AV377" s="71">
        <f t="shared" si="128"/>
        <v>0</v>
      </c>
      <c r="AX377" s="71">
        <f t="shared" si="129"/>
        <v>0</v>
      </c>
      <c r="AZ377" s="71">
        <f t="shared" si="130"/>
        <v>0</v>
      </c>
      <c r="BE377" s="81">
        <f t="shared" si="131"/>
        <v>0</v>
      </c>
      <c r="BF377" s="81" t="str">
        <f t="shared" si="132"/>
        <v>BASSO</v>
      </c>
    </row>
    <row r="378" spans="7:58" x14ac:dyDescent="0.15">
      <c r="G378" s="64">
        <f t="shared" si="111"/>
        <v>0</v>
      </c>
      <c r="I378" s="64">
        <f t="shared" si="112"/>
        <v>0</v>
      </c>
      <c r="K378" s="64">
        <f t="shared" si="113"/>
        <v>0</v>
      </c>
      <c r="M378" s="64">
        <f t="shared" si="114"/>
        <v>0</v>
      </c>
      <c r="O378" s="64">
        <f t="shared" si="115"/>
        <v>0</v>
      </c>
      <c r="Q378" s="64">
        <f t="shared" si="116"/>
        <v>0</v>
      </c>
      <c r="S378" s="71">
        <f t="shared" si="117"/>
        <v>0</v>
      </c>
      <c r="U378" s="64">
        <f t="shared" si="118"/>
        <v>0</v>
      </c>
      <c r="W378" s="71">
        <f t="shared" si="119"/>
        <v>0</v>
      </c>
      <c r="Y378" s="71">
        <f t="shared" si="120"/>
        <v>0</v>
      </c>
      <c r="AA378" s="71">
        <f t="shared" si="121"/>
        <v>0</v>
      </c>
      <c r="AC378" s="71">
        <f t="shared" si="122"/>
        <v>0</v>
      </c>
      <c r="AK378" s="71">
        <f t="shared" si="123"/>
        <v>0</v>
      </c>
      <c r="AM378" s="71">
        <f t="shared" si="124"/>
        <v>0</v>
      </c>
      <c r="AO378" s="71">
        <f t="shared" si="125"/>
        <v>0</v>
      </c>
      <c r="AQ378" s="71">
        <f t="shared" si="126"/>
        <v>0</v>
      </c>
      <c r="AT378" s="71">
        <f t="shared" si="127"/>
        <v>0</v>
      </c>
      <c r="AV378" s="71">
        <f t="shared" si="128"/>
        <v>0</v>
      </c>
      <c r="AX378" s="71">
        <f t="shared" si="129"/>
        <v>0</v>
      </c>
      <c r="AZ378" s="71">
        <f t="shared" si="130"/>
        <v>0</v>
      </c>
      <c r="BE378" s="81">
        <f t="shared" si="131"/>
        <v>0</v>
      </c>
      <c r="BF378" s="81" t="str">
        <f t="shared" si="132"/>
        <v>BASSO</v>
      </c>
    </row>
    <row r="379" spans="7:58" x14ac:dyDescent="0.15">
      <c r="G379" s="64">
        <f t="shared" si="111"/>
        <v>0</v>
      </c>
      <c r="I379" s="64">
        <f t="shared" si="112"/>
        <v>0</v>
      </c>
      <c r="K379" s="64">
        <f t="shared" si="113"/>
        <v>0</v>
      </c>
      <c r="M379" s="64">
        <f t="shared" si="114"/>
        <v>0</v>
      </c>
      <c r="O379" s="64">
        <f t="shared" si="115"/>
        <v>0</v>
      </c>
      <c r="Q379" s="64">
        <f t="shared" si="116"/>
        <v>0</v>
      </c>
      <c r="S379" s="71">
        <f t="shared" si="117"/>
        <v>0</v>
      </c>
      <c r="U379" s="64">
        <f t="shared" si="118"/>
        <v>0</v>
      </c>
      <c r="W379" s="71">
        <f t="shared" si="119"/>
        <v>0</v>
      </c>
      <c r="Y379" s="71">
        <f t="shared" si="120"/>
        <v>0</v>
      </c>
      <c r="AA379" s="71">
        <f t="shared" si="121"/>
        <v>0</v>
      </c>
      <c r="AC379" s="71">
        <f t="shared" si="122"/>
        <v>0</v>
      </c>
      <c r="AK379" s="71">
        <f t="shared" si="123"/>
        <v>0</v>
      </c>
      <c r="AM379" s="71">
        <f t="shared" si="124"/>
        <v>0</v>
      </c>
      <c r="AO379" s="71">
        <f t="shared" si="125"/>
        <v>0</v>
      </c>
      <c r="AQ379" s="71">
        <f t="shared" si="126"/>
        <v>0</v>
      </c>
      <c r="AT379" s="71">
        <f t="shared" si="127"/>
        <v>0</v>
      </c>
      <c r="AV379" s="71">
        <f t="shared" si="128"/>
        <v>0</v>
      </c>
      <c r="AX379" s="71">
        <f t="shared" si="129"/>
        <v>0</v>
      </c>
      <c r="AZ379" s="71">
        <f t="shared" si="130"/>
        <v>0</v>
      </c>
      <c r="BE379" s="81">
        <f t="shared" si="131"/>
        <v>0</v>
      </c>
      <c r="BF379" s="81" t="str">
        <f t="shared" si="132"/>
        <v>BASSO</v>
      </c>
    </row>
    <row r="380" spans="7:58" x14ac:dyDescent="0.15">
      <c r="G380" s="64">
        <f t="shared" si="111"/>
        <v>0</v>
      </c>
      <c r="I380" s="64">
        <f t="shared" si="112"/>
        <v>0</v>
      </c>
      <c r="K380" s="64">
        <f t="shared" si="113"/>
        <v>0</v>
      </c>
      <c r="M380" s="64">
        <f t="shared" si="114"/>
        <v>0</v>
      </c>
      <c r="O380" s="64">
        <f t="shared" si="115"/>
        <v>0</v>
      </c>
      <c r="Q380" s="64">
        <f t="shared" si="116"/>
        <v>0</v>
      </c>
      <c r="S380" s="71">
        <f t="shared" si="117"/>
        <v>0</v>
      </c>
      <c r="U380" s="64">
        <f t="shared" si="118"/>
        <v>0</v>
      </c>
      <c r="W380" s="71">
        <f t="shared" si="119"/>
        <v>0</v>
      </c>
      <c r="Y380" s="71">
        <f t="shared" si="120"/>
        <v>0</v>
      </c>
      <c r="AA380" s="71">
        <f t="shared" si="121"/>
        <v>0</v>
      </c>
      <c r="AC380" s="71">
        <f t="shared" si="122"/>
        <v>0</v>
      </c>
      <c r="AK380" s="71">
        <f t="shared" si="123"/>
        <v>0</v>
      </c>
      <c r="AM380" s="71">
        <f t="shared" si="124"/>
        <v>0</v>
      </c>
      <c r="AO380" s="71">
        <f t="shared" si="125"/>
        <v>0</v>
      </c>
      <c r="AQ380" s="71">
        <f t="shared" si="126"/>
        <v>0</v>
      </c>
      <c r="AT380" s="71">
        <f t="shared" si="127"/>
        <v>0</v>
      </c>
      <c r="AV380" s="71">
        <f t="shared" si="128"/>
        <v>0</v>
      </c>
      <c r="AX380" s="71">
        <f t="shared" si="129"/>
        <v>0</v>
      </c>
      <c r="AZ380" s="71">
        <f t="shared" si="130"/>
        <v>0</v>
      </c>
      <c r="BE380" s="81">
        <f t="shared" si="131"/>
        <v>0</v>
      </c>
      <c r="BF380" s="81" t="str">
        <f t="shared" si="132"/>
        <v>BASSO</v>
      </c>
    </row>
    <row r="381" spans="7:58" x14ac:dyDescent="0.15">
      <c r="G381" s="64">
        <f t="shared" si="111"/>
        <v>0</v>
      </c>
      <c r="I381" s="64">
        <f t="shared" si="112"/>
        <v>0</v>
      </c>
      <c r="K381" s="64">
        <f t="shared" si="113"/>
        <v>0</v>
      </c>
      <c r="M381" s="64">
        <f t="shared" si="114"/>
        <v>0</v>
      </c>
      <c r="O381" s="64">
        <f t="shared" si="115"/>
        <v>0</v>
      </c>
      <c r="Q381" s="64">
        <f t="shared" si="116"/>
        <v>0</v>
      </c>
      <c r="S381" s="71">
        <f t="shared" si="117"/>
        <v>0</v>
      </c>
      <c r="U381" s="64">
        <f t="shared" si="118"/>
        <v>0</v>
      </c>
      <c r="W381" s="71">
        <f t="shared" si="119"/>
        <v>0</v>
      </c>
      <c r="Y381" s="71">
        <f t="shared" si="120"/>
        <v>0</v>
      </c>
      <c r="AA381" s="71">
        <f t="shared" si="121"/>
        <v>0</v>
      </c>
      <c r="AC381" s="71">
        <f t="shared" si="122"/>
        <v>0</v>
      </c>
      <c r="AK381" s="71">
        <f t="shared" si="123"/>
        <v>0</v>
      </c>
      <c r="AM381" s="71">
        <f t="shared" si="124"/>
        <v>0</v>
      </c>
      <c r="AO381" s="71">
        <f t="shared" si="125"/>
        <v>0</v>
      </c>
      <c r="AQ381" s="71">
        <f t="shared" si="126"/>
        <v>0</v>
      </c>
      <c r="AT381" s="71">
        <f t="shared" si="127"/>
        <v>0</v>
      </c>
      <c r="AV381" s="71">
        <f t="shared" si="128"/>
        <v>0</v>
      </c>
      <c r="AX381" s="71">
        <f t="shared" si="129"/>
        <v>0</v>
      </c>
      <c r="AZ381" s="71">
        <f t="shared" si="130"/>
        <v>0</v>
      </c>
      <c r="BE381" s="81">
        <f t="shared" si="131"/>
        <v>0</v>
      </c>
      <c r="BF381" s="81" t="str">
        <f t="shared" si="132"/>
        <v>BASSO</v>
      </c>
    </row>
    <row r="382" spans="7:58" x14ac:dyDescent="0.15">
      <c r="G382" s="64">
        <f t="shared" si="111"/>
        <v>0</v>
      </c>
      <c r="I382" s="64">
        <f t="shared" si="112"/>
        <v>0</v>
      </c>
      <c r="K382" s="64">
        <f t="shared" si="113"/>
        <v>0</v>
      </c>
      <c r="M382" s="64">
        <f t="shared" si="114"/>
        <v>0</v>
      </c>
      <c r="O382" s="64">
        <f t="shared" si="115"/>
        <v>0</v>
      </c>
      <c r="Q382" s="64">
        <f t="shared" si="116"/>
        <v>0</v>
      </c>
      <c r="S382" s="71">
        <f t="shared" si="117"/>
        <v>0</v>
      </c>
      <c r="U382" s="64">
        <f t="shared" si="118"/>
        <v>0</v>
      </c>
      <c r="W382" s="71">
        <f t="shared" si="119"/>
        <v>0</v>
      </c>
      <c r="Y382" s="71">
        <f t="shared" si="120"/>
        <v>0</v>
      </c>
      <c r="AA382" s="71">
        <f t="shared" si="121"/>
        <v>0</v>
      </c>
      <c r="AC382" s="71">
        <f t="shared" si="122"/>
        <v>0</v>
      </c>
      <c r="AK382" s="71">
        <f t="shared" si="123"/>
        <v>0</v>
      </c>
      <c r="AM382" s="71">
        <f t="shared" si="124"/>
        <v>0</v>
      </c>
      <c r="AO382" s="71">
        <f t="shared" si="125"/>
        <v>0</v>
      </c>
      <c r="AQ382" s="71">
        <f t="shared" si="126"/>
        <v>0</v>
      </c>
      <c r="AT382" s="71">
        <f t="shared" si="127"/>
        <v>0</v>
      </c>
      <c r="AV382" s="71">
        <f t="shared" si="128"/>
        <v>0</v>
      </c>
      <c r="AX382" s="71">
        <f t="shared" si="129"/>
        <v>0</v>
      </c>
      <c r="AZ382" s="71">
        <f t="shared" si="130"/>
        <v>0</v>
      </c>
      <c r="BE382" s="81">
        <f t="shared" si="131"/>
        <v>0</v>
      </c>
      <c r="BF382" s="81" t="str">
        <f t="shared" si="132"/>
        <v>BASSO</v>
      </c>
    </row>
    <row r="383" spans="7:58" x14ac:dyDescent="0.15">
      <c r="G383" s="64">
        <f t="shared" si="111"/>
        <v>0</v>
      </c>
      <c r="I383" s="64">
        <f t="shared" si="112"/>
        <v>0</v>
      </c>
      <c r="K383" s="64">
        <f t="shared" si="113"/>
        <v>0</v>
      </c>
      <c r="M383" s="64">
        <f t="shared" si="114"/>
        <v>0</v>
      </c>
      <c r="O383" s="64">
        <f t="shared" si="115"/>
        <v>0</v>
      </c>
      <c r="Q383" s="64">
        <f t="shared" si="116"/>
        <v>0</v>
      </c>
      <c r="S383" s="71">
        <f t="shared" si="117"/>
        <v>0</v>
      </c>
      <c r="U383" s="64">
        <f t="shared" si="118"/>
        <v>0</v>
      </c>
      <c r="W383" s="71">
        <f t="shared" si="119"/>
        <v>0</v>
      </c>
      <c r="Y383" s="71">
        <f t="shared" si="120"/>
        <v>0</v>
      </c>
      <c r="AA383" s="71">
        <f t="shared" si="121"/>
        <v>0</v>
      </c>
      <c r="AC383" s="71">
        <f t="shared" si="122"/>
        <v>0</v>
      </c>
      <c r="AK383" s="71">
        <f t="shared" si="123"/>
        <v>0</v>
      </c>
      <c r="AM383" s="71">
        <f t="shared" si="124"/>
        <v>0</v>
      </c>
      <c r="AO383" s="71">
        <f t="shared" si="125"/>
        <v>0</v>
      </c>
      <c r="AQ383" s="71">
        <f t="shared" si="126"/>
        <v>0</v>
      </c>
      <c r="AT383" s="71">
        <f t="shared" si="127"/>
        <v>0</v>
      </c>
      <c r="AV383" s="71">
        <f t="shared" si="128"/>
        <v>0</v>
      </c>
      <c r="AX383" s="71">
        <f t="shared" si="129"/>
        <v>0</v>
      </c>
      <c r="AZ383" s="71">
        <f t="shared" si="130"/>
        <v>0</v>
      </c>
      <c r="BE383" s="81">
        <f t="shared" si="131"/>
        <v>0</v>
      </c>
      <c r="BF383" s="81" t="str">
        <f t="shared" si="132"/>
        <v>BASSO</v>
      </c>
    </row>
    <row r="384" spans="7:58" x14ac:dyDescent="0.15">
      <c r="G384" s="64">
        <f t="shared" si="111"/>
        <v>0</v>
      </c>
      <c r="I384" s="64">
        <f t="shared" si="112"/>
        <v>0</v>
      </c>
      <c r="K384" s="64">
        <f t="shared" si="113"/>
        <v>0</v>
      </c>
      <c r="M384" s="64">
        <f t="shared" si="114"/>
        <v>0</v>
      </c>
      <c r="O384" s="64">
        <f t="shared" si="115"/>
        <v>0</v>
      </c>
      <c r="Q384" s="64">
        <f t="shared" si="116"/>
        <v>0</v>
      </c>
      <c r="S384" s="71">
        <f t="shared" si="117"/>
        <v>0</v>
      </c>
      <c r="U384" s="64">
        <f t="shared" si="118"/>
        <v>0</v>
      </c>
      <c r="W384" s="71">
        <f t="shared" si="119"/>
        <v>0</v>
      </c>
      <c r="Y384" s="71">
        <f t="shared" si="120"/>
        <v>0</v>
      </c>
      <c r="AA384" s="71">
        <f t="shared" si="121"/>
        <v>0</v>
      </c>
      <c r="AC384" s="71">
        <f t="shared" si="122"/>
        <v>0</v>
      </c>
      <c r="AK384" s="71">
        <f t="shared" si="123"/>
        <v>0</v>
      </c>
      <c r="AM384" s="71">
        <f t="shared" si="124"/>
        <v>0</v>
      </c>
      <c r="AO384" s="71">
        <f t="shared" si="125"/>
        <v>0</v>
      </c>
      <c r="AQ384" s="71">
        <f t="shared" si="126"/>
        <v>0</v>
      </c>
      <c r="AT384" s="71">
        <f t="shared" si="127"/>
        <v>0</v>
      </c>
      <c r="AV384" s="71">
        <f t="shared" si="128"/>
        <v>0</v>
      </c>
      <c r="AX384" s="71">
        <f t="shared" si="129"/>
        <v>0</v>
      </c>
      <c r="AZ384" s="71">
        <f t="shared" si="130"/>
        <v>0</v>
      </c>
      <c r="BE384" s="81">
        <f t="shared" si="131"/>
        <v>0</v>
      </c>
      <c r="BF384" s="81" t="str">
        <f t="shared" si="132"/>
        <v>BASSO</v>
      </c>
    </row>
    <row r="385" spans="7:58" x14ac:dyDescent="0.15">
      <c r="G385" s="64">
        <f t="shared" si="111"/>
        <v>0</v>
      </c>
      <c r="I385" s="64">
        <f t="shared" si="112"/>
        <v>0</v>
      </c>
      <c r="K385" s="64">
        <f t="shared" si="113"/>
        <v>0</v>
      </c>
      <c r="M385" s="64">
        <f t="shared" si="114"/>
        <v>0</v>
      </c>
      <c r="O385" s="64">
        <f t="shared" si="115"/>
        <v>0</v>
      </c>
      <c r="Q385" s="64">
        <f t="shared" si="116"/>
        <v>0</v>
      </c>
      <c r="S385" s="71">
        <f t="shared" si="117"/>
        <v>0</v>
      </c>
      <c r="U385" s="64">
        <f t="shared" si="118"/>
        <v>0</v>
      </c>
      <c r="W385" s="71">
        <f t="shared" si="119"/>
        <v>0</v>
      </c>
      <c r="Y385" s="71">
        <f t="shared" si="120"/>
        <v>0</v>
      </c>
      <c r="AA385" s="71">
        <f t="shared" si="121"/>
        <v>0</v>
      </c>
      <c r="AC385" s="71">
        <f t="shared" si="122"/>
        <v>0</v>
      </c>
      <c r="AK385" s="71">
        <f t="shared" si="123"/>
        <v>0</v>
      </c>
      <c r="AM385" s="71">
        <f t="shared" si="124"/>
        <v>0</v>
      </c>
      <c r="AO385" s="71">
        <f t="shared" si="125"/>
        <v>0</v>
      </c>
      <c r="AQ385" s="71">
        <f t="shared" si="126"/>
        <v>0</v>
      </c>
      <c r="AT385" s="71">
        <f t="shared" si="127"/>
        <v>0</v>
      </c>
      <c r="AV385" s="71">
        <f t="shared" si="128"/>
        <v>0</v>
      </c>
      <c r="AX385" s="71">
        <f t="shared" si="129"/>
        <v>0</v>
      </c>
      <c r="AZ385" s="71">
        <f t="shared" si="130"/>
        <v>0</v>
      </c>
      <c r="BE385" s="81">
        <f t="shared" si="131"/>
        <v>0</v>
      </c>
      <c r="BF385" s="81" t="str">
        <f t="shared" si="132"/>
        <v>BASSO</v>
      </c>
    </row>
    <row r="386" spans="7:58" x14ac:dyDescent="0.15">
      <c r="G386" s="64">
        <f t="shared" ref="G386:G449" si="133">F387/2</f>
        <v>0</v>
      </c>
      <c r="I386" s="64">
        <f t="shared" si="112"/>
        <v>0</v>
      </c>
      <c r="K386" s="64">
        <f t="shared" si="113"/>
        <v>0</v>
      </c>
      <c r="M386" s="64">
        <f t="shared" si="114"/>
        <v>0</v>
      </c>
      <c r="O386" s="64">
        <f t="shared" si="115"/>
        <v>0</v>
      </c>
      <c r="Q386" s="64">
        <f t="shared" si="116"/>
        <v>0</v>
      </c>
      <c r="S386" s="71">
        <f t="shared" si="117"/>
        <v>0</v>
      </c>
      <c r="U386" s="64">
        <f t="shared" si="118"/>
        <v>0</v>
      </c>
      <c r="W386" s="71">
        <f t="shared" si="119"/>
        <v>0</v>
      </c>
      <c r="Y386" s="71">
        <f t="shared" si="120"/>
        <v>0</v>
      </c>
      <c r="AA386" s="71">
        <f t="shared" si="121"/>
        <v>0</v>
      </c>
      <c r="AC386" s="71">
        <f t="shared" si="122"/>
        <v>0</v>
      </c>
      <c r="AK386" s="71">
        <f t="shared" si="123"/>
        <v>0</v>
      </c>
      <c r="AM386" s="71">
        <f t="shared" si="124"/>
        <v>0</v>
      </c>
      <c r="AO386" s="71">
        <f t="shared" si="125"/>
        <v>0</v>
      </c>
      <c r="AQ386" s="71">
        <f t="shared" si="126"/>
        <v>0</v>
      </c>
      <c r="AT386" s="71">
        <f t="shared" si="127"/>
        <v>0</v>
      </c>
      <c r="AV386" s="71">
        <f t="shared" si="128"/>
        <v>0</v>
      </c>
      <c r="AX386" s="71">
        <f t="shared" si="129"/>
        <v>0</v>
      </c>
      <c r="AZ386" s="71">
        <f t="shared" si="130"/>
        <v>0</v>
      </c>
      <c r="BE386" s="81">
        <f t="shared" si="131"/>
        <v>0</v>
      </c>
      <c r="BF386" s="81" t="str">
        <f t="shared" si="132"/>
        <v>BASSO</v>
      </c>
    </row>
    <row r="387" spans="7:58" x14ac:dyDescent="0.15">
      <c r="G387" s="64">
        <f t="shared" si="133"/>
        <v>0</v>
      </c>
      <c r="I387" s="64">
        <f t="shared" ref="I387:I450" si="134">H387/2</f>
        <v>0</v>
      </c>
      <c r="K387" s="64">
        <f t="shared" ref="K387:K450" si="135">J387/2</f>
        <v>0</v>
      </c>
      <c r="M387" s="64">
        <f t="shared" ref="M387:M450" si="136">L387/3</f>
        <v>0</v>
      </c>
      <c r="O387" s="64">
        <f t="shared" ref="O387:O450" si="137">N387/5</f>
        <v>0</v>
      </c>
      <c r="Q387" s="64">
        <f t="shared" ref="Q387:Q450" si="138">P387/3</f>
        <v>0</v>
      </c>
      <c r="S387" s="71">
        <f t="shared" ref="S387:S450" si="139">R387/3</f>
        <v>0</v>
      </c>
      <c r="U387" s="64">
        <f t="shared" ref="U387:U450" si="140">T387/3</f>
        <v>0</v>
      </c>
      <c r="W387" s="71">
        <f t="shared" ref="W387:W450" si="141">V387/4</f>
        <v>0</v>
      </c>
      <c r="Y387" s="71">
        <f t="shared" ref="Y387:Y450" si="142">X387/3</f>
        <v>0</v>
      </c>
      <c r="AA387" s="71">
        <f t="shared" ref="AA387:AA450" si="143">Z387/3</f>
        <v>0</v>
      </c>
      <c r="AC387" s="71">
        <f t="shared" ref="AC387:AC450" si="144">AB387/2</f>
        <v>0</v>
      </c>
      <c r="AK387" s="71">
        <f t="shared" ref="AK387:AK450" si="145">AJ387/2</f>
        <v>0</v>
      </c>
      <c r="AM387" s="71">
        <f t="shared" ref="AM387:AM450" si="146">AL387/3</f>
        <v>0</v>
      </c>
      <c r="AO387" s="71">
        <f t="shared" ref="AO387:AO450" si="147">AN387/3</f>
        <v>0</v>
      </c>
      <c r="AQ387" s="71">
        <f t="shared" ref="AQ387:AQ450" si="148">AP387/3</f>
        <v>0</v>
      </c>
      <c r="AT387" s="71">
        <f t="shared" ref="AT387:AT450" si="149">AS387/3</f>
        <v>0</v>
      </c>
      <c r="AV387" s="71">
        <f t="shared" ref="AV387:AV450" si="150">AU387/3</f>
        <v>0</v>
      </c>
      <c r="AX387" s="71">
        <f t="shared" ref="AX387:AX450" si="151">AW387/2</f>
        <v>0</v>
      </c>
      <c r="AZ387" s="71">
        <f t="shared" ref="AZ387:AZ450" si="152">AY387/3</f>
        <v>0</v>
      </c>
      <c r="BE387" s="81">
        <f t="shared" ref="BE387:BE450" si="153">AVERAGE(F387,I387,K387,M387,O387,Q387,S387,U387,W387,Y387,AA387,AC387,AK387,AM387,AO387,AQ387,AT387,AV387,AX387,AZ387)</f>
        <v>0</v>
      </c>
      <c r="BF387" s="81" t="str">
        <f t="shared" ref="BF387:BF450" si="154">IF(BE387="","",IF(VALUE(BE387)&lt;0.34,"BASSO",IF(VALUE(BE387)&lt;=0.66,"MEDIO","ALTO")))</f>
        <v>BASSO</v>
      </c>
    </row>
    <row r="388" spans="7:58" x14ac:dyDescent="0.15">
      <c r="G388" s="64">
        <f t="shared" si="133"/>
        <v>0</v>
      </c>
      <c r="I388" s="64">
        <f t="shared" si="134"/>
        <v>0</v>
      </c>
      <c r="K388" s="64">
        <f t="shared" si="135"/>
        <v>0</v>
      </c>
      <c r="M388" s="64">
        <f t="shared" si="136"/>
        <v>0</v>
      </c>
      <c r="O388" s="64">
        <f t="shared" si="137"/>
        <v>0</v>
      </c>
      <c r="Q388" s="64">
        <f t="shared" si="138"/>
        <v>0</v>
      </c>
      <c r="S388" s="71">
        <f t="shared" si="139"/>
        <v>0</v>
      </c>
      <c r="U388" s="64">
        <f t="shared" si="140"/>
        <v>0</v>
      </c>
      <c r="W388" s="71">
        <f t="shared" si="141"/>
        <v>0</v>
      </c>
      <c r="Y388" s="71">
        <f t="shared" si="142"/>
        <v>0</v>
      </c>
      <c r="AA388" s="71">
        <f t="shared" si="143"/>
        <v>0</v>
      </c>
      <c r="AC388" s="71">
        <f t="shared" si="144"/>
        <v>0</v>
      </c>
      <c r="AK388" s="71">
        <f t="shared" si="145"/>
        <v>0</v>
      </c>
      <c r="AM388" s="71">
        <f t="shared" si="146"/>
        <v>0</v>
      </c>
      <c r="AO388" s="71">
        <f t="shared" si="147"/>
        <v>0</v>
      </c>
      <c r="AQ388" s="71">
        <f t="shared" si="148"/>
        <v>0</v>
      </c>
      <c r="AT388" s="71">
        <f t="shared" si="149"/>
        <v>0</v>
      </c>
      <c r="AV388" s="71">
        <f t="shared" si="150"/>
        <v>0</v>
      </c>
      <c r="AX388" s="71">
        <f t="shared" si="151"/>
        <v>0</v>
      </c>
      <c r="AZ388" s="71">
        <f t="shared" si="152"/>
        <v>0</v>
      </c>
      <c r="BE388" s="81">
        <f t="shared" si="153"/>
        <v>0</v>
      </c>
      <c r="BF388" s="81" t="str">
        <f t="shared" si="154"/>
        <v>BASSO</v>
      </c>
    </row>
    <row r="389" spans="7:58" x14ac:dyDescent="0.15">
      <c r="G389" s="64">
        <f t="shared" si="133"/>
        <v>0</v>
      </c>
      <c r="I389" s="64">
        <f t="shared" si="134"/>
        <v>0</v>
      </c>
      <c r="K389" s="64">
        <f t="shared" si="135"/>
        <v>0</v>
      </c>
      <c r="M389" s="64">
        <f t="shared" si="136"/>
        <v>0</v>
      </c>
      <c r="O389" s="64">
        <f t="shared" si="137"/>
        <v>0</v>
      </c>
      <c r="Q389" s="64">
        <f t="shared" si="138"/>
        <v>0</v>
      </c>
      <c r="S389" s="71">
        <f t="shared" si="139"/>
        <v>0</v>
      </c>
      <c r="U389" s="64">
        <f t="shared" si="140"/>
        <v>0</v>
      </c>
      <c r="W389" s="71">
        <f t="shared" si="141"/>
        <v>0</v>
      </c>
      <c r="Y389" s="71">
        <f t="shared" si="142"/>
        <v>0</v>
      </c>
      <c r="AA389" s="71">
        <f t="shared" si="143"/>
        <v>0</v>
      </c>
      <c r="AC389" s="71">
        <f t="shared" si="144"/>
        <v>0</v>
      </c>
      <c r="AK389" s="71">
        <f t="shared" si="145"/>
        <v>0</v>
      </c>
      <c r="AM389" s="71">
        <f t="shared" si="146"/>
        <v>0</v>
      </c>
      <c r="AO389" s="71">
        <f t="shared" si="147"/>
        <v>0</v>
      </c>
      <c r="AQ389" s="71">
        <f t="shared" si="148"/>
        <v>0</v>
      </c>
      <c r="AT389" s="71">
        <f t="shared" si="149"/>
        <v>0</v>
      </c>
      <c r="AV389" s="71">
        <f t="shared" si="150"/>
        <v>0</v>
      </c>
      <c r="AX389" s="71">
        <f t="shared" si="151"/>
        <v>0</v>
      </c>
      <c r="AZ389" s="71">
        <f t="shared" si="152"/>
        <v>0</v>
      </c>
      <c r="BE389" s="81">
        <f t="shared" si="153"/>
        <v>0</v>
      </c>
      <c r="BF389" s="81" t="str">
        <f t="shared" si="154"/>
        <v>BASSO</v>
      </c>
    </row>
    <row r="390" spans="7:58" x14ac:dyDescent="0.15">
      <c r="G390" s="64">
        <f t="shared" si="133"/>
        <v>0</v>
      </c>
      <c r="I390" s="64">
        <f t="shared" si="134"/>
        <v>0</v>
      </c>
      <c r="K390" s="64">
        <f t="shared" si="135"/>
        <v>0</v>
      </c>
      <c r="M390" s="64">
        <f t="shared" si="136"/>
        <v>0</v>
      </c>
      <c r="O390" s="64">
        <f t="shared" si="137"/>
        <v>0</v>
      </c>
      <c r="Q390" s="64">
        <f t="shared" si="138"/>
        <v>0</v>
      </c>
      <c r="S390" s="71">
        <f t="shared" si="139"/>
        <v>0</v>
      </c>
      <c r="U390" s="64">
        <f t="shared" si="140"/>
        <v>0</v>
      </c>
      <c r="W390" s="71">
        <f t="shared" si="141"/>
        <v>0</v>
      </c>
      <c r="Y390" s="71">
        <f t="shared" si="142"/>
        <v>0</v>
      </c>
      <c r="AA390" s="71">
        <f t="shared" si="143"/>
        <v>0</v>
      </c>
      <c r="AC390" s="71">
        <f t="shared" si="144"/>
        <v>0</v>
      </c>
      <c r="AK390" s="71">
        <f t="shared" si="145"/>
        <v>0</v>
      </c>
      <c r="AM390" s="71">
        <f t="shared" si="146"/>
        <v>0</v>
      </c>
      <c r="AO390" s="71">
        <f t="shared" si="147"/>
        <v>0</v>
      </c>
      <c r="AQ390" s="71">
        <f t="shared" si="148"/>
        <v>0</v>
      </c>
      <c r="AT390" s="71">
        <f t="shared" si="149"/>
        <v>0</v>
      </c>
      <c r="AV390" s="71">
        <f t="shared" si="150"/>
        <v>0</v>
      </c>
      <c r="AX390" s="71">
        <f t="shared" si="151"/>
        <v>0</v>
      </c>
      <c r="AZ390" s="71">
        <f t="shared" si="152"/>
        <v>0</v>
      </c>
      <c r="BE390" s="81">
        <f t="shared" si="153"/>
        <v>0</v>
      </c>
      <c r="BF390" s="81" t="str">
        <f t="shared" si="154"/>
        <v>BASSO</v>
      </c>
    </row>
    <row r="391" spans="7:58" x14ac:dyDescent="0.15">
      <c r="G391" s="64">
        <f t="shared" si="133"/>
        <v>0</v>
      </c>
      <c r="I391" s="64">
        <f t="shared" si="134"/>
        <v>0</v>
      </c>
      <c r="K391" s="64">
        <f t="shared" si="135"/>
        <v>0</v>
      </c>
      <c r="M391" s="64">
        <f t="shared" si="136"/>
        <v>0</v>
      </c>
      <c r="O391" s="64">
        <f t="shared" si="137"/>
        <v>0</v>
      </c>
      <c r="Q391" s="64">
        <f t="shared" si="138"/>
        <v>0</v>
      </c>
      <c r="S391" s="71">
        <f t="shared" si="139"/>
        <v>0</v>
      </c>
      <c r="U391" s="64">
        <f t="shared" si="140"/>
        <v>0</v>
      </c>
      <c r="W391" s="71">
        <f t="shared" si="141"/>
        <v>0</v>
      </c>
      <c r="Y391" s="71">
        <f t="shared" si="142"/>
        <v>0</v>
      </c>
      <c r="AA391" s="71">
        <f t="shared" si="143"/>
        <v>0</v>
      </c>
      <c r="AC391" s="71">
        <f t="shared" si="144"/>
        <v>0</v>
      </c>
      <c r="AK391" s="71">
        <f t="shared" si="145"/>
        <v>0</v>
      </c>
      <c r="AM391" s="71">
        <f t="shared" si="146"/>
        <v>0</v>
      </c>
      <c r="AO391" s="71">
        <f t="shared" si="147"/>
        <v>0</v>
      </c>
      <c r="AQ391" s="71">
        <f t="shared" si="148"/>
        <v>0</v>
      </c>
      <c r="AT391" s="71">
        <f t="shared" si="149"/>
        <v>0</v>
      </c>
      <c r="AV391" s="71">
        <f t="shared" si="150"/>
        <v>0</v>
      </c>
      <c r="AX391" s="71">
        <f t="shared" si="151"/>
        <v>0</v>
      </c>
      <c r="AZ391" s="71">
        <f t="shared" si="152"/>
        <v>0</v>
      </c>
      <c r="BE391" s="81">
        <f t="shared" si="153"/>
        <v>0</v>
      </c>
      <c r="BF391" s="81" t="str">
        <f t="shared" si="154"/>
        <v>BASSO</v>
      </c>
    </row>
    <row r="392" spans="7:58" x14ac:dyDescent="0.15">
      <c r="G392" s="64">
        <f t="shared" si="133"/>
        <v>0</v>
      </c>
      <c r="I392" s="64">
        <f t="shared" si="134"/>
        <v>0</v>
      </c>
      <c r="K392" s="64">
        <f t="shared" si="135"/>
        <v>0</v>
      </c>
      <c r="M392" s="64">
        <f t="shared" si="136"/>
        <v>0</v>
      </c>
      <c r="O392" s="64">
        <f t="shared" si="137"/>
        <v>0</v>
      </c>
      <c r="Q392" s="64">
        <f t="shared" si="138"/>
        <v>0</v>
      </c>
      <c r="S392" s="71">
        <f t="shared" si="139"/>
        <v>0</v>
      </c>
      <c r="U392" s="64">
        <f t="shared" si="140"/>
        <v>0</v>
      </c>
      <c r="W392" s="71">
        <f t="shared" si="141"/>
        <v>0</v>
      </c>
      <c r="Y392" s="71">
        <f t="shared" si="142"/>
        <v>0</v>
      </c>
      <c r="AA392" s="71">
        <f t="shared" si="143"/>
        <v>0</v>
      </c>
      <c r="AC392" s="71">
        <f t="shared" si="144"/>
        <v>0</v>
      </c>
      <c r="AK392" s="71">
        <f t="shared" si="145"/>
        <v>0</v>
      </c>
      <c r="AM392" s="71">
        <f t="shared" si="146"/>
        <v>0</v>
      </c>
      <c r="AO392" s="71">
        <f t="shared" si="147"/>
        <v>0</v>
      </c>
      <c r="AQ392" s="71">
        <f t="shared" si="148"/>
        <v>0</v>
      </c>
      <c r="AT392" s="71">
        <f t="shared" si="149"/>
        <v>0</v>
      </c>
      <c r="AV392" s="71">
        <f t="shared" si="150"/>
        <v>0</v>
      </c>
      <c r="AX392" s="71">
        <f t="shared" si="151"/>
        <v>0</v>
      </c>
      <c r="AZ392" s="71">
        <f t="shared" si="152"/>
        <v>0</v>
      </c>
      <c r="BE392" s="81">
        <f t="shared" si="153"/>
        <v>0</v>
      </c>
      <c r="BF392" s="81" t="str">
        <f t="shared" si="154"/>
        <v>BASSO</v>
      </c>
    </row>
    <row r="393" spans="7:58" x14ac:dyDescent="0.15">
      <c r="G393" s="64">
        <f t="shared" si="133"/>
        <v>0</v>
      </c>
      <c r="I393" s="64">
        <f t="shared" si="134"/>
        <v>0</v>
      </c>
      <c r="K393" s="64">
        <f t="shared" si="135"/>
        <v>0</v>
      </c>
      <c r="M393" s="64">
        <f t="shared" si="136"/>
        <v>0</v>
      </c>
      <c r="O393" s="64">
        <f t="shared" si="137"/>
        <v>0</v>
      </c>
      <c r="Q393" s="64">
        <f t="shared" si="138"/>
        <v>0</v>
      </c>
      <c r="S393" s="71">
        <f t="shared" si="139"/>
        <v>0</v>
      </c>
      <c r="U393" s="64">
        <f t="shared" si="140"/>
        <v>0</v>
      </c>
      <c r="W393" s="71">
        <f t="shared" si="141"/>
        <v>0</v>
      </c>
      <c r="Y393" s="71">
        <f t="shared" si="142"/>
        <v>0</v>
      </c>
      <c r="AA393" s="71">
        <f t="shared" si="143"/>
        <v>0</v>
      </c>
      <c r="AC393" s="71">
        <f t="shared" si="144"/>
        <v>0</v>
      </c>
      <c r="AK393" s="71">
        <f t="shared" si="145"/>
        <v>0</v>
      </c>
      <c r="AM393" s="71">
        <f t="shared" si="146"/>
        <v>0</v>
      </c>
      <c r="AO393" s="71">
        <f t="shared" si="147"/>
        <v>0</v>
      </c>
      <c r="AQ393" s="71">
        <f t="shared" si="148"/>
        <v>0</v>
      </c>
      <c r="AT393" s="71">
        <f t="shared" si="149"/>
        <v>0</v>
      </c>
      <c r="AV393" s="71">
        <f t="shared" si="150"/>
        <v>0</v>
      </c>
      <c r="AX393" s="71">
        <f t="shared" si="151"/>
        <v>0</v>
      </c>
      <c r="AZ393" s="71">
        <f t="shared" si="152"/>
        <v>0</v>
      </c>
      <c r="BE393" s="81">
        <f t="shared" si="153"/>
        <v>0</v>
      </c>
      <c r="BF393" s="81" t="str">
        <f t="shared" si="154"/>
        <v>BASSO</v>
      </c>
    </row>
    <row r="394" spans="7:58" x14ac:dyDescent="0.15">
      <c r="G394" s="64">
        <f t="shared" si="133"/>
        <v>0</v>
      </c>
      <c r="I394" s="64">
        <f t="shared" si="134"/>
        <v>0</v>
      </c>
      <c r="K394" s="64">
        <f t="shared" si="135"/>
        <v>0</v>
      </c>
      <c r="M394" s="64">
        <f t="shared" si="136"/>
        <v>0</v>
      </c>
      <c r="O394" s="64">
        <f t="shared" si="137"/>
        <v>0</v>
      </c>
      <c r="Q394" s="64">
        <f t="shared" si="138"/>
        <v>0</v>
      </c>
      <c r="S394" s="71">
        <f t="shared" si="139"/>
        <v>0</v>
      </c>
      <c r="U394" s="64">
        <f t="shared" si="140"/>
        <v>0</v>
      </c>
      <c r="W394" s="71">
        <f t="shared" si="141"/>
        <v>0</v>
      </c>
      <c r="Y394" s="71">
        <f t="shared" si="142"/>
        <v>0</v>
      </c>
      <c r="AA394" s="71">
        <f t="shared" si="143"/>
        <v>0</v>
      </c>
      <c r="AC394" s="71">
        <f t="shared" si="144"/>
        <v>0</v>
      </c>
      <c r="AK394" s="71">
        <f t="shared" si="145"/>
        <v>0</v>
      </c>
      <c r="AM394" s="71">
        <f t="shared" si="146"/>
        <v>0</v>
      </c>
      <c r="AO394" s="71">
        <f t="shared" si="147"/>
        <v>0</v>
      </c>
      <c r="AQ394" s="71">
        <f t="shared" si="148"/>
        <v>0</v>
      </c>
      <c r="AT394" s="71">
        <f t="shared" si="149"/>
        <v>0</v>
      </c>
      <c r="AV394" s="71">
        <f t="shared" si="150"/>
        <v>0</v>
      </c>
      <c r="AX394" s="71">
        <f t="shared" si="151"/>
        <v>0</v>
      </c>
      <c r="AZ394" s="71">
        <f t="shared" si="152"/>
        <v>0</v>
      </c>
      <c r="BE394" s="81">
        <f t="shared" si="153"/>
        <v>0</v>
      </c>
      <c r="BF394" s="81" t="str">
        <f t="shared" si="154"/>
        <v>BASSO</v>
      </c>
    </row>
    <row r="395" spans="7:58" x14ac:dyDescent="0.15">
      <c r="G395" s="64">
        <f t="shared" si="133"/>
        <v>0</v>
      </c>
      <c r="I395" s="64">
        <f t="shared" si="134"/>
        <v>0</v>
      </c>
      <c r="K395" s="64">
        <f t="shared" si="135"/>
        <v>0</v>
      </c>
      <c r="M395" s="64">
        <f t="shared" si="136"/>
        <v>0</v>
      </c>
      <c r="O395" s="64">
        <f t="shared" si="137"/>
        <v>0</v>
      </c>
      <c r="Q395" s="64">
        <f t="shared" si="138"/>
        <v>0</v>
      </c>
      <c r="S395" s="71">
        <f t="shared" si="139"/>
        <v>0</v>
      </c>
      <c r="U395" s="64">
        <f t="shared" si="140"/>
        <v>0</v>
      </c>
      <c r="W395" s="71">
        <f t="shared" si="141"/>
        <v>0</v>
      </c>
      <c r="Y395" s="71">
        <f t="shared" si="142"/>
        <v>0</v>
      </c>
      <c r="AA395" s="71">
        <f t="shared" si="143"/>
        <v>0</v>
      </c>
      <c r="AC395" s="71">
        <f t="shared" si="144"/>
        <v>0</v>
      </c>
      <c r="AK395" s="71">
        <f t="shared" si="145"/>
        <v>0</v>
      </c>
      <c r="AM395" s="71">
        <f t="shared" si="146"/>
        <v>0</v>
      </c>
      <c r="AO395" s="71">
        <f t="shared" si="147"/>
        <v>0</v>
      </c>
      <c r="AQ395" s="71">
        <f t="shared" si="148"/>
        <v>0</v>
      </c>
      <c r="AT395" s="71">
        <f t="shared" si="149"/>
        <v>0</v>
      </c>
      <c r="AV395" s="71">
        <f t="shared" si="150"/>
        <v>0</v>
      </c>
      <c r="AX395" s="71">
        <f t="shared" si="151"/>
        <v>0</v>
      </c>
      <c r="AZ395" s="71">
        <f t="shared" si="152"/>
        <v>0</v>
      </c>
      <c r="BE395" s="81">
        <f t="shared" si="153"/>
        <v>0</v>
      </c>
      <c r="BF395" s="81" t="str">
        <f t="shared" si="154"/>
        <v>BASSO</v>
      </c>
    </row>
    <row r="396" spans="7:58" x14ac:dyDescent="0.15">
      <c r="G396" s="64">
        <f t="shared" si="133"/>
        <v>0</v>
      </c>
      <c r="I396" s="64">
        <f t="shared" si="134"/>
        <v>0</v>
      </c>
      <c r="K396" s="64">
        <f t="shared" si="135"/>
        <v>0</v>
      </c>
      <c r="M396" s="64">
        <f t="shared" si="136"/>
        <v>0</v>
      </c>
      <c r="O396" s="64">
        <f t="shared" si="137"/>
        <v>0</v>
      </c>
      <c r="Q396" s="64">
        <f t="shared" si="138"/>
        <v>0</v>
      </c>
      <c r="S396" s="71">
        <f t="shared" si="139"/>
        <v>0</v>
      </c>
      <c r="U396" s="64">
        <f t="shared" si="140"/>
        <v>0</v>
      </c>
      <c r="W396" s="71">
        <f t="shared" si="141"/>
        <v>0</v>
      </c>
      <c r="Y396" s="71">
        <f t="shared" si="142"/>
        <v>0</v>
      </c>
      <c r="AA396" s="71">
        <f t="shared" si="143"/>
        <v>0</v>
      </c>
      <c r="AC396" s="71">
        <f t="shared" si="144"/>
        <v>0</v>
      </c>
      <c r="AK396" s="71">
        <f t="shared" si="145"/>
        <v>0</v>
      </c>
      <c r="AM396" s="71">
        <f t="shared" si="146"/>
        <v>0</v>
      </c>
      <c r="AO396" s="71">
        <f t="shared" si="147"/>
        <v>0</v>
      </c>
      <c r="AQ396" s="71">
        <f t="shared" si="148"/>
        <v>0</v>
      </c>
      <c r="AT396" s="71">
        <f t="shared" si="149"/>
        <v>0</v>
      </c>
      <c r="AV396" s="71">
        <f t="shared" si="150"/>
        <v>0</v>
      </c>
      <c r="AX396" s="71">
        <f t="shared" si="151"/>
        <v>0</v>
      </c>
      <c r="AZ396" s="71">
        <f t="shared" si="152"/>
        <v>0</v>
      </c>
      <c r="BE396" s="81">
        <f t="shared" si="153"/>
        <v>0</v>
      </c>
      <c r="BF396" s="81" t="str">
        <f t="shared" si="154"/>
        <v>BASSO</v>
      </c>
    </row>
    <row r="397" spans="7:58" x14ac:dyDescent="0.15">
      <c r="G397" s="64">
        <f t="shared" si="133"/>
        <v>0</v>
      </c>
      <c r="I397" s="64">
        <f t="shared" si="134"/>
        <v>0</v>
      </c>
      <c r="K397" s="64">
        <f t="shared" si="135"/>
        <v>0</v>
      </c>
      <c r="M397" s="64">
        <f t="shared" si="136"/>
        <v>0</v>
      </c>
      <c r="O397" s="64">
        <f t="shared" si="137"/>
        <v>0</v>
      </c>
      <c r="Q397" s="64">
        <f t="shared" si="138"/>
        <v>0</v>
      </c>
      <c r="S397" s="71">
        <f t="shared" si="139"/>
        <v>0</v>
      </c>
      <c r="U397" s="64">
        <f t="shared" si="140"/>
        <v>0</v>
      </c>
      <c r="W397" s="71">
        <f t="shared" si="141"/>
        <v>0</v>
      </c>
      <c r="Y397" s="71">
        <f t="shared" si="142"/>
        <v>0</v>
      </c>
      <c r="AA397" s="71">
        <f t="shared" si="143"/>
        <v>0</v>
      </c>
      <c r="AC397" s="71">
        <f t="shared" si="144"/>
        <v>0</v>
      </c>
      <c r="AK397" s="71">
        <f t="shared" si="145"/>
        <v>0</v>
      </c>
      <c r="AM397" s="71">
        <f t="shared" si="146"/>
        <v>0</v>
      </c>
      <c r="AO397" s="71">
        <f t="shared" si="147"/>
        <v>0</v>
      </c>
      <c r="AQ397" s="71">
        <f t="shared" si="148"/>
        <v>0</v>
      </c>
      <c r="AT397" s="71">
        <f t="shared" si="149"/>
        <v>0</v>
      </c>
      <c r="AV397" s="71">
        <f t="shared" si="150"/>
        <v>0</v>
      </c>
      <c r="AX397" s="71">
        <f t="shared" si="151"/>
        <v>0</v>
      </c>
      <c r="AZ397" s="71">
        <f t="shared" si="152"/>
        <v>0</v>
      </c>
      <c r="BE397" s="81">
        <f t="shared" si="153"/>
        <v>0</v>
      </c>
      <c r="BF397" s="81" t="str">
        <f t="shared" si="154"/>
        <v>BASSO</v>
      </c>
    </row>
    <row r="398" spans="7:58" x14ac:dyDescent="0.15">
      <c r="G398" s="64">
        <f t="shared" si="133"/>
        <v>0</v>
      </c>
      <c r="I398" s="64">
        <f t="shared" si="134"/>
        <v>0</v>
      </c>
      <c r="K398" s="64">
        <f t="shared" si="135"/>
        <v>0</v>
      </c>
      <c r="M398" s="64">
        <f t="shared" si="136"/>
        <v>0</v>
      </c>
      <c r="O398" s="64">
        <f t="shared" si="137"/>
        <v>0</v>
      </c>
      <c r="Q398" s="64">
        <f t="shared" si="138"/>
        <v>0</v>
      </c>
      <c r="S398" s="71">
        <f t="shared" si="139"/>
        <v>0</v>
      </c>
      <c r="U398" s="64">
        <f t="shared" si="140"/>
        <v>0</v>
      </c>
      <c r="W398" s="71">
        <f t="shared" si="141"/>
        <v>0</v>
      </c>
      <c r="Y398" s="71">
        <f t="shared" si="142"/>
        <v>0</v>
      </c>
      <c r="AA398" s="71">
        <f t="shared" si="143"/>
        <v>0</v>
      </c>
      <c r="AC398" s="71">
        <f t="shared" si="144"/>
        <v>0</v>
      </c>
      <c r="AK398" s="71">
        <f t="shared" si="145"/>
        <v>0</v>
      </c>
      <c r="AM398" s="71">
        <f t="shared" si="146"/>
        <v>0</v>
      </c>
      <c r="AO398" s="71">
        <f t="shared" si="147"/>
        <v>0</v>
      </c>
      <c r="AQ398" s="71">
        <f t="shared" si="148"/>
        <v>0</v>
      </c>
      <c r="AT398" s="71">
        <f t="shared" si="149"/>
        <v>0</v>
      </c>
      <c r="AV398" s="71">
        <f t="shared" si="150"/>
        <v>0</v>
      </c>
      <c r="AX398" s="71">
        <f t="shared" si="151"/>
        <v>0</v>
      </c>
      <c r="AZ398" s="71">
        <f t="shared" si="152"/>
        <v>0</v>
      </c>
      <c r="BE398" s="81">
        <f t="shared" si="153"/>
        <v>0</v>
      </c>
      <c r="BF398" s="81" t="str">
        <f t="shared" si="154"/>
        <v>BASSO</v>
      </c>
    </row>
    <row r="399" spans="7:58" x14ac:dyDescent="0.15">
      <c r="G399" s="64">
        <f t="shared" si="133"/>
        <v>0</v>
      </c>
      <c r="I399" s="64">
        <f t="shared" si="134"/>
        <v>0</v>
      </c>
      <c r="K399" s="64">
        <f t="shared" si="135"/>
        <v>0</v>
      </c>
      <c r="M399" s="64">
        <f t="shared" si="136"/>
        <v>0</v>
      </c>
      <c r="O399" s="64">
        <f t="shared" si="137"/>
        <v>0</v>
      </c>
      <c r="Q399" s="64">
        <f t="shared" si="138"/>
        <v>0</v>
      </c>
      <c r="S399" s="71">
        <f t="shared" si="139"/>
        <v>0</v>
      </c>
      <c r="U399" s="64">
        <f t="shared" si="140"/>
        <v>0</v>
      </c>
      <c r="W399" s="71">
        <f t="shared" si="141"/>
        <v>0</v>
      </c>
      <c r="Y399" s="71">
        <f t="shared" si="142"/>
        <v>0</v>
      </c>
      <c r="AA399" s="71">
        <f t="shared" si="143"/>
        <v>0</v>
      </c>
      <c r="AC399" s="71">
        <f t="shared" si="144"/>
        <v>0</v>
      </c>
      <c r="AK399" s="71">
        <f t="shared" si="145"/>
        <v>0</v>
      </c>
      <c r="AM399" s="71">
        <f t="shared" si="146"/>
        <v>0</v>
      </c>
      <c r="AO399" s="71">
        <f t="shared" si="147"/>
        <v>0</v>
      </c>
      <c r="AQ399" s="71">
        <f t="shared" si="148"/>
        <v>0</v>
      </c>
      <c r="AT399" s="71">
        <f t="shared" si="149"/>
        <v>0</v>
      </c>
      <c r="AV399" s="71">
        <f t="shared" si="150"/>
        <v>0</v>
      </c>
      <c r="AX399" s="71">
        <f t="shared" si="151"/>
        <v>0</v>
      </c>
      <c r="AZ399" s="71">
        <f t="shared" si="152"/>
        <v>0</v>
      </c>
      <c r="BE399" s="81">
        <f t="shared" si="153"/>
        <v>0</v>
      </c>
      <c r="BF399" s="81" t="str">
        <f t="shared" si="154"/>
        <v>BASSO</v>
      </c>
    </row>
    <row r="400" spans="7:58" x14ac:dyDescent="0.15">
      <c r="G400" s="64">
        <f t="shared" si="133"/>
        <v>0</v>
      </c>
      <c r="I400" s="64">
        <f t="shared" si="134"/>
        <v>0</v>
      </c>
      <c r="K400" s="64">
        <f t="shared" si="135"/>
        <v>0</v>
      </c>
      <c r="M400" s="64">
        <f t="shared" si="136"/>
        <v>0</v>
      </c>
      <c r="O400" s="64">
        <f t="shared" si="137"/>
        <v>0</v>
      </c>
      <c r="Q400" s="64">
        <f t="shared" si="138"/>
        <v>0</v>
      </c>
      <c r="S400" s="71">
        <f t="shared" si="139"/>
        <v>0</v>
      </c>
      <c r="U400" s="64">
        <f t="shared" si="140"/>
        <v>0</v>
      </c>
      <c r="W400" s="71">
        <f t="shared" si="141"/>
        <v>0</v>
      </c>
      <c r="Y400" s="71">
        <f t="shared" si="142"/>
        <v>0</v>
      </c>
      <c r="AA400" s="71">
        <f t="shared" si="143"/>
        <v>0</v>
      </c>
      <c r="AC400" s="71">
        <f t="shared" si="144"/>
        <v>0</v>
      </c>
      <c r="AK400" s="71">
        <f t="shared" si="145"/>
        <v>0</v>
      </c>
      <c r="AM400" s="71">
        <f t="shared" si="146"/>
        <v>0</v>
      </c>
      <c r="AO400" s="71">
        <f t="shared" si="147"/>
        <v>0</v>
      </c>
      <c r="AQ400" s="71">
        <f t="shared" si="148"/>
        <v>0</v>
      </c>
      <c r="AT400" s="71">
        <f t="shared" si="149"/>
        <v>0</v>
      </c>
      <c r="AV400" s="71">
        <f t="shared" si="150"/>
        <v>0</v>
      </c>
      <c r="AX400" s="71">
        <f t="shared" si="151"/>
        <v>0</v>
      </c>
      <c r="AZ400" s="71">
        <f t="shared" si="152"/>
        <v>0</v>
      </c>
      <c r="BE400" s="81">
        <f t="shared" si="153"/>
        <v>0</v>
      </c>
      <c r="BF400" s="81" t="str">
        <f t="shared" si="154"/>
        <v>BASSO</v>
      </c>
    </row>
    <row r="401" spans="7:58" x14ac:dyDescent="0.15">
      <c r="G401" s="64">
        <f t="shared" si="133"/>
        <v>0</v>
      </c>
      <c r="I401" s="64">
        <f t="shared" si="134"/>
        <v>0</v>
      </c>
      <c r="K401" s="64">
        <f t="shared" si="135"/>
        <v>0</v>
      </c>
      <c r="M401" s="64">
        <f t="shared" si="136"/>
        <v>0</v>
      </c>
      <c r="O401" s="64">
        <f t="shared" si="137"/>
        <v>0</v>
      </c>
      <c r="Q401" s="64">
        <f t="shared" si="138"/>
        <v>0</v>
      </c>
      <c r="S401" s="71">
        <f t="shared" si="139"/>
        <v>0</v>
      </c>
      <c r="U401" s="64">
        <f t="shared" si="140"/>
        <v>0</v>
      </c>
      <c r="W401" s="71">
        <f t="shared" si="141"/>
        <v>0</v>
      </c>
      <c r="Y401" s="71">
        <f t="shared" si="142"/>
        <v>0</v>
      </c>
      <c r="AA401" s="71">
        <f t="shared" si="143"/>
        <v>0</v>
      </c>
      <c r="AC401" s="71">
        <f t="shared" si="144"/>
        <v>0</v>
      </c>
      <c r="AK401" s="71">
        <f t="shared" si="145"/>
        <v>0</v>
      </c>
      <c r="AM401" s="71">
        <f t="shared" si="146"/>
        <v>0</v>
      </c>
      <c r="AO401" s="71">
        <f t="shared" si="147"/>
        <v>0</v>
      </c>
      <c r="AQ401" s="71">
        <f t="shared" si="148"/>
        <v>0</v>
      </c>
      <c r="AT401" s="71">
        <f t="shared" si="149"/>
        <v>0</v>
      </c>
      <c r="AV401" s="71">
        <f t="shared" si="150"/>
        <v>0</v>
      </c>
      <c r="AX401" s="71">
        <f t="shared" si="151"/>
        <v>0</v>
      </c>
      <c r="AZ401" s="71">
        <f t="shared" si="152"/>
        <v>0</v>
      </c>
      <c r="BE401" s="81">
        <f t="shared" si="153"/>
        <v>0</v>
      </c>
      <c r="BF401" s="81" t="str">
        <f t="shared" si="154"/>
        <v>BASSO</v>
      </c>
    </row>
    <row r="402" spans="7:58" x14ac:dyDescent="0.15">
      <c r="G402" s="64">
        <f t="shared" si="133"/>
        <v>0</v>
      </c>
      <c r="I402" s="64">
        <f t="shared" si="134"/>
        <v>0</v>
      </c>
      <c r="K402" s="64">
        <f t="shared" si="135"/>
        <v>0</v>
      </c>
      <c r="M402" s="64">
        <f t="shared" si="136"/>
        <v>0</v>
      </c>
      <c r="O402" s="64">
        <f t="shared" si="137"/>
        <v>0</v>
      </c>
      <c r="Q402" s="64">
        <f t="shared" si="138"/>
        <v>0</v>
      </c>
      <c r="S402" s="71">
        <f t="shared" si="139"/>
        <v>0</v>
      </c>
      <c r="U402" s="64">
        <f t="shared" si="140"/>
        <v>0</v>
      </c>
      <c r="W402" s="71">
        <f t="shared" si="141"/>
        <v>0</v>
      </c>
      <c r="Y402" s="71">
        <f t="shared" si="142"/>
        <v>0</v>
      </c>
      <c r="AA402" s="71">
        <f t="shared" si="143"/>
        <v>0</v>
      </c>
      <c r="AC402" s="71">
        <f t="shared" si="144"/>
        <v>0</v>
      </c>
      <c r="AK402" s="71">
        <f t="shared" si="145"/>
        <v>0</v>
      </c>
      <c r="AM402" s="71">
        <f t="shared" si="146"/>
        <v>0</v>
      </c>
      <c r="AO402" s="71">
        <f t="shared" si="147"/>
        <v>0</v>
      </c>
      <c r="AQ402" s="71">
        <f t="shared" si="148"/>
        <v>0</v>
      </c>
      <c r="AT402" s="71">
        <f t="shared" si="149"/>
        <v>0</v>
      </c>
      <c r="AV402" s="71">
        <f t="shared" si="150"/>
        <v>0</v>
      </c>
      <c r="AX402" s="71">
        <f t="shared" si="151"/>
        <v>0</v>
      </c>
      <c r="AZ402" s="71">
        <f t="shared" si="152"/>
        <v>0</v>
      </c>
      <c r="BE402" s="81">
        <f t="shared" si="153"/>
        <v>0</v>
      </c>
      <c r="BF402" s="81" t="str">
        <f t="shared" si="154"/>
        <v>BASSO</v>
      </c>
    </row>
    <row r="403" spans="7:58" x14ac:dyDescent="0.15">
      <c r="G403" s="64">
        <f t="shared" si="133"/>
        <v>0</v>
      </c>
      <c r="I403" s="64">
        <f t="shared" si="134"/>
        <v>0</v>
      </c>
      <c r="K403" s="64">
        <f t="shared" si="135"/>
        <v>0</v>
      </c>
      <c r="M403" s="64">
        <f t="shared" si="136"/>
        <v>0</v>
      </c>
      <c r="O403" s="64">
        <f t="shared" si="137"/>
        <v>0</v>
      </c>
      <c r="Q403" s="64">
        <f t="shared" si="138"/>
        <v>0</v>
      </c>
      <c r="S403" s="71">
        <f t="shared" si="139"/>
        <v>0</v>
      </c>
      <c r="U403" s="64">
        <f t="shared" si="140"/>
        <v>0</v>
      </c>
      <c r="W403" s="71">
        <f t="shared" si="141"/>
        <v>0</v>
      </c>
      <c r="Y403" s="71">
        <f t="shared" si="142"/>
        <v>0</v>
      </c>
      <c r="AA403" s="71">
        <f t="shared" si="143"/>
        <v>0</v>
      </c>
      <c r="AC403" s="71">
        <f t="shared" si="144"/>
        <v>0</v>
      </c>
      <c r="AK403" s="71">
        <f t="shared" si="145"/>
        <v>0</v>
      </c>
      <c r="AM403" s="71">
        <f t="shared" si="146"/>
        <v>0</v>
      </c>
      <c r="AO403" s="71">
        <f t="shared" si="147"/>
        <v>0</v>
      </c>
      <c r="AQ403" s="71">
        <f t="shared" si="148"/>
        <v>0</v>
      </c>
      <c r="AT403" s="71">
        <f t="shared" si="149"/>
        <v>0</v>
      </c>
      <c r="AV403" s="71">
        <f t="shared" si="150"/>
        <v>0</v>
      </c>
      <c r="AX403" s="71">
        <f t="shared" si="151"/>
        <v>0</v>
      </c>
      <c r="AZ403" s="71">
        <f t="shared" si="152"/>
        <v>0</v>
      </c>
      <c r="BE403" s="81">
        <f t="shared" si="153"/>
        <v>0</v>
      </c>
      <c r="BF403" s="81" t="str">
        <f t="shared" si="154"/>
        <v>BASSO</v>
      </c>
    </row>
    <row r="404" spans="7:58" x14ac:dyDescent="0.15">
      <c r="G404" s="64">
        <f t="shared" si="133"/>
        <v>0</v>
      </c>
      <c r="I404" s="64">
        <f t="shared" si="134"/>
        <v>0</v>
      </c>
      <c r="K404" s="64">
        <f t="shared" si="135"/>
        <v>0</v>
      </c>
      <c r="M404" s="64">
        <f t="shared" si="136"/>
        <v>0</v>
      </c>
      <c r="O404" s="64">
        <f t="shared" si="137"/>
        <v>0</v>
      </c>
      <c r="Q404" s="64">
        <f t="shared" si="138"/>
        <v>0</v>
      </c>
      <c r="S404" s="71">
        <f t="shared" si="139"/>
        <v>0</v>
      </c>
      <c r="U404" s="64">
        <f t="shared" si="140"/>
        <v>0</v>
      </c>
      <c r="W404" s="71">
        <f t="shared" si="141"/>
        <v>0</v>
      </c>
      <c r="Y404" s="71">
        <f t="shared" si="142"/>
        <v>0</v>
      </c>
      <c r="AA404" s="71">
        <f t="shared" si="143"/>
        <v>0</v>
      </c>
      <c r="AC404" s="71">
        <f t="shared" si="144"/>
        <v>0</v>
      </c>
      <c r="AK404" s="71">
        <f t="shared" si="145"/>
        <v>0</v>
      </c>
      <c r="AM404" s="71">
        <f t="shared" si="146"/>
        <v>0</v>
      </c>
      <c r="AO404" s="71">
        <f t="shared" si="147"/>
        <v>0</v>
      </c>
      <c r="AQ404" s="71">
        <f t="shared" si="148"/>
        <v>0</v>
      </c>
      <c r="AT404" s="71">
        <f t="shared" si="149"/>
        <v>0</v>
      </c>
      <c r="AV404" s="71">
        <f t="shared" si="150"/>
        <v>0</v>
      </c>
      <c r="AX404" s="71">
        <f t="shared" si="151"/>
        <v>0</v>
      </c>
      <c r="AZ404" s="71">
        <f t="shared" si="152"/>
        <v>0</v>
      </c>
      <c r="BE404" s="81">
        <f t="shared" si="153"/>
        <v>0</v>
      </c>
      <c r="BF404" s="81" t="str">
        <f t="shared" si="154"/>
        <v>BASSO</v>
      </c>
    </row>
    <row r="405" spans="7:58" x14ac:dyDescent="0.15">
      <c r="G405" s="64">
        <f t="shared" si="133"/>
        <v>0</v>
      </c>
      <c r="I405" s="64">
        <f t="shared" si="134"/>
        <v>0</v>
      </c>
      <c r="K405" s="64">
        <f t="shared" si="135"/>
        <v>0</v>
      </c>
      <c r="M405" s="64">
        <f t="shared" si="136"/>
        <v>0</v>
      </c>
      <c r="O405" s="64">
        <f t="shared" si="137"/>
        <v>0</v>
      </c>
      <c r="Q405" s="64">
        <f t="shared" si="138"/>
        <v>0</v>
      </c>
      <c r="S405" s="71">
        <f t="shared" si="139"/>
        <v>0</v>
      </c>
      <c r="U405" s="64">
        <f t="shared" si="140"/>
        <v>0</v>
      </c>
      <c r="W405" s="71">
        <f t="shared" si="141"/>
        <v>0</v>
      </c>
      <c r="Y405" s="71">
        <f t="shared" si="142"/>
        <v>0</v>
      </c>
      <c r="AA405" s="71">
        <f t="shared" si="143"/>
        <v>0</v>
      </c>
      <c r="AC405" s="71">
        <f t="shared" si="144"/>
        <v>0</v>
      </c>
      <c r="AK405" s="71">
        <f t="shared" si="145"/>
        <v>0</v>
      </c>
      <c r="AM405" s="71">
        <f t="shared" si="146"/>
        <v>0</v>
      </c>
      <c r="AO405" s="71">
        <f t="shared" si="147"/>
        <v>0</v>
      </c>
      <c r="AQ405" s="71">
        <f t="shared" si="148"/>
        <v>0</v>
      </c>
      <c r="AT405" s="71">
        <f t="shared" si="149"/>
        <v>0</v>
      </c>
      <c r="AV405" s="71">
        <f t="shared" si="150"/>
        <v>0</v>
      </c>
      <c r="AX405" s="71">
        <f t="shared" si="151"/>
        <v>0</v>
      </c>
      <c r="AZ405" s="71">
        <f t="shared" si="152"/>
        <v>0</v>
      </c>
      <c r="BE405" s="81">
        <f t="shared" si="153"/>
        <v>0</v>
      </c>
      <c r="BF405" s="81" t="str">
        <f t="shared" si="154"/>
        <v>BASSO</v>
      </c>
    </row>
    <row r="406" spans="7:58" x14ac:dyDescent="0.15">
      <c r="G406" s="64">
        <f t="shared" si="133"/>
        <v>0</v>
      </c>
      <c r="I406" s="64">
        <f t="shared" si="134"/>
        <v>0</v>
      </c>
      <c r="K406" s="64">
        <f t="shared" si="135"/>
        <v>0</v>
      </c>
      <c r="M406" s="64">
        <f t="shared" si="136"/>
        <v>0</v>
      </c>
      <c r="O406" s="64">
        <f t="shared" si="137"/>
        <v>0</v>
      </c>
      <c r="Q406" s="64">
        <f t="shared" si="138"/>
        <v>0</v>
      </c>
      <c r="S406" s="71">
        <f t="shared" si="139"/>
        <v>0</v>
      </c>
      <c r="U406" s="64">
        <f t="shared" si="140"/>
        <v>0</v>
      </c>
      <c r="W406" s="71">
        <f t="shared" si="141"/>
        <v>0</v>
      </c>
      <c r="Y406" s="71">
        <f t="shared" si="142"/>
        <v>0</v>
      </c>
      <c r="AA406" s="71">
        <f t="shared" si="143"/>
        <v>0</v>
      </c>
      <c r="AC406" s="71">
        <f t="shared" si="144"/>
        <v>0</v>
      </c>
      <c r="AK406" s="71">
        <f t="shared" si="145"/>
        <v>0</v>
      </c>
      <c r="AM406" s="71">
        <f t="shared" si="146"/>
        <v>0</v>
      </c>
      <c r="AO406" s="71">
        <f t="shared" si="147"/>
        <v>0</v>
      </c>
      <c r="AQ406" s="71">
        <f t="shared" si="148"/>
        <v>0</v>
      </c>
      <c r="AT406" s="71">
        <f t="shared" si="149"/>
        <v>0</v>
      </c>
      <c r="AV406" s="71">
        <f t="shared" si="150"/>
        <v>0</v>
      </c>
      <c r="AX406" s="71">
        <f t="shared" si="151"/>
        <v>0</v>
      </c>
      <c r="AZ406" s="71">
        <f t="shared" si="152"/>
        <v>0</v>
      </c>
      <c r="BE406" s="81">
        <f t="shared" si="153"/>
        <v>0</v>
      </c>
      <c r="BF406" s="81" t="str">
        <f t="shared" si="154"/>
        <v>BASSO</v>
      </c>
    </row>
    <row r="407" spans="7:58" x14ac:dyDescent="0.15">
      <c r="G407" s="64">
        <f t="shared" si="133"/>
        <v>0</v>
      </c>
      <c r="I407" s="64">
        <f t="shared" si="134"/>
        <v>0</v>
      </c>
      <c r="K407" s="64">
        <f t="shared" si="135"/>
        <v>0</v>
      </c>
      <c r="M407" s="64">
        <f t="shared" si="136"/>
        <v>0</v>
      </c>
      <c r="O407" s="64">
        <f t="shared" si="137"/>
        <v>0</v>
      </c>
      <c r="Q407" s="64">
        <f t="shared" si="138"/>
        <v>0</v>
      </c>
      <c r="S407" s="71">
        <f t="shared" si="139"/>
        <v>0</v>
      </c>
      <c r="U407" s="64">
        <f t="shared" si="140"/>
        <v>0</v>
      </c>
      <c r="W407" s="71">
        <f t="shared" si="141"/>
        <v>0</v>
      </c>
      <c r="Y407" s="71">
        <f t="shared" si="142"/>
        <v>0</v>
      </c>
      <c r="AA407" s="71">
        <f t="shared" si="143"/>
        <v>0</v>
      </c>
      <c r="AC407" s="71">
        <f t="shared" si="144"/>
        <v>0</v>
      </c>
      <c r="AK407" s="71">
        <f t="shared" si="145"/>
        <v>0</v>
      </c>
      <c r="AM407" s="71">
        <f t="shared" si="146"/>
        <v>0</v>
      </c>
      <c r="AO407" s="71">
        <f t="shared" si="147"/>
        <v>0</v>
      </c>
      <c r="AQ407" s="71">
        <f t="shared" si="148"/>
        <v>0</v>
      </c>
      <c r="AT407" s="71">
        <f t="shared" si="149"/>
        <v>0</v>
      </c>
      <c r="AV407" s="71">
        <f t="shared" si="150"/>
        <v>0</v>
      </c>
      <c r="AX407" s="71">
        <f t="shared" si="151"/>
        <v>0</v>
      </c>
      <c r="AZ407" s="71">
        <f t="shared" si="152"/>
        <v>0</v>
      </c>
      <c r="BE407" s="81">
        <f t="shared" si="153"/>
        <v>0</v>
      </c>
      <c r="BF407" s="81" t="str">
        <f t="shared" si="154"/>
        <v>BASSO</v>
      </c>
    </row>
    <row r="408" spans="7:58" x14ac:dyDescent="0.15">
      <c r="G408" s="64">
        <f t="shared" si="133"/>
        <v>0</v>
      </c>
      <c r="I408" s="64">
        <f t="shared" si="134"/>
        <v>0</v>
      </c>
      <c r="K408" s="64">
        <f t="shared" si="135"/>
        <v>0</v>
      </c>
      <c r="M408" s="64">
        <f t="shared" si="136"/>
        <v>0</v>
      </c>
      <c r="O408" s="64">
        <f t="shared" si="137"/>
        <v>0</v>
      </c>
      <c r="Q408" s="64">
        <f t="shared" si="138"/>
        <v>0</v>
      </c>
      <c r="S408" s="71">
        <f t="shared" si="139"/>
        <v>0</v>
      </c>
      <c r="U408" s="64">
        <f t="shared" si="140"/>
        <v>0</v>
      </c>
      <c r="W408" s="71">
        <f t="shared" si="141"/>
        <v>0</v>
      </c>
      <c r="Y408" s="71">
        <f t="shared" si="142"/>
        <v>0</v>
      </c>
      <c r="AA408" s="71">
        <f t="shared" si="143"/>
        <v>0</v>
      </c>
      <c r="AC408" s="71">
        <f t="shared" si="144"/>
        <v>0</v>
      </c>
      <c r="AK408" s="71">
        <f t="shared" si="145"/>
        <v>0</v>
      </c>
      <c r="AM408" s="71">
        <f t="shared" si="146"/>
        <v>0</v>
      </c>
      <c r="AO408" s="71">
        <f t="shared" si="147"/>
        <v>0</v>
      </c>
      <c r="AQ408" s="71">
        <f t="shared" si="148"/>
        <v>0</v>
      </c>
      <c r="AT408" s="71">
        <f t="shared" si="149"/>
        <v>0</v>
      </c>
      <c r="AV408" s="71">
        <f t="shared" si="150"/>
        <v>0</v>
      </c>
      <c r="AX408" s="71">
        <f t="shared" si="151"/>
        <v>0</v>
      </c>
      <c r="AZ408" s="71">
        <f t="shared" si="152"/>
        <v>0</v>
      </c>
      <c r="BE408" s="81">
        <f t="shared" si="153"/>
        <v>0</v>
      </c>
      <c r="BF408" s="81" t="str">
        <f t="shared" si="154"/>
        <v>BASSO</v>
      </c>
    </row>
    <row r="409" spans="7:58" x14ac:dyDescent="0.15">
      <c r="G409" s="64">
        <f t="shared" si="133"/>
        <v>0</v>
      </c>
      <c r="I409" s="64">
        <f t="shared" si="134"/>
        <v>0</v>
      </c>
      <c r="K409" s="64">
        <f t="shared" si="135"/>
        <v>0</v>
      </c>
      <c r="M409" s="64">
        <f t="shared" si="136"/>
        <v>0</v>
      </c>
      <c r="O409" s="64">
        <f t="shared" si="137"/>
        <v>0</v>
      </c>
      <c r="Q409" s="64">
        <f t="shared" si="138"/>
        <v>0</v>
      </c>
      <c r="S409" s="71">
        <f t="shared" si="139"/>
        <v>0</v>
      </c>
      <c r="U409" s="64">
        <f t="shared" si="140"/>
        <v>0</v>
      </c>
      <c r="W409" s="71">
        <f t="shared" si="141"/>
        <v>0</v>
      </c>
      <c r="Y409" s="71">
        <f t="shared" si="142"/>
        <v>0</v>
      </c>
      <c r="AA409" s="71">
        <f t="shared" si="143"/>
        <v>0</v>
      </c>
      <c r="AC409" s="71">
        <f t="shared" si="144"/>
        <v>0</v>
      </c>
      <c r="AK409" s="71">
        <f t="shared" si="145"/>
        <v>0</v>
      </c>
      <c r="AM409" s="71">
        <f t="shared" si="146"/>
        <v>0</v>
      </c>
      <c r="AO409" s="71">
        <f t="shared" si="147"/>
        <v>0</v>
      </c>
      <c r="AQ409" s="71">
        <f t="shared" si="148"/>
        <v>0</v>
      </c>
      <c r="AT409" s="71">
        <f t="shared" si="149"/>
        <v>0</v>
      </c>
      <c r="AV409" s="71">
        <f t="shared" si="150"/>
        <v>0</v>
      </c>
      <c r="AX409" s="71">
        <f t="shared" si="151"/>
        <v>0</v>
      </c>
      <c r="AZ409" s="71">
        <f t="shared" si="152"/>
        <v>0</v>
      </c>
      <c r="BE409" s="81">
        <f t="shared" si="153"/>
        <v>0</v>
      </c>
      <c r="BF409" s="81" t="str">
        <f t="shared" si="154"/>
        <v>BASSO</v>
      </c>
    </row>
    <row r="410" spans="7:58" x14ac:dyDescent="0.15">
      <c r="G410" s="64">
        <f t="shared" si="133"/>
        <v>0</v>
      </c>
      <c r="I410" s="64">
        <f t="shared" si="134"/>
        <v>0</v>
      </c>
      <c r="K410" s="64">
        <f t="shared" si="135"/>
        <v>0</v>
      </c>
      <c r="M410" s="64">
        <f t="shared" si="136"/>
        <v>0</v>
      </c>
      <c r="O410" s="64">
        <f t="shared" si="137"/>
        <v>0</v>
      </c>
      <c r="Q410" s="64">
        <f t="shared" si="138"/>
        <v>0</v>
      </c>
      <c r="S410" s="71">
        <f t="shared" si="139"/>
        <v>0</v>
      </c>
      <c r="U410" s="64">
        <f t="shared" si="140"/>
        <v>0</v>
      </c>
      <c r="W410" s="71">
        <f t="shared" si="141"/>
        <v>0</v>
      </c>
      <c r="Y410" s="71">
        <f t="shared" si="142"/>
        <v>0</v>
      </c>
      <c r="AA410" s="71">
        <f t="shared" si="143"/>
        <v>0</v>
      </c>
      <c r="AC410" s="71">
        <f t="shared" si="144"/>
        <v>0</v>
      </c>
      <c r="AK410" s="71">
        <f t="shared" si="145"/>
        <v>0</v>
      </c>
      <c r="AM410" s="71">
        <f t="shared" si="146"/>
        <v>0</v>
      </c>
      <c r="AO410" s="71">
        <f t="shared" si="147"/>
        <v>0</v>
      </c>
      <c r="AQ410" s="71">
        <f t="shared" si="148"/>
        <v>0</v>
      </c>
      <c r="AT410" s="71">
        <f t="shared" si="149"/>
        <v>0</v>
      </c>
      <c r="AV410" s="71">
        <f t="shared" si="150"/>
        <v>0</v>
      </c>
      <c r="AX410" s="71">
        <f t="shared" si="151"/>
        <v>0</v>
      </c>
      <c r="AZ410" s="71">
        <f t="shared" si="152"/>
        <v>0</v>
      </c>
      <c r="BE410" s="81">
        <f t="shared" si="153"/>
        <v>0</v>
      </c>
      <c r="BF410" s="81" t="str">
        <f t="shared" si="154"/>
        <v>BASSO</v>
      </c>
    </row>
    <row r="411" spans="7:58" x14ac:dyDescent="0.15">
      <c r="G411" s="64">
        <f t="shared" si="133"/>
        <v>0</v>
      </c>
      <c r="I411" s="64">
        <f t="shared" si="134"/>
        <v>0</v>
      </c>
      <c r="K411" s="64">
        <f t="shared" si="135"/>
        <v>0</v>
      </c>
      <c r="M411" s="64">
        <f t="shared" si="136"/>
        <v>0</v>
      </c>
      <c r="O411" s="64">
        <f t="shared" si="137"/>
        <v>0</v>
      </c>
      <c r="Q411" s="64">
        <f t="shared" si="138"/>
        <v>0</v>
      </c>
      <c r="S411" s="71">
        <f t="shared" si="139"/>
        <v>0</v>
      </c>
      <c r="U411" s="64">
        <f t="shared" si="140"/>
        <v>0</v>
      </c>
      <c r="W411" s="71">
        <f t="shared" si="141"/>
        <v>0</v>
      </c>
      <c r="Y411" s="71">
        <f t="shared" si="142"/>
        <v>0</v>
      </c>
      <c r="AA411" s="71">
        <f t="shared" si="143"/>
        <v>0</v>
      </c>
      <c r="AC411" s="71">
        <f t="shared" si="144"/>
        <v>0</v>
      </c>
      <c r="AK411" s="71">
        <f t="shared" si="145"/>
        <v>0</v>
      </c>
      <c r="AM411" s="71">
        <f t="shared" si="146"/>
        <v>0</v>
      </c>
      <c r="AO411" s="71">
        <f t="shared" si="147"/>
        <v>0</v>
      </c>
      <c r="AQ411" s="71">
        <f t="shared" si="148"/>
        <v>0</v>
      </c>
      <c r="AT411" s="71">
        <f t="shared" si="149"/>
        <v>0</v>
      </c>
      <c r="AV411" s="71">
        <f t="shared" si="150"/>
        <v>0</v>
      </c>
      <c r="AX411" s="71">
        <f t="shared" si="151"/>
        <v>0</v>
      </c>
      <c r="AZ411" s="71">
        <f t="shared" si="152"/>
        <v>0</v>
      </c>
      <c r="BE411" s="81">
        <f t="shared" si="153"/>
        <v>0</v>
      </c>
      <c r="BF411" s="81" t="str">
        <f t="shared" si="154"/>
        <v>BASSO</v>
      </c>
    </row>
    <row r="412" spans="7:58" x14ac:dyDescent="0.15">
      <c r="G412" s="64">
        <f t="shared" si="133"/>
        <v>0</v>
      </c>
      <c r="I412" s="64">
        <f t="shared" si="134"/>
        <v>0</v>
      </c>
      <c r="K412" s="64">
        <f t="shared" si="135"/>
        <v>0</v>
      </c>
      <c r="M412" s="64">
        <f t="shared" si="136"/>
        <v>0</v>
      </c>
      <c r="O412" s="64">
        <f t="shared" si="137"/>
        <v>0</v>
      </c>
      <c r="Q412" s="64">
        <f t="shared" si="138"/>
        <v>0</v>
      </c>
      <c r="S412" s="71">
        <f t="shared" si="139"/>
        <v>0</v>
      </c>
      <c r="U412" s="64">
        <f t="shared" si="140"/>
        <v>0</v>
      </c>
      <c r="W412" s="71">
        <f t="shared" si="141"/>
        <v>0</v>
      </c>
      <c r="Y412" s="71">
        <f t="shared" si="142"/>
        <v>0</v>
      </c>
      <c r="AA412" s="71">
        <f t="shared" si="143"/>
        <v>0</v>
      </c>
      <c r="AC412" s="71">
        <f t="shared" si="144"/>
        <v>0</v>
      </c>
      <c r="AK412" s="71">
        <f t="shared" si="145"/>
        <v>0</v>
      </c>
      <c r="AM412" s="71">
        <f t="shared" si="146"/>
        <v>0</v>
      </c>
      <c r="AO412" s="71">
        <f t="shared" si="147"/>
        <v>0</v>
      </c>
      <c r="AQ412" s="71">
        <f t="shared" si="148"/>
        <v>0</v>
      </c>
      <c r="AT412" s="71">
        <f t="shared" si="149"/>
        <v>0</v>
      </c>
      <c r="AV412" s="71">
        <f t="shared" si="150"/>
        <v>0</v>
      </c>
      <c r="AX412" s="71">
        <f t="shared" si="151"/>
        <v>0</v>
      </c>
      <c r="AZ412" s="71">
        <f t="shared" si="152"/>
        <v>0</v>
      </c>
      <c r="BE412" s="81">
        <f t="shared" si="153"/>
        <v>0</v>
      </c>
      <c r="BF412" s="81" t="str">
        <f t="shared" si="154"/>
        <v>BASSO</v>
      </c>
    </row>
    <row r="413" spans="7:58" x14ac:dyDescent="0.15">
      <c r="G413" s="64">
        <f t="shared" si="133"/>
        <v>0</v>
      </c>
      <c r="I413" s="64">
        <f t="shared" si="134"/>
        <v>0</v>
      </c>
      <c r="K413" s="64">
        <f t="shared" si="135"/>
        <v>0</v>
      </c>
      <c r="M413" s="64">
        <f t="shared" si="136"/>
        <v>0</v>
      </c>
      <c r="O413" s="64">
        <f t="shared" si="137"/>
        <v>0</v>
      </c>
      <c r="Q413" s="64">
        <f t="shared" si="138"/>
        <v>0</v>
      </c>
      <c r="S413" s="71">
        <f t="shared" si="139"/>
        <v>0</v>
      </c>
      <c r="U413" s="64">
        <f t="shared" si="140"/>
        <v>0</v>
      </c>
      <c r="W413" s="71">
        <f t="shared" si="141"/>
        <v>0</v>
      </c>
      <c r="Y413" s="71">
        <f t="shared" si="142"/>
        <v>0</v>
      </c>
      <c r="AA413" s="71">
        <f t="shared" si="143"/>
        <v>0</v>
      </c>
      <c r="AC413" s="71">
        <f t="shared" si="144"/>
        <v>0</v>
      </c>
      <c r="AK413" s="71">
        <f t="shared" si="145"/>
        <v>0</v>
      </c>
      <c r="AM413" s="71">
        <f t="shared" si="146"/>
        <v>0</v>
      </c>
      <c r="AO413" s="71">
        <f t="shared" si="147"/>
        <v>0</v>
      </c>
      <c r="AQ413" s="71">
        <f t="shared" si="148"/>
        <v>0</v>
      </c>
      <c r="AT413" s="71">
        <f t="shared" si="149"/>
        <v>0</v>
      </c>
      <c r="AV413" s="71">
        <f t="shared" si="150"/>
        <v>0</v>
      </c>
      <c r="AX413" s="71">
        <f t="shared" si="151"/>
        <v>0</v>
      </c>
      <c r="AZ413" s="71">
        <f t="shared" si="152"/>
        <v>0</v>
      </c>
      <c r="BE413" s="81">
        <f t="shared" si="153"/>
        <v>0</v>
      </c>
      <c r="BF413" s="81" t="str">
        <f t="shared" si="154"/>
        <v>BASSO</v>
      </c>
    </row>
    <row r="414" spans="7:58" x14ac:dyDescent="0.15">
      <c r="G414" s="64">
        <f t="shared" si="133"/>
        <v>0</v>
      </c>
      <c r="I414" s="64">
        <f t="shared" si="134"/>
        <v>0</v>
      </c>
      <c r="K414" s="64">
        <f t="shared" si="135"/>
        <v>0</v>
      </c>
      <c r="M414" s="64">
        <f t="shared" si="136"/>
        <v>0</v>
      </c>
      <c r="O414" s="64">
        <f t="shared" si="137"/>
        <v>0</v>
      </c>
      <c r="Q414" s="64">
        <f t="shared" si="138"/>
        <v>0</v>
      </c>
      <c r="S414" s="71">
        <f t="shared" si="139"/>
        <v>0</v>
      </c>
      <c r="U414" s="64">
        <f t="shared" si="140"/>
        <v>0</v>
      </c>
      <c r="W414" s="71">
        <f t="shared" si="141"/>
        <v>0</v>
      </c>
      <c r="Y414" s="71">
        <f t="shared" si="142"/>
        <v>0</v>
      </c>
      <c r="AA414" s="71">
        <f t="shared" si="143"/>
        <v>0</v>
      </c>
      <c r="AC414" s="71">
        <f t="shared" si="144"/>
        <v>0</v>
      </c>
      <c r="AK414" s="71">
        <f t="shared" si="145"/>
        <v>0</v>
      </c>
      <c r="AM414" s="71">
        <f t="shared" si="146"/>
        <v>0</v>
      </c>
      <c r="AO414" s="71">
        <f t="shared" si="147"/>
        <v>0</v>
      </c>
      <c r="AQ414" s="71">
        <f t="shared" si="148"/>
        <v>0</v>
      </c>
      <c r="AT414" s="71">
        <f t="shared" si="149"/>
        <v>0</v>
      </c>
      <c r="AV414" s="71">
        <f t="shared" si="150"/>
        <v>0</v>
      </c>
      <c r="AX414" s="71">
        <f t="shared" si="151"/>
        <v>0</v>
      </c>
      <c r="AZ414" s="71">
        <f t="shared" si="152"/>
        <v>0</v>
      </c>
      <c r="BE414" s="81">
        <f t="shared" si="153"/>
        <v>0</v>
      </c>
      <c r="BF414" s="81" t="str">
        <f t="shared" si="154"/>
        <v>BASSO</v>
      </c>
    </row>
    <row r="415" spans="7:58" x14ac:dyDescent="0.15">
      <c r="G415" s="64">
        <f t="shared" si="133"/>
        <v>0</v>
      </c>
      <c r="I415" s="64">
        <f t="shared" si="134"/>
        <v>0</v>
      </c>
      <c r="K415" s="64">
        <f t="shared" si="135"/>
        <v>0</v>
      </c>
      <c r="M415" s="64">
        <f t="shared" si="136"/>
        <v>0</v>
      </c>
      <c r="O415" s="64">
        <f t="shared" si="137"/>
        <v>0</v>
      </c>
      <c r="Q415" s="64">
        <f t="shared" si="138"/>
        <v>0</v>
      </c>
      <c r="S415" s="71">
        <f t="shared" si="139"/>
        <v>0</v>
      </c>
      <c r="U415" s="64">
        <f t="shared" si="140"/>
        <v>0</v>
      </c>
      <c r="W415" s="71">
        <f t="shared" si="141"/>
        <v>0</v>
      </c>
      <c r="Y415" s="71">
        <f t="shared" si="142"/>
        <v>0</v>
      </c>
      <c r="AA415" s="71">
        <f t="shared" si="143"/>
        <v>0</v>
      </c>
      <c r="AC415" s="71">
        <f t="shared" si="144"/>
        <v>0</v>
      </c>
      <c r="AK415" s="71">
        <f t="shared" si="145"/>
        <v>0</v>
      </c>
      <c r="AM415" s="71">
        <f t="shared" si="146"/>
        <v>0</v>
      </c>
      <c r="AO415" s="71">
        <f t="shared" si="147"/>
        <v>0</v>
      </c>
      <c r="AQ415" s="71">
        <f t="shared" si="148"/>
        <v>0</v>
      </c>
      <c r="AT415" s="71">
        <f t="shared" si="149"/>
        <v>0</v>
      </c>
      <c r="AV415" s="71">
        <f t="shared" si="150"/>
        <v>0</v>
      </c>
      <c r="AX415" s="71">
        <f t="shared" si="151"/>
        <v>0</v>
      </c>
      <c r="AZ415" s="71">
        <f t="shared" si="152"/>
        <v>0</v>
      </c>
      <c r="BE415" s="81">
        <f t="shared" si="153"/>
        <v>0</v>
      </c>
      <c r="BF415" s="81" t="str">
        <f t="shared" si="154"/>
        <v>BASSO</v>
      </c>
    </row>
    <row r="416" spans="7:58" x14ac:dyDescent="0.15">
      <c r="G416" s="64">
        <f t="shared" si="133"/>
        <v>0</v>
      </c>
      <c r="I416" s="64">
        <f t="shared" si="134"/>
        <v>0</v>
      </c>
      <c r="K416" s="64">
        <f t="shared" si="135"/>
        <v>0</v>
      </c>
      <c r="M416" s="64">
        <f t="shared" si="136"/>
        <v>0</v>
      </c>
      <c r="O416" s="64">
        <f t="shared" si="137"/>
        <v>0</v>
      </c>
      <c r="Q416" s="64">
        <f t="shared" si="138"/>
        <v>0</v>
      </c>
      <c r="S416" s="71">
        <f t="shared" si="139"/>
        <v>0</v>
      </c>
      <c r="U416" s="64">
        <f t="shared" si="140"/>
        <v>0</v>
      </c>
      <c r="W416" s="71">
        <f t="shared" si="141"/>
        <v>0</v>
      </c>
      <c r="Y416" s="71">
        <f t="shared" si="142"/>
        <v>0</v>
      </c>
      <c r="AA416" s="71">
        <f t="shared" si="143"/>
        <v>0</v>
      </c>
      <c r="AC416" s="71">
        <f t="shared" si="144"/>
        <v>0</v>
      </c>
      <c r="AK416" s="71">
        <f t="shared" si="145"/>
        <v>0</v>
      </c>
      <c r="AM416" s="71">
        <f t="shared" si="146"/>
        <v>0</v>
      </c>
      <c r="AO416" s="71">
        <f t="shared" si="147"/>
        <v>0</v>
      </c>
      <c r="AQ416" s="71">
        <f t="shared" si="148"/>
        <v>0</v>
      </c>
      <c r="AT416" s="71">
        <f t="shared" si="149"/>
        <v>0</v>
      </c>
      <c r="AV416" s="71">
        <f t="shared" si="150"/>
        <v>0</v>
      </c>
      <c r="AX416" s="71">
        <f t="shared" si="151"/>
        <v>0</v>
      </c>
      <c r="AZ416" s="71">
        <f t="shared" si="152"/>
        <v>0</v>
      </c>
      <c r="BE416" s="81">
        <f t="shared" si="153"/>
        <v>0</v>
      </c>
      <c r="BF416" s="81" t="str">
        <f t="shared" si="154"/>
        <v>BASSO</v>
      </c>
    </row>
    <row r="417" spans="7:58" x14ac:dyDescent="0.15">
      <c r="G417" s="64">
        <f t="shared" si="133"/>
        <v>0</v>
      </c>
      <c r="I417" s="64">
        <f t="shared" si="134"/>
        <v>0</v>
      </c>
      <c r="K417" s="64">
        <f t="shared" si="135"/>
        <v>0</v>
      </c>
      <c r="M417" s="64">
        <f t="shared" si="136"/>
        <v>0</v>
      </c>
      <c r="O417" s="64">
        <f t="shared" si="137"/>
        <v>0</v>
      </c>
      <c r="Q417" s="64">
        <f t="shared" si="138"/>
        <v>0</v>
      </c>
      <c r="S417" s="71">
        <f t="shared" si="139"/>
        <v>0</v>
      </c>
      <c r="U417" s="64">
        <f t="shared" si="140"/>
        <v>0</v>
      </c>
      <c r="W417" s="71">
        <f t="shared" si="141"/>
        <v>0</v>
      </c>
      <c r="Y417" s="71">
        <f t="shared" si="142"/>
        <v>0</v>
      </c>
      <c r="AA417" s="71">
        <f t="shared" si="143"/>
        <v>0</v>
      </c>
      <c r="AC417" s="71">
        <f t="shared" si="144"/>
        <v>0</v>
      </c>
      <c r="AK417" s="71">
        <f t="shared" si="145"/>
        <v>0</v>
      </c>
      <c r="AM417" s="71">
        <f t="shared" si="146"/>
        <v>0</v>
      </c>
      <c r="AO417" s="71">
        <f t="shared" si="147"/>
        <v>0</v>
      </c>
      <c r="AQ417" s="71">
        <f t="shared" si="148"/>
        <v>0</v>
      </c>
      <c r="AT417" s="71">
        <f t="shared" si="149"/>
        <v>0</v>
      </c>
      <c r="AV417" s="71">
        <f t="shared" si="150"/>
        <v>0</v>
      </c>
      <c r="AX417" s="71">
        <f t="shared" si="151"/>
        <v>0</v>
      </c>
      <c r="AZ417" s="71">
        <f t="shared" si="152"/>
        <v>0</v>
      </c>
      <c r="BE417" s="81">
        <f t="shared" si="153"/>
        <v>0</v>
      </c>
      <c r="BF417" s="81" t="str">
        <f t="shared" si="154"/>
        <v>BASSO</v>
      </c>
    </row>
    <row r="418" spans="7:58" x14ac:dyDescent="0.15">
      <c r="G418" s="64">
        <f t="shared" si="133"/>
        <v>0</v>
      </c>
      <c r="I418" s="64">
        <f t="shared" si="134"/>
        <v>0</v>
      </c>
      <c r="K418" s="64">
        <f t="shared" si="135"/>
        <v>0</v>
      </c>
      <c r="M418" s="64">
        <f t="shared" si="136"/>
        <v>0</v>
      </c>
      <c r="O418" s="64">
        <f t="shared" si="137"/>
        <v>0</v>
      </c>
      <c r="Q418" s="64">
        <f t="shared" si="138"/>
        <v>0</v>
      </c>
      <c r="S418" s="71">
        <f t="shared" si="139"/>
        <v>0</v>
      </c>
      <c r="U418" s="64">
        <f t="shared" si="140"/>
        <v>0</v>
      </c>
      <c r="W418" s="71">
        <f t="shared" si="141"/>
        <v>0</v>
      </c>
      <c r="Y418" s="71">
        <f t="shared" si="142"/>
        <v>0</v>
      </c>
      <c r="AA418" s="71">
        <f t="shared" si="143"/>
        <v>0</v>
      </c>
      <c r="AC418" s="71">
        <f t="shared" si="144"/>
        <v>0</v>
      </c>
      <c r="AK418" s="71">
        <f t="shared" si="145"/>
        <v>0</v>
      </c>
      <c r="AM418" s="71">
        <f t="shared" si="146"/>
        <v>0</v>
      </c>
      <c r="AO418" s="71">
        <f t="shared" si="147"/>
        <v>0</v>
      </c>
      <c r="AQ418" s="71">
        <f t="shared" si="148"/>
        <v>0</v>
      </c>
      <c r="AT418" s="71">
        <f t="shared" si="149"/>
        <v>0</v>
      </c>
      <c r="AV418" s="71">
        <f t="shared" si="150"/>
        <v>0</v>
      </c>
      <c r="AX418" s="71">
        <f t="shared" si="151"/>
        <v>0</v>
      </c>
      <c r="AZ418" s="71">
        <f t="shared" si="152"/>
        <v>0</v>
      </c>
      <c r="BE418" s="81">
        <f t="shared" si="153"/>
        <v>0</v>
      </c>
      <c r="BF418" s="81" t="str">
        <f t="shared" si="154"/>
        <v>BASSO</v>
      </c>
    </row>
    <row r="419" spans="7:58" x14ac:dyDescent="0.15">
      <c r="G419" s="64">
        <f t="shared" si="133"/>
        <v>0</v>
      </c>
      <c r="I419" s="64">
        <f t="shared" si="134"/>
        <v>0</v>
      </c>
      <c r="K419" s="64">
        <f t="shared" si="135"/>
        <v>0</v>
      </c>
      <c r="M419" s="64">
        <f t="shared" si="136"/>
        <v>0</v>
      </c>
      <c r="O419" s="64">
        <f t="shared" si="137"/>
        <v>0</v>
      </c>
      <c r="Q419" s="64">
        <f t="shared" si="138"/>
        <v>0</v>
      </c>
      <c r="S419" s="71">
        <f t="shared" si="139"/>
        <v>0</v>
      </c>
      <c r="U419" s="64">
        <f t="shared" si="140"/>
        <v>0</v>
      </c>
      <c r="W419" s="71">
        <f t="shared" si="141"/>
        <v>0</v>
      </c>
      <c r="Y419" s="71">
        <f t="shared" si="142"/>
        <v>0</v>
      </c>
      <c r="AA419" s="71">
        <f t="shared" si="143"/>
        <v>0</v>
      </c>
      <c r="AC419" s="71">
        <f t="shared" si="144"/>
        <v>0</v>
      </c>
      <c r="AK419" s="71">
        <f t="shared" si="145"/>
        <v>0</v>
      </c>
      <c r="AM419" s="71">
        <f t="shared" si="146"/>
        <v>0</v>
      </c>
      <c r="AO419" s="71">
        <f t="shared" si="147"/>
        <v>0</v>
      </c>
      <c r="AQ419" s="71">
        <f t="shared" si="148"/>
        <v>0</v>
      </c>
      <c r="AT419" s="71">
        <f t="shared" si="149"/>
        <v>0</v>
      </c>
      <c r="AV419" s="71">
        <f t="shared" si="150"/>
        <v>0</v>
      </c>
      <c r="AX419" s="71">
        <f t="shared" si="151"/>
        <v>0</v>
      </c>
      <c r="AZ419" s="71">
        <f t="shared" si="152"/>
        <v>0</v>
      </c>
      <c r="BE419" s="81">
        <f t="shared" si="153"/>
        <v>0</v>
      </c>
      <c r="BF419" s="81" t="str">
        <f t="shared" si="154"/>
        <v>BASSO</v>
      </c>
    </row>
    <row r="420" spans="7:58" x14ac:dyDescent="0.15">
      <c r="G420" s="64">
        <f t="shared" si="133"/>
        <v>0</v>
      </c>
      <c r="I420" s="64">
        <f t="shared" si="134"/>
        <v>0</v>
      </c>
      <c r="K420" s="64">
        <f t="shared" si="135"/>
        <v>0</v>
      </c>
      <c r="M420" s="64">
        <f t="shared" si="136"/>
        <v>0</v>
      </c>
      <c r="O420" s="64">
        <f t="shared" si="137"/>
        <v>0</v>
      </c>
      <c r="Q420" s="64">
        <f t="shared" si="138"/>
        <v>0</v>
      </c>
      <c r="S420" s="71">
        <f t="shared" si="139"/>
        <v>0</v>
      </c>
      <c r="U420" s="64">
        <f t="shared" si="140"/>
        <v>0</v>
      </c>
      <c r="W420" s="71">
        <f t="shared" si="141"/>
        <v>0</v>
      </c>
      <c r="Y420" s="71">
        <f t="shared" si="142"/>
        <v>0</v>
      </c>
      <c r="AA420" s="71">
        <f t="shared" si="143"/>
        <v>0</v>
      </c>
      <c r="AC420" s="71">
        <f t="shared" si="144"/>
        <v>0</v>
      </c>
      <c r="AK420" s="71">
        <f t="shared" si="145"/>
        <v>0</v>
      </c>
      <c r="AM420" s="71">
        <f t="shared" si="146"/>
        <v>0</v>
      </c>
      <c r="AO420" s="71">
        <f t="shared" si="147"/>
        <v>0</v>
      </c>
      <c r="AQ420" s="71">
        <f t="shared" si="148"/>
        <v>0</v>
      </c>
      <c r="AT420" s="71">
        <f t="shared" si="149"/>
        <v>0</v>
      </c>
      <c r="AV420" s="71">
        <f t="shared" si="150"/>
        <v>0</v>
      </c>
      <c r="AX420" s="71">
        <f t="shared" si="151"/>
        <v>0</v>
      </c>
      <c r="AZ420" s="71">
        <f t="shared" si="152"/>
        <v>0</v>
      </c>
      <c r="BE420" s="81">
        <f t="shared" si="153"/>
        <v>0</v>
      </c>
      <c r="BF420" s="81" t="str">
        <f t="shared" si="154"/>
        <v>BASSO</v>
      </c>
    </row>
    <row r="421" spans="7:58" x14ac:dyDescent="0.15">
      <c r="G421" s="64">
        <f t="shared" si="133"/>
        <v>0</v>
      </c>
      <c r="I421" s="64">
        <f t="shared" si="134"/>
        <v>0</v>
      </c>
      <c r="K421" s="64">
        <f t="shared" si="135"/>
        <v>0</v>
      </c>
      <c r="M421" s="64">
        <f t="shared" si="136"/>
        <v>0</v>
      </c>
      <c r="O421" s="64">
        <f t="shared" si="137"/>
        <v>0</v>
      </c>
      <c r="Q421" s="64">
        <f t="shared" si="138"/>
        <v>0</v>
      </c>
      <c r="S421" s="71">
        <f t="shared" si="139"/>
        <v>0</v>
      </c>
      <c r="U421" s="64">
        <f t="shared" si="140"/>
        <v>0</v>
      </c>
      <c r="W421" s="71">
        <f t="shared" si="141"/>
        <v>0</v>
      </c>
      <c r="Y421" s="71">
        <f t="shared" si="142"/>
        <v>0</v>
      </c>
      <c r="AA421" s="71">
        <f t="shared" si="143"/>
        <v>0</v>
      </c>
      <c r="AC421" s="71">
        <f t="shared" si="144"/>
        <v>0</v>
      </c>
      <c r="AK421" s="71">
        <f t="shared" si="145"/>
        <v>0</v>
      </c>
      <c r="AM421" s="71">
        <f t="shared" si="146"/>
        <v>0</v>
      </c>
      <c r="AO421" s="71">
        <f t="shared" si="147"/>
        <v>0</v>
      </c>
      <c r="AQ421" s="71">
        <f t="shared" si="148"/>
        <v>0</v>
      </c>
      <c r="AT421" s="71">
        <f t="shared" si="149"/>
        <v>0</v>
      </c>
      <c r="AV421" s="71">
        <f t="shared" si="150"/>
        <v>0</v>
      </c>
      <c r="AX421" s="71">
        <f t="shared" si="151"/>
        <v>0</v>
      </c>
      <c r="AZ421" s="71">
        <f t="shared" si="152"/>
        <v>0</v>
      </c>
      <c r="BE421" s="81">
        <f t="shared" si="153"/>
        <v>0</v>
      </c>
      <c r="BF421" s="81" t="str">
        <f t="shared" si="154"/>
        <v>BASSO</v>
      </c>
    </row>
    <row r="422" spans="7:58" x14ac:dyDescent="0.15">
      <c r="G422" s="64">
        <f t="shared" si="133"/>
        <v>0</v>
      </c>
      <c r="I422" s="64">
        <f t="shared" si="134"/>
        <v>0</v>
      </c>
      <c r="K422" s="64">
        <f t="shared" si="135"/>
        <v>0</v>
      </c>
      <c r="M422" s="64">
        <f t="shared" si="136"/>
        <v>0</v>
      </c>
      <c r="O422" s="64">
        <f t="shared" si="137"/>
        <v>0</v>
      </c>
      <c r="Q422" s="64">
        <f t="shared" si="138"/>
        <v>0</v>
      </c>
      <c r="S422" s="71">
        <f t="shared" si="139"/>
        <v>0</v>
      </c>
      <c r="U422" s="64">
        <f t="shared" si="140"/>
        <v>0</v>
      </c>
      <c r="W422" s="71">
        <f t="shared" si="141"/>
        <v>0</v>
      </c>
      <c r="Y422" s="71">
        <f t="shared" si="142"/>
        <v>0</v>
      </c>
      <c r="AA422" s="71">
        <f t="shared" si="143"/>
        <v>0</v>
      </c>
      <c r="AC422" s="71">
        <f t="shared" si="144"/>
        <v>0</v>
      </c>
      <c r="AK422" s="71">
        <f t="shared" si="145"/>
        <v>0</v>
      </c>
      <c r="AM422" s="71">
        <f t="shared" si="146"/>
        <v>0</v>
      </c>
      <c r="AO422" s="71">
        <f t="shared" si="147"/>
        <v>0</v>
      </c>
      <c r="AQ422" s="71">
        <f t="shared" si="148"/>
        <v>0</v>
      </c>
      <c r="AT422" s="71">
        <f t="shared" si="149"/>
        <v>0</v>
      </c>
      <c r="AV422" s="71">
        <f t="shared" si="150"/>
        <v>0</v>
      </c>
      <c r="AX422" s="71">
        <f t="shared" si="151"/>
        <v>0</v>
      </c>
      <c r="AZ422" s="71">
        <f t="shared" si="152"/>
        <v>0</v>
      </c>
      <c r="BE422" s="81">
        <f t="shared" si="153"/>
        <v>0</v>
      </c>
      <c r="BF422" s="81" t="str">
        <f t="shared" si="154"/>
        <v>BASSO</v>
      </c>
    </row>
    <row r="423" spans="7:58" x14ac:dyDescent="0.15">
      <c r="G423" s="64">
        <f t="shared" si="133"/>
        <v>0</v>
      </c>
      <c r="I423" s="64">
        <f t="shared" si="134"/>
        <v>0</v>
      </c>
      <c r="K423" s="64">
        <f t="shared" si="135"/>
        <v>0</v>
      </c>
      <c r="M423" s="64">
        <f t="shared" si="136"/>
        <v>0</v>
      </c>
      <c r="O423" s="64">
        <f t="shared" si="137"/>
        <v>0</v>
      </c>
      <c r="Q423" s="64">
        <f t="shared" si="138"/>
        <v>0</v>
      </c>
      <c r="S423" s="71">
        <f t="shared" si="139"/>
        <v>0</v>
      </c>
      <c r="U423" s="64">
        <f t="shared" si="140"/>
        <v>0</v>
      </c>
      <c r="W423" s="71">
        <f t="shared" si="141"/>
        <v>0</v>
      </c>
      <c r="Y423" s="71">
        <f t="shared" si="142"/>
        <v>0</v>
      </c>
      <c r="AA423" s="71">
        <f t="shared" si="143"/>
        <v>0</v>
      </c>
      <c r="AC423" s="71">
        <f t="shared" si="144"/>
        <v>0</v>
      </c>
      <c r="AK423" s="71">
        <f t="shared" si="145"/>
        <v>0</v>
      </c>
      <c r="AM423" s="71">
        <f t="shared" si="146"/>
        <v>0</v>
      </c>
      <c r="AO423" s="71">
        <f t="shared" si="147"/>
        <v>0</v>
      </c>
      <c r="AQ423" s="71">
        <f t="shared" si="148"/>
        <v>0</v>
      </c>
      <c r="AT423" s="71">
        <f t="shared" si="149"/>
        <v>0</v>
      </c>
      <c r="AV423" s="71">
        <f t="shared" si="150"/>
        <v>0</v>
      </c>
      <c r="AX423" s="71">
        <f t="shared" si="151"/>
        <v>0</v>
      </c>
      <c r="AZ423" s="71">
        <f t="shared" si="152"/>
        <v>0</v>
      </c>
      <c r="BE423" s="81">
        <f t="shared" si="153"/>
        <v>0</v>
      </c>
      <c r="BF423" s="81" t="str">
        <f t="shared" si="154"/>
        <v>BASSO</v>
      </c>
    </row>
    <row r="424" spans="7:58" x14ac:dyDescent="0.15">
      <c r="G424" s="64">
        <f t="shared" si="133"/>
        <v>0</v>
      </c>
      <c r="I424" s="64">
        <f t="shared" si="134"/>
        <v>0</v>
      </c>
      <c r="K424" s="64">
        <f t="shared" si="135"/>
        <v>0</v>
      </c>
      <c r="M424" s="64">
        <f t="shared" si="136"/>
        <v>0</v>
      </c>
      <c r="O424" s="64">
        <f t="shared" si="137"/>
        <v>0</v>
      </c>
      <c r="Q424" s="64">
        <f t="shared" si="138"/>
        <v>0</v>
      </c>
      <c r="S424" s="71">
        <f t="shared" si="139"/>
        <v>0</v>
      </c>
      <c r="U424" s="64">
        <f t="shared" si="140"/>
        <v>0</v>
      </c>
      <c r="W424" s="71">
        <f t="shared" si="141"/>
        <v>0</v>
      </c>
      <c r="Y424" s="71">
        <f t="shared" si="142"/>
        <v>0</v>
      </c>
      <c r="AA424" s="71">
        <f t="shared" si="143"/>
        <v>0</v>
      </c>
      <c r="AC424" s="71">
        <f t="shared" si="144"/>
        <v>0</v>
      </c>
      <c r="AK424" s="71">
        <f t="shared" si="145"/>
        <v>0</v>
      </c>
      <c r="AM424" s="71">
        <f t="shared" si="146"/>
        <v>0</v>
      </c>
      <c r="AO424" s="71">
        <f t="shared" si="147"/>
        <v>0</v>
      </c>
      <c r="AQ424" s="71">
        <f t="shared" si="148"/>
        <v>0</v>
      </c>
      <c r="AT424" s="71">
        <f t="shared" si="149"/>
        <v>0</v>
      </c>
      <c r="AV424" s="71">
        <f t="shared" si="150"/>
        <v>0</v>
      </c>
      <c r="AX424" s="71">
        <f t="shared" si="151"/>
        <v>0</v>
      </c>
      <c r="AZ424" s="71">
        <f t="shared" si="152"/>
        <v>0</v>
      </c>
      <c r="BE424" s="81">
        <f t="shared" si="153"/>
        <v>0</v>
      </c>
      <c r="BF424" s="81" t="str">
        <f t="shared" si="154"/>
        <v>BASSO</v>
      </c>
    </row>
    <row r="425" spans="7:58" x14ac:dyDescent="0.15">
      <c r="G425" s="64">
        <f t="shared" si="133"/>
        <v>0</v>
      </c>
      <c r="I425" s="64">
        <f t="shared" si="134"/>
        <v>0</v>
      </c>
      <c r="K425" s="64">
        <f t="shared" si="135"/>
        <v>0</v>
      </c>
      <c r="M425" s="64">
        <f t="shared" si="136"/>
        <v>0</v>
      </c>
      <c r="O425" s="64">
        <f t="shared" si="137"/>
        <v>0</v>
      </c>
      <c r="Q425" s="64">
        <f t="shared" si="138"/>
        <v>0</v>
      </c>
      <c r="S425" s="71">
        <f t="shared" si="139"/>
        <v>0</v>
      </c>
      <c r="U425" s="64">
        <f t="shared" si="140"/>
        <v>0</v>
      </c>
      <c r="W425" s="71">
        <f t="shared" si="141"/>
        <v>0</v>
      </c>
      <c r="Y425" s="71">
        <f t="shared" si="142"/>
        <v>0</v>
      </c>
      <c r="AA425" s="71">
        <f t="shared" si="143"/>
        <v>0</v>
      </c>
      <c r="AC425" s="71">
        <f t="shared" si="144"/>
        <v>0</v>
      </c>
      <c r="AK425" s="71">
        <f t="shared" si="145"/>
        <v>0</v>
      </c>
      <c r="AM425" s="71">
        <f t="shared" si="146"/>
        <v>0</v>
      </c>
      <c r="AO425" s="71">
        <f t="shared" si="147"/>
        <v>0</v>
      </c>
      <c r="AQ425" s="71">
        <f t="shared" si="148"/>
        <v>0</v>
      </c>
      <c r="AT425" s="71">
        <f t="shared" si="149"/>
        <v>0</v>
      </c>
      <c r="AV425" s="71">
        <f t="shared" si="150"/>
        <v>0</v>
      </c>
      <c r="AX425" s="71">
        <f t="shared" si="151"/>
        <v>0</v>
      </c>
      <c r="AZ425" s="71">
        <f t="shared" si="152"/>
        <v>0</v>
      </c>
      <c r="BE425" s="81">
        <f t="shared" si="153"/>
        <v>0</v>
      </c>
      <c r="BF425" s="81" t="str">
        <f t="shared" si="154"/>
        <v>BASSO</v>
      </c>
    </row>
    <row r="426" spans="7:58" x14ac:dyDescent="0.15">
      <c r="G426" s="64">
        <f t="shared" si="133"/>
        <v>0</v>
      </c>
      <c r="I426" s="64">
        <f t="shared" si="134"/>
        <v>0</v>
      </c>
      <c r="K426" s="64">
        <f t="shared" si="135"/>
        <v>0</v>
      </c>
      <c r="M426" s="64">
        <f t="shared" si="136"/>
        <v>0</v>
      </c>
      <c r="O426" s="64">
        <f t="shared" si="137"/>
        <v>0</v>
      </c>
      <c r="Q426" s="64">
        <f t="shared" si="138"/>
        <v>0</v>
      </c>
      <c r="S426" s="71">
        <f t="shared" si="139"/>
        <v>0</v>
      </c>
      <c r="U426" s="64">
        <f t="shared" si="140"/>
        <v>0</v>
      </c>
      <c r="W426" s="71">
        <f t="shared" si="141"/>
        <v>0</v>
      </c>
      <c r="Y426" s="71">
        <f t="shared" si="142"/>
        <v>0</v>
      </c>
      <c r="AA426" s="71">
        <f t="shared" si="143"/>
        <v>0</v>
      </c>
      <c r="AC426" s="71">
        <f t="shared" si="144"/>
        <v>0</v>
      </c>
      <c r="AK426" s="71">
        <f t="shared" si="145"/>
        <v>0</v>
      </c>
      <c r="AM426" s="71">
        <f t="shared" si="146"/>
        <v>0</v>
      </c>
      <c r="AO426" s="71">
        <f t="shared" si="147"/>
        <v>0</v>
      </c>
      <c r="AQ426" s="71">
        <f t="shared" si="148"/>
        <v>0</v>
      </c>
      <c r="AT426" s="71">
        <f t="shared" si="149"/>
        <v>0</v>
      </c>
      <c r="AV426" s="71">
        <f t="shared" si="150"/>
        <v>0</v>
      </c>
      <c r="AX426" s="71">
        <f t="shared" si="151"/>
        <v>0</v>
      </c>
      <c r="AZ426" s="71">
        <f t="shared" si="152"/>
        <v>0</v>
      </c>
      <c r="BE426" s="81">
        <f t="shared" si="153"/>
        <v>0</v>
      </c>
      <c r="BF426" s="81" t="str">
        <f t="shared" si="154"/>
        <v>BASSO</v>
      </c>
    </row>
    <row r="427" spans="7:58" x14ac:dyDescent="0.15">
      <c r="G427" s="64">
        <f t="shared" si="133"/>
        <v>0</v>
      </c>
      <c r="I427" s="64">
        <f t="shared" si="134"/>
        <v>0</v>
      </c>
      <c r="K427" s="64">
        <f t="shared" si="135"/>
        <v>0</v>
      </c>
      <c r="M427" s="64">
        <f t="shared" si="136"/>
        <v>0</v>
      </c>
      <c r="O427" s="64">
        <f t="shared" si="137"/>
        <v>0</v>
      </c>
      <c r="Q427" s="64">
        <f t="shared" si="138"/>
        <v>0</v>
      </c>
      <c r="S427" s="71">
        <f t="shared" si="139"/>
        <v>0</v>
      </c>
      <c r="U427" s="64">
        <f t="shared" si="140"/>
        <v>0</v>
      </c>
      <c r="W427" s="71">
        <f t="shared" si="141"/>
        <v>0</v>
      </c>
      <c r="Y427" s="71">
        <f t="shared" si="142"/>
        <v>0</v>
      </c>
      <c r="AA427" s="71">
        <f t="shared" si="143"/>
        <v>0</v>
      </c>
      <c r="AC427" s="71">
        <f t="shared" si="144"/>
        <v>0</v>
      </c>
      <c r="AK427" s="71">
        <f t="shared" si="145"/>
        <v>0</v>
      </c>
      <c r="AM427" s="71">
        <f t="shared" si="146"/>
        <v>0</v>
      </c>
      <c r="AO427" s="71">
        <f t="shared" si="147"/>
        <v>0</v>
      </c>
      <c r="AQ427" s="71">
        <f t="shared" si="148"/>
        <v>0</v>
      </c>
      <c r="AT427" s="71">
        <f t="shared" si="149"/>
        <v>0</v>
      </c>
      <c r="AV427" s="71">
        <f t="shared" si="150"/>
        <v>0</v>
      </c>
      <c r="AX427" s="71">
        <f t="shared" si="151"/>
        <v>0</v>
      </c>
      <c r="AZ427" s="71">
        <f t="shared" si="152"/>
        <v>0</v>
      </c>
      <c r="BE427" s="81">
        <f t="shared" si="153"/>
        <v>0</v>
      </c>
      <c r="BF427" s="81" t="str">
        <f t="shared" si="154"/>
        <v>BASSO</v>
      </c>
    </row>
    <row r="428" spans="7:58" x14ac:dyDescent="0.15">
      <c r="G428" s="64">
        <f t="shared" si="133"/>
        <v>0</v>
      </c>
      <c r="I428" s="64">
        <f t="shared" si="134"/>
        <v>0</v>
      </c>
      <c r="K428" s="64">
        <f t="shared" si="135"/>
        <v>0</v>
      </c>
      <c r="M428" s="64">
        <f t="shared" si="136"/>
        <v>0</v>
      </c>
      <c r="O428" s="64">
        <f t="shared" si="137"/>
        <v>0</v>
      </c>
      <c r="Q428" s="64">
        <f t="shared" si="138"/>
        <v>0</v>
      </c>
      <c r="S428" s="71">
        <f t="shared" si="139"/>
        <v>0</v>
      </c>
      <c r="U428" s="64">
        <f t="shared" si="140"/>
        <v>0</v>
      </c>
      <c r="W428" s="71">
        <f t="shared" si="141"/>
        <v>0</v>
      </c>
      <c r="Y428" s="71">
        <f t="shared" si="142"/>
        <v>0</v>
      </c>
      <c r="AA428" s="71">
        <f t="shared" si="143"/>
        <v>0</v>
      </c>
      <c r="AC428" s="71">
        <f t="shared" si="144"/>
        <v>0</v>
      </c>
      <c r="AK428" s="71">
        <f t="shared" si="145"/>
        <v>0</v>
      </c>
      <c r="AM428" s="71">
        <f t="shared" si="146"/>
        <v>0</v>
      </c>
      <c r="AO428" s="71">
        <f t="shared" si="147"/>
        <v>0</v>
      </c>
      <c r="AQ428" s="71">
        <f t="shared" si="148"/>
        <v>0</v>
      </c>
      <c r="AT428" s="71">
        <f t="shared" si="149"/>
        <v>0</v>
      </c>
      <c r="AV428" s="71">
        <f t="shared" si="150"/>
        <v>0</v>
      </c>
      <c r="AX428" s="71">
        <f t="shared" si="151"/>
        <v>0</v>
      </c>
      <c r="AZ428" s="71">
        <f t="shared" si="152"/>
        <v>0</v>
      </c>
      <c r="BE428" s="81">
        <f t="shared" si="153"/>
        <v>0</v>
      </c>
      <c r="BF428" s="81" t="str">
        <f t="shared" si="154"/>
        <v>BASSO</v>
      </c>
    </row>
    <row r="429" spans="7:58" x14ac:dyDescent="0.15">
      <c r="G429" s="64">
        <f t="shared" si="133"/>
        <v>0</v>
      </c>
      <c r="I429" s="64">
        <f t="shared" si="134"/>
        <v>0</v>
      </c>
      <c r="K429" s="64">
        <f t="shared" si="135"/>
        <v>0</v>
      </c>
      <c r="M429" s="64">
        <f t="shared" si="136"/>
        <v>0</v>
      </c>
      <c r="O429" s="64">
        <f t="shared" si="137"/>
        <v>0</v>
      </c>
      <c r="Q429" s="64">
        <f t="shared" si="138"/>
        <v>0</v>
      </c>
      <c r="S429" s="71">
        <f t="shared" si="139"/>
        <v>0</v>
      </c>
      <c r="U429" s="64">
        <f t="shared" si="140"/>
        <v>0</v>
      </c>
      <c r="W429" s="71">
        <f t="shared" si="141"/>
        <v>0</v>
      </c>
      <c r="Y429" s="71">
        <f t="shared" si="142"/>
        <v>0</v>
      </c>
      <c r="AA429" s="71">
        <f t="shared" si="143"/>
        <v>0</v>
      </c>
      <c r="AC429" s="71">
        <f t="shared" si="144"/>
        <v>0</v>
      </c>
      <c r="AK429" s="71">
        <f t="shared" si="145"/>
        <v>0</v>
      </c>
      <c r="AM429" s="71">
        <f t="shared" si="146"/>
        <v>0</v>
      </c>
      <c r="AO429" s="71">
        <f t="shared" si="147"/>
        <v>0</v>
      </c>
      <c r="AQ429" s="71">
        <f t="shared" si="148"/>
        <v>0</v>
      </c>
      <c r="AT429" s="71">
        <f t="shared" si="149"/>
        <v>0</v>
      </c>
      <c r="AV429" s="71">
        <f t="shared" si="150"/>
        <v>0</v>
      </c>
      <c r="AX429" s="71">
        <f t="shared" si="151"/>
        <v>0</v>
      </c>
      <c r="AZ429" s="71">
        <f t="shared" si="152"/>
        <v>0</v>
      </c>
      <c r="BE429" s="81">
        <f t="shared" si="153"/>
        <v>0</v>
      </c>
      <c r="BF429" s="81" t="str">
        <f t="shared" si="154"/>
        <v>BASSO</v>
      </c>
    </row>
    <row r="430" spans="7:58" x14ac:dyDescent="0.15">
      <c r="G430" s="64">
        <f t="shared" si="133"/>
        <v>0</v>
      </c>
      <c r="I430" s="64">
        <f t="shared" si="134"/>
        <v>0</v>
      </c>
      <c r="K430" s="64">
        <f t="shared" si="135"/>
        <v>0</v>
      </c>
      <c r="M430" s="64">
        <f t="shared" si="136"/>
        <v>0</v>
      </c>
      <c r="O430" s="64">
        <f t="shared" si="137"/>
        <v>0</v>
      </c>
      <c r="Q430" s="64">
        <f t="shared" si="138"/>
        <v>0</v>
      </c>
      <c r="S430" s="71">
        <f t="shared" si="139"/>
        <v>0</v>
      </c>
      <c r="U430" s="64">
        <f t="shared" si="140"/>
        <v>0</v>
      </c>
      <c r="W430" s="71">
        <f t="shared" si="141"/>
        <v>0</v>
      </c>
      <c r="Y430" s="71">
        <f t="shared" si="142"/>
        <v>0</v>
      </c>
      <c r="AA430" s="71">
        <f t="shared" si="143"/>
        <v>0</v>
      </c>
      <c r="AC430" s="71">
        <f t="shared" si="144"/>
        <v>0</v>
      </c>
      <c r="AK430" s="71">
        <f t="shared" si="145"/>
        <v>0</v>
      </c>
      <c r="AM430" s="71">
        <f t="shared" si="146"/>
        <v>0</v>
      </c>
      <c r="AO430" s="71">
        <f t="shared" si="147"/>
        <v>0</v>
      </c>
      <c r="AQ430" s="71">
        <f t="shared" si="148"/>
        <v>0</v>
      </c>
      <c r="AT430" s="71">
        <f t="shared" si="149"/>
        <v>0</v>
      </c>
      <c r="AV430" s="71">
        <f t="shared" si="150"/>
        <v>0</v>
      </c>
      <c r="AX430" s="71">
        <f t="shared" si="151"/>
        <v>0</v>
      </c>
      <c r="AZ430" s="71">
        <f t="shared" si="152"/>
        <v>0</v>
      </c>
      <c r="BE430" s="81">
        <f t="shared" si="153"/>
        <v>0</v>
      </c>
      <c r="BF430" s="81" t="str">
        <f t="shared" si="154"/>
        <v>BASSO</v>
      </c>
    </row>
    <row r="431" spans="7:58" x14ac:dyDescent="0.15">
      <c r="G431" s="64">
        <f t="shared" si="133"/>
        <v>0</v>
      </c>
      <c r="I431" s="64">
        <f t="shared" si="134"/>
        <v>0</v>
      </c>
      <c r="K431" s="64">
        <f t="shared" si="135"/>
        <v>0</v>
      </c>
      <c r="M431" s="64">
        <f t="shared" si="136"/>
        <v>0</v>
      </c>
      <c r="O431" s="64">
        <f t="shared" si="137"/>
        <v>0</v>
      </c>
      <c r="Q431" s="64">
        <f t="shared" si="138"/>
        <v>0</v>
      </c>
      <c r="S431" s="71">
        <f t="shared" si="139"/>
        <v>0</v>
      </c>
      <c r="U431" s="64">
        <f t="shared" si="140"/>
        <v>0</v>
      </c>
      <c r="W431" s="71">
        <f t="shared" si="141"/>
        <v>0</v>
      </c>
      <c r="Y431" s="71">
        <f t="shared" si="142"/>
        <v>0</v>
      </c>
      <c r="AA431" s="71">
        <f t="shared" si="143"/>
        <v>0</v>
      </c>
      <c r="AC431" s="71">
        <f t="shared" si="144"/>
        <v>0</v>
      </c>
      <c r="AK431" s="71">
        <f t="shared" si="145"/>
        <v>0</v>
      </c>
      <c r="AM431" s="71">
        <f t="shared" si="146"/>
        <v>0</v>
      </c>
      <c r="AO431" s="71">
        <f t="shared" si="147"/>
        <v>0</v>
      </c>
      <c r="AQ431" s="71">
        <f t="shared" si="148"/>
        <v>0</v>
      </c>
      <c r="AT431" s="71">
        <f t="shared" si="149"/>
        <v>0</v>
      </c>
      <c r="AV431" s="71">
        <f t="shared" si="150"/>
        <v>0</v>
      </c>
      <c r="AX431" s="71">
        <f t="shared" si="151"/>
        <v>0</v>
      </c>
      <c r="AZ431" s="71">
        <f t="shared" si="152"/>
        <v>0</v>
      </c>
      <c r="BE431" s="81">
        <f t="shared" si="153"/>
        <v>0</v>
      </c>
      <c r="BF431" s="81" t="str">
        <f t="shared" si="154"/>
        <v>BASSO</v>
      </c>
    </row>
    <row r="432" spans="7:58" x14ac:dyDescent="0.15">
      <c r="G432" s="64">
        <f t="shared" si="133"/>
        <v>0</v>
      </c>
      <c r="I432" s="64">
        <f t="shared" si="134"/>
        <v>0</v>
      </c>
      <c r="K432" s="64">
        <f t="shared" si="135"/>
        <v>0</v>
      </c>
      <c r="M432" s="64">
        <f t="shared" si="136"/>
        <v>0</v>
      </c>
      <c r="O432" s="64">
        <f t="shared" si="137"/>
        <v>0</v>
      </c>
      <c r="Q432" s="64">
        <f t="shared" si="138"/>
        <v>0</v>
      </c>
      <c r="S432" s="71">
        <f t="shared" si="139"/>
        <v>0</v>
      </c>
      <c r="U432" s="64">
        <f t="shared" si="140"/>
        <v>0</v>
      </c>
      <c r="W432" s="71">
        <f t="shared" si="141"/>
        <v>0</v>
      </c>
      <c r="Y432" s="71">
        <f t="shared" si="142"/>
        <v>0</v>
      </c>
      <c r="AA432" s="71">
        <f t="shared" si="143"/>
        <v>0</v>
      </c>
      <c r="AC432" s="71">
        <f t="shared" si="144"/>
        <v>0</v>
      </c>
      <c r="AK432" s="71">
        <f t="shared" si="145"/>
        <v>0</v>
      </c>
      <c r="AM432" s="71">
        <f t="shared" si="146"/>
        <v>0</v>
      </c>
      <c r="AO432" s="71">
        <f t="shared" si="147"/>
        <v>0</v>
      </c>
      <c r="AQ432" s="71">
        <f t="shared" si="148"/>
        <v>0</v>
      </c>
      <c r="AT432" s="71">
        <f t="shared" si="149"/>
        <v>0</v>
      </c>
      <c r="AV432" s="71">
        <f t="shared" si="150"/>
        <v>0</v>
      </c>
      <c r="AX432" s="71">
        <f t="shared" si="151"/>
        <v>0</v>
      </c>
      <c r="AZ432" s="71">
        <f t="shared" si="152"/>
        <v>0</v>
      </c>
      <c r="BE432" s="81">
        <f t="shared" si="153"/>
        <v>0</v>
      </c>
      <c r="BF432" s="81" t="str">
        <f t="shared" si="154"/>
        <v>BASSO</v>
      </c>
    </row>
    <row r="433" spans="7:58" x14ac:dyDescent="0.15">
      <c r="G433" s="64">
        <f t="shared" si="133"/>
        <v>0</v>
      </c>
      <c r="I433" s="64">
        <f t="shared" si="134"/>
        <v>0</v>
      </c>
      <c r="K433" s="64">
        <f t="shared" si="135"/>
        <v>0</v>
      </c>
      <c r="M433" s="64">
        <f t="shared" si="136"/>
        <v>0</v>
      </c>
      <c r="O433" s="64">
        <f t="shared" si="137"/>
        <v>0</v>
      </c>
      <c r="Q433" s="64">
        <f t="shared" si="138"/>
        <v>0</v>
      </c>
      <c r="S433" s="71">
        <f t="shared" si="139"/>
        <v>0</v>
      </c>
      <c r="U433" s="64">
        <f t="shared" si="140"/>
        <v>0</v>
      </c>
      <c r="W433" s="71">
        <f t="shared" si="141"/>
        <v>0</v>
      </c>
      <c r="Y433" s="71">
        <f t="shared" si="142"/>
        <v>0</v>
      </c>
      <c r="AA433" s="71">
        <f t="shared" si="143"/>
        <v>0</v>
      </c>
      <c r="AC433" s="71">
        <f t="shared" si="144"/>
        <v>0</v>
      </c>
      <c r="AK433" s="71">
        <f t="shared" si="145"/>
        <v>0</v>
      </c>
      <c r="AM433" s="71">
        <f t="shared" si="146"/>
        <v>0</v>
      </c>
      <c r="AO433" s="71">
        <f t="shared" si="147"/>
        <v>0</v>
      </c>
      <c r="AQ433" s="71">
        <f t="shared" si="148"/>
        <v>0</v>
      </c>
      <c r="AT433" s="71">
        <f t="shared" si="149"/>
        <v>0</v>
      </c>
      <c r="AV433" s="71">
        <f t="shared" si="150"/>
        <v>0</v>
      </c>
      <c r="AX433" s="71">
        <f t="shared" si="151"/>
        <v>0</v>
      </c>
      <c r="AZ433" s="71">
        <f t="shared" si="152"/>
        <v>0</v>
      </c>
      <c r="BE433" s="81">
        <f t="shared" si="153"/>
        <v>0</v>
      </c>
      <c r="BF433" s="81" t="str">
        <f t="shared" si="154"/>
        <v>BASSO</v>
      </c>
    </row>
    <row r="434" spans="7:58" x14ac:dyDescent="0.15">
      <c r="G434" s="64">
        <f t="shared" si="133"/>
        <v>0</v>
      </c>
      <c r="I434" s="64">
        <f t="shared" si="134"/>
        <v>0</v>
      </c>
      <c r="K434" s="64">
        <f t="shared" si="135"/>
        <v>0</v>
      </c>
      <c r="M434" s="64">
        <f t="shared" si="136"/>
        <v>0</v>
      </c>
      <c r="O434" s="64">
        <f t="shared" si="137"/>
        <v>0</v>
      </c>
      <c r="Q434" s="64">
        <f t="shared" si="138"/>
        <v>0</v>
      </c>
      <c r="S434" s="71">
        <f t="shared" si="139"/>
        <v>0</v>
      </c>
      <c r="U434" s="64">
        <f t="shared" si="140"/>
        <v>0</v>
      </c>
      <c r="W434" s="71">
        <f t="shared" si="141"/>
        <v>0</v>
      </c>
      <c r="Y434" s="71">
        <f t="shared" si="142"/>
        <v>0</v>
      </c>
      <c r="AA434" s="71">
        <f t="shared" si="143"/>
        <v>0</v>
      </c>
      <c r="AC434" s="71">
        <f t="shared" si="144"/>
        <v>0</v>
      </c>
      <c r="AK434" s="71">
        <f t="shared" si="145"/>
        <v>0</v>
      </c>
      <c r="AM434" s="71">
        <f t="shared" si="146"/>
        <v>0</v>
      </c>
      <c r="AO434" s="71">
        <f t="shared" si="147"/>
        <v>0</v>
      </c>
      <c r="AQ434" s="71">
        <f t="shared" si="148"/>
        <v>0</v>
      </c>
      <c r="AT434" s="71">
        <f t="shared" si="149"/>
        <v>0</v>
      </c>
      <c r="AV434" s="71">
        <f t="shared" si="150"/>
        <v>0</v>
      </c>
      <c r="AX434" s="71">
        <f t="shared" si="151"/>
        <v>0</v>
      </c>
      <c r="AZ434" s="71">
        <f t="shared" si="152"/>
        <v>0</v>
      </c>
      <c r="BE434" s="81">
        <f t="shared" si="153"/>
        <v>0</v>
      </c>
      <c r="BF434" s="81" t="str">
        <f t="shared" si="154"/>
        <v>BASSO</v>
      </c>
    </row>
    <row r="435" spans="7:58" x14ac:dyDescent="0.15">
      <c r="G435" s="64">
        <f t="shared" si="133"/>
        <v>0</v>
      </c>
      <c r="I435" s="64">
        <f t="shared" si="134"/>
        <v>0</v>
      </c>
      <c r="K435" s="64">
        <f t="shared" si="135"/>
        <v>0</v>
      </c>
      <c r="M435" s="64">
        <f t="shared" si="136"/>
        <v>0</v>
      </c>
      <c r="O435" s="64">
        <f t="shared" si="137"/>
        <v>0</v>
      </c>
      <c r="Q435" s="64">
        <f t="shared" si="138"/>
        <v>0</v>
      </c>
      <c r="S435" s="71">
        <f t="shared" si="139"/>
        <v>0</v>
      </c>
      <c r="U435" s="64">
        <f t="shared" si="140"/>
        <v>0</v>
      </c>
      <c r="W435" s="71">
        <f t="shared" si="141"/>
        <v>0</v>
      </c>
      <c r="Y435" s="71">
        <f t="shared" si="142"/>
        <v>0</v>
      </c>
      <c r="AA435" s="71">
        <f t="shared" si="143"/>
        <v>0</v>
      </c>
      <c r="AC435" s="71">
        <f t="shared" si="144"/>
        <v>0</v>
      </c>
      <c r="AK435" s="71">
        <f t="shared" si="145"/>
        <v>0</v>
      </c>
      <c r="AM435" s="71">
        <f t="shared" si="146"/>
        <v>0</v>
      </c>
      <c r="AO435" s="71">
        <f t="shared" si="147"/>
        <v>0</v>
      </c>
      <c r="AQ435" s="71">
        <f t="shared" si="148"/>
        <v>0</v>
      </c>
      <c r="AT435" s="71">
        <f t="shared" si="149"/>
        <v>0</v>
      </c>
      <c r="AV435" s="71">
        <f t="shared" si="150"/>
        <v>0</v>
      </c>
      <c r="AX435" s="71">
        <f t="shared" si="151"/>
        <v>0</v>
      </c>
      <c r="AZ435" s="71">
        <f t="shared" si="152"/>
        <v>0</v>
      </c>
      <c r="BE435" s="81">
        <f t="shared" si="153"/>
        <v>0</v>
      </c>
      <c r="BF435" s="81" t="str">
        <f t="shared" si="154"/>
        <v>BASSO</v>
      </c>
    </row>
    <row r="436" spans="7:58" x14ac:dyDescent="0.15">
      <c r="G436" s="64">
        <f t="shared" si="133"/>
        <v>0</v>
      </c>
      <c r="I436" s="64">
        <f t="shared" si="134"/>
        <v>0</v>
      </c>
      <c r="K436" s="64">
        <f t="shared" si="135"/>
        <v>0</v>
      </c>
      <c r="M436" s="64">
        <f t="shared" si="136"/>
        <v>0</v>
      </c>
      <c r="O436" s="64">
        <f t="shared" si="137"/>
        <v>0</v>
      </c>
      <c r="Q436" s="64">
        <f t="shared" si="138"/>
        <v>0</v>
      </c>
      <c r="S436" s="71">
        <f t="shared" si="139"/>
        <v>0</v>
      </c>
      <c r="U436" s="64">
        <f t="shared" si="140"/>
        <v>0</v>
      </c>
      <c r="W436" s="71">
        <f t="shared" si="141"/>
        <v>0</v>
      </c>
      <c r="Y436" s="71">
        <f t="shared" si="142"/>
        <v>0</v>
      </c>
      <c r="AA436" s="71">
        <f t="shared" si="143"/>
        <v>0</v>
      </c>
      <c r="AC436" s="71">
        <f t="shared" si="144"/>
        <v>0</v>
      </c>
      <c r="AK436" s="71">
        <f t="shared" si="145"/>
        <v>0</v>
      </c>
      <c r="AM436" s="71">
        <f t="shared" si="146"/>
        <v>0</v>
      </c>
      <c r="AO436" s="71">
        <f t="shared" si="147"/>
        <v>0</v>
      </c>
      <c r="AQ436" s="71">
        <f t="shared" si="148"/>
        <v>0</v>
      </c>
      <c r="AT436" s="71">
        <f t="shared" si="149"/>
        <v>0</v>
      </c>
      <c r="AV436" s="71">
        <f t="shared" si="150"/>
        <v>0</v>
      </c>
      <c r="AX436" s="71">
        <f t="shared" si="151"/>
        <v>0</v>
      </c>
      <c r="AZ436" s="71">
        <f t="shared" si="152"/>
        <v>0</v>
      </c>
      <c r="BE436" s="81">
        <f t="shared" si="153"/>
        <v>0</v>
      </c>
      <c r="BF436" s="81" t="str">
        <f t="shared" si="154"/>
        <v>BASSO</v>
      </c>
    </row>
    <row r="437" spans="7:58" x14ac:dyDescent="0.15">
      <c r="G437" s="64">
        <f t="shared" si="133"/>
        <v>0</v>
      </c>
      <c r="I437" s="64">
        <f t="shared" si="134"/>
        <v>0</v>
      </c>
      <c r="K437" s="64">
        <f t="shared" si="135"/>
        <v>0</v>
      </c>
      <c r="M437" s="64">
        <f t="shared" si="136"/>
        <v>0</v>
      </c>
      <c r="O437" s="64">
        <f t="shared" si="137"/>
        <v>0</v>
      </c>
      <c r="Q437" s="64">
        <f t="shared" si="138"/>
        <v>0</v>
      </c>
      <c r="S437" s="71">
        <f t="shared" si="139"/>
        <v>0</v>
      </c>
      <c r="U437" s="64">
        <f t="shared" si="140"/>
        <v>0</v>
      </c>
      <c r="W437" s="71">
        <f t="shared" si="141"/>
        <v>0</v>
      </c>
      <c r="Y437" s="71">
        <f t="shared" si="142"/>
        <v>0</v>
      </c>
      <c r="AA437" s="71">
        <f t="shared" si="143"/>
        <v>0</v>
      </c>
      <c r="AC437" s="71">
        <f t="shared" si="144"/>
        <v>0</v>
      </c>
      <c r="AK437" s="71">
        <f t="shared" si="145"/>
        <v>0</v>
      </c>
      <c r="AM437" s="71">
        <f t="shared" si="146"/>
        <v>0</v>
      </c>
      <c r="AO437" s="71">
        <f t="shared" si="147"/>
        <v>0</v>
      </c>
      <c r="AQ437" s="71">
        <f t="shared" si="148"/>
        <v>0</v>
      </c>
      <c r="AT437" s="71">
        <f t="shared" si="149"/>
        <v>0</v>
      </c>
      <c r="AV437" s="71">
        <f t="shared" si="150"/>
        <v>0</v>
      </c>
      <c r="AX437" s="71">
        <f t="shared" si="151"/>
        <v>0</v>
      </c>
      <c r="AZ437" s="71">
        <f t="shared" si="152"/>
        <v>0</v>
      </c>
      <c r="BE437" s="81">
        <f t="shared" si="153"/>
        <v>0</v>
      </c>
      <c r="BF437" s="81" t="str">
        <f t="shared" si="154"/>
        <v>BASSO</v>
      </c>
    </row>
    <row r="438" spans="7:58" x14ac:dyDescent="0.15">
      <c r="G438" s="64">
        <f t="shared" si="133"/>
        <v>0</v>
      </c>
      <c r="I438" s="64">
        <f t="shared" si="134"/>
        <v>0</v>
      </c>
      <c r="K438" s="64">
        <f t="shared" si="135"/>
        <v>0</v>
      </c>
      <c r="M438" s="64">
        <f t="shared" si="136"/>
        <v>0</v>
      </c>
      <c r="O438" s="64">
        <f t="shared" si="137"/>
        <v>0</v>
      </c>
      <c r="Q438" s="64">
        <f t="shared" si="138"/>
        <v>0</v>
      </c>
      <c r="S438" s="71">
        <f t="shared" si="139"/>
        <v>0</v>
      </c>
      <c r="U438" s="64">
        <f t="shared" si="140"/>
        <v>0</v>
      </c>
      <c r="W438" s="71">
        <f t="shared" si="141"/>
        <v>0</v>
      </c>
      <c r="Y438" s="71">
        <f t="shared" si="142"/>
        <v>0</v>
      </c>
      <c r="AA438" s="71">
        <f t="shared" si="143"/>
        <v>0</v>
      </c>
      <c r="AC438" s="71">
        <f t="shared" si="144"/>
        <v>0</v>
      </c>
      <c r="AK438" s="71">
        <f t="shared" si="145"/>
        <v>0</v>
      </c>
      <c r="AM438" s="71">
        <f t="shared" si="146"/>
        <v>0</v>
      </c>
      <c r="AO438" s="71">
        <f t="shared" si="147"/>
        <v>0</v>
      </c>
      <c r="AQ438" s="71">
        <f t="shared" si="148"/>
        <v>0</v>
      </c>
      <c r="AT438" s="71">
        <f t="shared" si="149"/>
        <v>0</v>
      </c>
      <c r="AV438" s="71">
        <f t="shared" si="150"/>
        <v>0</v>
      </c>
      <c r="AX438" s="71">
        <f t="shared" si="151"/>
        <v>0</v>
      </c>
      <c r="AZ438" s="71">
        <f t="shared" si="152"/>
        <v>0</v>
      </c>
      <c r="BE438" s="81">
        <f t="shared" si="153"/>
        <v>0</v>
      </c>
      <c r="BF438" s="81" t="str">
        <f t="shared" si="154"/>
        <v>BASSO</v>
      </c>
    </row>
    <row r="439" spans="7:58" x14ac:dyDescent="0.15">
      <c r="G439" s="64">
        <f t="shared" si="133"/>
        <v>0</v>
      </c>
      <c r="I439" s="64">
        <f t="shared" si="134"/>
        <v>0</v>
      </c>
      <c r="K439" s="64">
        <f t="shared" si="135"/>
        <v>0</v>
      </c>
      <c r="M439" s="64">
        <f t="shared" si="136"/>
        <v>0</v>
      </c>
      <c r="O439" s="64">
        <f t="shared" si="137"/>
        <v>0</v>
      </c>
      <c r="Q439" s="64">
        <f t="shared" si="138"/>
        <v>0</v>
      </c>
      <c r="S439" s="71">
        <f t="shared" si="139"/>
        <v>0</v>
      </c>
      <c r="U439" s="64">
        <f t="shared" si="140"/>
        <v>0</v>
      </c>
      <c r="W439" s="71">
        <f t="shared" si="141"/>
        <v>0</v>
      </c>
      <c r="Y439" s="71">
        <f t="shared" si="142"/>
        <v>0</v>
      </c>
      <c r="AA439" s="71">
        <f t="shared" si="143"/>
        <v>0</v>
      </c>
      <c r="AC439" s="71">
        <f t="shared" si="144"/>
        <v>0</v>
      </c>
      <c r="AK439" s="71">
        <f t="shared" si="145"/>
        <v>0</v>
      </c>
      <c r="AM439" s="71">
        <f t="shared" si="146"/>
        <v>0</v>
      </c>
      <c r="AO439" s="71">
        <f t="shared" si="147"/>
        <v>0</v>
      </c>
      <c r="AQ439" s="71">
        <f t="shared" si="148"/>
        <v>0</v>
      </c>
      <c r="AT439" s="71">
        <f t="shared" si="149"/>
        <v>0</v>
      </c>
      <c r="AV439" s="71">
        <f t="shared" si="150"/>
        <v>0</v>
      </c>
      <c r="AX439" s="71">
        <f t="shared" si="151"/>
        <v>0</v>
      </c>
      <c r="AZ439" s="71">
        <f t="shared" si="152"/>
        <v>0</v>
      </c>
      <c r="BE439" s="81">
        <f t="shared" si="153"/>
        <v>0</v>
      </c>
      <c r="BF439" s="81" t="str">
        <f t="shared" si="154"/>
        <v>BASSO</v>
      </c>
    </row>
    <row r="440" spans="7:58" x14ac:dyDescent="0.15">
      <c r="G440" s="64">
        <f t="shared" si="133"/>
        <v>0</v>
      </c>
      <c r="I440" s="64">
        <f t="shared" si="134"/>
        <v>0</v>
      </c>
      <c r="K440" s="64">
        <f t="shared" si="135"/>
        <v>0</v>
      </c>
      <c r="M440" s="64">
        <f t="shared" si="136"/>
        <v>0</v>
      </c>
      <c r="O440" s="64">
        <f t="shared" si="137"/>
        <v>0</v>
      </c>
      <c r="Q440" s="64">
        <f t="shared" si="138"/>
        <v>0</v>
      </c>
      <c r="S440" s="71">
        <f t="shared" si="139"/>
        <v>0</v>
      </c>
      <c r="U440" s="64">
        <f t="shared" si="140"/>
        <v>0</v>
      </c>
      <c r="W440" s="71">
        <f t="shared" si="141"/>
        <v>0</v>
      </c>
      <c r="Y440" s="71">
        <f t="shared" si="142"/>
        <v>0</v>
      </c>
      <c r="AA440" s="71">
        <f t="shared" si="143"/>
        <v>0</v>
      </c>
      <c r="AC440" s="71">
        <f t="shared" si="144"/>
        <v>0</v>
      </c>
      <c r="AK440" s="71">
        <f t="shared" si="145"/>
        <v>0</v>
      </c>
      <c r="AM440" s="71">
        <f t="shared" si="146"/>
        <v>0</v>
      </c>
      <c r="AO440" s="71">
        <f t="shared" si="147"/>
        <v>0</v>
      </c>
      <c r="AQ440" s="71">
        <f t="shared" si="148"/>
        <v>0</v>
      </c>
      <c r="AT440" s="71">
        <f t="shared" si="149"/>
        <v>0</v>
      </c>
      <c r="AV440" s="71">
        <f t="shared" si="150"/>
        <v>0</v>
      </c>
      <c r="AX440" s="71">
        <f t="shared" si="151"/>
        <v>0</v>
      </c>
      <c r="AZ440" s="71">
        <f t="shared" si="152"/>
        <v>0</v>
      </c>
      <c r="BE440" s="81">
        <f t="shared" si="153"/>
        <v>0</v>
      </c>
      <c r="BF440" s="81" t="str">
        <f t="shared" si="154"/>
        <v>BASSO</v>
      </c>
    </row>
    <row r="441" spans="7:58" x14ac:dyDescent="0.15">
      <c r="G441" s="64">
        <f t="shared" si="133"/>
        <v>0</v>
      </c>
      <c r="I441" s="64">
        <f t="shared" si="134"/>
        <v>0</v>
      </c>
      <c r="K441" s="64">
        <f t="shared" si="135"/>
        <v>0</v>
      </c>
      <c r="M441" s="64">
        <f t="shared" si="136"/>
        <v>0</v>
      </c>
      <c r="O441" s="64">
        <f t="shared" si="137"/>
        <v>0</v>
      </c>
      <c r="Q441" s="64">
        <f t="shared" si="138"/>
        <v>0</v>
      </c>
      <c r="S441" s="71">
        <f t="shared" si="139"/>
        <v>0</v>
      </c>
      <c r="U441" s="64">
        <f t="shared" si="140"/>
        <v>0</v>
      </c>
      <c r="W441" s="71">
        <f t="shared" si="141"/>
        <v>0</v>
      </c>
      <c r="Y441" s="71">
        <f t="shared" si="142"/>
        <v>0</v>
      </c>
      <c r="AA441" s="71">
        <f t="shared" si="143"/>
        <v>0</v>
      </c>
      <c r="AC441" s="71">
        <f t="shared" si="144"/>
        <v>0</v>
      </c>
      <c r="AK441" s="71">
        <f t="shared" si="145"/>
        <v>0</v>
      </c>
      <c r="AM441" s="71">
        <f t="shared" si="146"/>
        <v>0</v>
      </c>
      <c r="AO441" s="71">
        <f t="shared" si="147"/>
        <v>0</v>
      </c>
      <c r="AQ441" s="71">
        <f t="shared" si="148"/>
        <v>0</v>
      </c>
      <c r="AT441" s="71">
        <f t="shared" si="149"/>
        <v>0</v>
      </c>
      <c r="AV441" s="71">
        <f t="shared" si="150"/>
        <v>0</v>
      </c>
      <c r="AX441" s="71">
        <f t="shared" si="151"/>
        <v>0</v>
      </c>
      <c r="AZ441" s="71">
        <f t="shared" si="152"/>
        <v>0</v>
      </c>
      <c r="BE441" s="81">
        <f t="shared" si="153"/>
        <v>0</v>
      </c>
      <c r="BF441" s="81" t="str">
        <f t="shared" si="154"/>
        <v>BASSO</v>
      </c>
    </row>
    <row r="442" spans="7:58" x14ac:dyDescent="0.15">
      <c r="G442" s="64">
        <f t="shared" si="133"/>
        <v>0</v>
      </c>
      <c r="I442" s="64">
        <f t="shared" si="134"/>
        <v>0</v>
      </c>
      <c r="K442" s="64">
        <f t="shared" si="135"/>
        <v>0</v>
      </c>
      <c r="M442" s="64">
        <f t="shared" si="136"/>
        <v>0</v>
      </c>
      <c r="O442" s="64">
        <f t="shared" si="137"/>
        <v>0</v>
      </c>
      <c r="Q442" s="64">
        <f t="shared" si="138"/>
        <v>0</v>
      </c>
      <c r="S442" s="71">
        <f t="shared" si="139"/>
        <v>0</v>
      </c>
      <c r="U442" s="64">
        <f t="shared" si="140"/>
        <v>0</v>
      </c>
      <c r="W442" s="71">
        <f t="shared" si="141"/>
        <v>0</v>
      </c>
      <c r="Y442" s="71">
        <f t="shared" si="142"/>
        <v>0</v>
      </c>
      <c r="AA442" s="71">
        <f t="shared" si="143"/>
        <v>0</v>
      </c>
      <c r="AC442" s="71">
        <f t="shared" si="144"/>
        <v>0</v>
      </c>
      <c r="AK442" s="71">
        <f t="shared" si="145"/>
        <v>0</v>
      </c>
      <c r="AM442" s="71">
        <f t="shared" si="146"/>
        <v>0</v>
      </c>
      <c r="AO442" s="71">
        <f t="shared" si="147"/>
        <v>0</v>
      </c>
      <c r="AQ442" s="71">
        <f t="shared" si="148"/>
        <v>0</v>
      </c>
      <c r="AT442" s="71">
        <f t="shared" si="149"/>
        <v>0</v>
      </c>
      <c r="AV442" s="71">
        <f t="shared" si="150"/>
        <v>0</v>
      </c>
      <c r="AX442" s="71">
        <f t="shared" si="151"/>
        <v>0</v>
      </c>
      <c r="AZ442" s="71">
        <f t="shared" si="152"/>
        <v>0</v>
      </c>
      <c r="BE442" s="81">
        <f t="shared" si="153"/>
        <v>0</v>
      </c>
      <c r="BF442" s="81" t="str">
        <f t="shared" si="154"/>
        <v>BASSO</v>
      </c>
    </row>
    <row r="443" spans="7:58" x14ac:dyDescent="0.15">
      <c r="G443" s="64">
        <f t="shared" si="133"/>
        <v>0</v>
      </c>
      <c r="I443" s="64">
        <f t="shared" si="134"/>
        <v>0</v>
      </c>
      <c r="K443" s="64">
        <f t="shared" si="135"/>
        <v>0</v>
      </c>
      <c r="M443" s="64">
        <f t="shared" si="136"/>
        <v>0</v>
      </c>
      <c r="O443" s="64">
        <f t="shared" si="137"/>
        <v>0</v>
      </c>
      <c r="Q443" s="64">
        <f t="shared" si="138"/>
        <v>0</v>
      </c>
      <c r="S443" s="71">
        <f t="shared" si="139"/>
        <v>0</v>
      </c>
      <c r="U443" s="64">
        <f t="shared" si="140"/>
        <v>0</v>
      </c>
      <c r="W443" s="71">
        <f t="shared" si="141"/>
        <v>0</v>
      </c>
      <c r="Y443" s="71">
        <f t="shared" si="142"/>
        <v>0</v>
      </c>
      <c r="AA443" s="71">
        <f t="shared" si="143"/>
        <v>0</v>
      </c>
      <c r="AC443" s="71">
        <f t="shared" si="144"/>
        <v>0</v>
      </c>
      <c r="AK443" s="71">
        <f t="shared" si="145"/>
        <v>0</v>
      </c>
      <c r="AM443" s="71">
        <f t="shared" si="146"/>
        <v>0</v>
      </c>
      <c r="AO443" s="71">
        <f t="shared" si="147"/>
        <v>0</v>
      </c>
      <c r="AQ443" s="71">
        <f t="shared" si="148"/>
        <v>0</v>
      </c>
      <c r="AT443" s="71">
        <f t="shared" si="149"/>
        <v>0</v>
      </c>
      <c r="AV443" s="71">
        <f t="shared" si="150"/>
        <v>0</v>
      </c>
      <c r="AX443" s="71">
        <f t="shared" si="151"/>
        <v>0</v>
      </c>
      <c r="AZ443" s="71">
        <f t="shared" si="152"/>
        <v>0</v>
      </c>
      <c r="BE443" s="81">
        <f t="shared" si="153"/>
        <v>0</v>
      </c>
      <c r="BF443" s="81" t="str">
        <f t="shared" si="154"/>
        <v>BASSO</v>
      </c>
    </row>
    <row r="444" spans="7:58" x14ac:dyDescent="0.15">
      <c r="G444" s="64">
        <f t="shared" si="133"/>
        <v>0</v>
      </c>
      <c r="I444" s="64">
        <f t="shared" si="134"/>
        <v>0</v>
      </c>
      <c r="K444" s="64">
        <f t="shared" si="135"/>
        <v>0</v>
      </c>
      <c r="M444" s="64">
        <f t="shared" si="136"/>
        <v>0</v>
      </c>
      <c r="O444" s="64">
        <f t="shared" si="137"/>
        <v>0</v>
      </c>
      <c r="Q444" s="64">
        <f t="shared" si="138"/>
        <v>0</v>
      </c>
      <c r="S444" s="71">
        <f t="shared" si="139"/>
        <v>0</v>
      </c>
      <c r="U444" s="64">
        <f t="shared" si="140"/>
        <v>0</v>
      </c>
      <c r="W444" s="71">
        <f t="shared" si="141"/>
        <v>0</v>
      </c>
      <c r="Y444" s="71">
        <f t="shared" si="142"/>
        <v>0</v>
      </c>
      <c r="AA444" s="71">
        <f t="shared" si="143"/>
        <v>0</v>
      </c>
      <c r="AC444" s="71">
        <f t="shared" si="144"/>
        <v>0</v>
      </c>
      <c r="AK444" s="71">
        <f t="shared" si="145"/>
        <v>0</v>
      </c>
      <c r="AM444" s="71">
        <f t="shared" si="146"/>
        <v>0</v>
      </c>
      <c r="AO444" s="71">
        <f t="shared" si="147"/>
        <v>0</v>
      </c>
      <c r="AQ444" s="71">
        <f t="shared" si="148"/>
        <v>0</v>
      </c>
      <c r="AT444" s="71">
        <f t="shared" si="149"/>
        <v>0</v>
      </c>
      <c r="AV444" s="71">
        <f t="shared" si="150"/>
        <v>0</v>
      </c>
      <c r="AX444" s="71">
        <f t="shared" si="151"/>
        <v>0</v>
      </c>
      <c r="AZ444" s="71">
        <f t="shared" si="152"/>
        <v>0</v>
      </c>
      <c r="BE444" s="81">
        <f t="shared" si="153"/>
        <v>0</v>
      </c>
      <c r="BF444" s="81" t="str">
        <f t="shared" si="154"/>
        <v>BASSO</v>
      </c>
    </row>
    <row r="445" spans="7:58" x14ac:dyDescent="0.15">
      <c r="G445" s="64">
        <f t="shared" si="133"/>
        <v>0</v>
      </c>
      <c r="I445" s="64">
        <f t="shared" si="134"/>
        <v>0</v>
      </c>
      <c r="K445" s="64">
        <f t="shared" si="135"/>
        <v>0</v>
      </c>
      <c r="M445" s="64">
        <f t="shared" si="136"/>
        <v>0</v>
      </c>
      <c r="O445" s="64">
        <f t="shared" si="137"/>
        <v>0</v>
      </c>
      <c r="Q445" s="64">
        <f t="shared" si="138"/>
        <v>0</v>
      </c>
      <c r="S445" s="71">
        <f t="shared" si="139"/>
        <v>0</v>
      </c>
      <c r="U445" s="64">
        <f t="shared" si="140"/>
        <v>0</v>
      </c>
      <c r="W445" s="71">
        <f t="shared" si="141"/>
        <v>0</v>
      </c>
      <c r="Y445" s="71">
        <f t="shared" si="142"/>
        <v>0</v>
      </c>
      <c r="AA445" s="71">
        <f t="shared" si="143"/>
        <v>0</v>
      </c>
      <c r="AC445" s="71">
        <f t="shared" si="144"/>
        <v>0</v>
      </c>
      <c r="AK445" s="71">
        <f t="shared" si="145"/>
        <v>0</v>
      </c>
      <c r="AM445" s="71">
        <f t="shared" si="146"/>
        <v>0</v>
      </c>
      <c r="AO445" s="71">
        <f t="shared" si="147"/>
        <v>0</v>
      </c>
      <c r="AQ445" s="71">
        <f t="shared" si="148"/>
        <v>0</v>
      </c>
      <c r="AT445" s="71">
        <f t="shared" si="149"/>
        <v>0</v>
      </c>
      <c r="AV445" s="71">
        <f t="shared" si="150"/>
        <v>0</v>
      </c>
      <c r="AX445" s="71">
        <f t="shared" si="151"/>
        <v>0</v>
      </c>
      <c r="AZ445" s="71">
        <f t="shared" si="152"/>
        <v>0</v>
      </c>
      <c r="BE445" s="81">
        <f t="shared" si="153"/>
        <v>0</v>
      </c>
      <c r="BF445" s="81" t="str">
        <f t="shared" si="154"/>
        <v>BASSO</v>
      </c>
    </row>
    <row r="446" spans="7:58" x14ac:dyDescent="0.15">
      <c r="G446" s="64">
        <f t="shared" si="133"/>
        <v>0</v>
      </c>
      <c r="I446" s="64">
        <f t="shared" si="134"/>
        <v>0</v>
      </c>
      <c r="K446" s="64">
        <f t="shared" si="135"/>
        <v>0</v>
      </c>
      <c r="M446" s="64">
        <f t="shared" si="136"/>
        <v>0</v>
      </c>
      <c r="O446" s="64">
        <f t="shared" si="137"/>
        <v>0</v>
      </c>
      <c r="Q446" s="64">
        <f t="shared" si="138"/>
        <v>0</v>
      </c>
      <c r="S446" s="71">
        <f t="shared" si="139"/>
        <v>0</v>
      </c>
      <c r="U446" s="64">
        <f t="shared" si="140"/>
        <v>0</v>
      </c>
      <c r="W446" s="71">
        <f t="shared" si="141"/>
        <v>0</v>
      </c>
      <c r="Y446" s="71">
        <f t="shared" si="142"/>
        <v>0</v>
      </c>
      <c r="AA446" s="71">
        <f t="shared" si="143"/>
        <v>0</v>
      </c>
      <c r="AC446" s="71">
        <f t="shared" si="144"/>
        <v>0</v>
      </c>
      <c r="AK446" s="71">
        <f t="shared" si="145"/>
        <v>0</v>
      </c>
      <c r="AM446" s="71">
        <f t="shared" si="146"/>
        <v>0</v>
      </c>
      <c r="AO446" s="71">
        <f t="shared" si="147"/>
        <v>0</v>
      </c>
      <c r="AQ446" s="71">
        <f t="shared" si="148"/>
        <v>0</v>
      </c>
      <c r="AT446" s="71">
        <f t="shared" si="149"/>
        <v>0</v>
      </c>
      <c r="AV446" s="71">
        <f t="shared" si="150"/>
        <v>0</v>
      </c>
      <c r="AX446" s="71">
        <f t="shared" si="151"/>
        <v>0</v>
      </c>
      <c r="AZ446" s="71">
        <f t="shared" si="152"/>
        <v>0</v>
      </c>
      <c r="BE446" s="81">
        <f t="shared" si="153"/>
        <v>0</v>
      </c>
      <c r="BF446" s="81" t="str">
        <f t="shared" si="154"/>
        <v>BASSO</v>
      </c>
    </row>
    <row r="447" spans="7:58" x14ac:dyDescent="0.15">
      <c r="G447" s="64">
        <f t="shared" si="133"/>
        <v>0</v>
      </c>
      <c r="I447" s="64">
        <f t="shared" si="134"/>
        <v>0</v>
      </c>
      <c r="K447" s="64">
        <f t="shared" si="135"/>
        <v>0</v>
      </c>
      <c r="M447" s="64">
        <f t="shared" si="136"/>
        <v>0</v>
      </c>
      <c r="O447" s="64">
        <f t="shared" si="137"/>
        <v>0</v>
      </c>
      <c r="Q447" s="64">
        <f t="shared" si="138"/>
        <v>0</v>
      </c>
      <c r="S447" s="71">
        <f t="shared" si="139"/>
        <v>0</v>
      </c>
      <c r="U447" s="64">
        <f t="shared" si="140"/>
        <v>0</v>
      </c>
      <c r="W447" s="71">
        <f t="shared" si="141"/>
        <v>0</v>
      </c>
      <c r="Y447" s="71">
        <f t="shared" si="142"/>
        <v>0</v>
      </c>
      <c r="AA447" s="71">
        <f t="shared" si="143"/>
        <v>0</v>
      </c>
      <c r="AC447" s="71">
        <f t="shared" si="144"/>
        <v>0</v>
      </c>
      <c r="AK447" s="71">
        <f t="shared" si="145"/>
        <v>0</v>
      </c>
      <c r="AM447" s="71">
        <f t="shared" si="146"/>
        <v>0</v>
      </c>
      <c r="AO447" s="71">
        <f t="shared" si="147"/>
        <v>0</v>
      </c>
      <c r="AQ447" s="71">
        <f t="shared" si="148"/>
        <v>0</v>
      </c>
      <c r="AT447" s="71">
        <f t="shared" si="149"/>
        <v>0</v>
      </c>
      <c r="AV447" s="71">
        <f t="shared" si="150"/>
        <v>0</v>
      </c>
      <c r="AX447" s="71">
        <f t="shared" si="151"/>
        <v>0</v>
      </c>
      <c r="AZ447" s="71">
        <f t="shared" si="152"/>
        <v>0</v>
      </c>
      <c r="BE447" s="81">
        <f t="shared" si="153"/>
        <v>0</v>
      </c>
      <c r="BF447" s="81" t="str">
        <f t="shared" si="154"/>
        <v>BASSO</v>
      </c>
    </row>
    <row r="448" spans="7:58" x14ac:dyDescent="0.15">
      <c r="G448" s="64">
        <f t="shared" si="133"/>
        <v>0</v>
      </c>
      <c r="I448" s="64">
        <f t="shared" si="134"/>
        <v>0</v>
      </c>
      <c r="K448" s="64">
        <f t="shared" si="135"/>
        <v>0</v>
      </c>
      <c r="M448" s="64">
        <f t="shared" si="136"/>
        <v>0</v>
      </c>
      <c r="O448" s="64">
        <f t="shared" si="137"/>
        <v>0</v>
      </c>
      <c r="Q448" s="64">
        <f t="shared" si="138"/>
        <v>0</v>
      </c>
      <c r="S448" s="71">
        <f t="shared" si="139"/>
        <v>0</v>
      </c>
      <c r="U448" s="64">
        <f t="shared" si="140"/>
        <v>0</v>
      </c>
      <c r="W448" s="71">
        <f t="shared" si="141"/>
        <v>0</v>
      </c>
      <c r="Y448" s="71">
        <f t="shared" si="142"/>
        <v>0</v>
      </c>
      <c r="AA448" s="71">
        <f t="shared" si="143"/>
        <v>0</v>
      </c>
      <c r="AC448" s="71">
        <f t="shared" si="144"/>
        <v>0</v>
      </c>
      <c r="AK448" s="71">
        <f t="shared" si="145"/>
        <v>0</v>
      </c>
      <c r="AM448" s="71">
        <f t="shared" si="146"/>
        <v>0</v>
      </c>
      <c r="AO448" s="71">
        <f t="shared" si="147"/>
        <v>0</v>
      </c>
      <c r="AQ448" s="71">
        <f t="shared" si="148"/>
        <v>0</v>
      </c>
      <c r="AT448" s="71">
        <f t="shared" si="149"/>
        <v>0</v>
      </c>
      <c r="AV448" s="71">
        <f t="shared" si="150"/>
        <v>0</v>
      </c>
      <c r="AX448" s="71">
        <f t="shared" si="151"/>
        <v>0</v>
      </c>
      <c r="AZ448" s="71">
        <f t="shared" si="152"/>
        <v>0</v>
      </c>
      <c r="BE448" s="81">
        <f t="shared" si="153"/>
        <v>0</v>
      </c>
      <c r="BF448" s="81" t="str">
        <f t="shared" si="154"/>
        <v>BASSO</v>
      </c>
    </row>
    <row r="449" spans="7:58" x14ac:dyDescent="0.15">
      <c r="G449" s="64">
        <f t="shared" si="133"/>
        <v>0</v>
      </c>
      <c r="I449" s="64">
        <f t="shared" si="134"/>
        <v>0</v>
      </c>
      <c r="K449" s="64">
        <f t="shared" si="135"/>
        <v>0</v>
      </c>
      <c r="M449" s="64">
        <f t="shared" si="136"/>
        <v>0</v>
      </c>
      <c r="O449" s="64">
        <f t="shared" si="137"/>
        <v>0</v>
      </c>
      <c r="Q449" s="64">
        <f t="shared" si="138"/>
        <v>0</v>
      </c>
      <c r="S449" s="71">
        <f t="shared" si="139"/>
        <v>0</v>
      </c>
      <c r="U449" s="64">
        <f t="shared" si="140"/>
        <v>0</v>
      </c>
      <c r="W449" s="71">
        <f t="shared" si="141"/>
        <v>0</v>
      </c>
      <c r="Y449" s="71">
        <f t="shared" si="142"/>
        <v>0</v>
      </c>
      <c r="AA449" s="71">
        <f t="shared" si="143"/>
        <v>0</v>
      </c>
      <c r="AC449" s="71">
        <f t="shared" si="144"/>
        <v>0</v>
      </c>
      <c r="AK449" s="71">
        <f t="shared" si="145"/>
        <v>0</v>
      </c>
      <c r="AM449" s="71">
        <f t="shared" si="146"/>
        <v>0</v>
      </c>
      <c r="AO449" s="71">
        <f t="shared" si="147"/>
        <v>0</v>
      </c>
      <c r="AQ449" s="71">
        <f t="shared" si="148"/>
        <v>0</v>
      </c>
      <c r="AT449" s="71">
        <f t="shared" si="149"/>
        <v>0</v>
      </c>
      <c r="AV449" s="71">
        <f t="shared" si="150"/>
        <v>0</v>
      </c>
      <c r="AX449" s="71">
        <f t="shared" si="151"/>
        <v>0</v>
      </c>
      <c r="AZ449" s="71">
        <f t="shared" si="152"/>
        <v>0</v>
      </c>
      <c r="BE449" s="81">
        <f t="shared" si="153"/>
        <v>0</v>
      </c>
      <c r="BF449" s="81" t="str">
        <f t="shared" si="154"/>
        <v>BASSO</v>
      </c>
    </row>
    <row r="450" spans="7:58" x14ac:dyDescent="0.15">
      <c r="G450" s="64">
        <f t="shared" ref="G450:G513" si="155">F451/2</f>
        <v>0</v>
      </c>
      <c r="I450" s="64">
        <f t="shared" si="134"/>
        <v>0</v>
      </c>
      <c r="K450" s="64">
        <f t="shared" si="135"/>
        <v>0</v>
      </c>
      <c r="M450" s="64">
        <f t="shared" si="136"/>
        <v>0</v>
      </c>
      <c r="O450" s="64">
        <f t="shared" si="137"/>
        <v>0</v>
      </c>
      <c r="Q450" s="64">
        <f t="shared" si="138"/>
        <v>0</v>
      </c>
      <c r="S450" s="71">
        <f t="shared" si="139"/>
        <v>0</v>
      </c>
      <c r="U450" s="64">
        <f t="shared" si="140"/>
        <v>0</v>
      </c>
      <c r="W450" s="71">
        <f t="shared" si="141"/>
        <v>0</v>
      </c>
      <c r="Y450" s="71">
        <f t="shared" si="142"/>
        <v>0</v>
      </c>
      <c r="AA450" s="71">
        <f t="shared" si="143"/>
        <v>0</v>
      </c>
      <c r="AC450" s="71">
        <f t="shared" si="144"/>
        <v>0</v>
      </c>
      <c r="AK450" s="71">
        <f t="shared" si="145"/>
        <v>0</v>
      </c>
      <c r="AM450" s="71">
        <f t="shared" si="146"/>
        <v>0</v>
      </c>
      <c r="AO450" s="71">
        <f t="shared" si="147"/>
        <v>0</v>
      </c>
      <c r="AQ450" s="71">
        <f t="shared" si="148"/>
        <v>0</v>
      </c>
      <c r="AT450" s="71">
        <f t="shared" si="149"/>
        <v>0</v>
      </c>
      <c r="AV450" s="71">
        <f t="shared" si="150"/>
        <v>0</v>
      </c>
      <c r="AX450" s="71">
        <f t="shared" si="151"/>
        <v>0</v>
      </c>
      <c r="AZ450" s="71">
        <f t="shared" si="152"/>
        <v>0</v>
      </c>
      <c r="BE450" s="81">
        <f t="shared" si="153"/>
        <v>0</v>
      </c>
      <c r="BF450" s="81" t="str">
        <f t="shared" si="154"/>
        <v>BASSO</v>
      </c>
    </row>
    <row r="451" spans="7:58" x14ac:dyDescent="0.15">
      <c r="G451" s="64">
        <f t="shared" si="155"/>
        <v>0</v>
      </c>
      <c r="I451" s="64">
        <f t="shared" ref="I451:I514" si="156">H451/2</f>
        <v>0</v>
      </c>
      <c r="K451" s="64">
        <f t="shared" ref="K451:K514" si="157">J451/2</f>
        <v>0</v>
      </c>
      <c r="M451" s="64">
        <f t="shared" ref="M451:M514" si="158">L451/3</f>
        <v>0</v>
      </c>
      <c r="O451" s="64">
        <f t="shared" ref="O451:O514" si="159">N451/5</f>
        <v>0</v>
      </c>
      <c r="Q451" s="64">
        <f t="shared" ref="Q451:Q514" si="160">P451/3</f>
        <v>0</v>
      </c>
      <c r="S451" s="71">
        <f t="shared" ref="S451:S514" si="161">R451/3</f>
        <v>0</v>
      </c>
      <c r="U451" s="64">
        <f t="shared" ref="U451:U514" si="162">T451/3</f>
        <v>0</v>
      </c>
      <c r="W451" s="71">
        <f t="shared" ref="W451:W514" si="163">V451/4</f>
        <v>0</v>
      </c>
      <c r="Y451" s="71">
        <f t="shared" ref="Y451:Y514" si="164">X451/3</f>
        <v>0</v>
      </c>
      <c r="AA451" s="71">
        <f t="shared" ref="AA451:AA514" si="165">Z451/3</f>
        <v>0</v>
      </c>
      <c r="AC451" s="71">
        <f t="shared" ref="AC451:AC514" si="166">AB451/2</f>
        <v>0</v>
      </c>
      <c r="AK451" s="71">
        <f t="shared" ref="AK451:AK514" si="167">AJ451/2</f>
        <v>0</v>
      </c>
      <c r="AM451" s="71">
        <f t="shared" ref="AM451:AM514" si="168">AL451/3</f>
        <v>0</v>
      </c>
      <c r="AO451" s="71">
        <f t="shared" ref="AO451:AO514" si="169">AN451/3</f>
        <v>0</v>
      </c>
      <c r="AQ451" s="71">
        <f t="shared" ref="AQ451:AQ514" si="170">AP451/3</f>
        <v>0</v>
      </c>
      <c r="AT451" s="71">
        <f t="shared" ref="AT451:AT514" si="171">AS451/3</f>
        <v>0</v>
      </c>
      <c r="AV451" s="71">
        <f t="shared" ref="AV451:AV514" si="172">AU451/3</f>
        <v>0</v>
      </c>
      <c r="AX451" s="71">
        <f t="shared" ref="AX451:AX514" si="173">AW451/2</f>
        <v>0</v>
      </c>
      <c r="AZ451" s="71">
        <f t="shared" ref="AZ451:AZ514" si="174">AY451/3</f>
        <v>0</v>
      </c>
      <c r="BE451" s="81">
        <f t="shared" ref="BE451:BE514" si="175">AVERAGE(F451,I451,K451,M451,O451,Q451,S451,U451,W451,Y451,AA451,AC451,AK451,AM451,AO451,AQ451,AT451,AV451,AX451,AZ451)</f>
        <v>0</v>
      </c>
      <c r="BF451" s="81" t="str">
        <f t="shared" ref="BF451:BF514" si="176">IF(BE451="","",IF(VALUE(BE451)&lt;0.34,"BASSO",IF(VALUE(BE451)&lt;=0.66,"MEDIO","ALTO")))</f>
        <v>BASSO</v>
      </c>
    </row>
    <row r="452" spans="7:58" x14ac:dyDescent="0.15">
      <c r="G452" s="64">
        <f t="shared" si="155"/>
        <v>0</v>
      </c>
      <c r="I452" s="64">
        <f t="shared" si="156"/>
        <v>0</v>
      </c>
      <c r="K452" s="64">
        <f t="shared" si="157"/>
        <v>0</v>
      </c>
      <c r="M452" s="64">
        <f t="shared" si="158"/>
        <v>0</v>
      </c>
      <c r="O452" s="64">
        <f t="shared" si="159"/>
        <v>0</v>
      </c>
      <c r="Q452" s="64">
        <f t="shared" si="160"/>
        <v>0</v>
      </c>
      <c r="S452" s="71">
        <f t="shared" si="161"/>
        <v>0</v>
      </c>
      <c r="U452" s="64">
        <f t="shared" si="162"/>
        <v>0</v>
      </c>
      <c r="W452" s="71">
        <f t="shared" si="163"/>
        <v>0</v>
      </c>
      <c r="Y452" s="71">
        <f t="shared" si="164"/>
        <v>0</v>
      </c>
      <c r="AA452" s="71">
        <f t="shared" si="165"/>
        <v>0</v>
      </c>
      <c r="AC452" s="71">
        <f t="shared" si="166"/>
        <v>0</v>
      </c>
      <c r="AK452" s="71">
        <f t="shared" si="167"/>
        <v>0</v>
      </c>
      <c r="AM452" s="71">
        <f t="shared" si="168"/>
        <v>0</v>
      </c>
      <c r="AO452" s="71">
        <f t="shared" si="169"/>
        <v>0</v>
      </c>
      <c r="AQ452" s="71">
        <f t="shared" si="170"/>
        <v>0</v>
      </c>
      <c r="AT452" s="71">
        <f t="shared" si="171"/>
        <v>0</v>
      </c>
      <c r="AV452" s="71">
        <f t="shared" si="172"/>
        <v>0</v>
      </c>
      <c r="AX452" s="71">
        <f t="shared" si="173"/>
        <v>0</v>
      </c>
      <c r="AZ452" s="71">
        <f t="shared" si="174"/>
        <v>0</v>
      </c>
      <c r="BE452" s="81">
        <f t="shared" si="175"/>
        <v>0</v>
      </c>
      <c r="BF452" s="81" t="str">
        <f t="shared" si="176"/>
        <v>BASSO</v>
      </c>
    </row>
    <row r="453" spans="7:58" x14ac:dyDescent="0.15">
      <c r="G453" s="64">
        <f t="shared" si="155"/>
        <v>0</v>
      </c>
      <c r="I453" s="64">
        <f t="shared" si="156"/>
        <v>0</v>
      </c>
      <c r="K453" s="64">
        <f t="shared" si="157"/>
        <v>0</v>
      </c>
      <c r="M453" s="64">
        <f t="shared" si="158"/>
        <v>0</v>
      </c>
      <c r="O453" s="64">
        <f t="shared" si="159"/>
        <v>0</v>
      </c>
      <c r="Q453" s="64">
        <f t="shared" si="160"/>
        <v>0</v>
      </c>
      <c r="S453" s="71">
        <f t="shared" si="161"/>
        <v>0</v>
      </c>
      <c r="U453" s="64">
        <f t="shared" si="162"/>
        <v>0</v>
      </c>
      <c r="W453" s="71">
        <f t="shared" si="163"/>
        <v>0</v>
      </c>
      <c r="Y453" s="71">
        <f t="shared" si="164"/>
        <v>0</v>
      </c>
      <c r="AA453" s="71">
        <f t="shared" si="165"/>
        <v>0</v>
      </c>
      <c r="AC453" s="71">
        <f t="shared" si="166"/>
        <v>0</v>
      </c>
      <c r="AK453" s="71">
        <f t="shared" si="167"/>
        <v>0</v>
      </c>
      <c r="AM453" s="71">
        <f t="shared" si="168"/>
        <v>0</v>
      </c>
      <c r="AO453" s="71">
        <f t="shared" si="169"/>
        <v>0</v>
      </c>
      <c r="AQ453" s="71">
        <f t="shared" si="170"/>
        <v>0</v>
      </c>
      <c r="AT453" s="71">
        <f t="shared" si="171"/>
        <v>0</v>
      </c>
      <c r="AV453" s="71">
        <f t="shared" si="172"/>
        <v>0</v>
      </c>
      <c r="AX453" s="71">
        <f t="shared" si="173"/>
        <v>0</v>
      </c>
      <c r="AZ453" s="71">
        <f t="shared" si="174"/>
        <v>0</v>
      </c>
      <c r="BE453" s="81">
        <f t="shared" si="175"/>
        <v>0</v>
      </c>
      <c r="BF453" s="81" t="str">
        <f t="shared" si="176"/>
        <v>BASSO</v>
      </c>
    </row>
    <row r="454" spans="7:58" x14ac:dyDescent="0.15">
      <c r="G454" s="64">
        <f t="shared" si="155"/>
        <v>0</v>
      </c>
      <c r="I454" s="64">
        <f t="shared" si="156"/>
        <v>0</v>
      </c>
      <c r="K454" s="64">
        <f t="shared" si="157"/>
        <v>0</v>
      </c>
      <c r="M454" s="64">
        <f t="shared" si="158"/>
        <v>0</v>
      </c>
      <c r="O454" s="64">
        <f t="shared" si="159"/>
        <v>0</v>
      </c>
      <c r="Q454" s="64">
        <f t="shared" si="160"/>
        <v>0</v>
      </c>
      <c r="S454" s="71">
        <f t="shared" si="161"/>
        <v>0</v>
      </c>
      <c r="U454" s="64">
        <f t="shared" si="162"/>
        <v>0</v>
      </c>
      <c r="W454" s="71">
        <f t="shared" si="163"/>
        <v>0</v>
      </c>
      <c r="Y454" s="71">
        <f t="shared" si="164"/>
        <v>0</v>
      </c>
      <c r="AA454" s="71">
        <f t="shared" si="165"/>
        <v>0</v>
      </c>
      <c r="AC454" s="71">
        <f t="shared" si="166"/>
        <v>0</v>
      </c>
      <c r="AK454" s="71">
        <f t="shared" si="167"/>
        <v>0</v>
      </c>
      <c r="AM454" s="71">
        <f t="shared" si="168"/>
        <v>0</v>
      </c>
      <c r="AO454" s="71">
        <f t="shared" si="169"/>
        <v>0</v>
      </c>
      <c r="AQ454" s="71">
        <f t="shared" si="170"/>
        <v>0</v>
      </c>
      <c r="AT454" s="71">
        <f t="shared" si="171"/>
        <v>0</v>
      </c>
      <c r="AV454" s="71">
        <f t="shared" si="172"/>
        <v>0</v>
      </c>
      <c r="AX454" s="71">
        <f t="shared" si="173"/>
        <v>0</v>
      </c>
      <c r="AZ454" s="71">
        <f t="shared" si="174"/>
        <v>0</v>
      </c>
      <c r="BE454" s="81">
        <f t="shared" si="175"/>
        <v>0</v>
      </c>
      <c r="BF454" s="81" t="str">
        <f t="shared" si="176"/>
        <v>BASSO</v>
      </c>
    </row>
    <row r="455" spans="7:58" x14ac:dyDescent="0.15">
      <c r="G455" s="64">
        <f t="shared" si="155"/>
        <v>0</v>
      </c>
      <c r="I455" s="64">
        <f t="shared" si="156"/>
        <v>0</v>
      </c>
      <c r="K455" s="64">
        <f t="shared" si="157"/>
        <v>0</v>
      </c>
      <c r="M455" s="64">
        <f t="shared" si="158"/>
        <v>0</v>
      </c>
      <c r="O455" s="64">
        <f t="shared" si="159"/>
        <v>0</v>
      </c>
      <c r="Q455" s="64">
        <f t="shared" si="160"/>
        <v>0</v>
      </c>
      <c r="S455" s="71">
        <f t="shared" si="161"/>
        <v>0</v>
      </c>
      <c r="U455" s="64">
        <f t="shared" si="162"/>
        <v>0</v>
      </c>
      <c r="W455" s="71">
        <f t="shared" si="163"/>
        <v>0</v>
      </c>
      <c r="Y455" s="71">
        <f t="shared" si="164"/>
        <v>0</v>
      </c>
      <c r="AA455" s="71">
        <f t="shared" si="165"/>
        <v>0</v>
      </c>
      <c r="AC455" s="71">
        <f t="shared" si="166"/>
        <v>0</v>
      </c>
      <c r="AK455" s="71">
        <f t="shared" si="167"/>
        <v>0</v>
      </c>
      <c r="AM455" s="71">
        <f t="shared" si="168"/>
        <v>0</v>
      </c>
      <c r="AO455" s="71">
        <f t="shared" si="169"/>
        <v>0</v>
      </c>
      <c r="AQ455" s="71">
        <f t="shared" si="170"/>
        <v>0</v>
      </c>
      <c r="AT455" s="71">
        <f t="shared" si="171"/>
        <v>0</v>
      </c>
      <c r="AV455" s="71">
        <f t="shared" si="172"/>
        <v>0</v>
      </c>
      <c r="AX455" s="71">
        <f t="shared" si="173"/>
        <v>0</v>
      </c>
      <c r="AZ455" s="71">
        <f t="shared" si="174"/>
        <v>0</v>
      </c>
      <c r="BE455" s="81">
        <f t="shared" si="175"/>
        <v>0</v>
      </c>
      <c r="BF455" s="81" t="str">
        <f t="shared" si="176"/>
        <v>BASSO</v>
      </c>
    </row>
    <row r="456" spans="7:58" x14ac:dyDescent="0.15">
      <c r="G456" s="64">
        <f t="shared" si="155"/>
        <v>0</v>
      </c>
      <c r="I456" s="64">
        <f t="shared" si="156"/>
        <v>0</v>
      </c>
      <c r="K456" s="64">
        <f t="shared" si="157"/>
        <v>0</v>
      </c>
      <c r="M456" s="64">
        <f t="shared" si="158"/>
        <v>0</v>
      </c>
      <c r="O456" s="64">
        <f t="shared" si="159"/>
        <v>0</v>
      </c>
      <c r="Q456" s="64">
        <f t="shared" si="160"/>
        <v>0</v>
      </c>
      <c r="S456" s="71">
        <f t="shared" si="161"/>
        <v>0</v>
      </c>
      <c r="U456" s="64">
        <f t="shared" si="162"/>
        <v>0</v>
      </c>
      <c r="W456" s="71">
        <f t="shared" si="163"/>
        <v>0</v>
      </c>
      <c r="Y456" s="71">
        <f t="shared" si="164"/>
        <v>0</v>
      </c>
      <c r="AA456" s="71">
        <f t="shared" si="165"/>
        <v>0</v>
      </c>
      <c r="AC456" s="71">
        <f t="shared" si="166"/>
        <v>0</v>
      </c>
      <c r="AK456" s="71">
        <f t="shared" si="167"/>
        <v>0</v>
      </c>
      <c r="AM456" s="71">
        <f t="shared" si="168"/>
        <v>0</v>
      </c>
      <c r="AO456" s="71">
        <f t="shared" si="169"/>
        <v>0</v>
      </c>
      <c r="AQ456" s="71">
        <f t="shared" si="170"/>
        <v>0</v>
      </c>
      <c r="AT456" s="71">
        <f t="shared" si="171"/>
        <v>0</v>
      </c>
      <c r="AV456" s="71">
        <f t="shared" si="172"/>
        <v>0</v>
      </c>
      <c r="AX456" s="71">
        <f t="shared" si="173"/>
        <v>0</v>
      </c>
      <c r="AZ456" s="71">
        <f t="shared" si="174"/>
        <v>0</v>
      </c>
      <c r="BE456" s="81">
        <f t="shared" si="175"/>
        <v>0</v>
      </c>
      <c r="BF456" s="81" t="str">
        <f t="shared" si="176"/>
        <v>BASSO</v>
      </c>
    </row>
    <row r="457" spans="7:58" x14ac:dyDescent="0.15">
      <c r="G457" s="64">
        <f t="shared" si="155"/>
        <v>0</v>
      </c>
      <c r="I457" s="64">
        <f t="shared" si="156"/>
        <v>0</v>
      </c>
      <c r="K457" s="64">
        <f t="shared" si="157"/>
        <v>0</v>
      </c>
      <c r="M457" s="64">
        <f t="shared" si="158"/>
        <v>0</v>
      </c>
      <c r="O457" s="64">
        <f t="shared" si="159"/>
        <v>0</v>
      </c>
      <c r="Q457" s="64">
        <f t="shared" si="160"/>
        <v>0</v>
      </c>
      <c r="S457" s="71">
        <f t="shared" si="161"/>
        <v>0</v>
      </c>
      <c r="U457" s="64">
        <f t="shared" si="162"/>
        <v>0</v>
      </c>
      <c r="W457" s="71">
        <f t="shared" si="163"/>
        <v>0</v>
      </c>
      <c r="Y457" s="71">
        <f t="shared" si="164"/>
        <v>0</v>
      </c>
      <c r="AA457" s="71">
        <f t="shared" si="165"/>
        <v>0</v>
      </c>
      <c r="AC457" s="71">
        <f t="shared" si="166"/>
        <v>0</v>
      </c>
      <c r="AK457" s="71">
        <f t="shared" si="167"/>
        <v>0</v>
      </c>
      <c r="AM457" s="71">
        <f t="shared" si="168"/>
        <v>0</v>
      </c>
      <c r="AO457" s="71">
        <f t="shared" si="169"/>
        <v>0</v>
      </c>
      <c r="AQ457" s="71">
        <f t="shared" si="170"/>
        <v>0</v>
      </c>
      <c r="AT457" s="71">
        <f t="shared" si="171"/>
        <v>0</v>
      </c>
      <c r="AV457" s="71">
        <f t="shared" si="172"/>
        <v>0</v>
      </c>
      <c r="AX457" s="71">
        <f t="shared" si="173"/>
        <v>0</v>
      </c>
      <c r="AZ457" s="71">
        <f t="shared" si="174"/>
        <v>0</v>
      </c>
      <c r="BE457" s="81">
        <f t="shared" si="175"/>
        <v>0</v>
      </c>
      <c r="BF457" s="81" t="str">
        <f t="shared" si="176"/>
        <v>BASSO</v>
      </c>
    </row>
    <row r="458" spans="7:58" x14ac:dyDescent="0.15">
      <c r="G458" s="64">
        <f t="shared" si="155"/>
        <v>0</v>
      </c>
      <c r="I458" s="64">
        <f t="shared" si="156"/>
        <v>0</v>
      </c>
      <c r="K458" s="64">
        <f t="shared" si="157"/>
        <v>0</v>
      </c>
      <c r="M458" s="64">
        <f t="shared" si="158"/>
        <v>0</v>
      </c>
      <c r="O458" s="64">
        <f t="shared" si="159"/>
        <v>0</v>
      </c>
      <c r="Q458" s="64">
        <f t="shared" si="160"/>
        <v>0</v>
      </c>
      <c r="S458" s="71">
        <f t="shared" si="161"/>
        <v>0</v>
      </c>
      <c r="U458" s="64">
        <f t="shared" si="162"/>
        <v>0</v>
      </c>
      <c r="W458" s="71">
        <f t="shared" si="163"/>
        <v>0</v>
      </c>
      <c r="Y458" s="71">
        <f t="shared" si="164"/>
        <v>0</v>
      </c>
      <c r="AA458" s="71">
        <f t="shared" si="165"/>
        <v>0</v>
      </c>
      <c r="AC458" s="71">
        <f t="shared" si="166"/>
        <v>0</v>
      </c>
      <c r="AK458" s="71">
        <f t="shared" si="167"/>
        <v>0</v>
      </c>
      <c r="AM458" s="71">
        <f t="shared" si="168"/>
        <v>0</v>
      </c>
      <c r="AO458" s="71">
        <f t="shared" si="169"/>
        <v>0</v>
      </c>
      <c r="AQ458" s="71">
        <f t="shared" si="170"/>
        <v>0</v>
      </c>
      <c r="AT458" s="71">
        <f t="shared" si="171"/>
        <v>0</v>
      </c>
      <c r="AV458" s="71">
        <f t="shared" si="172"/>
        <v>0</v>
      </c>
      <c r="AX458" s="71">
        <f t="shared" si="173"/>
        <v>0</v>
      </c>
      <c r="AZ458" s="71">
        <f t="shared" si="174"/>
        <v>0</v>
      </c>
      <c r="BE458" s="81">
        <f t="shared" si="175"/>
        <v>0</v>
      </c>
      <c r="BF458" s="81" t="str">
        <f t="shared" si="176"/>
        <v>BASSO</v>
      </c>
    </row>
    <row r="459" spans="7:58" x14ac:dyDescent="0.15">
      <c r="G459" s="64">
        <f t="shared" si="155"/>
        <v>0</v>
      </c>
      <c r="I459" s="64">
        <f t="shared" si="156"/>
        <v>0</v>
      </c>
      <c r="K459" s="64">
        <f t="shared" si="157"/>
        <v>0</v>
      </c>
      <c r="M459" s="64">
        <f t="shared" si="158"/>
        <v>0</v>
      </c>
      <c r="O459" s="64">
        <f t="shared" si="159"/>
        <v>0</v>
      </c>
      <c r="Q459" s="64">
        <f t="shared" si="160"/>
        <v>0</v>
      </c>
      <c r="S459" s="71">
        <f t="shared" si="161"/>
        <v>0</v>
      </c>
      <c r="U459" s="64">
        <f t="shared" si="162"/>
        <v>0</v>
      </c>
      <c r="W459" s="71">
        <f t="shared" si="163"/>
        <v>0</v>
      </c>
      <c r="Y459" s="71">
        <f t="shared" si="164"/>
        <v>0</v>
      </c>
      <c r="AA459" s="71">
        <f t="shared" si="165"/>
        <v>0</v>
      </c>
      <c r="AC459" s="71">
        <f t="shared" si="166"/>
        <v>0</v>
      </c>
      <c r="AK459" s="71">
        <f t="shared" si="167"/>
        <v>0</v>
      </c>
      <c r="AM459" s="71">
        <f t="shared" si="168"/>
        <v>0</v>
      </c>
      <c r="AO459" s="71">
        <f t="shared" si="169"/>
        <v>0</v>
      </c>
      <c r="AQ459" s="71">
        <f t="shared" si="170"/>
        <v>0</v>
      </c>
      <c r="AT459" s="71">
        <f t="shared" si="171"/>
        <v>0</v>
      </c>
      <c r="AV459" s="71">
        <f t="shared" si="172"/>
        <v>0</v>
      </c>
      <c r="AX459" s="71">
        <f t="shared" si="173"/>
        <v>0</v>
      </c>
      <c r="AZ459" s="71">
        <f t="shared" si="174"/>
        <v>0</v>
      </c>
      <c r="BE459" s="81">
        <f t="shared" si="175"/>
        <v>0</v>
      </c>
      <c r="BF459" s="81" t="str">
        <f t="shared" si="176"/>
        <v>BASSO</v>
      </c>
    </row>
    <row r="460" spans="7:58" x14ac:dyDescent="0.15">
      <c r="G460" s="64">
        <f t="shared" si="155"/>
        <v>0</v>
      </c>
      <c r="I460" s="64">
        <f t="shared" si="156"/>
        <v>0</v>
      </c>
      <c r="K460" s="64">
        <f t="shared" si="157"/>
        <v>0</v>
      </c>
      <c r="M460" s="64">
        <f t="shared" si="158"/>
        <v>0</v>
      </c>
      <c r="O460" s="64">
        <f t="shared" si="159"/>
        <v>0</v>
      </c>
      <c r="Q460" s="64">
        <f t="shared" si="160"/>
        <v>0</v>
      </c>
      <c r="S460" s="71">
        <f t="shared" si="161"/>
        <v>0</v>
      </c>
      <c r="U460" s="64">
        <f t="shared" si="162"/>
        <v>0</v>
      </c>
      <c r="W460" s="71">
        <f t="shared" si="163"/>
        <v>0</v>
      </c>
      <c r="Y460" s="71">
        <f t="shared" si="164"/>
        <v>0</v>
      </c>
      <c r="AA460" s="71">
        <f t="shared" si="165"/>
        <v>0</v>
      </c>
      <c r="AC460" s="71">
        <f t="shared" si="166"/>
        <v>0</v>
      </c>
      <c r="AK460" s="71">
        <f t="shared" si="167"/>
        <v>0</v>
      </c>
      <c r="AM460" s="71">
        <f t="shared" si="168"/>
        <v>0</v>
      </c>
      <c r="AO460" s="71">
        <f t="shared" si="169"/>
        <v>0</v>
      </c>
      <c r="AQ460" s="71">
        <f t="shared" si="170"/>
        <v>0</v>
      </c>
      <c r="AT460" s="71">
        <f t="shared" si="171"/>
        <v>0</v>
      </c>
      <c r="AV460" s="71">
        <f t="shared" si="172"/>
        <v>0</v>
      </c>
      <c r="AX460" s="71">
        <f t="shared" si="173"/>
        <v>0</v>
      </c>
      <c r="AZ460" s="71">
        <f t="shared" si="174"/>
        <v>0</v>
      </c>
      <c r="BE460" s="81">
        <f t="shared" si="175"/>
        <v>0</v>
      </c>
      <c r="BF460" s="81" t="str">
        <f t="shared" si="176"/>
        <v>BASSO</v>
      </c>
    </row>
    <row r="461" spans="7:58" x14ac:dyDescent="0.15">
      <c r="G461" s="64">
        <f t="shared" si="155"/>
        <v>0</v>
      </c>
      <c r="I461" s="64">
        <f t="shared" si="156"/>
        <v>0</v>
      </c>
      <c r="K461" s="64">
        <f t="shared" si="157"/>
        <v>0</v>
      </c>
      <c r="M461" s="64">
        <f t="shared" si="158"/>
        <v>0</v>
      </c>
      <c r="O461" s="64">
        <f t="shared" si="159"/>
        <v>0</v>
      </c>
      <c r="Q461" s="64">
        <f t="shared" si="160"/>
        <v>0</v>
      </c>
      <c r="S461" s="71">
        <f t="shared" si="161"/>
        <v>0</v>
      </c>
      <c r="U461" s="64">
        <f t="shared" si="162"/>
        <v>0</v>
      </c>
      <c r="W461" s="71">
        <f t="shared" si="163"/>
        <v>0</v>
      </c>
      <c r="Y461" s="71">
        <f t="shared" si="164"/>
        <v>0</v>
      </c>
      <c r="AA461" s="71">
        <f t="shared" si="165"/>
        <v>0</v>
      </c>
      <c r="AC461" s="71">
        <f t="shared" si="166"/>
        <v>0</v>
      </c>
      <c r="AK461" s="71">
        <f t="shared" si="167"/>
        <v>0</v>
      </c>
      <c r="AM461" s="71">
        <f t="shared" si="168"/>
        <v>0</v>
      </c>
      <c r="AO461" s="71">
        <f t="shared" si="169"/>
        <v>0</v>
      </c>
      <c r="AQ461" s="71">
        <f t="shared" si="170"/>
        <v>0</v>
      </c>
      <c r="AT461" s="71">
        <f t="shared" si="171"/>
        <v>0</v>
      </c>
      <c r="AV461" s="71">
        <f t="shared" si="172"/>
        <v>0</v>
      </c>
      <c r="AX461" s="71">
        <f t="shared" si="173"/>
        <v>0</v>
      </c>
      <c r="AZ461" s="71">
        <f t="shared" si="174"/>
        <v>0</v>
      </c>
      <c r="BE461" s="81">
        <f t="shared" si="175"/>
        <v>0</v>
      </c>
      <c r="BF461" s="81" t="str">
        <f t="shared" si="176"/>
        <v>BASSO</v>
      </c>
    </row>
    <row r="462" spans="7:58" x14ac:dyDescent="0.15">
      <c r="G462" s="64">
        <f t="shared" si="155"/>
        <v>0</v>
      </c>
      <c r="I462" s="64">
        <f t="shared" si="156"/>
        <v>0</v>
      </c>
      <c r="K462" s="64">
        <f t="shared" si="157"/>
        <v>0</v>
      </c>
      <c r="M462" s="64">
        <f t="shared" si="158"/>
        <v>0</v>
      </c>
      <c r="O462" s="64">
        <f t="shared" si="159"/>
        <v>0</v>
      </c>
      <c r="Q462" s="64">
        <f t="shared" si="160"/>
        <v>0</v>
      </c>
      <c r="S462" s="71">
        <f t="shared" si="161"/>
        <v>0</v>
      </c>
      <c r="U462" s="64">
        <f t="shared" si="162"/>
        <v>0</v>
      </c>
      <c r="W462" s="71">
        <f t="shared" si="163"/>
        <v>0</v>
      </c>
      <c r="Y462" s="71">
        <f t="shared" si="164"/>
        <v>0</v>
      </c>
      <c r="AA462" s="71">
        <f t="shared" si="165"/>
        <v>0</v>
      </c>
      <c r="AC462" s="71">
        <f t="shared" si="166"/>
        <v>0</v>
      </c>
      <c r="AK462" s="71">
        <f t="shared" si="167"/>
        <v>0</v>
      </c>
      <c r="AM462" s="71">
        <f t="shared" si="168"/>
        <v>0</v>
      </c>
      <c r="AO462" s="71">
        <f t="shared" si="169"/>
        <v>0</v>
      </c>
      <c r="AQ462" s="71">
        <f t="shared" si="170"/>
        <v>0</v>
      </c>
      <c r="AT462" s="71">
        <f t="shared" si="171"/>
        <v>0</v>
      </c>
      <c r="AV462" s="71">
        <f t="shared" si="172"/>
        <v>0</v>
      </c>
      <c r="AX462" s="71">
        <f t="shared" si="173"/>
        <v>0</v>
      </c>
      <c r="AZ462" s="71">
        <f t="shared" si="174"/>
        <v>0</v>
      </c>
      <c r="BE462" s="81">
        <f t="shared" si="175"/>
        <v>0</v>
      </c>
      <c r="BF462" s="81" t="str">
        <f t="shared" si="176"/>
        <v>BASSO</v>
      </c>
    </row>
    <row r="463" spans="7:58" x14ac:dyDescent="0.15">
      <c r="G463" s="64">
        <f t="shared" si="155"/>
        <v>0</v>
      </c>
      <c r="I463" s="64">
        <f t="shared" si="156"/>
        <v>0</v>
      </c>
      <c r="K463" s="64">
        <f t="shared" si="157"/>
        <v>0</v>
      </c>
      <c r="M463" s="64">
        <f t="shared" si="158"/>
        <v>0</v>
      </c>
      <c r="O463" s="64">
        <f t="shared" si="159"/>
        <v>0</v>
      </c>
      <c r="Q463" s="64">
        <f t="shared" si="160"/>
        <v>0</v>
      </c>
      <c r="S463" s="71">
        <f t="shared" si="161"/>
        <v>0</v>
      </c>
      <c r="U463" s="64">
        <f t="shared" si="162"/>
        <v>0</v>
      </c>
      <c r="W463" s="71">
        <f t="shared" si="163"/>
        <v>0</v>
      </c>
      <c r="Y463" s="71">
        <f t="shared" si="164"/>
        <v>0</v>
      </c>
      <c r="AA463" s="71">
        <f t="shared" si="165"/>
        <v>0</v>
      </c>
      <c r="AC463" s="71">
        <f t="shared" si="166"/>
        <v>0</v>
      </c>
      <c r="AK463" s="71">
        <f t="shared" si="167"/>
        <v>0</v>
      </c>
      <c r="AM463" s="71">
        <f t="shared" si="168"/>
        <v>0</v>
      </c>
      <c r="AO463" s="71">
        <f t="shared" si="169"/>
        <v>0</v>
      </c>
      <c r="AQ463" s="71">
        <f t="shared" si="170"/>
        <v>0</v>
      </c>
      <c r="AT463" s="71">
        <f t="shared" si="171"/>
        <v>0</v>
      </c>
      <c r="AV463" s="71">
        <f t="shared" si="172"/>
        <v>0</v>
      </c>
      <c r="AX463" s="71">
        <f t="shared" si="173"/>
        <v>0</v>
      </c>
      <c r="AZ463" s="71">
        <f t="shared" si="174"/>
        <v>0</v>
      </c>
      <c r="BE463" s="81">
        <f t="shared" si="175"/>
        <v>0</v>
      </c>
      <c r="BF463" s="81" t="str">
        <f t="shared" si="176"/>
        <v>BASSO</v>
      </c>
    </row>
    <row r="464" spans="7:58" x14ac:dyDescent="0.15">
      <c r="G464" s="64">
        <f t="shared" si="155"/>
        <v>0</v>
      </c>
      <c r="I464" s="64">
        <f t="shared" si="156"/>
        <v>0</v>
      </c>
      <c r="K464" s="64">
        <f t="shared" si="157"/>
        <v>0</v>
      </c>
      <c r="M464" s="64">
        <f t="shared" si="158"/>
        <v>0</v>
      </c>
      <c r="O464" s="64">
        <f t="shared" si="159"/>
        <v>0</v>
      </c>
      <c r="Q464" s="64">
        <f t="shared" si="160"/>
        <v>0</v>
      </c>
      <c r="S464" s="71">
        <f t="shared" si="161"/>
        <v>0</v>
      </c>
      <c r="U464" s="64">
        <f t="shared" si="162"/>
        <v>0</v>
      </c>
      <c r="W464" s="71">
        <f t="shared" si="163"/>
        <v>0</v>
      </c>
      <c r="Y464" s="71">
        <f t="shared" si="164"/>
        <v>0</v>
      </c>
      <c r="AA464" s="71">
        <f t="shared" si="165"/>
        <v>0</v>
      </c>
      <c r="AC464" s="71">
        <f t="shared" si="166"/>
        <v>0</v>
      </c>
      <c r="AK464" s="71">
        <f t="shared" si="167"/>
        <v>0</v>
      </c>
      <c r="AM464" s="71">
        <f t="shared" si="168"/>
        <v>0</v>
      </c>
      <c r="AO464" s="71">
        <f t="shared" si="169"/>
        <v>0</v>
      </c>
      <c r="AQ464" s="71">
        <f t="shared" si="170"/>
        <v>0</v>
      </c>
      <c r="AT464" s="71">
        <f t="shared" si="171"/>
        <v>0</v>
      </c>
      <c r="AV464" s="71">
        <f t="shared" si="172"/>
        <v>0</v>
      </c>
      <c r="AX464" s="71">
        <f t="shared" si="173"/>
        <v>0</v>
      </c>
      <c r="AZ464" s="71">
        <f t="shared" si="174"/>
        <v>0</v>
      </c>
      <c r="BE464" s="81">
        <f t="shared" si="175"/>
        <v>0</v>
      </c>
      <c r="BF464" s="81" t="str">
        <f t="shared" si="176"/>
        <v>BASSO</v>
      </c>
    </row>
    <row r="465" spans="7:58" x14ac:dyDescent="0.15">
      <c r="G465" s="64">
        <f t="shared" si="155"/>
        <v>0</v>
      </c>
      <c r="I465" s="64">
        <f t="shared" si="156"/>
        <v>0</v>
      </c>
      <c r="K465" s="64">
        <f t="shared" si="157"/>
        <v>0</v>
      </c>
      <c r="M465" s="64">
        <f t="shared" si="158"/>
        <v>0</v>
      </c>
      <c r="O465" s="64">
        <f t="shared" si="159"/>
        <v>0</v>
      </c>
      <c r="Q465" s="64">
        <f t="shared" si="160"/>
        <v>0</v>
      </c>
      <c r="S465" s="71">
        <f t="shared" si="161"/>
        <v>0</v>
      </c>
      <c r="U465" s="64">
        <f t="shared" si="162"/>
        <v>0</v>
      </c>
      <c r="W465" s="71">
        <f t="shared" si="163"/>
        <v>0</v>
      </c>
      <c r="Y465" s="71">
        <f t="shared" si="164"/>
        <v>0</v>
      </c>
      <c r="AA465" s="71">
        <f t="shared" si="165"/>
        <v>0</v>
      </c>
      <c r="AC465" s="71">
        <f t="shared" si="166"/>
        <v>0</v>
      </c>
      <c r="AK465" s="71">
        <f t="shared" si="167"/>
        <v>0</v>
      </c>
      <c r="AM465" s="71">
        <f t="shared" si="168"/>
        <v>0</v>
      </c>
      <c r="AO465" s="71">
        <f t="shared" si="169"/>
        <v>0</v>
      </c>
      <c r="AQ465" s="71">
        <f t="shared" si="170"/>
        <v>0</v>
      </c>
      <c r="AT465" s="71">
        <f t="shared" si="171"/>
        <v>0</v>
      </c>
      <c r="AV465" s="71">
        <f t="shared" si="172"/>
        <v>0</v>
      </c>
      <c r="AX465" s="71">
        <f t="shared" si="173"/>
        <v>0</v>
      </c>
      <c r="AZ465" s="71">
        <f t="shared" si="174"/>
        <v>0</v>
      </c>
      <c r="BE465" s="81">
        <f t="shared" si="175"/>
        <v>0</v>
      </c>
      <c r="BF465" s="81" t="str">
        <f t="shared" si="176"/>
        <v>BASSO</v>
      </c>
    </row>
    <row r="466" spans="7:58" x14ac:dyDescent="0.15">
      <c r="G466" s="64">
        <f t="shared" si="155"/>
        <v>0</v>
      </c>
      <c r="I466" s="64">
        <f t="shared" si="156"/>
        <v>0</v>
      </c>
      <c r="K466" s="64">
        <f t="shared" si="157"/>
        <v>0</v>
      </c>
      <c r="M466" s="64">
        <f t="shared" si="158"/>
        <v>0</v>
      </c>
      <c r="O466" s="64">
        <f t="shared" si="159"/>
        <v>0</v>
      </c>
      <c r="Q466" s="64">
        <f t="shared" si="160"/>
        <v>0</v>
      </c>
      <c r="S466" s="71">
        <f t="shared" si="161"/>
        <v>0</v>
      </c>
      <c r="U466" s="64">
        <f t="shared" si="162"/>
        <v>0</v>
      </c>
      <c r="W466" s="71">
        <f t="shared" si="163"/>
        <v>0</v>
      </c>
      <c r="Y466" s="71">
        <f t="shared" si="164"/>
        <v>0</v>
      </c>
      <c r="AA466" s="71">
        <f t="shared" si="165"/>
        <v>0</v>
      </c>
      <c r="AC466" s="71">
        <f t="shared" si="166"/>
        <v>0</v>
      </c>
      <c r="AK466" s="71">
        <f t="shared" si="167"/>
        <v>0</v>
      </c>
      <c r="AM466" s="71">
        <f t="shared" si="168"/>
        <v>0</v>
      </c>
      <c r="AO466" s="71">
        <f t="shared" si="169"/>
        <v>0</v>
      </c>
      <c r="AQ466" s="71">
        <f t="shared" si="170"/>
        <v>0</v>
      </c>
      <c r="AT466" s="71">
        <f t="shared" si="171"/>
        <v>0</v>
      </c>
      <c r="AV466" s="71">
        <f t="shared" si="172"/>
        <v>0</v>
      </c>
      <c r="AX466" s="71">
        <f t="shared" si="173"/>
        <v>0</v>
      </c>
      <c r="AZ466" s="71">
        <f t="shared" si="174"/>
        <v>0</v>
      </c>
      <c r="BE466" s="81">
        <f t="shared" si="175"/>
        <v>0</v>
      </c>
      <c r="BF466" s="81" t="str">
        <f t="shared" si="176"/>
        <v>BASSO</v>
      </c>
    </row>
    <row r="467" spans="7:58" x14ac:dyDescent="0.15">
      <c r="G467" s="64">
        <f t="shared" si="155"/>
        <v>0</v>
      </c>
      <c r="I467" s="64">
        <f t="shared" si="156"/>
        <v>0</v>
      </c>
      <c r="K467" s="64">
        <f t="shared" si="157"/>
        <v>0</v>
      </c>
      <c r="M467" s="64">
        <f t="shared" si="158"/>
        <v>0</v>
      </c>
      <c r="O467" s="64">
        <f t="shared" si="159"/>
        <v>0</v>
      </c>
      <c r="Q467" s="64">
        <f t="shared" si="160"/>
        <v>0</v>
      </c>
      <c r="S467" s="71">
        <f t="shared" si="161"/>
        <v>0</v>
      </c>
      <c r="U467" s="64">
        <f t="shared" si="162"/>
        <v>0</v>
      </c>
      <c r="W467" s="71">
        <f t="shared" si="163"/>
        <v>0</v>
      </c>
      <c r="Y467" s="71">
        <f t="shared" si="164"/>
        <v>0</v>
      </c>
      <c r="AA467" s="71">
        <f t="shared" si="165"/>
        <v>0</v>
      </c>
      <c r="AC467" s="71">
        <f t="shared" si="166"/>
        <v>0</v>
      </c>
      <c r="AK467" s="71">
        <f t="shared" si="167"/>
        <v>0</v>
      </c>
      <c r="AM467" s="71">
        <f t="shared" si="168"/>
        <v>0</v>
      </c>
      <c r="AO467" s="71">
        <f t="shared" si="169"/>
        <v>0</v>
      </c>
      <c r="AQ467" s="71">
        <f t="shared" si="170"/>
        <v>0</v>
      </c>
      <c r="AT467" s="71">
        <f t="shared" si="171"/>
        <v>0</v>
      </c>
      <c r="AV467" s="71">
        <f t="shared" si="172"/>
        <v>0</v>
      </c>
      <c r="AX467" s="71">
        <f t="shared" si="173"/>
        <v>0</v>
      </c>
      <c r="AZ467" s="71">
        <f t="shared" si="174"/>
        <v>0</v>
      </c>
      <c r="BE467" s="81">
        <f t="shared" si="175"/>
        <v>0</v>
      </c>
      <c r="BF467" s="81" t="str">
        <f t="shared" si="176"/>
        <v>BASSO</v>
      </c>
    </row>
    <row r="468" spans="7:58" x14ac:dyDescent="0.15">
      <c r="G468" s="64">
        <f t="shared" si="155"/>
        <v>0</v>
      </c>
      <c r="I468" s="64">
        <f t="shared" si="156"/>
        <v>0</v>
      </c>
      <c r="K468" s="64">
        <f t="shared" si="157"/>
        <v>0</v>
      </c>
      <c r="M468" s="64">
        <f t="shared" si="158"/>
        <v>0</v>
      </c>
      <c r="O468" s="64">
        <f t="shared" si="159"/>
        <v>0</v>
      </c>
      <c r="Q468" s="64">
        <f t="shared" si="160"/>
        <v>0</v>
      </c>
      <c r="S468" s="71">
        <f t="shared" si="161"/>
        <v>0</v>
      </c>
      <c r="U468" s="64">
        <f t="shared" si="162"/>
        <v>0</v>
      </c>
      <c r="W468" s="71">
        <f t="shared" si="163"/>
        <v>0</v>
      </c>
      <c r="Y468" s="71">
        <f t="shared" si="164"/>
        <v>0</v>
      </c>
      <c r="AA468" s="71">
        <f t="shared" si="165"/>
        <v>0</v>
      </c>
      <c r="AC468" s="71">
        <f t="shared" si="166"/>
        <v>0</v>
      </c>
      <c r="AK468" s="71">
        <f t="shared" si="167"/>
        <v>0</v>
      </c>
      <c r="AM468" s="71">
        <f t="shared" si="168"/>
        <v>0</v>
      </c>
      <c r="AO468" s="71">
        <f t="shared" si="169"/>
        <v>0</v>
      </c>
      <c r="AQ468" s="71">
        <f t="shared" si="170"/>
        <v>0</v>
      </c>
      <c r="AT468" s="71">
        <f t="shared" si="171"/>
        <v>0</v>
      </c>
      <c r="AV468" s="71">
        <f t="shared" si="172"/>
        <v>0</v>
      </c>
      <c r="AX468" s="71">
        <f t="shared" si="173"/>
        <v>0</v>
      </c>
      <c r="AZ468" s="71">
        <f t="shared" si="174"/>
        <v>0</v>
      </c>
      <c r="BE468" s="81">
        <f t="shared" si="175"/>
        <v>0</v>
      </c>
      <c r="BF468" s="81" t="str">
        <f t="shared" si="176"/>
        <v>BASSO</v>
      </c>
    </row>
    <row r="469" spans="7:58" x14ac:dyDescent="0.15">
      <c r="G469" s="64">
        <f t="shared" si="155"/>
        <v>0</v>
      </c>
      <c r="I469" s="64">
        <f t="shared" si="156"/>
        <v>0</v>
      </c>
      <c r="K469" s="64">
        <f t="shared" si="157"/>
        <v>0</v>
      </c>
      <c r="M469" s="64">
        <f t="shared" si="158"/>
        <v>0</v>
      </c>
      <c r="O469" s="64">
        <f t="shared" si="159"/>
        <v>0</v>
      </c>
      <c r="Q469" s="64">
        <f t="shared" si="160"/>
        <v>0</v>
      </c>
      <c r="S469" s="71">
        <f t="shared" si="161"/>
        <v>0</v>
      </c>
      <c r="U469" s="64">
        <f t="shared" si="162"/>
        <v>0</v>
      </c>
      <c r="W469" s="71">
        <f t="shared" si="163"/>
        <v>0</v>
      </c>
      <c r="Y469" s="71">
        <f t="shared" si="164"/>
        <v>0</v>
      </c>
      <c r="AA469" s="71">
        <f t="shared" si="165"/>
        <v>0</v>
      </c>
      <c r="AC469" s="71">
        <f t="shared" si="166"/>
        <v>0</v>
      </c>
      <c r="AK469" s="71">
        <f t="shared" si="167"/>
        <v>0</v>
      </c>
      <c r="AM469" s="71">
        <f t="shared" si="168"/>
        <v>0</v>
      </c>
      <c r="AO469" s="71">
        <f t="shared" si="169"/>
        <v>0</v>
      </c>
      <c r="AQ469" s="71">
        <f t="shared" si="170"/>
        <v>0</v>
      </c>
      <c r="AT469" s="71">
        <f t="shared" si="171"/>
        <v>0</v>
      </c>
      <c r="AV469" s="71">
        <f t="shared" si="172"/>
        <v>0</v>
      </c>
      <c r="AX469" s="71">
        <f t="shared" si="173"/>
        <v>0</v>
      </c>
      <c r="AZ469" s="71">
        <f t="shared" si="174"/>
        <v>0</v>
      </c>
      <c r="BE469" s="81">
        <f t="shared" si="175"/>
        <v>0</v>
      </c>
      <c r="BF469" s="81" t="str">
        <f t="shared" si="176"/>
        <v>BASSO</v>
      </c>
    </row>
    <row r="470" spans="7:58" x14ac:dyDescent="0.15">
      <c r="G470" s="64">
        <f t="shared" si="155"/>
        <v>0</v>
      </c>
      <c r="I470" s="64">
        <f t="shared" si="156"/>
        <v>0</v>
      </c>
      <c r="K470" s="64">
        <f t="shared" si="157"/>
        <v>0</v>
      </c>
      <c r="M470" s="64">
        <f t="shared" si="158"/>
        <v>0</v>
      </c>
      <c r="O470" s="64">
        <f t="shared" si="159"/>
        <v>0</v>
      </c>
      <c r="Q470" s="64">
        <f t="shared" si="160"/>
        <v>0</v>
      </c>
      <c r="S470" s="71">
        <f t="shared" si="161"/>
        <v>0</v>
      </c>
      <c r="U470" s="64">
        <f t="shared" si="162"/>
        <v>0</v>
      </c>
      <c r="W470" s="71">
        <f t="shared" si="163"/>
        <v>0</v>
      </c>
      <c r="Y470" s="71">
        <f t="shared" si="164"/>
        <v>0</v>
      </c>
      <c r="AA470" s="71">
        <f t="shared" si="165"/>
        <v>0</v>
      </c>
      <c r="AC470" s="71">
        <f t="shared" si="166"/>
        <v>0</v>
      </c>
      <c r="AK470" s="71">
        <f t="shared" si="167"/>
        <v>0</v>
      </c>
      <c r="AM470" s="71">
        <f t="shared" si="168"/>
        <v>0</v>
      </c>
      <c r="AO470" s="71">
        <f t="shared" si="169"/>
        <v>0</v>
      </c>
      <c r="AQ470" s="71">
        <f t="shared" si="170"/>
        <v>0</v>
      </c>
      <c r="AT470" s="71">
        <f t="shared" si="171"/>
        <v>0</v>
      </c>
      <c r="AV470" s="71">
        <f t="shared" si="172"/>
        <v>0</v>
      </c>
      <c r="AX470" s="71">
        <f t="shared" si="173"/>
        <v>0</v>
      </c>
      <c r="AZ470" s="71">
        <f t="shared" si="174"/>
        <v>0</v>
      </c>
      <c r="BE470" s="81">
        <f t="shared" si="175"/>
        <v>0</v>
      </c>
      <c r="BF470" s="81" t="str">
        <f t="shared" si="176"/>
        <v>BASSO</v>
      </c>
    </row>
    <row r="471" spans="7:58" x14ac:dyDescent="0.15">
      <c r="G471" s="64">
        <f t="shared" si="155"/>
        <v>0</v>
      </c>
      <c r="I471" s="64">
        <f t="shared" si="156"/>
        <v>0</v>
      </c>
      <c r="K471" s="64">
        <f t="shared" si="157"/>
        <v>0</v>
      </c>
      <c r="M471" s="64">
        <f t="shared" si="158"/>
        <v>0</v>
      </c>
      <c r="O471" s="64">
        <f t="shared" si="159"/>
        <v>0</v>
      </c>
      <c r="Q471" s="64">
        <f t="shared" si="160"/>
        <v>0</v>
      </c>
      <c r="S471" s="71">
        <f t="shared" si="161"/>
        <v>0</v>
      </c>
      <c r="U471" s="64">
        <f t="shared" si="162"/>
        <v>0</v>
      </c>
      <c r="W471" s="71">
        <f t="shared" si="163"/>
        <v>0</v>
      </c>
      <c r="Y471" s="71">
        <f t="shared" si="164"/>
        <v>0</v>
      </c>
      <c r="AA471" s="71">
        <f t="shared" si="165"/>
        <v>0</v>
      </c>
      <c r="AC471" s="71">
        <f t="shared" si="166"/>
        <v>0</v>
      </c>
      <c r="AK471" s="71">
        <f t="shared" si="167"/>
        <v>0</v>
      </c>
      <c r="AM471" s="71">
        <f t="shared" si="168"/>
        <v>0</v>
      </c>
      <c r="AO471" s="71">
        <f t="shared" si="169"/>
        <v>0</v>
      </c>
      <c r="AQ471" s="71">
        <f t="shared" si="170"/>
        <v>0</v>
      </c>
      <c r="AT471" s="71">
        <f t="shared" si="171"/>
        <v>0</v>
      </c>
      <c r="AV471" s="71">
        <f t="shared" si="172"/>
        <v>0</v>
      </c>
      <c r="AX471" s="71">
        <f t="shared" si="173"/>
        <v>0</v>
      </c>
      <c r="AZ471" s="71">
        <f t="shared" si="174"/>
        <v>0</v>
      </c>
      <c r="BE471" s="81">
        <f t="shared" si="175"/>
        <v>0</v>
      </c>
      <c r="BF471" s="81" t="str">
        <f t="shared" si="176"/>
        <v>BASSO</v>
      </c>
    </row>
    <row r="472" spans="7:58" x14ac:dyDescent="0.15">
      <c r="G472" s="64">
        <f t="shared" si="155"/>
        <v>0</v>
      </c>
      <c r="I472" s="64">
        <f t="shared" si="156"/>
        <v>0</v>
      </c>
      <c r="K472" s="64">
        <f t="shared" si="157"/>
        <v>0</v>
      </c>
      <c r="M472" s="64">
        <f t="shared" si="158"/>
        <v>0</v>
      </c>
      <c r="O472" s="64">
        <f t="shared" si="159"/>
        <v>0</v>
      </c>
      <c r="Q472" s="64">
        <f t="shared" si="160"/>
        <v>0</v>
      </c>
      <c r="S472" s="71">
        <f t="shared" si="161"/>
        <v>0</v>
      </c>
      <c r="U472" s="64">
        <f t="shared" si="162"/>
        <v>0</v>
      </c>
      <c r="W472" s="71">
        <f t="shared" si="163"/>
        <v>0</v>
      </c>
      <c r="Y472" s="71">
        <f t="shared" si="164"/>
        <v>0</v>
      </c>
      <c r="AA472" s="71">
        <f t="shared" si="165"/>
        <v>0</v>
      </c>
      <c r="AC472" s="71">
        <f t="shared" si="166"/>
        <v>0</v>
      </c>
      <c r="AK472" s="71">
        <f t="shared" si="167"/>
        <v>0</v>
      </c>
      <c r="AM472" s="71">
        <f t="shared" si="168"/>
        <v>0</v>
      </c>
      <c r="AO472" s="71">
        <f t="shared" si="169"/>
        <v>0</v>
      </c>
      <c r="AQ472" s="71">
        <f t="shared" si="170"/>
        <v>0</v>
      </c>
      <c r="AT472" s="71">
        <f t="shared" si="171"/>
        <v>0</v>
      </c>
      <c r="AV472" s="71">
        <f t="shared" si="172"/>
        <v>0</v>
      </c>
      <c r="AX472" s="71">
        <f t="shared" si="173"/>
        <v>0</v>
      </c>
      <c r="AZ472" s="71">
        <f t="shared" si="174"/>
        <v>0</v>
      </c>
      <c r="BE472" s="81">
        <f t="shared" si="175"/>
        <v>0</v>
      </c>
      <c r="BF472" s="81" t="str">
        <f t="shared" si="176"/>
        <v>BASSO</v>
      </c>
    </row>
    <row r="473" spans="7:58" x14ac:dyDescent="0.15">
      <c r="G473" s="64">
        <f t="shared" si="155"/>
        <v>0</v>
      </c>
      <c r="I473" s="64">
        <f t="shared" si="156"/>
        <v>0</v>
      </c>
      <c r="K473" s="64">
        <f t="shared" si="157"/>
        <v>0</v>
      </c>
      <c r="M473" s="64">
        <f t="shared" si="158"/>
        <v>0</v>
      </c>
      <c r="O473" s="64">
        <f t="shared" si="159"/>
        <v>0</v>
      </c>
      <c r="Q473" s="64">
        <f t="shared" si="160"/>
        <v>0</v>
      </c>
      <c r="S473" s="71">
        <f t="shared" si="161"/>
        <v>0</v>
      </c>
      <c r="U473" s="64">
        <f t="shared" si="162"/>
        <v>0</v>
      </c>
      <c r="W473" s="71">
        <f t="shared" si="163"/>
        <v>0</v>
      </c>
      <c r="Y473" s="71">
        <f t="shared" si="164"/>
        <v>0</v>
      </c>
      <c r="AA473" s="71">
        <f t="shared" si="165"/>
        <v>0</v>
      </c>
      <c r="AC473" s="71">
        <f t="shared" si="166"/>
        <v>0</v>
      </c>
      <c r="AK473" s="71">
        <f t="shared" si="167"/>
        <v>0</v>
      </c>
      <c r="AM473" s="71">
        <f t="shared" si="168"/>
        <v>0</v>
      </c>
      <c r="AO473" s="71">
        <f t="shared" si="169"/>
        <v>0</v>
      </c>
      <c r="AQ473" s="71">
        <f t="shared" si="170"/>
        <v>0</v>
      </c>
      <c r="AT473" s="71">
        <f t="shared" si="171"/>
        <v>0</v>
      </c>
      <c r="AV473" s="71">
        <f t="shared" si="172"/>
        <v>0</v>
      </c>
      <c r="AX473" s="71">
        <f t="shared" si="173"/>
        <v>0</v>
      </c>
      <c r="AZ473" s="71">
        <f t="shared" si="174"/>
        <v>0</v>
      </c>
      <c r="BE473" s="81">
        <f t="shared" si="175"/>
        <v>0</v>
      </c>
      <c r="BF473" s="81" t="str">
        <f t="shared" si="176"/>
        <v>BASSO</v>
      </c>
    </row>
    <row r="474" spans="7:58" x14ac:dyDescent="0.15">
      <c r="G474" s="64">
        <f t="shared" si="155"/>
        <v>0</v>
      </c>
      <c r="I474" s="64">
        <f t="shared" si="156"/>
        <v>0</v>
      </c>
      <c r="K474" s="64">
        <f t="shared" si="157"/>
        <v>0</v>
      </c>
      <c r="M474" s="64">
        <f t="shared" si="158"/>
        <v>0</v>
      </c>
      <c r="O474" s="64">
        <f t="shared" si="159"/>
        <v>0</v>
      </c>
      <c r="Q474" s="64">
        <f t="shared" si="160"/>
        <v>0</v>
      </c>
      <c r="S474" s="71">
        <f t="shared" si="161"/>
        <v>0</v>
      </c>
      <c r="U474" s="64">
        <f t="shared" si="162"/>
        <v>0</v>
      </c>
      <c r="W474" s="71">
        <f t="shared" si="163"/>
        <v>0</v>
      </c>
      <c r="Y474" s="71">
        <f t="shared" si="164"/>
        <v>0</v>
      </c>
      <c r="AA474" s="71">
        <f t="shared" si="165"/>
        <v>0</v>
      </c>
      <c r="AC474" s="71">
        <f t="shared" si="166"/>
        <v>0</v>
      </c>
      <c r="AK474" s="71">
        <f t="shared" si="167"/>
        <v>0</v>
      </c>
      <c r="AM474" s="71">
        <f t="shared" si="168"/>
        <v>0</v>
      </c>
      <c r="AO474" s="71">
        <f t="shared" si="169"/>
        <v>0</v>
      </c>
      <c r="AQ474" s="71">
        <f t="shared" si="170"/>
        <v>0</v>
      </c>
      <c r="AT474" s="71">
        <f t="shared" si="171"/>
        <v>0</v>
      </c>
      <c r="AV474" s="71">
        <f t="shared" si="172"/>
        <v>0</v>
      </c>
      <c r="AX474" s="71">
        <f t="shared" si="173"/>
        <v>0</v>
      </c>
      <c r="AZ474" s="71">
        <f t="shared" si="174"/>
        <v>0</v>
      </c>
      <c r="BE474" s="81">
        <f t="shared" si="175"/>
        <v>0</v>
      </c>
      <c r="BF474" s="81" t="str">
        <f t="shared" si="176"/>
        <v>BASSO</v>
      </c>
    </row>
    <row r="475" spans="7:58" x14ac:dyDescent="0.15">
      <c r="G475" s="64">
        <f t="shared" si="155"/>
        <v>0</v>
      </c>
      <c r="I475" s="64">
        <f t="shared" si="156"/>
        <v>0</v>
      </c>
      <c r="K475" s="64">
        <f t="shared" si="157"/>
        <v>0</v>
      </c>
      <c r="M475" s="64">
        <f t="shared" si="158"/>
        <v>0</v>
      </c>
      <c r="O475" s="64">
        <f t="shared" si="159"/>
        <v>0</v>
      </c>
      <c r="Q475" s="64">
        <f t="shared" si="160"/>
        <v>0</v>
      </c>
      <c r="S475" s="71">
        <f t="shared" si="161"/>
        <v>0</v>
      </c>
      <c r="U475" s="64">
        <f t="shared" si="162"/>
        <v>0</v>
      </c>
      <c r="W475" s="71">
        <f t="shared" si="163"/>
        <v>0</v>
      </c>
      <c r="Y475" s="71">
        <f t="shared" si="164"/>
        <v>0</v>
      </c>
      <c r="AA475" s="71">
        <f t="shared" si="165"/>
        <v>0</v>
      </c>
      <c r="AC475" s="71">
        <f t="shared" si="166"/>
        <v>0</v>
      </c>
      <c r="AK475" s="71">
        <f t="shared" si="167"/>
        <v>0</v>
      </c>
      <c r="AM475" s="71">
        <f t="shared" si="168"/>
        <v>0</v>
      </c>
      <c r="AO475" s="71">
        <f t="shared" si="169"/>
        <v>0</v>
      </c>
      <c r="AQ475" s="71">
        <f t="shared" si="170"/>
        <v>0</v>
      </c>
      <c r="AT475" s="71">
        <f t="shared" si="171"/>
        <v>0</v>
      </c>
      <c r="AV475" s="71">
        <f t="shared" si="172"/>
        <v>0</v>
      </c>
      <c r="AX475" s="71">
        <f t="shared" si="173"/>
        <v>0</v>
      </c>
      <c r="AZ475" s="71">
        <f t="shared" si="174"/>
        <v>0</v>
      </c>
      <c r="BE475" s="81">
        <f t="shared" si="175"/>
        <v>0</v>
      </c>
      <c r="BF475" s="81" t="str">
        <f t="shared" si="176"/>
        <v>BASSO</v>
      </c>
    </row>
    <row r="476" spans="7:58" x14ac:dyDescent="0.15">
      <c r="G476" s="64">
        <f t="shared" si="155"/>
        <v>0</v>
      </c>
      <c r="I476" s="64">
        <f t="shared" si="156"/>
        <v>0</v>
      </c>
      <c r="K476" s="64">
        <f t="shared" si="157"/>
        <v>0</v>
      </c>
      <c r="M476" s="64">
        <f t="shared" si="158"/>
        <v>0</v>
      </c>
      <c r="O476" s="64">
        <f t="shared" si="159"/>
        <v>0</v>
      </c>
      <c r="Q476" s="64">
        <f t="shared" si="160"/>
        <v>0</v>
      </c>
      <c r="S476" s="71">
        <f t="shared" si="161"/>
        <v>0</v>
      </c>
      <c r="U476" s="64">
        <f t="shared" si="162"/>
        <v>0</v>
      </c>
      <c r="W476" s="71">
        <f t="shared" si="163"/>
        <v>0</v>
      </c>
      <c r="Y476" s="71">
        <f t="shared" si="164"/>
        <v>0</v>
      </c>
      <c r="AA476" s="71">
        <f t="shared" si="165"/>
        <v>0</v>
      </c>
      <c r="AC476" s="71">
        <f t="shared" si="166"/>
        <v>0</v>
      </c>
      <c r="AK476" s="71">
        <f t="shared" si="167"/>
        <v>0</v>
      </c>
      <c r="AM476" s="71">
        <f t="shared" si="168"/>
        <v>0</v>
      </c>
      <c r="AO476" s="71">
        <f t="shared" si="169"/>
        <v>0</v>
      </c>
      <c r="AQ476" s="71">
        <f t="shared" si="170"/>
        <v>0</v>
      </c>
      <c r="AT476" s="71">
        <f t="shared" si="171"/>
        <v>0</v>
      </c>
      <c r="AV476" s="71">
        <f t="shared" si="172"/>
        <v>0</v>
      </c>
      <c r="AX476" s="71">
        <f t="shared" si="173"/>
        <v>0</v>
      </c>
      <c r="AZ476" s="71">
        <f t="shared" si="174"/>
        <v>0</v>
      </c>
      <c r="BE476" s="81">
        <f t="shared" si="175"/>
        <v>0</v>
      </c>
      <c r="BF476" s="81" t="str">
        <f t="shared" si="176"/>
        <v>BASSO</v>
      </c>
    </row>
    <row r="477" spans="7:58" x14ac:dyDescent="0.15">
      <c r="G477" s="64">
        <f t="shared" si="155"/>
        <v>0</v>
      </c>
      <c r="I477" s="64">
        <f t="shared" si="156"/>
        <v>0</v>
      </c>
      <c r="K477" s="64">
        <f t="shared" si="157"/>
        <v>0</v>
      </c>
      <c r="M477" s="64">
        <f t="shared" si="158"/>
        <v>0</v>
      </c>
      <c r="O477" s="64">
        <f t="shared" si="159"/>
        <v>0</v>
      </c>
      <c r="Q477" s="64">
        <f t="shared" si="160"/>
        <v>0</v>
      </c>
      <c r="S477" s="71">
        <f t="shared" si="161"/>
        <v>0</v>
      </c>
      <c r="U477" s="64">
        <f t="shared" si="162"/>
        <v>0</v>
      </c>
      <c r="W477" s="71">
        <f t="shared" si="163"/>
        <v>0</v>
      </c>
      <c r="Y477" s="71">
        <f t="shared" si="164"/>
        <v>0</v>
      </c>
      <c r="AA477" s="71">
        <f t="shared" si="165"/>
        <v>0</v>
      </c>
      <c r="AC477" s="71">
        <f t="shared" si="166"/>
        <v>0</v>
      </c>
      <c r="AK477" s="71">
        <f t="shared" si="167"/>
        <v>0</v>
      </c>
      <c r="AM477" s="71">
        <f t="shared" si="168"/>
        <v>0</v>
      </c>
      <c r="AO477" s="71">
        <f t="shared" si="169"/>
        <v>0</v>
      </c>
      <c r="AQ477" s="71">
        <f t="shared" si="170"/>
        <v>0</v>
      </c>
      <c r="AT477" s="71">
        <f t="shared" si="171"/>
        <v>0</v>
      </c>
      <c r="AV477" s="71">
        <f t="shared" si="172"/>
        <v>0</v>
      </c>
      <c r="AX477" s="71">
        <f t="shared" si="173"/>
        <v>0</v>
      </c>
      <c r="AZ477" s="71">
        <f t="shared" si="174"/>
        <v>0</v>
      </c>
      <c r="BE477" s="81">
        <f t="shared" si="175"/>
        <v>0</v>
      </c>
      <c r="BF477" s="81" t="str">
        <f t="shared" si="176"/>
        <v>BASSO</v>
      </c>
    </row>
    <row r="478" spans="7:58" x14ac:dyDescent="0.15">
      <c r="G478" s="64">
        <f t="shared" si="155"/>
        <v>0</v>
      </c>
      <c r="I478" s="64">
        <f t="shared" si="156"/>
        <v>0</v>
      </c>
      <c r="K478" s="64">
        <f t="shared" si="157"/>
        <v>0</v>
      </c>
      <c r="M478" s="64">
        <f t="shared" si="158"/>
        <v>0</v>
      </c>
      <c r="O478" s="64">
        <f t="shared" si="159"/>
        <v>0</v>
      </c>
      <c r="Q478" s="64">
        <f t="shared" si="160"/>
        <v>0</v>
      </c>
      <c r="S478" s="71">
        <f t="shared" si="161"/>
        <v>0</v>
      </c>
      <c r="U478" s="64">
        <f t="shared" si="162"/>
        <v>0</v>
      </c>
      <c r="W478" s="71">
        <f t="shared" si="163"/>
        <v>0</v>
      </c>
      <c r="Y478" s="71">
        <f t="shared" si="164"/>
        <v>0</v>
      </c>
      <c r="AA478" s="71">
        <f t="shared" si="165"/>
        <v>0</v>
      </c>
      <c r="AC478" s="71">
        <f t="shared" si="166"/>
        <v>0</v>
      </c>
      <c r="AK478" s="71">
        <f t="shared" si="167"/>
        <v>0</v>
      </c>
      <c r="AM478" s="71">
        <f t="shared" si="168"/>
        <v>0</v>
      </c>
      <c r="AO478" s="71">
        <f t="shared" si="169"/>
        <v>0</v>
      </c>
      <c r="AQ478" s="71">
        <f t="shared" si="170"/>
        <v>0</v>
      </c>
      <c r="AT478" s="71">
        <f t="shared" si="171"/>
        <v>0</v>
      </c>
      <c r="AV478" s="71">
        <f t="shared" si="172"/>
        <v>0</v>
      </c>
      <c r="AX478" s="71">
        <f t="shared" si="173"/>
        <v>0</v>
      </c>
      <c r="AZ478" s="71">
        <f t="shared" si="174"/>
        <v>0</v>
      </c>
      <c r="BE478" s="81">
        <f t="shared" si="175"/>
        <v>0</v>
      </c>
      <c r="BF478" s="81" t="str">
        <f t="shared" si="176"/>
        <v>BASSO</v>
      </c>
    </row>
    <row r="479" spans="7:58" x14ac:dyDescent="0.15">
      <c r="G479" s="64">
        <f t="shared" si="155"/>
        <v>0</v>
      </c>
      <c r="I479" s="64">
        <f t="shared" si="156"/>
        <v>0</v>
      </c>
      <c r="K479" s="64">
        <f t="shared" si="157"/>
        <v>0</v>
      </c>
      <c r="M479" s="64">
        <f t="shared" si="158"/>
        <v>0</v>
      </c>
      <c r="O479" s="64">
        <f t="shared" si="159"/>
        <v>0</v>
      </c>
      <c r="Q479" s="64">
        <f t="shared" si="160"/>
        <v>0</v>
      </c>
      <c r="S479" s="71">
        <f t="shared" si="161"/>
        <v>0</v>
      </c>
      <c r="U479" s="64">
        <f t="shared" si="162"/>
        <v>0</v>
      </c>
      <c r="W479" s="71">
        <f t="shared" si="163"/>
        <v>0</v>
      </c>
      <c r="Y479" s="71">
        <f t="shared" si="164"/>
        <v>0</v>
      </c>
      <c r="AA479" s="71">
        <f t="shared" si="165"/>
        <v>0</v>
      </c>
      <c r="AC479" s="71">
        <f t="shared" si="166"/>
        <v>0</v>
      </c>
      <c r="AK479" s="71">
        <f t="shared" si="167"/>
        <v>0</v>
      </c>
      <c r="AM479" s="71">
        <f t="shared" si="168"/>
        <v>0</v>
      </c>
      <c r="AO479" s="71">
        <f t="shared" si="169"/>
        <v>0</v>
      </c>
      <c r="AQ479" s="71">
        <f t="shared" si="170"/>
        <v>0</v>
      </c>
      <c r="AT479" s="71">
        <f t="shared" si="171"/>
        <v>0</v>
      </c>
      <c r="AV479" s="71">
        <f t="shared" si="172"/>
        <v>0</v>
      </c>
      <c r="AX479" s="71">
        <f t="shared" si="173"/>
        <v>0</v>
      </c>
      <c r="AZ479" s="71">
        <f t="shared" si="174"/>
        <v>0</v>
      </c>
      <c r="BE479" s="81">
        <f t="shared" si="175"/>
        <v>0</v>
      </c>
      <c r="BF479" s="81" t="str">
        <f t="shared" si="176"/>
        <v>BASSO</v>
      </c>
    </row>
    <row r="480" spans="7:58" x14ac:dyDescent="0.15">
      <c r="G480" s="64">
        <f t="shared" si="155"/>
        <v>0</v>
      </c>
      <c r="I480" s="64">
        <f t="shared" si="156"/>
        <v>0</v>
      </c>
      <c r="K480" s="64">
        <f t="shared" si="157"/>
        <v>0</v>
      </c>
      <c r="M480" s="64">
        <f t="shared" si="158"/>
        <v>0</v>
      </c>
      <c r="O480" s="64">
        <f t="shared" si="159"/>
        <v>0</v>
      </c>
      <c r="Q480" s="64">
        <f t="shared" si="160"/>
        <v>0</v>
      </c>
      <c r="S480" s="71">
        <f t="shared" si="161"/>
        <v>0</v>
      </c>
      <c r="U480" s="64">
        <f t="shared" si="162"/>
        <v>0</v>
      </c>
      <c r="W480" s="71">
        <f t="shared" si="163"/>
        <v>0</v>
      </c>
      <c r="Y480" s="71">
        <f t="shared" si="164"/>
        <v>0</v>
      </c>
      <c r="AA480" s="71">
        <f t="shared" si="165"/>
        <v>0</v>
      </c>
      <c r="AC480" s="71">
        <f t="shared" si="166"/>
        <v>0</v>
      </c>
      <c r="AK480" s="71">
        <f t="shared" si="167"/>
        <v>0</v>
      </c>
      <c r="AM480" s="71">
        <f t="shared" si="168"/>
        <v>0</v>
      </c>
      <c r="AO480" s="71">
        <f t="shared" si="169"/>
        <v>0</v>
      </c>
      <c r="AQ480" s="71">
        <f t="shared" si="170"/>
        <v>0</v>
      </c>
      <c r="AT480" s="71">
        <f t="shared" si="171"/>
        <v>0</v>
      </c>
      <c r="AV480" s="71">
        <f t="shared" si="172"/>
        <v>0</v>
      </c>
      <c r="AX480" s="71">
        <f t="shared" si="173"/>
        <v>0</v>
      </c>
      <c r="AZ480" s="71">
        <f t="shared" si="174"/>
        <v>0</v>
      </c>
      <c r="BE480" s="81">
        <f t="shared" si="175"/>
        <v>0</v>
      </c>
      <c r="BF480" s="81" t="str">
        <f t="shared" si="176"/>
        <v>BASSO</v>
      </c>
    </row>
    <row r="481" spans="7:58" x14ac:dyDescent="0.15">
      <c r="G481" s="64">
        <f t="shared" si="155"/>
        <v>0</v>
      </c>
      <c r="I481" s="64">
        <f t="shared" si="156"/>
        <v>0</v>
      </c>
      <c r="K481" s="64">
        <f t="shared" si="157"/>
        <v>0</v>
      </c>
      <c r="M481" s="64">
        <f t="shared" si="158"/>
        <v>0</v>
      </c>
      <c r="O481" s="64">
        <f t="shared" si="159"/>
        <v>0</v>
      </c>
      <c r="Q481" s="64">
        <f t="shared" si="160"/>
        <v>0</v>
      </c>
      <c r="S481" s="71">
        <f t="shared" si="161"/>
        <v>0</v>
      </c>
      <c r="U481" s="64">
        <f t="shared" si="162"/>
        <v>0</v>
      </c>
      <c r="W481" s="71">
        <f t="shared" si="163"/>
        <v>0</v>
      </c>
      <c r="Y481" s="71">
        <f t="shared" si="164"/>
        <v>0</v>
      </c>
      <c r="AA481" s="71">
        <f t="shared" si="165"/>
        <v>0</v>
      </c>
      <c r="AC481" s="71">
        <f t="shared" si="166"/>
        <v>0</v>
      </c>
      <c r="AK481" s="71">
        <f t="shared" si="167"/>
        <v>0</v>
      </c>
      <c r="AM481" s="71">
        <f t="shared" si="168"/>
        <v>0</v>
      </c>
      <c r="AO481" s="71">
        <f t="shared" si="169"/>
        <v>0</v>
      </c>
      <c r="AQ481" s="71">
        <f t="shared" si="170"/>
        <v>0</v>
      </c>
      <c r="AT481" s="71">
        <f t="shared" si="171"/>
        <v>0</v>
      </c>
      <c r="AV481" s="71">
        <f t="shared" si="172"/>
        <v>0</v>
      </c>
      <c r="AX481" s="71">
        <f t="shared" si="173"/>
        <v>0</v>
      </c>
      <c r="AZ481" s="71">
        <f t="shared" si="174"/>
        <v>0</v>
      </c>
      <c r="BE481" s="81">
        <f t="shared" si="175"/>
        <v>0</v>
      </c>
      <c r="BF481" s="81" t="str">
        <f t="shared" si="176"/>
        <v>BASSO</v>
      </c>
    </row>
    <row r="482" spans="7:58" x14ac:dyDescent="0.15">
      <c r="G482" s="64">
        <f t="shared" si="155"/>
        <v>0</v>
      </c>
      <c r="I482" s="64">
        <f t="shared" si="156"/>
        <v>0</v>
      </c>
      <c r="K482" s="64">
        <f t="shared" si="157"/>
        <v>0</v>
      </c>
      <c r="M482" s="64">
        <f t="shared" si="158"/>
        <v>0</v>
      </c>
      <c r="O482" s="64">
        <f t="shared" si="159"/>
        <v>0</v>
      </c>
      <c r="Q482" s="64">
        <f t="shared" si="160"/>
        <v>0</v>
      </c>
      <c r="S482" s="71">
        <f t="shared" si="161"/>
        <v>0</v>
      </c>
      <c r="U482" s="64">
        <f t="shared" si="162"/>
        <v>0</v>
      </c>
      <c r="W482" s="71">
        <f t="shared" si="163"/>
        <v>0</v>
      </c>
      <c r="Y482" s="71">
        <f t="shared" si="164"/>
        <v>0</v>
      </c>
      <c r="AA482" s="71">
        <f t="shared" si="165"/>
        <v>0</v>
      </c>
      <c r="AC482" s="71">
        <f t="shared" si="166"/>
        <v>0</v>
      </c>
      <c r="AK482" s="71">
        <f t="shared" si="167"/>
        <v>0</v>
      </c>
      <c r="AM482" s="71">
        <f t="shared" si="168"/>
        <v>0</v>
      </c>
      <c r="AO482" s="71">
        <f t="shared" si="169"/>
        <v>0</v>
      </c>
      <c r="AQ482" s="71">
        <f t="shared" si="170"/>
        <v>0</v>
      </c>
      <c r="AT482" s="71">
        <f t="shared" si="171"/>
        <v>0</v>
      </c>
      <c r="AV482" s="71">
        <f t="shared" si="172"/>
        <v>0</v>
      </c>
      <c r="AX482" s="71">
        <f t="shared" si="173"/>
        <v>0</v>
      </c>
      <c r="AZ482" s="71">
        <f t="shared" si="174"/>
        <v>0</v>
      </c>
      <c r="BE482" s="81">
        <f t="shared" si="175"/>
        <v>0</v>
      </c>
      <c r="BF482" s="81" t="str">
        <f t="shared" si="176"/>
        <v>BASSO</v>
      </c>
    </row>
    <row r="483" spans="7:58" x14ac:dyDescent="0.15">
      <c r="G483" s="64">
        <f t="shared" si="155"/>
        <v>0</v>
      </c>
      <c r="I483" s="64">
        <f t="shared" si="156"/>
        <v>0</v>
      </c>
      <c r="K483" s="64">
        <f t="shared" si="157"/>
        <v>0</v>
      </c>
      <c r="M483" s="64">
        <f t="shared" si="158"/>
        <v>0</v>
      </c>
      <c r="O483" s="64">
        <f t="shared" si="159"/>
        <v>0</v>
      </c>
      <c r="Q483" s="64">
        <f t="shared" si="160"/>
        <v>0</v>
      </c>
      <c r="S483" s="71">
        <f t="shared" si="161"/>
        <v>0</v>
      </c>
      <c r="U483" s="64">
        <f t="shared" si="162"/>
        <v>0</v>
      </c>
      <c r="W483" s="71">
        <f t="shared" si="163"/>
        <v>0</v>
      </c>
      <c r="Y483" s="71">
        <f t="shared" si="164"/>
        <v>0</v>
      </c>
      <c r="AA483" s="71">
        <f t="shared" si="165"/>
        <v>0</v>
      </c>
      <c r="AC483" s="71">
        <f t="shared" si="166"/>
        <v>0</v>
      </c>
      <c r="AK483" s="71">
        <f t="shared" si="167"/>
        <v>0</v>
      </c>
      <c r="AM483" s="71">
        <f t="shared" si="168"/>
        <v>0</v>
      </c>
      <c r="AO483" s="71">
        <f t="shared" si="169"/>
        <v>0</v>
      </c>
      <c r="AQ483" s="71">
        <f t="shared" si="170"/>
        <v>0</v>
      </c>
      <c r="AT483" s="71">
        <f t="shared" si="171"/>
        <v>0</v>
      </c>
      <c r="AV483" s="71">
        <f t="shared" si="172"/>
        <v>0</v>
      </c>
      <c r="AX483" s="71">
        <f t="shared" si="173"/>
        <v>0</v>
      </c>
      <c r="AZ483" s="71">
        <f t="shared" si="174"/>
        <v>0</v>
      </c>
      <c r="BE483" s="81">
        <f t="shared" si="175"/>
        <v>0</v>
      </c>
      <c r="BF483" s="81" t="str">
        <f t="shared" si="176"/>
        <v>BASSO</v>
      </c>
    </row>
    <row r="484" spans="7:58" x14ac:dyDescent="0.15">
      <c r="G484" s="64">
        <f t="shared" si="155"/>
        <v>0</v>
      </c>
      <c r="I484" s="64">
        <f t="shared" si="156"/>
        <v>0</v>
      </c>
      <c r="K484" s="64">
        <f t="shared" si="157"/>
        <v>0</v>
      </c>
      <c r="M484" s="64">
        <f t="shared" si="158"/>
        <v>0</v>
      </c>
      <c r="O484" s="64">
        <f t="shared" si="159"/>
        <v>0</v>
      </c>
      <c r="Q484" s="64">
        <f t="shared" si="160"/>
        <v>0</v>
      </c>
      <c r="S484" s="71">
        <f t="shared" si="161"/>
        <v>0</v>
      </c>
      <c r="U484" s="64">
        <f t="shared" si="162"/>
        <v>0</v>
      </c>
      <c r="W484" s="71">
        <f t="shared" si="163"/>
        <v>0</v>
      </c>
      <c r="Y484" s="71">
        <f t="shared" si="164"/>
        <v>0</v>
      </c>
      <c r="AA484" s="71">
        <f t="shared" si="165"/>
        <v>0</v>
      </c>
      <c r="AC484" s="71">
        <f t="shared" si="166"/>
        <v>0</v>
      </c>
      <c r="AK484" s="71">
        <f t="shared" si="167"/>
        <v>0</v>
      </c>
      <c r="AM484" s="71">
        <f t="shared" si="168"/>
        <v>0</v>
      </c>
      <c r="AO484" s="71">
        <f t="shared" si="169"/>
        <v>0</v>
      </c>
      <c r="AQ484" s="71">
        <f t="shared" si="170"/>
        <v>0</v>
      </c>
      <c r="AT484" s="71">
        <f t="shared" si="171"/>
        <v>0</v>
      </c>
      <c r="AV484" s="71">
        <f t="shared" si="172"/>
        <v>0</v>
      </c>
      <c r="AX484" s="71">
        <f t="shared" si="173"/>
        <v>0</v>
      </c>
      <c r="AZ484" s="71">
        <f t="shared" si="174"/>
        <v>0</v>
      </c>
      <c r="BE484" s="81">
        <f t="shared" si="175"/>
        <v>0</v>
      </c>
      <c r="BF484" s="81" t="str">
        <f t="shared" si="176"/>
        <v>BASSO</v>
      </c>
    </row>
    <row r="485" spans="7:58" x14ac:dyDescent="0.15">
      <c r="G485" s="64">
        <f t="shared" si="155"/>
        <v>0</v>
      </c>
      <c r="I485" s="64">
        <f t="shared" si="156"/>
        <v>0</v>
      </c>
      <c r="K485" s="64">
        <f t="shared" si="157"/>
        <v>0</v>
      </c>
      <c r="M485" s="64">
        <f t="shared" si="158"/>
        <v>0</v>
      </c>
      <c r="O485" s="64">
        <f t="shared" si="159"/>
        <v>0</v>
      </c>
      <c r="Q485" s="64">
        <f t="shared" si="160"/>
        <v>0</v>
      </c>
      <c r="S485" s="71">
        <f t="shared" si="161"/>
        <v>0</v>
      </c>
      <c r="U485" s="64">
        <f t="shared" si="162"/>
        <v>0</v>
      </c>
      <c r="W485" s="71">
        <f t="shared" si="163"/>
        <v>0</v>
      </c>
      <c r="Y485" s="71">
        <f t="shared" si="164"/>
        <v>0</v>
      </c>
      <c r="AA485" s="71">
        <f t="shared" si="165"/>
        <v>0</v>
      </c>
      <c r="AC485" s="71">
        <f t="shared" si="166"/>
        <v>0</v>
      </c>
      <c r="AK485" s="71">
        <f t="shared" si="167"/>
        <v>0</v>
      </c>
      <c r="AM485" s="71">
        <f t="shared" si="168"/>
        <v>0</v>
      </c>
      <c r="AO485" s="71">
        <f t="shared" si="169"/>
        <v>0</v>
      </c>
      <c r="AQ485" s="71">
        <f t="shared" si="170"/>
        <v>0</v>
      </c>
      <c r="AT485" s="71">
        <f t="shared" si="171"/>
        <v>0</v>
      </c>
      <c r="AV485" s="71">
        <f t="shared" si="172"/>
        <v>0</v>
      </c>
      <c r="AX485" s="71">
        <f t="shared" si="173"/>
        <v>0</v>
      </c>
      <c r="AZ485" s="71">
        <f t="shared" si="174"/>
        <v>0</v>
      </c>
      <c r="BE485" s="81">
        <f t="shared" si="175"/>
        <v>0</v>
      </c>
      <c r="BF485" s="81" t="str">
        <f t="shared" si="176"/>
        <v>BASSO</v>
      </c>
    </row>
    <row r="486" spans="7:58" x14ac:dyDescent="0.15">
      <c r="G486" s="64">
        <f t="shared" si="155"/>
        <v>0</v>
      </c>
      <c r="I486" s="64">
        <f t="shared" si="156"/>
        <v>0</v>
      </c>
      <c r="K486" s="64">
        <f t="shared" si="157"/>
        <v>0</v>
      </c>
      <c r="M486" s="64">
        <f t="shared" si="158"/>
        <v>0</v>
      </c>
      <c r="O486" s="64">
        <f t="shared" si="159"/>
        <v>0</v>
      </c>
      <c r="Q486" s="64">
        <f t="shared" si="160"/>
        <v>0</v>
      </c>
      <c r="S486" s="71">
        <f t="shared" si="161"/>
        <v>0</v>
      </c>
      <c r="U486" s="64">
        <f t="shared" si="162"/>
        <v>0</v>
      </c>
      <c r="W486" s="71">
        <f t="shared" si="163"/>
        <v>0</v>
      </c>
      <c r="Y486" s="71">
        <f t="shared" si="164"/>
        <v>0</v>
      </c>
      <c r="AA486" s="71">
        <f t="shared" si="165"/>
        <v>0</v>
      </c>
      <c r="AC486" s="71">
        <f t="shared" si="166"/>
        <v>0</v>
      </c>
      <c r="AK486" s="71">
        <f t="shared" si="167"/>
        <v>0</v>
      </c>
      <c r="AM486" s="71">
        <f t="shared" si="168"/>
        <v>0</v>
      </c>
      <c r="AO486" s="71">
        <f t="shared" si="169"/>
        <v>0</v>
      </c>
      <c r="AQ486" s="71">
        <f t="shared" si="170"/>
        <v>0</v>
      </c>
      <c r="AT486" s="71">
        <f t="shared" si="171"/>
        <v>0</v>
      </c>
      <c r="AV486" s="71">
        <f t="shared" si="172"/>
        <v>0</v>
      </c>
      <c r="AX486" s="71">
        <f t="shared" si="173"/>
        <v>0</v>
      </c>
      <c r="AZ486" s="71">
        <f t="shared" si="174"/>
        <v>0</v>
      </c>
      <c r="BE486" s="81">
        <f t="shared" si="175"/>
        <v>0</v>
      </c>
      <c r="BF486" s="81" t="str">
        <f t="shared" si="176"/>
        <v>BASSO</v>
      </c>
    </row>
    <row r="487" spans="7:58" x14ac:dyDescent="0.15">
      <c r="G487" s="64">
        <f t="shared" si="155"/>
        <v>0</v>
      </c>
      <c r="I487" s="64">
        <f t="shared" si="156"/>
        <v>0</v>
      </c>
      <c r="K487" s="64">
        <f t="shared" si="157"/>
        <v>0</v>
      </c>
      <c r="M487" s="64">
        <f t="shared" si="158"/>
        <v>0</v>
      </c>
      <c r="O487" s="64">
        <f t="shared" si="159"/>
        <v>0</v>
      </c>
      <c r="Q487" s="64">
        <f t="shared" si="160"/>
        <v>0</v>
      </c>
      <c r="S487" s="71">
        <f t="shared" si="161"/>
        <v>0</v>
      </c>
      <c r="U487" s="64">
        <f t="shared" si="162"/>
        <v>0</v>
      </c>
      <c r="W487" s="71">
        <f t="shared" si="163"/>
        <v>0</v>
      </c>
      <c r="Y487" s="71">
        <f t="shared" si="164"/>
        <v>0</v>
      </c>
      <c r="AA487" s="71">
        <f t="shared" si="165"/>
        <v>0</v>
      </c>
      <c r="AC487" s="71">
        <f t="shared" si="166"/>
        <v>0</v>
      </c>
      <c r="AK487" s="71">
        <f t="shared" si="167"/>
        <v>0</v>
      </c>
      <c r="AM487" s="71">
        <f t="shared" si="168"/>
        <v>0</v>
      </c>
      <c r="AO487" s="71">
        <f t="shared" si="169"/>
        <v>0</v>
      </c>
      <c r="AQ487" s="71">
        <f t="shared" si="170"/>
        <v>0</v>
      </c>
      <c r="AT487" s="71">
        <f t="shared" si="171"/>
        <v>0</v>
      </c>
      <c r="AV487" s="71">
        <f t="shared" si="172"/>
        <v>0</v>
      </c>
      <c r="AX487" s="71">
        <f t="shared" si="173"/>
        <v>0</v>
      </c>
      <c r="AZ487" s="71">
        <f t="shared" si="174"/>
        <v>0</v>
      </c>
      <c r="BE487" s="81">
        <f t="shared" si="175"/>
        <v>0</v>
      </c>
      <c r="BF487" s="81" t="str">
        <f t="shared" si="176"/>
        <v>BASSO</v>
      </c>
    </row>
    <row r="488" spans="7:58" x14ac:dyDescent="0.15">
      <c r="G488" s="64">
        <f t="shared" si="155"/>
        <v>0</v>
      </c>
      <c r="I488" s="64">
        <f t="shared" si="156"/>
        <v>0</v>
      </c>
      <c r="K488" s="64">
        <f t="shared" si="157"/>
        <v>0</v>
      </c>
      <c r="M488" s="64">
        <f t="shared" si="158"/>
        <v>0</v>
      </c>
      <c r="O488" s="64">
        <f t="shared" si="159"/>
        <v>0</v>
      </c>
      <c r="Q488" s="64">
        <f t="shared" si="160"/>
        <v>0</v>
      </c>
      <c r="S488" s="71">
        <f t="shared" si="161"/>
        <v>0</v>
      </c>
      <c r="U488" s="64">
        <f t="shared" si="162"/>
        <v>0</v>
      </c>
      <c r="W488" s="71">
        <f t="shared" si="163"/>
        <v>0</v>
      </c>
      <c r="Y488" s="71">
        <f t="shared" si="164"/>
        <v>0</v>
      </c>
      <c r="AA488" s="71">
        <f t="shared" si="165"/>
        <v>0</v>
      </c>
      <c r="AC488" s="71">
        <f t="shared" si="166"/>
        <v>0</v>
      </c>
      <c r="AK488" s="71">
        <f t="shared" si="167"/>
        <v>0</v>
      </c>
      <c r="AM488" s="71">
        <f t="shared" si="168"/>
        <v>0</v>
      </c>
      <c r="AO488" s="71">
        <f t="shared" si="169"/>
        <v>0</v>
      </c>
      <c r="AQ488" s="71">
        <f t="shared" si="170"/>
        <v>0</v>
      </c>
      <c r="AT488" s="71">
        <f t="shared" si="171"/>
        <v>0</v>
      </c>
      <c r="AV488" s="71">
        <f t="shared" si="172"/>
        <v>0</v>
      </c>
      <c r="AX488" s="71">
        <f t="shared" si="173"/>
        <v>0</v>
      </c>
      <c r="AZ488" s="71">
        <f t="shared" si="174"/>
        <v>0</v>
      </c>
      <c r="BE488" s="81">
        <f t="shared" si="175"/>
        <v>0</v>
      </c>
      <c r="BF488" s="81" t="str">
        <f t="shared" si="176"/>
        <v>BASSO</v>
      </c>
    </row>
    <row r="489" spans="7:58" x14ac:dyDescent="0.15">
      <c r="G489" s="64">
        <f t="shared" si="155"/>
        <v>0</v>
      </c>
      <c r="I489" s="64">
        <f t="shared" si="156"/>
        <v>0</v>
      </c>
      <c r="K489" s="64">
        <f t="shared" si="157"/>
        <v>0</v>
      </c>
      <c r="M489" s="64">
        <f t="shared" si="158"/>
        <v>0</v>
      </c>
      <c r="O489" s="64">
        <f t="shared" si="159"/>
        <v>0</v>
      </c>
      <c r="Q489" s="64">
        <f t="shared" si="160"/>
        <v>0</v>
      </c>
      <c r="S489" s="71">
        <f t="shared" si="161"/>
        <v>0</v>
      </c>
      <c r="U489" s="64">
        <f t="shared" si="162"/>
        <v>0</v>
      </c>
      <c r="W489" s="71">
        <f t="shared" si="163"/>
        <v>0</v>
      </c>
      <c r="Y489" s="71">
        <f t="shared" si="164"/>
        <v>0</v>
      </c>
      <c r="AA489" s="71">
        <f t="shared" si="165"/>
        <v>0</v>
      </c>
      <c r="AC489" s="71">
        <f t="shared" si="166"/>
        <v>0</v>
      </c>
      <c r="AK489" s="71">
        <f t="shared" si="167"/>
        <v>0</v>
      </c>
      <c r="AM489" s="71">
        <f t="shared" si="168"/>
        <v>0</v>
      </c>
      <c r="AO489" s="71">
        <f t="shared" si="169"/>
        <v>0</v>
      </c>
      <c r="AQ489" s="71">
        <f t="shared" si="170"/>
        <v>0</v>
      </c>
      <c r="AT489" s="71">
        <f t="shared" si="171"/>
        <v>0</v>
      </c>
      <c r="AV489" s="71">
        <f t="shared" si="172"/>
        <v>0</v>
      </c>
      <c r="AX489" s="71">
        <f t="shared" si="173"/>
        <v>0</v>
      </c>
      <c r="AZ489" s="71">
        <f t="shared" si="174"/>
        <v>0</v>
      </c>
      <c r="BE489" s="81">
        <f t="shared" si="175"/>
        <v>0</v>
      </c>
      <c r="BF489" s="81" t="str">
        <f t="shared" si="176"/>
        <v>BASSO</v>
      </c>
    </row>
    <row r="490" spans="7:58" x14ac:dyDescent="0.15">
      <c r="G490" s="64">
        <f t="shared" si="155"/>
        <v>0</v>
      </c>
      <c r="I490" s="64">
        <f t="shared" si="156"/>
        <v>0</v>
      </c>
      <c r="K490" s="64">
        <f t="shared" si="157"/>
        <v>0</v>
      </c>
      <c r="M490" s="64">
        <f t="shared" si="158"/>
        <v>0</v>
      </c>
      <c r="O490" s="64">
        <f t="shared" si="159"/>
        <v>0</v>
      </c>
      <c r="Q490" s="64">
        <f t="shared" si="160"/>
        <v>0</v>
      </c>
      <c r="S490" s="71">
        <f t="shared" si="161"/>
        <v>0</v>
      </c>
      <c r="U490" s="64">
        <f t="shared" si="162"/>
        <v>0</v>
      </c>
      <c r="W490" s="71">
        <f t="shared" si="163"/>
        <v>0</v>
      </c>
      <c r="Y490" s="71">
        <f t="shared" si="164"/>
        <v>0</v>
      </c>
      <c r="AA490" s="71">
        <f t="shared" si="165"/>
        <v>0</v>
      </c>
      <c r="AC490" s="71">
        <f t="shared" si="166"/>
        <v>0</v>
      </c>
      <c r="AK490" s="71">
        <f t="shared" si="167"/>
        <v>0</v>
      </c>
      <c r="AM490" s="71">
        <f t="shared" si="168"/>
        <v>0</v>
      </c>
      <c r="AO490" s="71">
        <f t="shared" si="169"/>
        <v>0</v>
      </c>
      <c r="AQ490" s="71">
        <f t="shared" si="170"/>
        <v>0</v>
      </c>
      <c r="AT490" s="71">
        <f t="shared" si="171"/>
        <v>0</v>
      </c>
      <c r="AV490" s="71">
        <f t="shared" si="172"/>
        <v>0</v>
      </c>
      <c r="AX490" s="71">
        <f t="shared" si="173"/>
        <v>0</v>
      </c>
      <c r="AZ490" s="71">
        <f t="shared" si="174"/>
        <v>0</v>
      </c>
      <c r="BE490" s="81">
        <f t="shared" si="175"/>
        <v>0</v>
      </c>
      <c r="BF490" s="81" t="str">
        <f t="shared" si="176"/>
        <v>BASSO</v>
      </c>
    </row>
    <row r="491" spans="7:58" x14ac:dyDescent="0.15">
      <c r="G491" s="64">
        <f t="shared" si="155"/>
        <v>0</v>
      </c>
      <c r="I491" s="64">
        <f t="shared" si="156"/>
        <v>0</v>
      </c>
      <c r="K491" s="64">
        <f t="shared" si="157"/>
        <v>0</v>
      </c>
      <c r="M491" s="64">
        <f t="shared" si="158"/>
        <v>0</v>
      </c>
      <c r="O491" s="64">
        <f t="shared" si="159"/>
        <v>0</v>
      </c>
      <c r="Q491" s="64">
        <f t="shared" si="160"/>
        <v>0</v>
      </c>
      <c r="S491" s="71">
        <f t="shared" si="161"/>
        <v>0</v>
      </c>
      <c r="U491" s="64">
        <f t="shared" si="162"/>
        <v>0</v>
      </c>
      <c r="W491" s="71">
        <f t="shared" si="163"/>
        <v>0</v>
      </c>
      <c r="Y491" s="71">
        <f t="shared" si="164"/>
        <v>0</v>
      </c>
      <c r="AA491" s="71">
        <f t="shared" si="165"/>
        <v>0</v>
      </c>
      <c r="AC491" s="71">
        <f t="shared" si="166"/>
        <v>0</v>
      </c>
      <c r="AK491" s="71">
        <f t="shared" si="167"/>
        <v>0</v>
      </c>
      <c r="AM491" s="71">
        <f t="shared" si="168"/>
        <v>0</v>
      </c>
      <c r="AO491" s="71">
        <f t="shared" si="169"/>
        <v>0</v>
      </c>
      <c r="AQ491" s="71">
        <f t="shared" si="170"/>
        <v>0</v>
      </c>
      <c r="AT491" s="71">
        <f t="shared" si="171"/>
        <v>0</v>
      </c>
      <c r="AV491" s="71">
        <f t="shared" si="172"/>
        <v>0</v>
      </c>
      <c r="AX491" s="71">
        <f t="shared" si="173"/>
        <v>0</v>
      </c>
      <c r="AZ491" s="71">
        <f t="shared" si="174"/>
        <v>0</v>
      </c>
      <c r="BE491" s="81">
        <f t="shared" si="175"/>
        <v>0</v>
      </c>
      <c r="BF491" s="81" t="str">
        <f t="shared" si="176"/>
        <v>BASSO</v>
      </c>
    </row>
    <row r="492" spans="7:58" x14ac:dyDescent="0.15">
      <c r="G492" s="64">
        <f t="shared" si="155"/>
        <v>0</v>
      </c>
      <c r="I492" s="64">
        <f t="shared" si="156"/>
        <v>0</v>
      </c>
      <c r="K492" s="64">
        <f t="shared" si="157"/>
        <v>0</v>
      </c>
      <c r="M492" s="64">
        <f t="shared" si="158"/>
        <v>0</v>
      </c>
      <c r="O492" s="64">
        <f t="shared" si="159"/>
        <v>0</v>
      </c>
      <c r="Q492" s="64">
        <f t="shared" si="160"/>
        <v>0</v>
      </c>
      <c r="S492" s="71">
        <f t="shared" si="161"/>
        <v>0</v>
      </c>
      <c r="U492" s="64">
        <f t="shared" si="162"/>
        <v>0</v>
      </c>
      <c r="W492" s="71">
        <f t="shared" si="163"/>
        <v>0</v>
      </c>
      <c r="Y492" s="71">
        <f t="shared" si="164"/>
        <v>0</v>
      </c>
      <c r="AA492" s="71">
        <f t="shared" si="165"/>
        <v>0</v>
      </c>
      <c r="AC492" s="71">
        <f t="shared" si="166"/>
        <v>0</v>
      </c>
      <c r="AK492" s="71">
        <f t="shared" si="167"/>
        <v>0</v>
      </c>
      <c r="AM492" s="71">
        <f t="shared" si="168"/>
        <v>0</v>
      </c>
      <c r="AO492" s="71">
        <f t="shared" si="169"/>
        <v>0</v>
      </c>
      <c r="AQ492" s="71">
        <f t="shared" si="170"/>
        <v>0</v>
      </c>
      <c r="AT492" s="71">
        <f t="shared" si="171"/>
        <v>0</v>
      </c>
      <c r="AV492" s="71">
        <f t="shared" si="172"/>
        <v>0</v>
      </c>
      <c r="AX492" s="71">
        <f t="shared" si="173"/>
        <v>0</v>
      </c>
      <c r="AZ492" s="71">
        <f t="shared" si="174"/>
        <v>0</v>
      </c>
      <c r="BE492" s="81">
        <f t="shared" si="175"/>
        <v>0</v>
      </c>
      <c r="BF492" s="81" t="str">
        <f t="shared" si="176"/>
        <v>BASSO</v>
      </c>
    </row>
    <row r="493" spans="7:58" x14ac:dyDescent="0.15">
      <c r="G493" s="64">
        <f t="shared" si="155"/>
        <v>0</v>
      </c>
      <c r="I493" s="64">
        <f t="shared" si="156"/>
        <v>0</v>
      </c>
      <c r="K493" s="64">
        <f t="shared" si="157"/>
        <v>0</v>
      </c>
      <c r="M493" s="64">
        <f t="shared" si="158"/>
        <v>0</v>
      </c>
      <c r="O493" s="64">
        <f t="shared" si="159"/>
        <v>0</v>
      </c>
      <c r="Q493" s="64">
        <f t="shared" si="160"/>
        <v>0</v>
      </c>
      <c r="S493" s="71">
        <f t="shared" si="161"/>
        <v>0</v>
      </c>
      <c r="U493" s="64">
        <f t="shared" si="162"/>
        <v>0</v>
      </c>
      <c r="W493" s="71">
        <f t="shared" si="163"/>
        <v>0</v>
      </c>
      <c r="Y493" s="71">
        <f t="shared" si="164"/>
        <v>0</v>
      </c>
      <c r="AA493" s="71">
        <f t="shared" si="165"/>
        <v>0</v>
      </c>
      <c r="AC493" s="71">
        <f t="shared" si="166"/>
        <v>0</v>
      </c>
      <c r="AK493" s="71">
        <f t="shared" si="167"/>
        <v>0</v>
      </c>
      <c r="AM493" s="71">
        <f t="shared" si="168"/>
        <v>0</v>
      </c>
      <c r="AO493" s="71">
        <f t="shared" si="169"/>
        <v>0</v>
      </c>
      <c r="AQ493" s="71">
        <f t="shared" si="170"/>
        <v>0</v>
      </c>
      <c r="AT493" s="71">
        <f t="shared" si="171"/>
        <v>0</v>
      </c>
      <c r="AV493" s="71">
        <f t="shared" si="172"/>
        <v>0</v>
      </c>
      <c r="AX493" s="71">
        <f t="shared" si="173"/>
        <v>0</v>
      </c>
      <c r="AZ493" s="71">
        <f t="shared" si="174"/>
        <v>0</v>
      </c>
      <c r="BE493" s="81">
        <f t="shared" si="175"/>
        <v>0</v>
      </c>
      <c r="BF493" s="81" t="str">
        <f t="shared" si="176"/>
        <v>BASSO</v>
      </c>
    </row>
    <row r="494" spans="7:58" x14ac:dyDescent="0.15">
      <c r="G494" s="64">
        <f t="shared" si="155"/>
        <v>0</v>
      </c>
      <c r="I494" s="64">
        <f t="shared" si="156"/>
        <v>0</v>
      </c>
      <c r="K494" s="64">
        <f t="shared" si="157"/>
        <v>0</v>
      </c>
      <c r="M494" s="64">
        <f t="shared" si="158"/>
        <v>0</v>
      </c>
      <c r="O494" s="64">
        <f t="shared" si="159"/>
        <v>0</v>
      </c>
      <c r="Q494" s="64">
        <f t="shared" si="160"/>
        <v>0</v>
      </c>
      <c r="S494" s="71">
        <f t="shared" si="161"/>
        <v>0</v>
      </c>
      <c r="U494" s="64">
        <f t="shared" si="162"/>
        <v>0</v>
      </c>
      <c r="W494" s="71">
        <f t="shared" si="163"/>
        <v>0</v>
      </c>
      <c r="Y494" s="71">
        <f t="shared" si="164"/>
        <v>0</v>
      </c>
      <c r="AA494" s="71">
        <f t="shared" si="165"/>
        <v>0</v>
      </c>
      <c r="AC494" s="71">
        <f t="shared" si="166"/>
        <v>0</v>
      </c>
      <c r="AK494" s="71">
        <f t="shared" si="167"/>
        <v>0</v>
      </c>
      <c r="AM494" s="71">
        <f t="shared" si="168"/>
        <v>0</v>
      </c>
      <c r="AO494" s="71">
        <f t="shared" si="169"/>
        <v>0</v>
      </c>
      <c r="AQ494" s="71">
        <f t="shared" si="170"/>
        <v>0</v>
      </c>
      <c r="AT494" s="71">
        <f t="shared" si="171"/>
        <v>0</v>
      </c>
      <c r="AV494" s="71">
        <f t="shared" si="172"/>
        <v>0</v>
      </c>
      <c r="AX494" s="71">
        <f t="shared" si="173"/>
        <v>0</v>
      </c>
      <c r="AZ494" s="71">
        <f t="shared" si="174"/>
        <v>0</v>
      </c>
      <c r="BE494" s="81">
        <f t="shared" si="175"/>
        <v>0</v>
      </c>
      <c r="BF494" s="81" t="str">
        <f t="shared" si="176"/>
        <v>BASSO</v>
      </c>
    </row>
    <row r="495" spans="7:58" x14ac:dyDescent="0.15">
      <c r="G495" s="64">
        <f t="shared" si="155"/>
        <v>0</v>
      </c>
      <c r="I495" s="64">
        <f t="shared" si="156"/>
        <v>0</v>
      </c>
      <c r="K495" s="64">
        <f t="shared" si="157"/>
        <v>0</v>
      </c>
      <c r="M495" s="64">
        <f t="shared" si="158"/>
        <v>0</v>
      </c>
      <c r="O495" s="64">
        <f t="shared" si="159"/>
        <v>0</v>
      </c>
      <c r="Q495" s="64">
        <f t="shared" si="160"/>
        <v>0</v>
      </c>
      <c r="S495" s="71">
        <f t="shared" si="161"/>
        <v>0</v>
      </c>
      <c r="U495" s="64">
        <f t="shared" si="162"/>
        <v>0</v>
      </c>
      <c r="W495" s="71">
        <f t="shared" si="163"/>
        <v>0</v>
      </c>
      <c r="Y495" s="71">
        <f t="shared" si="164"/>
        <v>0</v>
      </c>
      <c r="AA495" s="71">
        <f t="shared" si="165"/>
        <v>0</v>
      </c>
      <c r="AC495" s="71">
        <f t="shared" si="166"/>
        <v>0</v>
      </c>
      <c r="AK495" s="71">
        <f t="shared" si="167"/>
        <v>0</v>
      </c>
      <c r="AM495" s="71">
        <f t="shared" si="168"/>
        <v>0</v>
      </c>
      <c r="AO495" s="71">
        <f t="shared" si="169"/>
        <v>0</v>
      </c>
      <c r="AQ495" s="71">
        <f t="shared" si="170"/>
        <v>0</v>
      </c>
      <c r="AT495" s="71">
        <f t="shared" si="171"/>
        <v>0</v>
      </c>
      <c r="AV495" s="71">
        <f t="shared" si="172"/>
        <v>0</v>
      </c>
      <c r="AX495" s="71">
        <f t="shared" si="173"/>
        <v>0</v>
      </c>
      <c r="AZ495" s="71">
        <f t="shared" si="174"/>
        <v>0</v>
      </c>
      <c r="BE495" s="81">
        <f t="shared" si="175"/>
        <v>0</v>
      </c>
      <c r="BF495" s="81" t="str">
        <f t="shared" si="176"/>
        <v>BASSO</v>
      </c>
    </row>
    <row r="496" spans="7:58" x14ac:dyDescent="0.15">
      <c r="G496" s="64">
        <f t="shared" si="155"/>
        <v>0</v>
      </c>
      <c r="I496" s="64">
        <f t="shared" si="156"/>
        <v>0</v>
      </c>
      <c r="K496" s="64">
        <f t="shared" si="157"/>
        <v>0</v>
      </c>
      <c r="M496" s="64">
        <f t="shared" si="158"/>
        <v>0</v>
      </c>
      <c r="O496" s="64">
        <f t="shared" si="159"/>
        <v>0</v>
      </c>
      <c r="Q496" s="64">
        <f t="shared" si="160"/>
        <v>0</v>
      </c>
      <c r="S496" s="71">
        <f t="shared" si="161"/>
        <v>0</v>
      </c>
      <c r="U496" s="64">
        <f t="shared" si="162"/>
        <v>0</v>
      </c>
      <c r="W496" s="71">
        <f t="shared" si="163"/>
        <v>0</v>
      </c>
      <c r="Y496" s="71">
        <f t="shared" si="164"/>
        <v>0</v>
      </c>
      <c r="AA496" s="71">
        <f t="shared" si="165"/>
        <v>0</v>
      </c>
      <c r="AC496" s="71">
        <f t="shared" si="166"/>
        <v>0</v>
      </c>
      <c r="AK496" s="71">
        <f t="shared" si="167"/>
        <v>0</v>
      </c>
      <c r="AM496" s="71">
        <f t="shared" si="168"/>
        <v>0</v>
      </c>
      <c r="AO496" s="71">
        <f t="shared" si="169"/>
        <v>0</v>
      </c>
      <c r="AQ496" s="71">
        <f t="shared" si="170"/>
        <v>0</v>
      </c>
      <c r="AT496" s="71">
        <f t="shared" si="171"/>
        <v>0</v>
      </c>
      <c r="AV496" s="71">
        <f t="shared" si="172"/>
        <v>0</v>
      </c>
      <c r="AX496" s="71">
        <f t="shared" si="173"/>
        <v>0</v>
      </c>
      <c r="AZ496" s="71">
        <f t="shared" si="174"/>
        <v>0</v>
      </c>
      <c r="BE496" s="81">
        <f t="shared" si="175"/>
        <v>0</v>
      </c>
      <c r="BF496" s="81" t="str">
        <f t="shared" si="176"/>
        <v>BASSO</v>
      </c>
    </row>
    <row r="497" spans="7:58" x14ac:dyDescent="0.15">
      <c r="G497" s="64">
        <f t="shared" si="155"/>
        <v>0</v>
      </c>
      <c r="I497" s="64">
        <f t="shared" si="156"/>
        <v>0</v>
      </c>
      <c r="K497" s="64">
        <f t="shared" si="157"/>
        <v>0</v>
      </c>
      <c r="M497" s="64">
        <f t="shared" si="158"/>
        <v>0</v>
      </c>
      <c r="O497" s="64">
        <f t="shared" si="159"/>
        <v>0</v>
      </c>
      <c r="Q497" s="64">
        <f t="shared" si="160"/>
        <v>0</v>
      </c>
      <c r="S497" s="71">
        <f t="shared" si="161"/>
        <v>0</v>
      </c>
      <c r="U497" s="64">
        <f t="shared" si="162"/>
        <v>0</v>
      </c>
      <c r="W497" s="71">
        <f t="shared" si="163"/>
        <v>0</v>
      </c>
      <c r="Y497" s="71">
        <f t="shared" si="164"/>
        <v>0</v>
      </c>
      <c r="AA497" s="71">
        <f t="shared" si="165"/>
        <v>0</v>
      </c>
      <c r="AC497" s="71">
        <f t="shared" si="166"/>
        <v>0</v>
      </c>
      <c r="AK497" s="71">
        <f t="shared" si="167"/>
        <v>0</v>
      </c>
      <c r="AM497" s="71">
        <f t="shared" si="168"/>
        <v>0</v>
      </c>
      <c r="AO497" s="71">
        <f t="shared" si="169"/>
        <v>0</v>
      </c>
      <c r="AQ497" s="71">
        <f t="shared" si="170"/>
        <v>0</v>
      </c>
      <c r="AT497" s="71">
        <f t="shared" si="171"/>
        <v>0</v>
      </c>
      <c r="AV497" s="71">
        <f t="shared" si="172"/>
        <v>0</v>
      </c>
      <c r="AX497" s="71">
        <f t="shared" si="173"/>
        <v>0</v>
      </c>
      <c r="AZ497" s="71">
        <f t="shared" si="174"/>
        <v>0</v>
      </c>
      <c r="BE497" s="81">
        <f t="shared" si="175"/>
        <v>0</v>
      </c>
      <c r="BF497" s="81" t="str">
        <f t="shared" si="176"/>
        <v>BASSO</v>
      </c>
    </row>
    <row r="498" spans="7:58" x14ac:dyDescent="0.15">
      <c r="G498" s="64">
        <f t="shared" si="155"/>
        <v>0</v>
      </c>
      <c r="I498" s="64">
        <f t="shared" si="156"/>
        <v>0</v>
      </c>
      <c r="K498" s="64">
        <f t="shared" si="157"/>
        <v>0</v>
      </c>
      <c r="M498" s="64">
        <f t="shared" si="158"/>
        <v>0</v>
      </c>
      <c r="O498" s="64">
        <f t="shared" si="159"/>
        <v>0</v>
      </c>
      <c r="Q498" s="64">
        <f t="shared" si="160"/>
        <v>0</v>
      </c>
      <c r="S498" s="71">
        <f t="shared" si="161"/>
        <v>0</v>
      </c>
      <c r="U498" s="64">
        <f t="shared" si="162"/>
        <v>0</v>
      </c>
      <c r="W498" s="71">
        <f t="shared" si="163"/>
        <v>0</v>
      </c>
      <c r="Y498" s="71">
        <f t="shared" si="164"/>
        <v>0</v>
      </c>
      <c r="AA498" s="71">
        <f t="shared" si="165"/>
        <v>0</v>
      </c>
      <c r="AC498" s="71">
        <f t="shared" si="166"/>
        <v>0</v>
      </c>
      <c r="AK498" s="71">
        <f t="shared" si="167"/>
        <v>0</v>
      </c>
      <c r="AM498" s="71">
        <f t="shared" si="168"/>
        <v>0</v>
      </c>
      <c r="AO498" s="71">
        <f t="shared" si="169"/>
        <v>0</v>
      </c>
      <c r="AQ498" s="71">
        <f t="shared" si="170"/>
        <v>0</v>
      </c>
      <c r="AT498" s="71">
        <f t="shared" si="171"/>
        <v>0</v>
      </c>
      <c r="AV498" s="71">
        <f t="shared" si="172"/>
        <v>0</v>
      </c>
      <c r="AX498" s="71">
        <f t="shared" si="173"/>
        <v>0</v>
      </c>
      <c r="AZ498" s="71">
        <f t="shared" si="174"/>
        <v>0</v>
      </c>
      <c r="BE498" s="81">
        <f t="shared" si="175"/>
        <v>0</v>
      </c>
      <c r="BF498" s="81" t="str">
        <f t="shared" si="176"/>
        <v>BASSO</v>
      </c>
    </row>
    <row r="499" spans="7:58" x14ac:dyDescent="0.15">
      <c r="G499" s="64">
        <f t="shared" si="155"/>
        <v>0</v>
      </c>
      <c r="I499" s="64">
        <f t="shared" si="156"/>
        <v>0</v>
      </c>
      <c r="K499" s="64">
        <f t="shared" si="157"/>
        <v>0</v>
      </c>
      <c r="M499" s="64">
        <f t="shared" si="158"/>
        <v>0</v>
      </c>
      <c r="O499" s="64">
        <f t="shared" si="159"/>
        <v>0</v>
      </c>
      <c r="Q499" s="64">
        <f t="shared" si="160"/>
        <v>0</v>
      </c>
      <c r="S499" s="71">
        <f t="shared" si="161"/>
        <v>0</v>
      </c>
      <c r="U499" s="64">
        <f t="shared" si="162"/>
        <v>0</v>
      </c>
      <c r="W499" s="71">
        <f t="shared" si="163"/>
        <v>0</v>
      </c>
      <c r="Y499" s="71">
        <f t="shared" si="164"/>
        <v>0</v>
      </c>
      <c r="AA499" s="71">
        <f t="shared" si="165"/>
        <v>0</v>
      </c>
      <c r="AC499" s="71">
        <f t="shared" si="166"/>
        <v>0</v>
      </c>
      <c r="AK499" s="71">
        <f t="shared" si="167"/>
        <v>0</v>
      </c>
      <c r="AM499" s="71">
        <f t="shared" si="168"/>
        <v>0</v>
      </c>
      <c r="AO499" s="71">
        <f t="shared" si="169"/>
        <v>0</v>
      </c>
      <c r="AQ499" s="71">
        <f t="shared" si="170"/>
        <v>0</v>
      </c>
      <c r="AT499" s="71">
        <f t="shared" si="171"/>
        <v>0</v>
      </c>
      <c r="AV499" s="71">
        <f t="shared" si="172"/>
        <v>0</v>
      </c>
      <c r="AX499" s="71">
        <f t="shared" si="173"/>
        <v>0</v>
      </c>
      <c r="AZ499" s="71">
        <f t="shared" si="174"/>
        <v>0</v>
      </c>
      <c r="BE499" s="81">
        <f t="shared" si="175"/>
        <v>0</v>
      </c>
      <c r="BF499" s="81" t="str">
        <f t="shared" si="176"/>
        <v>BASSO</v>
      </c>
    </row>
    <row r="500" spans="7:58" x14ac:dyDescent="0.15">
      <c r="G500" s="64">
        <f t="shared" si="155"/>
        <v>0</v>
      </c>
      <c r="I500" s="64">
        <f t="shared" si="156"/>
        <v>0</v>
      </c>
      <c r="K500" s="64">
        <f t="shared" si="157"/>
        <v>0</v>
      </c>
      <c r="M500" s="64">
        <f t="shared" si="158"/>
        <v>0</v>
      </c>
      <c r="O500" s="64">
        <f t="shared" si="159"/>
        <v>0</v>
      </c>
      <c r="Q500" s="64">
        <f t="shared" si="160"/>
        <v>0</v>
      </c>
      <c r="S500" s="71">
        <f t="shared" si="161"/>
        <v>0</v>
      </c>
      <c r="U500" s="64">
        <f t="shared" si="162"/>
        <v>0</v>
      </c>
      <c r="W500" s="71">
        <f t="shared" si="163"/>
        <v>0</v>
      </c>
      <c r="Y500" s="71">
        <f t="shared" si="164"/>
        <v>0</v>
      </c>
      <c r="AA500" s="71">
        <f t="shared" si="165"/>
        <v>0</v>
      </c>
      <c r="AC500" s="71">
        <f t="shared" si="166"/>
        <v>0</v>
      </c>
      <c r="AK500" s="71">
        <f t="shared" si="167"/>
        <v>0</v>
      </c>
      <c r="AM500" s="71">
        <f t="shared" si="168"/>
        <v>0</v>
      </c>
      <c r="AO500" s="71">
        <f t="shared" si="169"/>
        <v>0</v>
      </c>
      <c r="AQ500" s="71">
        <f t="shared" si="170"/>
        <v>0</v>
      </c>
      <c r="AT500" s="71">
        <f t="shared" si="171"/>
        <v>0</v>
      </c>
      <c r="AV500" s="71">
        <f t="shared" si="172"/>
        <v>0</v>
      </c>
      <c r="AX500" s="71">
        <f t="shared" si="173"/>
        <v>0</v>
      </c>
      <c r="AZ500" s="71">
        <f t="shared" si="174"/>
        <v>0</v>
      </c>
      <c r="BE500" s="81">
        <f t="shared" si="175"/>
        <v>0</v>
      </c>
      <c r="BF500" s="81" t="str">
        <f t="shared" si="176"/>
        <v>BASSO</v>
      </c>
    </row>
    <row r="501" spans="7:58" x14ac:dyDescent="0.15">
      <c r="G501" s="64">
        <f t="shared" si="155"/>
        <v>0</v>
      </c>
      <c r="I501" s="64">
        <f t="shared" si="156"/>
        <v>0</v>
      </c>
      <c r="K501" s="64">
        <f t="shared" si="157"/>
        <v>0</v>
      </c>
      <c r="M501" s="64">
        <f t="shared" si="158"/>
        <v>0</v>
      </c>
      <c r="O501" s="64">
        <f t="shared" si="159"/>
        <v>0</v>
      </c>
      <c r="Q501" s="64">
        <f t="shared" si="160"/>
        <v>0</v>
      </c>
      <c r="S501" s="71">
        <f t="shared" si="161"/>
        <v>0</v>
      </c>
      <c r="U501" s="64">
        <f t="shared" si="162"/>
        <v>0</v>
      </c>
      <c r="W501" s="71">
        <f t="shared" si="163"/>
        <v>0</v>
      </c>
      <c r="Y501" s="71">
        <f t="shared" si="164"/>
        <v>0</v>
      </c>
      <c r="AA501" s="71">
        <f t="shared" si="165"/>
        <v>0</v>
      </c>
      <c r="AC501" s="71">
        <f t="shared" si="166"/>
        <v>0</v>
      </c>
      <c r="AK501" s="71">
        <f t="shared" si="167"/>
        <v>0</v>
      </c>
      <c r="AM501" s="71">
        <f t="shared" si="168"/>
        <v>0</v>
      </c>
      <c r="AO501" s="71">
        <f t="shared" si="169"/>
        <v>0</v>
      </c>
      <c r="AQ501" s="71">
        <f t="shared" si="170"/>
        <v>0</v>
      </c>
      <c r="AT501" s="71">
        <f t="shared" si="171"/>
        <v>0</v>
      </c>
      <c r="AV501" s="71">
        <f t="shared" si="172"/>
        <v>0</v>
      </c>
      <c r="AX501" s="71">
        <f t="shared" si="173"/>
        <v>0</v>
      </c>
      <c r="AZ501" s="71">
        <f t="shared" si="174"/>
        <v>0</v>
      </c>
      <c r="BE501" s="81">
        <f t="shared" si="175"/>
        <v>0</v>
      </c>
      <c r="BF501" s="81" t="str">
        <f t="shared" si="176"/>
        <v>BASSO</v>
      </c>
    </row>
    <row r="502" spans="7:58" x14ac:dyDescent="0.15">
      <c r="G502" s="64">
        <f t="shared" si="155"/>
        <v>0</v>
      </c>
      <c r="I502" s="64">
        <f t="shared" si="156"/>
        <v>0</v>
      </c>
      <c r="K502" s="64">
        <f t="shared" si="157"/>
        <v>0</v>
      </c>
      <c r="M502" s="64">
        <f t="shared" si="158"/>
        <v>0</v>
      </c>
      <c r="O502" s="64">
        <f t="shared" si="159"/>
        <v>0</v>
      </c>
      <c r="Q502" s="64">
        <f t="shared" si="160"/>
        <v>0</v>
      </c>
      <c r="S502" s="71">
        <f t="shared" si="161"/>
        <v>0</v>
      </c>
      <c r="U502" s="64">
        <f t="shared" si="162"/>
        <v>0</v>
      </c>
      <c r="W502" s="71">
        <f t="shared" si="163"/>
        <v>0</v>
      </c>
      <c r="Y502" s="71">
        <f t="shared" si="164"/>
        <v>0</v>
      </c>
      <c r="AA502" s="71">
        <f t="shared" si="165"/>
        <v>0</v>
      </c>
      <c r="AC502" s="71">
        <f t="shared" si="166"/>
        <v>0</v>
      </c>
      <c r="AK502" s="71">
        <f t="shared" si="167"/>
        <v>0</v>
      </c>
      <c r="AM502" s="71">
        <f t="shared" si="168"/>
        <v>0</v>
      </c>
      <c r="AO502" s="71">
        <f t="shared" si="169"/>
        <v>0</v>
      </c>
      <c r="AQ502" s="71">
        <f t="shared" si="170"/>
        <v>0</v>
      </c>
      <c r="AT502" s="71">
        <f t="shared" si="171"/>
        <v>0</v>
      </c>
      <c r="AV502" s="71">
        <f t="shared" si="172"/>
        <v>0</v>
      </c>
      <c r="AX502" s="71">
        <f t="shared" si="173"/>
        <v>0</v>
      </c>
      <c r="AZ502" s="71">
        <f t="shared" si="174"/>
        <v>0</v>
      </c>
      <c r="BE502" s="81">
        <f t="shared" si="175"/>
        <v>0</v>
      </c>
      <c r="BF502" s="81" t="str">
        <f t="shared" si="176"/>
        <v>BASSO</v>
      </c>
    </row>
    <row r="503" spans="7:58" x14ac:dyDescent="0.15">
      <c r="G503" s="64">
        <f t="shared" si="155"/>
        <v>0</v>
      </c>
      <c r="I503" s="64">
        <f t="shared" si="156"/>
        <v>0</v>
      </c>
      <c r="K503" s="64">
        <f t="shared" si="157"/>
        <v>0</v>
      </c>
      <c r="M503" s="64">
        <f t="shared" si="158"/>
        <v>0</v>
      </c>
      <c r="O503" s="64">
        <f t="shared" si="159"/>
        <v>0</v>
      </c>
      <c r="Q503" s="64">
        <f t="shared" si="160"/>
        <v>0</v>
      </c>
      <c r="S503" s="71">
        <f t="shared" si="161"/>
        <v>0</v>
      </c>
      <c r="U503" s="64">
        <f t="shared" si="162"/>
        <v>0</v>
      </c>
      <c r="W503" s="71">
        <f t="shared" si="163"/>
        <v>0</v>
      </c>
      <c r="Y503" s="71">
        <f t="shared" si="164"/>
        <v>0</v>
      </c>
      <c r="AA503" s="71">
        <f t="shared" si="165"/>
        <v>0</v>
      </c>
      <c r="AC503" s="71">
        <f t="shared" si="166"/>
        <v>0</v>
      </c>
      <c r="AK503" s="71">
        <f t="shared" si="167"/>
        <v>0</v>
      </c>
      <c r="AM503" s="71">
        <f t="shared" si="168"/>
        <v>0</v>
      </c>
      <c r="AO503" s="71">
        <f t="shared" si="169"/>
        <v>0</v>
      </c>
      <c r="AQ503" s="71">
        <f t="shared" si="170"/>
        <v>0</v>
      </c>
      <c r="AT503" s="71">
        <f t="shared" si="171"/>
        <v>0</v>
      </c>
      <c r="AV503" s="71">
        <f t="shared" si="172"/>
        <v>0</v>
      </c>
      <c r="AX503" s="71">
        <f t="shared" si="173"/>
        <v>0</v>
      </c>
      <c r="AZ503" s="71">
        <f t="shared" si="174"/>
        <v>0</v>
      </c>
      <c r="BE503" s="81">
        <f t="shared" si="175"/>
        <v>0</v>
      </c>
      <c r="BF503" s="81" t="str">
        <f t="shared" si="176"/>
        <v>BASSO</v>
      </c>
    </row>
    <row r="504" spans="7:58" x14ac:dyDescent="0.15">
      <c r="G504" s="64">
        <f t="shared" si="155"/>
        <v>0</v>
      </c>
      <c r="I504" s="64">
        <f t="shared" si="156"/>
        <v>0</v>
      </c>
      <c r="K504" s="64">
        <f t="shared" si="157"/>
        <v>0</v>
      </c>
      <c r="M504" s="64">
        <f t="shared" si="158"/>
        <v>0</v>
      </c>
      <c r="O504" s="64">
        <f t="shared" si="159"/>
        <v>0</v>
      </c>
      <c r="Q504" s="64">
        <f t="shared" si="160"/>
        <v>0</v>
      </c>
      <c r="S504" s="71">
        <f t="shared" si="161"/>
        <v>0</v>
      </c>
      <c r="U504" s="64">
        <f t="shared" si="162"/>
        <v>0</v>
      </c>
      <c r="W504" s="71">
        <f t="shared" si="163"/>
        <v>0</v>
      </c>
      <c r="Y504" s="71">
        <f t="shared" si="164"/>
        <v>0</v>
      </c>
      <c r="AA504" s="71">
        <f t="shared" si="165"/>
        <v>0</v>
      </c>
      <c r="AC504" s="71">
        <f t="shared" si="166"/>
        <v>0</v>
      </c>
      <c r="AK504" s="71">
        <f t="shared" si="167"/>
        <v>0</v>
      </c>
      <c r="AM504" s="71">
        <f t="shared" si="168"/>
        <v>0</v>
      </c>
      <c r="AO504" s="71">
        <f t="shared" si="169"/>
        <v>0</v>
      </c>
      <c r="AQ504" s="71">
        <f t="shared" si="170"/>
        <v>0</v>
      </c>
      <c r="AT504" s="71">
        <f t="shared" si="171"/>
        <v>0</v>
      </c>
      <c r="AV504" s="71">
        <f t="shared" si="172"/>
        <v>0</v>
      </c>
      <c r="AX504" s="71">
        <f t="shared" si="173"/>
        <v>0</v>
      </c>
      <c r="AZ504" s="71">
        <f t="shared" si="174"/>
        <v>0</v>
      </c>
      <c r="BE504" s="81">
        <f t="shared" si="175"/>
        <v>0</v>
      </c>
      <c r="BF504" s="81" t="str">
        <f t="shared" si="176"/>
        <v>BASSO</v>
      </c>
    </row>
    <row r="505" spans="7:58" x14ac:dyDescent="0.15">
      <c r="G505" s="64">
        <f t="shared" si="155"/>
        <v>0</v>
      </c>
      <c r="I505" s="64">
        <f t="shared" si="156"/>
        <v>0</v>
      </c>
      <c r="K505" s="64">
        <f t="shared" si="157"/>
        <v>0</v>
      </c>
      <c r="M505" s="64">
        <f t="shared" si="158"/>
        <v>0</v>
      </c>
      <c r="O505" s="64">
        <f t="shared" si="159"/>
        <v>0</v>
      </c>
      <c r="Q505" s="64">
        <f t="shared" si="160"/>
        <v>0</v>
      </c>
      <c r="S505" s="71">
        <f t="shared" si="161"/>
        <v>0</v>
      </c>
      <c r="U505" s="64">
        <f t="shared" si="162"/>
        <v>0</v>
      </c>
      <c r="W505" s="71">
        <f t="shared" si="163"/>
        <v>0</v>
      </c>
      <c r="Y505" s="71">
        <f t="shared" si="164"/>
        <v>0</v>
      </c>
      <c r="AA505" s="71">
        <f t="shared" si="165"/>
        <v>0</v>
      </c>
      <c r="AC505" s="71">
        <f t="shared" si="166"/>
        <v>0</v>
      </c>
      <c r="AK505" s="71">
        <f t="shared" si="167"/>
        <v>0</v>
      </c>
      <c r="AM505" s="71">
        <f t="shared" si="168"/>
        <v>0</v>
      </c>
      <c r="AO505" s="71">
        <f t="shared" si="169"/>
        <v>0</v>
      </c>
      <c r="AQ505" s="71">
        <f t="shared" si="170"/>
        <v>0</v>
      </c>
      <c r="AT505" s="71">
        <f t="shared" si="171"/>
        <v>0</v>
      </c>
      <c r="AV505" s="71">
        <f t="shared" si="172"/>
        <v>0</v>
      </c>
      <c r="AX505" s="71">
        <f t="shared" si="173"/>
        <v>0</v>
      </c>
      <c r="AZ505" s="71">
        <f t="shared" si="174"/>
        <v>0</v>
      </c>
      <c r="BE505" s="81">
        <f t="shared" si="175"/>
        <v>0</v>
      </c>
      <c r="BF505" s="81" t="str">
        <f t="shared" si="176"/>
        <v>BASSO</v>
      </c>
    </row>
    <row r="506" spans="7:58" x14ac:dyDescent="0.15">
      <c r="G506" s="64">
        <f t="shared" si="155"/>
        <v>0</v>
      </c>
      <c r="I506" s="64">
        <f t="shared" si="156"/>
        <v>0</v>
      </c>
      <c r="K506" s="64">
        <f t="shared" si="157"/>
        <v>0</v>
      </c>
      <c r="M506" s="64">
        <f t="shared" si="158"/>
        <v>0</v>
      </c>
      <c r="O506" s="64">
        <f t="shared" si="159"/>
        <v>0</v>
      </c>
      <c r="Q506" s="64">
        <f t="shared" si="160"/>
        <v>0</v>
      </c>
      <c r="S506" s="71">
        <f t="shared" si="161"/>
        <v>0</v>
      </c>
      <c r="U506" s="64">
        <f t="shared" si="162"/>
        <v>0</v>
      </c>
      <c r="W506" s="71">
        <f t="shared" si="163"/>
        <v>0</v>
      </c>
      <c r="Y506" s="71">
        <f t="shared" si="164"/>
        <v>0</v>
      </c>
      <c r="AA506" s="71">
        <f t="shared" si="165"/>
        <v>0</v>
      </c>
      <c r="AC506" s="71">
        <f t="shared" si="166"/>
        <v>0</v>
      </c>
      <c r="AK506" s="71">
        <f t="shared" si="167"/>
        <v>0</v>
      </c>
      <c r="AM506" s="71">
        <f t="shared" si="168"/>
        <v>0</v>
      </c>
      <c r="AO506" s="71">
        <f t="shared" si="169"/>
        <v>0</v>
      </c>
      <c r="AQ506" s="71">
        <f t="shared" si="170"/>
        <v>0</v>
      </c>
      <c r="AT506" s="71">
        <f t="shared" si="171"/>
        <v>0</v>
      </c>
      <c r="AV506" s="71">
        <f t="shared" si="172"/>
        <v>0</v>
      </c>
      <c r="AX506" s="71">
        <f t="shared" si="173"/>
        <v>0</v>
      </c>
      <c r="AZ506" s="71">
        <f t="shared" si="174"/>
        <v>0</v>
      </c>
      <c r="BE506" s="81">
        <f t="shared" si="175"/>
        <v>0</v>
      </c>
      <c r="BF506" s="81" t="str">
        <f t="shared" si="176"/>
        <v>BASSO</v>
      </c>
    </row>
    <row r="507" spans="7:58" x14ac:dyDescent="0.15">
      <c r="G507" s="64">
        <f t="shared" si="155"/>
        <v>0</v>
      </c>
      <c r="I507" s="64">
        <f t="shared" si="156"/>
        <v>0</v>
      </c>
      <c r="K507" s="64">
        <f t="shared" si="157"/>
        <v>0</v>
      </c>
      <c r="M507" s="64">
        <f t="shared" si="158"/>
        <v>0</v>
      </c>
      <c r="O507" s="64">
        <f t="shared" si="159"/>
        <v>0</v>
      </c>
      <c r="Q507" s="64">
        <f t="shared" si="160"/>
        <v>0</v>
      </c>
      <c r="S507" s="71">
        <f t="shared" si="161"/>
        <v>0</v>
      </c>
      <c r="U507" s="64">
        <f t="shared" si="162"/>
        <v>0</v>
      </c>
      <c r="W507" s="71">
        <f t="shared" si="163"/>
        <v>0</v>
      </c>
      <c r="Y507" s="71">
        <f t="shared" si="164"/>
        <v>0</v>
      </c>
      <c r="AA507" s="71">
        <f t="shared" si="165"/>
        <v>0</v>
      </c>
      <c r="AC507" s="71">
        <f t="shared" si="166"/>
        <v>0</v>
      </c>
      <c r="AK507" s="71">
        <f t="shared" si="167"/>
        <v>0</v>
      </c>
      <c r="AM507" s="71">
        <f t="shared" si="168"/>
        <v>0</v>
      </c>
      <c r="AO507" s="71">
        <f t="shared" si="169"/>
        <v>0</v>
      </c>
      <c r="AQ507" s="71">
        <f t="shared" si="170"/>
        <v>0</v>
      </c>
      <c r="AT507" s="71">
        <f t="shared" si="171"/>
        <v>0</v>
      </c>
      <c r="AV507" s="71">
        <f t="shared" si="172"/>
        <v>0</v>
      </c>
      <c r="AX507" s="71">
        <f t="shared" si="173"/>
        <v>0</v>
      </c>
      <c r="AZ507" s="71">
        <f t="shared" si="174"/>
        <v>0</v>
      </c>
      <c r="BE507" s="81">
        <f t="shared" si="175"/>
        <v>0</v>
      </c>
      <c r="BF507" s="81" t="str">
        <f t="shared" si="176"/>
        <v>BASSO</v>
      </c>
    </row>
    <row r="508" spans="7:58" x14ac:dyDescent="0.15">
      <c r="G508" s="64">
        <f t="shared" si="155"/>
        <v>0</v>
      </c>
      <c r="I508" s="64">
        <f t="shared" si="156"/>
        <v>0</v>
      </c>
      <c r="K508" s="64">
        <f t="shared" si="157"/>
        <v>0</v>
      </c>
      <c r="M508" s="64">
        <f t="shared" si="158"/>
        <v>0</v>
      </c>
      <c r="O508" s="64">
        <f t="shared" si="159"/>
        <v>0</v>
      </c>
      <c r="Q508" s="64">
        <f t="shared" si="160"/>
        <v>0</v>
      </c>
      <c r="S508" s="71">
        <f t="shared" si="161"/>
        <v>0</v>
      </c>
      <c r="U508" s="64">
        <f t="shared" si="162"/>
        <v>0</v>
      </c>
      <c r="W508" s="71">
        <f t="shared" si="163"/>
        <v>0</v>
      </c>
      <c r="Y508" s="71">
        <f t="shared" si="164"/>
        <v>0</v>
      </c>
      <c r="AA508" s="71">
        <f t="shared" si="165"/>
        <v>0</v>
      </c>
      <c r="AC508" s="71">
        <f t="shared" si="166"/>
        <v>0</v>
      </c>
      <c r="AK508" s="71">
        <f t="shared" si="167"/>
        <v>0</v>
      </c>
      <c r="AM508" s="71">
        <f t="shared" si="168"/>
        <v>0</v>
      </c>
      <c r="AO508" s="71">
        <f t="shared" si="169"/>
        <v>0</v>
      </c>
      <c r="AQ508" s="71">
        <f t="shared" si="170"/>
        <v>0</v>
      </c>
      <c r="AT508" s="71">
        <f t="shared" si="171"/>
        <v>0</v>
      </c>
      <c r="AV508" s="71">
        <f t="shared" si="172"/>
        <v>0</v>
      </c>
      <c r="AX508" s="71">
        <f t="shared" si="173"/>
        <v>0</v>
      </c>
      <c r="AZ508" s="71">
        <f t="shared" si="174"/>
        <v>0</v>
      </c>
      <c r="BE508" s="81">
        <f t="shared" si="175"/>
        <v>0</v>
      </c>
      <c r="BF508" s="81" t="str">
        <f t="shared" si="176"/>
        <v>BASSO</v>
      </c>
    </row>
    <row r="509" spans="7:58" x14ac:dyDescent="0.15">
      <c r="G509" s="64">
        <f t="shared" si="155"/>
        <v>0</v>
      </c>
      <c r="I509" s="64">
        <f t="shared" si="156"/>
        <v>0</v>
      </c>
      <c r="K509" s="64">
        <f t="shared" si="157"/>
        <v>0</v>
      </c>
      <c r="M509" s="64">
        <f t="shared" si="158"/>
        <v>0</v>
      </c>
      <c r="O509" s="64">
        <f t="shared" si="159"/>
        <v>0</v>
      </c>
      <c r="Q509" s="64">
        <f t="shared" si="160"/>
        <v>0</v>
      </c>
      <c r="S509" s="71">
        <f t="shared" si="161"/>
        <v>0</v>
      </c>
      <c r="U509" s="64">
        <f t="shared" si="162"/>
        <v>0</v>
      </c>
      <c r="W509" s="71">
        <f t="shared" si="163"/>
        <v>0</v>
      </c>
      <c r="Y509" s="71">
        <f t="shared" si="164"/>
        <v>0</v>
      </c>
      <c r="AA509" s="71">
        <f t="shared" si="165"/>
        <v>0</v>
      </c>
      <c r="AC509" s="71">
        <f t="shared" si="166"/>
        <v>0</v>
      </c>
      <c r="AK509" s="71">
        <f t="shared" si="167"/>
        <v>0</v>
      </c>
      <c r="AM509" s="71">
        <f t="shared" si="168"/>
        <v>0</v>
      </c>
      <c r="AO509" s="71">
        <f t="shared" si="169"/>
        <v>0</v>
      </c>
      <c r="AQ509" s="71">
        <f t="shared" si="170"/>
        <v>0</v>
      </c>
      <c r="AT509" s="71">
        <f t="shared" si="171"/>
        <v>0</v>
      </c>
      <c r="AV509" s="71">
        <f t="shared" si="172"/>
        <v>0</v>
      </c>
      <c r="AX509" s="71">
        <f t="shared" si="173"/>
        <v>0</v>
      </c>
      <c r="AZ509" s="71">
        <f t="shared" si="174"/>
        <v>0</v>
      </c>
      <c r="BE509" s="81">
        <f t="shared" si="175"/>
        <v>0</v>
      </c>
      <c r="BF509" s="81" t="str">
        <f t="shared" si="176"/>
        <v>BASSO</v>
      </c>
    </row>
    <row r="510" spans="7:58" x14ac:dyDescent="0.15">
      <c r="G510" s="64">
        <f t="shared" si="155"/>
        <v>0</v>
      </c>
      <c r="I510" s="64">
        <f t="shared" si="156"/>
        <v>0</v>
      </c>
      <c r="K510" s="64">
        <f t="shared" si="157"/>
        <v>0</v>
      </c>
      <c r="M510" s="64">
        <f t="shared" si="158"/>
        <v>0</v>
      </c>
      <c r="O510" s="64">
        <f t="shared" si="159"/>
        <v>0</v>
      </c>
      <c r="Q510" s="64">
        <f t="shared" si="160"/>
        <v>0</v>
      </c>
      <c r="S510" s="71">
        <f t="shared" si="161"/>
        <v>0</v>
      </c>
      <c r="U510" s="64">
        <f t="shared" si="162"/>
        <v>0</v>
      </c>
      <c r="W510" s="71">
        <f t="shared" si="163"/>
        <v>0</v>
      </c>
      <c r="Y510" s="71">
        <f t="shared" si="164"/>
        <v>0</v>
      </c>
      <c r="AA510" s="71">
        <f t="shared" si="165"/>
        <v>0</v>
      </c>
      <c r="AC510" s="71">
        <f t="shared" si="166"/>
        <v>0</v>
      </c>
      <c r="AK510" s="71">
        <f t="shared" si="167"/>
        <v>0</v>
      </c>
      <c r="AM510" s="71">
        <f t="shared" si="168"/>
        <v>0</v>
      </c>
      <c r="AO510" s="71">
        <f t="shared" si="169"/>
        <v>0</v>
      </c>
      <c r="AQ510" s="71">
        <f t="shared" si="170"/>
        <v>0</v>
      </c>
      <c r="AT510" s="71">
        <f t="shared" si="171"/>
        <v>0</v>
      </c>
      <c r="AV510" s="71">
        <f t="shared" si="172"/>
        <v>0</v>
      </c>
      <c r="AX510" s="71">
        <f t="shared" si="173"/>
        <v>0</v>
      </c>
      <c r="AZ510" s="71">
        <f t="shared" si="174"/>
        <v>0</v>
      </c>
      <c r="BE510" s="81">
        <f t="shared" si="175"/>
        <v>0</v>
      </c>
      <c r="BF510" s="81" t="str">
        <f t="shared" si="176"/>
        <v>BASSO</v>
      </c>
    </row>
    <row r="511" spans="7:58" x14ac:dyDescent="0.15">
      <c r="G511" s="64">
        <f t="shared" si="155"/>
        <v>0</v>
      </c>
      <c r="I511" s="64">
        <f t="shared" si="156"/>
        <v>0</v>
      </c>
      <c r="K511" s="64">
        <f t="shared" si="157"/>
        <v>0</v>
      </c>
      <c r="M511" s="64">
        <f t="shared" si="158"/>
        <v>0</v>
      </c>
      <c r="O511" s="64">
        <f t="shared" si="159"/>
        <v>0</v>
      </c>
      <c r="Q511" s="64">
        <f t="shared" si="160"/>
        <v>0</v>
      </c>
      <c r="S511" s="71">
        <f t="shared" si="161"/>
        <v>0</v>
      </c>
      <c r="U511" s="64">
        <f t="shared" si="162"/>
        <v>0</v>
      </c>
      <c r="W511" s="71">
        <f t="shared" si="163"/>
        <v>0</v>
      </c>
      <c r="Y511" s="71">
        <f t="shared" si="164"/>
        <v>0</v>
      </c>
      <c r="AA511" s="71">
        <f t="shared" si="165"/>
        <v>0</v>
      </c>
      <c r="AC511" s="71">
        <f t="shared" si="166"/>
        <v>0</v>
      </c>
      <c r="AK511" s="71">
        <f t="shared" si="167"/>
        <v>0</v>
      </c>
      <c r="AM511" s="71">
        <f t="shared" si="168"/>
        <v>0</v>
      </c>
      <c r="AO511" s="71">
        <f t="shared" si="169"/>
        <v>0</v>
      </c>
      <c r="AQ511" s="71">
        <f t="shared" si="170"/>
        <v>0</v>
      </c>
      <c r="AT511" s="71">
        <f t="shared" si="171"/>
        <v>0</v>
      </c>
      <c r="AV511" s="71">
        <f t="shared" si="172"/>
        <v>0</v>
      </c>
      <c r="AX511" s="71">
        <f t="shared" si="173"/>
        <v>0</v>
      </c>
      <c r="AZ511" s="71">
        <f t="shared" si="174"/>
        <v>0</v>
      </c>
      <c r="BE511" s="81">
        <f t="shared" si="175"/>
        <v>0</v>
      </c>
      <c r="BF511" s="81" t="str">
        <f t="shared" si="176"/>
        <v>BASSO</v>
      </c>
    </row>
    <row r="512" spans="7:58" x14ac:dyDescent="0.15">
      <c r="G512" s="64">
        <f t="shared" si="155"/>
        <v>0</v>
      </c>
      <c r="I512" s="64">
        <f t="shared" si="156"/>
        <v>0</v>
      </c>
      <c r="K512" s="64">
        <f t="shared" si="157"/>
        <v>0</v>
      </c>
      <c r="M512" s="64">
        <f t="shared" si="158"/>
        <v>0</v>
      </c>
      <c r="O512" s="64">
        <f t="shared" si="159"/>
        <v>0</v>
      </c>
      <c r="Q512" s="64">
        <f t="shared" si="160"/>
        <v>0</v>
      </c>
      <c r="S512" s="71">
        <f t="shared" si="161"/>
        <v>0</v>
      </c>
      <c r="U512" s="64">
        <f t="shared" si="162"/>
        <v>0</v>
      </c>
      <c r="W512" s="71">
        <f t="shared" si="163"/>
        <v>0</v>
      </c>
      <c r="Y512" s="71">
        <f t="shared" si="164"/>
        <v>0</v>
      </c>
      <c r="AA512" s="71">
        <f t="shared" si="165"/>
        <v>0</v>
      </c>
      <c r="AC512" s="71">
        <f t="shared" si="166"/>
        <v>0</v>
      </c>
      <c r="AK512" s="71">
        <f t="shared" si="167"/>
        <v>0</v>
      </c>
      <c r="AM512" s="71">
        <f t="shared" si="168"/>
        <v>0</v>
      </c>
      <c r="AO512" s="71">
        <f t="shared" si="169"/>
        <v>0</v>
      </c>
      <c r="AQ512" s="71">
        <f t="shared" si="170"/>
        <v>0</v>
      </c>
      <c r="AT512" s="71">
        <f t="shared" si="171"/>
        <v>0</v>
      </c>
      <c r="AV512" s="71">
        <f t="shared" si="172"/>
        <v>0</v>
      </c>
      <c r="AX512" s="71">
        <f t="shared" si="173"/>
        <v>0</v>
      </c>
      <c r="AZ512" s="71">
        <f t="shared" si="174"/>
        <v>0</v>
      </c>
      <c r="BE512" s="81">
        <f t="shared" si="175"/>
        <v>0</v>
      </c>
      <c r="BF512" s="81" t="str">
        <f t="shared" si="176"/>
        <v>BASSO</v>
      </c>
    </row>
    <row r="513" spans="7:58" x14ac:dyDescent="0.15">
      <c r="G513" s="64">
        <f t="shared" si="155"/>
        <v>0</v>
      </c>
      <c r="I513" s="64">
        <f t="shared" si="156"/>
        <v>0</v>
      </c>
      <c r="K513" s="64">
        <f t="shared" si="157"/>
        <v>0</v>
      </c>
      <c r="M513" s="64">
        <f t="shared" si="158"/>
        <v>0</v>
      </c>
      <c r="O513" s="64">
        <f t="shared" si="159"/>
        <v>0</v>
      </c>
      <c r="Q513" s="64">
        <f t="shared" si="160"/>
        <v>0</v>
      </c>
      <c r="S513" s="71">
        <f t="shared" si="161"/>
        <v>0</v>
      </c>
      <c r="U513" s="64">
        <f t="shared" si="162"/>
        <v>0</v>
      </c>
      <c r="W513" s="71">
        <f t="shared" si="163"/>
        <v>0</v>
      </c>
      <c r="Y513" s="71">
        <f t="shared" si="164"/>
        <v>0</v>
      </c>
      <c r="AA513" s="71">
        <f t="shared" si="165"/>
        <v>0</v>
      </c>
      <c r="AC513" s="71">
        <f t="shared" si="166"/>
        <v>0</v>
      </c>
      <c r="AK513" s="71">
        <f t="shared" si="167"/>
        <v>0</v>
      </c>
      <c r="AM513" s="71">
        <f t="shared" si="168"/>
        <v>0</v>
      </c>
      <c r="AO513" s="71">
        <f t="shared" si="169"/>
        <v>0</v>
      </c>
      <c r="AQ513" s="71">
        <f t="shared" si="170"/>
        <v>0</v>
      </c>
      <c r="AT513" s="71">
        <f t="shared" si="171"/>
        <v>0</v>
      </c>
      <c r="AV513" s="71">
        <f t="shared" si="172"/>
        <v>0</v>
      </c>
      <c r="AX513" s="71">
        <f t="shared" si="173"/>
        <v>0</v>
      </c>
      <c r="AZ513" s="71">
        <f t="shared" si="174"/>
        <v>0</v>
      </c>
      <c r="BE513" s="81">
        <f t="shared" si="175"/>
        <v>0</v>
      </c>
      <c r="BF513" s="81" t="str">
        <f t="shared" si="176"/>
        <v>BASSO</v>
      </c>
    </row>
    <row r="514" spans="7:58" x14ac:dyDescent="0.15">
      <c r="G514" s="64">
        <f t="shared" ref="G514:G577" si="177">F515/2</f>
        <v>0</v>
      </c>
      <c r="I514" s="64">
        <f t="shared" si="156"/>
        <v>0</v>
      </c>
      <c r="K514" s="64">
        <f t="shared" si="157"/>
        <v>0</v>
      </c>
      <c r="M514" s="64">
        <f t="shared" si="158"/>
        <v>0</v>
      </c>
      <c r="O514" s="64">
        <f t="shared" si="159"/>
        <v>0</v>
      </c>
      <c r="Q514" s="64">
        <f t="shared" si="160"/>
        <v>0</v>
      </c>
      <c r="S514" s="71">
        <f t="shared" si="161"/>
        <v>0</v>
      </c>
      <c r="U514" s="64">
        <f t="shared" si="162"/>
        <v>0</v>
      </c>
      <c r="W514" s="71">
        <f t="shared" si="163"/>
        <v>0</v>
      </c>
      <c r="Y514" s="71">
        <f t="shared" si="164"/>
        <v>0</v>
      </c>
      <c r="AA514" s="71">
        <f t="shared" si="165"/>
        <v>0</v>
      </c>
      <c r="AC514" s="71">
        <f t="shared" si="166"/>
        <v>0</v>
      </c>
      <c r="AK514" s="71">
        <f t="shared" si="167"/>
        <v>0</v>
      </c>
      <c r="AM514" s="71">
        <f t="shared" si="168"/>
        <v>0</v>
      </c>
      <c r="AO514" s="71">
        <f t="shared" si="169"/>
        <v>0</v>
      </c>
      <c r="AQ514" s="71">
        <f t="shared" si="170"/>
        <v>0</v>
      </c>
      <c r="AT514" s="71">
        <f t="shared" si="171"/>
        <v>0</v>
      </c>
      <c r="AV514" s="71">
        <f t="shared" si="172"/>
        <v>0</v>
      </c>
      <c r="AX514" s="71">
        <f t="shared" si="173"/>
        <v>0</v>
      </c>
      <c r="AZ514" s="71">
        <f t="shared" si="174"/>
        <v>0</v>
      </c>
      <c r="BE514" s="81">
        <f t="shared" si="175"/>
        <v>0</v>
      </c>
      <c r="BF514" s="81" t="str">
        <f t="shared" si="176"/>
        <v>BASSO</v>
      </c>
    </row>
    <row r="515" spans="7:58" x14ac:dyDescent="0.15">
      <c r="G515" s="64">
        <f t="shared" si="177"/>
        <v>0</v>
      </c>
      <c r="I515" s="64">
        <f t="shared" ref="I515:I578" si="178">H515/2</f>
        <v>0</v>
      </c>
      <c r="K515" s="64">
        <f t="shared" ref="K515:K578" si="179">J515/2</f>
        <v>0</v>
      </c>
      <c r="M515" s="64">
        <f t="shared" ref="M515:M578" si="180">L515/3</f>
        <v>0</v>
      </c>
      <c r="O515" s="64">
        <f t="shared" ref="O515:O578" si="181">N515/5</f>
        <v>0</v>
      </c>
      <c r="Q515" s="64">
        <f t="shared" ref="Q515:Q578" si="182">P515/3</f>
        <v>0</v>
      </c>
      <c r="S515" s="71">
        <f t="shared" ref="S515:S578" si="183">R515/3</f>
        <v>0</v>
      </c>
      <c r="U515" s="64">
        <f t="shared" ref="U515:U578" si="184">T515/3</f>
        <v>0</v>
      </c>
      <c r="W515" s="71">
        <f t="shared" ref="W515:W578" si="185">V515/4</f>
        <v>0</v>
      </c>
      <c r="Y515" s="71">
        <f t="shared" ref="Y515:Y578" si="186">X515/3</f>
        <v>0</v>
      </c>
      <c r="AA515" s="71">
        <f t="shared" ref="AA515:AA578" si="187">Z515/3</f>
        <v>0</v>
      </c>
      <c r="AC515" s="71">
        <f t="shared" ref="AC515:AC578" si="188">AB515/2</f>
        <v>0</v>
      </c>
      <c r="AK515" s="71">
        <f t="shared" ref="AK515:AK578" si="189">AJ515/2</f>
        <v>0</v>
      </c>
      <c r="AM515" s="71">
        <f t="shared" ref="AM515:AM578" si="190">AL515/3</f>
        <v>0</v>
      </c>
      <c r="AO515" s="71">
        <f t="shared" ref="AO515:AO578" si="191">AN515/3</f>
        <v>0</v>
      </c>
      <c r="AQ515" s="71">
        <f t="shared" ref="AQ515:AQ578" si="192">AP515/3</f>
        <v>0</v>
      </c>
      <c r="AT515" s="71">
        <f t="shared" ref="AT515:AT578" si="193">AS515/3</f>
        <v>0</v>
      </c>
      <c r="AV515" s="71">
        <f t="shared" ref="AV515:AV578" si="194">AU515/3</f>
        <v>0</v>
      </c>
      <c r="AX515" s="71">
        <f t="shared" ref="AX515:AX578" si="195">AW515/2</f>
        <v>0</v>
      </c>
      <c r="AZ515" s="71">
        <f t="shared" ref="AZ515:AZ578" si="196">AY515/3</f>
        <v>0</v>
      </c>
      <c r="BE515" s="81">
        <f t="shared" ref="BE515:BE578" si="197">AVERAGE(F515,I515,K515,M515,O515,Q515,S515,U515,W515,Y515,AA515,AC515,AK515,AM515,AO515,AQ515,AT515,AV515,AX515,AZ515)</f>
        <v>0</v>
      </c>
      <c r="BF515" s="81" t="str">
        <f t="shared" ref="BF515:BF578" si="198">IF(BE515="","",IF(VALUE(BE515)&lt;0.34,"BASSO",IF(VALUE(BE515)&lt;=0.66,"MEDIO","ALTO")))</f>
        <v>BASSO</v>
      </c>
    </row>
    <row r="516" spans="7:58" x14ac:dyDescent="0.15">
      <c r="G516" s="64">
        <f t="shared" si="177"/>
        <v>0</v>
      </c>
      <c r="I516" s="64">
        <f t="shared" si="178"/>
        <v>0</v>
      </c>
      <c r="K516" s="64">
        <f t="shared" si="179"/>
        <v>0</v>
      </c>
      <c r="M516" s="64">
        <f t="shared" si="180"/>
        <v>0</v>
      </c>
      <c r="O516" s="64">
        <f t="shared" si="181"/>
        <v>0</v>
      </c>
      <c r="Q516" s="64">
        <f t="shared" si="182"/>
        <v>0</v>
      </c>
      <c r="S516" s="71">
        <f t="shared" si="183"/>
        <v>0</v>
      </c>
      <c r="U516" s="64">
        <f t="shared" si="184"/>
        <v>0</v>
      </c>
      <c r="W516" s="71">
        <f t="shared" si="185"/>
        <v>0</v>
      </c>
      <c r="Y516" s="71">
        <f t="shared" si="186"/>
        <v>0</v>
      </c>
      <c r="AA516" s="71">
        <f t="shared" si="187"/>
        <v>0</v>
      </c>
      <c r="AC516" s="71">
        <f t="shared" si="188"/>
        <v>0</v>
      </c>
      <c r="AK516" s="71">
        <f t="shared" si="189"/>
        <v>0</v>
      </c>
      <c r="AM516" s="71">
        <f t="shared" si="190"/>
        <v>0</v>
      </c>
      <c r="AO516" s="71">
        <f t="shared" si="191"/>
        <v>0</v>
      </c>
      <c r="AQ516" s="71">
        <f t="shared" si="192"/>
        <v>0</v>
      </c>
      <c r="AT516" s="71">
        <f t="shared" si="193"/>
        <v>0</v>
      </c>
      <c r="AV516" s="71">
        <f t="shared" si="194"/>
        <v>0</v>
      </c>
      <c r="AX516" s="71">
        <f t="shared" si="195"/>
        <v>0</v>
      </c>
      <c r="AZ516" s="71">
        <f t="shared" si="196"/>
        <v>0</v>
      </c>
      <c r="BE516" s="81">
        <f t="shared" si="197"/>
        <v>0</v>
      </c>
      <c r="BF516" s="81" t="str">
        <f t="shared" si="198"/>
        <v>BASSO</v>
      </c>
    </row>
    <row r="517" spans="7:58" x14ac:dyDescent="0.15">
      <c r="G517" s="64">
        <f t="shared" si="177"/>
        <v>0</v>
      </c>
      <c r="I517" s="64">
        <f t="shared" si="178"/>
        <v>0</v>
      </c>
      <c r="K517" s="64">
        <f t="shared" si="179"/>
        <v>0</v>
      </c>
      <c r="M517" s="64">
        <f t="shared" si="180"/>
        <v>0</v>
      </c>
      <c r="O517" s="64">
        <f t="shared" si="181"/>
        <v>0</v>
      </c>
      <c r="Q517" s="64">
        <f t="shared" si="182"/>
        <v>0</v>
      </c>
      <c r="S517" s="71">
        <f t="shared" si="183"/>
        <v>0</v>
      </c>
      <c r="U517" s="64">
        <f t="shared" si="184"/>
        <v>0</v>
      </c>
      <c r="W517" s="71">
        <f t="shared" si="185"/>
        <v>0</v>
      </c>
      <c r="Y517" s="71">
        <f t="shared" si="186"/>
        <v>0</v>
      </c>
      <c r="AA517" s="71">
        <f t="shared" si="187"/>
        <v>0</v>
      </c>
      <c r="AC517" s="71">
        <f t="shared" si="188"/>
        <v>0</v>
      </c>
      <c r="AK517" s="71">
        <f t="shared" si="189"/>
        <v>0</v>
      </c>
      <c r="AM517" s="71">
        <f t="shared" si="190"/>
        <v>0</v>
      </c>
      <c r="AO517" s="71">
        <f t="shared" si="191"/>
        <v>0</v>
      </c>
      <c r="AQ517" s="71">
        <f t="shared" si="192"/>
        <v>0</v>
      </c>
      <c r="AT517" s="71">
        <f t="shared" si="193"/>
        <v>0</v>
      </c>
      <c r="AV517" s="71">
        <f t="shared" si="194"/>
        <v>0</v>
      </c>
      <c r="AX517" s="71">
        <f t="shared" si="195"/>
        <v>0</v>
      </c>
      <c r="AZ517" s="71">
        <f t="shared" si="196"/>
        <v>0</v>
      </c>
      <c r="BE517" s="81">
        <f t="shared" si="197"/>
        <v>0</v>
      </c>
      <c r="BF517" s="81" t="str">
        <f t="shared" si="198"/>
        <v>BASSO</v>
      </c>
    </row>
    <row r="518" spans="7:58" x14ac:dyDescent="0.15">
      <c r="G518" s="64">
        <f t="shared" si="177"/>
        <v>0</v>
      </c>
      <c r="I518" s="64">
        <f t="shared" si="178"/>
        <v>0</v>
      </c>
      <c r="K518" s="64">
        <f t="shared" si="179"/>
        <v>0</v>
      </c>
      <c r="M518" s="64">
        <f t="shared" si="180"/>
        <v>0</v>
      </c>
      <c r="O518" s="64">
        <f t="shared" si="181"/>
        <v>0</v>
      </c>
      <c r="Q518" s="64">
        <f t="shared" si="182"/>
        <v>0</v>
      </c>
      <c r="S518" s="71">
        <f t="shared" si="183"/>
        <v>0</v>
      </c>
      <c r="U518" s="64">
        <f t="shared" si="184"/>
        <v>0</v>
      </c>
      <c r="W518" s="71">
        <f t="shared" si="185"/>
        <v>0</v>
      </c>
      <c r="Y518" s="71">
        <f t="shared" si="186"/>
        <v>0</v>
      </c>
      <c r="AA518" s="71">
        <f t="shared" si="187"/>
        <v>0</v>
      </c>
      <c r="AC518" s="71">
        <f t="shared" si="188"/>
        <v>0</v>
      </c>
      <c r="AK518" s="71">
        <f t="shared" si="189"/>
        <v>0</v>
      </c>
      <c r="AM518" s="71">
        <f t="shared" si="190"/>
        <v>0</v>
      </c>
      <c r="AO518" s="71">
        <f t="shared" si="191"/>
        <v>0</v>
      </c>
      <c r="AQ518" s="71">
        <f t="shared" si="192"/>
        <v>0</v>
      </c>
      <c r="AT518" s="71">
        <f t="shared" si="193"/>
        <v>0</v>
      </c>
      <c r="AV518" s="71">
        <f t="shared" si="194"/>
        <v>0</v>
      </c>
      <c r="AX518" s="71">
        <f t="shared" si="195"/>
        <v>0</v>
      </c>
      <c r="AZ518" s="71">
        <f t="shared" si="196"/>
        <v>0</v>
      </c>
      <c r="BE518" s="81">
        <f t="shared" si="197"/>
        <v>0</v>
      </c>
      <c r="BF518" s="81" t="str">
        <f t="shared" si="198"/>
        <v>BASSO</v>
      </c>
    </row>
    <row r="519" spans="7:58" x14ac:dyDescent="0.15">
      <c r="G519" s="64">
        <f t="shared" si="177"/>
        <v>0</v>
      </c>
      <c r="I519" s="64">
        <f t="shared" si="178"/>
        <v>0</v>
      </c>
      <c r="K519" s="64">
        <f t="shared" si="179"/>
        <v>0</v>
      </c>
      <c r="M519" s="64">
        <f t="shared" si="180"/>
        <v>0</v>
      </c>
      <c r="O519" s="64">
        <f t="shared" si="181"/>
        <v>0</v>
      </c>
      <c r="Q519" s="64">
        <f t="shared" si="182"/>
        <v>0</v>
      </c>
      <c r="S519" s="71">
        <f t="shared" si="183"/>
        <v>0</v>
      </c>
      <c r="U519" s="64">
        <f t="shared" si="184"/>
        <v>0</v>
      </c>
      <c r="W519" s="71">
        <f t="shared" si="185"/>
        <v>0</v>
      </c>
      <c r="Y519" s="71">
        <f t="shared" si="186"/>
        <v>0</v>
      </c>
      <c r="AA519" s="71">
        <f t="shared" si="187"/>
        <v>0</v>
      </c>
      <c r="AC519" s="71">
        <f t="shared" si="188"/>
        <v>0</v>
      </c>
      <c r="AK519" s="71">
        <f t="shared" si="189"/>
        <v>0</v>
      </c>
      <c r="AM519" s="71">
        <f t="shared" si="190"/>
        <v>0</v>
      </c>
      <c r="AO519" s="71">
        <f t="shared" si="191"/>
        <v>0</v>
      </c>
      <c r="AQ519" s="71">
        <f t="shared" si="192"/>
        <v>0</v>
      </c>
      <c r="AT519" s="71">
        <f t="shared" si="193"/>
        <v>0</v>
      </c>
      <c r="AV519" s="71">
        <f t="shared" si="194"/>
        <v>0</v>
      </c>
      <c r="AX519" s="71">
        <f t="shared" si="195"/>
        <v>0</v>
      </c>
      <c r="AZ519" s="71">
        <f t="shared" si="196"/>
        <v>0</v>
      </c>
      <c r="BE519" s="81">
        <f t="shared" si="197"/>
        <v>0</v>
      </c>
      <c r="BF519" s="81" t="str">
        <f t="shared" si="198"/>
        <v>BASSO</v>
      </c>
    </row>
    <row r="520" spans="7:58" x14ac:dyDescent="0.15">
      <c r="G520" s="64">
        <f t="shared" si="177"/>
        <v>0</v>
      </c>
      <c r="I520" s="64">
        <f t="shared" si="178"/>
        <v>0</v>
      </c>
      <c r="K520" s="64">
        <f t="shared" si="179"/>
        <v>0</v>
      </c>
      <c r="M520" s="64">
        <f t="shared" si="180"/>
        <v>0</v>
      </c>
      <c r="O520" s="64">
        <f t="shared" si="181"/>
        <v>0</v>
      </c>
      <c r="Q520" s="64">
        <f t="shared" si="182"/>
        <v>0</v>
      </c>
      <c r="S520" s="71">
        <f t="shared" si="183"/>
        <v>0</v>
      </c>
      <c r="U520" s="64">
        <f t="shared" si="184"/>
        <v>0</v>
      </c>
      <c r="W520" s="71">
        <f t="shared" si="185"/>
        <v>0</v>
      </c>
      <c r="Y520" s="71">
        <f t="shared" si="186"/>
        <v>0</v>
      </c>
      <c r="AA520" s="71">
        <f t="shared" si="187"/>
        <v>0</v>
      </c>
      <c r="AC520" s="71">
        <f t="shared" si="188"/>
        <v>0</v>
      </c>
      <c r="AK520" s="71">
        <f t="shared" si="189"/>
        <v>0</v>
      </c>
      <c r="AM520" s="71">
        <f t="shared" si="190"/>
        <v>0</v>
      </c>
      <c r="AO520" s="71">
        <f t="shared" si="191"/>
        <v>0</v>
      </c>
      <c r="AQ520" s="71">
        <f t="shared" si="192"/>
        <v>0</v>
      </c>
      <c r="AT520" s="71">
        <f t="shared" si="193"/>
        <v>0</v>
      </c>
      <c r="AV520" s="71">
        <f t="shared" si="194"/>
        <v>0</v>
      </c>
      <c r="AX520" s="71">
        <f t="shared" si="195"/>
        <v>0</v>
      </c>
      <c r="AZ520" s="71">
        <f t="shared" si="196"/>
        <v>0</v>
      </c>
      <c r="BE520" s="81">
        <f t="shared" si="197"/>
        <v>0</v>
      </c>
      <c r="BF520" s="81" t="str">
        <f t="shared" si="198"/>
        <v>BASSO</v>
      </c>
    </row>
    <row r="521" spans="7:58" x14ac:dyDescent="0.15">
      <c r="G521" s="64">
        <f t="shared" si="177"/>
        <v>0</v>
      </c>
      <c r="I521" s="64">
        <f t="shared" si="178"/>
        <v>0</v>
      </c>
      <c r="K521" s="64">
        <f t="shared" si="179"/>
        <v>0</v>
      </c>
      <c r="M521" s="64">
        <f t="shared" si="180"/>
        <v>0</v>
      </c>
      <c r="O521" s="64">
        <f t="shared" si="181"/>
        <v>0</v>
      </c>
      <c r="Q521" s="64">
        <f t="shared" si="182"/>
        <v>0</v>
      </c>
      <c r="S521" s="71">
        <f t="shared" si="183"/>
        <v>0</v>
      </c>
      <c r="U521" s="64">
        <f t="shared" si="184"/>
        <v>0</v>
      </c>
      <c r="W521" s="71">
        <f t="shared" si="185"/>
        <v>0</v>
      </c>
      <c r="Y521" s="71">
        <f t="shared" si="186"/>
        <v>0</v>
      </c>
      <c r="AA521" s="71">
        <f t="shared" si="187"/>
        <v>0</v>
      </c>
      <c r="AC521" s="71">
        <f t="shared" si="188"/>
        <v>0</v>
      </c>
      <c r="AK521" s="71">
        <f t="shared" si="189"/>
        <v>0</v>
      </c>
      <c r="AM521" s="71">
        <f t="shared" si="190"/>
        <v>0</v>
      </c>
      <c r="AO521" s="71">
        <f t="shared" si="191"/>
        <v>0</v>
      </c>
      <c r="AQ521" s="71">
        <f t="shared" si="192"/>
        <v>0</v>
      </c>
      <c r="AT521" s="71">
        <f t="shared" si="193"/>
        <v>0</v>
      </c>
      <c r="AV521" s="71">
        <f t="shared" si="194"/>
        <v>0</v>
      </c>
      <c r="AX521" s="71">
        <f t="shared" si="195"/>
        <v>0</v>
      </c>
      <c r="AZ521" s="71">
        <f t="shared" si="196"/>
        <v>0</v>
      </c>
      <c r="BE521" s="81">
        <f t="shared" si="197"/>
        <v>0</v>
      </c>
      <c r="BF521" s="81" t="str">
        <f t="shared" si="198"/>
        <v>BASSO</v>
      </c>
    </row>
    <row r="522" spans="7:58" x14ac:dyDescent="0.15">
      <c r="G522" s="64">
        <f t="shared" si="177"/>
        <v>0</v>
      </c>
      <c r="I522" s="64">
        <f t="shared" si="178"/>
        <v>0</v>
      </c>
      <c r="K522" s="64">
        <f t="shared" si="179"/>
        <v>0</v>
      </c>
      <c r="M522" s="64">
        <f t="shared" si="180"/>
        <v>0</v>
      </c>
      <c r="O522" s="64">
        <f t="shared" si="181"/>
        <v>0</v>
      </c>
      <c r="Q522" s="64">
        <f t="shared" si="182"/>
        <v>0</v>
      </c>
      <c r="S522" s="71">
        <f t="shared" si="183"/>
        <v>0</v>
      </c>
      <c r="U522" s="64">
        <f t="shared" si="184"/>
        <v>0</v>
      </c>
      <c r="W522" s="71">
        <f t="shared" si="185"/>
        <v>0</v>
      </c>
      <c r="Y522" s="71">
        <f t="shared" si="186"/>
        <v>0</v>
      </c>
      <c r="AA522" s="71">
        <f t="shared" si="187"/>
        <v>0</v>
      </c>
      <c r="AC522" s="71">
        <f t="shared" si="188"/>
        <v>0</v>
      </c>
      <c r="AK522" s="71">
        <f t="shared" si="189"/>
        <v>0</v>
      </c>
      <c r="AM522" s="71">
        <f t="shared" si="190"/>
        <v>0</v>
      </c>
      <c r="AO522" s="71">
        <f t="shared" si="191"/>
        <v>0</v>
      </c>
      <c r="AQ522" s="71">
        <f t="shared" si="192"/>
        <v>0</v>
      </c>
      <c r="AT522" s="71">
        <f t="shared" si="193"/>
        <v>0</v>
      </c>
      <c r="AV522" s="71">
        <f t="shared" si="194"/>
        <v>0</v>
      </c>
      <c r="AX522" s="71">
        <f t="shared" si="195"/>
        <v>0</v>
      </c>
      <c r="AZ522" s="71">
        <f t="shared" si="196"/>
        <v>0</v>
      </c>
      <c r="BE522" s="81">
        <f t="shared" si="197"/>
        <v>0</v>
      </c>
      <c r="BF522" s="81" t="str">
        <f t="shared" si="198"/>
        <v>BASSO</v>
      </c>
    </row>
    <row r="523" spans="7:58" x14ac:dyDescent="0.15">
      <c r="G523" s="64">
        <f t="shared" si="177"/>
        <v>0</v>
      </c>
      <c r="I523" s="64">
        <f t="shared" si="178"/>
        <v>0</v>
      </c>
      <c r="K523" s="64">
        <f t="shared" si="179"/>
        <v>0</v>
      </c>
      <c r="M523" s="64">
        <f t="shared" si="180"/>
        <v>0</v>
      </c>
      <c r="O523" s="64">
        <f t="shared" si="181"/>
        <v>0</v>
      </c>
      <c r="Q523" s="64">
        <f t="shared" si="182"/>
        <v>0</v>
      </c>
      <c r="S523" s="71">
        <f t="shared" si="183"/>
        <v>0</v>
      </c>
      <c r="U523" s="64">
        <f t="shared" si="184"/>
        <v>0</v>
      </c>
      <c r="W523" s="71">
        <f t="shared" si="185"/>
        <v>0</v>
      </c>
      <c r="Y523" s="71">
        <f t="shared" si="186"/>
        <v>0</v>
      </c>
      <c r="AA523" s="71">
        <f t="shared" si="187"/>
        <v>0</v>
      </c>
      <c r="AC523" s="71">
        <f t="shared" si="188"/>
        <v>0</v>
      </c>
      <c r="AK523" s="71">
        <f t="shared" si="189"/>
        <v>0</v>
      </c>
      <c r="AM523" s="71">
        <f t="shared" si="190"/>
        <v>0</v>
      </c>
      <c r="AO523" s="71">
        <f t="shared" si="191"/>
        <v>0</v>
      </c>
      <c r="AQ523" s="71">
        <f t="shared" si="192"/>
        <v>0</v>
      </c>
      <c r="AT523" s="71">
        <f t="shared" si="193"/>
        <v>0</v>
      </c>
      <c r="AV523" s="71">
        <f t="shared" si="194"/>
        <v>0</v>
      </c>
      <c r="AX523" s="71">
        <f t="shared" si="195"/>
        <v>0</v>
      </c>
      <c r="AZ523" s="71">
        <f t="shared" si="196"/>
        <v>0</v>
      </c>
      <c r="BE523" s="81">
        <f t="shared" si="197"/>
        <v>0</v>
      </c>
      <c r="BF523" s="81" t="str">
        <f t="shared" si="198"/>
        <v>BASSO</v>
      </c>
    </row>
    <row r="524" spans="7:58" x14ac:dyDescent="0.15">
      <c r="G524" s="64">
        <f t="shared" si="177"/>
        <v>0</v>
      </c>
      <c r="I524" s="64">
        <f t="shared" si="178"/>
        <v>0</v>
      </c>
      <c r="K524" s="64">
        <f t="shared" si="179"/>
        <v>0</v>
      </c>
      <c r="M524" s="64">
        <f t="shared" si="180"/>
        <v>0</v>
      </c>
      <c r="O524" s="64">
        <f t="shared" si="181"/>
        <v>0</v>
      </c>
      <c r="Q524" s="64">
        <f t="shared" si="182"/>
        <v>0</v>
      </c>
      <c r="S524" s="71">
        <f t="shared" si="183"/>
        <v>0</v>
      </c>
      <c r="U524" s="64">
        <f t="shared" si="184"/>
        <v>0</v>
      </c>
      <c r="W524" s="71">
        <f t="shared" si="185"/>
        <v>0</v>
      </c>
      <c r="Y524" s="71">
        <f t="shared" si="186"/>
        <v>0</v>
      </c>
      <c r="AA524" s="71">
        <f t="shared" si="187"/>
        <v>0</v>
      </c>
      <c r="AC524" s="71">
        <f t="shared" si="188"/>
        <v>0</v>
      </c>
      <c r="AK524" s="71">
        <f t="shared" si="189"/>
        <v>0</v>
      </c>
      <c r="AM524" s="71">
        <f t="shared" si="190"/>
        <v>0</v>
      </c>
      <c r="AO524" s="71">
        <f t="shared" si="191"/>
        <v>0</v>
      </c>
      <c r="AQ524" s="71">
        <f t="shared" si="192"/>
        <v>0</v>
      </c>
      <c r="AT524" s="71">
        <f t="shared" si="193"/>
        <v>0</v>
      </c>
      <c r="AV524" s="71">
        <f t="shared" si="194"/>
        <v>0</v>
      </c>
      <c r="AX524" s="71">
        <f t="shared" si="195"/>
        <v>0</v>
      </c>
      <c r="AZ524" s="71">
        <f t="shared" si="196"/>
        <v>0</v>
      </c>
      <c r="BE524" s="81">
        <f t="shared" si="197"/>
        <v>0</v>
      </c>
      <c r="BF524" s="81" t="str">
        <f t="shared" si="198"/>
        <v>BASSO</v>
      </c>
    </row>
    <row r="525" spans="7:58" x14ac:dyDescent="0.15">
      <c r="G525" s="64">
        <f t="shared" si="177"/>
        <v>0</v>
      </c>
      <c r="I525" s="64">
        <f t="shared" si="178"/>
        <v>0</v>
      </c>
      <c r="K525" s="64">
        <f t="shared" si="179"/>
        <v>0</v>
      </c>
      <c r="M525" s="64">
        <f t="shared" si="180"/>
        <v>0</v>
      </c>
      <c r="O525" s="64">
        <f t="shared" si="181"/>
        <v>0</v>
      </c>
      <c r="Q525" s="64">
        <f t="shared" si="182"/>
        <v>0</v>
      </c>
      <c r="S525" s="71">
        <f t="shared" si="183"/>
        <v>0</v>
      </c>
      <c r="U525" s="64">
        <f t="shared" si="184"/>
        <v>0</v>
      </c>
      <c r="W525" s="71">
        <f t="shared" si="185"/>
        <v>0</v>
      </c>
      <c r="Y525" s="71">
        <f t="shared" si="186"/>
        <v>0</v>
      </c>
      <c r="AA525" s="71">
        <f t="shared" si="187"/>
        <v>0</v>
      </c>
      <c r="AC525" s="71">
        <f t="shared" si="188"/>
        <v>0</v>
      </c>
      <c r="AK525" s="71">
        <f t="shared" si="189"/>
        <v>0</v>
      </c>
      <c r="AM525" s="71">
        <f t="shared" si="190"/>
        <v>0</v>
      </c>
      <c r="AO525" s="71">
        <f t="shared" si="191"/>
        <v>0</v>
      </c>
      <c r="AQ525" s="71">
        <f t="shared" si="192"/>
        <v>0</v>
      </c>
      <c r="AT525" s="71">
        <f t="shared" si="193"/>
        <v>0</v>
      </c>
      <c r="AV525" s="71">
        <f t="shared" si="194"/>
        <v>0</v>
      </c>
      <c r="AX525" s="71">
        <f t="shared" si="195"/>
        <v>0</v>
      </c>
      <c r="AZ525" s="71">
        <f t="shared" si="196"/>
        <v>0</v>
      </c>
      <c r="BE525" s="81">
        <f t="shared" si="197"/>
        <v>0</v>
      </c>
      <c r="BF525" s="81" t="str">
        <f t="shared" si="198"/>
        <v>BASSO</v>
      </c>
    </row>
    <row r="526" spans="7:58" x14ac:dyDescent="0.15">
      <c r="G526" s="64">
        <f t="shared" si="177"/>
        <v>0</v>
      </c>
      <c r="I526" s="64">
        <f t="shared" si="178"/>
        <v>0</v>
      </c>
      <c r="K526" s="64">
        <f t="shared" si="179"/>
        <v>0</v>
      </c>
      <c r="M526" s="64">
        <f t="shared" si="180"/>
        <v>0</v>
      </c>
      <c r="O526" s="64">
        <f t="shared" si="181"/>
        <v>0</v>
      </c>
      <c r="Q526" s="64">
        <f t="shared" si="182"/>
        <v>0</v>
      </c>
      <c r="S526" s="71">
        <f t="shared" si="183"/>
        <v>0</v>
      </c>
      <c r="U526" s="64">
        <f t="shared" si="184"/>
        <v>0</v>
      </c>
      <c r="W526" s="71">
        <f t="shared" si="185"/>
        <v>0</v>
      </c>
      <c r="Y526" s="71">
        <f t="shared" si="186"/>
        <v>0</v>
      </c>
      <c r="AA526" s="71">
        <f t="shared" si="187"/>
        <v>0</v>
      </c>
      <c r="AC526" s="71">
        <f t="shared" si="188"/>
        <v>0</v>
      </c>
      <c r="AK526" s="71">
        <f t="shared" si="189"/>
        <v>0</v>
      </c>
      <c r="AM526" s="71">
        <f t="shared" si="190"/>
        <v>0</v>
      </c>
      <c r="AO526" s="71">
        <f t="shared" si="191"/>
        <v>0</v>
      </c>
      <c r="AQ526" s="71">
        <f t="shared" si="192"/>
        <v>0</v>
      </c>
      <c r="AT526" s="71">
        <f t="shared" si="193"/>
        <v>0</v>
      </c>
      <c r="AV526" s="71">
        <f t="shared" si="194"/>
        <v>0</v>
      </c>
      <c r="AX526" s="71">
        <f t="shared" si="195"/>
        <v>0</v>
      </c>
      <c r="AZ526" s="71">
        <f t="shared" si="196"/>
        <v>0</v>
      </c>
      <c r="BE526" s="81">
        <f t="shared" si="197"/>
        <v>0</v>
      </c>
      <c r="BF526" s="81" t="str">
        <f t="shared" si="198"/>
        <v>BASSO</v>
      </c>
    </row>
    <row r="527" spans="7:58" x14ac:dyDescent="0.15">
      <c r="G527" s="64">
        <f t="shared" si="177"/>
        <v>0</v>
      </c>
      <c r="I527" s="64">
        <f t="shared" si="178"/>
        <v>0</v>
      </c>
      <c r="K527" s="64">
        <f t="shared" si="179"/>
        <v>0</v>
      </c>
      <c r="M527" s="64">
        <f t="shared" si="180"/>
        <v>0</v>
      </c>
      <c r="O527" s="64">
        <f t="shared" si="181"/>
        <v>0</v>
      </c>
      <c r="Q527" s="64">
        <f t="shared" si="182"/>
        <v>0</v>
      </c>
      <c r="S527" s="71">
        <f t="shared" si="183"/>
        <v>0</v>
      </c>
      <c r="U527" s="64">
        <f t="shared" si="184"/>
        <v>0</v>
      </c>
      <c r="W527" s="71">
        <f t="shared" si="185"/>
        <v>0</v>
      </c>
      <c r="Y527" s="71">
        <f t="shared" si="186"/>
        <v>0</v>
      </c>
      <c r="AA527" s="71">
        <f t="shared" si="187"/>
        <v>0</v>
      </c>
      <c r="AC527" s="71">
        <f t="shared" si="188"/>
        <v>0</v>
      </c>
      <c r="AK527" s="71">
        <f t="shared" si="189"/>
        <v>0</v>
      </c>
      <c r="AM527" s="71">
        <f t="shared" si="190"/>
        <v>0</v>
      </c>
      <c r="AO527" s="71">
        <f t="shared" si="191"/>
        <v>0</v>
      </c>
      <c r="AQ527" s="71">
        <f t="shared" si="192"/>
        <v>0</v>
      </c>
      <c r="AT527" s="71">
        <f t="shared" si="193"/>
        <v>0</v>
      </c>
      <c r="AV527" s="71">
        <f t="shared" si="194"/>
        <v>0</v>
      </c>
      <c r="AX527" s="71">
        <f t="shared" si="195"/>
        <v>0</v>
      </c>
      <c r="AZ527" s="71">
        <f t="shared" si="196"/>
        <v>0</v>
      </c>
      <c r="BE527" s="81">
        <f t="shared" si="197"/>
        <v>0</v>
      </c>
      <c r="BF527" s="81" t="str">
        <f t="shared" si="198"/>
        <v>BASSO</v>
      </c>
    </row>
    <row r="528" spans="7:58" x14ac:dyDescent="0.15">
      <c r="G528" s="64">
        <f t="shared" si="177"/>
        <v>0</v>
      </c>
      <c r="I528" s="64">
        <f t="shared" si="178"/>
        <v>0</v>
      </c>
      <c r="K528" s="64">
        <f t="shared" si="179"/>
        <v>0</v>
      </c>
      <c r="M528" s="64">
        <f t="shared" si="180"/>
        <v>0</v>
      </c>
      <c r="O528" s="64">
        <f t="shared" si="181"/>
        <v>0</v>
      </c>
      <c r="Q528" s="64">
        <f t="shared" si="182"/>
        <v>0</v>
      </c>
      <c r="S528" s="71">
        <f t="shared" si="183"/>
        <v>0</v>
      </c>
      <c r="U528" s="64">
        <f t="shared" si="184"/>
        <v>0</v>
      </c>
      <c r="W528" s="71">
        <f t="shared" si="185"/>
        <v>0</v>
      </c>
      <c r="Y528" s="71">
        <f t="shared" si="186"/>
        <v>0</v>
      </c>
      <c r="AA528" s="71">
        <f t="shared" si="187"/>
        <v>0</v>
      </c>
      <c r="AC528" s="71">
        <f t="shared" si="188"/>
        <v>0</v>
      </c>
      <c r="AK528" s="71">
        <f t="shared" si="189"/>
        <v>0</v>
      </c>
      <c r="AM528" s="71">
        <f t="shared" si="190"/>
        <v>0</v>
      </c>
      <c r="AO528" s="71">
        <f t="shared" si="191"/>
        <v>0</v>
      </c>
      <c r="AQ528" s="71">
        <f t="shared" si="192"/>
        <v>0</v>
      </c>
      <c r="AT528" s="71">
        <f t="shared" si="193"/>
        <v>0</v>
      </c>
      <c r="AV528" s="71">
        <f t="shared" si="194"/>
        <v>0</v>
      </c>
      <c r="AX528" s="71">
        <f t="shared" si="195"/>
        <v>0</v>
      </c>
      <c r="AZ528" s="71">
        <f t="shared" si="196"/>
        <v>0</v>
      </c>
      <c r="BE528" s="81">
        <f t="shared" si="197"/>
        <v>0</v>
      </c>
      <c r="BF528" s="81" t="str">
        <f t="shared" si="198"/>
        <v>BASSO</v>
      </c>
    </row>
    <row r="529" spans="7:58" x14ac:dyDescent="0.15">
      <c r="G529" s="64">
        <f t="shared" si="177"/>
        <v>0</v>
      </c>
      <c r="I529" s="64">
        <f t="shared" si="178"/>
        <v>0</v>
      </c>
      <c r="K529" s="64">
        <f t="shared" si="179"/>
        <v>0</v>
      </c>
      <c r="M529" s="64">
        <f t="shared" si="180"/>
        <v>0</v>
      </c>
      <c r="O529" s="64">
        <f t="shared" si="181"/>
        <v>0</v>
      </c>
      <c r="Q529" s="64">
        <f t="shared" si="182"/>
        <v>0</v>
      </c>
      <c r="S529" s="71">
        <f t="shared" si="183"/>
        <v>0</v>
      </c>
      <c r="U529" s="64">
        <f t="shared" si="184"/>
        <v>0</v>
      </c>
      <c r="W529" s="71">
        <f t="shared" si="185"/>
        <v>0</v>
      </c>
      <c r="Y529" s="71">
        <f t="shared" si="186"/>
        <v>0</v>
      </c>
      <c r="AA529" s="71">
        <f t="shared" si="187"/>
        <v>0</v>
      </c>
      <c r="AC529" s="71">
        <f t="shared" si="188"/>
        <v>0</v>
      </c>
      <c r="AK529" s="71">
        <f t="shared" si="189"/>
        <v>0</v>
      </c>
      <c r="AM529" s="71">
        <f t="shared" si="190"/>
        <v>0</v>
      </c>
      <c r="AO529" s="71">
        <f t="shared" si="191"/>
        <v>0</v>
      </c>
      <c r="AQ529" s="71">
        <f t="shared" si="192"/>
        <v>0</v>
      </c>
      <c r="AT529" s="71">
        <f t="shared" si="193"/>
        <v>0</v>
      </c>
      <c r="AV529" s="71">
        <f t="shared" si="194"/>
        <v>0</v>
      </c>
      <c r="AX529" s="71">
        <f t="shared" si="195"/>
        <v>0</v>
      </c>
      <c r="AZ529" s="71">
        <f t="shared" si="196"/>
        <v>0</v>
      </c>
      <c r="BE529" s="81">
        <f t="shared" si="197"/>
        <v>0</v>
      </c>
      <c r="BF529" s="81" t="str">
        <f t="shared" si="198"/>
        <v>BASSO</v>
      </c>
    </row>
    <row r="530" spans="7:58" x14ac:dyDescent="0.15">
      <c r="G530" s="64">
        <f t="shared" si="177"/>
        <v>0</v>
      </c>
      <c r="I530" s="64">
        <f t="shared" si="178"/>
        <v>0</v>
      </c>
      <c r="K530" s="64">
        <f t="shared" si="179"/>
        <v>0</v>
      </c>
      <c r="M530" s="64">
        <f t="shared" si="180"/>
        <v>0</v>
      </c>
      <c r="O530" s="64">
        <f t="shared" si="181"/>
        <v>0</v>
      </c>
      <c r="Q530" s="64">
        <f t="shared" si="182"/>
        <v>0</v>
      </c>
      <c r="S530" s="71">
        <f t="shared" si="183"/>
        <v>0</v>
      </c>
      <c r="U530" s="64">
        <f t="shared" si="184"/>
        <v>0</v>
      </c>
      <c r="W530" s="71">
        <f t="shared" si="185"/>
        <v>0</v>
      </c>
      <c r="Y530" s="71">
        <f t="shared" si="186"/>
        <v>0</v>
      </c>
      <c r="AA530" s="71">
        <f t="shared" si="187"/>
        <v>0</v>
      </c>
      <c r="AC530" s="71">
        <f t="shared" si="188"/>
        <v>0</v>
      </c>
      <c r="AK530" s="71">
        <f t="shared" si="189"/>
        <v>0</v>
      </c>
      <c r="AM530" s="71">
        <f t="shared" si="190"/>
        <v>0</v>
      </c>
      <c r="AO530" s="71">
        <f t="shared" si="191"/>
        <v>0</v>
      </c>
      <c r="AQ530" s="71">
        <f t="shared" si="192"/>
        <v>0</v>
      </c>
      <c r="AT530" s="71">
        <f t="shared" si="193"/>
        <v>0</v>
      </c>
      <c r="AV530" s="71">
        <f t="shared" si="194"/>
        <v>0</v>
      </c>
      <c r="AX530" s="71">
        <f t="shared" si="195"/>
        <v>0</v>
      </c>
      <c r="AZ530" s="71">
        <f t="shared" si="196"/>
        <v>0</v>
      </c>
      <c r="BE530" s="81">
        <f t="shared" si="197"/>
        <v>0</v>
      </c>
      <c r="BF530" s="81" t="str">
        <f t="shared" si="198"/>
        <v>BASSO</v>
      </c>
    </row>
    <row r="531" spans="7:58" x14ac:dyDescent="0.15">
      <c r="G531" s="64">
        <f t="shared" si="177"/>
        <v>0</v>
      </c>
      <c r="I531" s="64">
        <f t="shared" si="178"/>
        <v>0</v>
      </c>
      <c r="K531" s="64">
        <f t="shared" si="179"/>
        <v>0</v>
      </c>
      <c r="M531" s="64">
        <f t="shared" si="180"/>
        <v>0</v>
      </c>
      <c r="O531" s="64">
        <f t="shared" si="181"/>
        <v>0</v>
      </c>
      <c r="Q531" s="64">
        <f t="shared" si="182"/>
        <v>0</v>
      </c>
      <c r="S531" s="71">
        <f t="shared" si="183"/>
        <v>0</v>
      </c>
      <c r="U531" s="64">
        <f t="shared" si="184"/>
        <v>0</v>
      </c>
      <c r="W531" s="71">
        <f t="shared" si="185"/>
        <v>0</v>
      </c>
      <c r="Y531" s="71">
        <f t="shared" si="186"/>
        <v>0</v>
      </c>
      <c r="AA531" s="71">
        <f t="shared" si="187"/>
        <v>0</v>
      </c>
      <c r="AC531" s="71">
        <f t="shared" si="188"/>
        <v>0</v>
      </c>
      <c r="AK531" s="71">
        <f t="shared" si="189"/>
        <v>0</v>
      </c>
      <c r="AM531" s="71">
        <f t="shared" si="190"/>
        <v>0</v>
      </c>
      <c r="AO531" s="71">
        <f t="shared" si="191"/>
        <v>0</v>
      </c>
      <c r="AQ531" s="71">
        <f t="shared" si="192"/>
        <v>0</v>
      </c>
      <c r="AT531" s="71">
        <f t="shared" si="193"/>
        <v>0</v>
      </c>
      <c r="AV531" s="71">
        <f t="shared" si="194"/>
        <v>0</v>
      </c>
      <c r="AX531" s="71">
        <f t="shared" si="195"/>
        <v>0</v>
      </c>
      <c r="AZ531" s="71">
        <f t="shared" si="196"/>
        <v>0</v>
      </c>
      <c r="BE531" s="81">
        <f t="shared" si="197"/>
        <v>0</v>
      </c>
      <c r="BF531" s="81" t="str">
        <f t="shared" si="198"/>
        <v>BASSO</v>
      </c>
    </row>
    <row r="532" spans="7:58" x14ac:dyDescent="0.15">
      <c r="G532" s="64">
        <f t="shared" si="177"/>
        <v>0</v>
      </c>
      <c r="I532" s="64">
        <f t="shared" si="178"/>
        <v>0</v>
      </c>
      <c r="K532" s="64">
        <f t="shared" si="179"/>
        <v>0</v>
      </c>
      <c r="M532" s="64">
        <f t="shared" si="180"/>
        <v>0</v>
      </c>
      <c r="O532" s="64">
        <f t="shared" si="181"/>
        <v>0</v>
      </c>
      <c r="Q532" s="64">
        <f t="shared" si="182"/>
        <v>0</v>
      </c>
      <c r="S532" s="71">
        <f t="shared" si="183"/>
        <v>0</v>
      </c>
      <c r="U532" s="64">
        <f t="shared" si="184"/>
        <v>0</v>
      </c>
      <c r="W532" s="71">
        <f t="shared" si="185"/>
        <v>0</v>
      </c>
      <c r="Y532" s="71">
        <f t="shared" si="186"/>
        <v>0</v>
      </c>
      <c r="AA532" s="71">
        <f t="shared" si="187"/>
        <v>0</v>
      </c>
      <c r="AC532" s="71">
        <f t="shared" si="188"/>
        <v>0</v>
      </c>
      <c r="AK532" s="71">
        <f t="shared" si="189"/>
        <v>0</v>
      </c>
      <c r="AM532" s="71">
        <f t="shared" si="190"/>
        <v>0</v>
      </c>
      <c r="AO532" s="71">
        <f t="shared" si="191"/>
        <v>0</v>
      </c>
      <c r="AQ532" s="71">
        <f t="shared" si="192"/>
        <v>0</v>
      </c>
      <c r="AT532" s="71">
        <f t="shared" si="193"/>
        <v>0</v>
      </c>
      <c r="AV532" s="71">
        <f t="shared" si="194"/>
        <v>0</v>
      </c>
      <c r="AX532" s="71">
        <f t="shared" si="195"/>
        <v>0</v>
      </c>
      <c r="AZ532" s="71">
        <f t="shared" si="196"/>
        <v>0</v>
      </c>
      <c r="BE532" s="81">
        <f t="shared" si="197"/>
        <v>0</v>
      </c>
      <c r="BF532" s="81" t="str">
        <f t="shared" si="198"/>
        <v>BASSO</v>
      </c>
    </row>
    <row r="533" spans="7:58" x14ac:dyDescent="0.15">
      <c r="G533" s="64">
        <f t="shared" si="177"/>
        <v>0</v>
      </c>
      <c r="I533" s="64">
        <f t="shared" si="178"/>
        <v>0</v>
      </c>
      <c r="K533" s="64">
        <f t="shared" si="179"/>
        <v>0</v>
      </c>
      <c r="M533" s="64">
        <f t="shared" si="180"/>
        <v>0</v>
      </c>
      <c r="O533" s="64">
        <f t="shared" si="181"/>
        <v>0</v>
      </c>
      <c r="Q533" s="64">
        <f t="shared" si="182"/>
        <v>0</v>
      </c>
      <c r="S533" s="71">
        <f t="shared" si="183"/>
        <v>0</v>
      </c>
      <c r="U533" s="64">
        <f t="shared" si="184"/>
        <v>0</v>
      </c>
      <c r="W533" s="71">
        <f t="shared" si="185"/>
        <v>0</v>
      </c>
      <c r="Y533" s="71">
        <f t="shared" si="186"/>
        <v>0</v>
      </c>
      <c r="AA533" s="71">
        <f t="shared" si="187"/>
        <v>0</v>
      </c>
      <c r="AC533" s="71">
        <f t="shared" si="188"/>
        <v>0</v>
      </c>
      <c r="AK533" s="71">
        <f t="shared" si="189"/>
        <v>0</v>
      </c>
      <c r="AM533" s="71">
        <f t="shared" si="190"/>
        <v>0</v>
      </c>
      <c r="AO533" s="71">
        <f t="shared" si="191"/>
        <v>0</v>
      </c>
      <c r="AQ533" s="71">
        <f t="shared" si="192"/>
        <v>0</v>
      </c>
      <c r="AT533" s="71">
        <f t="shared" si="193"/>
        <v>0</v>
      </c>
      <c r="AV533" s="71">
        <f t="shared" si="194"/>
        <v>0</v>
      </c>
      <c r="AX533" s="71">
        <f t="shared" si="195"/>
        <v>0</v>
      </c>
      <c r="AZ533" s="71">
        <f t="shared" si="196"/>
        <v>0</v>
      </c>
      <c r="BE533" s="81">
        <f t="shared" si="197"/>
        <v>0</v>
      </c>
      <c r="BF533" s="81" t="str">
        <f t="shared" si="198"/>
        <v>BASSO</v>
      </c>
    </row>
    <row r="534" spans="7:58" x14ac:dyDescent="0.15">
      <c r="G534" s="64">
        <f t="shared" si="177"/>
        <v>0</v>
      </c>
      <c r="I534" s="64">
        <f t="shared" si="178"/>
        <v>0</v>
      </c>
      <c r="K534" s="64">
        <f t="shared" si="179"/>
        <v>0</v>
      </c>
      <c r="M534" s="64">
        <f t="shared" si="180"/>
        <v>0</v>
      </c>
      <c r="O534" s="64">
        <f t="shared" si="181"/>
        <v>0</v>
      </c>
      <c r="Q534" s="64">
        <f t="shared" si="182"/>
        <v>0</v>
      </c>
      <c r="S534" s="71">
        <f t="shared" si="183"/>
        <v>0</v>
      </c>
      <c r="U534" s="64">
        <f t="shared" si="184"/>
        <v>0</v>
      </c>
      <c r="W534" s="71">
        <f t="shared" si="185"/>
        <v>0</v>
      </c>
      <c r="Y534" s="71">
        <f t="shared" si="186"/>
        <v>0</v>
      </c>
      <c r="AA534" s="71">
        <f t="shared" si="187"/>
        <v>0</v>
      </c>
      <c r="AC534" s="71">
        <f t="shared" si="188"/>
        <v>0</v>
      </c>
      <c r="AK534" s="71">
        <f t="shared" si="189"/>
        <v>0</v>
      </c>
      <c r="AM534" s="71">
        <f t="shared" si="190"/>
        <v>0</v>
      </c>
      <c r="AO534" s="71">
        <f t="shared" si="191"/>
        <v>0</v>
      </c>
      <c r="AQ534" s="71">
        <f t="shared" si="192"/>
        <v>0</v>
      </c>
      <c r="AT534" s="71">
        <f t="shared" si="193"/>
        <v>0</v>
      </c>
      <c r="AV534" s="71">
        <f t="shared" si="194"/>
        <v>0</v>
      </c>
      <c r="AX534" s="71">
        <f t="shared" si="195"/>
        <v>0</v>
      </c>
      <c r="AZ534" s="71">
        <f t="shared" si="196"/>
        <v>0</v>
      </c>
      <c r="BE534" s="81">
        <f t="shared" si="197"/>
        <v>0</v>
      </c>
      <c r="BF534" s="81" t="str">
        <f t="shared" si="198"/>
        <v>BASSO</v>
      </c>
    </row>
    <row r="535" spans="7:58" x14ac:dyDescent="0.15">
      <c r="G535" s="64">
        <f t="shared" si="177"/>
        <v>0</v>
      </c>
      <c r="I535" s="64">
        <f t="shared" si="178"/>
        <v>0</v>
      </c>
      <c r="K535" s="64">
        <f t="shared" si="179"/>
        <v>0</v>
      </c>
      <c r="M535" s="64">
        <f t="shared" si="180"/>
        <v>0</v>
      </c>
      <c r="O535" s="64">
        <f t="shared" si="181"/>
        <v>0</v>
      </c>
      <c r="Q535" s="64">
        <f t="shared" si="182"/>
        <v>0</v>
      </c>
      <c r="S535" s="71">
        <f t="shared" si="183"/>
        <v>0</v>
      </c>
      <c r="U535" s="64">
        <f t="shared" si="184"/>
        <v>0</v>
      </c>
      <c r="W535" s="71">
        <f t="shared" si="185"/>
        <v>0</v>
      </c>
      <c r="Y535" s="71">
        <f t="shared" si="186"/>
        <v>0</v>
      </c>
      <c r="AA535" s="71">
        <f t="shared" si="187"/>
        <v>0</v>
      </c>
      <c r="AC535" s="71">
        <f t="shared" si="188"/>
        <v>0</v>
      </c>
      <c r="AK535" s="71">
        <f t="shared" si="189"/>
        <v>0</v>
      </c>
      <c r="AM535" s="71">
        <f t="shared" si="190"/>
        <v>0</v>
      </c>
      <c r="AO535" s="71">
        <f t="shared" si="191"/>
        <v>0</v>
      </c>
      <c r="AQ535" s="71">
        <f t="shared" si="192"/>
        <v>0</v>
      </c>
      <c r="AT535" s="71">
        <f t="shared" si="193"/>
        <v>0</v>
      </c>
      <c r="AV535" s="71">
        <f t="shared" si="194"/>
        <v>0</v>
      </c>
      <c r="AX535" s="71">
        <f t="shared" si="195"/>
        <v>0</v>
      </c>
      <c r="AZ535" s="71">
        <f t="shared" si="196"/>
        <v>0</v>
      </c>
      <c r="BE535" s="81">
        <f t="shared" si="197"/>
        <v>0</v>
      </c>
      <c r="BF535" s="81" t="str">
        <f t="shared" si="198"/>
        <v>BASSO</v>
      </c>
    </row>
    <row r="536" spans="7:58" x14ac:dyDescent="0.15">
      <c r="G536" s="64">
        <f t="shared" si="177"/>
        <v>0</v>
      </c>
      <c r="I536" s="64">
        <f t="shared" si="178"/>
        <v>0</v>
      </c>
      <c r="K536" s="64">
        <f t="shared" si="179"/>
        <v>0</v>
      </c>
      <c r="M536" s="64">
        <f t="shared" si="180"/>
        <v>0</v>
      </c>
      <c r="O536" s="64">
        <f t="shared" si="181"/>
        <v>0</v>
      </c>
      <c r="Q536" s="64">
        <f t="shared" si="182"/>
        <v>0</v>
      </c>
      <c r="S536" s="71">
        <f t="shared" si="183"/>
        <v>0</v>
      </c>
      <c r="U536" s="64">
        <f t="shared" si="184"/>
        <v>0</v>
      </c>
      <c r="W536" s="71">
        <f t="shared" si="185"/>
        <v>0</v>
      </c>
      <c r="Y536" s="71">
        <f t="shared" si="186"/>
        <v>0</v>
      </c>
      <c r="AA536" s="71">
        <f t="shared" si="187"/>
        <v>0</v>
      </c>
      <c r="AC536" s="71">
        <f t="shared" si="188"/>
        <v>0</v>
      </c>
      <c r="AK536" s="71">
        <f t="shared" si="189"/>
        <v>0</v>
      </c>
      <c r="AM536" s="71">
        <f t="shared" si="190"/>
        <v>0</v>
      </c>
      <c r="AO536" s="71">
        <f t="shared" si="191"/>
        <v>0</v>
      </c>
      <c r="AQ536" s="71">
        <f t="shared" si="192"/>
        <v>0</v>
      </c>
      <c r="AT536" s="71">
        <f t="shared" si="193"/>
        <v>0</v>
      </c>
      <c r="AV536" s="71">
        <f t="shared" si="194"/>
        <v>0</v>
      </c>
      <c r="AX536" s="71">
        <f t="shared" si="195"/>
        <v>0</v>
      </c>
      <c r="AZ536" s="71">
        <f t="shared" si="196"/>
        <v>0</v>
      </c>
      <c r="BE536" s="81">
        <f t="shared" si="197"/>
        <v>0</v>
      </c>
      <c r="BF536" s="81" t="str">
        <f t="shared" si="198"/>
        <v>BASSO</v>
      </c>
    </row>
    <row r="537" spans="7:58" x14ac:dyDescent="0.15">
      <c r="G537" s="64">
        <f t="shared" si="177"/>
        <v>0</v>
      </c>
      <c r="I537" s="64">
        <f t="shared" si="178"/>
        <v>0</v>
      </c>
      <c r="K537" s="64">
        <f t="shared" si="179"/>
        <v>0</v>
      </c>
      <c r="M537" s="64">
        <f t="shared" si="180"/>
        <v>0</v>
      </c>
      <c r="O537" s="64">
        <f t="shared" si="181"/>
        <v>0</v>
      </c>
      <c r="Q537" s="64">
        <f t="shared" si="182"/>
        <v>0</v>
      </c>
      <c r="S537" s="71">
        <f t="shared" si="183"/>
        <v>0</v>
      </c>
      <c r="U537" s="64">
        <f t="shared" si="184"/>
        <v>0</v>
      </c>
      <c r="W537" s="71">
        <f t="shared" si="185"/>
        <v>0</v>
      </c>
      <c r="Y537" s="71">
        <f t="shared" si="186"/>
        <v>0</v>
      </c>
      <c r="AA537" s="71">
        <f t="shared" si="187"/>
        <v>0</v>
      </c>
      <c r="AC537" s="71">
        <f t="shared" si="188"/>
        <v>0</v>
      </c>
      <c r="AK537" s="71">
        <f t="shared" si="189"/>
        <v>0</v>
      </c>
      <c r="AM537" s="71">
        <f t="shared" si="190"/>
        <v>0</v>
      </c>
      <c r="AO537" s="71">
        <f t="shared" si="191"/>
        <v>0</v>
      </c>
      <c r="AQ537" s="71">
        <f t="shared" si="192"/>
        <v>0</v>
      </c>
      <c r="AT537" s="71">
        <f t="shared" si="193"/>
        <v>0</v>
      </c>
      <c r="AV537" s="71">
        <f t="shared" si="194"/>
        <v>0</v>
      </c>
      <c r="AX537" s="71">
        <f t="shared" si="195"/>
        <v>0</v>
      </c>
      <c r="AZ537" s="71">
        <f t="shared" si="196"/>
        <v>0</v>
      </c>
      <c r="BE537" s="81">
        <f t="shared" si="197"/>
        <v>0</v>
      </c>
      <c r="BF537" s="81" t="str">
        <f t="shared" si="198"/>
        <v>BASSO</v>
      </c>
    </row>
    <row r="538" spans="7:58" x14ac:dyDescent="0.15">
      <c r="G538" s="64">
        <f t="shared" si="177"/>
        <v>0</v>
      </c>
      <c r="I538" s="64">
        <f t="shared" si="178"/>
        <v>0</v>
      </c>
      <c r="K538" s="64">
        <f t="shared" si="179"/>
        <v>0</v>
      </c>
      <c r="M538" s="64">
        <f t="shared" si="180"/>
        <v>0</v>
      </c>
      <c r="O538" s="64">
        <f t="shared" si="181"/>
        <v>0</v>
      </c>
      <c r="Q538" s="64">
        <f t="shared" si="182"/>
        <v>0</v>
      </c>
      <c r="S538" s="71">
        <f t="shared" si="183"/>
        <v>0</v>
      </c>
      <c r="U538" s="64">
        <f t="shared" si="184"/>
        <v>0</v>
      </c>
      <c r="W538" s="71">
        <f t="shared" si="185"/>
        <v>0</v>
      </c>
      <c r="Y538" s="71">
        <f t="shared" si="186"/>
        <v>0</v>
      </c>
      <c r="AA538" s="71">
        <f t="shared" si="187"/>
        <v>0</v>
      </c>
      <c r="AC538" s="71">
        <f t="shared" si="188"/>
        <v>0</v>
      </c>
      <c r="AK538" s="71">
        <f t="shared" si="189"/>
        <v>0</v>
      </c>
      <c r="AM538" s="71">
        <f t="shared" si="190"/>
        <v>0</v>
      </c>
      <c r="AO538" s="71">
        <f t="shared" si="191"/>
        <v>0</v>
      </c>
      <c r="AQ538" s="71">
        <f t="shared" si="192"/>
        <v>0</v>
      </c>
      <c r="AT538" s="71">
        <f t="shared" si="193"/>
        <v>0</v>
      </c>
      <c r="AV538" s="71">
        <f t="shared" si="194"/>
        <v>0</v>
      </c>
      <c r="AX538" s="71">
        <f t="shared" si="195"/>
        <v>0</v>
      </c>
      <c r="AZ538" s="71">
        <f t="shared" si="196"/>
        <v>0</v>
      </c>
      <c r="BE538" s="81">
        <f t="shared" si="197"/>
        <v>0</v>
      </c>
      <c r="BF538" s="81" t="str">
        <f t="shared" si="198"/>
        <v>BASSO</v>
      </c>
    </row>
    <row r="539" spans="7:58" x14ac:dyDescent="0.15">
      <c r="G539" s="64">
        <f t="shared" si="177"/>
        <v>0</v>
      </c>
      <c r="I539" s="64">
        <f t="shared" si="178"/>
        <v>0</v>
      </c>
      <c r="K539" s="64">
        <f t="shared" si="179"/>
        <v>0</v>
      </c>
      <c r="M539" s="64">
        <f t="shared" si="180"/>
        <v>0</v>
      </c>
      <c r="O539" s="64">
        <f t="shared" si="181"/>
        <v>0</v>
      </c>
      <c r="Q539" s="64">
        <f t="shared" si="182"/>
        <v>0</v>
      </c>
      <c r="S539" s="71">
        <f t="shared" si="183"/>
        <v>0</v>
      </c>
      <c r="U539" s="64">
        <f t="shared" si="184"/>
        <v>0</v>
      </c>
      <c r="W539" s="71">
        <f t="shared" si="185"/>
        <v>0</v>
      </c>
      <c r="Y539" s="71">
        <f t="shared" si="186"/>
        <v>0</v>
      </c>
      <c r="AA539" s="71">
        <f t="shared" si="187"/>
        <v>0</v>
      </c>
      <c r="AC539" s="71">
        <f t="shared" si="188"/>
        <v>0</v>
      </c>
      <c r="AK539" s="71">
        <f t="shared" si="189"/>
        <v>0</v>
      </c>
      <c r="AM539" s="71">
        <f t="shared" si="190"/>
        <v>0</v>
      </c>
      <c r="AO539" s="71">
        <f t="shared" si="191"/>
        <v>0</v>
      </c>
      <c r="AQ539" s="71">
        <f t="shared" si="192"/>
        <v>0</v>
      </c>
      <c r="AT539" s="71">
        <f t="shared" si="193"/>
        <v>0</v>
      </c>
      <c r="AV539" s="71">
        <f t="shared" si="194"/>
        <v>0</v>
      </c>
      <c r="AX539" s="71">
        <f t="shared" si="195"/>
        <v>0</v>
      </c>
      <c r="AZ539" s="71">
        <f t="shared" si="196"/>
        <v>0</v>
      </c>
      <c r="BE539" s="81">
        <f t="shared" si="197"/>
        <v>0</v>
      </c>
      <c r="BF539" s="81" t="str">
        <f t="shared" si="198"/>
        <v>BASSO</v>
      </c>
    </row>
    <row r="540" spans="7:58" x14ac:dyDescent="0.15">
      <c r="G540" s="64">
        <f t="shared" si="177"/>
        <v>0</v>
      </c>
      <c r="I540" s="64">
        <f t="shared" si="178"/>
        <v>0</v>
      </c>
      <c r="K540" s="64">
        <f t="shared" si="179"/>
        <v>0</v>
      </c>
      <c r="M540" s="64">
        <f t="shared" si="180"/>
        <v>0</v>
      </c>
      <c r="O540" s="64">
        <f t="shared" si="181"/>
        <v>0</v>
      </c>
      <c r="Q540" s="64">
        <f t="shared" si="182"/>
        <v>0</v>
      </c>
      <c r="S540" s="71">
        <f t="shared" si="183"/>
        <v>0</v>
      </c>
      <c r="U540" s="64">
        <f t="shared" si="184"/>
        <v>0</v>
      </c>
      <c r="W540" s="71">
        <f t="shared" si="185"/>
        <v>0</v>
      </c>
      <c r="Y540" s="71">
        <f t="shared" si="186"/>
        <v>0</v>
      </c>
      <c r="AA540" s="71">
        <f t="shared" si="187"/>
        <v>0</v>
      </c>
      <c r="AC540" s="71">
        <f t="shared" si="188"/>
        <v>0</v>
      </c>
      <c r="AK540" s="71">
        <f t="shared" si="189"/>
        <v>0</v>
      </c>
      <c r="AM540" s="71">
        <f t="shared" si="190"/>
        <v>0</v>
      </c>
      <c r="AO540" s="71">
        <f t="shared" si="191"/>
        <v>0</v>
      </c>
      <c r="AQ540" s="71">
        <f t="shared" si="192"/>
        <v>0</v>
      </c>
      <c r="AT540" s="71">
        <f t="shared" si="193"/>
        <v>0</v>
      </c>
      <c r="AV540" s="71">
        <f t="shared" si="194"/>
        <v>0</v>
      </c>
      <c r="AX540" s="71">
        <f t="shared" si="195"/>
        <v>0</v>
      </c>
      <c r="AZ540" s="71">
        <f t="shared" si="196"/>
        <v>0</v>
      </c>
      <c r="BE540" s="81">
        <f t="shared" si="197"/>
        <v>0</v>
      </c>
      <c r="BF540" s="81" t="str">
        <f t="shared" si="198"/>
        <v>BASSO</v>
      </c>
    </row>
    <row r="541" spans="7:58" x14ac:dyDescent="0.15">
      <c r="G541" s="64">
        <f t="shared" si="177"/>
        <v>0</v>
      </c>
      <c r="I541" s="64">
        <f t="shared" si="178"/>
        <v>0</v>
      </c>
      <c r="K541" s="64">
        <f t="shared" si="179"/>
        <v>0</v>
      </c>
      <c r="M541" s="64">
        <f t="shared" si="180"/>
        <v>0</v>
      </c>
      <c r="O541" s="64">
        <f t="shared" si="181"/>
        <v>0</v>
      </c>
      <c r="Q541" s="64">
        <f t="shared" si="182"/>
        <v>0</v>
      </c>
      <c r="S541" s="71">
        <f t="shared" si="183"/>
        <v>0</v>
      </c>
      <c r="U541" s="64">
        <f t="shared" si="184"/>
        <v>0</v>
      </c>
      <c r="W541" s="71">
        <f t="shared" si="185"/>
        <v>0</v>
      </c>
      <c r="Y541" s="71">
        <f t="shared" si="186"/>
        <v>0</v>
      </c>
      <c r="AA541" s="71">
        <f t="shared" si="187"/>
        <v>0</v>
      </c>
      <c r="AC541" s="71">
        <f t="shared" si="188"/>
        <v>0</v>
      </c>
      <c r="AK541" s="71">
        <f t="shared" si="189"/>
        <v>0</v>
      </c>
      <c r="AM541" s="71">
        <f t="shared" si="190"/>
        <v>0</v>
      </c>
      <c r="AO541" s="71">
        <f t="shared" si="191"/>
        <v>0</v>
      </c>
      <c r="AQ541" s="71">
        <f t="shared" si="192"/>
        <v>0</v>
      </c>
      <c r="AT541" s="71">
        <f t="shared" si="193"/>
        <v>0</v>
      </c>
      <c r="AV541" s="71">
        <f t="shared" si="194"/>
        <v>0</v>
      </c>
      <c r="AX541" s="71">
        <f t="shared" si="195"/>
        <v>0</v>
      </c>
      <c r="AZ541" s="71">
        <f t="shared" si="196"/>
        <v>0</v>
      </c>
      <c r="BE541" s="81">
        <f t="shared" si="197"/>
        <v>0</v>
      </c>
      <c r="BF541" s="81" t="str">
        <f t="shared" si="198"/>
        <v>BASSO</v>
      </c>
    </row>
    <row r="542" spans="7:58" x14ac:dyDescent="0.15">
      <c r="G542" s="64">
        <f t="shared" si="177"/>
        <v>0</v>
      </c>
      <c r="I542" s="64">
        <f t="shared" si="178"/>
        <v>0</v>
      </c>
      <c r="K542" s="64">
        <f t="shared" si="179"/>
        <v>0</v>
      </c>
      <c r="M542" s="64">
        <f t="shared" si="180"/>
        <v>0</v>
      </c>
      <c r="O542" s="64">
        <f t="shared" si="181"/>
        <v>0</v>
      </c>
      <c r="Q542" s="64">
        <f t="shared" si="182"/>
        <v>0</v>
      </c>
      <c r="S542" s="71">
        <f t="shared" si="183"/>
        <v>0</v>
      </c>
      <c r="U542" s="64">
        <f t="shared" si="184"/>
        <v>0</v>
      </c>
      <c r="W542" s="71">
        <f t="shared" si="185"/>
        <v>0</v>
      </c>
      <c r="Y542" s="71">
        <f t="shared" si="186"/>
        <v>0</v>
      </c>
      <c r="AA542" s="71">
        <f t="shared" si="187"/>
        <v>0</v>
      </c>
      <c r="AC542" s="71">
        <f t="shared" si="188"/>
        <v>0</v>
      </c>
      <c r="AK542" s="71">
        <f t="shared" si="189"/>
        <v>0</v>
      </c>
      <c r="AM542" s="71">
        <f t="shared" si="190"/>
        <v>0</v>
      </c>
      <c r="AO542" s="71">
        <f t="shared" si="191"/>
        <v>0</v>
      </c>
      <c r="AQ542" s="71">
        <f t="shared" si="192"/>
        <v>0</v>
      </c>
      <c r="AT542" s="71">
        <f t="shared" si="193"/>
        <v>0</v>
      </c>
      <c r="AV542" s="71">
        <f t="shared" si="194"/>
        <v>0</v>
      </c>
      <c r="AX542" s="71">
        <f t="shared" si="195"/>
        <v>0</v>
      </c>
      <c r="AZ542" s="71">
        <f t="shared" si="196"/>
        <v>0</v>
      </c>
      <c r="BE542" s="81">
        <f t="shared" si="197"/>
        <v>0</v>
      </c>
      <c r="BF542" s="81" t="str">
        <f t="shared" si="198"/>
        <v>BASSO</v>
      </c>
    </row>
    <row r="543" spans="7:58" x14ac:dyDescent="0.15">
      <c r="G543" s="64">
        <f t="shared" si="177"/>
        <v>0</v>
      </c>
      <c r="I543" s="64">
        <f t="shared" si="178"/>
        <v>0</v>
      </c>
      <c r="K543" s="64">
        <f t="shared" si="179"/>
        <v>0</v>
      </c>
      <c r="M543" s="64">
        <f t="shared" si="180"/>
        <v>0</v>
      </c>
      <c r="O543" s="64">
        <f t="shared" si="181"/>
        <v>0</v>
      </c>
      <c r="Q543" s="64">
        <f t="shared" si="182"/>
        <v>0</v>
      </c>
      <c r="S543" s="71">
        <f t="shared" si="183"/>
        <v>0</v>
      </c>
      <c r="U543" s="64">
        <f t="shared" si="184"/>
        <v>0</v>
      </c>
      <c r="W543" s="71">
        <f t="shared" si="185"/>
        <v>0</v>
      </c>
      <c r="Y543" s="71">
        <f t="shared" si="186"/>
        <v>0</v>
      </c>
      <c r="AA543" s="71">
        <f t="shared" si="187"/>
        <v>0</v>
      </c>
      <c r="AC543" s="71">
        <f t="shared" si="188"/>
        <v>0</v>
      </c>
      <c r="AK543" s="71">
        <f t="shared" si="189"/>
        <v>0</v>
      </c>
      <c r="AM543" s="71">
        <f t="shared" si="190"/>
        <v>0</v>
      </c>
      <c r="AO543" s="71">
        <f t="shared" si="191"/>
        <v>0</v>
      </c>
      <c r="AQ543" s="71">
        <f t="shared" si="192"/>
        <v>0</v>
      </c>
      <c r="AT543" s="71">
        <f t="shared" si="193"/>
        <v>0</v>
      </c>
      <c r="AV543" s="71">
        <f t="shared" si="194"/>
        <v>0</v>
      </c>
      <c r="AX543" s="71">
        <f t="shared" si="195"/>
        <v>0</v>
      </c>
      <c r="AZ543" s="71">
        <f t="shared" si="196"/>
        <v>0</v>
      </c>
      <c r="BE543" s="81">
        <f t="shared" si="197"/>
        <v>0</v>
      </c>
      <c r="BF543" s="81" t="str">
        <f t="shared" si="198"/>
        <v>BASSO</v>
      </c>
    </row>
    <row r="544" spans="7:58" x14ac:dyDescent="0.15">
      <c r="G544" s="64">
        <f t="shared" si="177"/>
        <v>0</v>
      </c>
      <c r="I544" s="64">
        <f t="shared" si="178"/>
        <v>0</v>
      </c>
      <c r="K544" s="64">
        <f t="shared" si="179"/>
        <v>0</v>
      </c>
      <c r="M544" s="64">
        <f t="shared" si="180"/>
        <v>0</v>
      </c>
      <c r="O544" s="64">
        <f t="shared" si="181"/>
        <v>0</v>
      </c>
      <c r="Q544" s="64">
        <f t="shared" si="182"/>
        <v>0</v>
      </c>
      <c r="S544" s="71">
        <f t="shared" si="183"/>
        <v>0</v>
      </c>
      <c r="U544" s="64">
        <f t="shared" si="184"/>
        <v>0</v>
      </c>
      <c r="W544" s="71">
        <f t="shared" si="185"/>
        <v>0</v>
      </c>
      <c r="Y544" s="71">
        <f t="shared" si="186"/>
        <v>0</v>
      </c>
      <c r="AA544" s="71">
        <f t="shared" si="187"/>
        <v>0</v>
      </c>
      <c r="AC544" s="71">
        <f t="shared" si="188"/>
        <v>0</v>
      </c>
      <c r="AK544" s="71">
        <f t="shared" si="189"/>
        <v>0</v>
      </c>
      <c r="AM544" s="71">
        <f t="shared" si="190"/>
        <v>0</v>
      </c>
      <c r="AO544" s="71">
        <f t="shared" si="191"/>
        <v>0</v>
      </c>
      <c r="AQ544" s="71">
        <f t="shared" si="192"/>
        <v>0</v>
      </c>
      <c r="AT544" s="71">
        <f t="shared" si="193"/>
        <v>0</v>
      </c>
      <c r="AV544" s="71">
        <f t="shared" si="194"/>
        <v>0</v>
      </c>
      <c r="AX544" s="71">
        <f t="shared" si="195"/>
        <v>0</v>
      </c>
      <c r="AZ544" s="71">
        <f t="shared" si="196"/>
        <v>0</v>
      </c>
      <c r="BE544" s="81">
        <f t="shared" si="197"/>
        <v>0</v>
      </c>
      <c r="BF544" s="81" t="str">
        <f t="shared" si="198"/>
        <v>BASSO</v>
      </c>
    </row>
    <row r="545" spans="7:58" x14ac:dyDescent="0.15">
      <c r="G545" s="64">
        <f t="shared" si="177"/>
        <v>0</v>
      </c>
      <c r="I545" s="64">
        <f t="shared" si="178"/>
        <v>0</v>
      </c>
      <c r="K545" s="64">
        <f t="shared" si="179"/>
        <v>0</v>
      </c>
      <c r="M545" s="64">
        <f t="shared" si="180"/>
        <v>0</v>
      </c>
      <c r="O545" s="64">
        <f t="shared" si="181"/>
        <v>0</v>
      </c>
      <c r="Q545" s="64">
        <f t="shared" si="182"/>
        <v>0</v>
      </c>
      <c r="S545" s="71">
        <f t="shared" si="183"/>
        <v>0</v>
      </c>
      <c r="U545" s="64">
        <f t="shared" si="184"/>
        <v>0</v>
      </c>
      <c r="W545" s="71">
        <f t="shared" si="185"/>
        <v>0</v>
      </c>
      <c r="Y545" s="71">
        <f t="shared" si="186"/>
        <v>0</v>
      </c>
      <c r="AA545" s="71">
        <f t="shared" si="187"/>
        <v>0</v>
      </c>
      <c r="AC545" s="71">
        <f t="shared" si="188"/>
        <v>0</v>
      </c>
      <c r="AK545" s="71">
        <f t="shared" si="189"/>
        <v>0</v>
      </c>
      <c r="AM545" s="71">
        <f t="shared" si="190"/>
        <v>0</v>
      </c>
      <c r="AO545" s="71">
        <f t="shared" si="191"/>
        <v>0</v>
      </c>
      <c r="AQ545" s="71">
        <f t="shared" si="192"/>
        <v>0</v>
      </c>
      <c r="AT545" s="71">
        <f t="shared" si="193"/>
        <v>0</v>
      </c>
      <c r="AV545" s="71">
        <f t="shared" si="194"/>
        <v>0</v>
      </c>
      <c r="AX545" s="71">
        <f t="shared" si="195"/>
        <v>0</v>
      </c>
      <c r="AZ545" s="71">
        <f t="shared" si="196"/>
        <v>0</v>
      </c>
      <c r="BE545" s="81">
        <f t="shared" si="197"/>
        <v>0</v>
      </c>
      <c r="BF545" s="81" t="str">
        <f t="shared" si="198"/>
        <v>BASSO</v>
      </c>
    </row>
    <row r="546" spans="7:58" x14ac:dyDescent="0.15">
      <c r="G546" s="64">
        <f t="shared" si="177"/>
        <v>0</v>
      </c>
      <c r="I546" s="64">
        <f t="shared" si="178"/>
        <v>0</v>
      </c>
      <c r="K546" s="64">
        <f t="shared" si="179"/>
        <v>0</v>
      </c>
      <c r="M546" s="64">
        <f t="shared" si="180"/>
        <v>0</v>
      </c>
      <c r="O546" s="64">
        <f t="shared" si="181"/>
        <v>0</v>
      </c>
      <c r="Q546" s="64">
        <f t="shared" si="182"/>
        <v>0</v>
      </c>
      <c r="S546" s="71">
        <f t="shared" si="183"/>
        <v>0</v>
      </c>
      <c r="U546" s="64">
        <f t="shared" si="184"/>
        <v>0</v>
      </c>
      <c r="W546" s="71">
        <f t="shared" si="185"/>
        <v>0</v>
      </c>
      <c r="Y546" s="71">
        <f t="shared" si="186"/>
        <v>0</v>
      </c>
      <c r="AA546" s="71">
        <f t="shared" si="187"/>
        <v>0</v>
      </c>
      <c r="AC546" s="71">
        <f t="shared" si="188"/>
        <v>0</v>
      </c>
      <c r="AK546" s="71">
        <f t="shared" si="189"/>
        <v>0</v>
      </c>
      <c r="AM546" s="71">
        <f t="shared" si="190"/>
        <v>0</v>
      </c>
      <c r="AO546" s="71">
        <f t="shared" si="191"/>
        <v>0</v>
      </c>
      <c r="AQ546" s="71">
        <f t="shared" si="192"/>
        <v>0</v>
      </c>
      <c r="AT546" s="71">
        <f t="shared" si="193"/>
        <v>0</v>
      </c>
      <c r="AV546" s="71">
        <f t="shared" si="194"/>
        <v>0</v>
      </c>
      <c r="AX546" s="71">
        <f t="shared" si="195"/>
        <v>0</v>
      </c>
      <c r="AZ546" s="71">
        <f t="shared" si="196"/>
        <v>0</v>
      </c>
      <c r="BE546" s="81">
        <f t="shared" si="197"/>
        <v>0</v>
      </c>
      <c r="BF546" s="81" t="str">
        <f t="shared" si="198"/>
        <v>BASSO</v>
      </c>
    </row>
    <row r="547" spans="7:58" x14ac:dyDescent="0.15">
      <c r="G547" s="64">
        <f t="shared" si="177"/>
        <v>0</v>
      </c>
      <c r="I547" s="64">
        <f t="shared" si="178"/>
        <v>0</v>
      </c>
      <c r="K547" s="64">
        <f t="shared" si="179"/>
        <v>0</v>
      </c>
      <c r="M547" s="64">
        <f t="shared" si="180"/>
        <v>0</v>
      </c>
      <c r="O547" s="64">
        <f t="shared" si="181"/>
        <v>0</v>
      </c>
      <c r="Q547" s="64">
        <f t="shared" si="182"/>
        <v>0</v>
      </c>
      <c r="S547" s="71">
        <f t="shared" si="183"/>
        <v>0</v>
      </c>
      <c r="U547" s="64">
        <f t="shared" si="184"/>
        <v>0</v>
      </c>
      <c r="W547" s="71">
        <f t="shared" si="185"/>
        <v>0</v>
      </c>
      <c r="Y547" s="71">
        <f t="shared" si="186"/>
        <v>0</v>
      </c>
      <c r="AA547" s="71">
        <f t="shared" si="187"/>
        <v>0</v>
      </c>
      <c r="AC547" s="71">
        <f t="shared" si="188"/>
        <v>0</v>
      </c>
      <c r="AK547" s="71">
        <f t="shared" si="189"/>
        <v>0</v>
      </c>
      <c r="AM547" s="71">
        <f t="shared" si="190"/>
        <v>0</v>
      </c>
      <c r="AO547" s="71">
        <f t="shared" si="191"/>
        <v>0</v>
      </c>
      <c r="AQ547" s="71">
        <f t="shared" si="192"/>
        <v>0</v>
      </c>
      <c r="AT547" s="71">
        <f t="shared" si="193"/>
        <v>0</v>
      </c>
      <c r="AV547" s="71">
        <f t="shared" si="194"/>
        <v>0</v>
      </c>
      <c r="AX547" s="71">
        <f t="shared" si="195"/>
        <v>0</v>
      </c>
      <c r="AZ547" s="71">
        <f t="shared" si="196"/>
        <v>0</v>
      </c>
      <c r="BE547" s="81">
        <f t="shared" si="197"/>
        <v>0</v>
      </c>
      <c r="BF547" s="81" t="str">
        <f t="shared" si="198"/>
        <v>BASSO</v>
      </c>
    </row>
    <row r="548" spans="7:58" x14ac:dyDescent="0.15">
      <c r="G548" s="64">
        <f t="shared" si="177"/>
        <v>0</v>
      </c>
      <c r="I548" s="64">
        <f t="shared" si="178"/>
        <v>0</v>
      </c>
      <c r="K548" s="64">
        <f t="shared" si="179"/>
        <v>0</v>
      </c>
      <c r="M548" s="64">
        <f t="shared" si="180"/>
        <v>0</v>
      </c>
      <c r="O548" s="64">
        <f t="shared" si="181"/>
        <v>0</v>
      </c>
      <c r="Q548" s="64">
        <f t="shared" si="182"/>
        <v>0</v>
      </c>
      <c r="S548" s="71">
        <f t="shared" si="183"/>
        <v>0</v>
      </c>
      <c r="U548" s="64">
        <f t="shared" si="184"/>
        <v>0</v>
      </c>
      <c r="W548" s="71">
        <f t="shared" si="185"/>
        <v>0</v>
      </c>
      <c r="Y548" s="71">
        <f t="shared" si="186"/>
        <v>0</v>
      </c>
      <c r="AA548" s="71">
        <f t="shared" si="187"/>
        <v>0</v>
      </c>
      <c r="AC548" s="71">
        <f t="shared" si="188"/>
        <v>0</v>
      </c>
      <c r="AK548" s="71">
        <f t="shared" si="189"/>
        <v>0</v>
      </c>
      <c r="AM548" s="71">
        <f t="shared" si="190"/>
        <v>0</v>
      </c>
      <c r="AO548" s="71">
        <f t="shared" si="191"/>
        <v>0</v>
      </c>
      <c r="AQ548" s="71">
        <f t="shared" si="192"/>
        <v>0</v>
      </c>
      <c r="AT548" s="71">
        <f t="shared" si="193"/>
        <v>0</v>
      </c>
      <c r="AV548" s="71">
        <f t="shared" si="194"/>
        <v>0</v>
      </c>
      <c r="AX548" s="71">
        <f t="shared" si="195"/>
        <v>0</v>
      </c>
      <c r="AZ548" s="71">
        <f t="shared" si="196"/>
        <v>0</v>
      </c>
      <c r="BE548" s="81">
        <f t="shared" si="197"/>
        <v>0</v>
      </c>
      <c r="BF548" s="81" t="str">
        <f t="shared" si="198"/>
        <v>BASSO</v>
      </c>
    </row>
    <row r="549" spans="7:58" x14ac:dyDescent="0.15">
      <c r="G549" s="64">
        <f t="shared" si="177"/>
        <v>0</v>
      </c>
      <c r="I549" s="64">
        <f t="shared" si="178"/>
        <v>0</v>
      </c>
      <c r="K549" s="64">
        <f t="shared" si="179"/>
        <v>0</v>
      </c>
      <c r="M549" s="64">
        <f t="shared" si="180"/>
        <v>0</v>
      </c>
      <c r="O549" s="64">
        <f t="shared" si="181"/>
        <v>0</v>
      </c>
      <c r="Q549" s="64">
        <f t="shared" si="182"/>
        <v>0</v>
      </c>
      <c r="S549" s="71">
        <f t="shared" si="183"/>
        <v>0</v>
      </c>
      <c r="U549" s="64">
        <f t="shared" si="184"/>
        <v>0</v>
      </c>
      <c r="W549" s="71">
        <f t="shared" si="185"/>
        <v>0</v>
      </c>
      <c r="Y549" s="71">
        <f t="shared" si="186"/>
        <v>0</v>
      </c>
      <c r="AA549" s="71">
        <f t="shared" si="187"/>
        <v>0</v>
      </c>
      <c r="AC549" s="71">
        <f t="shared" si="188"/>
        <v>0</v>
      </c>
      <c r="AK549" s="71">
        <f t="shared" si="189"/>
        <v>0</v>
      </c>
      <c r="AM549" s="71">
        <f t="shared" si="190"/>
        <v>0</v>
      </c>
      <c r="AO549" s="71">
        <f t="shared" si="191"/>
        <v>0</v>
      </c>
      <c r="AQ549" s="71">
        <f t="shared" si="192"/>
        <v>0</v>
      </c>
      <c r="AT549" s="71">
        <f t="shared" si="193"/>
        <v>0</v>
      </c>
      <c r="AV549" s="71">
        <f t="shared" si="194"/>
        <v>0</v>
      </c>
      <c r="AX549" s="71">
        <f t="shared" si="195"/>
        <v>0</v>
      </c>
      <c r="AZ549" s="71">
        <f t="shared" si="196"/>
        <v>0</v>
      </c>
      <c r="BE549" s="81">
        <f t="shared" si="197"/>
        <v>0</v>
      </c>
      <c r="BF549" s="81" t="str">
        <f t="shared" si="198"/>
        <v>BASSO</v>
      </c>
    </row>
    <row r="550" spans="7:58" x14ac:dyDescent="0.15">
      <c r="G550" s="64">
        <f t="shared" si="177"/>
        <v>0</v>
      </c>
      <c r="I550" s="64">
        <f t="shared" si="178"/>
        <v>0</v>
      </c>
      <c r="K550" s="64">
        <f t="shared" si="179"/>
        <v>0</v>
      </c>
      <c r="M550" s="64">
        <f t="shared" si="180"/>
        <v>0</v>
      </c>
      <c r="O550" s="64">
        <f t="shared" si="181"/>
        <v>0</v>
      </c>
      <c r="Q550" s="64">
        <f t="shared" si="182"/>
        <v>0</v>
      </c>
      <c r="S550" s="71">
        <f t="shared" si="183"/>
        <v>0</v>
      </c>
      <c r="U550" s="64">
        <f t="shared" si="184"/>
        <v>0</v>
      </c>
      <c r="W550" s="71">
        <f t="shared" si="185"/>
        <v>0</v>
      </c>
      <c r="Y550" s="71">
        <f t="shared" si="186"/>
        <v>0</v>
      </c>
      <c r="AA550" s="71">
        <f t="shared" si="187"/>
        <v>0</v>
      </c>
      <c r="AC550" s="71">
        <f t="shared" si="188"/>
        <v>0</v>
      </c>
      <c r="AK550" s="71">
        <f t="shared" si="189"/>
        <v>0</v>
      </c>
      <c r="AM550" s="71">
        <f t="shared" si="190"/>
        <v>0</v>
      </c>
      <c r="AO550" s="71">
        <f t="shared" si="191"/>
        <v>0</v>
      </c>
      <c r="AQ550" s="71">
        <f t="shared" si="192"/>
        <v>0</v>
      </c>
      <c r="AT550" s="71">
        <f t="shared" si="193"/>
        <v>0</v>
      </c>
      <c r="AV550" s="71">
        <f t="shared" si="194"/>
        <v>0</v>
      </c>
      <c r="AX550" s="71">
        <f t="shared" si="195"/>
        <v>0</v>
      </c>
      <c r="AZ550" s="71">
        <f t="shared" si="196"/>
        <v>0</v>
      </c>
      <c r="BE550" s="81">
        <f t="shared" si="197"/>
        <v>0</v>
      </c>
      <c r="BF550" s="81" t="str">
        <f t="shared" si="198"/>
        <v>BASSO</v>
      </c>
    </row>
    <row r="551" spans="7:58" x14ac:dyDescent="0.15">
      <c r="G551" s="64">
        <f t="shared" si="177"/>
        <v>0</v>
      </c>
      <c r="I551" s="64">
        <f t="shared" si="178"/>
        <v>0</v>
      </c>
      <c r="K551" s="64">
        <f t="shared" si="179"/>
        <v>0</v>
      </c>
      <c r="M551" s="64">
        <f t="shared" si="180"/>
        <v>0</v>
      </c>
      <c r="O551" s="64">
        <f t="shared" si="181"/>
        <v>0</v>
      </c>
      <c r="Q551" s="64">
        <f t="shared" si="182"/>
        <v>0</v>
      </c>
      <c r="S551" s="71">
        <f t="shared" si="183"/>
        <v>0</v>
      </c>
      <c r="U551" s="64">
        <f t="shared" si="184"/>
        <v>0</v>
      </c>
      <c r="W551" s="71">
        <f t="shared" si="185"/>
        <v>0</v>
      </c>
      <c r="Y551" s="71">
        <f t="shared" si="186"/>
        <v>0</v>
      </c>
      <c r="AA551" s="71">
        <f t="shared" si="187"/>
        <v>0</v>
      </c>
      <c r="AC551" s="71">
        <f t="shared" si="188"/>
        <v>0</v>
      </c>
      <c r="AK551" s="71">
        <f t="shared" si="189"/>
        <v>0</v>
      </c>
      <c r="AM551" s="71">
        <f t="shared" si="190"/>
        <v>0</v>
      </c>
      <c r="AO551" s="71">
        <f t="shared" si="191"/>
        <v>0</v>
      </c>
      <c r="AQ551" s="71">
        <f t="shared" si="192"/>
        <v>0</v>
      </c>
      <c r="AT551" s="71">
        <f t="shared" si="193"/>
        <v>0</v>
      </c>
      <c r="AV551" s="71">
        <f t="shared" si="194"/>
        <v>0</v>
      </c>
      <c r="AX551" s="71">
        <f t="shared" si="195"/>
        <v>0</v>
      </c>
      <c r="AZ551" s="71">
        <f t="shared" si="196"/>
        <v>0</v>
      </c>
      <c r="BE551" s="81">
        <f t="shared" si="197"/>
        <v>0</v>
      </c>
      <c r="BF551" s="81" t="str">
        <f t="shared" si="198"/>
        <v>BASSO</v>
      </c>
    </row>
    <row r="552" spans="7:58" x14ac:dyDescent="0.15">
      <c r="G552" s="64">
        <f t="shared" si="177"/>
        <v>0</v>
      </c>
      <c r="I552" s="64">
        <f t="shared" si="178"/>
        <v>0</v>
      </c>
      <c r="K552" s="64">
        <f t="shared" si="179"/>
        <v>0</v>
      </c>
      <c r="M552" s="64">
        <f t="shared" si="180"/>
        <v>0</v>
      </c>
      <c r="O552" s="64">
        <f t="shared" si="181"/>
        <v>0</v>
      </c>
      <c r="Q552" s="64">
        <f t="shared" si="182"/>
        <v>0</v>
      </c>
      <c r="S552" s="71">
        <f t="shared" si="183"/>
        <v>0</v>
      </c>
      <c r="U552" s="64">
        <f t="shared" si="184"/>
        <v>0</v>
      </c>
      <c r="W552" s="71">
        <f t="shared" si="185"/>
        <v>0</v>
      </c>
      <c r="Y552" s="71">
        <f t="shared" si="186"/>
        <v>0</v>
      </c>
      <c r="AA552" s="71">
        <f t="shared" si="187"/>
        <v>0</v>
      </c>
      <c r="AC552" s="71">
        <f t="shared" si="188"/>
        <v>0</v>
      </c>
      <c r="AK552" s="71">
        <f t="shared" si="189"/>
        <v>0</v>
      </c>
      <c r="AM552" s="71">
        <f t="shared" si="190"/>
        <v>0</v>
      </c>
      <c r="AO552" s="71">
        <f t="shared" si="191"/>
        <v>0</v>
      </c>
      <c r="AQ552" s="71">
        <f t="shared" si="192"/>
        <v>0</v>
      </c>
      <c r="AT552" s="71">
        <f t="shared" si="193"/>
        <v>0</v>
      </c>
      <c r="AV552" s="71">
        <f t="shared" si="194"/>
        <v>0</v>
      </c>
      <c r="AX552" s="71">
        <f t="shared" si="195"/>
        <v>0</v>
      </c>
      <c r="AZ552" s="71">
        <f t="shared" si="196"/>
        <v>0</v>
      </c>
      <c r="BE552" s="81">
        <f t="shared" si="197"/>
        <v>0</v>
      </c>
      <c r="BF552" s="81" t="str">
        <f t="shared" si="198"/>
        <v>BASSO</v>
      </c>
    </row>
    <row r="553" spans="7:58" x14ac:dyDescent="0.15">
      <c r="G553" s="64">
        <f t="shared" si="177"/>
        <v>0</v>
      </c>
      <c r="I553" s="64">
        <f t="shared" si="178"/>
        <v>0</v>
      </c>
      <c r="K553" s="64">
        <f t="shared" si="179"/>
        <v>0</v>
      </c>
      <c r="M553" s="64">
        <f t="shared" si="180"/>
        <v>0</v>
      </c>
      <c r="O553" s="64">
        <f t="shared" si="181"/>
        <v>0</v>
      </c>
      <c r="Q553" s="64">
        <f t="shared" si="182"/>
        <v>0</v>
      </c>
      <c r="S553" s="71">
        <f t="shared" si="183"/>
        <v>0</v>
      </c>
      <c r="U553" s="64">
        <f t="shared" si="184"/>
        <v>0</v>
      </c>
      <c r="W553" s="71">
        <f t="shared" si="185"/>
        <v>0</v>
      </c>
      <c r="Y553" s="71">
        <f t="shared" si="186"/>
        <v>0</v>
      </c>
      <c r="AA553" s="71">
        <f t="shared" si="187"/>
        <v>0</v>
      </c>
      <c r="AC553" s="71">
        <f t="shared" si="188"/>
        <v>0</v>
      </c>
      <c r="AK553" s="71">
        <f t="shared" si="189"/>
        <v>0</v>
      </c>
      <c r="AM553" s="71">
        <f t="shared" si="190"/>
        <v>0</v>
      </c>
      <c r="AO553" s="71">
        <f t="shared" si="191"/>
        <v>0</v>
      </c>
      <c r="AQ553" s="71">
        <f t="shared" si="192"/>
        <v>0</v>
      </c>
      <c r="AT553" s="71">
        <f t="shared" si="193"/>
        <v>0</v>
      </c>
      <c r="AV553" s="71">
        <f t="shared" si="194"/>
        <v>0</v>
      </c>
      <c r="AX553" s="71">
        <f t="shared" si="195"/>
        <v>0</v>
      </c>
      <c r="AZ553" s="71">
        <f t="shared" si="196"/>
        <v>0</v>
      </c>
      <c r="BE553" s="81">
        <f t="shared" si="197"/>
        <v>0</v>
      </c>
      <c r="BF553" s="81" t="str">
        <f t="shared" si="198"/>
        <v>BASSO</v>
      </c>
    </row>
    <row r="554" spans="7:58" x14ac:dyDescent="0.15">
      <c r="G554" s="64">
        <f t="shared" si="177"/>
        <v>0</v>
      </c>
      <c r="I554" s="64">
        <f t="shared" si="178"/>
        <v>0</v>
      </c>
      <c r="K554" s="64">
        <f t="shared" si="179"/>
        <v>0</v>
      </c>
      <c r="M554" s="64">
        <f t="shared" si="180"/>
        <v>0</v>
      </c>
      <c r="O554" s="64">
        <f t="shared" si="181"/>
        <v>0</v>
      </c>
      <c r="Q554" s="64">
        <f t="shared" si="182"/>
        <v>0</v>
      </c>
      <c r="S554" s="71">
        <f t="shared" si="183"/>
        <v>0</v>
      </c>
      <c r="U554" s="64">
        <f t="shared" si="184"/>
        <v>0</v>
      </c>
      <c r="W554" s="71">
        <f t="shared" si="185"/>
        <v>0</v>
      </c>
      <c r="Y554" s="71">
        <f t="shared" si="186"/>
        <v>0</v>
      </c>
      <c r="AA554" s="71">
        <f t="shared" si="187"/>
        <v>0</v>
      </c>
      <c r="AC554" s="71">
        <f t="shared" si="188"/>
        <v>0</v>
      </c>
      <c r="AK554" s="71">
        <f t="shared" si="189"/>
        <v>0</v>
      </c>
      <c r="AM554" s="71">
        <f t="shared" si="190"/>
        <v>0</v>
      </c>
      <c r="AO554" s="71">
        <f t="shared" si="191"/>
        <v>0</v>
      </c>
      <c r="AQ554" s="71">
        <f t="shared" si="192"/>
        <v>0</v>
      </c>
      <c r="AT554" s="71">
        <f t="shared" si="193"/>
        <v>0</v>
      </c>
      <c r="AV554" s="71">
        <f t="shared" si="194"/>
        <v>0</v>
      </c>
      <c r="AX554" s="71">
        <f t="shared" si="195"/>
        <v>0</v>
      </c>
      <c r="AZ554" s="71">
        <f t="shared" si="196"/>
        <v>0</v>
      </c>
      <c r="BE554" s="81">
        <f t="shared" si="197"/>
        <v>0</v>
      </c>
      <c r="BF554" s="81" t="str">
        <f t="shared" si="198"/>
        <v>BASSO</v>
      </c>
    </row>
    <row r="555" spans="7:58" x14ac:dyDescent="0.15">
      <c r="G555" s="64">
        <f t="shared" si="177"/>
        <v>0</v>
      </c>
      <c r="I555" s="64">
        <f t="shared" si="178"/>
        <v>0</v>
      </c>
      <c r="K555" s="64">
        <f t="shared" si="179"/>
        <v>0</v>
      </c>
      <c r="M555" s="64">
        <f t="shared" si="180"/>
        <v>0</v>
      </c>
      <c r="O555" s="64">
        <f t="shared" si="181"/>
        <v>0</v>
      </c>
      <c r="Q555" s="64">
        <f t="shared" si="182"/>
        <v>0</v>
      </c>
      <c r="S555" s="71">
        <f t="shared" si="183"/>
        <v>0</v>
      </c>
      <c r="U555" s="64">
        <f t="shared" si="184"/>
        <v>0</v>
      </c>
      <c r="W555" s="71">
        <f t="shared" si="185"/>
        <v>0</v>
      </c>
      <c r="Y555" s="71">
        <f t="shared" si="186"/>
        <v>0</v>
      </c>
      <c r="AA555" s="71">
        <f t="shared" si="187"/>
        <v>0</v>
      </c>
      <c r="AC555" s="71">
        <f t="shared" si="188"/>
        <v>0</v>
      </c>
      <c r="AK555" s="71">
        <f t="shared" si="189"/>
        <v>0</v>
      </c>
      <c r="AM555" s="71">
        <f t="shared" si="190"/>
        <v>0</v>
      </c>
      <c r="AO555" s="71">
        <f t="shared" si="191"/>
        <v>0</v>
      </c>
      <c r="AQ555" s="71">
        <f t="shared" si="192"/>
        <v>0</v>
      </c>
      <c r="AT555" s="71">
        <f t="shared" si="193"/>
        <v>0</v>
      </c>
      <c r="AV555" s="71">
        <f t="shared" si="194"/>
        <v>0</v>
      </c>
      <c r="AX555" s="71">
        <f t="shared" si="195"/>
        <v>0</v>
      </c>
      <c r="AZ555" s="71">
        <f t="shared" si="196"/>
        <v>0</v>
      </c>
      <c r="BE555" s="81">
        <f t="shared" si="197"/>
        <v>0</v>
      </c>
      <c r="BF555" s="81" t="str">
        <f t="shared" si="198"/>
        <v>BASSO</v>
      </c>
    </row>
    <row r="556" spans="7:58" x14ac:dyDescent="0.15">
      <c r="G556" s="64">
        <f t="shared" si="177"/>
        <v>0</v>
      </c>
      <c r="I556" s="64">
        <f t="shared" si="178"/>
        <v>0</v>
      </c>
      <c r="K556" s="64">
        <f t="shared" si="179"/>
        <v>0</v>
      </c>
      <c r="M556" s="64">
        <f t="shared" si="180"/>
        <v>0</v>
      </c>
      <c r="O556" s="64">
        <f t="shared" si="181"/>
        <v>0</v>
      </c>
      <c r="Q556" s="64">
        <f t="shared" si="182"/>
        <v>0</v>
      </c>
      <c r="S556" s="71">
        <f t="shared" si="183"/>
        <v>0</v>
      </c>
      <c r="U556" s="64">
        <f t="shared" si="184"/>
        <v>0</v>
      </c>
      <c r="W556" s="71">
        <f t="shared" si="185"/>
        <v>0</v>
      </c>
      <c r="Y556" s="71">
        <f t="shared" si="186"/>
        <v>0</v>
      </c>
      <c r="AA556" s="71">
        <f t="shared" si="187"/>
        <v>0</v>
      </c>
      <c r="AC556" s="71">
        <f t="shared" si="188"/>
        <v>0</v>
      </c>
      <c r="AK556" s="71">
        <f t="shared" si="189"/>
        <v>0</v>
      </c>
      <c r="AM556" s="71">
        <f t="shared" si="190"/>
        <v>0</v>
      </c>
      <c r="AO556" s="71">
        <f t="shared" si="191"/>
        <v>0</v>
      </c>
      <c r="AQ556" s="71">
        <f t="shared" si="192"/>
        <v>0</v>
      </c>
      <c r="AT556" s="71">
        <f t="shared" si="193"/>
        <v>0</v>
      </c>
      <c r="AV556" s="71">
        <f t="shared" si="194"/>
        <v>0</v>
      </c>
      <c r="AX556" s="71">
        <f t="shared" si="195"/>
        <v>0</v>
      </c>
      <c r="AZ556" s="71">
        <f t="shared" si="196"/>
        <v>0</v>
      </c>
      <c r="BE556" s="81">
        <f t="shared" si="197"/>
        <v>0</v>
      </c>
      <c r="BF556" s="81" t="str">
        <f t="shared" si="198"/>
        <v>BASSO</v>
      </c>
    </row>
    <row r="557" spans="7:58" x14ac:dyDescent="0.15">
      <c r="G557" s="64">
        <f t="shared" si="177"/>
        <v>0</v>
      </c>
      <c r="I557" s="64">
        <f t="shared" si="178"/>
        <v>0</v>
      </c>
      <c r="K557" s="64">
        <f t="shared" si="179"/>
        <v>0</v>
      </c>
      <c r="M557" s="64">
        <f t="shared" si="180"/>
        <v>0</v>
      </c>
      <c r="O557" s="64">
        <f t="shared" si="181"/>
        <v>0</v>
      </c>
      <c r="Q557" s="64">
        <f t="shared" si="182"/>
        <v>0</v>
      </c>
      <c r="S557" s="71">
        <f t="shared" si="183"/>
        <v>0</v>
      </c>
      <c r="U557" s="64">
        <f t="shared" si="184"/>
        <v>0</v>
      </c>
      <c r="W557" s="71">
        <f t="shared" si="185"/>
        <v>0</v>
      </c>
      <c r="Y557" s="71">
        <f t="shared" si="186"/>
        <v>0</v>
      </c>
      <c r="AA557" s="71">
        <f t="shared" si="187"/>
        <v>0</v>
      </c>
      <c r="AC557" s="71">
        <f t="shared" si="188"/>
        <v>0</v>
      </c>
      <c r="AK557" s="71">
        <f t="shared" si="189"/>
        <v>0</v>
      </c>
      <c r="AM557" s="71">
        <f t="shared" si="190"/>
        <v>0</v>
      </c>
      <c r="AO557" s="71">
        <f t="shared" si="191"/>
        <v>0</v>
      </c>
      <c r="AQ557" s="71">
        <f t="shared" si="192"/>
        <v>0</v>
      </c>
      <c r="AT557" s="71">
        <f t="shared" si="193"/>
        <v>0</v>
      </c>
      <c r="AV557" s="71">
        <f t="shared" si="194"/>
        <v>0</v>
      </c>
      <c r="AX557" s="71">
        <f t="shared" si="195"/>
        <v>0</v>
      </c>
      <c r="AZ557" s="71">
        <f t="shared" si="196"/>
        <v>0</v>
      </c>
      <c r="BE557" s="81">
        <f t="shared" si="197"/>
        <v>0</v>
      </c>
      <c r="BF557" s="81" t="str">
        <f t="shared" si="198"/>
        <v>BASSO</v>
      </c>
    </row>
    <row r="558" spans="7:58" x14ac:dyDescent="0.15">
      <c r="G558" s="64">
        <f t="shared" si="177"/>
        <v>0</v>
      </c>
      <c r="I558" s="64">
        <f t="shared" si="178"/>
        <v>0</v>
      </c>
      <c r="K558" s="64">
        <f t="shared" si="179"/>
        <v>0</v>
      </c>
      <c r="M558" s="64">
        <f t="shared" si="180"/>
        <v>0</v>
      </c>
      <c r="O558" s="64">
        <f t="shared" si="181"/>
        <v>0</v>
      </c>
      <c r="Q558" s="64">
        <f t="shared" si="182"/>
        <v>0</v>
      </c>
      <c r="S558" s="71">
        <f t="shared" si="183"/>
        <v>0</v>
      </c>
      <c r="U558" s="64">
        <f t="shared" si="184"/>
        <v>0</v>
      </c>
      <c r="W558" s="71">
        <f t="shared" si="185"/>
        <v>0</v>
      </c>
      <c r="Y558" s="71">
        <f t="shared" si="186"/>
        <v>0</v>
      </c>
      <c r="AA558" s="71">
        <f t="shared" si="187"/>
        <v>0</v>
      </c>
      <c r="AC558" s="71">
        <f t="shared" si="188"/>
        <v>0</v>
      </c>
      <c r="AK558" s="71">
        <f t="shared" si="189"/>
        <v>0</v>
      </c>
      <c r="AM558" s="71">
        <f t="shared" si="190"/>
        <v>0</v>
      </c>
      <c r="AO558" s="71">
        <f t="shared" si="191"/>
        <v>0</v>
      </c>
      <c r="AQ558" s="71">
        <f t="shared" si="192"/>
        <v>0</v>
      </c>
      <c r="AT558" s="71">
        <f t="shared" si="193"/>
        <v>0</v>
      </c>
      <c r="AV558" s="71">
        <f t="shared" si="194"/>
        <v>0</v>
      </c>
      <c r="AX558" s="71">
        <f t="shared" si="195"/>
        <v>0</v>
      </c>
      <c r="AZ558" s="71">
        <f t="shared" si="196"/>
        <v>0</v>
      </c>
      <c r="BE558" s="81">
        <f t="shared" si="197"/>
        <v>0</v>
      </c>
      <c r="BF558" s="81" t="str">
        <f t="shared" si="198"/>
        <v>BASSO</v>
      </c>
    </row>
    <row r="559" spans="7:58" x14ac:dyDescent="0.15">
      <c r="G559" s="64">
        <f t="shared" si="177"/>
        <v>0</v>
      </c>
      <c r="I559" s="64">
        <f t="shared" si="178"/>
        <v>0</v>
      </c>
      <c r="K559" s="64">
        <f t="shared" si="179"/>
        <v>0</v>
      </c>
      <c r="M559" s="64">
        <f t="shared" si="180"/>
        <v>0</v>
      </c>
      <c r="O559" s="64">
        <f t="shared" si="181"/>
        <v>0</v>
      </c>
      <c r="Q559" s="64">
        <f t="shared" si="182"/>
        <v>0</v>
      </c>
      <c r="S559" s="71">
        <f t="shared" si="183"/>
        <v>0</v>
      </c>
      <c r="U559" s="64">
        <f t="shared" si="184"/>
        <v>0</v>
      </c>
      <c r="W559" s="71">
        <f t="shared" si="185"/>
        <v>0</v>
      </c>
      <c r="Y559" s="71">
        <f t="shared" si="186"/>
        <v>0</v>
      </c>
      <c r="AA559" s="71">
        <f t="shared" si="187"/>
        <v>0</v>
      </c>
      <c r="AC559" s="71">
        <f t="shared" si="188"/>
        <v>0</v>
      </c>
      <c r="AK559" s="71">
        <f t="shared" si="189"/>
        <v>0</v>
      </c>
      <c r="AM559" s="71">
        <f t="shared" si="190"/>
        <v>0</v>
      </c>
      <c r="AO559" s="71">
        <f t="shared" si="191"/>
        <v>0</v>
      </c>
      <c r="AQ559" s="71">
        <f t="shared" si="192"/>
        <v>0</v>
      </c>
      <c r="AT559" s="71">
        <f t="shared" si="193"/>
        <v>0</v>
      </c>
      <c r="AV559" s="71">
        <f t="shared" si="194"/>
        <v>0</v>
      </c>
      <c r="AX559" s="71">
        <f t="shared" si="195"/>
        <v>0</v>
      </c>
      <c r="AZ559" s="71">
        <f t="shared" si="196"/>
        <v>0</v>
      </c>
      <c r="BE559" s="81">
        <f t="shared" si="197"/>
        <v>0</v>
      </c>
      <c r="BF559" s="81" t="str">
        <f t="shared" si="198"/>
        <v>BASSO</v>
      </c>
    </row>
    <row r="560" spans="7:58" x14ac:dyDescent="0.15">
      <c r="G560" s="64">
        <f t="shared" si="177"/>
        <v>0</v>
      </c>
      <c r="I560" s="64">
        <f t="shared" si="178"/>
        <v>0</v>
      </c>
      <c r="K560" s="64">
        <f t="shared" si="179"/>
        <v>0</v>
      </c>
      <c r="M560" s="64">
        <f t="shared" si="180"/>
        <v>0</v>
      </c>
      <c r="O560" s="64">
        <f t="shared" si="181"/>
        <v>0</v>
      </c>
      <c r="Q560" s="64">
        <f t="shared" si="182"/>
        <v>0</v>
      </c>
      <c r="S560" s="71">
        <f t="shared" si="183"/>
        <v>0</v>
      </c>
      <c r="U560" s="64">
        <f t="shared" si="184"/>
        <v>0</v>
      </c>
      <c r="W560" s="71">
        <f t="shared" si="185"/>
        <v>0</v>
      </c>
      <c r="Y560" s="71">
        <f t="shared" si="186"/>
        <v>0</v>
      </c>
      <c r="AA560" s="71">
        <f t="shared" si="187"/>
        <v>0</v>
      </c>
      <c r="AC560" s="71">
        <f t="shared" si="188"/>
        <v>0</v>
      </c>
      <c r="AK560" s="71">
        <f t="shared" si="189"/>
        <v>0</v>
      </c>
      <c r="AM560" s="71">
        <f t="shared" si="190"/>
        <v>0</v>
      </c>
      <c r="AO560" s="71">
        <f t="shared" si="191"/>
        <v>0</v>
      </c>
      <c r="AQ560" s="71">
        <f t="shared" si="192"/>
        <v>0</v>
      </c>
      <c r="AT560" s="71">
        <f t="shared" si="193"/>
        <v>0</v>
      </c>
      <c r="AV560" s="71">
        <f t="shared" si="194"/>
        <v>0</v>
      </c>
      <c r="AX560" s="71">
        <f t="shared" si="195"/>
        <v>0</v>
      </c>
      <c r="AZ560" s="71">
        <f t="shared" si="196"/>
        <v>0</v>
      </c>
      <c r="BE560" s="81">
        <f t="shared" si="197"/>
        <v>0</v>
      </c>
      <c r="BF560" s="81" t="str">
        <f t="shared" si="198"/>
        <v>BASSO</v>
      </c>
    </row>
    <row r="561" spans="7:58" x14ac:dyDescent="0.15">
      <c r="G561" s="64">
        <f t="shared" si="177"/>
        <v>0</v>
      </c>
      <c r="I561" s="64">
        <f t="shared" si="178"/>
        <v>0</v>
      </c>
      <c r="K561" s="64">
        <f t="shared" si="179"/>
        <v>0</v>
      </c>
      <c r="M561" s="64">
        <f t="shared" si="180"/>
        <v>0</v>
      </c>
      <c r="O561" s="64">
        <f t="shared" si="181"/>
        <v>0</v>
      </c>
      <c r="Q561" s="64">
        <f t="shared" si="182"/>
        <v>0</v>
      </c>
      <c r="S561" s="71">
        <f t="shared" si="183"/>
        <v>0</v>
      </c>
      <c r="U561" s="64">
        <f t="shared" si="184"/>
        <v>0</v>
      </c>
      <c r="W561" s="71">
        <f t="shared" si="185"/>
        <v>0</v>
      </c>
      <c r="Y561" s="71">
        <f t="shared" si="186"/>
        <v>0</v>
      </c>
      <c r="AA561" s="71">
        <f t="shared" si="187"/>
        <v>0</v>
      </c>
      <c r="AC561" s="71">
        <f t="shared" si="188"/>
        <v>0</v>
      </c>
      <c r="AK561" s="71">
        <f t="shared" si="189"/>
        <v>0</v>
      </c>
      <c r="AM561" s="71">
        <f t="shared" si="190"/>
        <v>0</v>
      </c>
      <c r="AO561" s="71">
        <f t="shared" si="191"/>
        <v>0</v>
      </c>
      <c r="AQ561" s="71">
        <f t="shared" si="192"/>
        <v>0</v>
      </c>
      <c r="AT561" s="71">
        <f t="shared" si="193"/>
        <v>0</v>
      </c>
      <c r="AV561" s="71">
        <f t="shared" si="194"/>
        <v>0</v>
      </c>
      <c r="AX561" s="71">
        <f t="shared" si="195"/>
        <v>0</v>
      </c>
      <c r="AZ561" s="71">
        <f t="shared" si="196"/>
        <v>0</v>
      </c>
      <c r="BE561" s="81">
        <f t="shared" si="197"/>
        <v>0</v>
      </c>
      <c r="BF561" s="81" t="str">
        <f t="shared" si="198"/>
        <v>BASSO</v>
      </c>
    </row>
    <row r="562" spans="7:58" x14ac:dyDescent="0.15">
      <c r="G562" s="64">
        <f t="shared" si="177"/>
        <v>0</v>
      </c>
      <c r="I562" s="64">
        <f t="shared" si="178"/>
        <v>0</v>
      </c>
      <c r="K562" s="64">
        <f t="shared" si="179"/>
        <v>0</v>
      </c>
      <c r="M562" s="64">
        <f t="shared" si="180"/>
        <v>0</v>
      </c>
      <c r="O562" s="64">
        <f t="shared" si="181"/>
        <v>0</v>
      </c>
      <c r="Q562" s="64">
        <f t="shared" si="182"/>
        <v>0</v>
      </c>
      <c r="S562" s="71">
        <f t="shared" si="183"/>
        <v>0</v>
      </c>
      <c r="U562" s="64">
        <f t="shared" si="184"/>
        <v>0</v>
      </c>
      <c r="W562" s="71">
        <f t="shared" si="185"/>
        <v>0</v>
      </c>
      <c r="Y562" s="71">
        <f t="shared" si="186"/>
        <v>0</v>
      </c>
      <c r="AA562" s="71">
        <f t="shared" si="187"/>
        <v>0</v>
      </c>
      <c r="AC562" s="71">
        <f t="shared" si="188"/>
        <v>0</v>
      </c>
      <c r="AK562" s="71">
        <f t="shared" si="189"/>
        <v>0</v>
      </c>
      <c r="AM562" s="71">
        <f t="shared" si="190"/>
        <v>0</v>
      </c>
      <c r="AO562" s="71">
        <f t="shared" si="191"/>
        <v>0</v>
      </c>
      <c r="AQ562" s="71">
        <f t="shared" si="192"/>
        <v>0</v>
      </c>
      <c r="AT562" s="71">
        <f t="shared" si="193"/>
        <v>0</v>
      </c>
      <c r="AV562" s="71">
        <f t="shared" si="194"/>
        <v>0</v>
      </c>
      <c r="AX562" s="71">
        <f t="shared" si="195"/>
        <v>0</v>
      </c>
      <c r="AZ562" s="71">
        <f t="shared" si="196"/>
        <v>0</v>
      </c>
      <c r="BE562" s="81">
        <f t="shared" si="197"/>
        <v>0</v>
      </c>
      <c r="BF562" s="81" t="str">
        <f t="shared" si="198"/>
        <v>BASSO</v>
      </c>
    </row>
    <row r="563" spans="7:58" x14ac:dyDescent="0.15">
      <c r="G563" s="64">
        <f t="shared" si="177"/>
        <v>0</v>
      </c>
      <c r="I563" s="64">
        <f t="shared" si="178"/>
        <v>0</v>
      </c>
      <c r="K563" s="64">
        <f t="shared" si="179"/>
        <v>0</v>
      </c>
      <c r="M563" s="64">
        <f t="shared" si="180"/>
        <v>0</v>
      </c>
      <c r="O563" s="64">
        <f t="shared" si="181"/>
        <v>0</v>
      </c>
      <c r="Q563" s="64">
        <f t="shared" si="182"/>
        <v>0</v>
      </c>
      <c r="S563" s="71">
        <f t="shared" si="183"/>
        <v>0</v>
      </c>
      <c r="U563" s="64">
        <f t="shared" si="184"/>
        <v>0</v>
      </c>
      <c r="W563" s="71">
        <f t="shared" si="185"/>
        <v>0</v>
      </c>
      <c r="Y563" s="71">
        <f t="shared" si="186"/>
        <v>0</v>
      </c>
      <c r="AA563" s="71">
        <f t="shared" si="187"/>
        <v>0</v>
      </c>
      <c r="AC563" s="71">
        <f t="shared" si="188"/>
        <v>0</v>
      </c>
      <c r="AK563" s="71">
        <f t="shared" si="189"/>
        <v>0</v>
      </c>
      <c r="AM563" s="71">
        <f t="shared" si="190"/>
        <v>0</v>
      </c>
      <c r="AO563" s="71">
        <f t="shared" si="191"/>
        <v>0</v>
      </c>
      <c r="AQ563" s="71">
        <f t="shared" si="192"/>
        <v>0</v>
      </c>
      <c r="AT563" s="71">
        <f t="shared" si="193"/>
        <v>0</v>
      </c>
      <c r="AV563" s="71">
        <f t="shared" si="194"/>
        <v>0</v>
      </c>
      <c r="AX563" s="71">
        <f t="shared" si="195"/>
        <v>0</v>
      </c>
      <c r="AZ563" s="71">
        <f t="shared" si="196"/>
        <v>0</v>
      </c>
      <c r="BE563" s="81">
        <f t="shared" si="197"/>
        <v>0</v>
      </c>
      <c r="BF563" s="81" t="str">
        <f t="shared" si="198"/>
        <v>BASSO</v>
      </c>
    </row>
    <row r="564" spans="7:58" x14ac:dyDescent="0.15">
      <c r="G564" s="64">
        <f t="shared" si="177"/>
        <v>0</v>
      </c>
      <c r="I564" s="64">
        <f t="shared" si="178"/>
        <v>0</v>
      </c>
      <c r="K564" s="64">
        <f t="shared" si="179"/>
        <v>0</v>
      </c>
      <c r="M564" s="64">
        <f t="shared" si="180"/>
        <v>0</v>
      </c>
      <c r="O564" s="64">
        <f t="shared" si="181"/>
        <v>0</v>
      </c>
      <c r="Q564" s="64">
        <f t="shared" si="182"/>
        <v>0</v>
      </c>
      <c r="S564" s="71">
        <f t="shared" si="183"/>
        <v>0</v>
      </c>
      <c r="U564" s="64">
        <f t="shared" si="184"/>
        <v>0</v>
      </c>
      <c r="W564" s="71">
        <f t="shared" si="185"/>
        <v>0</v>
      </c>
      <c r="Y564" s="71">
        <f t="shared" si="186"/>
        <v>0</v>
      </c>
      <c r="AA564" s="71">
        <f t="shared" si="187"/>
        <v>0</v>
      </c>
      <c r="AC564" s="71">
        <f t="shared" si="188"/>
        <v>0</v>
      </c>
      <c r="AK564" s="71">
        <f t="shared" si="189"/>
        <v>0</v>
      </c>
      <c r="AM564" s="71">
        <f t="shared" si="190"/>
        <v>0</v>
      </c>
      <c r="AO564" s="71">
        <f t="shared" si="191"/>
        <v>0</v>
      </c>
      <c r="AQ564" s="71">
        <f t="shared" si="192"/>
        <v>0</v>
      </c>
      <c r="AT564" s="71">
        <f t="shared" si="193"/>
        <v>0</v>
      </c>
      <c r="AV564" s="71">
        <f t="shared" si="194"/>
        <v>0</v>
      </c>
      <c r="AX564" s="71">
        <f t="shared" si="195"/>
        <v>0</v>
      </c>
      <c r="AZ564" s="71">
        <f t="shared" si="196"/>
        <v>0</v>
      </c>
      <c r="BE564" s="81">
        <f t="shared" si="197"/>
        <v>0</v>
      </c>
      <c r="BF564" s="81" t="str">
        <f t="shared" si="198"/>
        <v>BASSO</v>
      </c>
    </row>
    <row r="565" spans="7:58" x14ac:dyDescent="0.15">
      <c r="G565" s="64">
        <f t="shared" si="177"/>
        <v>0</v>
      </c>
      <c r="I565" s="64">
        <f t="shared" si="178"/>
        <v>0</v>
      </c>
      <c r="K565" s="64">
        <f t="shared" si="179"/>
        <v>0</v>
      </c>
      <c r="M565" s="64">
        <f t="shared" si="180"/>
        <v>0</v>
      </c>
      <c r="O565" s="64">
        <f t="shared" si="181"/>
        <v>0</v>
      </c>
      <c r="Q565" s="64">
        <f t="shared" si="182"/>
        <v>0</v>
      </c>
      <c r="S565" s="71">
        <f t="shared" si="183"/>
        <v>0</v>
      </c>
      <c r="U565" s="64">
        <f t="shared" si="184"/>
        <v>0</v>
      </c>
      <c r="W565" s="71">
        <f t="shared" si="185"/>
        <v>0</v>
      </c>
      <c r="Y565" s="71">
        <f t="shared" si="186"/>
        <v>0</v>
      </c>
      <c r="AA565" s="71">
        <f t="shared" si="187"/>
        <v>0</v>
      </c>
      <c r="AC565" s="71">
        <f t="shared" si="188"/>
        <v>0</v>
      </c>
      <c r="AK565" s="71">
        <f t="shared" si="189"/>
        <v>0</v>
      </c>
      <c r="AM565" s="71">
        <f t="shared" si="190"/>
        <v>0</v>
      </c>
      <c r="AO565" s="71">
        <f t="shared" si="191"/>
        <v>0</v>
      </c>
      <c r="AQ565" s="71">
        <f t="shared" si="192"/>
        <v>0</v>
      </c>
      <c r="AT565" s="71">
        <f t="shared" si="193"/>
        <v>0</v>
      </c>
      <c r="AV565" s="71">
        <f t="shared" si="194"/>
        <v>0</v>
      </c>
      <c r="AX565" s="71">
        <f t="shared" si="195"/>
        <v>0</v>
      </c>
      <c r="AZ565" s="71">
        <f t="shared" si="196"/>
        <v>0</v>
      </c>
      <c r="BE565" s="81">
        <f t="shared" si="197"/>
        <v>0</v>
      </c>
      <c r="BF565" s="81" t="str">
        <f t="shared" si="198"/>
        <v>BASSO</v>
      </c>
    </row>
    <row r="566" spans="7:58" x14ac:dyDescent="0.15">
      <c r="G566" s="64">
        <f t="shared" si="177"/>
        <v>0</v>
      </c>
      <c r="I566" s="64">
        <f t="shared" si="178"/>
        <v>0</v>
      </c>
      <c r="K566" s="64">
        <f t="shared" si="179"/>
        <v>0</v>
      </c>
      <c r="M566" s="64">
        <f t="shared" si="180"/>
        <v>0</v>
      </c>
      <c r="O566" s="64">
        <f t="shared" si="181"/>
        <v>0</v>
      </c>
      <c r="Q566" s="64">
        <f t="shared" si="182"/>
        <v>0</v>
      </c>
      <c r="S566" s="71">
        <f t="shared" si="183"/>
        <v>0</v>
      </c>
      <c r="U566" s="64">
        <f t="shared" si="184"/>
        <v>0</v>
      </c>
      <c r="W566" s="71">
        <f t="shared" si="185"/>
        <v>0</v>
      </c>
      <c r="Y566" s="71">
        <f t="shared" si="186"/>
        <v>0</v>
      </c>
      <c r="AA566" s="71">
        <f t="shared" si="187"/>
        <v>0</v>
      </c>
      <c r="AC566" s="71">
        <f t="shared" si="188"/>
        <v>0</v>
      </c>
      <c r="AK566" s="71">
        <f t="shared" si="189"/>
        <v>0</v>
      </c>
      <c r="AM566" s="71">
        <f t="shared" si="190"/>
        <v>0</v>
      </c>
      <c r="AO566" s="71">
        <f t="shared" si="191"/>
        <v>0</v>
      </c>
      <c r="AQ566" s="71">
        <f t="shared" si="192"/>
        <v>0</v>
      </c>
      <c r="AT566" s="71">
        <f t="shared" si="193"/>
        <v>0</v>
      </c>
      <c r="AV566" s="71">
        <f t="shared" si="194"/>
        <v>0</v>
      </c>
      <c r="AX566" s="71">
        <f t="shared" si="195"/>
        <v>0</v>
      </c>
      <c r="AZ566" s="71">
        <f t="shared" si="196"/>
        <v>0</v>
      </c>
      <c r="BE566" s="81">
        <f t="shared" si="197"/>
        <v>0</v>
      </c>
      <c r="BF566" s="81" t="str">
        <f t="shared" si="198"/>
        <v>BASSO</v>
      </c>
    </row>
    <row r="567" spans="7:58" x14ac:dyDescent="0.15">
      <c r="G567" s="64">
        <f t="shared" si="177"/>
        <v>0</v>
      </c>
      <c r="I567" s="64">
        <f t="shared" si="178"/>
        <v>0</v>
      </c>
      <c r="K567" s="64">
        <f t="shared" si="179"/>
        <v>0</v>
      </c>
      <c r="M567" s="64">
        <f t="shared" si="180"/>
        <v>0</v>
      </c>
      <c r="O567" s="64">
        <f t="shared" si="181"/>
        <v>0</v>
      </c>
      <c r="Q567" s="64">
        <f t="shared" si="182"/>
        <v>0</v>
      </c>
      <c r="S567" s="71">
        <f t="shared" si="183"/>
        <v>0</v>
      </c>
      <c r="U567" s="64">
        <f t="shared" si="184"/>
        <v>0</v>
      </c>
      <c r="W567" s="71">
        <f t="shared" si="185"/>
        <v>0</v>
      </c>
      <c r="Y567" s="71">
        <f t="shared" si="186"/>
        <v>0</v>
      </c>
      <c r="AA567" s="71">
        <f t="shared" si="187"/>
        <v>0</v>
      </c>
      <c r="AC567" s="71">
        <f t="shared" si="188"/>
        <v>0</v>
      </c>
      <c r="AK567" s="71">
        <f t="shared" si="189"/>
        <v>0</v>
      </c>
      <c r="AM567" s="71">
        <f t="shared" si="190"/>
        <v>0</v>
      </c>
      <c r="AO567" s="71">
        <f t="shared" si="191"/>
        <v>0</v>
      </c>
      <c r="AQ567" s="71">
        <f t="shared" si="192"/>
        <v>0</v>
      </c>
      <c r="AT567" s="71">
        <f t="shared" si="193"/>
        <v>0</v>
      </c>
      <c r="AV567" s="71">
        <f t="shared" si="194"/>
        <v>0</v>
      </c>
      <c r="AX567" s="71">
        <f t="shared" si="195"/>
        <v>0</v>
      </c>
      <c r="AZ567" s="71">
        <f t="shared" si="196"/>
        <v>0</v>
      </c>
      <c r="BE567" s="81">
        <f t="shared" si="197"/>
        <v>0</v>
      </c>
      <c r="BF567" s="81" t="str">
        <f t="shared" si="198"/>
        <v>BASSO</v>
      </c>
    </row>
    <row r="568" spans="7:58" x14ac:dyDescent="0.15">
      <c r="G568" s="64">
        <f t="shared" si="177"/>
        <v>0</v>
      </c>
      <c r="I568" s="64">
        <f t="shared" si="178"/>
        <v>0</v>
      </c>
      <c r="K568" s="64">
        <f t="shared" si="179"/>
        <v>0</v>
      </c>
      <c r="M568" s="64">
        <f t="shared" si="180"/>
        <v>0</v>
      </c>
      <c r="O568" s="64">
        <f t="shared" si="181"/>
        <v>0</v>
      </c>
      <c r="Q568" s="64">
        <f t="shared" si="182"/>
        <v>0</v>
      </c>
      <c r="S568" s="71">
        <f t="shared" si="183"/>
        <v>0</v>
      </c>
      <c r="U568" s="64">
        <f t="shared" si="184"/>
        <v>0</v>
      </c>
      <c r="W568" s="71">
        <f t="shared" si="185"/>
        <v>0</v>
      </c>
      <c r="Y568" s="71">
        <f t="shared" si="186"/>
        <v>0</v>
      </c>
      <c r="AA568" s="71">
        <f t="shared" si="187"/>
        <v>0</v>
      </c>
      <c r="AC568" s="71">
        <f t="shared" si="188"/>
        <v>0</v>
      </c>
      <c r="AK568" s="71">
        <f t="shared" si="189"/>
        <v>0</v>
      </c>
      <c r="AM568" s="71">
        <f t="shared" si="190"/>
        <v>0</v>
      </c>
      <c r="AO568" s="71">
        <f t="shared" si="191"/>
        <v>0</v>
      </c>
      <c r="AQ568" s="71">
        <f t="shared" si="192"/>
        <v>0</v>
      </c>
      <c r="AT568" s="71">
        <f t="shared" si="193"/>
        <v>0</v>
      </c>
      <c r="AV568" s="71">
        <f t="shared" si="194"/>
        <v>0</v>
      </c>
      <c r="AX568" s="71">
        <f t="shared" si="195"/>
        <v>0</v>
      </c>
      <c r="AZ568" s="71">
        <f t="shared" si="196"/>
        <v>0</v>
      </c>
      <c r="BE568" s="81">
        <f t="shared" si="197"/>
        <v>0</v>
      </c>
      <c r="BF568" s="81" t="str">
        <f t="shared" si="198"/>
        <v>BASSO</v>
      </c>
    </row>
    <row r="569" spans="7:58" x14ac:dyDescent="0.15">
      <c r="G569" s="64">
        <f t="shared" si="177"/>
        <v>0</v>
      </c>
      <c r="I569" s="64">
        <f t="shared" si="178"/>
        <v>0</v>
      </c>
      <c r="K569" s="64">
        <f t="shared" si="179"/>
        <v>0</v>
      </c>
      <c r="M569" s="64">
        <f t="shared" si="180"/>
        <v>0</v>
      </c>
      <c r="O569" s="64">
        <f t="shared" si="181"/>
        <v>0</v>
      </c>
      <c r="Q569" s="64">
        <f t="shared" si="182"/>
        <v>0</v>
      </c>
      <c r="S569" s="71">
        <f t="shared" si="183"/>
        <v>0</v>
      </c>
      <c r="U569" s="64">
        <f t="shared" si="184"/>
        <v>0</v>
      </c>
      <c r="W569" s="71">
        <f t="shared" si="185"/>
        <v>0</v>
      </c>
      <c r="Y569" s="71">
        <f t="shared" si="186"/>
        <v>0</v>
      </c>
      <c r="AA569" s="71">
        <f t="shared" si="187"/>
        <v>0</v>
      </c>
      <c r="AC569" s="71">
        <f t="shared" si="188"/>
        <v>0</v>
      </c>
      <c r="AK569" s="71">
        <f t="shared" si="189"/>
        <v>0</v>
      </c>
      <c r="AM569" s="71">
        <f t="shared" si="190"/>
        <v>0</v>
      </c>
      <c r="AO569" s="71">
        <f t="shared" si="191"/>
        <v>0</v>
      </c>
      <c r="AQ569" s="71">
        <f t="shared" si="192"/>
        <v>0</v>
      </c>
      <c r="AT569" s="71">
        <f t="shared" si="193"/>
        <v>0</v>
      </c>
      <c r="AV569" s="71">
        <f t="shared" si="194"/>
        <v>0</v>
      </c>
      <c r="AX569" s="71">
        <f t="shared" si="195"/>
        <v>0</v>
      </c>
      <c r="AZ569" s="71">
        <f t="shared" si="196"/>
        <v>0</v>
      </c>
      <c r="BE569" s="81">
        <f t="shared" si="197"/>
        <v>0</v>
      </c>
      <c r="BF569" s="81" t="str">
        <f t="shared" si="198"/>
        <v>BASSO</v>
      </c>
    </row>
    <row r="570" spans="7:58" x14ac:dyDescent="0.15">
      <c r="G570" s="64">
        <f t="shared" si="177"/>
        <v>0</v>
      </c>
      <c r="I570" s="64">
        <f t="shared" si="178"/>
        <v>0</v>
      </c>
      <c r="K570" s="64">
        <f t="shared" si="179"/>
        <v>0</v>
      </c>
      <c r="M570" s="64">
        <f t="shared" si="180"/>
        <v>0</v>
      </c>
      <c r="O570" s="64">
        <f t="shared" si="181"/>
        <v>0</v>
      </c>
      <c r="Q570" s="64">
        <f t="shared" si="182"/>
        <v>0</v>
      </c>
      <c r="S570" s="71">
        <f t="shared" si="183"/>
        <v>0</v>
      </c>
      <c r="U570" s="64">
        <f t="shared" si="184"/>
        <v>0</v>
      </c>
      <c r="W570" s="71">
        <f t="shared" si="185"/>
        <v>0</v>
      </c>
      <c r="Y570" s="71">
        <f t="shared" si="186"/>
        <v>0</v>
      </c>
      <c r="AA570" s="71">
        <f t="shared" si="187"/>
        <v>0</v>
      </c>
      <c r="AC570" s="71">
        <f t="shared" si="188"/>
        <v>0</v>
      </c>
      <c r="AK570" s="71">
        <f t="shared" si="189"/>
        <v>0</v>
      </c>
      <c r="AM570" s="71">
        <f t="shared" si="190"/>
        <v>0</v>
      </c>
      <c r="AO570" s="71">
        <f t="shared" si="191"/>
        <v>0</v>
      </c>
      <c r="AQ570" s="71">
        <f t="shared" si="192"/>
        <v>0</v>
      </c>
      <c r="AT570" s="71">
        <f t="shared" si="193"/>
        <v>0</v>
      </c>
      <c r="AV570" s="71">
        <f t="shared" si="194"/>
        <v>0</v>
      </c>
      <c r="AX570" s="71">
        <f t="shared" si="195"/>
        <v>0</v>
      </c>
      <c r="AZ570" s="71">
        <f t="shared" si="196"/>
        <v>0</v>
      </c>
      <c r="BE570" s="81">
        <f t="shared" si="197"/>
        <v>0</v>
      </c>
      <c r="BF570" s="81" t="str">
        <f t="shared" si="198"/>
        <v>BASSO</v>
      </c>
    </row>
    <row r="571" spans="7:58" x14ac:dyDescent="0.15">
      <c r="G571" s="64">
        <f t="shared" si="177"/>
        <v>0</v>
      </c>
      <c r="I571" s="64">
        <f t="shared" si="178"/>
        <v>0</v>
      </c>
      <c r="K571" s="64">
        <f t="shared" si="179"/>
        <v>0</v>
      </c>
      <c r="M571" s="64">
        <f t="shared" si="180"/>
        <v>0</v>
      </c>
      <c r="O571" s="64">
        <f t="shared" si="181"/>
        <v>0</v>
      </c>
      <c r="Q571" s="64">
        <f t="shared" si="182"/>
        <v>0</v>
      </c>
      <c r="S571" s="71">
        <f t="shared" si="183"/>
        <v>0</v>
      </c>
      <c r="U571" s="64">
        <f t="shared" si="184"/>
        <v>0</v>
      </c>
      <c r="W571" s="71">
        <f t="shared" si="185"/>
        <v>0</v>
      </c>
      <c r="Y571" s="71">
        <f t="shared" si="186"/>
        <v>0</v>
      </c>
      <c r="AA571" s="71">
        <f t="shared" si="187"/>
        <v>0</v>
      </c>
      <c r="AC571" s="71">
        <f t="shared" si="188"/>
        <v>0</v>
      </c>
      <c r="AK571" s="71">
        <f t="shared" si="189"/>
        <v>0</v>
      </c>
      <c r="AM571" s="71">
        <f t="shared" si="190"/>
        <v>0</v>
      </c>
      <c r="AO571" s="71">
        <f t="shared" si="191"/>
        <v>0</v>
      </c>
      <c r="AQ571" s="71">
        <f t="shared" si="192"/>
        <v>0</v>
      </c>
      <c r="AT571" s="71">
        <f t="shared" si="193"/>
        <v>0</v>
      </c>
      <c r="AV571" s="71">
        <f t="shared" si="194"/>
        <v>0</v>
      </c>
      <c r="AX571" s="71">
        <f t="shared" si="195"/>
        <v>0</v>
      </c>
      <c r="AZ571" s="71">
        <f t="shared" si="196"/>
        <v>0</v>
      </c>
      <c r="BE571" s="81">
        <f t="shared" si="197"/>
        <v>0</v>
      </c>
      <c r="BF571" s="81" t="str">
        <f t="shared" si="198"/>
        <v>BASSO</v>
      </c>
    </row>
    <row r="572" spans="7:58" x14ac:dyDescent="0.15">
      <c r="G572" s="64">
        <f t="shared" si="177"/>
        <v>0</v>
      </c>
      <c r="I572" s="64">
        <f t="shared" si="178"/>
        <v>0</v>
      </c>
      <c r="K572" s="64">
        <f t="shared" si="179"/>
        <v>0</v>
      </c>
      <c r="M572" s="64">
        <f t="shared" si="180"/>
        <v>0</v>
      </c>
      <c r="O572" s="64">
        <f t="shared" si="181"/>
        <v>0</v>
      </c>
      <c r="Q572" s="64">
        <f t="shared" si="182"/>
        <v>0</v>
      </c>
      <c r="S572" s="71">
        <f t="shared" si="183"/>
        <v>0</v>
      </c>
      <c r="U572" s="64">
        <f t="shared" si="184"/>
        <v>0</v>
      </c>
      <c r="W572" s="71">
        <f t="shared" si="185"/>
        <v>0</v>
      </c>
      <c r="Y572" s="71">
        <f t="shared" si="186"/>
        <v>0</v>
      </c>
      <c r="AA572" s="71">
        <f t="shared" si="187"/>
        <v>0</v>
      </c>
      <c r="AC572" s="71">
        <f t="shared" si="188"/>
        <v>0</v>
      </c>
      <c r="AK572" s="71">
        <f t="shared" si="189"/>
        <v>0</v>
      </c>
      <c r="AM572" s="71">
        <f t="shared" si="190"/>
        <v>0</v>
      </c>
      <c r="AO572" s="71">
        <f t="shared" si="191"/>
        <v>0</v>
      </c>
      <c r="AQ572" s="71">
        <f t="shared" si="192"/>
        <v>0</v>
      </c>
      <c r="AT572" s="71">
        <f t="shared" si="193"/>
        <v>0</v>
      </c>
      <c r="AV572" s="71">
        <f t="shared" si="194"/>
        <v>0</v>
      </c>
      <c r="AX572" s="71">
        <f t="shared" si="195"/>
        <v>0</v>
      </c>
      <c r="AZ572" s="71">
        <f t="shared" si="196"/>
        <v>0</v>
      </c>
      <c r="BE572" s="81">
        <f t="shared" si="197"/>
        <v>0</v>
      </c>
      <c r="BF572" s="81" t="str">
        <f t="shared" si="198"/>
        <v>BASSO</v>
      </c>
    </row>
    <row r="573" spans="7:58" x14ac:dyDescent="0.15">
      <c r="G573" s="64">
        <f t="shared" si="177"/>
        <v>0</v>
      </c>
      <c r="I573" s="64">
        <f t="shared" si="178"/>
        <v>0</v>
      </c>
      <c r="K573" s="64">
        <f t="shared" si="179"/>
        <v>0</v>
      </c>
      <c r="M573" s="64">
        <f t="shared" si="180"/>
        <v>0</v>
      </c>
      <c r="O573" s="64">
        <f t="shared" si="181"/>
        <v>0</v>
      </c>
      <c r="Q573" s="64">
        <f t="shared" si="182"/>
        <v>0</v>
      </c>
      <c r="S573" s="71">
        <f t="shared" si="183"/>
        <v>0</v>
      </c>
      <c r="U573" s="64">
        <f t="shared" si="184"/>
        <v>0</v>
      </c>
      <c r="W573" s="71">
        <f t="shared" si="185"/>
        <v>0</v>
      </c>
      <c r="Y573" s="71">
        <f t="shared" si="186"/>
        <v>0</v>
      </c>
      <c r="AA573" s="71">
        <f t="shared" si="187"/>
        <v>0</v>
      </c>
      <c r="AC573" s="71">
        <f t="shared" si="188"/>
        <v>0</v>
      </c>
      <c r="AK573" s="71">
        <f t="shared" si="189"/>
        <v>0</v>
      </c>
      <c r="AM573" s="71">
        <f t="shared" si="190"/>
        <v>0</v>
      </c>
      <c r="AO573" s="71">
        <f t="shared" si="191"/>
        <v>0</v>
      </c>
      <c r="AQ573" s="71">
        <f t="shared" si="192"/>
        <v>0</v>
      </c>
      <c r="AT573" s="71">
        <f t="shared" si="193"/>
        <v>0</v>
      </c>
      <c r="AV573" s="71">
        <f t="shared" si="194"/>
        <v>0</v>
      </c>
      <c r="AX573" s="71">
        <f t="shared" si="195"/>
        <v>0</v>
      </c>
      <c r="AZ573" s="71">
        <f t="shared" si="196"/>
        <v>0</v>
      </c>
      <c r="BE573" s="81">
        <f t="shared" si="197"/>
        <v>0</v>
      </c>
      <c r="BF573" s="81" t="str">
        <f t="shared" si="198"/>
        <v>BASSO</v>
      </c>
    </row>
    <row r="574" spans="7:58" x14ac:dyDescent="0.15">
      <c r="G574" s="64">
        <f t="shared" si="177"/>
        <v>0</v>
      </c>
      <c r="I574" s="64">
        <f t="shared" si="178"/>
        <v>0</v>
      </c>
      <c r="K574" s="64">
        <f t="shared" si="179"/>
        <v>0</v>
      </c>
      <c r="M574" s="64">
        <f t="shared" si="180"/>
        <v>0</v>
      </c>
      <c r="O574" s="64">
        <f t="shared" si="181"/>
        <v>0</v>
      </c>
      <c r="Q574" s="64">
        <f t="shared" si="182"/>
        <v>0</v>
      </c>
      <c r="S574" s="71">
        <f t="shared" si="183"/>
        <v>0</v>
      </c>
      <c r="U574" s="64">
        <f t="shared" si="184"/>
        <v>0</v>
      </c>
      <c r="W574" s="71">
        <f t="shared" si="185"/>
        <v>0</v>
      </c>
      <c r="Y574" s="71">
        <f t="shared" si="186"/>
        <v>0</v>
      </c>
      <c r="AA574" s="71">
        <f t="shared" si="187"/>
        <v>0</v>
      </c>
      <c r="AC574" s="71">
        <f t="shared" si="188"/>
        <v>0</v>
      </c>
      <c r="AK574" s="71">
        <f t="shared" si="189"/>
        <v>0</v>
      </c>
      <c r="AM574" s="71">
        <f t="shared" si="190"/>
        <v>0</v>
      </c>
      <c r="AO574" s="71">
        <f t="shared" si="191"/>
        <v>0</v>
      </c>
      <c r="AQ574" s="71">
        <f t="shared" si="192"/>
        <v>0</v>
      </c>
      <c r="AT574" s="71">
        <f t="shared" si="193"/>
        <v>0</v>
      </c>
      <c r="AV574" s="71">
        <f t="shared" si="194"/>
        <v>0</v>
      </c>
      <c r="AX574" s="71">
        <f t="shared" si="195"/>
        <v>0</v>
      </c>
      <c r="AZ574" s="71">
        <f t="shared" si="196"/>
        <v>0</v>
      </c>
      <c r="BE574" s="81">
        <f t="shared" si="197"/>
        <v>0</v>
      </c>
      <c r="BF574" s="81" t="str">
        <f t="shared" si="198"/>
        <v>BASSO</v>
      </c>
    </row>
    <row r="575" spans="7:58" x14ac:dyDescent="0.15">
      <c r="G575" s="64">
        <f t="shared" si="177"/>
        <v>0</v>
      </c>
      <c r="I575" s="64">
        <f t="shared" si="178"/>
        <v>0</v>
      </c>
      <c r="K575" s="64">
        <f t="shared" si="179"/>
        <v>0</v>
      </c>
      <c r="M575" s="64">
        <f t="shared" si="180"/>
        <v>0</v>
      </c>
      <c r="O575" s="64">
        <f t="shared" si="181"/>
        <v>0</v>
      </c>
      <c r="Q575" s="64">
        <f t="shared" si="182"/>
        <v>0</v>
      </c>
      <c r="S575" s="71">
        <f t="shared" si="183"/>
        <v>0</v>
      </c>
      <c r="U575" s="64">
        <f t="shared" si="184"/>
        <v>0</v>
      </c>
      <c r="W575" s="71">
        <f t="shared" si="185"/>
        <v>0</v>
      </c>
      <c r="Y575" s="71">
        <f t="shared" si="186"/>
        <v>0</v>
      </c>
      <c r="AA575" s="71">
        <f t="shared" si="187"/>
        <v>0</v>
      </c>
      <c r="AC575" s="71">
        <f t="shared" si="188"/>
        <v>0</v>
      </c>
      <c r="AK575" s="71">
        <f t="shared" si="189"/>
        <v>0</v>
      </c>
      <c r="AM575" s="71">
        <f t="shared" si="190"/>
        <v>0</v>
      </c>
      <c r="AO575" s="71">
        <f t="shared" si="191"/>
        <v>0</v>
      </c>
      <c r="AQ575" s="71">
        <f t="shared" si="192"/>
        <v>0</v>
      </c>
      <c r="AT575" s="71">
        <f t="shared" si="193"/>
        <v>0</v>
      </c>
      <c r="AV575" s="71">
        <f t="shared" si="194"/>
        <v>0</v>
      </c>
      <c r="AX575" s="71">
        <f t="shared" si="195"/>
        <v>0</v>
      </c>
      <c r="AZ575" s="71">
        <f t="shared" si="196"/>
        <v>0</v>
      </c>
      <c r="BE575" s="81">
        <f t="shared" si="197"/>
        <v>0</v>
      </c>
      <c r="BF575" s="81" t="str">
        <f t="shared" si="198"/>
        <v>BASSO</v>
      </c>
    </row>
    <row r="576" spans="7:58" x14ac:dyDescent="0.15">
      <c r="G576" s="64">
        <f t="shared" si="177"/>
        <v>0</v>
      </c>
      <c r="I576" s="64">
        <f t="shared" si="178"/>
        <v>0</v>
      </c>
      <c r="K576" s="64">
        <f t="shared" si="179"/>
        <v>0</v>
      </c>
      <c r="M576" s="64">
        <f t="shared" si="180"/>
        <v>0</v>
      </c>
      <c r="O576" s="64">
        <f t="shared" si="181"/>
        <v>0</v>
      </c>
      <c r="Q576" s="64">
        <f t="shared" si="182"/>
        <v>0</v>
      </c>
      <c r="S576" s="71">
        <f t="shared" si="183"/>
        <v>0</v>
      </c>
      <c r="U576" s="64">
        <f t="shared" si="184"/>
        <v>0</v>
      </c>
      <c r="W576" s="71">
        <f t="shared" si="185"/>
        <v>0</v>
      </c>
      <c r="Y576" s="71">
        <f t="shared" si="186"/>
        <v>0</v>
      </c>
      <c r="AA576" s="71">
        <f t="shared" si="187"/>
        <v>0</v>
      </c>
      <c r="AC576" s="71">
        <f t="shared" si="188"/>
        <v>0</v>
      </c>
      <c r="AK576" s="71">
        <f t="shared" si="189"/>
        <v>0</v>
      </c>
      <c r="AM576" s="71">
        <f t="shared" si="190"/>
        <v>0</v>
      </c>
      <c r="AO576" s="71">
        <f t="shared" si="191"/>
        <v>0</v>
      </c>
      <c r="AQ576" s="71">
        <f t="shared" si="192"/>
        <v>0</v>
      </c>
      <c r="AT576" s="71">
        <f t="shared" si="193"/>
        <v>0</v>
      </c>
      <c r="AV576" s="71">
        <f t="shared" si="194"/>
        <v>0</v>
      </c>
      <c r="AX576" s="71">
        <f t="shared" si="195"/>
        <v>0</v>
      </c>
      <c r="AZ576" s="71">
        <f t="shared" si="196"/>
        <v>0</v>
      </c>
      <c r="BE576" s="81">
        <f t="shared" si="197"/>
        <v>0</v>
      </c>
      <c r="BF576" s="81" t="str">
        <f t="shared" si="198"/>
        <v>BASSO</v>
      </c>
    </row>
    <row r="577" spans="7:58" x14ac:dyDescent="0.15">
      <c r="G577" s="64">
        <f t="shared" si="177"/>
        <v>0</v>
      </c>
      <c r="I577" s="64">
        <f t="shared" si="178"/>
        <v>0</v>
      </c>
      <c r="K577" s="64">
        <f t="shared" si="179"/>
        <v>0</v>
      </c>
      <c r="M577" s="64">
        <f t="shared" si="180"/>
        <v>0</v>
      </c>
      <c r="O577" s="64">
        <f t="shared" si="181"/>
        <v>0</v>
      </c>
      <c r="Q577" s="64">
        <f t="shared" si="182"/>
        <v>0</v>
      </c>
      <c r="S577" s="71">
        <f t="shared" si="183"/>
        <v>0</v>
      </c>
      <c r="U577" s="64">
        <f t="shared" si="184"/>
        <v>0</v>
      </c>
      <c r="W577" s="71">
        <f t="shared" si="185"/>
        <v>0</v>
      </c>
      <c r="Y577" s="71">
        <f t="shared" si="186"/>
        <v>0</v>
      </c>
      <c r="AA577" s="71">
        <f t="shared" si="187"/>
        <v>0</v>
      </c>
      <c r="AC577" s="71">
        <f t="shared" si="188"/>
        <v>0</v>
      </c>
      <c r="AK577" s="71">
        <f t="shared" si="189"/>
        <v>0</v>
      </c>
      <c r="AM577" s="71">
        <f t="shared" si="190"/>
        <v>0</v>
      </c>
      <c r="AO577" s="71">
        <f t="shared" si="191"/>
        <v>0</v>
      </c>
      <c r="AQ577" s="71">
        <f t="shared" si="192"/>
        <v>0</v>
      </c>
      <c r="AT577" s="71">
        <f t="shared" si="193"/>
        <v>0</v>
      </c>
      <c r="AV577" s="71">
        <f t="shared" si="194"/>
        <v>0</v>
      </c>
      <c r="AX577" s="71">
        <f t="shared" si="195"/>
        <v>0</v>
      </c>
      <c r="AZ577" s="71">
        <f t="shared" si="196"/>
        <v>0</v>
      </c>
      <c r="BE577" s="81">
        <f t="shared" si="197"/>
        <v>0</v>
      </c>
      <c r="BF577" s="81" t="str">
        <f t="shared" si="198"/>
        <v>BASSO</v>
      </c>
    </row>
    <row r="578" spans="7:58" x14ac:dyDescent="0.15">
      <c r="G578" s="64">
        <f t="shared" ref="G578:G641" si="199">F579/2</f>
        <v>0</v>
      </c>
      <c r="I578" s="64">
        <f t="shared" si="178"/>
        <v>0</v>
      </c>
      <c r="K578" s="64">
        <f t="shared" si="179"/>
        <v>0</v>
      </c>
      <c r="M578" s="64">
        <f t="shared" si="180"/>
        <v>0</v>
      </c>
      <c r="O578" s="64">
        <f t="shared" si="181"/>
        <v>0</v>
      </c>
      <c r="Q578" s="64">
        <f t="shared" si="182"/>
        <v>0</v>
      </c>
      <c r="S578" s="71">
        <f t="shared" si="183"/>
        <v>0</v>
      </c>
      <c r="U578" s="64">
        <f t="shared" si="184"/>
        <v>0</v>
      </c>
      <c r="W578" s="71">
        <f t="shared" si="185"/>
        <v>0</v>
      </c>
      <c r="Y578" s="71">
        <f t="shared" si="186"/>
        <v>0</v>
      </c>
      <c r="AA578" s="71">
        <f t="shared" si="187"/>
        <v>0</v>
      </c>
      <c r="AC578" s="71">
        <f t="shared" si="188"/>
        <v>0</v>
      </c>
      <c r="AK578" s="71">
        <f t="shared" si="189"/>
        <v>0</v>
      </c>
      <c r="AM578" s="71">
        <f t="shared" si="190"/>
        <v>0</v>
      </c>
      <c r="AO578" s="71">
        <f t="shared" si="191"/>
        <v>0</v>
      </c>
      <c r="AQ578" s="71">
        <f t="shared" si="192"/>
        <v>0</v>
      </c>
      <c r="AT578" s="71">
        <f t="shared" si="193"/>
        <v>0</v>
      </c>
      <c r="AV578" s="71">
        <f t="shared" si="194"/>
        <v>0</v>
      </c>
      <c r="AX578" s="71">
        <f t="shared" si="195"/>
        <v>0</v>
      </c>
      <c r="AZ578" s="71">
        <f t="shared" si="196"/>
        <v>0</v>
      </c>
      <c r="BE578" s="81">
        <f t="shared" si="197"/>
        <v>0</v>
      </c>
      <c r="BF578" s="81" t="str">
        <f t="shared" si="198"/>
        <v>BASSO</v>
      </c>
    </row>
    <row r="579" spans="7:58" x14ac:dyDescent="0.15">
      <c r="G579" s="64">
        <f t="shared" si="199"/>
        <v>0</v>
      </c>
      <c r="I579" s="64">
        <f t="shared" ref="I579:I642" si="200">H579/2</f>
        <v>0</v>
      </c>
      <c r="K579" s="64">
        <f t="shared" ref="K579:K642" si="201">J579/2</f>
        <v>0</v>
      </c>
      <c r="M579" s="64">
        <f t="shared" ref="M579:M642" si="202">L579/3</f>
        <v>0</v>
      </c>
      <c r="O579" s="64">
        <f t="shared" ref="O579:O642" si="203">N579/5</f>
        <v>0</v>
      </c>
      <c r="Q579" s="64">
        <f t="shared" ref="Q579:Q642" si="204">P579/3</f>
        <v>0</v>
      </c>
      <c r="S579" s="71">
        <f t="shared" ref="S579:S642" si="205">R579/3</f>
        <v>0</v>
      </c>
      <c r="U579" s="64">
        <f t="shared" ref="U579:U642" si="206">T579/3</f>
        <v>0</v>
      </c>
      <c r="W579" s="71">
        <f t="shared" ref="W579:W642" si="207">V579/4</f>
        <v>0</v>
      </c>
      <c r="Y579" s="71">
        <f t="shared" ref="Y579:Y642" si="208">X579/3</f>
        <v>0</v>
      </c>
      <c r="AA579" s="71">
        <f t="shared" ref="AA579:AA642" si="209">Z579/3</f>
        <v>0</v>
      </c>
      <c r="AC579" s="71">
        <f t="shared" ref="AC579:AC642" si="210">AB579/2</f>
        <v>0</v>
      </c>
      <c r="AK579" s="71">
        <f t="shared" ref="AK579:AK642" si="211">AJ579/2</f>
        <v>0</v>
      </c>
      <c r="AM579" s="71">
        <f t="shared" ref="AM579:AM642" si="212">AL579/3</f>
        <v>0</v>
      </c>
      <c r="AO579" s="71">
        <f t="shared" ref="AO579:AO642" si="213">AN579/3</f>
        <v>0</v>
      </c>
      <c r="AQ579" s="71">
        <f t="shared" ref="AQ579:AQ642" si="214">AP579/3</f>
        <v>0</v>
      </c>
      <c r="AT579" s="71">
        <f t="shared" ref="AT579:AT642" si="215">AS579/3</f>
        <v>0</v>
      </c>
      <c r="AV579" s="71">
        <f t="shared" ref="AV579:AV642" si="216">AU579/3</f>
        <v>0</v>
      </c>
      <c r="AX579" s="71">
        <f t="shared" ref="AX579:AX642" si="217">AW579/2</f>
        <v>0</v>
      </c>
      <c r="AZ579" s="71">
        <f t="shared" ref="AZ579:AZ642" si="218">AY579/3</f>
        <v>0</v>
      </c>
      <c r="BE579" s="81">
        <f t="shared" ref="BE579:BE642" si="219">AVERAGE(F579,I579,K579,M579,O579,Q579,S579,U579,W579,Y579,AA579,AC579,AK579,AM579,AO579,AQ579,AT579,AV579,AX579,AZ579)</f>
        <v>0</v>
      </c>
      <c r="BF579" s="81" t="str">
        <f t="shared" ref="BF579:BF642" si="220">IF(BE579="","",IF(VALUE(BE579)&lt;0.34,"BASSO",IF(VALUE(BE579)&lt;=0.66,"MEDIO","ALTO")))</f>
        <v>BASSO</v>
      </c>
    </row>
    <row r="580" spans="7:58" x14ac:dyDescent="0.15">
      <c r="G580" s="64">
        <f t="shared" si="199"/>
        <v>0</v>
      </c>
      <c r="I580" s="64">
        <f t="shared" si="200"/>
        <v>0</v>
      </c>
      <c r="K580" s="64">
        <f t="shared" si="201"/>
        <v>0</v>
      </c>
      <c r="M580" s="64">
        <f t="shared" si="202"/>
        <v>0</v>
      </c>
      <c r="O580" s="64">
        <f t="shared" si="203"/>
        <v>0</v>
      </c>
      <c r="Q580" s="64">
        <f t="shared" si="204"/>
        <v>0</v>
      </c>
      <c r="S580" s="71">
        <f t="shared" si="205"/>
        <v>0</v>
      </c>
      <c r="U580" s="64">
        <f t="shared" si="206"/>
        <v>0</v>
      </c>
      <c r="W580" s="71">
        <f t="shared" si="207"/>
        <v>0</v>
      </c>
      <c r="Y580" s="71">
        <f t="shared" si="208"/>
        <v>0</v>
      </c>
      <c r="AA580" s="71">
        <f t="shared" si="209"/>
        <v>0</v>
      </c>
      <c r="AC580" s="71">
        <f t="shared" si="210"/>
        <v>0</v>
      </c>
      <c r="AK580" s="71">
        <f t="shared" si="211"/>
        <v>0</v>
      </c>
      <c r="AM580" s="71">
        <f t="shared" si="212"/>
        <v>0</v>
      </c>
      <c r="AO580" s="71">
        <f t="shared" si="213"/>
        <v>0</v>
      </c>
      <c r="AQ580" s="71">
        <f t="shared" si="214"/>
        <v>0</v>
      </c>
      <c r="AT580" s="71">
        <f t="shared" si="215"/>
        <v>0</v>
      </c>
      <c r="AV580" s="71">
        <f t="shared" si="216"/>
        <v>0</v>
      </c>
      <c r="AX580" s="71">
        <f t="shared" si="217"/>
        <v>0</v>
      </c>
      <c r="AZ580" s="71">
        <f t="shared" si="218"/>
        <v>0</v>
      </c>
      <c r="BE580" s="81">
        <f t="shared" si="219"/>
        <v>0</v>
      </c>
      <c r="BF580" s="81" t="str">
        <f t="shared" si="220"/>
        <v>BASSO</v>
      </c>
    </row>
    <row r="581" spans="7:58" x14ac:dyDescent="0.15">
      <c r="G581" s="64">
        <f t="shared" si="199"/>
        <v>0</v>
      </c>
      <c r="I581" s="64">
        <f t="shared" si="200"/>
        <v>0</v>
      </c>
      <c r="K581" s="64">
        <f t="shared" si="201"/>
        <v>0</v>
      </c>
      <c r="M581" s="64">
        <f t="shared" si="202"/>
        <v>0</v>
      </c>
      <c r="O581" s="64">
        <f t="shared" si="203"/>
        <v>0</v>
      </c>
      <c r="Q581" s="64">
        <f t="shared" si="204"/>
        <v>0</v>
      </c>
      <c r="S581" s="71">
        <f t="shared" si="205"/>
        <v>0</v>
      </c>
      <c r="U581" s="64">
        <f t="shared" si="206"/>
        <v>0</v>
      </c>
      <c r="W581" s="71">
        <f t="shared" si="207"/>
        <v>0</v>
      </c>
      <c r="Y581" s="71">
        <f t="shared" si="208"/>
        <v>0</v>
      </c>
      <c r="AA581" s="71">
        <f t="shared" si="209"/>
        <v>0</v>
      </c>
      <c r="AC581" s="71">
        <f t="shared" si="210"/>
        <v>0</v>
      </c>
      <c r="AK581" s="71">
        <f t="shared" si="211"/>
        <v>0</v>
      </c>
      <c r="AM581" s="71">
        <f t="shared" si="212"/>
        <v>0</v>
      </c>
      <c r="AO581" s="71">
        <f t="shared" si="213"/>
        <v>0</v>
      </c>
      <c r="AQ581" s="71">
        <f t="shared" si="214"/>
        <v>0</v>
      </c>
      <c r="AT581" s="71">
        <f t="shared" si="215"/>
        <v>0</v>
      </c>
      <c r="AV581" s="71">
        <f t="shared" si="216"/>
        <v>0</v>
      </c>
      <c r="AX581" s="71">
        <f t="shared" si="217"/>
        <v>0</v>
      </c>
      <c r="AZ581" s="71">
        <f t="shared" si="218"/>
        <v>0</v>
      </c>
      <c r="BE581" s="81">
        <f t="shared" si="219"/>
        <v>0</v>
      </c>
      <c r="BF581" s="81" t="str">
        <f t="shared" si="220"/>
        <v>BASSO</v>
      </c>
    </row>
    <row r="582" spans="7:58" x14ac:dyDescent="0.15">
      <c r="G582" s="64">
        <f t="shared" si="199"/>
        <v>0</v>
      </c>
      <c r="I582" s="64">
        <f t="shared" si="200"/>
        <v>0</v>
      </c>
      <c r="K582" s="64">
        <f t="shared" si="201"/>
        <v>0</v>
      </c>
      <c r="M582" s="64">
        <f t="shared" si="202"/>
        <v>0</v>
      </c>
      <c r="O582" s="64">
        <f t="shared" si="203"/>
        <v>0</v>
      </c>
      <c r="Q582" s="64">
        <f t="shared" si="204"/>
        <v>0</v>
      </c>
      <c r="S582" s="71">
        <f t="shared" si="205"/>
        <v>0</v>
      </c>
      <c r="U582" s="64">
        <f t="shared" si="206"/>
        <v>0</v>
      </c>
      <c r="W582" s="71">
        <f t="shared" si="207"/>
        <v>0</v>
      </c>
      <c r="Y582" s="71">
        <f t="shared" si="208"/>
        <v>0</v>
      </c>
      <c r="AA582" s="71">
        <f t="shared" si="209"/>
        <v>0</v>
      </c>
      <c r="AC582" s="71">
        <f t="shared" si="210"/>
        <v>0</v>
      </c>
      <c r="AK582" s="71">
        <f t="shared" si="211"/>
        <v>0</v>
      </c>
      <c r="AM582" s="71">
        <f t="shared" si="212"/>
        <v>0</v>
      </c>
      <c r="AO582" s="71">
        <f t="shared" si="213"/>
        <v>0</v>
      </c>
      <c r="AQ582" s="71">
        <f t="shared" si="214"/>
        <v>0</v>
      </c>
      <c r="AT582" s="71">
        <f t="shared" si="215"/>
        <v>0</v>
      </c>
      <c r="AV582" s="71">
        <f t="shared" si="216"/>
        <v>0</v>
      </c>
      <c r="AX582" s="71">
        <f t="shared" si="217"/>
        <v>0</v>
      </c>
      <c r="AZ582" s="71">
        <f t="shared" si="218"/>
        <v>0</v>
      </c>
      <c r="BE582" s="81">
        <f t="shared" si="219"/>
        <v>0</v>
      </c>
      <c r="BF582" s="81" t="str">
        <f t="shared" si="220"/>
        <v>BASSO</v>
      </c>
    </row>
    <row r="583" spans="7:58" x14ac:dyDescent="0.15">
      <c r="G583" s="64">
        <f t="shared" si="199"/>
        <v>0</v>
      </c>
      <c r="I583" s="64">
        <f t="shared" si="200"/>
        <v>0</v>
      </c>
      <c r="K583" s="64">
        <f t="shared" si="201"/>
        <v>0</v>
      </c>
      <c r="M583" s="64">
        <f t="shared" si="202"/>
        <v>0</v>
      </c>
      <c r="O583" s="64">
        <f t="shared" si="203"/>
        <v>0</v>
      </c>
      <c r="Q583" s="64">
        <f t="shared" si="204"/>
        <v>0</v>
      </c>
      <c r="S583" s="71">
        <f t="shared" si="205"/>
        <v>0</v>
      </c>
      <c r="U583" s="64">
        <f t="shared" si="206"/>
        <v>0</v>
      </c>
      <c r="W583" s="71">
        <f t="shared" si="207"/>
        <v>0</v>
      </c>
      <c r="Y583" s="71">
        <f t="shared" si="208"/>
        <v>0</v>
      </c>
      <c r="AA583" s="71">
        <f t="shared" si="209"/>
        <v>0</v>
      </c>
      <c r="AC583" s="71">
        <f t="shared" si="210"/>
        <v>0</v>
      </c>
      <c r="AK583" s="71">
        <f t="shared" si="211"/>
        <v>0</v>
      </c>
      <c r="AM583" s="71">
        <f t="shared" si="212"/>
        <v>0</v>
      </c>
      <c r="AO583" s="71">
        <f t="shared" si="213"/>
        <v>0</v>
      </c>
      <c r="AQ583" s="71">
        <f t="shared" si="214"/>
        <v>0</v>
      </c>
      <c r="AT583" s="71">
        <f t="shared" si="215"/>
        <v>0</v>
      </c>
      <c r="AV583" s="71">
        <f t="shared" si="216"/>
        <v>0</v>
      </c>
      <c r="AX583" s="71">
        <f t="shared" si="217"/>
        <v>0</v>
      </c>
      <c r="AZ583" s="71">
        <f t="shared" si="218"/>
        <v>0</v>
      </c>
      <c r="BE583" s="81">
        <f t="shared" si="219"/>
        <v>0</v>
      </c>
      <c r="BF583" s="81" t="str">
        <f t="shared" si="220"/>
        <v>BASSO</v>
      </c>
    </row>
    <row r="584" spans="7:58" x14ac:dyDescent="0.15">
      <c r="G584" s="64">
        <f t="shared" si="199"/>
        <v>0</v>
      </c>
      <c r="I584" s="64">
        <f t="shared" si="200"/>
        <v>0</v>
      </c>
      <c r="K584" s="64">
        <f t="shared" si="201"/>
        <v>0</v>
      </c>
      <c r="M584" s="64">
        <f t="shared" si="202"/>
        <v>0</v>
      </c>
      <c r="O584" s="64">
        <f t="shared" si="203"/>
        <v>0</v>
      </c>
      <c r="Q584" s="64">
        <f t="shared" si="204"/>
        <v>0</v>
      </c>
      <c r="S584" s="71">
        <f t="shared" si="205"/>
        <v>0</v>
      </c>
      <c r="U584" s="64">
        <f t="shared" si="206"/>
        <v>0</v>
      </c>
      <c r="W584" s="71">
        <f t="shared" si="207"/>
        <v>0</v>
      </c>
      <c r="Y584" s="71">
        <f t="shared" si="208"/>
        <v>0</v>
      </c>
      <c r="AA584" s="71">
        <f t="shared" si="209"/>
        <v>0</v>
      </c>
      <c r="AC584" s="71">
        <f t="shared" si="210"/>
        <v>0</v>
      </c>
      <c r="AK584" s="71">
        <f t="shared" si="211"/>
        <v>0</v>
      </c>
      <c r="AM584" s="71">
        <f t="shared" si="212"/>
        <v>0</v>
      </c>
      <c r="AO584" s="71">
        <f t="shared" si="213"/>
        <v>0</v>
      </c>
      <c r="AQ584" s="71">
        <f t="shared" si="214"/>
        <v>0</v>
      </c>
      <c r="AT584" s="71">
        <f t="shared" si="215"/>
        <v>0</v>
      </c>
      <c r="AV584" s="71">
        <f t="shared" si="216"/>
        <v>0</v>
      </c>
      <c r="AX584" s="71">
        <f t="shared" si="217"/>
        <v>0</v>
      </c>
      <c r="AZ584" s="71">
        <f t="shared" si="218"/>
        <v>0</v>
      </c>
      <c r="BE584" s="81">
        <f t="shared" si="219"/>
        <v>0</v>
      </c>
      <c r="BF584" s="81" t="str">
        <f t="shared" si="220"/>
        <v>BASSO</v>
      </c>
    </row>
    <row r="585" spans="7:58" x14ac:dyDescent="0.15">
      <c r="G585" s="64">
        <f t="shared" si="199"/>
        <v>0</v>
      </c>
      <c r="I585" s="64">
        <f t="shared" si="200"/>
        <v>0</v>
      </c>
      <c r="K585" s="64">
        <f t="shared" si="201"/>
        <v>0</v>
      </c>
      <c r="M585" s="64">
        <f t="shared" si="202"/>
        <v>0</v>
      </c>
      <c r="O585" s="64">
        <f t="shared" si="203"/>
        <v>0</v>
      </c>
      <c r="Q585" s="64">
        <f t="shared" si="204"/>
        <v>0</v>
      </c>
      <c r="S585" s="71">
        <f t="shared" si="205"/>
        <v>0</v>
      </c>
      <c r="U585" s="64">
        <f t="shared" si="206"/>
        <v>0</v>
      </c>
      <c r="W585" s="71">
        <f t="shared" si="207"/>
        <v>0</v>
      </c>
      <c r="Y585" s="71">
        <f t="shared" si="208"/>
        <v>0</v>
      </c>
      <c r="AA585" s="71">
        <f t="shared" si="209"/>
        <v>0</v>
      </c>
      <c r="AC585" s="71">
        <f t="shared" si="210"/>
        <v>0</v>
      </c>
      <c r="AK585" s="71">
        <f t="shared" si="211"/>
        <v>0</v>
      </c>
      <c r="AM585" s="71">
        <f t="shared" si="212"/>
        <v>0</v>
      </c>
      <c r="AO585" s="71">
        <f t="shared" si="213"/>
        <v>0</v>
      </c>
      <c r="AQ585" s="71">
        <f t="shared" si="214"/>
        <v>0</v>
      </c>
      <c r="AT585" s="71">
        <f t="shared" si="215"/>
        <v>0</v>
      </c>
      <c r="AV585" s="71">
        <f t="shared" si="216"/>
        <v>0</v>
      </c>
      <c r="AX585" s="71">
        <f t="shared" si="217"/>
        <v>0</v>
      </c>
      <c r="AZ585" s="71">
        <f t="shared" si="218"/>
        <v>0</v>
      </c>
      <c r="BE585" s="81">
        <f t="shared" si="219"/>
        <v>0</v>
      </c>
      <c r="BF585" s="81" t="str">
        <f t="shared" si="220"/>
        <v>BASSO</v>
      </c>
    </row>
    <row r="586" spans="7:58" x14ac:dyDescent="0.15">
      <c r="G586" s="64">
        <f t="shared" si="199"/>
        <v>0</v>
      </c>
      <c r="I586" s="64">
        <f t="shared" si="200"/>
        <v>0</v>
      </c>
      <c r="K586" s="64">
        <f t="shared" si="201"/>
        <v>0</v>
      </c>
      <c r="M586" s="64">
        <f t="shared" si="202"/>
        <v>0</v>
      </c>
      <c r="O586" s="64">
        <f t="shared" si="203"/>
        <v>0</v>
      </c>
      <c r="Q586" s="64">
        <f t="shared" si="204"/>
        <v>0</v>
      </c>
      <c r="S586" s="71">
        <f t="shared" si="205"/>
        <v>0</v>
      </c>
      <c r="U586" s="64">
        <f t="shared" si="206"/>
        <v>0</v>
      </c>
      <c r="W586" s="71">
        <f t="shared" si="207"/>
        <v>0</v>
      </c>
      <c r="Y586" s="71">
        <f t="shared" si="208"/>
        <v>0</v>
      </c>
      <c r="AA586" s="71">
        <f t="shared" si="209"/>
        <v>0</v>
      </c>
      <c r="AC586" s="71">
        <f t="shared" si="210"/>
        <v>0</v>
      </c>
      <c r="AK586" s="71">
        <f t="shared" si="211"/>
        <v>0</v>
      </c>
      <c r="AM586" s="71">
        <f t="shared" si="212"/>
        <v>0</v>
      </c>
      <c r="AO586" s="71">
        <f t="shared" si="213"/>
        <v>0</v>
      </c>
      <c r="AQ586" s="71">
        <f t="shared" si="214"/>
        <v>0</v>
      </c>
      <c r="AT586" s="71">
        <f t="shared" si="215"/>
        <v>0</v>
      </c>
      <c r="AV586" s="71">
        <f t="shared" si="216"/>
        <v>0</v>
      </c>
      <c r="AX586" s="71">
        <f t="shared" si="217"/>
        <v>0</v>
      </c>
      <c r="AZ586" s="71">
        <f t="shared" si="218"/>
        <v>0</v>
      </c>
      <c r="BE586" s="81">
        <f t="shared" si="219"/>
        <v>0</v>
      </c>
      <c r="BF586" s="81" t="str">
        <f t="shared" si="220"/>
        <v>BASSO</v>
      </c>
    </row>
    <row r="587" spans="7:58" x14ac:dyDescent="0.15">
      <c r="G587" s="64">
        <f t="shared" si="199"/>
        <v>0</v>
      </c>
      <c r="I587" s="64">
        <f t="shared" si="200"/>
        <v>0</v>
      </c>
      <c r="K587" s="64">
        <f t="shared" si="201"/>
        <v>0</v>
      </c>
      <c r="M587" s="64">
        <f t="shared" si="202"/>
        <v>0</v>
      </c>
      <c r="O587" s="64">
        <f t="shared" si="203"/>
        <v>0</v>
      </c>
      <c r="Q587" s="64">
        <f t="shared" si="204"/>
        <v>0</v>
      </c>
      <c r="S587" s="71">
        <f t="shared" si="205"/>
        <v>0</v>
      </c>
      <c r="U587" s="64">
        <f t="shared" si="206"/>
        <v>0</v>
      </c>
      <c r="W587" s="71">
        <f t="shared" si="207"/>
        <v>0</v>
      </c>
      <c r="Y587" s="71">
        <f t="shared" si="208"/>
        <v>0</v>
      </c>
      <c r="AA587" s="71">
        <f t="shared" si="209"/>
        <v>0</v>
      </c>
      <c r="AC587" s="71">
        <f t="shared" si="210"/>
        <v>0</v>
      </c>
      <c r="AK587" s="71">
        <f t="shared" si="211"/>
        <v>0</v>
      </c>
      <c r="AM587" s="71">
        <f t="shared" si="212"/>
        <v>0</v>
      </c>
      <c r="AO587" s="71">
        <f t="shared" si="213"/>
        <v>0</v>
      </c>
      <c r="AQ587" s="71">
        <f t="shared" si="214"/>
        <v>0</v>
      </c>
      <c r="AT587" s="71">
        <f t="shared" si="215"/>
        <v>0</v>
      </c>
      <c r="AV587" s="71">
        <f t="shared" si="216"/>
        <v>0</v>
      </c>
      <c r="AX587" s="71">
        <f t="shared" si="217"/>
        <v>0</v>
      </c>
      <c r="AZ587" s="71">
        <f t="shared" si="218"/>
        <v>0</v>
      </c>
      <c r="BE587" s="81">
        <f t="shared" si="219"/>
        <v>0</v>
      </c>
      <c r="BF587" s="81" t="str">
        <f t="shared" si="220"/>
        <v>BASSO</v>
      </c>
    </row>
    <row r="588" spans="7:58" x14ac:dyDescent="0.15">
      <c r="G588" s="64">
        <f t="shared" si="199"/>
        <v>0</v>
      </c>
      <c r="I588" s="64">
        <f t="shared" si="200"/>
        <v>0</v>
      </c>
      <c r="K588" s="64">
        <f t="shared" si="201"/>
        <v>0</v>
      </c>
      <c r="M588" s="64">
        <f t="shared" si="202"/>
        <v>0</v>
      </c>
      <c r="O588" s="64">
        <f t="shared" si="203"/>
        <v>0</v>
      </c>
      <c r="Q588" s="64">
        <f t="shared" si="204"/>
        <v>0</v>
      </c>
      <c r="S588" s="71">
        <f t="shared" si="205"/>
        <v>0</v>
      </c>
      <c r="U588" s="64">
        <f t="shared" si="206"/>
        <v>0</v>
      </c>
      <c r="W588" s="71">
        <f t="shared" si="207"/>
        <v>0</v>
      </c>
      <c r="Y588" s="71">
        <f t="shared" si="208"/>
        <v>0</v>
      </c>
      <c r="AA588" s="71">
        <f t="shared" si="209"/>
        <v>0</v>
      </c>
      <c r="AC588" s="71">
        <f t="shared" si="210"/>
        <v>0</v>
      </c>
      <c r="AK588" s="71">
        <f t="shared" si="211"/>
        <v>0</v>
      </c>
      <c r="AM588" s="71">
        <f t="shared" si="212"/>
        <v>0</v>
      </c>
      <c r="AO588" s="71">
        <f t="shared" si="213"/>
        <v>0</v>
      </c>
      <c r="AQ588" s="71">
        <f t="shared" si="214"/>
        <v>0</v>
      </c>
      <c r="AT588" s="71">
        <f t="shared" si="215"/>
        <v>0</v>
      </c>
      <c r="AV588" s="71">
        <f t="shared" si="216"/>
        <v>0</v>
      </c>
      <c r="AX588" s="71">
        <f t="shared" si="217"/>
        <v>0</v>
      </c>
      <c r="AZ588" s="71">
        <f t="shared" si="218"/>
        <v>0</v>
      </c>
      <c r="BE588" s="81">
        <f t="shared" si="219"/>
        <v>0</v>
      </c>
      <c r="BF588" s="81" t="str">
        <f t="shared" si="220"/>
        <v>BASSO</v>
      </c>
    </row>
    <row r="589" spans="7:58" x14ac:dyDescent="0.15">
      <c r="G589" s="64">
        <f t="shared" si="199"/>
        <v>0</v>
      </c>
      <c r="I589" s="64">
        <f t="shared" si="200"/>
        <v>0</v>
      </c>
      <c r="K589" s="64">
        <f t="shared" si="201"/>
        <v>0</v>
      </c>
      <c r="M589" s="64">
        <f t="shared" si="202"/>
        <v>0</v>
      </c>
      <c r="O589" s="64">
        <f t="shared" si="203"/>
        <v>0</v>
      </c>
      <c r="Q589" s="64">
        <f t="shared" si="204"/>
        <v>0</v>
      </c>
      <c r="S589" s="71">
        <f t="shared" si="205"/>
        <v>0</v>
      </c>
      <c r="U589" s="64">
        <f t="shared" si="206"/>
        <v>0</v>
      </c>
      <c r="W589" s="71">
        <f t="shared" si="207"/>
        <v>0</v>
      </c>
      <c r="Y589" s="71">
        <f t="shared" si="208"/>
        <v>0</v>
      </c>
      <c r="AA589" s="71">
        <f t="shared" si="209"/>
        <v>0</v>
      </c>
      <c r="AC589" s="71">
        <f t="shared" si="210"/>
        <v>0</v>
      </c>
      <c r="AK589" s="71">
        <f t="shared" si="211"/>
        <v>0</v>
      </c>
      <c r="AM589" s="71">
        <f t="shared" si="212"/>
        <v>0</v>
      </c>
      <c r="AO589" s="71">
        <f t="shared" si="213"/>
        <v>0</v>
      </c>
      <c r="AQ589" s="71">
        <f t="shared" si="214"/>
        <v>0</v>
      </c>
      <c r="AT589" s="71">
        <f t="shared" si="215"/>
        <v>0</v>
      </c>
      <c r="AV589" s="71">
        <f t="shared" si="216"/>
        <v>0</v>
      </c>
      <c r="AX589" s="71">
        <f t="shared" si="217"/>
        <v>0</v>
      </c>
      <c r="AZ589" s="71">
        <f t="shared" si="218"/>
        <v>0</v>
      </c>
      <c r="BE589" s="81">
        <f t="shared" si="219"/>
        <v>0</v>
      </c>
      <c r="BF589" s="81" t="str">
        <f t="shared" si="220"/>
        <v>BASSO</v>
      </c>
    </row>
    <row r="590" spans="7:58" x14ac:dyDescent="0.15">
      <c r="G590" s="64">
        <f t="shared" si="199"/>
        <v>0</v>
      </c>
      <c r="I590" s="64">
        <f t="shared" si="200"/>
        <v>0</v>
      </c>
      <c r="K590" s="64">
        <f t="shared" si="201"/>
        <v>0</v>
      </c>
      <c r="M590" s="64">
        <f t="shared" si="202"/>
        <v>0</v>
      </c>
      <c r="O590" s="64">
        <f t="shared" si="203"/>
        <v>0</v>
      </c>
      <c r="Q590" s="64">
        <f t="shared" si="204"/>
        <v>0</v>
      </c>
      <c r="S590" s="71">
        <f t="shared" si="205"/>
        <v>0</v>
      </c>
      <c r="U590" s="64">
        <f t="shared" si="206"/>
        <v>0</v>
      </c>
      <c r="W590" s="71">
        <f t="shared" si="207"/>
        <v>0</v>
      </c>
      <c r="Y590" s="71">
        <f t="shared" si="208"/>
        <v>0</v>
      </c>
      <c r="AA590" s="71">
        <f t="shared" si="209"/>
        <v>0</v>
      </c>
      <c r="AC590" s="71">
        <f t="shared" si="210"/>
        <v>0</v>
      </c>
      <c r="AK590" s="71">
        <f t="shared" si="211"/>
        <v>0</v>
      </c>
      <c r="AM590" s="71">
        <f t="shared" si="212"/>
        <v>0</v>
      </c>
      <c r="AO590" s="71">
        <f t="shared" si="213"/>
        <v>0</v>
      </c>
      <c r="AQ590" s="71">
        <f t="shared" si="214"/>
        <v>0</v>
      </c>
      <c r="AT590" s="71">
        <f t="shared" si="215"/>
        <v>0</v>
      </c>
      <c r="AV590" s="71">
        <f t="shared" si="216"/>
        <v>0</v>
      </c>
      <c r="AX590" s="71">
        <f t="shared" si="217"/>
        <v>0</v>
      </c>
      <c r="AZ590" s="71">
        <f t="shared" si="218"/>
        <v>0</v>
      </c>
      <c r="BE590" s="81">
        <f t="shared" si="219"/>
        <v>0</v>
      </c>
      <c r="BF590" s="81" t="str">
        <f t="shared" si="220"/>
        <v>BASSO</v>
      </c>
    </row>
    <row r="591" spans="7:58" x14ac:dyDescent="0.15">
      <c r="G591" s="64">
        <f t="shared" si="199"/>
        <v>0</v>
      </c>
      <c r="I591" s="64">
        <f t="shared" si="200"/>
        <v>0</v>
      </c>
      <c r="K591" s="64">
        <f t="shared" si="201"/>
        <v>0</v>
      </c>
      <c r="M591" s="64">
        <f t="shared" si="202"/>
        <v>0</v>
      </c>
      <c r="O591" s="64">
        <f t="shared" si="203"/>
        <v>0</v>
      </c>
      <c r="Q591" s="64">
        <f t="shared" si="204"/>
        <v>0</v>
      </c>
      <c r="S591" s="71">
        <f t="shared" si="205"/>
        <v>0</v>
      </c>
      <c r="U591" s="64">
        <f t="shared" si="206"/>
        <v>0</v>
      </c>
      <c r="W591" s="71">
        <f t="shared" si="207"/>
        <v>0</v>
      </c>
      <c r="Y591" s="71">
        <f t="shared" si="208"/>
        <v>0</v>
      </c>
      <c r="AA591" s="71">
        <f t="shared" si="209"/>
        <v>0</v>
      </c>
      <c r="AC591" s="71">
        <f t="shared" si="210"/>
        <v>0</v>
      </c>
      <c r="AK591" s="71">
        <f t="shared" si="211"/>
        <v>0</v>
      </c>
      <c r="AM591" s="71">
        <f t="shared" si="212"/>
        <v>0</v>
      </c>
      <c r="AO591" s="71">
        <f t="shared" si="213"/>
        <v>0</v>
      </c>
      <c r="AQ591" s="71">
        <f t="shared" si="214"/>
        <v>0</v>
      </c>
      <c r="AT591" s="71">
        <f t="shared" si="215"/>
        <v>0</v>
      </c>
      <c r="AV591" s="71">
        <f t="shared" si="216"/>
        <v>0</v>
      </c>
      <c r="AX591" s="71">
        <f t="shared" si="217"/>
        <v>0</v>
      </c>
      <c r="AZ591" s="71">
        <f t="shared" si="218"/>
        <v>0</v>
      </c>
      <c r="BE591" s="81">
        <f t="shared" si="219"/>
        <v>0</v>
      </c>
      <c r="BF591" s="81" t="str">
        <f t="shared" si="220"/>
        <v>BASSO</v>
      </c>
    </row>
    <row r="592" spans="7:58" x14ac:dyDescent="0.15">
      <c r="G592" s="64">
        <f t="shared" si="199"/>
        <v>0</v>
      </c>
      <c r="I592" s="64">
        <f t="shared" si="200"/>
        <v>0</v>
      </c>
      <c r="K592" s="64">
        <f t="shared" si="201"/>
        <v>0</v>
      </c>
      <c r="M592" s="64">
        <f t="shared" si="202"/>
        <v>0</v>
      </c>
      <c r="O592" s="64">
        <f t="shared" si="203"/>
        <v>0</v>
      </c>
      <c r="Q592" s="64">
        <f t="shared" si="204"/>
        <v>0</v>
      </c>
      <c r="S592" s="71">
        <f t="shared" si="205"/>
        <v>0</v>
      </c>
      <c r="U592" s="64">
        <f t="shared" si="206"/>
        <v>0</v>
      </c>
      <c r="W592" s="71">
        <f t="shared" si="207"/>
        <v>0</v>
      </c>
      <c r="Y592" s="71">
        <f t="shared" si="208"/>
        <v>0</v>
      </c>
      <c r="AA592" s="71">
        <f t="shared" si="209"/>
        <v>0</v>
      </c>
      <c r="AC592" s="71">
        <f t="shared" si="210"/>
        <v>0</v>
      </c>
      <c r="AK592" s="71">
        <f t="shared" si="211"/>
        <v>0</v>
      </c>
      <c r="AM592" s="71">
        <f t="shared" si="212"/>
        <v>0</v>
      </c>
      <c r="AO592" s="71">
        <f t="shared" si="213"/>
        <v>0</v>
      </c>
      <c r="AQ592" s="71">
        <f t="shared" si="214"/>
        <v>0</v>
      </c>
      <c r="AT592" s="71">
        <f t="shared" si="215"/>
        <v>0</v>
      </c>
      <c r="AV592" s="71">
        <f t="shared" si="216"/>
        <v>0</v>
      </c>
      <c r="AX592" s="71">
        <f t="shared" si="217"/>
        <v>0</v>
      </c>
      <c r="AZ592" s="71">
        <f t="shared" si="218"/>
        <v>0</v>
      </c>
      <c r="BE592" s="81">
        <f t="shared" si="219"/>
        <v>0</v>
      </c>
      <c r="BF592" s="81" t="str">
        <f t="shared" si="220"/>
        <v>BASSO</v>
      </c>
    </row>
    <row r="593" spans="7:58" x14ac:dyDescent="0.15">
      <c r="G593" s="64">
        <f t="shared" si="199"/>
        <v>0</v>
      </c>
      <c r="I593" s="64">
        <f t="shared" si="200"/>
        <v>0</v>
      </c>
      <c r="K593" s="64">
        <f t="shared" si="201"/>
        <v>0</v>
      </c>
      <c r="M593" s="64">
        <f t="shared" si="202"/>
        <v>0</v>
      </c>
      <c r="O593" s="64">
        <f t="shared" si="203"/>
        <v>0</v>
      </c>
      <c r="Q593" s="64">
        <f t="shared" si="204"/>
        <v>0</v>
      </c>
      <c r="S593" s="71">
        <f t="shared" si="205"/>
        <v>0</v>
      </c>
      <c r="U593" s="64">
        <f t="shared" si="206"/>
        <v>0</v>
      </c>
      <c r="W593" s="71">
        <f t="shared" si="207"/>
        <v>0</v>
      </c>
      <c r="Y593" s="71">
        <f t="shared" si="208"/>
        <v>0</v>
      </c>
      <c r="AA593" s="71">
        <f t="shared" si="209"/>
        <v>0</v>
      </c>
      <c r="AC593" s="71">
        <f t="shared" si="210"/>
        <v>0</v>
      </c>
      <c r="AK593" s="71">
        <f t="shared" si="211"/>
        <v>0</v>
      </c>
      <c r="AM593" s="71">
        <f t="shared" si="212"/>
        <v>0</v>
      </c>
      <c r="AO593" s="71">
        <f t="shared" si="213"/>
        <v>0</v>
      </c>
      <c r="AQ593" s="71">
        <f t="shared" si="214"/>
        <v>0</v>
      </c>
      <c r="AT593" s="71">
        <f t="shared" si="215"/>
        <v>0</v>
      </c>
      <c r="AV593" s="71">
        <f t="shared" si="216"/>
        <v>0</v>
      </c>
      <c r="AX593" s="71">
        <f t="shared" si="217"/>
        <v>0</v>
      </c>
      <c r="AZ593" s="71">
        <f t="shared" si="218"/>
        <v>0</v>
      </c>
      <c r="BE593" s="81">
        <f t="shared" si="219"/>
        <v>0</v>
      </c>
      <c r="BF593" s="81" t="str">
        <f t="shared" si="220"/>
        <v>BASSO</v>
      </c>
    </row>
    <row r="594" spans="7:58" x14ac:dyDescent="0.15">
      <c r="G594" s="64">
        <f t="shared" si="199"/>
        <v>0</v>
      </c>
      <c r="I594" s="64">
        <f t="shared" si="200"/>
        <v>0</v>
      </c>
      <c r="K594" s="64">
        <f t="shared" si="201"/>
        <v>0</v>
      </c>
      <c r="M594" s="64">
        <f t="shared" si="202"/>
        <v>0</v>
      </c>
      <c r="O594" s="64">
        <f t="shared" si="203"/>
        <v>0</v>
      </c>
      <c r="Q594" s="64">
        <f t="shared" si="204"/>
        <v>0</v>
      </c>
      <c r="S594" s="71">
        <f t="shared" si="205"/>
        <v>0</v>
      </c>
      <c r="U594" s="64">
        <f t="shared" si="206"/>
        <v>0</v>
      </c>
      <c r="W594" s="71">
        <f t="shared" si="207"/>
        <v>0</v>
      </c>
      <c r="Y594" s="71">
        <f t="shared" si="208"/>
        <v>0</v>
      </c>
      <c r="AA594" s="71">
        <f t="shared" si="209"/>
        <v>0</v>
      </c>
      <c r="AC594" s="71">
        <f t="shared" si="210"/>
        <v>0</v>
      </c>
      <c r="AK594" s="71">
        <f t="shared" si="211"/>
        <v>0</v>
      </c>
      <c r="AM594" s="71">
        <f t="shared" si="212"/>
        <v>0</v>
      </c>
      <c r="AO594" s="71">
        <f t="shared" si="213"/>
        <v>0</v>
      </c>
      <c r="AQ594" s="71">
        <f t="shared" si="214"/>
        <v>0</v>
      </c>
      <c r="AT594" s="71">
        <f t="shared" si="215"/>
        <v>0</v>
      </c>
      <c r="AV594" s="71">
        <f t="shared" si="216"/>
        <v>0</v>
      </c>
      <c r="AX594" s="71">
        <f t="shared" si="217"/>
        <v>0</v>
      </c>
      <c r="AZ594" s="71">
        <f t="shared" si="218"/>
        <v>0</v>
      </c>
      <c r="BE594" s="81">
        <f t="shared" si="219"/>
        <v>0</v>
      </c>
      <c r="BF594" s="81" t="str">
        <f t="shared" si="220"/>
        <v>BASSO</v>
      </c>
    </row>
    <row r="595" spans="7:58" x14ac:dyDescent="0.15">
      <c r="G595" s="64">
        <f t="shared" si="199"/>
        <v>0</v>
      </c>
      <c r="I595" s="64">
        <f t="shared" si="200"/>
        <v>0</v>
      </c>
      <c r="K595" s="64">
        <f t="shared" si="201"/>
        <v>0</v>
      </c>
      <c r="M595" s="64">
        <f t="shared" si="202"/>
        <v>0</v>
      </c>
      <c r="O595" s="64">
        <f t="shared" si="203"/>
        <v>0</v>
      </c>
      <c r="Q595" s="64">
        <f t="shared" si="204"/>
        <v>0</v>
      </c>
      <c r="S595" s="71">
        <f t="shared" si="205"/>
        <v>0</v>
      </c>
      <c r="U595" s="64">
        <f t="shared" si="206"/>
        <v>0</v>
      </c>
      <c r="W595" s="71">
        <f t="shared" si="207"/>
        <v>0</v>
      </c>
      <c r="Y595" s="71">
        <f t="shared" si="208"/>
        <v>0</v>
      </c>
      <c r="AA595" s="71">
        <f t="shared" si="209"/>
        <v>0</v>
      </c>
      <c r="AC595" s="71">
        <f t="shared" si="210"/>
        <v>0</v>
      </c>
      <c r="AK595" s="71">
        <f t="shared" si="211"/>
        <v>0</v>
      </c>
      <c r="AM595" s="71">
        <f t="shared" si="212"/>
        <v>0</v>
      </c>
      <c r="AO595" s="71">
        <f t="shared" si="213"/>
        <v>0</v>
      </c>
      <c r="AQ595" s="71">
        <f t="shared" si="214"/>
        <v>0</v>
      </c>
      <c r="AT595" s="71">
        <f t="shared" si="215"/>
        <v>0</v>
      </c>
      <c r="AV595" s="71">
        <f t="shared" si="216"/>
        <v>0</v>
      </c>
      <c r="AX595" s="71">
        <f t="shared" si="217"/>
        <v>0</v>
      </c>
      <c r="AZ595" s="71">
        <f t="shared" si="218"/>
        <v>0</v>
      </c>
      <c r="BE595" s="81">
        <f t="shared" si="219"/>
        <v>0</v>
      </c>
      <c r="BF595" s="81" t="str">
        <f t="shared" si="220"/>
        <v>BASSO</v>
      </c>
    </row>
    <row r="596" spans="7:58" x14ac:dyDescent="0.15">
      <c r="G596" s="64">
        <f t="shared" si="199"/>
        <v>0</v>
      </c>
      <c r="I596" s="64">
        <f t="shared" si="200"/>
        <v>0</v>
      </c>
      <c r="K596" s="64">
        <f t="shared" si="201"/>
        <v>0</v>
      </c>
      <c r="M596" s="64">
        <f t="shared" si="202"/>
        <v>0</v>
      </c>
      <c r="O596" s="64">
        <f t="shared" si="203"/>
        <v>0</v>
      </c>
      <c r="Q596" s="64">
        <f t="shared" si="204"/>
        <v>0</v>
      </c>
      <c r="S596" s="71">
        <f t="shared" si="205"/>
        <v>0</v>
      </c>
      <c r="U596" s="64">
        <f t="shared" si="206"/>
        <v>0</v>
      </c>
      <c r="W596" s="71">
        <f t="shared" si="207"/>
        <v>0</v>
      </c>
      <c r="Y596" s="71">
        <f t="shared" si="208"/>
        <v>0</v>
      </c>
      <c r="AA596" s="71">
        <f t="shared" si="209"/>
        <v>0</v>
      </c>
      <c r="AC596" s="71">
        <f t="shared" si="210"/>
        <v>0</v>
      </c>
      <c r="AK596" s="71">
        <f t="shared" si="211"/>
        <v>0</v>
      </c>
      <c r="AM596" s="71">
        <f t="shared" si="212"/>
        <v>0</v>
      </c>
      <c r="AO596" s="71">
        <f t="shared" si="213"/>
        <v>0</v>
      </c>
      <c r="AQ596" s="71">
        <f t="shared" si="214"/>
        <v>0</v>
      </c>
      <c r="AT596" s="71">
        <f t="shared" si="215"/>
        <v>0</v>
      </c>
      <c r="AV596" s="71">
        <f t="shared" si="216"/>
        <v>0</v>
      </c>
      <c r="AX596" s="71">
        <f t="shared" si="217"/>
        <v>0</v>
      </c>
      <c r="AZ596" s="71">
        <f t="shared" si="218"/>
        <v>0</v>
      </c>
      <c r="BE596" s="81">
        <f t="shared" si="219"/>
        <v>0</v>
      </c>
      <c r="BF596" s="81" t="str">
        <f t="shared" si="220"/>
        <v>BASSO</v>
      </c>
    </row>
    <row r="597" spans="7:58" x14ac:dyDescent="0.15">
      <c r="G597" s="64">
        <f t="shared" si="199"/>
        <v>0</v>
      </c>
      <c r="I597" s="64">
        <f t="shared" si="200"/>
        <v>0</v>
      </c>
      <c r="K597" s="64">
        <f t="shared" si="201"/>
        <v>0</v>
      </c>
      <c r="M597" s="64">
        <f t="shared" si="202"/>
        <v>0</v>
      </c>
      <c r="O597" s="64">
        <f t="shared" si="203"/>
        <v>0</v>
      </c>
      <c r="Q597" s="64">
        <f t="shared" si="204"/>
        <v>0</v>
      </c>
      <c r="S597" s="71">
        <f t="shared" si="205"/>
        <v>0</v>
      </c>
      <c r="U597" s="64">
        <f t="shared" si="206"/>
        <v>0</v>
      </c>
      <c r="W597" s="71">
        <f t="shared" si="207"/>
        <v>0</v>
      </c>
      <c r="Y597" s="71">
        <f t="shared" si="208"/>
        <v>0</v>
      </c>
      <c r="AA597" s="71">
        <f t="shared" si="209"/>
        <v>0</v>
      </c>
      <c r="AC597" s="71">
        <f t="shared" si="210"/>
        <v>0</v>
      </c>
      <c r="AK597" s="71">
        <f t="shared" si="211"/>
        <v>0</v>
      </c>
      <c r="AM597" s="71">
        <f t="shared" si="212"/>
        <v>0</v>
      </c>
      <c r="AO597" s="71">
        <f t="shared" si="213"/>
        <v>0</v>
      </c>
      <c r="AQ597" s="71">
        <f t="shared" si="214"/>
        <v>0</v>
      </c>
      <c r="AT597" s="71">
        <f t="shared" si="215"/>
        <v>0</v>
      </c>
      <c r="AV597" s="71">
        <f t="shared" si="216"/>
        <v>0</v>
      </c>
      <c r="AX597" s="71">
        <f t="shared" si="217"/>
        <v>0</v>
      </c>
      <c r="AZ597" s="71">
        <f t="shared" si="218"/>
        <v>0</v>
      </c>
      <c r="BE597" s="81">
        <f t="shared" si="219"/>
        <v>0</v>
      </c>
      <c r="BF597" s="81" t="str">
        <f t="shared" si="220"/>
        <v>BASSO</v>
      </c>
    </row>
    <row r="598" spans="7:58" x14ac:dyDescent="0.15">
      <c r="G598" s="64">
        <f t="shared" si="199"/>
        <v>0</v>
      </c>
      <c r="I598" s="64">
        <f t="shared" si="200"/>
        <v>0</v>
      </c>
      <c r="K598" s="64">
        <f t="shared" si="201"/>
        <v>0</v>
      </c>
      <c r="M598" s="64">
        <f t="shared" si="202"/>
        <v>0</v>
      </c>
      <c r="O598" s="64">
        <f t="shared" si="203"/>
        <v>0</v>
      </c>
      <c r="Q598" s="64">
        <f t="shared" si="204"/>
        <v>0</v>
      </c>
      <c r="S598" s="71">
        <f t="shared" si="205"/>
        <v>0</v>
      </c>
      <c r="U598" s="64">
        <f t="shared" si="206"/>
        <v>0</v>
      </c>
      <c r="W598" s="71">
        <f t="shared" si="207"/>
        <v>0</v>
      </c>
      <c r="Y598" s="71">
        <f t="shared" si="208"/>
        <v>0</v>
      </c>
      <c r="AA598" s="71">
        <f t="shared" si="209"/>
        <v>0</v>
      </c>
      <c r="AC598" s="71">
        <f t="shared" si="210"/>
        <v>0</v>
      </c>
      <c r="AK598" s="71">
        <f t="shared" si="211"/>
        <v>0</v>
      </c>
      <c r="AM598" s="71">
        <f t="shared" si="212"/>
        <v>0</v>
      </c>
      <c r="AO598" s="71">
        <f t="shared" si="213"/>
        <v>0</v>
      </c>
      <c r="AQ598" s="71">
        <f t="shared" si="214"/>
        <v>0</v>
      </c>
      <c r="AT598" s="71">
        <f t="shared" si="215"/>
        <v>0</v>
      </c>
      <c r="AV598" s="71">
        <f t="shared" si="216"/>
        <v>0</v>
      </c>
      <c r="AX598" s="71">
        <f t="shared" si="217"/>
        <v>0</v>
      </c>
      <c r="AZ598" s="71">
        <f t="shared" si="218"/>
        <v>0</v>
      </c>
      <c r="BE598" s="81">
        <f t="shared" si="219"/>
        <v>0</v>
      </c>
      <c r="BF598" s="81" t="str">
        <f t="shared" si="220"/>
        <v>BASSO</v>
      </c>
    </row>
    <row r="599" spans="7:58" x14ac:dyDescent="0.15">
      <c r="G599" s="64">
        <f t="shared" si="199"/>
        <v>0</v>
      </c>
      <c r="I599" s="64">
        <f t="shared" si="200"/>
        <v>0</v>
      </c>
      <c r="K599" s="64">
        <f t="shared" si="201"/>
        <v>0</v>
      </c>
      <c r="M599" s="64">
        <f t="shared" si="202"/>
        <v>0</v>
      </c>
      <c r="O599" s="64">
        <f t="shared" si="203"/>
        <v>0</v>
      </c>
      <c r="Q599" s="64">
        <f t="shared" si="204"/>
        <v>0</v>
      </c>
      <c r="S599" s="71">
        <f t="shared" si="205"/>
        <v>0</v>
      </c>
      <c r="U599" s="64">
        <f t="shared" si="206"/>
        <v>0</v>
      </c>
      <c r="W599" s="71">
        <f t="shared" si="207"/>
        <v>0</v>
      </c>
      <c r="Y599" s="71">
        <f t="shared" si="208"/>
        <v>0</v>
      </c>
      <c r="AA599" s="71">
        <f t="shared" si="209"/>
        <v>0</v>
      </c>
      <c r="AC599" s="71">
        <f t="shared" si="210"/>
        <v>0</v>
      </c>
      <c r="AK599" s="71">
        <f t="shared" si="211"/>
        <v>0</v>
      </c>
      <c r="AM599" s="71">
        <f t="shared" si="212"/>
        <v>0</v>
      </c>
      <c r="AO599" s="71">
        <f t="shared" si="213"/>
        <v>0</v>
      </c>
      <c r="AQ599" s="71">
        <f t="shared" si="214"/>
        <v>0</v>
      </c>
      <c r="AT599" s="71">
        <f t="shared" si="215"/>
        <v>0</v>
      </c>
      <c r="AV599" s="71">
        <f t="shared" si="216"/>
        <v>0</v>
      </c>
      <c r="AX599" s="71">
        <f t="shared" si="217"/>
        <v>0</v>
      </c>
      <c r="AZ599" s="71">
        <f t="shared" si="218"/>
        <v>0</v>
      </c>
      <c r="BE599" s="81">
        <f t="shared" si="219"/>
        <v>0</v>
      </c>
      <c r="BF599" s="81" t="str">
        <f t="shared" si="220"/>
        <v>BASSO</v>
      </c>
    </row>
    <row r="600" spans="7:58" x14ac:dyDescent="0.15">
      <c r="G600" s="64">
        <f t="shared" si="199"/>
        <v>0</v>
      </c>
      <c r="I600" s="64">
        <f t="shared" si="200"/>
        <v>0</v>
      </c>
      <c r="K600" s="64">
        <f t="shared" si="201"/>
        <v>0</v>
      </c>
      <c r="M600" s="64">
        <f t="shared" si="202"/>
        <v>0</v>
      </c>
      <c r="O600" s="64">
        <f t="shared" si="203"/>
        <v>0</v>
      </c>
      <c r="Q600" s="64">
        <f t="shared" si="204"/>
        <v>0</v>
      </c>
      <c r="S600" s="71">
        <f t="shared" si="205"/>
        <v>0</v>
      </c>
      <c r="U600" s="64">
        <f t="shared" si="206"/>
        <v>0</v>
      </c>
      <c r="W600" s="71">
        <f t="shared" si="207"/>
        <v>0</v>
      </c>
      <c r="Y600" s="71">
        <f t="shared" si="208"/>
        <v>0</v>
      </c>
      <c r="AA600" s="71">
        <f t="shared" si="209"/>
        <v>0</v>
      </c>
      <c r="AC600" s="71">
        <f t="shared" si="210"/>
        <v>0</v>
      </c>
      <c r="AK600" s="71">
        <f t="shared" si="211"/>
        <v>0</v>
      </c>
      <c r="AM600" s="71">
        <f t="shared" si="212"/>
        <v>0</v>
      </c>
      <c r="AO600" s="71">
        <f t="shared" si="213"/>
        <v>0</v>
      </c>
      <c r="AQ600" s="71">
        <f t="shared" si="214"/>
        <v>0</v>
      </c>
      <c r="AT600" s="71">
        <f t="shared" si="215"/>
        <v>0</v>
      </c>
      <c r="AV600" s="71">
        <f t="shared" si="216"/>
        <v>0</v>
      </c>
      <c r="AX600" s="71">
        <f t="shared" si="217"/>
        <v>0</v>
      </c>
      <c r="AZ600" s="71">
        <f t="shared" si="218"/>
        <v>0</v>
      </c>
      <c r="BE600" s="81">
        <f t="shared" si="219"/>
        <v>0</v>
      </c>
      <c r="BF600" s="81" t="str">
        <f t="shared" si="220"/>
        <v>BASSO</v>
      </c>
    </row>
    <row r="601" spans="7:58" x14ac:dyDescent="0.15">
      <c r="G601" s="64">
        <f t="shared" si="199"/>
        <v>0</v>
      </c>
      <c r="I601" s="64">
        <f t="shared" si="200"/>
        <v>0</v>
      </c>
      <c r="K601" s="64">
        <f t="shared" si="201"/>
        <v>0</v>
      </c>
      <c r="M601" s="64">
        <f t="shared" si="202"/>
        <v>0</v>
      </c>
      <c r="O601" s="64">
        <f t="shared" si="203"/>
        <v>0</v>
      </c>
      <c r="Q601" s="64">
        <f t="shared" si="204"/>
        <v>0</v>
      </c>
      <c r="S601" s="71">
        <f t="shared" si="205"/>
        <v>0</v>
      </c>
      <c r="U601" s="64">
        <f t="shared" si="206"/>
        <v>0</v>
      </c>
      <c r="W601" s="71">
        <f t="shared" si="207"/>
        <v>0</v>
      </c>
      <c r="Y601" s="71">
        <f t="shared" si="208"/>
        <v>0</v>
      </c>
      <c r="AA601" s="71">
        <f t="shared" si="209"/>
        <v>0</v>
      </c>
      <c r="AC601" s="71">
        <f t="shared" si="210"/>
        <v>0</v>
      </c>
      <c r="AK601" s="71">
        <f t="shared" si="211"/>
        <v>0</v>
      </c>
      <c r="AM601" s="71">
        <f t="shared" si="212"/>
        <v>0</v>
      </c>
      <c r="AO601" s="71">
        <f t="shared" si="213"/>
        <v>0</v>
      </c>
      <c r="AQ601" s="71">
        <f t="shared" si="214"/>
        <v>0</v>
      </c>
      <c r="AT601" s="71">
        <f t="shared" si="215"/>
        <v>0</v>
      </c>
      <c r="AV601" s="71">
        <f t="shared" si="216"/>
        <v>0</v>
      </c>
      <c r="AX601" s="71">
        <f t="shared" si="217"/>
        <v>0</v>
      </c>
      <c r="AZ601" s="71">
        <f t="shared" si="218"/>
        <v>0</v>
      </c>
      <c r="BE601" s="81">
        <f t="shared" si="219"/>
        <v>0</v>
      </c>
      <c r="BF601" s="81" t="str">
        <f t="shared" si="220"/>
        <v>BASSO</v>
      </c>
    </row>
    <row r="602" spans="7:58" x14ac:dyDescent="0.15">
      <c r="G602" s="64">
        <f t="shared" si="199"/>
        <v>0</v>
      </c>
      <c r="I602" s="64">
        <f t="shared" si="200"/>
        <v>0</v>
      </c>
      <c r="K602" s="64">
        <f t="shared" si="201"/>
        <v>0</v>
      </c>
      <c r="M602" s="64">
        <f t="shared" si="202"/>
        <v>0</v>
      </c>
      <c r="O602" s="64">
        <f t="shared" si="203"/>
        <v>0</v>
      </c>
      <c r="Q602" s="64">
        <f t="shared" si="204"/>
        <v>0</v>
      </c>
      <c r="S602" s="71">
        <f t="shared" si="205"/>
        <v>0</v>
      </c>
      <c r="U602" s="64">
        <f t="shared" si="206"/>
        <v>0</v>
      </c>
      <c r="W602" s="71">
        <f t="shared" si="207"/>
        <v>0</v>
      </c>
      <c r="Y602" s="71">
        <f t="shared" si="208"/>
        <v>0</v>
      </c>
      <c r="AA602" s="71">
        <f t="shared" si="209"/>
        <v>0</v>
      </c>
      <c r="AC602" s="71">
        <f t="shared" si="210"/>
        <v>0</v>
      </c>
      <c r="AK602" s="71">
        <f t="shared" si="211"/>
        <v>0</v>
      </c>
      <c r="AM602" s="71">
        <f t="shared" si="212"/>
        <v>0</v>
      </c>
      <c r="AO602" s="71">
        <f t="shared" si="213"/>
        <v>0</v>
      </c>
      <c r="AQ602" s="71">
        <f t="shared" si="214"/>
        <v>0</v>
      </c>
      <c r="AT602" s="71">
        <f t="shared" si="215"/>
        <v>0</v>
      </c>
      <c r="AV602" s="71">
        <f t="shared" si="216"/>
        <v>0</v>
      </c>
      <c r="AX602" s="71">
        <f t="shared" si="217"/>
        <v>0</v>
      </c>
      <c r="AZ602" s="71">
        <f t="shared" si="218"/>
        <v>0</v>
      </c>
      <c r="BE602" s="81">
        <f t="shared" si="219"/>
        <v>0</v>
      </c>
      <c r="BF602" s="81" t="str">
        <f t="shared" si="220"/>
        <v>BASSO</v>
      </c>
    </row>
    <row r="603" spans="7:58" x14ac:dyDescent="0.15">
      <c r="G603" s="64">
        <f t="shared" si="199"/>
        <v>0</v>
      </c>
      <c r="I603" s="64">
        <f t="shared" si="200"/>
        <v>0</v>
      </c>
      <c r="K603" s="64">
        <f t="shared" si="201"/>
        <v>0</v>
      </c>
      <c r="M603" s="64">
        <f t="shared" si="202"/>
        <v>0</v>
      </c>
      <c r="O603" s="64">
        <f t="shared" si="203"/>
        <v>0</v>
      </c>
      <c r="Q603" s="64">
        <f t="shared" si="204"/>
        <v>0</v>
      </c>
      <c r="S603" s="71">
        <f t="shared" si="205"/>
        <v>0</v>
      </c>
      <c r="U603" s="64">
        <f t="shared" si="206"/>
        <v>0</v>
      </c>
      <c r="W603" s="71">
        <f t="shared" si="207"/>
        <v>0</v>
      </c>
      <c r="Y603" s="71">
        <f t="shared" si="208"/>
        <v>0</v>
      </c>
      <c r="AA603" s="71">
        <f t="shared" si="209"/>
        <v>0</v>
      </c>
      <c r="AC603" s="71">
        <f t="shared" si="210"/>
        <v>0</v>
      </c>
      <c r="AK603" s="71">
        <f t="shared" si="211"/>
        <v>0</v>
      </c>
      <c r="AM603" s="71">
        <f t="shared" si="212"/>
        <v>0</v>
      </c>
      <c r="AO603" s="71">
        <f t="shared" si="213"/>
        <v>0</v>
      </c>
      <c r="AQ603" s="71">
        <f t="shared" si="214"/>
        <v>0</v>
      </c>
      <c r="AT603" s="71">
        <f t="shared" si="215"/>
        <v>0</v>
      </c>
      <c r="AV603" s="71">
        <f t="shared" si="216"/>
        <v>0</v>
      </c>
      <c r="AX603" s="71">
        <f t="shared" si="217"/>
        <v>0</v>
      </c>
      <c r="AZ603" s="71">
        <f t="shared" si="218"/>
        <v>0</v>
      </c>
      <c r="BE603" s="81">
        <f t="shared" si="219"/>
        <v>0</v>
      </c>
      <c r="BF603" s="81" t="str">
        <f t="shared" si="220"/>
        <v>BASSO</v>
      </c>
    </row>
    <row r="604" spans="7:58" x14ac:dyDescent="0.15">
      <c r="G604" s="64">
        <f t="shared" si="199"/>
        <v>0</v>
      </c>
      <c r="I604" s="64">
        <f t="shared" si="200"/>
        <v>0</v>
      </c>
      <c r="K604" s="64">
        <f t="shared" si="201"/>
        <v>0</v>
      </c>
      <c r="M604" s="64">
        <f t="shared" si="202"/>
        <v>0</v>
      </c>
      <c r="O604" s="64">
        <f t="shared" si="203"/>
        <v>0</v>
      </c>
      <c r="Q604" s="64">
        <f t="shared" si="204"/>
        <v>0</v>
      </c>
      <c r="S604" s="71">
        <f t="shared" si="205"/>
        <v>0</v>
      </c>
      <c r="U604" s="64">
        <f t="shared" si="206"/>
        <v>0</v>
      </c>
      <c r="W604" s="71">
        <f t="shared" si="207"/>
        <v>0</v>
      </c>
      <c r="Y604" s="71">
        <f t="shared" si="208"/>
        <v>0</v>
      </c>
      <c r="AA604" s="71">
        <f t="shared" si="209"/>
        <v>0</v>
      </c>
      <c r="AC604" s="71">
        <f t="shared" si="210"/>
        <v>0</v>
      </c>
      <c r="AK604" s="71">
        <f t="shared" si="211"/>
        <v>0</v>
      </c>
      <c r="AM604" s="71">
        <f t="shared" si="212"/>
        <v>0</v>
      </c>
      <c r="AO604" s="71">
        <f t="shared" si="213"/>
        <v>0</v>
      </c>
      <c r="AQ604" s="71">
        <f t="shared" si="214"/>
        <v>0</v>
      </c>
      <c r="AT604" s="71">
        <f t="shared" si="215"/>
        <v>0</v>
      </c>
      <c r="AV604" s="71">
        <f t="shared" si="216"/>
        <v>0</v>
      </c>
      <c r="AX604" s="71">
        <f t="shared" si="217"/>
        <v>0</v>
      </c>
      <c r="AZ604" s="71">
        <f t="shared" si="218"/>
        <v>0</v>
      </c>
      <c r="BE604" s="81">
        <f t="shared" si="219"/>
        <v>0</v>
      </c>
      <c r="BF604" s="81" t="str">
        <f t="shared" si="220"/>
        <v>BASSO</v>
      </c>
    </row>
    <row r="605" spans="7:58" x14ac:dyDescent="0.15">
      <c r="G605" s="64">
        <f t="shared" si="199"/>
        <v>0</v>
      </c>
      <c r="I605" s="64">
        <f t="shared" si="200"/>
        <v>0</v>
      </c>
      <c r="K605" s="64">
        <f t="shared" si="201"/>
        <v>0</v>
      </c>
      <c r="M605" s="64">
        <f t="shared" si="202"/>
        <v>0</v>
      </c>
      <c r="O605" s="64">
        <f t="shared" si="203"/>
        <v>0</v>
      </c>
      <c r="Q605" s="64">
        <f t="shared" si="204"/>
        <v>0</v>
      </c>
      <c r="S605" s="71">
        <f t="shared" si="205"/>
        <v>0</v>
      </c>
      <c r="U605" s="64">
        <f t="shared" si="206"/>
        <v>0</v>
      </c>
      <c r="W605" s="71">
        <f t="shared" si="207"/>
        <v>0</v>
      </c>
      <c r="Y605" s="71">
        <f t="shared" si="208"/>
        <v>0</v>
      </c>
      <c r="AA605" s="71">
        <f t="shared" si="209"/>
        <v>0</v>
      </c>
      <c r="AC605" s="71">
        <f t="shared" si="210"/>
        <v>0</v>
      </c>
      <c r="AK605" s="71">
        <f t="shared" si="211"/>
        <v>0</v>
      </c>
      <c r="AM605" s="71">
        <f t="shared" si="212"/>
        <v>0</v>
      </c>
      <c r="AO605" s="71">
        <f t="shared" si="213"/>
        <v>0</v>
      </c>
      <c r="AQ605" s="71">
        <f t="shared" si="214"/>
        <v>0</v>
      </c>
      <c r="AT605" s="71">
        <f t="shared" si="215"/>
        <v>0</v>
      </c>
      <c r="AV605" s="71">
        <f t="shared" si="216"/>
        <v>0</v>
      </c>
      <c r="AX605" s="71">
        <f t="shared" si="217"/>
        <v>0</v>
      </c>
      <c r="AZ605" s="71">
        <f t="shared" si="218"/>
        <v>0</v>
      </c>
      <c r="BE605" s="81">
        <f t="shared" si="219"/>
        <v>0</v>
      </c>
      <c r="BF605" s="81" t="str">
        <f t="shared" si="220"/>
        <v>BASSO</v>
      </c>
    </row>
    <row r="606" spans="7:58" x14ac:dyDescent="0.15">
      <c r="G606" s="64">
        <f t="shared" si="199"/>
        <v>0</v>
      </c>
      <c r="I606" s="64">
        <f t="shared" si="200"/>
        <v>0</v>
      </c>
      <c r="K606" s="64">
        <f t="shared" si="201"/>
        <v>0</v>
      </c>
      <c r="M606" s="64">
        <f t="shared" si="202"/>
        <v>0</v>
      </c>
      <c r="O606" s="64">
        <f t="shared" si="203"/>
        <v>0</v>
      </c>
      <c r="Q606" s="64">
        <f t="shared" si="204"/>
        <v>0</v>
      </c>
      <c r="S606" s="71">
        <f t="shared" si="205"/>
        <v>0</v>
      </c>
      <c r="U606" s="64">
        <f t="shared" si="206"/>
        <v>0</v>
      </c>
      <c r="W606" s="71">
        <f t="shared" si="207"/>
        <v>0</v>
      </c>
      <c r="Y606" s="71">
        <f t="shared" si="208"/>
        <v>0</v>
      </c>
      <c r="AA606" s="71">
        <f t="shared" si="209"/>
        <v>0</v>
      </c>
      <c r="AC606" s="71">
        <f t="shared" si="210"/>
        <v>0</v>
      </c>
      <c r="AK606" s="71">
        <f t="shared" si="211"/>
        <v>0</v>
      </c>
      <c r="AM606" s="71">
        <f t="shared" si="212"/>
        <v>0</v>
      </c>
      <c r="AO606" s="71">
        <f t="shared" si="213"/>
        <v>0</v>
      </c>
      <c r="AQ606" s="71">
        <f t="shared" si="214"/>
        <v>0</v>
      </c>
      <c r="AT606" s="71">
        <f t="shared" si="215"/>
        <v>0</v>
      </c>
      <c r="AV606" s="71">
        <f t="shared" si="216"/>
        <v>0</v>
      </c>
      <c r="AX606" s="71">
        <f t="shared" si="217"/>
        <v>0</v>
      </c>
      <c r="AZ606" s="71">
        <f t="shared" si="218"/>
        <v>0</v>
      </c>
      <c r="BE606" s="81">
        <f t="shared" si="219"/>
        <v>0</v>
      </c>
      <c r="BF606" s="81" t="str">
        <f t="shared" si="220"/>
        <v>BASSO</v>
      </c>
    </row>
    <row r="607" spans="7:58" x14ac:dyDescent="0.15">
      <c r="G607" s="64">
        <f t="shared" si="199"/>
        <v>0</v>
      </c>
      <c r="I607" s="64">
        <f t="shared" si="200"/>
        <v>0</v>
      </c>
      <c r="K607" s="64">
        <f t="shared" si="201"/>
        <v>0</v>
      </c>
      <c r="M607" s="64">
        <f t="shared" si="202"/>
        <v>0</v>
      </c>
      <c r="O607" s="64">
        <f t="shared" si="203"/>
        <v>0</v>
      </c>
      <c r="Q607" s="64">
        <f t="shared" si="204"/>
        <v>0</v>
      </c>
      <c r="S607" s="71">
        <f t="shared" si="205"/>
        <v>0</v>
      </c>
      <c r="U607" s="64">
        <f t="shared" si="206"/>
        <v>0</v>
      </c>
      <c r="W607" s="71">
        <f t="shared" si="207"/>
        <v>0</v>
      </c>
      <c r="Y607" s="71">
        <f t="shared" si="208"/>
        <v>0</v>
      </c>
      <c r="AA607" s="71">
        <f t="shared" si="209"/>
        <v>0</v>
      </c>
      <c r="AC607" s="71">
        <f t="shared" si="210"/>
        <v>0</v>
      </c>
      <c r="AK607" s="71">
        <f t="shared" si="211"/>
        <v>0</v>
      </c>
      <c r="AM607" s="71">
        <f t="shared" si="212"/>
        <v>0</v>
      </c>
      <c r="AO607" s="71">
        <f t="shared" si="213"/>
        <v>0</v>
      </c>
      <c r="AQ607" s="71">
        <f t="shared" si="214"/>
        <v>0</v>
      </c>
      <c r="AT607" s="71">
        <f t="shared" si="215"/>
        <v>0</v>
      </c>
      <c r="AV607" s="71">
        <f t="shared" si="216"/>
        <v>0</v>
      </c>
      <c r="AX607" s="71">
        <f t="shared" si="217"/>
        <v>0</v>
      </c>
      <c r="AZ607" s="71">
        <f t="shared" si="218"/>
        <v>0</v>
      </c>
      <c r="BE607" s="81">
        <f t="shared" si="219"/>
        <v>0</v>
      </c>
      <c r="BF607" s="81" t="str">
        <f t="shared" si="220"/>
        <v>BASSO</v>
      </c>
    </row>
    <row r="608" spans="7:58" x14ac:dyDescent="0.15">
      <c r="G608" s="64">
        <f t="shared" si="199"/>
        <v>0</v>
      </c>
      <c r="I608" s="64">
        <f t="shared" si="200"/>
        <v>0</v>
      </c>
      <c r="K608" s="64">
        <f t="shared" si="201"/>
        <v>0</v>
      </c>
      <c r="M608" s="64">
        <f t="shared" si="202"/>
        <v>0</v>
      </c>
      <c r="O608" s="64">
        <f t="shared" si="203"/>
        <v>0</v>
      </c>
      <c r="Q608" s="64">
        <f t="shared" si="204"/>
        <v>0</v>
      </c>
      <c r="S608" s="71">
        <f t="shared" si="205"/>
        <v>0</v>
      </c>
      <c r="U608" s="64">
        <f t="shared" si="206"/>
        <v>0</v>
      </c>
      <c r="W608" s="71">
        <f t="shared" si="207"/>
        <v>0</v>
      </c>
      <c r="Y608" s="71">
        <f t="shared" si="208"/>
        <v>0</v>
      </c>
      <c r="AA608" s="71">
        <f t="shared" si="209"/>
        <v>0</v>
      </c>
      <c r="AC608" s="71">
        <f t="shared" si="210"/>
        <v>0</v>
      </c>
      <c r="AK608" s="71">
        <f t="shared" si="211"/>
        <v>0</v>
      </c>
      <c r="AM608" s="71">
        <f t="shared" si="212"/>
        <v>0</v>
      </c>
      <c r="AO608" s="71">
        <f t="shared" si="213"/>
        <v>0</v>
      </c>
      <c r="AQ608" s="71">
        <f t="shared" si="214"/>
        <v>0</v>
      </c>
      <c r="AT608" s="71">
        <f t="shared" si="215"/>
        <v>0</v>
      </c>
      <c r="AV608" s="71">
        <f t="shared" si="216"/>
        <v>0</v>
      </c>
      <c r="AX608" s="71">
        <f t="shared" si="217"/>
        <v>0</v>
      </c>
      <c r="AZ608" s="71">
        <f t="shared" si="218"/>
        <v>0</v>
      </c>
      <c r="BE608" s="81">
        <f t="shared" si="219"/>
        <v>0</v>
      </c>
      <c r="BF608" s="81" t="str">
        <f t="shared" si="220"/>
        <v>BASSO</v>
      </c>
    </row>
    <row r="609" spans="7:58" x14ac:dyDescent="0.15">
      <c r="G609" s="64">
        <f t="shared" si="199"/>
        <v>0</v>
      </c>
      <c r="I609" s="64">
        <f t="shared" si="200"/>
        <v>0</v>
      </c>
      <c r="K609" s="64">
        <f t="shared" si="201"/>
        <v>0</v>
      </c>
      <c r="M609" s="64">
        <f t="shared" si="202"/>
        <v>0</v>
      </c>
      <c r="O609" s="64">
        <f t="shared" si="203"/>
        <v>0</v>
      </c>
      <c r="Q609" s="64">
        <f t="shared" si="204"/>
        <v>0</v>
      </c>
      <c r="S609" s="71">
        <f t="shared" si="205"/>
        <v>0</v>
      </c>
      <c r="U609" s="64">
        <f t="shared" si="206"/>
        <v>0</v>
      </c>
      <c r="W609" s="71">
        <f t="shared" si="207"/>
        <v>0</v>
      </c>
      <c r="Y609" s="71">
        <f t="shared" si="208"/>
        <v>0</v>
      </c>
      <c r="AA609" s="71">
        <f t="shared" si="209"/>
        <v>0</v>
      </c>
      <c r="AC609" s="71">
        <f t="shared" si="210"/>
        <v>0</v>
      </c>
      <c r="AK609" s="71">
        <f t="shared" si="211"/>
        <v>0</v>
      </c>
      <c r="AM609" s="71">
        <f t="shared" si="212"/>
        <v>0</v>
      </c>
      <c r="AO609" s="71">
        <f t="shared" si="213"/>
        <v>0</v>
      </c>
      <c r="AQ609" s="71">
        <f t="shared" si="214"/>
        <v>0</v>
      </c>
      <c r="AT609" s="71">
        <f t="shared" si="215"/>
        <v>0</v>
      </c>
      <c r="AV609" s="71">
        <f t="shared" si="216"/>
        <v>0</v>
      </c>
      <c r="AX609" s="71">
        <f t="shared" si="217"/>
        <v>0</v>
      </c>
      <c r="AZ609" s="71">
        <f t="shared" si="218"/>
        <v>0</v>
      </c>
      <c r="BE609" s="81">
        <f t="shared" si="219"/>
        <v>0</v>
      </c>
      <c r="BF609" s="81" t="str">
        <f t="shared" si="220"/>
        <v>BASSO</v>
      </c>
    </row>
    <row r="610" spans="7:58" x14ac:dyDescent="0.15">
      <c r="G610" s="64">
        <f t="shared" si="199"/>
        <v>0</v>
      </c>
      <c r="I610" s="64">
        <f t="shared" si="200"/>
        <v>0</v>
      </c>
      <c r="K610" s="64">
        <f t="shared" si="201"/>
        <v>0</v>
      </c>
      <c r="M610" s="64">
        <f t="shared" si="202"/>
        <v>0</v>
      </c>
      <c r="O610" s="64">
        <f t="shared" si="203"/>
        <v>0</v>
      </c>
      <c r="Q610" s="64">
        <f t="shared" si="204"/>
        <v>0</v>
      </c>
      <c r="S610" s="71">
        <f t="shared" si="205"/>
        <v>0</v>
      </c>
      <c r="U610" s="64">
        <f t="shared" si="206"/>
        <v>0</v>
      </c>
      <c r="W610" s="71">
        <f t="shared" si="207"/>
        <v>0</v>
      </c>
      <c r="Y610" s="71">
        <f t="shared" si="208"/>
        <v>0</v>
      </c>
      <c r="AA610" s="71">
        <f t="shared" si="209"/>
        <v>0</v>
      </c>
      <c r="AC610" s="71">
        <f t="shared" si="210"/>
        <v>0</v>
      </c>
      <c r="AK610" s="71">
        <f t="shared" si="211"/>
        <v>0</v>
      </c>
      <c r="AM610" s="71">
        <f t="shared" si="212"/>
        <v>0</v>
      </c>
      <c r="AO610" s="71">
        <f t="shared" si="213"/>
        <v>0</v>
      </c>
      <c r="AQ610" s="71">
        <f t="shared" si="214"/>
        <v>0</v>
      </c>
      <c r="AT610" s="71">
        <f t="shared" si="215"/>
        <v>0</v>
      </c>
      <c r="AV610" s="71">
        <f t="shared" si="216"/>
        <v>0</v>
      </c>
      <c r="AX610" s="71">
        <f t="shared" si="217"/>
        <v>0</v>
      </c>
      <c r="AZ610" s="71">
        <f t="shared" si="218"/>
        <v>0</v>
      </c>
      <c r="BE610" s="81">
        <f t="shared" si="219"/>
        <v>0</v>
      </c>
      <c r="BF610" s="81" t="str">
        <f t="shared" si="220"/>
        <v>BASSO</v>
      </c>
    </row>
    <row r="611" spans="7:58" x14ac:dyDescent="0.15">
      <c r="G611" s="64">
        <f t="shared" si="199"/>
        <v>0</v>
      </c>
      <c r="I611" s="64">
        <f t="shared" si="200"/>
        <v>0</v>
      </c>
      <c r="K611" s="64">
        <f t="shared" si="201"/>
        <v>0</v>
      </c>
      <c r="M611" s="64">
        <f t="shared" si="202"/>
        <v>0</v>
      </c>
      <c r="O611" s="64">
        <f t="shared" si="203"/>
        <v>0</v>
      </c>
      <c r="Q611" s="64">
        <f t="shared" si="204"/>
        <v>0</v>
      </c>
      <c r="S611" s="71">
        <f t="shared" si="205"/>
        <v>0</v>
      </c>
      <c r="U611" s="64">
        <f t="shared" si="206"/>
        <v>0</v>
      </c>
      <c r="W611" s="71">
        <f t="shared" si="207"/>
        <v>0</v>
      </c>
      <c r="Y611" s="71">
        <f t="shared" si="208"/>
        <v>0</v>
      </c>
      <c r="AA611" s="71">
        <f t="shared" si="209"/>
        <v>0</v>
      </c>
      <c r="AC611" s="71">
        <f t="shared" si="210"/>
        <v>0</v>
      </c>
      <c r="AK611" s="71">
        <f t="shared" si="211"/>
        <v>0</v>
      </c>
      <c r="AM611" s="71">
        <f t="shared" si="212"/>
        <v>0</v>
      </c>
      <c r="AO611" s="71">
        <f t="shared" si="213"/>
        <v>0</v>
      </c>
      <c r="AQ611" s="71">
        <f t="shared" si="214"/>
        <v>0</v>
      </c>
      <c r="AT611" s="71">
        <f t="shared" si="215"/>
        <v>0</v>
      </c>
      <c r="AV611" s="71">
        <f t="shared" si="216"/>
        <v>0</v>
      </c>
      <c r="AX611" s="71">
        <f t="shared" si="217"/>
        <v>0</v>
      </c>
      <c r="AZ611" s="71">
        <f t="shared" si="218"/>
        <v>0</v>
      </c>
      <c r="BE611" s="81">
        <f t="shared" si="219"/>
        <v>0</v>
      </c>
      <c r="BF611" s="81" t="str">
        <f t="shared" si="220"/>
        <v>BASSO</v>
      </c>
    </row>
    <row r="612" spans="7:58" x14ac:dyDescent="0.15">
      <c r="G612" s="64">
        <f t="shared" si="199"/>
        <v>0</v>
      </c>
      <c r="I612" s="64">
        <f t="shared" si="200"/>
        <v>0</v>
      </c>
      <c r="K612" s="64">
        <f t="shared" si="201"/>
        <v>0</v>
      </c>
      <c r="M612" s="64">
        <f t="shared" si="202"/>
        <v>0</v>
      </c>
      <c r="O612" s="64">
        <f t="shared" si="203"/>
        <v>0</v>
      </c>
      <c r="Q612" s="64">
        <f t="shared" si="204"/>
        <v>0</v>
      </c>
      <c r="S612" s="71">
        <f t="shared" si="205"/>
        <v>0</v>
      </c>
      <c r="U612" s="64">
        <f t="shared" si="206"/>
        <v>0</v>
      </c>
      <c r="W612" s="71">
        <f t="shared" si="207"/>
        <v>0</v>
      </c>
      <c r="Y612" s="71">
        <f t="shared" si="208"/>
        <v>0</v>
      </c>
      <c r="AA612" s="71">
        <f t="shared" si="209"/>
        <v>0</v>
      </c>
      <c r="AC612" s="71">
        <f t="shared" si="210"/>
        <v>0</v>
      </c>
      <c r="AK612" s="71">
        <f t="shared" si="211"/>
        <v>0</v>
      </c>
      <c r="AM612" s="71">
        <f t="shared" si="212"/>
        <v>0</v>
      </c>
      <c r="AO612" s="71">
        <f t="shared" si="213"/>
        <v>0</v>
      </c>
      <c r="AQ612" s="71">
        <f t="shared" si="214"/>
        <v>0</v>
      </c>
      <c r="AT612" s="71">
        <f t="shared" si="215"/>
        <v>0</v>
      </c>
      <c r="AV612" s="71">
        <f t="shared" si="216"/>
        <v>0</v>
      </c>
      <c r="AX612" s="71">
        <f t="shared" si="217"/>
        <v>0</v>
      </c>
      <c r="AZ612" s="71">
        <f t="shared" si="218"/>
        <v>0</v>
      </c>
      <c r="BE612" s="81">
        <f t="shared" si="219"/>
        <v>0</v>
      </c>
      <c r="BF612" s="81" t="str">
        <f t="shared" si="220"/>
        <v>BASSO</v>
      </c>
    </row>
    <row r="613" spans="7:58" x14ac:dyDescent="0.15">
      <c r="G613" s="64">
        <f t="shared" si="199"/>
        <v>0</v>
      </c>
      <c r="I613" s="64">
        <f t="shared" si="200"/>
        <v>0</v>
      </c>
      <c r="K613" s="64">
        <f t="shared" si="201"/>
        <v>0</v>
      </c>
      <c r="M613" s="64">
        <f t="shared" si="202"/>
        <v>0</v>
      </c>
      <c r="O613" s="64">
        <f t="shared" si="203"/>
        <v>0</v>
      </c>
      <c r="Q613" s="64">
        <f t="shared" si="204"/>
        <v>0</v>
      </c>
      <c r="S613" s="71">
        <f t="shared" si="205"/>
        <v>0</v>
      </c>
      <c r="U613" s="64">
        <f t="shared" si="206"/>
        <v>0</v>
      </c>
      <c r="W613" s="71">
        <f t="shared" si="207"/>
        <v>0</v>
      </c>
      <c r="Y613" s="71">
        <f t="shared" si="208"/>
        <v>0</v>
      </c>
      <c r="AA613" s="71">
        <f t="shared" si="209"/>
        <v>0</v>
      </c>
      <c r="AC613" s="71">
        <f t="shared" si="210"/>
        <v>0</v>
      </c>
      <c r="AK613" s="71">
        <f t="shared" si="211"/>
        <v>0</v>
      </c>
      <c r="AM613" s="71">
        <f t="shared" si="212"/>
        <v>0</v>
      </c>
      <c r="AO613" s="71">
        <f t="shared" si="213"/>
        <v>0</v>
      </c>
      <c r="AQ613" s="71">
        <f t="shared" si="214"/>
        <v>0</v>
      </c>
      <c r="AT613" s="71">
        <f t="shared" si="215"/>
        <v>0</v>
      </c>
      <c r="AV613" s="71">
        <f t="shared" si="216"/>
        <v>0</v>
      </c>
      <c r="AX613" s="71">
        <f t="shared" si="217"/>
        <v>0</v>
      </c>
      <c r="AZ613" s="71">
        <f t="shared" si="218"/>
        <v>0</v>
      </c>
      <c r="BE613" s="81">
        <f t="shared" si="219"/>
        <v>0</v>
      </c>
      <c r="BF613" s="81" t="str">
        <f t="shared" si="220"/>
        <v>BASSO</v>
      </c>
    </row>
    <row r="614" spans="7:58" x14ac:dyDescent="0.15">
      <c r="G614" s="64">
        <f t="shared" si="199"/>
        <v>0</v>
      </c>
      <c r="I614" s="64">
        <f t="shared" si="200"/>
        <v>0</v>
      </c>
      <c r="K614" s="64">
        <f t="shared" si="201"/>
        <v>0</v>
      </c>
      <c r="M614" s="64">
        <f t="shared" si="202"/>
        <v>0</v>
      </c>
      <c r="O614" s="64">
        <f t="shared" si="203"/>
        <v>0</v>
      </c>
      <c r="Q614" s="64">
        <f t="shared" si="204"/>
        <v>0</v>
      </c>
      <c r="S614" s="71">
        <f t="shared" si="205"/>
        <v>0</v>
      </c>
      <c r="U614" s="64">
        <f t="shared" si="206"/>
        <v>0</v>
      </c>
      <c r="W614" s="71">
        <f t="shared" si="207"/>
        <v>0</v>
      </c>
      <c r="Y614" s="71">
        <f t="shared" si="208"/>
        <v>0</v>
      </c>
      <c r="AA614" s="71">
        <f t="shared" si="209"/>
        <v>0</v>
      </c>
      <c r="AC614" s="71">
        <f t="shared" si="210"/>
        <v>0</v>
      </c>
      <c r="AK614" s="71">
        <f t="shared" si="211"/>
        <v>0</v>
      </c>
      <c r="AM614" s="71">
        <f t="shared" si="212"/>
        <v>0</v>
      </c>
      <c r="AO614" s="71">
        <f t="shared" si="213"/>
        <v>0</v>
      </c>
      <c r="AQ614" s="71">
        <f t="shared" si="214"/>
        <v>0</v>
      </c>
      <c r="AT614" s="71">
        <f t="shared" si="215"/>
        <v>0</v>
      </c>
      <c r="AV614" s="71">
        <f t="shared" si="216"/>
        <v>0</v>
      </c>
      <c r="AX614" s="71">
        <f t="shared" si="217"/>
        <v>0</v>
      </c>
      <c r="AZ614" s="71">
        <f t="shared" si="218"/>
        <v>0</v>
      </c>
      <c r="BE614" s="81">
        <f t="shared" si="219"/>
        <v>0</v>
      </c>
      <c r="BF614" s="81" t="str">
        <f t="shared" si="220"/>
        <v>BASSO</v>
      </c>
    </row>
    <row r="615" spans="7:58" x14ac:dyDescent="0.15">
      <c r="G615" s="64">
        <f t="shared" si="199"/>
        <v>0</v>
      </c>
      <c r="I615" s="64">
        <f t="shared" si="200"/>
        <v>0</v>
      </c>
      <c r="K615" s="64">
        <f t="shared" si="201"/>
        <v>0</v>
      </c>
      <c r="M615" s="64">
        <f t="shared" si="202"/>
        <v>0</v>
      </c>
      <c r="O615" s="64">
        <f t="shared" si="203"/>
        <v>0</v>
      </c>
      <c r="Q615" s="64">
        <f t="shared" si="204"/>
        <v>0</v>
      </c>
      <c r="S615" s="71">
        <f t="shared" si="205"/>
        <v>0</v>
      </c>
      <c r="U615" s="64">
        <f t="shared" si="206"/>
        <v>0</v>
      </c>
      <c r="W615" s="71">
        <f t="shared" si="207"/>
        <v>0</v>
      </c>
      <c r="Y615" s="71">
        <f t="shared" si="208"/>
        <v>0</v>
      </c>
      <c r="AA615" s="71">
        <f t="shared" si="209"/>
        <v>0</v>
      </c>
      <c r="AC615" s="71">
        <f t="shared" si="210"/>
        <v>0</v>
      </c>
      <c r="AK615" s="71">
        <f t="shared" si="211"/>
        <v>0</v>
      </c>
      <c r="AM615" s="71">
        <f t="shared" si="212"/>
        <v>0</v>
      </c>
      <c r="AO615" s="71">
        <f t="shared" si="213"/>
        <v>0</v>
      </c>
      <c r="AQ615" s="71">
        <f t="shared" si="214"/>
        <v>0</v>
      </c>
      <c r="AT615" s="71">
        <f t="shared" si="215"/>
        <v>0</v>
      </c>
      <c r="AV615" s="71">
        <f t="shared" si="216"/>
        <v>0</v>
      </c>
      <c r="AX615" s="71">
        <f t="shared" si="217"/>
        <v>0</v>
      </c>
      <c r="AZ615" s="71">
        <f t="shared" si="218"/>
        <v>0</v>
      </c>
      <c r="BE615" s="81">
        <f t="shared" si="219"/>
        <v>0</v>
      </c>
      <c r="BF615" s="81" t="str">
        <f t="shared" si="220"/>
        <v>BASSO</v>
      </c>
    </row>
    <row r="616" spans="7:58" x14ac:dyDescent="0.15">
      <c r="G616" s="64">
        <f t="shared" si="199"/>
        <v>0</v>
      </c>
      <c r="I616" s="64">
        <f t="shared" si="200"/>
        <v>0</v>
      </c>
      <c r="K616" s="64">
        <f t="shared" si="201"/>
        <v>0</v>
      </c>
      <c r="M616" s="64">
        <f t="shared" si="202"/>
        <v>0</v>
      </c>
      <c r="O616" s="64">
        <f t="shared" si="203"/>
        <v>0</v>
      </c>
      <c r="Q616" s="64">
        <f t="shared" si="204"/>
        <v>0</v>
      </c>
      <c r="S616" s="71">
        <f t="shared" si="205"/>
        <v>0</v>
      </c>
      <c r="U616" s="64">
        <f t="shared" si="206"/>
        <v>0</v>
      </c>
      <c r="W616" s="71">
        <f t="shared" si="207"/>
        <v>0</v>
      </c>
      <c r="Y616" s="71">
        <f t="shared" si="208"/>
        <v>0</v>
      </c>
      <c r="AA616" s="71">
        <f t="shared" si="209"/>
        <v>0</v>
      </c>
      <c r="AC616" s="71">
        <f t="shared" si="210"/>
        <v>0</v>
      </c>
      <c r="AK616" s="71">
        <f t="shared" si="211"/>
        <v>0</v>
      </c>
      <c r="AM616" s="71">
        <f t="shared" si="212"/>
        <v>0</v>
      </c>
      <c r="AO616" s="71">
        <f t="shared" si="213"/>
        <v>0</v>
      </c>
      <c r="AQ616" s="71">
        <f t="shared" si="214"/>
        <v>0</v>
      </c>
      <c r="AT616" s="71">
        <f t="shared" si="215"/>
        <v>0</v>
      </c>
      <c r="AV616" s="71">
        <f t="shared" si="216"/>
        <v>0</v>
      </c>
      <c r="AX616" s="71">
        <f t="shared" si="217"/>
        <v>0</v>
      </c>
      <c r="AZ616" s="71">
        <f t="shared" si="218"/>
        <v>0</v>
      </c>
      <c r="BE616" s="81">
        <f t="shared" si="219"/>
        <v>0</v>
      </c>
      <c r="BF616" s="81" t="str">
        <f t="shared" si="220"/>
        <v>BASSO</v>
      </c>
    </row>
    <row r="617" spans="7:58" x14ac:dyDescent="0.15">
      <c r="G617" s="64">
        <f t="shared" si="199"/>
        <v>0</v>
      </c>
      <c r="I617" s="64">
        <f t="shared" si="200"/>
        <v>0</v>
      </c>
      <c r="K617" s="64">
        <f t="shared" si="201"/>
        <v>0</v>
      </c>
      <c r="M617" s="64">
        <f t="shared" si="202"/>
        <v>0</v>
      </c>
      <c r="O617" s="64">
        <f t="shared" si="203"/>
        <v>0</v>
      </c>
      <c r="Q617" s="64">
        <f t="shared" si="204"/>
        <v>0</v>
      </c>
      <c r="S617" s="71">
        <f t="shared" si="205"/>
        <v>0</v>
      </c>
      <c r="U617" s="64">
        <f t="shared" si="206"/>
        <v>0</v>
      </c>
      <c r="W617" s="71">
        <f t="shared" si="207"/>
        <v>0</v>
      </c>
      <c r="Y617" s="71">
        <f t="shared" si="208"/>
        <v>0</v>
      </c>
      <c r="AA617" s="71">
        <f t="shared" si="209"/>
        <v>0</v>
      </c>
      <c r="AC617" s="71">
        <f t="shared" si="210"/>
        <v>0</v>
      </c>
      <c r="AK617" s="71">
        <f t="shared" si="211"/>
        <v>0</v>
      </c>
      <c r="AM617" s="71">
        <f t="shared" si="212"/>
        <v>0</v>
      </c>
      <c r="AO617" s="71">
        <f t="shared" si="213"/>
        <v>0</v>
      </c>
      <c r="AQ617" s="71">
        <f t="shared" si="214"/>
        <v>0</v>
      </c>
      <c r="AT617" s="71">
        <f t="shared" si="215"/>
        <v>0</v>
      </c>
      <c r="AV617" s="71">
        <f t="shared" si="216"/>
        <v>0</v>
      </c>
      <c r="AX617" s="71">
        <f t="shared" si="217"/>
        <v>0</v>
      </c>
      <c r="AZ617" s="71">
        <f t="shared" si="218"/>
        <v>0</v>
      </c>
      <c r="BE617" s="81">
        <f t="shared" si="219"/>
        <v>0</v>
      </c>
      <c r="BF617" s="81" t="str">
        <f t="shared" si="220"/>
        <v>BASSO</v>
      </c>
    </row>
    <row r="618" spans="7:58" x14ac:dyDescent="0.15">
      <c r="G618" s="64">
        <f t="shared" si="199"/>
        <v>0</v>
      </c>
      <c r="I618" s="64">
        <f t="shared" si="200"/>
        <v>0</v>
      </c>
      <c r="K618" s="64">
        <f t="shared" si="201"/>
        <v>0</v>
      </c>
      <c r="M618" s="64">
        <f t="shared" si="202"/>
        <v>0</v>
      </c>
      <c r="O618" s="64">
        <f t="shared" si="203"/>
        <v>0</v>
      </c>
      <c r="Q618" s="64">
        <f t="shared" si="204"/>
        <v>0</v>
      </c>
      <c r="S618" s="71">
        <f t="shared" si="205"/>
        <v>0</v>
      </c>
      <c r="U618" s="64">
        <f t="shared" si="206"/>
        <v>0</v>
      </c>
      <c r="W618" s="71">
        <f t="shared" si="207"/>
        <v>0</v>
      </c>
      <c r="Y618" s="71">
        <f t="shared" si="208"/>
        <v>0</v>
      </c>
      <c r="AA618" s="71">
        <f t="shared" si="209"/>
        <v>0</v>
      </c>
      <c r="AC618" s="71">
        <f t="shared" si="210"/>
        <v>0</v>
      </c>
      <c r="AK618" s="71">
        <f t="shared" si="211"/>
        <v>0</v>
      </c>
      <c r="AM618" s="71">
        <f t="shared" si="212"/>
        <v>0</v>
      </c>
      <c r="AO618" s="71">
        <f t="shared" si="213"/>
        <v>0</v>
      </c>
      <c r="AQ618" s="71">
        <f t="shared" si="214"/>
        <v>0</v>
      </c>
      <c r="AT618" s="71">
        <f t="shared" si="215"/>
        <v>0</v>
      </c>
      <c r="AV618" s="71">
        <f t="shared" si="216"/>
        <v>0</v>
      </c>
      <c r="AX618" s="71">
        <f t="shared" si="217"/>
        <v>0</v>
      </c>
      <c r="AZ618" s="71">
        <f t="shared" si="218"/>
        <v>0</v>
      </c>
      <c r="BE618" s="81">
        <f t="shared" si="219"/>
        <v>0</v>
      </c>
      <c r="BF618" s="81" t="str">
        <f t="shared" si="220"/>
        <v>BASSO</v>
      </c>
    </row>
    <row r="619" spans="7:58" x14ac:dyDescent="0.15">
      <c r="G619" s="64">
        <f t="shared" si="199"/>
        <v>0</v>
      </c>
      <c r="I619" s="64">
        <f t="shared" si="200"/>
        <v>0</v>
      </c>
      <c r="K619" s="64">
        <f t="shared" si="201"/>
        <v>0</v>
      </c>
      <c r="M619" s="64">
        <f t="shared" si="202"/>
        <v>0</v>
      </c>
      <c r="O619" s="64">
        <f t="shared" si="203"/>
        <v>0</v>
      </c>
      <c r="Q619" s="64">
        <f t="shared" si="204"/>
        <v>0</v>
      </c>
      <c r="S619" s="71">
        <f t="shared" si="205"/>
        <v>0</v>
      </c>
      <c r="U619" s="64">
        <f t="shared" si="206"/>
        <v>0</v>
      </c>
      <c r="W619" s="71">
        <f t="shared" si="207"/>
        <v>0</v>
      </c>
      <c r="Y619" s="71">
        <f t="shared" si="208"/>
        <v>0</v>
      </c>
      <c r="AA619" s="71">
        <f t="shared" si="209"/>
        <v>0</v>
      </c>
      <c r="AC619" s="71">
        <f t="shared" si="210"/>
        <v>0</v>
      </c>
      <c r="AK619" s="71">
        <f t="shared" si="211"/>
        <v>0</v>
      </c>
      <c r="AM619" s="71">
        <f t="shared" si="212"/>
        <v>0</v>
      </c>
      <c r="AO619" s="71">
        <f t="shared" si="213"/>
        <v>0</v>
      </c>
      <c r="AQ619" s="71">
        <f t="shared" si="214"/>
        <v>0</v>
      </c>
      <c r="AT619" s="71">
        <f t="shared" si="215"/>
        <v>0</v>
      </c>
      <c r="AV619" s="71">
        <f t="shared" si="216"/>
        <v>0</v>
      </c>
      <c r="AX619" s="71">
        <f t="shared" si="217"/>
        <v>0</v>
      </c>
      <c r="AZ619" s="71">
        <f t="shared" si="218"/>
        <v>0</v>
      </c>
      <c r="BE619" s="81">
        <f t="shared" si="219"/>
        <v>0</v>
      </c>
      <c r="BF619" s="81" t="str">
        <f t="shared" si="220"/>
        <v>BASSO</v>
      </c>
    </row>
    <row r="620" spans="7:58" x14ac:dyDescent="0.15">
      <c r="G620" s="64">
        <f t="shared" si="199"/>
        <v>0</v>
      </c>
      <c r="I620" s="64">
        <f t="shared" si="200"/>
        <v>0</v>
      </c>
      <c r="K620" s="64">
        <f t="shared" si="201"/>
        <v>0</v>
      </c>
      <c r="M620" s="64">
        <f t="shared" si="202"/>
        <v>0</v>
      </c>
      <c r="O620" s="64">
        <f t="shared" si="203"/>
        <v>0</v>
      </c>
      <c r="Q620" s="64">
        <f t="shared" si="204"/>
        <v>0</v>
      </c>
      <c r="S620" s="71">
        <f t="shared" si="205"/>
        <v>0</v>
      </c>
      <c r="U620" s="64">
        <f t="shared" si="206"/>
        <v>0</v>
      </c>
      <c r="W620" s="71">
        <f t="shared" si="207"/>
        <v>0</v>
      </c>
      <c r="Y620" s="71">
        <f t="shared" si="208"/>
        <v>0</v>
      </c>
      <c r="AA620" s="71">
        <f t="shared" si="209"/>
        <v>0</v>
      </c>
      <c r="AC620" s="71">
        <f t="shared" si="210"/>
        <v>0</v>
      </c>
      <c r="AK620" s="71">
        <f t="shared" si="211"/>
        <v>0</v>
      </c>
      <c r="AM620" s="71">
        <f t="shared" si="212"/>
        <v>0</v>
      </c>
      <c r="AO620" s="71">
        <f t="shared" si="213"/>
        <v>0</v>
      </c>
      <c r="AQ620" s="71">
        <f t="shared" si="214"/>
        <v>0</v>
      </c>
      <c r="AT620" s="71">
        <f t="shared" si="215"/>
        <v>0</v>
      </c>
      <c r="AV620" s="71">
        <f t="shared" si="216"/>
        <v>0</v>
      </c>
      <c r="AX620" s="71">
        <f t="shared" si="217"/>
        <v>0</v>
      </c>
      <c r="AZ620" s="71">
        <f t="shared" si="218"/>
        <v>0</v>
      </c>
      <c r="BE620" s="81">
        <f t="shared" si="219"/>
        <v>0</v>
      </c>
      <c r="BF620" s="81" t="str">
        <f t="shared" si="220"/>
        <v>BASSO</v>
      </c>
    </row>
    <row r="621" spans="7:58" x14ac:dyDescent="0.15">
      <c r="G621" s="64">
        <f t="shared" si="199"/>
        <v>0</v>
      </c>
      <c r="I621" s="64">
        <f t="shared" si="200"/>
        <v>0</v>
      </c>
      <c r="K621" s="64">
        <f t="shared" si="201"/>
        <v>0</v>
      </c>
      <c r="M621" s="64">
        <f t="shared" si="202"/>
        <v>0</v>
      </c>
      <c r="O621" s="64">
        <f t="shared" si="203"/>
        <v>0</v>
      </c>
      <c r="Q621" s="64">
        <f t="shared" si="204"/>
        <v>0</v>
      </c>
      <c r="S621" s="71">
        <f t="shared" si="205"/>
        <v>0</v>
      </c>
      <c r="U621" s="64">
        <f t="shared" si="206"/>
        <v>0</v>
      </c>
      <c r="W621" s="71">
        <f t="shared" si="207"/>
        <v>0</v>
      </c>
      <c r="Y621" s="71">
        <f t="shared" si="208"/>
        <v>0</v>
      </c>
      <c r="AA621" s="71">
        <f t="shared" si="209"/>
        <v>0</v>
      </c>
      <c r="AC621" s="71">
        <f t="shared" si="210"/>
        <v>0</v>
      </c>
      <c r="AK621" s="71">
        <f t="shared" si="211"/>
        <v>0</v>
      </c>
      <c r="AM621" s="71">
        <f t="shared" si="212"/>
        <v>0</v>
      </c>
      <c r="AO621" s="71">
        <f t="shared" si="213"/>
        <v>0</v>
      </c>
      <c r="AQ621" s="71">
        <f t="shared" si="214"/>
        <v>0</v>
      </c>
      <c r="AT621" s="71">
        <f t="shared" si="215"/>
        <v>0</v>
      </c>
      <c r="AV621" s="71">
        <f t="shared" si="216"/>
        <v>0</v>
      </c>
      <c r="AX621" s="71">
        <f t="shared" si="217"/>
        <v>0</v>
      </c>
      <c r="AZ621" s="71">
        <f t="shared" si="218"/>
        <v>0</v>
      </c>
      <c r="BE621" s="81">
        <f t="shared" si="219"/>
        <v>0</v>
      </c>
      <c r="BF621" s="81" t="str">
        <f t="shared" si="220"/>
        <v>BASSO</v>
      </c>
    </row>
    <row r="622" spans="7:58" x14ac:dyDescent="0.15">
      <c r="G622" s="64">
        <f t="shared" si="199"/>
        <v>0</v>
      </c>
      <c r="I622" s="64">
        <f t="shared" si="200"/>
        <v>0</v>
      </c>
      <c r="K622" s="64">
        <f t="shared" si="201"/>
        <v>0</v>
      </c>
      <c r="M622" s="64">
        <f t="shared" si="202"/>
        <v>0</v>
      </c>
      <c r="O622" s="64">
        <f t="shared" si="203"/>
        <v>0</v>
      </c>
      <c r="Q622" s="64">
        <f t="shared" si="204"/>
        <v>0</v>
      </c>
      <c r="S622" s="71">
        <f t="shared" si="205"/>
        <v>0</v>
      </c>
      <c r="U622" s="64">
        <f t="shared" si="206"/>
        <v>0</v>
      </c>
      <c r="W622" s="71">
        <f t="shared" si="207"/>
        <v>0</v>
      </c>
      <c r="Y622" s="71">
        <f t="shared" si="208"/>
        <v>0</v>
      </c>
      <c r="AA622" s="71">
        <f t="shared" si="209"/>
        <v>0</v>
      </c>
      <c r="AC622" s="71">
        <f t="shared" si="210"/>
        <v>0</v>
      </c>
      <c r="AK622" s="71">
        <f t="shared" si="211"/>
        <v>0</v>
      </c>
      <c r="AM622" s="71">
        <f t="shared" si="212"/>
        <v>0</v>
      </c>
      <c r="AO622" s="71">
        <f t="shared" si="213"/>
        <v>0</v>
      </c>
      <c r="AQ622" s="71">
        <f t="shared" si="214"/>
        <v>0</v>
      </c>
      <c r="AT622" s="71">
        <f t="shared" si="215"/>
        <v>0</v>
      </c>
      <c r="AV622" s="71">
        <f t="shared" si="216"/>
        <v>0</v>
      </c>
      <c r="AX622" s="71">
        <f t="shared" si="217"/>
        <v>0</v>
      </c>
      <c r="AZ622" s="71">
        <f t="shared" si="218"/>
        <v>0</v>
      </c>
      <c r="BE622" s="81">
        <f t="shared" si="219"/>
        <v>0</v>
      </c>
      <c r="BF622" s="81" t="str">
        <f t="shared" si="220"/>
        <v>BASSO</v>
      </c>
    </row>
    <row r="623" spans="7:58" x14ac:dyDescent="0.15">
      <c r="G623" s="64">
        <f t="shared" si="199"/>
        <v>0</v>
      </c>
      <c r="I623" s="64">
        <f t="shared" si="200"/>
        <v>0</v>
      </c>
      <c r="K623" s="64">
        <f t="shared" si="201"/>
        <v>0</v>
      </c>
      <c r="M623" s="64">
        <f t="shared" si="202"/>
        <v>0</v>
      </c>
      <c r="O623" s="64">
        <f t="shared" si="203"/>
        <v>0</v>
      </c>
      <c r="Q623" s="64">
        <f t="shared" si="204"/>
        <v>0</v>
      </c>
      <c r="S623" s="71">
        <f t="shared" si="205"/>
        <v>0</v>
      </c>
      <c r="U623" s="64">
        <f t="shared" si="206"/>
        <v>0</v>
      </c>
      <c r="W623" s="71">
        <f t="shared" si="207"/>
        <v>0</v>
      </c>
      <c r="Y623" s="71">
        <f t="shared" si="208"/>
        <v>0</v>
      </c>
      <c r="AA623" s="71">
        <f t="shared" si="209"/>
        <v>0</v>
      </c>
      <c r="AC623" s="71">
        <f t="shared" si="210"/>
        <v>0</v>
      </c>
      <c r="AK623" s="71">
        <f t="shared" si="211"/>
        <v>0</v>
      </c>
      <c r="AM623" s="71">
        <f t="shared" si="212"/>
        <v>0</v>
      </c>
      <c r="AO623" s="71">
        <f t="shared" si="213"/>
        <v>0</v>
      </c>
      <c r="AQ623" s="71">
        <f t="shared" si="214"/>
        <v>0</v>
      </c>
      <c r="AT623" s="71">
        <f t="shared" si="215"/>
        <v>0</v>
      </c>
      <c r="AV623" s="71">
        <f t="shared" si="216"/>
        <v>0</v>
      </c>
      <c r="AX623" s="71">
        <f t="shared" si="217"/>
        <v>0</v>
      </c>
      <c r="AZ623" s="71">
        <f t="shared" si="218"/>
        <v>0</v>
      </c>
      <c r="BE623" s="81">
        <f t="shared" si="219"/>
        <v>0</v>
      </c>
      <c r="BF623" s="81" t="str">
        <f t="shared" si="220"/>
        <v>BASSO</v>
      </c>
    </row>
    <row r="624" spans="7:58" x14ac:dyDescent="0.15">
      <c r="G624" s="64">
        <f t="shared" si="199"/>
        <v>0</v>
      </c>
      <c r="I624" s="64">
        <f t="shared" si="200"/>
        <v>0</v>
      </c>
      <c r="K624" s="64">
        <f t="shared" si="201"/>
        <v>0</v>
      </c>
      <c r="M624" s="64">
        <f t="shared" si="202"/>
        <v>0</v>
      </c>
      <c r="O624" s="64">
        <f t="shared" si="203"/>
        <v>0</v>
      </c>
      <c r="Q624" s="64">
        <f t="shared" si="204"/>
        <v>0</v>
      </c>
      <c r="S624" s="71">
        <f t="shared" si="205"/>
        <v>0</v>
      </c>
      <c r="U624" s="64">
        <f t="shared" si="206"/>
        <v>0</v>
      </c>
      <c r="W624" s="71">
        <f t="shared" si="207"/>
        <v>0</v>
      </c>
      <c r="Y624" s="71">
        <f t="shared" si="208"/>
        <v>0</v>
      </c>
      <c r="AA624" s="71">
        <f t="shared" si="209"/>
        <v>0</v>
      </c>
      <c r="AC624" s="71">
        <f t="shared" si="210"/>
        <v>0</v>
      </c>
      <c r="AK624" s="71">
        <f t="shared" si="211"/>
        <v>0</v>
      </c>
      <c r="AM624" s="71">
        <f t="shared" si="212"/>
        <v>0</v>
      </c>
      <c r="AO624" s="71">
        <f t="shared" si="213"/>
        <v>0</v>
      </c>
      <c r="AQ624" s="71">
        <f t="shared" si="214"/>
        <v>0</v>
      </c>
      <c r="AT624" s="71">
        <f t="shared" si="215"/>
        <v>0</v>
      </c>
      <c r="AV624" s="71">
        <f t="shared" si="216"/>
        <v>0</v>
      </c>
      <c r="AX624" s="71">
        <f t="shared" si="217"/>
        <v>0</v>
      </c>
      <c r="AZ624" s="71">
        <f t="shared" si="218"/>
        <v>0</v>
      </c>
      <c r="BE624" s="81">
        <f t="shared" si="219"/>
        <v>0</v>
      </c>
      <c r="BF624" s="81" t="str">
        <f t="shared" si="220"/>
        <v>BASSO</v>
      </c>
    </row>
    <row r="625" spans="7:58" x14ac:dyDescent="0.15">
      <c r="G625" s="64">
        <f t="shared" si="199"/>
        <v>0</v>
      </c>
      <c r="I625" s="64">
        <f t="shared" si="200"/>
        <v>0</v>
      </c>
      <c r="K625" s="64">
        <f t="shared" si="201"/>
        <v>0</v>
      </c>
      <c r="M625" s="64">
        <f t="shared" si="202"/>
        <v>0</v>
      </c>
      <c r="O625" s="64">
        <f t="shared" si="203"/>
        <v>0</v>
      </c>
      <c r="Q625" s="64">
        <f t="shared" si="204"/>
        <v>0</v>
      </c>
      <c r="S625" s="71">
        <f t="shared" si="205"/>
        <v>0</v>
      </c>
      <c r="U625" s="64">
        <f t="shared" si="206"/>
        <v>0</v>
      </c>
      <c r="W625" s="71">
        <f t="shared" si="207"/>
        <v>0</v>
      </c>
      <c r="Y625" s="71">
        <f t="shared" si="208"/>
        <v>0</v>
      </c>
      <c r="AA625" s="71">
        <f t="shared" si="209"/>
        <v>0</v>
      </c>
      <c r="AC625" s="71">
        <f t="shared" si="210"/>
        <v>0</v>
      </c>
      <c r="AK625" s="71">
        <f t="shared" si="211"/>
        <v>0</v>
      </c>
      <c r="AM625" s="71">
        <f t="shared" si="212"/>
        <v>0</v>
      </c>
      <c r="AO625" s="71">
        <f t="shared" si="213"/>
        <v>0</v>
      </c>
      <c r="AQ625" s="71">
        <f t="shared" si="214"/>
        <v>0</v>
      </c>
      <c r="AT625" s="71">
        <f t="shared" si="215"/>
        <v>0</v>
      </c>
      <c r="AV625" s="71">
        <f t="shared" si="216"/>
        <v>0</v>
      </c>
      <c r="AX625" s="71">
        <f t="shared" si="217"/>
        <v>0</v>
      </c>
      <c r="AZ625" s="71">
        <f t="shared" si="218"/>
        <v>0</v>
      </c>
      <c r="BE625" s="81">
        <f t="shared" si="219"/>
        <v>0</v>
      </c>
      <c r="BF625" s="81" t="str">
        <f t="shared" si="220"/>
        <v>BASSO</v>
      </c>
    </row>
    <row r="626" spans="7:58" x14ac:dyDescent="0.15">
      <c r="G626" s="64">
        <f t="shared" si="199"/>
        <v>0</v>
      </c>
      <c r="I626" s="64">
        <f t="shared" si="200"/>
        <v>0</v>
      </c>
      <c r="K626" s="64">
        <f t="shared" si="201"/>
        <v>0</v>
      </c>
      <c r="M626" s="64">
        <f t="shared" si="202"/>
        <v>0</v>
      </c>
      <c r="O626" s="64">
        <f t="shared" si="203"/>
        <v>0</v>
      </c>
      <c r="Q626" s="64">
        <f t="shared" si="204"/>
        <v>0</v>
      </c>
      <c r="S626" s="71">
        <f t="shared" si="205"/>
        <v>0</v>
      </c>
      <c r="U626" s="64">
        <f t="shared" si="206"/>
        <v>0</v>
      </c>
      <c r="W626" s="71">
        <f t="shared" si="207"/>
        <v>0</v>
      </c>
      <c r="Y626" s="71">
        <f t="shared" si="208"/>
        <v>0</v>
      </c>
      <c r="AA626" s="71">
        <f t="shared" si="209"/>
        <v>0</v>
      </c>
      <c r="AC626" s="71">
        <f t="shared" si="210"/>
        <v>0</v>
      </c>
      <c r="AK626" s="71">
        <f t="shared" si="211"/>
        <v>0</v>
      </c>
      <c r="AM626" s="71">
        <f t="shared" si="212"/>
        <v>0</v>
      </c>
      <c r="AO626" s="71">
        <f t="shared" si="213"/>
        <v>0</v>
      </c>
      <c r="AQ626" s="71">
        <f t="shared" si="214"/>
        <v>0</v>
      </c>
      <c r="AT626" s="71">
        <f t="shared" si="215"/>
        <v>0</v>
      </c>
      <c r="AV626" s="71">
        <f t="shared" si="216"/>
        <v>0</v>
      </c>
      <c r="AX626" s="71">
        <f t="shared" si="217"/>
        <v>0</v>
      </c>
      <c r="AZ626" s="71">
        <f t="shared" si="218"/>
        <v>0</v>
      </c>
      <c r="BE626" s="81">
        <f t="shared" si="219"/>
        <v>0</v>
      </c>
      <c r="BF626" s="81" t="str">
        <f t="shared" si="220"/>
        <v>BASSO</v>
      </c>
    </row>
    <row r="627" spans="7:58" x14ac:dyDescent="0.15">
      <c r="G627" s="64">
        <f t="shared" si="199"/>
        <v>0</v>
      </c>
      <c r="I627" s="64">
        <f t="shared" si="200"/>
        <v>0</v>
      </c>
      <c r="K627" s="64">
        <f t="shared" si="201"/>
        <v>0</v>
      </c>
      <c r="M627" s="64">
        <f t="shared" si="202"/>
        <v>0</v>
      </c>
      <c r="O627" s="64">
        <f t="shared" si="203"/>
        <v>0</v>
      </c>
      <c r="Q627" s="64">
        <f t="shared" si="204"/>
        <v>0</v>
      </c>
      <c r="S627" s="71">
        <f t="shared" si="205"/>
        <v>0</v>
      </c>
      <c r="U627" s="64">
        <f t="shared" si="206"/>
        <v>0</v>
      </c>
      <c r="W627" s="71">
        <f t="shared" si="207"/>
        <v>0</v>
      </c>
      <c r="Y627" s="71">
        <f t="shared" si="208"/>
        <v>0</v>
      </c>
      <c r="AA627" s="71">
        <f t="shared" si="209"/>
        <v>0</v>
      </c>
      <c r="AC627" s="71">
        <f t="shared" si="210"/>
        <v>0</v>
      </c>
      <c r="AK627" s="71">
        <f t="shared" si="211"/>
        <v>0</v>
      </c>
      <c r="AM627" s="71">
        <f t="shared" si="212"/>
        <v>0</v>
      </c>
      <c r="AO627" s="71">
        <f t="shared" si="213"/>
        <v>0</v>
      </c>
      <c r="AQ627" s="71">
        <f t="shared" si="214"/>
        <v>0</v>
      </c>
      <c r="AT627" s="71">
        <f t="shared" si="215"/>
        <v>0</v>
      </c>
      <c r="AV627" s="71">
        <f t="shared" si="216"/>
        <v>0</v>
      </c>
      <c r="AX627" s="71">
        <f t="shared" si="217"/>
        <v>0</v>
      </c>
      <c r="AZ627" s="71">
        <f t="shared" si="218"/>
        <v>0</v>
      </c>
      <c r="BE627" s="81">
        <f t="shared" si="219"/>
        <v>0</v>
      </c>
      <c r="BF627" s="81" t="str">
        <f t="shared" si="220"/>
        <v>BASSO</v>
      </c>
    </row>
    <row r="628" spans="7:58" x14ac:dyDescent="0.15">
      <c r="G628" s="64">
        <f t="shared" si="199"/>
        <v>0</v>
      </c>
      <c r="I628" s="64">
        <f t="shared" si="200"/>
        <v>0</v>
      </c>
      <c r="K628" s="64">
        <f t="shared" si="201"/>
        <v>0</v>
      </c>
      <c r="M628" s="64">
        <f t="shared" si="202"/>
        <v>0</v>
      </c>
      <c r="O628" s="64">
        <f t="shared" si="203"/>
        <v>0</v>
      </c>
      <c r="Q628" s="64">
        <f t="shared" si="204"/>
        <v>0</v>
      </c>
      <c r="S628" s="71">
        <f t="shared" si="205"/>
        <v>0</v>
      </c>
      <c r="U628" s="64">
        <f t="shared" si="206"/>
        <v>0</v>
      </c>
      <c r="W628" s="71">
        <f t="shared" si="207"/>
        <v>0</v>
      </c>
      <c r="Y628" s="71">
        <f t="shared" si="208"/>
        <v>0</v>
      </c>
      <c r="AA628" s="71">
        <f t="shared" si="209"/>
        <v>0</v>
      </c>
      <c r="AC628" s="71">
        <f t="shared" si="210"/>
        <v>0</v>
      </c>
      <c r="AK628" s="71">
        <f t="shared" si="211"/>
        <v>0</v>
      </c>
      <c r="AM628" s="71">
        <f t="shared" si="212"/>
        <v>0</v>
      </c>
      <c r="AO628" s="71">
        <f t="shared" si="213"/>
        <v>0</v>
      </c>
      <c r="AQ628" s="71">
        <f t="shared" si="214"/>
        <v>0</v>
      </c>
      <c r="AT628" s="71">
        <f t="shared" si="215"/>
        <v>0</v>
      </c>
      <c r="AV628" s="71">
        <f t="shared" si="216"/>
        <v>0</v>
      </c>
      <c r="AX628" s="71">
        <f t="shared" si="217"/>
        <v>0</v>
      </c>
      <c r="AZ628" s="71">
        <f t="shared" si="218"/>
        <v>0</v>
      </c>
      <c r="BE628" s="81">
        <f t="shared" si="219"/>
        <v>0</v>
      </c>
      <c r="BF628" s="81" t="str">
        <f t="shared" si="220"/>
        <v>BASSO</v>
      </c>
    </row>
    <row r="629" spans="7:58" x14ac:dyDescent="0.15">
      <c r="G629" s="64">
        <f t="shared" si="199"/>
        <v>0</v>
      </c>
      <c r="I629" s="64">
        <f t="shared" si="200"/>
        <v>0</v>
      </c>
      <c r="K629" s="64">
        <f t="shared" si="201"/>
        <v>0</v>
      </c>
      <c r="M629" s="64">
        <f t="shared" si="202"/>
        <v>0</v>
      </c>
      <c r="O629" s="64">
        <f t="shared" si="203"/>
        <v>0</v>
      </c>
      <c r="Q629" s="64">
        <f t="shared" si="204"/>
        <v>0</v>
      </c>
      <c r="S629" s="71">
        <f t="shared" si="205"/>
        <v>0</v>
      </c>
      <c r="U629" s="64">
        <f t="shared" si="206"/>
        <v>0</v>
      </c>
      <c r="W629" s="71">
        <f t="shared" si="207"/>
        <v>0</v>
      </c>
      <c r="Y629" s="71">
        <f t="shared" si="208"/>
        <v>0</v>
      </c>
      <c r="AA629" s="71">
        <f t="shared" si="209"/>
        <v>0</v>
      </c>
      <c r="AC629" s="71">
        <f t="shared" si="210"/>
        <v>0</v>
      </c>
      <c r="AK629" s="71">
        <f t="shared" si="211"/>
        <v>0</v>
      </c>
      <c r="AM629" s="71">
        <f t="shared" si="212"/>
        <v>0</v>
      </c>
      <c r="AO629" s="71">
        <f t="shared" si="213"/>
        <v>0</v>
      </c>
      <c r="AQ629" s="71">
        <f t="shared" si="214"/>
        <v>0</v>
      </c>
      <c r="AT629" s="71">
        <f t="shared" si="215"/>
        <v>0</v>
      </c>
      <c r="AV629" s="71">
        <f t="shared" si="216"/>
        <v>0</v>
      </c>
      <c r="AX629" s="71">
        <f t="shared" si="217"/>
        <v>0</v>
      </c>
      <c r="AZ629" s="71">
        <f t="shared" si="218"/>
        <v>0</v>
      </c>
      <c r="BE629" s="81">
        <f t="shared" si="219"/>
        <v>0</v>
      </c>
      <c r="BF629" s="81" t="str">
        <f t="shared" si="220"/>
        <v>BASSO</v>
      </c>
    </row>
    <row r="630" spans="7:58" x14ac:dyDescent="0.15">
      <c r="G630" s="64">
        <f t="shared" si="199"/>
        <v>0</v>
      </c>
      <c r="I630" s="64">
        <f t="shared" si="200"/>
        <v>0</v>
      </c>
      <c r="K630" s="64">
        <f t="shared" si="201"/>
        <v>0</v>
      </c>
      <c r="M630" s="64">
        <f t="shared" si="202"/>
        <v>0</v>
      </c>
      <c r="O630" s="64">
        <f t="shared" si="203"/>
        <v>0</v>
      </c>
      <c r="Q630" s="64">
        <f t="shared" si="204"/>
        <v>0</v>
      </c>
      <c r="S630" s="71">
        <f t="shared" si="205"/>
        <v>0</v>
      </c>
      <c r="U630" s="64">
        <f t="shared" si="206"/>
        <v>0</v>
      </c>
      <c r="W630" s="71">
        <f t="shared" si="207"/>
        <v>0</v>
      </c>
      <c r="Y630" s="71">
        <f t="shared" si="208"/>
        <v>0</v>
      </c>
      <c r="AA630" s="71">
        <f t="shared" si="209"/>
        <v>0</v>
      </c>
      <c r="AC630" s="71">
        <f t="shared" si="210"/>
        <v>0</v>
      </c>
      <c r="AK630" s="71">
        <f t="shared" si="211"/>
        <v>0</v>
      </c>
      <c r="AM630" s="71">
        <f t="shared" si="212"/>
        <v>0</v>
      </c>
      <c r="AO630" s="71">
        <f t="shared" si="213"/>
        <v>0</v>
      </c>
      <c r="AQ630" s="71">
        <f t="shared" si="214"/>
        <v>0</v>
      </c>
      <c r="AT630" s="71">
        <f t="shared" si="215"/>
        <v>0</v>
      </c>
      <c r="AV630" s="71">
        <f t="shared" si="216"/>
        <v>0</v>
      </c>
      <c r="AX630" s="71">
        <f t="shared" si="217"/>
        <v>0</v>
      </c>
      <c r="AZ630" s="71">
        <f t="shared" si="218"/>
        <v>0</v>
      </c>
      <c r="BE630" s="81">
        <f t="shared" si="219"/>
        <v>0</v>
      </c>
      <c r="BF630" s="81" t="str">
        <f t="shared" si="220"/>
        <v>BASSO</v>
      </c>
    </row>
    <row r="631" spans="7:58" x14ac:dyDescent="0.15">
      <c r="G631" s="64">
        <f t="shared" si="199"/>
        <v>0</v>
      </c>
      <c r="I631" s="64">
        <f t="shared" si="200"/>
        <v>0</v>
      </c>
      <c r="K631" s="64">
        <f t="shared" si="201"/>
        <v>0</v>
      </c>
      <c r="M631" s="64">
        <f t="shared" si="202"/>
        <v>0</v>
      </c>
      <c r="O631" s="64">
        <f t="shared" si="203"/>
        <v>0</v>
      </c>
      <c r="Q631" s="64">
        <f t="shared" si="204"/>
        <v>0</v>
      </c>
      <c r="S631" s="71">
        <f t="shared" si="205"/>
        <v>0</v>
      </c>
      <c r="U631" s="64">
        <f t="shared" si="206"/>
        <v>0</v>
      </c>
      <c r="W631" s="71">
        <f t="shared" si="207"/>
        <v>0</v>
      </c>
      <c r="Y631" s="71">
        <f t="shared" si="208"/>
        <v>0</v>
      </c>
      <c r="AA631" s="71">
        <f t="shared" si="209"/>
        <v>0</v>
      </c>
      <c r="AC631" s="71">
        <f t="shared" si="210"/>
        <v>0</v>
      </c>
      <c r="AK631" s="71">
        <f t="shared" si="211"/>
        <v>0</v>
      </c>
      <c r="AM631" s="71">
        <f t="shared" si="212"/>
        <v>0</v>
      </c>
      <c r="AO631" s="71">
        <f t="shared" si="213"/>
        <v>0</v>
      </c>
      <c r="AQ631" s="71">
        <f t="shared" si="214"/>
        <v>0</v>
      </c>
      <c r="AT631" s="71">
        <f t="shared" si="215"/>
        <v>0</v>
      </c>
      <c r="AV631" s="71">
        <f t="shared" si="216"/>
        <v>0</v>
      </c>
      <c r="AX631" s="71">
        <f t="shared" si="217"/>
        <v>0</v>
      </c>
      <c r="AZ631" s="71">
        <f t="shared" si="218"/>
        <v>0</v>
      </c>
      <c r="BE631" s="81">
        <f t="shared" si="219"/>
        <v>0</v>
      </c>
      <c r="BF631" s="81" t="str">
        <f t="shared" si="220"/>
        <v>BASSO</v>
      </c>
    </row>
    <row r="632" spans="7:58" x14ac:dyDescent="0.15">
      <c r="G632" s="64">
        <f t="shared" si="199"/>
        <v>0</v>
      </c>
      <c r="I632" s="64">
        <f t="shared" si="200"/>
        <v>0</v>
      </c>
      <c r="K632" s="64">
        <f t="shared" si="201"/>
        <v>0</v>
      </c>
      <c r="M632" s="64">
        <f t="shared" si="202"/>
        <v>0</v>
      </c>
      <c r="O632" s="64">
        <f t="shared" si="203"/>
        <v>0</v>
      </c>
      <c r="Q632" s="64">
        <f t="shared" si="204"/>
        <v>0</v>
      </c>
      <c r="S632" s="71">
        <f t="shared" si="205"/>
        <v>0</v>
      </c>
      <c r="U632" s="64">
        <f t="shared" si="206"/>
        <v>0</v>
      </c>
      <c r="W632" s="71">
        <f t="shared" si="207"/>
        <v>0</v>
      </c>
      <c r="Y632" s="71">
        <f t="shared" si="208"/>
        <v>0</v>
      </c>
      <c r="AA632" s="71">
        <f t="shared" si="209"/>
        <v>0</v>
      </c>
      <c r="AC632" s="71">
        <f t="shared" si="210"/>
        <v>0</v>
      </c>
      <c r="AK632" s="71">
        <f t="shared" si="211"/>
        <v>0</v>
      </c>
      <c r="AM632" s="71">
        <f t="shared" si="212"/>
        <v>0</v>
      </c>
      <c r="AO632" s="71">
        <f t="shared" si="213"/>
        <v>0</v>
      </c>
      <c r="AQ632" s="71">
        <f t="shared" si="214"/>
        <v>0</v>
      </c>
      <c r="AT632" s="71">
        <f t="shared" si="215"/>
        <v>0</v>
      </c>
      <c r="AV632" s="71">
        <f t="shared" si="216"/>
        <v>0</v>
      </c>
      <c r="AX632" s="71">
        <f t="shared" si="217"/>
        <v>0</v>
      </c>
      <c r="AZ632" s="71">
        <f t="shared" si="218"/>
        <v>0</v>
      </c>
      <c r="BE632" s="81">
        <f t="shared" si="219"/>
        <v>0</v>
      </c>
      <c r="BF632" s="81" t="str">
        <f t="shared" si="220"/>
        <v>BASSO</v>
      </c>
    </row>
    <row r="633" spans="7:58" x14ac:dyDescent="0.15">
      <c r="G633" s="64">
        <f t="shared" si="199"/>
        <v>0</v>
      </c>
      <c r="I633" s="64">
        <f t="shared" si="200"/>
        <v>0</v>
      </c>
      <c r="K633" s="64">
        <f t="shared" si="201"/>
        <v>0</v>
      </c>
      <c r="M633" s="64">
        <f t="shared" si="202"/>
        <v>0</v>
      </c>
      <c r="O633" s="64">
        <f t="shared" si="203"/>
        <v>0</v>
      </c>
      <c r="Q633" s="64">
        <f t="shared" si="204"/>
        <v>0</v>
      </c>
      <c r="S633" s="71">
        <f t="shared" si="205"/>
        <v>0</v>
      </c>
      <c r="U633" s="64">
        <f t="shared" si="206"/>
        <v>0</v>
      </c>
      <c r="W633" s="71">
        <f t="shared" si="207"/>
        <v>0</v>
      </c>
      <c r="Y633" s="71">
        <f t="shared" si="208"/>
        <v>0</v>
      </c>
      <c r="AA633" s="71">
        <f t="shared" si="209"/>
        <v>0</v>
      </c>
      <c r="AC633" s="71">
        <f t="shared" si="210"/>
        <v>0</v>
      </c>
      <c r="AK633" s="71">
        <f t="shared" si="211"/>
        <v>0</v>
      </c>
      <c r="AM633" s="71">
        <f t="shared" si="212"/>
        <v>0</v>
      </c>
      <c r="AO633" s="71">
        <f t="shared" si="213"/>
        <v>0</v>
      </c>
      <c r="AQ633" s="71">
        <f t="shared" si="214"/>
        <v>0</v>
      </c>
      <c r="AT633" s="71">
        <f t="shared" si="215"/>
        <v>0</v>
      </c>
      <c r="AV633" s="71">
        <f t="shared" si="216"/>
        <v>0</v>
      </c>
      <c r="AX633" s="71">
        <f t="shared" si="217"/>
        <v>0</v>
      </c>
      <c r="AZ633" s="71">
        <f t="shared" si="218"/>
        <v>0</v>
      </c>
      <c r="BE633" s="81">
        <f t="shared" si="219"/>
        <v>0</v>
      </c>
      <c r="BF633" s="81" t="str">
        <f t="shared" si="220"/>
        <v>BASSO</v>
      </c>
    </row>
    <row r="634" spans="7:58" x14ac:dyDescent="0.15">
      <c r="G634" s="64">
        <f t="shared" si="199"/>
        <v>0</v>
      </c>
      <c r="I634" s="64">
        <f t="shared" si="200"/>
        <v>0</v>
      </c>
      <c r="K634" s="64">
        <f t="shared" si="201"/>
        <v>0</v>
      </c>
      <c r="M634" s="64">
        <f t="shared" si="202"/>
        <v>0</v>
      </c>
      <c r="O634" s="64">
        <f t="shared" si="203"/>
        <v>0</v>
      </c>
      <c r="Q634" s="64">
        <f t="shared" si="204"/>
        <v>0</v>
      </c>
      <c r="S634" s="71">
        <f t="shared" si="205"/>
        <v>0</v>
      </c>
      <c r="U634" s="64">
        <f t="shared" si="206"/>
        <v>0</v>
      </c>
      <c r="W634" s="71">
        <f t="shared" si="207"/>
        <v>0</v>
      </c>
      <c r="Y634" s="71">
        <f t="shared" si="208"/>
        <v>0</v>
      </c>
      <c r="AA634" s="71">
        <f t="shared" si="209"/>
        <v>0</v>
      </c>
      <c r="AC634" s="71">
        <f t="shared" si="210"/>
        <v>0</v>
      </c>
      <c r="AK634" s="71">
        <f t="shared" si="211"/>
        <v>0</v>
      </c>
      <c r="AM634" s="71">
        <f t="shared" si="212"/>
        <v>0</v>
      </c>
      <c r="AO634" s="71">
        <f t="shared" si="213"/>
        <v>0</v>
      </c>
      <c r="AQ634" s="71">
        <f t="shared" si="214"/>
        <v>0</v>
      </c>
      <c r="AT634" s="71">
        <f t="shared" si="215"/>
        <v>0</v>
      </c>
      <c r="AV634" s="71">
        <f t="shared" si="216"/>
        <v>0</v>
      </c>
      <c r="AX634" s="71">
        <f t="shared" si="217"/>
        <v>0</v>
      </c>
      <c r="AZ634" s="71">
        <f t="shared" si="218"/>
        <v>0</v>
      </c>
      <c r="BE634" s="81">
        <f t="shared" si="219"/>
        <v>0</v>
      </c>
      <c r="BF634" s="81" t="str">
        <f t="shared" si="220"/>
        <v>BASSO</v>
      </c>
    </row>
    <row r="635" spans="7:58" x14ac:dyDescent="0.15">
      <c r="G635" s="64">
        <f t="shared" si="199"/>
        <v>0</v>
      </c>
      <c r="I635" s="64">
        <f t="shared" si="200"/>
        <v>0</v>
      </c>
      <c r="K635" s="64">
        <f t="shared" si="201"/>
        <v>0</v>
      </c>
      <c r="M635" s="64">
        <f t="shared" si="202"/>
        <v>0</v>
      </c>
      <c r="O635" s="64">
        <f t="shared" si="203"/>
        <v>0</v>
      </c>
      <c r="Q635" s="64">
        <f t="shared" si="204"/>
        <v>0</v>
      </c>
      <c r="S635" s="71">
        <f t="shared" si="205"/>
        <v>0</v>
      </c>
      <c r="U635" s="64">
        <f t="shared" si="206"/>
        <v>0</v>
      </c>
      <c r="W635" s="71">
        <f t="shared" si="207"/>
        <v>0</v>
      </c>
      <c r="Y635" s="71">
        <f t="shared" si="208"/>
        <v>0</v>
      </c>
      <c r="AA635" s="71">
        <f t="shared" si="209"/>
        <v>0</v>
      </c>
      <c r="AC635" s="71">
        <f t="shared" si="210"/>
        <v>0</v>
      </c>
      <c r="AK635" s="71">
        <f t="shared" si="211"/>
        <v>0</v>
      </c>
      <c r="AM635" s="71">
        <f t="shared" si="212"/>
        <v>0</v>
      </c>
      <c r="AO635" s="71">
        <f t="shared" si="213"/>
        <v>0</v>
      </c>
      <c r="AQ635" s="71">
        <f t="shared" si="214"/>
        <v>0</v>
      </c>
      <c r="AT635" s="71">
        <f t="shared" si="215"/>
        <v>0</v>
      </c>
      <c r="AV635" s="71">
        <f t="shared" si="216"/>
        <v>0</v>
      </c>
      <c r="AX635" s="71">
        <f t="shared" si="217"/>
        <v>0</v>
      </c>
      <c r="AZ635" s="71">
        <f t="shared" si="218"/>
        <v>0</v>
      </c>
      <c r="BE635" s="81">
        <f t="shared" si="219"/>
        <v>0</v>
      </c>
      <c r="BF635" s="81" t="str">
        <f t="shared" si="220"/>
        <v>BASSO</v>
      </c>
    </row>
    <row r="636" spans="7:58" x14ac:dyDescent="0.15">
      <c r="G636" s="64">
        <f t="shared" si="199"/>
        <v>0</v>
      </c>
      <c r="I636" s="64">
        <f t="shared" si="200"/>
        <v>0</v>
      </c>
      <c r="K636" s="64">
        <f t="shared" si="201"/>
        <v>0</v>
      </c>
      <c r="M636" s="64">
        <f t="shared" si="202"/>
        <v>0</v>
      </c>
      <c r="O636" s="64">
        <f t="shared" si="203"/>
        <v>0</v>
      </c>
      <c r="Q636" s="64">
        <f t="shared" si="204"/>
        <v>0</v>
      </c>
      <c r="S636" s="71">
        <f t="shared" si="205"/>
        <v>0</v>
      </c>
      <c r="U636" s="64">
        <f t="shared" si="206"/>
        <v>0</v>
      </c>
      <c r="W636" s="71">
        <f t="shared" si="207"/>
        <v>0</v>
      </c>
      <c r="Y636" s="71">
        <f t="shared" si="208"/>
        <v>0</v>
      </c>
      <c r="AA636" s="71">
        <f t="shared" si="209"/>
        <v>0</v>
      </c>
      <c r="AC636" s="71">
        <f t="shared" si="210"/>
        <v>0</v>
      </c>
      <c r="AK636" s="71">
        <f t="shared" si="211"/>
        <v>0</v>
      </c>
      <c r="AM636" s="71">
        <f t="shared" si="212"/>
        <v>0</v>
      </c>
      <c r="AO636" s="71">
        <f t="shared" si="213"/>
        <v>0</v>
      </c>
      <c r="AQ636" s="71">
        <f t="shared" si="214"/>
        <v>0</v>
      </c>
      <c r="AT636" s="71">
        <f t="shared" si="215"/>
        <v>0</v>
      </c>
      <c r="AV636" s="71">
        <f t="shared" si="216"/>
        <v>0</v>
      </c>
      <c r="AX636" s="71">
        <f t="shared" si="217"/>
        <v>0</v>
      </c>
      <c r="AZ636" s="71">
        <f t="shared" si="218"/>
        <v>0</v>
      </c>
      <c r="BE636" s="81">
        <f t="shared" si="219"/>
        <v>0</v>
      </c>
      <c r="BF636" s="81" t="str">
        <f t="shared" si="220"/>
        <v>BASSO</v>
      </c>
    </row>
    <row r="637" spans="7:58" x14ac:dyDescent="0.15">
      <c r="G637" s="64">
        <f t="shared" si="199"/>
        <v>0</v>
      </c>
      <c r="I637" s="64">
        <f t="shared" si="200"/>
        <v>0</v>
      </c>
      <c r="K637" s="64">
        <f t="shared" si="201"/>
        <v>0</v>
      </c>
      <c r="M637" s="64">
        <f t="shared" si="202"/>
        <v>0</v>
      </c>
      <c r="O637" s="64">
        <f t="shared" si="203"/>
        <v>0</v>
      </c>
      <c r="Q637" s="64">
        <f t="shared" si="204"/>
        <v>0</v>
      </c>
      <c r="S637" s="71">
        <f t="shared" si="205"/>
        <v>0</v>
      </c>
      <c r="U637" s="64">
        <f t="shared" si="206"/>
        <v>0</v>
      </c>
      <c r="W637" s="71">
        <f t="shared" si="207"/>
        <v>0</v>
      </c>
      <c r="Y637" s="71">
        <f t="shared" si="208"/>
        <v>0</v>
      </c>
      <c r="AA637" s="71">
        <f t="shared" si="209"/>
        <v>0</v>
      </c>
      <c r="AC637" s="71">
        <f t="shared" si="210"/>
        <v>0</v>
      </c>
      <c r="AK637" s="71">
        <f t="shared" si="211"/>
        <v>0</v>
      </c>
      <c r="AM637" s="71">
        <f t="shared" si="212"/>
        <v>0</v>
      </c>
      <c r="AO637" s="71">
        <f t="shared" si="213"/>
        <v>0</v>
      </c>
      <c r="AQ637" s="71">
        <f t="shared" si="214"/>
        <v>0</v>
      </c>
      <c r="AT637" s="71">
        <f t="shared" si="215"/>
        <v>0</v>
      </c>
      <c r="AV637" s="71">
        <f t="shared" si="216"/>
        <v>0</v>
      </c>
      <c r="AX637" s="71">
        <f t="shared" si="217"/>
        <v>0</v>
      </c>
      <c r="AZ637" s="71">
        <f t="shared" si="218"/>
        <v>0</v>
      </c>
      <c r="BE637" s="81">
        <f t="shared" si="219"/>
        <v>0</v>
      </c>
      <c r="BF637" s="81" t="str">
        <f t="shared" si="220"/>
        <v>BASSO</v>
      </c>
    </row>
    <row r="638" spans="7:58" x14ac:dyDescent="0.15">
      <c r="G638" s="64">
        <f t="shared" si="199"/>
        <v>0</v>
      </c>
      <c r="I638" s="64">
        <f t="shared" si="200"/>
        <v>0</v>
      </c>
      <c r="K638" s="64">
        <f t="shared" si="201"/>
        <v>0</v>
      </c>
      <c r="M638" s="64">
        <f t="shared" si="202"/>
        <v>0</v>
      </c>
      <c r="O638" s="64">
        <f t="shared" si="203"/>
        <v>0</v>
      </c>
      <c r="Q638" s="64">
        <f t="shared" si="204"/>
        <v>0</v>
      </c>
      <c r="S638" s="71">
        <f t="shared" si="205"/>
        <v>0</v>
      </c>
      <c r="U638" s="64">
        <f t="shared" si="206"/>
        <v>0</v>
      </c>
      <c r="W638" s="71">
        <f t="shared" si="207"/>
        <v>0</v>
      </c>
      <c r="Y638" s="71">
        <f t="shared" si="208"/>
        <v>0</v>
      </c>
      <c r="AA638" s="71">
        <f t="shared" si="209"/>
        <v>0</v>
      </c>
      <c r="AC638" s="71">
        <f t="shared" si="210"/>
        <v>0</v>
      </c>
      <c r="AK638" s="71">
        <f t="shared" si="211"/>
        <v>0</v>
      </c>
      <c r="AM638" s="71">
        <f t="shared" si="212"/>
        <v>0</v>
      </c>
      <c r="AO638" s="71">
        <f t="shared" si="213"/>
        <v>0</v>
      </c>
      <c r="AQ638" s="71">
        <f t="shared" si="214"/>
        <v>0</v>
      </c>
      <c r="AT638" s="71">
        <f t="shared" si="215"/>
        <v>0</v>
      </c>
      <c r="AV638" s="71">
        <f t="shared" si="216"/>
        <v>0</v>
      </c>
      <c r="AX638" s="71">
        <f t="shared" si="217"/>
        <v>0</v>
      </c>
      <c r="AZ638" s="71">
        <f t="shared" si="218"/>
        <v>0</v>
      </c>
      <c r="BE638" s="81">
        <f t="shared" si="219"/>
        <v>0</v>
      </c>
      <c r="BF638" s="81" t="str">
        <f t="shared" si="220"/>
        <v>BASSO</v>
      </c>
    </row>
    <row r="639" spans="7:58" x14ac:dyDescent="0.15">
      <c r="G639" s="64">
        <f t="shared" si="199"/>
        <v>0</v>
      </c>
      <c r="I639" s="64">
        <f t="shared" si="200"/>
        <v>0</v>
      </c>
      <c r="K639" s="64">
        <f t="shared" si="201"/>
        <v>0</v>
      </c>
      <c r="M639" s="64">
        <f t="shared" si="202"/>
        <v>0</v>
      </c>
      <c r="O639" s="64">
        <f t="shared" si="203"/>
        <v>0</v>
      </c>
      <c r="Q639" s="64">
        <f t="shared" si="204"/>
        <v>0</v>
      </c>
      <c r="S639" s="71">
        <f t="shared" si="205"/>
        <v>0</v>
      </c>
      <c r="U639" s="64">
        <f t="shared" si="206"/>
        <v>0</v>
      </c>
      <c r="W639" s="71">
        <f t="shared" si="207"/>
        <v>0</v>
      </c>
      <c r="Y639" s="71">
        <f t="shared" si="208"/>
        <v>0</v>
      </c>
      <c r="AA639" s="71">
        <f t="shared" si="209"/>
        <v>0</v>
      </c>
      <c r="AC639" s="71">
        <f t="shared" si="210"/>
        <v>0</v>
      </c>
      <c r="AK639" s="71">
        <f t="shared" si="211"/>
        <v>0</v>
      </c>
      <c r="AM639" s="71">
        <f t="shared" si="212"/>
        <v>0</v>
      </c>
      <c r="AO639" s="71">
        <f t="shared" si="213"/>
        <v>0</v>
      </c>
      <c r="AQ639" s="71">
        <f t="shared" si="214"/>
        <v>0</v>
      </c>
      <c r="AT639" s="71">
        <f t="shared" si="215"/>
        <v>0</v>
      </c>
      <c r="AV639" s="71">
        <f t="shared" si="216"/>
        <v>0</v>
      </c>
      <c r="AX639" s="71">
        <f t="shared" si="217"/>
        <v>0</v>
      </c>
      <c r="AZ639" s="71">
        <f t="shared" si="218"/>
        <v>0</v>
      </c>
      <c r="BE639" s="81">
        <f t="shared" si="219"/>
        <v>0</v>
      </c>
      <c r="BF639" s="81" t="str">
        <f t="shared" si="220"/>
        <v>BASSO</v>
      </c>
    </row>
    <row r="640" spans="7:58" x14ac:dyDescent="0.15">
      <c r="G640" s="64">
        <f t="shared" si="199"/>
        <v>0</v>
      </c>
      <c r="I640" s="64">
        <f t="shared" si="200"/>
        <v>0</v>
      </c>
      <c r="K640" s="64">
        <f t="shared" si="201"/>
        <v>0</v>
      </c>
      <c r="M640" s="64">
        <f t="shared" si="202"/>
        <v>0</v>
      </c>
      <c r="O640" s="64">
        <f t="shared" si="203"/>
        <v>0</v>
      </c>
      <c r="Q640" s="64">
        <f t="shared" si="204"/>
        <v>0</v>
      </c>
      <c r="S640" s="71">
        <f t="shared" si="205"/>
        <v>0</v>
      </c>
      <c r="U640" s="64">
        <f t="shared" si="206"/>
        <v>0</v>
      </c>
      <c r="W640" s="71">
        <f t="shared" si="207"/>
        <v>0</v>
      </c>
      <c r="Y640" s="71">
        <f t="shared" si="208"/>
        <v>0</v>
      </c>
      <c r="AA640" s="71">
        <f t="shared" si="209"/>
        <v>0</v>
      </c>
      <c r="AC640" s="71">
        <f t="shared" si="210"/>
        <v>0</v>
      </c>
      <c r="AK640" s="71">
        <f t="shared" si="211"/>
        <v>0</v>
      </c>
      <c r="AM640" s="71">
        <f t="shared" si="212"/>
        <v>0</v>
      </c>
      <c r="AO640" s="71">
        <f t="shared" si="213"/>
        <v>0</v>
      </c>
      <c r="AQ640" s="71">
        <f t="shared" si="214"/>
        <v>0</v>
      </c>
      <c r="AT640" s="71">
        <f t="shared" si="215"/>
        <v>0</v>
      </c>
      <c r="AV640" s="71">
        <f t="shared" si="216"/>
        <v>0</v>
      </c>
      <c r="AX640" s="71">
        <f t="shared" si="217"/>
        <v>0</v>
      </c>
      <c r="AZ640" s="71">
        <f t="shared" si="218"/>
        <v>0</v>
      </c>
      <c r="BE640" s="81">
        <f t="shared" si="219"/>
        <v>0</v>
      </c>
      <c r="BF640" s="81" t="str">
        <f t="shared" si="220"/>
        <v>BASSO</v>
      </c>
    </row>
    <row r="641" spans="7:58" x14ac:dyDescent="0.15">
      <c r="G641" s="64">
        <f t="shared" si="199"/>
        <v>0</v>
      </c>
      <c r="I641" s="64">
        <f t="shared" si="200"/>
        <v>0</v>
      </c>
      <c r="K641" s="64">
        <f t="shared" si="201"/>
        <v>0</v>
      </c>
      <c r="M641" s="64">
        <f t="shared" si="202"/>
        <v>0</v>
      </c>
      <c r="O641" s="64">
        <f t="shared" si="203"/>
        <v>0</v>
      </c>
      <c r="Q641" s="64">
        <f t="shared" si="204"/>
        <v>0</v>
      </c>
      <c r="S641" s="71">
        <f t="shared" si="205"/>
        <v>0</v>
      </c>
      <c r="U641" s="64">
        <f t="shared" si="206"/>
        <v>0</v>
      </c>
      <c r="W641" s="71">
        <f t="shared" si="207"/>
        <v>0</v>
      </c>
      <c r="Y641" s="71">
        <f t="shared" si="208"/>
        <v>0</v>
      </c>
      <c r="AA641" s="71">
        <f t="shared" si="209"/>
        <v>0</v>
      </c>
      <c r="AC641" s="71">
        <f t="shared" si="210"/>
        <v>0</v>
      </c>
      <c r="AK641" s="71">
        <f t="shared" si="211"/>
        <v>0</v>
      </c>
      <c r="AM641" s="71">
        <f t="shared" si="212"/>
        <v>0</v>
      </c>
      <c r="AO641" s="71">
        <f t="shared" si="213"/>
        <v>0</v>
      </c>
      <c r="AQ641" s="71">
        <f t="shared" si="214"/>
        <v>0</v>
      </c>
      <c r="AT641" s="71">
        <f t="shared" si="215"/>
        <v>0</v>
      </c>
      <c r="AV641" s="71">
        <f t="shared" si="216"/>
        <v>0</v>
      </c>
      <c r="AX641" s="71">
        <f t="shared" si="217"/>
        <v>0</v>
      </c>
      <c r="AZ641" s="71">
        <f t="shared" si="218"/>
        <v>0</v>
      </c>
      <c r="BE641" s="81">
        <f t="shared" si="219"/>
        <v>0</v>
      </c>
      <c r="BF641" s="81" t="str">
        <f t="shared" si="220"/>
        <v>BASSO</v>
      </c>
    </row>
    <row r="642" spans="7:58" x14ac:dyDescent="0.15">
      <c r="G642" s="64">
        <f t="shared" ref="G642:G705" si="221">F643/2</f>
        <v>0</v>
      </c>
      <c r="I642" s="64">
        <f t="shared" si="200"/>
        <v>0</v>
      </c>
      <c r="K642" s="64">
        <f t="shared" si="201"/>
        <v>0</v>
      </c>
      <c r="M642" s="64">
        <f t="shared" si="202"/>
        <v>0</v>
      </c>
      <c r="O642" s="64">
        <f t="shared" si="203"/>
        <v>0</v>
      </c>
      <c r="Q642" s="64">
        <f t="shared" si="204"/>
        <v>0</v>
      </c>
      <c r="S642" s="71">
        <f t="shared" si="205"/>
        <v>0</v>
      </c>
      <c r="U642" s="64">
        <f t="shared" si="206"/>
        <v>0</v>
      </c>
      <c r="W642" s="71">
        <f t="shared" si="207"/>
        <v>0</v>
      </c>
      <c r="Y642" s="71">
        <f t="shared" si="208"/>
        <v>0</v>
      </c>
      <c r="AA642" s="71">
        <f t="shared" si="209"/>
        <v>0</v>
      </c>
      <c r="AC642" s="71">
        <f t="shared" si="210"/>
        <v>0</v>
      </c>
      <c r="AK642" s="71">
        <f t="shared" si="211"/>
        <v>0</v>
      </c>
      <c r="AM642" s="71">
        <f t="shared" si="212"/>
        <v>0</v>
      </c>
      <c r="AO642" s="71">
        <f t="shared" si="213"/>
        <v>0</v>
      </c>
      <c r="AQ642" s="71">
        <f t="shared" si="214"/>
        <v>0</v>
      </c>
      <c r="AT642" s="71">
        <f t="shared" si="215"/>
        <v>0</v>
      </c>
      <c r="AV642" s="71">
        <f t="shared" si="216"/>
        <v>0</v>
      </c>
      <c r="AX642" s="71">
        <f t="shared" si="217"/>
        <v>0</v>
      </c>
      <c r="AZ642" s="71">
        <f t="shared" si="218"/>
        <v>0</v>
      </c>
      <c r="BE642" s="81">
        <f t="shared" si="219"/>
        <v>0</v>
      </c>
      <c r="BF642" s="81" t="str">
        <f t="shared" si="220"/>
        <v>BASSO</v>
      </c>
    </row>
    <row r="643" spans="7:58" x14ac:dyDescent="0.15">
      <c r="G643" s="64">
        <f t="shared" si="221"/>
        <v>0</v>
      </c>
      <c r="I643" s="64">
        <f t="shared" ref="I643:I706" si="222">H643/2</f>
        <v>0</v>
      </c>
      <c r="K643" s="64">
        <f t="shared" ref="K643:K706" si="223">J643/2</f>
        <v>0</v>
      </c>
      <c r="M643" s="64">
        <f t="shared" ref="M643:M706" si="224">L643/3</f>
        <v>0</v>
      </c>
      <c r="O643" s="64">
        <f t="shared" ref="O643:O706" si="225">N643/5</f>
        <v>0</v>
      </c>
      <c r="Q643" s="64">
        <f t="shared" ref="Q643:Q706" si="226">P643/3</f>
        <v>0</v>
      </c>
      <c r="S643" s="71">
        <f t="shared" ref="S643:S706" si="227">R643/3</f>
        <v>0</v>
      </c>
      <c r="U643" s="64">
        <f t="shared" ref="U643:U706" si="228">T643/3</f>
        <v>0</v>
      </c>
      <c r="W643" s="71">
        <f t="shared" ref="W643:W706" si="229">V643/4</f>
        <v>0</v>
      </c>
      <c r="Y643" s="71">
        <f t="shared" ref="Y643:Y706" si="230">X643/3</f>
        <v>0</v>
      </c>
      <c r="AA643" s="71">
        <f t="shared" ref="AA643:AA706" si="231">Z643/3</f>
        <v>0</v>
      </c>
      <c r="AC643" s="71">
        <f t="shared" ref="AC643:AC706" si="232">AB643/2</f>
        <v>0</v>
      </c>
      <c r="AK643" s="71">
        <f t="shared" ref="AK643:AK706" si="233">AJ643/2</f>
        <v>0</v>
      </c>
      <c r="AM643" s="71">
        <f t="shared" ref="AM643:AM706" si="234">AL643/3</f>
        <v>0</v>
      </c>
      <c r="AO643" s="71">
        <f t="shared" ref="AO643:AO706" si="235">AN643/3</f>
        <v>0</v>
      </c>
      <c r="AQ643" s="71">
        <f t="shared" ref="AQ643:AQ706" si="236">AP643/3</f>
        <v>0</v>
      </c>
      <c r="AT643" s="71">
        <f t="shared" ref="AT643:AT706" si="237">AS643/3</f>
        <v>0</v>
      </c>
      <c r="AV643" s="71">
        <f t="shared" ref="AV643:AV706" si="238">AU643/3</f>
        <v>0</v>
      </c>
      <c r="AX643" s="71">
        <f t="shared" ref="AX643:AX706" si="239">AW643/2</f>
        <v>0</v>
      </c>
      <c r="AZ643" s="71">
        <f t="shared" ref="AZ643:AZ706" si="240">AY643/3</f>
        <v>0</v>
      </c>
      <c r="BE643" s="81">
        <f t="shared" ref="BE643:BE706" si="241">AVERAGE(F643,I643,K643,M643,O643,Q643,S643,U643,W643,Y643,AA643,AC643,AK643,AM643,AO643,AQ643,AT643,AV643,AX643,AZ643)</f>
        <v>0</v>
      </c>
      <c r="BF643" s="81" t="str">
        <f t="shared" ref="BF643:BF706" si="242">IF(BE643="","",IF(VALUE(BE643)&lt;0.34,"BASSO",IF(VALUE(BE643)&lt;=0.66,"MEDIO","ALTO")))</f>
        <v>BASSO</v>
      </c>
    </row>
    <row r="644" spans="7:58" x14ac:dyDescent="0.15">
      <c r="G644" s="64">
        <f t="shared" si="221"/>
        <v>0</v>
      </c>
      <c r="I644" s="64">
        <f t="shared" si="222"/>
        <v>0</v>
      </c>
      <c r="K644" s="64">
        <f t="shared" si="223"/>
        <v>0</v>
      </c>
      <c r="M644" s="64">
        <f t="shared" si="224"/>
        <v>0</v>
      </c>
      <c r="O644" s="64">
        <f t="shared" si="225"/>
        <v>0</v>
      </c>
      <c r="Q644" s="64">
        <f t="shared" si="226"/>
        <v>0</v>
      </c>
      <c r="S644" s="71">
        <f t="shared" si="227"/>
        <v>0</v>
      </c>
      <c r="U644" s="64">
        <f t="shared" si="228"/>
        <v>0</v>
      </c>
      <c r="W644" s="71">
        <f t="shared" si="229"/>
        <v>0</v>
      </c>
      <c r="Y644" s="71">
        <f t="shared" si="230"/>
        <v>0</v>
      </c>
      <c r="AA644" s="71">
        <f t="shared" si="231"/>
        <v>0</v>
      </c>
      <c r="AC644" s="71">
        <f t="shared" si="232"/>
        <v>0</v>
      </c>
      <c r="AK644" s="71">
        <f t="shared" si="233"/>
        <v>0</v>
      </c>
      <c r="AM644" s="71">
        <f t="shared" si="234"/>
        <v>0</v>
      </c>
      <c r="AO644" s="71">
        <f t="shared" si="235"/>
        <v>0</v>
      </c>
      <c r="AQ644" s="71">
        <f t="shared" si="236"/>
        <v>0</v>
      </c>
      <c r="AT644" s="71">
        <f t="shared" si="237"/>
        <v>0</v>
      </c>
      <c r="AV644" s="71">
        <f t="shared" si="238"/>
        <v>0</v>
      </c>
      <c r="AX644" s="71">
        <f t="shared" si="239"/>
        <v>0</v>
      </c>
      <c r="AZ644" s="71">
        <f t="shared" si="240"/>
        <v>0</v>
      </c>
      <c r="BE644" s="81">
        <f t="shared" si="241"/>
        <v>0</v>
      </c>
      <c r="BF644" s="81" t="str">
        <f t="shared" si="242"/>
        <v>BASSO</v>
      </c>
    </row>
    <row r="645" spans="7:58" x14ac:dyDescent="0.15">
      <c r="G645" s="64">
        <f t="shared" si="221"/>
        <v>0</v>
      </c>
      <c r="I645" s="64">
        <f t="shared" si="222"/>
        <v>0</v>
      </c>
      <c r="K645" s="64">
        <f t="shared" si="223"/>
        <v>0</v>
      </c>
      <c r="M645" s="64">
        <f t="shared" si="224"/>
        <v>0</v>
      </c>
      <c r="O645" s="64">
        <f t="shared" si="225"/>
        <v>0</v>
      </c>
      <c r="Q645" s="64">
        <f t="shared" si="226"/>
        <v>0</v>
      </c>
      <c r="S645" s="71">
        <f t="shared" si="227"/>
        <v>0</v>
      </c>
      <c r="U645" s="64">
        <f t="shared" si="228"/>
        <v>0</v>
      </c>
      <c r="W645" s="71">
        <f t="shared" si="229"/>
        <v>0</v>
      </c>
      <c r="Y645" s="71">
        <f t="shared" si="230"/>
        <v>0</v>
      </c>
      <c r="AA645" s="71">
        <f t="shared" si="231"/>
        <v>0</v>
      </c>
      <c r="AC645" s="71">
        <f t="shared" si="232"/>
        <v>0</v>
      </c>
      <c r="AK645" s="71">
        <f t="shared" si="233"/>
        <v>0</v>
      </c>
      <c r="AM645" s="71">
        <f t="shared" si="234"/>
        <v>0</v>
      </c>
      <c r="AO645" s="71">
        <f t="shared" si="235"/>
        <v>0</v>
      </c>
      <c r="AQ645" s="71">
        <f t="shared" si="236"/>
        <v>0</v>
      </c>
      <c r="AT645" s="71">
        <f t="shared" si="237"/>
        <v>0</v>
      </c>
      <c r="AV645" s="71">
        <f t="shared" si="238"/>
        <v>0</v>
      </c>
      <c r="AX645" s="71">
        <f t="shared" si="239"/>
        <v>0</v>
      </c>
      <c r="AZ645" s="71">
        <f t="shared" si="240"/>
        <v>0</v>
      </c>
      <c r="BE645" s="81">
        <f t="shared" si="241"/>
        <v>0</v>
      </c>
      <c r="BF645" s="81" t="str">
        <f t="shared" si="242"/>
        <v>BASSO</v>
      </c>
    </row>
    <row r="646" spans="7:58" x14ac:dyDescent="0.15">
      <c r="G646" s="64">
        <f t="shared" si="221"/>
        <v>0</v>
      </c>
      <c r="I646" s="64">
        <f t="shared" si="222"/>
        <v>0</v>
      </c>
      <c r="K646" s="64">
        <f t="shared" si="223"/>
        <v>0</v>
      </c>
      <c r="M646" s="64">
        <f t="shared" si="224"/>
        <v>0</v>
      </c>
      <c r="O646" s="64">
        <f t="shared" si="225"/>
        <v>0</v>
      </c>
      <c r="Q646" s="64">
        <f t="shared" si="226"/>
        <v>0</v>
      </c>
      <c r="S646" s="71">
        <f t="shared" si="227"/>
        <v>0</v>
      </c>
      <c r="U646" s="64">
        <f t="shared" si="228"/>
        <v>0</v>
      </c>
      <c r="W646" s="71">
        <f t="shared" si="229"/>
        <v>0</v>
      </c>
      <c r="Y646" s="71">
        <f t="shared" si="230"/>
        <v>0</v>
      </c>
      <c r="AA646" s="71">
        <f t="shared" si="231"/>
        <v>0</v>
      </c>
      <c r="AC646" s="71">
        <f t="shared" si="232"/>
        <v>0</v>
      </c>
      <c r="AK646" s="71">
        <f t="shared" si="233"/>
        <v>0</v>
      </c>
      <c r="AM646" s="71">
        <f t="shared" si="234"/>
        <v>0</v>
      </c>
      <c r="AO646" s="71">
        <f t="shared" si="235"/>
        <v>0</v>
      </c>
      <c r="AQ646" s="71">
        <f t="shared" si="236"/>
        <v>0</v>
      </c>
      <c r="AT646" s="71">
        <f t="shared" si="237"/>
        <v>0</v>
      </c>
      <c r="AV646" s="71">
        <f t="shared" si="238"/>
        <v>0</v>
      </c>
      <c r="AX646" s="71">
        <f t="shared" si="239"/>
        <v>0</v>
      </c>
      <c r="AZ646" s="71">
        <f t="shared" si="240"/>
        <v>0</v>
      </c>
      <c r="BE646" s="81">
        <f t="shared" si="241"/>
        <v>0</v>
      </c>
      <c r="BF646" s="81" t="str">
        <f t="shared" si="242"/>
        <v>BASSO</v>
      </c>
    </row>
    <row r="647" spans="7:58" x14ac:dyDescent="0.15">
      <c r="G647" s="64">
        <f t="shared" si="221"/>
        <v>0</v>
      </c>
      <c r="I647" s="64">
        <f t="shared" si="222"/>
        <v>0</v>
      </c>
      <c r="K647" s="64">
        <f t="shared" si="223"/>
        <v>0</v>
      </c>
      <c r="M647" s="64">
        <f t="shared" si="224"/>
        <v>0</v>
      </c>
      <c r="O647" s="64">
        <f t="shared" si="225"/>
        <v>0</v>
      </c>
      <c r="Q647" s="64">
        <f t="shared" si="226"/>
        <v>0</v>
      </c>
      <c r="S647" s="71">
        <f t="shared" si="227"/>
        <v>0</v>
      </c>
      <c r="U647" s="64">
        <f t="shared" si="228"/>
        <v>0</v>
      </c>
      <c r="W647" s="71">
        <f t="shared" si="229"/>
        <v>0</v>
      </c>
      <c r="Y647" s="71">
        <f t="shared" si="230"/>
        <v>0</v>
      </c>
      <c r="AA647" s="71">
        <f t="shared" si="231"/>
        <v>0</v>
      </c>
      <c r="AC647" s="71">
        <f t="shared" si="232"/>
        <v>0</v>
      </c>
      <c r="AK647" s="71">
        <f t="shared" si="233"/>
        <v>0</v>
      </c>
      <c r="AM647" s="71">
        <f t="shared" si="234"/>
        <v>0</v>
      </c>
      <c r="AO647" s="71">
        <f t="shared" si="235"/>
        <v>0</v>
      </c>
      <c r="AQ647" s="71">
        <f t="shared" si="236"/>
        <v>0</v>
      </c>
      <c r="AT647" s="71">
        <f t="shared" si="237"/>
        <v>0</v>
      </c>
      <c r="AV647" s="71">
        <f t="shared" si="238"/>
        <v>0</v>
      </c>
      <c r="AX647" s="71">
        <f t="shared" si="239"/>
        <v>0</v>
      </c>
      <c r="AZ647" s="71">
        <f t="shared" si="240"/>
        <v>0</v>
      </c>
      <c r="BE647" s="81">
        <f t="shared" si="241"/>
        <v>0</v>
      </c>
      <c r="BF647" s="81" t="str">
        <f t="shared" si="242"/>
        <v>BASSO</v>
      </c>
    </row>
    <row r="648" spans="7:58" x14ac:dyDescent="0.15">
      <c r="G648" s="64">
        <f t="shared" si="221"/>
        <v>0</v>
      </c>
      <c r="I648" s="64">
        <f t="shared" si="222"/>
        <v>0</v>
      </c>
      <c r="K648" s="64">
        <f t="shared" si="223"/>
        <v>0</v>
      </c>
      <c r="M648" s="64">
        <f t="shared" si="224"/>
        <v>0</v>
      </c>
      <c r="O648" s="64">
        <f t="shared" si="225"/>
        <v>0</v>
      </c>
      <c r="Q648" s="64">
        <f t="shared" si="226"/>
        <v>0</v>
      </c>
      <c r="S648" s="71">
        <f t="shared" si="227"/>
        <v>0</v>
      </c>
      <c r="U648" s="64">
        <f t="shared" si="228"/>
        <v>0</v>
      </c>
      <c r="W648" s="71">
        <f t="shared" si="229"/>
        <v>0</v>
      </c>
      <c r="Y648" s="71">
        <f t="shared" si="230"/>
        <v>0</v>
      </c>
      <c r="AA648" s="71">
        <f t="shared" si="231"/>
        <v>0</v>
      </c>
      <c r="AC648" s="71">
        <f t="shared" si="232"/>
        <v>0</v>
      </c>
      <c r="AK648" s="71">
        <f t="shared" si="233"/>
        <v>0</v>
      </c>
      <c r="AM648" s="71">
        <f t="shared" si="234"/>
        <v>0</v>
      </c>
      <c r="AO648" s="71">
        <f t="shared" si="235"/>
        <v>0</v>
      </c>
      <c r="AQ648" s="71">
        <f t="shared" si="236"/>
        <v>0</v>
      </c>
      <c r="AT648" s="71">
        <f t="shared" si="237"/>
        <v>0</v>
      </c>
      <c r="AV648" s="71">
        <f t="shared" si="238"/>
        <v>0</v>
      </c>
      <c r="AX648" s="71">
        <f t="shared" si="239"/>
        <v>0</v>
      </c>
      <c r="AZ648" s="71">
        <f t="shared" si="240"/>
        <v>0</v>
      </c>
      <c r="BE648" s="81">
        <f t="shared" si="241"/>
        <v>0</v>
      </c>
      <c r="BF648" s="81" t="str">
        <f t="shared" si="242"/>
        <v>BASSO</v>
      </c>
    </row>
    <row r="649" spans="7:58" x14ac:dyDescent="0.15">
      <c r="G649" s="64">
        <f t="shared" si="221"/>
        <v>0</v>
      </c>
      <c r="I649" s="64">
        <f t="shared" si="222"/>
        <v>0</v>
      </c>
      <c r="K649" s="64">
        <f t="shared" si="223"/>
        <v>0</v>
      </c>
      <c r="M649" s="64">
        <f t="shared" si="224"/>
        <v>0</v>
      </c>
      <c r="O649" s="64">
        <f t="shared" si="225"/>
        <v>0</v>
      </c>
      <c r="Q649" s="64">
        <f t="shared" si="226"/>
        <v>0</v>
      </c>
      <c r="S649" s="71">
        <f t="shared" si="227"/>
        <v>0</v>
      </c>
      <c r="U649" s="64">
        <f t="shared" si="228"/>
        <v>0</v>
      </c>
      <c r="W649" s="71">
        <f t="shared" si="229"/>
        <v>0</v>
      </c>
      <c r="Y649" s="71">
        <f t="shared" si="230"/>
        <v>0</v>
      </c>
      <c r="AA649" s="71">
        <f t="shared" si="231"/>
        <v>0</v>
      </c>
      <c r="AC649" s="71">
        <f t="shared" si="232"/>
        <v>0</v>
      </c>
      <c r="AK649" s="71">
        <f t="shared" si="233"/>
        <v>0</v>
      </c>
      <c r="AM649" s="71">
        <f t="shared" si="234"/>
        <v>0</v>
      </c>
      <c r="AO649" s="71">
        <f t="shared" si="235"/>
        <v>0</v>
      </c>
      <c r="AQ649" s="71">
        <f t="shared" si="236"/>
        <v>0</v>
      </c>
      <c r="AT649" s="71">
        <f t="shared" si="237"/>
        <v>0</v>
      </c>
      <c r="AV649" s="71">
        <f t="shared" si="238"/>
        <v>0</v>
      </c>
      <c r="AX649" s="71">
        <f t="shared" si="239"/>
        <v>0</v>
      </c>
      <c r="AZ649" s="71">
        <f t="shared" si="240"/>
        <v>0</v>
      </c>
      <c r="BE649" s="81">
        <f t="shared" si="241"/>
        <v>0</v>
      </c>
      <c r="BF649" s="81" t="str">
        <f t="shared" si="242"/>
        <v>BASSO</v>
      </c>
    </row>
    <row r="650" spans="7:58" x14ac:dyDescent="0.15">
      <c r="G650" s="64">
        <f t="shared" si="221"/>
        <v>0</v>
      </c>
      <c r="I650" s="64">
        <f t="shared" si="222"/>
        <v>0</v>
      </c>
      <c r="K650" s="64">
        <f t="shared" si="223"/>
        <v>0</v>
      </c>
      <c r="M650" s="64">
        <f t="shared" si="224"/>
        <v>0</v>
      </c>
      <c r="O650" s="64">
        <f t="shared" si="225"/>
        <v>0</v>
      </c>
      <c r="Q650" s="64">
        <f t="shared" si="226"/>
        <v>0</v>
      </c>
      <c r="S650" s="71">
        <f t="shared" si="227"/>
        <v>0</v>
      </c>
      <c r="U650" s="64">
        <f t="shared" si="228"/>
        <v>0</v>
      </c>
      <c r="W650" s="71">
        <f t="shared" si="229"/>
        <v>0</v>
      </c>
      <c r="Y650" s="71">
        <f t="shared" si="230"/>
        <v>0</v>
      </c>
      <c r="AA650" s="71">
        <f t="shared" si="231"/>
        <v>0</v>
      </c>
      <c r="AC650" s="71">
        <f t="shared" si="232"/>
        <v>0</v>
      </c>
      <c r="AK650" s="71">
        <f t="shared" si="233"/>
        <v>0</v>
      </c>
      <c r="AM650" s="71">
        <f t="shared" si="234"/>
        <v>0</v>
      </c>
      <c r="AO650" s="71">
        <f t="shared" si="235"/>
        <v>0</v>
      </c>
      <c r="AQ650" s="71">
        <f t="shared" si="236"/>
        <v>0</v>
      </c>
      <c r="AT650" s="71">
        <f t="shared" si="237"/>
        <v>0</v>
      </c>
      <c r="AV650" s="71">
        <f t="shared" si="238"/>
        <v>0</v>
      </c>
      <c r="AX650" s="71">
        <f t="shared" si="239"/>
        <v>0</v>
      </c>
      <c r="AZ650" s="71">
        <f t="shared" si="240"/>
        <v>0</v>
      </c>
      <c r="BE650" s="81">
        <f t="shared" si="241"/>
        <v>0</v>
      </c>
      <c r="BF650" s="81" t="str">
        <f t="shared" si="242"/>
        <v>BASSO</v>
      </c>
    </row>
    <row r="651" spans="7:58" x14ac:dyDescent="0.15">
      <c r="G651" s="64">
        <f t="shared" si="221"/>
        <v>0</v>
      </c>
      <c r="I651" s="64">
        <f t="shared" si="222"/>
        <v>0</v>
      </c>
      <c r="K651" s="64">
        <f t="shared" si="223"/>
        <v>0</v>
      </c>
      <c r="M651" s="64">
        <f t="shared" si="224"/>
        <v>0</v>
      </c>
      <c r="O651" s="64">
        <f t="shared" si="225"/>
        <v>0</v>
      </c>
      <c r="Q651" s="64">
        <f t="shared" si="226"/>
        <v>0</v>
      </c>
      <c r="S651" s="71">
        <f t="shared" si="227"/>
        <v>0</v>
      </c>
      <c r="U651" s="64">
        <f t="shared" si="228"/>
        <v>0</v>
      </c>
      <c r="W651" s="71">
        <f t="shared" si="229"/>
        <v>0</v>
      </c>
      <c r="Y651" s="71">
        <f t="shared" si="230"/>
        <v>0</v>
      </c>
      <c r="AA651" s="71">
        <f t="shared" si="231"/>
        <v>0</v>
      </c>
      <c r="AC651" s="71">
        <f t="shared" si="232"/>
        <v>0</v>
      </c>
      <c r="AK651" s="71">
        <f t="shared" si="233"/>
        <v>0</v>
      </c>
      <c r="AM651" s="71">
        <f t="shared" si="234"/>
        <v>0</v>
      </c>
      <c r="AO651" s="71">
        <f t="shared" si="235"/>
        <v>0</v>
      </c>
      <c r="AQ651" s="71">
        <f t="shared" si="236"/>
        <v>0</v>
      </c>
      <c r="AT651" s="71">
        <f t="shared" si="237"/>
        <v>0</v>
      </c>
      <c r="AV651" s="71">
        <f t="shared" si="238"/>
        <v>0</v>
      </c>
      <c r="AX651" s="71">
        <f t="shared" si="239"/>
        <v>0</v>
      </c>
      <c r="AZ651" s="71">
        <f t="shared" si="240"/>
        <v>0</v>
      </c>
      <c r="BE651" s="81">
        <f t="shared" si="241"/>
        <v>0</v>
      </c>
      <c r="BF651" s="81" t="str">
        <f t="shared" si="242"/>
        <v>BASSO</v>
      </c>
    </row>
    <row r="652" spans="7:58" x14ac:dyDescent="0.15">
      <c r="G652" s="64">
        <f t="shared" si="221"/>
        <v>0</v>
      </c>
      <c r="I652" s="64">
        <f t="shared" si="222"/>
        <v>0</v>
      </c>
      <c r="K652" s="64">
        <f t="shared" si="223"/>
        <v>0</v>
      </c>
      <c r="M652" s="64">
        <f t="shared" si="224"/>
        <v>0</v>
      </c>
      <c r="O652" s="64">
        <f t="shared" si="225"/>
        <v>0</v>
      </c>
      <c r="Q652" s="64">
        <f t="shared" si="226"/>
        <v>0</v>
      </c>
      <c r="S652" s="71">
        <f t="shared" si="227"/>
        <v>0</v>
      </c>
      <c r="U652" s="64">
        <f t="shared" si="228"/>
        <v>0</v>
      </c>
      <c r="W652" s="71">
        <f t="shared" si="229"/>
        <v>0</v>
      </c>
      <c r="Y652" s="71">
        <f t="shared" si="230"/>
        <v>0</v>
      </c>
      <c r="AA652" s="71">
        <f t="shared" si="231"/>
        <v>0</v>
      </c>
      <c r="AC652" s="71">
        <f t="shared" si="232"/>
        <v>0</v>
      </c>
      <c r="AK652" s="71">
        <f t="shared" si="233"/>
        <v>0</v>
      </c>
      <c r="AM652" s="71">
        <f t="shared" si="234"/>
        <v>0</v>
      </c>
      <c r="AO652" s="71">
        <f t="shared" si="235"/>
        <v>0</v>
      </c>
      <c r="AQ652" s="71">
        <f t="shared" si="236"/>
        <v>0</v>
      </c>
      <c r="AT652" s="71">
        <f t="shared" si="237"/>
        <v>0</v>
      </c>
      <c r="AV652" s="71">
        <f t="shared" si="238"/>
        <v>0</v>
      </c>
      <c r="AX652" s="71">
        <f t="shared" si="239"/>
        <v>0</v>
      </c>
      <c r="AZ652" s="71">
        <f t="shared" si="240"/>
        <v>0</v>
      </c>
      <c r="BE652" s="81">
        <f t="shared" si="241"/>
        <v>0</v>
      </c>
      <c r="BF652" s="81" t="str">
        <f t="shared" si="242"/>
        <v>BASSO</v>
      </c>
    </row>
    <row r="653" spans="7:58" x14ac:dyDescent="0.15">
      <c r="G653" s="64">
        <f t="shared" si="221"/>
        <v>0</v>
      </c>
      <c r="I653" s="64">
        <f t="shared" si="222"/>
        <v>0</v>
      </c>
      <c r="K653" s="64">
        <f t="shared" si="223"/>
        <v>0</v>
      </c>
      <c r="M653" s="64">
        <f t="shared" si="224"/>
        <v>0</v>
      </c>
      <c r="O653" s="64">
        <f t="shared" si="225"/>
        <v>0</v>
      </c>
      <c r="Q653" s="64">
        <f t="shared" si="226"/>
        <v>0</v>
      </c>
      <c r="S653" s="71">
        <f t="shared" si="227"/>
        <v>0</v>
      </c>
      <c r="U653" s="64">
        <f t="shared" si="228"/>
        <v>0</v>
      </c>
      <c r="W653" s="71">
        <f t="shared" si="229"/>
        <v>0</v>
      </c>
      <c r="Y653" s="71">
        <f t="shared" si="230"/>
        <v>0</v>
      </c>
      <c r="AA653" s="71">
        <f t="shared" si="231"/>
        <v>0</v>
      </c>
      <c r="AC653" s="71">
        <f t="shared" si="232"/>
        <v>0</v>
      </c>
      <c r="AK653" s="71">
        <f t="shared" si="233"/>
        <v>0</v>
      </c>
      <c r="AM653" s="71">
        <f t="shared" si="234"/>
        <v>0</v>
      </c>
      <c r="AO653" s="71">
        <f t="shared" si="235"/>
        <v>0</v>
      </c>
      <c r="AQ653" s="71">
        <f t="shared" si="236"/>
        <v>0</v>
      </c>
      <c r="AT653" s="71">
        <f t="shared" si="237"/>
        <v>0</v>
      </c>
      <c r="AV653" s="71">
        <f t="shared" si="238"/>
        <v>0</v>
      </c>
      <c r="AX653" s="71">
        <f t="shared" si="239"/>
        <v>0</v>
      </c>
      <c r="AZ653" s="71">
        <f t="shared" si="240"/>
        <v>0</v>
      </c>
      <c r="BE653" s="81">
        <f t="shared" si="241"/>
        <v>0</v>
      </c>
      <c r="BF653" s="81" t="str">
        <f t="shared" si="242"/>
        <v>BASSO</v>
      </c>
    </row>
    <row r="654" spans="7:58" x14ac:dyDescent="0.15">
      <c r="G654" s="64">
        <f t="shared" si="221"/>
        <v>0</v>
      </c>
      <c r="I654" s="64">
        <f t="shared" si="222"/>
        <v>0</v>
      </c>
      <c r="K654" s="64">
        <f t="shared" si="223"/>
        <v>0</v>
      </c>
      <c r="M654" s="64">
        <f t="shared" si="224"/>
        <v>0</v>
      </c>
      <c r="O654" s="64">
        <f t="shared" si="225"/>
        <v>0</v>
      </c>
      <c r="Q654" s="64">
        <f t="shared" si="226"/>
        <v>0</v>
      </c>
      <c r="S654" s="71">
        <f t="shared" si="227"/>
        <v>0</v>
      </c>
      <c r="U654" s="64">
        <f t="shared" si="228"/>
        <v>0</v>
      </c>
      <c r="W654" s="71">
        <f t="shared" si="229"/>
        <v>0</v>
      </c>
      <c r="Y654" s="71">
        <f t="shared" si="230"/>
        <v>0</v>
      </c>
      <c r="AA654" s="71">
        <f t="shared" si="231"/>
        <v>0</v>
      </c>
      <c r="AC654" s="71">
        <f t="shared" si="232"/>
        <v>0</v>
      </c>
      <c r="AK654" s="71">
        <f t="shared" si="233"/>
        <v>0</v>
      </c>
      <c r="AM654" s="71">
        <f t="shared" si="234"/>
        <v>0</v>
      </c>
      <c r="AO654" s="71">
        <f t="shared" si="235"/>
        <v>0</v>
      </c>
      <c r="AQ654" s="71">
        <f t="shared" si="236"/>
        <v>0</v>
      </c>
      <c r="AT654" s="71">
        <f t="shared" si="237"/>
        <v>0</v>
      </c>
      <c r="AV654" s="71">
        <f t="shared" si="238"/>
        <v>0</v>
      </c>
      <c r="AX654" s="71">
        <f t="shared" si="239"/>
        <v>0</v>
      </c>
      <c r="AZ654" s="71">
        <f t="shared" si="240"/>
        <v>0</v>
      </c>
      <c r="BE654" s="81">
        <f t="shared" si="241"/>
        <v>0</v>
      </c>
      <c r="BF654" s="81" t="str">
        <f t="shared" si="242"/>
        <v>BASSO</v>
      </c>
    </row>
    <row r="655" spans="7:58" x14ac:dyDescent="0.15">
      <c r="G655" s="64">
        <f t="shared" si="221"/>
        <v>0</v>
      </c>
      <c r="I655" s="64">
        <f t="shared" si="222"/>
        <v>0</v>
      </c>
      <c r="K655" s="64">
        <f t="shared" si="223"/>
        <v>0</v>
      </c>
      <c r="M655" s="64">
        <f t="shared" si="224"/>
        <v>0</v>
      </c>
      <c r="O655" s="64">
        <f t="shared" si="225"/>
        <v>0</v>
      </c>
      <c r="Q655" s="64">
        <f t="shared" si="226"/>
        <v>0</v>
      </c>
      <c r="S655" s="71">
        <f t="shared" si="227"/>
        <v>0</v>
      </c>
      <c r="U655" s="64">
        <f t="shared" si="228"/>
        <v>0</v>
      </c>
      <c r="W655" s="71">
        <f t="shared" si="229"/>
        <v>0</v>
      </c>
      <c r="Y655" s="71">
        <f t="shared" si="230"/>
        <v>0</v>
      </c>
      <c r="AA655" s="71">
        <f t="shared" si="231"/>
        <v>0</v>
      </c>
      <c r="AC655" s="71">
        <f t="shared" si="232"/>
        <v>0</v>
      </c>
      <c r="AK655" s="71">
        <f t="shared" si="233"/>
        <v>0</v>
      </c>
      <c r="AM655" s="71">
        <f t="shared" si="234"/>
        <v>0</v>
      </c>
      <c r="AO655" s="71">
        <f t="shared" si="235"/>
        <v>0</v>
      </c>
      <c r="AQ655" s="71">
        <f t="shared" si="236"/>
        <v>0</v>
      </c>
      <c r="AT655" s="71">
        <f t="shared" si="237"/>
        <v>0</v>
      </c>
      <c r="AV655" s="71">
        <f t="shared" si="238"/>
        <v>0</v>
      </c>
      <c r="AX655" s="71">
        <f t="shared" si="239"/>
        <v>0</v>
      </c>
      <c r="AZ655" s="71">
        <f t="shared" si="240"/>
        <v>0</v>
      </c>
      <c r="BE655" s="81">
        <f t="shared" si="241"/>
        <v>0</v>
      </c>
      <c r="BF655" s="81" t="str">
        <f t="shared" si="242"/>
        <v>BASSO</v>
      </c>
    </row>
    <row r="656" spans="7:58" x14ac:dyDescent="0.15">
      <c r="G656" s="64">
        <f t="shared" si="221"/>
        <v>0</v>
      </c>
      <c r="I656" s="64">
        <f t="shared" si="222"/>
        <v>0</v>
      </c>
      <c r="K656" s="64">
        <f t="shared" si="223"/>
        <v>0</v>
      </c>
      <c r="M656" s="64">
        <f t="shared" si="224"/>
        <v>0</v>
      </c>
      <c r="O656" s="64">
        <f t="shared" si="225"/>
        <v>0</v>
      </c>
      <c r="Q656" s="64">
        <f t="shared" si="226"/>
        <v>0</v>
      </c>
      <c r="S656" s="71">
        <f t="shared" si="227"/>
        <v>0</v>
      </c>
      <c r="U656" s="64">
        <f t="shared" si="228"/>
        <v>0</v>
      </c>
      <c r="W656" s="71">
        <f t="shared" si="229"/>
        <v>0</v>
      </c>
      <c r="Y656" s="71">
        <f t="shared" si="230"/>
        <v>0</v>
      </c>
      <c r="AA656" s="71">
        <f t="shared" si="231"/>
        <v>0</v>
      </c>
      <c r="AC656" s="71">
        <f t="shared" si="232"/>
        <v>0</v>
      </c>
      <c r="AK656" s="71">
        <f t="shared" si="233"/>
        <v>0</v>
      </c>
      <c r="AM656" s="71">
        <f t="shared" si="234"/>
        <v>0</v>
      </c>
      <c r="AO656" s="71">
        <f t="shared" si="235"/>
        <v>0</v>
      </c>
      <c r="AQ656" s="71">
        <f t="shared" si="236"/>
        <v>0</v>
      </c>
      <c r="AT656" s="71">
        <f t="shared" si="237"/>
        <v>0</v>
      </c>
      <c r="AV656" s="71">
        <f t="shared" si="238"/>
        <v>0</v>
      </c>
      <c r="AX656" s="71">
        <f t="shared" si="239"/>
        <v>0</v>
      </c>
      <c r="AZ656" s="71">
        <f t="shared" si="240"/>
        <v>0</v>
      </c>
      <c r="BE656" s="81">
        <f t="shared" si="241"/>
        <v>0</v>
      </c>
      <c r="BF656" s="81" t="str">
        <f t="shared" si="242"/>
        <v>BASSO</v>
      </c>
    </row>
    <row r="657" spans="7:58" x14ac:dyDescent="0.15">
      <c r="G657" s="64">
        <f t="shared" si="221"/>
        <v>0</v>
      </c>
      <c r="I657" s="64">
        <f t="shared" si="222"/>
        <v>0</v>
      </c>
      <c r="K657" s="64">
        <f t="shared" si="223"/>
        <v>0</v>
      </c>
      <c r="M657" s="64">
        <f t="shared" si="224"/>
        <v>0</v>
      </c>
      <c r="O657" s="64">
        <f t="shared" si="225"/>
        <v>0</v>
      </c>
      <c r="Q657" s="64">
        <f t="shared" si="226"/>
        <v>0</v>
      </c>
      <c r="S657" s="71">
        <f t="shared" si="227"/>
        <v>0</v>
      </c>
      <c r="U657" s="64">
        <f t="shared" si="228"/>
        <v>0</v>
      </c>
      <c r="W657" s="71">
        <f t="shared" si="229"/>
        <v>0</v>
      </c>
      <c r="Y657" s="71">
        <f t="shared" si="230"/>
        <v>0</v>
      </c>
      <c r="AA657" s="71">
        <f t="shared" si="231"/>
        <v>0</v>
      </c>
      <c r="AC657" s="71">
        <f t="shared" si="232"/>
        <v>0</v>
      </c>
      <c r="AK657" s="71">
        <f t="shared" si="233"/>
        <v>0</v>
      </c>
      <c r="AM657" s="71">
        <f t="shared" si="234"/>
        <v>0</v>
      </c>
      <c r="AO657" s="71">
        <f t="shared" si="235"/>
        <v>0</v>
      </c>
      <c r="AQ657" s="71">
        <f t="shared" si="236"/>
        <v>0</v>
      </c>
      <c r="AT657" s="71">
        <f t="shared" si="237"/>
        <v>0</v>
      </c>
      <c r="AV657" s="71">
        <f t="shared" si="238"/>
        <v>0</v>
      </c>
      <c r="AX657" s="71">
        <f t="shared" si="239"/>
        <v>0</v>
      </c>
      <c r="AZ657" s="71">
        <f t="shared" si="240"/>
        <v>0</v>
      </c>
      <c r="BE657" s="81">
        <f t="shared" si="241"/>
        <v>0</v>
      </c>
      <c r="BF657" s="81" t="str">
        <f t="shared" si="242"/>
        <v>BASSO</v>
      </c>
    </row>
    <row r="658" spans="7:58" x14ac:dyDescent="0.15">
      <c r="G658" s="64">
        <f t="shared" si="221"/>
        <v>0</v>
      </c>
      <c r="I658" s="64">
        <f t="shared" si="222"/>
        <v>0</v>
      </c>
      <c r="K658" s="64">
        <f t="shared" si="223"/>
        <v>0</v>
      </c>
      <c r="M658" s="64">
        <f t="shared" si="224"/>
        <v>0</v>
      </c>
      <c r="O658" s="64">
        <f t="shared" si="225"/>
        <v>0</v>
      </c>
      <c r="Q658" s="64">
        <f t="shared" si="226"/>
        <v>0</v>
      </c>
      <c r="S658" s="71">
        <f t="shared" si="227"/>
        <v>0</v>
      </c>
      <c r="U658" s="64">
        <f t="shared" si="228"/>
        <v>0</v>
      </c>
      <c r="W658" s="71">
        <f t="shared" si="229"/>
        <v>0</v>
      </c>
      <c r="Y658" s="71">
        <f t="shared" si="230"/>
        <v>0</v>
      </c>
      <c r="AA658" s="71">
        <f t="shared" si="231"/>
        <v>0</v>
      </c>
      <c r="AC658" s="71">
        <f t="shared" si="232"/>
        <v>0</v>
      </c>
      <c r="AK658" s="71">
        <f t="shared" si="233"/>
        <v>0</v>
      </c>
      <c r="AM658" s="71">
        <f t="shared" si="234"/>
        <v>0</v>
      </c>
      <c r="AO658" s="71">
        <f t="shared" si="235"/>
        <v>0</v>
      </c>
      <c r="AQ658" s="71">
        <f t="shared" si="236"/>
        <v>0</v>
      </c>
      <c r="AT658" s="71">
        <f t="shared" si="237"/>
        <v>0</v>
      </c>
      <c r="AV658" s="71">
        <f t="shared" si="238"/>
        <v>0</v>
      </c>
      <c r="AX658" s="71">
        <f t="shared" si="239"/>
        <v>0</v>
      </c>
      <c r="AZ658" s="71">
        <f t="shared" si="240"/>
        <v>0</v>
      </c>
      <c r="BE658" s="81">
        <f t="shared" si="241"/>
        <v>0</v>
      </c>
      <c r="BF658" s="81" t="str">
        <f t="shared" si="242"/>
        <v>BASSO</v>
      </c>
    </row>
    <row r="659" spans="7:58" x14ac:dyDescent="0.15">
      <c r="G659" s="64">
        <f t="shared" si="221"/>
        <v>0</v>
      </c>
      <c r="I659" s="64">
        <f t="shared" si="222"/>
        <v>0</v>
      </c>
      <c r="K659" s="64">
        <f t="shared" si="223"/>
        <v>0</v>
      </c>
      <c r="M659" s="64">
        <f t="shared" si="224"/>
        <v>0</v>
      </c>
      <c r="O659" s="64">
        <f t="shared" si="225"/>
        <v>0</v>
      </c>
      <c r="Q659" s="64">
        <f t="shared" si="226"/>
        <v>0</v>
      </c>
      <c r="S659" s="71">
        <f t="shared" si="227"/>
        <v>0</v>
      </c>
      <c r="U659" s="64">
        <f t="shared" si="228"/>
        <v>0</v>
      </c>
      <c r="W659" s="71">
        <f t="shared" si="229"/>
        <v>0</v>
      </c>
      <c r="Y659" s="71">
        <f t="shared" si="230"/>
        <v>0</v>
      </c>
      <c r="AA659" s="71">
        <f t="shared" si="231"/>
        <v>0</v>
      </c>
      <c r="AC659" s="71">
        <f t="shared" si="232"/>
        <v>0</v>
      </c>
      <c r="AK659" s="71">
        <f t="shared" si="233"/>
        <v>0</v>
      </c>
      <c r="AM659" s="71">
        <f t="shared" si="234"/>
        <v>0</v>
      </c>
      <c r="AO659" s="71">
        <f t="shared" si="235"/>
        <v>0</v>
      </c>
      <c r="AQ659" s="71">
        <f t="shared" si="236"/>
        <v>0</v>
      </c>
      <c r="AT659" s="71">
        <f t="shared" si="237"/>
        <v>0</v>
      </c>
      <c r="AV659" s="71">
        <f t="shared" si="238"/>
        <v>0</v>
      </c>
      <c r="AX659" s="71">
        <f t="shared" si="239"/>
        <v>0</v>
      </c>
      <c r="AZ659" s="71">
        <f t="shared" si="240"/>
        <v>0</v>
      </c>
      <c r="BE659" s="81">
        <f t="shared" si="241"/>
        <v>0</v>
      </c>
      <c r="BF659" s="81" t="str">
        <f t="shared" si="242"/>
        <v>BASSO</v>
      </c>
    </row>
    <row r="660" spans="7:58" x14ac:dyDescent="0.15">
      <c r="G660" s="64">
        <f t="shared" si="221"/>
        <v>0</v>
      </c>
      <c r="I660" s="64">
        <f t="shared" si="222"/>
        <v>0</v>
      </c>
      <c r="K660" s="64">
        <f t="shared" si="223"/>
        <v>0</v>
      </c>
      <c r="M660" s="64">
        <f t="shared" si="224"/>
        <v>0</v>
      </c>
      <c r="O660" s="64">
        <f t="shared" si="225"/>
        <v>0</v>
      </c>
      <c r="Q660" s="64">
        <f t="shared" si="226"/>
        <v>0</v>
      </c>
      <c r="S660" s="71">
        <f t="shared" si="227"/>
        <v>0</v>
      </c>
      <c r="U660" s="64">
        <f t="shared" si="228"/>
        <v>0</v>
      </c>
      <c r="W660" s="71">
        <f t="shared" si="229"/>
        <v>0</v>
      </c>
      <c r="Y660" s="71">
        <f t="shared" si="230"/>
        <v>0</v>
      </c>
      <c r="AA660" s="71">
        <f t="shared" si="231"/>
        <v>0</v>
      </c>
      <c r="AC660" s="71">
        <f t="shared" si="232"/>
        <v>0</v>
      </c>
      <c r="AK660" s="71">
        <f t="shared" si="233"/>
        <v>0</v>
      </c>
      <c r="AM660" s="71">
        <f t="shared" si="234"/>
        <v>0</v>
      </c>
      <c r="AO660" s="71">
        <f t="shared" si="235"/>
        <v>0</v>
      </c>
      <c r="AQ660" s="71">
        <f t="shared" si="236"/>
        <v>0</v>
      </c>
      <c r="AT660" s="71">
        <f t="shared" si="237"/>
        <v>0</v>
      </c>
      <c r="AV660" s="71">
        <f t="shared" si="238"/>
        <v>0</v>
      </c>
      <c r="AX660" s="71">
        <f t="shared" si="239"/>
        <v>0</v>
      </c>
      <c r="AZ660" s="71">
        <f t="shared" si="240"/>
        <v>0</v>
      </c>
      <c r="BE660" s="81">
        <f t="shared" si="241"/>
        <v>0</v>
      </c>
      <c r="BF660" s="81" t="str">
        <f t="shared" si="242"/>
        <v>BASSO</v>
      </c>
    </row>
    <row r="661" spans="7:58" x14ac:dyDescent="0.15">
      <c r="G661" s="64">
        <f t="shared" si="221"/>
        <v>0</v>
      </c>
      <c r="I661" s="64">
        <f t="shared" si="222"/>
        <v>0</v>
      </c>
      <c r="K661" s="64">
        <f t="shared" si="223"/>
        <v>0</v>
      </c>
      <c r="M661" s="64">
        <f t="shared" si="224"/>
        <v>0</v>
      </c>
      <c r="O661" s="64">
        <f t="shared" si="225"/>
        <v>0</v>
      </c>
      <c r="Q661" s="64">
        <f t="shared" si="226"/>
        <v>0</v>
      </c>
      <c r="S661" s="71">
        <f t="shared" si="227"/>
        <v>0</v>
      </c>
      <c r="U661" s="64">
        <f t="shared" si="228"/>
        <v>0</v>
      </c>
      <c r="W661" s="71">
        <f t="shared" si="229"/>
        <v>0</v>
      </c>
      <c r="Y661" s="71">
        <f t="shared" si="230"/>
        <v>0</v>
      </c>
      <c r="AA661" s="71">
        <f t="shared" si="231"/>
        <v>0</v>
      </c>
      <c r="AC661" s="71">
        <f t="shared" si="232"/>
        <v>0</v>
      </c>
      <c r="AK661" s="71">
        <f t="shared" si="233"/>
        <v>0</v>
      </c>
      <c r="AM661" s="71">
        <f t="shared" si="234"/>
        <v>0</v>
      </c>
      <c r="AO661" s="71">
        <f t="shared" si="235"/>
        <v>0</v>
      </c>
      <c r="AQ661" s="71">
        <f t="shared" si="236"/>
        <v>0</v>
      </c>
      <c r="AT661" s="71">
        <f t="shared" si="237"/>
        <v>0</v>
      </c>
      <c r="AV661" s="71">
        <f t="shared" si="238"/>
        <v>0</v>
      </c>
      <c r="AX661" s="71">
        <f t="shared" si="239"/>
        <v>0</v>
      </c>
      <c r="AZ661" s="71">
        <f t="shared" si="240"/>
        <v>0</v>
      </c>
      <c r="BE661" s="81">
        <f t="shared" si="241"/>
        <v>0</v>
      </c>
      <c r="BF661" s="81" t="str">
        <f t="shared" si="242"/>
        <v>BASSO</v>
      </c>
    </row>
    <row r="662" spans="7:58" x14ac:dyDescent="0.15">
      <c r="G662" s="64">
        <f t="shared" si="221"/>
        <v>0</v>
      </c>
      <c r="I662" s="64">
        <f t="shared" si="222"/>
        <v>0</v>
      </c>
      <c r="K662" s="64">
        <f t="shared" si="223"/>
        <v>0</v>
      </c>
      <c r="M662" s="64">
        <f t="shared" si="224"/>
        <v>0</v>
      </c>
      <c r="O662" s="64">
        <f t="shared" si="225"/>
        <v>0</v>
      </c>
      <c r="Q662" s="64">
        <f t="shared" si="226"/>
        <v>0</v>
      </c>
      <c r="S662" s="71">
        <f t="shared" si="227"/>
        <v>0</v>
      </c>
      <c r="U662" s="64">
        <f t="shared" si="228"/>
        <v>0</v>
      </c>
      <c r="W662" s="71">
        <f t="shared" si="229"/>
        <v>0</v>
      </c>
      <c r="Y662" s="71">
        <f t="shared" si="230"/>
        <v>0</v>
      </c>
      <c r="AA662" s="71">
        <f t="shared" si="231"/>
        <v>0</v>
      </c>
      <c r="AC662" s="71">
        <f t="shared" si="232"/>
        <v>0</v>
      </c>
      <c r="AK662" s="71">
        <f t="shared" si="233"/>
        <v>0</v>
      </c>
      <c r="AM662" s="71">
        <f t="shared" si="234"/>
        <v>0</v>
      </c>
      <c r="AO662" s="71">
        <f t="shared" si="235"/>
        <v>0</v>
      </c>
      <c r="AQ662" s="71">
        <f t="shared" si="236"/>
        <v>0</v>
      </c>
      <c r="AT662" s="71">
        <f t="shared" si="237"/>
        <v>0</v>
      </c>
      <c r="AV662" s="71">
        <f t="shared" si="238"/>
        <v>0</v>
      </c>
      <c r="AX662" s="71">
        <f t="shared" si="239"/>
        <v>0</v>
      </c>
      <c r="AZ662" s="71">
        <f t="shared" si="240"/>
        <v>0</v>
      </c>
      <c r="BE662" s="81">
        <f t="shared" si="241"/>
        <v>0</v>
      </c>
      <c r="BF662" s="81" t="str">
        <f t="shared" si="242"/>
        <v>BASSO</v>
      </c>
    </row>
    <row r="663" spans="7:58" x14ac:dyDescent="0.15">
      <c r="G663" s="64">
        <f t="shared" si="221"/>
        <v>0</v>
      </c>
      <c r="I663" s="64">
        <f t="shared" si="222"/>
        <v>0</v>
      </c>
      <c r="K663" s="64">
        <f t="shared" si="223"/>
        <v>0</v>
      </c>
      <c r="M663" s="64">
        <f t="shared" si="224"/>
        <v>0</v>
      </c>
      <c r="O663" s="64">
        <f t="shared" si="225"/>
        <v>0</v>
      </c>
      <c r="Q663" s="64">
        <f t="shared" si="226"/>
        <v>0</v>
      </c>
      <c r="S663" s="71">
        <f t="shared" si="227"/>
        <v>0</v>
      </c>
      <c r="U663" s="64">
        <f t="shared" si="228"/>
        <v>0</v>
      </c>
      <c r="W663" s="71">
        <f t="shared" si="229"/>
        <v>0</v>
      </c>
      <c r="Y663" s="71">
        <f t="shared" si="230"/>
        <v>0</v>
      </c>
      <c r="AA663" s="71">
        <f t="shared" si="231"/>
        <v>0</v>
      </c>
      <c r="AC663" s="71">
        <f t="shared" si="232"/>
        <v>0</v>
      </c>
      <c r="AK663" s="71">
        <f t="shared" si="233"/>
        <v>0</v>
      </c>
      <c r="AM663" s="71">
        <f t="shared" si="234"/>
        <v>0</v>
      </c>
      <c r="AO663" s="71">
        <f t="shared" si="235"/>
        <v>0</v>
      </c>
      <c r="AQ663" s="71">
        <f t="shared" si="236"/>
        <v>0</v>
      </c>
      <c r="AT663" s="71">
        <f t="shared" si="237"/>
        <v>0</v>
      </c>
      <c r="AV663" s="71">
        <f t="shared" si="238"/>
        <v>0</v>
      </c>
      <c r="AX663" s="71">
        <f t="shared" si="239"/>
        <v>0</v>
      </c>
      <c r="AZ663" s="71">
        <f t="shared" si="240"/>
        <v>0</v>
      </c>
      <c r="BE663" s="81">
        <f t="shared" si="241"/>
        <v>0</v>
      </c>
      <c r="BF663" s="81" t="str">
        <f t="shared" si="242"/>
        <v>BASSO</v>
      </c>
    </row>
    <row r="664" spans="7:58" x14ac:dyDescent="0.15">
      <c r="G664" s="64">
        <f t="shared" si="221"/>
        <v>0</v>
      </c>
      <c r="I664" s="64">
        <f t="shared" si="222"/>
        <v>0</v>
      </c>
      <c r="K664" s="64">
        <f t="shared" si="223"/>
        <v>0</v>
      </c>
      <c r="M664" s="64">
        <f t="shared" si="224"/>
        <v>0</v>
      </c>
      <c r="O664" s="64">
        <f t="shared" si="225"/>
        <v>0</v>
      </c>
      <c r="Q664" s="64">
        <f t="shared" si="226"/>
        <v>0</v>
      </c>
      <c r="S664" s="71">
        <f t="shared" si="227"/>
        <v>0</v>
      </c>
      <c r="U664" s="64">
        <f t="shared" si="228"/>
        <v>0</v>
      </c>
      <c r="W664" s="71">
        <f t="shared" si="229"/>
        <v>0</v>
      </c>
      <c r="Y664" s="71">
        <f t="shared" si="230"/>
        <v>0</v>
      </c>
      <c r="AA664" s="71">
        <f t="shared" si="231"/>
        <v>0</v>
      </c>
      <c r="AC664" s="71">
        <f t="shared" si="232"/>
        <v>0</v>
      </c>
      <c r="AK664" s="71">
        <f t="shared" si="233"/>
        <v>0</v>
      </c>
      <c r="AM664" s="71">
        <f t="shared" si="234"/>
        <v>0</v>
      </c>
      <c r="AO664" s="71">
        <f t="shared" si="235"/>
        <v>0</v>
      </c>
      <c r="AQ664" s="71">
        <f t="shared" si="236"/>
        <v>0</v>
      </c>
      <c r="AT664" s="71">
        <f t="shared" si="237"/>
        <v>0</v>
      </c>
      <c r="AV664" s="71">
        <f t="shared" si="238"/>
        <v>0</v>
      </c>
      <c r="AX664" s="71">
        <f t="shared" si="239"/>
        <v>0</v>
      </c>
      <c r="AZ664" s="71">
        <f t="shared" si="240"/>
        <v>0</v>
      </c>
      <c r="BE664" s="81">
        <f t="shared" si="241"/>
        <v>0</v>
      </c>
      <c r="BF664" s="81" t="str">
        <f t="shared" si="242"/>
        <v>BASSO</v>
      </c>
    </row>
    <row r="665" spans="7:58" x14ac:dyDescent="0.15">
      <c r="G665" s="64">
        <f t="shared" si="221"/>
        <v>0</v>
      </c>
      <c r="I665" s="64">
        <f t="shared" si="222"/>
        <v>0</v>
      </c>
      <c r="K665" s="64">
        <f t="shared" si="223"/>
        <v>0</v>
      </c>
      <c r="M665" s="64">
        <f t="shared" si="224"/>
        <v>0</v>
      </c>
      <c r="O665" s="64">
        <f t="shared" si="225"/>
        <v>0</v>
      </c>
      <c r="Q665" s="64">
        <f t="shared" si="226"/>
        <v>0</v>
      </c>
      <c r="S665" s="71">
        <f t="shared" si="227"/>
        <v>0</v>
      </c>
      <c r="U665" s="64">
        <f t="shared" si="228"/>
        <v>0</v>
      </c>
      <c r="W665" s="71">
        <f t="shared" si="229"/>
        <v>0</v>
      </c>
      <c r="Y665" s="71">
        <f t="shared" si="230"/>
        <v>0</v>
      </c>
      <c r="AA665" s="71">
        <f t="shared" si="231"/>
        <v>0</v>
      </c>
      <c r="AC665" s="71">
        <f t="shared" si="232"/>
        <v>0</v>
      </c>
      <c r="AK665" s="71">
        <f t="shared" si="233"/>
        <v>0</v>
      </c>
      <c r="AM665" s="71">
        <f t="shared" si="234"/>
        <v>0</v>
      </c>
      <c r="AO665" s="71">
        <f t="shared" si="235"/>
        <v>0</v>
      </c>
      <c r="AQ665" s="71">
        <f t="shared" si="236"/>
        <v>0</v>
      </c>
      <c r="AT665" s="71">
        <f t="shared" si="237"/>
        <v>0</v>
      </c>
      <c r="AV665" s="71">
        <f t="shared" si="238"/>
        <v>0</v>
      </c>
      <c r="AX665" s="71">
        <f t="shared" si="239"/>
        <v>0</v>
      </c>
      <c r="AZ665" s="71">
        <f t="shared" si="240"/>
        <v>0</v>
      </c>
      <c r="BE665" s="81">
        <f t="shared" si="241"/>
        <v>0</v>
      </c>
      <c r="BF665" s="81" t="str">
        <f t="shared" si="242"/>
        <v>BASSO</v>
      </c>
    </row>
    <row r="666" spans="7:58" x14ac:dyDescent="0.15">
      <c r="G666" s="64">
        <f t="shared" si="221"/>
        <v>0</v>
      </c>
      <c r="I666" s="64">
        <f t="shared" si="222"/>
        <v>0</v>
      </c>
      <c r="K666" s="64">
        <f t="shared" si="223"/>
        <v>0</v>
      </c>
      <c r="M666" s="64">
        <f t="shared" si="224"/>
        <v>0</v>
      </c>
      <c r="O666" s="64">
        <f t="shared" si="225"/>
        <v>0</v>
      </c>
      <c r="Q666" s="64">
        <f t="shared" si="226"/>
        <v>0</v>
      </c>
      <c r="S666" s="71">
        <f t="shared" si="227"/>
        <v>0</v>
      </c>
      <c r="U666" s="64">
        <f t="shared" si="228"/>
        <v>0</v>
      </c>
      <c r="W666" s="71">
        <f t="shared" si="229"/>
        <v>0</v>
      </c>
      <c r="Y666" s="71">
        <f t="shared" si="230"/>
        <v>0</v>
      </c>
      <c r="AA666" s="71">
        <f t="shared" si="231"/>
        <v>0</v>
      </c>
      <c r="AC666" s="71">
        <f t="shared" si="232"/>
        <v>0</v>
      </c>
      <c r="AK666" s="71">
        <f t="shared" si="233"/>
        <v>0</v>
      </c>
      <c r="AM666" s="71">
        <f t="shared" si="234"/>
        <v>0</v>
      </c>
      <c r="AO666" s="71">
        <f t="shared" si="235"/>
        <v>0</v>
      </c>
      <c r="AQ666" s="71">
        <f t="shared" si="236"/>
        <v>0</v>
      </c>
      <c r="AT666" s="71">
        <f t="shared" si="237"/>
        <v>0</v>
      </c>
      <c r="AV666" s="71">
        <f t="shared" si="238"/>
        <v>0</v>
      </c>
      <c r="AX666" s="71">
        <f t="shared" si="239"/>
        <v>0</v>
      </c>
      <c r="AZ666" s="71">
        <f t="shared" si="240"/>
        <v>0</v>
      </c>
      <c r="BE666" s="81">
        <f t="shared" si="241"/>
        <v>0</v>
      </c>
      <c r="BF666" s="81" t="str">
        <f t="shared" si="242"/>
        <v>BASSO</v>
      </c>
    </row>
    <row r="667" spans="7:58" x14ac:dyDescent="0.15">
      <c r="G667" s="64">
        <f t="shared" si="221"/>
        <v>0</v>
      </c>
      <c r="I667" s="64">
        <f t="shared" si="222"/>
        <v>0</v>
      </c>
      <c r="K667" s="64">
        <f t="shared" si="223"/>
        <v>0</v>
      </c>
      <c r="M667" s="64">
        <f t="shared" si="224"/>
        <v>0</v>
      </c>
      <c r="O667" s="64">
        <f t="shared" si="225"/>
        <v>0</v>
      </c>
      <c r="Q667" s="64">
        <f t="shared" si="226"/>
        <v>0</v>
      </c>
      <c r="S667" s="71">
        <f t="shared" si="227"/>
        <v>0</v>
      </c>
      <c r="U667" s="64">
        <f t="shared" si="228"/>
        <v>0</v>
      </c>
      <c r="W667" s="71">
        <f t="shared" si="229"/>
        <v>0</v>
      </c>
      <c r="Y667" s="71">
        <f t="shared" si="230"/>
        <v>0</v>
      </c>
      <c r="AA667" s="71">
        <f t="shared" si="231"/>
        <v>0</v>
      </c>
      <c r="AC667" s="71">
        <f t="shared" si="232"/>
        <v>0</v>
      </c>
      <c r="AK667" s="71">
        <f t="shared" si="233"/>
        <v>0</v>
      </c>
      <c r="AM667" s="71">
        <f t="shared" si="234"/>
        <v>0</v>
      </c>
      <c r="AO667" s="71">
        <f t="shared" si="235"/>
        <v>0</v>
      </c>
      <c r="AQ667" s="71">
        <f t="shared" si="236"/>
        <v>0</v>
      </c>
      <c r="AT667" s="71">
        <f t="shared" si="237"/>
        <v>0</v>
      </c>
      <c r="AV667" s="71">
        <f t="shared" si="238"/>
        <v>0</v>
      </c>
      <c r="AX667" s="71">
        <f t="shared" si="239"/>
        <v>0</v>
      </c>
      <c r="AZ667" s="71">
        <f t="shared" si="240"/>
        <v>0</v>
      </c>
      <c r="BE667" s="81">
        <f t="shared" si="241"/>
        <v>0</v>
      </c>
      <c r="BF667" s="81" t="str">
        <f t="shared" si="242"/>
        <v>BASSO</v>
      </c>
    </row>
    <row r="668" spans="7:58" x14ac:dyDescent="0.15">
      <c r="G668" s="64">
        <f t="shared" si="221"/>
        <v>0</v>
      </c>
      <c r="I668" s="64">
        <f t="shared" si="222"/>
        <v>0</v>
      </c>
      <c r="K668" s="64">
        <f t="shared" si="223"/>
        <v>0</v>
      </c>
      <c r="M668" s="64">
        <f t="shared" si="224"/>
        <v>0</v>
      </c>
      <c r="O668" s="64">
        <f t="shared" si="225"/>
        <v>0</v>
      </c>
      <c r="Q668" s="64">
        <f t="shared" si="226"/>
        <v>0</v>
      </c>
      <c r="S668" s="71">
        <f t="shared" si="227"/>
        <v>0</v>
      </c>
      <c r="U668" s="64">
        <f t="shared" si="228"/>
        <v>0</v>
      </c>
      <c r="W668" s="71">
        <f t="shared" si="229"/>
        <v>0</v>
      </c>
      <c r="Y668" s="71">
        <f t="shared" si="230"/>
        <v>0</v>
      </c>
      <c r="AA668" s="71">
        <f t="shared" si="231"/>
        <v>0</v>
      </c>
      <c r="AC668" s="71">
        <f t="shared" si="232"/>
        <v>0</v>
      </c>
      <c r="AK668" s="71">
        <f t="shared" si="233"/>
        <v>0</v>
      </c>
      <c r="AM668" s="71">
        <f t="shared" si="234"/>
        <v>0</v>
      </c>
      <c r="AO668" s="71">
        <f t="shared" si="235"/>
        <v>0</v>
      </c>
      <c r="AQ668" s="71">
        <f t="shared" si="236"/>
        <v>0</v>
      </c>
      <c r="AT668" s="71">
        <f t="shared" si="237"/>
        <v>0</v>
      </c>
      <c r="AV668" s="71">
        <f t="shared" si="238"/>
        <v>0</v>
      </c>
      <c r="AX668" s="71">
        <f t="shared" si="239"/>
        <v>0</v>
      </c>
      <c r="AZ668" s="71">
        <f t="shared" si="240"/>
        <v>0</v>
      </c>
      <c r="BE668" s="81">
        <f t="shared" si="241"/>
        <v>0</v>
      </c>
      <c r="BF668" s="81" t="str">
        <f t="shared" si="242"/>
        <v>BASSO</v>
      </c>
    </row>
    <row r="669" spans="7:58" x14ac:dyDescent="0.15">
      <c r="G669" s="64">
        <f t="shared" si="221"/>
        <v>0</v>
      </c>
      <c r="I669" s="64">
        <f t="shared" si="222"/>
        <v>0</v>
      </c>
      <c r="K669" s="64">
        <f t="shared" si="223"/>
        <v>0</v>
      </c>
      <c r="M669" s="64">
        <f t="shared" si="224"/>
        <v>0</v>
      </c>
      <c r="O669" s="64">
        <f t="shared" si="225"/>
        <v>0</v>
      </c>
      <c r="Q669" s="64">
        <f t="shared" si="226"/>
        <v>0</v>
      </c>
      <c r="S669" s="71">
        <f t="shared" si="227"/>
        <v>0</v>
      </c>
      <c r="U669" s="64">
        <f t="shared" si="228"/>
        <v>0</v>
      </c>
      <c r="W669" s="71">
        <f t="shared" si="229"/>
        <v>0</v>
      </c>
      <c r="Y669" s="71">
        <f t="shared" si="230"/>
        <v>0</v>
      </c>
      <c r="AA669" s="71">
        <f t="shared" si="231"/>
        <v>0</v>
      </c>
      <c r="AC669" s="71">
        <f t="shared" si="232"/>
        <v>0</v>
      </c>
      <c r="AK669" s="71">
        <f t="shared" si="233"/>
        <v>0</v>
      </c>
      <c r="AM669" s="71">
        <f t="shared" si="234"/>
        <v>0</v>
      </c>
      <c r="AO669" s="71">
        <f t="shared" si="235"/>
        <v>0</v>
      </c>
      <c r="AQ669" s="71">
        <f t="shared" si="236"/>
        <v>0</v>
      </c>
      <c r="AT669" s="71">
        <f t="shared" si="237"/>
        <v>0</v>
      </c>
      <c r="AV669" s="71">
        <f t="shared" si="238"/>
        <v>0</v>
      </c>
      <c r="AX669" s="71">
        <f t="shared" si="239"/>
        <v>0</v>
      </c>
      <c r="AZ669" s="71">
        <f t="shared" si="240"/>
        <v>0</v>
      </c>
      <c r="BE669" s="81">
        <f t="shared" si="241"/>
        <v>0</v>
      </c>
      <c r="BF669" s="81" t="str">
        <f t="shared" si="242"/>
        <v>BASSO</v>
      </c>
    </row>
    <row r="670" spans="7:58" x14ac:dyDescent="0.15">
      <c r="G670" s="64">
        <f t="shared" si="221"/>
        <v>0</v>
      </c>
      <c r="I670" s="64">
        <f t="shared" si="222"/>
        <v>0</v>
      </c>
      <c r="K670" s="64">
        <f t="shared" si="223"/>
        <v>0</v>
      </c>
      <c r="M670" s="64">
        <f t="shared" si="224"/>
        <v>0</v>
      </c>
      <c r="O670" s="64">
        <f t="shared" si="225"/>
        <v>0</v>
      </c>
      <c r="Q670" s="64">
        <f t="shared" si="226"/>
        <v>0</v>
      </c>
      <c r="S670" s="71">
        <f t="shared" si="227"/>
        <v>0</v>
      </c>
      <c r="U670" s="64">
        <f t="shared" si="228"/>
        <v>0</v>
      </c>
      <c r="W670" s="71">
        <f t="shared" si="229"/>
        <v>0</v>
      </c>
      <c r="Y670" s="71">
        <f t="shared" si="230"/>
        <v>0</v>
      </c>
      <c r="AA670" s="71">
        <f t="shared" si="231"/>
        <v>0</v>
      </c>
      <c r="AC670" s="71">
        <f t="shared" si="232"/>
        <v>0</v>
      </c>
      <c r="AK670" s="71">
        <f t="shared" si="233"/>
        <v>0</v>
      </c>
      <c r="AM670" s="71">
        <f t="shared" si="234"/>
        <v>0</v>
      </c>
      <c r="AO670" s="71">
        <f t="shared" si="235"/>
        <v>0</v>
      </c>
      <c r="AQ670" s="71">
        <f t="shared" si="236"/>
        <v>0</v>
      </c>
      <c r="AT670" s="71">
        <f t="shared" si="237"/>
        <v>0</v>
      </c>
      <c r="AV670" s="71">
        <f t="shared" si="238"/>
        <v>0</v>
      </c>
      <c r="AX670" s="71">
        <f t="shared" si="239"/>
        <v>0</v>
      </c>
      <c r="AZ670" s="71">
        <f t="shared" si="240"/>
        <v>0</v>
      </c>
      <c r="BE670" s="81">
        <f t="shared" si="241"/>
        <v>0</v>
      </c>
      <c r="BF670" s="81" t="str">
        <f t="shared" si="242"/>
        <v>BASSO</v>
      </c>
    </row>
    <row r="671" spans="7:58" x14ac:dyDescent="0.15">
      <c r="G671" s="64">
        <f t="shared" si="221"/>
        <v>0</v>
      </c>
      <c r="I671" s="64">
        <f t="shared" si="222"/>
        <v>0</v>
      </c>
      <c r="K671" s="64">
        <f t="shared" si="223"/>
        <v>0</v>
      </c>
      <c r="M671" s="64">
        <f t="shared" si="224"/>
        <v>0</v>
      </c>
      <c r="O671" s="64">
        <f t="shared" si="225"/>
        <v>0</v>
      </c>
      <c r="Q671" s="64">
        <f t="shared" si="226"/>
        <v>0</v>
      </c>
      <c r="S671" s="71">
        <f t="shared" si="227"/>
        <v>0</v>
      </c>
      <c r="U671" s="64">
        <f t="shared" si="228"/>
        <v>0</v>
      </c>
      <c r="W671" s="71">
        <f t="shared" si="229"/>
        <v>0</v>
      </c>
      <c r="Y671" s="71">
        <f t="shared" si="230"/>
        <v>0</v>
      </c>
      <c r="AA671" s="71">
        <f t="shared" si="231"/>
        <v>0</v>
      </c>
      <c r="AC671" s="71">
        <f t="shared" si="232"/>
        <v>0</v>
      </c>
      <c r="AK671" s="71">
        <f t="shared" si="233"/>
        <v>0</v>
      </c>
      <c r="AM671" s="71">
        <f t="shared" si="234"/>
        <v>0</v>
      </c>
      <c r="AO671" s="71">
        <f t="shared" si="235"/>
        <v>0</v>
      </c>
      <c r="AQ671" s="71">
        <f t="shared" si="236"/>
        <v>0</v>
      </c>
      <c r="AT671" s="71">
        <f t="shared" si="237"/>
        <v>0</v>
      </c>
      <c r="AV671" s="71">
        <f t="shared" si="238"/>
        <v>0</v>
      </c>
      <c r="AX671" s="71">
        <f t="shared" si="239"/>
        <v>0</v>
      </c>
      <c r="AZ671" s="71">
        <f t="shared" si="240"/>
        <v>0</v>
      </c>
      <c r="BE671" s="81">
        <f t="shared" si="241"/>
        <v>0</v>
      </c>
      <c r="BF671" s="81" t="str">
        <f t="shared" si="242"/>
        <v>BASSO</v>
      </c>
    </row>
    <row r="672" spans="7:58" x14ac:dyDescent="0.15">
      <c r="G672" s="64">
        <f t="shared" si="221"/>
        <v>0</v>
      </c>
      <c r="I672" s="64">
        <f t="shared" si="222"/>
        <v>0</v>
      </c>
      <c r="K672" s="64">
        <f t="shared" si="223"/>
        <v>0</v>
      </c>
      <c r="M672" s="64">
        <f t="shared" si="224"/>
        <v>0</v>
      </c>
      <c r="O672" s="64">
        <f t="shared" si="225"/>
        <v>0</v>
      </c>
      <c r="Q672" s="64">
        <f t="shared" si="226"/>
        <v>0</v>
      </c>
      <c r="S672" s="71">
        <f t="shared" si="227"/>
        <v>0</v>
      </c>
      <c r="U672" s="64">
        <f t="shared" si="228"/>
        <v>0</v>
      </c>
      <c r="W672" s="71">
        <f t="shared" si="229"/>
        <v>0</v>
      </c>
      <c r="Y672" s="71">
        <f t="shared" si="230"/>
        <v>0</v>
      </c>
      <c r="AA672" s="71">
        <f t="shared" si="231"/>
        <v>0</v>
      </c>
      <c r="AC672" s="71">
        <f t="shared" si="232"/>
        <v>0</v>
      </c>
      <c r="AK672" s="71">
        <f t="shared" si="233"/>
        <v>0</v>
      </c>
      <c r="AM672" s="71">
        <f t="shared" si="234"/>
        <v>0</v>
      </c>
      <c r="AO672" s="71">
        <f t="shared" si="235"/>
        <v>0</v>
      </c>
      <c r="AQ672" s="71">
        <f t="shared" si="236"/>
        <v>0</v>
      </c>
      <c r="AT672" s="71">
        <f t="shared" si="237"/>
        <v>0</v>
      </c>
      <c r="AV672" s="71">
        <f t="shared" si="238"/>
        <v>0</v>
      </c>
      <c r="AX672" s="71">
        <f t="shared" si="239"/>
        <v>0</v>
      </c>
      <c r="AZ672" s="71">
        <f t="shared" si="240"/>
        <v>0</v>
      </c>
      <c r="BE672" s="81">
        <f t="shared" si="241"/>
        <v>0</v>
      </c>
      <c r="BF672" s="81" t="str">
        <f t="shared" si="242"/>
        <v>BASSO</v>
      </c>
    </row>
    <row r="673" spans="7:58" x14ac:dyDescent="0.15">
      <c r="G673" s="64">
        <f t="shared" si="221"/>
        <v>0</v>
      </c>
      <c r="I673" s="64">
        <f t="shared" si="222"/>
        <v>0</v>
      </c>
      <c r="K673" s="64">
        <f t="shared" si="223"/>
        <v>0</v>
      </c>
      <c r="M673" s="64">
        <f t="shared" si="224"/>
        <v>0</v>
      </c>
      <c r="O673" s="64">
        <f t="shared" si="225"/>
        <v>0</v>
      </c>
      <c r="Q673" s="64">
        <f t="shared" si="226"/>
        <v>0</v>
      </c>
      <c r="S673" s="71">
        <f t="shared" si="227"/>
        <v>0</v>
      </c>
      <c r="U673" s="64">
        <f t="shared" si="228"/>
        <v>0</v>
      </c>
      <c r="W673" s="71">
        <f t="shared" si="229"/>
        <v>0</v>
      </c>
      <c r="Y673" s="71">
        <f t="shared" si="230"/>
        <v>0</v>
      </c>
      <c r="AA673" s="71">
        <f t="shared" si="231"/>
        <v>0</v>
      </c>
      <c r="AC673" s="71">
        <f t="shared" si="232"/>
        <v>0</v>
      </c>
      <c r="AK673" s="71">
        <f t="shared" si="233"/>
        <v>0</v>
      </c>
      <c r="AM673" s="71">
        <f t="shared" si="234"/>
        <v>0</v>
      </c>
      <c r="AO673" s="71">
        <f t="shared" si="235"/>
        <v>0</v>
      </c>
      <c r="AQ673" s="71">
        <f t="shared" si="236"/>
        <v>0</v>
      </c>
      <c r="AT673" s="71">
        <f t="shared" si="237"/>
        <v>0</v>
      </c>
      <c r="AV673" s="71">
        <f t="shared" si="238"/>
        <v>0</v>
      </c>
      <c r="AX673" s="71">
        <f t="shared" si="239"/>
        <v>0</v>
      </c>
      <c r="AZ673" s="71">
        <f t="shared" si="240"/>
        <v>0</v>
      </c>
      <c r="BE673" s="81">
        <f t="shared" si="241"/>
        <v>0</v>
      </c>
      <c r="BF673" s="81" t="str">
        <f t="shared" si="242"/>
        <v>BASSO</v>
      </c>
    </row>
    <row r="674" spans="7:58" x14ac:dyDescent="0.15">
      <c r="G674" s="64">
        <f t="shared" si="221"/>
        <v>0</v>
      </c>
      <c r="I674" s="64">
        <f t="shared" si="222"/>
        <v>0</v>
      </c>
      <c r="K674" s="64">
        <f t="shared" si="223"/>
        <v>0</v>
      </c>
      <c r="M674" s="64">
        <f t="shared" si="224"/>
        <v>0</v>
      </c>
      <c r="O674" s="64">
        <f t="shared" si="225"/>
        <v>0</v>
      </c>
      <c r="Q674" s="64">
        <f t="shared" si="226"/>
        <v>0</v>
      </c>
      <c r="S674" s="71">
        <f t="shared" si="227"/>
        <v>0</v>
      </c>
      <c r="U674" s="64">
        <f t="shared" si="228"/>
        <v>0</v>
      </c>
      <c r="W674" s="71">
        <f t="shared" si="229"/>
        <v>0</v>
      </c>
      <c r="Y674" s="71">
        <f t="shared" si="230"/>
        <v>0</v>
      </c>
      <c r="AA674" s="71">
        <f t="shared" si="231"/>
        <v>0</v>
      </c>
      <c r="AC674" s="71">
        <f t="shared" si="232"/>
        <v>0</v>
      </c>
      <c r="AK674" s="71">
        <f t="shared" si="233"/>
        <v>0</v>
      </c>
      <c r="AM674" s="71">
        <f t="shared" si="234"/>
        <v>0</v>
      </c>
      <c r="AO674" s="71">
        <f t="shared" si="235"/>
        <v>0</v>
      </c>
      <c r="AQ674" s="71">
        <f t="shared" si="236"/>
        <v>0</v>
      </c>
      <c r="AT674" s="71">
        <f t="shared" si="237"/>
        <v>0</v>
      </c>
      <c r="AV674" s="71">
        <f t="shared" si="238"/>
        <v>0</v>
      </c>
      <c r="AX674" s="71">
        <f t="shared" si="239"/>
        <v>0</v>
      </c>
      <c r="AZ674" s="71">
        <f t="shared" si="240"/>
        <v>0</v>
      </c>
      <c r="BE674" s="81">
        <f t="shared" si="241"/>
        <v>0</v>
      </c>
      <c r="BF674" s="81" t="str">
        <f t="shared" si="242"/>
        <v>BASSO</v>
      </c>
    </row>
    <row r="675" spans="7:58" x14ac:dyDescent="0.15">
      <c r="G675" s="64">
        <f t="shared" si="221"/>
        <v>0</v>
      </c>
      <c r="I675" s="64">
        <f t="shared" si="222"/>
        <v>0</v>
      </c>
      <c r="K675" s="64">
        <f t="shared" si="223"/>
        <v>0</v>
      </c>
      <c r="M675" s="64">
        <f t="shared" si="224"/>
        <v>0</v>
      </c>
      <c r="O675" s="64">
        <f t="shared" si="225"/>
        <v>0</v>
      </c>
      <c r="Q675" s="64">
        <f t="shared" si="226"/>
        <v>0</v>
      </c>
      <c r="S675" s="71">
        <f t="shared" si="227"/>
        <v>0</v>
      </c>
      <c r="U675" s="64">
        <f t="shared" si="228"/>
        <v>0</v>
      </c>
      <c r="W675" s="71">
        <f t="shared" si="229"/>
        <v>0</v>
      </c>
      <c r="Y675" s="71">
        <f t="shared" si="230"/>
        <v>0</v>
      </c>
      <c r="AA675" s="71">
        <f t="shared" si="231"/>
        <v>0</v>
      </c>
      <c r="AC675" s="71">
        <f t="shared" si="232"/>
        <v>0</v>
      </c>
      <c r="AK675" s="71">
        <f t="shared" si="233"/>
        <v>0</v>
      </c>
      <c r="AM675" s="71">
        <f t="shared" si="234"/>
        <v>0</v>
      </c>
      <c r="AO675" s="71">
        <f t="shared" si="235"/>
        <v>0</v>
      </c>
      <c r="AQ675" s="71">
        <f t="shared" si="236"/>
        <v>0</v>
      </c>
      <c r="AT675" s="71">
        <f t="shared" si="237"/>
        <v>0</v>
      </c>
      <c r="AV675" s="71">
        <f t="shared" si="238"/>
        <v>0</v>
      </c>
      <c r="AX675" s="71">
        <f t="shared" si="239"/>
        <v>0</v>
      </c>
      <c r="AZ675" s="71">
        <f t="shared" si="240"/>
        <v>0</v>
      </c>
      <c r="BE675" s="81">
        <f t="shared" si="241"/>
        <v>0</v>
      </c>
      <c r="BF675" s="81" t="str">
        <f t="shared" si="242"/>
        <v>BASSO</v>
      </c>
    </row>
    <row r="676" spans="7:58" x14ac:dyDescent="0.15">
      <c r="G676" s="64">
        <f t="shared" si="221"/>
        <v>0</v>
      </c>
      <c r="I676" s="64">
        <f t="shared" si="222"/>
        <v>0</v>
      </c>
      <c r="K676" s="64">
        <f t="shared" si="223"/>
        <v>0</v>
      </c>
      <c r="M676" s="64">
        <f t="shared" si="224"/>
        <v>0</v>
      </c>
      <c r="O676" s="64">
        <f t="shared" si="225"/>
        <v>0</v>
      </c>
      <c r="Q676" s="64">
        <f t="shared" si="226"/>
        <v>0</v>
      </c>
      <c r="S676" s="71">
        <f t="shared" si="227"/>
        <v>0</v>
      </c>
      <c r="U676" s="64">
        <f t="shared" si="228"/>
        <v>0</v>
      </c>
      <c r="W676" s="71">
        <f t="shared" si="229"/>
        <v>0</v>
      </c>
      <c r="Y676" s="71">
        <f t="shared" si="230"/>
        <v>0</v>
      </c>
      <c r="AA676" s="71">
        <f t="shared" si="231"/>
        <v>0</v>
      </c>
      <c r="AC676" s="71">
        <f t="shared" si="232"/>
        <v>0</v>
      </c>
      <c r="AK676" s="71">
        <f t="shared" si="233"/>
        <v>0</v>
      </c>
      <c r="AM676" s="71">
        <f t="shared" si="234"/>
        <v>0</v>
      </c>
      <c r="AO676" s="71">
        <f t="shared" si="235"/>
        <v>0</v>
      </c>
      <c r="AQ676" s="71">
        <f t="shared" si="236"/>
        <v>0</v>
      </c>
      <c r="AT676" s="71">
        <f t="shared" si="237"/>
        <v>0</v>
      </c>
      <c r="AV676" s="71">
        <f t="shared" si="238"/>
        <v>0</v>
      </c>
      <c r="AX676" s="71">
        <f t="shared" si="239"/>
        <v>0</v>
      </c>
      <c r="AZ676" s="71">
        <f t="shared" si="240"/>
        <v>0</v>
      </c>
      <c r="BE676" s="81">
        <f t="shared" si="241"/>
        <v>0</v>
      </c>
      <c r="BF676" s="81" t="str">
        <f t="shared" si="242"/>
        <v>BASSO</v>
      </c>
    </row>
    <row r="677" spans="7:58" x14ac:dyDescent="0.15">
      <c r="G677" s="64">
        <f t="shared" si="221"/>
        <v>0</v>
      </c>
      <c r="I677" s="64">
        <f t="shared" si="222"/>
        <v>0</v>
      </c>
      <c r="K677" s="64">
        <f t="shared" si="223"/>
        <v>0</v>
      </c>
      <c r="M677" s="64">
        <f t="shared" si="224"/>
        <v>0</v>
      </c>
      <c r="O677" s="64">
        <f t="shared" si="225"/>
        <v>0</v>
      </c>
      <c r="Q677" s="64">
        <f t="shared" si="226"/>
        <v>0</v>
      </c>
      <c r="S677" s="71">
        <f t="shared" si="227"/>
        <v>0</v>
      </c>
      <c r="U677" s="64">
        <f t="shared" si="228"/>
        <v>0</v>
      </c>
      <c r="W677" s="71">
        <f t="shared" si="229"/>
        <v>0</v>
      </c>
      <c r="Y677" s="71">
        <f t="shared" si="230"/>
        <v>0</v>
      </c>
      <c r="AA677" s="71">
        <f t="shared" si="231"/>
        <v>0</v>
      </c>
      <c r="AC677" s="71">
        <f t="shared" si="232"/>
        <v>0</v>
      </c>
      <c r="AK677" s="71">
        <f t="shared" si="233"/>
        <v>0</v>
      </c>
      <c r="AM677" s="71">
        <f t="shared" si="234"/>
        <v>0</v>
      </c>
      <c r="AO677" s="71">
        <f t="shared" si="235"/>
        <v>0</v>
      </c>
      <c r="AQ677" s="71">
        <f t="shared" si="236"/>
        <v>0</v>
      </c>
      <c r="AT677" s="71">
        <f t="shared" si="237"/>
        <v>0</v>
      </c>
      <c r="AV677" s="71">
        <f t="shared" si="238"/>
        <v>0</v>
      </c>
      <c r="AX677" s="71">
        <f t="shared" si="239"/>
        <v>0</v>
      </c>
      <c r="AZ677" s="71">
        <f t="shared" si="240"/>
        <v>0</v>
      </c>
      <c r="BE677" s="81">
        <f t="shared" si="241"/>
        <v>0</v>
      </c>
      <c r="BF677" s="81" t="str">
        <f t="shared" si="242"/>
        <v>BASSO</v>
      </c>
    </row>
    <row r="678" spans="7:58" x14ac:dyDescent="0.15">
      <c r="G678" s="64">
        <f t="shared" si="221"/>
        <v>0</v>
      </c>
      <c r="I678" s="64">
        <f t="shared" si="222"/>
        <v>0</v>
      </c>
      <c r="K678" s="64">
        <f t="shared" si="223"/>
        <v>0</v>
      </c>
      <c r="M678" s="64">
        <f t="shared" si="224"/>
        <v>0</v>
      </c>
      <c r="O678" s="64">
        <f t="shared" si="225"/>
        <v>0</v>
      </c>
      <c r="Q678" s="64">
        <f t="shared" si="226"/>
        <v>0</v>
      </c>
      <c r="S678" s="71">
        <f t="shared" si="227"/>
        <v>0</v>
      </c>
      <c r="U678" s="64">
        <f t="shared" si="228"/>
        <v>0</v>
      </c>
      <c r="W678" s="71">
        <f t="shared" si="229"/>
        <v>0</v>
      </c>
      <c r="Y678" s="71">
        <f t="shared" si="230"/>
        <v>0</v>
      </c>
      <c r="AA678" s="71">
        <f t="shared" si="231"/>
        <v>0</v>
      </c>
      <c r="AC678" s="71">
        <f t="shared" si="232"/>
        <v>0</v>
      </c>
      <c r="AK678" s="71">
        <f t="shared" si="233"/>
        <v>0</v>
      </c>
      <c r="AM678" s="71">
        <f t="shared" si="234"/>
        <v>0</v>
      </c>
      <c r="AO678" s="71">
        <f t="shared" si="235"/>
        <v>0</v>
      </c>
      <c r="AQ678" s="71">
        <f t="shared" si="236"/>
        <v>0</v>
      </c>
      <c r="AT678" s="71">
        <f t="shared" si="237"/>
        <v>0</v>
      </c>
      <c r="AV678" s="71">
        <f t="shared" si="238"/>
        <v>0</v>
      </c>
      <c r="AX678" s="71">
        <f t="shared" si="239"/>
        <v>0</v>
      </c>
      <c r="AZ678" s="71">
        <f t="shared" si="240"/>
        <v>0</v>
      </c>
      <c r="BE678" s="81">
        <f t="shared" si="241"/>
        <v>0</v>
      </c>
      <c r="BF678" s="81" t="str">
        <f t="shared" si="242"/>
        <v>BASSO</v>
      </c>
    </row>
    <row r="679" spans="7:58" x14ac:dyDescent="0.15">
      <c r="G679" s="64">
        <f t="shared" si="221"/>
        <v>0</v>
      </c>
      <c r="I679" s="64">
        <f t="shared" si="222"/>
        <v>0</v>
      </c>
      <c r="K679" s="64">
        <f t="shared" si="223"/>
        <v>0</v>
      </c>
      <c r="M679" s="64">
        <f t="shared" si="224"/>
        <v>0</v>
      </c>
      <c r="O679" s="64">
        <f t="shared" si="225"/>
        <v>0</v>
      </c>
      <c r="Q679" s="64">
        <f t="shared" si="226"/>
        <v>0</v>
      </c>
      <c r="S679" s="71">
        <f t="shared" si="227"/>
        <v>0</v>
      </c>
      <c r="U679" s="64">
        <f t="shared" si="228"/>
        <v>0</v>
      </c>
      <c r="W679" s="71">
        <f t="shared" si="229"/>
        <v>0</v>
      </c>
      <c r="Y679" s="71">
        <f t="shared" si="230"/>
        <v>0</v>
      </c>
      <c r="AA679" s="71">
        <f t="shared" si="231"/>
        <v>0</v>
      </c>
      <c r="AC679" s="71">
        <f t="shared" si="232"/>
        <v>0</v>
      </c>
      <c r="AK679" s="71">
        <f t="shared" si="233"/>
        <v>0</v>
      </c>
      <c r="AM679" s="71">
        <f t="shared" si="234"/>
        <v>0</v>
      </c>
      <c r="AO679" s="71">
        <f t="shared" si="235"/>
        <v>0</v>
      </c>
      <c r="AQ679" s="71">
        <f t="shared" si="236"/>
        <v>0</v>
      </c>
      <c r="AT679" s="71">
        <f t="shared" si="237"/>
        <v>0</v>
      </c>
      <c r="AV679" s="71">
        <f t="shared" si="238"/>
        <v>0</v>
      </c>
      <c r="AX679" s="71">
        <f t="shared" si="239"/>
        <v>0</v>
      </c>
      <c r="AZ679" s="71">
        <f t="shared" si="240"/>
        <v>0</v>
      </c>
      <c r="BE679" s="81">
        <f t="shared" si="241"/>
        <v>0</v>
      </c>
      <c r="BF679" s="81" t="str">
        <f t="shared" si="242"/>
        <v>BASSO</v>
      </c>
    </row>
    <row r="680" spans="7:58" x14ac:dyDescent="0.15">
      <c r="G680" s="64">
        <f t="shared" si="221"/>
        <v>0</v>
      </c>
      <c r="I680" s="64">
        <f t="shared" si="222"/>
        <v>0</v>
      </c>
      <c r="K680" s="64">
        <f t="shared" si="223"/>
        <v>0</v>
      </c>
      <c r="M680" s="64">
        <f t="shared" si="224"/>
        <v>0</v>
      </c>
      <c r="O680" s="64">
        <f t="shared" si="225"/>
        <v>0</v>
      </c>
      <c r="Q680" s="64">
        <f t="shared" si="226"/>
        <v>0</v>
      </c>
      <c r="S680" s="71">
        <f t="shared" si="227"/>
        <v>0</v>
      </c>
      <c r="U680" s="64">
        <f t="shared" si="228"/>
        <v>0</v>
      </c>
      <c r="W680" s="71">
        <f t="shared" si="229"/>
        <v>0</v>
      </c>
      <c r="Y680" s="71">
        <f t="shared" si="230"/>
        <v>0</v>
      </c>
      <c r="AA680" s="71">
        <f t="shared" si="231"/>
        <v>0</v>
      </c>
      <c r="AC680" s="71">
        <f t="shared" si="232"/>
        <v>0</v>
      </c>
      <c r="AK680" s="71">
        <f t="shared" si="233"/>
        <v>0</v>
      </c>
      <c r="AM680" s="71">
        <f t="shared" si="234"/>
        <v>0</v>
      </c>
      <c r="AO680" s="71">
        <f t="shared" si="235"/>
        <v>0</v>
      </c>
      <c r="AQ680" s="71">
        <f t="shared" si="236"/>
        <v>0</v>
      </c>
      <c r="AT680" s="71">
        <f t="shared" si="237"/>
        <v>0</v>
      </c>
      <c r="AV680" s="71">
        <f t="shared" si="238"/>
        <v>0</v>
      </c>
      <c r="AX680" s="71">
        <f t="shared" si="239"/>
        <v>0</v>
      </c>
      <c r="AZ680" s="71">
        <f t="shared" si="240"/>
        <v>0</v>
      </c>
      <c r="BE680" s="81">
        <f t="shared" si="241"/>
        <v>0</v>
      </c>
      <c r="BF680" s="81" t="str">
        <f t="shared" si="242"/>
        <v>BASSO</v>
      </c>
    </row>
    <row r="681" spans="7:58" x14ac:dyDescent="0.15">
      <c r="G681" s="64">
        <f t="shared" si="221"/>
        <v>0</v>
      </c>
      <c r="I681" s="64">
        <f t="shared" si="222"/>
        <v>0</v>
      </c>
      <c r="K681" s="64">
        <f t="shared" si="223"/>
        <v>0</v>
      </c>
      <c r="M681" s="64">
        <f t="shared" si="224"/>
        <v>0</v>
      </c>
      <c r="O681" s="64">
        <f t="shared" si="225"/>
        <v>0</v>
      </c>
      <c r="Q681" s="64">
        <f t="shared" si="226"/>
        <v>0</v>
      </c>
      <c r="S681" s="71">
        <f t="shared" si="227"/>
        <v>0</v>
      </c>
      <c r="U681" s="64">
        <f t="shared" si="228"/>
        <v>0</v>
      </c>
      <c r="W681" s="71">
        <f t="shared" si="229"/>
        <v>0</v>
      </c>
      <c r="Y681" s="71">
        <f t="shared" si="230"/>
        <v>0</v>
      </c>
      <c r="AA681" s="71">
        <f t="shared" si="231"/>
        <v>0</v>
      </c>
      <c r="AC681" s="71">
        <f t="shared" si="232"/>
        <v>0</v>
      </c>
      <c r="AK681" s="71">
        <f t="shared" si="233"/>
        <v>0</v>
      </c>
      <c r="AM681" s="71">
        <f t="shared" si="234"/>
        <v>0</v>
      </c>
      <c r="AO681" s="71">
        <f t="shared" si="235"/>
        <v>0</v>
      </c>
      <c r="AQ681" s="71">
        <f t="shared" si="236"/>
        <v>0</v>
      </c>
      <c r="AT681" s="71">
        <f t="shared" si="237"/>
        <v>0</v>
      </c>
      <c r="AV681" s="71">
        <f t="shared" si="238"/>
        <v>0</v>
      </c>
      <c r="AX681" s="71">
        <f t="shared" si="239"/>
        <v>0</v>
      </c>
      <c r="AZ681" s="71">
        <f t="shared" si="240"/>
        <v>0</v>
      </c>
      <c r="BE681" s="81">
        <f t="shared" si="241"/>
        <v>0</v>
      </c>
      <c r="BF681" s="81" t="str">
        <f t="shared" si="242"/>
        <v>BASSO</v>
      </c>
    </row>
    <row r="682" spans="7:58" x14ac:dyDescent="0.15">
      <c r="G682" s="64">
        <f t="shared" si="221"/>
        <v>0</v>
      </c>
      <c r="I682" s="64">
        <f t="shared" si="222"/>
        <v>0</v>
      </c>
      <c r="K682" s="64">
        <f t="shared" si="223"/>
        <v>0</v>
      </c>
      <c r="M682" s="64">
        <f t="shared" si="224"/>
        <v>0</v>
      </c>
      <c r="O682" s="64">
        <f t="shared" si="225"/>
        <v>0</v>
      </c>
      <c r="Q682" s="64">
        <f t="shared" si="226"/>
        <v>0</v>
      </c>
      <c r="S682" s="71">
        <f t="shared" si="227"/>
        <v>0</v>
      </c>
      <c r="U682" s="64">
        <f t="shared" si="228"/>
        <v>0</v>
      </c>
      <c r="W682" s="71">
        <f t="shared" si="229"/>
        <v>0</v>
      </c>
      <c r="Y682" s="71">
        <f t="shared" si="230"/>
        <v>0</v>
      </c>
      <c r="AA682" s="71">
        <f t="shared" si="231"/>
        <v>0</v>
      </c>
      <c r="AC682" s="71">
        <f t="shared" si="232"/>
        <v>0</v>
      </c>
      <c r="AK682" s="71">
        <f t="shared" si="233"/>
        <v>0</v>
      </c>
      <c r="AM682" s="71">
        <f t="shared" si="234"/>
        <v>0</v>
      </c>
      <c r="AO682" s="71">
        <f t="shared" si="235"/>
        <v>0</v>
      </c>
      <c r="AQ682" s="71">
        <f t="shared" si="236"/>
        <v>0</v>
      </c>
      <c r="AT682" s="71">
        <f t="shared" si="237"/>
        <v>0</v>
      </c>
      <c r="AV682" s="71">
        <f t="shared" si="238"/>
        <v>0</v>
      </c>
      <c r="AX682" s="71">
        <f t="shared" si="239"/>
        <v>0</v>
      </c>
      <c r="AZ682" s="71">
        <f t="shared" si="240"/>
        <v>0</v>
      </c>
      <c r="BE682" s="81">
        <f t="shared" si="241"/>
        <v>0</v>
      </c>
      <c r="BF682" s="81" t="str">
        <f t="shared" si="242"/>
        <v>BASSO</v>
      </c>
    </row>
    <row r="683" spans="7:58" x14ac:dyDescent="0.15">
      <c r="G683" s="64">
        <f t="shared" si="221"/>
        <v>0</v>
      </c>
      <c r="I683" s="64">
        <f t="shared" si="222"/>
        <v>0</v>
      </c>
      <c r="K683" s="64">
        <f t="shared" si="223"/>
        <v>0</v>
      </c>
      <c r="M683" s="64">
        <f t="shared" si="224"/>
        <v>0</v>
      </c>
      <c r="O683" s="64">
        <f t="shared" si="225"/>
        <v>0</v>
      </c>
      <c r="Q683" s="64">
        <f t="shared" si="226"/>
        <v>0</v>
      </c>
      <c r="S683" s="71">
        <f t="shared" si="227"/>
        <v>0</v>
      </c>
      <c r="U683" s="64">
        <f t="shared" si="228"/>
        <v>0</v>
      </c>
      <c r="W683" s="71">
        <f t="shared" si="229"/>
        <v>0</v>
      </c>
      <c r="Y683" s="71">
        <f t="shared" si="230"/>
        <v>0</v>
      </c>
      <c r="AA683" s="71">
        <f t="shared" si="231"/>
        <v>0</v>
      </c>
      <c r="AC683" s="71">
        <f t="shared" si="232"/>
        <v>0</v>
      </c>
      <c r="AK683" s="71">
        <f t="shared" si="233"/>
        <v>0</v>
      </c>
      <c r="AM683" s="71">
        <f t="shared" si="234"/>
        <v>0</v>
      </c>
      <c r="AO683" s="71">
        <f t="shared" si="235"/>
        <v>0</v>
      </c>
      <c r="AQ683" s="71">
        <f t="shared" si="236"/>
        <v>0</v>
      </c>
      <c r="AT683" s="71">
        <f t="shared" si="237"/>
        <v>0</v>
      </c>
      <c r="AV683" s="71">
        <f t="shared" si="238"/>
        <v>0</v>
      </c>
      <c r="AX683" s="71">
        <f t="shared" si="239"/>
        <v>0</v>
      </c>
      <c r="AZ683" s="71">
        <f t="shared" si="240"/>
        <v>0</v>
      </c>
      <c r="BE683" s="81">
        <f t="shared" si="241"/>
        <v>0</v>
      </c>
      <c r="BF683" s="81" t="str">
        <f t="shared" si="242"/>
        <v>BASSO</v>
      </c>
    </row>
    <row r="684" spans="7:58" x14ac:dyDescent="0.15">
      <c r="G684" s="64">
        <f t="shared" si="221"/>
        <v>0</v>
      </c>
      <c r="I684" s="64">
        <f t="shared" si="222"/>
        <v>0</v>
      </c>
      <c r="K684" s="64">
        <f t="shared" si="223"/>
        <v>0</v>
      </c>
      <c r="M684" s="64">
        <f t="shared" si="224"/>
        <v>0</v>
      </c>
      <c r="O684" s="64">
        <f t="shared" si="225"/>
        <v>0</v>
      </c>
      <c r="Q684" s="64">
        <f t="shared" si="226"/>
        <v>0</v>
      </c>
      <c r="S684" s="71">
        <f t="shared" si="227"/>
        <v>0</v>
      </c>
      <c r="U684" s="64">
        <f t="shared" si="228"/>
        <v>0</v>
      </c>
      <c r="W684" s="71">
        <f t="shared" si="229"/>
        <v>0</v>
      </c>
      <c r="Y684" s="71">
        <f t="shared" si="230"/>
        <v>0</v>
      </c>
      <c r="AA684" s="71">
        <f t="shared" si="231"/>
        <v>0</v>
      </c>
      <c r="AC684" s="71">
        <f t="shared" si="232"/>
        <v>0</v>
      </c>
      <c r="AK684" s="71">
        <f t="shared" si="233"/>
        <v>0</v>
      </c>
      <c r="AM684" s="71">
        <f t="shared" si="234"/>
        <v>0</v>
      </c>
      <c r="AO684" s="71">
        <f t="shared" si="235"/>
        <v>0</v>
      </c>
      <c r="AQ684" s="71">
        <f t="shared" si="236"/>
        <v>0</v>
      </c>
      <c r="AT684" s="71">
        <f t="shared" si="237"/>
        <v>0</v>
      </c>
      <c r="AV684" s="71">
        <f t="shared" si="238"/>
        <v>0</v>
      </c>
      <c r="AX684" s="71">
        <f t="shared" si="239"/>
        <v>0</v>
      </c>
      <c r="AZ684" s="71">
        <f t="shared" si="240"/>
        <v>0</v>
      </c>
      <c r="BE684" s="81">
        <f t="shared" si="241"/>
        <v>0</v>
      </c>
      <c r="BF684" s="81" t="str">
        <f t="shared" si="242"/>
        <v>BASSO</v>
      </c>
    </row>
    <row r="685" spans="7:58" x14ac:dyDescent="0.15">
      <c r="G685" s="64">
        <f t="shared" si="221"/>
        <v>0</v>
      </c>
      <c r="I685" s="64">
        <f t="shared" si="222"/>
        <v>0</v>
      </c>
      <c r="K685" s="64">
        <f t="shared" si="223"/>
        <v>0</v>
      </c>
      <c r="M685" s="64">
        <f t="shared" si="224"/>
        <v>0</v>
      </c>
      <c r="O685" s="64">
        <f t="shared" si="225"/>
        <v>0</v>
      </c>
      <c r="Q685" s="64">
        <f t="shared" si="226"/>
        <v>0</v>
      </c>
      <c r="S685" s="71">
        <f t="shared" si="227"/>
        <v>0</v>
      </c>
      <c r="U685" s="64">
        <f t="shared" si="228"/>
        <v>0</v>
      </c>
      <c r="W685" s="71">
        <f t="shared" si="229"/>
        <v>0</v>
      </c>
      <c r="Y685" s="71">
        <f t="shared" si="230"/>
        <v>0</v>
      </c>
      <c r="AA685" s="71">
        <f t="shared" si="231"/>
        <v>0</v>
      </c>
      <c r="AC685" s="71">
        <f t="shared" si="232"/>
        <v>0</v>
      </c>
      <c r="AK685" s="71">
        <f t="shared" si="233"/>
        <v>0</v>
      </c>
      <c r="AM685" s="71">
        <f t="shared" si="234"/>
        <v>0</v>
      </c>
      <c r="AO685" s="71">
        <f t="shared" si="235"/>
        <v>0</v>
      </c>
      <c r="AQ685" s="71">
        <f t="shared" si="236"/>
        <v>0</v>
      </c>
      <c r="AT685" s="71">
        <f t="shared" si="237"/>
        <v>0</v>
      </c>
      <c r="AV685" s="71">
        <f t="shared" si="238"/>
        <v>0</v>
      </c>
      <c r="AX685" s="71">
        <f t="shared" si="239"/>
        <v>0</v>
      </c>
      <c r="AZ685" s="71">
        <f t="shared" si="240"/>
        <v>0</v>
      </c>
      <c r="BE685" s="81">
        <f t="shared" si="241"/>
        <v>0</v>
      </c>
      <c r="BF685" s="81" t="str">
        <f t="shared" si="242"/>
        <v>BASSO</v>
      </c>
    </row>
    <row r="686" spans="7:58" x14ac:dyDescent="0.15">
      <c r="G686" s="64">
        <f t="shared" si="221"/>
        <v>0</v>
      </c>
      <c r="I686" s="64">
        <f t="shared" si="222"/>
        <v>0</v>
      </c>
      <c r="K686" s="64">
        <f t="shared" si="223"/>
        <v>0</v>
      </c>
      <c r="M686" s="64">
        <f t="shared" si="224"/>
        <v>0</v>
      </c>
      <c r="O686" s="64">
        <f t="shared" si="225"/>
        <v>0</v>
      </c>
      <c r="Q686" s="64">
        <f t="shared" si="226"/>
        <v>0</v>
      </c>
      <c r="S686" s="71">
        <f t="shared" si="227"/>
        <v>0</v>
      </c>
      <c r="U686" s="64">
        <f t="shared" si="228"/>
        <v>0</v>
      </c>
      <c r="W686" s="71">
        <f t="shared" si="229"/>
        <v>0</v>
      </c>
      <c r="Y686" s="71">
        <f t="shared" si="230"/>
        <v>0</v>
      </c>
      <c r="AA686" s="71">
        <f t="shared" si="231"/>
        <v>0</v>
      </c>
      <c r="AC686" s="71">
        <f t="shared" si="232"/>
        <v>0</v>
      </c>
      <c r="AK686" s="71">
        <f t="shared" si="233"/>
        <v>0</v>
      </c>
      <c r="AM686" s="71">
        <f t="shared" si="234"/>
        <v>0</v>
      </c>
      <c r="AO686" s="71">
        <f t="shared" si="235"/>
        <v>0</v>
      </c>
      <c r="AQ686" s="71">
        <f t="shared" si="236"/>
        <v>0</v>
      </c>
      <c r="AT686" s="71">
        <f t="shared" si="237"/>
        <v>0</v>
      </c>
      <c r="AV686" s="71">
        <f t="shared" si="238"/>
        <v>0</v>
      </c>
      <c r="AX686" s="71">
        <f t="shared" si="239"/>
        <v>0</v>
      </c>
      <c r="AZ686" s="71">
        <f t="shared" si="240"/>
        <v>0</v>
      </c>
      <c r="BE686" s="81">
        <f t="shared" si="241"/>
        <v>0</v>
      </c>
      <c r="BF686" s="81" t="str">
        <f t="shared" si="242"/>
        <v>BASSO</v>
      </c>
    </row>
    <row r="687" spans="7:58" x14ac:dyDescent="0.15">
      <c r="G687" s="64">
        <f t="shared" si="221"/>
        <v>0</v>
      </c>
      <c r="I687" s="64">
        <f t="shared" si="222"/>
        <v>0</v>
      </c>
      <c r="K687" s="64">
        <f t="shared" si="223"/>
        <v>0</v>
      </c>
      <c r="M687" s="64">
        <f t="shared" si="224"/>
        <v>0</v>
      </c>
      <c r="O687" s="64">
        <f t="shared" si="225"/>
        <v>0</v>
      </c>
      <c r="Q687" s="64">
        <f t="shared" si="226"/>
        <v>0</v>
      </c>
      <c r="S687" s="71">
        <f t="shared" si="227"/>
        <v>0</v>
      </c>
      <c r="U687" s="64">
        <f t="shared" si="228"/>
        <v>0</v>
      </c>
      <c r="W687" s="71">
        <f t="shared" si="229"/>
        <v>0</v>
      </c>
      <c r="Y687" s="71">
        <f t="shared" si="230"/>
        <v>0</v>
      </c>
      <c r="AA687" s="71">
        <f t="shared" si="231"/>
        <v>0</v>
      </c>
      <c r="AC687" s="71">
        <f t="shared" si="232"/>
        <v>0</v>
      </c>
      <c r="AK687" s="71">
        <f t="shared" si="233"/>
        <v>0</v>
      </c>
      <c r="AM687" s="71">
        <f t="shared" si="234"/>
        <v>0</v>
      </c>
      <c r="AO687" s="71">
        <f t="shared" si="235"/>
        <v>0</v>
      </c>
      <c r="AQ687" s="71">
        <f t="shared" si="236"/>
        <v>0</v>
      </c>
      <c r="AT687" s="71">
        <f t="shared" si="237"/>
        <v>0</v>
      </c>
      <c r="AV687" s="71">
        <f t="shared" si="238"/>
        <v>0</v>
      </c>
      <c r="AX687" s="71">
        <f t="shared" si="239"/>
        <v>0</v>
      </c>
      <c r="AZ687" s="71">
        <f t="shared" si="240"/>
        <v>0</v>
      </c>
      <c r="BE687" s="81">
        <f t="shared" si="241"/>
        <v>0</v>
      </c>
      <c r="BF687" s="81" t="str">
        <f t="shared" si="242"/>
        <v>BASSO</v>
      </c>
    </row>
    <row r="688" spans="7:58" x14ac:dyDescent="0.15">
      <c r="G688" s="64">
        <f t="shared" si="221"/>
        <v>0</v>
      </c>
      <c r="I688" s="64">
        <f t="shared" si="222"/>
        <v>0</v>
      </c>
      <c r="K688" s="64">
        <f t="shared" si="223"/>
        <v>0</v>
      </c>
      <c r="M688" s="64">
        <f t="shared" si="224"/>
        <v>0</v>
      </c>
      <c r="O688" s="64">
        <f t="shared" si="225"/>
        <v>0</v>
      </c>
      <c r="Q688" s="64">
        <f t="shared" si="226"/>
        <v>0</v>
      </c>
      <c r="S688" s="71">
        <f t="shared" si="227"/>
        <v>0</v>
      </c>
      <c r="U688" s="64">
        <f t="shared" si="228"/>
        <v>0</v>
      </c>
      <c r="W688" s="71">
        <f t="shared" si="229"/>
        <v>0</v>
      </c>
      <c r="Y688" s="71">
        <f t="shared" si="230"/>
        <v>0</v>
      </c>
      <c r="AA688" s="71">
        <f t="shared" si="231"/>
        <v>0</v>
      </c>
      <c r="AC688" s="71">
        <f t="shared" si="232"/>
        <v>0</v>
      </c>
      <c r="AK688" s="71">
        <f t="shared" si="233"/>
        <v>0</v>
      </c>
      <c r="AM688" s="71">
        <f t="shared" si="234"/>
        <v>0</v>
      </c>
      <c r="AO688" s="71">
        <f t="shared" si="235"/>
        <v>0</v>
      </c>
      <c r="AQ688" s="71">
        <f t="shared" si="236"/>
        <v>0</v>
      </c>
      <c r="AT688" s="71">
        <f t="shared" si="237"/>
        <v>0</v>
      </c>
      <c r="AV688" s="71">
        <f t="shared" si="238"/>
        <v>0</v>
      </c>
      <c r="AX688" s="71">
        <f t="shared" si="239"/>
        <v>0</v>
      </c>
      <c r="AZ688" s="71">
        <f t="shared" si="240"/>
        <v>0</v>
      </c>
      <c r="BE688" s="81">
        <f t="shared" si="241"/>
        <v>0</v>
      </c>
      <c r="BF688" s="81" t="str">
        <f t="shared" si="242"/>
        <v>BASSO</v>
      </c>
    </row>
    <row r="689" spans="7:58" x14ac:dyDescent="0.15">
      <c r="G689" s="64">
        <f t="shared" si="221"/>
        <v>0</v>
      </c>
      <c r="I689" s="64">
        <f t="shared" si="222"/>
        <v>0</v>
      </c>
      <c r="K689" s="64">
        <f t="shared" si="223"/>
        <v>0</v>
      </c>
      <c r="M689" s="64">
        <f t="shared" si="224"/>
        <v>0</v>
      </c>
      <c r="O689" s="64">
        <f t="shared" si="225"/>
        <v>0</v>
      </c>
      <c r="Q689" s="64">
        <f t="shared" si="226"/>
        <v>0</v>
      </c>
      <c r="S689" s="71">
        <f t="shared" si="227"/>
        <v>0</v>
      </c>
      <c r="U689" s="64">
        <f t="shared" si="228"/>
        <v>0</v>
      </c>
      <c r="W689" s="71">
        <f t="shared" si="229"/>
        <v>0</v>
      </c>
      <c r="Y689" s="71">
        <f t="shared" si="230"/>
        <v>0</v>
      </c>
      <c r="AA689" s="71">
        <f t="shared" si="231"/>
        <v>0</v>
      </c>
      <c r="AC689" s="71">
        <f t="shared" si="232"/>
        <v>0</v>
      </c>
      <c r="AK689" s="71">
        <f t="shared" si="233"/>
        <v>0</v>
      </c>
      <c r="AM689" s="71">
        <f t="shared" si="234"/>
        <v>0</v>
      </c>
      <c r="AO689" s="71">
        <f t="shared" si="235"/>
        <v>0</v>
      </c>
      <c r="AQ689" s="71">
        <f t="shared" si="236"/>
        <v>0</v>
      </c>
      <c r="AT689" s="71">
        <f t="shared" si="237"/>
        <v>0</v>
      </c>
      <c r="AV689" s="71">
        <f t="shared" si="238"/>
        <v>0</v>
      </c>
      <c r="AX689" s="71">
        <f t="shared" si="239"/>
        <v>0</v>
      </c>
      <c r="AZ689" s="71">
        <f t="shared" si="240"/>
        <v>0</v>
      </c>
      <c r="BE689" s="81">
        <f t="shared" si="241"/>
        <v>0</v>
      </c>
      <c r="BF689" s="81" t="str">
        <f t="shared" si="242"/>
        <v>BASSO</v>
      </c>
    </row>
    <row r="690" spans="7:58" x14ac:dyDescent="0.15">
      <c r="G690" s="64">
        <f t="shared" si="221"/>
        <v>0</v>
      </c>
      <c r="I690" s="64">
        <f t="shared" si="222"/>
        <v>0</v>
      </c>
      <c r="K690" s="64">
        <f t="shared" si="223"/>
        <v>0</v>
      </c>
      <c r="M690" s="64">
        <f t="shared" si="224"/>
        <v>0</v>
      </c>
      <c r="O690" s="64">
        <f t="shared" si="225"/>
        <v>0</v>
      </c>
      <c r="Q690" s="64">
        <f t="shared" si="226"/>
        <v>0</v>
      </c>
      <c r="S690" s="71">
        <f t="shared" si="227"/>
        <v>0</v>
      </c>
      <c r="U690" s="64">
        <f t="shared" si="228"/>
        <v>0</v>
      </c>
      <c r="W690" s="71">
        <f t="shared" si="229"/>
        <v>0</v>
      </c>
      <c r="Y690" s="71">
        <f t="shared" si="230"/>
        <v>0</v>
      </c>
      <c r="AA690" s="71">
        <f t="shared" si="231"/>
        <v>0</v>
      </c>
      <c r="AC690" s="71">
        <f t="shared" si="232"/>
        <v>0</v>
      </c>
      <c r="AK690" s="71">
        <f t="shared" si="233"/>
        <v>0</v>
      </c>
      <c r="AM690" s="71">
        <f t="shared" si="234"/>
        <v>0</v>
      </c>
      <c r="AO690" s="71">
        <f t="shared" si="235"/>
        <v>0</v>
      </c>
      <c r="AQ690" s="71">
        <f t="shared" si="236"/>
        <v>0</v>
      </c>
      <c r="AT690" s="71">
        <f t="shared" si="237"/>
        <v>0</v>
      </c>
      <c r="AV690" s="71">
        <f t="shared" si="238"/>
        <v>0</v>
      </c>
      <c r="AX690" s="71">
        <f t="shared" si="239"/>
        <v>0</v>
      </c>
      <c r="AZ690" s="71">
        <f t="shared" si="240"/>
        <v>0</v>
      </c>
      <c r="BE690" s="81">
        <f t="shared" si="241"/>
        <v>0</v>
      </c>
      <c r="BF690" s="81" t="str">
        <f t="shared" si="242"/>
        <v>BASSO</v>
      </c>
    </row>
    <row r="691" spans="7:58" x14ac:dyDescent="0.15">
      <c r="G691" s="64">
        <f t="shared" si="221"/>
        <v>0</v>
      </c>
      <c r="I691" s="64">
        <f t="shared" si="222"/>
        <v>0</v>
      </c>
      <c r="K691" s="64">
        <f t="shared" si="223"/>
        <v>0</v>
      </c>
      <c r="M691" s="64">
        <f t="shared" si="224"/>
        <v>0</v>
      </c>
      <c r="O691" s="64">
        <f t="shared" si="225"/>
        <v>0</v>
      </c>
      <c r="Q691" s="64">
        <f t="shared" si="226"/>
        <v>0</v>
      </c>
      <c r="S691" s="71">
        <f t="shared" si="227"/>
        <v>0</v>
      </c>
      <c r="U691" s="64">
        <f t="shared" si="228"/>
        <v>0</v>
      </c>
      <c r="W691" s="71">
        <f t="shared" si="229"/>
        <v>0</v>
      </c>
      <c r="Y691" s="71">
        <f t="shared" si="230"/>
        <v>0</v>
      </c>
      <c r="AA691" s="71">
        <f t="shared" si="231"/>
        <v>0</v>
      </c>
      <c r="AC691" s="71">
        <f t="shared" si="232"/>
        <v>0</v>
      </c>
      <c r="AK691" s="71">
        <f t="shared" si="233"/>
        <v>0</v>
      </c>
      <c r="AM691" s="71">
        <f t="shared" si="234"/>
        <v>0</v>
      </c>
      <c r="AO691" s="71">
        <f t="shared" si="235"/>
        <v>0</v>
      </c>
      <c r="AQ691" s="71">
        <f t="shared" si="236"/>
        <v>0</v>
      </c>
      <c r="AT691" s="71">
        <f t="shared" si="237"/>
        <v>0</v>
      </c>
      <c r="AV691" s="71">
        <f t="shared" si="238"/>
        <v>0</v>
      </c>
      <c r="AX691" s="71">
        <f t="shared" si="239"/>
        <v>0</v>
      </c>
      <c r="AZ691" s="71">
        <f t="shared" si="240"/>
        <v>0</v>
      </c>
      <c r="BE691" s="81">
        <f t="shared" si="241"/>
        <v>0</v>
      </c>
      <c r="BF691" s="81" t="str">
        <f t="shared" si="242"/>
        <v>BASSO</v>
      </c>
    </row>
    <row r="692" spans="7:58" x14ac:dyDescent="0.15">
      <c r="G692" s="64">
        <f t="shared" si="221"/>
        <v>0</v>
      </c>
      <c r="I692" s="64">
        <f t="shared" si="222"/>
        <v>0</v>
      </c>
      <c r="K692" s="64">
        <f t="shared" si="223"/>
        <v>0</v>
      </c>
      <c r="M692" s="64">
        <f t="shared" si="224"/>
        <v>0</v>
      </c>
      <c r="O692" s="64">
        <f t="shared" si="225"/>
        <v>0</v>
      </c>
      <c r="Q692" s="64">
        <f t="shared" si="226"/>
        <v>0</v>
      </c>
      <c r="S692" s="71">
        <f t="shared" si="227"/>
        <v>0</v>
      </c>
      <c r="U692" s="64">
        <f t="shared" si="228"/>
        <v>0</v>
      </c>
      <c r="W692" s="71">
        <f t="shared" si="229"/>
        <v>0</v>
      </c>
      <c r="Y692" s="71">
        <f t="shared" si="230"/>
        <v>0</v>
      </c>
      <c r="AA692" s="71">
        <f t="shared" si="231"/>
        <v>0</v>
      </c>
      <c r="AC692" s="71">
        <f t="shared" si="232"/>
        <v>0</v>
      </c>
      <c r="AK692" s="71">
        <f t="shared" si="233"/>
        <v>0</v>
      </c>
      <c r="AM692" s="71">
        <f t="shared" si="234"/>
        <v>0</v>
      </c>
      <c r="AO692" s="71">
        <f t="shared" si="235"/>
        <v>0</v>
      </c>
      <c r="AQ692" s="71">
        <f t="shared" si="236"/>
        <v>0</v>
      </c>
      <c r="AT692" s="71">
        <f t="shared" si="237"/>
        <v>0</v>
      </c>
      <c r="AV692" s="71">
        <f t="shared" si="238"/>
        <v>0</v>
      </c>
      <c r="AX692" s="71">
        <f t="shared" si="239"/>
        <v>0</v>
      </c>
      <c r="AZ692" s="71">
        <f t="shared" si="240"/>
        <v>0</v>
      </c>
      <c r="BE692" s="81">
        <f t="shared" si="241"/>
        <v>0</v>
      </c>
      <c r="BF692" s="81" t="str">
        <f t="shared" si="242"/>
        <v>BASSO</v>
      </c>
    </row>
    <row r="693" spans="7:58" x14ac:dyDescent="0.15">
      <c r="G693" s="64">
        <f t="shared" si="221"/>
        <v>0</v>
      </c>
      <c r="I693" s="64">
        <f t="shared" si="222"/>
        <v>0</v>
      </c>
      <c r="K693" s="64">
        <f t="shared" si="223"/>
        <v>0</v>
      </c>
      <c r="M693" s="64">
        <f t="shared" si="224"/>
        <v>0</v>
      </c>
      <c r="O693" s="64">
        <f t="shared" si="225"/>
        <v>0</v>
      </c>
      <c r="Q693" s="64">
        <f t="shared" si="226"/>
        <v>0</v>
      </c>
      <c r="S693" s="71">
        <f t="shared" si="227"/>
        <v>0</v>
      </c>
      <c r="U693" s="64">
        <f t="shared" si="228"/>
        <v>0</v>
      </c>
      <c r="W693" s="71">
        <f t="shared" si="229"/>
        <v>0</v>
      </c>
      <c r="Y693" s="71">
        <f t="shared" si="230"/>
        <v>0</v>
      </c>
      <c r="AA693" s="71">
        <f t="shared" si="231"/>
        <v>0</v>
      </c>
      <c r="AC693" s="71">
        <f t="shared" si="232"/>
        <v>0</v>
      </c>
      <c r="AK693" s="71">
        <f t="shared" si="233"/>
        <v>0</v>
      </c>
      <c r="AM693" s="71">
        <f t="shared" si="234"/>
        <v>0</v>
      </c>
      <c r="AO693" s="71">
        <f t="shared" si="235"/>
        <v>0</v>
      </c>
      <c r="AQ693" s="71">
        <f t="shared" si="236"/>
        <v>0</v>
      </c>
      <c r="AT693" s="71">
        <f t="shared" si="237"/>
        <v>0</v>
      </c>
      <c r="AV693" s="71">
        <f t="shared" si="238"/>
        <v>0</v>
      </c>
      <c r="AX693" s="71">
        <f t="shared" si="239"/>
        <v>0</v>
      </c>
      <c r="AZ693" s="71">
        <f t="shared" si="240"/>
        <v>0</v>
      </c>
      <c r="BE693" s="81">
        <f t="shared" si="241"/>
        <v>0</v>
      </c>
      <c r="BF693" s="81" t="str">
        <f t="shared" si="242"/>
        <v>BASSO</v>
      </c>
    </row>
    <row r="694" spans="7:58" x14ac:dyDescent="0.15">
      <c r="G694" s="64">
        <f t="shared" si="221"/>
        <v>0</v>
      </c>
      <c r="I694" s="64">
        <f t="shared" si="222"/>
        <v>0</v>
      </c>
      <c r="K694" s="64">
        <f t="shared" si="223"/>
        <v>0</v>
      </c>
      <c r="M694" s="64">
        <f t="shared" si="224"/>
        <v>0</v>
      </c>
      <c r="O694" s="64">
        <f t="shared" si="225"/>
        <v>0</v>
      </c>
      <c r="Q694" s="64">
        <f t="shared" si="226"/>
        <v>0</v>
      </c>
      <c r="S694" s="71">
        <f t="shared" si="227"/>
        <v>0</v>
      </c>
      <c r="U694" s="64">
        <f t="shared" si="228"/>
        <v>0</v>
      </c>
      <c r="W694" s="71">
        <f t="shared" si="229"/>
        <v>0</v>
      </c>
      <c r="Y694" s="71">
        <f t="shared" si="230"/>
        <v>0</v>
      </c>
      <c r="AA694" s="71">
        <f t="shared" si="231"/>
        <v>0</v>
      </c>
      <c r="AC694" s="71">
        <f t="shared" si="232"/>
        <v>0</v>
      </c>
      <c r="AK694" s="71">
        <f t="shared" si="233"/>
        <v>0</v>
      </c>
      <c r="AM694" s="71">
        <f t="shared" si="234"/>
        <v>0</v>
      </c>
      <c r="AO694" s="71">
        <f t="shared" si="235"/>
        <v>0</v>
      </c>
      <c r="AQ694" s="71">
        <f t="shared" si="236"/>
        <v>0</v>
      </c>
      <c r="AT694" s="71">
        <f t="shared" si="237"/>
        <v>0</v>
      </c>
      <c r="AV694" s="71">
        <f t="shared" si="238"/>
        <v>0</v>
      </c>
      <c r="AX694" s="71">
        <f t="shared" si="239"/>
        <v>0</v>
      </c>
      <c r="AZ694" s="71">
        <f t="shared" si="240"/>
        <v>0</v>
      </c>
      <c r="BE694" s="81">
        <f t="shared" si="241"/>
        <v>0</v>
      </c>
      <c r="BF694" s="81" t="str">
        <f t="shared" si="242"/>
        <v>BASSO</v>
      </c>
    </row>
    <row r="695" spans="7:58" x14ac:dyDescent="0.15">
      <c r="G695" s="64">
        <f t="shared" si="221"/>
        <v>0</v>
      </c>
      <c r="I695" s="64">
        <f t="shared" si="222"/>
        <v>0</v>
      </c>
      <c r="K695" s="64">
        <f t="shared" si="223"/>
        <v>0</v>
      </c>
      <c r="M695" s="64">
        <f t="shared" si="224"/>
        <v>0</v>
      </c>
      <c r="O695" s="64">
        <f t="shared" si="225"/>
        <v>0</v>
      </c>
      <c r="Q695" s="64">
        <f t="shared" si="226"/>
        <v>0</v>
      </c>
      <c r="S695" s="71">
        <f t="shared" si="227"/>
        <v>0</v>
      </c>
      <c r="U695" s="64">
        <f t="shared" si="228"/>
        <v>0</v>
      </c>
      <c r="W695" s="71">
        <f t="shared" si="229"/>
        <v>0</v>
      </c>
      <c r="Y695" s="71">
        <f t="shared" si="230"/>
        <v>0</v>
      </c>
      <c r="AA695" s="71">
        <f t="shared" si="231"/>
        <v>0</v>
      </c>
      <c r="AC695" s="71">
        <f t="shared" si="232"/>
        <v>0</v>
      </c>
      <c r="AK695" s="71">
        <f t="shared" si="233"/>
        <v>0</v>
      </c>
      <c r="AM695" s="71">
        <f t="shared" si="234"/>
        <v>0</v>
      </c>
      <c r="AO695" s="71">
        <f t="shared" si="235"/>
        <v>0</v>
      </c>
      <c r="AQ695" s="71">
        <f t="shared" si="236"/>
        <v>0</v>
      </c>
      <c r="AT695" s="71">
        <f t="shared" si="237"/>
        <v>0</v>
      </c>
      <c r="AV695" s="71">
        <f t="shared" si="238"/>
        <v>0</v>
      </c>
      <c r="AX695" s="71">
        <f t="shared" si="239"/>
        <v>0</v>
      </c>
      <c r="AZ695" s="71">
        <f t="shared" si="240"/>
        <v>0</v>
      </c>
      <c r="BE695" s="81">
        <f t="shared" si="241"/>
        <v>0</v>
      </c>
      <c r="BF695" s="81" t="str">
        <f t="shared" si="242"/>
        <v>BASSO</v>
      </c>
    </row>
    <row r="696" spans="7:58" x14ac:dyDescent="0.15">
      <c r="G696" s="64">
        <f t="shared" si="221"/>
        <v>0</v>
      </c>
      <c r="I696" s="64">
        <f t="shared" si="222"/>
        <v>0</v>
      </c>
      <c r="K696" s="64">
        <f t="shared" si="223"/>
        <v>0</v>
      </c>
      <c r="M696" s="64">
        <f t="shared" si="224"/>
        <v>0</v>
      </c>
      <c r="O696" s="64">
        <f t="shared" si="225"/>
        <v>0</v>
      </c>
      <c r="Q696" s="64">
        <f t="shared" si="226"/>
        <v>0</v>
      </c>
      <c r="S696" s="71">
        <f t="shared" si="227"/>
        <v>0</v>
      </c>
      <c r="U696" s="64">
        <f t="shared" si="228"/>
        <v>0</v>
      </c>
      <c r="W696" s="71">
        <f t="shared" si="229"/>
        <v>0</v>
      </c>
      <c r="Y696" s="71">
        <f t="shared" si="230"/>
        <v>0</v>
      </c>
      <c r="AA696" s="71">
        <f t="shared" si="231"/>
        <v>0</v>
      </c>
      <c r="AC696" s="71">
        <f t="shared" si="232"/>
        <v>0</v>
      </c>
      <c r="AK696" s="71">
        <f t="shared" si="233"/>
        <v>0</v>
      </c>
      <c r="AM696" s="71">
        <f t="shared" si="234"/>
        <v>0</v>
      </c>
      <c r="AO696" s="71">
        <f t="shared" si="235"/>
        <v>0</v>
      </c>
      <c r="AQ696" s="71">
        <f t="shared" si="236"/>
        <v>0</v>
      </c>
      <c r="AT696" s="71">
        <f t="shared" si="237"/>
        <v>0</v>
      </c>
      <c r="AV696" s="71">
        <f t="shared" si="238"/>
        <v>0</v>
      </c>
      <c r="AX696" s="71">
        <f t="shared" si="239"/>
        <v>0</v>
      </c>
      <c r="AZ696" s="71">
        <f t="shared" si="240"/>
        <v>0</v>
      </c>
      <c r="BE696" s="81">
        <f t="shared" si="241"/>
        <v>0</v>
      </c>
      <c r="BF696" s="81" t="str">
        <f t="shared" si="242"/>
        <v>BASSO</v>
      </c>
    </row>
    <row r="697" spans="7:58" x14ac:dyDescent="0.15">
      <c r="G697" s="64">
        <f t="shared" si="221"/>
        <v>0</v>
      </c>
      <c r="I697" s="64">
        <f t="shared" si="222"/>
        <v>0</v>
      </c>
      <c r="K697" s="64">
        <f t="shared" si="223"/>
        <v>0</v>
      </c>
      <c r="M697" s="64">
        <f t="shared" si="224"/>
        <v>0</v>
      </c>
      <c r="O697" s="64">
        <f t="shared" si="225"/>
        <v>0</v>
      </c>
      <c r="Q697" s="64">
        <f t="shared" si="226"/>
        <v>0</v>
      </c>
      <c r="S697" s="71">
        <f t="shared" si="227"/>
        <v>0</v>
      </c>
      <c r="U697" s="64">
        <f t="shared" si="228"/>
        <v>0</v>
      </c>
      <c r="W697" s="71">
        <f t="shared" si="229"/>
        <v>0</v>
      </c>
      <c r="Y697" s="71">
        <f t="shared" si="230"/>
        <v>0</v>
      </c>
      <c r="AA697" s="71">
        <f t="shared" si="231"/>
        <v>0</v>
      </c>
      <c r="AC697" s="71">
        <f t="shared" si="232"/>
        <v>0</v>
      </c>
      <c r="AK697" s="71">
        <f t="shared" si="233"/>
        <v>0</v>
      </c>
      <c r="AM697" s="71">
        <f t="shared" si="234"/>
        <v>0</v>
      </c>
      <c r="AO697" s="71">
        <f t="shared" si="235"/>
        <v>0</v>
      </c>
      <c r="AQ697" s="71">
        <f t="shared" si="236"/>
        <v>0</v>
      </c>
      <c r="AT697" s="71">
        <f t="shared" si="237"/>
        <v>0</v>
      </c>
      <c r="AV697" s="71">
        <f t="shared" si="238"/>
        <v>0</v>
      </c>
      <c r="AX697" s="71">
        <f t="shared" si="239"/>
        <v>0</v>
      </c>
      <c r="AZ697" s="71">
        <f t="shared" si="240"/>
        <v>0</v>
      </c>
      <c r="BE697" s="81">
        <f t="shared" si="241"/>
        <v>0</v>
      </c>
      <c r="BF697" s="81" t="str">
        <f t="shared" si="242"/>
        <v>BASSO</v>
      </c>
    </row>
    <row r="698" spans="7:58" x14ac:dyDescent="0.15">
      <c r="G698" s="64">
        <f t="shared" si="221"/>
        <v>0</v>
      </c>
      <c r="I698" s="64">
        <f t="shared" si="222"/>
        <v>0</v>
      </c>
      <c r="K698" s="64">
        <f t="shared" si="223"/>
        <v>0</v>
      </c>
      <c r="M698" s="64">
        <f t="shared" si="224"/>
        <v>0</v>
      </c>
      <c r="O698" s="64">
        <f t="shared" si="225"/>
        <v>0</v>
      </c>
      <c r="Q698" s="64">
        <f t="shared" si="226"/>
        <v>0</v>
      </c>
      <c r="S698" s="71">
        <f t="shared" si="227"/>
        <v>0</v>
      </c>
      <c r="U698" s="64">
        <f t="shared" si="228"/>
        <v>0</v>
      </c>
      <c r="W698" s="71">
        <f t="shared" si="229"/>
        <v>0</v>
      </c>
      <c r="Y698" s="71">
        <f t="shared" si="230"/>
        <v>0</v>
      </c>
      <c r="AA698" s="71">
        <f t="shared" si="231"/>
        <v>0</v>
      </c>
      <c r="AC698" s="71">
        <f t="shared" si="232"/>
        <v>0</v>
      </c>
      <c r="AK698" s="71">
        <f t="shared" si="233"/>
        <v>0</v>
      </c>
      <c r="AM698" s="71">
        <f t="shared" si="234"/>
        <v>0</v>
      </c>
      <c r="AO698" s="71">
        <f t="shared" si="235"/>
        <v>0</v>
      </c>
      <c r="AQ698" s="71">
        <f t="shared" si="236"/>
        <v>0</v>
      </c>
      <c r="AT698" s="71">
        <f t="shared" si="237"/>
        <v>0</v>
      </c>
      <c r="AV698" s="71">
        <f t="shared" si="238"/>
        <v>0</v>
      </c>
      <c r="AX698" s="71">
        <f t="shared" si="239"/>
        <v>0</v>
      </c>
      <c r="AZ698" s="71">
        <f t="shared" si="240"/>
        <v>0</v>
      </c>
      <c r="BE698" s="81">
        <f t="shared" si="241"/>
        <v>0</v>
      </c>
      <c r="BF698" s="81" t="str">
        <f t="shared" si="242"/>
        <v>BASSO</v>
      </c>
    </row>
    <row r="699" spans="7:58" x14ac:dyDescent="0.15">
      <c r="G699" s="64">
        <f t="shared" si="221"/>
        <v>0</v>
      </c>
      <c r="I699" s="64">
        <f t="shared" si="222"/>
        <v>0</v>
      </c>
      <c r="K699" s="64">
        <f t="shared" si="223"/>
        <v>0</v>
      </c>
      <c r="M699" s="64">
        <f t="shared" si="224"/>
        <v>0</v>
      </c>
      <c r="O699" s="64">
        <f t="shared" si="225"/>
        <v>0</v>
      </c>
      <c r="Q699" s="64">
        <f t="shared" si="226"/>
        <v>0</v>
      </c>
      <c r="S699" s="71">
        <f t="shared" si="227"/>
        <v>0</v>
      </c>
      <c r="U699" s="64">
        <f t="shared" si="228"/>
        <v>0</v>
      </c>
      <c r="W699" s="71">
        <f t="shared" si="229"/>
        <v>0</v>
      </c>
      <c r="Y699" s="71">
        <f t="shared" si="230"/>
        <v>0</v>
      </c>
      <c r="AA699" s="71">
        <f t="shared" si="231"/>
        <v>0</v>
      </c>
      <c r="AC699" s="71">
        <f t="shared" si="232"/>
        <v>0</v>
      </c>
      <c r="AK699" s="71">
        <f t="shared" si="233"/>
        <v>0</v>
      </c>
      <c r="AM699" s="71">
        <f t="shared" si="234"/>
        <v>0</v>
      </c>
      <c r="AO699" s="71">
        <f t="shared" si="235"/>
        <v>0</v>
      </c>
      <c r="AQ699" s="71">
        <f t="shared" si="236"/>
        <v>0</v>
      </c>
      <c r="AT699" s="71">
        <f t="shared" si="237"/>
        <v>0</v>
      </c>
      <c r="AV699" s="71">
        <f t="shared" si="238"/>
        <v>0</v>
      </c>
      <c r="AX699" s="71">
        <f t="shared" si="239"/>
        <v>0</v>
      </c>
      <c r="AZ699" s="71">
        <f t="shared" si="240"/>
        <v>0</v>
      </c>
      <c r="BE699" s="81">
        <f t="shared" si="241"/>
        <v>0</v>
      </c>
      <c r="BF699" s="81" t="str">
        <f t="shared" si="242"/>
        <v>BASSO</v>
      </c>
    </row>
    <row r="700" spans="7:58" x14ac:dyDescent="0.15">
      <c r="G700" s="64">
        <f t="shared" si="221"/>
        <v>0</v>
      </c>
      <c r="I700" s="64">
        <f t="shared" si="222"/>
        <v>0</v>
      </c>
      <c r="K700" s="64">
        <f t="shared" si="223"/>
        <v>0</v>
      </c>
      <c r="M700" s="64">
        <f t="shared" si="224"/>
        <v>0</v>
      </c>
      <c r="O700" s="64">
        <f t="shared" si="225"/>
        <v>0</v>
      </c>
      <c r="Q700" s="64">
        <f t="shared" si="226"/>
        <v>0</v>
      </c>
      <c r="S700" s="71">
        <f t="shared" si="227"/>
        <v>0</v>
      </c>
      <c r="U700" s="64">
        <f t="shared" si="228"/>
        <v>0</v>
      </c>
      <c r="W700" s="71">
        <f t="shared" si="229"/>
        <v>0</v>
      </c>
      <c r="Y700" s="71">
        <f t="shared" si="230"/>
        <v>0</v>
      </c>
      <c r="AA700" s="71">
        <f t="shared" si="231"/>
        <v>0</v>
      </c>
      <c r="AC700" s="71">
        <f t="shared" si="232"/>
        <v>0</v>
      </c>
      <c r="AK700" s="71">
        <f t="shared" si="233"/>
        <v>0</v>
      </c>
      <c r="AM700" s="71">
        <f t="shared" si="234"/>
        <v>0</v>
      </c>
      <c r="AO700" s="71">
        <f t="shared" si="235"/>
        <v>0</v>
      </c>
      <c r="AQ700" s="71">
        <f t="shared" si="236"/>
        <v>0</v>
      </c>
      <c r="AT700" s="71">
        <f t="shared" si="237"/>
        <v>0</v>
      </c>
      <c r="AV700" s="71">
        <f t="shared" si="238"/>
        <v>0</v>
      </c>
      <c r="AX700" s="71">
        <f t="shared" si="239"/>
        <v>0</v>
      </c>
      <c r="AZ700" s="71">
        <f t="shared" si="240"/>
        <v>0</v>
      </c>
      <c r="BE700" s="81">
        <f t="shared" si="241"/>
        <v>0</v>
      </c>
      <c r="BF700" s="81" t="str">
        <f t="shared" si="242"/>
        <v>BASSO</v>
      </c>
    </row>
    <row r="701" spans="7:58" x14ac:dyDescent="0.15">
      <c r="G701" s="64">
        <f t="shared" si="221"/>
        <v>0</v>
      </c>
      <c r="I701" s="64">
        <f t="shared" si="222"/>
        <v>0</v>
      </c>
      <c r="K701" s="64">
        <f t="shared" si="223"/>
        <v>0</v>
      </c>
      <c r="M701" s="64">
        <f t="shared" si="224"/>
        <v>0</v>
      </c>
      <c r="O701" s="64">
        <f t="shared" si="225"/>
        <v>0</v>
      </c>
      <c r="Q701" s="64">
        <f t="shared" si="226"/>
        <v>0</v>
      </c>
      <c r="S701" s="71">
        <f t="shared" si="227"/>
        <v>0</v>
      </c>
      <c r="U701" s="64">
        <f t="shared" si="228"/>
        <v>0</v>
      </c>
      <c r="W701" s="71">
        <f t="shared" si="229"/>
        <v>0</v>
      </c>
      <c r="Y701" s="71">
        <f t="shared" si="230"/>
        <v>0</v>
      </c>
      <c r="AA701" s="71">
        <f t="shared" si="231"/>
        <v>0</v>
      </c>
      <c r="AC701" s="71">
        <f t="shared" si="232"/>
        <v>0</v>
      </c>
      <c r="AK701" s="71">
        <f t="shared" si="233"/>
        <v>0</v>
      </c>
      <c r="AM701" s="71">
        <f t="shared" si="234"/>
        <v>0</v>
      </c>
      <c r="AO701" s="71">
        <f t="shared" si="235"/>
        <v>0</v>
      </c>
      <c r="AQ701" s="71">
        <f t="shared" si="236"/>
        <v>0</v>
      </c>
      <c r="AT701" s="71">
        <f t="shared" si="237"/>
        <v>0</v>
      </c>
      <c r="AV701" s="71">
        <f t="shared" si="238"/>
        <v>0</v>
      </c>
      <c r="AX701" s="71">
        <f t="shared" si="239"/>
        <v>0</v>
      </c>
      <c r="AZ701" s="71">
        <f t="shared" si="240"/>
        <v>0</v>
      </c>
      <c r="BE701" s="81">
        <f t="shared" si="241"/>
        <v>0</v>
      </c>
      <c r="BF701" s="81" t="str">
        <f t="shared" si="242"/>
        <v>BASSO</v>
      </c>
    </row>
    <row r="702" spans="7:58" x14ac:dyDescent="0.15">
      <c r="G702" s="64">
        <f t="shared" si="221"/>
        <v>0</v>
      </c>
      <c r="I702" s="64">
        <f t="shared" si="222"/>
        <v>0</v>
      </c>
      <c r="K702" s="64">
        <f t="shared" si="223"/>
        <v>0</v>
      </c>
      <c r="M702" s="64">
        <f t="shared" si="224"/>
        <v>0</v>
      </c>
      <c r="O702" s="64">
        <f t="shared" si="225"/>
        <v>0</v>
      </c>
      <c r="Q702" s="64">
        <f t="shared" si="226"/>
        <v>0</v>
      </c>
      <c r="S702" s="71">
        <f t="shared" si="227"/>
        <v>0</v>
      </c>
      <c r="U702" s="64">
        <f t="shared" si="228"/>
        <v>0</v>
      </c>
      <c r="W702" s="71">
        <f t="shared" si="229"/>
        <v>0</v>
      </c>
      <c r="Y702" s="71">
        <f t="shared" si="230"/>
        <v>0</v>
      </c>
      <c r="AA702" s="71">
        <f t="shared" si="231"/>
        <v>0</v>
      </c>
      <c r="AC702" s="71">
        <f t="shared" si="232"/>
        <v>0</v>
      </c>
      <c r="AK702" s="71">
        <f t="shared" si="233"/>
        <v>0</v>
      </c>
      <c r="AM702" s="71">
        <f t="shared" si="234"/>
        <v>0</v>
      </c>
      <c r="AO702" s="71">
        <f t="shared" si="235"/>
        <v>0</v>
      </c>
      <c r="AQ702" s="71">
        <f t="shared" si="236"/>
        <v>0</v>
      </c>
      <c r="AT702" s="71">
        <f t="shared" si="237"/>
        <v>0</v>
      </c>
      <c r="AV702" s="71">
        <f t="shared" si="238"/>
        <v>0</v>
      </c>
      <c r="AX702" s="71">
        <f t="shared" si="239"/>
        <v>0</v>
      </c>
      <c r="AZ702" s="71">
        <f t="shared" si="240"/>
        <v>0</v>
      </c>
      <c r="BE702" s="81">
        <f t="shared" si="241"/>
        <v>0</v>
      </c>
      <c r="BF702" s="81" t="str">
        <f t="shared" si="242"/>
        <v>BASSO</v>
      </c>
    </row>
    <row r="703" spans="7:58" x14ac:dyDescent="0.15">
      <c r="G703" s="64">
        <f t="shared" si="221"/>
        <v>0</v>
      </c>
      <c r="I703" s="64">
        <f t="shared" si="222"/>
        <v>0</v>
      </c>
      <c r="K703" s="64">
        <f t="shared" si="223"/>
        <v>0</v>
      </c>
      <c r="M703" s="64">
        <f t="shared" si="224"/>
        <v>0</v>
      </c>
      <c r="O703" s="64">
        <f t="shared" si="225"/>
        <v>0</v>
      </c>
      <c r="Q703" s="64">
        <f t="shared" si="226"/>
        <v>0</v>
      </c>
      <c r="S703" s="71">
        <f t="shared" si="227"/>
        <v>0</v>
      </c>
      <c r="U703" s="64">
        <f t="shared" si="228"/>
        <v>0</v>
      </c>
      <c r="W703" s="71">
        <f t="shared" si="229"/>
        <v>0</v>
      </c>
      <c r="Y703" s="71">
        <f t="shared" si="230"/>
        <v>0</v>
      </c>
      <c r="AA703" s="71">
        <f t="shared" si="231"/>
        <v>0</v>
      </c>
      <c r="AC703" s="71">
        <f t="shared" si="232"/>
        <v>0</v>
      </c>
      <c r="AK703" s="71">
        <f t="shared" si="233"/>
        <v>0</v>
      </c>
      <c r="AM703" s="71">
        <f t="shared" si="234"/>
        <v>0</v>
      </c>
      <c r="AO703" s="71">
        <f t="shared" si="235"/>
        <v>0</v>
      </c>
      <c r="AQ703" s="71">
        <f t="shared" si="236"/>
        <v>0</v>
      </c>
      <c r="AT703" s="71">
        <f t="shared" si="237"/>
        <v>0</v>
      </c>
      <c r="AV703" s="71">
        <f t="shared" si="238"/>
        <v>0</v>
      </c>
      <c r="AX703" s="71">
        <f t="shared" si="239"/>
        <v>0</v>
      </c>
      <c r="AZ703" s="71">
        <f t="shared" si="240"/>
        <v>0</v>
      </c>
      <c r="BE703" s="81">
        <f t="shared" si="241"/>
        <v>0</v>
      </c>
      <c r="BF703" s="81" t="str">
        <f t="shared" si="242"/>
        <v>BASSO</v>
      </c>
    </row>
    <row r="704" spans="7:58" x14ac:dyDescent="0.15">
      <c r="G704" s="64">
        <f t="shared" si="221"/>
        <v>0</v>
      </c>
      <c r="I704" s="64">
        <f t="shared" si="222"/>
        <v>0</v>
      </c>
      <c r="K704" s="64">
        <f t="shared" si="223"/>
        <v>0</v>
      </c>
      <c r="M704" s="64">
        <f t="shared" si="224"/>
        <v>0</v>
      </c>
      <c r="O704" s="64">
        <f t="shared" si="225"/>
        <v>0</v>
      </c>
      <c r="Q704" s="64">
        <f t="shared" si="226"/>
        <v>0</v>
      </c>
      <c r="S704" s="71">
        <f t="shared" si="227"/>
        <v>0</v>
      </c>
      <c r="U704" s="64">
        <f t="shared" si="228"/>
        <v>0</v>
      </c>
      <c r="W704" s="71">
        <f t="shared" si="229"/>
        <v>0</v>
      </c>
      <c r="Y704" s="71">
        <f t="shared" si="230"/>
        <v>0</v>
      </c>
      <c r="AA704" s="71">
        <f t="shared" si="231"/>
        <v>0</v>
      </c>
      <c r="AC704" s="71">
        <f t="shared" si="232"/>
        <v>0</v>
      </c>
      <c r="AK704" s="71">
        <f t="shared" si="233"/>
        <v>0</v>
      </c>
      <c r="AM704" s="71">
        <f t="shared" si="234"/>
        <v>0</v>
      </c>
      <c r="AO704" s="71">
        <f t="shared" si="235"/>
        <v>0</v>
      </c>
      <c r="AQ704" s="71">
        <f t="shared" si="236"/>
        <v>0</v>
      </c>
      <c r="AT704" s="71">
        <f t="shared" si="237"/>
        <v>0</v>
      </c>
      <c r="AV704" s="71">
        <f t="shared" si="238"/>
        <v>0</v>
      </c>
      <c r="AX704" s="71">
        <f t="shared" si="239"/>
        <v>0</v>
      </c>
      <c r="AZ704" s="71">
        <f t="shared" si="240"/>
        <v>0</v>
      </c>
      <c r="BE704" s="81">
        <f t="shared" si="241"/>
        <v>0</v>
      </c>
      <c r="BF704" s="81" t="str">
        <f t="shared" si="242"/>
        <v>BASSO</v>
      </c>
    </row>
    <row r="705" spans="7:58" x14ac:dyDescent="0.15">
      <c r="G705" s="64">
        <f t="shared" si="221"/>
        <v>0</v>
      </c>
      <c r="I705" s="64">
        <f t="shared" si="222"/>
        <v>0</v>
      </c>
      <c r="K705" s="64">
        <f t="shared" si="223"/>
        <v>0</v>
      </c>
      <c r="M705" s="64">
        <f t="shared" si="224"/>
        <v>0</v>
      </c>
      <c r="O705" s="64">
        <f t="shared" si="225"/>
        <v>0</v>
      </c>
      <c r="Q705" s="64">
        <f t="shared" si="226"/>
        <v>0</v>
      </c>
      <c r="S705" s="71">
        <f t="shared" si="227"/>
        <v>0</v>
      </c>
      <c r="U705" s="64">
        <f t="shared" si="228"/>
        <v>0</v>
      </c>
      <c r="W705" s="71">
        <f t="shared" si="229"/>
        <v>0</v>
      </c>
      <c r="Y705" s="71">
        <f t="shared" si="230"/>
        <v>0</v>
      </c>
      <c r="AA705" s="71">
        <f t="shared" si="231"/>
        <v>0</v>
      </c>
      <c r="AC705" s="71">
        <f t="shared" si="232"/>
        <v>0</v>
      </c>
      <c r="AK705" s="71">
        <f t="shared" si="233"/>
        <v>0</v>
      </c>
      <c r="AM705" s="71">
        <f t="shared" si="234"/>
        <v>0</v>
      </c>
      <c r="AO705" s="71">
        <f t="shared" si="235"/>
        <v>0</v>
      </c>
      <c r="AQ705" s="71">
        <f t="shared" si="236"/>
        <v>0</v>
      </c>
      <c r="AT705" s="71">
        <f t="shared" si="237"/>
        <v>0</v>
      </c>
      <c r="AV705" s="71">
        <f t="shared" si="238"/>
        <v>0</v>
      </c>
      <c r="AX705" s="71">
        <f t="shared" si="239"/>
        <v>0</v>
      </c>
      <c r="AZ705" s="71">
        <f t="shared" si="240"/>
        <v>0</v>
      </c>
      <c r="BE705" s="81">
        <f t="shared" si="241"/>
        <v>0</v>
      </c>
      <c r="BF705" s="81" t="str">
        <f t="shared" si="242"/>
        <v>BASSO</v>
      </c>
    </row>
    <row r="706" spans="7:58" x14ac:dyDescent="0.15">
      <c r="G706" s="64">
        <f t="shared" ref="G706:G769" si="243">F707/2</f>
        <v>0</v>
      </c>
      <c r="I706" s="64">
        <f t="shared" si="222"/>
        <v>0</v>
      </c>
      <c r="K706" s="64">
        <f t="shared" si="223"/>
        <v>0</v>
      </c>
      <c r="M706" s="64">
        <f t="shared" si="224"/>
        <v>0</v>
      </c>
      <c r="O706" s="64">
        <f t="shared" si="225"/>
        <v>0</v>
      </c>
      <c r="Q706" s="64">
        <f t="shared" si="226"/>
        <v>0</v>
      </c>
      <c r="S706" s="71">
        <f t="shared" si="227"/>
        <v>0</v>
      </c>
      <c r="U706" s="64">
        <f t="shared" si="228"/>
        <v>0</v>
      </c>
      <c r="W706" s="71">
        <f t="shared" si="229"/>
        <v>0</v>
      </c>
      <c r="Y706" s="71">
        <f t="shared" si="230"/>
        <v>0</v>
      </c>
      <c r="AA706" s="71">
        <f t="shared" si="231"/>
        <v>0</v>
      </c>
      <c r="AC706" s="71">
        <f t="shared" si="232"/>
        <v>0</v>
      </c>
      <c r="AK706" s="71">
        <f t="shared" si="233"/>
        <v>0</v>
      </c>
      <c r="AM706" s="71">
        <f t="shared" si="234"/>
        <v>0</v>
      </c>
      <c r="AO706" s="71">
        <f t="shared" si="235"/>
        <v>0</v>
      </c>
      <c r="AQ706" s="71">
        <f t="shared" si="236"/>
        <v>0</v>
      </c>
      <c r="AT706" s="71">
        <f t="shared" si="237"/>
        <v>0</v>
      </c>
      <c r="AV706" s="71">
        <f t="shared" si="238"/>
        <v>0</v>
      </c>
      <c r="AX706" s="71">
        <f t="shared" si="239"/>
        <v>0</v>
      </c>
      <c r="AZ706" s="71">
        <f t="shared" si="240"/>
        <v>0</v>
      </c>
      <c r="BE706" s="81">
        <f t="shared" si="241"/>
        <v>0</v>
      </c>
      <c r="BF706" s="81" t="str">
        <f t="shared" si="242"/>
        <v>BASSO</v>
      </c>
    </row>
    <row r="707" spans="7:58" x14ac:dyDescent="0.15">
      <c r="G707" s="64">
        <f t="shared" si="243"/>
        <v>0</v>
      </c>
      <c r="I707" s="64">
        <f t="shared" ref="I707:I770" si="244">H707/2</f>
        <v>0</v>
      </c>
      <c r="K707" s="64">
        <f t="shared" ref="K707:K770" si="245">J707/2</f>
        <v>0</v>
      </c>
      <c r="M707" s="64">
        <f t="shared" ref="M707:M770" si="246">L707/3</f>
        <v>0</v>
      </c>
      <c r="O707" s="64">
        <f t="shared" ref="O707:O770" si="247">N707/5</f>
        <v>0</v>
      </c>
      <c r="Q707" s="64">
        <f t="shared" ref="Q707:Q770" si="248">P707/3</f>
        <v>0</v>
      </c>
      <c r="S707" s="71">
        <f t="shared" ref="S707:S770" si="249">R707/3</f>
        <v>0</v>
      </c>
      <c r="U707" s="64">
        <f t="shared" ref="U707:U770" si="250">T707/3</f>
        <v>0</v>
      </c>
      <c r="W707" s="71">
        <f t="shared" ref="W707:W770" si="251">V707/4</f>
        <v>0</v>
      </c>
      <c r="Y707" s="71">
        <f t="shared" ref="Y707:Y770" si="252">X707/3</f>
        <v>0</v>
      </c>
      <c r="AA707" s="71">
        <f t="shared" ref="AA707:AA770" si="253">Z707/3</f>
        <v>0</v>
      </c>
      <c r="AC707" s="71">
        <f t="shared" ref="AC707:AC770" si="254">AB707/2</f>
        <v>0</v>
      </c>
      <c r="AK707" s="71">
        <f t="shared" ref="AK707:AK770" si="255">AJ707/2</f>
        <v>0</v>
      </c>
      <c r="AM707" s="71">
        <f t="shared" ref="AM707:AM770" si="256">AL707/3</f>
        <v>0</v>
      </c>
      <c r="AO707" s="71">
        <f t="shared" ref="AO707:AO770" si="257">AN707/3</f>
        <v>0</v>
      </c>
      <c r="AQ707" s="71">
        <f t="shared" ref="AQ707:AQ770" si="258">AP707/3</f>
        <v>0</v>
      </c>
      <c r="AT707" s="71">
        <f t="shared" ref="AT707:AT770" si="259">AS707/3</f>
        <v>0</v>
      </c>
      <c r="AV707" s="71">
        <f t="shared" ref="AV707:AV770" si="260">AU707/3</f>
        <v>0</v>
      </c>
      <c r="AX707" s="71">
        <f t="shared" ref="AX707:AX770" si="261">AW707/2</f>
        <v>0</v>
      </c>
      <c r="AZ707" s="71">
        <f t="shared" ref="AZ707:AZ770" si="262">AY707/3</f>
        <v>0</v>
      </c>
      <c r="BE707" s="81">
        <f t="shared" ref="BE707:BE770" si="263">AVERAGE(F707,I707,K707,M707,O707,Q707,S707,U707,W707,Y707,AA707,AC707,AK707,AM707,AO707,AQ707,AT707,AV707,AX707,AZ707)</f>
        <v>0</v>
      </c>
      <c r="BF707" s="81" t="str">
        <f t="shared" ref="BF707:BF770" si="264">IF(BE707="","",IF(VALUE(BE707)&lt;0.34,"BASSO",IF(VALUE(BE707)&lt;=0.66,"MEDIO","ALTO")))</f>
        <v>BASSO</v>
      </c>
    </row>
    <row r="708" spans="7:58" x14ac:dyDescent="0.15">
      <c r="G708" s="64">
        <f t="shared" si="243"/>
        <v>0</v>
      </c>
      <c r="I708" s="64">
        <f t="shared" si="244"/>
        <v>0</v>
      </c>
      <c r="K708" s="64">
        <f t="shared" si="245"/>
        <v>0</v>
      </c>
      <c r="M708" s="64">
        <f t="shared" si="246"/>
        <v>0</v>
      </c>
      <c r="O708" s="64">
        <f t="shared" si="247"/>
        <v>0</v>
      </c>
      <c r="Q708" s="64">
        <f t="shared" si="248"/>
        <v>0</v>
      </c>
      <c r="S708" s="71">
        <f t="shared" si="249"/>
        <v>0</v>
      </c>
      <c r="U708" s="64">
        <f t="shared" si="250"/>
        <v>0</v>
      </c>
      <c r="W708" s="71">
        <f t="shared" si="251"/>
        <v>0</v>
      </c>
      <c r="Y708" s="71">
        <f t="shared" si="252"/>
        <v>0</v>
      </c>
      <c r="AA708" s="71">
        <f t="shared" si="253"/>
        <v>0</v>
      </c>
      <c r="AC708" s="71">
        <f t="shared" si="254"/>
        <v>0</v>
      </c>
      <c r="AK708" s="71">
        <f t="shared" si="255"/>
        <v>0</v>
      </c>
      <c r="AM708" s="71">
        <f t="shared" si="256"/>
        <v>0</v>
      </c>
      <c r="AO708" s="71">
        <f t="shared" si="257"/>
        <v>0</v>
      </c>
      <c r="AQ708" s="71">
        <f t="shared" si="258"/>
        <v>0</v>
      </c>
      <c r="AT708" s="71">
        <f t="shared" si="259"/>
        <v>0</v>
      </c>
      <c r="AV708" s="71">
        <f t="shared" si="260"/>
        <v>0</v>
      </c>
      <c r="AX708" s="71">
        <f t="shared" si="261"/>
        <v>0</v>
      </c>
      <c r="AZ708" s="71">
        <f t="shared" si="262"/>
        <v>0</v>
      </c>
      <c r="BE708" s="81">
        <f t="shared" si="263"/>
        <v>0</v>
      </c>
      <c r="BF708" s="81" t="str">
        <f t="shared" si="264"/>
        <v>BASSO</v>
      </c>
    </row>
    <row r="709" spans="7:58" x14ac:dyDescent="0.15">
      <c r="G709" s="64">
        <f t="shared" si="243"/>
        <v>0</v>
      </c>
      <c r="I709" s="64">
        <f t="shared" si="244"/>
        <v>0</v>
      </c>
      <c r="K709" s="64">
        <f t="shared" si="245"/>
        <v>0</v>
      </c>
      <c r="M709" s="64">
        <f t="shared" si="246"/>
        <v>0</v>
      </c>
      <c r="O709" s="64">
        <f t="shared" si="247"/>
        <v>0</v>
      </c>
      <c r="Q709" s="64">
        <f t="shared" si="248"/>
        <v>0</v>
      </c>
      <c r="S709" s="71">
        <f t="shared" si="249"/>
        <v>0</v>
      </c>
      <c r="U709" s="64">
        <f t="shared" si="250"/>
        <v>0</v>
      </c>
      <c r="W709" s="71">
        <f t="shared" si="251"/>
        <v>0</v>
      </c>
      <c r="Y709" s="71">
        <f t="shared" si="252"/>
        <v>0</v>
      </c>
      <c r="AA709" s="71">
        <f t="shared" si="253"/>
        <v>0</v>
      </c>
      <c r="AC709" s="71">
        <f t="shared" si="254"/>
        <v>0</v>
      </c>
      <c r="AK709" s="71">
        <f t="shared" si="255"/>
        <v>0</v>
      </c>
      <c r="AM709" s="71">
        <f t="shared" si="256"/>
        <v>0</v>
      </c>
      <c r="AO709" s="71">
        <f t="shared" si="257"/>
        <v>0</v>
      </c>
      <c r="AQ709" s="71">
        <f t="shared" si="258"/>
        <v>0</v>
      </c>
      <c r="AT709" s="71">
        <f t="shared" si="259"/>
        <v>0</v>
      </c>
      <c r="AV709" s="71">
        <f t="shared" si="260"/>
        <v>0</v>
      </c>
      <c r="AX709" s="71">
        <f t="shared" si="261"/>
        <v>0</v>
      </c>
      <c r="AZ709" s="71">
        <f t="shared" si="262"/>
        <v>0</v>
      </c>
      <c r="BE709" s="81">
        <f t="shared" si="263"/>
        <v>0</v>
      </c>
      <c r="BF709" s="81" t="str">
        <f t="shared" si="264"/>
        <v>BASSO</v>
      </c>
    </row>
    <row r="710" spans="7:58" x14ac:dyDescent="0.15">
      <c r="G710" s="64">
        <f t="shared" si="243"/>
        <v>0</v>
      </c>
      <c r="I710" s="64">
        <f t="shared" si="244"/>
        <v>0</v>
      </c>
      <c r="K710" s="64">
        <f t="shared" si="245"/>
        <v>0</v>
      </c>
      <c r="M710" s="64">
        <f t="shared" si="246"/>
        <v>0</v>
      </c>
      <c r="O710" s="64">
        <f t="shared" si="247"/>
        <v>0</v>
      </c>
      <c r="Q710" s="64">
        <f t="shared" si="248"/>
        <v>0</v>
      </c>
      <c r="S710" s="71">
        <f t="shared" si="249"/>
        <v>0</v>
      </c>
      <c r="U710" s="64">
        <f t="shared" si="250"/>
        <v>0</v>
      </c>
      <c r="W710" s="71">
        <f t="shared" si="251"/>
        <v>0</v>
      </c>
      <c r="Y710" s="71">
        <f t="shared" si="252"/>
        <v>0</v>
      </c>
      <c r="AA710" s="71">
        <f t="shared" si="253"/>
        <v>0</v>
      </c>
      <c r="AC710" s="71">
        <f t="shared" si="254"/>
        <v>0</v>
      </c>
      <c r="AK710" s="71">
        <f t="shared" si="255"/>
        <v>0</v>
      </c>
      <c r="AM710" s="71">
        <f t="shared" si="256"/>
        <v>0</v>
      </c>
      <c r="AO710" s="71">
        <f t="shared" si="257"/>
        <v>0</v>
      </c>
      <c r="AQ710" s="71">
        <f t="shared" si="258"/>
        <v>0</v>
      </c>
      <c r="AT710" s="71">
        <f t="shared" si="259"/>
        <v>0</v>
      </c>
      <c r="AV710" s="71">
        <f t="shared" si="260"/>
        <v>0</v>
      </c>
      <c r="AX710" s="71">
        <f t="shared" si="261"/>
        <v>0</v>
      </c>
      <c r="AZ710" s="71">
        <f t="shared" si="262"/>
        <v>0</v>
      </c>
      <c r="BE710" s="81">
        <f t="shared" si="263"/>
        <v>0</v>
      </c>
      <c r="BF710" s="81" t="str">
        <f t="shared" si="264"/>
        <v>BASSO</v>
      </c>
    </row>
    <row r="711" spans="7:58" x14ac:dyDescent="0.15">
      <c r="G711" s="64">
        <f t="shared" si="243"/>
        <v>0</v>
      </c>
      <c r="I711" s="64">
        <f t="shared" si="244"/>
        <v>0</v>
      </c>
      <c r="K711" s="64">
        <f t="shared" si="245"/>
        <v>0</v>
      </c>
      <c r="M711" s="64">
        <f t="shared" si="246"/>
        <v>0</v>
      </c>
      <c r="O711" s="64">
        <f t="shared" si="247"/>
        <v>0</v>
      </c>
      <c r="Q711" s="64">
        <f t="shared" si="248"/>
        <v>0</v>
      </c>
      <c r="S711" s="71">
        <f t="shared" si="249"/>
        <v>0</v>
      </c>
      <c r="U711" s="64">
        <f t="shared" si="250"/>
        <v>0</v>
      </c>
      <c r="W711" s="71">
        <f t="shared" si="251"/>
        <v>0</v>
      </c>
      <c r="Y711" s="71">
        <f t="shared" si="252"/>
        <v>0</v>
      </c>
      <c r="AA711" s="71">
        <f t="shared" si="253"/>
        <v>0</v>
      </c>
      <c r="AC711" s="71">
        <f t="shared" si="254"/>
        <v>0</v>
      </c>
      <c r="AK711" s="71">
        <f t="shared" si="255"/>
        <v>0</v>
      </c>
      <c r="AM711" s="71">
        <f t="shared" si="256"/>
        <v>0</v>
      </c>
      <c r="AO711" s="71">
        <f t="shared" si="257"/>
        <v>0</v>
      </c>
      <c r="AQ711" s="71">
        <f t="shared" si="258"/>
        <v>0</v>
      </c>
      <c r="AT711" s="71">
        <f t="shared" si="259"/>
        <v>0</v>
      </c>
      <c r="AV711" s="71">
        <f t="shared" si="260"/>
        <v>0</v>
      </c>
      <c r="AX711" s="71">
        <f t="shared" si="261"/>
        <v>0</v>
      </c>
      <c r="AZ711" s="71">
        <f t="shared" si="262"/>
        <v>0</v>
      </c>
      <c r="BE711" s="81">
        <f t="shared" si="263"/>
        <v>0</v>
      </c>
      <c r="BF711" s="81" t="str">
        <f t="shared" si="264"/>
        <v>BASSO</v>
      </c>
    </row>
    <row r="712" spans="7:58" x14ac:dyDescent="0.15">
      <c r="G712" s="64">
        <f t="shared" si="243"/>
        <v>0</v>
      </c>
      <c r="I712" s="64">
        <f t="shared" si="244"/>
        <v>0</v>
      </c>
      <c r="K712" s="64">
        <f t="shared" si="245"/>
        <v>0</v>
      </c>
      <c r="M712" s="64">
        <f t="shared" si="246"/>
        <v>0</v>
      </c>
      <c r="O712" s="64">
        <f t="shared" si="247"/>
        <v>0</v>
      </c>
      <c r="Q712" s="64">
        <f t="shared" si="248"/>
        <v>0</v>
      </c>
      <c r="S712" s="71">
        <f t="shared" si="249"/>
        <v>0</v>
      </c>
      <c r="U712" s="64">
        <f t="shared" si="250"/>
        <v>0</v>
      </c>
      <c r="W712" s="71">
        <f t="shared" si="251"/>
        <v>0</v>
      </c>
      <c r="Y712" s="71">
        <f t="shared" si="252"/>
        <v>0</v>
      </c>
      <c r="AA712" s="71">
        <f t="shared" si="253"/>
        <v>0</v>
      </c>
      <c r="AC712" s="71">
        <f t="shared" si="254"/>
        <v>0</v>
      </c>
      <c r="AK712" s="71">
        <f t="shared" si="255"/>
        <v>0</v>
      </c>
      <c r="AM712" s="71">
        <f t="shared" si="256"/>
        <v>0</v>
      </c>
      <c r="AO712" s="71">
        <f t="shared" si="257"/>
        <v>0</v>
      </c>
      <c r="AQ712" s="71">
        <f t="shared" si="258"/>
        <v>0</v>
      </c>
      <c r="AT712" s="71">
        <f t="shared" si="259"/>
        <v>0</v>
      </c>
      <c r="AV712" s="71">
        <f t="shared" si="260"/>
        <v>0</v>
      </c>
      <c r="AX712" s="71">
        <f t="shared" si="261"/>
        <v>0</v>
      </c>
      <c r="AZ712" s="71">
        <f t="shared" si="262"/>
        <v>0</v>
      </c>
      <c r="BE712" s="81">
        <f t="shared" si="263"/>
        <v>0</v>
      </c>
      <c r="BF712" s="81" t="str">
        <f t="shared" si="264"/>
        <v>BASSO</v>
      </c>
    </row>
    <row r="713" spans="7:58" x14ac:dyDescent="0.15">
      <c r="G713" s="64">
        <f t="shared" si="243"/>
        <v>0</v>
      </c>
      <c r="I713" s="64">
        <f t="shared" si="244"/>
        <v>0</v>
      </c>
      <c r="K713" s="64">
        <f t="shared" si="245"/>
        <v>0</v>
      </c>
      <c r="M713" s="64">
        <f t="shared" si="246"/>
        <v>0</v>
      </c>
      <c r="O713" s="64">
        <f t="shared" si="247"/>
        <v>0</v>
      </c>
      <c r="Q713" s="64">
        <f t="shared" si="248"/>
        <v>0</v>
      </c>
      <c r="S713" s="71">
        <f t="shared" si="249"/>
        <v>0</v>
      </c>
      <c r="U713" s="64">
        <f t="shared" si="250"/>
        <v>0</v>
      </c>
      <c r="W713" s="71">
        <f t="shared" si="251"/>
        <v>0</v>
      </c>
      <c r="Y713" s="71">
        <f t="shared" si="252"/>
        <v>0</v>
      </c>
      <c r="AA713" s="71">
        <f t="shared" si="253"/>
        <v>0</v>
      </c>
      <c r="AC713" s="71">
        <f t="shared" si="254"/>
        <v>0</v>
      </c>
      <c r="AK713" s="71">
        <f t="shared" si="255"/>
        <v>0</v>
      </c>
      <c r="AM713" s="71">
        <f t="shared" si="256"/>
        <v>0</v>
      </c>
      <c r="AO713" s="71">
        <f t="shared" si="257"/>
        <v>0</v>
      </c>
      <c r="AQ713" s="71">
        <f t="shared" si="258"/>
        <v>0</v>
      </c>
      <c r="AT713" s="71">
        <f t="shared" si="259"/>
        <v>0</v>
      </c>
      <c r="AV713" s="71">
        <f t="shared" si="260"/>
        <v>0</v>
      </c>
      <c r="AX713" s="71">
        <f t="shared" si="261"/>
        <v>0</v>
      </c>
      <c r="AZ713" s="71">
        <f t="shared" si="262"/>
        <v>0</v>
      </c>
      <c r="BE713" s="81">
        <f t="shared" si="263"/>
        <v>0</v>
      </c>
      <c r="BF713" s="81" t="str">
        <f t="shared" si="264"/>
        <v>BASSO</v>
      </c>
    </row>
    <row r="714" spans="7:58" x14ac:dyDescent="0.15">
      <c r="G714" s="64">
        <f t="shared" si="243"/>
        <v>0</v>
      </c>
      <c r="I714" s="64">
        <f t="shared" si="244"/>
        <v>0</v>
      </c>
      <c r="K714" s="64">
        <f t="shared" si="245"/>
        <v>0</v>
      </c>
      <c r="M714" s="64">
        <f t="shared" si="246"/>
        <v>0</v>
      </c>
      <c r="O714" s="64">
        <f t="shared" si="247"/>
        <v>0</v>
      </c>
      <c r="Q714" s="64">
        <f t="shared" si="248"/>
        <v>0</v>
      </c>
      <c r="S714" s="71">
        <f t="shared" si="249"/>
        <v>0</v>
      </c>
      <c r="U714" s="64">
        <f t="shared" si="250"/>
        <v>0</v>
      </c>
      <c r="W714" s="71">
        <f t="shared" si="251"/>
        <v>0</v>
      </c>
      <c r="Y714" s="71">
        <f t="shared" si="252"/>
        <v>0</v>
      </c>
      <c r="AA714" s="71">
        <f t="shared" si="253"/>
        <v>0</v>
      </c>
      <c r="AC714" s="71">
        <f t="shared" si="254"/>
        <v>0</v>
      </c>
      <c r="AK714" s="71">
        <f t="shared" si="255"/>
        <v>0</v>
      </c>
      <c r="AM714" s="71">
        <f t="shared" si="256"/>
        <v>0</v>
      </c>
      <c r="AO714" s="71">
        <f t="shared" si="257"/>
        <v>0</v>
      </c>
      <c r="AQ714" s="71">
        <f t="shared" si="258"/>
        <v>0</v>
      </c>
      <c r="AT714" s="71">
        <f t="shared" si="259"/>
        <v>0</v>
      </c>
      <c r="AV714" s="71">
        <f t="shared" si="260"/>
        <v>0</v>
      </c>
      <c r="AX714" s="71">
        <f t="shared" si="261"/>
        <v>0</v>
      </c>
      <c r="AZ714" s="71">
        <f t="shared" si="262"/>
        <v>0</v>
      </c>
      <c r="BE714" s="81">
        <f t="shared" si="263"/>
        <v>0</v>
      </c>
      <c r="BF714" s="81" t="str">
        <f t="shared" si="264"/>
        <v>BASSO</v>
      </c>
    </row>
    <row r="715" spans="7:58" x14ac:dyDescent="0.15">
      <c r="G715" s="64">
        <f t="shared" si="243"/>
        <v>0</v>
      </c>
      <c r="I715" s="64">
        <f t="shared" si="244"/>
        <v>0</v>
      </c>
      <c r="K715" s="64">
        <f t="shared" si="245"/>
        <v>0</v>
      </c>
      <c r="M715" s="64">
        <f t="shared" si="246"/>
        <v>0</v>
      </c>
      <c r="O715" s="64">
        <f t="shared" si="247"/>
        <v>0</v>
      </c>
      <c r="Q715" s="64">
        <f t="shared" si="248"/>
        <v>0</v>
      </c>
      <c r="S715" s="71">
        <f t="shared" si="249"/>
        <v>0</v>
      </c>
      <c r="U715" s="64">
        <f t="shared" si="250"/>
        <v>0</v>
      </c>
      <c r="W715" s="71">
        <f t="shared" si="251"/>
        <v>0</v>
      </c>
      <c r="Y715" s="71">
        <f t="shared" si="252"/>
        <v>0</v>
      </c>
      <c r="AA715" s="71">
        <f t="shared" si="253"/>
        <v>0</v>
      </c>
      <c r="AC715" s="71">
        <f t="shared" si="254"/>
        <v>0</v>
      </c>
      <c r="AK715" s="71">
        <f t="shared" si="255"/>
        <v>0</v>
      </c>
      <c r="AM715" s="71">
        <f t="shared" si="256"/>
        <v>0</v>
      </c>
      <c r="AO715" s="71">
        <f t="shared" si="257"/>
        <v>0</v>
      </c>
      <c r="AQ715" s="71">
        <f t="shared" si="258"/>
        <v>0</v>
      </c>
      <c r="AT715" s="71">
        <f t="shared" si="259"/>
        <v>0</v>
      </c>
      <c r="AV715" s="71">
        <f t="shared" si="260"/>
        <v>0</v>
      </c>
      <c r="AX715" s="71">
        <f t="shared" si="261"/>
        <v>0</v>
      </c>
      <c r="AZ715" s="71">
        <f t="shared" si="262"/>
        <v>0</v>
      </c>
      <c r="BE715" s="81">
        <f t="shared" si="263"/>
        <v>0</v>
      </c>
      <c r="BF715" s="81" t="str">
        <f t="shared" si="264"/>
        <v>BASSO</v>
      </c>
    </row>
    <row r="716" spans="7:58" x14ac:dyDescent="0.15">
      <c r="G716" s="64">
        <f t="shared" si="243"/>
        <v>0</v>
      </c>
      <c r="I716" s="64">
        <f t="shared" si="244"/>
        <v>0</v>
      </c>
      <c r="K716" s="64">
        <f t="shared" si="245"/>
        <v>0</v>
      </c>
      <c r="M716" s="64">
        <f t="shared" si="246"/>
        <v>0</v>
      </c>
      <c r="O716" s="64">
        <f t="shared" si="247"/>
        <v>0</v>
      </c>
      <c r="Q716" s="64">
        <f t="shared" si="248"/>
        <v>0</v>
      </c>
      <c r="S716" s="71">
        <f t="shared" si="249"/>
        <v>0</v>
      </c>
      <c r="U716" s="64">
        <f t="shared" si="250"/>
        <v>0</v>
      </c>
      <c r="W716" s="71">
        <f t="shared" si="251"/>
        <v>0</v>
      </c>
      <c r="Y716" s="71">
        <f t="shared" si="252"/>
        <v>0</v>
      </c>
      <c r="AA716" s="71">
        <f t="shared" si="253"/>
        <v>0</v>
      </c>
      <c r="AC716" s="71">
        <f t="shared" si="254"/>
        <v>0</v>
      </c>
      <c r="AK716" s="71">
        <f t="shared" si="255"/>
        <v>0</v>
      </c>
      <c r="AM716" s="71">
        <f t="shared" si="256"/>
        <v>0</v>
      </c>
      <c r="AO716" s="71">
        <f t="shared" si="257"/>
        <v>0</v>
      </c>
      <c r="AQ716" s="71">
        <f t="shared" si="258"/>
        <v>0</v>
      </c>
      <c r="AT716" s="71">
        <f t="shared" si="259"/>
        <v>0</v>
      </c>
      <c r="AV716" s="71">
        <f t="shared" si="260"/>
        <v>0</v>
      </c>
      <c r="AX716" s="71">
        <f t="shared" si="261"/>
        <v>0</v>
      </c>
      <c r="AZ716" s="71">
        <f t="shared" si="262"/>
        <v>0</v>
      </c>
      <c r="BE716" s="81">
        <f t="shared" si="263"/>
        <v>0</v>
      </c>
      <c r="BF716" s="81" t="str">
        <f t="shared" si="264"/>
        <v>BASSO</v>
      </c>
    </row>
    <row r="717" spans="7:58" x14ac:dyDescent="0.15">
      <c r="G717" s="64">
        <f t="shared" si="243"/>
        <v>0</v>
      </c>
      <c r="I717" s="64">
        <f t="shared" si="244"/>
        <v>0</v>
      </c>
      <c r="K717" s="64">
        <f t="shared" si="245"/>
        <v>0</v>
      </c>
      <c r="M717" s="64">
        <f t="shared" si="246"/>
        <v>0</v>
      </c>
      <c r="O717" s="64">
        <f t="shared" si="247"/>
        <v>0</v>
      </c>
      <c r="Q717" s="64">
        <f t="shared" si="248"/>
        <v>0</v>
      </c>
      <c r="S717" s="71">
        <f t="shared" si="249"/>
        <v>0</v>
      </c>
      <c r="U717" s="64">
        <f t="shared" si="250"/>
        <v>0</v>
      </c>
      <c r="W717" s="71">
        <f t="shared" si="251"/>
        <v>0</v>
      </c>
      <c r="Y717" s="71">
        <f t="shared" si="252"/>
        <v>0</v>
      </c>
      <c r="AA717" s="71">
        <f t="shared" si="253"/>
        <v>0</v>
      </c>
      <c r="AC717" s="71">
        <f t="shared" si="254"/>
        <v>0</v>
      </c>
      <c r="AK717" s="71">
        <f t="shared" si="255"/>
        <v>0</v>
      </c>
      <c r="AM717" s="71">
        <f t="shared" si="256"/>
        <v>0</v>
      </c>
      <c r="AO717" s="71">
        <f t="shared" si="257"/>
        <v>0</v>
      </c>
      <c r="AQ717" s="71">
        <f t="shared" si="258"/>
        <v>0</v>
      </c>
      <c r="AT717" s="71">
        <f t="shared" si="259"/>
        <v>0</v>
      </c>
      <c r="AV717" s="71">
        <f t="shared" si="260"/>
        <v>0</v>
      </c>
      <c r="AX717" s="71">
        <f t="shared" si="261"/>
        <v>0</v>
      </c>
      <c r="AZ717" s="71">
        <f t="shared" si="262"/>
        <v>0</v>
      </c>
      <c r="BE717" s="81">
        <f t="shared" si="263"/>
        <v>0</v>
      </c>
      <c r="BF717" s="81" t="str">
        <f t="shared" si="264"/>
        <v>BASSO</v>
      </c>
    </row>
    <row r="718" spans="7:58" x14ac:dyDescent="0.15">
      <c r="G718" s="64">
        <f t="shared" si="243"/>
        <v>0</v>
      </c>
      <c r="I718" s="64">
        <f t="shared" si="244"/>
        <v>0</v>
      </c>
      <c r="K718" s="64">
        <f t="shared" si="245"/>
        <v>0</v>
      </c>
      <c r="M718" s="64">
        <f t="shared" si="246"/>
        <v>0</v>
      </c>
      <c r="O718" s="64">
        <f t="shared" si="247"/>
        <v>0</v>
      </c>
      <c r="Q718" s="64">
        <f t="shared" si="248"/>
        <v>0</v>
      </c>
      <c r="S718" s="71">
        <f t="shared" si="249"/>
        <v>0</v>
      </c>
      <c r="U718" s="64">
        <f t="shared" si="250"/>
        <v>0</v>
      </c>
      <c r="W718" s="71">
        <f t="shared" si="251"/>
        <v>0</v>
      </c>
      <c r="Y718" s="71">
        <f t="shared" si="252"/>
        <v>0</v>
      </c>
      <c r="AA718" s="71">
        <f t="shared" si="253"/>
        <v>0</v>
      </c>
      <c r="AC718" s="71">
        <f t="shared" si="254"/>
        <v>0</v>
      </c>
      <c r="AK718" s="71">
        <f t="shared" si="255"/>
        <v>0</v>
      </c>
      <c r="AM718" s="71">
        <f t="shared" si="256"/>
        <v>0</v>
      </c>
      <c r="AO718" s="71">
        <f t="shared" si="257"/>
        <v>0</v>
      </c>
      <c r="AQ718" s="71">
        <f t="shared" si="258"/>
        <v>0</v>
      </c>
      <c r="AT718" s="71">
        <f t="shared" si="259"/>
        <v>0</v>
      </c>
      <c r="AV718" s="71">
        <f t="shared" si="260"/>
        <v>0</v>
      </c>
      <c r="AX718" s="71">
        <f t="shared" si="261"/>
        <v>0</v>
      </c>
      <c r="AZ718" s="71">
        <f t="shared" si="262"/>
        <v>0</v>
      </c>
      <c r="BE718" s="81">
        <f t="shared" si="263"/>
        <v>0</v>
      </c>
      <c r="BF718" s="81" t="str">
        <f t="shared" si="264"/>
        <v>BASSO</v>
      </c>
    </row>
    <row r="719" spans="7:58" x14ac:dyDescent="0.15">
      <c r="G719" s="64">
        <f t="shared" si="243"/>
        <v>0</v>
      </c>
      <c r="I719" s="64">
        <f t="shared" si="244"/>
        <v>0</v>
      </c>
      <c r="K719" s="64">
        <f t="shared" si="245"/>
        <v>0</v>
      </c>
      <c r="M719" s="64">
        <f t="shared" si="246"/>
        <v>0</v>
      </c>
      <c r="O719" s="64">
        <f t="shared" si="247"/>
        <v>0</v>
      </c>
      <c r="Q719" s="64">
        <f t="shared" si="248"/>
        <v>0</v>
      </c>
      <c r="S719" s="71">
        <f t="shared" si="249"/>
        <v>0</v>
      </c>
      <c r="U719" s="64">
        <f t="shared" si="250"/>
        <v>0</v>
      </c>
      <c r="W719" s="71">
        <f t="shared" si="251"/>
        <v>0</v>
      </c>
      <c r="Y719" s="71">
        <f t="shared" si="252"/>
        <v>0</v>
      </c>
      <c r="AA719" s="71">
        <f t="shared" si="253"/>
        <v>0</v>
      </c>
      <c r="AC719" s="71">
        <f t="shared" si="254"/>
        <v>0</v>
      </c>
      <c r="AK719" s="71">
        <f t="shared" si="255"/>
        <v>0</v>
      </c>
      <c r="AM719" s="71">
        <f t="shared" si="256"/>
        <v>0</v>
      </c>
      <c r="AO719" s="71">
        <f t="shared" si="257"/>
        <v>0</v>
      </c>
      <c r="AQ719" s="71">
        <f t="shared" si="258"/>
        <v>0</v>
      </c>
      <c r="AT719" s="71">
        <f t="shared" si="259"/>
        <v>0</v>
      </c>
      <c r="AV719" s="71">
        <f t="shared" si="260"/>
        <v>0</v>
      </c>
      <c r="AX719" s="71">
        <f t="shared" si="261"/>
        <v>0</v>
      </c>
      <c r="AZ719" s="71">
        <f t="shared" si="262"/>
        <v>0</v>
      </c>
      <c r="BE719" s="81">
        <f t="shared" si="263"/>
        <v>0</v>
      </c>
      <c r="BF719" s="81" t="str">
        <f t="shared" si="264"/>
        <v>BASSO</v>
      </c>
    </row>
    <row r="720" spans="7:58" x14ac:dyDescent="0.15">
      <c r="G720" s="64">
        <f t="shared" si="243"/>
        <v>0</v>
      </c>
      <c r="I720" s="64">
        <f t="shared" si="244"/>
        <v>0</v>
      </c>
      <c r="K720" s="64">
        <f t="shared" si="245"/>
        <v>0</v>
      </c>
      <c r="M720" s="64">
        <f t="shared" si="246"/>
        <v>0</v>
      </c>
      <c r="O720" s="64">
        <f t="shared" si="247"/>
        <v>0</v>
      </c>
      <c r="Q720" s="64">
        <f t="shared" si="248"/>
        <v>0</v>
      </c>
      <c r="S720" s="71">
        <f t="shared" si="249"/>
        <v>0</v>
      </c>
      <c r="U720" s="64">
        <f t="shared" si="250"/>
        <v>0</v>
      </c>
      <c r="W720" s="71">
        <f t="shared" si="251"/>
        <v>0</v>
      </c>
      <c r="Y720" s="71">
        <f t="shared" si="252"/>
        <v>0</v>
      </c>
      <c r="AA720" s="71">
        <f t="shared" si="253"/>
        <v>0</v>
      </c>
      <c r="AC720" s="71">
        <f t="shared" si="254"/>
        <v>0</v>
      </c>
      <c r="AK720" s="71">
        <f t="shared" si="255"/>
        <v>0</v>
      </c>
      <c r="AM720" s="71">
        <f t="shared" si="256"/>
        <v>0</v>
      </c>
      <c r="AO720" s="71">
        <f t="shared" si="257"/>
        <v>0</v>
      </c>
      <c r="AQ720" s="71">
        <f t="shared" si="258"/>
        <v>0</v>
      </c>
      <c r="AT720" s="71">
        <f t="shared" si="259"/>
        <v>0</v>
      </c>
      <c r="AV720" s="71">
        <f t="shared" si="260"/>
        <v>0</v>
      </c>
      <c r="AX720" s="71">
        <f t="shared" si="261"/>
        <v>0</v>
      </c>
      <c r="AZ720" s="71">
        <f t="shared" si="262"/>
        <v>0</v>
      </c>
      <c r="BE720" s="81">
        <f t="shared" si="263"/>
        <v>0</v>
      </c>
      <c r="BF720" s="81" t="str">
        <f t="shared" si="264"/>
        <v>BASSO</v>
      </c>
    </row>
    <row r="721" spans="7:58" x14ac:dyDescent="0.15">
      <c r="G721" s="64">
        <f t="shared" si="243"/>
        <v>0</v>
      </c>
      <c r="I721" s="64">
        <f t="shared" si="244"/>
        <v>0</v>
      </c>
      <c r="K721" s="64">
        <f t="shared" si="245"/>
        <v>0</v>
      </c>
      <c r="M721" s="64">
        <f t="shared" si="246"/>
        <v>0</v>
      </c>
      <c r="O721" s="64">
        <f t="shared" si="247"/>
        <v>0</v>
      </c>
      <c r="Q721" s="64">
        <f t="shared" si="248"/>
        <v>0</v>
      </c>
      <c r="S721" s="71">
        <f t="shared" si="249"/>
        <v>0</v>
      </c>
      <c r="U721" s="64">
        <f t="shared" si="250"/>
        <v>0</v>
      </c>
      <c r="W721" s="71">
        <f t="shared" si="251"/>
        <v>0</v>
      </c>
      <c r="Y721" s="71">
        <f t="shared" si="252"/>
        <v>0</v>
      </c>
      <c r="AA721" s="71">
        <f t="shared" si="253"/>
        <v>0</v>
      </c>
      <c r="AC721" s="71">
        <f t="shared" si="254"/>
        <v>0</v>
      </c>
      <c r="AK721" s="71">
        <f t="shared" si="255"/>
        <v>0</v>
      </c>
      <c r="AM721" s="71">
        <f t="shared" si="256"/>
        <v>0</v>
      </c>
      <c r="AO721" s="71">
        <f t="shared" si="257"/>
        <v>0</v>
      </c>
      <c r="AQ721" s="71">
        <f t="shared" si="258"/>
        <v>0</v>
      </c>
      <c r="AT721" s="71">
        <f t="shared" si="259"/>
        <v>0</v>
      </c>
      <c r="AV721" s="71">
        <f t="shared" si="260"/>
        <v>0</v>
      </c>
      <c r="AX721" s="71">
        <f t="shared" si="261"/>
        <v>0</v>
      </c>
      <c r="AZ721" s="71">
        <f t="shared" si="262"/>
        <v>0</v>
      </c>
      <c r="BE721" s="81">
        <f t="shared" si="263"/>
        <v>0</v>
      </c>
      <c r="BF721" s="81" t="str">
        <f t="shared" si="264"/>
        <v>BASSO</v>
      </c>
    </row>
    <row r="722" spans="7:58" x14ac:dyDescent="0.15">
      <c r="G722" s="64">
        <f t="shared" si="243"/>
        <v>0</v>
      </c>
      <c r="I722" s="64">
        <f t="shared" si="244"/>
        <v>0</v>
      </c>
      <c r="K722" s="64">
        <f t="shared" si="245"/>
        <v>0</v>
      </c>
      <c r="M722" s="64">
        <f t="shared" si="246"/>
        <v>0</v>
      </c>
      <c r="O722" s="64">
        <f t="shared" si="247"/>
        <v>0</v>
      </c>
      <c r="Q722" s="64">
        <f t="shared" si="248"/>
        <v>0</v>
      </c>
      <c r="S722" s="71">
        <f t="shared" si="249"/>
        <v>0</v>
      </c>
      <c r="U722" s="64">
        <f t="shared" si="250"/>
        <v>0</v>
      </c>
      <c r="W722" s="71">
        <f t="shared" si="251"/>
        <v>0</v>
      </c>
      <c r="Y722" s="71">
        <f t="shared" si="252"/>
        <v>0</v>
      </c>
      <c r="AA722" s="71">
        <f t="shared" si="253"/>
        <v>0</v>
      </c>
      <c r="AC722" s="71">
        <f t="shared" si="254"/>
        <v>0</v>
      </c>
      <c r="AK722" s="71">
        <f t="shared" si="255"/>
        <v>0</v>
      </c>
      <c r="AM722" s="71">
        <f t="shared" si="256"/>
        <v>0</v>
      </c>
      <c r="AO722" s="71">
        <f t="shared" si="257"/>
        <v>0</v>
      </c>
      <c r="AQ722" s="71">
        <f t="shared" si="258"/>
        <v>0</v>
      </c>
      <c r="AT722" s="71">
        <f t="shared" si="259"/>
        <v>0</v>
      </c>
      <c r="AV722" s="71">
        <f t="shared" si="260"/>
        <v>0</v>
      </c>
      <c r="AX722" s="71">
        <f t="shared" si="261"/>
        <v>0</v>
      </c>
      <c r="AZ722" s="71">
        <f t="shared" si="262"/>
        <v>0</v>
      </c>
      <c r="BE722" s="81">
        <f t="shared" si="263"/>
        <v>0</v>
      </c>
      <c r="BF722" s="81" t="str">
        <f t="shared" si="264"/>
        <v>BASSO</v>
      </c>
    </row>
    <row r="723" spans="7:58" x14ac:dyDescent="0.15">
      <c r="G723" s="64">
        <f t="shared" si="243"/>
        <v>0</v>
      </c>
      <c r="I723" s="64">
        <f t="shared" si="244"/>
        <v>0</v>
      </c>
      <c r="K723" s="64">
        <f t="shared" si="245"/>
        <v>0</v>
      </c>
      <c r="M723" s="64">
        <f t="shared" si="246"/>
        <v>0</v>
      </c>
      <c r="O723" s="64">
        <f t="shared" si="247"/>
        <v>0</v>
      </c>
      <c r="Q723" s="64">
        <f t="shared" si="248"/>
        <v>0</v>
      </c>
      <c r="S723" s="71">
        <f t="shared" si="249"/>
        <v>0</v>
      </c>
      <c r="U723" s="64">
        <f t="shared" si="250"/>
        <v>0</v>
      </c>
      <c r="W723" s="71">
        <f t="shared" si="251"/>
        <v>0</v>
      </c>
      <c r="Y723" s="71">
        <f t="shared" si="252"/>
        <v>0</v>
      </c>
      <c r="AA723" s="71">
        <f t="shared" si="253"/>
        <v>0</v>
      </c>
      <c r="AC723" s="71">
        <f t="shared" si="254"/>
        <v>0</v>
      </c>
      <c r="AK723" s="71">
        <f t="shared" si="255"/>
        <v>0</v>
      </c>
      <c r="AM723" s="71">
        <f t="shared" si="256"/>
        <v>0</v>
      </c>
      <c r="AO723" s="71">
        <f t="shared" si="257"/>
        <v>0</v>
      </c>
      <c r="AQ723" s="71">
        <f t="shared" si="258"/>
        <v>0</v>
      </c>
      <c r="AT723" s="71">
        <f t="shared" si="259"/>
        <v>0</v>
      </c>
      <c r="AV723" s="71">
        <f t="shared" si="260"/>
        <v>0</v>
      </c>
      <c r="AX723" s="71">
        <f t="shared" si="261"/>
        <v>0</v>
      </c>
      <c r="AZ723" s="71">
        <f t="shared" si="262"/>
        <v>0</v>
      </c>
      <c r="BE723" s="81">
        <f t="shared" si="263"/>
        <v>0</v>
      </c>
      <c r="BF723" s="81" t="str">
        <f t="shared" si="264"/>
        <v>BASSO</v>
      </c>
    </row>
    <row r="724" spans="7:58" x14ac:dyDescent="0.15">
      <c r="G724" s="64">
        <f t="shared" si="243"/>
        <v>0</v>
      </c>
      <c r="I724" s="64">
        <f t="shared" si="244"/>
        <v>0</v>
      </c>
      <c r="K724" s="64">
        <f t="shared" si="245"/>
        <v>0</v>
      </c>
      <c r="M724" s="64">
        <f t="shared" si="246"/>
        <v>0</v>
      </c>
      <c r="O724" s="64">
        <f t="shared" si="247"/>
        <v>0</v>
      </c>
      <c r="Q724" s="64">
        <f t="shared" si="248"/>
        <v>0</v>
      </c>
      <c r="S724" s="71">
        <f t="shared" si="249"/>
        <v>0</v>
      </c>
      <c r="U724" s="64">
        <f t="shared" si="250"/>
        <v>0</v>
      </c>
      <c r="W724" s="71">
        <f t="shared" si="251"/>
        <v>0</v>
      </c>
      <c r="Y724" s="71">
        <f t="shared" si="252"/>
        <v>0</v>
      </c>
      <c r="AA724" s="71">
        <f t="shared" si="253"/>
        <v>0</v>
      </c>
      <c r="AC724" s="71">
        <f t="shared" si="254"/>
        <v>0</v>
      </c>
      <c r="AK724" s="71">
        <f t="shared" si="255"/>
        <v>0</v>
      </c>
      <c r="AM724" s="71">
        <f t="shared" si="256"/>
        <v>0</v>
      </c>
      <c r="AO724" s="71">
        <f t="shared" si="257"/>
        <v>0</v>
      </c>
      <c r="AQ724" s="71">
        <f t="shared" si="258"/>
        <v>0</v>
      </c>
      <c r="AT724" s="71">
        <f t="shared" si="259"/>
        <v>0</v>
      </c>
      <c r="AV724" s="71">
        <f t="shared" si="260"/>
        <v>0</v>
      </c>
      <c r="AX724" s="71">
        <f t="shared" si="261"/>
        <v>0</v>
      </c>
      <c r="AZ724" s="71">
        <f t="shared" si="262"/>
        <v>0</v>
      </c>
      <c r="BE724" s="81">
        <f t="shared" si="263"/>
        <v>0</v>
      </c>
      <c r="BF724" s="81" t="str">
        <f t="shared" si="264"/>
        <v>BASSO</v>
      </c>
    </row>
    <row r="725" spans="7:58" x14ac:dyDescent="0.15">
      <c r="G725" s="64">
        <f t="shared" si="243"/>
        <v>0</v>
      </c>
      <c r="I725" s="64">
        <f t="shared" si="244"/>
        <v>0</v>
      </c>
      <c r="K725" s="64">
        <f t="shared" si="245"/>
        <v>0</v>
      </c>
      <c r="M725" s="64">
        <f t="shared" si="246"/>
        <v>0</v>
      </c>
      <c r="O725" s="64">
        <f t="shared" si="247"/>
        <v>0</v>
      </c>
      <c r="Q725" s="64">
        <f t="shared" si="248"/>
        <v>0</v>
      </c>
      <c r="S725" s="71">
        <f t="shared" si="249"/>
        <v>0</v>
      </c>
      <c r="U725" s="64">
        <f t="shared" si="250"/>
        <v>0</v>
      </c>
      <c r="W725" s="71">
        <f t="shared" si="251"/>
        <v>0</v>
      </c>
      <c r="Y725" s="71">
        <f t="shared" si="252"/>
        <v>0</v>
      </c>
      <c r="AA725" s="71">
        <f t="shared" si="253"/>
        <v>0</v>
      </c>
      <c r="AC725" s="71">
        <f t="shared" si="254"/>
        <v>0</v>
      </c>
      <c r="AK725" s="71">
        <f t="shared" si="255"/>
        <v>0</v>
      </c>
      <c r="AM725" s="71">
        <f t="shared" si="256"/>
        <v>0</v>
      </c>
      <c r="AO725" s="71">
        <f t="shared" si="257"/>
        <v>0</v>
      </c>
      <c r="AQ725" s="71">
        <f t="shared" si="258"/>
        <v>0</v>
      </c>
      <c r="AT725" s="71">
        <f t="shared" si="259"/>
        <v>0</v>
      </c>
      <c r="AV725" s="71">
        <f t="shared" si="260"/>
        <v>0</v>
      </c>
      <c r="AX725" s="71">
        <f t="shared" si="261"/>
        <v>0</v>
      </c>
      <c r="AZ725" s="71">
        <f t="shared" si="262"/>
        <v>0</v>
      </c>
      <c r="BE725" s="81">
        <f t="shared" si="263"/>
        <v>0</v>
      </c>
      <c r="BF725" s="81" t="str">
        <f t="shared" si="264"/>
        <v>BASSO</v>
      </c>
    </row>
    <row r="726" spans="7:58" x14ac:dyDescent="0.15">
      <c r="G726" s="64">
        <f t="shared" si="243"/>
        <v>0</v>
      </c>
      <c r="I726" s="64">
        <f t="shared" si="244"/>
        <v>0</v>
      </c>
      <c r="K726" s="64">
        <f t="shared" si="245"/>
        <v>0</v>
      </c>
      <c r="M726" s="64">
        <f t="shared" si="246"/>
        <v>0</v>
      </c>
      <c r="O726" s="64">
        <f t="shared" si="247"/>
        <v>0</v>
      </c>
      <c r="Q726" s="64">
        <f t="shared" si="248"/>
        <v>0</v>
      </c>
      <c r="S726" s="71">
        <f t="shared" si="249"/>
        <v>0</v>
      </c>
      <c r="U726" s="64">
        <f t="shared" si="250"/>
        <v>0</v>
      </c>
      <c r="W726" s="71">
        <f t="shared" si="251"/>
        <v>0</v>
      </c>
      <c r="Y726" s="71">
        <f t="shared" si="252"/>
        <v>0</v>
      </c>
      <c r="AA726" s="71">
        <f t="shared" si="253"/>
        <v>0</v>
      </c>
      <c r="AC726" s="71">
        <f t="shared" si="254"/>
        <v>0</v>
      </c>
      <c r="AK726" s="71">
        <f t="shared" si="255"/>
        <v>0</v>
      </c>
      <c r="AM726" s="71">
        <f t="shared" si="256"/>
        <v>0</v>
      </c>
      <c r="AO726" s="71">
        <f t="shared" si="257"/>
        <v>0</v>
      </c>
      <c r="AQ726" s="71">
        <f t="shared" si="258"/>
        <v>0</v>
      </c>
      <c r="AT726" s="71">
        <f t="shared" si="259"/>
        <v>0</v>
      </c>
      <c r="AV726" s="71">
        <f t="shared" si="260"/>
        <v>0</v>
      </c>
      <c r="AX726" s="71">
        <f t="shared" si="261"/>
        <v>0</v>
      </c>
      <c r="AZ726" s="71">
        <f t="shared" si="262"/>
        <v>0</v>
      </c>
      <c r="BE726" s="81">
        <f t="shared" si="263"/>
        <v>0</v>
      </c>
      <c r="BF726" s="81" t="str">
        <f t="shared" si="264"/>
        <v>BASSO</v>
      </c>
    </row>
    <row r="727" spans="7:58" x14ac:dyDescent="0.15">
      <c r="G727" s="64">
        <f t="shared" si="243"/>
        <v>0</v>
      </c>
      <c r="I727" s="64">
        <f t="shared" si="244"/>
        <v>0</v>
      </c>
      <c r="K727" s="64">
        <f t="shared" si="245"/>
        <v>0</v>
      </c>
      <c r="M727" s="64">
        <f t="shared" si="246"/>
        <v>0</v>
      </c>
      <c r="O727" s="64">
        <f t="shared" si="247"/>
        <v>0</v>
      </c>
      <c r="Q727" s="64">
        <f t="shared" si="248"/>
        <v>0</v>
      </c>
      <c r="S727" s="71">
        <f t="shared" si="249"/>
        <v>0</v>
      </c>
      <c r="U727" s="64">
        <f t="shared" si="250"/>
        <v>0</v>
      </c>
      <c r="W727" s="71">
        <f t="shared" si="251"/>
        <v>0</v>
      </c>
      <c r="Y727" s="71">
        <f t="shared" si="252"/>
        <v>0</v>
      </c>
      <c r="AA727" s="71">
        <f t="shared" si="253"/>
        <v>0</v>
      </c>
      <c r="AC727" s="71">
        <f t="shared" si="254"/>
        <v>0</v>
      </c>
      <c r="AK727" s="71">
        <f t="shared" si="255"/>
        <v>0</v>
      </c>
      <c r="AM727" s="71">
        <f t="shared" si="256"/>
        <v>0</v>
      </c>
      <c r="AO727" s="71">
        <f t="shared" si="257"/>
        <v>0</v>
      </c>
      <c r="AQ727" s="71">
        <f t="shared" si="258"/>
        <v>0</v>
      </c>
      <c r="AT727" s="71">
        <f t="shared" si="259"/>
        <v>0</v>
      </c>
      <c r="AV727" s="71">
        <f t="shared" si="260"/>
        <v>0</v>
      </c>
      <c r="AX727" s="71">
        <f t="shared" si="261"/>
        <v>0</v>
      </c>
      <c r="AZ727" s="71">
        <f t="shared" si="262"/>
        <v>0</v>
      </c>
      <c r="BE727" s="81">
        <f t="shared" si="263"/>
        <v>0</v>
      </c>
      <c r="BF727" s="81" t="str">
        <f t="shared" si="264"/>
        <v>BASSO</v>
      </c>
    </row>
    <row r="728" spans="7:58" x14ac:dyDescent="0.15">
      <c r="G728" s="64">
        <f t="shared" si="243"/>
        <v>0</v>
      </c>
      <c r="I728" s="64">
        <f t="shared" si="244"/>
        <v>0</v>
      </c>
      <c r="K728" s="64">
        <f t="shared" si="245"/>
        <v>0</v>
      </c>
      <c r="M728" s="64">
        <f t="shared" si="246"/>
        <v>0</v>
      </c>
      <c r="O728" s="64">
        <f t="shared" si="247"/>
        <v>0</v>
      </c>
      <c r="Q728" s="64">
        <f t="shared" si="248"/>
        <v>0</v>
      </c>
      <c r="S728" s="71">
        <f t="shared" si="249"/>
        <v>0</v>
      </c>
      <c r="U728" s="64">
        <f t="shared" si="250"/>
        <v>0</v>
      </c>
      <c r="W728" s="71">
        <f t="shared" si="251"/>
        <v>0</v>
      </c>
      <c r="Y728" s="71">
        <f t="shared" si="252"/>
        <v>0</v>
      </c>
      <c r="AA728" s="71">
        <f t="shared" si="253"/>
        <v>0</v>
      </c>
      <c r="AC728" s="71">
        <f t="shared" si="254"/>
        <v>0</v>
      </c>
      <c r="AK728" s="71">
        <f t="shared" si="255"/>
        <v>0</v>
      </c>
      <c r="AM728" s="71">
        <f t="shared" si="256"/>
        <v>0</v>
      </c>
      <c r="AO728" s="71">
        <f t="shared" si="257"/>
        <v>0</v>
      </c>
      <c r="AQ728" s="71">
        <f t="shared" si="258"/>
        <v>0</v>
      </c>
      <c r="AT728" s="71">
        <f t="shared" si="259"/>
        <v>0</v>
      </c>
      <c r="AV728" s="71">
        <f t="shared" si="260"/>
        <v>0</v>
      </c>
      <c r="AX728" s="71">
        <f t="shared" si="261"/>
        <v>0</v>
      </c>
      <c r="AZ728" s="71">
        <f t="shared" si="262"/>
        <v>0</v>
      </c>
      <c r="BE728" s="81">
        <f t="shared" si="263"/>
        <v>0</v>
      </c>
      <c r="BF728" s="81" t="str">
        <f t="shared" si="264"/>
        <v>BASSO</v>
      </c>
    </row>
    <row r="729" spans="7:58" x14ac:dyDescent="0.15">
      <c r="G729" s="64">
        <f t="shared" si="243"/>
        <v>0</v>
      </c>
      <c r="I729" s="64">
        <f t="shared" si="244"/>
        <v>0</v>
      </c>
      <c r="K729" s="64">
        <f t="shared" si="245"/>
        <v>0</v>
      </c>
      <c r="M729" s="64">
        <f t="shared" si="246"/>
        <v>0</v>
      </c>
      <c r="O729" s="64">
        <f t="shared" si="247"/>
        <v>0</v>
      </c>
      <c r="Q729" s="64">
        <f t="shared" si="248"/>
        <v>0</v>
      </c>
      <c r="S729" s="71">
        <f t="shared" si="249"/>
        <v>0</v>
      </c>
      <c r="U729" s="64">
        <f t="shared" si="250"/>
        <v>0</v>
      </c>
      <c r="W729" s="71">
        <f t="shared" si="251"/>
        <v>0</v>
      </c>
      <c r="Y729" s="71">
        <f t="shared" si="252"/>
        <v>0</v>
      </c>
      <c r="AA729" s="71">
        <f t="shared" si="253"/>
        <v>0</v>
      </c>
      <c r="AC729" s="71">
        <f t="shared" si="254"/>
        <v>0</v>
      </c>
      <c r="AK729" s="71">
        <f t="shared" si="255"/>
        <v>0</v>
      </c>
      <c r="AM729" s="71">
        <f t="shared" si="256"/>
        <v>0</v>
      </c>
      <c r="AO729" s="71">
        <f t="shared" si="257"/>
        <v>0</v>
      </c>
      <c r="AQ729" s="71">
        <f t="shared" si="258"/>
        <v>0</v>
      </c>
      <c r="AT729" s="71">
        <f t="shared" si="259"/>
        <v>0</v>
      </c>
      <c r="AV729" s="71">
        <f t="shared" si="260"/>
        <v>0</v>
      </c>
      <c r="AX729" s="71">
        <f t="shared" si="261"/>
        <v>0</v>
      </c>
      <c r="AZ729" s="71">
        <f t="shared" si="262"/>
        <v>0</v>
      </c>
      <c r="BE729" s="81">
        <f t="shared" si="263"/>
        <v>0</v>
      </c>
      <c r="BF729" s="81" t="str">
        <f t="shared" si="264"/>
        <v>BASSO</v>
      </c>
    </row>
    <row r="730" spans="7:58" x14ac:dyDescent="0.15">
      <c r="G730" s="64">
        <f t="shared" si="243"/>
        <v>0</v>
      </c>
      <c r="I730" s="64">
        <f t="shared" si="244"/>
        <v>0</v>
      </c>
      <c r="K730" s="64">
        <f t="shared" si="245"/>
        <v>0</v>
      </c>
      <c r="M730" s="64">
        <f t="shared" si="246"/>
        <v>0</v>
      </c>
      <c r="O730" s="64">
        <f t="shared" si="247"/>
        <v>0</v>
      </c>
      <c r="Q730" s="64">
        <f t="shared" si="248"/>
        <v>0</v>
      </c>
      <c r="S730" s="71">
        <f t="shared" si="249"/>
        <v>0</v>
      </c>
      <c r="U730" s="64">
        <f t="shared" si="250"/>
        <v>0</v>
      </c>
      <c r="W730" s="71">
        <f t="shared" si="251"/>
        <v>0</v>
      </c>
      <c r="Y730" s="71">
        <f t="shared" si="252"/>
        <v>0</v>
      </c>
      <c r="AA730" s="71">
        <f t="shared" si="253"/>
        <v>0</v>
      </c>
      <c r="AC730" s="71">
        <f t="shared" si="254"/>
        <v>0</v>
      </c>
      <c r="AK730" s="71">
        <f t="shared" si="255"/>
        <v>0</v>
      </c>
      <c r="AM730" s="71">
        <f t="shared" si="256"/>
        <v>0</v>
      </c>
      <c r="AO730" s="71">
        <f t="shared" si="257"/>
        <v>0</v>
      </c>
      <c r="AQ730" s="71">
        <f t="shared" si="258"/>
        <v>0</v>
      </c>
      <c r="AT730" s="71">
        <f t="shared" si="259"/>
        <v>0</v>
      </c>
      <c r="AV730" s="71">
        <f t="shared" si="260"/>
        <v>0</v>
      </c>
      <c r="AX730" s="71">
        <f t="shared" si="261"/>
        <v>0</v>
      </c>
      <c r="AZ730" s="71">
        <f t="shared" si="262"/>
        <v>0</v>
      </c>
      <c r="BE730" s="81">
        <f t="shared" si="263"/>
        <v>0</v>
      </c>
      <c r="BF730" s="81" t="str">
        <f t="shared" si="264"/>
        <v>BASSO</v>
      </c>
    </row>
    <row r="731" spans="7:58" x14ac:dyDescent="0.15">
      <c r="G731" s="64">
        <f t="shared" si="243"/>
        <v>0</v>
      </c>
      <c r="I731" s="64">
        <f t="shared" si="244"/>
        <v>0</v>
      </c>
      <c r="K731" s="64">
        <f t="shared" si="245"/>
        <v>0</v>
      </c>
      <c r="M731" s="64">
        <f t="shared" si="246"/>
        <v>0</v>
      </c>
      <c r="O731" s="64">
        <f t="shared" si="247"/>
        <v>0</v>
      </c>
      <c r="Q731" s="64">
        <f t="shared" si="248"/>
        <v>0</v>
      </c>
      <c r="S731" s="71">
        <f t="shared" si="249"/>
        <v>0</v>
      </c>
      <c r="U731" s="64">
        <f t="shared" si="250"/>
        <v>0</v>
      </c>
      <c r="W731" s="71">
        <f t="shared" si="251"/>
        <v>0</v>
      </c>
      <c r="Y731" s="71">
        <f t="shared" si="252"/>
        <v>0</v>
      </c>
      <c r="AA731" s="71">
        <f t="shared" si="253"/>
        <v>0</v>
      </c>
      <c r="AC731" s="71">
        <f t="shared" si="254"/>
        <v>0</v>
      </c>
      <c r="AK731" s="71">
        <f t="shared" si="255"/>
        <v>0</v>
      </c>
      <c r="AM731" s="71">
        <f t="shared" si="256"/>
        <v>0</v>
      </c>
      <c r="AO731" s="71">
        <f t="shared" si="257"/>
        <v>0</v>
      </c>
      <c r="AQ731" s="71">
        <f t="shared" si="258"/>
        <v>0</v>
      </c>
      <c r="AT731" s="71">
        <f t="shared" si="259"/>
        <v>0</v>
      </c>
      <c r="AV731" s="71">
        <f t="shared" si="260"/>
        <v>0</v>
      </c>
      <c r="AX731" s="71">
        <f t="shared" si="261"/>
        <v>0</v>
      </c>
      <c r="AZ731" s="71">
        <f t="shared" si="262"/>
        <v>0</v>
      </c>
      <c r="BE731" s="81">
        <f t="shared" si="263"/>
        <v>0</v>
      </c>
      <c r="BF731" s="81" t="str">
        <f t="shared" si="264"/>
        <v>BASSO</v>
      </c>
    </row>
    <row r="732" spans="7:58" x14ac:dyDescent="0.15">
      <c r="G732" s="64">
        <f t="shared" si="243"/>
        <v>0</v>
      </c>
      <c r="I732" s="64">
        <f t="shared" si="244"/>
        <v>0</v>
      </c>
      <c r="K732" s="64">
        <f t="shared" si="245"/>
        <v>0</v>
      </c>
      <c r="M732" s="64">
        <f t="shared" si="246"/>
        <v>0</v>
      </c>
      <c r="O732" s="64">
        <f t="shared" si="247"/>
        <v>0</v>
      </c>
      <c r="Q732" s="64">
        <f t="shared" si="248"/>
        <v>0</v>
      </c>
      <c r="S732" s="71">
        <f t="shared" si="249"/>
        <v>0</v>
      </c>
      <c r="U732" s="64">
        <f t="shared" si="250"/>
        <v>0</v>
      </c>
      <c r="W732" s="71">
        <f t="shared" si="251"/>
        <v>0</v>
      </c>
      <c r="Y732" s="71">
        <f t="shared" si="252"/>
        <v>0</v>
      </c>
      <c r="AA732" s="71">
        <f t="shared" si="253"/>
        <v>0</v>
      </c>
      <c r="AC732" s="71">
        <f t="shared" si="254"/>
        <v>0</v>
      </c>
      <c r="AK732" s="71">
        <f t="shared" si="255"/>
        <v>0</v>
      </c>
      <c r="AM732" s="71">
        <f t="shared" si="256"/>
        <v>0</v>
      </c>
      <c r="AO732" s="71">
        <f t="shared" si="257"/>
        <v>0</v>
      </c>
      <c r="AQ732" s="71">
        <f t="shared" si="258"/>
        <v>0</v>
      </c>
      <c r="AT732" s="71">
        <f t="shared" si="259"/>
        <v>0</v>
      </c>
      <c r="AV732" s="71">
        <f t="shared" si="260"/>
        <v>0</v>
      </c>
      <c r="AX732" s="71">
        <f t="shared" si="261"/>
        <v>0</v>
      </c>
      <c r="AZ732" s="71">
        <f t="shared" si="262"/>
        <v>0</v>
      </c>
      <c r="BE732" s="81">
        <f t="shared" si="263"/>
        <v>0</v>
      </c>
      <c r="BF732" s="81" t="str">
        <f t="shared" si="264"/>
        <v>BASSO</v>
      </c>
    </row>
    <row r="733" spans="7:58" x14ac:dyDescent="0.15">
      <c r="G733" s="64">
        <f t="shared" si="243"/>
        <v>0</v>
      </c>
      <c r="I733" s="64">
        <f t="shared" si="244"/>
        <v>0</v>
      </c>
      <c r="K733" s="64">
        <f t="shared" si="245"/>
        <v>0</v>
      </c>
      <c r="M733" s="64">
        <f t="shared" si="246"/>
        <v>0</v>
      </c>
      <c r="O733" s="64">
        <f t="shared" si="247"/>
        <v>0</v>
      </c>
      <c r="Q733" s="64">
        <f t="shared" si="248"/>
        <v>0</v>
      </c>
      <c r="S733" s="71">
        <f t="shared" si="249"/>
        <v>0</v>
      </c>
      <c r="U733" s="64">
        <f t="shared" si="250"/>
        <v>0</v>
      </c>
      <c r="W733" s="71">
        <f t="shared" si="251"/>
        <v>0</v>
      </c>
      <c r="Y733" s="71">
        <f t="shared" si="252"/>
        <v>0</v>
      </c>
      <c r="AA733" s="71">
        <f t="shared" si="253"/>
        <v>0</v>
      </c>
      <c r="AC733" s="71">
        <f t="shared" si="254"/>
        <v>0</v>
      </c>
      <c r="AK733" s="71">
        <f t="shared" si="255"/>
        <v>0</v>
      </c>
      <c r="AM733" s="71">
        <f t="shared" si="256"/>
        <v>0</v>
      </c>
      <c r="AO733" s="71">
        <f t="shared" si="257"/>
        <v>0</v>
      </c>
      <c r="AQ733" s="71">
        <f t="shared" si="258"/>
        <v>0</v>
      </c>
      <c r="AT733" s="71">
        <f t="shared" si="259"/>
        <v>0</v>
      </c>
      <c r="AV733" s="71">
        <f t="shared" si="260"/>
        <v>0</v>
      </c>
      <c r="AX733" s="71">
        <f t="shared" si="261"/>
        <v>0</v>
      </c>
      <c r="AZ733" s="71">
        <f t="shared" si="262"/>
        <v>0</v>
      </c>
      <c r="BE733" s="81">
        <f t="shared" si="263"/>
        <v>0</v>
      </c>
      <c r="BF733" s="81" t="str">
        <f t="shared" si="264"/>
        <v>BASSO</v>
      </c>
    </row>
    <row r="734" spans="7:58" x14ac:dyDescent="0.15">
      <c r="G734" s="64">
        <f t="shared" si="243"/>
        <v>0</v>
      </c>
      <c r="I734" s="64">
        <f t="shared" si="244"/>
        <v>0</v>
      </c>
      <c r="K734" s="64">
        <f t="shared" si="245"/>
        <v>0</v>
      </c>
      <c r="M734" s="64">
        <f t="shared" si="246"/>
        <v>0</v>
      </c>
      <c r="O734" s="64">
        <f t="shared" si="247"/>
        <v>0</v>
      </c>
      <c r="Q734" s="64">
        <f t="shared" si="248"/>
        <v>0</v>
      </c>
      <c r="S734" s="71">
        <f t="shared" si="249"/>
        <v>0</v>
      </c>
      <c r="U734" s="64">
        <f t="shared" si="250"/>
        <v>0</v>
      </c>
      <c r="W734" s="71">
        <f t="shared" si="251"/>
        <v>0</v>
      </c>
      <c r="Y734" s="71">
        <f t="shared" si="252"/>
        <v>0</v>
      </c>
      <c r="AA734" s="71">
        <f t="shared" si="253"/>
        <v>0</v>
      </c>
      <c r="AC734" s="71">
        <f t="shared" si="254"/>
        <v>0</v>
      </c>
      <c r="AK734" s="71">
        <f t="shared" si="255"/>
        <v>0</v>
      </c>
      <c r="AM734" s="71">
        <f t="shared" si="256"/>
        <v>0</v>
      </c>
      <c r="AO734" s="71">
        <f t="shared" si="257"/>
        <v>0</v>
      </c>
      <c r="AQ734" s="71">
        <f t="shared" si="258"/>
        <v>0</v>
      </c>
      <c r="AT734" s="71">
        <f t="shared" si="259"/>
        <v>0</v>
      </c>
      <c r="AV734" s="71">
        <f t="shared" si="260"/>
        <v>0</v>
      </c>
      <c r="AX734" s="71">
        <f t="shared" si="261"/>
        <v>0</v>
      </c>
      <c r="AZ734" s="71">
        <f t="shared" si="262"/>
        <v>0</v>
      </c>
      <c r="BE734" s="81">
        <f t="shared" si="263"/>
        <v>0</v>
      </c>
      <c r="BF734" s="81" t="str">
        <f t="shared" si="264"/>
        <v>BASSO</v>
      </c>
    </row>
    <row r="735" spans="7:58" x14ac:dyDescent="0.15">
      <c r="G735" s="64">
        <f t="shared" si="243"/>
        <v>0</v>
      </c>
      <c r="I735" s="64">
        <f t="shared" si="244"/>
        <v>0</v>
      </c>
      <c r="K735" s="64">
        <f t="shared" si="245"/>
        <v>0</v>
      </c>
      <c r="M735" s="64">
        <f t="shared" si="246"/>
        <v>0</v>
      </c>
      <c r="O735" s="64">
        <f t="shared" si="247"/>
        <v>0</v>
      </c>
      <c r="Q735" s="64">
        <f t="shared" si="248"/>
        <v>0</v>
      </c>
      <c r="S735" s="71">
        <f t="shared" si="249"/>
        <v>0</v>
      </c>
      <c r="U735" s="64">
        <f t="shared" si="250"/>
        <v>0</v>
      </c>
      <c r="W735" s="71">
        <f t="shared" si="251"/>
        <v>0</v>
      </c>
      <c r="Y735" s="71">
        <f t="shared" si="252"/>
        <v>0</v>
      </c>
      <c r="AA735" s="71">
        <f t="shared" si="253"/>
        <v>0</v>
      </c>
      <c r="AC735" s="71">
        <f t="shared" si="254"/>
        <v>0</v>
      </c>
      <c r="AK735" s="71">
        <f t="shared" si="255"/>
        <v>0</v>
      </c>
      <c r="AM735" s="71">
        <f t="shared" si="256"/>
        <v>0</v>
      </c>
      <c r="AO735" s="71">
        <f t="shared" si="257"/>
        <v>0</v>
      </c>
      <c r="AQ735" s="71">
        <f t="shared" si="258"/>
        <v>0</v>
      </c>
      <c r="AT735" s="71">
        <f t="shared" si="259"/>
        <v>0</v>
      </c>
      <c r="AV735" s="71">
        <f t="shared" si="260"/>
        <v>0</v>
      </c>
      <c r="AX735" s="71">
        <f t="shared" si="261"/>
        <v>0</v>
      </c>
      <c r="AZ735" s="71">
        <f t="shared" si="262"/>
        <v>0</v>
      </c>
      <c r="BE735" s="81">
        <f t="shared" si="263"/>
        <v>0</v>
      </c>
      <c r="BF735" s="81" t="str">
        <f t="shared" si="264"/>
        <v>BASSO</v>
      </c>
    </row>
    <row r="736" spans="7:58" x14ac:dyDescent="0.15">
      <c r="G736" s="64">
        <f t="shared" si="243"/>
        <v>0</v>
      </c>
      <c r="I736" s="64">
        <f t="shared" si="244"/>
        <v>0</v>
      </c>
      <c r="K736" s="64">
        <f t="shared" si="245"/>
        <v>0</v>
      </c>
      <c r="M736" s="64">
        <f t="shared" si="246"/>
        <v>0</v>
      </c>
      <c r="O736" s="64">
        <f t="shared" si="247"/>
        <v>0</v>
      </c>
      <c r="Q736" s="64">
        <f t="shared" si="248"/>
        <v>0</v>
      </c>
      <c r="S736" s="71">
        <f t="shared" si="249"/>
        <v>0</v>
      </c>
      <c r="U736" s="64">
        <f t="shared" si="250"/>
        <v>0</v>
      </c>
      <c r="W736" s="71">
        <f t="shared" si="251"/>
        <v>0</v>
      </c>
      <c r="Y736" s="71">
        <f t="shared" si="252"/>
        <v>0</v>
      </c>
      <c r="AA736" s="71">
        <f t="shared" si="253"/>
        <v>0</v>
      </c>
      <c r="AC736" s="71">
        <f t="shared" si="254"/>
        <v>0</v>
      </c>
      <c r="AK736" s="71">
        <f t="shared" si="255"/>
        <v>0</v>
      </c>
      <c r="AM736" s="71">
        <f t="shared" si="256"/>
        <v>0</v>
      </c>
      <c r="AO736" s="71">
        <f t="shared" si="257"/>
        <v>0</v>
      </c>
      <c r="AQ736" s="71">
        <f t="shared" si="258"/>
        <v>0</v>
      </c>
      <c r="AT736" s="71">
        <f t="shared" si="259"/>
        <v>0</v>
      </c>
      <c r="AV736" s="71">
        <f t="shared" si="260"/>
        <v>0</v>
      </c>
      <c r="AX736" s="71">
        <f t="shared" si="261"/>
        <v>0</v>
      </c>
      <c r="AZ736" s="71">
        <f t="shared" si="262"/>
        <v>0</v>
      </c>
      <c r="BE736" s="81">
        <f t="shared" si="263"/>
        <v>0</v>
      </c>
      <c r="BF736" s="81" t="str">
        <f t="shared" si="264"/>
        <v>BASSO</v>
      </c>
    </row>
    <row r="737" spans="7:58" x14ac:dyDescent="0.15">
      <c r="G737" s="64">
        <f t="shared" si="243"/>
        <v>0</v>
      </c>
      <c r="I737" s="64">
        <f t="shared" si="244"/>
        <v>0</v>
      </c>
      <c r="K737" s="64">
        <f t="shared" si="245"/>
        <v>0</v>
      </c>
      <c r="M737" s="64">
        <f t="shared" si="246"/>
        <v>0</v>
      </c>
      <c r="O737" s="64">
        <f t="shared" si="247"/>
        <v>0</v>
      </c>
      <c r="Q737" s="64">
        <f t="shared" si="248"/>
        <v>0</v>
      </c>
      <c r="S737" s="71">
        <f t="shared" si="249"/>
        <v>0</v>
      </c>
      <c r="U737" s="64">
        <f t="shared" si="250"/>
        <v>0</v>
      </c>
      <c r="W737" s="71">
        <f t="shared" si="251"/>
        <v>0</v>
      </c>
      <c r="Y737" s="71">
        <f t="shared" si="252"/>
        <v>0</v>
      </c>
      <c r="AA737" s="71">
        <f t="shared" si="253"/>
        <v>0</v>
      </c>
      <c r="AC737" s="71">
        <f t="shared" si="254"/>
        <v>0</v>
      </c>
      <c r="AK737" s="71">
        <f t="shared" si="255"/>
        <v>0</v>
      </c>
      <c r="AM737" s="71">
        <f t="shared" si="256"/>
        <v>0</v>
      </c>
      <c r="AO737" s="71">
        <f t="shared" si="257"/>
        <v>0</v>
      </c>
      <c r="AQ737" s="71">
        <f t="shared" si="258"/>
        <v>0</v>
      </c>
      <c r="AT737" s="71">
        <f t="shared" si="259"/>
        <v>0</v>
      </c>
      <c r="AV737" s="71">
        <f t="shared" si="260"/>
        <v>0</v>
      </c>
      <c r="AX737" s="71">
        <f t="shared" si="261"/>
        <v>0</v>
      </c>
      <c r="AZ737" s="71">
        <f t="shared" si="262"/>
        <v>0</v>
      </c>
      <c r="BE737" s="81">
        <f t="shared" si="263"/>
        <v>0</v>
      </c>
      <c r="BF737" s="81" t="str">
        <f t="shared" si="264"/>
        <v>BASSO</v>
      </c>
    </row>
    <row r="738" spans="7:58" x14ac:dyDescent="0.15">
      <c r="G738" s="64">
        <f t="shared" si="243"/>
        <v>0</v>
      </c>
      <c r="I738" s="64">
        <f t="shared" si="244"/>
        <v>0</v>
      </c>
      <c r="K738" s="64">
        <f t="shared" si="245"/>
        <v>0</v>
      </c>
      <c r="M738" s="64">
        <f t="shared" si="246"/>
        <v>0</v>
      </c>
      <c r="O738" s="64">
        <f t="shared" si="247"/>
        <v>0</v>
      </c>
      <c r="Q738" s="64">
        <f t="shared" si="248"/>
        <v>0</v>
      </c>
      <c r="S738" s="71">
        <f t="shared" si="249"/>
        <v>0</v>
      </c>
      <c r="U738" s="64">
        <f t="shared" si="250"/>
        <v>0</v>
      </c>
      <c r="W738" s="71">
        <f t="shared" si="251"/>
        <v>0</v>
      </c>
      <c r="Y738" s="71">
        <f t="shared" si="252"/>
        <v>0</v>
      </c>
      <c r="AA738" s="71">
        <f t="shared" si="253"/>
        <v>0</v>
      </c>
      <c r="AC738" s="71">
        <f t="shared" si="254"/>
        <v>0</v>
      </c>
      <c r="AK738" s="71">
        <f t="shared" si="255"/>
        <v>0</v>
      </c>
      <c r="AM738" s="71">
        <f t="shared" si="256"/>
        <v>0</v>
      </c>
      <c r="AO738" s="71">
        <f t="shared" si="257"/>
        <v>0</v>
      </c>
      <c r="AQ738" s="71">
        <f t="shared" si="258"/>
        <v>0</v>
      </c>
      <c r="AT738" s="71">
        <f t="shared" si="259"/>
        <v>0</v>
      </c>
      <c r="AV738" s="71">
        <f t="shared" si="260"/>
        <v>0</v>
      </c>
      <c r="AX738" s="71">
        <f t="shared" si="261"/>
        <v>0</v>
      </c>
      <c r="AZ738" s="71">
        <f t="shared" si="262"/>
        <v>0</v>
      </c>
      <c r="BE738" s="81">
        <f t="shared" si="263"/>
        <v>0</v>
      </c>
      <c r="BF738" s="81" t="str">
        <f t="shared" si="264"/>
        <v>BASSO</v>
      </c>
    </row>
    <row r="739" spans="7:58" x14ac:dyDescent="0.15">
      <c r="G739" s="64">
        <f t="shared" si="243"/>
        <v>0</v>
      </c>
      <c r="I739" s="64">
        <f t="shared" si="244"/>
        <v>0</v>
      </c>
      <c r="K739" s="64">
        <f t="shared" si="245"/>
        <v>0</v>
      </c>
      <c r="M739" s="64">
        <f t="shared" si="246"/>
        <v>0</v>
      </c>
      <c r="O739" s="64">
        <f t="shared" si="247"/>
        <v>0</v>
      </c>
      <c r="Q739" s="64">
        <f t="shared" si="248"/>
        <v>0</v>
      </c>
      <c r="S739" s="71">
        <f t="shared" si="249"/>
        <v>0</v>
      </c>
      <c r="U739" s="64">
        <f t="shared" si="250"/>
        <v>0</v>
      </c>
      <c r="W739" s="71">
        <f t="shared" si="251"/>
        <v>0</v>
      </c>
      <c r="Y739" s="71">
        <f t="shared" si="252"/>
        <v>0</v>
      </c>
      <c r="AA739" s="71">
        <f t="shared" si="253"/>
        <v>0</v>
      </c>
      <c r="AC739" s="71">
        <f t="shared" si="254"/>
        <v>0</v>
      </c>
      <c r="AK739" s="71">
        <f t="shared" si="255"/>
        <v>0</v>
      </c>
      <c r="AM739" s="71">
        <f t="shared" si="256"/>
        <v>0</v>
      </c>
      <c r="AO739" s="71">
        <f t="shared" si="257"/>
        <v>0</v>
      </c>
      <c r="AQ739" s="71">
        <f t="shared" si="258"/>
        <v>0</v>
      </c>
      <c r="AT739" s="71">
        <f t="shared" si="259"/>
        <v>0</v>
      </c>
      <c r="AV739" s="71">
        <f t="shared" si="260"/>
        <v>0</v>
      </c>
      <c r="AX739" s="71">
        <f t="shared" si="261"/>
        <v>0</v>
      </c>
      <c r="AZ739" s="71">
        <f t="shared" si="262"/>
        <v>0</v>
      </c>
      <c r="BE739" s="81">
        <f t="shared" si="263"/>
        <v>0</v>
      </c>
      <c r="BF739" s="81" t="str">
        <f t="shared" si="264"/>
        <v>BASSO</v>
      </c>
    </row>
    <row r="740" spans="7:58" x14ac:dyDescent="0.15">
      <c r="G740" s="64">
        <f t="shared" si="243"/>
        <v>0</v>
      </c>
      <c r="I740" s="64">
        <f t="shared" si="244"/>
        <v>0</v>
      </c>
      <c r="K740" s="64">
        <f t="shared" si="245"/>
        <v>0</v>
      </c>
      <c r="M740" s="64">
        <f t="shared" si="246"/>
        <v>0</v>
      </c>
      <c r="O740" s="64">
        <f t="shared" si="247"/>
        <v>0</v>
      </c>
      <c r="Q740" s="64">
        <f t="shared" si="248"/>
        <v>0</v>
      </c>
      <c r="S740" s="71">
        <f t="shared" si="249"/>
        <v>0</v>
      </c>
      <c r="U740" s="64">
        <f t="shared" si="250"/>
        <v>0</v>
      </c>
      <c r="W740" s="71">
        <f t="shared" si="251"/>
        <v>0</v>
      </c>
      <c r="Y740" s="71">
        <f t="shared" si="252"/>
        <v>0</v>
      </c>
      <c r="AA740" s="71">
        <f t="shared" si="253"/>
        <v>0</v>
      </c>
      <c r="AC740" s="71">
        <f t="shared" si="254"/>
        <v>0</v>
      </c>
      <c r="AK740" s="71">
        <f t="shared" si="255"/>
        <v>0</v>
      </c>
      <c r="AM740" s="71">
        <f t="shared" si="256"/>
        <v>0</v>
      </c>
      <c r="AO740" s="71">
        <f t="shared" si="257"/>
        <v>0</v>
      </c>
      <c r="AQ740" s="71">
        <f t="shared" si="258"/>
        <v>0</v>
      </c>
      <c r="AT740" s="71">
        <f t="shared" si="259"/>
        <v>0</v>
      </c>
      <c r="AV740" s="71">
        <f t="shared" si="260"/>
        <v>0</v>
      </c>
      <c r="AX740" s="71">
        <f t="shared" si="261"/>
        <v>0</v>
      </c>
      <c r="AZ740" s="71">
        <f t="shared" si="262"/>
        <v>0</v>
      </c>
      <c r="BE740" s="81">
        <f t="shared" si="263"/>
        <v>0</v>
      </c>
      <c r="BF740" s="81" t="str">
        <f t="shared" si="264"/>
        <v>BASSO</v>
      </c>
    </row>
    <row r="741" spans="7:58" x14ac:dyDescent="0.15">
      <c r="G741" s="64">
        <f t="shared" si="243"/>
        <v>0</v>
      </c>
      <c r="I741" s="64">
        <f t="shared" si="244"/>
        <v>0</v>
      </c>
      <c r="K741" s="64">
        <f t="shared" si="245"/>
        <v>0</v>
      </c>
      <c r="M741" s="64">
        <f t="shared" si="246"/>
        <v>0</v>
      </c>
      <c r="O741" s="64">
        <f t="shared" si="247"/>
        <v>0</v>
      </c>
      <c r="Q741" s="64">
        <f t="shared" si="248"/>
        <v>0</v>
      </c>
      <c r="S741" s="71">
        <f t="shared" si="249"/>
        <v>0</v>
      </c>
      <c r="U741" s="64">
        <f t="shared" si="250"/>
        <v>0</v>
      </c>
      <c r="W741" s="71">
        <f t="shared" si="251"/>
        <v>0</v>
      </c>
      <c r="Y741" s="71">
        <f t="shared" si="252"/>
        <v>0</v>
      </c>
      <c r="AA741" s="71">
        <f t="shared" si="253"/>
        <v>0</v>
      </c>
      <c r="AC741" s="71">
        <f t="shared" si="254"/>
        <v>0</v>
      </c>
      <c r="AK741" s="71">
        <f t="shared" si="255"/>
        <v>0</v>
      </c>
      <c r="AM741" s="71">
        <f t="shared" si="256"/>
        <v>0</v>
      </c>
      <c r="AO741" s="71">
        <f t="shared" si="257"/>
        <v>0</v>
      </c>
      <c r="AQ741" s="71">
        <f t="shared" si="258"/>
        <v>0</v>
      </c>
      <c r="AT741" s="71">
        <f t="shared" si="259"/>
        <v>0</v>
      </c>
      <c r="AV741" s="71">
        <f t="shared" si="260"/>
        <v>0</v>
      </c>
      <c r="AX741" s="71">
        <f t="shared" si="261"/>
        <v>0</v>
      </c>
      <c r="AZ741" s="71">
        <f t="shared" si="262"/>
        <v>0</v>
      </c>
      <c r="BE741" s="81">
        <f t="shared" si="263"/>
        <v>0</v>
      </c>
      <c r="BF741" s="81" t="str">
        <f t="shared" si="264"/>
        <v>BASSO</v>
      </c>
    </row>
    <row r="742" spans="7:58" x14ac:dyDescent="0.15">
      <c r="G742" s="64">
        <f t="shared" si="243"/>
        <v>0</v>
      </c>
      <c r="I742" s="64">
        <f t="shared" si="244"/>
        <v>0</v>
      </c>
      <c r="K742" s="64">
        <f t="shared" si="245"/>
        <v>0</v>
      </c>
      <c r="M742" s="64">
        <f t="shared" si="246"/>
        <v>0</v>
      </c>
      <c r="O742" s="64">
        <f t="shared" si="247"/>
        <v>0</v>
      </c>
      <c r="Q742" s="64">
        <f t="shared" si="248"/>
        <v>0</v>
      </c>
      <c r="S742" s="71">
        <f t="shared" si="249"/>
        <v>0</v>
      </c>
      <c r="U742" s="64">
        <f t="shared" si="250"/>
        <v>0</v>
      </c>
      <c r="W742" s="71">
        <f t="shared" si="251"/>
        <v>0</v>
      </c>
      <c r="Y742" s="71">
        <f t="shared" si="252"/>
        <v>0</v>
      </c>
      <c r="AA742" s="71">
        <f t="shared" si="253"/>
        <v>0</v>
      </c>
      <c r="AC742" s="71">
        <f t="shared" si="254"/>
        <v>0</v>
      </c>
      <c r="AK742" s="71">
        <f t="shared" si="255"/>
        <v>0</v>
      </c>
      <c r="AM742" s="71">
        <f t="shared" si="256"/>
        <v>0</v>
      </c>
      <c r="AO742" s="71">
        <f t="shared" si="257"/>
        <v>0</v>
      </c>
      <c r="AQ742" s="71">
        <f t="shared" si="258"/>
        <v>0</v>
      </c>
      <c r="AT742" s="71">
        <f t="shared" si="259"/>
        <v>0</v>
      </c>
      <c r="AV742" s="71">
        <f t="shared" si="260"/>
        <v>0</v>
      </c>
      <c r="AX742" s="71">
        <f t="shared" si="261"/>
        <v>0</v>
      </c>
      <c r="AZ742" s="71">
        <f t="shared" si="262"/>
        <v>0</v>
      </c>
      <c r="BE742" s="81">
        <f t="shared" si="263"/>
        <v>0</v>
      </c>
      <c r="BF742" s="81" t="str">
        <f t="shared" si="264"/>
        <v>BASSO</v>
      </c>
    </row>
    <row r="743" spans="7:58" x14ac:dyDescent="0.15">
      <c r="G743" s="64">
        <f t="shared" si="243"/>
        <v>0</v>
      </c>
      <c r="I743" s="64">
        <f t="shared" si="244"/>
        <v>0</v>
      </c>
      <c r="K743" s="64">
        <f t="shared" si="245"/>
        <v>0</v>
      </c>
      <c r="M743" s="64">
        <f t="shared" si="246"/>
        <v>0</v>
      </c>
      <c r="O743" s="64">
        <f t="shared" si="247"/>
        <v>0</v>
      </c>
      <c r="Q743" s="64">
        <f t="shared" si="248"/>
        <v>0</v>
      </c>
      <c r="S743" s="71">
        <f t="shared" si="249"/>
        <v>0</v>
      </c>
      <c r="U743" s="64">
        <f t="shared" si="250"/>
        <v>0</v>
      </c>
      <c r="W743" s="71">
        <f t="shared" si="251"/>
        <v>0</v>
      </c>
      <c r="Y743" s="71">
        <f t="shared" si="252"/>
        <v>0</v>
      </c>
      <c r="AA743" s="71">
        <f t="shared" si="253"/>
        <v>0</v>
      </c>
      <c r="AC743" s="71">
        <f t="shared" si="254"/>
        <v>0</v>
      </c>
      <c r="AK743" s="71">
        <f t="shared" si="255"/>
        <v>0</v>
      </c>
      <c r="AM743" s="71">
        <f t="shared" si="256"/>
        <v>0</v>
      </c>
      <c r="AO743" s="71">
        <f t="shared" si="257"/>
        <v>0</v>
      </c>
      <c r="AQ743" s="71">
        <f t="shared" si="258"/>
        <v>0</v>
      </c>
      <c r="AT743" s="71">
        <f t="shared" si="259"/>
        <v>0</v>
      </c>
      <c r="AV743" s="71">
        <f t="shared" si="260"/>
        <v>0</v>
      </c>
      <c r="AX743" s="71">
        <f t="shared" si="261"/>
        <v>0</v>
      </c>
      <c r="AZ743" s="71">
        <f t="shared" si="262"/>
        <v>0</v>
      </c>
      <c r="BE743" s="81">
        <f t="shared" si="263"/>
        <v>0</v>
      </c>
      <c r="BF743" s="81" t="str">
        <f t="shared" si="264"/>
        <v>BASSO</v>
      </c>
    </row>
    <row r="744" spans="7:58" x14ac:dyDescent="0.15">
      <c r="G744" s="64">
        <f t="shared" si="243"/>
        <v>0</v>
      </c>
      <c r="I744" s="64">
        <f t="shared" si="244"/>
        <v>0</v>
      </c>
      <c r="K744" s="64">
        <f t="shared" si="245"/>
        <v>0</v>
      </c>
      <c r="M744" s="64">
        <f t="shared" si="246"/>
        <v>0</v>
      </c>
      <c r="O744" s="64">
        <f t="shared" si="247"/>
        <v>0</v>
      </c>
      <c r="Q744" s="64">
        <f t="shared" si="248"/>
        <v>0</v>
      </c>
      <c r="S744" s="71">
        <f t="shared" si="249"/>
        <v>0</v>
      </c>
      <c r="U744" s="64">
        <f t="shared" si="250"/>
        <v>0</v>
      </c>
      <c r="W744" s="71">
        <f t="shared" si="251"/>
        <v>0</v>
      </c>
      <c r="Y744" s="71">
        <f t="shared" si="252"/>
        <v>0</v>
      </c>
      <c r="AA744" s="71">
        <f t="shared" si="253"/>
        <v>0</v>
      </c>
      <c r="AC744" s="71">
        <f t="shared" si="254"/>
        <v>0</v>
      </c>
      <c r="AK744" s="71">
        <f t="shared" si="255"/>
        <v>0</v>
      </c>
      <c r="AM744" s="71">
        <f t="shared" si="256"/>
        <v>0</v>
      </c>
      <c r="AO744" s="71">
        <f t="shared" si="257"/>
        <v>0</v>
      </c>
      <c r="AQ744" s="71">
        <f t="shared" si="258"/>
        <v>0</v>
      </c>
      <c r="AT744" s="71">
        <f t="shared" si="259"/>
        <v>0</v>
      </c>
      <c r="AV744" s="71">
        <f t="shared" si="260"/>
        <v>0</v>
      </c>
      <c r="AX744" s="71">
        <f t="shared" si="261"/>
        <v>0</v>
      </c>
      <c r="AZ744" s="71">
        <f t="shared" si="262"/>
        <v>0</v>
      </c>
      <c r="BE744" s="81">
        <f t="shared" si="263"/>
        <v>0</v>
      </c>
      <c r="BF744" s="81" t="str">
        <f t="shared" si="264"/>
        <v>BASSO</v>
      </c>
    </row>
    <row r="745" spans="7:58" x14ac:dyDescent="0.15">
      <c r="G745" s="64">
        <f t="shared" si="243"/>
        <v>0</v>
      </c>
      <c r="I745" s="64">
        <f t="shared" si="244"/>
        <v>0</v>
      </c>
      <c r="K745" s="64">
        <f t="shared" si="245"/>
        <v>0</v>
      </c>
      <c r="M745" s="64">
        <f t="shared" si="246"/>
        <v>0</v>
      </c>
      <c r="O745" s="64">
        <f t="shared" si="247"/>
        <v>0</v>
      </c>
      <c r="Q745" s="64">
        <f t="shared" si="248"/>
        <v>0</v>
      </c>
      <c r="S745" s="71">
        <f t="shared" si="249"/>
        <v>0</v>
      </c>
      <c r="U745" s="64">
        <f t="shared" si="250"/>
        <v>0</v>
      </c>
      <c r="W745" s="71">
        <f t="shared" si="251"/>
        <v>0</v>
      </c>
      <c r="Y745" s="71">
        <f t="shared" si="252"/>
        <v>0</v>
      </c>
      <c r="AA745" s="71">
        <f t="shared" si="253"/>
        <v>0</v>
      </c>
      <c r="AC745" s="71">
        <f t="shared" si="254"/>
        <v>0</v>
      </c>
      <c r="AK745" s="71">
        <f t="shared" si="255"/>
        <v>0</v>
      </c>
      <c r="AM745" s="71">
        <f t="shared" si="256"/>
        <v>0</v>
      </c>
      <c r="AO745" s="71">
        <f t="shared" si="257"/>
        <v>0</v>
      </c>
      <c r="AQ745" s="71">
        <f t="shared" si="258"/>
        <v>0</v>
      </c>
      <c r="AT745" s="71">
        <f t="shared" si="259"/>
        <v>0</v>
      </c>
      <c r="AV745" s="71">
        <f t="shared" si="260"/>
        <v>0</v>
      </c>
      <c r="AX745" s="71">
        <f t="shared" si="261"/>
        <v>0</v>
      </c>
      <c r="AZ745" s="71">
        <f t="shared" si="262"/>
        <v>0</v>
      </c>
      <c r="BE745" s="81">
        <f t="shared" si="263"/>
        <v>0</v>
      </c>
      <c r="BF745" s="81" t="str">
        <f t="shared" si="264"/>
        <v>BASSO</v>
      </c>
    </row>
    <row r="746" spans="7:58" x14ac:dyDescent="0.15">
      <c r="G746" s="64">
        <f t="shared" si="243"/>
        <v>0</v>
      </c>
      <c r="I746" s="64">
        <f t="shared" si="244"/>
        <v>0</v>
      </c>
      <c r="K746" s="64">
        <f t="shared" si="245"/>
        <v>0</v>
      </c>
      <c r="M746" s="64">
        <f t="shared" si="246"/>
        <v>0</v>
      </c>
      <c r="O746" s="64">
        <f t="shared" si="247"/>
        <v>0</v>
      </c>
      <c r="Q746" s="64">
        <f t="shared" si="248"/>
        <v>0</v>
      </c>
      <c r="S746" s="71">
        <f t="shared" si="249"/>
        <v>0</v>
      </c>
      <c r="U746" s="64">
        <f t="shared" si="250"/>
        <v>0</v>
      </c>
      <c r="W746" s="71">
        <f t="shared" si="251"/>
        <v>0</v>
      </c>
      <c r="Y746" s="71">
        <f t="shared" si="252"/>
        <v>0</v>
      </c>
      <c r="AA746" s="71">
        <f t="shared" si="253"/>
        <v>0</v>
      </c>
      <c r="AC746" s="71">
        <f t="shared" si="254"/>
        <v>0</v>
      </c>
      <c r="AK746" s="71">
        <f t="shared" si="255"/>
        <v>0</v>
      </c>
      <c r="AM746" s="71">
        <f t="shared" si="256"/>
        <v>0</v>
      </c>
      <c r="AO746" s="71">
        <f t="shared" si="257"/>
        <v>0</v>
      </c>
      <c r="AQ746" s="71">
        <f t="shared" si="258"/>
        <v>0</v>
      </c>
      <c r="AT746" s="71">
        <f t="shared" si="259"/>
        <v>0</v>
      </c>
      <c r="AV746" s="71">
        <f t="shared" si="260"/>
        <v>0</v>
      </c>
      <c r="AX746" s="71">
        <f t="shared" si="261"/>
        <v>0</v>
      </c>
      <c r="AZ746" s="71">
        <f t="shared" si="262"/>
        <v>0</v>
      </c>
      <c r="BE746" s="81">
        <f t="shared" si="263"/>
        <v>0</v>
      </c>
      <c r="BF746" s="81" t="str">
        <f t="shared" si="264"/>
        <v>BASSO</v>
      </c>
    </row>
    <row r="747" spans="7:58" x14ac:dyDescent="0.15">
      <c r="G747" s="64">
        <f t="shared" si="243"/>
        <v>0</v>
      </c>
      <c r="I747" s="64">
        <f t="shared" si="244"/>
        <v>0</v>
      </c>
      <c r="K747" s="64">
        <f t="shared" si="245"/>
        <v>0</v>
      </c>
      <c r="M747" s="64">
        <f t="shared" si="246"/>
        <v>0</v>
      </c>
      <c r="O747" s="64">
        <f t="shared" si="247"/>
        <v>0</v>
      </c>
      <c r="Q747" s="64">
        <f t="shared" si="248"/>
        <v>0</v>
      </c>
      <c r="S747" s="71">
        <f t="shared" si="249"/>
        <v>0</v>
      </c>
      <c r="U747" s="64">
        <f t="shared" si="250"/>
        <v>0</v>
      </c>
      <c r="W747" s="71">
        <f t="shared" si="251"/>
        <v>0</v>
      </c>
      <c r="Y747" s="71">
        <f t="shared" si="252"/>
        <v>0</v>
      </c>
      <c r="AA747" s="71">
        <f t="shared" si="253"/>
        <v>0</v>
      </c>
      <c r="AC747" s="71">
        <f t="shared" si="254"/>
        <v>0</v>
      </c>
      <c r="AK747" s="71">
        <f t="shared" si="255"/>
        <v>0</v>
      </c>
      <c r="AM747" s="71">
        <f t="shared" si="256"/>
        <v>0</v>
      </c>
      <c r="AO747" s="71">
        <f t="shared" si="257"/>
        <v>0</v>
      </c>
      <c r="AQ747" s="71">
        <f t="shared" si="258"/>
        <v>0</v>
      </c>
      <c r="AT747" s="71">
        <f t="shared" si="259"/>
        <v>0</v>
      </c>
      <c r="AV747" s="71">
        <f t="shared" si="260"/>
        <v>0</v>
      </c>
      <c r="AX747" s="71">
        <f t="shared" si="261"/>
        <v>0</v>
      </c>
      <c r="AZ747" s="71">
        <f t="shared" si="262"/>
        <v>0</v>
      </c>
      <c r="BE747" s="81">
        <f t="shared" si="263"/>
        <v>0</v>
      </c>
      <c r="BF747" s="81" t="str">
        <f t="shared" si="264"/>
        <v>BASSO</v>
      </c>
    </row>
    <row r="748" spans="7:58" x14ac:dyDescent="0.15">
      <c r="G748" s="64">
        <f t="shared" si="243"/>
        <v>0</v>
      </c>
      <c r="I748" s="64">
        <f t="shared" si="244"/>
        <v>0</v>
      </c>
      <c r="K748" s="64">
        <f t="shared" si="245"/>
        <v>0</v>
      </c>
      <c r="M748" s="64">
        <f t="shared" si="246"/>
        <v>0</v>
      </c>
      <c r="O748" s="64">
        <f t="shared" si="247"/>
        <v>0</v>
      </c>
      <c r="Q748" s="64">
        <f t="shared" si="248"/>
        <v>0</v>
      </c>
      <c r="S748" s="71">
        <f t="shared" si="249"/>
        <v>0</v>
      </c>
      <c r="U748" s="64">
        <f t="shared" si="250"/>
        <v>0</v>
      </c>
      <c r="W748" s="71">
        <f t="shared" si="251"/>
        <v>0</v>
      </c>
      <c r="Y748" s="71">
        <f t="shared" si="252"/>
        <v>0</v>
      </c>
      <c r="AA748" s="71">
        <f t="shared" si="253"/>
        <v>0</v>
      </c>
      <c r="AC748" s="71">
        <f t="shared" si="254"/>
        <v>0</v>
      </c>
      <c r="AK748" s="71">
        <f t="shared" si="255"/>
        <v>0</v>
      </c>
      <c r="AM748" s="71">
        <f t="shared" si="256"/>
        <v>0</v>
      </c>
      <c r="AO748" s="71">
        <f t="shared" si="257"/>
        <v>0</v>
      </c>
      <c r="AQ748" s="71">
        <f t="shared" si="258"/>
        <v>0</v>
      </c>
      <c r="AT748" s="71">
        <f t="shared" si="259"/>
        <v>0</v>
      </c>
      <c r="AV748" s="71">
        <f t="shared" si="260"/>
        <v>0</v>
      </c>
      <c r="AX748" s="71">
        <f t="shared" si="261"/>
        <v>0</v>
      </c>
      <c r="AZ748" s="71">
        <f t="shared" si="262"/>
        <v>0</v>
      </c>
      <c r="BE748" s="81">
        <f t="shared" si="263"/>
        <v>0</v>
      </c>
      <c r="BF748" s="81" t="str">
        <f t="shared" si="264"/>
        <v>BASSO</v>
      </c>
    </row>
    <row r="749" spans="7:58" x14ac:dyDescent="0.15">
      <c r="G749" s="64">
        <f t="shared" si="243"/>
        <v>0</v>
      </c>
      <c r="I749" s="64">
        <f t="shared" si="244"/>
        <v>0</v>
      </c>
      <c r="K749" s="64">
        <f t="shared" si="245"/>
        <v>0</v>
      </c>
      <c r="M749" s="64">
        <f t="shared" si="246"/>
        <v>0</v>
      </c>
      <c r="O749" s="64">
        <f t="shared" si="247"/>
        <v>0</v>
      </c>
      <c r="Q749" s="64">
        <f t="shared" si="248"/>
        <v>0</v>
      </c>
      <c r="S749" s="71">
        <f t="shared" si="249"/>
        <v>0</v>
      </c>
      <c r="U749" s="64">
        <f t="shared" si="250"/>
        <v>0</v>
      </c>
      <c r="W749" s="71">
        <f t="shared" si="251"/>
        <v>0</v>
      </c>
      <c r="Y749" s="71">
        <f t="shared" si="252"/>
        <v>0</v>
      </c>
      <c r="AA749" s="71">
        <f t="shared" si="253"/>
        <v>0</v>
      </c>
      <c r="AC749" s="71">
        <f t="shared" si="254"/>
        <v>0</v>
      </c>
      <c r="AK749" s="71">
        <f t="shared" si="255"/>
        <v>0</v>
      </c>
      <c r="AM749" s="71">
        <f t="shared" si="256"/>
        <v>0</v>
      </c>
      <c r="AO749" s="71">
        <f t="shared" si="257"/>
        <v>0</v>
      </c>
      <c r="AQ749" s="71">
        <f t="shared" si="258"/>
        <v>0</v>
      </c>
      <c r="AT749" s="71">
        <f t="shared" si="259"/>
        <v>0</v>
      </c>
      <c r="AV749" s="71">
        <f t="shared" si="260"/>
        <v>0</v>
      </c>
      <c r="AX749" s="71">
        <f t="shared" si="261"/>
        <v>0</v>
      </c>
      <c r="AZ749" s="71">
        <f t="shared" si="262"/>
        <v>0</v>
      </c>
      <c r="BE749" s="81">
        <f t="shared" si="263"/>
        <v>0</v>
      </c>
      <c r="BF749" s="81" t="str">
        <f t="shared" si="264"/>
        <v>BASSO</v>
      </c>
    </row>
    <row r="750" spans="7:58" x14ac:dyDescent="0.15">
      <c r="G750" s="64">
        <f t="shared" si="243"/>
        <v>0</v>
      </c>
      <c r="I750" s="64">
        <f t="shared" si="244"/>
        <v>0</v>
      </c>
      <c r="K750" s="64">
        <f t="shared" si="245"/>
        <v>0</v>
      </c>
      <c r="M750" s="64">
        <f t="shared" si="246"/>
        <v>0</v>
      </c>
      <c r="O750" s="64">
        <f t="shared" si="247"/>
        <v>0</v>
      </c>
      <c r="Q750" s="64">
        <f t="shared" si="248"/>
        <v>0</v>
      </c>
      <c r="S750" s="71">
        <f t="shared" si="249"/>
        <v>0</v>
      </c>
      <c r="U750" s="64">
        <f t="shared" si="250"/>
        <v>0</v>
      </c>
      <c r="W750" s="71">
        <f t="shared" si="251"/>
        <v>0</v>
      </c>
      <c r="Y750" s="71">
        <f t="shared" si="252"/>
        <v>0</v>
      </c>
      <c r="AA750" s="71">
        <f t="shared" si="253"/>
        <v>0</v>
      </c>
      <c r="AC750" s="71">
        <f t="shared" si="254"/>
        <v>0</v>
      </c>
      <c r="AK750" s="71">
        <f t="shared" si="255"/>
        <v>0</v>
      </c>
      <c r="AM750" s="71">
        <f t="shared" si="256"/>
        <v>0</v>
      </c>
      <c r="AO750" s="71">
        <f t="shared" si="257"/>
        <v>0</v>
      </c>
      <c r="AQ750" s="71">
        <f t="shared" si="258"/>
        <v>0</v>
      </c>
      <c r="AT750" s="71">
        <f t="shared" si="259"/>
        <v>0</v>
      </c>
      <c r="AV750" s="71">
        <f t="shared" si="260"/>
        <v>0</v>
      </c>
      <c r="AX750" s="71">
        <f t="shared" si="261"/>
        <v>0</v>
      </c>
      <c r="AZ750" s="71">
        <f t="shared" si="262"/>
        <v>0</v>
      </c>
      <c r="BE750" s="81">
        <f t="shared" si="263"/>
        <v>0</v>
      </c>
      <c r="BF750" s="81" t="str">
        <f t="shared" si="264"/>
        <v>BASSO</v>
      </c>
    </row>
    <row r="751" spans="7:58" x14ac:dyDescent="0.15">
      <c r="G751" s="64">
        <f t="shared" si="243"/>
        <v>0</v>
      </c>
      <c r="I751" s="64">
        <f t="shared" si="244"/>
        <v>0</v>
      </c>
      <c r="K751" s="64">
        <f t="shared" si="245"/>
        <v>0</v>
      </c>
      <c r="M751" s="64">
        <f t="shared" si="246"/>
        <v>0</v>
      </c>
      <c r="O751" s="64">
        <f t="shared" si="247"/>
        <v>0</v>
      </c>
      <c r="Q751" s="64">
        <f t="shared" si="248"/>
        <v>0</v>
      </c>
      <c r="S751" s="71">
        <f t="shared" si="249"/>
        <v>0</v>
      </c>
      <c r="U751" s="64">
        <f t="shared" si="250"/>
        <v>0</v>
      </c>
      <c r="W751" s="71">
        <f t="shared" si="251"/>
        <v>0</v>
      </c>
      <c r="Y751" s="71">
        <f t="shared" si="252"/>
        <v>0</v>
      </c>
      <c r="AA751" s="71">
        <f t="shared" si="253"/>
        <v>0</v>
      </c>
      <c r="AC751" s="71">
        <f t="shared" si="254"/>
        <v>0</v>
      </c>
      <c r="AK751" s="71">
        <f t="shared" si="255"/>
        <v>0</v>
      </c>
      <c r="AM751" s="71">
        <f t="shared" si="256"/>
        <v>0</v>
      </c>
      <c r="AO751" s="71">
        <f t="shared" si="257"/>
        <v>0</v>
      </c>
      <c r="AQ751" s="71">
        <f t="shared" si="258"/>
        <v>0</v>
      </c>
      <c r="AT751" s="71">
        <f t="shared" si="259"/>
        <v>0</v>
      </c>
      <c r="AV751" s="71">
        <f t="shared" si="260"/>
        <v>0</v>
      </c>
      <c r="AX751" s="71">
        <f t="shared" si="261"/>
        <v>0</v>
      </c>
      <c r="AZ751" s="71">
        <f t="shared" si="262"/>
        <v>0</v>
      </c>
      <c r="BE751" s="81">
        <f t="shared" si="263"/>
        <v>0</v>
      </c>
      <c r="BF751" s="81" t="str">
        <f t="shared" si="264"/>
        <v>BASSO</v>
      </c>
    </row>
    <row r="752" spans="7:58" x14ac:dyDescent="0.15">
      <c r="G752" s="64">
        <f t="shared" si="243"/>
        <v>0</v>
      </c>
      <c r="I752" s="64">
        <f t="shared" si="244"/>
        <v>0</v>
      </c>
      <c r="K752" s="64">
        <f t="shared" si="245"/>
        <v>0</v>
      </c>
      <c r="M752" s="64">
        <f t="shared" si="246"/>
        <v>0</v>
      </c>
      <c r="O752" s="64">
        <f t="shared" si="247"/>
        <v>0</v>
      </c>
      <c r="Q752" s="64">
        <f t="shared" si="248"/>
        <v>0</v>
      </c>
      <c r="S752" s="71">
        <f t="shared" si="249"/>
        <v>0</v>
      </c>
      <c r="U752" s="64">
        <f t="shared" si="250"/>
        <v>0</v>
      </c>
      <c r="W752" s="71">
        <f t="shared" si="251"/>
        <v>0</v>
      </c>
      <c r="Y752" s="71">
        <f t="shared" si="252"/>
        <v>0</v>
      </c>
      <c r="AA752" s="71">
        <f t="shared" si="253"/>
        <v>0</v>
      </c>
      <c r="AC752" s="71">
        <f t="shared" si="254"/>
        <v>0</v>
      </c>
      <c r="AK752" s="71">
        <f t="shared" si="255"/>
        <v>0</v>
      </c>
      <c r="AM752" s="71">
        <f t="shared" si="256"/>
        <v>0</v>
      </c>
      <c r="AO752" s="71">
        <f t="shared" si="257"/>
        <v>0</v>
      </c>
      <c r="AQ752" s="71">
        <f t="shared" si="258"/>
        <v>0</v>
      </c>
      <c r="AT752" s="71">
        <f t="shared" si="259"/>
        <v>0</v>
      </c>
      <c r="AV752" s="71">
        <f t="shared" si="260"/>
        <v>0</v>
      </c>
      <c r="AX752" s="71">
        <f t="shared" si="261"/>
        <v>0</v>
      </c>
      <c r="AZ752" s="71">
        <f t="shared" si="262"/>
        <v>0</v>
      </c>
      <c r="BE752" s="81">
        <f t="shared" si="263"/>
        <v>0</v>
      </c>
      <c r="BF752" s="81" t="str">
        <f t="shared" si="264"/>
        <v>BASSO</v>
      </c>
    </row>
    <row r="753" spans="7:58" x14ac:dyDescent="0.15">
      <c r="G753" s="64">
        <f t="shared" si="243"/>
        <v>0</v>
      </c>
      <c r="I753" s="64">
        <f t="shared" si="244"/>
        <v>0</v>
      </c>
      <c r="K753" s="64">
        <f t="shared" si="245"/>
        <v>0</v>
      </c>
      <c r="M753" s="64">
        <f t="shared" si="246"/>
        <v>0</v>
      </c>
      <c r="O753" s="64">
        <f t="shared" si="247"/>
        <v>0</v>
      </c>
      <c r="Q753" s="64">
        <f t="shared" si="248"/>
        <v>0</v>
      </c>
      <c r="S753" s="71">
        <f t="shared" si="249"/>
        <v>0</v>
      </c>
      <c r="U753" s="64">
        <f t="shared" si="250"/>
        <v>0</v>
      </c>
      <c r="W753" s="71">
        <f t="shared" si="251"/>
        <v>0</v>
      </c>
      <c r="Y753" s="71">
        <f t="shared" si="252"/>
        <v>0</v>
      </c>
      <c r="AA753" s="71">
        <f t="shared" si="253"/>
        <v>0</v>
      </c>
      <c r="AC753" s="71">
        <f t="shared" si="254"/>
        <v>0</v>
      </c>
      <c r="AK753" s="71">
        <f t="shared" si="255"/>
        <v>0</v>
      </c>
      <c r="AM753" s="71">
        <f t="shared" si="256"/>
        <v>0</v>
      </c>
      <c r="AO753" s="71">
        <f t="shared" si="257"/>
        <v>0</v>
      </c>
      <c r="AQ753" s="71">
        <f t="shared" si="258"/>
        <v>0</v>
      </c>
      <c r="AT753" s="71">
        <f t="shared" si="259"/>
        <v>0</v>
      </c>
      <c r="AV753" s="71">
        <f t="shared" si="260"/>
        <v>0</v>
      </c>
      <c r="AX753" s="71">
        <f t="shared" si="261"/>
        <v>0</v>
      </c>
      <c r="AZ753" s="71">
        <f t="shared" si="262"/>
        <v>0</v>
      </c>
      <c r="BE753" s="81">
        <f t="shared" si="263"/>
        <v>0</v>
      </c>
      <c r="BF753" s="81" t="str">
        <f t="shared" si="264"/>
        <v>BASSO</v>
      </c>
    </row>
    <row r="754" spans="7:58" x14ac:dyDescent="0.15">
      <c r="G754" s="64">
        <f t="shared" si="243"/>
        <v>0</v>
      </c>
      <c r="I754" s="64">
        <f t="shared" si="244"/>
        <v>0</v>
      </c>
      <c r="K754" s="64">
        <f t="shared" si="245"/>
        <v>0</v>
      </c>
      <c r="M754" s="64">
        <f t="shared" si="246"/>
        <v>0</v>
      </c>
      <c r="O754" s="64">
        <f t="shared" si="247"/>
        <v>0</v>
      </c>
      <c r="Q754" s="64">
        <f t="shared" si="248"/>
        <v>0</v>
      </c>
      <c r="S754" s="71">
        <f t="shared" si="249"/>
        <v>0</v>
      </c>
      <c r="U754" s="64">
        <f t="shared" si="250"/>
        <v>0</v>
      </c>
      <c r="W754" s="71">
        <f t="shared" si="251"/>
        <v>0</v>
      </c>
      <c r="Y754" s="71">
        <f t="shared" si="252"/>
        <v>0</v>
      </c>
      <c r="AA754" s="71">
        <f t="shared" si="253"/>
        <v>0</v>
      </c>
      <c r="AC754" s="71">
        <f t="shared" si="254"/>
        <v>0</v>
      </c>
      <c r="AK754" s="71">
        <f t="shared" si="255"/>
        <v>0</v>
      </c>
      <c r="AM754" s="71">
        <f t="shared" si="256"/>
        <v>0</v>
      </c>
      <c r="AO754" s="71">
        <f t="shared" si="257"/>
        <v>0</v>
      </c>
      <c r="AQ754" s="71">
        <f t="shared" si="258"/>
        <v>0</v>
      </c>
      <c r="AT754" s="71">
        <f t="shared" si="259"/>
        <v>0</v>
      </c>
      <c r="AV754" s="71">
        <f t="shared" si="260"/>
        <v>0</v>
      </c>
      <c r="AX754" s="71">
        <f t="shared" si="261"/>
        <v>0</v>
      </c>
      <c r="AZ754" s="71">
        <f t="shared" si="262"/>
        <v>0</v>
      </c>
      <c r="BE754" s="81">
        <f t="shared" si="263"/>
        <v>0</v>
      </c>
      <c r="BF754" s="81" t="str">
        <f t="shared" si="264"/>
        <v>BASSO</v>
      </c>
    </row>
    <row r="755" spans="7:58" x14ac:dyDescent="0.15">
      <c r="G755" s="64">
        <f t="shared" si="243"/>
        <v>0</v>
      </c>
      <c r="I755" s="64">
        <f t="shared" si="244"/>
        <v>0</v>
      </c>
      <c r="K755" s="64">
        <f t="shared" si="245"/>
        <v>0</v>
      </c>
      <c r="M755" s="64">
        <f t="shared" si="246"/>
        <v>0</v>
      </c>
      <c r="O755" s="64">
        <f t="shared" si="247"/>
        <v>0</v>
      </c>
      <c r="Q755" s="64">
        <f t="shared" si="248"/>
        <v>0</v>
      </c>
      <c r="S755" s="71">
        <f t="shared" si="249"/>
        <v>0</v>
      </c>
      <c r="U755" s="64">
        <f t="shared" si="250"/>
        <v>0</v>
      </c>
      <c r="W755" s="71">
        <f t="shared" si="251"/>
        <v>0</v>
      </c>
      <c r="Y755" s="71">
        <f t="shared" si="252"/>
        <v>0</v>
      </c>
      <c r="AA755" s="71">
        <f t="shared" si="253"/>
        <v>0</v>
      </c>
      <c r="AC755" s="71">
        <f t="shared" si="254"/>
        <v>0</v>
      </c>
      <c r="AK755" s="71">
        <f t="shared" si="255"/>
        <v>0</v>
      </c>
      <c r="AM755" s="71">
        <f t="shared" si="256"/>
        <v>0</v>
      </c>
      <c r="AO755" s="71">
        <f t="shared" si="257"/>
        <v>0</v>
      </c>
      <c r="AQ755" s="71">
        <f t="shared" si="258"/>
        <v>0</v>
      </c>
      <c r="AT755" s="71">
        <f t="shared" si="259"/>
        <v>0</v>
      </c>
      <c r="AV755" s="71">
        <f t="shared" si="260"/>
        <v>0</v>
      </c>
      <c r="AX755" s="71">
        <f t="shared" si="261"/>
        <v>0</v>
      </c>
      <c r="AZ755" s="71">
        <f t="shared" si="262"/>
        <v>0</v>
      </c>
      <c r="BE755" s="81">
        <f t="shared" si="263"/>
        <v>0</v>
      </c>
      <c r="BF755" s="81" t="str">
        <f t="shared" si="264"/>
        <v>BASSO</v>
      </c>
    </row>
    <row r="756" spans="7:58" x14ac:dyDescent="0.15">
      <c r="G756" s="64">
        <f t="shared" si="243"/>
        <v>0</v>
      </c>
      <c r="I756" s="64">
        <f t="shared" si="244"/>
        <v>0</v>
      </c>
      <c r="K756" s="64">
        <f t="shared" si="245"/>
        <v>0</v>
      </c>
      <c r="M756" s="64">
        <f t="shared" si="246"/>
        <v>0</v>
      </c>
      <c r="O756" s="64">
        <f t="shared" si="247"/>
        <v>0</v>
      </c>
      <c r="Q756" s="64">
        <f t="shared" si="248"/>
        <v>0</v>
      </c>
      <c r="S756" s="71">
        <f t="shared" si="249"/>
        <v>0</v>
      </c>
      <c r="U756" s="64">
        <f t="shared" si="250"/>
        <v>0</v>
      </c>
      <c r="W756" s="71">
        <f t="shared" si="251"/>
        <v>0</v>
      </c>
      <c r="Y756" s="71">
        <f t="shared" si="252"/>
        <v>0</v>
      </c>
      <c r="AA756" s="71">
        <f t="shared" si="253"/>
        <v>0</v>
      </c>
      <c r="AC756" s="71">
        <f t="shared" si="254"/>
        <v>0</v>
      </c>
      <c r="AK756" s="71">
        <f t="shared" si="255"/>
        <v>0</v>
      </c>
      <c r="AM756" s="71">
        <f t="shared" si="256"/>
        <v>0</v>
      </c>
      <c r="AO756" s="71">
        <f t="shared" si="257"/>
        <v>0</v>
      </c>
      <c r="AQ756" s="71">
        <f t="shared" si="258"/>
        <v>0</v>
      </c>
      <c r="AT756" s="71">
        <f t="shared" si="259"/>
        <v>0</v>
      </c>
      <c r="AV756" s="71">
        <f t="shared" si="260"/>
        <v>0</v>
      </c>
      <c r="AX756" s="71">
        <f t="shared" si="261"/>
        <v>0</v>
      </c>
      <c r="AZ756" s="71">
        <f t="shared" si="262"/>
        <v>0</v>
      </c>
      <c r="BE756" s="81">
        <f t="shared" si="263"/>
        <v>0</v>
      </c>
      <c r="BF756" s="81" t="str">
        <f t="shared" si="264"/>
        <v>BASSO</v>
      </c>
    </row>
    <row r="757" spans="7:58" x14ac:dyDescent="0.15">
      <c r="G757" s="64">
        <f t="shared" si="243"/>
        <v>0</v>
      </c>
      <c r="I757" s="64">
        <f t="shared" si="244"/>
        <v>0</v>
      </c>
      <c r="K757" s="64">
        <f t="shared" si="245"/>
        <v>0</v>
      </c>
      <c r="M757" s="64">
        <f t="shared" si="246"/>
        <v>0</v>
      </c>
      <c r="O757" s="64">
        <f t="shared" si="247"/>
        <v>0</v>
      </c>
      <c r="Q757" s="64">
        <f t="shared" si="248"/>
        <v>0</v>
      </c>
      <c r="S757" s="71">
        <f t="shared" si="249"/>
        <v>0</v>
      </c>
      <c r="U757" s="64">
        <f t="shared" si="250"/>
        <v>0</v>
      </c>
      <c r="W757" s="71">
        <f t="shared" si="251"/>
        <v>0</v>
      </c>
      <c r="Y757" s="71">
        <f t="shared" si="252"/>
        <v>0</v>
      </c>
      <c r="AA757" s="71">
        <f t="shared" si="253"/>
        <v>0</v>
      </c>
      <c r="AC757" s="71">
        <f t="shared" si="254"/>
        <v>0</v>
      </c>
      <c r="AK757" s="71">
        <f t="shared" si="255"/>
        <v>0</v>
      </c>
      <c r="AM757" s="71">
        <f t="shared" si="256"/>
        <v>0</v>
      </c>
      <c r="AO757" s="71">
        <f t="shared" si="257"/>
        <v>0</v>
      </c>
      <c r="AQ757" s="71">
        <f t="shared" si="258"/>
        <v>0</v>
      </c>
      <c r="AT757" s="71">
        <f t="shared" si="259"/>
        <v>0</v>
      </c>
      <c r="AV757" s="71">
        <f t="shared" si="260"/>
        <v>0</v>
      </c>
      <c r="AX757" s="71">
        <f t="shared" si="261"/>
        <v>0</v>
      </c>
      <c r="AZ757" s="71">
        <f t="shared" si="262"/>
        <v>0</v>
      </c>
      <c r="BE757" s="81">
        <f t="shared" si="263"/>
        <v>0</v>
      </c>
      <c r="BF757" s="81" t="str">
        <f t="shared" si="264"/>
        <v>BASSO</v>
      </c>
    </row>
    <row r="758" spans="7:58" x14ac:dyDescent="0.15">
      <c r="G758" s="64">
        <f t="shared" si="243"/>
        <v>0</v>
      </c>
      <c r="I758" s="64">
        <f t="shared" si="244"/>
        <v>0</v>
      </c>
      <c r="K758" s="64">
        <f t="shared" si="245"/>
        <v>0</v>
      </c>
      <c r="M758" s="64">
        <f t="shared" si="246"/>
        <v>0</v>
      </c>
      <c r="O758" s="64">
        <f t="shared" si="247"/>
        <v>0</v>
      </c>
      <c r="Q758" s="64">
        <f t="shared" si="248"/>
        <v>0</v>
      </c>
      <c r="S758" s="71">
        <f t="shared" si="249"/>
        <v>0</v>
      </c>
      <c r="U758" s="64">
        <f t="shared" si="250"/>
        <v>0</v>
      </c>
      <c r="W758" s="71">
        <f t="shared" si="251"/>
        <v>0</v>
      </c>
      <c r="Y758" s="71">
        <f t="shared" si="252"/>
        <v>0</v>
      </c>
      <c r="AA758" s="71">
        <f t="shared" si="253"/>
        <v>0</v>
      </c>
      <c r="AC758" s="71">
        <f t="shared" si="254"/>
        <v>0</v>
      </c>
      <c r="AK758" s="71">
        <f t="shared" si="255"/>
        <v>0</v>
      </c>
      <c r="AM758" s="71">
        <f t="shared" si="256"/>
        <v>0</v>
      </c>
      <c r="AO758" s="71">
        <f t="shared" si="257"/>
        <v>0</v>
      </c>
      <c r="AQ758" s="71">
        <f t="shared" si="258"/>
        <v>0</v>
      </c>
      <c r="AT758" s="71">
        <f t="shared" si="259"/>
        <v>0</v>
      </c>
      <c r="AV758" s="71">
        <f t="shared" si="260"/>
        <v>0</v>
      </c>
      <c r="AX758" s="71">
        <f t="shared" si="261"/>
        <v>0</v>
      </c>
      <c r="AZ758" s="71">
        <f t="shared" si="262"/>
        <v>0</v>
      </c>
      <c r="BE758" s="81">
        <f t="shared" si="263"/>
        <v>0</v>
      </c>
      <c r="BF758" s="81" t="str">
        <f t="shared" si="264"/>
        <v>BASSO</v>
      </c>
    </row>
    <row r="759" spans="7:58" x14ac:dyDescent="0.15">
      <c r="G759" s="64">
        <f t="shared" si="243"/>
        <v>0</v>
      </c>
      <c r="I759" s="64">
        <f t="shared" si="244"/>
        <v>0</v>
      </c>
      <c r="K759" s="64">
        <f t="shared" si="245"/>
        <v>0</v>
      </c>
      <c r="M759" s="64">
        <f t="shared" si="246"/>
        <v>0</v>
      </c>
      <c r="O759" s="64">
        <f t="shared" si="247"/>
        <v>0</v>
      </c>
      <c r="Q759" s="64">
        <f t="shared" si="248"/>
        <v>0</v>
      </c>
      <c r="S759" s="71">
        <f t="shared" si="249"/>
        <v>0</v>
      </c>
      <c r="U759" s="64">
        <f t="shared" si="250"/>
        <v>0</v>
      </c>
      <c r="W759" s="71">
        <f t="shared" si="251"/>
        <v>0</v>
      </c>
      <c r="Y759" s="71">
        <f t="shared" si="252"/>
        <v>0</v>
      </c>
      <c r="AA759" s="71">
        <f t="shared" si="253"/>
        <v>0</v>
      </c>
      <c r="AC759" s="71">
        <f t="shared" si="254"/>
        <v>0</v>
      </c>
      <c r="AK759" s="71">
        <f t="shared" si="255"/>
        <v>0</v>
      </c>
      <c r="AM759" s="71">
        <f t="shared" si="256"/>
        <v>0</v>
      </c>
      <c r="AO759" s="71">
        <f t="shared" si="257"/>
        <v>0</v>
      </c>
      <c r="AQ759" s="71">
        <f t="shared" si="258"/>
        <v>0</v>
      </c>
      <c r="AT759" s="71">
        <f t="shared" si="259"/>
        <v>0</v>
      </c>
      <c r="AV759" s="71">
        <f t="shared" si="260"/>
        <v>0</v>
      </c>
      <c r="AX759" s="71">
        <f t="shared" si="261"/>
        <v>0</v>
      </c>
      <c r="AZ759" s="71">
        <f t="shared" si="262"/>
        <v>0</v>
      </c>
      <c r="BE759" s="81">
        <f t="shared" si="263"/>
        <v>0</v>
      </c>
      <c r="BF759" s="81" t="str">
        <f t="shared" si="264"/>
        <v>BASSO</v>
      </c>
    </row>
    <row r="760" spans="7:58" x14ac:dyDescent="0.15">
      <c r="G760" s="64">
        <f t="shared" si="243"/>
        <v>0</v>
      </c>
      <c r="I760" s="64">
        <f t="shared" si="244"/>
        <v>0</v>
      </c>
      <c r="K760" s="64">
        <f t="shared" si="245"/>
        <v>0</v>
      </c>
      <c r="M760" s="64">
        <f t="shared" si="246"/>
        <v>0</v>
      </c>
      <c r="O760" s="64">
        <f t="shared" si="247"/>
        <v>0</v>
      </c>
      <c r="Q760" s="64">
        <f t="shared" si="248"/>
        <v>0</v>
      </c>
      <c r="S760" s="71">
        <f t="shared" si="249"/>
        <v>0</v>
      </c>
      <c r="U760" s="64">
        <f t="shared" si="250"/>
        <v>0</v>
      </c>
      <c r="W760" s="71">
        <f t="shared" si="251"/>
        <v>0</v>
      </c>
      <c r="Y760" s="71">
        <f t="shared" si="252"/>
        <v>0</v>
      </c>
      <c r="AA760" s="71">
        <f t="shared" si="253"/>
        <v>0</v>
      </c>
      <c r="AC760" s="71">
        <f t="shared" si="254"/>
        <v>0</v>
      </c>
      <c r="AK760" s="71">
        <f t="shared" si="255"/>
        <v>0</v>
      </c>
      <c r="AM760" s="71">
        <f t="shared" si="256"/>
        <v>0</v>
      </c>
      <c r="AO760" s="71">
        <f t="shared" si="257"/>
        <v>0</v>
      </c>
      <c r="AQ760" s="71">
        <f t="shared" si="258"/>
        <v>0</v>
      </c>
      <c r="AT760" s="71">
        <f t="shared" si="259"/>
        <v>0</v>
      </c>
      <c r="AV760" s="71">
        <f t="shared" si="260"/>
        <v>0</v>
      </c>
      <c r="AX760" s="71">
        <f t="shared" si="261"/>
        <v>0</v>
      </c>
      <c r="AZ760" s="71">
        <f t="shared" si="262"/>
        <v>0</v>
      </c>
      <c r="BE760" s="81">
        <f t="shared" si="263"/>
        <v>0</v>
      </c>
      <c r="BF760" s="81" t="str">
        <f t="shared" si="264"/>
        <v>BASSO</v>
      </c>
    </row>
    <row r="761" spans="7:58" x14ac:dyDescent="0.15">
      <c r="G761" s="64">
        <f t="shared" si="243"/>
        <v>0</v>
      </c>
      <c r="I761" s="64">
        <f t="shared" si="244"/>
        <v>0</v>
      </c>
      <c r="K761" s="64">
        <f t="shared" si="245"/>
        <v>0</v>
      </c>
      <c r="M761" s="64">
        <f t="shared" si="246"/>
        <v>0</v>
      </c>
      <c r="O761" s="64">
        <f t="shared" si="247"/>
        <v>0</v>
      </c>
      <c r="Q761" s="64">
        <f t="shared" si="248"/>
        <v>0</v>
      </c>
      <c r="S761" s="71">
        <f t="shared" si="249"/>
        <v>0</v>
      </c>
      <c r="U761" s="64">
        <f t="shared" si="250"/>
        <v>0</v>
      </c>
      <c r="W761" s="71">
        <f t="shared" si="251"/>
        <v>0</v>
      </c>
      <c r="Y761" s="71">
        <f t="shared" si="252"/>
        <v>0</v>
      </c>
      <c r="AA761" s="71">
        <f t="shared" si="253"/>
        <v>0</v>
      </c>
      <c r="AC761" s="71">
        <f t="shared" si="254"/>
        <v>0</v>
      </c>
      <c r="AK761" s="71">
        <f t="shared" si="255"/>
        <v>0</v>
      </c>
      <c r="AM761" s="71">
        <f t="shared" si="256"/>
        <v>0</v>
      </c>
      <c r="AO761" s="71">
        <f t="shared" si="257"/>
        <v>0</v>
      </c>
      <c r="AQ761" s="71">
        <f t="shared" si="258"/>
        <v>0</v>
      </c>
      <c r="AT761" s="71">
        <f t="shared" si="259"/>
        <v>0</v>
      </c>
      <c r="AV761" s="71">
        <f t="shared" si="260"/>
        <v>0</v>
      </c>
      <c r="AX761" s="71">
        <f t="shared" si="261"/>
        <v>0</v>
      </c>
      <c r="AZ761" s="71">
        <f t="shared" si="262"/>
        <v>0</v>
      </c>
      <c r="BE761" s="81">
        <f t="shared" si="263"/>
        <v>0</v>
      </c>
      <c r="BF761" s="81" t="str">
        <f t="shared" si="264"/>
        <v>BASSO</v>
      </c>
    </row>
    <row r="762" spans="7:58" x14ac:dyDescent="0.15">
      <c r="G762" s="64">
        <f t="shared" si="243"/>
        <v>0</v>
      </c>
      <c r="I762" s="64">
        <f t="shared" si="244"/>
        <v>0</v>
      </c>
      <c r="K762" s="64">
        <f t="shared" si="245"/>
        <v>0</v>
      </c>
      <c r="M762" s="64">
        <f t="shared" si="246"/>
        <v>0</v>
      </c>
      <c r="O762" s="64">
        <f t="shared" si="247"/>
        <v>0</v>
      </c>
      <c r="Q762" s="64">
        <f t="shared" si="248"/>
        <v>0</v>
      </c>
      <c r="S762" s="71">
        <f t="shared" si="249"/>
        <v>0</v>
      </c>
      <c r="U762" s="64">
        <f t="shared" si="250"/>
        <v>0</v>
      </c>
      <c r="W762" s="71">
        <f t="shared" si="251"/>
        <v>0</v>
      </c>
      <c r="Y762" s="71">
        <f t="shared" si="252"/>
        <v>0</v>
      </c>
      <c r="AA762" s="71">
        <f t="shared" si="253"/>
        <v>0</v>
      </c>
      <c r="AC762" s="71">
        <f t="shared" si="254"/>
        <v>0</v>
      </c>
      <c r="AK762" s="71">
        <f t="shared" si="255"/>
        <v>0</v>
      </c>
      <c r="AM762" s="71">
        <f t="shared" si="256"/>
        <v>0</v>
      </c>
      <c r="AO762" s="71">
        <f t="shared" si="257"/>
        <v>0</v>
      </c>
      <c r="AQ762" s="71">
        <f t="shared" si="258"/>
        <v>0</v>
      </c>
      <c r="AT762" s="71">
        <f t="shared" si="259"/>
        <v>0</v>
      </c>
      <c r="AV762" s="71">
        <f t="shared" si="260"/>
        <v>0</v>
      </c>
      <c r="AX762" s="71">
        <f t="shared" si="261"/>
        <v>0</v>
      </c>
      <c r="AZ762" s="71">
        <f t="shared" si="262"/>
        <v>0</v>
      </c>
      <c r="BE762" s="81">
        <f t="shared" si="263"/>
        <v>0</v>
      </c>
      <c r="BF762" s="81" t="str">
        <f t="shared" si="264"/>
        <v>BASSO</v>
      </c>
    </row>
    <row r="763" spans="7:58" x14ac:dyDescent="0.15">
      <c r="G763" s="64">
        <f t="shared" si="243"/>
        <v>0</v>
      </c>
      <c r="I763" s="64">
        <f t="shared" si="244"/>
        <v>0</v>
      </c>
      <c r="K763" s="64">
        <f t="shared" si="245"/>
        <v>0</v>
      </c>
      <c r="M763" s="64">
        <f t="shared" si="246"/>
        <v>0</v>
      </c>
      <c r="O763" s="64">
        <f t="shared" si="247"/>
        <v>0</v>
      </c>
      <c r="Q763" s="64">
        <f t="shared" si="248"/>
        <v>0</v>
      </c>
      <c r="S763" s="71">
        <f t="shared" si="249"/>
        <v>0</v>
      </c>
      <c r="U763" s="64">
        <f t="shared" si="250"/>
        <v>0</v>
      </c>
      <c r="W763" s="71">
        <f t="shared" si="251"/>
        <v>0</v>
      </c>
      <c r="Y763" s="71">
        <f t="shared" si="252"/>
        <v>0</v>
      </c>
      <c r="AA763" s="71">
        <f t="shared" si="253"/>
        <v>0</v>
      </c>
      <c r="AC763" s="71">
        <f t="shared" si="254"/>
        <v>0</v>
      </c>
      <c r="AK763" s="71">
        <f t="shared" si="255"/>
        <v>0</v>
      </c>
      <c r="AM763" s="71">
        <f t="shared" si="256"/>
        <v>0</v>
      </c>
      <c r="AO763" s="71">
        <f t="shared" si="257"/>
        <v>0</v>
      </c>
      <c r="AQ763" s="71">
        <f t="shared" si="258"/>
        <v>0</v>
      </c>
      <c r="AT763" s="71">
        <f t="shared" si="259"/>
        <v>0</v>
      </c>
      <c r="AV763" s="71">
        <f t="shared" si="260"/>
        <v>0</v>
      </c>
      <c r="AX763" s="71">
        <f t="shared" si="261"/>
        <v>0</v>
      </c>
      <c r="AZ763" s="71">
        <f t="shared" si="262"/>
        <v>0</v>
      </c>
      <c r="BE763" s="81">
        <f t="shared" si="263"/>
        <v>0</v>
      </c>
      <c r="BF763" s="81" t="str">
        <f t="shared" si="264"/>
        <v>BASSO</v>
      </c>
    </row>
    <row r="764" spans="7:58" x14ac:dyDescent="0.15">
      <c r="G764" s="64">
        <f t="shared" si="243"/>
        <v>0</v>
      </c>
      <c r="I764" s="64">
        <f t="shared" si="244"/>
        <v>0</v>
      </c>
      <c r="K764" s="64">
        <f t="shared" si="245"/>
        <v>0</v>
      </c>
      <c r="M764" s="64">
        <f t="shared" si="246"/>
        <v>0</v>
      </c>
      <c r="O764" s="64">
        <f t="shared" si="247"/>
        <v>0</v>
      </c>
      <c r="Q764" s="64">
        <f t="shared" si="248"/>
        <v>0</v>
      </c>
      <c r="S764" s="71">
        <f t="shared" si="249"/>
        <v>0</v>
      </c>
      <c r="U764" s="64">
        <f t="shared" si="250"/>
        <v>0</v>
      </c>
      <c r="W764" s="71">
        <f t="shared" si="251"/>
        <v>0</v>
      </c>
      <c r="Y764" s="71">
        <f t="shared" si="252"/>
        <v>0</v>
      </c>
      <c r="AA764" s="71">
        <f t="shared" si="253"/>
        <v>0</v>
      </c>
      <c r="AC764" s="71">
        <f t="shared" si="254"/>
        <v>0</v>
      </c>
      <c r="AK764" s="71">
        <f t="shared" si="255"/>
        <v>0</v>
      </c>
      <c r="AM764" s="71">
        <f t="shared" si="256"/>
        <v>0</v>
      </c>
      <c r="AO764" s="71">
        <f t="shared" si="257"/>
        <v>0</v>
      </c>
      <c r="AQ764" s="71">
        <f t="shared" si="258"/>
        <v>0</v>
      </c>
      <c r="AT764" s="71">
        <f t="shared" si="259"/>
        <v>0</v>
      </c>
      <c r="AV764" s="71">
        <f t="shared" si="260"/>
        <v>0</v>
      </c>
      <c r="AX764" s="71">
        <f t="shared" si="261"/>
        <v>0</v>
      </c>
      <c r="AZ764" s="71">
        <f t="shared" si="262"/>
        <v>0</v>
      </c>
      <c r="BE764" s="81">
        <f t="shared" si="263"/>
        <v>0</v>
      </c>
      <c r="BF764" s="81" t="str">
        <f t="shared" si="264"/>
        <v>BASSO</v>
      </c>
    </row>
    <row r="765" spans="7:58" x14ac:dyDescent="0.15">
      <c r="G765" s="64">
        <f t="shared" si="243"/>
        <v>0</v>
      </c>
      <c r="I765" s="64">
        <f t="shared" si="244"/>
        <v>0</v>
      </c>
      <c r="K765" s="64">
        <f t="shared" si="245"/>
        <v>0</v>
      </c>
      <c r="M765" s="64">
        <f t="shared" si="246"/>
        <v>0</v>
      </c>
      <c r="O765" s="64">
        <f t="shared" si="247"/>
        <v>0</v>
      </c>
      <c r="Q765" s="64">
        <f t="shared" si="248"/>
        <v>0</v>
      </c>
      <c r="S765" s="71">
        <f t="shared" si="249"/>
        <v>0</v>
      </c>
      <c r="U765" s="64">
        <f t="shared" si="250"/>
        <v>0</v>
      </c>
      <c r="W765" s="71">
        <f t="shared" si="251"/>
        <v>0</v>
      </c>
      <c r="Y765" s="71">
        <f t="shared" si="252"/>
        <v>0</v>
      </c>
      <c r="AA765" s="71">
        <f t="shared" si="253"/>
        <v>0</v>
      </c>
      <c r="AC765" s="71">
        <f t="shared" si="254"/>
        <v>0</v>
      </c>
      <c r="AK765" s="71">
        <f t="shared" si="255"/>
        <v>0</v>
      </c>
      <c r="AM765" s="71">
        <f t="shared" si="256"/>
        <v>0</v>
      </c>
      <c r="AO765" s="71">
        <f t="shared" si="257"/>
        <v>0</v>
      </c>
      <c r="AQ765" s="71">
        <f t="shared" si="258"/>
        <v>0</v>
      </c>
      <c r="AT765" s="71">
        <f t="shared" si="259"/>
        <v>0</v>
      </c>
      <c r="AV765" s="71">
        <f t="shared" si="260"/>
        <v>0</v>
      </c>
      <c r="AX765" s="71">
        <f t="shared" si="261"/>
        <v>0</v>
      </c>
      <c r="AZ765" s="71">
        <f t="shared" si="262"/>
        <v>0</v>
      </c>
      <c r="BE765" s="81">
        <f t="shared" si="263"/>
        <v>0</v>
      </c>
      <c r="BF765" s="81" t="str">
        <f t="shared" si="264"/>
        <v>BASSO</v>
      </c>
    </row>
    <row r="766" spans="7:58" x14ac:dyDescent="0.15">
      <c r="G766" s="64">
        <f t="shared" si="243"/>
        <v>0</v>
      </c>
      <c r="I766" s="64">
        <f t="shared" si="244"/>
        <v>0</v>
      </c>
      <c r="K766" s="64">
        <f t="shared" si="245"/>
        <v>0</v>
      </c>
      <c r="M766" s="64">
        <f t="shared" si="246"/>
        <v>0</v>
      </c>
      <c r="O766" s="64">
        <f t="shared" si="247"/>
        <v>0</v>
      </c>
      <c r="Q766" s="64">
        <f t="shared" si="248"/>
        <v>0</v>
      </c>
      <c r="S766" s="71">
        <f t="shared" si="249"/>
        <v>0</v>
      </c>
      <c r="U766" s="64">
        <f t="shared" si="250"/>
        <v>0</v>
      </c>
      <c r="W766" s="71">
        <f t="shared" si="251"/>
        <v>0</v>
      </c>
      <c r="Y766" s="71">
        <f t="shared" si="252"/>
        <v>0</v>
      </c>
      <c r="AA766" s="71">
        <f t="shared" si="253"/>
        <v>0</v>
      </c>
      <c r="AC766" s="71">
        <f t="shared" si="254"/>
        <v>0</v>
      </c>
      <c r="AK766" s="71">
        <f t="shared" si="255"/>
        <v>0</v>
      </c>
      <c r="AM766" s="71">
        <f t="shared" si="256"/>
        <v>0</v>
      </c>
      <c r="AO766" s="71">
        <f t="shared" si="257"/>
        <v>0</v>
      </c>
      <c r="AQ766" s="71">
        <f t="shared" si="258"/>
        <v>0</v>
      </c>
      <c r="AT766" s="71">
        <f t="shared" si="259"/>
        <v>0</v>
      </c>
      <c r="AV766" s="71">
        <f t="shared" si="260"/>
        <v>0</v>
      </c>
      <c r="AX766" s="71">
        <f t="shared" si="261"/>
        <v>0</v>
      </c>
      <c r="AZ766" s="71">
        <f t="shared" si="262"/>
        <v>0</v>
      </c>
      <c r="BE766" s="81">
        <f t="shared" si="263"/>
        <v>0</v>
      </c>
      <c r="BF766" s="81" t="str">
        <f t="shared" si="264"/>
        <v>BASSO</v>
      </c>
    </row>
    <row r="767" spans="7:58" x14ac:dyDescent="0.15">
      <c r="G767" s="64">
        <f t="shared" si="243"/>
        <v>0</v>
      </c>
      <c r="I767" s="64">
        <f t="shared" si="244"/>
        <v>0</v>
      </c>
      <c r="K767" s="64">
        <f t="shared" si="245"/>
        <v>0</v>
      </c>
      <c r="M767" s="64">
        <f t="shared" si="246"/>
        <v>0</v>
      </c>
      <c r="O767" s="64">
        <f t="shared" si="247"/>
        <v>0</v>
      </c>
      <c r="Q767" s="64">
        <f t="shared" si="248"/>
        <v>0</v>
      </c>
      <c r="S767" s="71">
        <f t="shared" si="249"/>
        <v>0</v>
      </c>
      <c r="U767" s="64">
        <f t="shared" si="250"/>
        <v>0</v>
      </c>
      <c r="W767" s="71">
        <f t="shared" si="251"/>
        <v>0</v>
      </c>
      <c r="Y767" s="71">
        <f t="shared" si="252"/>
        <v>0</v>
      </c>
      <c r="AA767" s="71">
        <f t="shared" si="253"/>
        <v>0</v>
      </c>
      <c r="AC767" s="71">
        <f t="shared" si="254"/>
        <v>0</v>
      </c>
      <c r="AK767" s="71">
        <f t="shared" si="255"/>
        <v>0</v>
      </c>
      <c r="AM767" s="71">
        <f t="shared" si="256"/>
        <v>0</v>
      </c>
      <c r="AO767" s="71">
        <f t="shared" si="257"/>
        <v>0</v>
      </c>
      <c r="AQ767" s="71">
        <f t="shared" si="258"/>
        <v>0</v>
      </c>
      <c r="AT767" s="71">
        <f t="shared" si="259"/>
        <v>0</v>
      </c>
      <c r="AV767" s="71">
        <f t="shared" si="260"/>
        <v>0</v>
      </c>
      <c r="AX767" s="71">
        <f t="shared" si="261"/>
        <v>0</v>
      </c>
      <c r="AZ767" s="71">
        <f t="shared" si="262"/>
        <v>0</v>
      </c>
      <c r="BE767" s="81">
        <f t="shared" si="263"/>
        <v>0</v>
      </c>
      <c r="BF767" s="81" t="str">
        <f t="shared" si="264"/>
        <v>BASSO</v>
      </c>
    </row>
    <row r="768" spans="7:58" x14ac:dyDescent="0.15">
      <c r="G768" s="64">
        <f t="shared" si="243"/>
        <v>0</v>
      </c>
      <c r="I768" s="64">
        <f t="shared" si="244"/>
        <v>0</v>
      </c>
      <c r="K768" s="64">
        <f t="shared" si="245"/>
        <v>0</v>
      </c>
      <c r="M768" s="64">
        <f t="shared" si="246"/>
        <v>0</v>
      </c>
      <c r="O768" s="64">
        <f t="shared" si="247"/>
        <v>0</v>
      </c>
      <c r="Q768" s="64">
        <f t="shared" si="248"/>
        <v>0</v>
      </c>
      <c r="S768" s="71">
        <f t="shared" si="249"/>
        <v>0</v>
      </c>
      <c r="U768" s="64">
        <f t="shared" si="250"/>
        <v>0</v>
      </c>
      <c r="W768" s="71">
        <f t="shared" si="251"/>
        <v>0</v>
      </c>
      <c r="Y768" s="71">
        <f t="shared" si="252"/>
        <v>0</v>
      </c>
      <c r="AA768" s="71">
        <f t="shared" si="253"/>
        <v>0</v>
      </c>
      <c r="AC768" s="71">
        <f t="shared" si="254"/>
        <v>0</v>
      </c>
      <c r="AK768" s="71">
        <f t="shared" si="255"/>
        <v>0</v>
      </c>
      <c r="AM768" s="71">
        <f t="shared" si="256"/>
        <v>0</v>
      </c>
      <c r="AO768" s="71">
        <f t="shared" si="257"/>
        <v>0</v>
      </c>
      <c r="AQ768" s="71">
        <f t="shared" si="258"/>
        <v>0</v>
      </c>
      <c r="AT768" s="71">
        <f t="shared" si="259"/>
        <v>0</v>
      </c>
      <c r="AV768" s="71">
        <f t="shared" si="260"/>
        <v>0</v>
      </c>
      <c r="AX768" s="71">
        <f t="shared" si="261"/>
        <v>0</v>
      </c>
      <c r="AZ768" s="71">
        <f t="shared" si="262"/>
        <v>0</v>
      </c>
      <c r="BE768" s="81">
        <f t="shared" si="263"/>
        <v>0</v>
      </c>
      <c r="BF768" s="81" t="str">
        <f t="shared" si="264"/>
        <v>BASSO</v>
      </c>
    </row>
    <row r="769" spans="7:58" x14ac:dyDescent="0.15">
      <c r="G769" s="64">
        <f t="shared" si="243"/>
        <v>0</v>
      </c>
      <c r="I769" s="64">
        <f t="shared" si="244"/>
        <v>0</v>
      </c>
      <c r="K769" s="64">
        <f t="shared" si="245"/>
        <v>0</v>
      </c>
      <c r="M769" s="64">
        <f t="shared" si="246"/>
        <v>0</v>
      </c>
      <c r="O769" s="64">
        <f t="shared" si="247"/>
        <v>0</v>
      </c>
      <c r="Q769" s="64">
        <f t="shared" si="248"/>
        <v>0</v>
      </c>
      <c r="S769" s="71">
        <f t="shared" si="249"/>
        <v>0</v>
      </c>
      <c r="U769" s="64">
        <f t="shared" si="250"/>
        <v>0</v>
      </c>
      <c r="W769" s="71">
        <f t="shared" si="251"/>
        <v>0</v>
      </c>
      <c r="Y769" s="71">
        <f t="shared" si="252"/>
        <v>0</v>
      </c>
      <c r="AA769" s="71">
        <f t="shared" si="253"/>
        <v>0</v>
      </c>
      <c r="AC769" s="71">
        <f t="shared" si="254"/>
        <v>0</v>
      </c>
      <c r="AK769" s="71">
        <f t="shared" si="255"/>
        <v>0</v>
      </c>
      <c r="AM769" s="71">
        <f t="shared" si="256"/>
        <v>0</v>
      </c>
      <c r="AO769" s="71">
        <f t="shared" si="257"/>
        <v>0</v>
      </c>
      <c r="AQ769" s="71">
        <f t="shared" si="258"/>
        <v>0</v>
      </c>
      <c r="AT769" s="71">
        <f t="shared" si="259"/>
        <v>0</v>
      </c>
      <c r="AV769" s="71">
        <f t="shared" si="260"/>
        <v>0</v>
      </c>
      <c r="AX769" s="71">
        <f t="shared" si="261"/>
        <v>0</v>
      </c>
      <c r="AZ769" s="71">
        <f t="shared" si="262"/>
        <v>0</v>
      </c>
      <c r="BE769" s="81">
        <f t="shared" si="263"/>
        <v>0</v>
      </c>
      <c r="BF769" s="81" t="str">
        <f t="shared" si="264"/>
        <v>BASSO</v>
      </c>
    </row>
    <row r="770" spans="7:58" x14ac:dyDescent="0.15">
      <c r="G770" s="64">
        <f t="shared" ref="G770:G833" si="265">F771/2</f>
        <v>0</v>
      </c>
      <c r="I770" s="64">
        <f t="shared" si="244"/>
        <v>0</v>
      </c>
      <c r="K770" s="64">
        <f t="shared" si="245"/>
        <v>0</v>
      </c>
      <c r="M770" s="64">
        <f t="shared" si="246"/>
        <v>0</v>
      </c>
      <c r="O770" s="64">
        <f t="shared" si="247"/>
        <v>0</v>
      </c>
      <c r="Q770" s="64">
        <f t="shared" si="248"/>
        <v>0</v>
      </c>
      <c r="S770" s="71">
        <f t="shared" si="249"/>
        <v>0</v>
      </c>
      <c r="U770" s="64">
        <f t="shared" si="250"/>
        <v>0</v>
      </c>
      <c r="W770" s="71">
        <f t="shared" si="251"/>
        <v>0</v>
      </c>
      <c r="Y770" s="71">
        <f t="shared" si="252"/>
        <v>0</v>
      </c>
      <c r="AA770" s="71">
        <f t="shared" si="253"/>
        <v>0</v>
      </c>
      <c r="AC770" s="71">
        <f t="shared" si="254"/>
        <v>0</v>
      </c>
      <c r="AK770" s="71">
        <f t="shared" si="255"/>
        <v>0</v>
      </c>
      <c r="AM770" s="71">
        <f t="shared" si="256"/>
        <v>0</v>
      </c>
      <c r="AO770" s="71">
        <f t="shared" si="257"/>
        <v>0</v>
      </c>
      <c r="AQ770" s="71">
        <f t="shared" si="258"/>
        <v>0</v>
      </c>
      <c r="AT770" s="71">
        <f t="shared" si="259"/>
        <v>0</v>
      </c>
      <c r="AV770" s="71">
        <f t="shared" si="260"/>
        <v>0</v>
      </c>
      <c r="AX770" s="71">
        <f t="shared" si="261"/>
        <v>0</v>
      </c>
      <c r="AZ770" s="71">
        <f t="shared" si="262"/>
        <v>0</v>
      </c>
      <c r="BE770" s="81">
        <f t="shared" si="263"/>
        <v>0</v>
      </c>
      <c r="BF770" s="81" t="str">
        <f t="shared" si="264"/>
        <v>BASSO</v>
      </c>
    </row>
    <row r="771" spans="7:58" x14ac:dyDescent="0.15">
      <c r="G771" s="64">
        <f t="shared" si="265"/>
        <v>0</v>
      </c>
      <c r="I771" s="64">
        <f t="shared" ref="I771:I834" si="266">H771/2</f>
        <v>0</v>
      </c>
      <c r="K771" s="64">
        <f t="shared" ref="K771:K834" si="267">J771/2</f>
        <v>0</v>
      </c>
      <c r="M771" s="64">
        <f t="shared" ref="M771:M834" si="268">L771/3</f>
        <v>0</v>
      </c>
      <c r="O771" s="64">
        <f t="shared" ref="O771:O834" si="269">N771/5</f>
        <v>0</v>
      </c>
      <c r="Q771" s="64">
        <f t="shared" ref="Q771:Q834" si="270">P771/3</f>
        <v>0</v>
      </c>
      <c r="S771" s="71">
        <f t="shared" ref="S771:S834" si="271">R771/3</f>
        <v>0</v>
      </c>
      <c r="U771" s="64">
        <f t="shared" ref="U771:U834" si="272">T771/3</f>
        <v>0</v>
      </c>
      <c r="W771" s="71">
        <f t="shared" ref="W771:W834" si="273">V771/4</f>
        <v>0</v>
      </c>
      <c r="Y771" s="71">
        <f t="shared" ref="Y771:Y834" si="274">X771/3</f>
        <v>0</v>
      </c>
      <c r="AA771" s="71">
        <f t="shared" ref="AA771:AA834" si="275">Z771/3</f>
        <v>0</v>
      </c>
      <c r="AC771" s="71">
        <f t="shared" ref="AC771:AC834" si="276">AB771/2</f>
        <v>0</v>
      </c>
      <c r="AK771" s="71">
        <f t="shared" ref="AK771:AK834" si="277">AJ771/2</f>
        <v>0</v>
      </c>
      <c r="AM771" s="71">
        <f t="shared" ref="AM771:AM834" si="278">AL771/3</f>
        <v>0</v>
      </c>
      <c r="AO771" s="71">
        <f t="shared" ref="AO771:AO834" si="279">AN771/3</f>
        <v>0</v>
      </c>
      <c r="AQ771" s="71">
        <f t="shared" ref="AQ771:AQ834" si="280">AP771/3</f>
        <v>0</v>
      </c>
      <c r="AT771" s="71">
        <f t="shared" ref="AT771:AT834" si="281">AS771/3</f>
        <v>0</v>
      </c>
      <c r="AV771" s="71">
        <f t="shared" ref="AV771:AV834" si="282">AU771/3</f>
        <v>0</v>
      </c>
      <c r="AX771" s="71">
        <f t="shared" ref="AX771:AX834" si="283">AW771/2</f>
        <v>0</v>
      </c>
      <c r="AZ771" s="71">
        <f t="shared" ref="AZ771:AZ834" si="284">AY771/3</f>
        <v>0</v>
      </c>
      <c r="BE771" s="81">
        <f t="shared" ref="BE771:BE834" si="285">AVERAGE(F771,I771,K771,M771,O771,Q771,S771,U771,W771,Y771,AA771,AC771,AK771,AM771,AO771,AQ771,AT771,AV771,AX771,AZ771)</f>
        <v>0</v>
      </c>
      <c r="BF771" s="81" t="str">
        <f t="shared" ref="BF771:BF834" si="286">IF(BE771="","",IF(VALUE(BE771)&lt;0.34,"BASSO",IF(VALUE(BE771)&lt;=0.66,"MEDIO","ALTO")))</f>
        <v>BASSO</v>
      </c>
    </row>
    <row r="772" spans="7:58" x14ac:dyDescent="0.15">
      <c r="G772" s="64">
        <f t="shared" si="265"/>
        <v>0</v>
      </c>
      <c r="I772" s="64">
        <f t="shared" si="266"/>
        <v>0</v>
      </c>
      <c r="K772" s="64">
        <f t="shared" si="267"/>
        <v>0</v>
      </c>
      <c r="M772" s="64">
        <f t="shared" si="268"/>
        <v>0</v>
      </c>
      <c r="O772" s="64">
        <f t="shared" si="269"/>
        <v>0</v>
      </c>
      <c r="Q772" s="64">
        <f t="shared" si="270"/>
        <v>0</v>
      </c>
      <c r="S772" s="71">
        <f t="shared" si="271"/>
        <v>0</v>
      </c>
      <c r="U772" s="64">
        <f t="shared" si="272"/>
        <v>0</v>
      </c>
      <c r="W772" s="71">
        <f t="shared" si="273"/>
        <v>0</v>
      </c>
      <c r="Y772" s="71">
        <f t="shared" si="274"/>
        <v>0</v>
      </c>
      <c r="AA772" s="71">
        <f t="shared" si="275"/>
        <v>0</v>
      </c>
      <c r="AC772" s="71">
        <f t="shared" si="276"/>
        <v>0</v>
      </c>
      <c r="AK772" s="71">
        <f t="shared" si="277"/>
        <v>0</v>
      </c>
      <c r="AM772" s="71">
        <f t="shared" si="278"/>
        <v>0</v>
      </c>
      <c r="AO772" s="71">
        <f t="shared" si="279"/>
        <v>0</v>
      </c>
      <c r="AQ772" s="71">
        <f t="shared" si="280"/>
        <v>0</v>
      </c>
      <c r="AT772" s="71">
        <f t="shared" si="281"/>
        <v>0</v>
      </c>
      <c r="AV772" s="71">
        <f t="shared" si="282"/>
        <v>0</v>
      </c>
      <c r="AX772" s="71">
        <f t="shared" si="283"/>
        <v>0</v>
      </c>
      <c r="AZ772" s="71">
        <f t="shared" si="284"/>
        <v>0</v>
      </c>
      <c r="BE772" s="81">
        <f t="shared" si="285"/>
        <v>0</v>
      </c>
      <c r="BF772" s="81" t="str">
        <f t="shared" si="286"/>
        <v>BASSO</v>
      </c>
    </row>
    <row r="773" spans="7:58" x14ac:dyDescent="0.15">
      <c r="G773" s="64">
        <f t="shared" si="265"/>
        <v>0</v>
      </c>
      <c r="I773" s="64">
        <f t="shared" si="266"/>
        <v>0</v>
      </c>
      <c r="K773" s="64">
        <f t="shared" si="267"/>
        <v>0</v>
      </c>
      <c r="M773" s="64">
        <f t="shared" si="268"/>
        <v>0</v>
      </c>
      <c r="O773" s="64">
        <f t="shared" si="269"/>
        <v>0</v>
      </c>
      <c r="Q773" s="64">
        <f t="shared" si="270"/>
        <v>0</v>
      </c>
      <c r="S773" s="71">
        <f t="shared" si="271"/>
        <v>0</v>
      </c>
      <c r="U773" s="64">
        <f t="shared" si="272"/>
        <v>0</v>
      </c>
      <c r="W773" s="71">
        <f t="shared" si="273"/>
        <v>0</v>
      </c>
      <c r="Y773" s="71">
        <f t="shared" si="274"/>
        <v>0</v>
      </c>
      <c r="AA773" s="71">
        <f t="shared" si="275"/>
        <v>0</v>
      </c>
      <c r="AC773" s="71">
        <f t="shared" si="276"/>
        <v>0</v>
      </c>
      <c r="AK773" s="71">
        <f t="shared" si="277"/>
        <v>0</v>
      </c>
      <c r="AM773" s="71">
        <f t="shared" si="278"/>
        <v>0</v>
      </c>
      <c r="AO773" s="71">
        <f t="shared" si="279"/>
        <v>0</v>
      </c>
      <c r="AQ773" s="71">
        <f t="shared" si="280"/>
        <v>0</v>
      </c>
      <c r="AT773" s="71">
        <f t="shared" si="281"/>
        <v>0</v>
      </c>
      <c r="AV773" s="71">
        <f t="shared" si="282"/>
        <v>0</v>
      </c>
      <c r="AX773" s="71">
        <f t="shared" si="283"/>
        <v>0</v>
      </c>
      <c r="AZ773" s="71">
        <f t="shared" si="284"/>
        <v>0</v>
      </c>
      <c r="BE773" s="81">
        <f t="shared" si="285"/>
        <v>0</v>
      </c>
      <c r="BF773" s="81" t="str">
        <f t="shared" si="286"/>
        <v>BASSO</v>
      </c>
    </row>
    <row r="774" spans="7:58" x14ac:dyDescent="0.15">
      <c r="G774" s="64">
        <f t="shared" si="265"/>
        <v>0</v>
      </c>
      <c r="I774" s="64">
        <f t="shared" si="266"/>
        <v>0</v>
      </c>
      <c r="K774" s="64">
        <f t="shared" si="267"/>
        <v>0</v>
      </c>
      <c r="M774" s="64">
        <f t="shared" si="268"/>
        <v>0</v>
      </c>
      <c r="O774" s="64">
        <f t="shared" si="269"/>
        <v>0</v>
      </c>
      <c r="Q774" s="64">
        <f t="shared" si="270"/>
        <v>0</v>
      </c>
      <c r="S774" s="71">
        <f t="shared" si="271"/>
        <v>0</v>
      </c>
      <c r="U774" s="64">
        <f t="shared" si="272"/>
        <v>0</v>
      </c>
      <c r="W774" s="71">
        <f t="shared" si="273"/>
        <v>0</v>
      </c>
      <c r="Y774" s="71">
        <f t="shared" si="274"/>
        <v>0</v>
      </c>
      <c r="AA774" s="71">
        <f t="shared" si="275"/>
        <v>0</v>
      </c>
      <c r="AC774" s="71">
        <f t="shared" si="276"/>
        <v>0</v>
      </c>
      <c r="AK774" s="71">
        <f t="shared" si="277"/>
        <v>0</v>
      </c>
      <c r="AM774" s="71">
        <f t="shared" si="278"/>
        <v>0</v>
      </c>
      <c r="AO774" s="71">
        <f t="shared" si="279"/>
        <v>0</v>
      </c>
      <c r="AQ774" s="71">
        <f t="shared" si="280"/>
        <v>0</v>
      </c>
      <c r="AT774" s="71">
        <f t="shared" si="281"/>
        <v>0</v>
      </c>
      <c r="AV774" s="71">
        <f t="shared" si="282"/>
        <v>0</v>
      </c>
      <c r="AX774" s="71">
        <f t="shared" si="283"/>
        <v>0</v>
      </c>
      <c r="AZ774" s="71">
        <f t="shared" si="284"/>
        <v>0</v>
      </c>
      <c r="BE774" s="81">
        <f t="shared" si="285"/>
        <v>0</v>
      </c>
      <c r="BF774" s="81" t="str">
        <f t="shared" si="286"/>
        <v>BASSO</v>
      </c>
    </row>
    <row r="775" spans="7:58" x14ac:dyDescent="0.15">
      <c r="G775" s="64">
        <f t="shared" si="265"/>
        <v>0</v>
      </c>
      <c r="I775" s="64">
        <f t="shared" si="266"/>
        <v>0</v>
      </c>
      <c r="K775" s="64">
        <f t="shared" si="267"/>
        <v>0</v>
      </c>
      <c r="M775" s="64">
        <f t="shared" si="268"/>
        <v>0</v>
      </c>
      <c r="O775" s="64">
        <f t="shared" si="269"/>
        <v>0</v>
      </c>
      <c r="Q775" s="64">
        <f t="shared" si="270"/>
        <v>0</v>
      </c>
      <c r="S775" s="71">
        <f t="shared" si="271"/>
        <v>0</v>
      </c>
      <c r="U775" s="64">
        <f t="shared" si="272"/>
        <v>0</v>
      </c>
      <c r="W775" s="71">
        <f t="shared" si="273"/>
        <v>0</v>
      </c>
      <c r="Y775" s="71">
        <f t="shared" si="274"/>
        <v>0</v>
      </c>
      <c r="AA775" s="71">
        <f t="shared" si="275"/>
        <v>0</v>
      </c>
      <c r="AC775" s="71">
        <f t="shared" si="276"/>
        <v>0</v>
      </c>
      <c r="AK775" s="71">
        <f t="shared" si="277"/>
        <v>0</v>
      </c>
      <c r="AM775" s="71">
        <f t="shared" si="278"/>
        <v>0</v>
      </c>
      <c r="AO775" s="71">
        <f t="shared" si="279"/>
        <v>0</v>
      </c>
      <c r="AQ775" s="71">
        <f t="shared" si="280"/>
        <v>0</v>
      </c>
      <c r="AT775" s="71">
        <f t="shared" si="281"/>
        <v>0</v>
      </c>
      <c r="AV775" s="71">
        <f t="shared" si="282"/>
        <v>0</v>
      </c>
      <c r="AX775" s="71">
        <f t="shared" si="283"/>
        <v>0</v>
      </c>
      <c r="AZ775" s="71">
        <f t="shared" si="284"/>
        <v>0</v>
      </c>
      <c r="BE775" s="81">
        <f t="shared" si="285"/>
        <v>0</v>
      </c>
      <c r="BF775" s="81" t="str">
        <f t="shared" si="286"/>
        <v>BASSO</v>
      </c>
    </row>
    <row r="776" spans="7:58" x14ac:dyDescent="0.15">
      <c r="G776" s="64">
        <f t="shared" si="265"/>
        <v>0</v>
      </c>
      <c r="I776" s="64">
        <f t="shared" si="266"/>
        <v>0</v>
      </c>
      <c r="K776" s="64">
        <f t="shared" si="267"/>
        <v>0</v>
      </c>
      <c r="M776" s="64">
        <f t="shared" si="268"/>
        <v>0</v>
      </c>
      <c r="O776" s="64">
        <f t="shared" si="269"/>
        <v>0</v>
      </c>
      <c r="Q776" s="64">
        <f t="shared" si="270"/>
        <v>0</v>
      </c>
      <c r="S776" s="71">
        <f t="shared" si="271"/>
        <v>0</v>
      </c>
      <c r="U776" s="64">
        <f t="shared" si="272"/>
        <v>0</v>
      </c>
      <c r="W776" s="71">
        <f t="shared" si="273"/>
        <v>0</v>
      </c>
      <c r="Y776" s="71">
        <f t="shared" si="274"/>
        <v>0</v>
      </c>
      <c r="AA776" s="71">
        <f t="shared" si="275"/>
        <v>0</v>
      </c>
      <c r="AC776" s="71">
        <f t="shared" si="276"/>
        <v>0</v>
      </c>
      <c r="AK776" s="71">
        <f t="shared" si="277"/>
        <v>0</v>
      </c>
      <c r="AM776" s="71">
        <f t="shared" si="278"/>
        <v>0</v>
      </c>
      <c r="AO776" s="71">
        <f t="shared" si="279"/>
        <v>0</v>
      </c>
      <c r="AQ776" s="71">
        <f t="shared" si="280"/>
        <v>0</v>
      </c>
      <c r="AT776" s="71">
        <f t="shared" si="281"/>
        <v>0</v>
      </c>
      <c r="AV776" s="71">
        <f t="shared" si="282"/>
        <v>0</v>
      </c>
      <c r="AX776" s="71">
        <f t="shared" si="283"/>
        <v>0</v>
      </c>
      <c r="AZ776" s="71">
        <f t="shared" si="284"/>
        <v>0</v>
      </c>
      <c r="BE776" s="81">
        <f t="shared" si="285"/>
        <v>0</v>
      </c>
      <c r="BF776" s="81" t="str">
        <f t="shared" si="286"/>
        <v>BASSO</v>
      </c>
    </row>
    <row r="777" spans="7:58" x14ac:dyDescent="0.15">
      <c r="G777" s="64">
        <f t="shared" si="265"/>
        <v>0</v>
      </c>
      <c r="I777" s="64">
        <f t="shared" si="266"/>
        <v>0</v>
      </c>
      <c r="K777" s="64">
        <f t="shared" si="267"/>
        <v>0</v>
      </c>
      <c r="M777" s="64">
        <f t="shared" si="268"/>
        <v>0</v>
      </c>
      <c r="O777" s="64">
        <f t="shared" si="269"/>
        <v>0</v>
      </c>
      <c r="Q777" s="64">
        <f t="shared" si="270"/>
        <v>0</v>
      </c>
      <c r="S777" s="71">
        <f t="shared" si="271"/>
        <v>0</v>
      </c>
      <c r="U777" s="64">
        <f t="shared" si="272"/>
        <v>0</v>
      </c>
      <c r="W777" s="71">
        <f t="shared" si="273"/>
        <v>0</v>
      </c>
      <c r="Y777" s="71">
        <f t="shared" si="274"/>
        <v>0</v>
      </c>
      <c r="AA777" s="71">
        <f t="shared" si="275"/>
        <v>0</v>
      </c>
      <c r="AC777" s="71">
        <f t="shared" si="276"/>
        <v>0</v>
      </c>
      <c r="AK777" s="71">
        <f t="shared" si="277"/>
        <v>0</v>
      </c>
      <c r="AM777" s="71">
        <f t="shared" si="278"/>
        <v>0</v>
      </c>
      <c r="AO777" s="71">
        <f t="shared" si="279"/>
        <v>0</v>
      </c>
      <c r="AQ777" s="71">
        <f t="shared" si="280"/>
        <v>0</v>
      </c>
      <c r="AT777" s="71">
        <f t="shared" si="281"/>
        <v>0</v>
      </c>
      <c r="AV777" s="71">
        <f t="shared" si="282"/>
        <v>0</v>
      </c>
      <c r="AX777" s="71">
        <f t="shared" si="283"/>
        <v>0</v>
      </c>
      <c r="AZ777" s="71">
        <f t="shared" si="284"/>
        <v>0</v>
      </c>
      <c r="BE777" s="81">
        <f t="shared" si="285"/>
        <v>0</v>
      </c>
      <c r="BF777" s="81" t="str">
        <f t="shared" si="286"/>
        <v>BASSO</v>
      </c>
    </row>
    <row r="778" spans="7:58" x14ac:dyDescent="0.15">
      <c r="G778" s="64">
        <f t="shared" si="265"/>
        <v>0</v>
      </c>
      <c r="I778" s="64">
        <f t="shared" si="266"/>
        <v>0</v>
      </c>
      <c r="K778" s="64">
        <f t="shared" si="267"/>
        <v>0</v>
      </c>
      <c r="M778" s="64">
        <f t="shared" si="268"/>
        <v>0</v>
      </c>
      <c r="O778" s="64">
        <f t="shared" si="269"/>
        <v>0</v>
      </c>
      <c r="Q778" s="64">
        <f t="shared" si="270"/>
        <v>0</v>
      </c>
      <c r="S778" s="71">
        <f t="shared" si="271"/>
        <v>0</v>
      </c>
      <c r="U778" s="64">
        <f t="shared" si="272"/>
        <v>0</v>
      </c>
      <c r="W778" s="71">
        <f t="shared" si="273"/>
        <v>0</v>
      </c>
      <c r="Y778" s="71">
        <f t="shared" si="274"/>
        <v>0</v>
      </c>
      <c r="AA778" s="71">
        <f t="shared" si="275"/>
        <v>0</v>
      </c>
      <c r="AC778" s="71">
        <f t="shared" si="276"/>
        <v>0</v>
      </c>
      <c r="AK778" s="71">
        <f t="shared" si="277"/>
        <v>0</v>
      </c>
      <c r="AM778" s="71">
        <f t="shared" si="278"/>
        <v>0</v>
      </c>
      <c r="AO778" s="71">
        <f t="shared" si="279"/>
        <v>0</v>
      </c>
      <c r="AQ778" s="71">
        <f t="shared" si="280"/>
        <v>0</v>
      </c>
      <c r="AT778" s="71">
        <f t="shared" si="281"/>
        <v>0</v>
      </c>
      <c r="AV778" s="71">
        <f t="shared" si="282"/>
        <v>0</v>
      </c>
      <c r="AX778" s="71">
        <f t="shared" si="283"/>
        <v>0</v>
      </c>
      <c r="AZ778" s="71">
        <f t="shared" si="284"/>
        <v>0</v>
      </c>
      <c r="BE778" s="81">
        <f t="shared" si="285"/>
        <v>0</v>
      </c>
      <c r="BF778" s="81" t="str">
        <f t="shared" si="286"/>
        <v>BASSO</v>
      </c>
    </row>
    <row r="779" spans="7:58" x14ac:dyDescent="0.15">
      <c r="G779" s="64">
        <f t="shared" si="265"/>
        <v>0</v>
      </c>
      <c r="I779" s="64">
        <f t="shared" si="266"/>
        <v>0</v>
      </c>
      <c r="K779" s="64">
        <f t="shared" si="267"/>
        <v>0</v>
      </c>
      <c r="M779" s="64">
        <f t="shared" si="268"/>
        <v>0</v>
      </c>
      <c r="O779" s="64">
        <f t="shared" si="269"/>
        <v>0</v>
      </c>
      <c r="Q779" s="64">
        <f t="shared" si="270"/>
        <v>0</v>
      </c>
      <c r="S779" s="71">
        <f t="shared" si="271"/>
        <v>0</v>
      </c>
      <c r="U779" s="64">
        <f t="shared" si="272"/>
        <v>0</v>
      </c>
      <c r="W779" s="71">
        <f t="shared" si="273"/>
        <v>0</v>
      </c>
      <c r="Y779" s="71">
        <f t="shared" si="274"/>
        <v>0</v>
      </c>
      <c r="AA779" s="71">
        <f t="shared" si="275"/>
        <v>0</v>
      </c>
      <c r="AC779" s="71">
        <f t="shared" si="276"/>
        <v>0</v>
      </c>
      <c r="AK779" s="71">
        <f t="shared" si="277"/>
        <v>0</v>
      </c>
      <c r="AM779" s="71">
        <f t="shared" si="278"/>
        <v>0</v>
      </c>
      <c r="AO779" s="71">
        <f t="shared" si="279"/>
        <v>0</v>
      </c>
      <c r="AQ779" s="71">
        <f t="shared" si="280"/>
        <v>0</v>
      </c>
      <c r="AT779" s="71">
        <f t="shared" si="281"/>
        <v>0</v>
      </c>
      <c r="AV779" s="71">
        <f t="shared" si="282"/>
        <v>0</v>
      </c>
      <c r="AX779" s="71">
        <f t="shared" si="283"/>
        <v>0</v>
      </c>
      <c r="AZ779" s="71">
        <f t="shared" si="284"/>
        <v>0</v>
      </c>
      <c r="BE779" s="81">
        <f t="shared" si="285"/>
        <v>0</v>
      </c>
      <c r="BF779" s="81" t="str">
        <f t="shared" si="286"/>
        <v>BASSO</v>
      </c>
    </row>
    <row r="780" spans="7:58" x14ac:dyDescent="0.15">
      <c r="G780" s="64">
        <f t="shared" si="265"/>
        <v>0</v>
      </c>
      <c r="I780" s="64">
        <f t="shared" si="266"/>
        <v>0</v>
      </c>
      <c r="K780" s="64">
        <f t="shared" si="267"/>
        <v>0</v>
      </c>
      <c r="M780" s="64">
        <f t="shared" si="268"/>
        <v>0</v>
      </c>
      <c r="O780" s="64">
        <f t="shared" si="269"/>
        <v>0</v>
      </c>
      <c r="Q780" s="64">
        <f t="shared" si="270"/>
        <v>0</v>
      </c>
      <c r="S780" s="71">
        <f t="shared" si="271"/>
        <v>0</v>
      </c>
      <c r="U780" s="64">
        <f t="shared" si="272"/>
        <v>0</v>
      </c>
      <c r="W780" s="71">
        <f t="shared" si="273"/>
        <v>0</v>
      </c>
      <c r="Y780" s="71">
        <f t="shared" si="274"/>
        <v>0</v>
      </c>
      <c r="AA780" s="71">
        <f t="shared" si="275"/>
        <v>0</v>
      </c>
      <c r="AC780" s="71">
        <f t="shared" si="276"/>
        <v>0</v>
      </c>
      <c r="AK780" s="71">
        <f t="shared" si="277"/>
        <v>0</v>
      </c>
      <c r="AM780" s="71">
        <f t="shared" si="278"/>
        <v>0</v>
      </c>
      <c r="AO780" s="71">
        <f t="shared" si="279"/>
        <v>0</v>
      </c>
      <c r="AQ780" s="71">
        <f t="shared" si="280"/>
        <v>0</v>
      </c>
      <c r="AT780" s="71">
        <f t="shared" si="281"/>
        <v>0</v>
      </c>
      <c r="AV780" s="71">
        <f t="shared" si="282"/>
        <v>0</v>
      </c>
      <c r="AX780" s="71">
        <f t="shared" si="283"/>
        <v>0</v>
      </c>
      <c r="AZ780" s="71">
        <f t="shared" si="284"/>
        <v>0</v>
      </c>
      <c r="BE780" s="81">
        <f t="shared" si="285"/>
        <v>0</v>
      </c>
      <c r="BF780" s="81" t="str">
        <f t="shared" si="286"/>
        <v>BASSO</v>
      </c>
    </row>
    <row r="781" spans="7:58" x14ac:dyDescent="0.15">
      <c r="G781" s="64">
        <f t="shared" si="265"/>
        <v>0</v>
      </c>
      <c r="I781" s="64">
        <f t="shared" si="266"/>
        <v>0</v>
      </c>
      <c r="K781" s="64">
        <f t="shared" si="267"/>
        <v>0</v>
      </c>
      <c r="M781" s="64">
        <f t="shared" si="268"/>
        <v>0</v>
      </c>
      <c r="O781" s="64">
        <f t="shared" si="269"/>
        <v>0</v>
      </c>
      <c r="Q781" s="64">
        <f t="shared" si="270"/>
        <v>0</v>
      </c>
      <c r="S781" s="71">
        <f t="shared" si="271"/>
        <v>0</v>
      </c>
      <c r="U781" s="64">
        <f t="shared" si="272"/>
        <v>0</v>
      </c>
      <c r="W781" s="71">
        <f t="shared" si="273"/>
        <v>0</v>
      </c>
      <c r="Y781" s="71">
        <f t="shared" si="274"/>
        <v>0</v>
      </c>
      <c r="AA781" s="71">
        <f t="shared" si="275"/>
        <v>0</v>
      </c>
      <c r="AC781" s="71">
        <f t="shared" si="276"/>
        <v>0</v>
      </c>
      <c r="AK781" s="71">
        <f t="shared" si="277"/>
        <v>0</v>
      </c>
      <c r="AM781" s="71">
        <f t="shared" si="278"/>
        <v>0</v>
      </c>
      <c r="AO781" s="71">
        <f t="shared" si="279"/>
        <v>0</v>
      </c>
      <c r="AQ781" s="71">
        <f t="shared" si="280"/>
        <v>0</v>
      </c>
      <c r="AT781" s="71">
        <f t="shared" si="281"/>
        <v>0</v>
      </c>
      <c r="AV781" s="71">
        <f t="shared" si="282"/>
        <v>0</v>
      </c>
      <c r="AX781" s="71">
        <f t="shared" si="283"/>
        <v>0</v>
      </c>
      <c r="AZ781" s="71">
        <f t="shared" si="284"/>
        <v>0</v>
      </c>
      <c r="BE781" s="81">
        <f t="shared" si="285"/>
        <v>0</v>
      </c>
      <c r="BF781" s="81" t="str">
        <f t="shared" si="286"/>
        <v>BASSO</v>
      </c>
    </row>
    <row r="782" spans="7:58" x14ac:dyDescent="0.15">
      <c r="G782" s="64">
        <f t="shared" si="265"/>
        <v>0</v>
      </c>
      <c r="I782" s="64">
        <f t="shared" si="266"/>
        <v>0</v>
      </c>
      <c r="K782" s="64">
        <f t="shared" si="267"/>
        <v>0</v>
      </c>
      <c r="M782" s="64">
        <f t="shared" si="268"/>
        <v>0</v>
      </c>
      <c r="O782" s="64">
        <f t="shared" si="269"/>
        <v>0</v>
      </c>
      <c r="Q782" s="64">
        <f t="shared" si="270"/>
        <v>0</v>
      </c>
      <c r="S782" s="71">
        <f t="shared" si="271"/>
        <v>0</v>
      </c>
      <c r="U782" s="64">
        <f t="shared" si="272"/>
        <v>0</v>
      </c>
      <c r="W782" s="71">
        <f t="shared" si="273"/>
        <v>0</v>
      </c>
      <c r="Y782" s="71">
        <f t="shared" si="274"/>
        <v>0</v>
      </c>
      <c r="AA782" s="71">
        <f t="shared" si="275"/>
        <v>0</v>
      </c>
      <c r="AC782" s="71">
        <f t="shared" si="276"/>
        <v>0</v>
      </c>
      <c r="AK782" s="71">
        <f t="shared" si="277"/>
        <v>0</v>
      </c>
      <c r="AM782" s="71">
        <f t="shared" si="278"/>
        <v>0</v>
      </c>
      <c r="AO782" s="71">
        <f t="shared" si="279"/>
        <v>0</v>
      </c>
      <c r="AQ782" s="71">
        <f t="shared" si="280"/>
        <v>0</v>
      </c>
      <c r="AT782" s="71">
        <f t="shared" si="281"/>
        <v>0</v>
      </c>
      <c r="AV782" s="71">
        <f t="shared" si="282"/>
        <v>0</v>
      </c>
      <c r="AX782" s="71">
        <f t="shared" si="283"/>
        <v>0</v>
      </c>
      <c r="AZ782" s="71">
        <f t="shared" si="284"/>
        <v>0</v>
      </c>
      <c r="BE782" s="81">
        <f t="shared" si="285"/>
        <v>0</v>
      </c>
      <c r="BF782" s="81" t="str">
        <f t="shared" si="286"/>
        <v>BASSO</v>
      </c>
    </row>
    <row r="783" spans="7:58" x14ac:dyDescent="0.15">
      <c r="G783" s="64">
        <f t="shared" si="265"/>
        <v>0</v>
      </c>
      <c r="I783" s="64">
        <f t="shared" si="266"/>
        <v>0</v>
      </c>
      <c r="K783" s="64">
        <f t="shared" si="267"/>
        <v>0</v>
      </c>
      <c r="M783" s="64">
        <f t="shared" si="268"/>
        <v>0</v>
      </c>
      <c r="O783" s="64">
        <f t="shared" si="269"/>
        <v>0</v>
      </c>
      <c r="Q783" s="64">
        <f t="shared" si="270"/>
        <v>0</v>
      </c>
      <c r="S783" s="71">
        <f t="shared" si="271"/>
        <v>0</v>
      </c>
      <c r="U783" s="64">
        <f t="shared" si="272"/>
        <v>0</v>
      </c>
      <c r="W783" s="71">
        <f t="shared" si="273"/>
        <v>0</v>
      </c>
      <c r="Y783" s="71">
        <f t="shared" si="274"/>
        <v>0</v>
      </c>
      <c r="AA783" s="71">
        <f t="shared" si="275"/>
        <v>0</v>
      </c>
      <c r="AC783" s="71">
        <f t="shared" si="276"/>
        <v>0</v>
      </c>
      <c r="AK783" s="71">
        <f t="shared" si="277"/>
        <v>0</v>
      </c>
      <c r="AM783" s="71">
        <f t="shared" si="278"/>
        <v>0</v>
      </c>
      <c r="AO783" s="71">
        <f t="shared" si="279"/>
        <v>0</v>
      </c>
      <c r="AQ783" s="71">
        <f t="shared" si="280"/>
        <v>0</v>
      </c>
      <c r="AT783" s="71">
        <f t="shared" si="281"/>
        <v>0</v>
      </c>
      <c r="AV783" s="71">
        <f t="shared" si="282"/>
        <v>0</v>
      </c>
      <c r="AX783" s="71">
        <f t="shared" si="283"/>
        <v>0</v>
      </c>
      <c r="AZ783" s="71">
        <f t="shared" si="284"/>
        <v>0</v>
      </c>
      <c r="BE783" s="81">
        <f t="shared" si="285"/>
        <v>0</v>
      </c>
      <c r="BF783" s="81" t="str">
        <f t="shared" si="286"/>
        <v>BASSO</v>
      </c>
    </row>
    <row r="784" spans="7:58" x14ac:dyDescent="0.15">
      <c r="G784" s="64">
        <f t="shared" si="265"/>
        <v>0</v>
      </c>
      <c r="I784" s="64">
        <f t="shared" si="266"/>
        <v>0</v>
      </c>
      <c r="K784" s="64">
        <f t="shared" si="267"/>
        <v>0</v>
      </c>
      <c r="M784" s="64">
        <f t="shared" si="268"/>
        <v>0</v>
      </c>
      <c r="O784" s="64">
        <f t="shared" si="269"/>
        <v>0</v>
      </c>
      <c r="Q784" s="64">
        <f t="shared" si="270"/>
        <v>0</v>
      </c>
      <c r="S784" s="71">
        <f t="shared" si="271"/>
        <v>0</v>
      </c>
      <c r="U784" s="64">
        <f t="shared" si="272"/>
        <v>0</v>
      </c>
      <c r="W784" s="71">
        <f t="shared" si="273"/>
        <v>0</v>
      </c>
      <c r="Y784" s="71">
        <f t="shared" si="274"/>
        <v>0</v>
      </c>
      <c r="AA784" s="71">
        <f t="shared" si="275"/>
        <v>0</v>
      </c>
      <c r="AC784" s="71">
        <f t="shared" si="276"/>
        <v>0</v>
      </c>
      <c r="AK784" s="71">
        <f t="shared" si="277"/>
        <v>0</v>
      </c>
      <c r="AM784" s="71">
        <f t="shared" si="278"/>
        <v>0</v>
      </c>
      <c r="AO784" s="71">
        <f t="shared" si="279"/>
        <v>0</v>
      </c>
      <c r="AQ784" s="71">
        <f t="shared" si="280"/>
        <v>0</v>
      </c>
      <c r="AT784" s="71">
        <f t="shared" si="281"/>
        <v>0</v>
      </c>
      <c r="AV784" s="71">
        <f t="shared" si="282"/>
        <v>0</v>
      </c>
      <c r="AX784" s="71">
        <f t="shared" si="283"/>
        <v>0</v>
      </c>
      <c r="AZ784" s="71">
        <f t="shared" si="284"/>
        <v>0</v>
      </c>
      <c r="BE784" s="81">
        <f t="shared" si="285"/>
        <v>0</v>
      </c>
      <c r="BF784" s="81" t="str">
        <f t="shared" si="286"/>
        <v>BASSO</v>
      </c>
    </row>
    <row r="785" spans="7:58" x14ac:dyDescent="0.15">
      <c r="G785" s="64">
        <f t="shared" si="265"/>
        <v>0</v>
      </c>
      <c r="I785" s="64">
        <f t="shared" si="266"/>
        <v>0</v>
      </c>
      <c r="K785" s="64">
        <f t="shared" si="267"/>
        <v>0</v>
      </c>
      <c r="M785" s="64">
        <f t="shared" si="268"/>
        <v>0</v>
      </c>
      <c r="O785" s="64">
        <f t="shared" si="269"/>
        <v>0</v>
      </c>
      <c r="Q785" s="64">
        <f t="shared" si="270"/>
        <v>0</v>
      </c>
      <c r="S785" s="71">
        <f t="shared" si="271"/>
        <v>0</v>
      </c>
      <c r="U785" s="64">
        <f t="shared" si="272"/>
        <v>0</v>
      </c>
      <c r="W785" s="71">
        <f t="shared" si="273"/>
        <v>0</v>
      </c>
      <c r="Y785" s="71">
        <f t="shared" si="274"/>
        <v>0</v>
      </c>
      <c r="AA785" s="71">
        <f t="shared" si="275"/>
        <v>0</v>
      </c>
      <c r="AC785" s="71">
        <f t="shared" si="276"/>
        <v>0</v>
      </c>
      <c r="AK785" s="71">
        <f t="shared" si="277"/>
        <v>0</v>
      </c>
      <c r="AM785" s="71">
        <f t="shared" si="278"/>
        <v>0</v>
      </c>
      <c r="AO785" s="71">
        <f t="shared" si="279"/>
        <v>0</v>
      </c>
      <c r="AQ785" s="71">
        <f t="shared" si="280"/>
        <v>0</v>
      </c>
      <c r="AT785" s="71">
        <f t="shared" si="281"/>
        <v>0</v>
      </c>
      <c r="AV785" s="71">
        <f t="shared" si="282"/>
        <v>0</v>
      </c>
      <c r="AX785" s="71">
        <f t="shared" si="283"/>
        <v>0</v>
      </c>
      <c r="AZ785" s="71">
        <f t="shared" si="284"/>
        <v>0</v>
      </c>
      <c r="BE785" s="81">
        <f t="shared" si="285"/>
        <v>0</v>
      </c>
      <c r="BF785" s="81" t="str">
        <f t="shared" si="286"/>
        <v>BASSO</v>
      </c>
    </row>
    <row r="786" spans="7:58" x14ac:dyDescent="0.15">
      <c r="G786" s="64">
        <f t="shared" si="265"/>
        <v>0</v>
      </c>
      <c r="I786" s="64">
        <f t="shared" si="266"/>
        <v>0</v>
      </c>
      <c r="K786" s="64">
        <f t="shared" si="267"/>
        <v>0</v>
      </c>
      <c r="M786" s="64">
        <f t="shared" si="268"/>
        <v>0</v>
      </c>
      <c r="O786" s="64">
        <f t="shared" si="269"/>
        <v>0</v>
      </c>
      <c r="Q786" s="64">
        <f t="shared" si="270"/>
        <v>0</v>
      </c>
      <c r="S786" s="71">
        <f t="shared" si="271"/>
        <v>0</v>
      </c>
      <c r="U786" s="64">
        <f t="shared" si="272"/>
        <v>0</v>
      </c>
      <c r="W786" s="71">
        <f t="shared" si="273"/>
        <v>0</v>
      </c>
      <c r="Y786" s="71">
        <f t="shared" si="274"/>
        <v>0</v>
      </c>
      <c r="AA786" s="71">
        <f t="shared" si="275"/>
        <v>0</v>
      </c>
      <c r="AC786" s="71">
        <f t="shared" si="276"/>
        <v>0</v>
      </c>
      <c r="AK786" s="71">
        <f t="shared" si="277"/>
        <v>0</v>
      </c>
      <c r="AM786" s="71">
        <f t="shared" si="278"/>
        <v>0</v>
      </c>
      <c r="AO786" s="71">
        <f t="shared" si="279"/>
        <v>0</v>
      </c>
      <c r="AQ786" s="71">
        <f t="shared" si="280"/>
        <v>0</v>
      </c>
      <c r="AT786" s="71">
        <f t="shared" si="281"/>
        <v>0</v>
      </c>
      <c r="AV786" s="71">
        <f t="shared" si="282"/>
        <v>0</v>
      </c>
      <c r="AX786" s="71">
        <f t="shared" si="283"/>
        <v>0</v>
      </c>
      <c r="AZ786" s="71">
        <f t="shared" si="284"/>
        <v>0</v>
      </c>
      <c r="BE786" s="81">
        <f t="shared" si="285"/>
        <v>0</v>
      </c>
      <c r="BF786" s="81" t="str">
        <f t="shared" si="286"/>
        <v>BASSO</v>
      </c>
    </row>
    <row r="787" spans="7:58" x14ac:dyDescent="0.15">
      <c r="G787" s="64">
        <f t="shared" si="265"/>
        <v>0</v>
      </c>
      <c r="I787" s="64">
        <f t="shared" si="266"/>
        <v>0</v>
      </c>
      <c r="K787" s="64">
        <f t="shared" si="267"/>
        <v>0</v>
      </c>
      <c r="M787" s="64">
        <f t="shared" si="268"/>
        <v>0</v>
      </c>
      <c r="O787" s="64">
        <f t="shared" si="269"/>
        <v>0</v>
      </c>
      <c r="Q787" s="64">
        <f t="shared" si="270"/>
        <v>0</v>
      </c>
      <c r="S787" s="71">
        <f t="shared" si="271"/>
        <v>0</v>
      </c>
      <c r="U787" s="64">
        <f t="shared" si="272"/>
        <v>0</v>
      </c>
      <c r="W787" s="71">
        <f t="shared" si="273"/>
        <v>0</v>
      </c>
      <c r="Y787" s="71">
        <f t="shared" si="274"/>
        <v>0</v>
      </c>
      <c r="AA787" s="71">
        <f t="shared" si="275"/>
        <v>0</v>
      </c>
      <c r="AC787" s="71">
        <f t="shared" si="276"/>
        <v>0</v>
      </c>
      <c r="AK787" s="71">
        <f t="shared" si="277"/>
        <v>0</v>
      </c>
      <c r="AM787" s="71">
        <f t="shared" si="278"/>
        <v>0</v>
      </c>
      <c r="AO787" s="71">
        <f t="shared" si="279"/>
        <v>0</v>
      </c>
      <c r="AQ787" s="71">
        <f t="shared" si="280"/>
        <v>0</v>
      </c>
      <c r="AT787" s="71">
        <f t="shared" si="281"/>
        <v>0</v>
      </c>
      <c r="AV787" s="71">
        <f t="shared" si="282"/>
        <v>0</v>
      </c>
      <c r="AX787" s="71">
        <f t="shared" si="283"/>
        <v>0</v>
      </c>
      <c r="AZ787" s="71">
        <f t="shared" si="284"/>
        <v>0</v>
      </c>
      <c r="BE787" s="81">
        <f t="shared" si="285"/>
        <v>0</v>
      </c>
      <c r="BF787" s="81" t="str">
        <f t="shared" si="286"/>
        <v>BASSO</v>
      </c>
    </row>
    <row r="788" spans="7:58" x14ac:dyDescent="0.15">
      <c r="G788" s="64">
        <f t="shared" si="265"/>
        <v>0</v>
      </c>
      <c r="I788" s="64">
        <f t="shared" si="266"/>
        <v>0</v>
      </c>
      <c r="K788" s="64">
        <f t="shared" si="267"/>
        <v>0</v>
      </c>
      <c r="M788" s="64">
        <f t="shared" si="268"/>
        <v>0</v>
      </c>
      <c r="O788" s="64">
        <f t="shared" si="269"/>
        <v>0</v>
      </c>
      <c r="Q788" s="64">
        <f t="shared" si="270"/>
        <v>0</v>
      </c>
      <c r="S788" s="71">
        <f t="shared" si="271"/>
        <v>0</v>
      </c>
      <c r="U788" s="64">
        <f t="shared" si="272"/>
        <v>0</v>
      </c>
      <c r="W788" s="71">
        <f t="shared" si="273"/>
        <v>0</v>
      </c>
      <c r="Y788" s="71">
        <f t="shared" si="274"/>
        <v>0</v>
      </c>
      <c r="AA788" s="71">
        <f t="shared" si="275"/>
        <v>0</v>
      </c>
      <c r="AC788" s="71">
        <f t="shared" si="276"/>
        <v>0</v>
      </c>
      <c r="AK788" s="71">
        <f t="shared" si="277"/>
        <v>0</v>
      </c>
      <c r="AM788" s="71">
        <f t="shared" si="278"/>
        <v>0</v>
      </c>
      <c r="AO788" s="71">
        <f t="shared" si="279"/>
        <v>0</v>
      </c>
      <c r="AQ788" s="71">
        <f t="shared" si="280"/>
        <v>0</v>
      </c>
      <c r="AT788" s="71">
        <f t="shared" si="281"/>
        <v>0</v>
      </c>
      <c r="AV788" s="71">
        <f t="shared" si="282"/>
        <v>0</v>
      </c>
      <c r="AX788" s="71">
        <f t="shared" si="283"/>
        <v>0</v>
      </c>
      <c r="AZ788" s="71">
        <f t="shared" si="284"/>
        <v>0</v>
      </c>
      <c r="BE788" s="81">
        <f t="shared" si="285"/>
        <v>0</v>
      </c>
      <c r="BF788" s="81" t="str">
        <f t="shared" si="286"/>
        <v>BASSO</v>
      </c>
    </row>
    <row r="789" spans="7:58" x14ac:dyDescent="0.15">
      <c r="G789" s="64">
        <f t="shared" si="265"/>
        <v>0</v>
      </c>
      <c r="I789" s="64">
        <f t="shared" si="266"/>
        <v>0</v>
      </c>
      <c r="K789" s="64">
        <f t="shared" si="267"/>
        <v>0</v>
      </c>
      <c r="M789" s="64">
        <f t="shared" si="268"/>
        <v>0</v>
      </c>
      <c r="O789" s="64">
        <f t="shared" si="269"/>
        <v>0</v>
      </c>
      <c r="Q789" s="64">
        <f t="shared" si="270"/>
        <v>0</v>
      </c>
      <c r="S789" s="71">
        <f t="shared" si="271"/>
        <v>0</v>
      </c>
      <c r="U789" s="64">
        <f t="shared" si="272"/>
        <v>0</v>
      </c>
      <c r="W789" s="71">
        <f t="shared" si="273"/>
        <v>0</v>
      </c>
      <c r="Y789" s="71">
        <f t="shared" si="274"/>
        <v>0</v>
      </c>
      <c r="AA789" s="71">
        <f t="shared" si="275"/>
        <v>0</v>
      </c>
      <c r="AC789" s="71">
        <f t="shared" si="276"/>
        <v>0</v>
      </c>
      <c r="AK789" s="71">
        <f t="shared" si="277"/>
        <v>0</v>
      </c>
      <c r="AM789" s="71">
        <f t="shared" si="278"/>
        <v>0</v>
      </c>
      <c r="AO789" s="71">
        <f t="shared" si="279"/>
        <v>0</v>
      </c>
      <c r="AQ789" s="71">
        <f t="shared" si="280"/>
        <v>0</v>
      </c>
      <c r="AT789" s="71">
        <f t="shared" si="281"/>
        <v>0</v>
      </c>
      <c r="AV789" s="71">
        <f t="shared" si="282"/>
        <v>0</v>
      </c>
      <c r="AX789" s="71">
        <f t="shared" si="283"/>
        <v>0</v>
      </c>
      <c r="AZ789" s="71">
        <f t="shared" si="284"/>
        <v>0</v>
      </c>
      <c r="BE789" s="81">
        <f t="shared" si="285"/>
        <v>0</v>
      </c>
      <c r="BF789" s="81" t="str">
        <f t="shared" si="286"/>
        <v>BASSO</v>
      </c>
    </row>
    <row r="790" spans="7:58" x14ac:dyDescent="0.15">
      <c r="G790" s="64">
        <f t="shared" si="265"/>
        <v>0</v>
      </c>
      <c r="I790" s="64">
        <f t="shared" si="266"/>
        <v>0</v>
      </c>
      <c r="K790" s="64">
        <f t="shared" si="267"/>
        <v>0</v>
      </c>
      <c r="M790" s="64">
        <f t="shared" si="268"/>
        <v>0</v>
      </c>
      <c r="O790" s="64">
        <f t="shared" si="269"/>
        <v>0</v>
      </c>
      <c r="Q790" s="64">
        <f t="shared" si="270"/>
        <v>0</v>
      </c>
      <c r="S790" s="71">
        <f t="shared" si="271"/>
        <v>0</v>
      </c>
      <c r="U790" s="64">
        <f t="shared" si="272"/>
        <v>0</v>
      </c>
      <c r="W790" s="71">
        <f t="shared" si="273"/>
        <v>0</v>
      </c>
      <c r="Y790" s="71">
        <f t="shared" si="274"/>
        <v>0</v>
      </c>
      <c r="AA790" s="71">
        <f t="shared" si="275"/>
        <v>0</v>
      </c>
      <c r="AC790" s="71">
        <f t="shared" si="276"/>
        <v>0</v>
      </c>
      <c r="AK790" s="71">
        <f t="shared" si="277"/>
        <v>0</v>
      </c>
      <c r="AM790" s="71">
        <f t="shared" si="278"/>
        <v>0</v>
      </c>
      <c r="AO790" s="71">
        <f t="shared" si="279"/>
        <v>0</v>
      </c>
      <c r="AQ790" s="71">
        <f t="shared" si="280"/>
        <v>0</v>
      </c>
      <c r="AT790" s="71">
        <f t="shared" si="281"/>
        <v>0</v>
      </c>
      <c r="AV790" s="71">
        <f t="shared" si="282"/>
        <v>0</v>
      </c>
      <c r="AX790" s="71">
        <f t="shared" si="283"/>
        <v>0</v>
      </c>
      <c r="AZ790" s="71">
        <f t="shared" si="284"/>
        <v>0</v>
      </c>
      <c r="BE790" s="81">
        <f t="shared" si="285"/>
        <v>0</v>
      </c>
      <c r="BF790" s="81" t="str">
        <f t="shared" si="286"/>
        <v>BASSO</v>
      </c>
    </row>
    <row r="791" spans="7:58" x14ac:dyDescent="0.15">
      <c r="G791" s="64">
        <f t="shared" si="265"/>
        <v>0</v>
      </c>
      <c r="I791" s="64">
        <f t="shared" si="266"/>
        <v>0</v>
      </c>
      <c r="K791" s="64">
        <f t="shared" si="267"/>
        <v>0</v>
      </c>
      <c r="M791" s="64">
        <f t="shared" si="268"/>
        <v>0</v>
      </c>
      <c r="O791" s="64">
        <f t="shared" si="269"/>
        <v>0</v>
      </c>
      <c r="Q791" s="64">
        <f t="shared" si="270"/>
        <v>0</v>
      </c>
      <c r="S791" s="71">
        <f t="shared" si="271"/>
        <v>0</v>
      </c>
      <c r="U791" s="64">
        <f t="shared" si="272"/>
        <v>0</v>
      </c>
      <c r="W791" s="71">
        <f t="shared" si="273"/>
        <v>0</v>
      </c>
      <c r="Y791" s="71">
        <f t="shared" si="274"/>
        <v>0</v>
      </c>
      <c r="AA791" s="71">
        <f t="shared" si="275"/>
        <v>0</v>
      </c>
      <c r="AC791" s="71">
        <f t="shared" si="276"/>
        <v>0</v>
      </c>
      <c r="AK791" s="71">
        <f t="shared" si="277"/>
        <v>0</v>
      </c>
      <c r="AM791" s="71">
        <f t="shared" si="278"/>
        <v>0</v>
      </c>
      <c r="AO791" s="71">
        <f t="shared" si="279"/>
        <v>0</v>
      </c>
      <c r="AQ791" s="71">
        <f t="shared" si="280"/>
        <v>0</v>
      </c>
      <c r="AT791" s="71">
        <f t="shared" si="281"/>
        <v>0</v>
      </c>
      <c r="AV791" s="71">
        <f t="shared" si="282"/>
        <v>0</v>
      </c>
      <c r="AX791" s="71">
        <f t="shared" si="283"/>
        <v>0</v>
      </c>
      <c r="AZ791" s="71">
        <f t="shared" si="284"/>
        <v>0</v>
      </c>
      <c r="BE791" s="81">
        <f t="shared" si="285"/>
        <v>0</v>
      </c>
      <c r="BF791" s="81" t="str">
        <f t="shared" si="286"/>
        <v>BASSO</v>
      </c>
    </row>
    <row r="792" spans="7:58" x14ac:dyDescent="0.15">
      <c r="G792" s="64">
        <f t="shared" si="265"/>
        <v>0</v>
      </c>
      <c r="I792" s="64">
        <f t="shared" si="266"/>
        <v>0</v>
      </c>
      <c r="K792" s="64">
        <f t="shared" si="267"/>
        <v>0</v>
      </c>
      <c r="M792" s="64">
        <f t="shared" si="268"/>
        <v>0</v>
      </c>
      <c r="O792" s="64">
        <f t="shared" si="269"/>
        <v>0</v>
      </c>
      <c r="Q792" s="64">
        <f t="shared" si="270"/>
        <v>0</v>
      </c>
      <c r="S792" s="71">
        <f t="shared" si="271"/>
        <v>0</v>
      </c>
      <c r="U792" s="64">
        <f t="shared" si="272"/>
        <v>0</v>
      </c>
      <c r="W792" s="71">
        <f t="shared" si="273"/>
        <v>0</v>
      </c>
      <c r="Y792" s="71">
        <f t="shared" si="274"/>
        <v>0</v>
      </c>
      <c r="AA792" s="71">
        <f t="shared" si="275"/>
        <v>0</v>
      </c>
      <c r="AC792" s="71">
        <f t="shared" si="276"/>
        <v>0</v>
      </c>
      <c r="AK792" s="71">
        <f t="shared" si="277"/>
        <v>0</v>
      </c>
      <c r="AM792" s="71">
        <f t="shared" si="278"/>
        <v>0</v>
      </c>
      <c r="AO792" s="71">
        <f t="shared" si="279"/>
        <v>0</v>
      </c>
      <c r="AQ792" s="71">
        <f t="shared" si="280"/>
        <v>0</v>
      </c>
      <c r="AT792" s="71">
        <f t="shared" si="281"/>
        <v>0</v>
      </c>
      <c r="AV792" s="71">
        <f t="shared" si="282"/>
        <v>0</v>
      </c>
      <c r="AX792" s="71">
        <f t="shared" si="283"/>
        <v>0</v>
      </c>
      <c r="AZ792" s="71">
        <f t="shared" si="284"/>
        <v>0</v>
      </c>
      <c r="BE792" s="81">
        <f t="shared" si="285"/>
        <v>0</v>
      </c>
      <c r="BF792" s="81" t="str">
        <f t="shared" si="286"/>
        <v>BASSO</v>
      </c>
    </row>
    <row r="793" spans="7:58" x14ac:dyDescent="0.15">
      <c r="G793" s="64">
        <f t="shared" si="265"/>
        <v>0</v>
      </c>
      <c r="I793" s="64">
        <f t="shared" si="266"/>
        <v>0</v>
      </c>
      <c r="K793" s="64">
        <f t="shared" si="267"/>
        <v>0</v>
      </c>
      <c r="M793" s="64">
        <f t="shared" si="268"/>
        <v>0</v>
      </c>
      <c r="O793" s="64">
        <f t="shared" si="269"/>
        <v>0</v>
      </c>
      <c r="Q793" s="64">
        <f t="shared" si="270"/>
        <v>0</v>
      </c>
      <c r="S793" s="71">
        <f t="shared" si="271"/>
        <v>0</v>
      </c>
      <c r="U793" s="64">
        <f t="shared" si="272"/>
        <v>0</v>
      </c>
      <c r="W793" s="71">
        <f t="shared" si="273"/>
        <v>0</v>
      </c>
      <c r="Y793" s="71">
        <f t="shared" si="274"/>
        <v>0</v>
      </c>
      <c r="AA793" s="71">
        <f t="shared" si="275"/>
        <v>0</v>
      </c>
      <c r="AC793" s="71">
        <f t="shared" si="276"/>
        <v>0</v>
      </c>
      <c r="AK793" s="71">
        <f t="shared" si="277"/>
        <v>0</v>
      </c>
      <c r="AM793" s="71">
        <f t="shared" si="278"/>
        <v>0</v>
      </c>
      <c r="AO793" s="71">
        <f t="shared" si="279"/>
        <v>0</v>
      </c>
      <c r="AQ793" s="71">
        <f t="shared" si="280"/>
        <v>0</v>
      </c>
      <c r="AT793" s="71">
        <f t="shared" si="281"/>
        <v>0</v>
      </c>
      <c r="AV793" s="71">
        <f t="shared" si="282"/>
        <v>0</v>
      </c>
      <c r="AX793" s="71">
        <f t="shared" si="283"/>
        <v>0</v>
      </c>
      <c r="AZ793" s="71">
        <f t="shared" si="284"/>
        <v>0</v>
      </c>
      <c r="BE793" s="81">
        <f t="shared" si="285"/>
        <v>0</v>
      </c>
      <c r="BF793" s="81" t="str">
        <f t="shared" si="286"/>
        <v>BASSO</v>
      </c>
    </row>
    <row r="794" spans="7:58" x14ac:dyDescent="0.15">
      <c r="G794" s="64">
        <f t="shared" si="265"/>
        <v>0</v>
      </c>
      <c r="I794" s="64">
        <f t="shared" si="266"/>
        <v>0</v>
      </c>
      <c r="K794" s="64">
        <f t="shared" si="267"/>
        <v>0</v>
      </c>
      <c r="M794" s="64">
        <f t="shared" si="268"/>
        <v>0</v>
      </c>
      <c r="O794" s="64">
        <f t="shared" si="269"/>
        <v>0</v>
      </c>
      <c r="Q794" s="64">
        <f t="shared" si="270"/>
        <v>0</v>
      </c>
      <c r="S794" s="71">
        <f t="shared" si="271"/>
        <v>0</v>
      </c>
      <c r="U794" s="64">
        <f t="shared" si="272"/>
        <v>0</v>
      </c>
      <c r="W794" s="71">
        <f t="shared" si="273"/>
        <v>0</v>
      </c>
      <c r="Y794" s="71">
        <f t="shared" si="274"/>
        <v>0</v>
      </c>
      <c r="AA794" s="71">
        <f t="shared" si="275"/>
        <v>0</v>
      </c>
      <c r="AC794" s="71">
        <f t="shared" si="276"/>
        <v>0</v>
      </c>
      <c r="AK794" s="71">
        <f t="shared" si="277"/>
        <v>0</v>
      </c>
      <c r="AM794" s="71">
        <f t="shared" si="278"/>
        <v>0</v>
      </c>
      <c r="AO794" s="71">
        <f t="shared" si="279"/>
        <v>0</v>
      </c>
      <c r="AQ794" s="71">
        <f t="shared" si="280"/>
        <v>0</v>
      </c>
      <c r="AT794" s="71">
        <f t="shared" si="281"/>
        <v>0</v>
      </c>
      <c r="AV794" s="71">
        <f t="shared" si="282"/>
        <v>0</v>
      </c>
      <c r="AX794" s="71">
        <f t="shared" si="283"/>
        <v>0</v>
      </c>
      <c r="AZ794" s="71">
        <f t="shared" si="284"/>
        <v>0</v>
      </c>
      <c r="BE794" s="81">
        <f t="shared" si="285"/>
        <v>0</v>
      </c>
      <c r="BF794" s="81" t="str">
        <f t="shared" si="286"/>
        <v>BASSO</v>
      </c>
    </row>
    <row r="795" spans="7:58" x14ac:dyDescent="0.15">
      <c r="G795" s="64">
        <f t="shared" si="265"/>
        <v>0</v>
      </c>
      <c r="I795" s="64">
        <f t="shared" si="266"/>
        <v>0</v>
      </c>
      <c r="K795" s="64">
        <f t="shared" si="267"/>
        <v>0</v>
      </c>
      <c r="M795" s="64">
        <f t="shared" si="268"/>
        <v>0</v>
      </c>
      <c r="O795" s="64">
        <f t="shared" si="269"/>
        <v>0</v>
      </c>
      <c r="Q795" s="64">
        <f t="shared" si="270"/>
        <v>0</v>
      </c>
      <c r="S795" s="71">
        <f t="shared" si="271"/>
        <v>0</v>
      </c>
      <c r="U795" s="64">
        <f t="shared" si="272"/>
        <v>0</v>
      </c>
      <c r="W795" s="71">
        <f t="shared" si="273"/>
        <v>0</v>
      </c>
      <c r="Y795" s="71">
        <f t="shared" si="274"/>
        <v>0</v>
      </c>
      <c r="AA795" s="71">
        <f t="shared" si="275"/>
        <v>0</v>
      </c>
      <c r="AC795" s="71">
        <f t="shared" si="276"/>
        <v>0</v>
      </c>
      <c r="AK795" s="71">
        <f t="shared" si="277"/>
        <v>0</v>
      </c>
      <c r="AM795" s="71">
        <f t="shared" si="278"/>
        <v>0</v>
      </c>
      <c r="AO795" s="71">
        <f t="shared" si="279"/>
        <v>0</v>
      </c>
      <c r="AQ795" s="71">
        <f t="shared" si="280"/>
        <v>0</v>
      </c>
      <c r="AT795" s="71">
        <f t="shared" si="281"/>
        <v>0</v>
      </c>
      <c r="AV795" s="71">
        <f t="shared" si="282"/>
        <v>0</v>
      </c>
      <c r="AX795" s="71">
        <f t="shared" si="283"/>
        <v>0</v>
      </c>
      <c r="AZ795" s="71">
        <f t="shared" si="284"/>
        <v>0</v>
      </c>
      <c r="BE795" s="81">
        <f t="shared" si="285"/>
        <v>0</v>
      </c>
      <c r="BF795" s="81" t="str">
        <f t="shared" si="286"/>
        <v>BASSO</v>
      </c>
    </row>
    <row r="796" spans="7:58" x14ac:dyDescent="0.15">
      <c r="G796" s="64">
        <f t="shared" si="265"/>
        <v>0</v>
      </c>
      <c r="I796" s="64">
        <f t="shared" si="266"/>
        <v>0</v>
      </c>
      <c r="K796" s="64">
        <f t="shared" si="267"/>
        <v>0</v>
      </c>
      <c r="M796" s="64">
        <f t="shared" si="268"/>
        <v>0</v>
      </c>
      <c r="O796" s="64">
        <f t="shared" si="269"/>
        <v>0</v>
      </c>
      <c r="Q796" s="64">
        <f t="shared" si="270"/>
        <v>0</v>
      </c>
      <c r="S796" s="71">
        <f t="shared" si="271"/>
        <v>0</v>
      </c>
      <c r="U796" s="64">
        <f t="shared" si="272"/>
        <v>0</v>
      </c>
      <c r="W796" s="71">
        <f t="shared" si="273"/>
        <v>0</v>
      </c>
      <c r="Y796" s="71">
        <f t="shared" si="274"/>
        <v>0</v>
      </c>
      <c r="AA796" s="71">
        <f t="shared" si="275"/>
        <v>0</v>
      </c>
      <c r="AC796" s="71">
        <f t="shared" si="276"/>
        <v>0</v>
      </c>
      <c r="AK796" s="71">
        <f t="shared" si="277"/>
        <v>0</v>
      </c>
      <c r="AM796" s="71">
        <f t="shared" si="278"/>
        <v>0</v>
      </c>
      <c r="AO796" s="71">
        <f t="shared" si="279"/>
        <v>0</v>
      </c>
      <c r="AQ796" s="71">
        <f t="shared" si="280"/>
        <v>0</v>
      </c>
      <c r="AT796" s="71">
        <f t="shared" si="281"/>
        <v>0</v>
      </c>
      <c r="AV796" s="71">
        <f t="shared" si="282"/>
        <v>0</v>
      </c>
      <c r="AX796" s="71">
        <f t="shared" si="283"/>
        <v>0</v>
      </c>
      <c r="AZ796" s="71">
        <f t="shared" si="284"/>
        <v>0</v>
      </c>
      <c r="BE796" s="81">
        <f t="shared" si="285"/>
        <v>0</v>
      </c>
      <c r="BF796" s="81" t="str">
        <f t="shared" si="286"/>
        <v>BASSO</v>
      </c>
    </row>
    <row r="797" spans="7:58" x14ac:dyDescent="0.15">
      <c r="G797" s="64">
        <f t="shared" si="265"/>
        <v>0</v>
      </c>
      <c r="I797" s="64">
        <f t="shared" si="266"/>
        <v>0</v>
      </c>
      <c r="K797" s="64">
        <f t="shared" si="267"/>
        <v>0</v>
      </c>
      <c r="M797" s="64">
        <f t="shared" si="268"/>
        <v>0</v>
      </c>
      <c r="O797" s="64">
        <f t="shared" si="269"/>
        <v>0</v>
      </c>
      <c r="Q797" s="64">
        <f t="shared" si="270"/>
        <v>0</v>
      </c>
      <c r="S797" s="71">
        <f t="shared" si="271"/>
        <v>0</v>
      </c>
      <c r="U797" s="64">
        <f t="shared" si="272"/>
        <v>0</v>
      </c>
      <c r="W797" s="71">
        <f t="shared" si="273"/>
        <v>0</v>
      </c>
      <c r="Y797" s="71">
        <f t="shared" si="274"/>
        <v>0</v>
      </c>
      <c r="AA797" s="71">
        <f t="shared" si="275"/>
        <v>0</v>
      </c>
      <c r="AC797" s="71">
        <f t="shared" si="276"/>
        <v>0</v>
      </c>
      <c r="AK797" s="71">
        <f t="shared" si="277"/>
        <v>0</v>
      </c>
      <c r="AM797" s="71">
        <f t="shared" si="278"/>
        <v>0</v>
      </c>
      <c r="AO797" s="71">
        <f t="shared" si="279"/>
        <v>0</v>
      </c>
      <c r="AQ797" s="71">
        <f t="shared" si="280"/>
        <v>0</v>
      </c>
      <c r="AT797" s="71">
        <f t="shared" si="281"/>
        <v>0</v>
      </c>
      <c r="AV797" s="71">
        <f t="shared" si="282"/>
        <v>0</v>
      </c>
      <c r="AX797" s="71">
        <f t="shared" si="283"/>
        <v>0</v>
      </c>
      <c r="AZ797" s="71">
        <f t="shared" si="284"/>
        <v>0</v>
      </c>
      <c r="BE797" s="81">
        <f t="shared" si="285"/>
        <v>0</v>
      </c>
      <c r="BF797" s="81" t="str">
        <f t="shared" si="286"/>
        <v>BASSO</v>
      </c>
    </row>
    <row r="798" spans="7:58" x14ac:dyDescent="0.15">
      <c r="G798" s="64">
        <f t="shared" si="265"/>
        <v>0</v>
      </c>
      <c r="I798" s="64">
        <f t="shared" si="266"/>
        <v>0</v>
      </c>
      <c r="K798" s="64">
        <f t="shared" si="267"/>
        <v>0</v>
      </c>
      <c r="M798" s="64">
        <f t="shared" si="268"/>
        <v>0</v>
      </c>
      <c r="O798" s="64">
        <f t="shared" si="269"/>
        <v>0</v>
      </c>
      <c r="Q798" s="64">
        <f t="shared" si="270"/>
        <v>0</v>
      </c>
      <c r="S798" s="71">
        <f t="shared" si="271"/>
        <v>0</v>
      </c>
      <c r="U798" s="64">
        <f t="shared" si="272"/>
        <v>0</v>
      </c>
      <c r="W798" s="71">
        <f t="shared" si="273"/>
        <v>0</v>
      </c>
      <c r="Y798" s="71">
        <f t="shared" si="274"/>
        <v>0</v>
      </c>
      <c r="AA798" s="71">
        <f t="shared" si="275"/>
        <v>0</v>
      </c>
      <c r="AC798" s="71">
        <f t="shared" si="276"/>
        <v>0</v>
      </c>
      <c r="AK798" s="71">
        <f t="shared" si="277"/>
        <v>0</v>
      </c>
      <c r="AM798" s="71">
        <f t="shared" si="278"/>
        <v>0</v>
      </c>
      <c r="AO798" s="71">
        <f t="shared" si="279"/>
        <v>0</v>
      </c>
      <c r="AQ798" s="71">
        <f t="shared" si="280"/>
        <v>0</v>
      </c>
      <c r="AT798" s="71">
        <f t="shared" si="281"/>
        <v>0</v>
      </c>
      <c r="AV798" s="71">
        <f t="shared" si="282"/>
        <v>0</v>
      </c>
      <c r="AX798" s="71">
        <f t="shared" si="283"/>
        <v>0</v>
      </c>
      <c r="AZ798" s="71">
        <f t="shared" si="284"/>
        <v>0</v>
      </c>
      <c r="BE798" s="81">
        <f t="shared" si="285"/>
        <v>0</v>
      </c>
      <c r="BF798" s="81" t="str">
        <f t="shared" si="286"/>
        <v>BASSO</v>
      </c>
    </row>
    <row r="799" spans="7:58" x14ac:dyDescent="0.15">
      <c r="G799" s="64">
        <f t="shared" si="265"/>
        <v>0</v>
      </c>
      <c r="I799" s="64">
        <f t="shared" si="266"/>
        <v>0</v>
      </c>
      <c r="K799" s="64">
        <f t="shared" si="267"/>
        <v>0</v>
      </c>
      <c r="M799" s="64">
        <f t="shared" si="268"/>
        <v>0</v>
      </c>
      <c r="O799" s="64">
        <f t="shared" si="269"/>
        <v>0</v>
      </c>
      <c r="Q799" s="64">
        <f t="shared" si="270"/>
        <v>0</v>
      </c>
      <c r="S799" s="71">
        <f t="shared" si="271"/>
        <v>0</v>
      </c>
      <c r="U799" s="64">
        <f t="shared" si="272"/>
        <v>0</v>
      </c>
      <c r="W799" s="71">
        <f t="shared" si="273"/>
        <v>0</v>
      </c>
      <c r="Y799" s="71">
        <f t="shared" si="274"/>
        <v>0</v>
      </c>
      <c r="AA799" s="71">
        <f t="shared" si="275"/>
        <v>0</v>
      </c>
      <c r="AC799" s="71">
        <f t="shared" si="276"/>
        <v>0</v>
      </c>
      <c r="AK799" s="71">
        <f t="shared" si="277"/>
        <v>0</v>
      </c>
      <c r="AM799" s="71">
        <f t="shared" si="278"/>
        <v>0</v>
      </c>
      <c r="AO799" s="71">
        <f t="shared" si="279"/>
        <v>0</v>
      </c>
      <c r="AQ799" s="71">
        <f t="shared" si="280"/>
        <v>0</v>
      </c>
      <c r="AT799" s="71">
        <f t="shared" si="281"/>
        <v>0</v>
      </c>
      <c r="AV799" s="71">
        <f t="shared" si="282"/>
        <v>0</v>
      </c>
      <c r="AX799" s="71">
        <f t="shared" si="283"/>
        <v>0</v>
      </c>
      <c r="AZ799" s="71">
        <f t="shared" si="284"/>
        <v>0</v>
      </c>
      <c r="BE799" s="81">
        <f t="shared" si="285"/>
        <v>0</v>
      </c>
      <c r="BF799" s="81" t="str">
        <f t="shared" si="286"/>
        <v>BASSO</v>
      </c>
    </row>
    <row r="800" spans="7:58" x14ac:dyDescent="0.15">
      <c r="G800" s="64">
        <f t="shared" si="265"/>
        <v>0</v>
      </c>
      <c r="I800" s="64">
        <f t="shared" si="266"/>
        <v>0</v>
      </c>
      <c r="K800" s="64">
        <f t="shared" si="267"/>
        <v>0</v>
      </c>
      <c r="M800" s="64">
        <f t="shared" si="268"/>
        <v>0</v>
      </c>
      <c r="O800" s="64">
        <f t="shared" si="269"/>
        <v>0</v>
      </c>
      <c r="Q800" s="64">
        <f t="shared" si="270"/>
        <v>0</v>
      </c>
      <c r="S800" s="71">
        <f t="shared" si="271"/>
        <v>0</v>
      </c>
      <c r="U800" s="64">
        <f t="shared" si="272"/>
        <v>0</v>
      </c>
      <c r="W800" s="71">
        <f t="shared" si="273"/>
        <v>0</v>
      </c>
      <c r="Y800" s="71">
        <f t="shared" si="274"/>
        <v>0</v>
      </c>
      <c r="AA800" s="71">
        <f t="shared" si="275"/>
        <v>0</v>
      </c>
      <c r="AC800" s="71">
        <f t="shared" si="276"/>
        <v>0</v>
      </c>
      <c r="AK800" s="71">
        <f t="shared" si="277"/>
        <v>0</v>
      </c>
      <c r="AM800" s="71">
        <f t="shared" si="278"/>
        <v>0</v>
      </c>
      <c r="AO800" s="71">
        <f t="shared" si="279"/>
        <v>0</v>
      </c>
      <c r="AQ800" s="71">
        <f t="shared" si="280"/>
        <v>0</v>
      </c>
      <c r="AT800" s="71">
        <f t="shared" si="281"/>
        <v>0</v>
      </c>
      <c r="AV800" s="71">
        <f t="shared" si="282"/>
        <v>0</v>
      </c>
      <c r="AX800" s="71">
        <f t="shared" si="283"/>
        <v>0</v>
      </c>
      <c r="AZ800" s="71">
        <f t="shared" si="284"/>
        <v>0</v>
      </c>
      <c r="BE800" s="81">
        <f t="shared" si="285"/>
        <v>0</v>
      </c>
      <c r="BF800" s="81" t="str">
        <f t="shared" si="286"/>
        <v>BASSO</v>
      </c>
    </row>
    <row r="801" spans="7:58" x14ac:dyDescent="0.15">
      <c r="G801" s="64">
        <f t="shared" si="265"/>
        <v>0</v>
      </c>
      <c r="I801" s="64">
        <f t="shared" si="266"/>
        <v>0</v>
      </c>
      <c r="K801" s="64">
        <f t="shared" si="267"/>
        <v>0</v>
      </c>
      <c r="M801" s="64">
        <f t="shared" si="268"/>
        <v>0</v>
      </c>
      <c r="O801" s="64">
        <f t="shared" si="269"/>
        <v>0</v>
      </c>
      <c r="Q801" s="64">
        <f t="shared" si="270"/>
        <v>0</v>
      </c>
      <c r="S801" s="71">
        <f t="shared" si="271"/>
        <v>0</v>
      </c>
      <c r="U801" s="64">
        <f t="shared" si="272"/>
        <v>0</v>
      </c>
      <c r="W801" s="71">
        <f t="shared" si="273"/>
        <v>0</v>
      </c>
      <c r="Y801" s="71">
        <f t="shared" si="274"/>
        <v>0</v>
      </c>
      <c r="AA801" s="71">
        <f t="shared" si="275"/>
        <v>0</v>
      </c>
      <c r="AC801" s="71">
        <f t="shared" si="276"/>
        <v>0</v>
      </c>
      <c r="AK801" s="71">
        <f t="shared" si="277"/>
        <v>0</v>
      </c>
      <c r="AM801" s="71">
        <f t="shared" si="278"/>
        <v>0</v>
      </c>
      <c r="AO801" s="71">
        <f t="shared" si="279"/>
        <v>0</v>
      </c>
      <c r="AQ801" s="71">
        <f t="shared" si="280"/>
        <v>0</v>
      </c>
      <c r="AT801" s="71">
        <f t="shared" si="281"/>
        <v>0</v>
      </c>
      <c r="AV801" s="71">
        <f t="shared" si="282"/>
        <v>0</v>
      </c>
      <c r="AX801" s="71">
        <f t="shared" si="283"/>
        <v>0</v>
      </c>
      <c r="AZ801" s="71">
        <f t="shared" si="284"/>
        <v>0</v>
      </c>
      <c r="BE801" s="81">
        <f t="shared" si="285"/>
        <v>0</v>
      </c>
      <c r="BF801" s="81" t="str">
        <f t="shared" si="286"/>
        <v>BASSO</v>
      </c>
    </row>
    <row r="802" spans="7:58" x14ac:dyDescent="0.15">
      <c r="G802" s="64">
        <f t="shared" si="265"/>
        <v>0</v>
      </c>
      <c r="I802" s="64">
        <f t="shared" si="266"/>
        <v>0</v>
      </c>
      <c r="K802" s="64">
        <f t="shared" si="267"/>
        <v>0</v>
      </c>
      <c r="M802" s="64">
        <f t="shared" si="268"/>
        <v>0</v>
      </c>
      <c r="O802" s="64">
        <f t="shared" si="269"/>
        <v>0</v>
      </c>
      <c r="Q802" s="64">
        <f t="shared" si="270"/>
        <v>0</v>
      </c>
      <c r="S802" s="71">
        <f t="shared" si="271"/>
        <v>0</v>
      </c>
      <c r="U802" s="64">
        <f t="shared" si="272"/>
        <v>0</v>
      </c>
      <c r="W802" s="71">
        <f t="shared" si="273"/>
        <v>0</v>
      </c>
      <c r="Y802" s="71">
        <f t="shared" si="274"/>
        <v>0</v>
      </c>
      <c r="AA802" s="71">
        <f t="shared" si="275"/>
        <v>0</v>
      </c>
      <c r="AC802" s="71">
        <f t="shared" si="276"/>
        <v>0</v>
      </c>
      <c r="AK802" s="71">
        <f t="shared" si="277"/>
        <v>0</v>
      </c>
      <c r="AM802" s="71">
        <f t="shared" si="278"/>
        <v>0</v>
      </c>
      <c r="AO802" s="71">
        <f t="shared" si="279"/>
        <v>0</v>
      </c>
      <c r="AQ802" s="71">
        <f t="shared" si="280"/>
        <v>0</v>
      </c>
      <c r="AT802" s="71">
        <f t="shared" si="281"/>
        <v>0</v>
      </c>
      <c r="AV802" s="71">
        <f t="shared" si="282"/>
        <v>0</v>
      </c>
      <c r="AX802" s="71">
        <f t="shared" si="283"/>
        <v>0</v>
      </c>
      <c r="AZ802" s="71">
        <f t="shared" si="284"/>
        <v>0</v>
      </c>
      <c r="BE802" s="81">
        <f t="shared" si="285"/>
        <v>0</v>
      </c>
      <c r="BF802" s="81" t="str">
        <f t="shared" si="286"/>
        <v>BASSO</v>
      </c>
    </row>
    <row r="803" spans="7:58" x14ac:dyDescent="0.15">
      <c r="G803" s="64">
        <f t="shared" si="265"/>
        <v>0</v>
      </c>
      <c r="I803" s="64">
        <f t="shared" si="266"/>
        <v>0</v>
      </c>
      <c r="K803" s="64">
        <f t="shared" si="267"/>
        <v>0</v>
      </c>
      <c r="M803" s="64">
        <f t="shared" si="268"/>
        <v>0</v>
      </c>
      <c r="O803" s="64">
        <f t="shared" si="269"/>
        <v>0</v>
      </c>
      <c r="Q803" s="64">
        <f t="shared" si="270"/>
        <v>0</v>
      </c>
      <c r="S803" s="71">
        <f t="shared" si="271"/>
        <v>0</v>
      </c>
      <c r="U803" s="64">
        <f t="shared" si="272"/>
        <v>0</v>
      </c>
      <c r="W803" s="71">
        <f t="shared" si="273"/>
        <v>0</v>
      </c>
      <c r="Y803" s="71">
        <f t="shared" si="274"/>
        <v>0</v>
      </c>
      <c r="AA803" s="71">
        <f t="shared" si="275"/>
        <v>0</v>
      </c>
      <c r="AC803" s="71">
        <f t="shared" si="276"/>
        <v>0</v>
      </c>
      <c r="AK803" s="71">
        <f t="shared" si="277"/>
        <v>0</v>
      </c>
      <c r="AM803" s="71">
        <f t="shared" si="278"/>
        <v>0</v>
      </c>
      <c r="AO803" s="71">
        <f t="shared" si="279"/>
        <v>0</v>
      </c>
      <c r="AQ803" s="71">
        <f t="shared" si="280"/>
        <v>0</v>
      </c>
      <c r="AT803" s="71">
        <f t="shared" si="281"/>
        <v>0</v>
      </c>
      <c r="AV803" s="71">
        <f t="shared" si="282"/>
        <v>0</v>
      </c>
      <c r="AX803" s="71">
        <f t="shared" si="283"/>
        <v>0</v>
      </c>
      <c r="AZ803" s="71">
        <f t="shared" si="284"/>
        <v>0</v>
      </c>
      <c r="BE803" s="81">
        <f t="shared" si="285"/>
        <v>0</v>
      </c>
      <c r="BF803" s="81" t="str">
        <f t="shared" si="286"/>
        <v>BASSO</v>
      </c>
    </row>
    <row r="804" spans="7:58" x14ac:dyDescent="0.15">
      <c r="G804" s="64">
        <f t="shared" si="265"/>
        <v>0</v>
      </c>
      <c r="I804" s="64">
        <f t="shared" si="266"/>
        <v>0</v>
      </c>
      <c r="K804" s="64">
        <f t="shared" si="267"/>
        <v>0</v>
      </c>
      <c r="M804" s="64">
        <f t="shared" si="268"/>
        <v>0</v>
      </c>
      <c r="O804" s="64">
        <f t="shared" si="269"/>
        <v>0</v>
      </c>
      <c r="Q804" s="64">
        <f t="shared" si="270"/>
        <v>0</v>
      </c>
      <c r="S804" s="71">
        <f t="shared" si="271"/>
        <v>0</v>
      </c>
      <c r="U804" s="64">
        <f t="shared" si="272"/>
        <v>0</v>
      </c>
      <c r="W804" s="71">
        <f t="shared" si="273"/>
        <v>0</v>
      </c>
      <c r="Y804" s="71">
        <f t="shared" si="274"/>
        <v>0</v>
      </c>
      <c r="AA804" s="71">
        <f t="shared" si="275"/>
        <v>0</v>
      </c>
      <c r="AC804" s="71">
        <f t="shared" si="276"/>
        <v>0</v>
      </c>
      <c r="AK804" s="71">
        <f t="shared" si="277"/>
        <v>0</v>
      </c>
      <c r="AM804" s="71">
        <f t="shared" si="278"/>
        <v>0</v>
      </c>
      <c r="AO804" s="71">
        <f t="shared" si="279"/>
        <v>0</v>
      </c>
      <c r="AQ804" s="71">
        <f t="shared" si="280"/>
        <v>0</v>
      </c>
      <c r="AT804" s="71">
        <f t="shared" si="281"/>
        <v>0</v>
      </c>
      <c r="AV804" s="71">
        <f t="shared" si="282"/>
        <v>0</v>
      </c>
      <c r="AX804" s="71">
        <f t="shared" si="283"/>
        <v>0</v>
      </c>
      <c r="AZ804" s="71">
        <f t="shared" si="284"/>
        <v>0</v>
      </c>
      <c r="BE804" s="81">
        <f t="shared" si="285"/>
        <v>0</v>
      </c>
      <c r="BF804" s="81" t="str">
        <f t="shared" si="286"/>
        <v>BASSO</v>
      </c>
    </row>
    <row r="805" spans="7:58" x14ac:dyDescent="0.15">
      <c r="G805" s="64">
        <f t="shared" si="265"/>
        <v>0</v>
      </c>
      <c r="I805" s="64">
        <f t="shared" si="266"/>
        <v>0</v>
      </c>
      <c r="K805" s="64">
        <f t="shared" si="267"/>
        <v>0</v>
      </c>
      <c r="M805" s="64">
        <f t="shared" si="268"/>
        <v>0</v>
      </c>
      <c r="O805" s="64">
        <f t="shared" si="269"/>
        <v>0</v>
      </c>
      <c r="Q805" s="64">
        <f t="shared" si="270"/>
        <v>0</v>
      </c>
      <c r="S805" s="71">
        <f t="shared" si="271"/>
        <v>0</v>
      </c>
      <c r="U805" s="64">
        <f t="shared" si="272"/>
        <v>0</v>
      </c>
      <c r="W805" s="71">
        <f t="shared" si="273"/>
        <v>0</v>
      </c>
      <c r="Y805" s="71">
        <f t="shared" si="274"/>
        <v>0</v>
      </c>
      <c r="AA805" s="71">
        <f t="shared" si="275"/>
        <v>0</v>
      </c>
      <c r="AC805" s="71">
        <f t="shared" si="276"/>
        <v>0</v>
      </c>
      <c r="AK805" s="71">
        <f t="shared" si="277"/>
        <v>0</v>
      </c>
      <c r="AM805" s="71">
        <f t="shared" si="278"/>
        <v>0</v>
      </c>
      <c r="AO805" s="71">
        <f t="shared" si="279"/>
        <v>0</v>
      </c>
      <c r="AQ805" s="71">
        <f t="shared" si="280"/>
        <v>0</v>
      </c>
      <c r="AT805" s="71">
        <f t="shared" si="281"/>
        <v>0</v>
      </c>
      <c r="AV805" s="71">
        <f t="shared" si="282"/>
        <v>0</v>
      </c>
      <c r="AX805" s="71">
        <f t="shared" si="283"/>
        <v>0</v>
      </c>
      <c r="AZ805" s="71">
        <f t="shared" si="284"/>
        <v>0</v>
      </c>
      <c r="BE805" s="81">
        <f t="shared" si="285"/>
        <v>0</v>
      </c>
      <c r="BF805" s="81" t="str">
        <f t="shared" si="286"/>
        <v>BASSO</v>
      </c>
    </row>
    <row r="806" spans="7:58" x14ac:dyDescent="0.15">
      <c r="G806" s="64">
        <f t="shared" si="265"/>
        <v>0</v>
      </c>
      <c r="I806" s="64">
        <f t="shared" si="266"/>
        <v>0</v>
      </c>
      <c r="K806" s="64">
        <f t="shared" si="267"/>
        <v>0</v>
      </c>
      <c r="M806" s="64">
        <f t="shared" si="268"/>
        <v>0</v>
      </c>
      <c r="O806" s="64">
        <f t="shared" si="269"/>
        <v>0</v>
      </c>
      <c r="Q806" s="64">
        <f t="shared" si="270"/>
        <v>0</v>
      </c>
      <c r="S806" s="71">
        <f t="shared" si="271"/>
        <v>0</v>
      </c>
      <c r="U806" s="64">
        <f t="shared" si="272"/>
        <v>0</v>
      </c>
      <c r="W806" s="71">
        <f t="shared" si="273"/>
        <v>0</v>
      </c>
      <c r="Y806" s="71">
        <f t="shared" si="274"/>
        <v>0</v>
      </c>
      <c r="AA806" s="71">
        <f t="shared" si="275"/>
        <v>0</v>
      </c>
      <c r="AC806" s="71">
        <f t="shared" si="276"/>
        <v>0</v>
      </c>
      <c r="AK806" s="71">
        <f t="shared" si="277"/>
        <v>0</v>
      </c>
      <c r="AM806" s="71">
        <f t="shared" si="278"/>
        <v>0</v>
      </c>
      <c r="AO806" s="71">
        <f t="shared" si="279"/>
        <v>0</v>
      </c>
      <c r="AQ806" s="71">
        <f t="shared" si="280"/>
        <v>0</v>
      </c>
      <c r="AT806" s="71">
        <f t="shared" si="281"/>
        <v>0</v>
      </c>
      <c r="AV806" s="71">
        <f t="shared" si="282"/>
        <v>0</v>
      </c>
      <c r="AX806" s="71">
        <f t="shared" si="283"/>
        <v>0</v>
      </c>
      <c r="AZ806" s="71">
        <f t="shared" si="284"/>
        <v>0</v>
      </c>
      <c r="BE806" s="81">
        <f t="shared" si="285"/>
        <v>0</v>
      </c>
      <c r="BF806" s="81" t="str">
        <f t="shared" si="286"/>
        <v>BASSO</v>
      </c>
    </row>
    <row r="807" spans="7:58" x14ac:dyDescent="0.15">
      <c r="G807" s="64">
        <f t="shared" si="265"/>
        <v>0</v>
      </c>
      <c r="I807" s="64">
        <f t="shared" si="266"/>
        <v>0</v>
      </c>
      <c r="K807" s="64">
        <f t="shared" si="267"/>
        <v>0</v>
      </c>
      <c r="M807" s="64">
        <f t="shared" si="268"/>
        <v>0</v>
      </c>
      <c r="O807" s="64">
        <f t="shared" si="269"/>
        <v>0</v>
      </c>
      <c r="Q807" s="64">
        <f t="shared" si="270"/>
        <v>0</v>
      </c>
      <c r="S807" s="71">
        <f t="shared" si="271"/>
        <v>0</v>
      </c>
      <c r="U807" s="64">
        <f t="shared" si="272"/>
        <v>0</v>
      </c>
      <c r="W807" s="71">
        <f t="shared" si="273"/>
        <v>0</v>
      </c>
      <c r="Y807" s="71">
        <f t="shared" si="274"/>
        <v>0</v>
      </c>
      <c r="AA807" s="71">
        <f t="shared" si="275"/>
        <v>0</v>
      </c>
      <c r="AC807" s="71">
        <f t="shared" si="276"/>
        <v>0</v>
      </c>
      <c r="AK807" s="71">
        <f t="shared" si="277"/>
        <v>0</v>
      </c>
      <c r="AM807" s="71">
        <f t="shared" si="278"/>
        <v>0</v>
      </c>
      <c r="AO807" s="71">
        <f t="shared" si="279"/>
        <v>0</v>
      </c>
      <c r="AQ807" s="71">
        <f t="shared" si="280"/>
        <v>0</v>
      </c>
      <c r="AT807" s="71">
        <f t="shared" si="281"/>
        <v>0</v>
      </c>
      <c r="AV807" s="71">
        <f t="shared" si="282"/>
        <v>0</v>
      </c>
      <c r="AX807" s="71">
        <f t="shared" si="283"/>
        <v>0</v>
      </c>
      <c r="AZ807" s="71">
        <f t="shared" si="284"/>
        <v>0</v>
      </c>
      <c r="BE807" s="81">
        <f t="shared" si="285"/>
        <v>0</v>
      </c>
      <c r="BF807" s="81" t="str">
        <f t="shared" si="286"/>
        <v>BASSO</v>
      </c>
    </row>
    <row r="808" spans="7:58" x14ac:dyDescent="0.15">
      <c r="G808" s="64">
        <f t="shared" si="265"/>
        <v>0</v>
      </c>
      <c r="I808" s="64">
        <f t="shared" si="266"/>
        <v>0</v>
      </c>
      <c r="K808" s="64">
        <f t="shared" si="267"/>
        <v>0</v>
      </c>
      <c r="M808" s="64">
        <f t="shared" si="268"/>
        <v>0</v>
      </c>
      <c r="O808" s="64">
        <f t="shared" si="269"/>
        <v>0</v>
      </c>
      <c r="Q808" s="64">
        <f t="shared" si="270"/>
        <v>0</v>
      </c>
      <c r="S808" s="71">
        <f t="shared" si="271"/>
        <v>0</v>
      </c>
      <c r="U808" s="64">
        <f t="shared" si="272"/>
        <v>0</v>
      </c>
      <c r="W808" s="71">
        <f t="shared" si="273"/>
        <v>0</v>
      </c>
      <c r="Y808" s="71">
        <f t="shared" si="274"/>
        <v>0</v>
      </c>
      <c r="AA808" s="71">
        <f t="shared" si="275"/>
        <v>0</v>
      </c>
      <c r="AC808" s="71">
        <f t="shared" si="276"/>
        <v>0</v>
      </c>
      <c r="AK808" s="71">
        <f t="shared" si="277"/>
        <v>0</v>
      </c>
      <c r="AM808" s="71">
        <f t="shared" si="278"/>
        <v>0</v>
      </c>
      <c r="AO808" s="71">
        <f t="shared" si="279"/>
        <v>0</v>
      </c>
      <c r="AQ808" s="71">
        <f t="shared" si="280"/>
        <v>0</v>
      </c>
      <c r="AT808" s="71">
        <f t="shared" si="281"/>
        <v>0</v>
      </c>
      <c r="AV808" s="71">
        <f t="shared" si="282"/>
        <v>0</v>
      </c>
      <c r="AX808" s="71">
        <f t="shared" si="283"/>
        <v>0</v>
      </c>
      <c r="AZ808" s="71">
        <f t="shared" si="284"/>
        <v>0</v>
      </c>
      <c r="BE808" s="81">
        <f t="shared" si="285"/>
        <v>0</v>
      </c>
      <c r="BF808" s="81" t="str">
        <f t="shared" si="286"/>
        <v>BASSO</v>
      </c>
    </row>
    <row r="809" spans="7:58" x14ac:dyDescent="0.15">
      <c r="G809" s="64">
        <f t="shared" si="265"/>
        <v>0</v>
      </c>
      <c r="I809" s="64">
        <f t="shared" si="266"/>
        <v>0</v>
      </c>
      <c r="K809" s="64">
        <f t="shared" si="267"/>
        <v>0</v>
      </c>
      <c r="M809" s="64">
        <f t="shared" si="268"/>
        <v>0</v>
      </c>
      <c r="O809" s="64">
        <f t="shared" si="269"/>
        <v>0</v>
      </c>
      <c r="Q809" s="64">
        <f t="shared" si="270"/>
        <v>0</v>
      </c>
      <c r="S809" s="71">
        <f t="shared" si="271"/>
        <v>0</v>
      </c>
      <c r="U809" s="64">
        <f t="shared" si="272"/>
        <v>0</v>
      </c>
      <c r="W809" s="71">
        <f t="shared" si="273"/>
        <v>0</v>
      </c>
      <c r="Y809" s="71">
        <f t="shared" si="274"/>
        <v>0</v>
      </c>
      <c r="AA809" s="71">
        <f t="shared" si="275"/>
        <v>0</v>
      </c>
      <c r="AC809" s="71">
        <f t="shared" si="276"/>
        <v>0</v>
      </c>
      <c r="AK809" s="71">
        <f t="shared" si="277"/>
        <v>0</v>
      </c>
      <c r="AM809" s="71">
        <f t="shared" si="278"/>
        <v>0</v>
      </c>
      <c r="AO809" s="71">
        <f t="shared" si="279"/>
        <v>0</v>
      </c>
      <c r="AQ809" s="71">
        <f t="shared" si="280"/>
        <v>0</v>
      </c>
      <c r="AT809" s="71">
        <f t="shared" si="281"/>
        <v>0</v>
      </c>
      <c r="AV809" s="71">
        <f t="shared" si="282"/>
        <v>0</v>
      </c>
      <c r="AX809" s="71">
        <f t="shared" si="283"/>
        <v>0</v>
      </c>
      <c r="AZ809" s="71">
        <f t="shared" si="284"/>
        <v>0</v>
      </c>
      <c r="BE809" s="81">
        <f t="shared" si="285"/>
        <v>0</v>
      </c>
      <c r="BF809" s="81" t="str">
        <f t="shared" si="286"/>
        <v>BASSO</v>
      </c>
    </row>
    <row r="810" spans="7:58" x14ac:dyDescent="0.15">
      <c r="G810" s="64">
        <f t="shared" si="265"/>
        <v>0</v>
      </c>
      <c r="I810" s="64">
        <f t="shared" si="266"/>
        <v>0</v>
      </c>
      <c r="K810" s="64">
        <f t="shared" si="267"/>
        <v>0</v>
      </c>
      <c r="M810" s="64">
        <f t="shared" si="268"/>
        <v>0</v>
      </c>
      <c r="O810" s="64">
        <f t="shared" si="269"/>
        <v>0</v>
      </c>
      <c r="Q810" s="64">
        <f t="shared" si="270"/>
        <v>0</v>
      </c>
      <c r="S810" s="71">
        <f t="shared" si="271"/>
        <v>0</v>
      </c>
      <c r="U810" s="64">
        <f t="shared" si="272"/>
        <v>0</v>
      </c>
      <c r="W810" s="71">
        <f t="shared" si="273"/>
        <v>0</v>
      </c>
      <c r="Y810" s="71">
        <f t="shared" si="274"/>
        <v>0</v>
      </c>
      <c r="AA810" s="71">
        <f t="shared" si="275"/>
        <v>0</v>
      </c>
      <c r="AC810" s="71">
        <f t="shared" si="276"/>
        <v>0</v>
      </c>
      <c r="AK810" s="71">
        <f t="shared" si="277"/>
        <v>0</v>
      </c>
      <c r="AM810" s="71">
        <f t="shared" si="278"/>
        <v>0</v>
      </c>
      <c r="AO810" s="71">
        <f t="shared" si="279"/>
        <v>0</v>
      </c>
      <c r="AQ810" s="71">
        <f t="shared" si="280"/>
        <v>0</v>
      </c>
      <c r="AT810" s="71">
        <f t="shared" si="281"/>
        <v>0</v>
      </c>
      <c r="AV810" s="71">
        <f t="shared" si="282"/>
        <v>0</v>
      </c>
      <c r="AX810" s="71">
        <f t="shared" si="283"/>
        <v>0</v>
      </c>
      <c r="AZ810" s="71">
        <f t="shared" si="284"/>
        <v>0</v>
      </c>
      <c r="BE810" s="81">
        <f t="shared" si="285"/>
        <v>0</v>
      </c>
      <c r="BF810" s="81" t="str">
        <f t="shared" si="286"/>
        <v>BASSO</v>
      </c>
    </row>
    <row r="811" spans="7:58" x14ac:dyDescent="0.15">
      <c r="G811" s="64">
        <f t="shared" si="265"/>
        <v>0</v>
      </c>
      <c r="I811" s="64">
        <f t="shared" si="266"/>
        <v>0</v>
      </c>
      <c r="K811" s="64">
        <f t="shared" si="267"/>
        <v>0</v>
      </c>
      <c r="M811" s="64">
        <f t="shared" si="268"/>
        <v>0</v>
      </c>
      <c r="O811" s="64">
        <f t="shared" si="269"/>
        <v>0</v>
      </c>
      <c r="Q811" s="64">
        <f t="shared" si="270"/>
        <v>0</v>
      </c>
      <c r="S811" s="71">
        <f t="shared" si="271"/>
        <v>0</v>
      </c>
      <c r="U811" s="64">
        <f t="shared" si="272"/>
        <v>0</v>
      </c>
      <c r="W811" s="71">
        <f t="shared" si="273"/>
        <v>0</v>
      </c>
      <c r="Y811" s="71">
        <f t="shared" si="274"/>
        <v>0</v>
      </c>
      <c r="AA811" s="71">
        <f t="shared" si="275"/>
        <v>0</v>
      </c>
      <c r="AC811" s="71">
        <f t="shared" si="276"/>
        <v>0</v>
      </c>
      <c r="AK811" s="71">
        <f t="shared" si="277"/>
        <v>0</v>
      </c>
      <c r="AM811" s="71">
        <f t="shared" si="278"/>
        <v>0</v>
      </c>
      <c r="AO811" s="71">
        <f t="shared" si="279"/>
        <v>0</v>
      </c>
      <c r="AQ811" s="71">
        <f t="shared" si="280"/>
        <v>0</v>
      </c>
      <c r="AT811" s="71">
        <f t="shared" si="281"/>
        <v>0</v>
      </c>
      <c r="AV811" s="71">
        <f t="shared" si="282"/>
        <v>0</v>
      </c>
      <c r="AX811" s="71">
        <f t="shared" si="283"/>
        <v>0</v>
      </c>
      <c r="AZ811" s="71">
        <f t="shared" si="284"/>
        <v>0</v>
      </c>
      <c r="BE811" s="81">
        <f t="shared" si="285"/>
        <v>0</v>
      </c>
      <c r="BF811" s="81" t="str">
        <f t="shared" si="286"/>
        <v>BASSO</v>
      </c>
    </row>
    <row r="812" spans="7:58" x14ac:dyDescent="0.15">
      <c r="G812" s="64">
        <f t="shared" si="265"/>
        <v>0</v>
      </c>
      <c r="I812" s="64">
        <f t="shared" si="266"/>
        <v>0</v>
      </c>
      <c r="K812" s="64">
        <f t="shared" si="267"/>
        <v>0</v>
      </c>
      <c r="M812" s="64">
        <f t="shared" si="268"/>
        <v>0</v>
      </c>
      <c r="O812" s="64">
        <f t="shared" si="269"/>
        <v>0</v>
      </c>
      <c r="Q812" s="64">
        <f t="shared" si="270"/>
        <v>0</v>
      </c>
      <c r="S812" s="71">
        <f t="shared" si="271"/>
        <v>0</v>
      </c>
      <c r="U812" s="64">
        <f t="shared" si="272"/>
        <v>0</v>
      </c>
      <c r="W812" s="71">
        <f t="shared" si="273"/>
        <v>0</v>
      </c>
      <c r="Y812" s="71">
        <f t="shared" si="274"/>
        <v>0</v>
      </c>
      <c r="AA812" s="71">
        <f t="shared" si="275"/>
        <v>0</v>
      </c>
      <c r="AC812" s="71">
        <f t="shared" si="276"/>
        <v>0</v>
      </c>
      <c r="AK812" s="71">
        <f t="shared" si="277"/>
        <v>0</v>
      </c>
      <c r="AM812" s="71">
        <f t="shared" si="278"/>
        <v>0</v>
      </c>
      <c r="AO812" s="71">
        <f t="shared" si="279"/>
        <v>0</v>
      </c>
      <c r="AQ812" s="71">
        <f t="shared" si="280"/>
        <v>0</v>
      </c>
      <c r="AT812" s="71">
        <f t="shared" si="281"/>
        <v>0</v>
      </c>
      <c r="AV812" s="71">
        <f t="shared" si="282"/>
        <v>0</v>
      </c>
      <c r="AX812" s="71">
        <f t="shared" si="283"/>
        <v>0</v>
      </c>
      <c r="AZ812" s="71">
        <f t="shared" si="284"/>
        <v>0</v>
      </c>
      <c r="BE812" s="81">
        <f t="shared" si="285"/>
        <v>0</v>
      </c>
      <c r="BF812" s="81" t="str">
        <f t="shared" si="286"/>
        <v>BASSO</v>
      </c>
    </row>
    <row r="813" spans="7:58" x14ac:dyDescent="0.15">
      <c r="G813" s="64">
        <f t="shared" si="265"/>
        <v>0</v>
      </c>
      <c r="I813" s="64">
        <f t="shared" si="266"/>
        <v>0</v>
      </c>
      <c r="K813" s="64">
        <f t="shared" si="267"/>
        <v>0</v>
      </c>
      <c r="M813" s="64">
        <f t="shared" si="268"/>
        <v>0</v>
      </c>
      <c r="O813" s="64">
        <f t="shared" si="269"/>
        <v>0</v>
      </c>
      <c r="Q813" s="64">
        <f t="shared" si="270"/>
        <v>0</v>
      </c>
      <c r="S813" s="71">
        <f t="shared" si="271"/>
        <v>0</v>
      </c>
      <c r="U813" s="64">
        <f t="shared" si="272"/>
        <v>0</v>
      </c>
      <c r="W813" s="71">
        <f t="shared" si="273"/>
        <v>0</v>
      </c>
      <c r="Y813" s="71">
        <f t="shared" si="274"/>
        <v>0</v>
      </c>
      <c r="AA813" s="71">
        <f t="shared" si="275"/>
        <v>0</v>
      </c>
      <c r="AC813" s="71">
        <f t="shared" si="276"/>
        <v>0</v>
      </c>
      <c r="AK813" s="71">
        <f t="shared" si="277"/>
        <v>0</v>
      </c>
      <c r="AM813" s="71">
        <f t="shared" si="278"/>
        <v>0</v>
      </c>
      <c r="AO813" s="71">
        <f t="shared" si="279"/>
        <v>0</v>
      </c>
      <c r="AQ813" s="71">
        <f t="shared" si="280"/>
        <v>0</v>
      </c>
      <c r="AT813" s="71">
        <f t="shared" si="281"/>
        <v>0</v>
      </c>
      <c r="AV813" s="71">
        <f t="shared" si="282"/>
        <v>0</v>
      </c>
      <c r="AX813" s="71">
        <f t="shared" si="283"/>
        <v>0</v>
      </c>
      <c r="AZ813" s="71">
        <f t="shared" si="284"/>
        <v>0</v>
      </c>
      <c r="BE813" s="81">
        <f t="shared" si="285"/>
        <v>0</v>
      </c>
      <c r="BF813" s="81" t="str">
        <f t="shared" si="286"/>
        <v>BASSO</v>
      </c>
    </row>
    <row r="814" spans="7:58" x14ac:dyDescent="0.15">
      <c r="G814" s="64">
        <f t="shared" si="265"/>
        <v>0</v>
      </c>
      <c r="I814" s="64">
        <f t="shared" si="266"/>
        <v>0</v>
      </c>
      <c r="K814" s="64">
        <f t="shared" si="267"/>
        <v>0</v>
      </c>
      <c r="M814" s="64">
        <f t="shared" si="268"/>
        <v>0</v>
      </c>
      <c r="O814" s="64">
        <f t="shared" si="269"/>
        <v>0</v>
      </c>
      <c r="Q814" s="64">
        <f t="shared" si="270"/>
        <v>0</v>
      </c>
      <c r="S814" s="71">
        <f t="shared" si="271"/>
        <v>0</v>
      </c>
      <c r="U814" s="64">
        <f t="shared" si="272"/>
        <v>0</v>
      </c>
      <c r="W814" s="71">
        <f t="shared" si="273"/>
        <v>0</v>
      </c>
      <c r="Y814" s="71">
        <f t="shared" si="274"/>
        <v>0</v>
      </c>
      <c r="AA814" s="71">
        <f t="shared" si="275"/>
        <v>0</v>
      </c>
      <c r="AC814" s="71">
        <f t="shared" si="276"/>
        <v>0</v>
      </c>
      <c r="AK814" s="71">
        <f t="shared" si="277"/>
        <v>0</v>
      </c>
      <c r="AM814" s="71">
        <f t="shared" si="278"/>
        <v>0</v>
      </c>
      <c r="AO814" s="71">
        <f t="shared" si="279"/>
        <v>0</v>
      </c>
      <c r="AQ814" s="71">
        <f t="shared" si="280"/>
        <v>0</v>
      </c>
      <c r="AT814" s="71">
        <f t="shared" si="281"/>
        <v>0</v>
      </c>
      <c r="AV814" s="71">
        <f t="shared" si="282"/>
        <v>0</v>
      </c>
      <c r="AX814" s="71">
        <f t="shared" si="283"/>
        <v>0</v>
      </c>
      <c r="AZ814" s="71">
        <f t="shared" si="284"/>
        <v>0</v>
      </c>
      <c r="BE814" s="81">
        <f t="shared" si="285"/>
        <v>0</v>
      </c>
      <c r="BF814" s="81" t="str">
        <f t="shared" si="286"/>
        <v>BASSO</v>
      </c>
    </row>
    <row r="815" spans="7:58" x14ac:dyDescent="0.15">
      <c r="G815" s="64">
        <f t="shared" si="265"/>
        <v>0</v>
      </c>
      <c r="I815" s="64">
        <f t="shared" si="266"/>
        <v>0</v>
      </c>
      <c r="K815" s="64">
        <f t="shared" si="267"/>
        <v>0</v>
      </c>
      <c r="M815" s="64">
        <f t="shared" si="268"/>
        <v>0</v>
      </c>
      <c r="O815" s="64">
        <f t="shared" si="269"/>
        <v>0</v>
      </c>
      <c r="Q815" s="64">
        <f t="shared" si="270"/>
        <v>0</v>
      </c>
      <c r="S815" s="71">
        <f t="shared" si="271"/>
        <v>0</v>
      </c>
      <c r="U815" s="64">
        <f t="shared" si="272"/>
        <v>0</v>
      </c>
      <c r="W815" s="71">
        <f t="shared" si="273"/>
        <v>0</v>
      </c>
      <c r="Y815" s="71">
        <f t="shared" si="274"/>
        <v>0</v>
      </c>
      <c r="AA815" s="71">
        <f t="shared" si="275"/>
        <v>0</v>
      </c>
      <c r="AC815" s="71">
        <f t="shared" si="276"/>
        <v>0</v>
      </c>
      <c r="AK815" s="71">
        <f t="shared" si="277"/>
        <v>0</v>
      </c>
      <c r="AM815" s="71">
        <f t="shared" si="278"/>
        <v>0</v>
      </c>
      <c r="AO815" s="71">
        <f t="shared" si="279"/>
        <v>0</v>
      </c>
      <c r="AQ815" s="71">
        <f t="shared" si="280"/>
        <v>0</v>
      </c>
      <c r="AT815" s="71">
        <f t="shared" si="281"/>
        <v>0</v>
      </c>
      <c r="AV815" s="71">
        <f t="shared" si="282"/>
        <v>0</v>
      </c>
      <c r="AX815" s="71">
        <f t="shared" si="283"/>
        <v>0</v>
      </c>
      <c r="AZ815" s="71">
        <f t="shared" si="284"/>
        <v>0</v>
      </c>
      <c r="BE815" s="81">
        <f t="shared" si="285"/>
        <v>0</v>
      </c>
      <c r="BF815" s="81" t="str">
        <f t="shared" si="286"/>
        <v>BASSO</v>
      </c>
    </row>
    <row r="816" spans="7:58" x14ac:dyDescent="0.15">
      <c r="G816" s="64">
        <f t="shared" si="265"/>
        <v>0</v>
      </c>
      <c r="I816" s="64">
        <f t="shared" si="266"/>
        <v>0</v>
      </c>
      <c r="K816" s="64">
        <f t="shared" si="267"/>
        <v>0</v>
      </c>
      <c r="M816" s="64">
        <f t="shared" si="268"/>
        <v>0</v>
      </c>
      <c r="O816" s="64">
        <f t="shared" si="269"/>
        <v>0</v>
      </c>
      <c r="Q816" s="64">
        <f t="shared" si="270"/>
        <v>0</v>
      </c>
      <c r="S816" s="71">
        <f t="shared" si="271"/>
        <v>0</v>
      </c>
      <c r="U816" s="64">
        <f t="shared" si="272"/>
        <v>0</v>
      </c>
      <c r="W816" s="71">
        <f t="shared" si="273"/>
        <v>0</v>
      </c>
      <c r="Y816" s="71">
        <f t="shared" si="274"/>
        <v>0</v>
      </c>
      <c r="AA816" s="71">
        <f t="shared" si="275"/>
        <v>0</v>
      </c>
      <c r="AC816" s="71">
        <f t="shared" si="276"/>
        <v>0</v>
      </c>
      <c r="AK816" s="71">
        <f t="shared" si="277"/>
        <v>0</v>
      </c>
      <c r="AM816" s="71">
        <f t="shared" si="278"/>
        <v>0</v>
      </c>
      <c r="AO816" s="71">
        <f t="shared" si="279"/>
        <v>0</v>
      </c>
      <c r="AQ816" s="71">
        <f t="shared" si="280"/>
        <v>0</v>
      </c>
      <c r="AT816" s="71">
        <f t="shared" si="281"/>
        <v>0</v>
      </c>
      <c r="AV816" s="71">
        <f t="shared" si="282"/>
        <v>0</v>
      </c>
      <c r="AX816" s="71">
        <f t="shared" si="283"/>
        <v>0</v>
      </c>
      <c r="AZ816" s="71">
        <f t="shared" si="284"/>
        <v>0</v>
      </c>
      <c r="BE816" s="81">
        <f t="shared" si="285"/>
        <v>0</v>
      </c>
      <c r="BF816" s="81" t="str">
        <f t="shared" si="286"/>
        <v>BASSO</v>
      </c>
    </row>
    <row r="817" spans="7:58" x14ac:dyDescent="0.15">
      <c r="G817" s="64">
        <f t="shared" si="265"/>
        <v>0</v>
      </c>
      <c r="I817" s="64">
        <f t="shared" si="266"/>
        <v>0</v>
      </c>
      <c r="K817" s="64">
        <f t="shared" si="267"/>
        <v>0</v>
      </c>
      <c r="M817" s="64">
        <f t="shared" si="268"/>
        <v>0</v>
      </c>
      <c r="O817" s="64">
        <f t="shared" si="269"/>
        <v>0</v>
      </c>
      <c r="Q817" s="64">
        <f t="shared" si="270"/>
        <v>0</v>
      </c>
      <c r="S817" s="71">
        <f t="shared" si="271"/>
        <v>0</v>
      </c>
      <c r="U817" s="64">
        <f t="shared" si="272"/>
        <v>0</v>
      </c>
      <c r="W817" s="71">
        <f t="shared" si="273"/>
        <v>0</v>
      </c>
      <c r="Y817" s="71">
        <f t="shared" si="274"/>
        <v>0</v>
      </c>
      <c r="AA817" s="71">
        <f t="shared" si="275"/>
        <v>0</v>
      </c>
      <c r="AC817" s="71">
        <f t="shared" si="276"/>
        <v>0</v>
      </c>
      <c r="AK817" s="71">
        <f t="shared" si="277"/>
        <v>0</v>
      </c>
      <c r="AM817" s="71">
        <f t="shared" si="278"/>
        <v>0</v>
      </c>
      <c r="AO817" s="71">
        <f t="shared" si="279"/>
        <v>0</v>
      </c>
      <c r="AQ817" s="71">
        <f t="shared" si="280"/>
        <v>0</v>
      </c>
      <c r="AT817" s="71">
        <f t="shared" si="281"/>
        <v>0</v>
      </c>
      <c r="AV817" s="71">
        <f t="shared" si="282"/>
        <v>0</v>
      </c>
      <c r="AX817" s="71">
        <f t="shared" si="283"/>
        <v>0</v>
      </c>
      <c r="AZ817" s="71">
        <f t="shared" si="284"/>
        <v>0</v>
      </c>
      <c r="BE817" s="81">
        <f t="shared" si="285"/>
        <v>0</v>
      </c>
      <c r="BF817" s="81" t="str">
        <f t="shared" si="286"/>
        <v>BASSO</v>
      </c>
    </row>
    <row r="818" spans="7:58" x14ac:dyDescent="0.15">
      <c r="G818" s="64">
        <f t="shared" si="265"/>
        <v>0</v>
      </c>
      <c r="I818" s="64">
        <f t="shared" si="266"/>
        <v>0</v>
      </c>
      <c r="K818" s="64">
        <f t="shared" si="267"/>
        <v>0</v>
      </c>
      <c r="M818" s="64">
        <f t="shared" si="268"/>
        <v>0</v>
      </c>
      <c r="O818" s="64">
        <f t="shared" si="269"/>
        <v>0</v>
      </c>
      <c r="Q818" s="64">
        <f t="shared" si="270"/>
        <v>0</v>
      </c>
      <c r="S818" s="71">
        <f t="shared" si="271"/>
        <v>0</v>
      </c>
      <c r="U818" s="64">
        <f t="shared" si="272"/>
        <v>0</v>
      </c>
      <c r="W818" s="71">
        <f t="shared" si="273"/>
        <v>0</v>
      </c>
      <c r="Y818" s="71">
        <f t="shared" si="274"/>
        <v>0</v>
      </c>
      <c r="AA818" s="71">
        <f t="shared" si="275"/>
        <v>0</v>
      </c>
      <c r="AC818" s="71">
        <f t="shared" si="276"/>
        <v>0</v>
      </c>
      <c r="AK818" s="71">
        <f t="shared" si="277"/>
        <v>0</v>
      </c>
      <c r="AM818" s="71">
        <f t="shared" si="278"/>
        <v>0</v>
      </c>
      <c r="AO818" s="71">
        <f t="shared" si="279"/>
        <v>0</v>
      </c>
      <c r="AQ818" s="71">
        <f t="shared" si="280"/>
        <v>0</v>
      </c>
      <c r="AT818" s="71">
        <f t="shared" si="281"/>
        <v>0</v>
      </c>
      <c r="AV818" s="71">
        <f t="shared" si="282"/>
        <v>0</v>
      </c>
      <c r="AX818" s="71">
        <f t="shared" si="283"/>
        <v>0</v>
      </c>
      <c r="AZ818" s="71">
        <f t="shared" si="284"/>
        <v>0</v>
      </c>
      <c r="BE818" s="81">
        <f t="shared" si="285"/>
        <v>0</v>
      </c>
      <c r="BF818" s="81" t="str">
        <f t="shared" si="286"/>
        <v>BASSO</v>
      </c>
    </row>
    <row r="819" spans="7:58" x14ac:dyDescent="0.15">
      <c r="G819" s="64">
        <f t="shared" si="265"/>
        <v>0</v>
      </c>
      <c r="I819" s="64">
        <f t="shared" si="266"/>
        <v>0</v>
      </c>
      <c r="K819" s="64">
        <f t="shared" si="267"/>
        <v>0</v>
      </c>
      <c r="M819" s="64">
        <f t="shared" si="268"/>
        <v>0</v>
      </c>
      <c r="O819" s="64">
        <f t="shared" si="269"/>
        <v>0</v>
      </c>
      <c r="Q819" s="64">
        <f t="shared" si="270"/>
        <v>0</v>
      </c>
      <c r="S819" s="71">
        <f t="shared" si="271"/>
        <v>0</v>
      </c>
      <c r="U819" s="64">
        <f t="shared" si="272"/>
        <v>0</v>
      </c>
      <c r="W819" s="71">
        <f t="shared" si="273"/>
        <v>0</v>
      </c>
      <c r="Y819" s="71">
        <f t="shared" si="274"/>
        <v>0</v>
      </c>
      <c r="AA819" s="71">
        <f t="shared" si="275"/>
        <v>0</v>
      </c>
      <c r="AC819" s="71">
        <f t="shared" si="276"/>
        <v>0</v>
      </c>
      <c r="AK819" s="71">
        <f t="shared" si="277"/>
        <v>0</v>
      </c>
      <c r="AM819" s="71">
        <f t="shared" si="278"/>
        <v>0</v>
      </c>
      <c r="AO819" s="71">
        <f t="shared" si="279"/>
        <v>0</v>
      </c>
      <c r="AQ819" s="71">
        <f t="shared" si="280"/>
        <v>0</v>
      </c>
      <c r="AT819" s="71">
        <f t="shared" si="281"/>
        <v>0</v>
      </c>
      <c r="AV819" s="71">
        <f t="shared" si="282"/>
        <v>0</v>
      </c>
      <c r="AX819" s="71">
        <f t="shared" si="283"/>
        <v>0</v>
      </c>
      <c r="AZ819" s="71">
        <f t="shared" si="284"/>
        <v>0</v>
      </c>
      <c r="BE819" s="81">
        <f t="shared" si="285"/>
        <v>0</v>
      </c>
      <c r="BF819" s="81" t="str">
        <f t="shared" si="286"/>
        <v>BASSO</v>
      </c>
    </row>
    <row r="820" spans="7:58" x14ac:dyDescent="0.15">
      <c r="G820" s="64">
        <f t="shared" si="265"/>
        <v>0</v>
      </c>
      <c r="I820" s="64">
        <f t="shared" si="266"/>
        <v>0</v>
      </c>
      <c r="K820" s="64">
        <f t="shared" si="267"/>
        <v>0</v>
      </c>
      <c r="M820" s="64">
        <f t="shared" si="268"/>
        <v>0</v>
      </c>
      <c r="O820" s="64">
        <f t="shared" si="269"/>
        <v>0</v>
      </c>
      <c r="Q820" s="64">
        <f t="shared" si="270"/>
        <v>0</v>
      </c>
      <c r="S820" s="71">
        <f t="shared" si="271"/>
        <v>0</v>
      </c>
      <c r="U820" s="64">
        <f t="shared" si="272"/>
        <v>0</v>
      </c>
      <c r="W820" s="71">
        <f t="shared" si="273"/>
        <v>0</v>
      </c>
      <c r="Y820" s="71">
        <f t="shared" si="274"/>
        <v>0</v>
      </c>
      <c r="AA820" s="71">
        <f t="shared" si="275"/>
        <v>0</v>
      </c>
      <c r="AC820" s="71">
        <f t="shared" si="276"/>
        <v>0</v>
      </c>
      <c r="AK820" s="71">
        <f t="shared" si="277"/>
        <v>0</v>
      </c>
      <c r="AM820" s="71">
        <f t="shared" si="278"/>
        <v>0</v>
      </c>
      <c r="AO820" s="71">
        <f t="shared" si="279"/>
        <v>0</v>
      </c>
      <c r="AQ820" s="71">
        <f t="shared" si="280"/>
        <v>0</v>
      </c>
      <c r="AT820" s="71">
        <f t="shared" si="281"/>
        <v>0</v>
      </c>
      <c r="AV820" s="71">
        <f t="shared" si="282"/>
        <v>0</v>
      </c>
      <c r="AX820" s="71">
        <f t="shared" si="283"/>
        <v>0</v>
      </c>
      <c r="AZ820" s="71">
        <f t="shared" si="284"/>
        <v>0</v>
      </c>
      <c r="BE820" s="81">
        <f t="shared" si="285"/>
        <v>0</v>
      </c>
      <c r="BF820" s="81" t="str">
        <f t="shared" si="286"/>
        <v>BASSO</v>
      </c>
    </row>
    <row r="821" spans="7:58" x14ac:dyDescent="0.15">
      <c r="G821" s="64">
        <f t="shared" si="265"/>
        <v>0</v>
      </c>
      <c r="I821" s="64">
        <f t="shared" si="266"/>
        <v>0</v>
      </c>
      <c r="K821" s="64">
        <f t="shared" si="267"/>
        <v>0</v>
      </c>
      <c r="M821" s="64">
        <f t="shared" si="268"/>
        <v>0</v>
      </c>
      <c r="O821" s="64">
        <f t="shared" si="269"/>
        <v>0</v>
      </c>
      <c r="Q821" s="64">
        <f t="shared" si="270"/>
        <v>0</v>
      </c>
      <c r="S821" s="71">
        <f t="shared" si="271"/>
        <v>0</v>
      </c>
      <c r="U821" s="64">
        <f t="shared" si="272"/>
        <v>0</v>
      </c>
      <c r="W821" s="71">
        <f t="shared" si="273"/>
        <v>0</v>
      </c>
      <c r="Y821" s="71">
        <f t="shared" si="274"/>
        <v>0</v>
      </c>
      <c r="AA821" s="71">
        <f t="shared" si="275"/>
        <v>0</v>
      </c>
      <c r="AC821" s="71">
        <f t="shared" si="276"/>
        <v>0</v>
      </c>
      <c r="AK821" s="71">
        <f t="shared" si="277"/>
        <v>0</v>
      </c>
      <c r="AM821" s="71">
        <f t="shared" si="278"/>
        <v>0</v>
      </c>
      <c r="AO821" s="71">
        <f t="shared" si="279"/>
        <v>0</v>
      </c>
      <c r="AQ821" s="71">
        <f t="shared" si="280"/>
        <v>0</v>
      </c>
      <c r="AT821" s="71">
        <f t="shared" si="281"/>
        <v>0</v>
      </c>
      <c r="AV821" s="71">
        <f t="shared" si="282"/>
        <v>0</v>
      </c>
      <c r="AX821" s="71">
        <f t="shared" si="283"/>
        <v>0</v>
      </c>
      <c r="AZ821" s="71">
        <f t="shared" si="284"/>
        <v>0</v>
      </c>
      <c r="BE821" s="81">
        <f t="shared" si="285"/>
        <v>0</v>
      </c>
      <c r="BF821" s="81" t="str">
        <f t="shared" si="286"/>
        <v>BASSO</v>
      </c>
    </row>
    <row r="822" spans="7:58" x14ac:dyDescent="0.15">
      <c r="G822" s="64">
        <f t="shared" si="265"/>
        <v>0</v>
      </c>
      <c r="I822" s="64">
        <f t="shared" si="266"/>
        <v>0</v>
      </c>
      <c r="K822" s="64">
        <f t="shared" si="267"/>
        <v>0</v>
      </c>
      <c r="M822" s="64">
        <f t="shared" si="268"/>
        <v>0</v>
      </c>
      <c r="O822" s="64">
        <f t="shared" si="269"/>
        <v>0</v>
      </c>
      <c r="Q822" s="64">
        <f t="shared" si="270"/>
        <v>0</v>
      </c>
      <c r="S822" s="71">
        <f t="shared" si="271"/>
        <v>0</v>
      </c>
      <c r="U822" s="64">
        <f t="shared" si="272"/>
        <v>0</v>
      </c>
      <c r="W822" s="71">
        <f t="shared" si="273"/>
        <v>0</v>
      </c>
      <c r="Y822" s="71">
        <f t="shared" si="274"/>
        <v>0</v>
      </c>
      <c r="AA822" s="71">
        <f t="shared" si="275"/>
        <v>0</v>
      </c>
      <c r="AC822" s="71">
        <f t="shared" si="276"/>
        <v>0</v>
      </c>
      <c r="AK822" s="71">
        <f t="shared" si="277"/>
        <v>0</v>
      </c>
      <c r="AM822" s="71">
        <f t="shared" si="278"/>
        <v>0</v>
      </c>
      <c r="AO822" s="71">
        <f t="shared" si="279"/>
        <v>0</v>
      </c>
      <c r="AQ822" s="71">
        <f t="shared" si="280"/>
        <v>0</v>
      </c>
      <c r="AT822" s="71">
        <f t="shared" si="281"/>
        <v>0</v>
      </c>
      <c r="AV822" s="71">
        <f t="shared" si="282"/>
        <v>0</v>
      </c>
      <c r="AX822" s="71">
        <f t="shared" si="283"/>
        <v>0</v>
      </c>
      <c r="AZ822" s="71">
        <f t="shared" si="284"/>
        <v>0</v>
      </c>
      <c r="BE822" s="81">
        <f t="shared" si="285"/>
        <v>0</v>
      </c>
      <c r="BF822" s="81" t="str">
        <f t="shared" si="286"/>
        <v>BASSO</v>
      </c>
    </row>
    <row r="823" spans="7:58" x14ac:dyDescent="0.15">
      <c r="G823" s="64">
        <f t="shared" si="265"/>
        <v>0</v>
      </c>
      <c r="I823" s="64">
        <f t="shared" si="266"/>
        <v>0</v>
      </c>
      <c r="K823" s="64">
        <f t="shared" si="267"/>
        <v>0</v>
      </c>
      <c r="M823" s="64">
        <f t="shared" si="268"/>
        <v>0</v>
      </c>
      <c r="O823" s="64">
        <f t="shared" si="269"/>
        <v>0</v>
      </c>
      <c r="Q823" s="64">
        <f t="shared" si="270"/>
        <v>0</v>
      </c>
      <c r="S823" s="71">
        <f t="shared" si="271"/>
        <v>0</v>
      </c>
      <c r="U823" s="64">
        <f t="shared" si="272"/>
        <v>0</v>
      </c>
      <c r="W823" s="71">
        <f t="shared" si="273"/>
        <v>0</v>
      </c>
      <c r="Y823" s="71">
        <f t="shared" si="274"/>
        <v>0</v>
      </c>
      <c r="AA823" s="71">
        <f t="shared" si="275"/>
        <v>0</v>
      </c>
      <c r="AC823" s="71">
        <f t="shared" si="276"/>
        <v>0</v>
      </c>
      <c r="AK823" s="71">
        <f t="shared" si="277"/>
        <v>0</v>
      </c>
      <c r="AM823" s="71">
        <f t="shared" si="278"/>
        <v>0</v>
      </c>
      <c r="AO823" s="71">
        <f t="shared" si="279"/>
        <v>0</v>
      </c>
      <c r="AQ823" s="71">
        <f t="shared" si="280"/>
        <v>0</v>
      </c>
      <c r="AT823" s="71">
        <f t="shared" si="281"/>
        <v>0</v>
      </c>
      <c r="AV823" s="71">
        <f t="shared" si="282"/>
        <v>0</v>
      </c>
      <c r="AX823" s="71">
        <f t="shared" si="283"/>
        <v>0</v>
      </c>
      <c r="AZ823" s="71">
        <f t="shared" si="284"/>
        <v>0</v>
      </c>
      <c r="BE823" s="81">
        <f t="shared" si="285"/>
        <v>0</v>
      </c>
      <c r="BF823" s="81" t="str">
        <f t="shared" si="286"/>
        <v>BASSO</v>
      </c>
    </row>
    <row r="824" spans="7:58" x14ac:dyDescent="0.15">
      <c r="G824" s="64">
        <f t="shared" si="265"/>
        <v>0</v>
      </c>
      <c r="I824" s="64">
        <f t="shared" si="266"/>
        <v>0</v>
      </c>
      <c r="K824" s="64">
        <f t="shared" si="267"/>
        <v>0</v>
      </c>
      <c r="M824" s="64">
        <f t="shared" si="268"/>
        <v>0</v>
      </c>
      <c r="O824" s="64">
        <f t="shared" si="269"/>
        <v>0</v>
      </c>
      <c r="Q824" s="64">
        <f t="shared" si="270"/>
        <v>0</v>
      </c>
      <c r="S824" s="71">
        <f t="shared" si="271"/>
        <v>0</v>
      </c>
      <c r="U824" s="64">
        <f t="shared" si="272"/>
        <v>0</v>
      </c>
      <c r="W824" s="71">
        <f t="shared" si="273"/>
        <v>0</v>
      </c>
      <c r="Y824" s="71">
        <f t="shared" si="274"/>
        <v>0</v>
      </c>
      <c r="AA824" s="71">
        <f t="shared" si="275"/>
        <v>0</v>
      </c>
      <c r="AC824" s="71">
        <f t="shared" si="276"/>
        <v>0</v>
      </c>
      <c r="AK824" s="71">
        <f t="shared" si="277"/>
        <v>0</v>
      </c>
      <c r="AM824" s="71">
        <f t="shared" si="278"/>
        <v>0</v>
      </c>
      <c r="AO824" s="71">
        <f t="shared" si="279"/>
        <v>0</v>
      </c>
      <c r="AQ824" s="71">
        <f t="shared" si="280"/>
        <v>0</v>
      </c>
      <c r="AT824" s="71">
        <f t="shared" si="281"/>
        <v>0</v>
      </c>
      <c r="AV824" s="71">
        <f t="shared" si="282"/>
        <v>0</v>
      </c>
      <c r="AX824" s="71">
        <f t="shared" si="283"/>
        <v>0</v>
      </c>
      <c r="AZ824" s="71">
        <f t="shared" si="284"/>
        <v>0</v>
      </c>
      <c r="BE824" s="81">
        <f t="shared" si="285"/>
        <v>0</v>
      </c>
      <c r="BF824" s="81" t="str">
        <f t="shared" si="286"/>
        <v>BASSO</v>
      </c>
    </row>
    <row r="825" spans="7:58" x14ac:dyDescent="0.15">
      <c r="G825" s="64">
        <f t="shared" si="265"/>
        <v>0</v>
      </c>
      <c r="I825" s="64">
        <f t="shared" si="266"/>
        <v>0</v>
      </c>
      <c r="K825" s="64">
        <f t="shared" si="267"/>
        <v>0</v>
      </c>
      <c r="M825" s="64">
        <f t="shared" si="268"/>
        <v>0</v>
      </c>
      <c r="O825" s="64">
        <f t="shared" si="269"/>
        <v>0</v>
      </c>
      <c r="Q825" s="64">
        <f t="shared" si="270"/>
        <v>0</v>
      </c>
      <c r="S825" s="71">
        <f t="shared" si="271"/>
        <v>0</v>
      </c>
      <c r="U825" s="64">
        <f t="shared" si="272"/>
        <v>0</v>
      </c>
      <c r="W825" s="71">
        <f t="shared" si="273"/>
        <v>0</v>
      </c>
      <c r="Y825" s="71">
        <f t="shared" si="274"/>
        <v>0</v>
      </c>
      <c r="AA825" s="71">
        <f t="shared" si="275"/>
        <v>0</v>
      </c>
      <c r="AC825" s="71">
        <f t="shared" si="276"/>
        <v>0</v>
      </c>
      <c r="AK825" s="71">
        <f t="shared" si="277"/>
        <v>0</v>
      </c>
      <c r="AM825" s="71">
        <f t="shared" si="278"/>
        <v>0</v>
      </c>
      <c r="AO825" s="71">
        <f t="shared" si="279"/>
        <v>0</v>
      </c>
      <c r="AQ825" s="71">
        <f t="shared" si="280"/>
        <v>0</v>
      </c>
      <c r="AT825" s="71">
        <f t="shared" si="281"/>
        <v>0</v>
      </c>
      <c r="AV825" s="71">
        <f t="shared" si="282"/>
        <v>0</v>
      </c>
      <c r="AX825" s="71">
        <f t="shared" si="283"/>
        <v>0</v>
      </c>
      <c r="AZ825" s="71">
        <f t="shared" si="284"/>
        <v>0</v>
      </c>
      <c r="BE825" s="81">
        <f t="shared" si="285"/>
        <v>0</v>
      </c>
      <c r="BF825" s="81" t="str">
        <f t="shared" si="286"/>
        <v>BASSO</v>
      </c>
    </row>
    <row r="826" spans="7:58" x14ac:dyDescent="0.15">
      <c r="G826" s="64">
        <f t="shared" si="265"/>
        <v>0</v>
      </c>
      <c r="I826" s="64">
        <f t="shared" si="266"/>
        <v>0</v>
      </c>
      <c r="K826" s="64">
        <f t="shared" si="267"/>
        <v>0</v>
      </c>
      <c r="M826" s="64">
        <f t="shared" si="268"/>
        <v>0</v>
      </c>
      <c r="O826" s="64">
        <f t="shared" si="269"/>
        <v>0</v>
      </c>
      <c r="Q826" s="64">
        <f t="shared" si="270"/>
        <v>0</v>
      </c>
      <c r="S826" s="71">
        <f t="shared" si="271"/>
        <v>0</v>
      </c>
      <c r="U826" s="64">
        <f t="shared" si="272"/>
        <v>0</v>
      </c>
      <c r="W826" s="71">
        <f t="shared" si="273"/>
        <v>0</v>
      </c>
      <c r="Y826" s="71">
        <f t="shared" si="274"/>
        <v>0</v>
      </c>
      <c r="AA826" s="71">
        <f t="shared" si="275"/>
        <v>0</v>
      </c>
      <c r="AC826" s="71">
        <f t="shared" si="276"/>
        <v>0</v>
      </c>
      <c r="AK826" s="71">
        <f t="shared" si="277"/>
        <v>0</v>
      </c>
      <c r="AM826" s="71">
        <f t="shared" si="278"/>
        <v>0</v>
      </c>
      <c r="AO826" s="71">
        <f t="shared" si="279"/>
        <v>0</v>
      </c>
      <c r="AQ826" s="71">
        <f t="shared" si="280"/>
        <v>0</v>
      </c>
      <c r="AT826" s="71">
        <f t="shared" si="281"/>
        <v>0</v>
      </c>
      <c r="AV826" s="71">
        <f t="shared" si="282"/>
        <v>0</v>
      </c>
      <c r="AX826" s="71">
        <f t="shared" si="283"/>
        <v>0</v>
      </c>
      <c r="AZ826" s="71">
        <f t="shared" si="284"/>
        <v>0</v>
      </c>
      <c r="BE826" s="81">
        <f t="shared" si="285"/>
        <v>0</v>
      </c>
      <c r="BF826" s="81" t="str">
        <f t="shared" si="286"/>
        <v>BASSO</v>
      </c>
    </row>
    <row r="827" spans="7:58" x14ac:dyDescent="0.15">
      <c r="G827" s="64">
        <f t="shared" si="265"/>
        <v>0</v>
      </c>
      <c r="I827" s="64">
        <f t="shared" si="266"/>
        <v>0</v>
      </c>
      <c r="K827" s="64">
        <f t="shared" si="267"/>
        <v>0</v>
      </c>
      <c r="M827" s="64">
        <f t="shared" si="268"/>
        <v>0</v>
      </c>
      <c r="O827" s="64">
        <f t="shared" si="269"/>
        <v>0</v>
      </c>
      <c r="Q827" s="64">
        <f t="shared" si="270"/>
        <v>0</v>
      </c>
      <c r="S827" s="71">
        <f t="shared" si="271"/>
        <v>0</v>
      </c>
      <c r="U827" s="64">
        <f t="shared" si="272"/>
        <v>0</v>
      </c>
      <c r="W827" s="71">
        <f t="shared" si="273"/>
        <v>0</v>
      </c>
      <c r="Y827" s="71">
        <f t="shared" si="274"/>
        <v>0</v>
      </c>
      <c r="AA827" s="71">
        <f t="shared" si="275"/>
        <v>0</v>
      </c>
      <c r="AC827" s="71">
        <f t="shared" si="276"/>
        <v>0</v>
      </c>
      <c r="AK827" s="71">
        <f t="shared" si="277"/>
        <v>0</v>
      </c>
      <c r="AM827" s="71">
        <f t="shared" si="278"/>
        <v>0</v>
      </c>
      <c r="AO827" s="71">
        <f t="shared" si="279"/>
        <v>0</v>
      </c>
      <c r="AQ827" s="71">
        <f t="shared" si="280"/>
        <v>0</v>
      </c>
      <c r="AT827" s="71">
        <f t="shared" si="281"/>
        <v>0</v>
      </c>
      <c r="AV827" s="71">
        <f t="shared" si="282"/>
        <v>0</v>
      </c>
      <c r="AX827" s="71">
        <f t="shared" si="283"/>
        <v>0</v>
      </c>
      <c r="AZ827" s="71">
        <f t="shared" si="284"/>
        <v>0</v>
      </c>
      <c r="BE827" s="81">
        <f t="shared" si="285"/>
        <v>0</v>
      </c>
      <c r="BF827" s="81" t="str">
        <f t="shared" si="286"/>
        <v>BASSO</v>
      </c>
    </row>
    <row r="828" spans="7:58" x14ac:dyDescent="0.15">
      <c r="G828" s="64">
        <f t="shared" si="265"/>
        <v>0</v>
      </c>
      <c r="I828" s="64">
        <f t="shared" si="266"/>
        <v>0</v>
      </c>
      <c r="K828" s="64">
        <f t="shared" si="267"/>
        <v>0</v>
      </c>
      <c r="M828" s="64">
        <f t="shared" si="268"/>
        <v>0</v>
      </c>
      <c r="O828" s="64">
        <f t="shared" si="269"/>
        <v>0</v>
      </c>
      <c r="Q828" s="64">
        <f t="shared" si="270"/>
        <v>0</v>
      </c>
      <c r="S828" s="71">
        <f t="shared" si="271"/>
        <v>0</v>
      </c>
      <c r="U828" s="64">
        <f t="shared" si="272"/>
        <v>0</v>
      </c>
      <c r="W828" s="71">
        <f t="shared" si="273"/>
        <v>0</v>
      </c>
      <c r="Y828" s="71">
        <f t="shared" si="274"/>
        <v>0</v>
      </c>
      <c r="AA828" s="71">
        <f t="shared" si="275"/>
        <v>0</v>
      </c>
      <c r="AC828" s="71">
        <f t="shared" si="276"/>
        <v>0</v>
      </c>
      <c r="AK828" s="71">
        <f t="shared" si="277"/>
        <v>0</v>
      </c>
      <c r="AM828" s="71">
        <f t="shared" si="278"/>
        <v>0</v>
      </c>
      <c r="AO828" s="71">
        <f t="shared" si="279"/>
        <v>0</v>
      </c>
      <c r="AQ828" s="71">
        <f t="shared" si="280"/>
        <v>0</v>
      </c>
      <c r="AT828" s="71">
        <f t="shared" si="281"/>
        <v>0</v>
      </c>
      <c r="AV828" s="71">
        <f t="shared" si="282"/>
        <v>0</v>
      </c>
      <c r="AX828" s="71">
        <f t="shared" si="283"/>
        <v>0</v>
      </c>
      <c r="AZ828" s="71">
        <f t="shared" si="284"/>
        <v>0</v>
      </c>
      <c r="BE828" s="81">
        <f t="shared" si="285"/>
        <v>0</v>
      </c>
      <c r="BF828" s="81" t="str">
        <f t="shared" si="286"/>
        <v>BASSO</v>
      </c>
    </row>
    <row r="829" spans="7:58" x14ac:dyDescent="0.15">
      <c r="G829" s="64">
        <f t="shared" si="265"/>
        <v>0</v>
      </c>
      <c r="I829" s="64">
        <f t="shared" si="266"/>
        <v>0</v>
      </c>
      <c r="K829" s="64">
        <f t="shared" si="267"/>
        <v>0</v>
      </c>
      <c r="M829" s="64">
        <f t="shared" si="268"/>
        <v>0</v>
      </c>
      <c r="O829" s="64">
        <f t="shared" si="269"/>
        <v>0</v>
      </c>
      <c r="Q829" s="64">
        <f t="shared" si="270"/>
        <v>0</v>
      </c>
      <c r="S829" s="71">
        <f t="shared" si="271"/>
        <v>0</v>
      </c>
      <c r="U829" s="64">
        <f t="shared" si="272"/>
        <v>0</v>
      </c>
      <c r="W829" s="71">
        <f t="shared" si="273"/>
        <v>0</v>
      </c>
      <c r="Y829" s="71">
        <f t="shared" si="274"/>
        <v>0</v>
      </c>
      <c r="AA829" s="71">
        <f t="shared" si="275"/>
        <v>0</v>
      </c>
      <c r="AC829" s="71">
        <f t="shared" si="276"/>
        <v>0</v>
      </c>
      <c r="AK829" s="71">
        <f t="shared" si="277"/>
        <v>0</v>
      </c>
      <c r="AM829" s="71">
        <f t="shared" si="278"/>
        <v>0</v>
      </c>
      <c r="AO829" s="71">
        <f t="shared" si="279"/>
        <v>0</v>
      </c>
      <c r="AQ829" s="71">
        <f t="shared" si="280"/>
        <v>0</v>
      </c>
      <c r="AT829" s="71">
        <f t="shared" si="281"/>
        <v>0</v>
      </c>
      <c r="AV829" s="71">
        <f t="shared" si="282"/>
        <v>0</v>
      </c>
      <c r="AX829" s="71">
        <f t="shared" si="283"/>
        <v>0</v>
      </c>
      <c r="AZ829" s="71">
        <f t="shared" si="284"/>
        <v>0</v>
      </c>
      <c r="BE829" s="81">
        <f t="shared" si="285"/>
        <v>0</v>
      </c>
      <c r="BF829" s="81" t="str">
        <f t="shared" si="286"/>
        <v>BASSO</v>
      </c>
    </row>
    <row r="830" spans="7:58" x14ac:dyDescent="0.15">
      <c r="G830" s="64">
        <f t="shared" si="265"/>
        <v>0</v>
      </c>
      <c r="I830" s="64">
        <f t="shared" si="266"/>
        <v>0</v>
      </c>
      <c r="K830" s="64">
        <f t="shared" si="267"/>
        <v>0</v>
      </c>
      <c r="M830" s="64">
        <f t="shared" si="268"/>
        <v>0</v>
      </c>
      <c r="O830" s="64">
        <f t="shared" si="269"/>
        <v>0</v>
      </c>
      <c r="Q830" s="64">
        <f t="shared" si="270"/>
        <v>0</v>
      </c>
      <c r="S830" s="71">
        <f t="shared" si="271"/>
        <v>0</v>
      </c>
      <c r="U830" s="64">
        <f t="shared" si="272"/>
        <v>0</v>
      </c>
      <c r="W830" s="71">
        <f t="shared" si="273"/>
        <v>0</v>
      </c>
      <c r="Y830" s="71">
        <f t="shared" si="274"/>
        <v>0</v>
      </c>
      <c r="AA830" s="71">
        <f t="shared" si="275"/>
        <v>0</v>
      </c>
      <c r="AC830" s="71">
        <f t="shared" si="276"/>
        <v>0</v>
      </c>
      <c r="AK830" s="71">
        <f t="shared" si="277"/>
        <v>0</v>
      </c>
      <c r="AM830" s="71">
        <f t="shared" si="278"/>
        <v>0</v>
      </c>
      <c r="AO830" s="71">
        <f t="shared" si="279"/>
        <v>0</v>
      </c>
      <c r="AQ830" s="71">
        <f t="shared" si="280"/>
        <v>0</v>
      </c>
      <c r="AT830" s="71">
        <f t="shared" si="281"/>
        <v>0</v>
      </c>
      <c r="AV830" s="71">
        <f t="shared" si="282"/>
        <v>0</v>
      </c>
      <c r="AX830" s="71">
        <f t="shared" si="283"/>
        <v>0</v>
      </c>
      <c r="AZ830" s="71">
        <f t="shared" si="284"/>
        <v>0</v>
      </c>
      <c r="BE830" s="81">
        <f t="shared" si="285"/>
        <v>0</v>
      </c>
      <c r="BF830" s="81" t="str">
        <f t="shared" si="286"/>
        <v>BASSO</v>
      </c>
    </row>
    <row r="831" spans="7:58" x14ac:dyDescent="0.15">
      <c r="G831" s="64">
        <f t="shared" si="265"/>
        <v>0</v>
      </c>
      <c r="I831" s="64">
        <f t="shared" si="266"/>
        <v>0</v>
      </c>
      <c r="K831" s="64">
        <f t="shared" si="267"/>
        <v>0</v>
      </c>
      <c r="M831" s="64">
        <f t="shared" si="268"/>
        <v>0</v>
      </c>
      <c r="O831" s="64">
        <f t="shared" si="269"/>
        <v>0</v>
      </c>
      <c r="Q831" s="64">
        <f t="shared" si="270"/>
        <v>0</v>
      </c>
      <c r="S831" s="71">
        <f t="shared" si="271"/>
        <v>0</v>
      </c>
      <c r="U831" s="64">
        <f t="shared" si="272"/>
        <v>0</v>
      </c>
      <c r="W831" s="71">
        <f t="shared" si="273"/>
        <v>0</v>
      </c>
      <c r="Y831" s="71">
        <f t="shared" si="274"/>
        <v>0</v>
      </c>
      <c r="AA831" s="71">
        <f t="shared" si="275"/>
        <v>0</v>
      </c>
      <c r="AC831" s="71">
        <f t="shared" si="276"/>
        <v>0</v>
      </c>
      <c r="AK831" s="71">
        <f t="shared" si="277"/>
        <v>0</v>
      </c>
      <c r="AM831" s="71">
        <f t="shared" si="278"/>
        <v>0</v>
      </c>
      <c r="AO831" s="71">
        <f t="shared" si="279"/>
        <v>0</v>
      </c>
      <c r="AQ831" s="71">
        <f t="shared" si="280"/>
        <v>0</v>
      </c>
      <c r="AT831" s="71">
        <f t="shared" si="281"/>
        <v>0</v>
      </c>
      <c r="AV831" s="71">
        <f t="shared" si="282"/>
        <v>0</v>
      </c>
      <c r="AX831" s="71">
        <f t="shared" si="283"/>
        <v>0</v>
      </c>
      <c r="AZ831" s="71">
        <f t="shared" si="284"/>
        <v>0</v>
      </c>
      <c r="BE831" s="81">
        <f t="shared" si="285"/>
        <v>0</v>
      </c>
      <c r="BF831" s="81" t="str">
        <f t="shared" si="286"/>
        <v>BASSO</v>
      </c>
    </row>
    <row r="832" spans="7:58" x14ac:dyDescent="0.15">
      <c r="G832" s="64">
        <f t="shared" si="265"/>
        <v>0</v>
      </c>
      <c r="I832" s="64">
        <f t="shared" si="266"/>
        <v>0</v>
      </c>
      <c r="K832" s="64">
        <f t="shared" si="267"/>
        <v>0</v>
      </c>
      <c r="M832" s="64">
        <f t="shared" si="268"/>
        <v>0</v>
      </c>
      <c r="O832" s="64">
        <f t="shared" si="269"/>
        <v>0</v>
      </c>
      <c r="Q832" s="64">
        <f t="shared" si="270"/>
        <v>0</v>
      </c>
      <c r="S832" s="71">
        <f t="shared" si="271"/>
        <v>0</v>
      </c>
      <c r="U832" s="64">
        <f t="shared" si="272"/>
        <v>0</v>
      </c>
      <c r="W832" s="71">
        <f t="shared" si="273"/>
        <v>0</v>
      </c>
      <c r="Y832" s="71">
        <f t="shared" si="274"/>
        <v>0</v>
      </c>
      <c r="AA832" s="71">
        <f t="shared" si="275"/>
        <v>0</v>
      </c>
      <c r="AC832" s="71">
        <f t="shared" si="276"/>
        <v>0</v>
      </c>
      <c r="AK832" s="71">
        <f t="shared" si="277"/>
        <v>0</v>
      </c>
      <c r="AM832" s="71">
        <f t="shared" si="278"/>
        <v>0</v>
      </c>
      <c r="AO832" s="71">
        <f t="shared" si="279"/>
        <v>0</v>
      </c>
      <c r="AQ832" s="71">
        <f t="shared" si="280"/>
        <v>0</v>
      </c>
      <c r="AT832" s="71">
        <f t="shared" si="281"/>
        <v>0</v>
      </c>
      <c r="AV832" s="71">
        <f t="shared" si="282"/>
        <v>0</v>
      </c>
      <c r="AX832" s="71">
        <f t="shared" si="283"/>
        <v>0</v>
      </c>
      <c r="AZ832" s="71">
        <f t="shared" si="284"/>
        <v>0</v>
      </c>
      <c r="BE832" s="81">
        <f t="shared" si="285"/>
        <v>0</v>
      </c>
      <c r="BF832" s="81" t="str">
        <f t="shared" si="286"/>
        <v>BASSO</v>
      </c>
    </row>
    <row r="833" spans="7:58" x14ac:dyDescent="0.15">
      <c r="G833" s="64">
        <f t="shared" si="265"/>
        <v>0</v>
      </c>
      <c r="I833" s="64">
        <f t="shared" si="266"/>
        <v>0</v>
      </c>
      <c r="K833" s="64">
        <f t="shared" si="267"/>
        <v>0</v>
      </c>
      <c r="M833" s="64">
        <f t="shared" si="268"/>
        <v>0</v>
      </c>
      <c r="O833" s="64">
        <f t="shared" si="269"/>
        <v>0</v>
      </c>
      <c r="Q833" s="64">
        <f t="shared" si="270"/>
        <v>0</v>
      </c>
      <c r="S833" s="71">
        <f t="shared" si="271"/>
        <v>0</v>
      </c>
      <c r="U833" s="64">
        <f t="shared" si="272"/>
        <v>0</v>
      </c>
      <c r="W833" s="71">
        <f t="shared" si="273"/>
        <v>0</v>
      </c>
      <c r="Y833" s="71">
        <f t="shared" si="274"/>
        <v>0</v>
      </c>
      <c r="AA833" s="71">
        <f t="shared" si="275"/>
        <v>0</v>
      </c>
      <c r="AC833" s="71">
        <f t="shared" si="276"/>
        <v>0</v>
      </c>
      <c r="AK833" s="71">
        <f t="shared" si="277"/>
        <v>0</v>
      </c>
      <c r="AM833" s="71">
        <f t="shared" si="278"/>
        <v>0</v>
      </c>
      <c r="AO833" s="71">
        <f t="shared" si="279"/>
        <v>0</v>
      </c>
      <c r="AQ833" s="71">
        <f t="shared" si="280"/>
        <v>0</v>
      </c>
      <c r="AT833" s="71">
        <f t="shared" si="281"/>
        <v>0</v>
      </c>
      <c r="AV833" s="71">
        <f t="shared" si="282"/>
        <v>0</v>
      </c>
      <c r="AX833" s="71">
        <f t="shared" si="283"/>
        <v>0</v>
      </c>
      <c r="AZ833" s="71">
        <f t="shared" si="284"/>
        <v>0</v>
      </c>
      <c r="BE833" s="81">
        <f t="shared" si="285"/>
        <v>0</v>
      </c>
      <c r="BF833" s="81" t="str">
        <f t="shared" si="286"/>
        <v>BASSO</v>
      </c>
    </row>
    <row r="834" spans="7:58" x14ac:dyDescent="0.15">
      <c r="G834" s="64">
        <f t="shared" ref="G834:G897" si="287">F835/2</f>
        <v>0</v>
      </c>
      <c r="I834" s="64">
        <f t="shared" si="266"/>
        <v>0</v>
      </c>
      <c r="K834" s="64">
        <f t="shared" si="267"/>
        <v>0</v>
      </c>
      <c r="M834" s="64">
        <f t="shared" si="268"/>
        <v>0</v>
      </c>
      <c r="O834" s="64">
        <f t="shared" si="269"/>
        <v>0</v>
      </c>
      <c r="Q834" s="64">
        <f t="shared" si="270"/>
        <v>0</v>
      </c>
      <c r="S834" s="71">
        <f t="shared" si="271"/>
        <v>0</v>
      </c>
      <c r="U834" s="64">
        <f t="shared" si="272"/>
        <v>0</v>
      </c>
      <c r="W834" s="71">
        <f t="shared" si="273"/>
        <v>0</v>
      </c>
      <c r="Y834" s="71">
        <f t="shared" si="274"/>
        <v>0</v>
      </c>
      <c r="AA834" s="71">
        <f t="shared" si="275"/>
        <v>0</v>
      </c>
      <c r="AC834" s="71">
        <f t="shared" si="276"/>
        <v>0</v>
      </c>
      <c r="AK834" s="71">
        <f t="shared" si="277"/>
        <v>0</v>
      </c>
      <c r="AM834" s="71">
        <f t="shared" si="278"/>
        <v>0</v>
      </c>
      <c r="AO834" s="71">
        <f t="shared" si="279"/>
        <v>0</v>
      </c>
      <c r="AQ834" s="71">
        <f t="shared" si="280"/>
        <v>0</v>
      </c>
      <c r="AT834" s="71">
        <f t="shared" si="281"/>
        <v>0</v>
      </c>
      <c r="AV834" s="71">
        <f t="shared" si="282"/>
        <v>0</v>
      </c>
      <c r="AX834" s="71">
        <f t="shared" si="283"/>
        <v>0</v>
      </c>
      <c r="AZ834" s="71">
        <f t="shared" si="284"/>
        <v>0</v>
      </c>
      <c r="BE834" s="81">
        <f t="shared" si="285"/>
        <v>0</v>
      </c>
      <c r="BF834" s="81" t="str">
        <f t="shared" si="286"/>
        <v>BASSO</v>
      </c>
    </row>
    <row r="835" spans="7:58" x14ac:dyDescent="0.15">
      <c r="G835" s="64">
        <f t="shared" si="287"/>
        <v>0</v>
      </c>
      <c r="I835" s="64">
        <f t="shared" ref="I835:I898" si="288">H835/2</f>
        <v>0</v>
      </c>
      <c r="K835" s="64">
        <f t="shared" ref="K835:K898" si="289">J835/2</f>
        <v>0</v>
      </c>
      <c r="M835" s="64">
        <f t="shared" ref="M835:M898" si="290">L835/3</f>
        <v>0</v>
      </c>
      <c r="O835" s="64">
        <f t="shared" ref="O835:O898" si="291">N835/5</f>
        <v>0</v>
      </c>
      <c r="Q835" s="64">
        <f t="shared" ref="Q835:Q898" si="292">P835/3</f>
        <v>0</v>
      </c>
      <c r="S835" s="71">
        <f t="shared" ref="S835:S898" si="293">R835/3</f>
        <v>0</v>
      </c>
      <c r="U835" s="64">
        <f t="shared" ref="U835:U898" si="294">T835/3</f>
        <v>0</v>
      </c>
      <c r="W835" s="71">
        <f t="shared" ref="W835:W898" si="295">V835/4</f>
        <v>0</v>
      </c>
      <c r="Y835" s="71">
        <f t="shared" ref="Y835:Y898" si="296">X835/3</f>
        <v>0</v>
      </c>
      <c r="AA835" s="71">
        <f t="shared" ref="AA835:AA898" si="297">Z835/3</f>
        <v>0</v>
      </c>
      <c r="AC835" s="71">
        <f t="shared" ref="AC835:AC898" si="298">AB835/2</f>
        <v>0</v>
      </c>
      <c r="AK835" s="71">
        <f t="shared" ref="AK835:AK898" si="299">AJ835/2</f>
        <v>0</v>
      </c>
      <c r="AM835" s="71">
        <f t="shared" ref="AM835:AM898" si="300">AL835/3</f>
        <v>0</v>
      </c>
      <c r="AO835" s="71">
        <f t="shared" ref="AO835:AO898" si="301">AN835/3</f>
        <v>0</v>
      </c>
      <c r="AQ835" s="71">
        <f t="shared" ref="AQ835:AQ898" si="302">AP835/3</f>
        <v>0</v>
      </c>
      <c r="AT835" s="71">
        <f t="shared" ref="AT835:AT898" si="303">AS835/3</f>
        <v>0</v>
      </c>
      <c r="AV835" s="71">
        <f t="shared" ref="AV835:AV898" si="304">AU835/3</f>
        <v>0</v>
      </c>
      <c r="AX835" s="71">
        <f t="shared" ref="AX835:AX898" si="305">AW835/2</f>
        <v>0</v>
      </c>
      <c r="AZ835" s="71">
        <f t="shared" ref="AZ835:AZ898" si="306">AY835/3</f>
        <v>0</v>
      </c>
      <c r="BE835" s="81">
        <f t="shared" ref="BE835:BE898" si="307">AVERAGE(F835,I835,K835,M835,O835,Q835,S835,U835,W835,Y835,AA835,AC835,AK835,AM835,AO835,AQ835,AT835,AV835,AX835,AZ835)</f>
        <v>0</v>
      </c>
      <c r="BF835" s="81" t="str">
        <f t="shared" ref="BF835:BF898" si="308">IF(BE835="","",IF(VALUE(BE835)&lt;0.34,"BASSO",IF(VALUE(BE835)&lt;=0.66,"MEDIO","ALTO")))</f>
        <v>BASSO</v>
      </c>
    </row>
    <row r="836" spans="7:58" x14ac:dyDescent="0.15">
      <c r="G836" s="64">
        <f t="shared" si="287"/>
        <v>0</v>
      </c>
      <c r="I836" s="64">
        <f t="shared" si="288"/>
        <v>0</v>
      </c>
      <c r="K836" s="64">
        <f t="shared" si="289"/>
        <v>0</v>
      </c>
      <c r="M836" s="64">
        <f t="shared" si="290"/>
        <v>0</v>
      </c>
      <c r="O836" s="64">
        <f t="shared" si="291"/>
        <v>0</v>
      </c>
      <c r="Q836" s="64">
        <f t="shared" si="292"/>
        <v>0</v>
      </c>
      <c r="S836" s="71">
        <f t="shared" si="293"/>
        <v>0</v>
      </c>
      <c r="U836" s="64">
        <f t="shared" si="294"/>
        <v>0</v>
      </c>
      <c r="W836" s="71">
        <f t="shared" si="295"/>
        <v>0</v>
      </c>
      <c r="Y836" s="71">
        <f t="shared" si="296"/>
        <v>0</v>
      </c>
      <c r="AA836" s="71">
        <f t="shared" si="297"/>
        <v>0</v>
      </c>
      <c r="AC836" s="71">
        <f t="shared" si="298"/>
        <v>0</v>
      </c>
      <c r="AK836" s="71">
        <f t="shared" si="299"/>
        <v>0</v>
      </c>
      <c r="AM836" s="71">
        <f t="shared" si="300"/>
        <v>0</v>
      </c>
      <c r="AO836" s="71">
        <f t="shared" si="301"/>
        <v>0</v>
      </c>
      <c r="AQ836" s="71">
        <f t="shared" si="302"/>
        <v>0</v>
      </c>
      <c r="AT836" s="71">
        <f t="shared" si="303"/>
        <v>0</v>
      </c>
      <c r="AV836" s="71">
        <f t="shared" si="304"/>
        <v>0</v>
      </c>
      <c r="AX836" s="71">
        <f t="shared" si="305"/>
        <v>0</v>
      </c>
      <c r="AZ836" s="71">
        <f t="shared" si="306"/>
        <v>0</v>
      </c>
      <c r="BE836" s="81">
        <f t="shared" si="307"/>
        <v>0</v>
      </c>
      <c r="BF836" s="81" t="str">
        <f t="shared" si="308"/>
        <v>BASSO</v>
      </c>
    </row>
    <row r="837" spans="7:58" x14ac:dyDescent="0.15">
      <c r="G837" s="64">
        <f t="shared" si="287"/>
        <v>0</v>
      </c>
      <c r="I837" s="64">
        <f t="shared" si="288"/>
        <v>0</v>
      </c>
      <c r="K837" s="64">
        <f t="shared" si="289"/>
        <v>0</v>
      </c>
      <c r="M837" s="64">
        <f t="shared" si="290"/>
        <v>0</v>
      </c>
      <c r="O837" s="64">
        <f t="shared" si="291"/>
        <v>0</v>
      </c>
      <c r="Q837" s="64">
        <f t="shared" si="292"/>
        <v>0</v>
      </c>
      <c r="S837" s="71">
        <f t="shared" si="293"/>
        <v>0</v>
      </c>
      <c r="U837" s="64">
        <f t="shared" si="294"/>
        <v>0</v>
      </c>
      <c r="W837" s="71">
        <f t="shared" si="295"/>
        <v>0</v>
      </c>
      <c r="Y837" s="71">
        <f t="shared" si="296"/>
        <v>0</v>
      </c>
      <c r="AA837" s="71">
        <f t="shared" si="297"/>
        <v>0</v>
      </c>
      <c r="AC837" s="71">
        <f t="shared" si="298"/>
        <v>0</v>
      </c>
      <c r="AK837" s="71">
        <f t="shared" si="299"/>
        <v>0</v>
      </c>
      <c r="AM837" s="71">
        <f t="shared" si="300"/>
        <v>0</v>
      </c>
      <c r="AO837" s="71">
        <f t="shared" si="301"/>
        <v>0</v>
      </c>
      <c r="AQ837" s="71">
        <f t="shared" si="302"/>
        <v>0</v>
      </c>
      <c r="AT837" s="71">
        <f t="shared" si="303"/>
        <v>0</v>
      </c>
      <c r="AV837" s="71">
        <f t="shared" si="304"/>
        <v>0</v>
      </c>
      <c r="AX837" s="71">
        <f t="shared" si="305"/>
        <v>0</v>
      </c>
      <c r="AZ837" s="71">
        <f t="shared" si="306"/>
        <v>0</v>
      </c>
      <c r="BE837" s="81">
        <f t="shared" si="307"/>
        <v>0</v>
      </c>
      <c r="BF837" s="81" t="str">
        <f t="shared" si="308"/>
        <v>BASSO</v>
      </c>
    </row>
    <row r="838" spans="7:58" x14ac:dyDescent="0.15">
      <c r="G838" s="64">
        <f t="shared" si="287"/>
        <v>0</v>
      </c>
      <c r="I838" s="64">
        <f t="shared" si="288"/>
        <v>0</v>
      </c>
      <c r="K838" s="64">
        <f t="shared" si="289"/>
        <v>0</v>
      </c>
      <c r="M838" s="64">
        <f t="shared" si="290"/>
        <v>0</v>
      </c>
      <c r="O838" s="64">
        <f t="shared" si="291"/>
        <v>0</v>
      </c>
      <c r="Q838" s="64">
        <f t="shared" si="292"/>
        <v>0</v>
      </c>
      <c r="S838" s="71">
        <f t="shared" si="293"/>
        <v>0</v>
      </c>
      <c r="U838" s="64">
        <f t="shared" si="294"/>
        <v>0</v>
      </c>
      <c r="W838" s="71">
        <f t="shared" si="295"/>
        <v>0</v>
      </c>
      <c r="Y838" s="71">
        <f t="shared" si="296"/>
        <v>0</v>
      </c>
      <c r="AA838" s="71">
        <f t="shared" si="297"/>
        <v>0</v>
      </c>
      <c r="AC838" s="71">
        <f t="shared" si="298"/>
        <v>0</v>
      </c>
      <c r="AK838" s="71">
        <f t="shared" si="299"/>
        <v>0</v>
      </c>
      <c r="AM838" s="71">
        <f t="shared" si="300"/>
        <v>0</v>
      </c>
      <c r="AO838" s="71">
        <f t="shared" si="301"/>
        <v>0</v>
      </c>
      <c r="AQ838" s="71">
        <f t="shared" si="302"/>
        <v>0</v>
      </c>
      <c r="AT838" s="71">
        <f t="shared" si="303"/>
        <v>0</v>
      </c>
      <c r="AV838" s="71">
        <f t="shared" si="304"/>
        <v>0</v>
      </c>
      <c r="AX838" s="71">
        <f t="shared" si="305"/>
        <v>0</v>
      </c>
      <c r="AZ838" s="71">
        <f t="shared" si="306"/>
        <v>0</v>
      </c>
      <c r="BE838" s="81">
        <f t="shared" si="307"/>
        <v>0</v>
      </c>
      <c r="BF838" s="81" t="str">
        <f t="shared" si="308"/>
        <v>BASSO</v>
      </c>
    </row>
    <row r="839" spans="7:58" x14ac:dyDescent="0.15">
      <c r="G839" s="64">
        <f t="shared" si="287"/>
        <v>0</v>
      </c>
      <c r="I839" s="64">
        <f t="shared" si="288"/>
        <v>0</v>
      </c>
      <c r="K839" s="64">
        <f t="shared" si="289"/>
        <v>0</v>
      </c>
      <c r="M839" s="64">
        <f t="shared" si="290"/>
        <v>0</v>
      </c>
      <c r="O839" s="64">
        <f t="shared" si="291"/>
        <v>0</v>
      </c>
      <c r="Q839" s="64">
        <f t="shared" si="292"/>
        <v>0</v>
      </c>
      <c r="S839" s="71">
        <f t="shared" si="293"/>
        <v>0</v>
      </c>
      <c r="U839" s="64">
        <f t="shared" si="294"/>
        <v>0</v>
      </c>
      <c r="W839" s="71">
        <f t="shared" si="295"/>
        <v>0</v>
      </c>
      <c r="Y839" s="71">
        <f t="shared" si="296"/>
        <v>0</v>
      </c>
      <c r="AA839" s="71">
        <f t="shared" si="297"/>
        <v>0</v>
      </c>
      <c r="AC839" s="71">
        <f t="shared" si="298"/>
        <v>0</v>
      </c>
      <c r="AK839" s="71">
        <f t="shared" si="299"/>
        <v>0</v>
      </c>
      <c r="AM839" s="71">
        <f t="shared" si="300"/>
        <v>0</v>
      </c>
      <c r="AO839" s="71">
        <f t="shared" si="301"/>
        <v>0</v>
      </c>
      <c r="AQ839" s="71">
        <f t="shared" si="302"/>
        <v>0</v>
      </c>
      <c r="AT839" s="71">
        <f t="shared" si="303"/>
        <v>0</v>
      </c>
      <c r="AV839" s="71">
        <f t="shared" si="304"/>
        <v>0</v>
      </c>
      <c r="AX839" s="71">
        <f t="shared" si="305"/>
        <v>0</v>
      </c>
      <c r="AZ839" s="71">
        <f t="shared" si="306"/>
        <v>0</v>
      </c>
      <c r="BE839" s="81">
        <f t="shared" si="307"/>
        <v>0</v>
      </c>
      <c r="BF839" s="81" t="str">
        <f t="shared" si="308"/>
        <v>BASSO</v>
      </c>
    </row>
    <row r="840" spans="7:58" x14ac:dyDescent="0.15">
      <c r="G840" s="64">
        <f t="shared" si="287"/>
        <v>0</v>
      </c>
      <c r="I840" s="64">
        <f t="shared" si="288"/>
        <v>0</v>
      </c>
      <c r="K840" s="64">
        <f t="shared" si="289"/>
        <v>0</v>
      </c>
      <c r="M840" s="64">
        <f t="shared" si="290"/>
        <v>0</v>
      </c>
      <c r="O840" s="64">
        <f t="shared" si="291"/>
        <v>0</v>
      </c>
      <c r="Q840" s="64">
        <f t="shared" si="292"/>
        <v>0</v>
      </c>
      <c r="S840" s="71">
        <f t="shared" si="293"/>
        <v>0</v>
      </c>
      <c r="U840" s="64">
        <f t="shared" si="294"/>
        <v>0</v>
      </c>
      <c r="W840" s="71">
        <f t="shared" si="295"/>
        <v>0</v>
      </c>
      <c r="Y840" s="71">
        <f t="shared" si="296"/>
        <v>0</v>
      </c>
      <c r="AA840" s="71">
        <f t="shared" si="297"/>
        <v>0</v>
      </c>
      <c r="AC840" s="71">
        <f t="shared" si="298"/>
        <v>0</v>
      </c>
      <c r="AK840" s="71">
        <f t="shared" si="299"/>
        <v>0</v>
      </c>
      <c r="AM840" s="71">
        <f t="shared" si="300"/>
        <v>0</v>
      </c>
      <c r="AO840" s="71">
        <f t="shared" si="301"/>
        <v>0</v>
      </c>
      <c r="AQ840" s="71">
        <f t="shared" si="302"/>
        <v>0</v>
      </c>
      <c r="AT840" s="71">
        <f t="shared" si="303"/>
        <v>0</v>
      </c>
      <c r="AV840" s="71">
        <f t="shared" si="304"/>
        <v>0</v>
      </c>
      <c r="AX840" s="71">
        <f t="shared" si="305"/>
        <v>0</v>
      </c>
      <c r="AZ840" s="71">
        <f t="shared" si="306"/>
        <v>0</v>
      </c>
      <c r="BE840" s="81">
        <f t="shared" si="307"/>
        <v>0</v>
      </c>
      <c r="BF840" s="81" t="str">
        <f t="shared" si="308"/>
        <v>BASSO</v>
      </c>
    </row>
    <row r="841" spans="7:58" x14ac:dyDescent="0.15">
      <c r="G841" s="64">
        <f t="shared" si="287"/>
        <v>0</v>
      </c>
      <c r="I841" s="64">
        <f t="shared" si="288"/>
        <v>0</v>
      </c>
      <c r="K841" s="64">
        <f t="shared" si="289"/>
        <v>0</v>
      </c>
      <c r="M841" s="64">
        <f t="shared" si="290"/>
        <v>0</v>
      </c>
      <c r="O841" s="64">
        <f t="shared" si="291"/>
        <v>0</v>
      </c>
      <c r="Q841" s="64">
        <f t="shared" si="292"/>
        <v>0</v>
      </c>
      <c r="S841" s="71">
        <f t="shared" si="293"/>
        <v>0</v>
      </c>
      <c r="U841" s="64">
        <f t="shared" si="294"/>
        <v>0</v>
      </c>
      <c r="W841" s="71">
        <f t="shared" si="295"/>
        <v>0</v>
      </c>
      <c r="Y841" s="71">
        <f t="shared" si="296"/>
        <v>0</v>
      </c>
      <c r="AA841" s="71">
        <f t="shared" si="297"/>
        <v>0</v>
      </c>
      <c r="AC841" s="71">
        <f t="shared" si="298"/>
        <v>0</v>
      </c>
      <c r="AK841" s="71">
        <f t="shared" si="299"/>
        <v>0</v>
      </c>
      <c r="AM841" s="71">
        <f t="shared" si="300"/>
        <v>0</v>
      </c>
      <c r="AO841" s="71">
        <f t="shared" si="301"/>
        <v>0</v>
      </c>
      <c r="AQ841" s="71">
        <f t="shared" si="302"/>
        <v>0</v>
      </c>
      <c r="AT841" s="71">
        <f t="shared" si="303"/>
        <v>0</v>
      </c>
      <c r="AV841" s="71">
        <f t="shared" si="304"/>
        <v>0</v>
      </c>
      <c r="AX841" s="71">
        <f t="shared" si="305"/>
        <v>0</v>
      </c>
      <c r="AZ841" s="71">
        <f t="shared" si="306"/>
        <v>0</v>
      </c>
      <c r="BE841" s="81">
        <f t="shared" si="307"/>
        <v>0</v>
      </c>
      <c r="BF841" s="81" t="str">
        <f t="shared" si="308"/>
        <v>BASSO</v>
      </c>
    </row>
    <row r="842" spans="7:58" x14ac:dyDescent="0.15">
      <c r="G842" s="64">
        <f t="shared" si="287"/>
        <v>0</v>
      </c>
      <c r="I842" s="64">
        <f t="shared" si="288"/>
        <v>0</v>
      </c>
      <c r="K842" s="64">
        <f t="shared" si="289"/>
        <v>0</v>
      </c>
      <c r="M842" s="64">
        <f t="shared" si="290"/>
        <v>0</v>
      </c>
      <c r="O842" s="64">
        <f t="shared" si="291"/>
        <v>0</v>
      </c>
      <c r="Q842" s="64">
        <f t="shared" si="292"/>
        <v>0</v>
      </c>
      <c r="S842" s="71">
        <f t="shared" si="293"/>
        <v>0</v>
      </c>
      <c r="U842" s="64">
        <f t="shared" si="294"/>
        <v>0</v>
      </c>
      <c r="W842" s="71">
        <f t="shared" si="295"/>
        <v>0</v>
      </c>
      <c r="Y842" s="71">
        <f t="shared" si="296"/>
        <v>0</v>
      </c>
      <c r="AA842" s="71">
        <f t="shared" si="297"/>
        <v>0</v>
      </c>
      <c r="AC842" s="71">
        <f t="shared" si="298"/>
        <v>0</v>
      </c>
      <c r="AK842" s="71">
        <f t="shared" si="299"/>
        <v>0</v>
      </c>
      <c r="AM842" s="71">
        <f t="shared" si="300"/>
        <v>0</v>
      </c>
      <c r="AO842" s="71">
        <f t="shared" si="301"/>
        <v>0</v>
      </c>
      <c r="AQ842" s="71">
        <f t="shared" si="302"/>
        <v>0</v>
      </c>
      <c r="AT842" s="71">
        <f t="shared" si="303"/>
        <v>0</v>
      </c>
      <c r="AV842" s="71">
        <f t="shared" si="304"/>
        <v>0</v>
      </c>
      <c r="AX842" s="71">
        <f t="shared" si="305"/>
        <v>0</v>
      </c>
      <c r="AZ842" s="71">
        <f t="shared" si="306"/>
        <v>0</v>
      </c>
      <c r="BE842" s="81">
        <f t="shared" si="307"/>
        <v>0</v>
      </c>
      <c r="BF842" s="81" t="str">
        <f t="shared" si="308"/>
        <v>BASSO</v>
      </c>
    </row>
    <row r="843" spans="7:58" x14ac:dyDescent="0.15">
      <c r="G843" s="64">
        <f t="shared" si="287"/>
        <v>0</v>
      </c>
      <c r="I843" s="64">
        <f t="shared" si="288"/>
        <v>0</v>
      </c>
      <c r="K843" s="64">
        <f t="shared" si="289"/>
        <v>0</v>
      </c>
      <c r="M843" s="64">
        <f t="shared" si="290"/>
        <v>0</v>
      </c>
      <c r="O843" s="64">
        <f t="shared" si="291"/>
        <v>0</v>
      </c>
      <c r="Q843" s="64">
        <f t="shared" si="292"/>
        <v>0</v>
      </c>
      <c r="S843" s="71">
        <f t="shared" si="293"/>
        <v>0</v>
      </c>
      <c r="U843" s="64">
        <f t="shared" si="294"/>
        <v>0</v>
      </c>
      <c r="W843" s="71">
        <f t="shared" si="295"/>
        <v>0</v>
      </c>
      <c r="Y843" s="71">
        <f t="shared" si="296"/>
        <v>0</v>
      </c>
      <c r="AA843" s="71">
        <f t="shared" si="297"/>
        <v>0</v>
      </c>
      <c r="AC843" s="71">
        <f t="shared" si="298"/>
        <v>0</v>
      </c>
      <c r="AK843" s="71">
        <f t="shared" si="299"/>
        <v>0</v>
      </c>
      <c r="AM843" s="71">
        <f t="shared" si="300"/>
        <v>0</v>
      </c>
      <c r="AO843" s="71">
        <f t="shared" si="301"/>
        <v>0</v>
      </c>
      <c r="AQ843" s="71">
        <f t="shared" si="302"/>
        <v>0</v>
      </c>
      <c r="AT843" s="71">
        <f t="shared" si="303"/>
        <v>0</v>
      </c>
      <c r="AV843" s="71">
        <f t="shared" si="304"/>
        <v>0</v>
      </c>
      <c r="AX843" s="71">
        <f t="shared" si="305"/>
        <v>0</v>
      </c>
      <c r="AZ843" s="71">
        <f t="shared" si="306"/>
        <v>0</v>
      </c>
      <c r="BE843" s="81">
        <f t="shared" si="307"/>
        <v>0</v>
      </c>
      <c r="BF843" s="81" t="str">
        <f t="shared" si="308"/>
        <v>BASSO</v>
      </c>
    </row>
    <row r="844" spans="7:58" x14ac:dyDescent="0.15">
      <c r="G844" s="64">
        <f t="shared" si="287"/>
        <v>0</v>
      </c>
      <c r="I844" s="64">
        <f t="shared" si="288"/>
        <v>0</v>
      </c>
      <c r="K844" s="64">
        <f t="shared" si="289"/>
        <v>0</v>
      </c>
      <c r="M844" s="64">
        <f t="shared" si="290"/>
        <v>0</v>
      </c>
      <c r="O844" s="64">
        <f t="shared" si="291"/>
        <v>0</v>
      </c>
      <c r="Q844" s="64">
        <f t="shared" si="292"/>
        <v>0</v>
      </c>
      <c r="S844" s="71">
        <f t="shared" si="293"/>
        <v>0</v>
      </c>
      <c r="U844" s="64">
        <f t="shared" si="294"/>
        <v>0</v>
      </c>
      <c r="W844" s="71">
        <f t="shared" si="295"/>
        <v>0</v>
      </c>
      <c r="Y844" s="71">
        <f t="shared" si="296"/>
        <v>0</v>
      </c>
      <c r="AA844" s="71">
        <f t="shared" si="297"/>
        <v>0</v>
      </c>
      <c r="AC844" s="71">
        <f t="shared" si="298"/>
        <v>0</v>
      </c>
      <c r="AK844" s="71">
        <f t="shared" si="299"/>
        <v>0</v>
      </c>
      <c r="AM844" s="71">
        <f t="shared" si="300"/>
        <v>0</v>
      </c>
      <c r="AO844" s="71">
        <f t="shared" si="301"/>
        <v>0</v>
      </c>
      <c r="AQ844" s="71">
        <f t="shared" si="302"/>
        <v>0</v>
      </c>
      <c r="AT844" s="71">
        <f t="shared" si="303"/>
        <v>0</v>
      </c>
      <c r="AV844" s="71">
        <f t="shared" si="304"/>
        <v>0</v>
      </c>
      <c r="AX844" s="71">
        <f t="shared" si="305"/>
        <v>0</v>
      </c>
      <c r="AZ844" s="71">
        <f t="shared" si="306"/>
        <v>0</v>
      </c>
      <c r="BE844" s="81">
        <f t="shared" si="307"/>
        <v>0</v>
      </c>
      <c r="BF844" s="81" t="str">
        <f t="shared" si="308"/>
        <v>BASSO</v>
      </c>
    </row>
    <row r="845" spans="7:58" x14ac:dyDescent="0.15">
      <c r="G845" s="64">
        <f t="shared" si="287"/>
        <v>0</v>
      </c>
      <c r="I845" s="64">
        <f t="shared" si="288"/>
        <v>0</v>
      </c>
      <c r="K845" s="64">
        <f t="shared" si="289"/>
        <v>0</v>
      </c>
      <c r="M845" s="64">
        <f t="shared" si="290"/>
        <v>0</v>
      </c>
      <c r="O845" s="64">
        <f t="shared" si="291"/>
        <v>0</v>
      </c>
      <c r="Q845" s="64">
        <f t="shared" si="292"/>
        <v>0</v>
      </c>
      <c r="S845" s="71">
        <f t="shared" si="293"/>
        <v>0</v>
      </c>
      <c r="U845" s="64">
        <f t="shared" si="294"/>
        <v>0</v>
      </c>
      <c r="W845" s="71">
        <f t="shared" si="295"/>
        <v>0</v>
      </c>
      <c r="Y845" s="71">
        <f t="shared" si="296"/>
        <v>0</v>
      </c>
      <c r="AA845" s="71">
        <f t="shared" si="297"/>
        <v>0</v>
      </c>
      <c r="AC845" s="71">
        <f t="shared" si="298"/>
        <v>0</v>
      </c>
      <c r="AK845" s="71">
        <f t="shared" si="299"/>
        <v>0</v>
      </c>
      <c r="AM845" s="71">
        <f t="shared" si="300"/>
        <v>0</v>
      </c>
      <c r="AO845" s="71">
        <f t="shared" si="301"/>
        <v>0</v>
      </c>
      <c r="AQ845" s="71">
        <f t="shared" si="302"/>
        <v>0</v>
      </c>
      <c r="AT845" s="71">
        <f t="shared" si="303"/>
        <v>0</v>
      </c>
      <c r="AV845" s="71">
        <f t="shared" si="304"/>
        <v>0</v>
      </c>
      <c r="AX845" s="71">
        <f t="shared" si="305"/>
        <v>0</v>
      </c>
      <c r="AZ845" s="71">
        <f t="shared" si="306"/>
        <v>0</v>
      </c>
      <c r="BE845" s="81">
        <f t="shared" si="307"/>
        <v>0</v>
      </c>
      <c r="BF845" s="81" t="str">
        <f t="shared" si="308"/>
        <v>BASSO</v>
      </c>
    </row>
    <row r="846" spans="7:58" x14ac:dyDescent="0.15">
      <c r="G846" s="64">
        <f t="shared" si="287"/>
        <v>0</v>
      </c>
      <c r="I846" s="64">
        <f t="shared" si="288"/>
        <v>0</v>
      </c>
      <c r="K846" s="64">
        <f t="shared" si="289"/>
        <v>0</v>
      </c>
      <c r="M846" s="64">
        <f t="shared" si="290"/>
        <v>0</v>
      </c>
      <c r="O846" s="64">
        <f t="shared" si="291"/>
        <v>0</v>
      </c>
      <c r="Q846" s="64">
        <f t="shared" si="292"/>
        <v>0</v>
      </c>
      <c r="S846" s="71">
        <f t="shared" si="293"/>
        <v>0</v>
      </c>
      <c r="U846" s="64">
        <f t="shared" si="294"/>
        <v>0</v>
      </c>
      <c r="W846" s="71">
        <f t="shared" si="295"/>
        <v>0</v>
      </c>
      <c r="Y846" s="71">
        <f t="shared" si="296"/>
        <v>0</v>
      </c>
      <c r="AA846" s="71">
        <f t="shared" si="297"/>
        <v>0</v>
      </c>
      <c r="AC846" s="71">
        <f t="shared" si="298"/>
        <v>0</v>
      </c>
      <c r="AK846" s="71">
        <f t="shared" si="299"/>
        <v>0</v>
      </c>
      <c r="AM846" s="71">
        <f t="shared" si="300"/>
        <v>0</v>
      </c>
      <c r="AO846" s="71">
        <f t="shared" si="301"/>
        <v>0</v>
      </c>
      <c r="AQ846" s="71">
        <f t="shared" si="302"/>
        <v>0</v>
      </c>
      <c r="AT846" s="71">
        <f t="shared" si="303"/>
        <v>0</v>
      </c>
      <c r="AV846" s="71">
        <f t="shared" si="304"/>
        <v>0</v>
      </c>
      <c r="AX846" s="71">
        <f t="shared" si="305"/>
        <v>0</v>
      </c>
      <c r="AZ846" s="71">
        <f t="shared" si="306"/>
        <v>0</v>
      </c>
      <c r="BE846" s="81">
        <f t="shared" si="307"/>
        <v>0</v>
      </c>
      <c r="BF846" s="81" t="str">
        <f t="shared" si="308"/>
        <v>BASSO</v>
      </c>
    </row>
    <row r="847" spans="7:58" x14ac:dyDescent="0.15">
      <c r="G847" s="64">
        <f t="shared" si="287"/>
        <v>0</v>
      </c>
      <c r="I847" s="64">
        <f t="shared" si="288"/>
        <v>0</v>
      </c>
      <c r="K847" s="64">
        <f t="shared" si="289"/>
        <v>0</v>
      </c>
      <c r="M847" s="64">
        <f t="shared" si="290"/>
        <v>0</v>
      </c>
      <c r="O847" s="64">
        <f t="shared" si="291"/>
        <v>0</v>
      </c>
      <c r="Q847" s="64">
        <f t="shared" si="292"/>
        <v>0</v>
      </c>
      <c r="S847" s="71">
        <f t="shared" si="293"/>
        <v>0</v>
      </c>
      <c r="U847" s="64">
        <f t="shared" si="294"/>
        <v>0</v>
      </c>
      <c r="W847" s="71">
        <f t="shared" si="295"/>
        <v>0</v>
      </c>
      <c r="Y847" s="71">
        <f t="shared" si="296"/>
        <v>0</v>
      </c>
      <c r="AA847" s="71">
        <f t="shared" si="297"/>
        <v>0</v>
      </c>
      <c r="AC847" s="71">
        <f t="shared" si="298"/>
        <v>0</v>
      </c>
      <c r="AK847" s="71">
        <f t="shared" si="299"/>
        <v>0</v>
      </c>
      <c r="AM847" s="71">
        <f t="shared" si="300"/>
        <v>0</v>
      </c>
      <c r="AO847" s="71">
        <f t="shared" si="301"/>
        <v>0</v>
      </c>
      <c r="AQ847" s="71">
        <f t="shared" si="302"/>
        <v>0</v>
      </c>
      <c r="AT847" s="71">
        <f t="shared" si="303"/>
        <v>0</v>
      </c>
      <c r="AV847" s="71">
        <f t="shared" si="304"/>
        <v>0</v>
      </c>
      <c r="AX847" s="71">
        <f t="shared" si="305"/>
        <v>0</v>
      </c>
      <c r="AZ847" s="71">
        <f t="shared" si="306"/>
        <v>0</v>
      </c>
      <c r="BE847" s="81">
        <f t="shared" si="307"/>
        <v>0</v>
      </c>
      <c r="BF847" s="81" t="str">
        <f t="shared" si="308"/>
        <v>BASSO</v>
      </c>
    </row>
    <row r="848" spans="7:58" x14ac:dyDescent="0.15">
      <c r="G848" s="64">
        <f t="shared" si="287"/>
        <v>0</v>
      </c>
      <c r="I848" s="64">
        <f t="shared" si="288"/>
        <v>0</v>
      </c>
      <c r="K848" s="64">
        <f t="shared" si="289"/>
        <v>0</v>
      </c>
      <c r="M848" s="64">
        <f t="shared" si="290"/>
        <v>0</v>
      </c>
      <c r="O848" s="64">
        <f t="shared" si="291"/>
        <v>0</v>
      </c>
      <c r="Q848" s="64">
        <f t="shared" si="292"/>
        <v>0</v>
      </c>
      <c r="S848" s="71">
        <f t="shared" si="293"/>
        <v>0</v>
      </c>
      <c r="U848" s="64">
        <f t="shared" si="294"/>
        <v>0</v>
      </c>
      <c r="W848" s="71">
        <f t="shared" si="295"/>
        <v>0</v>
      </c>
      <c r="Y848" s="71">
        <f t="shared" si="296"/>
        <v>0</v>
      </c>
      <c r="AA848" s="71">
        <f t="shared" si="297"/>
        <v>0</v>
      </c>
      <c r="AC848" s="71">
        <f t="shared" si="298"/>
        <v>0</v>
      </c>
      <c r="AK848" s="71">
        <f t="shared" si="299"/>
        <v>0</v>
      </c>
      <c r="AM848" s="71">
        <f t="shared" si="300"/>
        <v>0</v>
      </c>
      <c r="AO848" s="71">
        <f t="shared" si="301"/>
        <v>0</v>
      </c>
      <c r="AQ848" s="71">
        <f t="shared" si="302"/>
        <v>0</v>
      </c>
      <c r="AT848" s="71">
        <f t="shared" si="303"/>
        <v>0</v>
      </c>
      <c r="AV848" s="71">
        <f t="shared" si="304"/>
        <v>0</v>
      </c>
      <c r="AX848" s="71">
        <f t="shared" si="305"/>
        <v>0</v>
      </c>
      <c r="AZ848" s="71">
        <f t="shared" si="306"/>
        <v>0</v>
      </c>
      <c r="BE848" s="81">
        <f t="shared" si="307"/>
        <v>0</v>
      </c>
      <c r="BF848" s="81" t="str">
        <f t="shared" si="308"/>
        <v>BASSO</v>
      </c>
    </row>
    <row r="849" spans="7:58" x14ac:dyDescent="0.15">
      <c r="G849" s="64">
        <f t="shared" si="287"/>
        <v>0</v>
      </c>
      <c r="I849" s="64">
        <f t="shared" si="288"/>
        <v>0</v>
      </c>
      <c r="K849" s="64">
        <f t="shared" si="289"/>
        <v>0</v>
      </c>
      <c r="M849" s="64">
        <f t="shared" si="290"/>
        <v>0</v>
      </c>
      <c r="O849" s="64">
        <f t="shared" si="291"/>
        <v>0</v>
      </c>
      <c r="Q849" s="64">
        <f t="shared" si="292"/>
        <v>0</v>
      </c>
      <c r="S849" s="71">
        <f t="shared" si="293"/>
        <v>0</v>
      </c>
      <c r="U849" s="64">
        <f t="shared" si="294"/>
        <v>0</v>
      </c>
      <c r="W849" s="71">
        <f t="shared" si="295"/>
        <v>0</v>
      </c>
      <c r="Y849" s="71">
        <f t="shared" si="296"/>
        <v>0</v>
      </c>
      <c r="AA849" s="71">
        <f t="shared" si="297"/>
        <v>0</v>
      </c>
      <c r="AC849" s="71">
        <f t="shared" si="298"/>
        <v>0</v>
      </c>
      <c r="AK849" s="71">
        <f t="shared" si="299"/>
        <v>0</v>
      </c>
      <c r="AM849" s="71">
        <f t="shared" si="300"/>
        <v>0</v>
      </c>
      <c r="AO849" s="71">
        <f t="shared" si="301"/>
        <v>0</v>
      </c>
      <c r="AQ849" s="71">
        <f t="shared" si="302"/>
        <v>0</v>
      </c>
      <c r="AT849" s="71">
        <f t="shared" si="303"/>
        <v>0</v>
      </c>
      <c r="AV849" s="71">
        <f t="shared" si="304"/>
        <v>0</v>
      </c>
      <c r="AX849" s="71">
        <f t="shared" si="305"/>
        <v>0</v>
      </c>
      <c r="AZ849" s="71">
        <f t="shared" si="306"/>
        <v>0</v>
      </c>
      <c r="BE849" s="81">
        <f t="shared" si="307"/>
        <v>0</v>
      </c>
      <c r="BF849" s="81" t="str">
        <f t="shared" si="308"/>
        <v>BASSO</v>
      </c>
    </row>
    <row r="850" spans="7:58" x14ac:dyDescent="0.15">
      <c r="G850" s="64">
        <f t="shared" si="287"/>
        <v>0</v>
      </c>
      <c r="I850" s="64">
        <f t="shared" si="288"/>
        <v>0</v>
      </c>
      <c r="K850" s="64">
        <f t="shared" si="289"/>
        <v>0</v>
      </c>
      <c r="M850" s="64">
        <f t="shared" si="290"/>
        <v>0</v>
      </c>
      <c r="O850" s="64">
        <f t="shared" si="291"/>
        <v>0</v>
      </c>
      <c r="Q850" s="64">
        <f t="shared" si="292"/>
        <v>0</v>
      </c>
      <c r="S850" s="71">
        <f t="shared" si="293"/>
        <v>0</v>
      </c>
      <c r="U850" s="64">
        <f t="shared" si="294"/>
        <v>0</v>
      </c>
      <c r="W850" s="71">
        <f t="shared" si="295"/>
        <v>0</v>
      </c>
      <c r="Y850" s="71">
        <f t="shared" si="296"/>
        <v>0</v>
      </c>
      <c r="AA850" s="71">
        <f t="shared" si="297"/>
        <v>0</v>
      </c>
      <c r="AC850" s="71">
        <f t="shared" si="298"/>
        <v>0</v>
      </c>
      <c r="AK850" s="71">
        <f t="shared" si="299"/>
        <v>0</v>
      </c>
      <c r="AM850" s="71">
        <f t="shared" si="300"/>
        <v>0</v>
      </c>
      <c r="AO850" s="71">
        <f t="shared" si="301"/>
        <v>0</v>
      </c>
      <c r="AQ850" s="71">
        <f t="shared" si="302"/>
        <v>0</v>
      </c>
      <c r="AT850" s="71">
        <f t="shared" si="303"/>
        <v>0</v>
      </c>
      <c r="AV850" s="71">
        <f t="shared" si="304"/>
        <v>0</v>
      </c>
      <c r="AX850" s="71">
        <f t="shared" si="305"/>
        <v>0</v>
      </c>
      <c r="AZ850" s="71">
        <f t="shared" si="306"/>
        <v>0</v>
      </c>
      <c r="BE850" s="81">
        <f t="shared" si="307"/>
        <v>0</v>
      </c>
      <c r="BF850" s="81" t="str">
        <f t="shared" si="308"/>
        <v>BASSO</v>
      </c>
    </row>
    <row r="851" spans="7:58" x14ac:dyDescent="0.15">
      <c r="G851" s="64">
        <f t="shared" si="287"/>
        <v>0</v>
      </c>
      <c r="I851" s="64">
        <f t="shared" si="288"/>
        <v>0</v>
      </c>
      <c r="K851" s="64">
        <f t="shared" si="289"/>
        <v>0</v>
      </c>
      <c r="M851" s="64">
        <f t="shared" si="290"/>
        <v>0</v>
      </c>
      <c r="O851" s="64">
        <f t="shared" si="291"/>
        <v>0</v>
      </c>
      <c r="Q851" s="64">
        <f t="shared" si="292"/>
        <v>0</v>
      </c>
      <c r="S851" s="71">
        <f t="shared" si="293"/>
        <v>0</v>
      </c>
      <c r="U851" s="64">
        <f t="shared" si="294"/>
        <v>0</v>
      </c>
      <c r="W851" s="71">
        <f t="shared" si="295"/>
        <v>0</v>
      </c>
      <c r="Y851" s="71">
        <f t="shared" si="296"/>
        <v>0</v>
      </c>
      <c r="AA851" s="71">
        <f t="shared" si="297"/>
        <v>0</v>
      </c>
      <c r="AC851" s="71">
        <f t="shared" si="298"/>
        <v>0</v>
      </c>
      <c r="AK851" s="71">
        <f t="shared" si="299"/>
        <v>0</v>
      </c>
      <c r="AM851" s="71">
        <f t="shared" si="300"/>
        <v>0</v>
      </c>
      <c r="AO851" s="71">
        <f t="shared" si="301"/>
        <v>0</v>
      </c>
      <c r="AQ851" s="71">
        <f t="shared" si="302"/>
        <v>0</v>
      </c>
      <c r="AT851" s="71">
        <f t="shared" si="303"/>
        <v>0</v>
      </c>
      <c r="AV851" s="71">
        <f t="shared" si="304"/>
        <v>0</v>
      </c>
      <c r="AX851" s="71">
        <f t="shared" si="305"/>
        <v>0</v>
      </c>
      <c r="AZ851" s="71">
        <f t="shared" si="306"/>
        <v>0</v>
      </c>
      <c r="BE851" s="81">
        <f t="shared" si="307"/>
        <v>0</v>
      </c>
      <c r="BF851" s="81" t="str">
        <f t="shared" si="308"/>
        <v>BASSO</v>
      </c>
    </row>
    <row r="852" spans="7:58" x14ac:dyDescent="0.15">
      <c r="G852" s="64">
        <f t="shared" si="287"/>
        <v>0</v>
      </c>
      <c r="I852" s="64">
        <f t="shared" si="288"/>
        <v>0</v>
      </c>
      <c r="K852" s="64">
        <f t="shared" si="289"/>
        <v>0</v>
      </c>
      <c r="M852" s="64">
        <f t="shared" si="290"/>
        <v>0</v>
      </c>
      <c r="O852" s="64">
        <f t="shared" si="291"/>
        <v>0</v>
      </c>
      <c r="Q852" s="64">
        <f t="shared" si="292"/>
        <v>0</v>
      </c>
      <c r="S852" s="71">
        <f t="shared" si="293"/>
        <v>0</v>
      </c>
      <c r="U852" s="64">
        <f t="shared" si="294"/>
        <v>0</v>
      </c>
      <c r="W852" s="71">
        <f t="shared" si="295"/>
        <v>0</v>
      </c>
      <c r="Y852" s="71">
        <f t="shared" si="296"/>
        <v>0</v>
      </c>
      <c r="AA852" s="71">
        <f t="shared" si="297"/>
        <v>0</v>
      </c>
      <c r="AC852" s="71">
        <f t="shared" si="298"/>
        <v>0</v>
      </c>
      <c r="AK852" s="71">
        <f t="shared" si="299"/>
        <v>0</v>
      </c>
      <c r="AM852" s="71">
        <f t="shared" si="300"/>
        <v>0</v>
      </c>
      <c r="AO852" s="71">
        <f t="shared" si="301"/>
        <v>0</v>
      </c>
      <c r="AQ852" s="71">
        <f t="shared" si="302"/>
        <v>0</v>
      </c>
      <c r="AT852" s="71">
        <f t="shared" si="303"/>
        <v>0</v>
      </c>
      <c r="AV852" s="71">
        <f t="shared" si="304"/>
        <v>0</v>
      </c>
      <c r="AX852" s="71">
        <f t="shared" si="305"/>
        <v>0</v>
      </c>
      <c r="AZ852" s="71">
        <f t="shared" si="306"/>
        <v>0</v>
      </c>
      <c r="BE852" s="81">
        <f t="shared" si="307"/>
        <v>0</v>
      </c>
      <c r="BF852" s="81" t="str">
        <f t="shared" si="308"/>
        <v>BASSO</v>
      </c>
    </row>
    <row r="853" spans="7:58" x14ac:dyDescent="0.15">
      <c r="G853" s="64">
        <f t="shared" si="287"/>
        <v>0</v>
      </c>
      <c r="I853" s="64">
        <f t="shared" si="288"/>
        <v>0</v>
      </c>
      <c r="K853" s="64">
        <f t="shared" si="289"/>
        <v>0</v>
      </c>
      <c r="M853" s="64">
        <f t="shared" si="290"/>
        <v>0</v>
      </c>
      <c r="O853" s="64">
        <f t="shared" si="291"/>
        <v>0</v>
      </c>
      <c r="Q853" s="64">
        <f t="shared" si="292"/>
        <v>0</v>
      </c>
      <c r="S853" s="71">
        <f t="shared" si="293"/>
        <v>0</v>
      </c>
      <c r="U853" s="64">
        <f t="shared" si="294"/>
        <v>0</v>
      </c>
      <c r="W853" s="71">
        <f t="shared" si="295"/>
        <v>0</v>
      </c>
      <c r="Y853" s="71">
        <f t="shared" si="296"/>
        <v>0</v>
      </c>
      <c r="AA853" s="71">
        <f t="shared" si="297"/>
        <v>0</v>
      </c>
      <c r="AC853" s="71">
        <f t="shared" si="298"/>
        <v>0</v>
      </c>
      <c r="AK853" s="71">
        <f t="shared" si="299"/>
        <v>0</v>
      </c>
      <c r="AM853" s="71">
        <f t="shared" si="300"/>
        <v>0</v>
      </c>
      <c r="AO853" s="71">
        <f t="shared" si="301"/>
        <v>0</v>
      </c>
      <c r="AQ853" s="71">
        <f t="shared" si="302"/>
        <v>0</v>
      </c>
      <c r="AT853" s="71">
        <f t="shared" si="303"/>
        <v>0</v>
      </c>
      <c r="AV853" s="71">
        <f t="shared" si="304"/>
        <v>0</v>
      </c>
      <c r="AX853" s="71">
        <f t="shared" si="305"/>
        <v>0</v>
      </c>
      <c r="AZ853" s="71">
        <f t="shared" si="306"/>
        <v>0</v>
      </c>
      <c r="BE853" s="81">
        <f t="shared" si="307"/>
        <v>0</v>
      </c>
      <c r="BF853" s="81" t="str">
        <f t="shared" si="308"/>
        <v>BASSO</v>
      </c>
    </row>
    <row r="854" spans="7:58" x14ac:dyDescent="0.15">
      <c r="G854" s="64">
        <f t="shared" si="287"/>
        <v>0</v>
      </c>
      <c r="I854" s="64">
        <f t="shared" si="288"/>
        <v>0</v>
      </c>
      <c r="K854" s="64">
        <f t="shared" si="289"/>
        <v>0</v>
      </c>
      <c r="M854" s="64">
        <f t="shared" si="290"/>
        <v>0</v>
      </c>
      <c r="O854" s="64">
        <f t="shared" si="291"/>
        <v>0</v>
      </c>
      <c r="Q854" s="64">
        <f t="shared" si="292"/>
        <v>0</v>
      </c>
      <c r="S854" s="71">
        <f t="shared" si="293"/>
        <v>0</v>
      </c>
      <c r="U854" s="64">
        <f t="shared" si="294"/>
        <v>0</v>
      </c>
      <c r="W854" s="71">
        <f t="shared" si="295"/>
        <v>0</v>
      </c>
      <c r="Y854" s="71">
        <f t="shared" si="296"/>
        <v>0</v>
      </c>
      <c r="AA854" s="71">
        <f t="shared" si="297"/>
        <v>0</v>
      </c>
      <c r="AC854" s="71">
        <f t="shared" si="298"/>
        <v>0</v>
      </c>
      <c r="AK854" s="71">
        <f t="shared" si="299"/>
        <v>0</v>
      </c>
      <c r="AM854" s="71">
        <f t="shared" si="300"/>
        <v>0</v>
      </c>
      <c r="AO854" s="71">
        <f t="shared" si="301"/>
        <v>0</v>
      </c>
      <c r="AQ854" s="71">
        <f t="shared" si="302"/>
        <v>0</v>
      </c>
      <c r="AT854" s="71">
        <f t="shared" si="303"/>
        <v>0</v>
      </c>
      <c r="AV854" s="71">
        <f t="shared" si="304"/>
        <v>0</v>
      </c>
      <c r="AX854" s="71">
        <f t="shared" si="305"/>
        <v>0</v>
      </c>
      <c r="AZ854" s="71">
        <f t="shared" si="306"/>
        <v>0</v>
      </c>
      <c r="BE854" s="81">
        <f t="shared" si="307"/>
        <v>0</v>
      </c>
      <c r="BF854" s="81" t="str">
        <f t="shared" si="308"/>
        <v>BASSO</v>
      </c>
    </row>
    <row r="855" spans="7:58" x14ac:dyDescent="0.15">
      <c r="G855" s="64">
        <f t="shared" si="287"/>
        <v>0</v>
      </c>
      <c r="I855" s="64">
        <f t="shared" si="288"/>
        <v>0</v>
      </c>
      <c r="K855" s="64">
        <f t="shared" si="289"/>
        <v>0</v>
      </c>
      <c r="M855" s="64">
        <f t="shared" si="290"/>
        <v>0</v>
      </c>
      <c r="O855" s="64">
        <f t="shared" si="291"/>
        <v>0</v>
      </c>
      <c r="Q855" s="64">
        <f t="shared" si="292"/>
        <v>0</v>
      </c>
      <c r="S855" s="71">
        <f t="shared" si="293"/>
        <v>0</v>
      </c>
      <c r="U855" s="64">
        <f t="shared" si="294"/>
        <v>0</v>
      </c>
      <c r="W855" s="71">
        <f t="shared" si="295"/>
        <v>0</v>
      </c>
      <c r="Y855" s="71">
        <f t="shared" si="296"/>
        <v>0</v>
      </c>
      <c r="AA855" s="71">
        <f t="shared" si="297"/>
        <v>0</v>
      </c>
      <c r="AC855" s="71">
        <f t="shared" si="298"/>
        <v>0</v>
      </c>
      <c r="AK855" s="71">
        <f t="shared" si="299"/>
        <v>0</v>
      </c>
      <c r="AM855" s="71">
        <f t="shared" si="300"/>
        <v>0</v>
      </c>
      <c r="AO855" s="71">
        <f t="shared" si="301"/>
        <v>0</v>
      </c>
      <c r="AQ855" s="71">
        <f t="shared" si="302"/>
        <v>0</v>
      </c>
      <c r="AT855" s="71">
        <f t="shared" si="303"/>
        <v>0</v>
      </c>
      <c r="AV855" s="71">
        <f t="shared" si="304"/>
        <v>0</v>
      </c>
      <c r="AX855" s="71">
        <f t="shared" si="305"/>
        <v>0</v>
      </c>
      <c r="AZ855" s="71">
        <f t="shared" si="306"/>
        <v>0</v>
      </c>
      <c r="BE855" s="81">
        <f t="shared" si="307"/>
        <v>0</v>
      </c>
      <c r="BF855" s="81" t="str">
        <f t="shared" si="308"/>
        <v>BASSO</v>
      </c>
    </row>
    <row r="856" spans="7:58" x14ac:dyDescent="0.15">
      <c r="G856" s="64">
        <f t="shared" si="287"/>
        <v>0</v>
      </c>
      <c r="I856" s="64">
        <f t="shared" si="288"/>
        <v>0</v>
      </c>
      <c r="K856" s="64">
        <f t="shared" si="289"/>
        <v>0</v>
      </c>
      <c r="M856" s="64">
        <f t="shared" si="290"/>
        <v>0</v>
      </c>
      <c r="O856" s="64">
        <f t="shared" si="291"/>
        <v>0</v>
      </c>
      <c r="Q856" s="64">
        <f t="shared" si="292"/>
        <v>0</v>
      </c>
      <c r="S856" s="71">
        <f t="shared" si="293"/>
        <v>0</v>
      </c>
      <c r="U856" s="64">
        <f t="shared" si="294"/>
        <v>0</v>
      </c>
      <c r="W856" s="71">
        <f t="shared" si="295"/>
        <v>0</v>
      </c>
      <c r="Y856" s="71">
        <f t="shared" si="296"/>
        <v>0</v>
      </c>
      <c r="AA856" s="71">
        <f t="shared" si="297"/>
        <v>0</v>
      </c>
      <c r="AC856" s="71">
        <f t="shared" si="298"/>
        <v>0</v>
      </c>
      <c r="AK856" s="71">
        <f t="shared" si="299"/>
        <v>0</v>
      </c>
      <c r="AM856" s="71">
        <f t="shared" si="300"/>
        <v>0</v>
      </c>
      <c r="AO856" s="71">
        <f t="shared" si="301"/>
        <v>0</v>
      </c>
      <c r="AQ856" s="71">
        <f t="shared" si="302"/>
        <v>0</v>
      </c>
      <c r="AT856" s="71">
        <f t="shared" si="303"/>
        <v>0</v>
      </c>
      <c r="AV856" s="71">
        <f t="shared" si="304"/>
        <v>0</v>
      </c>
      <c r="AX856" s="71">
        <f t="shared" si="305"/>
        <v>0</v>
      </c>
      <c r="AZ856" s="71">
        <f t="shared" si="306"/>
        <v>0</v>
      </c>
      <c r="BE856" s="81">
        <f t="shared" si="307"/>
        <v>0</v>
      </c>
      <c r="BF856" s="81" t="str">
        <f t="shared" si="308"/>
        <v>BASSO</v>
      </c>
    </row>
    <row r="857" spans="7:58" x14ac:dyDescent="0.15">
      <c r="G857" s="64">
        <f t="shared" si="287"/>
        <v>0</v>
      </c>
      <c r="I857" s="64">
        <f t="shared" si="288"/>
        <v>0</v>
      </c>
      <c r="K857" s="64">
        <f t="shared" si="289"/>
        <v>0</v>
      </c>
      <c r="M857" s="64">
        <f t="shared" si="290"/>
        <v>0</v>
      </c>
      <c r="O857" s="64">
        <f t="shared" si="291"/>
        <v>0</v>
      </c>
      <c r="Q857" s="64">
        <f t="shared" si="292"/>
        <v>0</v>
      </c>
      <c r="S857" s="71">
        <f t="shared" si="293"/>
        <v>0</v>
      </c>
      <c r="U857" s="64">
        <f t="shared" si="294"/>
        <v>0</v>
      </c>
      <c r="W857" s="71">
        <f t="shared" si="295"/>
        <v>0</v>
      </c>
      <c r="Y857" s="71">
        <f t="shared" si="296"/>
        <v>0</v>
      </c>
      <c r="AA857" s="71">
        <f t="shared" si="297"/>
        <v>0</v>
      </c>
      <c r="AC857" s="71">
        <f t="shared" si="298"/>
        <v>0</v>
      </c>
      <c r="AK857" s="71">
        <f t="shared" si="299"/>
        <v>0</v>
      </c>
      <c r="AM857" s="71">
        <f t="shared" si="300"/>
        <v>0</v>
      </c>
      <c r="AO857" s="71">
        <f t="shared" si="301"/>
        <v>0</v>
      </c>
      <c r="AQ857" s="71">
        <f t="shared" si="302"/>
        <v>0</v>
      </c>
      <c r="AT857" s="71">
        <f t="shared" si="303"/>
        <v>0</v>
      </c>
      <c r="AV857" s="71">
        <f t="shared" si="304"/>
        <v>0</v>
      </c>
      <c r="AX857" s="71">
        <f t="shared" si="305"/>
        <v>0</v>
      </c>
      <c r="AZ857" s="71">
        <f t="shared" si="306"/>
        <v>0</v>
      </c>
      <c r="BE857" s="81">
        <f t="shared" si="307"/>
        <v>0</v>
      </c>
      <c r="BF857" s="81" t="str">
        <f t="shared" si="308"/>
        <v>BASSO</v>
      </c>
    </row>
    <row r="858" spans="7:58" x14ac:dyDescent="0.15">
      <c r="G858" s="64">
        <f t="shared" si="287"/>
        <v>0</v>
      </c>
      <c r="I858" s="64">
        <f t="shared" si="288"/>
        <v>0</v>
      </c>
      <c r="K858" s="64">
        <f t="shared" si="289"/>
        <v>0</v>
      </c>
      <c r="M858" s="64">
        <f t="shared" si="290"/>
        <v>0</v>
      </c>
      <c r="O858" s="64">
        <f t="shared" si="291"/>
        <v>0</v>
      </c>
      <c r="Q858" s="64">
        <f t="shared" si="292"/>
        <v>0</v>
      </c>
      <c r="S858" s="71">
        <f t="shared" si="293"/>
        <v>0</v>
      </c>
      <c r="U858" s="64">
        <f t="shared" si="294"/>
        <v>0</v>
      </c>
      <c r="W858" s="71">
        <f t="shared" si="295"/>
        <v>0</v>
      </c>
      <c r="Y858" s="71">
        <f t="shared" si="296"/>
        <v>0</v>
      </c>
      <c r="AA858" s="71">
        <f t="shared" si="297"/>
        <v>0</v>
      </c>
      <c r="AC858" s="71">
        <f t="shared" si="298"/>
        <v>0</v>
      </c>
      <c r="AK858" s="71">
        <f t="shared" si="299"/>
        <v>0</v>
      </c>
      <c r="AM858" s="71">
        <f t="shared" si="300"/>
        <v>0</v>
      </c>
      <c r="AO858" s="71">
        <f t="shared" si="301"/>
        <v>0</v>
      </c>
      <c r="AQ858" s="71">
        <f t="shared" si="302"/>
        <v>0</v>
      </c>
      <c r="AT858" s="71">
        <f t="shared" si="303"/>
        <v>0</v>
      </c>
      <c r="AV858" s="71">
        <f t="shared" si="304"/>
        <v>0</v>
      </c>
      <c r="AX858" s="71">
        <f t="shared" si="305"/>
        <v>0</v>
      </c>
      <c r="AZ858" s="71">
        <f t="shared" si="306"/>
        <v>0</v>
      </c>
      <c r="BE858" s="81">
        <f t="shared" si="307"/>
        <v>0</v>
      </c>
      <c r="BF858" s="81" t="str">
        <f t="shared" si="308"/>
        <v>BASSO</v>
      </c>
    </row>
    <row r="859" spans="7:58" x14ac:dyDescent="0.15">
      <c r="G859" s="64">
        <f t="shared" si="287"/>
        <v>0</v>
      </c>
      <c r="I859" s="64">
        <f t="shared" si="288"/>
        <v>0</v>
      </c>
      <c r="K859" s="64">
        <f t="shared" si="289"/>
        <v>0</v>
      </c>
      <c r="M859" s="64">
        <f t="shared" si="290"/>
        <v>0</v>
      </c>
      <c r="O859" s="64">
        <f t="shared" si="291"/>
        <v>0</v>
      </c>
      <c r="Q859" s="64">
        <f t="shared" si="292"/>
        <v>0</v>
      </c>
      <c r="S859" s="71">
        <f t="shared" si="293"/>
        <v>0</v>
      </c>
      <c r="U859" s="64">
        <f t="shared" si="294"/>
        <v>0</v>
      </c>
      <c r="W859" s="71">
        <f t="shared" si="295"/>
        <v>0</v>
      </c>
      <c r="Y859" s="71">
        <f t="shared" si="296"/>
        <v>0</v>
      </c>
      <c r="AA859" s="71">
        <f t="shared" si="297"/>
        <v>0</v>
      </c>
      <c r="AC859" s="71">
        <f t="shared" si="298"/>
        <v>0</v>
      </c>
      <c r="AK859" s="71">
        <f t="shared" si="299"/>
        <v>0</v>
      </c>
      <c r="AM859" s="71">
        <f t="shared" si="300"/>
        <v>0</v>
      </c>
      <c r="AO859" s="71">
        <f t="shared" si="301"/>
        <v>0</v>
      </c>
      <c r="AQ859" s="71">
        <f t="shared" si="302"/>
        <v>0</v>
      </c>
      <c r="AT859" s="71">
        <f t="shared" si="303"/>
        <v>0</v>
      </c>
      <c r="AV859" s="71">
        <f t="shared" si="304"/>
        <v>0</v>
      </c>
      <c r="AX859" s="71">
        <f t="shared" si="305"/>
        <v>0</v>
      </c>
      <c r="AZ859" s="71">
        <f t="shared" si="306"/>
        <v>0</v>
      </c>
      <c r="BE859" s="81">
        <f t="shared" si="307"/>
        <v>0</v>
      </c>
      <c r="BF859" s="81" t="str">
        <f t="shared" si="308"/>
        <v>BASSO</v>
      </c>
    </row>
    <row r="860" spans="7:58" x14ac:dyDescent="0.15">
      <c r="G860" s="64">
        <f t="shared" si="287"/>
        <v>0</v>
      </c>
      <c r="I860" s="64">
        <f t="shared" si="288"/>
        <v>0</v>
      </c>
      <c r="K860" s="64">
        <f t="shared" si="289"/>
        <v>0</v>
      </c>
      <c r="M860" s="64">
        <f t="shared" si="290"/>
        <v>0</v>
      </c>
      <c r="O860" s="64">
        <f t="shared" si="291"/>
        <v>0</v>
      </c>
      <c r="Q860" s="64">
        <f t="shared" si="292"/>
        <v>0</v>
      </c>
      <c r="S860" s="71">
        <f t="shared" si="293"/>
        <v>0</v>
      </c>
      <c r="U860" s="64">
        <f t="shared" si="294"/>
        <v>0</v>
      </c>
      <c r="W860" s="71">
        <f t="shared" si="295"/>
        <v>0</v>
      </c>
      <c r="Y860" s="71">
        <f t="shared" si="296"/>
        <v>0</v>
      </c>
      <c r="AA860" s="71">
        <f t="shared" si="297"/>
        <v>0</v>
      </c>
      <c r="AC860" s="71">
        <f t="shared" si="298"/>
        <v>0</v>
      </c>
      <c r="AK860" s="71">
        <f t="shared" si="299"/>
        <v>0</v>
      </c>
      <c r="AM860" s="71">
        <f t="shared" si="300"/>
        <v>0</v>
      </c>
      <c r="AO860" s="71">
        <f t="shared" si="301"/>
        <v>0</v>
      </c>
      <c r="AQ860" s="71">
        <f t="shared" si="302"/>
        <v>0</v>
      </c>
      <c r="AT860" s="71">
        <f t="shared" si="303"/>
        <v>0</v>
      </c>
      <c r="AV860" s="71">
        <f t="shared" si="304"/>
        <v>0</v>
      </c>
      <c r="AX860" s="71">
        <f t="shared" si="305"/>
        <v>0</v>
      </c>
      <c r="AZ860" s="71">
        <f t="shared" si="306"/>
        <v>0</v>
      </c>
      <c r="BE860" s="81">
        <f t="shared" si="307"/>
        <v>0</v>
      </c>
      <c r="BF860" s="81" t="str">
        <f t="shared" si="308"/>
        <v>BASSO</v>
      </c>
    </row>
    <row r="861" spans="7:58" x14ac:dyDescent="0.15">
      <c r="G861" s="64">
        <f t="shared" si="287"/>
        <v>0</v>
      </c>
      <c r="I861" s="64">
        <f t="shared" si="288"/>
        <v>0</v>
      </c>
      <c r="K861" s="64">
        <f t="shared" si="289"/>
        <v>0</v>
      </c>
      <c r="M861" s="64">
        <f t="shared" si="290"/>
        <v>0</v>
      </c>
      <c r="O861" s="64">
        <f t="shared" si="291"/>
        <v>0</v>
      </c>
      <c r="Q861" s="64">
        <f t="shared" si="292"/>
        <v>0</v>
      </c>
      <c r="S861" s="71">
        <f t="shared" si="293"/>
        <v>0</v>
      </c>
      <c r="U861" s="64">
        <f t="shared" si="294"/>
        <v>0</v>
      </c>
      <c r="W861" s="71">
        <f t="shared" si="295"/>
        <v>0</v>
      </c>
      <c r="Y861" s="71">
        <f t="shared" si="296"/>
        <v>0</v>
      </c>
      <c r="AA861" s="71">
        <f t="shared" si="297"/>
        <v>0</v>
      </c>
      <c r="AC861" s="71">
        <f t="shared" si="298"/>
        <v>0</v>
      </c>
      <c r="AK861" s="71">
        <f t="shared" si="299"/>
        <v>0</v>
      </c>
      <c r="AM861" s="71">
        <f t="shared" si="300"/>
        <v>0</v>
      </c>
      <c r="AO861" s="71">
        <f t="shared" si="301"/>
        <v>0</v>
      </c>
      <c r="AQ861" s="71">
        <f t="shared" si="302"/>
        <v>0</v>
      </c>
      <c r="AT861" s="71">
        <f t="shared" si="303"/>
        <v>0</v>
      </c>
      <c r="AV861" s="71">
        <f t="shared" si="304"/>
        <v>0</v>
      </c>
      <c r="AX861" s="71">
        <f t="shared" si="305"/>
        <v>0</v>
      </c>
      <c r="AZ861" s="71">
        <f t="shared" si="306"/>
        <v>0</v>
      </c>
      <c r="BE861" s="81">
        <f t="shared" si="307"/>
        <v>0</v>
      </c>
      <c r="BF861" s="81" t="str">
        <f t="shared" si="308"/>
        <v>BASSO</v>
      </c>
    </row>
    <row r="862" spans="7:58" x14ac:dyDescent="0.15">
      <c r="G862" s="64">
        <f t="shared" si="287"/>
        <v>0</v>
      </c>
      <c r="I862" s="64">
        <f t="shared" si="288"/>
        <v>0</v>
      </c>
      <c r="K862" s="64">
        <f t="shared" si="289"/>
        <v>0</v>
      </c>
      <c r="M862" s="64">
        <f t="shared" si="290"/>
        <v>0</v>
      </c>
      <c r="O862" s="64">
        <f t="shared" si="291"/>
        <v>0</v>
      </c>
      <c r="Q862" s="64">
        <f t="shared" si="292"/>
        <v>0</v>
      </c>
      <c r="S862" s="71">
        <f t="shared" si="293"/>
        <v>0</v>
      </c>
      <c r="U862" s="64">
        <f t="shared" si="294"/>
        <v>0</v>
      </c>
      <c r="W862" s="71">
        <f t="shared" si="295"/>
        <v>0</v>
      </c>
      <c r="Y862" s="71">
        <f t="shared" si="296"/>
        <v>0</v>
      </c>
      <c r="AA862" s="71">
        <f t="shared" si="297"/>
        <v>0</v>
      </c>
      <c r="AC862" s="71">
        <f t="shared" si="298"/>
        <v>0</v>
      </c>
      <c r="AK862" s="71">
        <f t="shared" si="299"/>
        <v>0</v>
      </c>
      <c r="AM862" s="71">
        <f t="shared" si="300"/>
        <v>0</v>
      </c>
      <c r="AO862" s="71">
        <f t="shared" si="301"/>
        <v>0</v>
      </c>
      <c r="AQ862" s="71">
        <f t="shared" si="302"/>
        <v>0</v>
      </c>
      <c r="AT862" s="71">
        <f t="shared" si="303"/>
        <v>0</v>
      </c>
      <c r="AV862" s="71">
        <f t="shared" si="304"/>
        <v>0</v>
      </c>
      <c r="AX862" s="71">
        <f t="shared" si="305"/>
        <v>0</v>
      </c>
      <c r="AZ862" s="71">
        <f t="shared" si="306"/>
        <v>0</v>
      </c>
      <c r="BE862" s="81">
        <f t="shared" si="307"/>
        <v>0</v>
      </c>
      <c r="BF862" s="81" t="str">
        <f t="shared" si="308"/>
        <v>BASSO</v>
      </c>
    </row>
    <row r="863" spans="7:58" x14ac:dyDescent="0.15">
      <c r="G863" s="64">
        <f t="shared" si="287"/>
        <v>0</v>
      </c>
      <c r="I863" s="64">
        <f t="shared" si="288"/>
        <v>0</v>
      </c>
      <c r="K863" s="64">
        <f t="shared" si="289"/>
        <v>0</v>
      </c>
      <c r="M863" s="64">
        <f t="shared" si="290"/>
        <v>0</v>
      </c>
      <c r="O863" s="64">
        <f t="shared" si="291"/>
        <v>0</v>
      </c>
      <c r="Q863" s="64">
        <f t="shared" si="292"/>
        <v>0</v>
      </c>
      <c r="S863" s="71">
        <f t="shared" si="293"/>
        <v>0</v>
      </c>
      <c r="U863" s="64">
        <f t="shared" si="294"/>
        <v>0</v>
      </c>
      <c r="W863" s="71">
        <f t="shared" si="295"/>
        <v>0</v>
      </c>
      <c r="Y863" s="71">
        <f t="shared" si="296"/>
        <v>0</v>
      </c>
      <c r="AA863" s="71">
        <f t="shared" si="297"/>
        <v>0</v>
      </c>
      <c r="AC863" s="71">
        <f t="shared" si="298"/>
        <v>0</v>
      </c>
      <c r="AK863" s="71">
        <f t="shared" si="299"/>
        <v>0</v>
      </c>
      <c r="AM863" s="71">
        <f t="shared" si="300"/>
        <v>0</v>
      </c>
      <c r="AO863" s="71">
        <f t="shared" si="301"/>
        <v>0</v>
      </c>
      <c r="AQ863" s="71">
        <f t="shared" si="302"/>
        <v>0</v>
      </c>
      <c r="AT863" s="71">
        <f t="shared" si="303"/>
        <v>0</v>
      </c>
      <c r="AV863" s="71">
        <f t="shared" si="304"/>
        <v>0</v>
      </c>
      <c r="AX863" s="71">
        <f t="shared" si="305"/>
        <v>0</v>
      </c>
      <c r="AZ863" s="71">
        <f t="shared" si="306"/>
        <v>0</v>
      </c>
      <c r="BE863" s="81">
        <f t="shared" si="307"/>
        <v>0</v>
      </c>
      <c r="BF863" s="81" t="str">
        <f t="shared" si="308"/>
        <v>BASSO</v>
      </c>
    </row>
    <row r="864" spans="7:58" x14ac:dyDescent="0.15">
      <c r="G864" s="64">
        <f t="shared" si="287"/>
        <v>0</v>
      </c>
      <c r="I864" s="64">
        <f t="shared" si="288"/>
        <v>0</v>
      </c>
      <c r="K864" s="64">
        <f t="shared" si="289"/>
        <v>0</v>
      </c>
      <c r="M864" s="64">
        <f t="shared" si="290"/>
        <v>0</v>
      </c>
      <c r="O864" s="64">
        <f t="shared" si="291"/>
        <v>0</v>
      </c>
      <c r="Q864" s="64">
        <f t="shared" si="292"/>
        <v>0</v>
      </c>
      <c r="S864" s="71">
        <f t="shared" si="293"/>
        <v>0</v>
      </c>
      <c r="U864" s="64">
        <f t="shared" si="294"/>
        <v>0</v>
      </c>
      <c r="W864" s="71">
        <f t="shared" si="295"/>
        <v>0</v>
      </c>
      <c r="Y864" s="71">
        <f t="shared" si="296"/>
        <v>0</v>
      </c>
      <c r="AA864" s="71">
        <f t="shared" si="297"/>
        <v>0</v>
      </c>
      <c r="AC864" s="71">
        <f t="shared" si="298"/>
        <v>0</v>
      </c>
      <c r="AK864" s="71">
        <f t="shared" si="299"/>
        <v>0</v>
      </c>
      <c r="AM864" s="71">
        <f t="shared" si="300"/>
        <v>0</v>
      </c>
      <c r="AO864" s="71">
        <f t="shared" si="301"/>
        <v>0</v>
      </c>
      <c r="AQ864" s="71">
        <f t="shared" si="302"/>
        <v>0</v>
      </c>
      <c r="AT864" s="71">
        <f t="shared" si="303"/>
        <v>0</v>
      </c>
      <c r="AV864" s="71">
        <f t="shared" si="304"/>
        <v>0</v>
      </c>
      <c r="AX864" s="71">
        <f t="shared" si="305"/>
        <v>0</v>
      </c>
      <c r="AZ864" s="71">
        <f t="shared" si="306"/>
        <v>0</v>
      </c>
      <c r="BE864" s="81">
        <f t="shared" si="307"/>
        <v>0</v>
      </c>
      <c r="BF864" s="81" t="str">
        <f t="shared" si="308"/>
        <v>BASSO</v>
      </c>
    </row>
    <row r="865" spans="7:58" x14ac:dyDescent="0.15">
      <c r="G865" s="64">
        <f t="shared" si="287"/>
        <v>0</v>
      </c>
      <c r="I865" s="64">
        <f t="shared" si="288"/>
        <v>0</v>
      </c>
      <c r="K865" s="64">
        <f t="shared" si="289"/>
        <v>0</v>
      </c>
      <c r="M865" s="64">
        <f t="shared" si="290"/>
        <v>0</v>
      </c>
      <c r="O865" s="64">
        <f t="shared" si="291"/>
        <v>0</v>
      </c>
      <c r="Q865" s="64">
        <f t="shared" si="292"/>
        <v>0</v>
      </c>
      <c r="S865" s="71">
        <f t="shared" si="293"/>
        <v>0</v>
      </c>
      <c r="U865" s="64">
        <f t="shared" si="294"/>
        <v>0</v>
      </c>
      <c r="W865" s="71">
        <f t="shared" si="295"/>
        <v>0</v>
      </c>
      <c r="Y865" s="71">
        <f t="shared" si="296"/>
        <v>0</v>
      </c>
      <c r="AA865" s="71">
        <f t="shared" si="297"/>
        <v>0</v>
      </c>
      <c r="AC865" s="71">
        <f t="shared" si="298"/>
        <v>0</v>
      </c>
      <c r="AK865" s="71">
        <f t="shared" si="299"/>
        <v>0</v>
      </c>
      <c r="AM865" s="71">
        <f t="shared" si="300"/>
        <v>0</v>
      </c>
      <c r="AO865" s="71">
        <f t="shared" si="301"/>
        <v>0</v>
      </c>
      <c r="AQ865" s="71">
        <f t="shared" si="302"/>
        <v>0</v>
      </c>
      <c r="AT865" s="71">
        <f t="shared" si="303"/>
        <v>0</v>
      </c>
      <c r="AV865" s="71">
        <f t="shared" si="304"/>
        <v>0</v>
      </c>
      <c r="AX865" s="71">
        <f t="shared" si="305"/>
        <v>0</v>
      </c>
      <c r="AZ865" s="71">
        <f t="shared" si="306"/>
        <v>0</v>
      </c>
      <c r="BE865" s="81">
        <f t="shared" si="307"/>
        <v>0</v>
      </c>
      <c r="BF865" s="81" t="str">
        <f t="shared" si="308"/>
        <v>BASSO</v>
      </c>
    </row>
    <row r="866" spans="7:58" x14ac:dyDescent="0.15">
      <c r="G866" s="64">
        <f t="shared" si="287"/>
        <v>0</v>
      </c>
      <c r="I866" s="64">
        <f t="shared" si="288"/>
        <v>0</v>
      </c>
      <c r="K866" s="64">
        <f t="shared" si="289"/>
        <v>0</v>
      </c>
      <c r="M866" s="64">
        <f t="shared" si="290"/>
        <v>0</v>
      </c>
      <c r="O866" s="64">
        <f t="shared" si="291"/>
        <v>0</v>
      </c>
      <c r="Q866" s="64">
        <f t="shared" si="292"/>
        <v>0</v>
      </c>
      <c r="S866" s="71">
        <f t="shared" si="293"/>
        <v>0</v>
      </c>
      <c r="U866" s="64">
        <f t="shared" si="294"/>
        <v>0</v>
      </c>
      <c r="W866" s="71">
        <f t="shared" si="295"/>
        <v>0</v>
      </c>
      <c r="Y866" s="71">
        <f t="shared" si="296"/>
        <v>0</v>
      </c>
      <c r="AA866" s="71">
        <f t="shared" si="297"/>
        <v>0</v>
      </c>
      <c r="AC866" s="71">
        <f t="shared" si="298"/>
        <v>0</v>
      </c>
      <c r="AK866" s="71">
        <f t="shared" si="299"/>
        <v>0</v>
      </c>
      <c r="AM866" s="71">
        <f t="shared" si="300"/>
        <v>0</v>
      </c>
      <c r="AO866" s="71">
        <f t="shared" si="301"/>
        <v>0</v>
      </c>
      <c r="AQ866" s="71">
        <f t="shared" si="302"/>
        <v>0</v>
      </c>
      <c r="AT866" s="71">
        <f t="shared" si="303"/>
        <v>0</v>
      </c>
      <c r="AV866" s="71">
        <f t="shared" si="304"/>
        <v>0</v>
      </c>
      <c r="AX866" s="71">
        <f t="shared" si="305"/>
        <v>0</v>
      </c>
      <c r="AZ866" s="71">
        <f t="shared" si="306"/>
        <v>0</v>
      </c>
      <c r="BE866" s="81">
        <f t="shared" si="307"/>
        <v>0</v>
      </c>
      <c r="BF866" s="81" t="str">
        <f t="shared" si="308"/>
        <v>BASSO</v>
      </c>
    </row>
    <row r="867" spans="7:58" x14ac:dyDescent="0.15">
      <c r="G867" s="64">
        <f t="shared" si="287"/>
        <v>0</v>
      </c>
      <c r="I867" s="64">
        <f t="shared" si="288"/>
        <v>0</v>
      </c>
      <c r="K867" s="64">
        <f t="shared" si="289"/>
        <v>0</v>
      </c>
      <c r="M867" s="64">
        <f t="shared" si="290"/>
        <v>0</v>
      </c>
      <c r="O867" s="64">
        <f t="shared" si="291"/>
        <v>0</v>
      </c>
      <c r="Q867" s="64">
        <f t="shared" si="292"/>
        <v>0</v>
      </c>
      <c r="S867" s="71">
        <f t="shared" si="293"/>
        <v>0</v>
      </c>
      <c r="U867" s="64">
        <f t="shared" si="294"/>
        <v>0</v>
      </c>
      <c r="W867" s="71">
        <f t="shared" si="295"/>
        <v>0</v>
      </c>
      <c r="Y867" s="71">
        <f t="shared" si="296"/>
        <v>0</v>
      </c>
      <c r="AA867" s="71">
        <f t="shared" si="297"/>
        <v>0</v>
      </c>
      <c r="AC867" s="71">
        <f t="shared" si="298"/>
        <v>0</v>
      </c>
      <c r="AK867" s="71">
        <f t="shared" si="299"/>
        <v>0</v>
      </c>
      <c r="AM867" s="71">
        <f t="shared" si="300"/>
        <v>0</v>
      </c>
      <c r="AO867" s="71">
        <f t="shared" si="301"/>
        <v>0</v>
      </c>
      <c r="AQ867" s="71">
        <f t="shared" si="302"/>
        <v>0</v>
      </c>
      <c r="AT867" s="71">
        <f t="shared" si="303"/>
        <v>0</v>
      </c>
      <c r="AV867" s="71">
        <f t="shared" si="304"/>
        <v>0</v>
      </c>
      <c r="AX867" s="71">
        <f t="shared" si="305"/>
        <v>0</v>
      </c>
      <c r="AZ867" s="71">
        <f t="shared" si="306"/>
        <v>0</v>
      </c>
      <c r="BE867" s="81">
        <f t="shared" si="307"/>
        <v>0</v>
      </c>
      <c r="BF867" s="81" t="str">
        <f t="shared" si="308"/>
        <v>BASSO</v>
      </c>
    </row>
    <row r="868" spans="7:58" x14ac:dyDescent="0.15">
      <c r="G868" s="64">
        <f t="shared" si="287"/>
        <v>0</v>
      </c>
      <c r="I868" s="64">
        <f t="shared" si="288"/>
        <v>0</v>
      </c>
      <c r="K868" s="64">
        <f t="shared" si="289"/>
        <v>0</v>
      </c>
      <c r="M868" s="64">
        <f t="shared" si="290"/>
        <v>0</v>
      </c>
      <c r="O868" s="64">
        <f t="shared" si="291"/>
        <v>0</v>
      </c>
      <c r="Q868" s="64">
        <f t="shared" si="292"/>
        <v>0</v>
      </c>
      <c r="S868" s="71">
        <f t="shared" si="293"/>
        <v>0</v>
      </c>
      <c r="U868" s="64">
        <f t="shared" si="294"/>
        <v>0</v>
      </c>
      <c r="W868" s="71">
        <f t="shared" si="295"/>
        <v>0</v>
      </c>
      <c r="Y868" s="71">
        <f t="shared" si="296"/>
        <v>0</v>
      </c>
      <c r="AA868" s="71">
        <f t="shared" si="297"/>
        <v>0</v>
      </c>
      <c r="AC868" s="71">
        <f t="shared" si="298"/>
        <v>0</v>
      </c>
      <c r="AK868" s="71">
        <f t="shared" si="299"/>
        <v>0</v>
      </c>
      <c r="AM868" s="71">
        <f t="shared" si="300"/>
        <v>0</v>
      </c>
      <c r="AO868" s="71">
        <f t="shared" si="301"/>
        <v>0</v>
      </c>
      <c r="AQ868" s="71">
        <f t="shared" si="302"/>
        <v>0</v>
      </c>
      <c r="AT868" s="71">
        <f t="shared" si="303"/>
        <v>0</v>
      </c>
      <c r="AV868" s="71">
        <f t="shared" si="304"/>
        <v>0</v>
      </c>
      <c r="AX868" s="71">
        <f t="shared" si="305"/>
        <v>0</v>
      </c>
      <c r="AZ868" s="71">
        <f t="shared" si="306"/>
        <v>0</v>
      </c>
      <c r="BE868" s="81">
        <f t="shared" si="307"/>
        <v>0</v>
      </c>
      <c r="BF868" s="81" t="str">
        <f t="shared" si="308"/>
        <v>BASSO</v>
      </c>
    </row>
    <row r="869" spans="7:58" x14ac:dyDescent="0.15">
      <c r="G869" s="64">
        <f t="shared" si="287"/>
        <v>0</v>
      </c>
      <c r="I869" s="64">
        <f t="shared" si="288"/>
        <v>0</v>
      </c>
      <c r="K869" s="64">
        <f t="shared" si="289"/>
        <v>0</v>
      </c>
      <c r="M869" s="64">
        <f t="shared" si="290"/>
        <v>0</v>
      </c>
      <c r="O869" s="64">
        <f t="shared" si="291"/>
        <v>0</v>
      </c>
      <c r="Q869" s="64">
        <f t="shared" si="292"/>
        <v>0</v>
      </c>
      <c r="S869" s="71">
        <f t="shared" si="293"/>
        <v>0</v>
      </c>
      <c r="U869" s="64">
        <f t="shared" si="294"/>
        <v>0</v>
      </c>
      <c r="W869" s="71">
        <f t="shared" si="295"/>
        <v>0</v>
      </c>
      <c r="Y869" s="71">
        <f t="shared" si="296"/>
        <v>0</v>
      </c>
      <c r="AA869" s="71">
        <f t="shared" si="297"/>
        <v>0</v>
      </c>
      <c r="AC869" s="71">
        <f t="shared" si="298"/>
        <v>0</v>
      </c>
      <c r="AK869" s="71">
        <f t="shared" si="299"/>
        <v>0</v>
      </c>
      <c r="AM869" s="71">
        <f t="shared" si="300"/>
        <v>0</v>
      </c>
      <c r="AO869" s="71">
        <f t="shared" si="301"/>
        <v>0</v>
      </c>
      <c r="AQ869" s="71">
        <f t="shared" si="302"/>
        <v>0</v>
      </c>
      <c r="AT869" s="71">
        <f t="shared" si="303"/>
        <v>0</v>
      </c>
      <c r="AV869" s="71">
        <f t="shared" si="304"/>
        <v>0</v>
      </c>
      <c r="AX869" s="71">
        <f t="shared" si="305"/>
        <v>0</v>
      </c>
      <c r="AZ869" s="71">
        <f t="shared" si="306"/>
        <v>0</v>
      </c>
      <c r="BE869" s="81">
        <f t="shared" si="307"/>
        <v>0</v>
      </c>
      <c r="BF869" s="81" t="str">
        <f t="shared" si="308"/>
        <v>BASSO</v>
      </c>
    </row>
    <row r="870" spans="7:58" x14ac:dyDescent="0.15">
      <c r="G870" s="64">
        <f t="shared" si="287"/>
        <v>0</v>
      </c>
      <c r="I870" s="64">
        <f t="shared" si="288"/>
        <v>0</v>
      </c>
      <c r="K870" s="64">
        <f t="shared" si="289"/>
        <v>0</v>
      </c>
      <c r="M870" s="64">
        <f t="shared" si="290"/>
        <v>0</v>
      </c>
      <c r="O870" s="64">
        <f t="shared" si="291"/>
        <v>0</v>
      </c>
      <c r="Q870" s="64">
        <f t="shared" si="292"/>
        <v>0</v>
      </c>
      <c r="S870" s="71">
        <f t="shared" si="293"/>
        <v>0</v>
      </c>
      <c r="U870" s="64">
        <f t="shared" si="294"/>
        <v>0</v>
      </c>
      <c r="W870" s="71">
        <f t="shared" si="295"/>
        <v>0</v>
      </c>
      <c r="Y870" s="71">
        <f t="shared" si="296"/>
        <v>0</v>
      </c>
      <c r="AA870" s="71">
        <f t="shared" si="297"/>
        <v>0</v>
      </c>
      <c r="AC870" s="71">
        <f t="shared" si="298"/>
        <v>0</v>
      </c>
      <c r="AK870" s="71">
        <f t="shared" si="299"/>
        <v>0</v>
      </c>
      <c r="AM870" s="71">
        <f t="shared" si="300"/>
        <v>0</v>
      </c>
      <c r="AO870" s="71">
        <f t="shared" si="301"/>
        <v>0</v>
      </c>
      <c r="AQ870" s="71">
        <f t="shared" si="302"/>
        <v>0</v>
      </c>
      <c r="AT870" s="71">
        <f t="shared" si="303"/>
        <v>0</v>
      </c>
      <c r="AV870" s="71">
        <f t="shared" si="304"/>
        <v>0</v>
      </c>
      <c r="AX870" s="71">
        <f t="shared" si="305"/>
        <v>0</v>
      </c>
      <c r="AZ870" s="71">
        <f t="shared" si="306"/>
        <v>0</v>
      </c>
      <c r="BE870" s="81">
        <f t="shared" si="307"/>
        <v>0</v>
      </c>
      <c r="BF870" s="81" t="str">
        <f t="shared" si="308"/>
        <v>BASSO</v>
      </c>
    </row>
    <row r="871" spans="7:58" x14ac:dyDescent="0.15">
      <c r="G871" s="64">
        <f t="shared" si="287"/>
        <v>0</v>
      </c>
      <c r="I871" s="64">
        <f t="shared" si="288"/>
        <v>0</v>
      </c>
      <c r="K871" s="64">
        <f t="shared" si="289"/>
        <v>0</v>
      </c>
      <c r="M871" s="64">
        <f t="shared" si="290"/>
        <v>0</v>
      </c>
      <c r="O871" s="64">
        <f t="shared" si="291"/>
        <v>0</v>
      </c>
      <c r="Q871" s="64">
        <f t="shared" si="292"/>
        <v>0</v>
      </c>
      <c r="S871" s="71">
        <f t="shared" si="293"/>
        <v>0</v>
      </c>
      <c r="U871" s="64">
        <f t="shared" si="294"/>
        <v>0</v>
      </c>
      <c r="W871" s="71">
        <f t="shared" si="295"/>
        <v>0</v>
      </c>
      <c r="Y871" s="71">
        <f t="shared" si="296"/>
        <v>0</v>
      </c>
      <c r="AA871" s="71">
        <f t="shared" si="297"/>
        <v>0</v>
      </c>
      <c r="AC871" s="71">
        <f t="shared" si="298"/>
        <v>0</v>
      </c>
      <c r="AK871" s="71">
        <f t="shared" si="299"/>
        <v>0</v>
      </c>
      <c r="AM871" s="71">
        <f t="shared" si="300"/>
        <v>0</v>
      </c>
      <c r="AO871" s="71">
        <f t="shared" si="301"/>
        <v>0</v>
      </c>
      <c r="AQ871" s="71">
        <f t="shared" si="302"/>
        <v>0</v>
      </c>
      <c r="AT871" s="71">
        <f t="shared" si="303"/>
        <v>0</v>
      </c>
      <c r="AV871" s="71">
        <f t="shared" si="304"/>
        <v>0</v>
      </c>
      <c r="AX871" s="71">
        <f t="shared" si="305"/>
        <v>0</v>
      </c>
      <c r="AZ871" s="71">
        <f t="shared" si="306"/>
        <v>0</v>
      </c>
      <c r="BE871" s="81">
        <f t="shared" si="307"/>
        <v>0</v>
      </c>
      <c r="BF871" s="81" t="str">
        <f t="shared" si="308"/>
        <v>BASSO</v>
      </c>
    </row>
    <row r="872" spans="7:58" x14ac:dyDescent="0.15">
      <c r="G872" s="64">
        <f t="shared" si="287"/>
        <v>0</v>
      </c>
      <c r="I872" s="64">
        <f t="shared" si="288"/>
        <v>0</v>
      </c>
      <c r="K872" s="64">
        <f t="shared" si="289"/>
        <v>0</v>
      </c>
      <c r="M872" s="64">
        <f t="shared" si="290"/>
        <v>0</v>
      </c>
      <c r="O872" s="64">
        <f t="shared" si="291"/>
        <v>0</v>
      </c>
      <c r="Q872" s="64">
        <f t="shared" si="292"/>
        <v>0</v>
      </c>
      <c r="S872" s="71">
        <f t="shared" si="293"/>
        <v>0</v>
      </c>
      <c r="U872" s="64">
        <f t="shared" si="294"/>
        <v>0</v>
      </c>
      <c r="W872" s="71">
        <f t="shared" si="295"/>
        <v>0</v>
      </c>
      <c r="Y872" s="71">
        <f t="shared" si="296"/>
        <v>0</v>
      </c>
      <c r="AA872" s="71">
        <f t="shared" si="297"/>
        <v>0</v>
      </c>
      <c r="AC872" s="71">
        <f t="shared" si="298"/>
        <v>0</v>
      </c>
      <c r="AK872" s="71">
        <f t="shared" si="299"/>
        <v>0</v>
      </c>
      <c r="AM872" s="71">
        <f t="shared" si="300"/>
        <v>0</v>
      </c>
      <c r="AO872" s="71">
        <f t="shared" si="301"/>
        <v>0</v>
      </c>
      <c r="AQ872" s="71">
        <f t="shared" si="302"/>
        <v>0</v>
      </c>
      <c r="AT872" s="71">
        <f t="shared" si="303"/>
        <v>0</v>
      </c>
      <c r="AV872" s="71">
        <f t="shared" si="304"/>
        <v>0</v>
      </c>
      <c r="AX872" s="71">
        <f t="shared" si="305"/>
        <v>0</v>
      </c>
      <c r="AZ872" s="71">
        <f t="shared" si="306"/>
        <v>0</v>
      </c>
      <c r="BE872" s="81">
        <f t="shared" si="307"/>
        <v>0</v>
      </c>
      <c r="BF872" s="81" t="str">
        <f t="shared" si="308"/>
        <v>BASSO</v>
      </c>
    </row>
    <row r="873" spans="7:58" x14ac:dyDescent="0.15">
      <c r="G873" s="64">
        <f t="shared" si="287"/>
        <v>0</v>
      </c>
      <c r="I873" s="64">
        <f t="shared" si="288"/>
        <v>0</v>
      </c>
      <c r="K873" s="64">
        <f t="shared" si="289"/>
        <v>0</v>
      </c>
      <c r="M873" s="64">
        <f t="shared" si="290"/>
        <v>0</v>
      </c>
      <c r="O873" s="64">
        <f t="shared" si="291"/>
        <v>0</v>
      </c>
      <c r="Q873" s="64">
        <f t="shared" si="292"/>
        <v>0</v>
      </c>
      <c r="S873" s="71">
        <f t="shared" si="293"/>
        <v>0</v>
      </c>
      <c r="U873" s="64">
        <f t="shared" si="294"/>
        <v>0</v>
      </c>
      <c r="W873" s="71">
        <f t="shared" si="295"/>
        <v>0</v>
      </c>
      <c r="Y873" s="71">
        <f t="shared" si="296"/>
        <v>0</v>
      </c>
      <c r="AA873" s="71">
        <f t="shared" si="297"/>
        <v>0</v>
      </c>
      <c r="AC873" s="71">
        <f t="shared" si="298"/>
        <v>0</v>
      </c>
      <c r="AK873" s="71">
        <f t="shared" si="299"/>
        <v>0</v>
      </c>
      <c r="AM873" s="71">
        <f t="shared" si="300"/>
        <v>0</v>
      </c>
      <c r="AO873" s="71">
        <f t="shared" si="301"/>
        <v>0</v>
      </c>
      <c r="AQ873" s="71">
        <f t="shared" si="302"/>
        <v>0</v>
      </c>
      <c r="AT873" s="71">
        <f t="shared" si="303"/>
        <v>0</v>
      </c>
      <c r="AV873" s="71">
        <f t="shared" si="304"/>
        <v>0</v>
      </c>
      <c r="AX873" s="71">
        <f t="shared" si="305"/>
        <v>0</v>
      </c>
      <c r="AZ873" s="71">
        <f t="shared" si="306"/>
        <v>0</v>
      </c>
      <c r="BE873" s="81">
        <f t="shared" si="307"/>
        <v>0</v>
      </c>
      <c r="BF873" s="81" t="str">
        <f t="shared" si="308"/>
        <v>BASSO</v>
      </c>
    </row>
    <row r="874" spans="7:58" x14ac:dyDescent="0.15">
      <c r="G874" s="64">
        <f t="shared" si="287"/>
        <v>0</v>
      </c>
      <c r="I874" s="64">
        <f t="shared" si="288"/>
        <v>0</v>
      </c>
      <c r="K874" s="64">
        <f t="shared" si="289"/>
        <v>0</v>
      </c>
      <c r="M874" s="64">
        <f t="shared" si="290"/>
        <v>0</v>
      </c>
      <c r="O874" s="64">
        <f t="shared" si="291"/>
        <v>0</v>
      </c>
      <c r="Q874" s="64">
        <f t="shared" si="292"/>
        <v>0</v>
      </c>
      <c r="S874" s="71">
        <f t="shared" si="293"/>
        <v>0</v>
      </c>
      <c r="U874" s="64">
        <f t="shared" si="294"/>
        <v>0</v>
      </c>
      <c r="W874" s="71">
        <f t="shared" si="295"/>
        <v>0</v>
      </c>
      <c r="Y874" s="71">
        <f t="shared" si="296"/>
        <v>0</v>
      </c>
      <c r="AA874" s="71">
        <f t="shared" si="297"/>
        <v>0</v>
      </c>
      <c r="AC874" s="71">
        <f t="shared" si="298"/>
        <v>0</v>
      </c>
      <c r="AK874" s="71">
        <f t="shared" si="299"/>
        <v>0</v>
      </c>
      <c r="AM874" s="71">
        <f t="shared" si="300"/>
        <v>0</v>
      </c>
      <c r="AO874" s="71">
        <f t="shared" si="301"/>
        <v>0</v>
      </c>
      <c r="AQ874" s="71">
        <f t="shared" si="302"/>
        <v>0</v>
      </c>
      <c r="AT874" s="71">
        <f t="shared" si="303"/>
        <v>0</v>
      </c>
      <c r="AV874" s="71">
        <f t="shared" si="304"/>
        <v>0</v>
      </c>
      <c r="AX874" s="71">
        <f t="shared" si="305"/>
        <v>0</v>
      </c>
      <c r="AZ874" s="71">
        <f t="shared" si="306"/>
        <v>0</v>
      </c>
      <c r="BE874" s="81">
        <f t="shared" si="307"/>
        <v>0</v>
      </c>
      <c r="BF874" s="81" t="str">
        <f t="shared" si="308"/>
        <v>BASSO</v>
      </c>
    </row>
    <row r="875" spans="7:58" x14ac:dyDescent="0.15">
      <c r="G875" s="64">
        <f t="shared" si="287"/>
        <v>0</v>
      </c>
      <c r="I875" s="64">
        <f t="shared" si="288"/>
        <v>0</v>
      </c>
      <c r="K875" s="64">
        <f t="shared" si="289"/>
        <v>0</v>
      </c>
      <c r="M875" s="64">
        <f t="shared" si="290"/>
        <v>0</v>
      </c>
      <c r="O875" s="64">
        <f t="shared" si="291"/>
        <v>0</v>
      </c>
      <c r="Q875" s="64">
        <f t="shared" si="292"/>
        <v>0</v>
      </c>
      <c r="S875" s="71">
        <f t="shared" si="293"/>
        <v>0</v>
      </c>
      <c r="U875" s="64">
        <f t="shared" si="294"/>
        <v>0</v>
      </c>
      <c r="W875" s="71">
        <f t="shared" si="295"/>
        <v>0</v>
      </c>
      <c r="Y875" s="71">
        <f t="shared" si="296"/>
        <v>0</v>
      </c>
      <c r="AA875" s="71">
        <f t="shared" si="297"/>
        <v>0</v>
      </c>
      <c r="AC875" s="71">
        <f t="shared" si="298"/>
        <v>0</v>
      </c>
      <c r="AK875" s="71">
        <f t="shared" si="299"/>
        <v>0</v>
      </c>
      <c r="AM875" s="71">
        <f t="shared" si="300"/>
        <v>0</v>
      </c>
      <c r="AO875" s="71">
        <f t="shared" si="301"/>
        <v>0</v>
      </c>
      <c r="AQ875" s="71">
        <f t="shared" si="302"/>
        <v>0</v>
      </c>
      <c r="AT875" s="71">
        <f t="shared" si="303"/>
        <v>0</v>
      </c>
      <c r="AV875" s="71">
        <f t="shared" si="304"/>
        <v>0</v>
      </c>
      <c r="AX875" s="71">
        <f t="shared" si="305"/>
        <v>0</v>
      </c>
      <c r="AZ875" s="71">
        <f t="shared" si="306"/>
        <v>0</v>
      </c>
      <c r="BE875" s="81">
        <f t="shared" si="307"/>
        <v>0</v>
      </c>
      <c r="BF875" s="81" t="str">
        <f t="shared" si="308"/>
        <v>BASSO</v>
      </c>
    </row>
    <row r="876" spans="7:58" x14ac:dyDescent="0.15">
      <c r="G876" s="64">
        <f t="shared" si="287"/>
        <v>0</v>
      </c>
      <c r="I876" s="64">
        <f t="shared" si="288"/>
        <v>0</v>
      </c>
      <c r="K876" s="64">
        <f t="shared" si="289"/>
        <v>0</v>
      </c>
      <c r="M876" s="64">
        <f t="shared" si="290"/>
        <v>0</v>
      </c>
      <c r="O876" s="64">
        <f t="shared" si="291"/>
        <v>0</v>
      </c>
      <c r="Q876" s="64">
        <f t="shared" si="292"/>
        <v>0</v>
      </c>
      <c r="S876" s="71">
        <f t="shared" si="293"/>
        <v>0</v>
      </c>
      <c r="U876" s="64">
        <f t="shared" si="294"/>
        <v>0</v>
      </c>
      <c r="W876" s="71">
        <f t="shared" si="295"/>
        <v>0</v>
      </c>
      <c r="Y876" s="71">
        <f t="shared" si="296"/>
        <v>0</v>
      </c>
      <c r="AA876" s="71">
        <f t="shared" si="297"/>
        <v>0</v>
      </c>
      <c r="AC876" s="71">
        <f t="shared" si="298"/>
        <v>0</v>
      </c>
      <c r="AK876" s="71">
        <f t="shared" si="299"/>
        <v>0</v>
      </c>
      <c r="AM876" s="71">
        <f t="shared" si="300"/>
        <v>0</v>
      </c>
      <c r="AO876" s="71">
        <f t="shared" si="301"/>
        <v>0</v>
      </c>
      <c r="AQ876" s="71">
        <f t="shared" si="302"/>
        <v>0</v>
      </c>
      <c r="AT876" s="71">
        <f t="shared" si="303"/>
        <v>0</v>
      </c>
      <c r="AV876" s="71">
        <f t="shared" si="304"/>
        <v>0</v>
      </c>
      <c r="AX876" s="71">
        <f t="shared" si="305"/>
        <v>0</v>
      </c>
      <c r="AZ876" s="71">
        <f t="shared" si="306"/>
        <v>0</v>
      </c>
      <c r="BE876" s="81">
        <f t="shared" si="307"/>
        <v>0</v>
      </c>
      <c r="BF876" s="81" t="str">
        <f t="shared" si="308"/>
        <v>BASSO</v>
      </c>
    </row>
    <row r="877" spans="7:58" x14ac:dyDescent="0.15">
      <c r="G877" s="64">
        <f t="shared" si="287"/>
        <v>0</v>
      </c>
      <c r="I877" s="64">
        <f t="shared" si="288"/>
        <v>0</v>
      </c>
      <c r="K877" s="64">
        <f t="shared" si="289"/>
        <v>0</v>
      </c>
      <c r="M877" s="64">
        <f t="shared" si="290"/>
        <v>0</v>
      </c>
      <c r="O877" s="64">
        <f t="shared" si="291"/>
        <v>0</v>
      </c>
      <c r="Q877" s="64">
        <f t="shared" si="292"/>
        <v>0</v>
      </c>
      <c r="S877" s="71">
        <f t="shared" si="293"/>
        <v>0</v>
      </c>
      <c r="U877" s="64">
        <f t="shared" si="294"/>
        <v>0</v>
      </c>
      <c r="W877" s="71">
        <f t="shared" si="295"/>
        <v>0</v>
      </c>
      <c r="Y877" s="71">
        <f t="shared" si="296"/>
        <v>0</v>
      </c>
      <c r="AA877" s="71">
        <f t="shared" si="297"/>
        <v>0</v>
      </c>
      <c r="AC877" s="71">
        <f t="shared" si="298"/>
        <v>0</v>
      </c>
      <c r="AK877" s="71">
        <f t="shared" si="299"/>
        <v>0</v>
      </c>
      <c r="AM877" s="71">
        <f t="shared" si="300"/>
        <v>0</v>
      </c>
      <c r="AO877" s="71">
        <f t="shared" si="301"/>
        <v>0</v>
      </c>
      <c r="AQ877" s="71">
        <f t="shared" si="302"/>
        <v>0</v>
      </c>
      <c r="AT877" s="71">
        <f t="shared" si="303"/>
        <v>0</v>
      </c>
      <c r="AV877" s="71">
        <f t="shared" si="304"/>
        <v>0</v>
      </c>
      <c r="AX877" s="71">
        <f t="shared" si="305"/>
        <v>0</v>
      </c>
      <c r="AZ877" s="71">
        <f t="shared" si="306"/>
        <v>0</v>
      </c>
      <c r="BE877" s="81">
        <f t="shared" si="307"/>
        <v>0</v>
      </c>
      <c r="BF877" s="81" t="str">
        <f t="shared" si="308"/>
        <v>BASSO</v>
      </c>
    </row>
    <row r="878" spans="7:58" x14ac:dyDescent="0.15">
      <c r="G878" s="64">
        <f t="shared" si="287"/>
        <v>0</v>
      </c>
      <c r="I878" s="64">
        <f t="shared" si="288"/>
        <v>0</v>
      </c>
      <c r="K878" s="64">
        <f t="shared" si="289"/>
        <v>0</v>
      </c>
      <c r="M878" s="64">
        <f t="shared" si="290"/>
        <v>0</v>
      </c>
      <c r="O878" s="64">
        <f t="shared" si="291"/>
        <v>0</v>
      </c>
      <c r="Q878" s="64">
        <f t="shared" si="292"/>
        <v>0</v>
      </c>
      <c r="S878" s="71">
        <f t="shared" si="293"/>
        <v>0</v>
      </c>
      <c r="U878" s="64">
        <f t="shared" si="294"/>
        <v>0</v>
      </c>
      <c r="W878" s="71">
        <f t="shared" si="295"/>
        <v>0</v>
      </c>
      <c r="Y878" s="71">
        <f t="shared" si="296"/>
        <v>0</v>
      </c>
      <c r="AA878" s="71">
        <f t="shared" si="297"/>
        <v>0</v>
      </c>
      <c r="AC878" s="71">
        <f t="shared" si="298"/>
        <v>0</v>
      </c>
      <c r="AK878" s="71">
        <f t="shared" si="299"/>
        <v>0</v>
      </c>
      <c r="AM878" s="71">
        <f t="shared" si="300"/>
        <v>0</v>
      </c>
      <c r="AO878" s="71">
        <f t="shared" si="301"/>
        <v>0</v>
      </c>
      <c r="AQ878" s="71">
        <f t="shared" si="302"/>
        <v>0</v>
      </c>
      <c r="AT878" s="71">
        <f t="shared" si="303"/>
        <v>0</v>
      </c>
      <c r="AV878" s="71">
        <f t="shared" si="304"/>
        <v>0</v>
      </c>
      <c r="AX878" s="71">
        <f t="shared" si="305"/>
        <v>0</v>
      </c>
      <c r="AZ878" s="71">
        <f t="shared" si="306"/>
        <v>0</v>
      </c>
      <c r="BE878" s="81">
        <f t="shared" si="307"/>
        <v>0</v>
      </c>
      <c r="BF878" s="81" t="str">
        <f t="shared" si="308"/>
        <v>BASSO</v>
      </c>
    </row>
    <row r="879" spans="7:58" x14ac:dyDescent="0.15">
      <c r="G879" s="64">
        <f t="shared" si="287"/>
        <v>0</v>
      </c>
      <c r="I879" s="64">
        <f t="shared" si="288"/>
        <v>0</v>
      </c>
      <c r="K879" s="64">
        <f t="shared" si="289"/>
        <v>0</v>
      </c>
      <c r="M879" s="64">
        <f t="shared" si="290"/>
        <v>0</v>
      </c>
      <c r="O879" s="64">
        <f t="shared" si="291"/>
        <v>0</v>
      </c>
      <c r="Q879" s="64">
        <f t="shared" si="292"/>
        <v>0</v>
      </c>
      <c r="S879" s="71">
        <f t="shared" si="293"/>
        <v>0</v>
      </c>
      <c r="U879" s="64">
        <f t="shared" si="294"/>
        <v>0</v>
      </c>
      <c r="W879" s="71">
        <f t="shared" si="295"/>
        <v>0</v>
      </c>
      <c r="Y879" s="71">
        <f t="shared" si="296"/>
        <v>0</v>
      </c>
      <c r="AA879" s="71">
        <f t="shared" si="297"/>
        <v>0</v>
      </c>
      <c r="AC879" s="71">
        <f t="shared" si="298"/>
        <v>0</v>
      </c>
      <c r="AK879" s="71">
        <f t="shared" si="299"/>
        <v>0</v>
      </c>
      <c r="AM879" s="71">
        <f t="shared" si="300"/>
        <v>0</v>
      </c>
      <c r="AO879" s="71">
        <f t="shared" si="301"/>
        <v>0</v>
      </c>
      <c r="AQ879" s="71">
        <f t="shared" si="302"/>
        <v>0</v>
      </c>
      <c r="AT879" s="71">
        <f t="shared" si="303"/>
        <v>0</v>
      </c>
      <c r="AV879" s="71">
        <f t="shared" si="304"/>
        <v>0</v>
      </c>
      <c r="AX879" s="71">
        <f t="shared" si="305"/>
        <v>0</v>
      </c>
      <c r="AZ879" s="71">
        <f t="shared" si="306"/>
        <v>0</v>
      </c>
      <c r="BE879" s="81">
        <f t="shared" si="307"/>
        <v>0</v>
      </c>
      <c r="BF879" s="81" t="str">
        <f t="shared" si="308"/>
        <v>BASSO</v>
      </c>
    </row>
    <row r="880" spans="7:58" x14ac:dyDescent="0.15">
      <c r="G880" s="64">
        <f t="shared" si="287"/>
        <v>0</v>
      </c>
      <c r="I880" s="64">
        <f t="shared" si="288"/>
        <v>0</v>
      </c>
      <c r="K880" s="64">
        <f t="shared" si="289"/>
        <v>0</v>
      </c>
      <c r="M880" s="64">
        <f t="shared" si="290"/>
        <v>0</v>
      </c>
      <c r="O880" s="64">
        <f t="shared" si="291"/>
        <v>0</v>
      </c>
      <c r="Q880" s="64">
        <f t="shared" si="292"/>
        <v>0</v>
      </c>
      <c r="S880" s="71">
        <f t="shared" si="293"/>
        <v>0</v>
      </c>
      <c r="U880" s="64">
        <f t="shared" si="294"/>
        <v>0</v>
      </c>
      <c r="W880" s="71">
        <f t="shared" si="295"/>
        <v>0</v>
      </c>
      <c r="Y880" s="71">
        <f t="shared" si="296"/>
        <v>0</v>
      </c>
      <c r="AA880" s="71">
        <f t="shared" si="297"/>
        <v>0</v>
      </c>
      <c r="AC880" s="71">
        <f t="shared" si="298"/>
        <v>0</v>
      </c>
      <c r="AK880" s="71">
        <f t="shared" si="299"/>
        <v>0</v>
      </c>
      <c r="AM880" s="71">
        <f t="shared" si="300"/>
        <v>0</v>
      </c>
      <c r="AO880" s="71">
        <f t="shared" si="301"/>
        <v>0</v>
      </c>
      <c r="AQ880" s="71">
        <f t="shared" si="302"/>
        <v>0</v>
      </c>
      <c r="AT880" s="71">
        <f t="shared" si="303"/>
        <v>0</v>
      </c>
      <c r="AV880" s="71">
        <f t="shared" si="304"/>
        <v>0</v>
      </c>
      <c r="AX880" s="71">
        <f t="shared" si="305"/>
        <v>0</v>
      </c>
      <c r="AZ880" s="71">
        <f t="shared" si="306"/>
        <v>0</v>
      </c>
      <c r="BE880" s="81">
        <f t="shared" si="307"/>
        <v>0</v>
      </c>
      <c r="BF880" s="81" t="str">
        <f t="shared" si="308"/>
        <v>BASSO</v>
      </c>
    </row>
    <row r="881" spans="7:58" x14ac:dyDescent="0.15">
      <c r="G881" s="64">
        <f t="shared" si="287"/>
        <v>0</v>
      </c>
      <c r="I881" s="64">
        <f t="shared" si="288"/>
        <v>0</v>
      </c>
      <c r="K881" s="64">
        <f t="shared" si="289"/>
        <v>0</v>
      </c>
      <c r="M881" s="64">
        <f t="shared" si="290"/>
        <v>0</v>
      </c>
      <c r="O881" s="64">
        <f t="shared" si="291"/>
        <v>0</v>
      </c>
      <c r="Q881" s="64">
        <f t="shared" si="292"/>
        <v>0</v>
      </c>
      <c r="S881" s="71">
        <f t="shared" si="293"/>
        <v>0</v>
      </c>
      <c r="U881" s="64">
        <f t="shared" si="294"/>
        <v>0</v>
      </c>
      <c r="W881" s="71">
        <f t="shared" si="295"/>
        <v>0</v>
      </c>
      <c r="Y881" s="71">
        <f t="shared" si="296"/>
        <v>0</v>
      </c>
      <c r="AA881" s="71">
        <f t="shared" si="297"/>
        <v>0</v>
      </c>
      <c r="AC881" s="71">
        <f t="shared" si="298"/>
        <v>0</v>
      </c>
      <c r="AK881" s="71">
        <f t="shared" si="299"/>
        <v>0</v>
      </c>
      <c r="AM881" s="71">
        <f t="shared" si="300"/>
        <v>0</v>
      </c>
      <c r="AO881" s="71">
        <f t="shared" si="301"/>
        <v>0</v>
      </c>
      <c r="AQ881" s="71">
        <f t="shared" si="302"/>
        <v>0</v>
      </c>
      <c r="AT881" s="71">
        <f t="shared" si="303"/>
        <v>0</v>
      </c>
      <c r="AV881" s="71">
        <f t="shared" si="304"/>
        <v>0</v>
      </c>
      <c r="AX881" s="71">
        <f t="shared" si="305"/>
        <v>0</v>
      </c>
      <c r="AZ881" s="71">
        <f t="shared" si="306"/>
        <v>0</v>
      </c>
      <c r="BE881" s="81">
        <f t="shared" si="307"/>
        <v>0</v>
      </c>
      <c r="BF881" s="81" t="str">
        <f t="shared" si="308"/>
        <v>BASSO</v>
      </c>
    </row>
    <row r="882" spans="7:58" x14ac:dyDescent="0.15">
      <c r="G882" s="64">
        <f t="shared" si="287"/>
        <v>0</v>
      </c>
      <c r="I882" s="64">
        <f t="shared" si="288"/>
        <v>0</v>
      </c>
      <c r="K882" s="64">
        <f t="shared" si="289"/>
        <v>0</v>
      </c>
      <c r="M882" s="64">
        <f t="shared" si="290"/>
        <v>0</v>
      </c>
      <c r="O882" s="64">
        <f t="shared" si="291"/>
        <v>0</v>
      </c>
      <c r="Q882" s="64">
        <f t="shared" si="292"/>
        <v>0</v>
      </c>
      <c r="S882" s="71">
        <f t="shared" si="293"/>
        <v>0</v>
      </c>
      <c r="U882" s="64">
        <f t="shared" si="294"/>
        <v>0</v>
      </c>
      <c r="W882" s="71">
        <f t="shared" si="295"/>
        <v>0</v>
      </c>
      <c r="Y882" s="71">
        <f t="shared" si="296"/>
        <v>0</v>
      </c>
      <c r="AA882" s="71">
        <f t="shared" si="297"/>
        <v>0</v>
      </c>
      <c r="AC882" s="71">
        <f t="shared" si="298"/>
        <v>0</v>
      </c>
      <c r="AK882" s="71">
        <f t="shared" si="299"/>
        <v>0</v>
      </c>
      <c r="AM882" s="71">
        <f t="shared" si="300"/>
        <v>0</v>
      </c>
      <c r="AO882" s="71">
        <f t="shared" si="301"/>
        <v>0</v>
      </c>
      <c r="AQ882" s="71">
        <f t="shared" si="302"/>
        <v>0</v>
      </c>
      <c r="AT882" s="71">
        <f t="shared" si="303"/>
        <v>0</v>
      </c>
      <c r="AV882" s="71">
        <f t="shared" si="304"/>
        <v>0</v>
      </c>
      <c r="AX882" s="71">
        <f t="shared" si="305"/>
        <v>0</v>
      </c>
      <c r="AZ882" s="71">
        <f t="shared" si="306"/>
        <v>0</v>
      </c>
      <c r="BE882" s="81">
        <f t="shared" si="307"/>
        <v>0</v>
      </c>
      <c r="BF882" s="81" t="str">
        <f t="shared" si="308"/>
        <v>BASSO</v>
      </c>
    </row>
    <row r="883" spans="7:58" x14ac:dyDescent="0.15">
      <c r="G883" s="64">
        <f t="shared" si="287"/>
        <v>0</v>
      </c>
      <c r="I883" s="64">
        <f t="shared" si="288"/>
        <v>0</v>
      </c>
      <c r="K883" s="64">
        <f t="shared" si="289"/>
        <v>0</v>
      </c>
      <c r="M883" s="64">
        <f t="shared" si="290"/>
        <v>0</v>
      </c>
      <c r="O883" s="64">
        <f t="shared" si="291"/>
        <v>0</v>
      </c>
      <c r="Q883" s="64">
        <f t="shared" si="292"/>
        <v>0</v>
      </c>
      <c r="S883" s="71">
        <f t="shared" si="293"/>
        <v>0</v>
      </c>
      <c r="U883" s="64">
        <f t="shared" si="294"/>
        <v>0</v>
      </c>
      <c r="W883" s="71">
        <f t="shared" si="295"/>
        <v>0</v>
      </c>
      <c r="Y883" s="71">
        <f t="shared" si="296"/>
        <v>0</v>
      </c>
      <c r="AA883" s="71">
        <f t="shared" si="297"/>
        <v>0</v>
      </c>
      <c r="AC883" s="71">
        <f t="shared" si="298"/>
        <v>0</v>
      </c>
      <c r="AK883" s="71">
        <f t="shared" si="299"/>
        <v>0</v>
      </c>
      <c r="AM883" s="71">
        <f t="shared" si="300"/>
        <v>0</v>
      </c>
      <c r="AO883" s="71">
        <f t="shared" si="301"/>
        <v>0</v>
      </c>
      <c r="AQ883" s="71">
        <f t="shared" si="302"/>
        <v>0</v>
      </c>
      <c r="AT883" s="71">
        <f t="shared" si="303"/>
        <v>0</v>
      </c>
      <c r="AV883" s="71">
        <f t="shared" si="304"/>
        <v>0</v>
      </c>
      <c r="AX883" s="71">
        <f t="shared" si="305"/>
        <v>0</v>
      </c>
      <c r="AZ883" s="71">
        <f t="shared" si="306"/>
        <v>0</v>
      </c>
      <c r="BE883" s="81">
        <f t="shared" si="307"/>
        <v>0</v>
      </c>
      <c r="BF883" s="81" t="str">
        <f t="shared" si="308"/>
        <v>BASSO</v>
      </c>
    </row>
    <row r="884" spans="7:58" x14ac:dyDescent="0.15">
      <c r="G884" s="64">
        <f t="shared" si="287"/>
        <v>0</v>
      </c>
      <c r="I884" s="64">
        <f t="shared" si="288"/>
        <v>0</v>
      </c>
      <c r="K884" s="64">
        <f t="shared" si="289"/>
        <v>0</v>
      </c>
      <c r="M884" s="64">
        <f t="shared" si="290"/>
        <v>0</v>
      </c>
      <c r="O884" s="64">
        <f t="shared" si="291"/>
        <v>0</v>
      </c>
      <c r="Q884" s="64">
        <f t="shared" si="292"/>
        <v>0</v>
      </c>
      <c r="S884" s="71">
        <f t="shared" si="293"/>
        <v>0</v>
      </c>
      <c r="U884" s="64">
        <f t="shared" si="294"/>
        <v>0</v>
      </c>
      <c r="W884" s="71">
        <f t="shared" si="295"/>
        <v>0</v>
      </c>
      <c r="Y884" s="71">
        <f t="shared" si="296"/>
        <v>0</v>
      </c>
      <c r="AA884" s="71">
        <f t="shared" si="297"/>
        <v>0</v>
      </c>
      <c r="AC884" s="71">
        <f t="shared" si="298"/>
        <v>0</v>
      </c>
      <c r="AK884" s="71">
        <f t="shared" si="299"/>
        <v>0</v>
      </c>
      <c r="AM884" s="71">
        <f t="shared" si="300"/>
        <v>0</v>
      </c>
      <c r="AO884" s="71">
        <f t="shared" si="301"/>
        <v>0</v>
      </c>
      <c r="AQ884" s="71">
        <f t="shared" si="302"/>
        <v>0</v>
      </c>
      <c r="AT884" s="71">
        <f t="shared" si="303"/>
        <v>0</v>
      </c>
      <c r="AV884" s="71">
        <f t="shared" si="304"/>
        <v>0</v>
      </c>
      <c r="AX884" s="71">
        <f t="shared" si="305"/>
        <v>0</v>
      </c>
      <c r="AZ884" s="71">
        <f t="shared" si="306"/>
        <v>0</v>
      </c>
      <c r="BE884" s="81">
        <f t="shared" si="307"/>
        <v>0</v>
      </c>
      <c r="BF884" s="81" t="str">
        <f t="shared" si="308"/>
        <v>BASSO</v>
      </c>
    </row>
    <row r="885" spans="7:58" x14ac:dyDescent="0.15">
      <c r="G885" s="64">
        <f t="shared" si="287"/>
        <v>0</v>
      </c>
      <c r="I885" s="64">
        <f t="shared" si="288"/>
        <v>0</v>
      </c>
      <c r="K885" s="64">
        <f t="shared" si="289"/>
        <v>0</v>
      </c>
      <c r="M885" s="64">
        <f t="shared" si="290"/>
        <v>0</v>
      </c>
      <c r="O885" s="64">
        <f t="shared" si="291"/>
        <v>0</v>
      </c>
      <c r="Q885" s="64">
        <f t="shared" si="292"/>
        <v>0</v>
      </c>
      <c r="S885" s="71">
        <f t="shared" si="293"/>
        <v>0</v>
      </c>
      <c r="U885" s="64">
        <f t="shared" si="294"/>
        <v>0</v>
      </c>
      <c r="W885" s="71">
        <f t="shared" si="295"/>
        <v>0</v>
      </c>
      <c r="Y885" s="71">
        <f t="shared" si="296"/>
        <v>0</v>
      </c>
      <c r="AA885" s="71">
        <f t="shared" si="297"/>
        <v>0</v>
      </c>
      <c r="AC885" s="71">
        <f t="shared" si="298"/>
        <v>0</v>
      </c>
      <c r="AK885" s="71">
        <f t="shared" si="299"/>
        <v>0</v>
      </c>
      <c r="AM885" s="71">
        <f t="shared" si="300"/>
        <v>0</v>
      </c>
      <c r="AO885" s="71">
        <f t="shared" si="301"/>
        <v>0</v>
      </c>
      <c r="AQ885" s="71">
        <f t="shared" si="302"/>
        <v>0</v>
      </c>
      <c r="AT885" s="71">
        <f t="shared" si="303"/>
        <v>0</v>
      </c>
      <c r="AV885" s="71">
        <f t="shared" si="304"/>
        <v>0</v>
      </c>
      <c r="AX885" s="71">
        <f t="shared" si="305"/>
        <v>0</v>
      </c>
      <c r="AZ885" s="71">
        <f t="shared" si="306"/>
        <v>0</v>
      </c>
      <c r="BE885" s="81">
        <f t="shared" si="307"/>
        <v>0</v>
      </c>
      <c r="BF885" s="81" t="str">
        <f t="shared" si="308"/>
        <v>BASSO</v>
      </c>
    </row>
    <row r="886" spans="7:58" x14ac:dyDescent="0.15">
      <c r="G886" s="64">
        <f t="shared" si="287"/>
        <v>0</v>
      </c>
      <c r="I886" s="64">
        <f t="shared" si="288"/>
        <v>0</v>
      </c>
      <c r="K886" s="64">
        <f t="shared" si="289"/>
        <v>0</v>
      </c>
      <c r="M886" s="64">
        <f t="shared" si="290"/>
        <v>0</v>
      </c>
      <c r="O886" s="64">
        <f t="shared" si="291"/>
        <v>0</v>
      </c>
      <c r="Q886" s="64">
        <f t="shared" si="292"/>
        <v>0</v>
      </c>
      <c r="S886" s="71">
        <f t="shared" si="293"/>
        <v>0</v>
      </c>
      <c r="U886" s="64">
        <f t="shared" si="294"/>
        <v>0</v>
      </c>
      <c r="W886" s="71">
        <f t="shared" si="295"/>
        <v>0</v>
      </c>
      <c r="Y886" s="71">
        <f t="shared" si="296"/>
        <v>0</v>
      </c>
      <c r="AA886" s="71">
        <f t="shared" si="297"/>
        <v>0</v>
      </c>
      <c r="AC886" s="71">
        <f t="shared" si="298"/>
        <v>0</v>
      </c>
      <c r="AK886" s="71">
        <f t="shared" si="299"/>
        <v>0</v>
      </c>
      <c r="AM886" s="71">
        <f t="shared" si="300"/>
        <v>0</v>
      </c>
      <c r="AO886" s="71">
        <f t="shared" si="301"/>
        <v>0</v>
      </c>
      <c r="AQ886" s="71">
        <f t="shared" si="302"/>
        <v>0</v>
      </c>
      <c r="AT886" s="71">
        <f t="shared" si="303"/>
        <v>0</v>
      </c>
      <c r="AV886" s="71">
        <f t="shared" si="304"/>
        <v>0</v>
      </c>
      <c r="AX886" s="71">
        <f t="shared" si="305"/>
        <v>0</v>
      </c>
      <c r="AZ886" s="71">
        <f t="shared" si="306"/>
        <v>0</v>
      </c>
      <c r="BE886" s="81">
        <f t="shared" si="307"/>
        <v>0</v>
      </c>
      <c r="BF886" s="81" t="str">
        <f t="shared" si="308"/>
        <v>BASSO</v>
      </c>
    </row>
    <row r="887" spans="7:58" x14ac:dyDescent="0.15">
      <c r="G887" s="64">
        <f t="shared" si="287"/>
        <v>0</v>
      </c>
      <c r="I887" s="64">
        <f t="shared" si="288"/>
        <v>0</v>
      </c>
      <c r="K887" s="64">
        <f t="shared" si="289"/>
        <v>0</v>
      </c>
      <c r="M887" s="64">
        <f t="shared" si="290"/>
        <v>0</v>
      </c>
      <c r="O887" s="64">
        <f t="shared" si="291"/>
        <v>0</v>
      </c>
      <c r="Q887" s="64">
        <f t="shared" si="292"/>
        <v>0</v>
      </c>
      <c r="S887" s="71">
        <f t="shared" si="293"/>
        <v>0</v>
      </c>
      <c r="U887" s="64">
        <f t="shared" si="294"/>
        <v>0</v>
      </c>
      <c r="W887" s="71">
        <f t="shared" si="295"/>
        <v>0</v>
      </c>
      <c r="Y887" s="71">
        <f t="shared" si="296"/>
        <v>0</v>
      </c>
      <c r="AA887" s="71">
        <f t="shared" si="297"/>
        <v>0</v>
      </c>
      <c r="AC887" s="71">
        <f t="shared" si="298"/>
        <v>0</v>
      </c>
      <c r="AK887" s="71">
        <f t="shared" si="299"/>
        <v>0</v>
      </c>
      <c r="AM887" s="71">
        <f t="shared" si="300"/>
        <v>0</v>
      </c>
      <c r="AO887" s="71">
        <f t="shared" si="301"/>
        <v>0</v>
      </c>
      <c r="AQ887" s="71">
        <f t="shared" si="302"/>
        <v>0</v>
      </c>
      <c r="AT887" s="71">
        <f t="shared" si="303"/>
        <v>0</v>
      </c>
      <c r="AV887" s="71">
        <f t="shared" si="304"/>
        <v>0</v>
      </c>
      <c r="AX887" s="71">
        <f t="shared" si="305"/>
        <v>0</v>
      </c>
      <c r="AZ887" s="71">
        <f t="shared" si="306"/>
        <v>0</v>
      </c>
      <c r="BE887" s="81">
        <f t="shared" si="307"/>
        <v>0</v>
      </c>
      <c r="BF887" s="81" t="str">
        <f t="shared" si="308"/>
        <v>BASSO</v>
      </c>
    </row>
    <row r="888" spans="7:58" x14ac:dyDescent="0.15">
      <c r="G888" s="64">
        <f t="shared" si="287"/>
        <v>0</v>
      </c>
      <c r="I888" s="64">
        <f t="shared" si="288"/>
        <v>0</v>
      </c>
      <c r="K888" s="64">
        <f t="shared" si="289"/>
        <v>0</v>
      </c>
      <c r="M888" s="64">
        <f t="shared" si="290"/>
        <v>0</v>
      </c>
      <c r="O888" s="64">
        <f t="shared" si="291"/>
        <v>0</v>
      </c>
      <c r="Q888" s="64">
        <f t="shared" si="292"/>
        <v>0</v>
      </c>
      <c r="S888" s="71">
        <f t="shared" si="293"/>
        <v>0</v>
      </c>
      <c r="U888" s="64">
        <f t="shared" si="294"/>
        <v>0</v>
      </c>
      <c r="W888" s="71">
        <f t="shared" si="295"/>
        <v>0</v>
      </c>
      <c r="Y888" s="71">
        <f t="shared" si="296"/>
        <v>0</v>
      </c>
      <c r="AA888" s="71">
        <f t="shared" si="297"/>
        <v>0</v>
      </c>
      <c r="AC888" s="71">
        <f t="shared" si="298"/>
        <v>0</v>
      </c>
      <c r="AK888" s="71">
        <f t="shared" si="299"/>
        <v>0</v>
      </c>
      <c r="AM888" s="71">
        <f t="shared" si="300"/>
        <v>0</v>
      </c>
      <c r="AO888" s="71">
        <f t="shared" si="301"/>
        <v>0</v>
      </c>
      <c r="AQ888" s="71">
        <f t="shared" si="302"/>
        <v>0</v>
      </c>
      <c r="AT888" s="71">
        <f t="shared" si="303"/>
        <v>0</v>
      </c>
      <c r="AV888" s="71">
        <f t="shared" si="304"/>
        <v>0</v>
      </c>
      <c r="AX888" s="71">
        <f t="shared" si="305"/>
        <v>0</v>
      </c>
      <c r="AZ888" s="71">
        <f t="shared" si="306"/>
        <v>0</v>
      </c>
      <c r="BE888" s="81">
        <f t="shared" si="307"/>
        <v>0</v>
      </c>
      <c r="BF888" s="81" t="str">
        <f t="shared" si="308"/>
        <v>BASSO</v>
      </c>
    </row>
    <row r="889" spans="7:58" x14ac:dyDescent="0.15">
      <c r="G889" s="64">
        <f t="shared" si="287"/>
        <v>0</v>
      </c>
      <c r="I889" s="64">
        <f t="shared" si="288"/>
        <v>0</v>
      </c>
      <c r="K889" s="64">
        <f t="shared" si="289"/>
        <v>0</v>
      </c>
      <c r="M889" s="64">
        <f t="shared" si="290"/>
        <v>0</v>
      </c>
      <c r="O889" s="64">
        <f t="shared" si="291"/>
        <v>0</v>
      </c>
      <c r="Q889" s="64">
        <f t="shared" si="292"/>
        <v>0</v>
      </c>
      <c r="S889" s="71">
        <f t="shared" si="293"/>
        <v>0</v>
      </c>
      <c r="U889" s="64">
        <f t="shared" si="294"/>
        <v>0</v>
      </c>
      <c r="W889" s="71">
        <f t="shared" si="295"/>
        <v>0</v>
      </c>
      <c r="Y889" s="71">
        <f t="shared" si="296"/>
        <v>0</v>
      </c>
      <c r="AA889" s="71">
        <f t="shared" si="297"/>
        <v>0</v>
      </c>
      <c r="AC889" s="71">
        <f t="shared" si="298"/>
        <v>0</v>
      </c>
      <c r="AK889" s="71">
        <f t="shared" si="299"/>
        <v>0</v>
      </c>
      <c r="AM889" s="71">
        <f t="shared" si="300"/>
        <v>0</v>
      </c>
      <c r="AO889" s="71">
        <f t="shared" si="301"/>
        <v>0</v>
      </c>
      <c r="AQ889" s="71">
        <f t="shared" si="302"/>
        <v>0</v>
      </c>
      <c r="AT889" s="71">
        <f t="shared" si="303"/>
        <v>0</v>
      </c>
      <c r="AV889" s="71">
        <f t="shared" si="304"/>
        <v>0</v>
      </c>
      <c r="AX889" s="71">
        <f t="shared" si="305"/>
        <v>0</v>
      </c>
      <c r="AZ889" s="71">
        <f t="shared" si="306"/>
        <v>0</v>
      </c>
      <c r="BE889" s="81">
        <f t="shared" si="307"/>
        <v>0</v>
      </c>
      <c r="BF889" s="81" t="str">
        <f t="shared" si="308"/>
        <v>BASSO</v>
      </c>
    </row>
    <row r="890" spans="7:58" x14ac:dyDescent="0.15">
      <c r="G890" s="64">
        <f t="shared" si="287"/>
        <v>0</v>
      </c>
      <c r="I890" s="64">
        <f t="shared" si="288"/>
        <v>0</v>
      </c>
      <c r="K890" s="64">
        <f t="shared" si="289"/>
        <v>0</v>
      </c>
      <c r="M890" s="64">
        <f t="shared" si="290"/>
        <v>0</v>
      </c>
      <c r="O890" s="64">
        <f t="shared" si="291"/>
        <v>0</v>
      </c>
      <c r="Q890" s="64">
        <f t="shared" si="292"/>
        <v>0</v>
      </c>
      <c r="S890" s="71">
        <f t="shared" si="293"/>
        <v>0</v>
      </c>
      <c r="U890" s="64">
        <f t="shared" si="294"/>
        <v>0</v>
      </c>
      <c r="W890" s="71">
        <f t="shared" si="295"/>
        <v>0</v>
      </c>
      <c r="Y890" s="71">
        <f t="shared" si="296"/>
        <v>0</v>
      </c>
      <c r="AA890" s="71">
        <f t="shared" si="297"/>
        <v>0</v>
      </c>
      <c r="AC890" s="71">
        <f t="shared" si="298"/>
        <v>0</v>
      </c>
      <c r="AK890" s="71">
        <f t="shared" si="299"/>
        <v>0</v>
      </c>
      <c r="AM890" s="71">
        <f t="shared" si="300"/>
        <v>0</v>
      </c>
      <c r="AO890" s="71">
        <f t="shared" si="301"/>
        <v>0</v>
      </c>
      <c r="AQ890" s="71">
        <f t="shared" si="302"/>
        <v>0</v>
      </c>
      <c r="AT890" s="71">
        <f t="shared" si="303"/>
        <v>0</v>
      </c>
      <c r="AV890" s="71">
        <f t="shared" si="304"/>
        <v>0</v>
      </c>
      <c r="AX890" s="71">
        <f t="shared" si="305"/>
        <v>0</v>
      </c>
      <c r="AZ890" s="71">
        <f t="shared" si="306"/>
        <v>0</v>
      </c>
      <c r="BE890" s="81">
        <f t="shared" si="307"/>
        <v>0</v>
      </c>
      <c r="BF890" s="81" t="str">
        <f t="shared" si="308"/>
        <v>BASSO</v>
      </c>
    </row>
    <row r="891" spans="7:58" x14ac:dyDescent="0.15">
      <c r="G891" s="64">
        <f t="shared" si="287"/>
        <v>0</v>
      </c>
      <c r="I891" s="64">
        <f t="shared" si="288"/>
        <v>0</v>
      </c>
      <c r="K891" s="64">
        <f t="shared" si="289"/>
        <v>0</v>
      </c>
      <c r="M891" s="64">
        <f t="shared" si="290"/>
        <v>0</v>
      </c>
      <c r="O891" s="64">
        <f t="shared" si="291"/>
        <v>0</v>
      </c>
      <c r="Q891" s="64">
        <f t="shared" si="292"/>
        <v>0</v>
      </c>
      <c r="S891" s="71">
        <f t="shared" si="293"/>
        <v>0</v>
      </c>
      <c r="U891" s="64">
        <f t="shared" si="294"/>
        <v>0</v>
      </c>
      <c r="W891" s="71">
        <f t="shared" si="295"/>
        <v>0</v>
      </c>
      <c r="Y891" s="71">
        <f t="shared" si="296"/>
        <v>0</v>
      </c>
      <c r="AA891" s="71">
        <f t="shared" si="297"/>
        <v>0</v>
      </c>
      <c r="AC891" s="71">
        <f t="shared" si="298"/>
        <v>0</v>
      </c>
      <c r="AK891" s="71">
        <f t="shared" si="299"/>
        <v>0</v>
      </c>
      <c r="AM891" s="71">
        <f t="shared" si="300"/>
        <v>0</v>
      </c>
      <c r="AO891" s="71">
        <f t="shared" si="301"/>
        <v>0</v>
      </c>
      <c r="AQ891" s="71">
        <f t="shared" si="302"/>
        <v>0</v>
      </c>
      <c r="AT891" s="71">
        <f t="shared" si="303"/>
        <v>0</v>
      </c>
      <c r="AV891" s="71">
        <f t="shared" si="304"/>
        <v>0</v>
      </c>
      <c r="AX891" s="71">
        <f t="shared" si="305"/>
        <v>0</v>
      </c>
      <c r="AZ891" s="71">
        <f t="shared" si="306"/>
        <v>0</v>
      </c>
      <c r="BE891" s="81">
        <f t="shared" si="307"/>
        <v>0</v>
      </c>
      <c r="BF891" s="81" t="str">
        <f t="shared" si="308"/>
        <v>BASSO</v>
      </c>
    </row>
    <row r="892" spans="7:58" x14ac:dyDescent="0.15">
      <c r="G892" s="64">
        <f t="shared" si="287"/>
        <v>0</v>
      </c>
      <c r="I892" s="64">
        <f t="shared" si="288"/>
        <v>0</v>
      </c>
      <c r="K892" s="64">
        <f t="shared" si="289"/>
        <v>0</v>
      </c>
      <c r="M892" s="64">
        <f t="shared" si="290"/>
        <v>0</v>
      </c>
      <c r="O892" s="64">
        <f t="shared" si="291"/>
        <v>0</v>
      </c>
      <c r="Q892" s="64">
        <f t="shared" si="292"/>
        <v>0</v>
      </c>
      <c r="S892" s="71">
        <f t="shared" si="293"/>
        <v>0</v>
      </c>
      <c r="U892" s="64">
        <f t="shared" si="294"/>
        <v>0</v>
      </c>
      <c r="W892" s="71">
        <f t="shared" si="295"/>
        <v>0</v>
      </c>
      <c r="Y892" s="71">
        <f t="shared" si="296"/>
        <v>0</v>
      </c>
      <c r="AA892" s="71">
        <f t="shared" si="297"/>
        <v>0</v>
      </c>
      <c r="AC892" s="71">
        <f t="shared" si="298"/>
        <v>0</v>
      </c>
      <c r="AK892" s="71">
        <f t="shared" si="299"/>
        <v>0</v>
      </c>
      <c r="AM892" s="71">
        <f t="shared" si="300"/>
        <v>0</v>
      </c>
      <c r="AO892" s="71">
        <f t="shared" si="301"/>
        <v>0</v>
      </c>
      <c r="AQ892" s="71">
        <f t="shared" si="302"/>
        <v>0</v>
      </c>
      <c r="AT892" s="71">
        <f t="shared" si="303"/>
        <v>0</v>
      </c>
      <c r="AV892" s="71">
        <f t="shared" si="304"/>
        <v>0</v>
      </c>
      <c r="AX892" s="71">
        <f t="shared" si="305"/>
        <v>0</v>
      </c>
      <c r="AZ892" s="71">
        <f t="shared" si="306"/>
        <v>0</v>
      </c>
      <c r="BE892" s="81">
        <f t="shared" si="307"/>
        <v>0</v>
      </c>
      <c r="BF892" s="81" t="str">
        <f t="shared" si="308"/>
        <v>BASSO</v>
      </c>
    </row>
    <row r="893" spans="7:58" x14ac:dyDescent="0.15">
      <c r="G893" s="64">
        <f t="shared" si="287"/>
        <v>0</v>
      </c>
      <c r="I893" s="64">
        <f t="shared" si="288"/>
        <v>0</v>
      </c>
      <c r="K893" s="64">
        <f t="shared" si="289"/>
        <v>0</v>
      </c>
      <c r="M893" s="64">
        <f t="shared" si="290"/>
        <v>0</v>
      </c>
      <c r="O893" s="64">
        <f t="shared" si="291"/>
        <v>0</v>
      </c>
      <c r="Q893" s="64">
        <f t="shared" si="292"/>
        <v>0</v>
      </c>
      <c r="S893" s="71">
        <f t="shared" si="293"/>
        <v>0</v>
      </c>
      <c r="U893" s="64">
        <f t="shared" si="294"/>
        <v>0</v>
      </c>
      <c r="W893" s="71">
        <f t="shared" si="295"/>
        <v>0</v>
      </c>
      <c r="Y893" s="71">
        <f t="shared" si="296"/>
        <v>0</v>
      </c>
      <c r="AA893" s="71">
        <f t="shared" si="297"/>
        <v>0</v>
      </c>
      <c r="AC893" s="71">
        <f t="shared" si="298"/>
        <v>0</v>
      </c>
      <c r="AK893" s="71">
        <f t="shared" si="299"/>
        <v>0</v>
      </c>
      <c r="AM893" s="71">
        <f t="shared" si="300"/>
        <v>0</v>
      </c>
      <c r="AO893" s="71">
        <f t="shared" si="301"/>
        <v>0</v>
      </c>
      <c r="AQ893" s="71">
        <f t="shared" si="302"/>
        <v>0</v>
      </c>
      <c r="AT893" s="71">
        <f t="shared" si="303"/>
        <v>0</v>
      </c>
      <c r="AV893" s="71">
        <f t="shared" si="304"/>
        <v>0</v>
      </c>
      <c r="AX893" s="71">
        <f t="shared" si="305"/>
        <v>0</v>
      </c>
      <c r="AZ893" s="71">
        <f t="shared" si="306"/>
        <v>0</v>
      </c>
      <c r="BE893" s="81">
        <f t="shared" si="307"/>
        <v>0</v>
      </c>
      <c r="BF893" s="81" t="str">
        <f t="shared" si="308"/>
        <v>BASSO</v>
      </c>
    </row>
    <row r="894" spans="7:58" x14ac:dyDescent="0.15">
      <c r="G894" s="64">
        <f t="shared" si="287"/>
        <v>0</v>
      </c>
      <c r="I894" s="64">
        <f t="shared" si="288"/>
        <v>0</v>
      </c>
      <c r="K894" s="64">
        <f t="shared" si="289"/>
        <v>0</v>
      </c>
      <c r="M894" s="64">
        <f t="shared" si="290"/>
        <v>0</v>
      </c>
      <c r="O894" s="64">
        <f t="shared" si="291"/>
        <v>0</v>
      </c>
      <c r="Q894" s="64">
        <f t="shared" si="292"/>
        <v>0</v>
      </c>
      <c r="S894" s="71">
        <f t="shared" si="293"/>
        <v>0</v>
      </c>
      <c r="U894" s="64">
        <f t="shared" si="294"/>
        <v>0</v>
      </c>
      <c r="W894" s="71">
        <f t="shared" si="295"/>
        <v>0</v>
      </c>
      <c r="Y894" s="71">
        <f t="shared" si="296"/>
        <v>0</v>
      </c>
      <c r="AA894" s="71">
        <f t="shared" si="297"/>
        <v>0</v>
      </c>
      <c r="AC894" s="71">
        <f t="shared" si="298"/>
        <v>0</v>
      </c>
      <c r="AK894" s="71">
        <f t="shared" si="299"/>
        <v>0</v>
      </c>
      <c r="AM894" s="71">
        <f t="shared" si="300"/>
        <v>0</v>
      </c>
      <c r="AO894" s="71">
        <f t="shared" si="301"/>
        <v>0</v>
      </c>
      <c r="AQ894" s="71">
        <f t="shared" si="302"/>
        <v>0</v>
      </c>
      <c r="AT894" s="71">
        <f t="shared" si="303"/>
        <v>0</v>
      </c>
      <c r="AV894" s="71">
        <f t="shared" si="304"/>
        <v>0</v>
      </c>
      <c r="AX894" s="71">
        <f t="shared" si="305"/>
        <v>0</v>
      </c>
      <c r="AZ894" s="71">
        <f t="shared" si="306"/>
        <v>0</v>
      </c>
      <c r="BE894" s="81">
        <f t="shared" si="307"/>
        <v>0</v>
      </c>
      <c r="BF894" s="81" t="str">
        <f t="shared" si="308"/>
        <v>BASSO</v>
      </c>
    </row>
    <row r="895" spans="7:58" x14ac:dyDescent="0.15">
      <c r="G895" s="64">
        <f t="shared" si="287"/>
        <v>0</v>
      </c>
      <c r="I895" s="64">
        <f t="shared" si="288"/>
        <v>0</v>
      </c>
      <c r="K895" s="64">
        <f t="shared" si="289"/>
        <v>0</v>
      </c>
      <c r="M895" s="64">
        <f t="shared" si="290"/>
        <v>0</v>
      </c>
      <c r="O895" s="64">
        <f t="shared" si="291"/>
        <v>0</v>
      </c>
      <c r="Q895" s="64">
        <f t="shared" si="292"/>
        <v>0</v>
      </c>
      <c r="S895" s="71">
        <f t="shared" si="293"/>
        <v>0</v>
      </c>
      <c r="U895" s="64">
        <f t="shared" si="294"/>
        <v>0</v>
      </c>
      <c r="W895" s="71">
        <f t="shared" si="295"/>
        <v>0</v>
      </c>
      <c r="Y895" s="71">
        <f t="shared" si="296"/>
        <v>0</v>
      </c>
      <c r="AA895" s="71">
        <f t="shared" si="297"/>
        <v>0</v>
      </c>
      <c r="AC895" s="71">
        <f t="shared" si="298"/>
        <v>0</v>
      </c>
      <c r="AK895" s="71">
        <f t="shared" si="299"/>
        <v>0</v>
      </c>
      <c r="AM895" s="71">
        <f t="shared" si="300"/>
        <v>0</v>
      </c>
      <c r="AO895" s="71">
        <f t="shared" si="301"/>
        <v>0</v>
      </c>
      <c r="AQ895" s="71">
        <f t="shared" si="302"/>
        <v>0</v>
      </c>
      <c r="AT895" s="71">
        <f t="shared" si="303"/>
        <v>0</v>
      </c>
      <c r="AV895" s="71">
        <f t="shared" si="304"/>
        <v>0</v>
      </c>
      <c r="AX895" s="71">
        <f t="shared" si="305"/>
        <v>0</v>
      </c>
      <c r="AZ895" s="71">
        <f t="shared" si="306"/>
        <v>0</v>
      </c>
      <c r="BE895" s="81">
        <f t="shared" si="307"/>
        <v>0</v>
      </c>
      <c r="BF895" s="81" t="str">
        <f t="shared" si="308"/>
        <v>BASSO</v>
      </c>
    </row>
    <row r="896" spans="7:58" x14ac:dyDescent="0.15">
      <c r="G896" s="64">
        <f t="shared" si="287"/>
        <v>0</v>
      </c>
      <c r="I896" s="64">
        <f t="shared" si="288"/>
        <v>0</v>
      </c>
      <c r="K896" s="64">
        <f t="shared" si="289"/>
        <v>0</v>
      </c>
      <c r="M896" s="64">
        <f t="shared" si="290"/>
        <v>0</v>
      </c>
      <c r="O896" s="64">
        <f t="shared" si="291"/>
        <v>0</v>
      </c>
      <c r="Q896" s="64">
        <f t="shared" si="292"/>
        <v>0</v>
      </c>
      <c r="S896" s="71">
        <f t="shared" si="293"/>
        <v>0</v>
      </c>
      <c r="U896" s="64">
        <f t="shared" si="294"/>
        <v>0</v>
      </c>
      <c r="W896" s="71">
        <f t="shared" si="295"/>
        <v>0</v>
      </c>
      <c r="Y896" s="71">
        <f t="shared" si="296"/>
        <v>0</v>
      </c>
      <c r="AA896" s="71">
        <f t="shared" si="297"/>
        <v>0</v>
      </c>
      <c r="AC896" s="71">
        <f t="shared" si="298"/>
        <v>0</v>
      </c>
      <c r="AK896" s="71">
        <f t="shared" si="299"/>
        <v>0</v>
      </c>
      <c r="AM896" s="71">
        <f t="shared" si="300"/>
        <v>0</v>
      </c>
      <c r="AO896" s="71">
        <f t="shared" si="301"/>
        <v>0</v>
      </c>
      <c r="AQ896" s="71">
        <f t="shared" si="302"/>
        <v>0</v>
      </c>
      <c r="AT896" s="71">
        <f t="shared" si="303"/>
        <v>0</v>
      </c>
      <c r="AV896" s="71">
        <f t="shared" si="304"/>
        <v>0</v>
      </c>
      <c r="AX896" s="71">
        <f t="shared" si="305"/>
        <v>0</v>
      </c>
      <c r="AZ896" s="71">
        <f t="shared" si="306"/>
        <v>0</v>
      </c>
      <c r="BE896" s="81">
        <f t="shared" si="307"/>
        <v>0</v>
      </c>
      <c r="BF896" s="81" t="str">
        <f t="shared" si="308"/>
        <v>BASSO</v>
      </c>
    </row>
    <row r="897" spans="7:58" x14ac:dyDescent="0.15">
      <c r="G897" s="64">
        <f t="shared" si="287"/>
        <v>0</v>
      </c>
      <c r="I897" s="64">
        <f t="shared" si="288"/>
        <v>0</v>
      </c>
      <c r="K897" s="64">
        <f t="shared" si="289"/>
        <v>0</v>
      </c>
      <c r="M897" s="64">
        <f t="shared" si="290"/>
        <v>0</v>
      </c>
      <c r="O897" s="64">
        <f t="shared" si="291"/>
        <v>0</v>
      </c>
      <c r="Q897" s="64">
        <f t="shared" si="292"/>
        <v>0</v>
      </c>
      <c r="S897" s="71">
        <f t="shared" si="293"/>
        <v>0</v>
      </c>
      <c r="U897" s="64">
        <f t="shared" si="294"/>
        <v>0</v>
      </c>
      <c r="W897" s="71">
        <f t="shared" si="295"/>
        <v>0</v>
      </c>
      <c r="Y897" s="71">
        <f t="shared" si="296"/>
        <v>0</v>
      </c>
      <c r="AA897" s="71">
        <f t="shared" si="297"/>
        <v>0</v>
      </c>
      <c r="AC897" s="71">
        <f t="shared" si="298"/>
        <v>0</v>
      </c>
      <c r="AK897" s="71">
        <f t="shared" si="299"/>
        <v>0</v>
      </c>
      <c r="AM897" s="71">
        <f t="shared" si="300"/>
        <v>0</v>
      </c>
      <c r="AO897" s="71">
        <f t="shared" si="301"/>
        <v>0</v>
      </c>
      <c r="AQ897" s="71">
        <f t="shared" si="302"/>
        <v>0</v>
      </c>
      <c r="AT897" s="71">
        <f t="shared" si="303"/>
        <v>0</v>
      </c>
      <c r="AV897" s="71">
        <f t="shared" si="304"/>
        <v>0</v>
      </c>
      <c r="AX897" s="71">
        <f t="shared" si="305"/>
        <v>0</v>
      </c>
      <c r="AZ897" s="71">
        <f t="shared" si="306"/>
        <v>0</v>
      </c>
      <c r="BE897" s="81">
        <f t="shared" si="307"/>
        <v>0</v>
      </c>
      <c r="BF897" s="81" t="str">
        <f t="shared" si="308"/>
        <v>BASSO</v>
      </c>
    </row>
    <row r="898" spans="7:58" x14ac:dyDescent="0.15">
      <c r="G898" s="64">
        <f t="shared" ref="G898:G961" si="309">F899/2</f>
        <v>0</v>
      </c>
      <c r="I898" s="64">
        <f t="shared" si="288"/>
        <v>0</v>
      </c>
      <c r="K898" s="64">
        <f t="shared" si="289"/>
        <v>0</v>
      </c>
      <c r="M898" s="64">
        <f t="shared" si="290"/>
        <v>0</v>
      </c>
      <c r="O898" s="64">
        <f t="shared" si="291"/>
        <v>0</v>
      </c>
      <c r="Q898" s="64">
        <f t="shared" si="292"/>
        <v>0</v>
      </c>
      <c r="S898" s="71">
        <f t="shared" si="293"/>
        <v>0</v>
      </c>
      <c r="U898" s="64">
        <f t="shared" si="294"/>
        <v>0</v>
      </c>
      <c r="W898" s="71">
        <f t="shared" si="295"/>
        <v>0</v>
      </c>
      <c r="Y898" s="71">
        <f t="shared" si="296"/>
        <v>0</v>
      </c>
      <c r="AA898" s="71">
        <f t="shared" si="297"/>
        <v>0</v>
      </c>
      <c r="AC898" s="71">
        <f t="shared" si="298"/>
        <v>0</v>
      </c>
      <c r="AK898" s="71">
        <f t="shared" si="299"/>
        <v>0</v>
      </c>
      <c r="AM898" s="71">
        <f t="shared" si="300"/>
        <v>0</v>
      </c>
      <c r="AO898" s="71">
        <f t="shared" si="301"/>
        <v>0</v>
      </c>
      <c r="AQ898" s="71">
        <f t="shared" si="302"/>
        <v>0</v>
      </c>
      <c r="AT898" s="71">
        <f t="shared" si="303"/>
        <v>0</v>
      </c>
      <c r="AV898" s="71">
        <f t="shared" si="304"/>
        <v>0</v>
      </c>
      <c r="AX898" s="71">
        <f t="shared" si="305"/>
        <v>0</v>
      </c>
      <c r="AZ898" s="71">
        <f t="shared" si="306"/>
        <v>0</v>
      </c>
      <c r="BE898" s="81">
        <f t="shared" si="307"/>
        <v>0</v>
      </c>
      <c r="BF898" s="81" t="str">
        <f t="shared" si="308"/>
        <v>BASSO</v>
      </c>
    </row>
    <row r="899" spans="7:58" x14ac:dyDescent="0.15">
      <c r="G899" s="64">
        <f t="shared" si="309"/>
        <v>0</v>
      </c>
      <c r="I899" s="64">
        <f t="shared" ref="I899:I962" si="310">H899/2</f>
        <v>0</v>
      </c>
      <c r="K899" s="64">
        <f t="shared" ref="K899:K962" si="311">J899/2</f>
        <v>0</v>
      </c>
      <c r="M899" s="64">
        <f t="shared" ref="M899:M962" si="312">L899/3</f>
        <v>0</v>
      </c>
      <c r="O899" s="64">
        <f t="shared" ref="O899:O962" si="313">N899/5</f>
        <v>0</v>
      </c>
      <c r="Q899" s="64">
        <f t="shared" ref="Q899:Q962" si="314">P899/3</f>
        <v>0</v>
      </c>
      <c r="S899" s="71">
        <f t="shared" ref="S899:S962" si="315">R899/3</f>
        <v>0</v>
      </c>
      <c r="U899" s="64">
        <f t="shared" ref="U899:U962" si="316">T899/3</f>
        <v>0</v>
      </c>
      <c r="W899" s="71">
        <f t="shared" ref="W899:W962" si="317">V899/4</f>
        <v>0</v>
      </c>
      <c r="Y899" s="71">
        <f t="shared" ref="Y899:Y962" si="318">X899/3</f>
        <v>0</v>
      </c>
      <c r="AA899" s="71">
        <f t="shared" ref="AA899:AA962" si="319">Z899/3</f>
        <v>0</v>
      </c>
      <c r="AC899" s="71">
        <f t="shared" ref="AC899:AC962" si="320">AB899/2</f>
        <v>0</v>
      </c>
      <c r="AK899" s="71">
        <f t="shared" ref="AK899:AK962" si="321">AJ899/2</f>
        <v>0</v>
      </c>
      <c r="AM899" s="71">
        <f t="shared" ref="AM899:AM962" si="322">AL899/3</f>
        <v>0</v>
      </c>
      <c r="AO899" s="71">
        <f t="shared" ref="AO899:AO962" si="323">AN899/3</f>
        <v>0</v>
      </c>
      <c r="AQ899" s="71">
        <f t="shared" ref="AQ899:AQ962" si="324">AP899/3</f>
        <v>0</v>
      </c>
      <c r="AT899" s="71">
        <f t="shared" ref="AT899:AT962" si="325">AS899/3</f>
        <v>0</v>
      </c>
      <c r="AV899" s="71">
        <f t="shared" ref="AV899:AV962" si="326">AU899/3</f>
        <v>0</v>
      </c>
      <c r="AX899" s="71">
        <f t="shared" ref="AX899:AX962" si="327">AW899/2</f>
        <v>0</v>
      </c>
      <c r="AZ899" s="71">
        <f t="shared" ref="AZ899:AZ962" si="328">AY899/3</f>
        <v>0</v>
      </c>
      <c r="BE899" s="81">
        <f t="shared" ref="BE899:BE962" si="329">AVERAGE(F899,I899,K899,M899,O899,Q899,S899,U899,W899,Y899,AA899,AC899,AK899,AM899,AO899,AQ899,AT899,AV899,AX899,AZ899)</f>
        <v>0</v>
      </c>
      <c r="BF899" s="81" t="str">
        <f t="shared" ref="BF899:BF962" si="330">IF(BE899="","",IF(VALUE(BE899)&lt;0.34,"BASSO",IF(VALUE(BE899)&lt;=0.66,"MEDIO","ALTO")))</f>
        <v>BASSO</v>
      </c>
    </row>
    <row r="900" spans="7:58" x14ac:dyDescent="0.15">
      <c r="G900" s="64">
        <f t="shared" si="309"/>
        <v>0</v>
      </c>
      <c r="I900" s="64">
        <f t="shared" si="310"/>
        <v>0</v>
      </c>
      <c r="K900" s="64">
        <f t="shared" si="311"/>
        <v>0</v>
      </c>
      <c r="M900" s="64">
        <f t="shared" si="312"/>
        <v>0</v>
      </c>
      <c r="O900" s="64">
        <f t="shared" si="313"/>
        <v>0</v>
      </c>
      <c r="Q900" s="64">
        <f t="shared" si="314"/>
        <v>0</v>
      </c>
      <c r="S900" s="71">
        <f t="shared" si="315"/>
        <v>0</v>
      </c>
      <c r="U900" s="64">
        <f t="shared" si="316"/>
        <v>0</v>
      </c>
      <c r="W900" s="71">
        <f t="shared" si="317"/>
        <v>0</v>
      </c>
      <c r="Y900" s="71">
        <f t="shared" si="318"/>
        <v>0</v>
      </c>
      <c r="AA900" s="71">
        <f t="shared" si="319"/>
        <v>0</v>
      </c>
      <c r="AC900" s="71">
        <f t="shared" si="320"/>
        <v>0</v>
      </c>
      <c r="AK900" s="71">
        <f t="shared" si="321"/>
        <v>0</v>
      </c>
      <c r="AM900" s="71">
        <f t="shared" si="322"/>
        <v>0</v>
      </c>
      <c r="AO900" s="71">
        <f t="shared" si="323"/>
        <v>0</v>
      </c>
      <c r="AQ900" s="71">
        <f t="shared" si="324"/>
        <v>0</v>
      </c>
      <c r="AT900" s="71">
        <f t="shared" si="325"/>
        <v>0</v>
      </c>
      <c r="AV900" s="71">
        <f t="shared" si="326"/>
        <v>0</v>
      </c>
      <c r="AX900" s="71">
        <f t="shared" si="327"/>
        <v>0</v>
      </c>
      <c r="AZ900" s="71">
        <f t="shared" si="328"/>
        <v>0</v>
      </c>
      <c r="BE900" s="81">
        <f t="shared" si="329"/>
        <v>0</v>
      </c>
      <c r="BF900" s="81" t="str">
        <f t="shared" si="330"/>
        <v>BASSO</v>
      </c>
    </row>
    <row r="901" spans="7:58" x14ac:dyDescent="0.15">
      <c r="G901" s="64">
        <f t="shared" si="309"/>
        <v>0</v>
      </c>
      <c r="I901" s="64">
        <f t="shared" si="310"/>
        <v>0</v>
      </c>
      <c r="K901" s="64">
        <f t="shared" si="311"/>
        <v>0</v>
      </c>
      <c r="M901" s="64">
        <f t="shared" si="312"/>
        <v>0</v>
      </c>
      <c r="O901" s="64">
        <f t="shared" si="313"/>
        <v>0</v>
      </c>
      <c r="Q901" s="64">
        <f t="shared" si="314"/>
        <v>0</v>
      </c>
      <c r="S901" s="71">
        <f t="shared" si="315"/>
        <v>0</v>
      </c>
      <c r="U901" s="64">
        <f t="shared" si="316"/>
        <v>0</v>
      </c>
      <c r="W901" s="71">
        <f t="shared" si="317"/>
        <v>0</v>
      </c>
      <c r="Y901" s="71">
        <f t="shared" si="318"/>
        <v>0</v>
      </c>
      <c r="AA901" s="71">
        <f t="shared" si="319"/>
        <v>0</v>
      </c>
      <c r="AC901" s="71">
        <f t="shared" si="320"/>
        <v>0</v>
      </c>
      <c r="AK901" s="71">
        <f t="shared" si="321"/>
        <v>0</v>
      </c>
      <c r="AM901" s="71">
        <f t="shared" si="322"/>
        <v>0</v>
      </c>
      <c r="AO901" s="71">
        <f t="shared" si="323"/>
        <v>0</v>
      </c>
      <c r="AQ901" s="71">
        <f t="shared" si="324"/>
        <v>0</v>
      </c>
      <c r="AT901" s="71">
        <f t="shared" si="325"/>
        <v>0</v>
      </c>
      <c r="AV901" s="71">
        <f t="shared" si="326"/>
        <v>0</v>
      </c>
      <c r="AX901" s="71">
        <f t="shared" si="327"/>
        <v>0</v>
      </c>
      <c r="AZ901" s="71">
        <f t="shared" si="328"/>
        <v>0</v>
      </c>
      <c r="BE901" s="81">
        <f t="shared" si="329"/>
        <v>0</v>
      </c>
      <c r="BF901" s="81" t="str">
        <f t="shared" si="330"/>
        <v>BASSO</v>
      </c>
    </row>
    <row r="902" spans="7:58" x14ac:dyDescent="0.15">
      <c r="G902" s="64">
        <f t="shared" si="309"/>
        <v>0</v>
      </c>
      <c r="I902" s="64">
        <f t="shared" si="310"/>
        <v>0</v>
      </c>
      <c r="K902" s="64">
        <f t="shared" si="311"/>
        <v>0</v>
      </c>
      <c r="M902" s="64">
        <f t="shared" si="312"/>
        <v>0</v>
      </c>
      <c r="O902" s="64">
        <f t="shared" si="313"/>
        <v>0</v>
      </c>
      <c r="Q902" s="64">
        <f t="shared" si="314"/>
        <v>0</v>
      </c>
      <c r="S902" s="71">
        <f t="shared" si="315"/>
        <v>0</v>
      </c>
      <c r="U902" s="64">
        <f t="shared" si="316"/>
        <v>0</v>
      </c>
      <c r="W902" s="71">
        <f t="shared" si="317"/>
        <v>0</v>
      </c>
      <c r="Y902" s="71">
        <f t="shared" si="318"/>
        <v>0</v>
      </c>
      <c r="AA902" s="71">
        <f t="shared" si="319"/>
        <v>0</v>
      </c>
      <c r="AC902" s="71">
        <f t="shared" si="320"/>
        <v>0</v>
      </c>
      <c r="AK902" s="71">
        <f t="shared" si="321"/>
        <v>0</v>
      </c>
      <c r="AM902" s="71">
        <f t="shared" si="322"/>
        <v>0</v>
      </c>
      <c r="AO902" s="71">
        <f t="shared" si="323"/>
        <v>0</v>
      </c>
      <c r="AQ902" s="71">
        <f t="shared" si="324"/>
        <v>0</v>
      </c>
      <c r="AT902" s="71">
        <f t="shared" si="325"/>
        <v>0</v>
      </c>
      <c r="AV902" s="71">
        <f t="shared" si="326"/>
        <v>0</v>
      </c>
      <c r="AX902" s="71">
        <f t="shared" si="327"/>
        <v>0</v>
      </c>
      <c r="AZ902" s="71">
        <f t="shared" si="328"/>
        <v>0</v>
      </c>
      <c r="BE902" s="81">
        <f t="shared" si="329"/>
        <v>0</v>
      </c>
      <c r="BF902" s="81" t="str">
        <f t="shared" si="330"/>
        <v>BASSO</v>
      </c>
    </row>
    <row r="903" spans="7:58" x14ac:dyDescent="0.15">
      <c r="G903" s="64">
        <f t="shared" si="309"/>
        <v>0</v>
      </c>
      <c r="I903" s="64">
        <f t="shared" si="310"/>
        <v>0</v>
      </c>
      <c r="K903" s="64">
        <f t="shared" si="311"/>
        <v>0</v>
      </c>
      <c r="M903" s="64">
        <f t="shared" si="312"/>
        <v>0</v>
      </c>
      <c r="O903" s="64">
        <f t="shared" si="313"/>
        <v>0</v>
      </c>
      <c r="Q903" s="64">
        <f t="shared" si="314"/>
        <v>0</v>
      </c>
      <c r="S903" s="71">
        <f t="shared" si="315"/>
        <v>0</v>
      </c>
      <c r="U903" s="64">
        <f t="shared" si="316"/>
        <v>0</v>
      </c>
      <c r="W903" s="71">
        <f t="shared" si="317"/>
        <v>0</v>
      </c>
      <c r="Y903" s="71">
        <f t="shared" si="318"/>
        <v>0</v>
      </c>
      <c r="AA903" s="71">
        <f t="shared" si="319"/>
        <v>0</v>
      </c>
      <c r="AC903" s="71">
        <f t="shared" si="320"/>
        <v>0</v>
      </c>
      <c r="AK903" s="71">
        <f t="shared" si="321"/>
        <v>0</v>
      </c>
      <c r="AM903" s="71">
        <f t="shared" si="322"/>
        <v>0</v>
      </c>
      <c r="AO903" s="71">
        <f t="shared" si="323"/>
        <v>0</v>
      </c>
      <c r="AQ903" s="71">
        <f t="shared" si="324"/>
        <v>0</v>
      </c>
      <c r="AT903" s="71">
        <f t="shared" si="325"/>
        <v>0</v>
      </c>
      <c r="AV903" s="71">
        <f t="shared" si="326"/>
        <v>0</v>
      </c>
      <c r="AX903" s="71">
        <f t="shared" si="327"/>
        <v>0</v>
      </c>
      <c r="AZ903" s="71">
        <f t="shared" si="328"/>
        <v>0</v>
      </c>
      <c r="BE903" s="81">
        <f t="shared" si="329"/>
        <v>0</v>
      </c>
      <c r="BF903" s="81" t="str">
        <f t="shared" si="330"/>
        <v>BASSO</v>
      </c>
    </row>
    <row r="904" spans="7:58" x14ac:dyDescent="0.15">
      <c r="G904" s="64">
        <f t="shared" si="309"/>
        <v>0</v>
      </c>
      <c r="I904" s="64">
        <f t="shared" si="310"/>
        <v>0</v>
      </c>
      <c r="K904" s="64">
        <f t="shared" si="311"/>
        <v>0</v>
      </c>
      <c r="M904" s="64">
        <f t="shared" si="312"/>
        <v>0</v>
      </c>
      <c r="O904" s="64">
        <f t="shared" si="313"/>
        <v>0</v>
      </c>
      <c r="Q904" s="64">
        <f t="shared" si="314"/>
        <v>0</v>
      </c>
      <c r="S904" s="71">
        <f t="shared" si="315"/>
        <v>0</v>
      </c>
      <c r="U904" s="64">
        <f t="shared" si="316"/>
        <v>0</v>
      </c>
      <c r="W904" s="71">
        <f t="shared" si="317"/>
        <v>0</v>
      </c>
      <c r="Y904" s="71">
        <f t="shared" si="318"/>
        <v>0</v>
      </c>
      <c r="AA904" s="71">
        <f t="shared" si="319"/>
        <v>0</v>
      </c>
      <c r="AC904" s="71">
        <f t="shared" si="320"/>
        <v>0</v>
      </c>
      <c r="AK904" s="71">
        <f t="shared" si="321"/>
        <v>0</v>
      </c>
      <c r="AM904" s="71">
        <f t="shared" si="322"/>
        <v>0</v>
      </c>
      <c r="AO904" s="71">
        <f t="shared" si="323"/>
        <v>0</v>
      </c>
      <c r="AQ904" s="71">
        <f t="shared" si="324"/>
        <v>0</v>
      </c>
      <c r="AT904" s="71">
        <f t="shared" si="325"/>
        <v>0</v>
      </c>
      <c r="AV904" s="71">
        <f t="shared" si="326"/>
        <v>0</v>
      </c>
      <c r="AX904" s="71">
        <f t="shared" si="327"/>
        <v>0</v>
      </c>
      <c r="AZ904" s="71">
        <f t="shared" si="328"/>
        <v>0</v>
      </c>
      <c r="BE904" s="81">
        <f t="shared" si="329"/>
        <v>0</v>
      </c>
      <c r="BF904" s="81" t="str">
        <f t="shared" si="330"/>
        <v>BASSO</v>
      </c>
    </row>
    <row r="905" spans="7:58" x14ac:dyDescent="0.15">
      <c r="G905" s="64">
        <f t="shared" si="309"/>
        <v>0</v>
      </c>
      <c r="I905" s="64">
        <f t="shared" si="310"/>
        <v>0</v>
      </c>
      <c r="K905" s="64">
        <f t="shared" si="311"/>
        <v>0</v>
      </c>
      <c r="M905" s="64">
        <f t="shared" si="312"/>
        <v>0</v>
      </c>
      <c r="O905" s="64">
        <f t="shared" si="313"/>
        <v>0</v>
      </c>
      <c r="Q905" s="64">
        <f t="shared" si="314"/>
        <v>0</v>
      </c>
      <c r="S905" s="71">
        <f t="shared" si="315"/>
        <v>0</v>
      </c>
      <c r="U905" s="64">
        <f t="shared" si="316"/>
        <v>0</v>
      </c>
      <c r="W905" s="71">
        <f t="shared" si="317"/>
        <v>0</v>
      </c>
      <c r="Y905" s="71">
        <f t="shared" si="318"/>
        <v>0</v>
      </c>
      <c r="AA905" s="71">
        <f t="shared" si="319"/>
        <v>0</v>
      </c>
      <c r="AC905" s="71">
        <f t="shared" si="320"/>
        <v>0</v>
      </c>
      <c r="AK905" s="71">
        <f t="shared" si="321"/>
        <v>0</v>
      </c>
      <c r="AM905" s="71">
        <f t="shared" si="322"/>
        <v>0</v>
      </c>
      <c r="AO905" s="71">
        <f t="shared" si="323"/>
        <v>0</v>
      </c>
      <c r="AQ905" s="71">
        <f t="shared" si="324"/>
        <v>0</v>
      </c>
      <c r="AT905" s="71">
        <f t="shared" si="325"/>
        <v>0</v>
      </c>
      <c r="AV905" s="71">
        <f t="shared" si="326"/>
        <v>0</v>
      </c>
      <c r="AX905" s="71">
        <f t="shared" si="327"/>
        <v>0</v>
      </c>
      <c r="AZ905" s="71">
        <f t="shared" si="328"/>
        <v>0</v>
      </c>
      <c r="BE905" s="81">
        <f t="shared" si="329"/>
        <v>0</v>
      </c>
      <c r="BF905" s="81" t="str">
        <f t="shared" si="330"/>
        <v>BASSO</v>
      </c>
    </row>
    <row r="906" spans="7:58" x14ac:dyDescent="0.15">
      <c r="G906" s="64">
        <f t="shared" si="309"/>
        <v>0</v>
      </c>
      <c r="I906" s="64">
        <f t="shared" si="310"/>
        <v>0</v>
      </c>
      <c r="K906" s="64">
        <f t="shared" si="311"/>
        <v>0</v>
      </c>
      <c r="M906" s="64">
        <f t="shared" si="312"/>
        <v>0</v>
      </c>
      <c r="O906" s="64">
        <f t="shared" si="313"/>
        <v>0</v>
      </c>
      <c r="Q906" s="64">
        <f t="shared" si="314"/>
        <v>0</v>
      </c>
      <c r="S906" s="71">
        <f t="shared" si="315"/>
        <v>0</v>
      </c>
      <c r="U906" s="64">
        <f t="shared" si="316"/>
        <v>0</v>
      </c>
      <c r="W906" s="71">
        <f t="shared" si="317"/>
        <v>0</v>
      </c>
      <c r="Y906" s="71">
        <f t="shared" si="318"/>
        <v>0</v>
      </c>
      <c r="AA906" s="71">
        <f t="shared" si="319"/>
        <v>0</v>
      </c>
      <c r="AC906" s="71">
        <f t="shared" si="320"/>
        <v>0</v>
      </c>
      <c r="AK906" s="71">
        <f t="shared" si="321"/>
        <v>0</v>
      </c>
      <c r="AM906" s="71">
        <f t="shared" si="322"/>
        <v>0</v>
      </c>
      <c r="AO906" s="71">
        <f t="shared" si="323"/>
        <v>0</v>
      </c>
      <c r="AQ906" s="71">
        <f t="shared" si="324"/>
        <v>0</v>
      </c>
      <c r="AT906" s="71">
        <f t="shared" si="325"/>
        <v>0</v>
      </c>
      <c r="AV906" s="71">
        <f t="shared" si="326"/>
        <v>0</v>
      </c>
      <c r="AX906" s="71">
        <f t="shared" si="327"/>
        <v>0</v>
      </c>
      <c r="AZ906" s="71">
        <f t="shared" si="328"/>
        <v>0</v>
      </c>
      <c r="BE906" s="81">
        <f t="shared" si="329"/>
        <v>0</v>
      </c>
      <c r="BF906" s="81" t="str">
        <f t="shared" si="330"/>
        <v>BASSO</v>
      </c>
    </row>
    <row r="907" spans="7:58" x14ac:dyDescent="0.15">
      <c r="G907" s="64">
        <f t="shared" si="309"/>
        <v>0</v>
      </c>
      <c r="I907" s="64">
        <f t="shared" si="310"/>
        <v>0</v>
      </c>
      <c r="K907" s="64">
        <f t="shared" si="311"/>
        <v>0</v>
      </c>
      <c r="M907" s="64">
        <f t="shared" si="312"/>
        <v>0</v>
      </c>
      <c r="O907" s="64">
        <f t="shared" si="313"/>
        <v>0</v>
      </c>
      <c r="Q907" s="64">
        <f t="shared" si="314"/>
        <v>0</v>
      </c>
      <c r="S907" s="71">
        <f t="shared" si="315"/>
        <v>0</v>
      </c>
      <c r="U907" s="64">
        <f t="shared" si="316"/>
        <v>0</v>
      </c>
      <c r="W907" s="71">
        <f t="shared" si="317"/>
        <v>0</v>
      </c>
      <c r="Y907" s="71">
        <f t="shared" si="318"/>
        <v>0</v>
      </c>
      <c r="AA907" s="71">
        <f t="shared" si="319"/>
        <v>0</v>
      </c>
      <c r="AC907" s="71">
        <f t="shared" si="320"/>
        <v>0</v>
      </c>
      <c r="AK907" s="71">
        <f t="shared" si="321"/>
        <v>0</v>
      </c>
      <c r="AM907" s="71">
        <f t="shared" si="322"/>
        <v>0</v>
      </c>
      <c r="AO907" s="71">
        <f t="shared" si="323"/>
        <v>0</v>
      </c>
      <c r="AQ907" s="71">
        <f t="shared" si="324"/>
        <v>0</v>
      </c>
      <c r="AT907" s="71">
        <f t="shared" si="325"/>
        <v>0</v>
      </c>
      <c r="AV907" s="71">
        <f t="shared" si="326"/>
        <v>0</v>
      </c>
      <c r="AX907" s="71">
        <f t="shared" si="327"/>
        <v>0</v>
      </c>
      <c r="AZ907" s="71">
        <f t="shared" si="328"/>
        <v>0</v>
      </c>
      <c r="BE907" s="81">
        <f t="shared" si="329"/>
        <v>0</v>
      </c>
      <c r="BF907" s="81" t="str">
        <f t="shared" si="330"/>
        <v>BASSO</v>
      </c>
    </row>
    <row r="908" spans="7:58" x14ac:dyDescent="0.15">
      <c r="G908" s="64">
        <f t="shared" si="309"/>
        <v>0</v>
      </c>
      <c r="I908" s="64">
        <f t="shared" si="310"/>
        <v>0</v>
      </c>
      <c r="K908" s="64">
        <f t="shared" si="311"/>
        <v>0</v>
      </c>
      <c r="M908" s="64">
        <f t="shared" si="312"/>
        <v>0</v>
      </c>
      <c r="O908" s="64">
        <f t="shared" si="313"/>
        <v>0</v>
      </c>
      <c r="Q908" s="64">
        <f t="shared" si="314"/>
        <v>0</v>
      </c>
      <c r="S908" s="71">
        <f t="shared" si="315"/>
        <v>0</v>
      </c>
      <c r="U908" s="64">
        <f t="shared" si="316"/>
        <v>0</v>
      </c>
      <c r="W908" s="71">
        <f t="shared" si="317"/>
        <v>0</v>
      </c>
      <c r="Y908" s="71">
        <f t="shared" si="318"/>
        <v>0</v>
      </c>
      <c r="AA908" s="71">
        <f t="shared" si="319"/>
        <v>0</v>
      </c>
      <c r="AC908" s="71">
        <f t="shared" si="320"/>
        <v>0</v>
      </c>
      <c r="AK908" s="71">
        <f t="shared" si="321"/>
        <v>0</v>
      </c>
      <c r="AM908" s="71">
        <f t="shared" si="322"/>
        <v>0</v>
      </c>
      <c r="AO908" s="71">
        <f t="shared" si="323"/>
        <v>0</v>
      </c>
      <c r="AQ908" s="71">
        <f t="shared" si="324"/>
        <v>0</v>
      </c>
      <c r="AT908" s="71">
        <f t="shared" si="325"/>
        <v>0</v>
      </c>
      <c r="AV908" s="71">
        <f t="shared" si="326"/>
        <v>0</v>
      </c>
      <c r="AX908" s="71">
        <f t="shared" si="327"/>
        <v>0</v>
      </c>
      <c r="AZ908" s="71">
        <f t="shared" si="328"/>
        <v>0</v>
      </c>
      <c r="BE908" s="81">
        <f t="shared" si="329"/>
        <v>0</v>
      </c>
      <c r="BF908" s="81" t="str">
        <f t="shared" si="330"/>
        <v>BASSO</v>
      </c>
    </row>
    <row r="909" spans="7:58" x14ac:dyDescent="0.15">
      <c r="G909" s="64">
        <f t="shared" si="309"/>
        <v>0</v>
      </c>
      <c r="I909" s="64">
        <f t="shared" si="310"/>
        <v>0</v>
      </c>
      <c r="K909" s="64">
        <f t="shared" si="311"/>
        <v>0</v>
      </c>
      <c r="M909" s="64">
        <f t="shared" si="312"/>
        <v>0</v>
      </c>
      <c r="O909" s="64">
        <f t="shared" si="313"/>
        <v>0</v>
      </c>
      <c r="Q909" s="64">
        <f t="shared" si="314"/>
        <v>0</v>
      </c>
      <c r="S909" s="71">
        <f t="shared" si="315"/>
        <v>0</v>
      </c>
      <c r="U909" s="64">
        <f t="shared" si="316"/>
        <v>0</v>
      </c>
      <c r="W909" s="71">
        <f t="shared" si="317"/>
        <v>0</v>
      </c>
      <c r="Y909" s="71">
        <f t="shared" si="318"/>
        <v>0</v>
      </c>
      <c r="AA909" s="71">
        <f t="shared" si="319"/>
        <v>0</v>
      </c>
      <c r="AC909" s="71">
        <f t="shared" si="320"/>
        <v>0</v>
      </c>
      <c r="AK909" s="71">
        <f t="shared" si="321"/>
        <v>0</v>
      </c>
      <c r="AM909" s="71">
        <f t="shared" si="322"/>
        <v>0</v>
      </c>
      <c r="AO909" s="71">
        <f t="shared" si="323"/>
        <v>0</v>
      </c>
      <c r="AQ909" s="71">
        <f t="shared" si="324"/>
        <v>0</v>
      </c>
      <c r="AT909" s="71">
        <f t="shared" si="325"/>
        <v>0</v>
      </c>
      <c r="AV909" s="71">
        <f t="shared" si="326"/>
        <v>0</v>
      </c>
      <c r="AX909" s="71">
        <f t="shared" si="327"/>
        <v>0</v>
      </c>
      <c r="AZ909" s="71">
        <f t="shared" si="328"/>
        <v>0</v>
      </c>
      <c r="BE909" s="81">
        <f t="shared" si="329"/>
        <v>0</v>
      </c>
      <c r="BF909" s="81" t="str">
        <f t="shared" si="330"/>
        <v>BASSO</v>
      </c>
    </row>
    <row r="910" spans="7:58" x14ac:dyDescent="0.15">
      <c r="G910" s="64">
        <f t="shared" si="309"/>
        <v>0</v>
      </c>
      <c r="I910" s="64">
        <f t="shared" si="310"/>
        <v>0</v>
      </c>
      <c r="K910" s="64">
        <f t="shared" si="311"/>
        <v>0</v>
      </c>
      <c r="M910" s="64">
        <f t="shared" si="312"/>
        <v>0</v>
      </c>
      <c r="O910" s="64">
        <f t="shared" si="313"/>
        <v>0</v>
      </c>
      <c r="Q910" s="64">
        <f t="shared" si="314"/>
        <v>0</v>
      </c>
      <c r="S910" s="71">
        <f t="shared" si="315"/>
        <v>0</v>
      </c>
      <c r="U910" s="64">
        <f t="shared" si="316"/>
        <v>0</v>
      </c>
      <c r="W910" s="71">
        <f t="shared" si="317"/>
        <v>0</v>
      </c>
      <c r="Y910" s="71">
        <f t="shared" si="318"/>
        <v>0</v>
      </c>
      <c r="AA910" s="71">
        <f t="shared" si="319"/>
        <v>0</v>
      </c>
      <c r="AC910" s="71">
        <f t="shared" si="320"/>
        <v>0</v>
      </c>
      <c r="AK910" s="71">
        <f t="shared" si="321"/>
        <v>0</v>
      </c>
      <c r="AM910" s="71">
        <f t="shared" si="322"/>
        <v>0</v>
      </c>
      <c r="AO910" s="71">
        <f t="shared" si="323"/>
        <v>0</v>
      </c>
      <c r="AQ910" s="71">
        <f t="shared" si="324"/>
        <v>0</v>
      </c>
      <c r="AT910" s="71">
        <f t="shared" si="325"/>
        <v>0</v>
      </c>
      <c r="AV910" s="71">
        <f t="shared" si="326"/>
        <v>0</v>
      </c>
      <c r="AX910" s="71">
        <f t="shared" si="327"/>
        <v>0</v>
      </c>
      <c r="AZ910" s="71">
        <f t="shared" si="328"/>
        <v>0</v>
      </c>
      <c r="BE910" s="81">
        <f t="shared" si="329"/>
        <v>0</v>
      </c>
      <c r="BF910" s="81" t="str">
        <f t="shared" si="330"/>
        <v>BASSO</v>
      </c>
    </row>
    <row r="911" spans="7:58" x14ac:dyDescent="0.15">
      <c r="G911" s="64">
        <f t="shared" si="309"/>
        <v>0</v>
      </c>
      <c r="I911" s="64">
        <f t="shared" si="310"/>
        <v>0</v>
      </c>
      <c r="K911" s="64">
        <f t="shared" si="311"/>
        <v>0</v>
      </c>
      <c r="M911" s="64">
        <f t="shared" si="312"/>
        <v>0</v>
      </c>
      <c r="O911" s="64">
        <f t="shared" si="313"/>
        <v>0</v>
      </c>
      <c r="Q911" s="64">
        <f t="shared" si="314"/>
        <v>0</v>
      </c>
      <c r="S911" s="71">
        <f t="shared" si="315"/>
        <v>0</v>
      </c>
      <c r="U911" s="64">
        <f t="shared" si="316"/>
        <v>0</v>
      </c>
      <c r="W911" s="71">
        <f t="shared" si="317"/>
        <v>0</v>
      </c>
      <c r="Y911" s="71">
        <f t="shared" si="318"/>
        <v>0</v>
      </c>
      <c r="AA911" s="71">
        <f t="shared" si="319"/>
        <v>0</v>
      </c>
      <c r="AC911" s="71">
        <f t="shared" si="320"/>
        <v>0</v>
      </c>
      <c r="AK911" s="71">
        <f t="shared" si="321"/>
        <v>0</v>
      </c>
      <c r="AM911" s="71">
        <f t="shared" si="322"/>
        <v>0</v>
      </c>
      <c r="AO911" s="71">
        <f t="shared" si="323"/>
        <v>0</v>
      </c>
      <c r="AQ911" s="71">
        <f t="shared" si="324"/>
        <v>0</v>
      </c>
      <c r="AT911" s="71">
        <f t="shared" si="325"/>
        <v>0</v>
      </c>
      <c r="AV911" s="71">
        <f t="shared" si="326"/>
        <v>0</v>
      </c>
      <c r="AX911" s="71">
        <f t="shared" si="327"/>
        <v>0</v>
      </c>
      <c r="AZ911" s="71">
        <f t="shared" si="328"/>
        <v>0</v>
      </c>
      <c r="BE911" s="81">
        <f t="shared" si="329"/>
        <v>0</v>
      </c>
      <c r="BF911" s="81" t="str">
        <f t="shared" si="330"/>
        <v>BASSO</v>
      </c>
    </row>
    <row r="912" spans="7:58" x14ac:dyDescent="0.15">
      <c r="G912" s="64">
        <f t="shared" si="309"/>
        <v>0</v>
      </c>
      <c r="I912" s="64">
        <f t="shared" si="310"/>
        <v>0</v>
      </c>
      <c r="K912" s="64">
        <f t="shared" si="311"/>
        <v>0</v>
      </c>
      <c r="M912" s="64">
        <f t="shared" si="312"/>
        <v>0</v>
      </c>
      <c r="O912" s="64">
        <f t="shared" si="313"/>
        <v>0</v>
      </c>
      <c r="Q912" s="64">
        <f t="shared" si="314"/>
        <v>0</v>
      </c>
      <c r="S912" s="71">
        <f t="shared" si="315"/>
        <v>0</v>
      </c>
      <c r="U912" s="64">
        <f t="shared" si="316"/>
        <v>0</v>
      </c>
      <c r="W912" s="71">
        <f t="shared" si="317"/>
        <v>0</v>
      </c>
      <c r="Y912" s="71">
        <f t="shared" si="318"/>
        <v>0</v>
      </c>
      <c r="AA912" s="71">
        <f t="shared" si="319"/>
        <v>0</v>
      </c>
      <c r="AC912" s="71">
        <f t="shared" si="320"/>
        <v>0</v>
      </c>
      <c r="AK912" s="71">
        <f t="shared" si="321"/>
        <v>0</v>
      </c>
      <c r="AM912" s="71">
        <f t="shared" si="322"/>
        <v>0</v>
      </c>
      <c r="AO912" s="71">
        <f t="shared" si="323"/>
        <v>0</v>
      </c>
      <c r="AQ912" s="71">
        <f t="shared" si="324"/>
        <v>0</v>
      </c>
      <c r="AT912" s="71">
        <f t="shared" si="325"/>
        <v>0</v>
      </c>
      <c r="AV912" s="71">
        <f t="shared" si="326"/>
        <v>0</v>
      </c>
      <c r="AX912" s="71">
        <f t="shared" si="327"/>
        <v>0</v>
      </c>
      <c r="AZ912" s="71">
        <f t="shared" si="328"/>
        <v>0</v>
      </c>
      <c r="BE912" s="81">
        <f t="shared" si="329"/>
        <v>0</v>
      </c>
      <c r="BF912" s="81" t="str">
        <f t="shared" si="330"/>
        <v>BASSO</v>
      </c>
    </row>
    <row r="913" spans="7:58" x14ac:dyDescent="0.15">
      <c r="G913" s="64">
        <f t="shared" si="309"/>
        <v>0</v>
      </c>
      <c r="I913" s="64">
        <f t="shared" si="310"/>
        <v>0</v>
      </c>
      <c r="K913" s="64">
        <f t="shared" si="311"/>
        <v>0</v>
      </c>
      <c r="M913" s="64">
        <f t="shared" si="312"/>
        <v>0</v>
      </c>
      <c r="O913" s="64">
        <f t="shared" si="313"/>
        <v>0</v>
      </c>
      <c r="Q913" s="64">
        <f t="shared" si="314"/>
        <v>0</v>
      </c>
      <c r="S913" s="71">
        <f t="shared" si="315"/>
        <v>0</v>
      </c>
      <c r="U913" s="64">
        <f t="shared" si="316"/>
        <v>0</v>
      </c>
      <c r="W913" s="71">
        <f t="shared" si="317"/>
        <v>0</v>
      </c>
      <c r="Y913" s="71">
        <f t="shared" si="318"/>
        <v>0</v>
      </c>
      <c r="AA913" s="71">
        <f t="shared" si="319"/>
        <v>0</v>
      </c>
      <c r="AC913" s="71">
        <f t="shared" si="320"/>
        <v>0</v>
      </c>
      <c r="AK913" s="71">
        <f t="shared" si="321"/>
        <v>0</v>
      </c>
      <c r="AM913" s="71">
        <f t="shared" si="322"/>
        <v>0</v>
      </c>
      <c r="AO913" s="71">
        <f t="shared" si="323"/>
        <v>0</v>
      </c>
      <c r="AQ913" s="71">
        <f t="shared" si="324"/>
        <v>0</v>
      </c>
      <c r="AT913" s="71">
        <f t="shared" si="325"/>
        <v>0</v>
      </c>
      <c r="AV913" s="71">
        <f t="shared" si="326"/>
        <v>0</v>
      </c>
      <c r="AX913" s="71">
        <f t="shared" si="327"/>
        <v>0</v>
      </c>
      <c r="AZ913" s="71">
        <f t="shared" si="328"/>
        <v>0</v>
      </c>
      <c r="BE913" s="81">
        <f t="shared" si="329"/>
        <v>0</v>
      </c>
      <c r="BF913" s="81" t="str">
        <f t="shared" si="330"/>
        <v>BASSO</v>
      </c>
    </row>
    <row r="914" spans="7:58" x14ac:dyDescent="0.15">
      <c r="G914" s="64">
        <f t="shared" si="309"/>
        <v>0</v>
      </c>
      <c r="I914" s="64">
        <f t="shared" si="310"/>
        <v>0</v>
      </c>
      <c r="K914" s="64">
        <f t="shared" si="311"/>
        <v>0</v>
      </c>
      <c r="M914" s="64">
        <f t="shared" si="312"/>
        <v>0</v>
      </c>
      <c r="O914" s="64">
        <f t="shared" si="313"/>
        <v>0</v>
      </c>
      <c r="Q914" s="64">
        <f t="shared" si="314"/>
        <v>0</v>
      </c>
      <c r="S914" s="71">
        <f t="shared" si="315"/>
        <v>0</v>
      </c>
      <c r="U914" s="64">
        <f t="shared" si="316"/>
        <v>0</v>
      </c>
      <c r="W914" s="71">
        <f t="shared" si="317"/>
        <v>0</v>
      </c>
      <c r="Y914" s="71">
        <f t="shared" si="318"/>
        <v>0</v>
      </c>
      <c r="AA914" s="71">
        <f t="shared" si="319"/>
        <v>0</v>
      </c>
      <c r="AC914" s="71">
        <f t="shared" si="320"/>
        <v>0</v>
      </c>
      <c r="AK914" s="71">
        <f t="shared" si="321"/>
        <v>0</v>
      </c>
      <c r="AM914" s="71">
        <f t="shared" si="322"/>
        <v>0</v>
      </c>
      <c r="AO914" s="71">
        <f t="shared" si="323"/>
        <v>0</v>
      </c>
      <c r="AQ914" s="71">
        <f t="shared" si="324"/>
        <v>0</v>
      </c>
      <c r="AT914" s="71">
        <f t="shared" si="325"/>
        <v>0</v>
      </c>
      <c r="AV914" s="71">
        <f t="shared" si="326"/>
        <v>0</v>
      </c>
      <c r="AX914" s="71">
        <f t="shared" si="327"/>
        <v>0</v>
      </c>
      <c r="AZ914" s="71">
        <f t="shared" si="328"/>
        <v>0</v>
      </c>
      <c r="BE914" s="81">
        <f t="shared" si="329"/>
        <v>0</v>
      </c>
      <c r="BF914" s="81" t="str">
        <f t="shared" si="330"/>
        <v>BASSO</v>
      </c>
    </row>
    <row r="915" spans="7:58" x14ac:dyDescent="0.15">
      <c r="G915" s="64">
        <f t="shared" si="309"/>
        <v>0</v>
      </c>
      <c r="I915" s="64">
        <f t="shared" si="310"/>
        <v>0</v>
      </c>
      <c r="K915" s="64">
        <f t="shared" si="311"/>
        <v>0</v>
      </c>
      <c r="M915" s="64">
        <f t="shared" si="312"/>
        <v>0</v>
      </c>
      <c r="O915" s="64">
        <f t="shared" si="313"/>
        <v>0</v>
      </c>
      <c r="Q915" s="64">
        <f t="shared" si="314"/>
        <v>0</v>
      </c>
      <c r="S915" s="71">
        <f t="shared" si="315"/>
        <v>0</v>
      </c>
      <c r="U915" s="64">
        <f t="shared" si="316"/>
        <v>0</v>
      </c>
      <c r="W915" s="71">
        <f t="shared" si="317"/>
        <v>0</v>
      </c>
      <c r="Y915" s="71">
        <f t="shared" si="318"/>
        <v>0</v>
      </c>
      <c r="AA915" s="71">
        <f t="shared" si="319"/>
        <v>0</v>
      </c>
      <c r="AC915" s="71">
        <f t="shared" si="320"/>
        <v>0</v>
      </c>
      <c r="AK915" s="71">
        <f t="shared" si="321"/>
        <v>0</v>
      </c>
      <c r="AM915" s="71">
        <f t="shared" si="322"/>
        <v>0</v>
      </c>
      <c r="AO915" s="71">
        <f t="shared" si="323"/>
        <v>0</v>
      </c>
      <c r="AQ915" s="71">
        <f t="shared" si="324"/>
        <v>0</v>
      </c>
      <c r="AT915" s="71">
        <f t="shared" si="325"/>
        <v>0</v>
      </c>
      <c r="AV915" s="71">
        <f t="shared" si="326"/>
        <v>0</v>
      </c>
      <c r="AX915" s="71">
        <f t="shared" si="327"/>
        <v>0</v>
      </c>
      <c r="AZ915" s="71">
        <f t="shared" si="328"/>
        <v>0</v>
      </c>
      <c r="BE915" s="81">
        <f t="shared" si="329"/>
        <v>0</v>
      </c>
      <c r="BF915" s="81" t="str">
        <f t="shared" si="330"/>
        <v>BASSO</v>
      </c>
    </row>
    <row r="916" spans="7:58" x14ac:dyDescent="0.15">
      <c r="G916" s="64">
        <f t="shared" si="309"/>
        <v>0</v>
      </c>
      <c r="I916" s="64">
        <f t="shared" si="310"/>
        <v>0</v>
      </c>
      <c r="K916" s="64">
        <f t="shared" si="311"/>
        <v>0</v>
      </c>
      <c r="M916" s="64">
        <f t="shared" si="312"/>
        <v>0</v>
      </c>
      <c r="O916" s="64">
        <f t="shared" si="313"/>
        <v>0</v>
      </c>
      <c r="Q916" s="64">
        <f t="shared" si="314"/>
        <v>0</v>
      </c>
      <c r="S916" s="71">
        <f t="shared" si="315"/>
        <v>0</v>
      </c>
      <c r="U916" s="64">
        <f t="shared" si="316"/>
        <v>0</v>
      </c>
      <c r="W916" s="71">
        <f t="shared" si="317"/>
        <v>0</v>
      </c>
      <c r="Y916" s="71">
        <f t="shared" si="318"/>
        <v>0</v>
      </c>
      <c r="AA916" s="71">
        <f t="shared" si="319"/>
        <v>0</v>
      </c>
      <c r="AC916" s="71">
        <f t="shared" si="320"/>
        <v>0</v>
      </c>
      <c r="AK916" s="71">
        <f t="shared" si="321"/>
        <v>0</v>
      </c>
      <c r="AM916" s="71">
        <f t="shared" si="322"/>
        <v>0</v>
      </c>
      <c r="AO916" s="71">
        <f t="shared" si="323"/>
        <v>0</v>
      </c>
      <c r="AQ916" s="71">
        <f t="shared" si="324"/>
        <v>0</v>
      </c>
      <c r="AT916" s="71">
        <f t="shared" si="325"/>
        <v>0</v>
      </c>
      <c r="AV916" s="71">
        <f t="shared" si="326"/>
        <v>0</v>
      </c>
      <c r="AX916" s="71">
        <f t="shared" si="327"/>
        <v>0</v>
      </c>
      <c r="AZ916" s="71">
        <f t="shared" si="328"/>
        <v>0</v>
      </c>
      <c r="BE916" s="81">
        <f t="shared" si="329"/>
        <v>0</v>
      </c>
      <c r="BF916" s="81" t="str">
        <f t="shared" si="330"/>
        <v>BASSO</v>
      </c>
    </row>
    <row r="917" spans="7:58" x14ac:dyDescent="0.15">
      <c r="G917" s="64">
        <f t="shared" si="309"/>
        <v>0</v>
      </c>
      <c r="I917" s="64">
        <f t="shared" si="310"/>
        <v>0</v>
      </c>
      <c r="K917" s="64">
        <f t="shared" si="311"/>
        <v>0</v>
      </c>
      <c r="M917" s="64">
        <f t="shared" si="312"/>
        <v>0</v>
      </c>
      <c r="O917" s="64">
        <f t="shared" si="313"/>
        <v>0</v>
      </c>
      <c r="Q917" s="64">
        <f t="shared" si="314"/>
        <v>0</v>
      </c>
      <c r="S917" s="71">
        <f t="shared" si="315"/>
        <v>0</v>
      </c>
      <c r="U917" s="64">
        <f t="shared" si="316"/>
        <v>0</v>
      </c>
      <c r="W917" s="71">
        <f t="shared" si="317"/>
        <v>0</v>
      </c>
      <c r="Y917" s="71">
        <f t="shared" si="318"/>
        <v>0</v>
      </c>
      <c r="AA917" s="71">
        <f t="shared" si="319"/>
        <v>0</v>
      </c>
      <c r="AC917" s="71">
        <f t="shared" si="320"/>
        <v>0</v>
      </c>
      <c r="AK917" s="71">
        <f t="shared" si="321"/>
        <v>0</v>
      </c>
      <c r="AM917" s="71">
        <f t="shared" si="322"/>
        <v>0</v>
      </c>
      <c r="AO917" s="71">
        <f t="shared" si="323"/>
        <v>0</v>
      </c>
      <c r="AQ917" s="71">
        <f t="shared" si="324"/>
        <v>0</v>
      </c>
      <c r="AT917" s="71">
        <f t="shared" si="325"/>
        <v>0</v>
      </c>
      <c r="AV917" s="71">
        <f t="shared" si="326"/>
        <v>0</v>
      </c>
      <c r="AX917" s="71">
        <f t="shared" si="327"/>
        <v>0</v>
      </c>
      <c r="AZ917" s="71">
        <f t="shared" si="328"/>
        <v>0</v>
      </c>
      <c r="BE917" s="81">
        <f t="shared" si="329"/>
        <v>0</v>
      </c>
      <c r="BF917" s="81" t="str">
        <f t="shared" si="330"/>
        <v>BASSO</v>
      </c>
    </row>
    <row r="918" spans="7:58" x14ac:dyDescent="0.15">
      <c r="G918" s="64">
        <f t="shared" si="309"/>
        <v>0</v>
      </c>
      <c r="I918" s="64">
        <f t="shared" si="310"/>
        <v>0</v>
      </c>
      <c r="K918" s="64">
        <f t="shared" si="311"/>
        <v>0</v>
      </c>
      <c r="M918" s="64">
        <f t="shared" si="312"/>
        <v>0</v>
      </c>
      <c r="O918" s="64">
        <f t="shared" si="313"/>
        <v>0</v>
      </c>
      <c r="Q918" s="64">
        <f t="shared" si="314"/>
        <v>0</v>
      </c>
      <c r="S918" s="71">
        <f t="shared" si="315"/>
        <v>0</v>
      </c>
      <c r="U918" s="64">
        <f t="shared" si="316"/>
        <v>0</v>
      </c>
      <c r="W918" s="71">
        <f t="shared" si="317"/>
        <v>0</v>
      </c>
      <c r="Y918" s="71">
        <f t="shared" si="318"/>
        <v>0</v>
      </c>
      <c r="AA918" s="71">
        <f t="shared" si="319"/>
        <v>0</v>
      </c>
      <c r="AC918" s="71">
        <f t="shared" si="320"/>
        <v>0</v>
      </c>
      <c r="AK918" s="71">
        <f t="shared" si="321"/>
        <v>0</v>
      </c>
      <c r="AM918" s="71">
        <f t="shared" si="322"/>
        <v>0</v>
      </c>
      <c r="AO918" s="71">
        <f t="shared" si="323"/>
        <v>0</v>
      </c>
      <c r="AQ918" s="71">
        <f t="shared" si="324"/>
        <v>0</v>
      </c>
      <c r="AT918" s="71">
        <f t="shared" si="325"/>
        <v>0</v>
      </c>
      <c r="AV918" s="71">
        <f t="shared" si="326"/>
        <v>0</v>
      </c>
      <c r="AX918" s="71">
        <f t="shared" si="327"/>
        <v>0</v>
      </c>
      <c r="AZ918" s="71">
        <f t="shared" si="328"/>
        <v>0</v>
      </c>
      <c r="BE918" s="81">
        <f t="shared" si="329"/>
        <v>0</v>
      </c>
      <c r="BF918" s="81" t="str">
        <f t="shared" si="330"/>
        <v>BASSO</v>
      </c>
    </row>
    <row r="919" spans="7:58" x14ac:dyDescent="0.15">
      <c r="G919" s="64">
        <f t="shared" si="309"/>
        <v>0</v>
      </c>
      <c r="I919" s="64">
        <f t="shared" si="310"/>
        <v>0</v>
      </c>
      <c r="K919" s="64">
        <f t="shared" si="311"/>
        <v>0</v>
      </c>
      <c r="M919" s="64">
        <f t="shared" si="312"/>
        <v>0</v>
      </c>
      <c r="O919" s="64">
        <f t="shared" si="313"/>
        <v>0</v>
      </c>
      <c r="Q919" s="64">
        <f t="shared" si="314"/>
        <v>0</v>
      </c>
      <c r="S919" s="71">
        <f t="shared" si="315"/>
        <v>0</v>
      </c>
      <c r="U919" s="64">
        <f t="shared" si="316"/>
        <v>0</v>
      </c>
      <c r="W919" s="71">
        <f t="shared" si="317"/>
        <v>0</v>
      </c>
      <c r="Y919" s="71">
        <f t="shared" si="318"/>
        <v>0</v>
      </c>
      <c r="AA919" s="71">
        <f t="shared" si="319"/>
        <v>0</v>
      </c>
      <c r="AC919" s="71">
        <f t="shared" si="320"/>
        <v>0</v>
      </c>
      <c r="AK919" s="71">
        <f t="shared" si="321"/>
        <v>0</v>
      </c>
      <c r="AM919" s="71">
        <f t="shared" si="322"/>
        <v>0</v>
      </c>
      <c r="AO919" s="71">
        <f t="shared" si="323"/>
        <v>0</v>
      </c>
      <c r="AQ919" s="71">
        <f t="shared" si="324"/>
        <v>0</v>
      </c>
      <c r="AT919" s="71">
        <f t="shared" si="325"/>
        <v>0</v>
      </c>
      <c r="AV919" s="71">
        <f t="shared" si="326"/>
        <v>0</v>
      </c>
      <c r="AX919" s="71">
        <f t="shared" si="327"/>
        <v>0</v>
      </c>
      <c r="AZ919" s="71">
        <f t="shared" si="328"/>
        <v>0</v>
      </c>
      <c r="BE919" s="81">
        <f t="shared" si="329"/>
        <v>0</v>
      </c>
      <c r="BF919" s="81" t="str">
        <f t="shared" si="330"/>
        <v>BASSO</v>
      </c>
    </row>
    <row r="920" spans="7:58" x14ac:dyDescent="0.15">
      <c r="G920" s="64">
        <f t="shared" si="309"/>
        <v>0</v>
      </c>
      <c r="I920" s="64">
        <f t="shared" si="310"/>
        <v>0</v>
      </c>
      <c r="K920" s="64">
        <f t="shared" si="311"/>
        <v>0</v>
      </c>
      <c r="M920" s="64">
        <f t="shared" si="312"/>
        <v>0</v>
      </c>
      <c r="O920" s="64">
        <f t="shared" si="313"/>
        <v>0</v>
      </c>
      <c r="Q920" s="64">
        <f t="shared" si="314"/>
        <v>0</v>
      </c>
      <c r="S920" s="71">
        <f t="shared" si="315"/>
        <v>0</v>
      </c>
      <c r="U920" s="64">
        <f t="shared" si="316"/>
        <v>0</v>
      </c>
      <c r="W920" s="71">
        <f t="shared" si="317"/>
        <v>0</v>
      </c>
      <c r="Y920" s="71">
        <f t="shared" si="318"/>
        <v>0</v>
      </c>
      <c r="AA920" s="71">
        <f t="shared" si="319"/>
        <v>0</v>
      </c>
      <c r="AC920" s="71">
        <f t="shared" si="320"/>
        <v>0</v>
      </c>
      <c r="AK920" s="71">
        <f t="shared" si="321"/>
        <v>0</v>
      </c>
      <c r="AM920" s="71">
        <f t="shared" si="322"/>
        <v>0</v>
      </c>
      <c r="AO920" s="71">
        <f t="shared" si="323"/>
        <v>0</v>
      </c>
      <c r="AQ920" s="71">
        <f t="shared" si="324"/>
        <v>0</v>
      </c>
      <c r="AT920" s="71">
        <f t="shared" si="325"/>
        <v>0</v>
      </c>
      <c r="AV920" s="71">
        <f t="shared" si="326"/>
        <v>0</v>
      </c>
      <c r="AX920" s="71">
        <f t="shared" si="327"/>
        <v>0</v>
      </c>
      <c r="AZ920" s="71">
        <f t="shared" si="328"/>
        <v>0</v>
      </c>
      <c r="BE920" s="81">
        <f t="shared" si="329"/>
        <v>0</v>
      </c>
      <c r="BF920" s="81" t="str">
        <f t="shared" si="330"/>
        <v>BASSO</v>
      </c>
    </row>
    <row r="921" spans="7:58" x14ac:dyDescent="0.15">
      <c r="G921" s="64">
        <f t="shared" si="309"/>
        <v>0</v>
      </c>
      <c r="I921" s="64">
        <f t="shared" si="310"/>
        <v>0</v>
      </c>
      <c r="K921" s="64">
        <f t="shared" si="311"/>
        <v>0</v>
      </c>
      <c r="M921" s="64">
        <f t="shared" si="312"/>
        <v>0</v>
      </c>
      <c r="O921" s="64">
        <f t="shared" si="313"/>
        <v>0</v>
      </c>
      <c r="Q921" s="64">
        <f t="shared" si="314"/>
        <v>0</v>
      </c>
      <c r="S921" s="71">
        <f t="shared" si="315"/>
        <v>0</v>
      </c>
      <c r="U921" s="64">
        <f t="shared" si="316"/>
        <v>0</v>
      </c>
      <c r="W921" s="71">
        <f t="shared" si="317"/>
        <v>0</v>
      </c>
      <c r="Y921" s="71">
        <f t="shared" si="318"/>
        <v>0</v>
      </c>
      <c r="AA921" s="71">
        <f t="shared" si="319"/>
        <v>0</v>
      </c>
      <c r="AC921" s="71">
        <f t="shared" si="320"/>
        <v>0</v>
      </c>
      <c r="AK921" s="71">
        <f t="shared" si="321"/>
        <v>0</v>
      </c>
      <c r="AM921" s="71">
        <f t="shared" si="322"/>
        <v>0</v>
      </c>
      <c r="AO921" s="71">
        <f t="shared" si="323"/>
        <v>0</v>
      </c>
      <c r="AQ921" s="71">
        <f t="shared" si="324"/>
        <v>0</v>
      </c>
      <c r="AT921" s="71">
        <f t="shared" si="325"/>
        <v>0</v>
      </c>
      <c r="AV921" s="71">
        <f t="shared" si="326"/>
        <v>0</v>
      </c>
      <c r="AX921" s="71">
        <f t="shared" si="327"/>
        <v>0</v>
      </c>
      <c r="AZ921" s="71">
        <f t="shared" si="328"/>
        <v>0</v>
      </c>
      <c r="BE921" s="81">
        <f t="shared" si="329"/>
        <v>0</v>
      </c>
      <c r="BF921" s="81" t="str">
        <f t="shared" si="330"/>
        <v>BASSO</v>
      </c>
    </row>
    <row r="922" spans="7:58" x14ac:dyDescent="0.15">
      <c r="G922" s="64">
        <f t="shared" si="309"/>
        <v>0</v>
      </c>
      <c r="I922" s="64">
        <f t="shared" si="310"/>
        <v>0</v>
      </c>
      <c r="K922" s="64">
        <f t="shared" si="311"/>
        <v>0</v>
      </c>
      <c r="M922" s="64">
        <f t="shared" si="312"/>
        <v>0</v>
      </c>
      <c r="O922" s="64">
        <f t="shared" si="313"/>
        <v>0</v>
      </c>
      <c r="Q922" s="64">
        <f t="shared" si="314"/>
        <v>0</v>
      </c>
      <c r="S922" s="71">
        <f t="shared" si="315"/>
        <v>0</v>
      </c>
      <c r="U922" s="64">
        <f t="shared" si="316"/>
        <v>0</v>
      </c>
      <c r="W922" s="71">
        <f t="shared" si="317"/>
        <v>0</v>
      </c>
      <c r="Y922" s="71">
        <f t="shared" si="318"/>
        <v>0</v>
      </c>
      <c r="AA922" s="71">
        <f t="shared" si="319"/>
        <v>0</v>
      </c>
      <c r="AC922" s="71">
        <f t="shared" si="320"/>
        <v>0</v>
      </c>
      <c r="AK922" s="71">
        <f t="shared" si="321"/>
        <v>0</v>
      </c>
      <c r="AM922" s="71">
        <f t="shared" si="322"/>
        <v>0</v>
      </c>
      <c r="AO922" s="71">
        <f t="shared" si="323"/>
        <v>0</v>
      </c>
      <c r="AQ922" s="71">
        <f t="shared" si="324"/>
        <v>0</v>
      </c>
      <c r="AT922" s="71">
        <f t="shared" si="325"/>
        <v>0</v>
      </c>
      <c r="AV922" s="71">
        <f t="shared" si="326"/>
        <v>0</v>
      </c>
      <c r="AX922" s="71">
        <f t="shared" si="327"/>
        <v>0</v>
      </c>
      <c r="AZ922" s="71">
        <f t="shared" si="328"/>
        <v>0</v>
      </c>
      <c r="BE922" s="81">
        <f t="shared" si="329"/>
        <v>0</v>
      </c>
      <c r="BF922" s="81" t="str">
        <f t="shared" si="330"/>
        <v>BASSO</v>
      </c>
    </row>
    <row r="923" spans="7:58" x14ac:dyDescent="0.15">
      <c r="G923" s="64">
        <f t="shared" si="309"/>
        <v>0</v>
      </c>
      <c r="I923" s="64">
        <f t="shared" si="310"/>
        <v>0</v>
      </c>
      <c r="K923" s="64">
        <f t="shared" si="311"/>
        <v>0</v>
      </c>
      <c r="M923" s="64">
        <f t="shared" si="312"/>
        <v>0</v>
      </c>
      <c r="O923" s="64">
        <f t="shared" si="313"/>
        <v>0</v>
      </c>
      <c r="Q923" s="64">
        <f t="shared" si="314"/>
        <v>0</v>
      </c>
      <c r="S923" s="71">
        <f t="shared" si="315"/>
        <v>0</v>
      </c>
      <c r="U923" s="64">
        <f t="shared" si="316"/>
        <v>0</v>
      </c>
      <c r="W923" s="71">
        <f t="shared" si="317"/>
        <v>0</v>
      </c>
      <c r="Y923" s="71">
        <f t="shared" si="318"/>
        <v>0</v>
      </c>
      <c r="AA923" s="71">
        <f t="shared" si="319"/>
        <v>0</v>
      </c>
      <c r="AC923" s="71">
        <f t="shared" si="320"/>
        <v>0</v>
      </c>
      <c r="AK923" s="71">
        <f t="shared" si="321"/>
        <v>0</v>
      </c>
      <c r="AM923" s="71">
        <f t="shared" si="322"/>
        <v>0</v>
      </c>
      <c r="AO923" s="71">
        <f t="shared" si="323"/>
        <v>0</v>
      </c>
      <c r="AQ923" s="71">
        <f t="shared" si="324"/>
        <v>0</v>
      </c>
      <c r="AT923" s="71">
        <f t="shared" si="325"/>
        <v>0</v>
      </c>
      <c r="AV923" s="71">
        <f t="shared" si="326"/>
        <v>0</v>
      </c>
      <c r="AX923" s="71">
        <f t="shared" si="327"/>
        <v>0</v>
      </c>
      <c r="AZ923" s="71">
        <f t="shared" si="328"/>
        <v>0</v>
      </c>
      <c r="BE923" s="81">
        <f t="shared" si="329"/>
        <v>0</v>
      </c>
      <c r="BF923" s="81" t="str">
        <f t="shared" si="330"/>
        <v>BASSO</v>
      </c>
    </row>
    <row r="924" spans="7:58" x14ac:dyDescent="0.15">
      <c r="G924" s="64">
        <f t="shared" si="309"/>
        <v>0</v>
      </c>
      <c r="I924" s="64">
        <f t="shared" si="310"/>
        <v>0</v>
      </c>
      <c r="K924" s="64">
        <f t="shared" si="311"/>
        <v>0</v>
      </c>
      <c r="M924" s="64">
        <f t="shared" si="312"/>
        <v>0</v>
      </c>
      <c r="O924" s="64">
        <f t="shared" si="313"/>
        <v>0</v>
      </c>
      <c r="Q924" s="64">
        <f t="shared" si="314"/>
        <v>0</v>
      </c>
      <c r="S924" s="71">
        <f t="shared" si="315"/>
        <v>0</v>
      </c>
      <c r="U924" s="64">
        <f t="shared" si="316"/>
        <v>0</v>
      </c>
      <c r="W924" s="71">
        <f t="shared" si="317"/>
        <v>0</v>
      </c>
      <c r="Y924" s="71">
        <f t="shared" si="318"/>
        <v>0</v>
      </c>
      <c r="AA924" s="71">
        <f t="shared" si="319"/>
        <v>0</v>
      </c>
      <c r="AC924" s="71">
        <f t="shared" si="320"/>
        <v>0</v>
      </c>
      <c r="AK924" s="71">
        <f t="shared" si="321"/>
        <v>0</v>
      </c>
      <c r="AM924" s="71">
        <f t="shared" si="322"/>
        <v>0</v>
      </c>
      <c r="AO924" s="71">
        <f t="shared" si="323"/>
        <v>0</v>
      </c>
      <c r="AQ924" s="71">
        <f t="shared" si="324"/>
        <v>0</v>
      </c>
      <c r="AT924" s="71">
        <f t="shared" si="325"/>
        <v>0</v>
      </c>
      <c r="AV924" s="71">
        <f t="shared" si="326"/>
        <v>0</v>
      </c>
      <c r="AX924" s="71">
        <f t="shared" si="327"/>
        <v>0</v>
      </c>
      <c r="AZ924" s="71">
        <f t="shared" si="328"/>
        <v>0</v>
      </c>
      <c r="BE924" s="81">
        <f t="shared" si="329"/>
        <v>0</v>
      </c>
      <c r="BF924" s="81" t="str">
        <f t="shared" si="330"/>
        <v>BASSO</v>
      </c>
    </row>
    <row r="925" spans="7:58" x14ac:dyDescent="0.15">
      <c r="G925" s="64">
        <f t="shared" si="309"/>
        <v>0</v>
      </c>
      <c r="I925" s="64">
        <f t="shared" si="310"/>
        <v>0</v>
      </c>
      <c r="K925" s="64">
        <f t="shared" si="311"/>
        <v>0</v>
      </c>
      <c r="M925" s="64">
        <f t="shared" si="312"/>
        <v>0</v>
      </c>
      <c r="O925" s="64">
        <f t="shared" si="313"/>
        <v>0</v>
      </c>
      <c r="Q925" s="64">
        <f t="shared" si="314"/>
        <v>0</v>
      </c>
      <c r="S925" s="71">
        <f t="shared" si="315"/>
        <v>0</v>
      </c>
      <c r="U925" s="64">
        <f t="shared" si="316"/>
        <v>0</v>
      </c>
      <c r="W925" s="71">
        <f t="shared" si="317"/>
        <v>0</v>
      </c>
      <c r="Y925" s="71">
        <f t="shared" si="318"/>
        <v>0</v>
      </c>
      <c r="AA925" s="71">
        <f t="shared" si="319"/>
        <v>0</v>
      </c>
      <c r="AC925" s="71">
        <f t="shared" si="320"/>
        <v>0</v>
      </c>
      <c r="AK925" s="71">
        <f t="shared" si="321"/>
        <v>0</v>
      </c>
      <c r="AM925" s="71">
        <f t="shared" si="322"/>
        <v>0</v>
      </c>
      <c r="AO925" s="71">
        <f t="shared" si="323"/>
        <v>0</v>
      </c>
      <c r="AQ925" s="71">
        <f t="shared" si="324"/>
        <v>0</v>
      </c>
      <c r="AT925" s="71">
        <f t="shared" si="325"/>
        <v>0</v>
      </c>
      <c r="AV925" s="71">
        <f t="shared" si="326"/>
        <v>0</v>
      </c>
      <c r="AX925" s="71">
        <f t="shared" si="327"/>
        <v>0</v>
      </c>
      <c r="AZ925" s="71">
        <f t="shared" si="328"/>
        <v>0</v>
      </c>
      <c r="BE925" s="81">
        <f t="shared" si="329"/>
        <v>0</v>
      </c>
      <c r="BF925" s="81" t="str">
        <f t="shared" si="330"/>
        <v>BASSO</v>
      </c>
    </row>
    <row r="926" spans="7:58" x14ac:dyDescent="0.15">
      <c r="G926" s="64">
        <f t="shared" si="309"/>
        <v>0</v>
      </c>
      <c r="I926" s="64">
        <f t="shared" si="310"/>
        <v>0</v>
      </c>
      <c r="K926" s="64">
        <f t="shared" si="311"/>
        <v>0</v>
      </c>
      <c r="M926" s="64">
        <f t="shared" si="312"/>
        <v>0</v>
      </c>
      <c r="O926" s="64">
        <f t="shared" si="313"/>
        <v>0</v>
      </c>
      <c r="Q926" s="64">
        <f t="shared" si="314"/>
        <v>0</v>
      </c>
      <c r="S926" s="71">
        <f t="shared" si="315"/>
        <v>0</v>
      </c>
      <c r="U926" s="64">
        <f t="shared" si="316"/>
        <v>0</v>
      </c>
      <c r="W926" s="71">
        <f t="shared" si="317"/>
        <v>0</v>
      </c>
      <c r="Y926" s="71">
        <f t="shared" si="318"/>
        <v>0</v>
      </c>
      <c r="AA926" s="71">
        <f t="shared" si="319"/>
        <v>0</v>
      </c>
      <c r="AC926" s="71">
        <f t="shared" si="320"/>
        <v>0</v>
      </c>
      <c r="AK926" s="71">
        <f t="shared" si="321"/>
        <v>0</v>
      </c>
      <c r="AM926" s="71">
        <f t="shared" si="322"/>
        <v>0</v>
      </c>
      <c r="AO926" s="71">
        <f t="shared" si="323"/>
        <v>0</v>
      </c>
      <c r="AQ926" s="71">
        <f t="shared" si="324"/>
        <v>0</v>
      </c>
      <c r="AT926" s="71">
        <f t="shared" si="325"/>
        <v>0</v>
      </c>
      <c r="AV926" s="71">
        <f t="shared" si="326"/>
        <v>0</v>
      </c>
      <c r="AX926" s="71">
        <f t="shared" si="327"/>
        <v>0</v>
      </c>
      <c r="AZ926" s="71">
        <f t="shared" si="328"/>
        <v>0</v>
      </c>
      <c r="BE926" s="81">
        <f t="shared" si="329"/>
        <v>0</v>
      </c>
      <c r="BF926" s="81" t="str">
        <f t="shared" si="330"/>
        <v>BASSO</v>
      </c>
    </row>
    <row r="927" spans="7:58" x14ac:dyDescent="0.15">
      <c r="G927" s="64">
        <f t="shared" si="309"/>
        <v>0</v>
      </c>
      <c r="I927" s="64">
        <f t="shared" si="310"/>
        <v>0</v>
      </c>
      <c r="K927" s="64">
        <f t="shared" si="311"/>
        <v>0</v>
      </c>
      <c r="M927" s="64">
        <f t="shared" si="312"/>
        <v>0</v>
      </c>
      <c r="O927" s="64">
        <f t="shared" si="313"/>
        <v>0</v>
      </c>
      <c r="Q927" s="64">
        <f t="shared" si="314"/>
        <v>0</v>
      </c>
      <c r="S927" s="71">
        <f t="shared" si="315"/>
        <v>0</v>
      </c>
      <c r="U927" s="64">
        <f t="shared" si="316"/>
        <v>0</v>
      </c>
      <c r="W927" s="71">
        <f t="shared" si="317"/>
        <v>0</v>
      </c>
      <c r="Y927" s="71">
        <f t="shared" si="318"/>
        <v>0</v>
      </c>
      <c r="AA927" s="71">
        <f t="shared" si="319"/>
        <v>0</v>
      </c>
      <c r="AC927" s="71">
        <f t="shared" si="320"/>
        <v>0</v>
      </c>
      <c r="AK927" s="71">
        <f t="shared" si="321"/>
        <v>0</v>
      </c>
      <c r="AM927" s="71">
        <f t="shared" si="322"/>
        <v>0</v>
      </c>
      <c r="AO927" s="71">
        <f t="shared" si="323"/>
        <v>0</v>
      </c>
      <c r="AQ927" s="71">
        <f t="shared" si="324"/>
        <v>0</v>
      </c>
      <c r="AT927" s="71">
        <f t="shared" si="325"/>
        <v>0</v>
      </c>
      <c r="AV927" s="71">
        <f t="shared" si="326"/>
        <v>0</v>
      </c>
      <c r="AX927" s="71">
        <f t="shared" si="327"/>
        <v>0</v>
      </c>
      <c r="AZ927" s="71">
        <f t="shared" si="328"/>
        <v>0</v>
      </c>
      <c r="BE927" s="81">
        <f t="shared" si="329"/>
        <v>0</v>
      </c>
      <c r="BF927" s="81" t="str">
        <f t="shared" si="330"/>
        <v>BASSO</v>
      </c>
    </row>
    <row r="928" spans="7:58" x14ac:dyDescent="0.15">
      <c r="G928" s="64">
        <f t="shared" si="309"/>
        <v>0</v>
      </c>
      <c r="I928" s="64">
        <f t="shared" si="310"/>
        <v>0</v>
      </c>
      <c r="K928" s="64">
        <f t="shared" si="311"/>
        <v>0</v>
      </c>
      <c r="M928" s="64">
        <f t="shared" si="312"/>
        <v>0</v>
      </c>
      <c r="O928" s="64">
        <f t="shared" si="313"/>
        <v>0</v>
      </c>
      <c r="Q928" s="64">
        <f t="shared" si="314"/>
        <v>0</v>
      </c>
      <c r="S928" s="71">
        <f t="shared" si="315"/>
        <v>0</v>
      </c>
      <c r="U928" s="64">
        <f t="shared" si="316"/>
        <v>0</v>
      </c>
      <c r="W928" s="71">
        <f t="shared" si="317"/>
        <v>0</v>
      </c>
      <c r="Y928" s="71">
        <f t="shared" si="318"/>
        <v>0</v>
      </c>
      <c r="AA928" s="71">
        <f t="shared" si="319"/>
        <v>0</v>
      </c>
      <c r="AC928" s="71">
        <f t="shared" si="320"/>
        <v>0</v>
      </c>
      <c r="AK928" s="71">
        <f t="shared" si="321"/>
        <v>0</v>
      </c>
      <c r="AM928" s="71">
        <f t="shared" si="322"/>
        <v>0</v>
      </c>
      <c r="AO928" s="71">
        <f t="shared" si="323"/>
        <v>0</v>
      </c>
      <c r="AQ928" s="71">
        <f t="shared" si="324"/>
        <v>0</v>
      </c>
      <c r="AT928" s="71">
        <f t="shared" si="325"/>
        <v>0</v>
      </c>
      <c r="AV928" s="71">
        <f t="shared" si="326"/>
        <v>0</v>
      </c>
      <c r="AX928" s="71">
        <f t="shared" si="327"/>
        <v>0</v>
      </c>
      <c r="AZ928" s="71">
        <f t="shared" si="328"/>
        <v>0</v>
      </c>
      <c r="BE928" s="81">
        <f t="shared" si="329"/>
        <v>0</v>
      </c>
      <c r="BF928" s="81" t="str">
        <f t="shared" si="330"/>
        <v>BASSO</v>
      </c>
    </row>
    <row r="929" spans="7:58" x14ac:dyDescent="0.15">
      <c r="G929" s="64">
        <f t="shared" si="309"/>
        <v>0</v>
      </c>
      <c r="I929" s="64">
        <f t="shared" si="310"/>
        <v>0</v>
      </c>
      <c r="K929" s="64">
        <f t="shared" si="311"/>
        <v>0</v>
      </c>
      <c r="M929" s="64">
        <f t="shared" si="312"/>
        <v>0</v>
      </c>
      <c r="O929" s="64">
        <f t="shared" si="313"/>
        <v>0</v>
      </c>
      <c r="Q929" s="64">
        <f t="shared" si="314"/>
        <v>0</v>
      </c>
      <c r="S929" s="71">
        <f t="shared" si="315"/>
        <v>0</v>
      </c>
      <c r="U929" s="64">
        <f t="shared" si="316"/>
        <v>0</v>
      </c>
      <c r="W929" s="71">
        <f t="shared" si="317"/>
        <v>0</v>
      </c>
      <c r="Y929" s="71">
        <f t="shared" si="318"/>
        <v>0</v>
      </c>
      <c r="AA929" s="71">
        <f t="shared" si="319"/>
        <v>0</v>
      </c>
      <c r="AC929" s="71">
        <f t="shared" si="320"/>
        <v>0</v>
      </c>
      <c r="AK929" s="71">
        <f t="shared" si="321"/>
        <v>0</v>
      </c>
      <c r="AM929" s="71">
        <f t="shared" si="322"/>
        <v>0</v>
      </c>
      <c r="AO929" s="71">
        <f t="shared" si="323"/>
        <v>0</v>
      </c>
      <c r="AQ929" s="71">
        <f t="shared" si="324"/>
        <v>0</v>
      </c>
      <c r="AT929" s="71">
        <f t="shared" si="325"/>
        <v>0</v>
      </c>
      <c r="AV929" s="71">
        <f t="shared" si="326"/>
        <v>0</v>
      </c>
      <c r="AX929" s="71">
        <f t="shared" si="327"/>
        <v>0</v>
      </c>
      <c r="AZ929" s="71">
        <f t="shared" si="328"/>
        <v>0</v>
      </c>
      <c r="BE929" s="81">
        <f t="shared" si="329"/>
        <v>0</v>
      </c>
      <c r="BF929" s="81" t="str">
        <f t="shared" si="330"/>
        <v>BASSO</v>
      </c>
    </row>
    <row r="930" spans="7:58" x14ac:dyDescent="0.15">
      <c r="G930" s="64">
        <f t="shared" si="309"/>
        <v>0</v>
      </c>
      <c r="I930" s="64">
        <f t="shared" si="310"/>
        <v>0</v>
      </c>
      <c r="K930" s="64">
        <f t="shared" si="311"/>
        <v>0</v>
      </c>
      <c r="M930" s="64">
        <f t="shared" si="312"/>
        <v>0</v>
      </c>
      <c r="O930" s="64">
        <f t="shared" si="313"/>
        <v>0</v>
      </c>
      <c r="Q930" s="64">
        <f t="shared" si="314"/>
        <v>0</v>
      </c>
      <c r="S930" s="71">
        <f t="shared" si="315"/>
        <v>0</v>
      </c>
      <c r="U930" s="64">
        <f t="shared" si="316"/>
        <v>0</v>
      </c>
      <c r="W930" s="71">
        <f t="shared" si="317"/>
        <v>0</v>
      </c>
      <c r="Y930" s="71">
        <f t="shared" si="318"/>
        <v>0</v>
      </c>
      <c r="AA930" s="71">
        <f t="shared" si="319"/>
        <v>0</v>
      </c>
      <c r="AC930" s="71">
        <f t="shared" si="320"/>
        <v>0</v>
      </c>
      <c r="AK930" s="71">
        <f t="shared" si="321"/>
        <v>0</v>
      </c>
      <c r="AM930" s="71">
        <f t="shared" si="322"/>
        <v>0</v>
      </c>
      <c r="AO930" s="71">
        <f t="shared" si="323"/>
        <v>0</v>
      </c>
      <c r="AQ930" s="71">
        <f t="shared" si="324"/>
        <v>0</v>
      </c>
      <c r="AT930" s="71">
        <f t="shared" si="325"/>
        <v>0</v>
      </c>
      <c r="AV930" s="71">
        <f t="shared" si="326"/>
        <v>0</v>
      </c>
      <c r="AX930" s="71">
        <f t="shared" si="327"/>
        <v>0</v>
      </c>
      <c r="AZ930" s="71">
        <f t="shared" si="328"/>
        <v>0</v>
      </c>
      <c r="BE930" s="81">
        <f t="shared" si="329"/>
        <v>0</v>
      </c>
      <c r="BF930" s="81" t="str">
        <f t="shared" si="330"/>
        <v>BASSO</v>
      </c>
    </row>
    <row r="931" spans="7:58" x14ac:dyDescent="0.15">
      <c r="G931" s="64">
        <f t="shared" si="309"/>
        <v>0</v>
      </c>
      <c r="I931" s="64">
        <f t="shared" si="310"/>
        <v>0</v>
      </c>
      <c r="K931" s="64">
        <f t="shared" si="311"/>
        <v>0</v>
      </c>
      <c r="M931" s="64">
        <f t="shared" si="312"/>
        <v>0</v>
      </c>
      <c r="O931" s="64">
        <f t="shared" si="313"/>
        <v>0</v>
      </c>
      <c r="Q931" s="64">
        <f t="shared" si="314"/>
        <v>0</v>
      </c>
      <c r="S931" s="71">
        <f t="shared" si="315"/>
        <v>0</v>
      </c>
      <c r="U931" s="64">
        <f t="shared" si="316"/>
        <v>0</v>
      </c>
      <c r="W931" s="71">
        <f t="shared" si="317"/>
        <v>0</v>
      </c>
      <c r="Y931" s="71">
        <f t="shared" si="318"/>
        <v>0</v>
      </c>
      <c r="AA931" s="71">
        <f t="shared" si="319"/>
        <v>0</v>
      </c>
      <c r="AC931" s="71">
        <f t="shared" si="320"/>
        <v>0</v>
      </c>
      <c r="AK931" s="71">
        <f t="shared" si="321"/>
        <v>0</v>
      </c>
      <c r="AM931" s="71">
        <f t="shared" si="322"/>
        <v>0</v>
      </c>
      <c r="AO931" s="71">
        <f t="shared" si="323"/>
        <v>0</v>
      </c>
      <c r="AQ931" s="71">
        <f t="shared" si="324"/>
        <v>0</v>
      </c>
      <c r="AT931" s="71">
        <f t="shared" si="325"/>
        <v>0</v>
      </c>
      <c r="AV931" s="71">
        <f t="shared" si="326"/>
        <v>0</v>
      </c>
      <c r="AX931" s="71">
        <f t="shared" si="327"/>
        <v>0</v>
      </c>
      <c r="AZ931" s="71">
        <f t="shared" si="328"/>
        <v>0</v>
      </c>
      <c r="BE931" s="81">
        <f t="shared" si="329"/>
        <v>0</v>
      </c>
      <c r="BF931" s="81" t="str">
        <f t="shared" si="330"/>
        <v>BASSO</v>
      </c>
    </row>
    <row r="932" spans="7:58" x14ac:dyDescent="0.15">
      <c r="G932" s="64">
        <f t="shared" si="309"/>
        <v>0</v>
      </c>
      <c r="I932" s="64">
        <f t="shared" si="310"/>
        <v>0</v>
      </c>
      <c r="K932" s="64">
        <f t="shared" si="311"/>
        <v>0</v>
      </c>
      <c r="M932" s="64">
        <f t="shared" si="312"/>
        <v>0</v>
      </c>
      <c r="O932" s="64">
        <f t="shared" si="313"/>
        <v>0</v>
      </c>
      <c r="Q932" s="64">
        <f t="shared" si="314"/>
        <v>0</v>
      </c>
      <c r="S932" s="71">
        <f t="shared" si="315"/>
        <v>0</v>
      </c>
      <c r="U932" s="64">
        <f t="shared" si="316"/>
        <v>0</v>
      </c>
      <c r="W932" s="71">
        <f t="shared" si="317"/>
        <v>0</v>
      </c>
      <c r="Y932" s="71">
        <f t="shared" si="318"/>
        <v>0</v>
      </c>
      <c r="AA932" s="71">
        <f t="shared" si="319"/>
        <v>0</v>
      </c>
      <c r="AC932" s="71">
        <f t="shared" si="320"/>
        <v>0</v>
      </c>
      <c r="AK932" s="71">
        <f t="shared" si="321"/>
        <v>0</v>
      </c>
      <c r="AM932" s="71">
        <f t="shared" si="322"/>
        <v>0</v>
      </c>
      <c r="AO932" s="71">
        <f t="shared" si="323"/>
        <v>0</v>
      </c>
      <c r="AQ932" s="71">
        <f t="shared" si="324"/>
        <v>0</v>
      </c>
      <c r="AT932" s="71">
        <f t="shared" si="325"/>
        <v>0</v>
      </c>
      <c r="AV932" s="71">
        <f t="shared" si="326"/>
        <v>0</v>
      </c>
      <c r="AX932" s="71">
        <f t="shared" si="327"/>
        <v>0</v>
      </c>
      <c r="AZ932" s="71">
        <f t="shared" si="328"/>
        <v>0</v>
      </c>
      <c r="BE932" s="81">
        <f t="shared" si="329"/>
        <v>0</v>
      </c>
      <c r="BF932" s="81" t="str">
        <f t="shared" si="330"/>
        <v>BASSO</v>
      </c>
    </row>
    <row r="933" spans="7:58" x14ac:dyDescent="0.15">
      <c r="G933" s="64">
        <f t="shared" si="309"/>
        <v>0</v>
      </c>
      <c r="I933" s="64">
        <f t="shared" si="310"/>
        <v>0</v>
      </c>
      <c r="K933" s="64">
        <f t="shared" si="311"/>
        <v>0</v>
      </c>
      <c r="M933" s="64">
        <f t="shared" si="312"/>
        <v>0</v>
      </c>
      <c r="O933" s="64">
        <f t="shared" si="313"/>
        <v>0</v>
      </c>
      <c r="Q933" s="64">
        <f t="shared" si="314"/>
        <v>0</v>
      </c>
      <c r="S933" s="71">
        <f t="shared" si="315"/>
        <v>0</v>
      </c>
      <c r="U933" s="64">
        <f t="shared" si="316"/>
        <v>0</v>
      </c>
      <c r="W933" s="71">
        <f t="shared" si="317"/>
        <v>0</v>
      </c>
      <c r="Y933" s="71">
        <f t="shared" si="318"/>
        <v>0</v>
      </c>
      <c r="AA933" s="71">
        <f t="shared" si="319"/>
        <v>0</v>
      </c>
      <c r="AC933" s="71">
        <f t="shared" si="320"/>
        <v>0</v>
      </c>
      <c r="AK933" s="71">
        <f t="shared" si="321"/>
        <v>0</v>
      </c>
      <c r="AM933" s="71">
        <f t="shared" si="322"/>
        <v>0</v>
      </c>
      <c r="AO933" s="71">
        <f t="shared" si="323"/>
        <v>0</v>
      </c>
      <c r="AQ933" s="71">
        <f t="shared" si="324"/>
        <v>0</v>
      </c>
      <c r="AT933" s="71">
        <f t="shared" si="325"/>
        <v>0</v>
      </c>
      <c r="AV933" s="71">
        <f t="shared" si="326"/>
        <v>0</v>
      </c>
      <c r="AX933" s="71">
        <f t="shared" si="327"/>
        <v>0</v>
      </c>
      <c r="AZ933" s="71">
        <f t="shared" si="328"/>
        <v>0</v>
      </c>
      <c r="BE933" s="81">
        <f t="shared" si="329"/>
        <v>0</v>
      </c>
      <c r="BF933" s="81" t="str">
        <f t="shared" si="330"/>
        <v>BASSO</v>
      </c>
    </row>
    <row r="934" spans="7:58" x14ac:dyDescent="0.15">
      <c r="G934" s="64">
        <f t="shared" si="309"/>
        <v>0</v>
      </c>
      <c r="I934" s="64">
        <f t="shared" si="310"/>
        <v>0</v>
      </c>
      <c r="K934" s="64">
        <f t="shared" si="311"/>
        <v>0</v>
      </c>
      <c r="M934" s="64">
        <f t="shared" si="312"/>
        <v>0</v>
      </c>
      <c r="O934" s="64">
        <f t="shared" si="313"/>
        <v>0</v>
      </c>
      <c r="Q934" s="64">
        <f t="shared" si="314"/>
        <v>0</v>
      </c>
      <c r="S934" s="71">
        <f t="shared" si="315"/>
        <v>0</v>
      </c>
      <c r="U934" s="64">
        <f t="shared" si="316"/>
        <v>0</v>
      </c>
      <c r="W934" s="71">
        <f t="shared" si="317"/>
        <v>0</v>
      </c>
      <c r="Y934" s="71">
        <f t="shared" si="318"/>
        <v>0</v>
      </c>
      <c r="AA934" s="71">
        <f t="shared" si="319"/>
        <v>0</v>
      </c>
      <c r="AC934" s="71">
        <f t="shared" si="320"/>
        <v>0</v>
      </c>
      <c r="AK934" s="71">
        <f t="shared" si="321"/>
        <v>0</v>
      </c>
      <c r="AM934" s="71">
        <f t="shared" si="322"/>
        <v>0</v>
      </c>
      <c r="AO934" s="71">
        <f t="shared" si="323"/>
        <v>0</v>
      </c>
      <c r="AQ934" s="71">
        <f t="shared" si="324"/>
        <v>0</v>
      </c>
      <c r="AT934" s="71">
        <f t="shared" si="325"/>
        <v>0</v>
      </c>
      <c r="AV934" s="71">
        <f t="shared" si="326"/>
        <v>0</v>
      </c>
      <c r="AX934" s="71">
        <f t="shared" si="327"/>
        <v>0</v>
      </c>
      <c r="AZ934" s="71">
        <f t="shared" si="328"/>
        <v>0</v>
      </c>
      <c r="BE934" s="81">
        <f t="shared" si="329"/>
        <v>0</v>
      </c>
      <c r="BF934" s="81" t="str">
        <f t="shared" si="330"/>
        <v>BASSO</v>
      </c>
    </row>
    <row r="935" spans="7:58" x14ac:dyDescent="0.15">
      <c r="G935" s="64">
        <f t="shared" si="309"/>
        <v>0</v>
      </c>
      <c r="I935" s="64">
        <f t="shared" si="310"/>
        <v>0</v>
      </c>
      <c r="K935" s="64">
        <f t="shared" si="311"/>
        <v>0</v>
      </c>
      <c r="M935" s="64">
        <f t="shared" si="312"/>
        <v>0</v>
      </c>
      <c r="O935" s="64">
        <f t="shared" si="313"/>
        <v>0</v>
      </c>
      <c r="Q935" s="64">
        <f t="shared" si="314"/>
        <v>0</v>
      </c>
      <c r="S935" s="71">
        <f t="shared" si="315"/>
        <v>0</v>
      </c>
      <c r="U935" s="64">
        <f t="shared" si="316"/>
        <v>0</v>
      </c>
      <c r="W935" s="71">
        <f t="shared" si="317"/>
        <v>0</v>
      </c>
      <c r="Y935" s="71">
        <f t="shared" si="318"/>
        <v>0</v>
      </c>
      <c r="AA935" s="71">
        <f t="shared" si="319"/>
        <v>0</v>
      </c>
      <c r="AC935" s="71">
        <f t="shared" si="320"/>
        <v>0</v>
      </c>
      <c r="AK935" s="71">
        <f t="shared" si="321"/>
        <v>0</v>
      </c>
      <c r="AM935" s="71">
        <f t="shared" si="322"/>
        <v>0</v>
      </c>
      <c r="AO935" s="71">
        <f t="shared" si="323"/>
        <v>0</v>
      </c>
      <c r="AQ935" s="71">
        <f t="shared" si="324"/>
        <v>0</v>
      </c>
      <c r="AT935" s="71">
        <f t="shared" si="325"/>
        <v>0</v>
      </c>
      <c r="AV935" s="71">
        <f t="shared" si="326"/>
        <v>0</v>
      </c>
      <c r="AX935" s="71">
        <f t="shared" si="327"/>
        <v>0</v>
      </c>
      <c r="AZ935" s="71">
        <f t="shared" si="328"/>
        <v>0</v>
      </c>
      <c r="BE935" s="81">
        <f t="shared" si="329"/>
        <v>0</v>
      </c>
      <c r="BF935" s="81" t="str">
        <f t="shared" si="330"/>
        <v>BASSO</v>
      </c>
    </row>
    <row r="936" spans="7:58" x14ac:dyDescent="0.15">
      <c r="G936" s="64">
        <f t="shared" si="309"/>
        <v>0</v>
      </c>
      <c r="I936" s="64">
        <f t="shared" si="310"/>
        <v>0</v>
      </c>
      <c r="K936" s="64">
        <f t="shared" si="311"/>
        <v>0</v>
      </c>
      <c r="M936" s="64">
        <f t="shared" si="312"/>
        <v>0</v>
      </c>
      <c r="O936" s="64">
        <f t="shared" si="313"/>
        <v>0</v>
      </c>
      <c r="Q936" s="64">
        <f t="shared" si="314"/>
        <v>0</v>
      </c>
      <c r="S936" s="71">
        <f t="shared" si="315"/>
        <v>0</v>
      </c>
      <c r="U936" s="64">
        <f t="shared" si="316"/>
        <v>0</v>
      </c>
      <c r="W936" s="71">
        <f t="shared" si="317"/>
        <v>0</v>
      </c>
      <c r="Y936" s="71">
        <f t="shared" si="318"/>
        <v>0</v>
      </c>
      <c r="AA936" s="71">
        <f t="shared" si="319"/>
        <v>0</v>
      </c>
      <c r="AC936" s="71">
        <f t="shared" si="320"/>
        <v>0</v>
      </c>
      <c r="AK936" s="71">
        <f t="shared" si="321"/>
        <v>0</v>
      </c>
      <c r="AM936" s="71">
        <f t="shared" si="322"/>
        <v>0</v>
      </c>
      <c r="AO936" s="71">
        <f t="shared" si="323"/>
        <v>0</v>
      </c>
      <c r="AQ936" s="71">
        <f t="shared" si="324"/>
        <v>0</v>
      </c>
      <c r="AT936" s="71">
        <f t="shared" si="325"/>
        <v>0</v>
      </c>
      <c r="AV936" s="71">
        <f t="shared" si="326"/>
        <v>0</v>
      </c>
      <c r="AX936" s="71">
        <f t="shared" si="327"/>
        <v>0</v>
      </c>
      <c r="AZ936" s="71">
        <f t="shared" si="328"/>
        <v>0</v>
      </c>
      <c r="BE936" s="81">
        <f t="shared" si="329"/>
        <v>0</v>
      </c>
      <c r="BF936" s="81" t="str">
        <f t="shared" si="330"/>
        <v>BASSO</v>
      </c>
    </row>
    <row r="937" spans="7:58" x14ac:dyDescent="0.15">
      <c r="G937" s="64">
        <f t="shared" si="309"/>
        <v>0</v>
      </c>
      <c r="I937" s="64">
        <f t="shared" si="310"/>
        <v>0</v>
      </c>
      <c r="K937" s="64">
        <f t="shared" si="311"/>
        <v>0</v>
      </c>
      <c r="M937" s="64">
        <f t="shared" si="312"/>
        <v>0</v>
      </c>
      <c r="O937" s="64">
        <f t="shared" si="313"/>
        <v>0</v>
      </c>
      <c r="Q937" s="64">
        <f t="shared" si="314"/>
        <v>0</v>
      </c>
      <c r="S937" s="71">
        <f t="shared" si="315"/>
        <v>0</v>
      </c>
      <c r="U937" s="64">
        <f t="shared" si="316"/>
        <v>0</v>
      </c>
      <c r="W937" s="71">
        <f t="shared" si="317"/>
        <v>0</v>
      </c>
      <c r="Y937" s="71">
        <f t="shared" si="318"/>
        <v>0</v>
      </c>
      <c r="AA937" s="71">
        <f t="shared" si="319"/>
        <v>0</v>
      </c>
      <c r="AC937" s="71">
        <f t="shared" si="320"/>
        <v>0</v>
      </c>
      <c r="AK937" s="71">
        <f t="shared" si="321"/>
        <v>0</v>
      </c>
      <c r="AM937" s="71">
        <f t="shared" si="322"/>
        <v>0</v>
      </c>
      <c r="AO937" s="71">
        <f t="shared" si="323"/>
        <v>0</v>
      </c>
      <c r="AQ937" s="71">
        <f t="shared" si="324"/>
        <v>0</v>
      </c>
      <c r="AT937" s="71">
        <f t="shared" si="325"/>
        <v>0</v>
      </c>
      <c r="AV937" s="71">
        <f t="shared" si="326"/>
        <v>0</v>
      </c>
      <c r="AX937" s="71">
        <f t="shared" si="327"/>
        <v>0</v>
      </c>
      <c r="AZ937" s="71">
        <f t="shared" si="328"/>
        <v>0</v>
      </c>
      <c r="BE937" s="81">
        <f t="shared" si="329"/>
        <v>0</v>
      </c>
      <c r="BF937" s="81" t="str">
        <f t="shared" si="330"/>
        <v>BASSO</v>
      </c>
    </row>
    <row r="938" spans="7:58" x14ac:dyDescent="0.15">
      <c r="G938" s="64">
        <f t="shared" si="309"/>
        <v>0</v>
      </c>
      <c r="I938" s="64">
        <f t="shared" si="310"/>
        <v>0</v>
      </c>
      <c r="K938" s="64">
        <f t="shared" si="311"/>
        <v>0</v>
      </c>
      <c r="M938" s="64">
        <f t="shared" si="312"/>
        <v>0</v>
      </c>
      <c r="O938" s="64">
        <f t="shared" si="313"/>
        <v>0</v>
      </c>
      <c r="Q938" s="64">
        <f t="shared" si="314"/>
        <v>0</v>
      </c>
      <c r="S938" s="71">
        <f t="shared" si="315"/>
        <v>0</v>
      </c>
      <c r="U938" s="64">
        <f t="shared" si="316"/>
        <v>0</v>
      </c>
      <c r="W938" s="71">
        <f t="shared" si="317"/>
        <v>0</v>
      </c>
      <c r="Y938" s="71">
        <f t="shared" si="318"/>
        <v>0</v>
      </c>
      <c r="AA938" s="71">
        <f t="shared" si="319"/>
        <v>0</v>
      </c>
      <c r="AC938" s="71">
        <f t="shared" si="320"/>
        <v>0</v>
      </c>
      <c r="AK938" s="71">
        <f t="shared" si="321"/>
        <v>0</v>
      </c>
      <c r="AM938" s="71">
        <f t="shared" si="322"/>
        <v>0</v>
      </c>
      <c r="AO938" s="71">
        <f t="shared" si="323"/>
        <v>0</v>
      </c>
      <c r="AQ938" s="71">
        <f t="shared" si="324"/>
        <v>0</v>
      </c>
      <c r="AT938" s="71">
        <f t="shared" si="325"/>
        <v>0</v>
      </c>
      <c r="AV938" s="71">
        <f t="shared" si="326"/>
        <v>0</v>
      </c>
      <c r="AX938" s="71">
        <f t="shared" si="327"/>
        <v>0</v>
      </c>
      <c r="AZ938" s="71">
        <f t="shared" si="328"/>
        <v>0</v>
      </c>
      <c r="BE938" s="81">
        <f t="shared" si="329"/>
        <v>0</v>
      </c>
      <c r="BF938" s="81" t="str">
        <f t="shared" si="330"/>
        <v>BASSO</v>
      </c>
    </row>
    <row r="939" spans="7:58" x14ac:dyDescent="0.15">
      <c r="G939" s="64">
        <f t="shared" si="309"/>
        <v>0</v>
      </c>
      <c r="I939" s="64">
        <f t="shared" si="310"/>
        <v>0</v>
      </c>
      <c r="K939" s="64">
        <f t="shared" si="311"/>
        <v>0</v>
      </c>
      <c r="M939" s="64">
        <f t="shared" si="312"/>
        <v>0</v>
      </c>
      <c r="O939" s="64">
        <f t="shared" si="313"/>
        <v>0</v>
      </c>
      <c r="Q939" s="64">
        <f t="shared" si="314"/>
        <v>0</v>
      </c>
      <c r="S939" s="71">
        <f t="shared" si="315"/>
        <v>0</v>
      </c>
      <c r="U939" s="64">
        <f t="shared" si="316"/>
        <v>0</v>
      </c>
      <c r="W939" s="71">
        <f t="shared" si="317"/>
        <v>0</v>
      </c>
      <c r="Y939" s="71">
        <f t="shared" si="318"/>
        <v>0</v>
      </c>
      <c r="AA939" s="71">
        <f t="shared" si="319"/>
        <v>0</v>
      </c>
      <c r="AC939" s="71">
        <f t="shared" si="320"/>
        <v>0</v>
      </c>
      <c r="AK939" s="71">
        <f t="shared" si="321"/>
        <v>0</v>
      </c>
      <c r="AM939" s="71">
        <f t="shared" si="322"/>
        <v>0</v>
      </c>
      <c r="AO939" s="71">
        <f t="shared" si="323"/>
        <v>0</v>
      </c>
      <c r="AQ939" s="71">
        <f t="shared" si="324"/>
        <v>0</v>
      </c>
      <c r="AT939" s="71">
        <f t="shared" si="325"/>
        <v>0</v>
      </c>
      <c r="AV939" s="71">
        <f t="shared" si="326"/>
        <v>0</v>
      </c>
      <c r="AX939" s="71">
        <f t="shared" si="327"/>
        <v>0</v>
      </c>
      <c r="AZ939" s="71">
        <f t="shared" si="328"/>
        <v>0</v>
      </c>
      <c r="BE939" s="81">
        <f t="shared" si="329"/>
        <v>0</v>
      </c>
      <c r="BF939" s="81" t="str">
        <f t="shared" si="330"/>
        <v>BASSO</v>
      </c>
    </row>
    <row r="940" spans="7:58" x14ac:dyDescent="0.15">
      <c r="G940" s="64">
        <f t="shared" si="309"/>
        <v>0</v>
      </c>
      <c r="I940" s="64">
        <f t="shared" si="310"/>
        <v>0</v>
      </c>
      <c r="K940" s="64">
        <f t="shared" si="311"/>
        <v>0</v>
      </c>
      <c r="M940" s="64">
        <f t="shared" si="312"/>
        <v>0</v>
      </c>
      <c r="O940" s="64">
        <f t="shared" si="313"/>
        <v>0</v>
      </c>
      <c r="Q940" s="64">
        <f t="shared" si="314"/>
        <v>0</v>
      </c>
      <c r="S940" s="71">
        <f t="shared" si="315"/>
        <v>0</v>
      </c>
      <c r="U940" s="64">
        <f t="shared" si="316"/>
        <v>0</v>
      </c>
      <c r="W940" s="71">
        <f t="shared" si="317"/>
        <v>0</v>
      </c>
      <c r="Y940" s="71">
        <f t="shared" si="318"/>
        <v>0</v>
      </c>
      <c r="AA940" s="71">
        <f t="shared" si="319"/>
        <v>0</v>
      </c>
      <c r="AC940" s="71">
        <f t="shared" si="320"/>
        <v>0</v>
      </c>
      <c r="AK940" s="71">
        <f t="shared" si="321"/>
        <v>0</v>
      </c>
      <c r="AM940" s="71">
        <f t="shared" si="322"/>
        <v>0</v>
      </c>
      <c r="AO940" s="71">
        <f t="shared" si="323"/>
        <v>0</v>
      </c>
      <c r="AQ940" s="71">
        <f t="shared" si="324"/>
        <v>0</v>
      </c>
      <c r="AT940" s="71">
        <f t="shared" si="325"/>
        <v>0</v>
      </c>
      <c r="AV940" s="71">
        <f t="shared" si="326"/>
        <v>0</v>
      </c>
      <c r="AX940" s="71">
        <f t="shared" si="327"/>
        <v>0</v>
      </c>
      <c r="AZ940" s="71">
        <f t="shared" si="328"/>
        <v>0</v>
      </c>
      <c r="BE940" s="81">
        <f t="shared" si="329"/>
        <v>0</v>
      </c>
      <c r="BF940" s="81" t="str">
        <f t="shared" si="330"/>
        <v>BASSO</v>
      </c>
    </row>
    <row r="941" spans="7:58" x14ac:dyDescent="0.15">
      <c r="G941" s="64">
        <f t="shared" si="309"/>
        <v>0</v>
      </c>
      <c r="I941" s="64">
        <f t="shared" si="310"/>
        <v>0</v>
      </c>
      <c r="K941" s="64">
        <f t="shared" si="311"/>
        <v>0</v>
      </c>
      <c r="M941" s="64">
        <f t="shared" si="312"/>
        <v>0</v>
      </c>
      <c r="O941" s="64">
        <f t="shared" si="313"/>
        <v>0</v>
      </c>
      <c r="Q941" s="64">
        <f t="shared" si="314"/>
        <v>0</v>
      </c>
      <c r="S941" s="71">
        <f t="shared" si="315"/>
        <v>0</v>
      </c>
      <c r="U941" s="64">
        <f t="shared" si="316"/>
        <v>0</v>
      </c>
      <c r="W941" s="71">
        <f t="shared" si="317"/>
        <v>0</v>
      </c>
      <c r="Y941" s="71">
        <f t="shared" si="318"/>
        <v>0</v>
      </c>
      <c r="AA941" s="71">
        <f t="shared" si="319"/>
        <v>0</v>
      </c>
      <c r="AC941" s="71">
        <f t="shared" si="320"/>
        <v>0</v>
      </c>
      <c r="AK941" s="71">
        <f t="shared" si="321"/>
        <v>0</v>
      </c>
      <c r="AM941" s="71">
        <f t="shared" si="322"/>
        <v>0</v>
      </c>
      <c r="AO941" s="71">
        <f t="shared" si="323"/>
        <v>0</v>
      </c>
      <c r="AQ941" s="71">
        <f t="shared" si="324"/>
        <v>0</v>
      </c>
      <c r="AT941" s="71">
        <f t="shared" si="325"/>
        <v>0</v>
      </c>
      <c r="AV941" s="71">
        <f t="shared" si="326"/>
        <v>0</v>
      </c>
      <c r="AX941" s="71">
        <f t="shared" si="327"/>
        <v>0</v>
      </c>
      <c r="AZ941" s="71">
        <f t="shared" si="328"/>
        <v>0</v>
      </c>
      <c r="BE941" s="81">
        <f t="shared" si="329"/>
        <v>0</v>
      </c>
      <c r="BF941" s="81" t="str">
        <f t="shared" si="330"/>
        <v>BASSO</v>
      </c>
    </row>
    <row r="942" spans="7:58" x14ac:dyDescent="0.15">
      <c r="G942" s="64">
        <f t="shared" si="309"/>
        <v>0</v>
      </c>
      <c r="I942" s="64">
        <f t="shared" si="310"/>
        <v>0</v>
      </c>
      <c r="K942" s="64">
        <f t="shared" si="311"/>
        <v>0</v>
      </c>
      <c r="M942" s="64">
        <f t="shared" si="312"/>
        <v>0</v>
      </c>
      <c r="O942" s="64">
        <f t="shared" si="313"/>
        <v>0</v>
      </c>
      <c r="Q942" s="64">
        <f t="shared" si="314"/>
        <v>0</v>
      </c>
      <c r="S942" s="71">
        <f t="shared" si="315"/>
        <v>0</v>
      </c>
      <c r="U942" s="64">
        <f t="shared" si="316"/>
        <v>0</v>
      </c>
      <c r="W942" s="71">
        <f t="shared" si="317"/>
        <v>0</v>
      </c>
      <c r="Y942" s="71">
        <f t="shared" si="318"/>
        <v>0</v>
      </c>
      <c r="AA942" s="71">
        <f t="shared" si="319"/>
        <v>0</v>
      </c>
      <c r="AC942" s="71">
        <f t="shared" si="320"/>
        <v>0</v>
      </c>
      <c r="AK942" s="71">
        <f t="shared" si="321"/>
        <v>0</v>
      </c>
      <c r="AM942" s="71">
        <f t="shared" si="322"/>
        <v>0</v>
      </c>
      <c r="AO942" s="71">
        <f t="shared" si="323"/>
        <v>0</v>
      </c>
      <c r="AQ942" s="71">
        <f t="shared" si="324"/>
        <v>0</v>
      </c>
      <c r="AT942" s="71">
        <f t="shared" si="325"/>
        <v>0</v>
      </c>
      <c r="AV942" s="71">
        <f t="shared" si="326"/>
        <v>0</v>
      </c>
      <c r="AX942" s="71">
        <f t="shared" si="327"/>
        <v>0</v>
      </c>
      <c r="AZ942" s="71">
        <f t="shared" si="328"/>
        <v>0</v>
      </c>
      <c r="BE942" s="81">
        <f t="shared" si="329"/>
        <v>0</v>
      </c>
      <c r="BF942" s="81" t="str">
        <f t="shared" si="330"/>
        <v>BASSO</v>
      </c>
    </row>
    <row r="943" spans="7:58" x14ac:dyDescent="0.15">
      <c r="G943" s="64">
        <f t="shared" si="309"/>
        <v>0</v>
      </c>
      <c r="I943" s="64">
        <f t="shared" si="310"/>
        <v>0</v>
      </c>
      <c r="K943" s="64">
        <f t="shared" si="311"/>
        <v>0</v>
      </c>
      <c r="M943" s="64">
        <f t="shared" si="312"/>
        <v>0</v>
      </c>
      <c r="O943" s="64">
        <f t="shared" si="313"/>
        <v>0</v>
      </c>
      <c r="Q943" s="64">
        <f t="shared" si="314"/>
        <v>0</v>
      </c>
      <c r="S943" s="71">
        <f t="shared" si="315"/>
        <v>0</v>
      </c>
      <c r="U943" s="64">
        <f t="shared" si="316"/>
        <v>0</v>
      </c>
      <c r="W943" s="71">
        <f t="shared" si="317"/>
        <v>0</v>
      </c>
      <c r="Y943" s="71">
        <f t="shared" si="318"/>
        <v>0</v>
      </c>
      <c r="AA943" s="71">
        <f t="shared" si="319"/>
        <v>0</v>
      </c>
      <c r="AC943" s="71">
        <f t="shared" si="320"/>
        <v>0</v>
      </c>
      <c r="AK943" s="71">
        <f t="shared" si="321"/>
        <v>0</v>
      </c>
      <c r="AM943" s="71">
        <f t="shared" si="322"/>
        <v>0</v>
      </c>
      <c r="AO943" s="71">
        <f t="shared" si="323"/>
        <v>0</v>
      </c>
      <c r="AQ943" s="71">
        <f t="shared" si="324"/>
        <v>0</v>
      </c>
      <c r="AT943" s="71">
        <f t="shared" si="325"/>
        <v>0</v>
      </c>
      <c r="AV943" s="71">
        <f t="shared" si="326"/>
        <v>0</v>
      </c>
      <c r="AX943" s="71">
        <f t="shared" si="327"/>
        <v>0</v>
      </c>
      <c r="AZ943" s="71">
        <f t="shared" si="328"/>
        <v>0</v>
      </c>
      <c r="BE943" s="81">
        <f t="shared" si="329"/>
        <v>0</v>
      </c>
      <c r="BF943" s="81" t="str">
        <f t="shared" si="330"/>
        <v>BASSO</v>
      </c>
    </row>
    <row r="944" spans="7:58" x14ac:dyDescent="0.15">
      <c r="G944" s="64">
        <f t="shared" si="309"/>
        <v>0</v>
      </c>
      <c r="I944" s="64">
        <f t="shared" si="310"/>
        <v>0</v>
      </c>
      <c r="K944" s="64">
        <f t="shared" si="311"/>
        <v>0</v>
      </c>
      <c r="M944" s="64">
        <f t="shared" si="312"/>
        <v>0</v>
      </c>
      <c r="O944" s="64">
        <f t="shared" si="313"/>
        <v>0</v>
      </c>
      <c r="Q944" s="64">
        <f t="shared" si="314"/>
        <v>0</v>
      </c>
      <c r="S944" s="71">
        <f t="shared" si="315"/>
        <v>0</v>
      </c>
      <c r="U944" s="64">
        <f t="shared" si="316"/>
        <v>0</v>
      </c>
      <c r="W944" s="71">
        <f t="shared" si="317"/>
        <v>0</v>
      </c>
      <c r="Y944" s="71">
        <f t="shared" si="318"/>
        <v>0</v>
      </c>
      <c r="AA944" s="71">
        <f t="shared" si="319"/>
        <v>0</v>
      </c>
      <c r="AC944" s="71">
        <f t="shared" si="320"/>
        <v>0</v>
      </c>
      <c r="AK944" s="71">
        <f t="shared" si="321"/>
        <v>0</v>
      </c>
      <c r="AM944" s="71">
        <f t="shared" si="322"/>
        <v>0</v>
      </c>
      <c r="AO944" s="71">
        <f t="shared" si="323"/>
        <v>0</v>
      </c>
      <c r="AQ944" s="71">
        <f t="shared" si="324"/>
        <v>0</v>
      </c>
      <c r="AT944" s="71">
        <f t="shared" si="325"/>
        <v>0</v>
      </c>
      <c r="AV944" s="71">
        <f t="shared" si="326"/>
        <v>0</v>
      </c>
      <c r="AX944" s="71">
        <f t="shared" si="327"/>
        <v>0</v>
      </c>
      <c r="AZ944" s="71">
        <f t="shared" si="328"/>
        <v>0</v>
      </c>
      <c r="BE944" s="81">
        <f t="shared" si="329"/>
        <v>0</v>
      </c>
      <c r="BF944" s="81" t="str">
        <f t="shared" si="330"/>
        <v>BASSO</v>
      </c>
    </row>
    <row r="945" spans="7:58" x14ac:dyDescent="0.15">
      <c r="G945" s="64">
        <f t="shared" si="309"/>
        <v>0</v>
      </c>
      <c r="I945" s="64">
        <f t="shared" si="310"/>
        <v>0</v>
      </c>
      <c r="K945" s="64">
        <f t="shared" si="311"/>
        <v>0</v>
      </c>
      <c r="M945" s="64">
        <f t="shared" si="312"/>
        <v>0</v>
      </c>
      <c r="O945" s="64">
        <f t="shared" si="313"/>
        <v>0</v>
      </c>
      <c r="Q945" s="64">
        <f t="shared" si="314"/>
        <v>0</v>
      </c>
      <c r="S945" s="71">
        <f t="shared" si="315"/>
        <v>0</v>
      </c>
      <c r="U945" s="64">
        <f t="shared" si="316"/>
        <v>0</v>
      </c>
      <c r="W945" s="71">
        <f t="shared" si="317"/>
        <v>0</v>
      </c>
      <c r="Y945" s="71">
        <f t="shared" si="318"/>
        <v>0</v>
      </c>
      <c r="AA945" s="71">
        <f t="shared" si="319"/>
        <v>0</v>
      </c>
      <c r="AC945" s="71">
        <f t="shared" si="320"/>
        <v>0</v>
      </c>
      <c r="AK945" s="71">
        <f t="shared" si="321"/>
        <v>0</v>
      </c>
      <c r="AM945" s="71">
        <f t="shared" si="322"/>
        <v>0</v>
      </c>
      <c r="AO945" s="71">
        <f t="shared" si="323"/>
        <v>0</v>
      </c>
      <c r="AQ945" s="71">
        <f t="shared" si="324"/>
        <v>0</v>
      </c>
      <c r="AT945" s="71">
        <f t="shared" si="325"/>
        <v>0</v>
      </c>
      <c r="AV945" s="71">
        <f t="shared" si="326"/>
        <v>0</v>
      </c>
      <c r="AX945" s="71">
        <f t="shared" si="327"/>
        <v>0</v>
      </c>
      <c r="AZ945" s="71">
        <f t="shared" si="328"/>
        <v>0</v>
      </c>
      <c r="BE945" s="81">
        <f t="shared" si="329"/>
        <v>0</v>
      </c>
      <c r="BF945" s="81" t="str">
        <f t="shared" si="330"/>
        <v>BASSO</v>
      </c>
    </row>
    <row r="946" spans="7:58" x14ac:dyDescent="0.15">
      <c r="G946" s="64">
        <f t="shared" si="309"/>
        <v>0</v>
      </c>
      <c r="I946" s="64">
        <f t="shared" si="310"/>
        <v>0</v>
      </c>
      <c r="K946" s="64">
        <f t="shared" si="311"/>
        <v>0</v>
      </c>
      <c r="M946" s="64">
        <f t="shared" si="312"/>
        <v>0</v>
      </c>
      <c r="O946" s="64">
        <f t="shared" si="313"/>
        <v>0</v>
      </c>
      <c r="Q946" s="64">
        <f t="shared" si="314"/>
        <v>0</v>
      </c>
      <c r="S946" s="71">
        <f t="shared" si="315"/>
        <v>0</v>
      </c>
      <c r="U946" s="64">
        <f t="shared" si="316"/>
        <v>0</v>
      </c>
      <c r="W946" s="71">
        <f t="shared" si="317"/>
        <v>0</v>
      </c>
      <c r="Y946" s="71">
        <f t="shared" si="318"/>
        <v>0</v>
      </c>
      <c r="AA946" s="71">
        <f t="shared" si="319"/>
        <v>0</v>
      </c>
      <c r="AC946" s="71">
        <f t="shared" si="320"/>
        <v>0</v>
      </c>
      <c r="AK946" s="71">
        <f t="shared" si="321"/>
        <v>0</v>
      </c>
      <c r="AM946" s="71">
        <f t="shared" si="322"/>
        <v>0</v>
      </c>
      <c r="AO946" s="71">
        <f t="shared" si="323"/>
        <v>0</v>
      </c>
      <c r="AQ946" s="71">
        <f t="shared" si="324"/>
        <v>0</v>
      </c>
      <c r="AT946" s="71">
        <f t="shared" si="325"/>
        <v>0</v>
      </c>
      <c r="AV946" s="71">
        <f t="shared" si="326"/>
        <v>0</v>
      </c>
      <c r="AX946" s="71">
        <f t="shared" si="327"/>
        <v>0</v>
      </c>
      <c r="AZ946" s="71">
        <f t="shared" si="328"/>
        <v>0</v>
      </c>
      <c r="BE946" s="81">
        <f t="shared" si="329"/>
        <v>0</v>
      </c>
      <c r="BF946" s="81" t="str">
        <f t="shared" si="330"/>
        <v>BASSO</v>
      </c>
    </row>
    <row r="947" spans="7:58" x14ac:dyDescent="0.15">
      <c r="G947" s="64">
        <f t="shared" si="309"/>
        <v>0</v>
      </c>
      <c r="I947" s="64">
        <f t="shared" si="310"/>
        <v>0</v>
      </c>
      <c r="K947" s="64">
        <f t="shared" si="311"/>
        <v>0</v>
      </c>
      <c r="M947" s="64">
        <f t="shared" si="312"/>
        <v>0</v>
      </c>
      <c r="O947" s="64">
        <f t="shared" si="313"/>
        <v>0</v>
      </c>
      <c r="Q947" s="64">
        <f t="shared" si="314"/>
        <v>0</v>
      </c>
      <c r="S947" s="71">
        <f t="shared" si="315"/>
        <v>0</v>
      </c>
      <c r="U947" s="64">
        <f t="shared" si="316"/>
        <v>0</v>
      </c>
      <c r="W947" s="71">
        <f t="shared" si="317"/>
        <v>0</v>
      </c>
      <c r="Y947" s="71">
        <f t="shared" si="318"/>
        <v>0</v>
      </c>
      <c r="AA947" s="71">
        <f t="shared" si="319"/>
        <v>0</v>
      </c>
      <c r="AC947" s="71">
        <f t="shared" si="320"/>
        <v>0</v>
      </c>
      <c r="AK947" s="71">
        <f t="shared" si="321"/>
        <v>0</v>
      </c>
      <c r="AM947" s="71">
        <f t="shared" si="322"/>
        <v>0</v>
      </c>
      <c r="AO947" s="71">
        <f t="shared" si="323"/>
        <v>0</v>
      </c>
      <c r="AQ947" s="71">
        <f t="shared" si="324"/>
        <v>0</v>
      </c>
      <c r="AT947" s="71">
        <f t="shared" si="325"/>
        <v>0</v>
      </c>
      <c r="AV947" s="71">
        <f t="shared" si="326"/>
        <v>0</v>
      </c>
      <c r="AX947" s="71">
        <f t="shared" si="327"/>
        <v>0</v>
      </c>
      <c r="AZ947" s="71">
        <f t="shared" si="328"/>
        <v>0</v>
      </c>
      <c r="BE947" s="81">
        <f t="shared" si="329"/>
        <v>0</v>
      </c>
      <c r="BF947" s="81" t="str">
        <f t="shared" si="330"/>
        <v>BASSO</v>
      </c>
    </row>
    <row r="948" spans="7:58" x14ac:dyDescent="0.15">
      <c r="G948" s="64">
        <f t="shared" si="309"/>
        <v>0</v>
      </c>
      <c r="I948" s="64">
        <f t="shared" si="310"/>
        <v>0</v>
      </c>
      <c r="K948" s="64">
        <f t="shared" si="311"/>
        <v>0</v>
      </c>
      <c r="M948" s="64">
        <f t="shared" si="312"/>
        <v>0</v>
      </c>
      <c r="O948" s="64">
        <f t="shared" si="313"/>
        <v>0</v>
      </c>
      <c r="Q948" s="64">
        <f t="shared" si="314"/>
        <v>0</v>
      </c>
      <c r="S948" s="71">
        <f t="shared" si="315"/>
        <v>0</v>
      </c>
      <c r="U948" s="64">
        <f t="shared" si="316"/>
        <v>0</v>
      </c>
      <c r="W948" s="71">
        <f t="shared" si="317"/>
        <v>0</v>
      </c>
      <c r="Y948" s="71">
        <f t="shared" si="318"/>
        <v>0</v>
      </c>
      <c r="AA948" s="71">
        <f t="shared" si="319"/>
        <v>0</v>
      </c>
      <c r="AC948" s="71">
        <f t="shared" si="320"/>
        <v>0</v>
      </c>
      <c r="AK948" s="71">
        <f t="shared" si="321"/>
        <v>0</v>
      </c>
      <c r="AM948" s="71">
        <f t="shared" si="322"/>
        <v>0</v>
      </c>
      <c r="AO948" s="71">
        <f t="shared" si="323"/>
        <v>0</v>
      </c>
      <c r="AQ948" s="71">
        <f t="shared" si="324"/>
        <v>0</v>
      </c>
      <c r="AT948" s="71">
        <f t="shared" si="325"/>
        <v>0</v>
      </c>
      <c r="AV948" s="71">
        <f t="shared" si="326"/>
        <v>0</v>
      </c>
      <c r="AX948" s="71">
        <f t="shared" si="327"/>
        <v>0</v>
      </c>
      <c r="AZ948" s="71">
        <f t="shared" si="328"/>
        <v>0</v>
      </c>
      <c r="BE948" s="81">
        <f t="shared" si="329"/>
        <v>0</v>
      </c>
      <c r="BF948" s="81" t="str">
        <f t="shared" si="330"/>
        <v>BASSO</v>
      </c>
    </row>
    <row r="949" spans="7:58" x14ac:dyDescent="0.15">
      <c r="G949" s="64">
        <f t="shared" si="309"/>
        <v>0</v>
      </c>
      <c r="I949" s="64">
        <f t="shared" si="310"/>
        <v>0</v>
      </c>
      <c r="K949" s="64">
        <f t="shared" si="311"/>
        <v>0</v>
      </c>
      <c r="M949" s="64">
        <f t="shared" si="312"/>
        <v>0</v>
      </c>
      <c r="O949" s="64">
        <f t="shared" si="313"/>
        <v>0</v>
      </c>
      <c r="Q949" s="64">
        <f t="shared" si="314"/>
        <v>0</v>
      </c>
      <c r="S949" s="71">
        <f t="shared" si="315"/>
        <v>0</v>
      </c>
      <c r="U949" s="64">
        <f t="shared" si="316"/>
        <v>0</v>
      </c>
      <c r="W949" s="71">
        <f t="shared" si="317"/>
        <v>0</v>
      </c>
      <c r="Y949" s="71">
        <f t="shared" si="318"/>
        <v>0</v>
      </c>
      <c r="AA949" s="71">
        <f t="shared" si="319"/>
        <v>0</v>
      </c>
      <c r="AC949" s="71">
        <f t="shared" si="320"/>
        <v>0</v>
      </c>
      <c r="AK949" s="71">
        <f t="shared" si="321"/>
        <v>0</v>
      </c>
      <c r="AM949" s="71">
        <f t="shared" si="322"/>
        <v>0</v>
      </c>
      <c r="AO949" s="71">
        <f t="shared" si="323"/>
        <v>0</v>
      </c>
      <c r="AQ949" s="71">
        <f t="shared" si="324"/>
        <v>0</v>
      </c>
      <c r="AT949" s="71">
        <f t="shared" si="325"/>
        <v>0</v>
      </c>
      <c r="AV949" s="71">
        <f t="shared" si="326"/>
        <v>0</v>
      </c>
      <c r="AX949" s="71">
        <f t="shared" si="327"/>
        <v>0</v>
      </c>
      <c r="AZ949" s="71">
        <f t="shared" si="328"/>
        <v>0</v>
      </c>
      <c r="BE949" s="81">
        <f t="shared" si="329"/>
        <v>0</v>
      </c>
      <c r="BF949" s="81" t="str">
        <f t="shared" si="330"/>
        <v>BASSO</v>
      </c>
    </row>
    <row r="950" spans="7:58" x14ac:dyDescent="0.15">
      <c r="G950" s="64">
        <f t="shared" si="309"/>
        <v>0</v>
      </c>
      <c r="I950" s="64">
        <f t="shared" si="310"/>
        <v>0</v>
      </c>
      <c r="K950" s="64">
        <f t="shared" si="311"/>
        <v>0</v>
      </c>
      <c r="M950" s="64">
        <f t="shared" si="312"/>
        <v>0</v>
      </c>
      <c r="O950" s="64">
        <f t="shared" si="313"/>
        <v>0</v>
      </c>
      <c r="Q950" s="64">
        <f t="shared" si="314"/>
        <v>0</v>
      </c>
      <c r="S950" s="71">
        <f t="shared" si="315"/>
        <v>0</v>
      </c>
      <c r="U950" s="64">
        <f t="shared" si="316"/>
        <v>0</v>
      </c>
      <c r="W950" s="71">
        <f t="shared" si="317"/>
        <v>0</v>
      </c>
      <c r="Y950" s="71">
        <f t="shared" si="318"/>
        <v>0</v>
      </c>
      <c r="AA950" s="71">
        <f t="shared" si="319"/>
        <v>0</v>
      </c>
      <c r="AC950" s="71">
        <f t="shared" si="320"/>
        <v>0</v>
      </c>
      <c r="AK950" s="71">
        <f t="shared" si="321"/>
        <v>0</v>
      </c>
      <c r="AM950" s="71">
        <f t="shared" si="322"/>
        <v>0</v>
      </c>
      <c r="AO950" s="71">
        <f t="shared" si="323"/>
        <v>0</v>
      </c>
      <c r="AQ950" s="71">
        <f t="shared" si="324"/>
        <v>0</v>
      </c>
      <c r="AT950" s="71">
        <f t="shared" si="325"/>
        <v>0</v>
      </c>
      <c r="AV950" s="71">
        <f t="shared" si="326"/>
        <v>0</v>
      </c>
      <c r="AX950" s="71">
        <f t="shared" si="327"/>
        <v>0</v>
      </c>
      <c r="AZ950" s="71">
        <f t="shared" si="328"/>
        <v>0</v>
      </c>
      <c r="BE950" s="81">
        <f t="shared" si="329"/>
        <v>0</v>
      </c>
      <c r="BF950" s="81" t="str">
        <f t="shared" si="330"/>
        <v>BASSO</v>
      </c>
    </row>
    <row r="951" spans="7:58" x14ac:dyDescent="0.15">
      <c r="G951" s="64">
        <f t="shared" si="309"/>
        <v>0</v>
      </c>
      <c r="I951" s="64">
        <f t="shared" si="310"/>
        <v>0</v>
      </c>
      <c r="K951" s="64">
        <f t="shared" si="311"/>
        <v>0</v>
      </c>
      <c r="M951" s="64">
        <f t="shared" si="312"/>
        <v>0</v>
      </c>
      <c r="O951" s="64">
        <f t="shared" si="313"/>
        <v>0</v>
      </c>
      <c r="Q951" s="64">
        <f t="shared" si="314"/>
        <v>0</v>
      </c>
      <c r="S951" s="71">
        <f t="shared" si="315"/>
        <v>0</v>
      </c>
      <c r="U951" s="64">
        <f t="shared" si="316"/>
        <v>0</v>
      </c>
      <c r="W951" s="71">
        <f t="shared" si="317"/>
        <v>0</v>
      </c>
      <c r="Y951" s="71">
        <f t="shared" si="318"/>
        <v>0</v>
      </c>
      <c r="AA951" s="71">
        <f t="shared" si="319"/>
        <v>0</v>
      </c>
      <c r="AC951" s="71">
        <f t="shared" si="320"/>
        <v>0</v>
      </c>
      <c r="AK951" s="71">
        <f t="shared" si="321"/>
        <v>0</v>
      </c>
      <c r="AM951" s="71">
        <f t="shared" si="322"/>
        <v>0</v>
      </c>
      <c r="AO951" s="71">
        <f t="shared" si="323"/>
        <v>0</v>
      </c>
      <c r="AQ951" s="71">
        <f t="shared" si="324"/>
        <v>0</v>
      </c>
      <c r="AT951" s="71">
        <f t="shared" si="325"/>
        <v>0</v>
      </c>
      <c r="AV951" s="71">
        <f t="shared" si="326"/>
        <v>0</v>
      </c>
      <c r="AX951" s="71">
        <f t="shared" si="327"/>
        <v>0</v>
      </c>
      <c r="AZ951" s="71">
        <f t="shared" si="328"/>
        <v>0</v>
      </c>
      <c r="BE951" s="81">
        <f t="shared" si="329"/>
        <v>0</v>
      </c>
      <c r="BF951" s="81" t="str">
        <f t="shared" si="330"/>
        <v>BASSO</v>
      </c>
    </row>
    <row r="952" spans="7:58" x14ac:dyDescent="0.15">
      <c r="G952" s="64">
        <f t="shared" si="309"/>
        <v>0</v>
      </c>
      <c r="I952" s="64">
        <f t="shared" si="310"/>
        <v>0</v>
      </c>
      <c r="K952" s="64">
        <f t="shared" si="311"/>
        <v>0</v>
      </c>
      <c r="M952" s="64">
        <f t="shared" si="312"/>
        <v>0</v>
      </c>
      <c r="O952" s="64">
        <f t="shared" si="313"/>
        <v>0</v>
      </c>
      <c r="Q952" s="64">
        <f t="shared" si="314"/>
        <v>0</v>
      </c>
      <c r="S952" s="71">
        <f t="shared" si="315"/>
        <v>0</v>
      </c>
      <c r="U952" s="64">
        <f t="shared" si="316"/>
        <v>0</v>
      </c>
      <c r="W952" s="71">
        <f t="shared" si="317"/>
        <v>0</v>
      </c>
      <c r="Y952" s="71">
        <f t="shared" si="318"/>
        <v>0</v>
      </c>
      <c r="AA952" s="71">
        <f t="shared" si="319"/>
        <v>0</v>
      </c>
      <c r="AC952" s="71">
        <f t="shared" si="320"/>
        <v>0</v>
      </c>
      <c r="AK952" s="71">
        <f t="shared" si="321"/>
        <v>0</v>
      </c>
      <c r="AM952" s="71">
        <f t="shared" si="322"/>
        <v>0</v>
      </c>
      <c r="AO952" s="71">
        <f t="shared" si="323"/>
        <v>0</v>
      </c>
      <c r="AQ952" s="71">
        <f t="shared" si="324"/>
        <v>0</v>
      </c>
      <c r="AT952" s="71">
        <f t="shared" si="325"/>
        <v>0</v>
      </c>
      <c r="AV952" s="71">
        <f t="shared" si="326"/>
        <v>0</v>
      </c>
      <c r="AX952" s="71">
        <f t="shared" si="327"/>
        <v>0</v>
      </c>
      <c r="AZ952" s="71">
        <f t="shared" si="328"/>
        <v>0</v>
      </c>
      <c r="BE952" s="81">
        <f t="shared" si="329"/>
        <v>0</v>
      </c>
      <c r="BF952" s="81" t="str">
        <f t="shared" si="330"/>
        <v>BASSO</v>
      </c>
    </row>
    <row r="953" spans="7:58" x14ac:dyDescent="0.15">
      <c r="G953" s="64">
        <f t="shared" si="309"/>
        <v>0</v>
      </c>
      <c r="I953" s="64">
        <f t="shared" si="310"/>
        <v>0</v>
      </c>
      <c r="K953" s="64">
        <f t="shared" si="311"/>
        <v>0</v>
      </c>
      <c r="M953" s="64">
        <f t="shared" si="312"/>
        <v>0</v>
      </c>
      <c r="O953" s="64">
        <f t="shared" si="313"/>
        <v>0</v>
      </c>
      <c r="Q953" s="64">
        <f t="shared" si="314"/>
        <v>0</v>
      </c>
      <c r="S953" s="71">
        <f t="shared" si="315"/>
        <v>0</v>
      </c>
      <c r="U953" s="64">
        <f t="shared" si="316"/>
        <v>0</v>
      </c>
      <c r="W953" s="71">
        <f t="shared" si="317"/>
        <v>0</v>
      </c>
      <c r="Y953" s="71">
        <f t="shared" si="318"/>
        <v>0</v>
      </c>
      <c r="AA953" s="71">
        <f t="shared" si="319"/>
        <v>0</v>
      </c>
      <c r="AC953" s="71">
        <f t="shared" si="320"/>
        <v>0</v>
      </c>
      <c r="AK953" s="71">
        <f t="shared" si="321"/>
        <v>0</v>
      </c>
      <c r="AM953" s="71">
        <f t="shared" si="322"/>
        <v>0</v>
      </c>
      <c r="AO953" s="71">
        <f t="shared" si="323"/>
        <v>0</v>
      </c>
      <c r="AQ953" s="71">
        <f t="shared" si="324"/>
        <v>0</v>
      </c>
      <c r="AT953" s="71">
        <f t="shared" si="325"/>
        <v>0</v>
      </c>
      <c r="AV953" s="71">
        <f t="shared" si="326"/>
        <v>0</v>
      </c>
      <c r="AX953" s="71">
        <f t="shared" si="327"/>
        <v>0</v>
      </c>
      <c r="AZ953" s="71">
        <f t="shared" si="328"/>
        <v>0</v>
      </c>
      <c r="BE953" s="81">
        <f t="shared" si="329"/>
        <v>0</v>
      </c>
      <c r="BF953" s="81" t="str">
        <f t="shared" si="330"/>
        <v>BASSO</v>
      </c>
    </row>
    <row r="954" spans="7:58" x14ac:dyDescent="0.15">
      <c r="G954" s="64">
        <f t="shared" si="309"/>
        <v>0</v>
      </c>
      <c r="I954" s="64">
        <f t="shared" si="310"/>
        <v>0</v>
      </c>
      <c r="K954" s="64">
        <f t="shared" si="311"/>
        <v>0</v>
      </c>
      <c r="M954" s="64">
        <f t="shared" si="312"/>
        <v>0</v>
      </c>
      <c r="O954" s="64">
        <f t="shared" si="313"/>
        <v>0</v>
      </c>
      <c r="Q954" s="64">
        <f t="shared" si="314"/>
        <v>0</v>
      </c>
      <c r="S954" s="71">
        <f t="shared" si="315"/>
        <v>0</v>
      </c>
      <c r="U954" s="64">
        <f t="shared" si="316"/>
        <v>0</v>
      </c>
      <c r="W954" s="71">
        <f t="shared" si="317"/>
        <v>0</v>
      </c>
      <c r="Y954" s="71">
        <f t="shared" si="318"/>
        <v>0</v>
      </c>
      <c r="AA954" s="71">
        <f t="shared" si="319"/>
        <v>0</v>
      </c>
      <c r="AC954" s="71">
        <f t="shared" si="320"/>
        <v>0</v>
      </c>
      <c r="AK954" s="71">
        <f t="shared" si="321"/>
        <v>0</v>
      </c>
      <c r="AM954" s="71">
        <f t="shared" si="322"/>
        <v>0</v>
      </c>
      <c r="AO954" s="71">
        <f t="shared" si="323"/>
        <v>0</v>
      </c>
      <c r="AQ954" s="71">
        <f t="shared" si="324"/>
        <v>0</v>
      </c>
      <c r="AT954" s="71">
        <f t="shared" si="325"/>
        <v>0</v>
      </c>
      <c r="AV954" s="71">
        <f t="shared" si="326"/>
        <v>0</v>
      </c>
      <c r="AX954" s="71">
        <f t="shared" si="327"/>
        <v>0</v>
      </c>
      <c r="AZ954" s="71">
        <f t="shared" si="328"/>
        <v>0</v>
      </c>
      <c r="BE954" s="81">
        <f t="shared" si="329"/>
        <v>0</v>
      </c>
      <c r="BF954" s="81" t="str">
        <f t="shared" si="330"/>
        <v>BASSO</v>
      </c>
    </row>
    <row r="955" spans="7:58" x14ac:dyDescent="0.15">
      <c r="G955" s="64">
        <f t="shared" si="309"/>
        <v>0</v>
      </c>
      <c r="I955" s="64">
        <f t="shared" si="310"/>
        <v>0</v>
      </c>
      <c r="K955" s="64">
        <f t="shared" si="311"/>
        <v>0</v>
      </c>
      <c r="M955" s="64">
        <f t="shared" si="312"/>
        <v>0</v>
      </c>
      <c r="O955" s="64">
        <f t="shared" si="313"/>
        <v>0</v>
      </c>
      <c r="Q955" s="64">
        <f t="shared" si="314"/>
        <v>0</v>
      </c>
      <c r="S955" s="71">
        <f t="shared" si="315"/>
        <v>0</v>
      </c>
      <c r="U955" s="64">
        <f t="shared" si="316"/>
        <v>0</v>
      </c>
      <c r="W955" s="71">
        <f t="shared" si="317"/>
        <v>0</v>
      </c>
      <c r="Y955" s="71">
        <f t="shared" si="318"/>
        <v>0</v>
      </c>
      <c r="AA955" s="71">
        <f t="shared" si="319"/>
        <v>0</v>
      </c>
      <c r="AC955" s="71">
        <f t="shared" si="320"/>
        <v>0</v>
      </c>
      <c r="AK955" s="71">
        <f t="shared" si="321"/>
        <v>0</v>
      </c>
      <c r="AM955" s="71">
        <f t="shared" si="322"/>
        <v>0</v>
      </c>
      <c r="AO955" s="71">
        <f t="shared" si="323"/>
        <v>0</v>
      </c>
      <c r="AQ955" s="71">
        <f t="shared" si="324"/>
        <v>0</v>
      </c>
      <c r="AT955" s="71">
        <f t="shared" si="325"/>
        <v>0</v>
      </c>
      <c r="AV955" s="71">
        <f t="shared" si="326"/>
        <v>0</v>
      </c>
      <c r="AX955" s="71">
        <f t="shared" si="327"/>
        <v>0</v>
      </c>
      <c r="AZ955" s="71">
        <f t="shared" si="328"/>
        <v>0</v>
      </c>
      <c r="BE955" s="81">
        <f t="shared" si="329"/>
        <v>0</v>
      </c>
      <c r="BF955" s="81" t="str">
        <f t="shared" si="330"/>
        <v>BASSO</v>
      </c>
    </row>
    <row r="956" spans="7:58" x14ac:dyDescent="0.15">
      <c r="G956" s="64">
        <f t="shared" si="309"/>
        <v>0</v>
      </c>
      <c r="I956" s="64">
        <f t="shared" si="310"/>
        <v>0</v>
      </c>
      <c r="K956" s="64">
        <f t="shared" si="311"/>
        <v>0</v>
      </c>
      <c r="M956" s="64">
        <f t="shared" si="312"/>
        <v>0</v>
      </c>
      <c r="O956" s="64">
        <f t="shared" si="313"/>
        <v>0</v>
      </c>
      <c r="Q956" s="64">
        <f t="shared" si="314"/>
        <v>0</v>
      </c>
      <c r="S956" s="71">
        <f t="shared" si="315"/>
        <v>0</v>
      </c>
      <c r="U956" s="64">
        <f t="shared" si="316"/>
        <v>0</v>
      </c>
      <c r="W956" s="71">
        <f t="shared" si="317"/>
        <v>0</v>
      </c>
      <c r="Y956" s="71">
        <f t="shared" si="318"/>
        <v>0</v>
      </c>
      <c r="AA956" s="71">
        <f t="shared" si="319"/>
        <v>0</v>
      </c>
      <c r="AC956" s="71">
        <f t="shared" si="320"/>
        <v>0</v>
      </c>
      <c r="AK956" s="71">
        <f t="shared" si="321"/>
        <v>0</v>
      </c>
      <c r="AM956" s="71">
        <f t="shared" si="322"/>
        <v>0</v>
      </c>
      <c r="AO956" s="71">
        <f t="shared" si="323"/>
        <v>0</v>
      </c>
      <c r="AQ956" s="71">
        <f t="shared" si="324"/>
        <v>0</v>
      </c>
      <c r="AT956" s="71">
        <f t="shared" si="325"/>
        <v>0</v>
      </c>
      <c r="AV956" s="71">
        <f t="shared" si="326"/>
        <v>0</v>
      </c>
      <c r="AX956" s="71">
        <f t="shared" si="327"/>
        <v>0</v>
      </c>
      <c r="AZ956" s="71">
        <f t="shared" si="328"/>
        <v>0</v>
      </c>
      <c r="BE956" s="81">
        <f t="shared" si="329"/>
        <v>0</v>
      </c>
      <c r="BF956" s="81" t="str">
        <f t="shared" si="330"/>
        <v>BASSO</v>
      </c>
    </row>
    <row r="957" spans="7:58" x14ac:dyDescent="0.15">
      <c r="G957" s="64">
        <f t="shared" si="309"/>
        <v>0</v>
      </c>
      <c r="I957" s="64">
        <f t="shared" si="310"/>
        <v>0</v>
      </c>
      <c r="K957" s="64">
        <f t="shared" si="311"/>
        <v>0</v>
      </c>
      <c r="M957" s="64">
        <f t="shared" si="312"/>
        <v>0</v>
      </c>
      <c r="O957" s="64">
        <f t="shared" si="313"/>
        <v>0</v>
      </c>
      <c r="Q957" s="64">
        <f t="shared" si="314"/>
        <v>0</v>
      </c>
      <c r="S957" s="71">
        <f t="shared" si="315"/>
        <v>0</v>
      </c>
      <c r="U957" s="64">
        <f t="shared" si="316"/>
        <v>0</v>
      </c>
      <c r="W957" s="71">
        <f t="shared" si="317"/>
        <v>0</v>
      </c>
      <c r="Y957" s="71">
        <f t="shared" si="318"/>
        <v>0</v>
      </c>
      <c r="AA957" s="71">
        <f t="shared" si="319"/>
        <v>0</v>
      </c>
      <c r="AC957" s="71">
        <f t="shared" si="320"/>
        <v>0</v>
      </c>
      <c r="AK957" s="71">
        <f t="shared" si="321"/>
        <v>0</v>
      </c>
      <c r="AM957" s="71">
        <f t="shared" si="322"/>
        <v>0</v>
      </c>
      <c r="AO957" s="71">
        <f t="shared" si="323"/>
        <v>0</v>
      </c>
      <c r="AQ957" s="71">
        <f t="shared" si="324"/>
        <v>0</v>
      </c>
      <c r="AT957" s="71">
        <f t="shared" si="325"/>
        <v>0</v>
      </c>
      <c r="AV957" s="71">
        <f t="shared" si="326"/>
        <v>0</v>
      </c>
      <c r="AX957" s="71">
        <f t="shared" si="327"/>
        <v>0</v>
      </c>
      <c r="AZ957" s="71">
        <f t="shared" si="328"/>
        <v>0</v>
      </c>
      <c r="BE957" s="81">
        <f t="shared" si="329"/>
        <v>0</v>
      </c>
      <c r="BF957" s="81" t="str">
        <f t="shared" si="330"/>
        <v>BASSO</v>
      </c>
    </row>
    <row r="958" spans="7:58" x14ac:dyDescent="0.15">
      <c r="G958" s="64">
        <f t="shared" si="309"/>
        <v>0</v>
      </c>
      <c r="I958" s="64">
        <f t="shared" si="310"/>
        <v>0</v>
      </c>
      <c r="K958" s="64">
        <f t="shared" si="311"/>
        <v>0</v>
      </c>
      <c r="M958" s="64">
        <f t="shared" si="312"/>
        <v>0</v>
      </c>
      <c r="O958" s="64">
        <f t="shared" si="313"/>
        <v>0</v>
      </c>
      <c r="Q958" s="64">
        <f t="shared" si="314"/>
        <v>0</v>
      </c>
      <c r="S958" s="71">
        <f t="shared" si="315"/>
        <v>0</v>
      </c>
      <c r="U958" s="64">
        <f t="shared" si="316"/>
        <v>0</v>
      </c>
      <c r="W958" s="71">
        <f t="shared" si="317"/>
        <v>0</v>
      </c>
      <c r="Y958" s="71">
        <f t="shared" si="318"/>
        <v>0</v>
      </c>
      <c r="AA958" s="71">
        <f t="shared" si="319"/>
        <v>0</v>
      </c>
      <c r="AC958" s="71">
        <f t="shared" si="320"/>
        <v>0</v>
      </c>
      <c r="AK958" s="71">
        <f t="shared" si="321"/>
        <v>0</v>
      </c>
      <c r="AM958" s="71">
        <f t="shared" si="322"/>
        <v>0</v>
      </c>
      <c r="AO958" s="71">
        <f t="shared" si="323"/>
        <v>0</v>
      </c>
      <c r="AQ958" s="71">
        <f t="shared" si="324"/>
        <v>0</v>
      </c>
      <c r="AT958" s="71">
        <f t="shared" si="325"/>
        <v>0</v>
      </c>
      <c r="AV958" s="71">
        <f t="shared" si="326"/>
        <v>0</v>
      </c>
      <c r="AX958" s="71">
        <f t="shared" si="327"/>
        <v>0</v>
      </c>
      <c r="AZ958" s="71">
        <f t="shared" si="328"/>
        <v>0</v>
      </c>
      <c r="BE958" s="81">
        <f t="shared" si="329"/>
        <v>0</v>
      </c>
      <c r="BF958" s="81" t="str">
        <f t="shared" si="330"/>
        <v>BASSO</v>
      </c>
    </row>
    <row r="959" spans="7:58" x14ac:dyDescent="0.15">
      <c r="G959" s="64">
        <f t="shared" si="309"/>
        <v>0</v>
      </c>
      <c r="I959" s="64">
        <f t="shared" si="310"/>
        <v>0</v>
      </c>
      <c r="K959" s="64">
        <f t="shared" si="311"/>
        <v>0</v>
      </c>
      <c r="M959" s="64">
        <f t="shared" si="312"/>
        <v>0</v>
      </c>
      <c r="O959" s="64">
        <f t="shared" si="313"/>
        <v>0</v>
      </c>
      <c r="Q959" s="64">
        <f t="shared" si="314"/>
        <v>0</v>
      </c>
      <c r="S959" s="71">
        <f t="shared" si="315"/>
        <v>0</v>
      </c>
      <c r="U959" s="64">
        <f t="shared" si="316"/>
        <v>0</v>
      </c>
      <c r="W959" s="71">
        <f t="shared" si="317"/>
        <v>0</v>
      </c>
      <c r="Y959" s="71">
        <f t="shared" si="318"/>
        <v>0</v>
      </c>
      <c r="AA959" s="71">
        <f t="shared" si="319"/>
        <v>0</v>
      </c>
      <c r="AC959" s="71">
        <f t="shared" si="320"/>
        <v>0</v>
      </c>
      <c r="AK959" s="71">
        <f t="shared" si="321"/>
        <v>0</v>
      </c>
      <c r="AM959" s="71">
        <f t="shared" si="322"/>
        <v>0</v>
      </c>
      <c r="AO959" s="71">
        <f t="shared" si="323"/>
        <v>0</v>
      </c>
      <c r="AQ959" s="71">
        <f t="shared" si="324"/>
        <v>0</v>
      </c>
      <c r="AT959" s="71">
        <f t="shared" si="325"/>
        <v>0</v>
      </c>
      <c r="AV959" s="71">
        <f t="shared" si="326"/>
        <v>0</v>
      </c>
      <c r="AX959" s="71">
        <f t="shared" si="327"/>
        <v>0</v>
      </c>
      <c r="AZ959" s="71">
        <f t="shared" si="328"/>
        <v>0</v>
      </c>
      <c r="BE959" s="81">
        <f t="shared" si="329"/>
        <v>0</v>
      </c>
      <c r="BF959" s="81" t="str">
        <f t="shared" si="330"/>
        <v>BASSO</v>
      </c>
    </row>
    <row r="960" spans="7:58" x14ac:dyDescent="0.15">
      <c r="G960" s="64">
        <f t="shared" si="309"/>
        <v>0</v>
      </c>
      <c r="I960" s="64">
        <f t="shared" si="310"/>
        <v>0</v>
      </c>
      <c r="K960" s="64">
        <f t="shared" si="311"/>
        <v>0</v>
      </c>
      <c r="M960" s="64">
        <f t="shared" si="312"/>
        <v>0</v>
      </c>
      <c r="O960" s="64">
        <f t="shared" si="313"/>
        <v>0</v>
      </c>
      <c r="Q960" s="64">
        <f t="shared" si="314"/>
        <v>0</v>
      </c>
      <c r="S960" s="71">
        <f t="shared" si="315"/>
        <v>0</v>
      </c>
      <c r="U960" s="64">
        <f t="shared" si="316"/>
        <v>0</v>
      </c>
      <c r="W960" s="71">
        <f t="shared" si="317"/>
        <v>0</v>
      </c>
      <c r="Y960" s="71">
        <f t="shared" si="318"/>
        <v>0</v>
      </c>
      <c r="AA960" s="71">
        <f t="shared" si="319"/>
        <v>0</v>
      </c>
      <c r="AC960" s="71">
        <f t="shared" si="320"/>
        <v>0</v>
      </c>
      <c r="AK960" s="71">
        <f t="shared" si="321"/>
        <v>0</v>
      </c>
      <c r="AM960" s="71">
        <f t="shared" si="322"/>
        <v>0</v>
      </c>
      <c r="AO960" s="71">
        <f t="shared" si="323"/>
        <v>0</v>
      </c>
      <c r="AQ960" s="71">
        <f t="shared" si="324"/>
        <v>0</v>
      </c>
      <c r="AT960" s="71">
        <f t="shared" si="325"/>
        <v>0</v>
      </c>
      <c r="AV960" s="71">
        <f t="shared" si="326"/>
        <v>0</v>
      </c>
      <c r="AX960" s="71">
        <f t="shared" si="327"/>
        <v>0</v>
      </c>
      <c r="AZ960" s="71">
        <f t="shared" si="328"/>
        <v>0</v>
      </c>
      <c r="BE960" s="81">
        <f t="shared" si="329"/>
        <v>0</v>
      </c>
      <c r="BF960" s="81" t="str">
        <f t="shared" si="330"/>
        <v>BASSO</v>
      </c>
    </row>
    <row r="961" spans="7:58" x14ac:dyDescent="0.15">
      <c r="G961" s="64">
        <f t="shared" si="309"/>
        <v>0</v>
      </c>
      <c r="I961" s="64">
        <f t="shared" si="310"/>
        <v>0</v>
      </c>
      <c r="K961" s="64">
        <f t="shared" si="311"/>
        <v>0</v>
      </c>
      <c r="M961" s="64">
        <f t="shared" si="312"/>
        <v>0</v>
      </c>
      <c r="O961" s="64">
        <f t="shared" si="313"/>
        <v>0</v>
      </c>
      <c r="Q961" s="64">
        <f t="shared" si="314"/>
        <v>0</v>
      </c>
      <c r="S961" s="71">
        <f t="shared" si="315"/>
        <v>0</v>
      </c>
      <c r="U961" s="64">
        <f t="shared" si="316"/>
        <v>0</v>
      </c>
      <c r="W961" s="71">
        <f t="shared" si="317"/>
        <v>0</v>
      </c>
      <c r="Y961" s="71">
        <f t="shared" si="318"/>
        <v>0</v>
      </c>
      <c r="AA961" s="71">
        <f t="shared" si="319"/>
        <v>0</v>
      </c>
      <c r="AC961" s="71">
        <f t="shared" si="320"/>
        <v>0</v>
      </c>
      <c r="AK961" s="71">
        <f t="shared" si="321"/>
        <v>0</v>
      </c>
      <c r="AM961" s="71">
        <f t="shared" si="322"/>
        <v>0</v>
      </c>
      <c r="AO961" s="71">
        <f t="shared" si="323"/>
        <v>0</v>
      </c>
      <c r="AQ961" s="71">
        <f t="shared" si="324"/>
        <v>0</v>
      </c>
      <c r="AT961" s="71">
        <f t="shared" si="325"/>
        <v>0</v>
      </c>
      <c r="AV961" s="71">
        <f t="shared" si="326"/>
        <v>0</v>
      </c>
      <c r="AX961" s="71">
        <f t="shared" si="327"/>
        <v>0</v>
      </c>
      <c r="AZ961" s="71">
        <f t="shared" si="328"/>
        <v>0</v>
      </c>
      <c r="BE961" s="81">
        <f t="shared" si="329"/>
        <v>0</v>
      </c>
      <c r="BF961" s="81" t="str">
        <f t="shared" si="330"/>
        <v>BASSO</v>
      </c>
    </row>
    <row r="962" spans="7:58" x14ac:dyDescent="0.15">
      <c r="G962" s="64">
        <f t="shared" ref="G962:G1025" si="331">F963/2</f>
        <v>0</v>
      </c>
      <c r="I962" s="64">
        <f t="shared" si="310"/>
        <v>0</v>
      </c>
      <c r="K962" s="64">
        <f t="shared" si="311"/>
        <v>0</v>
      </c>
      <c r="M962" s="64">
        <f t="shared" si="312"/>
        <v>0</v>
      </c>
      <c r="O962" s="64">
        <f t="shared" si="313"/>
        <v>0</v>
      </c>
      <c r="Q962" s="64">
        <f t="shared" si="314"/>
        <v>0</v>
      </c>
      <c r="S962" s="71">
        <f t="shared" si="315"/>
        <v>0</v>
      </c>
      <c r="U962" s="64">
        <f t="shared" si="316"/>
        <v>0</v>
      </c>
      <c r="W962" s="71">
        <f t="shared" si="317"/>
        <v>0</v>
      </c>
      <c r="Y962" s="71">
        <f t="shared" si="318"/>
        <v>0</v>
      </c>
      <c r="AA962" s="71">
        <f t="shared" si="319"/>
        <v>0</v>
      </c>
      <c r="AC962" s="71">
        <f t="shared" si="320"/>
        <v>0</v>
      </c>
      <c r="AK962" s="71">
        <f t="shared" si="321"/>
        <v>0</v>
      </c>
      <c r="AM962" s="71">
        <f t="shared" si="322"/>
        <v>0</v>
      </c>
      <c r="AO962" s="71">
        <f t="shared" si="323"/>
        <v>0</v>
      </c>
      <c r="AQ962" s="71">
        <f t="shared" si="324"/>
        <v>0</v>
      </c>
      <c r="AT962" s="71">
        <f t="shared" si="325"/>
        <v>0</v>
      </c>
      <c r="AV962" s="71">
        <f t="shared" si="326"/>
        <v>0</v>
      </c>
      <c r="AX962" s="71">
        <f t="shared" si="327"/>
        <v>0</v>
      </c>
      <c r="AZ962" s="71">
        <f t="shared" si="328"/>
        <v>0</v>
      </c>
      <c r="BE962" s="81">
        <f t="shared" si="329"/>
        <v>0</v>
      </c>
      <c r="BF962" s="81" t="str">
        <f t="shared" si="330"/>
        <v>BASSO</v>
      </c>
    </row>
    <row r="963" spans="7:58" x14ac:dyDescent="0.15">
      <c r="G963" s="64">
        <f t="shared" si="331"/>
        <v>0</v>
      </c>
      <c r="I963" s="64">
        <f t="shared" ref="I963:I1019" si="332">H963/2</f>
        <v>0</v>
      </c>
      <c r="K963" s="64">
        <f t="shared" ref="K963:K1026" si="333">J963/2</f>
        <v>0</v>
      </c>
      <c r="M963" s="64">
        <f t="shared" ref="M963:M1026" si="334">L963/3</f>
        <v>0</v>
      </c>
      <c r="O963" s="64">
        <f t="shared" ref="O963:O1026" si="335">N963/5</f>
        <v>0</v>
      </c>
      <c r="Q963" s="64">
        <f t="shared" ref="Q963:Q1026" si="336">P963/3</f>
        <v>0</v>
      </c>
      <c r="S963" s="71">
        <f t="shared" ref="S963:S1026" si="337">R963/3</f>
        <v>0</v>
      </c>
      <c r="U963" s="64">
        <f t="shared" ref="U963:U1026" si="338">T963/3</f>
        <v>0</v>
      </c>
      <c r="W963" s="71">
        <f t="shared" ref="W963:W1026" si="339">V963/4</f>
        <v>0</v>
      </c>
      <c r="Y963" s="71">
        <f t="shared" ref="Y963:Y1026" si="340">X963/3</f>
        <v>0</v>
      </c>
      <c r="AA963" s="71">
        <f t="shared" ref="AA963:AA1026" si="341">Z963/3</f>
        <v>0</v>
      </c>
      <c r="AC963" s="71">
        <f t="shared" ref="AC963:AC1026" si="342">AB963/2</f>
        <v>0</v>
      </c>
      <c r="AK963" s="71">
        <f t="shared" ref="AK963:AK1026" si="343">AJ963/2</f>
        <v>0</v>
      </c>
      <c r="AM963" s="71">
        <f t="shared" ref="AM963:AM1026" si="344">AL963/3</f>
        <v>0</v>
      </c>
      <c r="AO963" s="71">
        <f t="shared" ref="AO963:AO1026" si="345">AN963/3</f>
        <v>0</v>
      </c>
      <c r="AQ963" s="71">
        <f t="shared" ref="AQ963:AQ1026" si="346">AP963/3</f>
        <v>0</v>
      </c>
      <c r="AT963" s="71">
        <f t="shared" ref="AT963:AT1026" si="347">AS963/3</f>
        <v>0</v>
      </c>
      <c r="AV963" s="71">
        <f t="shared" ref="AV963:AV1026" si="348">AU963/3</f>
        <v>0</v>
      </c>
      <c r="AX963" s="71">
        <f t="shared" ref="AX963:AX1026" si="349">AW963/2</f>
        <v>0</v>
      </c>
      <c r="AZ963" s="71">
        <f t="shared" ref="AZ963:AZ1026" si="350">AY963/3</f>
        <v>0</v>
      </c>
      <c r="BE963" s="81">
        <f t="shared" ref="BE963:BE1026" si="351">AVERAGE(F963,I963,K963,M963,O963,Q963,S963,U963,W963,Y963,AA963,AC963,AK963,AM963,AO963,AQ963,AT963,AV963,AX963,AZ963)</f>
        <v>0</v>
      </c>
      <c r="BF963" s="81" t="str">
        <f t="shared" ref="BF963:BF1026" si="352">IF(BE963="","",IF(VALUE(BE963)&lt;0.34,"BASSO",IF(VALUE(BE963)&lt;=0.66,"MEDIO","ALTO")))</f>
        <v>BASSO</v>
      </c>
    </row>
    <row r="964" spans="7:58" x14ac:dyDescent="0.15">
      <c r="G964" s="64">
        <f t="shared" si="331"/>
        <v>0</v>
      </c>
      <c r="I964" s="64">
        <f t="shared" si="332"/>
        <v>0</v>
      </c>
      <c r="K964" s="64">
        <f t="shared" si="333"/>
        <v>0</v>
      </c>
      <c r="M964" s="64">
        <f t="shared" si="334"/>
        <v>0</v>
      </c>
      <c r="O964" s="64">
        <f t="shared" si="335"/>
        <v>0</v>
      </c>
      <c r="Q964" s="64">
        <f t="shared" si="336"/>
        <v>0</v>
      </c>
      <c r="S964" s="71">
        <f t="shared" si="337"/>
        <v>0</v>
      </c>
      <c r="U964" s="64">
        <f t="shared" si="338"/>
        <v>0</v>
      </c>
      <c r="W964" s="71">
        <f t="shared" si="339"/>
        <v>0</v>
      </c>
      <c r="Y964" s="71">
        <f t="shared" si="340"/>
        <v>0</v>
      </c>
      <c r="AA964" s="71">
        <f t="shared" si="341"/>
        <v>0</v>
      </c>
      <c r="AC964" s="71">
        <f t="shared" si="342"/>
        <v>0</v>
      </c>
      <c r="AK964" s="71">
        <f t="shared" si="343"/>
        <v>0</v>
      </c>
      <c r="AM964" s="71">
        <f t="shared" si="344"/>
        <v>0</v>
      </c>
      <c r="AO964" s="71">
        <f t="shared" si="345"/>
        <v>0</v>
      </c>
      <c r="AQ964" s="71">
        <f t="shared" si="346"/>
        <v>0</v>
      </c>
      <c r="AT964" s="71">
        <f t="shared" si="347"/>
        <v>0</v>
      </c>
      <c r="AV964" s="71">
        <f t="shared" si="348"/>
        <v>0</v>
      </c>
      <c r="AX964" s="71">
        <f t="shared" si="349"/>
        <v>0</v>
      </c>
      <c r="AZ964" s="71">
        <f t="shared" si="350"/>
        <v>0</v>
      </c>
      <c r="BE964" s="81">
        <f t="shared" si="351"/>
        <v>0</v>
      </c>
      <c r="BF964" s="81" t="str">
        <f t="shared" si="352"/>
        <v>BASSO</v>
      </c>
    </row>
    <row r="965" spans="7:58" x14ac:dyDescent="0.15">
      <c r="G965" s="64">
        <f t="shared" si="331"/>
        <v>0</v>
      </c>
      <c r="I965" s="64">
        <f t="shared" si="332"/>
        <v>0</v>
      </c>
      <c r="K965" s="64">
        <f t="shared" si="333"/>
        <v>0</v>
      </c>
      <c r="M965" s="64">
        <f t="shared" si="334"/>
        <v>0</v>
      </c>
      <c r="O965" s="64">
        <f t="shared" si="335"/>
        <v>0</v>
      </c>
      <c r="Q965" s="64">
        <f t="shared" si="336"/>
        <v>0</v>
      </c>
      <c r="S965" s="71">
        <f t="shared" si="337"/>
        <v>0</v>
      </c>
      <c r="U965" s="64">
        <f t="shared" si="338"/>
        <v>0</v>
      </c>
      <c r="W965" s="71">
        <f t="shared" si="339"/>
        <v>0</v>
      </c>
      <c r="Y965" s="71">
        <f t="shared" si="340"/>
        <v>0</v>
      </c>
      <c r="AA965" s="71">
        <f t="shared" si="341"/>
        <v>0</v>
      </c>
      <c r="AC965" s="71">
        <f t="shared" si="342"/>
        <v>0</v>
      </c>
      <c r="AK965" s="71">
        <f t="shared" si="343"/>
        <v>0</v>
      </c>
      <c r="AM965" s="71">
        <f t="shared" si="344"/>
        <v>0</v>
      </c>
      <c r="AO965" s="71">
        <f t="shared" si="345"/>
        <v>0</v>
      </c>
      <c r="AQ965" s="71">
        <f t="shared" si="346"/>
        <v>0</v>
      </c>
      <c r="AT965" s="71">
        <f t="shared" si="347"/>
        <v>0</v>
      </c>
      <c r="AV965" s="71">
        <f t="shared" si="348"/>
        <v>0</v>
      </c>
      <c r="AX965" s="71">
        <f t="shared" si="349"/>
        <v>0</v>
      </c>
      <c r="AZ965" s="71">
        <f t="shared" si="350"/>
        <v>0</v>
      </c>
      <c r="BE965" s="81">
        <f t="shared" si="351"/>
        <v>0</v>
      </c>
      <c r="BF965" s="81" t="str">
        <f t="shared" si="352"/>
        <v>BASSO</v>
      </c>
    </row>
    <row r="966" spans="7:58" x14ac:dyDescent="0.15">
      <c r="G966" s="64">
        <f t="shared" si="331"/>
        <v>0</v>
      </c>
      <c r="I966" s="64">
        <f t="shared" si="332"/>
        <v>0</v>
      </c>
      <c r="K966" s="64">
        <f t="shared" si="333"/>
        <v>0</v>
      </c>
      <c r="M966" s="64">
        <f t="shared" si="334"/>
        <v>0</v>
      </c>
      <c r="O966" s="64">
        <f t="shared" si="335"/>
        <v>0</v>
      </c>
      <c r="Q966" s="64">
        <f t="shared" si="336"/>
        <v>0</v>
      </c>
      <c r="S966" s="71">
        <f t="shared" si="337"/>
        <v>0</v>
      </c>
      <c r="U966" s="64">
        <f t="shared" si="338"/>
        <v>0</v>
      </c>
      <c r="W966" s="71">
        <f t="shared" si="339"/>
        <v>0</v>
      </c>
      <c r="Y966" s="71">
        <f t="shared" si="340"/>
        <v>0</v>
      </c>
      <c r="AA966" s="71">
        <f t="shared" si="341"/>
        <v>0</v>
      </c>
      <c r="AC966" s="71">
        <f t="shared" si="342"/>
        <v>0</v>
      </c>
      <c r="AK966" s="71">
        <f t="shared" si="343"/>
        <v>0</v>
      </c>
      <c r="AM966" s="71">
        <f t="shared" si="344"/>
        <v>0</v>
      </c>
      <c r="AO966" s="71">
        <f t="shared" si="345"/>
        <v>0</v>
      </c>
      <c r="AQ966" s="71">
        <f t="shared" si="346"/>
        <v>0</v>
      </c>
      <c r="AT966" s="71">
        <f t="shared" si="347"/>
        <v>0</v>
      </c>
      <c r="AV966" s="71">
        <f t="shared" si="348"/>
        <v>0</v>
      </c>
      <c r="AX966" s="71">
        <f t="shared" si="349"/>
        <v>0</v>
      </c>
      <c r="AZ966" s="71">
        <f t="shared" si="350"/>
        <v>0</v>
      </c>
      <c r="BE966" s="81">
        <f t="shared" si="351"/>
        <v>0</v>
      </c>
      <c r="BF966" s="81" t="str">
        <f t="shared" si="352"/>
        <v>BASSO</v>
      </c>
    </row>
    <row r="967" spans="7:58" x14ac:dyDescent="0.15">
      <c r="G967" s="64">
        <f t="shared" si="331"/>
        <v>0</v>
      </c>
      <c r="I967" s="64">
        <f t="shared" si="332"/>
        <v>0</v>
      </c>
      <c r="K967" s="64">
        <f t="shared" si="333"/>
        <v>0</v>
      </c>
      <c r="M967" s="64">
        <f t="shared" si="334"/>
        <v>0</v>
      </c>
      <c r="O967" s="64">
        <f t="shared" si="335"/>
        <v>0</v>
      </c>
      <c r="Q967" s="64">
        <f t="shared" si="336"/>
        <v>0</v>
      </c>
      <c r="S967" s="71">
        <f t="shared" si="337"/>
        <v>0</v>
      </c>
      <c r="U967" s="64">
        <f t="shared" si="338"/>
        <v>0</v>
      </c>
      <c r="W967" s="71">
        <f t="shared" si="339"/>
        <v>0</v>
      </c>
      <c r="Y967" s="71">
        <f t="shared" si="340"/>
        <v>0</v>
      </c>
      <c r="AA967" s="71">
        <f t="shared" si="341"/>
        <v>0</v>
      </c>
      <c r="AC967" s="71">
        <f t="shared" si="342"/>
        <v>0</v>
      </c>
      <c r="AK967" s="71">
        <f t="shared" si="343"/>
        <v>0</v>
      </c>
      <c r="AM967" s="71">
        <f t="shared" si="344"/>
        <v>0</v>
      </c>
      <c r="AO967" s="71">
        <f t="shared" si="345"/>
        <v>0</v>
      </c>
      <c r="AQ967" s="71">
        <f t="shared" si="346"/>
        <v>0</v>
      </c>
      <c r="AT967" s="71">
        <f t="shared" si="347"/>
        <v>0</v>
      </c>
      <c r="AV967" s="71">
        <f t="shared" si="348"/>
        <v>0</v>
      </c>
      <c r="AX967" s="71">
        <f t="shared" si="349"/>
        <v>0</v>
      </c>
      <c r="AZ967" s="71">
        <f t="shared" si="350"/>
        <v>0</v>
      </c>
      <c r="BE967" s="81">
        <f t="shared" si="351"/>
        <v>0</v>
      </c>
      <c r="BF967" s="81" t="str">
        <f t="shared" si="352"/>
        <v>BASSO</v>
      </c>
    </row>
    <row r="968" spans="7:58" x14ac:dyDescent="0.15">
      <c r="G968" s="64">
        <f t="shared" si="331"/>
        <v>0</v>
      </c>
      <c r="I968" s="64">
        <f t="shared" si="332"/>
        <v>0</v>
      </c>
      <c r="K968" s="64">
        <f t="shared" si="333"/>
        <v>0</v>
      </c>
      <c r="M968" s="64">
        <f t="shared" si="334"/>
        <v>0</v>
      </c>
      <c r="O968" s="64">
        <f t="shared" si="335"/>
        <v>0</v>
      </c>
      <c r="Q968" s="64">
        <f t="shared" si="336"/>
        <v>0</v>
      </c>
      <c r="S968" s="71">
        <f t="shared" si="337"/>
        <v>0</v>
      </c>
      <c r="U968" s="64">
        <f t="shared" si="338"/>
        <v>0</v>
      </c>
      <c r="W968" s="71">
        <f t="shared" si="339"/>
        <v>0</v>
      </c>
      <c r="Y968" s="71">
        <f t="shared" si="340"/>
        <v>0</v>
      </c>
      <c r="AA968" s="71">
        <f t="shared" si="341"/>
        <v>0</v>
      </c>
      <c r="AC968" s="71">
        <f t="shared" si="342"/>
        <v>0</v>
      </c>
      <c r="AK968" s="71">
        <f t="shared" si="343"/>
        <v>0</v>
      </c>
      <c r="AM968" s="71">
        <f t="shared" si="344"/>
        <v>0</v>
      </c>
      <c r="AO968" s="71">
        <f t="shared" si="345"/>
        <v>0</v>
      </c>
      <c r="AQ968" s="71">
        <f t="shared" si="346"/>
        <v>0</v>
      </c>
      <c r="AT968" s="71">
        <f t="shared" si="347"/>
        <v>0</v>
      </c>
      <c r="AV968" s="71">
        <f t="shared" si="348"/>
        <v>0</v>
      </c>
      <c r="AX968" s="71">
        <f t="shared" si="349"/>
        <v>0</v>
      </c>
      <c r="AZ968" s="71">
        <f t="shared" si="350"/>
        <v>0</v>
      </c>
      <c r="BE968" s="81">
        <f t="shared" si="351"/>
        <v>0</v>
      </c>
      <c r="BF968" s="81" t="str">
        <f t="shared" si="352"/>
        <v>BASSO</v>
      </c>
    </row>
    <row r="969" spans="7:58" x14ac:dyDescent="0.15">
      <c r="G969" s="64">
        <f t="shared" si="331"/>
        <v>0</v>
      </c>
      <c r="I969" s="64">
        <f t="shared" si="332"/>
        <v>0</v>
      </c>
      <c r="K969" s="64">
        <f t="shared" si="333"/>
        <v>0</v>
      </c>
      <c r="M969" s="64">
        <f t="shared" si="334"/>
        <v>0</v>
      </c>
      <c r="O969" s="64">
        <f t="shared" si="335"/>
        <v>0</v>
      </c>
      <c r="Q969" s="64">
        <f t="shared" si="336"/>
        <v>0</v>
      </c>
      <c r="S969" s="71">
        <f t="shared" si="337"/>
        <v>0</v>
      </c>
      <c r="U969" s="64">
        <f t="shared" si="338"/>
        <v>0</v>
      </c>
      <c r="W969" s="71">
        <f t="shared" si="339"/>
        <v>0</v>
      </c>
      <c r="Y969" s="71">
        <f t="shared" si="340"/>
        <v>0</v>
      </c>
      <c r="AA969" s="71">
        <f t="shared" si="341"/>
        <v>0</v>
      </c>
      <c r="AC969" s="71">
        <f t="shared" si="342"/>
        <v>0</v>
      </c>
      <c r="AK969" s="71">
        <f t="shared" si="343"/>
        <v>0</v>
      </c>
      <c r="AM969" s="71">
        <f t="shared" si="344"/>
        <v>0</v>
      </c>
      <c r="AO969" s="71">
        <f t="shared" si="345"/>
        <v>0</v>
      </c>
      <c r="AQ969" s="71">
        <f t="shared" si="346"/>
        <v>0</v>
      </c>
      <c r="AT969" s="71">
        <f t="shared" si="347"/>
        <v>0</v>
      </c>
      <c r="AV969" s="71">
        <f t="shared" si="348"/>
        <v>0</v>
      </c>
      <c r="AX969" s="71">
        <f t="shared" si="349"/>
        <v>0</v>
      </c>
      <c r="AZ969" s="71">
        <f t="shared" si="350"/>
        <v>0</v>
      </c>
      <c r="BE969" s="81">
        <f t="shared" si="351"/>
        <v>0</v>
      </c>
      <c r="BF969" s="81" t="str">
        <f t="shared" si="352"/>
        <v>BASSO</v>
      </c>
    </row>
    <row r="970" spans="7:58" x14ac:dyDescent="0.15">
      <c r="G970" s="64">
        <f t="shared" si="331"/>
        <v>0</v>
      </c>
      <c r="I970" s="64">
        <f t="shared" si="332"/>
        <v>0</v>
      </c>
      <c r="K970" s="64">
        <f t="shared" si="333"/>
        <v>0</v>
      </c>
      <c r="M970" s="64">
        <f t="shared" si="334"/>
        <v>0</v>
      </c>
      <c r="O970" s="64">
        <f t="shared" si="335"/>
        <v>0</v>
      </c>
      <c r="Q970" s="64">
        <f t="shared" si="336"/>
        <v>0</v>
      </c>
      <c r="S970" s="71">
        <f t="shared" si="337"/>
        <v>0</v>
      </c>
      <c r="U970" s="64">
        <f t="shared" si="338"/>
        <v>0</v>
      </c>
      <c r="W970" s="71">
        <f t="shared" si="339"/>
        <v>0</v>
      </c>
      <c r="Y970" s="71">
        <f t="shared" si="340"/>
        <v>0</v>
      </c>
      <c r="AA970" s="71">
        <f t="shared" si="341"/>
        <v>0</v>
      </c>
      <c r="AC970" s="71">
        <f t="shared" si="342"/>
        <v>0</v>
      </c>
      <c r="AK970" s="71">
        <f t="shared" si="343"/>
        <v>0</v>
      </c>
      <c r="AM970" s="71">
        <f t="shared" si="344"/>
        <v>0</v>
      </c>
      <c r="AO970" s="71">
        <f t="shared" si="345"/>
        <v>0</v>
      </c>
      <c r="AQ970" s="71">
        <f t="shared" si="346"/>
        <v>0</v>
      </c>
      <c r="AT970" s="71">
        <f t="shared" si="347"/>
        <v>0</v>
      </c>
      <c r="AV970" s="71">
        <f t="shared" si="348"/>
        <v>0</v>
      </c>
      <c r="AX970" s="71">
        <f t="shared" si="349"/>
        <v>0</v>
      </c>
      <c r="AZ970" s="71">
        <f t="shared" si="350"/>
        <v>0</v>
      </c>
      <c r="BE970" s="81">
        <f t="shared" si="351"/>
        <v>0</v>
      </c>
      <c r="BF970" s="81" t="str">
        <f t="shared" si="352"/>
        <v>BASSO</v>
      </c>
    </row>
    <row r="971" spans="7:58" x14ac:dyDescent="0.15">
      <c r="G971" s="64">
        <f t="shared" si="331"/>
        <v>0</v>
      </c>
      <c r="I971" s="64">
        <f t="shared" si="332"/>
        <v>0</v>
      </c>
      <c r="K971" s="64">
        <f t="shared" si="333"/>
        <v>0</v>
      </c>
      <c r="M971" s="64">
        <f t="shared" si="334"/>
        <v>0</v>
      </c>
      <c r="O971" s="64">
        <f t="shared" si="335"/>
        <v>0</v>
      </c>
      <c r="Q971" s="64">
        <f t="shared" si="336"/>
        <v>0</v>
      </c>
      <c r="S971" s="71">
        <f t="shared" si="337"/>
        <v>0</v>
      </c>
      <c r="U971" s="64">
        <f t="shared" si="338"/>
        <v>0</v>
      </c>
      <c r="W971" s="71">
        <f t="shared" si="339"/>
        <v>0</v>
      </c>
      <c r="Y971" s="71">
        <f t="shared" si="340"/>
        <v>0</v>
      </c>
      <c r="AA971" s="71">
        <f t="shared" si="341"/>
        <v>0</v>
      </c>
      <c r="AC971" s="71">
        <f t="shared" si="342"/>
        <v>0</v>
      </c>
      <c r="AK971" s="71">
        <f t="shared" si="343"/>
        <v>0</v>
      </c>
      <c r="AM971" s="71">
        <f t="shared" si="344"/>
        <v>0</v>
      </c>
      <c r="AO971" s="71">
        <f t="shared" si="345"/>
        <v>0</v>
      </c>
      <c r="AQ971" s="71">
        <f t="shared" si="346"/>
        <v>0</v>
      </c>
      <c r="AT971" s="71">
        <f t="shared" si="347"/>
        <v>0</v>
      </c>
      <c r="AV971" s="71">
        <f t="shared" si="348"/>
        <v>0</v>
      </c>
      <c r="AX971" s="71">
        <f t="shared" si="349"/>
        <v>0</v>
      </c>
      <c r="AZ971" s="71">
        <f t="shared" si="350"/>
        <v>0</v>
      </c>
      <c r="BE971" s="81">
        <f t="shared" si="351"/>
        <v>0</v>
      </c>
      <c r="BF971" s="81" t="str">
        <f t="shared" si="352"/>
        <v>BASSO</v>
      </c>
    </row>
    <row r="972" spans="7:58" x14ac:dyDescent="0.15">
      <c r="G972" s="64">
        <f t="shared" si="331"/>
        <v>0</v>
      </c>
      <c r="I972" s="64">
        <f t="shared" si="332"/>
        <v>0</v>
      </c>
      <c r="K972" s="64">
        <f t="shared" si="333"/>
        <v>0</v>
      </c>
      <c r="M972" s="64">
        <f t="shared" si="334"/>
        <v>0</v>
      </c>
      <c r="O972" s="64">
        <f t="shared" si="335"/>
        <v>0</v>
      </c>
      <c r="Q972" s="64">
        <f t="shared" si="336"/>
        <v>0</v>
      </c>
      <c r="S972" s="71">
        <f t="shared" si="337"/>
        <v>0</v>
      </c>
      <c r="U972" s="64">
        <f t="shared" si="338"/>
        <v>0</v>
      </c>
      <c r="W972" s="71">
        <f t="shared" si="339"/>
        <v>0</v>
      </c>
      <c r="Y972" s="71">
        <f t="shared" si="340"/>
        <v>0</v>
      </c>
      <c r="AA972" s="71">
        <f t="shared" si="341"/>
        <v>0</v>
      </c>
      <c r="AC972" s="71">
        <f t="shared" si="342"/>
        <v>0</v>
      </c>
      <c r="AK972" s="71">
        <f t="shared" si="343"/>
        <v>0</v>
      </c>
      <c r="AM972" s="71">
        <f t="shared" si="344"/>
        <v>0</v>
      </c>
      <c r="AO972" s="71">
        <f t="shared" si="345"/>
        <v>0</v>
      </c>
      <c r="AQ972" s="71">
        <f t="shared" si="346"/>
        <v>0</v>
      </c>
      <c r="AT972" s="71">
        <f t="shared" si="347"/>
        <v>0</v>
      </c>
      <c r="AV972" s="71">
        <f t="shared" si="348"/>
        <v>0</v>
      </c>
      <c r="AX972" s="71">
        <f t="shared" si="349"/>
        <v>0</v>
      </c>
      <c r="AZ972" s="71">
        <f t="shared" si="350"/>
        <v>0</v>
      </c>
      <c r="BE972" s="81">
        <f t="shared" si="351"/>
        <v>0</v>
      </c>
      <c r="BF972" s="81" t="str">
        <f t="shared" si="352"/>
        <v>BASSO</v>
      </c>
    </row>
    <row r="973" spans="7:58" x14ac:dyDescent="0.15">
      <c r="G973" s="64">
        <f t="shared" si="331"/>
        <v>0</v>
      </c>
      <c r="I973" s="64">
        <f t="shared" si="332"/>
        <v>0</v>
      </c>
      <c r="K973" s="64">
        <f t="shared" si="333"/>
        <v>0</v>
      </c>
      <c r="M973" s="64">
        <f t="shared" si="334"/>
        <v>0</v>
      </c>
      <c r="O973" s="64">
        <f t="shared" si="335"/>
        <v>0</v>
      </c>
      <c r="Q973" s="64">
        <f t="shared" si="336"/>
        <v>0</v>
      </c>
      <c r="S973" s="71">
        <f t="shared" si="337"/>
        <v>0</v>
      </c>
      <c r="U973" s="64">
        <f t="shared" si="338"/>
        <v>0</v>
      </c>
      <c r="W973" s="71">
        <f t="shared" si="339"/>
        <v>0</v>
      </c>
      <c r="Y973" s="71">
        <f t="shared" si="340"/>
        <v>0</v>
      </c>
      <c r="AA973" s="71">
        <f t="shared" si="341"/>
        <v>0</v>
      </c>
      <c r="AC973" s="71">
        <f t="shared" si="342"/>
        <v>0</v>
      </c>
      <c r="AK973" s="71">
        <f t="shared" si="343"/>
        <v>0</v>
      </c>
      <c r="AM973" s="71">
        <f t="shared" si="344"/>
        <v>0</v>
      </c>
      <c r="AO973" s="71">
        <f t="shared" si="345"/>
        <v>0</v>
      </c>
      <c r="AQ973" s="71">
        <f t="shared" si="346"/>
        <v>0</v>
      </c>
      <c r="AT973" s="71">
        <f t="shared" si="347"/>
        <v>0</v>
      </c>
      <c r="AV973" s="71">
        <f t="shared" si="348"/>
        <v>0</v>
      </c>
      <c r="AX973" s="71">
        <f t="shared" si="349"/>
        <v>0</v>
      </c>
      <c r="AZ973" s="71">
        <f t="shared" si="350"/>
        <v>0</v>
      </c>
      <c r="BE973" s="81">
        <f t="shared" si="351"/>
        <v>0</v>
      </c>
      <c r="BF973" s="81" t="str">
        <f t="shared" si="352"/>
        <v>BASSO</v>
      </c>
    </row>
    <row r="974" spans="7:58" x14ac:dyDescent="0.15">
      <c r="G974" s="64">
        <f t="shared" si="331"/>
        <v>0</v>
      </c>
      <c r="I974" s="64">
        <f t="shared" si="332"/>
        <v>0</v>
      </c>
      <c r="K974" s="64">
        <f t="shared" si="333"/>
        <v>0</v>
      </c>
      <c r="M974" s="64">
        <f t="shared" si="334"/>
        <v>0</v>
      </c>
      <c r="O974" s="64">
        <f t="shared" si="335"/>
        <v>0</v>
      </c>
      <c r="Q974" s="64">
        <f t="shared" si="336"/>
        <v>0</v>
      </c>
      <c r="S974" s="71">
        <f t="shared" si="337"/>
        <v>0</v>
      </c>
      <c r="U974" s="64">
        <f t="shared" si="338"/>
        <v>0</v>
      </c>
      <c r="W974" s="71">
        <f t="shared" si="339"/>
        <v>0</v>
      </c>
      <c r="Y974" s="71">
        <f t="shared" si="340"/>
        <v>0</v>
      </c>
      <c r="AA974" s="71">
        <f t="shared" si="341"/>
        <v>0</v>
      </c>
      <c r="AC974" s="71">
        <f t="shared" si="342"/>
        <v>0</v>
      </c>
      <c r="AK974" s="71">
        <f t="shared" si="343"/>
        <v>0</v>
      </c>
      <c r="AM974" s="71">
        <f t="shared" si="344"/>
        <v>0</v>
      </c>
      <c r="AO974" s="71">
        <f t="shared" si="345"/>
        <v>0</v>
      </c>
      <c r="AQ974" s="71">
        <f t="shared" si="346"/>
        <v>0</v>
      </c>
      <c r="AT974" s="71">
        <f t="shared" si="347"/>
        <v>0</v>
      </c>
      <c r="AV974" s="71">
        <f t="shared" si="348"/>
        <v>0</v>
      </c>
      <c r="AX974" s="71">
        <f t="shared" si="349"/>
        <v>0</v>
      </c>
      <c r="AZ974" s="71">
        <f t="shared" si="350"/>
        <v>0</v>
      </c>
      <c r="BE974" s="81">
        <f t="shared" si="351"/>
        <v>0</v>
      </c>
      <c r="BF974" s="81" t="str">
        <f t="shared" si="352"/>
        <v>BASSO</v>
      </c>
    </row>
    <row r="975" spans="7:58" x14ac:dyDescent="0.15">
      <c r="G975" s="64">
        <f t="shared" si="331"/>
        <v>0</v>
      </c>
      <c r="I975" s="64">
        <f t="shared" si="332"/>
        <v>0</v>
      </c>
      <c r="K975" s="64">
        <f t="shared" si="333"/>
        <v>0</v>
      </c>
      <c r="M975" s="64">
        <f t="shared" si="334"/>
        <v>0</v>
      </c>
      <c r="O975" s="64">
        <f t="shared" si="335"/>
        <v>0</v>
      </c>
      <c r="Q975" s="64">
        <f t="shared" si="336"/>
        <v>0</v>
      </c>
      <c r="S975" s="71">
        <f t="shared" si="337"/>
        <v>0</v>
      </c>
      <c r="U975" s="64">
        <f t="shared" si="338"/>
        <v>0</v>
      </c>
      <c r="W975" s="71">
        <f t="shared" si="339"/>
        <v>0</v>
      </c>
      <c r="Y975" s="71">
        <f t="shared" si="340"/>
        <v>0</v>
      </c>
      <c r="AA975" s="71">
        <f t="shared" si="341"/>
        <v>0</v>
      </c>
      <c r="AC975" s="71">
        <f t="shared" si="342"/>
        <v>0</v>
      </c>
      <c r="AK975" s="71">
        <f t="shared" si="343"/>
        <v>0</v>
      </c>
      <c r="AM975" s="71">
        <f t="shared" si="344"/>
        <v>0</v>
      </c>
      <c r="AO975" s="71">
        <f t="shared" si="345"/>
        <v>0</v>
      </c>
      <c r="AQ975" s="71">
        <f t="shared" si="346"/>
        <v>0</v>
      </c>
      <c r="AT975" s="71">
        <f t="shared" si="347"/>
        <v>0</v>
      </c>
      <c r="AV975" s="71">
        <f t="shared" si="348"/>
        <v>0</v>
      </c>
      <c r="AX975" s="71">
        <f t="shared" si="349"/>
        <v>0</v>
      </c>
      <c r="AZ975" s="71">
        <f t="shared" si="350"/>
        <v>0</v>
      </c>
      <c r="BE975" s="81">
        <f t="shared" si="351"/>
        <v>0</v>
      </c>
      <c r="BF975" s="81" t="str">
        <f t="shared" si="352"/>
        <v>BASSO</v>
      </c>
    </row>
    <row r="976" spans="7:58" x14ac:dyDescent="0.15">
      <c r="G976" s="64">
        <f t="shared" si="331"/>
        <v>0</v>
      </c>
      <c r="I976" s="64">
        <f t="shared" si="332"/>
        <v>0</v>
      </c>
      <c r="K976" s="64">
        <f t="shared" si="333"/>
        <v>0</v>
      </c>
      <c r="M976" s="64">
        <f t="shared" si="334"/>
        <v>0</v>
      </c>
      <c r="O976" s="64">
        <f t="shared" si="335"/>
        <v>0</v>
      </c>
      <c r="Q976" s="64">
        <f t="shared" si="336"/>
        <v>0</v>
      </c>
      <c r="S976" s="71">
        <f t="shared" si="337"/>
        <v>0</v>
      </c>
      <c r="U976" s="64">
        <f t="shared" si="338"/>
        <v>0</v>
      </c>
      <c r="W976" s="71">
        <f t="shared" si="339"/>
        <v>0</v>
      </c>
      <c r="Y976" s="71">
        <f t="shared" si="340"/>
        <v>0</v>
      </c>
      <c r="AA976" s="71">
        <f t="shared" si="341"/>
        <v>0</v>
      </c>
      <c r="AC976" s="71">
        <f t="shared" si="342"/>
        <v>0</v>
      </c>
      <c r="AK976" s="71">
        <f t="shared" si="343"/>
        <v>0</v>
      </c>
      <c r="AM976" s="71">
        <f t="shared" si="344"/>
        <v>0</v>
      </c>
      <c r="AO976" s="71">
        <f t="shared" si="345"/>
        <v>0</v>
      </c>
      <c r="AQ976" s="71">
        <f t="shared" si="346"/>
        <v>0</v>
      </c>
      <c r="AT976" s="71">
        <f t="shared" si="347"/>
        <v>0</v>
      </c>
      <c r="AV976" s="71">
        <f t="shared" si="348"/>
        <v>0</v>
      </c>
      <c r="AX976" s="71">
        <f t="shared" si="349"/>
        <v>0</v>
      </c>
      <c r="AZ976" s="71">
        <f t="shared" si="350"/>
        <v>0</v>
      </c>
      <c r="BE976" s="81">
        <f t="shared" si="351"/>
        <v>0</v>
      </c>
      <c r="BF976" s="81" t="str">
        <f t="shared" si="352"/>
        <v>BASSO</v>
      </c>
    </row>
    <row r="977" spans="7:58" x14ac:dyDescent="0.15">
      <c r="G977" s="64">
        <f t="shared" si="331"/>
        <v>0</v>
      </c>
      <c r="I977" s="64">
        <f t="shared" si="332"/>
        <v>0</v>
      </c>
      <c r="K977" s="64">
        <f t="shared" si="333"/>
        <v>0</v>
      </c>
      <c r="M977" s="64">
        <f t="shared" si="334"/>
        <v>0</v>
      </c>
      <c r="O977" s="64">
        <f t="shared" si="335"/>
        <v>0</v>
      </c>
      <c r="Q977" s="64">
        <f t="shared" si="336"/>
        <v>0</v>
      </c>
      <c r="S977" s="71">
        <f t="shared" si="337"/>
        <v>0</v>
      </c>
      <c r="U977" s="64">
        <f t="shared" si="338"/>
        <v>0</v>
      </c>
      <c r="W977" s="71">
        <f t="shared" si="339"/>
        <v>0</v>
      </c>
      <c r="Y977" s="71">
        <f t="shared" si="340"/>
        <v>0</v>
      </c>
      <c r="AA977" s="71">
        <f t="shared" si="341"/>
        <v>0</v>
      </c>
      <c r="AC977" s="71">
        <f t="shared" si="342"/>
        <v>0</v>
      </c>
      <c r="AK977" s="71">
        <f t="shared" si="343"/>
        <v>0</v>
      </c>
      <c r="AM977" s="71">
        <f t="shared" si="344"/>
        <v>0</v>
      </c>
      <c r="AO977" s="71">
        <f t="shared" si="345"/>
        <v>0</v>
      </c>
      <c r="AQ977" s="71">
        <f t="shared" si="346"/>
        <v>0</v>
      </c>
      <c r="AT977" s="71">
        <f t="shared" si="347"/>
        <v>0</v>
      </c>
      <c r="AV977" s="71">
        <f t="shared" si="348"/>
        <v>0</v>
      </c>
      <c r="AX977" s="71">
        <f t="shared" si="349"/>
        <v>0</v>
      </c>
      <c r="AZ977" s="71">
        <f t="shared" si="350"/>
        <v>0</v>
      </c>
      <c r="BE977" s="81">
        <f t="shared" si="351"/>
        <v>0</v>
      </c>
      <c r="BF977" s="81" t="str">
        <f t="shared" si="352"/>
        <v>BASSO</v>
      </c>
    </row>
    <row r="978" spans="7:58" x14ac:dyDescent="0.15">
      <c r="G978" s="64">
        <f t="shared" si="331"/>
        <v>0</v>
      </c>
      <c r="I978" s="64">
        <f t="shared" si="332"/>
        <v>0</v>
      </c>
      <c r="K978" s="64">
        <f t="shared" si="333"/>
        <v>0</v>
      </c>
      <c r="M978" s="64">
        <f t="shared" si="334"/>
        <v>0</v>
      </c>
      <c r="O978" s="64">
        <f t="shared" si="335"/>
        <v>0</v>
      </c>
      <c r="Q978" s="64">
        <f t="shared" si="336"/>
        <v>0</v>
      </c>
      <c r="S978" s="71">
        <f t="shared" si="337"/>
        <v>0</v>
      </c>
      <c r="U978" s="64">
        <f t="shared" si="338"/>
        <v>0</v>
      </c>
      <c r="W978" s="71">
        <f t="shared" si="339"/>
        <v>0</v>
      </c>
      <c r="Y978" s="71">
        <f t="shared" si="340"/>
        <v>0</v>
      </c>
      <c r="AA978" s="71">
        <f t="shared" si="341"/>
        <v>0</v>
      </c>
      <c r="AC978" s="71">
        <f t="shared" si="342"/>
        <v>0</v>
      </c>
      <c r="AK978" s="71">
        <f t="shared" si="343"/>
        <v>0</v>
      </c>
      <c r="AM978" s="71">
        <f t="shared" si="344"/>
        <v>0</v>
      </c>
      <c r="AO978" s="71">
        <f t="shared" si="345"/>
        <v>0</v>
      </c>
      <c r="AQ978" s="71">
        <f t="shared" si="346"/>
        <v>0</v>
      </c>
      <c r="AT978" s="71">
        <f t="shared" si="347"/>
        <v>0</v>
      </c>
      <c r="AV978" s="71">
        <f t="shared" si="348"/>
        <v>0</v>
      </c>
      <c r="AX978" s="71">
        <f t="shared" si="349"/>
        <v>0</v>
      </c>
      <c r="AZ978" s="71">
        <f t="shared" si="350"/>
        <v>0</v>
      </c>
      <c r="BE978" s="81">
        <f t="shared" si="351"/>
        <v>0</v>
      </c>
      <c r="BF978" s="81" t="str">
        <f t="shared" si="352"/>
        <v>BASSO</v>
      </c>
    </row>
    <row r="979" spans="7:58" x14ac:dyDescent="0.15">
      <c r="G979" s="64">
        <f t="shared" si="331"/>
        <v>0</v>
      </c>
      <c r="I979" s="64">
        <f t="shared" si="332"/>
        <v>0</v>
      </c>
      <c r="K979" s="64">
        <f t="shared" si="333"/>
        <v>0</v>
      </c>
      <c r="M979" s="64">
        <f t="shared" si="334"/>
        <v>0</v>
      </c>
      <c r="O979" s="64">
        <f t="shared" si="335"/>
        <v>0</v>
      </c>
      <c r="Q979" s="64">
        <f t="shared" si="336"/>
        <v>0</v>
      </c>
      <c r="S979" s="71">
        <f t="shared" si="337"/>
        <v>0</v>
      </c>
      <c r="U979" s="64">
        <f t="shared" si="338"/>
        <v>0</v>
      </c>
      <c r="W979" s="71">
        <f t="shared" si="339"/>
        <v>0</v>
      </c>
      <c r="Y979" s="71">
        <f t="shared" si="340"/>
        <v>0</v>
      </c>
      <c r="AA979" s="71">
        <f t="shared" si="341"/>
        <v>0</v>
      </c>
      <c r="AC979" s="71">
        <f t="shared" si="342"/>
        <v>0</v>
      </c>
      <c r="AK979" s="71">
        <f t="shared" si="343"/>
        <v>0</v>
      </c>
      <c r="AM979" s="71">
        <f t="shared" si="344"/>
        <v>0</v>
      </c>
      <c r="AO979" s="71">
        <f t="shared" si="345"/>
        <v>0</v>
      </c>
      <c r="AQ979" s="71">
        <f t="shared" si="346"/>
        <v>0</v>
      </c>
      <c r="AT979" s="71">
        <f t="shared" si="347"/>
        <v>0</v>
      </c>
      <c r="AV979" s="71">
        <f t="shared" si="348"/>
        <v>0</v>
      </c>
      <c r="AX979" s="71">
        <f t="shared" si="349"/>
        <v>0</v>
      </c>
      <c r="AZ979" s="71">
        <f t="shared" si="350"/>
        <v>0</v>
      </c>
      <c r="BE979" s="81">
        <f t="shared" si="351"/>
        <v>0</v>
      </c>
      <c r="BF979" s="81" t="str">
        <f t="shared" si="352"/>
        <v>BASSO</v>
      </c>
    </row>
    <row r="980" spans="7:58" x14ac:dyDescent="0.15">
      <c r="G980" s="64">
        <f t="shared" si="331"/>
        <v>0</v>
      </c>
      <c r="I980" s="64">
        <f t="shared" si="332"/>
        <v>0</v>
      </c>
      <c r="K980" s="64">
        <f t="shared" si="333"/>
        <v>0</v>
      </c>
      <c r="M980" s="64">
        <f t="shared" si="334"/>
        <v>0</v>
      </c>
      <c r="O980" s="64">
        <f t="shared" si="335"/>
        <v>0</v>
      </c>
      <c r="Q980" s="64">
        <f t="shared" si="336"/>
        <v>0</v>
      </c>
      <c r="S980" s="71">
        <f t="shared" si="337"/>
        <v>0</v>
      </c>
      <c r="U980" s="64">
        <f t="shared" si="338"/>
        <v>0</v>
      </c>
      <c r="W980" s="71">
        <f t="shared" si="339"/>
        <v>0</v>
      </c>
      <c r="Y980" s="71">
        <f t="shared" si="340"/>
        <v>0</v>
      </c>
      <c r="AA980" s="71">
        <f t="shared" si="341"/>
        <v>0</v>
      </c>
      <c r="AC980" s="71">
        <f t="shared" si="342"/>
        <v>0</v>
      </c>
      <c r="AK980" s="71">
        <f t="shared" si="343"/>
        <v>0</v>
      </c>
      <c r="AM980" s="71">
        <f t="shared" si="344"/>
        <v>0</v>
      </c>
      <c r="AO980" s="71">
        <f t="shared" si="345"/>
        <v>0</v>
      </c>
      <c r="AQ980" s="71">
        <f t="shared" si="346"/>
        <v>0</v>
      </c>
      <c r="AT980" s="71">
        <f t="shared" si="347"/>
        <v>0</v>
      </c>
      <c r="AV980" s="71">
        <f t="shared" si="348"/>
        <v>0</v>
      </c>
      <c r="AX980" s="71">
        <f t="shared" si="349"/>
        <v>0</v>
      </c>
      <c r="AZ980" s="71">
        <f t="shared" si="350"/>
        <v>0</v>
      </c>
      <c r="BE980" s="81">
        <f t="shared" si="351"/>
        <v>0</v>
      </c>
      <c r="BF980" s="81" t="str">
        <f t="shared" si="352"/>
        <v>BASSO</v>
      </c>
    </row>
    <row r="981" spans="7:58" x14ac:dyDescent="0.15">
      <c r="G981" s="64">
        <f t="shared" si="331"/>
        <v>0</v>
      </c>
      <c r="I981" s="64">
        <f t="shared" si="332"/>
        <v>0</v>
      </c>
      <c r="K981" s="64">
        <f t="shared" si="333"/>
        <v>0</v>
      </c>
      <c r="M981" s="64">
        <f t="shared" si="334"/>
        <v>0</v>
      </c>
      <c r="O981" s="64">
        <f t="shared" si="335"/>
        <v>0</v>
      </c>
      <c r="Q981" s="64">
        <f t="shared" si="336"/>
        <v>0</v>
      </c>
      <c r="S981" s="71">
        <f t="shared" si="337"/>
        <v>0</v>
      </c>
      <c r="U981" s="64">
        <f t="shared" si="338"/>
        <v>0</v>
      </c>
      <c r="W981" s="71">
        <f t="shared" si="339"/>
        <v>0</v>
      </c>
      <c r="Y981" s="71">
        <f t="shared" si="340"/>
        <v>0</v>
      </c>
      <c r="AA981" s="71">
        <f t="shared" si="341"/>
        <v>0</v>
      </c>
      <c r="AC981" s="71">
        <f t="shared" si="342"/>
        <v>0</v>
      </c>
      <c r="AK981" s="71">
        <f t="shared" si="343"/>
        <v>0</v>
      </c>
      <c r="AM981" s="71">
        <f t="shared" si="344"/>
        <v>0</v>
      </c>
      <c r="AO981" s="71">
        <f t="shared" si="345"/>
        <v>0</v>
      </c>
      <c r="AQ981" s="71">
        <f t="shared" si="346"/>
        <v>0</v>
      </c>
      <c r="AT981" s="71">
        <f t="shared" si="347"/>
        <v>0</v>
      </c>
      <c r="AV981" s="71">
        <f t="shared" si="348"/>
        <v>0</v>
      </c>
      <c r="AX981" s="71">
        <f t="shared" si="349"/>
        <v>0</v>
      </c>
      <c r="AZ981" s="71">
        <f t="shared" si="350"/>
        <v>0</v>
      </c>
      <c r="BE981" s="81">
        <f t="shared" si="351"/>
        <v>0</v>
      </c>
      <c r="BF981" s="81" t="str">
        <f t="shared" si="352"/>
        <v>BASSO</v>
      </c>
    </row>
    <row r="982" spans="7:58" x14ac:dyDescent="0.15">
      <c r="G982" s="64">
        <f t="shared" si="331"/>
        <v>0</v>
      </c>
      <c r="I982" s="64">
        <f t="shared" si="332"/>
        <v>0</v>
      </c>
      <c r="K982" s="64">
        <f t="shared" si="333"/>
        <v>0</v>
      </c>
      <c r="M982" s="64">
        <f t="shared" si="334"/>
        <v>0</v>
      </c>
      <c r="O982" s="64">
        <f t="shared" si="335"/>
        <v>0</v>
      </c>
      <c r="Q982" s="64">
        <f t="shared" si="336"/>
        <v>0</v>
      </c>
      <c r="S982" s="71">
        <f t="shared" si="337"/>
        <v>0</v>
      </c>
      <c r="U982" s="64">
        <f t="shared" si="338"/>
        <v>0</v>
      </c>
      <c r="W982" s="71">
        <f t="shared" si="339"/>
        <v>0</v>
      </c>
      <c r="Y982" s="71">
        <f t="shared" si="340"/>
        <v>0</v>
      </c>
      <c r="AA982" s="71">
        <f t="shared" si="341"/>
        <v>0</v>
      </c>
      <c r="AC982" s="71">
        <f t="shared" si="342"/>
        <v>0</v>
      </c>
      <c r="AK982" s="71">
        <f t="shared" si="343"/>
        <v>0</v>
      </c>
      <c r="AM982" s="71">
        <f t="shared" si="344"/>
        <v>0</v>
      </c>
      <c r="AO982" s="71">
        <f t="shared" si="345"/>
        <v>0</v>
      </c>
      <c r="AQ982" s="71">
        <f t="shared" si="346"/>
        <v>0</v>
      </c>
      <c r="AT982" s="71">
        <f t="shared" si="347"/>
        <v>0</v>
      </c>
      <c r="AV982" s="71">
        <f t="shared" si="348"/>
        <v>0</v>
      </c>
      <c r="AX982" s="71">
        <f t="shared" si="349"/>
        <v>0</v>
      </c>
      <c r="AZ982" s="71">
        <f t="shared" si="350"/>
        <v>0</v>
      </c>
      <c r="BE982" s="81">
        <f t="shared" si="351"/>
        <v>0</v>
      </c>
      <c r="BF982" s="81" t="str">
        <f t="shared" si="352"/>
        <v>BASSO</v>
      </c>
    </row>
    <row r="983" spans="7:58" x14ac:dyDescent="0.15">
      <c r="G983" s="64">
        <f t="shared" si="331"/>
        <v>0</v>
      </c>
      <c r="I983" s="64">
        <f t="shared" si="332"/>
        <v>0</v>
      </c>
      <c r="K983" s="64">
        <f t="shared" si="333"/>
        <v>0</v>
      </c>
      <c r="M983" s="64">
        <f t="shared" si="334"/>
        <v>0</v>
      </c>
      <c r="O983" s="64">
        <f t="shared" si="335"/>
        <v>0</v>
      </c>
      <c r="Q983" s="64">
        <f t="shared" si="336"/>
        <v>0</v>
      </c>
      <c r="S983" s="71">
        <f t="shared" si="337"/>
        <v>0</v>
      </c>
      <c r="U983" s="64">
        <f t="shared" si="338"/>
        <v>0</v>
      </c>
      <c r="W983" s="71">
        <f t="shared" si="339"/>
        <v>0</v>
      </c>
      <c r="Y983" s="71">
        <f t="shared" si="340"/>
        <v>0</v>
      </c>
      <c r="AA983" s="71">
        <f t="shared" si="341"/>
        <v>0</v>
      </c>
      <c r="AC983" s="71">
        <f t="shared" si="342"/>
        <v>0</v>
      </c>
      <c r="AK983" s="71">
        <f t="shared" si="343"/>
        <v>0</v>
      </c>
      <c r="AM983" s="71">
        <f t="shared" si="344"/>
        <v>0</v>
      </c>
      <c r="AO983" s="71">
        <f t="shared" si="345"/>
        <v>0</v>
      </c>
      <c r="AQ983" s="71">
        <f t="shared" si="346"/>
        <v>0</v>
      </c>
      <c r="AT983" s="71">
        <f t="shared" si="347"/>
        <v>0</v>
      </c>
      <c r="AV983" s="71">
        <f t="shared" si="348"/>
        <v>0</v>
      </c>
      <c r="AX983" s="71">
        <f t="shared" si="349"/>
        <v>0</v>
      </c>
      <c r="AZ983" s="71">
        <f t="shared" si="350"/>
        <v>0</v>
      </c>
      <c r="BE983" s="81">
        <f t="shared" si="351"/>
        <v>0</v>
      </c>
      <c r="BF983" s="81" t="str">
        <f t="shared" si="352"/>
        <v>BASSO</v>
      </c>
    </row>
    <row r="984" spans="7:58" x14ac:dyDescent="0.15">
      <c r="G984" s="64">
        <f t="shared" si="331"/>
        <v>0</v>
      </c>
      <c r="I984" s="64">
        <f t="shared" si="332"/>
        <v>0</v>
      </c>
      <c r="K984" s="64">
        <f t="shared" si="333"/>
        <v>0</v>
      </c>
      <c r="M984" s="64">
        <f t="shared" si="334"/>
        <v>0</v>
      </c>
      <c r="O984" s="64">
        <f t="shared" si="335"/>
        <v>0</v>
      </c>
      <c r="Q984" s="64">
        <f t="shared" si="336"/>
        <v>0</v>
      </c>
      <c r="S984" s="71">
        <f t="shared" si="337"/>
        <v>0</v>
      </c>
      <c r="U984" s="64">
        <f t="shared" si="338"/>
        <v>0</v>
      </c>
      <c r="W984" s="71">
        <f t="shared" si="339"/>
        <v>0</v>
      </c>
      <c r="Y984" s="71">
        <f t="shared" si="340"/>
        <v>0</v>
      </c>
      <c r="AA984" s="71">
        <f t="shared" si="341"/>
        <v>0</v>
      </c>
      <c r="AC984" s="71">
        <f t="shared" si="342"/>
        <v>0</v>
      </c>
      <c r="AK984" s="71">
        <f t="shared" si="343"/>
        <v>0</v>
      </c>
      <c r="AM984" s="71">
        <f t="shared" si="344"/>
        <v>0</v>
      </c>
      <c r="AO984" s="71">
        <f t="shared" si="345"/>
        <v>0</v>
      </c>
      <c r="AQ984" s="71">
        <f t="shared" si="346"/>
        <v>0</v>
      </c>
      <c r="AT984" s="71">
        <f t="shared" si="347"/>
        <v>0</v>
      </c>
      <c r="AV984" s="71">
        <f t="shared" si="348"/>
        <v>0</v>
      </c>
      <c r="AX984" s="71">
        <f t="shared" si="349"/>
        <v>0</v>
      </c>
      <c r="AZ984" s="71">
        <f t="shared" si="350"/>
        <v>0</v>
      </c>
      <c r="BE984" s="81">
        <f t="shared" si="351"/>
        <v>0</v>
      </c>
      <c r="BF984" s="81" t="str">
        <f t="shared" si="352"/>
        <v>BASSO</v>
      </c>
    </row>
    <row r="985" spans="7:58" x14ac:dyDescent="0.15">
      <c r="G985" s="64">
        <f t="shared" si="331"/>
        <v>0</v>
      </c>
      <c r="I985" s="64">
        <f t="shared" si="332"/>
        <v>0</v>
      </c>
      <c r="K985" s="64">
        <f t="shared" si="333"/>
        <v>0</v>
      </c>
      <c r="M985" s="64">
        <f t="shared" si="334"/>
        <v>0</v>
      </c>
      <c r="O985" s="64">
        <f t="shared" si="335"/>
        <v>0</v>
      </c>
      <c r="Q985" s="64">
        <f t="shared" si="336"/>
        <v>0</v>
      </c>
      <c r="S985" s="71">
        <f t="shared" si="337"/>
        <v>0</v>
      </c>
      <c r="U985" s="64">
        <f t="shared" si="338"/>
        <v>0</v>
      </c>
      <c r="W985" s="71">
        <f t="shared" si="339"/>
        <v>0</v>
      </c>
      <c r="Y985" s="71">
        <f t="shared" si="340"/>
        <v>0</v>
      </c>
      <c r="AA985" s="71">
        <f t="shared" si="341"/>
        <v>0</v>
      </c>
      <c r="AC985" s="71">
        <f t="shared" si="342"/>
        <v>0</v>
      </c>
      <c r="AK985" s="71">
        <f t="shared" si="343"/>
        <v>0</v>
      </c>
      <c r="AM985" s="71">
        <f t="shared" si="344"/>
        <v>0</v>
      </c>
      <c r="AO985" s="71">
        <f t="shared" si="345"/>
        <v>0</v>
      </c>
      <c r="AQ985" s="71">
        <f t="shared" si="346"/>
        <v>0</v>
      </c>
      <c r="AT985" s="71">
        <f t="shared" si="347"/>
        <v>0</v>
      </c>
      <c r="AV985" s="71">
        <f t="shared" si="348"/>
        <v>0</v>
      </c>
      <c r="AX985" s="71">
        <f t="shared" si="349"/>
        <v>0</v>
      </c>
      <c r="AZ985" s="71">
        <f t="shared" si="350"/>
        <v>0</v>
      </c>
      <c r="BE985" s="81">
        <f t="shared" si="351"/>
        <v>0</v>
      </c>
      <c r="BF985" s="81" t="str">
        <f t="shared" si="352"/>
        <v>BASSO</v>
      </c>
    </row>
    <row r="986" spans="7:58" x14ac:dyDescent="0.15">
      <c r="G986" s="64">
        <f t="shared" si="331"/>
        <v>0</v>
      </c>
      <c r="I986" s="64">
        <f t="shared" si="332"/>
        <v>0</v>
      </c>
      <c r="K986" s="64">
        <f t="shared" si="333"/>
        <v>0</v>
      </c>
      <c r="M986" s="64">
        <f t="shared" si="334"/>
        <v>0</v>
      </c>
      <c r="O986" s="64">
        <f t="shared" si="335"/>
        <v>0</v>
      </c>
      <c r="Q986" s="64">
        <f t="shared" si="336"/>
        <v>0</v>
      </c>
      <c r="S986" s="71">
        <f t="shared" si="337"/>
        <v>0</v>
      </c>
      <c r="U986" s="64">
        <f t="shared" si="338"/>
        <v>0</v>
      </c>
      <c r="W986" s="71">
        <f t="shared" si="339"/>
        <v>0</v>
      </c>
      <c r="Y986" s="71">
        <f t="shared" si="340"/>
        <v>0</v>
      </c>
      <c r="AA986" s="71">
        <f t="shared" si="341"/>
        <v>0</v>
      </c>
      <c r="AC986" s="71">
        <f t="shared" si="342"/>
        <v>0</v>
      </c>
      <c r="AK986" s="71">
        <f t="shared" si="343"/>
        <v>0</v>
      </c>
      <c r="AM986" s="71">
        <f t="shared" si="344"/>
        <v>0</v>
      </c>
      <c r="AO986" s="71">
        <f t="shared" si="345"/>
        <v>0</v>
      </c>
      <c r="AQ986" s="71">
        <f t="shared" si="346"/>
        <v>0</v>
      </c>
      <c r="AT986" s="71">
        <f t="shared" si="347"/>
        <v>0</v>
      </c>
      <c r="AV986" s="71">
        <f t="shared" si="348"/>
        <v>0</v>
      </c>
      <c r="AX986" s="71">
        <f t="shared" si="349"/>
        <v>0</v>
      </c>
      <c r="AZ986" s="71">
        <f t="shared" si="350"/>
        <v>0</v>
      </c>
      <c r="BE986" s="81">
        <f t="shared" si="351"/>
        <v>0</v>
      </c>
      <c r="BF986" s="81" t="str">
        <f t="shared" si="352"/>
        <v>BASSO</v>
      </c>
    </row>
    <row r="987" spans="7:58" x14ac:dyDescent="0.15">
      <c r="G987" s="64">
        <f t="shared" si="331"/>
        <v>0</v>
      </c>
      <c r="I987" s="64">
        <f t="shared" si="332"/>
        <v>0</v>
      </c>
      <c r="K987" s="64">
        <f t="shared" si="333"/>
        <v>0</v>
      </c>
      <c r="M987" s="64">
        <f t="shared" si="334"/>
        <v>0</v>
      </c>
      <c r="O987" s="64">
        <f t="shared" si="335"/>
        <v>0</v>
      </c>
      <c r="Q987" s="64">
        <f t="shared" si="336"/>
        <v>0</v>
      </c>
      <c r="S987" s="71">
        <f t="shared" si="337"/>
        <v>0</v>
      </c>
      <c r="U987" s="64">
        <f t="shared" si="338"/>
        <v>0</v>
      </c>
      <c r="W987" s="71">
        <f t="shared" si="339"/>
        <v>0</v>
      </c>
      <c r="Y987" s="71">
        <f t="shared" si="340"/>
        <v>0</v>
      </c>
      <c r="AA987" s="71">
        <f t="shared" si="341"/>
        <v>0</v>
      </c>
      <c r="AC987" s="71">
        <f t="shared" si="342"/>
        <v>0</v>
      </c>
      <c r="AK987" s="71">
        <f t="shared" si="343"/>
        <v>0</v>
      </c>
      <c r="AM987" s="71">
        <f t="shared" si="344"/>
        <v>0</v>
      </c>
      <c r="AO987" s="71">
        <f t="shared" si="345"/>
        <v>0</v>
      </c>
      <c r="AQ987" s="71">
        <f t="shared" si="346"/>
        <v>0</v>
      </c>
      <c r="AT987" s="71">
        <f t="shared" si="347"/>
        <v>0</v>
      </c>
      <c r="AV987" s="71">
        <f t="shared" si="348"/>
        <v>0</v>
      </c>
      <c r="AX987" s="71">
        <f t="shared" si="349"/>
        <v>0</v>
      </c>
      <c r="AZ987" s="71">
        <f t="shared" si="350"/>
        <v>0</v>
      </c>
      <c r="BE987" s="81">
        <f t="shared" si="351"/>
        <v>0</v>
      </c>
      <c r="BF987" s="81" t="str">
        <f t="shared" si="352"/>
        <v>BASSO</v>
      </c>
    </row>
    <row r="988" spans="7:58" x14ac:dyDescent="0.15">
      <c r="G988" s="64">
        <f t="shared" si="331"/>
        <v>0</v>
      </c>
      <c r="I988" s="64">
        <f t="shared" si="332"/>
        <v>0</v>
      </c>
      <c r="K988" s="64">
        <f t="shared" si="333"/>
        <v>0</v>
      </c>
      <c r="M988" s="64">
        <f t="shared" si="334"/>
        <v>0</v>
      </c>
      <c r="O988" s="64">
        <f t="shared" si="335"/>
        <v>0</v>
      </c>
      <c r="Q988" s="64">
        <f t="shared" si="336"/>
        <v>0</v>
      </c>
      <c r="S988" s="71">
        <f t="shared" si="337"/>
        <v>0</v>
      </c>
      <c r="U988" s="64">
        <f t="shared" si="338"/>
        <v>0</v>
      </c>
      <c r="W988" s="71">
        <f t="shared" si="339"/>
        <v>0</v>
      </c>
      <c r="Y988" s="71">
        <f t="shared" si="340"/>
        <v>0</v>
      </c>
      <c r="AA988" s="71">
        <f t="shared" si="341"/>
        <v>0</v>
      </c>
      <c r="AC988" s="71">
        <f t="shared" si="342"/>
        <v>0</v>
      </c>
      <c r="AK988" s="71">
        <f t="shared" si="343"/>
        <v>0</v>
      </c>
      <c r="AM988" s="71">
        <f t="shared" si="344"/>
        <v>0</v>
      </c>
      <c r="AO988" s="71">
        <f t="shared" si="345"/>
        <v>0</v>
      </c>
      <c r="AQ988" s="71">
        <f t="shared" si="346"/>
        <v>0</v>
      </c>
      <c r="AT988" s="71">
        <f t="shared" si="347"/>
        <v>0</v>
      </c>
      <c r="AV988" s="71">
        <f t="shared" si="348"/>
        <v>0</v>
      </c>
      <c r="AX988" s="71">
        <f t="shared" si="349"/>
        <v>0</v>
      </c>
      <c r="AZ988" s="71">
        <f t="shared" si="350"/>
        <v>0</v>
      </c>
      <c r="BE988" s="81">
        <f t="shared" si="351"/>
        <v>0</v>
      </c>
      <c r="BF988" s="81" t="str">
        <f t="shared" si="352"/>
        <v>BASSO</v>
      </c>
    </row>
    <row r="989" spans="7:58" x14ac:dyDescent="0.15">
      <c r="G989" s="64">
        <f t="shared" si="331"/>
        <v>0</v>
      </c>
      <c r="I989" s="64">
        <f t="shared" si="332"/>
        <v>0</v>
      </c>
      <c r="K989" s="64">
        <f t="shared" si="333"/>
        <v>0</v>
      </c>
      <c r="M989" s="64">
        <f t="shared" si="334"/>
        <v>0</v>
      </c>
      <c r="O989" s="64">
        <f t="shared" si="335"/>
        <v>0</v>
      </c>
      <c r="Q989" s="64">
        <f t="shared" si="336"/>
        <v>0</v>
      </c>
      <c r="S989" s="71">
        <f t="shared" si="337"/>
        <v>0</v>
      </c>
      <c r="U989" s="64">
        <f t="shared" si="338"/>
        <v>0</v>
      </c>
      <c r="W989" s="71">
        <f t="shared" si="339"/>
        <v>0</v>
      </c>
      <c r="Y989" s="71">
        <f t="shared" si="340"/>
        <v>0</v>
      </c>
      <c r="AA989" s="71">
        <f t="shared" si="341"/>
        <v>0</v>
      </c>
      <c r="AC989" s="71">
        <f t="shared" si="342"/>
        <v>0</v>
      </c>
      <c r="AK989" s="71">
        <f t="shared" si="343"/>
        <v>0</v>
      </c>
      <c r="AM989" s="71">
        <f t="shared" si="344"/>
        <v>0</v>
      </c>
      <c r="AO989" s="71">
        <f t="shared" si="345"/>
        <v>0</v>
      </c>
      <c r="AQ989" s="71">
        <f t="shared" si="346"/>
        <v>0</v>
      </c>
      <c r="AT989" s="71">
        <f t="shared" si="347"/>
        <v>0</v>
      </c>
      <c r="AV989" s="71">
        <f t="shared" si="348"/>
        <v>0</v>
      </c>
      <c r="AX989" s="71">
        <f t="shared" si="349"/>
        <v>0</v>
      </c>
      <c r="AZ989" s="71">
        <f t="shared" si="350"/>
        <v>0</v>
      </c>
      <c r="BE989" s="81">
        <f t="shared" si="351"/>
        <v>0</v>
      </c>
      <c r="BF989" s="81" t="str">
        <f t="shared" si="352"/>
        <v>BASSO</v>
      </c>
    </row>
    <row r="990" spans="7:58" x14ac:dyDescent="0.15">
      <c r="G990" s="64">
        <f t="shared" si="331"/>
        <v>0</v>
      </c>
      <c r="I990" s="64">
        <f t="shared" si="332"/>
        <v>0</v>
      </c>
      <c r="K990" s="64">
        <f t="shared" si="333"/>
        <v>0</v>
      </c>
      <c r="M990" s="64">
        <f t="shared" si="334"/>
        <v>0</v>
      </c>
      <c r="O990" s="64">
        <f t="shared" si="335"/>
        <v>0</v>
      </c>
      <c r="Q990" s="64">
        <f t="shared" si="336"/>
        <v>0</v>
      </c>
      <c r="S990" s="71">
        <f t="shared" si="337"/>
        <v>0</v>
      </c>
      <c r="U990" s="64">
        <f t="shared" si="338"/>
        <v>0</v>
      </c>
      <c r="W990" s="71">
        <f t="shared" si="339"/>
        <v>0</v>
      </c>
      <c r="Y990" s="71">
        <f t="shared" si="340"/>
        <v>0</v>
      </c>
      <c r="AA990" s="71">
        <f t="shared" si="341"/>
        <v>0</v>
      </c>
      <c r="AC990" s="71">
        <f t="shared" si="342"/>
        <v>0</v>
      </c>
      <c r="AK990" s="71">
        <f t="shared" si="343"/>
        <v>0</v>
      </c>
      <c r="AM990" s="71">
        <f t="shared" si="344"/>
        <v>0</v>
      </c>
      <c r="AO990" s="71">
        <f t="shared" si="345"/>
        <v>0</v>
      </c>
      <c r="AQ990" s="71">
        <f t="shared" si="346"/>
        <v>0</v>
      </c>
      <c r="AT990" s="71">
        <f t="shared" si="347"/>
        <v>0</v>
      </c>
      <c r="AV990" s="71">
        <f t="shared" si="348"/>
        <v>0</v>
      </c>
      <c r="AX990" s="71">
        <f t="shared" si="349"/>
        <v>0</v>
      </c>
      <c r="AZ990" s="71">
        <f t="shared" si="350"/>
        <v>0</v>
      </c>
      <c r="BE990" s="81">
        <f t="shared" si="351"/>
        <v>0</v>
      </c>
      <c r="BF990" s="81" t="str">
        <f t="shared" si="352"/>
        <v>BASSO</v>
      </c>
    </row>
    <row r="991" spans="7:58" x14ac:dyDescent="0.15">
      <c r="G991" s="64">
        <f t="shared" si="331"/>
        <v>0</v>
      </c>
      <c r="I991" s="64">
        <f t="shared" si="332"/>
        <v>0</v>
      </c>
      <c r="K991" s="64">
        <f t="shared" si="333"/>
        <v>0</v>
      </c>
      <c r="M991" s="64">
        <f t="shared" si="334"/>
        <v>0</v>
      </c>
      <c r="O991" s="64">
        <f t="shared" si="335"/>
        <v>0</v>
      </c>
      <c r="Q991" s="64">
        <f t="shared" si="336"/>
        <v>0</v>
      </c>
      <c r="S991" s="71">
        <f t="shared" si="337"/>
        <v>0</v>
      </c>
      <c r="U991" s="64">
        <f t="shared" si="338"/>
        <v>0</v>
      </c>
      <c r="W991" s="71">
        <f t="shared" si="339"/>
        <v>0</v>
      </c>
      <c r="Y991" s="71">
        <f t="shared" si="340"/>
        <v>0</v>
      </c>
      <c r="AA991" s="71">
        <f t="shared" si="341"/>
        <v>0</v>
      </c>
      <c r="AC991" s="71">
        <f t="shared" si="342"/>
        <v>0</v>
      </c>
      <c r="AK991" s="71">
        <f t="shared" si="343"/>
        <v>0</v>
      </c>
      <c r="AM991" s="71">
        <f t="shared" si="344"/>
        <v>0</v>
      </c>
      <c r="AO991" s="71">
        <f t="shared" si="345"/>
        <v>0</v>
      </c>
      <c r="AQ991" s="71">
        <f t="shared" si="346"/>
        <v>0</v>
      </c>
      <c r="AT991" s="71">
        <f t="shared" si="347"/>
        <v>0</v>
      </c>
      <c r="AV991" s="71">
        <f t="shared" si="348"/>
        <v>0</v>
      </c>
      <c r="AX991" s="71">
        <f t="shared" si="349"/>
        <v>0</v>
      </c>
      <c r="AZ991" s="71">
        <f t="shared" si="350"/>
        <v>0</v>
      </c>
      <c r="BE991" s="81">
        <f t="shared" si="351"/>
        <v>0</v>
      </c>
      <c r="BF991" s="81" t="str">
        <f t="shared" si="352"/>
        <v>BASSO</v>
      </c>
    </row>
    <row r="992" spans="7:58" x14ac:dyDescent="0.15">
      <c r="G992" s="64">
        <f t="shared" si="331"/>
        <v>0</v>
      </c>
      <c r="I992" s="64">
        <f t="shared" si="332"/>
        <v>0</v>
      </c>
      <c r="K992" s="64">
        <f t="shared" si="333"/>
        <v>0</v>
      </c>
      <c r="M992" s="64">
        <f t="shared" si="334"/>
        <v>0</v>
      </c>
      <c r="O992" s="64">
        <f t="shared" si="335"/>
        <v>0</v>
      </c>
      <c r="Q992" s="64">
        <f t="shared" si="336"/>
        <v>0</v>
      </c>
      <c r="S992" s="71">
        <f t="shared" si="337"/>
        <v>0</v>
      </c>
      <c r="U992" s="64">
        <f t="shared" si="338"/>
        <v>0</v>
      </c>
      <c r="W992" s="71">
        <f t="shared" si="339"/>
        <v>0</v>
      </c>
      <c r="Y992" s="71">
        <f t="shared" si="340"/>
        <v>0</v>
      </c>
      <c r="AA992" s="71">
        <f t="shared" si="341"/>
        <v>0</v>
      </c>
      <c r="AC992" s="71">
        <f t="shared" si="342"/>
        <v>0</v>
      </c>
      <c r="AK992" s="71">
        <f t="shared" si="343"/>
        <v>0</v>
      </c>
      <c r="AM992" s="71">
        <f t="shared" si="344"/>
        <v>0</v>
      </c>
      <c r="AO992" s="71">
        <f t="shared" si="345"/>
        <v>0</v>
      </c>
      <c r="AQ992" s="71">
        <f t="shared" si="346"/>
        <v>0</v>
      </c>
      <c r="AT992" s="71">
        <f t="shared" si="347"/>
        <v>0</v>
      </c>
      <c r="AV992" s="71">
        <f t="shared" si="348"/>
        <v>0</v>
      </c>
      <c r="AX992" s="71">
        <f t="shared" si="349"/>
        <v>0</v>
      </c>
      <c r="AZ992" s="71">
        <f t="shared" si="350"/>
        <v>0</v>
      </c>
      <c r="BE992" s="81">
        <f t="shared" si="351"/>
        <v>0</v>
      </c>
      <c r="BF992" s="81" t="str">
        <f t="shared" si="352"/>
        <v>BASSO</v>
      </c>
    </row>
    <row r="993" spans="7:58" x14ac:dyDescent="0.15">
      <c r="G993" s="64">
        <f t="shared" si="331"/>
        <v>0</v>
      </c>
      <c r="I993" s="64">
        <f t="shared" si="332"/>
        <v>0</v>
      </c>
      <c r="K993" s="64">
        <f t="shared" si="333"/>
        <v>0</v>
      </c>
      <c r="M993" s="64">
        <f t="shared" si="334"/>
        <v>0</v>
      </c>
      <c r="O993" s="64">
        <f t="shared" si="335"/>
        <v>0</v>
      </c>
      <c r="Q993" s="64">
        <f t="shared" si="336"/>
        <v>0</v>
      </c>
      <c r="S993" s="71">
        <f t="shared" si="337"/>
        <v>0</v>
      </c>
      <c r="U993" s="64">
        <f t="shared" si="338"/>
        <v>0</v>
      </c>
      <c r="W993" s="71">
        <f t="shared" si="339"/>
        <v>0</v>
      </c>
      <c r="Y993" s="71">
        <f t="shared" si="340"/>
        <v>0</v>
      </c>
      <c r="AA993" s="71">
        <f t="shared" si="341"/>
        <v>0</v>
      </c>
      <c r="AC993" s="71">
        <f t="shared" si="342"/>
        <v>0</v>
      </c>
      <c r="AK993" s="71">
        <f t="shared" si="343"/>
        <v>0</v>
      </c>
      <c r="AM993" s="71">
        <f t="shared" si="344"/>
        <v>0</v>
      </c>
      <c r="AO993" s="71">
        <f t="shared" si="345"/>
        <v>0</v>
      </c>
      <c r="AQ993" s="71">
        <f t="shared" si="346"/>
        <v>0</v>
      </c>
      <c r="AT993" s="71">
        <f t="shared" si="347"/>
        <v>0</v>
      </c>
      <c r="AV993" s="71">
        <f t="shared" si="348"/>
        <v>0</v>
      </c>
      <c r="AX993" s="71">
        <f t="shared" si="349"/>
        <v>0</v>
      </c>
      <c r="AZ993" s="71">
        <f t="shared" si="350"/>
        <v>0</v>
      </c>
      <c r="BE993" s="81">
        <f t="shared" si="351"/>
        <v>0</v>
      </c>
      <c r="BF993" s="81" t="str">
        <f t="shared" si="352"/>
        <v>BASSO</v>
      </c>
    </row>
    <row r="994" spans="7:58" x14ac:dyDescent="0.15">
      <c r="G994" s="64">
        <f t="shared" si="331"/>
        <v>0</v>
      </c>
      <c r="I994" s="64">
        <f t="shared" si="332"/>
        <v>0</v>
      </c>
      <c r="K994" s="64">
        <f t="shared" si="333"/>
        <v>0</v>
      </c>
      <c r="M994" s="64">
        <f t="shared" si="334"/>
        <v>0</v>
      </c>
      <c r="O994" s="64">
        <f t="shared" si="335"/>
        <v>0</v>
      </c>
      <c r="Q994" s="64">
        <f t="shared" si="336"/>
        <v>0</v>
      </c>
      <c r="S994" s="71">
        <f t="shared" si="337"/>
        <v>0</v>
      </c>
      <c r="U994" s="64">
        <f t="shared" si="338"/>
        <v>0</v>
      </c>
      <c r="W994" s="71">
        <f t="shared" si="339"/>
        <v>0</v>
      </c>
      <c r="Y994" s="71">
        <f t="shared" si="340"/>
        <v>0</v>
      </c>
      <c r="AA994" s="71">
        <f t="shared" si="341"/>
        <v>0</v>
      </c>
      <c r="AC994" s="71">
        <f t="shared" si="342"/>
        <v>0</v>
      </c>
      <c r="AK994" s="71">
        <f t="shared" si="343"/>
        <v>0</v>
      </c>
      <c r="AM994" s="71">
        <f t="shared" si="344"/>
        <v>0</v>
      </c>
      <c r="AO994" s="71">
        <f t="shared" si="345"/>
        <v>0</v>
      </c>
      <c r="AQ994" s="71">
        <f t="shared" si="346"/>
        <v>0</v>
      </c>
      <c r="AT994" s="71">
        <f t="shared" si="347"/>
        <v>0</v>
      </c>
      <c r="AV994" s="71">
        <f t="shared" si="348"/>
        <v>0</v>
      </c>
      <c r="AX994" s="71">
        <f t="shared" si="349"/>
        <v>0</v>
      </c>
      <c r="AZ994" s="71">
        <f t="shared" si="350"/>
        <v>0</v>
      </c>
      <c r="BE994" s="81">
        <f t="shared" si="351"/>
        <v>0</v>
      </c>
      <c r="BF994" s="81" t="str">
        <f t="shared" si="352"/>
        <v>BASSO</v>
      </c>
    </row>
    <row r="995" spans="7:58" x14ac:dyDescent="0.15">
      <c r="G995" s="64">
        <f t="shared" si="331"/>
        <v>0</v>
      </c>
      <c r="I995" s="64">
        <f t="shared" si="332"/>
        <v>0</v>
      </c>
      <c r="K995" s="64">
        <f t="shared" si="333"/>
        <v>0</v>
      </c>
      <c r="M995" s="64">
        <f t="shared" si="334"/>
        <v>0</v>
      </c>
      <c r="O995" s="64">
        <f t="shared" si="335"/>
        <v>0</v>
      </c>
      <c r="Q995" s="64">
        <f t="shared" si="336"/>
        <v>0</v>
      </c>
      <c r="S995" s="71">
        <f t="shared" si="337"/>
        <v>0</v>
      </c>
      <c r="U995" s="64">
        <f t="shared" si="338"/>
        <v>0</v>
      </c>
      <c r="W995" s="71">
        <f t="shared" si="339"/>
        <v>0</v>
      </c>
      <c r="Y995" s="71">
        <f t="shared" si="340"/>
        <v>0</v>
      </c>
      <c r="AA995" s="71">
        <f t="shared" si="341"/>
        <v>0</v>
      </c>
      <c r="AC995" s="71">
        <f t="shared" si="342"/>
        <v>0</v>
      </c>
      <c r="AK995" s="71">
        <f t="shared" si="343"/>
        <v>0</v>
      </c>
      <c r="AM995" s="71">
        <f t="shared" si="344"/>
        <v>0</v>
      </c>
      <c r="AO995" s="71">
        <f t="shared" si="345"/>
        <v>0</v>
      </c>
      <c r="AQ995" s="71">
        <f t="shared" si="346"/>
        <v>0</v>
      </c>
      <c r="AT995" s="71">
        <f t="shared" si="347"/>
        <v>0</v>
      </c>
      <c r="AV995" s="71">
        <f t="shared" si="348"/>
        <v>0</v>
      </c>
      <c r="AX995" s="71">
        <f t="shared" si="349"/>
        <v>0</v>
      </c>
      <c r="AZ995" s="71">
        <f t="shared" si="350"/>
        <v>0</v>
      </c>
      <c r="BE995" s="81">
        <f t="shared" si="351"/>
        <v>0</v>
      </c>
      <c r="BF995" s="81" t="str">
        <f t="shared" si="352"/>
        <v>BASSO</v>
      </c>
    </row>
    <row r="996" spans="7:58" x14ac:dyDescent="0.15">
      <c r="G996" s="64">
        <f t="shared" si="331"/>
        <v>0</v>
      </c>
      <c r="I996" s="64">
        <f t="shared" si="332"/>
        <v>0</v>
      </c>
      <c r="K996" s="64">
        <f t="shared" si="333"/>
        <v>0</v>
      </c>
      <c r="M996" s="64">
        <f t="shared" si="334"/>
        <v>0</v>
      </c>
      <c r="O996" s="64">
        <f t="shared" si="335"/>
        <v>0</v>
      </c>
      <c r="Q996" s="64">
        <f t="shared" si="336"/>
        <v>0</v>
      </c>
      <c r="S996" s="71">
        <f t="shared" si="337"/>
        <v>0</v>
      </c>
      <c r="U996" s="64">
        <f t="shared" si="338"/>
        <v>0</v>
      </c>
      <c r="W996" s="71">
        <f t="shared" si="339"/>
        <v>0</v>
      </c>
      <c r="Y996" s="71">
        <f t="shared" si="340"/>
        <v>0</v>
      </c>
      <c r="AA996" s="71">
        <f t="shared" si="341"/>
        <v>0</v>
      </c>
      <c r="AC996" s="71">
        <f t="shared" si="342"/>
        <v>0</v>
      </c>
      <c r="AK996" s="71">
        <f t="shared" si="343"/>
        <v>0</v>
      </c>
      <c r="AM996" s="71">
        <f t="shared" si="344"/>
        <v>0</v>
      </c>
      <c r="AO996" s="71">
        <f t="shared" si="345"/>
        <v>0</v>
      </c>
      <c r="AQ996" s="71">
        <f t="shared" si="346"/>
        <v>0</v>
      </c>
      <c r="AT996" s="71">
        <f t="shared" si="347"/>
        <v>0</v>
      </c>
      <c r="AV996" s="71">
        <f t="shared" si="348"/>
        <v>0</v>
      </c>
      <c r="AX996" s="71">
        <f t="shared" si="349"/>
        <v>0</v>
      </c>
      <c r="AZ996" s="71">
        <f t="shared" si="350"/>
        <v>0</v>
      </c>
      <c r="BE996" s="81">
        <f t="shared" si="351"/>
        <v>0</v>
      </c>
      <c r="BF996" s="81" t="str">
        <f t="shared" si="352"/>
        <v>BASSO</v>
      </c>
    </row>
    <row r="997" spans="7:58" x14ac:dyDescent="0.15">
      <c r="G997" s="64">
        <f t="shared" si="331"/>
        <v>0</v>
      </c>
      <c r="I997" s="64">
        <f t="shared" si="332"/>
        <v>0</v>
      </c>
      <c r="K997" s="64">
        <f t="shared" si="333"/>
        <v>0</v>
      </c>
      <c r="M997" s="64">
        <f t="shared" si="334"/>
        <v>0</v>
      </c>
      <c r="O997" s="64">
        <f t="shared" si="335"/>
        <v>0</v>
      </c>
      <c r="Q997" s="64">
        <f t="shared" si="336"/>
        <v>0</v>
      </c>
      <c r="S997" s="71">
        <f t="shared" si="337"/>
        <v>0</v>
      </c>
      <c r="U997" s="64">
        <f t="shared" si="338"/>
        <v>0</v>
      </c>
      <c r="W997" s="71">
        <f t="shared" si="339"/>
        <v>0</v>
      </c>
      <c r="Y997" s="71">
        <f t="shared" si="340"/>
        <v>0</v>
      </c>
      <c r="AA997" s="71">
        <f t="shared" si="341"/>
        <v>0</v>
      </c>
      <c r="AC997" s="71">
        <f t="shared" si="342"/>
        <v>0</v>
      </c>
      <c r="AK997" s="71">
        <f t="shared" si="343"/>
        <v>0</v>
      </c>
      <c r="AM997" s="71">
        <f t="shared" si="344"/>
        <v>0</v>
      </c>
      <c r="AO997" s="71">
        <f t="shared" si="345"/>
        <v>0</v>
      </c>
      <c r="AQ997" s="71">
        <f t="shared" si="346"/>
        <v>0</v>
      </c>
      <c r="AT997" s="71">
        <f t="shared" si="347"/>
        <v>0</v>
      </c>
      <c r="AV997" s="71">
        <f t="shared" si="348"/>
        <v>0</v>
      </c>
      <c r="AX997" s="71">
        <f t="shared" si="349"/>
        <v>0</v>
      </c>
      <c r="AZ997" s="71">
        <f t="shared" si="350"/>
        <v>0</v>
      </c>
      <c r="BE997" s="81">
        <f t="shared" si="351"/>
        <v>0</v>
      </c>
      <c r="BF997" s="81" t="str">
        <f t="shared" si="352"/>
        <v>BASSO</v>
      </c>
    </row>
    <row r="998" spans="7:58" x14ac:dyDescent="0.15">
      <c r="G998" s="64">
        <f t="shared" si="331"/>
        <v>0</v>
      </c>
      <c r="I998" s="64">
        <f t="shared" si="332"/>
        <v>0</v>
      </c>
      <c r="K998" s="64">
        <f t="shared" si="333"/>
        <v>0</v>
      </c>
      <c r="M998" s="64">
        <f t="shared" si="334"/>
        <v>0</v>
      </c>
      <c r="O998" s="64">
        <f t="shared" si="335"/>
        <v>0</v>
      </c>
      <c r="Q998" s="64">
        <f t="shared" si="336"/>
        <v>0</v>
      </c>
      <c r="S998" s="71">
        <f t="shared" si="337"/>
        <v>0</v>
      </c>
      <c r="U998" s="64">
        <f t="shared" si="338"/>
        <v>0</v>
      </c>
      <c r="W998" s="71">
        <f t="shared" si="339"/>
        <v>0</v>
      </c>
      <c r="Y998" s="71">
        <f t="shared" si="340"/>
        <v>0</v>
      </c>
      <c r="AA998" s="71">
        <f t="shared" si="341"/>
        <v>0</v>
      </c>
      <c r="AC998" s="71">
        <f t="shared" si="342"/>
        <v>0</v>
      </c>
      <c r="AK998" s="71">
        <f t="shared" si="343"/>
        <v>0</v>
      </c>
      <c r="AM998" s="71">
        <f t="shared" si="344"/>
        <v>0</v>
      </c>
      <c r="AO998" s="71">
        <f t="shared" si="345"/>
        <v>0</v>
      </c>
      <c r="AQ998" s="71">
        <f t="shared" si="346"/>
        <v>0</v>
      </c>
      <c r="AT998" s="71">
        <f t="shared" si="347"/>
        <v>0</v>
      </c>
      <c r="AV998" s="71">
        <f t="shared" si="348"/>
        <v>0</v>
      </c>
      <c r="AX998" s="71">
        <f t="shared" si="349"/>
        <v>0</v>
      </c>
      <c r="AZ998" s="71">
        <f t="shared" si="350"/>
        <v>0</v>
      </c>
      <c r="BE998" s="81">
        <f t="shared" si="351"/>
        <v>0</v>
      </c>
      <c r="BF998" s="81" t="str">
        <f t="shared" si="352"/>
        <v>BASSO</v>
      </c>
    </row>
    <row r="999" spans="7:58" x14ac:dyDescent="0.15">
      <c r="G999" s="64">
        <f t="shared" si="331"/>
        <v>0</v>
      </c>
      <c r="I999" s="64">
        <f t="shared" si="332"/>
        <v>0</v>
      </c>
      <c r="K999" s="64">
        <f t="shared" si="333"/>
        <v>0</v>
      </c>
      <c r="M999" s="64">
        <f t="shared" si="334"/>
        <v>0</v>
      </c>
      <c r="O999" s="64">
        <f t="shared" si="335"/>
        <v>0</v>
      </c>
      <c r="Q999" s="64">
        <f t="shared" si="336"/>
        <v>0</v>
      </c>
      <c r="S999" s="71">
        <f t="shared" si="337"/>
        <v>0</v>
      </c>
      <c r="U999" s="64">
        <f t="shared" si="338"/>
        <v>0</v>
      </c>
      <c r="W999" s="71">
        <f t="shared" si="339"/>
        <v>0</v>
      </c>
      <c r="Y999" s="71">
        <f t="shared" si="340"/>
        <v>0</v>
      </c>
      <c r="AA999" s="71">
        <f t="shared" si="341"/>
        <v>0</v>
      </c>
      <c r="AC999" s="71">
        <f t="shared" si="342"/>
        <v>0</v>
      </c>
      <c r="AK999" s="71">
        <f t="shared" si="343"/>
        <v>0</v>
      </c>
      <c r="AM999" s="71">
        <f t="shared" si="344"/>
        <v>0</v>
      </c>
      <c r="AO999" s="71">
        <f t="shared" si="345"/>
        <v>0</v>
      </c>
      <c r="AQ999" s="71">
        <f t="shared" si="346"/>
        <v>0</v>
      </c>
      <c r="AT999" s="71">
        <f t="shared" si="347"/>
        <v>0</v>
      </c>
      <c r="AV999" s="71">
        <f t="shared" si="348"/>
        <v>0</v>
      </c>
      <c r="AX999" s="71">
        <f t="shared" si="349"/>
        <v>0</v>
      </c>
      <c r="AZ999" s="71">
        <f t="shared" si="350"/>
        <v>0</v>
      </c>
      <c r="BE999" s="81">
        <f t="shared" si="351"/>
        <v>0</v>
      </c>
      <c r="BF999" s="81" t="str">
        <f t="shared" si="352"/>
        <v>BASSO</v>
      </c>
    </row>
    <row r="1000" spans="7:58" x14ac:dyDescent="0.15">
      <c r="G1000" s="64">
        <f t="shared" si="331"/>
        <v>0</v>
      </c>
      <c r="I1000" s="64">
        <f t="shared" si="332"/>
        <v>0</v>
      </c>
      <c r="K1000" s="64">
        <f t="shared" si="333"/>
        <v>0</v>
      </c>
      <c r="M1000" s="64">
        <f t="shared" si="334"/>
        <v>0</v>
      </c>
      <c r="O1000" s="64">
        <f t="shared" si="335"/>
        <v>0</v>
      </c>
      <c r="Q1000" s="64">
        <f t="shared" si="336"/>
        <v>0</v>
      </c>
      <c r="S1000" s="71">
        <f t="shared" si="337"/>
        <v>0</v>
      </c>
      <c r="U1000" s="64">
        <f t="shared" si="338"/>
        <v>0</v>
      </c>
      <c r="W1000" s="71">
        <f t="shared" si="339"/>
        <v>0</v>
      </c>
      <c r="Y1000" s="71">
        <f t="shared" si="340"/>
        <v>0</v>
      </c>
      <c r="AA1000" s="71">
        <f t="shared" si="341"/>
        <v>0</v>
      </c>
      <c r="AC1000" s="71">
        <f t="shared" si="342"/>
        <v>0</v>
      </c>
      <c r="AK1000" s="71">
        <f t="shared" si="343"/>
        <v>0</v>
      </c>
      <c r="AM1000" s="71">
        <f t="shared" si="344"/>
        <v>0</v>
      </c>
      <c r="AO1000" s="71">
        <f t="shared" si="345"/>
        <v>0</v>
      </c>
      <c r="AQ1000" s="71">
        <f t="shared" si="346"/>
        <v>0</v>
      </c>
      <c r="AT1000" s="71">
        <f t="shared" si="347"/>
        <v>0</v>
      </c>
      <c r="AV1000" s="71">
        <f t="shared" si="348"/>
        <v>0</v>
      </c>
      <c r="AX1000" s="71">
        <f t="shared" si="349"/>
        <v>0</v>
      </c>
      <c r="AZ1000" s="71">
        <f t="shared" si="350"/>
        <v>0</v>
      </c>
      <c r="BE1000" s="81">
        <f t="shared" si="351"/>
        <v>0</v>
      </c>
      <c r="BF1000" s="81" t="str">
        <f t="shared" si="352"/>
        <v>BASSO</v>
      </c>
    </row>
    <row r="1001" spans="7:58" x14ac:dyDescent="0.15">
      <c r="G1001" s="64">
        <f t="shared" si="331"/>
        <v>0</v>
      </c>
      <c r="I1001" s="64">
        <f t="shared" si="332"/>
        <v>0</v>
      </c>
      <c r="K1001" s="64">
        <f t="shared" si="333"/>
        <v>0</v>
      </c>
      <c r="M1001" s="64">
        <f t="shared" si="334"/>
        <v>0</v>
      </c>
      <c r="O1001" s="64">
        <f t="shared" si="335"/>
        <v>0</v>
      </c>
      <c r="Q1001" s="64">
        <f t="shared" si="336"/>
        <v>0</v>
      </c>
      <c r="S1001" s="71">
        <f t="shared" si="337"/>
        <v>0</v>
      </c>
      <c r="U1001" s="64">
        <f t="shared" si="338"/>
        <v>0</v>
      </c>
      <c r="W1001" s="71">
        <f t="shared" si="339"/>
        <v>0</v>
      </c>
      <c r="Y1001" s="71">
        <f t="shared" si="340"/>
        <v>0</v>
      </c>
      <c r="AA1001" s="71">
        <f t="shared" si="341"/>
        <v>0</v>
      </c>
      <c r="AC1001" s="71">
        <f t="shared" si="342"/>
        <v>0</v>
      </c>
      <c r="AK1001" s="71">
        <f t="shared" si="343"/>
        <v>0</v>
      </c>
      <c r="AM1001" s="71">
        <f t="shared" si="344"/>
        <v>0</v>
      </c>
      <c r="AO1001" s="71">
        <f t="shared" si="345"/>
        <v>0</v>
      </c>
      <c r="AQ1001" s="71">
        <f t="shared" si="346"/>
        <v>0</v>
      </c>
      <c r="AT1001" s="71">
        <f t="shared" si="347"/>
        <v>0</v>
      </c>
      <c r="AV1001" s="71">
        <f t="shared" si="348"/>
        <v>0</v>
      </c>
      <c r="AX1001" s="71">
        <f t="shared" si="349"/>
        <v>0</v>
      </c>
      <c r="AZ1001" s="71">
        <f t="shared" si="350"/>
        <v>0</v>
      </c>
      <c r="BE1001" s="81">
        <f t="shared" si="351"/>
        <v>0</v>
      </c>
      <c r="BF1001" s="81" t="str">
        <f t="shared" si="352"/>
        <v>BASSO</v>
      </c>
    </row>
    <row r="1002" spans="7:58" x14ac:dyDescent="0.15">
      <c r="G1002" s="64">
        <f t="shared" si="331"/>
        <v>0</v>
      </c>
      <c r="I1002" s="64">
        <f t="shared" si="332"/>
        <v>0</v>
      </c>
      <c r="K1002" s="64">
        <f t="shared" si="333"/>
        <v>0</v>
      </c>
      <c r="M1002" s="64">
        <f t="shared" si="334"/>
        <v>0</v>
      </c>
      <c r="O1002" s="64">
        <f t="shared" si="335"/>
        <v>0</v>
      </c>
      <c r="Q1002" s="64">
        <f t="shared" si="336"/>
        <v>0</v>
      </c>
      <c r="S1002" s="71">
        <f t="shared" si="337"/>
        <v>0</v>
      </c>
      <c r="U1002" s="64">
        <f t="shared" si="338"/>
        <v>0</v>
      </c>
      <c r="W1002" s="71">
        <f t="shared" si="339"/>
        <v>0</v>
      </c>
      <c r="Y1002" s="71">
        <f t="shared" si="340"/>
        <v>0</v>
      </c>
      <c r="AA1002" s="71">
        <f t="shared" si="341"/>
        <v>0</v>
      </c>
      <c r="AC1002" s="71">
        <f t="shared" si="342"/>
        <v>0</v>
      </c>
      <c r="AK1002" s="71">
        <f t="shared" si="343"/>
        <v>0</v>
      </c>
      <c r="AM1002" s="71">
        <f t="shared" si="344"/>
        <v>0</v>
      </c>
      <c r="AO1002" s="71">
        <f t="shared" si="345"/>
        <v>0</v>
      </c>
      <c r="AQ1002" s="71">
        <f t="shared" si="346"/>
        <v>0</v>
      </c>
      <c r="AT1002" s="71">
        <f t="shared" si="347"/>
        <v>0</v>
      </c>
      <c r="AV1002" s="71">
        <f t="shared" si="348"/>
        <v>0</v>
      </c>
      <c r="AX1002" s="71">
        <f t="shared" si="349"/>
        <v>0</v>
      </c>
      <c r="AZ1002" s="71">
        <f t="shared" si="350"/>
        <v>0</v>
      </c>
      <c r="BE1002" s="81">
        <f t="shared" si="351"/>
        <v>0</v>
      </c>
      <c r="BF1002" s="81" t="str">
        <f t="shared" si="352"/>
        <v>BASSO</v>
      </c>
    </row>
    <row r="1003" spans="7:58" x14ac:dyDescent="0.15">
      <c r="G1003" s="64">
        <f t="shared" si="331"/>
        <v>0</v>
      </c>
      <c r="I1003" s="64">
        <f t="shared" si="332"/>
        <v>0</v>
      </c>
      <c r="K1003" s="64">
        <f t="shared" si="333"/>
        <v>0</v>
      </c>
      <c r="M1003" s="64">
        <f t="shared" si="334"/>
        <v>0</v>
      </c>
      <c r="O1003" s="64">
        <f t="shared" si="335"/>
        <v>0</v>
      </c>
      <c r="Q1003" s="64">
        <f t="shared" si="336"/>
        <v>0</v>
      </c>
      <c r="S1003" s="71">
        <f t="shared" si="337"/>
        <v>0</v>
      </c>
      <c r="U1003" s="64">
        <f t="shared" si="338"/>
        <v>0</v>
      </c>
      <c r="W1003" s="71">
        <f t="shared" si="339"/>
        <v>0</v>
      </c>
      <c r="Y1003" s="71">
        <f t="shared" si="340"/>
        <v>0</v>
      </c>
      <c r="AA1003" s="71">
        <f t="shared" si="341"/>
        <v>0</v>
      </c>
      <c r="AC1003" s="71">
        <f t="shared" si="342"/>
        <v>0</v>
      </c>
      <c r="AK1003" s="71">
        <f t="shared" si="343"/>
        <v>0</v>
      </c>
      <c r="AM1003" s="71">
        <f t="shared" si="344"/>
        <v>0</v>
      </c>
      <c r="AO1003" s="71">
        <f t="shared" si="345"/>
        <v>0</v>
      </c>
      <c r="AQ1003" s="71">
        <f t="shared" si="346"/>
        <v>0</v>
      </c>
      <c r="AT1003" s="71">
        <f t="shared" si="347"/>
        <v>0</v>
      </c>
      <c r="AV1003" s="71">
        <f t="shared" si="348"/>
        <v>0</v>
      </c>
      <c r="AX1003" s="71">
        <f t="shared" si="349"/>
        <v>0</v>
      </c>
      <c r="AZ1003" s="71">
        <f t="shared" si="350"/>
        <v>0</v>
      </c>
      <c r="BE1003" s="81">
        <f t="shared" si="351"/>
        <v>0</v>
      </c>
      <c r="BF1003" s="81" t="str">
        <f t="shared" si="352"/>
        <v>BASSO</v>
      </c>
    </row>
    <row r="1004" spans="7:58" x14ac:dyDescent="0.15">
      <c r="G1004" s="64">
        <f t="shared" si="331"/>
        <v>0</v>
      </c>
      <c r="I1004" s="64">
        <f t="shared" si="332"/>
        <v>0</v>
      </c>
      <c r="K1004" s="64">
        <f t="shared" si="333"/>
        <v>0</v>
      </c>
      <c r="M1004" s="64">
        <f t="shared" si="334"/>
        <v>0</v>
      </c>
      <c r="O1004" s="64">
        <f t="shared" si="335"/>
        <v>0</v>
      </c>
      <c r="Q1004" s="64">
        <f t="shared" si="336"/>
        <v>0</v>
      </c>
      <c r="S1004" s="71">
        <f t="shared" si="337"/>
        <v>0</v>
      </c>
      <c r="U1004" s="64">
        <f t="shared" si="338"/>
        <v>0</v>
      </c>
      <c r="W1004" s="71">
        <f t="shared" si="339"/>
        <v>0</v>
      </c>
      <c r="Y1004" s="71">
        <f t="shared" si="340"/>
        <v>0</v>
      </c>
      <c r="AA1004" s="71">
        <f t="shared" si="341"/>
        <v>0</v>
      </c>
      <c r="AC1004" s="71">
        <f t="shared" si="342"/>
        <v>0</v>
      </c>
      <c r="AK1004" s="71">
        <f t="shared" si="343"/>
        <v>0</v>
      </c>
      <c r="AM1004" s="71">
        <f t="shared" si="344"/>
        <v>0</v>
      </c>
      <c r="AO1004" s="71">
        <f t="shared" si="345"/>
        <v>0</v>
      </c>
      <c r="AQ1004" s="71">
        <f t="shared" si="346"/>
        <v>0</v>
      </c>
      <c r="AT1004" s="71">
        <f t="shared" si="347"/>
        <v>0</v>
      </c>
      <c r="AV1004" s="71">
        <f t="shared" si="348"/>
        <v>0</v>
      </c>
      <c r="AX1004" s="71">
        <f t="shared" si="349"/>
        <v>0</v>
      </c>
      <c r="AZ1004" s="71">
        <f t="shared" si="350"/>
        <v>0</v>
      </c>
      <c r="BE1004" s="81">
        <f t="shared" si="351"/>
        <v>0</v>
      </c>
      <c r="BF1004" s="81" t="str">
        <f t="shared" si="352"/>
        <v>BASSO</v>
      </c>
    </row>
    <row r="1005" spans="7:58" x14ac:dyDescent="0.15">
      <c r="G1005" s="64">
        <f t="shared" si="331"/>
        <v>0</v>
      </c>
      <c r="I1005" s="64">
        <f t="shared" si="332"/>
        <v>0</v>
      </c>
      <c r="K1005" s="64">
        <f t="shared" si="333"/>
        <v>0</v>
      </c>
      <c r="M1005" s="64">
        <f t="shared" si="334"/>
        <v>0</v>
      </c>
      <c r="O1005" s="64">
        <f t="shared" si="335"/>
        <v>0</v>
      </c>
      <c r="Q1005" s="64">
        <f t="shared" si="336"/>
        <v>0</v>
      </c>
      <c r="S1005" s="71">
        <f t="shared" si="337"/>
        <v>0</v>
      </c>
      <c r="U1005" s="64">
        <f t="shared" si="338"/>
        <v>0</v>
      </c>
      <c r="W1005" s="71">
        <f t="shared" si="339"/>
        <v>0</v>
      </c>
      <c r="Y1005" s="71">
        <f t="shared" si="340"/>
        <v>0</v>
      </c>
      <c r="AA1005" s="71">
        <f t="shared" si="341"/>
        <v>0</v>
      </c>
      <c r="AC1005" s="71">
        <f t="shared" si="342"/>
        <v>0</v>
      </c>
      <c r="AK1005" s="71">
        <f t="shared" si="343"/>
        <v>0</v>
      </c>
      <c r="AM1005" s="71">
        <f t="shared" si="344"/>
        <v>0</v>
      </c>
      <c r="AO1005" s="71">
        <f t="shared" si="345"/>
        <v>0</v>
      </c>
      <c r="AQ1005" s="71">
        <f t="shared" si="346"/>
        <v>0</v>
      </c>
      <c r="AT1005" s="71">
        <f t="shared" si="347"/>
        <v>0</v>
      </c>
      <c r="AV1005" s="71">
        <f t="shared" si="348"/>
        <v>0</v>
      </c>
      <c r="AX1005" s="71">
        <f t="shared" si="349"/>
        <v>0</v>
      </c>
      <c r="AZ1005" s="71">
        <f t="shared" si="350"/>
        <v>0</v>
      </c>
      <c r="BE1005" s="81">
        <f t="shared" si="351"/>
        <v>0</v>
      </c>
      <c r="BF1005" s="81" t="str">
        <f t="shared" si="352"/>
        <v>BASSO</v>
      </c>
    </row>
    <row r="1006" spans="7:58" x14ac:dyDescent="0.15">
      <c r="G1006" s="64">
        <f t="shared" si="331"/>
        <v>0</v>
      </c>
      <c r="I1006" s="64">
        <f t="shared" si="332"/>
        <v>0</v>
      </c>
      <c r="K1006" s="64">
        <f t="shared" si="333"/>
        <v>0</v>
      </c>
      <c r="M1006" s="64">
        <f t="shared" si="334"/>
        <v>0</v>
      </c>
      <c r="O1006" s="64">
        <f t="shared" si="335"/>
        <v>0</v>
      </c>
      <c r="Q1006" s="64">
        <f t="shared" si="336"/>
        <v>0</v>
      </c>
      <c r="S1006" s="71">
        <f t="shared" si="337"/>
        <v>0</v>
      </c>
      <c r="U1006" s="64">
        <f t="shared" si="338"/>
        <v>0</v>
      </c>
      <c r="W1006" s="71">
        <f t="shared" si="339"/>
        <v>0</v>
      </c>
      <c r="Y1006" s="71">
        <f t="shared" si="340"/>
        <v>0</v>
      </c>
      <c r="AA1006" s="71">
        <f t="shared" si="341"/>
        <v>0</v>
      </c>
      <c r="AC1006" s="71">
        <f t="shared" si="342"/>
        <v>0</v>
      </c>
      <c r="AK1006" s="71">
        <f t="shared" si="343"/>
        <v>0</v>
      </c>
      <c r="AM1006" s="71">
        <f t="shared" si="344"/>
        <v>0</v>
      </c>
      <c r="AO1006" s="71">
        <f t="shared" si="345"/>
        <v>0</v>
      </c>
      <c r="AQ1006" s="71">
        <f t="shared" si="346"/>
        <v>0</v>
      </c>
      <c r="AT1006" s="71">
        <f t="shared" si="347"/>
        <v>0</v>
      </c>
      <c r="AV1006" s="71">
        <f t="shared" si="348"/>
        <v>0</v>
      </c>
      <c r="AX1006" s="71">
        <f t="shared" si="349"/>
        <v>0</v>
      </c>
      <c r="AZ1006" s="71">
        <f t="shared" si="350"/>
        <v>0</v>
      </c>
      <c r="BE1006" s="81">
        <f t="shared" si="351"/>
        <v>0</v>
      </c>
      <c r="BF1006" s="81" t="str">
        <f t="shared" si="352"/>
        <v>BASSO</v>
      </c>
    </row>
    <row r="1007" spans="7:58" x14ac:dyDescent="0.15">
      <c r="G1007" s="64">
        <f t="shared" si="331"/>
        <v>0</v>
      </c>
      <c r="I1007" s="64">
        <f t="shared" si="332"/>
        <v>0</v>
      </c>
      <c r="K1007" s="64">
        <f t="shared" si="333"/>
        <v>0</v>
      </c>
      <c r="M1007" s="64">
        <f t="shared" si="334"/>
        <v>0</v>
      </c>
      <c r="O1007" s="64">
        <f t="shared" si="335"/>
        <v>0</v>
      </c>
      <c r="Q1007" s="64">
        <f t="shared" si="336"/>
        <v>0</v>
      </c>
      <c r="S1007" s="71">
        <f t="shared" si="337"/>
        <v>0</v>
      </c>
      <c r="U1007" s="64">
        <f t="shared" si="338"/>
        <v>0</v>
      </c>
      <c r="W1007" s="71">
        <f t="shared" si="339"/>
        <v>0</v>
      </c>
      <c r="Y1007" s="71">
        <f t="shared" si="340"/>
        <v>0</v>
      </c>
      <c r="AA1007" s="71">
        <f t="shared" si="341"/>
        <v>0</v>
      </c>
      <c r="AC1007" s="71">
        <f t="shared" si="342"/>
        <v>0</v>
      </c>
      <c r="AK1007" s="71">
        <f t="shared" si="343"/>
        <v>0</v>
      </c>
      <c r="AM1007" s="71">
        <f t="shared" si="344"/>
        <v>0</v>
      </c>
      <c r="AO1007" s="71">
        <f t="shared" si="345"/>
        <v>0</v>
      </c>
      <c r="AQ1007" s="71">
        <f t="shared" si="346"/>
        <v>0</v>
      </c>
      <c r="AT1007" s="71">
        <f t="shared" si="347"/>
        <v>0</v>
      </c>
      <c r="AV1007" s="71">
        <f t="shared" si="348"/>
        <v>0</v>
      </c>
      <c r="AX1007" s="71">
        <f t="shared" si="349"/>
        <v>0</v>
      </c>
      <c r="AZ1007" s="71">
        <f t="shared" si="350"/>
        <v>0</v>
      </c>
      <c r="BE1007" s="81">
        <f t="shared" si="351"/>
        <v>0</v>
      </c>
      <c r="BF1007" s="81" t="str">
        <f t="shared" si="352"/>
        <v>BASSO</v>
      </c>
    </row>
    <row r="1008" spans="7:58" x14ac:dyDescent="0.15">
      <c r="G1008" s="64">
        <f t="shared" si="331"/>
        <v>0</v>
      </c>
      <c r="I1008" s="64">
        <f t="shared" si="332"/>
        <v>0</v>
      </c>
      <c r="K1008" s="64">
        <f t="shared" si="333"/>
        <v>0</v>
      </c>
      <c r="M1008" s="64">
        <f t="shared" si="334"/>
        <v>0</v>
      </c>
      <c r="O1008" s="64">
        <f t="shared" si="335"/>
        <v>0</v>
      </c>
      <c r="Q1008" s="64">
        <f t="shared" si="336"/>
        <v>0</v>
      </c>
      <c r="S1008" s="71">
        <f t="shared" si="337"/>
        <v>0</v>
      </c>
      <c r="U1008" s="64">
        <f t="shared" si="338"/>
        <v>0</v>
      </c>
      <c r="W1008" s="71">
        <f t="shared" si="339"/>
        <v>0</v>
      </c>
      <c r="Y1008" s="71">
        <f t="shared" si="340"/>
        <v>0</v>
      </c>
      <c r="AA1008" s="71">
        <f t="shared" si="341"/>
        <v>0</v>
      </c>
      <c r="AC1008" s="71">
        <f t="shared" si="342"/>
        <v>0</v>
      </c>
      <c r="AK1008" s="71">
        <f t="shared" si="343"/>
        <v>0</v>
      </c>
      <c r="AM1008" s="71">
        <f t="shared" si="344"/>
        <v>0</v>
      </c>
      <c r="AO1008" s="71">
        <f t="shared" si="345"/>
        <v>0</v>
      </c>
      <c r="AQ1008" s="71">
        <f t="shared" si="346"/>
        <v>0</v>
      </c>
      <c r="AT1008" s="71">
        <f t="shared" si="347"/>
        <v>0</v>
      </c>
      <c r="AV1008" s="71">
        <f t="shared" si="348"/>
        <v>0</v>
      </c>
      <c r="AX1008" s="71">
        <f t="shared" si="349"/>
        <v>0</v>
      </c>
      <c r="AZ1008" s="71">
        <f t="shared" si="350"/>
        <v>0</v>
      </c>
      <c r="BE1008" s="81">
        <f t="shared" si="351"/>
        <v>0</v>
      </c>
      <c r="BF1008" s="81" t="str">
        <f t="shared" si="352"/>
        <v>BASSO</v>
      </c>
    </row>
    <row r="1009" spans="7:58" x14ac:dyDescent="0.15">
      <c r="G1009" s="64">
        <f t="shared" si="331"/>
        <v>0</v>
      </c>
      <c r="I1009" s="64">
        <f t="shared" si="332"/>
        <v>0</v>
      </c>
      <c r="K1009" s="64">
        <f t="shared" si="333"/>
        <v>0</v>
      </c>
      <c r="M1009" s="64">
        <f t="shared" si="334"/>
        <v>0</v>
      </c>
      <c r="O1009" s="64">
        <f t="shared" si="335"/>
        <v>0</v>
      </c>
      <c r="Q1009" s="64">
        <f t="shared" si="336"/>
        <v>0</v>
      </c>
      <c r="S1009" s="71">
        <f t="shared" si="337"/>
        <v>0</v>
      </c>
      <c r="U1009" s="64">
        <f t="shared" si="338"/>
        <v>0</v>
      </c>
      <c r="W1009" s="71">
        <f t="shared" si="339"/>
        <v>0</v>
      </c>
      <c r="Y1009" s="71">
        <f t="shared" si="340"/>
        <v>0</v>
      </c>
      <c r="AA1009" s="71">
        <f t="shared" si="341"/>
        <v>0</v>
      </c>
      <c r="AC1009" s="71">
        <f t="shared" si="342"/>
        <v>0</v>
      </c>
      <c r="AK1009" s="71">
        <f t="shared" si="343"/>
        <v>0</v>
      </c>
      <c r="AM1009" s="71">
        <f t="shared" si="344"/>
        <v>0</v>
      </c>
      <c r="AO1009" s="71">
        <f t="shared" si="345"/>
        <v>0</v>
      </c>
      <c r="AQ1009" s="71">
        <f t="shared" si="346"/>
        <v>0</v>
      </c>
      <c r="AT1009" s="71">
        <f t="shared" si="347"/>
        <v>0</v>
      </c>
      <c r="AV1009" s="71">
        <f t="shared" si="348"/>
        <v>0</v>
      </c>
      <c r="AX1009" s="71">
        <f t="shared" si="349"/>
        <v>0</v>
      </c>
      <c r="AZ1009" s="71">
        <f t="shared" si="350"/>
        <v>0</v>
      </c>
      <c r="BE1009" s="81">
        <f t="shared" si="351"/>
        <v>0</v>
      </c>
      <c r="BF1009" s="81" t="str">
        <f t="shared" si="352"/>
        <v>BASSO</v>
      </c>
    </row>
    <row r="1010" spans="7:58" x14ac:dyDescent="0.15">
      <c r="G1010" s="64">
        <f t="shared" si="331"/>
        <v>0</v>
      </c>
      <c r="I1010" s="64">
        <f t="shared" si="332"/>
        <v>0</v>
      </c>
      <c r="K1010" s="64">
        <f t="shared" si="333"/>
        <v>0</v>
      </c>
      <c r="M1010" s="64">
        <f t="shared" si="334"/>
        <v>0</v>
      </c>
      <c r="O1010" s="64">
        <f t="shared" si="335"/>
        <v>0</v>
      </c>
      <c r="Q1010" s="64">
        <f t="shared" si="336"/>
        <v>0</v>
      </c>
      <c r="S1010" s="71">
        <f t="shared" si="337"/>
        <v>0</v>
      </c>
      <c r="U1010" s="64">
        <f t="shared" si="338"/>
        <v>0</v>
      </c>
      <c r="W1010" s="71">
        <f t="shared" si="339"/>
        <v>0</v>
      </c>
      <c r="Y1010" s="71">
        <f t="shared" si="340"/>
        <v>0</v>
      </c>
      <c r="AA1010" s="71">
        <f t="shared" si="341"/>
        <v>0</v>
      </c>
      <c r="AC1010" s="71">
        <f t="shared" si="342"/>
        <v>0</v>
      </c>
      <c r="AK1010" s="71">
        <f t="shared" si="343"/>
        <v>0</v>
      </c>
      <c r="AM1010" s="71">
        <f t="shared" si="344"/>
        <v>0</v>
      </c>
      <c r="AO1010" s="71">
        <f t="shared" si="345"/>
        <v>0</v>
      </c>
      <c r="AQ1010" s="71">
        <f t="shared" si="346"/>
        <v>0</v>
      </c>
      <c r="AT1010" s="71">
        <f t="shared" si="347"/>
        <v>0</v>
      </c>
      <c r="AV1010" s="71">
        <f t="shared" si="348"/>
        <v>0</v>
      </c>
      <c r="AX1010" s="71">
        <f t="shared" si="349"/>
        <v>0</v>
      </c>
      <c r="AZ1010" s="71">
        <f t="shared" si="350"/>
        <v>0</v>
      </c>
      <c r="BE1010" s="81">
        <f t="shared" si="351"/>
        <v>0</v>
      </c>
      <c r="BF1010" s="81" t="str">
        <f t="shared" si="352"/>
        <v>BASSO</v>
      </c>
    </row>
    <row r="1011" spans="7:58" x14ac:dyDescent="0.15">
      <c r="G1011" s="64">
        <f t="shared" si="331"/>
        <v>0</v>
      </c>
      <c r="I1011" s="64">
        <f t="shared" si="332"/>
        <v>0</v>
      </c>
      <c r="K1011" s="64">
        <f t="shared" si="333"/>
        <v>0</v>
      </c>
      <c r="M1011" s="64">
        <f t="shared" si="334"/>
        <v>0</v>
      </c>
      <c r="O1011" s="64">
        <f t="shared" si="335"/>
        <v>0</v>
      </c>
      <c r="Q1011" s="64">
        <f t="shared" si="336"/>
        <v>0</v>
      </c>
      <c r="S1011" s="71">
        <f t="shared" si="337"/>
        <v>0</v>
      </c>
      <c r="U1011" s="64">
        <f t="shared" si="338"/>
        <v>0</v>
      </c>
      <c r="W1011" s="71">
        <f t="shared" si="339"/>
        <v>0</v>
      </c>
      <c r="Y1011" s="71">
        <f t="shared" si="340"/>
        <v>0</v>
      </c>
      <c r="AA1011" s="71">
        <f t="shared" si="341"/>
        <v>0</v>
      </c>
      <c r="AC1011" s="71">
        <f t="shared" si="342"/>
        <v>0</v>
      </c>
      <c r="AK1011" s="71">
        <f t="shared" si="343"/>
        <v>0</v>
      </c>
      <c r="AM1011" s="71">
        <f t="shared" si="344"/>
        <v>0</v>
      </c>
      <c r="AO1011" s="71">
        <f t="shared" si="345"/>
        <v>0</v>
      </c>
      <c r="AQ1011" s="71">
        <f t="shared" si="346"/>
        <v>0</v>
      </c>
      <c r="AT1011" s="71">
        <f t="shared" si="347"/>
        <v>0</v>
      </c>
      <c r="AV1011" s="71">
        <f t="shared" si="348"/>
        <v>0</v>
      </c>
      <c r="AX1011" s="71">
        <f t="shared" si="349"/>
        <v>0</v>
      </c>
      <c r="AZ1011" s="71">
        <f t="shared" si="350"/>
        <v>0</v>
      </c>
      <c r="BE1011" s="81">
        <f t="shared" si="351"/>
        <v>0</v>
      </c>
      <c r="BF1011" s="81" t="str">
        <f t="shared" si="352"/>
        <v>BASSO</v>
      </c>
    </row>
    <row r="1012" spans="7:58" x14ac:dyDescent="0.15">
      <c r="G1012" s="64">
        <f t="shared" si="331"/>
        <v>0</v>
      </c>
      <c r="I1012" s="64">
        <f t="shared" si="332"/>
        <v>0</v>
      </c>
      <c r="K1012" s="64">
        <f t="shared" si="333"/>
        <v>0</v>
      </c>
      <c r="M1012" s="64">
        <f t="shared" si="334"/>
        <v>0</v>
      </c>
      <c r="O1012" s="64">
        <f t="shared" si="335"/>
        <v>0</v>
      </c>
      <c r="Q1012" s="64">
        <f t="shared" si="336"/>
        <v>0</v>
      </c>
      <c r="S1012" s="71">
        <f t="shared" si="337"/>
        <v>0</v>
      </c>
      <c r="U1012" s="64">
        <f t="shared" si="338"/>
        <v>0</v>
      </c>
      <c r="W1012" s="71">
        <f t="shared" si="339"/>
        <v>0</v>
      </c>
      <c r="Y1012" s="71">
        <f t="shared" si="340"/>
        <v>0</v>
      </c>
      <c r="AA1012" s="71">
        <f t="shared" si="341"/>
        <v>0</v>
      </c>
      <c r="AC1012" s="71">
        <f t="shared" si="342"/>
        <v>0</v>
      </c>
      <c r="AK1012" s="71">
        <f t="shared" si="343"/>
        <v>0</v>
      </c>
      <c r="AM1012" s="71">
        <f t="shared" si="344"/>
        <v>0</v>
      </c>
      <c r="AO1012" s="71">
        <f t="shared" si="345"/>
        <v>0</v>
      </c>
      <c r="AQ1012" s="71">
        <f t="shared" si="346"/>
        <v>0</v>
      </c>
      <c r="AT1012" s="71">
        <f t="shared" si="347"/>
        <v>0</v>
      </c>
      <c r="AV1012" s="71">
        <f t="shared" si="348"/>
        <v>0</v>
      </c>
      <c r="AX1012" s="71">
        <f t="shared" si="349"/>
        <v>0</v>
      </c>
      <c r="AZ1012" s="71">
        <f t="shared" si="350"/>
        <v>0</v>
      </c>
      <c r="BE1012" s="81">
        <f t="shared" si="351"/>
        <v>0</v>
      </c>
      <c r="BF1012" s="81" t="str">
        <f t="shared" si="352"/>
        <v>BASSO</v>
      </c>
    </row>
    <row r="1013" spans="7:58" x14ac:dyDescent="0.15">
      <c r="G1013" s="64">
        <f t="shared" si="331"/>
        <v>0</v>
      </c>
      <c r="I1013" s="64">
        <f t="shared" si="332"/>
        <v>0</v>
      </c>
      <c r="K1013" s="64">
        <f t="shared" si="333"/>
        <v>0</v>
      </c>
      <c r="M1013" s="64">
        <f t="shared" si="334"/>
        <v>0</v>
      </c>
      <c r="O1013" s="64">
        <f t="shared" si="335"/>
        <v>0</v>
      </c>
      <c r="Q1013" s="64">
        <f t="shared" si="336"/>
        <v>0</v>
      </c>
      <c r="S1013" s="71">
        <f t="shared" si="337"/>
        <v>0</v>
      </c>
      <c r="U1013" s="64">
        <f t="shared" si="338"/>
        <v>0</v>
      </c>
      <c r="W1013" s="71">
        <f t="shared" si="339"/>
        <v>0</v>
      </c>
      <c r="Y1013" s="71">
        <f t="shared" si="340"/>
        <v>0</v>
      </c>
      <c r="AA1013" s="71">
        <f t="shared" si="341"/>
        <v>0</v>
      </c>
      <c r="AC1013" s="71">
        <f t="shared" si="342"/>
        <v>0</v>
      </c>
      <c r="AK1013" s="71">
        <f t="shared" si="343"/>
        <v>0</v>
      </c>
      <c r="AM1013" s="71">
        <f t="shared" si="344"/>
        <v>0</v>
      </c>
      <c r="AO1013" s="71">
        <f t="shared" si="345"/>
        <v>0</v>
      </c>
      <c r="AQ1013" s="71">
        <f t="shared" si="346"/>
        <v>0</v>
      </c>
      <c r="AT1013" s="71">
        <f t="shared" si="347"/>
        <v>0</v>
      </c>
      <c r="AV1013" s="71">
        <f t="shared" si="348"/>
        <v>0</v>
      </c>
      <c r="AX1013" s="71">
        <f t="shared" si="349"/>
        <v>0</v>
      </c>
      <c r="AZ1013" s="71">
        <f t="shared" si="350"/>
        <v>0</v>
      </c>
      <c r="BE1013" s="81">
        <f t="shared" si="351"/>
        <v>0</v>
      </c>
      <c r="BF1013" s="81" t="str">
        <f t="shared" si="352"/>
        <v>BASSO</v>
      </c>
    </row>
    <row r="1014" spans="7:58" x14ac:dyDescent="0.15">
      <c r="G1014" s="64">
        <f t="shared" si="331"/>
        <v>0</v>
      </c>
      <c r="I1014" s="64">
        <f t="shared" si="332"/>
        <v>0</v>
      </c>
      <c r="K1014" s="64">
        <f t="shared" si="333"/>
        <v>0</v>
      </c>
      <c r="M1014" s="64">
        <f t="shared" si="334"/>
        <v>0</v>
      </c>
      <c r="O1014" s="64">
        <f t="shared" si="335"/>
        <v>0</v>
      </c>
      <c r="Q1014" s="64">
        <f t="shared" si="336"/>
        <v>0</v>
      </c>
      <c r="S1014" s="71">
        <f t="shared" si="337"/>
        <v>0</v>
      </c>
      <c r="U1014" s="64">
        <f t="shared" si="338"/>
        <v>0</v>
      </c>
      <c r="W1014" s="71">
        <f t="shared" si="339"/>
        <v>0</v>
      </c>
      <c r="Y1014" s="71">
        <f t="shared" si="340"/>
        <v>0</v>
      </c>
      <c r="AA1014" s="71">
        <f t="shared" si="341"/>
        <v>0</v>
      </c>
      <c r="AC1014" s="71">
        <f t="shared" si="342"/>
        <v>0</v>
      </c>
      <c r="AK1014" s="71">
        <f t="shared" si="343"/>
        <v>0</v>
      </c>
      <c r="AM1014" s="71">
        <f t="shared" si="344"/>
        <v>0</v>
      </c>
      <c r="AO1014" s="71">
        <f t="shared" si="345"/>
        <v>0</v>
      </c>
      <c r="AQ1014" s="71">
        <f t="shared" si="346"/>
        <v>0</v>
      </c>
      <c r="AT1014" s="71">
        <f t="shared" si="347"/>
        <v>0</v>
      </c>
      <c r="AV1014" s="71">
        <f t="shared" si="348"/>
        <v>0</v>
      </c>
      <c r="AX1014" s="71">
        <f t="shared" si="349"/>
        <v>0</v>
      </c>
      <c r="AZ1014" s="71">
        <f t="shared" si="350"/>
        <v>0</v>
      </c>
      <c r="BE1014" s="81">
        <f t="shared" si="351"/>
        <v>0</v>
      </c>
      <c r="BF1014" s="81" t="str">
        <f t="shared" si="352"/>
        <v>BASSO</v>
      </c>
    </row>
    <row r="1015" spans="7:58" x14ac:dyDescent="0.15">
      <c r="G1015" s="64">
        <f t="shared" si="331"/>
        <v>0</v>
      </c>
      <c r="I1015" s="64">
        <f t="shared" si="332"/>
        <v>0</v>
      </c>
      <c r="K1015" s="64">
        <f t="shared" si="333"/>
        <v>0</v>
      </c>
      <c r="M1015" s="64">
        <f t="shared" si="334"/>
        <v>0</v>
      </c>
      <c r="O1015" s="64">
        <f t="shared" si="335"/>
        <v>0</v>
      </c>
      <c r="Q1015" s="64">
        <f t="shared" si="336"/>
        <v>0</v>
      </c>
      <c r="S1015" s="71">
        <f t="shared" si="337"/>
        <v>0</v>
      </c>
      <c r="U1015" s="64">
        <f t="shared" si="338"/>
        <v>0</v>
      </c>
      <c r="W1015" s="71">
        <f t="shared" si="339"/>
        <v>0</v>
      </c>
      <c r="Y1015" s="71">
        <f t="shared" si="340"/>
        <v>0</v>
      </c>
      <c r="AA1015" s="71">
        <f t="shared" si="341"/>
        <v>0</v>
      </c>
      <c r="AC1015" s="71">
        <f t="shared" si="342"/>
        <v>0</v>
      </c>
      <c r="AK1015" s="71">
        <f t="shared" si="343"/>
        <v>0</v>
      </c>
      <c r="AM1015" s="71">
        <f t="shared" si="344"/>
        <v>0</v>
      </c>
      <c r="AO1015" s="71">
        <f t="shared" si="345"/>
        <v>0</v>
      </c>
      <c r="AQ1015" s="71">
        <f t="shared" si="346"/>
        <v>0</v>
      </c>
      <c r="AT1015" s="71">
        <f t="shared" si="347"/>
        <v>0</v>
      </c>
      <c r="AV1015" s="71">
        <f t="shared" si="348"/>
        <v>0</v>
      </c>
      <c r="AX1015" s="71">
        <f t="shared" si="349"/>
        <v>0</v>
      </c>
      <c r="AZ1015" s="71">
        <f t="shared" si="350"/>
        <v>0</v>
      </c>
      <c r="BE1015" s="81">
        <f t="shared" si="351"/>
        <v>0</v>
      </c>
      <c r="BF1015" s="81" t="str">
        <f t="shared" si="352"/>
        <v>BASSO</v>
      </c>
    </row>
    <row r="1016" spans="7:58" x14ac:dyDescent="0.15">
      <c r="G1016" s="64">
        <f t="shared" si="331"/>
        <v>0</v>
      </c>
      <c r="I1016" s="64">
        <f t="shared" si="332"/>
        <v>0</v>
      </c>
      <c r="K1016" s="64">
        <f t="shared" si="333"/>
        <v>0</v>
      </c>
      <c r="M1016" s="64">
        <f t="shared" si="334"/>
        <v>0</v>
      </c>
      <c r="O1016" s="64">
        <f t="shared" si="335"/>
        <v>0</v>
      </c>
      <c r="Q1016" s="64">
        <f t="shared" si="336"/>
        <v>0</v>
      </c>
      <c r="S1016" s="71">
        <f t="shared" si="337"/>
        <v>0</v>
      </c>
      <c r="U1016" s="64">
        <f t="shared" si="338"/>
        <v>0</v>
      </c>
      <c r="W1016" s="71">
        <f t="shared" si="339"/>
        <v>0</v>
      </c>
      <c r="Y1016" s="71">
        <f t="shared" si="340"/>
        <v>0</v>
      </c>
      <c r="AA1016" s="71">
        <f t="shared" si="341"/>
        <v>0</v>
      </c>
      <c r="AC1016" s="71">
        <f t="shared" si="342"/>
        <v>0</v>
      </c>
      <c r="AK1016" s="71">
        <f t="shared" si="343"/>
        <v>0</v>
      </c>
      <c r="AM1016" s="71">
        <f t="shared" si="344"/>
        <v>0</v>
      </c>
      <c r="AO1016" s="71">
        <f t="shared" si="345"/>
        <v>0</v>
      </c>
      <c r="AQ1016" s="71">
        <f t="shared" si="346"/>
        <v>0</v>
      </c>
      <c r="AT1016" s="71">
        <f t="shared" si="347"/>
        <v>0</v>
      </c>
      <c r="AV1016" s="71">
        <f t="shared" si="348"/>
        <v>0</v>
      </c>
      <c r="AX1016" s="71">
        <f t="shared" si="349"/>
        <v>0</v>
      </c>
      <c r="AZ1016" s="71">
        <f t="shared" si="350"/>
        <v>0</v>
      </c>
      <c r="BE1016" s="81">
        <f t="shared" si="351"/>
        <v>0</v>
      </c>
      <c r="BF1016" s="81" t="str">
        <f t="shared" si="352"/>
        <v>BASSO</v>
      </c>
    </row>
    <row r="1017" spans="7:58" x14ac:dyDescent="0.15">
      <c r="G1017" s="64">
        <f t="shared" si="331"/>
        <v>0</v>
      </c>
      <c r="I1017" s="64">
        <f t="shared" si="332"/>
        <v>0</v>
      </c>
      <c r="K1017" s="64">
        <f t="shared" si="333"/>
        <v>0</v>
      </c>
      <c r="M1017" s="64">
        <f t="shared" si="334"/>
        <v>0</v>
      </c>
      <c r="O1017" s="64">
        <f t="shared" si="335"/>
        <v>0</v>
      </c>
      <c r="Q1017" s="64">
        <f t="shared" si="336"/>
        <v>0</v>
      </c>
      <c r="S1017" s="71">
        <f t="shared" si="337"/>
        <v>0</v>
      </c>
      <c r="U1017" s="64">
        <f t="shared" si="338"/>
        <v>0</v>
      </c>
      <c r="W1017" s="71">
        <f t="shared" si="339"/>
        <v>0</v>
      </c>
      <c r="Y1017" s="71">
        <f t="shared" si="340"/>
        <v>0</v>
      </c>
      <c r="AA1017" s="71">
        <f t="shared" si="341"/>
        <v>0</v>
      </c>
      <c r="AC1017" s="71">
        <f t="shared" si="342"/>
        <v>0</v>
      </c>
      <c r="AK1017" s="71">
        <f t="shared" si="343"/>
        <v>0</v>
      </c>
      <c r="AM1017" s="71">
        <f t="shared" si="344"/>
        <v>0</v>
      </c>
      <c r="AO1017" s="71">
        <f t="shared" si="345"/>
        <v>0</v>
      </c>
      <c r="AQ1017" s="71">
        <f t="shared" si="346"/>
        <v>0</v>
      </c>
      <c r="AT1017" s="71">
        <f t="shared" si="347"/>
        <v>0</v>
      </c>
      <c r="AV1017" s="71">
        <f t="shared" si="348"/>
        <v>0</v>
      </c>
      <c r="AX1017" s="71">
        <f t="shared" si="349"/>
        <v>0</v>
      </c>
      <c r="AZ1017" s="71">
        <f t="shared" si="350"/>
        <v>0</v>
      </c>
      <c r="BE1017" s="81">
        <f t="shared" si="351"/>
        <v>0</v>
      </c>
      <c r="BF1017" s="81" t="str">
        <f t="shared" si="352"/>
        <v>BASSO</v>
      </c>
    </row>
    <row r="1018" spans="7:58" x14ac:dyDescent="0.15">
      <c r="G1018" s="64">
        <f t="shared" si="331"/>
        <v>0</v>
      </c>
      <c r="I1018" s="64">
        <f t="shared" si="332"/>
        <v>0</v>
      </c>
      <c r="K1018" s="64">
        <f t="shared" si="333"/>
        <v>0</v>
      </c>
      <c r="M1018" s="64">
        <f t="shared" si="334"/>
        <v>0</v>
      </c>
      <c r="O1018" s="64">
        <f t="shared" si="335"/>
        <v>0</v>
      </c>
      <c r="Q1018" s="64">
        <f t="shared" si="336"/>
        <v>0</v>
      </c>
      <c r="S1018" s="71">
        <f t="shared" si="337"/>
        <v>0</v>
      </c>
      <c r="U1018" s="64">
        <f t="shared" si="338"/>
        <v>0</v>
      </c>
      <c r="W1018" s="71">
        <f t="shared" si="339"/>
        <v>0</v>
      </c>
      <c r="Y1018" s="71">
        <f t="shared" si="340"/>
        <v>0</v>
      </c>
      <c r="AA1018" s="71">
        <f t="shared" si="341"/>
        <v>0</v>
      </c>
      <c r="AC1018" s="71">
        <f t="shared" si="342"/>
        <v>0</v>
      </c>
      <c r="AK1018" s="71">
        <f t="shared" si="343"/>
        <v>0</v>
      </c>
      <c r="AM1018" s="71">
        <f t="shared" si="344"/>
        <v>0</v>
      </c>
      <c r="AO1018" s="71">
        <f t="shared" si="345"/>
        <v>0</v>
      </c>
      <c r="AQ1018" s="71">
        <f t="shared" si="346"/>
        <v>0</v>
      </c>
      <c r="AT1018" s="71">
        <f t="shared" si="347"/>
        <v>0</v>
      </c>
      <c r="AV1018" s="71">
        <f t="shared" si="348"/>
        <v>0</v>
      </c>
      <c r="AX1018" s="71">
        <f t="shared" si="349"/>
        <v>0</v>
      </c>
      <c r="AZ1018" s="71">
        <f t="shared" si="350"/>
        <v>0</v>
      </c>
      <c r="BE1018" s="81">
        <f t="shared" si="351"/>
        <v>0</v>
      </c>
      <c r="BF1018" s="81" t="str">
        <f t="shared" si="352"/>
        <v>BASSO</v>
      </c>
    </row>
    <row r="1019" spans="7:58" x14ac:dyDescent="0.15">
      <c r="G1019" s="64">
        <f t="shared" si="331"/>
        <v>0</v>
      </c>
      <c r="I1019" s="64">
        <f t="shared" si="332"/>
        <v>0</v>
      </c>
      <c r="K1019" s="64">
        <f t="shared" si="333"/>
        <v>0</v>
      </c>
      <c r="M1019" s="64">
        <f t="shared" si="334"/>
        <v>0</v>
      </c>
      <c r="O1019" s="64">
        <f t="shared" si="335"/>
        <v>0</v>
      </c>
      <c r="Q1019" s="64">
        <f t="shared" si="336"/>
        <v>0</v>
      </c>
      <c r="S1019" s="71">
        <f t="shared" si="337"/>
        <v>0</v>
      </c>
      <c r="U1019" s="64">
        <f t="shared" si="338"/>
        <v>0</v>
      </c>
      <c r="W1019" s="71">
        <f t="shared" si="339"/>
        <v>0</v>
      </c>
      <c r="Y1019" s="71">
        <f t="shared" si="340"/>
        <v>0</v>
      </c>
      <c r="AA1019" s="71">
        <f t="shared" si="341"/>
        <v>0</v>
      </c>
      <c r="AC1019" s="71">
        <f t="shared" si="342"/>
        <v>0</v>
      </c>
      <c r="AK1019" s="71">
        <f t="shared" si="343"/>
        <v>0</v>
      </c>
      <c r="AM1019" s="71">
        <f t="shared" si="344"/>
        <v>0</v>
      </c>
      <c r="AO1019" s="71">
        <f t="shared" si="345"/>
        <v>0</v>
      </c>
      <c r="AQ1019" s="71">
        <f t="shared" si="346"/>
        <v>0</v>
      </c>
      <c r="AT1019" s="71">
        <f t="shared" si="347"/>
        <v>0</v>
      </c>
      <c r="AV1019" s="71">
        <f t="shared" si="348"/>
        <v>0</v>
      </c>
      <c r="AX1019" s="71">
        <f t="shared" si="349"/>
        <v>0</v>
      </c>
      <c r="AZ1019" s="71">
        <f t="shared" si="350"/>
        <v>0</v>
      </c>
      <c r="BE1019" s="81">
        <f t="shared" si="351"/>
        <v>0</v>
      </c>
      <c r="BF1019" s="81" t="str">
        <f t="shared" si="352"/>
        <v>BASSO</v>
      </c>
    </row>
    <row r="1020" spans="7:58" x14ac:dyDescent="0.15">
      <c r="G1020" s="64">
        <f t="shared" si="331"/>
        <v>0</v>
      </c>
      <c r="K1020" s="64">
        <f t="shared" si="333"/>
        <v>0</v>
      </c>
      <c r="M1020" s="64">
        <f t="shared" si="334"/>
        <v>0</v>
      </c>
      <c r="O1020" s="64">
        <f t="shared" si="335"/>
        <v>0</v>
      </c>
      <c r="Q1020" s="64">
        <f t="shared" si="336"/>
        <v>0</v>
      </c>
      <c r="S1020" s="71">
        <f t="shared" si="337"/>
        <v>0</v>
      </c>
      <c r="U1020" s="64">
        <f t="shared" si="338"/>
        <v>0</v>
      </c>
      <c r="W1020" s="71">
        <f t="shared" si="339"/>
        <v>0</v>
      </c>
      <c r="Y1020" s="71">
        <f t="shared" si="340"/>
        <v>0</v>
      </c>
      <c r="AA1020" s="71">
        <f t="shared" si="341"/>
        <v>0</v>
      </c>
      <c r="AC1020" s="71">
        <f t="shared" si="342"/>
        <v>0</v>
      </c>
      <c r="AK1020" s="71">
        <f t="shared" si="343"/>
        <v>0</v>
      </c>
      <c r="AM1020" s="71">
        <f t="shared" si="344"/>
        <v>0</v>
      </c>
      <c r="AO1020" s="71">
        <f t="shared" si="345"/>
        <v>0</v>
      </c>
      <c r="AQ1020" s="71">
        <f t="shared" si="346"/>
        <v>0</v>
      </c>
      <c r="AT1020" s="71">
        <f t="shared" si="347"/>
        <v>0</v>
      </c>
      <c r="AV1020" s="71">
        <f t="shared" si="348"/>
        <v>0</v>
      </c>
      <c r="AX1020" s="71">
        <f t="shared" si="349"/>
        <v>0</v>
      </c>
      <c r="AZ1020" s="71">
        <f t="shared" si="350"/>
        <v>0</v>
      </c>
      <c r="BE1020" s="81">
        <f t="shared" si="351"/>
        <v>0</v>
      </c>
      <c r="BF1020" s="81" t="str">
        <f t="shared" si="352"/>
        <v>BASSO</v>
      </c>
    </row>
    <row r="1021" spans="7:58" x14ac:dyDescent="0.15">
      <c r="G1021" s="64">
        <f t="shared" si="331"/>
        <v>0</v>
      </c>
      <c r="K1021" s="64">
        <f t="shared" si="333"/>
        <v>0</v>
      </c>
      <c r="M1021" s="64">
        <f t="shared" si="334"/>
        <v>0</v>
      </c>
      <c r="O1021" s="64">
        <f t="shared" si="335"/>
        <v>0</v>
      </c>
      <c r="Q1021" s="64">
        <f t="shared" si="336"/>
        <v>0</v>
      </c>
      <c r="S1021" s="71">
        <f t="shared" si="337"/>
        <v>0</v>
      </c>
      <c r="U1021" s="64">
        <f t="shared" si="338"/>
        <v>0</v>
      </c>
      <c r="W1021" s="71">
        <f t="shared" si="339"/>
        <v>0</v>
      </c>
      <c r="Y1021" s="71">
        <f t="shared" si="340"/>
        <v>0</v>
      </c>
      <c r="AA1021" s="71">
        <f t="shared" si="341"/>
        <v>0</v>
      </c>
      <c r="AC1021" s="71">
        <f t="shared" si="342"/>
        <v>0</v>
      </c>
      <c r="AK1021" s="71">
        <f t="shared" si="343"/>
        <v>0</v>
      </c>
      <c r="AM1021" s="71">
        <f t="shared" si="344"/>
        <v>0</v>
      </c>
      <c r="AO1021" s="71">
        <f t="shared" si="345"/>
        <v>0</v>
      </c>
      <c r="AQ1021" s="71">
        <f t="shared" si="346"/>
        <v>0</v>
      </c>
      <c r="AT1021" s="71">
        <f t="shared" si="347"/>
        <v>0</v>
      </c>
      <c r="AV1021" s="71">
        <f t="shared" si="348"/>
        <v>0</v>
      </c>
      <c r="AX1021" s="71">
        <f t="shared" si="349"/>
        <v>0</v>
      </c>
      <c r="AZ1021" s="71">
        <f t="shared" si="350"/>
        <v>0</v>
      </c>
      <c r="BE1021" s="81">
        <f t="shared" si="351"/>
        <v>0</v>
      </c>
      <c r="BF1021" s="81" t="str">
        <f t="shared" si="352"/>
        <v>BASSO</v>
      </c>
    </row>
    <row r="1022" spans="7:58" x14ac:dyDescent="0.15">
      <c r="G1022" s="64">
        <f t="shared" si="331"/>
        <v>0</v>
      </c>
      <c r="K1022" s="64">
        <f t="shared" si="333"/>
        <v>0</v>
      </c>
      <c r="M1022" s="64">
        <f t="shared" si="334"/>
        <v>0</v>
      </c>
      <c r="O1022" s="64">
        <f t="shared" si="335"/>
        <v>0</v>
      </c>
      <c r="Q1022" s="64">
        <f t="shared" si="336"/>
        <v>0</v>
      </c>
      <c r="S1022" s="71">
        <f t="shared" si="337"/>
        <v>0</v>
      </c>
      <c r="U1022" s="64">
        <f t="shared" si="338"/>
        <v>0</v>
      </c>
      <c r="W1022" s="71">
        <f t="shared" si="339"/>
        <v>0</v>
      </c>
      <c r="Y1022" s="71">
        <f t="shared" si="340"/>
        <v>0</v>
      </c>
      <c r="AA1022" s="71">
        <f t="shared" si="341"/>
        <v>0</v>
      </c>
      <c r="AC1022" s="71">
        <f t="shared" si="342"/>
        <v>0</v>
      </c>
      <c r="AK1022" s="71">
        <f t="shared" si="343"/>
        <v>0</v>
      </c>
      <c r="AM1022" s="71">
        <f t="shared" si="344"/>
        <v>0</v>
      </c>
      <c r="AO1022" s="71">
        <f t="shared" si="345"/>
        <v>0</v>
      </c>
      <c r="AQ1022" s="71">
        <f t="shared" si="346"/>
        <v>0</v>
      </c>
      <c r="AT1022" s="71">
        <f t="shared" si="347"/>
        <v>0</v>
      </c>
      <c r="AV1022" s="71">
        <f t="shared" si="348"/>
        <v>0</v>
      </c>
      <c r="AX1022" s="71">
        <f t="shared" si="349"/>
        <v>0</v>
      </c>
      <c r="AZ1022" s="71">
        <f t="shared" si="350"/>
        <v>0</v>
      </c>
      <c r="BE1022" s="81">
        <f t="shared" si="351"/>
        <v>0</v>
      </c>
      <c r="BF1022" s="81" t="str">
        <f t="shared" si="352"/>
        <v>BASSO</v>
      </c>
    </row>
    <row r="1023" spans="7:58" x14ac:dyDescent="0.15">
      <c r="G1023" s="64">
        <f t="shared" si="331"/>
        <v>0</v>
      </c>
      <c r="K1023" s="64">
        <f t="shared" si="333"/>
        <v>0</v>
      </c>
      <c r="M1023" s="64">
        <f t="shared" si="334"/>
        <v>0</v>
      </c>
      <c r="O1023" s="64">
        <f t="shared" si="335"/>
        <v>0</v>
      </c>
      <c r="Q1023" s="64">
        <f t="shared" si="336"/>
        <v>0</v>
      </c>
      <c r="S1023" s="71">
        <f t="shared" si="337"/>
        <v>0</v>
      </c>
      <c r="U1023" s="64">
        <f t="shared" si="338"/>
        <v>0</v>
      </c>
      <c r="W1023" s="71">
        <f t="shared" si="339"/>
        <v>0</v>
      </c>
      <c r="Y1023" s="71">
        <f t="shared" si="340"/>
        <v>0</v>
      </c>
      <c r="AA1023" s="71">
        <f t="shared" si="341"/>
        <v>0</v>
      </c>
      <c r="AC1023" s="71">
        <f t="shared" si="342"/>
        <v>0</v>
      </c>
      <c r="AK1023" s="71">
        <f t="shared" si="343"/>
        <v>0</v>
      </c>
      <c r="AM1023" s="71">
        <f t="shared" si="344"/>
        <v>0</v>
      </c>
      <c r="AO1023" s="71">
        <f t="shared" si="345"/>
        <v>0</v>
      </c>
      <c r="AQ1023" s="71">
        <f t="shared" si="346"/>
        <v>0</v>
      </c>
      <c r="AT1023" s="71">
        <f t="shared" si="347"/>
        <v>0</v>
      </c>
      <c r="AV1023" s="71">
        <f t="shared" si="348"/>
        <v>0</v>
      </c>
      <c r="AX1023" s="71">
        <f t="shared" si="349"/>
        <v>0</v>
      </c>
      <c r="AZ1023" s="71">
        <f t="shared" si="350"/>
        <v>0</v>
      </c>
      <c r="BE1023" s="81">
        <f t="shared" si="351"/>
        <v>0</v>
      </c>
      <c r="BF1023" s="81" t="str">
        <f t="shared" si="352"/>
        <v>BASSO</v>
      </c>
    </row>
    <row r="1024" spans="7:58" x14ac:dyDescent="0.15">
      <c r="G1024" s="64">
        <f t="shared" si="331"/>
        <v>0</v>
      </c>
      <c r="K1024" s="64">
        <f t="shared" si="333"/>
        <v>0</v>
      </c>
      <c r="M1024" s="64">
        <f t="shared" si="334"/>
        <v>0</v>
      </c>
      <c r="O1024" s="64">
        <f t="shared" si="335"/>
        <v>0</v>
      </c>
      <c r="Q1024" s="64">
        <f t="shared" si="336"/>
        <v>0</v>
      </c>
      <c r="S1024" s="71">
        <f t="shared" si="337"/>
        <v>0</v>
      </c>
      <c r="U1024" s="64">
        <f t="shared" si="338"/>
        <v>0</v>
      </c>
      <c r="W1024" s="71">
        <f t="shared" si="339"/>
        <v>0</v>
      </c>
      <c r="Y1024" s="71">
        <f t="shared" si="340"/>
        <v>0</v>
      </c>
      <c r="AA1024" s="71">
        <f t="shared" si="341"/>
        <v>0</v>
      </c>
      <c r="AC1024" s="71">
        <f t="shared" si="342"/>
        <v>0</v>
      </c>
      <c r="AK1024" s="71">
        <f t="shared" si="343"/>
        <v>0</v>
      </c>
      <c r="AM1024" s="71">
        <f t="shared" si="344"/>
        <v>0</v>
      </c>
      <c r="AO1024" s="71">
        <f t="shared" si="345"/>
        <v>0</v>
      </c>
      <c r="AQ1024" s="71">
        <f t="shared" si="346"/>
        <v>0</v>
      </c>
      <c r="AT1024" s="71">
        <f t="shared" si="347"/>
        <v>0</v>
      </c>
      <c r="AV1024" s="71">
        <f t="shared" si="348"/>
        <v>0</v>
      </c>
      <c r="AX1024" s="71">
        <f t="shared" si="349"/>
        <v>0</v>
      </c>
      <c r="AZ1024" s="71">
        <f t="shared" si="350"/>
        <v>0</v>
      </c>
      <c r="BE1024" s="81">
        <f t="shared" si="351"/>
        <v>0</v>
      </c>
      <c r="BF1024" s="81" t="str">
        <f t="shared" si="352"/>
        <v>BASSO</v>
      </c>
    </row>
    <row r="1025" spans="7:58" x14ac:dyDescent="0.15">
      <c r="G1025" s="64">
        <f t="shared" si="331"/>
        <v>0</v>
      </c>
      <c r="K1025" s="64">
        <f t="shared" si="333"/>
        <v>0</v>
      </c>
      <c r="M1025" s="64">
        <f t="shared" si="334"/>
        <v>0</v>
      </c>
      <c r="O1025" s="64">
        <f t="shared" si="335"/>
        <v>0</v>
      </c>
      <c r="Q1025" s="64">
        <f t="shared" si="336"/>
        <v>0</v>
      </c>
      <c r="S1025" s="71">
        <f t="shared" si="337"/>
        <v>0</v>
      </c>
      <c r="U1025" s="64">
        <f t="shared" si="338"/>
        <v>0</v>
      </c>
      <c r="W1025" s="71">
        <f t="shared" si="339"/>
        <v>0</v>
      </c>
      <c r="Y1025" s="71">
        <f t="shared" si="340"/>
        <v>0</v>
      </c>
      <c r="AA1025" s="71">
        <f t="shared" si="341"/>
        <v>0</v>
      </c>
      <c r="AC1025" s="71">
        <f t="shared" si="342"/>
        <v>0</v>
      </c>
      <c r="AK1025" s="71">
        <f t="shared" si="343"/>
        <v>0</v>
      </c>
      <c r="AM1025" s="71">
        <f t="shared" si="344"/>
        <v>0</v>
      </c>
      <c r="AO1025" s="71">
        <f t="shared" si="345"/>
        <v>0</v>
      </c>
      <c r="AQ1025" s="71">
        <f t="shared" si="346"/>
        <v>0</v>
      </c>
      <c r="AT1025" s="71">
        <f t="shared" si="347"/>
        <v>0</v>
      </c>
      <c r="AV1025" s="71">
        <f t="shared" si="348"/>
        <v>0</v>
      </c>
      <c r="AX1025" s="71">
        <f t="shared" si="349"/>
        <v>0</v>
      </c>
      <c r="AZ1025" s="71">
        <f t="shared" si="350"/>
        <v>0</v>
      </c>
      <c r="BE1025" s="81">
        <f t="shared" si="351"/>
        <v>0</v>
      </c>
      <c r="BF1025" s="81" t="str">
        <f t="shared" si="352"/>
        <v>BASSO</v>
      </c>
    </row>
    <row r="1026" spans="7:58" x14ac:dyDescent="0.15">
      <c r="G1026" s="64">
        <f t="shared" ref="G1026:G1089" si="353">F1027/2</f>
        <v>0</v>
      </c>
      <c r="K1026" s="64">
        <f t="shared" si="333"/>
        <v>0</v>
      </c>
      <c r="M1026" s="64">
        <f t="shared" si="334"/>
        <v>0</v>
      </c>
      <c r="O1026" s="64">
        <f t="shared" si="335"/>
        <v>0</v>
      </c>
      <c r="Q1026" s="64">
        <f t="shared" si="336"/>
        <v>0</v>
      </c>
      <c r="S1026" s="71">
        <f t="shared" si="337"/>
        <v>0</v>
      </c>
      <c r="U1026" s="64">
        <f t="shared" si="338"/>
        <v>0</v>
      </c>
      <c r="W1026" s="71">
        <f t="shared" si="339"/>
        <v>0</v>
      </c>
      <c r="Y1026" s="71">
        <f t="shared" si="340"/>
        <v>0</v>
      </c>
      <c r="AA1026" s="71">
        <f t="shared" si="341"/>
        <v>0</v>
      </c>
      <c r="AC1026" s="71">
        <f t="shared" si="342"/>
        <v>0</v>
      </c>
      <c r="AK1026" s="71">
        <f t="shared" si="343"/>
        <v>0</v>
      </c>
      <c r="AM1026" s="71">
        <f t="shared" si="344"/>
        <v>0</v>
      </c>
      <c r="AO1026" s="71">
        <f t="shared" si="345"/>
        <v>0</v>
      </c>
      <c r="AQ1026" s="71">
        <f t="shared" si="346"/>
        <v>0</v>
      </c>
      <c r="AT1026" s="71">
        <f t="shared" si="347"/>
        <v>0</v>
      </c>
      <c r="AV1026" s="71">
        <f t="shared" si="348"/>
        <v>0</v>
      </c>
      <c r="AX1026" s="71">
        <f t="shared" si="349"/>
        <v>0</v>
      </c>
      <c r="AZ1026" s="71">
        <f t="shared" si="350"/>
        <v>0</v>
      </c>
      <c r="BE1026" s="81">
        <f t="shared" si="351"/>
        <v>0</v>
      </c>
      <c r="BF1026" s="81" t="str">
        <f t="shared" si="352"/>
        <v>BASSO</v>
      </c>
    </row>
    <row r="1027" spans="7:58" x14ac:dyDescent="0.15">
      <c r="G1027" s="64">
        <f t="shared" si="353"/>
        <v>0</v>
      </c>
      <c r="K1027" s="64">
        <f t="shared" ref="K1027:K1042" si="354">J1027/2</f>
        <v>0</v>
      </c>
      <c r="M1027" s="64">
        <f t="shared" ref="M1027:M1042" si="355">L1027/3</f>
        <v>0</v>
      </c>
      <c r="O1027" s="64">
        <f t="shared" ref="O1027:O1090" si="356">N1027/5</f>
        <v>0</v>
      </c>
      <c r="Q1027" s="64">
        <f t="shared" ref="Q1027:Q1090" si="357">P1027/3</f>
        <v>0</v>
      </c>
      <c r="S1027" s="71">
        <f t="shared" ref="S1027:S1090" si="358">R1027/3</f>
        <v>0</v>
      </c>
      <c r="U1027" s="64">
        <f t="shared" ref="U1027:U1090" si="359">T1027/3</f>
        <v>0</v>
      </c>
      <c r="W1027" s="71">
        <f t="shared" ref="W1027:W1090" si="360">V1027/4</f>
        <v>0</v>
      </c>
      <c r="Y1027" s="71">
        <f t="shared" ref="Y1027:Y1090" si="361">X1027/3</f>
        <v>0</v>
      </c>
      <c r="AA1027" s="71">
        <f t="shared" ref="AA1027:AA1090" si="362">Z1027/3</f>
        <v>0</v>
      </c>
      <c r="AC1027" s="71">
        <f t="shared" ref="AC1027:AC1090" si="363">AB1027/2</f>
        <v>0</v>
      </c>
      <c r="AK1027" s="71">
        <f t="shared" ref="AK1027:AK1090" si="364">AJ1027/2</f>
        <v>0</v>
      </c>
      <c r="AM1027" s="71">
        <f t="shared" ref="AM1027:AM1090" si="365">AL1027/3</f>
        <v>0</v>
      </c>
      <c r="AO1027" s="71">
        <f t="shared" ref="AO1027:AO1090" si="366">AN1027/3</f>
        <v>0</v>
      </c>
      <c r="AQ1027" s="71">
        <f t="shared" ref="AQ1027:AQ1090" si="367">AP1027/3</f>
        <v>0</v>
      </c>
      <c r="AT1027" s="71">
        <f t="shared" ref="AT1027:AT1090" si="368">AS1027/3</f>
        <v>0</v>
      </c>
      <c r="AV1027" s="71">
        <f t="shared" ref="AV1027:AV1090" si="369">AU1027/3</f>
        <v>0</v>
      </c>
      <c r="AX1027" s="71">
        <f t="shared" ref="AX1027:AX1090" si="370">AW1027/2</f>
        <v>0</v>
      </c>
      <c r="AZ1027" s="71">
        <f t="shared" ref="AZ1027:AZ1090" si="371">AY1027/3</f>
        <v>0</v>
      </c>
      <c r="BE1027" s="81">
        <f t="shared" ref="BE1027:BE1090" si="372">AVERAGE(F1027,I1027,K1027,M1027,O1027,Q1027,S1027,U1027,W1027,Y1027,AA1027,AC1027,AK1027,AM1027,AO1027,AQ1027,AT1027,AV1027,AX1027,AZ1027)</f>
        <v>0</v>
      </c>
      <c r="BF1027" s="81" t="str">
        <f t="shared" ref="BF1027:BF1090" si="373">IF(BE1027="","",IF(VALUE(BE1027)&lt;0.34,"BASSO",IF(VALUE(BE1027)&lt;=0.66,"MEDIO","ALTO")))</f>
        <v>BASSO</v>
      </c>
    </row>
    <row r="1028" spans="7:58" x14ac:dyDescent="0.15">
      <c r="G1028" s="64">
        <f t="shared" si="353"/>
        <v>0</v>
      </c>
      <c r="K1028" s="64">
        <f t="shared" si="354"/>
        <v>0</v>
      </c>
      <c r="M1028" s="64">
        <f t="shared" si="355"/>
        <v>0</v>
      </c>
      <c r="O1028" s="64">
        <f t="shared" si="356"/>
        <v>0</v>
      </c>
      <c r="Q1028" s="64">
        <f t="shared" si="357"/>
        <v>0</v>
      </c>
      <c r="S1028" s="71">
        <f t="shared" si="358"/>
        <v>0</v>
      </c>
      <c r="U1028" s="64">
        <f t="shared" si="359"/>
        <v>0</v>
      </c>
      <c r="W1028" s="71">
        <f t="shared" si="360"/>
        <v>0</v>
      </c>
      <c r="Y1028" s="71">
        <f t="shared" si="361"/>
        <v>0</v>
      </c>
      <c r="AA1028" s="71">
        <f t="shared" si="362"/>
        <v>0</v>
      </c>
      <c r="AC1028" s="71">
        <f t="shared" si="363"/>
        <v>0</v>
      </c>
      <c r="AK1028" s="71">
        <f t="shared" si="364"/>
        <v>0</v>
      </c>
      <c r="AM1028" s="71">
        <f t="shared" si="365"/>
        <v>0</v>
      </c>
      <c r="AO1028" s="71">
        <f t="shared" si="366"/>
        <v>0</v>
      </c>
      <c r="AQ1028" s="71">
        <f t="shared" si="367"/>
        <v>0</v>
      </c>
      <c r="AT1028" s="71">
        <f t="shared" si="368"/>
        <v>0</v>
      </c>
      <c r="AV1028" s="71">
        <f t="shared" si="369"/>
        <v>0</v>
      </c>
      <c r="AX1028" s="71">
        <f t="shared" si="370"/>
        <v>0</v>
      </c>
      <c r="AZ1028" s="71">
        <f t="shared" si="371"/>
        <v>0</v>
      </c>
      <c r="BE1028" s="81">
        <f t="shared" si="372"/>
        <v>0</v>
      </c>
      <c r="BF1028" s="81" t="str">
        <f t="shared" si="373"/>
        <v>BASSO</v>
      </c>
    </row>
    <row r="1029" spans="7:58" x14ac:dyDescent="0.15">
      <c r="G1029" s="64">
        <f t="shared" si="353"/>
        <v>0</v>
      </c>
      <c r="K1029" s="64">
        <f t="shared" si="354"/>
        <v>0</v>
      </c>
      <c r="M1029" s="64">
        <f t="shared" si="355"/>
        <v>0</v>
      </c>
      <c r="O1029" s="64">
        <f t="shared" si="356"/>
        <v>0</v>
      </c>
      <c r="Q1029" s="64">
        <f t="shared" si="357"/>
        <v>0</v>
      </c>
      <c r="S1029" s="71">
        <f t="shared" si="358"/>
        <v>0</v>
      </c>
      <c r="U1029" s="64">
        <f t="shared" si="359"/>
        <v>0</v>
      </c>
      <c r="W1029" s="71">
        <f t="shared" si="360"/>
        <v>0</v>
      </c>
      <c r="Y1029" s="71">
        <f t="shared" si="361"/>
        <v>0</v>
      </c>
      <c r="AA1029" s="71">
        <f t="shared" si="362"/>
        <v>0</v>
      </c>
      <c r="AC1029" s="71">
        <f t="shared" si="363"/>
        <v>0</v>
      </c>
      <c r="AK1029" s="71">
        <f t="shared" si="364"/>
        <v>0</v>
      </c>
      <c r="AM1029" s="71">
        <f t="shared" si="365"/>
        <v>0</v>
      </c>
      <c r="AO1029" s="71">
        <f t="shared" si="366"/>
        <v>0</v>
      </c>
      <c r="AQ1029" s="71">
        <f t="shared" si="367"/>
        <v>0</v>
      </c>
      <c r="AT1029" s="71">
        <f t="shared" si="368"/>
        <v>0</v>
      </c>
      <c r="AV1029" s="71">
        <f t="shared" si="369"/>
        <v>0</v>
      </c>
      <c r="AX1029" s="71">
        <f t="shared" si="370"/>
        <v>0</v>
      </c>
      <c r="AZ1029" s="71">
        <f t="shared" si="371"/>
        <v>0</v>
      </c>
      <c r="BE1029" s="81">
        <f t="shared" si="372"/>
        <v>0</v>
      </c>
      <c r="BF1029" s="81" t="str">
        <f t="shared" si="373"/>
        <v>BASSO</v>
      </c>
    </row>
    <row r="1030" spans="7:58" x14ac:dyDescent="0.15">
      <c r="G1030" s="64">
        <f t="shared" si="353"/>
        <v>0</v>
      </c>
      <c r="K1030" s="64">
        <f t="shared" si="354"/>
        <v>0</v>
      </c>
      <c r="M1030" s="64">
        <f t="shared" si="355"/>
        <v>0</v>
      </c>
      <c r="O1030" s="64">
        <f t="shared" si="356"/>
        <v>0</v>
      </c>
      <c r="Q1030" s="64">
        <f t="shared" si="357"/>
        <v>0</v>
      </c>
      <c r="S1030" s="71">
        <f t="shared" si="358"/>
        <v>0</v>
      </c>
      <c r="U1030" s="64">
        <f t="shared" si="359"/>
        <v>0</v>
      </c>
      <c r="W1030" s="71">
        <f t="shared" si="360"/>
        <v>0</v>
      </c>
      <c r="Y1030" s="71">
        <f t="shared" si="361"/>
        <v>0</v>
      </c>
      <c r="AA1030" s="71">
        <f t="shared" si="362"/>
        <v>0</v>
      </c>
      <c r="AC1030" s="71">
        <f t="shared" si="363"/>
        <v>0</v>
      </c>
      <c r="AK1030" s="71">
        <f t="shared" si="364"/>
        <v>0</v>
      </c>
      <c r="AM1030" s="71">
        <f t="shared" si="365"/>
        <v>0</v>
      </c>
      <c r="AO1030" s="71">
        <f t="shared" si="366"/>
        <v>0</v>
      </c>
      <c r="AQ1030" s="71">
        <f t="shared" si="367"/>
        <v>0</v>
      </c>
      <c r="AT1030" s="71">
        <f t="shared" si="368"/>
        <v>0</v>
      </c>
      <c r="AV1030" s="71">
        <f t="shared" si="369"/>
        <v>0</v>
      </c>
      <c r="AX1030" s="71">
        <f t="shared" si="370"/>
        <v>0</v>
      </c>
      <c r="AZ1030" s="71">
        <f t="shared" si="371"/>
        <v>0</v>
      </c>
      <c r="BE1030" s="81">
        <f t="shared" si="372"/>
        <v>0</v>
      </c>
      <c r="BF1030" s="81" t="str">
        <f t="shared" si="373"/>
        <v>BASSO</v>
      </c>
    </row>
    <row r="1031" spans="7:58" x14ac:dyDescent="0.15">
      <c r="G1031" s="64">
        <f t="shared" si="353"/>
        <v>0</v>
      </c>
      <c r="K1031" s="64">
        <f t="shared" si="354"/>
        <v>0</v>
      </c>
      <c r="M1031" s="64">
        <f t="shared" si="355"/>
        <v>0</v>
      </c>
      <c r="O1031" s="64">
        <f t="shared" si="356"/>
        <v>0</v>
      </c>
      <c r="Q1031" s="64">
        <f t="shared" si="357"/>
        <v>0</v>
      </c>
      <c r="S1031" s="71">
        <f t="shared" si="358"/>
        <v>0</v>
      </c>
      <c r="U1031" s="64">
        <f t="shared" si="359"/>
        <v>0</v>
      </c>
      <c r="W1031" s="71">
        <f t="shared" si="360"/>
        <v>0</v>
      </c>
      <c r="Y1031" s="71">
        <f t="shared" si="361"/>
        <v>0</v>
      </c>
      <c r="AA1031" s="71">
        <f t="shared" si="362"/>
        <v>0</v>
      </c>
      <c r="AC1031" s="71">
        <f t="shared" si="363"/>
        <v>0</v>
      </c>
      <c r="AK1031" s="71">
        <f t="shared" si="364"/>
        <v>0</v>
      </c>
      <c r="AM1031" s="71">
        <f t="shared" si="365"/>
        <v>0</v>
      </c>
      <c r="AO1031" s="71">
        <f t="shared" si="366"/>
        <v>0</v>
      </c>
      <c r="AQ1031" s="71">
        <f t="shared" si="367"/>
        <v>0</v>
      </c>
      <c r="AT1031" s="71">
        <f t="shared" si="368"/>
        <v>0</v>
      </c>
      <c r="AV1031" s="71">
        <f t="shared" si="369"/>
        <v>0</v>
      </c>
      <c r="AX1031" s="71">
        <f t="shared" si="370"/>
        <v>0</v>
      </c>
      <c r="AZ1031" s="71">
        <f t="shared" si="371"/>
        <v>0</v>
      </c>
      <c r="BE1031" s="81">
        <f t="shared" si="372"/>
        <v>0</v>
      </c>
      <c r="BF1031" s="81" t="str">
        <f t="shared" si="373"/>
        <v>BASSO</v>
      </c>
    </row>
    <row r="1032" spans="7:58" x14ac:dyDescent="0.15">
      <c r="G1032" s="64">
        <f t="shared" si="353"/>
        <v>0</v>
      </c>
      <c r="K1032" s="64">
        <f t="shared" si="354"/>
        <v>0</v>
      </c>
      <c r="M1032" s="64">
        <f t="shared" si="355"/>
        <v>0</v>
      </c>
      <c r="O1032" s="64">
        <f t="shared" si="356"/>
        <v>0</v>
      </c>
      <c r="Q1032" s="64">
        <f t="shared" si="357"/>
        <v>0</v>
      </c>
      <c r="S1032" s="71">
        <f t="shared" si="358"/>
        <v>0</v>
      </c>
      <c r="U1032" s="64">
        <f t="shared" si="359"/>
        <v>0</v>
      </c>
      <c r="W1032" s="71">
        <f t="shared" si="360"/>
        <v>0</v>
      </c>
      <c r="Y1032" s="71">
        <f t="shared" si="361"/>
        <v>0</v>
      </c>
      <c r="AA1032" s="71">
        <f t="shared" si="362"/>
        <v>0</v>
      </c>
      <c r="AC1032" s="71">
        <f t="shared" si="363"/>
        <v>0</v>
      </c>
      <c r="AK1032" s="71">
        <f t="shared" si="364"/>
        <v>0</v>
      </c>
      <c r="AM1032" s="71">
        <f t="shared" si="365"/>
        <v>0</v>
      </c>
      <c r="AO1032" s="71">
        <f t="shared" si="366"/>
        <v>0</v>
      </c>
      <c r="AQ1032" s="71">
        <f t="shared" si="367"/>
        <v>0</v>
      </c>
      <c r="AT1032" s="71">
        <f t="shared" si="368"/>
        <v>0</v>
      </c>
      <c r="AV1032" s="71">
        <f t="shared" si="369"/>
        <v>0</v>
      </c>
      <c r="AX1032" s="71">
        <f t="shared" si="370"/>
        <v>0</v>
      </c>
      <c r="AZ1032" s="71">
        <f t="shared" si="371"/>
        <v>0</v>
      </c>
      <c r="BE1032" s="81">
        <f t="shared" si="372"/>
        <v>0</v>
      </c>
      <c r="BF1032" s="81" t="str">
        <f t="shared" si="373"/>
        <v>BASSO</v>
      </c>
    </row>
    <row r="1033" spans="7:58" x14ac:dyDescent="0.15">
      <c r="G1033" s="64">
        <f t="shared" si="353"/>
        <v>0</v>
      </c>
      <c r="K1033" s="64">
        <f t="shared" si="354"/>
        <v>0</v>
      </c>
      <c r="M1033" s="64">
        <f t="shared" si="355"/>
        <v>0</v>
      </c>
      <c r="O1033" s="64">
        <f t="shared" si="356"/>
        <v>0</v>
      </c>
      <c r="Q1033" s="64">
        <f t="shared" si="357"/>
        <v>0</v>
      </c>
      <c r="S1033" s="71">
        <f t="shared" si="358"/>
        <v>0</v>
      </c>
      <c r="U1033" s="64">
        <f t="shared" si="359"/>
        <v>0</v>
      </c>
      <c r="W1033" s="71">
        <f t="shared" si="360"/>
        <v>0</v>
      </c>
      <c r="Y1033" s="71">
        <f t="shared" si="361"/>
        <v>0</v>
      </c>
      <c r="AA1033" s="71">
        <f t="shared" si="362"/>
        <v>0</v>
      </c>
      <c r="AC1033" s="71">
        <f t="shared" si="363"/>
        <v>0</v>
      </c>
      <c r="AK1033" s="71">
        <f t="shared" si="364"/>
        <v>0</v>
      </c>
      <c r="AM1033" s="71">
        <f t="shared" si="365"/>
        <v>0</v>
      </c>
      <c r="AO1033" s="71">
        <f t="shared" si="366"/>
        <v>0</v>
      </c>
      <c r="AQ1033" s="71">
        <f t="shared" si="367"/>
        <v>0</v>
      </c>
      <c r="AT1033" s="71">
        <f t="shared" si="368"/>
        <v>0</v>
      </c>
      <c r="AV1033" s="71">
        <f t="shared" si="369"/>
        <v>0</v>
      </c>
      <c r="AX1033" s="71">
        <f t="shared" si="370"/>
        <v>0</v>
      </c>
      <c r="AZ1033" s="71">
        <f t="shared" si="371"/>
        <v>0</v>
      </c>
      <c r="BE1033" s="81">
        <f t="shared" si="372"/>
        <v>0</v>
      </c>
      <c r="BF1033" s="81" t="str">
        <f t="shared" si="373"/>
        <v>BASSO</v>
      </c>
    </row>
    <row r="1034" spans="7:58" x14ac:dyDescent="0.15">
      <c r="G1034" s="64">
        <f t="shared" si="353"/>
        <v>0</v>
      </c>
      <c r="K1034" s="64">
        <f t="shared" si="354"/>
        <v>0</v>
      </c>
      <c r="M1034" s="64">
        <f t="shared" si="355"/>
        <v>0</v>
      </c>
      <c r="O1034" s="64">
        <f t="shared" si="356"/>
        <v>0</v>
      </c>
      <c r="Q1034" s="64">
        <f t="shared" si="357"/>
        <v>0</v>
      </c>
      <c r="S1034" s="71">
        <f t="shared" si="358"/>
        <v>0</v>
      </c>
      <c r="U1034" s="64">
        <f t="shared" si="359"/>
        <v>0</v>
      </c>
      <c r="W1034" s="71">
        <f t="shared" si="360"/>
        <v>0</v>
      </c>
      <c r="Y1034" s="71">
        <f t="shared" si="361"/>
        <v>0</v>
      </c>
      <c r="AA1034" s="71">
        <f t="shared" si="362"/>
        <v>0</v>
      </c>
      <c r="AC1034" s="71">
        <f t="shared" si="363"/>
        <v>0</v>
      </c>
      <c r="AK1034" s="71">
        <f t="shared" si="364"/>
        <v>0</v>
      </c>
      <c r="AM1034" s="71">
        <f t="shared" si="365"/>
        <v>0</v>
      </c>
      <c r="AO1034" s="71">
        <f t="shared" si="366"/>
        <v>0</v>
      </c>
      <c r="AQ1034" s="71">
        <f t="shared" si="367"/>
        <v>0</v>
      </c>
      <c r="AT1034" s="71">
        <f t="shared" si="368"/>
        <v>0</v>
      </c>
      <c r="AV1034" s="71">
        <f t="shared" si="369"/>
        <v>0</v>
      </c>
      <c r="AX1034" s="71">
        <f t="shared" si="370"/>
        <v>0</v>
      </c>
      <c r="AZ1034" s="71">
        <f t="shared" si="371"/>
        <v>0</v>
      </c>
      <c r="BE1034" s="81">
        <f t="shared" si="372"/>
        <v>0</v>
      </c>
      <c r="BF1034" s="81" t="str">
        <f t="shared" si="373"/>
        <v>BASSO</v>
      </c>
    </row>
    <row r="1035" spans="7:58" x14ac:dyDescent="0.15">
      <c r="G1035" s="64">
        <f t="shared" si="353"/>
        <v>0</v>
      </c>
      <c r="K1035" s="64">
        <f t="shared" si="354"/>
        <v>0</v>
      </c>
      <c r="M1035" s="64">
        <f t="shared" si="355"/>
        <v>0</v>
      </c>
      <c r="O1035" s="64">
        <f t="shared" si="356"/>
        <v>0</v>
      </c>
      <c r="Q1035" s="64">
        <f t="shared" si="357"/>
        <v>0</v>
      </c>
      <c r="S1035" s="71">
        <f t="shared" si="358"/>
        <v>0</v>
      </c>
      <c r="U1035" s="64">
        <f t="shared" si="359"/>
        <v>0</v>
      </c>
      <c r="W1035" s="71">
        <f t="shared" si="360"/>
        <v>0</v>
      </c>
      <c r="Y1035" s="71">
        <f t="shared" si="361"/>
        <v>0</v>
      </c>
      <c r="AA1035" s="71">
        <f t="shared" si="362"/>
        <v>0</v>
      </c>
      <c r="AC1035" s="71">
        <f t="shared" si="363"/>
        <v>0</v>
      </c>
      <c r="AK1035" s="71">
        <f t="shared" si="364"/>
        <v>0</v>
      </c>
      <c r="AM1035" s="71">
        <f t="shared" si="365"/>
        <v>0</v>
      </c>
      <c r="AO1035" s="71">
        <f t="shared" si="366"/>
        <v>0</v>
      </c>
      <c r="AQ1035" s="71">
        <f t="shared" si="367"/>
        <v>0</v>
      </c>
      <c r="AT1035" s="71">
        <f t="shared" si="368"/>
        <v>0</v>
      </c>
      <c r="AV1035" s="71">
        <f t="shared" si="369"/>
        <v>0</v>
      </c>
      <c r="AX1035" s="71">
        <f t="shared" si="370"/>
        <v>0</v>
      </c>
      <c r="AZ1035" s="71">
        <f t="shared" si="371"/>
        <v>0</v>
      </c>
      <c r="BE1035" s="81">
        <f t="shared" si="372"/>
        <v>0</v>
      </c>
      <c r="BF1035" s="81" t="str">
        <f t="shared" si="373"/>
        <v>BASSO</v>
      </c>
    </row>
    <row r="1036" spans="7:58" x14ac:dyDescent="0.15">
      <c r="G1036" s="64">
        <f t="shared" si="353"/>
        <v>0</v>
      </c>
      <c r="K1036" s="64">
        <f t="shared" si="354"/>
        <v>0</v>
      </c>
      <c r="M1036" s="64">
        <f t="shared" si="355"/>
        <v>0</v>
      </c>
      <c r="O1036" s="64">
        <f t="shared" si="356"/>
        <v>0</v>
      </c>
      <c r="Q1036" s="64">
        <f t="shared" si="357"/>
        <v>0</v>
      </c>
      <c r="S1036" s="71">
        <f t="shared" si="358"/>
        <v>0</v>
      </c>
      <c r="U1036" s="64">
        <f t="shared" si="359"/>
        <v>0</v>
      </c>
      <c r="W1036" s="71">
        <f t="shared" si="360"/>
        <v>0</v>
      </c>
      <c r="Y1036" s="71">
        <f t="shared" si="361"/>
        <v>0</v>
      </c>
      <c r="AA1036" s="71">
        <f t="shared" si="362"/>
        <v>0</v>
      </c>
      <c r="AC1036" s="71">
        <f t="shared" si="363"/>
        <v>0</v>
      </c>
      <c r="AK1036" s="71">
        <f t="shared" si="364"/>
        <v>0</v>
      </c>
      <c r="AM1036" s="71">
        <f t="shared" si="365"/>
        <v>0</v>
      </c>
      <c r="AO1036" s="71">
        <f t="shared" si="366"/>
        <v>0</v>
      </c>
      <c r="AQ1036" s="71">
        <f t="shared" si="367"/>
        <v>0</v>
      </c>
      <c r="AT1036" s="71">
        <f t="shared" si="368"/>
        <v>0</v>
      </c>
      <c r="AV1036" s="71">
        <f t="shared" si="369"/>
        <v>0</v>
      </c>
      <c r="AX1036" s="71">
        <f t="shared" si="370"/>
        <v>0</v>
      </c>
      <c r="AZ1036" s="71">
        <f t="shared" si="371"/>
        <v>0</v>
      </c>
      <c r="BE1036" s="81">
        <f t="shared" si="372"/>
        <v>0</v>
      </c>
      <c r="BF1036" s="81" t="str">
        <f t="shared" si="373"/>
        <v>BASSO</v>
      </c>
    </row>
    <row r="1037" spans="7:58" x14ac:dyDescent="0.15">
      <c r="G1037" s="64">
        <f t="shared" si="353"/>
        <v>0</v>
      </c>
      <c r="K1037" s="64">
        <f t="shared" si="354"/>
        <v>0</v>
      </c>
      <c r="M1037" s="64">
        <f t="shared" si="355"/>
        <v>0</v>
      </c>
      <c r="O1037" s="64">
        <f t="shared" si="356"/>
        <v>0</v>
      </c>
      <c r="Q1037" s="64">
        <f t="shared" si="357"/>
        <v>0</v>
      </c>
      <c r="S1037" s="71">
        <f t="shared" si="358"/>
        <v>0</v>
      </c>
      <c r="U1037" s="64">
        <f t="shared" si="359"/>
        <v>0</v>
      </c>
      <c r="W1037" s="71">
        <f t="shared" si="360"/>
        <v>0</v>
      </c>
      <c r="Y1037" s="71">
        <f t="shared" si="361"/>
        <v>0</v>
      </c>
      <c r="AA1037" s="71">
        <f t="shared" si="362"/>
        <v>0</v>
      </c>
      <c r="AC1037" s="71">
        <f t="shared" si="363"/>
        <v>0</v>
      </c>
      <c r="AK1037" s="71">
        <f t="shared" si="364"/>
        <v>0</v>
      </c>
      <c r="AM1037" s="71">
        <f t="shared" si="365"/>
        <v>0</v>
      </c>
      <c r="AO1037" s="71">
        <f t="shared" si="366"/>
        <v>0</v>
      </c>
      <c r="AQ1037" s="71">
        <f t="shared" si="367"/>
        <v>0</v>
      </c>
      <c r="AT1037" s="71">
        <f t="shared" si="368"/>
        <v>0</v>
      </c>
      <c r="AV1037" s="71">
        <f t="shared" si="369"/>
        <v>0</v>
      </c>
      <c r="AX1037" s="71">
        <f t="shared" si="370"/>
        <v>0</v>
      </c>
      <c r="AZ1037" s="71">
        <f t="shared" si="371"/>
        <v>0</v>
      </c>
      <c r="BE1037" s="81">
        <f t="shared" si="372"/>
        <v>0</v>
      </c>
      <c r="BF1037" s="81" t="str">
        <f t="shared" si="373"/>
        <v>BASSO</v>
      </c>
    </row>
    <row r="1038" spans="7:58" x14ac:dyDescent="0.15">
      <c r="G1038" s="64">
        <f t="shared" si="353"/>
        <v>0</v>
      </c>
      <c r="K1038" s="64">
        <f t="shared" si="354"/>
        <v>0</v>
      </c>
      <c r="M1038" s="64">
        <f t="shared" si="355"/>
        <v>0</v>
      </c>
      <c r="O1038" s="64">
        <f t="shared" si="356"/>
        <v>0</v>
      </c>
      <c r="Q1038" s="64">
        <f t="shared" si="357"/>
        <v>0</v>
      </c>
      <c r="S1038" s="71">
        <f t="shared" si="358"/>
        <v>0</v>
      </c>
      <c r="U1038" s="64">
        <f t="shared" si="359"/>
        <v>0</v>
      </c>
      <c r="W1038" s="71">
        <f t="shared" si="360"/>
        <v>0</v>
      </c>
      <c r="Y1038" s="71">
        <f t="shared" si="361"/>
        <v>0</v>
      </c>
      <c r="AA1038" s="71">
        <f t="shared" si="362"/>
        <v>0</v>
      </c>
      <c r="AC1038" s="71">
        <f t="shared" si="363"/>
        <v>0</v>
      </c>
      <c r="AK1038" s="71">
        <f t="shared" si="364"/>
        <v>0</v>
      </c>
      <c r="AM1038" s="71">
        <f t="shared" si="365"/>
        <v>0</v>
      </c>
      <c r="AO1038" s="71">
        <f t="shared" si="366"/>
        <v>0</v>
      </c>
      <c r="AQ1038" s="71">
        <f t="shared" si="367"/>
        <v>0</v>
      </c>
      <c r="AT1038" s="71">
        <f t="shared" si="368"/>
        <v>0</v>
      </c>
      <c r="AV1038" s="71">
        <f t="shared" si="369"/>
        <v>0</v>
      </c>
      <c r="AX1038" s="71">
        <f t="shared" si="370"/>
        <v>0</v>
      </c>
      <c r="AZ1038" s="71">
        <f t="shared" si="371"/>
        <v>0</v>
      </c>
      <c r="BE1038" s="81">
        <f t="shared" si="372"/>
        <v>0</v>
      </c>
      <c r="BF1038" s="81" t="str">
        <f t="shared" si="373"/>
        <v>BASSO</v>
      </c>
    </row>
    <row r="1039" spans="7:58" x14ac:dyDescent="0.15">
      <c r="G1039" s="64">
        <f t="shared" si="353"/>
        <v>0</v>
      </c>
      <c r="K1039" s="64">
        <f t="shared" si="354"/>
        <v>0</v>
      </c>
      <c r="M1039" s="64">
        <f t="shared" si="355"/>
        <v>0</v>
      </c>
      <c r="O1039" s="64">
        <f t="shared" si="356"/>
        <v>0</v>
      </c>
      <c r="Q1039" s="64">
        <f t="shared" si="357"/>
        <v>0</v>
      </c>
      <c r="S1039" s="71">
        <f t="shared" si="358"/>
        <v>0</v>
      </c>
      <c r="U1039" s="64">
        <f t="shared" si="359"/>
        <v>0</v>
      </c>
      <c r="W1039" s="71">
        <f t="shared" si="360"/>
        <v>0</v>
      </c>
      <c r="Y1039" s="71">
        <f t="shared" si="361"/>
        <v>0</v>
      </c>
      <c r="AA1039" s="71">
        <f t="shared" si="362"/>
        <v>0</v>
      </c>
      <c r="AC1039" s="71">
        <f t="shared" si="363"/>
        <v>0</v>
      </c>
      <c r="AK1039" s="71">
        <f t="shared" si="364"/>
        <v>0</v>
      </c>
      <c r="AM1039" s="71">
        <f t="shared" si="365"/>
        <v>0</v>
      </c>
      <c r="AO1039" s="71">
        <f t="shared" si="366"/>
        <v>0</v>
      </c>
      <c r="AQ1039" s="71">
        <f t="shared" si="367"/>
        <v>0</v>
      </c>
      <c r="AT1039" s="71">
        <f t="shared" si="368"/>
        <v>0</v>
      </c>
      <c r="AV1039" s="71">
        <f t="shared" si="369"/>
        <v>0</v>
      </c>
      <c r="AX1039" s="71">
        <f t="shared" si="370"/>
        <v>0</v>
      </c>
      <c r="AZ1039" s="71">
        <f t="shared" si="371"/>
        <v>0</v>
      </c>
      <c r="BE1039" s="81">
        <f t="shared" si="372"/>
        <v>0</v>
      </c>
      <c r="BF1039" s="81" t="str">
        <f t="shared" si="373"/>
        <v>BASSO</v>
      </c>
    </row>
    <row r="1040" spans="7:58" x14ac:dyDescent="0.15">
      <c r="G1040" s="64">
        <f t="shared" si="353"/>
        <v>0</v>
      </c>
      <c r="K1040" s="64">
        <f t="shared" si="354"/>
        <v>0</v>
      </c>
      <c r="M1040" s="64">
        <f t="shared" si="355"/>
        <v>0</v>
      </c>
      <c r="O1040" s="64">
        <f t="shared" si="356"/>
        <v>0</v>
      </c>
      <c r="Q1040" s="64">
        <f t="shared" si="357"/>
        <v>0</v>
      </c>
      <c r="S1040" s="71">
        <f t="shared" si="358"/>
        <v>0</v>
      </c>
      <c r="U1040" s="64">
        <f t="shared" si="359"/>
        <v>0</v>
      </c>
      <c r="W1040" s="71">
        <f t="shared" si="360"/>
        <v>0</v>
      </c>
      <c r="Y1040" s="71">
        <f t="shared" si="361"/>
        <v>0</v>
      </c>
      <c r="AA1040" s="71">
        <f t="shared" si="362"/>
        <v>0</v>
      </c>
      <c r="AC1040" s="71">
        <f t="shared" si="363"/>
        <v>0</v>
      </c>
      <c r="AK1040" s="71">
        <f t="shared" si="364"/>
        <v>0</v>
      </c>
      <c r="AM1040" s="71">
        <f t="shared" si="365"/>
        <v>0</v>
      </c>
      <c r="AO1040" s="71">
        <f t="shared" si="366"/>
        <v>0</v>
      </c>
      <c r="AQ1040" s="71">
        <f t="shared" si="367"/>
        <v>0</v>
      </c>
      <c r="AT1040" s="71">
        <f t="shared" si="368"/>
        <v>0</v>
      </c>
      <c r="AV1040" s="71">
        <f t="shared" si="369"/>
        <v>0</v>
      </c>
      <c r="AX1040" s="71">
        <f t="shared" si="370"/>
        <v>0</v>
      </c>
      <c r="AZ1040" s="71">
        <f t="shared" si="371"/>
        <v>0</v>
      </c>
      <c r="BE1040" s="81">
        <f t="shared" si="372"/>
        <v>0</v>
      </c>
      <c r="BF1040" s="81" t="str">
        <f t="shared" si="373"/>
        <v>BASSO</v>
      </c>
    </row>
    <row r="1041" spans="7:58" x14ac:dyDescent="0.15">
      <c r="G1041" s="64">
        <f t="shared" si="353"/>
        <v>0</v>
      </c>
      <c r="K1041" s="64">
        <f t="shared" si="354"/>
        <v>0</v>
      </c>
      <c r="M1041" s="64">
        <f t="shared" si="355"/>
        <v>0</v>
      </c>
      <c r="O1041" s="64">
        <f t="shared" si="356"/>
        <v>0</v>
      </c>
      <c r="Q1041" s="64">
        <f t="shared" si="357"/>
        <v>0</v>
      </c>
      <c r="S1041" s="71">
        <f t="shared" si="358"/>
        <v>0</v>
      </c>
      <c r="U1041" s="64">
        <f t="shared" si="359"/>
        <v>0</v>
      </c>
      <c r="W1041" s="71">
        <f t="shared" si="360"/>
        <v>0</v>
      </c>
      <c r="Y1041" s="71">
        <f t="shared" si="361"/>
        <v>0</v>
      </c>
      <c r="AA1041" s="71">
        <f t="shared" si="362"/>
        <v>0</v>
      </c>
      <c r="AC1041" s="71">
        <f t="shared" si="363"/>
        <v>0</v>
      </c>
      <c r="AK1041" s="71">
        <f t="shared" si="364"/>
        <v>0</v>
      </c>
      <c r="AM1041" s="71">
        <f t="shared" si="365"/>
        <v>0</v>
      </c>
      <c r="AO1041" s="71">
        <f t="shared" si="366"/>
        <v>0</v>
      </c>
      <c r="AQ1041" s="71">
        <f t="shared" si="367"/>
        <v>0</v>
      </c>
      <c r="AT1041" s="71">
        <f t="shared" si="368"/>
        <v>0</v>
      </c>
      <c r="AV1041" s="71">
        <f t="shared" si="369"/>
        <v>0</v>
      </c>
      <c r="AX1041" s="71">
        <f t="shared" si="370"/>
        <v>0</v>
      </c>
      <c r="AZ1041" s="71">
        <f t="shared" si="371"/>
        <v>0</v>
      </c>
      <c r="BE1041" s="81">
        <f t="shared" si="372"/>
        <v>0</v>
      </c>
      <c r="BF1041" s="81" t="str">
        <f t="shared" si="373"/>
        <v>BASSO</v>
      </c>
    </row>
    <row r="1042" spans="7:58" x14ac:dyDescent="0.15">
      <c r="G1042" s="64">
        <f t="shared" si="353"/>
        <v>0</v>
      </c>
      <c r="K1042" s="64">
        <f t="shared" si="354"/>
        <v>0</v>
      </c>
      <c r="M1042" s="64">
        <f t="shared" si="355"/>
        <v>0</v>
      </c>
      <c r="O1042" s="64">
        <f t="shared" si="356"/>
        <v>0</v>
      </c>
      <c r="Q1042" s="64">
        <f t="shared" si="357"/>
        <v>0</v>
      </c>
      <c r="S1042" s="71">
        <f t="shared" si="358"/>
        <v>0</v>
      </c>
      <c r="U1042" s="64">
        <f t="shared" si="359"/>
        <v>0</v>
      </c>
      <c r="W1042" s="71">
        <f t="shared" si="360"/>
        <v>0</v>
      </c>
      <c r="Y1042" s="71">
        <f t="shared" si="361"/>
        <v>0</v>
      </c>
      <c r="AA1042" s="71">
        <f t="shared" si="362"/>
        <v>0</v>
      </c>
      <c r="AC1042" s="71">
        <f t="shared" si="363"/>
        <v>0</v>
      </c>
      <c r="AK1042" s="71">
        <f t="shared" si="364"/>
        <v>0</v>
      </c>
      <c r="AM1042" s="71">
        <f t="shared" si="365"/>
        <v>0</v>
      </c>
      <c r="AO1042" s="71">
        <f t="shared" si="366"/>
        <v>0</v>
      </c>
      <c r="AQ1042" s="71">
        <f t="shared" si="367"/>
        <v>0</v>
      </c>
      <c r="AT1042" s="71">
        <f t="shared" si="368"/>
        <v>0</v>
      </c>
      <c r="AV1042" s="71">
        <f t="shared" si="369"/>
        <v>0</v>
      </c>
      <c r="AX1042" s="71">
        <f t="shared" si="370"/>
        <v>0</v>
      </c>
      <c r="AZ1042" s="71">
        <f t="shared" si="371"/>
        <v>0</v>
      </c>
      <c r="BE1042" s="81">
        <f t="shared" si="372"/>
        <v>0</v>
      </c>
      <c r="BF1042" s="81" t="str">
        <f t="shared" si="373"/>
        <v>BASSO</v>
      </c>
    </row>
    <row r="1043" spans="7:58" x14ac:dyDescent="0.15">
      <c r="G1043" s="64">
        <f t="shared" si="353"/>
        <v>0</v>
      </c>
      <c r="O1043" s="64">
        <f t="shared" si="356"/>
        <v>0</v>
      </c>
      <c r="Q1043" s="64">
        <f t="shared" si="357"/>
        <v>0</v>
      </c>
      <c r="S1043" s="71">
        <f t="shared" si="358"/>
        <v>0</v>
      </c>
      <c r="U1043" s="64">
        <f t="shared" si="359"/>
        <v>0</v>
      </c>
      <c r="W1043" s="71">
        <f t="shared" si="360"/>
        <v>0</v>
      </c>
      <c r="Y1043" s="71">
        <f t="shared" si="361"/>
        <v>0</v>
      </c>
      <c r="AA1043" s="71">
        <f t="shared" si="362"/>
        <v>0</v>
      </c>
      <c r="AC1043" s="71">
        <f t="shared" si="363"/>
        <v>0</v>
      </c>
      <c r="AK1043" s="71">
        <f t="shared" si="364"/>
        <v>0</v>
      </c>
      <c r="AM1043" s="71">
        <f t="shared" si="365"/>
        <v>0</v>
      </c>
      <c r="AO1043" s="71">
        <f t="shared" si="366"/>
        <v>0</v>
      </c>
      <c r="AQ1043" s="71">
        <f t="shared" si="367"/>
        <v>0</v>
      </c>
      <c r="AT1043" s="71">
        <f t="shared" si="368"/>
        <v>0</v>
      </c>
      <c r="AV1043" s="71">
        <f t="shared" si="369"/>
        <v>0</v>
      </c>
      <c r="AX1043" s="71">
        <f t="shared" si="370"/>
        <v>0</v>
      </c>
      <c r="AZ1043" s="71">
        <f t="shared" si="371"/>
        <v>0</v>
      </c>
      <c r="BE1043" s="81">
        <f t="shared" si="372"/>
        <v>0</v>
      </c>
      <c r="BF1043" s="81" t="str">
        <f t="shared" si="373"/>
        <v>BASSO</v>
      </c>
    </row>
    <row r="1044" spans="7:58" x14ac:dyDescent="0.15">
      <c r="G1044" s="64">
        <f t="shared" si="353"/>
        <v>0</v>
      </c>
      <c r="O1044" s="64">
        <f t="shared" si="356"/>
        <v>0</v>
      </c>
      <c r="Q1044" s="64">
        <f t="shared" si="357"/>
        <v>0</v>
      </c>
      <c r="S1044" s="71">
        <f t="shared" si="358"/>
        <v>0</v>
      </c>
      <c r="U1044" s="64">
        <f t="shared" si="359"/>
        <v>0</v>
      </c>
      <c r="W1044" s="71">
        <f t="shared" si="360"/>
        <v>0</v>
      </c>
      <c r="Y1044" s="71">
        <f t="shared" si="361"/>
        <v>0</v>
      </c>
      <c r="AA1044" s="71">
        <f t="shared" si="362"/>
        <v>0</v>
      </c>
      <c r="AC1044" s="71">
        <f t="shared" si="363"/>
        <v>0</v>
      </c>
      <c r="AK1044" s="71">
        <f t="shared" si="364"/>
        <v>0</v>
      </c>
      <c r="AM1044" s="71">
        <f t="shared" si="365"/>
        <v>0</v>
      </c>
      <c r="AO1044" s="71">
        <f t="shared" si="366"/>
        <v>0</v>
      </c>
      <c r="AQ1044" s="71">
        <f t="shared" si="367"/>
        <v>0</v>
      </c>
      <c r="AT1044" s="71">
        <f t="shared" si="368"/>
        <v>0</v>
      </c>
      <c r="AV1044" s="71">
        <f t="shared" si="369"/>
        <v>0</v>
      </c>
      <c r="AX1044" s="71">
        <f t="shared" si="370"/>
        <v>0</v>
      </c>
      <c r="AZ1044" s="71">
        <f t="shared" si="371"/>
        <v>0</v>
      </c>
      <c r="BE1044" s="81">
        <f t="shared" si="372"/>
        <v>0</v>
      </c>
      <c r="BF1044" s="81" t="str">
        <f t="shared" si="373"/>
        <v>BASSO</v>
      </c>
    </row>
    <row r="1045" spans="7:58" x14ac:dyDescent="0.15">
      <c r="G1045" s="64">
        <f t="shared" si="353"/>
        <v>0</v>
      </c>
      <c r="O1045" s="64">
        <f t="shared" si="356"/>
        <v>0</v>
      </c>
      <c r="Q1045" s="64">
        <f t="shared" si="357"/>
        <v>0</v>
      </c>
      <c r="S1045" s="71">
        <f t="shared" si="358"/>
        <v>0</v>
      </c>
      <c r="U1045" s="64">
        <f t="shared" si="359"/>
        <v>0</v>
      </c>
      <c r="W1045" s="71">
        <f t="shared" si="360"/>
        <v>0</v>
      </c>
      <c r="Y1045" s="71">
        <f t="shared" si="361"/>
        <v>0</v>
      </c>
      <c r="AA1045" s="71">
        <f t="shared" si="362"/>
        <v>0</v>
      </c>
      <c r="AC1045" s="71">
        <f t="shared" si="363"/>
        <v>0</v>
      </c>
      <c r="AK1045" s="71">
        <f t="shared" si="364"/>
        <v>0</v>
      </c>
      <c r="AM1045" s="71">
        <f t="shared" si="365"/>
        <v>0</v>
      </c>
      <c r="AO1045" s="71">
        <f t="shared" si="366"/>
        <v>0</v>
      </c>
      <c r="AQ1045" s="71">
        <f t="shared" si="367"/>
        <v>0</v>
      </c>
      <c r="AT1045" s="71">
        <f t="shared" si="368"/>
        <v>0</v>
      </c>
      <c r="AV1045" s="71">
        <f t="shared" si="369"/>
        <v>0</v>
      </c>
      <c r="AX1045" s="71">
        <f t="shared" si="370"/>
        <v>0</v>
      </c>
      <c r="AZ1045" s="71">
        <f t="shared" si="371"/>
        <v>0</v>
      </c>
      <c r="BE1045" s="81">
        <f t="shared" si="372"/>
        <v>0</v>
      </c>
      <c r="BF1045" s="81" t="str">
        <f t="shared" si="373"/>
        <v>BASSO</v>
      </c>
    </row>
    <row r="1046" spans="7:58" x14ac:dyDescent="0.15">
      <c r="G1046" s="64">
        <f t="shared" si="353"/>
        <v>0</v>
      </c>
      <c r="O1046" s="64">
        <f t="shared" si="356"/>
        <v>0</v>
      </c>
      <c r="Q1046" s="64">
        <f t="shared" si="357"/>
        <v>0</v>
      </c>
      <c r="S1046" s="71">
        <f t="shared" si="358"/>
        <v>0</v>
      </c>
      <c r="U1046" s="64">
        <f t="shared" si="359"/>
        <v>0</v>
      </c>
      <c r="W1046" s="71">
        <f t="shared" si="360"/>
        <v>0</v>
      </c>
      <c r="Y1046" s="71">
        <f t="shared" si="361"/>
        <v>0</v>
      </c>
      <c r="AA1046" s="71">
        <f t="shared" si="362"/>
        <v>0</v>
      </c>
      <c r="AC1046" s="71">
        <f t="shared" si="363"/>
        <v>0</v>
      </c>
      <c r="AK1046" s="71">
        <f t="shared" si="364"/>
        <v>0</v>
      </c>
      <c r="AM1046" s="71">
        <f t="shared" si="365"/>
        <v>0</v>
      </c>
      <c r="AO1046" s="71">
        <f t="shared" si="366"/>
        <v>0</v>
      </c>
      <c r="AQ1046" s="71">
        <f t="shared" si="367"/>
        <v>0</v>
      </c>
      <c r="AT1046" s="71">
        <f t="shared" si="368"/>
        <v>0</v>
      </c>
      <c r="AV1046" s="71">
        <f t="shared" si="369"/>
        <v>0</v>
      </c>
      <c r="AX1046" s="71">
        <f t="shared" si="370"/>
        <v>0</v>
      </c>
      <c r="AZ1046" s="71">
        <f t="shared" si="371"/>
        <v>0</v>
      </c>
      <c r="BE1046" s="81">
        <f t="shared" si="372"/>
        <v>0</v>
      </c>
      <c r="BF1046" s="81" t="str">
        <f t="shared" si="373"/>
        <v>BASSO</v>
      </c>
    </row>
    <row r="1047" spans="7:58" x14ac:dyDescent="0.15">
      <c r="G1047" s="64">
        <f t="shared" si="353"/>
        <v>0</v>
      </c>
      <c r="O1047" s="64">
        <f t="shared" si="356"/>
        <v>0</v>
      </c>
      <c r="Q1047" s="64">
        <f t="shared" si="357"/>
        <v>0</v>
      </c>
      <c r="S1047" s="71">
        <f t="shared" si="358"/>
        <v>0</v>
      </c>
      <c r="U1047" s="64">
        <f t="shared" si="359"/>
        <v>0</v>
      </c>
      <c r="W1047" s="71">
        <f t="shared" si="360"/>
        <v>0</v>
      </c>
      <c r="Y1047" s="71">
        <f t="shared" si="361"/>
        <v>0</v>
      </c>
      <c r="AA1047" s="71">
        <f t="shared" si="362"/>
        <v>0</v>
      </c>
      <c r="AC1047" s="71">
        <f t="shared" si="363"/>
        <v>0</v>
      </c>
      <c r="AK1047" s="71">
        <f t="shared" si="364"/>
        <v>0</v>
      </c>
      <c r="AM1047" s="71">
        <f t="shared" si="365"/>
        <v>0</v>
      </c>
      <c r="AO1047" s="71">
        <f t="shared" si="366"/>
        <v>0</v>
      </c>
      <c r="AQ1047" s="71">
        <f t="shared" si="367"/>
        <v>0</v>
      </c>
      <c r="AT1047" s="71">
        <f t="shared" si="368"/>
        <v>0</v>
      </c>
      <c r="AV1047" s="71">
        <f t="shared" si="369"/>
        <v>0</v>
      </c>
      <c r="AX1047" s="71">
        <f t="shared" si="370"/>
        <v>0</v>
      </c>
      <c r="AZ1047" s="71">
        <f t="shared" si="371"/>
        <v>0</v>
      </c>
      <c r="BE1047" s="81">
        <f t="shared" si="372"/>
        <v>0</v>
      </c>
      <c r="BF1047" s="81" t="str">
        <f t="shared" si="373"/>
        <v>BASSO</v>
      </c>
    </row>
    <row r="1048" spans="7:58" x14ac:dyDescent="0.15">
      <c r="G1048" s="64">
        <f t="shared" si="353"/>
        <v>0</v>
      </c>
      <c r="O1048" s="64">
        <f t="shared" si="356"/>
        <v>0</v>
      </c>
      <c r="Q1048" s="64">
        <f t="shared" si="357"/>
        <v>0</v>
      </c>
      <c r="S1048" s="71">
        <f t="shared" si="358"/>
        <v>0</v>
      </c>
      <c r="U1048" s="64">
        <f t="shared" si="359"/>
        <v>0</v>
      </c>
      <c r="W1048" s="71">
        <f t="shared" si="360"/>
        <v>0</v>
      </c>
      <c r="Y1048" s="71">
        <f t="shared" si="361"/>
        <v>0</v>
      </c>
      <c r="AA1048" s="71">
        <f t="shared" si="362"/>
        <v>0</v>
      </c>
      <c r="AC1048" s="71">
        <f t="shared" si="363"/>
        <v>0</v>
      </c>
      <c r="AK1048" s="71">
        <f t="shared" si="364"/>
        <v>0</v>
      </c>
      <c r="AM1048" s="71">
        <f t="shared" si="365"/>
        <v>0</v>
      </c>
      <c r="AO1048" s="71">
        <f t="shared" si="366"/>
        <v>0</v>
      </c>
      <c r="AQ1048" s="71">
        <f t="shared" si="367"/>
        <v>0</v>
      </c>
      <c r="AT1048" s="71">
        <f t="shared" si="368"/>
        <v>0</v>
      </c>
      <c r="AV1048" s="71">
        <f t="shared" si="369"/>
        <v>0</v>
      </c>
      <c r="AX1048" s="71">
        <f t="shared" si="370"/>
        <v>0</v>
      </c>
      <c r="AZ1048" s="71">
        <f t="shared" si="371"/>
        <v>0</v>
      </c>
      <c r="BE1048" s="81">
        <f t="shared" si="372"/>
        <v>0</v>
      </c>
      <c r="BF1048" s="81" t="str">
        <f t="shared" si="373"/>
        <v>BASSO</v>
      </c>
    </row>
    <row r="1049" spans="7:58" x14ac:dyDescent="0.15">
      <c r="G1049" s="64">
        <f t="shared" si="353"/>
        <v>0</v>
      </c>
      <c r="O1049" s="64">
        <f t="shared" si="356"/>
        <v>0</v>
      </c>
      <c r="Q1049" s="64">
        <f t="shared" si="357"/>
        <v>0</v>
      </c>
      <c r="S1049" s="71">
        <f t="shared" si="358"/>
        <v>0</v>
      </c>
      <c r="U1049" s="64">
        <f t="shared" si="359"/>
        <v>0</v>
      </c>
      <c r="W1049" s="71">
        <f t="shared" si="360"/>
        <v>0</v>
      </c>
      <c r="Y1049" s="71">
        <f t="shared" si="361"/>
        <v>0</v>
      </c>
      <c r="AA1049" s="71">
        <f t="shared" si="362"/>
        <v>0</v>
      </c>
      <c r="AC1049" s="71">
        <f t="shared" si="363"/>
        <v>0</v>
      </c>
      <c r="AK1049" s="71">
        <f t="shared" si="364"/>
        <v>0</v>
      </c>
      <c r="AM1049" s="71">
        <f t="shared" si="365"/>
        <v>0</v>
      </c>
      <c r="AO1049" s="71">
        <f t="shared" si="366"/>
        <v>0</v>
      </c>
      <c r="AQ1049" s="71">
        <f t="shared" si="367"/>
        <v>0</v>
      </c>
      <c r="AT1049" s="71">
        <f t="shared" si="368"/>
        <v>0</v>
      </c>
      <c r="AV1049" s="71">
        <f t="shared" si="369"/>
        <v>0</v>
      </c>
      <c r="AX1049" s="71">
        <f t="shared" si="370"/>
        <v>0</v>
      </c>
      <c r="AZ1049" s="71">
        <f t="shared" si="371"/>
        <v>0</v>
      </c>
      <c r="BE1049" s="81">
        <f t="shared" si="372"/>
        <v>0</v>
      </c>
      <c r="BF1049" s="81" t="str">
        <f t="shared" si="373"/>
        <v>BASSO</v>
      </c>
    </row>
    <row r="1050" spans="7:58" x14ac:dyDescent="0.15">
      <c r="G1050" s="64">
        <f t="shared" si="353"/>
        <v>0</v>
      </c>
      <c r="O1050" s="64">
        <f t="shared" si="356"/>
        <v>0</v>
      </c>
      <c r="Q1050" s="64">
        <f t="shared" si="357"/>
        <v>0</v>
      </c>
      <c r="S1050" s="71">
        <f t="shared" si="358"/>
        <v>0</v>
      </c>
      <c r="U1050" s="64">
        <f t="shared" si="359"/>
        <v>0</v>
      </c>
      <c r="W1050" s="71">
        <f t="shared" si="360"/>
        <v>0</v>
      </c>
      <c r="Y1050" s="71">
        <f t="shared" si="361"/>
        <v>0</v>
      </c>
      <c r="AA1050" s="71">
        <f t="shared" si="362"/>
        <v>0</v>
      </c>
      <c r="AC1050" s="71">
        <f t="shared" si="363"/>
        <v>0</v>
      </c>
      <c r="AK1050" s="71">
        <f t="shared" si="364"/>
        <v>0</v>
      </c>
      <c r="AM1050" s="71">
        <f t="shared" si="365"/>
        <v>0</v>
      </c>
      <c r="AO1050" s="71">
        <f t="shared" si="366"/>
        <v>0</v>
      </c>
      <c r="AQ1050" s="71">
        <f t="shared" si="367"/>
        <v>0</v>
      </c>
      <c r="AT1050" s="71">
        <f t="shared" si="368"/>
        <v>0</v>
      </c>
      <c r="AV1050" s="71">
        <f t="shared" si="369"/>
        <v>0</v>
      </c>
      <c r="AX1050" s="71">
        <f t="shared" si="370"/>
        <v>0</v>
      </c>
      <c r="AZ1050" s="71">
        <f t="shared" si="371"/>
        <v>0</v>
      </c>
      <c r="BE1050" s="81">
        <f t="shared" si="372"/>
        <v>0</v>
      </c>
      <c r="BF1050" s="81" t="str">
        <f t="shared" si="373"/>
        <v>BASSO</v>
      </c>
    </row>
    <row r="1051" spans="7:58" x14ac:dyDescent="0.15">
      <c r="G1051" s="64">
        <f t="shared" si="353"/>
        <v>0</v>
      </c>
      <c r="O1051" s="64">
        <f t="shared" si="356"/>
        <v>0</v>
      </c>
      <c r="Q1051" s="64">
        <f t="shared" si="357"/>
        <v>0</v>
      </c>
      <c r="S1051" s="71">
        <f t="shared" si="358"/>
        <v>0</v>
      </c>
      <c r="U1051" s="64">
        <f t="shared" si="359"/>
        <v>0</v>
      </c>
      <c r="W1051" s="71">
        <f t="shared" si="360"/>
        <v>0</v>
      </c>
      <c r="Y1051" s="71">
        <f t="shared" si="361"/>
        <v>0</v>
      </c>
      <c r="AA1051" s="71">
        <f t="shared" si="362"/>
        <v>0</v>
      </c>
      <c r="AC1051" s="71">
        <f t="shared" si="363"/>
        <v>0</v>
      </c>
      <c r="AK1051" s="71">
        <f t="shared" si="364"/>
        <v>0</v>
      </c>
      <c r="AM1051" s="71">
        <f t="shared" si="365"/>
        <v>0</v>
      </c>
      <c r="AO1051" s="71">
        <f t="shared" si="366"/>
        <v>0</v>
      </c>
      <c r="AQ1051" s="71">
        <f t="shared" si="367"/>
        <v>0</v>
      </c>
      <c r="AT1051" s="71">
        <f t="shared" si="368"/>
        <v>0</v>
      </c>
      <c r="AV1051" s="71">
        <f t="shared" si="369"/>
        <v>0</v>
      </c>
      <c r="AX1051" s="71">
        <f t="shared" si="370"/>
        <v>0</v>
      </c>
      <c r="AZ1051" s="71">
        <f t="shared" si="371"/>
        <v>0</v>
      </c>
      <c r="BE1051" s="81">
        <f t="shared" si="372"/>
        <v>0</v>
      </c>
      <c r="BF1051" s="81" t="str">
        <f t="shared" si="373"/>
        <v>BASSO</v>
      </c>
    </row>
    <row r="1052" spans="7:58" x14ac:dyDescent="0.15">
      <c r="G1052" s="64">
        <f t="shared" si="353"/>
        <v>0</v>
      </c>
      <c r="O1052" s="64">
        <f t="shared" si="356"/>
        <v>0</v>
      </c>
      <c r="Q1052" s="64">
        <f t="shared" si="357"/>
        <v>0</v>
      </c>
      <c r="S1052" s="71">
        <f t="shared" si="358"/>
        <v>0</v>
      </c>
      <c r="U1052" s="64">
        <f t="shared" si="359"/>
        <v>0</v>
      </c>
      <c r="W1052" s="71">
        <f t="shared" si="360"/>
        <v>0</v>
      </c>
      <c r="Y1052" s="71">
        <f t="shared" si="361"/>
        <v>0</v>
      </c>
      <c r="AA1052" s="71">
        <f t="shared" si="362"/>
        <v>0</v>
      </c>
      <c r="AC1052" s="71">
        <f t="shared" si="363"/>
        <v>0</v>
      </c>
      <c r="AK1052" s="71">
        <f t="shared" si="364"/>
        <v>0</v>
      </c>
      <c r="AM1052" s="71">
        <f t="shared" si="365"/>
        <v>0</v>
      </c>
      <c r="AO1052" s="71">
        <f t="shared" si="366"/>
        <v>0</v>
      </c>
      <c r="AQ1052" s="71">
        <f t="shared" si="367"/>
        <v>0</v>
      </c>
      <c r="AT1052" s="71">
        <f t="shared" si="368"/>
        <v>0</v>
      </c>
      <c r="AV1052" s="71">
        <f t="shared" si="369"/>
        <v>0</v>
      </c>
      <c r="AX1052" s="71">
        <f t="shared" si="370"/>
        <v>0</v>
      </c>
      <c r="AZ1052" s="71">
        <f t="shared" si="371"/>
        <v>0</v>
      </c>
      <c r="BE1052" s="81">
        <f t="shared" si="372"/>
        <v>0</v>
      </c>
      <c r="BF1052" s="81" t="str">
        <f t="shared" si="373"/>
        <v>BASSO</v>
      </c>
    </row>
    <row r="1053" spans="7:58" x14ac:dyDescent="0.15">
      <c r="G1053" s="64">
        <f t="shared" si="353"/>
        <v>0</v>
      </c>
      <c r="O1053" s="64">
        <f t="shared" si="356"/>
        <v>0</v>
      </c>
      <c r="Q1053" s="64">
        <f t="shared" si="357"/>
        <v>0</v>
      </c>
      <c r="S1053" s="71">
        <f t="shared" si="358"/>
        <v>0</v>
      </c>
      <c r="U1053" s="64">
        <f t="shared" si="359"/>
        <v>0</v>
      </c>
      <c r="W1053" s="71">
        <f t="shared" si="360"/>
        <v>0</v>
      </c>
      <c r="Y1053" s="71">
        <f t="shared" si="361"/>
        <v>0</v>
      </c>
      <c r="AA1053" s="71">
        <f t="shared" si="362"/>
        <v>0</v>
      </c>
      <c r="AC1053" s="71">
        <f t="shared" si="363"/>
        <v>0</v>
      </c>
      <c r="AK1053" s="71">
        <f t="shared" si="364"/>
        <v>0</v>
      </c>
      <c r="AM1053" s="71">
        <f t="shared" si="365"/>
        <v>0</v>
      </c>
      <c r="AO1053" s="71">
        <f t="shared" si="366"/>
        <v>0</v>
      </c>
      <c r="AQ1053" s="71">
        <f t="shared" si="367"/>
        <v>0</v>
      </c>
      <c r="AT1053" s="71">
        <f t="shared" si="368"/>
        <v>0</v>
      </c>
      <c r="AV1053" s="71">
        <f t="shared" si="369"/>
        <v>0</v>
      </c>
      <c r="AX1053" s="71">
        <f t="shared" si="370"/>
        <v>0</v>
      </c>
      <c r="AZ1053" s="71">
        <f t="shared" si="371"/>
        <v>0</v>
      </c>
      <c r="BE1053" s="81">
        <f t="shared" si="372"/>
        <v>0</v>
      </c>
      <c r="BF1053" s="81" t="str">
        <f t="shared" si="373"/>
        <v>BASSO</v>
      </c>
    </row>
    <row r="1054" spans="7:58" x14ac:dyDescent="0.15">
      <c r="G1054" s="64">
        <f t="shared" si="353"/>
        <v>0</v>
      </c>
      <c r="O1054" s="64">
        <f t="shared" si="356"/>
        <v>0</v>
      </c>
      <c r="Q1054" s="64">
        <f t="shared" si="357"/>
        <v>0</v>
      </c>
      <c r="S1054" s="71">
        <f t="shared" si="358"/>
        <v>0</v>
      </c>
      <c r="U1054" s="64">
        <f t="shared" si="359"/>
        <v>0</v>
      </c>
      <c r="W1054" s="71">
        <f t="shared" si="360"/>
        <v>0</v>
      </c>
      <c r="Y1054" s="71">
        <f t="shared" si="361"/>
        <v>0</v>
      </c>
      <c r="AA1054" s="71">
        <f t="shared" si="362"/>
        <v>0</v>
      </c>
      <c r="AC1054" s="71">
        <f t="shared" si="363"/>
        <v>0</v>
      </c>
      <c r="AK1054" s="71">
        <f t="shared" si="364"/>
        <v>0</v>
      </c>
      <c r="AM1054" s="71">
        <f t="shared" si="365"/>
        <v>0</v>
      </c>
      <c r="AO1054" s="71">
        <f t="shared" si="366"/>
        <v>0</v>
      </c>
      <c r="AQ1054" s="71">
        <f t="shared" si="367"/>
        <v>0</v>
      </c>
      <c r="AT1054" s="71">
        <f t="shared" si="368"/>
        <v>0</v>
      </c>
      <c r="AV1054" s="71">
        <f t="shared" si="369"/>
        <v>0</v>
      </c>
      <c r="AX1054" s="71">
        <f t="shared" si="370"/>
        <v>0</v>
      </c>
      <c r="AZ1054" s="71">
        <f t="shared" si="371"/>
        <v>0</v>
      </c>
      <c r="BE1054" s="81">
        <f t="shared" si="372"/>
        <v>0</v>
      </c>
      <c r="BF1054" s="81" t="str">
        <f t="shared" si="373"/>
        <v>BASSO</v>
      </c>
    </row>
    <row r="1055" spans="7:58" x14ac:dyDescent="0.15">
      <c r="G1055" s="64">
        <f t="shared" si="353"/>
        <v>0</v>
      </c>
      <c r="O1055" s="64">
        <f t="shared" si="356"/>
        <v>0</v>
      </c>
      <c r="Q1055" s="64">
        <f t="shared" si="357"/>
        <v>0</v>
      </c>
      <c r="S1055" s="71">
        <f t="shared" si="358"/>
        <v>0</v>
      </c>
      <c r="U1055" s="64">
        <f t="shared" si="359"/>
        <v>0</v>
      </c>
      <c r="W1055" s="71">
        <f t="shared" si="360"/>
        <v>0</v>
      </c>
      <c r="Y1055" s="71">
        <f t="shared" si="361"/>
        <v>0</v>
      </c>
      <c r="AA1055" s="71">
        <f t="shared" si="362"/>
        <v>0</v>
      </c>
      <c r="AC1055" s="71">
        <f t="shared" si="363"/>
        <v>0</v>
      </c>
      <c r="AK1055" s="71">
        <f t="shared" si="364"/>
        <v>0</v>
      </c>
      <c r="AM1055" s="71">
        <f t="shared" si="365"/>
        <v>0</v>
      </c>
      <c r="AO1055" s="71">
        <f t="shared" si="366"/>
        <v>0</v>
      </c>
      <c r="AQ1055" s="71">
        <f t="shared" si="367"/>
        <v>0</v>
      </c>
      <c r="AT1055" s="71">
        <f t="shared" si="368"/>
        <v>0</v>
      </c>
      <c r="AV1055" s="71">
        <f t="shared" si="369"/>
        <v>0</v>
      </c>
      <c r="AX1055" s="71">
        <f t="shared" si="370"/>
        <v>0</v>
      </c>
      <c r="AZ1055" s="71">
        <f t="shared" si="371"/>
        <v>0</v>
      </c>
      <c r="BE1055" s="81">
        <f t="shared" si="372"/>
        <v>0</v>
      </c>
      <c r="BF1055" s="81" t="str">
        <f t="shared" si="373"/>
        <v>BASSO</v>
      </c>
    </row>
    <row r="1056" spans="7:58" x14ac:dyDescent="0.15">
      <c r="G1056" s="64">
        <f t="shared" si="353"/>
        <v>0</v>
      </c>
      <c r="O1056" s="64">
        <f t="shared" si="356"/>
        <v>0</v>
      </c>
      <c r="Q1056" s="64">
        <f t="shared" si="357"/>
        <v>0</v>
      </c>
      <c r="S1056" s="71">
        <f t="shared" si="358"/>
        <v>0</v>
      </c>
      <c r="U1056" s="64">
        <f t="shared" si="359"/>
        <v>0</v>
      </c>
      <c r="W1056" s="71">
        <f t="shared" si="360"/>
        <v>0</v>
      </c>
      <c r="Y1056" s="71">
        <f t="shared" si="361"/>
        <v>0</v>
      </c>
      <c r="AA1056" s="71">
        <f t="shared" si="362"/>
        <v>0</v>
      </c>
      <c r="AC1056" s="71">
        <f t="shared" si="363"/>
        <v>0</v>
      </c>
      <c r="AK1056" s="71">
        <f t="shared" si="364"/>
        <v>0</v>
      </c>
      <c r="AM1056" s="71">
        <f t="shared" si="365"/>
        <v>0</v>
      </c>
      <c r="AO1056" s="71">
        <f t="shared" si="366"/>
        <v>0</v>
      </c>
      <c r="AQ1056" s="71">
        <f t="shared" si="367"/>
        <v>0</v>
      </c>
      <c r="AT1056" s="71">
        <f t="shared" si="368"/>
        <v>0</v>
      </c>
      <c r="AV1056" s="71">
        <f t="shared" si="369"/>
        <v>0</v>
      </c>
      <c r="AX1056" s="71">
        <f t="shared" si="370"/>
        <v>0</v>
      </c>
      <c r="AZ1056" s="71">
        <f t="shared" si="371"/>
        <v>0</v>
      </c>
      <c r="BE1056" s="81">
        <f t="shared" si="372"/>
        <v>0</v>
      </c>
      <c r="BF1056" s="81" t="str">
        <f t="shared" si="373"/>
        <v>BASSO</v>
      </c>
    </row>
    <row r="1057" spans="7:58" x14ac:dyDescent="0.15">
      <c r="G1057" s="64">
        <f t="shared" si="353"/>
        <v>0</v>
      </c>
      <c r="O1057" s="64">
        <f t="shared" si="356"/>
        <v>0</v>
      </c>
      <c r="Q1057" s="64">
        <f t="shared" si="357"/>
        <v>0</v>
      </c>
      <c r="S1057" s="71">
        <f t="shared" si="358"/>
        <v>0</v>
      </c>
      <c r="U1057" s="64">
        <f t="shared" si="359"/>
        <v>0</v>
      </c>
      <c r="W1057" s="71">
        <f t="shared" si="360"/>
        <v>0</v>
      </c>
      <c r="Y1057" s="71">
        <f t="shared" si="361"/>
        <v>0</v>
      </c>
      <c r="AA1057" s="71">
        <f t="shared" si="362"/>
        <v>0</v>
      </c>
      <c r="AC1057" s="71">
        <f t="shared" si="363"/>
        <v>0</v>
      </c>
      <c r="AK1057" s="71">
        <f t="shared" si="364"/>
        <v>0</v>
      </c>
      <c r="AM1057" s="71">
        <f t="shared" si="365"/>
        <v>0</v>
      </c>
      <c r="AO1057" s="71">
        <f t="shared" si="366"/>
        <v>0</v>
      </c>
      <c r="AQ1057" s="71">
        <f t="shared" si="367"/>
        <v>0</v>
      </c>
      <c r="AT1057" s="71">
        <f t="shared" si="368"/>
        <v>0</v>
      </c>
      <c r="AV1057" s="71">
        <f t="shared" si="369"/>
        <v>0</v>
      </c>
      <c r="AX1057" s="71">
        <f t="shared" si="370"/>
        <v>0</v>
      </c>
      <c r="AZ1057" s="71">
        <f t="shared" si="371"/>
        <v>0</v>
      </c>
      <c r="BE1057" s="81">
        <f t="shared" si="372"/>
        <v>0</v>
      </c>
      <c r="BF1057" s="81" t="str">
        <f t="shared" si="373"/>
        <v>BASSO</v>
      </c>
    </row>
    <row r="1058" spans="7:58" x14ac:dyDescent="0.15">
      <c r="G1058" s="64">
        <f t="shared" si="353"/>
        <v>0</v>
      </c>
      <c r="O1058" s="64">
        <f t="shared" si="356"/>
        <v>0</v>
      </c>
      <c r="Q1058" s="64">
        <f t="shared" si="357"/>
        <v>0</v>
      </c>
      <c r="S1058" s="71">
        <f t="shared" si="358"/>
        <v>0</v>
      </c>
      <c r="U1058" s="64">
        <f t="shared" si="359"/>
        <v>0</v>
      </c>
      <c r="W1058" s="71">
        <f t="shared" si="360"/>
        <v>0</v>
      </c>
      <c r="Y1058" s="71">
        <f t="shared" si="361"/>
        <v>0</v>
      </c>
      <c r="AA1058" s="71">
        <f t="shared" si="362"/>
        <v>0</v>
      </c>
      <c r="AC1058" s="71">
        <f t="shared" si="363"/>
        <v>0</v>
      </c>
      <c r="AK1058" s="71">
        <f t="shared" si="364"/>
        <v>0</v>
      </c>
      <c r="AM1058" s="71">
        <f t="shared" si="365"/>
        <v>0</v>
      </c>
      <c r="AO1058" s="71">
        <f t="shared" si="366"/>
        <v>0</v>
      </c>
      <c r="AQ1058" s="71">
        <f t="shared" si="367"/>
        <v>0</v>
      </c>
      <c r="AT1058" s="71">
        <f t="shared" si="368"/>
        <v>0</v>
      </c>
      <c r="AV1058" s="71">
        <f t="shared" si="369"/>
        <v>0</v>
      </c>
      <c r="AX1058" s="71">
        <f t="shared" si="370"/>
        <v>0</v>
      </c>
      <c r="AZ1058" s="71">
        <f t="shared" si="371"/>
        <v>0</v>
      </c>
      <c r="BE1058" s="81">
        <f t="shared" si="372"/>
        <v>0</v>
      </c>
      <c r="BF1058" s="81" t="str">
        <f t="shared" si="373"/>
        <v>BASSO</v>
      </c>
    </row>
    <row r="1059" spans="7:58" x14ac:dyDescent="0.15">
      <c r="G1059" s="64">
        <f t="shared" si="353"/>
        <v>0</v>
      </c>
      <c r="O1059" s="64">
        <f t="shared" si="356"/>
        <v>0</v>
      </c>
      <c r="Q1059" s="64">
        <f t="shared" si="357"/>
        <v>0</v>
      </c>
      <c r="S1059" s="71">
        <f t="shared" si="358"/>
        <v>0</v>
      </c>
      <c r="U1059" s="64">
        <f t="shared" si="359"/>
        <v>0</v>
      </c>
      <c r="W1059" s="71">
        <f t="shared" si="360"/>
        <v>0</v>
      </c>
      <c r="Y1059" s="71">
        <f t="shared" si="361"/>
        <v>0</v>
      </c>
      <c r="AA1059" s="71">
        <f t="shared" si="362"/>
        <v>0</v>
      </c>
      <c r="AC1059" s="71">
        <f t="shared" si="363"/>
        <v>0</v>
      </c>
      <c r="AK1059" s="71">
        <f t="shared" si="364"/>
        <v>0</v>
      </c>
      <c r="AM1059" s="71">
        <f t="shared" si="365"/>
        <v>0</v>
      </c>
      <c r="AO1059" s="71">
        <f t="shared" si="366"/>
        <v>0</v>
      </c>
      <c r="AQ1059" s="71">
        <f t="shared" si="367"/>
        <v>0</v>
      </c>
      <c r="AT1059" s="71">
        <f t="shared" si="368"/>
        <v>0</v>
      </c>
      <c r="AV1059" s="71">
        <f t="shared" si="369"/>
        <v>0</v>
      </c>
      <c r="AX1059" s="71">
        <f t="shared" si="370"/>
        <v>0</v>
      </c>
      <c r="AZ1059" s="71">
        <f t="shared" si="371"/>
        <v>0</v>
      </c>
      <c r="BE1059" s="81">
        <f t="shared" si="372"/>
        <v>0</v>
      </c>
      <c r="BF1059" s="81" t="str">
        <f t="shared" si="373"/>
        <v>BASSO</v>
      </c>
    </row>
    <row r="1060" spans="7:58" x14ac:dyDescent="0.15">
      <c r="G1060" s="64">
        <f t="shared" si="353"/>
        <v>0</v>
      </c>
      <c r="O1060" s="64">
        <f t="shared" si="356"/>
        <v>0</v>
      </c>
      <c r="Q1060" s="64">
        <f t="shared" si="357"/>
        <v>0</v>
      </c>
      <c r="S1060" s="71">
        <f t="shared" si="358"/>
        <v>0</v>
      </c>
      <c r="U1060" s="64">
        <f t="shared" si="359"/>
        <v>0</v>
      </c>
      <c r="W1060" s="71">
        <f t="shared" si="360"/>
        <v>0</v>
      </c>
      <c r="Y1060" s="71">
        <f t="shared" si="361"/>
        <v>0</v>
      </c>
      <c r="AA1060" s="71">
        <f t="shared" si="362"/>
        <v>0</v>
      </c>
      <c r="AC1060" s="71">
        <f t="shared" si="363"/>
        <v>0</v>
      </c>
      <c r="AK1060" s="71">
        <f t="shared" si="364"/>
        <v>0</v>
      </c>
      <c r="AM1060" s="71">
        <f t="shared" si="365"/>
        <v>0</v>
      </c>
      <c r="AO1060" s="71">
        <f t="shared" si="366"/>
        <v>0</v>
      </c>
      <c r="AQ1060" s="71">
        <f t="shared" si="367"/>
        <v>0</v>
      </c>
      <c r="AT1060" s="71">
        <f t="shared" si="368"/>
        <v>0</v>
      </c>
      <c r="AV1060" s="71">
        <f t="shared" si="369"/>
        <v>0</v>
      </c>
      <c r="AX1060" s="71">
        <f t="shared" si="370"/>
        <v>0</v>
      </c>
      <c r="AZ1060" s="71">
        <f t="shared" si="371"/>
        <v>0</v>
      </c>
      <c r="BE1060" s="81">
        <f t="shared" si="372"/>
        <v>0</v>
      </c>
      <c r="BF1060" s="81" t="str">
        <f t="shared" si="373"/>
        <v>BASSO</v>
      </c>
    </row>
    <row r="1061" spans="7:58" x14ac:dyDescent="0.15">
      <c r="G1061" s="64">
        <f t="shared" si="353"/>
        <v>0</v>
      </c>
      <c r="O1061" s="64">
        <f t="shared" si="356"/>
        <v>0</v>
      </c>
      <c r="Q1061" s="64">
        <f t="shared" si="357"/>
        <v>0</v>
      </c>
      <c r="S1061" s="71">
        <f t="shared" si="358"/>
        <v>0</v>
      </c>
      <c r="U1061" s="64">
        <f t="shared" si="359"/>
        <v>0</v>
      </c>
      <c r="W1061" s="71">
        <f t="shared" si="360"/>
        <v>0</v>
      </c>
      <c r="Y1061" s="71">
        <f t="shared" si="361"/>
        <v>0</v>
      </c>
      <c r="AA1061" s="71">
        <f t="shared" si="362"/>
        <v>0</v>
      </c>
      <c r="AC1061" s="71">
        <f t="shared" si="363"/>
        <v>0</v>
      </c>
      <c r="AK1061" s="71">
        <f t="shared" si="364"/>
        <v>0</v>
      </c>
      <c r="AM1061" s="71">
        <f t="shared" si="365"/>
        <v>0</v>
      </c>
      <c r="AO1061" s="71">
        <f t="shared" si="366"/>
        <v>0</v>
      </c>
      <c r="AQ1061" s="71">
        <f t="shared" si="367"/>
        <v>0</v>
      </c>
      <c r="AT1061" s="71">
        <f t="shared" si="368"/>
        <v>0</v>
      </c>
      <c r="AV1061" s="71">
        <f t="shared" si="369"/>
        <v>0</v>
      </c>
      <c r="AX1061" s="71">
        <f t="shared" si="370"/>
        <v>0</v>
      </c>
      <c r="AZ1061" s="71">
        <f t="shared" si="371"/>
        <v>0</v>
      </c>
      <c r="BE1061" s="81">
        <f t="shared" si="372"/>
        <v>0</v>
      </c>
      <c r="BF1061" s="81" t="str">
        <f t="shared" si="373"/>
        <v>BASSO</v>
      </c>
    </row>
    <row r="1062" spans="7:58" x14ac:dyDescent="0.15">
      <c r="G1062" s="64">
        <f t="shared" si="353"/>
        <v>0</v>
      </c>
      <c r="O1062" s="64">
        <f t="shared" si="356"/>
        <v>0</v>
      </c>
      <c r="Q1062" s="64">
        <f t="shared" si="357"/>
        <v>0</v>
      </c>
      <c r="S1062" s="71">
        <f t="shared" si="358"/>
        <v>0</v>
      </c>
      <c r="U1062" s="64">
        <f t="shared" si="359"/>
        <v>0</v>
      </c>
      <c r="W1062" s="71">
        <f t="shared" si="360"/>
        <v>0</v>
      </c>
      <c r="Y1062" s="71">
        <f t="shared" si="361"/>
        <v>0</v>
      </c>
      <c r="AA1062" s="71">
        <f t="shared" si="362"/>
        <v>0</v>
      </c>
      <c r="AC1062" s="71">
        <f t="shared" si="363"/>
        <v>0</v>
      </c>
      <c r="AK1062" s="71">
        <f t="shared" si="364"/>
        <v>0</v>
      </c>
      <c r="AM1062" s="71">
        <f t="shared" si="365"/>
        <v>0</v>
      </c>
      <c r="AO1062" s="71">
        <f t="shared" si="366"/>
        <v>0</v>
      </c>
      <c r="AQ1062" s="71">
        <f t="shared" si="367"/>
        <v>0</v>
      </c>
      <c r="AT1062" s="71">
        <f t="shared" si="368"/>
        <v>0</v>
      </c>
      <c r="AV1062" s="71">
        <f t="shared" si="369"/>
        <v>0</v>
      </c>
      <c r="AX1062" s="71">
        <f t="shared" si="370"/>
        <v>0</v>
      </c>
      <c r="AZ1062" s="71">
        <f t="shared" si="371"/>
        <v>0</v>
      </c>
      <c r="BE1062" s="81">
        <f t="shared" si="372"/>
        <v>0</v>
      </c>
      <c r="BF1062" s="81" t="str">
        <f t="shared" si="373"/>
        <v>BASSO</v>
      </c>
    </row>
    <row r="1063" spans="7:58" x14ac:dyDescent="0.15">
      <c r="G1063" s="64">
        <f t="shared" si="353"/>
        <v>0</v>
      </c>
      <c r="O1063" s="64">
        <f t="shared" si="356"/>
        <v>0</v>
      </c>
      <c r="Q1063" s="64">
        <f t="shared" si="357"/>
        <v>0</v>
      </c>
      <c r="S1063" s="71">
        <f t="shared" si="358"/>
        <v>0</v>
      </c>
      <c r="U1063" s="64">
        <f t="shared" si="359"/>
        <v>0</v>
      </c>
      <c r="W1063" s="71">
        <f t="shared" si="360"/>
        <v>0</v>
      </c>
      <c r="Y1063" s="71">
        <f t="shared" si="361"/>
        <v>0</v>
      </c>
      <c r="AA1063" s="71">
        <f t="shared" si="362"/>
        <v>0</v>
      </c>
      <c r="AC1063" s="71">
        <f t="shared" si="363"/>
        <v>0</v>
      </c>
      <c r="AK1063" s="71">
        <f t="shared" si="364"/>
        <v>0</v>
      </c>
      <c r="AM1063" s="71">
        <f t="shared" si="365"/>
        <v>0</v>
      </c>
      <c r="AO1063" s="71">
        <f t="shared" si="366"/>
        <v>0</v>
      </c>
      <c r="AQ1063" s="71">
        <f t="shared" si="367"/>
        <v>0</v>
      </c>
      <c r="AT1063" s="71">
        <f t="shared" si="368"/>
        <v>0</v>
      </c>
      <c r="AV1063" s="71">
        <f t="shared" si="369"/>
        <v>0</v>
      </c>
      <c r="AX1063" s="71">
        <f t="shared" si="370"/>
        <v>0</v>
      </c>
      <c r="AZ1063" s="71">
        <f t="shared" si="371"/>
        <v>0</v>
      </c>
      <c r="BE1063" s="81">
        <f t="shared" si="372"/>
        <v>0</v>
      </c>
      <c r="BF1063" s="81" t="str">
        <f t="shared" si="373"/>
        <v>BASSO</v>
      </c>
    </row>
    <row r="1064" spans="7:58" x14ac:dyDescent="0.15">
      <c r="G1064" s="64">
        <f t="shared" si="353"/>
        <v>0</v>
      </c>
      <c r="O1064" s="64">
        <f t="shared" si="356"/>
        <v>0</v>
      </c>
      <c r="Q1064" s="64">
        <f t="shared" si="357"/>
        <v>0</v>
      </c>
      <c r="S1064" s="71">
        <f t="shared" si="358"/>
        <v>0</v>
      </c>
      <c r="U1064" s="64">
        <f t="shared" si="359"/>
        <v>0</v>
      </c>
      <c r="W1064" s="71">
        <f t="shared" si="360"/>
        <v>0</v>
      </c>
      <c r="Y1064" s="71">
        <f t="shared" si="361"/>
        <v>0</v>
      </c>
      <c r="AA1064" s="71">
        <f t="shared" si="362"/>
        <v>0</v>
      </c>
      <c r="AC1064" s="71">
        <f t="shared" si="363"/>
        <v>0</v>
      </c>
      <c r="AK1064" s="71">
        <f t="shared" si="364"/>
        <v>0</v>
      </c>
      <c r="AM1064" s="71">
        <f t="shared" si="365"/>
        <v>0</v>
      </c>
      <c r="AO1064" s="71">
        <f t="shared" si="366"/>
        <v>0</v>
      </c>
      <c r="AQ1064" s="71">
        <f t="shared" si="367"/>
        <v>0</v>
      </c>
      <c r="AT1064" s="71">
        <f t="shared" si="368"/>
        <v>0</v>
      </c>
      <c r="AV1064" s="71">
        <f t="shared" si="369"/>
        <v>0</v>
      </c>
      <c r="AX1064" s="71">
        <f t="shared" si="370"/>
        <v>0</v>
      </c>
      <c r="AZ1064" s="71">
        <f t="shared" si="371"/>
        <v>0</v>
      </c>
      <c r="BE1064" s="81">
        <f t="shared" si="372"/>
        <v>0</v>
      </c>
      <c r="BF1064" s="81" t="str">
        <f t="shared" si="373"/>
        <v>BASSO</v>
      </c>
    </row>
    <row r="1065" spans="7:58" x14ac:dyDescent="0.15">
      <c r="G1065" s="64">
        <f t="shared" si="353"/>
        <v>0</v>
      </c>
      <c r="O1065" s="64">
        <f t="shared" si="356"/>
        <v>0</v>
      </c>
      <c r="Q1065" s="64">
        <f t="shared" si="357"/>
        <v>0</v>
      </c>
      <c r="S1065" s="71">
        <f t="shared" si="358"/>
        <v>0</v>
      </c>
      <c r="U1065" s="64">
        <f t="shared" si="359"/>
        <v>0</v>
      </c>
      <c r="W1065" s="71">
        <f t="shared" si="360"/>
        <v>0</v>
      </c>
      <c r="Y1065" s="71">
        <f t="shared" si="361"/>
        <v>0</v>
      </c>
      <c r="AA1065" s="71">
        <f t="shared" si="362"/>
        <v>0</v>
      </c>
      <c r="AC1065" s="71">
        <f t="shared" si="363"/>
        <v>0</v>
      </c>
      <c r="AK1065" s="71">
        <f t="shared" si="364"/>
        <v>0</v>
      </c>
      <c r="AM1065" s="71">
        <f t="shared" si="365"/>
        <v>0</v>
      </c>
      <c r="AO1065" s="71">
        <f t="shared" si="366"/>
        <v>0</v>
      </c>
      <c r="AQ1065" s="71">
        <f t="shared" si="367"/>
        <v>0</v>
      </c>
      <c r="AT1065" s="71">
        <f t="shared" si="368"/>
        <v>0</v>
      </c>
      <c r="AV1065" s="71">
        <f t="shared" si="369"/>
        <v>0</v>
      </c>
      <c r="AX1065" s="71">
        <f t="shared" si="370"/>
        <v>0</v>
      </c>
      <c r="AZ1065" s="71">
        <f t="shared" si="371"/>
        <v>0</v>
      </c>
      <c r="BE1065" s="81">
        <f t="shared" si="372"/>
        <v>0</v>
      </c>
      <c r="BF1065" s="81" t="str">
        <f t="shared" si="373"/>
        <v>BASSO</v>
      </c>
    </row>
    <row r="1066" spans="7:58" x14ac:dyDescent="0.15">
      <c r="G1066" s="64">
        <f t="shared" si="353"/>
        <v>0</v>
      </c>
      <c r="O1066" s="64">
        <f t="shared" si="356"/>
        <v>0</v>
      </c>
      <c r="Q1066" s="64">
        <f t="shared" si="357"/>
        <v>0</v>
      </c>
      <c r="S1066" s="71">
        <f t="shared" si="358"/>
        <v>0</v>
      </c>
      <c r="U1066" s="64">
        <f t="shared" si="359"/>
        <v>0</v>
      </c>
      <c r="W1066" s="71">
        <f t="shared" si="360"/>
        <v>0</v>
      </c>
      <c r="Y1066" s="71">
        <f t="shared" si="361"/>
        <v>0</v>
      </c>
      <c r="AA1066" s="71">
        <f t="shared" si="362"/>
        <v>0</v>
      </c>
      <c r="AC1066" s="71">
        <f t="shared" si="363"/>
        <v>0</v>
      </c>
      <c r="AK1066" s="71">
        <f t="shared" si="364"/>
        <v>0</v>
      </c>
      <c r="AM1066" s="71">
        <f t="shared" si="365"/>
        <v>0</v>
      </c>
      <c r="AO1066" s="71">
        <f t="shared" si="366"/>
        <v>0</v>
      </c>
      <c r="AQ1066" s="71">
        <f t="shared" si="367"/>
        <v>0</v>
      </c>
      <c r="AT1066" s="71">
        <f t="shared" si="368"/>
        <v>0</v>
      </c>
      <c r="AV1066" s="71">
        <f t="shared" si="369"/>
        <v>0</v>
      </c>
      <c r="AX1066" s="71">
        <f t="shared" si="370"/>
        <v>0</v>
      </c>
      <c r="AZ1066" s="71">
        <f t="shared" si="371"/>
        <v>0</v>
      </c>
      <c r="BE1066" s="81">
        <f t="shared" si="372"/>
        <v>0</v>
      </c>
      <c r="BF1066" s="81" t="str">
        <f t="shared" si="373"/>
        <v>BASSO</v>
      </c>
    </row>
    <row r="1067" spans="7:58" x14ac:dyDescent="0.15">
      <c r="G1067" s="64">
        <f t="shared" si="353"/>
        <v>0</v>
      </c>
      <c r="O1067" s="64">
        <f t="shared" si="356"/>
        <v>0</v>
      </c>
      <c r="Q1067" s="64">
        <f t="shared" si="357"/>
        <v>0</v>
      </c>
      <c r="S1067" s="71">
        <f t="shared" si="358"/>
        <v>0</v>
      </c>
      <c r="U1067" s="64">
        <f t="shared" si="359"/>
        <v>0</v>
      </c>
      <c r="W1067" s="71">
        <f t="shared" si="360"/>
        <v>0</v>
      </c>
      <c r="Y1067" s="71">
        <f t="shared" si="361"/>
        <v>0</v>
      </c>
      <c r="AA1067" s="71">
        <f t="shared" si="362"/>
        <v>0</v>
      </c>
      <c r="AC1067" s="71">
        <f t="shared" si="363"/>
        <v>0</v>
      </c>
      <c r="AK1067" s="71">
        <f t="shared" si="364"/>
        <v>0</v>
      </c>
      <c r="AM1067" s="71">
        <f t="shared" si="365"/>
        <v>0</v>
      </c>
      <c r="AO1067" s="71">
        <f t="shared" si="366"/>
        <v>0</v>
      </c>
      <c r="AQ1067" s="71">
        <f t="shared" si="367"/>
        <v>0</v>
      </c>
      <c r="AT1067" s="71">
        <f t="shared" si="368"/>
        <v>0</v>
      </c>
      <c r="AV1067" s="71">
        <f t="shared" si="369"/>
        <v>0</v>
      </c>
      <c r="AX1067" s="71">
        <f t="shared" si="370"/>
        <v>0</v>
      </c>
      <c r="AZ1067" s="71">
        <f t="shared" si="371"/>
        <v>0</v>
      </c>
      <c r="BE1067" s="81">
        <f t="shared" si="372"/>
        <v>0</v>
      </c>
      <c r="BF1067" s="81" t="str">
        <f t="shared" si="373"/>
        <v>BASSO</v>
      </c>
    </row>
    <row r="1068" spans="7:58" x14ac:dyDescent="0.15">
      <c r="G1068" s="64">
        <f t="shared" si="353"/>
        <v>0</v>
      </c>
      <c r="O1068" s="64">
        <f t="shared" si="356"/>
        <v>0</v>
      </c>
      <c r="Q1068" s="64">
        <f t="shared" si="357"/>
        <v>0</v>
      </c>
      <c r="S1068" s="71">
        <f t="shared" si="358"/>
        <v>0</v>
      </c>
      <c r="U1068" s="64">
        <f t="shared" si="359"/>
        <v>0</v>
      </c>
      <c r="W1068" s="71">
        <f t="shared" si="360"/>
        <v>0</v>
      </c>
      <c r="Y1068" s="71">
        <f t="shared" si="361"/>
        <v>0</v>
      </c>
      <c r="AA1068" s="71">
        <f t="shared" si="362"/>
        <v>0</v>
      </c>
      <c r="AC1068" s="71">
        <f t="shared" si="363"/>
        <v>0</v>
      </c>
      <c r="AK1068" s="71">
        <f t="shared" si="364"/>
        <v>0</v>
      </c>
      <c r="AM1068" s="71">
        <f t="shared" si="365"/>
        <v>0</v>
      </c>
      <c r="AO1068" s="71">
        <f t="shared" si="366"/>
        <v>0</v>
      </c>
      <c r="AQ1068" s="71">
        <f t="shared" si="367"/>
        <v>0</v>
      </c>
      <c r="AT1068" s="71">
        <f t="shared" si="368"/>
        <v>0</v>
      </c>
      <c r="AV1068" s="71">
        <f t="shared" si="369"/>
        <v>0</v>
      </c>
      <c r="AX1068" s="71">
        <f t="shared" si="370"/>
        <v>0</v>
      </c>
      <c r="AZ1068" s="71">
        <f t="shared" si="371"/>
        <v>0</v>
      </c>
      <c r="BE1068" s="81">
        <f t="shared" si="372"/>
        <v>0</v>
      </c>
      <c r="BF1068" s="81" t="str">
        <f t="shared" si="373"/>
        <v>BASSO</v>
      </c>
    </row>
    <row r="1069" spans="7:58" x14ac:dyDescent="0.15">
      <c r="G1069" s="64">
        <f t="shared" si="353"/>
        <v>0</v>
      </c>
      <c r="O1069" s="64">
        <f t="shared" si="356"/>
        <v>0</v>
      </c>
      <c r="Q1069" s="64">
        <f t="shared" si="357"/>
        <v>0</v>
      </c>
      <c r="S1069" s="71">
        <f t="shared" si="358"/>
        <v>0</v>
      </c>
      <c r="U1069" s="64">
        <f t="shared" si="359"/>
        <v>0</v>
      </c>
      <c r="W1069" s="71">
        <f t="shared" si="360"/>
        <v>0</v>
      </c>
      <c r="Y1069" s="71">
        <f t="shared" si="361"/>
        <v>0</v>
      </c>
      <c r="AA1069" s="71">
        <f t="shared" si="362"/>
        <v>0</v>
      </c>
      <c r="AC1069" s="71">
        <f t="shared" si="363"/>
        <v>0</v>
      </c>
      <c r="AK1069" s="71">
        <f t="shared" si="364"/>
        <v>0</v>
      </c>
      <c r="AM1069" s="71">
        <f t="shared" si="365"/>
        <v>0</v>
      </c>
      <c r="AO1069" s="71">
        <f t="shared" si="366"/>
        <v>0</v>
      </c>
      <c r="AQ1069" s="71">
        <f t="shared" si="367"/>
        <v>0</v>
      </c>
      <c r="AT1069" s="71">
        <f t="shared" si="368"/>
        <v>0</v>
      </c>
      <c r="AV1069" s="71">
        <f t="shared" si="369"/>
        <v>0</v>
      </c>
      <c r="AX1069" s="71">
        <f t="shared" si="370"/>
        <v>0</v>
      </c>
      <c r="AZ1069" s="71">
        <f t="shared" si="371"/>
        <v>0</v>
      </c>
      <c r="BE1069" s="81">
        <f t="shared" si="372"/>
        <v>0</v>
      </c>
      <c r="BF1069" s="81" t="str">
        <f t="shared" si="373"/>
        <v>BASSO</v>
      </c>
    </row>
    <row r="1070" spans="7:58" x14ac:dyDescent="0.15">
      <c r="G1070" s="64">
        <f t="shared" si="353"/>
        <v>0</v>
      </c>
      <c r="O1070" s="64">
        <f t="shared" si="356"/>
        <v>0</v>
      </c>
      <c r="Q1070" s="64">
        <f t="shared" si="357"/>
        <v>0</v>
      </c>
      <c r="S1070" s="71">
        <f t="shared" si="358"/>
        <v>0</v>
      </c>
      <c r="U1070" s="64">
        <f t="shared" si="359"/>
        <v>0</v>
      </c>
      <c r="W1070" s="71">
        <f t="shared" si="360"/>
        <v>0</v>
      </c>
      <c r="Y1070" s="71">
        <f t="shared" si="361"/>
        <v>0</v>
      </c>
      <c r="AA1070" s="71">
        <f t="shared" si="362"/>
        <v>0</v>
      </c>
      <c r="AC1070" s="71">
        <f t="shared" si="363"/>
        <v>0</v>
      </c>
      <c r="AK1070" s="71">
        <f t="shared" si="364"/>
        <v>0</v>
      </c>
      <c r="AM1070" s="71">
        <f t="shared" si="365"/>
        <v>0</v>
      </c>
      <c r="AO1070" s="71">
        <f t="shared" si="366"/>
        <v>0</v>
      </c>
      <c r="AQ1070" s="71">
        <f t="shared" si="367"/>
        <v>0</v>
      </c>
      <c r="AT1070" s="71">
        <f t="shared" si="368"/>
        <v>0</v>
      </c>
      <c r="AV1070" s="71">
        <f t="shared" si="369"/>
        <v>0</v>
      </c>
      <c r="AX1070" s="71">
        <f t="shared" si="370"/>
        <v>0</v>
      </c>
      <c r="AZ1070" s="71">
        <f t="shared" si="371"/>
        <v>0</v>
      </c>
      <c r="BE1070" s="81">
        <f t="shared" si="372"/>
        <v>0</v>
      </c>
      <c r="BF1070" s="81" t="str">
        <f t="shared" si="373"/>
        <v>BASSO</v>
      </c>
    </row>
    <row r="1071" spans="7:58" x14ac:dyDescent="0.15">
      <c r="G1071" s="64">
        <f t="shared" si="353"/>
        <v>0</v>
      </c>
      <c r="O1071" s="64">
        <f t="shared" si="356"/>
        <v>0</v>
      </c>
      <c r="Q1071" s="64">
        <f t="shared" si="357"/>
        <v>0</v>
      </c>
      <c r="S1071" s="71">
        <f t="shared" si="358"/>
        <v>0</v>
      </c>
      <c r="U1071" s="64">
        <f t="shared" si="359"/>
        <v>0</v>
      </c>
      <c r="W1071" s="71">
        <f t="shared" si="360"/>
        <v>0</v>
      </c>
      <c r="Y1071" s="71">
        <f t="shared" si="361"/>
        <v>0</v>
      </c>
      <c r="AA1071" s="71">
        <f t="shared" si="362"/>
        <v>0</v>
      </c>
      <c r="AC1071" s="71">
        <f t="shared" si="363"/>
        <v>0</v>
      </c>
      <c r="AK1071" s="71">
        <f t="shared" si="364"/>
        <v>0</v>
      </c>
      <c r="AM1071" s="71">
        <f t="shared" si="365"/>
        <v>0</v>
      </c>
      <c r="AO1071" s="71">
        <f t="shared" si="366"/>
        <v>0</v>
      </c>
      <c r="AQ1071" s="71">
        <f t="shared" si="367"/>
        <v>0</v>
      </c>
      <c r="AT1071" s="71">
        <f t="shared" si="368"/>
        <v>0</v>
      </c>
      <c r="AV1071" s="71">
        <f t="shared" si="369"/>
        <v>0</v>
      </c>
      <c r="AX1071" s="71">
        <f t="shared" si="370"/>
        <v>0</v>
      </c>
      <c r="AZ1071" s="71">
        <f t="shared" si="371"/>
        <v>0</v>
      </c>
      <c r="BE1071" s="81">
        <f t="shared" si="372"/>
        <v>0</v>
      </c>
      <c r="BF1071" s="81" t="str">
        <f t="shared" si="373"/>
        <v>BASSO</v>
      </c>
    </row>
    <row r="1072" spans="7:58" x14ac:dyDescent="0.15">
      <c r="G1072" s="64">
        <f t="shared" si="353"/>
        <v>0</v>
      </c>
      <c r="O1072" s="64">
        <f t="shared" si="356"/>
        <v>0</v>
      </c>
      <c r="Q1072" s="64">
        <f t="shared" si="357"/>
        <v>0</v>
      </c>
      <c r="S1072" s="71">
        <f t="shared" si="358"/>
        <v>0</v>
      </c>
      <c r="U1072" s="64">
        <f t="shared" si="359"/>
        <v>0</v>
      </c>
      <c r="W1072" s="71">
        <f t="shared" si="360"/>
        <v>0</v>
      </c>
      <c r="Y1072" s="71">
        <f t="shared" si="361"/>
        <v>0</v>
      </c>
      <c r="AA1072" s="71">
        <f t="shared" si="362"/>
        <v>0</v>
      </c>
      <c r="AC1072" s="71">
        <f t="shared" si="363"/>
        <v>0</v>
      </c>
      <c r="AK1072" s="71">
        <f t="shared" si="364"/>
        <v>0</v>
      </c>
      <c r="AM1072" s="71">
        <f t="shared" si="365"/>
        <v>0</v>
      </c>
      <c r="AO1072" s="71">
        <f t="shared" si="366"/>
        <v>0</v>
      </c>
      <c r="AQ1072" s="71">
        <f t="shared" si="367"/>
        <v>0</v>
      </c>
      <c r="AT1072" s="71">
        <f t="shared" si="368"/>
        <v>0</v>
      </c>
      <c r="AV1072" s="71">
        <f t="shared" si="369"/>
        <v>0</v>
      </c>
      <c r="AX1072" s="71">
        <f t="shared" si="370"/>
        <v>0</v>
      </c>
      <c r="AZ1072" s="71">
        <f t="shared" si="371"/>
        <v>0</v>
      </c>
      <c r="BE1072" s="81">
        <f t="shared" si="372"/>
        <v>0</v>
      </c>
      <c r="BF1072" s="81" t="str">
        <f t="shared" si="373"/>
        <v>BASSO</v>
      </c>
    </row>
    <row r="1073" spans="7:58" x14ac:dyDescent="0.15">
      <c r="G1073" s="64">
        <f t="shared" si="353"/>
        <v>0</v>
      </c>
      <c r="O1073" s="64">
        <f t="shared" si="356"/>
        <v>0</v>
      </c>
      <c r="Q1073" s="64">
        <f t="shared" si="357"/>
        <v>0</v>
      </c>
      <c r="S1073" s="71">
        <f t="shared" si="358"/>
        <v>0</v>
      </c>
      <c r="U1073" s="64">
        <f t="shared" si="359"/>
        <v>0</v>
      </c>
      <c r="W1073" s="71">
        <f t="shared" si="360"/>
        <v>0</v>
      </c>
      <c r="Y1073" s="71">
        <f t="shared" si="361"/>
        <v>0</v>
      </c>
      <c r="AA1073" s="71">
        <f t="shared" si="362"/>
        <v>0</v>
      </c>
      <c r="AC1073" s="71">
        <f t="shared" si="363"/>
        <v>0</v>
      </c>
      <c r="AK1073" s="71">
        <f t="shared" si="364"/>
        <v>0</v>
      </c>
      <c r="AM1073" s="71">
        <f t="shared" si="365"/>
        <v>0</v>
      </c>
      <c r="AO1073" s="71">
        <f t="shared" si="366"/>
        <v>0</v>
      </c>
      <c r="AQ1073" s="71">
        <f t="shared" si="367"/>
        <v>0</v>
      </c>
      <c r="AT1073" s="71">
        <f t="shared" si="368"/>
        <v>0</v>
      </c>
      <c r="AV1073" s="71">
        <f t="shared" si="369"/>
        <v>0</v>
      </c>
      <c r="AX1073" s="71">
        <f t="shared" si="370"/>
        <v>0</v>
      </c>
      <c r="AZ1073" s="71">
        <f t="shared" si="371"/>
        <v>0</v>
      </c>
      <c r="BE1073" s="81">
        <f t="shared" si="372"/>
        <v>0</v>
      </c>
      <c r="BF1073" s="81" t="str">
        <f t="shared" si="373"/>
        <v>BASSO</v>
      </c>
    </row>
    <row r="1074" spans="7:58" x14ac:dyDescent="0.15">
      <c r="G1074" s="64">
        <f t="shared" si="353"/>
        <v>0</v>
      </c>
      <c r="O1074" s="64">
        <f t="shared" si="356"/>
        <v>0</v>
      </c>
      <c r="Q1074" s="64">
        <f t="shared" si="357"/>
        <v>0</v>
      </c>
      <c r="S1074" s="71">
        <f t="shared" si="358"/>
        <v>0</v>
      </c>
      <c r="U1074" s="64">
        <f t="shared" si="359"/>
        <v>0</v>
      </c>
      <c r="W1074" s="71">
        <f t="shared" si="360"/>
        <v>0</v>
      </c>
      <c r="Y1074" s="71">
        <f t="shared" si="361"/>
        <v>0</v>
      </c>
      <c r="AA1074" s="71">
        <f t="shared" si="362"/>
        <v>0</v>
      </c>
      <c r="AC1074" s="71">
        <f t="shared" si="363"/>
        <v>0</v>
      </c>
      <c r="AK1074" s="71">
        <f t="shared" si="364"/>
        <v>0</v>
      </c>
      <c r="AM1074" s="71">
        <f t="shared" si="365"/>
        <v>0</v>
      </c>
      <c r="AO1074" s="71">
        <f t="shared" si="366"/>
        <v>0</v>
      </c>
      <c r="AQ1074" s="71">
        <f t="shared" si="367"/>
        <v>0</v>
      </c>
      <c r="AT1074" s="71">
        <f t="shared" si="368"/>
        <v>0</v>
      </c>
      <c r="AV1074" s="71">
        <f t="shared" si="369"/>
        <v>0</v>
      </c>
      <c r="AX1074" s="71">
        <f t="shared" si="370"/>
        <v>0</v>
      </c>
      <c r="AZ1074" s="71">
        <f t="shared" si="371"/>
        <v>0</v>
      </c>
      <c r="BE1074" s="81">
        <f t="shared" si="372"/>
        <v>0</v>
      </c>
      <c r="BF1074" s="81" t="str">
        <f t="shared" si="373"/>
        <v>BASSO</v>
      </c>
    </row>
    <row r="1075" spans="7:58" x14ac:dyDescent="0.15">
      <c r="G1075" s="64">
        <f t="shared" si="353"/>
        <v>0</v>
      </c>
      <c r="O1075" s="64">
        <f t="shared" si="356"/>
        <v>0</v>
      </c>
      <c r="Q1075" s="64">
        <f t="shared" si="357"/>
        <v>0</v>
      </c>
      <c r="S1075" s="71">
        <f t="shared" si="358"/>
        <v>0</v>
      </c>
      <c r="U1075" s="64">
        <f t="shared" si="359"/>
        <v>0</v>
      </c>
      <c r="W1075" s="71">
        <f t="shared" si="360"/>
        <v>0</v>
      </c>
      <c r="Y1075" s="71">
        <f t="shared" si="361"/>
        <v>0</v>
      </c>
      <c r="AA1075" s="71">
        <f t="shared" si="362"/>
        <v>0</v>
      </c>
      <c r="AC1075" s="71">
        <f t="shared" si="363"/>
        <v>0</v>
      </c>
      <c r="AK1075" s="71">
        <f t="shared" si="364"/>
        <v>0</v>
      </c>
      <c r="AM1075" s="71">
        <f t="shared" si="365"/>
        <v>0</v>
      </c>
      <c r="AO1075" s="71">
        <f t="shared" si="366"/>
        <v>0</v>
      </c>
      <c r="AQ1075" s="71">
        <f t="shared" si="367"/>
        <v>0</v>
      </c>
      <c r="AT1075" s="71">
        <f t="shared" si="368"/>
        <v>0</v>
      </c>
      <c r="AV1075" s="71">
        <f t="shared" si="369"/>
        <v>0</v>
      </c>
      <c r="AX1075" s="71">
        <f t="shared" si="370"/>
        <v>0</v>
      </c>
      <c r="AZ1075" s="71">
        <f t="shared" si="371"/>
        <v>0</v>
      </c>
      <c r="BE1075" s="81">
        <f t="shared" si="372"/>
        <v>0</v>
      </c>
      <c r="BF1075" s="81" t="str">
        <f t="shared" si="373"/>
        <v>BASSO</v>
      </c>
    </row>
    <row r="1076" spans="7:58" x14ac:dyDescent="0.15">
      <c r="G1076" s="64">
        <f t="shared" si="353"/>
        <v>0</v>
      </c>
      <c r="O1076" s="64">
        <f t="shared" si="356"/>
        <v>0</v>
      </c>
      <c r="Q1076" s="64">
        <f t="shared" si="357"/>
        <v>0</v>
      </c>
      <c r="S1076" s="71">
        <f t="shared" si="358"/>
        <v>0</v>
      </c>
      <c r="U1076" s="64">
        <f t="shared" si="359"/>
        <v>0</v>
      </c>
      <c r="W1076" s="71">
        <f t="shared" si="360"/>
        <v>0</v>
      </c>
      <c r="Y1076" s="71">
        <f t="shared" si="361"/>
        <v>0</v>
      </c>
      <c r="AA1076" s="71">
        <f t="shared" si="362"/>
        <v>0</v>
      </c>
      <c r="AC1076" s="71">
        <f t="shared" si="363"/>
        <v>0</v>
      </c>
      <c r="AK1076" s="71">
        <f t="shared" si="364"/>
        <v>0</v>
      </c>
      <c r="AM1076" s="71">
        <f t="shared" si="365"/>
        <v>0</v>
      </c>
      <c r="AO1076" s="71">
        <f t="shared" si="366"/>
        <v>0</v>
      </c>
      <c r="AQ1076" s="71">
        <f t="shared" si="367"/>
        <v>0</v>
      </c>
      <c r="AT1076" s="71">
        <f t="shared" si="368"/>
        <v>0</v>
      </c>
      <c r="AV1076" s="71">
        <f t="shared" si="369"/>
        <v>0</v>
      </c>
      <c r="AX1076" s="71">
        <f t="shared" si="370"/>
        <v>0</v>
      </c>
      <c r="AZ1076" s="71">
        <f t="shared" si="371"/>
        <v>0</v>
      </c>
      <c r="BE1076" s="81">
        <f t="shared" si="372"/>
        <v>0</v>
      </c>
      <c r="BF1076" s="81" t="str">
        <f t="shared" si="373"/>
        <v>BASSO</v>
      </c>
    </row>
    <row r="1077" spans="7:58" x14ac:dyDescent="0.15">
      <c r="G1077" s="64">
        <f t="shared" si="353"/>
        <v>0</v>
      </c>
      <c r="O1077" s="64">
        <f t="shared" si="356"/>
        <v>0</v>
      </c>
      <c r="Q1077" s="64">
        <f t="shared" si="357"/>
        <v>0</v>
      </c>
      <c r="S1077" s="71">
        <f t="shared" si="358"/>
        <v>0</v>
      </c>
      <c r="U1077" s="64">
        <f t="shared" si="359"/>
        <v>0</v>
      </c>
      <c r="W1077" s="71">
        <f t="shared" si="360"/>
        <v>0</v>
      </c>
      <c r="Y1077" s="71">
        <f t="shared" si="361"/>
        <v>0</v>
      </c>
      <c r="AA1077" s="71">
        <f t="shared" si="362"/>
        <v>0</v>
      </c>
      <c r="AC1077" s="71">
        <f t="shared" si="363"/>
        <v>0</v>
      </c>
      <c r="AK1077" s="71">
        <f t="shared" si="364"/>
        <v>0</v>
      </c>
      <c r="AM1077" s="71">
        <f t="shared" si="365"/>
        <v>0</v>
      </c>
      <c r="AO1077" s="71">
        <f t="shared" si="366"/>
        <v>0</v>
      </c>
      <c r="AQ1077" s="71">
        <f t="shared" si="367"/>
        <v>0</v>
      </c>
      <c r="AT1077" s="71">
        <f t="shared" si="368"/>
        <v>0</v>
      </c>
      <c r="AV1077" s="71">
        <f t="shared" si="369"/>
        <v>0</v>
      </c>
      <c r="AX1077" s="71">
        <f t="shared" si="370"/>
        <v>0</v>
      </c>
      <c r="AZ1077" s="71">
        <f t="shared" si="371"/>
        <v>0</v>
      </c>
      <c r="BE1077" s="81">
        <f t="shared" si="372"/>
        <v>0</v>
      </c>
      <c r="BF1077" s="81" t="str">
        <f t="shared" si="373"/>
        <v>BASSO</v>
      </c>
    </row>
    <row r="1078" spans="7:58" x14ac:dyDescent="0.15">
      <c r="G1078" s="64">
        <f t="shared" si="353"/>
        <v>0</v>
      </c>
      <c r="O1078" s="64">
        <f t="shared" si="356"/>
        <v>0</v>
      </c>
      <c r="Q1078" s="64">
        <f t="shared" si="357"/>
        <v>0</v>
      </c>
      <c r="S1078" s="71">
        <f t="shared" si="358"/>
        <v>0</v>
      </c>
      <c r="U1078" s="64">
        <f t="shared" si="359"/>
        <v>0</v>
      </c>
      <c r="W1078" s="71">
        <f t="shared" si="360"/>
        <v>0</v>
      </c>
      <c r="Y1078" s="71">
        <f t="shared" si="361"/>
        <v>0</v>
      </c>
      <c r="AA1078" s="71">
        <f t="shared" si="362"/>
        <v>0</v>
      </c>
      <c r="AC1078" s="71">
        <f t="shared" si="363"/>
        <v>0</v>
      </c>
      <c r="AK1078" s="71">
        <f t="shared" si="364"/>
        <v>0</v>
      </c>
      <c r="AM1078" s="71">
        <f t="shared" si="365"/>
        <v>0</v>
      </c>
      <c r="AO1078" s="71">
        <f t="shared" si="366"/>
        <v>0</v>
      </c>
      <c r="AQ1078" s="71">
        <f t="shared" si="367"/>
        <v>0</v>
      </c>
      <c r="AT1078" s="71">
        <f t="shared" si="368"/>
        <v>0</v>
      </c>
      <c r="AV1078" s="71">
        <f t="shared" si="369"/>
        <v>0</v>
      </c>
      <c r="AX1078" s="71">
        <f t="shared" si="370"/>
        <v>0</v>
      </c>
      <c r="AZ1078" s="71">
        <f t="shared" si="371"/>
        <v>0</v>
      </c>
      <c r="BE1078" s="81">
        <f t="shared" si="372"/>
        <v>0</v>
      </c>
      <c r="BF1078" s="81" t="str">
        <f t="shared" si="373"/>
        <v>BASSO</v>
      </c>
    </row>
    <row r="1079" spans="7:58" x14ac:dyDescent="0.15">
      <c r="G1079" s="64">
        <f t="shared" si="353"/>
        <v>0</v>
      </c>
      <c r="O1079" s="64">
        <f t="shared" si="356"/>
        <v>0</v>
      </c>
      <c r="Q1079" s="64">
        <f t="shared" si="357"/>
        <v>0</v>
      </c>
      <c r="S1079" s="71">
        <f t="shared" si="358"/>
        <v>0</v>
      </c>
      <c r="U1079" s="64">
        <f t="shared" si="359"/>
        <v>0</v>
      </c>
      <c r="W1079" s="71">
        <f t="shared" si="360"/>
        <v>0</v>
      </c>
      <c r="Y1079" s="71">
        <f t="shared" si="361"/>
        <v>0</v>
      </c>
      <c r="AA1079" s="71">
        <f t="shared" si="362"/>
        <v>0</v>
      </c>
      <c r="AC1079" s="71">
        <f t="shared" si="363"/>
        <v>0</v>
      </c>
      <c r="AK1079" s="71">
        <f t="shared" si="364"/>
        <v>0</v>
      </c>
      <c r="AM1079" s="71">
        <f t="shared" si="365"/>
        <v>0</v>
      </c>
      <c r="AO1079" s="71">
        <f t="shared" si="366"/>
        <v>0</v>
      </c>
      <c r="AQ1079" s="71">
        <f t="shared" si="367"/>
        <v>0</v>
      </c>
      <c r="AT1079" s="71">
        <f t="shared" si="368"/>
        <v>0</v>
      </c>
      <c r="AV1079" s="71">
        <f t="shared" si="369"/>
        <v>0</v>
      </c>
      <c r="AX1079" s="71">
        <f t="shared" si="370"/>
        <v>0</v>
      </c>
      <c r="AZ1079" s="71">
        <f t="shared" si="371"/>
        <v>0</v>
      </c>
      <c r="BE1079" s="81">
        <f t="shared" si="372"/>
        <v>0</v>
      </c>
      <c r="BF1079" s="81" t="str">
        <f t="shared" si="373"/>
        <v>BASSO</v>
      </c>
    </row>
    <row r="1080" spans="7:58" x14ac:dyDescent="0.15">
      <c r="G1080" s="64">
        <f t="shared" si="353"/>
        <v>0</v>
      </c>
      <c r="O1080" s="64">
        <f t="shared" si="356"/>
        <v>0</v>
      </c>
      <c r="Q1080" s="64">
        <f t="shared" si="357"/>
        <v>0</v>
      </c>
      <c r="S1080" s="71">
        <f t="shared" si="358"/>
        <v>0</v>
      </c>
      <c r="U1080" s="64">
        <f t="shared" si="359"/>
        <v>0</v>
      </c>
      <c r="W1080" s="71">
        <f t="shared" si="360"/>
        <v>0</v>
      </c>
      <c r="Y1080" s="71">
        <f t="shared" si="361"/>
        <v>0</v>
      </c>
      <c r="AA1080" s="71">
        <f t="shared" si="362"/>
        <v>0</v>
      </c>
      <c r="AC1080" s="71">
        <f t="shared" si="363"/>
        <v>0</v>
      </c>
      <c r="AK1080" s="71">
        <f t="shared" si="364"/>
        <v>0</v>
      </c>
      <c r="AM1080" s="71">
        <f t="shared" si="365"/>
        <v>0</v>
      </c>
      <c r="AO1080" s="71">
        <f t="shared" si="366"/>
        <v>0</v>
      </c>
      <c r="AQ1080" s="71">
        <f t="shared" si="367"/>
        <v>0</v>
      </c>
      <c r="AT1080" s="71">
        <f t="shared" si="368"/>
        <v>0</v>
      </c>
      <c r="AV1080" s="71">
        <f t="shared" si="369"/>
        <v>0</v>
      </c>
      <c r="AX1080" s="71">
        <f t="shared" si="370"/>
        <v>0</v>
      </c>
      <c r="AZ1080" s="71">
        <f t="shared" si="371"/>
        <v>0</v>
      </c>
      <c r="BE1080" s="81">
        <f t="shared" si="372"/>
        <v>0</v>
      </c>
      <c r="BF1080" s="81" t="str">
        <f t="shared" si="373"/>
        <v>BASSO</v>
      </c>
    </row>
    <row r="1081" spans="7:58" x14ac:dyDescent="0.15">
      <c r="G1081" s="64">
        <f t="shared" si="353"/>
        <v>0</v>
      </c>
      <c r="O1081" s="64">
        <f t="shared" si="356"/>
        <v>0</v>
      </c>
      <c r="Q1081" s="64">
        <f t="shared" si="357"/>
        <v>0</v>
      </c>
      <c r="S1081" s="71">
        <f t="shared" si="358"/>
        <v>0</v>
      </c>
      <c r="U1081" s="64">
        <f t="shared" si="359"/>
        <v>0</v>
      </c>
      <c r="W1081" s="71">
        <f t="shared" si="360"/>
        <v>0</v>
      </c>
      <c r="Y1081" s="71">
        <f t="shared" si="361"/>
        <v>0</v>
      </c>
      <c r="AA1081" s="71">
        <f t="shared" si="362"/>
        <v>0</v>
      </c>
      <c r="AC1081" s="71">
        <f t="shared" si="363"/>
        <v>0</v>
      </c>
      <c r="AK1081" s="71">
        <f t="shared" si="364"/>
        <v>0</v>
      </c>
      <c r="AM1081" s="71">
        <f t="shared" si="365"/>
        <v>0</v>
      </c>
      <c r="AO1081" s="71">
        <f t="shared" si="366"/>
        <v>0</v>
      </c>
      <c r="AQ1081" s="71">
        <f t="shared" si="367"/>
        <v>0</v>
      </c>
      <c r="AT1081" s="71">
        <f t="shared" si="368"/>
        <v>0</v>
      </c>
      <c r="AV1081" s="71">
        <f t="shared" si="369"/>
        <v>0</v>
      </c>
      <c r="AX1081" s="71">
        <f t="shared" si="370"/>
        <v>0</v>
      </c>
      <c r="AZ1081" s="71">
        <f t="shared" si="371"/>
        <v>0</v>
      </c>
      <c r="BE1081" s="81">
        <f t="shared" si="372"/>
        <v>0</v>
      </c>
      <c r="BF1081" s="81" t="str">
        <f t="shared" si="373"/>
        <v>BASSO</v>
      </c>
    </row>
    <row r="1082" spans="7:58" x14ac:dyDescent="0.15">
      <c r="G1082" s="64">
        <f t="shared" si="353"/>
        <v>0</v>
      </c>
      <c r="O1082" s="64">
        <f t="shared" si="356"/>
        <v>0</v>
      </c>
      <c r="Q1082" s="64">
        <f t="shared" si="357"/>
        <v>0</v>
      </c>
      <c r="S1082" s="71">
        <f t="shared" si="358"/>
        <v>0</v>
      </c>
      <c r="U1082" s="64">
        <f t="shared" si="359"/>
        <v>0</v>
      </c>
      <c r="W1082" s="71">
        <f t="shared" si="360"/>
        <v>0</v>
      </c>
      <c r="Y1082" s="71">
        <f t="shared" si="361"/>
        <v>0</v>
      </c>
      <c r="AA1082" s="71">
        <f t="shared" si="362"/>
        <v>0</v>
      </c>
      <c r="AC1082" s="71">
        <f t="shared" si="363"/>
        <v>0</v>
      </c>
      <c r="AK1082" s="71">
        <f t="shared" si="364"/>
        <v>0</v>
      </c>
      <c r="AM1082" s="71">
        <f t="shared" si="365"/>
        <v>0</v>
      </c>
      <c r="AO1082" s="71">
        <f t="shared" si="366"/>
        <v>0</v>
      </c>
      <c r="AQ1082" s="71">
        <f t="shared" si="367"/>
        <v>0</v>
      </c>
      <c r="AT1082" s="71">
        <f t="shared" si="368"/>
        <v>0</v>
      </c>
      <c r="AV1082" s="71">
        <f t="shared" si="369"/>
        <v>0</v>
      </c>
      <c r="AX1082" s="71">
        <f t="shared" si="370"/>
        <v>0</v>
      </c>
      <c r="AZ1082" s="71">
        <f t="shared" si="371"/>
        <v>0</v>
      </c>
      <c r="BE1082" s="81">
        <f t="shared" si="372"/>
        <v>0</v>
      </c>
      <c r="BF1082" s="81" t="str">
        <f t="shared" si="373"/>
        <v>BASSO</v>
      </c>
    </row>
    <row r="1083" spans="7:58" x14ac:dyDescent="0.15">
      <c r="G1083" s="64">
        <f t="shared" si="353"/>
        <v>0</v>
      </c>
      <c r="O1083" s="64">
        <f t="shared" si="356"/>
        <v>0</v>
      </c>
      <c r="Q1083" s="64">
        <f t="shared" si="357"/>
        <v>0</v>
      </c>
      <c r="S1083" s="71">
        <f t="shared" si="358"/>
        <v>0</v>
      </c>
      <c r="U1083" s="64">
        <f t="shared" si="359"/>
        <v>0</v>
      </c>
      <c r="W1083" s="71">
        <f t="shared" si="360"/>
        <v>0</v>
      </c>
      <c r="Y1083" s="71">
        <f t="shared" si="361"/>
        <v>0</v>
      </c>
      <c r="AA1083" s="71">
        <f t="shared" si="362"/>
        <v>0</v>
      </c>
      <c r="AC1083" s="71">
        <f t="shared" si="363"/>
        <v>0</v>
      </c>
      <c r="AK1083" s="71">
        <f t="shared" si="364"/>
        <v>0</v>
      </c>
      <c r="AM1083" s="71">
        <f t="shared" si="365"/>
        <v>0</v>
      </c>
      <c r="AO1083" s="71">
        <f t="shared" si="366"/>
        <v>0</v>
      </c>
      <c r="AQ1083" s="71">
        <f t="shared" si="367"/>
        <v>0</v>
      </c>
      <c r="AT1083" s="71">
        <f t="shared" si="368"/>
        <v>0</v>
      </c>
      <c r="AV1083" s="71">
        <f t="shared" si="369"/>
        <v>0</v>
      </c>
      <c r="AX1083" s="71">
        <f t="shared" si="370"/>
        <v>0</v>
      </c>
      <c r="AZ1083" s="71">
        <f t="shared" si="371"/>
        <v>0</v>
      </c>
      <c r="BE1083" s="81">
        <f t="shared" si="372"/>
        <v>0</v>
      </c>
      <c r="BF1083" s="81" t="str">
        <f t="shared" si="373"/>
        <v>BASSO</v>
      </c>
    </row>
    <row r="1084" spans="7:58" x14ac:dyDescent="0.15">
      <c r="G1084" s="64">
        <f t="shared" si="353"/>
        <v>0</v>
      </c>
      <c r="O1084" s="64">
        <f t="shared" si="356"/>
        <v>0</v>
      </c>
      <c r="Q1084" s="64">
        <f t="shared" si="357"/>
        <v>0</v>
      </c>
      <c r="S1084" s="71">
        <f t="shared" si="358"/>
        <v>0</v>
      </c>
      <c r="U1084" s="64">
        <f t="shared" si="359"/>
        <v>0</v>
      </c>
      <c r="W1084" s="71">
        <f t="shared" si="360"/>
        <v>0</v>
      </c>
      <c r="Y1084" s="71">
        <f t="shared" si="361"/>
        <v>0</v>
      </c>
      <c r="AA1084" s="71">
        <f t="shared" si="362"/>
        <v>0</v>
      </c>
      <c r="AC1084" s="71">
        <f t="shared" si="363"/>
        <v>0</v>
      </c>
      <c r="AK1084" s="71">
        <f t="shared" si="364"/>
        <v>0</v>
      </c>
      <c r="AM1084" s="71">
        <f t="shared" si="365"/>
        <v>0</v>
      </c>
      <c r="AO1084" s="71">
        <f t="shared" si="366"/>
        <v>0</v>
      </c>
      <c r="AQ1084" s="71">
        <f t="shared" si="367"/>
        <v>0</v>
      </c>
      <c r="AT1084" s="71">
        <f t="shared" si="368"/>
        <v>0</v>
      </c>
      <c r="AV1084" s="71">
        <f t="shared" si="369"/>
        <v>0</v>
      </c>
      <c r="AX1084" s="71">
        <f t="shared" si="370"/>
        <v>0</v>
      </c>
      <c r="AZ1084" s="71">
        <f t="shared" si="371"/>
        <v>0</v>
      </c>
      <c r="BE1084" s="81">
        <f t="shared" si="372"/>
        <v>0</v>
      </c>
      <c r="BF1084" s="81" t="str">
        <f t="shared" si="373"/>
        <v>BASSO</v>
      </c>
    </row>
    <row r="1085" spans="7:58" x14ac:dyDescent="0.15">
      <c r="G1085" s="64">
        <f t="shared" si="353"/>
        <v>0</v>
      </c>
      <c r="O1085" s="64">
        <f t="shared" si="356"/>
        <v>0</v>
      </c>
      <c r="Q1085" s="64">
        <f t="shared" si="357"/>
        <v>0</v>
      </c>
      <c r="S1085" s="71">
        <f t="shared" si="358"/>
        <v>0</v>
      </c>
      <c r="U1085" s="64">
        <f t="shared" si="359"/>
        <v>0</v>
      </c>
      <c r="W1085" s="71">
        <f t="shared" si="360"/>
        <v>0</v>
      </c>
      <c r="Y1085" s="71">
        <f t="shared" si="361"/>
        <v>0</v>
      </c>
      <c r="AA1085" s="71">
        <f t="shared" si="362"/>
        <v>0</v>
      </c>
      <c r="AC1085" s="71">
        <f t="shared" si="363"/>
        <v>0</v>
      </c>
      <c r="AK1085" s="71">
        <f t="shared" si="364"/>
        <v>0</v>
      </c>
      <c r="AM1085" s="71">
        <f t="shared" si="365"/>
        <v>0</v>
      </c>
      <c r="AO1085" s="71">
        <f t="shared" si="366"/>
        <v>0</v>
      </c>
      <c r="AQ1085" s="71">
        <f t="shared" si="367"/>
        <v>0</v>
      </c>
      <c r="AT1085" s="71">
        <f t="shared" si="368"/>
        <v>0</v>
      </c>
      <c r="AV1085" s="71">
        <f t="shared" si="369"/>
        <v>0</v>
      </c>
      <c r="AX1085" s="71">
        <f t="shared" si="370"/>
        <v>0</v>
      </c>
      <c r="AZ1085" s="71">
        <f t="shared" si="371"/>
        <v>0</v>
      </c>
      <c r="BE1085" s="81">
        <f t="shared" si="372"/>
        <v>0</v>
      </c>
      <c r="BF1085" s="81" t="str">
        <f t="shared" si="373"/>
        <v>BASSO</v>
      </c>
    </row>
    <row r="1086" spans="7:58" x14ac:dyDescent="0.15">
      <c r="G1086" s="64">
        <f t="shared" si="353"/>
        <v>0</v>
      </c>
      <c r="O1086" s="64">
        <f t="shared" si="356"/>
        <v>0</v>
      </c>
      <c r="Q1086" s="64">
        <f t="shared" si="357"/>
        <v>0</v>
      </c>
      <c r="S1086" s="71">
        <f t="shared" si="358"/>
        <v>0</v>
      </c>
      <c r="U1086" s="64">
        <f t="shared" si="359"/>
        <v>0</v>
      </c>
      <c r="W1086" s="71">
        <f t="shared" si="360"/>
        <v>0</v>
      </c>
      <c r="Y1086" s="71">
        <f t="shared" si="361"/>
        <v>0</v>
      </c>
      <c r="AA1086" s="71">
        <f t="shared" si="362"/>
        <v>0</v>
      </c>
      <c r="AC1086" s="71">
        <f t="shared" si="363"/>
        <v>0</v>
      </c>
      <c r="AK1086" s="71">
        <f t="shared" si="364"/>
        <v>0</v>
      </c>
      <c r="AM1086" s="71">
        <f t="shared" si="365"/>
        <v>0</v>
      </c>
      <c r="AO1086" s="71">
        <f t="shared" si="366"/>
        <v>0</v>
      </c>
      <c r="AQ1086" s="71">
        <f t="shared" si="367"/>
        <v>0</v>
      </c>
      <c r="AT1086" s="71">
        <f t="shared" si="368"/>
        <v>0</v>
      </c>
      <c r="AV1086" s="71">
        <f t="shared" si="369"/>
        <v>0</v>
      </c>
      <c r="AX1086" s="71">
        <f t="shared" si="370"/>
        <v>0</v>
      </c>
      <c r="AZ1086" s="71">
        <f t="shared" si="371"/>
        <v>0</v>
      </c>
      <c r="BE1086" s="81">
        <f t="shared" si="372"/>
        <v>0</v>
      </c>
      <c r="BF1086" s="81" t="str">
        <f t="shared" si="373"/>
        <v>BASSO</v>
      </c>
    </row>
    <row r="1087" spans="7:58" x14ac:dyDescent="0.15">
      <c r="G1087" s="64">
        <f t="shared" si="353"/>
        <v>0</v>
      </c>
      <c r="O1087" s="64">
        <f t="shared" si="356"/>
        <v>0</v>
      </c>
      <c r="Q1087" s="64">
        <f t="shared" si="357"/>
        <v>0</v>
      </c>
      <c r="S1087" s="71">
        <f t="shared" si="358"/>
        <v>0</v>
      </c>
      <c r="U1087" s="64">
        <f t="shared" si="359"/>
        <v>0</v>
      </c>
      <c r="W1087" s="71">
        <f t="shared" si="360"/>
        <v>0</v>
      </c>
      <c r="Y1087" s="71">
        <f t="shared" si="361"/>
        <v>0</v>
      </c>
      <c r="AA1087" s="71">
        <f t="shared" si="362"/>
        <v>0</v>
      </c>
      <c r="AC1087" s="71">
        <f t="shared" si="363"/>
        <v>0</v>
      </c>
      <c r="AK1087" s="71">
        <f t="shared" si="364"/>
        <v>0</v>
      </c>
      <c r="AM1087" s="71">
        <f t="shared" si="365"/>
        <v>0</v>
      </c>
      <c r="AO1087" s="71">
        <f t="shared" si="366"/>
        <v>0</v>
      </c>
      <c r="AQ1087" s="71">
        <f t="shared" si="367"/>
        <v>0</v>
      </c>
      <c r="AT1087" s="71">
        <f t="shared" si="368"/>
        <v>0</v>
      </c>
      <c r="AV1087" s="71">
        <f t="shared" si="369"/>
        <v>0</v>
      </c>
      <c r="AX1087" s="71">
        <f t="shared" si="370"/>
        <v>0</v>
      </c>
      <c r="AZ1087" s="71">
        <f t="shared" si="371"/>
        <v>0</v>
      </c>
      <c r="BE1087" s="81">
        <f t="shared" si="372"/>
        <v>0</v>
      </c>
      <c r="BF1087" s="81" t="str">
        <f t="shared" si="373"/>
        <v>BASSO</v>
      </c>
    </row>
    <row r="1088" spans="7:58" x14ac:dyDescent="0.15">
      <c r="G1088" s="64">
        <f t="shared" si="353"/>
        <v>0</v>
      </c>
      <c r="O1088" s="64">
        <f t="shared" si="356"/>
        <v>0</v>
      </c>
      <c r="Q1088" s="64">
        <f t="shared" si="357"/>
        <v>0</v>
      </c>
      <c r="S1088" s="71">
        <f t="shared" si="358"/>
        <v>0</v>
      </c>
      <c r="U1088" s="64">
        <f t="shared" si="359"/>
        <v>0</v>
      </c>
      <c r="W1088" s="71">
        <f t="shared" si="360"/>
        <v>0</v>
      </c>
      <c r="Y1088" s="71">
        <f t="shared" si="361"/>
        <v>0</v>
      </c>
      <c r="AA1088" s="71">
        <f t="shared" si="362"/>
        <v>0</v>
      </c>
      <c r="AC1088" s="71">
        <f t="shared" si="363"/>
        <v>0</v>
      </c>
      <c r="AK1088" s="71">
        <f t="shared" si="364"/>
        <v>0</v>
      </c>
      <c r="AM1088" s="71">
        <f t="shared" si="365"/>
        <v>0</v>
      </c>
      <c r="AO1088" s="71">
        <f t="shared" si="366"/>
        <v>0</v>
      </c>
      <c r="AQ1088" s="71">
        <f t="shared" si="367"/>
        <v>0</v>
      </c>
      <c r="AT1088" s="71">
        <f t="shared" si="368"/>
        <v>0</v>
      </c>
      <c r="AV1088" s="71">
        <f t="shared" si="369"/>
        <v>0</v>
      </c>
      <c r="AX1088" s="71">
        <f t="shared" si="370"/>
        <v>0</v>
      </c>
      <c r="AZ1088" s="71">
        <f t="shared" si="371"/>
        <v>0</v>
      </c>
      <c r="BE1088" s="81">
        <f t="shared" si="372"/>
        <v>0</v>
      </c>
      <c r="BF1088" s="81" t="str">
        <f t="shared" si="373"/>
        <v>BASSO</v>
      </c>
    </row>
    <row r="1089" spans="7:58" x14ac:dyDescent="0.15">
      <c r="G1089" s="64">
        <f t="shared" si="353"/>
        <v>0</v>
      </c>
      <c r="O1089" s="64">
        <f t="shared" si="356"/>
        <v>0</v>
      </c>
      <c r="Q1089" s="64">
        <f t="shared" si="357"/>
        <v>0</v>
      </c>
      <c r="S1089" s="71">
        <f t="shared" si="358"/>
        <v>0</v>
      </c>
      <c r="U1089" s="64">
        <f t="shared" si="359"/>
        <v>0</v>
      </c>
      <c r="W1089" s="71">
        <f t="shared" si="360"/>
        <v>0</v>
      </c>
      <c r="Y1089" s="71">
        <f t="shared" si="361"/>
        <v>0</v>
      </c>
      <c r="AA1089" s="71">
        <f t="shared" si="362"/>
        <v>0</v>
      </c>
      <c r="AC1089" s="71">
        <f t="shared" si="363"/>
        <v>0</v>
      </c>
      <c r="AK1089" s="71">
        <f t="shared" si="364"/>
        <v>0</v>
      </c>
      <c r="AM1089" s="71">
        <f t="shared" si="365"/>
        <v>0</v>
      </c>
      <c r="AO1089" s="71">
        <f t="shared" si="366"/>
        <v>0</v>
      </c>
      <c r="AQ1089" s="71">
        <f t="shared" si="367"/>
        <v>0</v>
      </c>
      <c r="AT1089" s="71">
        <f t="shared" si="368"/>
        <v>0</v>
      </c>
      <c r="AV1089" s="71">
        <f t="shared" si="369"/>
        <v>0</v>
      </c>
      <c r="AX1089" s="71">
        <f t="shared" si="370"/>
        <v>0</v>
      </c>
      <c r="AZ1089" s="71">
        <f t="shared" si="371"/>
        <v>0</v>
      </c>
      <c r="BE1089" s="81">
        <f t="shared" si="372"/>
        <v>0</v>
      </c>
      <c r="BF1089" s="81" t="str">
        <f t="shared" si="373"/>
        <v>BASSO</v>
      </c>
    </row>
    <row r="1090" spans="7:58" x14ac:dyDescent="0.15">
      <c r="G1090" s="64">
        <f t="shared" ref="G1090:G1116" si="374">F1091/2</f>
        <v>0</v>
      </c>
      <c r="O1090" s="64">
        <f t="shared" si="356"/>
        <v>0</v>
      </c>
      <c r="Q1090" s="64">
        <f t="shared" si="357"/>
        <v>0</v>
      </c>
      <c r="S1090" s="71">
        <f t="shared" si="358"/>
        <v>0</v>
      </c>
      <c r="U1090" s="64">
        <f t="shared" si="359"/>
        <v>0</v>
      </c>
      <c r="W1090" s="71">
        <f t="shared" si="360"/>
        <v>0</v>
      </c>
      <c r="Y1090" s="71">
        <f t="shared" si="361"/>
        <v>0</v>
      </c>
      <c r="AA1090" s="71">
        <f t="shared" si="362"/>
        <v>0</v>
      </c>
      <c r="AC1090" s="71">
        <f t="shared" si="363"/>
        <v>0</v>
      </c>
      <c r="AK1090" s="71">
        <f t="shared" si="364"/>
        <v>0</v>
      </c>
      <c r="AM1090" s="71">
        <f t="shared" si="365"/>
        <v>0</v>
      </c>
      <c r="AO1090" s="71">
        <f t="shared" si="366"/>
        <v>0</v>
      </c>
      <c r="AQ1090" s="71">
        <f t="shared" si="367"/>
        <v>0</v>
      </c>
      <c r="AT1090" s="71">
        <f t="shared" si="368"/>
        <v>0</v>
      </c>
      <c r="AV1090" s="71">
        <f t="shared" si="369"/>
        <v>0</v>
      </c>
      <c r="AX1090" s="71">
        <f t="shared" si="370"/>
        <v>0</v>
      </c>
      <c r="AZ1090" s="71">
        <f t="shared" si="371"/>
        <v>0</v>
      </c>
      <c r="BE1090" s="81">
        <f t="shared" si="372"/>
        <v>0</v>
      </c>
      <c r="BF1090" s="81" t="str">
        <f t="shared" si="373"/>
        <v>BASSO</v>
      </c>
    </row>
    <row r="1091" spans="7:58" x14ac:dyDescent="0.15">
      <c r="G1091" s="64">
        <f t="shared" si="374"/>
        <v>0</v>
      </c>
      <c r="O1091" s="64">
        <f t="shared" ref="O1091:O1097" si="375">N1091/5</f>
        <v>0</v>
      </c>
      <c r="Q1091" s="64">
        <f t="shared" ref="Q1091:Q1097" si="376">P1091/3</f>
        <v>0</v>
      </c>
      <c r="S1091" s="71">
        <f t="shared" ref="S1091:S1097" si="377">R1091/3</f>
        <v>0</v>
      </c>
      <c r="U1091" s="64">
        <f t="shared" ref="U1091:U1097" si="378">T1091/3</f>
        <v>0</v>
      </c>
      <c r="W1091" s="71">
        <f t="shared" ref="W1091:W1097" si="379">V1091/4</f>
        <v>0</v>
      </c>
      <c r="Y1091" s="71">
        <f t="shared" ref="Y1091:Y1097" si="380">X1091/3</f>
        <v>0</v>
      </c>
      <c r="AA1091" s="71">
        <f t="shared" ref="AA1091:AA1097" si="381">Z1091/3</f>
        <v>0</v>
      </c>
      <c r="AC1091" s="71">
        <f t="shared" ref="AC1091:AC1097" si="382">AB1091/2</f>
        <v>0</v>
      </c>
      <c r="AK1091" s="71">
        <f t="shared" ref="AK1091:AK1097" si="383">AJ1091/2</f>
        <v>0</v>
      </c>
      <c r="AM1091" s="71">
        <f t="shared" ref="AM1091:AM1097" si="384">AL1091/3</f>
        <v>0</v>
      </c>
      <c r="AO1091" s="71">
        <f t="shared" ref="AO1091:AO1097" si="385">AN1091/3</f>
        <v>0</v>
      </c>
      <c r="AQ1091" s="71">
        <f t="shared" ref="AQ1091:AQ1097" si="386">AP1091/3</f>
        <v>0</v>
      </c>
      <c r="AT1091" s="71">
        <f t="shared" ref="AT1091:AT1097" si="387">AS1091/3</f>
        <v>0</v>
      </c>
      <c r="AV1091" s="71">
        <f t="shared" ref="AV1091:AV1097" si="388">AU1091/3</f>
        <v>0</v>
      </c>
      <c r="AX1091" s="71">
        <f t="shared" ref="AX1091:AX1097" si="389">AW1091/2</f>
        <v>0</v>
      </c>
      <c r="AZ1091" s="71">
        <f t="shared" ref="AZ1091:AZ1097" si="390">AY1091/3</f>
        <v>0</v>
      </c>
      <c r="BE1091" s="81">
        <f t="shared" ref="BE1091:BE1097" si="391">AVERAGE(F1091,I1091,K1091,M1091,O1091,Q1091,S1091,U1091,W1091,Y1091,AA1091,AC1091,AK1091,AM1091,AO1091,AQ1091,AT1091,AV1091,AX1091,AZ1091)</f>
        <v>0</v>
      </c>
      <c r="BF1091" s="81" t="str">
        <f t="shared" ref="BF1091:BF1097" si="392">IF(BE1091="","",IF(VALUE(BE1091)&lt;0.34,"BASSO",IF(VALUE(BE1091)&lt;=0.66,"MEDIO","ALTO")))</f>
        <v>BASSO</v>
      </c>
    </row>
    <row r="1092" spans="7:58" x14ac:dyDescent="0.15">
      <c r="G1092" s="64">
        <f t="shared" si="374"/>
        <v>0</v>
      </c>
      <c r="O1092" s="64">
        <f t="shared" si="375"/>
        <v>0</v>
      </c>
      <c r="Q1092" s="64">
        <f t="shared" si="376"/>
        <v>0</v>
      </c>
      <c r="S1092" s="71">
        <f t="shared" si="377"/>
        <v>0</v>
      </c>
      <c r="U1092" s="64">
        <f t="shared" si="378"/>
        <v>0</v>
      </c>
      <c r="W1092" s="71">
        <f t="shared" si="379"/>
        <v>0</v>
      </c>
      <c r="Y1092" s="71">
        <f t="shared" si="380"/>
        <v>0</v>
      </c>
      <c r="AA1092" s="71">
        <f t="shared" si="381"/>
        <v>0</v>
      </c>
      <c r="AC1092" s="71">
        <f t="shared" si="382"/>
        <v>0</v>
      </c>
      <c r="AK1092" s="71">
        <f t="shared" si="383"/>
        <v>0</v>
      </c>
      <c r="AM1092" s="71">
        <f t="shared" si="384"/>
        <v>0</v>
      </c>
      <c r="AO1092" s="71">
        <f t="shared" si="385"/>
        <v>0</v>
      </c>
      <c r="AQ1092" s="71">
        <f t="shared" si="386"/>
        <v>0</v>
      </c>
      <c r="AT1092" s="71">
        <f t="shared" si="387"/>
        <v>0</v>
      </c>
      <c r="AV1092" s="71">
        <f t="shared" si="388"/>
        <v>0</v>
      </c>
      <c r="AX1092" s="71">
        <f t="shared" si="389"/>
        <v>0</v>
      </c>
      <c r="AZ1092" s="71">
        <f t="shared" si="390"/>
        <v>0</v>
      </c>
      <c r="BE1092" s="81">
        <f t="shared" si="391"/>
        <v>0</v>
      </c>
      <c r="BF1092" s="81" t="str">
        <f t="shared" si="392"/>
        <v>BASSO</v>
      </c>
    </row>
    <row r="1093" spans="7:58" x14ac:dyDescent="0.15">
      <c r="G1093" s="64">
        <f t="shared" si="374"/>
        <v>0</v>
      </c>
      <c r="O1093" s="64">
        <f t="shared" si="375"/>
        <v>0</v>
      </c>
      <c r="Q1093" s="64">
        <f t="shared" si="376"/>
        <v>0</v>
      </c>
      <c r="S1093" s="71">
        <f t="shared" si="377"/>
        <v>0</v>
      </c>
      <c r="U1093" s="64">
        <f t="shared" si="378"/>
        <v>0</v>
      </c>
      <c r="W1093" s="71">
        <f t="shared" si="379"/>
        <v>0</v>
      </c>
      <c r="Y1093" s="71">
        <f t="shared" si="380"/>
        <v>0</v>
      </c>
      <c r="AA1093" s="71">
        <f t="shared" si="381"/>
        <v>0</v>
      </c>
      <c r="AC1093" s="71">
        <f t="shared" si="382"/>
        <v>0</v>
      </c>
      <c r="AK1093" s="71">
        <f t="shared" si="383"/>
        <v>0</v>
      </c>
      <c r="AM1093" s="71">
        <f t="shared" si="384"/>
        <v>0</v>
      </c>
      <c r="AO1093" s="71">
        <f t="shared" si="385"/>
        <v>0</v>
      </c>
      <c r="AQ1093" s="71">
        <f t="shared" si="386"/>
        <v>0</v>
      </c>
      <c r="AT1093" s="71">
        <f t="shared" si="387"/>
        <v>0</v>
      </c>
      <c r="AV1093" s="71">
        <f t="shared" si="388"/>
        <v>0</v>
      </c>
      <c r="AX1093" s="71">
        <f t="shared" si="389"/>
        <v>0</v>
      </c>
      <c r="AZ1093" s="71">
        <f t="shared" si="390"/>
        <v>0</v>
      </c>
      <c r="BE1093" s="81">
        <f t="shared" si="391"/>
        <v>0</v>
      </c>
      <c r="BF1093" s="81" t="str">
        <f t="shared" si="392"/>
        <v>BASSO</v>
      </c>
    </row>
    <row r="1094" spans="7:58" x14ac:dyDescent="0.15">
      <c r="G1094" s="64">
        <f t="shared" si="374"/>
        <v>0</v>
      </c>
      <c r="O1094" s="64">
        <f t="shared" si="375"/>
        <v>0</v>
      </c>
      <c r="Q1094" s="64">
        <f t="shared" si="376"/>
        <v>0</v>
      </c>
      <c r="S1094" s="71">
        <f t="shared" si="377"/>
        <v>0</v>
      </c>
      <c r="U1094" s="64">
        <f t="shared" si="378"/>
        <v>0</v>
      </c>
      <c r="W1094" s="71">
        <f t="shared" si="379"/>
        <v>0</v>
      </c>
      <c r="Y1094" s="71">
        <f t="shared" si="380"/>
        <v>0</v>
      </c>
      <c r="AA1094" s="71">
        <f t="shared" si="381"/>
        <v>0</v>
      </c>
      <c r="AC1094" s="71">
        <f t="shared" si="382"/>
        <v>0</v>
      </c>
      <c r="AK1094" s="71">
        <f t="shared" si="383"/>
        <v>0</v>
      </c>
      <c r="AM1094" s="71">
        <f t="shared" si="384"/>
        <v>0</v>
      </c>
      <c r="AO1094" s="71">
        <f t="shared" si="385"/>
        <v>0</v>
      </c>
      <c r="AQ1094" s="71">
        <f t="shared" si="386"/>
        <v>0</v>
      </c>
      <c r="AT1094" s="71">
        <f t="shared" si="387"/>
        <v>0</v>
      </c>
      <c r="AV1094" s="71">
        <f t="shared" si="388"/>
        <v>0</v>
      </c>
      <c r="AX1094" s="71">
        <f t="shared" si="389"/>
        <v>0</v>
      </c>
      <c r="AZ1094" s="71">
        <f t="shared" si="390"/>
        <v>0</v>
      </c>
      <c r="BE1094" s="81">
        <f t="shared" si="391"/>
        <v>0</v>
      </c>
      <c r="BF1094" s="81" t="str">
        <f t="shared" si="392"/>
        <v>BASSO</v>
      </c>
    </row>
    <row r="1095" spans="7:58" x14ac:dyDescent="0.15">
      <c r="G1095" s="64">
        <f t="shared" si="374"/>
        <v>0</v>
      </c>
      <c r="O1095" s="64">
        <f t="shared" si="375"/>
        <v>0</v>
      </c>
      <c r="Q1095" s="64">
        <f t="shared" si="376"/>
        <v>0</v>
      </c>
      <c r="S1095" s="71">
        <f t="shared" si="377"/>
        <v>0</v>
      </c>
      <c r="U1095" s="64">
        <f t="shared" si="378"/>
        <v>0</v>
      </c>
      <c r="W1095" s="71">
        <f t="shared" si="379"/>
        <v>0</v>
      </c>
      <c r="Y1095" s="71">
        <f t="shared" si="380"/>
        <v>0</v>
      </c>
      <c r="AA1095" s="71">
        <f t="shared" si="381"/>
        <v>0</v>
      </c>
      <c r="AC1095" s="71">
        <f t="shared" si="382"/>
        <v>0</v>
      </c>
      <c r="AK1095" s="71">
        <f t="shared" si="383"/>
        <v>0</v>
      </c>
      <c r="AM1095" s="71">
        <f t="shared" si="384"/>
        <v>0</v>
      </c>
      <c r="AO1095" s="71">
        <f t="shared" si="385"/>
        <v>0</v>
      </c>
      <c r="AQ1095" s="71">
        <f t="shared" si="386"/>
        <v>0</v>
      </c>
      <c r="AT1095" s="71">
        <f t="shared" si="387"/>
        <v>0</v>
      </c>
      <c r="AV1095" s="71">
        <f t="shared" si="388"/>
        <v>0</v>
      </c>
      <c r="AX1095" s="71">
        <f t="shared" si="389"/>
        <v>0</v>
      </c>
      <c r="AZ1095" s="71">
        <f t="shared" si="390"/>
        <v>0</v>
      </c>
      <c r="BE1095" s="81">
        <f t="shared" si="391"/>
        <v>0</v>
      </c>
      <c r="BF1095" s="81" t="str">
        <f t="shared" si="392"/>
        <v>BASSO</v>
      </c>
    </row>
    <row r="1096" spans="7:58" x14ac:dyDescent="0.15">
      <c r="G1096" s="64">
        <f t="shared" si="374"/>
        <v>0</v>
      </c>
      <c r="O1096" s="64">
        <f t="shared" si="375"/>
        <v>0</v>
      </c>
      <c r="Q1096" s="64">
        <f t="shared" si="376"/>
        <v>0</v>
      </c>
      <c r="S1096" s="71">
        <f t="shared" si="377"/>
        <v>0</v>
      </c>
      <c r="U1096" s="64">
        <f t="shared" si="378"/>
        <v>0</v>
      </c>
      <c r="W1096" s="71">
        <f t="shared" si="379"/>
        <v>0</v>
      </c>
      <c r="Y1096" s="71">
        <f t="shared" si="380"/>
        <v>0</v>
      </c>
      <c r="AA1096" s="71">
        <f t="shared" si="381"/>
        <v>0</v>
      </c>
      <c r="AC1096" s="71">
        <f t="shared" si="382"/>
        <v>0</v>
      </c>
      <c r="AK1096" s="71">
        <f t="shared" si="383"/>
        <v>0</v>
      </c>
      <c r="AM1096" s="71">
        <f t="shared" si="384"/>
        <v>0</v>
      </c>
      <c r="AO1096" s="71">
        <f t="shared" si="385"/>
        <v>0</v>
      </c>
      <c r="AQ1096" s="71">
        <f t="shared" si="386"/>
        <v>0</v>
      </c>
      <c r="AT1096" s="71">
        <f t="shared" si="387"/>
        <v>0</v>
      </c>
      <c r="AV1096" s="71">
        <f t="shared" si="388"/>
        <v>0</v>
      </c>
      <c r="AX1096" s="71">
        <f t="shared" si="389"/>
        <v>0</v>
      </c>
      <c r="AZ1096" s="71">
        <f t="shared" si="390"/>
        <v>0</v>
      </c>
      <c r="BE1096" s="81">
        <f t="shared" si="391"/>
        <v>0</v>
      </c>
      <c r="BF1096" s="81" t="str">
        <f t="shared" si="392"/>
        <v>BASSO</v>
      </c>
    </row>
    <row r="1097" spans="7:58" x14ac:dyDescent="0.15">
      <c r="G1097" s="64">
        <f t="shared" si="374"/>
        <v>0</v>
      </c>
      <c r="O1097" s="64">
        <f t="shared" si="375"/>
        <v>0</v>
      </c>
      <c r="Q1097" s="64">
        <f t="shared" si="376"/>
        <v>0</v>
      </c>
      <c r="S1097" s="71">
        <f t="shared" si="377"/>
        <v>0</v>
      </c>
      <c r="U1097" s="64">
        <f t="shared" si="378"/>
        <v>0</v>
      </c>
      <c r="W1097" s="71">
        <f t="shared" si="379"/>
        <v>0</v>
      </c>
      <c r="Y1097" s="71">
        <f t="shared" si="380"/>
        <v>0</v>
      </c>
      <c r="AA1097" s="71">
        <f t="shared" si="381"/>
        <v>0</v>
      </c>
      <c r="AC1097" s="71">
        <f t="shared" si="382"/>
        <v>0</v>
      </c>
      <c r="AK1097" s="71">
        <f t="shared" si="383"/>
        <v>0</v>
      </c>
      <c r="AM1097" s="71">
        <f t="shared" si="384"/>
        <v>0</v>
      </c>
      <c r="AO1097" s="71">
        <f t="shared" si="385"/>
        <v>0</v>
      </c>
      <c r="AQ1097" s="71">
        <f t="shared" si="386"/>
        <v>0</v>
      </c>
      <c r="AT1097" s="71">
        <f t="shared" si="387"/>
        <v>0</v>
      </c>
      <c r="AV1097" s="71">
        <f t="shared" si="388"/>
        <v>0</v>
      </c>
      <c r="AX1097" s="71">
        <f t="shared" si="389"/>
        <v>0</v>
      </c>
      <c r="AZ1097" s="71">
        <f t="shared" si="390"/>
        <v>0</v>
      </c>
      <c r="BE1097" s="81">
        <f t="shared" si="391"/>
        <v>0</v>
      </c>
      <c r="BF1097" s="81" t="str">
        <f t="shared" si="392"/>
        <v>BASSO</v>
      </c>
    </row>
    <row r="1098" spans="7:58" x14ac:dyDescent="0.15">
      <c r="G1098" s="64">
        <f t="shared" si="374"/>
        <v>0</v>
      </c>
    </row>
    <row r="1099" spans="7:58" x14ac:dyDescent="0.15">
      <c r="G1099" s="64">
        <f t="shared" si="374"/>
        <v>0</v>
      </c>
    </row>
    <row r="1100" spans="7:58" x14ac:dyDescent="0.15">
      <c r="G1100" s="64">
        <f t="shared" si="374"/>
        <v>0</v>
      </c>
    </row>
    <row r="1101" spans="7:58" x14ac:dyDescent="0.15">
      <c r="G1101" s="64">
        <f t="shared" si="374"/>
        <v>0</v>
      </c>
    </row>
    <row r="1102" spans="7:58" x14ac:dyDescent="0.15">
      <c r="G1102" s="64">
        <f t="shared" si="374"/>
        <v>0</v>
      </c>
    </row>
    <row r="1103" spans="7:58" x14ac:dyDescent="0.15">
      <c r="G1103" s="64">
        <f t="shared" si="374"/>
        <v>0</v>
      </c>
    </row>
    <row r="1104" spans="7:58" x14ac:dyDescent="0.15">
      <c r="G1104" s="64">
        <f t="shared" si="374"/>
        <v>0</v>
      </c>
    </row>
    <row r="1105" spans="7:7" x14ac:dyDescent="0.15">
      <c r="G1105" s="64">
        <f t="shared" si="374"/>
        <v>0</v>
      </c>
    </row>
    <row r="1106" spans="7:7" x14ac:dyDescent="0.15">
      <c r="G1106" s="64">
        <f t="shared" si="374"/>
        <v>0</v>
      </c>
    </row>
    <row r="1107" spans="7:7" x14ac:dyDescent="0.15">
      <c r="G1107" s="64">
        <f t="shared" si="374"/>
        <v>0</v>
      </c>
    </row>
    <row r="1108" spans="7:7" x14ac:dyDescent="0.15">
      <c r="G1108" s="64">
        <f t="shared" si="374"/>
        <v>0</v>
      </c>
    </row>
    <row r="1109" spans="7:7" x14ac:dyDescent="0.15">
      <c r="G1109" s="64">
        <f t="shared" si="374"/>
        <v>0</v>
      </c>
    </row>
    <row r="1110" spans="7:7" x14ac:dyDescent="0.15">
      <c r="G1110" s="64">
        <f t="shared" si="374"/>
        <v>0</v>
      </c>
    </row>
    <row r="1111" spans="7:7" x14ac:dyDescent="0.15">
      <c r="G1111" s="64">
        <f t="shared" si="374"/>
        <v>0</v>
      </c>
    </row>
    <row r="1112" spans="7:7" x14ac:dyDescent="0.15">
      <c r="G1112" s="64">
        <f t="shared" si="374"/>
        <v>0</v>
      </c>
    </row>
    <row r="1113" spans="7:7" x14ac:dyDescent="0.15">
      <c r="G1113" s="64">
        <f t="shared" si="374"/>
        <v>0</v>
      </c>
    </row>
    <row r="1114" spans="7:7" x14ac:dyDescent="0.15">
      <c r="G1114" s="64">
        <f t="shared" si="374"/>
        <v>0</v>
      </c>
    </row>
    <row r="1115" spans="7:7" x14ac:dyDescent="0.15">
      <c r="G1115" s="64">
        <f t="shared" si="374"/>
        <v>0</v>
      </c>
    </row>
    <row r="1116" spans="7:7" x14ac:dyDescent="0.15">
      <c r="G1116" s="64">
        <f t="shared" si="374"/>
        <v>0</v>
      </c>
    </row>
  </sheetData>
  <dataValidations count="9">
    <dataValidation type="list" allowBlank="1" showInputMessage="1" showErrorMessage="1" sqref="A1:A18 A293:A1048576 A20:A254" xr:uid="{03FD9D40-B422-E64C-8484-3484B95E0B56}">
      <formula1>"0, 1, 2, 3, 4, 5, "</formula1>
    </dataValidation>
    <dataValidation type="list" allowBlank="1" showInputMessage="1" showErrorMessage="1" sqref="B1:B42 B44:B254 B256:B1048576 F293:F1048576 F1:F255 F258 H293:H1048576 H1:H254 J293:J1048576 J1:J254 AJ1" xr:uid="{95ADD1B1-D7DB-594F-9C4D-7476289D401B}">
      <formula1>"0, 1, 2"</formula1>
    </dataValidation>
    <dataValidation type="list" allowBlank="1" showInputMessage="1" showErrorMessage="1" sqref="C293:C1048576 C1:C254 V293:V1048576 V1:V254 AY1:AY1048576" xr:uid="{F74E61D5-1DEB-7848-A125-D509E744F41B}">
      <formula1>"0, 1, 2, 3, 4"</formula1>
    </dataValidation>
    <dataValidation type="list" allowBlank="1" showInputMessage="1" showErrorMessage="1" sqref="D1:D254 D293:D1048576 L1:L224 L226:L254 L293:L1048576 P293:P1048576 P1:P254 R1:R254 R293:R1048576 T1:T254 T293:T1048576 AB1:AB1048576 AJ2:AJ47 AJ49:AJ292 AJ297:AJ1048576" xr:uid="{51144EB3-A0AD-F14C-A6AA-52D95B3D1DA9}">
      <formula1>"0, 1, 2, 3"</formula1>
    </dataValidation>
    <dataValidation type="list" allowBlank="1" showInputMessage="1" showErrorMessage="1" sqref="E1:E187 E189:E1048576 AD1:AI1048576 BA1:BD1048576" xr:uid="{259E4B40-EDA4-FD4E-A4A4-23E8A76E02B8}">
      <formula1>"0, 1"</formula1>
    </dataValidation>
    <dataValidation type="list" allowBlank="1" showInputMessage="1" showErrorMessage="1" sqref="N293:N1048576 N1:N254" xr:uid="{9D237192-60BD-9A4C-9AA2-52DD9EFA6245}">
      <formula1>"0, 1, 2, 3, 4, 5"</formula1>
    </dataValidation>
    <dataValidation type="list" allowBlank="1" showInputMessage="1" showErrorMessage="1" sqref="X1:X1048576" xr:uid="{4713DA5A-BC99-C14A-B220-A990B3E31F84}">
      <formula1>"0, 1, 2, 3, nan"</formula1>
    </dataValidation>
    <dataValidation type="list" allowBlank="1" showInputMessage="1" showErrorMessage="1" sqref="Z1:Z1048576 AL1:AL1048576 AU1:AU1048576" xr:uid="{4AF5D524-619E-1442-959F-6D4ABEC81508}">
      <formula1>"0, 1, 2, 3, "</formula1>
    </dataValidation>
    <dataValidation type="list" allowBlank="1" showInputMessage="1" showErrorMessage="1" sqref="AW1:AW241 AW243:AW1048576" xr:uid="{E28B0502-3C1F-C54A-B024-4B214F64E853}">
      <formula1>"0, 1, 2,"</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2FB-954E-1143-B516-F48C4661EEBA}">
  <dimension ref="A1:BK1116"/>
  <sheetViews>
    <sheetView tabSelected="1" topLeftCell="BE1" zoomScale="150" workbookViewId="0">
      <selection activeCell="I10" sqref="I10"/>
    </sheetView>
  </sheetViews>
  <sheetFormatPr baseColWidth="10" defaultRowHeight="13" x14ac:dyDescent="0.15"/>
  <cols>
    <col min="1" max="1" width="15.33203125" style="91" customWidth="1"/>
    <col min="2" max="2" width="14.6640625" style="91" customWidth="1"/>
    <col min="3" max="3" width="13.33203125" style="91" customWidth="1"/>
    <col min="4" max="5" width="14.33203125" style="91" customWidth="1"/>
    <col min="6" max="6" width="23.83203125" style="22" hidden="1" customWidth="1"/>
    <col min="7" max="7" width="17.5" style="64" customWidth="1"/>
    <col min="8" max="8" width="17.83203125" style="22" hidden="1" customWidth="1"/>
    <col min="9" max="9" width="15.33203125" style="64" customWidth="1"/>
    <col min="10" max="10" width="24.5" style="22" hidden="1" customWidth="1"/>
    <col min="11" max="11" width="15.5" style="64" customWidth="1"/>
    <col min="12" max="12" width="22.1640625" style="22" hidden="1" customWidth="1"/>
    <col min="13" max="13" width="13.83203125" style="64" customWidth="1"/>
    <col min="14" max="14" width="20" style="22" hidden="1" customWidth="1"/>
    <col min="15" max="15" width="13.33203125" style="64" customWidth="1"/>
    <col min="16" max="16" width="22.1640625" style="22" hidden="1" customWidth="1"/>
    <col min="17" max="17" width="13" style="64" customWidth="1"/>
    <col min="18" max="18" width="24.1640625" style="27" hidden="1" customWidth="1"/>
    <col min="19" max="19" width="12.83203125" style="68" customWidth="1"/>
    <col min="20" max="20" width="21" style="22" hidden="1" customWidth="1"/>
    <col min="21" max="21" width="13.33203125" style="64" customWidth="1"/>
    <col min="22" max="22" width="25.33203125" style="22" hidden="1" customWidth="1"/>
    <col min="23" max="23" width="14" style="68" customWidth="1"/>
    <col min="24" max="24" width="26.6640625" style="22" hidden="1" customWidth="1"/>
    <col min="25" max="25" width="13.33203125" customWidth="1"/>
    <col min="26" max="26" width="21.33203125" style="22" hidden="1" customWidth="1"/>
    <col min="27" max="27" width="14.5" customWidth="1"/>
    <col min="28" max="28" width="17" style="22" hidden="1" customWidth="1"/>
    <col min="29" max="29" width="14" customWidth="1"/>
    <col min="30" max="35" width="10.1640625" style="91" customWidth="1"/>
    <col min="36" max="36" width="25.1640625" style="31" hidden="1" customWidth="1"/>
    <col min="37" max="37" width="14.5" customWidth="1"/>
    <col min="38" max="38" width="17.33203125" style="22" hidden="1" customWidth="1"/>
    <col min="39" max="39" width="14.1640625" customWidth="1"/>
    <col min="40" max="40" width="16" style="22" hidden="1" customWidth="1"/>
    <col min="41" max="41" width="14" customWidth="1"/>
    <col min="42" max="42" width="22.33203125" style="22" hidden="1" customWidth="1"/>
    <col min="43" max="43" width="16.1640625" customWidth="1"/>
    <col min="44" max="44" width="14.5" style="91" customWidth="1"/>
    <col min="45" max="45" width="20.33203125" style="22" hidden="1" customWidth="1"/>
    <col min="46" max="46" width="16.1640625" customWidth="1"/>
    <col min="47" max="47" width="17.5" style="22" hidden="1" customWidth="1"/>
    <col min="48" max="48" width="12.1640625" customWidth="1"/>
    <col min="49" max="49" width="17.1640625" style="22" hidden="1" customWidth="1"/>
    <col min="50" max="50" width="13.83203125" customWidth="1"/>
    <col min="51" max="51" width="23.5" style="22" hidden="1" customWidth="1"/>
    <col min="52" max="52" width="16" customWidth="1"/>
    <col min="53" max="56" width="16.83203125" style="91" customWidth="1"/>
    <col min="57" max="57" width="21.5" style="102" customWidth="1"/>
    <col min="58" max="58" width="29.6640625" style="81" customWidth="1"/>
    <col min="59" max="59" width="20.83203125" style="81" customWidth="1"/>
    <col min="63" max="63" width="23.33203125" style="81" customWidth="1"/>
  </cols>
  <sheetData>
    <row r="1" spans="1:63" ht="15" thickBot="1" x14ac:dyDescent="0.2">
      <c r="A1" s="83" t="s">
        <v>273</v>
      </c>
      <c r="B1" s="83" t="s">
        <v>265</v>
      </c>
      <c r="C1" s="83" t="s">
        <v>267</v>
      </c>
      <c r="D1" s="83" t="s">
        <v>268</v>
      </c>
      <c r="E1" s="83" t="s">
        <v>266</v>
      </c>
      <c r="F1" s="49" t="s">
        <v>247</v>
      </c>
      <c r="G1" s="66" t="s">
        <v>347</v>
      </c>
      <c r="H1" s="49" t="s">
        <v>248</v>
      </c>
      <c r="I1" s="69" t="s">
        <v>344</v>
      </c>
      <c r="J1" s="49" t="s">
        <v>249</v>
      </c>
      <c r="K1" s="66" t="s">
        <v>345</v>
      </c>
      <c r="L1" s="49" t="s">
        <v>250</v>
      </c>
      <c r="M1" s="66" t="s">
        <v>346</v>
      </c>
      <c r="N1" s="49" t="s">
        <v>251</v>
      </c>
      <c r="O1" s="66" t="s">
        <v>348</v>
      </c>
      <c r="P1" s="49" t="s">
        <v>252</v>
      </c>
      <c r="Q1" s="66" t="s">
        <v>349</v>
      </c>
      <c r="R1" s="49" t="s">
        <v>253</v>
      </c>
      <c r="S1" s="66" t="s">
        <v>350</v>
      </c>
      <c r="T1" s="49" t="s">
        <v>254</v>
      </c>
      <c r="U1" s="66" t="s">
        <v>351</v>
      </c>
      <c r="V1" s="49" t="s">
        <v>255</v>
      </c>
      <c r="W1" s="66" t="s">
        <v>352</v>
      </c>
      <c r="X1" s="49" t="s">
        <v>256</v>
      </c>
      <c r="Y1" s="66" t="s">
        <v>353</v>
      </c>
      <c r="Z1" s="49" t="s">
        <v>257</v>
      </c>
      <c r="AA1" s="66" t="s">
        <v>354</v>
      </c>
      <c r="AB1" s="49" t="s">
        <v>258</v>
      </c>
      <c r="AC1" s="66" t="s">
        <v>355</v>
      </c>
      <c r="AD1" s="83" t="s">
        <v>259</v>
      </c>
      <c r="AE1" s="83" t="s">
        <v>260</v>
      </c>
      <c r="AF1" s="83" t="s">
        <v>261</v>
      </c>
      <c r="AG1" s="83" t="s">
        <v>262</v>
      </c>
      <c r="AH1" s="83" t="s">
        <v>263</v>
      </c>
      <c r="AI1" s="83" t="s">
        <v>264</v>
      </c>
      <c r="AJ1" s="49" t="s">
        <v>269</v>
      </c>
      <c r="AK1" s="65" t="s">
        <v>356</v>
      </c>
      <c r="AL1" s="49" t="s">
        <v>270</v>
      </c>
      <c r="AM1" s="65" t="s">
        <v>357</v>
      </c>
      <c r="AN1" s="49"/>
      <c r="AO1" s="65" t="s">
        <v>358</v>
      </c>
      <c r="AP1" s="49" t="s">
        <v>272</v>
      </c>
      <c r="AQ1" s="65" t="s">
        <v>359</v>
      </c>
      <c r="AR1" s="92" t="s">
        <v>348</v>
      </c>
      <c r="AS1" s="49" t="s">
        <v>275</v>
      </c>
      <c r="AT1" s="72" t="s">
        <v>360</v>
      </c>
      <c r="AU1" s="49" t="s">
        <v>276</v>
      </c>
      <c r="AV1" s="72" t="s">
        <v>361</v>
      </c>
      <c r="AW1" s="49" t="s">
        <v>277</v>
      </c>
      <c r="AX1" s="72" t="s">
        <v>362</v>
      </c>
      <c r="AY1" s="49" t="s">
        <v>278</v>
      </c>
      <c r="AZ1" s="72" t="s">
        <v>363</v>
      </c>
      <c r="BA1" s="83" t="s">
        <v>279</v>
      </c>
      <c r="BB1" s="83" t="s">
        <v>280</v>
      </c>
      <c r="BC1" s="92" t="s">
        <v>281</v>
      </c>
      <c r="BD1" s="92" t="s">
        <v>282</v>
      </c>
      <c r="BE1" s="101" t="s">
        <v>368</v>
      </c>
      <c r="BF1" s="101" t="s">
        <v>369</v>
      </c>
      <c r="BG1" s="101" t="s">
        <v>370</v>
      </c>
      <c r="BH1" s="103" t="s">
        <v>371</v>
      </c>
      <c r="BI1" s="103" t="s">
        <v>372</v>
      </c>
      <c r="BJ1" s="103" t="s">
        <v>373</v>
      </c>
      <c r="BK1" s="103" t="s">
        <v>374</v>
      </c>
    </row>
    <row r="2" spans="1:63" ht="14" thickTop="1" x14ac:dyDescent="0.15">
      <c r="A2" s="84">
        <v>5</v>
      </c>
      <c r="B2" s="84">
        <v>1</v>
      </c>
      <c r="C2" s="84">
        <v>1</v>
      </c>
      <c r="D2" s="84">
        <v>2</v>
      </c>
      <c r="E2" s="84">
        <v>1</v>
      </c>
      <c r="F2" s="17">
        <v>2</v>
      </c>
      <c r="G2" s="64">
        <f t="shared" ref="G2:G65" si="0">F2/2</f>
        <v>1</v>
      </c>
      <c r="H2" s="17">
        <v>2</v>
      </c>
      <c r="I2" s="64">
        <f>H2/2</f>
        <v>1</v>
      </c>
      <c r="J2" s="17">
        <v>2</v>
      </c>
      <c r="K2" s="64">
        <f>J2/2</f>
        <v>1</v>
      </c>
      <c r="L2" s="17">
        <v>3</v>
      </c>
      <c r="M2" s="64">
        <f>L2/3</f>
        <v>1</v>
      </c>
      <c r="N2" s="17">
        <v>1</v>
      </c>
      <c r="O2" s="64">
        <f>N2/5</f>
        <v>0.2</v>
      </c>
      <c r="P2" s="17">
        <v>2</v>
      </c>
      <c r="Q2" s="64">
        <f>P2/3</f>
        <v>0.66666666666666663</v>
      </c>
      <c r="R2" s="23">
        <v>3</v>
      </c>
      <c r="S2" s="71">
        <f>R2/3</f>
        <v>1</v>
      </c>
      <c r="T2" s="17">
        <v>3</v>
      </c>
      <c r="U2" s="64">
        <f>T2/3</f>
        <v>1</v>
      </c>
      <c r="V2" s="17">
        <v>4</v>
      </c>
      <c r="W2" s="71">
        <f>V2/4</f>
        <v>1</v>
      </c>
      <c r="X2" s="17">
        <v>1</v>
      </c>
      <c r="Y2" s="71">
        <f>X2/3</f>
        <v>0.33333333333333331</v>
      </c>
      <c r="Z2" s="17">
        <v>3</v>
      </c>
      <c r="AA2" s="71">
        <f>Z2/3</f>
        <v>1</v>
      </c>
      <c r="AB2" s="17">
        <v>0</v>
      </c>
      <c r="AC2" s="71">
        <f>AB2/2</f>
        <v>0</v>
      </c>
      <c r="AD2" s="84">
        <v>1</v>
      </c>
      <c r="AE2" s="84">
        <v>0</v>
      </c>
      <c r="AF2" s="84">
        <v>1</v>
      </c>
      <c r="AG2" s="84">
        <v>0</v>
      </c>
      <c r="AH2" s="84">
        <v>0</v>
      </c>
      <c r="AI2" s="84">
        <v>0</v>
      </c>
      <c r="AJ2" s="20">
        <v>2</v>
      </c>
      <c r="AK2" s="71">
        <f>AJ2/2</f>
        <v>1</v>
      </c>
      <c r="AL2" s="17">
        <v>2</v>
      </c>
      <c r="AM2" s="71">
        <f>AL2/3</f>
        <v>0.66666666666666663</v>
      </c>
      <c r="AN2" s="17">
        <v>1</v>
      </c>
      <c r="AO2" s="71">
        <f>AN2/3</f>
        <v>0.33333333333333331</v>
      </c>
      <c r="AP2" s="17">
        <v>3</v>
      </c>
      <c r="AQ2" s="71">
        <f>AP2/3</f>
        <v>1</v>
      </c>
      <c r="AR2" s="84">
        <v>2</v>
      </c>
      <c r="AS2" s="17">
        <v>3</v>
      </c>
      <c r="AT2" s="71">
        <f>AS2/3</f>
        <v>1</v>
      </c>
      <c r="AU2" s="17">
        <v>3</v>
      </c>
      <c r="AV2" s="71">
        <f>AU2/3</f>
        <v>1</v>
      </c>
      <c r="AW2" s="17">
        <v>2</v>
      </c>
      <c r="AX2" s="71">
        <f>AW2/2</f>
        <v>1</v>
      </c>
      <c r="AY2" s="17">
        <v>3</v>
      </c>
      <c r="AZ2" s="71">
        <f>AY2/3</f>
        <v>1</v>
      </c>
      <c r="BA2" s="93">
        <v>1</v>
      </c>
      <c r="BB2" s="93">
        <v>0</v>
      </c>
      <c r="BC2" s="93">
        <v>1</v>
      </c>
      <c r="BD2" s="93">
        <v>0</v>
      </c>
      <c r="BE2" s="102">
        <f>SQRT((1-G2)^2 + (1-I2)^2 + (1-K2)^2 + (1-M2)^2 + (1-O2)^2 + (1-Q2)^2 + (1-S2)^2 + (1-U2)^2 + (1-W2)^2 + (1-Y2)^2 + (1-AA2)^2 + (1-AC2)^2 + (1-AK2)^2 + (1-AM2)^2 + (1-AO2)^2 + (1-AQ2)^2 + (1-AT2)^2 + (1-AV2)^2 + (1-AX2)^2 + (1-AZ2)^2)</f>
        <v>1.6586473739499641</v>
      </c>
      <c r="BF2" s="81">
        <f>1 - (BE2 / 4.472135955)</f>
        <v>0.62911517211467149</v>
      </c>
      <c r="BG2" s="81" t="str">
        <f>IF(BF2&lt;=0.33, "BASSO", IF(BF2&lt;=0.66, "MEDIO", "ALTO"))</f>
        <v>MEDIO</v>
      </c>
      <c r="BH2">
        <f>QUARTILE(BF2:BF296,1)</f>
        <v>0.38314200213765859</v>
      </c>
      <c r="BI2">
        <f>QUARTILE(BF2:BF296,2)</f>
        <v>0.48590694746318841</v>
      </c>
      <c r="BJ2">
        <f>QUARTILE(BF2:BF296,3)</f>
        <v>0.57798433543402028</v>
      </c>
      <c r="BK2" s="81" t="str">
        <f>IF(BF2&lt;0.3,"MOLTO BASSO",IF(BF2&lt;0.45,"BASSO",IF(BF2&lt;0.65,"MEDIO",IF(BF2&lt;0.8,"ALTO","MOLTO ALTO"))))</f>
        <v>MEDIO</v>
      </c>
    </row>
    <row r="3" spans="1:63" x14ac:dyDescent="0.15">
      <c r="A3" s="85">
        <v>2</v>
      </c>
      <c r="B3" s="85">
        <v>1</v>
      </c>
      <c r="C3" s="85">
        <v>3</v>
      </c>
      <c r="D3" s="85">
        <v>2</v>
      </c>
      <c r="E3" s="85">
        <v>1</v>
      </c>
      <c r="F3" s="18">
        <v>1</v>
      </c>
      <c r="G3" s="64">
        <f t="shared" si="0"/>
        <v>0.5</v>
      </c>
      <c r="H3" s="18">
        <v>2</v>
      </c>
      <c r="I3" s="64">
        <f t="shared" ref="I3:I66" si="1">H3/2</f>
        <v>1</v>
      </c>
      <c r="J3" s="18">
        <v>1</v>
      </c>
      <c r="K3" s="64">
        <f t="shared" ref="K3:K66" si="2">J3/2</f>
        <v>0.5</v>
      </c>
      <c r="L3" s="18">
        <v>2</v>
      </c>
      <c r="M3" s="64">
        <f t="shared" ref="M3:M66" si="3">L3/3</f>
        <v>0.66666666666666663</v>
      </c>
      <c r="N3" s="18">
        <v>3</v>
      </c>
      <c r="O3" s="64">
        <f t="shared" ref="O3:O66" si="4">N3/5</f>
        <v>0.6</v>
      </c>
      <c r="P3" s="18">
        <v>2</v>
      </c>
      <c r="Q3" s="64">
        <f t="shared" ref="Q3:Q66" si="5">P3/3</f>
        <v>0.66666666666666663</v>
      </c>
      <c r="R3" s="24">
        <v>3</v>
      </c>
      <c r="S3" s="71">
        <f t="shared" ref="S3:S66" si="6">R3/3</f>
        <v>1</v>
      </c>
      <c r="T3" s="18">
        <v>3</v>
      </c>
      <c r="U3" s="64">
        <f t="shared" ref="U3:U66" si="7">T3/3</f>
        <v>1</v>
      </c>
      <c r="V3" s="18">
        <v>3</v>
      </c>
      <c r="W3" s="71">
        <f t="shared" ref="W3:W66" si="8">V3/4</f>
        <v>0.75</v>
      </c>
      <c r="X3" s="18">
        <v>1</v>
      </c>
      <c r="Y3" s="71">
        <f t="shared" ref="Y3:Y66" si="9">X3/3</f>
        <v>0.33333333333333331</v>
      </c>
      <c r="Z3" s="18">
        <v>1</v>
      </c>
      <c r="AA3" s="71">
        <f t="shared" ref="AA3:AA66" si="10">Z3/3</f>
        <v>0.33333333333333331</v>
      </c>
      <c r="AB3" s="18">
        <v>2</v>
      </c>
      <c r="AC3" s="71">
        <f t="shared" ref="AC3:AC66" si="11">AB3/2</f>
        <v>1</v>
      </c>
      <c r="AD3" s="85">
        <v>1</v>
      </c>
      <c r="AE3" s="85">
        <v>0</v>
      </c>
      <c r="AF3" s="85">
        <v>1</v>
      </c>
      <c r="AG3" s="85">
        <v>0</v>
      </c>
      <c r="AH3" s="85">
        <v>0</v>
      </c>
      <c r="AI3" s="85">
        <v>1</v>
      </c>
      <c r="AJ3" s="19">
        <v>2</v>
      </c>
      <c r="AK3" s="71">
        <f t="shared" ref="AK3:AK66" si="12">AJ3/2</f>
        <v>1</v>
      </c>
      <c r="AL3" s="18">
        <v>3</v>
      </c>
      <c r="AM3" s="71">
        <f t="shared" ref="AM3:AM66" si="13">AL3/3</f>
        <v>1</v>
      </c>
      <c r="AN3" s="18">
        <v>1</v>
      </c>
      <c r="AO3" s="71">
        <f t="shared" ref="AO3:AO66" si="14">AN3/3</f>
        <v>0.33333333333333331</v>
      </c>
      <c r="AP3" s="18">
        <v>2</v>
      </c>
      <c r="AQ3" s="71">
        <f t="shared" ref="AQ3:AQ66" si="15">AP3/3</f>
        <v>0.66666666666666663</v>
      </c>
      <c r="AR3" s="85">
        <v>1</v>
      </c>
      <c r="AS3" s="18">
        <v>2</v>
      </c>
      <c r="AT3" s="71">
        <f t="shared" ref="AT3:AT66" si="16">AS3/3</f>
        <v>0.66666666666666663</v>
      </c>
      <c r="AU3" s="18">
        <v>3</v>
      </c>
      <c r="AV3" s="71">
        <f t="shared" ref="AV3:AV66" si="17">AU3/3</f>
        <v>1</v>
      </c>
      <c r="AW3" s="18">
        <v>2</v>
      </c>
      <c r="AX3" s="71">
        <f t="shared" ref="AX3:AX66" si="18">AW3/2</f>
        <v>1</v>
      </c>
      <c r="AY3" s="18">
        <v>3</v>
      </c>
      <c r="AZ3" s="71">
        <f t="shared" ref="AZ3:AZ66" si="19">AY3/3</f>
        <v>1</v>
      </c>
      <c r="BA3" s="94">
        <v>1</v>
      </c>
      <c r="BB3" s="94">
        <v>1</v>
      </c>
      <c r="BC3" s="94">
        <v>0</v>
      </c>
      <c r="BD3" s="94">
        <v>0</v>
      </c>
      <c r="BE3" s="102">
        <f t="shared" ref="BE3:BE66" si="20">SQRT((1-G3)^2 + (1-I3)^2 + (1-K3)^2 + (1-M3)^2 + (1-O3)^2 + (1-Q3)^2 + (1-S3)^2 + (1-U3)^2 + (1-W3)^2 + (1-Y3)^2 + (1-AA3)^2 + (1-AC3)^2 + (1-AK3)^2 + (1-AM3)^2 + (1-AO3)^2 + (1-AQ3)^2 + (1-AT3)^2 + (1-AV3)^2 + (1-AX3)^2 + (1-AZ3)^2)</f>
        <v>1.5812266686904122</v>
      </c>
      <c r="BF3" s="81">
        <f t="shared" ref="BF3:BF66" si="21">1 - (BE3 / 4.472135955)</f>
        <v>0.64642696809730316</v>
      </c>
      <c r="BG3" s="81" t="str">
        <f t="shared" ref="BG3:BG66" si="22">IF(BF3&lt;=0.33, "BASSO", IF(BF3&lt;=0.66, "MEDIO", "ALTO"))</f>
        <v>MEDIO</v>
      </c>
      <c r="BK3" s="81" t="str">
        <f t="shared" ref="BK3:BK66" si="23">IF(BF3&lt;0.3,"MOLTO BASSO",IF(BF3&lt;0.45,"BASSO",IF(BF3&lt;0.65,"MEDIO",IF(BF3&lt;0.8,"ALTO","MOLTO ALTO"))))</f>
        <v>MEDIO</v>
      </c>
    </row>
    <row r="4" spans="1:63" x14ac:dyDescent="0.15">
      <c r="A4" s="84">
        <v>2</v>
      </c>
      <c r="B4" s="84">
        <v>1</v>
      </c>
      <c r="C4" s="84">
        <v>1</v>
      </c>
      <c r="D4" s="84">
        <v>2</v>
      </c>
      <c r="E4" s="84">
        <v>1</v>
      </c>
      <c r="F4" s="17">
        <v>1</v>
      </c>
      <c r="G4" s="64">
        <f t="shared" si="0"/>
        <v>0.5</v>
      </c>
      <c r="H4" s="17">
        <v>0</v>
      </c>
      <c r="I4" s="64">
        <f t="shared" si="1"/>
        <v>0</v>
      </c>
      <c r="J4" s="17">
        <v>2</v>
      </c>
      <c r="K4" s="64">
        <f t="shared" si="2"/>
        <v>1</v>
      </c>
      <c r="L4" s="17">
        <v>1</v>
      </c>
      <c r="M4" s="64">
        <f t="shared" si="3"/>
        <v>0.33333333333333331</v>
      </c>
      <c r="N4" s="17">
        <v>0</v>
      </c>
      <c r="O4" s="64">
        <f t="shared" si="4"/>
        <v>0</v>
      </c>
      <c r="P4" s="17">
        <v>2</v>
      </c>
      <c r="Q4" s="64">
        <f t="shared" si="5"/>
        <v>0.66666666666666663</v>
      </c>
      <c r="R4" s="25">
        <v>2</v>
      </c>
      <c r="S4" s="71">
        <f t="shared" si="6"/>
        <v>0.66666666666666663</v>
      </c>
      <c r="T4" s="17">
        <v>2</v>
      </c>
      <c r="U4" s="64">
        <f t="shared" si="7"/>
        <v>0.66666666666666663</v>
      </c>
      <c r="V4" s="17">
        <v>3</v>
      </c>
      <c r="W4" s="71">
        <f t="shared" si="8"/>
        <v>0.75</v>
      </c>
      <c r="X4" s="17">
        <v>1</v>
      </c>
      <c r="Y4" s="71">
        <f t="shared" si="9"/>
        <v>0.33333333333333331</v>
      </c>
      <c r="Z4" s="17">
        <v>0</v>
      </c>
      <c r="AA4" s="71">
        <f t="shared" si="10"/>
        <v>0</v>
      </c>
      <c r="AB4" s="17">
        <v>2</v>
      </c>
      <c r="AC4" s="71">
        <f t="shared" si="11"/>
        <v>1</v>
      </c>
      <c r="AD4" s="84">
        <v>1</v>
      </c>
      <c r="AE4" s="84">
        <v>0</v>
      </c>
      <c r="AF4" s="84">
        <v>0</v>
      </c>
      <c r="AG4" s="84">
        <v>1</v>
      </c>
      <c r="AH4" s="84">
        <v>0</v>
      </c>
      <c r="AI4" s="84">
        <v>0</v>
      </c>
      <c r="AJ4" s="20">
        <v>1</v>
      </c>
      <c r="AK4" s="71">
        <f t="shared" si="12"/>
        <v>0.5</v>
      </c>
      <c r="AL4" s="17">
        <v>2</v>
      </c>
      <c r="AM4" s="71">
        <f t="shared" si="13"/>
        <v>0.66666666666666663</v>
      </c>
      <c r="AN4" s="17">
        <v>1</v>
      </c>
      <c r="AO4" s="71">
        <f t="shared" si="14"/>
        <v>0.33333333333333331</v>
      </c>
      <c r="AP4" s="17">
        <v>2</v>
      </c>
      <c r="AQ4" s="71">
        <f t="shared" si="15"/>
        <v>0.66666666666666663</v>
      </c>
      <c r="AR4" s="84">
        <v>1</v>
      </c>
      <c r="AS4" s="17">
        <v>3</v>
      </c>
      <c r="AT4" s="71">
        <f t="shared" si="16"/>
        <v>1</v>
      </c>
      <c r="AU4" s="17">
        <v>2</v>
      </c>
      <c r="AV4" s="71">
        <f t="shared" si="17"/>
        <v>0.66666666666666663</v>
      </c>
      <c r="AW4" s="17">
        <v>1</v>
      </c>
      <c r="AX4" s="71">
        <f t="shared" si="18"/>
        <v>0.5</v>
      </c>
      <c r="AY4" s="17">
        <v>2</v>
      </c>
      <c r="AZ4" s="71">
        <f t="shared" si="19"/>
        <v>0.66666666666666663</v>
      </c>
      <c r="BA4" s="93">
        <v>1</v>
      </c>
      <c r="BB4" s="93">
        <v>0</v>
      </c>
      <c r="BC4" s="93">
        <v>1</v>
      </c>
      <c r="BD4" s="93">
        <v>0</v>
      </c>
      <c r="BE4" s="102">
        <f t="shared" si="20"/>
        <v>2.4338469777517053</v>
      </c>
      <c r="BF4" s="81">
        <f t="shared" si="21"/>
        <v>0.45577527109152804</v>
      </c>
      <c r="BG4" s="81" t="str">
        <f t="shared" si="22"/>
        <v>MEDIO</v>
      </c>
      <c r="BK4" s="81" t="str">
        <f t="shared" si="23"/>
        <v>MEDIO</v>
      </c>
    </row>
    <row r="5" spans="1:63" x14ac:dyDescent="0.15">
      <c r="A5" s="85">
        <v>5</v>
      </c>
      <c r="B5" s="85">
        <v>1</v>
      </c>
      <c r="C5" s="85">
        <v>1</v>
      </c>
      <c r="D5" s="85">
        <v>2</v>
      </c>
      <c r="E5" s="85">
        <v>1</v>
      </c>
      <c r="F5" s="18">
        <v>2</v>
      </c>
      <c r="G5" s="64">
        <f t="shared" si="0"/>
        <v>1</v>
      </c>
      <c r="H5" s="18">
        <v>2</v>
      </c>
      <c r="I5" s="64">
        <f t="shared" si="1"/>
        <v>1</v>
      </c>
      <c r="J5" s="18">
        <v>1</v>
      </c>
      <c r="K5" s="64">
        <f t="shared" si="2"/>
        <v>0.5</v>
      </c>
      <c r="L5" s="18">
        <v>3</v>
      </c>
      <c r="M5" s="64">
        <f t="shared" si="3"/>
        <v>1</v>
      </c>
      <c r="N5" s="18">
        <v>0</v>
      </c>
      <c r="O5" s="64">
        <f t="shared" si="4"/>
        <v>0</v>
      </c>
      <c r="P5" s="18">
        <v>2</v>
      </c>
      <c r="Q5" s="64">
        <f t="shared" si="5"/>
        <v>0.66666666666666663</v>
      </c>
      <c r="R5" s="24">
        <v>3</v>
      </c>
      <c r="S5" s="71">
        <f t="shared" si="6"/>
        <v>1</v>
      </c>
      <c r="T5" s="18">
        <v>3</v>
      </c>
      <c r="U5" s="64">
        <f t="shared" si="7"/>
        <v>1</v>
      </c>
      <c r="V5" s="18">
        <v>3</v>
      </c>
      <c r="W5" s="71">
        <f t="shared" si="8"/>
        <v>0.75</v>
      </c>
      <c r="X5" s="18">
        <v>0</v>
      </c>
      <c r="Y5" s="71">
        <f t="shared" si="9"/>
        <v>0</v>
      </c>
      <c r="Z5" s="18">
        <v>3</v>
      </c>
      <c r="AA5" s="71">
        <f t="shared" si="10"/>
        <v>1</v>
      </c>
      <c r="AB5" s="18">
        <v>0</v>
      </c>
      <c r="AC5" s="71">
        <f t="shared" si="11"/>
        <v>0</v>
      </c>
      <c r="AD5" s="85">
        <v>1</v>
      </c>
      <c r="AE5" s="85">
        <v>1</v>
      </c>
      <c r="AF5" s="85">
        <v>0</v>
      </c>
      <c r="AG5" s="85">
        <v>0</v>
      </c>
      <c r="AH5" s="85">
        <v>0</v>
      </c>
      <c r="AI5" s="85">
        <v>0</v>
      </c>
      <c r="AJ5" s="19">
        <v>1</v>
      </c>
      <c r="AK5" s="71">
        <f t="shared" si="12"/>
        <v>0.5</v>
      </c>
      <c r="AL5" s="18">
        <v>2</v>
      </c>
      <c r="AM5" s="71">
        <f t="shared" si="13"/>
        <v>0.66666666666666663</v>
      </c>
      <c r="AN5" s="18">
        <v>1</v>
      </c>
      <c r="AO5" s="71">
        <f t="shared" si="14"/>
        <v>0.33333333333333331</v>
      </c>
      <c r="AP5" s="18">
        <v>2</v>
      </c>
      <c r="AQ5" s="71">
        <f t="shared" si="15"/>
        <v>0.66666666666666663</v>
      </c>
      <c r="AR5" s="85">
        <v>2</v>
      </c>
      <c r="AS5" s="18">
        <v>3</v>
      </c>
      <c r="AT5" s="71">
        <f t="shared" si="16"/>
        <v>1</v>
      </c>
      <c r="AU5" s="18">
        <v>3</v>
      </c>
      <c r="AV5" s="71">
        <f t="shared" si="17"/>
        <v>1</v>
      </c>
      <c r="AW5" s="18">
        <v>1</v>
      </c>
      <c r="AX5" s="71">
        <f t="shared" si="18"/>
        <v>0.5</v>
      </c>
      <c r="AY5" s="18">
        <v>3</v>
      </c>
      <c r="AZ5" s="71">
        <f t="shared" si="19"/>
        <v>1</v>
      </c>
      <c r="BA5" s="94">
        <v>1</v>
      </c>
      <c r="BB5" s="94">
        <v>1</v>
      </c>
      <c r="BC5" s="94">
        <v>0</v>
      </c>
      <c r="BD5" s="94">
        <v>0</v>
      </c>
      <c r="BE5" s="102">
        <f t="shared" si="20"/>
        <v>2.1424933553637402</v>
      </c>
      <c r="BF5" s="81">
        <f t="shared" si="21"/>
        <v>0.52092392160655132</v>
      </c>
      <c r="BG5" s="81" t="str">
        <f t="shared" si="22"/>
        <v>MEDIO</v>
      </c>
      <c r="BK5" s="81" t="str">
        <f t="shared" si="23"/>
        <v>MEDIO</v>
      </c>
    </row>
    <row r="6" spans="1:63" x14ac:dyDescent="0.15">
      <c r="A6" s="84">
        <v>2</v>
      </c>
      <c r="B6" s="84">
        <v>1</v>
      </c>
      <c r="C6" s="84">
        <v>1</v>
      </c>
      <c r="D6" s="84">
        <v>2</v>
      </c>
      <c r="E6" s="85">
        <v>1</v>
      </c>
      <c r="F6" s="17">
        <v>1</v>
      </c>
      <c r="G6" s="64">
        <f t="shared" si="0"/>
        <v>0.5</v>
      </c>
      <c r="H6" s="17">
        <v>0</v>
      </c>
      <c r="I6" s="64">
        <f t="shared" si="1"/>
        <v>0</v>
      </c>
      <c r="J6" s="17">
        <v>2</v>
      </c>
      <c r="K6" s="64">
        <f t="shared" si="2"/>
        <v>1</v>
      </c>
      <c r="L6" s="17">
        <v>1</v>
      </c>
      <c r="M6" s="64">
        <f t="shared" si="3"/>
        <v>0.33333333333333331</v>
      </c>
      <c r="N6" s="17">
        <v>2</v>
      </c>
      <c r="O6" s="64">
        <f t="shared" si="4"/>
        <v>0.4</v>
      </c>
      <c r="P6" s="17">
        <v>0</v>
      </c>
      <c r="Q6" s="64">
        <f t="shared" si="5"/>
        <v>0</v>
      </c>
      <c r="R6" s="25">
        <v>0</v>
      </c>
      <c r="S6" s="71">
        <f t="shared" si="6"/>
        <v>0</v>
      </c>
      <c r="T6" s="17">
        <v>3</v>
      </c>
      <c r="U6" s="64">
        <f t="shared" si="7"/>
        <v>1</v>
      </c>
      <c r="V6" s="17">
        <v>3</v>
      </c>
      <c r="W6" s="71">
        <f t="shared" si="8"/>
        <v>0.75</v>
      </c>
      <c r="X6" s="17">
        <v>3</v>
      </c>
      <c r="Y6" s="71">
        <f t="shared" si="9"/>
        <v>1</v>
      </c>
      <c r="Z6" s="17">
        <v>3</v>
      </c>
      <c r="AA6" s="71">
        <f t="shared" si="10"/>
        <v>1</v>
      </c>
      <c r="AB6" s="17">
        <v>1</v>
      </c>
      <c r="AC6" s="71">
        <f t="shared" si="11"/>
        <v>0.5</v>
      </c>
      <c r="AD6" s="84">
        <v>1</v>
      </c>
      <c r="AE6" s="84">
        <v>0</v>
      </c>
      <c r="AF6" s="84">
        <v>1</v>
      </c>
      <c r="AG6" s="84">
        <v>0</v>
      </c>
      <c r="AH6" s="84">
        <v>0</v>
      </c>
      <c r="AI6" s="84">
        <v>0</v>
      </c>
      <c r="AJ6" s="20">
        <v>1</v>
      </c>
      <c r="AK6" s="71">
        <f t="shared" si="12"/>
        <v>0.5</v>
      </c>
      <c r="AL6" s="17">
        <v>3</v>
      </c>
      <c r="AM6" s="71">
        <f t="shared" si="13"/>
        <v>1</v>
      </c>
      <c r="AN6" s="17">
        <v>0</v>
      </c>
      <c r="AO6" s="71">
        <f t="shared" si="14"/>
        <v>0</v>
      </c>
      <c r="AP6" s="17">
        <v>3</v>
      </c>
      <c r="AQ6" s="71">
        <f t="shared" si="15"/>
        <v>1</v>
      </c>
      <c r="AR6" s="84">
        <v>0</v>
      </c>
      <c r="AS6" s="17">
        <v>3</v>
      </c>
      <c r="AT6" s="71">
        <f t="shared" si="16"/>
        <v>1</v>
      </c>
      <c r="AU6" s="17">
        <v>3</v>
      </c>
      <c r="AV6" s="71">
        <f t="shared" si="17"/>
        <v>1</v>
      </c>
      <c r="AW6" s="17">
        <v>2</v>
      </c>
      <c r="AX6" s="71">
        <f t="shared" si="18"/>
        <v>1</v>
      </c>
      <c r="AY6" s="17">
        <v>0</v>
      </c>
      <c r="AZ6" s="71">
        <f t="shared" si="19"/>
        <v>0</v>
      </c>
      <c r="BA6" s="93">
        <v>1</v>
      </c>
      <c r="BB6" s="93">
        <v>0</v>
      </c>
      <c r="BC6" s="93">
        <v>1</v>
      </c>
      <c r="BD6" s="93">
        <v>0</v>
      </c>
      <c r="BE6" s="102">
        <f t="shared" si="20"/>
        <v>2.5723422098244324</v>
      </c>
      <c r="BF6" s="81">
        <f t="shared" si="21"/>
        <v>0.42480679574410829</v>
      </c>
      <c r="BG6" s="81" t="str">
        <f t="shared" si="22"/>
        <v>MEDIO</v>
      </c>
      <c r="BK6" s="81" t="str">
        <f t="shared" si="23"/>
        <v>BASSO</v>
      </c>
    </row>
    <row r="7" spans="1:63" x14ac:dyDescent="0.15">
      <c r="A7" s="85">
        <v>3</v>
      </c>
      <c r="B7" s="85">
        <v>2</v>
      </c>
      <c r="C7" s="85">
        <v>3</v>
      </c>
      <c r="D7" s="85">
        <v>2</v>
      </c>
      <c r="E7" s="85">
        <v>1</v>
      </c>
      <c r="F7" s="18">
        <v>1</v>
      </c>
      <c r="G7" s="64">
        <f t="shared" si="0"/>
        <v>0.5</v>
      </c>
      <c r="H7" s="18">
        <v>1</v>
      </c>
      <c r="I7" s="64">
        <f t="shared" si="1"/>
        <v>0.5</v>
      </c>
      <c r="J7" s="18">
        <v>1</v>
      </c>
      <c r="K7" s="64">
        <f t="shared" si="2"/>
        <v>0.5</v>
      </c>
      <c r="L7" s="18">
        <v>1</v>
      </c>
      <c r="M7" s="64">
        <f t="shared" si="3"/>
        <v>0.33333333333333331</v>
      </c>
      <c r="N7" s="18">
        <v>4</v>
      </c>
      <c r="O7" s="64">
        <f t="shared" si="4"/>
        <v>0.8</v>
      </c>
      <c r="P7" s="18">
        <v>3</v>
      </c>
      <c r="Q7" s="64">
        <f t="shared" si="5"/>
        <v>1</v>
      </c>
      <c r="R7" s="24">
        <v>2</v>
      </c>
      <c r="S7" s="71">
        <f t="shared" si="6"/>
        <v>0.66666666666666663</v>
      </c>
      <c r="T7" s="18">
        <v>2</v>
      </c>
      <c r="U7" s="64">
        <f t="shared" si="7"/>
        <v>0.66666666666666663</v>
      </c>
      <c r="V7" s="18">
        <v>3</v>
      </c>
      <c r="W7" s="71">
        <f t="shared" si="8"/>
        <v>0.75</v>
      </c>
      <c r="X7" s="18">
        <v>1</v>
      </c>
      <c r="Y7" s="71">
        <f t="shared" si="9"/>
        <v>0.33333333333333331</v>
      </c>
      <c r="Z7" s="18">
        <v>1</v>
      </c>
      <c r="AA7" s="71">
        <f t="shared" si="10"/>
        <v>0.33333333333333331</v>
      </c>
      <c r="AB7" s="18">
        <v>2</v>
      </c>
      <c r="AC7" s="71">
        <f t="shared" si="11"/>
        <v>1</v>
      </c>
      <c r="AD7" s="85">
        <v>0</v>
      </c>
      <c r="AE7" s="85">
        <v>0</v>
      </c>
      <c r="AF7" s="85">
        <v>1</v>
      </c>
      <c r="AG7" s="85">
        <v>1</v>
      </c>
      <c r="AH7" s="85">
        <v>0</v>
      </c>
      <c r="AI7" s="85">
        <v>0</v>
      </c>
      <c r="AJ7" s="19">
        <v>0</v>
      </c>
      <c r="AK7" s="71">
        <f t="shared" si="12"/>
        <v>0</v>
      </c>
      <c r="AL7" s="18">
        <v>3</v>
      </c>
      <c r="AM7" s="71">
        <f t="shared" si="13"/>
        <v>1</v>
      </c>
      <c r="AN7" s="18">
        <v>0</v>
      </c>
      <c r="AO7" s="71">
        <f t="shared" si="14"/>
        <v>0</v>
      </c>
      <c r="AP7" s="18">
        <v>2</v>
      </c>
      <c r="AQ7" s="71">
        <f t="shared" si="15"/>
        <v>0.66666666666666663</v>
      </c>
      <c r="AR7" s="85">
        <v>0</v>
      </c>
      <c r="AS7" s="18">
        <v>3</v>
      </c>
      <c r="AT7" s="71">
        <f t="shared" si="16"/>
        <v>1</v>
      </c>
      <c r="AU7" s="18">
        <v>3</v>
      </c>
      <c r="AV7" s="71">
        <f t="shared" si="17"/>
        <v>1</v>
      </c>
      <c r="AW7" s="18">
        <v>0</v>
      </c>
      <c r="AX7" s="71">
        <f t="shared" si="18"/>
        <v>0</v>
      </c>
      <c r="AY7" s="18">
        <v>0</v>
      </c>
      <c r="AZ7" s="71">
        <f t="shared" si="19"/>
        <v>0</v>
      </c>
      <c r="BA7" s="94">
        <v>1</v>
      </c>
      <c r="BB7" s="94">
        <v>0</v>
      </c>
      <c r="BC7" s="94">
        <v>1</v>
      </c>
      <c r="BD7" s="94">
        <v>0</v>
      </c>
      <c r="BE7" s="102">
        <f t="shared" si="20"/>
        <v>2.5532658824859324</v>
      </c>
      <c r="BF7" s="81">
        <f t="shared" si="21"/>
        <v>0.42907239221310023</v>
      </c>
      <c r="BG7" s="81" t="str">
        <f t="shared" si="22"/>
        <v>MEDIO</v>
      </c>
      <c r="BK7" s="81" t="str">
        <f t="shared" si="23"/>
        <v>BASSO</v>
      </c>
    </row>
    <row r="8" spans="1:63" x14ac:dyDescent="0.15">
      <c r="A8" s="84">
        <v>3</v>
      </c>
      <c r="B8" s="84">
        <v>2</v>
      </c>
      <c r="C8" s="84">
        <v>3</v>
      </c>
      <c r="D8" s="84">
        <v>2</v>
      </c>
      <c r="E8" s="85">
        <v>1</v>
      </c>
      <c r="F8" s="17">
        <v>2</v>
      </c>
      <c r="G8" s="64">
        <f t="shared" si="0"/>
        <v>1</v>
      </c>
      <c r="H8" s="17">
        <v>1</v>
      </c>
      <c r="I8" s="64">
        <f t="shared" si="1"/>
        <v>0.5</v>
      </c>
      <c r="J8" s="17">
        <v>1</v>
      </c>
      <c r="K8" s="64">
        <f t="shared" si="2"/>
        <v>0.5</v>
      </c>
      <c r="L8" s="17">
        <v>3</v>
      </c>
      <c r="M8" s="64">
        <f t="shared" si="3"/>
        <v>1</v>
      </c>
      <c r="N8" s="17">
        <v>1</v>
      </c>
      <c r="O8" s="64">
        <f t="shared" si="4"/>
        <v>0.2</v>
      </c>
      <c r="P8" s="17">
        <v>3</v>
      </c>
      <c r="Q8" s="64">
        <f t="shared" si="5"/>
        <v>1</v>
      </c>
      <c r="R8" s="25">
        <v>3</v>
      </c>
      <c r="S8" s="71">
        <f t="shared" si="6"/>
        <v>1</v>
      </c>
      <c r="T8" s="17">
        <v>3</v>
      </c>
      <c r="U8" s="64">
        <f t="shared" si="7"/>
        <v>1</v>
      </c>
      <c r="V8" s="17">
        <v>3</v>
      </c>
      <c r="W8" s="71">
        <f t="shared" si="8"/>
        <v>0.75</v>
      </c>
      <c r="X8" s="17">
        <v>2</v>
      </c>
      <c r="Y8" s="71">
        <f t="shared" si="9"/>
        <v>0.66666666666666663</v>
      </c>
      <c r="Z8" s="17">
        <v>3</v>
      </c>
      <c r="AA8" s="71">
        <f t="shared" si="10"/>
        <v>1</v>
      </c>
      <c r="AB8" s="17">
        <v>2</v>
      </c>
      <c r="AC8" s="71">
        <f t="shared" si="11"/>
        <v>1</v>
      </c>
      <c r="AD8" s="84">
        <v>1</v>
      </c>
      <c r="AE8" s="84">
        <v>0</v>
      </c>
      <c r="AF8" s="84">
        <v>1</v>
      </c>
      <c r="AG8" s="84">
        <v>0</v>
      </c>
      <c r="AH8" s="84">
        <v>0</v>
      </c>
      <c r="AI8" s="84">
        <v>0</v>
      </c>
      <c r="AJ8" s="20">
        <v>1</v>
      </c>
      <c r="AK8" s="71">
        <f t="shared" si="12"/>
        <v>0.5</v>
      </c>
      <c r="AL8" s="17">
        <v>2</v>
      </c>
      <c r="AM8" s="71">
        <f t="shared" si="13"/>
        <v>0.66666666666666663</v>
      </c>
      <c r="AN8" s="17">
        <v>1</v>
      </c>
      <c r="AO8" s="71">
        <f t="shared" si="14"/>
        <v>0.33333333333333331</v>
      </c>
      <c r="AP8" s="17">
        <v>3</v>
      </c>
      <c r="AQ8" s="71">
        <f t="shared" si="15"/>
        <v>1</v>
      </c>
      <c r="AR8" s="84">
        <v>2</v>
      </c>
      <c r="AS8" s="17">
        <v>2</v>
      </c>
      <c r="AT8" s="71">
        <f t="shared" si="16"/>
        <v>0.66666666666666663</v>
      </c>
      <c r="AU8" s="17">
        <v>3</v>
      </c>
      <c r="AV8" s="71">
        <f t="shared" si="17"/>
        <v>1</v>
      </c>
      <c r="AW8" s="17">
        <v>1</v>
      </c>
      <c r="AX8" s="71">
        <f t="shared" si="18"/>
        <v>0.5</v>
      </c>
      <c r="AY8" s="17">
        <v>3</v>
      </c>
      <c r="AZ8" s="71">
        <f t="shared" si="19"/>
        <v>1</v>
      </c>
      <c r="BA8" s="93">
        <v>0</v>
      </c>
      <c r="BB8" s="93">
        <v>1</v>
      </c>
      <c r="BC8" s="93">
        <v>1</v>
      </c>
      <c r="BD8" s="93">
        <v>0</v>
      </c>
      <c r="BE8" s="102">
        <f t="shared" si="20"/>
        <v>1.5748897668655346</v>
      </c>
      <c r="BF8" s="81">
        <f t="shared" si="21"/>
        <v>0.64784394242201992</v>
      </c>
      <c r="BG8" s="81" t="str">
        <f t="shared" si="22"/>
        <v>MEDIO</v>
      </c>
      <c r="BK8" s="81" t="str">
        <f t="shared" si="23"/>
        <v>MEDIO</v>
      </c>
    </row>
    <row r="9" spans="1:63" x14ac:dyDescent="0.15">
      <c r="A9" s="85">
        <v>3</v>
      </c>
      <c r="B9" s="85">
        <v>1</v>
      </c>
      <c r="C9" s="85">
        <v>1</v>
      </c>
      <c r="D9" s="85">
        <v>2</v>
      </c>
      <c r="E9" s="85">
        <v>1</v>
      </c>
      <c r="F9" s="18">
        <v>2</v>
      </c>
      <c r="G9" s="64">
        <f t="shared" si="0"/>
        <v>1</v>
      </c>
      <c r="H9" s="18">
        <v>1</v>
      </c>
      <c r="I9" s="64">
        <f t="shared" si="1"/>
        <v>0.5</v>
      </c>
      <c r="J9" s="18">
        <v>2</v>
      </c>
      <c r="K9" s="64">
        <f t="shared" si="2"/>
        <v>1</v>
      </c>
      <c r="L9" s="18">
        <v>3</v>
      </c>
      <c r="M9" s="64">
        <f t="shared" si="3"/>
        <v>1</v>
      </c>
      <c r="N9" s="18">
        <v>1</v>
      </c>
      <c r="O9" s="64">
        <f t="shared" si="4"/>
        <v>0.2</v>
      </c>
      <c r="P9" s="18">
        <v>1</v>
      </c>
      <c r="Q9" s="64">
        <f t="shared" si="5"/>
        <v>0.33333333333333331</v>
      </c>
      <c r="R9" s="24">
        <v>3</v>
      </c>
      <c r="S9" s="71">
        <f t="shared" si="6"/>
        <v>1</v>
      </c>
      <c r="T9" s="18">
        <v>3</v>
      </c>
      <c r="U9" s="64">
        <f t="shared" si="7"/>
        <v>1</v>
      </c>
      <c r="V9" s="18">
        <v>3</v>
      </c>
      <c r="W9" s="71">
        <f t="shared" si="8"/>
        <v>0.75</v>
      </c>
      <c r="X9" s="18">
        <v>3</v>
      </c>
      <c r="Y9" s="71">
        <f t="shared" si="9"/>
        <v>1</v>
      </c>
      <c r="Z9" s="18">
        <v>3</v>
      </c>
      <c r="AA9" s="71">
        <f t="shared" si="10"/>
        <v>1</v>
      </c>
      <c r="AB9" s="18">
        <v>3</v>
      </c>
      <c r="AC9" s="71">
        <f t="shared" si="11"/>
        <v>1.5</v>
      </c>
      <c r="AD9" s="85">
        <v>1</v>
      </c>
      <c r="AE9" s="85">
        <v>0</v>
      </c>
      <c r="AF9" s="85">
        <v>0</v>
      </c>
      <c r="AG9" s="85">
        <v>0</v>
      </c>
      <c r="AH9" s="85">
        <v>0</v>
      </c>
      <c r="AI9" s="85">
        <v>0</v>
      </c>
      <c r="AJ9" s="19">
        <v>2</v>
      </c>
      <c r="AK9" s="71">
        <f t="shared" si="12"/>
        <v>1</v>
      </c>
      <c r="AL9" s="18">
        <v>2</v>
      </c>
      <c r="AM9" s="71">
        <f t="shared" si="13"/>
        <v>0.66666666666666663</v>
      </c>
      <c r="AN9" s="18">
        <v>0</v>
      </c>
      <c r="AO9" s="71">
        <f t="shared" si="14"/>
        <v>0</v>
      </c>
      <c r="AP9" s="18">
        <v>3</v>
      </c>
      <c r="AQ9" s="71">
        <f t="shared" si="15"/>
        <v>1</v>
      </c>
      <c r="AR9" s="85">
        <v>0</v>
      </c>
      <c r="AS9" s="18">
        <v>3</v>
      </c>
      <c r="AT9" s="71">
        <f t="shared" si="16"/>
        <v>1</v>
      </c>
      <c r="AU9" s="18">
        <v>3</v>
      </c>
      <c r="AV9" s="71">
        <f t="shared" si="17"/>
        <v>1</v>
      </c>
      <c r="AW9" s="18">
        <v>1</v>
      </c>
      <c r="AX9" s="71">
        <f t="shared" si="18"/>
        <v>0.5</v>
      </c>
      <c r="AY9" s="18">
        <v>3</v>
      </c>
      <c r="AZ9" s="71">
        <f t="shared" si="19"/>
        <v>1</v>
      </c>
      <c r="BA9" s="94">
        <v>0</v>
      </c>
      <c r="BB9" s="94">
        <v>0</v>
      </c>
      <c r="BC9" s="94">
        <v>0</v>
      </c>
      <c r="BD9" s="94">
        <v>1</v>
      </c>
      <c r="BE9" s="102">
        <f t="shared" si="20"/>
        <v>1.734374687187159</v>
      </c>
      <c r="BF9" s="81">
        <f t="shared" si="21"/>
        <v>0.61218203009949435</v>
      </c>
      <c r="BG9" s="81" t="str">
        <f t="shared" si="22"/>
        <v>MEDIO</v>
      </c>
      <c r="BK9" s="81" t="str">
        <f t="shared" si="23"/>
        <v>MEDIO</v>
      </c>
    </row>
    <row r="10" spans="1:63" x14ac:dyDescent="0.15">
      <c r="A10" s="84">
        <v>3</v>
      </c>
      <c r="B10" s="84">
        <v>1</v>
      </c>
      <c r="C10" s="84">
        <v>1</v>
      </c>
      <c r="D10" s="84">
        <v>2</v>
      </c>
      <c r="E10" s="85">
        <v>1</v>
      </c>
      <c r="F10" s="17">
        <v>2</v>
      </c>
      <c r="G10" s="64">
        <f t="shared" si="0"/>
        <v>1</v>
      </c>
      <c r="H10" s="17">
        <v>2</v>
      </c>
      <c r="I10" s="64">
        <f t="shared" si="1"/>
        <v>1</v>
      </c>
      <c r="J10" s="17">
        <v>1</v>
      </c>
      <c r="K10" s="64">
        <f t="shared" si="2"/>
        <v>0.5</v>
      </c>
      <c r="L10" s="17">
        <v>2</v>
      </c>
      <c r="M10" s="64">
        <f t="shared" si="3"/>
        <v>0.66666666666666663</v>
      </c>
      <c r="N10" s="17">
        <v>0</v>
      </c>
      <c r="O10" s="64">
        <f t="shared" si="4"/>
        <v>0</v>
      </c>
      <c r="P10" s="17">
        <v>1</v>
      </c>
      <c r="Q10" s="64">
        <f t="shared" si="5"/>
        <v>0.33333333333333331</v>
      </c>
      <c r="R10" s="25">
        <v>2</v>
      </c>
      <c r="S10" s="71">
        <f t="shared" si="6"/>
        <v>0.66666666666666663</v>
      </c>
      <c r="T10" s="17">
        <v>2</v>
      </c>
      <c r="U10" s="64">
        <f t="shared" si="7"/>
        <v>0.66666666666666663</v>
      </c>
      <c r="V10" s="17">
        <v>3</v>
      </c>
      <c r="W10" s="71">
        <f t="shared" si="8"/>
        <v>0.75</v>
      </c>
      <c r="X10" s="17">
        <v>2</v>
      </c>
      <c r="Y10" s="71">
        <f t="shared" si="9"/>
        <v>0.66666666666666663</v>
      </c>
      <c r="Z10" s="17">
        <v>2</v>
      </c>
      <c r="AA10" s="71">
        <f t="shared" si="10"/>
        <v>0.66666666666666663</v>
      </c>
      <c r="AB10" s="17">
        <v>3</v>
      </c>
      <c r="AC10" s="71">
        <f t="shared" si="11"/>
        <v>1.5</v>
      </c>
      <c r="AD10" s="84">
        <v>1</v>
      </c>
      <c r="AE10" s="84">
        <v>0</v>
      </c>
      <c r="AF10" s="84">
        <v>1</v>
      </c>
      <c r="AG10" s="84">
        <v>0</v>
      </c>
      <c r="AH10" s="84">
        <v>0</v>
      </c>
      <c r="AI10" s="84">
        <v>0</v>
      </c>
      <c r="AJ10" s="20">
        <v>1</v>
      </c>
      <c r="AK10" s="71">
        <f t="shared" si="12"/>
        <v>0.5</v>
      </c>
      <c r="AL10" s="17">
        <v>1</v>
      </c>
      <c r="AM10" s="71">
        <f t="shared" si="13"/>
        <v>0.33333333333333331</v>
      </c>
      <c r="AN10" s="17">
        <v>1</v>
      </c>
      <c r="AO10" s="71">
        <f t="shared" si="14"/>
        <v>0.33333333333333331</v>
      </c>
      <c r="AP10" s="17">
        <v>3</v>
      </c>
      <c r="AQ10" s="71">
        <f t="shared" si="15"/>
        <v>1</v>
      </c>
      <c r="AR10" s="84">
        <v>1</v>
      </c>
      <c r="AS10" s="17">
        <v>2</v>
      </c>
      <c r="AT10" s="71">
        <f t="shared" si="16"/>
        <v>0.66666666666666663</v>
      </c>
      <c r="AU10" s="17">
        <v>2</v>
      </c>
      <c r="AV10" s="71">
        <f t="shared" si="17"/>
        <v>0.66666666666666663</v>
      </c>
      <c r="AW10" s="17">
        <v>1</v>
      </c>
      <c r="AX10" s="71">
        <f t="shared" si="18"/>
        <v>0.5</v>
      </c>
      <c r="AY10" s="17">
        <v>0</v>
      </c>
      <c r="AZ10" s="71">
        <f t="shared" si="19"/>
        <v>0</v>
      </c>
      <c r="BA10" s="93">
        <v>1</v>
      </c>
      <c r="BB10" s="93">
        <v>1</v>
      </c>
      <c r="BC10" s="93">
        <v>0</v>
      </c>
      <c r="BD10" s="93">
        <v>0</v>
      </c>
      <c r="BE10" s="102">
        <f t="shared" si="20"/>
        <v>2.2745573439926972</v>
      </c>
      <c r="BF10" s="81">
        <f t="shared" si="21"/>
        <v>0.49139351601114345</v>
      </c>
      <c r="BG10" s="81" t="str">
        <f t="shared" si="22"/>
        <v>MEDIO</v>
      </c>
      <c r="BK10" s="81" t="str">
        <f t="shared" si="23"/>
        <v>MEDIO</v>
      </c>
    </row>
    <row r="11" spans="1:63" x14ac:dyDescent="0.15">
      <c r="A11" s="85">
        <v>2</v>
      </c>
      <c r="B11" s="85">
        <v>1</v>
      </c>
      <c r="C11" s="85">
        <v>3</v>
      </c>
      <c r="D11" s="85">
        <v>2</v>
      </c>
      <c r="E11" s="85">
        <v>1</v>
      </c>
      <c r="F11" s="18">
        <v>2</v>
      </c>
      <c r="G11" s="64">
        <f t="shared" si="0"/>
        <v>1</v>
      </c>
      <c r="H11" s="18">
        <v>1</v>
      </c>
      <c r="I11" s="64">
        <f t="shared" si="1"/>
        <v>0.5</v>
      </c>
      <c r="J11" s="18">
        <v>1</v>
      </c>
      <c r="K11" s="64">
        <f t="shared" si="2"/>
        <v>0.5</v>
      </c>
      <c r="L11" s="18">
        <v>1</v>
      </c>
      <c r="M11" s="64">
        <f t="shared" si="3"/>
        <v>0.33333333333333331</v>
      </c>
      <c r="N11" s="18">
        <v>3</v>
      </c>
      <c r="O11" s="64">
        <f t="shared" si="4"/>
        <v>0.6</v>
      </c>
      <c r="P11" s="18">
        <v>3</v>
      </c>
      <c r="Q11" s="64">
        <f t="shared" si="5"/>
        <v>1</v>
      </c>
      <c r="R11" s="24">
        <v>0</v>
      </c>
      <c r="S11" s="71">
        <f t="shared" si="6"/>
        <v>0</v>
      </c>
      <c r="T11" s="18">
        <v>3</v>
      </c>
      <c r="U11" s="64">
        <f t="shared" si="7"/>
        <v>1</v>
      </c>
      <c r="V11" s="18">
        <v>4</v>
      </c>
      <c r="W11" s="71">
        <f t="shared" si="8"/>
        <v>1</v>
      </c>
      <c r="X11" s="18">
        <v>0</v>
      </c>
      <c r="Y11" s="71">
        <f t="shared" si="9"/>
        <v>0</v>
      </c>
      <c r="Z11" s="18">
        <v>3</v>
      </c>
      <c r="AA11" s="71">
        <f t="shared" si="10"/>
        <v>1</v>
      </c>
      <c r="AB11" s="18">
        <v>1</v>
      </c>
      <c r="AC11" s="71">
        <f t="shared" si="11"/>
        <v>0.5</v>
      </c>
      <c r="AD11" s="85">
        <v>1</v>
      </c>
      <c r="AE11" s="85">
        <v>0</v>
      </c>
      <c r="AF11" s="85">
        <v>1</v>
      </c>
      <c r="AG11" s="85">
        <v>0</v>
      </c>
      <c r="AH11" s="85">
        <v>0</v>
      </c>
      <c r="AI11" s="85">
        <v>0</v>
      </c>
      <c r="AJ11" s="19">
        <v>1</v>
      </c>
      <c r="AK11" s="71">
        <f t="shared" si="12"/>
        <v>0.5</v>
      </c>
      <c r="AL11" s="18">
        <v>2</v>
      </c>
      <c r="AM11" s="71">
        <f t="shared" si="13"/>
        <v>0.66666666666666663</v>
      </c>
      <c r="AN11" s="18">
        <v>1</v>
      </c>
      <c r="AO11" s="71">
        <f t="shared" si="14"/>
        <v>0.33333333333333331</v>
      </c>
      <c r="AP11" s="18">
        <v>2</v>
      </c>
      <c r="AQ11" s="71">
        <f t="shared" si="15"/>
        <v>0.66666666666666663</v>
      </c>
      <c r="AR11" s="85">
        <v>1</v>
      </c>
      <c r="AS11" s="18">
        <v>3</v>
      </c>
      <c r="AT11" s="71">
        <f t="shared" si="16"/>
        <v>1</v>
      </c>
      <c r="AU11" s="18">
        <v>2</v>
      </c>
      <c r="AV11" s="71">
        <f t="shared" si="17"/>
        <v>0.66666666666666663</v>
      </c>
      <c r="AW11" s="18">
        <v>1</v>
      </c>
      <c r="AX11" s="71">
        <f t="shared" si="18"/>
        <v>0.5</v>
      </c>
      <c r="AY11" s="18">
        <v>3</v>
      </c>
      <c r="AZ11" s="71">
        <f t="shared" si="19"/>
        <v>1</v>
      </c>
      <c r="BA11" s="94">
        <v>1</v>
      </c>
      <c r="BB11" s="94">
        <v>1</v>
      </c>
      <c r="BC11" s="94">
        <v>0</v>
      </c>
      <c r="BD11" s="94">
        <v>0</v>
      </c>
      <c r="BE11" s="102">
        <f t="shared" si="20"/>
        <v>2.1522597943143902</v>
      </c>
      <c r="BF11" s="81">
        <f t="shared" si="21"/>
        <v>0.51874007946737599</v>
      </c>
      <c r="BG11" s="81" t="str">
        <f t="shared" si="22"/>
        <v>MEDIO</v>
      </c>
      <c r="BK11" s="81" t="str">
        <f t="shared" si="23"/>
        <v>MEDIO</v>
      </c>
    </row>
    <row r="12" spans="1:63" x14ac:dyDescent="0.15">
      <c r="A12" s="84">
        <v>3</v>
      </c>
      <c r="B12" s="84">
        <v>2</v>
      </c>
      <c r="C12" s="84">
        <v>3</v>
      </c>
      <c r="D12" s="84">
        <v>2</v>
      </c>
      <c r="E12" s="85">
        <v>1</v>
      </c>
      <c r="F12" s="17">
        <v>2</v>
      </c>
      <c r="G12" s="64">
        <f t="shared" si="0"/>
        <v>1</v>
      </c>
      <c r="H12" s="17">
        <v>2</v>
      </c>
      <c r="I12" s="64">
        <f t="shared" si="1"/>
        <v>1</v>
      </c>
      <c r="J12" s="17">
        <v>2</v>
      </c>
      <c r="K12" s="64">
        <f t="shared" si="2"/>
        <v>1</v>
      </c>
      <c r="L12" s="17">
        <v>3</v>
      </c>
      <c r="M12" s="64">
        <f t="shared" si="3"/>
        <v>1</v>
      </c>
      <c r="N12" s="17">
        <v>5</v>
      </c>
      <c r="O12" s="64">
        <f t="shared" si="4"/>
        <v>1</v>
      </c>
      <c r="P12" s="17">
        <v>3</v>
      </c>
      <c r="Q12" s="64">
        <f t="shared" si="5"/>
        <v>1</v>
      </c>
      <c r="R12" s="25">
        <v>3</v>
      </c>
      <c r="S12" s="71">
        <f t="shared" si="6"/>
        <v>1</v>
      </c>
      <c r="T12" s="17">
        <v>3</v>
      </c>
      <c r="U12" s="64">
        <f t="shared" si="7"/>
        <v>1</v>
      </c>
      <c r="V12" s="17">
        <v>2</v>
      </c>
      <c r="W12" s="71">
        <f t="shared" si="8"/>
        <v>0.5</v>
      </c>
      <c r="X12" s="17">
        <v>3</v>
      </c>
      <c r="Y12" s="71">
        <f t="shared" si="9"/>
        <v>1</v>
      </c>
      <c r="Z12" s="17">
        <v>3</v>
      </c>
      <c r="AA12" s="71">
        <f t="shared" si="10"/>
        <v>1</v>
      </c>
      <c r="AB12" s="17">
        <v>0</v>
      </c>
      <c r="AC12" s="71">
        <f t="shared" si="11"/>
        <v>0</v>
      </c>
      <c r="AD12" s="84">
        <v>0</v>
      </c>
      <c r="AE12" s="84">
        <v>1</v>
      </c>
      <c r="AF12" s="84">
        <v>1</v>
      </c>
      <c r="AG12" s="84">
        <v>0</v>
      </c>
      <c r="AH12" s="84">
        <v>0</v>
      </c>
      <c r="AI12" s="84">
        <v>0</v>
      </c>
      <c r="AJ12" s="20">
        <v>2</v>
      </c>
      <c r="AK12" s="71">
        <f t="shared" si="12"/>
        <v>1</v>
      </c>
      <c r="AL12" s="17">
        <v>2</v>
      </c>
      <c r="AM12" s="71">
        <f t="shared" si="13"/>
        <v>0.66666666666666663</v>
      </c>
      <c r="AN12" s="17">
        <v>1</v>
      </c>
      <c r="AO12" s="71">
        <f t="shared" si="14"/>
        <v>0.33333333333333331</v>
      </c>
      <c r="AP12" s="17">
        <v>3</v>
      </c>
      <c r="AQ12" s="71">
        <f t="shared" si="15"/>
        <v>1</v>
      </c>
      <c r="AR12" s="84">
        <v>1</v>
      </c>
      <c r="AS12" s="17">
        <v>2</v>
      </c>
      <c r="AT12" s="71">
        <f t="shared" si="16"/>
        <v>0.66666666666666663</v>
      </c>
      <c r="AU12" s="17">
        <v>3</v>
      </c>
      <c r="AV12" s="71">
        <f t="shared" si="17"/>
        <v>1</v>
      </c>
      <c r="AW12" s="17">
        <v>1</v>
      </c>
      <c r="AX12" s="71">
        <f t="shared" si="18"/>
        <v>0.5</v>
      </c>
      <c r="AY12" s="17">
        <v>3</v>
      </c>
      <c r="AZ12" s="71">
        <f t="shared" si="19"/>
        <v>1</v>
      </c>
      <c r="BA12" s="93">
        <v>1</v>
      </c>
      <c r="BB12" s="93">
        <v>1</v>
      </c>
      <c r="BC12" s="93">
        <v>0</v>
      </c>
      <c r="BD12" s="93">
        <v>0</v>
      </c>
      <c r="BE12" s="102">
        <f t="shared" si="20"/>
        <v>1.4719601443879746</v>
      </c>
      <c r="BF12" s="81">
        <f t="shared" si="21"/>
        <v>0.67085970569783926</v>
      </c>
      <c r="BG12" s="81" t="str">
        <f t="shared" si="22"/>
        <v>ALTO</v>
      </c>
      <c r="BK12" s="81" t="str">
        <f t="shared" si="23"/>
        <v>ALTO</v>
      </c>
    </row>
    <row r="13" spans="1:63" x14ac:dyDescent="0.15">
      <c r="A13" s="85">
        <v>0</v>
      </c>
      <c r="B13" s="85">
        <v>2</v>
      </c>
      <c r="C13" s="85">
        <v>0</v>
      </c>
      <c r="D13" s="85">
        <v>2</v>
      </c>
      <c r="E13" s="85">
        <v>1</v>
      </c>
      <c r="F13" s="18">
        <v>0</v>
      </c>
      <c r="G13" s="64">
        <f t="shared" si="0"/>
        <v>0</v>
      </c>
      <c r="H13" s="18">
        <v>0</v>
      </c>
      <c r="I13" s="64">
        <f t="shared" si="1"/>
        <v>0</v>
      </c>
      <c r="J13" s="18">
        <v>0</v>
      </c>
      <c r="K13" s="64">
        <f t="shared" si="2"/>
        <v>0</v>
      </c>
      <c r="L13" s="18">
        <v>0</v>
      </c>
      <c r="M13" s="64">
        <f t="shared" si="3"/>
        <v>0</v>
      </c>
      <c r="N13" s="18">
        <v>5</v>
      </c>
      <c r="O13" s="64">
        <f t="shared" si="4"/>
        <v>1</v>
      </c>
      <c r="P13" s="18">
        <v>0</v>
      </c>
      <c r="Q13" s="64">
        <f t="shared" si="5"/>
        <v>0</v>
      </c>
      <c r="R13" s="24">
        <v>0</v>
      </c>
      <c r="S13" s="71">
        <f t="shared" si="6"/>
        <v>0</v>
      </c>
      <c r="T13" s="18">
        <v>0</v>
      </c>
      <c r="U13" s="64">
        <f t="shared" si="7"/>
        <v>0</v>
      </c>
      <c r="V13" s="18">
        <v>3</v>
      </c>
      <c r="W13" s="71">
        <f t="shared" si="8"/>
        <v>0.75</v>
      </c>
      <c r="X13" s="18">
        <v>0</v>
      </c>
      <c r="Y13" s="71">
        <f t="shared" si="9"/>
        <v>0</v>
      </c>
      <c r="Z13" s="18">
        <v>0</v>
      </c>
      <c r="AA13" s="71">
        <f t="shared" si="10"/>
        <v>0</v>
      </c>
      <c r="AB13" s="18">
        <v>1</v>
      </c>
      <c r="AC13" s="71">
        <f t="shared" si="11"/>
        <v>0.5</v>
      </c>
      <c r="AD13" s="85">
        <v>0</v>
      </c>
      <c r="AE13" s="85">
        <v>0</v>
      </c>
      <c r="AF13" s="85">
        <v>0</v>
      </c>
      <c r="AG13" s="85">
        <v>1</v>
      </c>
      <c r="AH13" s="85">
        <v>1</v>
      </c>
      <c r="AI13" s="85">
        <v>0</v>
      </c>
      <c r="AJ13" s="19">
        <v>1</v>
      </c>
      <c r="AK13" s="71">
        <f t="shared" si="12"/>
        <v>0.5</v>
      </c>
      <c r="AL13" s="18">
        <v>0</v>
      </c>
      <c r="AM13" s="71">
        <f t="shared" si="13"/>
        <v>0</v>
      </c>
      <c r="AN13" s="18">
        <v>0</v>
      </c>
      <c r="AO13" s="71">
        <f t="shared" si="14"/>
        <v>0</v>
      </c>
      <c r="AP13" s="18">
        <v>0</v>
      </c>
      <c r="AQ13" s="71">
        <f t="shared" si="15"/>
        <v>0</v>
      </c>
      <c r="AR13" s="85">
        <v>2</v>
      </c>
      <c r="AS13" s="18">
        <v>1</v>
      </c>
      <c r="AT13" s="71">
        <f t="shared" si="16"/>
        <v>0.33333333333333331</v>
      </c>
      <c r="AU13" s="18">
        <v>0</v>
      </c>
      <c r="AV13" s="71">
        <f t="shared" si="17"/>
        <v>0</v>
      </c>
      <c r="AW13" s="18">
        <v>0</v>
      </c>
      <c r="AX13" s="71">
        <f t="shared" si="18"/>
        <v>0</v>
      </c>
      <c r="AY13" s="18">
        <v>2</v>
      </c>
      <c r="AZ13" s="71">
        <f t="shared" si="19"/>
        <v>0.66666666666666663</v>
      </c>
      <c r="BA13" s="94">
        <v>0</v>
      </c>
      <c r="BB13" s="94">
        <v>0</v>
      </c>
      <c r="BC13" s="94">
        <v>0</v>
      </c>
      <c r="BD13" s="94">
        <v>1</v>
      </c>
      <c r="BE13" s="102">
        <f t="shared" si="20"/>
        <v>3.8881943824294014</v>
      </c>
      <c r="BF13" s="81">
        <f t="shared" si="21"/>
        <v>0.13057330511558618</v>
      </c>
      <c r="BG13" s="81" t="str">
        <f t="shared" si="22"/>
        <v>BASSO</v>
      </c>
      <c r="BK13" s="81" t="str">
        <f t="shared" si="23"/>
        <v>MOLTO BASSO</v>
      </c>
    </row>
    <row r="14" spans="1:63" x14ac:dyDescent="0.15">
      <c r="A14" s="84">
        <v>3</v>
      </c>
      <c r="B14" s="84">
        <v>1</v>
      </c>
      <c r="C14" s="84">
        <v>1</v>
      </c>
      <c r="D14" s="84">
        <v>2</v>
      </c>
      <c r="E14" s="85">
        <v>1</v>
      </c>
      <c r="F14" s="17">
        <v>1</v>
      </c>
      <c r="G14" s="64">
        <f t="shared" si="0"/>
        <v>0.5</v>
      </c>
      <c r="H14" s="17">
        <v>1</v>
      </c>
      <c r="I14" s="64">
        <f t="shared" si="1"/>
        <v>0.5</v>
      </c>
      <c r="J14" s="17">
        <v>1</v>
      </c>
      <c r="K14" s="64">
        <f t="shared" si="2"/>
        <v>0.5</v>
      </c>
      <c r="L14" s="17">
        <v>2</v>
      </c>
      <c r="M14" s="64">
        <f t="shared" si="3"/>
        <v>0.66666666666666663</v>
      </c>
      <c r="N14" s="17">
        <v>4</v>
      </c>
      <c r="O14" s="64">
        <f t="shared" si="4"/>
        <v>0.8</v>
      </c>
      <c r="P14" s="17">
        <v>3</v>
      </c>
      <c r="Q14" s="64">
        <f t="shared" si="5"/>
        <v>1</v>
      </c>
      <c r="R14" s="25">
        <v>2</v>
      </c>
      <c r="S14" s="71">
        <f t="shared" si="6"/>
        <v>0.66666666666666663</v>
      </c>
      <c r="T14" s="17">
        <v>2</v>
      </c>
      <c r="U14" s="64">
        <f t="shared" si="7"/>
        <v>0.66666666666666663</v>
      </c>
      <c r="V14" s="17">
        <v>3</v>
      </c>
      <c r="W14" s="71">
        <f t="shared" si="8"/>
        <v>0.75</v>
      </c>
      <c r="X14" s="17">
        <v>2</v>
      </c>
      <c r="Y14" s="71">
        <f t="shared" si="9"/>
        <v>0.66666666666666663</v>
      </c>
      <c r="Z14" s="17">
        <v>2</v>
      </c>
      <c r="AA14" s="71">
        <f t="shared" si="10"/>
        <v>0.66666666666666663</v>
      </c>
      <c r="AB14" s="17">
        <v>1</v>
      </c>
      <c r="AC14" s="71">
        <f t="shared" si="11"/>
        <v>0.5</v>
      </c>
      <c r="AD14" s="84">
        <v>0</v>
      </c>
      <c r="AE14" s="84">
        <v>0</v>
      </c>
      <c r="AF14" s="84">
        <v>1</v>
      </c>
      <c r="AG14" s="84">
        <v>1</v>
      </c>
      <c r="AH14" s="84">
        <v>0</v>
      </c>
      <c r="AI14" s="84">
        <v>0</v>
      </c>
      <c r="AJ14" s="20">
        <v>2</v>
      </c>
      <c r="AK14" s="71">
        <f t="shared" si="12"/>
        <v>1</v>
      </c>
      <c r="AL14" s="17">
        <v>1</v>
      </c>
      <c r="AM14" s="71">
        <f t="shared" si="13"/>
        <v>0.33333333333333331</v>
      </c>
      <c r="AN14" s="17">
        <v>1</v>
      </c>
      <c r="AO14" s="71">
        <f t="shared" si="14"/>
        <v>0.33333333333333331</v>
      </c>
      <c r="AP14" s="17">
        <v>1</v>
      </c>
      <c r="AQ14" s="71">
        <f t="shared" si="15"/>
        <v>0.33333333333333331</v>
      </c>
      <c r="AR14" s="84">
        <v>0</v>
      </c>
      <c r="AS14" s="17">
        <v>2</v>
      </c>
      <c r="AT14" s="71">
        <f t="shared" si="16"/>
        <v>0.66666666666666663</v>
      </c>
      <c r="AU14" s="17">
        <v>2</v>
      </c>
      <c r="AV14" s="71">
        <f t="shared" si="17"/>
        <v>0.66666666666666663</v>
      </c>
      <c r="AW14" s="17">
        <v>1</v>
      </c>
      <c r="AX14" s="71">
        <f t="shared" si="18"/>
        <v>0.5</v>
      </c>
      <c r="AY14" s="17">
        <v>1</v>
      </c>
      <c r="AZ14" s="71">
        <f t="shared" si="19"/>
        <v>0.33333333333333331</v>
      </c>
      <c r="BA14" s="93">
        <v>0</v>
      </c>
      <c r="BB14" s="93">
        <v>1</v>
      </c>
      <c r="BC14" s="93">
        <v>1</v>
      </c>
      <c r="BD14" s="93">
        <v>0</v>
      </c>
      <c r="BE14" s="102">
        <f t="shared" si="20"/>
        <v>1.976880258274526</v>
      </c>
      <c r="BF14" s="81">
        <f t="shared" si="21"/>
        <v>0.55795613591212345</v>
      </c>
      <c r="BG14" s="81" t="str">
        <f t="shared" si="22"/>
        <v>MEDIO</v>
      </c>
      <c r="BK14" s="81" t="str">
        <f t="shared" si="23"/>
        <v>MEDIO</v>
      </c>
    </row>
    <row r="15" spans="1:63" x14ac:dyDescent="0.15">
      <c r="A15" s="85">
        <v>1</v>
      </c>
      <c r="B15" s="85">
        <v>2</v>
      </c>
      <c r="C15" s="85">
        <v>1</v>
      </c>
      <c r="D15" s="85">
        <v>2</v>
      </c>
      <c r="E15" s="85">
        <v>1</v>
      </c>
      <c r="F15" s="18">
        <v>1</v>
      </c>
      <c r="G15" s="64">
        <f t="shared" si="0"/>
        <v>0.5</v>
      </c>
      <c r="H15" s="18">
        <v>2</v>
      </c>
      <c r="I15" s="64">
        <f t="shared" si="1"/>
        <v>1</v>
      </c>
      <c r="J15" s="18">
        <v>1</v>
      </c>
      <c r="K15" s="64">
        <f t="shared" si="2"/>
        <v>0.5</v>
      </c>
      <c r="L15" s="18">
        <v>2</v>
      </c>
      <c r="M15" s="64">
        <f t="shared" si="3"/>
        <v>0.66666666666666663</v>
      </c>
      <c r="N15" s="18">
        <v>0</v>
      </c>
      <c r="O15" s="64">
        <f t="shared" si="4"/>
        <v>0</v>
      </c>
      <c r="P15" s="18">
        <v>2</v>
      </c>
      <c r="Q15" s="64">
        <f t="shared" si="5"/>
        <v>0.66666666666666663</v>
      </c>
      <c r="R15" s="24">
        <v>3</v>
      </c>
      <c r="S15" s="71">
        <f t="shared" si="6"/>
        <v>1</v>
      </c>
      <c r="T15" s="18">
        <v>3</v>
      </c>
      <c r="U15" s="64">
        <f t="shared" si="7"/>
        <v>1</v>
      </c>
      <c r="V15" s="18">
        <v>3</v>
      </c>
      <c r="W15" s="71">
        <f t="shared" si="8"/>
        <v>0.75</v>
      </c>
      <c r="X15" s="18">
        <v>2</v>
      </c>
      <c r="Y15" s="71">
        <f t="shared" si="9"/>
        <v>0.66666666666666663</v>
      </c>
      <c r="Z15" s="18">
        <v>2</v>
      </c>
      <c r="AA15" s="71">
        <f t="shared" si="10"/>
        <v>0.66666666666666663</v>
      </c>
      <c r="AB15" s="18">
        <v>0</v>
      </c>
      <c r="AC15" s="71">
        <f t="shared" si="11"/>
        <v>0</v>
      </c>
      <c r="AD15" s="85">
        <v>1</v>
      </c>
      <c r="AE15" s="85">
        <v>0</v>
      </c>
      <c r="AF15" s="85">
        <v>1</v>
      </c>
      <c r="AG15" s="85">
        <v>0</v>
      </c>
      <c r="AH15" s="85">
        <v>0</v>
      </c>
      <c r="AI15" s="85">
        <v>0</v>
      </c>
      <c r="AJ15" s="19">
        <v>2</v>
      </c>
      <c r="AK15" s="71">
        <f t="shared" si="12"/>
        <v>1</v>
      </c>
      <c r="AL15" s="18">
        <v>2</v>
      </c>
      <c r="AM15" s="71">
        <f t="shared" si="13"/>
        <v>0.66666666666666663</v>
      </c>
      <c r="AN15" s="18">
        <v>1</v>
      </c>
      <c r="AO15" s="71">
        <f t="shared" si="14"/>
        <v>0.33333333333333331</v>
      </c>
      <c r="AP15" s="18">
        <v>3</v>
      </c>
      <c r="AQ15" s="71">
        <f t="shared" si="15"/>
        <v>1</v>
      </c>
      <c r="AR15" s="85">
        <v>0</v>
      </c>
      <c r="AS15" s="18">
        <v>3</v>
      </c>
      <c r="AT15" s="71">
        <f t="shared" si="16"/>
        <v>1</v>
      </c>
      <c r="AU15" s="18">
        <v>3</v>
      </c>
      <c r="AV15" s="71">
        <f t="shared" si="17"/>
        <v>1</v>
      </c>
      <c r="AW15" s="18">
        <v>1</v>
      </c>
      <c r="AX15" s="71">
        <f t="shared" si="18"/>
        <v>0.5</v>
      </c>
      <c r="AY15" s="18">
        <v>3</v>
      </c>
      <c r="AZ15" s="71">
        <f t="shared" si="19"/>
        <v>1</v>
      </c>
      <c r="BA15" s="94">
        <v>1</v>
      </c>
      <c r="BB15" s="94">
        <v>0</v>
      </c>
      <c r="BC15" s="94">
        <v>1</v>
      </c>
      <c r="BD15" s="94">
        <v>0</v>
      </c>
      <c r="BE15" s="102">
        <f t="shared" si="20"/>
        <v>1.9525624189766637</v>
      </c>
      <c r="BF15" s="81">
        <f t="shared" si="21"/>
        <v>0.56339377008571656</v>
      </c>
      <c r="BG15" s="81" t="str">
        <f t="shared" si="22"/>
        <v>MEDIO</v>
      </c>
      <c r="BK15" s="81" t="str">
        <f t="shared" si="23"/>
        <v>MEDIO</v>
      </c>
    </row>
    <row r="16" spans="1:63" x14ac:dyDescent="0.15">
      <c r="A16" s="84">
        <v>2</v>
      </c>
      <c r="B16" s="84">
        <v>1</v>
      </c>
      <c r="C16" s="84">
        <v>1</v>
      </c>
      <c r="D16" s="84">
        <v>2</v>
      </c>
      <c r="E16" s="85">
        <v>1</v>
      </c>
      <c r="F16" s="17">
        <v>1</v>
      </c>
      <c r="G16" s="64">
        <f t="shared" si="0"/>
        <v>0.5</v>
      </c>
      <c r="H16" s="17">
        <v>2</v>
      </c>
      <c r="I16" s="64">
        <f t="shared" si="1"/>
        <v>1</v>
      </c>
      <c r="J16" s="17">
        <v>1</v>
      </c>
      <c r="K16" s="64">
        <f t="shared" si="2"/>
        <v>0.5</v>
      </c>
      <c r="L16" s="17">
        <v>2</v>
      </c>
      <c r="M16" s="64">
        <f t="shared" si="3"/>
        <v>0.66666666666666663</v>
      </c>
      <c r="N16" s="17">
        <v>5</v>
      </c>
      <c r="O16" s="64">
        <f t="shared" si="4"/>
        <v>1</v>
      </c>
      <c r="P16" s="17">
        <v>2</v>
      </c>
      <c r="Q16" s="64">
        <f t="shared" si="5"/>
        <v>0.66666666666666663</v>
      </c>
      <c r="R16" s="25">
        <v>3</v>
      </c>
      <c r="S16" s="71">
        <f t="shared" si="6"/>
        <v>1</v>
      </c>
      <c r="T16" s="17">
        <v>3</v>
      </c>
      <c r="U16" s="64">
        <f t="shared" si="7"/>
        <v>1</v>
      </c>
      <c r="V16" s="17">
        <v>3</v>
      </c>
      <c r="W16" s="71">
        <f t="shared" si="8"/>
        <v>0.75</v>
      </c>
      <c r="X16" s="17">
        <v>2</v>
      </c>
      <c r="Y16" s="71">
        <f t="shared" si="9"/>
        <v>0.66666666666666663</v>
      </c>
      <c r="Z16" s="17">
        <v>3</v>
      </c>
      <c r="AA16" s="71">
        <f t="shared" si="10"/>
        <v>1</v>
      </c>
      <c r="AB16" s="17">
        <v>0</v>
      </c>
      <c r="AC16" s="71">
        <f t="shared" si="11"/>
        <v>0</v>
      </c>
      <c r="AD16" s="84">
        <v>1</v>
      </c>
      <c r="AE16" s="84">
        <v>0</v>
      </c>
      <c r="AF16" s="84">
        <v>0</v>
      </c>
      <c r="AG16" s="84">
        <v>1</v>
      </c>
      <c r="AH16" s="84">
        <v>0</v>
      </c>
      <c r="AI16" s="84">
        <v>0</v>
      </c>
      <c r="AJ16" s="20">
        <v>0</v>
      </c>
      <c r="AK16" s="71">
        <f t="shared" si="12"/>
        <v>0</v>
      </c>
      <c r="AL16" s="17">
        <v>3</v>
      </c>
      <c r="AM16" s="71">
        <f t="shared" si="13"/>
        <v>1</v>
      </c>
      <c r="AN16" s="17">
        <v>1</v>
      </c>
      <c r="AO16" s="71">
        <f t="shared" si="14"/>
        <v>0.33333333333333331</v>
      </c>
      <c r="AP16" s="17">
        <v>3</v>
      </c>
      <c r="AQ16" s="71">
        <f t="shared" si="15"/>
        <v>1</v>
      </c>
      <c r="AR16" s="84">
        <v>0</v>
      </c>
      <c r="AS16" s="17">
        <v>2</v>
      </c>
      <c r="AT16" s="71">
        <f t="shared" si="16"/>
        <v>0.66666666666666663</v>
      </c>
      <c r="AU16" s="17">
        <v>2</v>
      </c>
      <c r="AV16" s="71">
        <f t="shared" si="17"/>
        <v>0.66666666666666663</v>
      </c>
      <c r="AW16" s="17">
        <v>2</v>
      </c>
      <c r="AX16" s="71">
        <f t="shared" si="18"/>
        <v>1</v>
      </c>
      <c r="AY16" s="17">
        <v>3</v>
      </c>
      <c r="AZ16" s="71">
        <f t="shared" si="19"/>
        <v>1</v>
      </c>
      <c r="BA16" s="93">
        <v>1</v>
      </c>
      <c r="BB16" s="93">
        <v>1</v>
      </c>
      <c r="BC16" s="93">
        <v>0</v>
      </c>
      <c r="BD16" s="93">
        <v>0</v>
      </c>
      <c r="BE16" s="102">
        <f t="shared" si="20"/>
        <v>1.8874586088176875</v>
      </c>
      <c r="BF16" s="81">
        <f t="shared" si="21"/>
        <v>0.57795142459668636</v>
      </c>
      <c r="BG16" s="81" t="str">
        <f t="shared" si="22"/>
        <v>MEDIO</v>
      </c>
      <c r="BK16" s="81" t="str">
        <f t="shared" si="23"/>
        <v>MEDIO</v>
      </c>
    </row>
    <row r="17" spans="1:63" x14ac:dyDescent="0.15">
      <c r="A17" s="85">
        <v>5</v>
      </c>
      <c r="B17" s="85">
        <v>1</v>
      </c>
      <c r="C17" s="85">
        <v>2</v>
      </c>
      <c r="D17" s="85">
        <v>2</v>
      </c>
      <c r="E17" s="85">
        <v>1</v>
      </c>
      <c r="F17" s="18">
        <v>1</v>
      </c>
      <c r="G17" s="64">
        <f t="shared" si="0"/>
        <v>0.5</v>
      </c>
      <c r="H17" s="18">
        <v>2</v>
      </c>
      <c r="I17" s="64">
        <f t="shared" si="1"/>
        <v>1</v>
      </c>
      <c r="J17" s="18">
        <v>1</v>
      </c>
      <c r="K17" s="64">
        <f t="shared" si="2"/>
        <v>0.5</v>
      </c>
      <c r="L17" s="18">
        <v>2</v>
      </c>
      <c r="M17" s="64">
        <f t="shared" si="3"/>
        <v>0.66666666666666663</v>
      </c>
      <c r="N17" s="18">
        <v>4</v>
      </c>
      <c r="O17" s="64">
        <f t="shared" si="4"/>
        <v>0.8</v>
      </c>
      <c r="P17" s="17">
        <v>2</v>
      </c>
      <c r="Q17" s="64">
        <f t="shared" si="5"/>
        <v>0.66666666666666663</v>
      </c>
      <c r="R17" s="24">
        <v>2</v>
      </c>
      <c r="S17" s="71">
        <f t="shared" si="6"/>
        <v>0.66666666666666663</v>
      </c>
      <c r="T17" s="18">
        <v>3</v>
      </c>
      <c r="U17" s="64">
        <f t="shared" si="7"/>
        <v>1</v>
      </c>
      <c r="V17" s="18">
        <v>3</v>
      </c>
      <c r="W17" s="71">
        <f t="shared" si="8"/>
        <v>0.75</v>
      </c>
      <c r="X17" s="18">
        <v>2</v>
      </c>
      <c r="Y17" s="71">
        <f t="shared" si="9"/>
        <v>0.66666666666666663</v>
      </c>
      <c r="Z17" s="18">
        <v>0</v>
      </c>
      <c r="AA17" s="71">
        <f t="shared" si="10"/>
        <v>0</v>
      </c>
      <c r="AB17" s="18">
        <v>2</v>
      </c>
      <c r="AC17" s="71">
        <f t="shared" si="11"/>
        <v>1</v>
      </c>
      <c r="AD17" s="85">
        <v>1</v>
      </c>
      <c r="AE17" s="85">
        <v>1</v>
      </c>
      <c r="AF17" s="85">
        <v>0</v>
      </c>
      <c r="AG17" s="85">
        <v>0</v>
      </c>
      <c r="AH17" s="85">
        <v>0</v>
      </c>
      <c r="AI17" s="85">
        <v>0</v>
      </c>
      <c r="AJ17" s="19">
        <v>1</v>
      </c>
      <c r="AK17" s="71">
        <f t="shared" si="12"/>
        <v>0.5</v>
      </c>
      <c r="AL17" s="18">
        <v>3</v>
      </c>
      <c r="AM17" s="71">
        <f t="shared" si="13"/>
        <v>1</v>
      </c>
      <c r="AN17" s="18">
        <v>2</v>
      </c>
      <c r="AO17" s="71">
        <f t="shared" si="14"/>
        <v>0.66666666666666663</v>
      </c>
      <c r="AP17" s="18">
        <v>2</v>
      </c>
      <c r="AQ17" s="71">
        <f t="shared" si="15"/>
        <v>0.66666666666666663</v>
      </c>
      <c r="AR17" s="85">
        <v>2</v>
      </c>
      <c r="AS17" s="18">
        <v>2</v>
      </c>
      <c r="AT17" s="71">
        <f t="shared" si="16"/>
        <v>0.66666666666666663</v>
      </c>
      <c r="AU17" s="18">
        <v>3</v>
      </c>
      <c r="AV17" s="71">
        <f t="shared" si="17"/>
        <v>1</v>
      </c>
      <c r="AW17" s="18">
        <v>1</v>
      </c>
      <c r="AX17" s="71">
        <f t="shared" si="18"/>
        <v>0.5</v>
      </c>
      <c r="AY17" s="18">
        <v>2</v>
      </c>
      <c r="AZ17" s="71">
        <f t="shared" si="19"/>
        <v>0.66666666666666663</v>
      </c>
      <c r="BA17" s="94">
        <v>0</v>
      </c>
      <c r="BB17" s="94">
        <v>1</v>
      </c>
      <c r="BC17" s="94">
        <v>1</v>
      </c>
      <c r="BD17" s="94">
        <v>0</v>
      </c>
      <c r="BE17" s="102">
        <f t="shared" si="20"/>
        <v>1.7295632075437108</v>
      </c>
      <c r="BF17" s="81">
        <f t="shared" si="21"/>
        <v>0.61325790965500482</v>
      </c>
      <c r="BG17" s="81" t="str">
        <f t="shared" si="22"/>
        <v>MEDIO</v>
      </c>
      <c r="BK17" s="81" t="str">
        <f t="shared" si="23"/>
        <v>MEDIO</v>
      </c>
    </row>
    <row r="18" spans="1:63" x14ac:dyDescent="0.15">
      <c r="A18" s="84">
        <v>3</v>
      </c>
      <c r="B18" s="84">
        <v>1</v>
      </c>
      <c r="C18" s="84">
        <v>1</v>
      </c>
      <c r="D18" s="84">
        <v>2</v>
      </c>
      <c r="E18" s="85">
        <v>1</v>
      </c>
      <c r="F18" s="17">
        <v>2</v>
      </c>
      <c r="G18" s="64">
        <f t="shared" si="0"/>
        <v>1</v>
      </c>
      <c r="H18" s="17">
        <v>1</v>
      </c>
      <c r="I18" s="64">
        <f t="shared" si="1"/>
        <v>0.5</v>
      </c>
      <c r="J18" s="17">
        <v>1</v>
      </c>
      <c r="K18" s="64">
        <f t="shared" si="2"/>
        <v>0.5</v>
      </c>
      <c r="L18" s="17">
        <v>2</v>
      </c>
      <c r="M18" s="64">
        <f t="shared" si="3"/>
        <v>0.66666666666666663</v>
      </c>
      <c r="N18" s="17">
        <v>2</v>
      </c>
      <c r="O18" s="64">
        <f t="shared" si="4"/>
        <v>0.4</v>
      </c>
      <c r="P18" s="17">
        <v>3</v>
      </c>
      <c r="Q18" s="64">
        <f t="shared" si="5"/>
        <v>1</v>
      </c>
      <c r="R18" s="25">
        <v>0</v>
      </c>
      <c r="S18" s="71">
        <f t="shared" si="6"/>
        <v>0</v>
      </c>
      <c r="T18" s="17">
        <v>3</v>
      </c>
      <c r="U18" s="64">
        <f t="shared" si="7"/>
        <v>1</v>
      </c>
      <c r="V18" s="17">
        <v>4</v>
      </c>
      <c r="W18" s="71">
        <f t="shared" si="8"/>
        <v>1</v>
      </c>
      <c r="X18" s="17">
        <v>0</v>
      </c>
      <c r="Y18" s="71">
        <f t="shared" si="9"/>
        <v>0</v>
      </c>
      <c r="Z18" s="17">
        <v>0</v>
      </c>
      <c r="AA18" s="71">
        <f t="shared" si="10"/>
        <v>0</v>
      </c>
      <c r="AB18" s="17">
        <v>0</v>
      </c>
      <c r="AC18" s="71">
        <f t="shared" si="11"/>
        <v>0</v>
      </c>
      <c r="AD18" s="84">
        <v>0</v>
      </c>
      <c r="AE18" s="84">
        <v>1</v>
      </c>
      <c r="AF18" s="84">
        <v>1</v>
      </c>
      <c r="AG18" s="84">
        <v>0</v>
      </c>
      <c r="AH18" s="84">
        <v>0</v>
      </c>
      <c r="AI18" s="84">
        <v>0</v>
      </c>
      <c r="AJ18" s="20">
        <v>1</v>
      </c>
      <c r="AK18" s="71">
        <f t="shared" si="12"/>
        <v>0.5</v>
      </c>
      <c r="AL18" s="17">
        <v>3</v>
      </c>
      <c r="AM18" s="71">
        <f t="shared" si="13"/>
        <v>1</v>
      </c>
      <c r="AN18" s="17">
        <v>1</v>
      </c>
      <c r="AO18" s="71">
        <f t="shared" si="14"/>
        <v>0.33333333333333331</v>
      </c>
      <c r="AP18" s="17">
        <v>2</v>
      </c>
      <c r="AQ18" s="71">
        <f t="shared" si="15"/>
        <v>0.66666666666666663</v>
      </c>
      <c r="AR18" s="84">
        <v>0</v>
      </c>
      <c r="AS18" s="17">
        <v>2</v>
      </c>
      <c r="AT18" s="71">
        <f t="shared" si="16"/>
        <v>0.66666666666666663</v>
      </c>
      <c r="AU18" s="17">
        <v>3</v>
      </c>
      <c r="AV18" s="71">
        <f t="shared" si="17"/>
        <v>1</v>
      </c>
      <c r="AW18" s="17">
        <v>0</v>
      </c>
      <c r="AX18" s="71">
        <f t="shared" si="18"/>
        <v>0</v>
      </c>
      <c r="AY18" s="17">
        <v>3</v>
      </c>
      <c r="AZ18" s="71">
        <f t="shared" si="19"/>
        <v>1</v>
      </c>
      <c r="BA18" s="93">
        <v>1</v>
      </c>
      <c r="BB18" s="93">
        <v>0</v>
      </c>
      <c r="BC18" s="93">
        <v>1</v>
      </c>
      <c r="BD18" s="93">
        <v>0</v>
      </c>
      <c r="BE18" s="102">
        <f t="shared" si="20"/>
        <v>2.6244576159232933</v>
      </c>
      <c r="BF18" s="81">
        <f t="shared" si="21"/>
        <v>0.41315343667290327</v>
      </c>
      <c r="BG18" s="81" t="str">
        <f t="shared" si="22"/>
        <v>MEDIO</v>
      </c>
      <c r="BK18" s="81" t="str">
        <f t="shared" si="23"/>
        <v>BASSO</v>
      </c>
    </row>
    <row r="19" spans="1:63" x14ac:dyDescent="0.15">
      <c r="A19" s="86">
        <v>3</v>
      </c>
      <c r="B19" s="85">
        <v>1</v>
      </c>
      <c r="C19" s="85">
        <v>4</v>
      </c>
      <c r="D19" s="85">
        <v>2</v>
      </c>
      <c r="E19" s="85">
        <v>1</v>
      </c>
      <c r="F19" s="18">
        <v>1</v>
      </c>
      <c r="G19" s="64">
        <f t="shared" si="0"/>
        <v>0.5</v>
      </c>
      <c r="H19" s="18">
        <v>0</v>
      </c>
      <c r="I19" s="64">
        <f t="shared" si="1"/>
        <v>0</v>
      </c>
      <c r="J19" s="18">
        <v>0</v>
      </c>
      <c r="K19" s="64">
        <f t="shared" si="2"/>
        <v>0</v>
      </c>
      <c r="L19" s="18">
        <v>0</v>
      </c>
      <c r="M19" s="64">
        <f t="shared" si="3"/>
        <v>0</v>
      </c>
      <c r="N19" s="18">
        <v>4</v>
      </c>
      <c r="O19" s="64">
        <f t="shared" si="4"/>
        <v>0.8</v>
      </c>
      <c r="P19" s="18">
        <v>3</v>
      </c>
      <c r="Q19" s="64">
        <f t="shared" si="5"/>
        <v>1</v>
      </c>
      <c r="R19" s="24">
        <v>0</v>
      </c>
      <c r="S19" s="71">
        <f t="shared" si="6"/>
        <v>0</v>
      </c>
      <c r="T19" s="18">
        <v>0</v>
      </c>
      <c r="U19" s="64">
        <f t="shared" si="7"/>
        <v>0</v>
      </c>
      <c r="V19" s="18">
        <v>3</v>
      </c>
      <c r="W19" s="71">
        <f t="shared" si="8"/>
        <v>0.75</v>
      </c>
      <c r="X19" s="18">
        <v>0</v>
      </c>
      <c r="Y19" s="71">
        <f t="shared" si="9"/>
        <v>0</v>
      </c>
      <c r="Z19" s="18">
        <v>1</v>
      </c>
      <c r="AA19" s="71">
        <f t="shared" si="10"/>
        <v>0.33333333333333331</v>
      </c>
      <c r="AB19" s="18">
        <v>0</v>
      </c>
      <c r="AC19" s="71">
        <f t="shared" si="11"/>
        <v>0</v>
      </c>
      <c r="AD19" s="85">
        <v>0</v>
      </c>
      <c r="AE19" s="85">
        <v>0</v>
      </c>
      <c r="AF19" s="85">
        <v>1</v>
      </c>
      <c r="AG19" s="85">
        <v>1</v>
      </c>
      <c r="AH19" s="85">
        <v>0</v>
      </c>
      <c r="AI19" s="85">
        <v>0</v>
      </c>
      <c r="AJ19" s="19">
        <v>1</v>
      </c>
      <c r="AK19" s="71">
        <f t="shared" si="12"/>
        <v>0.5</v>
      </c>
      <c r="AL19" s="18">
        <v>0</v>
      </c>
      <c r="AM19" s="71">
        <f t="shared" si="13"/>
        <v>0</v>
      </c>
      <c r="AN19" s="18">
        <v>0</v>
      </c>
      <c r="AO19" s="71">
        <f t="shared" si="14"/>
        <v>0</v>
      </c>
      <c r="AP19" s="18">
        <v>1</v>
      </c>
      <c r="AQ19" s="71">
        <f t="shared" si="15"/>
        <v>0.33333333333333331</v>
      </c>
      <c r="AR19" s="85">
        <v>2</v>
      </c>
      <c r="AS19" s="18">
        <v>0</v>
      </c>
      <c r="AT19" s="71">
        <f t="shared" si="16"/>
        <v>0</v>
      </c>
      <c r="AU19" s="18">
        <v>0</v>
      </c>
      <c r="AV19" s="71">
        <f t="shared" si="17"/>
        <v>0</v>
      </c>
      <c r="AW19" s="18">
        <v>1</v>
      </c>
      <c r="AX19" s="71">
        <f t="shared" si="18"/>
        <v>0.5</v>
      </c>
      <c r="AY19" s="18">
        <v>0</v>
      </c>
      <c r="AZ19" s="71">
        <f t="shared" si="19"/>
        <v>0</v>
      </c>
      <c r="BA19" s="94">
        <v>0</v>
      </c>
      <c r="BB19" s="94">
        <v>0</v>
      </c>
      <c r="BC19" s="94">
        <v>1</v>
      </c>
      <c r="BD19" s="94">
        <v>0</v>
      </c>
      <c r="BE19" s="102">
        <f t="shared" si="20"/>
        <v>3.7069379397137054</v>
      </c>
      <c r="BF19" s="81">
        <f t="shared" si="21"/>
        <v>0.17110347784279167</v>
      </c>
      <c r="BG19" s="81" t="str">
        <f t="shared" si="22"/>
        <v>BASSO</v>
      </c>
      <c r="BK19" s="81" t="str">
        <f t="shared" si="23"/>
        <v>MOLTO BASSO</v>
      </c>
    </row>
    <row r="20" spans="1:63" x14ac:dyDescent="0.15">
      <c r="A20" s="86">
        <v>3</v>
      </c>
      <c r="B20" s="84">
        <v>1</v>
      </c>
      <c r="C20" s="84">
        <v>1</v>
      </c>
      <c r="D20" s="84">
        <v>2</v>
      </c>
      <c r="E20" s="85">
        <v>1</v>
      </c>
      <c r="F20" s="17">
        <v>1</v>
      </c>
      <c r="G20" s="64">
        <f t="shared" si="0"/>
        <v>0.5</v>
      </c>
      <c r="H20" s="17">
        <v>2</v>
      </c>
      <c r="I20" s="64">
        <f t="shared" si="1"/>
        <v>1</v>
      </c>
      <c r="J20" s="17">
        <v>1</v>
      </c>
      <c r="K20" s="64">
        <f t="shared" si="2"/>
        <v>0.5</v>
      </c>
      <c r="L20" s="17">
        <v>1</v>
      </c>
      <c r="M20" s="64">
        <f t="shared" si="3"/>
        <v>0.33333333333333331</v>
      </c>
      <c r="N20" s="17">
        <v>2</v>
      </c>
      <c r="O20" s="64">
        <f t="shared" si="4"/>
        <v>0.4</v>
      </c>
      <c r="P20" s="17">
        <v>3</v>
      </c>
      <c r="Q20" s="64">
        <f t="shared" si="5"/>
        <v>1</v>
      </c>
      <c r="R20" s="25">
        <v>2</v>
      </c>
      <c r="S20" s="71">
        <f t="shared" si="6"/>
        <v>0.66666666666666663</v>
      </c>
      <c r="T20" s="17">
        <v>3</v>
      </c>
      <c r="U20" s="64">
        <f t="shared" si="7"/>
        <v>1</v>
      </c>
      <c r="V20" s="17">
        <v>0</v>
      </c>
      <c r="W20" s="71">
        <f t="shared" si="8"/>
        <v>0</v>
      </c>
      <c r="X20" s="17">
        <v>2</v>
      </c>
      <c r="Y20" s="71">
        <f t="shared" si="9"/>
        <v>0.66666666666666663</v>
      </c>
      <c r="Z20" s="17">
        <v>3</v>
      </c>
      <c r="AA20" s="71">
        <f t="shared" si="10"/>
        <v>1</v>
      </c>
      <c r="AB20" s="17">
        <v>2</v>
      </c>
      <c r="AC20" s="71">
        <f t="shared" si="11"/>
        <v>1</v>
      </c>
      <c r="AD20" s="84">
        <v>1</v>
      </c>
      <c r="AE20" s="84">
        <v>0</v>
      </c>
      <c r="AF20" s="84">
        <v>1</v>
      </c>
      <c r="AG20" s="84">
        <v>0</v>
      </c>
      <c r="AH20" s="84">
        <v>0</v>
      </c>
      <c r="AI20" s="84">
        <v>0</v>
      </c>
      <c r="AJ20" s="20">
        <v>2</v>
      </c>
      <c r="AK20" s="71">
        <f t="shared" si="12"/>
        <v>1</v>
      </c>
      <c r="AL20" s="17">
        <v>2</v>
      </c>
      <c r="AM20" s="71">
        <f t="shared" si="13"/>
        <v>0.66666666666666663</v>
      </c>
      <c r="AN20" s="17">
        <v>1</v>
      </c>
      <c r="AO20" s="71">
        <f t="shared" si="14"/>
        <v>0.33333333333333331</v>
      </c>
      <c r="AP20" s="17">
        <v>2</v>
      </c>
      <c r="AQ20" s="71">
        <f t="shared" si="15"/>
        <v>0.66666666666666663</v>
      </c>
      <c r="AR20" s="84">
        <v>1</v>
      </c>
      <c r="AS20" s="17">
        <v>3</v>
      </c>
      <c r="AT20" s="71">
        <f t="shared" si="16"/>
        <v>1</v>
      </c>
      <c r="AU20" s="17">
        <v>3</v>
      </c>
      <c r="AV20" s="71">
        <f t="shared" si="17"/>
        <v>1</v>
      </c>
      <c r="AW20" s="17">
        <v>1</v>
      </c>
      <c r="AX20" s="71">
        <f t="shared" si="18"/>
        <v>0.5</v>
      </c>
      <c r="AY20" s="17">
        <v>3</v>
      </c>
      <c r="AZ20" s="71">
        <f t="shared" si="19"/>
        <v>1</v>
      </c>
      <c r="BA20" s="93">
        <v>1</v>
      </c>
      <c r="BB20" s="93">
        <v>1</v>
      </c>
      <c r="BC20" s="93">
        <v>0</v>
      </c>
      <c r="BD20" s="93">
        <v>0</v>
      </c>
      <c r="BE20" s="102">
        <f t="shared" si="20"/>
        <v>1.8556220879622374</v>
      </c>
      <c r="BF20" s="81">
        <f t="shared" si="21"/>
        <v>0.5850702870766733</v>
      </c>
      <c r="BG20" s="81" t="str">
        <f t="shared" si="22"/>
        <v>MEDIO</v>
      </c>
      <c r="BK20" s="81" t="str">
        <f t="shared" si="23"/>
        <v>MEDIO</v>
      </c>
    </row>
    <row r="21" spans="1:63" x14ac:dyDescent="0.15">
      <c r="A21" s="85">
        <v>1</v>
      </c>
      <c r="B21" s="85">
        <v>1</v>
      </c>
      <c r="C21" s="85">
        <v>1</v>
      </c>
      <c r="D21" s="85">
        <v>2</v>
      </c>
      <c r="E21" s="85">
        <v>1</v>
      </c>
      <c r="F21" s="18">
        <v>1</v>
      </c>
      <c r="G21" s="64">
        <f t="shared" si="0"/>
        <v>0.5</v>
      </c>
      <c r="H21" s="18">
        <v>0</v>
      </c>
      <c r="I21" s="64">
        <f t="shared" si="1"/>
        <v>0</v>
      </c>
      <c r="J21" s="18">
        <v>1</v>
      </c>
      <c r="K21" s="64">
        <f t="shared" si="2"/>
        <v>0.5</v>
      </c>
      <c r="L21" s="18">
        <v>2</v>
      </c>
      <c r="M21" s="64">
        <f t="shared" si="3"/>
        <v>0.66666666666666663</v>
      </c>
      <c r="N21" s="18">
        <v>2</v>
      </c>
      <c r="O21" s="64">
        <f t="shared" si="4"/>
        <v>0.4</v>
      </c>
      <c r="P21" s="18">
        <v>3</v>
      </c>
      <c r="Q21" s="64">
        <f t="shared" si="5"/>
        <v>1</v>
      </c>
      <c r="R21" s="24">
        <v>2</v>
      </c>
      <c r="S21" s="71">
        <f t="shared" si="6"/>
        <v>0.66666666666666663</v>
      </c>
      <c r="T21" s="18">
        <v>2</v>
      </c>
      <c r="U21" s="64">
        <f t="shared" si="7"/>
        <v>0.66666666666666663</v>
      </c>
      <c r="V21" s="18">
        <v>3</v>
      </c>
      <c r="W21" s="71">
        <f t="shared" si="8"/>
        <v>0.75</v>
      </c>
      <c r="X21" s="18">
        <v>2</v>
      </c>
      <c r="Y21" s="71">
        <f t="shared" si="9"/>
        <v>0.66666666666666663</v>
      </c>
      <c r="Z21" s="18">
        <v>3</v>
      </c>
      <c r="AA21" s="71">
        <f t="shared" si="10"/>
        <v>1</v>
      </c>
      <c r="AB21" s="18">
        <v>1</v>
      </c>
      <c r="AC21" s="71">
        <f t="shared" si="11"/>
        <v>0.5</v>
      </c>
      <c r="AD21" s="85">
        <v>1</v>
      </c>
      <c r="AE21" s="85">
        <v>0</v>
      </c>
      <c r="AF21" s="85">
        <v>1</v>
      </c>
      <c r="AG21" s="85">
        <v>0</v>
      </c>
      <c r="AH21" s="85">
        <v>0</v>
      </c>
      <c r="AI21" s="85">
        <v>0</v>
      </c>
      <c r="AJ21" s="19">
        <v>1</v>
      </c>
      <c r="AK21" s="71">
        <f t="shared" si="12"/>
        <v>0.5</v>
      </c>
      <c r="AL21" s="18">
        <v>3</v>
      </c>
      <c r="AM21" s="71">
        <f t="shared" si="13"/>
        <v>1</v>
      </c>
      <c r="AN21" s="18">
        <v>1</v>
      </c>
      <c r="AO21" s="71">
        <f t="shared" si="14"/>
        <v>0.33333333333333331</v>
      </c>
      <c r="AP21" s="18">
        <v>1</v>
      </c>
      <c r="AQ21" s="71">
        <f t="shared" si="15"/>
        <v>0.33333333333333331</v>
      </c>
      <c r="AR21" s="85">
        <v>2</v>
      </c>
      <c r="AS21" s="18">
        <v>3</v>
      </c>
      <c r="AT21" s="71">
        <f t="shared" si="16"/>
        <v>1</v>
      </c>
      <c r="AU21" s="18">
        <v>2</v>
      </c>
      <c r="AV21" s="71">
        <f t="shared" si="17"/>
        <v>0.66666666666666663</v>
      </c>
      <c r="AW21" s="18">
        <v>0</v>
      </c>
      <c r="AX21" s="71">
        <f t="shared" si="18"/>
        <v>0</v>
      </c>
      <c r="AY21" s="18">
        <v>2</v>
      </c>
      <c r="AZ21" s="71">
        <f t="shared" si="19"/>
        <v>0.66666666666666663</v>
      </c>
      <c r="BA21" s="94">
        <v>1</v>
      </c>
      <c r="BB21" s="94">
        <v>1</v>
      </c>
      <c r="BC21" s="94">
        <v>0</v>
      </c>
      <c r="BD21" s="94">
        <v>0</v>
      </c>
      <c r="BE21" s="102">
        <f t="shared" si="20"/>
        <v>2.2311556547124982</v>
      </c>
      <c r="BF21" s="81">
        <f t="shared" si="21"/>
        <v>0.50109842876802735</v>
      </c>
      <c r="BG21" s="81" t="str">
        <f t="shared" si="22"/>
        <v>MEDIO</v>
      </c>
      <c r="BK21" s="81" t="str">
        <f t="shared" si="23"/>
        <v>MEDIO</v>
      </c>
    </row>
    <row r="22" spans="1:63" x14ac:dyDescent="0.15">
      <c r="A22" s="84">
        <v>1</v>
      </c>
      <c r="B22" s="84">
        <v>1</v>
      </c>
      <c r="C22" s="84">
        <v>1</v>
      </c>
      <c r="D22" s="84">
        <v>2</v>
      </c>
      <c r="E22" s="85">
        <v>1</v>
      </c>
      <c r="F22" s="17">
        <v>2</v>
      </c>
      <c r="G22" s="64">
        <f t="shared" si="0"/>
        <v>1</v>
      </c>
      <c r="H22" s="17">
        <v>1</v>
      </c>
      <c r="I22" s="64">
        <f t="shared" si="1"/>
        <v>0.5</v>
      </c>
      <c r="J22" s="17">
        <v>1</v>
      </c>
      <c r="K22" s="64">
        <f t="shared" si="2"/>
        <v>0.5</v>
      </c>
      <c r="L22" s="17">
        <v>2</v>
      </c>
      <c r="M22" s="64">
        <f t="shared" si="3"/>
        <v>0.66666666666666663</v>
      </c>
      <c r="N22" s="17">
        <v>5</v>
      </c>
      <c r="O22" s="64">
        <f t="shared" si="4"/>
        <v>1</v>
      </c>
      <c r="P22" s="17">
        <v>0</v>
      </c>
      <c r="Q22" s="64">
        <f t="shared" si="5"/>
        <v>0</v>
      </c>
      <c r="R22" s="25">
        <v>0</v>
      </c>
      <c r="S22" s="71">
        <f t="shared" si="6"/>
        <v>0</v>
      </c>
      <c r="T22" s="17">
        <v>2</v>
      </c>
      <c r="U22" s="64">
        <f t="shared" si="7"/>
        <v>0.66666666666666663</v>
      </c>
      <c r="V22" s="17">
        <v>4</v>
      </c>
      <c r="W22" s="71">
        <f t="shared" si="8"/>
        <v>1</v>
      </c>
      <c r="X22" s="17">
        <v>0</v>
      </c>
      <c r="Y22" s="71">
        <f t="shared" si="9"/>
        <v>0</v>
      </c>
      <c r="Z22" s="17">
        <v>3</v>
      </c>
      <c r="AA22" s="71">
        <f t="shared" si="10"/>
        <v>1</v>
      </c>
      <c r="AB22" s="17">
        <v>2</v>
      </c>
      <c r="AC22" s="71">
        <f t="shared" si="11"/>
        <v>1</v>
      </c>
      <c r="AD22" s="84">
        <v>0</v>
      </c>
      <c r="AE22" s="84">
        <v>0</v>
      </c>
      <c r="AF22" s="84">
        <v>1</v>
      </c>
      <c r="AG22" s="84">
        <v>1</v>
      </c>
      <c r="AH22" s="84">
        <v>0</v>
      </c>
      <c r="AI22" s="84">
        <v>0</v>
      </c>
      <c r="AJ22" s="20">
        <v>1</v>
      </c>
      <c r="AK22" s="71">
        <f t="shared" si="12"/>
        <v>0.5</v>
      </c>
      <c r="AL22" s="17">
        <v>3</v>
      </c>
      <c r="AM22" s="71">
        <f t="shared" si="13"/>
        <v>1</v>
      </c>
      <c r="AN22" s="17">
        <v>2</v>
      </c>
      <c r="AO22" s="71">
        <f t="shared" si="14"/>
        <v>0.66666666666666663</v>
      </c>
      <c r="AP22" s="17">
        <v>0</v>
      </c>
      <c r="AQ22" s="71">
        <f t="shared" si="15"/>
        <v>0</v>
      </c>
      <c r="AR22" s="84">
        <v>2</v>
      </c>
      <c r="AS22" s="17">
        <v>0</v>
      </c>
      <c r="AT22" s="71">
        <f t="shared" si="16"/>
        <v>0</v>
      </c>
      <c r="AU22" s="17">
        <v>0</v>
      </c>
      <c r="AV22" s="71">
        <f t="shared" si="17"/>
        <v>0</v>
      </c>
      <c r="AW22" s="17">
        <v>0</v>
      </c>
      <c r="AX22" s="71">
        <f t="shared" si="18"/>
        <v>0</v>
      </c>
      <c r="AY22" s="17">
        <v>3</v>
      </c>
      <c r="AZ22" s="71">
        <f t="shared" si="19"/>
        <v>1</v>
      </c>
      <c r="BA22" s="93">
        <v>0</v>
      </c>
      <c r="BB22" s="93">
        <v>0</v>
      </c>
      <c r="BC22" s="93">
        <v>0</v>
      </c>
      <c r="BD22" s="93">
        <v>1</v>
      </c>
      <c r="BE22" s="102">
        <f t="shared" si="20"/>
        <v>2.8431203515386634</v>
      </c>
      <c r="BF22" s="81">
        <f t="shared" si="21"/>
        <v>0.36425896257470469</v>
      </c>
      <c r="BG22" s="81" t="str">
        <f t="shared" si="22"/>
        <v>MEDIO</v>
      </c>
      <c r="BK22" s="81" t="str">
        <f t="shared" si="23"/>
        <v>BASSO</v>
      </c>
    </row>
    <row r="23" spans="1:63" x14ac:dyDescent="0.15">
      <c r="A23" s="85">
        <v>2</v>
      </c>
      <c r="B23" s="85">
        <v>1</v>
      </c>
      <c r="C23" s="85">
        <v>1</v>
      </c>
      <c r="D23" s="85">
        <v>2</v>
      </c>
      <c r="E23" s="85">
        <v>1</v>
      </c>
      <c r="F23" s="18">
        <v>1</v>
      </c>
      <c r="G23" s="64">
        <f t="shared" si="0"/>
        <v>0.5</v>
      </c>
      <c r="H23" s="18">
        <v>1</v>
      </c>
      <c r="I23" s="64">
        <f t="shared" si="1"/>
        <v>0.5</v>
      </c>
      <c r="J23" s="18">
        <v>1</v>
      </c>
      <c r="K23" s="64">
        <f t="shared" si="2"/>
        <v>0.5</v>
      </c>
      <c r="L23" s="18">
        <v>1</v>
      </c>
      <c r="M23" s="64">
        <f t="shared" si="3"/>
        <v>0.33333333333333331</v>
      </c>
      <c r="N23" s="18">
        <v>4</v>
      </c>
      <c r="O23" s="64">
        <f t="shared" si="4"/>
        <v>0.8</v>
      </c>
      <c r="P23" s="18">
        <v>3</v>
      </c>
      <c r="Q23" s="64">
        <f t="shared" si="5"/>
        <v>1</v>
      </c>
      <c r="R23" s="24">
        <v>0</v>
      </c>
      <c r="S23" s="71">
        <f t="shared" si="6"/>
        <v>0</v>
      </c>
      <c r="T23" s="18">
        <v>2</v>
      </c>
      <c r="U23" s="64">
        <f t="shared" si="7"/>
        <v>0.66666666666666663</v>
      </c>
      <c r="V23" s="18">
        <v>3</v>
      </c>
      <c r="W23" s="71">
        <f t="shared" si="8"/>
        <v>0.75</v>
      </c>
      <c r="X23" s="18">
        <v>2</v>
      </c>
      <c r="Y23" s="71">
        <f t="shared" si="9"/>
        <v>0.66666666666666663</v>
      </c>
      <c r="Z23" s="18">
        <v>0</v>
      </c>
      <c r="AA23" s="71">
        <f t="shared" si="10"/>
        <v>0</v>
      </c>
      <c r="AB23" s="18">
        <v>1</v>
      </c>
      <c r="AC23" s="71">
        <f t="shared" si="11"/>
        <v>0.5</v>
      </c>
      <c r="AD23" s="85">
        <v>1</v>
      </c>
      <c r="AE23" s="85">
        <v>0</v>
      </c>
      <c r="AF23" s="85">
        <v>1</v>
      </c>
      <c r="AG23" s="85">
        <v>0</v>
      </c>
      <c r="AH23" s="85">
        <v>0</v>
      </c>
      <c r="AI23" s="85">
        <v>0</v>
      </c>
      <c r="AJ23" s="19">
        <v>1</v>
      </c>
      <c r="AK23" s="71">
        <f t="shared" si="12"/>
        <v>0.5</v>
      </c>
      <c r="AL23" s="18">
        <v>2</v>
      </c>
      <c r="AM23" s="71">
        <f t="shared" si="13"/>
        <v>0.66666666666666663</v>
      </c>
      <c r="AN23" s="18">
        <v>1</v>
      </c>
      <c r="AO23" s="71">
        <f t="shared" si="14"/>
        <v>0.33333333333333331</v>
      </c>
      <c r="AP23" s="18">
        <v>1</v>
      </c>
      <c r="AQ23" s="71">
        <f t="shared" si="15"/>
        <v>0.33333333333333331</v>
      </c>
      <c r="AR23" s="85">
        <v>1</v>
      </c>
      <c r="AS23" s="18">
        <v>3</v>
      </c>
      <c r="AT23" s="71">
        <f t="shared" si="16"/>
        <v>1</v>
      </c>
      <c r="AU23" s="18">
        <v>2</v>
      </c>
      <c r="AV23" s="71">
        <f t="shared" si="17"/>
        <v>0.66666666666666663</v>
      </c>
      <c r="AW23" s="18">
        <v>0</v>
      </c>
      <c r="AX23" s="71">
        <f t="shared" si="18"/>
        <v>0</v>
      </c>
      <c r="AY23" s="18">
        <v>2</v>
      </c>
      <c r="AZ23" s="71">
        <f t="shared" si="19"/>
        <v>0.66666666666666663</v>
      </c>
      <c r="BA23" s="94">
        <v>1</v>
      </c>
      <c r="BB23" s="94">
        <v>0</v>
      </c>
      <c r="BC23" s="94">
        <v>0</v>
      </c>
      <c r="BD23" s="94">
        <v>0</v>
      </c>
      <c r="BE23" s="102">
        <f t="shared" si="20"/>
        <v>2.4982771841588933</v>
      </c>
      <c r="BF23" s="81">
        <f t="shared" si="21"/>
        <v>0.4413682389584479</v>
      </c>
      <c r="BG23" s="81" t="str">
        <f t="shared" si="22"/>
        <v>MEDIO</v>
      </c>
      <c r="BK23" s="81" t="str">
        <f t="shared" si="23"/>
        <v>BASSO</v>
      </c>
    </row>
    <row r="24" spans="1:63" x14ac:dyDescent="0.15">
      <c r="A24" s="84">
        <v>3</v>
      </c>
      <c r="B24" s="84">
        <v>2</v>
      </c>
      <c r="C24" s="84">
        <v>0</v>
      </c>
      <c r="D24" s="84">
        <v>2</v>
      </c>
      <c r="E24" s="85">
        <v>1</v>
      </c>
      <c r="F24" s="17">
        <v>1</v>
      </c>
      <c r="G24" s="64">
        <f t="shared" si="0"/>
        <v>0.5</v>
      </c>
      <c r="H24" s="17">
        <v>2</v>
      </c>
      <c r="I24" s="64">
        <f t="shared" si="1"/>
        <v>1</v>
      </c>
      <c r="J24" s="17">
        <v>1</v>
      </c>
      <c r="K24" s="64">
        <f t="shared" si="2"/>
        <v>0.5</v>
      </c>
      <c r="L24" s="17">
        <v>3</v>
      </c>
      <c r="M24" s="64">
        <f t="shared" si="3"/>
        <v>1</v>
      </c>
      <c r="N24" s="17">
        <v>1</v>
      </c>
      <c r="O24" s="64">
        <f t="shared" si="4"/>
        <v>0.2</v>
      </c>
      <c r="P24" s="17">
        <v>0</v>
      </c>
      <c r="Q24" s="64">
        <f t="shared" si="5"/>
        <v>0</v>
      </c>
      <c r="R24" s="25">
        <v>0</v>
      </c>
      <c r="S24" s="71">
        <f t="shared" si="6"/>
        <v>0</v>
      </c>
      <c r="T24" s="17">
        <v>2</v>
      </c>
      <c r="U24" s="64">
        <f t="shared" si="7"/>
        <v>0.66666666666666663</v>
      </c>
      <c r="V24" s="17">
        <v>3</v>
      </c>
      <c r="W24" s="71">
        <f t="shared" si="8"/>
        <v>0.75</v>
      </c>
      <c r="X24" s="17">
        <v>2</v>
      </c>
      <c r="Y24" s="71">
        <f t="shared" si="9"/>
        <v>0.66666666666666663</v>
      </c>
      <c r="Z24" s="17">
        <v>0</v>
      </c>
      <c r="AA24" s="71">
        <f t="shared" si="10"/>
        <v>0</v>
      </c>
      <c r="AB24" s="17">
        <v>1</v>
      </c>
      <c r="AC24" s="71">
        <f t="shared" si="11"/>
        <v>0.5</v>
      </c>
      <c r="AD24" s="84">
        <v>0</v>
      </c>
      <c r="AE24" s="84">
        <v>1</v>
      </c>
      <c r="AF24" s="84">
        <v>1</v>
      </c>
      <c r="AG24" s="84">
        <v>0</v>
      </c>
      <c r="AH24" s="84">
        <v>0</v>
      </c>
      <c r="AI24" s="84">
        <v>0</v>
      </c>
      <c r="AJ24" s="20">
        <v>1</v>
      </c>
      <c r="AK24" s="71">
        <f t="shared" si="12"/>
        <v>0.5</v>
      </c>
      <c r="AL24" s="17">
        <v>3</v>
      </c>
      <c r="AM24" s="71">
        <f t="shared" si="13"/>
        <v>1</v>
      </c>
      <c r="AN24" s="17">
        <v>0</v>
      </c>
      <c r="AO24" s="71">
        <f t="shared" si="14"/>
        <v>0</v>
      </c>
      <c r="AP24" s="17">
        <v>2</v>
      </c>
      <c r="AQ24" s="71">
        <f t="shared" si="15"/>
        <v>0.66666666666666663</v>
      </c>
      <c r="AR24" s="84">
        <v>0</v>
      </c>
      <c r="AS24" s="17">
        <v>3</v>
      </c>
      <c r="AT24" s="71">
        <f t="shared" si="16"/>
        <v>1</v>
      </c>
      <c r="AU24" s="17">
        <v>2</v>
      </c>
      <c r="AV24" s="71">
        <f t="shared" si="17"/>
        <v>0.66666666666666663</v>
      </c>
      <c r="AW24" s="17">
        <v>1</v>
      </c>
      <c r="AX24" s="71">
        <f t="shared" si="18"/>
        <v>0.5</v>
      </c>
      <c r="AY24" s="17">
        <v>0</v>
      </c>
      <c r="AZ24" s="71">
        <f t="shared" si="19"/>
        <v>0</v>
      </c>
      <c r="BA24" s="93">
        <v>1</v>
      </c>
      <c r="BB24" s="93">
        <v>0</v>
      </c>
      <c r="BC24" s="93">
        <v>0</v>
      </c>
      <c r="BD24" s="93">
        <v>0</v>
      </c>
      <c r="BE24" s="102">
        <f t="shared" si="20"/>
        <v>2.719732421479077</v>
      </c>
      <c r="BF24" s="81">
        <f t="shared" si="21"/>
        <v>0.39184934249632464</v>
      </c>
      <c r="BG24" s="81" t="str">
        <f t="shared" si="22"/>
        <v>MEDIO</v>
      </c>
      <c r="BK24" s="81" t="str">
        <f t="shared" si="23"/>
        <v>BASSO</v>
      </c>
    </row>
    <row r="25" spans="1:63" x14ac:dyDescent="0.15">
      <c r="A25" s="85">
        <v>2</v>
      </c>
      <c r="B25" s="85">
        <v>1</v>
      </c>
      <c r="C25" s="85">
        <v>2</v>
      </c>
      <c r="D25" s="85">
        <v>1</v>
      </c>
      <c r="E25" s="85">
        <v>1</v>
      </c>
      <c r="F25" s="18">
        <v>1</v>
      </c>
      <c r="G25" s="64">
        <f t="shared" si="0"/>
        <v>0.5</v>
      </c>
      <c r="H25" s="18">
        <v>1</v>
      </c>
      <c r="I25" s="64">
        <f t="shared" si="1"/>
        <v>0.5</v>
      </c>
      <c r="J25" s="18">
        <v>1</v>
      </c>
      <c r="K25" s="64">
        <f t="shared" si="2"/>
        <v>0.5</v>
      </c>
      <c r="L25" s="18">
        <v>1</v>
      </c>
      <c r="M25" s="64">
        <f t="shared" si="3"/>
        <v>0.33333333333333331</v>
      </c>
      <c r="N25" s="18">
        <v>2</v>
      </c>
      <c r="O25" s="64">
        <f t="shared" si="4"/>
        <v>0.4</v>
      </c>
      <c r="P25" s="18">
        <v>3</v>
      </c>
      <c r="Q25" s="64">
        <f t="shared" si="5"/>
        <v>1</v>
      </c>
      <c r="R25" s="24">
        <v>2</v>
      </c>
      <c r="S25" s="71">
        <f t="shared" si="6"/>
        <v>0.66666666666666663</v>
      </c>
      <c r="T25" s="18">
        <v>3</v>
      </c>
      <c r="U25" s="64">
        <f t="shared" si="7"/>
        <v>1</v>
      </c>
      <c r="V25" s="18">
        <v>1</v>
      </c>
      <c r="W25" s="71">
        <f t="shared" si="8"/>
        <v>0.25</v>
      </c>
      <c r="X25" s="18">
        <v>0</v>
      </c>
      <c r="Y25" s="71">
        <f t="shared" si="9"/>
        <v>0</v>
      </c>
      <c r="Z25" s="18">
        <v>1</v>
      </c>
      <c r="AA25" s="71">
        <f t="shared" si="10"/>
        <v>0.33333333333333331</v>
      </c>
      <c r="AB25" s="18">
        <v>3</v>
      </c>
      <c r="AC25" s="71">
        <f t="shared" si="11"/>
        <v>1.5</v>
      </c>
      <c r="AD25" s="85">
        <v>1</v>
      </c>
      <c r="AE25" s="85">
        <v>0</v>
      </c>
      <c r="AF25" s="85">
        <v>1</v>
      </c>
      <c r="AG25" s="85">
        <v>0</v>
      </c>
      <c r="AH25" s="85">
        <v>0</v>
      </c>
      <c r="AI25" s="85">
        <v>0</v>
      </c>
      <c r="AJ25" s="19">
        <v>0</v>
      </c>
      <c r="AK25" s="71">
        <f t="shared" si="12"/>
        <v>0</v>
      </c>
      <c r="AL25" s="18">
        <v>3</v>
      </c>
      <c r="AM25" s="71">
        <f t="shared" si="13"/>
        <v>1</v>
      </c>
      <c r="AN25" s="18">
        <v>2</v>
      </c>
      <c r="AO25" s="71">
        <f t="shared" si="14"/>
        <v>0.66666666666666663</v>
      </c>
      <c r="AP25" s="18">
        <v>2</v>
      </c>
      <c r="AQ25" s="71">
        <f t="shared" si="15"/>
        <v>0.66666666666666663</v>
      </c>
      <c r="AR25" s="85">
        <v>0</v>
      </c>
      <c r="AS25" s="18">
        <v>2</v>
      </c>
      <c r="AT25" s="71">
        <f t="shared" si="16"/>
        <v>0.66666666666666663</v>
      </c>
      <c r="AU25" s="18">
        <v>2</v>
      </c>
      <c r="AV25" s="71">
        <f t="shared" si="17"/>
        <v>0.66666666666666663</v>
      </c>
      <c r="AW25" s="18">
        <v>2</v>
      </c>
      <c r="AX25" s="71">
        <f t="shared" si="18"/>
        <v>1</v>
      </c>
      <c r="AY25" s="18">
        <v>2</v>
      </c>
      <c r="AZ25" s="71">
        <f t="shared" si="19"/>
        <v>0.66666666666666663</v>
      </c>
      <c r="BA25" s="94">
        <v>0</v>
      </c>
      <c r="BB25" s="94">
        <v>1</v>
      </c>
      <c r="BC25" s="94">
        <v>1</v>
      </c>
      <c r="BD25" s="94">
        <v>0</v>
      </c>
      <c r="BE25" s="102">
        <f t="shared" si="20"/>
        <v>2.3405246325462064</v>
      </c>
      <c r="BF25" s="81">
        <f t="shared" si="21"/>
        <v>0.47664278186144582</v>
      </c>
      <c r="BG25" s="81" t="str">
        <f t="shared" si="22"/>
        <v>MEDIO</v>
      </c>
      <c r="BK25" s="81" t="str">
        <f t="shared" si="23"/>
        <v>MEDIO</v>
      </c>
    </row>
    <row r="26" spans="1:63" x14ac:dyDescent="0.15">
      <c r="A26" s="84">
        <v>4</v>
      </c>
      <c r="B26" s="84">
        <v>2</v>
      </c>
      <c r="C26" s="84">
        <v>3</v>
      </c>
      <c r="D26" s="84">
        <v>2</v>
      </c>
      <c r="E26" s="85">
        <v>1</v>
      </c>
      <c r="F26" s="17">
        <v>1</v>
      </c>
      <c r="G26" s="64">
        <f t="shared" si="0"/>
        <v>0.5</v>
      </c>
      <c r="H26" s="17">
        <v>2</v>
      </c>
      <c r="I26" s="64">
        <f t="shared" si="1"/>
        <v>1</v>
      </c>
      <c r="J26" s="17">
        <v>1</v>
      </c>
      <c r="K26" s="64">
        <f t="shared" si="2"/>
        <v>0.5</v>
      </c>
      <c r="L26" s="17">
        <v>1</v>
      </c>
      <c r="M26" s="64">
        <f t="shared" si="3"/>
        <v>0.33333333333333331</v>
      </c>
      <c r="N26" s="17">
        <v>5</v>
      </c>
      <c r="O26" s="64">
        <f t="shared" si="4"/>
        <v>1</v>
      </c>
      <c r="P26" s="17">
        <v>3</v>
      </c>
      <c r="Q26" s="64">
        <f t="shared" si="5"/>
        <v>1</v>
      </c>
      <c r="R26" s="25">
        <v>2</v>
      </c>
      <c r="S26" s="71">
        <f t="shared" si="6"/>
        <v>0.66666666666666663</v>
      </c>
      <c r="T26" s="17">
        <v>2</v>
      </c>
      <c r="U26" s="64">
        <f t="shared" si="7"/>
        <v>0.66666666666666663</v>
      </c>
      <c r="V26" s="17">
        <v>4</v>
      </c>
      <c r="W26" s="71">
        <f t="shared" si="8"/>
        <v>1</v>
      </c>
      <c r="X26" s="17">
        <v>1</v>
      </c>
      <c r="Y26" s="71">
        <f t="shared" si="9"/>
        <v>0.33333333333333331</v>
      </c>
      <c r="Z26" s="17">
        <v>0</v>
      </c>
      <c r="AA26" s="71">
        <f t="shared" si="10"/>
        <v>0</v>
      </c>
      <c r="AB26" s="17">
        <v>0</v>
      </c>
      <c r="AC26" s="71">
        <f t="shared" si="11"/>
        <v>0</v>
      </c>
      <c r="AD26" s="84">
        <v>1</v>
      </c>
      <c r="AE26" s="84">
        <v>0</v>
      </c>
      <c r="AF26" s="84">
        <v>1</v>
      </c>
      <c r="AG26" s="84">
        <v>0</v>
      </c>
      <c r="AH26" s="84">
        <v>0</v>
      </c>
      <c r="AI26" s="84">
        <v>0</v>
      </c>
      <c r="AJ26" s="20">
        <v>0</v>
      </c>
      <c r="AK26" s="71">
        <f t="shared" si="12"/>
        <v>0</v>
      </c>
      <c r="AL26" s="17">
        <v>3</v>
      </c>
      <c r="AM26" s="71">
        <f t="shared" si="13"/>
        <v>1</v>
      </c>
      <c r="AN26" s="17">
        <v>0</v>
      </c>
      <c r="AO26" s="71">
        <f t="shared" si="14"/>
        <v>0</v>
      </c>
      <c r="AP26" s="17">
        <v>0</v>
      </c>
      <c r="AQ26" s="71">
        <f t="shared" si="15"/>
        <v>0</v>
      </c>
      <c r="AR26" s="84">
        <v>0</v>
      </c>
      <c r="AS26" s="17">
        <v>0</v>
      </c>
      <c r="AT26" s="71">
        <f t="shared" si="16"/>
        <v>0</v>
      </c>
      <c r="AU26" s="17">
        <v>1</v>
      </c>
      <c r="AV26" s="71">
        <f t="shared" si="17"/>
        <v>0.33333333333333331</v>
      </c>
      <c r="AW26" s="17">
        <v>1</v>
      </c>
      <c r="AX26" s="71">
        <f t="shared" si="18"/>
        <v>0.5</v>
      </c>
      <c r="AY26" s="17">
        <v>2</v>
      </c>
      <c r="AZ26" s="71">
        <f t="shared" si="19"/>
        <v>0.66666666666666663</v>
      </c>
      <c r="BA26" s="93">
        <v>0</v>
      </c>
      <c r="BB26" s="93">
        <v>0</v>
      </c>
      <c r="BC26" s="93">
        <v>0</v>
      </c>
      <c r="BD26" s="93">
        <v>1</v>
      </c>
      <c r="BE26" s="102">
        <f t="shared" si="20"/>
        <v>2.9011491975882016</v>
      </c>
      <c r="BF26" s="81">
        <f t="shared" si="21"/>
        <v>0.35128331813244218</v>
      </c>
      <c r="BG26" s="81" t="str">
        <f t="shared" si="22"/>
        <v>MEDIO</v>
      </c>
      <c r="BK26" s="81" t="str">
        <f t="shared" si="23"/>
        <v>BASSO</v>
      </c>
    </row>
    <row r="27" spans="1:63" x14ac:dyDescent="0.15">
      <c r="A27" s="85">
        <v>2</v>
      </c>
      <c r="B27" s="85">
        <v>1</v>
      </c>
      <c r="C27" s="85">
        <v>2</v>
      </c>
      <c r="D27" s="85">
        <v>2</v>
      </c>
      <c r="E27" s="85">
        <v>1</v>
      </c>
      <c r="F27" s="18">
        <v>2</v>
      </c>
      <c r="G27" s="64">
        <f t="shared" si="0"/>
        <v>1</v>
      </c>
      <c r="H27" s="18">
        <v>1</v>
      </c>
      <c r="I27" s="64">
        <f t="shared" si="1"/>
        <v>0.5</v>
      </c>
      <c r="J27" s="18">
        <v>1</v>
      </c>
      <c r="K27" s="64">
        <f t="shared" si="2"/>
        <v>0.5</v>
      </c>
      <c r="L27" s="18">
        <v>3</v>
      </c>
      <c r="M27" s="64">
        <f t="shared" si="3"/>
        <v>1</v>
      </c>
      <c r="N27" s="18">
        <v>2</v>
      </c>
      <c r="O27" s="64">
        <f t="shared" si="4"/>
        <v>0.4</v>
      </c>
      <c r="P27" s="18">
        <v>3</v>
      </c>
      <c r="Q27" s="64">
        <f t="shared" si="5"/>
        <v>1</v>
      </c>
      <c r="R27" s="24">
        <v>3</v>
      </c>
      <c r="S27" s="71">
        <f t="shared" si="6"/>
        <v>1</v>
      </c>
      <c r="T27" s="18">
        <v>3</v>
      </c>
      <c r="U27" s="64">
        <f t="shared" si="7"/>
        <v>1</v>
      </c>
      <c r="V27" s="18">
        <v>1</v>
      </c>
      <c r="W27" s="71">
        <f t="shared" si="8"/>
        <v>0.25</v>
      </c>
      <c r="X27" s="18">
        <v>3</v>
      </c>
      <c r="Y27" s="71">
        <f t="shared" si="9"/>
        <v>1</v>
      </c>
      <c r="Z27" s="18">
        <v>3</v>
      </c>
      <c r="AA27" s="71">
        <f t="shared" si="10"/>
        <v>1</v>
      </c>
      <c r="AB27" s="18">
        <v>0</v>
      </c>
      <c r="AC27" s="71">
        <f t="shared" si="11"/>
        <v>0</v>
      </c>
      <c r="AD27" s="85">
        <v>0</v>
      </c>
      <c r="AE27" s="85">
        <v>1</v>
      </c>
      <c r="AF27" s="85">
        <v>1</v>
      </c>
      <c r="AG27" s="85">
        <v>0</v>
      </c>
      <c r="AH27" s="85">
        <v>0</v>
      </c>
      <c r="AI27" s="85">
        <v>0</v>
      </c>
      <c r="AJ27" s="19">
        <v>1</v>
      </c>
      <c r="AK27" s="71">
        <f t="shared" si="12"/>
        <v>0.5</v>
      </c>
      <c r="AL27" s="18">
        <v>3</v>
      </c>
      <c r="AM27" s="71">
        <f t="shared" si="13"/>
        <v>1</v>
      </c>
      <c r="AN27" s="18">
        <v>1</v>
      </c>
      <c r="AO27" s="71">
        <f t="shared" si="14"/>
        <v>0.33333333333333331</v>
      </c>
      <c r="AP27" s="18">
        <v>3</v>
      </c>
      <c r="AQ27" s="71">
        <f t="shared" si="15"/>
        <v>1</v>
      </c>
      <c r="AR27" s="85">
        <v>0</v>
      </c>
      <c r="AS27" s="18">
        <v>2</v>
      </c>
      <c r="AT27" s="71">
        <f t="shared" si="16"/>
        <v>0.66666666666666663</v>
      </c>
      <c r="AU27" s="18">
        <v>3</v>
      </c>
      <c r="AV27" s="71">
        <f t="shared" si="17"/>
        <v>1</v>
      </c>
      <c r="AW27" s="18">
        <v>0</v>
      </c>
      <c r="AX27" s="71">
        <f t="shared" si="18"/>
        <v>0</v>
      </c>
      <c r="AY27" s="18">
        <v>3</v>
      </c>
      <c r="AZ27" s="71">
        <f t="shared" si="19"/>
        <v>1</v>
      </c>
      <c r="BA27" s="94">
        <v>1</v>
      </c>
      <c r="BB27" s="94">
        <v>1</v>
      </c>
      <c r="BC27" s="94">
        <v>0</v>
      </c>
      <c r="BD27" s="94">
        <v>0</v>
      </c>
      <c r="BE27" s="102">
        <f t="shared" si="20"/>
        <v>2.056223615163379</v>
      </c>
      <c r="BF27" s="81">
        <f t="shared" si="21"/>
        <v>0.54021442195547498</v>
      </c>
      <c r="BG27" s="81" t="str">
        <f t="shared" si="22"/>
        <v>MEDIO</v>
      </c>
      <c r="BK27" s="81" t="str">
        <f t="shared" si="23"/>
        <v>MEDIO</v>
      </c>
    </row>
    <row r="28" spans="1:63" x14ac:dyDescent="0.15">
      <c r="A28" s="84">
        <v>3</v>
      </c>
      <c r="B28" s="84">
        <v>1</v>
      </c>
      <c r="C28" s="84">
        <v>1</v>
      </c>
      <c r="D28" s="84">
        <v>2</v>
      </c>
      <c r="E28" s="85">
        <v>1</v>
      </c>
      <c r="F28" s="17">
        <v>1</v>
      </c>
      <c r="G28" s="64">
        <f t="shared" si="0"/>
        <v>0.5</v>
      </c>
      <c r="H28" s="17">
        <v>1</v>
      </c>
      <c r="I28" s="64">
        <f t="shared" si="1"/>
        <v>0.5</v>
      </c>
      <c r="J28" s="17">
        <v>1</v>
      </c>
      <c r="K28" s="64">
        <f t="shared" si="2"/>
        <v>0.5</v>
      </c>
      <c r="L28" s="17">
        <v>2</v>
      </c>
      <c r="M28" s="64">
        <f t="shared" si="3"/>
        <v>0.66666666666666663</v>
      </c>
      <c r="N28" s="17">
        <v>5</v>
      </c>
      <c r="O28" s="64">
        <f t="shared" si="4"/>
        <v>1</v>
      </c>
      <c r="P28" s="17">
        <v>0</v>
      </c>
      <c r="Q28" s="64">
        <f t="shared" si="5"/>
        <v>0</v>
      </c>
      <c r="R28" s="25">
        <v>3</v>
      </c>
      <c r="S28" s="71">
        <f t="shared" si="6"/>
        <v>1</v>
      </c>
      <c r="T28" s="17">
        <v>1</v>
      </c>
      <c r="U28" s="64">
        <f t="shared" si="7"/>
        <v>0.33333333333333331</v>
      </c>
      <c r="V28" s="17">
        <v>3</v>
      </c>
      <c r="W28" s="71">
        <f t="shared" si="8"/>
        <v>0.75</v>
      </c>
      <c r="X28" s="17">
        <v>1</v>
      </c>
      <c r="Y28" s="71">
        <f t="shared" si="9"/>
        <v>0.33333333333333331</v>
      </c>
      <c r="Z28" s="17">
        <v>0</v>
      </c>
      <c r="AA28" s="71">
        <f t="shared" si="10"/>
        <v>0</v>
      </c>
      <c r="AB28" s="17">
        <v>0</v>
      </c>
      <c r="AC28" s="71">
        <f t="shared" si="11"/>
        <v>0</v>
      </c>
      <c r="AD28" s="84">
        <v>1</v>
      </c>
      <c r="AE28" s="84">
        <v>0</v>
      </c>
      <c r="AF28" s="84">
        <v>1</v>
      </c>
      <c r="AG28" s="84">
        <v>0</v>
      </c>
      <c r="AH28" s="84">
        <v>0</v>
      </c>
      <c r="AI28" s="84">
        <v>0</v>
      </c>
      <c r="AJ28" s="20">
        <v>1</v>
      </c>
      <c r="AK28" s="71">
        <f t="shared" si="12"/>
        <v>0.5</v>
      </c>
      <c r="AL28" s="17">
        <v>3</v>
      </c>
      <c r="AM28" s="71">
        <f t="shared" si="13"/>
        <v>1</v>
      </c>
      <c r="AN28" s="17">
        <v>0</v>
      </c>
      <c r="AO28" s="71">
        <f t="shared" si="14"/>
        <v>0</v>
      </c>
      <c r="AP28" s="17">
        <v>2</v>
      </c>
      <c r="AQ28" s="71">
        <f t="shared" si="15"/>
        <v>0.66666666666666663</v>
      </c>
      <c r="AR28" s="84">
        <v>2</v>
      </c>
      <c r="AS28" s="17">
        <v>3</v>
      </c>
      <c r="AT28" s="71">
        <f t="shared" si="16"/>
        <v>1</v>
      </c>
      <c r="AU28" s="17">
        <v>2</v>
      </c>
      <c r="AV28" s="71">
        <f t="shared" si="17"/>
        <v>0.66666666666666663</v>
      </c>
      <c r="AW28" s="17">
        <v>1</v>
      </c>
      <c r="AX28" s="71">
        <f t="shared" si="18"/>
        <v>0.5</v>
      </c>
      <c r="AY28" s="17">
        <v>2</v>
      </c>
      <c r="AZ28" s="71">
        <f t="shared" si="19"/>
        <v>0.66666666666666663</v>
      </c>
      <c r="BA28" s="93">
        <v>0</v>
      </c>
      <c r="BB28" s="93">
        <v>1</v>
      </c>
      <c r="BC28" s="93">
        <v>1</v>
      </c>
      <c r="BD28" s="93">
        <v>0</v>
      </c>
      <c r="BE28" s="102">
        <f t="shared" si="20"/>
        <v>2.5779513830430032</v>
      </c>
      <c r="BF28" s="81">
        <f t="shared" si="21"/>
        <v>0.42355254648267882</v>
      </c>
      <c r="BG28" s="81" t="str">
        <f t="shared" si="22"/>
        <v>MEDIO</v>
      </c>
      <c r="BK28" s="81" t="str">
        <f t="shared" si="23"/>
        <v>BASSO</v>
      </c>
    </row>
    <row r="29" spans="1:63" x14ac:dyDescent="0.15">
      <c r="A29" s="85">
        <v>4</v>
      </c>
      <c r="B29" s="85">
        <v>2</v>
      </c>
      <c r="C29" s="85">
        <v>4</v>
      </c>
      <c r="D29" s="85">
        <v>2</v>
      </c>
      <c r="E29" s="85">
        <v>1</v>
      </c>
      <c r="F29" s="18">
        <v>1</v>
      </c>
      <c r="G29" s="64">
        <f t="shared" si="0"/>
        <v>0.5</v>
      </c>
      <c r="H29" s="18">
        <v>2</v>
      </c>
      <c r="I29" s="64">
        <f t="shared" si="1"/>
        <v>1</v>
      </c>
      <c r="J29" s="18">
        <v>1</v>
      </c>
      <c r="K29" s="64">
        <f t="shared" si="2"/>
        <v>0.5</v>
      </c>
      <c r="L29" s="18">
        <v>1</v>
      </c>
      <c r="M29" s="64">
        <f t="shared" si="3"/>
        <v>0.33333333333333331</v>
      </c>
      <c r="N29" s="18">
        <v>0</v>
      </c>
      <c r="O29" s="64">
        <f t="shared" si="4"/>
        <v>0</v>
      </c>
      <c r="P29" s="18">
        <v>2</v>
      </c>
      <c r="Q29" s="64">
        <f t="shared" si="5"/>
        <v>0.66666666666666663</v>
      </c>
      <c r="R29" s="24">
        <v>3</v>
      </c>
      <c r="S29" s="71">
        <f t="shared" si="6"/>
        <v>1</v>
      </c>
      <c r="T29" s="18">
        <v>2</v>
      </c>
      <c r="U29" s="64">
        <f t="shared" si="7"/>
        <v>0.66666666666666663</v>
      </c>
      <c r="V29" s="18">
        <v>3</v>
      </c>
      <c r="W29" s="71">
        <f t="shared" si="8"/>
        <v>0.75</v>
      </c>
      <c r="X29" s="18">
        <v>2</v>
      </c>
      <c r="Y29" s="71">
        <f t="shared" si="9"/>
        <v>0.66666666666666663</v>
      </c>
      <c r="Z29" s="18">
        <v>1</v>
      </c>
      <c r="AA29" s="71">
        <f t="shared" si="10"/>
        <v>0.33333333333333331</v>
      </c>
      <c r="AB29" s="18">
        <v>1</v>
      </c>
      <c r="AC29" s="71">
        <f t="shared" si="11"/>
        <v>0.5</v>
      </c>
      <c r="AD29" s="85">
        <v>1</v>
      </c>
      <c r="AE29" s="85">
        <v>0</v>
      </c>
      <c r="AF29" s="85">
        <v>0</v>
      </c>
      <c r="AG29" s="85">
        <v>1</v>
      </c>
      <c r="AH29" s="85">
        <v>0</v>
      </c>
      <c r="AI29" s="85">
        <v>0</v>
      </c>
      <c r="AJ29" s="19">
        <v>0</v>
      </c>
      <c r="AK29" s="71">
        <f t="shared" si="12"/>
        <v>0</v>
      </c>
      <c r="AL29" s="18">
        <v>1</v>
      </c>
      <c r="AM29" s="71">
        <f t="shared" si="13"/>
        <v>0.33333333333333331</v>
      </c>
      <c r="AN29" s="18">
        <v>1</v>
      </c>
      <c r="AO29" s="71">
        <f t="shared" si="14"/>
        <v>0.33333333333333331</v>
      </c>
      <c r="AP29" s="18">
        <v>1</v>
      </c>
      <c r="AQ29" s="71">
        <f t="shared" si="15"/>
        <v>0.33333333333333331</v>
      </c>
      <c r="AR29" s="85">
        <v>2</v>
      </c>
      <c r="AS29" s="18">
        <v>2</v>
      </c>
      <c r="AT29" s="71">
        <f t="shared" si="16"/>
        <v>0.66666666666666663</v>
      </c>
      <c r="AU29" s="18">
        <v>0</v>
      </c>
      <c r="AV29" s="71">
        <f t="shared" si="17"/>
        <v>0</v>
      </c>
      <c r="AW29" s="18">
        <v>1</v>
      </c>
      <c r="AX29" s="71">
        <f t="shared" si="18"/>
        <v>0.5</v>
      </c>
      <c r="AY29" s="18">
        <v>0</v>
      </c>
      <c r="AZ29" s="71">
        <f t="shared" si="19"/>
        <v>0</v>
      </c>
      <c r="BA29" s="94">
        <v>0</v>
      </c>
      <c r="BB29" s="94">
        <v>0</v>
      </c>
      <c r="BC29" s="94">
        <v>0</v>
      </c>
      <c r="BD29" s="94">
        <v>1</v>
      </c>
      <c r="BE29" s="102">
        <f t="shared" si="20"/>
        <v>2.7801378862687129</v>
      </c>
      <c r="BF29" s="81">
        <f t="shared" si="21"/>
        <v>0.37834226994811626</v>
      </c>
      <c r="BG29" s="81" t="str">
        <f t="shared" si="22"/>
        <v>MEDIO</v>
      </c>
      <c r="BK29" s="81" t="str">
        <f t="shared" si="23"/>
        <v>BASSO</v>
      </c>
    </row>
    <row r="30" spans="1:63" x14ac:dyDescent="0.15">
      <c r="A30" s="84">
        <v>3</v>
      </c>
      <c r="B30" s="84">
        <v>2</v>
      </c>
      <c r="C30" s="84">
        <v>4</v>
      </c>
      <c r="D30" s="84">
        <v>2</v>
      </c>
      <c r="E30" s="85">
        <v>1</v>
      </c>
      <c r="F30" s="17">
        <v>2</v>
      </c>
      <c r="G30" s="64">
        <f t="shared" si="0"/>
        <v>1</v>
      </c>
      <c r="H30" s="17">
        <v>2</v>
      </c>
      <c r="I30" s="64">
        <f t="shared" si="1"/>
        <v>1</v>
      </c>
      <c r="J30" s="17">
        <v>1</v>
      </c>
      <c r="K30" s="64">
        <f t="shared" si="2"/>
        <v>0.5</v>
      </c>
      <c r="L30" s="17">
        <v>3</v>
      </c>
      <c r="M30" s="64">
        <f t="shared" si="3"/>
        <v>1</v>
      </c>
      <c r="N30" s="17">
        <v>0</v>
      </c>
      <c r="O30" s="64">
        <f t="shared" si="4"/>
        <v>0</v>
      </c>
      <c r="P30" s="17">
        <v>2</v>
      </c>
      <c r="Q30" s="64">
        <f t="shared" si="5"/>
        <v>0.66666666666666663</v>
      </c>
      <c r="R30" s="25">
        <v>3</v>
      </c>
      <c r="S30" s="71">
        <f t="shared" si="6"/>
        <v>1</v>
      </c>
      <c r="T30" s="17">
        <v>2</v>
      </c>
      <c r="U30" s="64">
        <f t="shared" si="7"/>
        <v>0.66666666666666663</v>
      </c>
      <c r="V30" s="17">
        <v>3</v>
      </c>
      <c r="W30" s="71">
        <f t="shared" si="8"/>
        <v>0.75</v>
      </c>
      <c r="X30" s="17">
        <v>3</v>
      </c>
      <c r="Y30" s="71">
        <f t="shared" si="9"/>
        <v>1</v>
      </c>
      <c r="Z30" s="17">
        <v>1</v>
      </c>
      <c r="AA30" s="71">
        <f t="shared" si="10"/>
        <v>0.33333333333333331</v>
      </c>
      <c r="AB30" s="17">
        <v>2</v>
      </c>
      <c r="AC30" s="71">
        <f t="shared" si="11"/>
        <v>1</v>
      </c>
      <c r="AD30" s="84">
        <v>1</v>
      </c>
      <c r="AE30" s="84">
        <v>0</v>
      </c>
      <c r="AF30" s="84">
        <v>0</v>
      </c>
      <c r="AG30" s="84">
        <v>1</v>
      </c>
      <c r="AH30" s="84">
        <v>0</v>
      </c>
      <c r="AI30" s="84">
        <v>0</v>
      </c>
      <c r="AJ30" s="20">
        <v>1</v>
      </c>
      <c r="AK30" s="71">
        <f t="shared" si="12"/>
        <v>0.5</v>
      </c>
      <c r="AL30" s="17">
        <v>0</v>
      </c>
      <c r="AM30" s="71">
        <f t="shared" si="13"/>
        <v>0</v>
      </c>
      <c r="AN30" s="17">
        <v>2</v>
      </c>
      <c r="AO30" s="71">
        <f t="shared" si="14"/>
        <v>0.66666666666666663</v>
      </c>
      <c r="AP30" s="17">
        <v>3</v>
      </c>
      <c r="AQ30" s="71">
        <f t="shared" si="15"/>
        <v>1</v>
      </c>
      <c r="AR30" s="84">
        <v>2</v>
      </c>
      <c r="AS30" s="17">
        <v>2</v>
      </c>
      <c r="AT30" s="71">
        <f t="shared" si="16"/>
        <v>0.66666666666666663</v>
      </c>
      <c r="AU30" s="17">
        <v>2</v>
      </c>
      <c r="AV30" s="71">
        <f t="shared" si="17"/>
        <v>0.66666666666666663</v>
      </c>
      <c r="AW30" s="17">
        <v>1</v>
      </c>
      <c r="AX30" s="71">
        <f t="shared" si="18"/>
        <v>0.5</v>
      </c>
      <c r="AY30" s="17">
        <v>3</v>
      </c>
      <c r="AZ30" s="71">
        <f t="shared" si="19"/>
        <v>1</v>
      </c>
      <c r="BA30" s="93">
        <v>0</v>
      </c>
      <c r="BB30" s="93">
        <v>1</v>
      </c>
      <c r="BC30" s="93">
        <v>1</v>
      </c>
      <c r="BD30" s="93">
        <v>0</v>
      </c>
      <c r="BE30" s="102">
        <f t="shared" si="20"/>
        <v>1.9525624189766637</v>
      </c>
      <c r="BF30" s="81">
        <f t="shared" si="21"/>
        <v>0.56339377008571656</v>
      </c>
      <c r="BG30" s="81" t="str">
        <f t="shared" si="22"/>
        <v>MEDIO</v>
      </c>
      <c r="BK30" s="81" t="str">
        <f t="shared" si="23"/>
        <v>MEDIO</v>
      </c>
    </row>
    <row r="31" spans="1:63" x14ac:dyDescent="0.15">
      <c r="A31" s="85">
        <v>2</v>
      </c>
      <c r="B31" s="85">
        <v>2</v>
      </c>
      <c r="C31" s="85">
        <v>3</v>
      </c>
      <c r="D31" s="85">
        <v>2</v>
      </c>
      <c r="E31" s="85">
        <v>1</v>
      </c>
      <c r="F31" s="18">
        <v>2</v>
      </c>
      <c r="G31" s="64">
        <f t="shared" si="0"/>
        <v>1</v>
      </c>
      <c r="H31" s="18">
        <v>2</v>
      </c>
      <c r="I31" s="64">
        <f t="shared" si="1"/>
        <v>1</v>
      </c>
      <c r="J31" s="18">
        <v>2</v>
      </c>
      <c r="K31" s="64">
        <f t="shared" si="2"/>
        <v>1</v>
      </c>
      <c r="L31" s="18">
        <v>0</v>
      </c>
      <c r="M31" s="64">
        <f t="shared" si="3"/>
        <v>0</v>
      </c>
      <c r="N31" s="18">
        <v>2</v>
      </c>
      <c r="O31" s="64">
        <f t="shared" si="4"/>
        <v>0.4</v>
      </c>
      <c r="P31" s="18">
        <v>3</v>
      </c>
      <c r="Q31" s="64">
        <f t="shared" si="5"/>
        <v>1</v>
      </c>
      <c r="R31" s="24">
        <v>3</v>
      </c>
      <c r="S31" s="71">
        <f t="shared" si="6"/>
        <v>1</v>
      </c>
      <c r="T31" s="18">
        <v>3</v>
      </c>
      <c r="U31" s="64">
        <f t="shared" si="7"/>
        <v>1</v>
      </c>
      <c r="V31" s="18">
        <v>2</v>
      </c>
      <c r="W31" s="71">
        <f t="shared" si="8"/>
        <v>0.5</v>
      </c>
      <c r="X31" s="18">
        <v>2</v>
      </c>
      <c r="Y31" s="71">
        <f t="shared" si="9"/>
        <v>0.66666666666666663</v>
      </c>
      <c r="Z31" s="18">
        <v>3</v>
      </c>
      <c r="AA31" s="71">
        <f t="shared" si="10"/>
        <v>1</v>
      </c>
      <c r="AB31" s="18">
        <v>2</v>
      </c>
      <c r="AC31" s="71">
        <f t="shared" si="11"/>
        <v>1</v>
      </c>
      <c r="AD31" s="85">
        <v>0</v>
      </c>
      <c r="AE31" s="85">
        <v>1</v>
      </c>
      <c r="AF31" s="85">
        <v>1</v>
      </c>
      <c r="AG31" s="85">
        <v>0</v>
      </c>
      <c r="AH31" s="85">
        <v>0</v>
      </c>
      <c r="AI31" s="85">
        <v>0</v>
      </c>
      <c r="AJ31" s="19">
        <v>2</v>
      </c>
      <c r="AK31" s="71">
        <f t="shared" si="12"/>
        <v>1</v>
      </c>
      <c r="AL31" s="18">
        <v>3</v>
      </c>
      <c r="AM31" s="71">
        <f t="shared" si="13"/>
        <v>1</v>
      </c>
      <c r="AN31" s="18">
        <v>1</v>
      </c>
      <c r="AO31" s="71">
        <f t="shared" si="14"/>
        <v>0.33333333333333331</v>
      </c>
      <c r="AP31" s="18">
        <v>2</v>
      </c>
      <c r="AQ31" s="71">
        <f t="shared" si="15"/>
        <v>0.66666666666666663</v>
      </c>
      <c r="AR31" s="85">
        <v>1</v>
      </c>
      <c r="AS31" s="18">
        <v>2</v>
      </c>
      <c r="AT31" s="71">
        <f t="shared" si="16"/>
        <v>0.66666666666666663</v>
      </c>
      <c r="AU31" s="18">
        <v>3</v>
      </c>
      <c r="AV31" s="71">
        <f t="shared" si="17"/>
        <v>1</v>
      </c>
      <c r="AW31" s="18">
        <v>1</v>
      </c>
      <c r="AX31" s="71">
        <f t="shared" si="18"/>
        <v>0.5</v>
      </c>
      <c r="AY31" s="18">
        <v>3</v>
      </c>
      <c r="AZ31" s="71">
        <f t="shared" si="19"/>
        <v>1</v>
      </c>
      <c r="BA31" s="94">
        <v>0</v>
      </c>
      <c r="BB31" s="94">
        <v>1</v>
      </c>
      <c r="BC31" s="94">
        <v>1</v>
      </c>
      <c r="BD31" s="94">
        <v>0</v>
      </c>
      <c r="BE31" s="102">
        <f t="shared" si="20"/>
        <v>1.6241236953439777</v>
      </c>
      <c r="BF31" s="81">
        <f t="shared" si="21"/>
        <v>0.63683490133430487</v>
      </c>
      <c r="BG31" s="81" t="str">
        <f t="shared" si="22"/>
        <v>MEDIO</v>
      </c>
      <c r="BK31" s="81" t="str">
        <f t="shared" si="23"/>
        <v>MEDIO</v>
      </c>
    </row>
    <row r="32" spans="1:63" x14ac:dyDescent="0.15">
      <c r="A32" s="84">
        <v>3</v>
      </c>
      <c r="B32" s="84">
        <v>2</v>
      </c>
      <c r="C32" s="84">
        <v>3</v>
      </c>
      <c r="D32" s="84">
        <v>2</v>
      </c>
      <c r="E32" s="85">
        <v>1</v>
      </c>
      <c r="F32" s="17">
        <v>1</v>
      </c>
      <c r="G32" s="64">
        <f t="shared" si="0"/>
        <v>0.5</v>
      </c>
      <c r="H32" s="17">
        <v>1</v>
      </c>
      <c r="I32" s="64">
        <f t="shared" si="1"/>
        <v>0.5</v>
      </c>
      <c r="J32" s="17">
        <v>1</v>
      </c>
      <c r="K32" s="64">
        <f t="shared" si="2"/>
        <v>0.5</v>
      </c>
      <c r="L32" s="17">
        <v>0</v>
      </c>
      <c r="M32" s="64">
        <f t="shared" si="3"/>
        <v>0</v>
      </c>
      <c r="N32" s="17">
        <v>2</v>
      </c>
      <c r="O32" s="64">
        <f t="shared" si="4"/>
        <v>0.4</v>
      </c>
      <c r="P32" s="17">
        <v>0</v>
      </c>
      <c r="Q32" s="64">
        <f t="shared" si="5"/>
        <v>0</v>
      </c>
      <c r="R32" s="25">
        <v>0</v>
      </c>
      <c r="S32" s="71">
        <f t="shared" si="6"/>
        <v>0</v>
      </c>
      <c r="T32" s="17">
        <v>3</v>
      </c>
      <c r="U32" s="64">
        <f t="shared" si="7"/>
        <v>1</v>
      </c>
      <c r="V32" s="17">
        <v>3</v>
      </c>
      <c r="W32" s="71">
        <f t="shared" si="8"/>
        <v>0.75</v>
      </c>
      <c r="X32" s="17">
        <v>2</v>
      </c>
      <c r="Y32" s="71">
        <f t="shared" si="9"/>
        <v>0.66666666666666663</v>
      </c>
      <c r="Z32" s="17">
        <v>0</v>
      </c>
      <c r="AA32" s="71">
        <f t="shared" si="10"/>
        <v>0</v>
      </c>
      <c r="AB32" s="17">
        <v>2</v>
      </c>
      <c r="AC32" s="71">
        <f t="shared" si="11"/>
        <v>1</v>
      </c>
      <c r="AD32" s="84">
        <v>0</v>
      </c>
      <c r="AE32" s="84">
        <v>1</v>
      </c>
      <c r="AF32" s="84">
        <v>0</v>
      </c>
      <c r="AG32" s="84">
        <v>1</v>
      </c>
      <c r="AH32" s="84">
        <v>0</v>
      </c>
      <c r="AI32" s="84">
        <v>0</v>
      </c>
      <c r="AJ32" s="20">
        <v>1</v>
      </c>
      <c r="AK32" s="71">
        <f t="shared" si="12"/>
        <v>0.5</v>
      </c>
      <c r="AL32" s="17">
        <v>1</v>
      </c>
      <c r="AM32" s="71">
        <f t="shared" si="13"/>
        <v>0.33333333333333331</v>
      </c>
      <c r="AN32" s="17">
        <v>0</v>
      </c>
      <c r="AO32" s="71">
        <f t="shared" si="14"/>
        <v>0</v>
      </c>
      <c r="AP32" s="17">
        <v>0</v>
      </c>
      <c r="AQ32" s="71">
        <f t="shared" si="15"/>
        <v>0</v>
      </c>
      <c r="AR32" s="84">
        <v>2</v>
      </c>
      <c r="AS32" s="17">
        <v>3</v>
      </c>
      <c r="AT32" s="71">
        <f t="shared" si="16"/>
        <v>1</v>
      </c>
      <c r="AU32" s="17">
        <v>3</v>
      </c>
      <c r="AV32" s="71">
        <f t="shared" si="17"/>
        <v>1</v>
      </c>
      <c r="AW32" s="17">
        <v>0</v>
      </c>
      <c r="AX32" s="71">
        <f t="shared" si="18"/>
        <v>0</v>
      </c>
      <c r="AY32" s="17">
        <v>2</v>
      </c>
      <c r="AZ32" s="71">
        <f t="shared" si="19"/>
        <v>0.66666666666666663</v>
      </c>
      <c r="BA32" s="93">
        <v>1</v>
      </c>
      <c r="BB32" s="93">
        <v>0</v>
      </c>
      <c r="BC32" s="93">
        <v>1</v>
      </c>
      <c r="BD32" s="93">
        <v>0</v>
      </c>
      <c r="BE32" s="102">
        <f t="shared" si="20"/>
        <v>3.014824483558979</v>
      </c>
      <c r="BF32" s="81">
        <f t="shared" si="21"/>
        <v>0.32586475145320593</v>
      </c>
      <c r="BG32" s="81" t="str">
        <f t="shared" si="22"/>
        <v>BASSO</v>
      </c>
      <c r="BK32" s="81" t="str">
        <f t="shared" si="23"/>
        <v>BASSO</v>
      </c>
    </row>
    <row r="33" spans="1:63" x14ac:dyDescent="0.15">
      <c r="A33" s="85">
        <v>2</v>
      </c>
      <c r="B33" s="85">
        <v>1</v>
      </c>
      <c r="C33" s="85">
        <v>1</v>
      </c>
      <c r="D33" s="85">
        <v>2</v>
      </c>
      <c r="E33" s="85">
        <v>1</v>
      </c>
      <c r="F33" s="18">
        <v>1</v>
      </c>
      <c r="G33" s="64">
        <f t="shared" si="0"/>
        <v>0.5</v>
      </c>
      <c r="H33" s="18">
        <v>1</v>
      </c>
      <c r="I33" s="64">
        <f t="shared" si="1"/>
        <v>0.5</v>
      </c>
      <c r="J33" s="18">
        <v>2</v>
      </c>
      <c r="K33" s="64">
        <f t="shared" si="2"/>
        <v>1</v>
      </c>
      <c r="L33" s="18">
        <v>3</v>
      </c>
      <c r="M33" s="64">
        <f t="shared" si="3"/>
        <v>1</v>
      </c>
      <c r="N33" s="18">
        <v>1</v>
      </c>
      <c r="O33" s="64">
        <f t="shared" si="4"/>
        <v>0.2</v>
      </c>
      <c r="P33" s="18">
        <v>0</v>
      </c>
      <c r="Q33" s="64">
        <f t="shared" si="5"/>
        <v>0</v>
      </c>
      <c r="R33" s="24">
        <v>3</v>
      </c>
      <c r="S33" s="71">
        <f t="shared" si="6"/>
        <v>1</v>
      </c>
      <c r="T33" s="18">
        <v>2</v>
      </c>
      <c r="U33" s="64">
        <f t="shared" si="7"/>
        <v>0.66666666666666663</v>
      </c>
      <c r="V33" s="18">
        <v>3</v>
      </c>
      <c r="W33" s="71">
        <f t="shared" si="8"/>
        <v>0.75</v>
      </c>
      <c r="X33" s="18">
        <v>3</v>
      </c>
      <c r="Y33" s="71">
        <f t="shared" si="9"/>
        <v>1</v>
      </c>
      <c r="Z33" s="18">
        <v>3</v>
      </c>
      <c r="AA33" s="71">
        <f t="shared" si="10"/>
        <v>1</v>
      </c>
      <c r="AB33" s="18">
        <v>2</v>
      </c>
      <c r="AC33" s="71">
        <f t="shared" si="11"/>
        <v>1</v>
      </c>
      <c r="AD33" s="85">
        <v>1</v>
      </c>
      <c r="AE33" s="85">
        <v>1</v>
      </c>
      <c r="AF33" s="85">
        <v>0</v>
      </c>
      <c r="AG33" s="85">
        <v>0</v>
      </c>
      <c r="AH33" s="85">
        <v>0</v>
      </c>
      <c r="AI33" s="85">
        <v>0</v>
      </c>
      <c r="AJ33" s="19">
        <v>1</v>
      </c>
      <c r="AK33" s="71">
        <f t="shared" si="12"/>
        <v>0.5</v>
      </c>
      <c r="AL33" s="18">
        <v>2</v>
      </c>
      <c r="AM33" s="71">
        <f t="shared" si="13"/>
        <v>0.66666666666666663</v>
      </c>
      <c r="AN33" s="18">
        <v>1</v>
      </c>
      <c r="AO33" s="71">
        <f t="shared" si="14"/>
        <v>0.33333333333333331</v>
      </c>
      <c r="AP33" s="18">
        <v>2</v>
      </c>
      <c r="AQ33" s="71">
        <f t="shared" si="15"/>
        <v>0.66666666666666663</v>
      </c>
      <c r="AR33" s="85">
        <v>0</v>
      </c>
      <c r="AS33" s="18">
        <v>2</v>
      </c>
      <c r="AT33" s="71">
        <f t="shared" si="16"/>
        <v>0.66666666666666663</v>
      </c>
      <c r="AU33" s="18">
        <v>2</v>
      </c>
      <c r="AV33" s="71">
        <f t="shared" si="17"/>
        <v>0.66666666666666663</v>
      </c>
      <c r="AW33" s="18">
        <v>1</v>
      </c>
      <c r="AX33" s="71">
        <f t="shared" si="18"/>
        <v>0.5</v>
      </c>
      <c r="AY33" s="18">
        <v>2</v>
      </c>
      <c r="AZ33" s="71">
        <f t="shared" si="19"/>
        <v>0.66666666666666663</v>
      </c>
      <c r="BA33" s="94">
        <v>0</v>
      </c>
      <c r="BB33" s="94">
        <v>1</v>
      </c>
      <c r="BC33" s="94">
        <v>1</v>
      </c>
      <c r="BD33" s="94">
        <v>0</v>
      </c>
      <c r="BE33" s="102">
        <f t="shared" si="20"/>
        <v>1.9528469246490139</v>
      </c>
      <c r="BF33" s="81">
        <f t="shared" si="21"/>
        <v>0.56333015268338049</v>
      </c>
      <c r="BG33" s="81" t="str">
        <f t="shared" si="22"/>
        <v>MEDIO</v>
      </c>
      <c r="BK33" s="81" t="str">
        <f t="shared" si="23"/>
        <v>MEDIO</v>
      </c>
    </row>
    <row r="34" spans="1:63" x14ac:dyDescent="0.15">
      <c r="A34" s="84">
        <v>3</v>
      </c>
      <c r="B34" s="84">
        <v>1</v>
      </c>
      <c r="C34" s="84">
        <v>1</v>
      </c>
      <c r="D34" s="84">
        <v>2</v>
      </c>
      <c r="E34" s="85">
        <v>1</v>
      </c>
      <c r="F34" s="17">
        <v>0</v>
      </c>
      <c r="G34" s="64">
        <f t="shared" si="0"/>
        <v>0</v>
      </c>
      <c r="H34" s="17">
        <v>1</v>
      </c>
      <c r="I34" s="64">
        <f t="shared" si="1"/>
        <v>0.5</v>
      </c>
      <c r="J34" s="17">
        <v>1</v>
      </c>
      <c r="K34" s="64">
        <f t="shared" si="2"/>
        <v>0.5</v>
      </c>
      <c r="L34" s="17">
        <v>2</v>
      </c>
      <c r="M34" s="64">
        <f t="shared" si="3"/>
        <v>0.66666666666666663</v>
      </c>
      <c r="N34" s="17">
        <v>0</v>
      </c>
      <c r="O34" s="64">
        <f t="shared" si="4"/>
        <v>0</v>
      </c>
      <c r="P34" s="17">
        <v>3</v>
      </c>
      <c r="Q34" s="64">
        <f t="shared" si="5"/>
        <v>1</v>
      </c>
      <c r="R34" s="25">
        <v>2</v>
      </c>
      <c r="S34" s="71">
        <f t="shared" si="6"/>
        <v>0.66666666666666663</v>
      </c>
      <c r="T34" s="17">
        <v>2</v>
      </c>
      <c r="U34" s="64">
        <f t="shared" si="7"/>
        <v>0.66666666666666663</v>
      </c>
      <c r="V34" s="17">
        <v>3</v>
      </c>
      <c r="W34" s="71">
        <f t="shared" si="8"/>
        <v>0.75</v>
      </c>
      <c r="X34" s="17">
        <v>2</v>
      </c>
      <c r="Y34" s="71">
        <f t="shared" si="9"/>
        <v>0.66666666666666663</v>
      </c>
      <c r="Z34" s="17">
        <v>2</v>
      </c>
      <c r="AA34" s="71">
        <f t="shared" si="10"/>
        <v>0.66666666666666663</v>
      </c>
      <c r="AB34" s="17">
        <v>1</v>
      </c>
      <c r="AC34" s="71">
        <f t="shared" si="11"/>
        <v>0.5</v>
      </c>
      <c r="AD34" s="84">
        <v>1</v>
      </c>
      <c r="AE34" s="84">
        <v>0</v>
      </c>
      <c r="AF34" s="84">
        <v>1</v>
      </c>
      <c r="AG34" s="84">
        <v>0</v>
      </c>
      <c r="AH34" s="84">
        <v>0</v>
      </c>
      <c r="AI34" s="84">
        <v>0</v>
      </c>
      <c r="AJ34" s="20">
        <v>1</v>
      </c>
      <c r="AK34" s="71">
        <f t="shared" si="12"/>
        <v>0.5</v>
      </c>
      <c r="AL34" s="17">
        <v>1</v>
      </c>
      <c r="AM34" s="71">
        <f t="shared" si="13"/>
        <v>0.33333333333333331</v>
      </c>
      <c r="AN34" s="17">
        <v>0</v>
      </c>
      <c r="AO34" s="71">
        <f t="shared" si="14"/>
        <v>0</v>
      </c>
      <c r="AP34" s="17">
        <v>1</v>
      </c>
      <c r="AQ34" s="71">
        <f t="shared" si="15"/>
        <v>0.33333333333333331</v>
      </c>
      <c r="AR34" s="84">
        <v>2</v>
      </c>
      <c r="AS34" s="17">
        <v>3</v>
      </c>
      <c r="AT34" s="71">
        <f t="shared" si="16"/>
        <v>1</v>
      </c>
      <c r="AU34" s="17">
        <v>2</v>
      </c>
      <c r="AV34" s="71">
        <f t="shared" si="17"/>
        <v>0.66666666666666663</v>
      </c>
      <c r="AW34" s="17">
        <v>0</v>
      </c>
      <c r="AX34" s="71">
        <f t="shared" si="18"/>
        <v>0</v>
      </c>
      <c r="AY34" s="17">
        <v>0</v>
      </c>
      <c r="AZ34" s="71">
        <f t="shared" si="19"/>
        <v>0</v>
      </c>
      <c r="BA34" s="93">
        <v>0</v>
      </c>
      <c r="BB34" s="93">
        <v>0</v>
      </c>
      <c r="BC34" s="93">
        <v>1</v>
      </c>
      <c r="BD34" s="93">
        <v>0</v>
      </c>
      <c r="BE34" s="102">
        <f t="shared" si="20"/>
        <v>2.7600825269465323</v>
      </c>
      <c r="BF34" s="81">
        <f t="shared" si="21"/>
        <v>0.38282678462387387</v>
      </c>
      <c r="BG34" s="81" t="str">
        <f t="shared" si="22"/>
        <v>MEDIO</v>
      </c>
      <c r="BK34" s="81" t="str">
        <f t="shared" si="23"/>
        <v>BASSO</v>
      </c>
    </row>
    <row r="35" spans="1:63" x14ac:dyDescent="0.15">
      <c r="A35" s="85">
        <v>2</v>
      </c>
      <c r="B35" s="85">
        <v>1</v>
      </c>
      <c r="C35" s="85">
        <v>1</v>
      </c>
      <c r="D35" s="85">
        <v>2</v>
      </c>
      <c r="E35" s="85">
        <v>1</v>
      </c>
      <c r="F35" s="18">
        <v>1</v>
      </c>
      <c r="G35" s="64">
        <f t="shared" si="0"/>
        <v>0.5</v>
      </c>
      <c r="H35" s="18">
        <v>1</v>
      </c>
      <c r="I35" s="64">
        <f t="shared" si="1"/>
        <v>0.5</v>
      </c>
      <c r="J35" s="18">
        <v>1</v>
      </c>
      <c r="K35" s="64">
        <f t="shared" si="2"/>
        <v>0.5</v>
      </c>
      <c r="L35" s="18">
        <v>2</v>
      </c>
      <c r="M35" s="64">
        <f t="shared" si="3"/>
        <v>0.66666666666666663</v>
      </c>
      <c r="N35" s="18">
        <v>2</v>
      </c>
      <c r="O35" s="64">
        <f t="shared" si="4"/>
        <v>0.4</v>
      </c>
      <c r="P35" s="18">
        <v>3</v>
      </c>
      <c r="Q35" s="64">
        <f t="shared" si="5"/>
        <v>1</v>
      </c>
      <c r="R35" s="24">
        <v>2</v>
      </c>
      <c r="S35" s="71">
        <f t="shared" si="6"/>
        <v>0.66666666666666663</v>
      </c>
      <c r="T35" s="18">
        <v>2</v>
      </c>
      <c r="U35" s="64">
        <f t="shared" si="7"/>
        <v>0.66666666666666663</v>
      </c>
      <c r="V35" s="18">
        <v>3</v>
      </c>
      <c r="W35" s="71">
        <f t="shared" si="8"/>
        <v>0.75</v>
      </c>
      <c r="X35" s="18">
        <v>2</v>
      </c>
      <c r="Y35" s="71">
        <f t="shared" si="9"/>
        <v>0.66666666666666663</v>
      </c>
      <c r="Z35" s="18">
        <v>1</v>
      </c>
      <c r="AA35" s="71">
        <f t="shared" si="10"/>
        <v>0.33333333333333331</v>
      </c>
      <c r="AB35" s="18">
        <v>2</v>
      </c>
      <c r="AC35" s="71">
        <f t="shared" si="11"/>
        <v>1</v>
      </c>
      <c r="AD35" s="85">
        <v>1</v>
      </c>
      <c r="AE35" s="85">
        <v>0</v>
      </c>
      <c r="AF35" s="85">
        <v>1</v>
      </c>
      <c r="AG35" s="85">
        <v>0</v>
      </c>
      <c r="AH35" s="85">
        <v>0</v>
      </c>
      <c r="AI35" s="85">
        <v>0</v>
      </c>
      <c r="AJ35" s="19">
        <v>1</v>
      </c>
      <c r="AK35" s="71">
        <f t="shared" si="12"/>
        <v>0.5</v>
      </c>
      <c r="AL35" s="18">
        <v>1</v>
      </c>
      <c r="AM35" s="71">
        <f t="shared" si="13"/>
        <v>0.33333333333333331</v>
      </c>
      <c r="AN35" s="18">
        <v>1</v>
      </c>
      <c r="AO35" s="71">
        <f t="shared" si="14"/>
        <v>0.33333333333333331</v>
      </c>
      <c r="AP35" s="18">
        <v>2</v>
      </c>
      <c r="AQ35" s="71">
        <f t="shared" si="15"/>
        <v>0.66666666666666663</v>
      </c>
      <c r="AR35" s="85">
        <v>2</v>
      </c>
      <c r="AS35" s="18">
        <v>3</v>
      </c>
      <c r="AT35" s="71">
        <f t="shared" si="16"/>
        <v>1</v>
      </c>
      <c r="AU35" s="18">
        <v>2</v>
      </c>
      <c r="AV35" s="71">
        <f t="shared" si="17"/>
        <v>0.66666666666666663</v>
      </c>
      <c r="AW35" s="18">
        <v>0</v>
      </c>
      <c r="AX35" s="71">
        <f t="shared" si="18"/>
        <v>0</v>
      </c>
      <c r="AY35" s="18">
        <v>2</v>
      </c>
      <c r="AZ35" s="71">
        <f t="shared" si="19"/>
        <v>0.66666666666666663</v>
      </c>
      <c r="BA35" s="94">
        <v>0</v>
      </c>
      <c r="BB35" s="94">
        <v>1</v>
      </c>
      <c r="BC35" s="94">
        <v>1</v>
      </c>
      <c r="BD35" s="94">
        <v>0</v>
      </c>
      <c r="BE35" s="102">
        <f t="shared" si="20"/>
        <v>2.1292278203872672</v>
      </c>
      <c r="BF35" s="81">
        <f t="shared" si="21"/>
        <v>0.52389018540308052</v>
      </c>
      <c r="BG35" s="81" t="str">
        <f t="shared" si="22"/>
        <v>MEDIO</v>
      </c>
      <c r="BK35" s="81" t="str">
        <f t="shared" si="23"/>
        <v>MEDIO</v>
      </c>
    </row>
    <row r="36" spans="1:63" x14ac:dyDescent="0.15">
      <c r="A36" s="84">
        <v>3</v>
      </c>
      <c r="B36" s="84">
        <v>1</v>
      </c>
      <c r="C36" s="84">
        <v>2</v>
      </c>
      <c r="D36" s="84">
        <v>2</v>
      </c>
      <c r="E36" s="85">
        <v>1</v>
      </c>
      <c r="F36" s="17">
        <v>2</v>
      </c>
      <c r="G36" s="64">
        <f t="shared" si="0"/>
        <v>1</v>
      </c>
      <c r="H36" s="17">
        <v>2</v>
      </c>
      <c r="I36" s="64">
        <f t="shared" si="1"/>
        <v>1</v>
      </c>
      <c r="J36" s="17">
        <v>2</v>
      </c>
      <c r="K36" s="64">
        <f t="shared" si="2"/>
        <v>1</v>
      </c>
      <c r="L36" s="17">
        <v>3</v>
      </c>
      <c r="M36" s="64">
        <f t="shared" si="3"/>
        <v>1</v>
      </c>
      <c r="N36" s="17">
        <v>2</v>
      </c>
      <c r="O36" s="64">
        <f t="shared" si="4"/>
        <v>0.4</v>
      </c>
      <c r="P36" s="17">
        <v>0</v>
      </c>
      <c r="Q36" s="64">
        <f t="shared" si="5"/>
        <v>0</v>
      </c>
      <c r="R36" s="25">
        <v>3</v>
      </c>
      <c r="S36" s="71">
        <f t="shared" si="6"/>
        <v>1</v>
      </c>
      <c r="T36" s="17">
        <v>3</v>
      </c>
      <c r="U36" s="64">
        <f t="shared" si="7"/>
        <v>1</v>
      </c>
      <c r="V36" s="17">
        <v>3</v>
      </c>
      <c r="W36" s="71">
        <f t="shared" si="8"/>
        <v>0.75</v>
      </c>
      <c r="X36" s="17">
        <v>2</v>
      </c>
      <c r="Y36" s="71">
        <f t="shared" si="9"/>
        <v>0.66666666666666663</v>
      </c>
      <c r="Z36" s="17">
        <v>1</v>
      </c>
      <c r="AA36" s="71">
        <f t="shared" si="10"/>
        <v>0.33333333333333331</v>
      </c>
      <c r="AB36" s="17">
        <v>1</v>
      </c>
      <c r="AC36" s="71">
        <f t="shared" si="11"/>
        <v>0.5</v>
      </c>
      <c r="AD36" s="84">
        <v>1</v>
      </c>
      <c r="AE36" s="84">
        <v>0</v>
      </c>
      <c r="AF36" s="84">
        <v>0</v>
      </c>
      <c r="AG36" s="84">
        <v>1</v>
      </c>
      <c r="AH36" s="84">
        <v>0</v>
      </c>
      <c r="AI36" s="84">
        <v>0</v>
      </c>
      <c r="AJ36" s="20">
        <v>1</v>
      </c>
      <c r="AK36" s="71">
        <f t="shared" si="12"/>
        <v>0.5</v>
      </c>
      <c r="AL36" s="17">
        <v>2</v>
      </c>
      <c r="AM36" s="71">
        <f t="shared" si="13"/>
        <v>0.66666666666666663</v>
      </c>
      <c r="AN36" s="17">
        <v>2</v>
      </c>
      <c r="AO36" s="71">
        <f t="shared" si="14"/>
        <v>0.66666666666666663</v>
      </c>
      <c r="AP36" s="17">
        <v>3</v>
      </c>
      <c r="AQ36" s="71">
        <f t="shared" si="15"/>
        <v>1</v>
      </c>
      <c r="AR36" s="84">
        <v>0</v>
      </c>
      <c r="AS36" s="17">
        <v>3</v>
      </c>
      <c r="AT36" s="71">
        <f t="shared" si="16"/>
        <v>1</v>
      </c>
      <c r="AU36" s="17">
        <v>2</v>
      </c>
      <c r="AV36" s="71">
        <f t="shared" si="17"/>
        <v>0.66666666666666663</v>
      </c>
      <c r="AW36" s="17">
        <v>0</v>
      </c>
      <c r="AX36" s="71">
        <f t="shared" si="18"/>
        <v>0</v>
      </c>
      <c r="AY36" s="17">
        <v>2</v>
      </c>
      <c r="AZ36" s="71">
        <f t="shared" si="19"/>
        <v>0.66666666666666663</v>
      </c>
      <c r="BA36" s="93">
        <v>0</v>
      </c>
      <c r="BB36" s="93">
        <v>1</v>
      </c>
      <c r="BC36" s="93">
        <v>1</v>
      </c>
      <c r="BD36" s="93">
        <v>0</v>
      </c>
      <c r="BE36" s="102">
        <f t="shared" si="20"/>
        <v>1.980530232033836</v>
      </c>
      <c r="BF36" s="81">
        <f t="shared" si="21"/>
        <v>0.55713997696793272</v>
      </c>
      <c r="BG36" s="81" t="str">
        <f t="shared" si="22"/>
        <v>MEDIO</v>
      </c>
      <c r="BK36" s="81" t="str">
        <f t="shared" si="23"/>
        <v>MEDIO</v>
      </c>
    </row>
    <row r="37" spans="1:63" x14ac:dyDescent="0.15">
      <c r="A37" s="85">
        <v>1</v>
      </c>
      <c r="B37" s="85">
        <v>1</v>
      </c>
      <c r="C37" s="85">
        <v>1</v>
      </c>
      <c r="D37" s="85">
        <v>2</v>
      </c>
      <c r="E37" s="85">
        <v>1</v>
      </c>
      <c r="F37" s="18">
        <v>1</v>
      </c>
      <c r="G37" s="64">
        <f t="shared" si="0"/>
        <v>0.5</v>
      </c>
      <c r="H37" s="18">
        <v>1</v>
      </c>
      <c r="I37" s="64">
        <f t="shared" si="1"/>
        <v>0.5</v>
      </c>
      <c r="J37" s="18">
        <v>1</v>
      </c>
      <c r="K37" s="64">
        <f t="shared" si="2"/>
        <v>0.5</v>
      </c>
      <c r="L37" s="18">
        <v>2</v>
      </c>
      <c r="M37" s="64">
        <f t="shared" si="3"/>
        <v>0.66666666666666663</v>
      </c>
      <c r="N37" s="18">
        <v>0</v>
      </c>
      <c r="O37" s="64">
        <f t="shared" si="4"/>
        <v>0</v>
      </c>
      <c r="P37" s="18">
        <v>3</v>
      </c>
      <c r="Q37" s="64">
        <f t="shared" si="5"/>
        <v>1</v>
      </c>
      <c r="R37" s="24">
        <v>0</v>
      </c>
      <c r="S37" s="71">
        <f t="shared" si="6"/>
        <v>0</v>
      </c>
      <c r="T37" s="18">
        <v>2</v>
      </c>
      <c r="U37" s="64">
        <f t="shared" si="7"/>
        <v>0.66666666666666663</v>
      </c>
      <c r="V37" s="18">
        <v>3</v>
      </c>
      <c r="W37" s="71">
        <f t="shared" si="8"/>
        <v>0.75</v>
      </c>
      <c r="X37" s="18">
        <v>2</v>
      </c>
      <c r="Y37" s="71">
        <f t="shared" si="9"/>
        <v>0.66666666666666663</v>
      </c>
      <c r="Z37" s="18">
        <v>3</v>
      </c>
      <c r="AA37" s="71">
        <f t="shared" si="10"/>
        <v>1</v>
      </c>
      <c r="AB37" s="18">
        <v>0</v>
      </c>
      <c r="AC37" s="71">
        <f t="shared" si="11"/>
        <v>0</v>
      </c>
      <c r="AD37" s="85">
        <v>1</v>
      </c>
      <c r="AE37" s="85">
        <v>0</v>
      </c>
      <c r="AF37" s="85">
        <v>1</v>
      </c>
      <c r="AG37" s="85">
        <v>0</v>
      </c>
      <c r="AH37" s="85">
        <v>0</v>
      </c>
      <c r="AI37" s="85">
        <v>0</v>
      </c>
      <c r="AJ37" s="19">
        <v>1</v>
      </c>
      <c r="AK37" s="71">
        <f t="shared" si="12"/>
        <v>0.5</v>
      </c>
      <c r="AL37" s="18">
        <v>2</v>
      </c>
      <c r="AM37" s="71">
        <f t="shared" si="13"/>
        <v>0.66666666666666663</v>
      </c>
      <c r="AN37" s="18">
        <v>1</v>
      </c>
      <c r="AO37" s="71">
        <f t="shared" si="14"/>
        <v>0.33333333333333331</v>
      </c>
      <c r="AP37" s="18">
        <v>3</v>
      </c>
      <c r="AQ37" s="71">
        <f t="shared" si="15"/>
        <v>1</v>
      </c>
      <c r="AR37" s="85">
        <v>1</v>
      </c>
      <c r="AS37" s="18">
        <v>3</v>
      </c>
      <c r="AT37" s="71">
        <f t="shared" si="16"/>
        <v>1</v>
      </c>
      <c r="AU37" s="18">
        <v>3</v>
      </c>
      <c r="AV37" s="71">
        <f t="shared" si="17"/>
        <v>1</v>
      </c>
      <c r="AW37" s="18">
        <v>0</v>
      </c>
      <c r="AX37" s="71">
        <f t="shared" si="18"/>
        <v>0</v>
      </c>
      <c r="AY37" s="18">
        <v>0</v>
      </c>
      <c r="AZ37" s="71">
        <f t="shared" si="19"/>
        <v>0</v>
      </c>
      <c r="BA37" s="94">
        <v>0</v>
      </c>
      <c r="BB37" s="94">
        <v>1</v>
      </c>
      <c r="BC37" s="94">
        <v>1</v>
      </c>
      <c r="BD37" s="94">
        <v>0</v>
      </c>
      <c r="BE37" s="102">
        <f t="shared" si="20"/>
        <v>2.6365486699260625</v>
      </c>
      <c r="BF37" s="81">
        <f t="shared" si="21"/>
        <v>0.41044979480592225</v>
      </c>
      <c r="BG37" s="81" t="str">
        <f t="shared" si="22"/>
        <v>MEDIO</v>
      </c>
      <c r="BK37" s="81" t="str">
        <f t="shared" si="23"/>
        <v>BASSO</v>
      </c>
    </row>
    <row r="38" spans="1:63" x14ac:dyDescent="0.15">
      <c r="A38" s="84">
        <v>2</v>
      </c>
      <c r="B38" s="84">
        <v>1</v>
      </c>
      <c r="C38" s="84">
        <v>3</v>
      </c>
      <c r="D38" s="84">
        <v>2</v>
      </c>
      <c r="E38" s="85">
        <v>1</v>
      </c>
      <c r="F38" s="17">
        <v>1</v>
      </c>
      <c r="G38" s="64">
        <f t="shared" si="0"/>
        <v>0.5</v>
      </c>
      <c r="H38" s="17">
        <v>1</v>
      </c>
      <c r="I38" s="64">
        <f t="shared" si="1"/>
        <v>0.5</v>
      </c>
      <c r="J38" s="17">
        <v>0</v>
      </c>
      <c r="K38" s="64">
        <f t="shared" si="2"/>
        <v>0</v>
      </c>
      <c r="L38" s="17">
        <v>1</v>
      </c>
      <c r="M38" s="64">
        <f t="shared" si="3"/>
        <v>0.33333333333333331</v>
      </c>
      <c r="N38" s="17">
        <v>4</v>
      </c>
      <c r="O38" s="64">
        <f t="shared" si="4"/>
        <v>0.8</v>
      </c>
      <c r="P38" s="17">
        <v>0</v>
      </c>
      <c r="Q38" s="64">
        <f t="shared" si="5"/>
        <v>0</v>
      </c>
      <c r="R38" s="25">
        <v>0</v>
      </c>
      <c r="S38" s="71">
        <f t="shared" si="6"/>
        <v>0</v>
      </c>
      <c r="T38" s="17">
        <v>0</v>
      </c>
      <c r="U38" s="64">
        <f t="shared" si="7"/>
        <v>0</v>
      </c>
      <c r="V38" s="17">
        <v>3</v>
      </c>
      <c r="W38" s="71">
        <f t="shared" si="8"/>
        <v>0.75</v>
      </c>
      <c r="X38" s="17">
        <v>0</v>
      </c>
      <c r="Y38" s="71">
        <f t="shared" si="9"/>
        <v>0</v>
      </c>
      <c r="Z38" s="17">
        <v>0</v>
      </c>
      <c r="AA38" s="71">
        <f t="shared" si="10"/>
        <v>0</v>
      </c>
      <c r="AB38" s="17">
        <v>2</v>
      </c>
      <c r="AC38" s="71">
        <f t="shared" si="11"/>
        <v>1</v>
      </c>
      <c r="AD38" s="84">
        <v>0</v>
      </c>
      <c r="AE38" s="84">
        <v>0</v>
      </c>
      <c r="AF38" s="84">
        <v>1</v>
      </c>
      <c r="AG38" s="84">
        <v>1</v>
      </c>
      <c r="AH38" s="84">
        <v>0</v>
      </c>
      <c r="AI38" s="84">
        <v>0</v>
      </c>
      <c r="AJ38" s="20">
        <v>1</v>
      </c>
      <c r="AK38" s="71">
        <f t="shared" si="12"/>
        <v>0.5</v>
      </c>
      <c r="AL38" s="17">
        <v>1</v>
      </c>
      <c r="AM38" s="71">
        <f t="shared" si="13"/>
        <v>0.33333333333333331</v>
      </c>
      <c r="AN38" s="17">
        <v>1</v>
      </c>
      <c r="AO38" s="71">
        <f t="shared" si="14"/>
        <v>0.33333333333333331</v>
      </c>
      <c r="AP38" s="17">
        <v>1</v>
      </c>
      <c r="AQ38" s="71">
        <f t="shared" si="15"/>
        <v>0.33333333333333331</v>
      </c>
      <c r="AR38" s="84">
        <v>2</v>
      </c>
      <c r="AS38" s="17">
        <v>0</v>
      </c>
      <c r="AT38" s="71">
        <f t="shared" si="16"/>
        <v>0</v>
      </c>
      <c r="AU38" s="17">
        <v>0</v>
      </c>
      <c r="AV38" s="71">
        <f t="shared" si="17"/>
        <v>0</v>
      </c>
      <c r="AW38" s="17">
        <v>1</v>
      </c>
      <c r="AX38" s="71">
        <f t="shared" si="18"/>
        <v>0.5</v>
      </c>
      <c r="AY38" s="17">
        <v>2</v>
      </c>
      <c r="AZ38" s="71">
        <f t="shared" si="19"/>
        <v>0.66666666666666663</v>
      </c>
      <c r="BA38" s="93">
        <v>0</v>
      </c>
      <c r="BB38" s="93">
        <v>0</v>
      </c>
      <c r="BC38" s="93">
        <v>0</v>
      </c>
      <c r="BD38" s="93">
        <v>1</v>
      </c>
      <c r="BE38" s="102">
        <f t="shared" si="20"/>
        <v>3.3153263623493974</v>
      </c>
      <c r="BF38" s="81">
        <f t="shared" si="21"/>
        <v>0.25867048861903452</v>
      </c>
      <c r="BG38" s="81" t="str">
        <f t="shared" si="22"/>
        <v>BASSO</v>
      </c>
      <c r="BK38" s="81" t="str">
        <f t="shared" si="23"/>
        <v>MOLTO BASSO</v>
      </c>
    </row>
    <row r="39" spans="1:63" x14ac:dyDescent="0.15">
      <c r="A39" s="85">
        <v>1</v>
      </c>
      <c r="B39" s="85">
        <v>1</v>
      </c>
      <c r="C39" s="85">
        <v>1</v>
      </c>
      <c r="D39" s="85">
        <v>2</v>
      </c>
      <c r="E39" s="85">
        <v>1</v>
      </c>
      <c r="F39" s="18">
        <v>2</v>
      </c>
      <c r="G39" s="64">
        <f t="shared" si="0"/>
        <v>1</v>
      </c>
      <c r="H39" s="18">
        <v>1</v>
      </c>
      <c r="I39" s="64">
        <f t="shared" si="1"/>
        <v>0.5</v>
      </c>
      <c r="J39" s="18">
        <v>1</v>
      </c>
      <c r="K39" s="64">
        <f t="shared" si="2"/>
        <v>0.5</v>
      </c>
      <c r="L39" s="18">
        <v>1</v>
      </c>
      <c r="M39" s="64">
        <f t="shared" si="3"/>
        <v>0.33333333333333331</v>
      </c>
      <c r="N39" s="18">
        <v>2</v>
      </c>
      <c r="O39" s="64">
        <f t="shared" si="4"/>
        <v>0.4</v>
      </c>
      <c r="P39" s="18">
        <v>2</v>
      </c>
      <c r="Q39" s="64">
        <f t="shared" si="5"/>
        <v>0.66666666666666663</v>
      </c>
      <c r="R39" s="24">
        <v>3</v>
      </c>
      <c r="S39" s="71">
        <f t="shared" si="6"/>
        <v>1</v>
      </c>
      <c r="T39" s="18">
        <v>2</v>
      </c>
      <c r="U39" s="64">
        <f t="shared" si="7"/>
        <v>0.66666666666666663</v>
      </c>
      <c r="V39" s="18">
        <v>3</v>
      </c>
      <c r="W39" s="71">
        <f t="shared" si="8"/>
        <v>0.75</v>
      </c>
      <c r="X39" s="18">
        <v>3</v>
      </c>
      <c r="Y39" s="71">
        <f t="shared" si="9"/>
        <v>1</v>
      </c>
      <c r="Z39" s="18">
        <v>3</v>
      </c>
      <c r="AA39" s="71">
        <f t="shared" si="10"/>
        <v>1</v>
      </c>
      <c r="AB39" s="18">
        <v>0</v>
      </c>
      <c r="AC39" s="71">
        <f t="shared" si="11"/>
        <v>0</v>
      </c>
      <c r="AD39" s="85">
        <v>1</v>
      </c>
      <c r="AE39" s="85">
        <v>0</v>
      </c>
      <c r="AF39" s="85">
        <v>0</v>
      </c>
      <c r="AG39" s="85">
        <v>1</v>
      </c>
      <c r="AH39" s="85">
        <v>0</v>
      </c>
      <c r="AI39" s="85">
        <v>0</v>
      </c>
      <c r="AJ39" s="19">
        <v>1</v>
      </c>
      <c r="AK39" s="71">
        <f t="shared" si="12"/>
        <v>0.5</v>
      </c>
      <c r="AL39" s="18">
        <v>1</v>
      </c>
      <c r="AM39" s="71">
        <f t="shared" si="13"/>
        <v>0.33333333333333331</v>
      </c>
      <c r="AN39" s="18">
        <v>1</v>
      </c>
      <c r="AO39" s="71">
        <f t="shared" si="14"/>
        <v>0.33333333333333331</v>
      </c>
      <c r="AP39" s="18">
        <v>1</v>
      </c>
      <c r="AQ39" s="71">
        <f t="shared" si="15"/>
        <v>0.33333333333333331</v>
      </c>
      <c r="AR39" s="85">
        <v>0</v>
      </c>
      <c r="AS39" s="18">
        <v>2</v>
      </c>
      <c r="AT39" s="71">
        <f t="shared" si="16"/>
        <v>0.66666666666666663</v>
      </c>
      <c r="AU39" s="18">
        <v>2</v>
      </c>
      <c r="AV39" s="71">
        <f t="shared" si="17"/>
        <v>0.66666666666666663</v>
      </c>
      <c r="AW39" s="18">
        <v>0</v>
      </c>
      <c r="AX39" s="71">
        <f t="shared" si="18"/>
        <v>0</v>
      </c>
      <c r="AY39" s="18">
        <v>2</v>
      </c>
      <c r="AZ39" s="71">
        <f t="shared" si="19"/>
        <v>0.66666666666666663</v>
      </c>
      <c r="BA39" s="94">
        <v>0</v>
      </c>
      <c r="BB39" s="94">
        <v>1</v>
      </c>
      <c r="BC39" s="94">
        <v>0</v>
      </c>
      <c r="BD39" s="94">
        <v>0</v>
      </c>
      <c r="BE39" s="102">
        <f t="shared" si="20"/>
        <v>2.3464512211706707</v>
      </c>
      <c r="BF39" s="81">
        <f t="shared" si="21"/>
        <v>0.47531755635754802</v>
      </c>
      <c r="BG39" s="81" t="str">
        <f t="shared" si="22"/>
        <v>MEDIO</v>
      </c>
      <c r="BK39" s="81" t="str">
        <f t="shared" si="23"/>
        <v>MEDIO</v>
      </c>
    </row>
    <row r="40" spans="1:63" x14ac:dyDescent="0.15">
      <c r="A40" s="84">
        <v>2</v>
      </c>
      <c r="B40" s="84">
        <v>1</v>
      </c>
      <c r="C40" s="84">
        <v>2</v>
      </c>
      <c r="D40" s="84">
        <v>2</v>
      </c>
      <c r="E40" s="85">
        <v>1</v>
      </c>
      <c r="F40" s="17">
        <v>1</v>
      </c>
      <c r="G40" s="64">
        <f t="shared" si="0"/>
        <v>0.5</v>
      </c>
      <c r="H40" s="17">
        <v>1</v>
      </c>
      <c r="I40" s="64">
        <f t="shared" si="1"/>
        <v>0.5</v>
      </c>
      <c r="J40" s="17">
        <v>2</v>
      </c>
      <c r="K40" s="64">
        <f t="shared" si="2"/>
        <v>1</v>
      </c>
      <c r="L40" s="17">
        <v>2</v>
      </c>
      <c r="M40" s="64">
        <f t="shared" si="3"/>
        <v>0.66666666666666663</v>
      </c>
      <c r="N40" s="17">
        <v>0</v>
      </c>
      <c r="O40" s="64">
        <f t="shared" si="4"/>
        <v>0</v>
      </c>
      <c r="P40" s="17">
        <v>2</v>
      </c>
      <c r="Q40" s="64">
        <f t="shared" si="5"/>
        <v>0.66666666666666663</v>
      </c>
      <c r="R40" s="25">
        <v>3</v>
      </c>
      <c r="S40" s="71">
        <f t="shared" si="6"/>
        <v>1</v>
      </c>
      <c r="T40" s="17">
        <v>2</v>
      </c>
      <c r="U40" s="64">
        <f t="shared" si="7"/>
        <v>0.66666666666666663</v>
      </c>
      <c r="V40" s="17">
        <v>3</v>
      </c>
      <c r="W40" s="71">
        <f t="shared" si="8"/>
        <v>0.75</v>
      </c>
      <c r="X40" s="17">
        <v>2</v>
      </c>
      <c r="Y40" s="71">
        <f t="shared" si="9"/>
        <v>0.66666666666666663</v>
      </c>
      <c r="Z40" s="17">
        <v>1</v>
      </c>
      <c r="AA40" s="71">
        <f t="shared" si="10"/>
        <v>0.33333333333333331</v>
      </c>
      <c r="AB40" s="17">
        <v>2</v>
      </c>
      <c r="AC40" s="71">
        <f t="shared" si="11"/>
        <v>1</v>
      </c>
      <c r="AD40" s="84">
        <v>1</v>
      </c>
      <c r="AE40" s="84">
        <v>0</v>
      </c>
      <c r="AF40" s="84">
        <v>1</v>
      </c>
      <c r="AG40" s="84">
        <v>0</v>
      </c>
      <c r="AH40" s="84">
        <v>0</v>
      </c>
      <c r="AI40" s="84">
        <v>0</v>
      </c>
      <c r="AJ40" s="20">
        <v>1</v>
      </c>
      <c r="AK40" s="71">
        <f t="shared" si="12"/>
        <v>0.5</v>
      </c>
      <c r="AL40" s="17">
        <v>2</v>
      </c>
      <c r="AM40" s="71">
        <f t="shared" si="13"/>
        <v>0.66666666666666663</v>
      </c>
      <c r="AN40" s="17">
        <v>1</v>
      </c>
      <c r="AO40" s="71">
        <f t="shared" si="14"/>
        <v>0.33333333333333331</v>
      </c>
      <c r="AP40" s="17">
        <v>2</v>
      </c>
      <c r="AQ40" s="71">
        <f t="shared" si="15"/>
        <v>0.66666666666666663</v>
      </c>
      <c r="AR40" s="84">
        <v>0</v>
      </c>
      <c r="AS40" s="17">
        <v>2</v>
      </c>
      <c r="AT40" s="71">
        <f t="shared" si="16"/>
        <v>0.66666666666666663</v>
      </c>
      <c r="AU40" s="17">
        <v>3</v>
      </c>
      <c r="AV40" s="71">
        <f t="shared" si="17"/>
        <v>1</v>
      </c>
      <c r="AW40" s="17">
        <v>1</v>
      </c>
      <c r="AX40" s="71">
        <f t="shared" si="18"/>
        <v>0.5</v>
      </c>
      <c r="AY40" s="17">
        <v>3</v>
      </c>
      <c r="AZ40" s="71">
        <f t="shared" si="19"/>
        <v>1</v>
      </c>
      <c r="BA40" s="93">
        <v>1</v>
      </c>
      <c r="BB40" s="93">
        <v>0</v>
      </c>
      <c r="BC40" s="93">
        <v>1</v>
      </c>
      <c r="BD40" s="93">
        <v>0</v>
      </c>
      <c r="BE40" s="102">
        <f t="shared" si="20"/>
        <v>1.9311050377094114</v>
      </c>
      <c r="BF40" s="81">
        <f t="shared" si="21"/>
        <v>0.56819178639898671</v>
      </c>
      <c r="BG40" s="81" t="str">
        <f t="shared" si="22"/>
        <v>MEDIO</v>
      </c>
      <c r="BK40" s="81" t="str">
        <f t="shared" si="23"/>
        <v>MEDIO</v>
      </c>
    </row>
    <row r="41" spans="1:63" x14ac:dyDescent="0.15">
      <c r="A41" s="85">
        <v>1</v>
      </c>
      <c r="B41" s="85">
        <v>1</v>
      </c>
      <c r="C41" s="85">
        <v>1</v>
      </c>
      <c r="D41" s="85">
        <v>2</v>
      </c>
      <c r="E41" s="85">
        <v>1</v>
      </c>
      <c r="F41" s="18">
        <v>2</v>
      </c>
      <c r="G41" s="64">
        <f t="shared" si="0"/>
        <v>1</v>
      </c>
      <c r="H41" s="18">
        <v>2</v>
      </c>
      <c r="I41" s="64">
        <f t="shared" si="1"/>
        <v>1</v>
      </c>
      <c r="J41" s="18">
        <v>2</v>
      </c>
      <c r="K41" s="64">
        <f t="shared" si="2"/>
        <v>1</v>
      </c>
      <c r="L41" s="18">
        <v>1</v>
      </c>
      <c r="M41" s="64">
        <f t="shared" si="3"/>
        <v>0.33333333333333331</v>
      </c>
      <c r="N41" s="18">
        <v>5</v>
      </c>
      <c r="O41" s="64">
        <f t="shared" si="4"/>
        <v>1</v>
      </c>
      <c r="P41" s="18">
        <v>2</v>
      </c>
      <c r="Q41" s="64">
        <f t="shared" si="5"/>
        <v>0.66666666666666663</v>
      </c>
      <c r="R41" s="24">
        <v>3</v>
      </c>
      <c r="S41" s="71">
        <f t="shared" si="6"/>
        <v>1</v>
      </c>
      <c r="T41" s="18">
        <v>3</v>
      </c>
      <c r="U41" s="64">
        <f t="shared" si="7"/>
        <v>1</v>
      </c>
      <c r="V41" s="18">
        <v>2</v>
      </c>
      <c r="W41" s="71">
        <f t="shared" si="8"/>
        <v>0.5</v>
      </c>
      <c r="X41" s="18">
        <v>1</v>
      </c>
      <c r="Y41" s="71">
        <f t="shared" si="9"/>
        <v>0.33333333333333331</v>
      </c>
      <c r="Z41" s="18">
        <v>3</v>
      </c>
      <c r="AA41" s="71">
        <f t="shared" si="10"/>
        <v>1</v>
      </c>
      <c r="AB41" s="18">
        <v>0</v>
      </c>
      <c r="AC41" s="71">
        <f t="shared" si="11"/>
        <v>0</v>
      </c>
      <c r="AD41" s="85">
        <v>1</v>
      </c>
      <c r="AE41" s="85">
        <v>1</v>
      </c>
      <c r="AF41" s="85">
        <v>0</v>
      </c>
      <c r="AG41" s="85">
        <v>0</v>
      </c>
      <c r="AH41" s="85">
        <v>0</v>
      </c>
      <c r="AI41" s="85">
        <v>0</v>
      </c>
      <c r="AJ41" s="19">
        <v>1</v>
      </c>
      <c r="AK41" s="71">
        <f t="shared" si="12"/>
        <v>0.5</v>
      </c>
      <c r="AL41" s="18">
        <v>2</v>
      </c>
      <c r="AM41" s="71">
        <f t="shared" si="13"/>
        <v>0.66666666666666663</v>
      </c>
      <c r="AN41" s="18">
        <v>2</v>
      </c>
      <c r="AO41" s="71">
        <f t="shared" si="14"/>
        <v>0.66666666666666663</v>
      </c>
      <c r="AP41" s="18">
        <v>2</v>
      </c>
      <c r="AQ41" s="71">
        <f t="shared" si="15"/>
        <v>0.66666666666666663</v>
      </c>
      <c r="AR41" s="85">
        <v>0</v>
      </c>
      <c r="AS41" s="18">
        <v>2</v>
      </c>
      <c r="AT41" s="71">
        <f t="shared" si="16"/>
        <v>0.66666666666666663</v>
      </c>
      <c r="AU41" s="18">
        <v>3</v>
      </c>
      <c r="AV41" s="71">
        <f t="shared" si="17"/>
        <v>1</v>
      </c>
      <c r="AW41" s="18">
        <v>0</v>
      </c>
      <c r="AX41" s="71">
        <f t="shared" si="18"/>
        <v>0</v>
      </c>
      <c r="AY41" s="18">
        <v>3</v>
      </c>
      <c r="AZ41" s="71">
        <f t="shared" si="19"/>
        <v>1</v>
      </c>
      <c r="BA41" s="94">
        <v>0</v>
      </c>
      <c r="BB41" s="94">
        <v>1</v>
      </c>
      <c r="BC41" s="94">
        <v>1</v>
      </c>
      <c r="BD41" s="94">
        <v>0</v>
      </c>
      <c r="BE41" s="102">
        <f t="shared" si="20"/>
        <v>1.986062547968831</v>
      </c>
      <c r="BF41" s="81">
        <f t="shared" si="21"/>
        <v>0.55590291351756749</v>
      </c>
      <c r="BG41" s="81" t="str">
        <f t="shared" si="22"/>
        <v>MEDIO</v>
      </c>
      <c r="BK41" s="81" t="str">
        <f t="shared" si="23"/>
        <v>MEDIO</v>
      </c>
    </row>
    <row r="42" spans="1:63" x14ac:dyDescent="0.15">
      <c r="A42" s="84">
        <v>3</v>
      </c>
      <c r="B42" s="84">
        <v>1</v>
      </c>
      <c r="C42" s="84">
        <v>3</v>
      </c>
      <c r="D42" s="84">
        <v>2</v>
      </c>
      <c r="E42" s="85">
        <v>1</v>
      </c>
      <c r="F42" s="17">
        <v>2</v>
      </c>
      <c r="G42" s="64">
        <f t="shared" si="0"/>
        <v>1</v>
      </c>
      <c r="H42" s="17">
        <v>2</v>
      </c>
      <c r="I42" s="64">
        <f t="shared" si="1"/>
        <v>1</v>
      </c>
      <c r="J42" s="17">
        <v>2</v>
      </c>
      <c r="K42" s="64">
        <f t="shared" si="2"/>
        <v>1</v>
      </c>
      <c r="L42" s="17">
        <v>3</v>
      </c>
      <c r="M42" s="64">
        <f t="shared" si="3"/>
        <v>1</v>
      </c>
      <c r="N42" s="17">
        <v>4</v>
      </c>
      <c r="O42" s="64">
        <f t="shared" si="4"/>
        <v>0.8</v>
      </c>
      <c r="P42" s="17">
        <v>1</v>
      </c>
      <c r="Q42" s="64">
        <f t="shared" si="5"/>
        <v>0.33333333333333331</v>
      </c>
      <c r="R42" s="25">
        <v>3</v>
      </c>
      <c r="S42" s="71">
        <f t="shared" si="6"/>
        <v>1</v>
      </c>
      <c r="T42" s="17">
        <v>3</v>
      </c>
      <c r="U42" s="64">
        <f t="shared" si="7"/>
        <v>1</v>
      </c>
      <c r="V42" s="17">
        <v>4</v>
      </c>
      <c r="W42" s="71">
        <f t="shared" si="8"/>
        <v>1</v>
      </c>
      <c r="X42" s="17">
        <v>3</v>
      </c>
      <c r="Y42" s="71">
        <f t="shared" si="9"/>
        <v>1</v>
      </c>
      <c r="Z42" s="17">
        <v>3</v>
      </c>
      <c r="AA42" s="71">
        <f t="shared" si="10"/>
        <v>1</v>
      </c>
      <c r="AB42" s="17">
        <v>0</v>
      </c>
      <c r="AC42" s="71">
        <f t="shared" si="11"/>
        <v>0</v>
      </c>
      <c r="AD42" s="84">
        <v>0</v>
      </c>
      <c r="AE42" s="84">
        <v>1</v>
      </c>
      <c r="AF42" s="84">
        <v>1</v>
      </c>
      <c r="AG42" s="84">
        <v>0</v>
      </c>
      <c r="AH42" s="84">
        <v>0</v>
      </c>
      <c r="AI42" s="84">
        <v>0</v>
      </c>
      <c r="AJ42" s="20">
        <v>2</v>
      </c>
      <c r="AK42" s="71">
        <f t="shared" si="12"/>
        <v>1</v>
      </c>
      <c r="AL42" s="17">
        <v>2</v>
      </c>
      <c r="AM42" s="71">
        <f t="shared" si="13"/>
        <v>0.66666666666666663</v>
      </c>
      <c r="AN42" s="17">
        <v>2</v>
      </c>
      <c r="AO42" s="71">
        <f t="shared" si="14"/>
        <v>0.66666666666666663</v>
      </c>
      <c r="AP42" s="17">
        <v>3</v>
      </c>
      <c r="AQ42" s="71">
        <f t="shared" si="15"/>
        <v>1</v>
      </c>
      <c r="AR42" s="84">
        <v>2</v>
      </c>
      <c r="AS42" s="17">
        <v>2</v>
      </c>
      <c r="AT42" s="71">
        <f t="shared" si="16"/>
        <v>0.66666666666666663</v>
      </c>
      <c r="AU42" s="17">
        <v>3</v>
      </c>
      <c r="AV42" s="71">
        <f t="shared" si="17"/>
        <v>1</v>
      </c>
      <c r="AW42" s="17">
        <v>2</v>
      </c>
      <c r="AX42" s="71">
        <f t="shared" si="18"/>
        <v>1</v>
      </c>
      <c r="AY42" s="17">
        <v>3</v>
      </c>
      <c r="AZ42" s="71">
        <f t="shared" si="19"/>
        <v>1</v>
      </c>
      <c r="BA42" s="93">
        <v>1</v>
      </c>
      <c r="BB42" s="93">
        <v>1</v>
      </c>
      <c r="BC42" s="93">
        <v>1</v>
      </c>
      <c r="BD42" s="93">
        <v>0</v>
      </c>
      <c r="BE42" s="102">
        <f t="shared" si="20"/>
        <v>1.3482498944104457</v>
      </c>
      <c r="BF42" s="81">
        <f t="shared" si="21"/>
        <v>0.69852215854416122</v>
      </c>
      <c r="BG42" s="81" t="str">
        <f t="shared" si="22"/>
        <v>ALTO</v>
      </c>
      <c r="BK42" s="81" t="str">
        <f t="shared" si="23"/>
        <v>ALTO</v>
      </c>
    </row>
    <row r="43" spans="1:63" x14ac:dyDescent="0.15">
      <c r="A43" s="85">
        <v>2</v>
      </c>
      <c r="B43" s="84">
        <v>1</v>
      </c>
      <c r="C43" s="85">
        <v>2</v>
      </c>
      <c r="D43" s="85">
        <v>2</v>
      </c>
      <c r="E43" s="85">
        <v>1</v>
      </c>
      <c r="F43" s="18">
        <v>2</v>
      </c>
      <c r="G43" s="64">
        <f t="shared" si="0"/>
        <v>1</v>
      </c>
      <c r="H43" s="18">
        <v>0</v>
      </c>
      <c r="I43" s="64">
        <f t="shared" si="1"/>
        <v>0</v>
      </c>
      <c r="J43" s="18">
        <v>1</v>
      </c>
      <c r="K43" s="64">
        <f t="shared" si="2"/>
        <v>0.5</v>
      </c>
      <c r="L43" s="18">
        <v>2</v>
      </c>
      <c r="M43" s="64">
        <f t="shared" si="3"/>
        <v>0.66666666666666663</v>
      </c>
      <c r="N43" s="18">
        <v>2</v>
      </c>
      <c r="O43" s="64">
        <f t="shared" si="4"/>
        <v>0.4</v>
      </c>
      <c r="P43" s="18">
        <v>2</v>
      </c>
      <c r="Q43" s="64">
        <f t="shared" si="5"/>
        <v>0.66666666666666663</v>
      </c>
      <c r="R43" s="24">
        <v>3</v>
      </c>
      <c r="S43" s="71">
        <f t="shared" si="6"/>
        <v>1</v>
      </c>
      <c r="T43" s="18">
        <v>1</v>
      </c>
      <c r="U43" s="64">
        <f t="shared" si="7"/>
        <v>0.33333333333333331</v>
      </c>
      <c r="V43" s="18">
        <v>3</v>
      </c>
      <c r="W43" s="71">
        <f t="shared" si="8"/>
        <v>0.75</v>
      </c>
      <c r="X43" s="18">
        <v>2</v>
      </c>
      <c r="Y43" s="71">
        <f t="shared" si="9"/>
        <v>0.66666666666666663</v>
      </c>
      <c r="Z43" s="18">
        <v>1</v>
      </c>
      <c r="AA43" s="71">
        <f t="shared" si="10"/>
        <v>0.33333333333333331</v>
      </c>
      <c r="AB43" s="18">
        <v>2</v>
      </c>
      <c r="AC43" s="71">
        <f t="shared" si="11"/>
        <v>1</v>
      </c>
      <c r="AD43" s="85">
        <v>1</v>
      </c>
      <c r="AE43" s="85">
        <v>0</v>
      </c>
      <c r="AF43" s="85">
        <v>1</v>
      </c>
      <c r="AG43" s="85">
        <v>0</v>
      </c>
      <c r="AH43" s="85">
        <v>0</v>
      </c>
      <c r="AI43" s="85">
        <v>0</v>
      </c>
      <c r="AJ43" s="19">
        <v>0</v>
      </c>
      <c r="AK43" s="71">
        <f t="shared" si="12"/>
        <v>0</v>
      </c>
      <c r="AL43" s="18">
        <v>3</v>
      </c>
      <c r="AM43" s="71">
        <f t="shared" si="13"/>
        <v>1</v>
      </c>
      <c r="AN43" s="18">
        <v>1</v>
      </c>
      <c r="AO43" s="71">
        <f t="shared" si="14"/>
        <v>0.33333333333333331</v>
      </c>
      <c r="AP43" s="18">
        <v>2</v>
      </c>
      <c r="AQ43" s="71">
        <f t="shared" si="15"/>
        <v>0.66666666666666663</v>
      </c>
      <c r="AR43" s="85">
        <v>2</v>
      </c>
      <c r="AS43" s="18">
        <v>2</v>
      </c>
      <c r="AT43" s="71">
        <f t="shared" si="16"/>
        <v>0.66666666666666663</v>
      </c>
      <c r="AU43" s="18">
        <v>2</v>
      </c>
      <c r="AV43" s="71">
        <f t="shared" si="17"/>
        <v>0.66666666666666663</v>
      </c>
      <c r="AW43" s="18">
        <v>0</v>
      </c>
      <c r="AX43" s="71">
        <f t="shared" si="18"/>
        <v>0</v>
      </c>
      <c r="AY43" s="18">
        <v>0</v>
      </c>
      <c r="AZ43" s="71">
        <f t="shared" si="19"/>
        <v>0</v>
      </c>
      <c r="BA43" s="94">
        <v>0</v>
      </c>
      <c r="BB43" s="94">
        <v>1</v>
      </c>
      <c r="BC43" s="94">
        <v>1</v>
      </c>
      <c r="BD43" s="94">
        <v>0</v>
      </c>
      <c r="BE43" s="102">
        <f t="shared" si="20"/>
        <v>2.5831182706178977</v>
      </c>
      <c r="BF43" s="81">
        <f t="shared" si="21"/>
        <v>0.42239719529772257</v>
      </c>
      <c r="BG43" s="81" t="str">
        <f t="shared" si="22"/>
        <v>MEDIO</v>
      </c>
      <c r="BK43" s="81" t="str">
        <f t="shared" si="23"/>
        <v>BASSO</v>
      </c>
    </row>
    <row r="44" spans="1:63" x14ac:dyDescent="0.15">
      <c r="A44" s="84">
        <v>3</v>
      </c>
      <c r="B44" s="85">
        <v>1</v>
      </c>
      <c r="C44" s="84">
        <v>2</v>
      </c>
      <c r="D44" s="84">
        <v>2</v>
      </c>
      <c r="E44" s="85">
        <v>1</v>
      </c>
      <c r="F44" s="17">
        <v>1</v>
      </c>
      <c r="G44" s="64">
        <f t="shared" si="0"/>
        <v>0.5</v>
      </c>
      <c r="H44" s="17">
        <v>1</v>
      </c>
      <c r="I44" s="64">
        <f t="shared" si="1"/>
        <v>0.5</v>
      </c>
      <c r="J44" s="17">
        <v>1</v>
      </c>
      <c r="K44" s="64">
        <f t="shared" si="2"/>
        <v>0.5</v>
      </c>
      <c r="L44" s="17">
        <v>2</v>
      </c>
      <c r="M44" s="64">
        <f t="shared" si="3"/>
        <v>0.66666666666666663</v>
      </c>
      <c r="N44" s="17">
        <v>5</v>
      </c>
      <c r="O44" s="64">
        <f t="shared" si="4"/>
        <v>1</v>
      </c>
      <c r="P44" s="17">
        <v>2</v>
      </c>
      <c r="Q44" s="64">
        <f t="shared" si="5"/>
        <v>0.66666666666666663</v>
      </c>
      <c r="R44" s="25">
        <v>2</v>
      </c>
      <c r="S44" s="71">
        <f t="shared" si="6"/>
        <v>0.66666666666666663</v>
      </c>
      <c r="T44" s="17">
        <v>2</v>
      </c>
      <c r="U44" s="64">
        <f t="shared" si="7"/>
        <v>0.66666666666666663</v>
      </c>
      <c r="V44" s="17">
        <v>3</v>
      </c>
      <c r="W44" s="71">
        <f t="shared" si="8"/>
        <v>0.75</v>
      </c>
      <c r="X44" s="17">
        <v>2</v>
      </c>
      <c r="Y44" s="71">
        <f t="shared" si="9"/>
        <v>0.66666666666666663</v>
      </c>
      <c r="Z44" s="17">
        <v>0</v>
      </c>
      <c r="AA44" s="71">
        <f t="shared" si="10"/>
        <v>0</v>
      </c>
      <c r="AB44" s="17">
        <v>2</v>
      </c>
      <c r="AC44" s="71">
        <f t="shared" si="11"/>
        <v>1</v>
      </c>
      <c r="AD44" s="84">
        <v>1</v>
      </c>
      <c r="AE44" s="84">
        <v>0</v>
      </c>
      <c r="AF44" s="84">
        <v>1</v>
      </c>
      <c r="AG44" s="84">
        <v>0</v>
      </c>
      <c r="AH44" s="84">
        <v>0</v>
      </c>
      <c r="AI44" s="84">
        <v>0</v>
      </c>
      <c r="AJ44" s="20">
        <v>1</v>
      </c>
      <c r="AK44" s="71">
        <f t="shared" si="12"/>
        <v>0.5</v>
      </c>
      <c r="AL44" s="17">
        <v>3</v>
      </c>
      <c r="AM44" s="71">
        <f t="shared" si="13"/>
        <v>1</v>
      </c>
      <c r="AN44" s="17">
        <v>1</v>
      </c>
      <c r="AO44" s="71">
        <f t="shared" si="14"/>
        <v>0.33333333333333331</v>
      </c>
      <c r="AP44" s="17">
        <v>3</v>
      </c>
      <c r="AQ44" s="71">
        <f t="shared" si="15"/>
        <v>1</v>
      </c>
      <c r="AR44" s="84">
        <v>2</v>
      </c>
      <c r="AS44" s="17">
        <v>3</v>
      </c>
      <c r="AT44" s="71">
        <f t="shared" si="16"/>
        <v>1</v>
      </c>
      <c r="AU44" s="17">
        <v>2</v>
      </c>
      <c r="AV44" s="71">
        <f t="shared" si="17"/>
        <v>0.66666666666666663</v>
      </c>
      <c r="AW44" s="17">
        <v>1</v>
      </c>
      <c r="AX44" s="71">
        <f t="shared" si="18"/>
        <v>0.5</v>
      </c>
      <c r="AY44" s="17">
        <v>2</v>
      </c>
      <c r="AZ44" s="71">
        <f t="shared" si="19"/>
        <v>0.66666666666666663</v>
      </c>
      <c r="BA44" s="93">
        <v>0</v>
      </c>
      <c r="BB44" s="93">
        <v>1</v>
      </c>
      <c r="BC44" s="93">
        <v>1</v>
      </c>
      <c r="BD44" s="93">
        <v>0</v>
      </c>
      <c r="BE44" s="102">
        <f t="shared" si="20"/>
        <v>1.8800856954464131</v>
      </c>
      <c r="BF44" s="81">
        <f t="shared" si="21"/>
        <v>0.57960005814572479</v>
      </c>
      <c r="BG44" s="81" t="str">
        <f t="shared" si="22"/>
        <v>MEDIO</v>
      </c>
      <c r="BK44" s="81" t="str">
        <f t="shared" si="23"/>
        <v>MEDIO</v>
      </c>
    </row>
    <row r="45" spans="1:63" x14ac:dyDescent="0.15">
      <c r="A45" s="85">
        <v>3</v>
      </c>
      <c r="B45" s="85">
        <v>2</v>
      </c>
      <c r="C45" s="85">
        <v>3</v>
      </c>
      <c r="D45" s="85">
        <v>0</v>
      </c>
      <c r="E45" s="85">
        <v>1</v>
      </c>
      <c r="F45" s="18">
        <v>1</v>
      </c>
      <c r="G45" s="64">
        <f t="shared" si="0"/>
        <v>0.5</v>
      </c>
      <c r="H45" s="18">
        <v>1</v>
      </c>
      <c r="I45" s="64">
        <f t="shared" si="1"/>
        <v>0.5</v>
      </c>
      <c r="J45" s="18">
        <v>1</v>
      </c>
      <c r="K45" s="64">
        <f t="shared" si="2"/>
        <v>0.5</v>
      </c>
      <c r="L45" s="18">
        <v>2</v>
      </c>
      <c r="M45" s="64">
        <f t="shared" si="3"/>
        <v>0.66666666666666663</v>
      </c>
      <c r="N45" s="18">
        <v>1</v>
      </c>
      <c r="O45" s="64">
        <f t="shared" si="4"/>
        <v>0.2</v>
      </c>
      <c r="P45" s="18">
        <v>2</v>
      </c>
      <c r="Q45" s="64">
        <f t="shared" si="5"/>
        <v>0.66666666666666663</v>
      </c>
      <c r="R45" s="24">
        <v>2</v>
      </c>
      <c r="S45" s="71">
        <f t="shared" si="6"/>
        <v>0.66666666666666663</v>
      </c>
      <c r="T45" s="18">
        <v>2</v>
      </c>
      <c r="U45" s="64">
        <f t="shared" si="7"/>
        <v>0.66666666666666663</v>
      </c>
      <c r="V45" s="18">
        <v>3</v>
      </c>
      <c r="W45" s="71">
        <f t="shared" si="8"/>
        <v>0.75</v>
      </c>
      <c r="X45" s="18">
        <v>2</v>
      </c>
      <c r="Y45" s="71">
        <f t="shared" si="9"/>
        <v>0.66666666666666663</v>
      </c>
      <c r="Z45" s="18">
        <v>1</v>
      </c>
      <c r="AA45" s="71">
        <f t="shared" si="10"/>
        <v>0.33333333333333331</v>
      </c>
      <c r="AB45" s="18">
        <v>2</v>
      </c>
      <c r="AC45" s="71">
        <f t="shared" si="11"/>
        <v>1</v>
      </c>
      <c r="AD45" s="85">
        <v>1</v>
      </c>
      <c r="AE45" s="85">
        <v>0</v>
      </c>
      <c r="AF45" s="85">
        <v>1</v>
      </c>
      <c r="AG45" s="85">
        <v>0</v>
      </c>
      <c r="AH45" s="85">
        <v>0</v>
      </c>
      <c r="AI45" s="85">
        <v>0</v>
      </c>
      <c r="AJ45" s="19">
        <v>1</v>
      </c>
      <c r="AK45" s="71">
        <f t="shared" si="12"/>
        <v>0.5</v>
      </c>
      <c r="AL45" s="18">
        <v>1</v>
      </c>
      <c r="AM45" s="71">
        <f t="shared" si="13"/>
        <v>0.33333333333333331</v>
      </c>
      <c r="AN45" s="18">
        <v>1</v>
      </c>
      <c r="AO45" s="71">
        <f t="shared" si="14"/>
        <v>0.33333333333333331</v>
      </c>
      <c r="AP45" s="18">
        <v>1</v>
      </c>
      <c r="AQ45" s="71">
        <f t="shared" si="15"/>
        <v>0.33333333333333331</v>
      </c>
      <c r="AR45" s="85">
        <v>0</v>
      </c>
      <c r="AS45" s="18">
        <v>3</v>
      </c>
      <c r="AT45" s="71">
        <f t="shared" si="16"/>
        <v>1</v>
      </c>
      <c r="AU45" s="18">
        <v>3</v>
      </c>
      <c r="AV45" s="71">
        <f t="shared" si="17"/>
        <v>1</v>
      </c>
      <c r="AW45" s="18">
        <v>1</v>
      </c>
      <c r="AX45" s="71">
        <f t="shared" si="18"/>
        <v>0.5</v>
      </c>
      <c r="AY45" s="18">
        <v>2</v>
      </c>
      <c r="AZ45" s="71">
        <f t="shared" si="19"/>
        <v>0.66666666666666663</v>
      </c>
      <c r="BA45" s="94">
        <v>0</v>
      </c>
      <c r="BB45" s="94">
        <v>1</v>
      </c>
      <c r="BC45" s="94">
        <v>1</v>
      </c>
      <c r="BD45" s="94">
        <v>0</v>
      </c>
      <c r="BE45" s="102">
        <f t="shared" si="20"/>
        <v>2.0968892303706568</v>
      </c>
      <c r="BF45" s="81">
        <f t="shared" si="21"/>
        <v>0.5311213139604436</v>
      </c>
      <c r="BG45" s="81" t="str">
        <f t="shared" si="22"/>
        <v>MEDIO</v>
      </c>
      <c r="BK45" s="81" t="str">
        <f t="shared" si="23"/>
        <v>MEDIO</v>
      </c>
    </row>
    <row r="46" spans="1:63" x14ac:dyDescent="0.15">
      <c r="A46" s="84">
        <v>2</v>
      </c>
      <c r="B46" s="84">
        <v>1</v>
      </c>
      <c r="C46" s="84">
        <v>3</v>
      </c>
      <c r="D46" s="84">
        <v>2</v>
      </c>
      <c r="E46" s="85">
        <v>1</v>
      </c>
      <c r="F46" s="17">
        <v>1</v>
      </c>
      <c r="G46" s="64">
        <f t="shared" si="0"/>
        <v>0.5</v>
      </c>
      <c r="H46" s="17">
        <v>0</v>
      </c>
      <c r="I46" s="64">
        <f t="shared" si="1"/>
        <v>0</v>
      </c>
      <c r="J46" s="17">
        <v>0</v>
      </c>
      <c r="K46" s="64">
        <f t="shared" si="2"/>
        <v>0</v>
      </c>
      <c r="L46" s="17">
        <v>0</v>
      </c>
      <c r="M46" s="64">
        <f t="shared" si="3"/>
        <v>0</v>
      </c>
      <c r="N46" s="17">
        <v>2</v>
      </c>
      <c r="O46" s="64">
        <f t="shared" si="4"/>
        <v>0.4</v>
      </c>
      <c r="P46" s="17">
        <v>3</v>
      </c>
      <c r="Q46" s="64">
        <f t="shared" si="5"/>
        <v>1</v>
      </c>
      <c r="R46" s="25">
        <v>0</v>
      </c>
      <c r="S46" s="71">
        <f t="shared" si="6"/>
        <v>0</v>
      </c>
      <c r="T46" s="17">
        <v>1</v>
      </c>
      <c r="U46" s="64">
        <f t="shared" si="7"/>
        <v>0.33333333333333331</v>
      </c>
      <c r="V46" s="17">
        <v>3</v>
      </c>
      <c r="W46" s="71">
        <f t="shared" si="8"/>
        <v>0.75</v>
      </c>
      <c r="X46" s="17">
        <v>0</v>
      </c>
      <c r="Y46" s="71">
        <f t="shared" si="9"/>
        <v>0</v>
      </c>
      <c r="Z46" s="17">
        <v>1</v>
      </c>
      <c r="AA46" s="71">
        <f t="shared" si="10"/>
        <v>0.33333333333333331</v>
      </c>
      <c r="AB46" s="17">
        <v>3</v>
      </c>
      <c r="AC46" s="71">
        <f t="shared" si="11"/>
        <v>1.5</v>
      </c>
      <c r="AD46" s="84">
        <v>0</v>
      </c>
      <c r="AE46" s="84">
        <v>0</v>
      </c>
      <c r="AF46" s="84">
        <v>1</v>
      </c>
      <c r="AG46" s="84">
        <v>1</v>
      </c>
      <c r="AH46" s="84">
        <v>0</v>
      </c>
      <c r="AI46" s="84">
        <v>0</v>
      </c>
      <c r="AJ46" s="20">
        <v>1</v>
      </c>
      <c r="AK46" s="71">
        <f t="shared" si="12"/>
        <v>0.5</v>
      </c>
      <c r="AL46" s="17">
        <v>0</v>
      </c>
      <c r="AM46" s="71">
        <f t="shared" si="13"/>
        <v>0</v>
      </c>
      <c r="AN46" s="17">
        <v>1</v>
      </c>
      <c r="AO46" s="71">
        <f t="shared" si="14"/>
        <v>0.33333333333333331</v>
      </c>
      <c r="AP46" s="17">
        <v>0</v>
      </c>
      <c r="AQ46" s="71">
        <f t="shared" si="15"/>
        <v>0</v>
      </c>
      <c r="AR46" s="84">
        <v>2</v>
      </c>
      <c r="AS46" s="17">
        <v>0</v>
      </c>
      <c r="AT46" s="71">
        <f t="shared" si="16"/>
        <v>0</v>
      </c>
      <c r="AU46" s="17">
        <v>0</v>
      </c>
      <c r="AV46" s="71">
        <f t="shared" si="17"/>
        <v>0</v>
      </c>
      <c r="AW46" s="17">
        <v>0</v>
      </c>
      <c r="AX46" s="71">
        <f t="shared" si="18"/>
        <v>0</v>
      </c>
      <c r="AY46" s="17">
        <v>2</v>
      </c>
      <c r="AZ46" s="71">
        <f t="shared" si="19"/>
        <v>0.66666666666666663</v>
      </c>
      <c r="BA46" s="93">
        <v>0</v>
      </c>
      <c r="BB46" s="93">
        <v>1</v>
      </c>
      <c r="BC46" s="93">
        <v>1</v>
      </c>
      <c r="BD46" s="93">
        <v>0</v>
      </c>
      <c r="BE46" s="102">
        <f t="shared" si="20"/>
        <v>3.5520338461850902</v>
      </c>
      <c r="BF46" s="81">
        <f t="shared" si="21"/>
        <v>0.20574108615508524</v>
      </c>
      <c r="BG46" s="81" t="str">
        <f t="shared" si="22"/>
        <v>BASSO</v>
      </c>
      <c r="BK46" s="81" t="str">
        <f t="shared" si="23"/>
        <v>MOLTO BASSO</v>
      </c>
    </row>
    <row r="47" spans="1:63" x14ac:dyDescent="0.15">
      <c r="A47" s="85">
        <v>3</v>
      </c>
      <c r="B47" s="85">
        <v>1</v>
      </c>
      <c r="C47" s="85">
        <v>3</v>
      </c>
      <c r="D47" s="85">
        <v>2</v>
      </c>
      <c r="E47" s="85">
        <v>1</v>
      </c>
      <c r="F47" s="18">
        <v>1</v>
      </c>
      <c r="G47" s="64">
        <f t="shared" si="0"/>
        <v>0.5</v>
      </c>
      <c r="H47" s="18">
        <v>1</v>
      </c>
      <c r="I47" s="64">
        <f t="shared" si="1"/>
        <v>0.5</v>
      </c>
      <c r="J47" s="18">
        <v>0</v>
      </c>
      <c r="K47" s="64">
        <f t="shared" si="2"/>
        <v>0</v>
      </c>
      <c r="L47" s="18">
        <v>2</v>
      </c>
      <c r="M47" s="64">
        <f t="shared" si="3"/>
        <v>0.66666666666666663</v>
      </c>
      <c r="N47" s="18">
        <v>1</v>
      </c>
      <c r="O47" s="64">
        <f t="shared" si="4"/>
        <v>0.2</v>
      </c>
      <c r="P47" s="18">
        <v>0</v>
      </c>
      <c r="Q47" s="64">
        <f t="shared" si="5"/>
        <v>0</v>
      </c>
      <c r="R47" s="24">
        <v>2</v>
      </c>
      <c r="S47" s="71">
        <f t="shared" si="6"/>
        <v>0.66666666666666663</v>
      </c>
      <c r="T47" s="18">
        <v>2</v>
      </c>
      <c r="U47" s="64">
        <f t="shared" si="7"/>
        <v>0.66666666666666663</v>
      </c>
      <c r="V47" s="18">
        <v>0</v>
      </c>
      <c r="W47" s="71">
        <f t="shared" si="8"/>
        <v>0</v>
      </c>
      <c r="X47" s="18">
        <v>2</v>
      </c>
      <c r="Y47" s="71">
        <f t="shared" si="9"/>
        <v>0.66666666666666663</v>
      </c>
      <c r="Z47" s="18">
        <v>3</v>
      </c>
      <c r="AA47" s="71">
        <f t="shared" si="10"/>
        <v>1</v>
      </c>
      <c r="AB47" s="18">
        <v>1</v>
      </c>
      <c r="AC47" s="71">
        <f t="shared" si="11"/>
        <v>0.5</v>
      </c>
      <c r="AD47" s="85">
        <v>0</v>
      </c>
      <c r="AE47" s="85">
        <v>1</v>
      </c>
      <c r="AF47" s="85">
        <v>1</v>
      </c>
      <c r="AG47" s="85">
        <v>0</v>
      </c>
      <c r="AH47" s="85">
        <v>0</v>
      </c>
      <c r="AI47" s="85">
        <v>0</v>
      </c>
      <c r="AJ47" s="19">
        <v>1</v>
      </c>
      <c r="AK47" s="71">
        <f t="shared" si="12"/>
        <v>0.5</v>
      </c>
      <c r="AL47" s="18">
        <v>0</v>
      </c>
      <c r="AM47" s="71">
        <f t="shared" si="13"/>
        <v>0</v>
      </c>
      <c r="AN47" s="18">
        <v>1</v>
      </c>
      <c r="AO47" s="71">
        <f t="shared" si="14"/>
        <v>0.33333333333333331</v>
      </c>
      <c r="AP47" s="18">
        <v>2</v>
      </c>
      <c r="AQ47" s="71">
        <f t="shared" si="15"/>
        <v>0.66666666666666663</v>
      </c>
      <c r="AR47" s="85">
        <v>1</v>
      </c>
      <c r="AS47" s="18">
        <v>2</v>
      </c>
      <c r="AT47" s="71">
        <f t="shared" si="16"/>
        <v>0.66666666666666663</v>
      </c>
      <c r="AU47" s="18">
        <v>2</v>
      </c>
      <c r="AV47" s="71">
        <f t="shared" si="17"/>
        <v>0.66666666666666663</v>
      </c>
      <c r="AW47" s="18">
        <v>0</v>
      </c>
      <c r="AX47" s="71">
        <f t="shared" si="18"/>
        <v>0</v>
      </c>
      <c r="AY47" s="18">
        <v>0</v>
      </c>
      <c r="AZ47" s="71">
        <f t="shared" si="19"/>
        <v>0</v>
      </c>
      <c r="BA47" s="94">
        <v>1</v>
      </c>
      <c r="BB47" s="94">
        <v>0</v>
      </c>
      <c r="BC47" s="94">
        <v>1</v>
      </c>
      <c r="BD47" s="94">
        <v>0</v>
      </c>
      <c r="BE47" s="102">
        <f t="shared" si="20"/>
        <v>2.9769484749021475</v>
      </c>
      <c r="BF47" s="81">
        <f t="shared" si="21"/>
        <v>0.33433408446050972</v>
      </c>
      <c r="BG47" s="81" t="str">
        <f t="shared" si="22"/>
        <v>MEDIO</v>
      </c>
      <c r="BK47" s="81" t="str">
        <f t="shared" si="23"/>
        <v>BASSO</v>
      </c>
    </row>
    <row r="48" spans="1:63" x14ac:dyDescent="0.15">
      <c r="A48" s="84">
        <v>3</v>
      </c>
      <c r="B48" s="84">
        <v>1</v>
      </c>
      <c r="C48" s="84">
        <v>3</v>
      </c>
      <c r="D48" s="84">
        <v>2</v>
      </c>
      <c r="E48" s="85">
        <v>1</v>
      </c>
      <c r="F48" s="17">
        <v>2</v>
      </c>
      <c r="G48" s="64">
        <f t="shared" si="0"/>
        <v>1</v>
      </c>
      <c r="H48" s="17">
        <v>1</v>
      </c>
      <c r="I48" s="64">
        <f t="shared" si="1"/>
        <v>0.5</v>
      </c>
      <c r="J48" s="17">
        <v>1</v>
      </c>
      <c r="K48" s="64">
        <f t="shared" si="2"/>
        <v>0.5</v>
      </c>
      <c r="L48" s="17">
        <v>2</v>
      </c>
      <c r="M48" s="64">
        <f t="shared" si="3"/>
        <v>0.66666666666666663</v>
      </c>
      <c r="N48" s="17">
        <v>1</v>
      </c>
      <c r="O48" s="64">
        <f t="shared" si="4"/>
        <v>0.2</v>
      </c>
      <c r="P48" s="17">
        <v>0</v>
      </c>
      <c r="Q48" s="64">
        <f t="shared" si="5"/>
        <v>0</v>
      </c>
      <c r="R48" s="25">
        <v>2</v>
      </c>
      <c r="S48" s="71">
        <f t="shared" si="6"/>
        <v>0.66666666666666663</v>
      </c>
      <c r="T48" s="17">
        <v>2</v>
      </c>
      <c r="U48" s="64">
        <f t="shared" si="7"/>
        <v>0.66666666666666663</v>
      </c>
      <c r="V48" s="17">
        <v>3</v>
      </c>
      <c r="W48" s="71">
        <f t="shared" si="8"/>
        <v>0.75</v>
      </c>
      <c r="X48" s="17">
        <v>2</v>
      </c>
      <c r="Y48" s="71">
        <f t="shared" si="9"/>
        <v>0.66666666666666663</v>
      </c>
      <c r="Z48" s="17">
        <v>3</v>
      </c>
      <c r="AA48" s="71">
        <f t="shared" si="10"/>
        <v>1</v>
      </c>
      <c r="AB48" s="17">
        <v>2</v>
      </c>
      <c r="AC48" s="71">
        <f t="shared" si="11"/>
        <v>1</v>
      </c>
      <c r="AD48" s="84">
        <v>1</v>
      </c>
      <c r="AE48" s="84">
        <v>0</v>
      </c>
      <c r="AF48" s="84">
        <v>1</v>
      </c>
      <c r="AG48" s="84">
        <v>0</v>
      </c>
      <c r="AH48" s="84">
        <v>0</v>
      </c>
      <c r="AI48" s="84">
        <v>0</v>
      </c>
      <c r="AJ48" s="20">
        <v>1</v>
      </c>
      <c r="AK48" s="71">
        <f t="shared" si="12"/>
        <v>0.5</v>
      </c>
      <c r="AL48" s="17">
        <v>1</v>
      </c>
      <c r="AM48" s="71">
        <f t="shared" si="13"/>
        <v>0.33333333333333331</v>
      </c>
      <c r="AN48" s="17">
        <v>0</v>
      </c>
      <c r="AO48" s="71">
        <f t="shared" si="14"/>
        <v>0</v>
      </c>
      <c r="AP48" s="17">
        <v>2</v>
      </c>
      <c r="AQ48" s="71">
        <f t="shared" si="15"/>
        <v>0.66666666666666663</v>
      </c>
      <c r="AR48" s="84">
        <v>1</v>
      </c>
      <c r="AS48" s="17">
        <v>2</v>
      </c>
      <c r="AT48" s="71">
        <f t="shared" si="16"/>
        <v>0.66666666666666663</v>
      </c>
      <c r="AU48" s="17">
        <v>3</v>
      </c>
      <c r="AV48" s="71">
        <f t="shared" si="17"/>
        <v>1</v>
      </c>
      <c r="AW48" s="17">
        <v>0</v>
      </c>
      <c r="AX48" s="71">
        <f t="shared" si="18"/>
        <v>0</v>
      </c>
      <c r="AY48" s="17">
        <v>2</v>
      </c>
      <c r="AZ48" s="71">
        <f t="shared" si="19"/>
        <v>0.66666666666666663</v>
      </c>
      <c r="BA48" s="93">
        <v>0</v>
      </c>
      <c r="BB48" s="93">
        <v>1</v>
      </c>
      <c r="BC48" s="93">
        <v>1</v>
      </c>
      <c r="BD48" s="93">
        <v>0</v>
      </c>
      <c r="BE48" s="102">
        <f t="shared" si="20"/>
        <v>2.3821675470508414</v>
      </c>
      <c r="BF48" s="81">
        <f t="shared" si="21"/>
        <v>0.46733114310008905</v>
      </c>
      <c r="BG48" s="81" t="str">
        <f t="shared" si="22"/>
        <v>MEDIO</v>
      </c>
      <c r="BK48" s="81" t="str">
        <f t="shared" si="23"/>
        <v>MEDIO</v>
      </c>
    </row>
    <row r="49" spans="1:63" x14ac:dyDescent="0.15">
      <c r="A49" s="85">
        <v>3</v>
      </c>
      <c r="B49" s="85">
        <v>1</v>
      </c>
      <c r="C49" s="85">
        <v>3</v>
      </c>
      <c r="D49" s="85">
        <v>2</v>
      </c>
      <c r="E49" s="85">
        <v>1</v>
      </c>
      <c r="F49" s="18">
        <v>1</v>
      </c>
      <c r="G49" s="64">
        <f t="shared" si="0"/>
        <v>0.5</v>
      </c>
      <c r="H49" s="18">
        <v>2</v>
      </c>
      <c r="I49" s="64">
        <f t="shared" si="1"/>
        <v>1</v>
      </c>
      <c r="J49" s="18">
        <v>1</v>
      </c>
      <c r="K49" s="64">
        <f t="shared" si="2"/>
        <v>0.5</v>
      </c>
      <c r="L49" s="18">
        <v>0</v>
      </c>
      <c r="M49" s="64">
        <f t="shared" si="3"/>
        <v>0</v>
      </c>
      <c r="N49" s="18">
        <v>0</v>
      </c>
      <c r="O49" s="64">
        <f t="shared" si="4"/>
        <v>0</v>
      </c>
      <c r="P49" s="18">
        <v>3</v>
      </c>
      <c r="Q49" s="64">
        <f t="shared" si="5"/>
        <v>1</v>
      </c>
      <c r="R49" s="24">
        <v>0</v>
      </c>
      <c r="S49" s="71">
        <f t="shared" si="6"/>
        <v>0</v>
      </c>
      <c r="T49" s="18">
        <v>2</v>
      </c>
      <c r="U49" s="64">
        <f t="shared" si="7"/>
        <v>0.66666666666666663</v>
      </c>
      <c r="V49" s="18">
        <v>3</v>
      </c>
      <c r="W49" s="71">
        <f t="shared" si="8"/>
        <v>0.75</v>
      </c>
      <c r="X49" s="18">
        <v>2</v>
      </c>
      <c r="Y49" s="71">
        <f t="shared" si="9"/>
        <v>0.66666666666666663</v>
      </c>
      <c r="Z49" s="18">
        <v>1</v>
      </c>
      <c r="AA49" s="71">
        <f t="shared" si="10"/>
        <v>0.33333333333333331</v>
      </c>
      <c r="AB49" s="18">
        <v>2</v>
      </c>
      <c r="AC49" s="71">
        <f t="shared" si="11"/>
        <v>1</v>
      </c>
      <c r="AD49" s="85">
        <v>1</v>
      </c>
      <c r="AE49" s="85">
        <v>0</v>
      </c>
      <c r="AF49" s="85">
        <v>1</v>
      </c>
      <c r="AG49" s="85">
        <v>0</v>
      </c>
      <c r="AH49" s="85">
        <v>0</v>
      </c>
      <c r="AI49" s="85">
        <v>0</v>
      </c>
      <c r="AJ49" s="20">
        <v>1</v>
      </c>
      <c r="AK49" s="71">
        <f t="shared" si="12"/>
        <v>0.5</v>
      </c>
      <c r="AL49" s="18">
        <v>1</v>
      </c>
      <c r="AM49" s="71">
        <f t="shared" si="13"/>
        <v>0.33333333333333331</v>
      </c>
      <c r="AN49" s="18">
        <v>1</v>
      </c>
      <c r="AO49" s="71">
        <f t="shared" si="14"/>
        <v>0.33333333333333331</v>
      </c>
      <c r="AP49" s="18">
        <v>2</v>
      </c>
      <c r="AQ49" s="71">
        <f t="shared" si="15"/>
        <v>0.66666666666666663</v>
      </c>
      <c r="AR49" s="85">
        <v>2</v>
      </c>
      <c r="AS49" s="18">
        <v>2</v>
      </c>
      <c r="AT49" s="71">
        <f t="shared" si="16"/>
        <v>0.66666666666666663</v>
      </c>
      <c r="AU49" s="18">
        <v>0</v>
      </c>
      <c r="AV49" s="71">
        <f t="shared" si="17"/>
        <v>0</v>
      </c>
      <c r="AW49" s="18">
        <v>1</v>
      </c>
      <c r="AX49" s="71">
        <f t="shared" si="18"/>
        <v>0.5</v>
      </c>
      <c r="AY49" s="18">
        <v>0</v>
      </c>
      <c r="AZ49" s="71">
        <f t="shared" si="19"/>
        <v>0</v>
      </c>
      <c r="BA49" s="94">
        <v>0</v>
      </c>
      <c r="BB49" s="94">
        <v>0</v>
      </c>
      <c r="BC49" s="94">
        <v>0</v>
      </c>
      <c r="BD49" s="94">
        <v>1</v>
      </c>
      <c r="BE49" s="102">
        <f t="shared" si="20"/>
        <v>2.8000496027352404</v>
      </c>
      <c r="BF49" s="81">
        <f t="shared" si="21"/>
        <v>0.37388987479133096</v>
      </c>
      <c r="BG49" s="81" t="str">
        <f t="shared" si="22"/>
        <v>MEDIO</v>
      </c>
      <c r="BK49" s="81" t="str">
        <f t="shared" si="23"/>
        <v>BASSO</v>
      </c>
    </row>
    <row r="50" spans="1:63" x14ac:dyDescent="0.15">
      <c r="A50" s="84">
        <v>4</v>
      </c>
      <c r="B50" s="84">
        <v>1</v>
      </c>
      <c r="C50" s="84">
        <v>2</v>
      </c>
      <c r="D50" s="84">
        <v>2</v>
      </c>
      <c r="E50" s="85">
        <v>1</v>
      </c>
      <c r="F50" s="17">
        <v>2</v>
      </c>
      <c r="G50" s="64">
        <f t="shared" si="0"/>
        <v>1</v>
      </c>
      <c r="H50" s="17">
        <v>2</v>
      </c>
      <c r="I50" s="64">
        <f t="shared" si="1"/>
        <v>1</v>
      </c>
      <c r="J50" s="17">
        <v>2</v>
      </c>
      <c r="K50" s="64">
        <f t="shared" si="2"/>
        <v>1</v>
      </c>
      <c r="L50" s="17">
        <v>3</v>
      </c>
      <c r="M50" s="64">
        <f t="shared" si="3"/>
        <v>1</v>
      </c>
      <c r="N50" s="17">
        <v>1</v>
      </c>
      <c r="O50" s="64">
        <f t="shared" si="4"/>
        <v>0.2</v>
      </c>
      <c r="P50" s="17">
        <v>3</v>
      </c>
      <c r="Q50" s="64">
        <f t="shared" si="5"/>
        <v>1</v>
      </c>
      <c r="R50" s="25">
        <v>2</v>
      </c>
      <c r="S50" s="71">
        <f t="shared" si="6"/>
        <v>0.66666666666666663</v>
      </c>
      <c r="T50" s="17">
        <v>3</v>
      </c>
      <c r="U50" s="64">
        <f t="shared" si="7"/>
        <v>1</v>
      </c>
      <c r="V50" s="17">
        <v>4</v>
      </c>
      <c r="W50" s="71">
        <f t="shared" si="8"/>
        <v>1</v>
      </c>
      <c r="X50" s="17">
        <v>2</v>
      </c>
      <c r="Y50" s="71">
        <f t="shared" si="9"/>
        <v>0.66666666666666663</v>
      </c>
      <c r="Z50" s="17">
        <v>2</v>
      </c>
      <c r="AA50" s="71">
        <f t="shared" si="10"/>
        <v>0.66666666666666663</v>
      </c>
      <c r="AB50" s="17">
        <v>2</v>
      </c>
      <c r="AC50" s="71">
        <f t="shared" si="11"/>
        <v>1</v>
      </c>
      <c r="AD50" s="84">
        <v>1</v>
      </c>
      <c r="AE50" s="84">
        <v>0</v>
      </c>
      <c r="AF50" s="84">
        <v>1</v>
      </c>
      <c r="AG50" s="84">
        <v>0</v>
      </c>
      <c r="AH50" s="84">
        <v>0</v>
      </c>
      <c r="AI50" s="84">
        <v>0</v>
      </c>
      <c r="AJ50" s="20">
        <v>1</v>
      </c>
      <c r="AK50" s="71">
        <f t="shared" si="12"/>
        <v>0.5</v>
      </c>
      <c r="AL50" s="17">
        <v>2</v>
      </c>
      <c r="AM50" s="71">
        <f t="shared" si="13"/>
        <v>0.66666666666666663</v>
      </c>
      <c r="AN50" s="17">
        <v>2</v>
      </c>
      <c r="AO50" s="71">
        <f t="shared" si="14"/>
        <v>0.66666666666666663</v>
      </c>
      <c r="AP50" s="17">
        <v>3</v>
      </c>
      <c r="AQ50" s="71">
        <f t="shared" si="15"/>
        <v>1</v>
      </c>
      <c r="AR50" s="84">
        <v>2</v>
      </c>
      <c r="AS50" s="17">
        <v>3</v>
      </c>
      <c r="AT50" s="71">
        <f t="shared" si="16"/>
        <v>1</v>
      </c>
      <c r="AU50" s="17">
        <v>3</v>
      </c>
      <c r="AV50" s="71">
        <f t="shared" si="17"/>
        <v>1</v>
      </c>
      <c r="AW50" s="17">
        <v>2</v>
      </c>
      <c r="AX50" s="71">
        <f t="shared" si="18"/>
        <v>1</v>
      </c>
      <c r="AY50" s="17">
        <v>3</v>
      </c>
      <c r="AZ50" s="71">
        <f t="shared" si="19"/>
        <v>1</v>
      </c>
      <c r="BA50" s="93">
        <v>1</v>
      </c>
      <c r="BB50" s="93">
        <v>1</v>
      </c>
      <c r="BC50" s="93">
        <v>0</v>
      </c>
      <c r="BD50" s="93">
        <v>0</v>
      </c>
      <c r="BE50" s="102">
        <f t="shared" si="20"/>
        <v>1.2023125864580957</v>
      </c>
      <c r="BF50" s="81">
        <f t="shared" si="21"/>
        <v>0.73115473264763575</v>
      </c>
      <c r="BG50" s="81" t="str">
        <f t="shared" si="22"/>
        <v>ALTO</v>
      </c>
      <c r="BK50" s="81" t="str">
        <f t="shared" si="23"/>
        <v>ALTO</v>
      </c>
    </row>
    <row r="51" spans="1:63" x14ac:dyDescent="0.15">
      <c r="A51" s="85">
        <v>3</v>
      </c>
      <c r="B51" s="85">
        <v>1</v>
      </c>
      <c r="C51" s="85">
        <v>1</v>
      </c>
      <c r="D51" s="85">
        <v>2</v>
      </c>
      <c r="E51" s="85">
        <v>1</v>
      </c>
      <c r="F51" s="18">
        <v>1</v>
      </c>
      <c r="G51" s="64">
        <f t="shared" si="0"/>
        <v>0.5</v>
      </c>
      <c r="H51" s="18">
        <v>1</v>
      </c>
      <c r="I51" s="64">
        <f t="shared" si="1"/>
        <v>0.5</v>
      </c>
      <c r="J51" s="18">
        <v>2</v>
      </c>
      <c r="K51" s="64">
        <f t="shared" si="2"/>
        <v>1</v>
      </c>
      <c r="L51" s="18">
        <v>2</v>
      </c>
      <c r="M51" s="64">
        <f t="shared" si="3"/>
        <v>0.66666666666666663</v>
      </c>
      <c r="N51" s="18">
        <v>1</v>
      </c>
      <c r="O51" s="64">
        <f t="shared" si="4"/>
        <v>0.2</v>
      </c>
      <c r="P51" s="18">
        <v>0</v>
      </c>
      <c r="Q51" s="64">
        <f t="shared" si="5"/>
        <v>0</v>
      </c>
      <c r="R51" s="24">
        <v>3</v>
      </c>
      <c r="S51" s="71">
        <f t="shared" si="6"/>
        <v>1</v>
      </c>
      <c r="T51" s="18">
        <v>3</v>
      </c>
      <c r="U51" s="64">
        <f t="shared" si="7"/>
        <v>1</v>
      </c>
      <c r="V51" s="18">
        <v>3</v>
      </c>
      <c r="W51" s="71">
        <f t="shared" si="8"/>
        <v>0.75</v>
      </c>
      <c r="X51" s="18">
        <v>3</v>
      </c>
      <c r="Y51" s="71">
        <f t="shared" si="9"/>
        <v>1</v>
      </c>
      <c r="Z51" s="18">
        <v>3</v>
      </c>
      <c r="AA51" s="71">
        <f t="shared" si="10"/>
        <v>1</v>
      </c>
      <c r="AB51" s="18">
        <v>2</v>
      </c>
      <c r="AC51" s="71">
        <f t="shared" si="11"/>
        <v>1</v>
      </c>
      <c r="AD51" s="85">
        <v>1</v>
      </c>
      <c r="AE51" s="85">
        <v>0</v>
      </c>
      <c r="AF51" s="85">
        <v>1</v>
      </c>
      <c r="AG51" s="85">
        <v>0</v>
      </c>
      <c r="AH51" s="85">
        <v>0</v>
      </c>
      <c r="AI51" s="85">
        <v>0</v>
      </c>
      <c r="AJ51" s="19">
        <v>1</v>
      </c>
      <c r="AK51" s="71">
        <f t="shared" si="12"/>
        <v>0.5</v>
      </c>
      <c r="AL51" s="18">
        <v>0</v>
      </c>
      <c r="AM51" s="71">
        <f t="shared" si="13"/>
        <v>0</v>
      </c>
      <c r="AN51" s="18">
        <v>1</v>
      </c>
      <c r="AO51" s="71">
        <f t="shared" si="14"/>
        <v>0.33333333333333331</v>
      </c>
      <c r="AP51" s="18">
        <v>3</v>
      </c>
      <c r="AQ51" s="71">
        <f t="shared" si="15"/>
        <v>1</v>
      </c>
      <c r="AR51" s="85">
        <v>1</v>
      </c>
      <c r="AS51" s="18">
        <v>2</v>
      </c>
      <c r="AT51" s="71">
        <f t="shared" si="16"/>
        <v>0.66666666666666663</v>
      </c>
      <c r="AU51" s="18">
        <v>3</v>
      </c>
      <c r="AV51" s="71">
        <f t="shared" si="17"/>
        <v>1</v>
      </c>
      <c r="AW51" s="18">
        <v>2</v>
      </c>
      <c r="AX51" s="71">
        <f t="shared" si="18"/>
        <v>1</v>
      </c>
      <c r="AY51" s="18">
        <v>3</v>
      </c>
      <c r="AZ51" s="71">
        <f t="shared" si="19"/>
        <v>1</v>
      </c>
      <c r="BA51" s="94">
        <v>1</v>
      </c>
      <c r="BB51" s="94">
        <v>0</v>
      </c>
      <c r="BC51" s="94">
        <v>1</v>
      </c>
      <c r="BD51" s="94">
        <v>0</v>
      </c>
      <c r="BE51" s="102">
        <f t="shared" si="20"/>
        <v>2.0295730257043392</v>
      </c>
      <c r="BF51" s="81">
        <f t="shared" si="21"/>
        <v>0.54617367492255964</v>
      </c>
      <c r="BG51" s="81" t="str">
        <f t="shared" si="22"/>
        <v>MEDIO</v>
      </c>
      <c r="BK51" s="81" t="str">
        <f t="shared" si="23"/>
        <v>MEDIO</v>
      </c>
    </row>
    <row r="52" spans="1:63" x14ac:dyDescent="0.15">
      <c r="A52" s="84">
        <v>1</v>
      </c>
      <c r="B52" s="84">
        <v>1</v>
      </c>
      <c r="C52" s="84">
        <v>1</v>
      </c>
      <c r="D52" s="84">
        <v>2</v>
      </c>
      <c r="E52" s="85">
        <v>1</v>
      </c>
      <c r="F52" s="17">
        <v>2</v>
      </c>
      <c r="G52" s="64">
        <f t="shared" si="0"/>
        <v>1</v>
      </c>
      <c r="H52" s="17">
        <v>2</v>
      </c>
      <c r="I52" s="64">
        <f t="shared" si="1"/>
        <v>1</v>
      </c>
      <c r="J52" s="17">
        <v>2</v>
      </c>
      <c r="K52" s="64">
        <f t="shared" si="2"/>
        <v>1</v>
      </c>
      <c r="L52" s="17">
        <v>3</v>
      </c>
      <c r="M52" s="64">
        <f t="shared" si="3"/>
        <v>1</v>
      </c>
      <c r="N52" s="17">
        <v>0</v>
      </c>
      <c r="O52" s="64">
        <f t="shared" si="4"/>
        <v>0</v>
      </c>
      <c r="P52" s="17">
        <v>0</v>
      </c>
      <c r="Q52" s="64">
        <f t="shared" si="5"/>
        <v>0</v>
      </c>
      <c r="R52" s="25">
        <v>3</v>
      </c>
      <c r="S52" s="71">
        <f t="shared" si="6"/>
        <v>1</v>
      </c>
      <c r="T52" s="17">
        <v>3</v>
      </c>
      <c r="U52" s="64">
        <f t="shared" si="7"/>
        <v>1</v>
      </c>
      <c r="V52" s="17">
        <v>3</v>
      </c>
      <c r="W52" s="71">
        <f t="shared" si="8"/>
        <v>0.75</v>
      </c>
      <c r="X52" s="17">
        <v>3</v>
      </c>
      <c r="Y52" s="71">
        <f t="shared" si="9"/>
        <v>1</v>
      </c>
      <c r="Z52" s="17">
        <v>3</v>
      </c>
      <c r="AA52" s="71">
        <f t="shared" si="10"/>
        <v>1</v>
      </c>
      <c r="AB52" s="17">
        <v>3</v>
      </c>
      <c r="AC52" s="71">
        <f t="shared" si="11"/>
        <v>1.5</v>
      </c>
      <c r="AD52" s="84">
        <v>1</v>
      </c>
      <c r="AE52" s="84">
        <v>0</v>
      </c>
      <c r="AF52" s="84">
        <v>0</v>
      </c>
      <c r="AG52" s="84">
        <v>1</v>
      </c>
      <c r="AH52" s="84">
        <v>0</v>
      </c>
      <c r="AI52" s="84">
        <v>0</v>
      </c>
      <c r="AJ52" s="20">
        <v>1</v>
      </c>
      <c r="AK52" s="71">
        <f t="shared" si="12"/>
        <v>0.5</v>
      </c>
      <c r="AL52" s="17">
        <v>0</v>
      </c>
      <c r="AM52" s="71">
        <f t="shared" si="13"/>
        <v>0</v>
      </c>
      <c r="AN52" s="17">
        <v>0</v>
      </c>
      <c r="AO52" s="71">
        <f t="shared" si="14"/>
        <v>0</v>
      </c>
      <c r="AP52" s="17">
        <v>3</v>
      </c>
      <c r="AQ52" s="71">
        <f t="shared" si="15"/>
        <v>1</v>
      </c>
      <c r="AR52" s="84">
        <v>0</v>
      </c>
      <c r="AS52" s="17">
        <v>3</v>
      </c>
      <c r="AT52" s="71">
        <f t="shared" si="16"/>
        <v>1</v>
      </c>
      <c r="AU52" s="17">
        <v>3</v>
      </c>
      <c r="AV52" s="71">
        <f t="shared" si="17"/>
        <v>1</v>
      </c>
      <c r="AW52" s="17">
        <v>2</v>
      </c>
      <c r="AX52" s="71">
        <f t="shared" si="18"/>
        <v>1</v>
      </c>
      <c r="AY52" s="17">
        <v>2</v>
      </c>
      <c r="AZ52" s="71">
        <f t="shared" si="19"/>
        <v>0.66666666666666663</v>
      </c>
      <c r="BA52" s="93">
        <v>1</v>
      </c>
      <c r="BB52" s="93">
        <v>1</v>
      </c>
      <c r="BC52" s="93">
        <v>0</v>
      </c>
      <c r="BD52" s="93">
        <v>0</v>
      </c>
      <c r="BE52" s="102">
        <f t="shared" si="20"/>
        <v>2.1618536285121412</v>
      </c>
      <c r="BF52" s="81">
        <f t="shared" si="21"/>
        <v>0.51659483292427288</v>
      </c>
      <c r="BG52" s="81" t="str">
        <f t="shared" si="22"/>
        <v>MEDIO</v>
      </c>
      <c r="BK52" s="81" t="str">
        <f t="shared" si="23"/>
        <v>MEDIO</v>
      </c>
    </row>
    <row r="53" spans="1:63" x14ac:dyDescent="0.15">
      <c r="A53" s="85">
        <v>2</v>
      </c>
      <c r="B53" s="85">
        <v>1</v>
      </c>
      <c r="C53" s="85">
        <v>3</v>
      </c>
      <c r="D53" s="85">
        <v>2</v>
      </c>
      <c r="E53" s="85">
        <v>1</v>
      </c>
      <c r="F53" s="18">
        <v>2</v>
      </c>
      <c r="G53" s="64">
        <f t="shared" si="0"/>
        <v>1</v>
      </c>
      <c r="H53" s="18">
        <v>2</v>
      </c>
      <c r="I53" s="64">
        <f t="shared" si="1"/>
        <v>1</v>
      </c>
      <c r="J53" s="18">
        <v>2</v>
      </c>
      <c r="K53" s="64">
        <f t="shared" si="2"/>
        <v>1</v>
      </c>
      <c r="L53" s="18">
        <v>3</v>
      </c>
      <c r="M53" s="64">
        <f t="shared" si="3"/>
        <v>1</v>
      </c>
      <c r="N53" s="18">
        <v>4</v>
      </c>
      <c r="O53" s="64">
        <f t="shared" si="4"/>
        <v>0.8</v>
      </c>
      <c r="P53" s="18">
        <v>3</v>
      </c>
      <c r="Q53" s="64">
        <f t="shared" si="5"/>
        <v>1</v>
      </c>
      <c r="R53" s="24">
        <v>3</v>
      </c>
      <c r="S53" s="71">
        <f t="shared" si="6"/>
        <v>1</v>
      </c>
      <c r="T53" s="18">
        <v>2</v>
      </c>
      <c r="U53" s="64">
        <f t="shared" si="7"/>
        <v>0.66666666666666663</v>
      </c>
      <c r="V53" s="18">
        <v>4</v>
      </c>
      <c r="W53" s="71">
        <f t="shared" si="8"/>
        <v>1</v>
      </c>
      <c r="X53" s="18">
        <v>3</v>
      </c>
      <c r="Y53" s="71">
        <f t="shared" si="9"/>
        <v>1</v>
      </c>
      <c r="Z53" s="18">
        <v>3</v>
      </c>
      <c r="AA53" s="71">
        <f t="shared" si="10"/>
        <v>1</v>
      </c>
      <c r="AB53" s="18">
        <v>2</v>
      </c>
      <c r="AC53" s="71">
        <f t="shared" si="11"/>
        <v>1</v>
      </c>
      <c r="AD53" s="85">
        <v>1</v>
      </c>
      <c r="AE53" s="85">
        <v>0</v>
      </c>
      <c r="AF53" s="85">
        <v>1</v>
      </c>
      <c r="AG53" s="85">
        <v>0</v>
      </c>
      <c r="AH53" s="85">
        <v>0</v>
      </c>
      <c r="AI53" s="85">
        <v>0</v>
      </c>
      <c r="AJ53" s="19">
        <v>2</v>
      </c>
      <c r="AK53" s="71">
        <f t="shared" si="12"/>
        <v>1</v>
      </c>
      <c r="AL53" s="18">
        <v>3</v>
      </c>
      <c r="AM53" s="71">
        <f t="shared" si="13"/>
        <v>1</v>
      </c>
      <c r="AN53" s="18">
        <v>2</v>
      </c>
      <c r="AO53" s="71">
        <f t="shared" si="14"/>
        <v>0.66666666666666663</v>
      </c>
      <c r="AP53" s="18">
        <v>2</v>
      </c>
      <c r="AQ53" s="71">
        <f t="shared" si="15"/>
        <v>0.66666666666666663</v>
      </c>
      <c r="AR53" s="85">
        <v>2</v>
      </c>
      <c r="AS53" s="18">
        <v>2</v>
      </c>
      <c r="AT53" s="71">
        <f t="shared" si="16"/>
        <v>0.66666666666666663</v>
      </c>
      <c r="AU53" s="18">
        <v>3</v>
      </c>
      <c r="AV53" s="71">
        <f t="shared" si="17"/>
        <v>1</v>
      </c>
      <c r="AW53" s="18">
        <v>2</v>
      </c>
      <c r="AX53" s="71">
        <f t="shared" si="18"/>
        <v>1</v>
      </c>
      <c r="AY53" s="18">
        <v>3</v>
      </c>
      <c r="AZ53" s="71">
        <f t="shared" si="19"/>
        <v>1</v>
      </c>
      <c r="BA53" s="94">
        <v>1</v>
      </c>
      <c r="BB53" s="94">
        <v>1</v>
      </c>
      <c r="BC53" s="94">
        <v>0</v>
      </c>
      <c r="BD53" s="94">
        <v>0</v>
      </c>
      <c r="BE53" s="102">
        <f t="shared" si="20"/>
        <v>0.69602043392737012</v>
      </c>
      <c r="BF53" s="81">
        <f t="shared" si="21"/>
        <v>0.84436509960096462</v>
      </c>
      <c r="BG53" s="81" t="str">
        <f t="shared" si="22"/>
        <v>ALTO</v>
      </c>
      <c r="BK53" s="81" t="str">
        <f t="shared" si="23"/>
        <v>MOLTO ALTO</v>
      </c>
    </row>
    <row r="54" spans="1:63" x14ac:dyDescent="0.15">
      <c r="A54" s="84">
        <v>3</v>
      </c>
      <c r="B54" s="84">
        <v>1</v>
      </c>
      <c r="C54" s="84">
        <v>2</v>
      </c>
      <c r="D54" s="84">
        <v>2</v>
      </c>
      <c r="E54" s="85">
        <v>1</v>
      </c>
      <c r="F54" s="17">
        <v>1</v>
      </c>
      <c r="G54" s="64">
        <f t="shared" si="0"/>
        <v>0.5</v>
      </c>
      <c r="H54" s="17">
        <v>1</v>
      </c>
      <c r="I54" s="64">
        <f t="shared" si="1"/>
        <v>0.5</v>
      </c>
      <c r="J54" s="17">
        <v>1</v>
      </c>
      <c r="K54" s="64">
        <f t="shared" si="2"/>
        <v>0.5</v>
      </c>
      <c r="L54" s="17">
        <v>2</v>
      </c>
      <c r="M54" s="64">
        <f t="shared" si="3"/>
        <v>0.66666666666666663</v>
      </c>
      <c r="N54" s="17">
        <v>2</v>
      </c>
      <c r="O54" s="64">
        <f t="shared" si="4"/>
        <v>0.4</v>
      </c>
      <c r="P54" s="17">
        <v>2</v>
      </c>
      <c r="Q54" s="64">
        <f t="shared" si="5"/>
        <v>0.66666666666666663</v>
      </c>
      <c r="R54" s="25">
        <v>3</v>
      </c>
      <c r="S54" s="71">
        <f t="shared" si="6"/>
        <v>1</v>
      </c>
      <c r="T54" s="17">
        <v>2</v>
      </c>
      <c r="U54" s="64">
        <f t="shared" si="7"/>
        <v>0.66666666666666663</v>
      </c>
      <c r="V54" s="17">
        <v>3</v>
      </c>
      <c r="W54" s="71">
        <f t="shared" si="8"/>
        <v>0.75</v>
      </c>
      <c r="X54" s="17">
        <v>3</v>
      </c>
      <c r="Y54" s="71">
        <f t="shared" si="9"/>
        <v>1</v>
      </c>
      <c r="Z54" s="17">
        <v>3</v>
      </c>
      <c r="AA54" s="71">
        <f t="shared" si="10"/>
        <v>1</v>
      </c>
      <c r="AB54" s="17">
        <v>1</v>
      </c>
      <c r="AC54" s="71">
        <f t="shared" si="11"/>
        <v>0.5</v>
      </c>
      <c r="AD54" s="84">
        <v>1</v>
      </c>
      <c r="AE54" s="84">
        <v>0</v>
      </c>
      <c r="AF54" s="84">
        <v>1</v>
      </c>
      <c r="AG54" s="84">
        <v>0</v>
      </c>
      <c r="AH54" s="84">
        <v>0</v>
      </c>
      <c r="AI54" s="84">
        <v>0</v>
      </c>
      <c r="AJ54" s="20">
        <v>1</v>
      </c>
      <c r="AK54" s="71">
        <f t="shared" si="12"/>
        <v>0.5</v>
      </c>
      <c r="AL54" s="17">
        <v>2</v>
      </c>
      <c r="AM54" s="71">
        <f t="shared" si="13"/>
        <v>0.66666666666666663</v>
      </c>
      <c r="AN54" s="17">
        <v>1</v>
      </c>
      <c r="AO54" s="71">
        <f t="shared" si="14"/>
        <v>0.33333333333333331</v>
      </c>
      <c r="AP54" s="17">
        <v>1</v>
      </c>
      <c r="AQ54" s="71">
        <f t="shared" si="15"/>
        <v>0.33333333333333331</v>
      </c>
      <c r="AR54" s="84">
        <v>3</v>
      </c>
      <c r="AS54" s="17">
        <v>0</v>
      </c>
      <c r="AT54" s="71">
        <f t="shared" si="16"/>
        <v>0</v>
      </c>
      <c r="AU54" s="17">
        <v>2</v>
      </c>
      <c r="AV54" s="71">
        <f t="shared" si="17"/>
        <v>0.66666666666666663</v>
      </c>
      <c r="AW54" s="17">
        <v>0</v>
      </c>
      <c r="AX54" s="71">
        <f t="shared" si="18"/>
        <v>0</v>
      </c>
      <c r="AY54" s="17">
        <v>2</v>
      </c>
      <c r="AZ54" s="71">
        <f t="shared" si="19"/>
        <v>0.66666666666666663</v>
      </c>
      <c r="BA54" s="93">
        <v>0</v>
      </c>
      <c r="BB54" s="93">
        <v>1</v>
      </c>
      <c r="BC54" s="93">
        <v>0</v>
      </c>
      <c r="BD54" s="93">
        <v>0</v>
      </c>
      <c r="BE54" s="102">
        <f t="shared" si="20"/>
        <v>2.2864941625894337</v>
      </c>
      <c r="BF54" s="81">
        <f t="shared" si="21"/>
        <v>0.48872436222940496</v>
      </c>
      <c r="BG54" s="81" t="str">
        <f t="shared" si="22"/>
        <v>MEDIO</v>
      </c>
      <c r="BK54" s="81" t="str">
        <f t="shared" si="23"/>
        <v>MEDIO</v>
      </c>
    </row>
    <row r="55" spans="1:63" x14ac:dyDescent="0.15">
      <c r="A55" s="85">
        <v>4</v>
      </c>
      <c r="B55" s="85">
        <v>1</v>
      </c>
      <c r="C55" s="85">
        <v>1</v>
      </c>
      <c r="D55" s="85">
        <v>0</v>
      </c>
      <c r="E55" s="85">
        <v>1</v>
      </c>
      <c r="F55" s="18">
        <v>1</v>
      </c>
      <c r="G55" s="64">
        <f t="shared" si="0"/>
        <v>0.5</v>
      </c>
      <c r="H55" s="18">
        <v>2</v>
      </c>
      <c r="I55" s="64">
        <f t="shared" si="1"/>
        <v>1</v>
      </c>
      <c r="J55" s="18">
        <v>2</v>
      </c>
      <c r="K55" s="64">
        <f t="shared" si="2"/>
        <v>1</v>
      </c>
      <c r="L55" s="18">
        <v>2</v>
      </c>
      <c r="M55" s="64">
        <f t="shared" si="3"/>
        <v>0.66666666666666663</v>
      </c>
      <c r="N55" s="18">
        <v>1</v>
      </c>
      <c r="O55" s="64">
        <f t="shared" si="4"/>
        <v>0.2</v>
      </c>
      <c r="P55" s="18">
        <v>3</v>
      </c>
      <c r="Q55" s="64">
        <f t="shared" si="5"/>
        <v>1</v>
      </c>
      <c r="R55" s="24">
        <v>3</v>
      </c>
      <c r="S55" s="71">
        <f t="shared" si="6"/>
        <v>1</v>
      </c>
      <c r="T55" s="18">
        <v>3</v>
      </c>
      <c r="U55" s="64">
        <f t="shared" si="7"/>
        <v>1</v>
      </c>
      <c r="V55" s="18">
        <v>3</v>
      </c>
      <c r="W55" s="71">
        <f t="shared" si="8"/>
        <v>0.75</v>
      </c>
      <c r="X55" s="18">
        <v>3</v>
      </c>
      <c r="Y55" s="71">
        <f t="shared" si="9"/>
        <v>1</v>
      </c>
      <c r="Z55" s="18">
        <v>2</v>
      </c>
      <c r="AA55" s="71">
        <f t="shared" si="10"/>
        <v>0.66666666666666663</v>
      </c>
      <c r="AB55" s="18">
        <v>2</v>
      </c>
      <c r="AC55" s="71">
        <f t="shared" si="11"/>
        <v>1</v>
      </c>
      <c r="AD55" s="85">
        <v>1</v>
      </c>
      <c r="AE55" s="85">
        <v>0</v>
      </c>
      <c r="AF55" s="85">
        <v>1</v>
      </c>
      <c r="AG55" s="85">
        <v>0</v>
      </c>
      <c r="AH55" s="85">
        <v>0</v>
      </c>
      <c r="AI55" s="85">
        <v>0</v>
      </c>
      <c r="AJ55" s="19">
        <v>1</v>
      </c>
      <c r="AK55" s="71">
        <f t="shared" si="12"/>
        <v>0.5</v>
      </c>
      <c r="AL55" s="18">
        <v>2</v>
      </c>
      <c r="AM55" s="71">
        <f t="shared" si="13"/>
        <v>0.66666666666666663</v>
      </c>
      <c r="AN55" s="18">
        <v>1</v>
      </c>
      <c r="AO55" s="71">
        <f t="shared" si="14"/>
        <v>0.33333333333333331</v>
      </c>
      <c r="AP55" s="18">
        <v>2</v>
      </c>
      <c r="AQ55" s="71">
        <f t="shared" si="15"/>
        <v>0.66666666666666663</v>
      </c>
      <c r="AR55" s="85">
        <v>0</v>
      </c>
      <c r="AS55" s="18">
        <v>0</v>
      </c>
      <c r="AT55" s="71">
        <f t="shared" si="16"/>
        <v>0</v>
      </c>
      <c r="AU55" s="18">
        <v>3</v>
      </c>
      <c r="AV55" s="71">
        <f t="shared" si="17"/>
        <v>1</v>
      </c>
      <c r="AW55" s="18">
        <v>1</v>
      </c>
      <c r="AX55" s="71">
        <f t="shared" si="18"/>
        <v>0.5</v>
      </c>
      <c r="AY55" s="18">
        <v>3</v>
      </c>
      <c r="AZ55" s="71">
        <f t="shared" si="19"/>
        <v>1</v>
      </c>
      <c r="BA55" s="94">
        <v>0</v>
      </c>
      <c r="BB55" s="94">
        <v>0</v>
      </c>
      <c r="BC55" s="94">
        <v>0</v>
      </c>
      <c r="BD55" s="94">
        <v>1</v>
      </c>
      <c r="BE55" s="102">
        <f t="shared" si="20"/>
        <v>1.827946631849215</v>
      </c>
      <c r="BF55" s="81">
        <f t="shared" si="21"/>
        <v>0.59125870719437579</v>
      </c>
      <c r="BG55" s="81" t="str">
        <f t="shared" si="22"/>
        <v>MEDIO</v>
      </c>
      <c r="BK55" s="81" t="str">
        <f t="shared" si="23"/>
        <v>MEDIO</v>
      </c>
    </row>
    <row r="56" spans="1:63" x14ac:dyDescent="0.15">
      <c r="A56" s="84">
        <v>3</v>
      </c>
      <c r="B56" s="84">
        <v>2</v>
      </c>
      <c r="C56" s="84">
        <v>2</v>
      </c>
      <c r="D56" s="84">
        <v>3</v>
      </c>
      <c r="E56" s="85">
        <v>1</v>
      </c>
      <c r="F56" s="17">
        <v>2</v>
      </c>
      <c r="G56" s="64">
        <f t="shared" si="0"/>
        <v>1</v>
      </c>
      <c r="H56" s="17">
        <v>0</v>
      </c>
      <c r="I56" s="64">
        <f t="shared" si="1"/>
        <v>0</v>
      </c>
      <c r="J56" s="17">
        <v>0</v>
      </c>
      <c r="K56" s="64">
        <f t="shared" si="2"/>
        <v>0</v>
      </c>
      <c r="L56" s="17">
        <v>0</v>
      </c>
      <c r="M56" s="64">
        <f t="shared" si="3"/>
        <v>0</v>
      </c>
      <c r="N56" s="17">
        <v>2</v>
      </c>
      <c r="O56" s="64">
        <f t="shared" si="4"/>
        <v>0.4</v>
      </c>
      <c r="P56" s="17">
        <v>0</v>
      </c>
      <c r="Q56" s="64">
        <f t="shared" si="5"/>
        <v>0</v>
      </c>
      <c r="R56" s="25">
        <v>0</v>
      </c>
      <c r="S56" s="71">
        <f t="shared" si="6"/>
        <v>0</v>
      </c>
      <c r="T56" s="17">
        <v>0</v>
      </c>
      <c r="U56" s="64">
        <f t="shared" si="7"/>
        <v>0</v>
      </c>
      <c r="V56" s="17">
        <v>1</v>
      </c>
      <c r="W56" s="71">
        <f t="shared" si="8"/>
        <v>0.25</v>
      </c>
      <c r="X56" s="17">
        <v>0</v>
      </c>
      <c r="Y56" s="71">
        <f t="shared" si="9"/>
        <v>0</v>
      </c>
      <c r="Z56" s="17">
        <v>1</v>
      </c>
      <c r="AA56" s="71">
        <f t="shared" si="10"/>
        <v>0.33333333333333331</v>
      </c>
      <c r="AB56" s="17">
        <v>3</v>
      </c>
      <c r="AC56" s="71">
        <f t="shared" si="11"/>
        <v>1.5</v>
      </c>
      <c r="AD56" s="84">
        <v>0</v>
      </c>
      <c r="AE56" s="84">
        <v>0</v>
      </c>
      <c r="AF56" s="84">
        <v>1</v>
      </c>
      <c r="AG56" s="84">
        <v>1</v>
      </c>
      <c r="AH56" s="84">
        <v>0</v>
      </c>
      <c r="AI56" s="84">
        <v>0</v>
      </c>
      <c r="AJ56" s="20">
        <v>1</v>
      </c>
      <c r="AK56" s="71">
        <f t="shared" si="12"/>
        <v>0.5</v>
      </c>
      <c r="AL56" s="17">
        <v>0</v>
      </c>
      <c r="AM56" s="71">
        <f t="shared" si="13"/>
        <v>0</v>
      </c>
      <c r="AN56" s="17">
        <v>2</v>
      </c>
      <c r="AO56" s="71">
        <f t="shared" si="14"/>
        <v>0.66666666666666663</v>
      </c>
      <c r="AP56" s="17">
        <v>0</v>
      </c>
      <c r="AQ56" s="71">
        <f t="shared" si="15"/>
        <v>0</v>
      </c>
      <c r="AR56" s="84">
        <v>0</v>
      </c>
      <c r="AS56" s="17">
        <v>1</v>
      </c>
      <c r="AT56" s="71">
        <f t="shared" si="16"/>
        <v>0.33333333333333331</v>
      </c>
      <c r="AU56" s="17">
        <v>0</v>
      </c>
      <c r="AV56" s="71">
        <f t="shared" si="17"/>
        <v>0</v>
      </c>
      <c r="AW56" s="17">
        <v>1</v>
      </c>
      <c r="AX56" s="71">
        <f t="shared" si="18"/>
        <v>0.5</v>
      </c>
      <c r="AY56" s="17">
        <v>2</v>
      </c>
      <c r="AZ56" s="71">
        <f t="shared" si="19"/>
        <v>0.66666666666666663</v>
      </c>
      <c r="BA56" s="93">
        <v>0</v>
      </c>
      <c r="BB56" s="93">
        <v>0</v>
      </c>
      <c r="BC56" s="93">
        <v>0</v>
      </c>
      <c r="BD56" s="93">
        <v>1</v>
      </c>
      <c r="BE56" s="102">
        <f t="shared" si="20"/>
        <v>3.5754176135258815</v>
      </c>
      <c r="BF56" s="81">
        <f t="shared" si="21"/>
        <v>0.20051231682068094</v>
      </c>
      <c r="BG56" s="81" t="str">
        <f t="shared" si="22"/>
        <v>BASSO</v>
      </c>
      <c r="BK56" s="81" t="str">
        <f t="shared" si="23"/>
        <v>MOLTO BASSO</v>
      </c>
    </row>
    <row r="57" spans="1:63" x14ac:dyDescent="0.15">
      <c r="A57" s="85">
        <v>3</v>
      </c>
      <c r="B57" s="85">
        <v>1</v>
      </c>
      <c r="C57" s="85">
        <v>1</v>
      </c>
      <c r="D57" s="85">
        <v>2</v>
      </c>
      <c r="E57" s="85">
        <v>1</v>
      </c>
      <c r="F57" s="18">
        <v>0</v>
      </c>
      <c r="G57" s="64">
        <f t="shared" si="0"/>
        <v>0</v>
      </c>
      <c r="H57" s="18">
        <v>2</v>
      </c>
      <c r="I57" s="64">
        <f t="shared" si="1"/>
        <v>1</v>
      </c>
      <c r="J57" s="18">
        <v>1</v>
      </c>
      <c r="K57" s="64">
        <f t="shared" si="2"/>
        <v>0.5</v>
      </c>
      <c r="L57" s="18">
        <v>2</v>
      </c>
      <c r="M57" s="64">
        <f t="shared" si="3"/>
        <v>0.66666666666666663</v>
      </c>
      <c r="N57" s="18">
        <v>2</v>
      </c>
      <c r="O57" s="64">
        <f t="shared" si="4"/>
        <v>0.4</v>
      </c>
      <c r="P57" s="18">
        <v>2</v>
      </c>
      <c r="Q57" s="64">
        <f t="shared" si="5"/>
        <v>0.66666666666666663</v>
      </c>
      <c r="R57" s="24">
        <v>3</v>
      </c>
      <c r="S57" s="71">
        <f t="shared" si="6"/>
        <v>1</v>
      </c>
      <c r="T57" s="18">
        <v>2</v>
      </c>
      <c r="U57" s="64">
        <f t="shared" si="7"/>
        <v>0.66666666666666663</v>
      </c>
      <c r="V57" s="18">
        <v>3</v>
      </c>
      <c r="W57" s="71">
        <f t="shared" si="8"/>
        <v>0.75</v>
      </c>
      <c r="X57" s="18">
        <v>2</v>
      </c>
      <c r="Y57" s="71">
        <f t="shared" si="9"/>
        <v>0.66666666666666663</v>
      </c>
      <c r="Z57" s="18">
        <v>2</v>
      </c>
      <c r="AA57" s="71">
        <f t="shared" si="10"/>
        <v>0.66666666666666663</v>
      </c>
      <c r="AB57" s="18">
        <v>0</v>
      </c>
      <c r="AC57" s="71">
        <f t="shared" si="11"/>
        <v>0</v>
      </c>
      <c r="AD57" s="85">
        <v>1</v>
      </c>
      <c r="AE57" s="85">
        <v>0</v>
      </c>
      <c r="AF57" s="85">
        <v>1</v>
      </c>
      <c r="AG57" s="85">
        <v>0</v>
      </c>
      <c r="AH57" s="85">
        <v>0</v>
      </c>
      <c r="AI57" s="85">
        <v>0</v>
      </c>
      <c r="AJ57" s="19">
        <v>1</v>
      </c>
      <c r="AK57" s="71">
        <f t="shared" si="12"/>
        <v>0.5</v>
      </c>
      <c r="AL57" s="18">
        <v>0</v>
      </c>
      <c r="AM57" s="71">
        <f t="shared" si="13"/>
        <v>0</v>
      </c>
      <c r="AN57" s="18">
        <v>1</v>
      </c>
      <c r="AO57" s="71">
        <f t="shared" si="14"/>
        <v>0.33333333333333331</v>
      </c>
      <c r="AP57" s="18">
        <v>2</v>
      </c>
      <c r="AQ57" s="71">
        <f t="shared" si="15"/>
        <v>0.66666666666666663</v>
      </c>
      <c r="AR57" s="85">
        <v>0</v>
      </c>
      <c r="AS57" s="18">
        <v>3</v>
      </c>
      <c r="AT57" s="71">
        <f t="shared" si="16"/>
        <v>1</v>
      </c>
      <c r="AU57" s="18">
        <v>3</v>
      </c>
      <c r="AV57" s="71">
        <f t="shared" si="17"/>
        <v>1</v>
      </c>
      <c r="AW57" s="18">
        <v>0</v>
      </c>
      <c r="AX57" s="71">
        <f t="shared" si="18"/>
        <v>0</v>
      </c>
      <c r="AY57" s="18">
        <v>2</v>
      </c>
      <c r="AZ57" s="71">
        <f t="shared" si="19"/>
        <v>0.66666666666666663</v>
      </c>
      <c r="BA57" s="94">
        <v>0</v>
      </c>
      <c r="BB57" s="94">
        <v>1</v>
      </c>
      <c r="BC57" s="94">
        <v>1</v>
      </c>
      <c r="BD57" s="94">
        <v>0</v>
      </c>
      <c r="BE57" s="102">
        <f t="shared" si="20"/>
        <v>2.4788550224291499</v>
      </c>
      <c r="BF57" s="81">
        <f t="shared" si="21"/>
        <v>0.44571116634821761</v>
      </c>
      <c r="BG57" s="81" t="str">
        <f t="shared" si="22"/>
        <v>MEDIO</v>
      </c>
      <c r="BK57" s="81" t="str">
        <f t="shared" si="23"/>
        <v>BASSO</v>
      </c>
    </row>
    <row r="58" spans="1:63" x14ac:dyDescent="0.15">
      <c r="A58" s="84">
        <v>2</v>
      </c>
      <c r="B58" s="84">
        <v>1</v>
      </c>
      <c r="C58" s="84">
        <v>3</v>
      </c>
      <c r="D58" s="84">
        <v>0</v>
      </c>
      <c r="E58" s="85">
        <v>1</v>
      </c>
      <c r="F58" s="17">
        <v>1</v>
      </c>
      <c r="G58" s="64">
        <f t="shared" si="0"/>
        <v>0.5</v>
      </c>
      <c r="H58" s="17">
        <v>1</v>
      </c>
      <c r="I58" s="64">
        <f t="shared" si="1"/>
        <v>0.5</v>
      </c>
      <c r="J58" s="17">
        <v>1</v>
      </c>
      <c r="K58" s="64">
        <f t="shared" si="2"/>
        <v>0.5</v>
      </c>
      <c r="L58" s="17">
        <v>2</v>
      </c>
      <c r="M58" s="64">
        <f t="shared" si="3"/>
        <v>0.66666666666666663</v>
      </c>
      <c r="N58" s="17">
        <v>5</v>
      </c>
      <c r="O58" s="64">
        <f t="shared" si="4"/>
        <v>1</v>
      </c>
      <c r="P58" s="17">
        <v>3</v>
      </c>
      <c r="Q58" s="64">
        <f t="shared" si="5"/>
        <v>1</v>
      </c>
      <c r="R58" s="25">
        <v>3</v>
      </c>
      <c r="S58" s="71">
        <f t="shared" si="6"/>
        <v>1</v>
      </c>
      <c r="T58" s="17">
        <v>3</v>
      </c>
      <c r="U58" s="64">
        <f t="shared" si="7"/>
        <v>1</v>
      </c>
      <c r="V58" s="17">
        <v>3</v>
      </c>
      <c r="W58" s="71">
        <f t="shared" si="8"/>
        <v>0.75</v>
      </c>
      <c r="X58" s="17">
        <v>3</v>
      </c>
      <c r="Y58" s="71">
        <f t="shared" si="9"/>
        <v>1</v>
      </c>
      <c r="Z58" s="17">
        <v>3</v>
      </c>
      <c r="AA58" s="71">
        <f t="shared" si="10"/>
        <v>1</v>
      </c>
      <c r="AB58" s="17">
        <v>1</v>
      </c>
      <c r="AC58" s="71">
        <f t="shared" si="11"/>
        <v>0.5</v>
      </c>
      <c r="AD58" s="84">
        <v>1</v>
      </c>
      <c r="AE58" s="84">
        <v>0</v>
      </c>
      <c r="AF58" s="84">
        <v>1</v>
      </c>
      <c r="AG58" s="84">
        <v>0</v>
      </c>
      <c r="AH58" s="84">
        <v>0</v>
      </c>
      <c r="AI58" s="84">
        <v>0</v>
      </c>
      <c r="AJ58" s="20">
        <v>0</v>
      </c>
      <c r="AK58" s="71">
        <f t="shared" si="12"/>
        <v>0</v>
      </c>
      <c r="AL58" s="17">
        <v>2</v>
      </c>
      <c r="AM58" s="71">
        <f t="shared" si="13"/>
        <v>0.66666666666666663</v>
      </c>
      <c r="AN58" s="17">
        <v>1</v>
      </c>
      <c r="AO58" s="71">
        <f t="shared" si="14"/>
        <v>0.33333333333333331</v>
      </c>
      <c r="AP58" s="17">
        <v>1</v>
      </c>
      <c r="AQ58" s="71">
        <f t="shared" si="15"/>
        <v>0.33333333333333331</v>
      </c>
      <c r="AR58" s="84">
        <v>0</v>
      </c>
      <c r="AS58" s="17">
        <v>3</v>
      </c>
      <c r="AT58" s="71">
        <f t="shared" si="16"/>
        <v>1</v>
      </c>
      <c r="AU58" s="17">
        <v>3</v>
      </c>
      <c r="AV58" s="71">
        <f t="shared" si="17"/>
        <v>1</v>
      </c>
      <c r="AW58" s="17">
        <v>1</v>
      </c>
      <c r="AX58" s="71">
        <f t="shared" si="18"/>
        <v>0.5</v>
      </c>
      <c r="AY58" s="17">
        <v>0</v>
      </c>
      <c r="AZ58" s="71">
        <f t="shared" si="19"/>
        <v>0</v>
      </c>
      <c r="BA58" s="93"/>
      <c r="BB58" s="93">
        <v>1</v>
      </c>
      <c r="BC58" s="93">
        <v>1</v>
      </c>
      <c r="BD58" s="93"/>
      <c r="BE58" s="102">
        <f t="shared" si="20"/>
        <v>2.1032382440206607</v>
      </c>
      <c r="BF58" s="81">
        <f t="shared" si="21"/>
        <v>0.52970163134929538</v>
      </c>
      <c r="BG58" s="81" t="str">
        <f t="shared" si="22"/>
        <v>MEDIO</v>
      </c>
      <c r="BK58" s="81" t="str">
        <f t="shared" si="23"/>
        <v>MEDIO</v>
      </c>
    </row>
    <row r="59" spans="1:63" x14ac:dyDescent="0.15">
      <c r="A59" s="85">
        <v>4</v>
      </c>
      <c r="B59" s="85">
        <v>1</v>
      </c>
      <c r="C59" s="85">
        <v>1</v>
      </c>
      <c r="D59" s="85">
        <v>2</v>
      </c>
      <c r="E59" s="85">
        <v>1</v>
      </c>
      <c r="F59" s="18">
        <v>1</v>
      </c>
      <c r="G59" s="64">
        <f t="shared" si="0"/>
        <v>0.5</v>
      </c>
      <c r="H59" s="18">
        <v>2</v>
      </c>
      <c r="I59" s="64">
        <f t="shared" si="1"/>
        <v>1</v>
      </c>
      <c r="J59" s="18">
        <v>1</v>
      </c>
      <c r="K59" s="64">
        <f t="shared" si="2"/>
        <v>0.5</v>
      </c>
      <c r="L59" s="18">
        <v>2</v>
      </c>
      <c r="M59" s="64">
        <f t="shared" si="3"/>
        <v>0.66666666666666663</v>
      </c>
      <c r="N59" s="18">
        <v>0</v>
      </c>
      <c r="O59" s="64">
        <f t="shared" si="4"/>
        <v>0</v>
      </c>
      <c r="P59" s="18">
        <v>0</v>
      </c>
      <c r="Q59" s="64">
        <f t="shared" si="5"/>
        <v>0</v>
      </c>
      <c r="R59" s="24">
        <v>0</v>
      </c>
      <c r="S59" s="71">
        <f t="shared" si="6"/>
        <v>0</v>
      </c>
      <c r="T59" s="18">
        <v>1</v>
      </c>
      <c r="U59" s="64">
        <f t="shared" si="7"/>
        <v>0.33333333333333331</v>
      </c>
      <c r="V59" s="18">
        <v>3</v>
      </c>
      <c r="W59" s="71">
        <f t="shared" si="8"/>
        <v>0.75</v>
      </c>
      <c r="X59" s="18">
        <v>2</v>
      </c>
      <c r="Y59" s="71">
        <f t="shared" si="9"/>
        <v>0.66666666666666663</v>
      </c>
      <c r="Z59" s="18">
        <v>1</v>
      </c>
      <c r="AA59" s="71">
        <f t="shared" si="10"/>
        <v>0.33333333333333331</v>
      </c>
      <c r="AB59" s="18">
        <v>2</v>
      </c>
      <c r="AC59" s="71">
        <f t="shared" si="11"/>
        <v>1</v>
      </c>
      <c r="AD59" s="85">
        <v>1</v>
      </c>
      <c r="AE59" s="85">
        <v>1</v>
      </c>
      <c r="AF59" s="85">
        <v>0</v>
      </c>
      <c r="AG59" s="85">
        <v>0</v>
      </c>
      <c r="AH59" s="85">
        <v>0</v>
      </c>
      <c r="AI59" s="85">
        <v>0</v>
      </c>
      <c r="AJ59" s="19">
        <v>1</v>
      </c>
      <c r="AK59" s="71">
        <f t="shared" si="12"/>
        <v>0.5</v>
      </c>
      <c r="AL59" s="18">
        <v>0</v>
      </c>
      <c r="AM59" s="71">
        <f t="shared" si="13"/>
        <v>0</v>
      </c>
      <c r="AN59" s="18">
        <v>1</v>
      </c>
      <c r="AO59" s="71">
        <f t="shared" si="14"/>
        <v>0.33333333333333331</v>
      </c>
      <c r="AP59" s="18">
        <v>0</v>
      </c>
      <c r="AQ59" s="71">
        <f t="shared" si="15"/>
        <v>0</v>
      </c>
      <c r="AR59" s="85">
        <v>0</v>
      </c>
      <c r="AS59" s="18">
        <v>2</v>
      </c>
      <c r="AT59" s="71">
        <f t="shared" si="16"/>
        <v>0.66666666666666663</v>
      </c>
      <c r="AU59" s="18">
        <v>2</v>
      </c>
      <c r="AV59" s="71">
        <f t="shared" si="17"/>
        <v>0.66666666666666663</v>
      </c>
      <c r="AW59" s="18">
        <v>1</v>
      </c>
      <c r="AX59" s="71">
        <f t="shared" si="18"/>
        <v>0.5</v>
      </c>
      <c r="AY59" s="18">
        <v>2</v>
      </c>
      <c r="AZ59" s="71">
        <f t="shared" si="19"/>
        <v>0.66666666666666663</v>
      </c>
      <c r="BA59" s="94">
        <v>1</v>
      </c>
      <c r="BB59" s="94">
        <v>1</v>
      </c>
      <c r="BC59" s="94">
        <v>0</v>
      </c>
      <c r="BD59" s="94">
        <v>0</v>
      </c>
      <c r="BE59" s="102">
        <f t="shared" si="20"/>
        <v>2.8198207192814384</v>
      </c>
      <c r="BF59" s="81">
        <f t="shared" si="21"/>
        <v>0.36946891873249443</v>
      </c>
      <c r="BG59" s="81" t="str">
        <f t="shared" si="22"/>
        <v>MEDIO</v>
      </c>
      <c r="BK59" s="81" t="str">
        <f t="shared" si="23"/>
        <v>BASSO</v>
      </c>
    </row>
    <row r="60" spans="1:63" x14ac:dyDescent="0.15">
      <c r="A60" s="84">
        <v>2</v>
      </c>
      <c r="B60" s="84">
        <v>2</v>
      </c>
      <c r="C60" s="84">
        <v>2</v>
      </c>
      <c r="D60" s="84">
        <v>2</v>
      </c>
      <c r="E60" s="85">
        <v>1</v>
      </c>
      <c r="F60" s="17">
        <v>2</v>
      </c>
      <c r="G60" s="64">
        <f t="shared" si="0"/>
        <v>1</v>
      </c>
      <c r="H60" s="17">
        <v>2</v>
      </c>
      <c r="I60" s="64">
        <f t="shared" si="1"/>
        <v>1</v>
      </c>
      <c r="J60" s="17">
        <v>2</v>
      </c>
      <c r="K60" s="64">
        <f t="shared" si="2"/>
        <v>1</v>
      </c>
      <c r="L60" s="17">
        <v>3</v>
      </c>
      <c r="M60" s="64">
        <f t="shared" si="3"/>
        <v>1</v>
      </c>
      <c r="N60" s="17">
        <v>4</v>
      </c>
      <c r="O60" s="64">
        <f t="shared" si="4"/>
        <v>0.8</v>
      </c>
      <c r="P60" s="17">
        <v>3</v>
      </c>
      <c r="Q60" s="64">
        <f t="shared" si="5"/>
        <v>1</v>
      </c>
      <c r="R60" s="25">
        <v>3</v>
      </c>
      <c r="S60" s="71">
        <f t="shared" si="6"/>
        <v>1</v>
      </c>
      <c r="T60" s="17">
        <v>3</v>
      </c>
      <c r="U60" s="64">
        <f t="shared" si="7"/>
        <v>1</v>
      </c>
      <c r="V60" s="17">
        <v>3</v>
      </c>
      <c r="W60" s="71">
        <f t="shared" si="8"/>
        <v>0.75</v>
      </c>
      <c r="X60" s="17">
        <v>3</v>
      </c>
      <c r="Y60" s="71">
        <f t="shared" si="9"/>
        <v>1</v>
      </c>
      <c r="Z60" s="17">
        <v>3</v>
      </c>
      <c r="AA60" s="71">
        <f t="shared" si="10"/>
        <v>1</v>
      </c>
      <c r="AB60" s="17">
        <v>0</v>
      </c>
      <c r="AC60" s="71">
        <f t="shared" si="11"/>
        <v>0</v>
      </c>
      <c r="AD60" s="84">
        <v>1</v>
      </c>
      <c r="AE60" s="84">
        <v>1</v>
      </c>
      <c r="AF60" s="84">
        <v>0</v>
      </c>
      <c r="AG60" s="84">
        <v>0</v>
      </c>
      <c r="AH60" s="84">
        <v>0</v>
      </c>
      <c r="AI60" s="84">
        <v>0</v>
      </c>
      <c r="AJ60" s="20">
        <v>2</v>
      </c>
      <c r="AK60" s="71">
        <f t="shared" si="12"/>
        <v>1</v>
      </c>
      <c r="AL60" s="17">
        <v>3</v>
      </c>
      <c r="AM60" s="71">
        <f t="shared" si="13"/>
        <v>1</v>
      </c>
      <c r="AN60" s="17">
        <v>1</v>
      </c>
      <c r="AO60" s="71">
        <f t="shared" si="14"/>
        <v>0.33333333333333331</v>
      </c>
      <c r="AP60" s="17">
        <v>3</v>
      </c>
      <c r="AQ60" s="71">
        <f t="shared" si="15"/>
        <v>1</v>
      </c>
      <c r="AR60" s="84">
        <v>0</v>
      </c>
      <c r="AS60" s="17">
        <v>3</v>
      </c>
      <c r="AT60" s="71">
        <f t="shared" si="16"/>
        <v>1</v>
      </c>
      <c r="AU60" s="17">
        <v>3</v>
      </c>
      <c r="AV60" s="71">
        <f t="shared" si="17"/>
        <v>1</v>
      </c>
      <c r="AW60" s="17">
        <v>1</v>
      </c>
      <c r="AX60" s="71">
        <f t="shared" si="18"/>
        <v>0.5</v>
      </c>
      <c r="AY60" s="17">
        <v>3</v>
      </c>
      <c r="AZ60" s="71">
        <f t="shared" si="19"/>
        <v>1</v>
      </c>
      <c r="BA60" s="93">
        <v>1</v>
      </c>
      <c r="BB60" s="93">
        <v>1</v>
      </c>
      <c r="BC60" s="93">
        <v>0</v>
      </c>
      <c r="BD60" s="93">
        <v>0</v>
      </c>
      <c r="BE60" s="102">
        <f t="shared" si="20"/>
        <v>1.3405015645065264</v>
      </c>
      <c r="BF60" s="81">
        <f t="shared" si="21"/>
        <v>0.70025473778188696</v>
      </c>
      <c r="BG60" s="81" t="str">
        <f t="shared" si="22"/>
        <v>ALTO</v>
      </c>
      <c r="BK60" s="81" t="str">
        <f t="shared" si="23"/>
        <v>ALTO</v>
      </c>
    </row>
    <row r="61" spans="1:63" x14ac:dyDescent="0.15">
      <c r="A61" s="85">
        <v>2</v>
      </c>
      <c r="B61" s="85">
        <v>1</v>
      </c>
      <c r="C61" s="85">
        <v>3</v>
      </c>
      <c r="D61" s="85">
        <v>2</v>
      </c>
      <c r="E61" s="85">
        <v>1</v>
      </c>
      <c r="F61" s="18">
        <v>2</v>
      </c>
      <c r="G61" s="64">
        <f t="shared" si="0"/>
        <v>1</v>
      </c>
      <c r="H61" s="18">
        <v>1</v>
      </c>
      <c r="I61" s="64">
        <f t="shared" si="1"/>
        <v>0.5</v>
      </c>
      <c r="J61" s="18">
        <v>1</v>
      </c>
      <c r="K61" s="64">
        <f t="shared" si="2"/>
        <v>0.5</v>
      </c>
      <c r="L61" s="18">
        <v>1</v>
      </c>
      <c r="M61" s="64">
        <f t="shared" si="3"/>
        <v>0.33333333333333331</v>
      </c>
      <c r="N61" s="18">
        <v>2</v>
      </c>
      <c r="O61" s="64">
        <f t="shared" si="4"/>
        <v>0.4</v>
      </c>
      <c r="P61" s="18">
        <v>0</v>
      </c>
      <c r="Q61" s="64">
        <f t="shared" si="5"/>
        <v>0</v>
      </c>
      <c r="R61" s="24">
        <v>2</v>
      </c>
      <c r="S61" s="71">
        <f t="shared" si="6"/>
        <v>0.66666666666666663</v>
      </c>
      <c r="T61" s="18">
        <v>1</v>
      </c>
      <c r="U61" s="64">
        <f t="shared" si="7"/>
        <v>0.33333333333333331</v>
      </c>
      <c r="V61" s="18">
        <v>3</v>
      </c>
      <c r="W61" s="71">
        <f t="shared" si="8"/>
        <v>0.75</v>
      </c>
      <c r="X61" s="18">
        <v>2</v>
      </c>
      <c r="Y61" s="71">
        <f t="shared" si="9"/>
        <v>0.66666666666666663</v>
      </c>
      <c r="Z61" s="18">
        <v>3</v>
      </c>
      <c r="AA61" s="71">
        <f t="shared" si="10"/>
        <v>1</v>
      </c>
      <c r="AB61" s="18">
        <v>2</v>
      </c>
      <c r="AC61" s="71">
        <f t="shared" si="11"/>
        <v>1</v>
      </c>
      <c r="AD61" s="85">
        <v>1</v>
      </c>
      <c r="AE61" s="85">
        <v>0</v>
      </c>
      <c r="AF61" s="85">
        <v>0</v>
      </c>
      <c r="AG61" s="85">
        <v>1</v>
      </c>
      <c r="AH61" s="85">
        <v>0</v>
      </c>
      <c r="AI61" s="85">
        <v>0</v>
      </c>
      <c r="AJ61" s="19">
        <v>1</v>
      </c>
      <c r="AK61" s="71">
        <f t="shared" si="12"/>
        <v>0.5</v>
      </c>
      <c r="AL61" s="18">
        <v>1</v>
      </c>
      <c r="AM61" s="71">
        <f t="shared" si="13"/>
        <v>0.33333333333333331</v>
      </c>
      <c r="AN61" s="18">
        <v>1</v>
      </c>
      <c r="AO61" s="71">
        <f t="shared" si="14"/>
        <v>0.33333333333333331</v>
      </c>
      <c r="AP61" s="18">
        <v>1</v>
      </c>
      <c r="AQ61" s="71">
        <f t="shared" si="15"/>
        <v>0.33333333333333331</v>
      </c>
      <c r="AR61" s="85">
        <v>2</v>
      </c>
      <c r="AS61" s="18">
        <v>2</v>
      </c>
      <c r="AT61" s="71">
        <f t="shared" si="16"/>
        <v>0.66666666666666663</v>
      </c>
      <c r="AU61" s="18">
        <v>2</v>
      </c>
      <c r="AV61" s="71">
        <f t="shared" si="17"/>
        <v>0.66666666666666663</v>
      </c>
      <c r="AW61" s="18">
        <v>0</v>
      </c>
      <c r="AX61" s="71">
        <f t="shared" si="18"/>
        <v>0</v>
      </c>
      <c r="AY61" s="18">
        <v>2</v>
      </c>
      <c r="AZ61" s="71">
        <f t="shared" si="19"/>
        <v>0.66666666666666663</v>
      </c>
      <c r="BA61" s="94">
        <v>1</v>
      </c>
      <c r="BB61" s="94">
        <v>0</v>
      </c>
      <c r="BC61" s="94">
        <v>1</v>
      </c>
      <c r="BD61" s="94">
        <v>0</v>
      </c>
      <c r="BE61" s="102">
        <f t="shared" si="20"/>
        <v>2.4393191217587291</v>
      </c>
      <c r="BF61" s="81">
        <f t="shared" si="21"/>
        <v>0.45455166249329082</v>
      </c>
      <c r="BG61" s="81" t="str">
        <f t="shared" si="22"/>
        <v>MEDIO</v>
      </c>
      <c r="BK61" s="81" t="str">
        <f t="shared" si="23"/>
        <v>MEDIO</v>
      </c>
    </row>
    <row r="62" spans="1:63" x14ac:dyDescent="0.15">
      <c r="A62" s="84">
        <v>4</v>
      </c>
      <c r="B62" s="84">
        <v>1</v>
      </c>
      <c r="C62" s="84">
        <v>3</v>
      </c>
      <c r="D62" s="84">
        <v>2</v>
      </c>
      <c r="E62" s="85">
        <v>1</v>
      </c>
      <c r="F62" s="17">
        <v>2</v>
      </c>
      <c r="G62" s="64">
        <f t="shared" si="0"/>
        <v>1</v>
      </c>
      <c r="H62" s="17">
        <v>2</v>
      </c>
      <c r="I62" s="64">
        <f t="shared" si="1"/>
        <v>1</v>
      </c>
      <c r="J62" s="17">
        <v>1</v>
      </c>
      <c r="K62" s="64">
        <f t="shared" si="2"/>
        <v>0.5</v>
      </c>
      <c r="L62" s="17">
        <v>2</v>
      </c>
      <c r="M62" s="64">
        <f t="shared" si="3"/>
        <v>0.66666666666666663</v>
      </c>
      <c r="N62" s="17">
        <v>0</v>
      </c>
      <c r="O62" s="64">
        <f t="shared" si="4"/>
        <v>0</v>
      </c>
      <c r="P62" s="17">
        <v>3</v>
      </c>
      <c r="Q62" s="64">
        <f t="shared" si="5"/>
        <v>1</v>
      </c>
      <c r="R62" s="25">
        <v>0</v>
      </c>
      <c r="S62" s="71">
        <f t="shared" si="6"/>
        <v>0</v>
      </c>
      <c r="T62" s="17">
        <v>1</v>
      </c>
      <c r="U62" s="64">
        <f t="shared" si="7"/>
        <v>0.33333333333333331</v>
      </c>
      <c r="V62" s="17">
        <v>3</v>
      </c>
      <c r="W62" s="71">
        <f t="shared" si="8"/>
        <v>0.75</v>
      </c>
      <c r="X62" s="17">
        <v>0</v>
      </c>
      <c r="Y62" s="71">
        <f t="shared" si="9"/>
        <v>0</v>
      </c>
      <c r="Z62" s="17">
        <v>3</v>
      </c>
      <c r="AA62" s="71">
        <f t="shared" si="10"/>
        <v>1</v>
      </c>
      <c r="AB62" s="17">
        <v>3</v>
      </c>
      <c r="AC62" s="71">
        <f t="shared" si="11"/>
        <v>1.5</v>
      </c>
      <c r="AD62" s="84">
        <v>0</v>
      </c>
      <c r="AE62" s="84">
        <v>1</v>
      </c>
      <c r="AF62" s="84">
        <v>1</v>
      </c>
      <c r="AG62" s="84">
        <v>0</v>
      </c>
      <c r="AH62" s="84">
        <v>0</v>
      </c>
      <c r="AI62" s="84">
        <v>0</v>
      </c>
      <c r="AJ62" s="20">
        <v>0</v>
      </c>
      <c r="AK62" s="71">
        <f t="shared" si="12"/>
        <v>0</v>
      </c>
      <c r="AL62" s="17">
        <v>2</v>
      </c>
      <c r="AM62" s="71">
        <f t="shared" si="13"/>
        <v>0.66666666666666663</v>
      </c>
      <c r="AN62" s="17">
        <v>0</v>
      </c>
      <c r="AO62" s="71">
        <f t="shared" si="14"/>
        <v>0</v>
      </c>
      <c r="AP62" s="17">
        <v>0</v>
      </c>
      <c r="AQ62" s="71">
        <f t="shared" si="15"/>
        <v>0</v>
      </c>
      <c r="AR62" s="84">
        <v>3</v>
      </c>
      <c r="AS62" s="17">
        <v>0</v>
      </c>
      <c r="AT62" s="71">
        <f t="shared" si="16"/>
        <v>0</v>
      </c>
      <c r="AU62" s="17">
        <v>0</v>
      </c>
      <c r="AV62" s="71">
        <f t="shared" si="17"/>
        <v>0</v>
      </c>
      <c r="AW62" s="17">
        <v>0</v>
      </c>
      <c r="AX62" s="71">
        <f t="shared" si="18"/>
        <v>0</v>
      </c>
      <c r="AY62" s="17">
        <v>0</v>
      </c>
      <c r="AZ62" s="71">
        <f t="shared" si="19"/>
        <v>0</v>
      </c>
      <c r="BA62" s="93">
        <v>0</v>
      </c>
      <c r="BB62" s="93">
        <v>0</v>
      </c>
      <c r="BC62" s="93">
        <v>0</v>
      </c>
      <c r="BD62" s="93">
        <v>1</v>
      </c>
      <c r="BE62" s="102">
        <f t="shared" si="20"/>
        <v>3.3509948771471834</v>
      </c>
      <c r="BF62" s="81">
        <f t="shared" si="21"/>
        <v>0.25069476624460452</v>
      </c>
      <c r="BG62" s="81" t="str">
        <f t="shared" si="22"/>
        <v>BASSO</v>
      </c>
      <c r="BK62" s="81" t="str">
        <f t="shared" si="23"/>
        <v>MOLTO BASSO</v>
      </c>
    </row>
    <row r="63" spans="1:63" x14ac:dyDescent="0.15">
      <c r="A63" s="85">
        <v>2</v>
      </c>
      <c r="B63" s="85">
        <v>2</v>
      </c>
      <c r="C63" s="85">
        <v>3</v>
      </c>
      <c r="D63" s="85">
        <v>2</v>
      </c>
      <c r="E63" s="85">
        <v>1</v>
      </c>
      <c r="F63" s="18">
        <v>2</v>
      </c>
      <c r="G63" s="64">
        <f t="shared" si="0"/>
        <v>1</v>
      </c>
      <c r="H63" s="18">
        <v>1</v>
      </c>
      <c r="I63" s="64">
        <f t="shared" si="1"/>
        <v>0.5</v>
      </c>
      <c r="J63" s="18">
        <v>0</v>
      </c>
      <c r="K63" s="64">
        <f t="shared" si="2"/>
        <v>0</v>
      </c>
      <c r="L63" s="18">
        <v>0</v>
      </c>
      <c r="M63" s="64">
        <f t="shared" si="3"/>
        <v>0</v>
      </c>
      <c r="N63" s="18">
        <v>4</v>
      </c>
      <c r="O63" s="64">
        <f t="shared" si="4"/>
        <v>0.8</v>
      </c>
      <c r="P63" s="18">
        <v>0</v>
      </c>
      <c r="Q63" s="64">
        <f t="shared" si="5"/>
        <v>0</v>
      </c>
      <c r="R63" s="24">
        <v>0</v>
      </c>
      <c r="S63" s="71">
        <f t="shared" si="6"/>
        <v>0</v>
      </c>
      <c r="T63" s="18">
        <v>0</v>
      </c>
      <c r="U63" s="64">
        <f t="shared" si="7"/>
        <v>0</v>
      </c>
      <c r="V63" s="18">
        <v>3</v>
      </c>
      <c r="W63" s="71">
        <f t="shared" si="8"/>
        <v>0.75</v>
      </c>
      <c r="X63" s="18">
        <v>2</v>
      </c>
      <c r="Y63" s="71">
        <f t="shared" si="9"/>
        <v>0.66666666666666663</v>
      </c>
      <c r="Z63" s="18">
        <v>2</v>
      </c>
      <c r="AA63" s="71">
        <f t="shared" si="10"/>
        <v>0.66666666666666663</v>
      </c>
      <c r="AB63" s="19">
        <v>1</v>
      </c>
      <c r="AC63" s="71">
        <f t="shared" si="11"/>
        <v>0.5</v>
      </c>
      <c r="AD63" s="85">
        <v>1</v>
      </c>
      <c r="AE63" s="85">
        <v>0</v>
      </c>
      <c r="AF63" s="85">
        <v>0</v>
      </c>
      <c r="AG63" s="85">
        <v>1</v>
      </c>
      <c r="AH63" s="85">
        <v>0</v>
      </c>
      <c r="AI63" s="85">
        <v>0</v>
      </c>
      <c r="AJ63" s="19">
        <v>0</v>
      </c>
      <c r="AK63" s="71">
        <f t="shared" si="12"/>
        <v>0</v>
      </c>
      <c r="AL63" s="18">
        <v>0</v>
      </c>
      <c r="AM63" s="71">
        <f t="shared" si="13"/>
        <v>0</v>
      </c>
      <c r="AN63" s="18">
        <v>0</v>
      </c>
      <c r="AO63" s="71">
        <f t="shared" si="14"/>
        <v>0</v>
      </c>
      <c r="AP63" s="18">
        <v>0</v>
      </c>
      <c r="AQ63" s="71">
        <f t="shared" si="15"/>
        <v>0</v>
      </c>
      <c r="AR63" s="85">
        <v>2</v>
      </c>
      <c r="AS63" s="18">
        <v>1</v>
      </c>
      <c r="AT63" s="71">
        <f t="shared" si="16"/>
        <v>0.33333333333333331</v>
      </c>
      <c r="AU63" s="18">
        <v>1</v>
      </c>
      <c r="AV63" s="71">
        <f t="shared" si="17"/>
        <v>0.33333333333333331</v>
      </c>
      <c r="AW63" s="18">
        <v>1</v>
      </c>
      <c r="AX63" s="71">
        <f t="shared" si="18"/>
        <v>0.5</v>
      </c>
      <c r="AY63" s="18">
        <v>1</v>
      </c>
      <c r="AZ63" s="71">
        <f t="shared" si="19"/>
        <v>0.33333333333333331</v>
      </c>
      <c r="BA63" s="94">
        <v>0</v>
      </c>
      <c r="BB63" s="94">
        <v>0</v>
      </c>
      <c r="BC63" s="94">
        <v>1</v>
      </c>
      <c r="BD63" s="94">
        <v>0</v>
      </c>
      <c r="BE63" s="102">
        <f t="shared" si="20"/>
        <v>3.37758131738609</v>
      </c>
      <c r="BF63" s="81">
        <f t="shared" si="21"/>
        <v>0.24474985747921207</v>
      </c>
      <c r="BG63" s="81" t="str">
        <f t="shared" si="22"/>
        <v>BASSO</v>
      </c>
      <c r="BK63" s="81" t="str">
        <f t="shared" si="23"/>
        <v>MOLTO BASSO</v>
      </c>
    </row>
    <row r="64" spans="1:63" x14ac:dyDescent="0.15">
      <c r="A64" s="84">
        <v>5</v>
      </c>
      <c r="B64" s="84">
        <v>1</v>
      </c>
      <c r="C64" s="84">
        <v>1</v>
      </c>
      <c r="D64" s="84">
        <v>2</v>
      </c>
      <c r="E64" s="85">
        <v>1</v>
      </c>
      <c r="F64" s="17">
        <v>2</v>
      </c>
      <c r="G64" s="64">
        <f t="shared" si="0"/>
        <v>1</v>
      </c>
      <c r="H64" s="17">
        <v>1</v>
      </c>
      <c r="I64" s="64">
        <f t="shared" si="1"/>
        <v>0.5</v>
      </c>
      <c r="J64" s="17">
        <v>1</v>
      </c>
      <c r="K64" s="64">
        <f t="shared" si="2"/>
        <v>0.5</v>
      </c>
      <c r="L64" s="17">
        <v>2</v>
      </c>
      <c r="M64" s="64">
        <f t="shared" si="3"/>
        <v>0.66666666666666663</v>
      </c>
      <c r="N64" s="17">
        <v>3</v>
      </c>
      <c r="O64" s="64">
        <f t="shared" si="4"/>
        <v>0.6</v>
      </c>
      <c r="P64" s="17">
        <v>0</v>
      </c>
      <c r="Q64" s="64">
        <f t="shared" si="5"/>
        <v>0</v>
      </c>
      <c r="R64" s="25">
        <v>0</v>
      </c>
      <c r="S64" s="71">
        <f t="shared" si="6"/>
        <v>0</v>
      </c>
      <c r="T64" s="17">
        <v>1</v>
      </c>
      <c r="U64" s="64">
        <f t="shared" si="7"/>
        <v>0.33333333333333331</v>
      </c>
      <c r="V64" s="17">
        <v>3</v>
      </c>
      <c r="W64" s="71">
        <f t="shared" si="8"/>
        <v>0.75</v>
      </c>
      <c r="X64" s="17">
        <v>2</v>
      </c>
      <c r="Y64" s="71">
        <f t="shared" si="9"/>
        <v>0.66666666666666663</v>
      </c>
      <c r="Z64" s="17">
        <v>2</v>
      </c>
      <c r="AA64" s="71">
        <f t="shared" si="10"/>
        <v>0.66666666666666663</v>
      </c>
      <c r="AB64" s="17">
        <v>2</v>
      </c>
      <c r="AC64" s="71">
        <f t="shared" si="11"/>
        <v>1</v>
      </c>
      <c r="AD64" s="84">
        <v>1</v>
      </c>
      <c r="AE64" s="84">
        <v>0</v>
      </c>
      <c r="AF64" s="84">
        <v>0</v>
      </c>
      <c r="AG64" s="84">
        <v>1</v>
      </c>
      <c r="AH64" s="84">
        <v>0</v>
      </c>
      <c r="AI64" s="84">
        <v>0</v>
      </c>
      <c r="AJ64" s="20">
        <v>1</v>
      </c>
      <c r="AK64" s="71">
        <f t="shared" si="12"/>
        <v>0.5</v>
      </c>
      <c r="AL64" s="17">
        <v>1</v>
      </c>
      <c r="AM64" s="71">
        <f t="shared" si="13"/>
        <v>0.33333333333333331</v>
      </c>
      <c r="AN64" s="17">
        <v>0</v>
      </c>
      <c r="AO64" s="71">
        <f t="shared" si="14"/>
        <v>0</v>
      </c>
      <c r="AP64" s="17">
        <v>1</v>
      </c>
      <c r="AQ64" s="71">
        <f t="shared" si="15"/>
        <v>0.33333333333333331</v>
      </c>
      <c r="AR64" s="84">
        <v>2</v>
      </c>
      <c r="AS64" s="17">
        <v>1</v>
      </c>
      <c r="AT64" s="71">
        <f t="shared" si="16"/>
        <v>0.33333333333333331</v>
      </c>
      <c r="AU64" s="17">
        <v>1</v>
      </c>
      <c r="AV64" s="71">
        <f t="shared" si="17"/>
        <v>0.33333333333333331</v>
      </c>
      <c r="AW64" s="17">
        <v>2</v>
      </c>
      <c r="AX64" s="71">
        <f t="shared" si="18"/>
        <v>1</v>
      </c>
      <c r="AY64" s="17">
        <v>2</v>
      </c>
      <c r="AZ64" s="71">
        <f t="shared" si="19"/>
        <v>0.66666666666666663</v>
      </c>
      <c r="BA64" s="93">
        <v>0</v>
      </c>
      <c r="BB64" s="93">
        <v>1</v>
      </c>
      <c r="BC64" s="93">
        <v>1</v>
      </c>
      <c r="BD64" s="93">
        <v>0</v>
      </c>
      <c r="BE64" s="102">
        <f t="shared" si="20"/>
        <v>2.5766580422451613</v>
      </c>
      <c r="BF64" s="81">
        <f t="shared" si="21"/>
        <v>0.42384174627688365</v>
      </c>
      <c r="BG64" s="81" t="str">
        <f t="shared" si="22"/>
        <v>MEDIO</v>
      </c>
      <c r="BK64" s="81" t="str">
        <f t="shared" si="23"/>
        <v>BASSO</v>
      </c>
    </row>
    <row r="65" spans="1:63" x14ac:dyDescent="0.15">
      <c r="A65" s="85">
        <v>3</v>
      </c>
      <c r="B65" s="85">
        <v>1</v>
      </c>
      <c r="C65" s="85">
        <v>1</v>
      </c>
      <c r="D65" s="85">
        <v>2</v>
      </c>
      <c r="E65" s="85">
        <v>1</v>
      </c>
      <c r="F65" s="18">
        <v>0</v>
      </c>
      <c r="G65" s="64">
        <f t="shared" si="0"/>
        <v>0</v>
      </c>
      <c r="H65" s="18">
        <v>1</v>
      </c>
      <c r="I65" s="64">
        <f t="shared" si="1"/>
        <v>0.5</v>
      </c>
      <c r="J65" s="18">
        <v>1</v>
      </c>
      <c r="K65" s="64">
        <f t="shared" si="2"/>
        <v>0.5</v>
      </c>
      <c r="L65" s="18">
        <v>2</v>
      </c>
      <c r="M65" s="64">
        <f t="shared" si="3"/>
        <v>0.66666666666666663</v>
      </c>
      <c r="N65" s="18">
        <v>1</v>
      </c>
      <c r="O65" s="64">
        <f t="shared" si="4"/>
        <v>0.2</v>
      </c>
      <c r="P65" s="18">
        <v>0</v>
      </c>
      <c r="Q65" s="64">
        <f t="shared" si="5"/>
        <v>0</v>
      </c>
      <c r="R65" s="24">
        <v>0</v>
      </c>
      <c r="S65" s="71">
        <f t="shared" si="6"/>
        <v>0</v>
      </c>
      <c r="T65" s="18">
        <v>2</v>
      </c>
      <c r="U65" s="64">
        <f t="shared" si="7"/>
        <v>0.66666666666666663</v>
      </c>
      <c r="V65" s="18">
        <v>3</v>
      </c>
      <c r="W65" s="71">
        <f t="shared" si="8"/>
        <v>0.75</v>
      </c>
      <c r="X65" s="18">
        <v>2</v>
      </c>
      <c r="Y65" s="71">
        <f t="shared" si="9"/>
        <v>0.66666666666666663</v>
      </c>
      <c r="Z65" s="18">
        <v>0</v>
      </c>
      <c r="AA65" s="71">
        <f t="shared" si="10"/>
        <v>0</v>
      </c>
      <c r="AB65" s="18">
        <v>0</v>
      </c>
      <c r="AC65" s="71">
        <f t="shared" si="11"/>
        <v>0</v>
      </c>
      <c r="AD65" s="85">
        <v>1</v>
      </c>
      <c r="AE65" s="85">
        <v>0</v>
      </c>
      <c r="AF65" s="85">
        <v>0</v>
      </c>
      <c r="AG65" s="85">
        <v>1</v>
      </c>
      <c r="AH65" s="85">
        <v>0</v>
      </c>
      <c r="AI65" s="85">
        <v>0</v>
      </c>
      <c r="AJ65" s="19">
        <v>0</v>
      </c>
      <c r="AK65" s="71">
        <f t="shared" si="12"/>
        <v>0</v>
      </c>
      <c r="AL65" s="18">
        <v>2</v>
      </c>
      <c r="AM65" s="71">
        <f t="shared" si="13"/>
        <v>0.66666666666666663</v>
      </c>
      <c r="AN65" s="18">
        <v>2</v>
      </c>
      <c r="AO65" s="71">
        <f t="shared" si="14"/>
        <v>0.66666666666666663</v>
      </c>
      <c r="AP65" s="18">
        <v>0</v>
      </c>
      <c r="AQ65" s="71">
        <f t="shared" si="15"/>
        <v>0</v>
      </c>
      <c r="AR65" s="85">
        <v>3</v>
      </c>
      <c r="AS65" s="18">
        <v>3</v>
      </c>
      <c r="AT65" s="71">
        <f t="shared" si="16"/>
        <v>1</v>
      </c>
      <c r="AU65" s="18">
        <v>3</v>
      </c>
      <c r="AV65" s="71">
        <f t="shared" si="17"/>
        <v>1</v>
      </c>
      <c r="AW65" s="18">
        <v>0</v>
      </c>
      <c r="AX65" s="71">
        <f t="shared" si="18"/>
        <v>0</v>
      </c>
      <c r="AY65" s="18">
        <v>2</v>
      </c>
      <c r="AZ65" s="71">
        <f t="shared" si="19"/>
        <v>0.66666666666666663</v>
      </c>
      <c r="BA65" s="94">
        <v>1</v>
      </c>
      <c r="BB65" s="94">
        <v>0</v>
      </c>
      <c r="BC65" s="94">
        <v>1</v>
      </c>
      <c r="BD65" s="94">
        <v>0</v>
      </c>
      <c r="BE65" s="102">
        <f t="shared" si="20"/>
        <v>3.1415229852201727</v>
      </c>
      <c r="BF65" s="81">
        <f t="shared" si="21"/>
        <v>0.29753410521702872</v>
      </c>
      <c r="BG65" s="81" t="str">
        <f t="shared" si="22"/>
        <v>BASSO</v>
      </c>
      <c r="BK65" s="81" t="str">
        <f t="shared" si="23"/>
        <v>MOLTO BASSO</v>
      </c>
    </row>
    <row r="66" spans="1:63" x14ac:dyDescent="0.15">
      <c r="A66" s="84">
        <v>1</v>
      </c>
      <c r="B66" s="84">
        <v>1</v>
      </c>
      <c r="C66" s="84">
        <v>1</v>
      </c>
      <c r="D66" s="84">
        <v>2</v>
      </c>
      <c r="E66" s="85">
        <v>1</v>
      </c>
      <c r="F66" s="17">
        <v>1</v>
      </c>
      <c r="G66" s="64">
        <f t="shared" ref="G66:G129" si="24">F66/2</f>
        <v>0.5</v>
      </c>
      <c r="H66" s="17">
        <v>0</v>
      </c>
      <c r="I66" s="64">
        <f t="shared" si="1"/>
        <v>0</v>
      </c>
      <c r="J66" s="17">
        <v>1</v>
      </c>
      <c r="K66" s="64">
        <f t="shared" si="2"/>
        <v>0.5</v>
      </c>
      <c r="L66" s="17">
        <v>1</v>
      </c>
      <c r="M66" s="64">
        <f t="shared" si="3"/>
        <v>0.33333333333333331</v>
      </c>
      <c r="N66" s="17">
        <v>2</v>
      </c>
      <c r="O66" s="64">
        <f t="shared" si="4"/>
        <v>0.4</v>
      </c>
      <c r="P66" s="17">
        <v>2</v>
      </c>
      <c r="Q66" s="64">
        <f t="shared" si="5"/>
        <v>0.66666666666666663</v>
      </c>
      <c r="R66" s="25">
        <v>3</v>
      </c>
      <c r="S66" s="71">
        <f t="shared" si="6"/>
        <v>1</v>
      </c>
      <c r="T66" s="17">
        <v>1</v>
      </c>
      <c r="U66" s="64">
        <f t="shared" si="7"/>
        <v>0.33333333333333331</v>
      </c>
      <c r="V66" s="17">
        <v>3</v>
      </c>
      <c r="W66" s="71">
        <f t="shared" si="8"/>
        <v>0.75</v>
      </c>
      <c r="X66" s="17">
        <v>3</v>
      </c>
      <c r="Y66" s="71">
        <f t="shared" si="9"/>
        <v>1</v>
      </c>
      <c r="Z66" s="17">
        <v>1</v>
      </c>
      <c r="AA66" s="71">
        <f t="shared" si="10"/>
        <v>0.33333333333333331</v>
      </c>
      <c r="AB66" s="17">
        <v>2</v>
      </c>
      <c r="AC66" s="71">
        <f t="shared" si="11"/>
        <v>1</v>
      </c>
      <c r="AD66" s="84">
        <v>1</v>
      </c>
      <c r="AE66" s="84">
        <v>0</v>
      </c>
      <c r="AF66" s="84">
        <v>1</v>
      </c>
      <c r="AG66" s="84">
        <v>0</v>
      </c>
      <c r="AH66" s="84">
        <v>0</v>
      </c>
      <c r="AI66" s="84">
        <v>0</v>
      </c>
      <c r="AJ66" s="20">
        <v>2</v>
      </c>
      <c r="AK66" s="71">
        <f t="shared" si="12"/>
        <v>1</v>
      </c>
      <c r="AL66" s="17">
        <v>0</v>
      </c>
      <c r="AM66" s="71">
        <f t="shared" si="13"/>
        <v>0</v>
      </c>
      <c r="AN66" s="17">
        <v>1</v>
      </c>
      <c r="AO66" s="71">
        <f t="shared" si="14"/>
        <v>0.33333333333333331</v>
      </c>
      <c r="AP66" s="17">
        <v>0</v>
      </c>
      <c r="AQ66" s="71">
        <f t="shared" si="15"/>
        <v>0</v>
      </c>
      <c r="AR66" s="84">
        <v>2</v>
      </c>
      <c r="AS66" s="17">
        <v>1</v>
      </c>
      <c r="AT66" s="71">
        <f t="shared" si="16"/>
        <v>0.33333333333333331</v>
      </c>
      <c r="AU66" s="17">
        <v>1</v>
      </c>
      <c r="AV66" s="71">
        <f t="shared" si="17"/>
        <v>0.33333333333333331</v>
      </c>
      <c r="AW66" s="17">
        <v>0</v>
      </c>
      <c r="AX66" s="71">
        <f t="shared" si="18"/>
        <v>0</v>
      </c>
      <c r="AY66" s="17">
        <v>1</v>
      </c>
      <c r="AZ66" s="71">
        <f t="shared" si="19"/>
        <v>0.33333333333333331</v>
      </c>
      <c r="BA66" s="93">
        <v>0</v>
      </c>
      <c r="BB66" s="93">
        <v>0</v>
      </c>
      <c r="BC66" s="93">
        <v>0</v>
      </c>
      <c r="BD66" s="93">
        <v>1</v>
      </c>
      <c r="BE66" s="102">
        <f t="shared" si="20"/>
        <v>2.8538959725649118</v>
      </c>
      <c r="BF66" s="81">
        <f t="shared" si="21"/>
        <v>0.36184946046325817</v>
      </c>
      <c r="BG66" s="81" t="str">
        <f t="shared" si="22"/>
        <v>MEDIO</v>
      </c>
      <c r="BK66" s="81" t="str">
        <f t="shared" si="23"/>
        <v>BASSO</v>
      </c>
    </row>
    <row r="67" spans="1:63" x14ac:dyDescent="0.15">
      <c r="A67" s="85">
        <v>4</v>
      </c>
      <c r="B67" s="85">
        <v>1</v>
      </c>
      <c r="C67" s="85">
        <v>3</v>
      </c>
      <c r="D67" s="85">
        <v>2</v>
      </c>
      <c r="E67" s="85">
        <v>1</v>
      </c>
      <c r="F67" s="18">
        <v>1</v>
      </c>
      <c r="G67" s="64">
        <f t="shared" si="24"/>
        <v>0.5</v>
      </c>
      <c r="H67" s="18">
        <v>1</v>
      </c>
      <c r="I67" s="64">
        <f t="shared" ref="I67:I130" si="25">H67/2</f>
        <v>0.5</v>
      </c>
      <c r="J67" s="18">
        <v>1</v>
      </c>
      <c r="K67" s="64">
        <f t="shared" ref="K67:K130" si="26">J67/2</f>
        <v>0.5</v>
      </c>
      <c r="L67" s="18">
        <v>1</v>
      </c>
      <c r="M67" s="64">
        <f t="shared" ref="M67:M130" si="27">L67/3</f>
        <v>0.33333333333333331</v>
      </c>
      <c r="N67" s="18">
        <v>5</v>
      </c>
      <c r="O67" s="64">
        <f t="shared" ref="O67:O130" si="28">N67/5</f>
        <v>1</v>
      </c>
      <c r="P67" s="18">
        <v>0</v>
      </c>
      <c r="Q67" s="64">
        <f t="shared" ref="Q67:Q130" si="29">P67/3</f>
        <v>0</v>
      </c>
      <c r="R67" s="24">
        <v>0</v>
      </c>
      <c r="S67" s="71">
        <f t="shared" ref="S67:S130" si="30">R67/3</f>
        <v>0</v>
      </c>
      <c r="T67" s="18">
        <v>1</v>
      </c>
      <c r="U67" s="64">
        <f t="shared" ref="U67:U130" si="31">T67/3</f>
        <v>0.33333333333333331</v>
      </c>
      <c r="V67" s="18">
        <v>3</v>
      </c>
      <c r="W67" s="71">
        <f t="shared" ref="W67:W130" si="32">V67/4</f>
        <v>0.75</v>
      </c>
      <c r="X67" s="18">
        <v>0</v>
      </c>
      <c r="Y67" s="71">
        <f t="shared" ref="Y67:Y130" si="33">X67/3</f>
        <v>0</v>
      </c>
      <c r="Z67" s="18">
        <v>0</v>
      </c>
      <c r="AA67" s="71">
        <f t="shared" ref="AA67:AA130" si="34">Z67/3</f>
        <v>0</v>
      </c>
      <c r="AB67" s="18">
        <v>3</v>
      </c>
      <c r="AC67" s="71">
        <f t="shared" ref="AC67:AC130" si="35">AB67/2</f>
        <v>1.5</v>
      </c>
      <c r="AD67" s="85">
        <v>0</v>
      </c>
      <c r="AE67" s="85">
        <v>0</v>
      </c>
      <c r="AF67" s="85">
        <v>0</v>
      </c>
      <c r="AG67" s="85">
        <v>1</v>
      </c>
      <c r="AH67" s="85">
        <v>0</v>
      </c>
      <c r="AI67" s="85">
        <v>0</v>
      </c>
      <c r="AJ67" s="19">
        <v>1</v>
      </c>
      <c r="AK67" s="71">
        <f t="shared" ref="AK67:AK130" si="36">AJ67/2</f>
        <v>0.5</v>
      </c>
      <c r="AL67" s="18">
        <v>0</v>
      </c>
      <c r="AM67" s="71">
        <f t="shared" ref="AM67:AM130" si="37">AL67/3</f>
        <v>0</v>
      </c>
      <c r="AN67" s="18">
        <v>0</v>
      </c>
      <c r="AO67" s="71">
        <f t="shared" ref="AO67:AO130" si="38">AN67/3</f>
        <v>0</v>
      </c>
      <c r="AP67" s="18">
        <v>0</v>
      </c>
      <c r="AQ67" s="71">
        <f t="shared" ref="AQ67:AQ130" si="39">AP67/3</f>
        <v>0</v>
      </c>
      <c r="AR67" s="85">
        <v>2</v>
      </c>
      <c r="AS67" s="18">
        <v>1</v>
      </c>
      <c r="AT67" s="71">
        <f t="shared" ref="AT67:AT130" si="40">AS67/3</f>
        <v>0.33333333333333331</v>
      </c>
      <c r="AU67" s="18">
        <v>0</v>
      </c>
      <c r="AV67" s="71">
        <f t="shared" ref="AV67:AV130" si="41">AU67/3</f>
        <v>0</v>
      </c>
      <c r="AW67" s="18">
        <v>0</v>
      </c>
      <c r="AX67" s="71">
        <f t="shared" ref="AX67:AX130" si="42">AW67/2</f>
        <v>0</v>
      </c>
      <c r="AY67" s="18">
        <v>2</v>
      </c>
      <c r="AZ67" s="71">
        <f t="shared" ref="AZ67:AZ130" si="43">AY67/3</f>
        <v>0.66666666666666663</v>
      </c>
      <c r="BA67" s="94">
        <v>0</v>
      </c>
      <c r="BB67" s="94">
        <v>0</v>
      </c>
      <c r="BC67" s="94">
        <v>1</v>
      </c>
      <c r="BD67" s="94">
        <v>0</v>
      </c>
      <c r="BE67" s="102">
        <f t="shared" ref="BE67:BE130" si="44">SQRT((1-G67)^2 + (1-I67)^2 + (1-K67)^2 + (1-M67)^2 + (1-O67)^2 + (1-Q67)^2 + (1-S67)^2 + (1-U67)^2 + (1-W67)^2 + (1-Y67)^2 + (1-AA67)^2 + (1-AC67)^2 + (1-AK67)^2 + (1-AM67)^2 + (1-AO67)^2 + (1-AQ67)^2 + (1-AT67)^2 + (1-AV67)^2 + (1-AX67)^2 + (1-AZ67)^2)</f>
        <v>3.4288401019068306</v>
      </c>
      <c r="BF67" s="81">
        <f t="shared" ref="BF67:BF130" si="45">1 - (BE67 / 4.472135955)</f>
        <v>0.23328804481597409</v>
      </c>
      <c r="BG67" s="81" t="str">
        <f t="shared" ref="BG67:BG130" si="46">IF(BF67&lt;=0.33, "BASSO", IF(BF67&lt;=0.66, "MEDIO", "ALTO"))</f>
        <v>BASSO</v>
      </c>
      <c r="BK67" s="81" t="str">
        <f t="shared" ref="BK67:BK130" si="47">IF(BF67&lt;0.3,"MOLTO BASSO",IF(BF67&lt;0.45,"BASSO",IF(BF67&lt;0.65,"MEDIO",IF(BF67&lt;0.8,"ALTO","MOLTO ALTO"))))</f>
        <v>MOLTO BASSO</v>
      </c>
    </row>
    <row r="68" spans="1:63" x14ac:dyDescent="0.15">
      <c r="A68" s="84">
        <v>4</v>
      </c>
      <c r="B68" s="84">
        <v>1</v>
      </c>
      <c r="C68" s="84">
        <v>1</v>
      </c>
      <c r="D68" s="84">
        <v>2</v>
      </c>
      <c r="E68" s="85">
        <v>1</v>
      </c>
      <c r="F68" s="17">
        <v>2</v>
      </c>
      <c r="G68" s="64">
        <f t="shared" si="24"/>
        <v>1</v>
      </c>
      <c r="H68" s="17">
        <v>1</v>
      </c>
      <c r="I68" s="64">
        <f t="shared" si="25"/>
        <v>0.5</v>
      </c>
      <c r="J68" s="17">
        <v>1</v>
      </c>
      <c r="K68" s="64">
        <f t="shared" si="26"/>
        <v>0.5</v>
      </c>
      <c r="L68" s="17">
        <v>2</v>
      </c>
      <c r="M68" s="64">
        <f t="shared" si="27"/>
        <v>0.66666666666666663</v>
      </c>
      <c r="N68" s="17">
        <v>2</v>
      </c>
      <c r="O68" s="64">
        <f t="shared" si="28"/>
        <v>0.4</v>
      </c>
      <c r="P68" s="17">
        <v>3</v>
      </c>
      <c r="Q68" s="64">
        <f t="shared" si="29"/>
        <v>1</v>
      </c>
      <c r="R68" s="25">
        <v>2</v>
      </c>
      <c r="S68" s="71">
        <f t="shared" si="30"/>
        <v>0.66666666666666663</v>
      </c>
      <c r="T68" s="17">
        <v>2</v>
      </c>
      <c r="U68" s="64">
        <f t="shared" si="31"/>
        <v>0.66666666666666663</v>
      </c>
      <c r="V68" s="17">
        <v>3</v>
      </c>
      <c r="W68" s="71">
        <f t="shared" si="32"/>
        <v>0.75</v>
      </c>
      <c r="X68" s="17">
        <v>2</v>
      </c>
      <c r="Y68" s="71">
        <f t="shared" si="33"/>
        <v>0.66666666666666663</v>
      </c>
      <c r="Z68" s="17">
        <v>0</v>
      </c>
      <c r="AA68" s="71">
        <f t="shared" si="34"/>
        <v>0</v>
      </c>
      <c r="AB68" s="17">
        <v>1</v>
      </c>
      <c r="AC68" s="71">
        <f t="shared" si="35"/>
        <v>0.5</v>
      </c>
      <c r="AD68" s="84">
        <v>1</v>
      </c>
      <c r="AE68" s="84">
        <v>0</v>
      </c>
      <c r="AF68" s="84">
        <v>1</v>
      </c>
      <c r="AG68" s="84">
        <v>0</v>
      </c>
      <c r="AH68" s="84">
        <v>0</v>
      </c>
      <c r="AI68" s="84">
        <v>0</v>
      </c>
      <c r="AJ68" s="20">
        <v>0</v>
      </c>
      <c r="AK68" s="71">
        <f t="shared" si="36"/>
        <v>0</v>
      </c>
      <c r="AL68" s="17">
        <v>3</v>
      </c>
      <c r="AM68" s="71">
        <f t="shared" si="37"/>
        <v>1</v>
      </c>
      <c r="AN68" s="17">
        <v>0</v>
      </c>
      <c r="AO68" s="71">
        <f t="shared" si="38"/>
        <v>0</v>
      </c>
      <c r="AP68" s="17">
        <v>1</v>
      </c>
      <c r="AQ68" s="71">
        <f t="shared" si="39"/>
        <v>0.33333333333333331</v>
      </c>
      <c r="AR68" s="84">
        <v>3</v>
      </c>
      <c r="AS68" s="17">
        <v>0</v>
      </c>
      <c r="AT68" s="71">
        <f t="shared" si="40"/>
        <v>0</v>
      </c>
      <c r="AU68" s="17">
        <v>2</v>
      </c>
      <c r="AV68" s="71">
        <f t="shared" si="41"/>
        <v>0.66666666666666663</v>
      </c>
      <c r="AW68" s="17">
        <v>1</v>
      </c>
      <c r="AX68" s="71">
        <f t="shared" si="42"/>
        <v>0.5</v>
      </c>
      <c r="AY68" s="17">
        <v>0</v>
      </c>
      <c r="AZ68" s="71">
        <f t="shared" si="43"/>
        <v>0</v>
      </c>
      <c r="BA68" s="93">
        <v>1</v>
      </c>
      <c r="BB68" s="93">
        <v>0</v>
      </c>
      <c r="BC68" s="93">
        <v>0</v>
      </c>
      <c r="BD68" s="93">
        <v>0</v>
      </c>
      <c r="BE68" s="102">
        <f t="shared" si="44"/>
        <v>2.7244265451650556</v>
      </c>
      <c r="BF68" s="81">
        <f t="shared" si="45"/>
        <v>0.39079970453066071</v>
      </c>
      <c r="BG68" s="81" t="str">
        <f t="shared" si="46"/>
        <v>MEDIO</v>
      </c>
      <c r="BK68" s="81" t="str">
        <f t="shared" si="47"/>
        <v>BASSO</v>
      </c>
    </row>
    <row r="69" spans="1:63" x14ac:dyDescent="0.15">
      <c r="A69" s="85">
        <v>3</v>
      </c>
      <c r="B69" s="85">
        <v>1</v>
      </c>
      <c r="C69" s="85">
        <v>3</v>
      </c>
      <c r="D69" s="85">
        <v>2</v>
      </c>
      <c r="E69" s="85">
        <v>1</v>
      </c>
      <c r="F69" s="18">
        <v>1</v>
      </c>
      <c r="G69" s="64">
        <f t="shared" si="24"/>
        <v>0.5</v>
      </c>
      <c r="H69" s="18">
        <v>2</v>
      </c>
      <c r="I69" s="64">
        <f t="shared" si="25"/>
        <v>1</v>
      </c>
      <c r="J69" s="18">
        <v>1</v>
      </c>
      <c r="K69" s="64">
        <f t="shared" si="26"/>
        <v>0.5</v>
      </c>
      <c r="L69" s="18">
        <v>0</v>
      </c>
      <c r="M69" s="64">
        <f t="shared" si="27"/>
        <v>0</v>
      </c>
      <c r="N69" s="18">
        <v>2</v>
      </c>
      <c r="O69" s="64">
        <f t="shared" si="28"/>
        <v>0.4</v>
      </c>
      <c r="P69" s="18">
        <v>0</v>
      </c>
      <c r="Q69" s="64">
        <f t="shared" si="29"/>
        <v>0</v>
      </c>
      <c r="R69" s="24">
        <v>0</v>
      </c>
      <c r="S69" s="71">
        <f t="shared" si="30"/>
        <v>0</v>
      </c>
      <c r="T69" s="18">
        <v>2</v>
      </c>
      <c r="U69" s="64">
        <f t="shared" si="31"/>
        <v>0.66666666666666663</v>
      </c>
      <c r="V69" s="18">
        <v>3</v>
      </c>
      <c r="W69" s="71">
        <f t="shared" si="32"/>
        <v>0.75</v>
      </c>
      <c r="X69" s="18">
        <v>2</v>
      </c>
      <c r="Y69" s="71">
        <f t="shared" si="33"/>
        <v>0.66666666666666663</v>
      </c>
      <c r="Z69" s="18">
        <v>2</v>
      </c>
      <c r="AA69" s="71">
        <f t="shared" si="34"/>
        <v>0.66666666666666663</v>
      </c>
      <c r="AB69" s="18">
        <v>0</v>
      </c>
      <c r="AC69" s="71">
        <f t="shared" si="35"/>
        <v>0</v>
      </c>
      <c r="AD69" s="85">
        <v>1</v>
      </c>
      <c r="AE69" s="85">
        <v>0</v>
      </c>
      <c r="AF69" s="85">
        <v>1</v>
      </c>
      <c r="AG69" s="85">
        <v>0</v>
      </c>
      <c r="AH69" s="85">
        <v>0</v>
      </c>
      <c r="AI69" s="85">
        <v>0</v>
      </c>
      <c r="AJ69" s="19">
        <v>1</v>
      </c>
      <c r="AK69" s="71">
        <f t="shared" si="36"/>
        <v>0.5</v>
      </c>
      <c r="AL69" s="18">
        <v>3</v>
      </c>
      <c r="AM69" s="71">
        <f t="shared" si="37"/>
        <v>1</v>
      </c>
      <c r="AN69" s="18">
        <v>1</v>
      </c>
      <c r="AO69" s="71">
        <f t="shared" si="38"/>
        <v>0.33333333333333331</v>
      </c>
      <c r="AP69" s="18">
        <v>0</v>
      </c>
      <c r="AQ69" s="71">
        <f t="shared" si="39"/>
        <v>0</v>
      </c>
      <c r="AR69" s="85">
        <v>2</v>
      </c>
      <c r="AS69" s="18">
        <v>3</v>
      </c>
      <c r="AT69" s="71">
        <f t="shared" si="40"/>
        <v>1</v>
      </c>
      <c r="AU69" s="18">
        <v>1</v>
      </c>
      <c r="AV69" s="71">
        <f t="shared" si="41"/>
        <v>0.33333333333333331</v>
      </c>
      <c r="AW69" s="18">
        <v>0</v>
      </c>
      <c r="AX69" s="71">
        <f t="shared" si="42"/>
        <v>0</v>
      </c>
      <c r="AY69" s="18">
        <v>2</v>
      </c>
      <c r="AZ69" s="71">
        <f t="shared" si="43"/>
        <v>0.66666666666666663</v>
      </c>
      <c r="BA69" s="94">
        <v>0</v>
      </c>
      <c r="BB69" s="94">
        <v>1</v>
      </c>
      <c r="BC69" s="94">
        <v>1</v>
      </c>
      <c r="BD69" s="94">
        <v>0</v>
      </c>
      <c r="BE69" s="102">
        <f t="shared" si="44"/>
        <v>2.9164761842561533</v>
      </c>
      <c r="BF69" s="81">
        <f t="shared" si="45"/>
        <v>0.34785609972446518</v>
      </c>
      <c r="BG69" s="81" t="str">
        <f t="shared" si="46"/>
        <v>MEDIO</v>
      </c>
      <c r="BK69" s="81" t="str">
        <f t="shared" si="47"/>
        <v>BASSO</v>
      </c>
    </row>
    <row r="70" spans="1:63" x14ac:dyDescent="0.15">
      <c r="A70" s="84">
        <v>3</v>
      </c>
      <c r="B70" s="84">
        <v>1</v>
      </c>
      <c r="C70" s="84">
        <v>3</v>
      </c>
      <c r="D70" s="84">
        <v>2</v>
      </c>
      <c r="E70" s="85">
        <v>1</v>
      </c>
      <c r="F70" s="17">
        <v>2</v>
      </c>
      <c r="G70" s="64">
        <f t="shared" si="24"/>
        <v>1</v>
      </c>
      <c r="H70" s="17">
        <v>2</v>
      </c>
      <c r="I70" s="64">
        <f t="shared" si="25"/>
        <v>1</v>
      </c>
      <c r="J70" s="17">
        <v>1</v>
      </c>
      <c r="K70" s="64">
        <f t="shared" si="26"/>
        <v>0.5</v>
      </c>
      <c r="L70" s="17">
        <v>2</v>
      </c>
      <c r="M70" s="64">
        <f t="shared" si="27"/>
        <v>0.66666666666666663</v>
      </c>
      <c r="N70" s="17">
        <v>4</v>
      </c>
      <c r="O70" s="64">
        <f t="shared" si="28"/>
        <v>0.8</v>
      </c>
      <c r="P70" s="17">
        <v>3</v>
      </c>
      <c r="Q70" s="64">
        <f t="shared" si="29"/>
        <v>1</v>
      </c>
      <c r="R70" s="25">
        <v>2</v>
      </c>
      <c r="S70" s="71">
        <f t="shared" si="30"/>
        <v>0.66666666666666663</v>
      </c>
      <c r="T70" s="17">
        <v>2</v>
      </c>
      <c r="U70" s="64">
        <f t="shared" si="31"/>
        <v>0.66666666666666663</v>
      </c>
      <c r="V70" s="17">
        <v>3</v>
      </c>
      <c r="W70" s="71">
        <f t="shared" si="32"/>
        <v>0.75</v>
      </c>
      <c r="X70" s="17">
        <v>2</v>
      </c>
      <c r="Y70" s="71">
        <f t="shared" si="33"/>
        <v>0.66666666666666663</v>
      </c>
      <c r="Z70" s="17">
        <v>1</v>
      </c>
      <c r="AA70" s="71">
        <f t="shared" si="34"/>
        <v>0.33333333333333331</v>
      </c>
      <c r="AB70" s="17">
        <v>2</v>
      </c>
      <c r="AC70" s="71">
        <f t="shared" si="35"/>
        <v>1</v>
      </c>
      <c r="AD70" s="84">
        <v>1</v>
      </c>
      <c r="AE70" s="84">
        <v>0</v>
      </c>
      <c r="AF70" s="84">
        <v>1</v>
      </c>
      <c r="AG70" s="84">
        <v>0</v>
      </c>
      <c r="AH70" s="84">
        <v>0</v>
      </c>
      <c r="AI70" s="84">
        <v>0</v>
      </c>
      <c r="AJ70" s="20">
        <v>1</v>
      </c>
      <c r="AK70" s="71">
        <f t="shared" si="36"/>
        <v>0.5</v>
      </c>
      <c r="AL70" s="17">
        <v>2</v>
      </c>
      <c r="AM70" s="71">
        <f t="shared" si="37"/>
        <v>0.66666666666666663</v>
      </c>
      <c r="AN70" s="17">
        <v>1</v>
      </c>
      <c r="AO70" s="71">
        <f t="shared" si="38"/>
        <v>0.33333333333333331</v>
      </c>
      <c r="AP70" s="17">
        <v>2</v>
      </c>
      <c r="AQ70" s="71">
        <f t="shared" si="39"/>
        <v>0.66666666666666663</v>
      </c>
      <c r="AR70" s="84">
        <v>2</v>
      </c>
      <c r="AS70" s="17">
        <v>2</v>
      </c>
      <c r="AT70" s="71">
        <f t="shared" si="40"/>
        <v>0.66666666666666663</v>
      </c>
      <c r="AU70" s="17">
        <v>1</v>
      </c>
      <c r="AV70" s="71">
        <f t="shared" si="41"/>
        <v>0.33333333333333331</v>
      </c>
      <c r="AW70" s="17">
        <v>1</v>
      </c>
      <c r="AX70" s="71">
        <f t="shared" si="42"/>
        <v>0.5</v>
      </c>
      <c r="AY70" s="17">
        <v>2</v>
      </c>
      <c r="AZ70" s="71">
        <f t="shared" si="43"/>
        <v>0.66666666666666663</v>
      </c>
      <c r="BA70" s="93">
        <v>1</v>
      </c>
      <c r="BB70" s="93">
        <v>0</v>
      </c>
      <c r="BC70" s="93">
        <v>0</v>
      </c>
      <c r="BD70" s="93">
        <v>0</v>
      </c>
      <c r="BE70" s="102">
        <f t="shared" si="44"/>
        <v>1.7534885862822782</v>
      </c>
      <c r="BF70" s="81">
        <f t="shared" si="45"/>
        <v>0.60790803233031898</v>
      </c>
      <c r="BG70" s="81" t="str">
        <f t="shared" si="46"/>
        <v>MEDIO</v>
      </c>
      <c r="BK70" s="81" t="str">
        <f t="shared" si="47"/>
        <v>MEDIO</v>
      </c>
    </row>
    <row r="71" spans="1:63" x14ac:dyDescent="0.15">
      <c r="A71" s="85">
        <v>4</v>
      </c>
      <c r="B71" s="85">
        <v>1</v>
      </c>
      <c r="C71" s="85">
        <v>0</v>
      </c>
      <c r="D71" s="85">
        <v>2</v>
      </c>
      <c r="E71" s="85">
        <v>1</v>
      </c>
      <c r="F71" s="18">
        <v>1</v>
      </c>
      <c r="G71" s="64">
        <f t="shared" si="24"/>
        <v>0.5</v>
      </c>
      <c r="H71" s="18">
        <v>0</v>
      </c>
      <c r="I71" s="64">
        <f t="shared" si="25"/>
        <v>0</v>
      </c>
      <c r="J71" s="18">
        <v>1</v>
      </c>
      <c r="K71" s="64">
        <f t="shared" si="26"/>
        <v>0.5</v>
      </c>
      <c r="L71" s="18">
        <v>2</v>
      </c>
      <c r="M71" s="64">
        <f t="shared" si="27"/>
        <v>0.66666666666666663</v>
      </c>
      <c r="N71" s="18">
        <v>2</v>
      </c>
      <c r="O71" s="64">
        <f t="shared" si="28"/>
        <v>0.4</v>
      </c>
      <c r="P71" s="18">
        <v>3</v>
      </c>
      <c r="Q71" s="64">
        <f t="shared" si="29"/>
        <v>1</v>
      </c>
      <c r="R71" s="24">
        <v>2</v>
      </c>
      <c r="S71" s="71">
        <f t="shared" si="30"/>
        <v>0.66666666666666663</v>
      </c>
      <c r="T71" s="18">
        <v>3</v>
      </c>
      <c r="U71" s="64">
        <f t="shared" si="31"/>
        <v>1</v>
      </c>
      <c r="V71" s="18">
        <v>3</v>
      </c>
      <c r="W71" s="71">
        <f t="shared" si="32"/>
        <v>0.75</v>
      </c>
      <c r="X71" s="18">
        <v>2</v>
      </c>
      <c r="Y71" s="71">
        <f t="shared" si="33"/>
        <v>0.66666666666666663</v>
      </c>
      <c r="Z71" s="18">
        <v>2</v>
      </c>
      <c r="AA71" s="71">
        <f t="shared" si="34"/>
        <v>0.66666666666666663</v>
      </c>
      <c r="AB71" s="18">
        <v>2</v>
      </c>
      <c r="AC71" s="71">
        <f t="shared" si="35"/>
        <v>1</v>
      </c>
      <c r="AD71" s="85">
        <v>0</v>
      </c>
      <c r="AE71" s="85">
        <v>1</v>
      </c>
      <c r="AF71" s="85">
        <v>1</v>
      </c>
      <c r="AG71" s="85">
        <v>0</v>
      </c>
      <c r="AH71" s="85">
        <v>0</v>
      </c>
      <c r="AI71" s="85">
        <v>0</v>
      </c>
      <c r="AJ71" s="19">
        <v>1</v>
      </c>
      <c r="AK71" s="71">
        <f t="shared" si="36"/>
        <v>0.5</v>
      </c>
      <c r="AL71" s="18">
        <v>1</v>
      </c>
      <c r="AM71" s="71">
        <f t="shared" si="37"/>
        <v>0.33333333333333331</v>
      </c>
      <c r="AN71" s="18">
        <v>1</v>
      </c>
      <c r="AO71" s="71">
        <f t="shared" si="38"/>
        <v>0.33333333333333331</v>
      </c>
      <c r="AP71" s="18">
        <v>2</v>
      </c>
      <c r="AQ71" s="71">
        <f t="shared" si="39"/>
        <v>0.66666666666666663</v>
      </c>
      <c r="AR71" s="85">
        <v>1</v>
      </c>
      <c r="AS71" s="18">
        <v>2</v>
      </c>
      <c r="AT71" s="71">
        <f t="shared" si="40"/>
        <v>0.66666666666666663</v>
      </c>
      <c r="AU71" s="18">
        <v>2</v>
      </c>
      <c r="AV71" s="71">
        <f t="shared" si="41"/>
        <v>0.66666666666666663</v>
      </c>
      <c r="AW71" s="18">
        <v>2</v>
      </c>
      <c r="AX71" s="71">
        <f t="shared" si="42"/>
        <v>1</v>
      </c>
      <c r="AY71" s="18">
        <v>0</v>
      </c>
      <c r="AZ71" s="71">
        <f t="shared" si="43"/>
        <v>0</v>
      </c>
      <c r="BA71" s="94">
        <v>1</v>
      </c>
      <c r="BB71" s="94">
        <v>1</v>
      </c>
      <c r="BC71" s="94">
        <v>0</v>
      </c>
      <c r="BD71" s="94">
        <v>0</v>
      </c>
      <c r="BE71" s="102">
        <f t="shared" si="44"/>
        <v>2.199810597907617</v>
      </c>
      <c r="BF71" s="81">
        <f t="shared" si="45"/>
        <v>0.50810739654545745</v>
      </c>
      <c r="BG71" s="81" t="str">
        <f t="shared" si="46"/>
        <v>MEDIO</v>
      </c>
      <c r="BK71" s="81" t="str">
        <f t="shared" si="47"/>
        <v>MEDIO</v>
      </c>
    </row>
    <row r="72" spans="1:63" x14ac:dyDescent="0.15">
      <c r="A72" s="84">
        <v>4</v>
      </c>
      <c r="B72" s="84">
        <v>1</v>
      </c>
      <c r="C72" s="84">
        <v>1</v>
      </c>
      <c r="D72" s="84">
        <v>2</v>
      </c>
      <c r="E72" s="85">
        <v>1</v>
      </c>
      <c r="F72" s="17">
        <v>1</v>
      </c>
      <c r="G72" s="64">
        <f t="shared" si="24"/>
        <v>0.5</v>
      </c>
      <c r="H72" s="17">
        <v>1</v>
      </c>
      <c r="I72" s="64">
        <f t="shared" si="25"/>
        <v>0.5</v>
      </c>
      <c r="J72" s="17">
        <v>2</v>
      </c>
      <c r="K72" s="64">
        <f t="shared" si="26"/>
        <v>1</v>
      </c>
      <c r="L72" s="17">
        <v>2</v>
      </c>
      <c r="M72" s="64">
        <f t="shared" si="27"/>
        <v>0.66666666666666663</v>
      </c>
      <c r="N72" s="17">
        <v>3</v>
      </c>
      <c r="O72" s="64">
        <f t="shared" si="28"/>
        <v>0.6</v>
      </c>
      <c r="P72" s="17">
        <v>3</v>
      </c>
      <c r="Q72" s="64">
        <f t="shared" si="29"/>
        <v>1</v>
      </c>
      <c r="R72" s="25">
        <v>2</v>
      </c>
      <c r="S72" s="71">
        <f t="shared" si="30"/>
        <v>0.66666666666666663</v>
      </c>
      <c r="T72" s="17">
        <v>2</v>
      </c>
      <c r="U72" s="64">
        <f t="shared" si="31"/>
        <v>0.66666666666666663</v>
      </c>
      <c r="V72" s="17">
        <v>4</v>
      </c>
      <c r="W72" s="71">
        <f t="shared" si="32"/>
        <v>1</v>
      </c>
      <c r="X72" s="17">
        <v>2</v>
      </c>
      <c r="Y72" s="71">
        <f t="shared" si="33"/>
        <v>0.66666666666666663</v>
      </c>
      <c r="Z72" s="17">
        <v>3</v>
      </c>
      <c r="AA72" s="71">
        <f t="shared" si="34"/>
        <v>1</v>
      </c>
      <c r="AB72" s="17">
        <v>2</v>
      </c>
      <c r="AC72" s="71">
        <f t="shared" si="35"/>
        <v>1</v>
      </c>
      <c r="AD72" s="84">
        <v>0</v>
      </c>
      <c r="AE72" s="84">
        <v>0</v>
      </c>
      <c r="AF72" s="84">
        <v>1</v>
      </c>
      <c r="AG72" s="84">
        <v>1</v>
      </c>
      <c r="AH72" s="84">
        <v>0</v>
      </c>
      <c r="AI72" s="84">
        <v>0</v>
      </c>
      <c r="AJ72" s="20">
        <v>1</v>
      </c>
      <c r="AK72" s="71">
        <f t="shared" si="36"/>
        <v>0.5</v>
      </c>
      <c r="AL72" s="17">
        <v>2</v>
      </c>
      <c r="AM72" s="71">
        <f t="shared" si="37"/>
        <v>0.66666666666666663</v>
      </c>
      <c r="AN72" s="17">
        <v>0</v>
      </c>
      <c r="AO72" s="71">
        <f t="shared" si="38"/>
        <v>0</v>
      </c>
      <c r="AP72" s="17">
        <v>1</v>
      </c>
      <c r="AQ72" s="71">
        <f t="shared" si="39"/>
        <v>0.33333333333333331</v>
      </c>
      <c r="AR72" s="84">
        <v>0</v>
      </c>
      <c r="AS72" s="17">
        <v>3</v>
      </c>
      <c r="AT72" s="71">
        <f t="shared" si="40"/>
        <v>1</v>
      </c>
      <c r="AU72" s="17">
        <v>2</v>
      </c>
      <c r="AV72" s="71">
        <f t="shared" si="41"/>
        <v>0.66666666666666663</v>
      </c>
      <c r="AW72" s="17">
        <v>0</v>
      </c>
      <c r="AX72" s="71">
        <f t="shared" si="42"/>
        <v>0</v>
      </c>
      <c r="AY72" s="17">
        <v>2</v>
      </c>
      <c r="AZ72" s="71">
        <f t="shared" si="43"/>
        <v>0.66666666666666663</v>
      </c>
      <c r="BA72" s="93">
        <v>1</v>
      </c>
      <c r="BB72" s="93">
        <v>1</v>
      </c>
      <c r="BC72" s="93">
        <v>0</v>
      </c>
      <c r="BD72" s="93">
        <v>0</v>
      </c>
      <c r="BE72" s="102">
        <f t="shared" si="44"/>
        <v>2.0327868117985766</v>
      </c>
      <c r="BF72" s="81">
        <f t="shared" si="45"/>
        <v>0.54545505050537391</v>
      </c>
      <c r="BG72" s="81" t="str">
        <f t="shared" si="46"/>
        <v>MEDIO</v>
      </c>
      <c r="BK72" s="81" t="str">
        <f t="shared" si="47"/>
        <v>MEDIO</v>
      </c>
    </row>
    <row r="73" spans="1:63" x14ac:dyDescent="0.15">
      <c r="A73" s="85">
        <v>3</v>
      </c>
      <c r="B73" s="85">
        <v>1</v>
      </c>
      <c r="C73" s="85">
        <v>3</v>
      </c>
      <c r="D73" s="85">
        <v>0</v>
      </c>
      <c r="E73" s="85">
        <v>1</v>
      </c>
      <c r="F73" s="18">
        <v>2</v>
      </c>
      <c r="G73" s="64">
        <f t="shared" si="24"/>
        <v>1</v>
      </c>
      <c r="H73" s="18">
        <v>2</v>
      </c>
      <c r="I73" s="64">
        <f t="shared" si="25"/>
        <v>1</v>
      </c>
      <c r="J73" s="18">
        <v>2</v>
      </c>
      <c r="K73" s="64">
        <f t="shared" si="26"/>
        <v>1</v>
      </c>
      <c r="L73" s="18">
        <v>3</v>
      </c>
      <c r="M73" s="64">
        <f t="shared" si="27"/>
        <v>1</v>
      </c>
      <c r="N73" s="18">
        <v>4</v>
      </c>
      <c r="O73" s="64">
        <f t="shared" si="28"/>
        <v>0.8</v>
      </c>
      <c r="P73" s="18">
        <v>3</v>
      </c>
      <c r="Q73" s="64">
        <f t="shared" si="29"/>
        <v>1</v>
      </c>
      <c r="R73" s="24">
        <v>3</v>
      </c>
      <c r="S73" s="71">
        <f t="shared" si="30"/>
        <v>1</v>
      </c>
      <c r="T73" s="18">
        <v>3</v>
      </c>
      <c r="U73" s="64">
        <f t="shared" si="31"/>
        <v>1</v>
      </c>
      <c r="V73" s="18">
        <v>4</v>
      </c>
      <c r="W73" s="71">
        <f t="shared" si="32"/>
        <v>1</v>
      </c>
      <c r="X73" s="18">
        <v>3</v>
      </c>
      <c r="Y73" s="71">
        <f t="shared" si="33"/>
        <v>1</v>
      </c>
      <c r="Z73" s="18">
        <v>3</v>
      </c>
      <c r="AA73" s="71">
        <f t="shared" si="34"/>
        <v>1</v>
      </c>
      <c r="AB73" s="18">
        <v>0</v>
      </c>
      <c r="AC73" s="71">
        <f t="shared" si="35"/>
        <v>0</v>
      </c>
      <c r="AD73" s="85">
        <v>0</v>
      </c>
      <c r="AE73" s="85">
        <v>1</v>
      </c>
      <c r="AF73" s="85">
        <v>1</v>
      </c>
      <c r="AG73" s="85">
        <v>0</v>
      </c>
      <c r="AH73" s="85">
        <v>0</v>
      </c>
      <c r="AI73" s="85">
        <v>0</v>
      </c>
      <c r="AJ73" s="19">
        <v>2</v>
      </c>
      <c r="AK73" s="71">
        <f t="shared" si="36"/>
        <v>1</v>
      </c>
      <c r="AL73" s="18">
        <v>1</v>
      </c>
      <c r="AM73" s="71">
        <f t="shared" si="37"/>
        <v>0.33333333333333331</v>
      </c>
      <c r="AN73" s="18">
        <v>1</v>
      </c>
      <c r="AO73" s="71">
        <f t="shared" si="38"/>
        <v>0.33333333333333331</v>
      </c>
      <c r="AP73" s="18">
        <v>3</v>
      </c>
      <c r="AQ73" s="71">
        <f t="shared" si="39"/>
        <v>1</v>
      </c>
      <c r="AR73" s="85">
        <v>2</v>
      </c>
      <c r="AS73" s="18">
        <v>3</v>
      </c>
      <c r="AT73" s="71">
        <f t="shared" si="40"/>
        <v>1</v>
      </c>
      <c r="AU73" s="18">
        <v>3</v>
      </c>
      <c r="AV73" s="71">
        <f t="shared" si="41"/>
        <v>1</v>
      </c>
      <c r="AW73" s="18">
        <v>1</v>
      </c>
      <c r="AX73" s="71">
        <f t="shared" si="42"/>
        <v>0.5</v>
      </c>
      <c r="AY73" s="18">
        <v>3</v>
      </c>
      <c r="AZ73" s="71">
        <f t="shared" si="43"/>
        <v>1</v>
      </c>
      <c r="BA73" s="94">
        <v>0</v>
      </c>
      <c r="BB73" s="94">
        <v>1</v>
      </c>
      <c r="BC73" s="94">
        <v>0</v>
      </c>
      <c r="BD73" s="94">
        <v>0</v>
      </c>
      <c r="BE73" s="102">
        <f t="shared" si="44"/>
        <v>1.4761059883656353</v>
      </c>
      <c r="BF73" s="81">
        <f t="shared" si="45"/>
        <v>0.66993266680202357</v>
      </c>
      <c r="BG73" s="81" t="str">
        <f t="shared" si="46"/>
        <v>ALTO</v>
      </c>
      <c r="BK73" s="81" t="str">
        <f t="shared" si="47"/>
        <v>ALTO</v>
      </c>
    </row>
    <row r="74" spans="1:63" x14ac:dyDescent="0.15">
      <c r="A74" s="84">
        <v>5</v>
      </c>
      <c r="B74" s="84">
        <v>1</v>
      </c>
      <c r="C74" s="84">
        <v>1</v>
      </c>
      <c r="D74" s="84">
        <v>2</v>
      </c>
      <c r="E74" s="85">
        <v>1</v>
      </c>
      <c r="F74" s="17">
        <v>1</v>
      </c>
      <c r="G74" s="64">
        <f t="shared" si="24"/>
        <v>0.5</v>
      </c>
      <c r="H74" s="17">
        <v>1</v>
      </c>
      <c r="I74" s="64">
        <f t="shared" si="25"/>
        <v>0.5</v>
      </c>
      <c r="J74" s="17">
        <v>0</v>
      </c>
      <c r="K74" s="64">
        <f t="shared" si="26"/>
        <v>0</v>
      </c>
      <c r="L74" s="17">
        <v>1</v>
      </c>
      <c r="M74" s="64">
        <f t="shared" si="27"/>
        <v>0.33333333333333331</v>
      </c>
      <c r="N74" s="17">
        <v>4</v>
      </c>
      <c r="O74" s="64">
        <f t="shared" si="28"/>
        <v>0.8</v>
      </c>
      <c r="P74" s="17">
        <v>0</v>
      </c>
      <c r="Q74" s="64">
        <f t="shared" si="29"/>
        <v>0</v>
      </c>
      <c r="R74" s="25">
        <v>0</v>
      </c>
      <c r="S74" s="71">
        <f t="shared" si="30"/>
        <v>0</v>
      </c>
      <c r="T74" s="17">
        <v>1</v>
      </c>
      <c r="U74" s="64">
        <f t="shared" si="31"/>
        <v>0.33333333333333331</v>
      </c>
      <c r="V74" s="17">
        <v>3</v>
      </c>
      <c r="W74" s="71">
        <f t="shared" si="32"/>
        <v>0.75</v>
      </c>
      <c r="X74" s="17">
        <v>0</v>
      </c>
      <c r="Y74" s="71">
        <f t="shared" si="33"/>
        <v>0</v>
      </c>
      <c r="Z74" s="17">
        <v>1</v>
      </c>
      <c r="AA74" s="71">
        <f t="shared" si="34"/>
        <v>0.33333333333333331</v>
      </c>
      <c r="AB74" s="17">
        <v>2</v>
      </c>
      <c r="AC74" s="71">
        <f t="shared" si="35"/>
        <v>1</v>
      </c>
      <c r="AD74" s="84">
        <v>0</v>
      </c>
      <c r="AE74" s="84">
        <v>0</v>
      </c>
      <c r="AF74" s="84">
        <v>1</v>
      </c>
      <c r="AG74" s="84">
        <v>1</v>
      </c>
      <c r="AH74" s="84">
        <v>0</v>
      </c>
      <c r="AI74" s="84">
        <v>0</v>
      </c>
      <c r="AJ74" s="20">
        <v>1</v>
      </c>
      <c r="AK74" s="71">
        <f t="shared" si="36"/>
        <v>0.5</v>
      </c>
      <c r="AL74" s="17">
        <v>1</v>
      </c>
      <c r="AM74" s="71">
        <f t="shared" si="37"/>
        <v>0.33333333333333331</v>
      </c>
      <c r="AN74" s="17">
        <v>1</v>
      </c>
      <c r="AO74" s="71">
        <f t="shared" si="38"/>
        <v>0.33333333333333331</v>
      </c>
      <c r="AP74" s="17">
        <v>1</v>
      </c>
      <c r="AQ74" s="71">
        <f t="shared" si="39"/>
        <v>0.33333333333333331</v>
      </c>
      <c r="AR74" s="84">
        <v>2</v>
      </c>
      <c r="AS74" s="17">
        <v>1</v>
      </c>
      <c r="AT74" s="71">
        <f t="shared" si="40"/>
        <v>0.33333333333333331</v>
      </c>
      <c r="AU74" s="17">
        <v>2</v>
      </c>
      <c r="AV74" s="71">
        <f t="shared" si="41"/>
        <v>0.66666666666666663</v>
      </c>
      <c r="AW74" s="17">
        <v>1</v>
      </c>
      <c r="AX74" s="71">
        <f t="shared" si="42"/>
        <v>0.5</v>
      </c>
      <c r="AY74" s="17">
        <v>2</v>
      </c>
      <c r="AZ74" s="71">
        <f t="shared" si="43"/>
        <v>0.66666666666666663</v>
      </c>
      <c r="BA74" s="93">
        <v>0</v>
      </c>
      <c r="BB74" s="93">
        <v>1</v>
      </c>
      <c r="BC74" s="93">
        <v>0</v>
      </c>
      <c r="BD74" s="93">
        <v>0</v>
      </c>
      <c r="BE74" s="102">
        <f t="shared" si="44"/>
        <v>2.9044506078315973</v>
      </c>
      <c r="BF74" s="81">
        <f t="shared" si="45"/>
        <v>0.35054510035985764</v>
      </c>
      <c r="BG74" s="81" t="str">
        <f t="shared" si="46"/>
        <v>MEDIO</v>
      </c>
      <c r="BK74" s="81" t="str">
        <f t="shared" si="47"/>
        <v>BASSO</v>
      </c>
    </row>
    <row r="75" spans="1:63" x14ac:dyDescent="0.15">
      <c r="A75" s="85">
        <v>5</v>
      </c>
      <c r="B75" s="85">
        <v>1</v>
      </c>
      <c r="C75" s="85">
        <v>1</v>
      </c>
      <c r="D75" s="85">
        <v>2</v>
      </c>
      <c r="E75" s="85">
        <v>1</v>
      </c>
      <c r="F75" s="18">
        <v>1</v>
      </c>
      <c r="G75" s="64">
        <f t="shared" si="24"/>
        <v>0.5</v>
      </c>
      <c r="H75" s="18">
        <v>1</v>
      </c>
      <c r="I75" s="64">
        <f t="shared" si="25"/>
        <v>0.5</v>
      </c>
      <c r="J75" s="18">
        <v>0</v>
      </c>
      <c r="K75" s="64">
        <f t="shared" si="26"/>
        <v>0</v>
      </c>
      <c r="L75" s="18">
        <v>1</v>
      </c>
      <c r="M75" s="64">
        <f t="shared" si="27"/>
        <v>0.33333333333333331</v>
      </c>
      <c r="N75" s="18">
        <v>4</v>
      </c>
      <c r="O75" s="64">
        <f t="shared" si="28"/>
        <v>0.8</v>
      </c>
      <c r="P75" s="18">
        <v>3</v>
      </c>
      <c r="Q75" s="64">
        <f t="shared" si="29"/>
        <v>1</v>
      </c>
      <c r="R75" s="24">
        <v>0</v>
      </c>
      <c r="S75" s="71">
        <f t="shared" si="30"/>
        <v>0</v>
      </c>
      <c r="T75" s="18">
        <v>1</v>
      </c>
      <c r="U75" s="64">
        <f t="shared" si="31"/>
        <v>0.33333333333333331</v>
      </c>
      <c r="V75" s="18">
        <v>3</v>
      </c>
      <c r="W75" s="71">
        <f t="shared" si="32"/>
        <v>0.75</v>
      </c>
      <c r="X75" s="18">
        <v>0</v>
      </c>
      <c r="Y75" s="71">
        <f t="shared" si="33"/>
        <v>0</v>
      </c>
      <c r="Z75" s="18">
        <v>1</v>
      </c>
      <c r="AA75" s="71">
        <f t="shared" si="34"/>
        <v>0.33333333333333331</v>
      </c>
      <c r="AB75" s="18">
        <v>2</v>
      </c>
      <c r="AC75" s="71">
        <f t="shared" si="35"/>
        <v>1</v>
      </c>
      <c r="AD75" s="85">
        <v>0</v>
      </c>
      <c r="AE75" s="85">
        <v>0</v>
      </c>
      <c r="AF75" s="85">
        <v>1</v>
      </c>
      <c r="AG75" s="85">
        <v>1</v>
      </c>
      <c r="AH75" s="85">
        <v>0</v>
      </c>
      <c r="AI75" s="85">
        <v>0</v>
      </c>
      <c r="AJ75" s="19">
        <v>1</v>
      </c>
      <c r="AK75" s="71">
        <f t="shared" si="36"/>
        <v>0.5</v>
      </c>
      <c r="AL75" s="18">
        <v>1</v>
      </c>
      <c r="AM75" s="71">
        <f t="shared" si="37"/>
        <v>0.33333333333333331</v>
      </c>
      <c r="AN75" s="18">
        <v>0</v>
      </c>
      <c r="AO75" s="71">
        <f t="shared" si="38"/>
        <v>0</v>
      </c>
      <c r="AP75" s="18">
        <v>1</v>
      </c>
      <c r="AQ75" s="71">
        <f t="shared" si="39"/>
        <v>0.33333333333333331</v>
      </c>
      <c r="AR75" s="85">
        <v>2</v>
      </c>
      <c r="AS75" s="18">
        <v>1</v>
      </c>
      <c r="AT75" s="71">
        <f t="shared" si="40"/>
        <v>0.33333333333333331</v>
      </c>
      <c r="AU75" s="18">
        <v>2</v>
      </c>
      <c r="AV75" s="71">
        <f t="shared" si="41"/>
        <v>0.66666666666666663</v>
      </c>
      <c r="AW75" s="18">
        <v>0</v>
      </c>
      <c r="AX75" s="71">
        <f t="shared" si="42"/>
        <v>0</v>
      </c>
      <c r="AY75" s="18">
        <v>0</v>
      </c>
      <c r="AZ75" s="71">
        <f t="shared" si="43"/>
        <v>0</v>
      </c>
      <c r="BA75" s="94">
        <v>0</v>
      </c>
      <c r="BB75" s="94">
        <v>0</v>
      </c>
      <c r="BC75" s="94">
        <v>1</v>
      </c>
      <c r="BD75" s="94">
        <v>0</v>
      </c>
      <c r="BE75" s="102">
        <f t="shared" si="44"/>
        <v>3.1032688858327724</v>
      </c>
      <c r="BF75" s="81">
        <f t="shared" si="45"/>
        <v>0.30608798188185393</v>
      </c>
      <c r="BG75" s="81" t="str">
        <f t="shared" si="46"/>
        <v>BASSO</v>
      </c>
      <c r="BK75" s="81" t="str">
        <f t="shared" si="47"/>
        <v>BASSO</v>
      </c>
    </row>
    <row r="76" spans="1:63" x14ac:dyDescent="0.15">
      <c r="A76" s="84">
        <v>2</v>
      </c>
      <c r="B76" s="84">
        <v>1</v>
      </c>
      <c r="C76" s="84">
        <v>3</v>
      </c>
      <c r="D76" s="84">
        <v>0</v>
      </c>
      <c r="E76" s="85">
        <v>1</v>
      </c>
      <c r="F76" s="17">
        <v>2</v>
      </c>
      <c r="G76" s="64">
        <f t="shared" si="24"/>
        <v>1</v>
      </c>
      <c r="H76" s="17">
        <v>2</v>
      </c>
      <c r="I76" s="64">
        <f t="shared" si="25"/>
        <v>1</v>
      </c>
      <c r="J76" s="17">
        <v>2</v>
      </c>
      <c r="K76" s="64">
        <f t="shared" si="26"/>
        <v>1</v>
      </c>
      <c r="L76" s="17">
        <v>2</v>
      </c>
      <c r="M76" s="64">
        <f t="shared" si="27"/>
        <v>0.66666666666666663</v>
      </c>
      <c r="N76" s="17">
        <v>4</v>
      </c>
      <c r="O76" s="64">
        <f t="shared" si="28"/>
        <v>0.8</v>
      </c>
      <c r="P76" s="17">
        <v>3</v>
      </c>
      <c r="Q76" s="64">
        <f t="shared" si="29"/>
        <v>1</v>
      </c>
      <c r="R76" s="25">
        <v>3</v>
      </c>
      <c r="S76" s="71">
        <f t="shared" si="30"/>
        <v>1</v>
      </c>
      <c r="T76" s="17">
        <v>2</v>
      </c>
      <c r="U76" s="64">
        <f t="shared" si="31"/>
        <v>0.66666666666666663</v>
      </c>
      <c r="V76" s="17">
        <v>4</v>
      </c>
      <c r="W76" s="71">
        <f t="shared" si="32"/>
        <v>1</v>
      </c>
      <c r="X76" s="17">
        <v>3</v>
      </c>
      <c r="Y76" s="71">
        <f t="shared" si="33"/>
        <v>1</v>
      </c>
      <c r="Z76" s="17">
        <v>3</v>
      </c>
      <c r="AA76" s="71">
        <f t="shared" si="34"/>
        <v>1</v>
      </c>
      <c r="AB76" s="17">
        <v>1</v>
      </c>
      <c r="AC76" s="71">
        <f t="shared" si="35"/>
        <v>0.5</v>
      </c>
      <c r="AD76" s="84">
        <v>0</v>
      </c>
      <c r="AE76" s="84">
        <v>0</v>
      </c>
      <c r="AF76" s="84">
        <v>1</v>
      </c>
      <c r="AG76" s="84">
        <v>0</v>
      </c>
      <c r="AH76" s="84">
        <v>0</v>
      </c>
      <c r="AI76" s="84">
        <v>0</v>
      </c>
      <c r="AJ76" s="20">
        <v>2</v>
      </c>
      <c r="AK76" s="71">
        <f t="shared" si="36"/>
        <v>1</v>
      </c>
      <c r="AL76" s="17">
        <v>1</v>
      </c>
      <c r="AM76" s="71">
        <f t="shared" si="37"/>
        <v>0.33333333333333331</v>
      </c>
      <c r="AN76" s="17">
        <v>0</v>
      </c>
      <c r="AO76" s="71">
        <f t="shared" si="38"/>
        <v>0</v>
      </c>
      <c r="AP76" s="17">
        <v>3</v>
      </c>
      <c r="AQ76" s="71">
        <f t="shared" si="39"/>
        <v>1</v>
      </c>
      <c r="AR76" s="84">
        <v>2</v>
      </c>
      <c r="AS76" s="17">
        <v>3</v>
      </c>
      <c r="AT76" s="71">
        <f t="shared" si="40"/>
        <v>1</v>
      </c>
      <c r="AU76" s="17">
        <v>3</v>
      </c>
      <c r="AV76" s="71">
        <f t="shared" si="41"/>
        <v>1</v>
      </c>
      <c r="AW76" s="17">
        <v>1</v>
      </c>
      <c r="AX76" s="71">
        <f t="shared" si="42"/>
        <v>0.5</v>
      </c>
      <c r="AY76" s="17">
        <v>2</v>
      </c>
      <c r="AZ76" s="71">
        <f t="shared" si="43"/>
        <v>0.66666666666666663</v>
      </c>
      <c r="BA76" s="93">
        <v>1</v>
      </c>
      <c r="BB76" s="93">
        <v>1</v>
      </c>
      <c r="BC76" s="93">
        <v>0</v>
      </c>
      <c r="BD76" s="93">
        <v>0</v>
      </c>
      <c r="BE76" s="102">
        <f t="shared" si="44"/>
        <v>1.5224249662225651</v>
      </c>
      <c r="BF76" s="81">
        <f t="shared" si="45"/>
        <v>0.65957542848838435</v>
      </c>
      <c r="BG76" s="81" t="str">
        <f t="shared" si="46"/>
        <v>MEDIO</v>
      </c>
      <c r="BK76" s="81" t="str">
        <f t="shared" si="47"/>
        <v>ALTO</v>
      </c>
    </row>
    <row r="77" spans="1:63" x14ac:dyDescent="0.15">
      <c r="A77" s="85">
        <v>3</v>
      </c>
      <c r="B77" s="85">
        <v>1</v>
      </c>
      <c r="C77" s="85">
        <v>1</v>
      </c>
      <c r="D77" s="85">
        <v>2</v>
      </c>
      <c r="E77" s="85">
        <v>1</v>
      </c>
      <c r="F77" s="18">
        <v>1</v>
      </c>
      <c r="G77" s="64">
        <f t="shared" si="24"/>
        <v>0.5</v>
      </c>
      <c r="H77" s="18">
        <v>0</v>
      </c>
      <c r="I77" s="64">
        <f t="shared" si="25"/>
        <v>0</v>
      </c>
      <c r="J77" s="18">
        <v>1</v>
      </c>
      <c r="K77" s="64">
        <f t="shared" si="26"/>
        <v>0.5</v>
      </c>
      <c r="L77" s="18">
        <v>2</v>
      </c>
      <c r="M77" s="64">
        <f t="shared" si="27"/>
        <v>0.66666666666666663</v>
      </c>
      <c r="N77" s="18">
        <v>2</v>
      </c>
      <c r="O77" s="64">
        <f t="shared" si="28"/>
        <v>0.4</v>
      </c>
      <c r="P77" s="18">
        <v>0</v>
      </c>
      <c r="Q77" s="64">
        <f t="shared" si="29"/>
        <v>0</v>
      </c>
      <c r="R77" s="24">
        <v>0</v>
      </c>
      <c r="S77" s="71">
        <f t="shared" si="30"/>
        <v>0</v>
      </c>
      <c r="T77" s="18">
        <v>1</v>
      </c>
      <c r="U77" s="64">
        <f t="shared" si="31"/>
        <v>0.33333333333333331</v>
      </c>
      <c r="V77" s="18">
        <v>0</v>
      </c>
      <c r="W77" s="71">
        <f t="shared" si="32"/>
        <v>0</v>
      </c>
      <c r="X77" s="18">
        <v>2</v>
      </c>
      <c r="Y77" s="71">
        <f t="shared" si="33"/>
        <v>0.66666666666666663</v>
      </c>
      <c r="Z77" s="18">
        <v>0</v>
      </c>
      <c r="AA77" s="71">
        <f t="shared" si="34"/>
        <v>0</v>
      </c>
      <c r="AB77" s="18">
        <v>2</v>
      </c>
      <c r="AC77" s="71">
        <f t="shared" si="35"/>
        <v>1</v>
      </c>
      <c r="AD77" s="85">
        <v>0</v>
      </c>
      <c r="AE77" s="85">
        <v>0</v>
      </c>
      <c r="AF77" s="85">
        <v>1</v>
      </c>
      <c r="AG77" s="85">
        <v>1</v>
      </c>
      <c r="AH77" s="85">
        <v>0</v>
      </c>
      <c r="AI77" s="85">
        <v>0</v>
      </c>
      <c r="AJ77" s="19">
        <v>1</v>
      </c>
      <c r="AK77" s="71">
        <f t="shared" si="36"/>
        <v>0.5</v>
      </c>
      <c r="AL77" s="18">
        <v>1</v>
      </c>
      <c r="AM77" s="71">
        <f t="shared" si="37"/>
        <v>0.33333333333333331</v>
      </c>
      <c r="AN77" s="18">
        <v>1</v>
      </c>
      <c r="AO77" s="71">
        <f t="shared" si="38"/>
        <v>0.33333333333333331</v>
      </c>
      <c r="AP77" s="18">
        <v>1</v>
      </c>
      <c r="AQ77" s="71">
        <f t="shared" si="39"/>
        <v>0.33333333333333331</v>
      </c>
      <c r="AR77" s="85">
        <v>2</v>
      </c>
      <c r="AS77" s="18">
        <v>0</v>
      </c>
      <c r="AT77" s="71">
        <f t="shared" si="40"/>
        <v>0</v>
      </c>
      <c r="AU77" s="18">
        <v>1</v>
      </c>
      <c r="AV77" s="71">
        <f t="shared" si="41"/>
        <v>0.33333333333333331</v>
      </c>
      <c r="AW77" s="18">
        <v>1</v>
      </c>
      <c r="AX77" s="71">
        <f t="shared" si="42"/>
        <v>0.5</v>
      </c>
      <c r="AY77" s="18">
        <v>2</v>
      </c>
      <c r="AZ77" s="71">
        <f t="shared" si="43"/>
        <v>0.66666666666666663</v>
      </c>
      <c r="BA77" s="94">
        <v>0</v>
      </c>
      <c r="BB77" s="94">
        <v>0</v>
      </c>
      <c r="BC77" s="94">
        <v>1</v>
      </c>
      <c r="BD77" s="94">
        <v>0</v>
      </c>
      <c r="BE77" s="102">
        <f t="shared" si="44"/>
        <v>3.1488975142985449</v>
      </c>
      <c r="BF77" s="81">
        <f t="shared" si="45"/>
        <v>0.29588511038489995</v>
      </c>
      <c r="BG77" s="81" t="str">
        <f t="shared" si="46"/>
        <v>BASSO</v>
      </c>
      <c r="BK77" s="81" t="str">
        <f t="shared" si="47"/>
        <v>MOLTO BASSO</v>
      </c>
    </row>
    <row r="78" spans="1:63" x14ac:dyDescent="0.15">
      <c r="A78" s="84">
        <v>2</v>
      </c>
      <c r="B78" s="84">
        <v>1</v>
      </c>
      <c r="C78" s="84">
        <v>2</v>
      </c>
      <c r="D78" s="84">
        <v>0</v>
      </c>
      <c r="E78" s="85">
        <v>1</v>
      </c>
      <c r="F78" s="17">
        <v>2</v>
      </c>
      <c r="G78" s="64">
        <f t="shared" si="24"/>
        <v>1</v>
      </c>
      <c r="H78" s="17">
        <v>2</v>
      </c>
      <c r="I78" s="64">
        <f t="shared" si="25"/>
        <v>1</v>
      </c>
      <c r="J78" s="17">
        <v>2</v>
      </c>
      <c r="K78" s="64">
        <f t="shared" si="26"/>
        <v>1</v>
      </c>
      <c r="L78" s="17">
        <v>3</v>
      </c>
      <c r="M78" s="64">
        <f t="shared" si="27"/>
        <v>1</v>
      </c>
      <c r="N78" s="17">
        <v>4</v>
      </c>
      <c r="O78" s="64">
        <f t="shared" si="28"/>
        <v>0.8</v>
      </c>
      <c r="P78" s="17">
        <v>3</v>
      </c>
      <c r="Q78" s="64">
        <f t="shared" si="29"/>
        <v>1</v>
      </c>
      <c r="R78" s="25">
        <v>3</v>
      </c>
      <c r="S78" s="71">
        <f t="shared" si="30"/>
        <v>1</v>
      </c>
      <c r="T78" s="17">
        <v>3</v>
      </c>
      <c r="U78" s="64">
        <f t="shared" si="31"/>
        <v>1</v>
      </c>
      <c r="V78" s="17">
        <v>4</v>
      </c>
      <c r="W78" s="71">
        <f t="shared" si="32"/>
        <v>1</v>
      </c>
      <c r="X78" s="17">
        <v>3</v>
      </c>
      <c r="Y78" s="71">
        <f t="shared" si="33"/>
        <v>1</v>
      </c>
      <c r="Z78" s="17">
        <v>3</v>
      </c>
      <c r="AA78" s="71">
        <f t="shared" si="34"/>
        <v>1</v>
      </c>
      <c r="AB78" s="17">
        <v>0</v>
      </c>
      <c r="AC78" s="71">
        <f t="shared" si="35"/>
        <v>0</v>
      </c>
      <c r="AD78" s="84">
        <v>1</v>
      </c>
      <c r="AE78" s="84">
        <v>0</v>
      </c>
      <c r="AF78" s="84">
        <v>1</v>
      </c>
      <c r="AG78" s="84">
        <v>0</v>
      </c>
      <c r="AH78" s="84">
        <v>0</v>
      </c>
      <c r="AI78" s="84">
        <v>0</v>
      </c>
      <c r="AJ78" s="20">
        <v>2</v>
      </c>
      <c r="AK78" s="71">
        <f t="shared" si="36"/>
        <v>1</v>
      </c>
      <c r="AL78" s="17">
        <v>3</v>
      </c>
      <c r="AM78" s="71">
        <f t="shared" si="37"/>
        <v>1</v>
      </c>
      <c r="AN78" s="17">
        <v>2</v>
      </c>
      <c r="AO78" s="71">
        <f t="shared" si="38"/>
        <v>0.66666666666666663</v>
      </c>
      <c r="AP78" s="17">
        <v>3</v>
      </c>
      <c r="AQ78" s="71">
        <f t="shared" si="39"/>
        <v>1</v>
      </c>
      <c r="AR78" s="84">
        <v>2</v>
      </c>
      <c r="AS78" s="17">
        <v>3</v>
      </c>
      <c r="AT78" s="71">
        <f t="shared" si="40"/>
        <v>1</v>
      </c>
      <c r="AU78" s="17">
        <v>3</v>
      </c>
      <c r="AV78" s="71">
        <f t="shared" si="41"/>
        <v>1</v>
      </c>
      <c r="AW78" s="17">
        <v>2</v>
      </c>
      <c r="AX78" s="71">
        <f t="shared" si="42"/>
        <v>1</v>
      </c>
      <c r="AY78" s="17">
        <v>3</v>
      </c>
      <c r="AZ78" s="71">
        <f t="shared" si="43"/>
        <v>1</v>
      </c>
      <c r="BA78" s="93">
        <v>1</v>
      </c>
      <c r="BB78" s="93">
        <v>1</v>
      </c>
      <c r="BC78" s="93">
        <v>0</v>
      </c>
      <c r="BD78" s="93">
        <v>0</v>
      </c>
      <c r="BE78" s="102">
        <f t="shared" si="44"/>
        <v>1.0728984626287388</v>
      </c>
      <c r="BF78" s="81">
        <f t="shared" si="45"/>
        <v>0.76009261046073484</v>
      </c>
      <c r="BG78" s="81" t="str">
        <f t="shared" si="46"/>
        <v>ALTO</v>
      </c>
      <c r="BK78" s="81" t="str">
        <f t="shared" si="47"/>
        <v>ALTO</v>
      </c>
    </row>
    <row r="79" spans="1:63" x14ac:dyDescent="0.15">
      <c r="A79" s="85">
        <v>2</v>
      </c>
      <c r="B79" s="85">
        <v>1</v>
      </c>
      <c r="C79" s="85">
        <v>3</v>
      </c>
      <c r="D79" s="85">
        <v>2</v>
      </c>
      <c r="E79" s="85">
        <v>1</v>
      </c>
      <c r="F79" s="18">
        <v>2</v>
      </c>
      <c r="G79" s="64">
        <f t="shared" si="24"/>
        <v>1</v>
      </c>
      <c r="H79" s="18">
        <v>2</v>
      </c>
      <c r="I79" s="64">
        <f t="shared" si="25"/>
        <v>1</v>
      </c>
      <c r="J79" s="18">
        <v>1</v>
      </c>
      <c r="K79" s="64">
        <f t="shared" si="26"/>
        <v>0.5</v>
      </c>
      <c r="L79" s="18">
        <v>3</v>
      </c>
      <c r="M79" s="64">
        <f t="shared" si="27"/>
        <v>1</v>
      </c>
      <c r="N79" s="18">
        <v>0</v>
      </c>
      <c r="O79" s="64">
        <f t="shared" si="28"/>
        <v>0</v>
      </c>
      <c r="P79" s="18">
        <v>3</v>
      </c>
      <c r="Q79" s="64">
        <f t="shared" si="29"/>
        <v>1</v>
      </c>
      <c r="R79" s="24">
        <v>3</v>
      </c>
      <c r="S79" s="71">
        <f t="shared" si="30"/>
        <v>1</v>
      </c>
      <c r="T79" s="18">
        <v>3</v>
      </c>
      <c r="U79" s="64">
        <f t="shared" si="31"/>
        <v>1</v>
      </c>
      <c r="V79" s="18">
        <v>3</v>
      </c>
      <c r="W79" s="71">
        <f t="shared" si="32"/>
        <v>0.75</v>
      </c>
      <c r="X79" s="18">
        <v>3</v>
      </c>
      <c r="Y79" s="71">
        <f t="shared" si="33"/>
        <v>1</v>
      </c>
      <c r="Z79" s="18">
        <v>1</v>
      </c>
      <c r="AA79" s="71">
        <f t="shared" si="34"/>
        <v>0.33333333333333331</v>
      </c>
      <c r="AB79" s="18">
        <v>2</v>
      </c>
      <c r="AC79" s="71">
        <f t="shared" si="35"/>
        <v>1</v>
      </c>
      <c r="AD79" s="85">
        <v>1</v>
      </c>
      <c r="AE79" s="85">
        <v>0</v>
      </c>
      <c r="AF79" s="85">
        <v>1</v>
      </c>
      <c r="AG79" s="85">
        <v>0</v>
      </c>
      <c r="AH79" s="85">
        <v>0</v>
      </c>
      <c r="AI79" s="85">
        <v>0</v>
      </c>
      <c r="AJ79" s="19">
        <v>0</v>
      </c>
      <c r="AK79" s="71">
        <f t="shared" si="36"/>
        <v>0</v>
      </c>
      <c r="AL79" s="18">
        <v>3</v>
      </c>
      <c r="AM79" s="71">
        <f t="shared" si="37"/>
        <v>1</v>
      </c>
      <c r="AN79" s="18">
        <v>1</v>
      </c>
      <c r="AO79" s="71">
        <f t="shared" si="38"/>
        <v>0.33333333333333331</v>
      </c>
      <c r="AP79" s="18">
        <v>3</v>
      </c>
      <c r="AQ79" s="71">
        <f t="shared" si="39"/>
        <v>1</v>
      </c>
      <c r="AR79" s="85">
        <v>0</v>
      </c>
      <c r="AS79" s="18">
        <v>0</v>
      </c>
      <c r="AT79" s="71">
        <f t="shared" si="40"/>
        <v>0</v>
      </c>
      <c r="AU79" s="18">
        <v>3</v>
      </c>
      <c r="AV79" s="71">
        <f t="shared" si="41"/>
        <v>1</v>
      </c>
      <c r="AW79" s="18">
        <v>1</v>
      </c>
      <c r="AX79" s="71">
        <f t="shared" si="42"/>
        <v>0.5</v>
      </c>
      <c r="AY79" s="18">
        <v>3</v>
      </c>
      <c r="AZ79" s="71">
        <f t="shared" si="43"/>
        <v>1</v>
      </c>
      <c r="BA79" s="94">
        <v>1</v>
      </c>
      <c r="BB79" s="94">
        <v>0</v>
      </c>
      <c r="BC79" s="94">
        <v>1</v>
      </c>
      <c r="BD79" s="94">
        <v>0</v>
      </c>
      <c r="BE79" s="102">
        <f t="shared" si="44"/>
        <v>2.1098314835286938</v>
      </c>
      <c r="BF79" s="81">
        <f t="shared" si="45"/>
        <v>0.52822733817610557</v>
      </c>
      <c r="BG79" s="81" t="str">
        <f t="shared" si="46"/>
        <v>MEDIO</v>
      </c>
      <c r="BK79" s="81" t="str">
        <f t="shared" si="47"/>
        <v>MEDIO</v>
      </c>
    </row>
    <row r="80" spans="1:63" x14ac:dyDescent="0.15">
      <c r="A80" s="84">
        <v>3</v>
      </c>
      <c r="B80" s="84">
        <v>1</v>
      </c>
      <c r="C80" s="84">
        <v>2</v>
      </c>
      <c r="D80" s="84">
        <v>0</v>
      </c>
      <c r="E80" s="85">
        <v>1</v>
      </c>
      <c r="F80" s="17">
        <v>1</v>
      </c>
      <c r="G80" s="64">
        <f t="shared" si="24"/>
        <v>0.5</v>
      </c>
      <c r="H80" s="17">
        <v>2</v>
      </c>
      <c r="I80" s="64">
        <f t="shared" si="25"/>
        <v>1</v>
      </c>
      <c r="J80" s="17">
        <v>2</v>
      </c>
      <c r="K80" s="64">
        <f t="shared" si="26"/>
        <v>1</v>
      </c>
      <c r="L80" s="17">
        <v>2</v>
      </c>
      <c r="M80" s="64">
        <f t="shared" si="27"/>
        <v>0.66666666666666663</v>
      </c>
      <c r="N80" s="17">
        <v>4</v>
      </c>
      <c r="O80" s="64">
        <f t="shared" si="28"/>
        <v>0.8</v>
      </c>
      <c r="P80" s="17">
        <v>3</v>
      </c>
      <c r="Q80" s="64">
        <f t="shared" si="29"/>
        <v>1</v>
      </c>
      <c r="R80" s="25">
        <v>3</v>
      </c>
      <c r="S80" s="71">
        <f t="shared" si="30"/>
        <v>1</v>
      </c>
      <c r="T80" s="17">
        <v>3</v>
      </c>
      <c r="U80" s="64">
        <f t="shared" si="31"/>
        <v>1</v>
      </c>
      <c r="V80" s="17">
        <v>2</v>
      </c>
      <c r="W80" s="71">
        <f t="shared" si="32"/>
        <v>0.5</v>
      </c>
      <c r="X80" s="17">
        <v>3</v>
      </c>
      <c r="Y80" s="71">
        <f t="shared" si="33"/>
        <v>1</v>
      </c>
      <c r="Z80" s="17">
        <v>3</v>
      </c>
      <c r="AA80" s="71">
        <f t="shared" si="34"/>
        <v>1</v>
      </c>
      <c r="AB80" s="17">
        <v>0</v>
      </c>
      <c r="AC80" s="71">
        <f t="shared" si="35"/>
        <v>0</v>
      </c>
      <c r="AD80" s="84">
        <v>0</v>
      </c>
      <c r="AE80" s="84">
        <v>1</v>
      </c>
      <c r="AF80" s="84">
        <v>1</v>
      </c>
      <c r="AG80" s="84">
        <v>0</v>
      </c>
      <c r="AH80" s="84">
        <v>0</v>
      </c>
      <c r="AI80" s="84">
        <v>0</v>
      </c>
      <c r="AJ80" s="20">
        <v>2</v>
      </c>
      <c r="AK80" s="71">
        <f t="shared" si="36"/>
        <v>1</v>
      </c>
      <c r="AL80" s="17">
        <v>2</v>
      </c>
      <c r="AM80" s="71">
        <f t="shared" si="37"/>
        <v>0.66666666666666663</v>
      </c>
      <c r="AN80" s="17">
        <v>2</v>
      </c>
      <c r="AO80" s="71">
        <f t="shared" si="38"/>
        <v>0.66666666666666663</v>
      </c>
      <c r="AP80" s="17">
        <v>3</v>
      </c>
      <c r="AQ80" s="71">
        <f t="shared" si="39"/>
        <v>1</v>
      </c>
      <c r="AR80" s="84">
        <v>2</v>
      </c>
      <c r="AS80" s="17">
        <v>2</v>
      </c>
      <c r="AT80" s="71">
        <f t="shared" si="40"/>
        <v>0.66666666666666663</v>
      </c>
      <c r="AU80" s="17">
        <v>3</v>
      </c>
      <c r="AV80" s="71">
        <f t="shared" si="41"/>
        <v>1</v>
      </c>
      <c r="AW80" s="17">
        <v>1</v>
      </c>
      <c r="AX80" s="71">
        <f t="shared" si="42"/>
        <v>0.5</v>
      </c>
      <c r="AY80" s="17">
        <v>3</v>
      </c>
      <c r="AZ80" s="71">
        <f t="shared" si="43"/>
        <v>1</v>
      </c>
      <c r="BA80" s="93">
        <v>1</v>
      </c>
      <c r="BB80" s="93">
        <v>1</v>
      </c>
      <c r="BC80" s="93">
        <v>1</v>
      </c>
      <c r="BD80" s="93">
        <v>0</v>
      </c>
      <c r="BE80" s="102">
        <f t="shared" si="44"/>
        <v>1.4948058216519109</v>
      </c>
      <c r="BF80" s="81">
        <f t="shared" si="45"/>
        <v>0.66575125696242143</v>
      </c>
      <c r="BG80" s="81" t="str">
        <f t="shared" si="46"/>
        <v>ALTO</v>
      </c>
      <c r="BK80" s="81" t="str">
        <f t="shared" si="47"/>
        <v>ALTO</v>
      </c>
    </row>
    <row r="81" spans="1:63" x14ac:dyDescent="0.15">
      <c r="A81" s="85">
        <v>4</v>
      </c>
      <c r="B81" s="85">
        <v>1</v>
      </c>
      <c r="C81" s="85">
        <v>3</v>
      </c>
      <c r="D81" s="85">
        <v>2</v>
      </c>
      <c r="E81" s="85">
        <v>1</v>
      </c>
      <c r="F81" s="18">
        <v>1</v>
      </c>
      <c r="G81" s="64">
        <f t="shared" si="24"/>
        <v>0.5</v>
      </c>
      <c r="H81" s="18">
        <v>0</v>
      </c>
      <c r="I81" s="64">
        <f t="shared" si="25"/>
        <v>0</v>
      </c>
      <c r="J81" s="18">
        <v>1</v>
      </c>
      <c r="K81" s="64">
        <f t="shared" si="26"/>
        <v>0.5</v>
      </c>
      <c r="L81" s="18">
        <v>2</v>
      </c>
      <c r="M81" s="64">
        <f t="shared" si="27"/>
        <v>0.66666666666666663</v>
      </c>
      <c r="N81" s="18">
        <v>3</v>
      </c>
      <c r="O81" s="64">
        <f t="shared" si="28"/>
        <v>0.6</v>
      </c>
      <c r="P81" s="18">
        <v>3</v>
      </c>
      <c r="Q81" s="64">
        <f t="shared" si="29"/>
        <v>1</v>
      </c>
      <c r="R81" s="24">
        <v>0</v>
      </c>
      <c r="S81" s="71">
        <f t="shared" si="30"/>
        <v>0</v>
      </c>
      <c r="T81" s="18">
        <v>2</v>
      </c>
      <c r="U81" s="64">
        <f t="shared" si="31"/>
        <v>0.66666666666666663</v>
      </c>
      <c r="V81" s="18">
        <v>3</v>
      </c>
      <c r="W81" s="71">
        <f t="shared" si="32"/>
        <v>0.75</v>
      </c>
      <c r="X81" s="18">
        <v>2</v>
      </c>
      <c r="Y81" s="71">
        <f t="shared" si="33"/>
        <v>0.66666666666666663</v>
      </c>
      <c r="Z81" s="18">
        <v>0</v>
      </c>
      <c r="AA81" s="71">
        <f t="shared" si="34"/>
        <v>0</v>
      </c>
      <c r="AB81" s="18">
        <v>1</v>
      </c>
      <c r="AC81" s="71">
        <f t="shared" si="35"/>
        <v>0.5</v>
      </c>
      <c r="AD81" s="85">
        <v>0</v>
      </c>
      <c r="AE81" s="85">
        <v>0</v>
      </c>
      <c r="AF81" s="85">
        <v>1</v>
      </c>
      <c r="AG81" s="85">
        <v>1</v>
      </c>
      <c r="AH81" s="85">
        <v>0</v>
      </c>
      <c r="AI81" s="85">
        <v>0</v>
      </c>
      <c r="AJ81" s="19">
        <v>1</v>
      </c>
      <c r="AK81" s="71">
        <f t="shared" si="36"/>
        <v>0.5</v>
      </c>
      <c r="AL81" s="18">
        <v>1</v>
      </c>
      <c r="AM81" s="71">
        <f t="shared" si="37"/>
        <v>0.33333333333333331</v>
      </c>
      <c r="AN81" s="18">
        <v>1</v>
      </c>
      <c r="AO81" s="71">
        <f t="shared" si="38"/>
        <v>0.33333333333333331</v>
      </c>
      <c r="AP81" s="18">
        <v>2</v>
      </c>
      <c r="AQ81" s="71">
        <f t="shared" si="39"/>
        <v>0.66666666666666663</v>
      </c>
      <c r="AR81" s="85">
        <v>1</v>
      </c>
      <c r="AS81" s="18">
        <v>2</v>
      </c>
      <c r="AT81" s="71">
        <f t="shared" si="40"/>
        <v>0.66666666666666663</v>
      </c>
      <c r="AU81" s="18">
        <v>3</v>
      </c>
      <c r="AV81" s="71">
        <f t="shared" si="41"/>
        <v>1</v>
      </c>
      <c r="AW81" s="18">
        <v>0</v>
      </c>
      <c r="AX81" s="71">
        <f t="shared" si="42"/>
        <v>0</v>
      </c>
      <c r="AY81" s="18">
        <v>1</v>
      </c>
      <c r="AZ81" s="71">
        <f t="shared" si="43"/>
        <v>0.33333333333333331</v>
      </c>
      <c r="BA81" s="94">
        <v>0</v>
      </c>
      <c r="BB81" s="94">
        <v>0</v>
      </c>
      <c r="BC81" s="94">
        <v>0</v>
      </c>
      <c r="BD81" s="94">
        <v>1</v>
      </c>
      <c r="BE81" s="102">
        <f t="shared" si="44"/>
        <v>2.6667187494913835</v>
      </c>
      <c r="BF81" s="81">
        <f t="shared" si="45"/>
        <v>0.40370355992645945</v>
      </c>
      <c r="BG81" s="81" t="str">
        <f t="shared" si="46"/>
        <v>MEDIO</v>
      </c>
      <c r="BK81" s="81" t="str">
        <f t="shared" si="47"/>
        <v>BASSO</v>
      </c>
    </row>
    <row r="82" spans="1:63" x14ac:dyDescent="0.15">
      <c r="A82" s="84">
        <v>4</v>
      </c>
      <c r="B82" s="84">
        <v>1</v>
      </c>
      <c r="C82" s="84">
        <v>1</v>
      </c>
      <c r="D82" s="84">
        <v>2</v>
      </c>
      <c r="E82" s="85">
        <v>1</v>
      </c>
      <c r="F82" s="17">
        <v>1</v>
      </c>
      <c r="G82" s="64">
        <f t="shared" si="24"/>
        <v>0.5</v>
      </c>
      <c r="H82" s="17">
        <v>2</v>
      </c>
      <c r="I82" s="64">
        <f t="shared" si="25"/>
        <v>1</v>
      </c>
      <c r="J82" s="17">
        <v>1</v>
      </c>
      <c r="K82" s="64">
        <f t="shared" si="26"/>
        <v>0.5</v>
      </c>
      <c r="L82" s="17">
        <v>3</v>
      </c>
      <c r="M82" s="64">
        <f t="shared" si="27"/>
        <v>1</v>
      </c>
      <c r="N82" s="17">
        <v>0</v>
      </c>
      <c r="O82" s="64">
        <f t="shared" si="28"/>
        <v>0</v>
      </c>
      <c r="P82" s="17">
        <v>0</v>
      </c>
      <c r="Q82" s="64">
        <f t="shared" si="29"/>
        <v>0</v>
      </c>
      <c r="R82" s="25">
        <v>3</v>
      </c>
      <c r="S82" s="71">
        <f t="shared" si="30"/>
        <v>1</v>
      </c>
      <c r="T82" s="17">
        <v>3</v>
      </c>
      <c r="U82" s="64">
        <f t="shared" si="31"/>
        <v>1</v>
      </c>
      <c r="V82" s="17">
        <v>3</v>
      </c>
      <c r="W82" s="71">
        <f t="shared" si="32"/>
        <v>0.75</v>
      </c>
      <c r="X82" s="17">
        <v>2</v>
      </c>
      <c r="Y82" s="71">
        <f t="shared" si="33"/>
        <v>0.66666666666666663</v>
      </c>
      <c r="Z82" s="17">
        <v>0</v>
      </c>
      <c r="AA82" s="71">
        <f t="shared" si="34"/>
        <v>0</v>
      </c>
      <c r="AB82" s="17">
        <v>0</v>
      </c>
      <c r="AC82" s="71">
        <f t="shared" si="35"/>
        <v>0</v>
      </c>
      <c r="AD82" s="84">
        <v>1</v>
      </c>
      <c r="AE82" s="84">
        <v>0</v>
      </c>
      <c r="AF82" s="84">
        <v>0</v>
      </c>
      <c r="AG82" s="84">
        <v>1</v>
      </c>
      <c r="AH82" s="84">
        <v>0</v>
      </c>
      <c r="AI82" s="84">
        <v>0</v>
      </c>
      <c r="AJ82" s="20">
        <v>1</v>
      </c>
      <c r="AK82" s="71">
        <f t="shared" si="36"/>
        <v>0.5</v>
      </c>
      <c r="AL82" s="17">
        <v>2</v>
      </c>
      <c r="AM82" s="71">
        <f t="shared" si="37"/>
        <v>0.66666666666666663</v>
      </c>
      <c r="AN82" s="17">
        <v>1</v>
      </c>
      <c r="AO82" s="71">
        <f t="shared" si="38"/>
        <v>0.33333333333333331</v>
      </c>
      <c r="AP82" s="17">
        <v>2</v>
      </c>
      <c r="AQ82" s="71">
        <f t="shared" si="39"/>
        <v>0.66666666666666663</v>
      </c>
      <c r="AR82" s="84">
        <v>1</v>
      </c>
      <c r="AS82" s="17">
        <v>3</v>
      </c>
      <c r="AT82" s="71">
        <f t="shared" si="40"/>
        <v>1</v>
      </c>
      <c r="AU82" s="17">
        <v>2</v>
      </c>
      <c r="AV82" s="71">
        <f t="shared" si="41"/>
        <v>0.66666666666666663</v>
      </c>
      <c r="AW82" s="17">
        <v>1</v>
      </c>
      <c r="AX82" s="71">
        <f t="shared" si="42"/>
        <v>0.5</v>
      </c>
      <c r="AY82" s="17">
        <v>0</v>
      </c>
      <c r="AZ82" s="71">
        <f t="shared" si="43"/>
        <v>0</v>
      </c>
      <c r="BA82" s="93">
        <v>1</v>
      </c>
      <c r="BB82" s="93">
        <v>0</v>
      </c>
      <c r="BC82" s="93">
        <v>1</v>
      </c>
      <c r="BD82" s="93">
        <v>0</v>
      </c>
      <c r="BE82" s="102">
        <f t="shared" si="44"/>
        <v>2.6365486699260621</v>
      </c>
      <c r="BF82" s="81">
        <f t="shared" si="45"/>
        <v>0.41044979480592236</v>
      </c>
      <c r="BG82" s="81" t="str">
        <f t="shared" si="46"/>
        <v>MEDIO</v>
      </c>
      <c r="BK82" s="81" t="str">
        <f t="shared" si="47"/>
        <v>BASSO</v>
      </c>
    </row>
    <row r="83" spans="1:63" x14ac:dyDescent="0.15">
      <c r="A83" s="85">
        <v>4</v>
      </c>
      <c r="B83" s="85">
        <v>1</v>
      </c>
      <c r="C83" s="85">
        <v>2</v>
      </c>
      <c r="D83" s="85">
        <v>2</v>
      </c>
      <c r="E83" s="85">
        <v>1</v>
      </c>
      <c r="F83" s="18">
        <v>1</v>
      </c>
      <c r="G83" s="64">
        <f t="shared" si="24"/>
        <v>0.5</v>
      </c>
      <c r="H83" s="18">
        <v>1</v>
      </c>
      <c r="I83" s="64">
        <f t="shared" si="25"/>
        <v>0.5</v>
      </c>
      <c r="J83" s="18">
        <v>1</v>
      </c>
      <c r="K83" s="64">
        <f t="shared" si="26"/>
        <v>0.5</v>
      </c>
      <c r="L83" s="18">
        <v>2</v>
      </c>
      <c r="M83" s="64">
        <f t="shared" si="27"/>
        <v>0.66666666666666663</v>
      </c>
      <c r="N83" s="18">
        <v>2</v>
      </c>
      <c r="O83" s="64">
        <f t="shared" si="28"/>
        <v>0.4</v>
      </c>
      <c r="P83" s="18">
        <v>3</v>
      </c>
      <c r="Q83" s="64">
        <f t="shared" si="29"/>
        <v>1</v>
      </c>
      <c r="R83" s="24">
        <v>0</v>
      </c>
      <c r="S83" s="71">
        <f t="shared" si="30"/>
        <v>0</v>
      </c>
      <c r="T83" s="18">
        <v>3</v>
      </c>
      <c r="U83" s="64">
        <f t="shared" si="31"/>
        <v>1</v>
      </c>
      <c r="V83" s="18">
        <v>4</v>
      </c>
      <c r="W83" s="71">
        <f t="shared" si="32"/>
        <v>1</v>
      </c>
      <c r="X83" s="18">
        <v>2</v>
      </c>
      <c r="Y83" s="71">
        <f t="shared" si="33"/>
        <v>0.66666666666666663</v>
      </c>
      <c r="Z83" s="18">
        <v>0</v>
      </c>
      <c r="AA83" s="71">
        <f t="shared" si="34"/>
        <v>0</v>
      </c>
      <c r="AB83" s="18">
        <v>1</v>
      </c>
      <c r="AC83" s="71">
        <f t="shared" si="35"/>
        <v>0.5</v>
      </c>
      <c r="AD83" s="85">
        <v>0</v>
      </c>
      <c r="AE83" s="85">
        <v>1</v>
      </c>
      <c r="AF83" s="85">
        <v>1</v>
      </c>
      <c r="AG83" s="85">
        <v>0</v>
      </c>
      <c r="AH83" s="85">
        <v>0</v>
      </c>
      <c r="AI83" s="85">
        <v>0</v>
      </c>
      <c r="AJ83" s="19">
        <v>1</v>
      </c>
      <c r="AK83" s="71">
        <f t="shared" si="36"/>
        <v>0.5</v>
      </c>
      <c r="AL83" s="18">
        <v>2</v>
      </c>
      <c r="AM83" s="71">
        <f t="shared" si="37"/>
        <v>0.66666666666666663</v>
      </c>
      <c r="AN83" s="18">
        <v>1</v>
      </c>
      <c r="AO83" s="71">
        <f t="shared" si="38"/>
        <v>0.33333333333333331</v>
      </c>
      <c r="AP83" s="18">
        <v>2</v>
      </c>
      <c r="AQ83" s="71">
        <f t="shared" si="39"/>
        <v>0.66666666666666663</v>
      </c>
      <c r="AR83" s="85">
        <v>0</v>
      </c>
      <c r="AS83" s="18">
        <v>3</v>
      </c>
      <c r="AT83" s="71">
        <f t="shared" si="40"/>
        <v>1</v>
      </c>
      <c r="AU83" s="18">
        <v>2</v>
      </c>
      <c r="AV83" s="71">
        <f t="shared" si="41"/>
        <v>0.66666666666666663</v>
      </c>
      <c r="AW83" s="18">
        <v>0</v>
      </c>
      <c r="AX83" s="71">
        <f t="shared" si="42"/>
        <v>0</v>
      </c>
      <c r="AY83" s="18">
        <v>3</v>
      </c>
      <c r="AZ83" s="71">
        <f t="shared" si="43"/>
        <v>1</v>
      </c>
      <c r="BA83" s="94">
        <v>1</v>
      </c>
      <c r="BB83" s="94">
        <v>0</v>
      </c>
      <c r="BC83" s="94">
        <v>1</v>
      </c>
      <c r="BD83" s="94">
        <v>0</v>
      </c>
      <c r="BE83" s="102">
        <f t="shared" si="44"/>
        <v>2.368543856465402</v>
      </c>
      <c r="BF83" s="81">
        <f t="shared" si="45"/>
        <v>0.4703774929254354</v>
      </c>
      <c r="BG83" s="81" t="str">
        <f t="shared" si="46"/>
        <v>MEDIO</v>
      </c>
      <c r="BK83" s="81" t="str">
        <f t="shared" si="47"/>
        <v>MEDIO</v>
      </c>
    </row>
    <row r="84" spans="1:63" x14ac:dyDescent="0.15">
      <c r="A84" s="84">
        <v>4</v>
      </c>
      <c r="B84" s="84">
        <v>1</v>
      </c>
      <c r="C84" s="84">
        <v>3</v>
      </c>
      <c r="D84" s="84">
        <v>2</v>
      </c>
      <c r="E84" s="85">
        <v>1</v>
      </c>
      <c r="F84" s="17">
        <v>2</v>
      </c>
      <c r="G84" s="64">
        <f t="shared" si="24"/>
        <v>1</v>
      </c>
      <c r="H84" s="17">
        <v>2</v>
      </c>
      <c r="I84" s="64">
        <f t="shared" si="25"/>
        <v>1</v>
      </c>
      <c r="J84" s="17">
        <v>2</v>
      </c>
      <c r="K84" s="64">
        <f t="shared" si="26"/>
        <v>1</v>
      </c>
      <c r="L84" s="17">
        <v>3</v>
      </c>
      <c r="M84" s="64">
        <f t="shared" si="27"/>
        <v>1</v>
      </c>
      <c r="N84" s="17">
        <v>0</v>
      </c>
      <c r="O84" s="64">
        <f t="shared" si="28"/>
        <v>0</v>
      </c>
      <c r="P84" s="17">
        <v>3</v>
      </c>
      <c r="Q84" s="64">
        <f t="shared" si="29"/>
        <v>1</v>
      </c>
      <c r="R84" s="25">
        <v>0</v>
      </c>
      <c r="S84" s="71">
        <f t="shared" si="30"/>
        <v>0</v>
      </c>
      <c r="T84" s="17">
        <v>2</v>
      </c>
      <c r="U84" s="64">
        <f t="shared" si="31"/>
        <v>0.66666666666666663</v>
      </c>
      <c r="V84" s="17">
        <v>3</v>
      </c>
      <c r="W84" s="71">
        <f t="shared" si="32"/>
        <v>0.75</v>
      </c>
      <c r="X84" s="17">
        <v>0</v>
      </c>
      <c r="Y84" s="71">
        <f t="shared" si="33"/>
        <v>0</v>
      </c>
      <c r="Z84" s="17">
        <v>2</v>
      </c>
      <c r="AA84" s="71">
        <f t="shared" si="34"/>
        <v>0.66666666666666663</v>
      </c>
      <c r="AB84" s="17">
        <v>0</v>
      </c>
      <c r="AC84" s="71">
        <f t="shared" si="35"/>
        <v>0</v>
      </c>
      <c r="AD84" s="84">
        <v>1</v>
      </c>
      <c r="AE84" s="84">
        <v>0</v>
      </c>
      <c r="AF84" s="84">
        <v>1</v>
      </c>
      <c r="AG84" s="84">
        <v>0</v>
      </c>
      <c r="AH84" s="84">
        <v>0</v>
      </c>
      <c r="AI84" s="84">
        <v>0</v>
      </c>
      <c r="AJ84" s="20">
        <v>1</v>
      </c>
      <c r="AK84" s="71">
        <f t="shared" si="36"/>
        <v>0.5</v>
      </c>
      <c r="AL84" s="17">
        <v>2</v>
      </c>
      <c r="AM84" s="71">
        <f t="shared" si="37"/>
        <v>0.66666666666666663</v>
      </c>
      <c r="AN84" s="17">
        <v>0</v>
      </c>
      <c r="AO84" s="71">
        <f t="shared" si="38"/>
        <v>0</v>
      </c>
      <c r="AP84" s="17">
        <v>0</v>
      </c>
      <c r="AQ84" s="71">
        <f t="shared" si="39"/>
        <v>0</v>
      </c>
      <c r="AR84" s="84">
        <v>1</v>
      </c>
      <c r="AS84" s="17">
        <v>3</v>
      </c>
      <c r="AT84" s="71">
        <f t="shared" si="40"/>
        <v>1</v>
      </c>
      <c r="AU84" s="17">
        <v>3</v>
      </c>
      <c r="AV84" s="71">
        <f t="shared" si="41"/>
        <v>1</v>
      </c>
      <c r="AW84" s="17">
        <v>0</v>
      </c>
      <c r="AX84" s="71">
        <f t="shared" si="42"/>
        <v>0</v>
      </c>
      <c r="AY84" s="17">
        <v>0</v>
      </c>
      <c r="AZ84" s="71">
        <f t="shared" si="43"/>
        <v>0</v>
      </c>
      <c r="BA84" s="93">
        <v>0</v>
      </c>
      <c r="BB84" s="93">
        <v>1</v>
      </c>
      <c r="BC84" s="93">
        <v>0</v>
      </c>
      <c r="BD84" s="93">
        <v>0</v>
      </c>
      <c r="BE84" s="102">
        <f t="shared" si="44"/>
        <v>2.9403797940628915</v>
      </c>
      <c r="BF84" s="81">
        <f t="shared" si="45"/>
        <v>0.34251109008091596</v>
      </c>
      <c r="BG84" s="81" t="str">
        <f t="shared" si="46"/>
        <v>MEDIO</v>
      </c>
      <c r="BK84" s="81" t="str">
        <f t="shared" si="47"/>
        <v>BASSO</v>
      </c>
    </row>
    <row r="85" spans="1:63" x14ac:dyDescent="0.15">
      <c r="A85" s="85">
        <v>5</v>
      </c>
      <c r="B85" s="85">
        <v>1</v>
      </c>
      <c r="C85" s="85">
        <v>1</v>
      </c>
      <c r="D85" s="85">
        <v>2</v>
      </c>
      <c r="E85" s="85">
        <v>1</v>
      </c>
      <c r="F85" s="18">
        <v>1</v>
      </c>
      <c r="G85" s="64">
        <f t="shared" si="24"/>
        <v>0.5</v>
      </c>
      <c r="H85" s="18">
        <v>1</v>
      </c>
      <c r="I85" s="64">
        <f t="shared" si="25"/>
        <v>0.5</v>
      </c>
      <c r="J85" s="18">
        <v>1</v>
      </c>
      <c r="K85" s="64">
        <f t="shared" si="26"/>
        <v>0.5</v>
      </c>
      <c r="L85" s="18">
        <v>2</v>
      </c>
      <c r="M85" s="64">
        <f t="shared" si="27"/>
        <v>0.66666666666666663</v>
      </c>
      <c r="N85" s="18">
        <v>0</v>
      </c>
      <c r="O85" s="64">
        <f t="shared" si="28"/>
        <v>0</v>
      </c>
      <c r="P85" s="18">
        <v>2</v>
      </c>
      <c r="Q85" s="64">
        <f t="shared" si="29"/>
        <v>0.66666666666666663</v>
      </c>
      <c r="R85" s="24">
        <v>2</v>
      </c>
      <c r="S85" s="71">
        <f t="shared" si="30"/>
        <v>0.66666666666666663</v>
      </c>
      <c r="T85" s="18">
        <v>2</v>
      </c>
      <c r="U85" s="64">
        <f t="shared" si="31"/>
        <v>0.66666666666666663</v>
      </c>
      <c r="V85" s="18">
        <v>3</v>
      </c>
      <c r="W85" s="71">
        <f t="shared" si="32"/>
        <v>0.75</v>
      </c>
      <c r="X85" s="18">
        <v>2</v>
      </c>
      <c r="Y85" s="71">
        <f t="shared" si="33"/>
        <v>0.66666666666666663</v>
      </c>
      <c r="Z85" s="18">
        <v>2</v>
      </c>
      <c r="AA85" s="71">
        <f t="shared" si="34"/>
        <v>0.66666666666666663</v>
      </c>
      <c r="AB85" s="18">
        <v>2</v>
      </c>
      <c r="AC85" s="71">
        <f t="shared" si="35"/>
        <v>1</v>
      </c>
      <c r="AD85" s="85">
        <v>1</v>
      </c>
      <c r="AE85" s="85">
        <v>0</v>
      </c>
      <c r="AF85" s="85">
        <v>1</v>
      </c>
      <c r="AG85" s="85">
        <v>0</v>
      </c>
      <c r="AH85" s="85">
        <v>0</v>
      </c>
      <c r="AI85" s="85">
        <v>0</v>
      </c>
      <c r="AJ85" s="19">
        <v>2</v>
      </c>
      <c r="AK85" s="71">
        <f t="shared" si="36"/>
        <v>1</v>
      </c>
      <c r="AL85" s="18">
        <v>1</v>
      </c>
      <c r="AM85" s="71">
        <f t="shared" si="37"/>
        <v>0.33333333333333331</v>
      </c>
      <c r="AN85" s="18">
        <v>1</v>
      </c>
      <c r="AO85" s="71">
        <f t="shared" si="38"/>
        <v>0.33333333333333331</v>
      </c>
      <c r="AP85" s="18">
        <v>2</v>
      </c>
      <c r="AQ85" s="71">
        <f t="shared" si="39"/>
        <v>0.66666666666666663</v>
      </c>
      <c r="AR85" s="85">
        <v>3</v>
      </c>
      <c r="AS85" s="18">
        <v>3</v>
      </c>
      <c r="AT85" s="71">
        <f t="shared" si="40"/>
        <v>1</v>
      </c>
      <c r="AU85" s="18">
        <v>2</v>
      </c>
      <c r="AV85" s="71">
        <f t="shared" si="41"/>
        <v>0.66666666666666663</v>
      </c>
      <c r="AW85" s="18">
        <v>1</v>
      </c>
      <c r="AX85" s="71">
        <f t="shared" si="42"/>
        <v>0.5</v>
      </c>
      <c r="AY85" s="18">
        <v>3</v>
      </c>
      <c r="AZ85" s="71">
        <f t="shared" si="43"/>
        <v>1</v>
      </c>
      <c r="BA85" s="94">
        <v>1</v>
      </c>
      <c r="BB85" s="94">
        <v>1</v>
      </c>
      <c r="BC85" s="94">
        <v>0</v>
      </c>
      <c r="BD85" s="94">
        <v>0</v>
      </c>
      <c r="BE85" s="102">
        <f t="shared" si="44"/>
        <v>1.9596626693841415</v>
      </c>
      <c r="BF85" s="81">
        <f t="shared" si="45"/>
        <v>0.56180610582887758</v>
      </c>
      <c r="BG85" s="81" t="str">
        <f t="shared" si="46"/>
        <v>MEDIO</v>
      </c>
      <c r="BK85" s="81" t="str">
        <f t="shared" si="47"/>
        <v>MEDIO</v>
      </c>
    </row>
    <row r="86" spans="1:63" x14ac:dyDescent="0.15">
      <c r="A86" s="84">
        <v>2</v>
      </c>
      <c r="B86" s="84">
        <v>1</v>
      </c>
      <c r="C86" s="84">
        <v>2</v>
      </c>
      <c r="D86" s="84">
        <v>2</v>
      </c>
      <c r="E86" s="85">
        <v>1</v>
      </c>
      <c r="F86" s="17">
        <v>2</v>
      </c>
      <c r="G86" s="64">
        <f t="shared" si="24"/>
        <v>1</v>
      </c>
      <c r="H86" s="17">
        <v>2</v>
      </c>
      <c r="I86" s="64">
        <f t="shared" si="25"/>
        <v>1</v>
      </c>
      <c r="J86" s="17">
        <v>1</v>
      </c>
      <c r="K86" s="64">
        <f t="shared" si="26"/>
        <v>0.5</v>
      </c>
      <c r="L86" s="17">
        <v>2</v>
      </c>
      <c r="M86" s="64">
        <f t="shared" si="27"/>
        <v>0.66666666666666663</v>
      </c>
      <c r="N86" s="17">
        <v>2</v>
      </c>
      <c r="O86" s="64">
        <f t="shared" si="28"/>
        <v>0.4</v>
      </c>
      <c r="P86" s="17">
        <v>3</v>
      </c>
      <c r="Q86" s="64">
        <f t="shared" si="29"/>
        <v>1</v>
      </c>
      <c r="R86" s="25">
        <v>3</v>
      </c>
      <c r="S86" s="71">
        <f t="shared" si="30"/>
        <v>1</v>
      </c>
      <c r="T86" s="17">
        <v>3</v>
      </c>
      <c r="U86" s="64">
        <f t="shared" si="31"/>
        <v>1</v>
      </c>
      <c r="V86" s="17">
        <v>3</v>
      </c>
      <c r="W86" s="71">
        <f t="shared" si="32"/>
        <v>0.75</v>
      </c>
      <c r="X86" s="17">
        <v>2</v>
      </c>
      <c r="Y86" s="71">
        <f t="shared" si="33"/>
        <v>0.66666666666666663</v>
      </c>
      <c r="Z86" s="17">
        <v>3</v>
      </c>
      <c r="AA86" s="71">
        <f t="shared" si="34"/>
        <v>1</v>
      </c>
      <c r="AB86" s="17">
        <v>2</v>
      </c>
      <c r="AC86" s="71">
        <f t="shared" si="35"/>
        <v>1</v>
      </c>
      <c r="AD86" s="84">
        <v>1</v>
      </c>
      <c r="AE86" s="84">
        <v>0</v>
      </c>
      <c r="AF86" s="84">
        <v>1</v>
      </c>
      <c r="AG86" s="84">
        <v>0</v>
      </c>
      <c r="AH86" s="84">
        <v>0</v>
      </c>
      <c r="AI86" s="84">
        <v>0</v>
      </c>
      <c r="AJ86" s="20">
        <v>1</v>
      </c>
      <c r="AK86" s="71">
        <f t="shared" si="36"/>
        <v>0.5</v>
      </c>
      <c r="AL86" s="17">
        <v>2</v>
      </c>
      <c r="AM86" s="71">
        <f t="shared" si="37"/>
        <v>0.66666666666666663</v>
      </c>
      <c r="AN86" s="17">
        <v>1</v>
      </c>
      <c r="AO86" s="71">
        <f t="shared" si="38"/>
        <v>0.33333333333333331</v>
      </c>
      <c r="AP86" s="17">
        <v>2</v>
      </c>
      <c r="AQ86" s="71">
        <f t="shared" si="39"/>
        <v>0.66666666666666663</v>
      </c>
      <c r="AR86" s="84">
        <v>0</v>
      </c>
      <c r="AS86" s="17">
        <v>3</v>
      </c>
      <c r="AT86" s="71">
        <f t="shared" si="40"/>
        <v>1</v>
      </c>
      <c r="AU86" s="17">
        <v>0</v>
      </c>
      <c r="AV86" s="71">
        <f t="shared" si="41"/>
        <v>0</v>
      </c>
      <c r="AW86" s="17">
        <v>0</v>
      </c>
      <c r="AX86" s="71">
        <f t="shared" si="42"/>
        <v>0</v>
      </c>
      <c r="AY86" s="17">
        <v>3</v>
      </c>
      <c r="AZ86" s="71">
        <f t="shared" si="43"/>
        <v>1</v>
      </c>
      <c r="BA86" s="93">
        <v>1</v>
      </c>
      <c r="BB86" s="93">
        <v>1</v>
      </c>
      <c r="BC86" s="93">
        <v>0</v>
      </c>
      <c r="BD86" s="93">
        <v>0</v>
      </c>
      <c r="BE86" s="102">
        <f t="shared" si="44"/>
        <v>1.9522778718432705</v>
      </c>
      <c r="BF86" s="81">
        <f t="shared" si="45"/>
        <v>0.56345739675902351</v>
      </c>
      <c r="BG86" s="81" t="str">
        <f t="shared" si="46"/>
        <v>MEDIO</v>
      </c>
      <c r="BK86" s="81" t="str">
        <f t="shared" si="47"/>
        <v>MEDIO</v>
      </c>
    </row>
    <row r="87" spans="1:63" x14ac:dyDescent="0.15">
      <c r="A87" s="85">
        <v>3</v>
      </c>
      <c r="B87" s="85">
        <v>2</v>
      </c>
      <c r="C87" s="85">
        <v>3</v>
      </c>
      <c r="D87" s="85">
        <v>3</v>
      </c>
      <c r="E87" s="85">
        <v>1</v>
      </c>
      <c r="F87" s="18">
        <v>2</v>
      </c>
      <c r="G87" s="64">
        <f t="shared" si="24"/>
        <v>1</v>
      </c>
      <c r="H87" s="18">
        <v>2</v>
      </c>
      <c r="I87" s="64">
        <f t="shared" si="25"/>
        <v>1</v>
      </c>
      <c r="J87" s="18">
        <v>2</v>
      </c>
      <c r="K87" s="64">
        <f t="shared" si="26"/>
        <v>1</v>
      </c>
      <c r="L87" s="18">
        <v>3</v>
      </c>
      <c r="M87" s="64">
        <f t="shared" si="27"/>
        <v>1</v>
      </c>
      <c r="N87" s="18">
        <v>0</v>
      </c>
      <c r="O87" s="64">
        <f t="shared" si="28"/>
        <v>0</v>
      </c>
      <c r="P87" s="18">
        <v>2</v>
      </c>
      <c r="Q87" s="64">
        <f t="shared" si="29"/>
        <v>0.66666666666666663</v>
      </c>
      <c r="R87" s="24">
        <v>3</v>
      </c>
      <c r="S87" s="71">
        <f t="shared" si="30"/>
        <v>1</v>
      </c>
      <c r="T87" s="18">
        <v>3</v>
      </c>
      <c r="U87" s="64">
        <f t="shared" si="31"/>
        <v>1</v>
      </c>
      <c r="V87" s="18">
        <v>3</v>
      </c>
      <c r="W87" s="71">
        <f t="shared" si="32"/>
        <v>0.75</v>
      </c>
      <c r="X87" s="18">
        <v>2</v>
      </c>
      <c r="Y87" s="71">
        <f t="shared" si="33"/>
        <v>0.66666666666666663</v>
      </c>
      <c r="Z87" s="18">
        <v>1</v>
      </c>
      <c r="AA87" s="71">
        <f t="shared" si="34"/>
        <v>0.33333333333333331</v>
      </c>
      <c r="AB87" s="18">
        <v>3</v>
      </c>
      <c r="AC87" s="71">
        <f t="shared" si="35"/>
        <v>1.5</v>
      </c>
      <c r="AD87" s="85">
        <v>1</v>
      </c>
      <c r="AE87" s="85">
        <v>0</v>
      </c>
      <c r="AF87" s="85">
        <v>1</v>
      </c>
      <c r="AG87" s="85">
        <v>0</v>
      </c>
      <c r="AH87" s="85">
        <v>0</v>
      </c>
      <c r="AI87" s="85">
        <v>0</v>
      </c>
      <c r="AJ87" s="19">
        <v>2</v>
      </c>
      <c r="AK87" s="71">
        <f t="shared" si="36"/>
        <v>1</v>
      </c>
      <c r="AL87" s="18">
        <v>0</v>
      </c>
      <c r="AM87" s="71">
        <f t="shared" si="37"/>
        <v>0</v>
      </c>
      <c r="AN87" s="18">
        <v>0</v>
      </c>
      <c r="AO87" s="71">
        <f t="shared" si="38"/>
        <v>0</v>
      </c>
      <c r="AP87" s="18">
        <v>3</v>
      </c>
      <c r="AQ87" s="71">
        <f t="shared" si="39"/>
        <v>1</v>
      </c>
      <c r="AR87" s="85">
        <v>0</v>
      </c>
      <c r="AS87" s="18">
        <v>3</v>
      </c>
      <c r="AT87" s="71">
        <f t="shared" si="40"/>
        <v>1</v>
      </c>
      <c r="AU87" s="18">
        <v>1</v>
      </c>
      <c r="AV87" s="71">
        <f t="shared" si="41"/>
        <v>0.33333333333333331</v>
      </c>
      <c r="AW87" s="18">
        <v>0</v>
      </c>
      <c r="AX87" s="71">
        <f t="shared" si="42"/>
        <v>0</v>
      </c>
      <c r="AY87" s="18">
        <v>1</v>
      </c>
      <c r="AZ87" s="71">
        <f t="shared" si="43"/>
        <v>0.33333333333333331</v>
      </c>
      <c r="BA87" s="94">
        <v>0</v>
      </c>
      <c r="BB87" s="94">
        <v>0</v>
      </c>
      <c r="BC87" s="94">
        <v>0</v>
      </c>
      <c r="BD87" s="94">
        <v>1</v>
      </c>
      <c r="BE87" s="102">
        <f t="shared" si="44"/>
        <v>2.4224069756247721</v>
      </c>
      <c r="BF87" s="81">
        <f t="shared" si="45"/>
        <v>0.45833333333338422</v>
      </c>
      <c r="BG87" s="81" t="str">
        <f t="shared" si="46"/>
        <v>MEDIO</v>
      </c>
      <c r="BK87" s="81" t="str">
        <f t="shared" si="47"/>
        <v>MEDIO</v>
      </c>
    </row>
    <row r="88" spans="1:63" x14ac:dyDescent="0.15">
      <c r="A88" s="84">
        <v>3</v>
      </c>
      <c r="B88" s="84">
        <v>1</v>
      </c>
      <c r="C88" s="84">
        <v>3</v>
      </c>
      <c r="D88" s="84">
        <v>2</v>
      </c>
      <c r="E88" s="85">
        <v>1</v>
      </c>
      <c r="F88" s="17">
        <v>1</v>
      </c>
      <c r="G88" s="64">
        <f t="shared" si="24"/>
        <v>0.5</v>
      </c>
      <c r="H88" s="17">
        <v>1</v>
      </c>
      <c r="I88" s="64">
        <f t="shared" si="25"/>
        <v>0.5</v>
      </c>
      <c r="J88" s="17">
        <v>1</v>
      </c>
      <c r="K88" s="64">
        <f t="shared" si="26"/>
        <v>0.5</v>
      </c>
      <c r="L88" s="17">
        <v>1</v>
      </c>
      <c r="M88" s="64">
        <f t="shared" si="27"/>
        <v>0.33333333333333331</v>
      </c>
      <c r="N88" s="17">
        <v>2</v>
      </c>
      <c r="O88" s="64">
        <f t="shared" si="28"/>
        <v>0.4</v>
      </c>
      <c r="P88" s="17">
        <v>3</v>
      </c>
      <c r="Q88" s="64">
        <f t="shared" si="29"/>
        <v>1</v>
      </c>
      <c r="R88" s="25">
        <v>0</v>
      </c>
      <c r="S88" s="71">
        <f t="shared" si="30"/>
        <v>0</v>
      </c>
      <c r="T88" s="17">
        <v>2</v>
      </c>
      <c r="U88" s="64">
        <f t="shared" si="31"/>
        <v>0.66666666666666663</v>
      </c>
      <c r="V88" s="17">
        <v>3</v>
      </c>
      <c r="W88" s="71">
        <f t="shared" si="32"/>
        <v>0.75</v>
      </c>
      <c r="X88" s="17">
        <v>2</v>
      </c>
      <c r="Y88" s="71">
        <f t="shared" si="33"/>
        <v>0.66666666666666663</v>
      </c>
      <c r="Z88" s="17">
        <v>1</v>
      </c>
      <c r="AA88" s="71">
        <f t="shared" si="34"/>
        <v>0.33333333333333331</v>
      </c>
      <c r="AB88" s="17">
        <v>1</v>
      </c>
      <c r="AC88" s="71">
        <f t="shared" si="35"/>
        <v>0.5</v>
      </c>
      <c r="AD88" s="84">
        <v>1</v>
      </c>
      <c r="AE88" s="84">
        <v>0</v>
      </c>
      <c r="AF88" s="84">
        <v>1</v>
      </c>
      <c r="AG88" s="84">
        <v>0</v>
      </c>
      <c r="AH88" s="84">
        <v>0</v>
      </c>
      <c r="AI88" s="84">
        <v>0</v>
      </c>
      <c r="AJ88" s="20">
        <v>1</v>
      </c>
      <c r="AK88" s="71">
        <f t="shared" si="36"/>
        <v>0.5</v>
      </c>
      <c r="AL88" s="17">
        <v>1</v>
      </c>
      <c r="AM88" s="71">
        <f t="shared" si="37"/>
        <v>0.33333333333333331</v>
      </c>
      <c r="AN88" s="17">
        <v>1</v>
      </c>
      <c r="AO88" s="71">
        <f t="shared" si="38"/>
        <v>0.33333333333333331</v>
      </c>
      <c r="AP88" s="17">
        <v>1</v>
      </c>
      <c r="AQ88" s="71">
        <f t="shared" si="39"/>
        <v>0.33333333333333331</v>
      </c>
      <c r="AR88" s="84">
        <v>2</v>
      </c>
      <c r="AS88" s="17">
        <v>1</v>
      </c>
      <c r="AT88" s="71">
        <f t="shared" si="40"/>
        <v>0.33333333333333331</v>
      </c>
      <c r="AU88" s="17">
        <v>3</v>
      </c>
      <c r="AV88" s="71">
        <f t="shared" si="41"/>
        <v>1</v>
      </c>
      <c r="AW88" s="17">
        <v>1</v>
      </c>
      <c r="AX88" s="71">
        <f t="shared" si="42"/>
        <v>0.5</v>
      </c>
      <c r="AY88" s="17">
        <v>1</v>
      </c>
      <c r="AZ88" s="71">
        <f t="shared" si="43"/>
        <v>0.33333333333333331</v>
      </c>
      <c r="BA88" s="93">
        <v>0</v>
      </c>
      <c r="BB88" s="93">
        <v>1</v>
      </c>
      <c r="BC88" s="93">
        <v>1</v>
      </c>
      <c r="BD88" s="93">
        <v>0</v>
      </c>
      <c r="BE88" s="102">
        <f t="shared" si="44"/>
        <v>2.5011663945714075</v>
      </c>
      <c r="BF88" s="81">
        <f t="shared" si="45"/>
        <v>0.44072219187007977</v>
      </c>
      <c r="BG88" s="81" t="str">
        <f t="shared" si="46"/>
        <v>MEDIO</v>
      </c>
      <c r="BK88" s="81" t="str">
        <f t="shared" si="47"/>
        <v>BASSO</v>
      </c>
    </row>
    <row r="89" spans="1:63" x14ac:dyDescent="0.15">
      <c r="A89" s="85">
        <v>2</v>
      </c>
      <c r="B89" s="85">
        <v>1</v>
      </c>
      <c r="C89" s="85">
        <v>3</v>
      </c>
      <c r="D89" s="85">
        <v>1</v>
      </c>
      <c r="E89" s="85">
        <v>1</v>
      </c>
      <c r="F89" s="18">
        <v>1</v>
      </c>
      <c r="G89" s="64">
        <f t="shared" si="24"/>
        <v>0.5</v>
      </c>
      <c r="H89" s="18">
        <v>1</v>
      </c>
      <c r="I89" s="64">
        <f t="shared" si="25"/>
        <v>0.5</v>
      </c>
      <c r="J89" s="18">
        <v>0</v>
      </c>
      <c r="K89" s="64">
        <f t="shared" si="26"/>
        <v>0</v>
      </c>
      <c r="L89" s="18">
        <v>0</v>
      </c>
      <c r="M89" s="64">
        <f t="shared" si="27"/>
        <v>0</v>
      </c>
      <c r="N89" s="18">
        <v>1</v>
      </c>
      <c r="O89" s="64">
        <f t="shared" si="28"/>
        <v>0.2</v>
      </c>
      <c r="P89" s="18">
        <v>0</v>
      </c>
      <c r="Q89" s="64">
        <f t="shared" si="29"/>
        <v>0</v>
      </c>
      <c r="R89" s="24">
        <v>0</v>
      </c>
      <c r="S89" s="71">
        <f t="shared" si="30"/>
        <v>0</v>
      </c>
      <c r="T89" s="18">
        <v>1</v>
      </c>
      <c r="U89" s="64">
        <f t="shared" si="31"/>
        <v>0.33333333333333331</v>
      </c>
      <c r="V89" s="18">
        <v>3</v>
      </c>
      <c r="W89" s="71">
        <f t="shared" si="32"/>
        <v>0.75</v>
      </c>
      <c r="X89" s="18">
        <v>0</v>
      </c>
      <c r="Y89" s="71">
        <f t="shared" si="33"/>
        <v>0</v>
      </c>
      <c r="Z89" s="18">
        <v>1</v>
      </c>
      <c r="AA89" s="71">
        <f t="shared" si="34"/>
        <v>0.33333333333333331</v>
      </c>
      <c r="AB89" s="18">
        <v>1</v>
      </c>
      <c r="AC89" s="71">
        <f t="shared" si="35"/>
        <v>0.5</v>
      </c>
      <c r="AD89" s="85">
        <v>0</v>
      </c>
      <c r="AE89" s="85">
        <v>0</v>
      </c>
      <c r="AF89" s="85">
        <v>1</v>
      </c>
      <c r="AG89" s="85">
        <v>0</v>
      </c>
      <c r="AH89" s="85">
        <v>0</v>
      </c>
      <c r="AI89" s="85">
        <v>0</v>
      </c>
      <c r="AJ89" s="19">
        <v>1</v>
      </c>
      <c r="AK89" s="71">
        <f t="shared" si="36"/>
        <v>0.5</v>
      </c>
      <c r="AL89" s="18">
        <v>0</v>
      </c>
      <c r="AM89" s="71">
        <f t="shared" si="37"/>
        <v>0</v>
      </c>
      <c r="AN89" s="18">
        <v>0</v>
      </c>
      <c r="AO89" s="71">
        <f t="shared" si="38"/>
        <v>0</v>
      </c>
      <c r="AP89" s="18">
        <v>0</v>
      </c>
      <c r="AQ89" s="71">
        <f t="shared" si="39"/>
        <v>0</v>
      </c>
      <c r="AR89" s="85">
        <v>2</v>
      </c>
      <c r="AS89" s="18">
        <v>1</v>
      </c>
      <c r="AT89" s="71">
        <f t="shared" si="40"/>
        <v>0.33333333333333331</v>
      </c>
      <c r="AU89" s="18">
        <v>0</v>
      </c>
      <c r="AV89" s="71">
        <f t="shared" si="41"/>
        <v>0</v>
      </c>
      <c r="AW89" s="18">
        <v>0</v>
      </c>
      <c r="AX89" s="71">
        <f t="shared" si="42"/>
        <v>0</v>
      </c>
      <c r="AY89" s="18">
        <v>3</v>
      </c>
      <c r="AZ89" s="71">
        <f t="shared" si="43"/>
        <v>1</v>
      </c>
      <c r="BA89" s="94">
        <v>0</v>
      </c>
      <c r="BB89" s="94">
        <v>0</v>
      </c>
      <c r="BC89" s="94">
        <v>0</v>
      </c>
      <c r="BD89" s="94">
        <v>1</v>
      </c>
      <c r="BE89" s="102">
        <f t="shared" si="44"/>
        <v>3.6105170451520285</v>
      </c>
      <c r="BF89" s="81">
        <f t="shared" si="45"/>
        <v>0.19266384531191449</v>
      </c>
      <c r="BG89" s="81" t="str">
        <f t="shared" si="46"/>
        <v>BASSO</v>
      </c>
      <c r="BK89" s="81" t="str">
        <f t="shared" si="47"/>
        <v>MOLTO BASSO</v>
      </c>
    </row>
    <row r="90" spans="1:63" x14ac:dyDescent="0.15">
      <c r="A90" s="84">
        <v>4</v>
      </c>
      <c r="B90" s="84">
        <v>1</v>
      </c>
      <c r="C90" s="84">
        <v>1</v>
      </c>
      <c r="D90" s="84">
        <v>2</v>
      </c>
      <c r="E90" s="85">
        <v>1</v>
      </c>
      <c r="F90" s="17">
        <v>2</v>
      </c>
      <c r="G90" s="64">
        <f t="shared" si="24"/>
        <v>1</v>
      </c>
      <c r="H90" s="17">
        <v>0</v>
      </c>
      <c r="I90" s="64">
        <f t="shared" si="25"/>
        <v>0</v>
      </c>
      <c r="J90" s="17">
        <v>2</v>
      </c>
      <c r="K90" s="64">
        <f t="shared" si="26"/>
        <v>1</v>
      </c>
      <c r="L90" s="17">
        <v>2</v>
      </c>
      <c r="M90" s="64">
        <f t="shared" si="27"/>
        <v>0.66666666666666663</v>
      </c>
      <c r="N90" s="17">
        <v>1</v>
      </c>
      <c r="O90" s="64">
        <f t="shared" si="28"/>
        <v>0.2</v>
      </c>
      <c r="P90" s="17">
        <v>3</v>
      </c>
      <c r="Q90" s="64">
        <f t="shared" si="29"/>
        <v>1</v>
      </c>
      <c r="R90" s="25">
        <v>2</v>
      </c>
      <c r="S90" s="71">
        <f t="shared" si="30"/>
        <v>0.66666666666666663</v>
      </c>
      <c r="T90" s="17">
        <v>2</v>
      </c>
      <c r="U90" s="64">
        <f t="shared" si="31"/>
        <v>0.66666666666666663</v>
      </c>
      <c r="V90" s="17">
        <v>3</v>
      </c>
      <c r="W90" s="71">
        <f t="shared" si="32"/>
        <v>0.75</v>
      </c>
      <c r="X90" s="17">
        <v>2</v>
      </c>
      <c r="Y90" s="71">
        <f t="shared" si="33"/>
        <v>0.66666666666666663</v>
      </c>
      <c r="Z90" s="17">
        <v>3</v>
      </c>
      <c r="AA90" s="71">
        <f t="shared" si="34"/>
        <v>1</v>
      </c>
      <c r="AB90" s="17">
        <v>0</v>
      </c>
      <c r="AC90" s="71">
        <f t="shared" si="35"/>
        <v>0</v>
      </c>
      <c r="AD90" s="84">
        <v>0</v>
      </c>
      <c r="AE90" s="84">
        <v>0</v>
      </c>
      <c r="AF90" s="84">
        <v>1</v>
      </c>
      <c r="AG90" s="84">
        <v>1</v>
      </c>
      <c r="AH90" s="84">
        <v>0</v>
      </c>
      <c r="AI90" s="84">
        <v>0</v>
      </c>
      <c r="AJ90" s="20">
        <v>1</v>
      </c>
      <c r="AK90" s="71">
        <f t="shared" si="36"/>
        <v>0.5</v>
      </c>
      <c r="AL90" s="17">
        <v>3</v>
      </c>
      <c r="AM90" s="71">
        <f t="shared" si="37"/>
        <v>1</v>
      </c>
      <c r="AN90" s="17">
        <v>1</v>
      </c>
      <c r="AO90" s="71">
        <f t="shared" si="38"/>
        <v>0.33333333333333331</v>
      </c>
      <c r="AP90" s="17">
        <v>0</v>
      </c>
      <c r="AQ90" s="71">
        <f t="shared" si="39"/>
        <v>0</v>
      </c>
      <c r="AR90" s="84">
        <v>0</v>
      </c>
      <c r="AS90" s="17">
        <v>2</v>
      </c>
      <c r="AT90" s="71">
        <f t="shared" si="40"/>
        <v>0.66666666666666663</v>
      </c>
      <c r="AU90" s="17">
        <v>2</v>
      </c>
      <c r="AV90" s="71">
        <f t="shared" si="41"/>
        <v>0.66666666666666663</v>
      </c>
      <c r="AW90" s="17">
        <v>0</v>
      </c>
      <c r="AX90" s="71">
        <f t="shared" si="42"/>
        <v>0</v>
      </c>
      <c r="AY90" s="17">
        <v>0</v>
      </c>
      <c r="AZ90" s="71">
        <f t="shared" si="43"/>
        <v>0</v>
      </c>
      <c r="BA90" s="93">
        <v>1</v>
      </c>
      <c r="BB90" s="93">
        <v>1</v>
      </c>
      <c r="BC90" s="93">
        <v>0</v>
      </c>
      <c r="BD90" s="93">
        <v>0</v>
      </c>
      <c r="BE90" s="102">
        <f t="shared" si="44"/>
        <v>2.657745494043986</v>
      </c>
      <c r="BF90" s="81">
        <f t="shared" si="45"/>
        <v>0.40571004084244433</v>
      </c>
      <c r="BG90" s="81" t="str">
        <f t="shared" si="46"/>
        <v>MEDIO</v>
      </c>
      <c r="BK90" s="81" t="str">
        <f t="shared" si="47"/>
        <v>BASSO</v>
      </c>
    </row>
    <row r="91" spans="1:63" x14ac:dyDescent="0.15">
      <c r="A91" s="85">
        <v>3</v>
      </c>
      <c r="B91" s="85">
        <v>1</v>
      </c>
      <c r="C91" s="85">
        <v>1</v>
      </c>
      <c r="D91" s="85">
        <v>2</v>
      </c>
      <c r="E91" s="85">
        <v>1</v>
      </c>
      <c r="F91" s="18">
        <v>1</v>
      </c>
      <c r="G91" s="64">
        <f t="shared" si="24"/>
        <v>0.5</v>
      </c>
      <c r="H91" s="18">
        <v>1</v>
      </c>
      <c r="I91" s="64">
        <f t="shared" si="25"/>
        <v>0.5</v>
      </c>
      <c r="J91" s="18">
        <v>1</v>
      </c>
      <c r="K91" s="64">
        <f t="shared" si="26"/>
        <v>0.5</v>
      </c>
      <c r="L91" s="18">
        <v>0</v>
      </c>
      <c r="M91" s="64">
        <f t="shared" si="27"/>
        <v>0</v>
      </c>
      <c r="N91" s="18">
        <v>2</v>
      </c>
      <c r="O91" s="64">
        <f t="shared" si="28"/>
        <v>0.4</v>
      </c>
      <c r="P91" s="18">
        <v>0</v>
      </c>
      <c r="Q91" s="64">
        <f t="shared" si="29"/>
        <v>0</v>
      </c>
      <c r="R91" s="24">
        <v>3</v>
      </c>
      <c r="S91" s="71">
        <f t="shared" si="30"/>
        <v>1</v>
      </c>
      <c r="T91" s="18">
        <v>2</v>
      </c>
      <c r="U91" s="64">
        <f t="shared" si="31"/>
        <v>0.66666666666666663</v>
      </c>
      <c r="V91" s="18">
        <v>3</v>
      </c>
      <c r="W91" s="71">
        <f t="shared" si="32"/>
        <v>0.75</v>
      </c>
      <c r="X91" s="18">
        <v>2</v>
      </c>
      <c r="Y91" s="71">
        <f t="shared" si="33"/>
        <v>0.66666666666666663</v>
      </c>
      <c r="Z91" s="18">
        <v>0</v>
      </c>
      <c r="AA91" s="71">
        <f t="shared" si="34"/>
        <v>0</v>
      </c>
      <c r="AB91" s="18">
        <v>2</v>
      </c>
      <c r="AC91" s="71">
        <f t="shared" si="35"/>
        <v>1</v>
      </c>
      <c r="AD91" s="85">
        <v>1</v>
      </c>
      <c r="AE91" s="85">
        <v>0</v>
      </c>
      <c r="AF91" s="85">
        <v>0</v>
      </c>
      <c r="AG91" s="85">
        <v>1</v>
      </c>
      <c r="AH91" s="85">
        <v>0</v>
      </c>
      <c r="AI91" s="85">
        <v>0</v>
      </c>
      <c r="AJ91" s="19">
        <v>1</v>
      </c>
      <c r="AK91" s="71">
        <f t="shared" si="36"/>
        <v>0.5</v>
      </c>
      <c r="AL91" s="18">
        <v>3</v>
      </c>
      <c r="AM91" s="71">
        <f t="shared" si="37"/>
        <v>1</v>
      </c>
      <c r="AN91" s="18">
        <v>1</v>
      </c>
      <c r="AO91" s="71">
        <f t="shared" si="38"/>
        <v>0.33333333333333331</v>
      </c>
      <c r="AP91" s="18">
        <v>0</v>
      </c>
      <c r="AQ91" s="71">
        <f t="shared" si="39"/>
        <v>0</v>
      </c>
      <c r="AR91" s="85">
        <v>2</v>
      </c>
      <c r="AS91" s="18">
        <v>0</v>
      </c>
      <c r="AT91" s="71">
        <f t="shared" si="40"/>
        <v>0</v>
      </c>
      <c r="AU91" s="18">
        <v>0</v>
      </c>
      <c r="AV91" s="71">
        <f t="shared" si="41"/>
        <v>0</v>
      </c>
      <c r="AW91" s="18">
        <v>0</v>
      </c>
      <c r="AX91" s="71">
        <f t="shared" si="42"/>
        <v>0</v>
      </c>
      <c r="AY91" s="18">
        <v>2</v>
      </c>
      <c r="AZ91" s="71">
        <f t="shared" si="43"/>
        <v>0.66666666666666663</v>
      </c>
      <c r="BA91" s="94">
        <v>0</v>
      </c>
      <c r="BB91" s="94">
        <v>0</v>
      </c>
      <c r="BC91" s="94">
        <v>0</v>
      </c>
      <c r="BD91" s="94">
        <v>1</v>
      </c>
      <c r="BE91" s="102">
        <f t="shared" si="44"/>
        <v>3.0331959675856384</v>
      </c>
      <c r="BF91" s="81">
        <f t="shared" si="45"/>
        <v>0.32175676274009013</v>
      </c>
      <c r="BG91" s="81" t="str">
        <f t="shared" si="46"/>
        <v>BASSO</v>
      </c>
      <c r="BK91" s="81" t="str">
        <f t="shared" si="47"/>
        <v>BASSO</v>
      </c>
    </row>
    <row r="92" spans="1:63" x14ac:dyDescent="0.15">
      <c r="A92" s="84">
        <v>4</v>
      </c>
      <c r="B92" s="84">
        <v>1</v>
      </c>
      <c r="C92" s="84">
        <v>3</v>
      </c>
      <c r="D92" s="84">
        <v>2</v>
      </c>
      <c r="E92" s="85">
        <v>1</v>
      </c>
      <c r="F92" s="17">
        <v>1</v>
      </c>
      <c r="G92" s="64">
        <f t="shared" si="24"/>
        <v>0.5</v>
      </c>
      <c r="H92" s="17">
        <v>2</v>
      </c>
      <c r="I92" s="64">
        <f t="shared" si="25"/>
        <v>1</v>
      </c>
      <c r="J92" s="17">
        <v>1</v>
      </c>
      <c r="K92" s="64">
        <f t="shared" si="26"/>
        <v>0.5</v>
      </c>
      <c r="L92" s="17">
        <v>2</v>
      </c>
      <c r="M92" s="64">
        <f t="shared" si="27"/>
        <v>0.66666666666666663</v>
      </c>
      <c r="N92" s="17">
        <v>0</v>
      </c>
      <c r="O92" s="64">
        <f t="shared" si="28"/>
        <v>0</v>
      </c>
      <c r="P92" s="17">
        <v>3</v>
      </c>
      <c r="Q92" s="64">
        <f t="shared" si="29"/>
        <v>1</v>
      </c>
      <c r="R92" s="25">
        <v>2</v>
      </c>
      <c r="S92" s="71">
        <f t="shared" si="30"/>
        <v>0.66666666666666663</v>
      </c>
      <c r="T92" s="17">
        <v>2</v>
      </c>
      <c r="U92" s="64">
        <f t="shared" si="31"/>
        <v>0.66666666666666663</v>
      </c>
      <c r="V92" s="17">
        <v>3</v>
      </c>
      <c r="W92" s="71">
        <f t="shared" si="32"/>
        <v>0.75</v>
      </c>
      <c r="X92" s="17">
        <v>2</v>
      </c>
      <c r="Y92" s="71">
        <f t="shared" si="33"/>
        <v>0.66666666666666663</v>
      </c>
      <c r="Z92" s="17">
        <v>0</v>
      </c>
      <c r="AA92" s="71">
        <f t="shared" si="34"/>
        <v>0</v>
      </c>
      <c r="AB92" s="17">
        <v>1</v>
      </c>
      <c r="AC92" s="71">
        <f t="shared" si="35"/>
        <v>0.5</v>
      </c>
      <c r="AD92" s="84">
        <v>1</v>
      </c>
      <c r="AE92" s="84">
        <v>0</v>
      </c>
      <c r="AF92" s="84">
        <v>1</v>
      </c>
      <c r="AG92" s="84">
        <v>0</v>
      </c>
      <c r="AH92" s="84">
        <v>0</v>
      </c>
      <c r="AI92" s="84">
        <v>0</v>
      </c>
      <c r="AJ92" s="20">
        <v>1</v>
      </c>
      <c r="AK92" s="71">
        <f t="shared" si="36"/>
        <v>0.5</v>
      </c>
      <c r="AL92" s="17">
        <v>3</v>
      </c>
      <c r="AM92" s="71">
        <f t="shared" si="37"/>
        <v>1</v>
      </c>
      <c r="AN92" s="17">
        <v>1</v>
      </c>
      <c r="AO92" s="71">
        <f t="shared" si="38"/>
        <v>0.33333333333333331</v>
      </c>
      <c r="AP92" s="17">
        <v>2</v>
      </c>
      <c r="AQ92" s="71">
        <f t="shared" si="39"/>
        <v>0.66666666666666663</v>
      </c>
      <c r="AR92" s="84">
        <v>0</v>
      </c>
      <c r="AS92" s="17">
        <v>2</v>
      </c>
      <c r="AT92" s="71">
        <f t="shared" si="40"/>
        <v>0.66666666666666663</v>
      </c>
      <c r="AU92" s="17">
        <v>2</v>
      </c>
      <c r="AV92" s="71">
        <f t="shared" si="41"/>
        <v>0.66666666666666663</v>
      </c>
      <c r="AW92" s="17">
        <v>1</v>
      </c>
      <c r="AX92" s="71">
        <f t="shared" si="42"/>
        <v>0.5</v>
      </c>
      <c r="AY92" s="17">
        <v>3</v>
      </c>
      <c r="AZ92" s="71">
        <f t="shared" si="43"/>
        <v>1</v>
      </c>
      <c r="BA92" s="93">
        <v>1</v>
      </c>
      <c r="BB92" s="93">
        <v>1</v>
      </c>
      <c r="BC92" s="93">
        <v>0</v>
      </c>
      <c r="BD92" s="93"/>
      <c r="BE92" s="102">
        <f t="shared" si="44"/>
        <v>2.129488723196773</v>
      </c>
      <c r="BF92" s="81">
        <f t="shared" si="45"/>
        <v>0.52383184576132291</v>
      </c>
      <c r="BG92" s="81" t="str">
        <f t="shared" si="46"/>
        <v>MEDIO</v>
      </c>
      <c r="BK92" s="81" t="str">
        <f t="shared" si="47"/>
        <v>MEDIO</v>
      </c>
    </row>
    <row r="93" spans="1:63" x14ac:dyDescent="0.15">
      <c r="A93" s="85">
        <v>2</v>
      </c>
      <c r="B93" s="85">
        <v>2</v>
      </c>
      <c r="C93" s="85">
        <v>1</v>
      </c>
      <c r="D93" s="85">
        <v>1</v>
      </c>
      <c r="E93" s="85">
        <v>1</v>
      </c>
      <c r="F93" s="18">
        <v>2</v>
      </c>
      <c r="G93" s="64">
        <f t="shared" si="24"/>
        <v>1</v>
      </c>
      <c r="H93" s="18">
        <v>0</v>
      </c>
      <c r="I93" s="64">
        <f t="shared" si="25"/>
        <v>0</v>
      </c>
      <c r="J93" s="18">
        <v>0</v>
      </c>
      <c r="K93" s="64">
        <f t="shared" si="26"/>
        <v>0</v>
      </c>
      <c r="L93" s="18">
        <v>0</v>
      </c>
      <c r="M93" s="64">
        <f t="shared" si="27"/>
        <v>0</v>
      </c>
      <c r="N93" s="18">
        <v>2</v>
      </c>
      <c r="O93" s="64">
        <f t="shared" si="28"/>
        <v>0.4</v>
      </c>
      <c r="P93" s="18">
        <v>0</v>
      </c>
      <c r="Q93" s="64">
        <f t="shared" si="29"/>
        <v>0</v>
      </c>
      <c r="R93" s="24">
        <v>0</v>
      </c>
      <c r="S93" s="71">
        <f t="shared" si="30"/>
        <v>0</v>
      </c>
      <c r="T93" s="18">
        <v>0</v>
      </c>
      <c r="U93" s="64">
        <f t="shared" si="31"/>
        <v>0</v>
      </c>
      <c r="V93" s="18">
        <v>1</v>
      </c>
      <c r="W93" s="71">
        <f t="shared" si="32"/>
        <v>0.25</v>
      </c>
      <c r="X93" s="18">
        <v>0</v>
      </c>
      <c r="Y93" s="71">
        <f t="shared" si="33"/>
        <v>0</v>
      </c>
      <c r="Z93" s="18">
        <v>1</v>
      </c>
      <c r="AA93" s="71">
        <f t="shared" si="34"/>
        <v>0.33333333333333331</v>
      </c>
      <c r="AB93" s="18">
        <v>3</v>
      </c>
      <c r="AC93" s="71">
        <f t="shared" si="35"/>
        <v>1.5</v>
      </c>
      <c r="AD93" s="85">
        <v>0</v>
      </c>
      <c r="AE93" s="85">
        <v>0</v>
      </c>
      <c r="AF93" s="85">
        <v>1</v>
      </c>
      <c r="AG93" s="85">
        <v>1</v>
      </c>
      <c r="AH93" s="85">
        <v>0</v>
      </c>
      <c r="AI93" s="85">
        <v>0</v>
      </c>
      <c r="AJ93" s="19">
        <v>0</v>
      </c>
      <c r="AK93" s="71">
        <f t="shared" si="36"/>
        <v>0</v>
      </c>
      <c r="AL93" s="18">
        <v>0</v>
      </c>
      <c r="AM93" s="71">
        <f t="shared" si="37"/>
        <v>0</v>
      </c>
      <c r="AN93" s="18">
        <v>0</v>
      </c>
      <c r="AO93" s="71">
        <f t="shared" si="38"/>
        <v>0</v>
      </c>
      <c r="AP93" s="18">
        <v>0</v>
      </c>
      <c r="AQ93" s="71">
        <f t="shared" si="39"/>
        <v>0</v>
      </c>
      <c r="AR93" s="85">
        <v>2</v>
      </c>
      <c r="AS93" s="18">
        <v>1</v>
      </c>
      <c r="AT93" s="71">
        <f t="shared" si="40"/>
        <v>0.33333333333333331</v>
      </c>
      <c r="AU93" s="18">
        <v>0</v>
      </c>
      <c r="AV93" s="71">
        <f t="shared" si="41"/>
        <v>0</v>
      </c>
      <c r="AW93" s="18">
        <v>0</v>
      </c>
      <c r="AX93" s="71">
        <f t="shared" si="42"/>
        <v>0</v>
      </c>
      <c r="AY93" s="18">
        <v>2</v>
      </c>
      <c r="AZ93" s="71">
        <f t="shared" si="43"/>
        <v>0.66666666666666663</v>
      </c>
      <c r="BA93" s="94">
        <v>0</v>
      </c>
      <c r="BB93" s="94">
        <v>0</v>
      </c>
      <c r="BC93" s="94">
        <v>0</v>
      </c>
      <c r="BD93" s="94">
        <v>1</v>
      </c>
      <c r="BE93" s="102">
        <f t="shared" si="44"/>
        <v>3.8951893407124638</v>
      </c>
      <c r="BF93" s="81">
        <f t="shared" si="45"/>
        <v>0.12900918489351609</v>
      </c>
      <c r="BG93" s="81" t="str">
        <f t="shared" si="46"/>
        <v>BASSO</v>
      </c>
      <c r="BK93" s="81" t="str">
        <f t="shared" si="47"/>
        <v>MOLTO BASSO</v>
      </c>
    </row>
    <row r="94" spans="1:63" x14ac:dyDescent="0.15">
      <c r="A94" s="84">
        <v>3</v>
      </c>
      <c r="B94" s="84">
        <v>1</v>
      </c>
      <c r="C94" s="84">
        <v>1</v>
      </c>
      <c r="D94" s="84">
        <v>0</v>
      </c>
      <c r="E94" s="85">
        <v>1</v>
      </c>
      <c r="F94" s="17">
        <v>1</v>
      </c>
      <c r="G94" s="64">
        <f t="shared" si="24"/>
        <v>0.5</v>
      </c>
      <c r="H94" s="17">
        <v>2</v>
      </c>
      <c r="I94" s="64">
        <f t="shared" si="25"/>
        <v>1</v>
      </c>
      <c r="J94" s="17">
        <v>2</v>
      </c>
      <c r="K94" s="64">
        <f t="shared" si="26"/>
        <v>1</v>
      </c>
      <c r="L94" s="17">
        <v>3</v>
      </c>
      <c r="M94" s="64">
        <f t="shared" si="27"/>
        <v>1</v>
      </c>
      <c r="N94" s="17">
        <v>1</v>
      </c>
      <c r="O94" s="64">
        <f t="shared" si="28"/>
        <v>0.2</v>
      </c>
      <c r="P94" s="17">
        <v>2</v>
      </c>
      <c r="Q94" s="64">
        <f t="shared" si="29"/>
        <v>0.66666666666666663</v>
      </c>
      <c r="R94" s="25">
        <v>1</v>
      </c>
      <c r="S94" s="71">
        <f t="shared" si="30"/>
        <v>0.33333333333333331</v>
      </c>
      <c r="T94" s="17">
        <v>2</v>
      </c>
      <c r="U94" s="64">
        <f t="shared" si="31"/>
        <v>0.66666666666666663</v>
      </c>
      <c r="V94" s="17">
        <v>3</v>
      </c>
      <c r="W94" s="71">
        <f t="shared" si="32"/>
        <v>0.75</v>
      </c>
      <c r="X94" s="17">
        <v>2</v>
      </c>
      <c r="Y94" s="71">
        <f t="shared" si="33"/>
        <v>0.66666666666666663</v>
      </c>
      <c r="Z94" s="17">
        <v>2</v>
      </c>
      <c r="AA94" s="71">
        <f t="shared" si="34"/>
        <v>0.66666666666666663</v>
      </c>
      <c r="AB94" s="17">
        <v>0</v>
      </c>
      <c r="AC94" s="71">
        <f t="shared" si="35"/>
        <v>0</v>
      </c>
      <c r="AD94" s="84">
        <v>1</v>
      </c>
      <c r="AE94" s="84">
        <v>1</v>
      </c>
      <c r="AF94" s="84">
        <v>0</v>
      </c>
      <c r="AG94" s="84">
        <v>0</v>
      </c>
      <c r="AH94" s="84">
        <v>0</v>
      </c>
      <c r="AI94" s="84">
        <v>0</v>
      </c>
      <c r="AJ94" s="20">
        <v>1</v>
      </c>
      <c r="AK94" s="71">
        <f t="shared" si="36"/>
        <v>0.5</v>
      </c>
      <c r="AL94" s="17">
        <v>2</v>
      </c>
      <c r="AM94" s="71">
        <f t="shared" si="37"/>
        <v>0.66666666666666663</v>
      </c>
      <c r="AN94" s="17">
        <v>1</v>
      </c>
      <c r="AO94" s="71">
        <f t="shared" si="38"/>
        <v>0.33333333333333331</v>
      </c>
      <c r="AP94" s="17">
        <v>2</v>
      </c>
      <c r="AQ94" s="71">
        <f t="shared" si="39"/>
        <v>0.66666666666666663</v>
      </c>
      <c r="AR94" s="84">
        <v>0</v>
      </c>
      <c r="AS94" s="17">
        <v>3</v>
      </c>
      <c r="AT94" s="71">
        <f t="shared" si="40"/>
        <v>1</v>
      </c>
      <c r="AU94" s="17">
        <v>3</v>
      </c>
      <c r="AV94" s="71">
        <f t="shared" si="41"/>
        <v>1</v>
      </c>
      <c r="AW94" s="17">
        <v>1</v>
      </c>
      <c r="AX94" s="71">
        <f t="shared" si="42"/>
        <v>0.5</v>
      </c>
      <c r="AY94" s="17">
        <v>1</v>
      </c>
      <c r="AZ94" s="71">
        <f t="shared" si="43"/>
        <v>0.33333333333333331</v>
      </c>
      <c r="BA94" s="93">
        <v>0</v>
      </c>
      <c r="BB94" s="93">
        <v>1</v>
      </c>
      <c r="BC94" s="93">
        <v>1</v>
      </c>
      <c r="BD94" s="93">
        <v>0</v>
      </c>
      <c r="BE94" s="102">
        <f t="shared" si="44"/>
        <v>2.1100947846009195</v>
      </c>
      <c r="BF94" s="81">
        <f t="shared" si="45"/>
        <v>0.52816846226650105</v>
      </c>
      <c r="BG94" s="81" t="str">
        <f t="shared" si="46"/>
        <v>MEDIO</v>
      </c>
      <c r="BK94" s="81" t="str">
        <f t="shared" si="47"/>
        <v>MEDIO</v>
      </c>
    </row>
    <row r="95" spans="1:63" x14ac:dyDescent="0.15">
      <c r="A95" s="85">
        <v>2</v>
      </c>
      <c r="B95" s="85">
        <v>1</v>
      </c>
      <c r="C95" s="85">
        <v>2</v>
      </c>
      <c r="D95" s="85">
        <v>0</v>
      </c>
      <c r="E95" s="85">
        <v>1</v>
      </c>
      <c r="F95" s="18">
        <v>1</v>
      </c>
      <c r="G95" s="64">
        <f t="shared" si="24"/>
        <v>0.5</v>
      </c>
      <c r="H95" s="18">
        <v>1</v>
      </c>
      <c r="I95" s="64">
        <f t="shared" si="25"/>
        <v>0.5</v>
      </c>
      <c r="J95" s="18">
        <v>1</v>
      </c>
      <c r="K95" s="64">
        <f t="shared" si="26"/>
        <v>0.5</v>
      </c>
      <c r="L95" s="18">
        <v>2</v>
      </c>
      <c r="M95" s="64">
        <f t="shared" si="27"/>
        <v>0.66666666666666663</v>
      </c>
      <c r="N95" s="18">
        <v>2</v>
      </c>
      <c r="O95" s="64">
        <f t="shared" si="28"/>
        <v>0.4</v>
      </c>
      <c r="P95" s="18">
        <v>3</v>
      </c>
      <c r="Q95" s="64">
        <f t="shared" si="29"/>
        <v>1</v>
      </c>
      <c r="R95" s="24">
        <v>2</v>
      </c>
      <c r="S95" s="71">
        <f t="shared" si="30"/>
        <v>0.66666666666666663</v>
      </c>
      <c r="T95" s="18">
        <v>3</v>
      </c>
      <c r="U95" s="64">
        <f t="shared" si="31"/>
        <v>1</v>
      </c>
      <c r="V95" s="18">
        <v>4</v>
      </c>
      <c r="W95" s="71">
        <f t="shared" si="32"/>
        <v>1</v>
      </c>
      <c r="X95" s="18">
        <v>2</v>
      </c>
      <c r="Y95" s="71">
        <f t="shared" si="33"/>
        <v>0.66666666666666663</v>
      </c>
      <c r="Z95" s="18">
        <v>2</v>
      </c>
      <c r="AA95" s="71">
        <f t="shared" si="34"/>
        <v>0.66666666666666663</v>
      </c>
      <c r="AB95" s="18">
        <v>0</v>
      </c>
      <c r="AC95" s="71">
        <f t="shared" si="35"/>
        <v>0</v>
      </c>
      <c r="AD95" s="85">
        <v>1</v>
      </c>
      <c r="AE95" s="85">
        <v>0</v>
      </c>
      <c r="AF95" s="85">
        <v>1</v>
      </c>
      <c r="AG95" s="85">
        <v>0</v>
      </c>
      <c r="AH95" s="85">
        <v>0</v>
      </c>
      <c r="AI95" s="85">
        <v>0</v>
      </c>
      <c r="AJ95" s="19">
        <v>1</v>
      </c>
      <c r="AK95" s="71">
        <f t="shared" si="36"/>
        <v>0.5</v>
      </c>
      <c r="AL95" s="18">
        <v>1</v>
      </c>
      <c r="AM95" s="71">
        <f t="shared" si="37"/>
        <v>0.33333333333333331</v>
      </c>
      <c r="AN95" s="18">
        <v>1</v>
      </c>
      <c r="AO95" s="71">
        <f t="shared" si="38"/>
        <v>0.33333333333333331</v>
      </c>
      <c r="AP95" s="18">
        <v>1</v>
      </c>
      <c r="AQ95" s="71">
        <f t="shared" si="39"/>
        <v>0.33333333333333331</v>
      </c>
      <c r="AR95" s="85">
        <v>0</v>
      </c>
      <c r="AS95" s="18">
        <v>2</v>
      </c>
      <c r="AT95" s="71">
        <f t="shared" si="40"/>
        <v>0.66666666666666663</v>
      </c>
      <c r="AU95" s="18">
        <v>2</v>
      </c>
      <c r="AV95" s="71">
        <f t="shared" si="41"/>
        <v>0.66666666666666663</v>
      </c>
      <c r="AW95" s="18">
        <v>1</v>
      </c>
      <c r="AX95" s="71">
        <f t="shared" si="42"/>
        <v>0.5</v>
      </c>
      <c r="AY95" s="18">
        <v>1</v>
      </c>
      <c r="AZ95" s="71">
        <f t="shared" si="43"/>
        <v>0.33333333333333331</v>
      </c>
      <c r="BA95" s="94">
        <v>1</v>
      </c>
      <c r="BB95" s="94">
        <v>0</v>
      </c>
      <c r="BC95" s="94">
        <v>1</v>
      </c>
      <c r="BD95" s="94">
        <v>0</v>
      </c>
      <c r="BE95" s="102">
        <f t="shared" si="44"/>
        <v>2.2482091638556327</v>
      </c>
      <c r="BF95" s="81">
        <f t="shared" si="45"/>
        <v>0.49728514819813141</v>
      </c>
      <c r="BG95" s="81" t="str">
        <f t="shared" si="46"/>
        <v>MEDIO</v>
      </c>
      <c r="BK95" s="81" t="str">
        <f t="shared" si="47"/>
        <v>MEDIO</v>
      </c>
    </row>
    <row r="96" spans="1:63" x14ac:dyDescent="0.15">
      <c r="A96" s="84">
        <v>3</v>
      </c>
      <c r="B96" s="84">
        <v>1</v>
      </c>
      <c r="C96" s="84">
        <v>3</v>
      </c>
      <c r="D96" s="84">
        <v>0</v>
      </c>
      <c r="E96" s="85">
        <v>1</v>
      </c>
      <c r="F96" s="17">
        <v>1</v>
      </c>
      <c r="G96" s="64">
        <f t="shared" si="24"/>
        <v>0.5</v>
      </c>
      <c r="H96" s="17">
        <v>1</v>
      </c>
      <c r="I96" s="64">
        <f t="shared" si="25"/>
        <v>0.5</v>
      </c>
      <c r="J96" s="17">
        <v>1</v>
      </c>
      <c r="K96" s="64">
        <f t="shared" si="26"/>
        <v>0.5</v>
      </c>
      <c r="L96" s="17">
        <v>2</v>
      </c>
      <c r="M96" s="64">
        <f t="shared" si="27"/>
        <v>0.66666666666666663</v>
      </c>
      <c r="N96" s="17">
        <v>0</v>
      </c>
      <c r="O96" s="64">
        <f t="shared" si="28"/>
        <v>0</v>
      </c>
      <c r="P96" s="17">
        <v>2</v>
      </c>
      <c r="Q96" s="64">
        <f t="shared" si="29"/>
        <v>0.66666666666666663</v>
      </c>
      <c r="R96" s="25">
        <v>3</v>
      </c>
      <c r="S96" s="71">
        <f t="shared" si="30"/>
        <v>1</v>
      </c>
      <c r="T96" s="17">
        <v>2</v>
      </c>
      <c r="U96" s="64">
        <f t="shared" si="31"/>
        <v>0.66666666666666663</v>
      </c>
      <c r="V96" s="17">
        <v>3</v>
      </c>
      <c r="W96" s="71">
        <f t="shared" si="32"/>
        <v>0.75</v>
      </c>
      <c r="X96" s="17">
        <v>3</v>
      </c>
      <c r="Y96" s="71">
        <f t="shared" si="33"/>
        <v>1</v>
      </c>
      <c r="Z96" s="17">
        <v>1</v>
      </c>
      <c r="AA96" s="71">
        <f t="shared" si="34"/>
        <v>0.33333333333333331</v>
      </c>
      <c r="AB96" s="17">
        <v>2</v>
      </c>
      <c r="AC96" s="71">
        <f t="shared" si="35"/>
        <v>1</v>
      </c>
      <c r="AD96" s="84">
        <v>1</v>
      </c>
      <c r="AE96" s="84">
        <v>0</v>
      </c>
      <c r="AF96" s="84">
        <v>1</v>
      </c>
      <c r="AG96" s="84">
        <v>0</v>
      </c>
      <c r="AH96" s="84">
        <v>0</v>
      </c>
      <c r="AI96" s="84">
        <v>0</v>
      </c>
      <c r="AJ96" s="20">
        <v>1</v>
      </c>
      <c r="AK96" s="71">
        <f t="shared" si="36"/>
        <v>0.5</v>
      </c>
      <c r="AL96" s="17">
        <v>1</v>
      </c>
      <c r="AM96" s="71">
        <f t="shared" si="37"/>
        <v>0.33333333333333331</v>
      </c>
      <c r="AN96" s="17">
        <v>3</v>
      </c>
      <c r="AO96" s="71">
        <f t="shared" si="38"/>
        <v>1</v>
      </c>
      <c r="AP96" s="20">
        <v>1</v>
      </c>
      <c r="AQ96" s="71">
        <f t="shared" si="39"/>
        <v>0.33333333333333331</v>
      </c>
      <c r="AR96" s="84">
        <v>2</v>
      </c>
      <c r="AS96" s="17">
        <v>1</v>
      </c>
      <c r="AT96" s="71">
        <f t="shared" si="40"/>
        <v>0.33333333333333331</v>
      </c>
      <c r="AU96" s="17">
        <v>2</v>
      </c>
      <c r="AV96" s="71">
        <f t="shared" si="41"/>
        <v>0.66666666666666663</v>
      </c>
      <c r="AW96" s="17">
        <v>0</v>
      </c>
      <c r="AX96" s="71">
        <f t="shared" si="42"/>
        <v>0</v>
      </c>
      <c r="AY96" s="17">
        <v>2</v>
      </c>
      <c r="AZ96" s="71">
        <f t="shared" si="43"/>
        <v>0.66666666666666663</v>
      </c>
      <c r="BA96" s="93">
        <v>0</v>
      </c>
      <c r="BB96" s="93">
        <v>0</v>
      </c>
      <c r="BC96" s="93">
        <v>1</v>
      </c>
      <c r="BD96" s="93">
        <v>0</v>
      </c>
      <c r="BE96" s="102">
        <f t="shared" si="44"/>
        <v>2.3228933107943921</v>
      </c>
      <c r="BF96" s="81">
        <f t="shared" si="45"/>
        <v>0.48058526525846812</v>
      </c>
      <c r="BG96" s="81" t="str">
        <f t="shared" si="46"/>
        <v>MEDIO</v>
      </c>
      <c r="BK96" s="81" t="str">
        <f t="shared" si="47"/>
        <v>MEDIO</v>
      </c>
    </row>
    <row r="97" spans="1:63" x14ac:dyDescent="0.15">
      <c r="A97" s="85">
        <v>3</v>
      </c>
      <c r="B97" s="85">
        <v>1</v>
      </c>
      <c r="C97" s="85">
        <v>4</v>
      </c>
      <c r="D97" s="85">
        <v>1</v>
      </c>
      <c r="E97" s="85">
        <v>1</v>
      </c>
      <c r="F97" s="18">
        <v>2</v>
      </c>
      <c r="G97" s="64">
        <f t="shared" si="24"/>
        <v>1</v>
      </c>
      <c r="H97" s="18">
        <v>2</v>
      </c>
      <c r="I97" s="64">
        <f t="shared" si="25"/>
        <v>1</v>
      </c>
      <c r="J97" s="18">
        <v>1</v>
      </c>
      <c r="K97" s="64">
        <f t="shared" si="26"/>
        <v>0.5</v>
      </c>
      <c r="L97" s="18">
        <v>3</v>
      </c>
      <c r="M97" s="64">
        <f t="shared" si="27"/>
        <v>1</v>
      </c>
      <c r="N97" s="18">
        <v>0</v>
      </c>
      <c r="O97" s="64">
        <f t="shared" si="28"/>
        <v>0</v>
      </c>
      <c r="P97" s="18">
        <v>2</v>
      </c>
      <c r="Q97" s="64">
        <f t="shared" si="29"/>
        <v>0.66666666666666663</v>
      </c>
      <c r="R97" s="24">
        <v>3</v>
      </c>
      <c r="S97" s="71">
        <f t="shared" si="30"/>
        <v>1</v>
      </c>
      <c r="T97" s="18">
        <v>3</v>
      </c>
      <c r="U97" s="64">
        <f t="shared" si="31"/>
        <v>1</v>
      </c>
      <c r="V97" s="18">
        <v>3</v>
      </c>
      <c r="W97" s="71">
        <f t="shared" si="32"/>
        <v>0.75</v>
      </c>
      <c r="X97" s="18">
        <v>3</v>
      </c>
      <c r="Y97" s="71">
        <f t="shared" si="33"/>
        <v>1</v>
      </c>
      <c r="Z97" s="18">
        <v>3</v>
      </c>
      <c r="AA97" s="71">
        <f t="shared" si="34"/>
        <v>1</v>
      </c>
      <c r="AB97" s="18">
        <v>1</v>
      </c>
      <c r="AC97" s="71">
        <f t="shared" si="35"/>
        <v>0.5</v>
      </c>
      <c r="AD97" s="85">
        <v>1</v>
      </c>
      <c r="AE97" s="85">
        <v>0</v>
      </c>
      <c r="AF97" s="85">
        <v>1</v>
      </c>
      <c r="AG97" s="85">
        <v>0</v>
      </c>
      <c r="AH97" s="85">
        <v>0</v>
      </c>
      <c r="AI97" s="85">
        <v>0</v>
      </c>
      <c r="AJ97" s="19">
        <v>2</v>
      </c>
      <c r="AK97" s="71">
        <f t="shared" si="36"/>
        <v>1</v>
      </c>
      <c r="AL97" s="18">
        <v>0</v>
      </c>
      <c r="AM97" s="71">
        <f t="shared" si="37"/>
        <v>0</v>
      </c>
      <c r="AN97" s="18">
        <v>2</v>
      </c>
      <c r="AO97" s="71">
        <f t="shared" si="38"/>
        <v>0.66666666666666663</v>
      </c>
      <c r="AP97" s="18">
        <v>2</v>
      </c>
      <c r="AQ97" s="71">
        <f t="shared" si="39"/>
        <v>0.66666666666666663</v>
      </c>
      <c r="AR97" s="85">
        <v>2</v>
      </c>
      <c r="AS97" s="18">
        <v>3</v>
      </c>
      <c r="AT97" s="71">
        <f t="shared" si="40"/>
        <v>1</v>
      </c>
      <c r="AU97" s="18">
        <v>3</v>
      </c>
      <c r="AV97" s="71">
        <f t="shared" si="41"/>
        <v>1</v>
      </c>
      <c r="AW97" s="18">
        <v>1</v>
      </c>
      <c r="AX97" s="71">
        <f t="shared" si="42"/>
        <v>0.5</v>
      </c>
      <c r="AY97" s="18">
        <v>3</v>
      </c>
      <c r="AZ97" s="71">
        <f t="shared" si="43"/>
        <v>1</v>
      </c>
      <c r="BA97" s="94">
        <v>1</v>
      </c>
      <c r="BB97" s="94">
        <v>0</v>
      </c>
      <c r="BC97" s="94">
        <v>1</v>
      </c>
      <c r="BD97" s="94">
        <v>0</v>
      </c>
      <c r="BE97" s="102">
        <f t="shared" si="44"/>
        <v>1.7736497211493969</v>
      </c>
      <c r="BF97" s="81">
        <f t="shared" si="45"/>
        <v>0.60339986552367741</v>
      </c>
      <c r="BG97" s="81" t="str">
        <f t="shared" si="46"/>
        <v>MEDIO</v>
      </c>
      <c r="BK97" s="81" t="str">
        <f t="shared" si="47"/>
        <v>MEDIO</v>
      </c>
    </row>
    <row r="98" spans="1:63" x14ac:dyDescent="0.15">
      <c r="A98" s="84">
        <v>4</v>
      </c>
      <c r="B98" s="84">
        <v>1</v>
      </c>
      <c r="C98" s="84">
        <v>3</v>
      </c>
      <c r="D98" s="84">
        <v>2</v>
      </c>
      <c r="E98" s="85">
        <v>1</v>
      </c>
      <c r="F98" s="17">
        <v>1</v>
      </c>
      <c r="G98" s="64">
        <f t="shared" si="24"/>
        <v>0.5</v>
      </c>
      <c r="H98" s="17">
        <v>1</v>
      </c>
      <c r="I98" s="64">
        <f t="shared" si="25"/>
        <v>0.5</v>
      </c>
      <c r="J98" s="17">
        <v>1</v>
      </c>
      <c r="K98" s="64">
        <f t="shared" si="26"/>
        <v>0.5</v>
      </c>
      <c r="L98" s="17">
        <v>2</v>
      </c>
      <c r="M98" s="64">
        <f t="shared" si="27"/>
        <v>0.66666666666666663</v>
      </c>
      <c r="N98" s="17">
        <v>4</v>
      </c>
      <c r="O98" s="64">
        <f t="shared" si="28"/>
        <v>0.8</v>
      </c>
      <c r="P98" s="17">
        <v>3</v>
      </c>
      <c r="Q98" s="64">
        <f t="shared" si="29"/>
        <v>1</v>
      </c>
      <c r="R98" s="25">
        <v>2</v>
      </c>
      <c r="S98" s="71">
        <f t="shared" si="30"/>
        <v>0.66666666666666663</v>
      </c>
      <c r="T98" s="17">
        <v>2</v>
      </c>
      <c r="U98" s="64">
        <f t="shared" si="31"/>
        <v>0.66666666666666663</v>
      </c>
      <c r="V98" s="17">
        <v>3</v>
      </c>
      <c r="W98" s="71">
        <f t="shared" si="32"/>
        <v>0.75</v>
      </c>
      <c r="X98" s="17">
        <v>2</v>
      </c>
      <c r="Y98" s="71">
        <f t="shared" si="33"/>
        <v>0.66666666666666663</v>
      </c>
      <c r="Z98" s="17">
        <v>3</v>
      </c>
      <c r="AA98" s="71">
        <f t="shared" si="34"/>
        <v>1</v>
      </c>
      <c r="AB98" s="17">
        <v>1</v>
      </c>
      <c r="AC98" s="71">
        <f t="shared" si="35"/>
        <v>0.5</v>
      </c>
      <c r="AD98" s="84">
        <v>1</v>
      </c>
      <c r="AE98" s="84">
        <v>0</v>
      </c>
      <c r="AF98" s="84">
        <v>1</v>
      </c>
      <c r="AG98" s="84">
        <v>0</v>
      </c>
      <c r="AH98" s="84">
        <v>0</v>
      </c>
      <c r="AI98" s="84">
        <v>0</v>
      </c>
      <c r="AJ98" s="20">
        <v>0</v>
      </c>
      <c r="AK98" s="71">
        <f t="shared" si="36"/>
        <v>0</v>
      </c>
      <c r="AL98" s="17">
        <v>2</v>
      </c>
      <c r="AM98" s="71">
        <f t="shared" si="37"/>
        <v>0.66666666666666663</v>
      </c>
      <c r="AN98" s="17">
        <v>1</v>
      </c>
      <c r="AO98" s="71">
        <f t="shared" si="38"/>
        <v>0.33333333333333331</v>
      </c>
      <c r="AP98" s="17">
        <v>2</v>
      </c>
      <c r="AQ98" s="71">
        <f t="shared" si="39"/>
        <v>0.66666666666666663</v>
      </c>
      <c r="AR98" s="84">
        <v>2</v>
      </c>
      <c r="AS98" s="17">
        <v>3</v>
      </c>
      <c r="AT98" s="71">
        <f t="shared" si="40"/>
        <v>1</v>
      </c>
      <c r="AU98" s="17">
        <v>0</v>
      </c>
      <c r="AV98" s="71">
        <f t="shared" si="41"/>
        <v>0</v>
      </c>
      <c r="AW98" s="17">
        <v>0</v>
      </c>
      <c r="AX98" s="71">
        <f t="shared" si="42"/>
        <v>0</v>
      </c>
      <c r="AY98" s="17">
        <v>1</v>
      </c>
      <c r="AZ98" s="71">
        <f t="shared" si="43"/>
        <v>0.33333333333333331</v>
      </c>
      <c r="BA98" s="93">
        <v>1</v>
      </c>
      <c r="BB98" s="93">
        <v>0</v>
      </c>
      <c r="BC98" s="93">
        <v>1</v>
      </c>
      <c r="BD98" s="93">
        <v>0</v>
      </c>
      <c r="BE98" s="102">
        <f t="shared" si="44"/>
        <v>2.3786667600896845</v>
      </c>
      <c r="BF98" s="81">
        <f t="shared" si="45"/>
        <v>0.46811394286207819</v>
      </c>
      <c r="BG98" s="81" t="str">
        <f t="shared" si="46"/>
        <v>MEDIO</v>
      </c>
      <c r="BK98" s="81" t="str">
        <f t="shared" si="47"/>
        <v>MEDIO</v>
      </c>
    </row>
    <row r="99" spans="1:63" x14ac:dyDescent="0.15">
      <c r="A99" s="85">
        <v>3</v>
      </c>
      <c r="B99" s="85">
        <v>1</v>
      </c>
      <c r="C99" s="85">
        <v>2</v>
      </c>
      <c r="D99" s="85">
        <v>0</v>
      </c>
      <c r="E99" s="85">
        <v>1</v>
      </c>
      <c r="F99" s="18">
        <v>2</v>
      </c>
      <c r="G99" s="64">
        <f t="shared" si="24"/>
        <v>1</v>
      </c>
      <c r="H99" s="18">
        <v>1</v>
      </c>
      <c r="I99" s="64">
        <f t="shared" si="25"/>
        <v>0.5</v>
      </c>
      <c r="J99" s="18">
        <v>1</v>
      </c>
      <c r="K99" s="64">
        <f t="shared" si="26"/>
        <v>0.5</v>
      </c>
      <c r="L99" s="18">
        <v>3</v>
      </c>
      <c r="M99" s="64">
        <f t="shared" si="27"/>
        <v>1</v>
      </c>
      <c r="N99" s="18">
        <v>1</v>
      </c>
      <c r="O99" s="64">
        <f t="shared" si="28"/>
        <v>0.2</v>
      </c>
      <c r="P99" s="18">
        <v>3</v>
      </c>
      <c r="Q99" s="64">
        <f t="shared" si="29"/>
        <v>1</v>
      </c>
      <c r="R99" s="24">
        <v>3</v>
      </c>
      <c r="S99" s="71">
        <f t="shared" si="30"/>
        <v>1</v>
      </c>
      <c r="T99" s="18">
        <v>3</v>
      </c>
      <c r="U99" s="64">
        <f t="shared" si="31"/>
        <v>1</v>
      </c>
      <c r="V99" s="18">
        <v>3</v>
      </c>
      <c r="W99" s="71">
        <f t="shared" si="32"/>
        <v>0.75</v>
      </c>
      <c r="X99" s="18">
        <v>2</v>
      </c>
      <c r="Y99" s="71">
        <f t="shared" si="33"/>
        <v>0.66666666666666663</v>
      </c>
      <c r="Z99" s="18">
        <v>1</v>
      </c>
      <c r="AA99" s="71">
        <f t="shared" si="34"/>
        <v>0.33333333333333331</v>
      </c>
      <c r="AB99" s="18">
        <v>2</v>
      </c>
      <c r="AC99" s="71">
        <f t="shared" si="35"/>
        <v>1</v>
      </c>
      <c r="AD99" s="85">
        <v>1</v>
      </c>
      <c r="AE99" s="85">
        <v>0</v>
      </c>
      <c r="AF99" s="85">
        <v>1</v>
      </c>
      <c r="AG99" s="85">
        <v>0</v>
      </c>
      <c r="AH99" s="85">
        <v>0</v>
      </c>
      <c r="AI99" s="85">
        <v>0</v>
      </c>
      <c r="AJ99" s="19">
        <v>1</v>
      </c>
      <c r="AK99" s="71">
        <f t="shared" si="36"/>
        <v>0.5</v>
      </c>
      <c r="AL99" s="18">
        <v>0</v>
      </c>
      <c r="AM99" s="71">
        <f t="shared" si="37"/>
        <v>0</v>
      </c>
      <c r="AN99" s="18">
        <v>0</v>
      </c>
      <c r="AO99" s="71">
        <f t="shared" si="38"/>
        <v>0</v>
      </c>
      <c r="AP99" s="18">
        <v>2</v>
      </c>
      <c r="AQ99" s="71">
        <f t="shared" si="39"/>
        <v>0.66666666666666663</v>
      </c>
      <c r="AR99" s="85">
        <v>2</v>
      </c>
      <c r="AS99" s="18">
        <v>2</v>
      </c>
      <c r="AT99" s="71">
        <f t="shared" si="40"/>
        <v>0.66666666666666663</v>
      </c>
      <c r="AU99" s="18">
        <v>2</v>
      </c>
      <c r="AV99" s="71">
        <f t="shared" si="41"/>
        <v>0.66666666666666663</v>
      </c>
      <c r="AW99" s="18">
        <v>2</v>
      </c>
      <c r="AX99" s="71">
        <f t="shared" si="42"/>
        <v>1</v>
      </c>
      <c r="AY99" s="18">
        <v>2</v>
      </c>
      <c r="AZ99" s="71">
        <f t="shared" si="43"/>
        <v>0.66666666666666663</v>
      </c>
      <c r="BA99" s="94">
        <v>1</v>
      </c>
      <c r="BB99" s="94">
        <v>1</v>
      </c>
      <c r="BC99" s="94">
        <v>0</v>
      </c>
      <c r="BD99" s="94">
        <v>0</v>
      </c>
      <c r="BE99" s="102">
        <f t="shared" si="44"/>
        <v>2.110094784600919</v>
      </c>
      <c r="BF99" s="81">
        <f t="shared" si="45"/>
        <v>0.52816846226650127</v>
      </c>
      <c r="BG99" s="81" t="str">
        <f t="shared" si="46"/>
        <v>MEDIO</v>
      </c>
      <c r="BK99" s="81" t="str">
        <f t="shared" si="47"/>
        <v>MEDIO</v>
      </c>
    </row>
    <row r="100" spans="1:63" x14ac:dyDescent="0.15">
      <c r="A100" s="84">
        <v>3</v>
      </c>
      <c r="B100" s="84">
        <v>1</v>
      </c>
      <c r="C100" s="84">
        <v>4</v>
      </c>
      <c r="D100" s="84">
        <v>2</v>
      </c>
      <c r="E100" s="85">
        <v>1</v>
      </c>
      <c r="F100" s="17">
        <v>2</v>
      </c>
      <c r="G100" s="64">
        <f t="shared" si="24"/>
        <v>1</v>
      </c>
      <c r="H100" s="17">
        <v>2</v>
      </c>
      <c r="I100" s="64">
        <f t="shared" si="25"/>
        <v>1</v>
      </c>
      <c r="J100" s="17">
        <v>2</v>
      </c>
      <c r="K100" s="64">
        <f t="shared" si="26"/>
        <v>1</v>
      </c>
      <c r="L100" s="17">
        <v>3</v>
      </c>
      <c r="M100" s="64">
        <f t="shared" si="27"/>
        <v>1</v>
      </c>
      <c r="N100" s="17">
        <v>0</v>
      </c>
      <c r="O100" s="64">
        <f t="shared" si="28"/>
        <v>0</v>
      </c>
      <c r="P100" s="17">
        <v>2</v>
      </c>
      <c r="Q100" s="64">
        <f t="shared" si="29"/>
        <v>0.66666666666666663</v>
      </c>
      <c r="R100" s="25">
        <v>2</v>
      </c>
      <c r="S100" s="71">
        <f t="shared" si="30"/>
        <v>0.66666666666666663</v>
      </c>
      <c r="T100" s="17">
        <v>3</v>
      </c>
      <c r="U100" s="64">
        <f t="shared" si="31"/>
        <v>1</v>
      </c>
      <c r="V100" s="17">
        <v>3</v>
      </c>
      <c r="W100" s="71">
        <f t="shared" si="32"/>
        <v>0.75</v>
      </c>
      <c r="X100" s="17">
        <v>3</v>
      </c>
      <c r="Y100" s="71">
        <f t="shared" si="33"/>
        <v>1</v>
      </c>
      <c r="Z100" s="17">
        <v>3</v>
      </c>
      <c r="AA100" s="71">
        <f t="shared" si="34"/>
        <v>1</v>
      </c>
      <c r="AB100" s="17">
        <v>1</v>
      </c>
      <c r="AC100" s="71">
        <f t="shared" si="35"/>
        <v>0.5</v>
      </c>
      <c r="AD100" s="84">
        <v>1</v>
      </c>
      <c r="AE100" s="84">
        <v>1</v>
      </c>
      <c r="AF100" s="84">
        <v>0</v>
      </c>
      <c r="AG100" s="84">
        <v>0</v>
      </c>
      <c r="AH100" s="84">
        <v>0</v>
      </c>
      <c r="AI100" s="84">
        <v>0</v>
      </c>
      <c r="AJ100" s="20">
        <v>2</v>
      </c>
      <c r="AK100" s="71">
        <f t="shared" si="36"/>
        <v>1</v>
      </c>
      <c r="AL100" s="17">
        <v>2</v>
      </c>
      <c r="AM100" s="71">
        <f t="shared" si="37"/>
        <v>0.66666666666666663</v>
      </c>
      <c r="AN100" s="17">
        <v>1</v>
      </c>
      <c r="AO100" s="71">
        <f t="shared" si="38"/>
        <v>0.33333333333333331</v>
      </c>
      <c r="AP100" s="17">
        <v>3</v>
      </c>
      <c r="AQ100" s="71">
        <f t="shared" si="39"/>
        <v>1</v>
      </c>
      <c r="AR100" s="84">
        <v>3</v>
      </c>
      <c r="AS100" s="17">
        <v>3</v>
      </c>
      <c r="AT100" s="71">
        <f t="shared" si="40"/>
        <v>1</v>
      </c>
      <c r="AU100" s="17">
        <v>3</v>
      </c>
      <c r="AV100" s="71">
        <f t="shared" si="41"/>
        <v>1</v>
      </c>
      <c r="AW100" s="17">
        <v>2</v>
      </c>
      <c r="AX100" s="71">
        <f t="shared" si="42"/>
        <v>1</v>
      </c>
      <c r="AY100" s="17">
        <v>3</v>
      </c>
      <c r="AZ100" s="71">
        <f t="shared" si="43"/>
        <v>1</v>
      </c>
      <c r="BA100" s="93">
        <v>1</v>
      </c>
      <c r="BB100" s="93">
        <v>1</v>
      </c>
      <c r="BC100" s="93">
        <v>0</v>
      </c>
      <c r="BD100" s="93">
        <v>0</v>
      </c>
      <c r="BE100" s="102">
        <f t="shared" si="44"/>
        <v>1.4457792977414561</v>
      </c>
      <c r="BF100" s="81">
        <f t="shared" si="45"/>
        <v>0.67671392097884997</v>
      </c>
      <c r="BG100" s="81" t="str">
        <f t="shared" si="46"/>
        <v>ALTO</v>
      </c>
      <c r="BK100" s="81" t="str">
        <f t="shared" si="47"/>
        <v>ALTO</v>
      </c>
    </row>
    <row r="101" spans="1:63" x14ac:dyDescent="0.15">
      <c r="A101" s="85">
        <v>4</v>
      </c>
      <c r="B101" s="85">
        <v>1</v>
      </c>
      <c r="C101" s="85">
        <v>3</v>
      </c>
      <c r="D101" s="85">
        <v>2</v>
      </c>
      <c r="E101" s="85">
        <v>1</v>
      </c>
      <c r="F101" s="18">
        <v>1</v>
      </c>
      <c r="G101" s="64">
        <f t="shared" si="24"/>
        <v>0.5</v>
      </c>
      <c r="H101" s="18">
        <v>2</v>
      </c>
      <c r="I101" s="64">
        <f t="shared" si="25"/>
        <v>1</v>
      </c>
      <c r="J101" s="18">
        <v>1</v>
      </c>
      <c r="K101" s="64">
        <f t="shared" si="26"/>
        <v>0.5</v>
      </c>
      <c r="L101" s="18">
        <v>3</v>
      </c>
      <c r="M101" s="64">
        <f t="shared" si="27"/>
        <v>1</v>
      </c>
      <c r="N101" s="18">
        <v>0</v>
      </c>
      <c r="O101" s="64">
        <f t="shared" si="28"/>
        <v>0</v>
      </c>
      <c r="P101" s="18">
        <v>3</v>
      </c>
      <c r="Q101" s="64">
        <f t="shared" si="29"/>
        <v>1</v>
      </c>
      <c r="R101" s="24">
        <v>2</v>
      </c>
      <c r="S101" s="71">
        <f t="shared" si="30"/>
        <v>0.66666666666666663</v>
      </c>
      <c r="T101" s="18">
        <v>3</v>
      </c>
      <c r="U101" s="64">
        <f t="shared" si="31"/>
        <v>1</v>
      </c>
      <c r="V101" s="18">
        <v>3</v>
      </c>
      <c r="W101" s="71">
        <f t="shared" si="32"/>
        <v>0.75</v>
      </c>
      <c r="X101" s="18">
        <v>2</v>
      </c>
      <c r="Y101" s="71">
        <f t="shared" si="33"/>
        <v>0.66666666666666663</v>
      </c>
      <c r="Z101" s="18">
        <v>2</v>
      </c>
      <c r="AA101" s="71">
        <f t="shared" si="34"/>
        <v>0.66666666666666663</v>
      </c>
      <c r="AB101" s="18">
        <v>0</v>
      </c>
      <c r="AC101" s="71">
        <f t="shared" si="35"/>
        <v>0</v>
      </c>
      <c r="AD101" s="85">
        <v>1</v>
      </c>
      <c r="AE101" s="85">
        <v>0</v>
      </c>
      <c r="AF101" s="85">
        <v>1</v>
      </c>
      <c r="AG101" s="85">
        <v>0</v>
      </c>
      <c r="AH101" s="85">
        <v>0</v>
      </c>
      <c r="AI101" s="85">
        <v>0</v>
      </c>
      <c r="AJ101" s="19">
        <v>1</v>
      </c>
      <c r="AK101" s="71">
        <f t="shared" si="36"/>
        <v>0.5</v>
      </c>
      <c r="AL101" s="18">
        <v>1</v>
      </c>
      <c r="AM101" s="71">
        <f t="shared" si="37"/>
        <v>0.33333333333333331</v>
      </c>
      <c r="AN101" s="18">
        <v>2</v>
      </c>
      <c r="AO101" s="71">
        <f t="shared" si="38"/>
        <v>0.66666666666666663</v>
      </c>
      <c r="AP101" s="18">
        <v>2</v>
      </c>
      <c r="AQ101" s="71">
        <f t="shared" si="39"/>
        <v>0.66666666666666663</v>
      </c>
      <c r="AR101" s="85">
        <v>1</v>
      </c>
      <c r="AS101" s="18">
        <v>3</v>
      </c>
      <c r="AT101" s="71">
        <f t="shared" si="40"/>
        <v>1</v>
      </c>
      <c r="AU101" s="18">
        <v>3</v>
      </c>
      <c r="AV101" s="71">
        <f t="shared" si="41"/>
        <v>1</v>
      </c>
      <c r="AW101" s="18">
        <v>1</v>
      </c>
      <c r="AX101" s="71">
        <f t="shared" si="42"/>
        <v>0.5</v>
      </c>
      <c r="AY101" s="18">
        <v>3</v>
      </c>
      <c r="AZ101" s="71">
        <f t="shared" si="43"/>
        <v>1</v>
      </c>
      <c r="BA101" s="94">
        <v>1</v>
      </c>
      <c r="BB101" s="94">
        <v>0</v>
      </c>
      <c r="BC101" s="94">
        <v>1</v>
      </c>
      <c r="BD101" s="94">
        <v>0</v>
      </c>
      <c r="BE101" s="102">
        <f t="shared" si="44"/>
        <v>2.0155644370746373</v>
      </c>
      <c r="BF101" s="81">
        <f t="shared" si="45"/>
        <v>0.54930609056704371</v>
      </c>
      <c r="BG101" s="81" t="str">
        <f t="shared" si="46"/>
        <v>MEDIO</v>
      </c>
      <c r="BK101" s="81" t="str">
        <f t="shared" si="47"/>
        <v>MEDIO</v>
      </c>
    </row>
    <row r="102" spans="1:63" x14ac:dyDescent="0.15">
      <c r="A102" s="84">
        <v>2</v>
      </c>
      <c r="B102" s="84">
        <v>1</v>
      </c>
      <c r="C102" s="84">
        <v>4</v>
      </c>
      <c r="D102" s="84">
        <v>1</v>
      </c>
      <c r="E102" s="85">
        <v>1</v>
      </c>
      <c r="F102" s="17">
        <v>1</v>
      </c>
      <c r="G102" s="64">
        <f t="shared" si="24"/>
        <v>0.5</v>
      </c>
      <c r="H102" s="17">
        <v>2</v>
      </c>
      <c r="I102" s="64">
        <f t="shared" si="25"/>
        <v>1</v>
      </c>
      <c r="J102" s="17">
        <v>1</v>
      </c>
      <c r="K102" s="64">
        <f t="shared" si="26"/>
        <v>0.5</v>
      </c>
      <c r="L102" s="17">
        <v>2</v>
      </c>
      <c r="M102" s="64">
        <f t="shared" si="27"/>
        <v>0.66666666666666663</v>
      </c>
      <c r="N102" s="17">
        <v>2</v>
      </c>
      <c r="O102" s="64">
        <f t="shared" si="28"/>
        <v>0.4</v>
      </c>
      <c r="P102" s="17">
        <v>1</v>
      </c>
      <c r="Q102" s="64">
        <f t="shared" si="29"/>
        <v>0.33333333333333331</v>
      </c>
      <c r="R102" s="25">
        <v>3</v>
      </c>
      <c r="S102" s="71">
        <f t="shared" si="30"/>
        <v>1</v>
      </c>
      <c r="T102" s="17">
        <v>3</v>
      </c>
      <c r="U102" s="64">
        <f t="shared" si="31"/>
        <v>1</v>
      </c>
      <c r="V102" s="17">
        <v>4</v>
      </c>
      <c r="W102" s="71">
        <f t="shared" si="32"/>
        <v>1</v>
      </c>
      <c r="X102" s="17">
        <v>3</v>
      </c>
      <c r="Y102" s="71">
        <f t="shared" si="33"/>
        <v>1</v>
      </c>
      <c r="Z102" s="17">
        <v>1</v>
      </c>
      <c r="AA102" s="71">
        <f t="shared" si="34"/>
        <v>0.33333333333333331</v>
      </c>
      <c r="AB102" s="17">
        <v>1</v>
      </c>
      <c r="AC102" s="71">
        <f t="shared" si="35"/>
        <v>0.5</v>
      </c>
      <c r="AD102" s="84">
        <v>1</v>
      </c>
      <c r="AE102" s="84">
        <v>1</v>
      </c>
      <c r="AF102" s="84">
        <v>0</v>
      </c>
      <c r="AG102" s="84">
        <v>0</v>
      </c>
      <c r="AH102" s="84">
        <v>0</v>
      </c>
      <c r="AI102" s="84">
        <v>0</v>
      </c>
      <c r="AJ102" s="20">
        <v>0</v>
      </c>
      <c r="AK102" s="71">
        <f t="shared" si="36"/>
        <v>0</v>
      </c>
      <c r="AL102" s="17">
        <v>1</v>
      </c>
      <c r="AM102" s="71">
        <f t="shared" si="37"/>
        <v>0.33333333333333331</v>
      </c>
      <c r="AN102" s="17">
        <v>2</v>
      </c>
      <c r="AO102" s="71">
        <f t="shared" si="38"/>
        <v>0.66666666666666663</v>
      </c>
      <c r="AP102" s="17">
        <v>2</v>
      </c>
      <c r="AQ102" s="71">
        <f t="shared" si="39"/>
        <v>0.66666666666666663</v>
      </c>
      <c r="AR102" s="84">
        <v>0</v>
      </c>
      <c r="AS102" s="17">
        <v>3</v>
      </c>
      <c r="AT102" s="71">
        <f t="shared" si="40"/>
        <v>1</v>
      </c>
      <c r="AU102" s="17">
        <v>3</v>
      </c>
      <c r="AV102" s="71">
        <f t="shared" si="41"/>
        <v>1</v>
      </c>
      <c r="AW102" s="17">
        <v>1</v>
      </c>
      <c r="AX102" s="71">
        <f t="shared" si="42"/>
        <v>0.5</v>
      </c>
      <c r="AY102" s="17">
        <v>3</v>
      </c>
      <c r="AZ102" s="71">
        <f t="shared" si="43"/>
        <v>1</v>
      </c>
      <c r="BA102" s="93">
        <v>1</v>
      </c>
      <c r="BB102" s="93">
        <v>1</v>
      </c>
      <c r="BC102" s="93">
        <v>0</v>
      </c>
      <c r="BD102" s="93">
        <v>0</v>
      </c>
      <c r="BE102" s="102">
        <f t="shared" si="44"/>
        <v>2.0066555924389884</v>
      </c>
      <c r="BF102" s="81">
        <f t="shared" si="45"/>
        <v>0.55129816878767302</v>
      </c>
      <c r="BG102" s="81" t="str">
        <f t="shared" si="46"/>
        <v>MEDIO</v>
      </c>
      <c r="BK102" s="81" t="str">
        <f t="shared" si="47"/>
        <v>MEDIO</v>
      </c>
    </row>
    <row r="103" spans="1:63" x14ac:dyDescent="0.15">
      <c r="A103" s="85">
        <v>4</v>
      </c>
      <c r="B103" s="85">
        <v>2</v>
      </c>
      <c r="C103" s="85">
        <v>1</v>
      </c>
      <c r="D103" s="85">
        <v>2</v>
      </c>
      <c r="E103" s="85">
        <v>1</v>
      </c>
      <c r="F103" s="18">
        <v>1</v>
      </c>
      <c r="G103" s="64">
        <f t="shared" si="24"/>
        <v>0.5</v>
      </c>
      <c r="H103" s="18">
        <v>2</v>
      </c>
      <c r="I103" s="64">
        <f t="shared" si="25"/>
        <v>1</v>
      </c>
      <c r="J103" s="18">
        <v>1</v>
      </c>
      <c r="K103" s="64">
        <f t="shared" si="26"/>
        <v>0.5</v>
      </c>
      <c r="L103" s="18">
        <v>3</v>
      </c>
      <c r="M103" s="64">
        <f t="shared" si="27"/>
        <v>1</v>
      </c>
      <c r="N103" s="18">
        <v>3</v>
      </c>
      <c r="O103" s="64">
        <f t="shared" si="28"/>
        <v>0.6</v>
      </c>
      <c r="P103" s="18">
        <v>2</v>
      </c>
      <c r="Q103" s="64">
        <f t="shared" si="29"/>
        <v>0.66666666666666663</v>
      </c>
      <c r="R103" s="24">
        <v>3</v>
      </c>
      <c r="S103" s="71">
        <f t="shared" si="30"/>
        <v>1</v>
      </c>
      <c r="T103" s="18">
        <v>3</v>
      </c>
      <c r="U103" s="64">
        <f t="shared" si="31"/>
        <v>1</v>
      </c>
      <c r="V103" s="18">
        <v>3</v>
      </c>
      <c r="W103" s="71">
        <f t="shared" si="32"/>
        <v>0.75</v>
      </c>
      <c r="X103" s="18">
        <v>3</v>
      </c>
      <c r="Y103" s="71">
        <f t="shared" si="33"/>
        <v>1</v>
      </c>
      <c r="Z103" s="18">
        <v>2</v>
      </c>
      <c r="AA103" s="71">
        <f t="shared" si="34"/>
        <v>0.66666666666666663</v>
      </c>
      <c r="AB103" s="18">
        <v>0</v>
      </c>
      <c r="AC103" s="71">
        <f t="shared" si="35"/>
        <v>0</v>
      </c>
      <c r="AD103" s="85">
        <v>1</v>
      </c>
      <c r="AE103" s="85">
        <v>0</v>
      </c>
      <c r="AF103" s="85">
        <v>1</v>
      </c>
      <c r="AG103" s="85">
        <v>0</v>
      </c>
      <c r="AH103" s="85">
        <v>0</v>
      </c>
      <c r="AI103" s="85">
        <v>0</v>
      </c>
      <c r="AJ103" s="19">
        <v>2</v>
      </c>
      <c r="AK103" s="71">
        <f t="shared" si="36"/>
        <v>1</v>
      </c>
      <c r="AL103" s="18">
        <v>2</v>
      </c>
      <c r="AM103" s="71">
        <f t="shared" si="37"/>
        <v>0.66666666666666663</v>
      </c>
      <c r="AN103" s="18">
        <v>1</v>
      </c>
      <c r="AO103" s="71">
        <f t="shared" si="38"/>
        <v>0.33333333333333331</v>
      </c>
      <c r="AP103" s="18">
        <v>3</v>
      </c>
      <c r="AQ103" s="71">
        <f t="shared" si="39"/>
        <v>1</v>
      </c>
      <c r="AR103" s="85">
        <v>0</v>
      </c>
      <c r="AS103" s="18">
        <v>3</v>
      </c>
      <c r="AT103" s="71">
        <f t="shared" si="40"/>
        <v>1</v>
      </c>
      <c r="AU103" s="18">
        <v>3</v>
      </c>
      <c r="AV103" s="71">
        <f t="shared" si="41"/>
        <v>1</v>
      </c>
      <c r="AW103" s="18">
        <v>1</v>
      </c>
      <c r="AX103" s="71">
        <f t="shared" si="42"/>
        <v>0.5</v>
      </c>
      <c r="AY103" s="18">
        <v>3</v>
      </c>
      <c r="AZ103" s="71">
        <f t="shared" si="43"/>
        <v>1</v>
      </c>
      <c r="BA103" s="94">
        <v>1</v>
      </c>
      <c r="BB103" s="94">
        <v>1</v>
      </c>
      <c r="BC103" s="94">
        <v>0</v>
      </c>
      <c r="BD103" s="94">
        <v>0</v>
      </c>
      <c r="BE103" s="102">
        <f t="shared" si="44"/>
        <v>1.6583961462140999</v>
      </c>
      <c r="BF103" s="81">
        <f t="shared" si="45"/>
        <v>0.62917134834419408</v>
      </c>
      <c r="BG103" s="81" t="str">
        <f t="shared" si="46"/>
        <v>MEDIO</v>
      </c>
      <c r="BK103" s="81" t="str">
        <f t="shared" si="47"/>
        <v>MEDIO</v>
      </c>
    </row>
    <row r="104" spans="1:63" x14ac:dyDescent="0.15">
      <c r="A104" s="84">
        <v>3</v>
      </c>
      <c r="B104" s="84">
        <v>1</v>
      </c>
      <c r="C104" s="84">
        <v>1</v>
      </c>
      <c r="D104" s="84">
        <v>2</v>
      </c>
      <c r="E104" s="85">
        <v>1</v>
      </c>
      <c r="F104" s="17">
        <v>2</v>
      </c>
      <c r="G104" s="64">
        <f t="shared" si="24"/>
        <v>1</v>
      </c>
      <c r="H104" s="17">
        <v>1</v>
      </c>
      <c r="I104" s="64">
        <f t="shared" si="25"/>
        <v>0.5</v>
      </c>
      <c r="J104" s="17">
        <v>1</v>
      </c>
      <c r="K104" s="64">
        <f t="shared" si="26"/>
        <v>0.5</v>
      </c>
      <c r="L104" s="17">
        <v>2</v>
      </c>
      <c r="M104" s="64">
        <f t="shared" si="27"/>
        <v>0.66666666666666663</v>
      </c>
      <c r="N104" s="17">
        <v>1</v>
      </c>
      <c r="O104" s="64">
        <f t="shared" si="28"/>
        <v>0.2</v>
      </c>
      <c r="P104" s="17">
        <v>2</v>
      </c>
      <c r="Q104" s="64">
        <f t="shared" si="29"/>
        <v>0.66666666666666663</v>
      </c>
      <c r="R104" s="25">
        <v>2</v>
      </c>
      <c r="S104" s="71">
        <f t="shared" si="30"/>
        <v>0.66666666666666663</v>
      </c>
      <c r="T104" s="17">
        <v>2</v>
      </c>
      <c r="U104" s="64">
        <f t="shared" si="31"/>
        <v>0.66666666666666663</v>
      </c>
      <c r="V104" s="17">
        <v>0</v>
      </c>
      <c r="W104" s="71">
        <f t="shared" si="32"/>
        <v>0</v>
      </c>
      <c r="X104" s="17">
        <v>2</v>
      </c>
      <c r="Y104" s="71">
        <f t="shared" si="33"/>
        <v>0.66666666666666663</v>
      </c>
      <c r="Z104" s="17">
        <v>2</v>
      </c>
      <c r="AA104" s="71">
        <f t="shared" si="34"/>
        <v>0.66666666666666663</v>
      </c>
      <c r="AB104" s="17">
        <v>2</v>
      </c>
      <c r="AC104" s="71">
        <f t="shared" si="35"/>
        <v>1</v>
      </c>
      <c r="AD104" s="84">
        <v>0</v>
      </c>
      <c r="AE104" s="84">
        <v>1</v>
      </c>
      <c r="AF104" s="84">
        <v>0</v>
      </c>
      <c r="AG104" s="84">
        <v>1</v>
      </c>
      <c r="AH104" s="84">
        <v>0</v>
      </c>
      <c r="AI104" s="84">
        <v>0</v>
      </c>
      <c r="AJ104" s="20">
        <v>1</v>
      </c>
      <c r="AK104" s="71">
        <f t="shared" si="36"/>
        <v>0.5</v>
      </c>
      <c r="AL104" s="17">
        <v>1</v>
      </c>
      <c r="AM104" s="71">
        <f t="shared" si="37"/>
        <v>0.33333333333333331</v>
      </c>
      <c r="AN104" s="17">
        <v>1</v>
      </c>
      <c r="AO104" s="71">
        <f t="shared" si="38"/>
        <v>0.33333333333333331</v>
      </c>
      <c r="AP104" s="17">
        <v>2</v>
      </c>
      <c r="AQ104" s="71">
        <f t="shared" si="39"/>
        <v>0.66666666666666663</v>
      </c>
      <c r="AR104" s="84">
        <v>1</v>
      </c>
      <c r="AS104" s="17">
        <v>3</v>
      </c>
      <c r="AT104" s="71">
        <f t="shared" si="40"/>
        <v>1</v>
      </c>
      <c r="AU104" s="17">
        <v>3</v>
      </c>
      <c r="AV104" s="71">
        <f t="shared" si="41"/>
        <v>1</v>
      </c>
      <c r="AW104" s="17">
        <v>2</v>
      </c>
      <c r="AX104" s="71">
        <f t="shared" si="42"/>
        <v>1</v>
      </c>
      <c r="AY104" s="17">
        <v>2</v>
      </c>
      <c r="AZ104" s="71">
        <f t="shared" si="43"/>
        <v>0.66666666666666663</v>
      </c>
      <c r="BA104" s="93">
        <v>1</v>
      </c>
      <c r="BB104" s="93">
        <v>0</v>
      </c>
      <c r="BC104" s="93">
        <v>1</v>
      </c>
      <c r="BD104" s="93">
        <v>0</v>
      </c>
      <c r="BE104" s="102">
        <f t="shared" si="44"/>
        <v>2.0415135997043414</v>
      </c>
      <c r="BF104" s="81">
        <f t="shared" si="45"/>
        <v>0.54350368140712269</v>
      </c>
      <c r="BG104" s="81" t="str">
        <f t="shared" si="46"/>
        <v>MEDIO</v>
      </c>
      <c r="BK104" s="81" t="str">
        <f t="shared" si="47"/>
        <v>MEDIO</v>
      </c>
    </row>
    <row r="105" spans="1:63" x14ac:dyDescent="0.15">
      <c r="A105" s="85">
        <v>2</v>
      </c>
      <c r="B105" s="85">
        <v>1</v>
      </c>
      <c r="C105" s="85">
        <v>3</v>
      </c>
      <c r="D105" s="85">
        <v>1</v>
      </c>
      <c r="E105" s="85">
        <v>1</v>
      </c>
      <c r="F105" s="18">
        <v>2</v>
      </c>
      <c r="G105" s="64">
        <f t="shared" si="24"/>
        <v>1</v>
      </c>
      <c r="H105" s="18">
        <v>2</v>
      </c>
      <c r="I105" s="64">
        <f t="shared" si="25"/>
        <v>1</v>
      </c>
      <c r="J105" s="18">
        <v>2</v>
      </c>
      <c r="K105" s="64">
        <f t="shared" si="26"/>
        <v>1</v>
      </c>
      <c r="L105" s="18">
        <v>3</v>
      </c>
      <c r="M105" s="64">
        <f t="shared" si="27"/>
        <v>1</v>
      </c>
      <c r="N105" s="18">
        <v>4</v>
      </c>
      <c r="O105" s="64">
        <f t="shared" si="28"/>
        <v>0.8</v>
      </c>
      <c r="P105" s="18">
        <v>2</v>
      </c>
      <c r="Q105" s="64">
        <f t="shared" si="29"/>
        <v>0.66666666666666663</v>
      </c>
      <c r="R105" s="24">
        <v>3</v>
      </c>
      <c r="S105" s="71">
        <f t="shared" si="30"/>
        <v>1</v>
      </c>
      <c r="T105" s="18">
        <v>3</v>
      </c>
      <c r="U105" s="64">
        <f t="shared" si="31"/>
        <v>1</v>
      </c>
      <c r="V105" s="18">
        <v>4</v>
      </c>
      <c r="W105" s="71">
        <f t="shared" si="32"/>
        <v>1</v>
      </c>
      <c r="X105" s="18">
        <v>3</v>
      </c>
      <c r="Y105" s="71">
        <f t="shared" si="33"/>
        <v>1</v>
      </c>
      <c r="Z105" s="18">
        <v>3</v>
      </c>
      <c r="AA105" s="71">
        <f t="shared" si="34"/>
        <v>1</v>
      </c>
      <c r="AB105" s="18">
        <v>0</v>
      </c>
      <c r="AC105" s="71">
        <f t="shared" si="35"/>
        <v>0</v>
      </c>
      <c r="AD105" s="85">
        <v>1</v>
      </c>
      <c r="AE105" s="85">
        <v>1</v>
      </c>
      <c r="AF105" s="85">
        <v>0</v>
      </c>
      <c r="AG105" s="85">
        <v>0</v>
      </c>
      <c r="AH105" s="85">
        <v>0</v>
      </c>
      <c r="AI105" s="85">
        <v>0</v>
      </c>
      <c r="AJ105" s="19">
        <v>2</v>
      </c>
      <c r="AK105" s="71">
        <f t="shared" si="36"/>
        <v>1</v>
      </c>
      <c r="AL105" s="18">
        <v>3</v>
      </c>
      <c r="AM105" s="71">
        <f t="shared" si="37"/>
        <v>1</v>
      </c>
      <c r="AN105" s="18">
        <v>2</v>
      </c>
      <c r="AO105" s="71">
        <f t="shared" si="38"/>
        <v>0.66666666666666663</v>
      </c>
      <c r="AP105" s="18">
        <v>3</v>
      </c>
      <c r="AQ105" s="71">
        <f t="shared" si="39"/>
        <v>1</v>
      </c>
      <c r="AR105" s="85">
        <v>0</v>
      </c>
      <c r="AS105" s="18">
        <v>3</v>
      </c>
      <c r="AT105" s="71">
        <f t="shared" si="40"/>
        <v>1</v>
      </c>
      <c r="AU105" s="18">
        <v>3</v>
      </c>
      <c r="AV105" s="71">
        <f t="shared" si="41"/>
        <v>1</v>
      </c>
      <c r="AW105" s="18">
        <v>2</v>
      </c>
      <c r="AX105" s="71">
        <f t="shared" si="42"/>
        <v>1</v>
      </c>
      <c r="AY105" s="18">
        <v>3</v>
      </c>
      <c r="AZ105" s="71">
        <f t="shared" si="43"/>
        <v>1</v>
      </c>
      <c r="BA105" s="94">
        <v>0</v>
      </c>
      <c r="BB105" s="94">
        <v>1</v>
      </c>
      <c r="BC105" s="94">
        <v>1</v>
      </c>
      <c r="BD105" s="94">
        <v>0</v>
      </c>
      <c r="BE105" s="102">
        <f t="shared" si="44"/>
        <v>1.1234866364235145</v>
      </c>
      <c r="BF105" s="81">
        <f t="shared" si="45"/>
        <v>0.74878075091446661</v>
      </c>
      <c r="BG105" s="81" t="str">
        <f t="shared" si="46"/>
        <v>ALTO</v>
      </c>
      <c r="BK105" s="81" t="str">
        <f t="shared" si="47"/>
        <v>ALTO</v>
      </c>
    </row>
    <row r="106" spans="1:63" x14ac:dyDescent="0.15">
      <c r="A106" s="84">
        <v>3</v>
      </c>
      <c r="B106" s="84">
        <v>1</v>
      </c>
      <c r="C106" s="84">
        <v>3</v>
      </c>
      <c r="D106" s="84">
        <v>2</v>
      </c>
      <c r="E106" s="85">
        <v>1</v>
      </c>
      <c r="F106" s="17">
        <v>1</v>
      </c>
      <c r="G106" s="64">
        <f t="shared" si="24"/>
        <v>0.5</v>
      </c>
      <c r="H106" s="17">
        <v>1</v>
      </c>
      <c r="I106" s="64">
        <f t="shared" si="25"/>
        <v>0.5</v>
      </c>
      <c r="J106" s="17">
        <v>1</v>
      </c>
      <c r="K106" s="64">
        <f t="shared" si="26"/>
        <v>0.5</v>
      </c>
      <c r="L106" s="17">
        <v>1</v>
      </c>
      <c r="M106" s="64">
        <f t="shared" si="27"/>
        <v>0.33333333333333331</v>
      </c>
      <c r="N106" s="17">
        <v>2</v>
      </c>
      <c r="O106" s="64">
        <f t="shared" si="28"/>
        <v>0.4</v>
      </c>
      <c r="P106" s="17">
        <v>0</v>
      </c>
      <c r="Q106" s="64">
        <f t="shared" si="29"/>
        <v>0</v>
      </c>
      <c r="R106" s="25">
        <v>0</v>
      </c>
      <c r="S106" s="71">
        <f t="shared" si="30"/>
        <v>0</v>
      </c>
      <c r="T106" s="17">
        <v>2</v>
      </c>
      <c r="U106" s="64">
        <f t="shared" si="31"/>
        <v>0.66666666666666663</v>
      </c>
      <c r="V106" s="17">
        <v>4</v>
      </c>
      <c r="W106" s="71">
        <f t="shared" si="32"/>
        <v>1</v>
      </c>
      <c r="X106" s="17">
        <v>2</v>
      </c>
      <c r="Y106" s="71">
        <f t="shared" si="33"/>
        <v>0.66666666666666663</v>
      </c>
      <c r="Z106" s="17">
        <v>3</v>
      </c>
      <c r="AA106" s="71">
        <f t="shared" si="34"/>
        <v>1</v>
      </c>
      <c r="AB106" s="17">
        <v>2</v>
      </c>
      <c r="AC106" s="71">
        <f t="shared" si="35"/>
        <v>1</v>
      </c>
      <c r="AD106" s="84">
        <v>1</v>
      </c>
      <c r="AE106" s="84">
        <v>0</v>
      </c>
      <c r="AF106" s="84">
        <v>1</v>
      </c>
      <c r="AG106" s="84">
        <v>0</v>
      </c>
      <c r="AH106" s="84">
        <v>0</v>
      </c>
      <c r="AI106" s="84">
        <v>0</v>
      </c>
      <c r="AJ106" s="20">
        <v>1</v>
      </c>
      <c r="AK106" s="71">
        <f t="shared" si="36"/>
        <v>0.5</v>
      </c>
      <c r="AL106" s="17">
        <v>2</v>
      </c>
      <c r="AM106" s="71">
        <f t="shared" si="37"/>
        <v>0.66666666666666663</v>
      </c>
      <c r="AN106" s="17">
        <v>0</v>
      </c>
      <c r="AO106" s="71">
        <f t="shared" si="38"/>
        <v>0</v>
      </c>
      <c r="AP106" s="17">
        <v>2</v>
      </c>
      <c r="AQ106" s="71">
        <f t="shared" si="39"/>
        <v>0.66666666666666663</v>
      </c>
      <c r="AR106" s="84">
        <v>3</v>
      </c>
      <c r="AS106" s="17">
        <v>3</v>
      </c>
      <c r="AT106" s="71">
        <f t="shared" si="40"/>
        <v>1</v>
      </c>
      <c r="AU106" s="17">
        <v>2</v>
      </c>
      <c r="AV106" s="71">
        <f t="shared" si="41"/>
        <v>0.66666666666666663</v>
      </c>
      <c r="AW106" s="17">
        <v>1</v>
      </c>
      <c r="AX106" s="71">
        <f t="shared" si="42"/>
        <v>0.5</v>
      </c>
      <c r="AY106" s="17">
        <v>0</v>
      </c>
      <c r="AZ106" s="71">
        <f t="shared" si="43"/>
        <v>0</v>
      </c>
      <c r="BA106" s="93">
        <v>0</v>
      </c>
      <c r="BB106" s="93">
        <v>1</v>
      </c>
      <c r="BC106" s="93">
        <v>1</v>
      </c>
      <c r="BD106" s="93">
        <v>0</v>
      </c>
      <c r="BE106" s="102">
        <f t="shared" si="44"/>
        <v>2.5709920264364881</v>
      </c>
      <c r="BF106" s="81">
        <f t="shared" si="45"/>
        <v>0.42510870592786165</v>
      </c>
      <c r="BG106" s="81" t="str">
        <f t="shared" si="46"/>
        <v>MEDIO</v>
      </c>
      <c r="BK106" s="81" t="str">
        <f t="shared" si="47"/>
        <v>BASSO</v>
      </c>
    </row>
    <row r="107" spans="1:63" x14ac:dyDescent="0.15">
      <c r="A107" s="85">
        <v>3</v>
      </c>
      <c r="B107" s="85">
        <v>1</v>
      </c>
      <c r="C107" s="85">
        <v>3</v>
      </c>
      <c r="D107" s="85">
        <v>2</v>
      </c>
      <c r="E107" s="85">
        <v>1</v>
      </c>
      <c r="F107" s="18">
        <v>2</v>
      </c>
      <c r="G107" s="64">
        <f t="shared" si="24"/>
        <v>1</v>
      </c>
      <c r="H107" s="18">
        <v>1</v>
      </c>
      <c r="I107" s="64">
        <f t="shared" si="25"/>
        <v>0.5</v>
      </c>
      <c r="J107" s="18">
        <v>2</v>
      </c>
      <c r="K107" s="64">
        <f t="shared" si="26"/>
        <v>1</v>
      </c>
      <c r="L107" s="18">
        <v>3</v>
      </c>
      <c r="M107" s="64">
        <f t="shared" si="27"/>
        <v>1</v>
      </c>
      <c r="N107" s="18">
        <v>2</v>
      </c>
      <c r="O107" s="64">
        <f t="shared" si="28"/>
        <v>0.4</v>
      </c>
      <c r="P107" s="18">
        <v>3</v>
      </c>
      <c r="Q107" s="64">
        <f t="shared" si="29"/>
        <v>1</v>
      </c>
      <c r="R107" s="24">
        <v>3</v>
      </c>
      <c r="S107" s="71">
        <f t="shared" si="30"/>
        <v>1</v>
      </c>
      <c r="T107" s="18">
        <v>3</v>
      </c>
      <c r="U107" s="64">
        <f t="shared" si="31"/>
        <v>1</v>
      </c>
      <c r="V107" s="18">
        <v>4</v>
      </c>
      <c r="W107" s="71">
        <f t="shared" si="32"/>
        <v>1</v>
      </c>
      <c r="X107" s="18">
        <v>3</v>
      </c>
      <c r="Y107" s="71">
        <f t="shared" si="33"/>
        <v>1</v>
      </c>
      <c r="Z107" s="18">
        <v>3</v>
      </c>
      <c r="AA107" s="71">
        <f t="shared" si="34"/>
        <v>1</v>
      </c>
      <c r="AB107" s="18">
        <v>0</v>
      </c>
      <c r="AC107" s="71">
        <f t="shared" si="35"/>
        <v>0</v>
      </c>
      <c r="AD107" s="85">
        <v>0</v>
      </c>
      <c r="AE107" s="85">
        <v>1</v>
      </c>
      <c r="AF107" s="85">
        <v>1</v>
      </c>
      <c r="AG107" s="85">
        <v>0</v>
      </c>
      <c r="AH107" s="85">
        <v>0</v>
      </c>
      <c r="AI107" s="85">
        <v>0</v>
      </c>
      <c r="AJ107" s="19">
        <v>2</v>
      </c>
      <c r="AK107" s="71">
        <f t="shared" si="36"/>
        <v>1</v>
      </c>
      <c r="AL107" s="18">
        <v>2</v>
      </c>
      <c r="AM107" s="71">
        <f t="shared" si="37"/>
        <v>0.66666666666666663</v>
      </c>
      <c r="AN107" s="18">
        <v>2</v>
      </c>
      <c r="AO107" s="71">
        <f t="shared" si="38"/>
        <v>0.66666666666666663</v>
      </c>
      <c r="AP107" s="18">
        <v>2</v>
      </c>
      <c r="AQ107" s="71">
        <f t="shared" si="39"/>
        <v>0.66666666666666663</v>
      </c>
      <c r="AR107" s="85">
        <v>0</v>
      </c>
      <c r="AS107" s="18">
        <v>3</v>
      </c>
      <c r="AT107" s="71">
        <f t="shared" si="40"/>
        <v>1</v>
      </c>
      <c r="AU107" s="18">
        <v>3</v>
      </c>
      <c r="AV107" s="71">
        <f t="shared" si="41"/>
        <v>1</v>
      </c>
      <c r="AW107" s="18">
        <v>1</v>
      </c>
      <c r="AX107" s="71">
        <f t="shared" si="42"/>
        <v>0.5</v>
      </c>
      <c r="AY107" s="18">
        <v>0</v>
      </c>
      <c r="AZ107" s="71">
        <f t="shared" si="43"/>
        <v>0</v>
      </c>
      <c r="BA107" s="94">
        <v>1</v>
      </c>
      <c r="BB107" s="94">
        <v>1</v>
      </c>
      <c r="BC107" s="94">
        <v>0</v>
      </c>
      <c r="BD107" s="94">
        <v>0</v>
      </c>
      <c r="BE107" s="102">
        <f t="shared" si="44"/>
        <v>1.7869900204906948</v>
      </c>
      <c r="BF107" s="81">
        <f t="shared" si="45"/>
        <v>0.60041688390694392</v>
      </c>
      <c r="BG107" s="81" t="str">
        <f t="shared" si="46"/>
        <v>MEDIO</v>
      </c>
      <c r="BK107" s="81" t="str">
        <f t="shared" si="47"/>
        <v>MEDIO</v>
      </c>
    </row>
    <row r="108" spans="1:63" x14ac:dyDescent="0.15">
      <c r="A108" s="84">
        <v>4</v>
      </c>
      <c r="B108" s="84">
        <v>1</v>
      </c>
      <c r="C108" s="84">
        <v>1</v>
      </c>
      <c r="D108" s="84">
        <v>2</v>
      </c>
      <c r="E108" s="85">
        <v>1</v>
      </c>
      <c r="F108" s="17">
        <v>1</v>
      </c>
      <c r="G108" s="64">
        <f t="shared" si="24"/>
        <v>0.5</v>
      </c>
      <c r="H108" s="17">
        <v>0</v>
      </c>
      <c r="I108" s="64">
        <f t="shared" si="25"/>
        <v>0</v>
      </c>
      <c r="J108" s="17">
        <v>1</v>
      </c>
      <c r="K108" s="64">
        <f t="shared" si="26"/>
        <v>0.5</v>
      </c>
      <c r="L108" s="17">
        <v>2</v>
      </c>
      <c r="M108" s="64">
        <f t="shared" si="27"/>
        <v>0.66666666666666663</v>
      </c>
      <c r="N108" s="17">
        <v>3</v>
      </c>
      <c r="O108" s="64">
        <f t="shared" si="28"/>
        <v>0.6</v>
      </c>
      <c r="P108" s="17">
        <v>3</v>
      </c>
      <c r="Q108" s="64">
        <f t="shared" si="29"/>
        <v>1</v>
      </c>
      <c r="R108" s="25">
        <v>0</v>
      </c>
      <c r="S108" s="71">
        <f t="shared" si="30"/>
        <v>0</v>
      </c>
      <c r="T108" s="17">
        <v>2</v>
      </c>
      <c r="U108" s="64">
        <f t="shared" si="31"/>
        <v>0.66666666666666663</v>
      </c>
      <c r="V108" s="17">
        <v>3</v>
      </c>
      <c r="W108" s="71">
        <f t="shared" si="32"/>
        <v>0.75</v>
      </c>
      <c r="X108" s="17">
        <v>2</v>
      </c>
      <c r="Y108" s="71">
        <f t="shared" si="33"/>
        <v>0.66666666666666663</v>
      </c>
      <c r="Z108" s="17">
        <v>2</v>
      </c>
      <c r="AA108" s="71">
        <f t="shared" si="34"/>
        <v>0.66666666666666663</v>
      </c>
      <c r="AB108" s="17">
        <v>2</v>
      </c>
      <c r="AC108" s="71">
        <f t="shared" si="35"/>
        <v>1</v>
      </c>
      <c r="AD108" s="84">
        <v>1</v>
      </c>
      <c r="AE108" s="84">
        <v>0</v>
      </c>
      <c r="AF108" s="84">
        <v>1</v>
      </c>
      <c r="AG108" s="84">
        <v>0</v>
      </c>
      <c r="AH108" s="84">
        <v>0</v>
      </c>
      <c r="AI108" s="84">
        <v>0</v>
      </c>
      <c r="AJ108" s="20">
        <v>1</v>
      </c>
      <c r="AK108" s="71">
        <f t="shared" si="36"/>
        <v>0.5</v>
      </c>
      <c r="AL108" s="17">
        <v>3</v>
      </c>
      <c r="AM108" s="71">
        <f t="shared" si="37"/>
        <v>1</v>
      </c>
      <c r="AN108" s="17">
        <v>1</v>
      </c>
      <c r="AO108" s="71">
        <f t="shared" si="38"/>
        <v>0.33333333333333331</v>
      </c>
      <c r="AP108" s="17">
        <v>2</v>
      </c>
      <c r="AQ108" s="71">
        <f t="shared" si="39"/>
        <v>0.66666666666666663</v>
      </c>
      <c r="AR108" s="84">
        <v>3</v>
      </c>
      <c r="AS108" s="17">
        <v>0</v>
      </c>
      <c r="AT108" s="71">
        <f t="shared" si="40"/>
        <v>0</v>
      </c>
      <c r="AU108" s="17">
        <v>1</v>
      </c>
      <c r="AV108" s="71">
        <f t="shared" si="41"/>
        <v>0.33333333333333331</v>
      </c>
      <c r="AW108" s="17">
        <v>1</v>
      </c>
      <c r="AX108" s="71">
        <f t="shared" si="42"/>
        <v>0.5</v>
      </c>
      <c r="AY108" s="17">
        <v>3</v>
      </c>
      <c r="AZ108" s="71">
        <f t="shared" si="43"/>
        <v>1</v>
      </c>
      <c r="BA108" s="93">
        <v>1</v>
      </c>
      <c r="BB108" s="93">
        <v>1</v>
      </c>
      <c r="BC108" s="93">
        <v>0</v>
      </c>
      <c r="BD108" s="93">
        <v>0</v>
      </c>
      <c r="BE108" s="102">
        <f t="shared" si="44"/>
        <v>2.3805344871361229</v>
      </c>
      <c r="BF108" s="81">
        <f t="shared" si="45"/>
        <v>0.46769630639815307</v>
      </c>
      <c r="BG108" s="81" t="str">
        <f t="shared" si="46"/>
        <v>MEDIO</v>
      </c>
      <c r="BK108" s="81" t="str">
        <f t="shared" si="47"/>
        <v>MEDIO</v>
      </c>
    </row>
    <row r="109" spans="1:63" x14ac:dyDescent="0.15">
      <c r="A109" s="85">
        <v>4</v>
      </c>
      <c r="B109" s="85">
        <v>2</v>
      </c>
      <c r="C109" s="85">
        <v>0</v>
      </c>
      <c r="D109" s="85">
        <v>1</v>
      </c>
      <c r="E109" s="85">
        <v>1</v>
      </c>
      <c r="F109" s="18">
        <v>1</v>
      </c>
      <c r="G109" s="64">
        <f t="shared" si="24"/>
        <v>0.5</v>
      </c>
      <c r="H109" s="18">
        <v>0</v>
      </c>
      <c r="I109" s="64">
        <f t="shared" si="25"/>
        <v>0</v>
      </c>
      <c r="J109" s="18">
        <v>0</v>
      </c>
      <c r="K109" s="64">
        <f t="shared" si="26"/>
        <v>0</v>
      </c>
      <c r="L109" s="18">
        <v>2</v>
      </c>
      <c r="M109" s="64">
        <f t="shared" si="27"/>
        <v>0.66666666666666663</v>
      </c>
      <c r="N109" s="18">
        <v>5</v>
      </c>
      <c r="O109" s="64">
        <f t="shared" si="28"/>
        <v>1</v>
      </c>
      <c r="P109" s="18">
        <v>0</v>
      </c>
      <c r="Q109" s="64">
        <f t="shared" si="29"/>
        <v>0</v>
      </c>
      <c r="R109" s="24">
        <v>0</v>
      </c>
      <c r="S109" s="71">
        <f t="shared" si="30"/>
        <v>0</v>
      </c>
      <c r="T109" s="18">
        <v>1</v>
      </c>
      <c r="U109" s="64">
        <f t="shared" si="31"/>
        <v>0.33333333333333331</v>
      </c>
      <c r="V109" s="18">
        <v>3</v>
      </c>
      <c r="W109" s="71">
        <f t="shared" si="32"/>
        <v>0.75</v>
      </c>
      <c r="X109" s="18">
        <v>1</v>
      </c>
      <c r="Y109" s="71">
        <f t="shared" si="33"/>
        <v>0.33333333333333331</v>
      </c>
      <c r="Z109" s="18">
        <v>0</v>
      </c>
      <c r="AA109" s="71">
        <f t="shared" si="34"/>
        <v>0</v>
      </c>
      <c r="AB109" s="18">
        <v>0</v>
      </c>
      <c r="AC109" s="71">
        <f t="shared" si="35"/>
        <v>0</v>
      </c>
      <c r="AD109" s="85">
        <v>1</v>
      </c>
      <c r="AE109" s="85">
        <v>0</v>
      </c>
      <c r="AF109" s="85">
        <v>1</v>
      </c>
      <c r="AG109" s="85">
        <v>0</v>
      </c>
      <c r="AH109" s="85">
        <v>0</v>
      </c>
      <c r="AI109" s="85">
        <v>0</v>
      </c>
      <c r="AJ109" s="19">
        <v>1</v>
      </c>
      <c r="AK109" s="71">
        <f t="shared" si="36"/>
        <v>0.5</v>
      </c>
      <c r="AL109" s="18">
        <v>0</v>
      </c>
      <c r="AM109" s="71">
        <f t="shared" si="37"/>
        <v>0</v>
      </c>
      <c r="AN109" s="18">
        <v>0</v>
      </c>
      <c r="AO109" s="71">
        <f t="shared" si="38"/>
        <v>0</v>
      </c>
      <c r="AP109" s="18">
        <v>0</v>
      </c>
      <c r="AQ109" s="71">
        <f t="shared" si="39"/>
        <v>0</v>
      </c>
      <c r="AR109" s="85">
        <v>3</v>
      </c>
      <c r="AS109" s="18">
        <v>0</v>
      </c>
      <c r="AT109" s="71">
        <f t="shared" si="40"/>
        <v>0</v>
      </c>
      <c r="AU109" s="18">
        <v>0</v>
      </c>
      <c r="AV109" s="71">
        <f t="shared" si="41"/>
        <v>0</v>
      </c>
      <c r="AW109" s="18">
        <v>2</v>
      </c>
      <c r="AX109" s="71">
        <f t="shared" si="42"/>
        <v>1</v>
      </c>
      <c r="AY109" s="18">
        <v>0</v>
      </c>
      <c r="AZ109" s="71">
        <f t="shared" si="43"/>
        <v>0</v>
      </c>
      <c r="BA109" s="94">
        <v>0</v>
      </c>
      <c r="BB109" s="94">
        <v>0</v>
      </c>
      <c r="BC109" s="94">
        <v>0</v>
      </c>
      <c r="BD109" s="94">
        <v>1</v>
      </c>
      <c r="BE109" s="102">
        <f t="shared" si="44"/>
        <v>3.6827299656640586</v>
      </c>
      <c r="BF109" s="81">
        <f t="shared" si="45"/>
        <v>0.17651654540004724</v>
      </c>
      <c r="BG109" s="81" t="str">
        <f t="shared" si="46"/>
        <v>BASSO</v>
      </c>
      <c r="BK109" s="81" t="str">
        <f t="shared" si="47"/>
        <v>MOLTO BASSO</v>
      </c>
    </row>
    <row r="110" spans="1:63" x14ac:dyDescent="0.15">
      <c r="A110" s="84">
        <v>3</v>
      </c>
      <c r="B110" s="84">
        <v>1</v>
      </c>
      <c r="C110" s="84">
        <v>2</v>
      </c>
      <c r="D110" s="84">
        <v>0</v>
      </c>
      <c r="E110" s="85">
        <v>1</v>
      </c>
      <c r="F110" s="17">
        <v>1</v>
      </c>
      <c r="G110" s="64">
        <f t="shared" si="24"/>
        <v>0.5</v>
      </c>
      <c r="H110" s="17">
        <v>1</v>
      </c>
      <c r="I110" s="64">
        <f t="shared" si="25"/>
        <v>0.5</v>
      </c>
      <c r="J110" s="17">
        <v>1</v>
      </c>
      <c r="K110" s="64">
        <f t="shared" si="26"/>
        <v>0.5</v>
      </c>
      <c r="L110" s="17">
        <v>1</v>
      </c>
      <c r="M110" s="64">
        <f t="shared" si="27"/>
        <v>0.33333333333333331</v>
      </c>
      <c r="N110" s="17">
        <v>2</v>
      </c>
      <c r="O110" s="64">
        <f t="shared" si="28"/>
        <v>0.4</v>
      </c>
      <c r="P110" s="17">
        <v>3</v>
      </c>
      <c r="Q110" s="64">
        <f t="shared" si="29"/>
        <v>1</v>
      </c>
      <c r="R110" s="25">
        <v>2</v>
      </c>
      <c r="S110" s="71">
        <f t="shared" si="30"/>
        <v>0.66666666666666663</v>
      </c>
      <c r="T110" s="17">
        <v>2</v>
      </c>
      <c r="U110" s="64">
        <f t="shared" si="31"/>
        <v>0.66666666666666663</v>
      </c>
      <c r="V110" s="17">
        <v>3</v>
      </c>
      <c r="W110" s="71">
        <f t="shared" si="32"/>
        <v>0.75</v>
      </c>
      <c r="X110" s="17">
        <v>2</v>
      </c>
      <c r="Y110" s="71">
        <f t="shared" si="33"/>
        <v>0.66666666666666663</v>
      </c>
      <c r="Z110" s="17">
        <v>0</v>
      </c>
      <c r="AA110" s="71">
        <f t="shared" si="34"/>
        <v>0</v>
      </c>
      <c r="AB110" s="17">
        <v>1</v>
      </c>
      <c r="AC110" s="71">
        <f t="shared" si="35"/>
        <v>0.5</v>
      </c>
      <c r="AD110" s="84">
        <v>1</v>
      </c>
      <c r="AE110" s="84">
        <v>0</v>
      </c>
      <c r="AF110" s="84">
        <v>1</v>
      </c>
      <c r="AG110" s="84">
        <v>0</v>
      </c>
      <c r="AH110" s="84">
        <v>0</v>
      </c>
      <c r="AI110" s="84">
        <v>0</v>
      </c>
      <c r="AJ110" s="20">
        <v>1</v>
      </c>
      <c r="AK110" s="71">
        <f t="shared" si="36"/>
        <v>0.5</v>
      </c>
      <c r="AL110" s="17">
        <v>3</v>
      </c>
      <c r="AM110" s="71">
        <f t="shared" si="37"/>
        <v>1</v>
      </c>
      <c r="AN110" s="17">
        <v>1</v>
      </c>
      <c r="AO110" s="71">
        <f t="shared" si="38"/>
        <v>0.33333333333333331</v>
      </c>
      <c r="AP110" s="17">
        <v>1</v>
      </c>
      <c r="AQ110" s="71">
        <f t="shared" si="39"/>
        <v>0.33333333333333331</v>
      </c>
      <c r="AR110" s="84">
        <v>0</v>
      </c>
      <c r="AS110" s="17">
        <v>2</v>
      </c>
      <c r="AT110" s="71">
        <f t="shared" si="40"/>
        <v>0.66666666666666663</v>
      </c>
      <c r="AU110" s="17">
        <v>2</v>
      </c>
      <c r="AV110" s="71">
        <f t="shared" si="41"/>
        <v>0.66666666666666663</v>
      </c>
      <c r="AW110" s="17">
        <v>1</v>
      </c>
      <c r="AX110" s="71">
        <f t="shared" si="42"/>
        <v>0.5</v>
      </c>
      <c r="AY110" s="17">
        <v>3</v>
      </c>
      <c r="AZ110" s="71">
        <f t="shared" si="43"/>
        <v>1</v>
      </c>
      <c r="BA110" s="93">
        <v>1</v>
      </c>
      <c r="BB110" s="93">
        <v>0</v>
      </c>
      <c r="BC110" s="93">
        <v>1</v>
      </c>
      <c r="BD110" s="93">
        <v>0</v>
      </c>
      <c r="BE110" s="102">
        <f t="shared" si="44"/>
        <v>2.1934878365035191</v>
      </c>
      <c r="BF110" s="81">
        <f t="shared" si="45"/>
        <v>0.50952120897596476</v>
      </c>
      <c r="BG110" s="81" t="str">
        <f t="shared" si="46"/>
        <v>MEDIO</v>
      </c>
      <c r="BK110" s="81" t="str">
        <f t="shared" si="47"/>
        <v>MEDIO</v>
      </c>
    </row>
    <row r="111" spans="1:63" x14ac:dyDescent="0.15">
      <c r="A111" s="85">
        <v>3</v>
      </c>
      <c r="B111" s="85">
        <v>2</v>
      </c>
      <c r="C111" s="85">
        <v>3</v>
      </c>
      <c r="D111" s="85">
        <v>3</v>
      </c>
      <c r="E111" s="85">
        <v>1</v>
      </c>
      <c r="F111" s="18">
        <v>2</v>
      </c>
      <c r="G111" s="64">
        <f t="shared" si="24"/>
        <v>1</v>
      </c>
      <c r="H111" s="18">
        <v>2</v>
      </c>
      <c r="I111" s="64">
        <f t="shared" si="25"/>
        <v>1</v>
      </c>
      <c r="J111" s="18">
        <v>1</v>
      </c>
      <c r="K111" s="64">
        <f t="shared" si="26"/>
        <v>0.5</v>
      </c>
      <c r="L111" s="18">
        <v>2</v>
      </c>
      <c r="M111" s="64">
        <f t="shared" si="27"/>
        <v>0.66666666666666663</v>
      </c>
      <c r="N111" s="18">
        <v>4</v>
      </c>
      <c r="O111" s="64">
        <f t="shared" si="28"/>
        <v>0.8</v>
      </c>
      <c r="P111" s="18">
        <v>3</v>
      </c>
      <c r="Q111" s="64">
        <f t="shared" si="29"/>
        <v>1</v>
      </c>
      <c r="R111" s="24">
        <v>3</v>
      </c>
      <c r="S111" s="71">
        <f t="shared" si="30"/>
        <v>1</v>
      </c>
      <c r="T111" s="18">
        <v>3</v>
      </c>
      <c r="U111" s="64">
        <f t="shared" si="31"/>
        <v>1</v>
      </c>
      <c r="V111" s="18">
        <v>0</v>
      </c>
      <c r="W111" s="71">
        <f t="shared" si="32"/>
        <v>0</v>
      </c>
      <c r="X111" s="18">
        <v>2</v>
      </c>
      <c r="Y111" s="71">
        <f t="shared" si="33"/>
        <v>0.66666666666666663</v>
      </c>
      <c r="Z111" s="18">
        <v>3</v>
      </c>
      <c r="AA111" s="71">
        <f t="shared" si="34"/>
        <v>1</v>
      </c>
      <c r="AB111" s="18">
        <v>1</v>
      </c>
      <c r="AC111" s="71">
        <f t="shared" si="35"/>
        <v>0.5</v>
      </c>
      <c r="AD111" s="85">
        <v>1</v>
      </c>
      <c r="AE111" s="85">
        <v>0</v>
      </c>
      <c r="AF111" s="85">
        <v>1</v>
      </c>
      <c r="AG111" s="85">
        <v>0</v>
      </c>
      <c r="AH111" s="85">
        <v>0</v>
      </c>
      <c r="AI111" s="85">
        <v>0</v>
      </c>
      <c r="AJ111" s="19">
        <v>2</v>
      </c>
      <c r="AK111" s="71">
        <f t="shared" si="36"/>
        <v>1</v>
      </c>
      <c r="AL111" s="18">
        <v>3</v>
      </c>
      <c r="AM111" s="71">
        <f t="shared" si="37"/>
        <v>1</v>
      </c>
      <c r="AN111" s="18">
        <v>1</v>
      </c>
      <c r="AO111" s="71">
        <f t="shared" si="38"/>
        <v>0.33333333333333331</v>
      </c>
      <c r="AP111" s="18">
        <v>2</v>
      </c>
      <c r="AQ111" s="71">
        <f t="shared" si="39"/>
        <v>0.66666666666666663</v>
      </c>
      <c r="AR111" s="85">
        <v>2</v>
      </c>
      <c r="AS111" s="18">
        <v>2</v>
      </c>
      <c r="AT111" s="71">
        <f t="shared" si="40"/>
        <v>0.66666666666666663</v>
      </c>
      <c r="AU111" s="18">
        <v>3</v>
      </c>
      <c r="AV111" s="71">
        <f t="shared" si="41"/>
        <v>1</v>
      </c>
      <c r="AW111" s="18">
        <v>0</v>
      </c>
      <c r="AX111" s="71">
        <f t="shared" si="42"/>
        <v>0</v>
      </c>
      <c r="AY111" s="18">
        <v>1</v>
      </c>
      <c r="AZ111" s="71">
        <f t="shared" si="43"/>
        <v>0.33333333333333331</v>
      </c>
      <c r="BA111" s="94">
        <v>0</v>
      </c>
      <c r="BB111" s="94">
        <v>1</v>
      </c>
      <c r="BC111" s="94">
        <v>1</v>
      </c>
      <c r="BD111" s="94">
        <v>0</v>
      </c>
      <c r="BE111" s="102">
        <f t="shared" si="44"/>
        <v>1.968078589216735</v>
      </c>
      <c r="BF111" s="81">
        <f t="shared" si="45"/>
        <v>0.55992424894499093</v>
      </c>
      <c r="BG111" s="81" t="str">
        <f t="shared" si="46"/>
        <v>MEDIO</v>
      </c>
      <c r="BK111" s="81" t="str">
        <f t="shared" si="47"/>
        <v>MEDIO</v>
      </c>
    </row>
    <row r="112" spans="1:63" x14ac:dyDescent="0.15">
      <c r="A112" s="84">
        <v>3</v>
      </c>
      <c r="B112" s="84">
        <v>1</v>
      </c>
      <c r="C112" s="84">
        <v>2</v>
      </c>
      <c r="D112" s="84">
        <v>2</v>
      </c>
      <c r="E112" s="85">
        <v>1</v>
      </c>
      <c r="F112" s="17">
        <v>1</v>
      </c>
      <c r="G112" s="64">
        <f t="shared" si="24"/>
        <v>0.5</v>
      </c>
      <c r="H112" s="17">
        <v>0</v>
      </c>
      <c r="I112" s="64">
        <f t="shared" si="25"/>
        <v>0</v>
      </c>
      <c r="J112" s="17">
        <v>1</v>
      </c>
      <c r="K112" s="64">
        <f t="shared" si="26"/>
        <v>0.5</v>
      </c>
      <c r="L112" s="17">
        <v>1</v>
      </c>
      <c r="M112" s="64">
        <f t="shared" si="27"/>
        <v>0.33333333333333331</v>
      </c>
      <c r="N112" s="17">
        <v>3</v>
      </c>
      <c r="O112" s="64">
        <f t="shared" si="28"/>
        <v>0.6</v>
      </c>
      <c r="P112" s="17">
        <v>0</v>
      </c>
      <c r="Q112" s="64">
        <f t="shared" si="29"/>
        <v>0</v>
      </c>
      <c r="R112" s="25">
        <v>2</v>
      </c>
      <c r="S112" s="71">
        <f t="shared" si="30"/>
        <v>0.66666666666666663</v>
      </c>
      <c r="T112" s="17">
        <v>2</v>
      </c>
      <c r="U112" s="64">
        <f t="shared" si="31"/>
        <v>0.66666666666666663</v>
      </c>
      <c r="V112" s="17">
        <v>3</v>
      </c>
      <c r="W112" s="71">
        <f t="shared" si="32"/>
        <v>0.75</v>
      </c>
      <c r="X112" s="17">
        <v>2</v>
      </c>
      <c r="Y112" s="71">
        <f t="shared" si="33"/>
        <v>0.66666666666666663</v>
      </c>
      <c r="Z112" s="17">
        <v>0</v>
      </c>
      <c r="AA112" s="71">
        <f t="shared" si="34"/>
        <v>0</v>
      </c>
      <c r="AB112" s="17">
        <v>0</v>
      </c>
      <c r="AC112" s="71">
        <f t="shared" si="35"/>
        <v>0</v>
      </c>
      <c r="AD112" s="84">
        <v>1</v>
      </c>
      <c r="AE112" s="84">
        <v>0</v>
      </c>
      <c r="AF112" s="84">
        <v>1</v>
      </c>
      <c r="AG112" s="84">
        <v>0</v>
      </c>
      <c r="AH112" s="84">
        <v>0</v>
      </c>
      <c r="AI112" s="84">
        <v>0</v>
      </c>
      <c r="AJ112" s="20">
        <v>1</v>
      </c>
      <c r="AK112" s="71">
        <f t="shared" si="36"/>
        <v>0.5</v>
      </c>
      <c r="AL112" s="17">
        <v>2</v>
      </c>
      <c r="AM112" s="71">
        <f t="shared" si="37"/>
        <v>0.66666666666666663</v>
      </c>
      <c r="AN112" s="17">
        <v>0</v>
      </c>
      <c r="AO112" s="71">
        <f t="shared" si="38"/>
        <v>0</v>
      </c>
      <c r="AP112" s="17">
        <v>0</v>
      </c>
      <c r="AQ112" s="71">
        <f t="shared" si="39"/>
        <v>0</v>
      </c>
      <c r="AR112" s="84">
        <v>0</v>
      </c>
      <c r="AS112" s="17">
        <v>3</v>
      </c>
      <c r="AT112" s="71">
        <f t="shared" si="40"/>
        <v>1</v>
      </c>
      <c r="AU112" s="17">
        <v>2</v>
      </c>
      <c r="AV112" s="71">
        <f t="shared" si="41"/>
        <v>0.66666666666666663</v>
      </c>
      <c r="AW112" s="17">
        <v>1</v>
      </c>
      <c r="AX112" s="71">
        <f t="shared" si="42"/>
        <v>0.5</v>
      </c>
      <c r="AY112" s="17">
        <v>3</v>
      </c>
      <c r="AZ112" s="71">
        <f t="shared" si="43"/>
        <v>1</v>
      </c>
      <c r="BA112" s="93">
        <v>1</v>
      </c>
      <c r="BB112" s="93">
        <v>1</v>
      </c>
      <c r="BC112" s="93">
        <v>0</v>
      </c>
      <c r="BD112" s="93">
        <v>0</v>
      </c>
      <c r="BE112" s="102">
        <f t="shared" si="44"/>
        <v>2.8674901917879336</v>
      </c>
      <c r="BF112" s="81">
        <f t="shared" si="45"/>
        <v>0.35880970063488737</v>
      </c>
      <c r="BG112" s="81" t="str">
        <f t="shared" si="46"/>
        <v>MEDIO</v>
      </c>
      <c r="BK112" s="81" t="str">
        <f t="shared" si="47"/>
        <v>BASSO</v>
      </c>
    </row>
    <row r="113" spans="1:63" x14ac:dyDescent="0.15">
      <c r="A113" s="85">
        <v>3</v>
      </c>
      <c r="B113" s="85">
        <v>1</v>
      </c>
      <c r="C113" s="85">
        <v>3</v>
      </c>
      <c r="D113" s="85">
        <v>2</v>
      </c>
      <c r="E113" s="85">
        <v>1</v>
      </c>
      <c r="F113" s="18">
        <v>2</v>
      </c>
      <c r="G113" s="64">
        <f t="shared" si="24"/>
        <v>1</v>
      </c>
      <c r="H113" s="18">
        <v>2</v>
      </c>
      <c r="I113" s="64">
        <f t="shared" si="25"/>
        <v>1</v>
      </c>
      <c r="J113" s="18">
        <v>1</v>
      </c>
      <c r="K113" s="64">
        <f t="shared" si="26"/>
        <v>0.5</v>
      </c>
      <c r="L113" s="18">
        <v>2</v>
      </c>
      <c r="M113" s="64">
        <f t="shared" si="27"/>
        <v>0.66666666666666663</v>
      </c>
      <c r="N113" s="18">
        <v>0</v>
      </c>
      <c r="O113" s="64">
        <f t="shared" si="28"/>
        <v>0</v>
      </c>
      <c r="P113" s="18">
        <v>2</v>
      </c>
      <c r="Q113" s="64">
        <f t="shared" si="29"/>
        <v>0.66666666666666663</v>
      </c>
      <c r="R113" s="24">
        <v>3</v>
      </c>
      <c r="S113" s="71">
        <f t="shared" si="30"/>
        <v>1</v>
      </c>
      <c r="T113" s="18">
        <v>3</v>
      </c>
      <c r="U113" s="64">
        <f t="shared" si="31"/>
        <v>1</v>
      </c>
      <c r="V113" s="18">
        <v>3</v>
      </c>
      <c r="W113" s="71">
        <f t="shared" si="32"/>
        <v>0.75</v>
      </c>
      <c r="X113" s="18">
        <v>3</v>
      </c>
      <c r="Y113" s="71">
        <f t="shared" si="33"/>
        <v>1</v>
      </c>
      <c r="Z113" s="18">
        <v>1</v>
      </c>
      <c r="AA113" s="71">
        <f t="shared" si="34"/>
        <v>0.33333333333333331</v>
      </c>
      <c r="AB113" s="18">
        <v>1</v>
      </c>
      <c r="AC113" s="71">
        <f t="shared" si="35"/>
        <v>0.5</v>
      </c>
      <c r="AD113" s="85">
        <v>1</v>
      </c>
      <c r="AE113" s="85">
        <v>0</v>
      </c>
      <c r="AF113" s="85">
        <v>1</v>
      </c>
      <c r="AG113" s="85">
        <v>0</v>
      </c>
      <c r="AH113" s="85">
        <v>0</v>
      </c>
      <c r="AI113" s="85">
        <v>0</v>
      </c>
      <c r="AJ113" s="19">
        <v>2</v>
      </c>
      <c r="AK113" s="71">
        <f t="shared" si="36"/>
        <v>1</v>
      </c>
      <c r="AL113" s="18">
        <v>0</v>
      </c>
      <c r="AM113" s="71">
        <f t="shared" si="37"/>
        <v>0</v>
      </c>
      <c r="AN113" s="18">
        <v>2</v>
      </c>
      <c r="AO113" s="71">
        <f t="shared" si="38"/>
        <v>0.66666666666666663</v>
      </c>
      <c r="AP113" s="18">
        <v>3</v>
      </c>
      <c r="AQ113" s="71">
        <f t="shared" si="39"/>
        <v>1</v>
      </c>
      <c r="AR113" s="85">
        <v>1</v>
      </c>
      <c r="AS113" s="18">
        <v>3</v>
      </c>
      <c r="AT113" s="71">
        <f t="shared" si="40"/>
        <v>1</v>
      </c>
      <c r="AU113" s="18">
        <v>3</v>
      </c>
      <c r="AV113" s="71">
        <f t="shared" si="41"/>
        <v>1</v>
      </c>
      <c r="AW113" s="18">
        <v>1</v>
      </c>
      <c r="AX113" s="71">
        <f t="shared" si="42"/>
        <v>0.5</v>
      </c>
      <c r="AY113" s="18">
        <v>1</v>
      </c>
      <c r="AZ113" s="71">
        <f t="shared" si="43"/>
        <v>0.33333333333333331</v>
      </c>
      <c r="BA113" s="94">
        <v>0</v>
      </c>
      <c r="BB113" s="94">
        <v>1</v>
      </c>
      <c r="BC113" s="94">
        <v>1</v>
      </c>
      <c r="BD113" s="94">
        <v>0</v>
      </c>
      <c r="BE113" s="102">
        <f t="shared" si="44"/>
        <v>2.0086617988656581</v>
      </c>
      <c r="BF113" s="81">
        <f t="shared" si="45"/>
        <v>0.55084956739298008</v>
      </c>
      <c r="BG113" s="81" t="str">
        <f t="shared" si="46"/>
        <v>MEDIO</v>
      </c>
      <c r="BK113" s="81" t="str">
        <f t="shared" si="47"/>
        <v>MEDIO</v>
      </c>
    </row>
    <row r="114" spans="1:63" x14ac:dyDescent="0.15">
      <c r="A114" s="84">
        <v>3</v>
      </c>
      <c r="B114" s="84">
        <v>1</v>
      </c>
      <c r="C114" s="84">
        <v>3</v>
      </c>
      <c r="D114" s="84">
        <v>2</v>
      </c>
      <c r="E114" s="85">
        <v>1</v>
      </c>
      <c r="F114" s="17">
        <v>1</v>
      </c>
      <c r="G114" s="64">
        <f t="shared" si="24"/>
        <v>0.5</v>
      </c>
      <c r="H114" s="17">
        <v>1</v>
      </c>
      <c r="I114" s="64">
        <f t="shared" si="25"/>
        <v>0.5</v>
      </c>
      <c r="J114" s="17">
        <v>0</v>
      </c>
      <c r="K114" s="64">
        <f t="shared" si="26"/>
        <v>0</v>
      </c>
      <c r="L114" s="17">
        <v>0</v>
      </c>
      <c r="M114" s="64">
        <f t="shared" si="27"/>
        <v>0</v>
      </c>
      <c r="N114" s="17">
        <v>4</v>
      </c>
      <c r="O114" s="64">
        <f t="shared" si="28"/>
        <v>0.8</v>
      </c>
      <c r="P114" s="17">
        <v>0</v>
      </c>
      <c r="Q114" s="64">
        <f t="shared" si="29"/>
        <v>0</v>
      </c>
      <c r="R114" s="25">
        <v>3</v>
      </c>
      <c r="S114" s="71">
        <f t="shared" si="30"/>
        <v>1</v>
      </c>
      <c r="T114" s="17">
        <v>0</v>
      </c>
      <c r="U114" s="64">
        <f t="shared" si="31"/>
        <v>0</v>
      </c>
      <c r="V114" s="17">
        <v>3</v>
      </c>
      <c r="W114" s="71">
        <f t="shared" si="32"/>
        <v>0.75</v>
      </c>
      <c r="X114" s="17">
        <v>3</v>
      </c>
      <c r="Y114" s="71">
        <f t="shared" si="33"/>
        <v>1</v>
      </c>
      <c r="Z114" s="17">
        <v>1</v>
      </c>
      <c r="AA114" s="71">
        <f t="shared" si="34"/>
        <v>0.33333333333333331</v>
      </c>
      <c r="AB114" s="17">
        <v>3</v>
      </c>
      <c r="AC114" s="71">
        <f t="shared" si="35"/>
        <v>1.5</v>
      </c>
      <c r="AD114" s="84">
        <v>1</v>
      </c>
      <c r="AE114" s="84">
        <v>0</v>
      </c>
      <c r="AF114" s="84">
        <v>0</v>
      </c>
      <c r="AG114" s="84">
        <v>1</v>
      </c>
      <c r="AH114" s="84">
        <v>0</v>
      </c>
      <c r="AI114" s="84">
        <v>0</v>
      </c>
      <c r="AJ114" s="20">
        <v>1</v>
      </c>
      <c r="AK114" s="71">
        <f t="shared" si="36"/>
        <v>0.5</v>
      </c>
      <c r="AL114" s="17">
        <v>0</v>
      </c>
      <c r="AM114" s="71">
        <f t="shared" si="37"/>
        <v>0</v>
      </c>
      <c r="AN114" s="17">
        <v>0</v>
      </c>
      <c r="AO114" s="71">
        <f t="shared" si="38"/>
        <v>0</v>
      </c>
      <c r="AP114" s="17">
        <v>3</v>
      </c>
      <c r="AQ114" s="71">
        <f t="shared" si="39"/>
        <v>1</v>
      </c>
      <c r="AR114" s="84">
        <v>2</v>
      </c>
      <c r="AS114" s="17">
        <v>2</v>
      </c>
      <c r="AT114" s="71">
        <f t="shared" si="40"/>
        <v>0.66666666666666663</v>
      </c>
      <c r="AU114" s="17">
        <v>0</v>
      </c>
      <c r="AV114" s="71">
        <f t="shared" si="41"/>
        <v>0</v>
      </c>
      <c r="AW114" s="17">
        <v>0</v>
      </c>
      <c r="AX114" s="71">
        <f t="shared" si="42"/>
        <v>0</v>
      </c>
      <c r="AY114" s="17">
        <v>2</v>
      </c>
      <c r="AZ114" s="71">
        <f t="shared" si="43"/>
        <v>0.66666666666666663</v>
      </c>
      <c r="BA114" s="93">
        <v>0</v>
      </c>
      <c r="BB114" s="93">
        <v>1</v>
      </c>
      <c r="BC114" s="93">
        <v>0</v>
      </c>
      <c r="BD114" s="93">
        <v>0</v>
      </c>
      <c r="BE114" s="102">
        <f t="shared" si="44"/>
        <v>3.1255666152982031</v>
      </c>
      <c r="BF114" s="81">
        <f t="shared" si="45"/>
        <v>0.30110205799899403</v>
      </c>
      <c r="BG114" s="81" t="str">
        <f t="shared" si="46"/>
        <v>BASSO</v>
      </c>
      <c r="BK114" s="81" t="str">
        <f t="shared" si="47"/>
        <v>BASSO</v>
      </c>
    </row>
    <row r="115" spans="1:63" x14ac:dyDescent="0.15">
      <c r="A115" s="85">
        <v>3</v>
      </c>
      <c r="B115" s="85">
        <v>2</v>
      </c>
      <c r="C115" s="85">
        <v>3</v>
      </c>
      <c r="D115" s="85">
        <v>2</v>
      </c>
      <c r="E115" s="85">
        <v>1</v>
      </c>
      <c r="F115" s="18">
        <v>2</v>
      </c>
      <c r="G115" s="64">
        <f t="shared" si="24"/>
        <v>1</v>
      </c>
      <c r="H115" s="18">
        <v>1</v>
      </c>
      <c r="I115" s="64">
        <f t="shared" si="25"/>
        <v>0.5</v>
      </c>
      <c r="J115" s="18">
        <v>1</v>
      </c>
      <c r="K115" s="64">
        <f t="shared" si="26"/>
        <v>0.5</v>
      </c>
      <c r="L115" s="18">
        <v>2</v>
      </c>
      <c r="M115" s="64">
        <f t="shared" si="27"/>
        <v>0.66666666666666663</v>
      </c>
      <c r="N115" s="18">
        <v>4</v>
      </c>
      <c r="O115" s="64">
        <f t="shared" si="28"/>
        <v>0.8</v>
      </c>
      <c r="P115" s="18">
        <v>0</v>
      </c>
      <c r="Q115" s="64">
        <f t="shared" si="29"/>
        <v>0</v>
      </c>
      <c r="R115" s="24">
        <v>1</v>
      </c>
      <c r="S115" s="71">
        <f t="shared" si="30"/>
        <v>0.33333333333333331</v>
      </c>
      <c r="T115" s="18">
        <v>1</v>
      </c>
      <c r="U115" s="64">
        <f t="shared" si="31"/>
        <v>0.33333333333333331</v>
      </c>
      <c r="V115" s="18">
        <v>3</v>
      </c>
      <c r="W115" s="71">
        <f t="shared" si="32"/>
        <v>0.75</v>
      </c>
      <c r="X115" s="18">
        <v>1</v>
      </c>
      <c r="Y115" s="71">
        <f t="shared" si="33"/>
        <v>0.33333333333333331</v>
      </c>
      <c r="Z115" s="18">
        <v>3</v>
      </c>
      <c r="AA115" s="71">
        <f t="shared" si="34"/>
        <v>1</v>
      </c>
      <c r="AB115" s="18">
        <v>2</v>
      </c>
      <c r="AC115" s="71">
        <f t="shared" si="35"/>
        <v>1</v>
      </c>
      <c r="AD115" s="85">
        <v>0</v>
      </c>
      <c r="AE115" s="85">
        <v>0</v>
      </c>
      <c r="AF115" s="85">
        <v>0</v>
      </c>
      <c r="AG115" s="85">
        <v>1</v>
      </c>
      <c r="AH115" s="85">
        <v>0</v>
      </c>
      <c r="AI115" s="85">
        <v>0</v>
      </c>
      <c r="AJ115" s="19">
        <v>0</v>
      </c>
      <c r="AK115" s="71">
        <f t="shared" si="36"/>
        <v>0</v>
      </c>
      <c r="AL115" s="18">
        <v>2</v>
      </c>
      <c r="AM115" s="71">
        <f t="shared" si="37"/>
        <v>0.66666666666666663</v>
      </c>
      <c r="AN115" s="18">
        <v>0</v>
      </c>
      <c r="AO115" s="71">
        <f t="shared" si="38"/>
        <v>0</v>
      </c>
      <c r="AP115" s="18">
        <v>2</v>
      </c>
      <c r="AQ115" s="71">
        <f t="shared" si="39"/>
        <v>0.66666666666666663</v>
      </c>
      <c r="AR115" s="85">
        <v>2</v>
      </c>
      <c r="AS115" s="18">
        <v>1</v>
      </c>
      <c r="AT115" s="71">
        <f t="shared" si="40"/>
        <v>0.33333333333333331</v>
      </c>
      <c r="AU115" s="18">
        <v>1</v>
      </c>
      <c r="AV115" s="71">
        <f t="shared" si="41"/>
        <v>0.33333333333333331</v>
      </c>
      <c r="AW115" s="18">
        <v>1</v>
      </c>
      <c r="AX115" s="71">
        <f t="shared" si="42"/>
        <v>0.5</v>
      </c>
      <c r="AY115" s="18">
        <v>2</v>
      </c>
      <c r="AZ115" s="71">
        <f t="shared" si="43"/>
        <v>0.66666666666666663</v>
      </c>
      <c r="BA115" s="94">
        <v>0</v>
      </c>
      <c r="BB115" s="94">
        <v>0</v>
      </c>
      <c r="BC115" s="94">
        <v>0</v>
      </c>
      <c r="BD115" s="94">
        <v>1</v>
      </c>
      <c r="BE115" s="102">
        <f t="shared" si="44"/>
        <v>2.5532658824859324</v>
      </c>
      <c r="BF115" s="81">
        <f t="shared" si="45"/>
        <v>0.42907239221310023</v>
      </c>
      <c r="BG115" s="81" t="str">
        <f t="shared" si="46"/>
        <v>MEDIO</v>
      </c>
      <c r="BK115" s="81" t="str">
        <f t="shared" si="47"/>
        <v>BASSO</v>
      </c>
    </row>
    <row r="116" spans="1:63" x14ac:dyDescent="0.15">
      <c r="A116" s="84">
        <v>3</v>
      </c>
      <c r="B116" s="84">
        <v>1</v>
      </c>
      <c r="C116" s="84">
        <v>4</v>
      </c>
      <c r="D116" s="84">
        <v>2</v>
      </c>
      <c r="E116" s="85">
        <v>1</v>
      </c>
      <c r="F116" s="17">
        <v>1</v>
      </c>
      <c r="G116" s="64">
        <f t="shared" si="24"/>
        <v>0.5</v>
      </c>
      <c r="H116" s="17">
        <v>2</v>
      </c>
      <c r="I116" s="64">
        <f t="shared" si="25"/>
        <v>1</v>
      </c>
      <c r="J116" s="17">
        <v>2</v>
      </c>
      <c r="K116" s="64">
        <f t="shared" si="26"/>
        <v>1</v>
      </c>
      <c r="L116" s="17">
        <v>1</v>
      </c>
      <c r="M116" s="64">
        <f t="shared" si="27"/>
        <v>0.33333333333333331</v>
      </c>
      <c r="N116" s="17">
        <v>2</v>
      </c>
      <c r="O116" s="64">
        <f t="shared" si="28"/>
        <v>0.4</v>
      </c>
      <c r="P116" s="17">
        <v>3</v>
      </c>
      <c r="Q116" s="64">
        <f t="shared" si="29"/>
        <v>1</v>
      </c>
      <c r="R116" s="25">
        <v>3</v>
      </c>
      <c r="S116" s="71">
        <f t="shared" si="30"/>
        <v>1</v>
      </c>
      <c r="T116" s="17">
        <v>3</v>
      </c>
      <c r="U116" s="64">
        <f t="shared" si="31"/>
        <v>1</v>
      </c>
      <c r="V116" s="17">
        <v>3</v>
      </c>
      <c r="W116" s="71">
        <f t="shared" si="32"/>
        <v>0.75</v>
      </c>
      <c r="X116" s="17">
        <v>3</v>
      </c>
      <c r="Y116" s="71">
        <f t="shared" si="33"/>
        <v>1</v>
      </c>
      <c r="Z116" s="17">
        <v>3</v>
      </c>
      <c r="AA116" s="71">
        <f t="shared" si="34"/>
        <v>1</v>
      </c>
      <c r="AB116" s="17">
        <v>0</v>
      </c>
      <c r="AC116" s="71">
        <f t="shared" si="35"/>
        <v>0</v>
      </c>
      <c r="AD116" s="84">
        <v>1</v>
      </c>
      <c r="AE116" s="84">
        <v>0</v>
      </c>
      <c r="AF116" s="84">
        <v>1</v>
      </c>
      <c r="AG116" s="84">
        <v>0</v>
      </c>
      <c r="AH116" s="84">
        <v>0</v>
      </c>
      <c r="AI116" s="84">
        <v>0</v>
      </c>
      <c r="AJ116" s="20">
        <v>2</v>
      </c>
      <c r="AK116" s="71">
        <f t="shared" si="36"/>
        <v>1</v>
      </c>
      <c r="AL116" s="17">
        <v>2</v>
      </c>
      <c r="AM116" s="71">
        <f t="shared" si="37"/>
        <v>0.66666666666666663</v>
      </c>
      <c r="AN116" s="17">
        <v>2</v>
      </c>
      <c r="AO116" s="71">
        <f t="shared" si="38"/>
        <v>0.66666666666666663</v>
      </c>
      <c r="AP116" s="17">
        <v>2</v>
      </c>
      <c r="AQ116" s="71">
        <f t="shared" si="39"/>
        <v>0.66666666666666663</v>
      </c>
      <c r="AR116" s="84">
        <v>1</v>
      </c>
      <c r="AS116" s="17">
        <v>3</v>
      </c>
      <c r="AT116" s="71">
        <f t="shared" si="40"/>
        <v>1</v>
      </c>
      <c r="AU116" s="17">
        <v>3</v>
      </c>
      <c r="AV116" s="71">
        <f t="shared" si="41"/>
        <v>1</v>
      </c>
      <c r="AW116" s="17">
        <v>0</v>
      </c>
      <c r="AX116" s="71">
        <f t="shared" si="42"/>
        <v>0</v>
      </c>
      <c r="AY116" s="17">
        <v>3</v>
      </c>
      <c r="AZ116" s="71">
        <f t="shared" si="43"/>
        <v>1</v>
      </c>
      <c r="BA116" s="93">
        <v>0</v>
      </c>
      <c r="BB116" s="93">
        <v>1</v>
      </c>
      <c r="BC116" s="93">
        <v>1</v>
      </c>
      <c r="BD116" s="93">
        <v>0</v>
      </c>
      <c r="BE116" s="102">
        <f t="shared" si="44"/>
        <v>1.8574923358597681</v>
      </c>
      <c r="BF116" s="81">
        <f t="shared" si="45"/>
        <v>0.58465208693330784</v>
      </c>
      <c r="BG116" s="81" t="str">
        <f t="shared" si="46"/>
        <v>MEDIO</v>
      </c>
      <c r="BK116" s="81" t="str">
        <f t="shared" si="47"/>
        <v>MEDIO</v>
      </c>
    </row>
    <row r="117" spans="1:63" x14ac:dyDescent="0.15">
      <c r="A117" s="85">
        <v>2</v>
      </c>
      <c r="B117" s="85">
        <v>2</v>
      </c>
      <c r="C117" s="85">
        <v>3</v>
      </c>
      <c r="D117" s="85">
        <v>2</v>
      </c>
      <c r="E117" s="85">
        <v>1</v>
      </c>
      <c r="F117" s="18">
        <v>2</v>
      </c>
      <c r="G117" s="64">
        <f t="shared" si="24"/>
        <v>1</v>
      </c>
      <c r="H117" s="18">
        <v>1</v>
      </c>
      <c r="I117" s="64">
        <f t="shared" si="25"/>
        <v>0.5</v>
      </c>
      <c r="J117" s="18">
        <v>1</v>
      </c>
      <c r="K117" s="64">
        <f t="shared" si="26"/>
        <v>0.5</v>
      </c>
      <c r="L117" s="18">
        <v>1</v>
      </c>
      <c r="M117" s="64">
        <f t="shared" si="27"/>
        <v>0.33333333333333331</v>
      </c>
      <c r="N117" s="18">
        <v>0</v>
      </c>
      <c r="O117" s="64">
        <f t="shared" si="28"/>
        <v>0</v>
      </c>
      <c r="P117" s="18">
        <v>0</v>
      </c>
      <c r="Q117" s="64">
        <f t="shared" si="29"/>
        <v>0</v>
      </c>
      <c r="R117" s="24">
        <v>2</v>
      </c>
      <c r="S117" s="71">
        <f t="shared" si="30"/>
        <v>0.66666666666666663</v>
      </c>
      <c r="T117" s="18">
        <v>1</v>
      </c>
      <c r="U117" s="64">
        <f t="shared" si="31"/>
        <v>0.33333333333333331</v>
      </c>
      <c r="V117" s="18">
        <v>3</v>
      </c>
      <c r="W117" s="71">
        <f t="shared" si="32"/>
        <v>0.75</v>
      </c>
      <c r="X117" s="18">
        <v>2</v>
      </c>
      <c r="Y117" s="71">
        <f t="shared" si="33"/>
        <v>0.66666666666666663</v>
      </c>
      <c r="Z117" s="18">
        <v>1</v>
      </c>
      <c r="AA117" s="71">
        <f t="shared" si="34"/>
        <v>0.33333333333333331</v>
      </c>
      <c r="AB117" s="18">
        <v>2</v>
      </c>
      <c r="AC117" s="71">
        <f t="shared" si="35"/>
        <v>1</v>
      </c>
      <c r="AD117" s="85">
        <v>1</v>
      </c>
      <c r="AE117" s="85">
        <v>0</v>
      </c>
      <c r="AF117" s="85">
        <v>1</v>
      </c>
      <c r="AG117" s="85">
        <v>0</v>
      </c>
      <c r="AH117" s="85">
        <v>0</v>
      </c>
      <c r="AI117" s="85">
        <v>0</v>
      </c>
      <c r="AJ117" s="19">
        <v>1</v>
      </c>
      <c r="AK117" s="71">
        <f t="shared" si="36"/>
        <v>0.5</v>
      </c>
      <c r="AL117" s="18">
        <v>1</v>
      </c>
      <c r="AM117" s="71">
        <f t="shared" si="37"/>
        <v>0.33333333333333331</v>
      </c>
      <c r="AN117" s="18">
        <v>1</v>
      </c>
      <c r="AO117" s="71">
        <f t="shared" si="38"/>
        <v>0.33333333333333331</v>
      </c>
      <c r="AP117" s="18">
        <v>2</v>
      </c>
      <c r="AQ117" s="71">
        <f t="shared" si="39"/>
        <v>0.66666666666666663</v>
      </c>
      <c r="AR117" s="85">
        <v>3</v>
      </c>
      <c r="AS117" s="18">
        <v>0</v>
      </c>
      <c r="AT117" s="71">
        <f t="shared" si="40"/>
        <v>0</v>
      </c>
      <c r="AU117" s="18">
        <v>2</v>
      </c>
      <c r="AV117" s="71">
        <f t="shared" si="41"/>
        <v>0.66666666666666663</v>
      </c>
      <c r="AW117" s="18">
        <v>1</v>
      </c>
      <c r="AX117" s="71">
        <f t="shared" si="42"/>
        <v>0.5</v>
      </c>
      <c r="AY117" s="18">
        <v>0</v>
      </c>
      <c r="AZ117" s="71">
        <f t="shared" si="43"/>
        <v>0</v>
      </c>
      <c r="BA117" s="94">
        <v>0</v>
      </c>
      <c r="BB117" s="94">
        <v>1</v>
      </c>
      <c r="BC117" s="94">
        <v>0</v>
      </c>
      <c r="BD117" s="94">
        <v>0</v>
      </c>
      <c r="BE117" s="102">
        <f t="shared" si="44"/>
        <v>2.7801378862687129</v>
      </c>
      <c r="BF117" s="81">
        <f t="shared" si="45"/>
        <v>0.37834226994811626</v>
      </c>
      <c r="BG117" s="81" t="str">
        <f t="shared" si="46"/>
        <v>MEDIO</v>
      </c>
      <c r="BK117" s="81" t="str">
        <f t="shared" si="47"/>
        <v>BASSO</v>
      </c>
    </row>
    <row r="118" spans="1:63" x14ac:dyDescent="0.15">
      <c r="A118" s="84">
        <v>2</v>
      </c>
      <c r="B118" s="84">
        <v>2</v>
      </c>
      <c r="C118" s="84">
        <v>3</v>
      </c>
      <c r="D118" s="84">
        <v>2</v>
      </c>
      <c r="E118" s="85">
        <v>1</v>
      </c>
      <c r="F118" s="17">
        <v>2</v>
      </c>
      <c r="G118" s="64">
        <f t="shared" si="24"/>
        <v>1</v>
      </c>
      <c r="H118" s="17">
        <v>2</v>
      </c>
      <c r="I118" s="64">
        <f t="shared" si="25"/>
        <v>1</v>
      </c>
      <c r="J118" s="17">
        <v>1</v>
      </c>
      <c r="K118" s="64">
        <f t="shared" si="26"/>
        <v>0.5</v>
      </c>
      <c r="L118" s="17">
        <v>1</v>
      </c>
      <c r="M118" s="64">
        <f t="shared" si="27"/>
        <v>0.33333333333333331</v>
      </c>
      <c r="N118" s="17">
        <v>0</v>
      </c>
      <c r="O118" s="64">
        <f t="shared" si="28"/>
        <v>0</v>
      </c>
      <c r="P118" s="17">
        <v>2</v>
      </c>
      <c r="Q118" s="64">
        <f t="shared" si="29"/>
        <v>0.66666666666666663</v>
      </c>
      <c r="R118" s="25">
        <v>3</v>
      </c>
      <c r="S118" s="71">
        <f t="shared" si="30"/>
        <v>1</v>
      </c>
      <c r="T118" s="17">
        <v>1</v>
      </c>
      <c r="U118" s="64">
        <f t="shared" si="31"/>
        <v>0.33333333333333331</v>
      </c>
      <c r="V118" s="17">
        <v>3</v>
      </c>
      <c r="W118" s="71">
        <f t="shared" si="32"/>
        <v>0.75</v>
      </c>
      <c r="X118" s="17">
        <v>3</v>
      </c>
      <c r="Y118" s="71">
        <f t="shared" si="33"/>
        <v>1</v>
      </c>
      <c r="Z118" s="17">
        <v>2</v>
      </c>
      <c r="AA118" s="71">
        <f t="shared" si="34"/>
        <v>0.66666666666666663</v>
      </c>
      <c r="AB118" s="17">
        <v>2</v>
      </c>
      <c r="AC118" s="71">
        <f t="shared" si="35"/>
        <v>1</v>
      </c>
      <c r="AD118" s="84">
        <v>1</v>
      </c>
      <c r="AE118" s="84">
        <v>0</v>
      </c>
      <c r="AF118" s="84">
        <v>1</v>
      </c>
      <c r="AG118" s="84">
        <v>0</v>
      </c>
      <c r="AH118" s="84">
        <v>0</v>
      </c>
      <c r="AI118" s="84">
        <v>0</v>
      </c>
      <c r="AJ118" s="20">
        <v>1</v>
      </c>
      <c r="AK118" s="71">
        <f t="shared" si="36"/>
        <v>0.5</v>
      </c>
      <c r="AL118" s="17">
        <v>2</v>
      </c>
      <c r="AM118" s="71">
        <f t="shared" si="37"/>
        <v>0.66666666666666663</v>
      </c>
      <c r="AN118" s="17">
        <v>0</v>
      </c>
      <c r="AO118" s="71">
        <f t="shared" si="38"/>
        <v>0</v>
      </c>
      <c r="AP118" s="17">
        <v>2</v>
      </c>
      <c r="AQ118" s="71">
        <f t="shared" si="39"/>
        <v>0.66666666666666663</v>
      </c>
      <c r="AR118" s="84">
        <v>2</v>
      </c>
      <c r="AS118" s="17">
        <v>2</v>
      </c>
      <c r="AT118" s="71">
        <f t="shared" si="40"/>
        <v>0.66666666666666663</v>
      </c>
      <c r="AU118" s="17">
        <v>1</v>
      </c>
      <c r="AV118" s="71">
        <f t="shared" si="41"/>
        <v>0.33333333333333331</v>
      </c>
      <c r="AW118" s="17">
        <v>1</v>
      </c>
      <c r="AX118" s="71">
        <f t="shared" si="42"/>
        <v>0.5</v>
      </c>
      <c r="AY118" s="17">
        <v>0</v>
      </c>
      <c r="AZ118" s="71">
        <f t="shared" si="43"/>
        <v>0</v>
      </c>
      <c r="BA118" s="93">
        <v>1</v>
      </c>
      <c r="BB118" s="93">
        <v>1</v>
      </c>
      <c r="BC118" s="93">
        <v>0</v>
      </c>
      <c r="BD118" s="93">
        <v>0</v>
      </c>
      <c r="BE118" s="102">
        <f t="shared" si="44"/>
        <v>2.387758130315734</v>
      </c>
      <c r="BF118" s="81">
        <f t="shared" si="45"/>
        <v>0.46608105067867189</v>
      </c>
      <c r="BG118" s="81" t="str">
        <f t="shared" si="46"/>
        <v>MEDIO</v>
      </c>
      <c r="BK118" s="81" t="str">
        <f t="shared" si="47"/>
        <v>MEDIO</v>
      </c>
    </row>
    <row r="119" spans="1:63" x14ac:dyDescent="0.15">
      <c r="A119" s="85">
        <v>3</v>
      </c>
      <c r="B119" s="85">
        <v>1</v>
      </c>
      <c r="C119" s="85">
        <v>3</v>
      </c>
      <c r="D119" s="85">
        <v>2</v>
      </c>
      <c r="E119" s="85">
        <v>1</v>
      </c>
      <c r="F119" s="18">
        <v>1</v>
      </c>
      <c r="G119" s="64">
        <f t="shared" si="24"/>
        <v>0.5</v>
      </c>
      <c r="H119" s="18">
        <v>1</v>
      </c>
      <c r="I119" s="64">
        <f t="shared" si="25"/>
        <v>0.5</v>
      </c>
      <c r="J119" s="18">
        <v>0</v>
      </c>
      <c r="K119" s="64">
        <f t="shared" si="26"/>
        <v>0</v>
      </c>
      <c r="L119" s="18">
        <v>0</v>
      </c>
      <c r="M119" s="64">
        <f t="shared" si="27"/>
        <v>0</v>
      </c>
      <c r="N119" s="18">
        <v>2</v>
      </c>
      <c r="O119" s="64">
        <f t="shared" si="28"/>
        <v>0.4</v>
      </c>
      <c r="P119" s="18">
        <v>3</v>
      </c>
      <c r="Q119" s="64">
        <f t="shared" si="29"/>
        <v>1</v>
      </c>
      <c r="R119" s="24">
        <v>3</v>
      </c>
      <c r="S119" s="71">
        <f t="shared" si="30"/>
        <v>1</v>
      </c>
      <c r="T119" s="18">
        <v>1</v>
      </c>
      <c r="U119" s="64">
        <f t="shared" si="31"/>
        <v>0.33333333333333331</v>
      </c>
      <c r="V119" s="18">
        <v>4</v>
      </c>
      <c r="W119" s="71">
        <f t="shared" si="32"/>
        <v>1</v>
      </c>
      <c r="X119" s="18">
        <v>3</v>
      </c>
      <c r="Y119" s="71">
        <f t="shared" si="33"/>
        <v>1</v>
      </c>
      <c r="Z119" s="18">
        <v>1</v>
      </c>
      <c r="AA119" s="71">
        <f t="shared" si="34"/>
        <v>0.33333333333333331</v>
      </c>
      <c r="AB119" s="18">
        <v>2</v>
      </c>
      <c r="AC119" s="71">
        <f t="shared" si="35"/>
        <v>1</v>
      </c>
      <c r="AD119" s="85">
        <v>0</v>
      </c>
      <c r="AE119" s="85">
        <v>0</v>
      </c>
      <c r="AF119" s="85">
        <v>1</v>
      </c>
      <c r="AG119" s="85">
        <v>1</v>
      </c>
      <c r="AH119" s="85">
        <v>0</v>
      </c>
      <c r="AI119" s="85">
        <v>0</v>
      </c>
      <c r="AJ119" s="19">
        <v>1</v>
      </c>
      <c r="AK119" s="71">
        <f t="shared" si="36"/>
        <v>0.5</v>
      </c>
      <c r="AL119" s="18">
        <v>1</v>
      </c>
      <c r="AM119" s="71">
        <f t="shared" si="37"/>
        <v>0.33333333333333331</v>
      </c>
      <c r="AN119" s="18">
        <v>0</v>
      </c>
      <c r="AO119" s="71">
        <f t="shared" si="38"/>
        <v>0</v>
      </c>
      <c r="AP119" s="18">
        <v>2</v>
      </c>
      <c r="AQ119" s="71">
        <f t="shared" si="39"/>
        <v>0.66666666666666663</v>
      </c>
      <c r="AR119" s="85">
        <v>2</v>
      </c>
      <c r="AS119" s="18">
        <v>2</v>
      </c>
      <c r="AT119" s="71">
        <f t="shared" si="40"/>
        <v>0.66666666666666663</v>
      </c>
      <c r="AU119" s="18">
        <v>2</v>
      </c>
      <c r="AV119" s="71">
        <f t="shared" si="41"/>
        <v>0.66666666666666663</v>
      </c>
      <c r="AW119" s="18">
        <v>0</v>
      </c>
      <c r="AX119" s="71">
        <f t="shared" si="42"/>
        <v>0</v>
      </c>
      <c r="AY119" s="18">
        <v>2</v>
      </c>
      <c r="AZ119" s="71">
        <f t="shared" si="43"/>
        <v>0.66666666666666663</v>
      </c>
      <c r="BA119" s="94">
        <v>0</v>
      </c>
      <c r="BB119" s="94">
        <v>0</v>
      </c>
      <c r="BC119" s="94">
        <v>0</v>
      </c>
      <c r="BD119" s="94">
        <v>1</v>
      </c>
      <c r="BE119" s="102">
        <f t="shared" si="44"/>
        <v>2.6244576159232933</v>
      </c>
      <c r="BF119" s="81">
        <f t="shared" si="45"/>
        <v>0.41315343667290327</v>
      </c>
      <c r="BG119" s="81" t="str">
        <f t="shared" si="46"/>
        <v>MEDIO</v>
      </c>
      <c r="BK119" s="81" t="str">
        <f t="shared" si="47"/>
        <v>BASSO</v>
      </c>
    </row>
    <row r="120" spans="1:63" x14ac:dyDescent="0.15">
      <c r="A120" s="84">
        <v>4</v>
      </c>
      <c r="B120" s="84">
        <v>2</v>
      </c>
      <c r="C120" s="84">
        <v>3</v>
      </c>
      <c r="D120" s="84">
        <v>0</v>
      </c>
      <c r="E120" s="85">
        <v>1</v>
      </c>
      <c r="F120" s="17">
        <v>1</v>
      </c>
      <c r="G120" s="64">
        <f t="shared" si="24"/>
        <v>0.5</v>
      </c>
      <c r="H120" s="17">
        <v>1</v>
      </c>
      <c r="I120" s="64">
        <f t="shared" si="25"/>
        <v>0.5</v>
      </c>
      <c r="J120" s="17">
        <v>2</v>
      </c>
      <c r="K120" s="64">
        <f t="shared" si="26"/>
        <v>1</v>
      </c>
      <c r="L120" s="17">
        <v>2</v>
      </c>
      <c r="M120" s="64">
        <f t="shared" si="27"/>
        <v>0.66666666666666663</v>
      </c>
      <c r="N120" s="17">
        <v>3</v>
      </c>
      <c r="O120" s="64">
        <f t="shared" si="28"/>
        <v>0.6</v>
      </c>
      <c r="P120" s="17">
        <v>0</v>
      </c>
      <c r="Q120" s="64">
        <f t="shared" si="29"/>
        <v>0</v>
      </c>
      <c r="R120" s="25">
        <v>2</v>
      </c>
      <c r="S120" s="71">
        <f t="shared" si="30"/>
        <v>0.66666666666666663</v>
      </c>
      <c r="T120" s="17">
        <v>2</v>
      </c>
      <c r="U120" s="64">
        <f t="shared" si="31"/>
        <v>0.66666666666666663</v>
      </c>
      <c r="V120" s="17">
        <v>3</v>
      </c>
      <c r="W120" s="71">
        <f t="shared" si="32"/>
        <v>0.75</v>
      </c>
      <c r="X120" s="17">
        <v>3</v>
      </c>
      <c r="Y120" s="71">
        <f t="shared" si="33"/>
        <v>1</v>
      </c>
      <c r="Z120" s="17">
        <v>0</v>
      </c>
      <c r="AA120" s="71">
        <f t="shared" si="34"/>
        <v>0</v>
      </c>
      <c r="AB120" s="17">
        <v>0</v>
      </c>
      <c r="AC120" s="71">
        <f t="shared" si="35"/>
        <v>0</v>
      </c>
      <c r="AD120" s="84">
        <v>1</v>
      </c>
      <c r="AE120" s="84">
        <v>0</v>
      </c>
      <c r="AF120" s="84">
        <v>1</v>
      </c>
      <c r="AG120" s="84">
        <v>0</v>
      </c>
      <c r="AH120" s="84">
        <v>0</v>
      </c>
      <c r="AI120" s="84">
        <v>0</v>
      </c>
      <c r="AJ120" s="20">
        <v>1</v>
      </c>
      <c r="AK120" s="71">
        <f t="shared" si="36"/>
        <v>0.5</v>
      </c>
      <c r="AL120" s="17">
        <v>2</v>
      </c>
      <c r="AM120" s="71">
        <f t="shared" si="37"/>
        <v>0.66666666666666663</v>
      </c>
      <c r="AN120" s="17">
        <v>1</v>
      </c>
      <c r="AO120" s="71">
        <f t="shared" si="38"/>
        <v>0.33333333333333331</v>
      </c>
      <c r="AP120" s="17">
        <v>2</v>
      </c>
      <c r="AQ120" s="71">
        <f t="shared" si="39"/>
        <v>0.66666666666666663</v>
      </c>
      <c r="AR120" s="84">
        <v>1</v>
      </c>
      <c r="AS120" s="17">
        <v>2</v>
      </c>
      <c r="AT120" s="71">
        <f t="shared" si="40"/>
        <v>0.66666666666666663</v>
      </c>
      <c r="AU120" s="17">
        <v>2</v>
      </c>
      <c r="AV120" s="71">
        <f t="shared" si="41"/>
        <v>0.66666666666666663</v>
      </c>
      <c r="AW120" s="17">
        <v>0</v>
      </c>
      <c r="AX120" s="71">
        <f t="shared" si="42"/>
        <v>0</v>
      </c>
      <c r="AY120" s="17">
        <v>2</v>
      </c>
      <c r="AZ120" s="71">
        <f t="shared" si="43"/>
        <v>0.66666666666666663</v>
      </c>
      <c r="BA120" s="93">
        <v>0</v>
      </c>
      <c r="BB120" s="93">
        <v>1</v>
      </c>
      <c r="BC120" s="93">
        <v>1</v>
      </c>
      <c r="BD120" s="93">
        <v>0</v>
      </c>
      <c r="BE120" s="102">
        <f t="shared" si="44"/>
        <v>2.5111418385533963</v>
      </c>
      <c r="BF120" s="81">
        <f t="shared" si="45"/>
        <v>0.4384916147851331</v>
      </c>
      <c r="BG120" s="81" t="str">
        <f t="shared" si="46"/>
        <v>MEDIO</v>
      </c>
      <c r="BK120" s="81" t="str">
        <f t="shared" si="47"/>
        <v>BASSO</v>
      </c>
    </row>
    <row r="121" spans="1:63" x14ac:dyDescent="0.15">
      <c r="A121" s="85">
        <v>3</v>
      </c>
      <c r="B121" s="85">
        <v>1</v>
      </c>
      <c r="C121" s="85">
        <v>3</v>
      </c>
      <c r="D121" s="85">
        <v>0</v>
      </c>
      <c r="E121" s="85">
        <v>1</v>
      </c>
      <c r="F121" s="18">
        <v>1</v>
      </c>
      <c r="G121" s="64">
        <f t="shared" si="24"/>
        <v>0.5</v>
      </c>
      <c r="H121" s="18">
        <v>2</v>
      </c>
      <c r="I121" s="64">
        <f t="shared" si="25"/>
        <v>1</v>
      </c>
      <c r="J121" s="18">
        <v>1</v>
      </c>
      <c r="K121" s="64">
        <f t="shared" si="26"/>
        <v>0.5</v>
      </c>
      <c r="L121" s="18">
        <v>2</v>
      </c>
      <c r="M121" s="64">
        <f t="shared" si="27"/>
        <v>0.66666666666666663</v>
      </c>
      <c r="N121" s="18">
        <v>0</v>
      </c>
      <c r="O121" s="64">
        <f t="shared" si="28"/>
        <v>0</v>
      </c>
      <c r="P121" s="18">
        <v>3</v>
      </c>
      <c r="Q121" s="64">
        <f t="shared" si="29"/>
        <v>1</v>
      </c>
      <c r="R121" s="24">
        <v>0</v>
      </c>
      <c r="S121" s="71">
        <f t="shared" si="30"/>
        <v>0</v>
      </c>
      <c r="T121" s="18">
        <v>1</v>
      </c>
      <c r="U121" s="64">
        <f t="shared" si="31"/>
        <v>0.33333333333333331</v>
      </c>
      <c r="V121" s="18">
        <v>4</v>
      </c>
      <c r="W121" s="71">
        <f t="shared" si="32"/>
        <v>1</v>
      </c>
      <c r="X121" s="18">
        <v>0</v>
      </c>
      <c r="Y121" s="71">
        <f t="shared" si="33"/>
        <v>0</v>
      </c>
      <c r="Z121" s="18">
        <v>1</v>
      </c>
      <c r="AA121" s="71">
        <f t="shared" si="34"/>
        <v>0.33333333333333331</v>
      </c>
      <c r="AB121" s="18">
        <v>2</v>
      </c>
      <c r="AC121" s="71">
        <f t="shared" si="35"/>
        <v>1</v>
      </c>
      <c r="AD121" s="85">
        <v>1</v>
      </c>
      <c r="AE121" s="85">
        <v>0</v>
      </c>
      <c r="AF121" s="85">
        <v>1</v>
      </c>
      <c r="AG121" s="85">
        <v>0</v>
      </c>
      <c r="AH121" s="85">
        <v>0</v>
      </c>
      <c r="AI121" s="85">
        <v>0</v>
      </c>
      <c r="AJ121" s="19">
        <v>2</v>
      </c>
      <c r="AK121" s="71">
        <f t="shared" si="36"/>
        <v>1</v>
      </c>
      <c r="AL121" s="18">
        <v>2</v>
      </c>
      <c r="AM121" s="71">
        <f t="shared" si="37"/>
        <v>0.66666666666666663</v>
      </c>
      <c r="AN121" s="18">
        <v>2</v>
      </c>
      <c r="AO121" s="71">
        <f t="shared" si="38"/>
        <v>0.66666666666666663</v>
      </c>
      <c r="AP121" s="18">
        <v>1</v>
      </c>
      <c r="AQ121" s="71">
        <f t="shared" si="39"/>
        <v>0.33333333333333331</v>
      </c>
      <c r="AR121" s="85">
        <v>0</v>
      </c>
      <c r="AS121" s="18">
        <v>2</v>
      </c>
      <c r="AT121" s="71">
        <f t="shared" si="40"/>
        <v>0.66666666666666663</v>
      </c>
      <c r="AU121" s="18">
        <v>2</v>
      </c>
      <c r="AV121" s="71">
        <f t="shared" si="41"/>
        <v>0.66666666666666663</v>
      </c>
      <c r="AW121" s="18">
        <v>0</v>
      </c>
      <c r="AX121" s="71">
        <f t="shared" si="42"/>
        <v>0</v>
      </c>
      <c r="AY121" s="18">
        <v>0</v>
      </c>
      <c r="AZ121" s="71">
        <f t="shared" si="43"/>
        <v>0</v>
      </c>
      <c r="BA121" s="94">
        <v>0</v>
      </c>
      <c r="BB121" s="94">
        <v>0</v>
      </c>
      <c r="BC121" s="94">
        <v>0</v>
      </c>
      <c r="BD121" s="94">
        <v>1</v>
      </c>
      <c r="BE121" s="102">
        <f t="shared" si="44"/>
        <v>2.7182510717166815</v>
      </c>
      <c r="BF121" s="81">
        <f t="shared" si="45"/>
        <v>0.39218058237304154</v>
      </c>
      <c r="BG121" s="81" t="str">
        <f t="shared" si="46"/>
        <v>MEDIO</v>
      </c>
      <c r="BK121" s="81" t="str">
        <f t="shared" si="47"/>
        <v>BASSO</v>
      </c>
    </row>
    <row r="122" spans="1:63" x14ac:dyDescent="0.15">
      <c r="A122" s="84">
        <v>3</v>
      </c>
      <c r="B122" s="84">
        <v>2</v>
      </c>
      <c r="C122" s="84">
        <v>1</v>
      </c>
      <c r="D122" s="84">
        <v>2</v>
      </c>
      <c r="E122" s="85">
        <v>1</v>
      </c>
      <c r="F122" s="17">
        <v>2</v>
      </c>
      <c r="G122" s="64">
        <f t="shared" si="24"/>
        <v>1</v>
      </c>
      <c r="H122" s="17">
        <v>2</v>
      </c>
      <c r="I122" s="64">
        <f t="shared" si="25"/>
        <v>1</v>
      </c>
      <c r="J122" s="17">
        <v>1</v>
      </c>
      <c r="K122" s="64">
        <f t="shared" si="26"/>
        <v>0.5</v>
      </c>
      <c r="L122" s="17">
        <v>2</v>
      </c>
      <c r="M122" s="64">
        <f t="shared" si="27"/>
        <v>0.66666666666666663</v>
      </c>
      <c r="N122" s="17">
        <v>2</v>
      </c>
      <c r="O122" s="64">
        <f t="shared" si="28"/>
        <v>0.4</v>
      </c>
      <c r="P122" s="17">
        <v>3</v>
      </c>
      <c r="Q122" s="64">
        <f t="shared" si="29"/>
        <v>1</v>
      </c>
      <c r="R122" s="25">
        <v>3</v>
      </c>
      <c r="S122" s="71">
        <f t="shared" si="30"/>
        <v>1</v>
      </c>
      <c r="T122" s="17">
        <v>3</v>
      </c>
      <c r="U122" s="64">
        <f t="shared" si="31"/>
        <v>1</v>
      </c>
      <c r="V122" s="17">
        <v>0</v>
      </c>
      <c r="W122" s="71">
        <f t="shared" si="32"/>
        <v>0</v>
      </c>
      <c r="X122" s="17">
        <v>2</v>
      </c>
      <c r="Y122" s="71">
        <f t="shared" si="33"/>
        <v>0.66666666666666663</v>
      </c>
      <c r="Z122" s="17">
        <v>3</v>
      </c>
      <c r="AA122" s="71">
        <f t="shared" si="34"/>
        <v>1</v>
      </c>
      <c r="AB122" s="17">
        <v>1</v>
      </c>
      <c r="AC122" s="71">
        <f t="shared" si="35"/>
        <v>0.5</v>
      </c>
      <c r="AD122" s="84">
        <v>1</v>
      </c>
      <c r="AE122" s="84">
        <v>0</v>
      </c>
      <c r="AF122" s="84">
        <v>1</v>
      </c>
      <c r="AG122" s="84">
        <v>0</v>
      </c>
      <c r="AH122" s="84">
        <v>0</v>
      </c>
      <c r="AI122" s="84">
        <v>0</v>
      </c>
      <c r="AJ122" s="20">
        <v>2</v>
      </c>
      <c r="AK122" s="71">
        <f t="shared" si="36"/>
        <v>1</v>
      </c>
      <c r="AL122" s="17">
        <v>2</v>
      </c>
      <c r="AM122" s="71">
        <f t="shared" si="37"/>
        <v>0.66666666666666663</v>
      </c>
      <c r="AN122" s="17">
        <v>2</v>
      </c>
      <c r="AO122" s="71">
        <f t="shared" si="38"/>
        <v>0.66666666666666663</v>
      </c>
      <c r="AP122" s="17">
        <v>3</v>
      </c>
      <c r="AQ122" s="71">
        <f t="shared" si="39"/>
        <v>1</v>
      </c>
      <c r="AR122" s="84">
        <v>2</v>
      </c>
      <c r="AS122" s="17">
        <v>3</v>
      </c>
      <c r="AT122" s="71">
        <f t="shared" si="40"/>
        <v>1</v>
      </c>
      <c r="AU122" s="17">
        <v>3</v>
      </c>
      <c r="AV122" s="71">
        <f t="shared" si="41"/>
        <v>1</v>
      </c>
      <c r="AW122" s="17">
        <v>2</v>
      </c>
      <c r="AX122" s="71">
        <f t="shared" si="42"/>
        <v>1</v>
      </c>
      <c r="AY122" s="17">
        <v>3</v>
      </c>
      <c r="AZ122" s="71">
        <f t="shared" si="43"/>
        <v>1</v>
      </c>
      <c r="BA122" s="93">
        <v>0</v>
      </c>
      <c r="BB122" s="93">
        <v>1</v>
      </c>
      <c r="BC122" s="93">
        <v>1</v>
      </c>
      <c r="BD122" s="93">
        <v>0</v>
      </c>
      <c r="BE122" s="102">
        <f t="shared" si="44"/>
        <v>1.5180396715647599</v>
      </c>
      <c r="BF122" s="81">
        <f t="shared" si="45"/>
        <v>0.66055601018400611</v>
      </c>
      <c r="BG122" s="81" t="str">
        <f t="shared" si="46"/>
        <v>ALTO</v>
      </c>
      <c r="BK122" s="81" t="str">
        <f t="shared" si="47"/>
        <v>ALTO</v>
      </c>
    </row>
    <row r="123" spans="1:63" x14ac:dyDescent="0.15">
      <c r="A123" s="85">
        <v>4</v>
      </c>
      <c r="B123" s="85">
        <v>1</v>
      </c>
      <c r="C123" s="85">
        <v>3</v>
      </c>
      <c r="D123" s="85">
        <v>2</v>
      </c>
      <c r="E123" s="85">
        <v>1</v>
      </c>
      <c r="F123" s="18">
        <v>1</v>
      </c>
      <c r="G123" s="64">
        <f t="shared" si="24"/>
        <v>0.5</v>
      </c>
      <c r="H123" s="18">
        <v>2</v>
      </c>
      <c r="I123" s="64">
        <f t="shared" si="25"/>
        <v>1</v>
      </c>
      <c r="J123" s="18">
        <v>1</v>
      </c>
      <c r="K123" s="64">
        <f t="shared" si="26"/>
        <v>0.5</v>
      </c>
      <c r="L123" s="18">
        <v>2</v>
      </c>
      <c r="M123" s="64">
        <f t="shared" si="27"/>
        <v>0.66666666666666663</v>
      </c>
      <c r="N123" s="18">
        <v>3</v>
      </c>
      <c r="O123" s="64">
        <f t="shared" si="28"/>
        <v>0.6</v>
      </c>
      <c r="P123" s="18">
        <v>2</v>
      </c>
      <c r="Q123" s="64">
        <f t="shared" si="29"/>
        <v>0.66666666666666663</v>
      </c>
      <c r="R123" s="24">
        <v>2</v>
      </c>
      <c r="S123" s="71">
        <f t="shared" si="30"/>
        <v>0.66666666666666663</v>
      </c>
      <c r="T123" s="18">
        <v>2</v>
      </c>
      <c r="U123" s="64">
        <f t="shared" si="31"/>
        <v>0.66666666666666663</v>
      </c>
      <c r="V123" s="18">
        <v>3</v>
      </c>
      <c r="W123" s="71">
        <f t="shared" si="32"/>
        <v>0.75</v>
      </c>
      <c r="X123" s="18">
        <v>2</v>
      </c>
      <c r="Y123" s="71">
        <f t="shared" si="33"/>
        <v>0.66666666666666663</v>
      </c>
      <c r="Z123" s="18">
        <v>2</v>
      </c>
      <c r="AA123" s="71">
        <f t="shared" si="34"/>
        <v>0.66666666666666663</v>
      </c>
      <c r="AB123" s="18">
        <v>2</v>
      </c>
      <c r="AC123" s="71">
        <f t="shared" si="35"/>
        <v>1</v>
      </c>
      <c r="AD123" s="85">
        <v>1</v>
      </c>
      <c r="AE123" s="85">
        <v>0</v>
      </c>
      <c r="AF123" s="85">
        <v>1</v>
      </c>
      <c r="AG123" s="85">
        <v>0</v>
      </c>
      <c r="AH123" s="85">
        <v>0</v>
      </c>
      <c r="AI123" s="85">
        <v>0</v>
      </c>
      <c r="AJ123" s="19">
        <v>1</v>
      </c>
      <c r="AK123" s="71">
        <f t="shared" si="36"/>
        <v>0.5</v>
      </c>
      <c r="AL123" s="18">
        <v>1</v>
      </c>
      <c r="AM123" s="71">
        <f t="shared" si="37"/>
        <v>0.33333333333333331</v>
      </c>
      <c r="AN123" s="18">
        <v>1</v>
      </c>
      <c r="AO123" s="71">
        <f t="shared" si="38"/>
        <v>0.33333333333333331</v>
      </c>
      <c r="AP123" s="18">
        <v>2</v>
      </c>
      <c r="AQ123" s="71">
        <f t="shared" si="39"/>
        <v>0.66666666666666663</v>
      </c>
      <c r="AR123" s="85">
        <v>2</v>
      </c>
      <c r="AS123" s="18">
        <v>2</v>
      </c>
      <c r="AT123" s="71">
        <f t="shared" si="40"/>
        <v>0.66666666666666663</v>
      </c>
      <c r="AU123" s="18">
        <v>2</v>
      </c>
      <c r="AV123" s="71">
        <f t="shared" si="41"/>
        <v>0.66666666666666663</v>
      </c>
      <c r="AW123" s="18">
        <v>0</v>
      </c>
      <c r="AX123" s="71">
        <f t="shared" si="42"/>
        <v>0</v>
      </c>
      <c r="AY123" s="18">
        <v>0</v>
      </c>
      <c r="AZ123" s="71">
        <f t="shared" si="43"/>
        <v>0</v>
      </c>
      <c r="BA123" s="94">
        <v>1</v>
      </c>
      <c r="BB123" s="94">
        <v>1</v>
      </c>
      <c r="BC123" s="94">
        <v>0</v>
      </c>
      <c r="BD123" s="94">
        <v>0</v>
      </c>
      <c r="BE123" s="102">
        <f t="shared" si="44"/>
        <v>2.2048557523994377</v>
      </c>
      <c r="BF123" s="81">
        <f t="shared" si="45"/>
        <v>0.50697926570538754</v>
      </c>
      <c r="BG123" s="81" t="str">
        <f t="shared" si="46"/>
        <v>MEDIO</v>
      </c>
      <c r="BK123" s="81" t="str">
        <f t="shared" si="47"/>
        <v>MEDIO</v>
      </c>
    </row>
    <row r="124" spans="1:63" x14ac:dyDescent="0.15">
      <c r="A124" s="84">
        <v>2</v>
      </c>
      <c r="B124" s="84">
        <v>1</v>
      </c>
      <c r="C124" s="84">
        <v>3</v>
      </c>
      <c r="D124" s="84">
        <v>2</v>
      </c>
      <c r="E124" s="85">
        <v>1</v>
      </c>
      <c r="F124" s="17">
        <v>1</v>
      </c>
      <c r="G124" s="64">
        <f t="shared" si="24"/>
        <v>0.5</v>
      </c>
      <c r="H124" s="17">
        <v>1</v>
      </c>
      <c r="I124" s="64">
        <f t="shared" si="25"/>
        <v>0.5</v>
      </c>
      <c r="J124" s="17">
        <v>1</v>
      </c>
      <c r="K124" s="64">
        <f t="shared" si="26"/>
        <v>0.5</v>
      </c>
      <c r="L124" s="17">
        <v>2</v>
      </c>
      <c r="M124" s="64">
        <f t="shared" si="27"/>
        <v>0.66666666666666663</v>
      </c>
      <c r="N124" s="17">
        <v>3</v>
      </c>
      <c r="O124" s="64">
        <f t="shared" si="28"/>
        <v>0.6</v>
      </c>
      <c r="P124" s="17">
        <v>0</v>
      </c>
      <c r="Q124" s="64">
        <f t="shared" si="29"/>
        <v>0</v>
      </c>
      <c r="R124" s="25">
        <v>2</v>
      </c>
      <c r="S124" s="71">
        <f t="shared" si="30"/>
        <v>0.66666666666666663</v>
      </c>
      <c r="T124" s="17">
        <v>2</v>
      </c>
      <c r="U124" s="64">
        <f t="shared" si="31"/>
        <v>0.66666666666666663</v>
      </c>
      <c r="V124" s="17">
        <v>3</v>
      </c>
      <c r="W124" s="71">
        <f t="shared" si="32"/>
        <v>0.75</v>
      </c>
      <c r="X124" s="17">
        <v>2</v>
      </c>
      <c r="Y124" s="71">
        <f t="shared" si="33"/>
        <v>0.66666666666666663</v>
      </c>
      <c r="Z124" s="17">
        <v>1</v>
      </c>
      <c r="AA124" s="71">
        <f t="shared" si="34"/>
        <v>0.33333333333333331</v>
      </c>
      <c r="AB124" s="17">
        <v>2</v>
      </c>
      <c r="AC124" s="71">
        <f t="shared" si="35"/>
        <v>1</v>
      </c>
      <c r="AD124" s="84">
        <v>1</v>
      </c>
      <c r="AE124" s="84">
        <v>0</v>
      </c>
      <c r="AF124" s="84">
        <v>0</v>
      </c>
      <c r="AG124" s="84">
        <v>1</v>
      </c>
      <c r="AH124" s="84">
        <v>0</v>
      </c>
      <c r="AI124" s="84">
        <v>0</v>
      </c>
      <c r="AJ124" s="20">
        <v>1</v>
      </c>
      <c r="AK124" s="71">
        <f t="shared" si="36"/>
        <v>0.5</v>
      </c>
      <c r="AL124" s="17">
        <v>3</v>
      </c>
      <c r="AM124" s="71">
        <f t="shared" si="37"/>
        <v>1</v>
      </c>
      <c r="AN124" s="17">
        <v>1</v>
      </c>
      <c r="AO124" s="71">
        <f t="shared" si="38"/>
        <v>0.33333333333333331</v>
      </c>
      <c r="AP124" s="17">
        <v>1</v>
      </c>
      <c r="AQ124" s="71">
        <f t="shared" si="39"/>
        <v>0.33333333333333331</v>
      </c>
      <c r="AR124" s="84">
        <v>2</v>
      </c>
      <c r="AS124" s="17">
        <v>1</v>
      </c>
      <c r="AT124" s="71">
        <f t="shared" si="40"/>
        <v>0.33333333333333331</v>
      </c>
      <c r="AU124" s="17">
        <v>0</v>
      </c>
      <c r="AV124" s="71">
        <f t="shared" si="41"/>
        <v>0</v>
      </c>
      <c r="AW124" s="17">
        <v>0</v>
      </c>
      <c r="AX124" s="71">
        <f t="shared" si="42"/>
        <v>0</v>
      </c>
      <c r="AY124" s="17">
        <v>2</v>
      </c>
      <c r="AZ124" s="71">
        <f t="shared" si="43"/>
        <v>0.66666666666666663</v>
      </c>
      <c r="BA124" s="93">
        <v>0</v>
      </c>
      <c r="BB124" s="93">
        <v>0</v>
      </c>
      <c r="BC124" s="93">
        <v>0</v>
      </c>
      <c r="BD124" s="93">
        <v>1</v>
      </c>
      <c r="BE124" s="102">
        <f t="shared" si="44"/>
        <v>2.560436160761157</v>
      </c>
      <c r="BF124" s="81">
        <f t="shared" si="45"/>
        <v>0.42746906924900119</v>
      </c>
      <c r="BG124" s="81" t="str">
        <f t="shared" si="46"/>
        <v>MEDIO</v>
      </c>
      <c r="BK124" s="81" t="str">
        <f t="shared" si="47"/>
        <v>BASSO</v>
      </c>
    </row>
    <row r="125" spans="1:63" x14ac:dyDescent="0.15">
      <c r="A125" s="85">
        <v>3</v>
      </c>
      <c r="B125" s="85">
        <v>1</v>
      </c>
      <c r="C125" s="85">
        <v>3</v>
      </c>
      <c r="D125" s="85">
        <v>2</v>
      </c>
      <c r="E125" s="85">
        <v>1</v>
      </c>
      <c r="F125" s="18">
        <v>2</v>
      </c>
      <c r="G125" s="64">
        <f t="shared" si="24"/>
        <v>1</v>
      </c>
      <c r="H125" s="18">
        <v>1</v>
      </c>
      <c r="I125" s="64">
        <f t="shared" si="25"/>
        <v>0.5</v>
      </c>
      <c r="J125" s="18">
        <v>1</v>
      </c>
      <c r="K125" s="64">
        <f t="shared" si="26"/>
        <v>0.5</v>
      </c>
      <c r="L125" s="18">
        <v>2</v>
      </c>
      <c r="M125" s="64">
        <f t="shared" si="27"/>
        <v>0.66666666666666663</v>
      </c>
      <c r="N125" s="18">
        <v>2</v>
      </c>
      <c r="O125" s="64">
        <f t="shared" si="28"/>
        <v>0.4</v>
      </c>
      <c r="P125" s="18">
        <v>2</v>
      </c>
      <c r="Q125" s="64">
        <f t="shared" si="29"/>
        <v>0.66666666666666663</v>
      </c>
      <c r="R125" s="24">
        <v>3</v>
      </c>
      <c r="S125" s="71">
        <f t="shared" si="30"/>
        <v>1</v>
      </c>
      <c r="T125" s="18">
        <v>1</v>
      </c>
      <c r="U125" s="64">
        <f t="shared" si="31"/>
        <v>0.33333333333333331</v>
      </c>
      <c r="V125" s="18">
        <v>3</v>
      </c>
      <c r="W125" s="71">
        <f t="shared" si="32"/>
        <v>0.75</v>
      </c>
      <c r="X125" s="18">
        <v>2</v>
      </c>
      <c r="Y125" s="71">
        <f t="shared" si="33"/>
        <v>0.66666666666666663</v>
      </c>
      <c r="Z125" s="18">
        <v>1</v>
      </c>
      <c r="AA125" s="71">
        <f t="shared" si="34"/>
        <v>0.33333333333333331</v>
      </c>
      <c r="AB125" s="18">
        <v>2</v>
      </c>
      <c r="AC125" s="71">
        <f t="shared" si="35"/>
        <v>1</v>
      </c>
      <c r="AD125" s="85">
        <v>1</v>
      </c>
      <c r="AE125" s="85">
        <v>0</v>
      </c>
      <c r="AF125" s="85">
        <v>1</v>
      </c>
      <c r="AG125" s="85">
        <v>0</v>
      </c>
      <c r="AH125" s="85">
        <v>0</v>
      </c>
      <c r="AI125" s="85">
        <v>0</v>
      </c>
      <c r="AJ125" s="19">
        <v>0</v>
      </c>
      <c r="AK125" s="71">
        <f t="shared" si="36"/>
        <v>0</v>
      </c>
      <c r="AL125" s="18">
        <v>3</v>
      </c>
      <c r="AM125" s="71">
        <f t="shared" si="37"/>
        <v>1</v>
      </c>
      <c r="AN125" s="18">
        <v>2</v>
      </c>
      <c r="AO125" s="71">
        <f t="shared" si="38"/>
        <v>0.66666666666666663</v>
      </c>
      <c r="AP125" s="18">
        <v>2</v>
      </c>
      <c r="AQ125" s="71">
        <f t="shared" si="39"/>
        <v>0.66666666666666663</v>
      </c>
      <c r="AR125" s="85">
        <v>2</v>
      </c>
      <c r="AS125" s="18">
        <v>2</v>
      </c>
      <c r="AT125" s="71">
        <f t="shared" si="40"/>
        <v>0.66666666666666663</v>
      </c>
      <c r="AU125" s="18">
        <v>3</v>
      </c>
      <c r="AV125" s="71">
        <f t="shared" si="41"/>
        <v>1</v>
      </c>
      <c r="AW125" s="18">
        <v>0</v>
      </c>
      <c r="AX125" s="71">
        <f t="shared" si="42"/>
        <v>0</v>
      </c>
      <c r="AY125" s="18">
        <v>3</v>
      </c>
      <c r="AZ125" s="71">
        <f t="shared" si="43"/>
        <v>1</v>
      </c>
      <c r="BA125" s="94">
        <v>1</v>
      </c>
      <c r="BB125" s="94">
        <v>1</v>
      </c>
      <c r="BC125" s="94">
        <v>0</v>
      </c>
      <c r="BD125" s="94">
        <v>0</v>
      </c>
      <c r="BE125" s="102">
        <f t="shared" si="44"/>
        <v>2.1161416671753233</v>
      </c>
      <c r="BF125" s="81">
        <f t="shared" si="45"/>
        <v>0.52681633821766871</v>
      </c>
      <c r="BG125" s="81" t="str">
        <f t="shared" si="46"/>
        <v>MEDIO</v>
      </c>
      <c r="BK125" s="81" t="str">
        <f t="shared" si="47"/>
        <v>MEDIO</v>
      </c>
    </row>
    <row r="126" spans="1:63" x14ac:dyDescent="0.15">
      <c r="A126" s="84">
        <v>1</v>
      </c>
      <c r="B126" s="84">
        <v>1</v>
      </c>
      <c r="C126" s="84">
        <v>1</v>
      </c>
      <c r="D126" s="84">
        <v>2</v>
      </c>
      <c r="E126" s="85">
        <v>1</v>
      </c>
      <c r="F126" s="17">
        <v>2</v>
      </c>
      <c r="G126" s="64">
        <f t="shared" si="24"/>
        <v>1</v>
      </c>
      <c r="H126" s="17">
        <v>2</v>
      </c>
      <c r="I126" s="64">
        <f t="shared" si="25"/>
        <v>1</v>
      </c>
      <c r="J126" s="17">
        <v>2</v>
      </c>
      <c r="K126" s="64">
        <f t="shared" si="26"/>
        <v>1</v>
      </c>
      <c r="L126" s="17">
        <v>3</v>
      </c>
      <c r="M126" s="64">
        <f t="shared" si="27"/>
        <v>1</v>
      </c>
      <c r="N126" s="17">
        <v>2</v>
      </c>
      <c r="O126" s="64">
        <f t="shared" si="28"/>
        <v>0.4</v>
      </c>
      <c r="P126" s="17">
        <v>1</v>
      </c>
      <c r="Q126" s="64">
        <f t="shared" si="29"/>
        <v>0.33333333333333331</v>
      </c>
      <c r="R126" s="25">
        <v>3</v>
      </c>
      <c r="S126" s="71">
        <f t="shared" si="30"/>
        <v>1</v>
      </c>
      <c r="T126" s="17">
        <v>3</v>
      </c>
      <c r="U126" s="64">
        <f t="shared" si="31"/>
        <v>1</v>
      </c>
      <c r="V126" s="17">
        <v>4</v>
      </c>
      <c r="W126" s="71">
        <f t="shared" si="32"/>
        <v>1</v>
      </c>
      <c r="X126" s="17">
        <v>3</v>
      </c>
      <c r="Y126" s="71">
        <f t="shared" si="33"/>
        <v>1</v>
      </c>
      <c r="Z126" s="17">
        <v>3</v>
      </c>
      <c r="AA126" s="71">
        <f t="shared" si="34"/>
        <v>1</v>
      </c>
      <c r="AB126" s="17">
        <v>0</v>
      </c>
      <c r="AC126" s="71">
        <f t="shared" si="35"/>
        <v>0</v>
      </c>
      <c r="AD126" s="84">
        <v>1</v>
      </c>
      <c r="AE126" s="84">
        <v>1</v>
      </c>
      <c r="AF126" s="84">
        <v>0</v>
      </c>
      <c r="AG126" s="84">
        <v>0</v>
      </c>
      <c r="AH126" s="84">
        <v>0</v>
      </c>
      <c r="AI126" s="84">
        <v>0</v>
      </c>
      <c r="AJ126" s="20">
        <v>2</v>
      </c>
      <c r="AK126" s="71">
        <f t="shared" si="36"/>
        <v>1</v>
      </c>
      <c r="AL126" s="17">
        <v>2</v>
      </c>
      <c r="AM126" s="71">
        <f t="shared" si="37"/>
        <v>0.66666666666666663</v>
      </c>
      <c r="AN126" s="17">
        <v>1</v>
      </c>
      <c r="AO126" s="71">
        <f t="shared" si="38"/>
        <v>0.33333333333333331</v>
      </c>
      <c r="AP126" s="17">
        <v>3</v>
      </c>
      <c r="AQ126" s="71">
        <f t="shared" si="39"/>
        <v>1</v>
      </c>
      <c r="AR126" s="84">
        <v>0</v>
      </c>
      <c r="AS126" s="17">
        <v>2</v>
      </c>
      <c r="AT126" s="71">
        <f t="shared" si="40"/>
        <v>0.66666666666666663</v>
      </c>
      <c r="AU126" s="17">
        <v>3</v>
      </c>
      <c r="AV126" s="71">
        <f t="shared" si="41"/>
        <v>1</v>
      </c>
      <c r="AW126" s="17">
        <v>2</v>
      </c>
      <c r="AX126" s="71">
        <f t="shared" si="42"/>
        <v>1</v>
      </c>
      <c r="AY126" s="17">
        <v>3</v>
      </c>
      <c r="AZ126" s="71">
        <f t="shared" si="43"/>
        <v>1</v>
      </c>
      <c r="BA126" s="93">
        <v>1</v>
      </c>
      <c r="BB126" s="93">
        <v>1</v>
      </c>
      <c r="BC126" s="93">
        <v>0</v>
      </c>
      <c r="BD126" s="93">
        <v>0</v>
      </c>
      <c r="BE126" s="102">
        <f t="shared" si="44"/>
        <v>1.571976816340213</v>
      </c>
      <c r="BF126" s="81">
        <f t="shared" si="45"/>
        <v>0.64849529796099126</v>
      </c>
      <c r="BG126" s="81" t="str">
        <f t="shared" si="46"/>
        <v>MEDIO</v>
      </c>
      <c r="BK126" s="81" t="str">
        <f t="shared" si="47"/>
        <v>MEDIO</v>
      </c>
    </row>
    <row r="127" spans="1:63" x14ac:dyDescent="0.15">
      <c r="A127" s="85">
        <v>4</v>
      </c>
      <c r="B127" s="85">
        <v>1</v>
      </c>
      <c r="C127" s="85">
        <v>3</v>
      </c>
      <c r="D127" s="85">
        <v>1</v>
      </c>
      <c r="E127" s="85">
        <v>1</v>
      </c>
      <c r="F127" s="18">
        <v>2</v>
      </c>
      <c r="G127" s="64">
        <f t="shared" si="24"/>
        <v>1</v>
      </c>
      <c r="H127" s="18">
        <v>1</v>
      </c>
      <c r="I127" s="64">
        <f t="shared" si="25"/>
        <v>0.5</v>
      </c>
      <c r="J127" s="18">
        <v>1</v>
      </c>
      <c r="K127" s="64">
        <f t="shared" si="26"/>
        <v>0.5</v>
      </c>
      <c r="L127" s="18">
        <v>1</v>
      </c>
      <c r="M127" s="64">
        <f t="shared" si="27"/>
        <v>0.33333333333333331</v>
      </c>
      <c r="N127" s="18">
        <v>2</v>
      </c>
      <c r="O127" s="64">
        <f t="shared" si="28"/>
        <v>0.4</v>
      </c>
      <c r="P127" s="18">
        <v>3</v>
      </c>
      <c r="Q127" s="64">
        <f t="shared" si="29"/>
        <v>1</v>
      </c>
      <c r="R127" s="24">
        <v>3</v>
      </c>
      <c r="S127" s="71">
        <f t="shared" si="30"/>
        <v>1</v>
      </c>
      <c r="T127" s="18">
        <v>2</v>
      </c>
      <c r="U127" s="64">
        <f t="shared" si="31"/>
        <v>0.66666666666666663</v>
      </c>
      <c r="V127" s="18">
        <v>3</v>
      </c>
      <c r="W127" s="71">
        <f t="shared" si="32"/>
        <v>0.75</v>
      </c>
      <c r="X127" s="18">
        <v>3</v>
      </c>
      <c r="Y127" s="71">
        <f t="shared" si="33"/>
        <v>1</v>
      </c>
      <c r="Z127" s="18">
        <v>1</v>
      </c>
      <c r="AA127" s="71">
        <f t="shared" si="34"/>
        <v>0.33333333333333331</v>
      </c>
      <c r="AB127" s="18">
        <v>2</v>
      </c>
      <c r="AC127" s="71">
        <f t="shared" si="35"/>
        <v>1</v>
      </c>
      <c r="AD127" s="85">
        <v>1</v>
      </c>
      <c r="AE127" s="85">
        <v>0</v>
      </c>
      <c r="AF127" s="85">
        <v>1</v>
      </c>
      <c r="AG127" s="85">
        <v>0</v>
      </c>
      <c r="AH127" s="85">
        <v>0</v>
      </c>
      <c r="AI127" s="85">
        <v>0</v>
      </c>
      <c r="AJ127" s="19">
        <v>1</v>
      </c>
      <c r="AK127" s="71">
        <f t="shared" si="36"/>
        <v>0.5</v>
      </c>
      <c r="AL127" s="18">
        <v>1</v>
      </c>
      <c r="AM127" s="71">
        <f t="shared" si="37"/>
        <v>0.33333333333333331</v>
      </c>
      <c r="AN127" s="18">
        <v>1</v>
      </c>
      <c r="AO127" s="71">
        <f t="shared" si="38"/>
        <v>0.33333333333333331</v>
      </c>
      <c r="AP127" s="18">
        <v>2</v>
      </c>
      <c r="AQ127" s="71">
        <f t="shared" si="39"/>
        <v>0.66666666666666663</v>
      </c>
      <c r="AR127" s="85">
        <v>2</v>
      </c>
      <c r="AS127" s="18">
        <v>2</v>
      </c>
      <c r="AT127" s="71">
        <f t="shared" si="40"/>
        <v>0.66666666666666663</v>
      </c>
      <c r="AU127" s="18">
        <v>1</v>
      </c>
      <c r="AV127" s="71">
        <f t="shared" si="41"/>
        <v>0.33333333333333331</v>
      </c>
      <c r="AW127" s="18">
        <v>1</v>
      </c>
      <c r="AX127" s="71">
        <f t="shared" si="42"/>
        <v>0.5</v>
      </c>
      <c r="AY127" s="18">
        <v>1</v>
      </c>
      <c r="AZ127" s="71">
        <f t="shared" si="43"/>
        <v>0.33333333333333331</v>
      </c>
      <c r="BA127" s="94">
        <v>1</v>
      </c>
      <c r="BB127" s="94">
        <v>1</v>
      </c>
      <c r="BC127" s="94">
        <v>0</v>
      </c>
      <c r="BD127" s="94">
        <v>0</v>
      </c>
      <c r="BE127" s="102">
        <f t="shared" si="44"/>
        <v>2.1029740844813092</v>
      </c>
      <c r="BF127" s="81">
        <f t="shared" si="45"/>
        <v>0.52976069921798485</v>
      </c>
      <c r="BG127" s="81" t="str">
        <f t="shared" si="46"/>
        <v>MEDIO</v>
      </c>
      <c r="BK127" s="81" t="str">
        <f t="shared" si="47"/>
        <v>MEDIO</v>
      </c>
    </row>
    <row r="128" spans="1:63" x14ac:dyDescent="0.15">
      <c r="A128" s="84">
        <v>5</v>
      </c>
      <c r="B128" s="84">
        <v>1</v>
      </c>
      <c r="C128" s="84">
        <v>1</v>
      </c>
      <c r="D128" s="84">
        <v>2</v>
      </c>
      <c r="E128" s="85">
        <v>1</v>
      </c>
      <c r="F128" s="17">
        <v>1</v>
      </c>
      <c r="G128" s="64">
        <f t="shared" si="24"/>
        <v>0.5</v>
      </c>
      <c r="H128" s="17">
        <v>0</v>
      </c>
      <c r="I128" s="64">
        <f t="shared" si="25"/>
        <v>0</v>
      </c>
      <c r="J128" s="17">
        <v>1</v>
      </c>
      <c r="K128" s="64">
        <f t="shared" si="26"/>
        <v>0.5</v>
      </c>
      <c r="L128" s="17">
        <v>3</v>
      </c>
      <c r="M128" s="64">
        <f t="shared" si="27"/>
        <v>1</v>
      </c>
      <c r="N128" s="17">
        <v>0</v>
      </c>
      <c r="O128" s="64">
        <f t="shared" si="28"/>
        <v>0</v>
      </c>
      <c r="P128" s="17">
        <v>3</v>
      </c>
      <c r="Q128" s="64">
        <f t="shared" si="29"/>
        <v>1</v>
      </c>
      <c r="R128" s="25">
        <v>0</v>
      </c>
      <c r="S128" s="71">
        <f t="shared" si="30"/>
        <v>0</v>
      </c>
      <c r="T128" s="17">
        <v>2</v>
      </c>
      <c r="U128" s="64">
        <f t="shared" si="31"/>
        <v>0.66666666666666663</v>
      </c>
      <c r="V128" s="17">
        <v>4</v>
      </c>
      <c r="W128" s="71">
        <f t="shared" si="32"/>
        <v>1</v>
      </c>
      <c r="X128" s="17">
        <v>2</v>
      </c>
      <c r="Y128" s="71">
        <f t="shared" si="33"/>
        <v>0.66666666666666663</v>
      </c>
      <c r="Z128" s="17">
        <v>0</v>
      </c>
      <c r="AA128" s="71">
        <f t="shared" si="34"/>
        <v>0</v>
      </c>
      <c r="AB128" s="17">
        <v>1</v>
      </c>
      <c r="AC128" s="71">
        <f t="shared" si="35"/>
        <v>0.5</v>
      </c>
      <c r="AD128" s="84">
        <v>1</v>
      </c>
      <c r="AE128" s="84">
        <v>0</v>
      </c>
      <c r="AF128" s="84">
        <v>1</v>
      </c>
      <c r="AG128" s="84">
        <v>0</v>
      </c>
      <c r="AH128" s="84">
        <v>0</v>
      </c>
      <c r="AI128" s="84">
        <v>0</v>
      </c>
      <c r="AJ128" s="20">
        <v>1</v>
      </c>
      <c r="AK128" s="71">
        <f t="shared" si="36"/>
        <v>0.5</v>
      </c>
      <c r="AL128" s="17">
        <v>3</v>
      </c>
      <c r="AM128" s="71">
        <f t="shared" si="37"/>
        <v>1</v>
      </c>
      <c r="AN128" s="17">
        <v>2</v>
      </c>
      <c r="AO128" s="71">
        <f t="shared" si="38"/>
        <v>0.66666666666666663</v>
      </c>
      <c r="AP128" s="17">
        <v>2</v>
      </c>
      <c r="AQ128" s="71">
        <f t="shared" si="39"/>
        <v>0.66666666666666663</v>
      </c>
      <c r="AR128" s="84">
        <v>1</v>
      </c>
      <c r="AS128" s="17">
        <v>0</v>
      </c>
      <c r="AT128" s="71">
        <f t="shared" si="40"/>
        <v>0</v>
      </c>
      <c r="AU128" s="17">
        <v>1</v>
      </c>
      <c r="AV128" s="71">
        <f t="shared" si="41"/>
        <v>0.33333333333333331</v>
      </c>
      <c r="AW128" s="17">
        <v>1</v>
      </c>
      <c r="AX128" s="71">
        <f t="shared" si="42"/>
        <v>0.5</v>
      </c>
      <c r="AY128" s="17">
        <v>1</v>
      </c>
      <c r="AZ128" s="71">
        <f t="shared" si="43"/>
        <v>0.33333333333333331</v>
      </c>
      <c r="BA128" s="93">
        <v>0</v>
      </c>
      <c r="BB128" s="93">
        <v>0</v>
      </c>
      <c r="BC128" s="93">
        <v>0</v>
      </c>
      <c r="BD128" s="93">
        <v>1</v>
      </c>
      <c r="BE128" s="102">
        <f t="shared" si="44"/>
        <v>2.753785273643051</v>
      </c>
      <c r="BF128" s="81">
        <f t="shared" si="45"/>
        <v>0.38423489326968563</v>
      </c>
      <c r="BG128" s="81" t="str">
        <f t="shared" si="46"/>
        <v>MEDIO</v>
      </c>
      <c r="BK128" s="81" t="str">
        <f t="shared" si="47"/>
        <v>BASSO</v>
      </c>
    </row>
    <row r="129" spans="1:63" x14ac:dyDescent="0.15">
      <c r="A129" s="85">
        <v>2</v>
      </c>
      <c r="B129" s="85">
        <v>1</v>
      </c>
      <c r="C129" s="85">
        <v>2</v>
      </c>
      <c r="D129" s="85">
        <v>0</v>
      </c>
      <c r="E129" s="85">
        <v>1</v>
      </c>
      <c r="F129" s="18">
        <v>1</v>
      </c>
      <c r="G129" s="64">
        <f t="shared" si="24"/>
        <v>0.5</v>
      </c>
      <c r="H129" s="18">
        <v>2</v>
      </c>
      <c r="I129" s="64">
        <f t="shared" si="25"/>
        <v>1</v>
      </c>
      <c r="J129" s="18">
        <v>2</v>
      </c>
      <c r="K129" s="64">
        <f t="shared" si="26"/>
        <v>1</v>
      </c>
      <c r="L129" s="18">
        <v>2</v>
      </c>
      <c r="M129" s="64">
        <f t="shared" si="27"/>
        <v>0.66666666666666663</v>
      </c>
      <c r="N129" s="18">
        <v>0</v>
      </c>
      <c r="O129" s="64">
        <f t="shared" si="28"/>
        <v>0</v>
      </c>
      <c r="P129" s="18">
        <v>2</v>
      </c>
      <c r="Q129" s="64">
        <f t="shared" si="29"/>
        <v>0.66666666666666663</v>
      </c>
      <c r="R129" s="24">
        <v>1</v>
      </c>
      <c r="S129" s="71">
        <f t="shared" si="30"/>
        <v>0.33333333333333331</v>
      </c>
      <c r="T129" s="18">
        <v>3</v>
      </c>
      <c r="U129" s="64">
        <f t="shared" si="31"/>
        <v>1</v>
      </c>
      <c r="V129" s="18">
        <v>3</v>
      </c>
      <c r="W129" s="71">
        <f t="shared" si="32"/>
        <v>0.75</v>
      </c>
      <c r="X129" s="18">
        <v>2</v>
      </c>
      <c r="Y129" s="71">
        <f t="shared" si="33"/>
        <v>0.66666666666666663</v>
      </c>
      <c r="Z129" s="18">
        <v>3</v>
      </c>
      <c r="AA129" s="71">
        <f t="shared" si="34"/>
        <v>1</v>
      </c>
      <c r="AB129" s="18">
        <v>1</v>
      </c>
      <c r="AC129" s="71">
        <f t="shared" si="35"/>
        <v>0.5</v>
      </c>
      <c r="AD129" s="85">
        <v>1</v>
      </c>
      <c r="AE129" s="85">
        <v>1</v>
      </c>
      <c r="AF129" s="85">
        <v>0</v>
      </c>
      <c r="AG129" s="85">
        <v>0</v>
      </c>
      <c r="AH129" s="85">
        <v>0</v>
      </c>
      <c r="AI129" s="85">
        <v>0</v>
      </c>
      <c r="AJ129" s="19">
        <v>2</v>
      </c>
      <c r="AK129" s="71">
        <f t="shared" si="36"/>
        <v>1</v>
      </c>
      <c r="AL129" s="18">
        <v>2</v>
      </c>
      <c r="AM129" s="71">
        <f t="shared" si="37"/>
        <v>0.66666666666666663</v>
      </c>
      <c r="AN129" s="18">
        <v>1</v>
      </c>
      <c r="AO129" s="71">
        <f t="shared" si="38"/>
        <v>0.33333333333333331</v>
      </c>
      <c r="AP129" s="18">
        <v>0</v>
      </c>
      <c r="AQ129" s="71">
        <f t="shared" si="39"/>
        <v>0</v>
      </c>
      <c r="AR129" s="85">
        <v>0</v>
      </c>
      <c r="AS129" s="18">
        <v>2</v>
      </c>
      <c r="AT129" s="71">
        <f t="shared" si="40"/>
        <v>0.66666666666666663</v>
      </c>
      <c r="AU129" s="18">
        <v>3</v>
      </c>
      <c r="AV129" s="71">
        <f t="shared" si="41"/>
        <v>1</v>
      </c>
      <c r="AW129" s="18">
        <v>1</v>
      </c>
      <c r="AX129" s="71">
        <f t="shared" si="42"/>
        <v>0.5</v>
      </c>
      <c r="AY129" s="18">
        <v>3</v>
      </c>
      <c r="AZ129" s="71">
        <f t="shared" si="43"/>
        <v>1</v>
      </c>
      <c r="BA129" s="94">
        <v>1</v>
      </c>
      <c r="BB129" s="94">
        <v>1</v>
      </c>
      <c r="BC129" s="94">
        <v>0</v>
      </c>
      <c r="BD129" s="94">
        <v>0</v>
      </c>
      <c r="BE129" s="102">
        <f t="shared" si="44"/>
        <v>2.0632364005233246</v>
      </c>
      <c r="BF129" s="81">
        <f t="shared" si="45"/>
        <v>0.53864631547782971</v>
      </c>
      <c r="BG129" s="81" t="str">
        <f t="shared" si="46"/>
        <v>MEDIO</v>
      </c>
      <c r="BK129" s="81" t="str">
        <f t="shared" si="47"/>
        <v>MEDIO</v>
      </c>
    </row>
    <row r="130" spans="1:63" x14ac:dyDescent="0.15">
      <c r="A130" s="84">
        <v>3</v>
      </c>
      <c r="B130" s="84">
        <v>2</v>
      </c>
      <c r="C130" s="84">
        <v>1</v>
      </c>
      <c r="D130" s="84">
        <v>2</v>
      </c>
      <c r="E130" s="85">
        <v>1</v>
      </c>
      <c r="F130" s="17">
        <v>0</v>
      </c>
      <c r="G130" s="64">
        <f t="shared" ref="G130:G193" si="48">F130/2</f>
        <v>0</v>
      </c>
      <c r="H130" s="17">
        <v>2</v>
      </c>
      <c r="I130" s="64">
        <f t="shared" si="25"/>
        <v>1</v>
      </c>
      <c r="J130" s="17">
        <v>0</v>
      </c>
      <c r="K130" s="64">
        <f t="shared" si="26"/>
        <v>0</v>
      </c>
      <c r="L130" s="17">
        <v>0</v>
      </c>
      <c r="M130" s="64">
        <f t="shared" si="27"/>
        <v>0</v>
      </c>
      <c r="N130" s="17">
        <v>4</v>
      </c>
      <c r="O130" s="64">
        <f t="shared" si="28"/>
        <v>0.8</v>
      </c>
      <c r="P130" s="17">
        <v>0</v>
      </c>
      <c r="Q130" s="64">
        <f t="shared" si="29"/>
        <v>0</v>
      </c>
      <c r="R130" s="25">
        <v>0</v>
      </c>
      <c r="S130" s="71">
        <f t="shared" si="30"/>
        <v>0</v>
      </c>
      <c r="T130" s="17">
        <v>1</v>
      </c>
      <c r="U130" s="64">
        <f t="shared" si="31"/>
        <v>0.33333333333333331</v>
      </c>
      <c r="V130" s="17">
        <v>3</v>
      </c>
      <c r="W130" s="71">
        <f t="shared" si="32"/>
        <v>0.75</v>
      </c>
      <c r="X130" s="17">
        <v>0</v>
      </c>
      <c r="Y130" s="71">
        <f t="shared" si="33"/>
        <v>0</v>
      </c>
      <c r="Z130" s="17">
        <v>1</v>
      </c>
      <c r="AA130" s="71">
        <f t="shared" si="34"/>
        <v>0.33333333333333331</v>
      </c>
      <c r="AB130" s="17">
        <v>2</v>
      </c>
      <c r="AC130" s="71">
        <f t="shared" si="35"/>
        <v>1</v>
      </c>
      <c r="AD130" s="84">
        <v>0</v>
      </c>
      <c r="AE130" s="84">
        <v>0</v>
      </c>
      <c r="AF130" s="84">
        <v>1</v>
      </c>
      <c r="AG130" s="84">
        <v>1</v>
      </c>
      <c r="AH130" s="84">
        <v>0</v>
      </c>
      <c r="AI130" s="84">
        <v>0</v>
      </c>
      <c r="AJ130" s="20">
        <v>1</v>
      </c>
      <c r="AK130" s="71">
        <f t="shared" si="36"/>
        <v>0.5</v>
      </c>
      <c r="AL130" s="17">
        <v>0</v>
      </c>
      <c r="AM130" s="71">
        <f t="shared" si="37"/>
        <v>0</v>
      </c>
      <c r="AN130" s="17">
        <v>1</v>
      </c>
      <c r="AO130" s="71">
        <f t="shared" si="38"/>
        <v>0.33333333333333331</v>
      </c>
      <c r="AP130" s="17">
        <v>0</v>
      </c>
      <c r="AQ130" s="71">
        <f t="shared" si="39"/>
        <v>0</v>
      </c>
      <c r="AR130" s="84">
        <v>0</v>
      </c>
      <c r="AS130" s="17">
        <v>0</v>
      </c>
      <c r="AT130" s="71">
        <f t="shared" si="40"/>
        <v>0</v>
      </c>
      <c r="AU130" s="17">
        <v>0</v>
      </c>
      <c r="AV130" s="71">
        <f t="shared" si="41"/>
        <v>0</v>
      </c>
      <c r="AW130" s="17">
        <v>1</v>
      </c>
      <c r="AX130" s="71">
        <f t="shared" si="42"/>
        <v>0.5</v>
      </c>
      <c r="AY130" s="17">
        <v>2</v>
      </c>
      <c r="AZ130" s="71">
        <f t="shared" si="43"/>
        <v>0.66666666666666663</v>
      </c>
      <c r="BA130" s="93">
        <v>0</v>
      </c>
      <c r="BB130" s="93">
        <v>0</v>
      </c>
      <c r="BC130" s="93">
        <v>1</v>
      </c>
      <c r="BD130" s="93">
        <v>0</v>
      </c>
      <c r="BE130" s="102">
        <f t="shared" si="44"/>
        <v>3.4708708481365949</v>
      </c>
      <c r="BF130" s="81">
        <f t="shared" si="45"/>
        <v>0.2238896842444954</v>
      </c>
      <c r="BG130" s="81" t="str">
        <f t="shared" si="46"/>
        <v>BASSO</v>
      </c>
      <c r="BK130" s="81" t="str">
        <f t="shared" si="47"/>
        <v>MOLTO BASSO</v>
      </c>
    </row>
    <row r="131" spans="1:63" x14ac:dyDescent="0.15">
      <c r="A131" s="85">
        <v>2</v>
      </c>
      <c r="B131" s="85">
        <v>2</v>
      </c>
      <c r="C131" s="85">
        <v>2</v>
      </c>
      <c r="D131" s="85">
        <v>2</v>
      </c>
      <c r="E131" s="85">
        <v>1</v>
      </c>
      <c r="F131" s="18">
        <v>1</v>
      </c>
      <c r="G131" s="64">
        <f t="shared" si="48"/>
        <v>0.5</v>
      </c>
      <c r="H131" s="18">
        <v>1</v>
      </c>
      <c r="I131" s="64">
        <f t="shared" ref="I131:I194" si="49">H131/2</f>
        <v>0.5</v>
      </c>
      <c r="J131" s="18">
        <v>1</v>
      </c>
      <c r="K131" s="64">
        <f t="shared" ref="K131:K194" si="50">J131/2</f>
        <v>0.5</v>
      </c>
      <c r="L131" s="18">
        <v>1</v>
      </c>
      <c r="M131" s="64">
        <f t="shared" ref="M131:M194" si="51">L131/3</f>
        <v>0.33333333333333331</v>
      </c>
      <c r="N131" s="18">
        <v>4</v>
      </c>
      <c r="O131" s="64">
        <f t="shared" ref="O131:O194" si="52">N131/5</f>
        <v>0.8</v>
      </c>
      <c r="P131" s="18">
        <v>2</v>
      </c>
      <c r="Q131" s="64">
        <f t="shared" ref="Q131:Q194" si="53">P131/3</f>
        <v>0.66666666666666663</v>
      </c>
      <c r="R131" s="24">
        <v>0</v>
      </c>
      <c r="S131" s="71">
        <f t="shared" ref="S131:S194" si="54">R131/3</f>
        <v>0</v>
      </c>
      <c r="T131" s="18">
        <v>2</v>
      </c>
      <c r="U131" s="64">
        <f t="shared" ref="U131:U194" si="55">T131/3</f>
        <v>0.66666666666666663</v>
      </c>
      <c r="V131" s="18">
        <v>3</v>
      </c>
      <c r="W131" s="71">
        <f t="shared" ref="W131:W194" si="56">V131/4</f>
        <v>0.75</v>
      </c>
      <c r="X131" s="18">
        <v>2</v>
      </c>
      <c r="Y131" s="71">
        <f t="shared" ref="Y131:Y194" si="57">X131/3</f>
        <v>0.66666666666666663</v>
      </c>
      <c r="Z131" s="18">
        <v>2</v>
      </c>
      <c r="AA131" s="71">
        <f t="shared" ref="AA131:AA194" si="58">Z131/3</f>
        <v>0.66666666666666663</v>
      </c>
      <c r="AB131" s="18">
        <v>2</v>
      </c>
      <c r="AC131" s="71">
        <f t="shared" ref="AC131:AC194" si="59">AB131/2</f>
        <v>1</v>
      </c>
      <c r="AD131" s="85">
        <v>1</v>
      </c>
      <c r="AE131" s="85">
        <v>0</v>
      </c>
      <c r="AF131" s="85">
        <v>1</v>
      </c>
      <c r="AG131" s="85">
        <v>0</v>
      </c>
      <c r="AH131" s="85">
        <v>0</v>
      </c>
      <c r="AI131" s="85">
        <v>0</v>
      </c>
      <c r="AJ131" s="19">
        <v>1</v>
      </c>
      <c r="AK131" s="71">
        <f t="shared" ref="AK131:AK194" si="60">AJ131/2</f>
        <v>0.5</v>
      </c>
      <c r="AL131" s="18">
        <v>1</v>
      </c>
      <c r="AM131" s="71">
        <f t="shared" ref="AM131:AM194" si="61">AL131/3</f>
        <v>0.33333333333333331</v>
      </c>
      <c r="AN131" s="18">
        <v>1</v>
      </c>
      <c r="AO131" s="71">
        <f t="shared" ref="AO131:AO194" si="62">AN131/3</f>
        <v>0.33333333333333331</v>
      </c>
      <c r="AP131" s="18">
        <v>0</v>
      </c>
      <c r="AQ131" s="71">
        <f t="shared" ref="AQ131:AQ194" si="63">AP131/3</f>
        <v>0</v>
      </c>
      <c r="AR131" s="85">
        <v>2</v>
      </c>
      <c r="AS131" s="18">
        <v>2</v>
      </c>
      <c r="AT131" s="71">
        <f t="shared" ref="AT131:AT194" si="64">AS131/3</f>
        <v>0.66666666666666663</v>
      </c>
      <c r="AU131" s="18">
        <v>2</v>
      </c>
      <c r="AV131" s="71">
        <f t="shared" ref="AV131:AV194" si="65">AU131/3</f>
        <v>0.66666666666666663</v>
      </c>
      <c r="AW131" s="18">
        <v>0</v>
      </c>
      <c r="AX131" s="71">
        <f t="shared" ref="AX131:AX194" si="66">AW131/2</f>
        <v>0</v>
      </c>
      <c r="AY131" s="18">
        <v>1</v>
      </c>
      <c r="AZ131" s="71">
        <f t="shared" ref="AZ131:AZ194" si="67">AY131/3</f>
        <v>0.33333333333333331</v>
      </c>
      <c r="BA131" s="94">
        <v>1</v>
      </c>
      <c r="BB131" s="94">
        <v>0</v>
      </c>
      <c r="BC131" s="94">
        <v>1</v>
      </c>
      <c r="BD131" s="94">
        <v>0</v>
      </c>
      <c r="BE131" s="102">
        <f t="shared" ref="BE131:BE194" si="68">SQRT((1-G131)^2 + (1-I131)^2 + (1-K131)^2 + (1-M131)^2 + (1-O131)^2 + (1-Q131)^2 + (1-S131)^2 + (1-U131)^2 + (1-W131)^2 + (1-Y131)^2 + (1-AA131)^2 + (1-AC131)^2 + (1-AK131)^2 + (1-AM131)^2 + (1-AO131)^2 + (1-AQ131)^2 + (1-AT131)^2 + (1-AV131)^2 + (1-AX131)^2 + (1-AZ131)^2)</f>
        <v>2.5586997566038194</v>
      </c>
      <c r="BF131" s="81">
        <f t="shared" ref="BF131:BF194" si="69">1 - (BE131 / 4.472135955)</f>
        <v>0.42785734102222306</v>
      </c>
      <c r="BG131" s="81" t="str">
        <f t="shared" ref="BG131:BG194" si="70">IF(BF131&lt;=0.33, "BASSO", IF(BF131&lt;=0.66, "MEDIO", "ALTO"))</f>
        <v>MEDIO</v>
      </c>
      <c r="BK131" s="81" t="str">
        <f t="shared" ref="BK131:BK194" si="71">IF(BF131&lt;0.3,"MOLTO BASSO",IF(BF131&lt;0.45,"BASSO",IF(BF131&lt;0.65,"MEDIO",IF(BF131&lt;0.8,"ALTO","MOLTO ALTO"))))</f>
        <v>BASSO</v>
      </c>
    </row>
    <row r="132" spans="1:63" x14ac:dyDescent="0.15">
      <c r="A132" s="84">
        <v>5</v>
      </c>
      <c r="B132" s="84">
        <v>2</v>
      </c>
      <c r="C132" s="84">
        <v>2</v>
      </c>
      <c r="D132" s="84">
        <v>2</v>
      </c>
      <c r="E132" s="85">
        <v>1</v>
      </c>
      <c r="F132" s="17">
        <v>2</v>
      </c>
      <c r="G132" s="64">
        <f t="shared" si="48"/>
        <v>1</v>
      </c>
      <c r="H132" s="17">
        <v>0</v>
      </c>
      <c r="I132" s="64">
        <f t="shared" si="49"/>
        <v>0</v>
      </c>
      <c r="J132" s="17">
        <v>0</v>
      </c>
      <c r="K132" s="64">
        <f t="shared" si="50"/>
        <v>0</v>
      </c>
      <c r="L132" s="17">
        <v>0</v>
      </c>
      <c r="M132" s="64">
        <f t="shared" si="51"/>
        <v>0</v>
      </c>
      <c r="N132" s="17">
        <v>2</v>
      </c>
      <c r="O132" s="64">
        <f t="shared" si="52"/>
        <v>0.4</v>
      </c>
      <c r="P132" s="17">
        <v>0</v>
      </c>
      <c r="Q132" s="64">
        <f t="shared" si="53"/>
        <v>0</v>
      </c>
      <c r="R132" s="25">
        <v>0</v>
      </c>
      <c r="S132" s="71">
        <f t="shared" si="54"/>
        <v>0</v>
      </c>
      <c r="T132" s="17">
        <v>0</v>
      </c>
      <c r="U132" s="64">
        <f t="shared" si="55"/>
        <v>0</v>
      </c>
      <c r="V132" s="17">
        <v>3</v>
      </c>
      <c r="W132" s="71">
        <f t="shared" si="56"/>
        <v>0.75</v>
      </c>
      <c r="X132" s="17">
        <v>0</v>
      </c>
      <c r="Y132" s="71">
        <f t="shared" si="57"/>
        <v>0</v>
      </c>
      <c r="Z132" s="17">
        <v>0</v>
      </c>
      <c r="AA132" s="71">
        <f t="shared" si="58"/>
        <v>0</v>
      </c>
      <c r="AB132" s="17">
        <v>3</v>
      </c>
      <c r="AC132" s="71">
        <f t="shared" si="59"/>
        <v>1.5</v>
      </c>
      <c r="AD132" s="84">
        <v>1</v>
      </c>
      <c r="AE132" s="84">
        <v>0</v>
      </c>
      <c r="AF132" s="84">
        <v>0</v>
      </c>
      <c r="AG132" s="84">
        <v>1</v>
      </c>
      <c r="AH132" s="84">
        <v>0</v>
      </c>
      <c r="AI132" s="84">
        <v>0</v>
      </c>
      <c r="AJ132" s="20">
        <v>1</v>
      </c>
      <c r="AK132" s="71">
        <f t="shared" si="60"/>
        <v>0.5</v>
      </c>
      <c r="AL132" s="17">
        <v>0</v>
      </c>
      <c r="AM132" s="71">
        <f t="shared" si="61"/>
        <v>0</v>
      </c>
      <c r="AN132" s="17">
        <v>0</v>
      </c>
      <c r="AO132" s="71">
        <f t="shared" si="62"/>
        <v>0</v>
      </c>
      <c r="AP132" s="17">
        <v>0</v>
      </c>
      <c r="AQ132" s="71">
        <f t="shared" si="63"/>
        <v>0</v>
      </c>
      <c r="AR132" s="84">
        <v>2</v>
      </c>
      <c r="AS132" s="17">
        <v>1</v>
      </c>
      <c r="AT132" s="71">
        <f t="shared" si="64"/>
        <v>0.33333333333333331</v>
      </c>
      <c r="AU132" s="17">
        <v>0</v>
      </c>
      <c r="AV132" s="71">
        <f t="shared" si="65"/>
        <v>0</v>
      </c>
      <c r="AW132" s="17">
        <v>1</v>
      </c>
      <c r="AX132" s="71">
        <f t="shared" si="66"/>
        <v>0.5</v>
      </c>
      <c r="AY132" s="17">
        <v>0</v>
      </c>
      <c r="AZ132" s="71">
        <f t="shared" si="67"/>
        <v>0</v>
      </c>
      <c r="BA132" s="93">
        <v>1</v>
      </c>
      <c r="BB132" s="93">
        <v>0</v>
      </c>
      <c r="BC132" s="93">
        <v>1</v>
      </c>
      <c r="BD132" s="93">
        <v>0</v>
      </c>
      <c r="BE132" s="102">
        <f t="shared" si="68"/>
        <v>3.8232112738435533</v>
      </c>
      <c r="BF132" s="81">
        <f t="shared" si="69"/>
        <v>0.14510396993430541</v>
      </c>
      <c r="BG132" s="81" t="str">
        <f t="shared" si="70"/>
        <v>BASSO</v>
      </c>
      <c r="BK132" s="81" t="str">
        <f t="shared" si="71"/>
        <v>MOLTO BASSO</v>
      </c>
    </row>
    <row r="133" spans="1:63" x14ac:dyDescent="0.15">
      <c r="A133" s="85">
        <v>3</v>
      </c>
      <c r="B133" s="85">
        <v>1</v>
      </c>
      <c r="C133" s="85">
        <v>3</v>
      </c>
      <c r="D133" s="85">
        <v>2</v>
      </c>
      <c r="E133" s="85">
        <v>1</v>
      </c>
      <c r="F133" s="18">
        <v>2</v>
      </c>
      <c r="G133" s="64">
        <f t="shared" si="48"/>
        <v>1</v>
      </c>
      <c r="H133" s="18">
        <v>2</v>
      </c>
      <c r="I133" s="64">
        <f t="shared" si="49"/>
        <v>1</v>
      </c>
      <c r="J133" s="18">
        <v>2</v>
      </c>
      <c r="K133" s="64">
        <f t="shared" si="50"/>
        <v>1</v>
      </c>
      <c r="L133" s="18">
        <v>3</v>
      </c>
      <c r="M133" s="64">
        <f t="shared" si="51"/>
        <v>1</v>
      </c>
      <c r="N133" s="18">
        <v>0</v>
      </c>
      <c r="O133" s="64">
        <f t="shared" si="52"/>
        <v>0</v>
      </c>
      <c r="P133" s="18">
        <v>2</v>
      </c>
      <c r="Q133" s="64">
        <f t="shared" si="53"/>
        <v>0.66666666666666663</v>
      </c>
      <c r="R133" s="24">
        <v>3</v>
      </c>
      <c r="S133" s="71">
        <f t="shared" si="54"/>
        <v>1</v>
      </c>
      <c r="T133" s="18">
        <v>3</v>
      </c>
      <c r="U133" s="64">
        <f t="shared" si="55"/>
        <v>1</v>
      </c>
      <c r="V133" s="18">
        <v>3</v>
      </c>
      <c r="W133" s="71">
        <f t="shared" si="56"/>
        <v>0.75</v>
      </c>
      <c r="X133" s="18">
        <v>3</v>
      </c>
      <c r="Y133" s="71">
        <f t="shared" si="57"/>
        <v>1</v>
      </c>
      <c r="Z133" s="18">
        <v>3</v>
      </c>
      <c r="AA133" s="71">
        <f t="shared" si="58"/>
        <v>1</v>
      </c>
      <c r="AB133" s="18">
        <v>0</v>
      </c>
      <c r="AC133" s="71">
        <f t="shared" si="59"/>
        <v>0</v>
      </c>
      <c r="AD133" s="85">
        <v>1</v>
      </c>
      <c r="AE133" s="85">
        <v>1</v>
      </c>
      <c r="AF133" s="85">
        <v>0</v>
      </c>
      <c r="AG133" s="85">
        <v>0</v>
      </c>
      <c r="AH133" s="85">
        <v>0</v>
      </c>
      <c r="AI133" s="85">
        <v>0</v>
      </c>
      <c r="AJ133" s="19">
        <v>1</v>
      </c>
      <c r="AK133" s="71">
        <f t="shared" si="60"/>
        <v>0.5</v>
      </c>
      <c r="AL133" s="18">
        <v>2</v>
      </c>
      <c r="AM133" s="71">
        <f t="shared" si="61"/>
        <v>0.66666666666666663</v>
      </c>
      <c r="AN133" s="18">
        <v>1</v>
      </c>
      <c r="AO133" s="71">
        <f t="shared" si="62"/>
        <v>0.33333333333333331</v>
      </c>
      <c r="AP133" s="18">
        <v>3</v>
      </c>
      <c r="AQ133" s="71">
        <f t="shared" si="63"/>
        <v>1</v>
      </c>
      <c r="AR133" s="85">
        <v>1</v>
      </c>
      <c r="AS133" s="18">
        <v>3</v>
      </c>
      <c r="AT133" s="71">
        <f t="shared" si="64"/>
        <v>1</v>
      </c>
      <c r="AU133" s="18">
        <v>3</v>
      </c>
      <c r="AV133" s="71">
        <f t="shared" si="65"/>
        <v>1</v>
      </c>
      <c r="AW133" s="18">
        <v>0</v>
      </c>
      <c r="AX133" s="71">
        <f t="shared" si="66"/>
        <v>0</v>
      </c>
      <c r="AY133" s="18">
        <v>3</v>
      </c>
      <c r="AZ133" s="71">
        <f t="shared" si="67"/>
        <v>1</v>
      </c>
      <c r="BA133" s="94">
        <v>1</v>
      </c>
      <c r="BB133" s="94">
        <v>0</v>
      </c>
      <c r="BC133" s="94">
        <v>1</v>
      </c>
      <c r="BD133" s="94">
        <v>0</v>
      </c>
      <c r="BE133" s="102">
        <f t="shared" si="68"/>
        <v>1.994784867264304</v>
      </c>
      <c r="BF133" s="81">
        <f t="shared" si="69"/>
        <v>0.55395254363095403</v>
      </c>
      <c r="BG133" s="81" t="str">
        <f t="shared" si="70"/>
        <v>MEDIO</v>
      </c>
      <c r="BK133" s="81" t="str">
        <f t="shared" si="71"/>
        <v>MEDIO</v>
      </c>
    </row>
    <row r="134" spans="1:63" x14ac:dyDescent="0.15">
      <c r="A134" s="84">
        <v>2</v>
      </c>
      <c r="B134" s="84">
        <v>1</v>
      </c>
      <c r="C134" s="84">
        <v>1</v>
      </c>
      <c r="D134" s="84">
        <v>1</v>
      </c>
      <c r="E134" s="85">
        <v>1</v>
      </c>
      <c r="F134" s="17">
        <v>1</v>
      </c>
      <c r="G134" s="64">
        <f t="shared" si="48"/>
        <v>0.5</v>
      </c>
      <c r="H134" s="17">
        <v>1</v>
      </c>
      <c r="I134" s="64">
        <f t="shared" si="49"/>
        <v>0.5</v>
      </c>
      <c r="J134" s="17">
        <v>1</v>
      </c>
      <c r="K134" s="64">
        <f t="shared" si="50"/>
        <v>0.5</v>
      </c>
      <c r="L134" s="17">
        <v>1</v>
      </c>
      <c r="M134" s="64">
        <f t="shared" si="51"/>
        <v>0.33333333333333331</v>
      </c>
      <c r="N134" s="17">
        <v>2</v>
      </c>
      <c r="O134" s="64">
        <f t="shared" si="52"/>
        <v>0.4</v>
      </c>
      <c r="P134" s="17">
        <v>0</v>
      </c>
      <c r="Q134" s="64">
        <f t="shared" si="53"/>
        <v>0</v>
      </c>
      <c r="R134" s="25">
        <v>2</v>
      </c>
      <c r="S134" s="71">
        <f t="shared" si="54"/>
        <v>0.66666666666666663</v>
      </c>
      <c r="T134" s="17">
        <v>1</v>
      </c>
      <c r="U134" s="64">
        <f t="shared" si="55"/>
        <v>0.33333333333333331</v>
      </c>
      <c r="V134" s="17">
        <v>3</v>
      </c>
      <c r="W134" s="71">
        <f t="shared" si="56"/>
        <v>0.75</v>
      </c>
      <c r="X134" s="17">
        <v>2</v>
      </c>
      <c r="Y134" s="71">
        <f t="shared" si="57"/>
        <v>0.66666666666666663</v>
      </c>
      <c r="Z134" s="17">
        <v>1</v>
      </c>
      <c r="AA134" s="71">
        <f t="shared" si="58"/>
        <v>0.33333333333333331</v>
      </c>
      <c r="AB134" s="17">
        <v>2</v>
      </c>
      <c r="AC134" s="71">
        <f t="shared" si="59"/>
        <v>1</v>
      </c>
      <c r="AD134" s="84">
        <v>1</v>
      </c>
      <c r="AE134" s="84">
        <v>0</v>
      </c>
      <c r="AF134" s="84">
        <v>1</v>
      </c>
      <c r="AG134" s="84">
        <v>0</v>
      </c>
      <c r="AH134" s="84">
        <v>0</v>
      </c>
      <c r="AI134" s="84">
        <v>0</v>
      </c>
      <c r="AJ134" s="20">
        <v>1</v>
      </c>
      <c r="AK134" s="71">
        <f t="shared" si="60"/>
        <v>0.5</v>
      </c>
      <c r="AL134" s="17">
        <v>3</v>
      </c>
      <c r="AM134" s="71">
        <f t="shared" si="61"/>
        <v>1</v>
      </c>
      <c r="AN134" s="17">
        <v>1</v>
      </c>
      <c r="AO134" s="71">
        <f t="shared" si="62"/>
        <v>0.33333333333333331</v>
      </c>
      <c r="AP134" s="17">
        <v>2</v>
      </c>
      <c r="AQ134" s="71">
        <f t="shared" si="63"/>
        <v>0.66666666666666663</v>
      </c>
      <c r="AR134" s="84">
        <v>0</v>
      </c>
      <c r="AS134" s="17">
        <v>3</v>
      </c>
      <c r="AT134" s="71">
        <f t="shared" si="64"/>
        <v>1</v>
      </c>
      <c r="AU134" s="17">
        <v>2</v>
      </c>
      <c r="AV134" s="71">
        <f t="shared" si="65"/>
        <v>0.66666666666666663</v>
      </c>
      <c r="AW134" s="17">
        <v>1</v>
      </c>
      <c r="AX134" s="71">
        <f t="shared" si="66"/>
        <v>0.5</v>
      </c>
      <c r="AY134" s="17">
        <v>0</v>
      </c>
      <c r="AZ134" s="71">
        <f t="shared" si="67"/>
        <v>0</v>
      </c>
      <c r="BA134" s="93"/>
      <c r="BB134" s="93">
        <v>1</v>
      </c>
      <c r="BC134" s="93">
        <v>1</v>
      </c>
      <c r="BD134" s="93">
        <v>0</v>
      </c>
      <c r="BE134" s="102">
        <f t="shared" si="68"/>
        <v>2.4279049038671636</v>
      </c>
      <c r="BF134" s="81">
        <f t="shared" si="69"/>
        <v>0.45710395920484403</v>
      </c>
      <c r="BG134" s="81" t="str">
        <f t="shared" si="70"/>
        <v>MEDIO</v>
      </c>
      <c r="BK134" s="81" t="str">
        <f t="shared" si="71"/>
        <v>MEDIO</v>
      </c>
    </row>
    <row r="135" spans="1:63" x14ac:dyDescent="0.15">
      <c r="A135" s="85">
        <v>3</v>
      </c>
      <c r="B135" s="85">
        <v>1</v>
      </c>
      <c r="C135" s="85">
        <v>1</v>
      </c>
      <c r="D135" s="85">
        <v>2</v>
      </c>
      <c r="E135" s="85">
        <v>1</v>
      </c>
      <c r="F135" s="18">
        <v>0</v>
      </c>
      <c r="G135" s="64">
        <f t="shared" si="48"/>
        <v>0</v>
      </c>
      <c r="H135" s="18">
        <v>2</v>
      </c>
      <c r="I135" s="64">
        <f t="shared" si="49"/>
        <v>1</v>
      </c>
      <c r="J135" s="18">
        <v>2</v>
      </c>
      <c r="K135" s="64">
        <f t="shared" si="50"/>
        <v>1</v>
      </c>
      <c r="L135" s="18">
        <v>3</v>
      </c>
      <c r="M135" s="64">
        <f t="shared" si="51"/>
        <v>1</v>
      </c>
      <c r="N135" s="18">
        <v>1</v>
      </c>
      <c r="O135" s="64">
        <f t="shared" si="52"/>
        <v>0.2</v>
      </c>
      <c r="P135" s="18">
        <v>0</v>
      </c>
      <c r="Q135" s="64">
        <f t="shared" si="53"/>
        <v>0</v>
      </c>
      <c r="R135" s="24">
        <v>0</v>
      </c>
      <c r="S135" s="71">
        <f t="shared" si="54"/>
        <v>0</v>
      </c>
      <c r="T135" s="18">
        <v>2</v>
      </c>
      <c r="U135" s="64">
        <f t="shared" si="55"/>
        <v>0.66666666666666663</v>
      </c>
      <c r="V135" s="18">
        <v>0</v>
      </c>
      <c r="W135" s="71">
        <f t="shared" si="56"/>
        <v>0</v>
      </c>
      <c r="X135" s="18">
        <v>2</v>
      </c>
      <c r="Y135" s="71">
        <f t="shared" si="57"/>
        <v>0.66666666666666663</v>
      </c>
      <c r="Z135" s="18">
        <v>0</v>
      </c>
      <c r="AA135" s="71">
        <f t="shared" si="58"/>
        <v>0</v>
      </c>
      <c r="AB135" s="18">
        <v>2</v>
      </c>
      <c r="AC135" s="71">
        <f t="shared" si="59"/>
        <v>1</v>
      </c>
      <c r="AD135" s="85">
        <v>0</v>
      </c>
      <c r="AE135" s="85">
        <v>0</v>
      </c>
      <c r="AF135" s="85">
        <v>1</v>
      </c>
      <c r="AG135" s="85">
        <v>1</v>
      </c>
      <c r="AH135" s="85">
        <v>0</v>
      </c>
      <c r="AI135" s="85">
        <v>0</v>
      </c>
      <c r="AJ135" s="19">
        <v>1</v>
      </c>
      <c r="AK135" s="71">
        <f t="shared" si="60"/>
        <v>0.5</v>
      </c>
      <c r="AL135" s="18">
        <v>0</v>
      </c>
      <c r="AM135" s="71">
        <f t="shared" si="61"/>
        <v>0</v>
      </c>
      <c r="AN135" s="18">
        <v>1</v>
      </c>
      <c r="AO135" s="71">
        <f t="shared" si="62"/>
        <v>0.33333333333333331</v>
      </c>
      <c r="AP135" s="18">
        <v>2</v>
      </c>
      <c r="AQ135" s="71">
        <f t="shared" si="63"/>
        <v>0.66666666666666663</v>
      </c>
      <c r="AR135" s="85">
        <v>1</v>
      </c>
      <c r="AS135" s="18">
        <v>0</v>
      </c>
      <c r="AT135" s="71">
        <f t="shared" si="64"/>
        <v>0</v>
      </c>
      <c r="AU135" s="18">
        <v>2</v>
      </c>
      <c r="AV135" s="71">
        <f t="shared" si="65"/>
        <v>0.66666666666666663</v>
      </c>
      <c r="AW135" s="18">
        <v>0</v>
      </c>
      <c r="AX135" s="71">
        <f t="shared" si="66"/>
        <v>0</v>
      </c>
      <c r="AY135" s="18">
        <v>2</v>
      </c>
      <c r="AZ135" s="71">
        <f t="shared" si="67"/>
        <v>0.66666666666666663</v>
      </c>
      <c r="BA135" s="94">
        <v>1</v>
      </c>
      <c r="BB135" s="94">
        <v>1</v>
      </c>
      <c r="BC135" s="94">
        <v>0</v>
      </c>
      <c r="BD135" s="94">
        <v>0</v>
      </c>
      <c r="BE135" s="102">
        <f t="shared" si="68"/>
        <v>3.1448370387032774</v>
      </c>
      <c r="BF135" s="81">
        <f t="shared" si="69"/>
        <v>0.29679306033009956</v>
      </c>
      <c r="BG135" s="81" t="str">
        <f t="shared" si="70"/>
        <v>BASSO</v>
      </c>
      <c r="BK135" s="81" t="str">
        <f t="shared" si="71"/>
        <v>MOLTO BASSO</v>
      </c>
    </row>
    <row r="136" spans="1:63" x14ac:dyDescent="0.15">
      <c r="A136" s="84">
        <v>4</v>
      </c>
      <c r="B136" s="84">
        <v>2</v>
      </c>
      <c r="C136" s="84">
        <v>3</v>
      </c>
      <c r="D136" s="84">
        <v>2</v>
      </c>
      <c r="E136" s="85">
        <v>1</v>
      </c>
      <c r="F136" s="17">
        <v>1</v>
      </c>
      <c r="G136" s="64">
        <f t="shared" si="48"/>
        <v>0.5</v>
      </c>
      <c r="H136" s="17">
        <v>1</v>
      </c>
      <c r="I136" s="64">
        <f t="shared" si="49"/>
        <v>0.5</v>
      </c>
      <c r="J136" s="17">
        <v>1</v>
      </c>
      <c r="K136" s="64">
        <f t="shared" si="50"/>
        <v>0.5</v>
      </c>
      <c r="L136" s="17">
        <v>2</v>
      </c>
      <c r="M136" s="64">
        <f t="shared" si="51"/>
        <v>0.66666666666666663</v>
      </c>
      <c r="N136" s="17">
        <v>1</v>
      </c>
      <c r="O136" s="64">
        <f t="shared" si="52"/>
        <v>0.2</v>
      </c>
      <c r="P136" s="17">
        <v>2</v>
      </c>
      <c r="Q136" s="64">
        <f t="shared" si="53"/>
        <v>0.66666666666666663</v>
      </c>
      <c r="R136" s="25">
        <v>2</v>
      </c>
      <c r="S136" s="71">
        <f t="shared" si="54"/>
        <v>0.66666666666666663</v>
      </c>
      <c r="T136" s="17">
        <v>2</v>
      </c>
      <c r="U136" s="64">
        <f t="shared" si="55"/>
        <v>0.66666666666666663</v>
      </c>
      <c r="V136" s="17">
        <v>3</v>
      </c>
      <c r="W136" s="71">
        <f t="shared" si="56"/>
        <v>0.75</v>
      </c>
      <c r="X136" s="17">
        <v>2</v>
      </c>
      <c r="Y136" s="71">
        <f t="shared" si="57"/>
        <v>0.66666666666666663</v>
      </c>
      <c r="Z136" s="17">
        <v>2</v>
      </c>
      <c r="AA136" s="71">
        <f t="shared" si="58"/>
        <v>0.66666666666666663</v>
      </c>
      <c r="AB136" s="17">
        <v>2</v>
      </c>
      <c r="AC136" s="71">
        <f t="shared" si="59"/>
        <v>1</v>
      </c>
      <c r="AD136" s="84">
        <v>1</v>
      </c>
      <c r="AE136" s="84">
        <v>0</v>
      </c>
      <c r="AF136" s="84">
        <v>1</v>
      </c>
      <c r="AG136" s="84">
        <v>0</v>
      </c>
      <c r="AH136" s="84">
        <v>0</v>
      </c>
      <c r="AI136" s="84">
        <v>0</v>
      </c>
      <c r="AJ136" s="20">
        <v>1</v>
      </c>
      <c r="AK136" s="71">
        <f t="shared" si="60"/>
        <v>0.5</v>
      </c>
      <c r="AL136" s="17">
        <v>3</v>
      </c>
      <c r="AM136" s="71">
        <f t="shared" si="61"/>
        <v>1</v>
      </c>
      <c r="AN136" s="17">
        <v>1</v>
      </c>
      <c r="AO136" s="71">
        <f t="shared" si="62"/>
        <v>0.33333333333333331</v>
      </c>
      <c r="AP136" s="17">
        <v>2</v>
      </c>
      <c r="AQ136" s="71">
        <f t="shared" si="63"/>
        <v>0.66666666666666663</v>
      </c>
      <c r="AR136" s="84">
        <v>3</v>
      </c>
      <c r="AS136" s="17">
        <v>2</v>
      </c>
      <c r="AT136" s="71">
        <f t="shared" si="64"/>
        <v>0.66666666666666663</v>
      </c>
      <c r="AU136" s="17">
        <v>2</v>
      </c>
      <c r="AV136" s="71">
        <f t="shared" si="65"/>
        <v>0.66666666666666663</v>
      </c>
      <c r="AW136" s="17">
        <v>2</v>
      </c>
      <c r="AX136" s="71">
        <f t="shared" si="66"/>
        <v>1</v>
      </c>
      <c r="AY136" s="17">
        <v>3</v>
      </c>
      <c r="AZ136" s="71">
        <f t="shared" si="67"/>
        <v>1</v>
      </c>
      <c r="BA136" s="93">
        <v>1</v>
      </c>
      <c r="BB136" s="93">
        <v>1</v>
      </c>
      <c r="BC136" s="93">
        <v>0</v>
      </c>
      <c r="BD136" s="93">
        <v>0</v>
      </c>
      <c r="BE136" s="102">
        <f t="shared" si="68"/>
        <v>1.7739629208200618</v>
      </c>
      <c r="BF136" s="81">
        <f t="shared" si="69"/>
        <v>0.60332983194826384</v>
      </c>
      <c r="BG136" s="81" t="str">
        <f t="shared" si="70"/>
        <v>MEDIO</v>
      </c>
      <c r="BK136" s="81" t="str">
        <f t="shared" si="71"/>
        <v>MEDIO</v>
      </c>
    </row>
    <row r="137" spans="1:63" x14ac:dyDescent="0.15">
      <c r="A137" s="85">
        <v>3</v>
      </c>
      <c r="B137" s="85">
        <v>1</v>
      </c>
      <c r="C137" s="85">
        <v>3</v>
      </c>
      <c r="D137" s="85">
        <v>2</v>
      </c>
      <c r="E137" s="85">
        <v>1</v>
      </c>
      <c r="F137" s="18">
        <v>1</v>
      </c>
      <c r="G137" s="64">
        <f t="shared" si="48"/>
        <v>0.5</v>
      </c>
      <c r="H137" s="18">
        <v>1</v>
      </c>
      <c r="I137" s="64">
        <f t="shared" si="49"/>
        <v>0.5</v>
      </c>
      <c r="J137" s="18">
        <v>1</v>
      </c>
      <c r="K137" s="64">
        <f t="shared" si="50"/>
        <v>0.5</v>
      </c>
      <c r="L137" s="18">
        <v>2</v>
      </c>
      <c r="M137" s="64">
        <f t="shared" si="51"/>
        <v>0.66666666666666663</v>
      </c>
      <c r="N137" s="18">
        <v>0</v>
      </c>
      <c r="O137" s="64">
        <f t="shared" si="52"/>
        <v>0</v>
      </c>
      <c r="P137" s="18">
        <v>2</v>
      </c>
      <c r="Q137" s="64">
        <f t="shared" si="53"/>
        <v>0.66666666666666663</v>
      </c>
      <c r="R137" s="24">
        <v>0</v>
      </c>
      <c r="S137" s="71">
        <f t="shared" si="54"/>
        <v>0</v>
      </c>
      <c r="T137" s="18">
        <v>2</v>
      </c>
      <c r="U137" s="64">
        <f t="shared" si="55"/>
        <v>0.66666666666666663</v>
      </c>
      <c r="V137" s="18">
        <v>3</v>
      </c>
      <c r="W137" s="71">
        <f t="shared" si="56"/>
        <v>0.75</v>
      </c>
      <c r="X137" s="18">
        <v>0</v>
      </c>
      <c r="Y137" s="71">
        <f t="shared" si="57"/>
        <v>0</v>
      </c>
      <c r="Z137" s="18">
        <v>1</v>
      </c>
      <c r="AA137" s="71">
        <f t="shared" si="58"/>
        <v>0.33333333333333331</v>
      </c>
      <c r="AB137" s="18">
        <v>2</v>
      </c>
      <c r="AC137" s="71">
        <f t="shared" si="59"/>
        <v>1</v>
      </c>
      <c r="AD137" s="85">
        <v>1</v>
      </c>
      <c r="AE137" s="85">
        <v>0</v>
      </c>
      <c r="AF137" s="85">
        <v>1</v>
      </c>
      <c r="AG137" s="85">
        <v>0</v>
      </c>
      <c r="AH137" s="85">
        <v>0</v>
      </c>
      <c r="AI137" s="85">
        <v>0</v>
      </c>
      <c r="AJ137" s="19">
        <v>1</v>
      </c>
      <c r="AK137" s="71">
        <f t="shared" si="60"/>
        <v>0.5</v>
      </c>
      <c r="AL137" s="18">
        <v>1</v>
      </c>
      <c r="AM137" s="71">
        <f t="shared" si="61"/>
        <v>0.33333333333333331</v>
      </c>
      <c r="AN137" s="18">
        <v>2</v>
      </c>
      <c r="AO137" s="71">
        <f t="shared" si="62"/>
        <v>0.66666666666666663</v>
      </c>
      <c r="AP137" s="18">
        <v>2</v>
      </c>
      <c r="AQ137" s="71">
        <f t="shared" si="63"/>
        <v>0.66666666666666663</v>
      </c>
      <c r="AR137" s="85">
        <v>0</v>
      </c>
      <c r="AS137" s="18">
        <v>3</v>
      </c>
      <c r="AT137" s="71">
        <f t="shared" si="64"/>
        <v>1</v>
      </c>
      <c r="AU137" s="18">
        <v>2</v>
      </c>
      <c r="AV137" s="71">
        <f t="shared" si="65"/>
        <v>0.66666666666666663</v>
      </c>
      <c r="AW137" s="18">
        <v>1</v>
      </c>
      <c r="AX137" s="71">
        <f t="shared" si="66"/>
        <v>0.5</v>
      </c>
      <c r="AY137" s="18">
        <v>2</v>
      </c>
      <c r="AZ137" s="71">
        <f t="shared" si="67"/>
        <v>0.66666666666666663</v>
      </c>
      <c r="BA137" s="94">
        <v>0</v>
      </c>
      <c r="BB137" s="94">
        <v>0</v>
      </c>
      <c r="BC137" s="94">
        <v>1</v>
      </c>
      <c r="BD137" s="94">
        <v>0</v>
      </c>
      <c r="BE137" s="102">
        <f t="shared" si="68"/>
        <v>2.4452334585202014</v>
      </c>
      <c r="BF137" s="81">
        <f t="shared" si="69"/>
        <v>0.45322917658924311</v>
      </c>
      <c r="BG137" s="81" t="str">
        <f t="shared" si="70"/>
        <v>MEDIO</v>
      </c>
      <c r="BK137" s="81" t="str">
        <f t="shared" si="71"/>
        <v>MEDIO</v>
      </c>
    </row>
    <row r="138" spans="1:63" x14ac:dyDescent="0.15">
      <c r="A138" s="84">
        <v>4</v>
      </c>
      <c r="B138" s="84">
        <v>1</v>
      </c>
      <c r="C138" s="84">
        <v>4</v>
      </c>
      <c r="D138" s="84">
        <v>2</v>
      </c>
      <c r="E138" s="85">
        <v>1</v>
      </c>
      <c r="F138" s="17">
        <v>1</v>
      </c>
      <c r="G138" s="64">
        <f t="shared" si="48"/>
        <v>0.5</v>
      </c>
      <c r="H138" s="17">
        <v>2</v>
      </c>
      <c r="I138" s="64">
        <f t="shared" si="49"/>
        <v>1</v>
      </c>
      <c r="J138" s="17">
        <v>1</v>
      </c>
      <c r="K138" s="64">
        <f t="shared" si="50"/>
        <v>0.5</v>
      </c>
      <c r="L138" s="17">
        <v>1</v>
      </c>
      <c r="M138" s="64">
        <f t="shared" si="51"/>
        <v>0.33333333333333331</v>
      </c>
      <c r="N138" s="17">
        <v>5</v>
      </c>
      <c r="O138" s="64">
        <f t="shared" si="52"/>
        <v>1</v>
      </c>
      <c r="P138" s="17">
        <v>0</v>
      </c>
      <c r="Q138" s="64">
        <f t="shared" si="53"/>
        <v>0</v>
      </c>
      <c r="R138" s="25">
        <v>3</v>
      </c>
      <c r="S138" s="71">
        <f t="shared" si="54"/>
        <v>1</v>
      </c>
      <c r="T138" s="17">
        <v>2</v>
      </c>
      <c r="U138" s="64">
        <f t="shared" si="55"/>
        <v>0.66666666666666663</v>
      </c>
      <c r="V138" s="17">
        <v>3</v>
      </c>
      <c r="W138" s="71">
        <f t="shared" si="56"/>
        <v>0.75</v>
      </c>
      <c r="X138" s="17">
        <v>2</v>
      </c>
      <c r="Y138" s="71">
        <f t="shared" si="57"/>
        <v>0.66666666666666663</v>
      </c>
      <c r="Z138" s="17">
        <v>0</v>
      </c>
      <c r="AA138" s="71">
        <f t="shared" si="58"/>
        <v>0</v>
      </c>
      <c r="AB138" s="17">
        <v>1</v>
      </c>
      <c r="AC138" s="71">
        <f t="shared" si="59"/>
        <v>0.5</v>
      </c>
      <c r="AD138" s="84">
        <v>0</v>
      </c>
      <c r="AE138" s="84">
        <v>0</v>
      </c>
      <c r="AF138" s="84">
        <v>1</v>
      </c>
      <c r="AG138" s="84">
        <v>1</v>
      </c>
      <c r="AH138" s="84">
        <v>0</v>
      </c>
      <c r="AI138" s="84">
        <v>0</v>
      </c>
      <c r="AJ138" s="20">
        <v>0</v>
      </c>
      <c r="AK138" s="71">
        <f t="shared" si="60"/>
        <v>0</v>
      </c>
      <c r="AL138" s="17">
        <v>0</v>
      </c>
      <c r="AM138" s="71">
        <f t="shared" si="61"/>
        <v>0</v>
      </c>
      <c r="AN138" s="17">
        <v>1</v>
      </c>
      <c r="AO138" s="71">
        <f t="shared" si="62"/>
        <v>0.33333333333333331</v>
      </c>
      <c r="AP138" s="17">
        <v>2</v>
      </c>
      <c r="AQ138" s="71">
        <f t="shared" si="63"/>
        <v>0.66666666666666663</v>
      </c>
      <c r="AR138" s="84">
        <v>2</v>
      </c>
      <c r="AS138" s="17">
        <v>3</v>
      </c>
      <c r="AT138" s="71">
        <f t="shared" si="64"/>
        <v>1</v>
      </c>
      <c r="AU138" s="17">
        <v>3</v>
      </c>
      <c r="AV138" s="71">
        <f t="shared" si="65"/>
        <v>1</v>
      </c>
      <c r="AW138" s="17">
        <v>1</v>
      </c>
      <c r="AX138" s="71">
        <f t="shared" si="66"/>
        <v>0.5</v>
      </c>
      <c r="AY138" s="17">
        <v>3</v>
      </c>
      <c r="AZ138" s="71">
        <f t="shared" si="67"/>
        <v>1</v>
      </c>
      <c r="BA138" s="93">
        <v>1</v>
      </c>
      <c r="BB138" s="93">
        <v>0</v>
      </c>
      <c r="BC138" s="93">
        <v>1</v>
      </c>
      <c r="BD138" s="93">
        <v>0</v>
      </c>
      <c r="BE138" s="102">
        <f t="shared" si="68"/>
        <v>2.5069348260818871</v>
      </c>
      <c r="BF138" s="81">
        <f t="shared" si="69"/>
        <v>0.43943233137198145</v>
      </c>
      <c r="BG138" s="81" t="str">
        <f t="shared" si="70"/>
        <v>MEDIO</v>
      </c>
      <c r="BK138" s="81" t="str">
        <f t="shared" si="71"/>
        <v>BASSO</v>
      </c>
    </row>
    <row r="139" spans="1:63" x14ac:dyDescent="0.15">
      <c r="A139" s="85">
        <v>4</v>
      </c>
      <c r="B139" s="85">
        <v>1</v>
      </c>
      <c r="C139" s="85">
        <v>4</v>
      </c>
      <c r="D139" s="85">
        <v>2</v>
      </c>
      <c r="E139" s="85">
        <v>1</v>
      </c>
      <c r="F139" s="18">
        <v>1</v>
      </c>
      <c r="G139" s="64">
        <f t="shared" si="48"/>
        <v>0.5</v>
      </c>
      <c r="H139" s="18">
        <v>1</v>
      </c>
      <c r="I139" s="64">
        <f t="shared" si="49"/>
        <v>0.5</v>
      </c>
      <c r="J139" s="18">
        <v>2</v>
      </c>
      <c r="K139" s="64">
        <f t="shared" si="50"/>
        <v>1</v>
      </c>
      <c r="L139" s="18">
        <v>3</v>
      </c>
      <c r="M139" s="64">
        <f t="shared" si="51"/>
        <v>1</v>
      </c>
      <c r="N139" s="18">
        <v>0</v>
      </c>
      <c r="O139" s="64">
        <f t="shared" si="52"/>
        <v>0</v>
      </c>
      <c r="P139" s="18">
        <v>3</v>
      </c>
      <c r="Q139" s="64">
        <f t="shared" si="53"/>
        <v>1</v>
      </c>
      <c r="R139" s="24">
        <v>3</v>
      </c>
      <c r="S139" s="71">
        <f t="shared" si="54"/>
        <v>1</v>
      </c>
      <c r="T139" s="18">
        <v>2</v>
      </c>
      <c r="U139" s="64">
        <f t="shared" si="55"/>
        <v>0.66666666666666663</v>
      </c>
      <c r="V139" s="18">
        <v>3</v>
      </c>
      <c r="W139" s="71">
        <f t="shared" si="56"/>
        <v>0.75</v>
      </c>
      <c r="X139" s="18">
        <v>3</v>
      </c>
      <c r="Y139" s="71">
        <f t="shared" si="57"/>
        <v>1</v>
      </c>
      <c r="Z139" s="18">
        <v>2</v>
      </c>
      <c r="AA139" s="71">
        <f t="shared" si="58"/>
        <v>0.66666666666666663</v>
      </c>
      <c r="AB139" s="18">
        <v>1</v>
      </c>
      <c r="AC139" s="71">
        <f t="shared" si="59"/>
        <v>0.5</v>
      </c>
      <c r="AD139" s="85">
        <v>1</v>
      </c>
      <c r="AE139" s="85">
        <v>0</v>
      </c>
      <c r="AF139" s="85">
        <v>1</v>
      </c>
      <c r="AG139" s="85">
        <v>0</v>
      </c>
      <c r="AH139" s="85">
        <v>0</v>
      </c>
      <c r="AI139" s="85">
        <v>0</v>
      </c>
      <c r="AJ139" s="19">
        <v>2</v>
      </c>
      <c r="AK139" s="71">
        <f t="shared" si="60"/>
        <v>1</v>
      </c>
      <c r="AL139" s="18">
        <v>3</v>
      </c>
      <c r="AM139" s="71">
        <f t="shared" si="61"/>
        <v>1</v>
      </c>
      <c r="AN139" s="18">
        <v>1</v>
      </c>
      <c r="AO139" s="71">
        <f t="shared" si="62"/>
        <v>0.33333333333333331</v>
      </c>
      <c r="AP139" s="18">
        <v>2</v>
      </c>
      <c r="AQ139" s="71">
        <f t="shared" si="63"/>
        <v>0.66666666666666663</v>
      </c>
      <c r="AR139" s="85">
        <v>3</v>
      </c>
      <c r="AS139" s="18">
        <v>3</v>
      </c>
      <c r="AT139" s="71">
        <f t="shared" si="64"/>
        <v>1</v>
      </c>
      <c r="AU139" s="18">
        <v>3</v>
      </c>
      <c r="AV139" s="71">
        <f t="shared" si="65"/>
        <v>1</v>
      </c>
      <c r="AW139" s="18">
        <v>1</v>
      </c>
      <c r="AX139" s="71">
        <f t="shared" si="66"/>
        <v>0.5</v>
      </c>
      <c r="AY139" s="18">
        <v>3</v>
      </c>
      <c r="AZ139" s="71">
        <f t="shared" si="67"/>
        <v>1</v>
      </c>
      <c r="BA139" s="94">
        <v>1</v>
      </c>
      <c r="BB139" s="94">
        <v>0</v>
      </c>
      <c r="BC139" s="94">
        <v>1</v>
      </c>
      <c r="BD139" s="94">
        <v>0</v>
      </c>
      <c r="BE139" s="102">
        <f t="shared" si="68"/>
        <v>1.6853123680130571</v>
      </c>
      <c r="BF139" s="81">
        <f t="shared" si="69"/>
        <v>0.62315269818020158</v>
      </c>
      <c r="BG139" s="81" t="str">
        <f t="shared" si="70"/>
        <v>MEDIO</v>
      </c>
      <c r="BK139" s="81" t="str">
        <f t="shared" si="71"/>
        <v>MEDIO</v>
      </c>
    </row>
    <row r="140" spans="1:63" x14ac:dyDescent="0.15">
      <c r="A140" s="84">
        <v>4</v>
      </c>
      <c r="B140" s="84">
        <v>1</v>
      </c>
      <c r="C140" s="84">
        <v>3</v>
      </c>
      <c r="D140" s="84">
        <v>2</v>
      </c>
      <c r="E140" s="85">
        <v>1</v>
      </c>
      <c r="F140" s="17">
        <v>2</v>
      </c>
      <c r="G140" s="64">
        <f t="shared" si="48"/>
        <v>1</v>
      </c>
      <c r="H140" s="17">
        <v>2</v>
      </c>
      <c r="I140" s="64">
        <f t="shared" si="49"/>
        <v>1</v>
      </c>
      <c r="J140" s="17">
        <v>1</v>
      </c>
      <c r="K140" s="64">
        <f t="shared" si="50"/>
        <v>0.5</v>
      </c>
      <c r="L140" s="17">
        <v>2</v>
      </c>
      <c r="M140" s="64">
        <f t="shared" si="51"/>
        <v>0.66666666666666663</v>
      </c>
      <c r="N140" s="17">
        <v>3</v>
      </c>
      <c r="O140" s="64">
        <f t="shared" si="52"/>
        <v>0.6</v>
      </c>
      <c r="P140" s="17">
        <v>1</v>
      </c>
      <c r="Q140" s="64">
        <f t="shared" si="53"/>
        <v>0.33333333333333331</v>
      </c>
      <c r="R140" s="25">
        <v>2</v>
      </c>
      <c r="S140" s="71">
        <f t="shared" si="54"/>
        <v>0.66666666666666663</v>
      </c>
      <c r="T140" s="17">
        <v>3</v>
      </c>
      <c r="U140" s="64">
        <f t="shared" si="55"/>
        <v>1</v>
      </c>
      <c r="V140" s="17">
        <v>3</v>
      </c>
      <c r="W140" s="71">
        <f t="shared" si="56"/>
        <v>0.75</v>
      </c>
      <c r="X140" s="17">
        <v>0</v>
      </c>
      <c r="Y140" s="71">
        <f t="shared" si="57"/>
        <v>0</v>
      </c>
      <c r="Z140" s="17">
        <v>3</v>
      </c>
      <c r="AA140" s="71">
        <f t="shared" si="58"/>
        <v>1</v>
      </c>
      <c r="AB140" s="17">
        <v>0</v>
      </c>
      <c r="AC140" s="71">
        <f t="shared" si="59"/>
        <v>0</v>
      </c>
      <c r="AD140" s="84">
        <v>1</v>
      </c>
      <c r="AE140" s="84">
        <v>0</v>
      </c>
      <c r="AF140" s="84">
        <v>1</v>
      </c>
      <c r="AG140" s="84">
        <v>0</v>
      </c>
      <c r="AH140" s="84">
        <v>0</v>
      </c>
      <c r="AI140" s="84">
        <v>0</v>
      </c>
      <c r="AJ140" s="20">
        <v>1</v>
      </c>
      <c r="AK140" s="71">
        <f t="shared" si="60"/>
        <v>0.5</v>
      </c>
      <c r="AL140" s="17">
        <v>2</v>
      </c>
      <c r="AM140" s="71">
        <f t="shared" si="61"/>
        <v>0.66666666666666663</v>
      </c>
      <c r="AN140" s="17">
        <v>0</v>
      </c>
      <c r="AO140" s="71">
        <f t="shared" si="62"/>
        <v>0</v>
      </c>
      <c r="AP140" s="17">
        <v>2</v>
      </c>
      <c r="AQ140" s="71">
        <f t="shared" si="63"/>
        <v>0.66666666666666663</v>
      </c>
      <c r="AR140" s="84">
        <v>0</v>
      </c>
      <c r="AS140" s="17">
        <v>3</v>
      </c>
      <c r="AT140" s="71">
        <f t="shared" si="64"/>
        <v>1</v>
      </c>
      <c r="AU140" s="17">
        <v>3</v>
      </c>
      <c r="AV140" s="71">
        <f t="shared" si="65"/>
        <v>1</v>
      </c>
      <c r="AW140" s="17">
        <v>1</v>
      </c>
      <c r="AX140" s="71">
        <f t="shared" si="66"/>
        <v>0.5</v>
      </c>
      <c r="AY140" s="17">
        <v>2</v>
      </c>
      <c r="AZ140" s="71">
        <f t="shared" si="67"/>
        <v>0.66666666666666663</v>
      </c>
      <c r="BA140" s="93">
        <v>1</v>
      </c>
      <c r="BB140" s="93">
        <v>1</v>
      </c>
      <c r="BC140" s="93">
        <v>0</v>
      </c>
      <c r="BD140" s="93">
        <v>0</v>
      </c>
      <c r="BE140" s="102">
        <f t="shared" si="68"/>
        <v>2.2299103120977759</v>
      </c>
      <c r="BF140" s="81">
        <f t="shared" si="69"/>
        <v>0.50137689584220702</v>
      </c>
      <c r="BG140" s="81" t="str">
        <f t="shared" si="70"/>
        <v>MEDIO</v>
      </c>
      <c r="BK140" s="81" t="str">
        <f t="shared" si="71"/>
        <v>MEDIO</v>
      </c>
    </row>
    <row r="141" spans="1:63" x14ac:dyDescent="0.15">
      <c r="A141" s="85">
        <v>4</v>
      </c>
      <c r="B141" s="85">
        <v>2</v>
      </c>
      <c r="C141" s="85">
        <v>3</v>
      </c>
      <c r="D141" s="85">
        <v>2</v>
      </c>
      <c r="E141" s="85">
        <v>1</v>
      </c>
      <c r="F141" s="18">
        <v>2</v>
      </c>
      <c r="G141" s="64">
        <f t="shared" si="48"/>
        <v>1</v>
      </c>
      <c r="H141" s="18">
        <v>2</v>
      </c>
      <c r="I141" s="64">
        <f t="shared" si="49"/>
        <v>1</v>
      </c>
      <c r="J141" s="18">
        <v>0</v>
      </c>
      <c r="K141" s="64">
        <f t="shared" si="50"/>
        <v>0</v>
      </c>
      <c r="L141" s="18">
        <v>1</v>
      </c>
      <c r="M141" s="64">
        <f t="shared" si="51"/>
        <v>0.33333333333333331</v>
      </c>
      <c r="N141" s="18">
        <v>4</v>
      </c>
      <c r="O141" s="64">
        <f t="shared" si="52"/>
        <v>0.8</v>
      </c>
      <c r="P141" s="18">
        <v>0</v>
      </c>
      <c r="Q141" s="64">
        <f t="shared" si="53"/>
        <v>0</v>
      </c>
      <c r="R141" s="24">
        <v>0</v>
      </c>
      <c r="S141" s="71">
        <f t="shared" si="54"/>
        <v>0</v>
      </c>
      <c r="T141" s="18">
        <v>1</v>
      </c>
      <c r="U141" s="64">
        <f t="shared" si="55"/>
        <v>0.33333333333333331</v>
      </c>
      <c r="V141" s="18">
        <v>3</v>
      </c>
      <c r="W141" s="71">
        <f t="shared" si="56"/>
        <v>0.75</v>
      </c>
      <c r="X141" s="18">
        <v>2</v>
      </c>
      <c r="Y141" s="71">
        <f t="shared" si="57"/>
        <v>0.66666666666666663</v>
      </c>
      <c r="Z141" s="18">
        <v>0</v>
      </c>
      <c r="AA141" s="71">
        <f t="shared" si="58"/>
        <v>0</v>
      </c>
      <c r="AB141" s="18">
        <v>1</v>
      </c>
      <c r="AC141" s="71">
        <f t="shared" si="59"/>
        <v>0.5</v>
      </c>
      <c r="AD141" s="85">
        <v>1</v>
      </c>
      <c r="AE141" s="85">
        <v>0</v>
      </c>
      <c r="AF141" s="85">
        <v>1</v>
      </c>
      <c r="AG141" s="85">
        <v>0</v>
      </c>
      <c r="AH141" s="85">
        <v>0</v>
      </c>
      <c r="AI141" s="85">
        <v>0</v>
      </c>
      <c r="AJ141" s="19">
        <v>1</v>
      </c>
      <c r="AK141" s="71">
        <f t="shared" si="60"/>
        <v>0.5</v>
      </c>
      <c r="AL141" s="18">
        <v>3</v>
      </c>
      <c r="AM141" s="71">
        <f t="shared" si="61"/>
        <v>1</v>
      </c>
      <c r="AN141" s="18">
        <v>1</v>
      </c>
      <c r="AO141" s="71">
        <f t="shared" si="62"/>
        <v>0.33333333333333331</v>
      </c>
      <c r="AP141" s="18">
        <v>2</v>
      </c>
      <c r="AQ141" s="71">
        <f t="shared" si="63"/>
        <v>0.66666666666666663</v>
      </c>
      <c r="AR141" s="85">
        <v>2</v>
      </c>
      <c r="AS141" s="18">
        <v>1</v>
      </c>
      <c r="AT141" s="71">
        <f t="shared" si="64"/>
        <v>0.33333333333333331</v>
      </c>
      <c r="AU141" s="18">
        <v>2</v>
      </c>
      <c r="AV141" s="71">
        <f t="shared" si="65"/>
        <v>0.66666666666666663</v>
      </c>
      <c r="AW141" s="18">
        <v>1</v>
      </c>
      <c r="AX141" s="71">
        <f t="shared" si="66"/>
        <v>0.5</v>
      </c>
      <c r="AY141" s="18">
        <v>2</v>
      </c>
      <c r="AZ141" s="71">
        <f t="shared" si="67"/>
        <v>0.66666666666666663</v>
      </c>
      <c r="BA141" s="94">
        <v>0</v>
      </c>
      <c r="BB141" s="94">
        <v>0</v>
      </c>
      <c r="BC141" s="94">
        <v>0</v>
      </c>
      <c r="BD141" s="94">
        <v>1</v>
      </c>
      <c r="BE141" s="102">
        <f t="shared" si="68"/>
        <v>2.6598349990595698</v>
      </c>
      <c r="BF141" s="81">
        <f t="shared" si="69"/>
        <v>0.40524281331702716</v>
      </c>
      <c r="BG141" s="81" t="str">
        <f t="shared" si="70"/>
        <v>MEDIO</v>
      </c>
      <c r="BK141" s="81" t="str">
        <f t="shared" si="71"/>
        <v>BASSO</v>
      </c>
    </row>
    <row r="142" spans="1:63" x14ac:dyDescent="0.15">
      <c r="A142" s="84">
        <v>4</v>
      </c>
      <c r="B142" s="84">
        <v>2</v>
      </c>
      <c r="C142" s="84">
        <v>3</v>
      </c>
      <c r="D142" s="84">
        <v>2</v>
      </c>
      <c r="E142" s="85">
        <v>1</v>
      </c>
      <c r="F142" s="17">
        <v>1</v>
      </c>
      <c r="G142" s="64">
        <f t="shared" si="48"/>
        <v>0.5</v>
      </c>
      <c r="H142" s="17">
        <v>1</v>
      </c>
      <c r="I142" s="64">
        <f t="shared" si="49"/>
        <v>0.5</v>
      </c>
      <c r="J142" s="17">
        <v>1</v>
      </c>
      <c r="K142" s="64">
        <f t="shared" si="50"/>
        <v>0.5</v>
      </c>
      <c r="L142" s="17">
        <v>1</v>
      </c>
      <c r="M142" s="64">
        <f t="shared" si="51"/>
        <v>0.33333333333333331</v>
      </c>
      <c r="N142" s="17">
        <v>4</v>
      </c>
      <c r="O142" s="64">
        <f t="shared" si="52"/>
        <v>0.8</v>
      </c>
      <c r="P142" s="17">
        <v>3</v>
      </c>
      <c r="Q142" s="64">
        <f t="shared" si="53"/>
        <v>1</v>
      </c>
      <c r="R142" s="25">
        <v>0</v>
      </c>
      <c r="S142" s="71">
        <f t="shared" si="54"/>
        <v>0</v>
      </c>
      <c r="T142" s="17">
        <v>1</v>
      </c>
      <c r="U142" s="64">
        <f t="shared" si="55"/>
        <v>0.33333333333333331</v>
      </c>
      <c r="V142" s="17">
        <v>3</v>
      </c>
      <c r="W142" s="71">
        <f t="shared" si="56"/>
        <v>0.75</v>
      </c>
      <c r="X142" s="17">
        <v>0</v>
      </c>
      <c r="Y142" s="71">
        <f t="shared" si="57"/>
        <v>0</v>
      </c>
      <c r="Z142" s="17">
        <v>3</v>
      </c>
      <c r="AA142" s="71">
        <f t="shared" si="58"/>
        <v>1</v>
      </c>
      <c r="AB142" s="17">
        <v>2</v>
      </c>
      <c r="AC142" s="71">
        <f t="shared" si="59"/>
        <v>1</v>
      </c>
      <c r="AD142" s="84">
        <v>0</v>
      </c>
      <c r="AE142" s="84">
        <v>0</v>
      </c>
      <c r="AF142" s="84">
        <v>1</v>
      </c>
      <c r="AG142" s="84">
        <v>1</v>
      </c>
      <c r="AH142" s="84">
        <v>0</v>
      </c>
      <c r="AI142" s="84">
        <v>0</v>
      </c>
      <c r="AJ142" s="20">
        <v>1</v>
      </c>
      <c r="AK142" s="71">
        <f t="shared" si="60"/>
        <v>0.5</v>
      </c>
      <c r="AL142" s="17">
        <v>1</v>
      </c>
      <c r="AM142" s="71">
        <f t="shared" si="61"/>
        <v>0.33333333333333331</v>
      </c>
      <c r="AN142" s="17">
        <v>0</v>
      </c>
      <c r="AO142" s="71">
        <f t="shared" si="62"/>
        <v>0</v>
      </c>
      <c r="AP142" s="17">
        <v>1</v>
      </c>
      <c r="AQ142" s="71">
        <f t="shared" si="63"/>
        <v>0.33333333333333331</v>
      </c>
      <c r="AR142" s="84">
        <v>2</v>
      </c>
      <c r="AS142" s="17">
        <v>1</v>
      </c>
      <c r="AT142" s="71">
        <f t="shared" si="64"/>
        <v>0.33333333333333331</v>
      </c>
      <c r="AU142" s="17">
        <v>0</v>
      </c>
      <c r="AV142" s="71">
        <f t="shared" si="65"/>
        <v>0</v>
      </c>
      <c r="AW142" s="17">
        <v>1</v>
      </c>
      <c r="AX142" s="71">
        <f t="shared" si="66"/>
        <v>0.5</v>
      </c>
      <c r="AY142" s="17">
        <v>2</v>
      </c>
      <c r="AZ142" s="71">
        <f t="shared" si="67"/>
        <v>0.66666666666666663</v>
      </c>
      <c r="BA142" s="93">
        <v>0</v>
      </c>
      <c r="BB142" s="93">
        <v>0</v>
      </c>
      <c r="BC142" s="93">
        <v>1</v>
      </c>
      <c r="BD142" s="93"/>
      <c r="BE142" s="102">
        <f t="shared" si="68"/>
        <v>2.7723335537653715</v>
      </c>
      <c r="BF142" s="81">
        <f t="shared" si="69"/>
        <v>0.38008737174776441</v>
      </c>
      <c r="BG142" s="81" t="str">
        <f t="shared" si="70"/>
        <v>MEDIO</v>
      </c>
      <c r="BK142" s="81" t="str">
        <f t="shared" si="71"/>
        <v>BASSO</v>
      </c>
    </row>
    <row r="143" spans="1:63" x14ac:dyDescent="0.15">
      <c r="A143" s="85">
        <v>4</v>
      </c>
      <c r="B143" s="85">
        <v>1</v>
      </c>
      <c r="C143" s="85">
        <v>4</v>
      </c>
      <c r="D143" s="85">
        <v>2</v>
      </c>
      <c r="E143" s="85">
        <v>0</v>
      </c>
      <c r="F143" s="18">
        <v>2</v>
      </c>
      <c r="G143" s="64">
        <f t="shared" si="48"/>
        <v>1</v>
      </c>
      <c r="H143" s="18">
        <v>2</v>
      </c>
      <c r="I143" s="64">
        <f t="shared" si="49"/>
        <v>1</v>
      </c>
      <c r="J143" s="18">
        <v>2</v>
      </c>
      <c r="K143" s="64">
        <f t="shared" si="50"/>
        <v>1</v>
      </c>
      <c r="L143" s="18">
        <v>3</v>
      </c>
      <c r="M143" s="64">
        <f t="shared" si="51"/>
        <v>1</v>
      </c>
      <c r="N143" s="18">
        <v>1</v>
      </c>
      <c r="O143" s="64">
        <f t="shared" si="52"/>
        <v>0.2</v>
      </c>
      <c r="P143" s="18">
        <v>3</v>
      </c>
      <c r="Q143" s="64">
        <f t="shared" si="53"/>
        <v>1</v>
      </c>
      <c r="R143" s="24">
        <v>3</v>
      </c>
      <c r="S143" s="71">
        <f t="shared" si="54"/>
        <v>1</v>
      </c>
      <c r="T143" s="18">
        <v>3</v>
      </c>
      <c r="U143" s="64">
        <f t="shared" si="55"/>
        <v>1</v>
      </c>
      <c r="V143" s="18">
        <v>4</v>
      </c>
      <c r="W143" s="71">
        <f t="shared" si="56"/>
        <v>1</v>
      </c>
      <c r="X143" s="18">
        <v>3</v>
      </c>
      <c r="Y143" s="71">
        <f t="shared" si="57"/>
        <v>1</v>
      </c>
      <c r="Z143" s="18">
        <v>3</v>
      </c>
      <c r="AA143" s="71">
        <f t="shared" si="58"/>
        <v>1</v>
      </c>
      <c r="AB143" s="18">
        <v>0</v>
      </c>
      <c r="AC143" s="71">
        <f t="shared" si="59"/>
        <v>0</v>
      </c>
      <c r="AD143" s="85">
        <v>1</v>
      </c>
      <c r="AE143" s="85">
        <v>0</v>
      </c>
      <c r="AF143" s="85">
        <v>1</v>
      </c>
      <c r="AG143" s="85">
        <v>0</v>
      </c>
      <c r="AH143" s="85">
        <v>0</v>
      </c>
      <c r="AI143" s="85">
        <v>0</v>
      </c>
      <c r="AJ143" s="19">
        <v>2</v>
      </c>
      <c r="AK143" s="71">
        <f t="shared" si="60"/>
        <v>1</v>
      </c>
      <c r="AL143" s="18">
        <v>2</v>
      </c>
      <c r="AM143" s="71">
        <f t="shared" si="61"/>
        <v>0.66666666666666663</v>
      </c>
      <c r="AN143" s="18">
        <v>3</v>
      </c>
      <c r="AO143" s="71">
        <f t="shared" si="62"/>
        <v>1</v>
      </c>
      <c r="AP143" s="18">
        <v>3</v>
      </c>
      <c r="AQ143" s="71">
        <f t="shared" si="63"/>
        <v>1</v>
      </c>
      <c r="AR143" s="85">
        <v>2</v>
      </c>
      <c r="AS143" s="18">
        <v>0</v>
      </c>
      <c r="AT143" s="71">
        <f t="shared" si="64"/>
        <v>0</v>
      </c>
      <c r="AU143" s="19">
        <v>3</v>
      </c>
      <c r="AV143" s="71">
        <f t="shared" si="65"/>
        <v>1</v>
      </c>
      <c r="AW143" s="18">
        <v>2</v>
      </c>
      <c r="AX143" s="71">
        <f t="shared" si="66"/>
        <v>1</v>
      </c>
      <c r="AY143" s="18">
        <v>3</v>
      </c>
      <c r="AZ143" s="71">
        <f t="shared" si="67"/>
        <v>1</v>
      </c>
      <c r="BA143" s="95">
        <v>0</v>
      </c>
      <c r="BB143" s="95">
        <v>1</v>
      </c>
      <c r="BC143" s="95">
        <v>1</v>
      </c>
      <c r="BD143" s="95">
        <v>0</v>
      </c>
      <c r="BE143" s="102">
        <f t="shared" si="68"/>
        <v>1.6586473739499639</v>
      </c>
      <c r="BF143" s="81">
        <f t="shared" si="69"/>
        <v>0.62911517211467149</v>
      </c>
      <c r="BG143" s="81" t="str">
        <f t="shared" si="70"/>
        <v>MEDIO</v>
      </c>
      <c r="BK143" s="81" t="str">
        <f t="shared" si="71"/>
        <v>MEDIO</v>
      </c>
    </row>
    <row r="144" spans="1:63" x14ac:dyDescent="0.15">
      <c r="A144" s="84">
        <v>3</v>
      </c>
      <c r="B144" s="84">
        <v>2</v>
      </c>
      <c r="C144" s="84">
        <v>4</v>
      </c>
      <c r="D144" s="84">
        <v>2</v>
      </c>
      <c r="E144" s="85">
        <v>1</v>
      </c>
      <c r="F144" s="17">
        <v>2</v>
      </c>
      <c r="G144" s="64">
        <f t="shared" si="48"/>
        <v>1</v>
      </c>
      <c r="H144" s="17">
        <v>0</v>
      </c>
      <c r="I144" s="64">
        <f t="shared" si="49"/>
        <v>0</v>
      </c>
      <c r="J144" s="17">
        <v>0</v>
      </c>
      <c r="K144" s="64">
        <f t="shared" si="50"/>
        <v>0</v>
      </c>
      <c r="L144" s="17">
        <v>1</v>
      </c>
      <c r="M144" s="64">
        <f t="shared" si="51"/>
        <v>0.33333333333333331</v>
      </c>
      <c r="N144" s="17">
        <v>0</v>
      </c>
      <c r="O144" s="64">
        <f t="shared" si="52"/>
        <v>0</v>
      </c>
      <c r="P144" s="17">
        <v>0</v>
      </c>
      <c r="Q144" s="64">
        <f t="shared" si="53"/>
        <v>0</v>
      </c>
      <c r="R144" s="25">
        <v>2</v>
      </c>
      <c r="S144" s="71">
        <f t="shared" si="54"/>
        <v>0.66666666666666663</v>
      </c>
      <c r="T144" s="17">
        <v>0</v>
      </c>
      <c r="U144" s="64">
        <f t="shared" si="55"/>
        <v>0</v>
      </c>
      <c r="V144" s="17">
        <v>3</v>
      </c>
      <c r="W144" s="71">
        <f t="shared" si="56"/>
        <v>0.75</v>
      </c>
      <c r="X144" s="17">
        <v>2</v>
      </c>
      <c r="Y144" s="71">
        <f t="shared" si="57"/>
        <v>0.66666666666666663</v>
      </c>
      <c r="Z144" s="17">
        <v>1</v>
      </c>
      <c r="AA144" s="71">
        <f t="shared" si="58"/>
        <v>0.33333333333333331</v>
      </c>
      <c r="AB144" s="17">
        <v>3</v>
      </c>
      <c r="AC144" s="71">
        <f t="shared" si="59"/>
        <v>1.5</v>
      </c>
      <c r="AD144" s="84">
        <v>0</v>
      </c>
      <c r="AE144" s="84">
        <v>0</v>
      </c>
      <c r="AF144" s="84">
        <v>0</v>
      </c>
      <c r="AG144" s="84">
        <v>0</v>
      </c>
      <c r="AH144" s="84">
        <v>1</v>
      </c>
      <c r="AI144" s="84">
        <v>0</v>
      </c>
      <c r="AJ144" s="20">
        <v>1</v>
      </c>
      <c r="AK144" s="71">
        <f t="shared" si="60"/>
        <v>0.5</v>
      </c>
      <c r="AL144" s="17">
        <v>0</v>
      </c>
      <c r="AM144" s="71">
        <f t="shared" si="61"/>
        <v>0</v>
      </c>
      <c r="AN144" s="17">
        <v>0</v>
      </c>
      <c r="AO144" s="71">
        <f t="shared" si="62"/>
        <v>0</v>
      </c>
      <c r="AP144" s="17">
        <v>1</v>
      </c>
      <c r="AQ144" s="71">
        <f t="shared" si="63"/>
        <v>0.33333333333333331</v>
      </c>
      <c r="AR144" s="84">
        <v>2</v>
      </c>
      <c r="AS144" s="17">
        <v>3</v>
      </c>
      <c r="AT144" s="71">
        <f t="shared" si="64"/>
        <v>1</v>
      </c>
      <c r="AU144" s="17">
        <v>1</v>
      </c>
      <c r="AV144" s="71">
        <f t="shared" si="65"/>
        <v>0.33333333333333331</v>
      </c>
      <c r="AW144" s="17">
        <v>1</v>
      </c>
      <c r="AX144" s="71">
        <f t="shared" si="66"/>
        <v>0.5</v>
      </c>
      <c r="AY144" s="17">
        <v>2</v>
      </c>
      <c r="AZ144" s="71">
        <f t="shared" si="67"/>
        <v>0.66666666666666663</v>
      </c>
      <c r="BA144" s="93">
        <v>0</v>
      </c>
      <c r="BB144" s="93">
        <v>0</v>
      </c>
      <c r="BC144" s="93">
        <v>0</v>
      </c>
      <c r="BD144" s="93">
        <v>1</v>
      </c>
      <c r="BE144" s="102">
        <f t="shared" si="68"/>
        <v>3.1501763619059666</v>
      </c>
      <c r="BF144" s="81">
        <f t="shared" si="69"/>
        <v>0.2955991513665942</v>
      </c>
      <c r="BG144" s="81" t="str">
        <f t="shared" si="70"/>
        <v>BASSO</v>
      </c>
      <c r="BK144" s="81" t="str">
        <f t="shared" si="71"/>
        <v>MOLTO BASSO</v>
      </c>
    </row>
    <row r="145" spans="1:63" x14ac:dyDescent="0.15">
      <c r="A145" s="85">
        <v>3</v>
      </c>
      <c r="B145" s="85">
        <v>1</v>
      </c>
      <c r="C145" s="85">
        <v>3</v>
      </c>
      <c r="D145" s="85">
        <v>2</v>
      </c>
      <c r="E145" s="85">
        <v>1</v>
      </c>
      <c r="F145" s="18">
        <v>1</v>
      </c>
      <c r="G145" s="64">
        <f t="shared" si="48"/>
        <v>0.5</v>
      </c>
      <c r="H145" s="18">
        <v>1</v>
      </c>
      <c r="I145" s="64">
        <f t="shared" si="49"/>
        <v>0.5</v>
      </c>
      <c r="J145" s="18">
        <v>1</v>
      </c>
      <c r="K145" s="64">
        <f t="shared" si="50"/>
        <v>0.5</v>
      </c>
      <c r="L145" s="18">
        <v>2</v>
      </c>
      <c r="M145" s="64">
        <f t="shared" si="51"/>
        <v>0.66666666666666663</v>
      </c>
      <c r="N145" s="18">
        <v>5</v>
      </c>
      <c r="O145" s="64">
        <f t="shared" si="52"/>
        <v>1</v>
      </c>
      <c r="P145" s="18">
        <v>3</v>
      </c>
      <c r="Q145" s="64">
        <f t="shared" si="53"/>
        <v>1</v>
      </c>
      <c r="R145" s="24">
        <v>2</v>
      </c>
      <c r="S145" s="71">
        <f t="shared" si="54"/>
        <v>0.66666666666666663</v>
      </c>
      <c r="T145" s="18">
        <v>1</v>
      </c>
      <c r="U145" s="64">
        <f t="shared" si="55"/>
        <v>0.33333333333333331</v>
      </c>
      <c r="V145" s="18">
        <v>3</v>
      </c>
      <c r="W145" s="71">
        <f t="shared" si="56"/>
        <v>0.75</v>
      </c>
      <c r="X145" s="18">
        <v>0</v>
      </c>
      <c r="Y145" s="71">
        <f t="shared" si="57"/>
        <v>0</v>
      </c>
      <c r="Z145" s="18">
        <v>1</v>
      </c>
      <c r="AA145" s="71">
        <f t="shared" si="58"/>
        <v>0.33333333333333331</v>
      </c>
      <c r="AB145" s="18">
        <v>2</v>
      </c>
      <c r="AC145" s="71">
        <f t="shared" si="59"/>
        <v>1</v>
      </c>
      <c r="AD145" s="85">
        <v>1</v>
      </c>
      <c r="AE145" s="85">
        <v>0</v>
      </c>
      <c r="AF145" s="85">
        <v>1</v>
      </c>
      <c r="AG145" s="85">
        <v>0</v>
      </c>
      <c r="AH145" s="85">
        <v>0</v>
      </c>
      <c r="AI145" s="85">
        <v>0</v>
      </c>
      <c r="AJ145" s="19">
        <v>1</v>
      </c>
      <c r="AK145" s="71">
        <f t="shared" si="60"/>
        <v>0.5</v>
      </c>
      <c r="AL145" s="18">
        <v>3</v>
      </c>
      <c r="AM145" s="71">
        <f t="shared" si="61"/>
        <v>1</v>
      </c>
      <c r="AN145" s="18">
        <v>0</v>
      </c>
      <c r="AO145" s="71">
        <f t="shared" si="62"/>
        <v>0</v>
      </c>
      <c r="AP145" s="18">
        <v>2</v>
      </c>
      <c r="AQ145" s="71">
        <f t="shared" si="63"/>
        <v>0.66666666666666663</v>
      </c>
      <c r="AR145" s="85">
        <v>2</v>
      </c>
      <c r="AS145" s="18">
        <v>1</v>
      </c>
      <c r="AT145" s="71">
        <f t="shared" si="64"/>
        <v>0.33333333333333331</v>
      </c>
      <c r="AU145" s="18">
        <v>1</v>
      </c>
      <c r="AV145" s="71">
        <f t="shared" si="65"/>
        <v>0.33333333333333331</v>
      </c>
      <c r="AW145" s="18">
        <v>1</v>
      </c>
      <c r="AX145" s="71">
        <f t="shared" si="66"/>
        <v>0.5</v>
      </c>
      <c r="AY145" s="18">
        <v>1</v>
      </c>
      <c r="AZ145" s="71">
        <f t="shared" si="67"/>
        <v>0.33333333333333331</v>
      </c>
      <c r="BA145" s="94">
        <v>0</v>
      </c>
      <c r="BB145" s="94">
        <v>1</v>
      </c>
      <c r="BC145" s="94">
        <v>1</v>
      </c>
      <c r="BD145" s="94">
        <v>0</v>
      </c>
      <c r="BE145" s="102">
        <f t="shared" si="68"/>
        <v>2.4224069756247721</v>
      </c>
      <c r="BF145" s="81">
        <f t="shared" si="69"/>
        <v>0.45833333333338422</v>
      </c>
      <c r="BG145" s="81" t="str">
        <f t="shared" si="70"/>
        <v>MEDIO</v>
      </c>
      <c r="BK145" s="81" t="str">
        <f t="shared" si="71"/>
        <v>MEDIO</v>
      </c>
    </row>
    <row r="146" spans="1:63" x14ac:dyDescent="0.15">
      <c r="A146" s="84">
        <v>4</v>
      </c>
      <c r="B146" s="84">
        <v>2</v>
      </c>
      <c r="C146" s="84">
        <v>1</v>
      </c>
      <c r="D146" s="84">
        <v>2</v>
      </c>
      <c r="E146" s="85">
        <v>1</v>
      </c>
      <c r="F146" s="17">
        <v>1</v>
      </c>
      <c r="G146" s="64">
        <f t="shared" si="48"/>
        <v>0.5</v>
      </c>
      <c r="H146" s="17">
        <v>0</v>
      </c>
      <c r="I146" s="64">
        <f t="shared" si="49"/>
        <v>0</v>
      </c>
      <c r="J146" s="17">
        <v>1</v>
      </c>
      <c r="K146" s="64">
        <f t="shared" si="50"/>
        <v>0.5</v>
      </c>
      <c r="L146" s="17">
        <v>0</v>
      </c>
      <c r="M146" s="64">
        <f t="shared" si="51"/>
        <v>0</v>
      </c>
      <c r="N146" s="17">
        <v>4</v>
      </c>
      <c r="O146" s="64">
        <f t="shared" si="52"/>
        <v>0.8</v>
      </c>
      <c r="P146" s="17">
        <v>0</v>
      </c>
      <c r="Q146" s="64">
        <f t="shared" si="53"/>
        <v>0</v>
      </c>
      <c r="R146" s="25">
        <v>0</v>
      </c>
      <c r="S146" s="71">
        <f t="shared" si="54"/>
        <v>0</v>
      </c>
      <c r="T146" s="17">
        <v>1</v>
      </c>
      <c r="U146" s="64">
        <f t="shared" si="55"/>
        <v>0.33333333333333331</v>
      </c>
      <c r="V146" s="17">
        <v>3</v>
      </c>
      <c r="W146" s="71">
        <f t="shared" si="56"/>
        <v>0.75</v>
      </c>
      <c r="X146" s="17">
        <v>2</v>
      </c>
      <c r="Y146" s="71">
        <f t="shared" si="57"/>
        <v>0.66666666666666663</v>
      </c>
      <c r="Z146" s="17">
        <v>0</v>
      </c>
      <c r="AA146" s="71">
        <f t="shared" si="58"/>
        <v>0</v>
      </c>
      <c r="AB146" s="17">
        <v>1</v>
      </c>
      <c r="AC146" s="71">
        <f t="shared" si="59"/>
        <v>0.5</v>
      </c>
      <c r="AD146" s="84">
        <v>0</v>
      </c>
      <c r="AE146" s="84">
        <v>0</v>
      </c>
      <c r="AF146" s="84">
        <v>1</v>
      </c>
      <c r="AG146" s="84">
        <v>1</v>
      </c>
      <c r="AH146" s="84">
        <v>0</v>
      </c>
      <c r="AI146" s="84">
        <v>0</v>
      </c>
      <c r="AJ146" s="20">
        <v>1</v>
      </c>
      <c r="AK146" s="71">
        <f t="shared" si="60"/>
        <v>0.5</v>
      </c>
      <c r="AL146" s="17">
        <v>2</v>
      </c>
      <c r="AM146" s="71">
        <f t="shared" si="61"/>
        <v>0.66666666666666663</v>
      </c>
      <c r="AN146" s="17">
        <v>1</v>
      </c>
      <c r="AO146" s="71">
        <f t="shared" si="62"/>
        <v>0.33333333333333331</v>
      </c>
      <c r="AP146" s="17">
        <v>0</v>
      </c>
      <c r="AQ146" s="71">
        <f t="shared" si="63"/>
        <v>0</v>
      </c>
      <c r="AR146" s="84">
        <v>2</v>
      </c>
      <c r="AS146" s="17">
        <v>0</v>
      </c>
      <c r="AT146" s="71">
        <f t="shared" si="64"/>
        <v>0</v>
      </c>
      <c r="AU146" s="17">
        <v>2</v>
      </c>
      <c r="AV146" s="71">
        <f t="shared" si="65"/>
        <v>0.66666666666666663</v>
      </c>
      <c r="AW146" s="17">
        <v>0</v>
      </c>
      <c r="AX146" s="71">
        <f t="shared" si="66"/>
        <v>0</v>
      </c>
      <c r="AY146" s="17">
        <v>2</v>
      </c>
      <c r="AZ146" s="71">
        <f t="shared" si="67"/>
        <v>0.66666666666666663</v>
      </c>
      <c r="BA146" s="93">
        <v>1</v>
      </c>
      <c r="BB146" s="93">
        <v>1</v>
      </c>
      <c r="BC146" s="93">
        <v>0</v>
      </c>
      <c r="BD146" s="93">
        <v>0</v>
      </c>
      <c r="BE146" s="102">
        <f t="shared" si="68"/>
        <v>3.2304540444546386</v>
      </c>
      <c r="BF146" s="81">
        <f t="shared" si="69"/>
        <v>0.27764851584109795</v>
      </c>
      <c r="BG146" s="81" t="str">
        <f t="shared" si="70"/>
        <v>BASSO</v>
      </c>
      <c r="BK146" s="81" t="str">
        <f t="shared" si="71"/>
        <v>MOLTO BASSO</v>
      </c>
    </row>
    <row r="147" spans="1:63" x14ac:dyDescent="0.15">
      <c r="A147" s="85">
        <v>4</v>
      </c>
      <c r="B147" s="85">
        <v>2</v>
      </c>
      <c r="C147" s="85">
        <v>2</v>
      </c>
      <c r="D147" s="85">
        <v>2</v>
      </c>
      <c r="E147" s="85">
        <v>1</v>
      </c>
      <c r="F147" s="18">
        <v>1</v>
      </c>
      <c r="G147" s="64">
        <f t="shared" si="48"/>
        <v>0.5</v>
      </c>
      <c r="H147" s="18">
        <v>2</v>
      </c>
      <c r="I147" s="64">
        <f t="shared" si="49"/>
        <v>1</v>
      </c>
      <c r="J147" s="18">
        <v>2</v>
      </c>
      <c r="K147" s="64">
        <f t="shared" si="50"/>
        <v>1</v>
      </c>
      <c r="L147" s="18">
        <v>3</v>
      </c>
      <c r="M147" s="64">
        <f t="shared" si="51"/>
        <v>1</v>
      </c>
      <c r="N147" s="18">
        <v>4</v>
      </c>
      <c r="O147" s="64">
        <f t="shared" si="52"/>
        <v>0.8</v>
      </c>
      <c r="P147" s="18">
        <v>2</v>
      </c>
      <c r="Q147" s="64">
        <f t="shared" si="53"/>
        <v>0.66666666666666663</v>
      </c>
      <c r="R147" s="24">
        <v>0</v>
      </c>
      <c r="S147" s="71">
        <f t="shared" si="54"/>
        <v>0</v>
      </c>
      <c r="T147" s="18">
        <v>3</v>
      </c>
      <c r="U147" s="64">
        <f t="shared" si="55"/>
        <v>1</v>
      </c>
      <c r="V147" s="18">
        <v>3</v>
      </c>
      <c r="W147" s="71">
        <f t="shared" si="56"/>
        <v>0.75</v>
      </c>
      <c r="X147" s="18">
        <v>2</v>
      </c>
      <c r="Y147" s="71">
        <f t="shared" si="57"/>
        <v>0.66666666666666663</v>
      </c>
      <c r="Z147" s="18">
        <v>3</v>
      </c>
      <c r="AA147" s="71">
        <f t="shared" si="58"/>
        <v>1</v>
      </c>
      <c r="AB147" s="18">
        <v>1</v>
      </c>
      <c r="AC147" s="71">
        <f t="shared" si="59"/>
        <v>0.5</v>
      </c>
      <c r="AD147" s="85">
        <v>1</v>
      </c>
      <c r="AE147" s="85">
        <v>0</v>
      </c>
      <c r="AF147" s="85">
        <v>1</v>
      </c>
      <c r="AG147" s="85">
        <v>0</v>
      </c>
      <c r="AH147" s="85">
        <v>0</v>
      </c>
      <c r="AI147" s="85">
        <v>0</v>
      </c>
      <c r="AJ147" s="19">
        <v>1</v>
      </c>
      <c r="AK147" s="71">
        <f t="shared" si="60"/>
        <v>0.5</v>
      </c>
      <c r="AL147" s="18">
        <v>2</v>
      </c>
      <c r="AM147" s="71">
        <f t="shared" si="61"/>
        <v>0.66666666666666663</v>
      </c>
      <c r="AN147" s="18">
        <v>1</v>
      </c>
      <c r="AO147" s="71">
        <f t="shared" si="62"/>
        <v>0.33333333333333331</v>
      </c>
      <c r="AP147" s="18">
        <v>2</v>
      </c>
      <c r="AQ147" s="71">
        <f t="shared" si="63"/>
        <v>0.66666666666666663</v>
      </c>
      <c r="AR147" s="85">
        <v>2</v>
      </c>
      <c r="AS147" s="18">
        <v>3</v>
      </c>
      <c r="AT147" s="71">
        <f t="shared" si="64"/>
        <v>1</v>
      </c>
      <c r="AU147" s="18">
        <v>2</v>
      </c>
      <c r="AV147" s="71">
        <f t="shared" si="65"/>
        <v>0.66666666666666663</v>
      </c>
      <c r="AW147" s="18">
        <v>0</v>
      </c>
      <c r="AX147" s="71">
        <f t="shared" si="66"/>
        <v>0</v>
      </c>
      <c r="AY147" s="18">
        <v>3</v>
      </c>
      <c r="AZ147" s="71">
        <f t="shared" si="67"/>
        <v>1</v>
      </c>
      <c r="BA147" s="94">
        <v>1</v>
      </c>
      <c r="BB147" s="94">
        <v>0</v>
      </c>
      <c r="BC147" s="94">
        <v>1</v>
      </c>
      <c r="BD147" s="94">
        <v>0</v>
      </c>
      <c r="BE147" s="102">
        <f t="shared" si="68"/>
        <v>1.9627786426390523</v>
      </c>
      <c r="BF147" s="81">
        <f t="shared" si="69"/>
        <v>0.56110935302747245</v>
      </c>
      <c r="BG147" s="81" t="str">
        <f t="shared" si="70"/>
        <v>MEDIO</v>
      </c>
      <c r="BK147" s="81" t="str">
        <f t="shared" si="71"/>
        <v>MEDIO</v>
      </c>
    </row>
    <row r="148" spans="1:63" x14ac:dyDescent="0.15">
      <c r="A148" s="84">
        <v>4</v>
      </c>
      <c r="B148" s="84">
        <v>1</v>
      </c>
      <c r="C148" s="84">
        <v>4</v>
      </c>
      <c r="D148" s="84">
        <v>2</v>
      </c>
      <c r="E148" s="85">
        <v>1</v>
      </c>
      <c r="F148" s="17">
        <v>1</v>
      </c>
      <c r="G148" s="64">
        <f t="shared" si="48"/>
        <v>0.5</v>
      </c>
      <c r="H148" s="17">
        <v>1</v>
      </c>
      <c r="I148" s="64">
        <f t="shared" si="49"/>
        <v>0.5</v>
      </c>
      <c r="J148" s="17">
        <v>2</v>
      </c>
      <c r="K148" s="64">
        <f t="shared" si="50"/>
        <v>1</v>
      </c>
      <c r="L148" s="17">
        <v>2</v>
      </c>
      <c r="M148" s="64">
        <f t="shared" si="51"/>
        <v>0.66666666666666663</v>
      </c>
      <c r="N148" s="17">
        <v>0</v>
      </c>
      <c r="O148" s="64">
        <f t="shared" si="52"/>
        <v>0</v>
      </c>
      <c r="P148" s="17">
        <v>2</v>
      </c>
      <c r="Q148" s="64">
        <f t="shared" si="53"/>
        <v>0.66666666666666663</v>
      </c>
      <c r="R148" s="25">
        <v>2</v>
      </c>
      <c r="S148" s="71">
        <f t="shared" si="54"/>
        <v>0.66666666666666663</v>
      </c>
      <c r="T148" s="17">
        <v>2</v>
      </c>
      <c r="U148" s="64">
        <f t="shared" si="55"/>
        <v>0.66666666666666663</v>
      </c>
      <c r="V148" s="17">
        <v>3</v>
      </c>
      <c r="W148" s="71">
        <f t="shared" si="56"/>
        <v>0.75</v>
      </c>
      <c r="X148" s="17">
        <v>1</v>
      </c>
      <c r="Y148" s="71">
        <f t="shared" si="57"/>
        <v>0.33333333333333331</v>
      </c>
      <c r="Z148" s="17">
        <v>0</v>
      </c>
      <c r="AA148" s="71">
        <f t="shared" si="58"/>
        <v>0</v>
      </c>
      <c r="AB148" s="17">
        <v>0</v>
      </c>
      <c r="AC148" s="71">
        <f t="shared" si="59"/>
        <v>0</v>
      </c>
      <c r="AD148" s="84">
        <v>1</v>
      </c>
      <c r="AE148" s="84">
        <v>1</v>
      </c>
      <c r="AF148" s="84">
        <v>0</v>
      </c>
      <c r="AG148" s="84">
        <v>0</v>
      </c>
      <c r="AH148" s="84">
        <v>0</v>
      </c>
      <c r="AI148" s="84">
        <v>0</v>
      </c>
      <c r="AJ148" s="20">
        <v>1</v>
      </c>
      <c r="AK148" s="71">
        <f t="shared" si="60"/>
        <v>0.5</v>
      </c>
      <c r="AL148" s="17">
        <v>1</v>
      </c>
      <c r="AM148" s="71">
        <f t="shared" si="61"/>
        <v>0.33333333333333331</v>
      </c>
      <c r="AN148" s="17">
        <v>1</v>
      </c>
      <c r="AO148" s="71">
        <f t="shared" si="62"/>
        <v>0.33333333333333331</v>
      </c>
      <c r="AP148" s="17">
        <v>2</v>
      </c>
      <c r="AQ148" s="71">
        <f t="shared" si="63"/>
        <v>0.66666666666666663</v>
      </c>
      <c r="AR148" s="84">
        <v>2</v>
      </c>
      <c r="AS148" s="17">
        <v>2</v>
      </c>
      <c r="AT148" s="71">
        <f t="shared" si="64"/>
        <v>0.66666666666666663</v>
      </c>
      <c r="AU148" s="17">
        <v>3</v>
      </c>
      <c r="AV148" s="71">
        <f t="shared" si="65"/>
        <v>1</v>
      </c>
      <c r="AW148" s="17">
        <v>0</v>
      </c>
      <c r="AX148" s="71">
        <f t="shared" si="66"/>
        <v>0</v>
      </c>
      <c r="AY148" s="17">
        <v>3</v>
      </c>
      <c r="AZ148" s="71">
        <f t="shared" si="67"/>
        <v>1</v>
      </c>
      <c r="BA148" s="93">
        <v>1</v>
      </c>
      <c r="BB148" s="93">
        <v>1</v>
      </c>
      <c r="BC148" s="93">
        <v>0</v>
      </c>
      <c r="BD148" s="93">
        <v>0</v>
      </c>
      <c r="BE148" s="102">
        <f t="shared" si="68"/>
        <v>2.6100766272276377</v>
      </c>
      <c r="BF148" s="81">
        <f t="shared" si="69"/>
        <v>0.41636912350361721</v>
      </c>
      <c r="BG148" s="81" t="str">
        <f t="shared" si="70"/>
        <v>MEDIO</v>
      </c>
      <c r="BK148" s="81" t="str">
        <f t="shared" si="71"/>
        <v>BASSO</v>
      </c>
    </row>
    <row r="149" spans="1:63" x14ac:dyDescent="0.15">
      <c r="A149" s="85">
        <v>1</v>
      </c>
      <c r="B149" s="85">
        <v>2</v>
      </c>
      <c r="C149" s="85">
        <v>2</v>
      </c>
      <c r="D149" s="85">
        <v>2</v>
      </c>
      <c r="E149" s="85">
        <v>1</v>
      </c>
      <c r="F149" s="18">
        <v>1</v>
      </c>
      <c r="G149" s="64">
        <f t="shared" si="48"/>
        <v>0.5</v>
      </c>
      <c r="H149" s="18">
        <v>0</v>
      </c>
      <c r="I149" s="64">
        <f t="shared" si="49"/>
        <v>0</v>
      </c>
      <c r="J149" s="18">
        <v>0</v>
      </c>
      <c r="K149" s="64">
        <f t="shared" si="50"/>
        <v>0</v>
      </c>
      <c r="L149" s="18">
        <v>0</v>
      </c>
      <c r="M149" s="64">
        <f t="shared" si="51"/>
        <v>0</v>
      </c>
      <c r="N149" s="18">
        <v>0</v>
      </c>
      <c r="O149" s="64">
        <f t="shared" si="52"/>
        <v>0</v>
      </c>
      <c r="P149" s="18">
        <v>3</v>
      </c>
      <c r="Q149" s="64">
        <f t="shared" si="53"/>
        <v>1</v>
      </c>
      <c r="R149" s="24">
        <v>2</v>
      </c>
      <c r="S149" s="71">
        <f t="shared" si="54"/>
        <v>0.66666666666666663</v>
      </c>
      <c r="T149" s="18">
        <v>1</v>
      </c>
      <c r="U149" s="64">
        <f t="shared" si="55"/>
        <v>0.33333333333333331</v>
      </c>
      <c r="V149" s="18">
        <v>4</v>
      </c>
      <c r="W149" s="71">
        <f t="shared" si="56"/>
        <v>1</v>
      </c>
      <c r="X149" s="18">
        <v>2</v>
      </c>
      <c r="Y149" s="71">
        <f t="shared" si="57"/>
        <v>0.66666666666666663</v>
      </c>
      <c r="Z149" s="18">
        <v>2</v>
      </c>
      <c r="AA149" s="71">
        <f t="shared" si="58"/>
        <v>0.66666666666666663</v>
      </c>
      <c r="AB149" s="18">
        <v>2</v>
      </c>
      <c r="AC149" s="71">
        <f t="shared" si="59"/>
        <v>1</v>
      </c>
      <c r="AD149" s="85">
        <v>0</v>
      </c>
      <c r="AE149" s="85">
        <v>0</v>
      </c>
      <c r="AF149" s="85">
        <v>1</v>
      </c>
      <c r="AG149" s="85">
        <v>1</v>
      </c>
      <c r="AH149" s="85">
        <v>0</v>
      </c>
      <c r="AI149" s="85">
        <v>0</v>
      </c>
      <c r="AJ149" s="19">
        <v>1</v>
      </c>
      <c r="AK149" s="71">
        <f t="shared" si="60"/>
        <v>0.5</v>
      </c>
      <c r="AL149" s="18">
        <v>3</v>
      </c>
      <c r="AM149" s="71">
        <f t="shared" si="61"/>
        <v>1</v>
      </c>
      <c r="AN149" s="18">
        <v>1</v>
      </c>
      <c r="AO149" s="71">
        <f t="shared" si="62"/>
        <v>0.33333333333333331</v>
      </c>
      <c r="AP149" s="18">
        <v>0</v>
      </c>
      <c r="AQ149" s="71">
        <f t="shared" si="63"/>
        <v>0</v>
      </c>
      <c r="AR149" s="85">
        <v>0</v>
      </c>
      <c r="AS149" s="18">
        <v>2</v>
      </c>
      <c r="AT149" s="71">
        <f t="shared" si="64"/>
        <v>0.66666666666666663</v>
      </c>
      <c r="AU149" s="18">
        <v>2</v>
      </c>
      <c r="AV149" s="71">
        <f t="shared" si="65"/>
        <v>0.66666666666666663</v>
      </c>
      <c r="AW149" s="18">
        <v>0</v>
      </c>
      <c r="AX149" s="71">
        <f t="shared" si="66"/>
        <v>0</v>
      </c>
      <c r="AY149" s="18">
        <v>2</v>
      </c>
      <c r="AZ149" s="71">
        <f t="shared" si="67"/>
        <v>0.66666666666666663</v>
      </c>
      <c r="BA149" s="94">
        <v>1</v>
      </c>
      <c r="BB149" s="94">
        <v>0</v>
      </c>
      <c r="BC149" s="94">
        <v>1</v>
      </c>
      <c r="BD149" s="94">
        <v>0</v>
      </c>
      <c r="BE149" s="102">
        <f t="shared" si="68"/>
        <v>2.838231060987733</v>
      </c>
      <c r="BF149" s="81">
        <f t="shared" si="69"/>
        <v>0.36535224117806742</v>
      </c>
      <c r="BG149" s="81" t="str">
        <f t="shared" si="70"/>
        <v>MEDIO</v>
      </c>
      <c r="BK149" s="81" t="str">
        <f t="shared" si="71"/>
        <v>BASSO</v>
      </c>
    </row>
    <row r="150" spans="1:63" x14ac:dyDescent="0.15">
      <c r="A150" s="84">
        <v>4</v>
      </c>
      <c r="B150" s="84">
        <v>1</v>
      </c>
      <c r="C150" s="84">
        <v>1</v>
      </c>
      <c r="D150" s="84">
        <v>2</v>
      </c>
      <c r="E150" s="85">
        <v>1</v>
      </c>
      <c r="F150" s="17">
        <v>1</v>
      </c>
      <c r="G150" s="64">
        <f t="shared" si="48"/>
        <v>0.5</v>
      </c>
      <c r="H150" s="17">
        <v>2</v>
      </c>
      <c r="I150" s="64">
        <f t="shared" si="49"/>
        <v>1</v>
      </c>
      <c r="J150" s="17">
        <v>2</v>
      </c>
      <c r="K150" s="64">
        <f t="shared" si="50"/>
        <v>1</v>
      </c>
      <c r="L150" s="17">
        <v>2</v>
      </c>
      <c r="M150" s="64">
        <f t="shared" si="51"/>
        <v>0.66666666666666663</v>
      </c>
      <c r="N150" s="17">
        <v>0</v>
      </c>
      <c r="O150" s="64">
        <f t="shared" si="52"/>
        <v>0</v>
      </c>
      <c r="P150" s="17">
        <v>3</v>
      </c>
      <c r="Q150" s="64">
        <f t="shared" si="53"/>
        <v>1</v>
      </c>
      <c r="R150" s="25">
        <v>3</v>
      </c>
      <c r="S150" s="71">
        <f t="shared" si="54"/>
        <v>1</v>
      </c>
      <c r="T150" s="17">
        <v>3</v>
      </c>
      <c r="U150" s="64">
        <f t="shared" si="55"/>
        <v>1</v>
      </c>
      <c r="V150" s="17">
        <v>3</v>
      </c>
      <c r="W150" s="71">
        <f t="shared" si="56"/>
        <v>0.75</v>
      </c>
      <c r="X150" s="17">
        <v>2</v>
      </c>
      <c r="Y150" s="71">
        <f t="shared" si="57"/>
        <v>0.66666666666666663</v>
      </c>
      <c r="Z150" s="17">
        <v>2</v>
      </c>
      <c r="AA150" s="71">
        <f t="shared" si="58"/>
        <v>0.66666666666666663</v>
      </c>
      <c r="AB150" s="17">
        <v>0</v>
      </c>
      <c r="AC150" s="71">
        <f t="shared" si="59"/>
        <v>0</v>
      </c>
      <c r="AD150" s="84">
        <v>1</v>
      </c>
      <c r="AE150" s="84">
        <v>0</v>
      </c>
      <c r="AF150" s="84">
        <v>1</v>
      </c>
      <c r="AG150" s="84">
        <v>0</v>
      </c>
      <c r="AH150" s="84">
        <v>0</v>
      </c>
      <c r="AI150" s="84">
        <v>0</v>
      </c>
      <c r="AJ150" s="20">
        <v>1</v>
      </c>
      <c r="AK150" s="71">
        <f t="shared" si="60"/>
        <v>0.5</v>
      </c>
      <c r="AL150" s="17">
        <v>2</v>
      </c>
      <c r="AM150" s="71">
        <f t="shared" si="61"/>
        <v>0.66666666666666663</v>
      </c>
      <c r="AN150" s="17">
        <v>2</v>
      </c>
      <c r="AO150" s="71">
        <f t="shared" si="62"/>
        <v>0.66666666666666663</v>
      </c>
      <c r="AP150" s="17">
        <v>2</v>
      </c>
      <c r="AQ150" s="71">
        <f t="shared" si="63"/>
        <v>0.66666666666666663</v>
      </c>
      <c r="AR150" s="84">
        <v>1</v>
      </c>
      <c r="AS150" s="17">
        <v>2</v>
      </c>
      <c r="AT150" s="71">
        <f t="shared" si="64"/>
        <v>0.66666666666666663</v>
      </c>
      <c r="AU150" s="17">
        <v>2</v>
      </c>
      <c r="AV150" s="71">
        <f t="shared" si="65"/>
        <v>0.66666666666666663</v>
      </c>
      <c r="AW150" s="17">
        <v>1</v>
      </c>
      <c r="AX150" s="71">
        <f t="shared" si="66"/>
        <v>0.5</v>
      </c>
      <c r="AY150" s="17">
        <v>0</v>
      </c>
      <c r="AZ150" s="71">
        <f t="shared" si="67"/>
        <v>0</v>
      </c>
      <c r="BA150" s="93">
        <v>1</v>
      </c>
      <c r="BB150" s="93">
        <v>1</v>
      </c>
      <c r="BC150" s="93">
        <v>0</v>
      </c>
      <c r="BD150" s="93">
        <v>0</v>
      </c>
      <c r="BE150" s="102">
        <f t="shared" si="68"/>
        <v>2.1682686385429482</v>
      </c>
      <c r="BF150" s="81">
        <f t="shared" si="69"/>
        <v>0.51516039307375028</v>
      </c>
      <c r="BG150" s="81" t="str">
        <f t="shared" si="70"/>
        <v>MEDIO</v>
      </c>
      <c r="BK150" s="81" t="str">
        <f t="shared" si="71"/>
        <v>MEDIO</v>
      </c>
    </row>
    <row r="151" spans="1:63" x14ac:dyDescent="0.15">
      <c r="A151" s="85">
        <v>5</v>
      </c>
      <c r="B151" s="85">
        <v>2</v>
      </c>
      <c r="C151" s="85">
        <v>3</v>
      </c>
      <c r="D151" s="85">
        <v>2</v>
      </c>
      <c r="E151" s="85">
        <v>1</v>
      </c>
      <c r="F151" s="18">
        <v>1</v>
      </c>
      <c r="G151" s="64">
        <f t="shared" si="48"/>
        <v>0.5</v>
      </c>
      <c r="H151" s="18">
        <v>2</v>
      </c>
      <c r="I151" s="64">
        <f t="shared" si="49"/>
        <v>1</v>
      </c>
      <c r="J151" s="18">
        <v>1</v>
      </c>
      <c r="K151" s="64">
        <f t="shared" si="50"/>
        <v>0.5</v>
      </c>
      <c r="L151" s="18">
        <v>2</v>
      </c>
      <c r="M151" s="64">
        <f t="shared" si="51"/>
        <v>0.66666666666666663</v>
      </c>
      <c r="N151" s="18">
        <v>2</v>
      </c>
      <c r="O151" s="64">
        <f t="shared" si="52"/>
        <v>0.4</v>
      </c>
      <c r="P151" s="18">
        <v>0</v>
      </c>
      <c r="Q151" s="64">
        <f t="shared" si="53"/>
        <v>0</v>
      </c>
      <c r="R151" s="24">
        <v>2</v>
      </c>
      <c r="S151" s="71">
        <f t="shared" si="54"/>
        <v>0.66666666666666663</v>
      </c>
      <c r="T151" s="18">
        <v>3</v>
      </c>
      <c r="U151" s="64">
        <f t="shared" si="55"/>
        <v>1</v>
      </c>
      <c r="V151" s="18">
        <v>3</v>
      </c>
      <c r="W151" s="71">
        <f t="shared" si="56"/>
        <v>0.75</v>
      </c>
      <c r="X151" s="18">
        <v>2</v>
      </c>
      <c r="Y151" s="71">
        <f t="shared" si="57"/>
        <v>0.66666666666666663</v>
      </c>
      <c r="Z151" s="18">
        <v>0</v>
      </c>
      <c r="AA151" s="71">
        <f t="shared" si="58"/>
        <v>0</v>
      </c>
      <c r="AB151" s="18">
        <v>2</v>
      </c>
      <c r="AC151" s="71">
        <f t="shared" si="59"/>
        <v>1</v>
      </c>
      <c r="AD151" s="85">
        <v>1</v>
      </c>
      <c r="AE151" s="85">
        <v>0</v>
      </c>
      <c r="AF151" s="85">
        <v>0</v>
      </c>
      <c r="AG151" s="85">
        <v>1</v>
      </c>
      <c r="AH151" s="85">
        <v>0</v>
      </c>
      <c r="AI151" s="85">
        <v>0</v>
      </c>
      <c r="AJ151" s="19">
        <v>1</v>
      </c>
      <c r="AK151" s="71">
        <f t="shared" si="60"/>
        <v>0.5</v>
      </c>
      <c r="AL151" s="18">
        <v>1</v>
      </c>
      <c r="AM151" s="71">
        <f t="shared" si="61"/>
        <v>0.33333333333333331</v>
      </c>
      <c r="AN151" s="18">
        <v>2</v>
      </c>
      <c r="AO151" s="71">
        <f t="shared" si="62"/>
        <v>0.66666666666666663</v>
      </c>
      <c r="AP151" s="18">
        <v>2</v>
      </c>
      <c r="AQ151" s="71">
        <f t="shared" si="63"/>
        <v>0.66666666666666663</v>
      </c>
      <c r="AR151" s="85">
        <v>1</v>
      </c>
      <c r="AS151" s="18">
        <v>0</v>
      </c>
      <c r="AT151" s="71">
        <f t="shared" si="64"/>
        <v>0</v>
      </c>
      <c r="AU151" s="18">
        <v>0</v>
      </c>
      <c r="AV151" s="71">
        <f t="shared" si="65"/>
        <v>0</v>
      </c>
      <c r="AW151" s="18">
        <v>1</v>
      </c>
      <c r="AX151" s="71">
        <f t="shared" si="66"/>
        <v>0.5</v>
      </c>
      <c r="AY151" s="18">
        <v>3</v>
      </c>
      <c r="AZ151" s="71">
        <f t="shared" si="67"/>
        <v>1</v>
      </c>
      <c r="BA151" s="94">
        <v>0</v>
      </c>
      <c r="BB151" s="94">
        <v>1</v>
      </c>
      <c r="BC151" s="94">
        <v>1</v>
      </c>
      <c r="BD151" s="94">
        <v>0</v>
      </c>
      <c r="BE151" s="102">
        <f t="shared" si="68"/>
        <v>2.5342651794948372</v>
      </c>
      <c r="BF151" s="81">
        <f t="shared" si="69"/>
        <v>0.43332107856393709</v>
      </c>
      <c r="BG151" s="81" t="str">
        <f t="shared" si="70"/>
        <v>MEDIO</v>
      </c>
      <c r="BK151" s="81" t="str">
        <f t="shared" si="71"/>
        <v>BASSO</v>
      </c>
    </row>
    <row r="152" spans="1:63" x14ac:dyDescent="0.15">
      <c r="A152" s="84">
        <v>3</v>
      </c>
      <c r="B152" s="84">
        <v>2</v>
      </c>
      <c r="C152" s="84">
        <v>4</v>
      </c>
      <c r="D152" s="84">
        <v>1</v>
      </c>
      <c r="E152" s="85">
        <v>1</v>
      </c>
      <c r="F152" s="17">
        <v>2</v>
      </c>
      <c r="G152" s="64">
        <f t="shared" si="48"/>
        <v>1</v>
      </c>
      <c r="H152" s="17">
        <v>0</v>
      </c>
      <c r="I152" s="64">
        <f t="shared" si="49"/>
        <v>0</v>
      </c>
      <c r="J152" s="17">
        <v>0</v>
      </c>
      <c r="K152" s="64">
        <f t="shared" si="50"/>
        <v>0</v>
      </c>
      <c r="L152" s="17">
        <v>0</v>
      </c>
      <c r="M152" s="64">
        <f t="shared" si="51"/>
        <v>0</v>
      </c>
      <c r="N152" s="17">
        <v>1</v>
      </c>
      <c r="O152" s="64">
        <f t="shared" si="52"/>
        <v>0.2</v>
      </c>
      <c r="P152" s="17">
        <v>3</v>
      </c>
      <c r="Q152" s="64">
        <f t="shared" si="53"/>
        <v>1</v>
      </c>
      <c r="R152" s="25">
        <v>3</v>
      </c>
      <c r="S152" s="71">
        <f t="shared" si="54"/>
        <v>1</v>
      </c>
      <c r="T152" s="17">
        <v>1</v>
      </c>
      <c r="U152" s="64">
        <f t="shared" si="55"/>
        <v>0.33333333333333331</v>
      </c>
      <c r="V152" s="17">
        <v>3</v>
      </c>
      <c r="W152" s="71">
        <f t="shared" si="56"/>
        <v>0.75</v>
      </c>
      <c r="X152" s="17">
        <v>3</v>
      </c>
      <c r="Y152" s="71">
        <f t="shared" si="57"/>
        <v>1</v>
      </c>
      <c r="Z152" s="17">
        <v>1</v>
      </c>
      <c r="AA152" s="71">
        <f t="shared" si="58"/>
        <v>0.33333333333333331</v>
      </c>
      <c r="AB152" s="17">
        <v>2</v>
      </c>
      <c r="AC152" s="71">
        <f t="shared" si="59"/>
        <v>1</v>
      </c>
      <c r="AD152" s="84">
        <v>0</v>
      </c>
      <c r="AE152" s="84">
        <v>0</v>
      </c>
      <c r="AF152" s="84">
        <v>1</v>
      </c>
      <c r="AG152" s="84">
        <v>1</v>
      </c>
      <c r="AH152" s="84">
        <v>0</v>
      </c>
      <c r="AI152" s="84">
        <v>0</v>
      </c>
      <c r="AJ152" s="20">
        <v>1</v>
      </c>
      <c r="AK152" s="71">
        <f t="shared" si="60"/>
        <v>0.5</v>
      </c>
      <c r="AL152" s="17">
        <v>0</v>
      </c>
      <c r="AM152" s="71">
        <f t="shared" si="61"/>
        <v>0</v>
      </c>
      <c r="AN152" s="17">
        <v>0</v>
      </c>
      <c r="AO152" s="71">
        <f t="shared" si="62"/>
        <v>0</v>
      </c>
      <c r="AP152" s="17">
        <v>1</v>
      </c>
      <c r="AQ152" s="71">
        <f t="shared" si="63"/>
        <v>0.33333333333333331</v>
      </c>
      <c r="AR152" s="84">
        <v>2</v>
      </c>
      <c r="AS152" s="17">
        <v>1</v>
      </c>
      <c r="AT152" s="71">
        <f t="shared" si="64"/>
        <v>0.33333333333333331</v>
      </c>
      <c r="AU152" s="17">
        <v>1</v>
      </c>
      <c r="AV152" s="71">
        <f t="shared" si="65"/>
        <v>0.33333333333333331</v>
      </c>
      <c r="AW152" s="17">
        <v>1</v>
      </c>
      <c r="AX152" s="71">
        <f t="shared" si="66"/>
        <v>0.5</v>
      </c>
      <c r="AY152" s="17">
        <v>2</v>
      </c>
      <c r="AZ152" s="71">
        <f t="shared" si="67"/>
        <v>0.66666666666666663</v>
      </c>
      <c r="BA152" s="93">
        <v>0</v>
      </c>
      <c r="BB152" s="93">
        <v>0</v>
      </c>
      <c r="BC152" s="93">
        <v>0</v>
      </c>
      <c r="BD152" s="93">
        <v>1</v>
      </c>
      <c r="BE152" s="102">
        <f t="shared" si="68"/>
        <v>2.9216148502725909</v>
      </c>
      <c r="BF152" s="81">
        <f t="shared" si="69"/>
        <v>0.34670705907182309</v>
      </c>
      <c r="BG152" s="81" t="str">
        <f t="shared" si="70"/>
        <v>MEDIO</v>
      </c>
      <c r="BK152" s="81" t="str">
        <f t="shared" si="71"/>
        <v>BASSO</v>
      </c>
    </row>
    <row r="153" spans="1:63" x14ac:dyDescent="0.15">
      <c r="A153" s="85">
        <v>2</v>
      </c>
      <c r="B153" s="85">
        <v>1</v>
      </c>
      <c r="C153" s="85">
        <v>3</v>
      </c>
      <c r="D153" s="85">
        <v>1</v>
      </c>
      <c r="E153" s="85">
        <v>1</v>
      </c>
      <c r="F153" s="18">
        <v>2</v>
      </c>
      <c r="G153" s="64">
        <f t="shared" si="48"/>
        <v>1</v>
      </c>
      <c r="H153" s="18">
        <v>0</v>
      </c>
      <c r="I153" s="64">
        <f t="shared" si="49"/>
        <v>0</v>
      </c>
      <c r="J153" s="18">
        <v>0</v>
      </c>
      <c r="K153" s="64">
        <f t="shared" si="50"/>
        <v>0</v>
      </c>
      <c r="L153" s="18">
        <v>1</v>
      </c>
      <c r="M153" s="64">
        <f t="shared" si="51"/>
        <v>0.33333333333333331</v>
      </c>
      <c r="N153" s="18">
        <v>2</v>
      </c>
      <c r="O153" s="64">
        <f t="shared" si="52"/>
        <v>0.4</v>
      </c>
      <c r="P153" s="18">
        <v>3</v>
      </c>
      <c r="Q153" s="64">
        <f t="shared" si="53"/>
        <v>1</v>
      </c>
      <c r="R153" s="24">
        <v>3</v>
      </c>
      <c r="S153" s="71">
        <f t="shared" si="54"/>
        <v>1</v>
      </c>
      <c r="T153" s="18">
        <v>1</v>
      </c>
      <c r="U153" s="64">
        <f t="shared" si="55"/>
        <v>0.33333333333333331</v>
      </c>
      <c r="V153" s="18">
        <v>3</v>
      </c>
      <c r="W153" s="71">
        <f t="shared" si="56"/>
        <v>0.75</v>
      </c>
      <c r="X153" s="18">
        <v>3</v>
      </c>
      <c r="Y153" s="71">
        <f t="shared" si="57"/>
        <v>1</v>
      </c>
      <c r="Z153" s="18">
        <v>2</v>
      </c>
      <c r="AA153" s="71">
        <f t="shared" si="58"/>
        <v>0.66666666666666663</v>
      </c>
      <c r="AB153" s="18">
        <v>2</v>
      </c>
      <c r="AC153" s="71">
        <f t="shared" si="59"/>
        <v>1</v>
      </c>
      <c r="AD153" s="85">
        <v>0</v>
      </c>
      <c r="AE153" s="85">
        <v>0</v>
      </c>
      <c r="AF153" s="85">
        <v>1</v>
      </c>
      <c r="AG153" s="85">
        <v>0</v>
      </c>
      <c r="AH153" s="85">
        <v>0</v>
      </c>
      <c r="AI153" s="85">
        <v>0</v>
      </c>
      <c r="AJ153" s="19">
        <v>1</v>
      </c>
      <c r="AK153" s="71">
        <f t="shared" si="60"/>
        <v>0.5</v>
      </c>
      <c r="AL153" s="18">
        <v>0</v>
      </c>
      <c r="AM153" s="71">
        <f t="shared" si="61"/>
        <v>0</v>
      </c>
      <c r="AN153" s="18">
        <v>0</v>
      </c>
      <c r="AO153" s="71">
        <f t="shared" si="62"/>
        <v>0</v>
      </c>
      <c r="AP153" s="18">
        <v>0</v>
      </c>
      <c r="AQ153" s="71">
        <f t="shared" si="63"/>
        <v>0</v>
      </c>
      <c r="AR153" s="85">
        <v>0</v>
      </c>
      <c r="AS153" s="18">
        <v>2</v>
      </c>
      <c r="AT153" s="71">
        <f t="shared" si="64"/>
        <v>0.66666666666666663</v>
      </c>
      <c r="AU153" s="18">
        <v>2</v>
      </c>
      <c r="AV153" s="71">
        <f t="shared" si="65"/>
        <v>0.66666666666666663</v>
      </c>
      <c r="AW153" s="18">
        <v>0</v>
      </c>
      <c r="AX153" s="71">
        <f t="shared" si="66"/>
        <v>0</v>
      </c>
      <c r="AY153" s="18">
        <v>2</v>
      </c>
      <c r="AZ153" s="71">
        <f t="shared" si="67"/>
        <v>0.66666666666666663</v>
      </c>
      <c r="BA153" s="94">
        <v>0</v>
      </c>
      <c r="BB153" s="94">
        <v>0</v>
      </c>
      <c r="BC153" s="94">
        <v>0</v>
      </c>
      <c r="BD153" s="94">
        <v>1</v>
      </c>
      <c r="BE153" s="102">
        <f t="shared" si="68"/>
        <v>2.8294581342252325</v>
      </c>
      <c r="BF153" s="81">
        <f t="shared" si="69"/>
        <v>0.36731392723832501</v>
      </c>
      <c r="BG153" s="81" t="str">
        <f t="shared" si="70"/>
        <v>MEDIO</v>
      </c>
      <c r="BK153" s="81" t="str">
        <f t="shared" si="71"/>
        <v>BASSO</v>
      </c>
    </row>
    <row r="154" spans="1:63" x14ac:dyDescent="0.15">
      <c r="A154" s="84">
        <v>4</v>
      </c>
      <c r="B154" s="84">
        <v>2</v>
      </c>
      <c r="C154" s="84">
        <v>1</v>
      </c>
      <c r="D154" s="84">
        <v>2</v>
      </c>
      <c r="E154" s="85">
        <v>1</v>
      </c>
      <c r="F154" s="17">
        <v>2</v>
      </c>
      <c r="G154" s="64">
        <f t="shared" si="48"/>
        <v>1</v>
      </c>
      <c r="H154" s="17">
        <v>1</v>
      </c>
      <c r="I154" s="64">
        <f t="shared" si="49"/>
        <v>0.5</v>
      </c>
      <c r="J154" s="17">
        <v>0</v>
      </c>
      <c r="K154" s="64">
        <f t="shared" si="50"/>
        <v>0</v>
      </c>
      <c r="L154" s="17">
        <v>1</v>
      </c>
      <c r="M154" s="64">
        <f t="shared" si="51"/>
        <v>0.33333333333333331</v>
      </c>
      <c r="N154" s="17">
        <v>4</v>
      </c>
      <c r="O154" s="64">
        <f t="shared" si="52"/>
        <v>0.8</v>
      </c>
      <c r="P154" s="17">
        <v>3</v>
      </c>
      <c r="Q154" s="64">
        <f t="shared" si="53"/>
        <v>1</v>
      </c>
      <c r="R154" s="25">
        <v>0</v>
      </c>
      <c r="S154" s="71">
        <f t="shared" si="54"/>
        <v>0</v>
      </c>
      <c r="T154" s="17">
        <v>0</v>
      </c>
      <c r="U154" s="64">
        <f t="shared" si="55"/>
        <v>0</v>
      </c>
      <c r="V154" s="17">
        <v>3</v>
      </c>
      <c r="W154" s="71">
        <f t="shared" si="56"/>
        <v>0.75</v>
      </c>
      <c r="X154" s="17">
        <v>0</v>
      </c>
      <c r="Y154" s="71">
        <f t="shared" si="57"/>
        <v>0</v>
      </c>
      <c r="Z154" s="17">
        <v>1</v>
      </c>
      <c r="AA154" s="71">
        <f t="shared" si="58"/>
        <v>0.33333333333333331</v>
      </c>
      <c r="AB154" s="17">
        <v>2</v>
      </c>
      <c r="AC154" s="71">
        <f t="shared" si="59"/>
        <v>1</v>
      </c>
      <c r="AD154" s="84">
        <v>1</v>
      </c>
      <c r="AE154" s="84">
        <v>0</v>
      </c>
      <c r="AF154" s="84">
        <v>1</v>
      </c>
      <c r="AG154" s="84">
        <v>0</v>
      </c>
      <c r="AH154" s="84">
        <v>0</v>
      </c>
      <c r="AI154" s="84">
        <v>0</v>
      </c>
      <c r="AJ154" s="20">
        <v>1</v>
      </c>
      <c r="AK154" s="71">
        <f t="shared" si="60"/>
        <v>0.5</v>
      </c>
      <c r="AL154" s="17">
        <v>3</v>
      </c>
      <c r="AM154" s="71">
        <f t="shared" si="61"/>
        <v>1</v>
      </c>
      <c r="AN154" s="17">
        <v>0</v>
      </c>
      <c r="AO154" s="71">
        <f t="shared" si="62"/>
        <v>0</v>
      </c>
      <c r="AP154" s="17">
        <v>0</v>
      </c>
      <c r="AQ154" s="71">
        <f t="shared" si="63"/>
        <v>0</v>
      </c>
      <c r="AR154" s="84">
        <v>2</v>
      </c>
      <c r="AS154" s="17">
        <v>1</v>
      </c>
      <c r="AT154" s="71">
        <f t="shared" si="64"/>
        <v>0.33333333333333331</v>
      </c>
      <c r="AU154" s="17">
        <v>0</v>
      </c>
      <c r="AV154" s="71">
        <f t="shared" si="65"/>
        <v>0</v>
      </c>
      <c r="AW154" s="17">
        <v>0</v>
      </c>
      <c r="AX154" s="71">
        <f t="shared" si="66"/>
        <v>0</v>
      </c>
      <c r="AY154" s="17">
        <v>0</v>
      </c>
      <c r="AZ154" s="71">
        <f t="shared" si="67"/>
        <v>0</v>
      </c>
      <c r="BA154" s="93">
        <v>0</v>
      </c>
      <c r="BB154" s="93">
        <v>0</v>
      </c>
      <c r="BC154" s="93">
        <v>0</v>
      </c>
      <c r="BD154" s="93">
        <v>1</v>
      </c>
      <c r="BE154" s="102">
        <f t="shared" si="68"/>
        <v>3.30693715291557</v>
      </c>
      <c r="BF154" s="81">
        <f t="shared" si="69"/>
        <v>0.26054637287618632</v>
      </c>
      <c r="BG154" s="81" t="str">
        <f t="shared" si="70"/>
        <v>BASSO</v>
      </c>
      <c r="BK154" s="81" t="str">
        <f t="shared" si="71"/>
        <v>MOLTO BASSO</v>
      </c>
    </row>
    <row r="155" spans="1:63" x14ac:dyDescent="0.15">
      <c r="A155" s="85">
        <v>3</v>
      </c>
      <c r="B155" s="85">
        <v>1</v>
      </c>
      <c r="C155" s="85">
        <v>4</v>
      </c>
      <c r="D155" s="85">
        <v>2</v>
      </c>
      <c r="E155" s="85">
        <v>1</v>
      </c>
      <c r="F155" s="18">
        <v>2</v>
      </c>
      <c r="G155" s="64">
        <f t="shared" si="48"/>
        <v>1</v>
      </c>
      <c r="H155" s="18">
        <v>2</v>
      </c>
      <c r="I155" s="64">
        <f t="shared" si="49"/>
        <v>1</v>
      </c>
      <c r="J155" s="18">
        <v>2</v>
      </c>
      <c r="K155" s="64">
        <f t="shared" si="50"/>
        <v>1</v>
      </c>
      <c r="L155" s="18">
        <v>3</v>
      </c>
      <c r="M155" s="64">
        <f t="shared" si="51"/>
        <v>1</v>
      </c>
      <c r="N155" s="18">
        <v>0</v>
      </c>
      <c r="O155" s="64">
        <f t="shared" si="52"/>
        <v>0</v>
      </c>
      <c r="P155" s="18">
        <v>2</v>
      </c>
      <c r="Q155" s="64">
        <f t="shared" si="53"/>
        <v>0.66666666666666663</v>
      </c>
      <c r="R155" s="24">
        <v>3</v>
      </c>
      <c r="S155" s="71">
        <f t="shared" si="54"/>
        <v>1</v>
      </c>
      <c r="T155" s="18">
        <v>3</v>
      </c>
      <c r="U155" s="64">
        <f t="shared" si="55"/>
        <v>1</v>
      </c>
      <c r="V155" s="18">
        <v>3</v>
      </c>
      <c r="W155" s="71">
        <f t="shared" si="56"/>
        <v>0.75</v>
      </c>
      <c r="X155" s="18">
        <v>3</v>
      </c>
      <c r="Y155" s="71">
        <f t="shared" si="57"/>
        <v>1</v>
      </c>
      <c r="Z155" s="18">
        <v>3</v>
      </c>
      <c r="AA155" s="71">
        <f t="shared" si="58"/>
        <v>1</v>
      </c>
      <c r="AB155" s="18">
        <v>0</v>
      </c>
      <c r="AC155" s="71">
        <f t="shared" si="59"/>
        <v>0</v>
      </c>
      <c r="AD155" s="85">
        <v>1</v>
      </c>
      <c r="AE155" s="85">
        <v>0</v>
      </c>
      <c r="AF155" s="85">
        <v>1</v>
      </c>
      <c r="AG155" s="85">
        <v>0</v>
      </c>
      <c r="AH155" s="85">
        <v>0</v>
      </c>
      <c r="AI155" s="85">
        <v>0</v>
      </c>
      <c r="AJ155" s="19">
        <v>2</v>
      </c>
      <c r="AK155" s="71">
        <f t="shared" si="60"/>
        <v>1</v>
      </c>
      <c r="AL155" s="18">
        <v>2</v>
      </c>
      <c r="AM155" s="71">
        <f t="shared" si="61"/>
        <v>0.66666666666666663</v>
      </c>
      <c r="AN155" s="18">
        <v>1</v>
      </c>
      <c r="AO155" s="71">
        <f t="shared" si="62"/>
        <v>0.33333333333333331</v>
      </c>
      <c r="AP155" s="18">
        <v>3</v>
      </c>
      <c r="AQ155" s="71">
        <f t="shared" si="63"/>
        <v>1</v>
      </c>
      <c r="AR155" s="85">
        <v>2</v>
      </c>
      <c r="AS155" s="18">
        <v>2</v>
      </c>
      <c r="AT155" s="71">
        <f t="shared" si="64"/>
        <v>0.66666666666666663</v>
      </c>
      <c r="AU155" s="18">
        <v>3</v>
      </c>
      <c r="AV155" s="71">
        <f t="shared" si="65"/>
        <v>1</v>
      </c>
      <c r="AW155" s="18">
        <v>1</v>
      </c>
      <c r="AX155" s="71">
        <f t="shared" si="66"/>
        <v>0.5</v>
      </c>
      <c r="AY155" s="18">
        <v>3</v>
      </c>
      <c r="AZ155" s="71">
        <f t="shared" si="67"/>
        <v>1</v>
      </c>
      <c r="BA155" s="94">
        <v>1</v>
      </c>
      <c r="BB155" s="94">
        <v>1</v>
      </c>
      <c r="BC155" s="94">
        <v>0</v>
      </c>
      <c r="BD155" s="94">
        <v>0</v>
      </c>
      <c r="BE155" s="102">
        <f t="shared" si="68"/>
        <v>1.7579185924774157</v>
      </c>
      <c r="BF155" s="81">
        <f t="shared" si="69"/>
        <v>0.60691745283101173</v>
      </c>
      <c r="BG155" s="81" t="str">
        <f t="shared" si="70"/>
        <v>MEDIO</v>
      </c>
      <c r="BK155" s="81" t="str">
        <f t="shared" si="71"/>
        <v>MEDIO</v>
      </c>
    </row>
    <row r="156" spans="1:63" x14ac:dyDescent="0.15">
      <c r="A156" s="84">
        <v>3</v>
      </c>
      <c r="B156" s="84">
        <v>2</v>
      </c>
      <c r="C156" s="84">
        <v>3</v>
      </c>
      <c r="D156" s="84">
        <v>2</v>
      </c>
      <c r="E156" s="85">
        <v>1</v>
      </c>
      <c r="F156" s="17">
        <v>2</v>
      </c>
      <c r="G156" s="64">
        <f t="shared" si="48"/>
        <v>1</v>
      </c>
      <c r="H156" s="17">
        <v>1</v>
      </c>
      <c r="I156" s="64">
        <f t="shared" si="49"/>
        <v>0.5</v>
      </c>
      <c r="J156" s="17">
        <v>1</v>
      </c>
      <c r="K156" s="64">
        <f t="shared" si="50"/>
        <v>0.5</v>
      </c>
      <c r="L156" s="17">
        <v>3</v>
      </c>
      <c r="M156" s="64">
        <f t="shared" si="51"/>
        <v>1</v>
      </c>
      <c r="N156" s="17">
        <v>0</v>
      </c>
      <c r="O156" s="64">
        <f t="shared" si="52"/>
        <v>0</v>
      </c>
      <c r="P156" s="17">
        <v>3</v>
      </c>
      <c r="Q156" s="64">
        <f t="shared" si="53"/>
        <v>1</v>
      </c>
      <c r="R156" s="25">
        <v>0</v>
      </c>
      <c r="S156" s="71">
        <f t="shared" si="54"/>
        <v>0</v>
      </c>
      <c r="T156" s="17">
        <v>2</v>
      </c>
      <c r="U156" s="64">
        <f t="shared" si="55"/>
        <v>0.66666666666666663</v>
      </c>
      <c r="V156" s="17">
        <v>0</v>
      </c>
      <c r="W156" s="71">
        <f t="shared" si="56"/>
        <v>0</v>
      </c>
      <c r="X156" s="17">
        <v>0</v>
      </c>
      <c r="Y156" s="71">
        <f t="shared" si="57"/>
        <v>0</v>
      </c>
      <c r="Z156" s="17">
        <v>2</v>
      </c>
      <c r="AA156" s="71">
        <f t="shared" si="58"/>
        <v>0.66666666666666663</v>
      </c>
      <c r="AB156" s="17">
        <v>1</v>
      </c>
      <c r="AC156" s="71">
        <f t="shared" si="59"/>
        <v>0.5</v>
      </c>
      <c r="AD156" s="84">
        <v>0</v>
      </c>
      <c r="AE156" s="84">
        <v>0</v>
      </c>
      <c r="AF156" s="84">
        <v>1</v>
      </c>
      <c r="AG156" s="84">
        <v>1</v>
      </c>
      <c r="AH156" s="84">
        <v>0</v>
      </c>
      <c r="AI156" s="84">
        <v>0</v>
      </c>
      <c r="AJ156" s="20">
        <v>1</v>
      </c>
      <c r="AK156" s="71">
        <f t="shared" si="60"/>
        <v>0.5</v>
      </c>
      <c r="AL156" s="17">
        <v>2</v>
      </c>
      <c r="AM156" s="71">
        <f t="shared" si="61"/>
        <v>0.66666666666666663</v>
      </c>
      <c r="AN156" s="17">
        <v>0</v>
      </c>
      <c r="AO156" s="71">
        <f t="shared" si="62"/>
        <v>0</v>
      </c>
      <c r="AP156" s="17">
        <v>2</v>
      </c>
      <c r="AQ156" s="71">
        <f t="shared" si="63"/>
        <v>0.66666666666666663</v>
      </c>
      <c r="AR156" s="84">
        <v>0</v>
      </c>
      <c r="AS156" s="17">
        <v>3</v>
      </c>
      <c r="AT156" s="71">
        <f t="shared" si="64"/>
        <v>1</v>
      </c>
      <c r="AU156" s="17">
        <v>2</v>
      </c>
      <c r="AV156" s="71">
        <f t="shared" si="65"/>
        <v>0.66666666666666663</v>
      </c>
      <c r="AW156" s="17">
        <v>0</v>
      </c>
      <c r="AX156" s="71">
        <f t="shared" si="66"/>
        <v>0</v>
      </c>
      <c r="AY156" s="17">
        <v>2</v>
      </c>
      <c r="AZ156" s="71">
        <f t="shared" si="67"/>
        <v>0.66666666666666663</v>
      </c>
      <c r="BA156" s="93">
        <v>0</v>
      </c>
      <c r="BB156" s="93">
        <v>1</v>
      </c>
      <c r="BC156" s="93">
        <v>0</v>
      </c>
      <c r="BD156" s="93">
        <v>0</v>
      </c>
      <c r="BE156" s="102">
        <f t="shared" si="68"/>
        <v>2.7688746209726913</v>
      </c>
      <c r="BF156" s="81">
        <f t="shared" si="69"/>
        <v>0.38086081263316796</v>
      </c>
      <c r="BG156" s="81" t="str">
        <f t="shared" si="70"/>
        <v>MEDIO</v>
      </c>
      <c r="BK156" s="81" t="str">
        <f t="shared" si="71"/>
        <v>BASSO</v>
      </c>
    </row>
    <row r="157" spans="1:63" x14ac:dyDescent="0.15">
      <c r="A157" s="85">
        <v>5</v>
      </c>
      <c r="B157" s="85">
        <v>2</v>
      </c>
      <c r="C157" s="85">
        <v>3</v>
      </c>
      <c r="D157" s="85">
        <v>2</v>
      </c>
      <c r="E157" s="85">
        <v>1</v>
      </c>
      <c r="F157" s="18">
        <v>1</v>
      </c>
      <c r="G157" s="64">
        <f t="shared" si="48"/>
        <v>0.5</v>
      </c>
      <c r="H157" s="18">
        <v>1</v>
      </c>
      <c r="I157" s="64">
        <f t="shared" si="49"/>
        <v>0.5</v>
      </c>
      <c r="J157" s="18">
        <v>1</v>
      </c>
      <c r="K157" s="64">
        <f t="shared" si="50"/>
        <v>0.5</v>
      </c>
      <c r="L157" s="18">
        <v>2</v>
      </c>
      <c r="M157" s="64">
        <f t="shared" si="51"/>
        <v>0.66666666666666663</v>
      </c>
      <c r="N157" s="18">
        <v>2</v>
      </c>
      <c r="O157" s="64">
        <f t="shared" si="52"/>
        <v>0.4</v>
      </c>
      <c r="P157" s="18">
        <v>0</v>
      </c>
      <c r="Q157" s="64">
        <f t="shared" si="53"/>
        <v>0</v>
      </c>
      <c r="R157" s="24">
        <v>2</v>
      </c>
      <c r="S157" s="71">
        <f t="shared" si="54"/>
        <v>0.66666666666666663</v>
      </c>
      <c r="T157" s="18">
        <v>2</v>
      </c>
      <c r="U157" s="64">
        <f t="shared" si="55"/>
        <v>0.66666666666666663</v>
      </c>
      <c r="V157" s="18">
        <v>3</v>
      </c>
      <c r="W157" s="71">
        <f t="shared" si="56"/>
        <v>0.75</v>
      </c>
      <c r="X157" s="18">
        <v>0</v>
      </c>
      <c r="Y157" s="71">
        <f t="shared" si="57"/>
        <v>0</v>
      </c>
      <c r="Z157" s="18">
        <v>0</v>
      </c>
      <c r="AA157" s="71">
        <f t="shared" si="58"/>
        <v>0</v>
      </c>
      <c r="AB157" s="18">
        <v>2</v>
      </c>
      <c r="AC157" s="71">
        <f t="shared" si="59"/>
        <v>1</v>
      </c>
      <c r="AD157" s="85">
        <v>1</v>
      </c>
      <c r="AE157" s="85">
        <v>0</v>
      </c>
      <c r="AF157" s="85">
        <v>1</v>
      </c>
      <c r="AG157" s="85">
        <v>0</v>
      </c>
      <c r="AH157" s="85">
        <v>0</v>
      </c>
      <c r="AI157" s="85">
        <v>0</v>
      </c>
      <c r="AJ157" s="19">
        <v>1</v>
      </c>
      <c r="AK157" s="71">
        <f t="shared" si="60"/>
        <v>0.5</v>
      </c>
      <c r="AL157" s="18">
        <v>1</v>
      </c>
      <c r="AM157" s="71">
        <f t="shared" si="61"/>
        <v>0.33333333333333331</v>
      </c>
      <c r="AN157" s="18">
        <v>1</v>
      </c>
      <c r="AO157" s="71">
        <f t="shared" si="62"/>
        <v>0.33333333333333331</v>
      </c>
      <c r="AP157" s="18">
        <v>3</v>
      </c>
      <c r="AQ157" s="71">
        <f t="shared" si="63"/>
        <v>1</v>
      </c>
      <c r="AR157" s="85">
        <v>2</v>
      </c>
      <c r="AS157" s="18">
        <v>2</v>
      </c>
      <c r="AT157" s="71">
        <f t="shared" si="64"/>
        <v>0.66666666666666663</v>
      </c>
      <c r="AU157" s="18">
        <v>2</v>
      </c>
      <c r="AV157" s="71">
        <f t="shared" si="65"/>
        <v>0.66666666666666663</v>
      </c>
      <c r="AW157" s="18">
        <v>2</v>
      </c>
      <c r="AX157" s="71">
        <f t="shared" si="66"/>
        <v>1</v>
      </c>
      <c r="AY157" s="18">
        <v>2</v>
      </c>
      <c r="AZ157" s="71">
        <f t="shared" si="67"/>
        <v>0.66666666666666663</v>
      </c>
      <c r="BA157" s="94">
        <v>1</v>
      </c>
      <c r="BB157" s="94">
        <v>1</v>
      </c>
      <c r="BC157" s="94">
        <v>0</v>
      </c>
      <c r="BD157" s="94">
        <v>0</v>
      </c>
      <c r="BE157" s="102">
        <f t="shared" si="68"/>
        <v>2.4450062485718833</v>
      </c>
      <c r="BF157" s="81">
        <f t="shared" si="69"/>
        <v>0.45327998227820343</v>
      </c>
      <c r="BG157" s="81" t="str">
        <f t="shared" si="70"/>
        <v>MEDIO</v>
      </c>
      <c r="BK157" s="81" t="str">
        <f t="shared" si="71"/>
        <v>MEDIO</v>
      </c>
    </row>
    <row r="158" spans="1:63" x14ac:dyDescent="0.15">
      <c r="A158" s="84">
        <v>2</v>
      </c>
      <c r="B158" s="84">
        <v>2</v>
      </c>
      <c r="C158" s="84">
        <v>3</v>
      </c>
      <c r="D158" s="84">
        <v>2</v>
      </c>
      <c r="E158" s="85">
        <v>1</v>
      </c>
      <c r="F158" s="17">
        <v>2</v>
      </c>
      <c r="G158" s="64">
        <f t="shared" si="48"/>
        <v>1</v>
      </c>
      <c r="H158" s="17">
        <v>2</v>
      </c>
      <c r="I158" s="64">
        <f t="shared" si="49"/>
        <v>1</v>
      </c>
      <c r="J158" s="17">
        <v>0</v>
      </c>
      <c r="K158" s="64">
        <f t="shared" si="50"/>
        <v>0</v>
      </c>
      <c r="L158" s="17">
        <v>0</v>
      </c>
      <c r="M158" s="64">
        <f t="shared" si="51"/>
        <v>0</v>
      </c>
      <c r="N158" s="17">
        <v>2</v>
      </c>
      <c r="O158" s="64">
        <f t="shared" si="52"/>
        <v>0.4</v>
      </c>
      <c r="P158" s="17">
        <v>3</v>
      </c>
      <c r="Q158" s="64">
        <f t="shared" si="53"/>
        <v>1</v>
      </c>
      <c r="R158" s="25">
        <v>0</v>
      </c>
      <c r="S158" s="71">
        <f t="shared" si="54"/>
        <v>0</v>
      </c>
      <c r="T158" s="17">
        <v>0</v>
      </c>
      <c r="U158" s="64">
        <f t="shared" si="55"/>
        <v>0</v>
      </c>
      <c r="V158" s="17">
        <v>3</v>
      </c>
      <c r="W158" s="71">
        <f t="shared" si="56"/>
        <v>0.75</v>
      </c>
      <c r="X158" s="17">
        <v>0</v>
      </c>
      <c r="Y158" s="71">
        <f t="shared" si="57"/>
        <v>0</v>
      </c>
      <c r="Z158" s="17">
        <v>1</v>
      </c>
      <c r="AA158" s="71">
        <f t="shared" si="58"/>
        <v>0.33333333333333331</v>
      </c>
      <c r="AB158" s="17">
        <v>3</v>
      </c>
      <c r="AC158" s="71">
        <f t="shared" si="59"/>
        <v>1.5</v>
      </c>
      <c r="AD158" s="84">
        <v>0</v>
      </c>
      <c r="AE158" s="84">
        <v>0</v>
      </c>
      <c r="AF158" s="84">
        <v>1</v>
      </c>
      <c r="AG158" s="84">
        <v>1</v>
      </c>
      <c r="AH158" s="84">
        <v>0</v>
      </c>
      <c r="AI158" s="84">
        <v>0</v>
      </c>
      <c r="AJ158" s="20">
        <v>1</v>
      </c>
      <c r="AK158" s="71">
        <f t="shared" si="60"/>
        <v>0.5</v>
      </c>
      <c r="AL158" s="17">
        <v>2</v>
      </c>
      <c r="AM158" s="71">
        <f t="shared" si="61"/>
        <v>0.66666666666666663</v>
      </c>
      <c r="AN158" s="17">
        <v>0</v>
      </c>
      <c r="AO158" s="71">
        <f t="shared" si="62"/>
        <v>0</v>
      </c>
      <c r="AP158" s="17">
        <v>0</v>
      </c>
      <c r="AQ158" s="71">
        <f t="shared" si="63"/>
        <v>0</v>
      </c>
      <c r="AR158" s="84">
        <v>2</v>
      </c>
      <c r="AS158" s="17">
        <v>1</v>
      </c>
      <c r="AT158" s="71">
        <f t="shared" si="64"/>
        <v>0.33333333333333331</v>
      </c>
      <c r="AU158" s="17">
        <v>0</v>
      </c>
      <c r="AV158" s="71">
        <f t="shared" si="65"/>
        <v>0</v>
      </c>
      <c r="AW158" s="17">
        <v>0</v>
      </c>
      <c r="AX158" s="71">
        <f t="shared" si="66"/>
        <v>0</v>
      </c>
      <c r="AY158" s="17">
        <v>2</v>
      </c>
      <c r="AZ158" s="71">
        <f t="shared" si="67"/>
        <v>0.66666666666666663</v>
      </c>
      <c r="BA158" s="93">
        <v>0</v>
      </c>
      <c r="BB158" s="93">
        <v>0</v>
      </c>
      <c r="BC158" s="93">
        <v>0</v>
      </c>
      <c r="BD158" s="93">
        <v>1</v>
      </c>
      <c r="BE158" s="102">
        <f t="shared" si="68"/>
        <v>3.3216879912344432</v>
      </c>
      <c r="BF158" s="81">
        <f t="shared" si="69"/>
        <v>0.25724798515557579</v>
      </c>
      <c r="BG158" s="81" t="str">
        <f t="shared" si="70"/>
        <v>BASSO</v>
      </c>
      <c r="BK158" s="81" t="str">
        <f t="shared" si="71"/>
        <v>MOLTO BASSO</v>
      </c>
    </row>
    <row r="159" spans="1:63" x14ac:dyDescent="0.15">
      <c r="A159" s="85">
        <v>2</v>
      </c>
      <c r="B159" s="85">
        <v>0</v>
      </c>
      <c r="C159" s="85">
        <v>4</v>
      </c>
      <c r="D159" s="85">
        <v>0</v>
      </c>
      <c r="E159" s="85">
        <v>1</v>
      </c>
      <c r="F159" s="18">
        <v>2</v>
      </c>
      <c r="G159" s="64">
        <f t="shared" si="48"/>
        <v>1</v>
      </c>
      <c r="H159" s="18">
        <v>1</v>
      </c>
      <c r="I159" s="64">
        <f t="shared" si="49"/>
        <v>0.5</v>
      </c>
      <c r="J159" s="18">
        <v>1</v>
      </c>
      <c r="K159" s="64">
        <f t="shared" si="50"/>
        <v>0.5</v>
      </c>
      <c r="L159" s="18">
        <v>3</v>
      </c>
      <c r="M159" s="64">
        <f t="shared" si="51"/>
        <v>1</v>
      </c>
      <c r="N159" s="18">
        <v>2</v>
      </c>
      <c r="O159" s="64">
        <f t="shared" si="52"/>
        <v>0.4</v>
      </c>
      <c r="P159" s="18">
        <v>1</v>
      </c>
      <c r="Q159" s="64">
        <f t="shared" si="53"/>
        <v>0.33333333333333331</v>
      </c>
      <c r="R159" s="24">
        <v>3</v>
      </c>
      <c r="S159" s="71">
        <f t="shared" si="54"/>
        <v>1</v>
      </c>
      <c r="T159" s="18">
        <v>2</v>
      </c>
      <c r="U159" s="64">
        <f t="shared" si="55"/>
        <v>0.66666666666666663</v>
      </c>
      <c r="V159" s="18">
        <v>3</v>
      </c>
      <c r="W159" s="71">
        <f t="shared" si="56"/>
        <v>0.75</v>
      </c>
      <c r="X159" s="18">
        <v>3</v>
      </c>
      <c r="Y159" s="71">
        <f t="shared" si="57"/>
        <v>1</v>
      </c>
      <c r="Z159" s="18">
        <v>3</v>
      </c>
      <c r="AA159" s="71">
        <f t="shared" si="58"/>
        <v>1</v>
      </c>
      <c r="AB159" s="18">
        <v>0</v>
      </c>
      <c r="AC159" s="71">
        <f t="shared" si="59"/>
        <v>0</v>
      </c>
      <c r="AD159" s="85">
        <v>0</v>
      </c>
      <c r="AE159" s="85">
        <v>1</v>
      </c>
      <c r="AF159" s="85">
        <v>1</v>
      </c>
      <c r="AG159" s="85">
        <v>0</v>
      </c>
      <c r="AH159" s="85">
        <v>0</v>
      </c>
      <c r="AI159" s="85">
        <v>0</v>
      </c>
      <c r="AJ159" s="19">
        <v>1</v>
      </c>
      <c r="AK159" s="71">
        <f t="shared" si="60"/>
        <v>0.5</v>
      </c>
      <c r="AL159" s="18">
        <v>1</v>
      </c>
      <c r="AM159" s="71">
        <f t="shared" si="61"/>
        <v>0.33333333333333331</v>
      </c>
      <c r="AN159" s="18">
        <v>1</v>
      </c>
      <c r="AO159" s="71">
        <f t="shared" si="62"/>
        <v>0.33333333333333331</v>
      </c>
      <c r="AP159" s="18">
        <v>3</v>
      </c>
      <c r="AQ159" s="71">
        <f t="shared" si="63"/>
        <v>1</v>
      </c>
      <c r="AR159" s="85">
        <v>0</v>
      </c>
      <c r="AS159" s="18">
        <v>3</v>
      </c>
      <c r="AT159" s="71">
        <f t="shared" si="64"/>
        <v>1</v>
      </c>
      <c r="AU159" s="18">
        <v>2</v>
      </c>
      <c r="AV159" s="71">
        <f t="shared" si="65"/>
        <v>0.66666666666666663</v>
      </c>
      <c r="AW159" s="18">
        <v>0</v>
      </c>
      <c r="AX159" s="71">
        <f t="shared" si="66"/>
        <v>0</v>
      </c>
      <c r="AY159" s="18">
        <v>2</v>
      </c>
      <c r="AZ159" s="71">
        <f t="shared" si="67"/>
        <v>0.66666666666666663</v>
      </c>
      <c r="BA159" s="94">
        <v>1</v>
      </c>
      <c r="BB159" s="94">
        <v>1</v>
      </c>
      <c r="BC159" s="94">
        <v>0</v>
      </c>
      <c r="BD159" s="94">
        <v>0</v>
      </c>
      <c r="BE159" s="102">
        <f t="shared" si="68"/>
        <v>2.199810597907617</v>
      </c>
      <c r="BF159" s="81">
        <f t="shared" si="69"/>
        <v>0.50810739654545745</v>
      </c>
      <c r="BG159" s="81" t="str">
        <f t="shared" si="70"/>
        <v>MEDIO</v>
      </c>
      <c r="BK159" s="81" t="str">
        <f t="shared" si="71"/>
        <v>MEDIO</v>
      </c>
    </row>
    <row r="160" spans="1:63" x14ac:dyDescent="0.15">
      <c r="A160" s="84">
        <v>3</v>
      </c>
      <c r="B160" s="84">
        <v>2</v>
      </c>
      <c r="C160" s="84">
        <v>3</v>
      </c>
      <c r="D160" s="84">
        <v>2</v>
      </c>
      <c r="E160" s="85">
        <v>1</v>
      </c>
      <c r="F160" s="17">
        <v>2</v>
      </c>
      <c r="G160" s="64">
        <f t="shared" si="48"/>
        <v>1</v>
      </c>
      <c r="H160" s="17">
        <v>2</v>
      </c>
      <c r="I160" s="64">
        <f t="shared" si="49"/>
        <v>1</v>
      </c>
      <c r="J160" s="17">
        <v>2</v>
      </c>
      <c r="K160" s="64">
        <f t="shared" si="50"/>
        <v>1</v>
      </c>
      <c r="L160" s="17">
        <v>3</v>
      </c>
      <c r="M160" s="64">
        <f t="shared" si="51"/>
        <v>1</v>
      </c>
      <c r="N160" s="17">
        <v>4</v>
      </c>
      <c r="O160" s="64">
        <f t="shared" si="52"/>
        <v>0.8</v>
      </c>
      <c r="P160" s="17">
        <v>3</v>
      </c>
      <c r="Q160" s="64">
        <f t="shared" si="53"/>
        <v>1</v>
      </c>
      <c r="R160" s="25">
        <v>3</v>
      </c>
      <c r="S160" s="71">
        <f t="shared" si="54"/>
        <v>1</v>
      </c>
      <c r="T160" s="17">
        <v>3</v>
      </c>
      <c r="U160" s="64">
        <f t="shared" si="55"/>
        <v>1</v>
      </c>
      <c r="V160" s="17">
        <v>2</v>
      </c>
      <c r="W160" s="71">
        <f t="shared" si="56"/>
        <v>0.5</v>
      </c>
      <c r="X160" s="17">
        <v>3</v>
      </c>
      <c r="Y160" s="71">
        <f t="shared" si="57"/>
        <v>1</v>
      </c>
      <c r="Z160" s="17">
        <v>3</v>
      </c>
      <c r="AA160" s="71">
        <f t="shared" si="58"/>
        <v>1</v>
      </c>
      <c r="AB160" s="17">
        <v>0</v>
      </c>
      <c r="AC160" s="71">
        <f t="shared" si="59"/>
        <v>0</v>
      </c>
      <c r="AD160" s="84">
        <v>0</v>
      </c>
      <c r="AE160" s="84">
        <v>1</v>
      </c>
      <c r="AF160" s="84">
        <v>1</v>
      </c>
      <c r="AG160" s="84">
        <v>0</v>
      </c>
      <c r="AH160" s="84">
        <v>0</v>
      </c>
      <c r="AI160" s="84">
        <v>0</v>
      </c>
      <c r="AJ160" s="20">
        <v>1</v>
      </c>
      <c r="AK160" s="71">
        <f t="shared" si="60"/>
        <v>0.5</v>
      </c>
      <c r="AL160" s="17">
        <v>2</v>
      </c>
      <c r="AM160" s="71">
        <f t="shared" si="61"/>
        <v>0.66666666666666663</v>
      </c>
      <c r="AN160" s="17">
        <v>1</v>
      </c>
      <c r="AO160" s="71">
        <f t="shared" si="62"/>
        <v>0.33333333333333331</v>
      </c>
      <c r="AP160" s="17">
        <v>2</v>
      </c>
      <c r="AQ160" s="71">
        <f t="shared" si="63"/>
        <v>0.66666666666666663</v>
      </c>
      <c r="AR160" s="84">
        <v>0</v>
      </c>
      <c r="AS160" s="17">
        <v>2</v>
      </c>
      <c r="AT160" s="71">
        <f t="shared" si="64"/>
        <v>0.66666666666666663</v>
      </c>
      <c r="AU160" s="17">
        <v>3</v>
      </c>
      <c r="AV160" s="71">
        <f t="shared" si="65"/>
        <v>1</v>
      </c>
      <c r="AW160" s="17">
        <v>0</v>
      </c>
      <c r="AX160" s="71">
        <f t="shared" si="66"/>
        <v>0</v>
      </c>
      <c r="AY160" s="17">
        <v>3</v>
      </c>
      <c r="AZ160" s="71">
        <f t="shared" si="67"/>
        <v>1</v>
      </c>
      <c r="BA160" s="93">
        <v>1</v>
      </c>
      <c r="BB160" s="93"/>
      <c r="BC160" s="93">
        <v>1</v>
      </c>
      <c r="BD160" s="93">
        <v>0</v>
      </c>
      <c r="BE160" s="102">
        <f t="shared" si="68"/>
        <v>1.821476812308567</v>
      </c>
      <c r="BF160" s="81">
        <f t="shared" si="69"/>
        <v>0.59270540282388007</v>
      </c>
      <c r="BG160" s="81" t="str">
        <f t="shared" si="70"/>
        <v>MEDIO</v>
      </c>
      <c r="BK160" s="81" t="str">
        <f t="shared" si="71"/>
        <v>MEDIO</v>
      </c>
    </row>
    <row r="161" spans="1:63" x14ac:dyDescent="0.15">
      <c r="A161" s="85">
        <v>3</v>
      </c>
      <c r="B161" s="85">
        <v>2</v>
      </c>
      <c r="C161" s="85">
        <v>1</v>
      </c>
      <c r="D161" s="85">
        <v>2</v>
      </c>
      <c r="E161" s="85">
        <v>1</v>
      </c>
      <c r="F161" s="18">
        <v>1</v>
      </c>
      <c r="G161" s="64">
        <f t="shared" si="48"/>
        <v>0.5</v>
      </c>
      <c r="H161" s="18">
        <v>2</v>
      </c>
      <c r="I161" s="64">
        <f t="shared" si="49"/>
        <v>1</v>
      </c>
      <c r="J161" s="18">
        <v>1</v>
      </c>
      <c r="K161" s="64">
        <f t="shared" si="50"/>
        <v>0.5</v>
      </c>
      <c r="L161" s="18">
        <v>2</v>
      </c>
      <c r="M161" s="64">
        <f t="shared" si="51"/>
        <v>0.66666666666666663</v>
      </c>
      <c r="N161" s="18">
        <v>1</v>
      </c>
      <c r="O161" s="64">
        <f t="shared" si="52"/>
        <v>0.2</v>
      </c>
      <c r="P161" s="18">
        <v>3</v>
      </c>
      <c r="Q161" s="64">
        <f t="shared" si="53"/>
        <v>1</v>
      </c>
      <c r="R161" s="24">
        <v>2</v>
      </c>
      <c r="S161" s="71">
        <f t="shared" si="54"/>
        <v>0.66666666666666663</v>
      </c>
      <c r="T161" s="18">
        <v>1</v>
      </c>
      <c r="U161" s="64">
        <f t="shared" si="55"/>
        <v>0.33333333333333331</v>
      </c>
      <c r="V161" s="18">
        <v>3</v>
      </c>
      <c r="W161" s="71">
        <f t="shared" si="56"/>
        <v>0.75</v>
      </c>
      <c r="X161" s="18">
        <v>2</v>
      </c>
      <c r="Y161" s="71">
        <f t="shared" si="57"/>
        <v>0.66666666666666663</v>
      </c>
      <c r="Z161" s="18">
        <v>1</v>
      </c>
      <c r="AA161" s="71">
        <f t="shared" si="58"/>
        <v>0.33333333333333331</v>
      </c>
      <c r="AB161" s="18">
        <v>1</v>
      </c>
      <c r="AC161" s="71">
        <f t="shared" si="59"/>
        <v>0.5</v>
      </c>
      <c r="AD161" s="85">
        <v>1</v>
      </c>
      <c r="AE161" s="85">
        <v>0</v>
      </c>
      <c r="AF161" s="85">
        <v>1</v>
      </c>
      <c r="AG161" s="85">
        <v>0</v>
      </c>
      <c r="AH161" s="85">
        <v>0</v>
      </c>
      <c r="AI161" s="85">
        <v>0</v>
      </c>
      <c r="AJ161" s="19">
        <v>1</v>
      </c>
      <c r="AK161" s="71">
        <f t="shared" si="60"/>
        <v>0.5</v>
      </c>
      <c r="AL161" s="18">
        <v>3</v>
      </c>
      <c r="AM161" s="71">
        <f t="shared" si="61"/>
        <v>1</v>
      </c>
      <c r="AN161" s="18">
        <v>1</v>
      </c>
      <c r="AO161" s="71">
        <f t="shared" si="62"/>
        <v>0.33333333333333331</v>
      </c>
      <c r="AP161" s="18">
        <v>1</v>
      </c>
      <c r="AQ161" s="71">
        <f t="shared" si="63"/>
        <v>0.33333333333333331</v>
      </c>
      <c r="AR161" s="85">
        <v>3</v>
      </c>
      <c r="AS161" s="18">
        <v>3</v>
      </c>
      <c r="AT161" s="71">
        <f t="shared" si="64"/>
        <v>1</v>
      </c>
      <c r="AU161" s="18">
        <v>2</v>
      </c>
      <c r="AV161" s="71">
        <f t="shared" si="65"/>
        <v>0.66666666666666663</v>
      </c>
      <c r="AW161" s="18">
        <v>0</v>
      </c>
      <c r="AX161" s="71">
        <f t="shared" si="66"/>
        <v>0</v>
      </c>
      <c r="AY161" s="18">
        <v>2</v>
      </c>
      <c r="AZ161" s="71">
        <f t="shared" si="67"/>
        <v>0.66666666666666663</v>
      </c>
      <c r="BA161" s="94">
        <v>1</v>
      </c>
      <c r="BB161" s="94">
        <v>1</v>
      </c>
      <c r="BC161" s="94">
        <v>0</v>
      </c>
      <c r="BD161" s="94">
        <v>0</v>
      </c>
      <c r="BE161" s="102">
        <f t="shared" si="68"/>
        <v>2.2440662497647734</v>
      </c>
      <c r="BF161" s="81">
        <f t="shared" si="69"/>
        <v>0.49821153195134171</v>
      </c>
      <c r="BG161" s="81" t="str">
        <f t="shared" si="70"/>
        <v>MEDIO</v>
      </c>
      <c r="BK161" s="81" t="str">
        <f t="shared" si="71"/>
        <v>MEDIO</v>
      </c>
    </row>
    <row r="162" spans="1:63" x14ac:dyDescent="0.15">
      <c r="A162" s="84">
        <v>2</v>
      </c>
      <c r="B162" s="84">
        <v>2</v>
      </c>
      <c r="C162" s="84">
        <v>3</v>
      </c>
      <c r="D162" s="84">
        <v>0</v>
      </c>
      <c r="E162" s="85">
        <v>1</v>
      </c>
      <c r="F162" s="17">
        <v>2</v>
      </c>
      <c r="G162" s="64">
        <f t="shared" si="48"/>
        <v>1</v>
      </c>
      <c r="H162" s="17">
        <v>2</v>
      </c>
      <c r="I162" s="64">
        <f t="shared" si="49"/>
        <v>1</v>
      </c>
      <c r="J162" s="17">
        <v>1</v>
      </c>
      <c r="K162" s="64">
        <f t="shared" si="50"/>
        <v>0.5</v>
      </c>
      <c r="L162" s="17">
        <v>3</v>
      </c>
      <c r="M162" s="64">
        <f t="shared" si="51"/>
        <v>1</v>
      </c>
      <c r="N162" s="17">
        <v>4</v>
      </c>
      <c r="O162" s="64">
        <f t="shared" si="52"/>
        <v>0.8</v>
      </c>
      <c r="P162" s="17">
        <v>3</v>
      </c>
      <c r="Q162" s="64">
        <f t="shared" si="53"/>
        <v>1</v>
      </c>
      <c r="R162" s="25">
        <v>3</v>
      </c>
      <c r="S162" s="71">
        <f t="shared" si="54"/>
        <v>1</v>
      </c>
      <c r="T162" s="17">
        <v>3</v>
      </c>
      <c r="U162" s="64">
        <f t="shared" si="55"/>
        <v>1</v>
      </c>
      <c r="V162" s="17">
        <v>4</v>
      </c>
      <c r="W162" s="71">
        <f t="shared" si="56"/>
        <v>1</v>
      </c>
      <c r="X162" s="17">
        <v>2</v>
      </c>
      <c r="Y162" s="71">
        <f t="shared" si="57"/>
        <v>0.66666666666666663</v>
      </c>
      <c r="Z162" s="17">
        <v>2</v>
      </c>
      <c r="AA162" s="71">
        <f t="shared" si="58"/>
        <v>0.66666666666666663</v>
      </c>
      <c r="AB162" s="20">
        <v>2</v>
      </c>
      <c r="AC162" s="71">
        <f t="shared" si="59"/>
        <v>1</v>
      </c>
      <c r="AD162" s="84">
        <v>1</v>
      </c>
      <c r="AE162" s="84">
        <v>0</v>
      </c>
      <c r="AF162" s="84">
        <v>1</v>
      </c>
      <c r="AG162" s="84">
        <v>0</v>
      </c>
      <c r="AH162" s="84">
        <v>0</v>
      </c>
      <c r="AI162" s="84">
        <v>0</v>
      </c>
      <c r="AJ162" s="20">
        <v>2</v>
      </c>
      <c r="AK162" s="71">
        <f t="shared" si="60"/>
        <v>1</v>
      </c>
      <c r="AL162" s="17">
        <v>3</v>
      </c>
      <c r="AM162" s="71">
        <f t="shared" si="61"/>
        <v>1</v>
      </c>
      <c r="AN162" s="17">
        <v>2</v>
      </c>
      <c r="AO162" s="71">
        <f t="shared" si="62"/>
        <v>0.66666666666666663</v>
      </c>
      <c r="AP162" s="17">
        <v>3</v>
      </c>
      <c r="AQ162" s="71">
        <f t="shared" si="63"/>
        <v>1</v>
      </c>
      <c r="AR162" s="84">
        <v>2</v>
      </c>
      <c r="AS162" s="17">
        <v>2</v>
      </c>
      <c r="AT162" s="71">
        <f t="shared" si="64"/>
        <v>0.66666666666666663</v>
      </c>
      <c r="AU162" s="17">
        <v>2</v>
      </c>
      <c r="AV162" s="71">
        <f t="shared" si="65"/>
        <v>0.66666666666666663</v>
      </c>
      <c r="AW162" s="17">
        <v>2</v>
      </c>
      <c r="AX162" s="71">
        <f t="shared" si="66"/>
        <v>1</v>
      </c>
      <c r="AY162" s="17">
        <v>2</v>
      </c>
      <c r="AZ162" s="71">
        <f t="shared" si="67"/>
        <v>0.66666666666666663</v>
      </c>
      <c r="BA162" s="93">
        <v>0</v>
      </c>
      <c r="BB162" s="93">
        <v>1</v>
      </c>
      <c r="BC162" s="93">
        <v>0</v>
      </c>
      <c r="BD162" s="93">
        <v>0</v>
      </c>
      <c r="BE162" s="102">
        <f t="shared" si="68"/>
        <v>0.97809338340808072</v>
      </c>
      <c r="BF162" s="81">
        <f t="shared" si="69"/>
        <v>0.78129167063569716</v>
      </c>
      <c r="BG162" s="81" t="str">
        <f t="shared" si="70"/>
        <v>ALTO</v>
      </c>
      <c r="BK162" s="81" t="str">
        <f t="shared" si="71"/>
        <v>ALTO</v>
      </c>
    </row>
    <row r="163" spans="1:63" x14ac:dyDescent="0.15">
      <c r="A163" s="85">
        <v>3</v>
      </c>
      <c r="B163" s="85">
        <v>1</v>
      </c>
      <c r="C163" s="85">
        <v>3</v>
      </c>
      <c r="D163" s="85">
        <v>2</v>
      </c>
      <c r="E163" s="85">
        <v>1</v>
      </c>
      <c r="F163" s="18">
        <v>1</v>
      </c>
      <c r="G163" s="64">
        <f t="shared" si="48"/>
        <v>0.5</v>
      </c>
      <c r="H163" s="18">
        <v>1</v>
      </c>
      <c r="I163" s="64">
        <f t="shared" si="49"/>
        <v>0.5</v>
      </c>
      <c r="J163" s="18">
        <v>1</v>
      </c>
      <c r="K163" s="64">
        <f t="shared" si="50"/>
        <v>0.5</v>
      </c>
      <c r="L163" s="18">
        <v>2</v>
      </c>
      <c r="M163" s="64">
        <f t="shared" si="51"/>
        <v>0.66666666666666663</v>
      </c>
      <c r="N163" s="18">
        <v>2</v>
      </c>
      <c r="O163" s="64">
        <f t="shared" si="52"/>
        <v>0.4</v>
      </c>
      <c r="P163" s="18">
        <v>3</v>
      </c>
      <c r="Q163" s="64">
        <f t="shared" si="53"/>
        <v>1</v>
      </c>
      <c r="R163" s="24">
        <v>0</v>
      </c>
      <c r="S163" s="71">
        <f t="shared" si="54"/>
        <v>0</v>
      </c>
      <c r="T163" s="18">
        <v>2</v>
      </c>
      <c r="U163" s="64">
        <f t="shared" si="55"/>
        <v>0.66666666666666663</v>
      </c>
      <c r="V163" s="18">
        <v>2</v>
      </c>
      <c r="W163" s="71">
        <f t="shared" si="56"/>
        <v>0.5</v>
      </c>
      <c r="X163" s="18">
        <v>0</v>
      </c>
      <c r="Y163" s="71">
        <f t="shared" si="57"/>
        <v>0</v>
      </c>
      <c r="Z163" s="18">
        <v>3</v>
      </c>
      <c r="AA163" s="71">
        <f t="shared" si="58"/>
        <v>1</v>
      </c>
      <c r="AB163" s="18">
        <v>1</v>
      </c>
      <c r="AC163" s="71">
        <f t="shared" si="59"/>
        <v>0.5</v>
      </c>
      <c r="AD163" s="85">
        <v>0</v>
      </c>
      <c r="AE163" s="85">
        <v>1</v>
      </c>
      <c r="AF163" s="85">
        <v>1</v>
      </c>
      <c r="AG163" s="85">
        <v>0</v>
      </c>
      <c r="AH163" s="85">
        <v>0</v>
      </c>
      <c r="AI163" s="85">
        <v>0</v>
      </c>
      <c r="AJ163" s="19">
        <v>2</v>
      </c>
      <c r="AK163" s="71">
        <f t="shared" si="60"/>
        <v>1</v>
      </c>
      <c r="AL163" s="18">
        <v>1</v>
      </c>
      <c r="AM163" s="71">
        <f t="shared" si="61"/>
        <v>0.33333333333333331</v>
      </c>
      <c r="AN163" s="18">
        <v>1</v>
      </c>
      <c r="AO163" s="71">
        <f t="shared" si="62"/>
        <v>0.33333333333333331</v>
      </c>
      <c r="AP163" s="18">
        <v>2</v>
      </c>
      <c r="AQ163" s="71">
        <f t="shared" si="63"/>
        <v>0.66666666666666663</v>
      </c>
      <c r="AR163" s="85">
        <v>2</v>
      </c>
      <c r="AS163" s="18">
        <v>3</v>
      </c>
      <c r="AT163" s="71">
        <f t="shared" si="64"/>
        <v>1</v>
      </c>
      <c r="AU163" s="18">
        <v>3</v>
      </c>
      <c r="AV163" s="71">
        <f t="shared" si="65"/>
        <v>1</v>
      </c>
      <c r="AW163" s="18">
        <v>1</v>
      </c>
      <c r="AX163" s="71">
        <f t="shared" si="66"/>
        <v>0.5</v>
      </c>
      <c r="AY163" s="18">
        <v>3</v>
      </c>
      <c r="AZ163" s="71">
        <f t="shared" si="67"/>
        <v>1</v>
      </c>
      <c r="BA163" s="94">
        <v>1</v>
      </c>
      <c r="BB163" s="94">
        <v>1</v>
      </c>
      <c r="BC163" s="94">
        <v>0</v>
      </c>
      <c r="BD163" s="94">
        <v>0</v>
      </c>
      <c r="BE163" s="102">
        <f t="shared" si="68"/>
        <v>2.2543784558547886</v>
      </c>
      <c r="BF163" s="81">
        <f t="shared" si="69"/>
        <v>0.49590565256981578</v>
      </c>
      <c r="BG163" s="81" t="str">
        <f t="shared" si="70"/>
        <v>MEDIO</v>
      </c>
      <c r="BK163" s="81" t="str">
        <f t="shared" si="71"/>
        <v>MEDIO</v>
      </c>
    </row>
    <row r="164" spans="1:63" x14ac:dyDescent="0.15">
      <c r="A164" s="84">
        <v>2</v>
      </c>
      <c r="B164" s="84">
        <v>1</v>
      </c>
      <c r="C164" s="84">
        <v>2</v>
      </c>
      <c r="D164" s="84">
        <v>2</v>
      </c>
      <c r="E164" s="85">
        <v>1</v>
      </c>
      <c r="F164" s="17">
        <v>1</v>
      </c>
      <c r="G164" s="64">
        <f t="shared" si="48"/>
        <v>0.5</v>
      </c>
      <c r="H164" s="17">
        <v>1</v>
      </c>
      <c r="I164" s="64">
        <f t="shared" si="49"/>
        <v>0.5</v>
      </c>
      <c r="J164" s="17">
        <v>1</v>
      </c>
      <c r="K164" s="64">
        <f t="shared" si="50"/>
        <v>0.5</v>
      </c>
      <c r="L164" s="17">
        <v>1</v>
      </c>
      <c r="M164" s="64">
        <f t="shared" si="51"/>
        <v>0.33333333333333331</v>
      </c>
      <c r="N164" s="17">
        <v>2</v>
      </c>
      <c r="O164" s="64">
        <f t="shared" si="52"/>
        <v>0.4</v>
      </c>
      <c r="P164" s="17">
        <v>2</v>
      </c>
      <c r="Q164" s="64">
        <f t="shared" si="53"/>
        <v>0.66666666666666663</v>
      </c>
      <c r="R164" s="25">
        <v>2</v>
      </c>
      <c r="S164" s="71">
        <f t="shared" si="54"/>
        <v>0.66666666666666663</v>
      </c>
      <c r="T164" s="17">
        <v>2</v>
      </c>
      <c r="U164" s="64">
        <f t="shared" si="55"/>
        <v>0.66666666666666663</v>
      </c>
      <c r="V164" s="17">
        <v>3</v>
      </c>
      <c r="W164" s="71">
        <f t="shared" si="56"/>
        <v>0.75</v>
      </c>
      <c r="X164" s="17">
        <v>2</v>
      </c>
      <c r="Y164" s="71">
        <f t="shared" si="57"/>
        <v>0.66666666666666663</v>
      </c>
      <c r="Z164" s="17">
        <v>3</v>
      </c>
      <c r="AA164" s="71">
        <f t="shared" si="58"/>
        <v>1</v>
      </c>
      <c r="AB164" s="17">
        <v>2</v>
      </c>
      <c r="AC164" s="71">
        <f t="shared" si="59"/>
        <v>1</v>
      </c>
      <c r="AD164" s="84">
        <v>1</v>
      </c>
      <c r="AE164" s="84">
        <v>0</v>
      </c>
      <c r="AF164" s="84">
        <v>1</v>
      </c>
      <c r="AG164" s="84">
        <v>0</v>
      </c>
      <c r="AH164" s="84">
        <v>0</v>
      </c>
      <c r="AI164" s="84">
        <v>0</v>
      </c>
      <c r="AJ164" s="20">
        <v>1</v>
      </c>
      <c r="AK164" s="71">
        <f t="shared" si="60"/>
        <v>0.5</v>
      </c>
      <c r="AL164" s="17">
        <v>2</v>
      </c>
      <c r="AM164" s="71">
        <f t="shared" si="61"/>
        <v>0.66666666666666663</v>
      </c>
      <c r="AN164" s="17">
        <v>1</v>
      </c>
      <c r="AO164" s="71">
        <f t="shared" si="62"/>
        <v>0.33333333333333331</v>
      </c>
      <c r="AP164" s="17">
        <v>0</v>
      </c>
      <c r="AQ164" s="71">
        <f t="shared" si="63"/>
        <v>0</v>
      </c>
      <c r="AR164" s="84">
        <v>2</v>
      </c>
      <c r="AS164" s="17">
        <v>2</v>
      </c>
      <c r="AT164" s="71">
        <f t="shared" si="64"/>
        <v>0.66666666666666663</v>
      </c>
      <c r="AU164" s="17">
        <v>3</v>
      </c>
      <c r="AV164" s="71">
        <f t="shared" si="65"/>
        <v>1</v>
      </c>
      <c r="AW164" s="17">
        <v>1</v>
      </c>
      <c r="AX164" s="71">
        <f t="shared" si="66"/>
        <v>0.5</v>
      </c>
      <c r="AY164" s="17">
        <v>2</v>
      </c>
      <c r="AZ164" s="71">
        <f t="shared" si="67"/>
        <v>0.66666666666666663</v>
      </c>
      <c r="BA164" s="93">
        <v>1</v>
      </c>
      <c r="BB164" s="93">
        <v>1</v>
      </c>
      <c r="BC164" s="93">
        <v>0</v>
      </c>
      <c r="BD164" s="93">
        <v>0</v>
      </c>
      <c r="BE164" s="102">
        <f t="shared" si="68"/>
        <v>2.0830666495978152</v>
      </c>
      <c r="BF164" s="81">
        <f t="shared" si="69"/>
        <v>0.53421213698369874</v>
      </c>
      <c r="BG164" s="81" t="str">
        <f t="shared" si="70"/>
        <v>MEDIO</v>
      </c>
      <c r="BK164" s="81" t="str">
        <f t="shared" si="71"/>
        <v>MEDIO</v>
      </c>
    </row>
    <row r="165" spans="1:63" x14ac:dyDescent="0.15">
      <c r="A165" s="85">
        <v>2</v>
      </c>
      <c r="B165" s="85">
        <v>2</v>
      </c>
      <c r="C165" s="85">
        <v>3</v>
      </c>
      <c r="D165" s="85">
        <v>2</v>
      </c>
      <c r="E165" s="85">
        <v>1</v>
      </c>
      <c r="F165" s="18">
        <v>1</v>
      </c>
      <c r="G165" s="64">
        <f t="shared" si="48"/>
        <v>0.5</v>
      </c>
      <c r="H165" s="18">
        <v>0</v>
      </c>
      <c r="I165" s="64">
        <f t="shared" si="49"/>
        <v>0</v>
      </c>
      <c r="J165" s="18">
        <v>1</v>
      </c>
      <c r="K165" s="64">
        <f t="shared" si="50"/>
        <v>0.5</v>
      </c>
      <c r="L165" s="18">
        <v>2</v>
      </c>
      <c r="M165" s="64">
        <f t="shared" si="51"/>
        <v>0.66666666666666663</v>
      </c>
      <c r="N165" s="18">
        <v>4</v>
      </c>
      <c r="O165" s="64">
        <f t="shared" si="52"/>
        <v>0.8</v>
      </c>
      <c r="P165" s="18">
        <v>2</v>
      </c>
      <c r="Q165" s="64">
        <f t="shared" si="53"/>
        <v>0.66666666666666663</v>
      </c>
      <c r="R165" s="24">
        <v>3</v>
      </c>
      <c r="S165" s="71">
        <f t="shared" si="54"/>
        <v>1</v>
      </c>
      <c r="T165" s="18">
        <v>1</v>
      </c>
      <c r="U165" s="64">
        <f t="shared" si="55"/>
        <v>0.33333333333333331</v>
      </c>
      <c r="V165" s="18">
        <v>3</v>
      </c>
      <c r="W165" s="71">
        <f t="shared" si="56"/>
        <v>0.75</v>
      </c>
      <c r="X165" s="18">
        <v>2</v>
      </c>
      <c r="Y165" s="71">
        <f t="shared" si="57"/>
        <v>0.66666666666666663</v>
      </c>
      <c r="Z165" s="18">
        <v>1</v>
      </c>
      <c r="AA165" s="71">
        <f t="shared" si="58"/>
        <v>0.33333333333333331</v>
      </c>
      <c r="AB165" s="18">
        <v>2</v>
      </c>
      <c r="AC165" s="71">
        <f t="shared" si="59"/>
        <v>1</v>
      </c>
      <c r="AD165" s="85">
        <v>1</v>
      </c>
      <c r="AE165" s="85">
        <v>0</v>
      </c>
      <c r="AF165" s="85">
        <v>0</v>
      </c>
      <c r="AG165" s="85">
        <v>1</v>
      </c>
      <c r="AH165" s="85">
        <v>0</v>
      </c>
      <c r="AI165" s="85">
        <v>0</v>
      </c>
      <c r="AJ165" s="19">
        <v>0</v>
      </c>
      <c r="AK165" s="71">
        <f t="shared" si="60"/>
        <v>0</v>
      </c>
      <c r="AL165" s="18">
        <v>1</v>
      </c>
      <c r="AM165" s="71">
        <f t="shared" si="61"/>
        <v>0.33333333333333331</v>
      </c>
      <c r="AN165" s="18">
        <v>0</v>
      </c>
      <c r="AO165" s="71">
        <f t="shared" si="62"/>
        <v>0</v>
      </c>
      <c r="AP165" s="18">
        <v>1</v>
      </c>
      <c r="AQ165" s="71">
        <f t="shared" si="63"/>
        <v>0.33333333333333331</v>
      </c>
      <c r="AR165" s="85">
        <v>2</v>
      </c>
      <c r="AS165" s="18">
        <v>2</v>
      </c>
      <c r="AT165" s="71">
        <f t="shared" si="64"/>
        <v>0.66666666666666663</v>
      </c>
      <c r="AU165" s="18">
        <v>2</v>
      </c>
      <c r="AV165" s="71">
        <f t="shared" si="65"/>
        <v>0.66666666666666663</v>
      </c>
      <c r="AW165" s="18">
        <v>0</v>
      </c>
      <c r="AX165" s="71">
        <f t="shared" si="66"/>
        <v>0</v>
      </c>
      <c r="AY165" s="18">
        <v>2</v>
      </c>
      <c r="AZ165" s="71">
        <f t="shared" si="67"/>
        <v>0.66666666666666663</v>
      </c>
      <c r="BA165" s="94">
        <v>0</v>
      </c>
      <c r="BB165" s="94">
        <v>0</v>
      </c>
      <c r="BC165" s="94">
        <v>0</v>
      </c>
      <c r="BD165" s="94">
        <v>1</v>
      </c>
      <c r="BE165" s="102">
        <f t="shared" si="68"/>
        <v>2.6546081527118921</v>
      </c>
      <c r="BF165" s="81">
        <f t="shared" si="69"/>
        <v>0.40641157169116249</v>
      </c>
      <c r="BG165" s="81" t="str">
        <f t="shared" si="70"/>
        <v>MEDIO</v>
      </c>
      <c r="BK165" s="81" t="str">
        <f t="shared" si="71"/>
        <v>BASSO</v>
      </c>
    </row>
    <row r="166" spans="1:63" x14ac:dyDescent="0.15">
      <c r="A166" s="84">
        <v>2</v>
      </c>
      <c r="B166" s="84">
        <v>1</v>
      </c>
      <c r="C166" s="84">
        <v>3</v>
      </c>
      <c r="D166" s="84">
        <v>2</v>
      </c>
      <c r="E166" s="85">
        <v>1</v>
      </c>
      <c r="F166" s="17">
        <v>2</v>
      </c>
      <c r="G166" s="64">
        <f t="shared" si="48"/>
        <v>1</v>
      </c>
      <c r="H166" s="17">
        <v>1</v>
      </c>
      <c r="I166" s="64">
        <f t="shared" si="49"/>
        <v>0.5</v>
      </c>
      <c r="J166" s="17">
        <v>1</v>
      </c>
      <c r="K166" s="64">
        <f t="shared" si="50"/>
        <v>0.5</v>
      </c>
      <c r="L166" s="17">
        <v>1</v>
      </c>
      <c r="M166" s="64">
        <f t="shared" si="51"/>
        <v>0.33333333333333331</v>
      </c>
      <c r="N166" s="17">
        <v>3</v>
      </c>
      <c r="O166" s="64">
        <f t="shared" si="52"/>
        <v>0.6</v>
      </c>
      <c r="P166" s="17">
        <v>3</v>
      </c>
      <c r="Q166" s="64">
        <f t="shared" si="53"/>
        <v>1</v>
      </c>
      <c r="R166" s="25">
        <v>2</v>
      </c>
      <c r="S166" s="71">
        <f t="shared" si="54"/>
        <v>0.66666666666666663</v>
      </c>
      <c r="T166" s="17">
        <v>1</v>
      </c>
      <c r="U166" s="64">
        <f t="shared" si="55"/>
        <v>0.33333333333333331</v>
      </c>
      <c r="V166" s="17">
        <v>4</v>
      </c>
      <c r="W166" s="71">
        <f t="shared" si="56"/>
        <v>1</v>
      </c>
      <c r="X166" s="17">
        <v>2</v>
      </c>
      <c r="Y166" s="71">
        <f t="shared" si="57"/>
        <v>0.66666666666666663</v>
      </c>
      <c r="Z166" s="17">
        <v>1</v>
      </c>
      <c r="AA166" s="71">
        <f t="shared" si="58"/>
        <v>0.33333333333333331</v>
      </c>
      <c r="AB166" s="17">
        <v>2</v>
      </c>
      <c r="AC166" s="71">
        <f t="shared" si="59"/>
        <v>1</v>
      </c>
      <c r="AD166" s="84">
        <v>1</v>
      </c>
      <c r="AE166" s="84">
        <v>0</v>
      </c>
      <c r="AF166" s="84">
        <v>0</v>
      </c>
      <c r="AG166" s="84">
        <v>1</v>
      </c>
      <c r="AH166" s="84">
        <v>0</v>
      </c>
      <c r="AI166" s="84">
        <v>0</v>
      </c>
      <c r="AJ166" s="20">
        <v>1</v>
      </c>
      <c r="AK166" s="71">
        <f t="shared" si="60"/>
        <v>0.5</v>
      </c>
      <c r="AL166" s="17">
        <v>0</v>
      </c>
      <c r="AM166" s="71">
        <f t="shared" si="61"/>
        <v>0</v>
      </c>
      <c r="AN166" s="17">
        <v>1</v>
      </c>
      <c r="AO166" s="71">
        <f t="shared" si="62"/>
        <v>0.33333333333333331</v>
      </c>
      <c r="AP166" s="17">
        <v>1</v>
      </c>
      <c r="AQ166" s="71">
        <f t="shared" si="63"/>
        <v>0.33333333333333331</v>
      </c>
      <c r="AR166" s="84">
        <v>0</v>
      </c>
      <c r="AS166" s="17">
        <v>2</v>
      </c>
      <c r="AT166" s="71">
        <f t="shared" si="64"/>
        <v>0.66666666666666663</v>
      </c>
      <c r="AU166" s="17">
        <v>0</v>
      </c>
      <c r="AV166" s="71">
        <f t="shared" si="65"/>
        <v>0</v>
      </c>
      <c r="AW166" s="17">
        <v>1</v>
      </c>
      <c r="AX166" s="71">
        <f t="shared" si="66"/>
        <v>0.5</v>
      </c>
      <c r="AY166" s="17">
        <v>2</v>
      </c>
      <c r="AZ166" s="71">
        <f t="shared" si="67"/>
        <v>0.66666666666666663</v>
      </c>
      <c r="BA166" s="93">
        <v>0</v>
      </c>
      <c r="BB166" s="93">
        <v>1</v>
      </c>
      <c r="BC166" s="93">
        <v>1</v>
      </c>
      <c r="BD166" s="93">
        <v>0</v>
      </c>
      <c r="BE166" s="102">
        <f t="shared" si="68"/>
        <v>2.4138489320308896</v>
      </c>
      <c r="BF166" s="81">
        <f t="shared" si="69"/>
        <v>0.4602469700564169</v>
      </c>
      <c r="BG166" s="81" t="str">
        <f t="shared" si="70"/>
        <v>MEDIO</v>
      </c>
      <c r="BK166" s="81" t="str">
        <f t="shared" si="71"/>
        <v>MEDIO</v>
      </c>
    </row>
    <row r="167" spans="1:63" x14ac:dyDescent="0.15">
      <c r="A167" s="85">
        <v>3</v>
      </c>
      <c r="B167" s="85">
        <v>2</v>
      </c>
      <c r="C167" s="85">
        <v>3</v>
      </c>
      <c r="D167" s="85">
        <v>2</v>
      </c>
      <c r="E167" s="85">
        <v>1</v>
      </c>
      <c r="F167" s="18">
        <v>2</v>
      </c>
      <c r="G167" s="64">
        <f t="shared" si="48"/>
        <v>1</v>
      </c>
      <c r="H167" s="18">
        <v>2</v>
      </c>
      <c r="I167" s="64">
        <f t="shared" si="49"/>
        <v>1</v>
      </c>
      <c r="J167" s="18">
        <v>2</v>
      </c>
      <c r="K167" s="64">
        <f t="shared" si="50"/>
        <v>1</v>
      </c>
      <c r="L167" s="18">
        <v>3</v>
      </c>
      <c r="M167" s="64">
        <f t="shared" si="51"/>
        <v>1</v>
      </c>
      <c r="N167" s="18">
        <v>4</v>
      </c>
      <c r="O167" s="64">
        <f t="shared" si="52"/>
        <v>0.8</v>
      </c>
      <c r="P167" s="18">
        <v>2</v>
      </c>
      <c r="Q167" s="64">
        <f t="shared" si="53"/>
        <v>0.66666666666666663</v>
      </c>
      <c r="R167" s="24">
        <v>3</v>
      </c>
      <c r="S167" s="71">
        <f t="shared" si="54"/>
        <v>1</v>
      </c>
      <c r="T167" s="18">
        <v>3</v>
      </c>
      <c r="U167" s="64">
        <f t="shared" si="55"/>
        <v>1</v>
      </c>
      <c r="V167" s="18">
        <v>3</v>
      </c>
      <c r="W167" s="71">
        <f t="shared" si="56"/>
        <v>0.75</v>
      </c>
      <c r="X167" s="18">
        <v>3</v>
      </c>
      <c r="Y167" s="71">
        <f t="shared" si="57"/>
        <v>1</v>
      </c>
      <c r="Z167" s="18">
        <v>3</v>
      </c>
      <c r="AA167" s="71">
        <f t="shared" si="58"/>
        <v>1</v>
      </c>
      <c r="AB167" s="18">
        <v>0</v>
      </c>
      <c r="AC167" s="71">
        <f t="shared" si="59"/>
        <v>0</v>
      </c>
      <c r="AD167" s="85">
        <v>1</v>
      </c>
      <c r="AE167" s="85">
        <v>1</v>
      </c>
      <c r="AF167" s="85">
        <v>0</v>
      </c>
      <c r="AG167" s="85">
        <v>0</v>
      </c>
      <c r="AH167" s="85">
        <v>0</v>
      </c>
      <c r="AI167" s="85">
        <v>0</v>
      </c>
      <c r="AJ167" s="19">
        <v>2</v>
      </c>
      <c r="AK167" s="71">
        <f t="shared" si="60"/>
        <v>1</v>
      </c>
      <c r="AL167" s="18">
        <v>2</v>
      </c>
      <c r="AM167" s="71">
        <f t="shared" si="61"/>
        <v>0.66666666666666663</v>
      </c>
      <c r="AN167" s="18">
        <v>2</v>
      </c>
      <c r="AO167" s="71">
        <f t="shared" si="62"/>
        <v>0.66666666666666663</v>
      </c>
      <c r="AP167" s="18">
        <v>3</v>
      </c>
      <c r="AQ167" s="71">
        <f t="shared" si="63"/>
        <v>1</v>
      </c>
      <c r="AR167" s="85">
        <v>2</v>
      </c>
      <c r="AS167" s="18">
        <v>2</v>
      </c>
      <c r="AT167" s="71">
        <f t="shared" si="64"/>
        <v>0.66666666666666663</v>
      </c>
      <c r="AU167" s="18">
        <v>3</v>
      </c>
      <c r="AV167" s="71">
        <f t="shared" si="65"/>
        <v>1</v>
      </c>
      <c r="AW167" s="18">
        <v>1</v>
      </c>
      <c r="AX167" s="71">
        <f t="shared" si="66"/>
        <v>0.5</v>
      </c>
      <c r="AY167" s="18">
        <v>3</v>
      </c>
      <c r="AZ167" s="71">
        <f t="shared" si="67"/>
        <v>1</v>
      </c>
      <c r="BA167" s="94">
        <v>1</v>
      </c>
      <c r="BB167" s="94">
        <v>1</v>
      </c>
      <c r="BC167" s="94">
        <v>0</v>
      </c>
      <c r="BD167" s="94">
        <v>0</v>
      </c>
      <c r="BE167" s="102">
        <f t="shared" si="68"/>
        <v>1.3405015645065264</v>
      </c>
      <c r="BF167" s="81">
        <f t="shared" si="69"/>
        <v>0.70025473778188696</v>
      </c>
      <c r="BG167" s="81" t="str">
        <f t="shared" si="70"/>
        <v>ALTO</v>
      </c>
      <c r="BK167" s="81" t="str">
        <f t="shared" si="71"/>
        <v>ALTO</v>
      </c>
    </row>
    <row r="168" spans="1:63" x14ac:dyDescent="0.15">
      <c r="A168" s="84">
        <v>3</v>
      </c>
      <c r="B168" s="84">
        <v>2</v>
      </c>
      <c r="C168" s="84">
        <v>3</v>
      </c>
      <c r="D168" s="84">
        <v>2</v>
      </c>
      <c r="E168" s="85">
        <v>1</v>
      </c>
      <c r="F168" s="17">
        <v>1</v>
      </c>
      <c r="G168" s="64">
        <f t="shared" si="48"/>
        <v>0.5</v>
      </c>
      <c r="H168" s="17">
        <v>1</v>
      </c>
      <c r="I168" s="64">
        <f t="shared" si="49"/>
        <v>0.5</v>
      </c>
      <c r="J168" s="17">
        <v>0</v>
      </c>
      <c r="K168" s="64">
        <f t="shared" si="50"/>
        <v>0</v>
      </c>
      <c r="L168" s="17">
        <v>0</v>
      </c>
      <c r="M168" s="64">
        <f t="shared" si="51"/>
        <v>0</v>
      </c>
      <c r="N168" s="17">
        <v>4</v>
      </c>
      <c r="O168" s="64">
        <f t="shared" si="52"/>
        <v>0.8</v>
      </c>
      <c r="P168" s="17">
        <v>0</v>
      </c>
      <c r="Q168" s="64">
        <f t="shared" si="53"/>
        <v>0</v>
      </c>
      <c r="R168" s="25">
        <v>0</v>
      </c>
      <c r="S168" s="71">
        <f t="shared" si="54"/>
        <v>0</v>
      </c>
      <c r="T168" s="17">
        <v>0</v>
      </c>
      <c r="U168" s="64">
        <f t="shared" si="55"/>
        <v>0</v>
      </c>
      <c r="V168" s="17">
        <v>3</v>
      </c>
      <c r="W168" s="71">
        <f t="shared" si="56"/>
        <v>0.75</v>
      </c>
      <c r="X168" s="17">
        <v>2</v>
      </c>
      <c r="Y168" s="71">
        <f t="shared" si="57"/>
        <v>0.66666666666666663</v>
      </c>
      <c r="Z168" s="17">
        <v>1</v>
      </c>
      <c r="AA168" s="71">
        <f t="shared" si="58"/>
        <v>0.33333333333333331</v>
      </c>
      <c r="AB168" s="17">
        <v>2</v>
      </c>
      <c r="AC168" s="71">
        <f t="shared" si="59"/>
        <v>1</v>
      </c>
      <c r="AD168" s="84">
        <v>0</v>
      </c>
      <c r="AE168" s="84">
        <v>0</v>
      </c>
      <c r="AF168" s="84">
        <v>1</v>
      </c>
      <c r="AG168" s="84">
        <v>1</v>
      </c>
      <c r="AH168" s="84">
        <v>0</v>
      </c>
      <c r="AI168" s="84">
        <v>0</v>
      </c>
      <c r="AJ168" s="20">
        <v>1</v>
      </c>
      <c r="AK168" s="71">
        <f t="shared" si="60"/>
        <v>0.5</v>
      </c>
      <c r="AL168" s="17">
        <v>2</v>
      </c>
      <c r="AM168" s="71">
        <f t="shared" si="61"/>
        <v>0.66666666666666663</v>
      </c>
      <c r="AN168" s="17">
        <v>0</v>
      </c>
      <c r="AO168" s="71">
        <f t="shared" si="62"/>
        <v>0</v>
      </c>
      <c r="AP168" s="17">
        <v>0</v>
      </c>
      <c r="AQ168" s="71">
        <f t="shared" si="63"/>
        <v>0</v>
      </c>
      <c r="AR168" s="84">
        <v>2</v>
      </c>
      <c r="AS168" s="17">
        <v>1</v>
      </c>
      <c r="AT168" s="71">
        <f t="shared" si="64"/>
        <v>0.33333333333333331</v>
      </c>
      <c r="AU168" s="17">
        <v>0</v>
      </c>
      <c r="AV168" s="71">
        <f t="shared" si="65"/>
        <v>0</v>
      </c>
      <c r="AW168" s="17">
        <v>0</v>
      </c>
      <c r="AX168" s="71">
        <f t="shared" si="66"/>
        <v>0</v>
      </c>
      <c r="AY168" s="17">
        <v>2</v>
      </c>
      <c r="AZ168" s="71">
        <f t="shared" si="67"/>
        <v>0.66666666666666663</v>
      </c>
      <c r="BA168" s="93">
        <v>0</v>
      </c>
      <c r="BB168" s="93">
        <v>0</v>
      </c>
      <c r="BC168" s="93">
        <v>0</v>
      </c>
      <c r="BD168" s="93">
        <v>1</v>
      </c>
      <c r="BE168" s="102">
        <f t="shared" si="68"/>
        <v>3.3278705236565655</v>
      </c>
      <c r="BF168" s="81">
        <f t="shared" si="69"/>
        <v>0.25586552887867964</v>
      </c>
      <c r="BG168" s="81" t="str">
        <f t="shared" si="70"/>
        <v>BASSO</v>
      </c>
      <c r="BK168" s="81" t="str">
        <f t="shared" si="71"/>
        <v>MOLTO BASSO</v>
      </c>
    </row>
    <row r="169" spans="1:63" x14ac:dyDescent="0.15">
      <c r="A169" s="85">
        <v>1</v>
      </c>
      <c r="B169" s="85">
        <v>2</v>
      </c>
      <c r="C169" s="85">
        <v>1</v>
      </c>
      <c r="D169" s="85">
        <v>2</v>
      </c>
      <c r="E169" s="85">
        <v>1</v>
      </c>
      <c r="F169" s="18">
        <v>1</v>
      </c>
      <c r="G169" s="64">
        <f t="shared" si="48"/>
        <v>0.5</v>
      </c>
      <c r="H169" s="18">
        <v>2</v>
      </c>
      <c r="I169" s="64">
        <f t="shared" si="49"/>
        <v>1</v>
      </c>
      <c r="J169" s="18">
        <v>2</v>
      </c>
      <c r="K169" s="64">
        <f t="shared" si="50"/>
        <v>1</v>
      </c>
      <c r="L169" s="18">
        <v>3</v>
      </c>
      <c r="M169" s="64">
        <f t="shared" si="51"/>
        <v>1</v>
      </c>
      <c r="N169" s="18">
        <v>5</v>
      </c>
      <c r="O169" s="64">
        <f t="shared" si="52"/>
        <v>1</v>
      </c>
      <c r="P169" s="18">
        <v>0</v>
      </c>
      <c r="Q169" s="64">
        <f t="shared" si="53"/>
        <v>0</v>
      </c>
      <c r="R169" s="24">
        <v>0</v>
      </c>
      <c r="S169" s="71">
        <f t="shared" si="54"/>
        <v>0</v>
      </c>
      <c r="T169" s="18">
        <v>2</v>
      </c>
      <c r="U169" s="64">
        <f t="shared" si="55"/>
        <v>0.66666666666666663</v>
      </c>
      <c r="V169" s="18">
        <v>3</v>
      </c>
      <c r="W169" s="71">
        <f t="shared" si="56"/>
        <v>0.75</v>
      </c>
      <c r="X169" s="18">
        <v>2</v>
      </c>
      <c r="Y169" s="71">
        <f t="shared" si="57"/>
        <v>0.66666666666666663</v>
      </c>
      <c r="Z169" s="18">
        <v>0</v>
      </c>
      <c r="AA169" s="71">
        <f t="shared" si="58"/>
        <v>0</v>
      </c>
      <c r="AB169" s="18">
        <v>2</v>
      </c>
      <c r="AC169" s="71">
        <f t="shared" si="59"/>
        <v>1</v>
      </c>
      <c r="AD169" s="85">
        <v>1</v>
      </c>
      <c r="AE169" s="85">
        <v>0</v>
      </c>
      <c r="AF169" s="85">
        <v>0</v>
      </c>
      <c r="AG169" s="85">
        <v>1</v>
      </c>
      <c r="AH169" s="85">
        <v>0</v>
      </c>
      <c r="AI169" s="85">
        <v>0</v>
      </c>
      <c r="AJ169" s="19">
        <v>1</v>
      </c>
      <c r="AK169" s="71">
        <f t="shared" si="60"/>
        <v>0.5</v>
      </c>
      <c r="AL169" s="18">
        <v>2</v>
      </c>
      <c r="AM169" s="71">
        <f t="shared" si="61"/>
        <v>0.66666666666666663</v>
      </c>
      <c r="AN169" s="18">
        <v>1</v>
      </c>
      <c r="AO169" s="71">
        <f t="shared" si="62"/>
        <v>0.33333333333333331</v>
      </c>
      <c r="AP169" s="18">
        <v>2</v>
      </c>
      <c r="AQ169" s="71">
        <f t="shared" si="63"/>
        <v>0.66666666666666663</v>
      </c>
      <c r="AR169" s="85">
        <v>1</v>
      </c>
      <c r="AS169" s="18">
        <v>0</v>
      </c>
      <c r="AT169" s="71">
        <f t="shared" si="64"/>
        <v>0</v>
      </c>
      <c r="AU169" s="18">
        <v>2</v>
      </c>
      <c r="AV169" s="71">
        <f t="shared" si="65"/>
        <v>0.66666666666666663</v>
      </c>
      <c r="AW169" s="18">
        <v>0</v>
      </c>
      <c r="AX169" s="71">
        <f t="shared" si="66"/>
        <v>0</v>
      </c>
      <c r="AY169" s="18">
        <v>2</v>
      </c>
      <c r="AZ169" s="71">
        <f t="shared" si="67"/>
        <v>0.66666666666666663</v>
      </c>
      <c r="BA169" s="94">
        <v>1</v>
      </c>
      <c r="BB169" s="94">
        <v>0</v>
      </c>
      <c r="BC169" s="94">
        <v>0</v>
      </c>
      <c r="BD169" s="94">
        <v>0</v>
      </c>
      <c r="BE169" s="102">
        <f t="shared" si="68"/>
        <v>2.583333333333333</v>
      </c>
      <c r="BF169" s="81">
        <f t="shared" si="69"/>
        <v>0.42234910581260865</v>
      </c>
      <c r="BG169" s="81" t="str">
        <f t="shared" si="70"/>
        <v>MEDIO</v>
      </c>
      <c r="BK169" s="81" t="str">
        <f t="shared" si="71"/>
        <v>BASSO</v>
      </c>
    </row>
    <row r="170" spans="1:63" x14ac:dyDescent="0.15">
      <c r="A170" s="84">
        <v>3</v>
      </c>
      <c r="B170" s="84">
        <v>2</v>
      </c>
      <c r="C170" s="84">
        <v>3</v>
      </c>
      <c r="D170" s="84">
        <v>1</v>
      </c>
      <c r="E170" s="85">
        <v>1</v>
      </c>
      <c r="F170" s="17">
        <v>2</v>
      </c>
      <c r="G170" s="64">
        <f t="shared" si="48"/>
        <v>1</v>
      </c>
      <c r="H170" s="17">
        <v>1</v>
      </c>
      <c r="I170" s="64">
        <f t="shared" si="49"/>
        <v>0.5</v>
      </c>
      <c r="J170" s="17">
        <v>1</v>
      </c>
      <c r="K170" s="64">
        <f t="shared" si="50"/>
        <v>0.5</v>
      </c>
      <c r="L170" s="17">
        <v>3</v>
      </c>
      <c r="M170" s="64">
        <f t="shared" si="51"/>
        <v>1</v>
      </c>
      <c r="N170" s="17">
        <v>1</v>
      </c>
      <c r="O170" s="64">
        <f t="shared" si="52"/>
        <v>0.2</v>
      </c>
      <c r="P170" s="17">
        <v>3</v>
      </c>
      <c r="Q170" s="64">
        <f t="shared" si="53"/>
        <v>1</v>
      </c>
      <c r="R170" s="25">
        <v>0</v>
      </c>
      <c r="S170" s="71">
        <f t="shared" si="54"/>
        <v>0</v>
      </c>
      <c r="T170" s="17">
        <v>2</v>
      </c>
      <c r="U170" s="64">
        <f t="shared" si="55"/>
        <v>0.66666666666666663</v>
      </c>
      <c r="V170" s="17">
        <v>3</v>
      </c>
      <c r="W170" s="71">
        <f t="shared" si="56"/>
        <v>0.75</v>
      </c>
      <c r="X170" s="17">
        <v>2</v>
      </c>
      <c r="Y170" s="71">
        <f t="shared" si="57"/>
        <v>0.66666666666666663</v>
      </c>
      <c r="Z170" s="17">
        <v>3</v>
      </c>
      <c r="AA170" s="71">
        <f t="shared" si="58"/>
        <v>1</v>
      </c>
      <c r="AB170" s="17">
        <v>2</v>
      </c>
      <c r="AC170" s="71">
        <f t="shared" si="59"/>
        <v>1</v>
      </c>
      <c r="AD170" s="84">
        <v>1</v>
      </c>
      <c r="AE170" s="84">
        <v>1</v>
      </c>
      <c r="AF170" s="84">
        <v>0</v>
      </c>
      <c r="AG170" s="84">
        <v>0</v>
      </c>
      <c r="AH170" s="84">
        <v>0</v>
      </c>
      <c r="AI170" s="84">
        <v>0</v>
      </c>
      <c r="AJ170" s="20">
        <v>1</v>
      </c>
      <c r="AK170" s="71">
        <f t="shared" si="60"/>
        <v>0.5</v>
      </c>
      <c r="AL170" s="17">
        <v>2</v>
      </c>
      <c r="AM170" s="71">
        <f t="shared" si="61"/>
        <v>0.66666666666666663</v>
      </c>
      <c r="AN170" s="17">
        <v>1</v>
      </c>
      <c r="AO170" s="71">
        <f t="shared" si="62"/>
        <v>0.33333333333333331</v>
      </c>
      <c r="AP170" s="17">
        <v>2</v>
      </c>
      <c r="AQ170" s="71">
        <f t="shared" si="63"/>
        <v>0.66666666666666663</v>
      </c>
      <c r="AR170" s="84">
        <v>0</v>
      </c>
      <c r="AS170" s="17">
        <v>3</v>
      </c>
      <c r="AT170" s="71">
        <f t="shared" si="64"/>
        <v>1</v>
      </c>
      <c r="AU170" s="17">
        <v>2</v>
      </c>
      <c r="AV170" s="71">
        <f t="shared" si="65"/>
        <v>0.66666666666666663</v>
      </c>
      <c r="AW170" s="17">
        <v>0</v>
      </c>
      <c r="AX170" s="71">
        <f t="shared" si="66"/>
        <v>0</v>
      </c>
      <c r="AY170" s="17">
        <v>2</v>
      </c>
      <c r="AZ170" s="71">
        <f t="shared" si="67"/>
        <v>0.66666666666666663</v>
      </c>
      <c r="BA170" s="93">
        <v>1</v>
      </c>
      <c r="BB170" s="93">
        <v>0</v>
      </c>
      <c r="BC170" s="93">
        <v>1</v>
      </c>
      <c r="BD170" s="93">
        <v>0</v>
      </c>
      <c r="BE170" s="102">
        <f t="shared" si="68"/>
        <v>2.1362610119344292</v>
      </c>
      <c r="BF170" s="81">
        <f t="shared" si="69"/>
        <v>0.52231751596325759</v>
      </c>
      <c r="BG170" s="81" t="str">
        <f t="shared" si="70"/>
        <v>MEDIO</v>
      </c>
      <c r="BK170" s="81" t="str">
        <f t="shared" si="71"/>
        <v>MEDIO</v>
      </c>
    </row>
    <row r="171" spans="1:63" x14ac:dyDescent="0.15">
      <c r="A171" s="85">
        <v>2</v>
      </c>
      <c r="B171" s="85">
        <v>2</v>
      </c>
      <c r="C171" s="85">
        <v>0</v>
      </c>
      <c r="D171" s="85">
        <v>2</v>
      </c>
      <c r="E171" s="85">
        <v>1</v>
      </c>
      <c r="F171" s="18">
        <v>1</v>
      </c>
      <c r="G171" s="64">
        <f t="shared" si="48"/>
        <v>0.5</v>
      </c>
      <c r="H171" s="18">
        <v>2</v>
      </c>
      <c r="I171" s="64">
        <f t="shared" si="49"/>
        <v>1</v>
      </c>
      <c r="J171" s="18">
        <v>1</v>
      </c>
      <c r="K171" s="64">
        <f t="shared" si="50"/>
        <v>0.5</v>
      </c>
      <c r="L171" s="18">
        <v>2</v>
      </c>
      <c r="M171" s="64">
        <f t="shared" si="51"/>
        <v>0.66666666666666663</v>
      </c>
      <c r="N171" s="18">
        <v>1</v>
      </c>
      <c r="O171" s="64">
        <f t="shared" si="52"/>
        <v>0.2</v>
      </c>
      <c r="P171" s="18">
        <v>0</v>
      </c>
      <c r="Q171" s="64">
        <f t="shared" si="53"/>
        <v>0</v>
      </c>
      <c r="R171" s="24">
        <v>2</v>
      </c>
      <c r="S171" s="71">
        <f t="shared" si="54"/>
        <v>0.66666666666666663</v>
      </c>
      <c r="T171" s="18">
        <v>2</v>
      </c>
      <c r="U171" s="64">
        <f t="shared" si="55"/>
        <v>0.66666666666666663</v>
      </c>
      <c r="V171" s="18">
        <v>3</v>
      </c>
      <c r="W171" s="71">
        <f t="shared" si="56"/>
        <v>0.75</v>
      </c>
      <c r="X171" s="18">
        <v>2</v>
      </c>
      <c r="Y171" s="71">
        <f t="shared" si="57"/>
        <v>0.66666666666666663</v>
      </c>
      <c r="Z171" s="18">
        <v>3</v>
      </c>
      <c r="AA171" s="71">
        <f t="shared" si="58"/>
        <v>1</v>
      </c>
      <c r="AB171" s="18">
        <v>2</v>
      </c>
      <c r="AC171" s="71">
        <f t="shared" si="59"/>
        <v>1</v>
      </c>
      <c r="AD171" s="85">
        <v>1</v>
      </c>
      <c r="AE171" s="85">
        <v>0</v>
      </c>
      <c r="AF171" s="85">
        <v>1</v>
      </c>
      <c r="AG171" s="85">
        <v>0</v>
      </c>
      <c r="AH171" s="85">
        <v>0</v>
      </c>
      <c r="AI171" s="85">
        <v>0</v>
      </c>
      <c r="AJ171" s="19">
        <v>1</v>
      </c>
      <c r="AK171" s="71">
        <f t="shared" si="60"/>
        <v>0.5</v>
      </c>
      <c r="AL171" s="18">
        <v>1</v>
      </c>
      <c r="AM171" s="71">
        <f t="shared" si="61"/>
        <v>0.33333333333333331</v>
      </c>
      <c r="AN171" s="18">
        <v>0</v>
      </c>
      <c r="AO171" s="71">
        <f t="shared" si="62"/>
        <v>0</v>
      </c>
      <c r="AP171" s="18">
        <v>2</v>
      </c>
      <c r="AQ171" s="71">
        <f t="shared" si="63"/>
        <v>0.66666666666666663</v>
      </c>
      <c r="AR171" s="85">
        <v>3</v>
      </c>
      <c r="AS171" s="18">
        <v>2</v>
      </c>
      <c r="AT171" s="71">
        <f t="shared" si="64"/>
        <v>0.66666666666666663</v>
      </c>
      <c r="AU171" s="18">
        <v>0</v>
      </c>
      <c r="AV171" s="71">
        <f t="shared" si="65"/>
        <v>0</v>
      </c>
      <c r="AW171" s="18">
        <v>1</v>
      </c>
      <c r="AX171" s="71">
        <f t="shared" si="66"/>
        <v>0.5</v>
      </c>
      <c r="AY171" s="18">
        <v>1</v>
      </c>
      <c r="AZ171" s="71">
        <f t="shared" si="67"/>
        <v>0.33333333333333331</v>
      </c>
      <c r="BA171" s="94">
        <v>1</v>
      </c>
      <c r="BB171" s="94">
        <v>0</v>
      </c>
      <c r="BC171" s="94">
        <v>1</v>
      </c>
      <c r="BD171" s="94">
        <v>0</v>
      </c>
      <c r="BE171" s="102">
        <f t="shared" si="68"/>
        <v>2.5016105923095937</v>
      </c>
      <c r="BF171" s="81">
        <f t="shared" si="69"/>
        <v>0.44062286623627611</v>
      </c>
      <c r="BG171" s="81" t="str">
        <f t="shared" si="70"/>
        <v>MEDIO</v>
      </c>
      <c r="BK171" s="81" t="str">
        <f t="shared" si="71"/>
        <v>BASSO</v>
      </c>
    </row>
    <row r="172" spans="1:63" x14ac:dyDescent="0.15">
      <c r="A172" s="84">
        <v>2</v>
      </c>
      <c r="B172" s="84">
        <v>2</v>
      </c>
      <c r="C172" s="84">
        <v>0</v>
      </c>
      <c r="D172" s="84">
        <v>2</v>
      </c>
      <c r="E172" s="85">
        <v>1</v>
      </c>
      <c r="F172" s="17">
        <v>0</v>
      </c>
      <c r="G172" s="64">
        <f t="shared" si="48"/>
        <v>0</v>
      </c>
      <c r="H172" s="17">
        <v>0</v>
      </c>
      <c r="I172" s="64">
        <f t="shared" si="49"/>
        <v>0</v>
      </c>
      <c r="J172" s="17">
        <v>1</v>
      </c>
      <c r="K172" s="64">
        <f t="shared" si="50"/>
        <v>0.5</v>
      </c>
      <c r="L172" s="17">
        <v>1</v>
      </c>
      <c r="M172" s="64">
        <f t="shared" si="51"/>
        <v>0.33333333333333331</v>
      </c>
      <c r="N172" s="17">
        <v>5</v>
      </c>
      <c r="O172" s="64">
        <f t="shared" si="52"/>
        <v>1</v>
      </c>
      <c r="P172" s="17">
        <v>0</v>
      </c>
      <c r="Q172" s="64">
        <f t="shared" si="53"/>
        <v>0</v>
      </c>
      <c r="R172" s="25">
        <v>1</v>
      </c>
      <c r="S172" s="71">
        <f t="shared" si="54"/>
        <v>0.33333333333333331</v>
      </c>
      <c r="T172" s="17">
        <v>1</v>
      </c>
      <c r="U172" s="64">
        <f t="shared" si="55"/>
        <v>0.33333333333333331</v>
      </c>
      <c r="V172" s="17">
        <v>3</v>
      </c>
      <c r="W172" s="71">
        <f t="shared" si="56"/>
        <v>0.75</v>
      </c>
      <c r="X172" s="17">
        <v>1</v>
      </c>
      <c r="Y172" s="71">
        <f t="shared" si="57"/>
        <v>0.33333333333333331</v>
      </c>
      <c r="Z172" s="17">
        <v>0</v>
      </c>
      <c r="AA172" s="71">
        <f t="shared" si="58"/>
        <v>0</v>
      </c>
      <c r="AB172" s="17">
        <v>1</v>
      </c>
      <c r="AC172" s="71">
        <f t="shared" si="59"/>
        <v>0.5</v>
      </c>
      <c r="AD172" s="84">
        <v>1</v>
      </c>
      <c r="AE172" s="84">
        <v>0</v>
      </c>
      <c r="AF172" s="84">
        <v>1</v>
      </c>
      <c r="AG172" s="84">
        <v>0</v>
      </c>
      <c r="AH172" s="84">
        <v>0</v>
      </c>
      <c r="AI172" s="84">
        <v>0</v>
      </c>
      <c r="AJ172" s="20">
        <v>0</v>
      </c>
      <c r="AK172" s="71">
        <f t="shared" si="60"/>
        <v>0</v>
      </c>
      <c r="AL172" s="17">
        <v>1</v>
      </c>
      <c r="AM172" s="71">
        <f t="shared" si="61"/>
        <v>0.33333333333333331</v>
      </c>
      <c r="AN172" s="17">
        <v>0</v>
      </c>
      <c r="AO172" s="71">
        <f t="shared" si="62"/>
        <v>0</v>
      </c>
      <c r="AP172" s="17">
        <v>0</v>
      </c>
      <c r="AQ172" s="71">
        <f t="shared" si="63"/>
        <v>0</v>
      </c>
      <c r="AR172" s="84">
        <v>3</v>
      </c>
      <c r="AS172" s="17">
        <v>0</v>
      </c>
      <c r="AT172" s="71">
        <f t="shared" si="64"/>
        <v>0</v>
      </c>
      <c r="AU172" s="17">
        <v>2</v>
      </c>
      <c r="AV172" s="71">
        <f t="shared" si="65"/>
        <v>0.66666666666666663</v>
      </c>
      <c r="AW172" s="17">
        <v>1</v>
      </c>
      <c r="AX172" s="71">
        <f t="shared" si="66"/>
        <v>0.5</v>
      </c>
      <c r="AY172" s="17">
        <v>1</v>
      </c>
      <c r="AZ172" s="71">
        <f t="shared" si="67"/>
        <v>0.33333333333333331</v>
      </c>
      <c r="BA172" s="93">
        <v>1</v>
      </c>
      <c r="BB172" s="93">
        <v>1</v>
      </c>
      <c r="BC172" s="93">
        <v>0</v>
      </c>
      <c r="BD172" s="93">
        <v>0</v>
      </c>
      <c r="BE172" s="102">
        <f t="shared" si="68"/>
        <v>3.4044497026359162</v>
      </c>
      <c r="BF172" s="81">
        <f t="shared" si="69"/>
        <v>0.23874190389278616</v>
      </c>
      <c r="BG172" s="81" t="str">
        <f t="shared" si="70"/>
        <v>BASSO</v>
      </c>
      <c r="BK172" s="81" t="str">
        <f t="shared" si="71"/>
        <v>MOLTO BASSO</v>
      </c>
    </row>
    <row r="173" spans="1:63" x14ac:dyDescent="0.15">
      <c r="A173" s="85">
        <v>3</v>
      </c>
      <c r="B173" s="85">
        <v>2</v>
      </c>
      <c r="C173" s="85">
        <v>1</v>
      </c>
      <c r="D173" s="85">
        <v>0</v>
      </c>
      <c r="E173" s="85">
        <v>1</v>
      </c>
      <c r="F173" s="18">
        <v>1</v>
      </c>
      <c r="G173" s="64">
        <f t="shared" si="48"/>
        <v>0.5</v>
      </c>
      <c r="H173" s="18">
        <v>0</v>
      </c>
      <c r="I173" s="64">
        <f t="shared" si="49"/>
        <v>0</v>
      </c>
      <c r="J173" s="18">
        <v>0</v>
      </c>
      <c r="K173" s="64">
        <f t="shared" si="50"/>
        <v>0</v>
      </c>
      <c r="L173" s="18">
        <v>0</v>
      </c>
      <c r="M173" s="64">
        <f t="shared" si="51"/>
        <v>0</v>
      </c>
      <c r="N173" s="18">
        <v>2</v>
      </c>
      <c r="O173" s="64">
        <f t="shared" si="52"/>
        <v>0.4</v>
      </c>
      <c r="P173" s="18">
        <v>0</v>
      </c>
      <c r="Q173" s="64">
        <f t="shared" si="53"/>
        <v>0</v>
      </c>
      <c r="R173" s="24">
        <v>0</v>
      </c>
      <c r="S173" s="71">
        <f t="shared" si="54"/>
        <v>0</v>
      </c>
      <c r="T173" s="18">
        <v>0</v>
      </c>
      <c r="U173" s="64">
        <f t="shared" si="55"/>
        <v>0</v>
      </c>
      <c r="V173" s="18">
        <v>3</v>
      </c>
      <c r="W173" s="71">
        <f t="shared" si="56"/>
        <v>0.75</v>
      </c>
      <c r="X173" s="18">
        <v>0</v>
      </c>
      <c r="Y173" s="71">
        <f t="shared" si="57"/>
        <v>0</v>
      </c>
      <c r="Z173" s="18">
        <v>1</v>
      </c>
      <c r="AA173" s="71">
        <f t="shared" si="58"/>
        <v>0.33333333333333331</v>
      </c>
      <c r="AB173" s="18">
        <v>3</v>
      </c>
      <c r="AC173" s="71">
        <f t="shared" si="59"/>
        <v>1.5</v>
      </c>
      <c r="AD173" s="85">
        <v>0</v>
      </c>
      <c r="AE173" s="85">
        <v>0</v>
      </c>
      <c r="AF173" s="85">
        <v>1</v>
      </c>
      <c r="AG173" s="85">
        <v>1</v>
      </c>
      <c r="AH173" s="85">
        <v>0</v>
      </c>
      <c r="AI173" s="85">
        <v>0</v>
      </c>
      <c r="AJ173" s="19">
        <v>1</v>
      </c>
      <c r="AK173" s="71">
        <f t="shared" si="60"/>
        <v>0.5</v>
      </c>
      <c r="AL173" s="18">
        <v>0</v>
      </c>
      <c r="AM173" s="71">
        <f t="shared" si="61"/>
        <v>0</v>
      </c>
      <c r="AN173" s="18">
        <v>0</v>
      </c>
      <c r="AO173" s="71">
        <f t="shared" si="62"/>
        <v>0</v>
      </c>
      <c r="AP173" s="18">
        <v>0</v>
      </c>
      <c r="AQ173" s="71">
        <f t="shared" si="63"/>
        <v>0</v>
      </c>
      <c r="AR173" s="85">
        <v>2</v>
      </c>
      <c r="AS173" s="18">
        <v>1</v>
      </c>
      <c r="AT173" s="71">
        <f t="shared" si="64"/>
        <v>0.33333333333333331</v>
      </c>
      <c r="AU173" s="18">
        <v>0</v>
      </c>
      <c r="AV173" s="71">
        <f t="shared" si="65"/>
        <v>0</v>
      </c>
      <c r="AW173" s="18">
        <v>0</v>
      </c>
      <c r="AX173" s="71">
        <f t="shared" si="66"/>
        <v>0</v>
      </c>
      <c r="AY173" s="18">
        <v>2</v>
      </c>
      <c r="AZ173" s="71">
        <f t="shared" si="67"/>
        <v>0.66666666666666663</v>
      </c>
      <c r="BA173" s="94">
        <v>0</v>
      </c>
      <c r="BB173" s="94">
        <v>0</v>
      </c>
      <c r="BC173" s="94">
        <v>0</v>
      </c>
      <c r="BD173" s="94">
        <v>1</v>
      </c>
      <c r="BE173" s="102">
        <f t="shared" si="68"/>
        <v>3.764638096816213</v>
      </c>
      <c r="BF173" s="81">
        <f t="shared" si="69"/>
        <v>0.15820133048343044</v>
      </c>
      <c r="BG173" s="81" t="str">
        <f t="shared" si="70"/>
        <v>BASSO</v>
      </c>
      <c r="BK173" s="81" t="str">
        <f t="shared" si="71"/>
        <v>MOLTO BASSO</v>
      </c>
    </row>
    <row r="174" spans="1:63" x14ac:dyDescent="0.15">
      <c r="A174" s="84">
        <v>3</v>
      </c>
      <c r="B174" s="84">
        <v>2</v>
      </c>
      <c r="C174" s="84">
        <v>0</v>
      </c>
      <c r="D174" s="84">
        <v>2</v>
      </c>
      <c r="E174" s="85">
        <v>1</v>
      </c>
      <c r="F174" s="17">
        <v>0</v>
      </c>
      <c r="G174" s="64">
        <f t="shared" si="48"/>
        <v>0</v>
      </c>
      <c r="H174" s="17">
        <v>0</v>
      </c>
      <c r="I174" s="64">
        <f t="shared" si="49"/>
        <v>0</v>
      </c>
      <c r="J174" s="17">
        <v>0</v>
      </c>
      <c r="K174" s="64">
        <f t="shared" si="50"/>
        <v>0</v>
      </c>
      <c r="L174" s="17">
        <v>0</v>
      </c>
      <c r="M174" s="64">
        <f t="shared" si="51"/>
        <v>0</v>
      </c>
      <c r="N174" s="17">
        <v>5</v>
      </c>
      <c r="O174" s="64">
        <f t="shared" si="52"/>
        <v>1</v>
      </c>
      <c r="P174" s="17">
        <v>0</v>
      </c>
      <c r="Q174" s="64">
        <f t="shared" si="53"/>
        <v>0</v>
      </c>
      <c r="R174" s="25">
        <v>1</v>
      </c>
      <c r="S174" s="71">
        <f t="shared" si="54"/>
        <v>0.33333333333333331</v>
      </c>
      <c r="T174" s="17">
        <v>1</v>
      </c>
      <c r="U174" s="64">
        <f t="shared" si="55"/>
        <v>0.33333333333333331</v>
      </c>
      <c r="V174" s="17">
        <v>3</v>
      </c>
      <c r="W174" s="71">
        <f t="shared" si="56"/>
        <v>0.75</v>
      </c>
      <c r="X174" s="17">
        <v>1</v>
      </c>
      <c r="Y174" s="71">
        <f t="shared" si="57"/>
        <v>0.33333333333333331</v>
      </c>
      <c r="Z174" s="17">
        <v>0</v>
      </c>
      <c r="AA174" s="71">
        <f t="shared" si="58"/>
        <v>0</v>
      </c>
      <c r="AB174" s="17">
        <v>0</v>
      </c>
      <c r="AC174" s="71">
        <f t="shared" si="59"/>
        <v>0</v>
      </c>
      <c r="AD174" s="84">
        <v>1</v>
      </c>
      <c r="AE174" s="84">
        <v>0</v>
      </c>
      <c r="AF174" s="84">
        <v>1</v>
      </c>
      <c r="AG174" s="84">
        <v>0</v>
      </c>
      <c r="AH174" s="84">
        <v>0</v>
      </c>
      <c r="AI174" s="84">
        <v>0</v>
      </c>
      <c r="AJ174" s="20">
        <v>0</v>
      </c>
      <c r="AK174" s="71">
        <f t="shared" si="60"/>
        <v>0</v>
      </c>
      <c r="AL174" s="17">
        <v>2</v>
      </c>
      <c r="AM174" s="71">
        <f t="shared" si="61"/>
        <v>0.66666666666666663</v>
      </c>
      <c r="AN174" s="17">
        <v>0</v>
      </c>
      <c r="AO174" s="71">
        <f t="shared" si="62"/>
        <v>0</v>
      </c>
      <c r="AP174" s="17">
        <v>0</v>
      </c>
      <c r="AQ174" s="71">
        <f t="shared" si="63"/>
        <v>0</v>
      </c>
      <c r="AR174" s="84">
        <v>0</v>
      </c>
      <c r="AS174" s="17">
        <v>0</v>
      </c>
      <c r="AT174" s="71">
        <f t="shared" si="64"/>
        <v>0</v>
      </c>
      <c r="AU174" s="17">
        <v>1</v>
      </c>
      <c r="AV174" s="71">
        <f t="shared" si="65"/>
        <v>0.33333333333333331</v>
      </c>
      <c r="AW174" s="17">
        <v>1</v>
      </c>
      <c r="AX174" s="71">
        <f t="shared" si="66"/>
        <v>0.5</v>
      </c>
      <c r="AY174" s="17">
        <v>1</v>
      </c>
      <c r="AZ174" s="71">
        <f t="shared" si="67"/>
        <v>0.33333333333333331</v>
      </c>
      <c r="BA174" s="93">
        <v>1</v>
      </c>
      <c r="BB174" s="93">
        <v>0</v>
      </c>
      <c r="BC174" s="93">
        <v>1</v>
      </c>
      <c r="BD174" s="93">
        <v>0</v>
      </c>
      <c r="BE174" s="102">
        <f t="shared" si="68"/>
        <v>3.6940267098835835</v>
      </c>
      <c r="BF174" s="81">
        <f t="shared" si="69"/>
        <v>0.17399051660011899</v>
      </c>
      <c r="BG174" s="81" t="str">
        <f t="shared" si="70"/>
        <v>BASSO</v>
      </c>
      <c r="BK174" s="81" t="str">
        <f t="shared" si="71"/>
        <v>MOLTO BASSO</v>
      </c>
    </row>
    <row r="175" spans="1:63" x14ac:dyDescent="0.15">
      <c r="A175" s="85">
        <v>4</v>
      </c>
      <c r="B175" s="85">
        <v>2</v>
      </c>
      <c r="C175" s="85">
        <v>0</v>
      </c>
      <c r="D175" s="85">
        <v>2</v>
      </c>
      <c r="E175" s="85">
        <v>1</v>
      </c>
      <c r="F175" s="18">
        <v>1</v>
      </c>
      <c r="G175" s="64">
        <f t="shared" si="48"/>
        <v>0.5</v>
      </c>
      <c r="H175" s="18">
        <v>1</v>
      </c>
      <c r="I175" s="64">
        <f t="shared" si="49"/>
        <v>0.5</v>
      </c>
      <c r="J175" s="18">
        <v>1</v>
      </c>
      <c r="K175" s="64">
        <f t="shared" si="50"/>
        <v>0.5</v>
      </c>
      <c r="L175" s="18">
        <v>1</v>
      </c>
      <c r="M175" s="64">
        <f t="shared" si="51"/>
        <v>0.33333333333333331</v>
      </c>
      <c r="N175" s="18">
        <v>4</v>
      </c>
      <c r="O175" s="64">
        <f t="shared" si="52"/>
        <v>0.8</v>
      </c>
      <c r="P175" s="18">
        <v>0</v>
      </c>
      <c r="Q175" s="64">
        <f t="shared" si="53"/>
        <v>0</v>
      </c>
      <c r="R175" s="24">
        <v>0</v>
      </c>
      <c r="S175" s="71">
        <f t="shared" si="54"/>
        <v>0</v>
      </c>
      <c r="T175" s="18">
        <v>2</v>
      </c>
      <c r="U175" s="64">
        <f t="shared" si="55"/>
        <v>0.66666666666666663</v>
      </c>
      <c r="V175" s="18">
        <v>3</v>
      </c>
      <c r="W175" s="71">
        <f t="shared" si="56"/>
        <v>0.75</v>
      </c>
      <c r="X175" s="18">
        <v>2</v>
      </c>
      <c r="Y175" s="71">
        <f t="shared" si="57"/>
        <v>0.66666666666666663</v>
      </c>
      <c r="Z175" s="18">
        <v>0</v>
      </c>
      <c r="AA175" s="71">
        <f t="shared" si="58"/>
        <v>0</v>
      </c>
      <c r="AB175" s="18">
        <v>2</v>
      </c>
      <c r="AC175" s="71">
        <f t="shared" si="59"/>
        <v>1</v>
      </c>
      <c r="AD175" s="85">
        <v>1</v>
      </c>
      <c r="AE175" s="85">
        <v>0</v>
      </c>
      <c r="AF175" s="85">
        <v>1</v>
      </c>
      <c r="AG175" s="85">
        <v>0</v>
      </c>
      <c r="AH175" s="85">
        <v>0</v>
      </c>
      <c r="AI175" s="85">
        <v>0</v>
      </c>
      <c r="AJ175" s="19">
        <v>1</v>
      </c>
      <c r="AK175" s="71">
        <f t="shared" si="60"/>
        <v>0.5</v>
      </c>
      <c r="AL175" s="18">
        <v>2</v>
      </c>
      <c r="AM175" s="71">
        <f t="shared" si="61"/>
        <v>0.66666666666666663</v>
      </c>
      <c r="AN175" s="18">
        <v>2</v>
      </c>
      <c r="AO175" s="71">
        <f t="shared" si="62"/>
        <v>0.66666666666666663</v>
      </c>
      <c r="AP175" s="18">
        <v>1</v>
      </c>
      <c r="AQ175" s="71">
        <f t="shared" si="63"/>
        <v>0.33333333333333331</v>
      </c>
      <c r="AR175" s="85">
        <v>2</v>
      </c>
      <c r="AS175" s="18">
        <v>3</v>
      </c>
      <c r="AT175" s="71">
        <f t="shared" si="64"/>
        <v>1</v>
      </c>
      <c r="AU175" s="18">
        <v>2</v>
      </c>
      <c r="AV175" s="71">
        <f t="shared" si="65"/>
        <v>0.66666666666666663</v>
      </c>
      <c r="AW175" s="18">
        <v>1</v>
      </c>
      <c r="AX175" s="71">
        <f t="shared" si="66"/>
        <v>0.5</v>
      </c>
      <c r="AY175" s="18">
        <v>1</v>
      </c>
      <c r="AZ175" s="71">
        <f t="shared" si="67"/>
        <v>0.33333333333333331</v>
      </c>
      <c r="BA175" s="94">
        <v>1</v>
      </c>
      <c r="BB175" s="94">
        <v>0</v>
      </c>
      <c r="BC175" s="94">
        <v>1</v>
      </c>
      <c r="BD175" s="94">
        <v>0</v>
      </c>
      <c r="BE175" s="102">
        <f t="shared" si="68"/>
        <v>2.4982771841588933</v>
      </c>
      <c r="BF175" s="81">
        <f t="shared" si="69"/>
        <v>0.4413682389584479</v>
      </c>
      <c r="BG175" s="81" t="str">
        <f t="shared" si="70"/>
        <v>MEDIO</v>
      </c>
      <c r="BK175" s="81" t="str">
        <f t="shared" si="71"/>
        <v>BASSO</v>
      </c>
    </row>
    <row r="176" spans="1:63" x14ac:dyDescent="0.15">
      <c r="A176" s="84">
        <v>3</v>
      </c>
      <c r="B176" s="84">
        <v>2</v>
      </c>
      <c r="C176" s="84">
        <v>3</v>
      </c>
      <c r="D176" s="84">
        <v>2</v>
      </c>
      <c r="E176" s="85">
        <v>1</v>
      </c>
      <c r="F176" s="17">
        <v>1</v>
      </c>
      <c r="G176" s="64">
        <f t="shared" si="48"/>
        <v>0.5</v>
      </c>
      <c r="H176" s="17">
        <v>2</v>
      </c>
      <c r="I176" s="64">
        <f t="shared" si="49"/>
        <v>1</v>
      </c>
      <c r="J176" s="17">
        <v>1</v>
      </c>
      <c r="K176" s="64">
        <f t="shared" si="50"/>
        <v>0.5</v>
      </c>
      <c r="L176" s="17">
        <v>0</v>
      </c>
      <c r="M176" s="64">
        <f t="shared" si="51"/>
        <v>0</v>
      </c>
      <c r="N176" s="17">
        <v>5</v>
      </c>
      <c r="O176" s="64">
        <f t="shared" si="52"/>
        <v>1</v>
      </c>
      <c r="P176" s="17">
        <v>0</v>
      </c>
      <c r="Q176" s="64">
        <f t="shared" si="53"/>
        <v>0</v>
      </c>
      <c r="R176" s="25">
        <v>3</v>
      </c>
      <c r="S176" s="71">
        <f t="shared" si="54"/>
        <v>1</v>
      </c>
      <c r="T176" s="17">
        <v>1</v>
      </c>
      <c r="U176" s="64">
        <f t="shared" si="55"/>
        <v>0.33333333333333331</v>
      </c>
      <c r="V176" s="17">
        <v>3</v>
      </c>
      <c r="W176" s="71">
        <f t="shared" si="56"/>
        <v>0.75</v>
      </c>
      <c r="X176" s="17">
        <v>2</v>
      </c>
      <c r="Y176" s="71">
        <f t="shared" si="57"/>
        <v>0.66666666666666663</v>
      </c>
      <c r="Z176" s="17">
        <v>3</v>
      </c>
      <c r="AA176" s="71">
        <f t="shared" si="58"/>
        <v>1</v>
      </c>
      <c r="AB176" s="17">
        <v>1</v>
      </c>
      <c r="AC176" s="71">
        <f t="shared" si="59"/>
        <v>0.5</v>
      </c>
      <c r="AD176" s="84">
        <v>0</v>
      </c>
      <c r="AE176" s="84">
        <v>0</v>
      </c>
      <c r="AF176" s="84">
        <v>1</v>
      </c>
      <c r="AG176" s="84">
        <v>1</v>
      </c>
      <c r="AH176" s="84">
        <v>0</v>
      </c>
      <c r="AI176" s="84">
        <v>0</v>
      </c>
      <c r="AJ176" s="20">
        <v>1</v>
      </c>
      <c r="AK176" s="71">
        <f t="shared" si="60"/>
        <v>0.5</v>
      </c>
      <c r="AL176" s="17">
        <v>2</v>
      </c>
      <c r="AM176" s="71">
        <f t="shared" si="61"/>
        <v>0.66666666666666663</v>
      </c>
      <c r="AN176" s="17">
        <v>0</v>
      </c>
      <c r="AO176" s="71">
        <f t="shared" si="62"/>
        <v>0</v>
      </c>
      <c r="AP176" s="17">
        <v>1</v>
      </c>
      <c r="AQ176" s="71">
        <f t="shared" si="63"/>
        <v>0.33333333333333331</v>
      </c>
      <c r="AR176" s="84">
        <v>2</v>
      </c>
      <c r="AS176" s="17">
        <v>2</v>
      </c>
      <c r="AT176" s="71">
        <f t="shared" si="64"/>
        <v>0.66666666666666663</v>
      </c>
      <c r="AU176" s="17">
        <v>2</v>
      </c>
      <c r="AV176" s="71">
        <f t="shared" si="65"/>
        <v>0.66666666666666663</v>
      </c>
      <c r="AW176" s="17">
        <v>0</v>
      </c>
      <c r="AX176" s="71">
        <f t="shared" si="66"/>
        <v>0</v>
      </c>
      <c r="AY176" s="17">
        <v>2</v>
      </c>
      <c r="AZ176" s="71">
        <f t="shared" si="67"/>
        <v>0.66666666666666663</v>
      </c>
      <c r="BA176" s="93">
        <v>0</v>
      </c>
      <c r="BB176" s="93">
        <v>0</v>
      </c>
      <c r="BC176" s="93">
        <v>1</v>
      </c>
      <c r="BD176" s="93">
        <v>0</v>
      </c>
      <c r="BE176" s="102">
        <f t="shared" si="68"/>
        <v>2.5508713108356611</v>
      </c>
      <c r="BF176" s="81">
        <f t="shared" si="69"/>
        <v>0.4296078347118002</v>
      </c>
      <c r="BG176" s="81" t="str">
        <f t="shared" si="70"/>
        <v>MEDIO</v>
      </c>
      <c r="BK176" s="81" t="str">
        <f t="shared" si="71"/>
        <v>BASSO</v>
      </c>
    </row>
    <row r="177" spans="1:63" x14ac:dyDescent="0.15">
      <c r="A177" s="85">
        <v>2</v>
      </c>
      <c r="B177" s="85">
        <v>1</v>
      </c>
      <c r="C177" s="85">
        <v>3</v>
      </c>
      <c r="D177" s="85">
        <v>2</v>
      </c>
      <c r="E177" s="85">
        <v>1</v>
      </c>
      <c r="F177" s="18">
        <v>2</v>
      </c>
      <c r="G177" s="64">
        <f t="shared" si="48"/>
        <v>1</v>
      </c>
      <c r="H177" s="18">
        <v>1</v>
      </c>
      <c r="I177" s="64">
        <f t="shared" si="49"/>
        <v>0.5</v>
      </c>
      <c r="J177" s="18">
        <v>1</v>
      </c>
      <c r="K177" s="64">
        <f t="shared" si="50"/>
        <v>0.5</v>
      </c>
      <c r="L177" s="18">
        <v>2</v>
      </c>
      <c r="M177" s="64">
        <f t="shared" si="51"/>
        <v>0.66666666666666663</v>
      </c>
      <c r="N177" s="18">
        <v>4</v>
      </c>
      <c r="O177" s="64">
        <f t="shared" si="52"/>
        <v>0.8</v>
      </c>
      <c r="P177" s="18">
        <v>0</v>
      </c>
      <c r="Q177" s="64">
        <f t="shared" si="53"/>
        <v>0</v>
      </c>
      <c r="R177" s="24">
        <v>2</v>
      </c>
      <c r="S177" s="71">
        <f t="shared" si="54"/>
        <v>0.66666666666666663</v>
      </c>
      <c r="T177" s="18">
        <v>0</v>
      </c>
      <c r="U177" s="64">
        <f t="shared" si="55"/>
        <v>0</v>
      </c>
      <c r="V177" s="18">
        <v>3</v>
      </c>
      <c r="W177" s="71">
        <f t="shared" si="56"/>
        <v>0.75</v>
      </c>
      <c r="X177" s="18">
        <v>2</v>
      </c>
      <c r="Y177" s="71">
        <f t="shared" si="57"/>
        <v>0.66666666666666663</v>
      </c>
      <c r="Z177" s="18">
        <v>1</v>
      </c>
      <c r="AA177" s="71">
        <f t="shared" si="58"/>
        <v>0.33333333333333331</v>
      </c>
      <c r="AB177" s="18">
        <v>3</v>
      </c>
      <c r="AC177" s="71">
        <f t="shared" si="59"/>
        <v>1.5</v>
      </c>
      <c r="AD177" s="85">
        <v>1</v>
      </c>
      <c r="AE177" s="85">
        <v>0</v>
      </c>
      <c r="AF177" s="85">
        <v>0</v>
      </c>
      <c r="AG177" s="85">
        <v>1</v>
      </c>
      <c r="AH177" s="85">
        <v>0</v>
      </c>
      <c r="AI177" s="85">
        <v>0</v>
      </c>
      <c r="AJ177" s="19">
        <v>1</v>
      </c>
      <c r="AK177" s="71">
        <f t="shared" si="60"/>
        <v>0.5</v>
      </c>
      <c r="AL177" s="18">
        <v>0</v>
      </c>
      <c r="AM177" s="71">
        <f t="shared" si="61"/>
        <v>0</v>
      </c>
      <c r="AN177" s="18">
        <v>0</v>
      </c>
      <c r="AO177" s="71">
        <f t="shared" si="62"/>
        <v>0</v>
      </c>
      <c r="AP177" s="18">
        <v>2</v>
      </c>
      <c r="AQ177" s="71">
        <f t="shared" si="63"/>
        <v>0.66666666666666663</v>
      </c>
      <c r="AR177" s="85">
        <v>2</v>
      </c>
      <c r="AS177" s="18">
        <v>2</v>
      </c>
      <c r="AT177" s="71">
        <f t="shared" si="64"/>
        <v>0.66666666666666663</v>
      </c>
      <c r="AU177" s="18">
        <v>2</v>
      </c>
      <c r="AV177" s="71">
        <f t="shared" si="65"/>
        <v>0.66666666666666663</v>
      </c>
      <c r="AW177" s="18">
        <v>0</v>
      </c>
      <c r="AX177" s="71">
        <f t="shared" si="66"/>
        <v>0</v>
      </c>
      <c r="AY177" s="18">
        <v>2</v>
      </c>
      <c r="AZ177" s="71">
        <f t="shared" si="67"/>
        <v>0.66666666666666663</v>
      </c>
      <c r="BA177" s="94">
        <v>0</v>
      </c>
      <c r="BB177" s="94">
        <v>1</v>
      </c>
      <c r="BC177" s="94">
        <v>0</v>
      </c>
      <c r="BD177" s="94">
        <v>0</v>
      </c>
      <c r="BE177" s="102">
        <f t="shared" si="68"/>
        <v>2.7064224027712713</v>
      </c>
      <c r="BF177" s="81">
        <f t="shared" si="69"/>
        <v>0.39482555315756906</v>
      </c>
      <c r="BG177" s="81" t="str">
        <f t="shared" si="70"/>
        <v>MEDIO</v>
      </c>
      <c r="BK177" s="81" t="str">
        <f t="shared" si="71"/>
        <v>BASSO</v>
      </c>
    </row>
    <row r="178" spans="1:63" x14ac:dyDescent="0.15">
      <c r="A178" s="84">
        <v>3</v>
      </c>
      <c r="B178" s="84">
        <v>2</v>
      </c>
      <c r="C178" s="84">
        <v>2</v>
      </c>
      <c r="D178" s="84">
        <v>2</v>
      </c>
      <c r="E178" s="85">
        <v>1</v>
      </c>
      <c r="F178" s="17">
        <v>2</v>
      </c>
      <c r="G178" s="64">
        <f t="shared" si="48"/>
        <v>1</v>
      </c>
      <c r="H178" s="17">
        <v>2</v>
      </c>
      <c r="I178" s="64">
        <f t="shared" si="49"/>
        <v>1</v>
      </c>
      <c r="J178" s="17">
        <v>0</v>
      </c>
      <c r="K178" s="64">
        <f t="shared" si="50"/>
        <v>0</v>
      </c>
      <c r="L178" s="17">
        <v>1</v>
      </c>
      <c r="M178" s="64">
        <f t="shared" si="51"/>
        <v>0.33333333333333331</v>
      </c>
      <c r="N178" s="17">
        <v>1</v>
      </c>
      <c r="O178" s="64">
        <f t="shared" si="52"/>
        <v>0.2</v>
      </c>
      <c r="P178" s="17">
        <v>0</v>
      </c>
      <c r="Q178" s="64">
        <f t="shared" si="53"/>
        <v>0</v>
      </c>
      <c r="R178" s="25">
        <v>2</v>
      </c>
      <c r="S178" s="71">
        <f t="shared" si="54"/>
        <v>0.66666666666666663</v>
      </c>
      <c r="T178" s="17">
        <v>1</v>
      </c>
      <c r="U178" s="64">
        <f t="shared" si="55"/>
        <v>0.33333333333333331</v>
      </c>
      <c r="V178" s="17">
        <v>4</v>
      </c>
      <c r="W178" s="71">
        <f t="shared" si="56"/>
        <v>1</v>
      </c>
      <c r="X178" s="17">
        <v>2</v>
      </c>
      <c r="Y178" s="71">
        <f t="shared" si="57"/>
        <v>0.66666666666666663</v>
      </c>
      <c r="Z178" s="17">
        <v>1</v>
      </c>
      <c r="AA178" s="71">
        <f t="shared" si="58"/>
        <v>0.33333333333333331</v>
      </c>
      <c r="AB178" s="17">
        <v>1</v>
      </c>
      <c r="AC178" s="71">
        <f t="shared" si="59"/>
        <v>0.5</v>
      </c>
      <c r="AD178" s="84">
        <v>1</v>
      </c>
      <c r="AE178" s="84">
        <v>0</v>
      </c>
      <c r="AF178" s="84">
        <v>1</v>
      </c>
      <c r="AG178" s="84">
        <v>0</v>
      </c>
      <c r="AH178" s="84">
        <v>0</v>
      </c>
      <c r="AI178" s="84">
        <v>0</v>
      </c>
      <c r="AJ178" s="20">
        <v>1</v>
      </c>
      <c r="AK178" s="71">
        <f t="shared" si="60"/>
        <v>0.5</v>
      </c>
      <c r="AL178" s="17">
        <v>2</v>
      </c>
      <c r="AM178" s="71">
        <f t="shared" si="61"/>
        <v>0.66666666666666663</v>
      </c>
      <c r="AN178" s="17">
        <v>1</v>
      </c>
      <c r="AO178" s="71">
        <f t="shared" si="62"/>
        <v>0.33333333333333331</v>
      </c>
      <c r="AP178" s="17">
        <v>1</v>
      </c>
      <c r="AQ178" s="71">
        <f t="shared" si="63"/>
        <v>0.33333333333333331</v>
      </c>
      <c r="AR178" s="84">
        <v>2</v>
      </c>
      <c r="AS178" s="17">
        <v>0</v>
      </c>
      <c r="AT178" s="71">
        <f t="shared" si="64"/>
        <v>0</v>
      </c>
      <c r="AU178" s="17">
        <v>0</v>
      </c>
      <c r="AV178" s="71">
        <f t="shared" si="65"/>
        <v>0</v>
      </c>
      <c r="AW178" s="17">
        <v>0</v>
      </c>
      <c r="AX178" s="71">
        <f t="shared" si="66"/>
        <v>0</v>
      </c>
      <c r="AY178" s="17">
        <v>2</v>
      </c>
      <c r="AZ178" s="71">
        <f t="shared" si="67"/>
        <v>0.66666666666666663</v>
      </c>
      <c r="BA178" s="93">
        <v>0</v>
      </c>
      <c r="BB178" s="93">
        <v>0</v>
      </c>
      <c r="BC178" s="93">
        <v>1</v>
      </c>
      <c r="BD178" s="93">
        <v>0</v>
      </c>
      <c r="BE178" s="102">
        <f t="shared" si="68"/>
        <v>2.9676028485406647</v>
      </c>
      <c r="BF178" s="81">
        <f t="shared" si="69"/>
        <v>0.33642383004416854</v>
      </c>
      <c r="BG178" s="81" t="str">
        <f t="shared" si="70"/>
        <v>MEDIO</v>
      </c>
      <c r="BK178" s="81" t="str">
        <f t="shared" si="71"/>
        <v>BASSO</v>
      </c>
    </row>
    <row r="179" spans="1:63" x14ac:dyDescent="0.15">
      <c r="A179" s="85">
        <v>3</v>
      </c>
      <c r="B179" s="85">
        <v>2</v>
      </c>
      <c r="C179" s="85">
        <v>1</v>
      </c>
      <c r="D179" s="85">
        <v>2</v>
      </c>
      <c r="E179" s="85">
        <v>1</v>
      </c>
      <c r="F179" s="18">
        <v>2</v>
      </c>
      <c r="G179" s="64">
        <f t="shared" si="48"/>
        <v>1</v>
      </c>
      <c r="H179" s="18">
        <v>1</v>
      </c>
      <c r="I179" s="64">
        <f t="shared" si="49"/>
        <v>0.5</v>
      </c>
      <c r="J179" s="18">
        <v>0</v>
      </c>
      <c r="K179" s="64">
        <f t="shared" si="50"/>
        <v>0</v>
      </c>
      <c r="L179" s="18">
        <v>3</v>
      </c>
      <c r="M179" s="64">
        <f t="shared" si="51"/>
        <v>1</v>
      </c>
      <c r="N179" s="18">
        <v>0</v>
      </c>
      <c r="O179" s="64">
        <f t="shared" si="52"/>
        <v>0</v>
      </c>
      <c r="P179" s="18">
        <v>0</v>
      </c>
      <c r="Q179" s="64">
        <f t="shared" si="53"/>
        <v>0</v>
      </c>
      <c r="R179" s="24">
        <v>2</v>
      </c>
      <c r="S179" s="71">
        <f t="shared" si="54"/>
        <v>0.66666666666666663</v>
      </c>
      <c r="T179" s="18">
        <v>2</v>
      </c>
      <c r="U179" s="64">
        <f t="shared" si="55"/>
        <v>0.66666666666666663</v>
      </c>
      <c r="V179" s="18">
        <v>3</v>
      </c>
      <c r="W179" s="71">
        <f t="shared" si="56"/>
        <v>0.75</v>
      </c>
      <c r="X179" s="18">
        <v>1</v>
      </c>
      <c r="Y179" s="71">
        <f t="shared" si="57"/>
        <v>0.33333333333333331</v>
      </c>
      <c r="Z179" s="18">
        <v>0</v>
      </c>
      <c r="AA179" s="71">
        <f t="shared" si="58"/>
        <v>0</v>
      </c>
      <c r="AB179" s="18">
        <v>2</v>
      </c>
      <c r="AC179" s="71">
        <f t="shared" si="59"/>
        <v>1</v>
      </c>
      <c r="AD179" s="85">
        <v>0</v>
      </c>
      <c r="AE179" s="85">
        <v>0</v>
      </c>
      <c r="AF179" s="85">
        <v>1</v>
      </c>
      <c r="AG179" s="85">
        <v>1</v>
      </c>
      <c r="AH179" s="85">
        <v>0</v>
      </c>
      <c r="AI179" s="85">
        <v>0</v>
      </c>
      <c r="AJ179" s="19">
        <v>1</v>
      </c>
      <c r="AK179" s="71">
        <f t="shared" si="60"/>
        <v>0.5</v>
      </c>
      <c r="AL179" s="18">
        <v>2</v>
      </c>
      <c r="AM179" s="71">
        <f t="shared" si="61"/>
        <v>0.66666666666666663</v>
      </c>
      <c r="AN179" s="18">
        <v>1</v>
      </c>
      <c r="AO179" s="71">
        <f t="shared" si="62"/>
        <v>0.33333333333333331</v>
      </c>
      <c r="AP179" s="18">
        <v>1</v>
      </c>
      <c r="AQ179" s="71">
        <f t="shared" si="63"/>
        <v>0.33333333333333331</v>
      </c>
      <c r="AR179" s="85">
        <v>1</v>
      </c>
      <c r="AS179" s="18">
        <v>0</v>
      </c>
      <c r="AT179" s="71">
        <f t="shared" si="64"/>
        <v>0</v>
      </c>
      <c r="AU179" s="18">
        <v>1</v>
      </c>
      <c r="AV179" s="71">
        <f t="shared" si="65"/>
        <v>0.33333333333333331</v>
      </c>
      <c r="AW179" s="18">
        <v>2</v>
      </c>
      <c r="AX179" s="71">
        <f t="shared" si="66"/>
        <v>1</v>
      </c>
      <c r="AY179" s="18">
        <v>0</v>
      </c>
      <c r="AZ179" s="71">
        <f t="shared" si="67"/>
        <v>0</v>
      </c>
      <c r="BA179" s="94">
        <v>0</v>
      </c>
      <c r="BB179" s="94">
        <v>0</v>
      </c>
      <c r="BC179" s="94">
        <v>1</v>
      </c>
      <c r="BD179" s="94">
        <v>0</v>
      </c>
      <c r="BE179" s="102">
        <f t="shared" si="68"/>
        <v>2.9450995078453821</v>
      </c>
      <c r="BF179" s="81">
        <f t="shared" si="69"/>
        <v>0.34145572999571694</v>
      </c>
      <c r="BG179" s="81" t="str">
        <f t="shared" si="70"/>
        <v>MEDIO</v>
      </c>
      <c r="BK179" s="81" t="str">
        <f t="shared" si="71"/>
        <v>BASSO</v>
      </c>
    </row>
    <row r="180" spans="1:63" x14ac:dyDescent="0.15">
      <c r="A180" s="84">
        <v>3</v>
      </c>
      <c r="B180" s="84">
        <v>2</v>
      </c>
      <c r="C180" s="84">
        <v>1</v>
      </c>
      <c r="D180" s="84">
        <v>2</v>
      </c>
      <c r="E180" s="85">
        <v>1</v>
      </c>
      <c r="F180" s="17">
        <v>1</v>
      </c>
      <c r="G180" s="64">
        <f t="shared" si="48"/>
        <v>0.5</v>
      </c>
      <c r="H180" s="17">
        <v>0</v>
      </c>
      <c r="I180" s="64">
        <f t="shared" si="49"/>
        <v>0</v>
      </c>
      <c r="J180" s="17">
        <v>1</v>
      </c>
      <c r="K180" s="64">
        <f t="shared" si="50"/>
        <v>0.5</v>
      </c>
      <c r="L180" s="17">
        <v>1</v>
      </c>
      <c r="M180" s="64">
        <f t="shared" si="51"/>
        <v>0.33333333333333331</v>
      </c>
      <c r="N180" s="17">
        <v>4</v>
      </c>
      <c r="O180" s="64">
        <f t="shared" si="52"/>
        <v>0.8</v>
      </c>
      <c r="P180" s="17">
        <v>3</v>
      </c>
      <c r="Q180" s="64">
        <f t="shared" si="53"/>
        <v>1</v>
      </c>
      <c r="R180" s="25">
        <v>0</v>
      </c>
      <c r="S180" s="71">
        <f t="shared" si="54"/>
        <v>0</v>
      </c>
      <c r="T180" s="17">
        <v>1</v>
      </c>
      <c r="U180" s="64">
        <f t="shared" si="55"/>
        <v>0.33333333333333331</v>
      </c>
      <c r="V180" s="17">
        <v>3</v>
      </c>
      <c r="W180" s="71">
        <f t="shared" si="56"/>
        <v>0.75</v>
      </c>
      <c r="X180" s="17">
        <v>0</v>
      </c>
      <c r="Y180" s="71">
        <f t="shared" si="57"/>
        <v>0</v>
      </c>
      <c r="Z180" s="17">
        <v>0</v>
      </c>
      <c r="AA180" s="71">
        <f t="shared" si="58"/>
        <v>0</v>
      </c>
      <c r="AB180" s="17">
        <v>3</v>
      </c>
      <c r="AC180" s="71">
        <f t="shared" si="59"/>
        <v>1.5</v>
      </c>
      <c r="AD180" s="84">
        <v>1</v>
      </c>
      <c r="AE180" s="84">
        <v>0</v>
      </c>
      <c r="AF180" s="84">
        <v>1</v>
      </c>
      <c r="AG180" s="84">
        <v>0</v>
      </c>
      <c r="AH180" s="84">
        <v>0</v>
      </c>
      <c r="AI180" s="84">
        <v>0</v>
      </c>
      <c r="AJ180" s="20">
        <v>1</v>
      </c>
      <c r="AK180" s="71">
        <f t="shared" si="60"/>
        <v>0.5</v>
      </c>
      <c r="AL180" s="17">
        <v>1</v>
      </c>
      <c r="AM180" s="71">
        <f t="shared" si="61"/>
        <v>0.33333333333333331</v>
      </c>
      <c r="AN180" s="17">
        <v>1</v>
      </c>
      <c r="AO180" s="71">
        <f t="shared" si="62"/>
        <v>0.33333333333333331</v>
      </c>
      <c r="AP180" s="17">
        <v>0</v>
      </c>
      <c r="AQ180" s="71">
        <f t="shared" si="63"/>
        <v>0</v>
      </c>
      <c r="AR180" s="84">
        <v>2</v>
      </c>
      <c r="AS180" s="17">
        <v>3</v>
      </c>
      <c r="AT180" s="71">
        <f t="shared" si="64"/>
        <v>1</v>
      </c>
      <c r="AU180" s="17">
        <v>2</v>
      </c>
      <c r="AV180" s="71">
        <f t="shared" si="65"/>
        <v>0.66666666666666663</v>
      </c>
      <c r="AW180" s="17">
        <v>1</v>
      </c>
      <c r="AX180" s="71">
        <f t="shared" si="66"/>
        <v>0.5</v>
      </c>
      <c r="AY180" s="17">
        <v>0</v>
      </c>
      <c r="AZ180" s="71">
        <f t="shared" si="67"/>
        <v>0</v>
      </c>
      <c r="BA180" s="93">
        <v>0</v>
      </c>
      <c r="BB180" s="93">
        <v>0</v>
      </c>
      <c r="BC180" s="93">
        <v>0</v>
      </c>
      <c r="BD180" s="93">
        <v>1</v>
      </c>
      <c r="BE180" s="102">
        <f t="shared" si="68"/>
        <v>3.0399652775794808</v>
      </c>
      <c r="BF180" s="81">
        <f t="shared" si="69"/>
        <v>0.3202430990093903</v>
      </c>
      <c r="BG180" s="81" t="str">
        <f t="shared" si="70"/>
        <v>BASSO</v>
      </c>
      <c r="BK180" s="81" t="str">
        <f t="shared" si="71"/>
        <v>BASSO</v>
      </c>
    </row>
    <row r="181" spans="1:63" x14ac:dyDescent="0.15">
      <c r="A181" s="85">
        <v>2</v>
      </c>
      <c r="B181" s="85">
        <v>2</v>
      </c>
      <c r="C181" s="85">
        <v>0</v>
      </c>
      <c r="D181" s="85">
        <v>2</v>
      </c>
      <c r="E181" s="85">
        <v>1</v>
      </c>
      <c r="F181" s="18">
        <v>2</v>
      </c>
      <c r="G181" s="64">
        <f t="shared" si="48"/>
        <v>1</v>
      </c>
      <c r="H181" s="18">
        <v>1</v>
      </c>
      <c r="I181" s="64">
        <f t="shared" si="49"/>
        <v>0.5</v>
      </c>
      <c r="J181" s="18">
        <v>1</v>
      </c>
      <c r="K181" s="64">
        <f t="shared" si="50"/>
        <v>0.5</v>
      </c>
      <c r="L181" s="18">
        <v>2</v>
      </c>
      <c r="M181" s="64">
        <f t="shared" si="51"/>
        <v>0.66666666666666663</v>
      </c>
      <c r="N181" s="18">
        <v>1</v>
      </c>
      <c r="O181" s="64">
        <f t="shared" si="52"/>
        <v>0.2</v>
      </c>
      <c r="P181" s="18">
        <v>0</v>
      </c>
      <c r="Q181" s="64">
        <f t="shared" si="53"/>
        <v>0</v>
      </c>
      <c r="R181" s="24">
        <v>2</v>
      </c>
      <c r="S181" s="71">
        <f t="shared" si="54"/>
        <v>0.66666666666666663</v>
      </c>
      <c r="T181" s="18">
        <v>2</v>
      </c>
      <c r="U181" s="64">
        <f t="shared" si="55"/>
        <v>0.66666666666666663</v>
      </c>
      <c r="V181" s="18">
        <v>3</v>
      </c>
      <c r="W181" s="71">
        <f t="shared" si="56"/>
        <v>0.75</v>
      </c>
      <c r="X181" s="18">
        <v>2</v>
      </c>
      <c r="Y181" s="71">
        <f t="shared" si="57"/>
        <v>0.66666666666666663</v>
      </c>
      <c r="Z181" s="18">
        <v>3</v>
      </c>
      <c r="AA181" s="71">
        <f t="shared" si="58"/>
        <v>1</v>
      </c>
      <c r="AB181" s="18">
        <v>2</v>
      </c>
      <c r="AC181" s="71">
        <f t="shared" si="59"/>
        <v>1</v>
      </c>
      <c r="AD181" s="85">
        <v>1</v>
      </c>
      <c r="AE181" s="85">
        <v>0</v>
      </c>
      <c r="AF181" s="85">
        <v>1</v>
      </c>
      <c r="AG181" s="85">
        <v>0</v>
      </c>
      <c r="AH181" s="85">
        <v>0</v>
      </c>
      <c r="AI181" s="85">
        <v>0</v>
      </c>
      <c r="AJ181" s="19">
        <v>0</v>
      </c>
      <c r="AK181" s="71">
        <f t="shared" si="60"/>
        <v>0</v>
      </c>
      <c r="AL181" s="18">
        <v>2</v>
      </c>
      <c r="AM181" s="71">
        <f t="shared" si="61"/>
        <v>0.66666666666666663</v>
      </c>
      <c r="AN181" s="18">
        <v>0</v>
      </c>
      <c r="AO181" s="71">
        <f t="shared" si="62"/>
        <v>0</v>
      </c>
      <c r="AP181" s="18">
        <v>0</v>
      </c>
      <c r="AQ181" s="71">
        <f t="shared" si="63"/>
        <v>0</v>
      </c>
      <c r="AR181" s="85">
        <v>3</v>
      </c>
      <c r="AS181" s="18">
        <v>0</v>
      </c>
      <c r="AT181" s="71">
        <f t="shared" si="64"/>
        <v>0</v>
      </c>
      <c r="AU181" s="18">
        <v>0</v>
      </c>
      <c r="AV181" s="71">
        <f t="shared" si="65"/>
        <v>0</v>
      </c>
      <c r="AW181" s="18">
        <v>0</v>
      </c>
      <c r="AX181" s="71">
        <f t="shared" si="66"/>
        <v>0</v>
      </c>
      <c r="AY181" s="18">
        <v>0</v>
      </c>
      <c r="AZ181" s="71">
        <f t="shared" si="67"/>
        <v>0</v>
      </c>
      <c r="BA181" s="94">
        <v>1</v>
      </c>
      <c r="BB181" s="94">
        <v>0</v>
      </c>
      <c r="BC181" s="94">
        <v>1</v>
      </c>
      <c r="BD181" s="94">
        <v>0</v>
      </c>
      <c r="BE181" s="102">
        <f t="shared" si="68"/>
        <v>3.123788654111471</v>
      </c>
      <c r="BF181" s="81">
        <f t="shared" si="69"/>
        <v>0.30149962220648296</v>
      </c>
      <c r="BG181" s="81" t="str">
        <f t="shared" si="70"/>
        <v>BASSO</v>
      </c>
      <c r="BK181" s="81" t="str">
        <f t="shared" si="71"/>
        <v>BASSO</v>
      </c>
    </row>
    <row r="182" spans="1:63" x14ac:dyDescent="0.15">
      <c r="A182" s="84">
        <v>4</v>
      </c>
      <c r="B182" s="84">
        <v>1</v>
      </c>
      <c r="C182" s="84">
        <v>1</v>
      </c>
      <c r="D182" s="84">
        <v>1</v>
      </c>
      <c r="E182" s="85">
        <v>1</v>
      </c>
      <c r="F182" s="17">
        <v>0</v>
      </c>
      <c r="G182" s="64">
        <f t="shared" si="48"/>
        <v>0</v>
      </c>
      <c r="H182" s="17">
        <v>1</v>
      </c>
      <c r="I182" s="64">
        <f t="shared" si="49"/>
        <v>0.5</v>
      </c>
      <c r="J182" s="17">
        <v>1</v>
      </c>
      <c r="K182" s="64">
        <f t="shared" si="50"/>
        <v>0.5</v>
      </c>
      <c r="L182" s="17">
        <v>3</v>
      </c>
      <c r="M182" s="64">
        <f t="shared" si="51"/>
        <v>1</v>
      </c>
      <c r="N182" s="17">
        <v>1</v>
      </c>
      <c r="O182" s="64">
        <f t="shared" si="52"/>
        <v>0.2</v>
      </c>
      <c r="P182" s="17">
        <v>3</v>
      </c>
      <c r="Q182" s="64">
        <f t="shared" si="53"/>
        <v>1</v>
      </c>
      <c r="R182" s="25">
        <v>0</v>
      </c>
      <c r="S182" s="71">
        <f t="shared" si="54"/>
        <v>0</v>
      </c>
      <c r="T182" s="17">
        <v>1</v>
      </c>
      <c r="U182" s="64">
        <f t="shared" si="55"/>
        <v>0.33333333333333331</v>
      </c>
      <c r="V182" s="17">
        <v>3</v>
      </c>
      <c r="W182" s="71">
        <f t="shared" si="56"/>
        <v>0.75</v>
      </c>
      <c r="X182" s="17">
        <v>1</v>
      </c>
      <c r="Y182" s="71">
        <f t="shared" si="57"/>
        <v>0.33333333333333331</v>
      </c>
      <c r="Z182" s="17">
        <v>1</v>
      </c>
      <c r="AA182" s="71">
        <f t="shared" si="58"/>
        <v>0.33333333333333331</v>
      </c>
      <c r="AB182" s="17">
        <v>0</v>
      </c>
      <c r="AC182" s="71">
        <f t="shared" si="59"/>
        <v>0</v>
      </c>
      <c r="AD182" s="84">
        <v>1</v>
      </c>
      <c r="AE182" s="84">
        <v>0</v>
      </c>
      <c r="AF182" s="84">
        <v>1</v>
      </c>
      <c r="AG182" s="84">
        <v>0</v>
      </c>
      <c r="AH182" s="84">
        <v>0</v>
      </c>
      <c r="AI182" s="84">
        <v>0</v>
      </c>
      <c r="AJ182" s="20">
        <v>1</v>
      </c>
      <c r="AK182" s="71">
        <f t="shared" si="60"/>
        <v>0.5</v>
      </c>
      <c r="AL182" s="17">
        <v>2</v>
      </c>
      <c r="AM182" s="71">
        <f t="shared" si="61"/>
        <v>0.66666666666666663</v>
      </c>
      <c r="AN182" s="17">
        <v>1</v>
      </c>
      <c r="AO182" s="71">
        <f t="shared" si="62"/>
        <v>0.33333333333333331</v>
      </c>
      <c r="AP182" s="17">
        <v>1</v>
      </c>
      <c r="AQ182" s="71">
        <f t="shared" si="63"/>
        <v>0.33333333333333331</v>
      </c>
      <c r="AR182" s="84">
        <v>0</v>
      </c>
      <c r="AS182" s="17">
        <v>0</v>
      </c>
      <c r="AT182" s="71">
        <f t="shared" si="64"/>
        <v>0</v>
      </c>
      <c r="AU182" s="17">
        <v>0</v>
      </c>
      <c r="AV182" s="71">
        <f t="shared" si="65"/>
        <v>0</v>
      </c>
      <c r="AW182" s="17">
        <v>1</v>
      </c>
      <c r="AX182" s="71">
        <f t="shared" si="66"/>
        <v>0.5</v>
      </c>
      <c r="AY182" s="17">
        <v>3</v>
      </c>
      <c r="AZ182" s="71">
        <f t="shared" si="67"/>
        <v>1</v>
      </c>
      <c r="BA182" s="93">
        <v>1</v>
      </c>
      <c r="BB182" s="93">
        <v>0</v>
      </c>
      <c r="BC182" s="93">
        <v>1</v>
      </c>
      <c r="BD182" s="93">
        <v>0</v>
      </c>
      <c r="BE182" s="102">
        <f t="shared" si="68"/>
        <v>3.0059662894539141</v>
      </c>
      <c r="BF182" s="81">
        <f t="shared" si="69"/>
        <v>0.32784550387088707</v>
      </c>
      <c r="BG182" s="81" t="str">
        <f t="shared" si="70"/>
        <v>BASSO</v>
      </c>
      <c r="BK182" s="81" t="str">
        <f t="shared" si="71"/>
        <v>BASSO</v>
      </c>
    </row>
    <row r="183" spans="1:63" x14ac:dyDescent="0.15">
      <c r="A183" s="85">
        <v>4</v>
      </c>
      <c r="B183" s="85">
        <v>1</v>
      </c>
      <c r="C183" s="85">
        <v>3</v>
      </c>
      <c r="D183" s="85">
        <v>2</v>
      </c>
      <c r="E183" s="85">
        <v>1</v>
      </c>
      <c r="F183" s="18">
        <v>2</v>
      </c>
      <c r="G183" s="64">
        <f t="shared" si="48"/>
        <v>1</v>
      </c>
      <c r="H183" s="18">
        <v>2</v>
      </c>
      <c r="I183" s="64">
        <f t="shared" si="49"/>
        <v>1</v>
      </c>
      <c r="J183" s="18">
        <v>0</v>
      </c>
      <c r="K183" s="64">
        <f t="shared" si="50"/>
        <v>0</v>
      </c>
      <c r="L183" s="18">
        <v>0</v>
      </c>
      <c r="M183" s="64">
        <f t="shared" si="51"/>
        <v>0</v>
      </c>
      <c r="N183" s="18">
        <v>5</v>
      </c>
      <c r="O183" s="64">
        <f t="shared" si="52"/>
        <v>1</v>
      </c>
      <c r="P183" s="18">
        <v>0</v>
      </c>
      <c r="Q183" s="64">
        <f t="shared" si="53"/>
        <v>0</v>
      </c>
      <c r="R183" s="24">
        <v>0</v>
      </c>
      <c r="S183" s="71">
        <f t="shared" si="54"/>
        <v>0</v>
      </c>
      <c r="T183" s="18">
        <v>0</v>
      </c>
      <c r="U183" s="64">
        <f t="shared" si="55"/>
        <v>0</v>
      </c>
      <c r="V183" s="18">
        <v>3</v>
      </c>
      <c r="W183" s="71">
        <f t="shared" si="56"/>
        <v>0.75</v>
      </c>
      <c r="X183" s="18">
        <v>0</v>
      </c>
      <c r="Y183" s="71">
        <f t="shared" si="57"/>
        <v>0</v>
      </c>
      <c r="Z183" s="18">
        <v>0</v>
      </c>
      <c r="AA183" s="71">
        <f t="shared" si="58"/>
        <v>0</v>
      </c>
      <c r="AB183" s="18">
        <v>2</v>
      </c>
      <c r="AC183" s="71">
        <f t="shared" si="59"/>
        <v>1</v>
      </c>
      <c r="AD183" s="85">
        <v>0</v>
      </c>
      <c r="AE183" s="85">
        <v>0</v>
      </c>
      <c r="AF183" s="85">
        <v>1</v>
      </c>
      <c r="AG183" s="85">
        <v>1</v>
      </c>
      <c r="AH183" s="85">
        <v>0</v>
      </c>
      <c r="AI183" s="85">
        <v>0</v>
      </c>
      <c r="AJ183" s="19">
        <v>1</v>
      </c>
      <c r="AK183" s="71">
        <f t="shared" si="60"/>
        <v>0.5</v>
      </c>
      <c r="AL183" s="18">
        <v>0</v>
      </c>
      <c r="AM183" s="71">
        <f t="shared" si="61"/>
        <v>0</v>
      </c>
      <c r="AN183" s="18">
        <v>0</v>
      </c>
      <c r="AO183" s="71">
        <f t="shared" si="62"/>
        <v>0</v>
      </c>
      <c r="AP183" s="18">
        <v>0</v>
      </c>
      <c r="AQ183" s="71">
        <f t="shared" si="63"/>
        <v>0</v>
      </c>
      <c r="AR183" s="85">
        <v>0</v>
      </c>
      <c r="AS183" s="18">
        <v>3</v>
      </c>
      <c r="AT183" s="71">
        <f t="shared" si="64"/>
        <v>1</v>
      </c>
      <c r="AU183" s="18">
        <v>3</v>
      </c>
      <c r="AV183" s="71">
        <f t="shared" si="65"/>
        <v>1</v>
      </c>
      <c r="AW183" s="18">
        <v>2</v>
      </c>
      <c r="AX183" s="71">
        <f t="shared" si="66"/>
        <v>1</v>
      </c>
      <c r="AY183" s="18">
        <v>2</v>
      </c>
      <c r="AZ183" s="71">
        <f t="shared" si="67"/>
        <v>0.66666666666666663</v>
      </c>
      <c r="BA183" s="94">
        <v>0</v>
      </c>
      <c r="BB183" s="94">
        <v>0</v>
      </c>
      <c r="BC183" s="94">
        <v>1</v>
      </c>
      <c r="BD183" s="94">
        <v>0</v>
      </c>
      <c r="BE183" s="102">
        <f t="shared" si="68"/>
        <v>3.2285617713017527</v>
      </c>
      <c r="BF183" s="81">
        <f t="shared" si="69"/>
        <v>0.27807164098128301</v>
      </c>
      <c r="BG183" s="81" t="str">
        <f t="shared" si="70"/>
        <v>BASSO</v>
      </c>
      <c r="BK183" s="81" t="str">
        <f t="shared" si="71"/>
        <v>MOLTO BASSO</v>
      </c>
    </row>
    <row r="184" spans="1:63" x14ac:dyDescent="0.15">
      <c r="A184" s="84">
        <v>5</v>
      </c>
      <c r="B184" s="84">
        <v>2</v>
      </c>
      <c r="C184" s="84">
        <v>1</v>
      </c>
      <c r="D184" s="84">
        <v>2</v>
      </c>
      <c r="E184" s="85">
        <v>1</v>
      </c>
      <c r="F184" s="17">
        <v>0</v>
      </c>
      <c r="G184" s="64">
        <f t="shared" si="48"/>
        <v>0</v>
      </c>
      <c r="H184" s="17">
        <v>0</v>
      </c>
      <c r="I184" s="64">
        <f t="shared" si="49"/>
        <v>0</v>
      </c>
      <c r="J184" s="17">
        <v>1</v>
      </c>
      <c r="K184" s="64">
        <f t="shared" si="50"/>
        <v>0.5</v>
      </c>
      <c r="L184" s="17">
        <v>1</v>
      </c>
      <c r="M184" s="64">
        <f t="shared" si="51"/>
        <v>0.33333333333333331</v>
      </c>
      <c r="N184" s="17">
        <v>4</v>
      </c>
      <c r="O184" s="64">
        <f t="shared" si="52"/>
        <v>0.8</v>
      </c>
      <c r="P184" s="17">
        <v>2</v>
      </c>
      <c r="Q184" s="64">
        <f t="shared" si="53"/>
        <v>0.66666666666666663</v>
      </c>
      <c r="R184" s="25">
        <v>2</v>
      </c>
      <c r="S184" s="71">
        <f t="shared" si="54"/>
        <v>0.66666666666666663</v>
      </c>
      <c r="T184" s="17">
        <v>1</v>
      </c>
      <c r="U184" s="64">
        <f t="shared" si="55"/>
        <v>0.33333333333333331</v>
      </c>
      <c r="V184" s="17">
        <v>3</v>
      </c>
      <c r="W184" s="71">
        <f t="shared" si="56"/>
        <v>0.75</v>
      </c>
      <c r="X184" s="17">
        <v>2</v>
      </c>
      <c r="Y184" s="71">
        <f t="shared" si="57"/>
        <v>0.66666666666666663</v>
      </c>
      <c r="Z184" s="17">
        <v>0</v>
      </c>
      <c r="AA184" s="71">
        <f t="shared" si="58"/>
        <v>0</v>
      </c>
      <c r="AB184" s="17">
        <v>2</v>
      </c>
      <c r="AC184" s="71">
        <f t="shared" si="59"/>
        <v>1</v>
      </c>
      <c r="AD184" s="84">
        <v>1</v>
      </c>
      <c r="AE184" s="84">
        <v>0</v>
      </c>
      <c r="AF184" s="84">
        <v>1</v>
      </c>
      <c r="AG184" s="84">
        <v>0</v>
      </c>
      <c r="AH184" s="84">
        <v>0</v>
      </c>
      <c r="AI184" s="84">
        <v>0</v>
      </c>
      <c r="AJ184" s="20">
        <v>1</v>
      </c>
      <c r="AK184" s="71">
        <f t="shared" si="60"/>
        <v>0.5</v>
      </c>
      <c r="AL184" s="17">
        <v>1</v>
      </c>
      <c r="AM184" s="71">
        <f t="shared" si="61"/>
        <v>0.33333333333333331</v>
      </c>
      <c r="AN184" s="17">
        <v>1</v>
      </c>
      <c r="AO184" s="71">
        <f t="shared" si="62"/>
        <v>0.33333333333333331</v>
      </c>
      <c r="AP184" s="17">
        <v>2</v>
      </c>
      <c r="AQ184" s="71">
        <f t="shared" si="63"/>
        <v>0.66666666666666663</v>
      </c>
      <c r="AR184" s="84">
        <v>2</v>
      </c>
      <c r="AS184" s="17">
        <v>0</v>
      </c>
      <c r="AT184" s="71">
        <f t="shared" si="64"/>
        <v>0</v>
      </c>
      <c r="AU184" s="17">
        <v>2</v>
      </c>
      <c r="AV184" s="71">
        <f t="shared" si="65"/>
        <v>0.66666666666666663</v>
      </c>
      <c r="AW184" s="17">
        <v>1</v>
      </c>
      <c r="AX184" s="71">
        <f t="shared" si="66"/>
        <v>0.5</v>
      </c>
      <c r="AY184" s="17">
        <v>3</v>
      </c>
      <c r="AZ184" s="71">
        <f t="shared" si="67"/>
        <v>1</v>
      </c>
      <c r="BA184" s="93">
        <v>1</v>
      </c>
      <c r="BB184" s="93">
        <v>1</v>
      </c>
      <c r="BC184" s="93">
        <v>0</v>
      </c>
      <c r="BD184" s="93">
        <v>0</v>
      </c>
      <c r="BE184" s="102">
        <f t="shared" si="68"/>
        <v>2.6806404707333158</v>
      </c>
      <c r="BF184" s="81">
        <f t="shared" si="69"/>
        <v>0.40059056842038332</v>
      </c>
      <c r="BG184" s="81" t="str">
        <f t="shared" si="70"/>
        <v>MEDIO</v>
      </c>
      <c r="BK184" s="81" t="str">
        <f t="shared" si="71"/>
        <v>BASSO</v>
      </c>
    </row>
    <row r="185" spans="1:63" x14ac:dyDescent="0.15">
      <c r="A185" s="85">
        <v>2</v>
      </c>
      <c r="B185" s="85">
        <v>2</v>
      </c>
      <c r="C185" s="85">
        <v>0</v>
      </c>
      <c r="D185" s="85">
        <v>2</v>
      </c>
      <c r="E185" s="85">
        <v>1</v>
      </c>
      <c r="F185" s="18">
        <v>1</v>
      </c>
      <c r="G185" s="64">
        <f t="shared" si="48"/>
        <v>0.5</v>
      </c>
      <c r="H185" s="18">
        <v>2</v>
      </c>
      <c r="I185" s="64">
        <f t="shared" si="49"/>
        <v>1</v>
      </c>
      <c r="J185" s="18">
        <v>1</v>
      </c>
      <c r="K185" s="64">
        <f t="shared" si="50"/>
        <v>0.5</v>
      </c>
      <c r="L185" s="18">
        <v>1</v>
      </c>
      <c r="M185" s="64">
        <f t="shared" si="51"/>
        <v>0.33333333333333331</v>
      </c>
      <c r="N185" s="18">
        <v>1</v>
      </c>
      <c r="O185" s="64">
        <f t="shared" si="52"/>
        <v>0.2</v>
      </c>
      <c r="P185" s="18">
        <v>3</v>
      </c>
      <c r="Q185" s="64">
        <f t="shared" si="53"/>
        <v>1</v>
      </c>
      <c r="R185" s="24">
        <v>0</v>
      </c>
      <c r="S185" s="71">
        <f t="shared" si="54"/>
        <v>0</v>
      </c>
      <c r="T185" s="18">
        <v>2</v>
      </c>
      <c r="U185" s="64">
        <f t="shared" si="55"/>
        <v>0.66666666666666663</v>
      </c>
      <c r="V185" s="18">
        <v>3</v>
      </c>
      <c r="W185" s="71">
        <f t="shared" si="56"/>
        <v>0.75</v>
      </c>
      <c r="X185" s="18">
        <v>2</v>
      </c>
      <c r="Y185" s="71">
        <f t="shared" si="57"/>
        <v>0.66666666666666663</v>
      </c>
      <c r="Z185" s="18">
        <v>3</v>
      </c>
      <c r="AA185" s="71">
        <f t="shared" si="58"/>
        <v>1</v>
      </c>
      <c r="AB185" s="18">
        <v>1</v>
      </c>
      <c r="AC185" s="71">
        <f t="shared" si="59"/>
        <v>0.5</v>
      </c>
      <c r="AD185" s="85">
        <v>1</v>
      </c>
      <c r="AE185" s="85">
        <v>0</v>
      </c>
      <c r="AF185" s="85">
        <v>1</v>
      </c>
      <c r="AG185" s="85">
        <v>0</v>
      </c>
      <c r="AH185" s="85">
        <v>0</v>
      </c>
      <c r="AI185" s="85">
        <v>0</v>
      </c>
      <c r="AJ185" s="19">
        <v>1</v>
      </c>
      <c r="AK185" s="71">
        <f t="shared" si="60"/>
        <v>0.5</v>
      </c>
      <c r="AL185" s="18">
        <v>1</v>
      </c>
      <c r="AM185" s="71">
        <f t="shared" si="61"/>
        <v>0.33333333333333331</v>
      </c>
      <c r="AN185" s="18">
        <v>1</v>
      </c>
      <c r="AO185" s="71">
        <f t="shared" si="62"/>
        <v>0.33333333333333331</v>
      </c>
      <c r="AP185" s="18">
        <v>2</v>
      </c>
      <c r="AQ185" s="71">
        <f t="shared" si="63"/>
        <v>0.66666666666666663</v>
      </c>
      <c r="AR185" s="85">
        <v>3</v>
      </c>
      <c r="AS185" s="18">
        <v>2</v>
      </c>
      <c r="AT185" s="71">
        <f t="shared" si="64"/>
        <v>0.66666666666666663</v>
      </c>
      <c r="AU185" s="18">
        <v>2</v>
      </c>
      <c r="AV185" s="71">
        <f t="shared" si="65"/>
        <v>0.66666666666666663</v>
      </c>
      <c r="AW185" s="18">
        <v>1</v>
      </c>
      <c r="AX185" s="71">
        <f t="shared" si="66"/>
        <v>0.5</v>
      </c>
      <c r="AY185" s="18">
        <v>1</v>
      </c>
      <c r="AZ185" s="71">
        <f t="shared" si="67"/>
        <v>0.33333333333333331</v>
      </c>
      <c r="BA185" s="94">
        <v>1</v>
      </c>
      <c r="BB185" s="94">
        <v>0</v>
      </c>
      <c r="BC185" s="94">
        <v>1</v>
      </c>
      <c r="BD185" s="94">
        <v>0</v>
      </c>
      <c r="BE185" s="102">
        <f t="shared" si="68"/>
        <v>2.2990940244655791</v>
      </c>
      <c r="BF185" s="81">
        <f t="shared" si="69"/>
        <v>0.48590694746318841</v>
      </c>
      <c r="BG185" s="81" t="str">
        <f t="shared" si="70"/>
        <v>MEDIO</v>
      </c>
      <c r="BK185" s="81" t="str">
        <f t="shared" si="71"/>
        <v>MEDIO</v>
      </c>
    </row>
    <row r="186" spans="1:63" x14ac:dyDescent="0.15">
      <c r="A186" s="84">
        <v>4</v>
      </c>
      <c r="B186" s="84">
        <v>2</v>
      </c>
      <c r="C186" s="84">
        <v>1</v>
      </c>
      <c r="D186" s="84">
        <v>0</v>
      </c>
      <c r="E186" s="85">
        <v>1</v>
      </c>
      <c r="F186" s="17">
        <v>1</v>
      </c>
      <c r="G186" s="64">
        <f t="shared" si="48"/>
        <v>0.5</v>
      </c>
      <c r="H186" s="17">
        <v>2</v>
      </c>
      <c r="I186" s="64">
        <f t="shared" si="49"/>
        <v>1</v>
      </c>
      <c r="J186" s="17">
        <v>2</v>
      </c>
      <c r="K186" s="64">
        <f t="shared" si="50"/>
        <v>1</v>
      </c>
      <c r="L186" s="17">
        <v>3</v>
      </c>
      <c r="M186" s="64">
        <f t="shared" si="51"/>
        <v>1</v>
      </c>
      <c r="N186" s="17">
        <v>4</v>
      </c>
      <c r="O186" s="64">
        <f t="shared" si="52"/>
        <v>0.8</v>
      </c>
      <c r="P186" s="17">
        <v>1</v>
      </c>
      <c r="Q186" s="64">
        <f t="shared" si="53"/>
        <v>0.33333333333333331</v>
      </c>
      <c r="R186" s="25">
        <v>3</v>
      </c>
      <c r="S186" s="71">
        <f t="shared" si="54"/>
        <v>1</v>
      </c>
      <c r="T186" s="17">
        <v>3</v>
      </c>
      <c r="U186" s="64">
        <f t="shared" si="55"/>
        <v>1</v>
      </c>
      <c r="V186" s="17">
        <v>2</v>
      </c>
      <c r="W186" s="71">
        <f t="shared" si="56"/>
        <v>0.5</v>
      </c>
      <c r="X186" s="17">
        <v>3</v>
      </c>
      <c r="Y186" s="71">
        <f t="shared" si="57"/>
        <v>1</v>
      </c>
      <c r="Z186" s="17">
        <v>3</v>
      </c>
      <c r="AA186" s="71">
        <f t="shared" si="58"/>
        <v>1</v>
      </c>
      <c r="AB186" s="17">
        <v>0</v>
      </c>
      <c r="AC186" s="71">
        <f t="shared" si="59"/>
        <v>0</v>
      </c>
      <c r="AD186" s="84">
        <v>0</v>
      </c>
      <c r="AE186" s="84">
        <v>1</v>
      </c>
      <c r="AF186" s="84">
        <v>1</v>
      </c>
      <c r="AG186" s="84">
        <v>0</v>
      </c>
      <c r="AH186" s="84">
        <v>0</v>
      </c>
      <c r="AI186" s="84">
        <v>0</v>
      </c>
      <c r="AJ186" s="20">
        <v>2</v>
      </c>
      <c r="AK186" s="71">
        <f t="shared" si="60"/>
        <v>1</v>
      </c>
      <c r="AL186" s="17">
        <v>1</v>
      </c>
      <c r="AM186" s="71">
        <f t="shared" si="61"/>
        <v>0.33333333333333331</v>
      </c>
      <c r="AN186" s="17">
        <v>3</v>
      </c>
      <c r="AO186" s="71">
        <f t="shared" si="62"/>
        <v>1</v>
      </c>
      <c r="AP186" s="17">
        <v>3</v>
      </c>
      <c r="AQ186" s="71">
        <f t="shared" si="63"/>
        <v>1</v>
      </c>
      <c r="AR186" s="84">
        <v>2</v>
      </c>
      <c r="AS186" s="17">
        <v>2</v>
      </c>
      <c r="AT186" s="71">
        <f t="shared" si="64"/>
        <v>0.66666666666666663</v>
      </c>
      <c r="AU186" s="17">
        <v>3</v>
      </c>
      <c r="AV186" s="71">
        <f t="shared" si="65"/>
        <v>1</v>
      </c>
      <c r="AW186" s="17">
        <v>1</v>
      </c>
      <c r="AX186" s="71">
        <f t="shared" si="66"/>
        <v>0.5</v>
      </c>
      <c r="AY186" s="17">
        <v>3</v>
      </c>
      <c r="AZ186" s="71">
        <f t="shared" si="67"/>
        <v>1</v>
      </c>
      <c r="BA186" s="93">
        <v>1</v>
      </c>
      <c r="BB186" s="93">
        <v>1</v>
      </c>
      <c r="BC186" s="93">
        <v>0</v>
      </c>
      <c r="BD186" s="93">
        <v>0</v>
      </c>
      <c r="BE186" s="102">
        <f t="shared" si="68"/>
        <v>1.6703293088490065</v>
      </c>
      <c r="BF186" s="81">
        <f t="shared" si="69"/>
        <v>0.62650301206037318</v>
      </c>
      <c r="BG186" s="81" t="str">
        <f t="shared" si="70"/>
        <v>MEDIO</v>
      </c>
      <c r="BK186" s="81" t="str">
        <f t="shared" si="71"/>
        <v>MEDIO</v>
      </c>
    </row>
    <row r="187" spans="1:63" x14ac:dyDescent="0.15">
      <c r="A187" s="85">
        <v>4</v>
      </c>
      <c r="B187" s="85">
        <v>1</v>
      </c>
      <c r="C187" s="85">
        <v>4</v>
      </c>
      <c r="D187" s="85">
        <v>3</v>
      </c>
      <c r="E187" s="85">
        <v>0</v>
      </c>
      <c r="F187" s="18">
        <v>2</v>
      </c>
      <c r="G187" s="64">
        <f t="shared" si="48"/>
        <v>1</v>
      </c>
      <c r="H187" s="18">
        <v>1</v>
      </c>
      <c r="I187" s="64">
        <f t="shared" si="49"/>
        <v>0.5</v>
      </c>
      <c r="J187" s="18">
        <v>1</v>
      </c>
      <c r="K187" s="64">
        <f t="shared" si="50"/>
        <v>0.5</v>
      </c>
      <c r="L187" s="18">
        <v>2</v>
      </c>
      <c r="M187" s="64">
        <f t="shared" si="51"/>
        <v>0.66666666666666663</v>
      </c>
      <c r="N187" s="18">
        <v>4</v>
      </c>
      <c r="O187" s="64">
        <f t="shared" si="52"/>
        <v>0.8</v>
      </c>
      <c r="P187" s="18">
        <v>0</v>
      </c>
      <c r="Q187" s="64">
        <f t="shared" si="53"/>
        <v>0</v>
      </c>
      <c r="R187" s="24">
        <v>3</v>
      </c>
      <c r="S187" s="71">
        <f t="shared" si="54"/>
        <v>1</v>
      </c>
      <c r="T187" s="18">
        <v>2</v>
      </c>
      <c r="U187" s="64">
        <f t="shared" si="55"/>
        <v>0.66666666666666663</v>
      </c>
      <c r="V187" s="18">
        <v>3</v>
      </c>
      <c r="W187" s="71">
        <f t="shared" si="56"/>
        <v>0.75</v>
      </c>
      <c r="X187" s="18">
        <v>3</v>
      </c>
      <c r="Y187" s="71">
        <f t="shared" si="57"/>
        <v>1</v>
      </c>
      <c r="Z187" s="18">
        <v>3</v>
      </c>
      <c r="AA187" s="71">
        <f t="shared" si="58"/>
        <v>1</v>
      </c>
      <c r="AB187" s="18">
        <v>2</v>
      </c>
      <c r="AC187" s="71">
        <f t="shared" si="59"/>
        <v>1</v>
      </c>
      <c r="AD187" s="85">
        <v>1</v>
      </c>
      <c r="AE187" s="85">
        <v>0</v>
      </c>
      <c r="AF187" s="85">
        <v>0</v>
      </c>
      <c r="AG187" s="85">
        <v>1</v>
      </c>
      <c r="AH187" s="85">
        <v>0</v>
      </c>
      <c r="AI187" s="85">
        <v>0</v>
      </c>
      <c r="AJ187" s="19">
        <v>1</v>
      </c>
      <c r="AK187" s="71">
        <f t="shared" si="60"/>
        <v>0.5</v>
      </c>
      <c r="AL187" s="18">
        <v>1</v>
      </c>
      <c r="AM187" s="71">
        <f t="shared" si="61"/>
        <v>0.33333333333333331</v>
      </c>
      <c r="AN187" s="18">
        <v>1</v>
      </c>
      <c r="AO187" s="71">
        <f t="shared" si="62"/>
        <v>0.33333333333333331</v>
      </c>
      <c r="AP187" s="18">
        <v>3</v>
      </c>
      <c r="AQ187" s="71">
        <f t="shared" si="63"/>
        <v>1</v>
      </c>
      <c r="AR187" s="85">
        <v>2</v>
      </c>
      <c r="AS187" s="18">
        <v>2</v>
      </c>
      <c r="AT187" s="71">
        <f t="shared" si="64"/>
        <v>0.66666666666666663</v>
      </c>
      <c r="AU187" s="18">
        <v>2</v>
      </c>
      <c r="AV187" s="71">
        <f t="shared" si="65"/>
        <v>0.66666666666666663</v>
      </c>
      <c r="AW187" s="18">
        <v>1</v>
      </c>
      <c r="AX187" s="71">
        <f t="shared" si="66"/>
        <v>0.5</v>
      </c>
      <c r="AY187" s="18">
        <v>1</v>
      </c>
      <c r="AZ187" s="71">
        <f t="shared" si="67"/>
        <v>0.33333333333333331</v>
      </c>
      <c r="BA187" s="94">
        <v>1</v>
      </c>
      <c r="BB187" s="94">
        <v>1</v>
      </c>
      <c r="BC187" s="94">
        <v>0</v>
      </c>
      <c r="BD187" s="94">
        <v>0</v>
      </c>
      <c r="BE187" s="102">
        <f t="shared" si="68"/>
        <v>1.9698420692476284</v>
      </c>
      <c r="BF187" s="81">
        <f t="shared" si="69"/>
        <v>0.55952992282238689</v>
      </c>
      <c r="BG187" s="81" t="str">
        <f t="shared" si="70"/>
        <v>MEDIO</v>
      </c>
      <c r="BK187" s="81" t="str">
        <f t="shared" si="71"/>
        <v>MEDIO</v>
      </c>
    </row>
    <row r="188" spans="1:63" x14ac:dyDescent="0.15">
      <c r="A188" s="84">
        <v>2</v>
      </c>
      <c r="B188" s="84">
        <v>1</v>
      </c>
      <c r="C188" s="84">
        <v>2</v>
      </c>
      <c r="D188" s="84">
        <v>1</v>
      </c>
      <c r="E188" s="87">
        <v>1</v>
      </c>
      <c r="F188" s="17">
        <v>2</v>
      </c>
      <c r="G188" s="64">
        <f t="shared" si="48"/>
        <v>1</v>
      </c>
      <c r="H188" s="17">
        <v>1</v>
      </c>
      <c r="I188" s="64">
        <f t="shared" si="49"/>
        <v>0.5</v>
      </c>
      <c r="J188" s="17">
        <v>1</v>
      </c>
      <c r="K188" s="64">
        <f t="shared" si="50"/>
        <v>0.5</v>
      </c>
      <c r="L188" s="17">
        <v>1</v>
      </c>
      <c r="M188" s="64">
        <f t="shared" si="51"/>
        <v>0.33333333333333331</v>
      </c>
      <c r="N188" s="17">
        <v>4</v>
      </c>
      <c r="O188" s="64">
        <f t="shared" si="52"/>
        <v>0.8</v>
      </c>
      <c r="P188" s="17">
        <v>0</v>
      </c>
      <c r="Q188" s="64">
        <f t="shared" si="53"/>
        <v>0</v>
      </c>
      <c r="R188" s="25">
        <v>0</v>
      </c>
      <c r="S188" s="71">
        <f t="shared" si="54"/>
        <v>0</v>
      </c>
      <c r="T188" s="17">
        <v>1</v>
      </c>
      <c r="U188" s="64">
        <f t="shared" si="55"/>
        <v>0.33333333333333331</v>
      </c>
      <c r="V188" s="17">
        <v>0</v>
      </c>
      <c r="W188" s="71">
        <f t="shared" si="56"/>
        <v>0</v>
      </c>
      <c r="X188" s="17">
        <v>0</v>
      </c>
      <c r="Y188" s="71">
        <f t="shared" si="57"/>
        <v>0</v>
      </c>
      <c r="Z188" s="17">
        <v>1</v>
      </c>
      <c r="AA188" s="71">
        <f t="shared" si="58"/>
        <v>0.33333333333333331</v>
      </c>
      <c r="AB188" s="17">
        <v>2</v>
      </c>
      <c r="AC188" s="71">
        <f t="shared" si="59"/>
        <v>1</v>
      </c>
      <c r="AD188" s="84">
        <v>1</v>
      </c>
      <c r="AE188" s="84">
        <v>0</v>
      </c>
      <c r="AF188" s="84">
        <v>0</v>
      </c>
      <c r="AG188" s="84">
        <v>1</v>
      </c>
      <c r="AH188" s="84">
        <v>0</v>
      </c>
      <c r="AI188" s="84">
        <v>0</v>
      </c>
      <c r="AJ188" s="20">
        <v>0</v>
      </c>
      <c r="AK188" s="71">
        <f t="shared" si="60"/>
        <v>0</v>
      </c>
      <c r="AL188" s="17">
        <v>0</v>
      </c>
      <c r="AM188" s="71">
        <f t="shared" si="61"/>
        <v>0</v>
      </c>
      <c r="AN188" s="17">
        <v>0</v>
      </c>
      <c r="AO188" s="71">
        <f t="shared" si="62"/>
        <v>0</v>
      </c>
      <c r="AP188" s="17">
        <v>1</v>
      </c>
      <c r="AQ188" s="71">
        <f t="shared" si="63"/>
        <v>0.33333333333333331</v>
      </c>
      <c r="AR188" s="84">
        <v>2</v>
      </c>
      <c r="AS188" s="17">
        <v>1</v>
      </c>
      <c r="AT188" s="71">
        <f t="shared" si="64"/>
        <v>0.33333333333333331</v>
      </c>
      <c r="AU188" s="17">
        <v>1</v>
      </c>
      <c r="AV188" s="71">
        <f t="shared" si="65"/>
        <v>0.33333333333333331</v>
      </c>
      <c r="AW188" s="17">
        <v>0</v>
      </c>
      <c r="AX188" s="71">
        <f t="shared" si="66"/>
        <v>0</v>
      </c>
      <c r="AY188" s="17">
        <v>2</v>
      </c>
      <c r="AZ188" s="71">
        <f t="shared" si="67"/>
        <v>0.66666666666666663</v>
      </c>
      <c r="BA188" s="93">
        <v>0</v>
      </c>
      <c r="BB188" s="93">
        <v>0</v>
      </c>
      <c r="BC188" s="93">
        <v>0</v>
      </c>
      <c r="BD188" s="93">
        <v>1</v>
      </c>
      <c r="BE188" s="102">
        <f t="shared" si="68"/>
        <v>3.364190508544036</v>
      </c>
      <c r="BF188" s="81">
        <f t="shared" si="69"/>
        <v>0.24774413336366552</v>
      </c>
      <c r="BG188" s="81" t="str">
        <f t="shared" si="70"/>
        <v>BASSO</v>
      </c>
      <c r="BK188" s="81" t="str">
        <f t="shared" si="71"/>
        <v>MOLTO BASSO</v>
      </c>
    </row>
    <row r="189" spans="1:63" x14ac:dyDescent="0.15">
      <c r="A189" s="85">
        <v>3</v>
      </c>
      <c r="B189" s="85">
        <v>2</v>
      </c>
      <c r="C189" s="85">
        <v>1</v>
      </c>
      <c r="D189" s="85">
        <v>2</v>
      </c>
      <c r="E189" s="85">
        <v>1</v>
      </c>
      <c r="F189" s="18">
        <v>2</v>
      </c>
      <c r="G189" s="64">
        <f t="shared" si="48"/>
        <v>1</v>
      </c>
      <c r="H189" s="18">
        <v>2</v>
      </c>
      <c r="I189" s="64">
        <f t="shared" si="49"/>
        <v>1</v>
      </c>
      <c r="J189" s="18">
        <v>1</v>
      </c>
      <c r="K189" s="64">
        <f t="shared" si="50"/>
        <v>0.5</v>
      </c>
      <c r="L189" s="18">
        <v>3</v>
      </c>
      <c r="M189" s="64">
        <f t="shared" si="51"/>
        <v>1</v>
      </c>
      <c r="N189" s="18">
        <v>1</v>
      </c>
      <c r="O189" s="64">
        <f t="shared" si="52"/>
        <v>0.2</v>
      </c>
      <c r="P189" s="18">
        <v>3</v>
      </c>
      <c r="Q189" s="64">
        <f t="shared" si="53"/>
        <v>1</v>
      </c>
      <c r="R189" s="24">
        <v>3</v>
      </c>
      <c r="S189" s="71">
        <f t="shared" si="54"/>
        <v>1</v>
      </c>
      <c r="T189" s="18">
        <v>2</v>
      </c>
      <c r="U189" s="64">
        <f t="shared" si="55"/>
        <v>0.66666666666666663</v>
      </c>
      <c r="V189" s="18">
        <v>1</v>
      </c>
      <c r="W189" s="71">
        <f t="shared" si="56"/>
        <v>0.25</v>
      </c>
      <c r="X189" s="18">
        <v>3</v>
      </c>
      <c r="Y189" s="71">
        <f t="shared" si="57"/>
        <v>1</v>
      </c>
      <c r="Z189" s="18">
        <v>1</v>
      </c>
      <c r="AA189" s="71">
        <f t="shared" si="58"/>
        <v>0.33333333333333331</v>
      </c>
      <c r="AB189" s="18">
        <v>2</v>
      </c>
      <c r="AC189" s="71">
        <f t="shared" si="59"/>
        <v>1</v>
      </c>
      <c r="AD189" s="85">
        <v>1</v>
      </c>
      <c r="AE189" s="85">
        <v>0</v>
      </c>
      <c r="AF189" s="85">
        <v>1</v>
      </c>
      <c r="AG189" s="85">
        <v>0</v>
      </c>
      <c r="AH189" s="85">
        <v>0</v>
      </c>
      <c r="AI189" s="85">
        <v>0</v>
      </c>
      <c r="AJ189" s="19">
        <v>2</v>
      </c>
      <c r="AK189" s="71">
        <f t="shared" si="60"/>
        <v>1</v>
      </c>
      <c r="AL189" s="18">
        <v>1</v>
      </c>
      <c r="AM189" s="71">
        <f t="shared" si="61"/>
        <v>0.33333333333333331</v>
      </c>
      <c r="AN189" s="18">
        <v>1</v>
      </c>
      <c r="AO189" s="71">
        <f t="shared" si="62"/>
        <v>0.33333333333333331</v>
      </c>
      <c r="AP189" s="18">
        <v>3</v>
      </c>
      <c r="AQ189" s="71">
        <f t="shared" si="63"/>
        <v>1</v>
      </c>
      <c r="AR189" s="85">
        <v>2</v>
      </c>
      <c r="AS189" s="18">
        <v>2</v>
      </c>
      <c r="AT189" s="71">
        <f t="shared" si="64"/>
        <v>0.66666666666666663</v>
      </c>
      <c r="AU189" s="18">
        <v>3</v>
      </c>
      <c r="AV189" s="71">
        <f t="shared" si="65"/>
        <v>1</v>
      </c>
      <c r="AW189" s="18">
        <v>0</v>
      </c>
      <c r="AX189" s="71">
        <f t="shared" si="66"/>
        <v>0</v>
      </c>
      <c r="AY189" s="18">
        <v>0</v>
      </c>
      <c r="AZ189" s="71">
        <f t="shared" si="67"/>
        <v>0</v>
      </c>
      <c r="BA189" s="94">
        <v>1</v>
      </c>
      <c r="BB189" s="94">
        <v>0</v>
      </c>
      <c r="BC189" s="94">
        <v>1</v>
      </c>
      <c r="BD189" s="94">
        <v>0</v>
      </c>
      <c r="BE189" s="102">
        <f t="shared" si="68"/>
        <v>2.2378685295511791</v>
      </c>
      <c r="BF189" s="81">
        <f t="shared" si="69"/>
        <v>0.49959738432165368</v>
      </c>
      <c r="BG189" s="81" t="str">
        <f t="shared" si="70"/>
        <v>MEDIO</v>
      </c>
      <c r="BK189" s="81" t="str">
        <f t="shared" si="71"/>
        <v>MEDIO</v>
      </c>
    </row>
    <row r="190" spans="1:63" x14ac:dyDescent="0.15">
      <c r="A190" s="84">
        <v>3</v>
      </c>
      <c r="B190" s="84">
        <v>2</v>
      </c>
      <c r="C190" s="84">
        <v>3</v>
      </c>
      <c r="D190" s="84">
        <v>1</v>
      </c>
      <c r="E190" s="84">
        <v>1</v>
      </c>
      <c r="F190" s="17">
        <v>2</v>
      </c>
      <c r="G190" s="64">
        <f t="shared" si="48"/>
        <v>1</v>
      </c>
      <c r="H190" s="17">
        <v>2</v>
      </c>
      <c r="I190" s="64">
        <f t="shared" si="49"/>
        <v>1</v>
      </c>
      <c r="J190" s="17">
        <v>1</v>
      </c>
      <c r="K190" s="64">
        <f t="shared" si="50"/>
        <v>0.5</v>
      </c>
      <c r="L190" s="17">
        <v>3</v>
      </c>
      <c r="M190" s="64">
        <f t="shared" si="51"/>
        <v>1</v>
      </c>
      <c r="N190" s="17">
        <v>1</v>
      </c>
      <c r="O190" s="64">
        <f t="shared" si="52"/>
        <v>0.2</v>
      </c>
      <c r="P190" s="17">
        <v>2</v>
      </c>
      <c r="Q190" s="64">
        <f t="shared" si="53"/>
        <v>0.66666666666666663</v>
      </c>
      <c r="R190" s="25">
        <v>0</v>
      </c>
      <c r="S190" s="71">
        <f t="shared" si="54"/>
        <v>0</v>
      </c>
      <c r="T190" s="17">
        <v>2</v>
      </c>
      <c r="U190" s="64">
        <f t="shared" si="55"/>
        <v>0.66666666666666663</v>
      </c>
      <c r="V190" s="17">
        <v>2</v>
      </c>
      <c r="W190" s="71">
        <f t="shared" si="56"/>
        <v>0.5</v>
      </c>
      <c r="X190" s="17">
        <v>0</v>
      </c>
      <c r="Y190" s="71">
        <f t="shared" si="57"/>
        <v>0</v>
      </c>
      <c r="Z190" s="17">
        <v>2</v>
      </c>
      <c r="AA190" s="71">
        <f t="shared" si="58"/>
        <v>0.66666666666666663</v>
      </c>
      <c r="AB190" s="17">
        <v>1</v>
      </c>
      <c r="AC190" s="71">
        <f t="shared" si="59"/>
        <v>0.5</v>
      </c>
      <c r="AD190" s="84">
        <v>1</v>
      </c>
      <c r="AE190" s="84">
        <v>0</v>
      </c>
      <c r="AF190" s="84">
        <v>0</v>
      </c>
      <c r="AG190" s="84">
        <v>1</v>
      </c>
      <c r="AH190" s="84">
        <v>0</v>
      </c>
      <c r="AI190" s="84">
        <v>0</v>
      </c>
      <c r="AJ190" s="20">
        <v>2</v>
      </c>
      <c r="AK190" s="71">
        <f t="shared" si="60"/>
        <v>1</v>
      </c>
      <c r="AL190" s="17">
        <v>1</v>
      </c>
      <c r="AM190" s="71">
        <f t="shared" si="61"/>
        <v>0.33333333333333331</v>
      </c>
      <c r="AN190" s="17">
        <v>2</v>
      </c>
      <c r="AO190" s="71">
        <f t="shared" si="62"/>
        <v>0.66666666666666663</v>
      </c>
      <c r="AP190" s="17">
        <v>1</v>
      </c>
      <c r="AQ190" s="71">
        <f t="shared" si="63"/>
        <v>0.33333333333333331</v>
      </c>
      <c r="AR190" s="84">
        <v>3</v>
      </c>
      <c r="AS190" s="17">
        <v>0</v>
      </c>
      <c r="AT190" s="71">
        <f t="shared" si="64"/>
        <v>0</v>
      </c>
      <c r="AU190" s="17">
        <v>3</v>
      </c>
      <c r="AV190" s="71">
        <f t="shared" si="65"/>
        <v>1</v>
      </c>
      <c r="AW190" s="17">
        <v>0</v>
      </c>
      <c r="AX190" s="71">
        <f t="shared" si="66"/>
        <v>0</v>
      </c>
      <c r="AY190" s="17">
        <v>0</v>
      </c>
      <c r="AZ190" s="71">
        <f t="shared" si="67"/>
        <v>0</v>
      </c>
      <c r="BA190" s="93">
        <v>0</v>
      </c>
      <c r="BB190" s="93">
        <v>1</v>
      </c>
      <c r="BC190" s="93">
        <v>0</v>
      </c>
      <c r="BD190" s="93">
        <v>0</v>
      </c>
      <c r="BE190" s="102">
        <f t="shared" si="68"/>
        <v>2.7790885796126279</v>
      </c>
      <c r="BF190" s="81">
        <f t="shared" si="69"/>
        <v>0.37857690204934125</v>
      </c>
      <c r="BG190" s="81" t="str">
        <f t="shared" si="70"/>
        <v>MEDIO</v>
      </c>
      <c r="BK190" s="81" t="str">
        <f t="shared" si="71"/>
        <v>BASSO</v>
      </c>
    </row>
    <row r="191" spans="1:63" x14ac:dyDescent="0.15">
      <c r="A191" s="85">
        <v>3</v>
      </c>
      <c r="B191" s="85">
        <v>1</v>
      </c>
      <c r="C191" s="85">
        <v>2</v>
      </c>
      <c r="D191" s="85">
        <v>0</v>
      </c>
      <c r="E191" s="85">
        <v>1</v>
      </c>
      <c r="F191" s="18">
        <v>1</v>
      </c>
      <c r="G191" s="64">
        <f t="shared" si="48"/>
        <v>0.5</v>
      </c>
      <c r="H191" s="18">
        <v>1</v>
      </c>
      <c r="I191" s="64">
        <f t="shared" si="49"/>
        <v>0.5</v>
      </c>
      <c r="J191" s="18">
        <v>1</v>
      </c>
      <c r="K191" s="64">
        <f t="shared" si="50"/>
        <v>0.5</v>
      </c>
      <c r="L191" s="18">
        <v>2</v>
      </c>
      <c r="M191" s="64">
        <f t="shared" si="51"/>
        <v>0.66666666666666663</v>
      </c>
      <c r="N191" s="18">
        <v>2</v>
      </c>
      <c r="O191" s="64">
        <f t="shared" si="52"/>
        <v>0.4</v>
      </c>
      <c r="P191" s="18">
        <v>3</v>
      </c>
      <c r="Q191" s="64">
        <f t="shared" si="53"/>
        <v>1</v>
      </c>
      <c r="R191" s="24">
        <v>3</v>
      </c>
      <c r="S191" s="71">
        <f t="shared" si="54"/>
        <v>1</v>
      </c>
      <c r="T191" s="18">
        <v>3</v>
      </c>
      <c r="U191" s="64">
        <f t="shared" si="55"/>
        <v>1</v>
      </c>
      <c r="V191" s="18">
        <v>3</v>
      </c>
      <c r="W191" s="71">
        <f t="shared" si="56"/>
        <v>0.75</v>
      </c>
      <c r="X191" s="18">
        <v>3</v>
      </c>
      <c r="Y191" s="71">
        <f t="shared" si="57"/>
        <v>1</v>
      </c>
      <c r="Z191" s="18">
        <v>3</v>
      </c>
      <c r="AA191" s="71">
        <f t="shared" si="58"/>
        <v>1</v>
      </c>
      <c r="AB191" s="18">
        <v>0</v>
      </c>
      <c r="AC191" s="71">
        <f t="shared" si="59"/>
        <v>0</v>
      </c>
      <c r="AD191" s="85">
        <v>1</v>
      </c>
      <c r="AE191" s="85">
        <v>1</v>
      </c>
      <c r="AF191" s="85">
        <v>0</v>
      </c>
      <c r="AG191" s="85">
        <v>0</v>
      </c>
      <c r="AH191" s="85">
        <v>0</v>
      </c>
      <c r="AI191" s="85">
        <v>0</v>
      </c>
      <c r="AJ191" s="19">
        <v>1</v>
      </c>
      <c r="AK191" s="71">
        <f t="shared" si="60"/>
        <v>0.5</v>
      </c>
      <c r="AL191" s="18">
        <v>2</v>
      </c>
      <c r="AM191" s="71">
        <f t="shared" si="61"/>
        <v>0.66666666666666663</v>
      </c>
      <c r="AN191" s="18">
        <v>1</v>
      </c>
      <c r="AO191" s="71">
        <f t="shared" si="62"/>
        <v>0.33333333333333331</v>
      </c>
      <c r="AP191" s="18">
        <v>2</v>
      </c>
      <c r="AQ191" s="71">
        <f t="shared" si="63"/>
        <v>0.66666666666666663</v>
      </c>
      <c r="AR191" s="85">
        <v>0</v>
      </c>
      <c r="AS191" s="18">
        <v>3</v>
      </c>
      <c r="AT191" s="71">
        <f t="shared" si="64"/>
        <v>1</v>
      </c>
      <c r="AU191" s="18">
        <v>3</v>
      </c>
      <c r="AV191" s="71">
        <f t="shared" si="65"/>
        <v>1</v>
      </c>
      <c r="AW191" s="18">
        <v>0</v>
      </c>
      <c r="AX191" s="71">
        <f t="shared" si="66"/>
        <v>0</v>
      </c>
      <c r="AY191" s="18">
        <v>2</v>
      </c>
      <c r="AZ191" s="71">
        <f t="shared" si="67"/>
        <v>0.66666666666666663</v>
      </c>
      <c r="BA191" s="94">
        <v>1</v>
      </c>
      <c r="BB191" s="94"/>
      <c r="BC191" s="94">
        <v>1</v>
      </c>
      <c r="BD191" s="94"/>
      <c r="BE191" s="102">
        <f t="shared" si="68"/>
        <v>2.0763884243775026</v>
      </c>
      <c r="BF191" s="81">
        <f t="shared" si="69"/>
        <v>0.53570543353986588</v>
      </c>
      <c r="BG191" s="81" t="str">
        <f t="shared" si="70"/>
        <v>MEDIO</v>
      </c>
      <c r="BK191" s="81" t="str">
        <f t="shared" si="71"/>
        <v>MEDIO</v>
      </c>
    </row>
    <row r="192" spans="1:63" x14ac:dyDescent="0.15">
      <c r="A192" s="84">
        <v>1</v>
      </c>
      <c r="B192" s="84">
        <v>1</v>
      </c>
      <c r="C192" s="84">
        <v>2</v>
      </c>
      <c r="D192" s="84">
        <v>0</v>
      </c>
      <c r="E192" s="84">
        <v>1</v>
      </c>
      <c r="F192" s="17">
        <v>1</v>
      </c>
      <c r="G192" s="64">
        <f t="shared" si="48"/>
        <v>0.5</v>
      </c>
      <c r="H192" s="17">
        <v>1</v>
      </c>
      <c r="I192" s="64">
        <f t="shared" si="49"/>
        <v>0.5</v>
      </c>
      <c r="J192" s="17">
        <v>1</v>
      </c>
      <c r="K192" s="64">
        <f t="shared" si="50"/>
        <v>0.5</v>
      </c>
      <c r="L192" s="17">
        <v>0</v>
      </c>
      <c r="M192" s="64">
        <f t="shared" si="51"/>
        <v>0</v>
      </c>
      <c r="N192" s="17">
        <v>2</v>
      </c>
      <c r="O192" s="64">
        <f t="shared" si="52"/>
        <v>0.4</v>
      </c>
      <c r="P192" s="17">
        <v>2</v>
      </c>
      <c r="Q192" s="64">
        <f t="shared" si="53"/>
        <v>0.66666666666666663</v>
      </c>
      <c r="R192" s="25">
        <v>3</v>
      </c>
      <c r="S192" s="71">
        <f t="shared" si="54"/>
        <v>1</v>
      </c>
      <c r="T192" s="17">
        <v>1</v>
      </c>
      <c r="U192" s="64">
        <f t="shared" si="55"/>
        <v>0.33333333333333331</v>
      </c>
      <c r="V192" s="17">
        <v>3</v>
      </c>
      <c r="W192" s="71">
        <f t="shared" si="56"/>
        <v>0.75</v>
      </c>
      <c r="X192" s="17">
        <v>3</v>
      </c>
      <c r="Y192" s="71">
        <f t="shared" si="57"/>
        <v>1</v>
      </c>
      <c r="Z192" s="17">
        <v>2</v>
      </c>
      <c r="AA192" s="71">
        <f t="shared" si="58"/>
        <v>0.66666666666666663</v>
      </c>
      <c r="AB192" s="17">
        <v>1</v>
      </c>
      <c r="AC192" s="71">
        <f t="shared" si="59"/>
        <v>0.5</v>
      </c>
      <c r="AD192" s="84">
        <v>1</v>
      </c>
      <c r="AE192" s="84">
        <v>0</v>
      </c>
      <c r="AF192" s="84">
        <v>1</v>
      </c>
      <c r="AG192" s="84">
        <v>0</v>
      </c>
      <c r="AH192" s="84">
        <v>0</v>
      </c>
      <c r="AI192" s="84">
        <v>0</v>
      </c>
      <c r="AJ192" s="20">
        <v>2</v>
      </c>
      <c r="AK192" s="71">
        <f t="shared" si="60"/>
        <v>1</v>
      </c>
      <c r="AL192" s="17">
        <v>1</v>
      </c>
      <c r="AM192" s="71">
        <f t="shared" si="61"/>
        <v>0.33333333333333331</v>
      </c>
      <c r="AN192" s="17">
        <v>1</v>
      </c>
      <c r="AO192" s="71">
        <f t="shared" si="62"/>
        <v>0.33333333333333331</v>
      </c>
      <c r="AP192" s="17">
        <v>0</v>
      </c>
      <c r="AQ192" s="71">
        <f t="shared" si="63"/>
        <v>0</v>
      </c>
      <c r="AR192" s="84">
        <v>2</v>
      </c>
      <c r="AS192" s="17">
        <v>2</v>
      </c>
      <c r="AT192" s="71">
        <f t="shared" si="64"/>
        <v>0.66666666666666663</v>
      </c>
      <c r="AU192" s="17">
        <v>2</v>
      </c>
      <c r="AV192" s="71">
        <f t="shared" si="65"/>
        <v>0.66666666666666663</v>
      </c>
      <c r="AW192" s="17">
        <v>0</v>
      </c>
      <c r="AX192" s="71">
        <f t="shared" si="66"/>
        <v>0</v>
      </c>
      <c r="AY192" s="17">
        <v>2</v>
      </c>
      <c r="AZ192" s="71">
        <f t="shared" si="67"/>
        <v>0.66666666666666663</v>
      </c>
      <c r="BA192" s="93">
        <v>1</v>
      </c>
      <c r="BB192" s="93">
        <v>1</v>
      </c>
      <c r="BC192" s="93">
        <v>0</v>
      </c>
      <c r="BD192" s="93">
        <v>0</v>
      </c>
      <c r="BE192" s="102">
        <f t="shared" si="68"/>
        <v>2.5122477761735382</v>
      </c>
      <c r="BF192" s="81">
        <f t="shared" si="69"/>
        <v>0.43824431961538202</v>
      </c>
      <c r="BG192" s="81" t="str">
        <f t="shared" si="70"/>
        <v>MEDIO</v>
      </c>
      <c r="BK192" s="81" t="str">
        <f t="shared" si="71"/>
        <v>BASSO</v>
      </c>
    </row>
    <row r="193" spans="1:63" x14ac:dyDescent="0.15">
      <c r="A193" s="85">
        <v>2</v>
      </c>
      <c r="B193" s="85">
        <v>2</v>
      </c>
      <c r="C193" s="85">
        <v>4</v>
      </c>
      <c r="D193" s="85">
        <v>2</v>
      </c>
      <c r="E193" s="85">
        <v>1</v>
      </c>
      <c r="F193" s="18">
        <v>2</v>
      </c>
      <c r="G193" s="64">
        <f t="shared" si="48"/>
        <v>1</v>
      </c>
      <c r="H193" s="18">
        <v>2</v>
      </c>
      <c r="I193" s="64">
        <f t="shared" si="49"/>
        <v>1</v>
      </c>
      <c r="J193" s="18">
        <v>2</v>
      </c>
      <c r="K193" s="64">
        <f t="shared" si="50"/>
        <v>1</v>
      </c>
      <c r="L193" s="18">
        <v>1</v>
      </c>
      <c r="M193" s="64">
        <f t="shared" si="51"/>
        <v>0.33333333333333331</v>
      </c>
      <c r="N193" s="18">
        <v>4</v>
      </c>
      <c r="O193" s="64">
        <f t="shared" si="52"/>
        <v>0.8</v>
      </c>
      <c r="P193" s="18">
        <v>3</v>
      </c>
      <c r="Q193" s="64">
        <f t="shared" si="53"/>
        <v>1</v>
      </c>
      <c r="R193" s="24">
        <v>3</v>
      </c>
      <c r="S193" s="71">
        <f t="shared" si="54"/>
        <v>1</v>
      </c>
      <c r="T193" s="18">
        <v>3</v>
      </c>
      <c r="U193" s="64">
        <f t="shared" si="55"/>
        <v>1</v>
      </c>
      <c r="V193" s="18">
        <v>4</v>
      </c>
      <c r="W193" s="71">
        <f t="shared" si="56"/>
        <v>1</v>
      </c>
      <c r="X193" s="18">
        <v>3</v>
      </c>
      <c r="Y193" s="71">
        <f t="shared" si="57"/>
        <v>1</v>
      </c>
      <c r="Z193" s="18">
        <v>3</v>
      </c>
      <c r="AA193" s="71">
        <f t="shared" si="58"/>
        <v>1</v>
      </c>
      <c r="AB193" s="18">
        <v>1</v>
      </c>
      <c r="AC193" s="71">
        <f t="shared" si="59"/>
        <v>0.5</v>
      </c>
      <c r="AD193" s="85">
        <v>0</v>
      </c>
      <c r="AE193" s="85">
        <v>1</v>
      </c>
      <c r="AF193" s="85">
        <v>1</v>
      </c>
      <c r="AG193" s="85">
        <v>0</v>
      </c>
      <c r="AH193" s="85">
        <v>0</v>
      </c>
      <c r="AI193" s="85">
        <v>0</v>
      </c>
      <c r="AJ193" s="19">
        <v>2</v>
      </c>
      <c r="AK193" s="71">
        <f t="shared" si="60"/>
        <v>1</v>
      </c>
      <c r="AL193" s="18">
        <v>3</v>
      </c>
      <c r="AM193" s="71">
        <f t="shared" si="61"/>
        <v>1</v>
      </c>
      <c r="AN193" s="18">
        <v>2</v>
      </c>
      <c r="AO193" s="71">
        <f t="shared" si="62"/>
        <v>0.66666666666666663</v>
      </c>
      <c r="AP193" s="18">
        <v>2</v>
      </c>
      <c r="AQ193" s="71">
        <f t="shared" si="63"/>
        <v>0.66666666666666663</v>
      </c>
      <c r="AR193" s="85">
        <v>2</v>
      </c>
      <c r="AS193" s="18">
        <v>2</v>
      </c>
      <c r="AT193" s="71">
        <f t="shared" si="64"/>
        <v>0.66666666666666663</v>
      </c>
      <c r="AU193" s="18">
        <v>3</v>
      </c>
      <c r="AV193" s="71">
        <f t="shared" si="65"/>
        <v>1</v>
      </c>
      <c r="AW193" s="18">
        <v>1</v>
      </c>
      <c r="AX193" s="71">
        <f t="shared" si="66"/>
        <v>0.5</v>
      </c>
      <c r="AY193" s="18">
        <v>3</v>
      </c>
      <c r="AZ193" s="71">
        <f t="shared" si="67"/>
        <v>1</v>
      </c>
      <c r="BA193" s="94">
        <v>0</v>
      </c>
      <c r="BB193" s="94">
        <v>1</v>
      </c>
      <c r="BC193" s="94">
        <v>0</v>
      </c>
      <c r="BD193" s="94">
        <v>0</v>
      </c>
      <c r="BE193" s="102">
        <f t="shared" si="68"/>
        <v>1.147945023848171</v>
      </c>
      <c r="BF193" s="81">
        <f t="shared" si="69"/>
        <v>0.74331168922431134</v>
      </c>
      <c r="BG193" s="81" t="str">
        <f t="shared" si="70"/>
        <v>ALTO</v>
      </c>
      <c r="BK193" s="81" t="str">
        <f t="shared" si="71"/>
        <v>ALTO</v>
      </c>
    </row>
    <row r="194" spans="1:63" x14ac:dyDescent="0.15">
      <c r="A194" s="84">
        <v>1</v>
      </c>
      <c r="B194" s="84">
        <v>2</v>
      </c>
      <c r="C194" s="84">
        <v>2</v>
      </c>
      <c r="D194" s="84">
        <v>2</v>
      </c>
      <c r="E194" s="84">
        <v>1</v>
      </c>
      <c r="F194" s="17">
        <v>2</v>
      </c>
      <c r="G194" s="64">
        <f t="shared" ref="G194:G257" si="72">F194/2</f>
        <v>1</v>
      </c>
      <c r="H194" s="17">
        <v>1</v>
      </c>
      <c r="I194" s="64">
        <f t="shared" si="49"/>
        <v>0.5</v>
      </c>
      <c r="J194" s="17">
        <v>1</v>
      </c>
      <c r="K194" s="64">
        <f t="shared" si="50"/>
        <v>0.5</v>
      </c>
      <c r="L194" s="17">
        <v>1</v>
      </c>
      <c r="M194" s="64">
        <f t="shared" si="51"/>
        <v>0.33333333333333331</v>
      </c>
      <c r="N194" s="17">
        <v>3</v>
      </c>
      <c r="O194" s="64">
        <f t="shared" si="52"/>
        <v>0.6</v>
      </c>
      <c r="P194" s="17">
        <v>0</v>
      </c>
      <c r="Q194" s="64">
        <f t="shared" si="53"/>
        <v>0</v>
      </c>
      <c r="R194" s="25">
        <v>2</v>
      </c>
      <c r="S194" s="71">
        <f t="shared" si="54"/>
        <v>0.66666666666666663</v>
      </c>
      <c r="T194" s="17">
        <v>1</v>
      </c>
      <c r="U194" s="64">
        <f t="shared" si="55"/>
        <v>0.33333333333333331</v>
      </c>
      <c r="V194" s="17">
        <v>3</v>
      </c>
      <c r="W194" s="71">
        <f t="shared" si="56"/>
        <v>0.75</v>
      </c>
      <c r="X194" s="17">
        <v>2</v>
      </c>
      <c r="Y194" s="71">
        <f t="shared" si="57"/>
        <v>0.66666666666666663</v>
      </c>
      <c r="Z194" s="17">
        <v>2</v>
      </c>
      <c r="AA194" s="71">
        <f t="shared" si="58"/>
        <v>0.66666666666666663</v>
      </c>
      <c r="AB194" s="17">
        <v>2</v>
      </c>
      <c r="AC194" s="71">
        <f t="shared" si="59"/>
        <v>1</v>
      </c>
      <c r="AD194" s="84">
        <v>1</v>
      </c>
      <c r="AE194" s="84">
        <v>0</v>
      </c>
      <c r="AF194" s="84">
        <v>0</v>
      </c>
      <c r="AG194" s="84">
        <v>1</v>
      </c>
      <c r="AH194" s="84">
        <v>0</v>
      </c>
      <c r="AI194" s="84">
        <v>0</v>
      </c>
      <c r="AJ194" s="20">
        <v>1</v>
      </c>
      <c r="AK194" s="71">
        <f t="shared" si="60"/>
        <v>0.5</v>
      </c>
      <c r="AL194" s="17">
        <v>1</v>
      </c>
      <c r="AM194" s="71">
        <f t="shared" si="61"/>
        <v>0.33333333333333331</v>
      </c>
      <c r="AN194" s="17">
        <v>1</v>
      </c>
      <c r="AO194" s="71">
        <f t="shared" si="62"/>
        <v>0.33333333333333331</v>
      </c>
      <c r="AP194" s="17">
        <v>2</v>
      </c>
      <c r="AQ194" s="71">
        <f t="shared" si="63"/>
        <v>0.66666666666666663</v>
      </c>
      <c r="AR194" s="84">
        <v>2</v>
      </c>
      <c r="AS194" s="17">
        <v>1</v>
      </c>
      <c r="AT194" s="71">
        <f t="shared" si="64"/>
        <v>0.33333333333333331</v>
      </c>
      <c r="AU194" s="17">
        <v>0</v>
      </c>
      <c r="AV194" s="71">
        <f t="shared" si="65"/>
        <v>0</v>
      </c>
      <c r="AW194" s="17">
        <v>0</v>
      </c>
      <c r="AX194" s="71">
        <f t="shared" si="66"/>
        <v>0</v>
      </c>
      <c r="AY194" s="17">
        <v>2</v>
      </c>
      <c r="AZ194" s="71">
        <f t="shared" si="67"/>
        <v>0.66666666666666663</v>
      </c>
      <c r="BA194" s="93">
        <v>0</v>
      </c>
      <c r="BB194" s="93">
        <v>1</v>
      </c>
      <c r="BC194" s="93">
        <v>1</v>
      </c>
      <c r="BD194" s="93">
        <v>0</v>
      </c>
      <c r="BE194" s="102">
        <f t="shared" si="68"/>
        <v>2.5981296691616023</v>
      </c>
      <c r="BF194" s="81">
        <f t="shared" si="69"/>
        <v>0.41904054453961648</v>
      </c>
      <c r="BG194" s="81" t="str">
        <f t="shared" si="70"/>
        <v>MEDIO</v>
      </c>
      <c r="BK194" s="81" t="str">
        <f t="shared" si="71"/>
        <v>BASSO</v>
      </c>
    </row>
    <row r="195" spans="1:63" x14ac:dyDescent="0.15">
      <c r="A195" s="85">
        <v>2</v>
      </c>
      <c r="B195" s="85">
        <v>2</v>
      </c>
      <c r="C195" s="85">
        <v>3</v>
      </c>
      <c r="D195" s="85">
        <v>1</v>
      </c>
      <c r="E195" s="85">
        <v>1</v>
      </c>
      <c r="F195" s="18">
        <v>2</v>
      </c>
      <c r="G195" s="64">
        <f t="shared" si="72"/>
        <v>1</v>
      </c>
      <c r="H195" s="18">
        <v>1</v>
      </c>
      <c r="I195" s="64">
        <f t="shared" ref="I195:I258" si="73">H195/2</f>
        <v>0.5</v>
      </c>
      <c r="J195" s="18">
        <v>1</v>
      </c>
      <c r="K195" s="64">
        <f t="shared" ref="K195:K258" si="74">J195/2</f>
        <v>0.5</v>
      </c>
      <c r="L195" s="18">
        <v>2</v>
      </c>
      <c r="M195" s="64">
        <f t="shared" ref="M195:M258" si="75">L195/3</f>
        <v>0.66666666666666663</v>
      </c>
      <c r="N195" s="18">
        <v>5</v>
      </c>
      <c r="O195" s="64">
        <f t="shared" ref="O195:O258" si="76">N195/5</f>
        <v>1</v>
      </c>
      <c r="P195" s="18">
        <v>0</v>
      </c>
      <c r="Q195" s="64">
        <f t="shared" ref="Q195:Q258" si="77">P195/3</f>
        <v>0</v>
      </c>
      <c r="R195" s="24">
        <v>3</v>
      </c>
      <c r="S195" s="71">
        <f t="shared" ref="S195:S258" si="78">R195/3</f>
        <v>1</v>
      </c>
      <c r="T195" s="18">
        <v>3</v>
      </c>
      <c r="U195" s="64">
        <f t="shared" ref="U195:U258" si="79">T195/3</f>
        <v>1</v>
      </c>
      <c r="V195" s="18">
        <v>3</v>
      </c>
      <c r="W195" s="71">
        <f t="shared" ref="W195:W258" si="80">V195/4</f>
        <v>0.75</v>
      </c>
      <c r="X195" s="18">
        <v>3</v>
      </c>
      <c r="Y195" s="71">
        <f t="shared" ref="Y195:Y258" si="81">X195/3</f>
        <v>1</v>
      </c>
      <c r="Z195" s="18">
        <v>1</v>
      </c>
      <c r="AA195" s="71">
        <f t="shared" ref="AA195:AA258" si="82">Z195/3</f>
        <v>0.33333333333333331</v>
      </c>
      <c r="AB195" s="18">
        <v>1</v>
      </c>
      <c r="AC195" s="71">
        <f t="shared" ref="AC195:AC258" si="83">AB195/2</f>
        <v>0.5</v>
      </c>
      <c r="AD195" s="85">
        <v>1</v>
      </c>
      <c r="AE195" s="85">
        <v>0</v>
      </c>
      <c r="AF195" s="85">
        <v>0</v>
      </c>
      <c r="AG195" s="85">
        <v>1</v>
      </c>
      <c r="AH195" s="85">
        <v>0</v>
      </c>
      <c r="AI195" s="85">
        <v>0</v>
      </c>
      <c r="AJ195" s="19">
        <v>0</v>
      </c>
      <c r="AK195" s="71">
        <f t="shared" ref="AK195:AK258" si="84">AJ195/2</f>
        <v>0</v>
      </c>
      <c r="AL195" s="18">
        <v>1</v>
      </c>
      <c r="AM195" s="71">
        <f t="shared" ref="AM195:AM258" si="85">AL195/3</f>
        <v>0.33333333333333331</v>
      </c>
      <c r="AN195" s="18">
        <v>1</v>
      </c>
      <c r="AO195" s="71">
        <f t="shared" ref="AO195:AO258" si="86">AN195/3</f>
        <v>0.33333333333333331</v>
      </c>
      <c r="AP195" s="18">
        <v>1</v>
      </c>
      <c r="AQ195" s="71">
        <f t="shared" ref="AQ195:AQ258" si="87">AP195/3</f>
        <v>0.33333333333333331</v>
      </c>
      <c r="AR195" s="85">
        <v>2</v>
      </c>
      <c r="AS195" s="18">
        <v>0</v>
      </c>
      <c r="AT195" s="71">
        <f t="shared" ref="AT195:AT258" si="88">AS195/3</f>
        <v>0</v>
      </c>
      <c r="AU195" s="18">
        <v>3</v>
      </c>
      <c r="AV195" s="71">
        <f t="shared" ref="AV195:AV258" si="89">AU195/3</f>
        <v>1</v>
      </c>
      <c r="AW195" s="18">
        <v>0</v>
      </c>
      <c r="AX195" s="71">
        <f t="shared" ref="AX195:AX258" si="90">AW195/2</f>
        <v>0</v>
      </c>
      <c r="AY195" s="18">
        <v>3</v>
      </c>
      <c r="AZ195" s="71">
        <f t="shared" ref="AZ195:AZ258" si="91">AY195/3</f>
        <v>1</v>
      </c>
      <c r="BA195" s="94">
        <v>0</v>
      </c>
      <c r="BB195" s="94">
        <v>1</v>
      </c>
      <c r="BC195" s="94">
        <v>1</v>
      </c>
      <c r="BD195" s="94">
        <v>0</v>
      </c>
      <c r="BE195" s="102">
        <f t="shared" ref="BE195:BE258" si="92">SQRT((1-G195)^2 + (1-I195)^2 + (1-K195)^2 + (1-M195)^2 + (1-O195)^2 + (1-Q195)^2 + (1-S195)^2 + (1-U195)^2 + (1-W195)^2 + (1-Y195)^2 + (1-AA195)^2 + (1-AC195)^2 + (1-AK195)^2 + (1-AM195)^2 + (1-AO195)^2 + (1-AQ195)^2 + (1-AT195)^2 + (1-AV195)^2 + (1-AX195)^2 + (1-AZ195)^2)</f>
        <v>2.5887040945015114</v>
      </c>
      <c r="BF195" s="81">
        <f t="shared" ref="BF195:BF258" si="93">1 - (BE195 / 4.472135955)</f>
        <v>0.42114816710631253</v>
      </c>
      <c r="BG195" s="81" t="str">
        <f t="shared" ref="BG195:BG258" si="94">IF(BF195&lt;=0.33, "BASSO", IF(BF195&lt;=0.66, "MEDIO", "ALTO"))</f>
        <v>MEDIO</v>
      </c>
      <c r="BK195" s="81" t="str">
        <f t="shared" ref="BK195:BK258" si="95">IF(BF195&lt;0.3,"MOLTO BASSO",IF(BF195&lt;0.45,"BASSO",IF(BF195&lt;0.65,"MEDIO",IF(BF195&lt;0.8,"ALTO","MOLTO ALTO"))))</f>
        <v>BASSO</v>
      </c>
    </row>
    <row r="196" spans="1:63" x14ac:dyDescent="0.15">
      <c r="A196" s="84">
        <v>2</v>
      </c>
      <c r="B196" s="84">
        <v>1</v>
      </c>
      <c r="C196" s="84">
        <v>3</v>
      </c>
      <c r="D196" s="84">
        <v>3</v>
      </c>
      <c r="E196" s="84">
        <v>0</v>
      </c>
      <c r="F196" s="17">
        <v>2</v>
      </c>
      <c r="G196" s="64">
        <f t="shared" si="72"/>
        <v>1</v>
      </c>
      <c r="H196" s="17">
        <v>0</v>
      </c>
      <c r="I196" s="64">
        <f t="shared" si="73"/>
        <v>0</v>
      </c>
      <c r="J196" s="17">
        <v>0</v>
      </c>
      <c r="K196" s="64">
        <f t="shared" si="74"/>
        <v>0</v>
      </c>
      <c r="L196" s="17">
        <v>0</v>
      </c>
      <c r="M196" s="64">
        <f t="shared" si="75"/>
        <v>0</v>
      </c>
      <c r="N196" s="17">
        <v>0</v>
      </c>
      <c r="O196" s="64">
        <f t="shared" si="76"/>
        <v>0</v>
      </c>
      <c r="P196" s="17">
        <v>0</v>
      </c>
      <c r="Q196" s="64">
        <f t="shared" si="77"/>
        <v>0</v>
      </c>
      <c r="R196" s="25">
        <v>3</v>
      </c>
      <c r="S196" s="71">
        <f t="shared" si="78"/>
        <v>1</v>
      </c>
      <c r="T196" s="17">
        <v>0</v>
      </c>
      <c r="U196" s="64">
        <f t="shared" si="79"/>
        <v>0</v>
      </c>
      <c r="V196" s="17">
        <v>3</v>
      </c>
      <c r="W196" s="71">
        <f t="shared" si="80"/>
        <v>0.75</v>
      </c>
      <c r="X196" s="17">
        <v>2</v>
      </c>
      <c r="Y196" s="71">
        <f t="shared" si="81"/>
        <v>0.66666666666666663</v>
      </c>
      <c r="Z196" s="17">
        <v>1</v>
      </c>
      <c r="AA196" s="71">
        <f t="shared" si="82"/>
        <v>0.33333333333333331</v>
      </c>
      <c r="AB196" s="17">
        <v>3</v>
      </c>
      <c r="AC196" s="71">
        <f t="shared" si="83"/>
        <v>1.5</v>
      </c>
      <c r="AD196" s="84">
        <v>1</v>
      </c>
      <c r="AE196" s="84">
        <v>0</v>
      </c>
      <c r="AF196" s="84">
        <v>0</v>
      </c>
      <c r="AG196" s="84">
        <v>1</v>
      </c>
      <c r="AH196" s="84">
        <v>0</v>
      </c>
      <c r="AI196" s="84">
        <v>0</v>
      </c>
      <c r="AJ196" s="20">
        <v>1</v>
      </c>
      <c r="AK196" s="71">
        <f t="shared" si="84"/>
        <v>0.5</v>
      </c>
      <c r="AL196" s="17">
        <v>0</v>
      </c>
      <c r="AM196" s="71">
        <f t="shared" si="85"/>
        <v>0</v>
      </c>
      <c r="AN196" s="17">
        <v>0</v>
      </c>
      <c r="AO196" s="71">
        <f t="shared" si="86"/>
        <v>0</v>
      </c>
      <c r="AP196" s="17">
        <v>0</v>
      </c>
      <c r="AQ196" s="71">
        <f t="shared" si="87"/>
        <v>0</v>
      </c>
      <c r="AR196" s="84">
        <v>2</v>
      </c>
      <c r="AS196" s="17">
        <v>2</v>
      </c>
      <c r="AT196" s="71">
        <f t="shared" si="88"/>
        <v>0.66666666666666663</v>
      </c>
      <c r="AU196" s="17">
        <v>0</v>
      </c>
      <c r="AV196" s="71">
        <f t="shared" si="89"/>
        <v>0</v>
      </c>
      <c r="AW196" s="17">
        <v>0</v>
      </c>
      <c r="AX196" s="71">
        <f t="shared" si="90"/>
        <v>0</v>
      </c>
      <c r="AY196" s="17">
        <v>2</v>
      </c>
      <c r="AZ196" s="71">
        <f t="shared" si="91"/>
        <v>0.66666666666666663</v>
      </c>
      <c r="BA196" s="93">
        <v>0</v>
      </c>
      <c r="BB196" s="93">
        <v>0</v>
      </c>
      <c r="BC196" s="93">
        <v>0</v>
      </c>
      <c r="BD196" s="93">
        <v>1</v>
      </c>
      <c r="BE196" s="102">
        <f t="shared" si="92"/>
        <v>3.5128731513929985</v>
      </c>
      <c r="BF196" s="81">
        <f t="shared" si="93"/>
        <v>0.21449768371520839</v>
      </c>
      <c r="BG196" s="81" t="str">
        <f t="shared" si="94"/>
        <v>BASSO</v>
      </c>
      <c r="BK196" s="81" t="str">
        <f t="shared" si="95"/>
        <v>MOLTO BASSO</v>
      </c>
    </row>
    <row r="197" spans="1:63" x14ac:dyDescent="0.15">
      <c r="A197" s="85">
        <v>4</v>
      </c>
      <c r="B197" s="85">
        <v>0</v>
      </c>
      <c r="C197" s="85">
        <v>0</v>
      </c>
      <c r="D197" s="85">
        <v>1</v>
      </c>
      <c r="E197" s="85">
        <v>1</v>
      </c>
      <c r="F197" s="18">
        <v>2</v>
      </c>
      <c r="G197" s="64">
        <f t="shared" si="72"/>
        <v>1</v>
      </c>
      <c r="H197" s="18">
        <v>2</v>
      </c>
      <c r="I197" s="64">
        <f t="shared" si="73"/>
        <v>1</v>
      </c>
      <c r="J197" s="18">
        <v>2</v>
      </c>
      <c r="K197" s="64">
        <f t="shared" si="74"/>
        <v>1</v>
      </c>
      <c r="L197" s="18">
        <v>3</v>
      </c>
      <c r="M197" s="64">
        <f t="shared" si="75"/>
        <v>1</v>
      </c>
      <c r="N197" s="18">
        <v>4</v>
      </c>
      <c r="O197" s="64">
        <f t="shared" si="76"/>
        <v>0.8</v>
      </c>
      <c r="P197" s="18">
        <v>3</v>
      </c>
      <c r="Q197" s="64">
        <f t="shared" si="77"/>
        <v>1</v>
      </c>
      <c r="R197" s="24">
        <v>3</v>
      </c>
      <c r="S197" s="71">
        <f t="shared" si="78"/>
        <v>1</v>
      </c>
      <c r="T197" s="18">
        <v>3</v>
      </c>
      <c r="U197" s="64">
        <f t="shared" si="79"/>
        <v>1</v>
      </c>
      <c r="V197" s="18">
        <v>3</v>
      </c>
      <c r="W197" s="71">
        <f t="shared" si="80"/>
        <v>0.75</v>
      </c>
      <c r="X197" s="18">
        <v>3</v>
      </c>
      <c r="Y197" s="71">
        <f t="shared" si="81"/>
        <v>1</v>
      </c>
      <c r="Z197" s="18">
        <v>1</v>
      </c>
      <c r="AA197" s="71">
        <f t="shared" si="82"/>
        <v>0.33333333333333331</v>
      </c>
      <c r="AB197" s="18">
        <v>0</v>
      </c>
      <c r="AC197" s="71">
        <f t="shared" si="83"/>
        <v>0</v>
      </c>
      <c r="AD197" s="85">
        <v>1</v>
      </c>
      <c r="AE197" s="85">
        <v>0</v>
      </c>
      <c r="AF197" s="85">
        <v>1</v>
      </c>
      <c r="AG197" s="85">
        <v>0</v>
      </c>
      <c r="AH197" s="85">
        <v>0</v>
      </c>
      <c r="AI197" s="85">
        <v>0</v>
      </c>
      <c r="AJ197" s="19">
        <v>2</v>
      </c>
      <c r="AK197" s="71">
        <f t="shared" si="84"/>
        <v>1</v>
      </c>
      <c r="AL197" s="18">
        <v>2</v>
      </c>
      <c r="AM197" s="71">
        <f t="shared" si="85"/>
        <v>0.66666666666666663</v>
      </c>
      <c r="AN197" s="18">
        <v>1</v>
      </c>
      <c r="AO197" s="71">
        <f t="shared" si="86"/>
        <v>0.33333333333333331</v>
      </c>
      <c r="AP197" s="18">
        <v>3</v>
      </c>
      <c r="AQ197" s="71">
        <f t="shared" si="87"/>
        <v>1</v>
      </c>
      <c r="AR197" s="85">
        <v>3</v>
      </c>
      <c r="AS197" s="18">
        <v>3</v>
      </c>
      <c r="AT197" s="71">
        <f t="shared" si="88"/>
        <v>1</v>
      </c>
      <c r="AU197" s="18">
        <v>3</v>
      </c>
      <c r="AV197" s="71">
        <f t="shared" si="89"/>
        <v>1</v>
      </c>
      <c r="AW197" s="18">
        <v>0</v>
      </c>
      <c r="AX197" s="71">
        <f t="shared" si="90"/>
        <v>0</v>
      </c>
      <c r="AY197" s="18">
        <v>3</v>
      </c>
      <c r="AZ197" s="71">
        <f t="shared" si="91"/>
        <v>1</v>
      </c>
      <c r="BA197" s="94">
        <v>1</v>
      </c>
      <c r="BB197" s="94">
        <v>1</v>
      </c>
      <c r="BC197" s="94">
        <v>0</v>
      </c>
      <c r="BD197" s="94">
        <v>0</v>
      </c>
      <c r="BE197" s="102">
        <f t="shared" si="92"/>
        <v>1.7613914953808538</v>
      </c>
      <c r="BF197" s="81">
        <f t="shared" si="93"/>
        <v>0.60614088813387745</v>
      </c>
      <c r="BG197" s="81" t="str">
        <f t="shared" si="94"/>
        <v>MEDIO</v>
      </c>
      <c r="BK197" s="81" t="str">
        <f t="shared" si="95"/>
        <v>MEDIO</v>
      </c>
    </row>
    <row r="198" spans="1:63" x14ac:dyDescent="0.15">
      <c r="A198" s="84">
        <v>2</v>
      </c>
      <c r="B198" s="84">
        <v>2</v>
      </c>
      <c r="C198" s="84">
        <v>2</v>
      </c>
      <c r="D198" s="84">
        <v>1</v>
      </c>
      <c r="E198" s="84">
        <v>1</v>
      </c>
      <c r="F198" s="17">
        <v>1</v>
      </c>
      <c r="G198" s="64">
        <f t="shared" si="72"/>
        <v>0.5</v>
      </c>
      <c r="H198" s="17">
        <v>1</v>
      </c>
      <c r="I198" s="64">
        <f t="shared" si="73"/>
        <v>0.5</v>
      </c>
      <c r="J198" s="17">
        <v>1</v>
      </c>
      <c r="K198" s="64">
        <f t="shared" si="74"/>
        <v>0.5</v>
      </c>
      <c r="L198" s="17">
        <v>2</v>
      </c>
      <c r="M198" s="64">
        <f t="shared" si="75"/>
        <v>0.66666666666666663</v>
      </c>
      <c r="N198" s="17">
        <v>1</v>
      </c>
      <c r="O198" s="64">
        <f t="shared" si="76"/>
        <v>0.2</v>
      </c>
      <c r="P198" s="17">
        <v>2</v>
      </c>
      <c r="Q198" s="64">
        <f t="shared" si="77"/>
        <v>0.66666666666666663</v>
      </c>
      <c r="R198" s="25">
        <v>2</v>
      </c>
      <c r="S198" s="71">
        <f t="shared" si="78"/>
        <v>0.66666666666666663</v>
      </c>
      <c r="T198" s="17">
        <v>2</v>
      </c>
      <c r="U198" s="64">
        <f t="shared" si="79"/>
        <v>0.66666666666666663</v>
      </c>
      <c r="V198" s="17">
        <v>0</v>
      </c>
      <c r="W198" s="71">
        <f t="shared" si="80"/>
        <v>0</v>
      </c>
      <c r="X198" s="17">
        <v>0</v>
      </c>
      <c r="Y198" s="71">
        <f t="shared" si="81"/>
        <v>0</v>
      </c>
      <c r="Z198" s="17">
        <v>1</v>
      </c>
      <c r="AA198" s="71">
        <f t="shared" si="82"/>
        <v>0.33333333333333331</v>
      </c>
      <c r="AB198" s="17">
        <v>2</v>
      </c>
      <c r="AC198" s="71">
        <f t="shared" si="83"/>
        <v>1</v>
      </c>
      <c r="AD198" s="84">
        <v>0</v>
      </c>
      <c r="AE198" s="84">
        <v>0</v>
      </c>
      <c r="AF198" s="84">
        <v>0</v>
      </c>
      <c r="AG198" s="84">
        <v>1</v>
      </c>
      <c r="AH198" s="84">
        <v>0</v>
      </c>
      <c r="AI198" s="84">
        <v>0</v>
      </c>
      <c r="AJ198" s="20">
        <v>0</v>
      </c>
      <c r="AK198" s="71">
        <f t="shared" si="84"/>
        <v>0</v>
      </c>
      <c r="AL198" s="17">
        <v>0</v>
      </c>
      <c r="AM198" s="71">
        <f t="shared" si="85"/>
        <v>0</v>
      </c>
      <c r="AN198" s="17">
        <v>2</v>
      </c>
      <c r="AO198" s="71">
        <f t="shared" si="86"/>
        <v>0.66666666666666663</v>
      </c>
      <c r="AP198" s="17">
        <v>0</v>
      </c>
      <c r="AQ198" s="71">
        <f t="shared" si="87"/>
        <v>0</v>
      </c>
      <c r="AR198" s="84">
        <v>2</v>
      </c>
      <c r="AS198" s="17">
        <v>0</v>
      </c>
      <c r="AT198" s="71">
        <f t="shared" si="88"/>
        <v>0</v>
      </c>
      <c r="AU198" s="17">
        <v>1</v>
      </c>
      <c r="AV198" s="71">
        <f t="shared" si="89"/>
        <v>0.33333333333333331</v>
      </c>
      <c r="AW198" s="17">
        <v>1</v>
      </c>
      <c r="AX198" s="71">
        <f t="shared" si="90"/>
        <v>0.5</v>
      </c>
      <c r="AY198" s="17">
        <v>1</v>
      </c>
      <c r="AZ198" s="71">
        <f t="shared" si="91"/>
        <v>0.33333333333333331</v>
      </c>
      <c r="BA198" s="93">
        <v>0</v>
      </c>
      <c r="BB198" s="93">
        <v>0</v>
      </c>
      <c r="BC198" s="93">
        <v>0</v>
      </c>
      <c r="BD198" s="93">
        <v>1</v>
      </c>
      <c r="BE198" s="102">
        <f t="shared" si="92"/>
        <v>3.0868898407440604</v>
      </c>
      <c r="BF198" s="81">
        <f t="shared" si="93"/>
        <v>0.30975044770434301</v>
      </c>
      <c r="BG198" s="81" t="str">
        <f t="shared" si="94"/>
        <v>BASSO</v>
      </c>
      <c r="BK198" s="81" t="str">
        <f t="shared" si="95"/>
        <v>BASSO</v>
      </c>
    </row>
    <row r="199" spans="1:63" x14ac:dyDescent="0.15">
      <c r="A199" s="85">
        <v>5</v>
      </c>
      <c r="B199" s="85">
        <v>2</v>
      </c>
      <c r="C199" s="85">
        <v>3</v>
      </c>
      <c r="D199" s="85">
        <v>3</v>
      </c>
      <c r="E199" s="85">
        <v>1</v>
      </c>
      <c r="F199" s="18">
        <v>2</v>
      </c>
      <c r="G199" s="64">
        <f t="shared" si="72"/>
        <v>1</v>
      </c>
      <c r="H199" s="18">
        <v>2</v>
      </c>
      <c r="I199" s="64">
        <f t="shared" si="73"/>
        <v>1</v>
      </c>
      <c r="J199" s="18">
        <v>2</v>
      </c>
      <c r="K199" s="64">
        <f t="shared" si="74"/>
        <v>1</v>
      </c>
      <c r="L199" s="18">
        <v>3</v>
      </c>
      <c r="M199" s="64">
        <f t="shared" si="75"/>
        <v>1</v>
      </c>
      <c r="N199" s="18">
        <v>0</v>
      </c>
      <c r="O199" s="64">
        <f t="shared" si="76"/>
        <v>0</v>
      </c>
      <c r="P199" s="18">
        <v>3</v>
      </c>
      <c r="Q199" s="64">
        <f t="shared" si="77"/>
        <v>1</v>
      </c>
      <c r="R199" s="24">
        <v>0</v>
      </c>
      <c r="S199" s="71">
        <f t="shared" si="78"/>
        <v>0</v>
      </c>
      <c r="T199" s="18">
        <v>2</v>
      </c>
      <c r="U199" s="64">
        <f t="shared" si="79"/>
        <v>0.66666666666666663</v>
      </c>
      <c r="V199" s="18">
        <v>0</v>
      </c>
      <c r="W199" s="71">
        <f t="shared" si="80"/>
        <v>0</v>
      </c>
      <c r="X199" s="18">
        <v>0</v>
      </c>
      <c r="Y199" s="71">
        <f t="shared" si="81"/>
        <v>0</v>
      </c>
      <c r="Z199" s="18">
        <v>1</v>
      </c>
      <c r="AA199" s="71">
        <f t="shared" si="82"/>
        <v>0.33333333333333331</v>
      </c>
      <c r="AB199" s="18">
        <v>2</v>
      </c>
      <c r="AC199" s="71">
        <f t="shared" si="83"/>
        <v>1</v>
      </c>
      <c r="AD199" s="85">
        <v>0</v>
      </c>
      <c r="AE199" s="85">
        <v>0</v>
      </c>
      <c r="AF199" s="85">
        <v>0</v>
      </c>
      <c r="AG199" s="85">
        <v>0</v>
      </c>
      <c r="AH199" s="85">
        <v>1</v>
      </c>
      <c r="AI199" s="85">
        <v>0</v>
      </c>
      <c r="AJ199" s="19">
        <v>0</v>
      </c>
      <c r="AK199" s="71">
        <f t="shared" si="84"/>
        <v>0</v>
      </c>
      <c r="AL199" s="18">
        <v>0</v>
      </c>
      <c r="AM199" s="71">
        <f t="shared" si="85"/>
        <v>0</v>
      </c>
      <c r="AN199" s="18">
        <v>1</v>
      </c>
      <c r="AO199" s="71">
        <f t="shared" si="86"/>
        <v>0.33333333333333331</v>
      </c>
      <c r="AP199" s="18">
        <v>1</v>
      </c>
      <c r="AQ199" s="71">
        <f t="shared" si="87"/>
        <v>0.33333333333333331</v>
      </c>
      <c r="AR199" s="85">
        <v>3</v>
      </c>
      <c r="AS199" s="18">
        <v>0</v>
      </c>
      <c r="AT199" s="71">
        <f t="shared" si="88"/>
        <v>0</v>
      </c>
      <c r="AU199" s="18">
        <v>0</v>
      </c>
      <c r="AV199" s="71">
        <f t="shared" si="89"/>
        <v>0</v>
      </c>
      <c r="AW199" s="18">
        <v>0</v>
      </c>
      <c r="AX199" s="71">
        <f t="shared" si="90"/>
        <v>0</v>
      </c>
      <c r="AY199" s="18">
        <v>2</v>
      </c>
      <c r="AZ199" s="71">
        <f t="shared" si="91"/>
        <v>0.66666666666666663</v>
      </c>
      <c r="BA199" s="94">
        <v>0</v>
      </c>
      <c r="BB199" s="94">
        <v>0</v>
      </c>
      <c r="BC199" s="94">
        <v>0</v>
      </c>
      <c r="BD199" s="94">
        <v>1</v>
      </c>
      <c r="BE199" s="102">
        <f t="shared" si="92"/>
        <v>3.2489314482696545</v>
      </c>
      <c r="BF199" s="81">
        <f t="shared" si="93"/>
        <v>0.27351684274328936</v>
      </c>
      <c r="BG199" s="81" t="str">
        <f t="shared" si="94"/>
        <v>BASSO</v>
      </c>
      <c r="BK199" s="81" t="str">
        <f t="shared" si="95"/>
        <v>MOLTO BASSO</v>
      </c>
    </row>
    <row r="200" spans="1:63" x14ac:dyDescent="0.15">
      <c r="A200" s="84">
        <v>2</v>
      </c>
      <c r="B200" s="84">
        <v>2</v>
      </c>
      <c r="C200" s="84">
        <v>2</v>
      </c>
      <c r="D200" s="84">
        <v>2</v>
      </c>
      <c r="E200" s="84">
        <v>1</v>
      </c>
      <c r="F200" s="17">
        <v>0</v>
      </c>
      <c r="G200" s="64">
        <f t="shared" si="72"/>
        <v>0</v>
      </c>
      <c r="H200" s="17">
        <v>2</v>
      </c>
      <c r="I200" s="64">
        <f t="shared" si="73"/>
        <v>1</v>
      </c>
      <c r="J200" s="17">
        <v>1</v>
      </c>
      <c r="K200" s="64">
        <f t="shared" si="74"/>
        <v>0.5</v>
      </c>
      <c r="L200" s="17">
        <v>1</v>
      </c>
      <c r="M200" s="64">
        <f t="shared" si="75"/>
        <v>0.33333333333333331</v>
      </c>
      <c r="N200" s="17">
        <v>2</v>
      </c>
      <c r="O200" s="64">
        <f t="shared" si="76"/>
        <v>0.4</v>
      </c>
      <c r="P200" s="17">
        <v>0</v>
      </c>
      <c r="Q200" s="64">
        <f t="shared" si="77"/>
        <v>0</v>
      </c>
      <c r="R200" s="25">
        <v>3</v>
      </c>
      <c r="S200" s="71">
        <f t="shared" si="78"/>
        <v>1</v>
      </c>
      <c r="T200" s="17">
        <v>2</v>
      </c>
      <c r="U200" s="64">
        <f t="shared" si="79"/>
        <v>0.66666666666666663</v>
      </c>
      <c r="V200" s="17">
        <v>3</v>
      </c>
      <c r="W200" s="71">
        <f t="shared" si="80"/>
        <v>0.75</v>
      </c>
      <c r="X200" s="17">
        <v>3</v>
      </c>
      <c r="Y200" s="71">
        <f t="shared" si="81"/>
        <v>1</v>
      </c>
      <c r="Z200" s="17">
        <v>2</v>
      </c>
      <c r="AA200" s="71">
        <f t="shared" si="82"/>
        <v>0.66666666666666663</v>
      </c>
      <c r="AB200" s="17">
        <v>0</v>
      </c>
      <c r="AC200" s="71">
        <f t="shared" si="83"/>
        <v>0</v>
      </c>
      <c r="AD200" s="84">
        <v>1</v>
      </c>
      <c r="AE200" s="84">
        <v>0</v>
      </c>
      <c r="AF200" s="84">
        <v>1</v>
      </c>
      <c r="AG200" s="84">
        <v>0</v>
      </c>
      <c r="AH200" s="84">
        <v>0</v>
      </c>
      <c r="AI200" s="84">
        <v>0</v>
      </c>
      <c r="AJ200" s="20">
        <v>1</v>
      </c>
      <c r="AK200" s="71">
        <f t="shared" si="84"/>
        <v>0.5</v>
      </c>
      <c r="AL200" s="17">
        <v>3</v>
      </c>
      <c r="AM200" s="71">
        <f t="shared" si="85"/>
        <v>1</v>
      </c>
      <c r="AN200" s="17">
        <v>1</v>
      </c>
      <c r="AO200" s="71">
        <f t="shared" si="86"/>
        <v>0.33333333333333331</v>
      </c>
      <c r="AP200" s="17">
        <v>1</v>
      </c>
      <c r="AQ200" s="71">
        <f t="shared" si="87"/>
        <v>0.33333333333333331</v>
      </c>
      <c r="AR200" s="84">
        <v>0</v>
      </c>
      <c r="AS200" s="17">
        <v>3</v>
      </c>
      <c r="AT200" s="71">
        <f t="shared" si="88"/>
        <v>1</v>
      </c>
      <c r="AU200" s="17">
        <v>1</v>
      </c>
      <c r="AV200" s="71">
        <f t="shared" si="89"/>
        <v>0.33333333333333331</v>
      </c>
      <c r="AW200" s="17">
        <v>1</v>
      </c>
      <c r="AX200" s="71">
        <f t="shared" si="90"/>
        <v>0.5</v>
      </c>
      <c r="AY200" s="17">
        <v>3</v>
      </c>
      <c r="AZ200" s="71">
        <f t="shared" si="91"/>
        <v>1</v>
      </c>
      <c r="BA200" s="93">
        <v>1</v>
      </c>
      <c r="BB200" s="93">
        <v>0</v>
      </c>
      <c r="BC200" s="93">
        <v>1</v>
      </c>
      <c r="BD200" s="93"/>
      <c r="BE200" s="102">
        <f t="shared" si="92"/>
        <v>2.484451649760969</v>
      </c>
      <c r="BF200" s="81">
        <f t="shared" si="93"/>
        <v>0.44445972243234966</v>
      </c>
      <c r="BG200" s="81" t="str">
        <f t="shared" si="94"/>
        <v>MEDIO</v>
      </c>
      <c r="BK200" s="81" t="str">
        <f t="shared" si="95"/>
        <v>BASSO</v>
      </c>
    </row>
    <row r="201" spans="1:63" x14ac:dyDescent="0.15">
      <c r="A201" s="85">
        <v>1</v>
      </c>
      <c r="B201" s="85">
        <v>2</v>
      </c>
      <c r="C201" s="85">
        <v>1</v>
      </c>
      <c r="D201" s="85">
        <v>0</v>
      </c>
      <c r="E201" s="85">
        <v>0</v>
      </c>
      <c r="F201" s="18">
        <v>2</v>
      </c>
      <c r="G201" s="64">
        <f t="shared" si="72"/>
        <v>1</v>
      </c>
      <c r="H201" s="18">
        <v>2</v>
      </c>
      <c r="I201" s="64">
        <f t="shared" si="73"/>
        <v>1</v>
      </c>
      <c r="J201" s="17">
        <v>1</v>
      </c>
      <c r="K201" s="64">
        <f t="shared" si="74"/>
        <v>0.5</v>
      </c>
      <c r="L201" s="18">
        <v>3</v>
      </c>
      <c r="M201" s="64">
        <f t="shared" si="75"/>
        <v>1</v>
      </c>
      <c r="N201" s="18">
        <v>3</v>
      </c>
      <c r="O201" s="64">
        <f t="shared" si="76"/>
        <v>0.6</v>
      </c>
      <c r="P201" s="18">
        <v>2</v>
      </c>
      <c r="Q201" s="64">
        <f t="shared" si="77"/>
        <v>0.66666666666666663</v>
      </c>
      <c r="R201" s="24">
        <v>3</v>
      </c>
      <c r="S201" s="71">
        <f t="shared" si="78"/>
        <v>1</v>
      </c>
      <c r="T201" s="18">
        <v>3</v>
      </c>
      <c r="U201" s="64">
        <f t="shared" si="79"/>
        <v>1</v>
      </c>
      <c r="V201" s="18">
        <v>3</v>
      </c>
      <c r="W201" s="71">
        <f t="shared" si="80"/>
        <v>0.75</v>
      </c>
      <c r="X201" s="18">
        <v>3</v>
      </c>
      <c r="Y201" s="71">
        <f t="shared" si="81"/>
        <v>1</v>
      </c>
      <c r="Z201" s="18">
        <v>3</v>
      </c>
      <c r="AA201" s="71">
        <f t="shared" si="82"/>
        <v>1</v>
      </c>
      <c r="AB201" s="18">
        <v>2</v>
      </c>
      <c r="AC201" s="71">
        <f t="shared" si="83"/>
        <v>1</v>
      </c>
      <c r="AD201" s="85">
        <v>1</v>
      </c>
      <c r="AE201" s="85">
        <v>1</v>
      </c>
      <c r="AF201" s="85">
        <v>0</v>
      </c>
      <c r="AG201" s="85">
        <v>0</v>
      </c>
      <c r="AH201" s="85">
        <v>0</v>
      </c>
      <c r="AI201" s="85">
        <v>0</v>
      </c>
      <c r="AJ201" s="19">
        <v>1</v>
      </c>
      <c r="AK201" s="71">
        <f t="shared" si="84"/>
        <v>0.5</v>
      </c>
      <c r="AL201" s="18">
        <v>3</v>
      </c>
      <c r="AM201" s="71">
        <f t="shared" si="85"/>
        <v>1</v>
      </c>
      <c r="AN201" s="18">
        <v>2</v>
      </c>
      <c r="AO201" s="71">
        <f t="shared" si="86"/>
        <v>0.66666666666666663</v>
      </c>
      <c r="AP201" s="18">
        <v>3</v>
      </c>
      <c r="AQ201" s="71">
        <f t="shared" si="87"/>
        <v>1</v>
      </c>
      <c r="AR201" s="85">
        <v>0</v>
      </c>
      <c r="AS201" s="18">
        <v>2</v>
      </c>
      <c r="AT201" s="71">
        <f t="shared" si="88"/>
        <v>0.66666666666666663</v>
      </c>
      <c r="AU201" s="18">
        <v>3</v>
      </c>
      <c r="AV201" s="71">
        <f t="shared" si="89"/>
        <v>1</v>
      </c>
      <c r="AW201" s="18">
        <v>2</v>
      </c>
      <c r="AX201" s="71">
        <f t="shared" si="90"/>
        <v>1</v>
      </c>
      <c r="AY201" s="18">
        <v>3</v>
      </c>
      <c r="AZ201" s="71">
        <f t="shared" si="91"/>
        <v>1</v>
      </c>
      <c r="BA201" s="94">
        <v>1</v>
      </c>
      <c r="BB201" s="94">
        <v>1</v>
      </c>
      <c r="BC201" s="94">
        <v>0</v>
      </c>
      <c r="BD201" s="94">
        <v>0</v>
      </c>
      <c r="BE201" s="102">
        <f t="shared" si="92"/>
        <v>1.0275375094532235</v>
      </c>
      <c r="BF201" s="81">
        <f t="shared" si="93"/>
        <v>0.77023562794319755</v>
      </c>
      <c r="BG201" s="81" t="str">
        <f t="shared" si="94"/>
        <v>ALTO</v>
      </c>
      <c r="BK201" s="81" t="str">
        <f t="shared" si="95"/>
        <v>ALTO</v>
      </c>
    </row>
    <row r="202" spans="1:63" x14ac:dyDescent="0.15">
      <c r="A202" s="84">
        <v>2</v>
      </c>
      <c r="B202" s="84">
        <v>1</v>
      </c>
      <c r="C202" s="84">
        <v>1</v>
      </c>
      <c r="D202" s="84">
        <v>2</v>
      </c>
      <c r="E202" s="84">
        <v>1</v>
      </c>
      <c r="F202" s="17">
        <v>2</v>
      </c>
      <c r="G202" s="64">
        <f t="shared" si="72"/>
        <v>1</v>
      </c>
      <c r="H202" s="17">
        <v>2</v>
      </c>
      <c r="I202" s="64">
        <f t="shared" si="73"/>
        <v>1</v>
      </c>
      <c r="J202" s="17">
        <v>2</v>
      </c>
      <c r="K202" s="64">
        <f t="shared" si="74"/>
        <v>1</v>
      </c>
      <c r="L202" s="17">
        <v>3</v>
      </c>
      <c r="M202" s="64">
        <f t="shared" si="75"/>
        <v>1</v>
      </c>
      <c r="N202" s="17">
        <v>4</v>
      </c>
      <c r="O202" s="64">
        <f t="shared" si="76"/>
        <v>0.8</v>
      </c>
      <c r="P202" s="17">
        <v>3</v>
      </c>
      <c r="Q202" s="64">
        <f t="shared" si="77"/>
        <v>1</v>
      </c>
      <c r="R202" s="25">
        <v>3</v>
      </c>
      <c r="S202" s="71">
        <f t="shared" si="78"/>
        <v>1</v>
      </c>
      <c r="T202" s="17">
        <v>2</v>
      </c>
      <c r="U202" s="64">
        <f t="shared" si="79"/>
        <v>0.66666666666666663</v>
      </c>
      <c r="V202" s="17">
        <v>4</v>
      </c>
      <c r="W202" s="71">
        <f t="shared" si="80"/>
        <v>1</v>
      </c>
      <c r="X202" s="17">
        <v>3</v>
      </c>
      <c r="Y202" s="71">
        <f t="shared" si="81"/>
        <v>1</v>
      </c>
      <c r="Z202" s="17">
        <v>3</v>
      </c>
      <c r="AA202" s="71">
        <f t="shared" si="82"/>
        <v>1</v>
      </c>
      <c r="AB202" s="17">
        <v>0</v>
      </c>
      <c r="AC202" s="71">
        <f t="shared" si="83"/>
        <v>0</v>
      </c>
      <c r="AD202" s="84">
        <v>1</v>
      </c>
      <c r="AE202" s="84">
        <v>0</v>
      </c>
      <c r="AF202" s="84">
        <v>1</v>
      </c>
      <c r="AG202" s="84">
        <v>0</v>
      </c>
      <c r="AH202" s="84">
        <v>0</v>
      </c>
      <c r="AI202" s="84">
        <v>0</v>
      </c>
      <c r="AJ202" s="20">
        <v>2</v>
      </c>
      <c r="AK202" s="71">
        <f t="shared" si="84"/>
        <v>1</v>
      </c>
      <c r="AL202" s="17">
        <v>1</v>
      </c>
      <c r="AM202" s="71">
        <f t="shared" si="85"/>
        <v>0.33333333333333331</v>
      </c>
      <c r="AN202" s="17">
        <v>2</v>
      </c>
      <c r="AO202" s="71">
        <f t="shared" si="86"/>
        <v>0.66666666666666663</v>
      </c>
      <c r="AP202" s="17">
        <v>2</v>
      </c>
      <c r="AQ202" s="71">
        <f t="shared" si="87"/>
        <v>0.66666666666666663</v>
      </c>
      <c r="AR202" s="84">
        <v>2</v>
      </c>
      <c r="AS202" s="17">
        <v>3</v>
      </c>
      <c r="AT202" s="71">
        <f t="shared" si="88"/>
        <v>1</v>
      </c>
      <c r="AU202" s="17">
        <v>3</v>
      </c>
      <c r="AV202" s="71">
        <f t="shared" si="89"/>
        <v>1</v>
      </c>
      <c r="AW202" s="17">
        <v>2</v>
      </c>
      <c r="AX202" s="71">
        <f t="shared" si="90"/>
        <v>1</v>
      </c>
      <c r="AY202" s="17">
        <v>1</v>
      </c>
      <c r="AZ202" s="71">
        <f t="shared" si="91"/>
        <v>0.33333333333333331</v>
      </c>
      <c r="BA202" s="96">
        <v>1</v>
      </c>
      <c r="BB202" s="96">
        <v>0</v>
      </c>
      <c r="BC202" s="96">
        <v>1</v>
      </c>
      <c r="BD202" s="96">
        <v>0</v>
      </c>
      <c r="BE202" s="102">
        <f t="shared" si="92"/>
        <v>1.5040685563571305</v>
      </c>
      <c r="BF202" s="81">
        <f t="shared" si="93"/>
        <v>0.66368004651657986</v>
      </c>
      <c r="BG202" s="81" t="str">
        <f t="shared" si="94"/>
        <v>ALTO</v>
      </c>
      <c r="BK202" s="81" t="str">
        <f t="shared" si="95"/>
        <v>ALTO</v>
      </c>
    </row>
    <row r="203" spans="1:63" x14ac:dyDescent="0.15">
      <c r="A203" s="85">
        <v>5</v>
      </c>
      <c r="B203" s="85">
        <v>2</v>
      </c>
      <c r="C203" s="85">
        <v>1</v>
      </c>
      <c r="D203" s="85">
        <v>2</v>
      </c>
      <c r="E203" s="85">
        <v>1</v>
      </c>
      <c r="F203" s="18">
        <v>0</v>
      </c>
      <c r="G203" s="64">
        <f t="shared" si="72"/>
        <v>0</v>
      </c>
      <c r="H203" s="18">
        <v>0</v>
      </c>
      <c r="I203" s="64">
        <f t="shared" si="73"/>
        <v>0</v>
      </c>
      <c r="J203" s="18">
        <v>1</v>
      </c>
      <c r="K203" s="64">
        <f t="shared" si="74"/>
        <v>0.5</v>
      </c>
      <c r="L203" s="18">
        <v>1</v>
      </c>
      <c r="M203" s="64">
        <f t="shared" si="75"/>
        <v>0.33333333333333331</v>
      </c>
      <c r="N203" s="18">
        <v>5</v>
      </c>
      <c r="O203" s="64">
        <f t="shared" si="76"/>
        <v>1</v>
      </c>
      <c r="P203" s="18">
        <v>0</v>
      </c>
      <c r="Q203" s="64">
        <f t="shared" si="77"/>
        <v>0</v>
      </c>
      <c r="R203" s="24">
        <v>2</v>
      </c>
      <c r="S203" s="71">
        <f t="shared" si="78"/>
        <v>0.66666666666666663</v>
      </c>
      <c r="T203" s="18">
        <v>1</v>
      </c>
      <c r="U203" s="64">
        <f t="shared" si="79"/>
        <v>0.33333333333333331</v>
      </c>
      <c r="V203" s="18">
        <v>4</v>
      </c>
      <c r="W203" s="71">
        <f t="shared" si="80"/>
        <v>1</v>
      </c>
      <c r="X203" s="18">
        <v>2</v>
      </c>
      <c r="Y203" s="71">
        <f t="shared" si="81"/>
        <v>0.66666666666666663</v>
      </c>
      <c r="Z203" s="18">
        <v>2</v>
      </c>
      <c r="AA203" s="71">
        <f t="shared" si="82"/>
        <v>0.66666666666666663</v>
      </c>
      <c r="AB203" s="18">
        <v>1</v>
      </c>
      <c r="AC203" s="71">
        <f t="shared" si="83"/>
        <v>0.5</v>
      </c>
      <c r="AD203" s="85">
        <v>0</v>
      </c>
      <c r="AE203" s="85">
        <v>0</v>
      </c>
      <c r="AF203" s="85">
        <v>1</v>
      </c>
      <c r="AG203" s="85">
        <v>1</v>
      </c>
      <c r="AH203" s="85">
        <v>0</v>
      </c>
      <c r="AI203" s="85">
        <v>0</v>
      </c>
      <c r="AJ203" s="19">
        <v>1</v>
      </c>
      <c r="AK203" s="71">
        <f t="shared" si="84"/>
        <v>0.5</v>
      </c>
      <c r="AL203" s="18">
        <v>3</v>
      </c>
      <c r="AM203" s="71">
        <f t="shared" si="85"/>
        <v>1</v>
      </c>
      <c r="AN203" s="18">
        <v>0</v>
      </c>
      <c r="AO203" s="71">
        <f t="shared" si="86"/>
        <v>0</v>
      </c>
      <c r="AP203" s="18">
        <v>1</v>
      </c>
      <c r="AQ203" s="71">
        <f t="shared" si="87"/>
        <v>0.33333333333333331</v>
      </c>
      <c r="AR203" s="85">
        <v>2</v>
      </c>
      <c r="AS203" s="18">
        <v>2</v>
      </c>
      <c r="AT203" s="71">
        <f t="shared" si="88"/>
        <v>0.66666666666666663</v>
      </c>
      <c r="AU203" s="18">
        <v>2</v>
      </c>
      <c r="AV203" s="71">
        <f t="shared" si="89"/>
        <v>0.66666666666666663</v>
      </c>
      <c r="AW203" s="18">
        <v>1</v>
      </c>
      <c r="AX203" s="71">
        <f t="shared" si="90"/>
        <v>0.5</v>
      </c>
      <c r="AY203" s="18">
        <v>2</v>
      </c>
      <c r="AZ203" s="71">
        <f t="shared" si="91"/>
        <v>0.66666666666666663</v>
      </c>
      <c r="BA203" s="94">
        <v>1</v>
      </c>
      <c r="BB203" s="94">
        <v>0</v>
      </c>
      <c r="BC203" s="94">
        <v>0</v>
      </c>
      <c r="BD203" s="94">
        <v>0</v>
      </c>
      <c r="BE203" s="102">
        <f t="shared" si="92"/>
        <v>2.6457513110645903</v>
      </c>
      <c r="BF203" s="81">
        <f t="shared" si="93"/>
        <v>0.40839202169009403</v>
      </c>
      <c r="BG203" s="81" t="str">
        <f t="shared" si="94"/>
        <v>MEDIO</v>
      </c>
      <c r="BK203" s="81" t="str">
        <f t="shared" si="95"/>
        <v>BASSO</v>
      </c>
    </row>
    <row r="204" spans="1:63" x14ac:dyDescent="0.15">
      <c r="A204" s="84">
        <v>3</v>
      </c>
      <c r="B204" s="84">
        <v>1</v>
      </c>
      <c r="C204" s="84">
        <v>3</v>
      </c>
      <c r="D204" s="84">
        <v>2</v>
      </c>
      <c r="E204" s="84">
        <v>1</v>
      </c>
      <c r="F204" s="17">
        <v>2</v>
      </c>
      <c r="G204" s="64">
        <f t="shared" si="72"/>
        <v>1</v>
      </c>
      <c r="H204" s="17">
        <v>2</v>
      </c>
      <c r="I204" s="64">
        <f t="shared" si="73"/>
        <v>1</v>
      </c>
      <c r="J204" s="17">
        <v>1</v>
      </c>
      <c r="K204" s="64">
        <f t="shared" si="74"/>
        <v>0.5</v>
      </c>
      <c r="L204" s="17">
        <v>2</v>
      </c>
      <c r="M204" s="64">
        <f t="shared" si="75"/>
        <v>0.66666666666666663</v>
      </c>
      <c r="N204" s="17">
        <v>0</v>
      </c>
      <c r="O204" s="64">
        <f t="shared" si="76"/>
        <v>0</v>
      </c>
      <c r="P204" s="17">
        <v>3</v>
      </c>
      <c r="Q204" s="64">
        <f t="shared" si="77"/>
        <v>1</v>
      </c>
      <c r="R204" s="25">
        <v>2</v>
      </c>
      <c r="S204" s="71">
        <f t="shared" si="78"/>
        <v>0.66666666666666663</v>
      </c>
      <c r="T204" s="17">
        <v>2</v>
      </c>
      <c r="U204" s="64">
        <f t="shared" si="79"/>
        <v>0.66666666666666663</v>
      </c>
      <c r="V204" s="17">
        <v>3</v>
      </c>
      <c r="W204" s="71">
        <f t="shared" si="80"/>
        <v>0.75</v>
      </c>
      <c r="X204" s="17">
        <v>3</v>
      </c>
      <c r="Y204" s="71">
        <f t="shared" si="81"/>
        <v>1</v>
      </c>
      <c r="Z204" s="17">
        <v>1</v>
      </c>
      <c r="AA204" s="71">
        <f t="shared" si="82"/>
        <v>0.33333333333333331</v>
      </c>
      <c r="AB204" s="17">
        <v>2</v>
      </c>
      <c r="AC204" s="71">
        <f t="shared" si="83"/>
        <v>1</v>
      </c>
      <c r="AD204" s="84">
        <v>1</v>
      </c>
      <c r="AE204" s="84">
        <v>0</v>
      </c>
      <c r="AF204" s="84">
        <v>1</v>
      </c>
      <c r="AG204" s="84">
        <v>0</v>
      </c>
      <c r="AH204" s="84">
        <v>0</v>
      </c>
      <c r="AI204" s="84">
        <v>0</v>
      </c>
      <c r="AJ204" s="20">
        <v>0</v>
      </c>
      <c r="AK204" s="71">
        <f t="shared" si="84"/>
        <v>0</v>
      </c>
      <c r="AL204" s="17">
        <v>3</v>
      </c>
      <c r="AM204" s="71">
        <f t="shared" si="85"/>
        <v>1</v>
      </c>
      <c r="AN204" s="17">
        <v>1</v>
      </c>
      <c r="AO204" s="71">
        <f t="shared" si="86"/>
        <v>0.33333333333333331</v>
      </c>
      <c r="AP204" s="17">
        <v>2</v>
      </c>
      <c r="AQ204" s="71">
        <f t="shared" si="87"/>
        <v>0.66666666666666663</v>
      </c>
      <c r="AR204" s="84">
        <v>2</v>
      </c>
      <c r="AS204" s="17">
        <v>3</v>
      </c>
      <c r="AT204" s="71">
        <f t="shared" si="88"/>
        <v>1</v>
      </c>
      <c r="AU204" s="17">
        <v>3</v>
      </c>
      <c r="AV204" s="71">
        <f t="shared" si="89"/>
        <v>1</v>
      </c>
      <c r="AW204" s="17">
        <v>1</v>
      </c>
      <c r="AX204" s="71">
        <f t="shared" si="90"/>
        <v>0.5</v>
      </c>
      <c r="AY204" s="17">
        <v>0</v>
      </c>
      <c r="AZ204" s="71">
        <f t="shared" si="91"/>
        <v>0</v>
      </c>
      <c r="BA204" s="93">
        <v>1</v>
      </c>
      <c r="BB204" s="93">
        <v>1</v>
      </c>
      <c r="BC204" s="93">
        <v>0</v>
      </c>
      <c r="BD204" s="93">
        <v>0</v>
      </c>
      <c r="BE204" s="102">
        <f t="shared" si="92"/>
        <v>2.2126530078919591</v>
      </c>
      <c r="BF204" s="81">
        <f t="shared" si="93"/>
        <v>0.50523574637346658</v>
      </c>
      <c r="BG204" s="81" t="str">
        <f t="shared" si="94"/>
        <v>MEDIO</v>
      </c>
      <c r="BK204" s="81" t="str">
        <f t="shared" si="95"/>
        <v>MEDIO</v>
      </c>
    </row>
    <row r="205" spans="1:63" x14ac:dyDescent="0.15">
      <c r="A205" s="85">
        <v>3</v>
      </c>
      <c r="B205" s="85">
        <v>2</v>
      </c>
      <c r="C205" s="85">
        <v>1</v>
      </c>
      <c r="D205" s="85">
        <v>2</v>
      </c>
      <c r="E205" s="85">
        <v>1</v>
      </c>
      <c r="F205" s="18">
        <v>1</v>
      </c>
      <c r="G205" s="64">
        <f t="shared" si="72"/>
        <v>0.5</v>
      </c>
      <c r="H205" s="18">
        <v>1</v>
      </c>
      <c r="I205" s="64">
        <f t="shared" si="73"/>
        <v>0.5</v>
      </c>
      <c r="J205" s="18">
        <v>0</v>
      </c>
      <c r="K205" s="64">
        <f t="shared" si="74"/>
        <v>0</v>
      </c>
      <c r="L205" s="18">
        <v>2</v>
      </c>
      <c r="M205" s="64">
        <f t="shared" si="75"/>
        <v>0.66666666666666663</v>
      </c>
      <c r="N205" s="18">
        <v>2</v>
      </c>
      <c r="O205" s="64">
        <f t="shared" si="76"/>
        <v>0.4</v>
      </c>
      <c r="P205" s="18">
        <v>0</v>
      </c>
      <c r="Q205" s="64">
        <f t="shared" si="77"/>
        <v>0</v>
      </c>
      <c r="R205" s="24">
        <v>0</v>
      </c>
      <c r="S205" s="71">
        <f t="shared" si="78"/>
        <v>0</v>
      </c>
      <c r="T205" s="18">
        <v>1</v>
      </c>
      <c r="U205" s="64">
        <f t="shared" si="79"/>
        <v>0.33333333333333331</v>
      </c>
      <c r="V205" s="18">
        <v>3</v>
      </c>
      <c r="W205" s="71">
        <f t="shared" si="80"/>
        <v>0.75</v>
      </c>
      <c r="X205" s="18">
        <v>0</v>
      </c>
      <c r="Y205" s="71">
        <f t="shared" si="81"/>
        <v>0</v>
      </c>
      <c r="Z205" s="18">
        <v>0</v>
      </c>
      <c r="AA205" s="71">
        <f t="shared" si="82"/>
        <v>0</v>
      </c>
      <c r="AB205" s="18">
        <v>0</v>
      </c>
      <c r="AC205" s="71">
        <f t="shared" si="83"/>
        <v>0</v>
      </c>
      <c r="AD205" s="85">
        <v>1</v>
      </c>
      <c r="AE205" s="85">
        <v>0</v>
      </c>
      <c r="AF205" s="85">
        <v>1</v>
      </c>
      <c r="AG205" s="85">
        <v>0</v>
      </c>
      <c r="AH205" s="85">
        <v>0</v>
      </c>
      <c r="AI205" s="85">
        <v>0</v>
      </c>
      <c r="AJ205" s="19">
        <v>1</v>
      </c>
      <c r="AK205" s="71">
        <f t="shared" si="84"/>
        <v>0.5</v>
      </c>
      <c r="AL205" s="18">
        <v>0</v>
      </c>
      <c r="AM205" s="71">
        <f t="shared" si="85"/>
        <v>0</v>
      </c>
      <c r="AN205" s="18">
        <v>0</v>
      </c>
      <c r="AO205" s="71">
        <f t="shared" si="86"/>
        <v>0</v>
      </c>
      <c r="AP205" s="18">
        <v>0</v>
      </c>
      <c r="AQ205" s="71">
        <f t="shared" si="87"/>
        <v>0</v>
      </c>
      <c r="AR205" s="85">
        <v>3</v>
      </c>
      <c r="AS205" s="18">
        <v>1</v>
      </c>
      <c r="AT205" s="71">
        <f t="shared" si="88"/>
        <v>0.33333333333333331</v>
      </c>
      <c r="AU205" s="18">
        <v>1</v>
      </c>
      <c r="AV205" s="71">
        <f t="shared" si="89"/>
        <v>0.33333333333333331</v>
      </c>
      <c r="AW205" s="18">
        <v>1</v>
      </c>
      <c r="AX205" s="71">
        <f t="shared" si="90"/>
        <v>0.5</v>
      </c>
      <c r="AY205" s="18">
        <v>1</v>
      </c>
      <c r="AZ205" s="71">
        <f t="shared" si="91"/>
        <v>0.33333333333333331</v>
      </c>
      <c r="BA205" s="94"/>
      <c r="BB205" s="94">
        <v>1</v>
      </c>
      <c r="BC205" s="94">
        <v>1</v>
      </c>
      <c r="BD205" s="94">
        <v>0</v>
      </c>
      <c r="BE205" s="102">
        <f t="shared" si="92"/>
        <v>3.508758881554686</v>
      </c>
      <c r="BF205" s="81">
        <f t="shared" si="93"/>
        <v>0.21541766241883264</v>
      </c>
      <c r="BG205" s="81" t="str">
        <f t="shared" si="94"/>
        <v>BASSO</v>
      </c>
      <c r="BK205" s="81" t="str">
        <f t="shared" si="95"/>
        <v>MOLTO BASSO</v>
      </c>
    </row>
    <row r="206" spans="1:63" x14ac:dyDescent="0.15">
      <c r="A206" s="84">
        <v>3</v>
      </c>
      <c r="B206" s="84">
        <v>2</v>
      </c>
      <c r="C206" s="84">
        <v>2</v>
      </c>
      <c r="D206" s="84">
        <v>2</v>
      </c>
      <c r="E206" s="84">
        <v>1</v>
      </c>
      <c r="F206" s="17">
        <v>2</v>
      </c>
      <c r="G206" s="64">
        <f t="shared" si="72"/>
        <v>1</v>
      </c>
      <c r="H206" s="17">
        <v>1</v>
      </c>
      <c r="I206" s="64">
        <f t="shared" si="73"/>
        <v>0.5</v>
      </c>
      <c r="J206" s="17">
        <v>1</v>
      </c>
      <c r="K206" s="64">
        <f t="shared" si="74"/>
        <v>0.5</v>
      </c>
      <c r="L206" s="17">
        <v>3</v>
      </c>
      <c r="M206" s="64">
        <f t="shared" si="75"/>
        <v>1</v>
      </c>
      <c r="N206" s="17">
        <v>4</v>
      </c>
      <c r="O206" s="64">
        <f t="shared" si="76"/>
        <v>0.8</v>
      </c>
      <c r="P206" s="17">
        <v>2</v>
      </c>
      <c r="Q206" s="64">
        <f t="shared" si="77"/>
        <v>0.66666666666666663</v>
      </c>
      <c r="R206" s="25">
        <v>3</v>
      </c>
      <c r="S206" s="71">
        <f t="shared" si="78"/>
        <v>1</v>
      </c>
      <c r="T206" s="17">
        <v>2</v>
      </c>
      <c r="U206" s="64">
        <f t="shared" si="79"/>
        <v>0.66666666666666663</v>
      </c>
      <c r="V206" s="17">
        <v>3</v>
      </c>
      <c r="W206" s="71">
        <f t="shared" si="80"/>
        <v>0.75</v>
      </c>
      <c r="X206" s="17">
        <v>3</v>
      </c>
      <c r="Y206" s="71">
        <f t="shared" si="81"/>
        <v>1</v>
      </c>
      <c r="Z206" s="17">
        <v>1</v>
      </c>
      <c r="AA206" s="71">
        <f t="shared" si="82"/>
        <v>0.33333333333333331</v>
      </c>
      <c r="AB206" s="17">
        <v>1</v>
      </c>
      <c r="AC206" s="71">
        <f t="shared" si="83"/>
        <v>0.5</v>
      </c>
      <c r="AD206" s="84">
        <v>1</v>
      </c>
      <c r="AE206" s="84">
        <v>0</v>
      </c>
      <c r="AF206" s="84">
        <v>1</v>
      </c>
      <c r="AG206" s="84">
        <v>0</v>
      </c>
      <c r="AH206" s="84">
        <v>0</v>
      </c>
      <c r="AI206" s="84">
        <v>0</v>
      </c>
      <c r="AJ206" s="20">
        <v>2</v>
      </c>
      <c r="AK206" s="71">
        <f t="shared" si="84"/>
        <v>1</v>
      </c>
      <c r="AL206" s="17">
        <v>1</v>
      </c>
      <c r="AM206" s="71">
        <f t="shared" si="85"/>
        <v>0.33333333333333331</v>
      </c>
      <c r="AN206" s="17">
        <v>1</v>
      </c>
      <c r="AO206" s="71">
        <f t="shared" si="86"/>
        <v>0.33333333333333331</v>
      </c>
      <c r="AP206" s="17">
        <v>3</v>
      </c>
      <c r="AQ206" s="71">
        <f t="shared" si="87"/>
        <v>1</v>
      </c>
      <c r="AR206" s="84">
        <v>2</v>
      </c>
      <c r="AS206" s="17">
        <v>3</v>
      </c>
      <c r="AT206" s="71">
        <f t="shared" si="88"/>
        <v>1</v>
      </c>
      <c r="AU206" s="17">
        <v>3</v>
      </c>
      <c r="AV206" s="71">
        <f t="shared" si="89"/>
        <v>1</v>
      </c>
      <c r="AW206" s="17">
        <v>1</v>
      </c>
      <c r="AX206" s="71">
        <f t="shared" si="90"/>
        <v>0.5</v>
      </c>
      <c r="AY206" s="17">
        <v>3</v>
      </c>
      <c r="AZ206" s="71">
        <f t="shared" si="91"/>
        <v>1</v>
      </c>
      <c r="BA206" s="93">
        <v>1</v>
      </c>
      <c r="BB206" s="93">
        <v>1</v>
      </c>
      <c r="BC206" s="93">
        <v>0</v>
      </c>
      <c r="BD206" s="93">
        <v>0</v>
      </c>
      <c r="BE206" s="102">
        <f t="shared" si="92"/>
        <v>1.6303544263611995</v>
      </c>
      <c r="BF206" s="81">
        <f t="shared" si="93"/>
        <v>0.63544166752390252</v>
      </c>
      <c r="BG206" s="81" t="str">
        <f t="shared" si="94"/>
        <v>MEDIO</v>
      </c>
      <c r="BK206" s="81" t="str">
        <f t="shared" si="95"/>
        <v>MEDIO</v>
      </c>
    </row>
    <row r="207" spans="1:63" x14ac:dyDescent="0.15">
      <c r="A207" s="85">
        <v>3</v>
      </c>
      <c r="B207" s="85">
        <v>2</v>
      </c>
      <c r="C207" s="85">
        <v>3</v>
      </c>
      <c r="D207" s="85">
        <v>2</v>
      </c>
      <c r="E207" s="85">
        <v>1</v>
      </c>
      <c r="F207" s="18">
        <v>2</v>
      </c>
      <c r="G207" s="64">
        <f t="shared" si="72"/>
        <v>1</v>
      </c>
      <c r="H207" s="18">
        <v>2</v>
      </c>
      <c r="I207" s="64">
        <f t="shared" si="73"/>
        <v>1</v>
      </c>
      <c r="J207" s="18">
        <v>1</v>
      </c>
      <c r="K207" s="64">
        <f t="shared" si="74"/>
        <v>0.5</v>
      </c>
      <c r="L207" s="18">
        <v>2</v>
      </c>
      <c r="M207" s="64">
        <f t="shared" si="75"/>
        <v>0.66666666666666663</v>
      </c>
      <c r="N207" s="18">
        <v>3</v>
      </c>
      <c r="O207" s="64">
        <f t="shared" si="76"/>
        <v>0.6</v>
      </c>
      <c r="P207" s="18">
        <v>2</v>
      </c>
      <c r="Q207" s="64">
        <f t="shared" si="77"/>
        <v>0.66666666666666663</v>
      </c>
      <c r="R207" s="24">
        <v>3</v>
      </c>
      <c r="S207" s="71">
        <f t="shared" si="78"/>
        <v>1</v>
      </c>
      <c r="T207" s="18">
        <v>3</v>
      </c>
      <c r="U207" s="64">
        <f t="shared" si="79"/>
        <v>1</v>
      </c>
      <c r="V207" s="18">
        <v>4</v>
      </c>
      <c r="W207" s="71">
        <f t="shared" si="80"/>
        <v>1</v>
      </c>
      <c r="X207" s="18">
        <v>3</v>
      </c>
      <c r="Y207" s="71">
        <f t="shared" si="81"/>
        <v>1</v>
      </c>
      <c r="Z207" s="18">
        <v>2</v>
      </c>
      <c r="AA207" s="71">
        <f t="shared" si="82"/>
        <v>0.66666666666666663</v>
      </c>
      <c r="AB207" s="18">
        <v>0</v>
      </c>
      <c r="AC207" s="71">
        <f t="shared" si="83"/>
        <v>0</v>
      </c>
      <c r="AD207" s="85">
        <v>1</v>
      </c>
      <c r="AE207" s="85">
        <v>0</v>
      </c>
      <c r="AF207" s="85">
        <v>1</v>
      </c>
      <c r="AG207" s="85">
        <v>0</v>
      </c>
      <c r="AH207" s="85">
        <v>0</v>
      </c>
      <c r="AI207" s="85">
        <v>0</v>
      </c>
      <c r="AJ207" s="19">
        <v>2</v>
      </c>
      <c r="AK207" s="71">
        <f t="shared" si="84"/>
        <v>1</v>
      </c>
      <c r="AL207" s="18">
        <v>3</v>
      </c>
      <c r="AM207" s="71">
        <f t="shared" si="85"/>
        <v>1</v>
      </c>
      <c r="AN207" s="18">
        <v>1</v>
      </c>
      <c r="AO207" s="71">
        <f t="shared" si="86"/>
        <v>0.33333333333333331</v>
      </c>
      <c r="AP207" s="18">
        <v>2</v>
      </c>
      <c r="AQ207" s="71">
        <f t="shared" si="87"/>
        <v>0.66666666666666663</v>
      </c>
      <c r="AR207" s="85">
        <v>1</v>
      </c>
      <c r="AS207" s="18">
        <v>3</v>
      </c>
      <c r="AT207" s="71">
        <f t="shared" si="88"/>
        <v>1</v>
      </c>
      <c r="AU207" s="18">
        <v>3</v>
      </c>
      <c r="AV207" s="71">
        <f t="shared" si="89"/>
        <v>1</v>
      </c>
      <c r="AW207" s="18">
        <v>1</v>
      </c>
      <c r="AX207" s="71">
        <f t="shared" si="90"/>
        <v>0.5</v>
      </c>
      <c r="AY207" s="18">
        <v>3</v>
      </c>
      <c r="AZ207" s="71">
        <f t="shared" si="91"/>
        <v>1</v>
      </c>
      <c r="BA207" s="94">
        <v>0</v>
      </c>
      <c r="BB207" s="94">
        <v>1</v>
      </c>
      <c r="BC207" s="94">
        <v>1</v>
      </c>
      <c r="BD207" s="94">
        <v>0</v>
      </c>
      <c r="BE207" s="102">
        <f t="shared" si="92"/>
        <v>1.5965240019770732</v>
      </c>
      <c r="BF207" s="81">
        <f t="shared" si="93"/>
        <v>0.64300638038695912</v>
      </c>
      <c r="BG207" s="81" t="str">
        <f t="shared" si="94"/>
        <v>MEDIO</v>
      </c>
      <c r="BK207" s="81" t="str">
        <f t="shared" si="95"/>
        <v>MEDIO</v>
      </c>
    </row>
    <row r="208" spans="1:63" x14ac:dyDescent="0.15">
      <c r="A208" s="84">
        <v>3</v>
      </c>
      <c r="B208" s="84">
        <v>2</v>
      </c>
      <c r="C208" s="84">
        <v>1</v>
      </c>
      <c r="D208" s="84">
        <v>0</v>
      </c>
      <c r="E208" s="84">
        <v>1</v>
      </c>
      <c r="F208" s="17">
        <v>2</v>
      </c>
      <c r="G208" s="64">
        <f t="shared" si="72"/>
        <v>1</v>
      </c>
      <c r="H208" s="17">
        <v>1</v>
      </c>
      <c r="I208" s="64">
        <f t="shared" si="73"/>
        <v>0.5</v>
      </c>
      <c r="J208" s="17">
        <v>0</v>
      </c>
      <c r="K208" s="64">
        <f t="shared" si="74"/>
        <v>0</v>
      </c>
      <c r="L208" s="17">
        <v>0</v>
      </c>
      <c r="M208" s="64">
        <f t="shared" si="75"/>
        <v>0</v>
      </c>
      <c r="N208" s="17">
        <v>2</v>
      </c>
      <c r="O208" s="64">
        <f t="shared" si="76"/>
        <v>0.4</v>
      </c>
      <c r="P208" s="17">
        <v>0</v>
      </c>
      <c r="Q208" s="64">
        <f t="shared" si="77"/>
        <v>0</v>
      </c>
      <c r="R208" s="25">
        <v>0</v>
      </c>
      <c r="S208" s="71">
        <f t="shared" si="78"/>
        <v>0</v>
      </c>
      <c r="T208" s="17">
        <v>0</v>
      </c>
      <c r="U208" s="64">
        <f t="shared" si="79"/>
        <v>0</v>
      </c>
      <c r="V208" s="17">
        <v>3</v>
      </c>
      <c r="W208" s="71">
        <f t="shared" si="80"/>
        <v>0.75</v>
      </c>
      <c r="X208" s="17">
        <v>1</v>
      </c>
      <c r="Y208" s="71">
        <f t="shared" si="81"/>
        <v>0.33333333333333331</v>
      </c>
      <c r="Z208" s="17">
        <v>0</v>
      </c>
      <c r="AA208" s="71">
        <f t="shared" si="82"/>
        <v>0</v>
      </c>
      <c r="AB208" s="17">
        <v>0</v>
      </c>
      <c r="AC208" s="71">
        <f t="shared" si="83"/>
        <v>0</v>
      </c>
      <c r="AD208" s="84">
        <v>0</v>
      </c>
      <c r="AE208" s="84">
        <v>0</v>
      </c>
      <c r="AF208" s="84">
        <v>1</v>
      </c>
      <c r="AG208" s="84">
        <v>1</v>
      </c>
      <c r="AH208" s="84">
        <v>0</v>
      </c>
      <c r="AI208" s="84">
        <v>0</v>
      </c>
      <c r="AJ208" s="20">
        <v>1</v>
      </c>
      <c r="AK208" s="71">
        <f t="shared" si="84"/>
        <v>0.5</v>
      </c>
      <c r="AL208" s="17">
        <v>3</v>
      </c>
      <c r="AM208" s="71">
        <f t="shared" si="85"/>
        <v>1</v>
      </c>
      <c r="AN208" s="17">
        <v>2</v>
      </c>
      <c r="AO208" s="71">
        <f t="shared" si="86"/>
        <v>0.66666666666666663</v>
      </c>
      <c r="AP208" s="17">
        <v>0</v>
      </c>
      <c r="AQ208" s="71">
        <f t="shared" si="87"/>
        <v>0</v>
      </c>
      <c r="AR208" s="84">
        <v>2</v>
      </c>
      <c r="AS208" s="17">
        <v>1</v>
      </c>
      <c r="AT208" s="71">
        <f t="shared" si="88"/>
        <v>0.33333333333333331</v>
      </c>
      <c r="AU208" s="17">
        <v>2</v>
      </c>
      <c r="AV208" s="71">
        <f t="shared" si="89"/>
        <v>0.66666666666666663</v>
      </c>
      <c r="AW208" s="17">
        <v>0</v>
      </c>
      <c r="AX208" s="71">
        <f t="shared" si="90"/>
        <v>0</v>
      </c>
      <c r="AY208" s="17">
        <v>0</v>
      </c>
      <c r="AZ208" s="71">
        <f t="shared" si="91"/>
        <v>0</v>
      </c>
      <c r="BA208" s="93">
        <v>0</v>
      </c>
      <c r="BB208" s="93">
        <v>0</v>
      </c>
      <c r="BC208" s="93">
        <v>0</v>
      </c>
      <c r="BD208" s="93">
        <v>1</v>
      </c>
      <c r="BE208" s="102">
        <f t="shared" si="92"/>
        <v>3.4689495688336418</v>
      </c>
      <c r="BF208" s="81">
        <f t="shared" si="93"/>
        <v>0.22431929535701201</v>
      </c>
      <c r="BG208" s="81" t="str">
        <f t="shared" si="94"/>
        <v>BASSO</v>
      </c>
      <c r="BK208" s="81" t="str">
        <f t="shared" si="95"/>
        <v>MOLTO BASSO</v>
      </c>
    </row>
    <row r="209" spans="1:63" x14ac:dyDescent="0.15">
      <c r="A209" s="85">
        <v>3</v>
      </c>
      <c r="B209" s="85">
        <v>2</v>
      </c>
      <c r="C209" s="85">
        <v>3</v>
      </c>
      <c r="D209" s="85">
        <v>1</v>
      </c>
      <c r="E209" s="85">
        <v>1</v>
      </c>
      <c r="F209" s="18">
        <v>1</v>
      </c>
      <c r="G209" s="64">
        <f t="shared" si="72"/>
        <v>0.5</v>
      </c>
      <c r="H209" s="18">
        <v>2</v>
      </c>
      <c r="I209" s="64">
        <f t="shared" si="73"/>
        <v>1</v>
      </c>
      <c r="J209" s="18">
        <v>1</v>
      </c>
      <c r="K209" s="64">
        <f t="shared" si="74"/>
        <v>0.5</v>
      </c>
      <c r="L209" s="18">
        <v>2</v>
      </c>
      <c r="M209" s="64">
        <f t="shared" si="75"/>
        <v>0.66666666666666663</v>
      </c>
      <c r="N209" s="18">
        <v>2</v>
      </c>
      <c r="O209" s="64">
        <f t="shared" si="76"/>
        <v>0.4</v>
      </c>
      <c r="P209" s="18">
        <v>2</v>
      </c>
      <c r="Q209" s="64">
        <f t="shared" si="77"/>
        <v>0.66666666666666663</v>
      </c>
      <c r="R209" s="24">
        <v>3</v>
      </c>
      <c r="S209" s="71">
        <f t="shared" si="78"/>
        <v>1</v>
      </c>
      <c r="T209" s="18">
        <v>2</v>
      </c>
      <c r="U209" s="64">
        <f t="shared" si="79"/>
        <v>0.66666666666666663</v>
      </c>
      <c r="V209" s="18">
        <v>3</v>
      </c>
      <c r="W209" s="71">
        <f t="shared" si="80"/>
        <v>0.75</v>
      </c>
      <c r="X209" s="18">
        <v>3</v>
      </c>
      <c r="Y209" s="71">
        <f t="shared" si="81"/>
        <v>1</v>
      </c>
      <c r="Z209" s="18">
        <v>3</v>
      </c>
      <c r="AA209" s="71">
        <f t="shared" si="82"/>
        <v>1</v>
      </c>
      <c r="AB209" s="18">
        <v>2</v>
      </c>
      <c r="AC209" s="71">
        <f t="shared" si="83"/>
        <v>1</v>
      </c>
      <c r="AD209" s="85">
        <v>1</v>
      </c>
      <c r="AE209" s="85">
        <v>0</v>
      </c>
      <c r="AF209" s="85">
        <v>0</v>
      </c>
      <c r="AG209" s="85">
        <v>0</v>
      </c>
      <c r="AH209" s="85">
        <v>0</v>
      </c>
      <c r="AI209" s="85">
        <v>1</v>
      </c>
      <c r="AJ209" s="19">
        <v>2</v>
      </c>
      <c r="AK209" s="71">
        <f t="shared" si="84"/>
        <v>1</v>
      </c>
      <c r="AL209" s="18">
        <v>2</v>
      </c>
      <c r="AM209" s="71">
        <f t="shared" si="85"/>
        <v>0.66666666666666663</v>
      </c>
      <c r="AN209" s="18">
        <v>1</v>
      </c>
      <c r="AO209" s="71">
        <f t="shared" si="86"/>
        <v>0.33333333333333331</v>
      </c>
      <c r="AP209" s="18">
        <v>3</v>
      </c>
      <c r="AQ209" s="71">
        <f t="shared" si="87"/>
        <v>1</v>
      </c>
      <c r="AR209" s="85">
        <v>3</v>
      </c>
      <c r="AS209" s="18">
        <v>0</v>
      </c>
      <c r="AT209" s="71">
        <f t="shared" si="88"/>
        <v>0</v>
      </c>
      <c r="AU209" s="19">
        <v>1</v>
      </c>
      <c r="AV209" s="71">
        <f t="shared" si="89"/>
        <v>0.33333333333333331</v>
      </c>
      <c r="AW209" s="18">
        <v>0</v>
      </c>
      <c r="AX209" s="71">
        <f t="shared" si="90"/>
        <v>0</v>
      </c>
      <c r="AY209" s="18">
        <v>3</v>
      </c>
      <c r="AZ209" s="71">
        <f t="shared" si="91"/>
        <v>1</v>
      </c>
      <c r="BA209" s="95">
        <v>0</v>
      </c>
      <c r="BB209" s="95">
        <v>1</v>
      </c>
      <c r="BC209" s="95">
        <v>1</v>
      </c>
      <c r="BD209" s="95">
        <v>0</v>
      </c>
      <c r="BE209" s="102">
        <f t="shared" si="92"/>
        <v>2.0629671188202039</v>
      </c>
      <c r="BF209" s="81">
        <f t="shared" si="93"/>
        <v>0.53870652869715718</v>
      </c>
      <c r="BG209" s="81" t="str">
        <f t="shared" si="94"/>
        <v>MEDIO</v>
      </c>
      <c r="BK209" s="81" t="str">
        <f t="shared" si="95"/>
        <v>MEDIO</v>
      </c>
    </row>
    <row r="210" spans="1:63" x14ac:dyDescent="0.15">
      <c r="A210" s="84">
        <v>5</v>
      </c>
      <c r="B210" s="84">
        <v>2</v>
      </c>
      <c r="C210" s="84">
        <v>1</v>
      </c>
      <c r="D210" s="84">
        <v>0</v>
      </c>
      <c r="E210" s="84">
        <v>1</v>
      </c>
      <c r="F210" s="17">
        <v>1</v>
      </c>
      <c r="G210" s="64">
        <f t="shared" si="72"/>
        <v>0.5</v>
      </c>
      <c r="H210" s="17">
        <v>2</v>
      </c>
      <c r="I210" s="64">
        <f t="shared" si="73"/>
        <v>1</v>
      </c>
      <c r="J210" s="17">
        <v>2</v>
      </c>
      <c r="K210" s="64">
        <f t="shared" si="74"/>
        <v>1</v>
      </c>
      <c r="L210" s="17">
        <v>2</v>
      </c>
      <c r="M210" s="64">
        <f t="shared" si="75"/>
        <v>0.66666666666666663</v>
      </c>
      <c r="N210" s="17">
        <v>1</v>
      </c>
      <c r="O210" s="64">
        <f t="shared" si="76"/>
        <v>0.2</v>
      </c>
      <c r="P210" s="17">
        <v>0</v>
      </c>
      <c r="Q210" s="64">
        <f t="shared" si="77"/>
        <v>0</v>
      </c>
      <c r="R210" s="25">
        <v>2</v>
      </c>
      <c r="S210" s="71">
        <f t="shared" si="78"/>
        <v>0.66666666666666663</v>
      </c>
      <c r="T210" s="17">
        <v>2</v>
      </c>
      <c r="U210" s="64">
        <f t="shared" si="79"/>
        <v>0.66666666666666663</v>
      </c>
      <c r="V210" s="17">
        <v>3</v>
      </c>
      <c r="W210" s="71">
        <f t="shared" si="80"/>
        <v>0.75</v>
      </c>
      <c r="X210" s="17">
        <v>2</v>
      </c>
      <c r="Y210" s="71">
        <f t="shared" si="81"/>
        <v>0.66666666666666663</v>
      </c>
      <c r="Z210" s="17">
        <v>3</v>
      </c>
      <c r="AA210" s="71">
        <f t="shared" si="82"/>
        <v>1</v>
      </c>
      <c r="AB210" s="17">
        <v>2</v>
      </c>
      <c r="AC210" s="71">
        <f t="shared" si="83"/>
        <v>1</v>
      </c>
      <c r="AD210" s="84">
        <v>1</v>
      </c>
      <c r="AE210" s="84">
        <v>0</v>
      </c>
      <c r="AF210" s="84">
        <v>1</v>
      </c>
      <c r="AG210" s="84">
        <v>0</v>
      </c>
      <c r="AH210" s="84">
        <v>0</v>
      </c>
      <c r="AI210" s="84">
        <v>0</v>
      </c>
      <c r="AJ210" s="20">
        <v>1</v>
      </c>
      <c r="AK210" s="71">
        <f t="shared" si="84"/>
        <v>0.5</v>
      </c>
      <c r="AL210" s="17">
        <v>2</v>
      </c>
      <c r="AM210" s="71">
        <f t="shared" si="85"/>
        <v>0.66666666666666663</v>
      </c>
      <c r="AN210" s="17">
        <v>1</v>
      </c>
      <c r="AO210" s="71">
        <f t="shared" si="86"/>
        <v>0.33333333333333331</v>
      </c>
      <c r="AP210" s="17">
        <v>1</v>
      </c>
      <c r="AQ210" s="71">
        <f t="shared" si="87"/>
        <v>0.33333333333333331</v>
      </c>
      <c r="AR210" s="84">
        <v>3</v>
      </c>
      <c r="AS210" s="17">
        <v>1</v>
      </c>
      <c r="AT210" s="71">
        <f t="shared" si="88"/>
        <v>0.33333333333333331</v>
      </c>
      <c r="AU210" s="17">
        <v>3</v>
      </c>
      <c r="AV210" s="71">
        <f t="shared" si="89"/>
        <v>1</v>
      </c>
      <c r="AW210" s="17">
        <v>1</v>
      </c>
      <c r="AX210" s="71">
        <f t="shared" si="90"/>
        <v>0.5</v>
      </c>
      <c r="AY210" s="17">
        <v>1</v>
      </c>
      <c r="AZ210" s="71">
        <f t="shared" si="91"/>
        <v>0.33333333333333331</v>
      </c>
      <c r="BA210" s="93">
        <v>0</v>
      </c>
      <c r="BB210" s="93">
        <v>0</v>
      </c>
      <c r="BC210" s="93">
        <v>0</v>
      </c>
      <c r="BD210" s="93">
        <v>1</v>
      </c>
      <c r="BE210" s="102">
        <f t="shared" si="92"/>
        <v>2.1876547564305788</v>
      </c>
      <c r="BF210" s="81">
        <f t="shared" si="93"/>
        <v>0.51082552533209402</v>
      </c>
      <c r="BG210" s="81" t="str">
        <f t="shared" si="94"/>
        <v>MEDIO</v>
      </c>
      <c r="BK210" s="81" t="str">
        <f t="shared" si="95"/>
        <v>MEDIO</v>
      </c>
    </row>
    <row r="211" spans="1:63" x14ac:dyDescent="0.15">
      <c r="A211" s="85">
        <v>0</v>
      </c>
      <c r="B211" s="85">
        <v>2</v>
      </c>
      <c r="C211" s="85">
        <v>0</v>
      </c>
      <c r="D211" s="85">
        <v>1</v>
      </c>
      <c r="E211" s="85">
        <v>1</v>
      </c>
      <c r="F211" s="18">
        <v>1</v>
      </c>
      <c r="G211" s="64">
        <f t="shared" si="72"/>
        <v>0.5</v>
      </c>
      <c r="H211" s="18">
        <v>1</v>
      </c>
      <c r="I211" s="64">
        <f t="shared" si="73"/>
        <v>0.5</v>
      </c>
      <c r="J211" s="18">
        <v>1</v>
      </c>
      <c r="K211" s="64">
        <f t="shared" si="74"/>
        <v>0.5</v>
      </c>
      <c r="L211" s="18">
        <v>0</v>
      </c>
      <c r="M211" s="64">
        <f t="shared" si="75"/>
        <v>0</v>
      </c>
      <c r="N211" s="18">
        <v>2</v>
      </c>
      <c r="O211" s="64">
        <f t="shared" si="76"/>
        <v>0.4</v>
      </c>
      <c r="P211" s="18">
        <v>0</v>
      </c>
      <c r="Q211" s="64">
        <f t="shared" si="77"/>
        <v>0</v>
      </c>
      <c r="R211" s="24">
        <v>3</v>
      </c>
      <c r="S211" s="71">
        <f t="shared" si="78"/>
        <v>1</v>
      </c>
      <c r="T211" s="18">
        <v>1</v>
      </c>
      <c r="U211" s="64">
        <f t="shared" si="79"/>
        <v>0.33333333333333331</v>
      </c>
      <c r="V211" s="18">
        <v>3</v>
      </c>
      <c r="W211" s="71">
        <f t="shared" si="80"/>
        <v>0.75</v>
      </c>
      <c r="X211" s="18">
        <v>3</v>
      </c>
      <c r="Y211" s="71">
        <f t="shared" si="81"/>
        <v>1</v>
      </c>
      <c r="Z211" s="18">
        <v>3</v>
      </c>
      <c r="AA211" s="71">
        <f t="shared" si="82"/>
        <v>1</v>
      </c>
      <c r="AB211" s="18">
        <v>2</v>
      </c>
      <c r="AC211" s="71">
        <f t="shared" si="83"/>
        <v>1</v>
      </c>
      <c r="AD211" s="85">
        <v>1</v>
      </c>
      <c r="AE211" s="85">
        <v>0</v>
      </c>
      <c r="AF211" s="85">
        <v>1</v>
      </c>
      <c r="AG211" s="85">
        <v>0</v>
      </c>
      <c r="AH211" s="85">
        <v>0</v>
      </c>
      <c r="AI211" s="85">
        <v>0</v>
      </c>
      <c r="AJ211" s="19">
        <v>1</v>
      </c>
      <c r="AK211" s="71">
        <f t="shared" si="84"/>
        <v>0.5</v>
      </c>
      <c r="AL211" s="18">
        <v>2</v>
      </c>
      <c r="AM211" s="71">
        <f t="shared" si="85"/>
        <v>0.66666666666666663</v>
      </c>
      <c r="AN211" s="18">
        <v>0</v>
      </c>
      <c r="AO211" s="71">
        <f t="shared" si="86"/>
        <v>0</v>
      </c>
      <c r="AP211" s="18">
        <v>2</v>
      </c>
      <c r="AQ211" s="71">
        <f t="shared" si="87"/>
        <v>0.66666666666666663</v>
      </c>
      <c r="AR211" s="85">
        <v>3</v>
      </c>
      <c r="AS211" s="18">
        <v>2</v>
      </c>
      <c r="AT211" s="71">
        <f t="shared" si="88"/>
        <v>0.66666666666666663</v>
      </c>
      <c r="AU211" s="18">
        <v>1</v>
      </c>
      <c r="AV211" s="71">
        <f t="shared" si="89"/>
        <v>0.33333333333333331</v>
      </c>
      <c r="AW211" s="18">
        <v>0</v>
      </c>
      <c r="AX211" s="71">
        <f t="shared" si="90"/>
        <v>0</v>
      </c>
      <c r="AY211" s="18">
        <v>2</v>
      </c>
      <c r="AZ211" s="71">
        <f t="shared" si="91"/>
        <v>0.66666666666666663</v>
      </c>
      <c r="BA211" s="94">
        <v>0</v>
      </c>
      <c r="BB211" s="94">
        <v>1</v>
      </c>
      <c r="BC211" s="94">
        <v>1</v>
      </c>
      <c r="BD211" s="94">
        <v>0</v>
      </c>
      <c r="BE211" s="102">
        <f t="shared" si="92"/>
        <v>2.5991985944389344</v>
      </c>
      <c r="BF211" s="81">
        <f t="shared" si="93"/>
        <v>0.41880152558131822</v>
      </c>
      <c r="BG211" s="81" t="str">
        <f t="shared" si="94"/>
        <v>MEDIO</v>
      </c>
      <c r="BK211" s="81" t="str">
        <f t="shared" si="95"/>
        <v>BASSO</v>
      </c>
    </row>
    <row r="212" spans="1:63" x14ac:dyDescent="0.15">
      <c r="A212" s="84">
        <v>2</v>
      </c>
      <c r="B212" s="84">
        <v>2</v>
      </c>
      <c r="C212" s="84">
        <v>3</v>
      </c>
      <c r="D212" s="84">
        <v>1</v>
      </c>
      <c r="E212" s="84">
        <v>1</v>
      </c>
      <c r="F212" s="17">
        <v>2</v>
      </c>
      <c r="G212" s="64">
        <f t="shared" si="72"/>
        <v>1</v>
      </c>
      <c r="H212" s="17">
        <v>1</v>
      </c>
      <c r="I212" s="64">
        <f t="shared" si="73"/>
        <v>0.5</v>
      </c>
      <c r="J212" s="17">
        <v>1</v>
      </c>
      <c r="K212" s="64">
        <f t="shared" si="74"/>
        <v>0.5</v>
      </c>
      <c r="L212" s="17">
        <v>3</v>
      </c>
      <c r="M212" s="64">
        <f t="shared" si="75"/>
        <v>1</v>
      </c>
      <c r="N212" s="17">
        <v>2</v>
      </c>
      <c r="O212" s="64">
        <f t="shared" si="76"/>
        <v>0.4</v>
      </c>
      <c r="P212" s="17">
        <v>2</v>
      </c>
      <c r="Q212" s="64">
        <f t="shared" si="77"/>
        <v>0.66666666666666663</v>
      </c>
      <c r="R212" s="25">
        <v>3</v>
      </c>
      <c r="S212" s="71">
        <f t="shared" si="78"/>
        <v>1</v>
      </c>
      <c r="T212" s="17">
        <v>2</v>
      </c>
      <c r="U212" s="64">
        <f t="shared" si="79"/>
        <v>0.66666666666666663</v>
      </c>
      <c r="V212" s="17">
        <v>3</v>
      </c>
      <c r="W212" s="71">
        <f t="shared" si="80"/>
        <v>0.75</v>
      </c>
      <c r="X212" s="17">
        <v>3</v>
      </c>
      <c r="Y212" s="71">
        <f t="shared" si="81"/>
        <v>1</v>
      </c>
      <c r="Z212" s="17">
        <v>1</v>
      </c>
      <c r="AA212" s="71">
        <f t="shared" si="82"/>
        <v>0.33333333333333331</v>
      </c>
      <c r="AB212" s="17">
        <v>2</v>
      </c>
      <c r="AC212" s="71">
        <f t="shared" si="83"/>
        <v>1</v>
      </c>
      <c r="AD212" s="84">
        <v>1</v>
      </c>
      <c r="AE212" s="84">
        <v>0</v>
      </c>
      <c r="AF212" s="84">
        <v>1</v>
      </c>
      <c r="AG212" s="84">
        <v>0</v>
      </c>
      <c r="AH212" s="84">
        <v>0</v>
      </c>
      <c r="AI212" s="84">
        <v>0</v>
      </c>
      <c r="AJ212" s="20">
        <v>1</v>
      </c>
      <c r="AK212" s="71">
        <f t="shared" si="84"/>
        <v>0.5</v>
      </c>
      <c r="AL212" s="17">
        <v>1</v>
      </c>
      <c r="AM212" s="71">
        <f t="shared" si="85"/>
        <v>0.33333333333333331</v>
      </c>
      <c r="AN212" s="17">
        <v>1</v>
      </c>
      <c r="AO212" s="71">
        <f t="shared" si="86"/>
        <v>0.33333333333333331</v>
      </c>
      <c r="AP212" s="17">
        <v>2</v>
      </c>
      <c r="AQ212" s="71">
        <f t="shared" si="87"/>
        <v>0.66666666666666663</v>
      </c>
      <c r="AR212" s="84">
        <v>2</v>
      </c>
      <c r="AS212" s="17">
        <v>2</v>
      </c>
      <c r="AT212" s="71">
        <f t="shared" si="88"/>
        <v>0.66666666666666663</v>
      </c>
      <c r="AU212" s="17">
        <v>2</v>
      </c>
      <c r="AV212" s="71">
        <f t="shared" si="89"/>
        <v>0.66666666666666663</v>
      </c>
      <c r="AW212" s="17">
        <v>2</v>
      </c>
      <c r="AX212" s="71">
        <f t="shared" si="90"/>
        <v>1</v>
      </c>
      <c r="AY212" s="17">
        <v>2</v>
      </c>
      <c r="AZ212" s="71">
        <f t="shared" si="91"/>
        <v>0.66666666666666663</v>
      </c>
      <c r="BA212" s="93">
        <v>0</v>
      </c>
      <c r="BB212" s="93">
        <v>1</v>
      </c>
      <c r="BC212" s="93">
        <v>1</v>
      </c>
      <c r="BD212" s="93">
        <v>0</v>
      </c>
      <c r="BE212" s="102">
        <f t="shared" si="92"/>
        <v>1.7811513130556877</v>
      </c>
      <c r="BF212" s="81">
        <f t="shared" si="93"/>
        <v>0.60172245857948481</v>
      </c>
      <c r="BG212" s="81" t="str">
        <f t="shared" si="94"/>
        <v>MEDIO</v>
      </c>
      <c r="BK212" s="81" t="str">
        <f t="shared" si="95"/>
        <v>MEDIO</v>
      </c>
    </row>
    <row r="213" spans="1:63" x14ac:dyDescent="0.15">
      <c r="A213" s="85">
        <v>2</v>
      </c>
      <c r="B213" s="85">
        <v>2</v>
      </c>
      <c r="C213" s="85">
        <v>1</v>
      </c>
      <c r="D213" s="85">
        <v>2</v>
      </c>
      <c r="E213" s="85">
        <v>1</v>
      </c>
      <c r="F213" s="18">
        <v>2</v>
      </c>
      <c r="G213" s="64">
        <f t="shared" si="72"/>
        <v>1</v>
      </c>
      <c r="H213" s="18">
        <v>0</v>
      </c>
      <c r="I213" s="64">
        <f t="shared" si="73"/>
        <v>0</v>
      </c>
      <c r="J213" s="18">
        <v>0</v>
      </c>
      <c r="K213" s="64">
        <f t="shared" si="74"/>
        <v>0</v>
      </c>
      <c r="L213" s="18">
        <v>0</v>
      </c>
      <c r="M213" s="64">
        <f t="shared" si="75"/>
        <v>0</v>
      </c>
      <c r="N213" s="18">
        <v>4</v>
      </c>
      <c r="O213" s="64">
        <f t="shared" si="76"/>
        <v>0.8</v>
      </c>
      <c r="P213" s="18">
        <v>2</v>
      </c>
      <c r="Q213" s="64">
        <f t="shared" si="77"/>
        <v>0.66666666666666663</v>
      </c>
      <c r="R213" s="24">
        <v>0</v>
      </c>
      <c r="S213" s="71">
        <f t="shared" si="78"/>
        <v>0</v>
      </c>
      <c r="T213" s="18">
        <v>1</v>
      </c>
      <c r="U213" s="64">
        <f t="shared" si="79"/>
        <v>0.33333333333333331</v>
      </c>
      <c r="V213" s="18">
        <v>3</v>
      </c>
      <c r="W213" s="71">
        <f t="shared" si="80"/>
        <v>0.75</v>
      </c>
      <c r="X213" s="18">
        <v>0</v>
      </c>
      <c r="Y213" s="71">
        <f t="shared" si="81"/>
        <v>0</v>
      </c>
      <c r="Z213" s="18">
        <v>1</v>
      </c>
      <c r="AA213" s="71">
        <f t="shared" si="82"/>
        <v>0.33333333333333331</v>
      </c>
      <c r="AB213" s="18">
        <v>2</v>
      </c>
      <c r="AC213" s="71">
        <f t="shared" si="83"/>
        <v>1</v>
      </c>
      <c r="AD213" s="85">
        <v>1</v>
      </c>
      <c r="AE213" s="85">
        <v>0</v>
      </c>
      <c r="AF213" s="85">
        <v>1</v>
      </c>
      <c r="AG213" s="85">
        <v>0</v>
      </c>
      <c r="AH213" s="85">
        <v>0</v>
      </c>
      <c r="AI213" s="85">
        <v>0</v>
      </c>
      <c r="AJ213" s="19">
        <v>1</v>
      </c>
      <c r="AK213" s="71">
        <f t="shared" si="84"/>
        <v>0.5</v>
      </c>
      <c r="AL213" s="18">
        <v>0</v>
      </c>
      <c r="AM213" s="71">
        <f t="shared" si="85"/>
        <v>0</v>
      </c>
      <c r="AN213" s="18">
        <v>0</v>
      </c>
      <c r="AO213" s="71">
        <f t="shared" si="86"/>
        <v>0</v>
      </c>
      <c r="AP213" s="18">
        <v>2</v>
      </c>
      <c r="AQ213" s="71">
        <f t="shared" si="87"/>
        <v>0.66666666666666663</v>
      </c>
      <c r="AR213" s="85">
        <v>2</v>
      </c>
      <c r="AS213" s="18">
        <v>2</v>
      </c>
      <c r="AT213" s="71">
        <f t="shared" si="88"/>
        <v>0.66666666666666663</v>
      </c>
      <c r="AU213" s="18">
        <v>0</v>
      </c>
      <c r="AV213" s="71">
        <f t="shared" si="89"/>
        <v>0</v>
      </c>
      <c r="AW213" s="18">
        <v>0</v>
      </c>
      <c r="AX213" s="71">
        <f t="shared" si="90"/>
        <v>0</v>
      </c>
      <c r="AY213" s="18">
        <v>2</v>
      </c>
      <c r="AZ213" s="71">
        <f t="shared" si="91"/>
        <v>0.66666666666666663</v>
      </c>
      <c r="BA213" s="94">
        <v>0</v>
      </c>
      <c r="BB213" s="94">
        <v>0</v>
      </c>
      <c r="BC213" s="94">
        <v>1</v>
      </c>
      <c r="BD213" s="94">
        <v>0</v>
      </c>
      <c r="BE213" s="102">
        <f t="shared" si="92"/>
        <v>3.2689192913458927</v>
      </c>
      <c r="BF213" s="81">
        <f t="shared" si="93"/>
        <v>0.26904742515908309</v>
      </c>
      <c r="BG213" s="81" t="str">
        <f t="shared" si="94"/>
        <v>BASSO</v>
      </c>
      <c r="BK213" s="81" t="str">
        <f t="shared" si="95"/>
        <v>MOLTO BASSO</v>
      </c>
    </row>
    <row r="214" spans="1:63" x14ac:dyDescent="0.15">
      <c r="A214" s="84">
        <v>3</v>
      </c>
      <c r="B214" s="84">
        <v>1</v>
      </c>
      <c r="C214" s="84">
        <v>3</v>
      </c>
      <c r="D214" s="84">
        <v>1</v>
      </c>
      <c r="E214" s="84">
        <v>1</v>
      </c>
      <c r="F214" s="17">
        <v>2</v>
      </c>
      <c r="G214" s="64">
        <f t="shared" si="72"/>
        <v>1</v>
      </c>
      <c r="H214" s="17">
        <v>2</v>
      </c>
      <c r="I214" s="64">
        <f t="shared" si="73"/>
        <v>1</v>
      </c>
      <c r="J214" s="17">
        <v>2</v>
      </c>
      <c r="K214" s="64">
        <f t="shared" si="74"/>
        <v>1</v>
      </c>
      <c r="L214" s="17">
        <v>3</v>
      </c>
      <c r="M214" s="64">
        <f t="shared" si="75"/>
        <v>1</v>
      </c>
      <c r="N214" s="17">
        <v>0</v>
      </c>
      <c r="O214" s="64">
        <f t="shared" si="76"/>
        <v>0</v>
      </c>
      <c r="P214" s="17">
        <v>3</v>
      </c>
      <c r="Q214" s="64">
        <f t="shared" si="77"/>
        <v>1</v>
      </c>
      <c r="R214" s="25">
        <v>3</v>
      </c>
      <c r="S214" s="71">
        <f t="shared" si="78"/>
        <v>1</v>
      </c>
      <c r="T214" s="17">
        <v>3</v>
      </c>
      <c r="U214" s="64">
        <f t="shared" si="79"/>
        <v>1</v>
      </c>
      <c r="V214" s="17">
        <v>3</v>
      </c>
      <c r="W214" s="71">
        <f t="shared" si="80"/>
        <v>0.75</v>
      </c>
      <c r="X214" s="17">
        <v>3</v>
      </c>
      <c r="Y214" s="71">
        <f t="shared" si="81"/>
        <v>1</v>
      </c>
      <c r="Z214" s="17">
        <v>3</v>
      </c>
      <c r="AA214" s="71">
        <f t="shared" si="82"/>
        <v>1</v>
      </c>
      <c r="AB214" s="17">
        <v>3</v>
      </c>
      <c r="AC214" s="71">
        <f t="shared" si="83"/>
        <v>1.5</v>
      </c>
      <c r="AD214" s="84">
        <v>1</v>
      </c>
      <c r="AE214" s="84">
        <v>0</v>
      </c>
      <c r="AF214" s="84">
        <v>1</v>
      </c>
      <c r="AG214" s="84">
        <v>0</v>
      </c>
      <c r="AH214" s="84">
        <v>0</v>
      </c>
      <c r="AI214" s="84">
        <v>0</v>
      </c>
      <c r="AJ214" s="20">
        <v>2</v>
      </c>
      <c r="AK214" s="71">
        <f t="shared" si="84"/>
        <v>1</v>
      </c>
      <c r="AL214" s="17">
        <v>2</v>
      </c>
      <c r="AM214" s="71">
        <f t="shared" si="85"/>
        <v>0.66666666666666663</v>
      </c>
      <c r="AN214" s="17">
        <v>2</v>
      </c>
      <c r="AO214" s="71">
        <f t="shared" si="86"/>
        <v>0.66666666666666663</v>
      </c>
      <c r="AP214" s="17">
        <v>3</v>
      </c>
      <c r="AQ214" s="71">
        <f t="shared" si="87"/>
        <v>1</v>
      </c>
      <c r="AR214" s="84">
        <v>2</v>
      </c>
      <c r="AS214" s="17">
        <v>2</v>
      </c>
      <c r="AT214" s="71">
        <f t="shared" si="88"/>
        <v>0.66666666666666663</v>
      </c>
      <c r="AU214" s="17">
        <v>3</v>
      </c>
      <c r="AV214" s="71">
        <f t="shared" si="89"/>
        <v>1</v>
      </c>
      <c r="AW214" s="17">
        <v>2</v>
      </c>
      <c r="AX214" s="71">
        <f t="shared" si="90"/>
        <v>1</v>
      </c>
      <c r="AY214" s="17">
        <v>3</v>
      </c>
      <c r="AZ214" s="71">
        <f t="shared" si="91"/>
        <v>1</v>
      </c>
      <c r="BA214" s="93">
        <v>1</v>
      </c>
      <c r="BB214" s="93">
        <v>0</v>
      </c>
      <c r="BC214" s="93">
        <v>1</v>
      </c>
      <c r="BD214" s="93">
        <v>0</v>
      </c>
      <c r="BE214" s="102">
        <f t="shared" si="92"/>
        <v>1.282900359861721</v>
      </c>
      <c r="BF214" s="81">
        <f t="shared" si="93"/>
        <v>0.71313475869905185</v>
      </c>
      <c r="BG214" s="81" t="str">
        <f t="shared" si="94"/>
        <v>ALTO</v>
      </c>
      <c r="BK214" s="81" t="str">
        <f t="shared" si="95"/>
        <v>ALTO</v>
      </c>
    </row>
    <row r="215" spans="1:63" x14ac:dyDescent="0.15">
      <c r="A215" s="85">
        <v>1</v>
      </c>
      <c r="B215" s="85">
        <v>2</v>
      </c>
      <c r="C215" s="85">
        <v>1</v>
      </c>
      <c r="D215" s="85">
        <v>1</v>
      </c>
      <c r="E215" s="85">
        <v>1</v>
      </c>
      <c r="F215" s="18">
        <v>1</v>
      </c>
      <c r="G215" s="64">
        <f t="shared" si="72"/>
        <v>0.5</v>
      </c>
      <c r="H215" s="18">
        <v>1</v>
      </c>
      <c r="I215" s="64">
        <f t="shared" si="73"/>
        <v>0.5</v>
      </c>
      <c r="J215" s="18">
        <v>2</v>
      </c>
      <c r="K215" s="64">
        <f t="shared" si="74"/>
        <v>1</v>
      </c>
      <c r="L215" s="18">
        <v>3</v>
      </c>
      <c r="M215" s="64">
        <f t="shared" si="75"/>
        <v>1</v>
      </c>
      <c r="N215" s="18">
        <v>3</v>
      </c>
      <c r="O215" s="64">
        <f t="shared" si="76"/>
        <v>0.6</v>
      </c>
      <c r="P215" s="18">
        <v>1</v>
      </c>
      <c r="Q215" s="64">
        <f t="shared" si="77"/>
        <v>0.33333333333333331</v>
      </c>
      <c r="R215" s="24">
        <v>2</v>
      </c>
      <c r="S215" s="71">
        <f t="shared" si="78"/>
        <v>0.66666666666666663</v>
      </c>
      <c r="T215" s="18">
        <v>2</v>
      </c>
      <c r="U215" s="64">
        <f t="shared" si="79"/>
        <v>0.66666666666666663</v>
      </c>
      <c r="V215" s="18">
        <v>3</v>
      </c>
      <c r="W215" s="71">
        <f t="shared" si="80"/>
        <v>0.75</v>
      </c>
      <c r="X215" s="18">
        <v>2</v>
      </c>
      <c r="Y215" s="71">
        <f t="shared" si="81"/>
        <v>0.66666666666666663</v>
      </c>
      <c r="Z215" s="18">
        <v>3</v>
      </c>
      <c r="AA215" s="71">
        <f t="shared" si="82"/>
        <v>1</v>
      </c>
      <c r="AB215" s="18">
        <v>1</v>
      </c>
      <c r="AC215" s="71">
        <f t="shared" si="83"/>
        <v>0.5</v>
      </c>
      <c r="AD215" s="85">
        <v>0</v>
      </c>
      <c r="AE215" s="85">
        <v>1</v>
      </c>
      <c r="AF215" s="85">
        <v>1</v>
      </c>
      <c r="AG215" s="85">
        <v>0</v>
      </c>
      <c r="AH215" s="85">
        <v>0</v>
      </c>
      <c r="AI215" s="85">
        <v>0</v>
      </c>
      <c r="AJ215" s="19">
        <v>1</v>
      </c>
      <c r="AK215" s="71">
        <f t="shared" si="84"/>
        <v>0.5</v>
      </c>
      <c r="AL215" s="18">
        <v>2</v>
      </c>
      <c r="AM215" s="71">
        <f t="shared" si="85"/>
        <v>0.66666666666666663</v>
      </c>
      <c r="AN215" s="18">
        <v>2</v>
      </c>
      <c r="AO215" s="71">
        <f t="shared" si="86"/>
        <v>0.66666666666666663</v>
      </c>
      <c r="AP215" s="18">
        <v>3</v>
      </c>
      <c r="AQ215" s="71">
        <f t="shared" si="87"/>
        <v>1</v>
      </c>
      <c r="AR215" s="85">
        <v>0</v>
      </c>
      <c r="AS215" s="18">
        <v>3</v>
      </c>
      <c r="AT215" s="71">
        <f t="shared" si="88"/>
        <v>1</v>
      </c>
      <c r="AU215" s="18">
        <v>3</v>
      </c>
      <c r="AV215" s="71">
        <f t="shared" si="89"/>
        <v>1</v>
      </c>
      <c r="AW215" s="18">
        <v>0</v>
      </c>
      <c r="AX215" s="71">
        <f t="shared" si="90"/>
        <v>0</v>
      </c>
      <c r="AY215" s="18">
        <v>3</v>
      </c>
      <c r="AZ215" s="71">
        <f t="shared" si="91"/>
        <v>1</v>
      </c>
      <c r="BA215" s="94">
        <v>1</v>
      </c>
      <c r="BB215" s="94">
        <v>1</v>
      </c>
      <c r="BC215" s="94">
        <v>0</v>
      </c>
      <c r="BD215" s="94">
        <v>0</v>
      </c>
      <c r="BE215" s="102">
        <f t="shared" si="92"/>
        <v>1.7951323071016243</v>
      </c>
      <c r="BF215" s="81">
        <f t="shared" si="93"/>
        <v>0.59859621327151169</v>
      </c>
      <c r="BG215" s="81" t="str">
        <f t="shared" si="94"/>
        <v>MEDIO</v>
      </c>
      <c r="BK215" s="81" t="str">
        <f t="shared" si="95"/>
        <v>MEDIO</v>
      </c>
    </row>
    <row r="216" spans="1:63" x14ac:dyDescent="0.15">
      <c r="A216" s="84">
        <v>4</v>
      </c>
      <c r="B216" s="84">
        <v>2</v>
      </c>
      <c r="C216" s="84">
        <v>3</v>
      </c>
      <c r="D216" s="84">
        <v>2</v>
      </c>
      <c r="E216" s="84">
        <v>1</v>
      </c>
      <c r="F216" s="17">
        <v>1</v>
      </c>
      <c r="G216" s="64">
        <f t="shared" si="72"/>
        <v>0.5</v>
      </c>
      <c r="H216" s="17">
        <v>1</v>
      </c>
      <c r="I216" s="64">
        <f t="shared" si="73"/>
        <v>0.5</v>
      </c>
      <c r="J216" s="17">
        <v>0</v>
      </c>
      <c r="K216" s="64">
        <f t="shared" si="74"/>
        <v>0</v>
      </c>
      <c r="L216" s="17">
        <v>0</v>
      </c>
      <c r="M216" s="64">
        <f t="shared" si="75"/>
        <v>0</v>
      </c>
      <c r="N216" s="17">
        <v>2</v>
      </c>
      <c r="O216" s="64">
        <f t="shared" si="76"/>
        <v>0.4</v>
      </c>
      <c r="P216" s="17">
        <v>0</v>
      </c>
      <c r="Q216" s="64">
        <f t="shared" si="77"/>
        <v>0</v>
      </c>
      <c r="R216" s="25">
        <v>0</v>
      </c>
      <c r="S216" s="71">
        <f t="shared" si="78"/>
        <v>0</v>
      </c>
      <c r="T216" s="17">
        <v>0</v>
      </c>
      <c r="U216" s="64">
        <f t="shared" si="79"/>
        <v>0</v>
      </c>
      <c r="V216" s="17">
        <v>3</v>
      </c>
      <c r="W216" s="71">
        <f t="shared" si="80"/>
        <v>0.75</v>
      </c>
      <c r="X216" s="17">
        <v>0</v>
      </c>
      <c r="Y216" s="71">
        <f t="shared" si="81"/>
        <v>0</v>
      </c>
      <c r="Z216" s="17">
        <v>1</v>
      </c>
      <c r="AA216" s="71">
        <f t="shared" si="82"/>
        <v>0.33333333333333331</v>
      </c>
      <c r="AB216" s="17">
        <v>3</v>
      </c>
      <c r="AC216" s="71">
        <f t="shared" si="83"/>
        <v>1.5</v>
      </c>
      <c r="AD216" s="84">
        <v>0</v>
      </c>
      <c r="AE216" s="84">
        <v>0</v>
      </c>
      <c r="AF216" s="84">
        <v>0</v>
      </c>
      <c r="AG216" s="84">
        <v>1</v>
      </c>
      <c r="AH216" s="84">
        <v>0</v>
      </c>
      <c r="AI216" s="84">
        <v>0</v>
      </c>
      <c r="AJ216" s="20">
        <v>1</v>
      </c>
      <c r="AK216" s="71">
        <f t="shared" si="84"/>
        <v>0.5</v>
      </c>
      <c r="AL216" s="17">
        <v>2</v>
      </c>
      <c r="AM216" s="71">
        <f t="shared" si="85"/>
        <v>0.66666666666666663</v>
      </c>
      <c r="AN216" s="17">
        <v>0</v>
      </c>
      <c r="AO216" s="71">
        <f t="shared" si="86"/>
        <v>0</v>
      </c>
      <c r="AP216" s="17">
        <v>1</v>
      </c>
      <c r="AQ216" s="71">
        <f t="shared" si="87"/>
        <v>0.33333333333333331</v>
      </c>
      <c r="AR216" s="84">
        <v>0</v>
      </c>
      <c r="AS216" s="17">
        <v>2</v>
      </c>
      <c r="AT216" s="71">
        <f t="shared" si="88"/>
        <v>0.66666666666666663</v>
      </c>
      <c r="AU216" s="17">
        <v>2</v>
      </c>
      <c r="AV216" s="71">
        <f t="shared" si="89"/>
        <v>0.66666666666666663</v>
      </c>
      <c r="AW216" s="17">
        <v>0</v>
      </c>
      <c r="AX216" s="71">
        <f t="shared" si="90"/>
        <v>0</v>
      </c>
      <c r="AY216" s="17">
        <v>2</v>
      </c>
      <c r="AZ216" s="71">
        <f t="shared" si="91"/>
        <v>0.66666666666666663</v>
      </c>
      <c r="BA216" s="93">
        <v>0</v>
      </c>
      <c r="BB216" s="93">
        <v>0</v>
      </c>
      <c r="BC216" s="93">
        <v>0</v>
      </c>
      <c r="BD216" s="93">
        <v>1</v>
      </c>
      <c r="BE216" s="102">
        <f t="shared" si="92"/>
        <v>3.2796087164985601</v>
      </c>
      <c r="BF216" s="81">
        <f t="shared" si="93"/>
        <v>0.26665719703090729</v>
      </c>
      <c r="BG216" s="81" t="str">
        <f t="shared" si="94"/>
        <v>BASSO</v>
      </c>
      <c r="BK216" s="81" t="str">
        <f t="shared" si="95"/>
        <v>MOLTO BASSO</v>
      </c>
    </row>
    <row r="217" spans="1:63" x14ac:dyDescent="0.15">
      <c r="A217" s="85">
        <v>1</v>
      </c>
      <c r="B217" s="85">
        <v>2</v>
      </c>
      <c r="C217" s="85">
        <v>3</v>
      </c>
      <c r="D217" s="85">
        <v>2</v>
      </c>
      <c r="E217" s="85">
        <v>1</v>
      </c>
      <c r="F217" s="18">
        <v>2</v>
      </c>
      <c r="G217" s="64">
        <f t="shared" si="72"/>
        <v>1</v>
      </c>
      <c r="H217" s="18">
        <v>2</v>
      </c>
      <c r="I217" s="64">
        <f t="shared" si="73"/>
        <v>1</v>
      </c>
      <c r="J217" s="18">
        <v>1</v>
      </c>
      <c r="K217" s="64">
        <f t="shared" si="74"/>
        <v>0.5</v>
      </c>
      <c r="L217" s="18">
        <v>1</v>
      </c>
      <c r="M217" s="64">
        <f t="shared" si="75"/>
        <v>0.33333333333333331</v>
      </c>
      <c r="N217" s="18">
        <v>2</v>
      </c>
      <c r="O217" s="64">
        <f t="shared" si="76"/>
        <v>0.4</v>
      </c>
      <c r="P217" s="18">
        <v>2</v>
      </c>
      <c r="Q217" s="64">
        <f t="shared" si="77"/>
        <v>0.66666666666666663</v>
      </c>
      <c r="R217" s="24">
        <v>3</v>
      </c>
      <c r="S217" s="71">
        <f t="shared" si="78"/>
        <v>1</v>
      </c>
      <c r="T217" s="18">
        <v>2</v>
      </c>
      <c r="U217" s="64">
        <f t="shared" si="79"/>
        <v>0.66666666666666663</v>
      </c>
      <c r="V217" s="18">
        <v>3</v>
      </c>
      <c r="W217" s="71">
        <f t="shared" si="80"/>
        <v>0.75</v>
      </c>
      <c r="X217" s="18">
        <v>3</v>
      </c>
      <c r="Y217" s="71">
        <f t="shared" si="81"/>
        <v>1</v>
      </c>
      <c r="Z217" s="18">
        <v>1</v>
      </c>
      <c r="AA217" s="71">
        <f t="shared" si="82"/>
        <v>0.33333333333333331</v>
      </c>
      <c r="AB217" s="18">
        <v>2</v>
      </c>
      <c r="AC217" s="71">
        <f t="shared" si="83"/>
        <v>1</v>
      </c>
      <c r="AD217" s="85">
        <v>1</v>
      </c>
      <c r="AE217" s="85">
        <v>0</v>
      </c>
      <c r="AF217" s="85">
        <v>1</v>
      </c>
      <c r="AG217" s="85">
        <v>0</v>
      </c>
      <c r="AH217" s="85">
        <v>0</v>
      </c>
      <c r="AI217" s="85">
        <v>0</v>
      </c>
      <c r="AJ217" s="19">
        <v>2</v>
      </c>
      <c r="AK217" s="71">
        <f t="shared" si="84"/>
        <v>1</v>
      </c>
      <c r="AL217" s="18">
        <v>1</v>
      </c>
      <c r="AM217" s="71">
        <f t="shared" si="85"/>
        <v>0.33333333333333331</v>
      </c>
      <c r="AN217" s="18">
        <v>1</v>
      </c>
      <c r="AO217" s="71">
        <f t="shared" si="86"/>
        <v>0.33333333333333331</v>
      </c>
      <c r="AP217" s="18">
        <v>2</v>
      </c>
      <c r="AQ217" s="71">
        <f t="shared" si="87"/>
        <v>0.66666666666666663</v>
      </c>
      <c r="AR217" s="85">
        <v>3</v>
      </c>
      <c r="AS217" s="18">
        <v>2</v>
      </c>
      <c r="AT217" s="71">
        <f t="shared" si="88"/>
        <v>0.66666666666666663</v>
      </c>
      <c r="AU217" s="18">
        <v>2</v>
      </c>
      <c r="AV217" s="71">
        <f t="shared" si="89"/>
        <v>0.66666666666666663</v>
      </c>
      <c r="AW217" s="18">
        <v>1</v>
      </c>
      <c r="AX217" s="71">
        <f t="shared" si="90"/>
        <v>0.5</v>
      </c>
      <c r="AY217" s="18">
        <v>3</v>
      </c>
      <c r="AZ217" s="71">
        <f t="shared" si="91"/>
        <v>1</v>
      </c>
      <c r="BA217" s="94">
        <v>0</v>
      </c>
      <c r="BB217" s="94">
        <v>1</v>
      </c>
      <c r="BC217" s="94">
        <v>1</v>
      </c>
      <c r="BD217" s="94">
        <v>0</v>
      </c>
      <c r="BE217" s="102">
        <f t="shared" si="92"/>
        <v>1.8043927879852919</v>
      </c>
      <c r="BF217" s="81">
        <f t="shared" si="93"/>
        <v>0.59652550679548999</v>
      </c>
      <c r="BG217" s="81" t="str">
        <f t="shared" si="94"/>
        <v>MEDIO</v>
      </c>
      <c r="BK217" s="81" t="str">
        <f t="shared" si="95"/>
        <v>MEDIO</v>
      </c>
    </row>
    <row r="218" spans="1:63" x14ac:dyDescent="0.15">
      <c r="A218" s="84">
        <v>2</v>
      </c>
      <c r="B218" s="84">
        <v>2</v>
      </c>
      <c r="C218" s="84">
        <v>1</v>
      </c>
      <c r="D218" s="84">
        <v>1</v>
      </c>
      <c r="E218" s="84">
        <v>1</v>
      </c>
      <c r="F218" s="17">
        <v>2</v>
      </c>
      <c r="G218" s="64">
        <f t="shared" si="72"/>
        <v>1</v>
      </c>
      <c r="H218" s="17">
        <v>1</v>
      </c>
      <c r="I218" s="64">
        <f t="shared" si="73"/>
        <v>0.5</v>
      </c>
      <c r="J218" s="17">
        <v>1</v>
      </c>
      <c r="K218" s="64">
        <f t="shared" si="74"/>
        <v>0.5</v>
      </c>
      <c r="L218" s="17">
        <v>3</v>
      </c>
      <c r="M218" s="64">
        <f t="shared" si="75"/>
        <v>1</v>
      </c>
      <c r="N218" s="17">
        <v>0</v>
      </c>
      <c r="O218" s="64">
        <f t="shared" si="76"/>
        <v>0</v>
      </c>
      <c r="P218" s="17">
        <v>3</v>
      </c>
      <c r="Q218" s="64">
        <f t="shared" si="77"/>
        <v>1</v>
      </c>
      <c r="R218" s="25">
        <v>3</v>
      </c>
      <c r="S218" s="71">
        <f t="shared" si="78"/>
        <v>1</v>
      </c>
      <c r="T218" s="17">
        <v>3</v>
      </c>
      <c r="U218" s="64">
        <f t="shared" si="79"/>
        <v>1</v>
      </c>
      <c r="V218" s="17">
        <v>4</v>
      </c>
      <c r="W218" s="71">
        <f t="shared" si="80"/>
        <v>1</v>
      </c>
      <c r="X218" s="17">
        <v>3</v>
      </c>
      <c r="Y218" s="71">
        <f t="shared" si="81"/>
        <v>1</v>
      </c>
      <c r="Z218" s="17">
        <v>2</v>
      </c>
      <c r="AA218" s="71">
        <f t="shared" si="82"/>
        <v>0.66666666666666663</v>
      </c>
      <c r="AB218" s="17">
        <v>2</v>
      </c>
      <c r="AC218" s="71">
        <f t="shared" si="83"/>
        <v>1</v>
      </c>
      <c r="AD218" s="84">
        <v>1</v>
      </c>
      <c r="AE218" s="84">
        <v>0</v>
      </c>
      <c r="AF218" s="84">
        <v>1</v>
      </c>
      <c r="AG218" s="84">
        <v>0</v>
      </c>
      <c r="AH218" s="84">
        <v>0</v>
      </c>
      <c r="AI218" s="84">
        <v>0</v>
      </c>
      <c r="AJ218" s="20">
        <v>1</v>
      </c>
      <c r="AK218" s="71">
        <f t="shared" si="84"/>
        <v>0.5</v>
      </c>
      <c r="AL218" s="17">
        <v>1</v>
      </c>
      <c r="AM218" s="71">
        <f t="shared" si="85"/>
        <v>0.33333333333333331</v>
      </c>
      <c r="AN218" s="17">
        <v>1</v>
      </c>
      <c r="AO218" s="71">
        <f t="shared" si="86"/>
        <v>0.33333333333333331</v>
      </c>
      <c r="AP218" s="17">
        <v>3</v>
      </c>
      <c r="AQ218" s="71">
        <f t="shared" si="87"/>
        <v>1</v>
      </c>
      <c r="AR218" s="84">
        <v>1</v>
      </c>
      <c r="AS218" s="17">
        <v>3</v>
      </c>
      <c r="AT218" s="71">
        <f t="shared" si="88"/>
        <v>1</v>
      </c>
      <c r="AU218" s="17">
        <v>3</v>
      </c>
      <c r="AV218" s="71">
        <f t="shared" si="89"/>
        <v>1</v>
      </c>
      <c r="AW218" s="17">
        <v>0</v>
      </c>
      <c r="AX218" s="71">
        <f t="shared" si="90"/>
        <v>0</v>
      </c>
      <c r="AY218" s="17">
        <v>2</v>
      </c>
      <c r="AZ218" s="71">
        <f t="shared" si="91"/>
        <v>0.66666666666666663</v>
      </c>
      <c r="BA218" s="93">
        <v>1</v>
      </c>
      <c r="BB218" s="93">
        <v>1</v>
      </c>
      <c r="BC218" s="93">
        <v>0</v>
      </c>
      <c r="BD218" s="93">
        <v>0</v>
      </c>
      <c r="BE218" s="102">
        <f t="shared" si="92"/>
        <v>1.9649710204252662</v>
      </c>
      <c r="BF218" s="81">
        <f t="shared" si="93"/>
        <v>0.56061912245123902</v>
      </c>
      <c r="BG218" s="81" t="str">
        <f t="shared" si="94"/>
        <v>MEDIO</v>
      </c>
      <c r="BK218" s="81" t="str">
        <f t="shared" si="95"/>
        <v>MEDIO</v>
      </c>
    </row>
    <row r="219" spans="1:63" x14ac:dyDescent="0.15">
      <c r="A219" s="85">
        <v>1</v>
      </c>
      <c r="B219" s="85">
        <v>1</v>
      </c>
      <c r="C219" s="85">
        <v>2</v>
      </c>
      <c r="D219" s="85">
        <v>1</v>
      </c>
      <c r="E219" s="85">
        <v>1</v>
      </c>
      <c r="F219" s="18">
        <v>2</v>
      </c>
      <c r="G219" s="64">
        <f t="shared" si="72"/>
        <v>1</v>
      </c>
      <c r="H219" s="18">
        <v>1</v>
      </c>
      <c r="I219" s="64">
        <f t="shared" si="73"/>
        <v>0.5</v>
      </c>
      <c r="J219" s="18">
        <v>1</v>
      </c>
      <c r="K219" s="64">
        <f t="shared" si="74"/>
        <v>0.5</v>
      </c>
      <c r="L219" s="18">
        <v>3</v>
      </c>
      <c r="M219" s="64">
        <f t="shared" si="75"/>
        <v>1</v>
      </c>
      <c r="N219" s="18">
        <v>0</v>
      </c>
      <c r="O219" s="64">
        <f t="shared" si="76"/>
        <v>0</v>
      </c>
      <c r="P219" s="18">
        <v>2</v>
      </c>
      <c r="Q219" s="64">
        <f t="shared" si="77"/>
        <v>0.66666666666666663</v>
      </c>
      <c r="R219" s="24">
        <v>3</v>
      </c>
      <c r="S219" s="71">
        <f t="shared" si="78"/>
        <v>1</v>
      </c>
      <c r="T219" s="18">
        <v>2</v>
      </c>
      <c r="U219" s="64">
        <f t="shared" si="79"/>
        <v>0.66666666666666663</v>
      </c>
      <c r="V219" s="18">
        <v>3</v>
      </c>
      <c r="W219" s="71">
        <f t="shared" si="80"/>
        <v>0.75</v>
      </c>
      <c r="X219" s="18">
        <v>3</v>
      </c>
      <c r="Y219" s="71">
        <f t="shared" si="81"/>
        <v>1</v>
      </c>
      <c r="Z219" s="18">
        <v>3</v>
      </c>
      <c r="AA219" s="71">
        <f t="shared" si="82"/>
        <v>1</v>
      </c>
      <c r="AB219" s="18">
        <v>1</v>
      </c>
      <c r="AC219" s="71">
        <f t="shared" si="83"/>
        <v>0.5</v>
      </c>
      <c r="AD219" s="85">
        <v>1</v>
      </c>
      <c r="AE219" s="85">
        <v>0</v>
      </c>
      <c r="AF219" s="85">
        <v>1</v>
      </c>
      <c r="AG219" s="85">
        <v>0</v>
      </c>
      <c r="AH219" s="85">
        <v>0</v>
      </c>
      <c r="AI219" s="85">
        <v>0</v>
      </c>
      <c r="AJ219" s="19">
        <v>0</v>
      </c>
      <c r="AK219" s="71">
        <f t="shared" si="84"/>
        <v>0</v>
      </c>
      <c r="AL219" s="18">
        <v>2</v>
      </c>
      <c r="AM219" s="71">
        <f t="shared" si="85"/>
        <v>0.66666666666666663</v>
      </c>
      <c r="AN219" s="18">
        <v>1</v>
      </c>
      <c r="AO219" s="71">
        <f t="shared" si="86"/>
        <v>0.33333333333333331</v>
      </c>
      <c r="AP219" s="18">
        <v>3</v>
      </c>
      <c r="AQ219" s="71">
        <f t="shared" si="87"/>
        <v>1</v>
      </c>
      <c r="AR219" s="85">
        <v>0</v>
      </c>
      <c r="AS219" s="18">
        <v>2</v>
      </c>
      <c r="AT219" s="71">
        <f t="shared" si="88"/>
        <v>0.66666666666666663</v>
      </c>
      <c r="AU219" s="18">
        <v>3</v>
      </c>
      <c r="AV219" s="71">
        <f t="shared" si="89"/>
        <v>1</v>
      </c>
      <c r="AW219" s="18">
        <v>0</v>
      </c>
      <c r="AX219" s="71">
        <f t="shared" si="90"/>
        <v>0</v>
      </c>
      <c r="AY219" s="18">
        <v>2</v>
      </c>
      <c r="AZ219" s="71">
        <f t="shared" si="91"/>
        <v>0.66666666666666663</v>
      </c>
      <c r="BA219" s="94">
        <v>0</v>
      </c>
      <c r="BB219" s="94">
        <v>1</v>
      </c>
      <c r="BC219" s="94">
        <v>1</v>
      </c>
      <c r="BD219" s="94">
        <v>0</v>
      </c>
      <c r="BE219" s="102">
        <f t="shared" si="92"/>
        <v>2.1937410968480306</v>
      </c>
      <c r="BF219" s="81">
        <f t="shared" si="93"/>
        <v>0.50946457824133151</v>
      </c>
      <c r="BG219" s="81" t="str">
        <f t="shared" si="94"/>
        <v>MEDIO</v>
      </c>
      <c r="BK219" s="81" t="str">
        <f t="shared" si="95"/>
        <v>MEDIO</v>
      </c>
    </row>
    <row r="220" spans="1:63" x14ac:dyDescent="0.15">
      <c r="A220" s="84">
        <v>2</v>
      </c>
      <c r="B220" s="84">
        <v>1</v>
      </c>
      <c r="C220" s="84">
        <v>4</v>
      </c>
      <c r="D220" s="84">
        <v>1</v>
      </c>
      <c r="E220" s="84">
        <v>1</v>
      </c>
      <c r="F220" s="17">
        <v>1</v>
      </c>
      <c r="G220" s="64">
        <f t="shared" si="72"/>
        <v>0.5</v>
      </c>
      <c r="H220" s="17">
        <v>1</v>
      </c>
      <c r="I220" s="64">
        <f t="shared" si="73"/>
        <v>0.5</v>
      </c>
      <c r="J220" s="17">
        <v>1</v>
      </c>
      <c r="K220" s="64">
        <f t="shared" si="74"/>
        <v>0.5</v>
      </c>
      <c r="L220" s="17">
        <v>3</v>
      </c>
      <c r="M220" s="64">
        <f t="shared" si="75"/>
        <v>1</v>
      </c>
      <c r="N220" s="17">
        <v>5</v>
      </c>
      <c r="O220" s="64">
        <f t="shared" si="76"/>
        <v>1</v>
      </c>
      <c r="P220" s="17">
        <v>2</v>
      </c>
      <c r="Q220" s="64">
        <f t="shared" si="77"/>
        <v>0.66666666666666663</v>
      </c>
      <c r="R220" s="25">
        <v>2</v>
      </c>
      <c r="S220" s="71">
        <f t="shared" si="78"/>
        <v>0.66666666666666663</v>
      </c>
      <c r="T220" s="17">
        <v>2</v>
      </c>
      <c r="U220" s="64">
        <f t="shared" si="79"/>
        <v>0.66666666666666663</v>
      </c>
      <c r="V220" s="17">
        <v>3</v>
      </c>
      <c r="W220" s="71">
        <f t="shared" si="80"/>
        <v>0.75</v>
      </c>
      <c r="X220" s="17">
        <v>2</v>
      </c>
      <c r="Y220" s="71">
        <f t="shared" si="81"/>
        <v>0.66666666666666663</v>
      </c>
      <c r="Z220" s="17">
        <v>1</v>
      </c>
      <c r="AA220" s="71">
        <f t="shared" si="82"/>
        <v>0.33333333333333331</v>
      </c>
      <c r="AB220" s="17">
        <v>2</v>
      </c>
      <c r="AC220" s="71">
        <f t="shared" si="83"/>
        <v>1</v>
      </c>
      <c r="AD220" s="84">
        <v>1</v>
      </c>
      <c r="AE220" s="84">
        <v>0</v>
      </c>
      <c r="AF220" s="84">
        <v>1</v>
      </c>
      <c r="AG220" s="84">
        <v>0</v>
      </c>
      <c r="AH220" s="84">
        <v>0</v>
      </c>
      <c r="AI220" s="84">
        <v>0</v>
      </c>
      <c r="AJ220" s="20">
        <v>1</v>
      </c>
      <c r="AK220" s="71">
        <f t="shared" si="84"/>
        <v>0.5</v>
      </c>
      <c r="AL220" s="17">
        <v>3</v>
      </c>
      <c r="AM220" s="71">
        <f t="shared" si="85"/>
        <v>1</v>
      </c>
      <c r="AN220" s="17">
        <v>1</v>
      </c>
      <c r="AO220" s="71">
        <f t="shared" si="86"/>
        <v>0.33333333333333331</v>
      </c>
      <c r="AP220" s="17">
        <v>3</v>
      </c>
      <c r="AQ220" s="71">
        <f t="shared" si="87"/>
        <v>1</v>
      </c>
      <c r="AR220" s="84">
        <v>1</v>
      </c>
      <c r="AS220" s="17">
        <v>3</v>
      </c>
      <c r="AT220" s="71">
        <f t="shared" si="88"/>
        <v>1</v>
      </c>
      <c r="AU220" s="17">
        <v>2</v>
      </c>
      <c r="AV220" s="71">
        <f t="shared" si="89"/>
        <v>0.66666666666666663</v>
      </c>
      <c r="AW220" s="17">
        <v>0</v>
      </c>
      <c r="AX220" s="71">
        <f t="shared" si="90"/>
        <v>0</v>
      </c>
      <c r="AY220" s="17">
        <v>2</v>
      </c>
      <c r="AZ220" s="71">
        <f t="shared" si="91"/>
        <v>0.66666666666666663</v>
      </c>
      <c r="BA220" s="93">
        <v>1</v>
      </c>
      <c r="BB220" s="93">
        <v>1</v>
      </c>
      <c r="BC220" s="93">
        <v>0</v>
      </c>
      <c r="BD220" s="93">
        <v>0</v>
      </c>
      <c r="BE220" s="102">
        <f t="shared" si="92"/>
        <v>1.9021187017522214</v>
      </c>
      <c r="BF220" s="81">
        <f t="shared" si="93"/>
        <v>0.57467332816087846</v>
      </c>
      <c r="BG220" s="81" t="str">
        <f t="shared" si="94"/>
        <v>MEDIO</v>
      </c>
      <c r="BK220" s="81" t="str">
        <f t="shared" si="95"/>
        <v>MEDIO</v>
      </c>
    </row>
    <row r="221" spans="1:63" x14ac:dyDescent="0.15">
      <c r="A221" s="85">
        <v>2</v>
      </c>
      <c r="B221" s="85">
        <v>1</v>
      </c>
      <c r="C221" s="85">
        <v>3</v>
      </c>
      <c r="D221" s="85">
        <v>2</v>
      </c>
      <c r="E221" s="85">
        <v>1</v>
      </c>
      <c r="F221" s="18">
        <v>2</v>
      </c>
      <c r="G221" s="64">
        <f t="shared" si="72"/>
        <v>1</v>
      </c>
      <c r="H221" s="18">
        <v>2</v>
      </c>
      <c r="I221" s="64">
        <f t="shared" si="73"/>
        <v>1</v>
      </c>
      <c r="J221" s="18">
        <v>1</v>
      </c>
      <c r="K221" s="64">
        <f t="shared" si="74"/>
        <v>0.5</v>
      </c>
      <c r="L221" s="18">
        <v>2</v>
      </c>
      <c r="M221" s="64">
        <f t="shared" si="75"/>
        <v>0.66666666666666663</v>
      </c>
      <c r="N221" s="18">
        <v>2</v>
      </c>
      <c r="O221" s="64">
        <f t="shared" si="76"/>
        <v>0.4</v>
      </c>
      <c r="P221" s="18">
        <v>2</v>
      </c>
      <c r="Q221" s="64">
        <f t="shared" si="77"/>
        <v>0.66666666666666663</v>
      </c>
      <c r="R221" s="24">
        <v>3</v>
      </c>
      <c r="S221" s="71">
        <f t="shared" si="78"/>
        <v>1</v>
      </c>
      <c r="T221" s="18">
        <v>2</v>
      </c>
      <c r="U221" s="64">
        <f t="shared" si="79"/>
        <v>0.66666666666666663</v>
      </c>
      <c r="V221" s="18">
        <v>3</v>
      </c>
      <c r="W221" s="71">
        <f t="shared" si="80"/>
        <v>0.75</v>
      </c>
      <c r="X221" s="18">
        <v>3</v>
      </c>
      <c r="Y221" s="71">
        <f t="shared" si="81"/>
        <v>1</v>
      </c>
      <c r="Z221" s="18">
        <v>3</v>
      </c>
      <c r="AA221" s="71">
        <f t="shared" si="82"/>
        <v>1</v>
      </c>
      <c r="AB221" s="18">
        <v>1</v>
      </c>
      <c r="AC221" s="71">
        <f t="shared" si="83"/>
        <v>0.5</v>
      </c>
      <c r="AD221" s="85">
        <v>1</v>
      </c>
      <c r="AE221" s="85">
        <v>1</v>
      </c>
      <c r="AF221" s="85">
        <v>0</v>
      </c>
      <c r="AG221" s="85">
        <v>0</v>
      </c>
      <c r="AH221" s="85">
        <v>0</v>
      </c>
      <c r="AI221" s="85">
        <v>0</v>
      </c>
      <c r="AJ221" s="19">
        <v>1</v>
      </c>
      <c r="AK221" s="71">
        <f t="shared" si="84"/>
        <v>0.5</v>
      </c>
      <c r="AL221" s="18">
        <v>2</v>
      </c>
      <c r="AM221" s="71">
        <f t="shared" si="85"/>
        <v>0.66666666666666663</v>
      </c>
      <c r="AN221" s="18">
        <v>1</v>
      </c>
      <c r="AO221" s="71">
        <f t="shared" si="86"/>
        <v>0.33333333333333331</v>
      </c>
      <c r="AP221" s="18">
        <v>2</v>
      </c>
      <c r="AQ221" s="71">
        <f t="shared" si="87"/>
        <v>0.66666666666666663</v>
      </c>
      <c r="AR221" s="85">
        <v>2</v>
      </c>
      <c r="AS221" s="18">
        <v>3</v>
      </c>
      <c r="AT221" s="71">
        <f t="shared" si="88"/>
        <v>1</v>
      </c>
      <c r="AU221" s="18">
        <v>3</v>
      </c>
      <c r="AV221" s="71">
        <f t="shared" si="89"/>
        <v>1</v>
      </c>
      <c r="AW221" s="18">
        <v>1</v>
      </c>
      <c r="AX221" s="71">
        <f t="shared" si="90"/>
        <v>0.5</v>
      </c>
      <c r="AY221" s="18">
        <v>3</v>
      </c>
      <c r="AZ221" s="71">
        <f t="shared" si="91"/>
        <v>1</v>
      </c>
      <c r="BA221" s="94">
        <v>0</v>
      </c>
      <c r="BB221" s="94">
        <v>1</v>
      </c>
      <c r="BC221" s="94">
        <v>1</v>
      </c>
      <c r="BD221" s="94">
        <v>0</v>
      </c>
      <c r="BE221" s="102">
        <f t="shared" si="92"/>
        <v>1.5564382416273381</v>
      </c>
      <c r="BF221" s="81">
        <f t="shared" si="93"/>
        <v>0.65196982889413557</v>
      </c>
      <c r="BG221" s="81" t="str">
        <f t="shared" si="94"/>
        <v>MEDIO</v>
      </c>
      <c r="BK221" s="81" t="str">
        <f t="shared" si="95"/>
        <v>ALTO</v>
      </c>
    </row>
    <row r="222" spans="1:63" x14ac:dyDescent="0.15">
      <c r="A222" s="84">
        <v>2</v>
      </c>
      <c r="B222" s="84">
        <v>1</v>
      </c>
      <c r="C222" s="84">
        <v>3</v>
      </c>
      <c r="D222" s="84">
        <v>1</v>
      </c>
      <c r="E222" s="84">
        <v>1</v>
      </c>
      <c r="F222" s="17">
        <v>2</v>
      </c>
      <c r="G222" s="64">
        <f t="shared" si="72"/>
        <v>1</v>
      </c>
      <c r="H222" s="17">
        <v>2</v>
      </c>
      <c r="I222" s="64">
        <f t="shared" si="73"/>
        <v>1</v>
      </c>
      <c r="J222" s="17">
        <v>2</v>
      </c>
      <c r="K222" s="64">
        <f t="shared" si="74"/>
        <v>1</v>
      </c>
      <c r="L222" s="17">
        <v>3</v>
      </c>
      <c r="M222" s="64">
        <f t="shared" si="75"/>
        <v>1</v>
      </c>
      <c r="N222" s="17">
        <v>4</v>
      </c>
      <c r="O222" s="64">
        <f t="shared" si="76"/>
        <v>0.8</v>
      </c>
      <c r="P222" s="17">
        <v>1</v>
      </c>
      <c r="Q222" s="64">
        <f t="shared" si="77"/>
        <v>0.33333333333333331</v>
      </c>
      <c r="R222" s="25">
        <v>3</v>
      </c>
      <c r="S222" s="71">
        <f t="shared" si="78"/>
        <v>1</v>
      </c>
      <c r="T222" s="17">
        <v>3</v>
      </c>
      <c r="U222" s="64">
        <f t="shared" si="79"/>
        <v>1</v>
      </c>
      <c r="V222" s="17">
        <v>2</v>
      </c>
      <c r="W222" s="71">
        <f t="shared" si="80"/>
        <v>0.5</v>
      </c>
      <c r="X222" s="17">
        <v>3</v>
      </c>
      <c r="Y222" s="71">
        <f t="shared" si="81"/>
        <v>1</v>
      </c>
      <c r="Z222" s="17">
        <v>3</v>
      </c>
      <c r="AA222" s="71">
        <f t="shared" si="82"/>
        <v>1</v>
      </c>
      <c r="AB222" s="17">
        <v>0</v>
      </c>
      <c r="AC222" s="71">
        <f t="shared" si="83"/>
        <v>0</v>
      </c>
      <c r="AD222" s="84">
        <v>1</v>
      </c>
      <c r="AE222" s="84">
        <v>1</v>
      </c>
      <c r="AF222" s="84">
        <v>0</v>
      </c>
      <c r="AG222" s="84">
        <v>0</v>
      </c>
      <c r="AH222" s="84">
        <v>0</v>
      </c>
      <c r="AI222" s="84">
        <v>0</v>
      </c>
      <c r="AJ222" s="20">
        <v>2</v>
      </c>
      <c r="AK222" s="71">
        <f t="shared" si="84"/>
        <v>1</v>
      </c>
      <c r="AL222" s="17">
        <v>3</v>
      </c>
      <c r="AM222" s="71">
        <f t="shared" si="85"/>
        <v>1</v>
      </c>
      <c r="AN222" s="17">
        <v>2</v>
      </c>
      <c r="AO222" s="71">
        <f t="shared" si="86"/>
        <v>0.66666666666666663</v>
      </c>
      <c r="AP222" s="17">
        <v>2</v>
      </c>
      <c r="AQ222" s="71">
        <f t="shared" si="87"/>
        <v>0.66666666666666663</v>
      </c>
      <c r="AR222" s="84">
        <v>2</v>
      </c>
      <c r="AS222" s="17">
        <v>3</v>
      </c>
      <c r="AT222" s="71">
        <f t="shared" si="88"/>
        <v>1</v>
      </c>
      <c r="AU222" s="17">
        <v>3</v>
      </c>
      <c r="AV222" s="71">
        <f t="shared" si="89"/>
        <v>1</v>
      </c>
      <c r="AW222" s="17">
        <v>2</v>
      </c>
      <c r="AX222" s="71">
        <f t="shared" si="90"/>
        <v>1</v>
      </c>
      <c r="AY222" s="17">
        <v>3</v>
      </c>
      <c r="AZ222" s="71">
        <f t="shared" si="91"/>
        <v>1</v>
      </c>
      <c r="BA222" s="93">
        <v>0</v>
      </c>
      <c r="BB222" s="93">
        <v>1</v>
      </c>
      <c r="BC222" s="93">
        <v>1</v>
      </c>
      <c r="BD222" s="93">
        <v>0</v>
      </c>
      <c r="BE222" s="102">
        <f t="shared" si="92"/>
        <v>1.3988090172238192</v>
      </c>
      <c r="BF222" s="81">
        <f t="shared" si="93"/>
        <v>0.68721679499481603</v>
      </c>
      <c r="BG222" s="81" t="str">
        <f t="shared" si="94"/>
        <v>ALTO</v>
      </c>
      <c r="BK222" s="81" t="str">
        <f t="shared" si="95"/>
        <v>ALTO</v>
      </c>
    </row>
    <row r="223" spans="1:63" x14ac:dyDescent="0.15">
      <c r="A223" s="85">
        <v>1</v>
      </c>
      <c r="B223" s="85">
        <v>1</v>
      </c>
      <c r="C223" s="85">
        <v>1</v>
      </c>
      <c r="D223" s="85">
        <v>1</v>
      </c>
      <c r="E223" s="85">
        <v>1</v>
      </c>
      <c r="F223" s="18">
        <v>0</v>
      </c>
      <c r="G223" s="64">
        <f t="shared" si="72"/>
        <v>0</v>
      </c>
      <c r="H223" s="18">
        <v>1</v>
      </c>
      <c r="I223" s="64">
        <f t="shared" si="73"/>
        <v>0.5</v>
      </c>
      <c r="J223" s="18">
        <v>1</v>
      </c>
      <c r="K223" s="64">
        <f t="shared" si="74"/>
        <v>0.5</v>
      </c>
      <c r="L223" s="18">
        <v>1</v>
      </c>
      <c r="M223" s="64">
        <f t="shared" si="75"/>
        <v>0.33333333333333331</v>
      </c>
      <c r="N223" s="18">
        <v>2</v>
      </c>
      <c r="O223" s="64">
        <f t="shared" si="76"/>
        <v>0.4</v>
      </c>
      <c r="P223" s="18">
        <v>2</v>
      </c>
      <c r="Q223" s="64">
        <f t="shared" si="77"/>
        <v>0.66666666666666663</v>
      </c>
      <c r="R223" s="24">
        <v>3</v>
      </c>
      <c r="S223" s="71">
        <f t="shared" si="78"/>
        <v>1</v>
      </c>
      <c r="T223" s="18">
        <v>2</v>
      </c>
      <c r="U223" s="64">
        <f t="shared" si="79"/>
        <v>0.66666666666666663</v>
      </c>
      <c r="V223" s="18">
        <v>3</v>
      </c>
      <c r="W223" s="71">
        <f t="shared" si="80"/>
        <v>0.75</v>
      </c>
      <c r="X223" s="18">
        <v>3</v>
      </c>
      <c r="Y223" s="71">
        <f t="shared" si="81"/>
        <v>1</v>
      </c>
      <c r="Z223" s="18">
        <v>1</v>
      </c>
      <c r="AA223" s="71">
        <f t="shared" si="82"/>
        <v>0.33333333333333331</v>
      </c>
      <c r="AB223" s="18">
        <v>0</v>
      </c>
      <c r="AC223" s="71">
        <f t="shared" si="83"/>
        <v>0</v>
      </c>
      <c r="AD223" s="85">
        <v>1</v>
      </c>
      <c r="AE223" s="85">
        <v>0</v>
      </c>
      <c r="AF223" s="85">
        <v>1</v>
      </c>
      <c r="AG223" s="85">
        <v>0</v>
      </c>
      <c r="AH223" s="85">
        <v>0</v>
      </c>
      <c r="AI223" s="85">
        <v>0</v>
      </c>
      <c r="AJ223" s="19">
        <v>1</v>
      </c>
      <c r="AK223" s="71">
        <f t="shared" si="84"/>
        <v>0.5</v>
      </c>
      <c r="AL223" s="18">
        <v>1</v>
      </c>
      <c r="AM223" s="71">
        <f t="shared" si="85"/>
        <v>0.33333333333333331</v>
      </c>
      <c r="AN223" s="18">
        <v>1</v>
      </c>
      <c r="AO223" s="71">
        <f t="shared" si="86"/>
        <v>0.33333333333333331</v>
      </c>
      <c r="AP223" s="18">
        <v>0</v>
      </c>
      <c r="AQ223" s="71">
        <f t="shared" si="87"/>
        <v>0</v>
      </c>
      <c r="AR223" s="85">
        <v>2</v>
      </c>
      <c r="AS223" s="18">
        <v>0</v>
      </c>
      <c r="AT223" s="71">
        <f t="shared" si="88"/>
        <v>0</v>
      </c>
      <c r="AU223" s="18">
        <v>2</v>
      </c>
      <c r="AV223" s="71">
        <f t="shared" si="89"/>
        <v>0.66666666666666663</v>
      </c>
      <c r="AW223" s="18">
        <v>1</v>
      </c>
      <c r="AX223" s="71">
        <f t="shared" si="90"/>
        <v>0.5</v>
      </c>
      <c r="AY223" s="18">
        <v>0</v>
      </c>
      <c r="AZ223" s="71">
        <f t="shared" si="91"/>
        <v>0</v>
      </c>
      <c r="BA223" s="94">
        <v>0</v>
      </c>
      <c r="BB223" s="94">
        <v>1</v>
      </c>
      <c r="BC223" s="94">
        <v>0</v>
      </c>
      <c r="BD223" s="94">
        <v>0</v>
      </c>
      <c r="BE223" s="102">
        <f t="shared" si="92"/>
        <v>2.9212345183348618</v>
      </c>
      <c r="BF223" s="81">
        <f t="shared" si="93"/>
        <v>0.34679210387850068</v>
      </c>
      <c r="BG223" s="81" t="str">
        <f t="shared" si="94"/>
        <v>MEDIO</v>
      </c>
      <c r="BK223" s="81" t="str">
        <f t="shared" si="95"/>
        <v>BASSO</v>
      </c>
    </row>
    <row r="224" spans="1:63" x14ac:dyDescent="0.15">
      <c r="A224" s="84">
        <v>3</v>
      </c>
      <c r="B224" s="84">
        <v>2</v>
      </c>
      <c r="C224" s="84">
        <v>3</v>
      </c>
      <c r="D224" s="84">
        <v>1</v>
      </c>
      <c r="E224" s="84">
        <v>1</v>
      </c>
      <c r="F224" s="17">
        <v>1</v>
      </c>
      <c r="G224" s="64">
        <f t="shared" si="72"/>
        <v>0.5</v>
      </c>
      <c r="H224" s="17">
        <v>1</v>
      </c>
      <c r="I224" s="64">
        <f t="shared" si="73"/>
        <v>0.5</v>
      </c>
      <c r="J224" s="17">
        <v>1</v>
      </c>
      <c r="K224" s="64">
        <f t="shared" si="74"/>
        <v>0.5</v>
      </c>
      <c r="L224" s="17">
        <v>2</v>
      </c>
      <c r="M224" s="64">
        <f t="shared" si="75"/>
        <v>0.66666666666666663</v>
      </c>
      <c r="N224" s="17">
        <v>3</v>
      </c>
      <c r="O224" s="64">
        <f t="shared" si="76"/>
        <v>0.6</v>
      </c>
      <c r="P224" s="17">
        <v>0</v>
      </c>
      <c r="Q224" s="64">
        <f t="shared" si="77"/>
        <v>0</v>
      </c>
      <c r="R224" s="25">
        <v>2</v>
      </c>
      <c r="S224" s="71">
        <f t="shared" si="78"/>
        <v>0.66666666666666663</v>
      </c>
      <c r="T224" s="17">
        <v>2</v>
      </c>
      <c r="U224" s="64">
        <f t="shared" si="79"/>
        <v>0.66666666666666663</v>
      </c>
      <c r="V224" s="17">
        <v>3</v>
      </c>
      <c r="W224" s="71">
        <f t="shared" si="80"/>
        <v>0.75</v>
      </c>
      <c r="X224" s="17">
        <v>2</v>
      </c>
      <c r="Y224" s="71">
        <f t="shared" si="81"/>
        <v>0.66666666666666663</v>
      </c>
      <c r="Z224" s="17">
        <v>1</v>
      </c>
      <c r="AA224" s="71">
        <f t="shared" si="82"/>
        <v>0.33333333333333331</v>
      </c>
      <c r="AB224" s="17">
        <v>1</v>
      </c>
      <c r="AC224" s="71">
        <f t="shared" si="83"/>
        <v>0.5</v>
      </c>
      <c r="AD224" s="84">
        <v>1</v>
      </c>
      <c r="AE224" s="84">
        <v>0</v>
      </c>
      <c r="AF224" s="84">
        <v>0</v>
      </c>
      <c r="AG224" s="84">
        <v>1</v>
      </c>
      <c r="AH224" s="84">
        <v>0</v>
      </c>
      <c r="AI224" s="84">
        <v>0</v>
      </c>
      <c r="AJ224" s="20">
        <v>1</v>
      </c>
      <c r="AK224" s="71">
        <f t="shared" si="84"/>
        <v>0.5</v>
      </c>
      <c r="AL224" s="17">
        <v>2</v>
      </c>
      <c r="AM224" s="71">
        <f t="shared" si="85"/>
        <v>0.66666666666666663</v>
      </c>
      <c r="AN224" s="17">
        <v>0</v>
      </c>
      <c r="AO224" s="71">
        <f t="shared" si="86"/>
        <v>0</v>
      </c>
      <c r="AP224" s="17">
        <v>1</v>
      </c>
      <c r="AQ224" s="71">
        <f t="shared" si="87"/>
        <v>0.33333333333333331</v>
      </c>
      <c r="AR224" s="84">
        <v>2</v>
      </c>
      <c r="AS224" s="17">
        <v>2</v>
      </c>
      <c r="AT224" s="71">
        <f t="shared" si="88"/>
        <v>0.66666666666666663</v>
      </c>
      <c r="AU224" s="17">
        <v>3</v>
      </c>
      <c r="AV224" s="71">
        <f t="shared" si="89"/>
        <v>1</v>
      </c>
      <c r="AW224" s="17">
        <v>0</v>
      </c>
      <c r="AX224" s="71">
        <f t="shared" si="90"/>
        <v>0</v>
      </c>
      <c r="AY224" s="17">
        <v>3</v>
      </c>
      <c r="AZ224" s="71">
        <f t="shared" si="91"/>
        <v>1</v>
      </c>
      <c r="BA224" s="93">
        <v>1</v>
      </c>
      <c r="BB224" s="93">
        <v>0</v>
      </c>
      <c r="BC224" s="93">
        <v>1</v>
      </c>
      <c r="BD224" s="93">
        <v>0</v>
      </c>
      <c r="BE224" s="102">
        <f t="shared" si="92"/>
        <v>2.4552098801437641</v>
      </c>
      <c r="BF224" s="81">
        <f t="shared" si="93"/>
        <v>0.45099838089699484</v>
      </c>
      <c r="BG224" s="81" t="str">
        <f t="shared" si="94"/>
        <v>MEDIO</v>
      </c>
      <c r="BK224" s="81" t="str">
        <f t="shared" si="95"/>
        <v>MEDIO</v>
      </c>
    </row>
    <row r="225" spans="1:63" x14ac:dyDescent="0.15">
      <c r="A225" s="85">
        <v>2</v>
      </c>
      <c r="B225" s="85">
        <v>1</v>
      </c>
      <c r="C225" s="85">
        <v>3</v>
      </c>
      <c r="D225" s="85">
        <v>0</v>
      </c>
      <c r="E225" s="85">
        <v>1</v>
      </c>
      <c r="F225" s="18">
        <v>2</v>
      </c>
      <c r="G225" s="64">
        <f t="shared" si="72"/>
        <v>1</v>
      </c>
      <c r="H225" s="18">
        <v>2</v>
      </c>
      <c r="I225" s="64">
        <f t="shared" si="73"/>
        <v>1</v>
      </c>
      <c r="J225" s="18">
        <v>1</v>
      </c>
      <c r="K225" s="64">
        <f t="shared" si="74"/>
        <v>0.5</v>
      </c>
      <c r="L225" s="17">
        <v>3</v>
      </c>
      <c r="M225" s="64">
        <f t="shared" si="75"/>
        <v>1</v>
      </c>
      <c r="N225" s="18">
        <v>1</v>
      </c>
      <c r="O225" s="64">
        <f t="shared" si="76"/>
        <v>0.2</v>
      </c>
      <c r="P225" s="18">
        <v>2</v>
      </c>
      <c r="Q225" s="64">
        <f t="shared" si="77"/>
        <v>0.66666666666666663</v>
      </c>
      <c r="R225" s="24">
        <v>3</v>
      </c>
      <c r="S225" s="71">
        <f t="shared" si="78"/>
        <v>1</v>
      </c>
      <c r="T225" s="18">
        <v>2</v>
      </c>
      <c r="U225" s="64">
        <f t="shared" si="79"/>
        <v>0.66666666666666663</v>
      </c>
      <c r="V225" s="18">
        <v>3</v>
      </c>
      <c r="W225" s="71">
        <f t="shared" si="80"/>
        <v>0.75</v>
      </c>
      <c r="X225" s="18">
        <v>3</v>
      </c>
      <c r="Y225" s="71">
        <f t="shared" si="81"/>
        <v>1</v>
      </c>
      <c r="Z225" s="18">
        <v>3</v>
      </c>
      <c r="AA225" s="71">
        <f t="shared" si="82"/>
        <v>1</v>
      </c>
      <c r="AB225" s="18">
        <v>2</v>
      </c>
      <c r="AC225" s="71">
        <f t="shared" si="83"/>
        <v>1</v>
      </c>
      <c r="AD225" s="85">
        <v>1</v>
      </c>
      <c r="AE225" s="85">
        <v>0</v>
      </c>
      <c r="AF225" s="85">
        <v>1</v>
      </c>
      <c r="AG225" s="85">
        <v>0</v>
      </c>
      <c r="AH225" s="85">
        <v>0</v>
      </c>
      <c r="AI225" s="85">
        <v>0</v>
      </c>
      <c r="AJ225" s="19">
        <v>2</v>
      </c>
      <c r="AK225" s="71">
        <f t="shared" si="84"/>
        <v>1</v>
      </c>
      <c r="AL225" s="18">
        <v>3</v>
      </c>
      <c r="AM225" s="71">
        <f t="shared" si="85"/>
        <v>1</v>
      </c>
      <c r="AN225" s="18">
        <v>1</v>
      </c>
      <c r="AO225" s="71">
        <f t="shared" si="86"/>
        <v>0.33333333333333331</v>
      </c>
      <c r="AP225" s="18">
        <v>3</v>
      </c>
      <c r="AQ225" s="71">
        <f t="shared" si="87"/>
        <v>1</v>
      </c>
      <c r="AR225" s="85">
        <v>1</v>
      </c>
      <c r="AS225" s="19">
        <v>0</v>
      </c>
      <c r="AT225" s="71">
        <f t="shared" si="88"/>
        <v>0</v>
      </c>
      <c r="AU225" s="18">
        <v>2</v>
      </c>
      <c r="AV225" s="71">
        <f t="shared" si="89"/>
        <v>0.66666666666666663</v>
      </c>
      <c r="AW225" s="18">
        <v>2</v>
      </c>
      <c r="AX225" s="71">
        <f t="shared" si="90"/>
        <v>1</v>
      </c>
      <c r="AY225" s="18">
        <v>3</v>
      </c>
      <c r="AZ225" s="71">
        <f t="shared" si="91"/>
        <v>1</v>
      </c>
      <c r="BA225" s="94">
        <v>1</v>
      </c>
      <c r="BB225" s="94">
        <v>0</v>
      </c>
      <c r="BC225" s="94">
        <v>1</v>
      </c>
      <c r="BD225" s="94">
        <v>0</v>
      </c>
      <c r="BE225" s="102">
        <f t="shared" si="92"/>
        <v>1.6523552214272144</v>
      </c>
      <c r="BF225" s="81">
        <f t="shared" si="93"/>
        <v>0.63052214019123787</v>
      </c>
      <c r="BG225" s="81" t="str">
        <f t="shared" si="94"/>
        <v>MEDIO</v>
      </c>
      <c r="BK225" s="81" t="str">
        <f t="shared" si="95"/>
        <v>MEDIO</v>
      </c>
    </row>
    <row r="226" spans="1:63" x14ac:dyDescent="0.15">
      <c r="A226" s="84">
        <v>2</v>
      </c>
      <c r="B226" s="84">
        <v>2</v>
      </c>
      <c r="C226" s="84">
        <v>4</v>
      </c>
      <c r="D226" s="84">
        <v>2</v>
      </c>
      <c r="E226" s="84">
        <v>1</v>
      </c>
      <c r="F226" s="17">
        <v>2</v>
      </c>
      <c r="G226" s="64">
        <f t="shared" si="72"/>
        <v>1</v>
      </c>
      <c r="H226" s="17">
        <v>1</v>
      </c>
      <c r="I226" s="64">
        <f t="shared" si="73"/>
        <v>0.5</v>
      </c>
      <c r="J226" s="17">
        <v>0</v>
      </c>
      <c r="K226" s="64">
        <f t="shared" si="74"/>
        <v>0</v>
      </c>
      <c r="L226" s="18">
        <v>3</v>
      </c>
      <c r="M226" s="64">
        <f t="shared" si="75"/>
        <v>1</v>
      </c>
      <c r="N226" s="17">
        <v>4</v>
      </c>
      <c r="O226" s="64">
        <f t="shared" si="76"/>
        <v>0.8</v>
      </c>
      <c r="P226" s="17">
        <v>0</v>
      </c>
      <c r="Q226" s="64">
        <f t="shared" si="77"/>
        <v>0</v>
      </c>
      <c r="R226" s="25">
        <v>3</v>
      </c>
      <c r="S226" s="71">
        <f t="shared" si="78"/>
        <v>1</v>
      </c>
      <c r="T226" s="17">
        <v>2</v>
      </c>
      <c r="U226" s="64">
        <f t="shared" si="79"/>
        <v>0.66666666666666663</v>
      </c>
      <c r="V226" s="17">
        <v>0</v>
      </c>
      <c r="W226" s="71">
        <f t="shared" si="80"/>
        <v>0</v>
      </c>
      <c r="X226" s="17">
        <v>3</v>
      </c>
      <c r="Y226" s="71">
        <f t="shared" si="81"/>
        <v>1</v>
      </c>
      <c r="Z226" s="17">
        <v>1</v>
      </c>
      <c r="AA226" s="71">
        <f t="shared" si="82"/>
        <v>0.33333333333333331</v>
      </c>
      <c r="AB226" s="17">
        <v>3</v>
      </c>
      <c r="AC226" s="71">
        <f t="shared" si="83"/>
        <v>1.5</v>
      </c>
      <c r="AD226" s="84">
        <v>1</v>
      </c>
      <c r="AE226" s="84">
        <v>0</v>
      </c>
      <c r="AF226" s="84">
        <v>1</v>
      </c>
      <c r="AG226" s="84">
        <v>1</v>
      </c>
      <c r="AH226" s="84">
        <v>0</v>
      </c>
      <c r="AI226" s="84">
        <v>0</v>
      </c>
      <c r="AJ226" s="20">
        <v>1</v>
      </c>
      <c r="AK226" s="71">
        <f t="shared" si="84"/>
        <v>0.5</v>
      </c>
      <c r="AL226" s="17">
        <v>3</v>
      </c>
      <c r="AM226" s="71">
        <f t="shared" si="85"/>
        <v>1</v>
      </c>
      <c r="AN226" s="17">
        <v>3</v>
      </c>
      <c r="AO226" s="71">
        <f t="shared" si="86"/>
        <v>1</v>
      </c>
      <c r="AP226" s="17">
        <v>2</v>
      </c>
      <c r="AQ226" s="71">
        <f t="shared" si="87"/>
        <v>0.66666666666666663</v>
      </c>
      <c r="AR226" s="84">
        <v>2</v>
      </c>
      <c r="AS226" s="17">
        <v>3</v>
      </c>
      <c r="AT226" s="71">
        <f t="shared" si="88"/>
        <v>1</v>
      </c>
      <c r="AU226" s="17">
        <v>3</v>
      </c>
      <c r="AV226" s="71">
        <f t="shared" si="89"/>
        <v>1</v>
      </c>
      <c r="AW226" s="17">
        <v>1</v>
      </c>
      <c r="AX226" s="71">
        <f t="shared" si="90"/>
        <v>0.5</v>
      </c>
      <c r="AY226" s="17">
        <v>2</v>
      </c>
      <c r="AZ226" s="71">
        <f t="shared" si="91"/>
        <v>0.66666666666666663</v>
      </c>
      <c r="BA226" s="93">
        <v>1</v>
      </c>
      <c r="BB226" s="93">
        <v>1</v>
      </c>
      <c r="BC226" s="93">
        <v>1</v>
      </c>
      <c r="BD226" s="93">
        <v>0</v>
      </c>
      <c r="BE226" s="102">
        <f t="shared" si="92"/>
        <v>2.194943684420577</v>
      </c>
      <c r="BF226" s="81">
        <f t="shared" si="93"/>
        <v>0.50919567148522049</v>
      </c>
      <c r="BG226" s="81" t="str">
        <f t="shared" si="94"/>
        <v>MEDIO</v>
      </c>
      <c r="BK226" s="81" t="str">
        <f t="shared" si="95"/>
        <v>MEDIO</v>
      </c>
    </row>
    <row r="227" spans="1:63" x14ac:dyDescent="0.15">
      <c r="A227" s="85">
        <v>3</v>
      </c>
      <c r="B227" s="85">
        <v>1</v>
      </c>
      <c r="C227" s="85">
        <v>1</v>
      </c>
      <c r="D227" s="85">
        <v>0</v>
      </c>
      <c r="E227" s="85">
        <v>1</v>
      </c>
      <c r="F227" s="18">
        <v>1</v>
      </c>
      <c r="G227" s="64">
        <f t="shared" si="72"/>
        <v>0.5</v>
      </c>
      <c r="H227" s="18">
        <v>2</v>
      </c>
      <c r="I227" s="64">
        <f t="shared" si="73"/>
        <v>1</v>
      </c>
      <c r="J227" s="18">
        <v>1</v>
      </c>
      <c r="K227" s="64">
        <f t="shared" si="74"/>
        <v>0.5</v>
      </c>
      <c r="L227" s="18">
        <v>1</v>
      </c>
      <c r="M227" s="64">
        <f t="shared" si="75"/>
        <v>0.33333333333333331</v>
      </c>
      <c r="N227" s="18">
        <v>0</v>
      </c>
      <c r="O227" s="64">
        <f t="shared" si="76"/>
        <v>0</v>
      </c>
      <c r="P227" s="18">
        <v>2</v>
      </c>
      <c r="Q227" s="64">
        <f t="shared" si="77"/>
        <v>0.66666666666666663</v>
      </c>
      <c r="R227" s="24">
        <v>0</v>
      </c>
      <c r="S227" s="71">
        <f t="shared" si="78"/>
        <v>0</v>
      </c>
      <c r="T227" s="18">
        <v>1</v>
      </c>
      <c r="U227" s="64">
        <f t="shared" si="79"/>
        <v>0.33333333333333331</v>
      </c>
      <c r="V227" s="18">
        <v>3</v>
      </c>
      <c r="W227" s="71">
        <f t="shared" si="80"/>
        <v>0.75</v>
      </c>
      <c r="X227" s="18">
        <v>2</v>
      </c>
      <c r="Y227" s="71">
        <f t="shared" si="81"/>
        <v>0.66666666666666663</v>
      </c>
      <c r="Z227" s="18">
        <v>2</v>
      </c>
      <c r="AA227" s="71">
        <f t="shared" si="82"/>
        <v>0.66666666666666663</v>
      </c>
      <c r="AB227" s="18">
        <v>2</v>
      </c>
      <c r="AC227" s="71">
        <f t="shared" si="83"/>
        <v>1</v>
      </c>
      <c r="AD227" s="85">
        <v>1</v>
      </c>
      <c r="AE227" s="85">
        <v>0</v>
      </c>
      <c r="AF227" s="85">
        <v>1</v>
      </c>
      <c r="AG227" s="85">
        <v>0</v>
      </c>
      <c r="AH227" s="85">
        <v>0</v>
      </c>
      <c r="AI227" s="85">
        <v>0</v>
      </c>
      <c r="AJ227" s="19">
        <v>0</v>
      </c>
      <c r="AK227" s="71">
        <f t="shared" si="84"/>
        <v>0</v>
      </c>
      <c r="AL227" s="18">
        <v>1</v>
      </c>
      <c r="AM227" s="71">
        <f t="shared" si="85"/>
        <v>0.33333333333333331</v>
      </c>
      <c r="AN227" s="18">
        <v>1</v>
      </c>
      <c r="AO227" s="71">
        <f t="shared" si="86"/>
        <v>0.33333333333333331</v>
      </c>
      <c r="AP227" s="18">
        <v>1</v>
      </c>
      <c r="AQ227" s="71">
        <f t="shared" si="87"/>
        <v>0.33333333333333331</v>
      </c>
      <c r="AR227" s="85">
        <v>2</v>
      </c>
      <c r="AS227" s="18">
        <v>1</v>
      </c>
      <c r="AT227" s="71">
        <f t="shared" si="88"/>
        <v>0.33333333333333331</v>
      </c>
      <c r="AU227" s="18">
        <v>2</v>
      </c>
      <c r="AV227" s="71">
        <f t="shared" si="89"/>
        <v>0.66666666666666663</v>
      </c>
      <c r="AW227" s="18">
        <v>0</v>
      </c>
      <c r="AX227" s="71">
        <f t="shared" si="90"/>
        <v>0</v>
      </c>
      <c r="AY227" s="18">
        <v>0</v>
      </c>
      <c r="AZ227" s="71">
        <f t="shared" si="91"/>
        <v>0</v>
      </c>
      <c r="BA227" s="94">
        <v>1</v>
      </c>
      <c r="BB227" s="94">
        <v>0</v>
      </c>
      <c r="BC227" s="94">
        <v>0</v>
      </c>
      <c r="BD227" s="94">
        <v>0</v>
      </c>
      <c r="BE227" s="102">
        <f t="shared" si="92"/>
        <v>2.9450995078453821</v>
      </c>
      <c r="BF227" s="81">
        <f t="shared" si="93"/>
        <v>0.34145572999571694</v>
      </c>
      <c r="BG227" s="81" t="str">
        <f t="shared" si="94"/>
        <v>MEDIO</v>
      </c>
      <c r="BK227" s="81" t="str">
        <f t="shared" si="95"/>
        <v>BASSO</v>
      </c>
    </row>
    <row r="228" spans="1:63" x14ac:dyDescent="0.15">
      <c r="A228" s="84">
        <v>2</v>
      </c>
      <c r="B228" s="84">
        <v>1</v>
      </c>
      <c r="C228" s="84">
        <v>3</v>
      </c>
      <c r="D228" s="84">
        <v>1</v>
      </c>
      <c r="E228" s="84">
        <v>1</v>
      </c>
      <c r="F228" s="17">
        <v>2</v>
      </c>
      <c r="G228" s="64">
        <f t="shared" si="72"/>
        <v>1</v>
      </c>
      <c r="H228" s="17">
        <v>2</v>
      </c>
      <c r="I228" s="64">
        <f t="shared" si="73"/>
        <v>1</v>
      </c>
      <c r="J228" s="17">
        <v>2</v>
      </c>
      <c r="K228" s="64">
        <f t="shared" si="74"/>
        <v>1</v>
      </c>
      <c r="L228" s="17">
        <v>3</v>
      </c>
      <c r="M228" s="64">
        <f t="shared" si="75"/>
        <v>1</v>
      </c>
      <c r="N228" s="17">
        <v>2</v>
      </c>
      <c r="O228" s="64">
        <f t="shared" si="76"/>
        <v>0.4</v>
      </c>
      <c r="P228" s="17">
        <v>2</v>
      </c>
      <c r="Q228" s="64">
        <f t="shared" si="77"/>
        <v>0.66666666666666663</v>
      </c>
      <c r="R228" s="25">
        <v>3</v>
      </c>
      <c r="S228" s="71">
        <f t="shared" si="78"/>
        <v>1</v>
      </c>
      <c r="T228" s="17">
        <v>3</v>
      </c>
      <c r="U228" s="64">
        <f t="shared" si="79"/>
        <v>1</v>
      </c>
      <c r="V228" s="17">
        <v>3</v>
      </c>
      <c r="W228" s="71">
        <f t="shared" si="80"/>
        <v>0.75</v>
      </c>
      <c r="X228" s="17">
        <v>3</v>
      </c>
      <c r="Y228" s="71">
        <f t="shared" si="81"/>
        <v>1</v>
      </c>
      <c r="Z228" s="17">
        <v>3</v>
      </c>
      <c r="AA228" s="71">
        <f t="shared" si="82"/>
        <v>1</v>
      </c>
      <c r="AB228" s="17">
        <v>0</v>
      </c>
      <c r="AC228" s="71">
        <f t="shared" si="83"/>
        <v>0</v>
      </c>
      <c r="AD228" s="84">
        <v>1</v>
      </c>
      <c r="AE228" s="84">
        <v>1</v>
      </c>
      <c r="AF228" s="84">
        <v>0</v>
      </c>
      <c r="AG228" s="84">
        <v>0</v>
      </c>
      <c r="AH228" s="84">
        <v>0</v>
      </c>
      <c r="AI228" s="84">
        <v>0</v>
      </c>
      <c r="AJ228" s="20">
        <v>2</v>
      </c>
      <c r="AK228" s="71">
        <f t="shared" si="84"/>
        <v>1</v>
      </c>
      <c r="AL228" s="17">
        <v>1</v>
      </c>
      <c r="AM228" s="71">
        <f t="shared" si="85"/>
        <v>0.33333333333333331</v>
      </c>
      <c r="AN228" s="17">
        <v>1</v>
      </c>
      <c r="AO228" s="71">
        <f t="shared" si="86"/>
        <v>0.33333333333333331</v>
      </c>
      <c r="AP228" s="17">
        <v>3</v>
      </c>
      <c r="AQ228" s="71">
        <f t="shared" si="87"/>
        <v>1</v>
      </c>
      <c r="AR228" s="84">
        <v>2</v>
      </c>
      <c r="AS228" s="17">
        <v>2</v>
      </c>
      <c r="AT228" s="71">
        <f t="shared" si="88"/>
        <v>0.66666666666666663</v>
      </c>
      <c r="AU228" s="20">
        <v>3</v>
      </c>
      <c r="AV228" s="71">
        <f t="shared" si="89"/>
        <v>1</v>
      </c>
      <c r="AW228" s="17">
        <v>2</v>
      </c>
      <c r="AX228" s="71">
        <f t="shared" si="90"/>
        <v>1</v>
      </c>
      <c r="AY228" s="17">
        <v>3</v>
      </c>
      <c r="AZ228" s="71">
        <f t="shared" si="91"/>
        <v>1</v>
      </c>
      <c r="BA228" s="93">
        <v>1</v>
      </c>
      <c r="BB228" s="93">
        <v>1</v>
      </c>
      <c r="BC228" s="93">
        <v>1</v>
      </c>
      <c r="BD228" s="93">
        <v>0</v>
      </c>
      <c r="BE228" s="102">
        <f t="shared" si="92"/>
        <v>1.5917321103474389</v>
      </c>
      <c r="BF228" s="81">
        <f t="shared" si="93"/>
        <v>0.64407787992942644</v>
      </c>
      <c r="BG228" s="81" t="str">
        <f t="shared" si="94"/>
        <v>MEDIO</v>
      </c>
      <c r="BK228" s="81" t="str">
        <f t="shared" si="95"/>
        <v>MEDIO</v>
      </c>
    </row>
    <row r="229" spans="1:63" x14ac:dyDescent="0.15">
      <c r="A229" s="85">
        <v>1</v>
      </c>
      <c r="B229" s="85">
        <v>2</v>
      </c>
      <c r="C229" s="85">
        <v>2</v>
      </c>
      <c r="D229" s="85">
        <v>2</v>
      </c>
      <c r="E229" s="85">
        <v>1</v>
      </c>
      <c r="F229" s="18">
        <v>2</v>
      </c>
      <c r="G229" s="64">
        <f t="shared" si="72"/>
        <v>1</v>
      </c>
      <c r="H229" s="18">
        <v>1</v>
      </c>
      <c r="I229" s="64">
        <f t="shared" si="73"/>
        <v>0.5</v>
      </c>
      <c r="J229" s="18">
        <v>0</v>
      </c>
      <c r="K229" s="64">
        <f t="shared" si="74"/>
        <v>0</v>
      </c>
      <c r="L229" s="18">
        <v>0</v>
      </c>
      <c r="M229" s="64">
        <f t="shared" si="75"/>
        <v>0</v>
      </c>
      <c r="N229" s="18">
        <v>2</v>
      </c>
      <c r="O229" s="64">
        <f t="shared" si="76"/>
        <v>0.4</v>
      </c>
      <c r="P229" s="18">
        <v>2</v>
      </c>
      <c r="Q229" s="64">
        <f t="shared" si="77"/>
        <v>0.66666666666666663</v>
      </c>
      <c r="R229" s="24">
        <v>3</v>
      </c>
      <c r="S229" s="71">
        <f t="shared" si="78"/>
        <v>1</v>
      </c>
      <c r="T229" s="18">
        <v>1</v>
      </c>
      <c r="U229" s="64">
        <f t="shared" si="79"/>
        <v>0.33333333333333331</v>
      </c>
      <c r="V229" s="18">
        <v>3</v>
      </c>
      <c r="W229" s="71">
        <f t="shared" si="80"/>
        <v>0.75</v>
      </c>
      <c r="X229" s="18">
        <v>3</v>
      </c>
      <c r="Y229" s="71">
        <f t="shared" si="81"/>
        <v>1</v>
      </c>
      <c r="Z229" s="18">
        <v>2</v>
      </c>
      <c r="AA229" s="71">
        <f t="shared" si="82"/>
        <v>0.66666666666666663</v>
      </c>
      <c r="AB229" s="18">
        <v>2</v>
      </c>
      <c r="AC229" s="71">
        <f t="shared" si="83"/>
        <v>1</v>
      </c>
      <c r="AD229" s="85">
        <v>1</v>
      </c>
      <c r="AE229" s="85">
        <v>0</v>
      </c>
      <c r="AF229" s="85">
        <v>1</v>
      </c>
      <c r="AG229" s="85">
        <v>0</v>
      </c>
      <c r="AH229" s="85">
        <v>0</v>
      </c>
      <c r="AI229" s="85">
        <v>0</v>
      </c>
      <c r="AJ229" s="19">
        <v>0</v>
      </c>
      <c r="AK229" s="71">
        <f t="shared" si="84"/>
        <v>0</v>
      </c>
      <c r="AL229" s="18">
        <v>1</v>
      </c>
      <c r="AM229" s="71">
        <f t="shared" si="85"/>
        <v>0.33333333333333331</v>
      </c>
      <c r="AN229" s="18">
        <v>1</v>
      </c>
      <c r="AO229" s="71">
        <f t="shared" si="86"/>
        <v>0.33333333333333331</v>
      </c>
      <c r="AP229" s="18">
        <v>0</v>
      </c>
      <c r="AQ229" s="71">
        <f t="shared" si="87"/>
        <v>0</v>
      </c>
      <c r="AR229" s="85">
        <v>2</v>
      </c>
      <c r="AS229" s="18">
        <v>2</v>
      </c>
      <c r="AT229" s="71">
        <f t="shared" si="88"/>
        <v>0.66666666666666663</v>
      </c>
      <c r="AU229" s="18">
        <v>2</v>
      </c>
      <c r="AV229" s="71">
        <f t="shared" si="89"/>
        <v>0.66666666666666663</v>
      </c>
      <c r="AW229" s="18">
        <v>2</v>
      </c>
      <c r="AX229" s="71">
        <f t="shared" si="90"/>
        <v>1</v>
      </c>
      <c r="AY229" s="18">
        <v>2</v>
      </c>
      <c r="AZ229" s="71">
        <f t="shared" si="91"/>
        <v>0.66666666666666663</v>
      </c>
      <c r="BA229" s="94">
        <v>1</v>
      </c>
      <c r="BB229" s="94">
        <v>0</v>
      </c>
      <c r="BC229" s="94">
        <v>1</v>
      </c>
      <c r="BD229" s="94">
        <v>0</v>
      </c>
      <c r="BE229" s="102">
        <f t="shared" si="92"/>
        <v>2.5615208156267029</v>
      </c>
      <c r="BF229" s="81">
        <f t="shared" si="93"/>
        <v>0.42722653304785252</v>
      </c>
      <c r="BG229" s="81" t="str">
        <f t="shared" si="94"/>
        <v>MEDIO</v>
      </c>
      <c r="BK229" s="81" t="str">
        <f t="shared" si="95"/>
        <v>BASSO</v>
      </c>
    </row>
    <row r="230" spans="1:63" x14ac:dyDescent="0.15">
      <c r="A230" s="84">
        <v>1</v>
      </c>
      <c r="B230" s="84">
        <v>1</v>
      </c>
      <c r="C230" s="84">
        <v>2</v>
      </c>
      <c r="D230" s="84">
        <v>0</v>
      </c>
      <c r="E230" s="84">
        <v>1</v>
      </c>
      <c r="F230" s="17">
        <v>2</v>
      </c>
      <c r="G230" s="64">
        <f t="shared" si="72"/>
        <v>1</v>
      </c>
      <c r="H230" s="17">
        <v>0</v>
      </c>
      <c r="I230" s="64">
        <f t="shared" si="73"/>
        <v>0</v>
      </c>
      <c r="J230" s="17">
        <v>1</v>
      </c>
      <c r="K230" s="64">
        <f t="shared" si="74"/>
        <v>0.5</v>
      </c>
      <c r="L230" s="17">
        <v>1</v>
      </c>
      <c r="M230" s="64">
        <f t="shared" si="75"/>
        <v>0.33333333333333331</v>
      </c>
      <c r="N230" s="17">
        <v>0</v>
      </c>
      <c r="O230" s="64">
        <f t="shared" si="76"/>
        <v>0</v>
      </c>
      <c r="P230" s="17">
        <v>2</v>
      </c>
      <c r="Q230" s="64">
        <f t="shared" si="77"/>
        <v>0.66666666666666663</v>
      </c>
      <c r="R230" s="25">
        <v>2</v>
      </c>
      <c r="S230" s="71">
        <f t="shared" si="78"/>
        <v>0.66666666666666663</v>
      </c>
      <c r="T230" s="17">
        <v>1</v>
      </c>
      <c r="U230" s="64">
        <f t="shared" si="79"/>
        <v>0.33333333333333331</v>
      </c>
      <c r="V230" s="17">
        <v>3</v>
      </c>
      <c r="W230" s="71">
        <f t="shared" si="80"/>
        <v>0.75</v>
      </c>
      <c r="X230" s="17">
        <v>2</v>
      </c>
      <c r="Y230" s="71">
        <f t="shared" si="81"/>
        <v>0.66666666666666663</v>
      </c>
      <c r="Z230" s="17">
        <v>3</v>
      </c>
      <c r="AA230" s="71">
        <f t="shared" si="82"/>
        <v>1</v>
      </c>
      <c r="AB230" s="17">
        <v>2</v>
      </c>
      <c r="AC230" s="71">
        <f t="shared" si="83"/>
        <v>1</v>
      </c>
      <c r="AD230" s="84">
        <v>1</v>
      </c>
      <c r="AE230" s="84">
        <v>0</v>
      </c>
      <c r="AF230" s="84">
        <v>1</v>
      </c>
      <c r="AG230" s="84">
        <v>0</v>
      </c>
      <c r="AH230" s="84">
        <v>0</v>
      </c>
      <c r="AI230" s="84">
        <v>0</v>
      </c>
      <c r="AJ230" s="20">
        <v>1</v>
      </c>
      <c r="AK230" s="71">
        <f t="shared" si="84"/>
        <v>0.5</v>
      </c>
      <c r="AL230" s="17">
        <v>3</v>
      </c>
      <c r="AM230" s="71">
        <f t="shared" si="85"/>
        <v>1</v>
      </c>
      <c r="AN230" s="17">
        <v>0</v>
      </c>
      <c r="AO230" s="71">
        <f t="shared" si="86"/>
        <v>0</v>
      </c>
      <c r="AP230" s="17">
        <v>1</v>
      </c>
      <c r="AQ230" s="71">
        <f t="shared" si="87"/>
        <v>0.33333333333333331</v>
      </c>
      <c r="AR230" s="84">
        <v>2</v>
      </c>
      <c r="AS230" s="17">
        <v>2</v>
      </c>
      <c r="AT230" s="71">
        <f t="shared" si="88"/>
        <v>0.66666666666666663</v>
      </c>
      <c r="AU230" s="17">
        <v>0</v>
      </c>
      <c r="AV230" s="71">
        <f t="shared" si="89"/>
        <v>0</v>
      </c>
      <c r="AW230" s="17">
        <v>0</v>
      </c>
      <c r="AX230" s="71">
        <f t="shared" si="90"/>
        <v>0</v>
      </c>
      <c r="AY230" s="17">
        <v>2</v>
      </c>
      <c r="AZ230" s="71">
        <f t="shared" si="91"/>
        <v>0.66666666666666663</v>
      </c>
      <c r="BA230" s="93">
        <v>1</v>
      </c>
      <c r="BB230" s="93">
        <v>0</v>
      </c>
      <c r="BC230" s="93">
        <v>0</v>
      </c>
      <c r="BD230" s="93">
        <v>0</v>
      </c>
      <c r="BE230" s="102">
        <f t="shared" si="92"/>
        <v>2.7297232256932</v>
      </c>
      <c r="BF230" s="81">
        <f t="shared" si="93"/>
        <v>0.38961533075905774</v>
      </c>
      <c r="BG230" s="81" t="str">
        <f t="shared" si="94"/>
        <v>MEDIO</v>
      </c>
      <c r="BK230" s="81" t="str">
        <f t="shared" si="95"/>
        <v>BASSO</v>
      </c>
    </row>
    <row r="231" spans="1:63" x14ac:dyDescent="0.15">
      <c r="A231" s="85">
        <v>5</v>
      </c>
      <c r="B231" s="85">
        <v>2</v>
      </c>
      <c r="C231" s="85">
        <v>3</v>
      </c>
      <c r="D231" s="85">
        <v>2</v>
      </c>
      <c r="E231" s="85">
        <v>1</v>
      </c>
      <c r="F231" s="18">
        <v>1</v>
      </c>
      <c r="G231" s="64">
        <f t="shared" si="72"/>
        <v>0.5</v>
      </c>
      <c r="H231" s="18">
        <v>2</v>
      </c>
      <c r="I231" s="64">
        <f t="shared" si="73"/>
        <v>1</v>
      </c>
      <c r="J231" s="18">
        <v>1</v>
      </c>
      <c r="K231" s="64">
        <f t="shared" si="74"/>
        <v>0.5</v>
      </c>
      <c r="L231" s="18">
        <v>2</v>
      </c>
      <c r="M231" s="64">
        <f t="shared" si="75"/>
        <v>0.66666666666666663</v>
      </c>
      <c r="N231" s="18">
        <v>2</v>
      </c>
      <c r="O231" s="64">
        <f t="shared" si="76"/>
        <v>0.4</v>
      </c>
      <c r="P231" s="18">
        <v>2</v>
      </c>
      <c r="Q231" s="64">
        <f t="shared" si="77"/>
        <v>0.66666666666666663</v>
      </c>
      <c r="R231" s="24">
        <v>2</v>
      </c>
      <c r="S231" s="71">
        <f t="shared" si="78"/>
        <v>0.66666666666666663</v>
      </c>
      <c r="T231" s="18">
        <v>2</v>
      </c>
      <c r="U231" s="64">
        <f t="shared" si="79"/>
        <v>0.66666666666666663</v>
      </c>
      <c r="V231" s="18">
        <v>3</v>
      </c>
      <c r="W231" s="71">
        <f t="shared" si="80"/>
        <v>0.75</v>
      </c>
      <c r="X231" s="18">
        <v>2</v>
      </c>
      <c r="Y231" s="71">
        <f t="shared" si="81"/>
        <v>0.66666666666666663</v>
      </c>
      <c r="Z231" s="18">
        <v>0</v>
      </c>
      <c r="AA231" s="71">
        <f t="shared" si="82"/>
        <v>0</v>
      </c>
      <c r="AB231" s="18">
        <v>1</v>
      </c>
      <c r="AC231" s="71">
        <f t="shared" si="83"/>
        <v>0.5</v>
      </c>
      <c r="AD231" s="85">
        <v>1</v>
      </c>
      <c r="AE231" s="85">
        <v>0</v>
      </c>
      <c r="AF231" s="85">
        <v>0</v>
      </c>
      <c r="AG231" s="85">
        <v>0</v>
      </c>
      <c r="AH231" s="85">
        <v>0</v>
      </c>
      <c r="AI231" s="85">
        <v>0</v>
      </c>
      <c r="AJ231" s="19">
        <v>2</v>
      </c>
      <c r="AK231" s="71">
        <f t="shared" si="84"/>
        <v>1</v>
      </c>
      <c r="AL231" s="18">
        <v>1</v>
      </c>
      <c r="AM231" s="71">
        <f t="shared" si="85"/>
        <v>0.33333333333333331</v>
      </c>
      <c r="AN231" s="18">
        <v>1</v>
      </c>
      <c r="AO231" s="71">
        <f t="shared" si="86"/>
        <v>0.33333333333333331</v>
      </c>
      <c r="AP231" s="18">
        <v>2</v>
      </c>
      <c r="AQ231" s="71">
        <f t="shared" si="87"/>
        <v>0.66666666666666663</v>
      </c>
      <c r="AR231" s="85">
        <v>1</v>
      </c>
      <c r="AS231" s="18">
        <v>2</v>
      </c>
      <c r="AT231" s="71">
        <f t="shared" si="88"/>
        <v>0.66666666666666663</v>
      </c>
      <c r="AU231" s="18">
        <v>0</v>
      </c>
      <c r="AV231" s="71">
        <f t="shared" si="89"/>
        <v>0</v>
      </c>
      <c r="AW231" s="18">
        <v>2</v>
      </c>
      <c r="AX231" s="71">
        <f t="shared" si="90"/>
        <v>1</v>
      </c>
      <c r="AY231" s="18">
        <v>3</v>
      </c>
      <c r="AZ231" s="71">
        <f t="shared" si="91"/>
        <v>1</v>
      </c>
      <c r="BA231" s="94">
        <v>1</v>
      </c>
      <c r="BB231" s="94">
        <v>0</v>
      </c>
      <c r="BC231" s="94">
        <v>1</v>
      </c>
      <c r="BD231" s="94">
        <v>0</v>
      </c>
      <c r="BE231" s="102">
        <f t="shared" si="92"/>
        <v>2.199810597907617</v>
      </c>
      <c r="BF231" s="81">
        <f t="shared" si="93"/>
        <v>0.50810739654545745</v>
      </c>
      <c r="BG231" s="81" t="str">
        <f t="shared" si="94"/>
        <v>MEDIO</v>
      </c>
      <c r="BK231" s="81" t="str">
        <f t="shared" si="95"/>
        <v>MEDIO</v>
      </c>
    </row>
    <row r="232" spans="1:63" x14ac:dyDescent="0.15">
      <c r="A232" s="84">
        <v>3</v>
      </c>
      <c r="B232" s="84">
        <v>2</v>
      </c>
      <c r="C232" s="84">
        <v>0</v>
      </c>
      <c r="D232" s="84">
        <v>2</v>
      </c>
      <c r="E232" s="84">
        <v>1</v>
      </c>
      <c r="F232" s="17">
        <v>1</v>
      </c>
      <c r="G232" s="64">
        <f t="shared" si="72"/>
        <v>0.5</v>
      </c>
      <c r="H232" s="17">
        <v>2</v>
      </c>
      <c r="I232" s="64">
        <f t="shared" si="73"/>
        <v>1</v>
      </c>
      <c r="J232" s="17">
        <v>2</v>
      </c>
      <c r="K232" s="64">
        <f t="shared" si="74"/>
        <v>1</v>
      </c>
      <c r="L232" s="17">
        <v>2</v>
      </c>
      <c r="M232" s="64">
        <f t="shared" si="75"/>
        <v>0.66666666666666663</v>
      </c>
      <c r="N232" s="17">
        <v>2</v>
      </c>
      <c r="O232" s="64">
        <f t="shared" si="76"/>
        <v>0.4</v>
      </c>
      <c r="P232" s="17">
        <v>0</v>
      </c>
      <c r="Q232" s="64">
        <f t="shared" si="77"/>
        <v>0</v>
      </c>
      <c r="R232" s="25">
        <v>3</v>
      </c>
      <c r="S232" s="71">
        <f t="shared" si="78"/>
        <v>1</v>
      </c>
      <c r="T232" s="17">
        <v>3</v>
      </c>
      <c r="U232" s="64">
        <f t="shared" si="79"/>
        <v>1</v>
      </c>
      <c r="V232" s="17">
        <v>3</v>
      </c>
      <c r="W232" s="71">
        <f t="shared" si="80"/>
        <v>0.75</v>
      </c>
      <c r="X232" s="17">
        <v>2</v>
      </c>
      <c r="Y232" s="71">
        <f t="shared" si="81"/>
        <v>0.66666666666666663</v>
      </c>
      <c r="Z232" s="17">
        <v>3</v>
      </c>
      <c r="AA232" s="71">
        <f t="shared" si="82"/>
        <v>1</v>
      </c>
      <c r="AB232" s="17">
        <v>2</v>
      </c>
      <c r="AC232" s="71">
        <f t="shared" si="83"/>
        <v>1</v>
      </c>
      <c r="AD232" s="84">
        <v>1</v>
      </c>
      <c r="AE232" s="84">
        <v>1</v>
      </c>
      <c r="AF232" s="84">
        <v>0</v>
      </c>
      <c r="AG232" s="84">
        <v>0</v>
      </c>
      <c r="AH232" s="84">
        <v>0</v>
      </c>
      <c r="AI232" s="84">
        <v>0</v>
      </c>
      <c r="AJ232" s="20">
        <v>1</v>
      </c>
      <c r="AK232" s="71">
        <f t="shared" si="84"/>
        <v>0.5</v>
      </c>
      <c r="AL232" s="17">
        <v>0</v>
      </c>
      <c r="AM232" s="71">
        <f t="shared" si="85"/>
        <v>0</v>
      </c>
      <c r="AN232" s="17">
        <v>1</v>
      </c>
      <c r="AO232" s="71">
        <f t="shared" si="86"/>
        <v>0.33333333333333331</v>
      </c>
      <c r="AP232" s="17">
        <v>2</v>
      </c>
      <c r="AQ232" s="71">
        <f t="shared" si="87"/>
        <v>0.66666666666666663</v>
      </c>
      <c r="AR232" s="84">
        <v>1</v>
      </c>
      <c r="AS232" s="17">
        <v>3</v>
      </c>
      <c r="AT232" s="71">
        <f t="shared" si="88"/>
        <v>1</v>
      </c>
      <c r="AU232" s="17">
        <v>0</v>
      </c>
      <c r="AV232" s="71">
        <f t="shared" si="89"/>
        <v>0</v>
      </c>
      <c r="AW232" s="17">
        <v>0</v>
      </c>
      <c r="AX232" s="71">
        <f t="shared" si="90"/>
        <v>0</v>
      </c>
      <c r="AY232" s="17">
        <v>2</v>
      </c>
      <c r="AZ232" s="71">
        <f t="shared" si="91"/>
        <v>0.66666666666666663</v>
      </c>
      <c r="BA232" s="93">
        <v>0</v>
      </c>
      <c r="BB232" s="93">
        <v>0</v>
      </c>
      <c r="BC232" s="93">
        <v>1</v>
      </c>
      <c r="BD232" s="93">
        <v>0</v>
      </c>
      <c r="BE232" s="102">
        <f t="shared" si="92"/>
        <v>2.4106822455248822</v>
      </c>
      <c r="BF232" s="81">
        <f t="shared" si="93"/>
        <v>0.46095506268550324</v>
      </c>
      <c r="BG232" s="81" t="str">
        <f t="shared" si="94"/>
        <v>MEDIO</v>
      </c>
      <c r="BK232" s="81" t="str">
        <f t="shared" si="95"/>
        <v>MEDIO</v>
      </c>
    </row>
    <row r="233" spans="1:63" x14ac:dyDescent="0.15">
      <c r="A233" s="85">
        <v>2</v>
      </c>
      <c r="B233" s="85">
        <v>2</v>
      </c>
      <c r="C233" s="85">
        <v>0</v>
      </c>
      <c r="D233" s="85">
        <v>1</v>
      </c>
      <c r="E233" s="85">
        <v>0</v>
      </c>
      <c r="F233" s="18">
        <v>0</v>
      </c>
      <c r="G233" s="64">
        <f t="shared" si="72"/>
        <v>0</v>
      </c>
      <c r="H233" s="18">
        <v>1</v>
      </c>
      <c r="I233" s="64">
        <f t="shared" si="73"/>
        <v>0.5</v>
      </c>
      <c r="J233" s="18">
        <v>2</v>
      </c>
      <c r="K233" s="64">
        <f t="shared" si="74"/>
        <v>1</v>
      </c>
      <c r="L233" s="18">
        <v>2</v>
      </c>
      <c r="M233" s="64">
        <f t="shared" si="75"/>
        <v>0.66666666666666663</v>
      </c>
      <c r="N233" s="18">
        <v>1</v>
      </c>
      <c r="O233" s="64">
        <f t="shared" si="76"/>
        <v>0.2</v>
      </c>
      <c r="P233" s="18">
        <v>0</v>
      </c>
      <c r="Q233" s="64">
        <f t="shared" si="77"/>
        <v>0</v>
      </c>
      <c r="R233" s="24">
        <v>1</v>
      </c>
      <c r="S233" s="71">
        <f t="shared" si="78"/>
        <v>0.33333333333333331</v>
      </c>
      <c r="T233" s="18">
        <v>2</v>
      </c>
      <c r="U233" s="64">
        <f t="shared" si="79"/>
        <v>0.66666666666666663</v>
      </c>
      <c r="V233" s="18">
        <v>3</v>
      </c>
      <c r="W233" s="71">
        <f t="shared" si="80"/>
        <v>0.75</v>
      </c>
      <c r="X233" s="18">
        <v>1</v>
      </c>
      <c r="Y233" s="71">
        <f t="shared" si="81"/>
        <v>0.33333333333333331</v>
      </c>
      <c r="Z233" s="18">
        <v>0</v>
      </c>
      <c r="AA233" s="71">
        <f t="shared" si="82"/>
        <v>0</v>
      </c>
      <c r="AB233" s="18">
        <v>3</v>
      </c>
      <c r="AC233" s="71">
        <f t="shared" si="83"/>
        <v>1.5</v>
      </c>
      <c r="AD233" s="85">
        <v>1</v>
      </c>
      <c r="AE233" s="85">
        <v>0</v>
      </c>
      <c r="AF233" s="85">
        <v>0</v>
      </c>
      <c r="AG233" s="85">
        <v>0</v>
      </c>
      <c r="AH233" s="85">
        <v>0</v>
      </c>
      <c r="AI233" s="85">
        <v>0</v>
      </c>
      <c r="AJ233" s="19">
        <v>0</v>
      </c>
      <c r="AK233" s="71">
        <f t="shared" si="84"/>
        <v>0</v>
      </c>
      <c r="AL233" s="18">
        <v>3</v>
      </c>
      <c r="AM233" s="71">
        <f t="shared" si="85"/>
        <v>1</v>
      </c>
      <c r="AN233" s="18">
        <v>2</v>
      </c>
      <c r="AO233" s="71">
        <f t="shared" si="86"/>
        <v>0.66666666666666663</v>
      </c>
      <c r="AP233" s="18">
        <v>2</v>
      </c>
      <c r="AQ233" s="71">
        <f t="shared" si="87"/>
        <v>0.66666666666666663</v>
      </c>
      <c r="AR233" s="85">
        <v>3</v>
      </c>
      <c r="AS233" s="18">
        <v>0</v>
      </c>
      <c r="AT233" s="71">
        <f t="shared" si="88"/>
        <v>0</v>
      </c>
      <c r="AU233" s="18">
        <v>1</v>
      </c>
      <c r="AV233" s="71">
        <f t="shared" si="89"/>
        <v>0.33333333333333331</v>
      </c>
      <c r="AW233" s="18">
        <v>2</v>
      </c>
      <c r="AX233" s="71">
        <f t="shared" si="90"/>
        <v>1</v>
      </c>
      <c r="AY233" s="18">
        <v>0</v>
      </c>
      <c r="AZ233" s="71">
        <f t="shared" si="91"/>
        <v>0</v>
      </c>
      <c r="BA233" s="94">
        <v>1</v>
      </c>
      <c r="BB233" s="94">
        <v>0</v>
      </c>
      <c r="BC233" s="94">
        <v>1</v>
      </c>
      <c r="BD233" s="94">
        <v>0</v>
      </c>
      <c r="BE233" s="102">
        <f t="shared" si="92"/>
        <v>2.9967111602184446</v>
      </c>
      <c r="BF233" s="81">
        <f t="shared" si="93"/>
        <v>0.32991501368199239</v>
      </c>
      <c r="BG233" s="81" t="str">
        <f t="shared" si="94"/>
        <v>BASSO</v>
      </c>
      <c r="BK233" s="81" t="str">
        <f t="shared" si="95"/>
        <v>BASSO</v>
      </c>
    </row>
    <row r="234" spans="1:63" x14ac:dyDescent="0.15">
      <c r="A234" s="84">
        <v>2</v>
      </c>
      <c r="B234" s="84">
        <v>1</v>
      </c>
      <c r="C234" s="84">
        <v>3</v>
      </c>
      <c r="D234" s="84">
        <v>1</v>
      </c>
      <c r="E234" s="84">
        <v>0</v>
      </c>
      <c r="F234" s="17">
        <v>0</v>
      </c>
      <c r="G234" s="64">
        <f t="shared" si="72"/>
        <v>0</v>
      </c>
      <c r="H234" s="17">
        <v>0</v>
      </c>
      <c r="I234" s="64">
        <f t="shared" si="73"/>
        <v>0</v>
      </c>
      <c r="J234" s="17">
        <v>2</v>
      </c>
      <c r="K234" s="64">
        <f t="shared" si="74"/>
        <v>1</v>
      </c>
      <c r="L234" s="17">
        <v>2</v>
      </c>
      <c r="M234" s="64">
        <f t="shared" si="75"/>
        <v>0.66666666666666663</v>
      </c>
      <c r="N234" s="17">
        <v>2</v>
      </c>
      <c r="O234" s="64">
        <f t="shared" si="76"/>
        <v>0.4</v>
      </c>
      <c r="P234" s="17">
        <v>2</v>
      </c>
      <c r="Q234" s="64">
        <f t="shared" si="77"/>
        <v>0.66666666666666663</v>
      </c>
      <c r="R234" s="25">
        <v>1</v>
      </c>
      <c r="S234" s="71">
        <f t="shared" si="78"/>
        <v>0.33333333333333331</v>
      </c>
      <c r="T234" s="17">
        <v>2</v>
      </c>
      <c r="U234" s="64">
        <f t="shared" si="79"/>
        <v>0.66666666666666663</v>
      </c>
      <c r="V234" s="17">
        <v>3</v>
      </c>
      <c r="W234" s="71">
        <f t="shared" si="80"/>
        <v>0.75</v>
      </c>
      <c r="X234" s="17">
        <v>2</v>
      </c>
      <c r="Y234" s="71">
        <f t="shared" si="81"/>
        <v>0.66666666666666663</v>
      </c>
      <c r="Z234" s="17">
        <v>1</v>
      </c>
      <c r="AA234" s="71">
        <f t="shared" si="82"/>
        <v>0.33333333333333331</v>
      </c>
      <c r="AB234" s="17">
        <v>3</v>
      </c>
      <c r="AC234" s="71">
        <f t="shared" si="83"/>
        <v>1.5</v>
      </c>
      <c r="AD234" s="84">
        <v>1</v>
      </c>
      <c r="AE234" s="84">
        <v>0</v>
      </c>
      <c r="AF234" s="84">
        <v>1</v>
      </c>
      <c r="AG234" s="84">
        <v>0</v>
      </c>
      <c r="AH234" s="84">
        <v>0</v>
      </c>
      <c r="AI234" s="84">
        <v>0</v>
      </c>
      <c r="AJ234" s="20">
        <v>1</v>
      </c>
      <c r="AK234" s="71">
        <f t="shared" si="84"/>
        <v>0.5</v>
      </c>
      <c r="AL234" s="17">
        <v>3</v>
      </c>
      <c r="AM234" s="71">
        <f t="shared" si="85"/>
        <v>1</v>
      </c>
      <c r="AN234" s="17">
        <v>2</v>
      </c>
      <c r="AO234" s="71">
        <f t="shared" si="86"/>
        <v>0.66666666666666663</v>
      </c>
      <c r="AP234" s="17">
        <v>2</v>
      </c>
      <c r="AQ234" s="71">
        <f t="shared" si="87"/>
        <v>0.66666666666666663</v>
      </c>
      <c r="AR234" s="84">
        <v>0</v>
      </c>
      <c r="AS234" s="17">
        <v>0</v>
      </c>
      <c r="AT234" s="71">
        <f t="shared" si="88"/>
        <v>0</v>
      </c>
      <c r="AU234" s="17">
        <v>1</v>
      </c>
      <c r="AV234" s="71">
        <f t="shared" si="89"/>
        <v>0.33333333333333331</v>
      </c>
      <c r="AW234" s="17">
        <v>0</v>
      </c>
      <c r="AX234" s="71">
        <f t="shared" si="90"/>
        <v>0</v>
      </c>
      <c r="AY234" s="17">
        <v>2</v>
      </c>
      <c r="AZ234" s="71">
        <f t="shared" si="91"/>
        <v>0.66666666666666663</v>
      </c>
      <c r="BA234" s="93">
        <v>0</v>
      </c>
      <c r="BB234" s="93">
        <v>0</v>
      </c>
      <c r="BC234" s="93">
        <v>0</v>
      </c>
      <c r="BD234" s="93">
        <v>1</v>
      </c>
      <c r="BE234" s="102">
        <f t="shared" si="92"/>
        <v>2.6520956074604682</v>
      </c>
      <c r="BF234" s="81">
        <f t="shared" si="93"/>
        <v>0.4069733938890352</v>
      </c>
      <c r="BG234" s="81" t="str">
        <f t="shared" si="94"/>
        <v>MEDIO</v>
      </c>
      <c r="BK234" s="81" t="str">
        <f t="shared" si="95"/>
        <v>BASSO</v>
      </c>
    </row>
    <row r="235" spans="1:63" x14ac:dyDescent="0.15">
      <c r="A235" s="85">
        <v>2</v>
      </c>
      <c r="B235" s="85">
        <v>2</v>
      </c>
      <c r="C235" s="85">
        <v>3</v>
      </c>
      <c r="D235" s="85">
        <v>2</v>
      </c>
      <c r="E235" s="85">
        <v>1</v>
      </c>
      <c r="F235" s="18">
        <v>2</v>
      </c>
      <c r="G235" s="64">
        <f t="shared" si="72"/>
        <v>1</v>
      </c>
      <c r="H235" s="18">
        <v>2</v>
      </c>
      <c r="I235" s="64">
        <f t="shared" si="73"/>
        <v>1</v>
      </c>
      <c r="J235" s="18">
        <v>2</v>
      </c>
      <c r="K235" s="64">
        <f t="shared" si="74"/>
        <v>1</v>
      </c>
      <c r="L235" s="18">
        <v>3</v>
      </c>
      <c r="M235" s="64">
        <f t="shared" si="75"/>
        <v>1</v>
      </c>
      <c r="N235" s="18">
        <v>2</v>
      </c>
      <c r="O235" s="64">
        <f t="shared" si="76"/>
        <v>0.4</v>
      </c>
      <c r="P235" s="18">
        <v>1</v>
      </c>
      <c r="Q235" s="64">
        <f t="shared" si="77"/>
        <v>0.33333333333333331</v>
      </c>
      <c r="R235" s="24">
        <v>3</v>
      </c>
      <c r="S235" s="71">
        <f t="shared" si="78"/>
        <v>1</v>
      </c>
      <c r="T235" s="18">
        <v>3</v>
      </c>
      <c r="U235" s="64">
        <f t="shared" si="79"/>
        <v>1</v>
      </c>
      <c r="V235" s="18">
        <v>2</v>
      </c>
      <c r="W235" s="71">
        <f t="shared" si="80"/>
        <v>0.5</v>
      </c>
      <c r="X235" s="18">
        <v>3</v>
      </c>
      <c r="Y235" s="71">
        <f t="shared" si="81"/>
        <v>1</v>
      </c>
      <c r="Z235" s="18">
        <v>3</v>
      </c>
      <c r="AA235" s="71">
        <f t="shared" si="82"/>
        <v>1</v>
      </c>
      <c r="AB235" s="18">
        <v>2</v>
      </c>
      <c r="AC235" s="71">
        <f t="shared" si="83"/>
        <v>1</v>
      </c>
      <c r="AD235" s="85">
        <v>1</v>
      </c>
      <c r="AE235" s="85">
        <v>1</v>
      </c>
      <c r="AF235" s="85">
        <v>0</v>
      </c>
      <c r="AG235" s="85">
        <v>0</v>
      </c>
      <c r="AH235" s="85">
        <v>0</v>
      </c>
      <c r="AI235" s="85">
        <v>0</v>
      </c>
      <c r="AJ235" s="19">
        <v>2</v>
      </c>
      <c r="AK235" s="71">
        <f t="shared" si="84"/>
        <v>1</v>
      </c>
      <c r="AL235" s="18">
        <v>2</v>
      </c>
      <c r="AM235" s="71">
        <f t="shared" si="85"/>
        <v>0.66666666666666663</v>
      </c>
      <c r="AN235" s="18">
        <v>1</v>
      </c>
      <c r="AO235" s="71">
        <f t="shared" si="86"/>
        <v>0.33333333333333331</v>
      </c>
      <c r="AP235" s="18">
        <v>2</v>
      </c>
      <c r="AQ235" s="71">
        <f t="shared" si="87"/>
        <v>0.66666666666666663</v>
      </c>
      <c r="AR235" s="85">
        <v>2</v>
      </c>
      <c r="AS235" s="18">
        <v>2</v>
      </c>
      <c r="AT235" s="71">
        <f t="shared" si="88"/>
        <v>0.66666666666666663</v>
      </c>
      <c r="AU235" s="18">
        <v>3</v>
      </c>
      <c r="AV235" s="71">
        <f t="shared" si="89"/>
        <v>1</v>
      </c>
      <c r="AW235" s="18">
        <v>1</v>
      </c>
      <c r="AX235" s="71">
        <f t="shared" si="90"/>
        <v>0.5</v>
      </c>
      <c r="AY235" s="18">
        <v>3</v>
      </c>
      <c r="AZ235" s="71">
        <f t="shared" si="91"/>
        <v>1</v>
      </c>
      <c r="BA235" s="94">
        <v>1</v>
      </c>
      <c r="BB235" s="94">
        <v>0</v>
      </c>
      <c r="BC235" s="94">
        <v>1</v>
      </c>
      <c r="BD235" s="94">
        <v>0</v>
      </c>
      <c r="BE235" s="102">
        <f t="shared" si="92"/>
        <v>1.442990721460891</v>
      </c>
      <c r="BF235" s="81">
        <f t="shared" si="93"/>
        <v>0.67733746559122865</v>
      </c>
      <c r="BG235" s="81" t="str">
        <f t="shared" si="94"/>
        <v>ALTO</v>
      </c>
      <c r="BK235" s="81" t="str">
        <f t="shared" si="95"/>
        <v>ALTO</v>
      </c>
    </row>
    <row r="236" spans="1:63" x14ac:dyDescent="0.15">
      <c r="A236" s="84">
        <v>5</v>
      </c>
      <c r="B236" s="84">
        <v>1</v>
      </c>
      <c r="C236" s="84">
        <v>3</v>
      </c>
      <c r="D236" s="84">
        <v>1</v>
      </c>
      <c r="E236" s="84">
        <v>1</v>
      </c>
      <c r="F236" s="17">
        <v>2</v>
      </c>
      <c r="G236" s="64">
        <f t="shared" si="72"/>
        <v>1</v>
      </c>
      <c r="H236" s="17">
        <v>2</v>
      </c>
      <c r="I236" s="64">
        <f t="shared" si="73"/>
        <v>1</v>
      </c>
      <c r="J236" s="17">
        <v>1</v>
      </c>
      <c r="K236" s="64">
        <f t="shared" si="74"/>
        <v>0.5</v>
      </c>
      <c r="L236" s="17">
        <v>3</v>
      </c>
      <c r="M236" s="64">
        <f t="shared" si="75"/>
        <v>1</v>
      </c>
      <c r="N236" s="17">
        <v>5</v>
      </c>
      <c r="O236" s="64">
        <f t="shared" si="76"/>
        <v>1</v>
      </c>
      <c r="P236" s="17">
        <v>2</v>
      </c>
      <c r="Q236" s="64">
        <f t="shared" si="77"/>
        <v>0.66666666666666663</v>
      </c>
      <c r="R236" s="25">
        <v>2</v>
      </c>
      <c r="S236" s="71">
        <f t="shared" si="78"/>
        <v>0.66666666666666663</v>
      </c>
      <c r="T236" s="17">
        <v>3</v>
      </c>
      <c r="U236" s="64">
        <f t="shared" si="79"/>
        <v>1</v>
      </c>
      <c r="V236" s="17">
        <v>3</v>
      </c>
      <c r="W236" s="71">
        <f t="shared" si="80"/>
        <v>0.75</v>
      </c>
      <c r="X236" s="17">
        <v>2</v>
      </c>
      <c r="Y236" s="71">
        <f t="shared" si="81"/>
        <v>0.66666666666666663</v>
      </c>
      <c r="Z236" s="17">
        <v>3</v>
      </c>
      <c r="AA236" s="71">
        <f t="shared" si="82"/>
        <v>1</v>
      </c>
      <c r="AB236" s="17">
        <v>0</v>
      </c>
      <c r="AC236" s="71">
        <f t="shared" si="83"/>
        <v>0</v>
      </c>
      <c r="AD236" s="84">
        <v>1</v>
      </c>
      <c r="AE236" s="84">
        <v>0</v>
      </c>
      <c r="AF236" s="84">
        <v>1</v>
      </c>
      <c r="AG236" s="84">
        <v>0</v>
      </c>
      <c r="AH236" s="84">
        <v>0</v>
      </c>
      <c r="AI236" s="84">
        <v>0</v>
      </c>
      <c r="AJ236" s="20">
        <v>2</v>
      </c>
      <c r="AK236" s="71">
        <f t="shared" si="84"/>
        <v>1</v>
      </c>
      <c r="AL236" s="17">
        <v>2</v>
      </c>
      <c r="AM236" s="71">
        <f t="shared" si="85"/>
        <v>0.66666666666666663</v>
      </c>
      <c r="AN236" s="17">
        <v>2</v>
      </c>
      <c r="AO236" s="71">
        <f t="shared" si="86"/>
        <v>0.66666666666666663</v>
      </c>
      <c r="AP236" s="17">
        <v>3</v>
      </c>
      <c r="AQ236" s="71">
        <f t="shared" si="87"/>
        <v>1</v>
      </c>
      <c r="AR236" s="84">
        <v>2</v>
      </c>
      <c r="AS236" s="17">
        <v>3</v>
      </c>
      <c r="AT236" s="71">
        <f t="shared" si="88"/>
        <v>1</v>
      </c>
      <c r="AU236" s="17">
        <v>3</v>
      </c>
      <c r="AV236" s="71">
        <f t="shared" si="89"/>
        <v>1</v>
      </c>
      <c r="AW236" s="17">
        <v>1</v>
      </c>
      <c r="AX236" s="71">
        <f t="shared" si="90"/>
        <v>0.5</v>
      </c>
      <c r="AY236" s="17">
        <v>3</v>
      </c>
      <c r="AZ236" s="71">
        <f t="shared" si="91"/>
        <v>1</v>
      </c>
      <c r="BA236" s="93">
        <v>1</v>
      </c>
      <c r="BB236" s="93">
        <v>0</v>
      </c>
      <c r="BC236" s="93">
        <v>1</v>
      </c>
      <c r="BD236" s="93">
        <v>0</v>
      </c>
      <c r="BE236" s="102">
        <f t="shared" si="92"/>
        <v>1.4553540997144152</v>
      </c>
      <c r="BF236" s="81">
        <f t="shared" si="93"/>
        <v>0.67457293017058662</v>
      </c>
      <c r="BG236" s="81" t="str">
        <f t="shared" si="94"/>
        <v>ALTO</v>
      </c>
      <c r="BK236" s="81" t="str">
        <f t="shared" si="95"/>
        <v>ALTO</v>
      </c>
    </row>
    <row r="237" spans="1:63" x14ac:dyDescent="0.15">
      <c r="A237" s="85">
        <v>3</v>
      </c>
      <c r="B237" s="85">
        <v>0</v>
      </c>
      <c r="C237" s="85">
        <v>4</v>
      </c>
      <c r="D237" s="85">
        <v>1</v>
      </c>
      <c r="E237" s="85">
        <v>1</v>
      </c>
      <c r="F237" s="18">
        <v>2</v>
      </c>
      <c r="G237" s="64">
        <f t="shared" si="72"/>
        <v>1</v>
      </c>
      <c r="H237" s="18">
        <v>2</v>
      </c>
      <c r="I237" s="64">
        <f t="shared" si="73"/>
        <v>1</v>
      </c>
      <c r="J237" s="18">
        <v>2</v>
      </c>
      <c r="K237" s="64">
        <f t="shared" si="74"/>
        <v>1</v>
      </c>
      <c r="L237" s="18">
        <v>3</v>
      </c>
      <c r="M237" s="64">
        <f t="shared" si="75"/>
        <v>1</v>
      </c>
      <c r="N237" s="18">
        <v>4</v>
      </c>
      <c r="O237" s="64">
        <f t="shared" si="76"/>
        <v>0.8</v>
      </c>
      <c r="P237" s="18">
        <v>1</v>
      </c>
      <c r="Q237" s="64">
        <f t="shared" si="77"/>
        <v>0.33333333333333331</v>
      </c>
      <c r="R237" s="24">
        <v>2</v>
      </c>
      <c r="S237" s="71">
        <f t="shared" si="78"/>
        <v>0.66666666666666663</v>
      </c>
      <c r="T237" s="18">
        <v>3</v>
      </c>
      <c r="U237" s="64">
        <f t="shared" si="79"/>
        <v>1</v>
      </c>
      <c r="V237" s="18">
        <v>0</v>
      </c>
      <c r="W237" s="71">
        <f t="shared" si="80"/>
        <v>0</v>
      </c>
      <c r="X237" s="18">
        <v>3</v>
      </c>
      <c r="Y237" s="71">
        <f t="shared" si="81"/>
        <v>1</v>
      </c>
      <c r="Z237" s="18">
        <v>3</v>
      </c>
      <c r="AA237" s="71">
        <f t="shared" si="82"/>
        <v>1</v>
      </c>
      <c r="AB237" s="18">
        <v>1</v>
      </c>
      <c r="AC237" s="71">
        <f t="shared" si="83"/>
        <v>0.5</v>
      </c>
      <c r="AD237" s="85">
        <v>0</v>
      </c>
      <c r="AE237" s="85">
        <v>1</v>
      </c>
      <c r="AF237" s="85">
        <v>1</v>
      </c>
      <c r="AG237" s="85">
        <v>0</v>
      </c>
      <c r="AH237" s="85">
        <v>0</v>
      </c>
      <c r="AI237" s="85">
        <v>0</v>
      </c>
      <c r="AJ237" s="19">
        <v>2</v>
      </c>
      <c r="AK237" s="71">
        <f t="shared" si="84"/>
        <v>1</v>
      </c>
      <c r="AL237" s="18">
        <v>2</v>
      </c>
      <c r="AM237" s="71">
        <f t="shared" si="85"/>
        <v>0.66666666666666663</v>
      </c>
      <c r="AN237" s="18">
        <v>1</v>
      </c>
      <c r="AO237" s="71">
        <f t="shared" si="86"/>
        <v>0.33333333333333331</v>
      </c>
      <c r="AP237" s="18">
        <v>3</v>
      </c>
      <c r="AQ237" s="71">
        <f t="shared" si="87"/>
        <v>1</v>
      </c>
      <c r="AR237" s="85">
        <v>2</v>
      </c>
      <c r="AS237" s="18">
        <v>0</v>
      </c>
      <c r="AT237" s="71">
        <f t="shared" si="88"/>
        <v>0</v>
      </c>
      <c r="AU237" s="18">
        <v>2</v>
      </c>
      <c r="AV237" s="71">
        <f t="shared" si="89"/>
        <v>0.66666666666666663</v>
      </c>
      <c r="AW237" s="18">
        <v>1</v>
      </c>
      <c r="AX237" s="71">
        <f t="shared" si="90"/>
        <v>0.5</v>
      </c>
      <c r="AY237" s="18">
        <v>1</v>
      </c>
      <c r="AZ237" s="71">
        <f t="shared" si="91"/>
        <v>0.33333333333333331</v>
      </c>
      <c r="BA237" s="94">
        <v>0</v>
      </c>
      <c r="BB237" s="94">
        <v>1</v>
      </c>
      <c r="BC237" s="94">
        <v>0</v>
      </c>
      <c r="BD237" s="94">
        <v>0</v>
      </c>
      <c r="BE237" s="102">
        <f t="shared" si="92"/>
        <v>2.0510160083886881</v>
      </c>
      <c r="BF237" s="81">
        <f t="shared" si="93"/>
        <v>0.54137887823030462</v>
      </c>
      <c r="BG237" s="81" t="str">
        <f t="shared" si="94"/>
        <v>MEDIO</v>
      </c>
      <c r="BK237" s="81" t="str">
        <f t="shared" si="95"/>
        <v>MEDIO</v>
      </c>
    </row>
    <row r="238" spans="1:63" x14ac:dyDescent="0.15">
      <c r="A238" s="84">
        <v>2</v>
      </c>
      <c r="B238" s="84">
        <v>1</v>
      </c>
      <c r="C238" s="84">
        <v>1</v>
      </c>
      <c r="D238" s="84">
        <v>0</v>
      </c>
      <c r="E238" s="84">
        <v>1</v>
      </c>
      <c r="F238" s="17">
        <v>1</v>
      </c>
      <c r="G238" s="64">
        <f t="shared" si="72"/>
        <v>0.5</v>
      </c>
      <c r="H238" s="17">
        <v>1</v>
      </c>
      <c r="I238" s="64">
        <f t="shared" si="73"/>
        <v>0.5</v>
      </c>
      <c r="J238" s="17">
        <v>1</v>
      </c>
      <c r="K238" s="64">
        <f t="shared" si="74"/>
        <v>0.5</v>
      </c>
      <c r="L238" s="17">
        <v>0</v>
      </c>
      <c r="M238" s="64">
        <f t="shared" si="75"/>
        <v>0</v>
      </c>
      <c r="N238" s="17">
        <v>2</v>
      </c>
      <c r="O238" s="64">
        <f t="shared" si="76"/>
        <v>0.4</v>
      </c>
      <c r="P238" s="17">
        <v>3</v>
      </c>
      <c r="Q238" s="64">
        <f t="shared" si="77"/>
        <v>1</v>
      </c>
      <c r="R238" s="25">
        <v>2</v>
      </c>
      <c r="S238" s="71">
        <f t="shared" si="78"/>
        <v>0.66666666666666663</v>
      </c>
      <c r="T238" s="17">
        <v>2</v>
      </c>
      <c r="U238" s="64">
        <f t="shared" si="79"/>
        <v>0.66666666666666663</v>
      </c>
      <c r="V238" s="17">
        <v>3</v>
      </c>
      <c r="W238" s="71">
        <f t="shared" si="80"/>
        <v>0.75</v>
      </c>
      <c r="X238" s="17">
        <v>2</v>
      </c>
      <c r="Y238" s="71">
        <f t="shared" si="81"/>
        <v>0.66666666666666663</v>
      </c>
      <c r="Z238" s="17">
        <v>1</v>
      </c>
      <c r="AA238" s="71">
        <f t="shared" si="82"/>
        <v>0.33333333333333331</v>
      </c>
      <c r="AB238" s="17">
        <v>2</v>
      </c>
      <c r="AC238" s="71">
        <f t="shared" si="83"/>
        <v>1</v>
      </c>
      <c r="AD238" s="84">
        <v>1</v>
      </c>
      <c r="AE238" s="84">
        <v>0</v>
      </c>
      <c r="AF238" s="84">
        <v>1</v>
      </c>
      <c r="AG238" s="84">
        <v>0</v>
      </c>
      <c r="AH238" s="84">
        <v>0</v>
      </c>
      <c r="AI238" s="84">
        <v>0</v>
      </c>
      <c r="AJ238" s="20">
        <v>1</v>
      </c>
      <c r="AK238" s="71">
        <f t="shared" si="84"/>
        <v>0.5</v>
      </c>
      <c r="AL238" s="17">
        <v>0</v>
      </c>
      <c r="AM238" s="71">
        <f t="shared" si="85"/>
        <v>0</v>
      </c>
      <c r="AN238" s="17">
        <v>0</v>
      </c>
      <c r="AO238" s="71">
        <f t="shared" si="86"/>
        <v>0</v>
      </c>
      <c r="AP238" s="17">
        <v>1</v>
      </c>
      <c r="AQ238" s="71">
        <f t="shared" si="87"/>
        <v>0.33333333333333331</v>
      </c>
      <c r="AR238" s="84">
        <v>0</v>
      </c>
      <c r="AS238" s="17">
        <v>2</v>
      </c>
      <c r="AT238" s="71">
        <f t="shared" si="88"/>
        <v>0.66666666666666663</v>
      </c>
      <c r="AU238" s="17">
        <v>0</v>
      </c>
      <c r="AV238" s="71">
        <f t="shared" si="89"/>
        <v>0</v>
      </c>
      <c r="AW238" s="17">
        <v>0</v>
      </c>
      <c r="AX238" s="71">
        <f t="shared" si="90"/>
        <v>0</v>
      </c>
      <c r="AY238" s="17">
        <v>0</v>
      </c>
      <c r="AZ238" s="71">
        <f t="shared" si="91"/>
        <v>0</v>
      </c>
      <c r="BA238" s="93">
        <v>0</v>
      </c>
      <c r="BB238" s="93">
        <v>1</v>
      </c>
      <c r="BC238" s="93">
        <v>1</v>
      </c>
      <c r="BD238" s="93">
        <v>0</v>
      </c>
      <c r="BE238" s="102">
        <f t="shared" si="92"/>
        <v>2.9590257405661973</v>
      </c>
      <c r="BF238" s="81">
        <f t="shared" si="93"/>
        <v>0.33834172969229481</v>
      </c>
      <c r="BG238" s="81" t="str">
        <f t="shared" si="94"/>
        <v>MEDIO</v>
      </c>
      <c r="BK238" s="81" t="str">
        <f t="shared" si="95"/>
        <v>BASSO</v>
      </c>
    </row>
    <row r="239" spans="1:63" x14ac:dyDescent="0.15">
      <c r="A239" s="85">
        <v>1</v>
      </c>
      <c r="B239" s="85">
        <v>0</v>
      </c>
      <c r="C239" s="85">
        <v>1</v>
      </c>
      <c r="D239" s="85">
        <v>1</v>
      </c>
      <c r="E239" s="85">
        <v>1</v>
      </c>
      <c r="F239" s="18">
        <v>2</v>
      </c>
      <c r="G239" s="64">
        <f t="shared" si="72"/>
        <v>1</v>
      </c>
      <c r="H239" s="18">
        <v>1</v>
      </c>
      <c r="I239" s="64">
        <f t="shared" si="73"/>
        <v>0.5</v>
      </c>
      <c r="J239" s="18">
        <v>1</v>
      </c>
      <c r="K239" s="64">
        <f t="shared" si="74"/>
        <v>0.5</v>
      </c>
      <c r="L239" s="18">
        <v>3</v>
      </c>
      <c r="M239" s="64">
        <f t="shared" si="75"/>
        <v>1</v>
      </c>
      <c r="N239" s="18">
        <v>2</v>
      </c>
      <c r="O239" s="64">
        <f t="shared" si="76"/>
        <v>0.4</v>
      </c>
      <c r="P239" s="18">
        <v>3</v>
      </c>
      <c r="Q239" s="64">
        <f t="shared" si="77"/>
        <v>1</v>
      </c>
      <c r="R239" s="24">
        <v>2</v>
      </c>
      <c r="S239" s="71">
        <f t="shared" si="78"/>
        <v>0.66666666666666663</v>
      </c>
      <c r="T239" s="18">
        <v>2</v>
      </c>
      <c r="U239" s="64">
        <f t="shared" si="79"/>
        <v>0.66666666666666663</v>
      </c>
      <c r="V239" s="18">
        <v>3</v>
      </c>
      <c r="W239" s="71">
        <f t="shared" si="80"/>
        <v>0.75</v>
      </c>
      <c r="X239" s="18">
        <v>2</v>
      </c>
      <c r="Y239" s="71">
        <f t="shared" si="81"/>
        <v>0.66666666666666663</v>
      </c>
      <c r="Z239" s="18">
        <v>3</v>
      </c>
      <c r="AA239" s="71">
        <f t="shared" si="82"/>
        <v>1</v>
      </c>
      <c r="AB239" s="18">
        <v>1</v>
      </c>
      <c r="AC239" s="71">
        <f t="shared" si="83"/>
        <v>0.5</v>
      </c>
      <c r="AD239" s="85">
        <v>1</v>
      </c>
      <c r="AE239" s="85">
        <v>0</v>
      </c>
      <c r="AF239" s="85">
        <v>1</v>
      </c>
      <c r="AG239" s="85">
        <v>0</v>
      </c>
      <c r="AH239" s="85">
        <v>0</v>
      </c>
      <c r="AI239" s="85">
        <v>0</v>
      </c>
      <c r="AJ239" s="19">
        <v>1</v>
      </c>
      <c r="AK239" s="71">
        <f t="shared" si="84"/>
        <v>0.5</v>
      </c>
      <c r="AL239" s="18">
        <v>3</v>
      </c>
      <c r="AM239" s="71">
        <f t="shared" si="85"/>
        <v>1</v>
      </c>
      <c r="AN239" s="18">
        <v>1</v>
      </c>
      <c r="AO239" s="71">
        <f t="shared" si="86"/>
        <v>0.33333333333333331</v>
      </c>
      <c r="AP239" s="18">
        <v>3</v>
      </c>
      <c r="AQ239" s="71">
        <f t="shared" si="87"/>
        <v>1</v>
      </c>
      <c r="AR239" s="85">
        <v>0</v>
      </c>
      <c r="AS239" s="18">
        <v>3</v>
      </c>
      <c r="AT239" s="71">
        <f t="shared" si="88"/>
        <v>1</v>
      </c>
      <c r="AU239" s="18">
        <v>2</v>
      </c>
      <c r="AV239" s="71">
        <f t="shared" si="89"/>
        <v>0.66666666666666663</v>
      </c>
      <c r="AW239" s="18">
        <v>1</v>
      </c>
      <c r="AX239" s="71">
        <f t="shared" si="90"/>
        <v>0.5</v>
      </c>
      <c r="AY239" s="18">
        <v>0</v>
      </c>
      <c r="AZ239" s="71">
        <f t="shared" si="91"/>
        <v>0</v>
      </c>
      <c r="BA239" s="94">
        <v>1</v>
      </c>
      <c r="BB239" s="94">
        <v>1</v>
      </c>
      <c r="BC239" s="94">
        <v>0</v>
      </c>
      <c r="BD239" s="94">
        <v>0</v>
      </c>
      <c r="BE239" s="102">
        <f t="shared" si="92"/>
        <v>1.8871642453397874</v>
      </c>
      <c r="BF239" s="81">
        <f t="shared" si="93"/>
        <v>0.5780172462713542</v>
      </c>
      <c r="BG239" s="81" t="str">
        <f t="shared" si="94"/>
        <v>MEDIO</v>
      </c>
      <c r="BK239" s="81" t="str">
        <f t="shared" si="95"/>
        <v>MEDIO</v>
      </c>
    </row>
    <row r="240" spans="1:63" x14ac:dyDescent="0.15">
      <c r="A240" s="84">
        <v>4</v>
      </c>
      <c r="B240" s="84">
        <v>1</v>
      </c>
      <c r="C240" s="84">
        <v>3</v>
      </c>
      <c r="D240" s="84">
        <v>1</v>
      </c>
      <c r="E240" s="84">
        <v>1</v>
      </c>
      <c r="F240" s="17">
        <v>2</v>
      </c>
      <c r="G240" s="64">
        <f t="shared" si="72"/>
        <v>1</v>
      </c>
      <c r="H240" s="17">
        <v>2</v>
      </c>
      <c r="I240" s="64">
        <f t="shared" si="73"/>
        <v>1</v>
      </c>
      <c r="J240" s="17">
        <v>2</v>
      </c>
      <c r="K240" s="64">
        <f t="shared" si="74"/>
        <v>1</v>
      </c>
      <c r="L240" s="17">
        <v>3</v>
      </c>
      <c r="M240" s="64">
        <f t="shared" si="75"/>
        <v>1</v>
      </c>
      <c r="N240" s="17">
        <v>0</v>
      </c>
      <c r="O240" s="64">
        <f t="shared" si="76"/>
        <v>0</v>
      </c>
      <c r="P240" s="17">
        <v>2</v>
      </c>
      <c r="Q240" s="64">
        <f t="shared" si="77"/>
        <v>0.66666666666666663</v>
      </c>
      <c r="R240" s="25">
        <v>3</v>
      </c>
      <c r="S240" s="71">
        <f t="shared" si="78"/>
        <v>1</v>
      </c>
      <c r="T240" s="17">
        <v>3</v>
      </c>
      <c r="U240" s="64">
        <f t="shared" si="79"/>
        <v>1</v>
      </c>
      <c r="V240" s="17">
        <v>3</v>
      </c>
      <c r="W240" s="71">
        <f t="shared" si="80"/>
        <v>0.75</v>
      </c>
      <c r="X240" s="17">
        <v>3</v>
      </c>
      <c r="Y240" s="71">
        <f t="shared" si="81"/>
        <v>1</v>
      </c>
      <c r="Z240" s="17">
        <v>3</v>
      </c>
      <c r="AA240" s="71">
        <f t="shared" si="82"/>
        <v>1</v>
      </c>
      <c r="AB240" s="17">
        <v>0</v>
      </c>
      <c r="AC240" s="71">
        <f t="shared" si="83"/>
        <v>0</v>
      </c>
      <c r="AD240" s="84">
        <v>1</v>
      </c>
      <c r="AE240" s="84">
        <v>0</v>
      </c>
      <c r="AF240" s="84">
        <v>1</v>
      </c>
      <c r="AG240" s="84">
        <v>0</v>
      </c>
      <c r="AH240" s="84">
        <v>0</v>
      </c>
      <c r="AI240" s="84">
        <v>0</v>
      </c>
      <c r="AJ240" s="20">
        <v>1</v>
      </c>
      <c r="AK240" s="71">
        <f t="shared" si="84"/>
        <v>0.5</v>
      </c>
      <c r="AL240" s="17">
        <v>2</v>
      </c>
      <c r="AM240" s="71">
        <f t="shared" si="85"/>
        <v>0.66666666666666663</v>
      </c>
      <c r="AN240" s="17">
        <v>1</v>
      </c>
      <c r="AO240" s="71">
        <f t="shared" si="86"/>
        <v>0.33333333333333331</v>
      </c>
      <c r="AP240" s="17">
        <v>3</v>
      </c>
      <c r="AQ240" s="71">
        <f t="shared" si="87"/>
        <v>1</v>
      </c>
      <c r="AR240" s="84">
        <v>0</v>
      </c>
      <c r="AS240" s="17">
        <v>3</v>
      </c>
      <c r="AT240" s="71">
        <f t="shared" si="88"/>
        <v>1</v>
      </c>
      <c r="AU240" s="17">
        <v>3</v>
      </c>
      <c r="AV240" s="71">
        <f t="shared" si="89"/>
        <v>1</v>
      </c>
      <c r="AW240" s="17">
        <v>2</v>
      </c>
      <c r="AX240" s="71">
        <f t="shared" si="90"/>
        <v>1</v>
      </c>
      <c r="AY240" s="17">
        <v>3</v>
      </c>
      <c r="AZ240" s="71">
        <f t="shared" si="91"/>
        <v>1</v>
      </c>
      <c r="BA240" s="93">
        <v>1</v>
      </c>
      <c r="BB240" s="93">
        <v>0</v>
      </c>
      <c r="BC240" s="93">
        <v>1</v>
      </c>
      <c r="BD240" s="93">
        <v>0</v>
      </c>
      <c r="BE240" s="102">
        <f t="shared" si="92"/>
        <v>1.7260262647673317</v>
      </c>
      <c r="BF240" s="81">
        <f t="shared" si="93"/>
        <v>0.61404879410305591</v>
      </c>
      <c r="BG240" s="81" t="str">
        <f t="shared" si="94"/>
        <v>MEDIO</v>
      </c>
      <c r="BK240" s="81" t="str">
        <f t="shared" si="95"/>
        <v>MEDIO</v>
      </c>
    </row>
    <row r="241" spans="1:63" x14ac:dyDescent="0.15">
      <c r="A241" s="85">
        <v>3</v>
      </c>
      <c r="B241" s="85">
        <v>2</v>
      </c>
      <c r="C241" s="85">
        <v>3</v>
      </c>
      <c r="D241" s="85">
        <v>0</v>
      </c>
      <c r="E241" s="85">
        <v>1</v>
      </c>
      <c r="F241" s="18">
        <v>1</v>
      </c>
      <c r="G241" s="64">
        <f t="shared" si="72"/>
        <v>0.5</v>
      </c>
      <c r="H241" s="18">
        <v>0</v>
      </c>
      <c r="I241" s="64">
        <f t="shared" si="73"/>
        <v>0</v>
      </c>
      <c r="J241" s="18">
        <v>0</v>
      </c>
      <c r="K241" s="64">
        <f t="shared" si="74"/>
        <v>0</v>
      </c>
      <c r="L241" s="18">
        <v>0</v>
      </c>
      <c r="M241" s="64">
        <f t="shared" si="75"/>
        <v>0</v>
      </c>
      <c r="N241" s="18">
        <v>2</v>
      </c>
      <c r="O241" s="64">
        <f t="shared" si="76"/>
        <v>0.4</v>
      </c>
      <c r="P241" s="18">
        <v>0</v>
      </c>
      <c r="Q241" s="64">
        <f t="shared" si="77"/>
        <v>0</v>
      </c>
      <c r="R241" s="24">
        <v>0</v>
      </c>
      <c r="S241" s="71">
        <f t="shared" si="78"/>
        <v>0</v>
      </c>
      <c r="T241" s="18">
        <v>0</v>
      </c>
      <c r="U241" s="64">
        <f t="shared" si="79"/>
        <v>0</v>
      </c>
      <c r="V241" s="18">
        <v>3</v>
      </c>
      <c r="W241" s="71">
        <f t="shared" si="80"/>
        <v>0.75</v>
      </c>
      <c r="X241" s="18">
        <v>0</v>
      </c>
      <c r="Y241" s="71">
        <f t="shared" si="81"/>
        <v>0</v>
      </c>
      <c r="Z241" s="18">
        <v>1</v>
      </c>
      <c r="AA241" s="71">
        <f t="shared" si="82"/>
        <v>0.33333333333333331</v>
      </c>
      <c r="AB241" s="18">
        <v>0</v>
      </c>
      <c r="AC241" s="71">
        <f t="shared" si="83"/>
        <v>0</v>
      </c>
      <c r="AD241" s="85">
        <v>1</v>
      </c>
      <c r="AE241" s="85">
        <v>0</v>
      </c>
      <c r="AF241" s="85">
        <v>0</v>
      </c>
      <c r="AG241" s="85">
        <v>1</v>
      </c>
      <c r="AH241" s="85">
        <v>0</v>
      </c>
      <c r="AI241" s="85">
        <v>0</v>
      </c>
      <c r="AJ241" s="19">
        <v>1</v>
      </c>
      <c r="AK241" s="71">
        <f t="shared" si="84"/>
        <v>0.5</v>
      </c>
      <c r="AL241" s="18">
        <v>2</v>
      </c>
      <c r="AM241" s="71">
        <f t="shared" si="85"/>
        <v>0.66666666666666663</v>
      </c>
      <c r="AN241" s="18">
        <v>0</v>
      </c>
      <c r="AO241" s="71">
        <f t="shared" si="86"/>
        <v>0</v>
      </c>
      <c r="AP241" s="18">
        <v>0</v>
      </c>
      <c r="AQ241" s="71">
        <f t="shared" si="87"/>
        <v>0</v>
      </c>
      <c r="AR241" s="85">
        <v>2</v>
      </c>
      <c r="AS241" s="18">
        <v>1</v>
      </c>
      <c r="AT241" s="71">
        <f t="shared" si="88"/>
        <v>0.33333333333333331</v>
      </c>
      <c r="AU241" s="18">
        <v>0</v>
      </c>
      <c r="AV241" s="71">
        <f t="shared" si="89"/>
        <v>0</v>
      </c>
      <c r="AW241" s="18">
        <v>0</v>
      </c>
      <c r="AX241" s="71">
        <f t="shared" si="90"/>
        <v>0</v>
      </c>
      <c r="AY241" s="18">
        <v>2</v>
      </c>
      <c r="AZ241" s="71">
        <f t="shared" si="91"/>
        <v>0.66666666666666663</v>
      </c>
      <c r="BA241" s="94"/>
      <c r="BB241" s="94">
        <v>1</v>
      </c>
      <c r="BC241" s="94">
        <v>0</v>
      </c>
      <c r="BD241" s="94">
        <v>0</v>
      </c>
      <c r="BE241" s="102">
        <f t="shared" si="92"/>
        <v>3.7461461678785453</v>
      </c>
      <c r="BF241" s="81">
        <f t="shared" si="93"/>
        <v>0.16233625149740205</v>
      </c>
      <c r="BG241" s="81" t="str">
        <f t="shared" si="94"/>
        <v>BASSO</v>
      </c>
      <c r="BK241" s="81" t="str">
        <f t="shared" si="95"/>
        <v>MOLTO BASSO</v>
      </c>
    </row>
    <row r="242" spans="1:63" x14ac:dyDescent="0.15">
      <c r="A242" s="84">
        <v>3</v>
      </c>
      <c r="B242" s="84">
        <v>1</v>
      </c>
      <c r="C242" s="84">
        <v>3</v>
      </c>
      <c r="D242" s="84">
        <v>2</v>
      </c>
      <c r="E242" s="84">
        <v>1</v>
      </c>
      <c r="F242" s="17">
        <v>1</v>
      </c>
      <c r="G242" s="64">
        <f t="shared" si="72"/>
        <v>0.5</v>
      </c>
      <c r="H242" s="17">
        <v>1</v>
      </c>
      <c r="I242" s="64">
        <f t="shared" si="73"/>
        <v>0.5</v>
      </c>
      <c r="J242" s="17">
        <v>0</v>
      </c>
      <c r="K242" s="64">
        <f t="shared" si="74"/>
        <v>0</v>
      </c>
      <c r="L242" s="17">
        <v>0</v>
      </c>
      <c r="M242" s="64">
        <f t="shared" si="75"/>
        <v>0</v>
      </c>
      <c r="N242" s="17">
        <v>2</v>
      </c>
      <c r="O242" s="64">
        <f t="shared" si="76"/>
        <v>0.4</v>
      </c>
      <c r="P242" s="17">
        <v>3</v>
      </c>
      <c r="Q242" s="64">
        <f t="shared" si="77"/>
        <v>1</v>
      </c>
      <c r="R242" s="25">
        <v>2</v>
      </c>
      <c r="S242" s="71">
        <f t="shared" si="78"/>
        <v>0.66666666666666663</v>
      </c>
      <c r="T242" s="17">
        <v>2</v>
      </c>
      <c r="U242" s="64">
        <f t="shared" si="79"/>
        <v>0.66666666666666663</v>
      </c>
      <c r="V242" s="17">
        <v>3</v>
      </c>
      <c r="W242" s="71">
        <f t="shared" si="80"/>
        <v>0.75</v>
      </c>
      <c r="X242" s="17">
        <v>3</v>
      </c>
      <c r="Y242" s="71">
        <f t="shared" si="81"/>
        <v>1</v>
      </c>
      <c r="Z242" s="17">
        <v>1</v>
      </c>
      <c r="AA242" s="71">
        <f t="shared" si="82"/>
        <v>0.33333333333333331</v>
      </c>
      <c r="AB242" s="17">
        <v>1</v>
      </c>
      <c r="AC242" s="71">
        <f t="shared" si="83"/>
        <v>0.5</v>
      </c>
      <c r="AD242" s="84">
        <v>1</v>
      </c>
      <c r="AE242" s="84">
        <v>0</v>
      </c>
      <c r="AF242" s="84">
        <v>1</v>
      </c>
      <c r="AG242" s="84">
        <v>0</v>
      </c>
      <c r="AH242" s="84">
        <v>0</v>
      </c>
      <c r="AI242" s="84">
        <v>0</v>
      </c>
      <c r="AJ242" s="20">
        <v>1</v>
      </c>
      <c r="AK242" s="71">
        <f t="shared" si="84"/>
        <v>0.5</v>
      </c>
      <c r="AL242" s="17">
        <v>2</v>
      </c>
      <c r="AM242" s="71">
        <f t="shared" si="85"/>
        <v>0.66666666666666663</v>
      </c>
      <c r="AN242" s="17">
        <v>1</v>
      </c>
      <c r="AO242" s="71">
        <f t="shared" si="86"/>
        <v>0.33333333333333331</v>
      </c>
      <c r="AP242" s="17">
        <v>3</v>
      </c>
      <c r="AQ242" s="71">
        <f t="shared" si="87"/>
        <v>1</v>
      </c>
      <c r="AR242" s="84">
        <v>2</v>
      </c>
      <c r="AS242" s="17">
        <v>0</v>
      </c>
      <c r="AT242" s="71">
        <f t="shared" si="88"/>
        <v>0</v>
      </c>
      <c r="AU242" s="17">
        <v>2</v>
      </c>
      <c r="AV242" s="71">
        <f t="shared" si="89"/>
        <v>0.66666666666666663</v>
      </c>
      <c r="AW242" s="17">
        <v>1</v>
      </c>
      <c r="AX242" s="71">
        <f t="shared" si="90"/>
        <v>0.5</v>
      </c>
      <c r="AY242" s="17">
        <v>2</v>
      </c>
      <c r="AZ242" s="71">
        <f t="shared" si="91"/>
        <v>0.66666666666666663</v>
      </c>
      <c r="BA242" s="93">
        <v>1</v>
      </c>
      <c r="BB242" s="93">
        <v>1</v>
      </c>
      <c r="BC242" s="93">
        <v>0</v>
      </c>
      <c r="BD242" s="93">
        <v>0</v>
      </c>
      <c r="BE242" s="102">
        <f t="shared" si="92"/>
        <v>2.4732457307037738</v>
      </c>
      <c r="BF242" s="81">
        <f t="shared" si="93"/>
        <v>0.44696544210857425</v>
      </c>
      <c r="BG242" s="81" t="str">
        <f t="shared" si="94"/>
        <v>MEDIO</v>
      </c>
      <c r="BK242" s="81" t="str">
        <f t="shared" si="95"/>
        <v>BASSO</v>
      </c>
    </row>
    <row r="243" spans="1:63" x14ac:dyDescent="0.15">
      <c r="A243" s="85">
        <v>3</v>
      </c>
      <c r="B243" s="85">
        <v>1</v>
      </c>
      <c r="C243" s="85">
        <v>1</v>
      </c>
      <c r="D243" s="85">
        <v>2</v>
      </c>
      <c r="E243" s="85">
        <v>1</v>
      </c>
      <c r="F243" s="18">
        <v>1</v>
      </c>
      <c r="G243" s="64">
        <f t="shared" si="72"/>
        <v>0.5</v>
      </c>
      <c r="H243" s="18">
        <v>1</v>
      </c>
      <c r="I243" s="64">
        <f t="shared" si="73"/>
        <v>0.5</v>
      </c>
      <c r="J243" s="18">
        <v>1</v>
      </c>
      <c r="K243" s="64">
        <f t="shared" si="74"/>
        <v>0.5</v>
      </c>
      <c r="L243" s="18">
        <v>2</v>
      </c>
      <c r="M243" s="64">
        <f t="shared" si="75"/>
        <v>0.66666666666666663</v>
      </c>
      <c r="N243" s="18">
        <v>2</v>
      </c>
      <c r="O243" s="64">
        <f t="shared" si="76"/>
        <v>0.4</v>
      </c>
      <c r="P243" s="18">
        <v>2</v>
      </c>
      <c r="Q243" s="64">
        <f t="shared" si="77"/>
        <v>0.66666666666666663</v>
      </c>
      <c r="R243" s="24">
        <v>3</v>
      </c>
      <c r="S243" s="71">
        <f t="shared" si="78"/>
        <v>1</v>
      </c>
      <c r="T243" s="18">
        <v>2</v>
      </c>
      <c r="U243" s="64">
        <f t="shared" si="79"/>
        <v>0.66666666666666663</v>
      </c>
      <c r="V243" s="18">
        <v>3</v>
      </c>
      <c r="W243" s="71">
        <f t="shared" si="80"/>
        <v>0.75</v>
      </c>
      <c r="X243" s="18">
        <v>3</v>
      </c>
      <c r="Y243" s="71">
        <f t="shared" si="81"/>
        <v>1</v>
      </c>
      <c r="Z243" s="18">
        <v>1</v>
      </c>
      <c r="AA243" s="71">
        <f t="shared" si="82"/>
        <v>0.33333333333333331</v>
      </c>
      <c r="AB243" s="18">
        <v>0</v>
      </c>
      <c r="AC243" s="71">
        <f t="shared" si="83"/>
        <v>0</v>
      </c>
      <c r="AD243" s="85">
        <v>1</v>
      </c>
      <c r="AE243" s="85">
        <v>0</v>
      </c>
      <c r="AF243" s="85">
        <v>1</v>
      </c>
      <c r="AG243" s="85">
        <v>0</v>
      </c>
      <c r="AH243" s="85">
        <v>0</v>
      </c>
      <c r="AI243" s="85">
        <v>0</v>
      </c>
      <c r="AJ243" s="19">
        <v>2</v>
      </c>
      <c r="AK243" s="71">
        <f t="shared" si="84"/>
        <v>1</v>
      </c>
      <c r="AL243" s="18">
        <v>3</v>
      </c>
      <c r="AM243" s="71">
        <f t="shared" si="85"/>
        <v>1</v>
      </c>
      <c r="AN243" s="18">
        <v>2</v>
      </c>
      <c r="AO243" s="71">
        <f t="shared" si="86"/>
        <v>0.66666666666666663</v>
      </c>
      <c r="AP243" s="18">
        <v>2</v>
      </c>
      <c r="AQ243" s="71">
        <f t="shared" si="87"/>
        <v>0.66666666666666663</v>
      </c>
      <c r="AR243" s="85">
        <v>1</v>
      </c>
      <c r="AS243" s="18">
        <v>2</v>
      </c>
      <c r="AT243" s="71">
        <f t="shared" si="88"/>
        <v>0.66666666666666663</v>
      </c>
      <c r="AU243" s="18">
        <v>1</v>
      </c>
      <c r="AV243" s="71">
        <f t="shared" si="89"/>
        <v>0.33333333333333331</v>
      </c>
      <c r="AW243" s="17">
        <v>1</v>
      </c>
      <c r="AX243" s="71">
        <f t="shared" si="90"/>
        <v>0.5</v>
      </c>
      <c r="AY243" s="18">
        <v>3</v>
      </c>
      <c r="AZ243" s="71">
        <f t="shared" si="91"/>
        <v>1</v>
      </c>
      <c r="BA243" s="94">
        <v>1</v>
      </c>
      <c r="BB243" s="94">
        <v>0</v>
      </c>
      <c r="BC243" s="94">
        <v>1</v>
      </c>
      <c r="BD243" s="94">
        <v>0</v>
      </c>
      <c r="BE243" s="102">
        <f t="shared" si="92"/>
        <v>1.9945063438243449</v>
      </c>
      <c r="BF243" s="81">
        <f t="shared" si="93"/>
        <v>0.5540148233654616</v>
      </c>
      <c r="BG243" s="81" t="str">
        <f t="shared" si="94"/>
        <v>MEDIO</v>
      </c>
      <c r="BK243" s="81" t="str">
        <f t="shared" si="95"/>
        <v>MEDIO</v>
      </c>
    </row>
    <row r="244" spans="1:63" x14ac:dyDescent="0.15">
      <c r="A244" s="84">
        <v>2</v>
      </c>
      <c r="B244" s="84">
        <v>2</v>
      </c>
      <c r="C244" s="84">
        <v>3</v>
      </c>
      <c r="D244" s="84">
        <v>2</v>
      </c>
      <c r="E244" s="84">
        <v>1</v>
      </c>
      <c r="F244" s="17">
        <v>2</v>
      </c>
      <c r="G244" s="64">
        <f t="shared" si="72"/>
        <v>1</v>
      </c>
      <c r="H244" s="17">
        <v>2</v>
      </c>
      <c r="I244" s="64">
        <f t="shared" si="73"/>
        <v>1</v>
      </c>
      <c r="J244" s="17">
        <v>2</v>
      </c>
      <c r="K244" s="64">
        <f t="shared" si="74"/>
        <v>1</v>
      </c>
      <c r="L244" s="17">
        <v>3</v>
      </c>
      <c r="M244" s="64">
        <f t="shared" si="75"/>
        <v>1</v>
      </c>
      <c r="N244" s="17">
        <v>4</v>
      </c>
      <c r="O244" s="64">
        <f t="shared" si="76"/>
        <v>0.8</v>
      </c>
      <c r="P244" s="17">
        <v>2</v>
      </c>
      <c r="Q244" s="64">
        <f t="shared" si="77"/>
        <v>0.66666666666666663</v>
      </c>
      <c r="R244" s="25">
        <v>3</v>
      </c>
      <c r="S244" s="71">
        <f t="shared" si="78"/>
        <v>1</v>
      </c>
      <c r="T244" s="17">
        <v>3</v>
      </c>
      <c r="U244" s="64">
        <f t="shared" si="79"/>
        <v>1</v>
      </c>
      <c r="V244" s="17">
        <v>0</v>
      </c>
      <c r="W244" s="71">
        <f t="shared" si="80"/>
        <v>0</v>
      </c>
      <c r="X244" s="17">
        <v>3</v>
      </c>
      <c r="Y244" s="71">
        <f t="shared" si="81"/>
        <v>1</v>
      </c>
      <c r="Z244" s="17">
        <v>3</v>
      </c>
      <c r="AA244" s="71">
        <f t="shared" si="82"/>
        <v>1</v>
      </c>
      <c r="AB244" s="17">
        <v>1</v>
      </c>
      <c r="AC244" s="71">
        <f t="shared" si="83"/>
        <v>0.5</v>
      </c>
      <c r="AD244" s="84">
        <v>1</v>
      </c>
      <c r="AE244" s="84">
        <v>0</v>
      </c>
      <c r="AF244" s="84">
        <v>1</v>
      </c>
      <c r="AG244" s="84">
        <v>0</v>
      </c>
      <c r="AH244" s="84">
        <v>0</v>
      </c>
      <c r="AI244" s="84">
        <v>0</v>
      </c>
      <c r="AJ244" s="20">
        <v>2</v>
      </c>
      <c r="AK244" s="71">
        <f t="shared" si="84"/>
        <v>1</v>
      </c>
      <c r="AL244" s="17">
        <v>3</v>
      </c>
      <c r="AM244" s="71">
        <f t="shared" si="85"/>
        <v>1</v>
      </c>
      <c r="AN244" s="17">
        <v>1</v>
      </c>
      <c r="AO244" s="71">
        <f t="shared" si="86"/>
        <v>0.33333333333333331</v>
      </c>
      <c r="AP244" s="17">
        <v>3</v>
      </c>
      <c r="AQ244" s="71">
        <f t="shared" si="87"/>
        <v>1</v>
      </c>
      <c r="AR244" s="84">
        <v>2</v>
      </c>
      <c r="AS244" s="17">
        <v>2</v>
      </c>
      <c r="AT244" s="71">
        <f t="shared" si="88"/>
        <v>0.66666666666666663</v>
      </c>
      <c r="AU244" s="17">
        <v>2</v>
      </c>
      <c r="AV244" s="71">
        <f t="shared" si="89"/>
        <v>0.66666666666666663</v>
      </c>
      <c r="AW244" s="17">
        <v>2</v>
      </c>
      <c r="AX244" s="71">
        <f t="shared" si="90"/>
        <v>1</v>
      </c>
      <c r="AY244" s="17">
        <v>3</v>
      </c>
      <c r="AZ244" s="71">
        <f t="shared" si="91"/>
        <v>1</v>
      </c>
      <c r="BA244" s="93">
        <v>1</v>
      </c>
      <c r="BB244" s="93">
        <v>0</v>
      </c>
      <c r="BC244" s="93">
        <v>1</v>
      </c>
      <c r="BD244" s="93">
        <v>0</v>
      </c>
      <c r="BE244" s="102">
        <f t="shared" si="92"/>
        <v>1.4379769740081996</v>
      </c>
      <c r="BF244" s="81">
        <f t="shared" si="93"/>
        <v>0.67845857360385198</v>
      </c>
      <c r="BG244" s="81" t="str">
        <f t="shared" si="94"/>
        <v>ALTO</v>
      </c>
      <c r="BK244" s="81" t="str">
        <f t="shared" si="95"/>
        <v>ALTO</v>
      </c>
    </row>
    <row r="245" spans="1:63" x14ac:dyDescent="0.15">
      <c r="A245" s="85">
        <v>2</v>
      </c>
      <c r="B245" s="85">
        <v>0</v>
      </c>
      <c r="C245" s="85">
        <v>3</v>
      </c>
      <c r="D245" s="85">
        <v>1</v>
      </c>
      <c r="E245" s="85">
        <v>1</v>
      </c>
      <c r="F245" s="18">
        <v>2</v>
      </c>
      <c r="G245" s="64">
        <f t="shared" si="72"/>
        <v>1</v>
      </c>
      <c r="H245" s="18">
        <v>2</v>
      </c>
      <c r="I245" s="64">
        <f t="shared" si="73"/>
        <v>1</v>
      </c>
      <c r="J245" s="18">
        <v>2</v>
      </c>
      <c r="K245" s="64">
        <f t="shared" si="74"/>
        <v>1</v>
      </c>
      <c r="L245" s="18">
        <v>3</v>
      </c>
      <c r="M245" s="64">
        <f t="shared" si="75"/>
        <v>1</v>
      </c>
      <c r="N245" s="18">
        <v>1</v>
      </c>
      <c r="O245" s="64">
        <f t="shared" si="76"/>
        <v>0.2</v>
      </c>
      <c r="P245" s="18">
        <v>2</v>
      </c>
      <c r="Q245" s="64">
        <f t="shared" si="77"/>
        <v>0.66666666666666663</v>
      </c>
      <c r="R245" s="24">
        <v>3</v>
      </c>
      <c r="S245" s="71">
        <f t="shared" si="78"/>
        <v>1</v>
      </c>
      <c r="T245" s="18">
        <v>3</v>
      </c>
      <c r="U245" s="64">
        <f t="shared" si="79"/>
        <v>1</v>
      </c>
      <c r="V245" s="18">
        <v>4</v>
      </c>
      <c r="W245" s="71">
        <f t="shared" si="80"/>
        <v>1</v>
      </c>
      <c r="X245" s="18">
        <v>3</v>
      </c>
      <c r="Y245" s="71">
        <f t="shared" si="81"/>
        <v>1</v>
      </c>
      <c r="Z245" s="18">
        <v>3</v>
      </c>
      <c r="AA245" s="71">
        <f t="shared" si="82"/>
        <v>1</v>
      </c>
      <c r="AB245" s="18">
        <v>1</v>
      </c>
      <c r="AC245" s="71">
        <f t="shared" si="83"/>
        <v>0.5</v>
      </c>
      <c r="AD245" s="85">
        <v>1</v>
      </c>
      <c r="AE245" s="85">
        <v>0</v>
      </c>
      <c r="AF245" s="85">
        <v>1</v>
      </c>
      <c r="AG245" s="85">
        <v>0</v>
      </c>
      <c r="AH245" s="85">
        <v>0</v>
      </c>
      <c r="AI245" s="85">
        <v>0</v>
      </c>
      <c r="AJ245" s="19">
        <v>2</v>
      </c>
      <c r="AK245" s="71">
        <f t="shared" si="84"/>
        <v>1</v>
      </c>
      <c r="AL245" s="18">
        <v>3</v>
      </c>
      <c r="AM245" s="71">
        <f t="shared" si="85"/>
        <v>1</v>
      </c>
      <c r="AN245" s="18">
        <v>1</v>
      </c>
      <c r="AO245" s="71">
        <f t="shared" si="86"/>
        <v>0.33333333333333331</v>
      </c>
      <c r="AP245" s="18">
        <v>3</v>
      </c>
      <c r="AQ245" s="71">
        <f t="shared" si="87"/>
        <v>1</v>
      </c>
      <c r="AR245" s="85">
        <v>1</v>
      </c>
      <c r="AS245" s="18">
        <v>2</v>
      </c>
      <c r="AT245" s="71">
        <f t="shared" si="88"/>
        <v>0.66666666666666663</v>
      </c>
      <c r="AU245" s="18">
        <v>3</v>
      </c>
      <c r="AV245" s="71">
        <f t="shared" si="89"/>
        <v>1</v>
      </c>
      <c r="AW245" s="18">
        <v>2</v>
      </c>
      <c r="AX245" s="71">
        <f t="shared" si="90"/>
        <v>1</v>
      </c>
      <c r="AY245" s="18">
        <v>3</v>
      </c>
      <c r="AZ245" s="71">
        <f t="shared" si="91"/>
        <v>1</v>
      </c>
      <c r="BA245" s="94">
        <v>0</v>
      </c>
      <c r="BB245" s="94">
        <v>1</v>
      </c>
      <c r="BC245" s="94">
        <v>1</v>
      </c>
      <c r="BD245" s="94">
        <v>0</v>
      </c>
      <c r="BE245" s="102">
        <f t="shared" si="92"/>
        <v>1.2476644848141936</v>
      </c>
      <c r="BF245" s="81">
        <f t="shared" si="93"/>
        <v>0.72101373988434714</v>
      </c>
      <c r="BG245" s="81" t="str">
        <f t="shared" si="94"/>
        <v>ALTO</v>
      </c>
      <c r="BK245" s="81" t="str">
        <f t="shared" si="95"/>
        <v>ALTO</v>
      </c>
    </row>
    <row r="246" spans="1:63" x14ac:dyDescent="0.15">
      <c r="A246" s="84">
        <v>3</v>
      </c>
      <c r="B246" s="84">
        <v>2</v>
      </c>
      <c r="C246" s="84">
        <v>3</v>
      </c>
      <c r="D246" s="84">
        <v>2</v>
      </c>
      <c r="E246" s="84">
        <v>1</v>
      </c>
      <c r="F246" s="17">
        <v>1</v>
      </c>
      <c r="G246" s="64">
        <f t="shared" si="72"/>
        <v>0.5</v>
      </c>
      <c r="H246" s="17">
        <v>0</v>
      </c>
      <c r="I246" s="64">
        <f t="shared" si="73"/>
        <v>0</v>
      </c>
      <c r="J246" s="17">
        <v>1</v>
      </c>
      <c r="K246" s="64">
        <f t="shared" si="74"/>
        <v>0.5</v>
      </c>
      <c r="L246" s="17">
        <v>0</v>
      </c>
      <c r="M246" s="64">
        <f t="shared" si="75"/>
        <v>0</v>
      </c>
      <c r="N246" s="17">
        <v>2</v>
      </c>
      <c r="O246" s="64">
        <f t="shared" si="76"/>
        <v>0.4</v>
      </c>
      <c r="P246" s="17">
        <v>0</v>
      </c>
      <c r="Q246" s="64">
        <f t="shared" si="77"/>
        <v>0</v>
      </c>
      <c r="R246" s="25">
        <v>3</v>
      </c>
      <c r="S246" s="71">
        <f t="shared" si="78"/>
        <v>1</v>
      </c>
      <c r="T246" s="17">
        <v>1</v>
      </c>
      <c r="U246" s="64">
        <f t="shared" si="79"/>
        <v>0.33333333333333331</v>
      </c>
      <c r="V246" s="17">
        <v>3</v>
      </c>
      <c r="W246" s="71">
        <f t="shared" si="80"/>
        <v>0.75</v>
      </c>
      <c r="X246" s="17">
        <v>2</v>
      </c>
      <c r="Y246" s="71">
        <f t="shared" si="81"/>
        <v>0.66666666666666663</v>
      </c>
      <c r="Z246" s="17">
        <v>3</v>
      </c>
      <c r="AA246" s="71">
        <f t="shared" si="82"/>
        <v>1</v>
      </c>
      <c r="AB246" s="17">
        <v>1</v>
      </c>
      <c r="AC246" s="71">
        <f t="shared" si="83"/>
        <v>0.5</v>
      </c>
      <c r="AD246" s="84">
        <v>1</v>
      </c>
      <c r="AE246" s="84">
        <v>0</v>
      </c>
      <c r="AF246" s="84">
        <v>1</v>
      </c>
      <c r="AG246" s="84">
        <v>0</v>
      </c>
      <c r="AH246" s="84">
        <v>0</v>
      </c>
      <c r="AI246" s="84">
        <v>0</v>
      </c>
      <c r="AJ246" s="20">
        <v>2</v>
      </c>
      <c r="AK246" s="71">
        <f t="shared" si="84"/>
        <v>1</v>
      </c>
      <c r="AL246" s="17">
        <v>1</v>
      </c>
      <c r="AM246" s="71">
        <f t="shared" si="85"/>
        <v>0.33333333333333331</v>
      </c>
      <c r="AN246" s="17">
        <v>1</v>
      </c>
      <c r="AO246" s="71">
        <f t="shared" si="86"/>
        <v>0.33333333333333331</v>
      </c>
      <c r="AP246" s="17">
        <v>1</v>
      </c>
      <c r="AQ246" s="71">
        <f t="shared" si="87"/>
        <v>0.33333333333333331</v>
      </c>
      <c r="AR246" s="84">
        <v>0</v>
      </c>
      <c r="AS246" s="17">
        <v>2</v>
      </c>
      <c r="AT246" s="71">
        <f t="shared" si="88"/>
        <v>0.66666666666666663</v>
      </c>
      <c r="AU246" s="17">
        <v>3</v>
      </c>
      <c r="AV246" s="71">
        <f t="shared" si="89"/>
        <v>1</v>
      </c>
      <c r="AW246" s="17">
        <v>1</v>
      </c>
      <c r="AX246" s="71">
        <f t="shared" si="90"/>
        <v>0.5</v>
      </c>
      <c r="AY246" s="17">
        <v>3</v>
      </c>
      <c r="AZ246" s="71">
        <f t="shared" si="91"/>
        <v>1</v>
      </c>
      <c r="BA246" s="93">
        <v>1</v>
      </c>
      <c r="BB246" s="93">
        <v>0</v>
      </c>
      <c r="BC246" s="93">
        <v>1</v>
      </c>
      <c r="BD246" s="93">
        <v>0</v>
      </c>
      <c r="BE246" s="102">
        <f t="shared" si="92"/>
        <v>2.5342651794948372</v>
      </c>
      <c r="BF246" s="81">
        <f t="shared" si="93"/>
        <v>0.43332107856393709</v>
      </c>
      <c r="BG246" s="81" t="str">
        <f t="shared" si="94"/>
        <v>MEDIO</v>
      </c>
      <c r="BK246" s="81" t="str">
        <f t="shared" si="95"/>
        <v>BASSO</v>
      </c>
    </row>
    <row r="247" spans="1:63" x14ac:dyDescent="0.15">
      <c r="A247" s="85">
        <v>2</v>
      </c>
      <c r="B247" s="85">
        <v>2</v>
      </c>
      <c r="C247" s="85">
        <v>3</v>
      </c>
      <c r="D247" s="85">
        <v>1</v>
      </c>
      <c r="E247" s="85">
        <v>1</v>
      </c>
      <c r="F247" s="18">
        <v>2</v>
      </c>
      <c r="G247" s="64">
        <f t="shared" si="72"/>
        <v>1</v>
      </c>
      <c r="H247" s="18">
        <v>1</v>
      </c>
      <c r="I247" s="64">
        <f t="shared" si="73"/>
        <v>0.5</v>
      </c>
      <c r="J247" s="18">
        <v>1</v>
      </c>
      <c r="K247" s="64">
        <f t="shared" si="74"/>
        <v>0.5</v>
      </c>
      <c r="L247" s="18">
        <v>3</v>
      </c>
      <c r="M247" s="64">
        <f t="shared" si="75"/>
        <v>1</v>
      </c>
      <c r="N247" s="18">
        <v>0</v>
      </c>
      <c r="O247" s="64">
        <f t="shared" si="76"/>
        <v>0</v>
      </c>
      <c r="P247" s="18">
        <v>1</v>
      </c>
      <c r="Q247" s="64">
        <f t="shared" si="77"/>
        <v>0.33333333333333331</v>
      </c>
      <c r="R247" s="24">
        <v>3</v>
      </c>
      <c r="S247" s="71">
        <f t="shared" si="78"/>
        <v>1</v>
      </c>
      <c r="T247" s="18">
        <v>2</v>
      </c>
      <c r="U247" s="64">
        <f t="shared" si="79"/>
        <v>0.66666666666666663</v>
      </c>
      <c r="V247" s="18">
        <v>3</v>
      </c>
      <c r="W247" s="71">
        <f t="shared" si="80"/>
        <v>0.75</v>
      </c>
      <c r="X247" s="18">
        <v>2</v>
      </c>
      <c r="Y247" s="71">
        <f t="shared" si="81"/>
        <v>0.66666666666666663</v>
      </c>
      <c r="Z247" s="18">
        <v>3</v>
      </c>
      <c r="AA247" s="71">
        <f t="shared" si="82"/>
        <v>1</v>
      </c>
      <c r="AB247" s="18">
        <v>2</v>
      </c>
      <c r="AC247" s="71">
        <f t="shared" si="83"/>
        <v>1</v>
      </c>
      <c r="AD247" s="85">
        <v>1</v>
      </c>
      <c r="AE247" s="85">
        <v>0</v>
      </c>
      <c r="AF247" s="85">
        <v>0</v>
      </c>
      <c r="AG247" s="85">
        <v>1</v>
      </c>
      <c r="AH247" s="85">
        <v>0</v>
      </c>
      <c r="AI247" s="85">
        <v>0</v>
      </c>
      <c r="AJ247" s="19">
        <v>1</v>
      </c>
      <c r="AK247" s="71">
        <f t="shared" si="84"/>
        <v>0.5</v>
      </c>
      <c r="AL247" s="18">
        <v>3</v>
      </c>
      <c r="AM247" s="71">
        <f t="shared" si="85"/>
        <v>1</v>
      </c>
      <c r="AN247" s="18">
        <v>2</v>
      </c>
      <c r="AO247" s="71">
        <f t="shared" si="86"/>
        <v>0.66666666666666663</v>
      </c>
      <c r="AP247" s="18">
        <v>3</v>
      </c>
      <c r="AQ247" s="71">
        <f t="shared" si="87"/>
        <v>1</v>
      </c>
      <c r="AR247" s="85">
        <v>2</v>
      </c>
      <c r="AS247" s="18">
        <v>2</v>
      </c>
      <c r="AT247" s="71">
        <f t="shared" si="88"/>
        <v>0.66666666666666663</v>
      </c>
      <c r="AU247" s="18">
        <v>3</v>
      </c>
      <c r="AV247" s="71">
        <f t="shared" si="89"/>
        <v>1</v>
      </c>
      <c r="AW247" s="18">
        <v>1</v>
      </c>
      <c r="AX247" s="71">
        <f t="shared" si="90"/>
        <v>0.5</v>
      </c>
      <c r="AY247" s="18">
        <v>2</v>
      </c>
      <c r="AZ247" s="71">
        <f t="shared" si="91"/>
        <v>0.66666666666666663</v>
      </c>
      <c r="BA247" s="94">
        <v>0</v>
      </c>
      <c r="BB247" s="94">
        <v>1</v>
      </c>
      <c r="BC247" s="94">
        <v>1</v>
      </c>
      <c r="BD247" s="94">
        <v>0</v>
      </c>
      <c r="BE247" s="102">
        <f t="shared" si="92"/>
        <v>1.7500000000000002</v>
      </c>
      <c r="BF247" s="81">
        <f t="shared" si="93"/>
        <v>0.60868810393757355</v>
      </c>
      <c r="BG247" s="81" t="str">
        <f t="shared" si="94"/>
        <v>MEDIO</v>
      </c>
      <c r="BK247" s="81" t="str">
        <f t="shared" si="95"/>
        <v>MEDIO</v>
      </c>
    </row>
    <row r="248" spans="1:63" x14ac:dyDescent="0.15">
      <c r="A248" s="84">
        <v>3</v>
      </c>
      <c r="B248" s="84">
        <v>2</v>
      </c>
      <c r="C248" s="84">
        <v>3</v>
      </c>
      <c r="D248" s="84">
        <v>2</v>
      </c>
      <c r="E248" s="84">
        <v>1</v>
      </c>
      <c r="F248" s="17">
        <v>1</v>
      </c>
      <c r="G248" s="64">
        <f t="shared" si="72"/>
        <v>0.5</v>
      </c>
      <c r="H248" s="17">
        <v>1</v>
      </c>
      <c r="I248" s="64">
        <f t="shared" si="73"/>
        <v>0.5</v>
      </c>
      <c r="J248" s="17">
        <v>1</v>
      </c>
      <c r="K248" s="64">
        <f t="shared" si="74"/>
        <v>0.5</v>
      </c>
      <c r="L248" s="17">
        <v>0</v>
      </c>
      <c r="M248" s="64">
        <f t="shared" si="75"/>
        <v>0</v>
      </c>
      <c r="N248" s="17">
        <v>2</v>
      </c>
      <c r="O248" s="64">
        <f t="shared" si="76"/>
        <v>0.4</v>
      </c>
      <c r="P248" s="17">
        <v>0</v>
      </c>
      <c r="Q248" s="64">
        <f t="shared" si="77"/>
        <v>0</v>
      </c>
      <c r="R248" s="25">
        <v>0</v>
      </c>
      <c r="S248" s="71">
        <f t="shared" si="78"/>
        <v>0</v>
      </c>
      <c r="T248" s="17">
        <v>1</v>
      </c>
      <c r="U248" s="64">
        <f t="shared" si="79"/>
        <v>0.33333333333333331</v>
      </c>
      <c r="V248" s="17">
        <v>3</v>
      </c>
      <c r="W248" s="71">
        <f t="shared" si="80"/>
        <v>0.75</v>
      </c>
      <c r="X248" s="17">
        <v>2</v>
      </c>
      <c r="Y248" s="71">
        <f t="shared" si="81"/>
        <v>0.66666666666666663</v>
      </c>
      <c r="Z248" s="17">
        <v>1</v>
      </c>
      <c r="AA248" s="71">
        <f t="shared" si="82"/>
        <v>0.33333333333333331</v>
      </c>
      <c r="AB248" s="17">
        <v>0</v>
      </c>
      <c r="AC248" s="71">
        <f t="shared" si="83"/>
        <v>0</v>
      </c>
      <c r="AD248" s="84">
        <v>1</v>
      </c>
      <c r="AE248" s="84">
        <v>0</v>
      </c>
      <c r="AF248" s="84">
        <v>0</v>
      </c>
      <c r="AG248" s="84">
        <v>1</v>
      </c>
      <c r="AH248" s="84">
        <v>0</v>
      </c>
      <c r="AI248" s="84">
        <v>0</v>
      </c>
      <c r="AJ248" s="20">
        <v>1</v>
      </c>
      <c r="AK248" s="71">
        <f t="shared" si="84"/>
        <v>0.5</v>
      </c>
      <c r="AL248" s="17">
        <v>3</v>
      </c>
      <c r="AM248" s="71">
        <f t="shared" si="85"/>
        <v>1</v>
      </c>
      <c r="AN248" s="17">
        <v>1</v>
      </c>
      <c r="AO248" s="71">
        <f t="shared" si="86"/>
        <v>0.33333333333333331</v>
      </c>
      <c r="AP248" s="17">
        <v>0</v>
      </c>
      <c r="AQ248" s="71">
        <f t="shared" si="87"/>
        <v>0</v>
      </c>
      <c r="AR248" s="84">
        <v>2</v>
      </c>
      <c r="AS248" s="17">
        <v>0</v>
      </c>
      <c r="AT248" s="71">
        <f t="shared" si="88"/>
        <v>0</v>
      </c>
      <c r="AU248" s="17">
        <v>1</v>
      </c>
      <c r="AV248" s="71">
        <f t="shared" si="89"/>
        <v>0.33333333333333331</v>
      </c>
      <c r="AW248" s="17">
        <v>0</v>
      </c>
      <c r="AX248" s="71">
        <f t="shared" si="90"/>
        <v>0</v>
      </c>
      <c r="AY248" s="17">
        <v>2</v>
      </c>
      <c r="AZ248" s="71">
        <f t="shared" si="91"/>
        <v>0.66666666666666663</v>
      </c>
      <c r="BA248" s="93">
        <v>0</v>
      </c>
      <c r="BB248" s="93">
        <v>0</v>
      </c>
      <c r="BC248" s="93">
        <v>0</v>
      </c>
      <c r="BD248" s="93">
        <v>1</v>
      </c>
      <c r="BE248" s="102">
        <f t="shared" si="92"/>
        <v>3.2283896914715857</v>
      </c>
      <c r="BF248" s="81">
        <f t="shared" si="93"/>
        <v>0.27811011920106399</v>
      </c>
      <c r="BG248" s="81" t="str">
        <f t="shared" si="94"/>
        <v>BASSO</v>
      </c>
      <c r="BK248" s="81" t="str">
        <f t="shared" si="95"/>
        <v>MOLTO BASSO</v>
      </c>
    </row>
    <row r="249" spans="1:63" x14ac:dyDescent="0.15">
      <c r="A249" s="85">
        <v>2</v>
      </c>
      <c r="B249" s="85">
        <v>2</v>
      </c>
      <c r="C249" s="85">
        <v>3</v>
      </c>
      <c r="D249" s="85">
        <v>1</v>
      </c>
      <c r="E249" s="85">
        <v>0</v>
      </c>
      <c r="F249" s="18">
        <v>1</v>
      </c>
      <c r="G249" s="64">
        <f t="shared" si="72"/>
        <v>0.5</v>
      </c>
      <c r="H249" s="18">
        <v>1</v>
      </c>
      <c r="I249" s="64">
        <f t="shared" si="73"/>
        <v>0.5</v>
      </c>
      <c r="J249" s="18">
        <v>1</v>
      </c>
      <c r="K249" s="64">
        <f t="shared" si="74"/>
        <v>0.5</v>
      </c>
      <c r="L249" s="18">
        <v>1</v>
      </c>
      <c r="M249" s="64">
        <f t="shared" si="75"/>
        <v>0.33333333333333331</v>
      </c>
      <c r="N249" s="18">
        <v>4</v>
      </c>
      <c r="O249" s="64">
        <f t="shared" si="76"/>
        <v>0.8</v>
      </c>
      <c r="P249" s="18">
        <v>3</v>
      </c>
      <c r="Q249" s="64">
        <f t="shared" si="77"/>
        <v>1</v>
      </c>
      <c r="R249" s="24">
        <v>1</v>
      </c>
      <c r="S249" s="71">
        <f t="shared" si="78"/>
        <v>0.33333333333333331</v>
      </c>
      <c r="T249" s="18">
        <v>2</v>
      </c>
      <c r="U249" s="64">
        <f t="shared" si="79"/>
        <v>0.66666666666666663</v>
      </c>
      <c r="V249" s="18">
        <v>3</v>
      </c>
      <c r="W249" s="71">
        <f t="shared" si="80"/>
        <v>0.75</v>
      </c>
      <c r="X249" s="18">
        <v>2</v>
      </c>
      <c r="Y249" s="71">
        <f t="shared" si="81"/>
        <v>0.66666666666666663</v>
      </c>
      <c r="Z249" s="18">
        <v>0</v>
      </c>
      <c r="AA249" s="71">
        <f t="shared" si="82"/>
        <v>0</v>
      </c>
      <c r="AB249" s="18">
        <v>0</v>
      </c>
      <c r="AC249" s="71">
        <f t="shared" si="83"/>
        <v>0</v>
      </c>
      <c r="AD249" s="85">
        <v>1</v>
      </c>
      <c r="AE249" s="85">
        <v>0</v>
      </c>
      <c r="AF249" s="85">
        <v>1</v>
      </c>
      <c r="AG249" s="85">
        <v>0</v>
      </c>
      <c r="AH249" s="85">
        <v>0</v>
      </c>
      <c r="AI249" s="85">
        <v>0</v>
      </c>
      <c r="AJ249" s="19">
        <v>1</v>
      </c>
      <c r="AK249" s="71">
        <f t="shared" si="84"/>
        <v>0.5</v>
      </c>
      <c r="AL249" s="18">
        <v>1</v>
      </c>
      <c r="AM249" s="71">
        <f t="shared" si="85"/>
        <v>0.33333333333333331</v>
      </c>
      <c r="AN249" s="18">
        <v>2</v>
      </c>
      <c r="AO249" s="71">
        <f t="shared" si="86"/>
        <v>0.66666666666666663</v>
      </c>
      <c r="AP249" s="18">
        <v>0</v>
      </c>
      <c r="AQ249" s="71">
        <f t="shared" si="87"/>
        <v>0</v>
      </c>
      <c r="AR249" s="85">
        <v>1</v>
      </c>
      <c r="AS249" s="18">
        <v>2</v>
      </c>
      <c r="AT249" s="71">
        <f t="shared" si="88"/>
        <v>0.66666666666666663</v>
      </c>
      <c r="AU249" s="18">
        <v>2</v>
      </c>
      <c r="AV249" s="71">
        <f t="shared" si="89"/>
        <v>0.66666666666666663</v>
      </c>
      <c r="AW249" s="18">
        <v>2</v>
      </c>
      <c r="AX249" s="71">
        <f t="shared" si="90"/>
        <v>1</v>
      </c>
      <c r="AY249" s="18">
        <v>3</v>
      </c>
      <c r="AZ249" s="71">
        <f t="shared" si="91"/>
        <v>1</v>
      </c>
      <c r="BA249" s="94">
        <v>0</v>
      </c>
      <c r="BB249" s="94">
        <v>1</v>
      </c>
      <c r="BC249" s="94">
        <v>1</v>
      </c>
      <c r="BD249" s="94">
        <v>0</v>
      </c>
      <c r="BE249" s="102">
        <f t="shared" si="92"/>
        <v>2.4477313759660984</v>
      </c>
      <c r="BF249" s="81">
        <f t="shared" si="93"/>
        <v>0.45267062526812241</v>
      </c>
      <c r="BG249" s="81" t="str">
        <f t="shared" si="94"/>
        <v>MEDIO</v>
      </c>
      <c r="BK249" s="81" t="str">
        <f t="shared" si="95"/>
        <v>MEDIO</v>
      </c>
    </row>
    <row r="250" spans="1:63" x14ac:dyDescent="0.15">
      <c r="A250" s="84">
        <v>5</v>
      </c>
      <c r="B250" s="84">
        <v>2</v>
      </c>
      <c r="C250" s="84">
        <v>1</v>
      </c>
      <c r="D250" s="84">
        <v>2</v>
      </c>
      <c r="E250" s="84">
        <v>1</v>
      </c>
      <c r="F250" s="17">
        <v>1</v>
      </c>
      <c r="G250" s="64">
        <f t="shared" si="72"/>
        <v>0.5</v>
      </c>
      <c r="H250" s="17">
        <v>1</v>
      </c>
      <c r="I250" s="64">
        <f t="shared" si="73"/>
        <v>0.5</v>
      </c>
      <c r="J250" s="17">
        <v>1</v>
      </c>
      <c r="K250" s="64">
        <f t="shared" si="74"/>
        <v>0.5</v>
      </c>
      <c r="L250" s="17">
        <v>2</v>
      </c>
      <c r="M250" s="64">
        <f t="shared" si="75"/>
        <v>0.66666666666666663</v>
      </c>
      <c r="N250" s="17">
        <v>2</v>
      </c>
      <c r="O250" s="64">
        <f t="shared" si="76"/>
        <v>0.4</v>
      </c>
      <c r="P250" s="17">
        <v>3</v>
      </c>
      <c r="Q250" s="64">
        <f t="shared" si="77"/>
        <v>1</v>
      </c>
      <c r="R250" s="25">
        <v>2</v>
      </c>
      <c r="S250" s="71">
        <f t="shared" si="78"/>
        <v>0.66666666666666663</v>
      </c>
      <c r="T250" s="17">
        <v>2</v>
      </c>
      <c r="U250" s="64">
        <f t="shared" si="79"/>
        <v>0.66666666666666663</v>
      </c>
      <c r="V250" s="17">
        <v>3</v>
      </c>
      <c r="W250" s="71">
        <f t="shared" si="80"/>
        <v>0.75</v>
      </c>
      <c r="X250" s="17">
        <v>2</v>
      </c>
      <c r="Y250" s="71">
        <f t="shared" si="81"/>
        <v>0.66666666666666663</v>
      </c>
      <c r="Z250" s="17">
        <v>0</v>
      </c>
      <c r="AA250" s="71">
        <f t="shared" si="82"/>
        <v>0</v>
      </c>
      <c r="AB250" s="17">
        <v>1</v>
      </c>
      <c r="AC250" s="71">
        <f t="shared" si="83"/>
        <v>0.5</v>
      </c>
      <c r="AD250" s="84">
        <v>1</v>
      </c>
      <c r="AE250" s="84">
        <v>0</v>
      </c>
      <c r="AF250" s="84">
        <v>0</v>
      </c>
      <c r="AG250" s="84">
        <v>1</v>
      </c>
      <c r="AH250" s="84">
        <v>0</v>
      </c>
      <c r="AI250" s="84">
        <v>0</v>
      </c>
      <c r="AJ250" s="20">
        <v>1</v>
      </c>
      <c r="AK250" s="71">
        <f t="shared" si="84"/>
        <v>0.5</v>
      </c>
      <c r="AL250" s="17">
        <v>1</v>
      </c>
      <c r="AM250" s="71">
        <f t="shared" si="85"/>
        <v>0.33333333333333331</v>
      </c>
      <c r="AN250" s="17">
        <v>1</v>
      </c>
      <c r="AO250" s="71">
        <f t="shared" si="86"/>
        <v>0.33333333333333331</v>
      </c>
      <c r="AP250" s="17">
        <v>0</v>
      </c>
      <c r="AQ250" s="71">
        <f t="shared" si="87"/>
        <v>0</v>
      </c>
      <c r="AR250" s="84">
        <v>2</v>
      </c>
      <c r="AS250" s="17">
        <v>2</v>
      </c>
      <c r="AT250" s="71">
        <f t="shared" si="88"/>
        <v>0.66666666666666663</v>
      </c>
      <c r="AU250" s="17">
        <v>0</v>
      </c>
      <c r="AV250" s="71">
        <f t="shared" si="89"/>
        <v>0</v>
      </c>
      <c r="AW250" s="17">
        <v>0</v>
      </c>
      <c r="AX250" s="71">
        <f t="shared" si="90"/>
        <v>0</v>
      </c>
      <c r="AY250" s="17">
        <v>2</v>
      </c>
      <c r="AZ250" s="71">
        <f t="shared" si="91"/>
        <v>0.66666666666666663</v>
      </c>
      <c r="BA250" s="93">
        <v>1</v>
      </c>
      <c r="BB250" s="93">
        <v>1</v>
      </c>
      <c r="BC250" s="93">
        <v>0</v>
      </c>
      <c r="BD250" s="93">
        <v>0</v>
      </c>
      <c r="BE250" s="102">
        <f t="shared" si="92"/>
        <v>2.6885043343010544</v>
      </c>
      <c r="BF250" s="81">
        <f t="shared" si="93"/>
        <v>0.39883215507005876</v>
      </c>
      <c r="BG250" s="81" t="str">
        <f t="shared" si="94"/>
        <v>MEDIO</v>
      </c>
      <c r="BK250" s="81" t="str">
        <f t="shared" si="95"/>
        <v>BASSO</v>
      </c>
    </row>
    <row r="251" spans="1:63" x14ac:dyDescent="0.15">
      <c r="A251" s="85">
        <v>2</v>
      </c>
      <c r="B251" s="85">
        <v>2</v>
      </c>
      <c r="C251" s="85">
        <v>2</v>
      </c>
      <c r="D251" s="85">
        <v>2</v>
      </c>
      <c r="E251" s="85">
        <v>1</v>
      </c>
      <c r="F251" s="18">
        <v>1</v>
      </c>
      <c r="G251" s="64">
        <f t="shared" si="72"/>
        <v>0.5</v>
      </c>
      <c r="H251" s="18">
        <v>1</v>
      </c>
      <c r="I251" s="64">
        <f t="shared" si="73"/>
        <v>0.5</v>
      </c>
      <c r="J251" s="18">
        <v>1</v>
      </c>
      <c r="K251" s="64">
        <f t="shared" si="74"/>
        <v>0.5</v>
      </c>
      <c r="L251" s="18">
        <v>0</v>
      </c>
      <c r="M251" s="64">
        <f t="shared" si="75"/>
        <v>0</v>
      </c>
      <c r="N251" s="18">
        <v>2</v>
      </c>
      <c r="O251" s="64">
        <f t="shared" si="76"/>
        <v>0.4</v>
      </c>
      <c r="P251" s="18">
        <v>2</v>
      </c>
      <c r="Q251" s="64">
        <f t="shared" si="77"/>
        <v>0.66666666666666663</v>
      </c>
      <c r="R251" s="24">
        <v>2</v>
      </c>
      <c r="S251" s="71">
        <f t="shared" si="78"/>
        <v>0.66666666666666663</v>
      </c>
      <c r="T251" s="18">
        <v>2</v>
      </c>
      <c r="U251" s="64">
        <f t="shared" si="79"/>
        <v>0.66666666666666663</v>
      </c>
      <c r="V251" s="18">
        <v>3</v>
      </c>
      <c r="W251" s="71">
        <f t="shared" si="80"/>
        <v>0.75</v>
      </c>
      <c r="X251" s="18">
        <v>2</v>
      </c>
      <c r="Y251" s="71">
        <f t="shared" si="81"/>
        <v>0.66666666666666663</v>
      </c>
      <c r="Z251" s="18">
        <v>3</v>
      </c>
      <c r="AA251" s="71">
        <f t="shared" si="82"/>
        <v>1</v>
      </c>
      <c r="AB251" s="18">
        <v>0</v>
      </c>
      <c r="AC251" s="71">
        <f t="shared" si="83"/>
        <v>0</v>
      </c>
      <c r="AD251" s="85">
        <v>1</v>
      </c>
      <c r="AE251" s="85">
        <v>0</v>
      </c>
      <c r="AF251" s="85">
        <v>1</v>
      </c>
      <c r="AG251" s="85">
        <v>0</v>
      </c>
      <c r="AH251" s="85">
        <v>0</v>
      </c>
      <c r="AI251" s="85">
        <v>0</v>
      </c>
      <c r="AJ251" s="19">
        <v>2</v>
      </c>
      <c r="AK251" s="71">
        <f t="shared" si="84"/>
        <v>1</v>
      </c>
      <c r="AL251" s="18">
        <v>3</v>
      </c>
      <c r="AM251" s="71">
        <f t="shared" si="85"/>
        <v>1</v>
      </c>
      <c r="AN251" s="18">
        <v>1</v>
      </c>
      <c r="AO251" s="71">
        <f t="shared" si="86"/>
        <v>0.33333333333333331</v>
      </c>
      <c r="AP251" s="18">
        <v>2</v>
      </c>
      <c r="AQ251" s="71">
        <f t="shared" si="87"/>
        <v>0.66666666666666663</v>
      </c>
      <c r="AR251" s="85">
        <v>1</v>
      </c>
      <c r="AS251" s="18">
        <v>3</v>
      </c>
      <c r="AT251" s="71">
        <f t="shared" si="88"/>
        <v>1</v>
      </c>
      <c r="AU251" s="18">
        <v>3</v>
      </c>
      <c r="AV251" s="71">
        <f t="shared" si="89"/>
        <v>1</v>
      </c>
      <c r="AW251" s="18">
        <v>1</v>
      </c>
      <c r="AX251" s="71">
        <f t="shared" si="90"/>
        <v>0.5</v>
      </c>
      <c r="AY251" s="18">
        <v>3</v>
      </c>
      <c r="AZ251" s="71">
        <f t="shared" si="91"/>
        <v>1</v>
      </c>
      <c r="BA251" s="94">
        <v>0</v>
      </c>
      <c r="BB251" s="94">
        <v>1</v>
      </c>
      <c r="BC251" s="94">
        <v>1</v>
      </c>
      <c r="BD251" s="94">
        <v>0</v>
      </c>
      <c r="BE251" s="102">
        <f t="shared" si="92"/>
        <v>2.1029740844813087</v>
      </c>
      <c r="BF251" s="81">
        <f t="shared" si="93"/>
        <v>0.52976069921798508</v>
      </c>
      <c r="BG251" s="81" t="str">
        <f t="shared" si="94"/>
        <v>MEDIO</v>
      </c>
      <c r="BK251" s="81" t="str">
        <f t="shared" si="95"/>
        <v>MEDIO</v>
      </c>
    </row>
    <row r="252" spans="1:63" x14ac:dyDescent="0.15">
      <c r="A252" s="84">
        <v>4</v>
      </c>
      <c r="B252" s="84">
        <v>1</v>
      </c>
      <c r="C252" s="84">
        <v>3</v>
      </c>
      <c r="D252" s="84">
        <v>2</v>
      </c>
      <c r="E252" s="84">
        <v>1</v>
      </c>
      <c r="F252" s="17">
        <v>2</v>
      </c>
      <c r="G252" s="64">
        <f t="shared" si="72"/>
        <v>1</v>
      </c>
      <c r="H252" s="17">
        <v>2</v>
      </c>
      <c r="I252" s="64">
        <f t="shared" si="73"/>
        <v>1</v>
      </c>
      <c r="J252" s="17">
        <v>1</v>
      </c>
      <c r="K252" s="64">
        <f t="shared" si="74"/>
        <v>0.5</v>
      </c>
      <c r="L252" s="17">
        <v>2</v>
      </c>
      <c r="M252" s="64">
        <f t="shared" si="75"/>
        <v>0.66666666666666663</v>
      </c>
      <c r="N252" s="17">
        <v>2</v>
      </c>
      <c r="O252" s="64">
        <f t="shared" si="76"/>
        <v>0.4</v>
      </c>
      <c r="P252" s="17">
        <v>3</v>
      </c>
      <c r="Q252" s="64">
        <f t="shared" si="77"/>
        <v>1</v>
      </c>
      <c r="R252" s="25">
        <v>2</v>
      </c>
      <c r="S252" s="71">
        <f t="shared" si="78"/>
        <v>0.66666666666666663</v>
      </c>
      <c r="T252" s="17">
        <v>2</v>
      </c>
      <c r="U252" s="64">
        <f t="shared" si="79"/>
        <v>0.66666666666666663</v>
      </c>
      <c r="V252" s="17">
        <v>4</v>
      </c>
      <c r="W252" s="71">
        <f t="shared" si="80"/>
        <v>1</v>
      </c>
      <c r="X252" s="17">
        <v>2</v>
      </c>
      <c r="Y252" s="71">
        <f t="shared" si="81"/>
        <v>0.66666666666666663</v>
      </c>
      <c r="Z252" s="17">
        <v>3</v>
      </c>
      <c r="AA252" s="71">
        <f t="shared" si="82"/>
        <v>1</v>
      </c>
      <c r="AB252" s="17">
        <v>2</v>
      </c>
      <c r="AC252" s="71">
        <f t="shared" si="83"/>
        <v>1</v>
      </c>
      <c r="AD252" s="84">
        <v>0</v>
      </c>
      <c r="AE252" s="84">
        <v>1</v>
      </c>
      <c r="AF252" s="84">
        <v>1</v>
      </c>
      <c r="AG252" s="84">
        <v>0</v>
      </c>
      <c r="AH252" s="84">
        <v>0</v>
      </c>
      <c r="AI252" s="84">
        <v>0</v>
      </c>
      <c r="AJ252" s="20">
        <v>0</v>
      </c>
      <c r="AK252" s="71">
        <f t="shared" si="84"/>
        <v>0</v>
      </c>
      <c r="AL252" s="17">
        <v>3</v>
      </c>
      <c r="AM252" s="71">
        <f t="shared" si="85"/>
        <v>1</v>
      </c>
      <c r="AN252" s="17">
        <v>1</v>
      </c>
      <c r="AO252" s="71">
        <f t="shared" si="86"/>
        <v>0.33333333333333331</v>
      </c>
      <c r="AP252" s="17">
        <v>2</v>
      </c>
      <c r="AQ252" s="71">
        <f t="shared" si="87"/>
        <v>0.66666666666666663</v>
      </c>
      <c r="AR252" s="84">
        <v>1</v>
      </c>
      <c r="AS252" s="17">
        <v>3</v>
      </c>
      <c r="AT252" s="71">
        <f t="shared" si="88"/>
        <v>1</v>
      </c>
      <c r="AU252" s="17">
        <v>3</v>
      </c>
      <c r="AV252" s="71">
        <f t="shared" si="89"/>
        <v>1</v>
      </c>
      <c r="AW252" s="17">
        <v>1</v>
      </c>
      <c r="AX252" s="71">
        <f t="shared" si="90"/>
        <v>0.5</v>
      </c>
      <c r="AY252" s="17">
        <v>3</v>
      </c>
      <c r="AZ252" s="71">
        <f t="shared" si="91"/>
        <v>1</v>
      </c>
      <c r="BA252" s="93">
        <v>0</v>
      </c>
      <c r="BB252" s="93">
        <v>1</v>
      </c>
      <c r="BC252" s="93">
        <v>1</v>
      </c>
      <c r="BD252" s="93">
        <v>0</v>
      </c>
      <c r="BE252" s="102">
        <f t="shared" si="92"/>
        <v>1.6911534525287764</v>
      </c>
      <c r="BF252" s="81">
        <f t="shared" si="93"/>
        <v>0.6218465919762548</v>
      </c>
      <c r="BG252" s="81" t="str">
        <f t="shared" si="94"/>
        <v>MEDIO</v>
      </c>
      <c r="BK252" s="81" t="str">
        <f t="shared" si="95"/>
        <v>MEDIO</v>
      </c>
    </row>
    <row r="253" spans="1:63" x14ac:dyDescent="0.15">
      <c r="A253" s="85">
        <v>3</v>
      </c>
      <c r="B253" s="85">
        <v>2</v>
      </c>
      <c r="C253" s="85">
        <v>0</v>
      </c>
      <c r="D253" s="85">
        <v>2</v>
      </c>
      <c r="E253" s="85">
        <v>1</v>
      </c>
      <c r="F253" s="18">
        <v>1</v>
      </c>
      <c r="G253" s="64">
        <f t="shared" si="72"/>
        <v>0.5</v>
      </c>
      <c r="H253" s="18">
        <v>1</v>
      </c>
      <c r="I253" s="64">
        <f t="shared" si="73"/>
        <v>0.5</v>
      </c>
      <c r="J253" s="18">
        <v>0</v>
      </c>
      <c r="K253" s="64">
        <f t="shared" si="74"/>
        <v>0</v>
      </c>
      <c r="L253" s="18">
        <v>0</v>
      </c>
      <c r="M253" s="64">
        <f t="shared" si="75"/>
        <v>0</v>
      </c>
      <c r="N253" s="18">
        <v>4</v>
      </c>
      <c r="O253" s="64">
        <f t="shared" si="76"/>
        <v>0.8</v>
      </c>
      <c r="P253" s="18">
        <v>0</v>
      </c>
      <c r="Q253" s="64">
        <f t="shared" si="77"/>
        <v>0</v>
      </c>
      <c r="R253" s="24">
        <v>0</v>
      </c>
      <c r="S253" s="71">
        <f t="shared" si="78"/>
        <v>0</v>
      </c>
      <c r="T253" s="18">
        <v>0</v>
      </c>
      <c r="U253" s="64">
        <f t="shared" si="79"/>
        <v>0</v>
      </c>
      <c r="V253" s="18">
        <v>3</v>
      </c>
      <c r="W253" s="71">
        <f t="shared" si="80"/>
        <v>0.75</v>
      </c>
      <c r="X253" s="18">
        <v>2</v>
      </c>
      <c r="Y253" s="71">
        <f t="shared" si="81"/>
        <v>0.66666666666666663</v>
      </c>
      <c r="Z253" s="18">
        <v>2</v>
      </c>
      <c r="AA253" s="71">
        <f t="shared" si="82"/>
        <v>0.66666666666666663</v>
      </c>
      <c r="AB253" s="18">
        <v>2</v>
      </c>
      <c r="AC253" s="71">
        <f t="shared" si="83"/>
        <v>1</v>
      </c>
      <c r="AD253" s="85">
        <v>0</v>
      </c>
      <c r="AE253" s="85">
        <v>0</v>
      </c>
      <c r="AF253" s="85">
        <v>1</v>
      </c>
      <c r="AG253" s="85">
        <v>1</v>
      </c>
      <c r="AH253" s="85">
        <v>0</v>
      </c>
      <c r="AI253" s="85">
        <v>0</v>
      </c>
      <c r="AJ253" s="19">
        <v>1</v>
      </c>
      <c r="AK253" s="71">
        <f t="shared" si="84"/>
        <v>0.5</v>
      </c>
      <c r="AL253" s="18">
        <v>0</v>
      </c>
      <c r="AM253" s="71">
        <f t="shared" si="85"/>
        <v>0</v>
      </c>
      <c r="AN253" s="18">
        <v>2</v>
      </c>
      <c r="AO253" s="71">
        <f t="shared" si="86"/>
        <v>0.66666666666666663</v>
      </c>
      <c r="AP253" s="18">
        <v>0</v>
      </c>
      <c r="AQ253" s="71">
        <f t="shared" si="87"/>
        <v>0</v>
      </c>
      <c r="AR253" s="85">
        <v>2</v>
      </c>
      <c r="AS253" s="18">
        <v>0</v>
      </c>
      <c r="AT253" s="71">
        <f t="shared" si="88"/>
        <v>0</v>
      </c>
      <c r="AU253" s="18">
        <v>0</v>
      </c>
      <c r="AV253" s="71">
        <f t="shared" si="89"/>
        <v>0</v>
      </c>
      <c r="AW253" s="18">
        <v>1</v>
      </c>
      <c r="AX253" s="71">
        <f t="shared" si="90"/>
        <v>0.5</v>
      </c>
      <c r="AY253" s="18">
        <v>2</v>
      </c>
      <c r="AZ253" s="71">
        <f t="shared" si="91"/>
        <v>0.66666666666666663</v>
      </c>
      <c r="BA253" s="94">
        <v>0</v>
      </c>
      <c r="BB253" s="94">
        <v>0</v>
      </c>
      <c r="BC253" s="94">
        <v>1</v>
      </c>
      <c r="BD253" s="94">
        <v>0</v>
      </c>
      <c r="BE253" s="102">
        <f t="shared" si="92"/>
        <v>3.2476059558456969</v>
      </c>
      <c r="BF253" s="81">
        <f t="shared" si="93"/>
        <v>0.27381323185965234</v>
      </c>
      <c r="BG253" s="81" t="str">
        <f t="shared" si="94"/>
        <v>BASSO</v>
      </c>
      <c r="BK253" s="81" t="str">
        <f t="shared" si="95"/>
        <v>MOLTO BASSO</v>
      </c>
    </row>
    <row r="254" spans="1:63" x14ac:dyDescent="0.15">
      <c r="A254" s="88">
        <v>5</v>
      </c>
      <c r="B254" s="88">
        <v>1</v>
      </c>
      <c r="C254" s="88">
        <v>1</v>
      </c>
      <c r="D254" s="88">
        <v>0</v>
      </c>
      <c r="E254" s="88">
        <v>1</v>
      </c>
      <c r="F254" s="21">
        <v>1</v>
      </c>
      <c r="G254" s="64">
        <f t="shared" si="72"/>
        <v>0.5</v>
      </c>
      <c r="H254" s="21">
        <v>2</v>
      </c>
      <c r="I254" s="64">
        <f t="shared" si="73"/>
        <v>1</v>
      </c>
      <c r="J254" s="21">
        <v>2</v>
      </c>
      <c r="K254" s="64">
        <f t="shared" si="74"/>
        <v>1</v>
      </c>
      <c r="L254" s="21">
        <v>3</v>
      </c>
      <c r="M254" s="64">
        <f t="shared" si="75"/>
        <v>1</v>
      </c>
      <c r="N254" s="21">
        <v>4</v>
      </c>
      <c r="O254" s="64">
        <f t="shared" si="76"/>
        <v>0.8</v>
      </c>
      <c r="P254" s="21">
        <v>2</v>
      </c>
      <c r="Q254" s="64">
        <f t="shared" si="77"/>
        <v>0.66666666666666663</v>
      </c>
      <c r="R254" s="26">
        <v>3</v>
      </c>
      <c r="S254" s="71">
        <f t="shared" si="78"/>
        <v>1</v>
      </c>
      <c r="T254" s="21">
        <v>3</v>
      </c>
      <c r="U254" s="64">
        <f t="shared" si="79"/>
        <v>1</v>
      </c>
      <c r="V254" s="21">
        <v>4</v>
      </c>
      <c r="W254" s="71">
        <f t="shared" si="80"/>
        <v>1</v>
      </c>
      <c r="X254" s="21">
        <v>3</v>
      </c>
      <c r="Y254" s="71">
        <f t="shared" si="81"/>
        <v>1</v>
      </c>
      <c r="Z254" s="21">
        <v>3</v>
      </c>
      <c r="AA254" s="71">
        <f t="shared" si="82"/>
        <v>1</v>
      </c>
      <c r="AB254" s="21">
        <v>0</v>
      </c>
      <c r="AC254" s="71">
        <f t="shared" si="83"/>
        <v>0</v>
      </c>
      <c r="AD254" s="88">
        <v>1</v>
      </c>
      <c r="AE254" s="88">
        <v>0</v>
      </c>
      <c r="AF254" s="88">
        <v>1</v>
      </c>
      <c r="AG254" s="88">
        <v>0</v>
      </c>
      <c r="AH254" s="88">
        <v>0</v>
      </c>
      <c r="AI254" s="88">
        <v>0</v>
      </c>
      <c r="AJ254" s="30">
        <v>2</v>
      </c>
      <c r="AK254" s="71">
        <f t="shared" si="84"/>
        <v>1</v>
      </c>
      <c r="AL254" s="21">
        <v>2</v>
      </c>
      <c r="AM254" s="71">
        <f t="shared" si="85"/>
        <v>0.66666666666666663</v>
      </c>
      <c r="AN254" s="21">
        <v>0</v>
      </c>
      <c r="AO254" s="71">
        <f t="shared" si="86"/>
        <v>0</v>
      </c>
      <c r="AP254" s="21">
        <v>3</v>
      </c>
      <c r="AQ254" s="71">
        <f t="shared" si="87"/>
        <v>1</v>
      </c>
      <c r="AR254" s="88">
        <v>2</v>
      </c>
      <c r="AS254" s="21">
        <v>3</v>
      </c>
      <c r="AT254" s="71">
        <f t="shared" si="88"/>
        <v>1</v>
      </c>
      <c r="AU254" s="21">
        <v>3</v>
      </c>
      <c r="AV254" s="71">
        <f t="shared" si="89"/>
        <v>1</v>
      </c>
      <c r="AW254" s="21">
        <v>1</v>
      </c>
      <c r="AX254" s="71">
        <f t="shared" si="90"/>
        <v>0.5</v>
      </c>
      <c r="AY254" s="21">
        <v>3</v>
      </c>
      <c r="AZ254" s="71">
        <f t="shared" si="91"/>
        <v>1</v>
      </c>
      <c r="BA254" s="97">
        <v>0</v>
      </c>
      <c r="BB254" s="97">
        <v>1</v>
      </c>
      <c r="BC254" s="97">
        <v>1</v>
      </c>
      <c r="BD254" s="97">
        <v>0</v>
      </c>
      <c r="BE254" s="102">
        <f t="shared" si="92"/>
        <v>1.6619934483090546</v>
      </c>
      <c r="BF254" s="81">
        <f t="shared" si="93"/>
        <v>0.62836696714220208</v>
      </c>
      <c r="BG254" s="81" t="str">
        <f t="shared" si="94"/>
        <v>MEDIO</v>
      </c>
      <c r="BK254" s="81" t="str">
        <f t="shared" si="95"/>
        <v>MEDIO</v>
      </c>
    </row>
    <row r="255" spans="1:63" x14ac:dyDescent="0.15">
      <c r="A255" s="84">
        <v>4</v>
      </c>
      <c r="B255" s="84">
        <v>1</v>
      </c>
      <c r="C255" s="84">
        <v>2</v>
      </c>
      <c r="D255" s="84">
        <v>0</v>
      </c>
      <c r="E255" s="88">
        <v>1</v>
      </c>
      <c r="F255" s="21">
        <v>1</v>
      </c>
      <c r="G255" s="64">
        <f t="shared" si="72"/>
        <v>0.5</v>
      </c>
      <c r="H255" s="17">
        <v>2</v>
      </c>
      <c r="I255" s="64">
        <f t="shared" si="73"/>
        <v>1</v>
      </c>
      <c r="J255" s="17">
        <v>2</v>
      </c>
      <c r="K255" s="64">
        <f t="shared" si="74"/>
        <v>1</v>
      </c>
      <c r="L255" s="17">
        <v>3</v>
      </c>
      <c r="M255" s="64">
        <f t="shared" si="75"/>
        <v>1</v>
      </c>
      <c r="N255" s="17">
        <v>4</v>
      </c>
      <c r="O255" s="64">
        <f t="shared" si="76"/>
        <v>0.8</v>
      </c>
      <c r="P255" s="17">
        <v>3</v>
      </c>
      <c r="Q255" s="64">
        <f t="shared" si="77"/>
        <v>1</v>
      </c>
      <c r="R255" s="25">
        <v>3</v>
      </c>
      <c r="S255" s="71">
        <f t="shared" si="78"/>
        <v>1</v>
      </c>
      <c r="T255" s="17">
        <v>3</v>
      </c>
      <c r="U255" s="64">
        <f t="shared" si="79"/>
        <v>1</v>
      </c>
      <c r="V255" s="17">
        <v>4</v>
      </c>
      <c r="W255" s="71">
        <f t="shared" si="80"/>
        <v>1</v>
      </c>
      <c r="X255" s="17">
        <v>3</v>
      </c>
      <c r="Y255" s="71">
        <f t="shared" si="81"/>
        <v>1</v>
      </c>
      <c r="Z255" s="17">
        <v>3</v>
      </c>
      <c r="AA255" s="71">
        <f t="shared" si="82"/>
        <v>1</v>
      </c>
      <c r="AB255" s="17">
        <v>0</v>
      </c>
      <c r="AC255" s="71">
        <f t="shared" si="83"/>
        <v>0</v>
      </c>
      <c r="AD255" s="84">
        <v>0</v>
      </c>
      <c r="AE255" s="84">
        <v>1</v>
      </c>
      <c r="AF255" s="84">
        <v>1</v>
      </c>
      <c r="AG255" s="84">
        <v>0</v>
      </c>
      <c r="AH255" s="84">
        <v>0</v>
      </c>
      <c r="AI255" s="84">
        <v>0</v>
      </c>
      <c r="AJ255" s="45">
        <v>2</v>
      </c>
      <c r="AK255" s="71">
        <f t="shared" si="84"/>
        <v>1</v>
      </c>
      <c r="AL255" s="17">
        <v>2</v>
      </c>
      <c r="AM255" s="71">
        <f t="shared" si="85"/>
        <v>0.66666666666666663</v>
      </c>
      <c r="AN255" s="17">
        <v>1</v>
      </c>
      <c r="AO255" s="71">
        <f t="shared" si="86"/>
        <v>0.33333333333333331</v>
      </c>
      <c r="AP255" s="17">
        <v>3</v>
      </c>
      <c r="AQ255" s="71">
        <f t="shared" si="87"/>
        <v>1</v>
      </c>
      <c r="AR255" s="84">
        <v>2</v>
      </c>
      <c r="AS255" s="17">
        <v>3</v>
      </c>
      <c r="AT255" s="71">
        <f t="shared" si="88"/>
        <v>1</v>
      </c>
      <c r="AU255" s="17">
        <v>3</v>
      </c>
      <c r="AV255" s="71">
        <f t="shared" si="89"/>
        <v>1</v>
      </c>
      <c r="AW255" s="17">
        <v>1</v>
      </c>
      <c r="AX255" s="71">
        <f t="shared" si="90"/>
        <v>0.5</v>
      </c>
      <c r="AY255" s="17">
        <v>3</v>
      </c>
      <c r="AZ255" s="71">
        <f t="shared" si="91"/>
        <v>1</v>
      </c>
      <c r="BA255" s="93">
        <v>1</v>
      </c>
      <c r="BB255" s="98">
        <v>1</v>
      </c>
      <c r="BC255" s="98">
        <v>0</v>
      </c>
      <c r="BD255" s="98">
        <v>0</v>
      </c>
      <c r="BE255" s="102">
        <f t="shared" si="92"/>
        <v>1.4476033833738977</v>
      </c>
      <c r="BF255" s="81">
        <f t="shared" si="93"/>
        <v>0.67630604303175801</v>
      </c>
      <c r="BG255" s="81" t="str">
        <f t="shared" si="94"/>
        <v>ALTO</v>
      </c>
      <c r="BK255" s="81" t="str">
        <f t="shared" si="95"/>
        <v>ALTO</v>
      </c>
    </row>
    <row r="256" spans="1:63" x14ac:dyDescent="0.15">
      <c r="A256" s="84">
        <v>4</v>
      </c>
      <c r="B256" s="88">
        <v>1</v>
      </c>
      <c r="C256" s="84">
        <v>1</v>
      </c>
      <c r="D256" s="89">
        <v>0</v>
      </c>
      <c r="E256" s="88">
        <v>1</v>
      </c>
      <c r="F256" s="17">
        <v>2</v>
      </c>
      <c r="G256" s="64">
        <f t="shared" si="72"/>
        <v>1</v>
      </c>
      <c r="H256" s="17">
        <v>2</v>
      </c>
      <c r="I256" s="64">
        <f t="shared" si="73"/>
        <v>1</v>
      </c>
      <c r="J256" s="17">
        <v>2</v>
      </c>
      <c r="K256" s="64">
        <f t="shared" si="74"/>
        <v>1</v>
      </c>
      <c r="L256" s="17">
        <v>3</v>
      </c>
      <c r="M256" s="64">
        <f t="shared" si="75"/>
        <v>1</v>
      </c>
      <c r="N256" s="17">
        <v>2</v>
      </c>
      <c r="O256" s="64">
        <f t="shared" si="76"/>
        <v>0.4</v>
      </c>
      <c r="P256" s="17">
        <v>3</v>
      </c>
      <c r="Q256" s="64">
        <f t="shared" si="77"/>
        <v>1</v>
      </c>
      <c r="R256" s="25">
        <v>3</v>
      </c>
      <c r="S256" s="71">
        <f t="shared" si="78"/>
        <v>1</v>
      </c>
      <c r="T256" s="17">
        <v>3</v>
      </c>
      <c r="U256" s="64">
        <f t="shared" si="79"/>
        <v>1</v>
      </c>
      <c r="V256" s="17">
        <v>4</v>
      </c>
      <c r="W256" s="71">
        <f t="shared" si="80"/>
        <v>1</v>
      </c>
      <c r="X256" s="17">
        <v>3</v>
      </c>
      <c r="Y256" s="71">
        <f t="shared" si="81"/>
        <v>1</v>
      </c>
      <c r="Z256" s="17">
        <v>3</v>
      </c>
      <c r="AA256" s="71">
        <f t="shared" si="82"/>
        <v>1</v>
      </c>
      <c r="AB256" s="17">
        <v>0</v>
      </c>
      <c r="AC256" s="71">
        <f t="shared" si="83"/>
        <v>0</v>
      </c>
      <c r="AD256" s="84">
        <v>0</v>
      </c>
      <c r="AE256" s="84">
        <v>1</v>
      </c>
      <c r="AF256" s="84">
        <v>1</v>
      </c>
      <c r="AG256" s="84">
        <v>0</v>
      </c>
      <c r="AH256" s="84">
        <v>0</v>
      </c>
      <c r="AI256" s="84">
        <v>0</v>
      </c>
      <c r="AJ256" s="45">
        <v>2</v>
      </c>
      <c r="AK256" s="71">
        <f t="shared" si="84"/>
        <v>1</v>
      </c>
      <c r="AL256" s="17">
        <v>1</v>
      </c>
      <c r="AM256" s="71">
        <f t="shared" si="85"/>
        <v>0.33333333333333331</v>
      </c>
      <c r="AN256" s="17">
        <v>2</v>
      </c>
      <c r="AO256" s="71">
        <f t="shared" si="86"/>
        <v>0.66666666666666663</v>
      </c>
      <c r="AP256" s="17">
        <v>3</v>
      </c>
      <c r="AQ256" s="71">
        <f t="shared" si="87"/>
        <v>1</v>
      </c>
      <c r="AR256" s="84">
        <v>1</v>
      </c>
      <c r="AS256" s="17">
        <v>3</v>
      </c>
      <c r="AT256" s="71">
        <f t="shared" si="88"/>
        <v>1</v>
      </c>
      <c r="AU256" s="17">
        <v>3</v>
      </c>
      <c r="AV256" s="71">
        <f t="shared" si="89"/>
        <v>1</v>
      </c>
      <c r="AW256" s="17">
        <v>1</v>
      </c>
      <c r="AX256" s="71">
        <f t="shared" si="90"/>
        <v>0.5</v>
      </c>
      <c r="AY256" s="17">
        <v>3</v>
      </c>
      <c r="AZ256" s="71">
        <f t="shared" si="91"/>
        <v>1</v>
      </c>
      <c r="BA256" s="93">
        <v>1</v>
      </c>
      <c r="BB256" s="98">
        <v>1</v>
      </c>
      <c r="BC256" s="98">
        <v>0</v>
      </c>
      <c r="BD256" s="98">
        <v>0</v>
      </c>
      <c r="BE256" s="102">
        <f t="shared" si="92"/>
        <v>1.4715826703096078</v>
      </c>
      <c r="BF256" s="81">
        <f t="shared" si="93"/>
        <v>0.67094411146773647</v>
      </c>
      <c r="BG256" s="81" t="str">
        <f t="shared" si="94"/>
        <v>ALTO</v>
      </c>
      <c r="BK256" s="81" t="str">
        <f t="shared" si="95"/>
        <v>ALTO</v>
      </c>
    </row>
    <row r="257" spans="1:63" x14ac:dyDescent="0.15">
      <c r="A257" s="84">
        <v>4</v>
      </c>
      <c r="B257" s="85">
        <v>2</v>
      </c>
      <c r="C257" s="84">
        <v>3</v>
      </c>
      <c r="D257" s="84">
        <v>0</v>
      </c>
      <c r="E257" s="88">
        <v>1</v>
      </c>
      <c r="F257" s="17">
        <v>2</v>
      </c>
      <c r="G257" s="64">
        <f t="shared" si="72"/>
        <v>1</v>
      </c>
      <c r="H257" s="17">
        <v>2</v>
      </c>
      <c r="I257" s="64">
        <f t="shared" si="73"/>
        <v>1</v>
      </c>
      <c r="J257" s="17">
        <v>2</v>
      </c>
      <c r="K257" s="64">
        <f t="shared" si="74"/>
        <v>1</v>
      </c>
      <c r="L257" s="17">
        <v>3</v>
      </c>
      <c r="M257" s="64">
        <f t="shared" si="75"/>
        <v>1</v>
      </c>
      <c r="N257" s="17">
        <v>3</v>
      </c>
      <c r="O257" s="64">
        <f t="shared" si="76"/>
        <v>0.6</v>
      </c>
      <c r="P257" s="17">
        <v>3</v>
      </c>
      <c r="Q257" s="64">
        <f t="shared" si="77"/>
        <v>1</v>
      </c>
      <c r="R257" s="25">
        <v>3</v>
      </c>
      <c r="S257" s="71">
        <f t="shared" si="78"/>
        <v>1</v>
      </c>
      <c r="T257" s="17">
        <v>3</v>
      </c>
      <c r="U257" s="64">
        <f t="shared" si="79"/>
        <v>1</v>
      </c>
      <c r="V257" s="17">
        <v>4</v>
      </c>
      <c r="W257" s="71">
        <f t="shared" si="80"/>
        <v>1</v>
      </c>
      <c r="X257" s="17">
        <v>3</v>
      </c>
      <c r="Y257" s="71">
        <f t="shared" si="81"/>
        <v>1</v>
      </c>
      <c r="Z257" s="17">
        <v>3</v>
      </c>
      <c r="AA257" s="71">
        <f t="shared" si="82"/>
        <v>1</v>
      </c>
      <c r="AB257" s="17">
        <v>1</v>
      </c>
      <c r="AC257" s="71">
        <f t="shared" si="83"/>
        <v>0.5</v>
      </c>
      <c r="AD257" s="84">
        <v>1</v>
      </c>
      <c r="AE257" s="84">
        <v>0</v>
      </c>
      <c r="AF257" s="84">
        <v>1</v>
      </c>
      <c r="AG257" s="84">
        <v>0</v>
      </c>
      <c r="AH257" s="84">
        <v>0</v>
      </c>
      <c r="AI257" s="84">
        <v>0</v>
      </c>
      <c r="AJ257" s="45">
        <v>2</v>
      </c>
      <c r="AK257" s="71">
        <f t="shared" si="84"/>
        <v>1</v>
      </c>
      <c r="AL257" s="17">
        <v>1</v>
      </c>
      <c r="AM257" s="71">
        <f t="shared" si="85"/>
        <v>0.33333333333333331</v>
      </c>
      <c r="AN257" s="17">
        <v>1</v>
      </c>
      <c r="AO257" s="71">
        <f t="shared" si="86"/>
        <v>0.33333333333333331</v>
      </c>
      <c r="AP257" s="17">
        <v>3</v>
      </c>
      <c r="AQ257" s="71">
        <f t="shared" si="87"/>
        <v>1</v>
      </c>
      <c r="AR257" s="84">
        <v>2</v>
      </c>
      <c r="AS257" s="17">
        <v>0</v>
      </c>
      <c r="AT257" s="71">
        <f t="shared" si="88"/>
        <v>0</v>
      </c>
      <c r="AU257" s="17">
        <v>3</v>
      </c>
      <c r="AV257" s="71">
        <f t="shared" si="89"/>
        <v>1</v>
      </c>
      <c r="AW257" s="17">
        <v>1</v>
      </c>
      <c r="AX257" s="71">
        <f t="shared" si="90"/>
        <v>0.5</v>
      </c>
      <c r="AY257" s="17">
        <v>3</v>
      </c>
      <c r="AZ257" s="71">
        <f t="shared" si="91"/>
        <v>1</v>
      </c>
      <c r="BA257" s="93">
        <v>1</v>
      </c>
      <c r="BB257" s="98">
        <v>1</v>
      </c>
      <c r="BC257" s="98">
        <v>0</v>
      </c>
      <c r="BD257" s="98">
        <v>0</v>
      </c>
      <c r="BE257" s="102">
        <f t="shared" si="92"/>
        <v>1.596524001977073</v>
      </c>
      <c r="BF257" s="81">
        <f t="shared" si="93"/>
        <v>0.64300638038695923</v>
      </c>
      <c r="BG257" s="81" t="str">
        <f t="shared" si="94"/>
        <v>MEDIO</v>
      </c>
      <c r="BK257" s="81" t="str">
        <f t="shared" si="95"/>
        <v>MEDIO</v>
      </c>
    </row>
    <row r="258" spans="1:63" x14ac:dyDescent="0.15">
      <c r="A258" s="84">
        <v>3</v>
      </c>
      <c r="B258" s="88">
        <v>1</v>
      </c>
      <c r="C258" s="84">
        <v>1</v>
      </c>
      <c r="D258" s="84">
        <v>0</v>
      </c>
      <c r="E258" s="88">
        <v>1</v>
      </c>
      <c r="F258" s="21">
        <v>1</v>
      </c>
      <c r="G258" s="64">
        <f t="shared" ref="G258:G295" si="96">F258/2</f>
        <v>0.5</v>
      </c>
      <c r="H258" s="17">
        <v>2</v>
      </c>
      <c r="I258" s="64">
        <f t="shared" si="73"/>
        <v>1</v>
      </c>
      <c r="J258" s="17">
        <v>2</v>
      </c>
      <c r="K258" s="64">
        <f t="shared" si="74"/>
        <v>1</v>
      </c>
      <c r="L258" s="17">
        <v>3</v>
      </c>
      <c r="M258" s="64">
        <f t="shared" si="75"/>
        <v>1</v>
      </c>
      <c r="N258" s="17">
        <v>2</v>
      </c>
      <c r="O258" s="64">
        <f t="shared" si="76"/>
        <v>0.4</v>
      </c>
      <c r="P258" s="17">
        <v>2</v>
      </c>
      <c r="Q258" s="64">
        <f t="shared" si="77"/>
        <v>0.66666666666666663</v>
      </c>
      <c r="R258" s="25">
        <v>3</v>
      </c>
      <c r="S258" s="71">
        <f t="shared" si="78"/>
        <v>1</v>
      </c>
      <c r="T258" s="17">
        <v>3</v>
      </c>
      <c r="U258" s="64">
        <f t="shared" si="79"/>
        <v>1</v>
      </c>
      <c r="V258" s="17">
        <v>3</v>
      </c>
      <c r="W258" s="71">
        <f t="shared" si="80"/>
        <v>0.75</v>
      </c>
      <c r="X258" s="17">
        <v>3</v>
      </c>
      <c r="Y258" s="71">
        <f t="shared" si="81"/>
        <v>1</v>
      </c>
      <c r="Z258" s="17">
        <v>3</v>
      </c>
      <c r="AA258" s="71">
        <f t="shared" si="82"/>
        <v>1</v>
      </c>
      <c r="AB258" s="17">
        <v>0</v>
      </c>
      <c r="AC258" s="71">
        <f t="shared" si="83"/>
        <v>0</v>
      </c>
      <c r="AD258" s="84">
        <v>0</v>
      </c>
      <c r="AE258" s="84">
        <v>1</v>
      </c>
      <c r="AF258" s="84">
        <v>1</v>
      </c>
      <c r="AG258" s="84">
        <v>0</v>
      </c>
      <c r="AH258" s="84">
        <v>0</v>
      </c>
      <c r="AI258" s="84">
        <v>0</v>
      </c>
      <c r="AJ258" s="45">
        <v>2</v>
      </c>
      <c r="AK258" s="71">
        <f t="shared" si="84"/>
        <v>1</v>
      </c>
      <c r="AL258" s="17">
        <v>2</v>
      </c>
      <c r="AM258" s="71">
        <f t="shared" si="85"/>
        <v>0.66666666666666663</v>
      </c>
      <c r="AN258" s="17">
        <v>2</v>
      </c>
      <c r="AO258" s="71">
        <f t="shared" si="86"/>
        <v>0.66666666666666663</v>
      </c>
      <c r="AP258" s="17">
        <v>3</v>
      </c>
      <c r="AQ258" s="71">
        <f t="shared" si="87"/>
        <v>1</v>
      </c>
      <c r="AR258" s="84">
        <v>2</v>
      </c>
      <c r="AS258" s="17">
        <v>3</v>
      </c>
      <c r="AT258" s="71">
        <f t="shared" si="88"/>
        <v>1</v>
      </c>
      <c r="AU258" s="17">
        <v>3</v>
      </c>
      <c r="AV258" s="71">
        <f t="shared" si="89"/>
        <v>1</v>
      </c>
      <c r="AW258" s="17">
        <v>1</v>
      </c>
      <c r="AX258" s="71">
        <f t="shared" si="90"/>
        <v>0.5</v>
      </c>
      <c r="AY258" s="17">
        <v>3</v>
      </c>
      <c r="AZ258" s="71">
        <f t="shared" si="91"/>
        <v>1</v>
      </c>
      <c r="BA258" s="93">
        <v>1</v>
      </c>
      <c r="BB258" s="98">
        <v>1</v>
      </c>
      <c r="BC258" s="98">
        <v>0</v>
      </c>
      <c r="BD258" s="98">
        <v>0</v>
      </c>
      <c r="BE258" s="102">
        <f t="shared" si="92"/>
        <v>1.501943185787443</v>
      </c>
      <c r="BF258" s="81">
        <f t="shared" si="93"/>
        <v>0.66415529382369964</v>
      </c>
      <c r="BG258" s="81" t="str">
        <f t="shared" si="94"/>
        <v>ALTO</v>
      </c>
      <c r="BK258" s="81" t="str">
        <f t="shared" si="95"/>
        <v>ALTO</v>
      </c>
    </row>
    <row r="259" spans="1:63" x14ac:dyDescent="0.15">
      <c r="A259" s="84">
        <v>4</v>
      </c>
      <c r="B259" s="88">
        <v>1</v>
      </c>
      <c r="C259" s="84">
        <v>3</v>
      </c>
      <c r="D259" s="84">
        <v>0</v>
      </c>
      <c r="E259" s="88">
        <v>1</v>
      </c>
      <c r="F259" s="17">
        <v>2</v>
      </c>
      <c r="G259" s="64">
        <f t="shared" si="96"/>
        <v>1</v>
      </c>
      <c r="H259" s="17">
        <v>2</v>
      </c>
      <c r="I259" s="64">
        <f t="shared" ref="I259:I322" si="97">H259/2</f>
        <v>1</v>
      </c>
      <c r="J259" s="17">
        <v>2</v>
      </c>
      <c r="K259" s="64">
        <f t="shared" ref="K259:K322" si="98">J259/2</f>
        <v>1</v>
      </c>
      <c r="L259" s="17">
        <v>3</v>
      </c>
      <c r="M259" s="64">
        <f t="shared" ref="M259:M322" si="99">L259/3</f>
        <v>1</v>
      </c>
      <c r="N259" s="17">
        <v>1</v>
      </c>
      <c r="O259" s="64">
        <f t="shared" ref="O259:O322" si="100">N259/5</f>
        <v>0.2</v>
      </c>
      <c r="P259" s="17">
        <v>2</v>
      </c>
      <c r="Q259" s="64">
        <f t="shared" ref="Q259:Q322" si="101">P259/3</f>
        <v>0.66666666666666663</v>
      </c>
      <c r="R259" s="25">
        <v>3</v>
      </c>
      <c r="S259" s="71">
        <f t="shared" ref="S259:S322" si="102">R259/3</f>
        <v>1</v>
      </c>
      <c r="T259" s="17">
        <v>3</v>
      </c>
      <c r="U259" s="64">
        <f t="shared" ref="U259:U322" si="103">T259/3</f>
        <v>1</v>
      </c>
      <c r="V259" s="17">
        <v>4</v>
      </c>
      <c r="W259" s="71">
        <f t="shared" ref="W259:W322" si="104">V259/4</f>
        <v>1</v>
      </c>
      <c r="X259" s="17">
        <v>3</v>
      </c>
      <c r="Y259" s="71">
        <f t="shared" ref="Y259:Y322" si="105">X259/3</f>
        <v>1</v>
      </c>
      <c r="Z259" s="17">
        <v>3</v>
      </c>
      <c r="AA259" s="71">
        <f t="shared" ref="AA259:AA322" si="106">Z259/3</f>
        <v>1</v>
      </c>
      <c r="AB259" s="17">
        <v>2</v>
      </c>
      <c r="AC259" s="71">
        <f t="shared" ref="AC259:AC322" si="107">AB259/2</f>
        <v>1</v>
      </c>
      <c r="AD259" s="84">
        <v>1</v>
      </c>
      <c r="AE259" s="84">
        <v>0</v>
      </c>
      <c r="AF259" s="84">
        <v>1</v>
      </c>
      <c r="AG259" s="84">
        <v>0</v>
      </c>
      <c r="AH259" s="84">
        <v>0</v>
      </c>
      <c r="AI259" s="84">
        <v>0</v>
      </c>
      <c r="AJ259" s="45">
        <v>2</v>
      </c>
      <c r="AK259" s="71">
        <f t="shared" ref="AK259:AK322" si="108">AJ259/2</f>
        <v>1</v>
      </c>
      <c r="AL259" s="17">
        <v>2</v>
      </c>
      <c r="AM259" s="71">
        <f t="shared" ref="AM259:AM322" si="109">AL259/3</f>
        <v>0.66666666666666663</v>
      </c>
      <c r="AN259" s="17">
        <v>2</v>
      </c>
      <c r="AO259" s="71">
        <f t="shared" ref="AO259:AO322" si="110">AN259/3</f>
        <v>0.66666666666666663</v>
      </c>
      <c r="AP259" s="17">
        <v>3</v>
      </c>
      <c r="AQ259" s="71">
        <f t="shared" ref="AQ259:AQ322" si="111">AP259/3</f>
        <v>1</v>
      </c>
      <c r="AR259" s="84">
        <v>2</v>
      </c>
      <c r="AS259" s="17">
        <v>2</v>
      </c>
      <c r="AT259" s="71">
        <f t="shared" ref="AT259:AT322" si="112">AS259/3</f>
        <v>0.66666666666666663</v>
      </c>
      <c r="AU259" s="17">
        <v>3</v>
      </c>
      <c r="AV259" s="71">
        <f t="shared" ref="AV259:AV322" si="113">AU259/3</f>
        <v>1</v>
      </c>
      <c r="AW259" s="17">
        <v>1</v>
      </c>
      <c r="AX259" s="71">
        <f t="shared" ref="AX259:AX322" si="114">AW259/2</f>
        <v>0.5</v>
      </c>
      <c r="AY259" s="17">
        <v>3</v>
      </c>
      <c r="AZ259" s="71">
        <f t="shared" ref="AZ259:AZ322" si="115">AY259/3</f>
        <v>1</v>
      </c>
      <c r="BA259" s="93">
        <v>1</v>
      </c>
      <c r="BB259" s="98">
        <v>1</v>
      </c>
      <c r="BC259" s="98">
        <v>0</v>
      </c>
      <c r="BD259" s="98">
        <v>0</v>
      </c>
      <c r="BE259" s="102">
        <f t="shared" ref="BE259:BE322" si="116">SQRT((1-G259)^2 + (1-I259)^2 + (1-K259)^2 + (1-M259)^2 + (1-O259)^2 + (1-Q259)^2 + (1-S259)^2 + (1-U259)^2 + (1-W259)^2 + (1-Y259)^2 + (1-AA259)^2 + (1-AC259)^2 + (1-AK259)^2 + (1-AM259)^2 + (1-AO259)^2 + (1-AQ259)^2 + (1-AT259)^2 + (1-AV259)^2 + (1-AX259)^2 + (1-AZ259)^2)</f>
        <v>1.1551815634108973</v>
      </c>
      <c r="BF259" s="81">
        <f t="shared" ref="BF259:BF322" si="117">1 - (BE259 / 4.472135955)</f>
        <v>0.74169354978589919</v>
      </c>
      <c r="BG259" s="81" t="str">
        <f t="shared" ref="BG259:BG322" si="118">IF(BF259&lt;=0.33, "BASSO", IF(BF259&lt;=0.66, "MEDIO", "ALTO"))</f>
        <v>ALTO</v>
      </c>
      <c r="BK259" s="81" t="str">
        <f t="shared" ref="BK259:BK322" si="119">IF(BF259&lt;0.3,"MOLTO BASSO",IF(BF259&lt;0.45,"BASSO",IF(BF259&lt;0.65,"MEDIO",IF(BF259&lt;0.8,"ALTO","MOLTO ALTO"))))</f>
        <v>ALTO</v>
      </c>
    </row>
    <row r="260" spans="1:63" x14ac:dyDescent="0.15">
      <c r="A260" s="84">
        <v>3</v>
      </c>
      <c r="B260" s="85">
        <v>2</v>
      </c>
      <c r="C260" s="84">
        <v>3</v>
      </c>
      <c r="D260" s="84">
        <v>0</v>
      </c>
      <c r="E260" s="88">
        <v>1</v>
      </c>
      <c r="F260" s="17">
        <v>2</v>
      </c>
      <c r="G260" s="64">
        <f t="shared" si="96"/>
        <v>1</v>
      </c>
      <c r="H260" s="17">
        <v>1</v>
      </c>
      <c r="I260" s="64">
        <f t="shared" si="97"/>
        <v>0.5</v>
      </c>
      <c r="J260" s="17">
        <v>1</v>
      </c>
      <c r="K260" s="64">
        <f t="shared" si="98"/>
        <v>0.5</v>
      </c>
      <c r="L260" s="17">
        <v>0</v>
      </c>
      <c r="M260" s="64">
        <f t="shared" si="99"/>
        <v>0</v>
      </c>
      <c r="N260" s="17">
        <v>4</v>
      </c>
      <c r="O260" s="64">
        <f t="shared" si="100"/>
        <v>0.8</v>
      </c>
      <c r="P260" s="17">
        <v>3</v>
      </c>
      <c r="Q260" s="64">
        <f t="shared" si="101"/>
        <v>1</v>
      </c>
      <c r="R260" s="25">
        <v>2</v>
      </c>
      <c r="S260" s="71">
        <f t="shared" si="102"/>
        <v>0.66666666666666663</v>
      </c>
      <c r="T260" s="17">
        <v>2</v>
      </c>
      <c r="U260" s="64">
        <f t="shared" si="103"/>
        <v>0.66666666666666663</v>
      </c>
      <c r="V260" s="17">
        <v>3</v>
      </c>
      <c r="W260" s="71">
        <f t="shared" si="104"/>
        <v>0.75</v>
      </c>
      <c r="X260" s="17">
        <v>2</v>
      </c>
      <c r="Y260" s="71">
        <f t="shared" si="105"/>
        <v>0.66666666666666663</v>
      </c>
      <c r="Z260" s="17">
        <v>3</v>
      </c>
      <c r="AA260" s="71">
        <f t="shared" si="106"/>
        <v>1</v>
      </c>
      <c r="AB260" s="17">
        <v>2</v>
      </c>
      <c r="AC260" s="71">
        <f t="shared" si="107"/>
        <v>1</v>
      </c>
      <c r="AD260" s="84">
        <v>1</v>
      </c>
      <c r="AE260" s="84">
        <v>0</v>
      </c>
      <c r="AF260" s="84">
        <v>1</v>
      </c>
      <c r="AG260" s="84">
        <v>0</v>
      </c>
      <c r="AH260" s="84">
        <v>0</v>
      </c>
      <c r="AI260" s="84">
        <v>0</v>
      </c>
      <c r="AJ260" s="45">
        <v>0</v>
      </c>
      <c r="AK260" s="71">
        <f t="shared" si="108"/>
        <v>0</v>
      </c>
      <c r="AL260" s="17">
        <v>3</v>
      </c>
      <c r="AM260" s="71">
        <f t="shared" si="109"/>
        <v>1</v>
      </c>
      <c r="AN260" s="17">
        <v>1</v>
      </c>
      <c r="AO260" s="71">
        <f t="shared" si="110"/>
        <v>0.33333333333333331</v>
      </c>
      <c r="AP260" s="17">
        <v>1</v>
      </c>
      <c r="AQ260" s="71">
        <f t="shared" si="111"/>
        <v>0.33333333333333331</v>
      </c>
      <c r="AR260" s="84">
        <v>0</v>
      </c>
      <c r="AS260" s="17">
        <v>3</v>
      </c>
      <c r="AT260" s="71">
        <f t="shared" si="112"/>
        <v>1</v>
      </c>
      <c r="AU260" s="17">
        <v>2</v>
      </c>
      <c r="AV260" s="71">
        <f t="shared" si="113"/>
        <v>0.66666666666666663</v>
      </c>
      <c r="AW260" s="17">
        <v>0</v>
      </c>
      <c r="AX260" s="71">
        <f t="shared" si="114"/>
        <v>0</v>
      </c>
      <c r="AY260" s="17">
        <v>2</v>
      </c>
      <c r="AZ260" s="71">
        <f t="shared" si="115"/>
        <v>0.66666666666666663</v>
      </c>
      <c r="BA260" s="93">
        <v>1</v>
      </c>
      <c r="BB260" s="98">
        <v>1</v>
      </c>
      <c r="BC260" s="98">
        <v>0</v>
      </c>
      <c r="BD260" s="98">
        <v>0</v>
      </c>
      <c r="BE260" s="102">
        <f t="shared" si="116"/>
        <v>2.2465405503672629</v>
      </c>
      <c r="BF260" s="81">
        <f t="shared" si="117"/>
        <v>0.49765826151694825</v>
      </c>
      <c r="BG260" s="81" t="str">
        <f t="shared" si="118"/>
        <v>MEDIO</v>
      </c>
      <c r="BK260" s="81" t="str">
        <f t="shared" si="119"/>
        <v>MEDIO</v>
      </c>
    </row>
    <row r="261" spans="1:63" x14ac:dyDescent="0.15">
      <c r="A261" s="84">
        <v>2</v>
      </c>
      <c r="B261" s="88">
        <v>1</v>
      </c>
      <c r="C261" s="84">
        <v>3</v>
      </c>
      <c r="D261" s="84">
        <v>0</v>
      </c>
      <c r="E261" s="88">
        <v>1</v>
      </c>
      <c r="F261" s="17">
        <v>2</v>
      </c>
      <c r="G261" s="64">
        <f t="shared" si="96"/>
        <v>1</v>
      </c>
      <c r="H261" s="17">
        <v>2</v>
      </c>
      <c r="I261" s="64">
        <f t="shared" si="97"/>
        <v>1</v>
      </c>
      <c r="J261" s="17">
        <v>1</v>
      </c>
      <c r="K261" s="64">
        <f t="shared" si="98"/>
        <v>0.5</v>
      </c>
      <c r="L261" s="17">
        <v>2</v>
      </c>
      <c r="M261" s="64">
        <f t="shared" si="99"/>
        <v>0.66666666666666663</v>
      </c>
      <c r="N261" s="17">
        <v>4</v>
      </c>
      <c r="O261" s="64">
        <f t="shared" si="100"/>
        <v>0.8</v>
      </c>
      <c r="P261" s="17">
        <v>3</v>
      </c>
      <c r="Q261" s="64">
        <f t="shared" si="101"/>
        <v>1</v>
      </c>
      <c r="R261" s="25">
        <v>3</v>
      </c>
      <c r="S261" s="71">
        <f t="shared" si="102"/>
        <v>1</v>
      </c>
      <c r="T261" s="17">
        <v>2</v>
      </c>
      <c r="U261" s="64">
        <f t="shared" si="103"/>
        <v>0.66666666666666663</v>
      </c>
      <c r="V261" s="17">
        <v>3</v>
      </c>
      <c r="W261" s="71">
        <f t="shared" si="104"/>
        <v>0.75</v>
      </c>
      <c r="X261" s="17">
        <v>3</v>
      </c>
      <c r="Y261" s="71">
        <f t="shared" si="105"/>
        <v>1</v>
      </c>
      <c r="Z261" s="17">
        <v>1</v>
      </c>
      <c r="AA261" s="71">
        <f t="shared" si="106"/>
        <v>0.33333333333333331</v>
      </c>
      <c r="AB261" s="17">
        <v>2</v>
      </c>
      <c r="AC261" s="71">
        <f t="shared" si="107"/>
        <v>1</v>
      </c>
      <c r="AD261" s="84">
        <v>1</v>
      </c>
      <c r="AE261" s="84">
        <v>0</v>
      </c>
      <c r="AF261" s="84">
        <v>1</v>
      </c>
      <c r="AG261" s="84">
        <v>0</v>
      </c>
      <c r="AH261" s="84">
        <v>0</v>
      </c>
      <c r="AI261" s="84">
        <v>0</v>
      </c>
      <c r="AJ261" s="45">
        <v>2</v>
      </c>
      <c r="AK261" s="71">
        <f t="shared" si="108"/>
        <v>1</v>
      </c>
      <c r="AL261" s="17">
        <v>1</v>
      </c>
      <c r="AM261" s="71">
        <f t="shared" si="109"/>
        <v>0.33333333333333331</v>
      </c>
      <c r="AN261" s="17">
        <v>1</v>
      </c>
      <c r="AO261" s="71">
        <f t="shared" si="110"/>
        <v>0.33333333333333331</v>
      </c>
      <c r="AP261" s="17">
        <v>1</v>
      </c>
      <c r="AQ261" s="71">
        <f t="shared" si="111"/>
        <v>0.33333333333333331</v>
      </c>
      <c r="AR261" s="84">
        <v>2</v>
      </c>
      <c r="AS261" s="17">
        <v>3</v>
      </c>
      <c r="AT261" s="71">
        <f t="shared" si="112"/>
        <v>1</v>
      </c>
      <c r="AU261" s="17">
        <v>3</v>
      </c>
      <c r="AV261" s="71">
        <f t="shared" si="113"/>
        <v>1</v>
      </c>
      <c r="AW261" s="17">
        <v>1</v>
      </c>
      <c r="AX261" s="71">
        <f t="shared" si="114"/>
        <v>0.5</v>
      </c>
      <c r="AY261" s="17">
        <v>2</v>
      </c>
      <c r="AZ261" s="71">
        <f t="shared" si="115"/>
        <v>0.66666666666666663</v>
      </c>
      <c r="BA261" s="93">
        <v>1</v>
      </c>
      <c r="BB261" s="98">
        <v>1</v>
      </c>
      <c r="BC261" s="98">
        <v>0</v>
      </c>
      <c r="BD261" s="98">
        <v>0</v>
      </c>
      <c r="BE261" s="102">
        <f t="shared" si="116"/>
        <v>1.6473041950748233</v>
      </c>
      <c r="BF261" s="81">
        <f t="shared" si="117"/>
        <v>0.6316515840192467</v>
      </c>
      <c r="BG261" s="81" t="str">
        <f t="shared" si="118"/>
        <v>MEDIO</v>
      </c>
      <c r="BK261" s="81" t="str">
        <f t="shared" si="119"/>
        <v>MEDIO</v>
      </c>
    </row>
    <row r="262" spans="1:63" x14ac:dyDescent="0.15">
      <c r="A262" s="84">
        <v>4</v>
      </c>
      <c r="B262" s="85">
        <v>2</v>
      </c>
      <c r="C262" s="84">
        <v>1</v>
      </c>
      <c r="D262" s="84">
        <v>1</v>
      </c>
      <c r="E262" s="88">
        <v>1</v>
      </c>
      <c r="F262" s="17">
        <v>2</v>
      </c>
      <c r="G262" s="64">
        <f t="shared" si="96"/>
        <v>1</v>
      </c>
      <c r="H262" s="17">
        <v>1</v>
      </c>
      <c r="I262" s="64">
        <f t="shared" si="97"/>
        <v>0.5</v>
      </c>
      <c r="J262" s="17">
        <v>1</v>
      </c>
      <c r="K262" s="64">
        <f t="shared" si="98"/>
        <v>0.5</v>
      </c>
      <c r="L262" s="17">
        <v>2</v>
      </c>
      <c r="M262" s="64">
        <f t="shared" si="99"/>
        <v>0.66666666666666663</v>
      </c>
      <c r="N262" s="17">
        <v>2</v>
      </c>
      <c r="O262" s="64">
        <f t="shared" si="100"/>
        <v>0.4</v>
      </c>
      <c r="P262" s="17">
        <v>3</v>
      </c>
      <c r="Q262" s="64">
        <f t="shared" si="101"/>
        <v>1</v>
      </c>
      <c r="R262" s="25">
        <v>3</v>
      </c>
      <c r="S262" s="71">
        <f t="shared" si="102"/>
        <v>1</v>
      </c>
      <c r="T262" s="17">
        <v>3</v>
      </c>
      <c r="U262" s="64">
        <f t="shared" si="103"/>
        <v>1</v>
      </c>
      <c r="V262" s="17">
        <v>3</v>
      </c>
      <c r="W262" s="71">
        <f t="shared" si="104"/>
        <v>0.75</v>
      </c>
      <c r="X262" s="17">
        <v>3</v>
      </c>
      <c r="Y262" s="71">
        <f t="shared" si="105"/>
        <v>1</v>
      </c>
      <c r="Z262" s="17">
        <v>2</v>
      </c>
      <c r="AA262" s="71">
        <f t="shared" si="106"/>
        <v>0.66666666666666663</v>
      </c>
      <c r="AB262" s="17">
        <v>2</v>
      </c>
      <c r="AC262" s="71">
        <f t="shared" si="107"/>
        <v>1</v>
      </c>
      <c r="AD262" s="84">
        <v>1</v>
      </c>
      <c r="AE262" s="84">
        <v>0</v>
      </c>
      <c r="AF262" s="84">
        <v>1</v>
      </c>
      <c r="AG262" s="84">
        <v>0</v>
      </c>
      <c r="AH262" s="84">
        <v>0</v>
      </c>
      <c r="AI262" s="84">
        <v>0</v>
      </c>
      <c r="AJ262" s="45">
        <v>1</v>
      </c>
      <c r="AK262" s="71">
        <f t="shared" si="108"/>
        <v>0.5</v>
      </c>
      <c r="AL262" s="17">
        <v>1</v>
      </c>
      <c r="AM262" s="71">
        <f t="shared" si="109"/>
        <v>0.33333333333333331</v>
      </c>
      <c r="AN262" s="17">
        <v>0</v>
      </c>
      <c r="AO262" s="71">
        <f t="shared" si="110"/>
        <v>0</v>
      </c>
      <c r="AP262" s="17">
        <v>2</v>
      </c>
      <c r="AQ262" s="71">
        <f t="shared" si="111"/>
        <v>0.66666666666666663</v>
      </c>
      <c r="AR262" s="84">
        <v>2</v>
      </c>
      <c r="AS262" s="17">
        <v>2</v>
      </c>
      <c r="AT262" s="71">
        <f t="shared" si="112"/>
        <v>0.66666666666666663</v>
      </c>
      <c r="AU262" s="17">
        <v>3</v>
      </c>
      <c r="AV262" s="71">
        <f t="shared" si="113"/>
        <v>1</v>
      </c>
      <c r="AW262" s="17">
        <v>0</v>
      </c>
      <c r="AX262" s="71">
        <f t="shared" si="114"/>
        <v>0</v>
      </c>
      <c r="AY262" s="17">
        <v>2</v>
      </c>
      <c r="AZ262" s="71">
        <f t="shared" si="115"/>
        <v>0.66666666666666663</v>
      </c>
      <c r="BA262" s="93">
        <v>0</v>
      </c>
      <c r="BB262" s="98">
        <v>1</v>
      </c>
      <c r="BC262" s="98">
        <v>1</v>
      </c>
      <c r="BD262" s="98"/>
      <c r="BE262" s="102">
        <f t="shared" si="116"/>
        <v>2.0426698215815495</v>
      </c>
      <c r="BF262" s="81">
        <f t="shared" si="117"/>
        <v>0.54324514233567178</v>
      </c>
      <c r="BG262" s="81" t="str">
        <f t="shared" si="118"/>
        <v>MEDIO</v>
      </c>
      <c r="BK262" s="81" t="str">
        <f t="shared" si="119"/>
        <v>MEDIO</v>
      </c>
    </row>
    <row r="263" spans="1:63" x14ac:dyDescent="0.15">
      <c r="A263" s="84">
        <v>4</v>
      </c>
      <c r="B263" s="85">
        <v>2</v>
      </c>
      <c r="C263" s="84">
        <v>1</v>
      </c>
      <c r="D263" s="84">
        <v>0</v>
      </c>
      <c r="E263" s="88">
        <v>1</v>
      </c>
      <c r="F263" s="17">
        <v>1</v>
      </c>
      <c r="G263" s="64">
        <f t="shared" si="96"/>
        <v>0.5</v>
      </c>
      <c r="H263" s="17">
        <v>2</v>
      </c>
      <c r="I263" s="64">
        <f t="shared" si="97"/>
        <v>1</v>
      </c>
      <c r="J263" s="17">
        <v>1</v>
      </c>
      <c r="K263" s="64">
        <f t="shared" si="98"/>
        <v>0.5</v>
      </c>
      <c r="L263" s="17">
        <v>3</v>
      </c>
      <c r="M263" s="64">
        <f t="shared" si="99"/>
        <v>1</v>
      </c>
      <c r="N263" s="17">
        <v>4</v>
      </c>
      <c r="O263" s="64">
        <f t="shared" si="100"/>
        <v>0.8</v>
      </c>
      <c r="P263" s="17">
        <v>3</v>
      </c>
      <c r="Q263" s="64">
        <f t="shared" si="101"/>
        <v>1</v>
      </c>
      <c r="R263" s="25">
        <v>3</v>
      </c>
      <c r="S263" s="71">
        <f t="shared" si="102"/>
        <v>1</v>
      </c>
      <c r="T263" s="17">
        <v>3</v>
      </c>
      <c r="U263" s="64">
        <f t="shared" si="103"/>
        <v>1</v>
      </c>
      <c r="V263" s="17">
        <v>3</v>
      </c>
      <c r="W263" s="71">
        <f t="shared" si="104"/>
        <v>0.75</v>
      </c>
      <c r="X263" s="17">
        <v>3</v>
      </c>
      <c r="Y263" s="71">
        <f t="shared" si="105"/>
        <v>1</v>
      </c>
      <c r="Z263" s="17">
        <v>3</v>
      </c>
      <c r="AA263" s="71">
        <f t="shared" si="106"/>
        <v>1</v>
      </c>
      <c r="AB263" s="17">
        <v>0</v>
      </c>
      <c r="AC263" s="71">
        <f t="shared" si="107"/>
        <v>0</v>
      </c>
      <c r="AD263" s="84">
        <v>1</v>
      </c>
      <c r="AE263" s="84">
        <v>0</v>
      </c>
      <c r="AF263" s="84">
        <v>1</v>
      </c>
      <c r="AG263" s="84">
        <v>0</v>
      </c>
      <c r="AH263" s="84">
        <v>0</v>
      </c>
      <c r="AI263" s="84">
        <v>0</v>
      </c>
      <c r="AJ263" s="45">
        <v>0</v>
      </c>
      <c r="AK263" s="71">
        <f t="shared" si="108"/>
        <v>0</v>
      </c>
      <c r="AL263" s="17">
        <v>2</v>
      </c>
      <c r="AM263" s="71">
        <f t="shared" si="109"/>
        <v>0.66666666666666663</v>
      </c>
      <c r="AN263" s="17">
        <v>1</v>
      </c>
      <c r="AO263" s="71">
        <f t="shared" si="110"/>
        <v>0.33333333333333331</v>
      </c>
      <c r="AP263" s="17">
        <v>2</v>
      </c>
      <c r="AQ263" s="71">
        <f t="shared" si="111"/>
        <v>0.66666666666666663</v>
      </c>
      <c r="AR263" s="84">
        <v>2</v>
      </c>
      <c r="AS263" s="17">
        <v>3</v>
      </c>
      <c r="AT263" s="71">
        <f t="shared" si="112"/>
        <v>1</v>
      </c>
      <c r="AU263" s="17">
        <v>3</v>
      </c>
      <c r="AV263" s="71">
        <f t="shared" si="113"/>
        <v>1</v>
      </c>
      <c r="AW263" s="17">
        <v>0</v>
      </c>
      <c r="AX263" s="71">
        <f t="shared" si="114"/>
        <v>0</v>
      </c>
      <c r="AY263" s="17">
        <v>3</v>
      </c>
      <c r="AZ263" s="71">
        <f t="shared" si="115"/>
        <v>1</v>
      </c>
      <c r="BA263" s="93">
        <v>1</v>
      </c>
      <c r="BB263" s="98">
        <v>1</v>
      </c>
      <c r="BC263" s="98">
        <v>0</v>
      </c>
      <c r="BD263" s="98">
        <v>0</v>
      </c>
      <c r="BE263" s="102">
        <f t="shared" si="116"/>
        <v>2.0661961830055411</v>
      </c>
      <c r="BF263" s="81">
        <f t="shared" si="117"/>
        <v>0.53798448799494492</v>
      </c>
      <c r="BG263" s="81" t="str">
        <f t="shared" si="118"/>
        <v>MEDIO</v>
      </c>
      <c r="BK263" s="81" t="str">
        <f t="shared" si="119"/>
        <v>MEDIO</v>
      </c>
    </row>
    <row r="264" spans="1:63" x14ac:dyDescent="0.15">
      <c r="A264" s="84">
        <v>4</v>
      </c>
      <c r="B264" s="88">
        <v>1</v>
      </c>
      <c r="C264" s="84">
        <v>1</v>
      </c>
      <c r="D264" s="84">
        <v>0</v>
      </c>
      <c r="E264" s="88">
        <v>1</v>
      </c>
      <c r="F264" s="17">
        <v>2</v>
      </c>
      <c r="G264" s="64">
        <f t="shared" si="96"/>
        <v>1</v>
      </c>
      <c r="H264" s="17">
        <v>2</v>
      </c>
      <c r="I264" s="64">
        <f t="shared" si="97"/>
        <v>1</v>
      </c>
      <c r="J264" s="17">
        <v>0</v>
      </c>
      <c r="K264" s="64">
        <f t="shared" si="98"/>
        <v>0</v>
      </c>
      <c r="L264" s="17">
        <v>2</v>
      </c>
      <c r="M264" s="64">
        <f t="shared" si="99"/>
        <v>0.66666666666666663</v>
      </c>
      <c r="N264" s="17">
        <v>2</v>
      </c>
      <c r="O264" s="64">
        <f t="shared" si="100"/>
        <v>0.4</v>
      </c>
      <c r="P264" s="17">
        <v>3</v>
      </c>
      <c r="Q264" s="64">
        <f t="shared" si="101"/>
        <v>1</v>
      </c>
      <c r="R264" s="25">
        <v>3</v>
      </c>
      <c r="S264" s="71">
        <f t="shared" si="102"/>
        <v>1</v>
      </c>
      <c r="T264" s="17">
        <v>2</v>
      </c>
      <c r="U264" s="64">
        <f t="shared" si="103"/>
        <v>0.66666666666666663</v>
      </c>
      <c r="V264" s="17">
        <v>4</v>
      </c>
      <c r="W264" s="71">
        <f t="shared" si="104"/>
        <v>1</v>
      </c>
      <c r="X264" s="17">
        <v>3</v>
      </c>
      <c r="Y264" s="71">
        <f t="shared" si="105"/>
        <v>1</v>
      </c>
      <c r="Z264" s="17">
        <v>3</v>
      </c>
      <c r="AA264" s="71">
        <f t="shared" si="106"/>
        <v>1</v>
      </c>
      <c r="AB264" s="17">
        <v>0</v>
      </c>
      <c r="AC264" s="71">
        <f t="shared" si="107"/>
        <v>0</v>
      </c>
      <c r="AD264" s="84">
        <v>1</v>
      </c>
      <c r="AE264" s="84">
        <v>0</v>
      </c>
      <c r="AF264" s="84">
        <v>1</v>
      </c>
      <c r="AG264" s="84">
        <v>0</v>
      </c>
      <c r="AH264" s="84">
        <v>0</v>
      </c>
      <c r="AI264" s="84">
        <v>0</v>
      </c>
      <c r="AJ264" s="46">
        <v>2</v>
      </c>
      <c r="AK264" s="71">
        <f t="shared" si="108"/>
        <v>1</v>
      </c>
      <c r="AL264" s="17">
        <v>2</v>
      </c>
      <c r="AM264" s="71">
        <f t="shared" si="109"/>
        <v>0.66666666666666663</v>
      </c>
      <c r="AN264" s="17">
        <v>0</v>
      </c>
      <c r="AO264" s="71">
        <f t="shared" si="110"/>
        <v>0</v>
      </c>
      <c r="AP264" s="17">
        <v>3</v>
      </c>
      <c r="AQ264" s="71">
        <f t="shared" si="111"/>
        <v>1</v>
      </c>
      <c r="AR264" s="84">
        <v>2</v>
      </c>
      <c r="AS264" s="17">
        <v>2</v>
      </c>
      <c r="AT264" s="71">
        <f t="shared" si="112"/>
        <v>0.66666666666666663</v>
      </c>
      <c r="AU264" s="17">
        <v>3</v>
      </c>
      <c r="AV264" s="71">
        <f t="shared" si="113"/>
        <v>1</v>
      </c>
      <c r="AW264" s="17">
        <v>0</v>
      </c>
      <c r="AX264" s="71">
        <f t="shared" si="114"/>
        <v>0</v>
      </c>
      <c r="AY264" s="17">
        <v>3</v>
      </c>
      <c r="AZ264" s="71">
        <f t="shared" si="115"/>
        <v>1</v>
      </c>
      <c r="BA264" s="93">
        <v>1</v>
      </c>
      <c r="BB264" s="98">
        <v>1</v>
      </c>
      <c r="BC264" s="98">
        <v>1</v>
      </c>
      <c r="BD264" s="98">
        <v>0</v>
      </c>
      <c r="BE264" s="102">
        <f t="shared" si="116"/>
        <v>2.1919042963698128</v>
      </c>
      <c r="BF264" s="81">
        <f t="shared" si="117"/>
        <v>0.50987529931437137</v>
      </c>
      <c r="BG264" s="81" t="str">
        <f t="shared" si="118"/>
        <v>MEDIO</v>
      </c>
      <c r="BK264" s="81" t="str">
        <f t="shared" si="119"/>
        <v>MEDIO</v>
      </c>
    </row>
    <row r="265" spans="1:63" x14ac:dyDescent="0.15">
      <c r="A265" s="84">
        <v>4</v>
      </c>
      <c r="B265" s="88">
        <v>1</v>
      </c>
      <c r="C265" s="84">
        <v>1</v>
      </c>
      <c r="D265" s="84">
        <v>0</v>
      </c>
      <c r="E265" s="88">
        <v>1</v>
      </c>
      <c r="F265" s="17">
        <v>1</v>
      </c>
      <c r="G265" s="64">
        <f t="shared" si="96"/>
        <v>0.5</v>
      </c>
      <c r="H265" s="17">
        <v>1</v>
      </c>
      <c r="I265" s="64">
        <f t="shared" si="97"/>
        <v>0.5</v>
      </c>
      <c r="J265" s="17">
        <v>1</v>
      </c>
      <c r="K265" s="64">
        <f t="shared" si="98"/>
        <v>0.5</v>
      </c>
      <c r="L265" s="17">
        <v>2</v>
      </c>
      <c r="M265" s="64">
        <f t="shared" si="99"/>
        <v>0.66666666666666663</v>
      </c>
      <c r="N265" s="17">
        <v>2</v>
      </c>
      <c r="O265" s="64">
        <f t="shared" si="100"/>
        <v>0.4</v>
      </c>
      <c r="P265" s="17">
        <v>3</v>
      </c>
      <c r="Q265" s="64">
        <f t="shared" si="101"/>
        <v>1</v>
      </c>
      <c r="R265" s="25">
        <v>0</v>
      </c>
      <c r="S265" s="71">
        <f t="shared" si="102"/>
        <v>0</v>
      </c>
      <c r="T265" s="17">
        <v>3</v>
      </c>
      <c r="U265" s="64">
        <f t="shared" si="103"/>
        <v>1</v>
      </c>
      <c r="V265" s="17">
        <v>4</v>
      </c>
      <c r="W265" s="71">
        <f t="shared" si="104"/>
        <v>1</v>
      </c>
      <c r="X265" s="17">
        <v>2</v>
      </c>
      <c r="Y265" s="71">
        <f t="shared" si="105"/>
        <v>0.66666666666666663</v>
      </c>
      <c r="Z265" s="17">
        <v>3</v>
      </c>
      <c r="AA265" s="71">
        <f t="shared" si="106"/>
        <v>1</v>
      </c>
      <c r="AB265" s="17">
        <v>0</v>
      </c>
      <c r="AC265" s="71">
        <f t="shared" si="107"/>
        <v>0</v>
      </c>
      <c r="AD265" s="84"/>
      <c r="AE265" s="84">
        <v>1</v>
      </c>
      <c r="AF265" s="84">
        <v>1</v>
      </c>
      <c r="AG265" s="84">
        <v>0</v>
      </c>
      <c r="AH265" s="84">
        <v>0</v>
      </c>
      <c r="AI265" s="84">
        <v>0</v>
      </c>
      <c r="AJ265" s="45">
        <v>2</v>
      </c>
      <c r="AK265" s="71">
        <f t="shared" si="108"/>
        <v>1</v>
      </c>
      <c r="AL265" s="17">
        <v>2</v>
      </c>
      <c r="AM265" s="71">
        <f t="shared" si="109"/>
        <v>0.66666666666666663</v>
      </c>
      <c r="AN265" s="17">
        <v>1</v>
      </c>
      <c r="AO265" s="71">
        <f t="shared" si="110"/>
        <v>0.33333333333333331</v>
      </c>
      <c r="AP265" s="17">
        <v>2</v>
      </c>
      <c r="AQ265" s="71">
        <f t="shared" si="111"/>
        <v>0.66666666666666663</v>
      </c>
      <c r="AR265" s="84">
        <v>2</v>
      </c>
      <c r="AS265" s="17">
        <v>2</v>
      </c>
      <c r="AT265" s="71">
        <f t="shared" si="112"/>
        <v>0.66666666666666663</v>
      </c>
      <c r="AU265" s="17">
        <v>3</v>
      </c>
      <c r="AV265" s="71">
        <f t="shared" si="113"/>
        <v>1</v>
      </c>
      <c r="AW265" s="17">
        <v>1</v>
      </c>
      <c r="AX265" s="71">
        <f t="shared" si="114"/>
        <v>0.5</v>
      </c>
      <c r="AY265" s="17">
        <v>3</v>
      </c>
      <c r="AZ265" s="71">
        <f t="shared" si="115"/>
        <v>1</v>
      </c>
      <c r="BA265" s="93">
        <v>0</v>
      </c>
      <c r="BB265" s="98">
        <v>1</v>
      </c>
      <c r="BC265" s="98">
        <v>1</v>
      </c>
      <c r="BD265" s="98">
        <v>0</v>
      </c>
      <c r="BE265" s="102">
        <f t="shared" si="116"/>
        <v>2.0880613017821101</v>
      </c>
      <c r="BF265" s="81">
        <f t="shared" si="117"/>
        <v>0.53309529880289386</v>
      </c>
      <c r="BG265" s="81" t="str">
        <f t="shared" si="118"/>
        <v>MEDIO</v>
      </c>
      <c r="BK265" s="81" t="str">
        <f t="shared" si="119"/>
        <v>MEDIO</v>
      </c>
    </row>
    <row r="266" spans="1:63" x14ac:dyDescent="0.15">
      <c r="A266" s="84">
        <v>5</v>
      </c>
      <c r="B266" s="85">
        <v>2</v>
      </c>
      <c r="C266" s="84">
        <v>3</v>
      </c>
      <c r="D266" s="84">
        <v>0</v>
      </c>
      <c r="E266" s="88">
        <v>1</v>
      </c>
      <c r="F266" s="17">
        <v>0</v>
      </c>
      <c r="G266" s="64">
        <f t="shared" si="96"/>
        <v>0</v>
      </c>
      <c r="H266" s="17">
        <v>0</v>
      </c>
      <c r="I266" s="64">
        <f t="shared" si="97"/>
        <v>0</v>
      </c>
      <c r="J266" s="17">
        <v>1</v>
      </c>
      <c r="K266" s="64">
        <f t="shared" si="98"/>
        <v>0.5</v>
      </c>
      <c r="L266" s="17">
        <v>3</v>
      </c>
      <c r="M266" s="64">
        <f t="shared" si="99"/>
        <v>1</v>
      </c>
      <c r="N266" s="17">
        <v>5</v>
      </c>
      <c r="O266" s="64">
        <f t="shared" si="100"/>
        <v>1</v>
      </c>
      <c r="P266" s="17">
        <v>0</v>
      </c>
      <c r="Q266" s="64">
        <f t="shared" si="101"/>
        <v>0</v>
      </c>
      <c r="R266" s="25">
        <v>3</v>
      </c>
      <c r="S266" s="71">
        <f t="shared" si="102"/>
        <v>1</v>
      </c>
      <c r="T266" s="17">
        <v>2</v>
      </c>
      <c r="U266" s="64">
        <f t="shared" si="103"/>
        <v>0.66666666666666663</v>
      </c>
      <c r="V266" s="17">
        <v>3</v>
      </c>
      <c r="W266" s="71">
        <f t="shared" si="104"/>
        <v>0.75</v>
      </c>
      <c r="X266" s="17">
        <v>3</v>
      </c>
      <c r="Y266" s="71">
        <f t="shared" si="105"/>
        <v>1</v>
      </c>
      <c r="Z266" s="17">
        <v>1</v>
      </c>
      <c r="AA266" s="71">
        <f t="shared" si="106"/>
        <v>0.33333333333333331</v>
      </c>
      <c r="AB266" s="17">
        <v>0</v>
      </c>
      <c r="AC266" s="71">
        <f t="shared" si="107"/>
        <v>0</v>
      </c>
      <c r="AD266" s="84">
        <v>1</v>
      </c>
      <c r="AE266" s="84">
        <v>0</v>
      </c>
      <c r="AF266" s="84">
        <v>1</v>
      </c>
      <c r="AG266" s="84">
        <v>0</v>
      </c>
      <c r="AH266" s="84">
        <v>0</v>
      </c>
      <c r="AI266" s="84">
        <v>0</v>
      </c>
      <c r="AJ266" s="45">
        <v>0</v>
      </c>
      <c r="AK266" s="71">
        <f t="shared" si="108"/>
        <v>0</v>
      </c>
      <c r="AL266" s="17">
        <v>2</v>
      </c>
      <c r="AM266" s="71">
        <f t="shared" si="109"/>
        <v>0.66666666666666663</v>
      </c>
      <c r="AN266" s="17">
        <v>0</v>
      </c>
      <c r="AO266" s="71">
        <f t="shared" si="110"/>
        <v>0</v>
      </c>
      <c r="AP266" s="17">
        <v>0</v>
      </c>
      <c r="AQ266" s="71">
        <f t="shared" si="111"/>
        <v>0</v>
      </c>
      <c r="AR266" s="84">
        <v>1</v>
      </c>
      <c r="AS266" s="17">
        <v>0</v>
      </c>
      <c r="AT266" s="71">
        <f t="shared" si="112"/>
        <v>0</v>
      </c>
      <c r="AU266" s="17">
        <v>0</v>
      </c>
      <c r="AV266" s="71">
        <f t="shared" si="113"/>
        <v>0</v>
      </c>
      <c r="AW266" s="17">
        <v>1</v>
      </c>
      <c r="AX266" s="71">
        <f t="shared" si="114"/>
        <v>0.5</v>
      </c>
      <c r="AY266" s="17">
        <v>2</v>
      </c>
      <c r="AZ266" s="71">
        <f t="shared" si="115"/>
        <v>0.66666666666666663</v>
      </c>
      <c r="BA266" s="93">
        <v>0</v>
      </c>
      <c r="BB266" s="98">
        <v>0</v>
      </c>
      <c r="BC266" s="98">
        <v>0</v>
      </c>
      <c r="BD266" s="98">
        <v>1</v>
      </c>
      <c r="BE266" s="102">
        <f t="shared" si="116"/>
        <v>3.2156302302624562</v>
      </c>
      <c r="BF266" s="81">
        <f t="shared" si="117"/>
        <v>0.28096322146305219</v>
      </c>
      <c r="BG266" s="81" t="str">
        <f t="shared" si="118"/>
        <v>BASSO</v>
      </c>
      <c r="BK266" s="81" t="str">
        <f t="shared" si="119"/>
        <v>MOLTO BASSO</v>
      </c>
    </row>
    <row r="267" spans="1:63" x14ac:dyDescent="0.15">
      <c r="A267" s="84">
        <v>3</v>
      </c>
      <c r="B267" s="88">
        <v>1</v>
      </c>
      <c r="C267" s="84">
        <v>3</v>
      </c>
      <c r="D267" s="84">
        <v>1</v>
      </c>
      <c r="E267" s="88">
        <v>1</v>
      </c>
      <c r="F267" s="17">
        <v>2</v>
      </c>
      <c r="G267" s="64">
        <f t="shared" si="96"/>
        <v>1</v>
      </c>
      <c r="H267" s="17">
        <v>2</v>
      </c>
      <c r="I267" s="64">
        <f t="shared" si="97"/>
        <v>1</v>
      </c>
      <c r="J267" s="17">
        <v>2</v>
      </c>
      <c r="K267" s="64">
        <f t="shared" si="98"/>
        <v>1</v>
      </c>
      <c r="L267" s="17">
        <v>3</v>
      </c>
      <c r="M267" s="64">
        <f t="shared" si="99"/>
        <v>1</v>
      </c>
      <c r="N267" s="17">
        <v>4</v>
      </c>
      <c r="O267" s="64">
        <f t="shared" si="100"/>
        <v>0.8</v>
      </c>
      <c r="P267" s="17">
        <v>3</v>
      </c>
      <c r="Q267" s="64">
        <f t="shared" si="101"/>
        <v>1</v>
      </c>
      <c r="R267" s="25">
        <v>3</v>
      </c>
      <c r="S267" s="71">
        <f t="shared" si="102"/>
        <v>1</v>
      </c>
      <c r="T267" s="17">
        <v>3</v>
      </c>
      <c r="U267" s="64">
        <f t="shared" si="103"/>
        <v>1</v>
      </c>
      <c r="V267" s="17">
        <v>3</v>
      </c>
      <c r="W267" s="71">
        <f t="shared" si="104"/>
        <v>0.75</v>
      </c>
      <c r="X267" s="17">
        <v>3</v>
      </c>
      <c r="Y267" s="71">
        <f t="shared" si="105"/>
        <v>1</v>
      </c>
      <c r="Z267" s="17">
        <v>1</v>
      </c>
      <c r="AA267" s="71">
        <f t="shared" si="106"/>
        <v>0.33333333333333331</v>
      </c>
      <c r="AB267" s="17">
        <v>0</v>
      </c>
      <c r="AC267" s="71">
        <f t="shared" si="107"/>
        <v>0</v>
      </c>
      <c r="AD267" s="84">
        <v>1</v>
      </c>
      <c r="AE267" s="84">
        <v>0</v>
      </c>
      <c r="AF267" s="84">
        <v>1</v>
      </c>
      <c r="AG267" s="84">
        <v>0</v>
      </c>
      <c r="AH267" s="84">
        <v>0</v>
      </c>
      <c r="AI267" s="84">
        <v>0</v>
      </c>
      <c r="AJ267" s="46">
        <v>2</v>
      </c>
      <c r="AK267" s="71">
        <f t="shared" si="108"/>
        <v>1</v>
      </c>
      <c r="AL267" s="17">
        <v>2</v>
      </c>
      <c r="AM267" s="71">
        <f t="shared" si="109"/>
        <v>0.66666666666666663</v>
      </c>
      <c r="AN267" s="17">
        <v>2</v>
      </c>
      <c r="AO267" s="71">
        <f t="shared" si="110"/>
        <v>0.66666666666666663</v>
      </c>
      <c r="AP267" s="17">
        <v>3</v>
      </c>
      <c r="AQ267" s="71">
        <f t="shared" si="111"/>
        <v>1</v>
      </c>
      <c r="AR267" s="84">
        <v>2</v>
      </c>
      <c r="AS267" s="17">
        <v>3</v>
      </c>
      <c r="AT267" s="71">
        <f t="shared" si="112"/>
        <v>1</v>
      </c>
      <c r="AU267" s="17">
        <v>3</v>
      </c>
      <c r="AV267" s="71">
        <f t="shared" si="113"/>
        <v>1</v>
      </c>
      <c r="AW267" s="17">
        <v>1</v>
      </c>
      <c r="AX267" s="71">
        <f t="shared" si="114"/>
        <v>0.5</v>
      </c>
      <c r="AY267" s="17">
        <v>3</v>
      </c>
      <c r="AZ267" s="71">
        <f t="shared" si="115"/>
        <v>1</v>
      </c>
      <c r="BA267" s="93">
        <v>1</v>
      </c>
      <c r="BB267" s="98">
        <v>0</v>
      </c>
      <c r="BC267" s="98">
        <v>1</v>
      </c>
      <c r="BD267" s="98">
        <v>0</v>
      </c>
      <c r="BE267" s="102">
        <f t="shared" si="116"/>
        <v>1.4209738444695832</v>
      </c>
      <c r="BF267" s="81">
        <f t="shared" si="117"/>
        <v>0.68226058895170971</v>
      </c>
      <c r="BG267" s="81" t="str">
        <f t="shared" si="118"/>
        <v>ALTO</v>
      </c>
      <c r="BK267" s="81" t="str">
        <f t="shared" si="119"/>
        <v>ALTO</v>
      </c>
    </row>
    <row r="268" spans="1:63" x14ac:dyDescent="0.15">
      <c r="A268" s="84">
        <v>3</v>
      </c>
      <c r="B268" s="88">
        <v>1</v>
      </c>
      <c r="C268" s="84">
        <v>0</v>
      </c>
      <c r="D268" s="84">
        <v>1</v>
      </c>
      <c r="E268" s="88">
        <v>1</v>
      </c>
      <c r="F268" s="17">
        <v>2</v>
      </c>
      <c r="G268" s="64">
        <f t="shared" si="96"/>
        <v>1</v>
      </c>
      <c r="H268" s="17">
        <v>1</v>
      </c>
      <c r="I268" s="64">
        <f t="shared" si="97"/>
        <v>0.5</v>
      </c>
      <c r="J268" s="17">
        <v>0</v>
      </c>
      <c r="K268" s="64">
        <f t="shared" si="98"/>
        <v>0</v>
      </c>
      <c r="L268" s="17">
        <v>0</v>
      </c>
      <c r="M268" s="64">
        <f t="shared" si="99"/>
        <v>0</v>
      </c>
      <c r="N268" s="17">
        <v>4</v>
      </c>
      <c r="O268" s="64">
        <f t="shared" si="100"/>
        <v>0.8</v>
      </c>
      <c r="P268" s="17">
        <v>3</v>
      </c>
      <c r="Q268" s="64">
        <f t="shared" si="101"/>
        <v>1</v>
      </c>
      <c r="R268" s="25">
        <v>0</v>
      </c>
      <c r="S268" s="71">
        <f t="shared" si="102"/>
        <v>0</v>
      </c>
      <c r="T268" s="17">
        <v>2</v>
      </c>
      <c r="U268" s="64">
        <f t="shared" si="103"/>
        <v>0.66666666666666663</v>
      </c>
      <c r="V268" s="17">
        <v>4</v>
      </c>
      <c r="W268" s="71">
        <f t="shared" si="104"/>
        <v>1</v>
      </c>
      <c r="X268" s="17">
        <v>0</v>
      </c>
      <c r="Y268" s="71">
        <f t="shared" si="105"/>
        <v>0</v>
      </c>
      <c r="Z268" s="17">
        <v>1</v>
      </c>
      <c r="AA268" s="71">
        <f t="shared" si="106"/>
        <v>0.33333333333333331</v>
      </c>
      <c r="AB268" s="17">
        <v>3</v>
      </c>
      <c r="AC268" s="71">
        <f t="shared" si="107"/>
        <v>1.5</v>
      </c>
      <c r="AD268" s="84">
        <v>0</v>
      </c>
      <c r="AE268" s="84">
        <v>0</v>
      </c>
      <c r="AF268" s="84">
        <v>1</v>
      </c>
      <c r="AG268" s="84">
        <v>1</v>
      </c>
      <c r="AH268" s="84">
        <v>0</v>
      </c>
      <c r="AI268" s="84">
        <v>0</v>
      </c>
      <c r="AJ268" s="45">
        <v>1</v>
      </c>
      <c r="AK268" s="71">
        <f t="shared" si="108"/>
        <v>0.5</v>
      </c>
      <c r="AL268" s="17">
        <v>0</v>
      </c>
      <c r="AM268" s="71">
        <f t="shared" si="109"/>
        <v>0</v>
      </c>
      <c r="AN268" s="17">
        <v>0</v>
      </c>
      <c r="AO268" s="71">
        <f t="shared" si="110"/>
        <v>0</v>
      </c>
      <c r="AP268" s="17">
        <v>3</v>
      </c>
      <c r="AQ268" s="71">
        <f t="shared" si="111"/>
        <v>1</v>
      </c>
      <c r="AR268" s="84">
        <v>2</v>
      </c>
      <c r="AS268" s="17">
        <v>1</v>
      </c>
      <c r="AT268" s="71">
        <f t="shared" si="112"/>
        <v>0.33333333333333331</v>
      </c>
      <c r="AU268" s="17">
        <v>1</v>
      </c>
      <c r="AV268" s="71">
        <f t="shared" si="113"/>
        <v>0.33333333333333331</v>
      </c>
      <c r="AW268" s="17">
        <v>1</v>
      </c>
      <c r="AX268" s="71">
        <f t="shared" si="114"/>
        <v>0.5</v>
      </c>
      <c r="AY268" s="17">
        <v>2</v>
      </c>
      <c r="AZ268" s="71">
        <f t="shared" si="115"/>
        <v>0.66666666666666663</v>
      </c>
      <c r="BA268" s="93">
        <v>0</v>
      </c>
      <c r="BB268" s="98">
        <v>0</v>
      </c>
      <c r="BC268" s="98">
        <v>0</v>
      </c>
      <c r="BD268" s="98">
        <v>1</v>
      </c>
      <c r="BE268" s="102">
        <f t="shared" si="116"/>
        <v>2.9318177903061362</v>
      </c>
      <c r="BF268" s="81">
        <f t="shared" si="117"/>
        <v>0.34442561232328717</v>
      </c>
      <c r="BG268" s="81" t="str">
        <f t="shared" si="118"/>
        <v>MEDIO</v>
      </c>
      <c r="BK268" s="81" t="str">
        <f t="shared" si="119"/>
        <v>BASSO</v>
      </c>
    </row>
    <row r="269" spans="1:63" x14ac:dyDescent="0.15">
      <c r="A269" s="84">
        <v>5</v>
      </c>
      <c r="B269" s="85">
        <v>2</v>
      </c>
      <c r="C269" s="84">
        <v>4</v>
      </c>
      <c r="D269" s="84">
        <v>0</v>
      </c>
      <c r="E269" s="88">
        <v>1</v>
      </c>
      <c r="F269" s="17">
        <v>2</v>
      </c>
      <c r="G269" s="64">
        <f t="shared" si="96"/>
        <v>1</v>
      </c>
      <c r="H269" s="17">
        <v>0</v>
      </c>
      <c r="I269" s="64">
        <f t="shared" si="97"/>
        <v>0</v>
      </c>
      <c r="J269" s="17">
        <v>0</v>
      </c>
      <c r="K269" s="64">
        <f t="shared" si="98"/>
        <v>0</v>
      </c>
      <c r="L269" s="17">
        <v>0</v>
      </c>
      <c r="M269" s="64">
        <f t="shared" si="99"/>
        <v>0</v>
      </c>
      <c r="N269" s="17">
        <v>4</v>
      </c>
      <c r="O269" s="64">
        <f t="shared" si="100"/>
        <v>0.8</v>
      </c>
      <c r="P269" s="17">
        <v>0</v>
      </c>
      <c r="Q269" s="64">
        <f t="shared" si="101"/>
        <v>0</v>
      </c>
      <c r="R269" s="25">
        <v>2</v>
      </c>
      <c r="S269" s="71">
        <f t="shared" si="102"/>
        <v>0.66666666666666663</v>
      </c>
      <c r="T269" s="17">
        <v>0</v>
      </c>
      <c r="U269" s="64">
        <f t="shared" si="103"/>
        <v>0</v>
      </c>
      <c r="V269" s="17">
        <v>3</v>
      </c>
      <c r="W269" s="71">
        <f t="shared" si="104"/>
        <v>0.75</v>
      </c>
      <c r="X269" s="17">
        <v>2</v>
      </c>
      <c r="Y269" s="71">
        <f t="shared" si="105"/>
        <v>0.66666666666666663</v>
      </c>
      <c r="Z269" s="17">
        <v>1</v>
      </c>
      <c r="AA269" s="71">
        <f t="shared" si="106"/>
        <v>0.33333333333333331</v>
      </c>
      <c r="AB269" s="17">
        <v>3</v>
      </c>
      <c r="AC269" s="71">
        <f t="shared" si="107"/>
        <v>1.5</v>
      </c>
      <c r="AD269" s="84">
        <v>0</v>
      </c>
      <c r="AE269" s="84">
        <v>0</v>
      </c>
      <c r="AF269" s="84">
        <v>1</v>
      </c>
      <c r="AG269" s="84">
        <v>1</v>
      </c>
      <c r="AH269" s="84">
        <v>0</v>
      </c>
      <c r="AI269" s="84">
        <v>0</v>
      </c>
      <c r="AJ269" s="45">
        <v>1</v>
      </c>
      <c r="AK269" s="71">
        <f t="shared" si="108"/>
        <v>0.5</v>
      </c>
      <c r="AL269" s="17">
        <v>0</v>
      </c>
      <c r="AM269" s="71">
        <f t="shared" si="109"/>
        <v>0</v>
      </c>
      <c r="AN269" s="17">
        <v>0</v>
      </c>
      <c r="AO269" s="71">
        <f t="shared" si="110"/>
        <v>0</v>
      </c>
      <c r="AP269" s="17">
        <v>0</v>
      </c>
      <c r="AQ269" s="71">
        <f t="shared" si="111"/>
        <v>0</v>
      </c>
      <c r="AR269" s="84">
        <v>2</v>
      </c>
      <c r="AS269" s="17">
        <v>1</v>
      </c>
      <c r="AT269" s="71">
        <f t="shared" si="112"/>
        <v>0.33333333333333331</v>
      </c>
      <c r="AU269" s="17">
        <v>0</v>
      </c>
      <c r="AV269" s="71">
        <f t="shared" si="113"/>
        <v>0</v>
      </c>
      <c r="AW269" s="17">
        <v>0</v>
      </c>
      <c r="AX269" s="71">
        <f t="shared" si="114"/>
        <v>0</v>
      </c>
      <c r="AY269" s="17">
        <v>2</v>
      </c>
      <c r="AZ269" s="71">
        <f t="shared" si="115"/>
        <v>0.66666666666666663</v>
      </c>
      <c r="BA269" s="93">
        <v>0</v>
      </c>
      <c r="BB269" s="98">
        <v>0</v>
      </c>
      <c r="BC269" s="98">
        <v>0</v>
      </c>
      <c r="BD269" s="98">
        <v>1</v>
      </c>
      <c r="BE269" s="102">
        <f t="shared" si="116"/>
        <v>3.4387093832166484</v>
      </c>
      <c r="BF269" s="81">
        <f t="shared" si="117"/>
        <v>0.23108120642619223</v>
      </c>
      <c r="BG269" s="81" t="str">
        <f t="shared" si="118"/>
        <v>BASSO</v>
      </c>
      <c r="BK269" s="81" t="str">
        <f t="shared" si="119"/>
        <v>MOLTO BASSO</v>
      </c>
    </row>
    <row r="270" spans="1:63" x14ac:dyDescent="0.15">
      <c r="A270" s="84">
        <v>4</v>
      </c>
      <c r="B270" s="88">
        <v>1</v>
      </c>
      <c r="C270" s="84">
        <v>1</v>
      </c>
      <c r="D270" s="84">
        <v>0</v>
      </c>
      <c r="E270" s="88">
        <v>1</v>
      </c>
      <c r="F270" s="17">
        <v>1</v>
      </c>
      <c r="G270" s="64">
        <f t="shared" si="96"/>
        <v>0.5</v>
      </c>
      <c r="H270" s="17">
        <v>1</v>
      </c>
      <c r="I270" s="64">
        <f t="shared" si="97"/>
        <v>0.5</v>
      </c>
      <c r="J270" s="17">
        <v>1</v>
      </c>
      <c r="K270" s="64">
        <f t="shared" si="98"/>
        <v>0.5</v>
      </c>
      <c r="L270" s="17">
        <v>2</v>
      </c>
      <c r="M270" s="64">
        <f t="shared" si="99"/>
        <v>0.66666666666666663</v>
      </c>
      <c r="N270" s="17">
        <v>1</v>
      </c>
      <c r="O270" s="64">
        <f t="shared" si="100"/>
        <v>0.2</v>
      </c>
      <c r="P270" s="17">
        <v>0</v>
      </c>
      <c r="Q270" s="64">
        <f t="shared" si="101"/>
        <v>0</v>
      </c>
      <c r="R270" s="25">
        <v>0</v>
      </c>
      <c r="S270" s="71">
        <f t="shared" si="102"/>
        <v>0</v>
      </c>
      <c r="T270" s="17">
        <v>2</v>
      </c>
      <c r="U270" s="64">
        <f t="shared" si="103"/>
        <v>0.66666666666666663</v>
      </c>
      <c r="V270" s="17">
        <v>3</v>
      </c>
      <c r="W270" s="71">
        <f t="shared" si="104"/>
        <v>0.75</v>
      </c>
      <c r="X270" s="17">
        <v>2</v>
      </c>
      <c r="Y270" s="71">
        <f t="shared" si="105"/>
        <v>0.66666666666666663</v>
      </c>
      <c r="Z270" s="17">
        <v>1</v>
      </c>
      <c r="AA270" s="71">
        <f t="shared" si="106"/>
        <v>0.33333333333333331</v>
      </c>
      <c r="AB270" s="17">
        <v>2</v>
      </c>
      <c r="AC270" s="71">
        <f t="shared" si="107"/>
        <v>1</v>
      </c>
      <c r="AD270" s="84">
        <v>0</v>
      </c>
      <c r="AE270" s="84">
        <v>0</v>
      </c>
      <c r="AF270" s="84">
        <v>1</v>
      </c>
      <c r="AG270" s="84">
        <v>1</v>
      </c>
      <c r="AH270" s="84">
        <v>0</v>
      </c>
      <c r="AI270" s="84">
        <v>0</v>
      </c>
      <c r="AJ270" s="45">
        <v>1</v>
      </c>
      <c r="AK270" s="71">
        <f t="shared" si="108"/>
        <v>0.5</v>
      </c>
      <c r="AL270" s="17">
        <v>2</v>
      </c>
      <c r="AM270" s="71">
        <f t="shared" si="109"/>
        <v>0.66666666666666663</v>
      </c>
      <c r="AN270" s="17">
        <v>1</v>
      </c>
      <c r="AO270" s="71">
        <f t="shared" si="110"/>
        <v>0.33333333333333331</v>
      </c>
      <c r="AP270" s="17">
        <v>3</v>
      </c>
      <c r="AQ270" s="71">
        <f t="shared" si="111"/>
        <v>1</v>
      </c>
      <c r="AR270" s="84">
        <v>2</v>
      </c>
      <c r="AS270" s="17">
        <v>1</v>
      </c>
      <c r="AT270" s="71">
        <f t="shared" si="112"/>
        <v>0.33333333333333331</v>
      </c>
      <c r="AU270" s="17">
        <v>0</v>
      </c>
      <c r="AV270" s="71">
        <f t="shared" si="113"/>
        <v>0</v>
      </c>
      <c r="AW270" s="17">
        <v>2</v>
      </c>
      <c r="AX270" s="71">
        <f t="shared" si="114"/>
        <v>1</v>
      </c>
      <c r="AY270" s="17">
        <v>2</v>
      </c>
      <c r="AZ270" s="71">
        <f t="shared" si="115"/>
        <v>0.66666666666666663</v>
      </c>
      <c r="BA270" s="93">
        <v>0</v>
      </c>
      <c r="BB270" s="98">
        <v>0</v>
      </c>
      <c r="BC270" s="98">
        <v>0</v>
      </c>
      <c r="BD270" s="98">
        <v>1</v>
      </c>
      <c r="BE270" s="102">
        <f t="shared" si="116"/>
        <v>2.5673700334951501</v>
      </c>
      <c r="BF270" s="81">
        <f t="shared" si="117"/>
        <v>0.42591860817094718</v>
      </c>
      <c r="BG270" s="81" t="str">
        <f t="shared" si="118"/>
        <v>MEDIO</v>
      </c>
      <c r="BK270" s="81" t="str">
        <f t="shared" si="119"/>
        <v>BASSO</v>
      </c>
    </row>
    <row r="271" spans="1:63" x14ac:dyDescent="0.15">
      <c r="A271" s="84">
        <v>4</v>
      </c>
      <c r="B271" s="85">
        <v>2</v>
      </c>
      <c r="C271" s="84">
        <v>3</v>
      </c>
      <c r="D271" s="84">
        <v>2</v>
      </c>
      <c r="E271" s="88">
        <v>1</v>
      </c>
      <c r="F271" s="17">
        <v>2</v>
      </c>
      <c r="G271" s="64">
        <f t="shared" si="96"/>
        <v>1</v>
      </c>
      <c r="H271" s="17">
        <v>2</v>
      </c>
      <c r="I271" s="64">
        <f t="shared" si="97"/>
        <v>1</v>
      </c>
      <c r="J271" s="17">
        <v>2</v>
      </c>
      <c r="K271" s="64">
        <f t="shared" si="98"/>
        <v>1</v>
      </c>
      <c r="L271" s="17">
        <v>3</v>
      </c>
      <c r="M271" s="64">
        <f t="shared" si="99"/>
        <v>1</v>
      </c>
      <c r="N271" s="17">
        <v>2</v>
      </c>
      <c r="O271" s="64">
        <f t="shared" si="100"/>
        <v>0.4</v>
      </c>
      <c r="P271" s="17">
        <v>3</v>
      </c>
      <c r="Q271" s="64">
        <f t="shared" si="101"/>
        <v>1</v>
      </c>
      <c r="R271" s="25">
        <v>2</v>
      </c>
      <c r="S271" s="71">
        <f t="shared" si="102"/>
        <v>0.66666666666666663</v>
      </c>
      <c r="T271" s="17">
        <v>3</v>
      </c>
      <c r="U271" s="64">
        <f t="shared" si="103"/>
        <v>1</v>
      </c>
      <c r="V271" s="17">
        <v>0</v>
      </c>
      <c r="W271" s="71">
        <f t="shared" si="104"/>
        <v>0</v>
      </c>
      <c r="X271" s="17">
        <v>3</v>
      </c>
      <c r="Y271" s="71">
        <f t="shared" si="105"/>
        <v>1</v>
      </c>
      <c r="Z271" s="17">
        <v>3</v>
      </c>
      <c r="AA271" s="71">
        <f t="shared" si="106"/>
        <v>1</v>
      </c>
      <c r="AB271" s="17">
        <v>1</v>
      </c>
      <c r="AC271" s="71">
        <f t="shared" si="107"/>
        <v>0.5</v>
      </c>
      <c r="AD271" s="84">
        <v>1</v>
      </c>
      <c r="AE271" s="84">
        <v>0</v>
      </c>
      <c r="AF271" s="84">
        <v>1</v>
      </c>
      <c r="AG271" s="84">
        <v>0</v>
      </c>
      <c r="AH271" s="84">
        <v>0</v>
      </c>
      <c r="AI271" s="84">
        <v>0</v>
      </c>
      <c r="AJ271" s="45">
        <v>2</v>
      </c>
      <c r="AK271" s="71">
        <f t="shared" si="108"/>
        <v>1</v>
      </c>
      <c r="AL271" s="17">
        <v>1</v>
      </c>
      <c r="AM271" s="71">
        <f t="shared" si="109"/>
        <v>0.33333333333333331</v>
      </c>
      <c r="AN271" s="17">
        <v>1</v>
      </c>
      <c r="AO271" s="71">
        <f t="shared" si="110"/>
        <v>0.33333333333333331</v>
      </c>
      <c r="AP271" s="17">
        <v>3</v>
      </c>
      <c r="AQ271" s="71">
        <f t="shared" si="111"/>
        <v>1</v>
      </c>
      <c r="AR271" s="84">
        <v>2</v>
      </c>
      <c r="AS271" s="17">
        <v>2</v>
      </c>
      <c r="AT271" s="71">
        <f t="shared" si="112"/>
        <v>0.66666666666666663</v>
      </c>
      <c r="AU271" s="17">
        <v>3</v>
      </c>
      <c r="AV271" s="71">
        <f t="shared" si="113"/>
        <v>1</v>
      </c>
      <c r="AW271" s="17">
        <v>0</v>
      </c>
      <c r="AX271" s="71">
        <f t="shared" si="114"/>
        <v>0</v>
      </c>
      <c r="AY271" s="17">
        <v>1</v>
      </c>
      <c r="AZ271" s="71">
        <f t="shared" si="115"/>
        <v>0.33333333333333331</v>
      </c>
      <c r="BA271" s="93">
        <v>0</v>
      </c>
      <c r="BB271" s="98">
        <v>1</v>
      </c>
      <c r="BC271" s="98">
        <v>1</v>
      </c>
      <c r="BD271" s="98">
        <v>0</v>
      </c>
      <c r="BE271" s="102">
        <f t="shared" si="116"/>
        <v>2.0409692686455512</v>
      </c>
      <c r="BF271" s="81">
        <f t="shared" si="117"/>
        <v>0.5436253975320946</v>
      </c>
      <c r="BG271" s="81" t="str">
        <f t="shared" si="118"/>
        <v>MEDIO</v>
      </c>
      <c r="BK271" s="81" t="str">
        <f t="shared" si="119"/>
        <v>MEDIO</v>
      </c>
    </row>
    <row r="272" spans="1:63" x14ac:dyDescent="0.15">
      <c r="A272" s="84">
        <v>4</v>
      </c>
      <c r="B272" s="88">
        <v>1</v>
      </c>
      <c r="C272" s="84">
        <v>3</v>
      </c>
      <c r="D272" s="84">
        <v>0</v>
      </c>
      <c r="E272" s="88">
        <v>1</v>
      </c>
      <c r="F272" s="17">
        <v>2</v>
      </c>
      <c r="G272" s="64">
        <f t="shared" si="96"/>
        <v>1</v>
      </c>
      <c r="H272" s="17">
        <v>2</v>
      </c>
      <c r="I272" s="64">
        <f t="shared" si="97"/>
        <v>1</v>
      </c>
      <c r="J272" s="17">
        <v>2</v>
      </c>
      <c r="K272" s="64">
        <f t="shared" si="98"/>
        <v>1</v>
      </c>
      <c r="L272" s="17">
        <v>3</v>
      </c>
      <c r="M272" s="64">
        <f t="shared" si="99"/>
        <v>1</v>
      </c>
      <c r="N272" s="17">
        <v>0</v>
      </c>
      <c r="O272" s="64">
        <f t="shared" si="100"/>
        <v>0</v>
      </c>
      <c r="P272" s="17">
        <v>2</v>
      </c>
      <c r="Q272" s="64">
        <f t="shared" si="101"/>
        <v>0.66666666666666663</v>
      </c>
      <c r="R272" s="25">
        <v>3</v>
      </c>
      <c r="S272" s="71">
        <f t="shared" si="102"/>
        <v>1</v>
      </c>
      <c r="T272" s="17">
        <v>3</v>
      </c>
      <c r="U272" s="64">
        <f t="shared" si="103"/>
        <v>1</v>
      </c>
      <c r="V272" s="17">
        <v>3</v>
      </c>
      <c r="W272" s="71">
        <f t="shared" si="104"/>
        <v>0.75</v>
      </c>
      <c r="X272" s="17">
        <v>3</v>
      </c>
      <c r="Y272" s="71">
        <f t="shared" si="105"/>
        <v>1</v>
      </c>
      <c r="Z272" s="17">
        <v>3</v>
      </c>
      <c r="AA272" s="71">
        <f t="shared" si="106"/>
        <v>1</v>
      </c>
      <c r="AB272" s="17">
        <v>2</v>
      </c>
      <c r="AC272" s="71">
        <f t="shared" si="107"/>
        <v>1</v>
      </c>
      <c r="AD272" s="84">
        <v>1</v>
      </c>
      <c r="AE272" s="84">
        <v>1</v>
      </c>
      <c r="AF272" s="84">
        <v>0</v>
      </c>
      <c r="AG272" s="84">
        <v>0</v>
      </c>
      <c r="AH272" s="84">
        <v>0</v>
      </c>
      <c r="AI272" s="84">
        <v>0</v>
      </c>
      <c r="AJ272" s="45">
        <v>2</v>
      </c>
      <c r="AK272" s="71">
        <f t="shared" si="108"/>
        <v>1</v>
      </c>
      <c r="AL272" s="17">
        <v>0</v>
      </c>
      <c r="AM272" s="71">
        <f t="shared" si="109"/>
        <v>0</v>
      </c>
      <c r="AN272" s="17">
        <v>2</v>
      </c>
      <c r="AO272" s="71">
        <f t="shared" si="110"/>
        <v>0.66666666666666663</v>
      </c>
      <c r="AP272" s="17">
        <v>3</v>
      </c>
      <c r="AQ272" s="71">
        <f t="shared" si="111"/>
        <v>1</v>
      </c>
      <c r="AR272" s="84">
        <v>1</v>
      </c>
      <c r="AS272" s="17">
        <v>2</v>
      </c>
      <c r="AT272" s="71">
        <f t="shared" si="112"/>
        <v>0.66666666666666663</v>
      </c>
      <c r="AU272" s="17">
        <v>0</v>
      </c>
      <c r="AV272" s="71">
        <f t="shared" si="113"/>
        <v>0</v>
      </c>
      <c r="AW272" s="17">
        <v>0</v>
      </c>
      <c r="AX272" s="71">
        <f t="shared" si="114"/>
        <v>0</v>
      </c>
      <c r="AY272" s="17">
        <v>3</v>
      </c>
      <c r="AZ272" s="71">
        <f t="shared" si="115"/>
        <v>1</v>
      </c>
      <c r="BA272" s="93">
        <v>1</v>
      </c>
      <c r="BB272" s="98">
        <v>0</v>
      </c>
      <c r="BC272" s="98">
        <v>0</v>
      </c>
      <c r="BD272" s="98">
        <v>0</v>
      </c>
      <c r="BE272" s="102">
        <f t="shared" si="116"/>
        <v>2.096624270901521</v>
      </c>
      <c r="BF272" s="81">
        <f t="shared" si="117"/>
        <v>0.53118056069887054</v>
      </c>
      <c r="BG272" s="81" t="str">
        <f t="shared" si="118"/>
        <v>MEDIO</v>
      </c>
      <c r="BK272" s="81" t="str">
        <f t="shared" si="119"/>
        <v>MEDIO</v>
      </c>
    </row>
    <row r="273" spans="1:63" x14ac:dyDescent="0.15">
      <c r="A273" s="84">
        <v>5</v>
      </c>
      <c r="B273" s="88">
        <v>1</v>
      </c>
      <c r="C273" s="84">
        <v>3</v>
      </c>
      <c r="D273" s="84">
        <v>0</v>
      </c>
      <c r="E273" s="88">
        <v>1</v>
      </c>
      <c r="F273" s="17">
        <v>2</v>
      </c>
      <c r="G273" s="64">
        <f t="shared" si="96"/>
        <v>1</v>
      </c>
      <c r="H273" s="17">
        <v>2</v>
      </c>
      <c r="I273" s="64">
        <f t="shared" si="97"/>
        <v>1</v>
      </c>
      <c r="J273" s="17">
        <v>2</v>
      </c>
      <c r="K273" s="64">
        <f t="shared" si="98"/>
        <v>1</v>
      </c>
      <c r="L273" s="17">
        <v>3</v>
      </c>
      <c r="M273" s="64">
        <f t="shared" si="99"/>
        <v>1</v>
      </c>
      <c r="N273" s="17">
        <v>0</v>
      </c>
      <c r="O273" s="64">
        <f t="shared" si="100"/>
        <v>0</v>
      </c>
      <c r="P273" s="17">
        <v>2</v>
      </c>
      <c r="Q273" s="64">
        <f t="shared" si="101"/>
        <v>0.66666666666666663</v>
      </c>
      <c r="R273" s="25">
        <v>3</v>
      </c>
      <c r="S273" s="71">
        <f t="shared" si="102"/>
        <v>1</v>
      </c>
      <c r="T273" s="17">
        <v>3</v>
      </c>
      <c r="U273" s="64">
        <f t="shared" si="103"/>
        <v>1</v>
      </c>
      <c r="V273" s="17">
        <v>2</v>
      </c>
      <c r="W273" s="71">
        <f t="shared" si="104"/>
        <v>0.5</v>
      </c>
      <c r="X273" s="17">
        <v>3</v>
      </c>
      <c r="Y273" s="71">
        <f t="shared" si="105"/>
        <v>1</v>
      </c>
      <c r="Z273" s="17">
        <v>3</v>
      </c>
      <c r="AA273" s="71">
        <f t="shared" si="106"/>
        <v>1</v>
      </c>
      <c r="AB273" s="17">
        <v>0</v>
      </c>
      <c r="AC273" s="71">
        <f t="shared" si="107"/>
        <v>0</v>
      </c>
      <c r="AD273" s="84">
        <v>1</v>
      </c>
      <c r="AE273" s="84">
        <v>0</v>
      </c>
      <c r="AF273" s="84">
        <v>1</v>
      </c>
      <c r="AG273" s="84">
        <v>0</v>
      </c>
      <c r="AH273" s="84">
        <v>0</v>
      </c>
      <c r="AI273" s="84">
        <v>0</v>
      </c>
      <c r="AJ273" s="45">
        <v>2</v>
      </c>
      <c r="AK273" s="71">
        <f t="shared" si="108"/>
        <v>1</v>
      </c>
      <c r="AL273" s="17">
        <v>2</v>
      </c>
      <c r="AM273" s="71">
        <f t="shared" si="109"/>
        <v>0.66666666666666663</v>
      </c>
      <c r="AN273" s="17">
        <v>2</v>
      </c>
      <c r="AO273" s="71">
        <f t="shared" si="110"/>
        <v>0.66666666666666663</v>
      </c>
      <c r="AP273" s="17">
        <v>3</v>
      </c>
      <c r="AQ273" s="71">
        <f t="shared" si="111"/>
        <v>1</v>
      </c>
      <c r="AR273" s="84">
        <v>2</v>
      </c>
      <c r="AS273" s="17">
        <v>3</v>
      </c>
      <c r="AT273" s="71">
        <f t="shared" si="112"/>
        <v>1</v>
      </c>
      <c r="AU273" s="17">
        <v>3</v>
      </c>
      <c r="AV273" s="71">
        <f t="shared" si="113"/>
        <v>1</v>
      </c>
      <c r="AW273" s="17">
        <v>1</v>
      </c>
      <c r="AX273" s="71">
        <f t="shared" si="114"/>
        <v>0.5</v>
      </c>
      <c r="AY273" s="17">
        <v>3</v>
      </c>
      <c r="AZ273" s="71">
        <f t="shared" si="115"/>
        <v>1</v>
      </c>
      <c r="BA273" s="93">
        <v>1</v>
      </c>
      <c r="BB273" s="98">
        <v>1</v>
      </c>
      <c r="BC273" s="98">
        <v>0</v>
      </c>
      <c r="BD273" s="98">
        <v>0</v>
      </c>
      <c r="BE273" s="102">
        <f t="shared" si="116"/>
        <v>1.6832508230603465</v>
      </c>
      <c r="BF273" s="81">
        <f t="shared" si="117"/>
        <v>0.62361367364549491</v>
      </c>
      <c r="BG273" s="81" t="str">
        <f t="shared" si="118"/>
        <v>MEDIO</v>
      </c>
      <c r="BK273" s="81" t="str">
        <f t="shared" si="119"/>
        <v>MEDIO</v>
      </c>
    </row>
    <row r="274" spans="1:63" x14ac:dyDescent="0.15">
      <c r="A274" s="84">
        <v>4</v>
      </c>
      <c r="B274" s="88">
        <v>1</v>
      </c>
      <c r="C274" s="84">
        <v>3</v>
      </c>
      <c r="D274" s="84">
        <v>0</v>
      </c>
      <c r="E274" s="88">
        <v>1</v>
      </c>
      <c r="F274" s="17">
        <v>2</v>
      </c>
      <c r="G274" s="64">
        <f t="shared" si="96"/>
        <v>1</v>
      </c>
      <c r="H274" s="17">
        <v>2</v>
      </c>
      <c r="I274" s="64">
        <f t="shared" si="97"/>
        <v>1</v>
      </c>
      <c r="J274" s="17">
        <v>2</v>
      </c>
      <c r="K274" s="64">
        <f t="shared" si="98"/>
        <v>1</v>
      </c>
      <c r="L274" s="17">
        <v>2</v>
      </c>
      <c r="M274" s="64">
        <f t="shared" si="99"/>
        <v>0.66666666666666663</v>
      </c>
      <c r="N274" s="17">
        <v>4</v>
      </c>
      <c r="O274" s="64">
        <f t="shared" si="100"/>
        <v>0.8</v>
      </c>
      <c r="P274" s="17">
        <v>3</v>
      </c>
      <c r="Q274" s="64">
        <f t="shared" si="101"/>
        <v>1</v>
      </c>
      <c r="R274" s="25">
        <v>3</v>
      </c>
      <c r="S274" s="71">
        <f t="shared" si="102"/>
        <v>1</v>
      </c>
      <c r="T274" s="17">
        <v>3</v>
      </c>
      <c r="U274" s="64">
        <f t="shared" si="103"/>
        <v>1</v>
      </c>
      <c r="V274" s="17">
        <v>4</v>
      </c>
      <c r="W274" s="71">
        <f t="shared" si="104"/>
        <v>1</v>
      </c>
      <c r="X274" s="17">
        <v>3</v>
      </c>
      <c r="Y274" s="71">
        <f t="shared" si="105"/>
        <v>1</v>
      </c>
      <c r="Z274" s="17">
        <v>3</v>
      </c>
      <c r="AA274" s="71">
        <f t="shared" si="106"/>
        <v>1</v>
      </c>
      <c r="AB274" s="17">
        <v>0</v>
      </c>
      <c r="AC274" s="71">
        <f t="shared" si="107"/>
        <v>0</v>
      </c>
      <c r="AD274" s="84">
        <v>1</v>
      </c>
      <c r="AE274" s="84">
        <v>0</v>
      </c>
      <c r="AF274" s="84">
        <v>1</v>
      </c>
      <c r="AG274" s="84">
        <v>0</v>
      </c>
      <c r="AH274" s="84">
        <v>0</v>
      </c>
      <c r="AI274" s="84">
        <v>0</v>
      </c>
      <c r="AJ274" s="45">
        <v>2</v>
      </c>
      <c r="AK274" s="71">
        <f t="shared" si="108"/>
        <v>1</v>
      </c>
      <c r="AL274" s="17">
        <v>2</v>
      </c>
      <c r="AM274" s="71">
        <f t="shared" si="109"/>
        <v>0.66666666666666663</v>
      </c>
      <c r="AN274" s="17">
        <v>2</v>
      </c>
      <c r="AO274" s="71">
        <f t="shared" si="110"/>
        <v>0.66666666666666663</v>
      </c>
      <c r="AP274" s="17">
        <v>3</v>
      </c>
      <c r="AQ274" s="71">
        <f t="shared" si="111"/>
        <v>1</v>
      </c>
      <c r="AR274" s="84">
        <v>0</v>
      </c>
      <c r="AS274" s="17">
        <v>3</v>
      </c>
      <c r="AT274" s="71">
        <f t="shared" si="112"/>
        <v>1</v>
      </c>
      <c r="AU274" s="17">
        <v>3</v>
      </c>
      <c r="AV274" s="71">
        <f t="shared" si="113"/>
        <v>1</v>
      </c>
      <c r="AW274" s="17">
        <v>1</v>
      </c>
      <c r="AX274" s="71">
        <f t="shared" si="114"/>
        <v>0.5</v>
      </c>
      <c r="AY274" s="17">
        <v>3</v>
      </c>
      <c r="AZ274" s="71">
        <f t="shared" si="115"/>
        <v>1</v>
      </c>
      <c r="BA274" s="93">
        <v>1</v>
      </c>
      <c r="BB274" s="98">
        <v>1</v>
      </c>
      <c r="BC274" s="98">
        <v>0</v>
      </c>
      <c r="BD274" s="98">
        <v>0</v>
      </c>
      <c r="BE274" s="102">
        <f t="shared" si="116"/>
        <v>1.2741009902410929</v>
      </c>
      <c r="BF274" s="81">
        <f t="shared" si="117"/>
        <v>0.7151023575621388</v>
      </c>
      <c r="BG274" s="81" t="str">
        <f t="shared" si="118"/>
        <v>ALTO</v>
      </c>
      <c r="BK274" s="81" t="str">
        <f t="shared" si="119"/>
        <v>ALTO</v>
      </c>
    </row>
    <row r="275" spans="1:63" x14ac:dyDescent="0.15">
      <c r="A275" s="84">
        <v>4</v>
      </c>
      <c r="B275" s="85">
        <v>2</v>
      </c>
      <c r="C275" s="84">
        <v>3</v>
      </c>
      <c r="D275" s="84">
        <v>0</v>
      </c>
      <c r="E275" s="88">
        <v>1</v>
      </c>
      <c r="F275" s="17">
        <v>2</v>
      </c>
      <c r="G275" s="64">
        <f t="shared" si="96"/>
        <v>1</v>
      </c>
      <c r="H275" s="17">
        <v>1</v>
      </c>
      <c r="I275" s="64">
        <f t="shared" si="97"/>
        <v>0.5</v>
      </c>
      <c r="J275" s="17">
        <v>1</v>
      </c>
      <c r="K275" s="64">
        <f t="shared" si="98"/>
        <v>0.5</v>
      </c>
      <c r="L275" s="17">
        <v>3</v>
      </c>
      <c r="M275" s="64">
        <f t="shared" si="99"/>
        <v>1</v>
      </c>
      <c r="N275" s="17">
        <v>2</v>
      </c>
      <c r="O275" s="64">
        <f t="shared" si="100"/>
        <v>0.4</v>
      </c>
      <c r="P275" s="17">
        <v>3</v>
      </c>
      <c r="Q275" s="64">
        <f t="shared" si="101"/>
        <v>1</v>
      </c>
      <c r="R275" s="25">
        <v>3</v>
      </c>
      <c r="S275" s="71">
        <f t="shared" si="102"/>
        <v>1</v>
      </c>
      <c r="T275" s="17">
        <v>3</v>
      </c>
      <c r="U275" s="64">
        <f t="shared" si="103"/>
        <v>1</v>
      </c>
      <c r="V275" s="17">
        <v>4</v>
      </c>
      <c r="W275" s="71">
        <f t="shared" si="104"/>
        <v>1</v>
      </c>
      <c r="X275" s="17">
        <v>3</v>
      </c>
      <c r="Y275" s="71">
        <f t="shared" si="105"/>
        <v>1</v>
      </c>
      <c r="Z275" s="17">
        <v>3</v>
      </c>
      <c r="AA275" s="71">
        <f t="shared" si="106"/>
        <v>1</v>
      </c>
      <c r="AB275" s="17">
        <v>1</v>
      </c>
      <c r="AC275" s="71">
        <f t="shared" si="107"/>
        <v>0.5</v>
      </c>
      <c r="AD275" s="84">
        <v>0</v>
      </c>
      <c r="AE275" s="84">
        <v>1</v>
      </c>
      <c r="AF275" s="84">
        <v>1</v>
      </c>
      <c r="AG275" s="84">
        <v>0</v>
      </c>
      <c r="AH275" s="84">
        <v>0</v>
      </c>
      <c r="AI275" s="84">
        <v>0</v>
      </c>
      <c r="AJ275" s="45">
        <v>2</v>
      </c>
      <c r="AK275" s="71">
        <f t="shared" si="108"/>
        <v>1</v>
      </c>
      <c r="AL275" s="17">
        <v>3</v>
      </c>
      <c r="AM275" s="71">
        <f t="shared" si="109"/>
        <v>1</v>
      </c>
      <c r="AN275" s="17">
        <v>2</v>
      </c>
      <c r="AO275" s="71">
        <f t="shared" si="110"/>
        <v>0.66666666666666663</v>
      </c>
      <c r="AP275" s="17">
        <v>2</v>
      </c>
      <c r="AQ275" s="71">
        <f t="shared" si="111"/>
        <v>0.66666666666666663</v>
      </c>
      <c r="AR275" s="84">
        <v>1</v>
      </c>
      <c r="AS275" s="17">
        <v>2</v>
      </c>
      <c r="AT275" s="71">
        <f t="shared" si="112"/>
        <v>0.66666666666666663</v>
      </c>
      <c r="AU275" s="17">
        <v>3</v>
      </c>
      <c r="AV275" s="71">
        <f t="shared" si="113"/>
        <v>1</v>
      </c>
      <c r="AW275" s="17">
        <v>1</v>
      </c>
      <c r="AX275" s="71">
        <f t="shared" si="114"/>
        <v>0.5</v>
      </c>
      <c r="AY275" s="17">
        <v>3</v>
      </c>
      <c r="AZ275" s="71">
        <f t="shared" si="115"/>
        <v>1</v>
      </c>
      <c r="BA275" s="93">
        <v>1</v>
      </c>
      <c r="BB275" s="98">
        <v>1</v>
      </c>
      <c r="BC275" s="98">
        <v>0</v>
      </c>
      <c r="BD275" s="98">
        <v>0</v>
      </c>
      <c r="BE275" s="102">
        <f t="shared" si="116"/>
        <v>1.3012814197295424</v>
      </c>
      <c r="BF275" s="81">
        <f t="shared" si="117"/>
        <v>0.70902462876275807</v>
      </c>
      <c r="BG275" s="81" t="str">
        <f t="shared" si="118"/>
        <v>ALTO</v>
      </c>
      <c r="BK275" s="81" t="str">
        <f t="shared" si="119"/>
        <v>ALTO</v>
      </c>
    </row>
    <row r="276" spans="1:63" x14ac:dyDescent="0.15">
      <c r="A276" s="84">
        <v>4</v>
      </c>
      <c r="B276" s="88">
        <v>1</v>
      </c>
      <c r="C276" s="84">
        <v>1</v>
      </c>
      <c r="D276" s="84">
        <v>0</v>
      </c>
      <c r="E276" s="88">
        <v>1</v>
      </c>
      <c r="F276" s="17">
        <v>2</v>
      </c>
      <c r="G276" s="64">
        <f t="shared" si="96"/>
        <v>1</v>
      </c>
      <c r="H276" s="17">
        <v>1</v>
      </c>
      <c r="I276" s="64">
        <f t="shared" si="97"/>
        <v>0.5</v>
      </c>
      <c r="J276" s="17">
        <v>1</v>
      </c>
      <c r="K276" s="64">
        <f t="shared" si="98"/>
        <v>0.5</v>
      </c>
      <c r="L276" s="17">
        <v>1</v>
      </c>
      <c r="M276" s="64">
        <f t="shared" si="99"/>
        <v>0.33333333333333331</v>
      </c>
      <c r="N276" s="17">
        <v>2</v>
      </c>
      <c r="O276" s="64">
        <f t="shared" si="100"/>
        <v>0.4</v>
      </c>
      <c r="P276" s="17">
        <v>3</v>
      </c>
      <c r="Q276" s="64">
        <f t="shared" si="101"/>
        <v>1</v>
      </c>
      <c r="R276" s="25">
        <v>0</v>
      </c>
      <c r="S276" s="71">
        <f t="shared" si="102"/>
        <v>0</v>
      </c>
      <c r="T276" s="17">
        <v>1</v>
      </c>
      <c r="U276" s="64">
        <f t="shared" si="103"/>
        <v>0.33333333333333331</v>
      </c>
      <c r="V276" s="17">
        <v>3</v>
      </c>
      <c r="W276" s="71">
        <f t="shared" si="104"/>
        <v>0.75</v>
      </c>
      <c r="X276" s="17">
        <v>2</v>
      </c>
      <c r="Y276" s="71">
        <f t="shared" si="105"/>
        <v>0.66666666666666663</v>
      </c>
      <c r="Z276" s="17">
        <v>3</v>
      </c>
      <c r="AA276" s="71">
        <f t="shared" si="106"/>
        <v>1</v>
      </c>
      <c r="AB276" s="17">
        <v>2</v>
      </c>
      <c r="AC276" s="71">
        <f t="shared" si="107"/>
        <v>1</v>
      </c>
      <c r="AD276" s="84">
        <v>1</v>
      </c>
      <c r="AE276" s="84">
        <v>0</v>
      </c>
      <c r="AF276" s="84">
        <v>1</v>
      </c>
      <c r="AG276" s="84">
        <v>0</v>
      </c>
      <c r="AH276" s="84">
        <v>0</v>
      </c>
      <c r="AI276" s="84">
        <v>0</v>
      </c>
      <c r="AJ276" s="45">
        <v>1</v>
      </c>
      <c r="AK276" s="71">
        <f t="shared" si="108"/>
        <v>0.5</v>
      </c>
      <c r="AL276" s="17">
        <v>1</v>
      </c>
      <c r="AM276" s="71">
        <f t="shared" si="109"/>
        <v>0.33333333333333331</v>
      </c>
      <c r="AN276" s="17">
        <v>2</v>
      </c>
      <c r="AO276" s="71">
        <f t="shared" si="110"/>
        <v>0.66666666666666663</v>
      </c>
      <c r="AP276" s="17">
        <v>3</v>
      </c>
      <c r="AQ276" s="71">
        <f t="shared" si="111"/>
        <v>1</v>
      </c>
      <c r="AR276" s="84">
        <v>2</v>
      </c>
      <c r="AS276" s="17">
        <v>3</v>
      </c>
      <c r="AT276" s="71">
        <f t="shared" si="112"/>
        <v>1</v>
      </c>
      <c r="AU276" s="17">
        <v>2</v>
      </c>
      <c r="AV276" s="71">
        <f t="shared" si="113"/>
        <v>0.66666666666666663</v>
      </c>
      <c r="AW276" s="17">
        <v>0</v>
      </c>
      <c r="AX276" s="71">
        <f t="shared" si="114"/>
        <v>0</v>
      </c>
      <c r="AY276" s="17">
        <v>2</v>
      </c>
      <c r="AZ276" s="71">
        <f t="shared" si="115"/>
        <v>0.66666666666666663</v>
      </c>
      <c r="BA276" s="93">
        <v>1</v>
      </c>
      <c r="BB276" s="98">
        <v>1</v>
      </c>
      <c r="BC276" s="98">
        <v>0</v>
      </c>
      <c r="BD276" s="98">
        <v>0</v>
      </c>
      <c r="BE276" s="102">
        <f t="shared" si="116"/>
        <v>2.2249219711661303</v>
      </c>
      <c r="BF276" s="81">
        <f t="shared" si="117"/>
        <v>0.50249232278401723</v>
      </c>
      <c r="BG276" s="81" t="str">
        <f t="shared" si="118"/>
        <v>MEDIO</v>
      </c>
      <c r="BK276" s="81" t="str">
        <f t="shared" si="119"/>
        <v>MEDIO</v>
      </c>
    </row>
    <row r="277" spans="1:63" x14ac:dyDescent="0.15">
      <c r="A277" s="84">
        <v>5</v>
      </c>
      <c r="B277" s="85">
        <v>2</v>
      </c>
      <c r="C277" s="84">
        <v>3</v>
      </c>
      <c r="D277" s="84">
        <v>0</v>
      </c>
      <c r="E277" s="88">
        <v>1</v>
      </c>
      <c r="F277" s="17">
        <v>1</v>
      </c>
      <c r="G277" s="64">
        <f t="shared" si="96"/>
        <v>0.5</v>
      </c>
      <c r="H277" s="17">
        <v>1</v>
      </c>
      <c r="I277" s="64">
        <f t="shared" si="97"/>
        <v>0.5</v>
      </c>
      <c r="J277" s="17">
        <v>1</v>
      </c>
      <c r="K277" s="64">
        <f t="shared" si="98"/>
        <v>0.5</v>
      </c>
      <c r="L277" s="17">
        <v>2</v>
      </c>
      <c r="M277" s="64">
        <f t="shared" si="99"/>
        <v>0.66666666666666663</v>
      </c>
      <c r="N277" s="17">
        <v>4</v>
      </c>
      <c r="O277" s="64">
        <f t="shared" si="100"/>
        <v>0.8</v>
      </c>
      <c r="P277" s="17">
        <v>3</v>
      </c>
      <c r="Q277" s="64">
        <f t="shared" si="101"/>
        <v>1</v>
      </c>
      <c r="R277" s="25">
        <v>2</v>
      </c>
      <c r="S277" s="71">
        <f t="shared" si="102"/>
        <v>0.66666666666666663</v>
      </c>
      <c r="T277" s="17">
        <v>2</v>
      </c>
      <c r="U277" s="64">
        <f t="shared" si="103"/>
        <v>0.66666666666666663</v>
      </c>
      <c r="V277" s="17">
        <v>3</v>
      </c>
      <c r="W277" s="71">
        <f t="shared" si="104"/>
        <v>0.75</v>
      </c>
      <c r="X277" s="17">
        <v>2</v>
      </c>
      <c r="Y277" s="71">
        <f t="shared" si="105"/>
        <v>0.66666666666666663</v>
      </c>
      <c r="Z277" s="17">
        <v>3</v>
      </c>
      <c r="AA277" s="71">
        <f t="shared" si="106"/>
        <v>1</v>
      </c>
      <c r="AB277" s="17">
        <v>1</v>
      </c>
      <c r="AC277" s="71">
        <f t="shared" si="107"/>
        <v>0.5</v>
      </c>
      <c r="AD277" s="84">
        <v>1</v>
      </c>
      <c r="AE277" s="84">
        <v>0</v>
      </c>
      <c r="AF277" s="84">
        <v>1</v>
      </c>
      <c r="AG277" s="84">
        <v>0</v>
      </c>
      <c r="AH277" s="84">
        <v>0</v>
      </c>
      <c r="AI277" s="84">
        <v>0</v>
      </c>
      <c r="AJ277" s="45">
        <v>2</v>
      </c>
      <c r="AK277" s="71">
        <f t="shared" si="108"/>
        <v>1</v>
      </c>
      <c r="AL277" s="17">
        <v>1</v>
      </c>
      <c r="AM277" s="71">
        <f t="shared" si="109"/>
        <v>0.33333333333333331</v>
      </c>
      <c r="AN277" s="17">
        <v>1</v>
      </c>
      <c r="AO277" s="71">
        <f t="shared" si="110"/>
        <v>0.33333333333333331</v>
      </c>
      <c r="AP277" s="17">
        <v>1</v>
      </c>
      <c r="AQ277" s="71">
        <f t="shared" si="111"/>
        <v>0.33333333333333331</v>
      </c>
      <c r="AR277" s="84">
        <v>2</v>
      </c>
      <c r="AS277" s="17">
        <v>3</v>
      </c>
      <c r="AT277" s="71">
        <f t="shared" si="112"/>
        <v>1</v>
      </c>
      <c r="AU277" s="17">
        <v>2</v>
      </c>
      <c r="AV277" s="71">
        <f t="shared" si="113"/>
        <v>0.66666666666666663</v>
      </c>
      <c r="AW277" s="17">
        <v>1</v>
      </c>
      <c r="AX277" s="71">
        <f t="shared" si="114"/>
        <v>0.5</v>
      </c>
      <c r="AY277" s="17">
        <v>0</v>
      </c>
      <c r="AZ277" s="71">
        <f t="shared" si="115"/>
        <v>0</v>
      </c>
      <c r="BA277" s="93">
        <v>0</v>
      </c>
      <c r="BB277" s="98">
        <v>0</v>
      </c>
      <c r="BC277" s="98">
        <v>1</v>
      </c>
      <c r="BD277" s="98">
        <v>0</v>
      </c>
      <c r="BE277" s="102">
        <f t="shared" si="116"/>
        <v>2.0594632526192087</v>
      </c>
      <c r="BF277" s="81">
        <f t="shared" si="117"/>
        <v>0.53949001699810606</v>
      </c>
      <c r="BG277" s="81" t="str">
        <f t="shared" si="118"/>
        <v>MEDIO</v>
      </c>
      <c r="BK277" s="81" t="str">
        <f t="shared" si="119"/>
        <v>MEDIO</v>
      </c>
    </row>
    <row r="278" spans="1:63" x14ac:dyDescent="0.15">
      <c r="A278" s="84">
        <v>4</v>
      </c>
      <c r="B278" s="85">
        <v>2</v>
      </c>
      <c r="C278" s="84">
        <v>1</v>
      </c>
      <c r="D278" s="84">
        <v>0</v>
      </c>
      <c r="E278" s="88">
        <v>1</v>
      </c>
      <c r="F278" s="17">
        <v>2</v>
      </c>
      <c r="G278" s="64">
        <f t="shared" si="96"/>
        <v>1</v>
      </c>
      <c r="H278" s="17">
        <v>2</v>
      </c>
      <c r="I278" s="64">
        <f t="shared" si="97"/>
        <v>1</v>
      </c>
      <c r="J278" s="17">
        <v>0</v>
      </c>
      <c r="K278" s="64">
        <f t="shared" si="98"/>
        <v>0</v>
      </c>
      <c r="L278" s="17">
        <v>2</v>
      </c>
      <c r="M278" s="64">
        <f t="shared" si="99"/>
        <v>0.66666666666666663</v>
      </c>
      <c r="N278" s="17">
        <v>4</v>
      </c>
      <c r="O278" s="64">
        <f t="shared" si="100"/>
        <v>0.8</v>
      </c>
      <c r="P278" s="17">
        <v>3</v>
      </c>
      <c r="Q278" s="64">
        <f t="shared" si="101"/>
        <v>1</v>
      </c>
      <c r="R278" s="25">
        <v>2</v>
      </c>
      <c r="S278" s="71">
        <f t="shared" si="102"/>
        <v>0.66666666666666663</v>
      </c>
      <c r="T278" s="17">
        <v>2</v>
      </c>
      <c r="U278" s="64">
        <f t="shared" si="103"/>
        <v>0.66666666666666663</v>
      </c>
      <c r="V278" s="17">
        <v>4</v>
      </c>
      <c r="W278" s="71">
        <f t="shared" si="104"/>
        <v>1</v>
      </c>
      <c r="X278" s="17">
        <v>2</v>
      </c>
      <c r="Y278" s="71">
        <f t="shared" si="105"/>
        <v>0.66666666666666663</v>
      </c>
      <c r="Z278" s="17">
        <v>3</v>
      </c>
      <c r="AA278" s="71">
        <f t="shared" si="106"/>
        <v>1</v>
      </c>
      <c r="AB278" s="17">
        <v>2</v>
      </c>
      <c r="AC278" s="71">
        <f t="shared" si="107"/>
        <v>1</v>
      </c>
      <c r="AD278" s="84">
        <v>1</v>
      </c>
      <c r="AE278" s="84">
        <v>0</v>
      </c>
      <c r="AF278" s="84">
        <v>1</v>
      </c>
      <c r="AG278" s="84">
        <v>0</v>
      </c>
      <c r="AH278" s="84">
        <v>0</v>
      </c>
      <c r="AI278" s="84">
        <v>0</v>
      </c>
      <c r="AJ278" s="45">
        <v>1</v>
      </c>
      <c r="AK278" s="71">
        <f t="shared" si="108"/>
        <v>0.5</v>
      </c>
      <c r="AL278" s="17">
        <v>0</v>
      </c>
      <c r="AM278" s="71">
        <f t="shared" si="109"/>
        <v>0</v>
      </c>
      <c r="AN278" s="17">
        <v>0</v>
      </c>
      <c r="AO278" s="71">
        <f t="shared" si="110"/>
        <v>0</v>
      </c>
      <c r="AP278" s="17">
        <v>2</v>
      </c>
      <c r="AQ278" s="71">
        <f t="shared" si="111"/>
        <v>0.66666666666666663</v>
      </c>
      <c r="AR278" s="84">
        <v>0</v>
      </c>
      <c r="AS278" s="17">
        <v>0</v>
      </c>
      <c r="AT278" s="71">
        <f t="shared" si="112"/>
        <v>0</v>
      </c>
      <c r="AU278" s="17">
        <v>0</v>
      </c>
      <c r="AV278" s="71">
        <f t="shared" si="113"/>
        <v>0</v>
      </c>
      <c r="AW278" s="17">
        <v>0</v>
      </c>
      <c r="AX278" s="71">
        <f t="shared" si="114"/>
        <v>0</v>
      </c>
      <c r="AY278" s="17">
        <v>2</v>
      </c>
      <c r="AZ278" s="71">
        <f t="shared" si="115"/>
        <v>0.66666666666666663</v>
      </c>
      <c r="BA278" s="93">
        <v>0</v>
      </c>
      <c r="BB278" s="98">
        <v>1</v>
      </c>
      <c r="BC278" s="98">
        <v>0</v>
      </c>
      <c r="BD278" s="98">
        <v>0</v>
      </c>
      <c r="BE278" s="102">
        <f t="shared" si="116"/>
        <v>2.6375493676264465</v>
      </c>
      <c r="BF278" s="81">
        <f t="shared" si="117"/>
        <v>0.41022603199762364</v>
      </c>
      <c r="BG278" s="81" t="str">
        <f t="shared" si="118"/>
        <v>MEDIO</v>
      </c>
      <c r="BK278" s="81" t="str">
        <f t="shared" si="119"/>
        <v>BASSO</v>
      </c>
    </row>
    <row r="279" spans="1:63" x14ac:dyDescent="0.15">
      <c r="A279" s="84">
        <v>4</v>
      </c>
      <c r="B279" s="88">
        <v>1</v>
      </c>
      <c r="C279" s="84">
        <v>3</v>
      </c>
      <c r="D279" s="84">
        <v>0</v>
      </c>
      <c r="E279" s="88">
        <v>1</v>
      </c>
      <c r="F279" s="17">
        <v>2</v>
      </c>
      <c r="G279" s="64">
        <f t="shared" si="96"/>
        <v>1</v>
      </c>
      <c r="H279" s="17">
        <v>1</v>
      </c>
      <c r="I279" s="64">
        <f t="shared" si="97"/>
        <v>0.5</v>
      </c>
      <c r="J279" s="17">
        <v>1</v>
      </c>
      <c r="K279" s="64">
        <f t="shared" si="98"/>
        <v>0.5</v>
      </c>
      <c r="L279" s="17">
        <v>3</v>
      </c>
      <c r="M279" s="64">
        <f t="shared" si="99"/>
        <v>1</v>
      </c>
      <c r="N279" s="17">
        <v>1</v>
      </c>
      <c r="O279" s="64">
        <f t="shared" si="100"/>
        <v>0.2</v>
      </c>
      <c r="P279" s="17">
        <v>3</v>
      </c>
      <c r="Q279" s="64">
        <f t="shared" si="101"/>
        <v>1</v>
      </c>
      <c r="R279" s="25">
        <v>2</v>
      </c>
      <c r="S279" s="71">
        <f t="shared" si="102"/>
        <v>0.66666666666666663</v>
      </c>
      <c r="T279" s="17">
        <v>2</v>
      </c>
      <c r="U279" s="64">
        <f t="shared" si="103"/>
        <v>0.66666666666666663</v>
      </c>
      <c r="V279" s="17">
        <v>3</v>
      </c>
      <c r="W279" s="71">
        <f t="shared" si="104"/>
        <v>0.75</v>
      </c>
      <c r="X279" s="17">
        <v>2</v>
      </c>
      <c r="Y279" s="71">
        <f t="shared" si="105"/>
        <v>0.66666666666666663</v>
      </c>
      <c r="Z279" s="17">
        <v>1</v>
      </c>
      <c r="AA279" s="71">
        <f t="shared" si="106"/>
        <v>0.33333333333333331</v>
      </c>
      <c r="AB279" s="17">
        <v>1</v>
      </c>
      <c r="AC279" s="71">
        <f t="shared" si="107"/>
        <v>0.5</v>
      </c>
      <c r="AD279" s="84">
        <v>1</v>
      </c>
      <c r="AE279" s="84">
        <v>0</v>
      </c>
      <c r="AF279" s="84">
        <v>1</v>
      </c>
      <c r="AG279" s="84">
        <v>0</v>
      </c>
      <c r="AH279" s="84">
        <v>0</v>
      </c>
      <c r="AI279" s="84">
        <v>0</v>
      </c>
      <c r="AJ279" s="45">
        <v>1</v>
      </c>
      <c r="AK279" s="71">
        <f t="shared" si="108"/>
        <v>0.5</v>
      </c>
      <c r="AL279" s="17">
        <v>1</v>
      </c>
      <c r="AM279" s="71">
        <f t="shared" si="109"/>
        <v>0.33333333333333331</v>
      </c>
      <c r="AN279" s="17">
        <v>0</v>
      </c>
      <c r="AO279" s="71">
        <f t="shared" si="110"/>
        <v>0</v>
      </c>
      <c r="AP279" s="17">
        <v>2</v>
      </c>
      <c r="AQ279" s="71">
        <f t="shared" si="111"/>
        <v>0.66666666666666663</v>
      </c>
      <c r="AR279" s="84">
        <v>1</v>
      </c>
      <c r="AS279" s="17">
        <v>2</v>
      </c>
      <c r="AT279" s="71">
        <f t="shared" si="112"/>
        <v>0.66666666666666663</v>
      </c>
      <c r="AU279" s="17">
        <v>0</v>
      </c>
      <c r="AV279" s="71">
        <f t="shared" si="113"/>
        <v>0</v>
      </c>
      <c r="AW279" s="17">
        <v>0</v>
      </c>
      <c r="AX279" s="71">
        <f t="shared" si="114"/>
        <v>0</v>
      </c>
      <c r="AY279" s="17">
        <v>2</v>
      </c>
      <c r="AZ279" s="71">
        <f t="shared" si="115"/>
        <v>0.66666666666666663</v>
      </c>
      <c r="BA279" s="93">
        <v>0</v>
      </c>
      <c r="BB279" s="98">
        <v>0</v>
      </c>
      <c r="BC279" s="98">
        <v>0</v>
      </c>
      <c r="BD279" s="98">
        <v>1</v>
      </c>
      <c r="BE279" s="102">
        <f t="shared" si="116"/>
        <v>2.5016105923095933</v>
      </c>
      <c r="BF279" s="81">
        <f t="shared" si="117"/>
        <v>0.44062286623627622</v>
      </c>
      <c r="BG279" s="81" t="str">
        <f t="shared" si="118"/>
        <v>MEDIO</v>
      </c>
      <c r="BK279" s="81" t="str">
        <f t="shared" si="119"/>
        <v>BASSO</v>
      </c>
    </row>
    <row r="280" spans="1:63" x14ac:dyDescent="0.15">
      <c r="A280" s="84">
        <v>5</v>
      </c>
      <c r="B280" s="88">
        <v>1</v>
      </c>
      <c r="C280" s="84">
        <v>0</v>
      </c>
      <c r="D280" s="84">
        <v>0</v>
      </c>
      <c r="E280" s="88">
        <v>1</v>
      </c>
      <c r="F280" s="17">
        <v>2</v>
      </c>
      <c r="G280" s="64">
        <f t="shared" si="96"/>
        <v>1</v>
      </c>
      <c r="H280" s="17">
        <v>1</v>
      </c>
      <c r="I280" s="64">
        <f t="shared" si="97"/>
        <v>0.5</v>
      </c>
      <c r="J280" s="17">
        <v>2</v>
      </c>
      <c r="K280" s="64">
        <f t="shared" si="98"/>
        <v>1</v>
      </c>
      <c r="L280" s="17">
        <v>2</v>
      </c>
      <c r="M280" s="64">
        <f t="shared" si="99"/>
        <v>0.66666666666666663</v>
      </c>
      <c r="N280" s="17">
        <v>4</v>
      </c>
      <c r="O280" s="64">
        <f t="shared" si="100"/>
        <v>0.8</v>
      </c>
      <c r="P280" s="17">
        <v>3</v>
      </c>
      <c r="Q280" s="64">
        <f t="shared" si="101"/>
        <v>1</v>
      </c>
      <c r="R280" s="25">
        <v>2</v>
      </c>
      <c r="S280" s="71">
        <f t="shared" si="102"/>
        <v>0.66666666666666663</v>
      </c>
      <c r="T280" s="17">
        <v>3</v>
      </c>
      <c r="U280" s="64">
        <f t="shared" si="103"/>
        <v>1</v>
      </c>
      <c r="V280" s="17">
        <v>3</v>
      </c>
      <c r="W280" s="71">
        <f t="shared" si="104"/>
        <v>0.75</v>
      </c>
      <c r="X280" s="17">
        <v>3</v>
      </c>
      <c r="Y280" s="71">
        <f t="shared" si="105"/>
        <v>1</v>
      </c>
      <c r="Z280" s="17">
        <v>3</v>
      </c>
      <c r="AA280" s="71">
        <f t="shared" si="106"/>
        <v>1</v>
      </c>
      <c r="AB280" s="17">
        <v>1</v>
      </c>
      <c r="AC280" s="71">
        <f t="shared" si="107"/>
        <v>0.5</v>
      </c>
      <c r="AD280" s="84">
        <v>1</v>
      </c>
      <c r="AE280" s="84">
        <v>0</v>
      </c>
      <c r="AF280" s="84">
        <v>1</v>
      </c>
      <c r="AG280" s="84">
        <v>0</v>
      </c>
      <c r="AH280" s="84">
        <v>0</v>
      </c>
      <c r="AI280" s="84">
        <v>0</v>
      </c>
      <c r="AJ280" s="45">
        <v>0</v>
      </c>
      <c r="AK280" s="71">
        <f t="shared" si="108"/>
        <v>0</v>
      </c>
      <c r="AL280" s="17">
        <v>1</v>
      </c>
      <c r="AM280" s="71">
        <f t="shared" si="109"/>
        <v>0.33333333333333331</v>
      </c>
      <c r="AN280" s="17">
        <v>1</v>
      </c>
      <c r="AO280" s="71">
        <f t="shared" si="110"/>
        <v>0.33333333333333331</v>
      </c>
      <c r="AP280" s="17">
        <v>1</v>
      </c>
      <c r="AQ280" s="71">
        <f t="shared" si="111"/>
        <v>0.33333333333333331</v>
      </c>
      <c r="AR280" s="84">
        <v>2</v>
      </c>
      <c r="AS280" s="17">
        <v>0</v>
      </c>
      <c r="AT280" s="71">
        <f t="shared" si="112"/>
        <v>0</v>
      </c>
      <c r="AU280" s="17">
        <v>3</v>
      </c>
      <c r="AV280" s="71">
        <f t="shared" si="113"/>
        <v>1</v>
      </c>
      <c r="AW280" s="17">
        <v>1</v>
      </c>
      <c r="AX280" s="71">
        <f t="shared" si="114"/>
        <v>0.5</v>
      </c>
      <c r="AY280" s="17">
        <v>3</v>
      </c>
      <c r="AZ280" s="71">
        <f t="shared" si="115"/>
        <v>1</v>
      </c>
      <c r="BA280" s="93">
        <v>0</v>
      </c>
      <c r="BB280" s="98">
        <v>1</v>
      </c>
      <c r="BC280" s="98">
        <v>1</v>
      </c>
      <c r="BD280" s="98">
        <v>0</v>
      </c>
      <c r="BE280" s="102">
        <f t="shared" si="116"/>
        <v>2.0995369859937112</v>
      </c>
      <c r="BF280" s="81">
        <f t="shared" si="117"/>
        <v>0.5305292578043479</v>
      </c>
      <c r="BG280" s="81" t="str">
        <f t="shared" si="118"/>
        <v>MEDIO</v>
      </c>
      <c r="BK280" s="81" t="str">
        <f t="shared" si="119"/>
        <v>MEDIO</v>
      </c>
    </row>
    <row r="281" spans="1:63" x14ac:dyDescent="0.15">
      <c r="A281" s="84">
        <v>3</v>
      </c>
      <c r="B281" s="88">
        <v>1</v>
      </c>
      <c r="C281" s="84">
        <v>3</v>
      </c>
      <c r="D281" s="84">
        <v>0</v>
      </c>
      <c r="E281" s="88">
        <v>1</v>
      </c>
      <c r="F281" s="17">
        <v>1</v>
      </c>
      <c r="G281" s="64">
        <f t="shared" si="96"/>
        <v>0.5</v>
      </c>
      <c r="H281" s="17">
        <v>1</v>
      </c>
      <c r="I281" s="64">
        <f t="shared" si="97"/>
        <v>0.5</v>
      </c>
      <c r="J281" s="17">
        <v>1</v>
      </c>
      <c r="K281" s="64">
        <f t="shared" si="98"/>
        <v>0.5</v>
      </c>
      <c r="L281" s="17">
        <v>2</v>
      </c>
      <c r="M281" s="64">
        <f t="shared" si="99"/>
        <v>0.66666666666666663</v>
      </c>
      <c r="N281" s="17">
        <v>1</v>
      </c>
      <c r="O281" s="64">
        <f t="shared" si="100"/>
        <v>0.2</v>
      </c>
      <c r="P281" s="17">
        <v>0</v>
      </c>
      <c r="Q281" s="64">
        <f t="shared" si="101"/>
        <v>0</v>
      </c>
      <c r="R281" s="25">
        <v>0</v>
      </c>
      <c r="S281" s="71">
        <f t="shared" si="102"/>
        <v>0</v>
      </c>
      <c r="T281" s="17">
        <v>2</v>
      </c>
      <c r="U281" s="64">
        <f t="shared" si="103"/>
        <v>0.66666666666666663</v>
      </c>
      <c r="V281" s="17">
        <v>3</v>
      </c>
      <c r="W281" s="71">
        <f t="shared" si="104"/>
        <v>0.75</v>
      </c>
      <c r="X281" s="17">
        <v>2</v>
      </c>
      <c r="Y281" s="71">
        <f t="shared" si="105"/>
        <v>0.66666666666666663</v>
      </c>
      <c r="Z281" s="17">
        <v>1</v>
      </c>
      <c r="AA281" s="71">
        <f t="shared" si="106"/>
        <v>0.33333333333333331</v>
      </c>
      <c r="AB281" s="17">
        <v>2</v>
      </c>
      <c r="AC281" s="71">
        <f t="shared" si="107"/>
        <v>1</v>
      </c>
      <c r="AD281" s="84">
        <v>1</v>
      </c>
      <c r="AE281" s="84">
        <v>0</v>
      </c>
      <c r="AF281" s="84">
        <v>0</v>
      </c>
      <c r="AG281" s="84">
        <v>1</v>
      </c>
      <c r="AH281" s="84">
        <v>0</v>
      </c>
      <c r="AI281" s="84">
        <v>0</v>
      </c>
      <c r="AJ281" s="45">
        <v>1</v>
      </c>
      <c r="AK281" s="71">
        <f t="shared" si="108"/>
        <v>0.5</v>
      </c>
      <c r="AL281" s="17">
        <v>2</v>
      </c>
      <c r="AM281" s="71">
        <f t="shared" si="109"/>
        <v>0.66666666666666663</v>
      </c>
      <c r="AN281" s="17">
        <v>1</v>
      </c>
      <c r="AO281" s="71">
        <f t="shared" si="110"/>
        <v>0.33333333333333331</v>
      </c>
      <c r="AP281" s="17">
        <v>2</v>
      </c>
      <c r="AQ281" s="71">
        <f t="shared" si="111"/>
        <v>0.66666666666666663</v>
      </c>
      <c r="AR281" s="84">
        <v>2</v>
      </c>
      <c r="AS281" s="17">
        <v>3</v>
      </c>
      <c r="AT281" s="71">
        <f t="shared" si="112"/>
        <v>1</v>
      </c>
      <c r="AU281" s="17">
        <v>2</v>
      </c>
      <c r="AV281" s="71">
        <f t="shared" si="113"/>
        <v>0.66666666666666663</v>
      </c>
      <c r="AW281" s="17">
        <v>1</v>
      </c>
      <c r="AX281" s="71">
        <f t="shared" si="114"/>
        <v>0.5</v>
      </c>
      <c r="AY281" s="17">
        <v>2</v>
      </c>
      <c r="AZ281" s="71">
        <f t="shared" si="115"/>
        <v>0.66666666666666663</v>
      </c>
      <c r="BA281" s="93">
        <v>1</v>
      </c>
      <c r="BB281" s="98">
        <v>0</v>
      </c>
      <c r="BC281" s="98">
        <v>0</v>
      </c>
      <c r="BD281" s="98">
        <v>0</v>
      </c>
      <c r="BE281" s="102">
        <f t="shared" si="116"/>
        <v>2.370478151484773</v>
      </c>
      <c r="BF281" s="81">
        <f t="shared" si="117"/>
        <v>0.46994497141025016</v>
      </c>
      <c r="BG281" s="81" t="str">
        <f t="shared" si="118"/>
        <v>MEDIO</v>
      </c>
      <c r="BK281" s="81" t="str">
        <f t="shared" si="119"/>
        <v>MEDIO</v>
      </c>
    </row>
    <row r="282" spans="1:63" x14ac:dyDescent="0.15">
      <c r="A282" s="84">
        <v>5</v>
      </c>
      <c r="B282" s="85">
        <v>2</v>
      </c>
      <c r="C282" s="84">
        <v>1</v>
      </c>
      <c r="D282" s="84">
        <v>0</v>
      </c>
      <c r="E282" s="88">
        <v>1</v>
      </c>
      <c r="F282" s="17">
        <v>1</v>
      </c>
      <c r="G282" s="64">
        <f t="shared" si="96"/>
        <v>0.5</v>
      </c>
      <c r="H282" s="17">
        <v>2</v>
      </c>
      <c r="I282" s="64">
        <f t="shared" si="97"/>
        <v>1</v>
      </c>
      <c r="J282" s="17">
        <v>1</v>
      </c>
      <c r="K282" s="64">
        <f t="shared" si="98"/>
        <v>0.5</v>
      </c>
      <c r="L282" s="17">
        <v>2</v>
      </c>
      <c r="M282" s="64">
        <f t="shared" si="99"/>
        <v>0.66666666666666663</v>
      </c>
      <c r="N282" s="17">
        <v>2</v>
      </c>
      <c r="O282" s="64">
        <f t="shared" si="100"/>
        <v>0.4</v>
      </c>
      <c r="P282" s="17">
        <v>2</v>
      </c>
      <c r="Q282" s="64">
        <f t="shared" si="101"/>
        <v>0.66666666666666663</v>
      </c>
      <c r="R282" s="25">
        <v>3</v>
      </c>
      <c r="S282" s="71">
        <f t="shared" si="102"/>
        <v>1</v>
      </c>
      <c r="T282" s="17">
        <v>3</v>
      </c>
      <c r="U282" s="64">
        <f t="shared" si="103"/>
        <v>1</v>
      </c>
      <c r="V282" s="17">
        <v>3</v>
      </c>
      <c r="W282" s="71">
        <f t="shared" si="104"/>
        <v>0.75</v>
      </c>
      <c r="X282" s="17">
        <v>2</v>
      </c>
      <c r="Y282" s="71">
        <f t="shared" si="105"/>
        <v>0.66666666666666663</v>
      </c>
      <c r="Z282" s="17">
        <v>3</v>
      </c>
      <c r="AA282" s="71">
        <f t="shared" si="106"/>
        <v>1</v>
      </c>
      <c r="AB282" s="17">
        <v>0</v>
      </c>
      <c r="AC282" s="71">
        <f t="shared" si="107"/>
        <v>0</v>
      </c>
      <c r="AD282" s="84">
        <v>1</v>
      </c>
      <c r="AE282" s="84">
        <v>0</v>
      </c>
      <c r="AF282" s="84">
        <v>1</v>
      </c>
      <c r="AG282" s="84">
        <v>0</v>
      </c>
      <c r="AH282" s="84">
        <v>0</v>
      </c>
      <c r="AI282" s="84">
        <v>0</v>
      </c>
      <c r="AJ282" s="45">
        <v>1</v>
      </c>
      <c r="AK282" s="71">
        <f t="shared" si="108"/>
        <v>0.5</v>
      </c>
      <c r="AL282" s="17">
        <v>2</v>
      </c>
      <c r="AM282" s="71">
        <f t="shared" si="109"/>
        <v>0.66666666666666663</v>
      </c>
      <c r="AN282" s="17">
        <v>0</v>
      </c>
      <c r="AO282" s="71">
        <f t="shared" si="110"/>
        <v>0</v>
      </c>
      <c r="AP282" s="17">
        <v>0</v>
      </c>
      <c r="AQ282" s="71">
        <f t="shared" si="111"/>
        <v>0</v>
      </c>
      <c r="AR282" s="84">
        <v>1</v>
      </c>
      <c r="AS282" s="17">
        <v>3</v>
      </c>
      <c r="AT282" s="71">
        <f t="shared" si="112"/>
        <v>1</v>
      </c>
      <c r="AU282" s="17">
        <v>3</v>
      </c>
      <c r="AV282" s="71">
        <f t="shared" si="113"/>
        <v>1</v>
      </c>
      <c r="AW282" s="17">
        <v>0</v>
      </c>
      <c r="AX282" s="71">
        <f t="shared" si="114"/>
        <v>0</v>
      </c>
      <c r="AY282" s="17">
        <v>3</v>
      </c>
      <c r="AZ282" s="71">
        <f t="shared" si="115"/>
        <v>1</v>
      </c>
      <c r="BA282" s="93">
        <v>0</v>
      </c>
      <c r="BB282" s="98">
        <v>1</v>
      </c>
      <c r="BC282" s="98">
        <v>1</v>
      </c>
      <c r="BD282" s="98">
        <v>0</v>
      </c>
      <c r="BE282" s="102">
        <f t="shared" si="116"/>
        <v>2.3700093764465247</v>
      </c>
      <c r="BF282" s="81">
        <f t="shared" si="117"/>
        <v>0.47004979269541802</v>
      </c>
      <c r="BG282" s="81" t="str">
        <f t="shared" si="118"/>
        <v>MEDIO</v>
      </c>
      <c r="BK282" s="81" t="str">
        <f t="shared" si="119"/>
        <v>MEDIO</v>
      </c>
    </row>
    <row r="283" spans="1:63" x14ac:dyDescent="0.15">
      <c r="A283" s="84">
        <v>5</v>
      </c>
      <c r="B283" s="85">
        <v>2</v>
      </c>
      <c r="C283" s="84">
        <v>3</v>
      </c>
      <c r="D283" s="84">
        <v>0</v>
      </c>
      <c r="E283" s="88">
        <v>1</v>
      </c>
      <c r="F283" s="17">
        <v>1</v>
      </c>
      <c r="G283" s="64">
        <f t="shared" si="96"/>
        <v>0.5</v>
      </c>
      <c r="H283" s="17">
        <v>2</v>
      </c>
      <c r="I283" s="64">
        <f t="shared" si="97"/>
        <v>1</v>
      </c>
      <c r="J283" s="17">
        <v>1</v>
      </c>
      <c r="K283" s="64">
        <f t="shared" si="98"/>
        <v>0.5</v>
      </c>
      <c r="L283" s="17">
        <v>3</v>
      </c>
      <c r="M283" s="64">
        <f t="shared" si="99"/>
        <v>1</v>
      </c>
      <c r="N283" s="17">
        <v>4</v>
      </c>
      <c r="O283" s="64">
        <f t="shared" si="100"/>
        <v>0.8</v>
      </c>
      <c r="P283" s="17">
        <v>3</v>
      </c>
      <c r="Q283" s="64">
        <f t="shared" si="101"/>
        <v>1</v>
      </c>
      <c r="R283" s="25">
        <v>0</v>
      </c>
      <c r="S283" s="71">
        <f t="shared" si="102"/>
        <v>0</v>
      </c>
      <c r="T283" s="17">
        <v>1</v>
      </c>
      <c r="U283" s="64">
        <f t="shared" si="103"/>
        <v>0.33333333333333331</v>
      </c>
      <c r="V283" s="17">
        <v>3</v>
      </c>
      <c r="W283" s="71">
        <f t="shared" si="104"/>
        <v>0.75</v>
      </c>
      <c r="X283" s="17">
        <v>0</v>
      </c>
      <c r="Y283" s="71">
        <f t="shared" si="105"/>
        <v>0</v>
      </c>
      <c r="Z283" s="17">
        <v>1</v>
      </c>
      <c r="AA283" s="71">
        <f t="shared" si="106"/>
        <v>0.33333333333333331</v>
      </c>
      <c r="AB283" s="17">
        <v>2</v>
      </c>
      <c r="AC283" s="71">
        <f t="shared" si="107"/>
        <v>1</v>
      </c>
      <c r="AD283" s="84">
        <v>1</v>
      </c>
      <c r="AE283" s="84">
        <v>0</v>
      </c>
      <c r="AF283" s="84">
        <v>1</v>
      </c>
      <c r="AG283" s="84">
        <v>0</v>
      </c>
      <c r="AH283" s="84">
        <v>0</v>
      </c>
      <c r="AI283" s="84">
        <v>0</v>
      </c>
      <c r="AJ283" s="45">
        <v>0</v>
      </c>
      <c r="AK283" s="71">
        <f t="shared" si="108"/>
        <v>0</v>
      </c>
      <c r="AL283" s="17">
        <v>3</v>
      </c>
      <c r="AM283" s="71">
        <f t="shared" si="109"/>
        <v>1</v>
      </c>
      <c r="AN283" s="17">
        <v>0</v>
      </c>
      <c r="AO283" s="71">
        <f t="shared" si="110"/>
        <v>0</v>
      </c>
      <c r="AP283" s="17">
        <v>1</v>
      </c>
      <c r="AQ283" s="71">
        <f t="shared" si="111"/>
        <v>0.33333333333333331</v>
      </c>
      <c r="AR283" s="84">
        <v>2</v>
      </c>
      <c r="AS283" s="17">
        <v>1</v>
      </c>
      <c r="AT283" s="71">
        <f t="shared" si="112"/>
        <v>0.33333333333333331</v>
      </c>
      <c r="AU283" s="17">
        <v>2</v>
      </c>
      <c r="AV283" s="71">
        <f t="shared" si="113"/>
        <v>0.66666666666666663</v>
      </c>
      <c r="AW283" s="17">
        <v>0</v>
      </c>
      <c r="AX283" s="71">
        <f t="shared" si="114"/>
        <v>0</v>
      </c>
      <c r="AY283" s="17">
        <v>2</v>
      </c>
      <c r="AZ283" s="71">
        <f t="shared" si="115"/>
        <v>0.66666666666666663</v>
      </c>
      <c r="BA283" s="93">
        <v>0</v>
      </c>
      <c r="BB283" s="98">
        <v>0</v>
      </c>
      <c r="BC283" s="98">
        <v>0</v>
      </c>
      <c r="BD283" s="98">
        <v>1</v>
      </c>
      <c r="BE283" s="102">
        <f t="shared" si="116"/>
        <v>2.7572631357924475</v>
      </c>
      <c r="BF283" s="81">
        <f t="shared" si="117"/>
        <v>0.3834572196514433</v>
      </c>
      <c r="BG283" s="81" t="str">
        <f t="shared" si="118"/>
        <v>MEDIO</v>
      </c>
      <c r="BK283" s="81" t="str">
        <f t="shared" si="119"/>
        <v>BASSO</v>
      </c>
    </row>
    <row r="284" spans="1:63" x14ac:dyDescent="0.15">
      <c r="A284" s="84">
        <v>5</v>
      </c>
      <c r="B284" s="85">
        <v>2</v>
      </c>
      <c r="C284" s="84">
        <v>3</v>
      </c>
      <c r="D284" s="84">
        <v>0</v>
      </c>
      <c r="E284" s="88">
        <v>1</v>
      </c>
      <c r="F284" s="17">
        <v>1</v>
      </c>
      <c r="G284" s="64">
        <f t="shared" si="96"/>
        <v>0.5</v>
      </c>
      <c r="H284" s="17">
        <v>2</v>
      </c>
      <c r="I284" s="64">
        <f t="shared" si="97"/>
        <v>1</v>
      </c>
      <c r="J284" s="17">
        <v>2</v>
      </c>
      <c r="K284" s="64">
        <f t="shared" si="98"/>
        <v>1</v>
      </c>
      <c r="L284" s="17">
        <v>3</v>
      </c>
      <c r="M284" s="64">
        <f t="shared" si="99"/>
        <v>1</v>
      </c>
      <c r="N284" s="17">
        <v>5</v>
      </c>
      <c r="O284" s="64">
        <f t="shared" si="100"/>
        <v>1</v>
      </c>
      <c r="P284" s="17">
        <v>3</v>
      </c>
      <c r="Q284" s="64">
        <f t="shared" si="101"/>
        <v>1</v>
      </c>
      <c r="R284" s="25">
        <v>3</v>
      </c>
      <c r="S284" s="71">
        <f t="shared" si="102"/>
        <v>1</v>
      </c>
      <c r="T284" s="17">
        <v>3</v>
      </c>
      <c r="U284" s="64">
        <f t="shared" si="103"/>
        <v>1</v>
      </c>
      <c r="V284" s="17">
        <v>0</v>
      </c>
      <c r="W284" s="71">
        <f t="shared" si="104"/>
        <v>0</v>
      </c>
      <c r="X284" s="17">
        <v>3</v>
      </c>
      <c r="Y284" s="71">
        <f t="shared" si="105"/>
        <v>1</v>
      </c>
      <c r="Z284" s="17">
        <v>3</v>
      </c>
      <c r="AA284" s="71">
        <f t="shared" si="106"/>
        <v>1</v>
      </c>
      <c r="AB284" s="17">
        <v>0</v>
      </c>
      <c r="AC284" s="71">
        <f t="shared" si="107"/>
        <v>0</v>
      </c>
      <c r="AD284" s="84">
        <v>1</v>
      </c>
      <c r="AE284" s="84">
        <v>0</v>
      </c>
      <c r="AF284" s="84">
        <v>1</v>
      </c>
      <c r="AG284" s="84">
        <v>0</v>
      </c>
      <c r="AH284" s="84">
        <v>0</v>
      </c>
      <c r="AI284" s="84">
        <v>0</v>
      </c>
      <c r="AJ284" s="45">
        <v>2</v>
      </c>
      <c r="AK284" s="71">
        <f t="shared" si="108"/>
        <v>1</v>
      </c>
      <c r="AL284" s="17">
        <v>1</v>
      </c>
      <c r="AM284" s="71">
        <f t="shared" si="109"/>
        <v>0.33333333333333331</v>
      </c>
      <c r="AN284" s="17">
        <v>0</v>
      </c>
      <c r="AO284" s="71">
        <f t="shared" si="110"/>
        <v>0</v>
      </c>
      <c r="AP284" s="17">
        <v>3</v>
      </c>
      <c r="AQ284" s="71">
        <f t="shared" si="111"/>
        <v>1</v>
      </c>
      <c r="AR284" s="84">
        <v>1</v>
      </c>
      <c r="AS284" s="17">
        <v>2</v>
      </c>
      <c r="AT284" s="71">
        <f t="shared" si="112"/>
        <v>0.66666666666666663</v>
      </c>
      <c r="AU284" s="17">
        <v>3</v>
      </c>
      <c r="AV284" s="71">
        <f t="shared" si="113"/>
        <v>1</v>
      </c>
      <c r="AW284" s="17">
        <v>1</v>
      </c>
      <c r="AX284" s="71">
        <f t="shared" si="114"/>
        <v>0.5</v>
      </c>
      <c r="AY284" s="17">
        <v>3</v>
      </c>
      <c r="AZ284" s="71">
        <f t="shared" si="115"/>
        <v>1</v>
      </c>
      <c r="BA284" s="93">
        <v>1</v>
      </c>
      <c r="BB284" s="98">
        <v>1</v>
      </c>
      <c r="BC284" s="98">
        <v>0</v>
      </c>
      <c r="BD284" s="98">
        <v>0</v>
      </c>
      <c r="BE284" s="102">
        <f t="shared" si="116"/>
        <v>2.0138409955990952</v>
      </c>
      <c r="BF284" s="81">
        <f t="shared" si="117"/>
        <v>0.54969146379649914</v>
      </c>
      <c r="BG284" s="81" t="str">
        <f t="shared" si="118"/>
        <v>MEDIO</v>
      </c>
      <c r="BK284" s="81" t="str">
        <f t="shared" si="119"/>
        <v>MEDIO</v>
      </c>
    </row>
    <row r="285" spans="1:63" x14ac:dyDescent="0.15">
      <c r="A285" s="84">
        <v>2</v>
      </c>
      <c r="B285" s="85">
        <v>2</v>
      </c>
      <c r="C285" s="84">
        <v>1</v>
      </c>
      <c r="D285" s="84">
        <v>0</v>
      </c>
      <c r="E285" s="88">
        <v>1</v>
      </c>
      <c r="F285" s="17">
        <v>2</v>
      </c>
      <c r="G285" s="64">
        <f t="shared" si="96"/>
        <v>1</v>
      </c>
      <c r="H285" s="17">
        <v>1</v>
      </c>
      <c r="I285" s="64">
        <f t="shared" si="97"/>
        <v>0.5</v>
      </c>
      <c r="J285" s="17">
        <v>2</v>
      </c>
      <c r="K285" s="64">
        <f t="shared" si="98"/>
        <v>1</v>
      </c>
      <c r="L285" s="17">
        <v>2</v>
      </c>
      <c r="M285" s="64">
        <f t="shared" si="99"/>
        <v>0.66666666666666663</v>
      </c>
      <c r="N285" s="17">
        <v>4</v>
      </c>
      <c r="O285" s="64">
        <f t="shared" si="100"/>
        <v>0.8</v>
      </c>
      <c r="P285" s="17">
        <v>3</v>
      </c>
      <c r="Q285" s="64">
        <f t="shared" si="101"/>
        <v>1</v>
      </c>
      <c r="R285" s="25">
        <v>3</v>
      </c>
      <c r="S285" s="71">
        <f t="shared" si="102"/>
        <v>1</v>
      </c>
      <c r="T285" s="17">
        <v>2</v>
      </c>
      <c r="U285" s="64">
        <f t="shared" si="103"/>
        <v>0.66666666666666663</v>
      </c>
      <c r="V285" s="17">
        <v>4</v>
      </c>
      <c r="W285" s="71">
        <f t="shared" si="104"/>
        <v>1</v>
      </c>
      <c r="X285" s="17">
        <v>3</v>
      </c>
      <c r="Y285" s="71">
        <f t="shared" si="105"/>
        <v>1</v>
      </c>
      <c r="Z285" s="17">
        <v>3</v>
      </c>
      <c r="AA285" s="71">
        <f t="shared" si="106"/>
        <v>1</v>
      </c>
      <c r="AB285" s="17">
        <v>0</v>
      </c>
      <c r="AC285" s="71">
        <f t="shared" si="107"/>
        <v>0</v>
      </c>
      <c r="AD285" s="84">
        <v>1</v>
      </c>
      <c r="AE285" s="84">
        <v>0</v>
      </c>
      <c r="AF285" s="84">
        <v>1</v>
      </c>
      <c r="AG285" s="84">
        <v>0</v>
      </c>
      <c r="AH285" s="84">
        <v>0</v>
      </c>
      <c r="AI285" s="84">
        <v>0</v>
      </c>
      <c r="AJ285" s="45">
        <v>2</v>
      </c>
      <c r="AK285" s="71">
        <f t="shared" si="108"/>
        <v>1</v>
      </c>
      <c r="AL285" s="17">
        <v>2</v>
      </c>
      <c r="AM285" s="71">
        <f t="shared" si="109"/>
        <v>0.66666666666666663</v>
      </c>
      <c r="AN285" s="17">
        <v>1</v>
      </c>
      <c r="AO285" s="71">
        <f t="shared" si="110"/>
        <v>0.33333333333333331</v>
      </c>
      <c r="AP285" s="17">
        <v>3</v>
      </c>
      <c r="AQ285" s="71">
        <f t="shared" si="111"/>
        <v>1</v>
      </c>
      <c r="AR285" s="84">
        <v>0</v>
      </c>
      <c r="AS285" s="17">
        <v>2</v>
      </c>
      <c r="AT285" s="71">
        <f t="shared" si="112"/>
        <v>0.66666666666666663</v>
      </c>
      <c r="AU285" s="17">
        <v>2</v>
      </c>
      <c r="AV285" s="71">
        <f t="shared" si="113"/>
        <v>0.66666666666666663</v>
      </c>
      <c r="AW285" s="17">
        <v>2</v>
      </c>
      <c r="AX285" s="71">
        <f t="shared" si="114"/>
        <v>1</v>
      </c>
      <c r="AY285" s="17">
        <v>3</v>
      </c>
      <c r="AZ285" s="71">
        <f t="shared" si="115"/>
        <v>1</v>
      </c>
      <c r="BA285" s="93">
        <v>1</v>
      </c>
      <c r="BB285" s="98">
        <v>0</v>
      </c>
      <c r="BC285" s="98">
        <v>1</v>
      </c>
      <c r="BD285" s="98">
        <v>0</v>
      </c>
      <c r="BE285" s="102">
        <f t="shared" si="116"/>
        <v>1.5132745950421558</v>
      </c>
      <c r="BF285" s="81">
        <f t="shared" si="117"/>
        <v>0.6616215136862591</v>
      </c>
      <c r="BG285" s="81" t="str">
        <f t="shared" si="118"/>
        <v>ALTO</v>
      </c>
      <c r="BK285" s="81" t="str">
        <f t="shared" si="119"/>
        <v>ALTO</v>
      </c>
    </row>
    <row r="286" spans="1:63" x14ac:dyDescent="0.15">
      <c r="A286" s="84">
        <v>4</v>
      </c>
      <c r="B286" s="88">
        <v>1</v>
      </c>
      <c r="C286" s="84">
        <v>3</v>
      </c>
      <c r="D286" s="84">
        <v>0</v>
      </c>
      <c r="E286" s="88">
        <v>1</v>
      </c>
      <c r="F286" s="17">
        <v>2</v>
      </c>
      <c r="G286" s="64">
        <f t="shared" si="96"/>
        <v>1</v>
      </c>
      <c r="H286" s="17">
        <v>2</v>
      </c>
      <c r="I286" s="64">
        <f t="shared" si="97"/>
        <v>1</v>
      </c>
      <c r="J286" s="17">
        <v>2</v>
      </c>
      <c r="K286" s="64">
        <f t="shared" si="98"/>
        <v>1</v>
      </c>
      <c r="L286" s="17">
        <v>3</v>
      </c>
      <c r="M286" s="64">
        <f t="shared" si="99"/>
        <v>1</v>
      </c>
      <c r="N286" s="17">
        <v>2</v>
      </c>
      <c r="O286" s="64">
        <f t="shared" si="100"/>
        <v>0.4</v>
      </c>
      <c r="P286" s="17">
        <v>3</v>
      </c>
      <c r="Q286" s="64">
        <f t="shared" si="101"/>
        <v>1</v>
      </c>
      <c r="R286" s="25">
        <v>2</v>
      </c>
      <c r="S286" s="71">
        <f t="shared" si="102"/>
        <v>0.66666666666666663</v>
      </c>
      <c r="T286" s="17">
        <v>3</v>
      </c>
      <c r="U286" s="64">
        <f t="shared" si="103"/>
        <v>1</v>
      </c>
      <c r="V286" s="17">
        <v>3</v>
      </c>
      <c r="W286" s="71">
        <f t="shared" si="104"/>
        <v>0.75</v>
      </c>
      <c r="X286" s="17">
        <v>1</v>
      </c>
      <c r="Y286" s="71">
        <f t="shared" si="105"/>
        <v>0.33333333333333331</v>
      </c>
      <c r="Z286" s="17">
        <v>3</v>
      </c>
      <c r="AA286" s="71">
        <f t="shared" si="106"/>
        <v>1</v>
      </c>
      <c r="AB286" s="17">
        <v>1</v>
      </c>
      <c r="AC286" s="71">
        <f t="shared" si="107"/>
        <v>0.5</v>
      </c>
      <c r="AD286" s="84">
        <v>1</v>
      </c>
      <c r="AE286" s="84">
        <v>0</v>
      </c>
      <c r="AF286" s="84">
        <v>1</v>
      </c>
      <c r="AG286" s="84">
        <v>0</v>
      </c>
      <c r="AH286" s="84">
        <v>0</v>
      </c>
      <c r="AI286" s="84">
        <v>0</v>
      </c>
      <c r="AJ286" s="45">
        <v>2</v>
      </c>
      <c r="AK286" s="71">
        <f t="shared" si="108"/>
        <v>1</v>
      </c>
      <c r="AL286" s="17">
        <v>0</v>
      </c>
      <c r="AM286" s="71">
        <f t="shared" si="109"/>
        <v>0</v>
      </c>
      <c r="AN286" s="17">
        <v>1</v>
      </c>
      <c r="AO286" s="71">
        <f t="shared" si="110"/>
        <v>0.33333333333333331</v>
      </c>
      <c r="AP286" s="17">
        <v>3</v>
      </c>
      <c r="AQ286" s="71">
        <f t="shared" si="111"/>
        <v>1</v>
      </c>
      <c r="AR286" s="84">
        <v>0</v>
      </c>
      <c r="AS286" s="17">
        <v>2</v>
      </c>
      <c r="AT286" s="71">
        <f t="shared" si="112"/>
        <v>0.66666666666666663</v>
      </c>
      <c r="AU286" s="17">
        <v>3</v>
      </c>
      <c r="AV286" s="71">
        <f t="shared" si="113"/>
        <v>1</v>
      </c>
      <c r="AW286" s="17">
        <v>1</v>
      </c>
      <c r="AX286" s="71">
        <f t="shared" si="114"/>
        <v>0.5</v>
      </c>
      <c r="AY286" s="17">
        <v>3</v>
      </c>
      <c r="AZ286" s="71">
        <f t="shared" si="115"/>
        <v>1</v>
      </c>
      <c r="BA286" s="93">
        <v>0</v>
      </c>
      <c r="BB286" s="98">
        <v>1</v>
      </c>
      <c r="BC286" s="98">
        <v>1</v>
      </c>
      <c r="BD286" s="98">
        <v>0</v>
      </c>
      <c r="BE286" s="102">
        <f t="shared" si="116"/>
        <v>1.741726474252232</v>
      </c>
      <c r="BF286" s="81">
        <f t="shared" si="117"/>
        <v>0.61053812053613377</v>
      </c>
      <c r="BG286" s="81" t="str">
        <f t="shared" si="118"/>
        <v>MEDIO</v>
      </c>
      <c r="BK286" s="81" t="str">
        <f t="shared" si="119"/>
        <v>MEDIO</v>
      </c>
    </row>
    <row r="287" spans="1:63" x14ac:dyDescent="0.15">
      <c r="A287" s="84">
        <v>4</v>
      </c>
      <c r="B287" s="88">
        <v>1</v>
      </c>
      <c r="C287" s="84">
        <v>3</v>
      </c>
      <c r="D287" s="84">
        <v>0</v>
      </c>
      <c r="E287" s="88">
        <v>1</v>
      </c>
      <c r="F287" s="17">
        <v>1</v>
      </c>
      <c r="G287" s="64">
        <f t="shared" si="96"/>
        <v>0.5</v>
      </c>
      <c r="H287" s="17">
        <v>1</v>
      </c>
      <c r="I287" s="64">
        <f t="shared" si="97"/>
        <v>0.5</v>
      </c>
      <c r="J287" s="17">
        <v>0</v>
      </c>
      <c r="K287" s="64">
        <f t="shared" si="98"/>
        <v>0</v>
      </c>
      <c r="L287" s="17">
        <v>0</v>
      </c>
      <c r="M287" s="64">
        <f t="shared" si="99"/>
        <v>0</v>
      </c>
      <c r="N287" s="17">
        <v>5</v>
      </c>
      <c r="O287" s="64">
        <f t="shared" si="100"/>
        <v>1</v>
      </c>
      <c r="P287" s="17">
        <v>0</v>
      </c>
      <c r="Q287" s="64">
        <f t="shared" si="101"/>
        <v>0</v>
      </c>
      <c r="R287" s="25">
        <v>0</v>
      </c>
      <c r="S287" s="71">
        <f t="shared" si="102"/>
        <v>0</v>
      </c>
      <c r="T287" s="17">
        <v>0</v>
      </c>
      <c r="U287" s="64">
        <f t="shared" si="103"/>
        <v>0</v>
      </c>
      <c r="V287" s="17">
        <v>3</v>
      </c>
      <c r="W287" s="71">
        <f t="shared" si="104"/>
        <v>0.75</v>
      </c>
      <c r="X287" s="17">
        <v>0</v>
      </c>
      <c r="Y287" s="71">
        <f t="shared" si="105"/>
        <v>0</v>
      </c>
      <c r="Z287" s="17">
        <v>1</v>
      </c>
      <c r="AA287" s="71">
        <f t="shared" si="106"/>
        <v>0.33333333333333331</v>
      </c>
      <c r="AB287" s="17">
        <v>2</v>
      </c>
      <c r="AC287" s="71">
        <f t="shared" si="107"/>
        <v>1</v>
      </c>
      <c r="AD287" s="84">
        <v>1</v>
      </c>
      <c r="AE287" s="84">
        <v>0</v>
      </c>
      <c r="AF287" s="84">
        <v>0</v>
      </c>
      <c r="AG287" s="84">
        <v>1</v>
      </c>
      <c r="AH287" s="84">
        <v>0</v>
      </c>
      <c r="AI287" s="84">
        <v>0</v>
      </c>
      <c r="AJ287" s="45">
        <v>0</v>
      </c>
      <c r="AK287" s="71">
        <f t="shared" si="108"/>
        <v>0</v>
      </c>
      <c r="AL287" s="17">
        <v>1</v>
      </c>
      <c r="AM287" s="71">
        <f t="shared" si="109"/>
        <v>0.33333333333333331</v>
      </c>
      <c r="AN287" s="17">
        <v>0</v>
      </c>
      <c r="AO287" s="71">
        <f t="shared" si="110"/>
        <v>0</v>
      </c>
      <c r="AP287" s="17">
        <v>0</v>
      </c>
      <c r="AQ287" s="71">
        <f t="shared" si="111"/>
        <v>0</v>
      </c>
      <c r="AR287" s="84">
        <v>3</v>
      </c>
      <c r="AS287" s="17">
        <v>1</v>
      </c>
      <c r="AT287" s="71">
        <f t="shared" si="112"/>
        <v>0.33333333333333331</v>
      </c>
      <c r="AU287" s="17">
        <v>0</v>
      </c>
      <c r="AV287" s="71">
        <f t="shared" si="113"/>
        <v>0</v>
      </c>
      <c r="AW287" s="17">
        <v>0</v>
      </c>
      <c r="AX287" s="71">
        <f t="shared" si="114"/>
        <v>0</v>
      </c>
      <c r="AY287" s="17">
        <v>2</v>
      </c>
      <c r="AZ287" s="71">
        <f t="shared" si="115"/>
        <v>0.66666666666666663</v>
      </c>
      <c r="BA287" s="93">
        <v>0</v>
      </c>
      <c r="BB287" s="98">
        <v>0</v>
      </c>
      <c r="BC287" s="98">
        <v>0</v>
      </c>
      <c r="BD287" s="98">
        <v>1</v>
      </c>
      <c r="BE287" s="102">
        <f t="shared" si="116"/>
        <v>3.6065141680637338</v>
      </c>
      <c r="BF287" s="81">
        <f t="shared" si="117"/>
        <v>0.19355891583941476</v>
      </c>
      <c r="BG287" s="81" t="str">
        <f t="shared" si="118"/>
        <v>BASSO</v>
      </c>
      <c r="BK287" s="81" t="str">
        <f t="shared" si="119"/>
        <v>MOLTO BASSO</v>
      </c>
    </row>
    <row r="288" spans="1:63" x14ac:dyDescent="0.15">
      <c r="A288" s="84">
        <v>4</v>
      </c>
      <c r="B288" s="88">
        <v>1</v>
      </c>
      <c r="C288" s="84">
        <v>3</v>
      </c>
      <c r="D288" s="84">
        <v>0</v>
      </c>
      <c r="E288" s="88">
        <v>1</v>
      </c>
      <c r="F288" s="17">
        <v>2</v>
      </c>
      <c r="G288" s="64">
        <f t="shared" si="96"/>
        <v>1</v>
      </c>
      <c r="H288" s="17">
        <v>1</v>
      </c>
      <c r="I288" s="64">
        <f t="shared" si="97"/>
        <v>0.5</v>
      </c>
      <c r="J288" s="17">
        <v>2</v>
      </c>
      <c r="K288" s="64">
        <f t="shared" si="98"/>
        <v>1</v>
      </c>
      <c r="L288" s="17">
        <v>3</v>
      </c>
      <c r="M288" s="64">
        <f t="shared" si="99"/>
        <v>1</v>
      </c>
      <c r="N288" s="17">
        <v>4</v>
      </c>
      <c r="O288" s="64">
        <f t="shared" si="100"/>
        <v>0.8</v>
      </c>
      <c r="P288" s="17">
        <v>2</v>
      </c>
      <c r="Q288" s="64">
        <f t="shared" si="101"/>
        <v>0.66666666666666663</v>
      </c>
      <c r="R288" s="25">
        <v>0</v>
      </c>
      <c r="S288" s="71">
        <f t="shared" si="102"/>
        <v>0</v>
      </c>
      <c r="T288" s="17">
        <v>3</v>
      </c>
      <c r="U288" s="64">
        <f t="shared" si="103"/>
        <v>1</v>
      </c>
      <c r="V288" s="17">
        <v>3</v>
      </c>
      <c r="W288" s="71">
        <f t="shared" si="104"/>
        <v>0.75</v>
      </c>
      <c r="X288" s="17">
        <v>2</v>
      </c>
      <c r="Y288" s="71">
        <f t="shared" si="105"/>
        <v>0.66666666666666663</v>
      </c>
      <c r="Z288" s="17">
        <v>3</v>
      </c>
      <c r="AA288" s="71">
        <f t="shared" si="106"/>
        <v>1</v>
      </c>
      <c r="AB288" s="17">
        <v>0</v>
      </c>
      <c r="AC288" s="71">
        <f t="shared" si="107"/>
        <v>0</v>
      </c>
      <c r="AD288" s="84">
        <v>1</v>
      </c>
      <c r="AE288" s="84">
        <v>1</v>
      </c>
      <c r="AF288" s="84">
        <v>0</v>
      </c>
      <c r="AG288" s="84">
        <v>0</v>
      </c>
      <c r="AH288" s="84">
        <v>0</v>
      </c>
      <c r="AI288" s="84">
        <v>0</v>
      </c>
      <c r="AJ288" s="45">
        <v>2</v>
      </c>
      <c r="AK288" s="71">
        <f t="shared" si="108"/>
        <v>1</v>
      </c>
      <c r="AL288" s="17">
        <v>2</v>
      </c>
      <c r="AM288" s="71">
        <f t="shared" si="109"/>
        <v>0.66666666666666663</v>
      </c>
      <c r="AN288" s="17">
        <v>1</v>
      </c>
      <c r="AO288" s="71">
        <f t="shared" si="110"/>
        <v>0.33333333333333331</v>
      </c>
      <c r="AP288" s="17">
        <v>0</v>
      </c>
      <c r="AQ288" s="71">
        <f t="shared" si="111"/>
        <v>0</v>
      </c>
      <c r="AR288" s="84">
        <v>3</v>
      </c>
      <c r="AS288" s="17">
        <v>1</v>
      </c>
      <c r="AT288" s="71">
        <f t="shared" si="112"/>
        <v>0.33333333333333331</v>
      </c>
      <c r="AU288" s="17">
        <v>2</v>
      </c>
      <c r="AV288" s="71">
        <f t="shared" si="113"/>
        <v>0.66666666666666663</v>
      </c>
      <c r="AW288" s="17">
        <v>1</v>
      </c>
      <c r="AX288" s="71">
        <f t="shared" si="114"/>
        <v>0.5</v>
      </c>
      <c r="AY288" s="17">
        <v>3</v>
      </c>
      <c r="AZ288" s="71">
        <f t="shared" si="115"/>
        <v>1</v>
      </c>
      <c r="BA288" s="93">
        <v>0</v>
      </c>
      <c r="BB288" s="98">
        <v>1</v>
      </c>
      <c r="BC288" s="98">
        <v>1</v>
      </c>
      <c r="BD288" s="98">
        <v>0</v>
      </c>
      <c r="BE288" s="102">
        <f t="shared" si="116"/>
        <v>2.2216735433752035</v>
      </c>
      <c r="BF288" s="81">
        <f t="shared" si="117"/>
        <v>0.50321869332006841</v>
      </c>
      <c r="BG288" s="81" t="str">
        <f t="shared" si="118"/>
        <v>MEDIO</v>
      </c>
      <c r="BK288" s="81" t="str">
        <f t="shared" si="119"/>
        <v>MEDIO</v>
      </c>
    </row>
    <row r="289" spans="1:63" x14ac:dyDescent="0.15">
      <c r="A289" s="84">
        <v>4</v>
      </c>
      <c r="B289" s="88">
        <v>1</v>
      </c>
      <c r="C289" s="84">
        <v>3</v>
      </c>
      <c r="D289" s="84">
        <v>0</v>
      </c>
      <c r="E289" s="88">
        <v>1</v>
      </c>
      <c r="F289" s="17">
        <v>1</v>
      </c>
      <c r="G289" s="64">
        <f t="shared" si="96"/>
        <v>0.5</v>
      </c>
      <c r="H289" s="17">
        <v>1</v>
      </c>
      <c r="I289" s="64">
        <f t="shared" si="97"/>
        <v>0.5</v>
      </c>
      <c r="J289" s="17">
        <v>1</v>
      </c>
      <c r="K289" s="64">
        <f t="shared" si="98"/>
        <v>0.5</v>
      </c>
      <c r="L289" s="17">
        <v>2</v>
      </c>
      <c r="M289" s="64">
        <f t="shared" si="99"/>
        <v>0.66666666666666663</v>
      </c>
      <c r="N289" s="17">
        <v>4</v>
      </c>
      <c r="O289" s="64">
        <f t="shared" si="100"/>
        <v>0.8</v>
      </c>
      <c r="P289" s="17">
        <v>0</v>
      </c>
      <c r="Q289" s="64">
        <f t="shared" si="101"/>
        <v>0</v>
      </c>
      <c r="R289" s="25">
        <v>2</v>
      </c>
      <c r="S289" s="71">
        <f t="shared" si="102"/>
        <v>0.66666666666666663</v>
      </c>
      <c r="T289" s="17">
        <v>3</v>
      </c>
      <c r="U289" s="64">
        <f t="shared" si="103"/>
        <v>1</v>
      </c>
      <c r="V289" s="17">
        <v>4</v>
      </c>
      <c r="W289" s="71">
        <f t="shared" si="104"/>
        <v>1</v>
      </c>
      <c r="X289" s="17">
        <v>2</v>
      </c>
      <c r="Y289" s="71">
        <f t="shared" si="105"/>
        <v>0.66666666666666663</v>
      </c>
      <c r="Z289" s="17">
        <v>3</v>
      </c>
      <c r="AA289" s="71">
        <f t="shared" si="106"/>
        <v>1</v>
      </c>
      <c r="AB289" s="17">
        <v>2</v>
      </c>
      <c r="AC289" s="71">
        <f t="shared" si="107"/>
        <v>1</v>
      </c>
      <c r="AD289" s="84">
        <v>0</v>
      </c>
      <c r="AE289" s="84">
        <v>0</v>
      </c>
      <c r="AF289" s="84">
        <v>1</v>
      </c>
      <c r="AG289" s="84">
        <v>0</v>
      </c>
      <c r="AH289" s="84">
        <v>0</v>
      </c>
      <c r="AI289" s="84">
        <v>1</v>
      </c>
      <c r="AJ289" s="45">
        <v>2</v>
      </c>
      <c r="AK289" s="71">
        <f t="shared" si="108"/>
        <v>1</v>
      </c>
      <c r="AL289" s="17">
        <v>3</v>
      </c>
      <c r="AM289" s="71">
        <f t="shared" si="109"/>
        <v>1</v>
      </c>
      <c r="AN289" s="17">
        <v>2</v>
      </c>
      <c r="AO289" s="71">
        <f t="shared" si="110"/>
        <v>0.66666666666666663</v>
      </c>
      <c r="AP289" s="17">
        <v>2</v>
      </c>
      <c r="AQ289" s="71">
        <f t="shared" si="111"/>
        <v>0.66666666666666663</v>
      </c>
      <c r="AR289" s="84">
        <v>2</v>
      </c>
      <c r="AS289" s="17">
        <v>2</v>
      </c>
      <c r="AT289" s="71">
        <f t="shared" si="112"/>
        <v>0.66666666666666663</v>
      </c>
      <c r="AU289" s="17">
        <v>1</v>
      </c>
      <c r="AV289" s="71">
        <f t="shared" si="113"/>
        <v>0.33333333333333331</v>
      </c>
      <c r="AW289" s="17">
        <v>1</v>
      </c>
      <c r="AX289" s="71">
        <f t="shared" si="114"/>
        <v>0.5</v>
      </c>
      <c r="AY289" s="17">
        <v>3</v>
      </c>
      <c r="AZ289" s="71">
        <f t="shared" si="115"/>
        <v>1</v>
      </c>
      <c r="BA289" s="93">
        <v>0</v>
      </c>
      <c r="BB289" s="98">
        <v>1</v>
      </c>
      <c r="BC289" s="98">
        <v>1</v>
      </c>
      <c r="BD289" s="98">
        <v>0</v>
      </c>
      <c r="BE289" s="102">
        <f t="shared" si="116"/>
        <v>1.7751369274259132</v>
      </c>
      <c r="BF289" s="81">
        <f t="shared" si="117"/>
        <v>0.60306731609059205</v>
      </c>
      <c r="BG289" s="81" t="str">
        <f t="shared" si="118"/>
        <v>MEDIO</v>
      </c>
      <c r="BK289" s="81" t="str">
        <f t="shared" si="119"/>
        <v>MEDIO</v>
      </c>
    </row>
    <row r="290" spans="1:63" x14ac:dyDescent="0.15">
      <c r="A290" s="84">
        <v>5</v>
      </c>
      <c r="B290" s="85">
        <v>2</v>
      </c>
      <c r="C290" s="84">
        <v>3</v>
      </c>
      <c r="D290" s="84">
        <v>0</v>
      </c>
      <c r="E290" s="88">
        <v>1</v>
      </c>
      <c r="F290" s="17">
        <v>2</v>
      </c>
      <c r="G290" s="64">
        <f t="shared" si="96"/>
        <v>1</v>
      </c>
      <c r="H290" s="17">
        <v>2</v>
      </c>
      <c r="I290" s="64">
        <f t="shared" si="97"/>
        <v>1</v>
      </c>
      <c r="J290" s="17">
        <v>2</v>
      </c>
      <c r="K290" s="64">
        <f t="shared" si="98"/>
        <v>1</v>
      </c>
      <c r="L290" s="17">
        <v>3</v>
      </c>
      <c r="M290" s="64">
        <f t="shared" si="99"/>
        <v>1</v>
      </c>
      <c r="N290" s="17">
        <v>4</v>
      </c>
      <c r="O290" s="64">
        <f t="shared" si="100"/>
        <v>0.8</v>
      </c>
      <c r="P290" s="17">
        <v>2</v>
      </c>
      <c r="Q290" s="64">
        <f t="shared" si="101"/>
        <v>0.66666666666666663</v>
      </c>
      <c r="R290" s="25">
        <v>3</v>
      </c>
      <c r="S290" s="71">
        <f t="shared" si="102"/>
        <v>1</v>
      </c>
      <c r="T290" s="17">
        <v>3</v>
      </c>
      <c r="U290" s="64">
        <f t="shared" si="103"/>
        <v>1</v>
      </c>
      <c r="V290" s="17">
        <v>3</v>
      </c>
      <c r="W290" s="71">
        <f t="shared" si="104"/>
        <v>0.75</v>
      </c>
      <c r="X290" s="17">
        <v>3</v>
      </c>
      <c r="Y290" s="71">
        <f t="shared" si="105"/>
        <v>1</v>
      </c>
      <c r="Z290" s="17">
        <v>1</v>
      </c>
      <c r="AA290" s="71">
        <f t="shared" si="106"/>
        <v>0.33333333333333331</v>
      </c>
      <c r="AB290" s="17">
        <v>0</v>
      </c>
      <c r="AC290" s="71">
        <f t="shared" si="107"/>
        <v>0</v>
      </c>
      <c r="AD290" s="84">
        <v>0</v>
      </c>
      <c r="AE290" s="84">
        <v>0</v>
      </c>
      <c r="AF290" s="84">
        <v>1</v>
      </c>
      <c r="AG290" s="84">
        <v>0</v>
      </c>
      <c r="AH290" s="84">
        <v>0</v>
      </c>
      <c r="AI290" s="84">
        <v>0</v>
      </c>
      <c r="AJ290" s="45">
        <v>2</v>
      </c>
      <c r="AK290" s="71">
        <f t="shared" si="108"/>
        <v>1</v>
      </c>
      <c r="AL290" s="17">
        <v>2</v>
      </c>
      <c r="AM290" s="71">
        <f t="shared" si="109"/>
        <v>0.66666666666666663</v>
      </c>
      <c r="AN290" s="17">
        <v>1</v>
      </c>
      <c r="AO290" s="71">
        <f t="shared" si="110"/>
        <v>0.33333333333333331</v>
      </c>
      <c r="AP290" s="17">
        <v>3</v>
      </c>
      <c r="AQ290" s="71">
        <f t="shared" si="111"/>
        <v>1</v>
      </c>
      <c r="AR290" s="84">
        <v>2</v>
      </c>
      <c r="AS290" s="17">
        <v>2</v>
      </c>
      <c r="AT290" s="71">
        <f t="shared" si="112"/>
        <v>0.66666666666666663</v>
      </c>
      <c r="AU290" s="17">
        <v>3</v>
      </c>
      <c r="AV290" s="71">
        <f t="shared" si="113"/>
        <v>1</v>
      </c>
      <c r="AW290" s="17">
        <v>1</v>
      </c>
      <c r="AX290" s="71">
        <f t="shared" si="114"/>
        <v>0.5</v>
      </c>
      <c r="AY290" s="17">
        <v>3</v>
      </c>
      <c r="AZ290" s="71">
        <f t="shared" si="115"/>
        <v>1</v>
      </c>
      <c r="BA290" s="93">
        <v>0</v>
      </c>
      <c r="BB290" s="98">
        <v>1</v>
      </c>
      <c r="BC290" s="98">
        <v>1</v>
      </c>
      <c r="BD290" s="98">
        <v>0</v>
      </c>
      <c r="BE290" s="102">
        <f t="shared" si="116"/>
        <v>1.6045940988992271</v>
      </c>
      <c r="BF290" s="81">
        <f t="shared" si="117"/>
        <v>0.64120185185666445</v>
      </c>
      <c r="BG290" s="81" t="str">
        <f t="shared" si="118"/>
        <v>MEDIO</v>
      </c>
      <c r="BK290" s="81" t="str">
        <f t="shared" si="119"/>
        <v>MEDIO</v>
      </c>
    </row>
    <row r="291" spans="1:63" x14ac:dyDescent="0.15">
      <c r="A291" s="84">
        <v>4</v>
      </c>
      <c r="B291" s="88">
        <v>1</v>
      </c>
      <c r="C291" s="84">
        <v>1</v>
      </c>
      <c r="D291" s="84">
        <v>0</v>
      </c>
      <c r="E291" s="88">
        <v>1</v>
      </c>
      <c r="F291" s="17">
        <v>2</v>
      </c>
      <c r="G291" s="64">
        <f t="shared" si="96"/>
        <v>1</v>
      </c>
      <c r="H291" s="17">
        <v>0</v>
      </c>
      <c r="I291" s="64">
        <f t="shared" si="97"/>
        <v>0</v>
      </c>
      <c r="J291" s="17">
        <v>1</v>
      </c>
      <c r="K291" s="64">
        <f t="shared" si="98"/>
        <v>0.5</v>
      </c>
      <c r="L291" s="17">
        <v>2</v>
      </c>
      <c r="M291" s="64">
        <f t="shared" si="99"/>
        <v>0.66666666666666663</v>
      </c>
      <c r="N291" s="17">
        <v>4</v>
      </c>
      <c r="O291" s="64">
        <f t="shared" si="100"/>
        <v>0.8</v>
      </c>
      <c r="P291" s="17">
        <v>3</v>
      </c>
      <c r="Q291" s="64">
        <f t="shared" si="101"/>
        <v>1</v>
      </c>
      <c r="R291" s="25">
        <v>0</v>
      </c>
      <c r="S291" s="71">
        <f t="shared" si="102"/>
        <v>0</v>
      </c>
      <c r="T291" s="17">
        <v>3</v>
      </c>
      <c r="U291" s="64">
        <f t="shared" si="103"/>
        <v>1</v>
      </c>
      <c r="V291" s="17">
        <v>0</v>
      </c>
      <c r="W291" s="71">
        <f t="shared" si="104"/>
        <v>0</v>
      </c>
      <c r="X291" s="17">
        <v>2</v>
      </c>
      <c r="Y291" s="71">
        <f t="shared" si="105"/>
        <v>0.66666666666666663</v>
      </c>
      <c r="Z291" s="17">
        <v>3</v>
      </c>
      <c r="AA291" s="71">
        <f t="shared" si="106"/>
        <v>1</v>
      </c>
      <c r="AB291" s="17">
        <v>0</v>
      </c>
      <c r="AC291" s="71">
        <f t="shared" si="107"/>
        <v>0</v>
      </c>
      <c r="AD291" s="84">
        <v>0</v>
      </c>
      <c r="AE291" s="84">
        <v>1</v>
      </c>
      <c r="AF291" s="84">
        <v>1</v>
      </c>
      <c r="AG291" s="84">
        <v>0</v>
      </c>
      <c r="AH291" s="84">
        <v>0</v>
      </c>
      <c r="AI291" s="84">
        <v>0</v>
      </c>
      <c r="AJ291" s="45">
        <v>1</v>
      </c>
      <c r="AK291" s="71">
        <f t="shared" si="108"/>
        <v>0.5</v>
      </c>
      <c r="AL291" s="17">
        <v>3</v>
      </c>
      <c r="AM291" s="71">
        <f t="shared" si="109"/>
        <v>1</v>
      </c>
      <c r="AN291" s="17">
        <v>1</v>
      </c>
      <c r="AO291" s="71">
        <f t="shared" si="110"/>
        <v>0.33333333333333331</v>
      </c>
      <c r="AP291" s="17">
        <v>2</v>
      </c>
      <c r="AQ291" s="71">
        <f t="shared" si="111"/>
        <v>0.66666666666666663</v>
      </c>
      <c r="AR291" s="84">
        <v>0</v>
      </c>
      <c r="AS291" s="17">
        <v>3</v>
      </c>
      <c r="AT291" s="71">
        <f t="shared" si="112"/>
        <v>1</v>
      </c>
      <c r="AU291" s="17">
        <v>3</v>
      </c>
      <c r="AV291" s="71">
        <f t="shared" si="113"/>
        <v>1</v>
      </c>
      <c r="AW291" s="17">
        <v>1</v>
      </c>
      <c r="AX291" s="71">
        <f t="shared" si="114"/>
        <v>0.5</v>
      </c>
      <c r="AY291" s="17">
        <v>1</v>
      </c>
      <c r="AZ291" s="71">
        <f t="shared" si="115"/>
        <v>0.33333333333333331</v>
      </c>
      <c r="BA291" s="93">
        <v>0</v>
      </c>
      <c r="BB291" s="98">
        <v>0</v>
      </c>
      <c r="BC291" s="98">
        <v>1</v>
      </c>
      <c r="BD291" s="98">
        <v>0</v>
      </c>
      <c r="BE291" s="102">
        <f t="shared" si="116"/>
        <v>2.4519833242137317</v>
      </c>
      <c r="BF291" s="81">
        <f t="shared" si="117"/>
        <v>0.45171986073627057</v>
      </c>
      <c r="BG291" s="81" t="str">
        <f t="shared" si="118"/>
        <v>MEDIO</v>
      </c>
      <c r="BK291" s="81" t="str">
        <f t="shared" si="119"/>
        <v>MEDIO</v>
      </c>
    </row>
    <row r="292" spans="1:63" x14ac:dyDescent="0.15">
      <c r="A292" s="90">
        <v>5</v>
      </c>
      <c r="B292" s="88">
        <v>1</v>
      </c>
      <c r="C292" s="90">
        <v>2</v>
      </c>
      <c r="D292" s="90">
        <v>0</v>
      </c>
      <c r="E292" s="88">
        <v>1</v>
      </c>
      <c r="F292" s="39">
        <v>2</v>
      </c>
      <c r="G292" s="64">
        <f t="shared" si="96"/>
        <v>1</v>
      </c>
      <c r="H292" s="39">
        <v>1</v>
      </c>
      <c r="I292" s="64">
        <f t="shared" si="97"/>
        <v>0.5</v>
      </c>
      <c r="J292" s="39">
        <v>2</v>
      </c>
      <c r="K292" s="64">
        <f t="shared" si="98"/>
        <v>1</v>
      </c>
      <c r="L292" s="39">
        <v>3</v>
      </c>
      <c r="M292" s="64">
        <f t="shared" si="99"/>
        <v>1</v>
      </c>
      <c r="N292" s="39">
        <v>4</v>
      </c>
      <c r="O292" s="64">
        <f t="shared" si="100"/>
        <v>0.8</v>
      </c>
      <c r="P292" s="39">
        <v>3</v>
      </c>
      <c r="Q292" s="64">
        <f t="shared" si="101"/>
        <v>1</v>
      </c>
      <c r="R292" s="40">
        <v>3</v>
      </c>
      <c r="S292" s="71">
        <f t="shared" si="102"/>
        <v>1</v>
      </c>
      <c r="T292" s="39">
        <v>2</v>
      </c>
      <c r="U292" s="64">
        <f t="shared" si="103"/>
        <v>0.66666666666666663</v>
      </c>
      <c r="V292" s="39">
        <v>2</v>
      </c>
      <c r="W292" s="71">
        <f t="shared" si="104"/>
        <v>0.5</v>
      </c>
      <c r="X292" s="39">
        <v>3</v>
      </c>
      <c r="Y292" s="71">
        <f t="shared" si="105"/>
        <v>1</v>
      </c>
      <c r="Z292" s="39">
        <v>3</v>
      </c>
      <c r="AA292" s="71">
        <f t="shared" si="106"/>
        <v>1</v>
      </c>
      <c r="AB292" s="39">
        <v>2</v>
      </c>
      <c r="AC292" s="71">
        <f t="shared" si="107"/>
        <v>1</v>
      </c>
      <c r="AD292" s="90">
        <v>0</v>
      </c>
      <c r="AE292" s="90">
        <v>1</v>
      </c>
      <c r="AF292" s="90">
        <v>1</v>
      </c>
      <c r="AG292" s="90">
        <v>0</v>
      </c>
      <c r="AH292" s="90">
        <v>0</v>
      </c>
      <c r="AI292" s="90">
        <v>0</v>
      </c>
      <c r="AJ292" s="45">
        <v>2</v>
      </c>
      <c r="AK292" s="71">
        <f t="shared" si="108"/>
        <v>1</v>
      </c>
      <c r="AL292" s="39">
        <v>3</v>
      </c>
      <c r="AM292" s="71">
        <f t="shared" si="109"/>
        <v>1</v>
      </c>
      <c r="AN292" s="39">
        <v>2</v>
      </c>
      <c r="AO292" s="71">
        <f t="shared" si="110"/>
        <v>0.66666666666666663</v>
      </c>
      <c r="AP292" s="39">
        <v>3</v>
      </c>
      <c r="AQ292" s="71">
        <f t="shared" si="111"/>
        <v>1</v>
      </c>
      <c r="AR292" s="90">
        <v>2</v>
      </c>
      <c r="AS292" s="39">
        <v>2</v>
      </c>
      <c r="AT292" s="71">
        <f t="shared" si="112"/>
        <v>0.66666666666666663</v>
      </c>
      <c r="AU292" s="39">
        <v>3</v>
      </c>
      <c r="AV292" s="71">
        <f t="shared" si="113"/>
        <v>1</v>
      </c>
      <c r="AW292" s="39">
        <v>1</v>
      </c>
      <c r="AX292" s="71">
        <f t="shared" si="114"/>
        <v>0.5</v>
      </c>
      <c r="AY292" s="39">
        <v>3</v>
      </c>
      <c r="AZ292" s="71">
        <f t="shared" si="115"/>
        <v>1</v>
      </c>
      <c r="BA292" s="99">
        <v>1</v>
      </c>
      <c r="BB292" s="100">
        <v>1</v>
      </c>
      <c r="BC292" s="100">
        <v>0</v>
      </c>
      <c r="BD292" s="100">
        <v>0</v>
      </c>
      <c r="BE292" s="102">
        <f t="shared" si="116"/>
        <v>1.0598742063723099</v>
      </c>
      <c r="BF292" s="81">
        <f t="shared" si="117"/>
        <v>0.76300492269530973</v>
      </c>
      <c r="BG292" s="81" t="str">
        <f t="shared" si="118"/>
        <v>ALTO</v>
      </c>
      <c r="BK292" s="81" t="str">
        <f t="shared" si="119"/>
        <v>ALTO</v>
      </c>
    </row>
    <row r="293" spans="1:63" x14ac:dyDescent="0.15">
      <c r="A293" s="84">
        <v>2</v>
      </c>
      <c r="B293" s="84">
        <v>2</v>
      </c>
      <c r="C293" s="84">
        <v>1</v>
      </c>
      <c r="D293" s="84">
        <v>2</v>
      </c>
      <c r="E293" s="84">
        <v>1</v>
      </c>
      <c r="F293" s="17">
        <v>1</v>
      </c>
      <c r="G293" s="64">
        <f t="shared" si="96"/>
        <v>0.5</v>
      </c>
      <c r="H293" s="17">
        <v>2</v>
      </c>
      <c r="I293" s="64">
        <f t="shared" si="97"/>
        <v>1</v>
      </c>
      <c r="J293" s="17">
        <v>0</v>
      </c>
      <c r="K293" s="64">
        <f t="shared" si="98"/>
        <v>0</v>
      </c>
      <c r="L293" s="17">
        <v>0</v>
      </c>
      <c r="M293" s="64">
        <f t="shared" si="99"/>
        <v>0</v>
      </c>
      <c r="N293" s="17">
        <v>2</v>
      </c>
      <c r="O293" s="64">
        <f t="shared" si="100"/>
        <v>0.4</v>
      </c>
      <c r="P293" s="17">
        <v>0</v>
      </c>
      <c r="Q293" s="64">
        <f t="shared" si="101"/>
        <v>0</v>
      </c>
      <c r="R293" s="25">
        <v>2</v>
      </c>
      <c r="S293" s="71">
        <f t="shared" si="102"/>
        <v>0.66666666666666663</v>
      </c>
      <c r="T293" s="17">
        <v>0</v>
      </c>
      <c r="U293" s="64">
        <f t="shared" si="103"/>
        <v>0</v>
      </c>
      <c r="V293" s="17">
        <v>3</v>
      </c>
      <c r="W293" s="71">
        <f t="shared" si="104"/>
        <v>0.75</v>
      </c>
      <c r="X293" s="17">
        <v>2</v>
      </c>
      <c r="Y293" s="71">
        <f t="shared" si="105"/>
        <v>0.66666666666666663</v>
      </c>
      <c r="Z293" s="17">
        <v>1</v>
      </c>
      <c r="AA293" s="71">
        <f t="shared" si="106"/>
        <v>0.33333333333333331</v>
      </c>
      <c r="AB293" s="17">
        <v>2</v>
      </c>
      <c r="AC293" s="71">
        <f t="shared" si="107"/>
        <v>1</v>
      </c>
      <c r="AD293" s="84">
        <v>1</v>
      </c>
      <c r="AE293" s="84">
        <v>0</v>
      </c>
      <c r="AF293" s="84">
        <v>1</v>
      </c>
      <c r="AG293" s="84">
        <v>0</v>
      </c>
      <c r="AH293" s="84">
        <v>0</v>
      </c>
      <c r="AI293" s="84">
        <v>0</v>
      </c>
      <c r="AJ293" s="45">
        <v>1</v>
      </c>
      <c r="AK293" s="71">
        <f t="shared" si="108"/>
        <v>0.5</v>
      </c>
      <c r="AL293" s="17">
        <v>0</v>
      </c>
      <c r="AM293" s="71">
        <f t="shared" si="109"/>
        <v>0</v>
      </c>
      <c r="AN293" s="17">
        <v>0</v>
      </c>
      <c r="AO293" s="71">
        <f t="shared" si="110"/>
        <v>0</v>
      </c>
      <c r="AP293" s="17">
        <v>0</v>
      </c>
      <c r="AQ293" s="71">
        <f t="shared" si="111"/>
        <v>0</v>
      </c>
      <c r="AR293" s="84">
        <v>2</v>
      </c>
      <c r="AS293" s="17">
        <v>0</v>
      </c>
      <c r="AT293" s="71">
        <f t="shared" si="112"/>
        <v>0</v>
      </c>
      <c r="AU293" s="17">
        <v>0</v>
      </c>
      <c r="AV293" s="71">
        <f t="shared" si="113"/>
        <v>0</v>
      </c>
      <c r="AW293" s="17">
        <v>0</v>
      </c>
      <c r="AX293" s="71">
        <f t="shared" si="114"/>
        <v>0</v>
      </c>
      <c r="AY293" s="17">
        <v>0</v>
      </c>
      <c r="AZ293" s="71">
        <f t="shared" si="115"/>
        <v>0</v>
      </c>
      <c r="BA293" s="93">
        <v>0</v>
      </c>
      <c r="BB293" s="98">
        <v>0</v>
      </c>
      <c r="BC293" s="98">
        <v>0</v>
      </c>
      <c r="BD293" s="98">
        <v>1</v>
      </c>
      <c r="BE293" s="102">
        <f t="shared" si="116"/>
        <v>3.5481215687553136</v>
      </c>
      <c r="BF293" s="81">
        <f t="shared" si="117"/>
        <v>0.20661589798306701</v>
      </c>
      <c r="BG293" s="81" t="str">
        <f t="shared" si="118"/>
        <v>BASSO</v>
      </c>
      <c r="BK293" s="81" t="str">
        <f t="shared" si="119"/>
        <v>MOLTO BASSO</v>
      </c>
    </row>
    <row r="294" spans="1:63" x14ac:dyDescent="0.15">
      <c r="A294" s="84">
        <v>2</v>
      </c>
      <c r="B294" s="84">
        <v>2</v>
      </c>
      <c r="C294" s="84">
        <v>2</v>
      </c>
      <c r="D294" s="84">
        <v>2</v>
      </c>
      <c r="E294" s="84">
        <v>1</v>
      </c>
      <c r="F294" s="17">
        <v>2</v>
      </c>
      <c r="G294" s="64">
        <f t="shared" si="96"/>
        <v>1</v>
      </c>
      <c r="H294" s="17">
        <v>1</v>
      </c>
      <c r="I294" s="64">
        <f t="shared" si="97"/>
        <v>0.5</v>
      </c>
      <c r="J294" s="17">
        <v>1</v>
      </c>
      <c r="K294" s="64">
        <f t="shared" si="98"/>
        <v>0.5</v>
      </c>
      <c r="L294" s="17">
        <v>1</v>
      </c>
      <c r="M294" s="64">
        <f t="shared" si="99"/>
        <v>0.33333333333333331</v>
      </c>
      <c r="N294" s="17">
        <v>2</v>
      </c>
      <c r="O294" s="64">
        <f t="shared" si="100"/>
        <v>0.4</v>
      </c>
      <c r="P294" s="17">
        <v>0</v>
      </c>
      <c r="Q294" s="64">
        <f t="shared" si="101"/>
        <v>0</v>
      </c>
      <c r="R294" s="25">
        <v>0</v>
      </c>
      <c r="S294" s="71">
        <f t="shared" si="102"/>
        <v>0</v>
      </c>
      <c r="T294" s="17">
        <v>3</v>
      </c>
      <c r="U294" s="64">
        <f t="shared" si="103"/>
        <v>1</v>
      </c>
      <c r="V294" s="17">
        <v>0</v>
      </c>
      <c r="W294" s="71">
        <f t="shared" si="104"/>
        <v>0</v>
      </c>
      <c r="X294" s="17">
        <v>2</v>
      </c>
      <c r="Y294" s="71">
        <f t="shared" si="105"/>
        <v>0.66666666666666663</v>
      </c>
      <c r="Z294" s="17">
        <v>3</v>
      </c>
      <c r="AA294" s="71">
        <f t="shared" si="106"/>
        <v>1</v>
      </c>
      <c r="AB294" s="17">
        <v>1</v>
      </c>
      <c r="AC294" s="71">
        <f t="shared" si="107"/>
        <v>0.5</v>
      </c>
      <c r="AD294" s="84">
        <v>1</v>
      </c>
      <c r="AE294" s="84">
        <v>0</v>
      </c>
      <c r="AF294" s="84">
        <v>1</v>
      </c>
      <c r="AG294" s="84">
        <v>0</v>
      </c>
      <c r="AH294" s="84">
        <v>0</v>
      </c>
      <c r="AI294" s="84">
        <v>0</v>
      </c>
      <c r="AJ294" s="45">
        <v>0</v>
      </c>
      <c r="AK294" s="71">
        <f t="shared" si="108"/>
        <v>0</v>
      </c>
      <c r="AL294" s="17">
        <v>1</v>
      </c>
      <c r="AM294" s="71">
        <f t="shared" si="109"/>
        <v>0.33333333333333331</v>
      </c>
      <c r="AN294" s="17">
        <v>1</v>
      </c>
      <c r="AO294" s="71">
        <f t="shared" si="110"/>
        <v>0.33333333333333331</v>
      </c>
      <c r="AP294" s="17">
        <v>2</v>
      </c>
      <c r="AQ294" s="71">
        <f t="shared" si="111"/>
        <v>0.66666666666666663</v>
      </c>
      <c r="AR294" s="84">
        <v>2</v>
      </c>
      <c r="AS294" s="17">
        <v>0</v>
      </c>
      <c r="AT294" s="71">
        <f t="shared" si="112"/>
        <v>0</v>
      </c>
      <c r="AU294" s="17">
        <v>3</v>
      </c>
      <c r="AV294" s="71">
        <f t="shared" si="113"/>
        <v>1</v>
      </c>
      <c r="AW294" s="17">
        <v>1</v>
      </c>
      <c r="AX294" s="71">
        <f t="shared" si="114"/>
        <v>0.5</v>
      </c>
      <c r="AY294" s="17">
        <v>0</v>
      </c>
      <c r="AZ294" s="71">
        <f t="shared" si="115"/>
        <v>0</v>
      </c>
      <c r="BA294" s="93">
        <v>1</v>
      </c>
      <c r="BB294" s="98">
        <v>1</v>
      </c>
      <c r="BC294" s="98">
        <v>0</v>
      </c>
      <c r="BD294" s="98">
        <v>0</v>
      </c>
      <c r="BE294" s="102">
        <f t="shared" si="116"/>
        <v>2.9858927568744922</v>
      </c>
      <c r="BF294" s="81">
        <f t="shared" si="117"/>
        <v>0.33233408221050109</v>
      </c>
      <c r="BG294" s="81" t="str">
        <f t="shared" si="118"/>
        <v>MEDIO</v>
      </c>
      <c r="BK294" s="81" t="str">
        <f t="shared" si="119"/>
        <v>BASSO</v>
      </c>
    </row>
    <row r="295" spans="1:63" x14ac:dyDescent="0.15">
      <c r="A295" s="84">
        <v>4</v>
      </c>
      <c r="B295" s="84">
        <v>1</v>
      </c>
      <c r="C295" s="84">
        <v>2</v>
      </c>
      <c r="D295" s="84">
        <v>0</v>
      </c>
      <c r="E295" s="84">
        <v>1</v>
      </c>
      <c r="F295" s="17">
        <v>1</v>
      </c>
      <c r="G295" s="64">
        <f t="shared" si="96"/>
        <v>0.5</v>
      </c>
      <c r="H295" s="17">
        <v>1</v>
      </c>
      <c r="I295" s="64">
        <f t="shared" si="97"/>
        <v>0.5</v>
      </c>
      <c r="J295" s="17">
        <v>1</v>
      </c>
      <c r="K295" s="64">
        <f t="shared" si="98"/>
        <v>0.5</v>
      </c>
      <c r="L295" s="17">
        <v>1</v>
      </c>
      <c r="M295" s="64">
        <f t="shared" si="99"/>
        <v>0.33333333333333331</v>
      </c>
      <c r="N295" s="17">
        <v>4</v>
      </c>
      <c r="O295" s="64">
        <f t="shared" si="100"/>
        <v>0.8</v>
      </c>
      <c r="P295" s="17">
        <v>3</v>
      </c>
      <c r="Q295" s="64">
        <f t="shared" si="101"/>
        <v>1</v>
      </c>
      <c r="R295" s="25">
        <v>2</v>
      </c>
      <c r="S295" s="71">
        <f t="shared" si="102"/>
        <v>0.66666666666666663</v>
      </c>
      <c r="T295" s="17">
        <v>3</v>
      </c>
      <c r="U295" s="64">
        <f t="shared" si="103"/>
        <v>1</v>
      </c>
      <c r="V295" s="17">
        <v>4</v>
      </c>
      <c r="W295" s="71">
        <f t="shared" si="104"/>
        <v>1</v>
      </c>
      <c r="X295" s="17">
        <v>2</v>
      </c>
      <c r="Y295" s="71">
        <f t="shared" si="105"/>
        <v>0.66666666666666663</v>
      </c>
      <c r="Z295" s="17">
        <v>3</v>
      </c>
      <c r="AA295" s="71">
        <f t="shared" si="106"/>
        <v>1</v>
      </c>
      <c r="AB295" s="17">
        <v>0</v>
      </c>
      <c r="AC295" s="71">
        <f t="shared" si="107"/>
        <v>0</v>
      </c>
      <c r="AD295" s="84">
        <v>1</v>
      </c>
      <c r="AE295" s="84">
        <v>0</v>
      </c>
      <c r="AF295" s="84">
        <v>1</v>
      </c>
      <c r="AG295" s="84">
        <v>0</v>
      </c>
      <c r="AH295" s="84">
        <v>0</v>
      </c>
      <c r="AI295" s="84">
        <v>0</v>
      </c>
      <c r="AJ295" s="45">
        <v>1</v>
      </c>
      <c r="AK295" s="71">
        <f t="shared" si="108"/>
        <v>0.5</v>
      </c>
      <c r="AL295" s="17">
        <v>2</v>
      </c>
      <c r="AM295" s="71">
        <f t="shared" si="109"/>
        <v>0.66666666666666663</v>
      </c>
      <c r="AN295" s="17">
        <v>2</v>
      </c>
      <c r="AO295" s="71">
        <f t="shared" si="110"/>
        <v>0.66666666666666663</v>
      </c>
      <c r="AP295" s="17">
        <v>2</v>
      </c>
      <c r="AQ295" s="71">
        <f t="shared" si="111"/>
        <v>0.66666666666666663</v>
      </c>
      <c r="AR295" s="84">
        <v>2</v>
      </c>
      <c r="AS295" s="17">
        <v>3</v>
      </c>
      <c r="AT295" s="71">
        <f t="shared" si="112"/>
        <v>1</v>
      </c>
      <c r="AU295" s="17">
        <v>3</v>
      </c>
      <c r="AV295" s="71">
        <f t="shared" si="113"/>
        <v>1</v>
      </c>
      <c r="AW295" s="17">
        <v>1</v>
      </c>
      <c r="AX295" s="71">
        <f t="shared" si="114"/>
        <v>0.5</v>
      </c>
      <c r="AY295" s="17">
        <v>3</v>
      </c>
      <c r="AZ295" s="71">
        <f t="shared" si="115"/>
        <v>1</v>
      </c>
      <c r="BA295" s="93">
        <v>1</v>
      </c>
      <c r="BB295" s="98">
        <v>1</v>
      </c>
      <c r="BC295" s="98">
        <v>0</v>
      </c>
      <c r="BD295" s="98">
        <v>0</v>
      </c>
      <c r="BE295" s="102">
        <f t="shared" si="116"/>
        <v>1.8138357147217055</v>
      </c>
      <c r="BF295" s="81">
        <f t="shared" si="117"/>
        <v>0.5944140041865732</v>
      </c>
      <c r="BG295" s="81" t="str">
        <f t="shared" si="118"/>
        <v>MEDIO</v>
      </c>
      <c r="BK295" s="81" t="str">
        <f t="shared" si="119"/>
        <v>MEDIO</v>
      </c>
    </row>
    <row r="296" spans="1:63" x14ac:dyDescent="0.15">
      <c r="A296" s="90">
        <v>4</v>
      </c>
      <c r="B296" s="90">
        <v>2</v>
      </c>
      <c r="C296" s="90">
        <v>1</v>
      </c>
      <c r="D296" s="90">
        <v>0</v>
      </c>
      <c r="E296" s="90">
        <v>1</v>
      </c>
      <c r="F296" s="39">
        <v>0</v>
      </c>
      <c r="G296" s="64">
        <f t="shared" ref="G296:G359" si="120">F297/2</f>
        <v>0</v>
      </c>
      <c r="H296" s="39">
        <v>2</v>
      </c>
      <c r="I296" s="64">
        <f t="shared" si="97"/>
        <v>1</v>
      </c>
      <c r="J296" s="39">
        <v>2</v>
      </c>
      <c r="K296" s="64">
        <f t="shared" si="98"/>
        <v>1</v>
      </c>
      <c r="L296" s="39">
        <v>3</v>
      </c>
      <c r="M296" s="64">
        <f t="shared" si="99"/>
        <v>1</v>
      </c>
      <c r="N296" s="39">
        <v>2</v>
      </c>
      <c r="O296" s="64">
        <f t="shared" si="100"/>
        <v>0.4</v>
      </c>
      <c r="P296" s="39">
        <v>3</v>
      </c>
      <c r="Q296" s="64">
        <f t="shared" si="101"/>
        <v>1</v>
      </c>
      <c r="R296" s="40">
        <v>3</v>
      </c>
      <c r="S296" s="71">
        <f t="shared" si="102"/>
        <v>1</v>
      </c>
      <c r="T296" s="39">
        <v>3</v>
      </c>
      <c r="U296" s="64">
        <f t="shared" si="103"/>
        <v>1</v>
      </c>
      <c r="V296" s="39">
        <v>3</v>
      </c>
      <c r="W296" s="71">
        <f t="shared" si="104"/>
        <v>0.75</v>
      </c>
      <c r="X296" s="39">
        <v>3</v>
      </c>
      <c r="Y296" s="71">
        <f t="shared" si="105"/>
        <v>1</v>
      </c>
      <c r="Z296" s="39">
        <v>0</v>
      </c>
      <c r="AA296" s="71">
        <f t="shared" si="106"/>
        <v>0</v>
      </c>
      <c r="AB296" s="39">
        <v>0</v>
      </c>
      <c r="AC296" s="71">
        <f t="shared" si="107"/>
        <v>0</v>
      </c>
      <c r="AD296" s="90">
        <v>1</v>
      </c>
      <c r="AE296" s="90">
        <v>1</v>
      </c>
      <c r="AF296" s="90">
        <v>0</v>
      </c>
      <c r="AG296" s="90">
        <v>0</v>
      </c>
      <c r="AH296" s="90">
        <v>0</v>
      </c>
      <c r="AI296" s="90">
        <v>0</v>
      </c>
      <c r="AJ296" s="45">
        <v>1</v>
      </c>
      <c r="AK296" s="71">
        <f t="shared" si="108"/>
        <v>0.5</v>
      </c>
      <c r="AL296" s="39">
        <v>2</v>
      </c>
      <c r="AM296" s="71">
        <f t="shared" si="109"/>
        <v>0.66666666666666663</v>
      </c>
      <c r="AN296" s="39">
        <v>0</v>
      </c>
      <c r="AO296" s="71">
        <f t="shared" si="110"/>
        <v>0</v>
      </c>
      <c r="AP296" s="39">
        <v>1</v>
      </c>
      <c r="AQ296" s="71">
        <f t="shared" si="111"/>
        <v>0.33333333333333331</v>
      </c>
      <c r="AR296" s="90">
        <v>1</v>
      </c>
      <c r="AS296" s="39">
        <v>2</v>
      </c>
      <c r="AT296" s="71">
        <f t="shared" si="112"/>
        <v>0.66666666666666663</v>
      </c>
      <c r="AU296" s="39">
        <v>1</v>
      </c>
      <c r="AV296" s="71">
        <f t="shared" si="113"/>
        <v>0.33333333333333331</v>
      </c>
      <c r="AW296" s="39">
        <v>1</v>
      </c>
      <c r="AX296" s="71">
        <f t="shared" si="114"/>
        <v>0.5</v>
      </c>
      <c r="AY296" s="39">
        <v>1</v>
      </c>
      <c r="AZ296" s="71">
        <f t="shared" si="115"/>
        <v>0.33333333333333331</v>
      </c>
      <c r="BA296" s="99">
        <v>1</v>
      </c>
      <c r="BB296" s="100">
        <v>0</v>
      </c>
      <c r="BC296" s="100">
        <v>0</v>
      </c>
      <c r="BD296" s="100">
        <v>0</v>
      </c>
      <c r="BE296" s="102">
        <f t="shared" si="116"/>
        <v>2.5452024586573767</v>
      </c>
      <c r="BF296" s="81">
        <f t="shared" si="117"/>
        <v>0.43087542859430428</v>
      </c>
      <c r="BG296" s="81" t="str">
        <f t="shared" si="118"/>
        <v>MEDIO</v>
      </c>
      <c r="BK296" s="81" t="str">
        <f t="shared" si="119"/>
        <v>BASSO</v>
      </c>
    </row>
    <row r="297" spans="1:63" x14ac:dyDescent="0.15">
      <c r="G297" s="64">
        <f t="shared" si="120"/>
        <v>0</v>
      </c>
      <c r="I297" s="64">
        <f t="shared" si="97"/>
        <v>0</v>
      </c>
      <c r="K297" s="64">
        <f t="shared" si="98"/>
        <v>0</v>
      </c>
      <c r="M297" s="64">
        <f t="shared" si="99"/>
        <v>0</v>
      </c>
      <c r="O297" s="64">
        <f t="shared" si="100"/>
        <v>0</v>
      </c>
      <c r="Q297" s="64">
        <f t="shared" si="101"/>
        <v>0</v>
      </c>
      <c r="S297" s="71">
        <f t="shared" si="102"/>
        <v>0</v>
      </c>
      <c r="U297" s="64">
        <f t="shared" si="103"/>
        <v>0</v>
      </c>
      <c r="W297" s="71">
        <f t="shared" si="104"/>
        <v>0</v>
      </c>
      <c r="Y297" s="71">
        <f t="shared" si="105"/>
        <v>0</v>
      </c>
      <c r="AA297" s="71">
        <f t="shared" si="106"/>
        <v>0</v>
      </c>
      <c r="AC297" s="71">
        <f t="shared" si="107"/>
        <v>0</v>
      </c>
      <c r="AK297" s="71">
        <f t="shared" si="108"/>
        <v>0</v>
      </c>
      <c r="AM297" s="71">
        <f t="shared" si="109"/>
        <v>0</v>
      </c>
      <c r="AO297" s="71">
        <f t="shared" si="110"/>
        <v>0</v>
      </c>
      <c r="AQ297" s="71">
        <f t="shared" si="111"/>
        <v>0</v>
      </c>
      <c r="AT297" s="71">
        <f t="shared" si="112"/>
        <v>0</v>
      </c>
      <c r="AV297" s="71">
        <f t="shared" si="113"/>
        <v>0</v>
      </c>
      <c r="AX297" s="71">
        <f t="shared" si="114"/>
        <v>0</v>
      </c>
      <c r="AZ297" s="71">
        <f t="shared" si="115"/>
        <v>0</v>
      </c>
      <c r="BE297" s="102">
        <f t="shared" si="116"/>
        <v>4.4721359549995796</v>
      </c>
      <c r="BF297" s="81">
        <f t="shared" si="117"/>
        <v>9.3924867883288243E-14</v>
      </c>
      <c r="BG297" s="81" t="str">
        <f t="shared" si="118"/>
        <v>BASSO</v>
      </c>
      <c r="BK297" s="81" t="str">
        <f t="shared" si="119"/>
        <v>MOLTO BASSO</v>
      </c>
    </row>
    <row r="298" spans="1:63" x14ac:dyDescent="0.15">
      <c r="G298" s="64">
        <f t="shared" si="120"/>
        <v>0</v>
      </c>
      <c r="I298" s="64">
        <f t="shared" si="97"/>
        <v>0</v>
      </c>
      <c r="K298" s="64">
        <f t="shared" si="98"/>
        <v>0</v>
      </c>
      <c r="M298" s="64">
        <f t="shared" si="99"/>
        <v>0</v>
      </c>
      <c r="O298" s="64">
        <f t="shared" si="100"/>
        <v>0</v>
      </c>
      <c r="Q298" s="64">
        <f t="shared" si="101"/>
        <v>0</v>
      </c>
      <c r="S298" s="71">
        <f t="shared" si="102"/>
        <v>0</v>
      </c>
      <c r="U298" s="64">
        <f t="shared" si="103"/>
        <v>0</v>
      </c>
      <c r="W298" s="71">
        <f t="shared" si="104"/>
        <v>0</v>
      </c>
      <c r="Y298" s="71">
        <f t="shared" si="105"/>
        <v>0</v>
      </c>
      <c r="AA298" s="71">
        <f t="shared" si="106"/>
        <v>0</v>
      </c>
      <c r="AC298" s="71">
        <f t="shared" si="107"/>
        <v>0</v>
      </c>
      <c r="AK298" s="71">
        <f t="shared" si="108"/>
        <v>0</v>
      </c>
      <c r="AM298" s="71">
        <f t="shared" si="109"/>
        <v>0</v>
      </c>
      <c r="AO298" s="71">
        <f t="shared" si="110"/>
        <v>0</v>
      </c>
      <c r="AQ298" s="71">
        <f t="shared" si="111"/>
        <v>0</v>
      </c>
      <c r="AT298" s="71">
        <f t="shared" si="112"/>
        <v>0</v>
      </c>
      <c r="AV298" s="71">
        <f t="shared" si="113"/>
        <v>0</v>
      </c>
      <c r="AX298" s="71">
        <f t="shared" si="114"/>
        <v>0</v>
      </c>
      <c r="AZ298" s="71">
        <f t="shared" si="115"/>
        <v>0</v>
      </c>
      <c r="BE298" s="102">
        <f t="shared" si="116"/>
        <v>4.4721359549995796</v>
      </c>
      <c r="BF298" s="81">
        <f t="shared" si="117"/>
        <v>9.3924867883288243E-14</v>
      </c>
      <c r="BG298" s="81" t="str">
        <f t="shared" si="118"/>
        <v>BASSO</v>
      </c>
      <c r="BK298" s="81" t="str">
        <f t="shared" si="119"/>
        <v>MOLTO BASSO</v>
      </c>
    </row>
    <row r="299" spans="1:63" x14ac:dyDescent="0.15">
      <c r="G299" s="64">
        <f t="shared" si="120"/>
        <v>0</v>
      </c>
      <c r="I299" s="64">
        <f t="shared" si="97"/>
        <v>0</v>
      </c>
      <c r="K299" s="64">
        <f t="shared" si="98"/>
        <v>0</v>
      </c>
      <c r="M299" s="64">
        <f t="shared" si="99"/>
        <v>0</v>
      </c>
      <c r="O299" s="64">
        <f t="shared" si="100"/>
        <v>0</v>
      </c>
      <c r="Q299" s="64">
        <f t="shared" si="101"/>
        <v>0</v>
      </c>
      <c r="S299" s="71">
        <f t="shared" si="102"/>
        <v>0</v>
      </c>
      <c r="U299" s="64">
        <f t="shared" si="103"/>
        <v>0</v>
      </c>
      <c r="W299" s="71">
        <f t="shared" si="104"/>
        <v>0</v>
      </c>
      <c r="Y299" s="71">
        <f t="shared" si="105"/>
        <v>0</v>
      </c>
      <c r="AA299" s="71">
        <f t="shared" si="106"/>
        <v>0</v>
      </c>
      <c r="AC299" s="71">
        <f t="shared" si="107"/>
        <v>0</v>
      </c>
      <c r="AK299" s="71">
        <f t="shared" si="108"/>
        <v>0</v>
      </c>
      <c r="AM299" s="71">
        <f t="shared" si="109"/>
        <v>0</v>
      </c>
      <c r="AO299" s="71">
        <f t="shared" si="110"/>
        <v>0</v>
      </c>
      <c r="AQ299" s="71">
        <f t="shared" si="111"/>
        <v>0</v>
      </c>
      <c r="AT299" s="71">
        <f t="shared" si="112"/>
        <v>0</v>
      </c>
      <c r="AV299" s="71">
        <f t="shared" si="113"/>
        <v>0</v>
      </c>
      <c r="AX299" s="71">
        <f t="shared" si="114"/>
        <v>0</v>
      </c>
      <c r="AZ299" s="71">
        <f t="shared" si="115"/>
        <v>0</v>
      </c>
      <c r="BE299" s="102">
        <f t="shared" si="116"/>
        <v>4.4721359549995796</v>
      </c>
      <c r="BF299" s="81">
        <f t="shared" si="117"/>
        <v>9.3924867883288243E-14</v>
      </c>
      <c r="BG299" s="81" t="str">
        <f t="shared" si="118"/>
        <v>BASSO</v>
      </c>
      <c r="BK299" s="81" t="str">
        <f t="shared" si="119"/>
        <v>MOLTO BASSO</v>
      </c>
    </row>
    <row r="300" spans="1:63" x14ac:dyDescent="0.15">
      <c r="G300" s="64">
        <f t="shared" si="120"/>
        <v>0</v>
      </c>
      <c r="I300" s="64">
        <f t="shared" si="97"/>
        <v>0</v>
      </c>
      <c r="K300" s="64">
        <f t="shared" si="98"/>
        <v>0</v>
      </c>
      <c r="M300" s="64">
        <f t="shared" si="99"/>
        <v>0</v>
      </c>
      <c r="O300" s="64">
        <f t="shared" si="100"/>
        <v>0</v>
      </c>
      <c r="Q300" s="64">
        <f t="shared" si="101"/>
        <v>0</v>
      </c>
      <c r="S300" s="71">
        <f t="shared" si="102"/>
        <v>0</v>
      </c>
      <c r="U300" s="64">
        <f t="shared" si="103"/>
        <v>0</v>
      </c>
      <c r="W300" s="71">
        <f t="shared" si="104"/>
        <v>0</v>
      </c>
      <c r="Y300" s="71">
        <f t="shared" si="105"/>
        <v>0</v>
      </c>
      <c r="AA300" s="71">
        <f t="shared" si="106"/>
        <v>0</v>
      </c>
      <c r="AC300" s="71">
        <f t="shared" si="107"/>
        <v>0</v>
      </c>
      <c r="AK300" s="71">
        <f t="shared" si="108"/>
        <v>0</v>
      </c>
      <c r="AM300" s="71">
        <f t="shared" si="109"/>
        <v>0</v>
      </c>
      <c r="AO300" s="71">
        <f t="shared" si="110"/>
        <v>0</v>
      </c>
      <c r="AQ300" s="71">
        <f t="shared" si="111"/>
        <v>0</v>
      </c>
      <c r="AT300" s="71">
        <f t="shared" si="112"/>
        <v>0</v>
      </c>
      <c r="AV300" s="71">
        <f t="shared" si="113"/>
        <v>0</v>
      </c>
      <c r="AX300" s="71">
        <f t="shared" si="114"/>
        <v>0</v>
      </c>
      <c r="AZ300" s="71">
        <f t="shared" si="115"/>
        <v>0</v>
      </c>
      <c r="BE300" s="102">
        <f t="shared" si="116"/>
        <v>4.4721359549995796</v>
      </c>
      <c r="BF300" s="81">
        <f t="shared" si="117"/>
        <v>9.3924867883288243E-14</v>
      </c>
      <c r="BG300" s="81" t="str">
        <f t="shared" si="118"/>
        <v>BASSO</v>
      </c>
      <c r="BK300" s="81" t="str">
        <f t="shared" si="119"/>
        <v>MOLTO BASSO</v>
      </c>
    </row>
    <row r="301" spans="1:63" x14ac:dyDescent="0.15">
      <c r="G301" s="64">
        <f t="shared" si="120"/>
        <v>0</v>
      </c>
      <c r="I301" s="64">
        <f t="shared" si="97"/>
        <v>0</v>
      </c>
      <c r="K301" s="64">
        <f t="shared" si="98"/>
        <v>0</v>
      </c>
      <c r="M301" s="64">
        <f t="shared" si="99"/>
        <v>0</v>
      </c>
      <c r="O301" s="64">
        <f t="shared" si="100"/>
        <v>0</v>
      </c>
      <c r="Q301" s="64">
        <f t="shared" si="101"/>
        <v>0</v>
      </c>
      <c r="S301" s="71">
        <f t="shared" si="102"/>
        <v>0</v>
      </c>
      <c r="U301" s="64">
        <f t="shared" si="103"/>
        <v>0</v>
      </c>
      <c r="W301" s="71">
        <f t="shared" si="104"/>
        <v>0</v>
      </c>
      <c r="Y301" s="71">
        <f t="shared" si="105"/>
        <v>0</v>
      </c>
      <c r="AA301" s="71">
        <f t="shared" si="106"/>
        <v>0</v>
      </c>
      <c r="AC301" s="71">
        <f t="shared" si="107"/>
        <v>0</v>
      </c>
      <c r="AK301" s="71">
        <f t="shared" si="108"/>
        <v>0</v>
      </c>
      <c r="AM301" s="71">
        <f t="shared" si="109"/>
        <v>0</v>
      </c>
      <c r="AO301" s="71">
        <f t="shared" si="110"/>
        <v>0</v>
      </c>
      <c r="AQ301" s="71">
        <f t="shared" si="111"/>
        <v>0</v>
      </c>
      <c r="AT301" s="71">
        <f t="shared" si="112"/>
        <v>0</v>
      </c>
      <c r="AV301" s="71">
        <f t="shared" si="113"/>
        <v>0</v>
      </c>
      <c r="AX301" s="71">
        <f t="shared" si="114"/>
        <v>0</v>
      </c>
      <c r="AZ301" s="71">
        <f t="shared" si="115"/>
        <v>0</v>
      </c>
      <c r="BE301" s="102">
        <f t="shared" si="116"/>
        <v>4.4721359549995796</v>
      </c>
      <c r="BF301" s="81">
        <f t="shared" si="117"/>
        <v>9.3924867883288243E-14</v>
      </c>
      <c r="BG301" s="81" t="str">
        <f t="shared" si="118"/>
        <v>BASSO</v>
      </c>
      <c r="BK301" s="81" t="str">
        <f t="shared" si="119"/>
        <v>MOLTO BASSO</v>
      </c>
    </row>
    <row r="302" spans="1:63" x14ac:dyDescent="0.15">
      <c r="G302" s="64">
        <f t="shared" si="120"/>
        <v>0</v>
      </c>
      <c r="I302" s="64">
        <f t="shared" si="97"/>
        <v>0</v>
      </c>
      <c r="K302" s="64">
        <f t="shared" si="98"/>
        <v>0</v>
      </c>
      <c r="M302" s="64">
        <f t="shared" si="99"/>
        <v>0</v>
      </c>
      <c r="O302" s="64">
        <f t="shared" si="100"/>
        <v>0</v>
      </c>
      <c r="Q302" s="64">
        <f t="shared" si="101"/>
        <v>0</v>
      </c>
      <c r="S302" s="71">
        <f t="shared" si="102"/>
        <v>0</v>
      </c>
      <c r="U302" s="64">
        <f t="shared" si="103"/>
        <v>0</v>
      </c>
      <c r="W302" s="71">
        <f t="shared" si="104"/>
        <v>0</v>
      </c>
      <c r="Y302" s="71">
        <f t="shared" si="105"/>
        <v>0</v>
      </c>
      <c r="AA302" s="71">
        <f t="shared" si="106"/>
        <v>0</v>
      </c>
      <c r="AC302" s="71">
        <f t="shared" si="107"/>
        <v>0</v>
      </c>
      <c r="AK302" s="71">
        <f t="shared" si="108"/>
        <v>0</v>
      </c>
      <c r="AM302" s="71">
        <f t="shared" si="109"/>
        <v>0</v>
      </c>
      <c r="AO302" s="71">
        <f t="shared" si="110"/>
        <v>0</v>
      </c>
      <c r="AQ302" s="71">
        <f t="shared" si="111"/>
        <v>0</v>
      </c>
      <c r="AT302" s="71">
        <f t="shared" si="112"/>
        <v>0</v>
      </c>
      <c r="AV302" s="71">
        <f t="shared" si="113"/>
        <v>0</v>
      </c>
      <c r="AX302" s="71">
        <f t="shared" si="114"/>
        <v>0</v>
      </c>
      <c r="AZ302" s="71">
        <f t="shared" si="115"/>
        <v>0</v>
      </c>
      <c r="BE302" s="102">
        <f t="shared" si="116"/>
        <v>4.4721359549995796</v>
      </c>
      <c r="BF302" s="81">
        <f t="shared" si="117"/>
        <v>9.3924867883288243E-14</v>
      </c>
      <c r="BG302" s="81" t="str">
        <f t="shared" si="118"/>
        <v>BASSO</v>
      </c>
      <c r="BK302" s="81" t="str">
        <f t="shared" si="119"/>
        <v>MOLTO BASSO</v>
      </c>
    </row>
    <row r="303" spans="1:63" x14ac:dyDescent="0.15">
      <c r="G303" s="64">
        <f t="shared" si="120"/>
        <v>0</v>
      </c>
      <c r="I303" s="64">
        <f t="shared" si="97"/>
        <v>0</v>
      </c>
      <c r="K303" s="64">
        <f t="shared" si="98"/>
        <v>0</v>
      </c>
      <c r="M303" s="64">
        <f t="shared" si="99"/>
        <v>0</v>
      </c>
      <c r="O303" s="64">
        <f t="shared" si="100"/>
        <v>0</v>
      </c>
      <c r="Q303" s="64">
        <f t="shared" si="101"/>
        <v>0</v>
      </c>
      <c r="S303" s="71">
        <f t="shared" si="102"/>
        <v>0</v>
      </c>
      <c r="U303" s="64">
        <f t="shared" si="103"/>
        <v>0</v>
      </c>
      <c r="W303" s="71">
        <f t="shared" si="104"/>
        <v>0</v>
      </c>
      <c r="Y303" s="71">
        <f t="shared" si="105"/>
        <v>0</v>
      </c>
      <c r="AA303" s="71">
        <f t="shared" si="106"/>
        <v>0</v>
      </c>
      <c r="AC303" s="71">
        <f t="shared" si="107"/>
        <v>0</v>
      </c>
      <c r="AK303" s="71">
        <f t="shared" si="108"/>
        <v>0</v>
      </c>
      <c r="AM303" s="71">
        <f t="shared" si="109"/>
        <v>0</v>
      </c>
      <c r="AO303" s="71">
        <f t="shared" si="110"/>
        <v>0</v>
      </c>
      <c r="AQ303" s="71">
        <f t="shared" si="111"/>
        <v>0</v>
      </c>
      <c r="AT303" s="71">
        <f t="shared" si="112"/>
        <v>0</v>
      </c>
      <c r="AV303" s="71">
        <f t="shared" si="113"/>
        <v>0</v>
      </c>
      <c r="AX303" s="71">
        <f t="shared" si="114"/>
        <v>0</v>
      </c>
      <c r="AZ303" s="71">
        <f t="shared" si="115"/>
        <v>0</v>
      </c>
      <c r="BE303" s="102">
        <f t="shared" si="116"/>
        <v>4.4721359549995796</v>
      </c>
      <c r="BF303" s="81">
        <f t="shared" si="117"/>
        <v>9.3924867883288243E-14</v>
      </c>
      <c r="BG303" s="81" t="str">
        <f t="shared" si="118"/>
        <v>BASSO</v>
      </c>
      <c r="BK303" s="81" t="str">
        <f t="shared" si="119"/>
        <v>MOLTO BASSO</v>
      </c>
    </row>
    <row r="304" spans="1:63" x14ac:dyDescent="0.15">
      <c r="G304" s="64">
        <f t="shared" si="120"/>
        <v>0</v>
      </c>
      <c r="I304" s="64">
        <f t="shared" si="97"/>
        <v>0</v>
      </c>
      <c r="K304" s="64">
        <f t="shared" si="98"/>
        <v>0</v>
      </c>
      <c r="M304" s="64">
        <f t="shared" si="99"/>
        <v>0</v>
      </c>
      <c r="O304" s="64">
        <f t="shared" si="100"/>
        <v>0</v>
      </c>
      <c r="Q304" s="64">
        <f t="shared" si="101"/>
        <v>0</v>
      </c>
      <c r="S304" s="71">
        <f t="shared" si="102"/>
        <v>0</v>
      </c>
      <c r="U304" s="64">
        <f t="shared" si="103"/>
        <v>0</v>
      </c>
      <c r="W304" s="71">
        <f t="shared" si="104"/>
        <v>0</v>
      </c>
      <c r="Y304" s="71">
        <f t="shared" si="105"/>
        <v>0</v>
      </c>
      <c r="AA304" s="71">
        <f t="shared" si="106"/>
        <v>0</v>
      </c>
      <c r="AC304" s="71">
        <f t="shared" si="107"/>
        <v>0</v>
      </c>
      <c r="AK304" s="71">
        <f t="shared" si="108"/>
        <v>0</v>
      </c>
      <c r="AM304" s="71">
        <f t="shared" si="109"/>
        <v>0</v>
      </c>
      <c r="AO304" s="71">
        <f t="shared" si="110"/>
        <v>0</v>
      </c>
      <c r="AQ304" s="71">
        <f t="shared" si="111"/>
        <v>0</v>
      </c>
      <c r="AT304" s="71">
        <f t="shared" si="112"/>
        <v>0</v>
      </c>
      <c r="AV304" s="71">
        <f t="shared" si="113"/>
        <v>0</v>
      </c>
      <c r="AX304" s="71">
        <f t="shared" si="114"/>
        <v>0</v>
      </c>
      <c r="AZ304" s="71">
        <f t="shared" si="115"/>
        <v>0</v>
      </c>
      <c r="BE304" s="102">
        <f t="shared" si="116"/>
        <v>4.4721359549995796</v>
      </c>
      <c r="BF304" s="81">
        <f t="shared" si="117"/>
        <v>9.3924867883288243E-14</v>
      </c>
      <c r="BG304" s="81" t="str">
        <f t="shared" si="118"/>
        <v>BASSO</v>
      </c>
      <c r="BK304" s="81" t="str">
        <f t="shared" si="119"/>
        <v>MOLTO BASSO</v>
      </c>
    </row>
    <row r="305" spans="7:63" x14ac:dyDescent="0.15">
      <c r="G305" s="64">
        <f t="shared" si="120"/>
        <v>0</v>
      </c>
      <c r="I305" s="64">
        <f t="shared" si="97"/>
        <v>0</v>
      </c>
      <c r="K305" s="64">
        <f t="shared" si="98"/>
        <v>0</v>
      </c>
      <c r="M305" s="64">
        <f t="shared" si="99"/>
        <v>0</v>
      </c>
      <c r="O305" s="64">
        <f t="shared" si="100"/>
        <v>0</v>
      </c>
      <c r="Q305" s="64">
        <f t="shared" si="101"/>
        <v>0</v>
      </c>
      <c r="S305" s="71">
        <f t="shared" si="102"/>
        <v>0</v>
      </c>
      <c r="U305" s="64">
        <f t="shared" si="103"/>
        <v>0</v>
      </c>
      <c r="W305" s="71">
        <f t="shared" si="104"/>
        <v>0</v>
      </c>
      <c r="Y305" s="71">
        <f t="shared" si="105"/>
        <v>0</v>
      </c>
      <c r="AA305" s="71">
        <f t="shared" si="106"/>
        <v>0</v>
      </c>
      <c r="AC305" s="71">
        <f t="shared" si="107"/>
        <v>0</v>
      </c>
      <c r="AK305" s="71">
        <f t="shared" si="108"/>
        <v>0</v>
      </c>
      <c r="AM305" s="71">
        <f t="shared" si="109"/>
        <v>0</v>
      </c>
      <c r="AO305" s="71">
        <f t="shared" si="110"/>
        <v>0</v>
      </c>
      <c r="AQ305" s="71">
        <f t="shared" si="111"/>
        <v>0</v>
      </c>
      <c r="AT305" s="71">
        <f t="shared" si="112"/>
        <v>0</v>
      </c>
      <c r="AV305" s="71">
        <f t="shared" si="113"/>
        <v>0</v>
      </c>
      <c r="AX305" s="71">
        <f t="shared" si="114"/>
        <v>0</v>
      </c>
      <c r="AZ305" s="71">
        <f t="shared" si="115"/>
        <v>0</v>
      </c>
      <c r="BE305" s="102">
        <f t="shared" si="116"/>
        <v>4.4721359549995796</v>
      </c>
      <c r="BF305" s="81">
        <f t="shared" si="117"/>
        <v>9.3924867883288243E-14</v>
      </c>
      <c r="BG305" s="81" t="str">
        <f t="shared" si="118"/>
        <v>BASSO</v>
      </c>
      <c r="BK305" s="81" t="str">
        <f t="shared" si="119"/>
        <v>MOLTO BASSO</v>
      </c>
    </row>
    <row r="306" spans="7:63" x14ac:dyDescent="0.15">
      <c r="G306" s="64">
        <f t="shared" si="120"/>
        <v>0</v>
      </c>
      <c r="I306" s="64">
        <f t="shared" si="97"/>
        <v>0</v>
      </c>
      <c r="K306" s="64">
        <f t="shared" si="98"/>
        <v>0</v>
      </c>
      <c r="M306" s="64">
        <f t="shared" si="99"/>
        <v>0</v>
      </c>
      <c r="O306" s="64">
        <f t="shared" si="100"/>
        <v>0</v>
      </c>
      <c r="Q306" s="64">
        <f t="shared" si="101"/>
        <v>0</v>
      </c>
      <c r="S306" s="71">
        <f t="shared" si="102"/>
        <v>0</v>
      </c>
      <c r="U306" s="64">
        <f t="shared" si="103"/>
        <v>0</v>
      </c>
      <c r="W306" s="71">
        <f t="shared" si="104"/>
        <v>0</v>
      </c>
      <c r="Y306" s="71">
        <f t="shared" si="105"/>
        <v>0</v>
      </c>
      <c r="AA306" s="71">
        <f t="shared" si="106"/>
        <v>0</v>
      </c>
      <c r="AC306" s="71">
        <f t="shared" si="107"/>
        <v>0</v>
      </c>
      <c r="AK306" s="71">
        <f t="shared" si="108"/>
        <v>0</v>
      </c>
      <c r="AM306" s="71">
        <f t="shared" si="109"/>
        <v>0</v>
      </c>
      <c r="AO306" s="71">
        <f t="shared" si="110"/>
        <v>0</v>
      </c>
      <c r="AQ306" s="71">
        <f t="shared" si="111"/>
        <v>0</v>
      </c>
      <c r="AT306" s="71">
        <f t="shared" si="112"/>
        <v>0</v>
      </c>
      <c r="AV306" s="71">
        <f t="shared" si="113"/>
        <v>0</v>
      </c>
      <c r="AX306" s="71">
        <f t="shared" si="114"/>
        <v>0</v>
      </c>
      <c r="AZ306" s="71">
        <f t="shared" si="115"/>
        <v>0</v>
      </c>
      <c r="BE306" s="102">
        <f t="shared" si="116"/>
        <v>4.4721359549995796</v>
      </c>
      <c r="BF306" s="81">
        <f t="shared" si="117"/>
        <v>9.3924867883288243E-14</v>
      </c>
      <c r="BG306" s="81" t="str">
        <f t="shared" si="118"/>
        <v>BASSO</v>
      </c>
      <c r="BK306" s="81" t="str">
        <f t="shared" si="119"/>
        <v>MOLTO BASSO</v>
      </c>
    </row>
    <row r="307" spans="7:63" x14ac:dyDescent="0.15">
      <c r="G307" s="64">
        <f t="shared" si="120"/>
        <v>0</v>
      </c>
      <c r="I307" s="64">
        <f t="shared" si="97"/>
        <v>0</v>
      </c>
      <c r="K307" s="64">
        <f t="shared" si="98"/>
        <v>0</v>
      </c>
      <c r="M307" s="64">
        <f t="shared" si="99"/>
        <v>0</v>
      </c>
      <c r="O307" s="64">
        <f t="shared" si="100"/>
        <v>0</v>
      </c>
      <c r="Q307" s="64">
        <f t="shared" si="101"/>
        <v>0</v>
      </c>
      <c r="S307" s="71">
        <f t="shared" si="102"/>
        <v>0</v>
      </c>
      <c r="U307" s="64">
        <f t="shared" si="103"/>
        <v>0</v>
      </c>
      <c r="W307" s="71">
        <f t="shared" si="104"/>
        <v>0</v>
      </c>
      <c r="Y307" s="71">
        <f t="shared" si="105"/>
        <v>0</v>
      </c>
      <c r="AA307" s="71">
        <f t="shared" si="106"/>
        <v>0</v>
      </c>
      <c r="AC307" s="71">
        <f t="shared" si="107"/>
        <v>0</v>
      </c>
      <c r="AK307" s="71">
        <f t="shared" si="108"/>
        <v>0</v>
      </c>
      <c r="AM307" s="71">
        <f t="shared" si="109"/>
        <v>0</v>
      </c>
      <c r="AO307" s="71">
        <f t="shared" si="110"/>
        <v>0</v>
      </c>
      <c r="AQ307" s="71">
        <f t="shared" si="111"/>
        <v>0</v>
      </c>
      <c r="AT307" s="71">
        <f t="shared" si="112"/>
        <v>0</v>
      </c>
      <c r="AV307" s="71">
        <f t="shared" si="113"/>
        <v>0</v>
      </c>
      <c r="AX307" s="71">
        <f t="shared" si="114"/>
        <v>0</v>
      </c>
      <c r="AZ307" s="71">
        <f t="shared" si="115"/>
        <v>0</v>
      </c>
      <c r="BE307" s="102">
        <f t="shared" si="116"/>
        <v>4.4721359549995796</v>
      </c>
      <c r="BF307" s="81">
        <f t="shared" si="117"/>
        <v>9.3924867883288243E-14</v>
      </c>
      <c r="BG307" s="81" t="str">
        <f t="shared" si="118"/>
        <v>BASSO</v>
      </c>
      <c r="BK307" s="81" t="str">
        <f t="shared" si="119"/>
        <v>MOLTO BASSO</v>
      </c>
    </row>
    <row r="308" spans="7:63" x14ac:dyDescent="0.15">
      <c r="G308" s="64">
        <f t="shared" si="120"/>
        <v>0</v>
      </c>
      <c r="I308" s="64">
        <f t="shared" si="97"/>
        <v>0</v>
      </c>
      <c r="K308" s="64">
        <f t="shared" si="98"/>
        <v>0</v>
      </c>
      <c r="M308" s="64">
        <f t="shared" si="99"/>
        <v>0</v>
      </c>
      <c r="O308" s="64">
        <f t="shared" si="100"/>
        <v>0</v>
      </c>
      <c r="Q308" s="64">
        <f t="shared" si="101"/>
        <v>0</v>
      </c>
      <c r="S308" s="71">
        <f t="shared" si="102"/>
        <v>0</v>
      </c>
      <c r="U308" s="64">
        <f t="shared" si="103"/>
        <v>0</v>
      </c>
      <c r="W308" s="71">
        <f t="shared" si="104"/>
        <v>0</v>
      </c>
      <c r="Y308" s="71">
        <f t="shared" si="105"/>
        <v>0</v>
      </c>
      <c r="AA308" s="71">
        <f t="shared" si="106"/>
        <v>0</v>
      </c>
      <c r="AC308" s="71">
        <f t="shared" si="107"/>
        <v>0</v>
      </c>
      <c r="AK308" s="71">
        <f t="shared" si="108"/>
        <v>0</v>
      </c>
      <c r="AM308" s="71">
        <f t="shared" si="109"/>
        <v>0</v>
      </c>
      <c r="AO308" s="71">
        <f t="shared" si="110"/>
        <v>0</v>
      </c>
      <c r="AQ308" s="71">
        <f t="shared" si="111"/>
        <v>0</v>
      </c>
      <c r="AT308" s="71">
        <f t="shared" si="112"/>
        <v>0</v>
      </c>
      <c r="AV308" s="71">
        <f t="shared" si="113"/>
        <v>0</v>
      </c>
      <c r="AX308" s="71">
        <f t="shared" si="114"/>
        <v>0</v>
      </c>
      <c r="AZ308" s="71">
        <f t="shared" si="115"/>
        <v>0</v>
      </c>
      <c r="BE308" s="102">
        <f t="shared" si="116"/>
        <v>4.4721359549995796</v>
      </c>
      <c r="BF308" s="81">
        <f t="shared" si="117"/>
        <v>9.3924867883288243E-14</v>
      </c>
      <c r="BG308" s="81" t="str">
        <f t="shared" si="118"/>
        <v>BASSO</v>
      </c>
      <c r="BK308" s="81" t="str">
        <f t="shared" si="119"/>
        <v>MOLTO BASSO</v>
      </c>
    </row>
    <row r="309" spans="7:63" x14ac:dyDescent="0.15">
      <c r="G309" s="64">
        <f t="shared" si="120"/>
        <v>0</v>
      </c>
      <c r="I309" s="64">
        <f t="shared" si="97"/>
        <v>0</v>
      </c>
      <c r="K309" s="64">
        <f t="shared" si="98"/>
        <v>0</v>
      </c>
      <c r="M309" s="64">
        <f t="shared" si="99"/>
        <v>0</v>
      </c>
      <c r="O309" s="64">
        <f t="shared" si="100"/>
        <v>0</v>
      </c>
      <c r="Q309" s="64">
        <f t="shared" si="101"/>
        <v>0</v>
      </c>
      <c r="S309" s="71">
        <f t="shared" si="102"/>
        <v>0</v>
      </c>
      <c r="U309" s="64">
        <f t="shared" si="103"/>
        <v>0</v>
      </c>
      <c r="W309" s="71">
        <f t="shared" si="104"/>
        <v>0</v>
      </c>
      <c r="Y309" s="71">
        <f t="shared" si="105"/>
        <v>0</v>
      </c>
      <c r="AA309" s="71">
        <f t="shared" si="106"/>
        <v>0</v>
      </c>
      <c r="AC309" s="71">
        <f t="shared" si="107"/>
        <v>0</v>
      </c>
      <c r="AK309" s="71">
        <f t="shared" si="108"/>
        <v>0</v>
      </c>
      <c r="AM309" s="71">
        <f t="shared" si="109"/>
        <v>0</v>
      </c>
      <c r="AO309" s="71">
        <f t="shared" si="110"/>
        <v>0</v>
      </c>
      <c r="AQ309" s="71">
        <f t="shared" si="111"/>
        <v>0</v>
      </c>
      <c r="AT309" s="71">
        <f t="shared" si="112"/>
        <v>0</v>
      </c>
      <c r="AV309" s="71">
        <f t="shared" si="113"/>
        <v>0</v>
      </c>
      <c r="AX309" s="71">
        <f t="shared" si="114"/>
        <v>0</v>
      </c>
      <c r="AZ309" s="71">
        <f t="shared" si="115"/>
        <v>0</v>
      </c>
      <c r="BE309" s="102">
        <f t="shared" si="116"/>
        <v>4.4721359549995796</v>
      </c>
      <c r="BF309" s="81">
        <f t="shared" si="117"/>
        <v>9.3924867883288243E-14</v>
      </c>
      <c r="BG309" s="81" t="str">
        <f t="shared" si="118"/>
        <v>BASSO</v>
      </c>
      <c r="BK309" s="81" t="str">
        <f t="shared" si="119"/>
        <v>MOLTO BASSO</v>
      </c>
    </row>
    <row r="310" spans="7:63" x14ac:dyDescent="0.15">
      <c r="G310" s="64">
        <f t="shared" si="120"/>
        <v>0</v>
      </c>
      <c r="I310" s="64">
        <f t="shared" si="97"/>
        <v>0</v>
      </c>
      <c r="K310" s="64">
        <f t="shared" si="98"/>
        <v>0</v>
      </c>
      <c r="M310" s="64">
        <f t="shared" si="99"/>
        <v>0</v>
      </c>
      <c r="O310" s="64">
        <f t="shared" si="100"/>
        <v>0</v>
      </c>
      <c r="Q310" s="64">
        <f t="shared" si="101"/>
        <v>0</v>
      </c>
      <c r="S310" s="71">
        <f t="shared" si="102"/>
        <v>0</v>
      </c>
      <c r="U310" s="64">
        <f t="shared" si="103"/>
        <v>0</v>
      </c>
      <c r="W310" s="71">
        <f t="shared" si="104"/>
        <v>0</v>
      </c>
      <c r="Y310" s="71">
        <f t="shared" si="105"/>
        <v>0</v>
      </c>
      <c r="AA310" s="71">
        <f t="shared" si="106"/>
        <v>0</v>
      </c>
      <c r="AC310" s="71">
        <f t="shared" si="107"/>
        <v>0</v>
      </c>
      <c r="AK310" s="71">
        <f t="shared" si="108"/>
        <v>0</v>
      </c>
      <c r="AM310" s="71">
        <f t="shared" si="109"/>
        <v>0</v>
      </c>
      <c r="AO310" s="71">
        <f t="shared" si="110"/>
        <v>0</v>
      </c>
      <c r="AQ310" s="71">
        <f t="shared" si="111"/>
        <v>0</v>
      </c>
      <c r="AT310" s="71">
        <f t="shared" si="112"/>
        <v>0</v>
      </c>
      <c r="AV310" s="71">
        <f t="shared" si="113"/>
        <v>0</v>
      </c>
      <c r="AX310" s="71">
        <f t="shared" si="114"/>
        <v>0</v>
      </c>
      <c r="AZ310" s="71">
        <f t="shared" si="115"/>
        <v>0</v>
      </c>
      <c r="BE310" s="102">
        <f t="shared" si="116"/>
        <v>4.4721359549995796</v>
      </c>
      <c r="BF310" s="81">
        <f t="shared" si="117"/>
        <v>9.3924867883288243E-14</v>
      </c>
      <c r="BG310" s="81" t="str">
        <f t="shared" si="118"/>
        <v>BASSO</v>
      </c>
      <c r="BK310" s="81" t="str">
        <f t="shared" si="119"/>
        <v>MOLTO BASSO</v>
      </c>
    </row>
    <row r="311" spans="7:63" x14ac:dyDescent="0.15">
      <c r="G311" s="64">
        <f t="shared" si="120"/>
        <v>0</v>
      </c>
      <c r="I311" s="64">
        <f t="shared" si="97"/>
        <v>0</v>
      </c>
      <c r="K311" s="64">
        <f t="shared" si="98"/>
        <v>0</v>
      </c>
      <c r="M311" s="64">
        <f t="shared" si="99"/>
        <v>0</v>
      </c>
      <c r="O311" s="64">
        <f t="shared" si="100"/>
        <v>0</v>
      </c>
      <c r="Q311" s="64">
        <f t="shared" si="101"/>
        <v>0</v>
      </c>
      <c r="S311" s="71">
        <f t="shared" si="102"/>
        <v>0</v>
      </c>
      <c r="U311" s="64">
        <f t="shared" si="103"/>
        <v>0</v>
      </c>
      <c r="W311" s="71">
        <f t="shared" si="104"/>
        <v>0</v>
      </c>
      <c r="Y311" s="71">
        <f t="shared" si="105"/>
        <v>0</v>
      </c>
      <c r="AA311" s="71">
        <f t="shared" si="106"/>
        <v>0</v>
      </c>
      <c r="AC311" s="71">
        <f t="shared" si="107"/>
        <v>0</v>
      </c>
      <c r="AK311" s="71">
        <f t="shared" si="108"/>
        <v>0</v>
      </c>
      <c r="AM311" s="71">
        <f t="shared" si="109"/>
        <v>0</v>
      </c>
      <c r="AO311" s="71">
        <f t="shared" si="110"/>
        <v>0</v>
      </c>
      <c r="AQ311" s="71">
        <f t="shared" si="111"/>
        <v>0</v>
      </c>
      <c r="AT311" s="71">
        <f t="shared" si="112"/>
        <v>0</v>
      </c>
      <c r="AV311" s="71">
        <f t="shared" si="113"/>
        <v>0</v>
      </c>
      <c r="AX311" s="71">
        <f t="shared" si="114"/>
        <v>0</v>
      </c>
      <c r="AZ311" s="71">
        <f t="shared" si="115"/>
        <v>0</v>
      </c>
      <c r="BE311" s="102">
        <f t="shared" si="116"/>
        <v>4.4721359549995796</v>
      </c>
      <c r="BF311" s="81">
        <f t="shared" si="117"/>
        <v>9.3924867883288243E-14</v>
      </c>
      <c r="BG311" s="81" t="str">
        <f t="shared" si="118"/>
        <v>BASSO</v>
      </c>
      <c r="BK311" s="81" t="str">
        <f t="shared" si="119"/>
        <v>MOLTO BASSO</v>
      </c>
    </row>
    <row r="312" spans="7:63" x14ac:dyDescent="0.15">
      <c r="G312" s="64">
        <f t="shared" si="120"/>
        <v>0</v>
      </c>
      <c r="I312" s="64">
        <f t="shared" si="97"/>
        <v>0</v>
      </c>
      <c r="K312" s="64">
        <f t="shared" si="98"/>
        <v>0</v>
      </c>
      <c r="M312" s="64">
        <f t="shared" si="99"/>
        <v>0</v>
      </c>
      <c r="O312" s="64">
        <f t="shared" si="100"/>
        <v>0</v>
      </c>
      <c r="Q312" s="64">
        <f t="shared" si="101"/>
        <v>0</v>
      </c>
      <c r="S312" s="71">
        <f t="shared" si="102"/>
        <v>0</v>
      </c>
      <c r="U312" s="64">
        <f t="shared" si="103"/>
        <v>0</v>
      </c>
      <c r="W312" s="71">
        <f t="shared" si="104"/>
        <v>0</v>
      </c>
      <c r="Y312" s="71">
        <f t="shared" si="105"/>
        <v>0</v>
      </c>
      <c r="AA312" s="71">
        <f t="shared" si="106"/>
        <v>0</v>
      </c>
      <c r="AC312" s="71">
        <f t="shared" si="107"/>
        <v>0</v>
      </c>
      <c r="AK312" s="71">
        <f t="shared" si="108"/>
        <v>0</v>
      </c>
      <c r="AM312" s="71">
        <f t="shared" si="109"/>
        <v>0</v>
      </c>
      <c r="AO312" s="71">
        <f t="shared" si="110"/>
        <v>0</v>
      </c>
      <c r="AQ312" s="71">
        <f t="shared" si="111"/>
        <v>0</v>
      </c>
      <c r="AT312" s="71">
        <f t="shared" si="112"/>
        <v>0</v>
      </c>
      <c r="AV312" s="71">
        <f t="shared" si="113"/>
        <v>0</v>
      </c>
      <c r="AX312" s="71">
        <f t="shared" si="114"/>
        <v>0</v>
      </c>
      <c r="AZ312" s="71">
        <f t="shared" si="115"/>
        <v>0</v>
      </c>
      <c r="BE312" s="102">
        <f t="shared" si="116"/>
        <v>4.4721359549995796</v>
      </c>
      <c r="BF312" s="81">
        <f t="shared" si="117"/>
        <v>9.3924867883288243E-14</v>
      </c>
      <c r="BG312" s="81" t="str">
        <f t="shared" si="118"/>
        <v>BASSO</v>
      </c>
      <c r="BK312" s="81" t="str">
        <f t="shared" si="119"/>
        <v>MOLTO BASSO</v>
      </c>
    </row>
    <row r="313" spans="7:63" x14ac:dyDescent="0.15">
      <c r="G313" s="64">
        <f t="shared" si="120"/>
        <v>0</v>
      </c>
      <c r="I313" s="64">
        <f t="shared" si="97"/>
        <v>0</v>
      </c>
      <c r="K313" s="64">
        <f t="shared" si="98"/>
        <v>0</v>
      </c>
      <c r="M313" s="64">
        <f t="shared" si="99"/>
        <v>0</v>
      </c>
      <c r="O313" s="64">
        <f t="shared" si="100"/>
        <v>0</v>
      </c>
      <c r="Q313" s="64">
        <f t="shared" si="101"/>
        <v>0</v>
      </c>
      <c r="S313" s="71">
        <f t="shared" si="102"/>
        <v>0</v>
      </c>
      <c r="U313" s="64">
        <f t="shared" si="103"/>
        <v>0</v>
      </c>
      <c r="W313" s="71">
        <f t="shared" si="104"/>
        <v>0</v>
      </c>
      <c r="Y313" s="71">
        <f t="shared" si="105"/>
        <v>0</v>
      </c>
      <c r="AA313" s="71">
        <f t="shared" si="106"/>
        <v>0</v>
      </c>
      <c r="AC313" s="71">
        <f t="shared" si="107"/>
        <v>0</v>
      </c>
      <c r="AK313" s="71">
        <f t="shared" si="108"/>
        <v>0</v>
      </c>
      <c r="AM313" s="71">
        <f t="shared" si="109"/>
        <v>0</v>
      </c>
      <c r="AO313" s="71">
        <f t="shared" si="110"/>
        <v>0</v>
      </c>
      <c r="AQ313" s="71">
        <f t="shared" si="111"/>
        <v>0</v>
      </c>
      <c r="AT313" s="71">
        <f t="shared" si="112"/>
        <v>0</v>
      </c>
      <c r="AV313" s="71">
        <f t="shared" si="113"/>
        <v>0</v>
      </c>
      <c r="AX313" s="71">
        <f t="shared" si="114"/>
        <v>0</v>
      </c>
      <c r="AZ313" s="71">
        <f t="shared" si="115"/>
        <v>0</v>
      </c>
      <c r="BE313" s="102">
        <f t="shared" si="116"/>
        <v>4.4721359549995796</v>
      </c>
      <c r="BF313" s="81">
        <f t="shared" si="117"/>
        <v>9.3924867883288243E-14</v>
      </c>
      <c r="BG313" s="81" t="str">
        <f t="shared" si="118"/>
        <v>BASSO</v>
      </c>
      <c r="BK313" s="81" t="str">
        <f t="shared" si="119"/>
        <v>MOLTO BASSO</v>
      </c>
    </row>
    <row r="314" spans="7:63" x14ac:dyDescent="0.15">
      <c r="G314" s="64">
        <f t="shared" si="120"/>
        <v>0</v>
      </c>
      <c r="I314" s="64">
        <f t="shared" si="97"/>
        <v>0</v>
      </c>
      <c r="K314" s="64">
        <f t="shared" si="98"/>
        <v>0</v>
      </c>
      <c r="M314" s="64">
        <f t="shared" si="99"/>
        <v>0</v>
      </c>
      <c r="O314" s="64">
        <f t="shared" si="100"/>
        <v>0</v>
      </c>
      <c r="Q314" s="64">
        <f t="shared" si="101"/>
        <v>0</v>
      </c>
      <c r="S314" s="71">
        <f t="shared" si="102"/>
        <v>0</v>
      </c>
      <c r="U314" s="64">
        <f t="shared" si="103"/>
        <v>0</v>
      </c>
      <c r="W314" s="71">
        <f t="shared" si="104"/>
        <v>0</v>
      </c>
      <c r="Y314" s="71">
        <f t="shared" si="105"/>
        <v>0</v>
      </c>
      <c r="AA314" s="71">
        <f t="shared" si="106"/>
        <v>0</v>
      </c>
      <c r="AC314" s="71">
        <f t="shared" si="107"/>
        <v>0</v>
      </c>
      <c r="AK314" s="71">
        <f t="shared" si="108"/>
        <v>0</v>
      </c>
      <c r="AM314" s="71">
        <f t="shared" si="109"/>
        <v>0</v>
      </c>
      <c r="AO314" s="71">
        <f t="shared" si="110"/>
        <v>0</v>
      </c>
      <c r="AQ314" s="71">
        <f t="shared" si="111"/>
        <v>0</v>
      </c>
      <c r="AT314" s="71">
        <f t="shared" si="112"/>
        <v>0</v>
      </c>
      <c r="AV314" s="71">
        <f t="shared" si="113"/>
        <v>0</v>
      </c>
      <c r="AX314" s="71">
        <f t="shared" si="114"/>
        <v>0</v>
      </c>
      <c r="AZ314" s="71">
        <f t="shared" si="115"/>
        <v>0</v>
      </c>
      <c r="BE314" s="102">
        <f t="shared" si="116"/>
        <v>4.4721359549995796</v>
      </c>
      <c r="BF314" s="81">
        <f t="shared" si="117"/>
        <v>9.3924867883288243E-14</v>
      </c>
      <c r="BG314" s="81" t="str">
        <f t="shared" si="118"/>
        <v>BASSO</v>
      </c>
      <c r="BK314" s="81" t="str">
        <f t="shared" si="119"/>
        <v>MOLTO BASSO</v>
      </c>
    </row>
    <row r="315" spans="7:63" x14ac:dyDescent="0.15">
      <c r="G315" s="64">
        <f t="shared" si="120"/>
        <v>0</v>
      </c>
      <c r="I315" s="64">
        <f t="shared" si="97"/>
        <v>0</v>
      </c>
      <c r="K315" s="64">
        <f t="shared" si="98"/>
        <v>0</v>
      </c>
      <c r="M315" s="64">
        <f t="shared" si="99"/>
        <v>0</v>
      </c>
      <c r="O315" s="64">
        <f t="shared" si="100"/>
        <v>0</v>
      </c>
      <c r="Q315" s="64">
        <f t="shared" si="101"/>
        <v>0</v>
      </c>
      <c r="S315" s="71">
        <f t="shared" si="102"/>
        <v>0</v>
      </c>
      <c r="U315" s="64">
        <f t="shared" si="103"/>
        <v>0</v>
      </c>
      <c r="W315" s="71">
        <f t="shared" si="104"/>
        <v>0</v>
      </c>
      <c r="Y315" s="71">
        <f t="shared" si="105"/>
        <v>0</v>
      </c>
      <c r="AA315" s="71">
        <f t="shared" si="106"/>
        <v>0</v>
      </c>
      <c r="AC315" s="71">
        <f t="shared" si="107"/>
        <v>0</v>
      </c>
      <c r="AK315" s="71">
        <f t="shared" si="108"/>
        <v>0</v>
      </c>
      <c r="AM315" s="71">
        <f t="shared" si="109"/>
        <v>0</v>
      </c>
      <c r="AO315" s="71">
        <f t="shared" si="110"/>
        <v>0</v>
      </c>
      <c r="AQ315" s="71">
        <f t="shared" si="111"/>
        <v>0</v>
      </c>
      <c r="AT315" s="71">
        <f t="shared" si="112"/>
        <v>0</v>
      </c>
      <c r="AV315" s="71">
        <f t="shared" si="113"/>
        <v>0</v>
      </c>
      <c r="AX315" s="71">
        <f t="shared" si="114"/>
        <v>0</v>
      </c>
      <c r="AZ315" s="71">
        <f t="shared" si="115"/>
        <v>0</v>
      </c>
      <c r="BE315" s="102">
        <f t="shared" si="116"/>
        <v>4.4721359549995796</v>
      </c>
      <c r="BF315" s="81">
        <f t="shared" si="117"/>
        <v>9.3924867883288243E-14</v>
      </c>
      <c r="BG315" s="81" t="str">
        <f t="shared" si="118"/>
        <v>BASSO</v>
      </c>
      <c r="BK315" s="81" t="str">
        <f t="shared" si="119"/>
        <v>MOLTO BASSO</v>
      </c>
    </row>
    <row r="316" spans="7:63" x14ac:dyDescent="0.15">
      <c r="G316" s="64">
        <f t="shared" si="120"/>
        <v>0</v>
      </c>
      <c r="I316" s="64">
        <f t="shared" si="97"/>
        <v>0</v>
      </c>
      <c r="K316" s="64">
        <f t="shared" si="98"/>
        <v>0</v>
      </c>
      <c r="M316" s="64">
        <f t="shared" si="99"/>
        <v>0</v>
      </c>
      <c r="O316" s="64">
        <f t="shared" si="100"/>
        <v>0</v>
      </c>
      <c r="Q316" s="64">
        <f t="shared" si="101"/>
        <v>0</v>
      </c>
      <c r="S316" s="71">
        <f t="shared" si="102"/>
        <v>0</v>
      </c>
      <c r="U316" s="64">
        <f t="shared" si="103"/>
        <v>0</v>
      </c>
      <c r="W316" s="71">
        <f t="shared" si="104"/>
        <v>0</v>
      </c>
      <c r="Y316" s="71">
        <f t="shared" si="105"/>
        <v>0</v>
      </c>
      <c r="AA316" s="71">
        <f t="shared" si="106"/>
        <v>0</v>
      </c>
      <c r="AC316" s="71">
        <f t="shared" si="107"/>
        <v>0</v>
      </c>
      <c r="AK316" s="71">
        <f t="shared" si="108"/>
        <v>0</v>
      </c>
      <c r="AM316" s="71">
        <f t="shared" si="109"/>
        <v>0</v>
      </c>
      <c r="AO316" s="71">
        <f t="shared" si="110"/>
        <v>0</v>
      </c>
      <c r="AQ316" s="71">
        <f t="shared" si="111"/>
        <v>0</v>
      </c>
      <c r="AT316" s="71">
        <f t="shared" si="112"/>
        <v>0</v>
      </c>
      <c r="AV316" s="71">
        <f t="shared" si="113"/>
        <v>0</v>
      </c>
      <c r="AX316" s="71">
        <f t="shared" si="114"/>
        <v>0</v>
      </c>
      <c r="AZ316" s="71">
        <f t="shared" si="115"/>
        <v>0</v>
      </c>
      <c r="BE316" s="102">
        <f t="shared" si="116"/>
        <v>4.4721359549995796</v>
      </c>
      <c r="BF316" s="81">
        <f t="shared" si="117"/>
        <v>9.3924867883288243E-14</v>
      </c>
      <c r="BG316" s="81" t="str">
        <f t="shared" si="118"/>
        <v>BASSO</v>
      </c>
      <c r="BK316" s="81" t="str">
        <f t="shared" si="119"/>
        <v>MOLTO BASSO</v>
      </c>
    </row>
    <row r="317" spans="7:63" x14ac:dyDescent="0.15">
      <c r="G317" s="64">
        <f t="shared" si="120"/>
        <v>0</v>
      </c>
      <c r="I317" s="64">
        <f t="shared" si="97"/>
        <v>0</v>
      </c>
      <c r="K317" s="64">
        <f t="shared" si="98"/>
        <v>0</v>
      </c>
      <c r="M317" s="64">
        <f t="shared" si="99"/>
        <v>0</v>
      </c>
      <c r="O317" s="64">
        <f t="shared" si="100"/>
        <v>0</v>
      </c>
      <c r="Q317" s="64">
        <f t="shared" si="101"/>
        <v>0</v>
      </c>
      <c r="S317" s="71">
        <f t="shared" si="102"/>
        <v>0</v>
      </c>
      <c r="U317" s="64">
        <f t="shared" si="103"/>
        <v>0</v>
      </c>
      <c r="W317" s="71">
        <f t="shared" si="104"/>
        <v>0</v>
      </c>
      <c r="Y317" s="71">
        <f t="shared" si="105"/>
        <v>0</v>
      </c>
      <c r="AA317" s="71">
        <f t="shared" si="106"/>
        <v>0</v>
      </c>
      <c r="AC317" s="71">
        <f t="shared" si="107"/>
        <v>0</v>
      </c>
      <c r="AK317" s="71">
        <f t="shared" si="108"/>
        <v>0</v>
      </c>
      <c r="AM317" s="71">
        <f t="shared" si="109"/>
        <v>0</v>
      </c>
      <c r="AO317" s="71">
        <f t="shared" si="110"/>
        <v>0</v>
      </c>
      <c r="AQ317" s="71">
        <f t="shared" si="111"/>
        <v>0</v>
      </c>
      <c r="AT317" s="71">
        <f t="shared" si="112"/>
        <v>0</v>
      </c>
      <c r="AV317" s="71">
        <f t="shared" si="113"/>
        <v>0</v>
      </c>
      <c r="AX317" s="71">
        <f t="shared" si="114"/>
        <v>0</v>
      </c>
      <c r="AZ317" s="71">
        <f t="shared" si="115"/>
        <v>0</v>
      </c>
      <c r="BE317" s="102">
        <f t="shared" si="116"/>
        <v>4.4721359549995796</v>
      </c>
      <c r="BF317" s="81">
        <f t="shared" si="117"/>
        <v>9.3924867883288243E-14</v>
      </c>
      <c r="BG317" s="81" t="str">
        <f t="shared" si="118"/>
        <v>BASSO</v>
      </c>
      <c r="BK317" s="81" t="str">
        <f t="shared" si="119"/>
        <v>MOLTO BASSO</v>
      </c>
    </row>
    <row r="318" spans="7:63" x14ac:dyDescent="0.15">
      <c r="G318" s="64">
        <f t="shared" si="120"/>
        <v>0</v>
      </c>
      <c r="I318" s="64">
        <f t="shared" si="97"/>
        <v>0</v>
      </c>
      <c r="K318" s="64">
        <f t="shared" si="98"/>
        <v>0</v>
      </c>
      <c r="M318" s="64">
        <f t="shared" si="99"/>
        <v>0</v>
      </c>
      <c r="O318" s="64">
        <f t="shared" si="100"/>
        <v>0</v>
      </c>
      <c r="Q318" s="64">
        <f t="shared" si="101"/>
        <v>0</v>
      </c>
      <c r="S318" s="71">
        <f t="shared" si="102"/>
        <v>0</v>
      </c>
      <c r="U318" s="64">
        <f t="shared" si="103"/>
        <v>0</v>
      </c>
      <c r="W318" s="71">
        <f t="shared" si="104"/>
        <v>0</v>
      </c>
      <c r="Y318" s="71">
        <f t="shared" si="105"/>
        <v>0</v>
      </c>
      <c r="AA318" s="71">
        <f t="shared" si="106"/>
        <v>0</v>
      </c>
      <c r="AC318" s="71">
        <f t="shared" si="107"/>
        <v>0</v>
      </c>
      <c r="AK318" s="71">
        <f t="shared" si="108"/>
        <v>0</v>
      </c>
      <c r="AM318" s="71">
        <f t="shared" si="109"/>
        <v>0</v>
      </c>
      <c r="AO318" s="71">
        <f t="shared" si="110"/>
        <v>0</v>
      </c>
      <c r="AQ318" s="71">
        <f t="shared" si="111"/>
        <v>0</v>
      </c>
      <c r="AT318" s="71">
        <f t="shared" si="112"/>
        <v>0</v>
      </c>
      <c r="AV318" s="71">
        <f t="shared" si="113"/>
        <v>0</v>
      </c>
      <c r="AX318" s="71">
        <f t="shared" si="114"/>
        <v>0</v>
      </c>
      <c r="AZ318" s="71">
        <f t="shared" si="115"/>
        <v>0</v>
      </c>
      <c r="BE318" s="102">
        <f t="shared" si="116"/>
        <v>4.4721359549995796</v>
      </c>
      <c r="BF318" s="81">
        <f t="shared" si="117"/>
        <v>9.3924867883288243E-14</v>
      </c>
      <c r="BG318" s="81" t="str">
        <f t="shared" si="118"/>
        <v>BASSO</v>
      </c>
      <c r="BK318" s="81" t="str">
        <f t="shared" si="119"/>
        <v>MOLTO BASSO</v>
      </c>
    </row>
    <row r="319" spans="7:63" x14ac:dyDescent="0.15">
      <c r="G319" s="64">
        <f t="shared" si="120"/>
        <v>0</v>
      </c>
      <c r="I319" s="64">
        <f t="shared" si="97"/>
        <v>0</v>
      </c>
      <c r="K319" s="64">
        <f t="shared" si="98"/>
        <v>0</v>
      </c>
      <c r="M319" s="64">
        <f t="shared" si="99"/>
        <v>0</v>
      </c>
      <c r="O319" s="64">
        <f t="shared" si="100"/>
        <v>0</v>
      </c>
      <c r="Q319" s="64">
        <f t="shared" si="101"/>
        <v>0</v>
      </c>
      <c r="S319" s="71">
        <f t="shared" si="102"/>
        <v>0</v>
      </c>
      <c r="U319" s="64">
        <f t="shared" si="103"/>
        <v>0</v>
      </c>
      <c r="W319" s="71">
        <f t="shared" si="104"/>
        <v>0</v>
      </c>
      <c r="Y319" s="71">
        <f t="shared" si="105"/>
        <v>0</v>
      </c>
      <c r="AA319" s="71">
        <f t="shared" si="106"/>
        <v>0</v>
      </c>
      <c r="AC319" s="71">
        <f t="shared" si="107"/>
        <v>0</v>
      </c>
      <c r="AK319" s="71">
        <f t="shared" si="108"/>
        <v>0</v>
      </c>
      <c r="AM319" s="71">
        <f t="shared" si="109"/>
        <v>0</v>
      </c>
      <c r="AO319" s="71">
        <f t="shared" si="110"/>
        <v>0</v>
      </c>
      <c r="AQ319" s="71">
        <f t="shared" si="111"/>
        <v>0</v>
      </c>
      <c r="AT319" s="71">
        <f t="shared" si="112"/>
        <v>0</v>
      </c>
      <c r="AV319" s="71">
        <f t="shared" si="113"/>
        <v>0</v>
      </c>
      <c r="AX319" s="71">
        <f t="shared" si="114"/>
        <v>0</v>
      </c>
      <c r="AZ319" s="71">
        <f t="shared" si="115"/>
        <v>0</v>
      </c>
      <c r="BE319" s="102">
        <f t="shared" si="116"/>
        <v>4.4721359549995796</v>
      </c>
      <c r="BF319" s="81">
        <f t="shared" si="117"/>
        <v>9.3924867883288243E-14</v>
      </c>
      <c r="BG319" s="81" t="str">
        <f t="shared" si="118"/>
        <v>BASSO</v>
      </c>
      <c r="BK319" s="81" t="str">
        <f t="shared" si="119"/>
        <v>MOLTO BASSO</v>
      </c>
    </row>
    <row r="320" spans="7:63" x14ac:dyDescent="0.15">
      <c r="G320" s="64">
        <f t="shared" si="120"/>
        <v>0</v>
      </c>
      <c r="I320" s="64">
        <f t="shared" si="97"/>
        <v>0</v>
      </c>
      <c r="K320" s="64">
        <f t="shared" si="98"/>
        <v>0</v>
      </c>
      <c r="M320" s="64">
        <f t="shared" si="99"/>
        <v>0</v>
      </c>
      <c r="O320" s="64">
        <f t="shared" si="100"/>
        <v>0</v>
      </c>
      <c r="Q320" s="64">
        <f t="shared" si="101"/>
        <v>0</v>
      </c>
      <c r="S320" s="71">
        <f t="shared" si="102"/>
        <v>0</v>
      </c>
      <c r="U320" s="64">
        <f t="shared" si="103"/>
        <v>0</v>
      </c>
      <c r="W320" s="71">
        <f t="shared" si="104"/>
        <v>0</v>
      </c>
      <c r="Y320" s="71">
        <f t="shared" si="105"/>
        <v>0</v>
      </c>
      <c r="AA320" s="71">
        <f t="shared" si="106"/>
        <v>0</v>
      </c>
      <c r="AC320" s="71">
        <f t="shared" si="107"/>
        <v>0</v>
      </c>
      <c r="AK320" s="71">
        <f t="shared" si="108"/>
        <v>0</v>
      </c>
      <c r="AM320" s="71">
        <f t="shared" si="109"/>
        <v>0</v>
      </c>
      <c r="AO320" s="71">
        <f t="shared" si="110"/>
        <v>0</v>
      </c>
      <c r="AQ320" s="71">
        <f t="shared" si="111"/>
        <v>0</v>
      </c>
      <c r="AT320" s="71">
        <f t="shared" si="112"/>
        <v>0</v>
      </c>
      <c r="AV320" s="71">
        <f t="shared" si="113"/>
        <v>0</v>
      </c>
      <c r="AX320" s="71">
        <f t="shared" si="114"/>
        <v>0</v>
      </c>
      <c r="AZ320" s="71">
        <f t="shared" si="115"/>
        <v>0</v>
      </c>
      <c r="BE320" s="102">
        <f t="shared" si="116"/>
        <v>4.4721359549995796</v>
      </c>
      <c r="BF320" s="81">
        <f t="shared" si="117"/>
        <v>9.3924867883288243E-14</v>
      </c>
      <c r="BG320" s="81" t="str">
        <f t="shared" si="118"/>
        <v>BASSO</v>
      </c>
      <c r="BK320" s="81" t="str">
        <f t="shared" si="119"/>
        <v>MOLTO BASSO</v>
      </c>
    </row>
    <row r="321" spans="7:63" x14ac:dyDescent="0.15">
      <c r="G321" s="64">
        <f t="shared" si="120"/>
        <v>0</v>
      </c>
      <c r="I321" s="64">
        <f t="shared" si="97"/>
        <v>0</v>
      </c>
      <c r="K321" s="64">
        <f t="shared" si="98"/>
        <v>0</v>
      </c>
      <c r="M321" s="64">
        <f t="shared" si="99"/>
        <v>0</v>
      </c>
      <c r="O321" s="64">
        <f t="shared" si="100"/>
        <v>0</v>
      </c>
      <c r="Q321" s="64">
        <f t="shared" si="101"/>
        <v>0</v>
      </c>
      <c r="S321" s="71">
        <f t="shared" si="102"/>
        <v>0</v>
      </c>
      <c r="U321" s="64">
        <f t="shared" si="103"/>
        <v>0</v>
      </c>
      <c r="W321" s="71">
        <f t="shared" si="104"/>
        <v>0</v>
      </c>
      <c r="Y321" s="71">
        <f t="shared" si="105"/>
        <v>0</v>
      </c>
      <c r="AA321" s="71">
        <f t="shared" si="106"/>
        <v>0</v>
      </c>
      <c r="AC321" s="71">
        <f t="shared" si="107"/>
        <v>0</v>
      </c>
      <c r="AK321" s="71">
        <f t="shared" si="108"/>
        <v>0</v>
      </c>
      <c r="AM321" s="71">
        <f t="shared" si="109"/>
        <v>0</v>
      </c>
      <c r="AO321" s="71">
        <f t="shared" si="110"/>
        <v>0</v>
      </c>
      <c r="AQ321" s="71">
        <f t="shared" si="111"/>
        <v>0</v>
      </c>
      <c r="AT321" s="71">
        <f t="shared" si="112"/>
        <v>0</v>
      </c>
      <c r="AV321" s="71">
        <f t="shared" si="113"/>
        <v>0</v>
      </c>
      <c r="AX321" s="71">
        <f t="shared" si="114"/>
        <v>0</v>
      </c>
      <c r="AZ321" s="71">
        <f t="shared" si="115"/>
        <v>0</v>
      </c>
      <c r="BE321" s="102">
        <f t="shared" si="116"/>
        <v>4.4721359549995796</v>
      </c>
      <c r="BF321" s="81">
        <f t="shared" si="117"/>
        <v>9.3924867883288243E-14</v>
      </c>
      <c r="BG321" s="81" t="str">
        <f t="shared" si="118"/>
        <v>BASSO</v>
      </c>
      <c r="BK321" s="81" t="str">
        <f t="shared" si="119"/>
        <v>MOLTO BASSO</v>
      </c>
    </row>
    <row r="322" spans="7:63" x14ac:dyDescent="0.15">
      <c r="G322" s="64">
        <f t="shared" si="120"/>
        <v>0</v>
      </c>
      <c r="I322" s="64">
        <f t="shared" si="97"/>
        <v>0</v>
      </c>
      <c r="K322" s="64">
        <f t="shared" si="98"/>
        <v>0</v>
      </c>
      <c r="M322" s="64">
        <f t="shared" si="99"/>
        <v>0</v>
      </c>
      <c r="O322" s="64">
        <f t="shared" si="100"/>
        <v>0</v>
      </c>
      <c r="Q322" s="64">
        <f t="shared" si="101"/>
        <v>0</v>
      </c>
      <c r="S322" s="71">
        <f t="shared" si="102"/>
        <v>0</v>
      </c>
      <c r="U322" s="64">
        <f t="shared" si="103"/>
        <v>0</v>
      </c>
      <c r="W322" s="71">
        <f t="shared" si="104"/>
        <v>0</v>
      </c>
      <c r="Y322" s="71">
        <f t="shared" si="105"/>
        <v>0</v>
      </c>
      <c r="AA322" s="71">
        <f t="shared" si="106"/>
        <v>0</v>
      </c>
      <c r="AC322" s="71">
        <f t="shared" si="107"/>
        <v>0</v>
      </c>
      <c r="AK322" s="71">
        <f t="shared" si="108"/>
        <v>0</v>
      </c>
      <c r="AM322" s="71">
        <f t="shared" si="109"/>
        <v>0</v>
      </c>
      <c r="AO322" s="71">
        <f t="shared" si="110"/>
        <v>0</v>
      </c>
      <c r="AQ322" s="71">
        <f t="shared" si="111"/>
        <v>0</v>
      </c>
      <c r="AT322" s="71">
        <f t="shared" si="112"/>
        <v>0</v>
      </c>
      <c r="AV322" s="71">
        <f t="shared" si="113"/>
        <v>0</v>
      </c>
      <c r="AX322" s="71">
        <f t="shared" si="114"/>
        <v>0</v>
      </c>
      <c r="AZ322" s="71">
        <f t="shared" si="115"/>
        <v>0</v>
      </c>
      <c r="BE322" s="102">
        <f t="shared" si="116"/>
        <v>4.4721359549995796</v>
      </c>
      <c r="BF322" s="81">
        <f t="shared" si="117"/>
        <v>9.3924867883288243E-14</v>
      </c>
      <c r="BG322" s="81" t="str">
        <f t="shared" si="118"/>
        <v>BASSO</v>
      </c>
      <c r="BK322" s="81" t="str">
        <f t="shared" si="119"/>
        <v>MOLTO BASSO</v>
      </c>
    </row>
    <row r="323" spans="7:63" x14ac:dyDescent="0.15">
      <c r="G323" s="64">
        <f t="shared" si="120"/>
        <v>0</v>
      </c>
      <c r="I323" s="64">
        <f t="shared" ref="I323:I386" si="121">H323/2</f>
        <v>0</v>
      </c>
      <c r="K323" s="64">
        <f t="shared" ref="K323:K386" si="122">J323/2</f>
        <v>0</v>
      </c>
      <c r="M323" s="64">
        <f t="shared" ref="M323:M386" si="123">L323/3</f>
        <v>0</v>
      </c>
      <c r="O323" s="64">
        <f t="shared" ref="O323:O386" si="124">N323/5</f>
        <v>0</v>
      </c>
      <c r="Q323" s="64">
        <f t="shared" ref="Q323:Q386" si="125">P323/3</f>
        <v>0</v>
      </c>
      <c r="S323" s="71">
        <f t="shared" ref="S323:S386" si="126">R323/3</f>
        <v>0</v>
      </c>
      <c r="U323" s="64">
        <f t="shared" ref="U323:U386" si="127">T323/3</f>
        <v>0</v>
      </c>
      <c r="W323" s="71">
        <f t="shared" ref="W323:W386" si="128">V323/4</f>
        <v>0</v>
      </c>
      <c r="Y323" s="71">
        <f t="shared" ref="Y323:Y386" si="129">X323/3</f>
        <v>0</v>
      </c>
      <c r="AA323" s="71">
        <f t="shared" ref="AA323:AA386" si="130">Z323/3</f>
        <v>0</v>
      </c>
      <c r="AC323" s="71">
        <f t="shared" ref="AC323:AC386" si="131">AB323/2</f>
        <v>0</v>
      </c>
      <c r="AK323" s="71">
        <f t="shared" ref="AK323:AK386" si="132">AJ323/2</f>
        <v>0</v>
      </c>
      <c r="AM323" s="71">
        <f t="shared" ref="AM323:AM386" si="133">AL323/3</f>
        <v>0</v>
      </c>
      <c r="AO323" s="71">
        <f t="shared" ref="AO323:AO386" si="134">AN323/3</f>
        <v>0</v>
      </c>
      <c r="AQ323" s="71">
        <f t="shared" ref="AQ323:AQ386" si="135">AP323/3</f>
        <v>0</v>
      </c>
      <c r="AT323" s="71">
        <f t="shared" ref="AT323:AT386" si="136">AS323/3</f>
        <v>0</v>
      </c>
      <c r="AV323" s="71">
        <f t="shared" ref="AV323:AV386" si="137">AU323/3</f>
        <v>0</v>
      </c>
      <c r="AX323" s="71">
        <f t="shared" ref="AX323:AX386" si="138">AW323/2</f>
        <v>0</v>
      </c>
      <c r="AZ323" s="71">
        <f t="shared" ref="AZ323:AZ386" si="139">AY323/3</f>
        <v>0</v>
      </c>
      <c r="BE323" s="102">
        <f t="shared" ref="BE323:BE386" si="140">SQRT((1-G323)^2 + (1-I323)^2 + (1-K323)^2 + (1-M323)^2 + (1-O323)^2 + (1-Q323)^2 + (1-S323)^2 + (1-U323)^2 + (1-W323)^2 + (1-Y323)^2 + (1-AA323)^2 + (1-AC323)^2 + (1-AK323)^2 + (1-AM323)^2 + (1-AO323)^2 + (1-AQ323)^2 + (1-AT323)^2 + (1-AV323)^2 + (1-AX323)^2 + (1-AZ323)^2)</f>
        <v>4.4721359549995796</v>
      </c>
      <c r="BF323" s="81">
        <f t="shared" ref="BF323:BF386" si="141">1 - (BE323 / 4.472135955)</f>
        <v>9.3924867883288243E-14</v>
      </c>
      <c r="BG323" s="81" t="str">
        <f t="shared" ref="BG323:BG386" si="142">IF(BF323&lt;=0.33, "BASSO", IF(BF323&lt;=0.66, "MEDIO", "ALTO"))</f>
        <v>BASSO</v>
      </c>
      <c r="BK323" s="81" t="str">
        <f t="shared" ref="BK323:BK386" si="143">IF(BF323&lt;0.3,"MOLTO BASSO",IF(BF323&lt;0.45,"BASSO",IF(BF323&lt;0.65,"MEDIO",IF(BF323&lt;0.8,"ALTO","MOLTO ALTO"))))</f>
        <v>MOLTO BASSO</v>
      </c>
    </row>
    <row r="324" spans="7:63" x14ac:dyDescent="0.15">
      <c r="G324" s="64">
        <f t="shared" si="120"/>
        <v>0</v>
      </c>
      <c r="I324" s="64">
        <f t="shared" si="121"/>
        <v>0</v>
      </c>
      <c r="K324" s="64">
        <f t="shared" si="122"/>
        <v>0</v>
      </c>
      <c r="M324" s="64">
        <f t="shared" si="123"/>
        <v>0</v>
      </c>
      <c r="O324" s="64">
        <f t="shared" si="124"/>
        <v>0</v>
      </c>
      <c r="Q324" s="64">
        <f t="shared" si="125"/>
        <v>0</v>
      </c>
      <c r="S324" s="71">
        <f t="shared" si="126"/>
        <v>0</v>
      </c>
      <c r="U324" s="64">
        <f t="shared" si="127"/>
        <v>0</v>
      </c>
      <c r="W324" s="71">
        <f t="shared" si="128"/>
        <v>0</v>
      </c>
      <c r="Y324" s="71">
        <f t="shared" si="129"/>
        <v>0</v>
      </c>
      <c r="AA324" s="71">
        <f t="shared" si="130"/>
        <v>0</v>
      </c>
      <c r="AC324" s="71">
        <f t="shared" si="131"/>
        <v>0</v>
      </c>
      <c r="AK324" s="71">
        <f t="shared" si="132"/>
        <v>0</v>
      </c>
      <c r="AM324" s="71">
        <f t="shared" si="133"/>
        <v>0</v>
      </c>
      <c r="AO324" s="71">
        <f t="shared" si="134"/>
        <v>0</v>
      </c>
      <c r="AQ324" s="71">
        <f t="shared" si="135"/>
        <v>0</v>
      </c>
      <c r="AT324" s="71">
        <f t="shared" si="136"/>
        <v>0</v>
      </c>
      <c r="AV324" s="71">
        <f t="shared" si="137"/>
        <v>0</v>
      </c>
      <c r="AX324" s="71">
        <f t="shared" si="138"/>
        <v>0</v>
      </c>
      <c r="AZ324" s="71">
        <f t="shared" si="139"/>
        <v>0</v>
      </c>
      <c r="BE324" s="102">
        <f t="shared" si="140"/>
        <v>4.4721359549995796</v>
      </c>
      <c r="BF324" s="81">
        <f t="shared" si="141"/>
        <v>9.3924867883288243E-14</v>
      </c>
      <c r="BG324" s="81" t="str">
        <f t="shared" si="142"/>
        <v>BASSO</v>
      </c>
      <c r="BK324" s="81" t="str">
        <f t="shared" si="143"/>
        <v>MOLTO BASSO</v>
      </c>
    </row>
    <row r="325" spans="7:63" x14ac:dyDescent="0.15">
      <c r="G325" s="64">
        <f t="shared" si="120"/>
        <v>0</v>
      </c>
      <c r="I325" s="64">
        <f t="shared" si="121"/>
        <v>0</v>
      </c>
      <c r="K325" s="64">
        <f t="shared" si="122"/>
        <v>0</v>
      </c>
      <c r="M325" s="64">
        <f t="shared" si="123"/>
        <v>0</v>
      </c>
      <c r="O325" s="64">
        <f t="shared" si="124"/>
        <v>0</v>
      </c>
      <c r="Q325" s="64">
        <f t="shared" si="125"/>
        <v>0</v>
      </c>
      <c r="S325" s="71">
        <f t="shared" si="126"/>
        <v>0</v>
      </c>
      <c r="U325" s="64">
        <f t="shared" si="127"/>
        <v>0</v>
      </c>
      <c r="W325" s="71">
        <f t="shared" si="128"/>
        <v>0</v>
      </c>
      <c r="Y325" s="71">
        <f t="shared" si="129"/>
        <v>0</v>
      </c>
      <c r="AA325" s="71">
        <f t="shared" si="130"/>
        <v>0</v>
      </c>
      <c r="AC325" s="71">
        <f t="shared" si="131"/>
        <v>0</v>
      </c>
      <c r="AK325" s="71">
        <f t="shared" si="132"/>
        <v>0</v>
      </c>
      <c r="AM325" s="71">
        <f t="shared" si="133"/>
        <v>0</v>
      </c>
      <c r="AO325" s="71">
        <f t="shared" si="134"/>
        <v>0</v>
      </c>
      <c r="AQ325" s="71">
        <f t="shared" si="135"/>
        <v>0</v>
      </c>
      <c r="AT325" s="71">
        <f t="shared" si="136"/>
        <v>0</v>
      </c>
      <c r="AV325" s="71">
        <f t="shared" si="137"/>
        <v>0</v>
      </c>
      <c r="AX325" s="71">
        <f t="shared" si="138"/>
        <v>0</v>
      </c>
      <c r="AZ325" s="71">
        <f t="shared" si="139"/>
        <v>0</v>
      </c>
      <c r="BE325" s="102">
        <f t="shared" si="140"/>
        <v>4.4721359549995796</v>
      </c>
      <c r="BF325" s="81">
        <f t="shared" si="141"/>
        <v>9.3924867883288243E-14</v>
      </c>
      <c r="BG325" s="81" t="str">
        <f t="shared" si="142"/>
        <v>BASSO</v>
      </c>
      <c r="BK325" s="81" t="str">
        <f t="shared" si="143"/>
        <v>MOLTO BASSO</v>
      </c>
    </row>
    <row r="326" spans="7:63" x14ac:dyDescent="0.15">
      <c r="G326" s="64">
        <f t="shared" si="120"/>
        <v>0</v>
      </c>
      <c r="I326" s="64">
        <f t="shared" si="121"/>
        <v>0</v>
      </c>
      <c r="K326" s="64">
        <f t="shared" si="122"/>
        <v>0</v>
      </c>
      <c r="M326" s="64">
        <f t="shared" si="123"/>
        <v>0</v>
      </c>
      <c r="O326" s="64">
        <f t="shared" si="124"/>
        <v>0</v>
      </c>
      <c r="Q326" s="64">
        <f t="shared" si="125"/>
        <v>0</v>
      </c>
      <c r="S326" s="71">
        <f t="shared" si="126"/>
        <v>0</v>
      </c>
      <c r="U326" s="64">
        <f t="shared" si="127"/>
        <v>0</v>
      </c>
      <c r="W326" s="71">
        <f t="shared" si="128"/>
        <v>0</v>
      </c>
      <c r="Y326" s="71">
        <f t="shared" si="129"/>
        <v>0</v>
      </c>
      <c r="AA326" s="71">
        <f t="shared" si="130"/>
        <v>0</v>
      </c>
      <c r="AC326" s="71">
        <f t="shared" si="131"/>
        <v>0</v>
      </c>
      <c r="AK326" s="71">
        <f t="shared" si="132"/>
        <v>0</v>
      </c>
      <c r="AM326" s="71">
        <f t="shared" si="133"/>
        <v>0</v>
      </c>
      <c r="AO326" s="71">
        <f t="shared" si="134"/>
        <v>0</v>
      </c>
      <c r="AQ326" s="71">
        <f t="shared" si="135"/>
        <v>0</v>
      </c>
      <c r="AT326" s="71">
        <f t="shared" si="136"/>
        <v>0</v>
      </c>
      <c r="AV326" s="71">
        <f t="shared" si="137"/>
        <v>0</v>
      </c>
      <c r="AX326" s="71">
        <f t="shared" si="138"/>
        <v>0</v>
      </c>
      <c r="AZ326" s="71">
        <f t="shared" si="139"/>
        <v>0</v>
      </c>
      <c r="BE326" s="102">
        <f t="shared" si="140"/>
        <v>4.4721359549995796</v>
      </c>
      <c r="BF326" s="81">
        <f t="shared" si="141"/>
        <v>9.3924867883288243E-14</v>
      </c>
      <c r="BG326" s="81" t="str">
        <f t="shared" si="142"/>
        <v>BASSO</v>
      </c>
      <c r="BK326" s="81" t="str">
        <f t="shared" si="143"/>
        <v>MOLTO BASSO</v>
      </c>
    </row>
    <row r="327" spans="7:63" x14ac:dyDescent="0.15">
      <c r="G327" s="64">
        <f t="shared" si="120"/>
        <v>0</v>
      </c>
      <c r="I327" s="64">
        <f t="shared" si="121"/>
        <v>0</v>
      </c>
      <c r="K327" s="64">
        <f t="shared" si="122"/>
        <v>0</v>
      </c>
      <c r="M327" s="64">
        <f t="shared" si="123"/>
        <v>0</v>
      </c>
      <c r="O327" s="64">
        <f t="shared" si="124"/>
        <v>0</v>
      </c>
      <c r="Q327" s="64">
        <f t="shared" si="125"/>
        <v>0</v>
      </c>
      <c r="S327" s="71">
        <f t="shared" si="126"/>
        <v>0</v>
      </c>
      <c r="U327" s="64">
        <f t="shared" si="127"/>
        <v>0</v>
      </c>
      <c r="W327" s="71">
        <f t="shared" si="128"/>
        <v>0</v>
      </c>
      <c r="Y327" s="71">
        <f t="shared" si="129"/>
        <v>0</v>
      </c>
      <c r="AA327" s="71">
        <f t="shared" si="130"/>
        <v>0</v>
      </c>
      <c r="AC327" s="71">
        <f t="shared" si="131"/>
        <v>0</v>
      </c>
      <c r="AK327" s="71">
        <f t="shared" si="132"/>
        <v>0</v>
      </c>
      <c r="AM327" s="71">
        <f t="shared" si="133"/>
        <v>0</v>
      </c>
      <c r="AO327" s="71">
        <f t="shared" si="134"/>
        <v>0</v>
      </c>
      <c r="AQ327" s="71">
        <f t="shared" si="135"/>
        <v>0</v>
      </c>
      <c r="AT327" s="71">
        <f t="shared" si="136"/>
        <v>0</v>
      </c>
      <c r="AV327" s="71">
        <f t="shared" si="137"/>
        <v>0</v>
      </c>
      <c r="AX327" s="71">
        <f t="shared" si="138"/>
        <v>0</v>
      </c>
      <c r="AZ327" s="71">
        <f t="shared" si="139"/>
        <v>0</v>
      </c>
      <c r="BE327" s="102">
        <f t="shared" si="140"/>
        <v>4.4721359549995796</v>
      </c>
      <c r="BF327" s="81">
        <f t="shared" si="141"/>
        <v>9.3924867883288243E-14</v>
      </c>
      <c r="BG327" s="81" t="str">
        <f t="shared" si="142"/>
        <v>BASSO</v>
      </c>
      <c r="BK327" s="81" t="str">
        <f t="shared" si="143"/>
        <v>MOLTO BASSO</v>
      </c>
    </row>
    <row r="328" spans="7:63" x14ac:dyDescent="0.15">
      <c r="G328" s="64">
        <f t="shared" si="120"/>
        <v>0</v>
      </c>
      <c r="I328" s="64">
        <f t="shared" si="121"/>
        <v>0</v>
      </c>
      <c r="K328" s="64">
        <f t="shared" si="122"/>
        <v>0</v>
      </c>
      <c r="M328" s="64">
        <f t="shared" si="123"/>
        <v>0</v>
      </c>
      <c r="O328" s="64">
        <f t="shared" si="124"/>
        <v>0</v>
      </c>
      <c r="Q328" s="64">
        <f t="shared" si="125"/>
        <v>0</v>
      </c>
      <c r="S328" s="71">
        <f t="shared" si="126"/>
        <v>0</v>
      </c>
      <c r="U328" s="64">
        <f t="shared" si="127"/>
        <v>0</v>
      </c>
      <c r="W328" s="71">
        <f t="shared" si="128"/>
        <v>0</v>
      </c>
      <c r="Y328" s="71">
        <f t="shared" si="129"/>
        <v>0</v>
      </c>
      <c r="AA328" s="71">
        <f t="shared" si="130"/>
        <v>0</v>
      </c>
      <c r="AC328" s="71">
        <f t="shared" si="131"/>
        <v>0</v>
      </c>
      <c r="AK328" s="71">
        <f t="shared" si="132"/>
        <v>0</v>
      </c>
      <c r="AM328" s="71">
        <f t="shared" si="133"/>
        <v>0</v>
      </c>
      <c r="AO328" s="71">
        <f t="shared" si="134"/>
        <v>0</v>
      </c>
      <c r="AQ328" s="71">
        <f t="shared" si="135"/>
        <v>0</v>
      </c>
      <c r="AT328" s="71">
        <f t="shared" si="136"/>
        <v>0</v>
      </c>
      <c r="AV328" s="71">
        <f t="shared" si="137"/>
        <v>0</v>
      </c>
      <c r="AX328" s="71">
        <f t="shared" si="138"/>
        <v>0</v>
      </c>
      <c r="AZ328" s="71">
        <f t="shared" si="139"/>
        <v>0</v>
      </c>
      <c r="BE328" s="102">
        <f t="shared" si="140"/>
        <v>4.4721359549995796</v>
      </c>
      <c r="BF328" s="81">
        <f t="shared" si="141"/>
        <v>9.3924867883288243E-14</v>
      </c>
      <c r="BG328" s="81" t="str">
        <f t="shared" si="142"/>
        <v>BASSO</v>
      </c>
      <c r="BK328" s="81" t="str">
        <f t="shared" si="143"/>
        <v>MOLTO BASSO</v>
      </c>
    </row>
    <row r="329" spans="7:63" x14ac:dyDescent="0.15">
      <c r="G329" s="64">
        <f t="shared" si="120"/>
        <v>0</v>
      </c>
      <c r="I329" s="64">
        <f t="shared" si="121"/>
        <v>0</v>
      </c>
      <c r="K329" s="64">
        <f t="shared" si="122"/>
        <v>0</v>
      </c>
      <c r="M329" s="64">
        <f t="shared" si="123"/>
        <v>0</v>
      </c>
      <c r="O329" s="64">
        <f t="shared" si="124"/>
        <v>0</v>
      </c>
      <c r="Q329" s="64">
        <f t="shared" si="125"/>
        <v>0</v>
      </c>
      <c r="S329" s="71">
        <f t="shared" si="126"/>
        <v>0</v>
      </c>
      <c r="U329" s="64">
        <f t="shared" si="127"/>
        <v>0</v>
      </c>
      <c r="W329" s="71">
        <f t="shared" si="128"/>
        <v>0</v>
      </c>
      <c r="Y329" s="71">
        <f t="shared" si="129"/>
        <v>0</v>
      </c>
      <c r="AA329" s="71">
        <f t="shared" si="130"/>
        <v>0</v>
      </c>
      <c r="AC329" s="71">
        <f t="shared" si="131"/>
        <v>0</v>
      </c>
      <c r="AK329" s="71">
        <f t="shared" si="132"/>
        <v>0</v>
      </c>
      <c r="AM329" s="71">
        <f t="shared" si="133"/>
        <v>0</v>
      </c>
      <c r="AO329" s="71">
        <f t="shared" si="134"/>
        <v>0</v>
      </c>
      <c r="AQ329" s="71">
        <f t="shared" si="135"/>
        <v>0</v>
      </c>
      <c r="AT329" s="71">
        <f t="shared" si="136"/>
        <v>0</v>
      </c>
      <c r="AV329" s="71">
        <f t="shared" si="137"/>
        <v>0</v>
      </c>
      <c r="AX329" s="71">
        <f t="shared" si="138"/>
        <v>0</v>
      </c>
      <c r="AZ329" s="71">
        <f t="shared" si="139"/>
        <v>0</v>
      </c>
      <c r="BE329" s="102">
        <f t="shared" si="140"/>
        <v>4.4721359549995796</v>
      </c>
      <c r="BF329" s="81">
        <f t="shared" si="141"/>
        <v>9.3924867883288243E-14</v>
      </c>
      <c r="BG329" s="81" t="str">
        <f t="shared" si="142"/>
        <v>BASSO</v>
      </c>
      <c r="BK329" s="81" t="str">
        <f t="shared" si="143"/>
        <v>MOLTO BASSO</v>
      </c>
    </row>
    <row r="330" spans="7:63" x14ac:dyDescent="0.15">
      <c r="G330" s="64">
        <f t="shared" si="120"/>
        <v>0</v>
      </c>
      <c r="I330" s="64">
        <f t="shared" si="121"/>
        <v>0</v>
      </c>
      <c r="K330" s="64">
        <f t="shared" si="122"/>
        <v>0</v>
      </c>
      <c r="M330" s="64">
        <f t="shared" si="123"/>
        <v>0</v>
      </c>
      <c r="O330" s="64">
        <f t="shared" si="124"/>
        <v>0</v>
      </c>
      <c r="Q330" s="64">
        <f t="shared" si="125"/>
        <v>0</v>
      </c>
      <c r="S330" s="71">
        <f t="shared" si="126"/>
        <v>0</v>
      </c>
      <c r="U330" s="64">
        <f t="shared" si="127"/>
        <v>0</v>
      </c>
      <c r="W330" s="71">
        <f t="shared" si="128"/>
        <v>0</v>
      </c>
      <c r="Y330" s="71">
        <f t="shared" si="129"/>
        <v>0</v>
      </c>
      <c r="AA330" s="71">
        <f t="shared" si="130"/>
        <v>0</v>
      </c>
      <c r="AC330" s="71">
        <f t="shared" si="131"/>
        <v>0</v>
      </c>
      <c r="AK330" s="71">
        <f t="shared" si="132"/>
        <v>0</v>
      </c>
      <c r="AM330" s="71">
        <f t="shared" si="133"/>
        <v>0</v>
      </c>
      <c r="AO330" s="71">
        <f t="shared" si="134"/>
        <v>0</v>
      </c>
      <c r="AQ330" s="71">
        <f t="shared" si="135"/>
        <v>0</v>
      </c>
      <c r="AT330" s="71">
        <f t="shared" si="136"/>
        <v>0</v>
      </c>
      <c r="AV330" s="71">
        <f t="shared" si="137"/>
        <v>0</v>
      </c>
      <c r="AX330" s="71">
        <f t="shared" si="138"/>
        <v>0</v>
      </c>
      <c r="AZ330" s="71">
        <f t="shared" si="139"/>
        <v>0</v>
      </c>
      <c r="BE330" s="102">
        <f t="shared" si="140"/>
        <v>4.4721359549995796</v>
      </c>
      <c r="BF330" s="81">
        <f t="shared" si="141"/>
        <v>9.3924867883288243E-14</v>
      </c>
      <c r="BG330" s="81" t="str">
        <f t="shared" si="142"/>
        <v>BASSO</v>
      </c>
      <c r="BK330" s="81" t="str">
        <f t="shared" si="143"/>
        <v>MOLTO BASSO</v>
      </c>
    </row>
    <row r="331" spans="7:63" x14ac:dyDescent="0.15">
      <c r="G331" s="64">
        <f t="shared" si="120"/>
        <v>0</v>
      </c>
      <c r="I331" s="64">
        <f t="shared" si="121"/>
        <v>0</v>
      </c>
      <c r="K331" s="64">
        <f t="shared" si="122"/>
        <v>0</v>
      </c>
      <c r="M331" s="64">
        <f t="shared" si="123"/>
        <v>0</v>
      </c>
      <c r="O331" s="64">
        <f t="shared" si="124"/>
        <v>0</v>
      </c>
      <c r="Q331" s="64">
        <f t="shared" si="125"/>
        <v>0</v>
      </c>
      <c r="S331" s="71">
        <f t="shared" si="126"/>
        <v>0</v>
      </c>
      <c r="U331" s="64">
        <f t="shared" si="127"/>
        <v>0</v>
      </c>
      <c r="W331" s="71">
        <f t="shared" si="128"/>
        <v>0</v>
      </c>
      <c r="Y331" s="71">
        <f t="shared" si="129"/>
        <v>0</v>
      </c>
      <c r="AA331" s="71">
        <f t="shared" si="130"/>
        <v>0</v>
      </c>
      <c r="AC331" s="71">
        <f t="shared" si="131"/>
        <v>0</v>
      </c>
      <c r="AK331" s="71">
        <f t="shared" si="132"/>
        <v>0</v>
      </c>
      <c r="AM331" s="71">
        <f t="shared" si="133"/>
        <v>0</v>
      </c>
      <c r="AO331" s="71">
        <f t="shared" si="134"/>
        <v>0</v>
      </c>
      <c r="AQ331" s="71">
        <f t="shared" si="135"/>
        <v>0</v>
      </c>
      <c r="AT331" s="71">
        <f t="shared" si="136"/>
        <v>0</v>
      </c>
      <c r="AV331" s="71">
        <f t="shared" si="137"/>
        <v>0</v>
      </c>
      <c r="AX331" s="71">
        <f t="shared" si="138"/>
        <v>0</v>
      </c>
      <c r="AZ331" s="71">
        <f t="shared" si="139"/>
        <v>0</v>
      </c>
      <c r="BE331" s="102">
        <f t="shared" si="140"/>
        <v>4.4721359549995796</v>
      </c>
      <c r="BF331" s="81">
        <f t="shared" si="141"/>
        <v>9.3924867883288243E-14</v>
      </c>
      <c r="BG331" s="81" t="str">
        <f t="shared" si="142"/>
        <v>BASSO</v>
      </c>
      <c r="BK331" s="81" t="str">
        <f t="shared" si="143"/>
        <v>MOLTO BASSO</v>
      </c>
    </row>
    <row r="332" spans="7:63" x14ac:dyDescent="0.15">
      <c r="G332" s="64">
        <f t="shared" si="120"/>
        <v>0</v>
      </c>
      <c r="I332" s="64">
        <f t="shared" si="121"/>
        <v>0</v>
      </c>
      <c r="K332" s="64">
        <f t="shared" si="122"/>
        <v>0</v>
      </c>
      <c r="M332" s="64">
        <f t="shared" si="123"/>
        <v>0</v>
      </c>
      <c r="O332" s="64">
        <f t="shared" si="124"/>
        <v>0</v>
      </c>
      <c r="Q332" s="64">
        <f t="shared" si="125"/>
        <v>0</v>
      </c>
      <c r="S332" s="71">
        <f t="shared" si="126"/>
        <v>0</v>
      </c>
      <c r="U332" s="64">
        <f t="shared" si="127"/>
        <v>0</v>
      </c>
      <c r="W332" s="71">
        <f t="shared" si="128"/>
        <v>0</v>
      </c>
      <c r="Y332" s="71">
        <f t="shared" si="129"/>
        <v>0</v>
      </c>
      <c r="AA332" s="71">
        <f t="shared" si="130"/>
        <v>0</v>
      </c>
      <c r="AC332" s="71">
        <f t="shared" si="131"/>
        <v>0</v>
      </c>
      <c r="AK332" s="71">
        <f t="shared" si="132"/>
        <v>0</v>
      </c>
      <c r="AM332" s="71">
        <f t="shared" si="133"/>
        <v>0</v>
      </c>
      <c r="AO332" s="71">
        <f t="shared" si="134"/>
        <v>0</v>
      </c>
      <c r="AQ332" s="71">
        <f t="shared" si="135"/>
        <v>0</v>
      </c>
      <c r="AT332" s="71">
        <f t="shared" si="136"/>
        <v>0</v>
      </c>
      <c r="AV332" s="71">
        <f t="shared" si="137"/>
        <v>0</v>
      </c>
      <c r="AX332" s="71">
        <f t="shared" si="138"/>
        <v>0</v>
      </c>
      <c r="AZ332" s="71">
        <f t="shared" si="139"/>
        <v>0</v>
      </c>
      <c r="BE332" s="102">
        <f t="shared" si="140"/>
        <v>4.4721359549995796</v>
      </c>
      <c r="BF332" s="81">
        <f t="shared" si="141"/>
        <v>9.3924867883288243E-14</v>
      </c>
      <c r="BG332" s="81" t="str">
        <f t="shared" si="142"/>
        <v>BASSO</v>
      </c>
      <c r="BK332" s="81" t="str">
        <f t="shared" si="143"/>
        <v>MOLTO BASSO</v>
      </c>
    </row>
    <row r="333" spans="7:63" x14ac:dyDescent="0.15">
      <c r="G333" s="64">
        <f t="shared" si="120"/>
        <v>0</v>
      </c>
      <c r="I333" s="64">
        <f t="shared" si="121"/>
        <v>0</v>
      </c>
      <c r="K333" s="64">
        <f t="shared" si="122"/>
        <v>0</v>
      </c>
      <c r="M333" s="64">
        <f t="shared" si="123"/>
        <v>0</v>
      </c>
      <c r="O333" s="64">
        <f t="shared" si="124"/>
        <v>0</v>
      </c>
      <c r="Q333" s="64">
        <f t="shared" si="125"/>
        <v>0</v>
      </c>
      <c r="S333" s="71">
        <f t="shared" si="126"/>
        <v>0</v>
      </c>
      <c r="U333" s="64">
        <f t="shared" si="127"/>
        <v>0</v>
      </c>
      <c r="W333" s="71">
        <f t="shared" si="128"/>
        <v>0</v>
      </c>
      <c r="Y333" s="71">
        <f t="shared" si="129"/>
        <v>0</v>
      </c>
      <c r="AA333" s="71">
        <f t="shared" si="130"/>
        <v>0</v>
      </c>
      <c r="AC333" s="71">
        <f t="shared" si="131"/>
        <v>0</v>
      </c>
      <c r="AK333" s="71">
        <f t="shared" si="132"/>
        <v>0</v>
      </c>
      <c r="AM333" s="71">
        <f t="shared" si="133"/>
        <v>0</v>
      </c>
      <c r="AO333" s="71">
        <f t="shared" si="134"/>
        <v>0</v>
      </c>
      <c r="AQ333" s="71">
        <f t="shared" si="135"/>
        <v>0</v>
      </c>
      <c r="AT333" s="71">
        <f t="shared" si="136"/>
        <v>0</v>
      </c>
      <c r="AV333" s="71">
        <f t="shared" si="137"/>
        <v>0</v>
      </c>
      <c r="AX333" s="71">
        <f t="shared" si="138"/>
        <v>0</v>
      </c>
      <c r="AZ333" s="71">
        <f t="shared" si="139"/>
        <v>0</v>
      </c>
      <c r="BE333" s="102">
        <f t="shared" si="140"/>
        <v>4.4721359549995796</v>
      </c>
      <c r="BF333" s="81">
        <f t="shared" si="141"/>
        <v>9.3924867883288243E-14</v>
      </c>
      <c r="BG333" s="81" t="str">
        <f t="shared" si="142"/>
        <v>BASSO</v>
      </c>
      <c r="BK333" s="81" t="str">
        <f t="shared" si="143"/>
        <v>MOLTO BASSO</v>
      </c>
    </row>
    <row r="334" spans="7:63" x14ac:dyDescent="0.15">
      <c r="G334" s="64">
        <f t="shared" si="120"/>
        <v>0</v>
      </c>
      <c r="I334" s="64">
        <f t="shared" si="121"/>
        <v>0</v>
      </c>
      <c r="K334" s="64">
        <f t="shared" si="122"/>
        <v>0</v>
      </c>
      <c r="M334" s="64">
        <f t="shared" si="123"/>
        <v>0</v>
      </c>
      <c r="O334" s="64">
        <f t="shared" si="124"/>
        <v>0</v>
      </c>
      <c r="Q334" s="64">
        <f t="shared" si="125"/>
        <v>0</v>
      </c>
      <c r="S334" s="71">
        <f t="shared" si="126"/>
        <v>0</v>
      </c>
      <c r="U334" s="64">
        <f t="shared" si="127"/>
        <v>0</v>
      </c>
      <c r="W334" s="71">
        <f t="shared" si="128"/>
        <v>0</v>
      </c>
      <c r="Y334" s="71">
        <f t="shared" si="129"/>
        <v>0</v>
      </c>
      <c r="AA334" s="71">
        <f t="shared" si="130"/>
        <v>0</v>
      </c>
      <c r="AC334" s="71">
        <f t="shared" si="131"/>
        <v>0</v>
      </c>
      <c r="AK334" s="71">
        <f t="shared" si="132"/>
        <v>0</v>
      </c>
      <c r="AM334" s="71">
        <f t="shared" si="133"/>
        <v>0</v>
      </c>
      <c r="AO334" s="71">
        <f t="shared" si="134"/>
        <v>0</v>
      </c>
      <c r="AQ334" s="71">
        <f t="shared" si="135"/>
        <v>0</v>
      </c>
      <c r="AT334" s="71">
        <f t="shared" si="136"/>
        <v>0</v>
      </c>
      <c r="AV334" s="71">
        <f t="shared" si="137"/>
        <v>0</v>
      </c>
      <c r="AX334" s="71">
        <f t="shared" si="138"/>
        <v>0</v>
      </c>
      <c r="AZ334" s="71">
        <f t="shared" si="139"/>
        <v>0</v>
      </c>
      <c r="BE334" s="102">
        <f t="shared" si="140"/>
        <v>4.4721359549995796</v>
      </c>
      <c r="BF334" s="81">
        <f t="shared" si="141"/>
        <v>9.3924867883288243E-14</v>
      </c>
      <c r="BG334" s="81" t="str">
        <f t="shared" si="142"/>
        <v>BASSO</v>
      </c>
      <c r="BK334" s="81" t="str">
        <f t="shared" si="143"/>
        <v>MOLTO BASSO</v>
      </c>
    </row>
    <row r="335" spans="7:63" x14ac:dyDescent="0.15">
      <c r="G335" s="64">
        <f t="shared" si="120"/>
        <v>0</v>
      </c>
      <c r="I335" s="64">
        <f t="shared" si="121"/>
        <v>0</v>
      </c>
      <c r="K335" s="64">
        <f t="shared" si="122"/>
        <v>0</v>
      </c>
      <c r="M335" s="64">
        <f t="shared" si="123"/>
        <v>0</v>
      </c>
      <c r="O335" s="64">
        <f t="shared" si="124"/>
        <v>0</v>
      </c>
      <c r="Q335" s="64">
        <f t="shared" si="125"/>
        <v>0</v>
      </c>
      <c r="S335" s="71">
        <f t="shared" si="126"/>
        <v>0</v>
      </c>
      <c r="U335" s="64">
        <f t="shared" si="127"/>
        <v>0</v>
      </c>
      <c r="W335" s="71">
        <f t="shared" si="128"/>
        <v>0</v>
      </c>
      <c r="Y335" s="71">
        <f t="shared" si="129"/>
        <v>0</v>
      </c>
      <c r="AA335" s="71">
        <f t="shared" si="130"/>
        <v>0</v>
      </c>
      <c r="AC335" s="71">
        <f t="shared" si="131"/>
        <v>0</v>
      </c>
      <c r="AK335" s="71">
        <f t="shared" si="132"/>
        <v>0</v>
      </c>
      <c r="AM335" s="71">
        <f t="shared" si="133"/>
        <v>0</v>
      </c>
      <c r="AO335" s="71">
        <f t="shared" si="134"/>
        <v>0</v>
      </c>
      <c r="AQ335" s="71">
        <f t="shared" si="135"/>
        <v>0</v>
      </c>
      <c r="AT335" s="71">
        <f t="shared" si="136"/>
        <v>0</v>
      </c>
      <c r="AV335" s="71">
        <f t="shared" si="137"/>
        <v>0</v>
      </c>
      <c r="AX335" s="71">
        <f t="shared" si="138"/>
        <v>0</v>
      </c>
      <c r="AZ335" s="71">
        <f t="shared" si="139"/>
        <v>0</v>
      </c>
      <c r="BE335" s="102">
        <f t="shared" si="140"/>
        <v>4.4721359549995796</v>
      </c>
      <c r="BF335" s="81">
        <f t="shared" si="141"/>
        <v>9.3924867883288243E-14</v>
      </c>
      <c r="BG335" s="81" t="str">
        <f t="shared" si="142"/>
        <v>BASSO</v>
      </c>
      <c r="BK335" s="81" t="str">
        <f t="shared" si="143"/>
        <v>MOLTO BASSO</v>
      </c>
    </row>
    <row r="336" spans="7:63" x14ac:dyDescent="0.15">
      <c r="G336" s="64">
        <f t="shared" si="120"/>
        <v>0</v>
      </c>
      <c r="I336" s="64">
        <f t="shared" si="121"/>
        <v>0</v>
      </c>
      <c r="K336" s="64">
        <f t="shared" si="122"/>
        <v>0</v>
      </c>
      <c r="M336" s="64">
        <f t="shared" si="123"/>
        <v>0</v>
      </c>
      <c r="O336" s="64">
        <f t="shared" si="124"/>
        <v>0</v>
      </c>
      <c r="Q336" s="64">
        <f t="shared" si="125"/>
        <v>0</v>
      </c>
      <c r="S336" s="71">
        <f t="shared" si="126"/>
        <v>0</v>
      </c>
      <c r="U336" s="64">
        <f t="shared" si="127"/>
        <v>0</v>
      </c>
      <c r="W336" s="71">
        <f t="shared" si="128"/>
        <v>0</v>
      </c>
      <c r="Y336" s="71">
        <f t="shared" si="129"/>
        <v>0</v>
      </c>
      <c r="AA336" s="71">
        <f t="shared" si="130"/>
        <v>0</v>
      </c>
      <c r="AC336" s="71">
        <f t="shared" si="131"/>
        <v>0</v>
      </c>
      <c r="AK336" s="71">
        <f t="shared" si="132"/>
        <v>0</v>
      </c>
      <c r="AM336" s="71">
        <f t="shared" si="133"/>
        <v>0</v>
      </c>
      <c r="AO336" s="71">
        <f t="shared" si="134"/>
        <v>0</v>
      </c>
      <c r="AQ336" s="71">
        <f t="shared" si="135"/>
        <v>0</v>
      </c>
      <c r="AT336" s="71">
        <f t="shared" si="136"/>
        <v>0</v>
      </c>
      <c r="AV336" s="71">
        <f t="shared" si="137"/>
        <v>0</v>
      </c>
      <c r="AX336" s="71">
        <f t="shared" si="138"/>
        <v>0</v>
      </c>
      <c r="AZ336" s="71">
        <f t="shared" si="139"/>
        <v>0</v>
      </c>
      <c r="BE336" s="102">
        <f t="shared" si="140"/>
        <v>4.4721359549995796</v>
      </c>
      <c r="BF336" s="81">
        <f t="shared" si="141"/>
        <v>9.3924867883288243E-14</v>
      </c>
      <c r="BG336" s="81" t="str">
        <f t="shared" si="142"/>
        <v>BASSO</v>
      </c>
      <c r="BK336" s="81" t="str">
        <f t="shared" si="143"/>
        <v>MOLTO BASSO</v>
      </c>
    </row>
    <row r="337" spans="7:63" x14ac:dyDescent="0.15">
      <c r="G337" s="64">
        <f t="shared" si="120"/>
        <v>0</v>
      </c>
      <c r="I337" s="64">
        <f t="shared" si="121"/>
        <v>0</v>
      </c>
      <c r="K337" s="64">
        <f t="shared" si="122"/>
        <v>0</v>
      </c>
      <c r="M337" s="64">
        <f t="shared" si="123"/>
        <v>0</v>
      </c>
      <c r="O337" s="64">
        <f t="shared" si="124"/>
        <v>0</v>
      </c>
      <c r="Q337" s="64">
        <f t="shared" si="125"/>
        <v>0</v>
      </c>
      <c r="S337" s="71">
        <f t="shared" si="126"/>
        <v>0</v>
      </c>
      <c r="U337" s="64">
        <f t="shared" si="127"/>
        <v>0</v>
      </c>
      <c r="W337" s="71">
        <f t="shared" si="128"/>
        <v>0</v>
      </c>
      <c r="Y337" s="71">
        <f t="shared" si="129"/>
        <v>0</v>
      </c>
      <c r="AA337" s="71">
        <f t="shared" si="130"/>
        <v>0</v>
      </c>
      <c r="AC337" s="71">
        <f t="shared" si="131"/>
        <v>0</v>
      </c>
      <c r="AK337" s="71">
        <f t="shared" si="132"/>
        <v>0</v>
      </c>
      <c r="AM337" s="71">
        <f t="shared" si="133"/>
        <v>0</v>
      </c>
      <c r="AO337" s="71">
        <f t="shared" si="134"/>
        <v>0</v>
      </c>
      <c r="AQ337" s="71">
        <f t="shared" si="135"/>
        <v>0</v>
      </c>
      <c r="AT337" s="71">
        <f t="shared" si="136"/>
        <v>0</v>
      </c>
      <c r="AV337" s="71">
        <f t="shared" si="137"/>
        <v>0</v>
      </c>
      <c r="AX337" s="71">
        <f t="shared" si="138"/>
        <v>0</v>
      </c>
      <c r="AZ337" s="71">
        <f t="shared" si="139"/>
        <v>0</v>
      </c>
      <c r="BE337" s="102">
        <f t="shared" si="140"/>
        <v>4.4721359549995796</v>
      </c>
      <c r="BF337" s="81">
        <f t="shared" si="141"/>
        <v>9.3924867883288243E-14</v>
      </c>
      <c r="BG337" s="81" t="str">
        <f t="shared" si="142"/>
        <v>BASSO</v>
      </c>
      <c r="BK337" s="81" t="str">
        <f t="shared" si="143"/>
        <v>MOLTO BASSO</v>
      </c>
    </row>
    <row r="338" spans="7:63" x14ac:dyDescent="0.15">
      <c r="G338" s="64">
        <f t="shared" si="120"/>
        <v>0</v>
      </c>
      <c r="I338" s="64">
        <f t="shared" si="121"/>
        <v>0</v>
      </c>
      <c r="K338" s="64">
        <f t="shared" si="122"/>
        <v>0</v>
      </c>
      <c r="M338" s="64">
        <f t="shared" si="123"/>
        <v>0</v>
      </c>
      <c r="O338" s="64">
        <f t="shared" si="124"/>
        <v>0</v>
      </c>
      <c r="Q338" s="64">
        <f t="shared" si="125"/>
        <v>0</v>
      </c>
      <c r="S338" s="71">
        <f t="shared" si="126"/>
        <v>0</v>
      </c>
      <c r="U338" s="64">
        <f t="shared" si="127"/>
        <v>0</v>
      </c>
      <c r="W338" s="71">
        <f t="shared" si="128"/>
        <v>0</v>
      </c>
      <c r="Y338" s="71">
        <f t="shared" si="129"/>
        <v>0</v>
      </c>
      <c r="AA338" s="71">
        <f t="shared" si="130"/>
        <v>0</v>
      </c>
      <c r="AC338" s="71">
        <f t="shared" si="131"/>
        <v>0</v>
      </c>
      <c r="AK338" s="71">
        <f t="shared" si="132"/>
        <v>0</v>
      </c>
      <c r="AM338" s="71">
        <f t="shared" si="133"/>
        <v>0</v>
      </c>
      <c r="AO338" s="71">
        <f t="shared" si="134"/>
        <v>0</v>
      </c>
      <c r="AQ338" s="71">
        <f t="shared" si="135"/>
        <v>0</v>
      </c>
      <c r="AT338" s="71">
        <f t="shared" si="136"/>
        <v>0</v>
      </c>
      <c r="AV338" s="71">
        <f t="shared" si="137"/>
        <v>0</v>
      </c>
      <c r="AX338" s="71">
        <f t="shared" si="138"/>
        <v>0</v>
      </c>
      <c r="AZ338" s="71">
        <f t="shared" si="139"/>
        <v>0</v>
      </c>
      <c r="BE338" s="102">
        <f t="shared" si="140"/>
        <v>4.4721359549995796</v>
      </c>
      <c r="BF338" s="81">
        <f t="shared" si="141"/>
        <v>9.3924867883288243E-14</v>
      </c>
      <c r="BG338" s="81" t="str">
        <f t="shared" si="142"/>
        <v>BASSO</v>
      </c>
      <c r="BK338" s="81" t="str">
        <f t="shared" si="143"/>
        <v>MOLTO BASSO</v>
      </c>
    </row>
    <row r="339" spans="7:63" x14ac:dyDescent="0.15">
      <c r="G339" s="64">
        <f t="shared" si="120"/>
        <v>0</v>
      </c>
      <c r="I339" s="64">
        <f t="shared" si="121"/>
        <v>0</v>
      </c>
      <c r="K339" s="64">
        <f t="shared" si="122"/>
        <v>0</v>
      </c>
      <c r="M339" s="64">
        <f t="shared" si="123"/>
        <v>0</v>
      </c>
      <c r="O339" s="64">
        <f t="shared" si="124"/>
        <v>0</v>
      </c>
      <c r="Q339" s="64">
        <f t="shared" si="125"/>
        <v>0</v>
      </c>
      <c r="S339" s="71">
        <f t="shared" si="126"/>
        <v>0</v>
      </c>
      <c r="U339" s="64">
        <f t="shared" si="127"/>
        <v>0</v>
      </c>
      <c r="W339" s="71">
        <f t="shared" si="128"/>
        <v>0</v>
      </c>
      <c r="Y339" s="71">
        <f t="shared" si="129"/>
        <v>0</v>
      </c>
      <c r="AA339" s="71">
        <f t="shared" si="130"/>
        <v>0</v>
      </c>
      <c r="AC339" s="71">
        <f t="shared" si="131"/>
        <v>0</v>
      </c>
      <c r="AK339" s="71">
        <f t="shared" si="132"/>
        <v>0</v>
      </c>
      <c r="AM339" s="71">
        <f t="shared" si="133"/>
        <v>0</v>
      </c>
      <c r="AO339" s="71">
        <f t="shared" si="134"/>
        <v>0</v>
      </c>
      <c r="AQ339" s="71">
        <f t="shared" si="135"/>
        <v>0</v>
      </c>
      <c r="AT339" s="71">
        <f t="shared" si="136"/>
        <v>0</v>
      </c>
      <c r="AV339" s="71">
        <f t="shared" si="137"/>
        <v>0</v>
      </c>
      <c r="AX339" s="71">
        <f t="shared" si="138"/>
        <v>0</v>
      </c>
      <c r="AZ339" s="71">
        <f t="shared" si="139"/>
        <v>0</v>
      </c>
      <c r="BE339" s="102">
        <f t="shared" si="140"/>
        <v>4.4721359549995796</v>
      </c>
      <c r="BF339" s="81">
        <f t="shared" si="141"/>
        <v>9.3924867883288243E-14</v>
      </c>
      <c r="BG339" s="81" t="str">
        <f t="shared" si="142"/>
        <v>BASSO</v>
      </c>
      <c r="BK339" s="81" t="str">
        <f t="shared" si="143"/>
        <v>MOLTO BASSO</v>
      </c>
    </row>
    <row r="340" spans="7:63" x14ac:dyDescent="0.15">
      <c r="G340" s="64">
        <f t="shared" si="120"/>
        <v>0</v>
      </c>
      <c r="I340" s="64">
        <f t="shared" si="121"/>
        <v>0</v>
      </c>
      <c r="K340" s="64">
        <f t="shared" si="122"/>
        <v>0</v>
      </c>
      <c r="M340" s="64">
        <f t="shared" si="123"/>
        <v>0</v>
      </c>
      <c r="O340" s="64">
        <f t="shared" si="124"/>
        <v>0</v>
      </c>
      <c r="Q340" s="64">
        <f t="shared" si="125"/>
        <v>0</v>
      </c>
      <c r="S340" s="71">
        <f t="shared" si="126"/>
        <v>0</v>
      </c>
      <c r="U340" s="64">
        <f t="shared" si="127"/>
        <v>0</v>
      </c>
      <c r="W340" s="71">
        <f t="shared" si="128"/>
        <v>0</v>
      </c>
      <c r="Y340" s="71">
        <f t="shared" si="129"/>
        <v>0</v>
      </c>
      <c r="AA340" s="71">
        <f t="shared" si="130"/>
        <v>0</v>
      </c>
      <c r="AC340" s="71">
        <f t="shared" si="131"/>
        <v>0</v>
      </c>
      <c r="AK340" s="71">
        <f t="shared" si="132"/>
        <v>0</v>
      </c>
      <c r="AM340" s="71">
        <f t="shared" si="133"/>
        <v>0</v>
      </c>
      <c r="AO340" s="71">
        <f t="shared" si="134"/>
        <v>0</v>
      </c>
      <c r="AQ340" s="71">
        <f t="shared" si="135"/>
        <v>0</v>
      </c>
      <c r="AT340" s="71">
        <f t="shared" si="136"/>
        <v>0</v>
      </c>
      <c r="AV340" s="71">
        <f t="shared" si="137"/>
        <v>0</v>
      </c>
      <c r="AX340" s="71">
        <f t="shared" si="138"/>
        <v>0</v>
      </c>
      <c r="AZ340" s="71">
        <f t="shared" si="139"/>
        <v>0</v>
      </c>
      <c r="BE340" s="102">
        <f t="shared" si="140"/>
        <v>4.4721359549995796</v>
      </c>
      <c r="BF340" s="81">
        <f t="shared" si="141"/>
        <v>9.3924867883288243E-14</v>
      </c>
      <c r="BG340" s="81" t="str">
        <f t="shared" si="142"/>
        <v>BASSO</v>
      </c>
      <c r="BK340" s="81" t="str">
        <f t="shared" si="143"/>
        <v>MOLTO BASSO</v>
      </c>
    </row>
    <row r="341" spans="7:63" x14ac:dyDescent="0.15">
      <c r="G341" s="64">
        <f t="shared" si="120"/>
        <v>0</v>
      </c>
      <c r="I341" s="64">
        <f t="shared" si="121"/>
        <v>0</v>
      </c>
      <c r="K341" s="64">
        <f t="shared" si="122"/>
        <v>0</v>
      </c>
      <c r="M341" s="64">
        <f t="shared" si="123"/>
        <v>0</v>
      </c>
      <c r="O341" s="64">
        <f t="shared" si="124"/>
        <v>0</v>
      </c>
      <c r="Q341" s="64">
        <f t="shared" si="125"/>
        <v>0</v>
      </c>
      <c r="S341" s="71">
        <f t="shared" si="126"/>
        <v>0</v>
      </c>
      <c r="U341" s="64">
        <f t="shared" si="127"/>
        <v>0</v>
      </c>
      <c r="W341" s="71">
        <f t="shared" si="128"/>
        <v>0</v>
      </c>
      <c r="Y341" s="71">
        <f t="shared" si="129"/>
        <v>0</v>
      </c>
      <c r="AA341" s="71">
        <f t="shared" si="130"/>
        <v>0</v>
      </c>
      <c r="AC341" s="71">
        <f t="shared" si="131"/>
        <v>0</v>
      </c>
      <c r="AK341" s="71">
        <f t="shared" si="132"/>
        <v>0</v>
      </c>
      <c r="AM341" s="71">
        <f t="shared" si="133"/>
        <v>0</v>
      </c>
      <c r="AO341" s="71">
        <f t="shared" si="134"/>
        <v>0</v>
      </c>
      <c r="AQ341" s="71">
        <f t="shared" si="135"/>
        <v>0</v>
      </c>
      <c r="AT341" s="71">
        <f t="shared" si="136"/>
        <v>0</v>
      </c>
      <c r="AV341" s="71">
        <f t="shared" si="137"/>
        <v>0</v>
      </c>
      <c r="AX341" s="71">
        <f t="shared" si="138"/>
        <v>0</v>
      </c>
      <c r="AZ341" s="71">
        <f t="shared" si="139"/>
        <v>0</v>
      </c>
      <c r="BE341" s="102">
        <f t="shared" si="140"/>
        <v>4.4721359549995796</v>
      </c>
      <c r="BF341" s="81">
        <f t="shared" si="141"/>
        <v>9.3924867883288243E-14</v>
      </c>
      <c r="BG341" s="81" t="str">
        <f t="shared" si="142"/>
        <v>BASSO</v>
      </c>
      <c r="BK341" s="81" t="str">
        <f t="shared" si="143"/>
        <v>MOLTO BASSO</v>
      </c>
    </row>
    <row r="342" spans="7:63" x14ac:dyDescent="0.15">
      <c r="G342" s="64">
        <f t="shared" si="120"/>
        <v>0</v>
      </c>
      <c r="I342" s="64">
        <f t="shared" si="121"/>
        <v>0</v>
      </c>
      <c r="K342" s="64">
        <f t="shared" si="122"/>
        <v>0</v>
      </c>
      <c r="M342" s="64">
        <f t="shared" si="123"/>
        <v>0</v>
      </c>
      <c r="O342" s="64">
        <f t="shared" si="124"/>
        <v>0</v>
      </c>
      <c r="Q342" s="64">
        <f t="shared" si="125"/>
        <v>0</v>
      </c>
      <c r="S342" s="71">
        <f t="shared" si="126"/>
        <v>0</v>
      </c>
      <c r="U342" s="64">
        <f t="shared" si="127"/>
        <v>0</v>
      </c>
      <c r="W342" s="71">
        <f t="shared" si="128"/>
        <v>0</v>
      </c>
      <c r="Y342" s="71">
        <f t="shared" si="129"/>
        <v>0</v>
      </c>
      <c r="AA342" s="71">
        <f t="shared" si="130"/>
        <v>0</v>
      </c>
      <c r="AC342" s="71">
        <f t="shared" si="131"/>
        <v>0</v>
      </c>
      <c r="AK342" s="71">
        <f t="shared" si="132"/>
        <v>0</v>
      </c>
      <c r="AM342" s="71">
        <f t="shared" si="133"/>
        <v>0</v>
      </c>
      <c r="AO342" s="71">
        <f t="shared" si="134"/>
        <v>0</v>
      </c>
      <c r="AQ342" s="71">
        <f t="shared" si="135"/>
        <v>0</v>
      </c>
      <c r="AT342" s="71">
        <f t="shared" si="136"/>
        <v>0</v>
      </c>
      <c r="AV342" s="71">
        <f t="shared" si="137"/>
        <v>0</v>
      </c>
      <c r="AX342" s="71">
        <f t="shared" si="138"/>
        <v>0</v>
      </c>
      <c r="AZ342" s="71">
        <f t="shared" si="139"/>
        <v>0</v>
      </c>
      <c r="BE342" s="102">
        <f t="shared" si="140"/>
        <v>4.4721359549995796</v>
      </c>
      <c r="BF342" s="81">
        <f t="shared" si="141"/>
        <v>9.3924867883288243E-14</v>
      </c>
      <c r="BG342" s="81" t="str">
        <f t="shared" si="142"/>
        <v>BASSO</v>
      </c>
      <c r="BK342" s="81" t="str">
        <f t="shared" si="143"/>
        <v>MOLTO BASSO</v>
      </c>
    </row>
    <row r="343" spans="7:63" x14ac:dyDescent="0.15">
      <c r="G343" s="64">
        <f t="shared" si="120"/>
        <v>0</v>
      </c>
      <c r="I343" s="64">
        <f t="shared" si="121"/>
        <v>0</v>
      </c>
      <c r="K343" s="64">
        <f t="shared" si="122"/>
        <v>0</v>
      </c>
      <c r="M343" s="64">
        <f t="shared" si="123"/>
        <v>0</v>
      </c>
      <c r="O343" s="64">
        <f t="shared" si="124"/>
        <v>0</v>
      </c>
      <c r="Q343" s="64">
        <f t="shared" si="125"/>
        <v>0</v>
      </c>
      <c r="S343" s="71">
        <f t="shared" si="126"/>
        <v>0</v>
      </c>
      <c r="U343" s="64">
        <f t="shared" si="127"/>
        <v>0</v>
      </c>
      <c r="W343" s="71">
        <f t="shared" si="128"/>
        <v>0</v>
      </c>
      <c r="Y343" s="71">
        <f t="shared" si="129"/>
        <v>0</v>
      </c>
      <c r="AA343" s="71">
        <f t="shared" si="130"/>
        <v>0</v>
      </c>
      <c r="AC343" s="71">
        <f t="shared" si="131"/>
        <v>0</v>
      </c>
      <c r="AK343" s="71">
        <f t="shared" si="132"/>
        <v>0</v>
      </c>
      <c r="AM343" s="71">
        <f t="shared" si="133"/>
        <v>0</v>
      </c>
      <c r="AO343" s="71">
        <f t="shared" si="134"/>
        <v>0</v>
      </c>
      <c r="AQ343" s="71">
        <f t="shared" si="135"/>
        <v>0</v>
      </c>
      <c r="AT343" s="71">
        <f t="shared" si="136"/>
        <v>0</v>
      </c>
      <c r="AV343" s="71">
        <f t="shared" si="137"/>
        <v>0</v>
      </c>
      <c r="AX343" s="71">
        <f t="shared" si="138"/>
        <v>0</v>
      </c>
      <c r="AZ343" s="71">
        <f t="shared" si="139"/>
        <v>0</v>
      </c>
      <c r="BE343" s="102">
        <f t="shared" si="140"/>
        <v>4.4721359549995796</v>
      </c>
      <c r="BF343" s="81">
        <f t="shared" si="141"/>
        <v>9.3924867883288243E-14</v>
      </c>
      <c r="BG343" s="81" t="str">
        <f t="shared" si="142"/>
        <v>BASSO</v>
      </c>
      <c r="BK343" s="81" t="str">
        <f t="shared" si="143"/>
        <v>MOLTO BASSO</v>
      </c>
    </row>
    <row r="344" spans="7:63" x14ac:dyDescent="0.15">
      <c r="G344" s="64">
        <f t="shared" si="120"/>
        <v>0</v>
      </c>
      <c r="I344" s="64">
        <f t="shared" si="121"/>
        <v>0</v>
      </c>
      <c r="K344" s="64">
        <f t="shared" si="122"/>
        <v>0</v>
      </c>
      <c r="M344" s="64">
        <f t="shared" si="123"/>
        <v>0</v>
      </c>
      <c r="O344" s="64">
        <f t="shared" si="124"/>
        <v>0</v>
      </c>
      <c r="Q344" s="64">
        <f t="shared" si="125"/>
        <v>0</v>
      </c>
      <c r="S344" s="71">
        <f t="shared" si="126"/>
        <v>0</v>
      </c>
      <c r="U344" s="64">
        <f t="shared" si="127"/>
        <v>0</v>
      </c>
      <c r="W344" s="71">
        <f t="shared" si="128"/>
        <v>0</v>
      </c>
      <c r="Y344" s="71">
        <f t="shared" si="129"/>
        <v>0</v>
      </c>
      <c r="AA344" s="71">
        <f t="shared" si="130"/>
        <v>0</v>
      </c>
      <c r="AC344" s="71">
        <f t="shared" si="131"/>
        <v>0</v>
      </c>
      <c r="AK344" s="71">
        <f t="shared" si="132"/>
        <v>0</v>
      </c>
      <c r="AM344" s="71">
        <f t="shared" si="133"/>
        <v>0</v>
      </c>
      <c r="AO344" s="71">
        <f t="shared" si="134"/>
        <v>0</v>
      </c>
      <c r="AQ344" s="71">
        <f t="shared" si="135"/>
        <v>0</v>
      </c>
      <c r="AT344" s="71">
        <f t="shared" si="136"/>
        <v>0</v>
      </c>
      <c r="AV344" s="71">
        <f t="shared" si="137"/>
        <v>0</v>
      </c>
      <c r="AX344" s="71">
        <f t="shared" si="138"/>
        <v>0</v>
      </c>
      <c r="AZ344" s="71">
        <f t="shared" si="139"/>
        <v>0</v>
      </c>
      <c r="BE344" s="102">
        <f t="shared" si="140"/>
        <v>4.4721359549995796</v>
      </c>
      <c r="BF344" s="81">
        <f t="shared" si="141"/>
        <v>9.3924867883288243E-14</v>
      </c>
      <c r="BG344" s="81" t="str">
        <f t="shared" si="142"/>
        <v>BASSO</v>
      </c>
      <c r="BK344" s="81" t="str">
        <f t="shared" si="143"/>
        <v>MOLTO BASSO</v>
      </c>
    </row>
    <row r="345" spans="7:63" x14ac:dyDescent="0.15">
      <c r="G345" s="64">
        <f t="shared" si="120"/>
        <v>0</v>
      </c>
      <c r="I345" s="64">
        <f t="shared" si="121"/>
        <v>0</v>
      </c>
      <c r="K345" s="64">
        <f t="shared" si="122"/>
        <v>0</v>
      </c>
      <c r="M345" s="64">
        <f t="shared" si="123"/>
        <v>0</v>
      </c>
      <c r="O345" s="64">
        <f t="shared" si="124"/>
        <v>0</v>
      </c>
      <c r="Q345" s="64">
        <f t="shared" si="125"/>
        <v>0</v>
      </c>
      <c r="S345" s="71">
        <f t="shared" si="126"/>
        <v>0</v>
      </c>
      <c r="U345" s="64">
        <f t="shared" si="127"/>
        <v>0</v>
      </c>
      <c r="W345" s="71">
        <f t="shared" si="128"/>
        <v>0</v>
      </c>
      <c r="Y345" s="71">
        <f t="shared" si="129"/>
        <v>0</v>
      </c>
      <c r="AA345" s="71">
        <f t="shared" si="130"/>
        <v>0</v>
      </c>
      <c r="AC345" s="71">
        <f t="shared" si="131"/>
        <v>0</v>
      </c>
      <c r="AK345" s="71">
        <f t="shared" si="132"/>
        <v>0</v>
      </c>
      <c r="AM345" s="71">
        <f t="shared" si="133"/>
        <v>0</v>
      </c>
      <c r="AO345" s="71">
        <f t="shared" si="134"/>
        <v>0</v>
      </c>
      <c r="AQ345" s="71">
        <f t="shared" si="135"/>
        <v>0</v>
      </c>
      <c r="AT345" s="71">
        <f t="shared" si="136"/>
        <v>0</v>
      </c>
      <c r="AV345" s="71">
        <f t="shared" si="137"/>
        <v>0</v>
      </c>
      <c r="AX345" s="71">
        <f t="shared" si="138"/>
        <v>0</v>
      </c>
      <c r="AZ345" s="71">
        <f t="shared" si="139"/>
        <v>0</v>
      </c>
      <c r="BE345" s="102">
        <f t="shared" si="140"/>
        <v>4.4721359549995796</v>
      </c>
      <c r="BF345" s="81">
        <f t="shared" si="141"/>
        <v>9.3924867883288243E-14</v>
      </c>
      <c r="BG345" s="81" t="str">
        <f t="shared" si="142"/>
        <v>BASSO</v>
      </c>
      <c r="BK345" s="81" t="str">
        <f t="shared" si="143"/>
        <v>MOLTO BASSO</v>
      </c>
    </row>
    <row r="346" spans="7:63" x14ac:dyDescent="0.15">
      <c r="G346" s="64">
        <f t="shared" si="120"/>
        <v>0</v>
      </c>
      <c r="I346" s="64">
        <f t="shared" si="121"/>
        <v>0</v>
      </c>
      <c r="K346" s="64">
        <f t="shared" si="122"/>
        <v>0</v>
      </c>
      <c r="M346" s="64">
        <f t="shared" si="123"/>
        <v>0</v>
      </c>
      <c r="O346" s="64">
        <f t="shared" si="124"/>
        <v>0</v>
      </c>
      <c r="Q346" s="64">
        <f t="shared" si="125"/>
        <v>0</v>
      </c>
      <c r="S346" s="71">
        <f t="shared" si="126"/>
        <v>0</v>
      </c>
      <c r="U346" s="64">
        <f t="shared" si="127"/>
        <v>0</v>
      </c>
      <c r="W346" s="71">
        <f t="shared" si="128"/>
        <v>0</v>
      </c>
      <c r="Y346" s="71">
        <f t="shared" si="129"/>
        <v>0</v>
      </c>
      <c r="AA346" s="71">
        <f t="shared" si="130"/>
        <v>0</v>
      </c>
      <c r="AC346" s="71">
        <f t="shared" si="131"/>
        <v>0</v>
      </c>
      <c r="AK346" s="71">
        <f t="shared" si="132"/>
        <v>0</v>
      </c>
      <c r="AM346" s="71">
        <f t="shared" si="133"/>
        <v>0</v>
      </c>
      <c r="AO346" s="71">
        <f t="shared" si="134"/>
        <v>0</v>
      </c>
      <c r="AQ346" s="71">
        <f t="shared" si="135"/>
        <v>0</v>
      </c>
      <c r="AT346" s="71">
        <f t="shared" si="136"/>
        <v>0</v>
      </c>
      <c r="AV346" s="71">
        <f t="shared" si="137"/>
        <v>0</v>
      </c>
      <c r="AX346" s="71">
        <f t="shared" si="138"/>
        <v>0</v>
      </c>
      <c r="AZ346" s="71">
        <f t="shared" si="139"/>
        <v>0</v>
      </c>
      <c r="BE346" s="102">
        <f t="shared" si="140"/>
        <v>4.4721359549995796</v>
      </c>
      <c r="BF346" s="81">
        <f t="shared" si="141"/>
        <v>9.3924867883288243E-14</v>
      </c>
      <c r="BG346" s="81" t="str">
        <f t="shared" si="142"/>
        <v>BASSO</v>
      </c>
      <c r="BK346" s="81" t="str">
        <f t="shared" si="143"/>
        <v>MOLTO BASSO</v>
      </c>
    </row>
    <row r="347" spans="7:63" x14ac:dyDescent="0.15">
      <c r="G347" s="64">
        <f t="shared" si="120"/>
        <v>0</v>
      </c>
      <c r="I347" s="64">
        <f t="shared" si="121"/>
        <v>0</v>
      </c>
      <c r="K347" s="64">
        <f t="shared" si="122"/>
        <v>0</v>
      </c>
      <c r="M347" s="64">
        <f t="shared" si="123"/>
        <v>0</v>
      </c>
      <c r="O347" s="64">
        <f t="shared" si="124"/>
        <v>0</v>
      </c>
      <c r="Q347" s="64">
        <f t="shared" si="125"/>
        <v>0</v>
      </c>
      <c r="S347" s="71">
        <f t="shared" si="126"/>
        <v>0</v>
      </c>
      <c r="U347" s="64">
        <f t="shared" si="127"/>
        <v>0</v>
      </c>
      <c r="W347" s="71">
        <f t="shared" si="128"/>
        <v>0</v>
      </c>
      <c r="Y347" s="71">
        <f t="shared" si="129"/>
        <v>0</v>
      </c>
      <c r="AA347" s="71">
        <f t="shared" si="130"/>
        <v>0</v>
      </c>
      <c r="AC347" s="71">
        <f t="shared" si="131"/>
        <v>0</v>
      </c>
      <c r="AK347" s="71">
        <f t="shared" si="132"/>
        <v>0</v>
      </c>
      <c r="AM347" s="71">
        <f t="shared" si="133"/>
        <v>0</v>
      </c>
      <c r="AO347" s="71">
        <f t="shared" si="134"/>
        <v>0</v>
      </c>
      <c r="AQ347" s="71">
        <f t="shared" si="135"/>
        <v>0</v>
      </c>
      <c r="AT347" s="71">
        <f t="shared" si="136"/>
        <v>0</v>
      </c>
      <c r="AV347" s="71">
        <f t="shared" si="137"/>
        <v>0</v>
      </c>
      <c r="AX347" s="71">
        <f t="shared" si="138"/>
        <v>0</v>
      </c>
      <c r="AZ347" s="71">
        <f t="shared" si="139"/>
        <v>0</v>
      </c>
      <c r="BE347" s="102">
        <f t="shared" si="140"/>
        <v>4.4721359549995796</v>
      </c>
      <c r="BF347" s="81">
        <f t="shared" si="141"/>
        <v>9.3924867883288243E-14</v>
      </c>
      <c r="BG347" s="81" t="str">
        <f t="shared" si="142"/>
        <v>BASSO</v>
      </c>
      <c r="BK347" s="81" t="str">
        <f t="shared" si="143"/>
        <v>MOLTO BASSO</v>
      </c>
    </row>
    <row r="348" spans="7:63" x14ac:dyDescent="0.15">
      <c r="G348" s="64">
        <f t="shared" si="120"/>
        <v>0</v>
      </c>
      <c r="I348" s="64">
        <f t="shared" si="121"/>
        <v>0</v>
      </c>
      <c r="K348" s="64">
        <f t="shared" si="122"/>
        <v>0</v>
      </c>
      <c r="M348" s="64">
        <f t="shared" si="123"/>
        <v>0</v>
      </c>
      <c r="O348" s="64">
        <f t="shared" si="124"/>
        <v>0</v>
      </c>
      <c r="Q348" s="64">
        <f t="shared" si="125"/>
        <v>0</v>
      </c>
      <c r="S348" s="71">
        <f t="shared" si="126"/>
        <v>0</v>
      </c>
      <c r="U348" s="64">
        <f t="shared" si="127"/>
        <v>0</v>
      </c>
      <c r="W348" s="71">
        <f t="shared" si="128"/>
        <v>0</v>
      </c>
      <c r="Y348" s="71">
        <f t="shared" si="129"/>
        <v>0</v>
      </c>
      <c r="AA348" s="71">
        <f t="shared" si="130"/>
        <v>0</v>
      </c>
      <c r="AC348" s="71">
        <f t="shared" si="131"/>
        <v>0</v>
      </c>
      <c r="AK348" s="71">
        <f t="shared" si="132"/>
        <v>0</v>
      </c>
      <c r="AM348" s="71">
        <f t="shared" si="133"/>
        <v>0</v>
      </c>
      <c r="AO348" s="71">
        <f t="shared" si="134"/>
        <v>0</v>
      </c>
      <c r="AQ348" s="71">
        <f t="shared" si="135"/>
        <v>0</v>
      </c>
      <c r="AT348" s="71">
        <f t="shared" si="136"/>
        <v>0</v>
      </c>
      <c r="AV348" s="71">
        <f t="shared" si="137"/>
        <v>0</v>
      </c>
      <c r="AX348" s="71">
        <f t="shared" si="138"/>
        <v>0</v>
      </c>
      <c r="AZ348" s="71">
        <f t="shared" si="139"/>
        <v>0</v>
      </c>
      <c r="BE348" s="102">
        <f t="shared" si="140"/>
        <v>4.4721359549995796</v>
      </c>
      <c r="BF348" s="81">
        <f t="shared" si="141"/>
        <v>9.3924867883288243E-14</v>
      </c>
      <c r="BG348" s="81" t="str">
        <f t="shared" si="142"/>
        <v>BASSO</v>
      </c>
      <c r="BK348" s="81" t="str">
        <f t="shared" si="143"/>
        <v>MOLTO BASSO</v>
      </c>
    </row>
    <row r="349" spans="7:63" x14ac:dyDescent="0.15">
      <c r="G349" s="64">
        <f t="shared" si="120"/>
        <v>0</v>
      </c>
      <c r="I349" s="64">
        <f t="shared" si="121"/>
        <v>0</v>
      </c>
      <c r="K349" s="64">
        <f t="shared" si="122"/>
        <v>0</v>
      </c>
      <c r="M349" s="64">
        <f t="shared" si="123"/>
        <v>0</v>
      </c>
      <c r="O349" s="64">
        <f t="shared" si="124"/>
        <v>0</v>
      </c>
      <c r="Q349" s="64">
        <f t="shared" si="125"/>
        <v>0</v>
      </c>
      <c r="S349" s="71">
        <f t="shared" si="126"/>
        <v>0</v>
      </c>
      <c r="U349" s="64">
        <f t="shared" si="127"/>
        <v>0</v>
      </c>
      <c r="W349" s="71">
        <f t="shared" si="128"/>
        <v>0</v>
      </c>
      <c r="Y349" s="71">
        <f t="shared" si="129"/>
        <v>0</v>
      </c>
      <c r="AA349" s="71">
        <f t="shared" si="130"/>
        <v>0</v>
      </c>
      <c r="AC349" s="71">
        <f t="shared" si="131"/>
        <v>0</v>
      </c>
      <c r="AK349" s="71">
        <f t="shared" si="132"/>
        <v>0</v>
      </c>
      <c r="AM349" s="71">
        <f t="shared" si="133"/>
        <v>0</v>
      </c>
      <c r="AO349" s="71">
        <f t="shared" si="134"/>
        <v>0</v>
      </c>
      <c r="AQ349" s="71">
        <f t="shared" si="135"/>
        <v>0</v>
      </c>
      <c r="AT349" s="71">
        <f t="shared" si="136"/>
        <v>0</v>
      </c>
      <c r="AV349" s="71">
        <f t="shared" si="137"/>
        <v>0</v>
      </c>
      <c r="AX349" s="71">
        <f t="shared" si="138"/>
        <v>0</v>
      </c>
      <c r="AZ349" s="71">
        <f t="shared" si="139"/>
        <v>0</v>
      </c>
      <c r="BE349" s="102">
        <f t="shared" si="140"/>
        <v>4.4721359549995796</v>
      </c>
      <c r="BF349" s="81">
        <f t="shared" si="141"/>
        <v>9.3924867883288243E-14</v>
      </c>
      <c r="BG349" s="81" t="str">
        <f t="shared" si="142"/>
        <v>BASSO</v>
      </c>
      <c r="BK349" s="81" t="str">
        <f t="shared" si="143"/>
        <v>MOLTO BASSO</v>
      </c>
    </row>
    <row r="350" spans="7:63" x14ac:dyDescent="0.15">
      <c r="G350" s="64">
        <f t="shared" si="120"/>
        <v>0</v>
      </c>
      <c r="I350" s="64">
        <f t="shared" si="121"/>
        <v>0</v>
      </c>
      <c r="K350" s="64">
        <f t="shared" si="122"/>
        <v>0</v>
      </c>
      <c r="M350" s="64">
        <f t="shared" si="123"/>
        <v>0</v>
      </c>
      <c r="O350" s="64">
        <f t="shared" si="124"/>
        <v>0</v>
      </c>
      <c r="Q350" s="64">
        <f t="shared" si="125"/>
        <v>0</v>
      </c>
      <c r="S350" s="71">
        <f t="shared" si="126"/>
        <v>0</v>
      </c>
      <c r="U350" s="64">
        <f t="shared" si="127"/>
        <v>0</v>
      </c>
      <c r="W350" s="71">
        <f t="shared" si="128"/>
        <v>0</v>
      </c>
      <c r="Y350" s="71">
        <f t="shared" si="129"/>
        <v>0</v>
      </c>
      <c r="AA350" s="71">
        <f t="shared" si="130"/>
        <v>0</v>
      </c>
      <c r="AC350" s="71">
        <f t="shared" si="131"/>
        <v>0</v>
      </c>
      <c r="AK350" s="71">
        <f t="shared" si="132"/>
        <v>0</v>
      </c>
      <c r="AM350" s="71">
        <f t="shared" si="133"/>
        <v>0</v>
      </c>
      <c r="AO350" s="71">
        <f t="shared" si="134"/>
        <v>0</v>
      </c>
      <c r="AQ350" s="71">
        <f t="shared" si="135"/>
        <v>0</v>
      </c>
      <c r="AT350" s="71">
        <f t="shared" si="136"/>
        <v>0</v>
      </c>
      <c r="AV350" s="71">
        <f t="shared" si="137"/>
        <v>0</v>
      </c>
      <c r="AX350" s="71">
        <f t="shared" si="138"/>
        <v>0</v>
      </c>
      <c r="AZ350" s="71">
        <f t="shared" si="139"/>
        <v>0</v>
      </c>
      <c r="BE350" s="102">
        <f t="shared" si="140"/>
        <v>4.4721359549995796</v>
      </c>
      <c r="BF350" s="81">
        <f t="shared" si="141"/>
        <v>9.3924867883288243E-14</v>
      </c>
      <c r="BG350" s="81" t="str">
        <f t="shared" si="142"/>
        <v>BASSO</v>
      </c>
      <c r="BK350" s="81" t="str">
        <f t="shared" si="143"/>
        <v>MOLTO BASSO</v>
      </c>
    </row>
    <row r="351" spans="7:63" x14ac:dyDescent="0.15">
      <c r="G351" s="64">
        <f t="shared" si="120"/>
        <v>0</v>
      </c>
      <c r="I351" s="64">
        <f t="shared" si="121"/>
        <v>0</v>
      </c>
      <c r="K351" s="64">
        <f t="shared" si="122"/>
        <v>0</v>
      </c>
      <c r="M351" s="64">
        <f t="shared" si="123"/>
        <v>0</v>
      </c>
      <c r="O351" s="64">
        <f t="shared" si="124"/>
        <v>0</v>
      </c>
      <c r="Q351" s="64">
        <f t="shared" si="125"/>
        <v>0</v>
      </c>
      <c r="S351" s="71">
        <f t="shared" si="126"/>
        <v>0</v>
      </c>
      <c r="U351" s="64">
        <f t="shared" si="127"/>
        <v>0</v>
      </c>
      <c r="W351" s="71">
        <f t="shared" si="128"/>
        <v>0</v>
      </c>
      <c r="Y351" s="71">
        <f t="shared" si="129"/>
        <v>0</v>
      </c>
      <c r="AA351" s="71">
        <f t="shared" si="130"/>
        <v>0</v>
      </c>
      <c r="AC351" s="71">
        <f t="shared" si="131"/>
        <v>0</v>
      </c>
      <c r="AK351" s="71">
        <f t="shared" si="132"/>
        <v>0</v>
      </c>
      <c r="AM351" s="71">
        <f t="shared" si="133"/>
        <v>0</v>
      </c>
      <c r="AO351" s="71">
        <f t="shared" si="134"/>
        <v>0</v>
      </c>
      <c r="AQ351" s="71">
        <f t="shared" si="135"/>
        <v>0</v>
      </c>
      <c r="AT351" s="71">
        <f t="shared" si="136"/>
        <v>0</v>
      </c>
      <c r="AV351" s="71">
        <f t="shared" si="137"/>
        <v>0</v>
      </c>
      <c r="AX351" s="71">
        <f t="shared" si="138"/>
        <v>0</v>
      </c>
      <c r="AZ351" s="71">
        <f t="shared" si="139"/>
        <v>0</v>
      </c>
      <c r="BE351" s="102">
        <f t="shared" si="140"/>
        <v>4.4721359549995796</v>
      </c>
      <c r="BF351" s="81">
        <f t="shared" si="141"/>
        <v>9.3924867883288243E-14</v>
      </c>
      <c r="BG351" s="81" t="str">
        <f t="shared" si="142"/>
        <v>BASSO</v>
      </c>
      <c r="BK351" s="81" t="str">
        <f t="shared" si="143"/>
        <v>MOLTO BASSO</v>
      </c>
    </row>
    <row r="352" spans="7:63" x14ac:dyDescent="0.15">
      <c r="G352" s="64">
        <f t="shared" si="120"/>
        <v>0</v>
      </c>
      <c r="I352" s="64">
        <f t="shared" si="121"/>
        <v>0</v>
      </c>
      <c r="K352" s="64">
        <f t="shared" si="122"/>
        <v>0</v>
      </c>
      <c r="M352" s="64">
        <f t="shared" si="123"/>
        <v>0</v>
      </c>
      <c r="O352" s="64">
        <f t="shared" si="124"/>
        <v>0</v>
      </c>
      <c r="Q352" s="64">
        <f t="shared" si="125"/>
        <v>0</v>
      </c>
      <c r="S352" s="71">
        <f t="shared" si="126"/>
        <v>0</v>
      </c>
      <c r="U352" s="64">
        <f t="shared" si="127"/>
        <v>0</v>
      </c>
      <c r="W352" s="71">
        <f t="shared" si="128"/>
        <v>0</v>
      </c>
      <c r="Y352" s="71">
        <f t="shared" si="129"/>
        <v>0</v>
      </c>
      <c r="AA352" s="71">
        <f t="shared" si="130"/>
        <v>0</v>
      </c>
      <c r="AC352" s="71">
        <f t="shared" si="131"/>
        <v>0</v>
      </c>
      <c r="AK352" s="71">
        <f t="shared" si="132"/>
        <v>0</v>
      </c>
      <c r="AM352" s="71">
        <f t="shared" si="133"/>
        <v>0</v>
      </c>
      <c r="AO352" s="71">
        <f t="shared" si="134"/>
        <v>0</v>
      </c>
      <c r="AQ352" s="71">
        <f t="shared" si="135"/>
        <v>0</v>
      </c>
      <c r="AT352" s="71">
        <f t="shared" si="136"/>
        <v>0</v>
      </c>
      <c r="AV352" s="71">
        <f t="shared" si="137"/>
        <v>0</v>
      </c>
      <c r="AX352" s="71">
        <f t="shared" si="138"/>
        <v>0</v>
      </c>
      <c r="AZ352" s="71">
        <f t="shared" si="139"/>
        <v>0</v>
      </c>
      <c r="BE352" s="102">
        <f t="shared" si="140"/>
        <v>4.4721359549995796</v>
      </c>
      <c r="BF352" s="81">
        <f t="shared" si="141"/>
        <v>9.3924867883288243E-14</v>
      </c>
      <c r="BG352" s="81" t="str">
        <f t="shared" si="142"/>
        <v>BASSO</v>
      </c>
      <c r="BK352" s="81" t="str">
        <f t="shared" si="143"/>
        <v>MOLTO BASSO</v>
      </c>
    </row>
    <row r="353" spans="7:63" x14ac:dyDescent="0.15">
      <c r="G353" s="64">
        <f t="shared" si="120"/>
        <v>0</v>
      </c>
      <c r="I353" s="64">
        <f t="shared" si="121"/>
        <v>0</v>
      </c>
      <c r="K353" s="64">
        <f t="shared" si="122"/>
        <v>0</v>
      </c>
      <c r="M353" s="64">
        <f t="shared" si="123"/>
        <v>0</v>
      </c>
      <c r="O353" s="64">
        <f t="shared" si="124"/>
        <v>0</v>
      </c>
      <c r="Q353" s="64">
        <f t="shared" si="125"/>
        <v>0</v>
      </c>
      <c r="S353" s="71">
        <f t="shared" si="126"/>
        <v>0</v>
      </c>
      <c r="U353" s="64">
        <f t="shared" si="127"/>
        <v>0</v>
      </c>
      <c r="W353" s="71">
        <f t="shared" si="128"/>
        <v>0</v>
      </c>
      <c r="Y353" s="71">
        <f t="shared" si="129"/>
        <v>0</v>
      </c>
      <c r="AA353" s="71">
        <f t="shared" si="130"/>
        <v>0</v>
      </c>
      <c r="AC353" s="71">
        <f t="shared" si="131"/>
        <v>0</v>
      </c>
      <c r="AK353" s="71">
        <f t="shared" si="132"/>
        <v>0</v>
      </c>
      <c r="AM353" s="71">
        <f t="shared" si="133"/>
        <v>0</v>
      </c>
      <c r="AO353" s="71">
        <f t="shared" si="134"/>
        <v>0</v>
      </c>
      <c r="AQ353" s="71">
        <f t="shared" si="135"/>
        <v>0</v>
      </c>
      <c r="AT353" s="71">
        <f t="shared" si="136"/>
        <v>0</v>
      </c>
      <c r="AV353" s="71">
        <f t="shared" si="137"/>
        <v>0</v>
      </c>
      <c r="AX353" s="71">
        <f t="shared" si="138"/>
        <v>0</v>
      </c>
      <c r="AZ353" s="71">
        <f t="shared" si="139"/>
        <v>0</v>
      </c>
      <c r="BE353" s="102">
        <f t="shared" si="140"/>
        <v>4.4721359549995796</v>
      </c>
      <c r="BF353" s="81">
        <f t="shared" si="141"/>
        <v>9.3924867883288243E-14</v>
      </c>
      <c r="BG353" s="81" t="str">
        <f t="shared" si="142"/>
        <v>BASSO</v>
      </c>
      <c r="BK353" s="81" t="str">
        <f t="shared" si="143"/>
        <v>MOLTO BASSO</v>
      </c>
    </row>
    <row r="354" spans="7:63" x14ac:dyDescent="0.15">
      <c r="G354" s="64">
        <f t="shared" si="120"/>
        <v>0</v>
      </c>
      <c r="I354" s="64">
        <f t="shared" si="121"/>
        <v>0</v>
      </c>
      <c r="K354" s="64">
        <f t="shared" si="122"/>
        <v>0</v>
      </c>
      <c r="M354" s="64">
        <f t="shared" si="123"/>
        <v>0</v>
      </c>
      <c r="O354" s="64">
        <f t="shared" si="124"/>
        <v>0</v>
      </c>
      <c r="Q354" s="64">
        <f t="shared" si="125"/>
        <v>0</v>
      </c>
      <c r="S354" s="71">
        <f t="shared" si="126"/>
        <v>0</v>
      </c>
      <c r="U354" s="64">
        <f t="shared" si="127"/>
        <v>0</v>
      </c>
      <c r="W354" s="71">
        <f t="shared" si="128"/>
        <v>0</v>
      </c>
      <c r="Y354" s="71">
        <f t="shared" si="129"/>
        <v>0</v>
      </c>
      <c r="AA354" s="71">
        <f t="shared" si="130"/>
        <v>0</v>
      </c>
      <c r="AC354" s="71">
        <f t="shared" si="131"/>
        <v>0</v>
      </c>
      <c r="AK354" s="71">
        <f t="shared" si="132"/>
        <v>0</v>
      </c>
      <c r="AM354" s="71">
        <f t="shared" si="133"/>
        <v>0</v>
      </c>
      <c r="AO354" s="71">
        <f t="shared" si="134"/>
        <v>0</v>
      </c>
      <c r="AQ354" s="71">
        <f t="shared" si="135"/>
        <v>0</v>
      </c>
      <c r="AT354" s="71">
        <f t="shared" si="136"/>
        <v>0</v>
      </c>
      <c r="AV354" s="71">
        <f t="shared" si="137"/>
        <v>0</v>
      </c>
      <c r="AX354" s="71">
        <f t="shared" si="138"/>
        <v>0</v>
      </c>
      <c r="AZ354" s="71">
        <f t="shared" si="139"/>
        <v>0</v>
      </c>
      <c r="BE354" s="102">
        <f t="shared" si="140"/>
        <v>4.4721359549995796</v>
      </c>
      <c r="BF354" s="81">
        <f t="shared" si="141"/>
        <v>9.3924867883288243E-14</v>
      </c>
      <c r="BG354" s="81" t="str">
        <f t="shared" si="142"/>
        <v>BASSO</v>
      </c>
      <c r="BK354" s="81" t="str">
        <f t="shared" si="143"/>
        <v>MOLTO BASSO</v>
      </c>
    </row>
    <row r="355" spans="7:63" x14ac:dyDescent="0.15">
      <c r="G355" s="64">
        <f t="shared" si="120"/>
        <v>0</v>
      </c>
      <c r="I355" s="64">
        <f t="shared" si="121"/>
        <v>0</v>
      </c>
      <c r="K355" s="64">
        <f t="shared" si="122"/>
        <v>0</v>
      </c>
      <c r="M355" s="64">
        <f t="shared" si="123"/>
        <v>0</v>
      </c>
      <c r="O355" s="64">
        <f t="shared" si="124"/>
        <v>0</v>
      </c>
      <c r="Q355" s="64">
        <f t="shared" si="125"/>
        <v>0</v>
      </c>
      <c r="S355" s="71">
        <f t="shared" si="126"/>
        <v>0</v>
      </c>
      <c r="U355" s="64">
        <f t="shared" si="127"/>
        <v>0</v>
      </c>
      <c r="W355" s="71">
        <f t="shared" si="128"/>
        <v>0</v>
      </c>
      <c r="Y355" s="71">
        <f t="shared" si="129"/>
        <v>0</v>
      </c>
      <c r="AA355" s="71">
        <f t="shared" si="130"/>
        <v>0</v>
      </c>
      <c r="AC355" s="71">
        <f t="shared" si="131"/>
        <v>0</v>
      </c>
      <c r="AK355" s="71">
        <f t="shared" si="132"/>
        <v>0</v>
      </c>
      <c r="AM355" s="71">
        <f t="shared" si="133"/>
        <v>0</v>
      </c>
      <c r="AO355" s="71">
        <f t="shared" si="134"/>
        <v>0</v>
      </c>
      <c r="AQ355" s="71">
        <f t="shared" si="135"/>
        <v>0</v>
      </c>
      <c r="AT355" s="71">
        <f t="shared" si="136"/>
        <v>0</v>
      </c>
      <c r="AV355" s="71">
        <f t="shared" si="137"/>
        <v>0</v>
      </c>
      <c r="AX355" s="71">
        <f t="shared" si="138"/>
        <v>0</v>
      </c>
      <c r="AZ355" s="71">
        <f t="shared" si="139"/>
        <v>0</v>
      </c>
      <c r="BE355" s="102">
        <f t="shared" si="140"/>
        <v>4.4721359549995796</v>
      </c>
      <c r="BF355" s="81">
        <f t="shared" si="141"/>
        <v>9.3924867883288243E-14</v>
      </c>
      <c r="BG355" s="81" t="str">
        <f t="shared" si="142"/>
        <v>BASSO</v>
      </c>
      <c r="BK355" s="81" t="str">
        <f t="shared" si="143"/>
        <v>MOLTO BASSO</v>
      </c>
    </row>
    <row r="356" spans="7:63" x14ac:dyDescent="0.15">
      <c r="G356" s="64">
        <f t="shared" si="120"/>
        <v>0</v>
      </c>
      <c r="I356" s="64">
        <f t="shared" si="121"/>
        <v>0</v>
      </c>
      <c r="K356" s="64">
        <f t="shared" si="122"/>
        <v>0</v>
      </c>
      <c r="M356" s="64">
        <f t="shared" si="123"/>
        <v>0</v>
      </c>
      <c r="O356" s="64">
        <f t="shared" si="124"/>
        <v>0</v>
      </c>
      <c r="Q356" s="64">
        <f t="shared" si="125"/>
        <v>0</v>
      </c>
      <c r="S356" s="71">
        <f t="shared" si="126"/>
        <v>0</v>
      </c>
      <c r="U356" s="64">
        <f t="shared" si="127"/>
        <v>0</v>
      </c>
      <c r="W356" s="71">
        <f t="shared" si="128"/>
        <v>0</v>
      </c>
      <c r="Y356" s="71">
        <f t="shared" si="129"/>
        <v>0</v>
      </c>
      <c r="AA356" s="71">
        <f t="shared" si="130"/>
        <v>0</v>
      </c>
      <c r="AC356" s="71">
        <f t="shared" si="131"/>
        <v>0</v>
      </c>
      <c r="AK356" s="71">
        <f t="shared" si="132"/>
        <v>0</v>
      </c>
      <c r="AM356" s="71">
        <f t="shared" si="133"/>
        <v>0</v>
      </c>
      <c r="AO356" s="71">
        <f t="shared" si="134"/>
        <v>0</v>
      </c>
      <c r="AQ356" s="71">
        <f t="shared" si="135"/>
        <v>0</v>
      </c>
      <c r="AT356" s="71">
        <f t="shared" si="136"/>
        <v>0</v>
      </c>
      <c r="AV356" s="71">
        <f t="shared" si="137"/>
        <v>0</v>
      </c>
      <c r="AX356" s="71">
        <f t="shared" si="138"/>
        <v>0</v>
      </c>
      <c r="AZ356" s="71">
        <f t="shared" si="139"/>
        <v>0</v>
      </c>
      <c r="BE356" s="102">
        <f t="shared" si="140"/>
        <v>4.4721359549995796</v>
      </c>
      <c r="BF356" s="81">
        <f t="shared" si="141"/>
        <v>9.3924867883288243E-14</v>
      </c>
      <c r="BG356" s="81" t="str">
        <f t="shared" si="142"/>
        <v>BASSO</v>
      </c>
      <c r="BK356" s="81" t="str">
        <f t="shared" si="143"/>
        <v>MOLTO BASSO</v>
      </c>
    </row>
    <row r="357" spans="7:63" x14ac:dyDescent="0.15">
      <c r="G357" s="64">
        <f t="shared" si="120"/>
        <v>0</v>
      </c>
      <c r="I357" s="64">
        <f t="shared" si="121"/>
        <v>0</v>
      </c>
      <c r="K357" s="64">
        <f t="shared" si="122"/>
        <v>0</v>
      </c>
      <c r="M357" s="64">
        <f t="shared" si="123"/>
        <v>0</v>
      </c>
      <c r="O357" s="64">
        <f t="shared" si="124"/>
        <v>0</v>
      </c>
      <c r="Q357" s="64">
        <f t="shared" si="125"/>
        <v>0</v>
      </c>
      <c r="S357" s="71">
        <f t="shared" si="126"/>
        <v>0</v>
      </c>
      <c r="U357" s="64">
        <f t="shared" si="127"/>
        <v>0</v>
      </c>
      <c r="W357" s="71">
        <f t="shared" si="128"/>
        <v>0</v>
      </c>
      <c r="Y357" s="71">
        <f t="shared" si="129"/>
        <v>0</v>
      </c>
      <c r="AA357" s="71">
        <f t="shared" si="130"/>
        <v>0</v>
      </c>
      <c r="AC357" s="71">
        <f t="shared" si="131"/>
        <v>0</v>
      </c>
      <c r="AK357" s="71">
        <f t="shared" si="132"/>
        <v>0</v>
      </c>
      <c r="AM357" s="71">
        <f t="shared" si="133"/>
        <v>0</v>
      </c>
      <c r="AO357" s="71">
        <f t="shared" si="134"/>
        <v>0</v>
      </c>
      <c r="AQ357" s="71">
        <f t="shared" si="135"/>
        <v>0</v>
      </c>
      <c r="AT357" s="71">
        <f t="shared" si="136"/>
        <v>0</v>
      </c>
      <c r="AV357" s="71">
        <f t="shared" si="137"/>
        <v>0</v>
      </c>
      <c r="AX357" s="71">
        <f t="shared" si="138"/>
        <v>0</v>
      </c>
      <c r="AZ357" s="71">
        <f t="shared" si="139"/>
        <v>0</v>
      </c>
      <c r="BE357" s="102">
        <f t="shared" si="140"/>
        <v>4.4721359549995796</v>
      </c>
      <c r="BF357" s="81">
        <f t="shared" si="141"/>
        <v>9.3924867883288243E-14</v>
      </c>
      <c r="BG357" s="81" t="str">
        <f t="shared" si="142"/>
        <v>BASSO</v>
      </c>
      <c r="BK357" s="81" t="str">
        <f t="shared" si="143"/>
        <v>MOLTO BASSO</v>
      </c>
    </row>
    <row r="358" spans="7:63" x14ac:dyDescent="0.15">
      <c r="G358" s="64">
        <f t="shared" si="120"/>
        <v>0</v>
      </c>
      <c r="I358" s="64">
        <f t="shared" si="121"/>
        <v>0</v>
      </c>
      <c r="K358" s="64">
        <f t="shared" si="122"/>
        <v>0</v>
      </c>
      <c r="M358" s="64">
        <f t="shared" si="123"/>
        <v>0</v>
      </c>
      <c r="O358" s="64">
        <f t="shared" si="124"/>
        <v>0</v>
      </c>
      <c r="Q358" s="64">
        <f t="shared" si="125"/>
        <v>0</v>
      </c>
      <c r="S358" s="71">
        <f t="shared" si="126"/>
        <v>0</v>
      </c>
      <c r="U358" s="64">
        <f t="shared" si="127"/>
        <v>0</v>
      </c>
      <c r="W358" s="71">
        <f t="shared" si="128"/>
        <v>0</v>
      </c>
      <c r="Y358" s="71">
        <f t="shared" si="129"/>
        <v>0</v>
      </c>
      <c r="AA358" s="71">
        <f t="shared" si="130"/>
        <v>0</v>
      </c>
      <c r="AC358" s="71">
        <f t="shared" si="131"/>
        <v>0</v>
      </c>
      <c r="AK358" s="71">
        <f t="shared" si="132"/>
        <v>0</v>
      </c>
      <c r="AM358" s="71">
        <f t="shared" si="133"/>
        <v>0</v>
      </c>
      <c r="AO358" s="71">
        <f t="shared" si="134"/>
        <v>0</v>
      </c>
      <c r="AQ358" s="71">
        <f t="shared" si="135"/>
        <v>0</v>
      </c>
      <c r="AT358" s="71">
        <f t="shared" si="136"/>
        <v>0</v>
      </c>
      <c r="AV358" s="71">
        <f t="shared" si="137"/>
        <v>0</v>
      </c>
      <c r="AX358" s="71">
        <f t="shared" si="138"/>
        <v>0</v>
      </c>
      <c r="AZ358" s="71">
        <f t="shared" si="139"/>
        <v>0</v>
      </c>
      <c r="BE358" s="102">
        <f t="shared" si="140"/>
        <v>4.4721359549995796</v>
      </c>
      <c r="BF358" s="81">
        <f t="shared" si="141"/>
        <v>9.3924867883288243E-14</v>
      </c>
      <c r="BG358" s="81" t="str">
        <f t="shared" si="142"/>
        <v>BASSO</v>
      </c>
      <c r="BK358" s="81" t="str">
        <f t="shared" si="143"/>
        <v>MOLTO BASSO</v>
      </c>
    </row>
    <row r="359" spans="7:63" x14ac:dyDescent="0.15">
      <c r="G359" s="64">
        <f t="shared" si="120"/>
        <v>0</v>
      </c>
      <c r="I359" s="64">
        <f t="shared" si="121"/>
        <v>0</v>
      </c>
      <c r="K359" s="64">
        <f t="shared" si="122"/>
        <v>0</v>
      </c>
      <c r="M359" s="64">
        <f t="shared" si="123"/>
        <v>0</v>
      </c>
      <c r="O359" s="64">
        <f t="shared" si="124"/>
        <v>0</v>
      </c>
      <c r="Q359" s="64">
        <f t="shared" si="125"/>
        <v>0</v>
      </c>
      <c r="S359" s="71">
        <f t="shared" si="126"/>
        <v>0</v>
      </c>
      <c r="U359" s="64">
        <f t="shared" si="127"/>
        <v>0</v>
      </c>
      <c r="W359" s="71">
        <f t="shared" si="128"/>
        <v>0</v>
      </c>
      <c r="Y359" s="71">
        <f t="shared" si="129"/>
        <v>0</v>
      </c>
      <c r="AA359" s="71">
        <f t="shared" si="130"/>
        <v>0</v>
      </c>
      <c r="AC359" s="71">
        <f t="shared" si="131"/>
        <v>0</v>
      </c>
      <c r="AK359" s="71">
        <f t="shared" si="132"/>
        <v>0</v>
      </c>
      <c r="AM359" s="71">
        <f t="shared" si="133"/>
        <v>0</v>
      </c>
      <c r="AO359" s="71">
        <f t="shared" si="134"/>
        <v>0</v>
      </c>
      <c r="AQ359" s="71">
        <f t="shared" si="135"/>
        <v>0</v>
      </c>
      <c r="AT359" s="71">
        <f t="shared" si="136"/>
        <v>0</v>
      </c>
      <c r="AV359" s="71">
        <f t="shared" si="137"/>
        <v>0</v>
      </c>
      <c r="AX359" s="71">
        <f t="shared" si="138"/>
        <v>0</v>
      </c>
      <c r="AZ359" s="71">
        <f t="shared" si="139"/>
        <v>0</v>
      </c>
      <c r="BE359" s="102">
        <f t="shared" si="140"/>
        <v>4.4721359549995796</v>
      </c>
      <c r="BF359" s="81">
        <f t="shared" si="141"/>
        <v>9.3924867883288243E-14</v>
      </c>
      <c r="BG359" s="81" t="str">
        <f t="shared" si="142"/>
        <v>BASSO</v>
      </c>
      <c r="BK359" s="81" t="str">
        <f t="shared" si="143"/>
        <v>MOLTO BASSO</v>
      </c>
    </row>
    <row r="360" spans="7:63" x14ac:dyDescent="0.15">
      <c r="G360" s="64">
        <f t="shared" ref="G360:G423" si="144">F361/2</f>
        <v>0</v>
      </c>
      <c r="I360" s="64">
        <f t="shared" si="121"/>
        <v>0</v>
      </c>
      <c r="K360" s="64">
        <f t="shared" si="122"/>
        <v>0</v>
      </c>
      <c r="M360" s="64">
        <f t="shared" si="123"/>
        <v>0</v>
      </c>
      <c r="O360" s="64">
        <f t="shared" si="124"/>
        <v>0</v>
      </c>
      <c r="Q360" s="64">
        <f t="shared" si="125"/>
        <v>0</v>
      </c>
      <c r="S360" s="71">
        <f t="shared" si="126"/>
        <v>0</v>
      </c>
      <c r="U360" s="64">
        <f t="shared" si="127"/>
        <v>0</v>
      </c>
      <c r="W360" s="71">
        <f t="shared" si="128"/>
        <v>0</v>
      </c>
      <c r="Y360" s="71">
        <f t="shared" si="129"/>
        <v>0</v>
      </c>
      <c r="AA360" s="71">
        <f t="shared" si="130"/>
        <v>0</v>
      </c>
      <c r="AC360" s="71">
        <f t="shared" si="131"/>
        <v>0</v>
      </c>
      <c r="AK360" s="71">
        <f t="shared" si="132"/>
        <v>0</v>
      </c>
      <c r="AM360" s="71">
        <f t="shared" si="133"/>
        <v>0</v>
      </c>
      <c r="AO360" s="71">
        <f t="shared" si="134"/>
        <v>0</v>
      </c>
      <c r="AQ360" s="71">
        <f t="shared" si="135"/>
        <v>0</v>
      </c>
      <c r="AT360" s="71">
        <f t="shared" si="136"/>
        <v>0</v>
      </c>
      <c r="AV360" s="71">
        <f t="shared" si="137"/>
        <v>0</v>
      </c>
      <c r="AX360" s="71">
        <f t="shared" si="138"/>
        <v>0</v>
      </c>
      <c r="AZ360" s="71">
        <f t="shared" si="139"/>
        <v>0</v>
      </c>
      <c r="BE360" s="102">
        <f t="shared" si="140"/>
        <v>4.4721359549995796</v>
      </c>
      <c r="BF360" s="81">
        <f t="shared" si="141"/>
        <v>9.3924867883288243E-14</v>
      </c>
      <c r="BG360" s="81" t="str">
        <f t="shared" si="142"/>
        <v>BASSO</v>
      </c>
      <c r="BK360" s="81" t="str">
        <f t="shared" si="143"/>
        <v>MOLTO BASSO</v>
      </c>
    </row>
    <row r="361" spans="7:63" x14ac:dyDescent="0.15">
      <c r="G361" s="64">
        <f t="shared" si="144"/>
        <v>0</v>
      </c>
      <c r="I361" s="64">
        <f t="shared" si="121"/>
        <v>0</v>
      </c>
      <c r="K361" s="64">
        <f t="shared" si="122"/>
        <v>0</v>
      </c>
      <c r="M361" s="64">
        <f t="shared" si="123"/>
        <v>0</v>
      </c>
      <c r="O361" s="64">
        <f t="shared" si="124"/>
        <v>0</v>
      </c>
      <c r="Q361" s="64">
        <f t="shared" si="125"/>
        <v>0</v>
      </c>
      <c r="S361" s="71">
        <f t="shared" si="126"/>
        <v>0</v>
      </c>
      <c r="U361" s="64">
        <f t="shared" si="127"/>
        <v>0</v>
      </c>
      <c r="W361" s="71">
        <f t="shared" si="128"/>
        <v>0</v>
      </c>
      <c r="Y361" s="71">
        <f t="shared" si="129"/>
        <v>0</v>
      </c>
      <c r="AA361" s="71">
        <f t="shared" si="130"/>
        <v>0</v>
      </c>
      <c r="AC361" s="71">
        <f t="shared" si="131"/>
        <v>0</v>
      </c>
      <c r="AK361" s="71">
        <f t="shared" si="132"/>
        <v>0</v>
      </c>
      <c r="AM361" s="71">
        <f t="shared" si="133"/>
        <v>0</v>
      </c>
      <c r="AO361" s="71">
        <f t="shared" si="134"/>
        <v>0</v>
      </c>
      <c r="AQ361" s="71">
        <f t="shared" si="135"/>
        <v>0</v>
      </c>
      <c r="AT361" s="71">
        <f t="shared" si="136"/>
        <v>0</v>
      </c>
      <c r="AV361" s="71">
        <f t="shared" si="137"/>
        <v>0</v>
      </c>
      <c r="AX361" s="71">
        <f t="shared" si="138"/>
        <v>0</v>
      </c>
      <c r="AZ361" s="71">
        <f t="shared" si="139"/>
        <v>0</v>
      </c>
      <c r="BE361" s="102">
        <f t="shared" si="140"/>
        <v>4.4721359549995796</v>
      </c>
      <c r="BF361" s="81">
        <f t="shared" si="141"/>
        <v>9.3924867883288243E-14</v>
      </c>
      <c r="BG361" s="81" t="str">
        <f t="shared" si="142"/>
        <v>BASSO</v>
      </c>
      <c r="BK361" s="81" t="str">
        <f t="shared" si="143"/>
        <v>MOLTO BASSO</v>
      </c>
    </row>
    <row r="362" spans="7:63" x14ac:dyDescent="0.15">
      <c r="G362" s="64">
        <f t="shared" si="144"/>
        <v>0</v>
      </c>
      <c r="I362" s="64">
        <f t="shared" si="121"/>
        <v>0</v>
      </c>
      <c r="K362" s="64">
        <f t="shared" si="122"/>
        <v>0</v>
      </c>
      <c r="M362" s="64">
        <f t="shared" si="123"/>
        <v>0</v>
      </c>
      <c r="O362" s="64">
        <f t="shared" si="124"/>
        <v>0</v>
      </c>
      <c r="Q362" s="64">
        <f t="shared" si="125"/>
        <v>0</v>
      </c>
      <c r="S362" s="71">
        <f t="shared" si="126"/>
        <v>0</v>
      </c>
      <c r="U362" s="64">
        <f t="shared" si="127"/>
        <v>0</v>
      </c>
      <c r="W362" s="71">
        <f t="shared" si="128"/>
        <v>0</v>
      </c>
      <c r="Y362" s="71">
        <f t="shared" si="129"/>
        <v>0</v>
      </c>
      <c r="AA362" s="71">
        <f t="shared" si="130"/>
        <v>0</v>
      </c>
      <c r="AC362" s="71">
        <f t="shared" si="131"/>
        <v>0</v>
      </c>
      <c r="AK362" s="71">
        <f t="shared" si="132"/>
        <v>0</v>
      </c>
      <c r="AM362" s="71">
        <f t="shared" si="133"/>
        <v>0</v>
      </c>
      <c r="AO362" s="71">
        <f t="shared" si="134"/>
        <v>0</v>
      </c>
      <c r="AQ362" s="71">
        <f t="shared" si="135"/>
        <v>0</v>
      </c>
      <c r="AT362" s="71">
        <f t="shared" si="136"/>
        <v>0</v>
      </c>
      <c r="AV362" s="71">
        <f t="shared" si="137"/>
        <v>0</v>
      </c>
      <c r="AX362" s="71">
        <f t="shared" si="138"/>
        <v>0</v>
      </c>
      <c r="AZ362" s="71">
        <f t="shared" si="139"/>
        <v>0</v>
      </c>
      <c r="BE362" s="102">
        <f t="shared" si="140"/>
        <v>4.4721359549995796</v>
      </c>
      <c r="BF362" s="81">
        <f t="shared" si="141"/>
        <v>9.3924867883288243E-14</v>
      </c>
      <c r="BG362" s="81" t="str">
        <f t="shared" si="142"/>
        <v>BASSO</v>
      </c>
      <c r="BK362" s="81" t="str">
        <f t="shared" si="143"/>
        <v>MOLTO BASSO</v>
      </c>
    </row>
    <row r="363" spans="7:63" x14ac:dyDescent="0.15">
      <c r="G363" s="64">
        <f t="shared" si="144"/>
        <v>0</v>
      </c>
      <c r="I363" s="64">
        <f t="shared" si="121"/>
        <v>0</v>
      </c>
      <c r="K363" s="64">
        <f t="shared" si="122"/>
        <v>0</v>
      </c>
      <c r="M363" s="64">
        <f t="shared" si="123"/>
        <v>0</v>
      </c>
      <c r="O363" s="64">
        <f t="shared" si="124"/>
        <v>0</v>
      </c>
      <c r="Q363" s="64">
        <f t="shared" si="125"/>
        <v>0</v>
      </c>
      <c r="S363" s="71">
        <f t="shared" si="126"/>
        <v>0</v>
      </c>
      <c r="U363" s="64">
        <f t="shared" si="127"/>
        <v>0</v>
      </c>
      <c r="W363" s="71">
        <f t="shared" si="128"/>
        <v>0</v>
      </c>
      <c r="Y363" s="71">
        <f t="shared" si="129"/>
        <v>0</v>
      </c>
      <c r="AA363" s="71">
        <f t="shared" si="130"/>
        <v>0</v>
      </c>
      <c r="AC363" s="71">
        <f t="shared" si="131"/>
        <v>0</v>
      </c>
      <c r="AK363" s="71">
        <f t="shared" si="132"/>
        <v>0</v>
      </c>
      <c r="AM363" s="71">
        <f t="shared" si="133"/>
        <v>0</v>
      </c>
      <c r="AO363" s="71">
        <f t="shared" si="134"/>
        <v>0</v>
      </c>
      <c r="AQ363" s="71">
        <f t="shared" si="135"/>
        <v>0</v>
      </c>
      <c r="AT363" s="71">
        <f t="shared" si="136"/>
        <v>0</v>
      </c>
      <c r="AV363" s="71">
        <f t="shared" si="137"/>
        <v>0</v>
      </c>
      <c r="AX363" s="71">
        <f t="shared" si="138"/>
        <v>0</v>
      </c>
      <c r="AZ363" s="71">
        <f t="shared" si="139"/>
        <v>0</v>
      </c>
      <c r="BE363" s="102">
        <f t="shared" si="140"/>
        <v>4.4721359549995796</v>
      </c>
      <c r="BF363" s="81">
        <f t="shared" si="141"/>
        <v>9.3924867883288243E-14</v>
      </c>
      <c r="BG363" s="81" t="str">
        <f t="shared" si="142"/>
        <v>BASSO</v>
      </c>
      <c r="BK363" s="81" t="str">
        <f t="shared" si="143"/>
        <v>MOLTO BASSO</v>
      </c>
    </row>
    <row r="364" spans="7:63" x14ac:dyDescent="0.15">
      <c r="G364" s="64">
        <f t="shared" si="144"/>
        <v>0</v>
      </c>
      <c r="I364" s="64">
        <f t="shared" si="121"/>
        <v>0</v>
      </c>
      <c r="K364" s="64">
        <f t="shared" si="122"/>
        <v>0</v>
      </c>
      <c r="M364" s="64">
        <f t="shared" si="123"/>
        <v>0</v>
      </c>
      <c r="O364" s="64">
        <f t="shared" si="124"/>
        <v>0</v>
      </c>
      <c r="Q364" s="64">
        <f t="shared" si="125"/>
        <v>0</v>
      </c>
      <c r="S364" s="71">
        <f t="shared" si="126"/>
        <v>0</v>
      </c>
      <c r="U364" s="64">
        <f t="shared" si="127"/>
        <v>0</v>
      </c>
      <c r="W364" s="71">
        <f t="shared" si="128"/>
        <v>0</v>
      </c>
      <c r="Y364" s="71">
        <f t="shared" si="129"/>
        <v>0</v>
      </c>
      <c r="AA364" s="71">
        <f t="shared" si="130"/>
        <v>0</v>
      </c>
      <c r="AC364" s="71">
        <f t="shared" si="131"/>
        <v>0</v>
      </c>
      <c r="AK364" s="71">
        <f t="shared" si="132"/>
        <v>0</v>
      </c>
      <c r="AM364" s="71">
        <f t="shared" si="133"/>
        <v>0</v>
      </c>
      <c r="AO364" s="71">
        <f t="shared" si="134"/>
        <v>0</v>
      </c>
      <c r="AQ364" s="71">
        <f t="shared" si="135"/>
        <v>0</v>
      </c>
      <c r="AT364" s="71">
        <f t="shared" si="136"/>
        <v>0</v>
      </c>
      <c r="AV364" s="71">
        <f t="shared" si="137"/>
        <v>0</v>
      </c>
      <c r="AX364" s="71">
        <f t="shared" si="138"/>
        <v>0</v>
      </c>
      <c r="AZ364" s="71">
        <f t="shared" si="139"/>
        <v>0</v>
      </c>
      <c r="BE364" s="102">
        <f t="shared" si="140"/>
        <v>4.4721359549995796</v>
      </c>
      <c r="BF364" s="81">
        <f t="shared" si="141"/>
        <v>9.3924867883288243E-14</v>
      </c>
      <c r="BG364" s="81" t="str">
        <f t="shared" si="142"/>
        <v>BASSO</v>
      </c>
      <c r="BK364" s="81" t="str">
        <f t="shared" si="143"/>
        <v>MOLTO BASSO</v>
      </c>
    </row>
    <row r="365" spans="7:63" x14ac:dyDescent="0.15">
      <c r="G365" s="64">
        <f t="shared" si="144"/>
        <v>0</v>
      </c>
      <c r="I365" s="64">
        <f t="shared" si="121"/>
        <v>0</v>
      </c>
      <c r="K365" s="64">
        <f t="shared" si="122"/>
        <v>0</v>
      </c>
      <c r="M365" s="64">
        <f t="shared" si="123"/>
        <v>0</v>
      </c>
      <c r="O365" s="64">
        <f t="shared" si="124"/>
        <v>0</v>
      </c>
      <c r="Q365" s="64">
        <f t="shared" si="125"/>
        <v>0</v>
      </c>
      <c r="S365" s="71">
        <f t="shared" si="126"/>
        <v>0</v>
      </c>
      <c r="U365" s="64">
        <f t="shared" si="127"/>
        <v>0</v>
      </c>
      <c r="W365" s="71">
        <f t="shared" si="128"/>
        <v>0</v>
      </c>
      <c r="Y365" s="71">
        <f t="shared" si="129"/>
        <v>0</v>
      </c>
      <c r="AA365" s="71">
        <f t="shared" si="130"/>
        <v>0</v>
      </c>
      <c r="AC365" s="71">
        <f t="shared" si="131"/>
        <v>0</v>
      </c>
      <c r="AK365" s="71">
        <f t="shared" si="132"/>
        <v>0</v>
      </c>
      <c r="AM365" s="71">
        <f t="shared" si="133"/>
        <v>0</v>
      </c>
      <c r="AO365" s="71">
        <f t="shared" si="134"/>
        <v>0</v>
      </c>
      <c r="AQ365" s="71">
        <f t="shared" si="135"/>
        <v>0</v>
      </c>
      <c r="AT365" s="71">
        <f t="shared" si="136"/>
        <v>0</v>
      </c>
      <c r="AV365" s="71">
        <f t="shared" si="137"/>
        <v>0</v>
      </c>
      <c r="AX365" s="71">
        <f t="shared" si="138"/>
        <v>0</v>
      </c>
      <c r="AZ365" s="71">
        <f t="shared" si="139"/>
        <v>0</v>
      </c>
      <c r="BE365" s="102">
        <f t="shared" si="140"/>
        <v>4.4721359549995796</v>
      </c>
      <c r="BF365" s="81">
        <f t="shared" si="141"/>
        <v>9.3924867883288243E-14</v>
      </c>
      <c r="BG365" s="81" t="str">
        <f t="shared" si="142"/>
        <v>BASSO</v>
      </c>
      <c r="BK365" s="81" t="str">
        <f t="shared" si="143"/>
        <v>MOLTO BASSO</v>
      </c>
    </row>
    <row r="366" spans="7:63" x14ac:dyDescent="0.15">
      <c r="G366" s="64">
        <f t="shared" si="144"/>
        <v>0</v>
      </c>
      <c r="I366" s="64">
        <f t="shared" si="121"/>
        <v>0</v>
      </c>
      <c r="K366" s="64">
        <f t="shared" si="122"/>
        <v>0</v>
      </c>
      <c r="M366" s="64">
        <f t="shared" si="123"/>
        <v>0</v>
      </c>
      <c r="O366" s="64">
        <f t="shared" si="124"/>
        <v>0</v>
      </c>
      <c r="Q366" s="64">
        <f t="shared" si="125"/>
        <v>0</v>
      </c>
      <c r="S366" s="71">
        <f t="shared" si="126"/>
        <v>0</v>
      </c>
      <c r="U366" s="64">
        <f t="shared" si="127"/>
        <v>0</v>
      </c>
      <c r="W366" s="71">
        <f t="shared" si="128"/>
        <v>0</v>
      </c>
      <c r="Y366" s="71">
        <f t="shared" si="129"/>
        <v>0</v>
      </c>
      <c r="AA366" s="71">
        <f t="shared" si="130"/>
        <v>0</v>
      </c>
      <c r="AC366" s="71">
        <f t="shared" si="131"/>
        <v>0</v>
      </c>
      <c r="AK366" s="71">
        <f t="shared" si="132"/>
        <v>0</v>
      </c>
      <c r="AM366" s="71">
        <f t="shared" si="133"/>
        <v>0</v>
      </c>
      <c r="AO366" s="71">
        <f t="shared" si="134"/>
        <v>0</v>
      </c>
      <c r="AQ366" s="71">
        <f t="shared" si="135"/>
        <v>0</v>
      </c>
      <c r="AT366" s="71">
        <f t="shared" si="136"/>
        <v>0</v>
      </c>
      <c r="AV366" s="71">
        <f t="shared" si="137"/>
        <v>0</v>
      </c>
      <c r="AX366" s="71">
        <f t="shared" si="138"/>
        <v>0</v>
      </c>
      <c r="AZ366" s="71">
        <f t="shared" si="139"/>
        <v>0</v>
      </c>
      <c r="BE366" s="102">
        <f t="shared" si="140"/>
        <v>4.4721359549995796</v>
      </c>
      <c r="BF366" s="81">
        <f t="shared" si="141"/>
        <v>9.3924867883288243E-14</v>
      </c>
      <c r="BG366" s="81" t="str">
        <f t="shared" si="142"/>
        <v>BASSO</v>
      </c>
      <c r="BK366" s="81" t="str">
        <f t="shared" si="143"/>
        <v>MOLTO BASSO</v>
      </c>
    </row>
    <row r="367" spans="7:63" x14ac:dyDescent="0.15">
      <c r="G367" s="64">
        <f t="shared" si="144"/>
        <v>0</v>
      </c>
      <c r="I367" s="64">
        <f t="shared" si="121"/>
        <v>0</v>
      </c>
      <c r="K367" s="64">
        <f t="shared" si="122"/>
        <v>0</v>
      </c>
      <c r="M367" s="64">
        <f t="shared" si="123"/>
        <v>0</v>
      </c>
      <c r="O367" s="64">
        <f t="shared" si="124"/>
        <v>0</v>
      </c>
      <c r="Q367" s="64">
        <f t="shared" si="125"/>
        <v>0</v>
      </c>
      <c r="S367" s="71">
        <f t="shared" si="126"/>
        <v>0</v>
      </c>
      <c r="U367" s="64">
        <f t="shared" si="127"/>
        <v>0</v>
      </c>
      <c r="W367" s="71">
        <f t="shared" si="128"/>
        <v>0</v>
      </c>
      <c r="Y367" s="71">
        <f t="shared" si="129"/>
        <v>0</v>
      </c>
      <c r="AA367" s="71">
        <f t="shared" si="130"/>
        <v>0</v>
      </c>
      <c r="AC367" s="71">
        <f t="shared" si="131"/>
        <v>0</v>
      </c>
      <c r="AK367" s="71">
        <f t="shared" si="132"/>
        <v>0</v>
      </c>
      <c r="AM367" s="71">
        <f t="shared" si="133"/>
        <v>0</v>
      </c>
      <c r="AO367" s="71">
        <f t="shared" si="134"/>
        <v>0</v>
      </c>
      <c r="AQ367" s="71">
        <f t="shared" si="135"/>
        <v>0</v>
      </c>
      <c r="AT367" s="71">
        <f t="shared" si="136"/>
        <v>0</v>
      </c>
      <c r="AV367" s="71">
        <f t="shared" si="137"/>
        <v>0</v>
      </c>
      <c r="AX367" s="71">
        <f t="shared" si="138"/>
        <v>0</v>
      </c>
      <c r="AZ367" s="71">
        <f t="shared" si="139"/>
        <v>0</v>
      </c>
      <c r="BE367" s="102">
        <f t="shared" si="140"/>
        <v>4.4721359549995796</v>
      </c>
      <c r="BF367" s="81">
        <f t="shared" si="141"/>
        <v>9.3924867883288243E-14</v>
      </c>
      <c r="BG367" s="81" t="str">
        <f t="shared" si="142"/>
        <v>BASSO</v>
      </c>
      <c r="BK367" s="81" t="str">
        <f t="shared" si="143"/>
        <v>MOLTO BASSO</v>
      </c>
    </row>
    <row r="368" spans="7:63" x14ac:dyDescent="0.15">
      <c r="G368" s="64">
        <f t="shared" si="144"/>
        <v>0</v>
      </c>
      <c r="I368" s="64">
        <f t="shared" si="121"/>
        <v>0</v>
      </c>
      <c r="K368" s="64">
        <f t="shared" si="122"/>
        <v>0</v>
      </c>
      <c r="M368" s="64">
        <f t="shared" si="123"/>
        <v>0</v>
      </c>
      <c r="O368" s="64">
        <f t="shared" si="124"/>
        <v>0</v>
      </c>
      <c r="Q368" s="64">
        <f t="shared" si="125"/>
        <v>0</v>
      </c>
      <c r="S368" s="71">
        <f t="shared" si="126"/>
        <v>0</v>
      </c>
      <c r="U368" s="64">
        <f t="shared" si="127"/>
        <v>0</v>
      </c>
      <c r="W368" s="71">
        <f t="shared" si="128"/>
        <v>0</v>
      </c>
      <c r="Y368" s="71">
        <f t="shared" si="129"/>
        <v>0</v>
      </c>
      <c r="AA368" s="71">
        <f t="shared" si="130"/>
        <v>0</v>
      </c>
      <c r="AC368" s="71">
        <f t="shared" si="131"/>
        <v>0</v>
      </c>
      <c r="AK368" s="71">
        <f t="shared" si="132"/>
        <v>0</v>
      </c>
      <c r="AM368" s="71">
        <f t="shared" si="133"/>
        <v>0</v>
      </c>
      <c r="AO368" s="71">
        <f t="shared" si="134"/>
        <v>0</v>
      </c>
      <c r="AQ368" s="71">
        <f t="shared" si="135"/>
        <v>0</v>
      </c>
      <c r="AT368" s="71">
        <f t="shared" si="136"/>
        <v>0</v>
      </c>
      <c r="AV368" s="71">
        <f t="shared" si="137"/>
        <v>0</v>
      </c>
      <c r="AX368" s="71">
        <f t="shared" si="138"/>
        <v>0</v>
      </c>
      <c r="AZ368" s="71">
        <f t="shared" si="139"/>
        <v>0</v>
      </c>
      <c r="BE368" s="102">
        <f t="shared" si="140"/>
        <v>4.4721359549995796</v>
      </c>
      <c r="BF368" s="81">
        <f t="shared" si="141"/>
        <v>9.3924867883288243E-14</v>
      </c>
      <c r="BG368" s="81" t="str">
        <f t="shared" si="142"/>
        <v>BASSO</v>
      </c>
      <c r="BK368" s="81" t="str">
        <f t="shared" si="143"/>
        <v>MOLTO BASSO</v>
      </c>
    </row>
    <row r="369" spans="7:63" x14ac:dyDescent="0.15">
      <c r="G369" s="64">
        <f t="shared" si="144"/>
        <v>0</v>
      </c>
      <c r="I369" s="64">
        <f t="shared" si="121"/>
        <v>0</v>
      </c>
      <c r="K369" s="64">
        <f t="shared" si="122"/>
        <v>0</v>
      </c>
      <c r="M369" s="64">
        <f t="shared" si="123"/>
        <v>0</v>
      </c>
      <c r="O369" s="64">
        <f t="shared" si="124"/>
        <v>0</v>
      </c>
      <c r="Q369" s="64">
        <f t="shared" si="125"/>
        <v>0</v>
      </c>
      <c r="S369" s="71">
        <f t="shared" si="126"/>
        <v>0</v>
      </c>
      <c r="U369" s="64">
        <f t="shared" si="127"/>
        <v>0</v>
      </c>
      <c r="W369" s="71">
        <f t="shared" si="128"/>
        <v>0</v>
      </c>
      <c r="Y369" s="71">
        <f t="shared" si="129"/>
        <v>0</v>
      </c>
      <c r="AA369" s="71">
        <f t="shared" si="130"/>
        <v>0</v>
      </c>
      <c r="AC369" s="71">
        <f t="shared" si="131"/>
        <v>0</v>
      </c>
      <c r="AK369" s="71">
        <f t="shared" si="132"/>
        <v>0</v>
      </c>
      <c r="AM369" s="71">
        <f t="shared" si="133"/>
        <v>0</v>
      </c>
      <c r="AO369" s="71">
        <f t="shared" si="134"/>
        <v>0</v>
      </c>
      <c r="AQ369" s="71">
        <f t="shared" si="135"/>
        <v>0</v>
      </c>
      <c r="AT369" s="71">
        <f t="shared" si="136"/>
        <v>0</v>
      </c>
      <c r="AV369" s="71">
        <f t="shared" si="137"/>
        <v>0</v>
      </c>
      <c r="AX369" s="71">
        <f t="shared" si="138"/>
        <v>0</v>
      </c>
      <c r="AZ369" s="71">
        <f t="shared" si="139"/>
        <v>0</v>
      </c>
      <c r="BE369" s="102">
        <f t="shared" si="140"/>
        <v>4.4721359549995796</v>
      </c>
      <c r="BF369" s="81">
        <f t="shared" si="141"/>
        <v>9.3924867883288243E-14</v>
      </c>
      <c r="BG369" s="81" t="str">
        <f t="shared" si="142"/>
        <v>BASSO</v>
      </c>
      <c r="BK369" s="81" t="str">
        <f t="shared" si="143"/>
        <v>MOLTO BASSO</v>
      </c>
    </row>
    <row r="370" spans="7:63" x14ac:dyDescent="0.15">
      <c r="G370" s="64">
        <f t="shared" si="144"/>
        <v>0</v>
      </c>
      <c r="I370" s="64">
        <f t="shared" si="121"/>
        <v>0</v>
      </c>
      <c r="K370" s="64">
        <f t="shared" si="122"/>
        <v>0</v>
      </c>
      <c r="M370" s="64">
        <f t="shared" si="123"/>
        <v>0</v>
      </c>
      <c r="O370" s="64">
        <f t="shared" si="124"/>
        <v>0</v>
      </c>
      <c r="Q370" s="64">
        <f t="shared" si="125"/>
        <v>0</v>
      </c>
      <c r="S370" s="71">
        <f t="shared" si="126"/>
        <v>0</v>
      </c>
      <c r="U370" s="64">
        <f t="shared" si="127"/>
        <v>0</v>
      </c>
      <c r="W370" s="71">
        <f t="shared" si="128"/>
        <v>0</v>
      </c>
      <c r="Y370" s="71">
        <f t="shared" si="129"/>
        <v>0</v>
      </c>
      <c r="AA370" s="71">
        <f t="shared" si="130"/>
        <v>0</v>
      </c>
      <c r="AC370" s="71">
        <f t="shared" si="131"/>
        <v>0</v>
      </c>
      <c r="AK370" s="71">
        <f t="shared" si="132"/>
        <v>0</v>
      </c>
      <c r="AM370" s="71">
        <f t="shared" si="133"/>
        <v>0</v>
      </c>
      <c r="AO370" s="71">
        <f t="shared" si="134"/>
        <v>0</v>
      </c>
      <c r="AQ370" s="71">
        <f t="shared" si="135"/>
        <v>0</v>
      </c>
      <c r="AT370" s="71">
        <f t="shared" si="136"/>
        <v>0</v>
      </c>
      <c r="AV370" s="71">
        <f t="shared" si="137"/>
        <v>0</v>
      </c>
      <c r="AX370" s="71">
        <f t="shared" si="138"/>
        <v>0</v>
      </c>
      <c r="AZ370" s="71">
        <f t="shared" si="139"/>
        <v>0</v>
      </c>
      <c r="BE370" s="102">
        <f t="shared" si="140"/>
        <v>4.4721359549995796</v>
      </c>
      <c r="BF370" s="81">
        <f t="shared" si="141"/>
        <v>9.3924867883288243E-14</v>
      </c>
      <c r="BG370" s="81" t="str">
        <f t="shared" si="142"/>
        <v>BASSO</v>
      </c>
      <c r="BK370" s="81" t="str">
        <f t="shared" si="143"/>
        <v>MOLTO BASSO</v>
      </c>
    </row>
    <row r="371" spans="7:63" x14ac:dyDescent="0.15">
      <c r="G371" s="64">
        <f t="shared" si="144"/>
        <v>0</v>
      </c>
      <c r="I371" s="64">
        <f t="shared" si="121"/>
        <v>0</v>
      </c>
      <c r="K371" s="64">
        <f t="shared" si="122"/>
        <v>0</v>
      </c>
      <c r="M371" s="64">
        <f t="shared" si="123"/>
        <v>0</v>
      </c>
      <c r="O371" s="64">
        <f t="shared" si="124"/>
        <v>0</v>
      </c>
      <c r="Q371" s="64">
        <f t="shared" si="125"/>
        <v>0</v>
      </c>
      <c r="S371" s="71">
        <f t="shared" si="126"/>
        <v>0</v>
      </c>
      <c r="U371" s="64">
        <f t="shared" si="127"/>
        <v>0</v>
      </c>
      <c r="W371" s="71">
        <f t="shared" si="128"/>
        <v>0</v>
      </c>
      <c r="Y371" s="71">
        <f t="shared" si="129"/>
        <v>0</v>
      </c>
      <c r="AA371" s="71">
        <f t="shared" si="130"/>
        <v>0</v>
      </c>
      <c r="AC371" s="71">
        <f t="shared" si="131"/>
        <v>0</v>
      </c>
      <c r="AK371" s="71">
        <f t="shared" si="132"/>
        <v>0</v>
      </c>
      <c r="AM371" s="71">
        <f t="shared" si="133"/>
        <v>0</v>
      </c>
      <c r="AO371" s="71">
        <f t="shared" si="134"/>
        <v>0</v>
      </c>
      <c r="AQ371" s="71">
        <f t="shared" si="135"/>
        <v>0</v>
      </c>
      <c r="AT371" s="71">
        <f t="shared" si="136"/>
        <v>0</v>
      </c>
      <c r="AV371" s="71">
        <f t="shared" si="137"/>
        <v>0</v>
      </c>
      <c r="AX371" s="71">
        <f t="shared" si="138"/>
        <v>0</v>
      </c>
      <c r="AZ371" s="71">
        <f t="shared" si="139"/>
        <v>0</v>
      </c>
      <c r="BE371" s="102">
        <f t="shared" si="140"/>
        <v>4.4721359549995796</v>
      </c>
      <c r="BF371" s="81">
        <f t="shared" si="141"/>
        <v>9.3924867883288243E-14</v>
      </c>
      <c r="BG371" s="81" t="str">
        <f t="shared" si="142"/>
        <v>BASSO</v>
      </c>
      <c r="BK371" s="81" t="str">
        <f t="shared" si="143"/>
        <v>MOLTO BASSO</v>
      </c>
    </row>
    <row r="372" spans="7:63" x14ac:dyDescent="0.15">
      <c r="G372" s="64">
        <f t="shared" si="144"/>
        <v>0</v>
      </c>
      <c r="I372" s="64">
        <f t="shared" si="121"/>
        <v>0</v>
      </c>
      <c r="K372" s="64">
        <f t="shared" si="122"/>
        <v>0</v>
      </c>
      <c r="M372" s="64">
        <f t="shared" si="123"/>
        <v>0</v>
      </c>
      <c r="O372" s="64">
        <f t="shared" si="124"/>
        <v>0</v>
      </c>
      <c r="Q372" s="64">
        <f t="shared" si="125"/>
        <v>0</v>
      </c>
      <c r="S372" s="71">
        <f t="shared" si="126"/>
        <v>0</v>
      </c>
      <c r="U372" s="64">
        <f t="shared" si="127"/>
        <v>0</v>
      </c>
      <c r="W372" s="71">
        <f t="shared" si="128"/>
        <v>0</v>
      </c>
      <c r="Y372" s="71">
        <f t="shared" si="129"/>
        <v>0</v>
      </c>
      <c r="AA372" s="71">
        <f t="shared" si="130"/>
        <v>0</v>
      </c>
      <c r="AC372" s="71">
        <f t="shared" si="131"/>
        <v>0</v>
      </c>
      <c r="AK372" s="71">
        <f t="shared" si="132"/>
        <v>0</v>
      </c>
      <c r="AM372" s="71">
        <f t="shared" si="133"/>
        <v>0</v>
      </c>
      <c r="AO372" s="71">
        <f t="shared" si="134"/>
        <v>0</v>
      </c>
      <c r="AQ372" s="71">
        <f t="shared" si="135"/>
        <v>0</v>
      </c>
      <c r="AT372" s="71">
        <f t="shared" si="136"/>
        <v>0</v>
      </c>
      <c r="AV372" s="71">
        <f t="shared" si="137"/>
        <v>0</v>
      </c>
      <c r="AX372" s="71">
        <f t="shared" si="138"/>
        <v>0</v>
      </c>
      <c r="AZ372" s="71">
        <f t="shared" si="139"/>
        <v>0</v>
      </c>
      <c r="BE372" s="102">
        <f t="shared" si="140"/>
        <v>4.4721359549995796</v>
      </c>
      <c r="BF372" s="81">
        <f t="shared" si="141"/>
        <v>9.3924867883288243E-14</v>
      </c>
      <c r="BG372" s="81" t="str">
        <f t="shared" si="142"/>
        <v>BASSO</v>
      </c>
      <c r="BK372" s="81" t="str">
        <f t="shared" si="143"/>
        <v>MOLTO BASSO</v>
      </c>
    </row>
    <row r="373" spans="7:63" x14ac:dyDescent="0.15">
      <c r="G373" s="64">
        <f t="shared" si="144"/>
        <v>0</v>
      </c>
      <c r="I373" s="64">
        <f t="shared" si="121"/>
        <v>0</v>
      </c>
      <c r="K373" s="64">
        <f t="shared" si="122"/>
        <v>0</v>
      </c>
      <c r="M373" s="64">
        <f t="shared" si="123"/>
        <v>0</v>
      </c>
      <c r="O373" s="64">
        <f t="shared" si="124"/>
        <v>0</v>
      </c>
      <c r="Q373" s="64">
        <f t="shared" si="125"/>
        <v>0</v>
      </c>
      <c r="S373" s="71">
        <f t="shared" si="126"/>
        <v>0</v>
      </c>
      <c r="U373" s="64">
        <f t="shared" si="127"/>
        <v>0</v>
      </c>
      <c r="W373" s="71">
        <f t="shared" si="128"/>
        <v>0</v>
      </c>
      <c r="Y373" s="71">
        <f t="shared" si="129"/>
        <v>0</v>
      </c>
      <c r="AA373" s="71">
        <f t="shared" si="130"/>
        <v>0</v>
      </c>
      <c r="AC373" s="71">
        <f t="shared" si="131"/>
        <v>0</v>
      </c>
      <c r="AK373" s="71">
        <f t="shared" si="132"/>
        <v>0</v>
      </c>
      <c r="AM373" s="71">
        <f t="shared" si="133"/>
        <v>0</v>
      </c>
      <c r="AO373" s="71">
        <f t="shared" si="134"/>
        <v>0</v>
      </c>
      <c r="AQ373" s="71">
        <f t="shared" si="135"/>
        <v>0</v>
      </c>
      <c r="AT373" s="71">
        <f t="shared" si="136"/>
        <v>0</v>
      </c>
      <c r="AV373" s="71">
        <f t="shared" si="137"/>
        <v>0</v>
      </c>
      <c r="AX373" s="71">
        <f t="shared" si="138"/>
        <v>0</v>
      </c>
      <c r="AZ373" s="71">
        <f t="shared" si="139"/>
        <v>0</v>
      </c>
      <c r="BE373" s="102">
        <f t="shared" si="140"/>
        <v>4.4721359549995796</v>
      </c>
      <c r="BF373" s="81">
        <f t="shared" si="141"/>
        <v>9.3924867883288243E-14</v>
      </c>
      <c r="BG373" s="81" t="str">
        <f t="shared" si="142"/>
        <v>BASSO</v>
      </c>
      <c r="BK373" s="81" t="str">
        <f t="shared" si="143"/>
        <v>MOLTO BASSO</v>
      </c>
    </row>
    <row r="374" spans="7:63" x14ac:dyDescent="0.15">
      <c r="G374" s="64">
        <f t="shared" si="144"/>
        <v>0</v>
      </c>
      <c r="I374" s="64">
        <f t="shared" si="121"/>
        <v>0</v>
      </c>
      <c r="K374" s="64">
        <f t="shared" si="122"/>
        <v>0</v>
      </c>
      <c r="M374" s="64">
        <f t="shared" si="123"/>
        <v>0</v>
      </c>
      <c r="O374" s="64">
        <f t="shared" si="124"/>
        <v>0</v>
      </c>
      <c r="Q374" s="64">
        <f t="shared" si="125"/>
        <v>0</v>
      </c>
      <c r="S374" s="71">
        <f t="shared" si="126"/>
        <v>0</v>
      </c>
      <c r="U374" s="64">
        <f t="shared" si="127"/>
        <v>0</v>
      </c>
      <c r="W374" s="71">
        <f t="shared" si="128"/>
        <v>0</v>
      </c>
      <c r="Y374" s="71">
        <f t="shared" si="129"/>
        <v>0</v>
      </c>
      <c r="AA374" s="71">
        <f t="shared" si="130"/>
        <v>0</v>
      </c>
      <c r="AC374" s="71">
        <f t="shared" si="131"/>
        <v>0</v>
      </c>
      <c r="AK374" s="71">
        <f t="shared" si="132"/>
        <v>0</v>
      </c>
      <c r="AM374" s="71">
        <f t="shared" si="133"/>
        <v>0</v>
      </c>
      <c r="AO374" s="71">
        <f t="shared" si="134"/>
        <v>0</v>
      </c>
      <c r="AQ374" s="71">
        <f t="shared" si="135"/>
        <v>0</v>
      </c>
      <c r="AT374" s="71">
        <f t="shared" si="136"/>
        <v>0</v>
      </c>
      <c r="AV374" s="71">
        <f t="shared" si="137"/>
        <v>0</v>
      </c>
      <c r="AX374" s="71">
        <f t="shared" si="138"/>
        <v>0</v>
      </c>
      <c r="AZ374" s="71">
        <f t="shared" si="139"/>
        <v>0</v>
      </c>
      <c r="BE374" s="102">
        <f t="shared" si="140"/>
        <v>4.4721359549995796</v>
      </c>
      <c r="BF374" s="81">
        <f t="shared" si="141"/>
        <v>9.3924867883288243E-14</v>
      </c>
      <c r="BG374" s="81" t="str">
        <f t="shared" si="142"/>
        <v>BASSO</v>
      </c>
      <c r="BK374" s="81" t="str">
        <f t="shared" si="143"/>
        <v>MOLTO BASSO</v>
      </c>
    </row>
    <row r="375" spans="7:63" x14ac:dyDescent="0.15">
      <c r="G375" s="64">
        <f t="shared" si="144"/>
        <v>0</v>
      </c>
      <c r="I375" s="64">
        <f t="shared" si="121"/>
        <v>0</v>
      </c>
      <c r="K375" s="64">
        <f t="shared" si="122"/>
        <v>0</v>
      </c>
      <c r="M375" s="64">
        <f t="shared" si="123"/>
        <v>0</v>
      </c>
      <c r="O375" s="64">
        <f t="shared" si="124"/>
        <v>0</v>
      </c>
      <c r="Q375" s="64">
        <f t="shared" si="125"/>
        <v>0</v>
      </c>
      <c r="S375" s="71">
        <f t="shared" si="126"/>
        <v>0</v>
      </c>
      <c r="U375" s="64">
        <f t="shared" si="127"/>
        <v>0</v>
      </c>
      <c r="W375" s="71">
        <f t="shared" si="128"/>
        <v>0</v>
      </c>
      <c r="Y375" s="71">
        <f t="shared" si="129"/>
        <v>0</v>
      </c>
      <c r="AA375" s="71">
        <f t="shared" si="130"/>
        <v>0</v>
      </c>
      <c r="AC375" s="71">
        <f t="shared" si="131"/>
        <v>0</v>
      </c>
      <c r="AK375" s="71">
        <f t="shared" si="132"/>
        <v>0</v>
      </c>
      <c r="AM375" s="71">
        <f t="shared" si="133"/>
        <v>0</v>
      </c>
      <c r="AO375" s="71">
        <f t="shared" si="134"/>
        <v>0</v>
      </c>
      <c r="AQ375" s="71">
        <f t="shared" si="135"/>
        <v>0</v>
      </c>
      <c r="AT375" s="71">
        <f t="shared" si="136"/>
        <v>0</v>
      </c>
      <c r="AV375" s="71">
        <f t="shared" si="137"/>
        <v>0</v>
      </c>
      <c r="AX375" s="71">
        <f t="shared" si="138"/>
        <v>0</v>
      </c>
      <c r="AZ375" s="71">
        <f t="shared" si="139"/>
        <v>0</v>
      </c>
      <c r="BE375" s="102">
        <f t="shared" si="140"/>
        <v>4.4721359549995796</v>
      </c>
      <c r="BF375" s="81">
        <f t="shared" si="141"/>
        <v>9.3924867883288243E-14</v>
      </c>
      <c r="BG375" s="81" t="str">
        <f t="shared" si="142"/>
        <v>BASSO</v>
      </c>
      <c r="BK375" s="81" t="str">
        <f t="shared" si="143"/>
        <v>MOLTO BASSO</v>
      </c>
    </row>
    <row r="376" spans="7:63" x14ac:dyDescent="0.15">
      <c r="G376" s="64">
        <f t="shared" si="144"/>
        <v>0</v>
      </c>
      <c r="I376" s="64">
        <f t="shared" si="121"/>
        <v>0</v>
      </c>
      <c r="K376" s="64">
        <f t="shared" si="122"/>
        <v>0</v>
      </c>
      <c r="M376" s="64">
        <f t="shared" si="123"/>
        <v>0</v>
      </c>
      <c r="O376" s="64">
        <f t="shared" si="124"/>
        <v>0</v>
      </c>
      <c r="Q376" s="64">
        <f t="shared" si="125"/>
        <v>0</v>
      </c>
      <c r="S376" s="71">
        <f t="shared" si="126"/>
        <v>0</v>
      </c>
      <c r="U376" s="64">
        <f t="shared" si="127"/>
        <v>0</v>
      </c>
      <c r="W376" s="71">
        <f t="shared" si="128"/>
        <v>0</v>
      </c>
      <c r="Y376" s="71">
        <f t="shared" si="129"/>
        <v>0</v>
      </c>
      <c r="AA376" s="71">
        <f t="shared" si="130"/>
        <v>0</v>
      </c>
      <c r="AC376" s="71">
        <f t="shared" si="131"/>
        <v>0</v>
      </c>
      <c r="AK376" s="71">
        <f t="shared" si="132"/>
        <v>0</v>
      </c>
      <c r="AM376" s="71">
        <f t="shared" si="133"/>
        <v>0</v>
      </c>
      <c r="AO376" s="71">
        <f t="shared" si="134"/>
        <v>0</v>
      </c>
      <c r="AQ376" s="71">
        <f t="shared" si="135"/>
        <v>0</v>
      </c>
      <c r="AT376" s="71">
        <f t="shared" si="136"/>
        <v>0</v>
      </c>
      <c r="AV376" s="71">
        <f t="shared" si="137"/>
        <v>0</v>
      </c>
      <c r="AX376" s="71">
        <f t="shared" si="138"/>
        <v>0</v>
      </c>
      <c r="AZ376" s="71">
        <f t="shared" si="139"/>
        <v>0</v>
      </c>
      <c r="BE376" s="102">
        <f t="shared" si="140"/>
        <v>4.4721359549995796</v>
      </c>
      <c r="BF376" s="81">
        <f t="shared" si="141"/>
        <v>9.3924867883288243E-14</v>
      </c>
      <c r="BG376" s="81" t="str">
        <f t="shared" si="142"/>
        <v>BASSO</v>
      </c>
      <c r="BK376" s="81" t="str">
        <f t="shared" si="143"/>
        <v>MOLTO BASSO</v>
      </c>
    </row>
    <row r="377" spans="7:63" x14ac:dyDescent="0.15">
      <c r="G377" s="64">
        <f t="shared" si="144"/>
        <v>0</v>
      </c>
      <c r="I377" s="64">
        <f t="shared" si="121"/>
        <v>0</v>
      </c>
      <c r="K377" s="64">
        <f t="shared" si="122"/>
        <v>0</v>
      </c>
      <c r="M377" s="64">
        <f t="shared" si="123"/>
        <v>0</v>
      </c>
      <c r="O377" s="64">
        <f t="shared" si="124"/>
        <v>0</v>
      </c>
      <c r="Q377" s="64">
        <f t="shared" si="125"/>
        <v>0</v>
      </c>
      <c r="S377" s="71">
        <f t="shared" si="126"/>
        <v>0</v>
      </c>
      <c r="U377" s="64">
        <f t="shared" si="127"/>
        <v>0</v>
      </c>
      <c r="W377" s="71">
        <f t="shared" si="128"/>
        <v>0</v>
      </c>
      <c r="Y377" s="71">
        <f t="shared" si="129"/>
        <v>0</v>
      </c>
      <c r="AA377" s="71">
        <f t="shared" si="130"/>
        <v>0</v>
      </c>
      <c r="AC377" s="71">
        <f t="shared" si="131"/>
        <v>0</v>
      </c>
      <c r="AK377" s="71">
        <f t="shared" si="132"/>
        <v>0</v>
      </c>
      <c r="AM377" s="71">
        <f t="shared" si="133"/>
        <v>0</v>
      </c>
      <c r="AO377" s="71">
        <f t="shared" si="134"/>
        <v>0</v>
      </c>
      <c r="AQ377" s="71">
        <f t="shared" si="135"/>
        <v>0</v>
      </c>
      <c r="AT377" s="71">
        <f t="shared" si="136"/>
        <v>0</v>
      </c>
      <c r="AV377" s="71">
        <f t="shared" si="137"/>
        <v>0</v>
      </c>
      <c r="AX377" s="71">
        <f t="shared" si="138"/>
        <v>0</v>
      </c>
      <c r="AZ377" s="71">
        <f t="shared" si="139"/>
        <v>0</v>
      </c>
      <c r="BE377" s="102">
        <f t="shared" si="140"/>
        <v>4.4721359549995796</v>
      </c>
      <c r="BF377" s="81">
        <f t="shared" si="141"/>
        <v>9.3924867883288243E-14</v>
      </c>
      <c r="BG377" s="81" t="str">
        <f t="shared" si="142"/>
        <v>BASSO</v>
      </c>
      <c r="BK377" s="81" t="str">
        <f t="shared" si="143"/>
        <v>MOLTO BASSO</v>
      </c>
    </row>
    <row r="378" spans="7:63" x14ac:dyDescent="0.15">
      <c r="G378" s="64">
        <f t="shared" si="144"/>
        <v>0</v>
      </c>
      <c r="I378" s="64">
        <f t="shared" si="121"/>
        <v>0</v>
      </c>
      <c r="K378" s="64">
        <f t="shared" si="122"/>
        <v>0</v>
      </c>
      <c r="M378" s="64">
        <f t="shared" si="123"/>
        <v>0</v>
      </c>
      <c r="O378" s="64">
        <f t="shared" si="124"/>
        <v>0</v>
      </c>
      <c r="Q378" s="64">
        <f t="shared" si="125"/>
        <v>0</v>
      </c>
      <c r="S378" s="71">
        <f t="shared" si="126"/>
        <v>0</v>
      </c>
      <c r="U378" s="64">
        <f t="shared" si="127"/>
        <v>0</v>
      </c>
      <c r="W378" s="71">
        <f t="shared" si="128"/>
        <v>0</v>
      </c>
      <c r="Y378" s="71">
        <f t="shared" si="129"/>
        <v>0</v>
      </c>
      <c r="AA378" s="71">
        <f t="shared" si="130"/>
        <v>0</v>
      </c>
      <c r="AC378" s="71">
        <f t="shared" si="131"/>
        <v>0</v>
      </c>
      <c r="AK378" s="71">
        <f t="shared" si="132"/>
        <v>0</v>
      </c>
      <c r="AM378" s="71">
        <f t="shared" si="133"/>
        <v>0</v>
      </c>
      <c r="AO378" s="71">
        <f t="shared" si="134"/>
        <v>0</v>
      </c>
      <c r="AQ378" s="71">
        <f t="shared" si="135"/>
        <v>0</v>
      </c>
      <c r="AT378" s="71">
        <f t="shared" si="136"/>
        <v>0</v>
      </c>
      <c r="AV378" s="71">
        <f t="shared" si="137"/>
        <v>0</v>
      </c>
      <c r="AX378" s="71">
        <f t="shared" si="138"/>
        <v>0</v>
      </c>
      <c r="AZ378" s="71">
        <f t="shared" si="139"/>
        <v>0</v>
      </c>
      <c r="BE378" s="102">
        <f t="shared" si="140"/>
        <v>4.4721359549995796</v>
      </c>
      <c r="BF378" s="81">
        <f t="shared" si="141"/>
        <v>9.3924867883288243E-14</v>
      </c>
      <c r="BG378" s="81" t="str">
        <f t="shared" si="142"/>
        <v>BASSO</v>
      </c>
      <c r="BK378" s="81" t="str">
        <f t="shared" si="143"/>
        <v>MOLTO BASSO</v>
      </c>
    </row>
    <row r="379" spans="7:63" x14ac:dyDescent="0.15">
      <c r="G379" s="64">
        <f t="shared" si="144"/>
        <v>0</v>
      </c>
      <c r="I379" s="64">
        <f t="shared" si="121"/>
        <v>0</v>
      </c>
      <c r="K379" s="64">
        <f t="shared" si="122"/>
        <v>0</v>
      </c>
      <c r="M379" s="64">
        <f t="shared" si="123"/>
        <v>0</v>
      </c>
      <c r="O379" s="64">
        <f t="shared" si="124"/>
        <v>0</v>
      </c>
      <c r="Q379" s="64">
        <f t="shared" si="125"/>
        <v>0</v>
      </c>
      <c r="S379" s="71">
        <f t="shared" si="126"/>
        <v>0</v>
      </c>
      <c r="U379" s="64">
        <f t="shared" si="127"/>
        <v>0</v>
      </c>
      <c r="W379" s="71">
        <f t="shared" si="128"/>
        <v>0</v>
      </c>
      <c r="Y379" s="71">
        <f t="shared" si="129"/>
        <v>0</v>
      </c>
      <c r="AA379" s="71">
        <f t="shared" si="130"/>
        <v>0</v>
      </c>
      <c r="AC379" s="71">
        <f t="shared" si="131"/>
        <v>0</v>
      </c>
      <c r="AK379" s="71">
        <f t="shared" si="132"/>
        <v>0</v>
      </c>
      <c r="AM379" s="71">
        <f t="shared" si="133"/>
        <v>0</v>
      </c>
      <c r="AO379" s="71">
        <f t="shared" si="134"/>
        <v>0</v>
      </c>
      <c r="AQ379" s="71">
        <f t="shared" si="135"/>
        <v>0</v>
      </c>
      <c r="AT379" s="71">
        <f t="shared" si="136"/>
        <v>0</v>
      </c>
      <c r="AV379" s="71">
        <f t="shared" si="137"/>
        <v>0</v>
      </c>
      <c r="AX379" s="71">
        <f t="shared" si="138"/>
        <v>0</v>
      </c>
      <c r="AZ379" s="71">
        <f t="shared" si="139"/>
        <v>0</v>
      </c>
      <c r="BE379" s="102">
        <f t="shared" si="140"/>
        <v>4.4721359549995796</v>
      </c>
      <c r="BF379" s="81">
        <f t="shared" si="141"/>
        <v>9.3924867883288243E-14</v>
      </c>
      <c r="BG379" s="81" t="str">
        <f t="shared" si="142"/>
        <v>BASSO</v>
      </c>
      <c r="BK379" s="81" t="str">
        <f t="shared" si="143"/>
        <v>MOLTO BASSO</v>
      </c>
    </row>
    <row r="380" spans="7:63" x14ac:dyDescent="0.15">
      <c r="G380" s="64">
        <f t="shared" si="144"/>
        <v>0</v>
      </c>
      <c r="I380" s="64">
        <f t="shared" si="121"/>
        <v>0</v>
      </c>
      <c r="K380" s="64">
        <f t="shared" si="122"/>
        <v>0</v>
      </c>
      <c r="M380" s="64">
        <f t="shared" si="123"/>
        <v>0</v>
      </c>
      <c r="O380" s="64">
        <f t="shared" si="124"/>
        <v>0</v>
      </c>
      <c r="Q380" s="64">
        <f t="shared" si="125"/>
        <v>0</v>
      </c>
      <c r="S380" s="71">
        <f t="shared" si="126"/>
        <v>0</v>
      </c>
      <c r="U380" s="64">
        <f t="shared" si="127"/>
        <v>0</v>
      </c>
      <c r="W380" s="71">
        <f t="shared" si="128"/>
        <v>0</v>
      </c>
      <c r="Y380" s="71">
        <f t="shared" si="129"/>
        <v>0</v>
      </c>
      <c r="AA380" s="71">
        <f t="shared" si="130"/>
        <v>0</v>
      </c>
      <c r="AC380" s="71">
        <f t="shared" si="131"/>
        <v>0</v>
      </c>
      <c r="AK380" s="71">
        <f t="shared" si="132"/>
        <v>0</v>
      </c>
      <c r="AM380" s="71">
        <f t="shared" si="133"/>
        <v>0</v>
      </c>
      <c r="AO380" s="71">
        <f t="shared" si="134"/>
        <v>0</v>
      </c>
      <c r="AQ380" s="71">
        <f t="shared" si="135"/>
        <v>0</v>
      </c>
      <c r="AT380" s="71">
        <f t="shared" si="136"/>
        <v>0</v>
      </c>
      <c r="AV380" s="71">
        <f t="shared" si="137"/>
        <v>0</v>
      </c>
      <c r="AX380" s="71">
        <f t="shared" si="138"/>
        <v>0</v>
      </c>
      <c r="AZ380" s="71">
        <f t="shared" si="139"/>
        <v>0</v>
      </c>
      <c r="BE380" s="102">
        <f t="shared" si="140"/>
        <v>4.4721359549995796</v>
      </c>
      <c r="BF380" s="81">
        <f t="shared" si="141"/>
        <v>9.3924867883288243E-14</v>
      </c>
      <c r="BG380" s="81" t="str">
        <f t="shared" si="142"/>
        <v>BASSO</v>
      </c>
      <c r="BK380" s="81" t="str">
        <f t="shared" si="143"/>
        <v>MOLTO BASSO</v>
      </c>
    </row>
    <row r="381" spans="7:63" x14ac:dyDescent="0.15">
      <c r="G381" s="64">
        <f t="shared" si="144"/>
        <v>0</v>
      </c>
      <c r="I381" s="64">
        <f t="shared" si="121"/>
        <v>0</v>
      </c>
      <c r="K381" s="64">
        <f t="shared" si="122"/>
        <v>0</v>
      </c>
      <c r="M381" s="64">
        <f t="shared" si="123"/>
        <v>0</v>
      </c>
      <c r="O381" s="64">
        <f t="shared" si="124"/>
        <v>0</v>
      </c>
      <c r="Q381" s="64">
        <f t="shared" si="125"/>
        <v>0</v>
      </c>
      <c r="S381" s="71">
        <f t="shared" si="126"/>
        <v>0</v>
      </c>
      <c r="U381" s="64">
        <f t="shared" si="127"/>
        <v>0</v>
      </c>
      <c r="W381" s="71">
        <f t="shared" si="128"/>
        <v>0</v>
      </c>
      <c r="Y381" s="71">
        <f t="shared" si="129"/>
        <v>0</v>
      </c>
      <c r="AA381" s="71">
        <f t="shared" si="130"/>
        <v>0</v>
      </c>
      <c r="AC381" s="71">
        <f t="shared" si="131"/>
        <v>0</v>
      </c>
      <c r="AK381" s="71">
        <f t="shared" si="132"/>
        <v>0</v>
      </c>
      <c r="AM381" s="71">
        <f t="shared" si="133"/>
        <v>0</v>
      </c>
      <c r="AO381" s="71">
        <f t="shared" si="134"/>
        <v>0</v>
      </c>
      <c r="AQ381" s="71">
        <f t="shared" si="135"/>
        <v>0</v>
      </c>
      <c r="AT381" s="71">
        <f t="shared" si="136"/>
        <v>0</v>
      </c>
      <c r="AV381" s="71">
        <f t="shared" si="137"/>
        <v>0</v>
      </c>
      <c r="AX381" s="71">
        <f t="shared" si="138"/>
        <v>0</v>
      </c>
      <c r="AZ381" s="71">
        <f t="shared" si="139"/>
        <v>0</v>
      </c>
      <c r="BE381" s="102">
        <f t="shared" si="140"/>
        <v>4.4721359549995796</v>
      </c>
      <c r="BF381" s="81">
        <f t="shared" si="141"/>
        <v>9.3924867883288243E-14</v>
      </c>
      <c r="BG381" s="81" t="str">
        <f t="shared" si="142"/>
        <v>BASSO</v>
      </c>
      <c r="BK381" s="81" t="str">
        <f t="shared" si="143"/>
        <v>MOLTO BASSO</v>
      </c>
    </row>
    <row r="382" spans="7:63" x14ac:dyDescent="0.15">
      <c r="G382" s="64">
        <f t="shared" si="144"/>
        <v>0</v>
      </c>
      <c r="I382" s="64">
        <f t="shared" si="121"/>
        <v>0</v>
      </c>
      <c r="K382" s="64">
        <f t="shared" si="122"/>
        <v>0</v>
      </c>
      <c r="M382" s="64">
        <f t="shared" si="123"/>
        <v>0</v>
      </c>
      <c r="O382" s="64">
        <f t="shared" si="124"/>
        <v>0</v>
      </c>
      <c r="Q382" s="64">
        <f t="shared" si="125"/>
        <v>0</v>
      </c>
      <c r="S382" s="71">
        <f t="shared" si="126"/>
        <v>0</v>
      </c>
      <c r="U382" s="64">
        <f t="shared" si="127"/>
        <v>0</v>
      </c>
      <c r="W382" s="71">
        <f t="shared" si="128"/>
        <v>0</v>
      </c>
      <c r="Y382" s="71">
        <f t="shared" si="129"/>
        <v>0</v>
      </c>
      <c r="AA382" s="71">
        <f t="shared" si="130"/>
        <v>0</v>
      </c>
      <c r="AC382" s="71">
        <f t="shared" si="131"/>
        <v>0</v>
      </c>
      <c r="AK382" s="71">
        <f t="shared" si="132"/>
        <v>0</v>
      </c>
      <c r="AM382" s="71">
        <f t="shared" si="133"/>
        <v>0</v>
      </c>
      <c r="AO382" s="71">
        <f t="shared" si="134"/>
        <v>0</v>
      </c>
      <c r="AQ382" s="71">
        <f t="shared" si="135"/>
        <v>0</v>
      </c>
      <c r="AT382" s="71">
        <f t="shared" si="136"/>
        <v>0</v>
      </c>
      <c r="AV382" s="71">
        <f t="shared" si="137"/>
        <v>0</v>
      </c>
      <c r="AX382" s="71">
        <f t="shared" si="138"/>
        <v>0</v>
      </c>
      <c r="AZ382" s="71">
        <f t="shared" si="139"/>
        <v>0</v>
      </c>
      <c r="BE382" s="102">
        <f t="shared" si="140"/>
        <v>4.4721359549995796</v>
      </c>
      <c r="BF382" s="81">
        <f t="shared" si="141"/>
        <v>9.3924867883288243E-14</v>
      </c>
      <c r="BG382" s="81" t="str">
        <f t="shared" si="142"/>
        <v>BASSO</v>
      </c>
      <c r="BK382" s="81" t="str">
        <f t="shared" si="143"/>
        <v>MOLTO BASSO</v>
      </c>
    </row>
    <row r="383" spans="7:63" x14ac:dyDescent="0.15">
      <c r="G383" s="64">
        <f t="shared" si="144"/>
        <v>0</v>
      </c>
      <c r="I383" s="64">
        <f t="shared" si="121"/>
        <v>0</v>
      </c>
      <c r="K383" s="64">
        <f t="shared" si="122"/>
        <v>0</v>
      </c>
      <c r="M383" s="64">
        <f t="shared" si="123"/>
        <v>0</v>
      </c>
      <c r="O383" s="64">
        <f t="shared" si="124"/>
        <v>0</v>
      </c>
      <c r="Q383" s="64">
        <f t="shared" si="125"/>
        <v>0</v>
      </c>
      <c r="S383" s="71">
        <f t="shared" si="126"/>
        <v>0</v>
      </c>
      <c r="U383" s="64">
        <f t="shared" si="127"/>
        <v>0</v>
      </c>
      <c r="W383" s="71">
        <f t="shared" si="128"/>
        <v>0</v>
      </c>
      <c r="Y383" s="71">
        <f t="shared" si="129"/>
        <v>0</v>
      </c>
      <c r="AA383" s="71">
        <f t="shared" si="130"/>
        <v>0</v>
      </c>
      <c r="AC383" s="71">
        <f t="shared" si="131"/>
        <v>0</v>
      </c>
      <c r="AK383" s="71">
        <f t="shared" si="132"/>
        <v>0</v>
      </c>
      <c r="AM383" s="71">
        <f t="shared" si="133"/>
        <v>0</v>
      </c>
      <c r="AO383" s="71">
        <f t="shared" si="134"/>
        <v>0</v>
      </c>
      <c r="AQ383" s="71">
        <f t="shared" si="135"/>
        <v>0</v>
      </c>
      <c r="AT383" s="71">
        <f t="shared" si="136"/>
        <v>0</v>
      </c>
      <c r="AV383" s="71">
        <f t="shared" si="137"/>
        <v>0</v>
      </c>
      <c r="AX383" s="71">
        <f t="shared" si="138"/>
        <v>0</v>
      </c>
      <c r="AZ383" s="71">
        <f t="shared" si="139"/>
        <v>0</v>
      </c>
      <c r="BE383" s="102">
        <f t="shared" si="140"/>
        <v>4.4721359549995796</v>
      </c>
      <c r="BF383" s="81">
        <f t="shared" si="141"/>
        <v>9.3924867883288243E-14</v>
      </c>
      <c r="BG383" s="81" t="str">
        <f t="shared" si="142"/>
        <v>BASSO</v>
      </c>
      <c r="BK383" s="81" t="str">
        <f t="shared" si="143"/>
        <v>MOLTO BASSO</v>
      </c>
    </row>
    <row r="384" spans="7:63" x14ac:dyDescent="0.15">
      <c r="G384" s="64">
        <f t="shared" si="144"/>
        <v>0</v>
      </c>
      <c r="I384" s="64">
        <f t="shared" si="121"/>
        <v>0</v>
      </c>
      <c r="K384" s="64">
        <f t="shared" si="122"/>
        <v>0</v>
      </c>
      <c r="M384" s="64">
        <f t="shared" si="123"/>
        <v>0</v>
      </c>
      <c r="O384" s="64">
        <f t="shared" si="124"/>
        <v>0</v>
      </c>
      <c r="Q384" s="64">
        <f t="shared" si="125"/>
        <v>0</v>
      </c>
      <c r="S384" s="71">
        <f t="shared" si="126"/>
        <v>0</v>
      </c>
      <c r="U384" s="64">
        <f t="shared" si="127"/>
        <v>0</v>
      </c>
      <c r="W384" s="71">
        <f t="shared" si="128"/>
        <v>0</v>
      </c>
      <c r="Y384" s="71">
        <f t="shared" si="129"/>
        <v>0</v>
      </c>
      <c r="AA384" s="71">
        <f t="shared" si="130"/>
        <v>0</v>
      </c>
      <c r="AC384" s="71">
        <f t="shared" si="131"/>
        <v>0</v>
      </c>
      <c r="AK384" s="71">
        <f t="shared" si="132"/>
        <v>0</v>
      </c>
      <c r="AM384" s="71">
        <f t="shared" si="133"/>
        <v>0</v>
      </c>
      <c r="AO384" s="71">
        <f t="shared" si="134"/>
        <v>0</v>
      </c>
      <c r="AQ384" s="71">
        <f t="shared" si="135"/>
        <v>0</v>
      </c>
      <c r="AT384" s="71">
        <f t="shared" si="136"/>
        <v>0</v>
      </c>
      <c r="AV384" s="71">
        <f t="shared" si="137"/>
        <v>0</v>
      </c>
      <c r="AX384" s="71">
        <f t="shared" si="138"/>
        <v>0</v>
      </c>
      <c r="AZ384" s="71">
        <f t="shared" si="139"/>
        <v>0</v>
      </c>
      <c r="BE384" s="102">
        <f t="shared" si="140"/>
        <v>4.4721359549995796</v>
      </c>
      <c r="BF384" s="81">
        <f t="shared" si="141"/>
        <v>9.3924867883288243E-14</v>
      </c>
      <c r="BG384" s="81" t="str">
        <f t="shared" si="142"/>
        <v>BASSO</v>
      </c>
      <c r="BK384" s="81" t="str">
        <f t="shared" si="143"/>
        <v>MOLTO BASSO</v>
      </c>
    </row>
    <row r="385" spans="7:63" x14ac:dyDescent="0.15">
      <c r="G385" s="64">
        <f t="shared" si="144"/>
        <v>0</v>
      </c>
      <c r="I385" s="64">
        <f t="shared" si="121"/>
        <v>0</v>
      </c>
      <c r="K385" s="64">
        <f t="shared" si="122"/>
        <v>0</v>
      </c>
      <c r="M385" s="64">
        <f t="shared" si="123"/>
        <v>0</v>
      </c>
      <c r="O385" s="64">
        <f t="shared" si="124"/>
        <v>0</v>
      </c>
      <c r="Q385" s="64">
        <f t="shared" si="125"/>
        <v>0</v>
      </c>
      <c r="S385" s="71">
        <f t="shared" si="126"/>
        <v>0</v>
      </c>
      <c r="U385" s="64">
        <f t="shared" si="127"/>
        <v>0</v>
      </c>
      <c r="W385" s="71">
        <f t="shared" si="128"/>
        <v>0</v>
      </c>
      <c r="Y385" s="71">
        <f t="shared" si="129"/>
        <v>0</v>
      </c>
      <c r="AA385" s="71">
        <f t="shared" si="130"/>
        <v>0</v>
      </c>
      <c r="AC385" s="71">
        <f t="shared" si="131"/>
        <v>0</v>
      </c>
      <c r="AK385" s="71">
        <f t="shared" si="132"/>
        <v>0</v>
      </c>
      <c r="AM385" s="71">
        <f t="shared" si="133"/>
        <v>0</v>
      </c>
      <c r="AO385" s="71">
        <f t="shared" si="134"/>
        <v>0</v>
      </c>
      <c r="AQ385" s="71">
        <f t="shared" si="135"/>
        <v>0</v>
      </c>
      <c r="AT385" s="71">
        <f t="shared" si="136"/>
        <v>0</v>
      </c>
      <c r="AV385" s="71">
        <f t="shared" si="137"/>
        <v>0</v>
      </c>
      <c r="AX385" s="71">
        <f t="shared" si="138"/>
        <v>0</v>
      </c>
      <c r="AZ385" s="71">
        <f t="shared" si="139"/>
        <v>0</v>
      </c>
      <c r="BE385" s="102">
        <f t="shared" si="140"/>
        <v>4.4721359549995796</v>
      </c>
      <c r="BF385" s="81">
        <f t="shared" si="141"/>
        <v>9.3924867883288243E-14</v>
      </c>
      <c r="BG385" s="81" t="str">
        <f t="shared" si="142"/>
        <v>BASSO</v>
      </c>
      <c r="BK385" s="81" t="str">
        <f t="shared" si="143"/>
        <v>MOLTO BASSO</v>
      </c>
    </row>
    <row r="386" spans="7:63" x14ac:dyDescent="0.15">
      <c r="G386" s="64">
        <f t="shared" si="144"/>
        <v>0</v>
      </c>
      <c r="I386" s="64">
        <f t="shared" si="121"/>
        <v>0</v>
      </c>
      <c r="K386" s="64">
        <f t="shared" si="122"/>
        <v>0</v>
      </c>
      <c r="M386" s="64">
        <f t="shared" si="123"/>
        <v>0</v>
      </c>
      <c r="O386" s="64">
        <f t="shared" si="124"/>
        <v>0</v>
      </c>
      <c r="Q386" s="64">
        <f t="shared" si="125"/>
        <v>0</v>
      </c>
      <c r="S386" s="71">
        <f t="shared" si="126"/>
        <v>0</v>
      </c>
      <c r="U386" s="64">
        <f t="shared" si="127"/>
        <v>0</v>
      </c>
      <c r="W386" s="71">
        <f t="shared" si="128"/>
        <v>0</v>
      </c>
      <c r="Y386" s="71">
        <f t="shared" si="129"/>
        <v>0</v>
      </c>
      <c r="AA386" s="71">
        <f t="shared" si="130"/>
        <v>0</v>
      </c>
      <c r="AC386" s="71">
        <f t="shared" si="131"/>
        <v>0</v>
      </c>
      <c r="AK386" s="71">
        <f t="shared" si="132"/>
        <v>0</v>
      </c>
      <c r="AM386" s="71">
        <f t="shared" si="133"/>
        <v>0</v>
      </c>
      <c r="AO386" s="71">
        <f t="shared" si="134"/>
        <v>0</v>
      </c>
      <c r="AQ386" s="71">
        <f t="shared" si="135"/>
        <v>0</v>
      </c>
      <c r="AT386" s="71">
        <f t="shared" si="136"/>
        <v>0</v>
      </c>
      <c r="AV386" s="71">
        <f t="shared" si="137"/>
        <v>0</v>
      </c>
      <c r="AX386" s="71">
        <f t="shared" si="138"/>
        <v>0</v>
      </c>
      <c r="AZ386" s="71">
        <f t="shared" si="139"/>
        <v>0</v>
      </c>
      <c r="BE386" s="102">
        <f t="shared" si="140"/>
        <v>4.4721359549995796</v>
      </c>
      <c r="BF386" s="81">
        <f t="shared" si="141"/>
        <v>9.3924867883288243E-14</v>
      </c>
      <c r="BG386" s="81" t="str">
        <f t="shared" si="142"/>
        <v>BASSO</v>
      </c>
      <c r="BK386" s="81" t="str">
        <f t="shared" si="143"/>
        <v>MOLTO BASSO</v>
      </c>
    </row>
    <row r="387" spans="7:63" x14ac:dyDescent="0.15">
      <c r="G387" s="64">
        <f t="shared" si="144"/>
        <v>0</v>
      </c>
      <c r="I387" s="64">
        <f t="shared" ref="I387:I450" si="145">H387/2</f>
        <v>0</v>
      </c>
      <c r="K387" s="64">
        <f t="shared" ref="K387:K450" si="146">J387/2</f>
        <v>0</v>
      </c>
      <c r="M387" s="64">
        <f t="shared" ref="M387:M450" si="147">L387/3</f>
        <v>0</v>
      </c>
      <c r="O387" s="64">
        <f t="shared" ref="O387:O450" si="148">N387/5</f>
        <v>0</v>
      </c>
      <c r="Q387" s="64">
        <f t="shared" ref="Q387:Q450" si="149">P387/3</f>
        <v>0</v>
      </c>
      <c r="S387" s="71">
        <f t="shared" ref="S387:S450" si="150">R387/3</f>
        <v>0</v>
      </c>
      <c r="U387" s="64">
        <f t="shared" ref="U387:U450" si="151">T387/3</f>
        <v>0</v>
      </c>
      <c r="W387" s="71">
        <f t="shared" ref="W387:W450" si="152">V387/4</f>
        <v>0</v>
      </c>
      <c r="Y387" s="71">
        <f t="shared" ref="Y387:Y450" si="153">X387/3</f>
        <v>0</v>
      </c>
      <c r="AA387" s="71">
        <f t="shared" ref="AA387:AA450" si="154">Z387/3</f>
        <v>0</v>
      </c>
      <c r="AC387" s="71">
        <f t="shared" ref="AC387:AC450" si="155">AB387/2</f>
        <v>0</v>
      </c>
      <c r="AK387" s="71">
        <f t="shared" ref="AK387:AK450" si="156">AJ387/2</f>
        <v>0</v>
      </c>
      <c r="AM387" s="71">
        <f t="shared" ref="AM387:AM450" si="157">AL387/3</f>
        <v>0</v>
      </c>
      <c r="AO387" s="71">
        <f t="shared" ref="AO387:AO450" si="158">AN387/3</f>
        <v>0</v>
      </c>
      <c r="AQ387" s="71">
        <f t="shared" ref="AQ387:AQ450" si="159">AP387/3</f>
        <v>0</v>
      </c>
      <c r="AT387" s="71">
        <f t="shared" ref="AT387:AT450" si="160">AS387/3</f>
        <v>0</v>
      </c>
      <c r="AV387" s="71">
        <f t="shared" ref="AV387:AV450" si="161">AU387/3</f>
        <v>0</v>
      </c>
      <c r="AX387" s="71">
        <f t="shared" ref="AX387:AX450" si="162">AW387/2</f>
        <v>0</v>
      </c>
      <c r="AZ387" s="71">
        <f t="shared" ref="AZ387:AZ450" si="163">AY387/3</f>
        <v>0</v>
      </c>
      <c r="BE387" s="102">
        <f t="shared" ref="BE387:BE450" si="164">SQRT((1-G387)^2 + (1-I387)^2 + (1-K387)^2 + (1-M387)^2 + (1-O387)^2 + (1-Q387)^2 + (1-S387)^2 + (1-U387)^2 + (1-W387)^2 + (1-Y387)^2 + (1-AA387)^2 + (1-AC387)^2 + (1-AK387)^2 + (1-AM387)^2 + (1-AO387)^2 + (1-AQ387)^2 + (1-AT387)^2 + (1-AV387)^2 + (1-AX387)^2 + (1-AZ387)^2)</f>
        <v>4.4721359549995796</v>
      </c>
      <c r="BF387" s="81">
        <f t="shared" ref="BF387:BF450" si="165">1 - (BE387 / 4.472135955)</f>
        <v>9.3924867883288243E-14</v>
      </c>
      <c r="BG387" s="81" t="str">
        <f t="shared" ref="BG387:BG450" si="166">IF(BF387&lt;=0.33, "BASSO", IF(BF387&lt;=0.66, "MEDIO", "ALTO"))</f>
        <v>BASSO</v>
      </c>
      <c r="BK387" s="81" t="str">
        <f t="shared" ref="BK387:BK450" si="167">IF(BF387&lt;0.3,"MOLTO BASSO",IF(BF387&lt;0.45,"BASSO",IF(BF387&lt;0.65,"MEDIO",IF(BF387&lt;0.8,"ALTO","MOLTO ALTO"))))</f>
        <v>MOLTO BASSO</v>
      </c>
    </row>
    <row r="388" spans="7:63" x14ac:dyDescent="0.15">
      <c r="G388" s="64">
        <f t="shared" si="144"/>
        <v>0</v>
      </c>
      <c r="I388" s="64">
        <f t="shared" si="145"/>
        <v>0</v>
      </c>
      <c r="K388" s="64">
        <f t="shared" si="146"/>
        <v>0</v>
      </c>
      <c r="M388" s="64">
        <f t="shared" si="147"/>
        <v>0</v>
      </c>
      <c r="O388" s="64">
        <f t="shared" si="148"/>
        <v>0</v>
      </c>
      <c r="Q388" s="64">
        <f t="shared" si="149"/>
        <v>0</v>
      </c>
      <c r="S388" s="71">
        <f t="shared" si="150"/>
        <v>0</v>
      </c>
      <c r="U388" s="64">
        <f t="shared" si="151"/>
        <v>0</v>
      </c>
      <c r="W388" s="71">
        <f t="shared" si="152"/>
        <v>0</v>
      </c>
      <c r="Y388" s="71">
        <f t="shared" si="153"/>
        <v>0</v>
      </c>
      <c r="AA388" s="71">
        <f t="shared" si="154"/>
        <v>0</v>
      </c>
      <c r="AC388" s="71">
        <f t="shared" si="155"/>
        <v>0</v>
      </c>
      <c r="AK388" s="71">
        <f t="shared" si="156"/>
        <v>0</v>
      </c>
      <c r="AM388" s="71">
        <f t="shared" si="157"/>
        <v>0</v>
      </c>
      <c r="AO388" s="71">
        <f t="shared" si="158"/>
        <v>0</v>
      </c>
      <c r="AQ388" s="71">
        <f t="shared" si="159"/>
        <v>0</v>
      </c>
      <c r="AT388" s="71">
        <f t="shared" si="160"/>
        <v>0</v>
      </c>
      <c r="AV388" s="71">
        <f t="shared" si="161"/>
        <v>0</v>
      </c>
      <c r="AX388" s="71">
        <f t="shared" si="162"/>
        <v>0</v>
      </c>
      <c r="AZ388" s="71">
        <f t="shared" si="163"/>
        <v>0</v>
      </c>
      <c r="BE388" s="102">
        <f t="shared" si="164"/>
        <v>4.4721359549995796</v>
      </c>
      <c r="BF388" s="81">
        <f t="shared" si="165"/>
        <v>9.3924867883288243E-14</v>
      </c>
      <c r="BG388" s="81" t="str">
        <f t="shared" si="166"/>
        <v>BASSO</v>
      </c>
      <c r="BK388" s="81" t="str">
        <f t="shared" si="167"/>
        <v>MOLTO BASSO</v>
      </c>
    </row>
    <row r="389" spans="7:63" x14ac:dyDescent="0.15">
      <c r="G389" s="64">
        <f t="shared" si="144"/>
        <v>0</v>
      </c>
      <c r="I389" s="64">
        <f t="shared" si="145"/>
        <v>0</v>
      </c>
      <c r="K389" s="64">
        <f t="shared" si="146"/>
        <v>0</v>
      </c>
      <c r="M389" s="64">
        <f t="shared" si="147"/>
        <v>0</v>
      </c>
      <c r="O389" s="64">
        <f t="shared" si="148"/>
        <v>0</v>
      </c>
      <c r="Q389" s="64">
        <f t="shared" si="149"/>
        <v>0</v>
      </c>
      <c r="S389" s="71">
        <f t="shared" si="150"/>
        <v>0</v>
      </c>
      <c r="U389" s="64">
        <f t="shared" si="151"/>
        <v>0</v>
      </c>
      <c r="W389" s="71">
        <f t="shared" si="152"/>
        <v>0</v>
      </c>
      <c r="Y389" s="71">
        <f t="shared" si="153"/>
        <v>0</v>
      </c>
      <c r="AA389" s="71">
        <f t="shared" si="154"/>
        <v>0</v>
      </c>
      <c r="AC389" s="71">
        <f t="shared" si="155"/>
        <v>0</v>
      </c>
      <c r="AK389" s="71">
        <f t="shared" si="156"/>
        <v>0</v>
      </c>
      <c r="AM389" s="71">
        <f t="shared" si="157"/>
        <v>0</v>
      </c>
      <c r="AO389" s="71">
        <f t="shared" si="158"/>
        <v>0</v>
      </c>
      <c r="AQ389" s="71">
        <f t="shared" si="159"/>
        <v>0</v>
      </c>
      <c r="AT389" s="71">
        <f t="shared" si="160"/>
        <v>0</v>
      </c>
      <c r="AV389" s="71">
        <f t="shared" si="161"/>
        <v>0</v>
      </c>
      <c r="AX389" s="71">
        <f t="shared" si="162"/>
        <v>0</v>
      </c>
      <c r="AZ389" s="71">
        <f t="shared" si="163"/>
        <v>0</v>
      </c>
      <c r="BE389" s="102">
        <f t="shared" si="164"/>
        <v>4.4721359549995796</v>
      </c>
      <c r="BF389" s="81">
        <f t="shared" si="165"/>
        <v>9.3924867883288243E-14</v>
      </c>
      <c r="BG389" s="81" t="str">
        <f t="shared" si="166"/>
        <v>BASSO</v>
      </c>
      <c r="BK389" s="81" t="str">
        <f t="shared" si="167"/>
        <v>MOLTO BASSO</v>
      </c>
    </row>
    <row r="390" spans="7:63" x14ac:dyDescent="0.15">
      <c r="G390" s="64">
        <f t="shared" si="144"/>
        <v>0</v>
      </c>
      <c r="I390" s="64">
        <f t="shared" si="145"/>
        <v>0</v>
      </c>
      <c r="K390" s="64">
        <f t="shared" si="146"/>
        <v>0</v>
      </c>
      <c r="M390" s="64">
        <f t="shared" si="147"/>
        <v>0</v>
      </c>
      <c r="O390" s="64">
        <f t="shared" si="148"/>
        <v>0</v>
      </c>
      <c r="Q390" s="64">
        <f t="shared" si="149"/>
        <v>0</v>
      </c>
      <c r="S390" s="71">
        <f t="shared" si="150"/>
        <v>0</v>
      </c>
      <c r="U390" s="64">
        <f t="shared" si="151"/>
        <v>0</v>
      </c>
      <c r="W390" s="71">
        <f t="shared" si="152"/>
        <v>0</v>
      </c>
      <c r="Y390" s="71">
        <f t="shared" si="153"/>
        <v>0</v>
      </c>
      <c r="AA390" s="71">
        <f t="shared" si="154"/>
        <v>0</v>
      </c>
      <c r="AC390" s="71">
        <f t="shared" si="155"/>
        <v>0</v>
      </c>
      <c r="AK390" s="71">
        <f t="shared" si="156"/>
        <v>0</v>
      </c>
      <c r="AM390" s="71">
        <f t="shared" si="157"/>
        <v>0</v>
      </c>
      <c r="AO390" s="71">
        <f t="shared" si="158"/>
        <v>0</v>
      </c>
      <c r="AQ390" s="71">
        <f t="shared" si="159"/>
        <v>0</v>
      </c>
      <c r="AT390" s="71">
        <f t="shared" si="160"/>
        <v>0</v>
      </c>
      <c r="AV390" s="71">
        <f t="shared" si="161"/>
        <v>0</v>
      </c>
      <c r="AX390" s="71">
        <f t="shared" si="162"/>
        <v>0</v>
      </c>
      <c r="AZ390" s="71">
        <f t="shared" si="163"/>
        <v>0</v>
      </c>
      <c r="BE390" s="102">
        <f t="shared" si="164"/>
        <v>4.4721359549995796</v>
      </c>
      <c r="BF390" s="81">
        <f t="shared" si="165"/>
        <v>9.3924867883288243E-14</v>
      </c>
      <c r="BG390" s="81" t="str">
        <f t="shared" si="166"/>
        <v>BASSO</v>
      </c>
      <c r="BK390" s="81" t="str">
        <f t="shared" si="167"/>
        <v>MOLTO BASSO</v>
      </c>
    </row>
    <row r="391" spans="7:63" x14ac:dyDescent="0.15">
      <c r="G391" s="64">
        <f t="shared" si="144"/>
        <v>0</v>
      </c>
      <c r="I391" s="64">
        <f t="shared" si="145"/>
        <v>0</v>
      </c>
      <c r="K391" s="64">
        <f t="shared" si="146"/>
        <v>0</v>
      </c>
      <c r="M391" s="64">
        <f t="shared" si="147"/>
        <v>0</v>
      </c>
      <c r="O391" s="64">
        <f t="shared" si="148"/>
        <v>0</v>
      </c>
      <c r="Q391" s="64">
        <f t="shared" si="149"/>
        <v>0</v>
      </c>
      <c r="S391" s="71">
        <f t="shared" si="150"/>
        <v>0</v>
      </c>
      <c r="U391" s="64">
        <f t="shared" si="151"/>
        <v>0</v>
      </c>
      <c r="W391" s="71">
        <f t="shared" si="152"/>
        <v>0</v>
      </c>
      <c r="Y391" s="71">
        <f t="shared" si="153"/>
        <v>0</v>
      </c>
      <c r="AA391" s="71">
        <f t="shared" si="154"/>
        <v>0</v>
      </c>
      <c r="AC391" s="71">
        <f t="shared" si="155"/>
        <v>0</v>
      </c>
      <c r="AK391" s="71">
        <f t="shared" si="156"/>
        <v>0</v>
      </c>
      <c r="AM391" s="71">
        <f t="shared" si="157"/>
        <v>0</v>
      </c>
      <c r="AO391" s="71">
        <f t="shared" si="158"/>
        <v>0</v>
      </c>
      <c r="AQ391" s="71">
        <f t="shared" si="159"/>
        <v>0</v>
      </c>
      <c r="AT391" s="71">
        <f t="shared" si="160"/>
        <v>0</v>
      </c>
      <c r="AV391" s="71">
        <f t="shared" si="161"/>
        <v>0</v>
      </c>
      <c r="AX391" s="71">
        <f t="shared" si="162"/>
        <v>0</v>
      </c>
      <c r="AZ391" s="71">
        <f t="shared" si="163"/>
        <v>0</v>
      </c>
      <c r="BE391" s="102">
        <f t="shared" si="164"/>
        <v>4.4721359549995796</v>
      </c>
      <c r="BF391" s="81">
        <f t="shared" si="165"/>
        <v>9.3924867883288243E-14</v>
      </c>
      <c r="BG391" s="81" t="str">
        <f t="shared" si="166"/>
        <v>BASSO</v>
      </c>
      <c r="BK391" s="81" t="str">
        <f t="shared" si="167"/>
        <v>MOLTO BASSO</v>
      </c>
    </row>
    <row r="392" spans="7:63" x14ac:dyDescent="0.15">
      <c r="G392" s="64">
        <f t="shared" si="144"/>
        <v>0</v>
      </c>
      <c r="I392" s="64">
        <f t="shared" si="145"/>
        <v>0</v>
      </c>
      <c r="K392" s="64">
        <f t="shared" si="146"/>
        <v>0</v>
      </c>
      <c r="M392" s="64">
        <f t="shared" si="147"/>
        <v>0</v>
      </c>
      <c r="O392" s="64">
        <f t="shared" si="148"/>
        <v>0</v>
      </c>
      <c r="Q392" s="64">
        <f t="shared" si="149"/>
        <v>0</v>
      </c>
      <c r="S392" s="71">
        <f t="shared" si="150"/>
        <v>0</v>
      </c>
      <c r="U392" s="64">
        <f t="shared" si="151"/>
        <v>0</v>
      </c>
      <c r="W392" s="71">
        <f t="shared" si="152"/>
        <v>0</v>
      </c>
      <c r="Y392" s="71">
        <f t="shared" si="153"/>
        <v>0</v>
      </c>
      <c r="AA392" s="71">
        <f t="shared" si="154"/>
        <v>0</v>
      </c>
      <c r="AC392" s="71">
        <f t="shared" si="155"/>
        <v>0</v>
      </c>
      <c r="AK392" s="71">
        <f t="shared" si="156"/>
        <v>0</v>
      </c>
      <c r="AM392" s="71">
        <f t="shared" si="157"/>
        <v>0</v>
      </c>
      <c r="AO392" s="71">
        <f t="shared" si="158"/>
        <v>0</v>
      </c>
      <c r="AQ392" s="71">
        <f t="shared" si="159"/>
        <v>0</v>
      </c>
      <c r="AT392" s="71">
        <f t="shared" si="160"/>
        <v>0</v>
      </c>
      <c r="AV392" s="71">
        <f t="shared" si="161"/>
        <v>0</v>
      </c>
      <c r="AX392" s="71">
        <f t="shared" si="162"/>
        <v>0</v>
      </c>
      <c r="AZ392" s="71">
        <f t="shared" si="163"/>
        <v>0</v>
      </c>
      <c r="BE392" s="102">
        <f t="shared" si="164"/>
        <v>4.4721359549995796</v>
      </c>
      <c r="BF392" s="81">
        <f t="shared" si="165"/>
        <v>9.3924867883288243E-14</v>
      </c>
      <c r="BG392" s="81" t="str">
        <f t="shared" si="166"/>
        <v>BASSO</v>
      </c>
      <c r="BK392" s="81" t="str">
        <f t="shared" si="167"/>
        <v>MOLTO BASSO</v>
      </c>
    </row>
    <row r="393" spans="7:63" x14ac:dyDescent="0.15">
      <c r="G393" s="64">
        <f t="shared" si="144"/>
        <v>0</v>
      </c>
      <c r="I393" s="64">
        <f t="shared" si="145"/>
        <v>0</v>
      </c>
      <c r="K393" s="64">
        <f t="shared" si="146"/>
        <v>0</v>
      </c>
      <c r="M393" s="64">
        <f t="shared" si="147"/>
        <v>0</v>
      </c>
      <c r="O393" s="64">
        <f t="shared" si="148"/>
        <v>0</v>
      </c>
      <c r="Q393" s="64">
        <f t="shared" si="149"/>
        <v>0</v>
      </c>
      <c r="S393" s="71">
        <f t="shared" si="150"/>
        <v>0</v>
      </c>
      <c r="U393" s="64">
        <f t="shared" si="151"/>
        <v>0</v>
      </c>
      <c r="W393" s="71">
        <f t="shared" si="152"/>
        <v>0</v>
      </c>
      <c r="Y393" s="71">
        <f t="shared" si="153"/>
        <v>0</v>
      </c>
      <c r="AA393" s="71">
        <f t="shared" si="154"/>
        <v>0</v>
      </c>
      <c r="AC393" s="71">
        <f t="shared" si="155"/>
        <v>0</v>
      </c>
      <c r="AK393" s="71">
        <f t="shared" si="156"/>
        <v>0</v>
      </c>
      <c r="AM393" s="71">
        <f t="shared" si="157"/>
        <v>0</v>
      </c>
      <c r="AO393" s="71">
        <f t="shared" si="158"/>
        <v>0</v>
      </c>
      <c r="AQ393" s="71">
        <f t="shared" si="159"/>
        <v>0</v>
      </c>
      <c r="AT393" s="71">
        <f t="shared" si="160"/>
        <v>0</v>
      </c>
      <c r="AV393" s="71">
        <f t="shared" si="161"/>
        <v>0</v>
      </c>
      <c r="AX393" s="71">
        <f t="shared" si="162"/>
        <v>0</v>
      </c>
      <c r="AZ393" s="71">
        <f t="shared" si="163"/>
        <v>0</v>
      </c>
      <c r="BE393" s="102">
        <f t="shared" si="164"/>
        <v>4.4721359549995796</v>
      </c>
      <c r="BF393" s="81">
        <f t="shared" si="165"/>
        <v>9.3924867883288243E-14</v>
      </c>
      <c r="BG393" s="81" t="str">
        <f t="shared" si="166"/>
        <v>BASSO</v>
      </c>
      <c r="BK393" s="81" t="str">
        <f t="shared" si="167"/>
        <v>MOLTO BASSO</v>
      </c>
    </row>
    <row r="394" spans="7:63" x14ac:dyDescent="0.15">
      <c r="G394" s="64">
        <f t="shared" si="144"/>
        <v>0</v>
      </c>
      <c r="I394" s="64">
        <f t="shared" si="145"/>
        <v>0</v>
      </c>
      <c r="K394" s="64">
        <f t="shared" si="146"/>
        <v>0</v>
      </c>
      <c r="M394" s="64">
        <f t="shared" si="147"/>
        <v>0</v>
      </c>
      <c r="O394" s="64">
        <f t="shared" si="148"/>
        <v>0</v>
      </c>
      <c r="Q394" s="64">
        <f t="shared" si="149"/>
        <v>0</v>
      </c>
      <c r="S394" s="71">
        <f t="shared" si="150"/>
        <v>0</v>
      </c>
      <c r="U394" s="64">
        <f t="shared" si="151"/>
        <v>0</v>
      </c>
      <c r="W394" s="71">
        <f t="shared" si="152"/>
        <v>0</v>
      </c>
      <c r="Y394" s="71">
        <f t="shared" si="153"/>
        <v>0</v>
      </c>
      <c r="AA394" s="71">
        <f t="shared" si="154"/>
        <v>0</v>
      </c>
      <c r="AC394" s="71">
        <f t="shared" si="155"/>
        <v>0</v>
      </c>
      <c r="AK394" s="71">
        <f t="shared" si="156"/>
        <v>0</v>
      </c>
      <c r="AM394" s="71">
        <f t="shared" si="157"/>
        <v>0</v>
      </c>
      <c r="AO394" s="71">
        <f t="shared" si="158"/>
        <v>0</v>
      </c>
      <c r="AQ394" s="71">
        <f t="shared" si="159"/>
        <v>0</v>
      </c>
      <c r="AT394" s="71">
        <f t="shared" si="160"/>
        <v>0</v>
      </c>
      <c r="AV394" s="71">
        <f t="shared" si="161"/>
        <v>0</v>
      </c>
      <c r="AX394" s="71">
        <f t="shared" si="162"/>
        <v>0</v>
      </c>
      <c r="AZ394" s="71">
        <f t="shared" si="163"/>
        <v>0</v>
      </c>
      <c r="BE394" s="102">
        <f t="shared" si="164"/>
        <v>4.4721359549995796</v>
      </c>
      <c r="BF394" s="81">
        <f t="shared" si="165"/>
        <v>9.3924867883288243E-14</v>
      </c>
      <c r="BG394" s="81" t="str">
        <f t="shared" si="166"/>
        <v>BASSO</v>
      </c>
      <c r="BK394" s="81" t="str">
        <f t="shared" si="167"/>
        <v>MOLTO BASSO</v>
      </c>
    </row>
    <row r="395" spans="7:63" x14ac:dyDescent="0.15">
      <c r="G395" s="64">
        <f t="shared" si="144"/>
        <v>0</v>
      </c>
      <c r="I395" s="64">
        <f t="shared" si="145"/>
        <v>0</v>
      </c>
      <c r="K395" s="64">
        <f t="shared" si="146"/>
        <v>0</v>
      </c>
      <c r="M395" s="64">
        <f t="shared" si="147"/>
        <v>0</v>
      </c>
      <c r="O395" s="64">
        <f t="shared" si="148"/>
        <v>0</v>
      </c>
      <c r="Q395" s="64">
        <f t="shared" si="149"/>
        <v>0</v>
      </c>
      <c r="S395" s="71">
        <f t="shared" si="150"/>
        <v>0</v>
      </c>
      <c r="U395" s="64">
        <f t="shared" si="151"/>
        <v>0</v>
      </c>
      <c r="W395" s="71">
        <f t="shared" si="152"/>
        <v>0</v>
      </c>
      <c r="Y395" s="71">
        <f t="shared" si="153"/>
        <v>0</v>
      </c>
      <c r="AA395" s="71">
        <f t="shared" si="154"/>
        <v>0</v>
      </c>
      <c r="AC395" s="71">
        <f t="shared" si="155"/>
        <v>0</v>
      </c>
      <c r="AK395" s="71">
        <f t="shared" si="156"/>
        <v>0</v>
      </c>
      <c r="AM395" s="71">
        <f t="shared" si="157"/>
        <v>0</v>
      </c>
      <c r="AO395" s="71">
        <f t="shared" si="158"/>
        <v>0</v>
      </c>
      <c r="AQ395" s="71">
        <f t="shared" si="159"/>
        <v>0</v>
      </c>
      <c r="AT395" s="71">
        <f t="shared" si="160"/>
        <v>0</v>
      </c>
      <c r="AV395" s="71">
        <f t="shared" si="161"/>
        <v>0</v>
      </c>
      <c r="AX395" s="71">
        <f t="shared" si="162"/>
        <v>0</v>
      </c>
      <c r="AZ395" s="71">
        <f t="shared" si="163"/>
        <v>0</v>
      </c>
      <c r="BE395" s="102">
        <f t="shared" si="164"/>
        <v>4.4721359549995796</v>
      </c>
      <c r="BF395" s="81">
        <f t="shared" si="165"/>
        <v>9.3924867883288243E-14</v>
      </c>
      <c r="BG395" s="81" t="str">
        <f t="shared" si="166"/>
        <v>BASSO</v>
      </c>
      <c r="BK395" s="81" t="str">
        <f t="shared" si="167"/>
        <v>MOLTO BASSO</v>
      </c>
    </row>
    <row r="396" spans="7:63" x14ac:dyDescent="0.15">
      <c r="G396" s="64">
        <f t="shared" si="144"/>
        <v>0</v>
      </c>
      <c r="I396" s="64">
        <f t="shared" si="145"/>
        <v>0</v>
      </c>
      <c r="K396" s="64">
        <f t="shared" si="146"/>
        <v>0</v>
      </c>
      <c r="M396" s="64">
        <f t="shared" si="147"/>
        <v>0</v>
      </c>
      <c r="O396" s="64">
        <f t="shared" si="148"/>
        <v>0</v>
      </c>
      <c r="Q396" s="64">
        <f t="shared" si="149"/>
        <v>0</v>
      </c>
      <c r="S396" s="71">
        <f t="shared" si="150"/>
        <v>0</v>
      </c>
      <c r="U396" s="64">
        <f t="shared" si="151"/>
        <v>0</v>
      </c>
      <c r="W396" s="71">
        <f t="shared" si="152"/>
        <v>0</v>
      </c>
      <c r="Y396" s="71">
        <f t="shared" si="153"/>
        <v>0</v>
      </c>
      <c r="AA396" s="71">
        <f t="shared" si="154"/>
        <v>0</v>
      </c>
      <c r="AC396" s="71">
        <f t="shared" si="155"/>
        <v>0</v>
      </c>
      <c r="AK396" s="71">
        <f t="shared" si="156"/>
        <v>0</v>
      </c>
      <c r="AM396" s="71">
        <f t="shared" si="157"/>
        <v>0</v>
      </c>
      <c r="AO396" s="71">
        <f t="shared" si="158"/>
        <v>0</v>
      </c>
      <c r="AQ396" s="71">
        <f t="shared" si="159"/>
        <v>0</v>
      </c>
      <c r="AT396" s="71">
        <f t="shared" si="160"/>
        <v>0</v>
      </c>
      <c r="AV396" s="71">
        <f t="shared" si="161"/>
        <v>0</v>
      </c>
      <c r="AX396" s="71">
        <f t="shared" si="162"/>
        <v>0</v>
      </c>
      <c r="AZ396" s="71">
        <f t="shared" si="163"/>
        <v>0</v>
      </c>
      <c r="BE396" s="102">
        <f t="shared" si="164"/>
        <v>4.4721359549995796</v>
      </c>
      <c r="BF396" s="81">
        <f t="shared" si="165"/>
        <v>9.3924867883288243E-14</v>
      </c>
      <c r="BG396" s="81" t="str">
        <f t="shared" si="166"/>
        <v>BASSO</v>
      </c>
      <c r="BK396" s="81" t="str">
        <f t="shared" si="167"/>
        <v>MOLTO BASSO</v>
      </c>
    </row>
    <row r="397" spans="7:63" x14ac:dyDescent="0.15">
      <c r="G397" s="64">
        <f t="shared" si="144"/>
        <v>0</v>
      </c>
      <c r="I397" s="64">
        <f t="shared" si="145"/>
        <v>0</v>
      </c>
      <c r="K397" s="64">
        <f t="shared" si="146"/>
        <v>0</v>
      </c>
      <c r="M397" s="64">
        <f t="shared" si="147"/>
        <v>0</v>
      </c>
      <c r="O397" s="64">
        <f t="shared" si="148"/>
        <v>0</v>
      </c>
      <c r="Q397" s="64">
        <f t="shared" si="149"/>
        <v>0</v>
      </c>
      <c r="S397" s="71">
        <f t="shared" si="150"/>
        <v>0</v>
      </c>
      <c r="U397" s="64">
        <f t="shared" si="151"/>
        <v>0</v>
      </c>
      <c r="W397" s="71">
        <f t="shared" si="152"/>
        <v>0</v>
      </c>
      <c r="Y397" s="71">
        <f t="shared" si="153"/>
        <v>0</v>
      </c>
      <c r="AA397" s="71">
        <f t="shared" si="154"/>
        <v>0</v>
      </c>
      <c r="AC397" s="71">
        <f t="shared" si="155"/>
        <v>0</v>
      </c>
      <c r="AK397" s="71">
        <f t="shared" si="156"/>
        <v>0</v>
      </c>
      <c r="AM397" s="71">
        <f t="shared" si="157"/>
        <v>0</v>
      </c>
      <c r="AO397" s="71">
        <f t="shared" si="158"/>
        <v>0</v>
      </c>
      <c r="AQ397" s="71">
        <f t="shared" si="159"/>
        <v>0</v>
      </c>
      <c r="AT397" s="71">
        <f t="shared" si="160"/>
        <v>0</v>
      </c>
      <c r="AV397" s="71">
        <f t="shared" si="161"/>
        <v>0</v>
      </c>
      <c r="AX397" s="71">
        <f t="shared" si="162"/>
        <v>0</v>
      </c>
      <c r="AZ397" s="71">
        <f t="shared" si="163"/>
        <v>0</v>
      </c>
      <c r="BE397" s="102">
        <f t="shared" si="164"/>
        <v>4.4721359549995796</v>
      </c>
      <c r="BF397" s="81">
        <f t="shared" si="165"/>
        <v>9.3924867883288243E-14</v>
      </c>
      <c r="BG397" s="81" t="str">
        <f t="shared" si="166"/>
        <v>BASSO</v>
      </c>
      <c r="BK397" s="81" t="str">
        <f t="shared" si="167"/>
        <v>MOLTO BASSO</v>
      </c>
    </row>
    <row r="398" spans="7:63" x14ac:dyDescent="0.15">
      <c r="G398" s="64">
        <f t="shared" si="144"/>
        <v>0</v>
      </c>
      <c r="I398" s="64">
        <f t="shared" si="145"/>
        <v>0</v>
      </c>
      <c r="K398" s="64">
        <f t="shared" si="146"/>
        <v>0</v>
      </c>
      <c r="M398" s="64">
        <f t="shared" si="147"/>
        <v>0</v>
      </c>
      <c r="O398" s="64">
        <f t="shared" si="148"/>
        <v>0</v>
      </c>
      <c r="Q398" s="64">
        <f t="shared" si="149"/>
        <v>0</v>
      </c>
      <c r="S398" s="71">
        <f t="shared" si="150"/>
        <v>0</v>
      </c>
      <c r="U398" s="64">
        <f t="shared" si="151"/>
        <v>0</v>
      </c>
      <c r="W398" s="71">
        <f t="shared" si="152"/>
        <v>0</v>
      </c>
      <c r="Y398" s="71">
        <f t="shared" si="153"/>
        <v>0</v>
      </c>
      <c r="AA398" s="71">
        <f t="shared" si="154"/>
        <v>0</v>
      </c>
      <c r="AC398" s="71">
        <f t="shared" si="155"/>
        <v>0</v>
      </c>
      <c r="AK398" s="71">
        <f t="shared" si="156"/>
        <v>0</v>
      </c>
      <c r="AM398" s="71">
        <f t="shared" si="157"/>
        <v>0</v>
      </c>
      <c r="AO398" s="71">
        <f t="shared" si="158"/>
        <v>0</v>
      </c>
      <c r="AQ398" s="71">
        <f t="shared" si="159"/>
        <v>0</v>
      </c>
      <c r="AT398" s="71">
        <f t="shared" si="160"/>
        <v>0</v>
      </c>
      <c r="AV398" s="71">
        <f t="shared" si="161"/>
        <v>0</v>
      </c>
      <c r="AX398" s="71">
        <f t="shared" si="162"/>
        <v>0</v>
      </c>
      <c r="AZ398" s="71">
        <f t="shared" si="163"/>
        <v>0</v>
      </c>
      <c r="BE398" s="102">
        <f t="shared" si="164"/>
        <v>4.4721359549995796</v>
      </c>
      <c r="BF398" s="81">
        <f t="shared" si="165"/>
        <v>9.3924867883288243E-14</v>
      </c>
      <c r="BG398" s="81" t="str">
        <f t="shared" si="166"/>
        <v>BASSO</v>
      </c>
      <c r="BK398" s="81" t="str">
        <f t="shared" si="167"/>
        <v>MOLTO BASSO</v>
      </c>
    </row>
    <row r="399" spans="7:63" x14ac:dyDescent="0.15">
      <c r="G399" s="64">
        <f t="shared" si="144"/>
        <v>0</v>
      </c>
      <c r="I399" s="64">
        <f t="shared" si="145"/>
        <v>0</v>
      </c>
      <c r="K399" s="64">
        <f t="shared" si="146"/>
        <v>0</v>
      </c>
      <c r="M399" s="64">
        <f t="shared" si="147"/>
        <v>0</v>
      </c>
      <c r="O399" s="64">
        <f t="shared" si="148"/>
        <v>0</v>
      </c>
      <c r="Q399" s="64">
        <f t="shared" si="149"/>
        <v>0</v>
      </c>
      <c r="S399" s="71">
        <f t="shared" si="150"/>
        <v>0</v>
      </c>
      <c r="U399" s="64">
        <f t="shared" si="151"/>
        <v>0</v>
      </c>
      <c r="W399" s="71">
        <f t="shared" si="152"/>
        <v>0</v>
      </c>
      <c r="Y399" s="71">
        <f t="shared" si="153"/>
        <v>0</v>
      </c>
      <c r="AA399" s="71">
        <f t="shared" si="154"/>
        <v>0</v>
      </c>
      <c r="AC399" s="71">
        <f t="shared" si="155"/>
        <v>0</v>
      </c>
      <c r="AK399" s="71">
        <f t="shared" si="156"/>
        <v>0</v>
      </c>
      <c r="AM399" s="71">
        <f t="shared" si="157"/>
        <v>0</v>
      </c>
      <c r="AO399" s="71">
        <f t="shared" si="158"/>
        <v>0</v>
      </c>
      <c r="AQ399" s="71">
        <f t="shared" si="159"/>
        <v>0</v>
      </c>
      <c r="AT399" s="71">
        <f t="shared" si="160"/>
        <v>0</v>
      </c>
      <c r="AV399" s="71">
        <f t="shared" si="161"/>
        <v>0</v>
      </c>
      <c r="AX399" s="71">
        <f t="shared" si="162"/>
        <v>0</v>
      </c>
      <c r="AZ399" s="71">
        <f t="shared" si="163"/>
        <v>0</v>
      </c>
      <c r="BE399" s="102">
        <f t="shared" si="164"/>
        <v>4.4721359549995796</v>
      </c>
      <c r="BF399" s="81">
        <f t="shared" si="165"/>
        <v>9.3924867883288243E-14</v>
      </c>
      <c r="BG399" s="81" t="str">
        <f t="shared" si="166"/>
        <v>BASSO</v>
      </c>
      <c r="BK399" s="81" t="str">
        <f t="shared" si="167"/>
        <v>MOLTO BASSO</v>
      </c>
    </row>
    <row r="400" spans="7:63" x14ac:dyDescent="0.15">
      <c r="G400" s="64">
        <f t="shared" si="144"/>
        <v>0</v>
      </c>
      <c r="I400" s="64">
        <f t="shared" si="145"/>
        <v>0</v>
      </c>
      <c r="K400" s="64">
        <f t="shared" si="146"/>
        <v>0</v>
      </c>
      <c r="M400" s="64">
        <f t="shared" si="147"/>
        <v>0</v>
      </c>
      <c r="O400" s="64">
        <f t="shared" si="148"/>
        <v>0</v>
      </c>
      <c r="Q400" s="64">
        <f t="shared" si="149"/>
        <v>0</v>
      </c>
      <c r="S400" s="71">
        <f t="shared" si="150"/>
        <v>0</v>
      </c>
      <c r="U400" s="64">
        <f t="shared" si="151"/>
        <v>0</v>
      </c>
      <c r="W400" s="71">
        <f t="shared" si="152"/>
        <v>0</v>
      </c>
      <c r="Y400" s="71">
        <f t="shared" si="153"/>
        <v>0</v>
      </c>
      <c r="AA400" s="71">
        <f t="shared" si="154"/>
        <v>0</v>
      </c>
      <c r="AC400" s="71">
        <f t="shared" si="155"/>
        <v>0</v>
      </c>
      <c r="AK400" s="71">
        <f t="shared" si="156"/>
        <v>0</v>
      </c>
      <c r="AM400" s="71">
        <f t="shared" si="157"/>
        <v>0</v>
      </c>
      <c r="AO400" s="71">
        <f t="shared" si="158"/>
        <v>0</v>
      </c>
      <c r="AQ400" s="71">
        <f t="shared" si="159"/>
        <v>0</v>
      </c>
      <c r="AT400" s="71">
        <f t="shared" si="160"/>
        <v>0</v>
      </c>
      <c r="AV400" s="71">
        <f t="shared" si="161"/>
        <v>0</v>
      </c>
      <c r="AX400" s="71">
        <f t="shared" si="162"/>
        <v>0</v>
      </c>
      <c r="AZ400" s="71">
        <f t="shared" si="163"/>
        <v>0</v>
      </c>
      <c r="BE400" s="102">
        <f t="shared" si="164"/>
        <v>4.4721359549995796</v>
      </c>
      <c r="BF400" s="81">
        <f t="shared" si="165"/>
        <v>9.3924867883288243E-14</v>
      </c>
      <c r="BG400" s="81" t="str">
        <f t="shared" si="166"/>
        <v>BASSO</v>
      </c>
      <c r="BK400" s="81" t="str">
        <f t="shared" si="167"/>
        <v>MOLTO BASSO</v>
      </c>
    </row>
    <row r="401" spans="7:63" x14ac:dyDescent="0.15">
      <c r="G401" s="64">
        <f t="shared" si="144"/>
        <v>0</v>
      </c>
      <c r="I401" s="64">
        <f t="shared" si="145"/>
        <v>0</v>
      </c>
      <c r="K401" s="64">
        <f t="shared" si="146"/>
        <v>0</v>
      </c>
      <c r="M401" s="64">
        <f t="shared" si="147"/>
        <v>0</v>
      </c>
      <c r="O401" s="64">
        <f t="shared" si="148"/>
        <v>0</v>
      </c>
      <c r="Q401" s="64">
        <f t="shared" si="149"/>
        <v>0</v>
      </c>
      <c r="S401" s="71">
        <f t="shared" si="150"/>
        <v>0</v>
      </c>
      <c r="U401" s="64">
        <f t="shared" si="151"/>
        <v>0</v>
      </c>
      <c r="W401" s="71">
        <f t="shared" si="152"/>
        <v>0</v>
      </c>
      <c r="Y401" s="71">
        <f t="shared" si="153"/>
        <v>0</v>
      </c>
      <c r="AA401" s="71">
        <f t="shared" si="154"/>
        <v>0</v>
      </c>
      <c r="AC401" s="71">
        <f t="shared" si="155"/>
        <v>0</v>
      </c>
      <c r="AK401" s="71">
        <f t="shared" si="156"/>
        <v>0</v>
      </c>
      <c r="AM401" s="71">
        <f t="shared" si="157"/>
        <v>0</v>
      </c>
      <c r="AO401" s="71">
        <f t="shared" si="158"/>
        <v>0</v>
      </c>
      <c r="AQ401" s="71">
        <f t="shared" si="159"/>
        <v>0</v>
      </c>
      <c r="AT401" s="71">
        <f t="shared" si="160"/>
        <v>0</v>
      </c>
      <c r="AV401" s="71">
        <f t="shared" si="161"/>
        <v>0</v>
      </c>
      <c r="AX401" s="71">
        <f t="shared" si="162"/>
        <v>0</v>
      </c>
      <c r="AZ401" s="71">
        <f t="shared" si="163"/>
        <v>0</v>
      </c>
      <c r="BE401" s="102">
        <f t="shared" si="164"/>
        <v>4.4721359549995796</v>
      </c>
      <c r="BF401" s="81">
        <f t="shared" si="165"/>
        <v>9.3924867883288243E-14</v>
      </c>
      <c r="BG401" s="81" t="str">
        <f t="shared" si="166"/>
        <v>BASSO</v>
      </c>
      <c r="BK401" s="81" t="str">
        <f t="shared" si="167"/>
        <v>MOLTO BASSO</v>
      </c>
    </row>
    <row r="402" spans="7:63" x14ac:dyDescent="0.15">
      <c r="G402" s="64">
        <f t="shared" si="144"/>
        <v>0</v>
      </c>
      <c r="I402" s="64">
        <f t="shared" si="145"/>
        <v>0</v>
      </c>
      <c r="K402" s="64">
        <f t="shared" si="146"/>
        <v>0</v>
      </c>
      <c r="M402" s="64">
        <f t="shared" si="147"/>
        <v>0</v>
      </c>
      <c r="O402" s="64">
        <f t="shared" si="148"/>
        <v>0</v>
      </c>
      <c r="Q402" s="64">
        <f t="shared" si="149"/>
        <v>0</v>
      </c>
      <c r="S402" s="71">
        <f t="shared" si="150"/>
        <v>0</v>
      </c>
      <c r="U402" s="64">
        <f t="shared" si="151"/>
        <v>0</v>
      </c>
      <c r="W402" s="71">
        <f t="shared" si="152"/>
        <v>0</v>
      </c>
      <c r="Y402" s="71">
        <f t="shared" si="153"/>
        <v>0</v>
      </c>
      <c r="AA402" s="71">
        <f t="shared" si="154"/>
        <v>0</v>
      </c>
      <c r="AC402" s="71">
        <f t="shared" si="155"/>
        <v>0</v>
      </c>
      <c r="AK402" s="71">
        <f t="shared" si="156"/>
        <v>0</v>
      </c>
      <c r="AM402" s="71">
        <f t="shared" si="157"/>
        <v>0</v>
      </c>
      <c r="AO402" s="71">
        <f t="shared" si="158"/>
        <v>0</v>
      </c>
      <c r="AQ402" s="71">
        <f t="shared" si="159"/>
        <v>0</v>
      </c>
      <c r="AT402" s="71">
        <f t="shared" si="160"/>
        <v>0</v>
      </c>
      <c r="AV402" s="71">
        <f t="shared" si="161"/>
        <v>0</v>
      </c>
      <c r="AX402" s="71">
        <f t="shared" si="162"/>
        <v>0</v>
      </c>
      <c r="AZ402" s="71">
        <f t="shared" si="163"/>
        <v>0</v>
      </c>
      <c r="BE402" s="102">
        <f t="shared" si="164"/>
        <v>4.4721359549995796</v>
      </c>
      <c r="BF402" s="81">
        <f t="shared" si="165"/>
        <v>9.3924867883288243E-14</v>
      </c>
      <c r="BG402" s="81" t="str">
        <f t="shared" si="166"/>
        <v>BASSO</v>
      </c>
      <c r="BK402" s="81" t="str">
        <f t="shared" si="167"/>
        <v>MOLTO BASSO</v>
      </c>
    </row>
    <row r="403" spans="7:63" x14ac:dyDescent="0.15">
      <c r="G403" s="64">
        <f t="shared" si="144"/>
        <v>0</v>
      </c>
      <c r="I403" s="64">
        <f t="shared" si="145"/>
        <v>0</v>
      </c>
      <c r="K403" s="64">
        <f t="shared" si="146"/>
        <v>0</v>
      </c>
      <c r="M403" s="64">
        <f t="shared" si="147"/>
        <v>0</v>
      </c>
      <c r="O403" s="64">
        <f t="shared" si="148"/>
        <v>0</v>
      </c>
      <c r="Q403" s="64">
        <f t="shared" si="149"/>
        <v>0</v>
      </c>
      <c r="S403" s="71">
        <f t="shared" si="150"/>
        <v>0</v>
      </c>
      <c r="U403" s="64">
        <f t="shared" si="151"/>
        <v>0</v>
      </c>
      <c r="W403" s="71">
        <f t="shared" si="152"/>
        <v>0</v>
      </c>
      <c r="Y403" s="71">
        <f t="shared" si="153"/>
        <v>0</v>
      </c>
      <c r="AA403" s="71">
        <f t="shared" si="154"/>
        <v>0</v>
      </c>
      <c r="AC403" s="71">
        <f t="shared" si="155"/>
        <v>0</v>
      </c>
      <c r="AK403" s="71">
        <f t="shared" si="156"/>
        <v>0</v>
      </c>
      <c r="AM403" s="71">
        <f t="shared" si="157"/>
        <v>0</v>
      </c>
      <c r="AO403" s="71">
        <f t="shared" si="158"/>
        <v>0</v>
      </c>
      <c r="AQ403" s="71">
        <f t="shared" si="159"/>
        <v>0</v>
      </c>
      <c r="AT403" s="71">
        <f t="shared" si="160"/>
        <v>0</v>
      </c>
      <c r="AV403" s="71">
        <f t="shared" si="161"/>
        <v>0</v>
      </c>
      <c r="AX403" s="71">
        <f t="shared" si="162"/>
        <v>0</v>
      </c>
      <c r="AZ403" s="71">
        <f t="shared" si="163"/>
        <v>0</v>
      </c>
      <c r="BE403" s="102">
        <f t="shared" si="164"/>
        <v>4.4721359549995796</v>
      </c>
      <c r="BF403" s="81">
        <f t="shared" si="165"/>
        <v>9.3924867883288243E-14</v>
      </c>
      <c r="BG403" s="81" t="str">
        <f t="shared" si="166"/>
        <v>BASSO</v>
      </c>
      <c r="BK403" s="81" t="str">
        <f t="shared" si="167"/>
        <v>MOLTO BASSO</v>
      </c>
    </row>
    <row r="404" spans="7:63" x14ac:dyDescent="0.15">
      <c r="G404" s="64">
        <f t="shared" si="144"/>
        <v>0</v>
      </c>
      <c r="I404" s="64">
        <f t="shared" si="145"/>
        <v>0</v>
      </c>
      <c r="K404" s="64">
        <f t="shared" si="146"/>
        <v>0</v>
      </c>
      <c r="M404" s="64">
        <f t="shared" si="147"/>
        <v>0</v>
      </c>
      <c r="O404" s="64">
        <f t="shared" si="148"/>
        <v>0</v>
      </c>
      <c r="Q404" s="64">
        <f t="shared" si="149"/>
        <v>0</v>
      </c>
      <c r="S404" s="71">
        <f t="shared" si="150"/>
        <v>0</v>
      </c>
      <c r="U404" s="64">
        <f t="shared" si="151"/>
        <v>0</v>
      </c>
      <c r="W404" s="71">
        <f t="shared" si="152"/>
        <v>0</v>
      </c>
      <c r="Y404" s="71">
        <f t="shared" si="153"/>
        <v>0</v>
      </c>
      <c r="AA404" s="71">
        <f t="shared" si="154"/>
        <v>0</v>
      </c>
      <c r="AC404" s="71">
        <f t="shared" si="155"/>
        <v>0</v>
      </c>
      <c r="AK404" s="71">
        <f t="shared" si="156"/>
        <v>0</v>
      </c>
      <c r="AM404" s="71">
        <f t="shared" si="157"/>
        <v>0</v>
      </c>
      <c r="AO404" s="71">
        <f t="shared" si="158"/>
        <v>0</v>
      </c>
      <c r="AQ404" s="71">
        <f t="shared" si="159"/>
        <v>0</v>
      </c>
      <c r="AT404" s="71">
        <f t="shared" si="160"/>
        <v>0</v>
      </c>
      <c r="AV404" s="71">
        <f t="shared" si="161"/>
        <v>0</v>
      </c>
      <c r="AX404" s="71">
        <f t="shared" si="162"/>
        <v>0</v>
      </c>
      <c r="AZ404" s="71">
        <f t="shared" si="163"/>
        <v>0</v>
      </c>
      <c r="BE404" s="102">
        <f t="shared" si="164"/>
        <v>4.4721359549995796</v>
      </c>
      <c r="BF404" s="81">
        <f t="shared" si="165"/>
        <v>9.3924867883288243E-14</v>
      </c>
      <c r="BG404" s="81" t="str">
        <f t="shared" si="166"/>
        <v>BASSO</v>
      </c>
      <c r="BK404" s="81" t="str">
        <f t="shared" si="167"/>
        <v>MOLTO BASSO</v>
      </c>
    </row>
    <row r="405" spans="7:63" x14ac:dyDescent="0.15">
      <c r="G405" s="64">
        <f t="shared" si="144"/>
        <v>0</v>
      </c>
      <c r="I405" s="64">
        <f t="shared" si="145"/>
        <v>0</v>
      </c>
      <c r="K405" s="64">
        <f t="shared" si="146"/>
        <v>0</v>
      </c>
      <c r="M405" s="64">
        <f t="shared" si="147"/>
        <v>0</v>
      </c>
      <c r="O405" s="64">
        <f t="shared" si="148"/>
        <v>0</v>
      </c>
      <c r="Q405" s="64">
        <f t="shared" si="149"/>
        <v>0</v>
      </c>
      <c r="S405" s="71">
        <f t="shared" si="150"/>
        <v>0</v>
      </c>
      <c r="U405" s="64">
        <f t="shared" si="151"/>
        <v>0</v>
      </c>
      <c r="W405" s="71">
        <f t="shared" si="152"/>
        <v>0</v>
      </c>
      <c r="Y405" s="71">
        <f t="shared" si="153"/>
        <v>0</v>
      </c>
      <c r="AA405" s="71">
        <f t="shared" si="154"/>
        <v>0</v>
      </c>
      <c r="AC405" s="71">
        <f t="shared" si="155"/>
        <v>0</v>
      </c>
      <c r="AK405" s="71">
        <f t="shared" si="156"/>
        <v>0</v>
      </c>
      <c r="AM405" s="71">
        <f t="shared" si="157"/>
        <v>0</v>
      </c>
      <c r="AO405" s="71">
        <f t="shared" si="158"/>
        <v>0</v>
      </c>
      <c r="AQ405" s="71">
        <f t="shared" si="159"/>
        <v>0</v>
      </c>
      <c r="AT405" s="71">
        <f t="shared" si="160"/>
        <v>0</v>
      </c>
      <c r="AV405" s="71">
        <f t="shared" si="161"/>
        <v>0</v>
      </c>
      <c r="AX405" s="71">
        <f t="shared" si="162"/>
        <v>0</v>
      </c>
      <c r="AZ405" s="71">
        <f t="shared" si="163"/>
        <v>0</v>
      </c>
      <c r="BE405" s="102">
        <f t="shared" si="164"/>
        <v>4.4721359549995796</v>
      </c>
      <c r="BF405" s="81">
        <f t="shared" si="165"/>
        <v>9.3924867883288243E-14</v>
      </c>
      <c r="BG405" s="81" t="str">
        <f t="shared" si="166"/>
        <v>BASSO</v>
      </c>
      <c r="BK405" s="81" t="str">
        <f t="shared" si="167"/>
        <v>MOLTO BASSO</v>
      </c>
    </row>
    <row r="406" spans="7:63" x14ac:dyDescent="0.15">
      <c r="G406" s="64">
        <f t="shared" si="144"/>
        <v>0</v>
      </c>
      <c r="I406" s="64">
        <f t="shared" si="145"/>
        <v>0</v>
      </c>
      <c r="K406" s="64">
        <f t="shared" si="146"/>
        <v>0</v>
      </c>
      <c r="M406" s="64">
        <f t="shared" si="147"/>
        <v>0</v>
      </c>
      <c r="O406" s="64">
        <f t="shared" si="148"/>
        <v>0</v>
      </c>
      <c r="Q406" s="64">
        <f t="shared" si="149"/>
        <v>0</v>
      </c>
      <c r="S406" s="71">
        <f t="shared" si="150"/>
        <v>0</v>
      </c>
      <c r="U406" s="64">
        <f t="shared" si="151"/>
        <v>0</v>
      </c>
      <c r="W406" s="71">
        <f t="shared" si="152"/>
        <v>0</v>
      </c>
      <c r="Y406" s="71">
        <f t="shared" si="153"/>
        <v>0</v>
      </c>
      <c r="AA406" s="71">
        <f t="shared" si="154"/>
        <v>0</v>
      </c>
      <c r="AC406" s="71">
        <f t="shared" si="155"/>
        <v>0</v>
      </c>
      <c r="AK406" s="71">
        <f t="shared" si="156"/>
        <v>0</v>
      </c>
      <c r="AM406" s="71">
        <f t="shared" si="157"/>
        <v>0</v>
      </c>
      <c r="AO406" s="71">
        <f t="shared" si="158"/>
        <v>0</v>
      </c>
      <c r="AQ406" s="71">
        <f t="shared" si="159"/>
        <v>0</v>
      </c>
      <c r="AT406" s="71">
        <f t="shared" si="160"/>
        <v>0</v>
      </c>
      <c r="AV406" s="71">
        <f t="shared" si="161"/>
        <v>0</v>
      </c>
      <c r="AX406" s="71">
        <f t="shared" si="162"/>
        <v>0</v>
      </c>
      <c r="AZ406" s="71">
        <f t="shared" si="163"/>
        <v>0</v>
      </c>
      <c r="BE406" s="102">
        <f t="shared" si="164"/>
        <v>4.4721359549995796</v>
      </c>
      <c r="BF406" s="81">
        <f t="shared" si="165"/>
        <v>9.3924867883288243E-14</v>
      </c>
      <c r="BG406" s="81" t="str">
        <f t="shared" si="166"/>
        <v>BASSO</v>
      </c>
      <c r="BK406" s="81" t="str">
        <f t="shared" si="167"/>
        <v>MOLTO BASSO</v>
      </c>
    </row>
    <row r="407" spans="7:63" x14ac:dyDescent="0.15">
      <c r="G407" s="64">
        <f t="shared" si="144"/>
        <v>0</v>
      </c>
      <c r="I407" s="64">
        <f t="shared" si="145"/>
        <v>0</v>
      </c>
      <c r="K407" s="64">
        <f t="shared" si="146"/>
        <v>0</v>
      </c>
      <c r="M407" s="64">
        <f t="shared" si="147"/>
        <v>0</v>
      </c>
      <c r="O407" s="64">
        <f t="shared" si="148"/>
        <v>0</v>
      </c>
      <c r="Q407" s="64">
        <f t="shared" si="149"/>
        <v>0</v>
      </c>
      <c r="S407" s="71">
        <f t="shared" si="150"/>
        <v>0</v>
      </c>
      <c r="U407" s="64">
        <f t="shared" si="151"/>
        <v>0</v>
      </c>
      <c r="W407" s="71">
        <f t="shared" si="152"/>
        <v>0</v>
      </c>
      <c r="Y407" s="71">
        <f t="shared" si="153"/>
        <v>0</v>
      </c>
      <c r="AA407" s="71">
        <f t="shared" si="154"/>
        <v>0</v>
      </c>
      <c r="AC407" s="71">
        <f t="shared" si="155"/>
        <v>0</v>
      </c>
      <c r="AK407" s="71">
        <f t="shared" si="156"/>
        <v>0</v>
      </c>
      <c r="AM407" s="71">
        <f t="shared" si="157"/>
        <v>0</v>
      </c>
      <c r="AO407" s="71">
        <f t="shared" si="158"/>
        <v>0</v>
      </c>
      <c r="AQ407" s="71">
        <f t="shared" si="159"/>
        <v>0</v>
      </c>
      <c r="AT407" s="71">
        <f t="shared" si="160"/>
        <v>0</v>
      </c>
      <c r="AV407" s="71">
        <f t="shared" si="161"/>
        <v>0</v>
      </c>
      <c r="AX407" s="71">
        <f t="shared" si="162"/>
        <v>0</v>
      </c>
      <c r="AZ407" s="71">
        <f t="shared" si="163"/>
        <v>0</v>
      </c>
      <c r="BE407" s="102">
        <f t="shared" si="164"/>
        <v>4.4721359549995796</v>
      </c>
      <c r="BF407" s="81">
        <f t="shared" si="165"/>
        <v>9.3924867883288243E-14</v>
      </c>
      <c r="BG407" s="81" t="str">
        <f t="shared" si="166"/>
        <v>BASSO</v>
      </c>
      <c r="BK407" s="81" t="str">
        <f t="shared" si="167"/>
        <v>MOLTO BASSO</v>
      </c>
    </row>
    <row r="408" spans="7:63" x14ac:dyDescent="0.15">
      <c r="G408" s="64">
        <f t="shared" si="144"/>
        <v>0</v>
      </c>
      <c r="I408" s="64">
        <f t="shared" si="145"/>
        <v>0</v>
      </c>
      <c r="K408" s="64">
        <f t="shared" si="146"/>
        <v>0</v>
      </c>
      <c r="M408" s="64">
        <f t="shared" si="147"/>
        <v>0</v>
      </c>
      <c r="O408" s="64">
        <f t="shared" si="148"/>
        <v>0</v>
      </c>
      <c r="Q408" s="64">
        <f t="shared" si="149"/>
        <v>0</v>
      </c>
      <c r="S408" s="71">
        <f t="shared" si="150"/>
        <v>0</v>
      </c>
      <c r="U408" s="64">
        <f t="shared" si="151"/>
        <v>0</v>
      </c>
      <c r="W408" s="71">
        <f t="shared" si="152"/>
        <v>0</v>
      </c>
      <c r="Y408" s="71">
        <f t="shared" si="153"/>
        <v>0</v>
      </c>
      <c r="AA408" s="71">
        <f t="shared" si="154"/>
        <v>0</v>
      </c>
      <c r="AC408" s="71">
        <f t="shared" si="155"/>
        <v>0</v>
      </c>
      <c r="AK408" s="71">
        <f t="shared" si="156"/>
        <v>0</v>
      </c>
      <c r="AM408" s="71">
        <f t="shared" si="157"/>
        <v>0</v>
      </c>
      <c r="AO408" s="71">
        <f t="shared" si="158"/>
        <v>0</v>
      </c>
      <c r="AQ408" s="71">
        <f t="shared" si="159"/>
        <v>0</v>
      </c>
      <c r="AT408" s="71">
        <f t="shared" si="160"/>
        <v>0</v>
      </c>
      <c r="AV408" s="71">
        <f t="shared" si="161"/>
        <v>0</v>
      </c>
      <c r="AX408" s="71">
        <f t="shared" si="162"/>
        <v>0</v>
      </c>
      <c r="AZ408" s="71">
        <f t="shared" si="163"/>
        <v>0</v>
      </c>
      <c r="BE408" s="102">
        <f t="shared" si="164"/>
        <v>4.4721359549995796</v>
      </c>
      <c r="BF408" s="81">
        <f t="shared" si="165"/>
        <v>9.3924867883288243E-14</v>
      </c>
      <c r="BG408" s="81" t="str">
        <f t="shared" si="166"/>
        <v>BASSO</v>
      </c>
      <c r="BK408" s="81" t="str">
        <f t="shared" si="167"/>
        <v>MOLTO BASSO</v>
      </c>
    </row>
    <row r="409" spans="7:63" x14ac:dyDescent="0.15">
      <c r="G409" s="64">
        <f t="shared" si="144"/>
        <v>0</v>
      </c>
      <c r="I409" s="64">
        <f t="shared" si="145"/>
        <v>0</v>
      </c>
      <c r="K409" s="64">
        <f t="shared" si="146"/>
        <v>0</v>
      </c>
      <c r="M409" s="64">
        <f t="shared" si="147"/>
        <v>0</v>
      </c>
      <c r="O409" s="64">
        <f t="shared" si="148"/>
        <v>0</v>
      </c>
      <c r="Q409" s="64">
        <f t="shared" si="149"/>
        <v>0</v>
      </c>
      <c r="S409" s="71">
        <f t="shared" si="150"/>
        <v>0</v>
      </c>
      <c r="U409" s="64">
        <f t="shared" si="151"/>
        <v>0</v>
      </c>
      <c r="W409" s="71">
        <f t="shared" si="152"/>
        <v>0</v>
      </c>
      <c r="Y409" s="71">
        <f t="shared" si="153"/>
        <v>0</v>
      </c>
      <c r="AA409" s="71">
        <f t="shared" si="154"/>
        <v>0</v>
      </c>
      <c r="AC409" s="71">
        <f t="shared" si="155"/>
        <v>0</v>
      </c>
      <c r="AK409" s="71">
        <f t="shared" si="156"/>
        <v>0</v>
      </c>
      <c r="AM409" s="71">
        <f t="shared" si="157"/>
        <v>0</v>
      </c>
      <c r="AO409" s="71">
        <f t="shared" si="158"/>
        <v>0</v>
      </c>
      <c r="AQ409" s="71">
        <f t="shared" si="159"/>
        <v>0</v>
      </c>
      <c r="AT409" s="71">
        <f t="shared" si="160"/>
        <v>0</v>
      </c>
      <c r="AV409" s="71">
        <f t="shared" si="161"/>
        <v>0</v>
      </c>
      <c r="AX409" s="71">
        <f t="shared" si="162"/>
        <v>0</v>
      </c>
      <c r="AZ409" s="71">
        <f t="shared" si="163"/>
        <v>0</v>
      </c>
      <c r="BE409" s="102">
        <f t="shared" si="164"/>
        <v>4.4721359549995796</v>
      </c>
      <c r="BF409" s="81">
        <f t="shared" si="165"/>
        <v>9.3924867883288243E-14</v>
      </c>
      <c r="BG409" s="81" t="str">
        <f t="shared" si="166"/>
        <v>BASSO</v>
      </c>
      <c r="BK409" s="81" t="str">
        <f t="shared" si="167"/>
        <v>MOLTO BASSO</v>
      </c>
    </row>
    <row r="410" spans="7:63" x14ac:dyDescent="0.15">
      <c r="G410" s="64">
        <f t="shared" si="144"/>
        <v>0</v>
      </c>
      <c r="I410" s="64">
        <f t="shared" si="145"/>
        <v>0</v>
      </c>
      <c r="K410" s="64">
        <f t="shared" si="146"/>
        <v>0</v>
      </c>
      <c r="M410" s="64">
        <f t="shared" si="147"/>
        <v>0</v>
      </c>
      <c r="O410" s="64">
        <f t="shared" si="148"/>
        <v>0</v>
      </c>
      <c r="Q410" s="64">
        <f t="shared" si="149"/>
        <v>0</v>
      </c>
      <c r="S410" s="71">
        <f t="shared" si="150"/>
        <v>0</v>
      </c>
      <c r="U410" s="64">
        <f t="shared" si="151"/>
        <v>0</v>
      </c>
      <c r="W410" s="71">
        <f t="shared" si="152"/>
        <v>0</v>
      </c>
      <c r="Y410" s="71">
        <f t="shared" si="153"/>
        <v>0</v>
      </c>
      <c r="AA410" s="71">
        <f t="shared" si="154"/>
        <v>0</v>
      </c>
      <c r="AC410" s="71">
        <f t="shared" si="155"/>
        <v>0</v>
      </c>
      <c r="AK410" s="71">
        <f t="shared" si="156"/>
        <v>0</v>
      </c>
      <c r="AM410" s="71">
        <f t="shared" si="157"/>
        <v>0</v>
      </c>
      <c r="AO410" s="71">
        <f t="shared" si="158"/>
        <v>0</v>
      </c>
      <c r="AQ410" s="71">
        <f t="shared" si="159"/>
        <v>0</v>
      </c>
      <c r="AT410" s="71">
        <f t="shared" si="160"/>
        <v>0</v>
      </c>
      <c r="AV410" s="71">
        <f t="shared" si="161"/>
        <v>0</v>
      </c>
      <c r="AX410" s="71">
        <f t="shared" si="162"/>
        <v>0</v>
      </c>
      <c r="AZ410" s="71">
        <f t="shared" si="163"/>
        <v>0</v>
      </c>
      <c r="BE410" s="102">
        <f t="shared" si="164"/>
        <v>4.4721359549995796</v>
      </c>
      <c r="BF410" s="81">
        <f t="shared" si="165"/>
        <v>9.3924867883288243E-14</v>
      </c>
      <c r="BG410" s="81" t="str">
        <f t="shared" si="166"/>
        <v>BASSO</v>
      </c>
      <c r="BK410" s="81" t="str">
        <f t="shared" si="167"/>
        <v>MOLTO BASSO</v>
      </c>
    </row>
    <row r="411" spans="7:63" x14ac:dyDescent="0.15">
      <c r="G411" s="64">
        <f t="shared" si="144"/>
        <v>0</v>
      </c>
      <c r="I411" s="64">
        <f t="shared" si="145"/>
        <v>0</v>
      </c>
      <c r="K411" s="64">
        <f t="shared" si="146"/>
        <v>0</v>
      </c>
      <c r="M411" s="64">
        <f t="shared" si="147"/>
        <v>0</v>
      </c>
      <c r="O411" s="64">
        <f t="shared" si="148"/>
        <v>0</v>
      </c>
      <c r="Q411" s="64">
        <f t="shared" si="149"/>
        <v>0</v>
      </c>
      <c r="S411" s="71">
        <f t="shared" si="150"/>
        <v>0</v>
      </c>
      <c r="U411" s="64">
        <f t="shared" si="151"/>
        <v>0</v>
      </c>
      <c r="W411" s="71">
        <f t="shared" si="152"/>
        <v>0</v>
      </c>
      <c r="Y411" s="71">
        <f t="shared" si="153"/>
        <v>0</v>
      </c>
      <c r="AA411" s="71">
        <f t="shared" si="154"/>
        <v>0</v>
      </c>
      <c r="AC411" s="71">
        <f t="shared" si="155"/>
        <v>0</v>
      </c>
      <c r="AK411" s="71">
        <f t="shared" si="156"/>
        <v>0</v>
      </c>
      <c r="AM411" s="71">
        <f t="shared" si="157"/>
        <v>0</v>
      </c>
      <c r="AO411" s="71">
        <f t="shared" si="158"/>
        <v>0</v>
      </c>
      <c r="AQ411" s="71">
        <f t="shared" si="159"/>
        <v>0</v>
      </c>
      <c r="AT411" s="71">
        <f t="shared" si="160"/>
        <v>0</v>
      </c>
      <c r="AV411" s="71">
        <f t="shared" si="161"/>
        <v>0</v>
      </c>
      <c r="AX411" s="71">
        <f t="shared" si="162"/>
        <v>0</v>
      </c>
      <c r="AZ411" s="71">
        <f t="shared" si="163"/>
        <v>0</v>
      </c>
      <c r="BE411" s="102">
        <f t="shared" si="164"/>
        <v>4.4721359549995796</v>
      </c>
      <c r="BF411" s="81">
        <f t="shared" si="165"/>
        <v>9.3924867883288243E-14</v>
      </c>
      <c r="BG411" s="81" t="str">
        <f t="shared" si="166"/>
        <v>BASSO</v>
      </c>
      <c r="BK411" s="81" t="str">
        <f t="shared" si="167"/>
        <v>MOLTO BASSO</v>
      </c>
    </row>
    <row r="412" spans="7:63" x14ac:dyDescent="0.15">
      <c r="G412" s="64">
        <f t="shared" si="144"/>
        <v>0</v>
      </c>
      <c r="I412" s="64">
        <f t="shared" si="145"/>
        <v>0</v>
      </c>
      <c r="K412" s="64">
        <f t="shared" si="146"/>
        <v>0</v>
      </c>
      <c r="M412" s="64">
        <f t="shared" si="147"/>
        <v>0</v>
      </c>
      <c r="O412" s="64">
        <f t="shared" si="148"/>
        <v>0</v>
      </c>
      <c r="Q412" s="64">
        <f t="shared" si="149"/>
        <v>0</v>
      </c>
      <c r="S412" s="71">
        <f t="shared" si="150"/>
        <v>0</v>
      </c>
      <c r="U412" s="64">
        <f t="shared" si="151"/>
        <v>0</v>
      </c>
      <c r="W412" s="71">
        <f t="shared" si="152"/>
        <v>0</v>
      </c>
      <c r="Y412" s="71">
        <f t="shared" si="153"/>
        <v>0</v>
      </c>
      <c r="AA412" s="71">
        <f t="shared" si="154"/>
        <v>0</v>
      </c>
      <c r="AC412" s="71">
        <f t="shared" si="155"/>
        <v>0</v>
      </c>
      <c r="AK412" s="71">
        <f t="shared" si="156"/>
        <v>0</v>
      </c>
      <c r="AM412" s="71">
        <f t="shared" si="157"/>
        <v>0</v>
      </c>
      <c r="AO412" s="71">
        <f t="shared" si="158"/>
        <v>0</v>
      </c>
      <c r="AQ412" s="71">
        <f t="shared" si="159"/>
        <v>0</v>
      </c>
      <c r="AT412" s="71">
        <f t="shared" si="160"/>
        <v>0</v>
      </c>
      <c r="AV412" s="71">
        <f t="shared" si="161"/>
        <v>0</v>
      </c>
      <c r="AX412" s="71">
        <f t="shared" si="162"/>
        <v>0</v>
      </c>
      <c r="AZ412" s="71">
        <f t="shared" si="163"/>
        <v>0</v>
      </c>
      <c r="BE412" s="102">
        <f t="shared" si="164"/>
        <v>4.4721359549995796</v>
      </c>
      <c r="BF412" s="81">
        <f t="shared" si="165"/>
        <v>9.3924867883288243E-14</v>
      </c>
      <c r="BG412" s="81" t="str">
        <f t="shared" si="166"/>
        <v>BASSO</v>
      </c>
      <c r="BK412" s="81" t="str">
        <f t="shared" si="167"/>
        <v>MOLTO BASSO</v>
      </c>
    </row>
    <row r="413" spans="7:63" x14ac:dyDescent="0.15">
      <c r="G413" s="64">
        <f t="shared" si="144"/>
        <v>0</v>
      </c>
      <c r="I413" s="64">
        <f t="shared" si="145"/>
        <v>0</v>
      </c>
      <c r="K413" s="64">
        <f t="shared" si="146"/>
        <v>0</v>
      </c>
      <c r="M413" s="64">
        <f t="shared" si="147"/>
        <v>0</v>
      </c>
      <c r="O413" s="64">
        <f t="shared" si="148"/>
        <v>0</v>
      </c>
      <c r="Q413" s="64">
        <f t="shared" si="149"/>
        <v>0</v>
      </c>
      <c r="S413" s="71">
        <f t="shared" si="150"/>
        <v>0</v>
      </c>
      <c r="U413" s="64">
        <f t="shared" si="151"/>
        <v>0</v>
      </c>
      <c r="W413" s="71">
        <f t="shared" si="152"/>
        <v>0</v>
      </c>
      <c r="Y413" s="71">
        <f t="shared" si="153"/>
        <v>0</v>
      </c>
      <c r="AA413" s="71">
        <f t="shared" si="154"/>
        <v>0</v>
      </c>
      <c r="AC413" s="71">
        <f t="shared" si="155"/>
        <v>0</v>
      </c>
      <c r="AK413" s="71">
        <f t="shared" si="156"/>
        <v>0</v>
      </c>
      <c r="AM413" s="71">
        <f t="shared" si="157"/>
        <v>0</v>
      </c>
      <c r="AO413" s="71">
        <f t="shared" si="158"/>
        <v>0</v>
      </c>
      <c r="AQ413" s="71">
        <f t="shared" si="159"/>
        <v>0</v>
      </c>
      <c r="AT413" s="71">
        <f t="shared" si="160"/>
        <v>0</v>
      </c>
      <c r="AV413" s="71">
        <f t="shared" si="161"/>
        <v>0</v>
      </c>
      <c r="AX413" s="71">
        <f t="shared" si="162"/>
        <v>0</v>
      </c>
      <c r="AZ413" s="71">
        <f t="shared" si="163"/>
        <v>0</v>
      </c>
      <c r="BE413" s="102">
        <f t="shared" si="164"/>
        <v>4.4721359549995796</v>
      </c>
      <c r="BF413" s="81">
        <f t="shared" si="165"/>
        <v>9.3924867883288243E-14</v>
      </c>
      <c r="BG413" s="81" t="str">
        <f t="shared" si="166"/>
        <v>BASSO</v>
      </c>
      <c r="BK413" s="81" t="str">
        <f t="shared" si="167"/>
        <v>MOLTO BASSO</v>
      </c>
    </row>
    <row r="414" spans="7:63" x14ac:dyDescent="0.15">
      <c r="G414" s="64">
        <f t="shared" si="144"/>
        <v>0</v>
      </c>
      <c r="I414" s="64">
        <f t="shared" si="145"/>
        <v>0</v>
      </c>
      <c r="K414" s="64">
        <f t="shared" si="146"/>
        <v>0</v>
      </c>
      <c r="M414" s="64">
        <f t="shared" si="147"/>
        <v>0</v>
      </c>
      <c r="O414" s="64">
        <f t="shared" si="148"/>
        <v>0</v>
      </c>
      <c r="Q414" s="64">
        <f t="shared" si="149"/>
        <v>0</v>
      </c>
      <c r="S414" s="71">
        <f t="shared" si="150"/>
        <v>0</v>
      </c>
      <c r="U414" s="64">
        <f t="shared" si="151"/>
        <v>0</v>
      </c>
      <c r="W414" s="71">
        <f t="shared" si="152"/>
        <v>0</v>
      </c>
      <c r="Y414" s="71">
        <f t="shared" si="153"/>
        <v>0</v>
      </c>
      <c r="AA414" s="71">
        <f t="shared" si="154"/>
        <v>0</v>
      </c>
      <c r="AC414" s="71">
        <f t="shared" si="155"/>
        <v>0</v>
      </c>
      <c r="AK414" s="71">
        <f t="shared" si="156"/>
        <v>0</v>
      </c>
      <c r="AM414" s="71">
        <f t="shared" si="157"/>
        <v>0</v>
      </c>
      <c r="AO414" s="71">
        <f t="shared" si="158"/>
        <v>0</v>
      </c>
      <c r="AQ414" s="71">
        <f t="shared" si="159"/>
        <v>0</v>
      </c>
      <c r="AT414" s="71">
        <f t="shared" si="160"/>
        <v>0</v>
      </c>
      <c r="AV414" s="71">
        <f t="shared" si="161"/>
        <v>0</v>
      </c>
      <c r="AX414" s="71">
        <f t="shared" si="162"/>
        <v>0</v>
      </c>
      <c r="AZ414" s="71">
        <f t="shared" si="163"/>
        <v>0</v>
      </c>
      <c r="BE414" s="102">
        <f t="shared" si="164"/>
        <v>4.4721359549995796</v>
      </c>
      <c r="BF414" s="81">
        <f t="shared" si="165"/>
        <v>9.3924867883288243E-14</v>
      </c>
      <c r="BG414" s="81" t="str">
        <f t="shared" si="166"/>
        <v>BASSO</v>
      </c>
      <c r="BK414" s="81" t="str">
        <f t="shared" si="167"/>
        <v>MOLTO BASSO</v>
      </c>
    </row>
    <row r="415" spans="7:63" x14ac:dyDescent="0.15">
      <c r="G415" s="64">
        <f t="shared" si="144"/>
        <v>0</v>
      </c>
      <c r="I415" s="64">
        <f t="shared" si="145"/>
        <v>0</v>
      </c>
      <c r="K415" s="64">
        <f t="shared" si="146"/>
        <v>0</v>
      </c>
      <c r="M415" s="64">
        <f t="shared" si="147"/>
        <v>0</v>
      </c>
      <c r="O415" s="64">
        <f t="shared" si="148"/>
        <v>0</v>
      </c>
      <c r="Q415" s="64">
        <f t="shared" si="149"/>
        <v>0</v>
      </c>
      <c r="S415" s="71">
        <f t="shared" si="150"/>
        <v>0</v>
      </c>
      <c r="U415" s="64">
        <f t="shared" si="151"/>
        <v>0</v>
      </c>
      <c r="W415" s="71">
        <f t="shared" si="152"/>
        <v>0</v>
      </c>
      <c r="Y415" s="71">
        <f t="shared" si="153"/>
        <v>0</v>
      </c>
      <c r="AA415" s="71">
        <f t="shared" si="154"/>
        <v>0</v>
      </c>
      <c r="AC415" s="71">
        <f t="shared" si="155"/>
        <v>0</v>
      </c>
      <c r="AK415" s="71">
        <f t="shared" si="156"/>
        <v>0</v>
      </c>
      <c r="AM415" s="71">
        <f t="shared" si="157"/>
        <v>0</v>
      </c>
      <c r="AO415" s="71">
        <f t="shared" si="158"/>
        <v>0</v>
      </c>
      <c r="AQ415" s="71">
        <f t="shared" si="159"/>
        <v>0</v>
      </c>
      <c r="AT415" s="71">
        <f t="shared" si="160"/>
        <v>0</v>
      </c>
      <c r="AV415" s="71">
        <f t="shared" si="161"/>
        <v>0</v>
      </c>
      <c r="AX415" s="71">
        <f t="shared" si="162"/>
        <v>0</v>
      </c>
      <c r="AZ415" s="71">
        <f t="shared" si="163"/>
        <v>0</v>
      </c>
      <c r="BE415" s="102">
        <f t="shared" si="164"/>
        <v>4.4721359549995796</v>
      </c>
      <c r="BF415" s="81">
        <f t="shared" si="165"/>
        <v>9.3924867883288243E-14</v>
      </c>
      <c r="BG415" s="81" t="str">
        <f t="shared" si="166"/>
        <v>BASSO</v>
      </c>
      <c r="BK415" s="81" t="str">
        <f t="shared" si="167"/>
        <v>MOLTO BASSO</v>
      </c>
    </row>
    <row r="416" spans="7:63" x14ac:dyDescent="0.15">
      <c r="G416" s="64">
        <f t="shared" si="144"/>
        <v>0</v>
      </c>
      <c r="I416" s="64">
        <f t="shared" si="145"/>
        <v>0</v>
      </c>
      <c r="K416" s="64">
        <f t="shared" si="146"/>
        <v>0</v>
      </c>
      <c r="M416" s="64">
        <f t="shared" si="147"/>
        <v>0</v>
      </c>
      <c r="O416" s="64">
        <f t="shared" si="148"/>
        <v>0</v>
      </c>
      <c r="Q416" s="64">
        <f t="shared" si="149"/>
        <v>0</v>
      </c>
      <c r="S416" s="71">
        <f t="shared" si="150"/>
        <v>0</v>
      </c>
      <c r="U416" s="64">
        <f t="shared" si="151"/>
        <v>0</v>
      </c>
      <c r="W416" s="71">
        <f t="shared" si="152"/>
        <v>0</v>
      </c>
      <c r="Y416" s="71">
        <f t="shared" si="153"/>
        <v>0</v>
      </c>
      <c r="AA416" s="71">
        <f t="shared" si="154"/>
        <v>0</v>
      </c>
      <c r="AC416" s="71">
        <f t="shared" si="155"/>
        <v>0</v>
      </c>
      <c r="AK416" s="71">
        <f t="shared" si="156"/>
        <v>0</v>
      </c>
      <c r="AM416" s="71">
        <f t="shared" si="157"/>
        <v>0</v>
      </c>
      <c r="AO416" s="71">
        <f t="shared" si="158"/>
        <v>0</v>
      </c>
      <c r="AQ416" s="71">
        <f t="shared" si="159"/>
        <v>0</v>
      </c>
      <c r="AT416" s="71">
        <f t="shared" si="160"/>
        <v>0</v>
      </c>
      <c r="AV416" s="71">
        <f t="shared" si="161"/>
        <v>0</v>
      </c>
      <c r="AX416" s="71">
        <f t="shared" si="162"/>
        <v>0</v>
      </c>
      <c r="AZ416" s="71">
        <f t="shared" si="163"/>
        <v>0</v>
      </c>
      <c r="BE416" s="102">
        <f t="shared" si="164"/>
        <v>4.4721359549995796</v>
      </c>
      <c r="BF416" s="81">
        <f t="shared" si="165"/>
        <v>9.3924867883288243E-14</v>
      </c>
      <c r="BG416" s="81" t="str">
        <f t="shared" si="166"/>
        <v>BASSO</v>
      </c>
      <c r="BK416" s="81" t="str">
        <f t="shared" si="167"/>
        <v>MOLTO BASSO</v>
      </c>
    </row>
    <row r="417" spans="7:63" x14ac:dyDescent="0.15">
      <c r="G417" s="64">
        <f t="shared" si="144"/>
        <v>0</v>
      </c>
      <c r="I417" s="64">
        <f t="shared" si="145"/>
        <v>0</v>
      </c>
      <c r="K417" s="64">
        <f t="shared" si="146"/>
        <v>0</v>
      </c>
      <c r="M417" s="64">
        <f t="shared" si="147"/>
        <v>0</v>
      </c>
      <c r="O417" s="64">
        <f t="shared" si="148"/>
        <v>0</v>
      </c>
      <c r="Q417" s="64">
        <f t="shared" si="149"/>
        <v>0</v>
      </c>
      <c r="S417" s="71">
        <f t="shared" si="150"/>
        <v>0</v>
      </c>
      <c r="U417" s="64">
        <f t="shared" si="151"/>
        <v>0</v>
      </c>
      <c r="W417" s="71">
        <f t="shared" si="152"/>
        <v>0</v>
      </c>
      <c r="Y417" s="71">
        <f t="shared" si="153"/>
        <v>0</v>
      </c>
      <c r="AA417" s="71">
        <f t="shared" si="154"/>
        <v>0</v>
      </c>
      <c r="AC417" s="71">
        <f t="shared" si="155"/>
        <v>0</v>
      </c>
      <c r="AK417" s="71">
        <f t="shared" si="156"/>
        <v>0</v>
      </c>
      <c r="AM417" s="71">
        <f t="shared" si="157"/>
        <v>0</v>
      </c>
      <c r="AO417" s="71">
        <f t="shared" si="158"/>
        <v>0</v>
      </c>
      <c r="AQ417" s="71">
        <f t="shared" si="159"/>
        <v>0</v>
      </c>
      <c r="AT417" s="71">
        <f t="shared" si="160"/>
        <v>0</v>
      </c>
      <c r="AV417" s="71">
        <f t="shared" si="161"/>
        <v>0</v>
      </c>
      <c r="AX417" s="71">
        <f t="shared" si="162"/>
        <v>0</v>
      </c>
      <c r="AZ417" s="71">
        <f t="shared" si="163"/>
        <v>0</v>
      </c>
      <c r="BE417" s="102">
        <f t="shared" si="164"/>
        <v>4.4721359549995796</v>
      </c>
      <c r="BF417" s="81">
        <f t="shared" si="165"/>
        <v>9.3924867883288243E-14</v>
      </c>
      <c r="BG417" s="81" t="str">
        <f t="shared" si="166"/>
        <v>BASSO</v>
      </c>
      <c r="BK417" s="81" t="str">
        <f t="shared" si="167"/>
        <v>MOLTO BASSO</v>
      </c>
    </row>
    <row r="418" spans="7:63" x14ac:dyDescent="0.15">
      <c r="G418" s="64">
        <f t="shared" si="144"/>
        <v>0</v>
      </c>
      <c r="I418" s="64">
        <f t="shared" si="145"/>
        <v>0</v>
      </c>
      <c r="K418" s="64">
        <f t="shared" si="146"/>
        <v>0</v>
      </c>
      <c r="M418" s="64">
        <f t="shared" si="147"/>
        <v>0</v>
      </c>
      <c r="O418" s="64">
        <f t="shared" si="148"/>
        <v>0</v>
      </c>
      <c r="Q418" s="64">
        <f t="shared" si="149"/>
        <v>0</v>
      </c>
      <c r="S418" s="71">
        <f t="shared" si="150"/>
        <v>0</v>
      </c>
      <c r="U418" s="64">
        <f t="shared" si="151"/>
        <v>0</v>
      </c>
      <c r="W418" s="71">
        <f t="shared" si="152"/>
        <v>0</v>
      </c>
      <c r="Y418" s="71">
        <f t="shared" si="153"/>
        <v>0</v>
      </c>
      <c r="AA418" s="71">
        <f t="shared" si="154"/>
        <v>0</v>
      </c>
      <c r="AC418" s="71">
        <f t="shared" si="155"/>
        <v>0</v>
      </c>
      <c r="AK418" s="71">
        <f t="shared" si="156"/>
        <v>0</v>
      </c>
      <c r="AM418" s="71">
        <f t="shared" si="157"/>
        <v>0</v>
      </c>
      <c r="AO418" s="71">
        <f t="shared" si="158"/>
        <v>0</v>
      </c>
      <c r="AQ418" s="71">
        <f t="shared" si="159"/>
        <v>0</v>
      </c>
      <c r="AT418" s="71">
        <f t="shared" si="160"/>
        <v>0</v>
      </c>
      <c r="AV418" s="71">
        <f t="shared" si="161"/>
        <v>0</v>
      </c>
      <c r="AX418" s="71">
        <f t="shared" si="162"/>
        <v>0</v>
      </c>
      <c r="AZ418" s="71">
        <f t="shared" si="163"/>
        <v>0</v>
      </c>
      <c r="BE418" s="102">
        <f t="shared" si="164"/>
        <v>4.4721359549995796</v>
      </c>
      <c r="BF418" s="81">
        <f t="shared" si="165"/>
        <v>9.3924867883288243E-14</v>
      </c>
      <c r="BG418" s="81" t="str">
        <f t="shared" si="166"/>
        <v>BASSO</v>
      </c>
      <c r="BK418" s="81" t="str">
        <f t="shared" si="167"/>
        <v>MOLTO BASSO</v>
      </c>
    </row>
    <row r="419" spans="7:63" x14ac:dyDescent="0.15">
      <c r="G419" s="64">
        <f t="shared" si="144"/>
        <v>0</v>
      </c>
      <c r="I419" s="64">
        <f t="shared" si="145"/>
        <v>0</v>
      </c>
      <c r="K419" s="64">
        <f t="shared" si="146"/>
        <v>0</v>
      </c>
      <c r="M419" s="64">
        <f t="shared" si="147"/>
        <v>0</v>
      </c>
      <c r="O419" s="64">
        <f t="shared" si="148"/>
        <v>0</v>
      </c>
      <c r="Q419" s="64">
        <f t="shared" si="149"/>
        <v>0</v>
      </c>
      <c r="S419" s="71">
        <f t="shared" si="150"/>
        <v>0</v>
      </c>
      <c r="U419" s="64">
        <f t="shared" si="151"/>
        <v>0</v>
      </c>
      <c r="W419" s="71">
        <f t="shared" si="152"/>
        <v>0</v>
      </c>
      <c r="Y419" s="71">
        <f t="shared" si="153"/>
        <v>0</v>
      </c>
      <c r="AA419" s="71">
        <f t="shared" si="154"/>
        <v>0</v>
      </c>
      <c r="AC419" s="71">
        <f t="shared" si="155"/>
        <v>0</v>
      </c>
      <c r="AK419" s="71">
        <f t="shared" si="156"/>
        <v>0</v>
      </c>
      <c r="AM419" s="71">
        <f t="shared" si="157"/>
        <v>0</v>
      </c>
      <c r="AO419" s="71">
        <f t="shared" si="158"/>
        <v>0</v>
      </c>
      <c r="AQ419" s="71">
        <f t="shared" si="159"/>
        <v>0</v>
      </c>
      <c r="AT419" s="71">
        <f t="shared" si="160"/>
        <v>0</v>
      </c>
      <c r="AV419" s="71">
        <f t="shared" si="161"/>
        <v>0</v>
      </c>
      <c r="AX419" s="71">
        <f t="shared" si="162"/>
        <v>0</v>
      </c>
      <c r="AZ419" s="71">
        <f t="shared" si="163"/>
        <v>0</v>
      </c>
      <c r="BE419" s="102">
        <f t="shared" si="164"/>
        <v>4.4721359549995796</v>
      </c>
      <c r="BF419" s="81">
        <f t="shared" si="165"/>
        <v>9.3924867883288243E-14</v>
      </c>
      <c r="BG419" s="81" t="str">
        <f t="shared" si="166"/>
        <v>BASSO</v>
      </c>
      <c r="BK419" s="81" t="str">
        <f t="shared" si="167"/>
        <v>MOLTO BASSO</v>
      </c>
    </row>
    <row r="420" spans="7:63" x14ac:dyDescent="0.15">
      <c r="G420" s="64">
        <f t="shared" si="144"/>
        <v>0</v>
      </c>
      <c r="I420" s="64">
        <f t="shared" si="145"/>
        <v>0</v>
      </c>
      <c r="K420" s="64">
        <f t="shared" si="146"/>
        <v>0</v>
      </c>
      <c r="M420" s="64">
        <f t="shared" si="147"/>
        <v>0</v>
      </c>
      <c r="O420" s="64">
        <f t="shared" si="148"/>
        <v>0</v>
      </c>
      <c r="Q420" s="64">
        <f t="shared" si="149"/>
        <v>0</v>
      </c>
      <c r="S420" s="71">
        <f t="shared" si="150"/>
        <v>0</v>
      </c>
      <c r="U420" s="64">
        <f t="shared" si="151"/>
        <v>0</v>
      </c>
      <c r="W420" s="71">
        <f t="shared" si="152"/>
        <v>0</v>
      </c>
      <c r="Y420" s="71">
        <f t="shared" si="153"/>
        <v>0</v>
      </c>
      <c r="AA420" s="71">
        <f t="shared" si="154"/>
        <v>0</v>
      </c>
      <c r="AC420" s="71">
        <f t="shared" si="155"/>
        <v>0</v>
      </c>
      <c r="AK420" s="71">
        <f t="shared" si="156"/>
        <v>0</v>
      </c>
      <c r="AM420" s="71">
        <f t="shared" si="157"/>
        <v>0</v>
      </c>
      <c r="AO420" s="71">
        <f t="shared" si="158"/>
        <v>0</v>
      </c>
      <c r="AQ420" s="71">
        <f t="shared" si="159"/>
        <v>0</v>
      </c>
      <c r="AT420" s="71">
        <f t="shared" si="160"/>
        <v>0</v>
      </c>
      <c r="AV420" s="71">
        <f t="shared" si="161"/>
        <v>0</v>
      </c>
      <c r="AX420" s="71">
        <f t="shared" si="162"/>
        <v>0</v>
      </c>
      <c r="AZ420" s="71">
        <f t="shared" si="163"/>
        <v>0</v>
      </c>
      <c r="BE420" s="102">
        <f t="shared" si="164"/>
        <v>4.4721359549995796</v>
      </c>
      <c r="BF420" s="81">
        <f t="shared" si="165"/>
        <v>9.3924867883288243E-14</v>
      </c>
      <c r="BG420" s="81" t="str">
        <f t="shared" si="166"/>
        <v>BASSO</v>
      </c>
      <c r="BK420" s="81" t="str">
        <f t="shared" si="167"/>
        <v>MOLTO BASSO</v>
      </c>
    </row>
    <row r="421" spans="7:63" x14ac:dyDescent="0.15">
      <c r="G421" s="64">
        <f t="shared" si="144"/>
        <v>0</v>
      </c>
      <c r="I421" s="64">
        <f t="shared" si="145"/>
        <v>0</v>
      </c>
      <c r="K421" s="64">
        <f t="shared" si="146"/>
        <v>0</v>
      </c>
      <c r="M421" s="64">
        <f t="shared" si="147"/>
        <v>0</v>
      </c>
      <c r="O421" s="64">
        <f t="shared" si="148"/>
        <v>0</v>
      </c>
      <c r="Q421" s="64">
        <f t="shared" si="149"/>
        <v>0</v>
      </c>
      <c r="S421" s="71">
        <f t="shared" si="150"/>
        <v>0</v>
      </c>
      <c r="U421" s="64">
        <f t="shared" si="151"/>
        <v>0</v>
      </c>
      <c r="W421" s="71">
        <f t="shared" si="152"/>
        <v>0</v>
      </c>
      <c r="Y421" s="71">
        <f t="shared" si="153"/>
        <v>0</v>
      </c>
      <c r="AA421" s="71">
        <f t="shared" si="154"/>
        <v>0</v>
      </c>
      <c r="AC421" s="71">
        <f t="shared" si="155"/>
        <v>0</v>
      </c>
      <c r="AK421" s="71">
        <f t="shared" si="156"/>
        <v>0</v>
      </c>
      <c r="AM421" s="71">
        <f t="shared" si="157"/>
        <v>0</v>
      </c>
      <c r="AO421" s="71">
        <f t="shared" si="158"/>
        <v>0</v>
      </c>
      <c r="AQ421" s="71">
        <f t="shared" si="159"/>
        <v>0</v>
      </c>
      <c r="AT421" s="71">
        <f t="shared" si="160"/>
        <v>0</v>
      </c>
      <c r="AV421" s="71">
        <f t="shared" si="161"/>
        <v>0</v>
      </c>
      <c r="AX421" s="71">
        <f t="shared" si="162"/>
        <v>0</v>
      </c>
      <c r="AZ421" s="71">
        <f t="shared" si="163"/>
        <v>0</v>
      </c>
      <c r="BE421" s="102">
        <f t="shared" si="164"/>
        <v>4.4721359549995796</v>
      </c>
      <c r="BF421" s="81">
        <f t="shared" si="165"/>
        <v>9.3924867883288243E-14</v>
      </c>
      <c r="BG421" s="81" t="str">
        <f t="shared" si="166"/>
        <v>BASSO</v>
      </c>
      <c r="BK421" s="81" t="str">
        <f t="shared" si="167"/>
        <v>MOLTO BASSO</v>
      </c>
    </row>
    <row r="422" spans="7:63" x14ac:dyDescent="0.15">
      <c r="G422" s="64">
        <f t="shared" si="144"/>
        <v>0</v>
      </c>
      <c r="I422" s="64">
        <f t="shared" si="145"/>
        <v>0</v>
      </c>
      <c r="K422" s="64">
        <f t="shared" si="146"/>
        <v>0</v>
      </c>
      <c r="M422" s="64">
        <f t="shared" si="147"/>
        <v>0</v>
      </c>
      <c r="O422" s="64">
        <f t="shared" si="148"/>
        <v>0</v>
      </c>
      <c r="Q422" s="64">
        <f t="shared" si="149"/>
        <v>0</v>
      </c>
      <c r="S422" s="71">
        <f t="shared" si="150"/>
        <v>0</v>
      </c>
      <c r="U422" s="64">
        <f t="shared" si="151"/>
        <v>0</v>
      </c>
      <c r="W422" s="71">
        <f t="shared" si="152"/>
        <v>0</v>
      </c>
      <c r="Y422" s="71">
        <f t="shared" si="153"/>
        <v>0</v>
      </c>
      <c r="AA422" s="71">
        <f t="shared" si="154"/>
        <v>0</v>
      </c>
      <c r="AC422" s="71">
        <f t="shared" si="155"/>
        <v>0</v>
      </c>
      <c r="AK422" s="71">
        <f t="shared" si="156"/>
        <v>0</v>
      </c>
      <c r="AM422" s="71">
        <f t="shared" si="157"/>
        <v>0</v>
      </c>
      <c r="AO422" s="71">
        <f t="shared" si="158"/>
        <v>0</v>
      </c>
      <c r="AQ422" s="71">
        <f t="shared" si="159"/>
        <v>0</v>
      </c>
      <c r="AT422" s="71">
        <f t="shared" si="160"/>
        <v>0</v>
      </c>
      <c r="AV422" s="71">
        <f t="shared" si="161"/>
        <v>0</v>
      </c>
      <c r="AX422" s="71">
        <f t="shared" si="162"/>
        <v>0</v>
      </c>
      <c r="AZ422" s="71">
        <f t="shared" si="163"/>
        <v>0</v>
      </c>
      <c r="BE422" s="102">
        <f t="shared" si="164"/>
        <v>4.4721359549995796</v>
      </c>
      <c r="BF422" s="81">
        <f t="shared" si="165"/>
        <v>9.3924867883288243E-14</v>
      </c>
      <c r="BG422" s="81" t="str">
        <f t="shared" si="166"/>
        <v>BASSO</v>
      </c>
      <c r="BK422" s="81" t="str">
        <f t="shared" si="167"/>
        <v>MOLTO BASSO</v>
      </c>
    </row>
    <row r="423" spans="7:63" x14ac:dyDescent="0.15">
      <c r="G423" s="64">
        <f t="shared" si="144"/>
        <v>0</v>
      </c>
      <c r="I423" s="64">
        <f t="shared" si="145"/>
        <v>0</v>
      </c>
      <c r="K423" s="64">
        <f t="shared" si="146"/>
        <v>0</v>
      </c>
      <c r="M423" s="64">
        <f t="shared" si="147"/>
        <v>0</v>
      </c>
      <c r="O423" s="64">
        <f t="shared" si="148"/>
        <v>0</v>
      </c>
      <c r="Q423" s="64">
        <f t="shared" si="149"/>
        <v>0</v>
      </c>
      <c r="S423" s="71">
        <f t="shared" si="150"/>
        <v>0</v>
      </c>
      <c r="U423" s="64">
        <f t="shared" si="151"/>
        <v>0</v>
      </c>
      <c r="W423" s="71">
        <f t="shared" si="152"/>
        <v>0</v>
      </c>
      <c r="Y423" s="71">
        <f t="shared" si="153"/>
        <v>0</v>
      </c>
      <c r="AA423" s="71">
        <f t="shared" si="154"/>
        <v>0</v>
      </c>
      <c r="AC423" s="71">
        <f t="shared" si="155"/>
        <v>0</v>
      </c>
      <c r="AK423" s="71">
        <f t="shared" si="156"/>
        <v>0</v>
      </c>
      <c r="AM423" s="71">
        <f t="shared" si="157"/>
        <v>0</v>
      </c>
      <c r="AO423" s="71">
        <f t="shared" si="158"/>
        <v>0</v>
      </c>
      <c r="AQ423" s="71">
        <f t="shared" si="159"/>
        <v>0</v>
      </c>
      <c r="AT423" s="71">
        <f t="shared" si="160"/>
        <v>0</v>
      </c>
      <c r="AV423" s="71">
        <f t="shared" si="161"/>
        <v>0</v>
      </c>
      <c r="AX423" s="71">
        <f t="shared" si="162"/>
        <v>0</v>
      </c>
      <c r="AZ423" s="71">
        <f t="shared" si="163"/>
        <v>0</v>
      </c>
      <c r="BE423" s="102">
        <f t="shared" si="164"/>
        <v>4.4721359549995796</v>
      </c>
      <c r="BF423" s="81">
        <f t="shared" si="165"/>
        <v>9.3924867883288243E-14</v>
      </c>
      <c r="BG423" s="81" t="str">
        <f t="shared" si="166"/>
        <v>BASSO</v>
      </c>
      <c r="BK423" s="81" t="str">
        <f t="shared" si="167"/>
        <v>MOLTO BASSO</v>
      </c>
    </row>
    <row r="424" spans="7:63" x14ac:dyDescent="0.15">
      <c r="G424" s="64">
        <f t="shared" ref="G424:G487" si="168">F425/2</f>
        <v>0</v>
      </c>
      <c r="I424" s="64">
        <f t="shared" si="145"/>
        <v>0</v>
      </c>
      <c r="K424" s="64">
        <f t="shared" si="146"/>
        <v>0</v>
      </c>
      <c r="M424" s="64">
        <f t="shared" si="147"/>
        <v>0</v>
      </c>
      <c r="O424" s="64">
        <f t="shared" si="148"/>
        <v>0</v>
      </c>
      <c r="Q424" s="64">
        <f t="shared" si="149"/>
        <v>0</v>
      </c>
      <c r="S424" s="71">
        <f t="shared" si="150"/>
        <v>0</v>
      </c>
      <c r="U424" s="64">
        <f t="shared" si="151"/>
        <v>0</v>
      </c>
      <c r="W424" s="71">
        <f t="shared" si="152"/>
        <v>0</v>
      </c>
      <c r="Y424" s="71">
        <f t="shared" si="153"/>
        <v>0</v>
      </c>
      <c r="AA424" s="71">
        <f t="shared" si="154"/>
        <v>0</v>
      </c>
      <c r="AC424" s="71">
        <f t="shared" si="155"/>
        <v>0</v>
      </c>
      <c r="AK424" s="71">
        <f t="shared" si="156"/>
        <v>0</v>
      </c>
      <c r="AM424" s="71">
        <f t="shared" si="157"/>
        <v>0</v>
      </c>
      <c r="AO424" s="71">
        <f t="shared" si="158"/>
        <v>0</v>
      </c>
      <c r="AQ424" s="71">
        <f t="shared" si="159"/>
        <v>0</v>
      </c>
      <c r="AT424" s="71">
        <f t="shared" si="160"/>
        <v>0</v>
      </c>
      <c r="AV424" s="71">
        <f t="shared" si="161"/>
        <v>0</v>
      </c>
      <c r="AX424" s="71">
        <f t="shared" si="162"/>
        <v>0</v>
      </c>
      <c r="AZ424" s="71">
        <f t="shared" si="163"/>
        <v>0</v>
      </c>
      <c r="BE424" s="102">
        <f t="shared" si="164"/>
        <v>4.4721359549995796</v>
      </c>
      <c r="BF424" s="81">
        <f t="shared" si="165"/>
        <v>9.3924867883288243E-14</v>
      </c>
      <c r="BG424" s="81" t="str">
        <f t="shared" si="166"/>
        <v>BASSO</v>
      </c>
      <c r="BK424" s="81" t="str">
        <f t="shared" si="167"/>
        <v>MOLTO BASSO</v>
      </c>
    </row>
    <row r="425" spans="7:63" x14ac:dyDescent="0.15">
      <c r="G425" s="64">
        <f t="shared" si="168"/>
        <v>0</v>
      </c>
      <c r="I425" s="64">
        <f t="shared" si="145"/>
        <v>0</v>
      </c>
      <c r="K425" s="64">
        <f t="shared" si="146"/>
        <v>0</v>
      </c>
      <c r="M425" s="64">
        <f t="shared" si="147"/>
        <v>0</v>
      </c>
      <c r="O425" s="64">
        <f t="shared" si="148"/>
        <v>0</v>
      </c>
      <c r="Q425" s="64">
        <f t="shared" si="149"/>
        <v>0</v>
      </c>
      <c r="S425" s="71">
        <f t="shared" si="150"/>
        <v>0</v>
      </c>
      <c r="U425" s="64">
        <f t="shared" si="151"/>
        <v>0</v>
      </c>
      <c r="W425" s="71">
        <f t="shared" si="152"/>
        <v>0</v>
      </c>
      <c r="Y425" s="71">
        <f t="shared" si="153"/>
        <v>0</v>
      </c>
      <c r="AA425" s="71">
        <f t="shared" si="154"/>
        <v>0</v>
      </c>
      <c r="AC425" s="71">
        <f t="shared" si="155"/>
        <v>0</v>
      </c>
      <c r="AK425" s="71">
        <f t="shared" si="156"/>
        <v>0</v>
      </c>
      <c r="AM425" s="71">
        <f t="shared" si="157"/>
        <v>0</v>
      </c>
      <c r="AO425" s="71">
        <f t="shared" si="158"/>
        <v>0</v>
      </c>
      <c r="AQ425" s="71">
        <f t="shared" si="159"/>
        <v>0</v>
      </c>
      <c r="AT425" s="71">
        <f t="shared" si="160"/>
        <v>0</v>
      </c>
      <c r="AV425" s="71">
        <f t="shared" si="161"/>
        <v>0</v>
      </c>
      <c r="AX425" s="71">
        <f t="shared" si="162"/>
        <v>0</v>
      </c>
      <c r="AZ425" s="71">
        <f t="shared" si="163"/>
        <v>0</v>
      </c>
      <c r="BE425" s="102">
        <f t="shared" si="164"/>
        <v>4.4721359549995796</v>
      </c>
      <c r="BF425" s="81">
        <f t="shared" si="165"/>
        <v>9.3924867883288243E-14</v>
      </c>
      <c r="BG425" s="81" t="str">
        <f t="shared" si="166"/>
        <v>BASSO</v>
      </c>
      <c r="BK425" s="81" t="str">
        <f t="shared" si="167"/>
        <v>MOLTO BASSO</v>
      </c>
    </row>
    <row r="426" spans="7:63" x14ac:dyDescent="0.15">
      <c r="G426" s="64">
        <f t="shared" si="168"/>
        <v>0</v>
      </c>
      <c r="I426" s="64">
        <f t="shared" si="145"/>
        <v>0</v>
      </c>
      <c r="K426" s="64">
        <f t="shared" si="146"/>
        <v>0</v>
      </c>
      <c r="M426" s="64">
        <f t="shared" si="147"/>
        <v>0</v>
      </c>
      <c r="O426" s="64">
        <f t="shared" si="148"/>
        <v>0</v>
      </c>
      <c r="Q426" s="64">
        <f t="shared" si="149"/>
        <v>0</v>
      </c>
      <c r="S426" s="71">
        <f t="shared" si="150"/>
        <v>0</v>
      </c>
      <c r="U426" s="64">
        <f t="shared" si="151"/>
        <v>0</v>
      </c>
      <c r="W426" s="71">
        <f t="shared" si="152"/>
        <v>0</v>
      </c>
      <c r="Y426" s="71">
        <f t="shared" si="153"/>
        <v>0</v>
      </c>
      <c r="AA426" s="71">
        <f t="shared" si="154"/>
        <v>0</v>
      </c>
      <c r="AC426" s="71">
        <f t="shared" si="155"/>
        <v>0</v>
      </c>
      <c r="AK426" s="71">
        <f t="shared" si="156"/>
        <v>0</v>
      </c>
      <c r="AM426" s="71">
        <f t="shared" si="157"/>
        <v>0</v>
      </c>
      <c r="AO426" s="71">
        <f t="shared" si="158"/>
        <v>0</v>
      </c>
      <c r="AQ426" s="71">
        <f t="shared" si="159"/>
        <v>0</v>
      </c>
      <c r="AT426" s="71">
        <f t="shared" si="160"/>
        <v>0</v>
      </c>
      <c r="AV426" s="71">
        <f t="shared" si="161"/>
        <v>0</v>
      </c>
      <c r="AX426" s="71">
        <f t="shared" si="162"/>
        <v>0</v>
      </c>
      <c r="AZ426" s="71">
        <f t="shared" si="163"/>
        <v>0</v>
      </c>
      <c r="BE426" s="102">
        <f t="shared" si="164"/>
        <v>4.4721359549995796</v>
      </c>
      <c r="BF426" s="81">
        <f t="shared" si="165"/>
        <v>9.3924867883288243E-14</v>
      </c>
      <c r="BG426" s="81" t="str">
        <f t="shared" si="166"/>
        <v>BASSO</v>
      </c>
      <c r="BK426" s="81" t="str">
        <f t="shared" si="167"/>
        <v>MOLTO BASSO</v>
      </c>
    </row>
    <row r="427" spans="7:63" x14ac:dyDescent="0.15">
      <c r="G427" s="64">
        <f t="shared" si="168"/>
        <v>0</v>
      </c>
      <c r="I427" s="64">
        <f t="shared" si="145"/>
        <v>0</v>
      </c>
      <c r="K427" s="64">
        <f t="shared" si="146"/>
        <v>0</v>
      </c>
      <c r="M427" s="64">
        <f t="shared" si="147"/>
        <v>0</v>
      </c>
      <c r="O427" s="64">
        <f t="shared" si="148"/>
        <v>0</v>
      </c>
      <c r="Q427" s="64">
        <f t="shared" si="149"/>
        <v>0</v>
      </c>
      <c r="S427" s="71">
        <f t="shared" si="150"/>
        <v>0</v>
      </c>
      <c r="U427" s="64">
        <f t="shared" si="151"/>
        <v>0</v>
      </c>
      <c r="W427" s="71">
        <f t="shared" si="152"/>
        <v>0</v>
      </c>
      <c r="Y427" s="71">
        <f t="shared" si="153"/>
        <v>0</v>
      </c>
      <c r="AA427" s="71">
        <f t="shared" si="154"/>
        <v>0</v>
      </c>
      <c r="AC427" s="71">
        <f t="shared" si="155"/>
        <v>0</v>
      </c>
      <c r="AK427" s="71">
        <f t="shared" si="156"/>
        <v>0</v>
      </c>
      <c r="AM427" s="71">
        <f t="shared" si="157"/>
        <v>0</v>
      </c>
      <c r="AO427" s="71">
        <f t="shared" si="158"/>
        <v>0</v>
      </c>
      <c r="AQ427" s="71">
        <f t="shared" si="159"/>
        <v>0</v>
      </c>
      <c r="AT427" s="71">
        <f t="shared" si="160"/>
        <v>0</v>
      </c>
      <c r="AV427" s="71">
        <f t="shared" si="161"/>
        <v>0</v>
      </c>
      <c r="AX427" s="71">
        <f t="shared" si="162"/>
        <v>0</v>
      </c>
      <c r="AZ427" s="71">
        <f t="shared" si="163"/>
        <v>0</v>
      </c>
      <c r="BE427" s="102">
        <f t="shared" si="164"/>
        <v>4.4721359549995796</v>
      </c>
      <c r="BF427" s="81">
        <f t="shared" si="165"/>
        <v>9.3924867883288243E-14</v>
      </c>
      <c r="BG427" s="81" t="str">
        <f t="shared" si="166"/>
        <v>BASSO</v>
      </c>
      <c r="BK427" s="81" t="str">
        <f t="shared" si="167"/>
        <v>MOLTO BASSO</v>
      </c>
    </row>
    <row r="428" spans="7:63" x14ac:dyDescent="0.15">
      <c r="G428" s="64">
        <f t="shared" si="168"/>
        <v>0</v>
      </c>
      <c r="I428" s="64">
        <f t="shared" si="145"/>
        <v>0</v>
      </c>
      <c r="K428" s="64">
        <f t="shared" si="146"/>
        <v>0</v>
      </c>
      <c r="M428" s="64">
        <f t="shared" si="147"/>
        <v>0</v>
      </c>
      <c r="O428" s="64">
        <f t="shared" si="148"/>
        <v>0</v>
      </c>
      <c r="Q428" s="64">
        <f t="shared" si="149"/>
        <v>0</v>
      </c>
      <c r="S428" s="71">
        <f t="shared" si="150"/>
        <v>0</v>
      </c>
      <c r="U428" s="64">
        <f t="shared" si="151"/>
        <v>0</v>
      </c>
      <c r="W428" s="71">
        <f t="shared" si="152"/>
        <v>0</v>
      </c>
      <c r="Y428" s="71">
        <f t="shared" si="153"/>
        <v>0</v>
      </c>
      <c r="AA428" s="71">
        <f t="shared" si="154"/>
        <v>0</v>
      </c>
      <c r="AC428" s="71">
        <f t="shared" si="155"/>
        <v>0</v>
      </c>
      <c r="AK428" s="71">
        <f t="shared" si="156"/>
        <v>0</v>
      </c>
      <c r="AM428" s="71">
        <f t="shared" si="157"/>
        <v>0</v>
      </c>
      <c r="AO428" s="71">
        <f t="shared" si="158"/>
        <v>0</v>
      </c>
      <c r="AQ428" s="71">
        <f t="shared" si="159"/>
        <v>0</v>
      </c>
      <c r="AT428" s="71">
        <f t="shared" si="160"/>
        <v>0</v>
      </c>
      <c r="AV428" s="71">
        <f t="shared" si="161"/>
        <v>0</v>
      </c>
      <c r="AX428" s="71">
        <f t="shared" si="162"/>
        <v>0</v>
      </c>
      <c r="AZ428" s="71">
        <f t="shared" si="163"/>
        <v>0</v>
      </c>
      <c r="BE428" s="102">
        <f t="shared" si="164"/>
        <v>4.4721359549995796</v>
      </c>
      <c r="BF428" s="81">
        <f t="shared" si="165"/>
        <v>9.3924867883288243E-14</v>
      </c>
      <c r="BG428" s="81" t="str">
        <f t="shared" si="166"/>
        <v>BASSO</v>
      </c>
      <c r="BK428" s="81" t="str">
        <f t="shared" si="167"/>
        <v>MOLTO BASSO</v>
      </c>
    </row>
    <row r="429" spans="7:63" x14ac:dyDescent="0.15">
      <c r="G429" s="64">
        <f t="shared" si="168"/>
        <v>0</v>
      </c>
      <c r="I429" s="64">
        <f t="shared" si="145"/>
        <v>0</v>
      </c>
      <c r="K429" s="64">
        <f t="shared" si="146"/>
        <v>0</v>
      </c>
      <c r="M429" s="64">
        <f t="shared" si="147"/>
        <v>0</v>
      </c>
      <c r="O429" s="64">
        <f t="shared" si="148"/>
        <v>0</v>
      </c>
      <c r="Q429" s="64">
        <f t="shared" si="149"/>
        <v>0</v>
      </c>
      <c r="S429" s="71">
        <f t="shared" si="150"/>
        <v>0</v>
      </c>
      <c r="U429" s="64">
        <f t="shared" si="151"/>
        <v>0</v>
      </c>
      <c r="W429" s="71">
        <f t="shared" si="152"/>
        <v>0</v>
      </c>
      <c r="Y429" s="71">
        <f t="shared" si="153"/>
        <v>0</v>
      </c>
      <c r="AA429" s="71">
        <f t="shared" si="154"/>
        <v>0</v>
      </c>
      <c r="AC429" s="71">
        <f t="shared" si="155"/>
        <v>0</v>
      </c>
      <c r="AK429" s="71">
        <f t="shared" si="156"/>
        <v>0</v>
      </c>
      <c r="AM429" s="71">
        <f t="shared" si="157"/>
        <v>0</v>
      </c>
      <c r="AO429" s="71">
        <f t="shared" si="158"/>
        <v>0</v>
      </c>
      <c r="AQ429" s="71">
        <f t="shared" si="159"/>
        <v>0</v>
      </c>
      <c r="AT429" s="71">
        <f t="shared" si="160"/>
        <v>0</v>
      </c>
      <c r="AV429" s="71">
        <f t="shared" si="161"/>
        <v>0</v>
      </c>
      <c r="AX429" s="71">
        <f t="shared" si="162"/>
        <v>0</v>
      </c>
      <c r="AZ429" s="71">
        <f t="shared" si="163"/>
        <v>0</v>
      </c>
      <c r="BE429" s="102">
        <f t="shared" si="164"/>
        <v>4.4721359549995796</v>
      </c>
      <c r="BF429" s="81">
        <f t="shared" si="165"/>
        <v>9.3924867883288243E-14</v>
      </c>
      <c r="BG429" s="81" t="str">
        <f t="shared" si="166"/>
        <v>BASSO</v>
      </c>
      <c r="BK429" s="81" t="str">
        <f t="shared" si="167"/>
        <v>MOLTO BASSO</v>
      </c>
    </row>
    <row r="430" spans="7:63" x14ac:dyDescent="0.15">
      <c r="G430" s="64">
        <f t="shared" si="168"/>
        <v>0</v>
      </c>
      <c r="I430" s="64">
        <f t="shared" si="145"/>
        <v>0</v>
      </c>
      <c r="K430" s="64">
        <f t="shared" si="146"/>
        <v>0</v>
      </c>
      <c r="M430" s="64">
        <f t="shared" si="147"/>
        <v>0</v>
      </c>
      <c r="O430" s="64">
        <f t="shared" si="148"/>
        <v>0</v>
      </c>
      <c r="Q430" s="64">
        <f t="shared" si="149"/>
        <v>0</v>
      </c>
      <c r="S430" s="71">
        <f t="shared" si="150"/>
        <v>0</v>
      </c>
      <c r="U430" s="64">
        <f t="shared" si="151"/>
        <v>0</v>
      </c>
      <c r="W430" s="71">
        <f t="shared" si="152"/>
        <v>0</v>
      </c>
      <c r="Y430" s="71">
        <f t="shared" si="153"/>
        <v>0</v>
      </c>
      <c r="AA430" s="71">
        <f t="shared" si="154"/>
        <v>0</v>
      </c>
      <c r="AC430" s="71">
        <f t="shared" si="155"/>
        <v>0</v>
      </c>
      <c r="AK430" s="71">
        <f t="shared" si="156"/>
        <v>0</v>
      </c>
      <c r="AM430" s="71">
        <f t="shared" si="157"/>
        <v>0</v>
      </c>
      <c r="AO430" s="71">
        <f t="shared" si="158"/>
        <v>0</v>
      </c>
      <c r="AQ430" s="71">
        <f t="shared" si="159"/>
        <v>0</v>
      </c>
      <c r="AT430" s="71">
        <f t="shared" si="160"/>
        <v>0</v>
      </c>
      <c r="AV430" s="71">
        <f t="shared" si="161"/>
        <v>0</v>
      </c>
      <c r="AX430" s="71">
        <f t="shared" si="162"/>
        <v>0</v>
      </c>
      <c r="AZ430" s="71">
        <f t="shared" si="163"/>
        <v>0</v>
      </c>
      <c r="BE430" s="102">
        <f t="shared" si="164"/>
        <v>4.4721359549995796</v>
      </c>
      <c r="BF430" s="81">
        <f t="shared" si="165"/>
        <v>9.3924867883288243E-14</v>
      </c>
      <c r="BG430" s="81" t="str">
        <f t="shared" si="166"/>
        <v>BASSO</v>
      </c>
      <c r="BK430" s="81" t="str">
        <f t="shared" si="167"/>
        <v>MOLTO BASSO</v>
      </c>
    </row>
    <row r="431" spans="7:63" x14ac:dyDescent="0.15">
      <c r="G431" s="64">
        <f t="shared" si="168"/>
        <v>0</v>
      </c>
      <c r="I431" s="64">
        <f t="shared" si="145"/>
        <v>0</v>
      </c>
      <c r="K431" s="64">
        <f t="shared" si="146"/>
        <v>0</v>
      </c>
      <c r="M431" s="64">
        <f t="shared" si="147"/>
        <v>0</v>
      </c>
      <c r="O431" s="64">
        <f t="shared" si="148"/>
        <v>0</v>
      </c>
      <c r="Q431" s="64">
        <f t="shared" si="149"/>
        <v>0</v>
      </c>
      <c r="S431" s="71">
        <f t="shared" si="150"/>
        <v>0</v>
      </c>
      <c r="U431" s="64">
        <f t="shared" si="151"/>
        <v>0</v>
      </c>
      <c r="W431" s="71">
        <f t="shared" si="152"/>
        <v>0</v>
      </c>
      <c r="Y431" s="71">
        <f t="shared" si="153"/>
        <v>0</v>
      </c>
      <c r="AA431" s="71">
        <f t="shared" si="154"/>
        <v>0</v>
      </c>
      <c r="AC431" s="71">
        <f t="shared" si="155"/>
        <v>0</v>
      </c>
      <c r="AK431" s="71">
        <f t="shared" si="156"/>
        <v>0</v>
      </c>
      <c r="AM431" s="71">
        <f t="shared" si="157"/>
        <v>0</v>
      </c>
      <c r="AO431" s="71">
        <f t="shared" si="158"/>
        <v>0</v>
      </c>
      <c r="AQ431" s="71">
        <f t="shared" si="159"/>
        <v>0</v>
      </c>
      <c r="AT431" s="71">
        <f t="shared" si="160"/>
        <v>0</v>
      </c>
      <c r="AV431" s="71">
        <f t="shared" si="161"/>
        <v>0</v>
      </c>
      <c r="AX431" s="71">
        <f t="shared" si="162"/>
        <v>0</v>
      </c>
      <c r="AZ431" s="71">
        <f t="shared" si="163"/>
        <v>0</v>
      </c>
      <c r="BE431" s="102">
        <f t="shared" si="164"/>
        <v>4.4721359549995796</v>
      </c>
      <c r="BF431" s="81">
        <f t="shared" si="165"/>
        <v>9.3924867883288243E-14</v>
      </c>
      <c r="BG431" s="81" t="str">
        <f t="shared" si="166"/>
        <v>BASSO</v>
      </c>
      <c r="BK431" s="81" t="str">
        <f t="shared" si="167"/>
        <v>MOLTO BASSO</v>
      </c>
    </row>
    <row r="432" spans="7:63" x14ac:dyDescent="0.15">
      <c r="G432" s="64">
        <f t="shared" si="168"/>
        <v>0</v>
      </c>
      <c r="I432" s="64">
        <f t="shared" si="145"/>
        <v>0</v>
      </c>
      <c r="K432" s="64">
        <f t="shared" si="146"/>
        <v>0</v>
      </c>
      <c r="M432" s="64">
        <f t="shared" si="147"/>
        <v>0</v>
      </c>
      <c r="O432" s="64">
        <f t="shared" si="148"/>
        <v>0</v>
      </c>
      <c r="Q432" s="64">
        <f t="shared" si="149"/>
        <v>0</v>
      </c>
      <c r="S432" s="71">
        <f t="shared" si="150"/>
        <v>0</v>
      </c>
      <c r="U432" s="64">
        <f t="shared" si="151"/>
        <v>0</v>
      </c>
      <c r="W432" s="71">
        <f t="shared" si="152"/>
        <v>0</v>
      </c>
      <c r="Y432" s="71">
        <f t="shared" si="153"/>
        <v>0</v>
      </c>
      <c r="AA432" s="71">
        <f t="shared" si="154"/>
        <v>0</v>
      </c>
      <c r="AC432" s="71">
        <f t="shared" si="155"/>
        <v>0</v>
      </c>
      <c r="AK432" s="71">
        <f t="shared" si="156"/>
        <v>0</v>
      </c>
      <c r="AM432" s="71">
        <f t="shared" si="157"/>
        <v>0</v>
      </c>
      <c r="AO432" s="71">
        <f t="shared" si="158"/>
        <v>0</v>
      </c>
      <c r="AQ432" s="71">
        <f t="shared" si="159"/>
        <v>0</v>
      </c>
      <c r="AT432" s="71">
        <f t="shared" si="160"/>
        <v>0</v>
      </c>
      <c r="AV432" s="71">
        <f t="shared" si="161"/>
        <v>0</v>
      </c>
      <c r="AX432" s="71">
        <f t="shared" si="162"/>
        <v>0</v>
      </c>
      <c r="AZ432" s="71">
        <f t="shared" si="163"/>
        <v>0</v>
      </c>
      <c r="BE432" s="102">
        <f t="shared" si="164"/>
        <v>4.4721359549995796</v>
      </c>
      <c r="BF432" s="81">
        <f t="shared" si="165"/>
        <v>9.3924867883288243E-14</v>
      </c>
      <c r="BG432" s="81" t="str">
        <f t="shared" si="166"/>
        <v>BASSO</v>
      </c>
      <c r="BK432" s="81" t="str">
        <f t="shared" si="167"/>
        <v>MOLTO BASSO</v>
      </c>
    </row>
    <row r="433" spans="7:63" x14ac:dyDescent="0.15">
      <c r="G433" s="64">
        <f t="shared" si="168"/>
        <v>0</v>
      </c>
      <c r="I433" s="64">
        <f t="shared" si="145"/>
        <v>0</v>
      </c>
      <c r="K433" s="64">
        <f t="shared" si="146"/>
        <v>0</v>
      </c>
      <c r="M433" s="64">
        <f t="shared" si="147"/>
        <v>0</v>
      </c>
      <c r="O433" s="64">
        <f t="shared" si="148"/>
        <v>0</v>
      </c>
      <c r="Q433" s="64">
        <f t="shared" si="149"/>
        <v>0</v>
      </c>
      <c r="S433" s="71">
        <f t="shared" si="150"/>
        <v>0</v>
      </c>
      <c r="U433" s="64">
        <f t="shared" si="151"/>
        <v>0</v>
      </c>
      <c r="W433" s="71">
        <f t="shared" si="152"/>
        <v>0</v>
      </c>
      <c r="Y433" s="71">
        <f t="shared" si="153"/>
        <v>0</v>
      </c>
      <c r="AA433" s="71">
        <f t="shared" si="154"/>
        <v>0</v>
      </c>
      <c r="AC433" s="71">
        <f t="shared" si="155"/>
        <v>0</v>
      </c>
      <c r="AK433" s="71">
        <f t="shared" si="156"/>
        <v>0</v>
      </c>
      <c r="AM433" s="71">
        <f t="shared" si="157"/>
        <v>0</v>
      </c>
      <c r="AO433" s="71">
        <f t="shared" si="158"/>
        <v>0</v>
      </c>
      <c r="AQ433" s="71">
        <f t="shared" si="159"/>
        <v>0</v>
      </c>
      <c r="AT433" s="71">
        <f t="shared" si="160"/>
        <v>0</v>
      </c>
      <c r="AV433" s="71">
        <f t="shared" si="161"/>
        <v>0</v>
      </c>
      <c r="AX433" s="71">
        <f t="shared" si="162"/>
        <v>0</v>
      </c>
      <c r="AZ433" s="71">
        <f t="shared" si="163"/>
        <v>0</v>
      </c>
      <c r="BE433" s="102">
        <f t="shared" si="164"/>
        <v>4.4721359549995796</v>
      </c>
      <c r="BF433" s="81">
        <f t="shared" si="165"/>
        <v>9.3924867883288243E-14</v>
      </c>
      <c r="BG433" s="81" t="str">
        <f t="shared" si="166"/>
        <v>BASSO</v>
      </c>
      <c r="BK433" s="81" t="str">
        <f t="shared" si="167"/>
        <v>MOLTO BASSO</v>
      </c>
    </row>
    <row r="434" spans="7:63" x14ac:dyDescent="0.15">
      <c r="G434" s="64">
        <f t="shared" si="168"/>
        <v>0</v>
      </c>
      <c r="I434" s="64">
        <f t="shared" si="145"/>
        <v>0</v>
      </c>
      <c r="K434" s="64">
        <f t="shared" si="146"/>
        <v>0</v>
      </c>
      <c r="M434" s="64">
        <f t="shared" si="147"/>
        <v>0</v>
      </c>
      <c r="O434" s="64">
        <f t="shared" si="148"/>
        <v>0</v>
      </c>
      <c r="Q434" s="64">
        <f t="shared" si="149"/>
        <v>0</v>
      </c>
      <c r="S434" s="71">
        <f t="shared" si="150"/>
        <v>0</v>
      </c>
      <c r="U434" s="64">
        <f t="shared" si="151"/>
        <v>0</v>
      </c>
      <c r="W434" s="71">
        <f t="shared" si="152"/>
        <v>0</v>
      </c>
      <c r="Y434" s="71">
        <f t="shared" si="153"/>
        <v>0</v>
      </c>
      <c r="AA434" s="71">
        <f t="shared" si="154"/>
        <v>0</v>
      </c>
      <c r="AC434" s="71">
        <f t="shared" si="155"/>
        <v>0</v>
      </c>
      <c r="AK434" s="71">
        <f t="shared" si="156"/>
        <v>0</v>
      </c>
      <c r="AM434" s="71">
        <f t="shared" si="157"/>
        <v>0</v>
      </c>
      <c r="AO434" s="71">
        <f t="shared" si="158"/>
        <v>0</v>
      </c>
      <c r="AQ434" s="71">
        <f t="shared" si="159"/>
        <v>0</v>
      </c>
      <c r="AT434" s="71">
        <f t="shared" si="160"/>
        <v>0</v>
      </c>
      <c r="AV434" s="71">
        <f t="shared" si="161"/>
        <v>0</v>
      </c>
      <c r="AX434" s="71">
        <f t="shared" si="162"/>
        <v>0</v>
      </c>
      <c r="AZ434" s="71">
        <f t="shared" si="163"/>
        <v>0</v>
      </c>
      <c r="BE434" s="102">
        <f t="shared" si="164"/>
        <v>4.4721359549995796</v>
      </c>
      <c r="BF434" s="81">
        <f t="shared" si="165"/>
        <v>9.3924867883288243E-14</v>
      </c>
      <c r="BG434" s="81" t="str">
        <f t="shared" si="166"/>
        <v>BASSO</v>
      </c>
      <c r="BK434" s="81" t="str">
        <f t="shared" si="167"/>
        <v>MOLTO BASSO</v>
      </c>
    </row>
    <row r="435" spans="7:63" x14ac:dyDescent="0.15">
      <c r="G435" s="64">
        <f t="shared" si="168"/>
        <v>0</v>
      </c>
      <c r="I435" s="64">
        <f t="shared" si="145"/>
        <v>0</v>
      </c>
      <c r="K435" s="64">
        <f t="shared" si="146"/>
        <v>0</v>
      </c>
      <c r="M435" s="64">
        <f t="shared" si="147"/>
        <v>0</v>
      </c>
      <c r="O435" s="64">
        <f t="shared" si="148"/>
        <v>0</v>
      </c>
      <c r="Q435" s="64">
        <f t="shared" si="149"/>
        <v>0</v>
      </c>
      <c r="S435" s="71">
        <f t="shared" si="150"/>
        <v>0</v>
      </c>
      <c r="U435" s="64">
        <f t="shared" si="151"/>
        <v>0</v>
      </c>
      <c r="W435" s="71">
        <f t="shared" si="152"/>
        <v>0</v>
      </c>
      <c r="Y435" s="71">
        <f t="shared" si="153"/>
        <v>0</v>
      </c>
      <c r="AA435" s="71">
        <f t="shared" si="154"/>
        <v>0</v>
      </c>
      <c r="AC435" s="71">
        <f t="shared" si="155"/>
        <v>0</v>
      </c>
      <c r="AK435" s="71">
        <f t="shared" si="156"/>
        <v>0</v>
      </c>
      <c r="AM435" s="71">
        <f t="shared" si="157"/>
        <v>0</v>
      </c>
      <c r="AO435" s="71">
        <f t="shared" si="158"/>
        <v>0</v>
      </c>
      <c r="AQ435" s="71">
        <f t="shared" si="159"/>
        <v>0</v>
      </c>
      <c r="AT435" s="71">
        <f t="shared" si="160"/>
        <v>0</v>
      </c>
      <c r="AV435" s="71">
        <f t="shared" si="161"/>
        <v>0</v>
      </c>
      <c r="AX435" s="71">
        <f t="shared" si="162"/>
        <v>0</v>
      </c>
      <c r="AZ435" s="71">
        <f t="shared" si="163"/>
        <v>0</v>
      </c>
      <c r="BE435" s="102">
        <f t="shared" si="164"/>
        <v>4.4721359549995796</v>
      </c>
      <c r="BF435" s="81">
        <f t="shared" si="165"/>
        <v>9.3924867883288243E-14</v>
      </c>
      <c r="BG435" s="81" t="str">
        <f t="shared" si="166"/>
        <v>BASSO</v>
      </c>
      <c r="BK435" s="81" t="str">
        <f t="shared" si="167"/>
        <v>MOLTO BASSO</v>
      </c>
    </row>
    <row r="436" spans="7:63" x14ac:dyDescent="0.15">
      <c r="G436" s="64">
        <f t="shared" si="168"/>
        <v>0</v>
      </c>
      <c r="I436" s="64">
        <f t="shared" si="145"/>
        <v>0</v>
      </c>
      <c r="K436" s="64">
        <f t="shared" si="146"/>
        <v>0</v>
      </c>
      <c r="M436" s="64">
        <f t="shared" si="147"/>
        <v>0</v>
      </c>
      <c r="O436" s="64">
        <f t="shared" si="148"/>
        <v>0</v>
      </c>
      <c r="Q436" s="64">
        <f t="shared" si="149"/>
        <v>0</v>
      </c>
      <c r="S436" s="71">
        <f t="shared" si="150"/>
        <v>0</v>
      </c>
      <c r="U436" s="64">
        <f t="shared" si="151"/>
        <v>0</v>
      </c>
      <c r="W436" s="71">
        <f t="shared" si="152"/>
        <v>0</v>
      </c>
      <c r="Y436" s="71">
        <f t="shared" si="153"/>
        <v>0</v>
      </c>
      <c r="AA436" s="71">
        <f t="shared" si="154"/>
        <v>0</v>
      </c>
      <c r="AC436" s="71">
        <f t="shared" si="155"/>
        <v>0</v>
      </c>
      <c r="AK436" s="71">
        <f t="shared" si="156"/>
        <v>0</v>
      </c>
      <c r="AM436" s="71">
        <f t="shared" si="157"/>
        <v>0</v>
      </c>
      <c r="AO436" s="71">
        <f t="shared" si="158"/>
        <v>0</v>
      </c>
      <c r="AQ436" s="71">
        <f t="shared" si="159"/>
        <v>0</v>
      </c>
      <c r="AT436" s="71">
        <f t="shared" si="160"/>
        <v>0</v>
      </c>
      <c r="AV436" s="71">
        <f t="shared" si="161"/>
        <v>0</v>
      </c>
      <c r="AX436" s="71">
        <f t="shared" si="162"/>
        <v>0</v>
      </c>
      <c r="AZ436" s="71">
        <f t="shared" si="163"/>
        <v>0</v>
      </c>
      <c r="BE436" s="102">
        <f t="shared" si="164"/>
        <v>4.4721359549995796</v>
      </c>
      <c r="BF436" s="81">
        <f t="shared" si="165"/>
        <v>9.3924867883288243E-14</v>
      </c>
      <c r="BG436" s="81" t="str">
        <f t="shared" si="166"/>
        <v>BASSO</v>
      </c>
      <c r="BK436" s="81" t="str">
        <f t="shared" si="167"/>
        <v>MOLTO BASSO</v>
      </c>
    </row>
    <row r="437" spans="7:63" x14ac:dyDescent="0.15">
      <c r="G437" s="64">
        <f t="shared" si="168"/>
        <v>0</v>
      </c>
      <c r="I437" s="64">
        <f t="shared" si="145"/>
        <v>0</v>
      </c>
      <c r="K437" s="64">
        <f t="shared" si="146"/>
        <v>0</v>
      </c>
      <c r="M437" s="64">
        <f t="shared" si="147"/>
        <v>0</v>
      </c>
      <c r="O437" s="64">
        <f t="shared" si="148"/>
        <v>0</v>
      </c>
      <c r="Q437" s="64">
        <f t="shared" si="149"/>
        <v>0</v>
      </c>
      <c r="S437" s="71">
        <f t="shared" si="150"/>
        <v>0</v>
      </c>
      <c r="U437" s="64">
        <f t="shared" si="151"/>
        <v>0</v>
      </c>
      <c r="W437" s="71">
        <f t="shared" si="152"/>
        <v>0</v>
      </c>
      <c r="Y437" s="71">
        <f t="shared" si="153"/>
        <v>0</v>
      </c>
      <c r="AA437" s="71">
        <f t="shared" si="154"/>
        <v>0</v>
      </c>
      <c r="AC437" s="71">
        <f t="shared" si="155"/>
        <v>0</v>
      </c>
      <c r="AK437" s="71">
        <f t="shared" si="156"/>
        <v>0</v>
      </c>
      <c r="AM437" s="71">
        <f t="shared" si="157"/>
        <v>0</v>
      </c>
      <c r="AO437" s="71">
        <f t="shared" si="158"/>
        <v>0</v>
      </c>
      <c r="AQ437" s="71">
        <f t="shared" si="159"/>
        <v>0</v>
      </c>
      <c r="AT437" s="71">
        <f t="shared" si="160"/>
        <v>0</v>
      </c>
      <c r="AV437" s="71">
        <f t="shared" si="161"/>
        <v>0</v>
      </c>
      <c r="AX437" s="71">
        <f t="shared" si="162"/>
        <v>0</v>
      </c>
      <c r="AZ437" s="71">
        <f t="shared" si="163"/>
        <v>0</v>
      </c>
      <c r="BE437" s="102">
        <f t="shared" si="164"/>
        <v>4.4721359549995796</v>
      </c>
      <c r="BF437" s="81">
        <f t="shared" si="165"/>
        <v>9.3924867883288243E-14</v>
      </c>
      <c r="BG437" s="81" t="str">
        <f t="shared" si="166"/>
        <v>BASSO</v>
      </c>
      <c r="BK437" s="81" t="str">
        <f t="shared" si="167"/>
        <v>MOLTO BASSO</v>
      </c>
    </row>
    <row r="438" spans="7:63" x14ac:dyDescent="0.15">
      <c r="G438" s="64">
        <f t="shared" si="168"/>
        <v>0</v>
      </c>
      <c r="I438" s="64">
        <f t="shared" si="145"/>
        <v>0</v>
      </c>
      <c r="K438" s="64">
        <f t="shared" si="146"/>
        <v>0</v>
      </c>
      <c r="M438" s="64">
        <f t="shared" si="147"/>
        <v>0</v>
      </c>
      <c r="O438" s="64">
        <f t="shared" si="148"/>
        <v>0</v>
      </c>
      <c r="Q438" s="64">
        <f t="shared" si="149"/>
        <v>0</v>
      </c>
      <c r="S438" s="71">
        <f t="shared" si="150"/>
        <v>0</v>
      </c>
      <c r="U438" s="64">
        <f t="shared" si="151"/>
        <v>0</v>
      </c>
      <c r="W438" s="71">
        <f t="shared" si="152"/>
        <v>0</v>
      </c>
      <c r="Y438" s="71">
        <f t="shared" si="153"/>
        <v>0</v>
      </c>
      <c r="AA438" s="71">
        <f t="shared" si="154"/>
        <v>0</v>
      </c>
      <c r="AC438" s="71">
        <f t="shared" si="155"/>
        <v>0</v>
      </c>
      <c r="AK438" s="71">
        <f t="shared" si="156"/>
        <v>0</v>
      </c>
      <c r="AM438" s="71">
        <f t="shared" si="157"/>
        <v>0</v>
      </c>
      <c r="AO438" s="71">
        <f t="shared" si="158"/>
        <v>0</v>
      </c>
      <c r="AQ438" s="71">
        <f t="shared" si="159"/>
        <v>0</v>
      </c>
      <c r="AT438" s="71">
        <f t="shared" si="160"/>
        <v>0</v>
      </c>
      <c r="AV438" s="71">
        <f t="shared" si="161"/>
        <v>0</v>
      </c>
      <c r="AX438" s="71">
        <f t="shared" si="162"/>
        <v>0</v>
      </c>
      <c r="AZ438" s="71">
        <f t="shared" si="163"/>
        <v>0</v>
      </c>
      <c r="BE438" s="102">
        <f t="shared" si="164"/>
        <v>4.4721359549995796</v>
      </c>
      <c r="BF438" s="81">
        <f t="shared" si="165"/>
        <v>9.3924867883288243E-14</v>
      </c>
      <c r="BG438" s="81" t="str">
        <f t="shared" si="166"/>
        <v>BASSO</v>
      </c>
      <c r="BK438" s="81" t="str">
        <f t="shared" si="167"/>
        <v>MOLTO BASSO</v>
      </c>
    </row>
    <row r="439" spans="7:63" x14ac:dyDescent="0.15">
      <c r="G439" s="64">
        <f t="shared" si="168"/>
        <v>0</v>
      </c>
      <c r="I439" s="64">
        <f t="shared" si="145"/>
        <v>0</v>
      </c>
      <c r="K439" s="64">
        <f t="shared" si="146"/>
        <v>0</v>
      </c>
      <c r="M439" s="64">
        <f t="shared" si="147"/>
        <v>0</v>
      </c>
      <c r="O439" s="64">
        <f t="shared" si="148"/>
        <v>0</v>
      </c>
      <c r="Q439" s="64">
        <f t="shared" si="149"/>
        <v>0</v>
      </c>
      <c r="S439" s="71">
        <f t="shared" si="150"/>
        <v>0</v>
      </c>
      <c r="U439" s="64">
        <f t="shared" si="151"/>
        <v>0</v>
      </c>
      <c r="W439" s="71">
        <f t="shared" si="152"/>
        <v>0</v>
      </c>
      <c r="Y439" s="71">
        <f t="shared" si="153"/>
        <v>0</v>
      </c>
      <c r="AA439" s="71">
        <f t="shared" si="154"/>
        <v>0</v>
      </c>
      <c r="AC439" s="71">
        <f t="shared" si="155"/>
        <v>0</v>
      </c>
      <c r="AK439" s="71">
        <f t="shared" si="156"/>
        <v>0</v>
      </c>
      <c r="AM439" s="71">
        <f t="shared" si="157"/>
        <v>0</v>
      </c>
      <c r="AO439" s="71">
        <f t="shared" si="158"/>
        <v>0</v>
      </c>
      <c r="AQ439" s="71">
        <f t="shared" si="159"/>
        <v>0</v>
      </c>
      <c r="AT439" s="71">
        <f t="shared" si="160"/>
        <v>0</v>
      </c>
      <c r="AV439" s="71">
        <f t="shared" si="161"/>
        <v>0</v>
      </c>
      <c r="AX439" s="71">
        <f t="shared" si="162"/>
        <v>0</v>
      </c>
      <c r="AZ439" s="71">
        <f t="shared" si="163"/>
        <v>0</v>
      </c>
      <c r="BE439" s="102">
        <f t="shared" si="164"/>
        <v>4.4721359549995796</v>
      </c>
      <c r="BF439" s="81">
        <f t="shared" si="165"/>
        <v>9.3924867883288243E-14</v>
      </c>
      <c r="BG439" s="81" t="str">
        <f t="shared" si="166"/>
        <v>BASSO</v>
      </c>
      <c r="BK439" s="81" t="str">
        <f t="shared" si="167"/>
        <v>MOLTO BASSO</v>
      </c>
    </row>
    <row r="440" spans="7:63" x14ac:dyDescent="0.15">
      <c r="G440" s="64">
        <f t="shared" si="168"/>
        <v>0</v>
      </c>
      <c r="I440" s="64">
        <f t="shared" si="145"/>
        <v>0</v>
      </c>
      <c r="K440" s="64">
        <f t="shared" si="146"/>
        <v>0</v>
      </c>
      <c r="M440" s="64">
        <f t="shared" si="147"/>
        <v>0</v>
      </c>
      <c r="O440" s="64">
        <f t="shared" si="148"/>
        <v>0</v>
      </c>
      <c r="Q440" s="64">
        <f t="shared" si="149"/>
        <v>0</v>
      </c>
      <c r="S440" s="71">
        <f t="shared" si="150"/>
        <v>0</v>
      </c>
      <c r="U440" s="64">
        <f t="shared" si="151"/>
        <v>0</v>
      </c>
      <c r="W440" s="71">
        <f t="shared" si="152"/>
        <v>0</v>
      </c>
      <c r="Y440" s="71">
        <f t="shared" si="153"/>
        <v>0</v>
      </c>
      <c r="AA440" s="71">
        <f t="shared" si="154"/>
        <v>0</v>
      </c>
      <c r="AC440" s="71">
        <f t="shared" si="155"/>
        <v>0</v>
      </c>
      <c r="AK440" s="71">
        <f t="shared" si="156"/>
        <v>0</v>
      </c>
      <c r="AM440" s="71">
        <f t="shared" si="157"/>
        <v>0</v>
      </c>
      <c r="AO440" s="71">
        <f t="shared" si="158"/>
        <v>0</v>
      </c>
      <c r="AQ440" s="71">
        <f t="shared" si="159"/>
        <v>0</v>
      </c>
      <c r="AT440" s="71">
        <f t="shared" si="160"/>
        <v>0</v>
      </c>
      <c r="AV440" s="71">
        <f t="shared" si="161"/>
        <v>0</v>
      </c>
      <c r="AX440" s="71">
        <f t="shared" si="162"/>
        <v>0</v>
      </c>
      <c r="AZ440" s="71">
        <f t="shared" si="163"/>
        <v>0</v>
      </c>
      <c r="BE440" s="102">
        <f t="shared" si="164"/>
        <v>4.4721359549995796</v>
      </c>
      <c r="BF440" s="81">
        <f t="shared" si="165"/>
        <v>9.3924867883288243E-14</v>
      </c>
      <c r="BG440" s="81" t="str">
        <f t="shared" si="166"/>
        <v>BASSO</v>
      </c>
      <c r="BK440" s="81" t="str">
        <f t="shared" si="167"/>
        <v>MOLTO BASSO</v>
      </c>
    </row>
    <row r="441" spans="7:63" x14ac:dyDescent="0.15">
      <c r="G441" s="64">
        <f t="shared" si="168"/>
        <v>0</v>
      </c>
      <c r="I441" s="64">
        <f t="shared" si="145"/>
        <v>0</v>
      </c>
      <c r="K441" s="64">
        <f t="shared" si="146"/>
        <v>0</v>
      </c>
      <c r="M441" s="64">
        <f t="shared" si="147"/>
        <v>0</v>
      </c>
      <c r="O441" s="64">
        <f t="shared" si="148"/>
        <v>0</v>
      </c>
      <c r="Q441" s="64">
        <f t="shared" si="149"/>
        <v>0</v>
      </c>
      <c r="S441" s="71">
        <f t="shared" si="150"/>
        <v>0</v>
      </c>
      <c r="U441" s="64">
        <f t="shared" si="151"/>
        <v>0</v>
      </c>
      <c r="W441" s="71">
        <f t="shared" si="152"/>
        <v>0</v>
      </c>
      <c r="Y441" s="71">
        <f t="shared" si="153"/>
        <v>0</v>
      </c>
      <c r="AA441" s="71">
        <f t="shared" si="154"/>
        <v>0</v>
      </c>
      <c r="AC441" s="71">
        <f t="shared" si="155"/>
        <v>0</v>
      </c>
      <c r="AK441" s="71">
        <f t="shared" si="156"/>
        <v>0</v>
      </c>
      <c r="AM441" s="71">
        <f t="shared" si="157"/>
        <v>0</v>
      </c>
      <c r="AO441" s="71">
        <f t="shared" si="158"/>
        <v>0</v>
      </c>
      <c r="AQ441" s="71">
        <f t="shared" si="159"/>
        <v>0</v>
      </c>
      <c r="AT441" s="71">
        <f t="shared" si="160"/>
        <v>0</v>
      </c>
      <c r="AV441" s="71">
        <f t="shared" si="161"/>
        <v>0</v>
      </c>
      <c r="AX441" s="71">
        <f t="shared" si="162"/>
        <v>0</v>
      </c>
      <c r="AZ441" s="71">
        <f t="shared" si="163"/>
        <v>0</v>
      </c>
      <c r="BE441" s="102">
        <f t="shared" si="164"/>
        <v>4.4721359549995796</v>
      </c>
      <c r="BF441" s="81">
        <f t="shared" si="165"/>
        <v>9.3924867883288243E-14</v>
      </c>
      <c r="BG441" s="81" t="str">
        <f t="shared" si="166"/>
        <v>BASSO</v>
      </c>
      <c r="BK441" s="81" t="str">
        <f t="shared" si="167"/>
        <v>MOLTO BASSO</v>
      </c>
    </row>
    <row r="442" spans="7:63" x14ac:dyDescent="0.15">
      <c r="G442" s="64">
        <f t="shared" si="168"/>
        <v>0</v>
      </c>
      <c r="I442" s="64">
        <f t="shared" si="145"/>
        <v>0</v>
      </c>
      <c r="K442" s="64">
        <f t="shared" si="146"/>
        <v>0</v>
      </c>
      <c r="M442" s="64">
        <f t="shared" si="147"/>
        <v>0</v>
      </c>
      <c r="O442" s="64">
        <f t="shared" si="148"/>
        <v>0</v>
      </c>
      <c r="Q442" s="64">
        <f t="shared" si="149"/>
        <v>0</v>
      </c>
      <c r="S442" s="71">
        <f t="shared" si="150"/>
        <v>0</v>
      </c>
      <c r="U442" s="64">
        <f t="shared" si="151"/>
        <v>0</v>
      </c>
      <c r="W442" s="71">
        <f t="shared" si="152"/>
        <v>0</v>
      </c>
      <c r="Y442" s="71">
        <f t="shared" si="153"/>
        <v>0</v>
      </c>
      <c r="AA442" s="71">
        <f t="shared" si="154"/>
        <v>0</v>
      </c>
      <c r="AC442" s="71">
        <f t="shared" si="155"/>
        <v>0</v>
      </c>
      <c r="AK442" s="71">
        <f t="shared" si="156"/>
        <v>0</v>
      </c>
      <c r="AM442" s="71">
        <f t="shared" si="157"/>
        <v>0</v>
      </c>
      <c r="AO442" s="71">
        <f t="shared" si="158"/>
        <v>0</v>
      </c>
      <c r="AQ442" s="71">
        <f t="shared" si="159"/>
        <v>0</v>
      </c>
      <c r="AT442" s="71">
        <f t="shared" si="160"/>
        <v>0</v>
      </c>
      <c r="AV442" s="71">
        <f t="shared" si="161"/>
        <v>0</v>
      </c>
      <c r="AX442" s="71">
        <f t="shared" si="162"/>
        <v>0</v>
      </c>
      <c r="AZ442" s="71">
        <f t="shared" si="163"/>
        <v>0</v>
      </c>
      <c r="BE442" s="102">
        <f t="shared" si="164"/>
        <v>4.4721359549995796</v>
      </c>
      <c r="BF442" s="81">
        <f t="shared" si="165"/>
        <v>9.3924867883288243E-14</v>
      </c>
      <c r="BG442" s="81" t="str">
        <f t="shared" si="166"/>
        <v>BASSO</v>
      </c>
      <c r="BK442" s="81" t="str">
        <f t="shared" si="167"/>
        <v>MOLTO BASSO</v>
      </c>
    </row>
    <row r="443" spans="7:63" x14ac:dyDescent="0.15">
      <c r="G443" s="64">
        <f t="shared" si="168"/>
        <v>0</v>
      </c>
      <c r="I443" s="64">
        <f t="shared" si="145"/>
        <v>0</v>
      </c>
      <c r="K443" s="64">
        <f t="shared" si="146"/>
        <v>0</v>
      </c>
      <c r="M443" s="64">
        <f t="shared" si="147"/>
        <v>0</v>
      </c>
      <c r="O443" s="64">
        <f t="shared" si="148"/>
        <v>0</v>
      </c>
      <c r="Q443" s="64">
        <f t="shared" si="149"/>
        <v>0</v>
      </c>
      <c r="S443" s="71">
        <f t="shared" si="150"/>
        <v>0</v>
      </c>
      <c r="U443" s="64">
        <f t="shared" si="151"/>
        <v>0</v>
      </c>
      <c r="W443" s="71">
        <f t="shared" si="152"/>
        <v>0</v>
      </c>
      <c r="Y443" s="71">
        <f t="shared" si="153"/>
        <v>0</v>
      </c>
      <c r="AA443" s="71">
        <f t="shared" si="154"/>
        <v>0</v>
      </c>
      <c r="AC443" s="71">
        <f t="shared" si="155"/>
        <v>0</v>
      </c>
      <c r="AK443" s="71">
        <f t="shared" si="156"/>
        <v>0</v>
      </c>
      <c r="AM443" s="71">
        <f t="shared" si="157"/>
        <v>0</v>
      </c>
      <c r="AO443" s="71">
        <f t="shared" si="158"/>
        <v>0</v>
      </c>
      <c r="AQ443" s="71">
        <f t="shared" si="159"/>
        <v>0</v>
      </c>
      <c r="AT443" s="71">
        <f t="shared" si="160"/>
        <v>0</v>
      </c>
      <c r="AV443" s="71">
        <f t="shared" si="161"/>
        <v>0</v>
      </c>
      <c r="AX443" s="71">
        <f t="shared" si="162"/>
        <v>0</v>
      </c>
      <c r="AZ443" s="71">
        <f t="shared" si="163"/>
        <v>0</v>
      </c>
      <c r="BE443" s="102">
        <f t="shared" si="164"/>
        <v>4.4721359549995796</v>
      </c>
      <c r="BF443" s="81">
        <f t="shared" si="165"/>
        <v>9.3924867883288243E-14</v>
      </c>
      <c r="BG443" s="81" t="str">
        <f t="shared" si="166"/>
        <v>BASSO</v>
      </c>
      <c r="BK443" s="81" t="str">
        <f t="shared" si="167"/>
        <v>MOLTO BASSO</v>
      </c>
    </row>
    <row r="444" spans="7:63" x14ac:dyDescent="0.15">
      <c r="G444" s="64">
        <f t="shared" si="168"/>
        <v>0</v>
      </c>
      <c r="I444" s="64">
        <f t="shared" si="145"/>
        <v>0</v>
      </c>
      <c r="K444" s="64">
        <f t="shared" si="146"/>
        <v>0</v>
      </c>
      <c r="M444" s="64">
        <f t="shared" si="147"/>
        <v>0</v>
      </c>
      <c r="O444" s="64">
        <f t="shared" si="148"/>
        <v>0</v>
      </c>
      <c r="Q444" s="64">
        <f t="shared" si="149"/>
        <v>0</v>
      </c>
      <c r="S444" s="71">
        <f t="shared" si="150"/>
        <v>0</v>
      </c>
      <c r="U444" s="64">
        <f t="shared" si="151"/>
        <v>0</v>
      </c>
      <c r="W444" s="71">
        <f t="shared" si="152"/>
        <v>0</v>
      </c>
      <c r="Y444" s="71">
        <f t="shared" si="153"/>
        <v>0</v>
      </c>
      <c r="AA444" s="71">
        <f t="shared" si="154"/>
        <v>0</v>
      </c>
      <c r="AC444" s="71">
        <f t="shared" si="155"/>
        <v>0</v>
      </c>
      <c r="AK444" s="71">
        <f t="shared" si="156"/>
        <v>0</v>
      </c>
      <c r="AM444" s="71">
        <f t="shared" si="157"/>
        <v>0</v>
      </c>
      <c r="AO444" s="71">
        <f t="shared" si="158"/>
        <v>0</v>
      </c>
      <c r="AQ444" s="71">
        <f t="shared" si="159"/>
        <v>0</v>
      </c>
      <c r="AT444" s="71">
        <f t="shared" si="160"/>
        <v>0</v>
      </c>
      <c r="AV444" s="71">
        <f t="shared" si="161"/>
        <v>0</v>
      </c>
      <c r="AX444" s="71">
        <f t="shared" si="162"/>
        <v>0</v>
      </c>
      <c r="AZ444" s="71">
        <f t="shared" si="163"/>
        <v>0</v>
      </c>
      <c r="BE444" s="102">
        <f t="shared" si="164"/>
        <v>4.4721359549995796</v>
      </c>
      <c r="BF444" s="81">
        <f t="shared" si="165"/>
        <v>9.3924867883288243E-14</v>
      </c>
      <c r="BG444" s="81" t="str">
        <f t="shared" si="166"/>
        <v>BASSO</v>
      </c>
      <c r="BK444" s="81" t="str">
        <f t="shared" si="167"/>
        <v>MOLTO BASSO</v>
      </c>
    </row>
    <row r="445" spans="7:63" x14ac:dyDescent="0.15">
      <c r="G445" s="64">
        <f t="shared" si="168"/>
        <v>0</v>
      </c>
      <c r="I445" s="64">
        <f t="shared" si="145"/>
        <v>0</v>
      </c>
      <c r="K445" s="64">
        <f t="shared" si="146"/>
        <v>0</v>
      </c>
      <c r="M445" s="64">
        <f t="shared" si="147"/>
        <v>0</v>
      </c>
      <c r="O445" s="64">
        <f t="shared" si="148"/>
        <v>0</v>
      </c>
      <c r="Q445" s="64">
        <f t="shared" si="149"/>
        <v>0</v>
      </c>
      <c r="S445" s="71">
        <f t="shared" si="150"/>
        <v>0</v>
      </c>
      <c r="U445" s="64">
        <f t="shared" si="151"/>
        <v>0</v>
      </c>
      <c r="W445" s="71">
        <f t="shared" si="152"/>
        <v>0</v>
      </c>
      <c r="Y445" s="71">
        <f t="shared" si="153"/>
        <v>0</v>
      </c>
      <c r="AA445" s="71">
        <f t="shared" si="154"/>
        <v>0</v>
      </c>
      <c r="AC445" s="71">
        <f t="shared" si="155"/>
        <v>0</v>
      </c>
      <c r="AK445" s="71">
        <f t="shared" si="156"/>
        <v>0</v>
      </c>
      <c r="AM445" s="71">
        <f t="shared" si="157"/>
        <v>0</v>
      </c>
      <c r="AO445" s="71">
        <f t="shared" si="158"/>
        <v>0</v>
      </c>
      <c r="AQ445" s="71">
        <f t="shared" si="159"/>
        <v>0</v>
      </c>
      <c r="AT445" s="71">
        <f t="shared" si="160"/>
        <v>0</v>
      </c>
      <c r="AV445" s="71">
        <f t="shared" si="161"/>
        <v>0</v>
      </c>
      <c r="AX445" s="71">
        <f t="shared" si="162"/>
        <v>0</v>
      </c>
      <c r="AZ445" s="71">
        <f t="shared" si="163"/>
        <v>0</v>
      </c>
      <c r="BE445" s="102">
        <f t="shared" si="164"/>
        <v>4.4721359549995796</v>
      </c>
      <c r="BF445" s="81">
        <f t="shared" si="165"/>
        <v>9.3924867883288243E-14</v>
      </c>
      <c r="BG445" s="81" t="str">
        <f t="shared" si="166"/>
        <v>BASSO</v>
      </c>
      <c r="BK445" s="81" t="str">
        <f t="shared" si="167"/>
        <v>MOLTO BASSO</v>
      </c>
    </row>
    <row r="446" spans="7:63" x14ac:dyDescent="0.15">
      <c r="G446" s="64">
        <f t="shared" si="168"/>
        <v>0</v>
      </c>
      <c r="I446" s="64">
        <f t="shared" si="145"/>
        <v>0</v>
      </c>
      <c r="K446" s="64">
        <f t="shared" si="146"/>
        <v>0</v>
      </c>
      <c r="M446" s="64">
        <f t="shared" si="147"/>
        <v>0</v>
      </c>
      <c r="O446" s="64">
        <f t="shared" si="148"/>
        <v>0</v>
      </c>
      <c r="Q446" s="64">
        <f t="shared" si="149"/>
        <v>0</v>
      </c>
      <c r="S446" s="71">
        <f t="shared" si="150"/>
        <v>0</v>
      </c>
      <c r="U446" s="64">
        <f t="shared" si="151"/>
        <v>0</v>
      </c>
      <c r="W446" s="71">
        <f t="shared" si="152"/>
        <v>0</v>
      </c>
      <c r="Y446" s="71">
        <f t="shared" si="153"/>
        <v>0</v>
      </c>
      <c r="AA446" s="71">
        <f t="shared" si="154"/>
        <v>0</v>
      </c>
      <c r="AC446" s="71">
        <f t="shared" si="155"/>
        <v>0</v>
      </c>
      <c r="AK446" s="71">
        <f t="shared" si="156"/>
        <v>0</v>
      </c>
      <c r="AM446" s="71">
        <f t="shared" si="157"/>
        <v>0</v>
      </c>
      <c r="AO446" s="71">
        <f t="shared" si="158"/>
        <v>0</v>
      </c>
      <c r="AQ446" s="71">
        <f t="shared" si="159"/>
        <v>0</v>
      </c>
      <c r="AT446" s="71">
        <f t="shared" si="160"/>
        <v>0</v>
      </c>
      <c r="AV446" s="71">
        <f t="shared" si="161"/>
        <v>0</v>
      </c>
      <c r="AX446" s="71">
        <f t="shared" si="162"/>
        <v>0</v>
      </c>
      <c r="AZ446" s="71">
        <f t="shared" si="163"/>
        <v>0</v>
      </c>
      <c r="BE446" s="102">
        <f t="shared" si="164"/>
        <v>4.4721359549995796</v>
      </c>
      <c r="BF446" s="81">
        <f t="shared" si="165"/>
        <v>9.3924867883288243E-14</v>
      </c>
      <c r="BG446" s="81" t="str">
        <f t="shared" si="166"/>
        <v>BASSO</v>
      </c>
      <c r="BK446" s="81" t="str">
        <f t="shared" si="167"/>
        <v>MOLTO BASSO</v>
      </c>
    </row>
    <row r="447" spans="7:63" x14ac:dyDescent="0.15">
      <c r="G447" s="64">
        <f t="shared" si="168"/>
        <v>0</v>
      </c>
      <c r="I447" s="64">
        <f t="shared" si="145"/>
        <v>0</v>
      </c>
      <c r="K447" s="64">
        <f t="shared" si="146"/>
        <v>0</v>
      </c>
      <c r="M447" s="64">
        <f t="shared" si="147"/>
        <v>0</v>
      </c>
      <c r="O447" s="64">
        <f t="shared" si="148"/>
        <v>0</v>
      </c>
      <c r="Q447" s="64">
        <f t="shared" si="149"/>
        <v>0</v>
      </c>
      <c r="S447" s="71">
        <f t="shared" si="150"/>
        <v>0</v>
      </c>
      <c r="U447" s="64">
        <f t="shared" si="151"/>
        <v>0</v>
      </c>
      <c r="W447" s="71">
        <f t="shared" si="152"/>
        <v>0</v>
      </c>
      <c r="Y447" s="71">
        <f t="shared" si="153"/>
        <v>0</v>
      </c>
      <c r="AA447" s="71">
        <f t="shared" si="154"/>
        <v>0</v>
      </c>
      <c r="AC447" s="71">
        <f t="shared" si="155"/>
        <v>0</v>
      </c>
      <c r="AK447" s="71">
        <f t="shared" si="156"/>
        <v>0</v>
      </c>
      <c r="AM447" s="71">
        <f t="shared" si="157"/>
        <v>0</v>
      </c>
      <c r="AO447" s="71">
        <f t="shared" si="158"/>
        <v>0</v>
      </c>
      <c r="AQ447" s="71">
        <f t="shared" si="159"/>
        <v>0</v>
      </c>
      <c r="AT447" s="71">
        <f t="shared" si="160"/>
        <v>0</v>
      </c>
      <c r="AV447" s="71">
        <f t="shared" si="161"/>
        <v>0</v>
      </c>
      <c r="AX447" s="71">
        <f t="shared" si="162"/>
        <v>0</v>
      </c>
      <c r="AZ447" s="71">
        <f t="shared" si="163"/>
        <v>0</v>
      </c>
      <c r="BE447" s="102">
        <f t="shared" si="164"/>
        <v>4.4721359549995796</v>
      </c>
      <c r="BF447" s="81">
        <f t="shared" si="165"/>
        <v>9.3924867883288243E-14</v>
      </c>
      <c r="BG447" s="81" t="str">
        <f t="shared" si="166"/>
        <v>BASSO</v>
      </c>
      <c r="BK447" s="81" t="str">
        <f t="shared" si="167"/>
        <v>MOLTO BASSO</v>
      </c>
    </row>
    <row r="448" spans="7:63" x14ac:dyDescent="0.15">
      <c r="G448" s="64">
        <f t="shared" si="168"/>
        <v>0</v>
      </c>
      <c r="I448" s="64">
        <f t="shared" si="145"/>
        <v>0</v>
      </c>
      <c r="K448" s="64">
        <f t="shared" si="146"/>
        <v>0</v>
      </c>
      <c r="M448" s="64">
        <f t="shared" si="147"/>
        <v>0</v>
      </c>
      <c r="O448" s="64">
        <f t="shared" si="148"/>
        <v>0</v>
      </c>
      <c r="Q448" s="64">
        <f t="shared" si="149"/>
        <v>0</v>
      </c>
      <c r="S448" s="71">
        <f t="shared" si="150"/>
        <v>0</v>
      </c>
      <c r="U448" s="64">
        <f t="shared" si="151"/>
        <v>0</v>
      </c>
      <c r="W448" s="71">
        <f t="shared" si="152"/>
        <v>0</v>
      </c>
      <c r="Y448" s="71">
        <f t="shared" si="153"/>
        <v>0</v>
      </c>
      <c r="AA448" s="71">
        <f t="shared" si="154"/>
        <v>0</v>
      </c>
      <c r="AC448" s="71">
        <f t="shared" si="155"/>
        <v>0</v>
      </c>
      <c r="AK448" s="71">
        <f t="shared" si="156"/>
        <v>0</v>
      </c>
      <c r="AM448" s="71">
        <f t="shared" si="157"/>
        <v>0</v>
      </c>
      <c r="AO448" s="71">
        <f t="shared" si="158"/>
        <v>0</v>
      </c>
      <c r="AQ448" s="71">
        <f t="shared" si="159"/>
        <v>0</v>
      </c>
      <c r="AT448" s="71">
        <f t="shared" si="160"/>
        <v>0</v>
      </c>
      <c r="AV448" s="71">
        <f t="shared" si="161"/>
        <v>0</v>
      </c>
      <c r="AX448" s="71">
        <f t="shared" si="162"/>
        <v>0</v>
      </c>
      <c r="AZ448" s="71">
        <f t="shared" si="163"/>
        <v>0</v>
      </c>
      <c r="BE448" s="102">
        <f t="shared" si="164"/>
        <v>4.4721359549995796</v>
      </c>
      <c r="BF448" s="81">
        <f t="shared" si="165"/>
        <v>9.3924867883288243E-14</v>
      </c>
      <c r="BG448" s="81" t="str">
        <f t="shared" si="166"/>
        <v>BASSO</v>
      </c>
      <c r="BK448" s="81" t="str">
        <f t="shared" si="167"/>
        <v>MOLTO BASSO</v>
      </c>
    </row>
    <row r="449" spans="7:63" x14ac:dyDescent="0.15">
      <c r="G449" s="64">
        <f t="shared" si="168"/>
        <v>0</v>
      </c>
      <c r="I449" s="64">
        <f t="shared" si="145"/>
        <v>0</v>
      </c>
      <c r="K449" s="64">
        <f t="shared" si="146"/>
        <v>0</v>
      </c>
      <c r="M449" s="64">
        <f t="shared" si="147"/>
        <v>0</v>
      </c>
      <c r="O449" s="64">
        <f t="shared" si="148"/>
        <v>0</v>
      </c>
      <c r="Q449" s="64">
        <f t="shared" si="149"/>
        <v>0</v>
      </c>
      <c r="S449" s="71">
        <f t="shared" si="150"/>
        <v>0</v>
      </c>
      <c r="U449" s="64">
        <f t="shared" si="151"/>
        <v>0</v>
      </c>
      <c r="W449" s="71">
        <f t="shared" si="152"/>
        <v>0</v>
      </c>
      <c r="Y449" s="71">
        <f t="shared" si="153"/>
        <v>0</v>
      </c>
      <c r="AA449" s="71">
        <f t="shared" si="154"/>
        <v>0</v>
      </c>
      <c r="AC449" s="71">
        <f t="shared" si="155"/>
        <v>0</v>
      </c>
      <c r="AK449" s="71">
        <f t="shared" si="156"/>
        <v>0</v>
      </c>
      <c r="AM449" s="71">
        <f t="shared" si="157"/>
        <v>0</v>
      </c>
      <c r="AO449" s="71">
        <f t="shared" si="158"/>
        <v>0</v>
      </c>
      <c r="AQ449" s="71">
        <f t="shared" si="159"/>
        <v>0</v>
      </c>
      <c r="AT449" s="71">
        <f t="shared" si="160"/>
        <v>0</v>
      </c>
      <c r="AV449" s="71">
        <f t="shared" si="161"/>
        <v>0</v>
      </c>
      <c r="AX449" s="71">
        <f t="shared" si="162"/>
        <v>0</v>
      </c>
      <c r="AZ449" s="71">
        <f t="shared" si="163"/>
        <v>0</v>
      </c>
      <c r="BE449" s="102">
        <f t="shared" si="164"/>
        <v>4.4721359549995796</v>
      </c>
      <c r="BF449" s="81">
        <f t="shared" si="165"/>
        <v>9.3924867883288243E-14</v>
      </c>
      <c r="BG449" s="81" t="str">
        <f t="shared" si="166"/>
        <v>BASSO</v>
      </c>
      <c r="BK449" s="81" t="str">
        <f t="shared" si="167"/>
        <v>MOLTO BASSO</v>
      </c>
    </row>
    <row r="450" spans="7:63" x14ac:dyDescent="0.15">
      <c r="G450" s="64">
        <f t="shared" si="168"/>
        <v>0</v>
      </c>
      <c r="I450" s="64">
        <f t="shared" si="145"/>
        <v>0</v>
      </c>
      <c r="K450" s="64">
        <f t="shared" si="146"/>
        <v>0</v>
      </c>
      <c r="M450" s="64">
        <f t="shared" si="147"/>
        <v>0</v>
      </c>
      <c r="O450" s="64">
        <f t="shared" si="148"/>
        <v>0</v>
      </c>
      <c r="Q450" s="64">
        <f t="shared" si="149"/>
        <v>0</v>
      </c>
      <c r="S450" s="71">
        <f t="shared" si="150"/>
        <v>0</v>
      </c>
      <c r="U450" s="64">
        <f t="shared" si="151"/>
        <v>0</v>
      </c>
      <c r="W450" s="71">
        <f t="shared" si="152"/>
        <v>0</v>
      </c>
      <c r="Y450" s="71">
        <f t="shared" si="153"/>
        <v>0</v>
      </c>
      <c r="AA450" s="71">
        <f t="shared" si="154"/>
        <v>0</v>
      </c>
      <c r="AC450" s="71">
        <f t="shared" si="155"/>
        <v>0</v>
      </c>
      <c r="AK450" s="71">
        <f t="shared" si="156"/>
        <v>0</v>
      </c>
      <c r="AM450" s="71">
        <f t="shared" si="157"/>
        <v>0</v>
      </c>
      <c r="AO450" s="71">
        <f t="shared" si="158"/>
        <v>0</v>
      </c>
      <c r="AQ450" s="71">
        <f t="shared" si="159"/>
        <v>0</v>
      </c>
      <c r="AT450" s="71">
        <f t="shared" si="160"/>
        <v>0</v>
      </c>
      <c r="AV450" s="71">
        <f t="shared" si="161"/>
        <v>0</v>
      </c>
      <c r="AX450" s="71">
        <f t="shared" si="162"/>
        <v>0</v>
      </c>
      <c r="AZ450" s="71">
        <f t="shared" si="163"/>
        <v>0</v>
      </c>
      <c r="BE450" s="102">
        <f t="shared" si="164"/>
        <v>4.4721359549995796</v>
      </c>
      <c r="BF450" s="81">
        <f t="shared" si="165"/>
        <v>9.3924867883288243E-14</v>
      </c>
      <c r="BG450" s="81" t="str">
        <f t="shared" si="166"/>
        <v>BASSO</v>
      </c>
      <c r="BK450" s="81" t="str">
        <f t="shared" si="167"/>
        <v>MOLTO BASSO</v>
      </c>
    </row>
    <row r="451" spans="7:63" x14ac:dyDescent="0.15">
      <c r="G451" s="64">
        <f t="shared" si="168"/>
        <v>0</v>
      </c>
      <c r="I451" s="64">
        <f t="shared" ref="I451:I514" si="169">H451/2</f>
        <v>0</v>
      </c>
      <c r="K451" s="64">
        <f t="shared" ref="K451:K514" si="170">J451/2</f>
        <v>0</v>
      </c>
      <c r="M451" s="64">
        <f t="shared" ref="M451:M514" si="171">L451/3</f>
        <v>0</v>
      </c>
      <c r="O451" s="64">
        <f t="shared" ref="O451:O514" si="172">N451/5</f>
        <v>0</v>
      </c>
      <c r="Q451" s="64">
        <f t="shared" ref="Q451:Q514" si="173">P451/3</f>
        <v>0</v>
      </c>
      <c r="S451" s="71">
        <f t="shared" ref="S451:S514" si="174">R451/3</f>
        <v>0</v>
      </c>
      <c r="U451" s="64">
        <f t="shared" ref="U451:U514" si="175">T451/3</f>
        <v>0</v>
      </c>
      <c r="W451" s="71">
        <f t="shared" ref="W451:W514" si="176">V451/4</f>
        <v>0</v>
      </c>
      <c r="Y451" s="71">
        <f t="shared" ref="Y451:Y514" si="177">X451/3</f>
        <v>0</v>
      </c>
      <c r="AA451" s="71">
        <f t="shared" ref="AA451:AA514" si="178">Z451/3</f>
        <v>0</v>
      </c>
      <c r="AC451" s="71">
        <f t="shared" ref="AC451:AC514" si="179">AB451/2</f>
        <v>0</v>
      </c>
      <c r="AK451" s="71">
        <f t="shared" ref="AK451:AK514" si="180">AJ451/2</f>
        <v>0</v>
      </c>
      <c r="AM451" s="71">
        <f t="shared" ref="AM451:AM514" si="181">AL451/3</f>
        <v>0</v>
      </c>
      <c r="AO451" s="71">
        <f t="shared" ref="AO451:AO514" si="182">AN451/3</f>
        <v>0</v>
      </c>
      <c r="AQ451" s="71">
        <f t="shared" ref="AQ451:AQ514" si="183">AP451/3</f>
        <v>0</v>
      </c>
      <c r="AT451" s="71">
        <f t="shared" ref="AT451:AT514" si="184">AS451/3</f>
        <v>0</v>
      </c>
      <c r="AV451" s="71">
        <f t="shared" ref="AV451:AV514" si="185">AU451/3</f>
        <v>0</v>
      </c>
      <c r="AX451" s="71">
        <f t="shared" ref="AX451:AX514" si="186">AW451/2</f>
        <v>0</v>
      </c>
      <c r="AZ451" s="71">
        <f t="shared" ref="AZ451:AZ514" si="187">AY451/3</f>
        <v>0</v>
      </c>
      <c r="BE451" s="102">
        <f t="shared" ref="BE451:BE514" si="188">SQRT((1-G451)^2 + (1-I451)^2 + (1-K451)^2 + (1-M451)^2 + (1-O451)^2 + (1-Q451)^2 + (1-S451)^2 + (1-U451)^2 + (1-W451)^2 + (1-Y451)^2 + (1-AA451)^2 + (1-AC451)^2 + (1-AK451)^2 + (1-AM451)^2 + (1-AO451)^2 + (1-AQ451)^2 + (1-AT451)^2 + (1-AV451)^2 + (1-AX451)^2 + (1-AZ451)^2)</f>
        <v>4.4721359549995796</v>
      </c>
      <c r="BF451" s="81">
        <f t="shared" ref="BF451:BF514" si="189">1 - (BE451 / 4.472135955)</f>
        <v>9.3924867883288243E-14</v>
      </c>
      <c r="BG451" s="81" t="str">
        <f t="shared" ref="BG451:BG514" si="190">IF(BF451&lt;=0.33, "BASSO", IF(BF451&lt;=0.66, "MEDIO", "ALTO"))</f>
        <v>BASSO</v>
      </c>
      <c r="BK451" s="81" t="str">
        <f t="shared" ref="BK451:BK514" si="191">IF(BF451&lt;0.3,"MOLTO BASSO",IF(BF451&lt;0.45,"BASSO",IF(BF451&lt;0.65,"MEDIO",IF(BF451&lt;0.8,"ALTO","MOLTO ALTO"))))</f>
        <v>MOLTO BASSO</v>
      </c>
    </row>
    <row r="452" spans="7:63" x14ac:dyDescent="0.15">
      <c r="G452" s="64">
        <f t="shared" si="168"/>
        <v>0</v>
      </c>
      <c r="I452" s="64">
        <f t="shared" si="169"/>
        <v>0</v>
      </c>
      <c r="K452" s="64">
        <f t="shared" si="170"/>
        <v>0</v>
      </c>
      <c r="M452" s="64">
        <f t="shared" si="171"/>
        <v>0</v>
      </c>
      <c r="O452" s="64">
        <f t="shared" si="172"/>
        <v>0</v>
      </c>
      <c r="Q452" s="64">
        <f t="shared" si="173"/>
        <v>0</v>
      </c>
      <c r="S452" s="71">
        <f t="shared" si="174"/>
        <v>0</v>
      </c>
      <c r="U452" s="64">
        <f t="shared" si="175"/>
        <v>0</v>
      </c>
      <c r="W452" s="71">
        <f t="shared" si="176"/>
        <v>0</v>
      </c>
      <c r="Y452" s="71">
        <f t="shared" si="177"/>
        <v>0</v>
      </c>
      <c r="AA452" s="71">
        <f t="shared" si="178"/>
        <v>0</v>
      </c>
      <c r="AC452" s="71">
        <f t="shared" si="179"/>
        <v>0</v>
      </c>
      <c r="AK452" s="71">
        <f t="shared" si="180"/>
        <v>0</v>
      </c>
      <c r="AM452" s="71">
        <f t="shared" si="181"/>
        <v>0</v>
      </c>
      <c r="AO452" s="71">
        <f t="shared" si="182"/>
        <v>0</v>
      </c>
      <c r="AQ452" s="71">
        <f t="shared" si="183"/>
        <v>0</v>
      </c>
      <c r="AT452" s="71">
        <f t="shared" si="184"/>
        <v>0</v>
      </c>
      <c r="AV452" s="71">
        <f t="shared" si="185"/>
        <v>0</v>
      </c>
      <c r="AX452" s="71">
        <f t="shared" si="186"/>
        <v>0</v>
      </c>
      <c r="AZ452" s="71">
        <f t="shared" si="187"/>
        <v>0</v>
      </c>
      <c r="BE452" s="102">
        <f t="shared" si="188"/>
        <v>4.4721359549995796</v>
      </c>
      <c r="BF452" s="81">
        <f t="shared" si="189"/>
        <v>9.3924867883288243E-14</v>
      </c>
      <c r="BG452" s="81" t="str">
        <f t="shared" si="190"/>
        <v>BASSO</v>
      </c>
      <c r="BK452" s="81" t="str">
        <f t="shared" si="191"/>
        <v>MOLTO BASSO</v>
      </c>
    </row>
    <row r="453" spans="7:63" x14ac:dyDescent="0.15">
      <c r="G453" s="64">
        <f t="shared" si="168"/>
        <v>0</v>
      </c>
      <c r="I453" s="64">
        <f t="shared" si="169"/>
        <v>0</v>
      </c>
      <c r="K453" s="64">
        <f t="shared" si="170"/>
        <v>0</v>
      </c>
      <c r="M453" s="64">
        <f t="shared" si="171"/>
        <v>0</v>
      </c>
      <c r="O453" s="64">
        <f t="shared" si="172"/>
        <v>0</v>
      </c>
      <c r="Q453" s="64">
        <f t="shared" si="173"/>
        <v>0</v>
      </c>
      <c r="S453" s="71">
        <f t="shared" si="174"/>
        <v>0</v>
      </c>
      <c r="U453" s="64">
        <f t="shared" si="175"/>
        <v>0</v>
      </c>
      <c r="W453" s="71">
        <f t="shared" si="176"/>
        <v>0</v>
      </c>
      <c r="Y453" s="71">
        <f t="shared" si="177"/>
        <v>0</v>
      </c>
      <c r="AA453" s="71">
        <f t="shared" si="178"/>
        <v>0</v>
      </c>
      <c r="AC453" s="71">
        <f t="shared" si="179"/>
        <v>0</v>
      </c>
      <c r="AK453" s="71">
        <f t="shared" si="180"/>
        <v>0</v>
      </c>
      <c r="AM453" s="71">
        <f t="shared" si="181"/>
        <v>0</v>
      </c>
      <c r="AO453" s="71">
        <f t="shared" si="182"/>
        <v>0</v>
      </c>
      <c r="AQ453" s="71">
        <f t="shared" si="183"/>
        <v>0</v>
      </c>
      <c r="AT453" s="71">
        <f t="shared" si="184"/>
        <v>0</v>
      </c>
      <c r="AV453" s="71">
        <f t="shared" si="185"/>
        <v>0</v>
      </c>
      <c r="AX453" s="71">
        <f t="shared" si="186"/>
        <v>0</v>
      </c>
      <c r="AZ453" s="71">
        <f t="shared" si="187"/>
        <v>0</v>
      </c>
      <c r="BE453" s="102">
        <f t="shared" si="188"/>
        <v>4.4721359549995796</v>
      </c>
      <c r="BF453" s="81">
        <f t="shared" si="189"/>
        <v>9.3924867883288243E-14</v>
      </c>
      <c r="BG453" s="81" t="str">
        <f t="shared" si="190"/>
        <v>BASSO</v>
      </c>
      <c r="BK453" s="81" t="str">
        <f t="shared" si="191"/>
        <v>MOLTO BASSO</v>
      </c>
    </row>
    <row r="454" spans="7:63" x14ac:dyDescent="0.15">
      <c r="G454" s="64">
        <f t="shared" si="168"/>
        <v>0</v>
      </c>
      <c r="I454" s="64">
        <f t="shared" si="169"/>
        <v>0</v>
      </c>
      <c r="K454" s="64">
        <f t="shared" si="170"/>
        <v>0</v>
      </c>
      <c r="M454" s="64">
        <f t="shared" si="171"/>
        <v>0</v>
      </c>
      <c r="O454" s="64">
        <f t="shared" si="172"/>
        <v>0</v>
      </c>
      <c r="Q454" s="64">
        <f t="shared" si="173"/>
        <v>0</v>
      </c>
      <c r="S454" s="71">
        <f t="shared" si="174"/>
        <v>0</v>
      </c>
      <c r="U454" s="64">
        <f t="shared" si="175"/>
        <v>0</v>
      </c>
      <c r="W454" s="71">
        <f t="shared" si="176"/>
        <v>0</v>
      </c>
      <c r="Y454" s="71">
        <f t="shared" si="177"/>
        <v>0</v>
      </c>
      <c r="AA454" s="71">
        <f t="shared" si="178"/>
        <v>0</v>
      </c>
      <c r="AC454" s="71">
        <f t="shared" si="179"/>
        <v>0</v>
      </c>
      <c r="AK454" s="71">
        <f t="shared" si="180"/>
        <v>0</v>
      </c>
      <c r="AM454" s="71">
        <f t="shared" si="181"/>
        <v>0</v>
      </c>
      <c r="AO454" s="71">
        <f t="shared" si="182"/>
        <v>0</v>
      </c>
      <c r="AQ454" s="71">
        <f t="shared" si="183"/>
        <v>0</v>
      </c>
      <c r="AT454" s="71">
        <f t="shared" si="184"/>
        <v>0</v>
      </c>
      <c r="AV454" s="71">
        <f t="shared" si="185"/>
        <v>0</v>
      </c>
      <c r="AX454" s="71">
        <f t="shared" si="186"/>
        <v>0</v>
      </c>
      <c r="AZ454" s="71">
        <f t="shared" si="187"/>
        <v>0</v>
      </c>
      <c r="BE454" s="102">
        <f t="shared" si="188"/>
        <v>4.4721359549995796</v>
      </c>
      <c r="BF454" s="81">
        <f t="shared" si="189"/>
        <v>9.3924867883288243E-14</v>
      </c>
      <c r="BG454" s="81" t="str">
        <f t="shared" si="190"/>
        <v>BASSO</v>
      </c>
      <c r="BK454" s="81" t="str">
        <f t="shared" si="191"/>
        <v>MOLTO BASSO</v>
      </c>
    </row>
    <row r="455" spans="7:63" x14ac:dyDescent="0.15">
      <c r="G455" s="64">
        <f t="shared" si="168"/>
        <v>0</v>
      </c>
      <c r="I455" s="64">
        <f t="shared" si="169"/>
        <v>0</v>
      </c>
      <c r="K455" s="64">
        <f t="shared" si="170"/>
        <v>0</v>
      </c>
      <c r="M455" s="64">
        <f t="shared" si="171"/>
        <v>0</v>
      </c>
      <c r="O455" s="64">
        <f t="shared" si="172"/>
        <v>0</v>
      </c>
      <c r="Q455" s="64">
        <f t="shared" si="173"/>
        <v>0</v>
      </c>
      <c r="S455" s="71">
        <f t="shared" si="174"/>
        <v>0</v>
      </c>
      <c r="U455" s="64">
        <f t="shared" si="175"/>
        <v>0</v>
      </c>
      <c r="W455" s="71">
        <f t="shared" si="176"/>
        <v>0</v>
      </c>
      <c r="Y455" s="71">
        <f t="shared" si="177"/>
        <v>0</v>
      </c>
      <c r="AA455" s="71">
        <f t="shared" si="178"/>
        <v>0</v>
      </c>
      <c r="AC455" s="71">
        <f t="shared" si="179"/>
        <v>0</v>
      </c>
      <c r="AK455" s="71">
        <f t="shared" si="180"/>
        <v>0</v>
      </c>
      <c r="AM455" s="71">
        <f t="shared" si="181"/>
        <v>0</v>
      </c>
      <c r="AO455" s="71">
        <f t="shared" si="182"/>
        <v>0</v>
      </c>
      <c r="AQ455" s="71">
        <f t="shared" si="183"/>
        <v>0</v>
      </c>
      <c r="AT455" s="71">
        <f t="shared" si="184"/>
        <v>0</v>
      </c>
      <c r="AV455" s="71">
        <f t="shared" si="185"/>
        <v>0</v>
      </c>
      <c r="AX455" s="71">
        <f t="shared" si="186"/>
        <v>0</v>
      </c>
      <c r="AZ455" s="71">
        <f t="shared" si="187"/>
        <v>0</v>
      </c>
      <c r="BE455" s="102">
        <f t="shared" si="188"/>
        <v>4.4721359549995796</v>
      </c>
      <c r="BF455" s="81">
        <f t="shared" si="189"/>
        <v>9.3924867883288243E-14</v>
      </c>
      <c r="BG455" s="81" t="str">
        <f t="shared" si="190"/>
        <v>BASSO</v>
      </c>
      <c r="BK455" s="81" t="str">
        <f t="shared" si="191"/>
        <v>MOLTO BASSO</v>
      </c>
    </row>
    <row r="456" spans="7:63" x14ac:dyDescent="0.15">
      <c r="G456" s="64">
        <f t="shared" si="168"/>
        <v>0</v>
      </c>
      <c r="I456" s="64">
        <f t="shared" si="169"/>
        <v>0</v>
      </c>
      <c r="K456" s="64">
        <f t="shared" si="170"/>
        <v>0</v>
      </c>
      <c r="M456" s="64">
        <f t="shared" si="171"/>
        <v>0</v>
      </c>
      <c r="O456" s="64">
        <f t="shared" si="172"/>
        <v>0</v>
      </c>
      <c r="Q456" s="64">
        <f t="shared" si="173"/>
        <v>0</v>
      </c>
      <c r="S456" s="71">
        <f t="shared" si="174"/>
        <v>0</v>
      </c>
      <c r="U456" s="64">
        <f t="shared" si="175"/>
        <v>0</v>
      </c>
      <c r="W456" s="71">
        <f t="shared" si="176"/>
        <v>0</v>
      </c>
      <c r="Y456" s="71">
        <f t="shared" si="177"/>
        <v>0</v>
      </c>
      <c r="AA456" s="71">
        <f t="shared" si="178"/>
        <v>0</v>
      </c>
      <c r="AC456" s="71">
        <f t="shared" si="179"/>
        <v>0</v>
      </c>
      <c r="AK456" s="71">
        <f t="shared" si="180"/>
        <v>0</v>
      </c>
      <c r="AM456" s="71">
        <f t="shared" si="181"/>
        <v>0</v>
      </c>
      <c r="AO456" s="71">
        <f t="shared" si="182"/>
        <v>0</v>
      </c>
      <c r="AQ456" s="71">
        <f t="shared" si="183"/>
        <v>0</v>
      </c>
      <c r="AT456" s="71">
        <f t="shared" si="184"/>
        <v>0</v>
      </c>
      <c r="AV456" s="71">
        <f t="shared" si="185"/>
        <v>0</v>
      </c>
      <c r="AX456" s="71">
        <f t="shared" si="186"/>
        <v>0</v>
      </c>
      <c r="AZ456" s="71">
        <f t="shared" si="187"/>
        <v>0</v>
      </c>
      <c r="BE456" s="102">
        <f t="shared" si="188"/>
        <v>4.4721359549995796</v>
      </c>
      <c r="BF456" s="81">
        <f t="shared" si="189"/>
        <v>9.3924867883288243E-14</v>
      </c>
      <c r="BG456" s="81" t="str">
        <f t="shared" si="190"/>
        <v>BASSO</v>
      </c>
      <c r="BK456" s="81" t="str">
        <f t="shared" si="191"/>
        <v>MOLTO BASSO</v>
      </c>
    </row>
    <row r="457" spans="7:63" x14ac:dyDescent="0.15">
      <c r="G457" s="64">
        <f t="shared" si="168"/>
        <v>0</v>
      </c>
      <c r="I457" s="64">
        <f t="shared" si="169"/>
        <v>0</v>
      </c>
      <c r="K457" s="64">
        <f t="shared" si="170"/>
        <v>0</v>
      </c>
      <c r="M457" s="64">
        <f t="shared" si="171"/>
        <v>0</v>
      </c>
      <c r="O457" s="64">
        <f t="shared" si="172"/>
        <v>0</v>
      </c>
      <c r="Q457" s="64">
        <f t="shared" si="173"/>
        <v>0</v>
      </c>
      <c r="S457" s="71">
        <f t="shared" si="174"/>
        <v>0</v>
      </c>
      <c r="U457" s="64">
        <f t="shared" si="175"/>
        <v>0</v>
      </c>
      <c r="W457" s="71">
        <f t="shared" si="176"/>
        <v>0</v>
      </c>
      <c r="Y457" s="71">
        <f t="shared" si="177"/>
        <v>0</v>
      </c>
      <c r="AA457" s="71">
        <f t="shared" si="178"/>
        <v>0</v>
      </c>
      <c r="AC457" s="71">
        <f t="shared" si="179"/>
        <v>0</v>
      </c>
      <c r="AK457" s="71">
        <f t="shared" si="180"/>
        <v>0</v>
      </c>
      <c r="AM457" s="71">
        <f t="shared" si="181"/>
        <v>0</v>
      </c>
      <c r="AO457" s="71">
        <f t="shared" si="182"/>
        <v>0</v>
      </c>
      <c r="AQ457" s="71">
        <f t="shared" si="183"/>
        <v>0</v>
      </c>
      <c r="AT457" s="71">
        <f t="shared" si="184"/>
        <v>0</v>
      </c>
      <c r="AV457" s="71">
        <f t="shared" si="185"/>
        <v>0</v>
      </c>
      <c r="AX457" s="71">
        <f t="shared" si="186"/>
        <v>0</v>
      </c>
      <c r="AZ457" s="71">
        <f t="shared" si="187"/>
        <v>0</v>
      </c>
      <c r="BE457" s="102">
        <f t="shared" si="188"/>
        <v>4.4721359549995796</v>
      </c>
      <c r="BF457" s="81">
        <f t="shared" si="189"/>
        <v>9.3924867883288243E-14</v>
      </c>
      <c r="BG457" s="81" t="str">
        <f t="shared" si="190"/>
        <v>BASSO</v>
      </c>
      <c r="BK457" s="81" t="str">
        <f t="shared" si="191"/>
        <v>MOLTO BASSO</v>
      </c>
    </row>
    <row r="458" spans="7:63" x14ac:dyDescent="0.15">
      <c r="G458" s="64">
        <f t="shared" si="168"/>
        <v>0</v>
      </c>
      <c r="I458" s="64">
        <f t="shared" si="169"/>
        <v>0</v>
      </c>
      <c r="K458" s="64">
        <f t="shared" si="170"/>
        <v>0</v>
      </c>
      <c r="M458" s="64">
        <f t="shared" si="171"/>
        <v>0</v>
      </c>
      <c r="O458" s="64">
        <f t="shared" si="172"/>
        <v>0</v>
      </c>
      <c r="Q458" s="64">
        <f t="shared" si="173"/>
        <v>0</v>
      </c>
      <c r="S458" s="71">
        <f t="shared" si="174"/>
        <v>0</v>
      </c>
      <c r="U458" s="64">
        <f t="shared" si="175"/>
        <v>0</v>
      </c>
      <c r="W458" s="71">
        <f t="shared" si="176"/>
        <v>0</v>
      </c>
      <c r="Y458" s="71">
        <f t="shared" si="177"/>
        <v>0</v>
      </c>
      <c r="AA458" s="71">
        <f t="shared" si="178"/>
        <v>0</v>
      </c>
      <c r="AC458" s="71">
        <f t="shared" si="179"/>
        <v>0</v>
      </c>
      <c r="AK458" s="71">
        <f t="shared" si="180"/>
        <v>0</v>
      </c>
      <c r="AM458" s="71">
        <f t="shared" si="181"/>
        <v>0</v>
      </c>
      <c r="AO458" s="71">
        <f t="shared" si="182"/>
        <v>0</v>
      </c>
      <c r="AQ458" s="71">
        <f t="shared" si="183"/>
        <v>0</v>
      </c>
      <c r="AT458" s="71">
        <f t="shared" si="184"/>
        <v>0</v>
      </c>
      <c r="AV458" s="71">
        <f t="shared" si="185"/>
        <v>0</v>
      </c>
      <c r="AX458" s="71">
        <f t="shared" si="186"/>
        <v>0</v>
      </c>
      <c r="AZ458" s="71">
        <f t="shared" si="187"/>
        <v>0</v>
      </c>
      <c r="BE458" s="102">
        <f t="shared" si="188"/>
        <v>4.4721359549995796</v>
      </c>
      <c r="BF458" s="81">
        <f t="shared" si="189"/>
        <v>9.3924867883288243E-14</v>
      </c>
      <c r="BG458" s="81" t="str">
        <f t="shared" si="190"/>
        <v>BASSO</v>
      </c>
      <c r="BK458" s="81" t="str">
        <f t="shared" si="191"/>
        <v>MOLTO BASSO</v>
      </c>
    </row>
    <row r="459" spans="7:63" x14ac:dyDescent="0.15">
      <c r="G459" s="64">
        <f t="shared" si="168"/>
        <v>0</v>
      </c>
      <c r="I459" s="64">
        <f t="shared" si="169"/>
        <v>0</v>
      </c>
      <c r="K459" s="64">
        <f t="shared" si="170"/>
        <v>0</v>
      </c>
      <c r="M459" s="64">
        <f t="shared" si="171"/>
        <v>0</v>
      </c>
      <c r="O459" s="64">
        <f t="shared" si="172"/>
        <v>0</v>
      </c>
      <c r="Q459" s="64">
        <f t="shared" si="173"/>
        <v>0</v>
      </c>
      <c r="S459" s="71">
        <f t="shared" si="174"/>
        <v>0</v>
      </c>
      <c r="U459" s="64">
        <f t="shared" si="175"/>
        <v>0</v>
      </c>
      <c r="W459" s="71">
        <f t="shared" si="176"/>
        <v>0</v>
      </c>
      <c r="Y459" s="71">
        <f t="shared" si="177"/>
        <v>0</v>
      </c>
      <c r="AA459" s="71">
        <f t="shared" si="178"/>
        <v>0</v>
      </c>
      <c r="AC459" s="71">
        <f t="shared" si="179"/>
        <v>0</v>
      </c>
      <c r="AK459" s="71">
        <f t="shared" si="180"/>
        <v>0</v>
      </c>
      <c r="AM459" s="71">
        <f t="shared" si="181"/>
        <v>0</v>
      </c>
      <c r="AO459" s="71">
        <f t="shared" si="182"/>
        <v>0</v>
      </c>
      <c r="AQ459" s="71">
        <f t="shared" si="183"/>
        <v>0</v>
      </c>
      <c r="AT459" s="71">
        <f t="shared" si="184"/>
        <v>0</v>
      </c>
      <c r="AV459" s="71">
        <f t="shared" si="185"/>
        <v>0</v>
      </c>
      <c r="AX459" s="71">
        <f t="shared" si="186"/>
        <v>0</v>
      </c>
      <c r="AZ459" s="71">
        <f t="shared" si="187"/>
        <v>0</v>
      </c>
      <c r="BE459" s="102">
        <f t="shared" si="188"/>
        <v>4.4721359549995796</v>
      </c>
      <c r="BF459" s="81">
        <f t="shared" si="189"/>
        <v>9.3924867883288243E-14</v>
      </c>
      <c r="BG459" s="81" t="str">
        <f t="shared" si="190"/>
        <v>BASSO</v>
      </c>
      <c r="BK459" s="81" t="str">
        <f t="shared" si="191"/>
        <v>MOLTO BASSO</v>
      </c>
    </row>
    <row r="460" spans="7:63" x14ac:dyDescent="0.15">
      <c r="G460" s="64">
        <f t="shared" si="168"/>
        <v>0</v>
      </c>
      <c r="I460" s="64">
        <f t="shared" si="169"/>
        <v>0</v>
      </c>
      <c r="K460" s="64">
        <f t="shared" si="170"/>
        <v>0</v>
      </c>
      <c r="M460" s="64">
        <f t="shared" si="171"/>
        <v>0</v>
      </c>
      <c r="O460" s="64">
        <f t="shared" si="172"/>
        <v>0</v>
      </c>
      <c r="Q460" s="64">
        <f t="shared" si="173"/>
        <v>0</v>
      </c>
      <c r="S460" s="71">
        <f t="shared" si="174"/>
        <v>0</v>
      </c>
      <c r="U460" s="64">
        <f t="shared" si="175"/>
        <v>0</v>
      </c>
      <c r="W460" s="71">
        <f t="shared" si="176"/>
        <v>0</v>
      </c>
      <c r="Y460" s="71">
        <f t="shared" si="177"/>
        <v>0</v>
      </c>
      <c r="AA460" s="71">
        <f t="shared" si="178"/>
        <v>0</v>
      </c>
      <c r="AC460" s="71">
        <f t="shared" si="179"/>
        <v>0</v>
      </c>
      <c r="AK460" s="71">
        <f t="shared" si="180"/>
        <v>0</v>
      </c>
      <c r="AM460" s="71">
        <f t="shared" si="181"/>
        <v>0</v>
      </c>
      <c r="AO460" s="71">
        <f t="shared" si="182"/>
        <v>0</v>
      </c>
      <c r="AQ460" s="71">
        <f t="shared" si="183"/>
        <v>0</v>
      </c>
      <c r="AT460" s="71">
        <f t="shared" si="184"/>
        <v>0</v>
      </c>
      <c r="AV460" s="71">
        <f t="shared" si="185"/>
        <v>0</v>
      </c>
      <c r="AX460" s="71">
        <f t="shared" si="186"/>
        <v>0</v>
      </c>
      <c r="AZ460" s="71">
        <f t="shared" si="187"/>
        <v>0</v>
      </c>
      <c r="BE460" s="102">
        <f t="shared" si="188"/>
        <v>4.4721359549995796</v>
      </c>
      <c r="BF460" s="81">
        <f t="shared" si="189"/>
        <v>9.3924867883288243E-14</v>
      </c>
      <c r="BG460" s="81" t="str">
        <f t="shared" si="190"/>
        <v>BASSO</v>
      </c>
      <c r="BK460" s="81" t="str">
        <f t="shared" si="191"/>
        <v>MOLTO BASSO</v>
      </c>
    </row>
    <row r="461" spans="7:63" x14ac:dyDescent="0.15">
      <c r="G461" s="64">
        <f t="shared" si="168"/>
        <v>0</v>
      </c>
      <c r="I461" s="64">
        <f t="shared" si="169"/>
        <v>0</v>
      </c>
      <c r="K461" s="64">
        <f t="shared" si="170"/>
        <v>0</v>
      </c>
      <c r="M461" s="64">
        <f t="shared" si="171"/>
        <v>0</v>
      </c>
      <c r="O461" s="64">
        <f t="shared" si="172"/>
        <v>0</v>
      </c>
      <c r="Q461" s="64">
        <f t="shared" si="173"/>
        <v>0</v>
      </c>
      <c r="S461" s="71">
        <f t="shared" si="174"/>
        <v>0</v>
      </c>
      <c r="U461" s="64">
        <f t="shared" si="175"/>
        <v>0</v>
      </c>
      <c r="W461" s="71">
        <f t="shared" si="176"/>
        <v>0</v>
      </c>
      <c r="Y461" s="71">
        <f t="shared" si="177"/>
        <v>0</v>
      </c>
      <c r="AA461" s="71">
        <f t="shared" si="178"/>
        <v>0</v>
      </c>
      <c r="AC461" s="71">
        <f t="shared" si="179"/>
        <v>0</v>
      </c>
      <c r="AK461" s="71">
        <f t="shared" si="180"/>
        <v>0</v>
      </c>
      <c r="AM461" s="71">
        <f t="shared" si="181"/>
        <v>0</v>
      </c>
      <c r="AO461" s="71">
        <f t="shared" si="182"/>
        <v>0</v>
      </c>
      <c r="AQ461" s="71">
        <f t="shared" si="183"/>
        <v>0</v>
      </c>
      <c r="AT461" s="71">
        <f t="shared" si="184"/>
        <v>0</v>
      </c>
      <c r="AV461" s="71">
        <f t="shared" si="185"/>
        <v>0</v>
      </c>
      <c r="AX461" s="71">
        <f t="shared" si="186"/>
        <v>0</v>
      </c>
      <c r="AZ461" s="71">
        <f t="shared" si="187"/>
        <v>0</v>
      </c>
      <c r="BE461" s="102">
        <f t="shared" si="188"/>
        <v>4.4721359549995796</v>
      </c>
      <c r="BF461" s="81">
        <f t="shared" si="189"/>
        <v>9.3924867883288243E-14</v>
      </c>
      <c r="BG461" s="81" t="str">
        <f t="shared" si="190"/>
        <v>BASSO</v>
      </c>
      <c r="BK461" s="81" t="str">
        <f t="shared" si="191"/>
        <v>MOLTO BASSO</v>
      </c>
    </row>
    <row r="462" spans="7:63" x14ac:dyDescent="0.15">
      <c r="G462" s="64">
        <f t="shared" si="168"/>
        <v>0</v>
      </c>
      <c r="I462" s="64">
        <f t="shared" si="169"/>
        <v>0</v>
      </c>
      <c r="K462" s="64">
        <f t="shared" si="170"/>
        <v>0</v>
      </c>
      <c r="M462" s="64">
        <f t="shared" si="171"/>
        <v>0</v>
      </c>
      <c r="O462" s="64">
        <f t="shared" si="172"/>
        <v>0</v>
      </c>
      <c r="Q462" s="64">
        <f t="shared" si="173"/>
        <v>0</v>
      </c>
      <c r="S462" s="71">
        <f t="shared" si="174"/>
        <v>0</v>
      </c>
      <c r="U462" s="64">
        <f t="shared" si="175"/>
        <v>0</v>
      </c>
      <c r="W462" s="71">
        <f t="shared" si="176"/>
        <v>0</v>
      </c>
      <c r="Y462" s="71">
        <f t="shared" si="177"/>
        <v>0</v>
      </c>
      <c r="AA462" s="71">
        <f t="shared" si="178"/>
        <v>0</v>
      </c>
      <c r="AC462" s="71">
        <f t="shared" si="179"/>
        <v>0</v>
      </c>
      <c r="AK462" s="71">
        <f t="shared" si="180"/>
        <v>0</v>
      </c>
      <c r="AM462" s="71">
        <f t="shared" si="181"/>
        <v>0</v>
      </c>
      <c r="AO462" s="71">
        <f t="shared" si="182"/>
        <v>0</v>
      </c>
      <c r="AQ462" s="71">
        <f t="shared" si="183"/>
        <v>0</v>
      </c>
      <c r="AT462" s="71">
        <f t="shared" si="184"/>
        <v>0</v>
      </c>
      <c r="AV462" s="71">
        <f t="shared" si="185"/>
        <v>0</v>
      </c>
      <c r="AX462" s="71">
        <f t="shared" si="186"/>
        <v>0</v>
      </c>
      <c r="AZ462" s="71">
        <f t="shared" si="187"/>
        <v>0</v>
      </c>
      <c r="BE462" s="102">
        <f t="shared" si="188"/>
        <v>4.4721359549995796</v>
      </c>
      <c r="BF462" s="81">
        <f t="shared" si="189"/>
        <v>9.3924867883288243E-14</v>
      </c>
      <c r="BG462" s="81" t="str">
        <f t="shared" si="190"/>
        <v>BASSO</v>
      </c>
      <c r="BK462" s="81" t="str">
        <f t="shared" si="191"/>
        <v>MOLTO BASSO</v>
      </c>
    </row>
    <row r="463" spans="7:63" x14ac:dyDescent="0.15">
      <c r="G463" s="64">
        <f t="shared" si="168"/>
        <v>0</v>
      </c>
      <c r="I463" s="64">
        <f t="shared" si="169"/>
        <v>0</v>
      </c>
      <c r="K463" s="64">
        <f t="shared" si="170"/>
        <v>0</v>
      </c>
      <c r="M463" s="64">
        <f t="shared" si="171"/>
        <v>0</v>
      </c>
      <c r="O463" s="64">
        <f t="shared" si="172"/>
        <v>0</v>
      </c>
      <c r="Q463" s="64">
        <f t="shared" si="173"/>
        <v>0</v>
      </c>
      <c r="S463" s="71">
        <f t="shared" si="174"/>
        <v>0</v>
      </c>
      <c r="U463" s="64">
        <f t="shared" si="175"/>
        <v>0</v>
      </c>
      <c r="W463" s="71">
        <f t="shared" si="176"/>
        <v>0</v>
      </c>
      <c r="Y463" s="71">
        <f t="shared" si="177"/>
        <v>0</v>
      </c>
      <c r="AA463" s="71">
        <f t="shared" si="178"/>
        <v>0</v>
      </c>
      <c r="AC463" s="71">
        <f t="shared" si="179"/>
        <v>0</v>
      </c>
      <c r="AK463" s="71">
        <f t="shared" si="180"/>
        <v>0</v>
      </c>
      <c r="AM463" s="71">
        <f t="shared" si="181"/>
        <v>0</v>
      </c>
      <c r="AO463" s="71">
        <f t="shared" si="182"/>
        <v>0</v>
      </c>
      <c r="AQ463" s="71">
        <f t="shared" si="183"/>
        <v>0</v>
      </c>
      <c r="AT463" s="71">
        <f t="shared" si="184"/>
        <v>0</v>
      </c>
      <c r="AV463" s="71">
        <f t="shared" si="185"/>
        <v>0</v>
      </c>
      <c r="AX463" s="71">
        <f t="shared" si="186"/>
        <v>0</v>
      </c>
      <c r="AZ463" s="71">
        <f t="shared" si="187"/>
        <v>0</v>
      </c>
      <c r="BE463" s="102">
        <f t="shared" si="188"/>
        <v>4.4721359549995796</v>
      </c>
      <c r="BF463" s="81">
        <f t="shared" si="189"/>
        <v>9.3924867883288243E-14</v>
      </c>
      <c r="BG463" s="81" t="str">
        <f t="shared" si="190"/>
        <v>BASSO</v>
      </c>
      <c r="BK463" s="81" t="str">
        <f t="shared" si="191"/>
        <v>MOLTO BASSO</v>
      </c>
    </row>
    <row r="464" spans="7:63" x14ac:dyDescent="0.15">
      <c r="G464" s="64">
        <f t="shared" si="168"/>
        <v>0</v>
      </c>
      <c r="I464" s="64">
        <f t="shared" si="169"/>
        <v>0</v>
      </c>
      <c r="K464" s="64">
        <f t="shared" si="170"/>
        <v>0</v>
      </c>
      <c r="M464" s="64">
        <f t="shared" si="171"/>
        <v>0</v>
      </c>
      <c r="O464" s="64">
        <f t="shared" si="172"/>
        <v>0</v>
      </c>
      <c r="Q464" s="64">
        <f t="shared" si="173"/>
        <v>0</v>
      </c>
      <c r="S464" s="71">
        <f t="shared" si="174"/>
        <v>0</v>
      </c>
      <c r="U464" s="64">
        <f t="shared" si="175"/>
        <v>0</v>
      </c>
      <c r="W464" s="71">
        <f t="shared" si="176"/>
        <v>0</v>
      </c>
      <c r="Y464" s="71">
        <f t="shared" si="177"/>
        <v>0</v>
      </c>
      <c r="AA464" s="71">
        <f t="shared" si="178"/>
        <v>0</v>
      </c>
      <c r="AC464" s="71">
        <f t="shared" si="179"/>
        <v>0</v>
      </c>
      <c r="AK464" s="71">
        <f t="shared" si="180"/>
        <v>0</v>
      </c>
      <c r="AM464" s="71">
        <f t="shared" si="181"/>
        <v>0</v>
      </c>
      <c r="AO464" s="71">
        <f t="shared" si="182"/>
        <v>0</v>
      </c>
      <c r="AQ464" s="71">
        <f t="shared" si="183"/>
        <v>0</v>
      </c>
      <c r="AT464" s="71">
        <f t="shared" si="184"/>
        <v>0</v>
      </c>
      <c r="AV464" s="71">
        <f t="shared" si="185"/>
        <v>0</v>
      </c>
      <c r="AX464" s="71">
        <f t="shared" si="186"/>
        <v>0</v>
      </c>
      <c r="AZ464" s="71">
        <f t="shared" si="187"/>
        <v>0</v>
      </c>
      <c r="BE464" s="102">
        <f t="shared" si="188"/>
        <v>4.4721359549995796</v>
      </c>
      <c r="BF464" s="81">
        <f t="shared" si="189"/>
        <v>9.3924867883288243E-14</v>
      </c>
      <c r="BG464" s="81" t="str">
        <f t="shared" si="190"/>
        <v>BASSO</v>
      </c>
      <c r="BK464" s="81" t="str">
        <f t="shared" si="191"/>
        <v>MOLTO BASSO</v>
      </c>
    </row>
    <row r="465" spans="7:63" x14ac:dyDescent="0.15">
      <c r="G465" s="64">
        <f t="shared" si="168"/>
        <v>0</v>
      </c>
      <c r="I465" s="64">
        <f t="shared" si="169"/>
        <v>0</v>
      </c>
      <c r="K465" s="64">
        <f t="shared" si="170"/>
        <v>0</v>
      </c>
      <c r="M465" s="64">
        <f t="shared" si="171"/>
        <v>0</v>
      </c>
      <c r="O465" s="64">
        <f t="shared" si="172"/>
        <v>0</v>
      </c>
      <c r="Q465" s="64">
        <f t="shared" si="173"/>
        <v>0</v>
      </c>
      <c r="S465" s="71">
        <f t="shared" si="174"/>
        <v>0</v>
      </c>
      <c r="U465" s="64">
        <f t="shared" si="175"/>
        <v>0</v>
      </c>
      <c r="W465" s="71">
        <f t="shared" si="176"/>
        <v>0</v>
      </c>
      <c r="Y465" s="71">
        <f t="shared" si="177"/>
        <v>0</v>
      </c>
      <c r="AA465" s="71">
        <f t="shared" si="178"/>
        <v>0</v>
      </c>
      <c r="AC465" s="71">
        <f t="shared" si="179"/>
        <v>0</v>
      </c>
      <c r="AK465" s="71">
        <f t="shared" si="180"/>
        <v>0</v>
      </c>
      <c r="AM465" s="71">
        <f t="shared" si="181"/>
        <v>0</v>
      </c>
      <c r="AO465" s="71">
        <f t="shared" si="182"/>
        <v>0</v>
      </c>
      <c r="AQ465" s="71">
        <f t="shared" si="183"/>
        <v>0</v>
      </c>
      <c r="AT465" s="71">
        <f t="shared" si="184"/>
        <v>0</v>
      </c>
      <c r="AV465" s="71">
        <f t="shared" si="185"/>
        <v>0</v>
      </c>
      <c r="AX465" s="71">
        <f t="shared" si="186"/>
        <v>0</v>
      </c>
      <c r="AZ465" s="71">
        <f t="shared" si="187"/>
        <v>0</v>
      </c>
      <c r="BE465" s="102">
        <f t="shared" si="188"/>
        <v>4.4721359549995796</v>
      </c>
      <c r="BF465" s="81">
        <f t="shared" si="189"/>
        <v>9.3924867883288243E-14</v>
      </c>
      <c r="BG465" s="81" t="str">
        <f t="shared" si="190"/>
        <v>BASSO</v>
      </c>
      <c r="BK465" s="81" t="str">
        <f t="shared" si="191"/>
        <v>MOLTO BASSO</v>
      </c>
    </row>
    <row r="466" spans="7:63" x14ac:dyDescent="0.15">
      <c r="G466" s="64">
        <f t="shared" si="168"/>
        <v>0</v>
      </c>
      <c r="I466" s="64">
        <f t="shared" si="169"/>
        <v>0</v>
      </c>
      <c r="K466" s="64">
        <f t="shared" si="170"/>
        <v>0</v>
      </c>
      <c r="M466" s="64">
        <f t="shared" si="171"/>
        <v>0</v>
      </c>
      <c r="O466" s="64">
        <f t="shared" si="172"/>
        <v>0</v>
      </c>
      <c r="Q466" s="64">
        <f t="shared" si="173"/>
        <v>0</v>
      </c>
      <c r="S466" s="71">
        <f t="shared" si="174"/>
        <v>0</v>
      </c>
      <c r="U466" s="64">
        <f t="shared" si="175"/>
        <v>0</v>
      </c>
      <c r="W466" s="71">
        <f t="shared" si="176"/>
        <v>0</v>
      </c>
      <c r="Y466" s="71">
        <f t="shared" si="177"/>
        <v>0</v>
      </c>
      <c r="AA466" s="71">
        <f t="shared" si="178"/>
        <v>0</v>
      </c>
      <c r="AC466" s="71">
        <f t="shared" si="179"/>
        <v>0</v>
      </c>
      <c r="AK466" s="71">
        <f t="shared" si="180"/>
        <v>0</v>
      </c>
      <c r="AM466" s="71">
        <f t="shared" si="181"/>
        <v>0</v>
      </c>
      <c r="AO466" s="71">
        <f t="shared" si="182"/>
        <v>0</v>
      </c>
      <c r="AQ466" s="71">
        <f t="shared" si="183"/>
        <v>0</v>
      </c>
      <c r="AT466" s="71">
        <f t="shared" si="184"/>
        <v>0</v>
      </c>
      <c r="AV466" s="71">
        <f t="shared" si="185"/>
        <v>0</v>
      </c>
      <c r="AX466" s="71">
        <f t="shared" si="186"/>
        <v>0</v>
      </c>
      <c r="AZ466" s="71">
        <f t="shared" si="187"/>
        <v>0</v>
      </c>
      <c r="BE466" s="102">
        <f t="shared" si="188"/>
        <v>4.4721359549995796</v>
      </c>
      <c r="BF466" s="81">
        <f t="shared" si="189"/>
        <v>9.3924867883288243E-14</v>
      </c>
      <c r="BG466" s="81" t="str">
        <f t="shared" si="190"/>
        <v>BASSO</v>
      </c>
      <c r="BK466" s="81" t="str">
        <f t="shared" si="191"/>
        <v>MOLTO BASSO</v>
      </c>
    </row>
    <row r="467" spans="7:63" x14ac:dyDescent="0.15">
      <c r="G467" s="64">
        <f t="shared" si="168"/>
        <v>0</v>
      </c>
      <c r="I467" s="64">
        <f t="shared" si="169"/>
        <v>0</v>
      </c>
      <c r="K467" s="64">
        <f t="shared" si="170"/>
        <v>0</v>
      </c>
      <c r="M467" s="64">
        <f t="shared" si="171"/>
        <v>0</v>
      </c>
      <c r="O467" s="64">
        <f t="shared" si="172"/>
        <v>0</v>
      </c>
      <c r="Q467" s="64">
        <f t="shared" si="173"/>
        <v>0</v>
      </c>
      <c r="S467" s="71">
        <f t="shared" si="174"/>
        <v>0</v>
      </c>
      <c r="U467" s="64">
        <f t="shared" si="175"/>
        <v>0</v>
      </c>
      <c r="W467" s="71">
        <f t="shared" si="176"/>
        <v>0</v>
      </c>
      <c r="Y467" s="71">
        <f t="shared" si="177"/>
        <v>0</v>
      </c>
      <c r="AA467" s="71">
        <f t="shared" si="178"/>
        <v>0</v>
      </c>
      <c r="AC467" s="71">
        <f t="shared" si="179"/>
        <v>0</v>
      </c>
      <c r="AK467" s="71">
        <f t="shared" si="180"/>
        <v>0</v>
      </c>
      <c r="AM467" s="71">
        <f t="shared" si="181"/>
        <v>0</v>
      </c>
      <c r="AO467" s="71">
        <f t="shared" si="182"/>
        <v>0</v>
      </c>
      <c r="AQ467" s="71">
        <f t="shared" si="183"/>
        <v>0</v>
      </c>
      <c r="AT467" s="71">
        <f t="shared" si="184"/>
        <v>0</v>
      </c>
      <c r="AV467" s="71">
        <f t="shared" si="185"/>
        <v>0</v>
      </c>
      <c r="AX467" s="71">
        <f t="shared" si="186"/>
        <v>0</v>
      </c>
      <c r="AZ467" s="71">
        <f t="shared" si="187"/>
        <v>0</v>
      </c>
      <c r="BE467" s="102">
        <f t="shared" si="188"/>
        <v>4.4721359549995796</v>
      </c>
      <c r="BF467" s="81">
        <f t="shared" si="189"/>
        <v>9.3924867883288243E-14</v>
      </c>
      <c r="BG467" s="81" t="str">
        <f t="shared" si="190"/>
        <v>BASSO</v>
      </c>
      <c r="BK467" s="81" t="str">
        <f t="shared" si="191"/>
        <v>MOLTO BASSO</v>
      </c>
    </row>
    <row r="468" spans="7:63" x14ac:dyDescent="0.15">
      <c r="G468" s="64">
        <f t="shared" si="168"/>
        <v>0</v>
      </c>
      <c r="I468" s="64">
        <f t="shared" si="169"/>
        <v>0</v>
      </c>
      <c r="K468" s="64">
        <f t="shared" si="170"/>
        <v>0</v>
      </c>
      <c r="M468" s="64">
        <f t="shared" si="171"/>
        <v>0</v>
      </c>
      <c r="O468" s="64">
        <f t="shared" si="172"/>
        <v>0</v>
      </c>
      <c r="Q468" s="64">
        <f t="shared" si="173"/>
        <v>0</v>
      </c>
      <c r="S468" s="71">
        <f t="shared" si="174"/>
        <v>0</v>
      </c>
      <c r="U468" s="64">
        <f t="shared" si="175"/>
        <v>0</v>
      </c>
      <c r="W468" s="71">
        <f t="shared" si="176"/>
        <v>0</v>
      </c>
      <c r="Y468" s="71">
        <f t="shared" si="177"/>
        <v>0</v>
      </c>
      <c r="AA468" s="71">
        <f t="shared" si="178"/>
        <v>0</v>
      </c>
      <c r="AC468" s="71">
        <f t="shared" si="179"/>
        <v>0</v>
      </c>
      <c r="AK468" s="71">
        <f t="shared" si="180"/>
        <v>0</v>
      </c>
      <c r="AM468" s="71">
        <f t="shared" si="181"/>
        <v>0</v>
      </c>
      <c r="AO468" s="71">
        <f t="shared" si="182"/>
        <v>0</v>
      </c>
      <c r="AQ468" s="71">
        <f t="shared" si="183"/>
        <v>0</v>
      </c>
      <c r="AT468" s="71">
        <f t="shared" si="184"/>
        <v>0</v>
      </c>
      <c r="AV468" s="71">
        <f t="shared" si="185"/>
        <v>0</v>
      </c>
      <c r="AX468" s="71">
        <f t="shared" si="186"/>
        <v>0</v>
      </c>
      <c r="AZ468" s="71">
        <f t="shared" si="187"/>
        <v>0</v>
      </c>
      <c r="BE468" s="102">
        <f t="shared" si="188"/>
        <v>4.4721359549995796</v>
      </c>
      <c r="BF468" s="81">
        <f t="shared" si="189"/>
        <v>9.3924867883288243E-14</v>
      </c>
      <c r="BG468" s="81" t="str">
        <f t="shared" si="190"/>
        <v>BASSO</v>
      </c>
      <c r="BK468" s="81" t="str">
        <f t="shared" si="191"/>
        <v>MOLTO BASSO</v>
      </c>
    </row>
    <row r="469" spans="7:63" x14ac:dyDescent="0.15">
      <c r="G469" s="64">
        <f t="shared" si="168"/>
        <v>0</v>
      </c>
      <c r="I469" s="64">
        <f t="shared" si="169"/>
        <v>0</v>
      </c>
      <c r="K469" s="64">
        <f t="shared" si="170"/>
        <v>0</v>
      </c>
      <c r="M469" s="64">
        <f t="shared" si="171"/>
        <v>0</v>
      </c>
      <c r="O469" s="64">
        <f t="shared" si="172"/>
        <v>0</v>
      </c>
      <c r="Q469" s="64">
        <f t="shared" si="173"/>
        <v>0</v>
      </c>
      <c r="S469" s="71">
        <f t="shared" si="174"/>
        <v>0</v>
      </c>
      <c r="U469" s="64">
        <f t="shared" si="175"/>
        <v>0</v>
      </c>
      <c r="W469" s="71">
        <f t="shared" si="176"/>
        <v>0</v>
      </c>
      <c r="Y469" s="71">
        <f t="shared" si="177"/>
        <v>0</v>
      </c>
      <c r="AA469" s="71">
        <f t="shared" si="178"/>
        <v>0</v>
      </c>
      <c r="AC469" s="71">
        <f t="shared" si="179"/>
        <v>0</v>
      </c>
      <c r="AK469" s="71">
        <f t="shared" si="180"/>
        <v>0</v>
      </c>
      <c r="AM469" s="71">
        <f t="shared" si="181"/>
        <v>0</v>
      </c>
      <c r="AO469" s="71">
        <f t="shared" si="182"/>
        <v>0</v>
      </c>
      <c r="AQ469" s="71">
        <f t="shared" si="183"/>
        <v>0</v>
      </c>
      <c r="AT469" s="71">
        <f t="shared" si="184"/>
        <v>0</v>
      </c>
      <c r="AV469" s="71">
        <f t="shared" si="185"/>
        <v>0</v>
      </c>
      <c r="AX469" s="71">
        <f t="shared" si="186"/>
        <v>0</v>
      </c>
      <c r="AZ469" s="71">
        <f t="shared" si="187"/>
        <v>0</v>
      </c>
      <c r="BE469" s="102">
        <f t="shared" si="188"/>
        <v>4.4721359549995796</v>
      </c>
      <c r="BF469" s="81">
        <f t="shared" si="189"/>
        <v>9.3924867883288243E-14</v>
      </c>
      <c r="BG469" s="81" t="str">
        <f t="shared" si="190"/>
        <v>BASSO</v>
      </c>
      <c r="BK469" s="81" t="str">
        <f t="shared" si="191"/>
        <v>MOLTO BASSO</v>
      </c>
    </row>
    <row r="470" spans="7:63" x14ac:dyDescent="0.15">
      <c r="G470" s="64">
        <f t="shared" si="168"/>
        <v>0</v>
      </c>
      <c r="I470" s="64">
        <f t="shared" si="169"/>
        <v>0</v>
      </c>
      <c r="K470" s="64">
        <f t="shared" si="170"/>
        <v>0</v>
      </c>
      <c r="M470" s="64">
        <f t="shared" si="171"/>
        <v>0</v>
      </c>
      <c r="O470" s="64">
        <f t="shared" si="172"/>
        <v>0</v>
      </c>
      <c r="Q470" s="64">
        <f t="shared" si="173"/>
        <v>0</v>
      </c>
      <c r="S470" s="71">
        <f t="shared" si="174"/>
        <v>0</v>
      </c>
      <c r="U470" s="64">
        <f t="shared" si="175"/>
        <v>0</v>
      </c>
      <c r="W470" s="71">
        <f t="shared" si="176"/>
        <v>0</v>
      </c>
      <c r="Y470" s="71">
        <f t="shared" si="177"/>
        <v>0</v>
      </c>
      <c r="AA470" s="71">
        <f t="shared" si="178"/>
        <v>0</v>
      </c>
      <c r="AC470" s="71">
        <f t="shared" si="179"/>
        <v>0</v>
      </c>
      <c r="AK470" s="71">
        <f t="shared" si="180"/>
        <v>0</v>
      </c>
      <c r="AM470" s="71">
        <f t="shared" si="181"/>
        <v>0</v>
      </c>
      <c r="AO470" s="71">
        <f t="shared" si="182"/>
        <v>0</v>
      </c>
      <c r="AQ470" s="71">
        <f t="shared" si="183"/>
        <v>0</v>
      </c>
      <c r="AT470" s="71">
        <f t="shared" si="184"/>
        <v>0</v>
      </c>
      <c r="AV470" s="71">
        <f t="shared" si="185"/>
        <v>0</v>
      </c>
      <c r="AX470" s="71">
        <f t="shared" si="186"/>
        <v>0</v>
      </c>
      <c r="AZ470" s="71">
        <f t="shared" si="187"/>
        <v>0</v>
      </c>
      <c r="BE470" s="102">
        <f t="shared" si="188"/>
        <v>4.4721359549995796</v>
      </c>
      <c r="BF470" s="81">
        <f t="shared" si="189"/>
        <v>9.3924867883288243E-14</v>
      </c>
      <c r="BG470" s="81" t="str">
        <f t="shared" si="190"/>
        <v>BASSO</v>
      </c>
      <c r="BK470" s="81" t="str">
        <f t="shared" si="191"/>
        <v>MOLTO BASSO</v>
      </c>
    </row>
    <row r="471" spans="7:63" x14ac:dyDescent="0.15">
      <c r="G471" s="64">
        <f t="shared" si="168"/>
        <v>0</v>
      </c>
      <c r="I471" s="64">
        <f t="shared" si="169"/>
        <v>0</v>
      </c>
      <c r="K471" s="64">
        <f t="shared" si="170"/>
        <v>0</v>
      </c>
      <c r="M471" s="64">
        <f t="shared" si="171"/>
        <v>0</v>
      </c>
      <c r="O471" s="64">
        <f t="shared" si="172"/>
        <v>0</v>
      </c>
      <c r="Q471" s="64">
        <f t="shared" si="173"/>
        <v>0</v>
      </c>
      <c r="S471" s="71">
        <f t="shared" si="174"/>
        <v>0</v>
      </c>
      <c r="U471" s="64">
        <f t="shared" si="175"/>
        <v>0</v>
      </c>
      <c r="W471" s="71">
        <f t="shared" si="176"/>
        <v>0</v>
      </c>
      <c r="Y471" s="71">
        <f t="shared" si="177"/>
        <v>0</v>
      </c>
      <c r="AA471" s="71">
        <f t="shared" si="178"/>
        <v>0</v>
      </c>
      <c r="AC471" s="71">
        <f t="shared" si="179"/>
        <v>0</v>
      </c>
      <c r="AK471" s="71">
        <f t="shared" si="180"/>
        <v>0</v>
      </c>
      <c r="AM471" s="71">
        <f t="shared" si="181"/>
        <v>0</v>
      </c>
      <c r="AO471" s="71">
        <f t="shared" si="182"/>
        <v>0</v>
      </c>
      <c r="AQ471" s="71">
        <f t="shared" si="183"/>
        <v>0</v>
      </c>
      <c r="AT471" s="71">
        <f t="shared" si="184"/>
        <v>0</v>
      </c>
      <c r="AV471" s="71">
        <f t="shared" si="185"/>
        <v>0</v>
      </c>
      <c r="AX471" s="71">
        <f t="shared" si="186"/>
        <v>0</v>
      </c>
      <c r="AZ471" s="71">
        <f t="shared" si="187"/>
        <v>0</v>
      </c>
      <c r="BE471" s="102">
        <f t="shared" si="188"/>
        <v>4.4721359549995796</v>
      </c>
      <c r="BF471" s="81">
        <f t="shared" si="189"/>
        <v>9.3924867883288243E-14</v>
      </c>
      <c r="BG471" s="81" t="str">
        <f t="shared" si="190"/>
        <v>BASSO</v>
      </c>
      <c r="BK471" s="81" t="str">
        <f t="shared" si="191"/>
        <v>MOLTO BASSO</v>
      </c>
    </row>
    <row r="472" spans="7:63" x14ac:dyDescent="0.15">
      <c r="G472" s="64">
        <f t="shared" si="168"/>
        <v>0</v>
      </c>
      <c r="I472" s="64">
        <f t="shared" si="169"/>
        <v>0</v>
      </c>
      <c r="K472" s="64">
        <f t="shared" si="170"/>
        <v>0</v>
      </c>
      <c r="M472" s="64">
        <f t="shared" si="171"/>
        <v>0</v>
      </c>
      <c r="O472" s="64">
        <f t="shared" si="172"/>
        <v>0</v>
      </c>
      <c r="Q472" s="64">
        <f t="shared" si="173"/>
        <v>0</v>
      </c>
      <c r="S472" s="71">
        <f t="shared" si="174"/>
        <v>0</v>
      </c>
      <c r="U472" s="64">
        <f t="shared" si="175"/>
        <v>0</v>
      </c>
      <c r="W472" s="71">
        <f t="shared" si="176"/>
        <v>0</v>
      </c>
      <c r="Y472" s="71">
        <f t="shared" si="177"/>
        <v>0</v>
      </c>
      <c r="AA472" s="71">
        <f t="shared" si="178"/>
        <v>0</v>
      </c>
      <c r="AC472" s="71">
        <f t="shared" si="179"/>
        <v>0</v>
      </c>
      <c r="AK472" s="71">
        <f t="shared" si="180"/>
        <v>0</v>
      </c>
      <c r="AM472" s="71">
        <f t="shared" si="181"/>
        <v>0</v>
      </c>
      <c r="AO472" s="71">
        <f t="shared" si="182"/>
        <v>0</v>
      </c>
      <c r="AQ472" s="71">
        <f t="shared" si="183"/>
        <v>0</v>
      </c>
      <c r="AT472" s="71">
        <f t="shared" si="184"/>
        <v>0</v>
      </c>
      <c r="AV472" s="71">
        <f t="shared" si="185"/>
        <v>0</v>
      </c>
      <c r="AX472" s="71">
        <f t="shared" si="186"/>
        <v>0</v>
      </c>
      <c r="AZ472" s="71">
        <f t="shared" si="187"/>
        <v>0</v>
      </c>
      <c r="BE472" s="102">
        <f t="shared" si="188"/>
        <v>4.4721359549995796</v>
      </c>
      <c r="BF472" s="81">
        <f t="shared" si="189"/>
        <v>9.3924867883288243E-14</v>
      </c>
      <c r="BG472" s="81" t="str">
        <f t="shared" si="190"/>
        <v>BASSO</v>
      </c>
      <c r="BK472" s="81" t="str">
        <f t="shared" si="191"/>
        <v>MOLTO BASSO</v>
      </c>
    </row>
    <row r="473" spans="7:63" x14ac:dyDescent="0.15">
      <c r="G473" s="64">
        <f t="shared" si="168"/>
        <v>0</v>
      </c>
      <c r="I473" s="64">
        <f t="shared" si="169"/>
        <v>0</v>
      </c>
      <c r="K473" s="64">
        <f t="shared" si="170"/>
        <v>0</v>
      </c>
      <c r="M473" s="64">
        <f t="shared" si="171"/>
        <v>0</v>
      </c>
      <c r="O473" s="64">
        <f t="shared" si="172"/>
        <v>0</v>
      </c>
      <c r="Q473" s="64">
        <f t="shared" si="173"/>
        <v>0</v>
      </c>
      <c r="S473" s="71">
        <f t="shared" si="174"/>
        <v>0</v>
      </c>
      <c r="U473" s="64">
        <f t="shared" si="175"/>
        <v>0</v>
      </c>
      <c r="W473" s="71">
        <f t="shared" si="176"/>
        <v>0</v>
      </c>
      <c r="Y473" s="71">
        <f t="shared" si="177"/>
        <v>0</v>
      </c>
      <c r="AA473" s="71">
        <f t="shared" si="178"/>
        <v>0</v>
      </c>
      <c r="AC473" s="71">
        <f t="shared" si="179"/>
        <v>0</v>
      </c>
      <c r="AK473" s="71">
        <f t="shared" si="180"/>
        <v>0</v>
      </c>
      <c r="AM473" s="71">
        <f t="shared" si="181"/>
        <v>0</v>
      </c>
      <c r="AO473" s="71">
        <f t="shared" si="182"/>
        <v>0</v>
      </c>
      <c r="AQ473" s="71">
        <f t="shared" si="183"/>
        <v>0</v>
      </c>
      <c r="AT473" s="71">
        <f t="shared" si="184"/>
        <v>0</v>
      </c>
      <c r="AV473" s="71">
        <f t="shared" si="185"/>
        <v>0</v>
      </c>
      <c r="AX473" s="71">
        <f t="shared" si="186"/>
        <v>0</v>
      </c>
      <c r="AZ473" s="71">
        <f t="shared" si="187"/>
        <v>0</v>
      </c>
      <c r="BE473" s="102">
        <f t="shared" si="188"/>
        <v>4.4721359549995796</v>
      </c>
      <c r="BF473" s="81">
        <f t="shared" si="189"/>
        <v>9.3924867883288243E-14</v>
      </c>
      <c r="BG473" s="81" t="str">
        <f t="shared" si="190"/>
        <v>BASSO</v>
      </c>
      <c r="BK473" s="81" t="str">
        <f t="shared" si="191"/>
        <v>MOLTO BASSO</v>
      </c>
    </row>
    <row r="474" spans="7:63" x14ac:dyDescent="0.15">
      <c r="G474" s="64">
        <f t="shared" si="168"/>
        <v>0</v>
      </c>
      <c r="I474" s="64">
        <f t="shared" si="169"/>
        <v>0</v>
      </c>
      <c r="K474" s="64">
        <f t="shared" si="170"/>
        <v>0</v>
      </c>
      <c r="M474" s="64">
        <f t="shared" si="171"/>
        <v>0</v>
      </c>
      <c r="O474" s="64">
        <f t="shared" si="172"/>
        <v>0</v>
      </c>
      <c r="Q474" s="64">
        <f t="shared" si="173"/>
        <v>0</v>
      </c>
      <c r="S474" s="71">
        <f t="shared" si="174"/>
        <v>0</v>
      </c>
      <c r="U474" s="64">
        <f t="shared" si="175"/>
        <v>0</v>
      </c>
      <c r="W474" s="71">
        <f t="shared" si="176"/>
        <v>0</v>
      </c>
      <c r="Y474" s="71">
        <f t="shared" si="177"/>
        <v>0</v>
      </c>
      <c r="AA474" s="71">
        <f t="shared" si="178"/>
        <v>0</v>
      </c>
      <c r="AC474" s="71">
        <f t="shared" si="179"/>
        <v>0</v>
      </c>
      <c r="AK474" s="71">
        <f t="shared" si="180"/>
        <v>0</v>
      </c>
      <c r="AM474" s="71">
        <f t="shared" si="181"/>
        <v>0</v>
      </c>
      <c r="AO474" s="71">
        <f t="shared" si="182"/>
        <v>0</v>
      </c>
      <c r="AQ474" s="71">
        <f t="shared" si="183"/>
        <v>0</v>
      </c>
      <c r="AT474" s="71">
        <f t="shared" si="184"/>
        <v>0</v>
      </c>
      <c r="AV474" s="71">
        <f t="shared" si="185"/>
        <v>0</v>
      </c>
      <c r="AX474" s="71">
        <f t="shared" si="186"/>
        <v>0</v>
      </c>
      <c r="AZ474" s="71">
        <f t="shared" si="187"/>
        <v>0</v>
      </c>
      <c r="BE474" s="102">
        <f t="shared" si="188"/>
        <v>4.4721359549995796</v>
      </c>
      <c r="BF474" s="81">
        <f t="shared" si="189"/>
        <v>9.3924867883288243E-14</v>
      </c>
      <c r="BG474" s="81" t="str">
        <f t="shared" si="190"/>
        <v>BASSO</v>
      </c>
      <c r="BK474" s="81" t="str">
        <f t="shared" si="191"/>
        <v>MOLTO BASSO</v>
      </c>
    </row>
    <row r="475" spans="7:63" x14ac:dyDescent="0.15">
      <c r="G475" s="64">
        <f t="shared" si="168"/>
        <v>0</v>
      </c>
      <c r="I475" s="64">
        <f t="shared" si="169"/>
        <v>0</v>
      </c>
      <c r="K475" s="64">
        <f t="shared" si="170"/>
        <v>0</v>
      </c>
      <c r="M475" s="64">
        <f t="shared" si="171"/>
        <v>0</v>
      </c>
      <c r="O475" s="64">
        <f t="shared" si="172"/>
        <v>0</v>
      </c>
      <c r="Q475" s="64">
        <f t="shared" si="173"/>
        <v>0</v>
      </c>
      <c r="S475" s="71">
        <f t="shared" si="174"/>
        <v>0</v>
      </c>
      <c r="U475" s="64">
        <f t="shared" si="175"/>
        <v>0</v>
      </c>
      <c r="W475" s="71">
        <f t="shared" si="176"/>
        <v>0</v>
      </c>
      <c r="Y475" s="71">
        <f t="shared" si="177"/>
        <v>0</v>
      </c>
      <c r="AA475" s="71">
        <f t="shared" si="178"/>
        <v>0</v>
      </c>
      <c r="AC475" s="71">
        <f t="shared" si="179"/>
        <v>0</v>
      </c>
      <c r="AK475" s="71">
        <f t="shared" si="180"/>
        <v>0</v>
      </c>
      <c r="AM475" s="71">
        <f t="shared" si="181"/>
        <v>0</v>
      </c>
      <c r="AO475" s="71">
        <f t="shared" si="182"/>
        <v>0</v>
      </c>
      <c r="AQ475" s="71">
        <f t="shared" si="183"/>
        <v>0</v>
      </c>
      <c r="AT475" s="71">
        <f t="shared" si="184"/>
        <v>0</v>
      </c>
      <c r="AV475" s="71">
        <f t="shared" si="185"/>
        <v>0</v>
      </c>
      <c r="AX475" s="71">
        <f t="shared" si="186"/>
        <v>0</v>
      </c>
      <c r="AZ475" s="71">
        <f t="shared" si="187"/>
        <v>0</v>
      </c>
      <c r="BE475" s="102">
        <f t="shared" si="188"/>
        <v>4.4721359549995796</v>
      </c>
      <c r="BF475" s="81">
        <f t="shared" si="189"/>
        <v>9.3924867883288243E-14</v>
      </c>
      <c r="BG475" s="81" t="str">
        <f t="shared" si="190"/>
        <v>BASSO</v>
      </c>
      <c r="BK475" s="81" t="str">
        <f t="shared" si="191"/>
        <v>MOLTO BASSO</v>
      </c>
    </row>
    <row r="476" spans="7:63" x14ac:dyDescent="0.15">
      <c r="G476" s="64">
        <f t="shared" si="168"/>
        <v>0</v>
      </c>
      <c r="I476" s="64">
        <f t="shared" si="169"/>
        <v>0</v>
      </c>
      <c r="K476" s="64">
        <f t="shared" si="170"/>
        <v>0</v>
      </c>
      <c r="M476" s="64">
        <f t="shared" si="171"/>
        <v>0</v>
      </c>
      <c r="O476" s="64">
        <f t="shared" si="172"/>
        <v>0</v>
      </c>
      <c r="Q476" s="64">
        <f t="shared" si="173"/>
        <v>0</v>
      </c>
      <c r="S476" s="71">
        <f t="shared" si="174"/>
        <v>0</v>
      </c>
      <c r="U476" s="64">
        <f t="shared" si="175"/>
        <v>0</v>
      </c>
      <c r="W476" s="71">
        <f t="shared" si="176"/>
        <v>0</v>
      </c>
      <c r="Y476" s="71">
        <f t="shared" si="177"/>
        <v>0</v>
      </c>
      <c r="AA476" s="71">
        <f t="shared" si="178"/>
        <v>0</v>
      </c>
      <c r="AC476" s="71">
        <f t="shared" si="179"/>
        <v>0</v>
      </c>
      <c r="AK476" s="71">
        <f t="shared" si="180"/>
        <v>0</v>
      </c>
      <c r="AM476" s="71">
        <f t="shared" si="181"/>
        <v>0</v>
      </c>
      <c r="AO476" s="71">
        <f t="shared" si="182"/>
        <v>0</v>
      </c>
      <c r="AQ476" s="71">
        <f t="shared" si="183"/>
        <v>0</v>
      </c>
      <c r="AT476" s="71">
        <f t="shared" si="184"/>
        <v>0</v>
      </c>
      <c r="AV476" s="71">
        <f t="shared" si="185"/>
        <v>0</v>
      </c>
      <c r="AX476" s="71">
        <f t="shared" si="186"/>
        <v>0</v>
      </c>
      <c r="AZ476" s="71">
        <f t="shared" si="187"/>
        <v>0</v>
      </c>
      <c r="BE476" s="102">
        <f t="shared" si="188"/>
        <v>4.4721359549995796</v>
      </c>
      <c r="BF476" s="81">
        <f t="shared" si="189"/>
        <v>9.3924867883288243E-14</v>
      </c>
      <c r="BG476" s="81" t="str">
        <f t="shared" si="190"/>
        <v>BASSO</v>
      </c>
      <c r="BK476" s="81" t="str">
        <f t="shared" si="191"/>
        <v>MOLTO BASSO</v>
      </c>
    </row>
    <row r="477" spans="7:63" x14ac:dyDescent="0.15">
      <c r="G477" s="64">
        <f t="shared" si="168"/>
        <v>0</v>
      </c>
      <c r="I477" s="64">
        <f t="shared" si="169"/>
        <v>0</v>
      </c>
      <c r="K477" s="64">
        <f t="shared" si="170"/>
        <v>0</v>
      </c>
      <c r="M477" s="64">
        <f t="shared" si="171"/>
        <v>0</v>
      </c>
      <c r="O477" s="64">
        <f t="shared" si="172"/>
        <v>0</v>
      </c>
      <c r="Q477" s="64">
        <f t="shared" si="173"/>
        <v>0</v>
      </c>
      <c r="S477" s="71">
        <f t="shared" si="174"/>
        <v>0</v>
      </c>
      <c r="U477" s="64">
        <f t="shared" si="175"/>
        <v>0</v>
      </c>
      <c r="W477" s="71">
        <f t="shared" si="176"/>
        <v>0</v>
      </c>
      <c r="Y477" s="71">
        <f t="shared" si="177"/>
        <v>0</v>
      </c>
      <c r="AA477" s="71">
        <f t="shared" si="178"/>
        <v>0</v>
      </c>
      <c r="AC477" s="71">
        <f t="shared" si="179"/>
        <v>0</v>
      </c>
      <c r="AK477" s="71">
        <f t="shared" si="180"/>
        <v>0</v>
      </c>
      <c r="AM477" s="71">
        <f t="shared" si="181"/>
        <v>0</v>
      </c>
      <c r="AO477" s="71">
        <f t="shared" si="182"/>
        <v>0</v>
      </c>
      <c r="AQ477" s="71">
        <f t="shared" si="183"/>
        <v>0</v>
      </c>
      <c r="AT477" s="71">
        <f t="shared" si="184"/>
        <v>0</v>
      </c>
      <c r="AV477" s="71">
        <f t="shared" si="185"/>
        <v>0</v>
      </c>
      <c r="AX477" s="71">
        <f t="shared" si="186"/>
        <v>0</v>
      </c>
      <c r="AZ477" s="71">
        <f t="shared" si="187"/>
        <v>0</v>
      </c>
      <c r="BE477" s="102">
        <f t="shared" si="188"/>
        <v>4.4721359549995796</v>
      </c>
      <c r="BF477" s="81">
        <f t="shared" si="189"/>
        <v>9.3924867883288243E-14</v>
      </c>
      <c r="BG477" s="81" t="str">
        <f t="shared" si="190"/>
        <v>BASSO</v>
      </c>
      <c r="BK477" s="81" t="str">
        <f t="shared" si="191"/>
        <v>MOLTO BASSO</v>
      </c>
    </row>
    <row r="478" spans="7:63" x14ac:dyDescent="0.15">
      <c r="G478" s="64">
        <f t="shared" si="168"/>
        <v>0</v>
      </c>
      <c r="I478" s="64">
        <f t="shared" si="169"/>
        <v>0</v>
      </c>
      <c r="K478" s="64">
        <f t="shared" si="170"/>
        <v>0</v>
      </c>
      <c r="M478" s="64">
        <f t="shared" si="171"/>
        <v>0</v>
      </c>
      <c r="O478" s="64">
        <f t="shared" si="172"/>
        <v>0</v>
      </c>
      <c r="Q478" s="64">
        <f t="shared" si="173"/>
        <v>0</v>
      </c>
      <c r="S478" s="71">
        <f t="shared" si="174"/>
        <v>0</v>
      </c>
      <c r="U478" s="64">
        <f t="shared" si="175"/>
        <v>0</v>
      </c>
      <c r="W478" s="71">
        <f t="shared" si="176"/>
        <v>0</v>
      </c>
      <c r="Y478" s="71">
        <f t="shared" si="177"/>
        <v>0</v>
      </c>
      <c r="AA478" s="71">
        <f t="shared" si="178"/>
        <v>0</v>
      </c>
      <c r="AC478" s="71">
        <f t="shared" si="179"/>
        <v>0</v>
      </c>
      <c r="AK478" s="71">
        <f t="shared" si="180"/>
        <v>0</v>
      </c>
      <c r="AM478" s="71">
        <f t="shared" si="181"/>
        <v>0</v>
      </c>
      <c r="AO478" s="71">
        <f t="shared" si="182"/>
        <v>0</v>
      </c>
      <c r="AQ478" s="71">
        <f t="shared" si="183"/>
        <v>0</v>
      </c>
      <c r="AT478" s="71">
        <f t="shared" si="184"/>
        <v>0</v>
      </c>
      <c r="AV478" s="71">
        <f t="shared" si="185"/>
        <v>0</v>
      </c>
      <c r="AX478" s="71">
        <f t="shared" si="186"/>
        <v>0</v>
      </c>
      <c r="AZ478" s="71">
        <f t="shared" si="187"/>
        <v>0</v>
      </c>
      <c r="BE478" s="102">
        <f t="shared" si="188"/>
        <v>4.4721359549995796</v>
      </c>
      <c r="BF478" s="81">
        <f t="shared" si="189"/>
        <v>9.3924867883288243E-14</v>
      </c>
      <c r="BG478" s="81" t="str">
        <f t="shared" si="190"/>
        <v>BASSO</v>
      </c>
      <c r="BK478" s="81" t="str">
        <f t="shared" si="191"/>
        <v>MOLTO BASSO</v>
      </c>
    </row>
    <row r="479" spans="7:63" x14ac:dyDescent="0.15">
      <c r="G479" s="64">
        <f t="shared" si="168"/>
        <v>0</v>
      </c>
      <c r="I479" s="64">
        <f t="shared" si="169"/>
        <v>0</v>
      </c>
      <c r="K479" s="64">
        <f t="shared" si="170"/>
        <v>0</v>
      </c>
      <c r="M479" s="64">
        <f t="shared" si="171"/>
        <v>0</v>
      </c>
      <c r="O479" s="64">
        <f t="shared" si="172"/>
        <v>0</v>
      </c>
      <c r="Q479" s="64">
        <f t="shared" si="173"/>
        <v>0</v>
      </c>
      <c r="S479" s="71">
        <f t="shared" si="174"/>
        <v>0</v>
      </c>
      <c r="U479" s="64">
        <f t="shared" si="175"/>
        <v>0</v>
      </c>
      <c r="W479" s="71">
        <f t="shared" si="176"/>
        <v>0</v>
      </c>
      <c r="Y479" s="71">
        <f t="shared" si="177"/>
        <v>0</v>
      </c>
      <c r="AA479" s="71">
        <f t="shared" si="178"/>
        <v>0</v>
      </c>
      <c r="AC479" s="71">
        <f t="shared" si="179"/>
        <v>0</v>
      </c>
      <c r="AK479" s="71">
        <f t="shared" si="180"/>
        <v>0</v>
      </c>
      <c r="AM479" s="71">
        <f t="shared" si="181"/>
        <v>0</v>
      </c>
      <c r="AO479" s="71">
        <f t="shared" si="182"/>
        <v>0</v>
      </c>
      <c r="AQ479" s="71">
        <f t="shared" si="183"/>
        <v>0</v>
      </c>
      <c r="AT479" s="71">
        <f t="shared" si="184"/>
        <v>0</v>
      </c>
      <c r="AV479" s="71">
        <f t="shared" si="185"/>
        <v>0</v>
      </c>
      <c r="AX479" s="71">
        <f t="shared" si="186"/>
        <v>0</v>
      </c>
      <c r="AZ479" s="71">
        <f t="shared" si="187"/>
        <v>0</v>
      </c>
      <c r="BE479" s="102">
        <f t="shared" si="188"/>
        <v>4.4721359549995796</v>
      </c>
      <c r="BF479" s="81">
        <f t="shared" si="189"/>
        <v>9.3924867883288243E-14</v>
      </c>
      <c r="BG479" s="81" t="str">
        <f t="shared" si="190"/>
        <v>BASSO</v>
      </c>
      <c r="BK479" s="81" t="str">
        <f t="shared" si="191"/>
        <v>MOLTO BASSO</v>
      </c>
    </row>
    <row r="480" spans="7:63" x14ac:dyDescent="0.15">
      <c r="G480" s="64">
        <f t="shared" si="168"/>
        <v>0</v>
      </c>
      <c r="I480" s="64">
        <f t="shared" si="169"/>
        <v>0</v>
      </c>
      <c r="K480" s="64">
        <f t="shared" si="170"/>
        <v>0</v>
      </c>
      <c r="M480" s="64">
        <f t="shared" si="171"/>
        <v>0</v>
      </c>
      <c r="O480" s="64">
        <f t="shared" si="172"/>
        <v>0</v>
      </c>
      <c r="Q480" s="64">
        <f t="shared" si="173"/>
        <v>0</v>
      </c>
      <c r="S480" s="71">
        <f t="shared" si="174"/>
        <v>0</v>
      </c>
      <c r="U480" s="64">
        <f t="shared" si="175"/>
        <v>0</v>
      </c>
      <c r="W480" s="71">
        <f t="shared" si="176"/>
        <v>0</v>
      </c>
      <c r="Y480" s="71">
        <f t="shared" si="177"/>
        <v>0</v>
      </c>
      <c r="AA480" s="71">
        <f t="shared" si="178"/>
        <v>0</v>
      </c>
      <c r="AC480" s="71">
        <f t="shared" si="179"/>
        <v>0</v>
      </c>
      <c r="AK480" s="71">
        <f t="shared" si="180"/>
        <v>0</v>
      </c>
      <c r="AM480" s="71">
        <f t="shared" si="181"/>
        <v>0</v>
      </c>
      <c r="AO480" s="71">
        <f t="shared" si="182"/>
        <v>0</v>
      </c>
      <c r="AQ480" s="71">
        <f t="shared" si="183"/>
        <v>0</v>
      </c>
      <c r="AT480" s="71">
        <f t="shared" si="184"/>
        <v>0</v>
      </c>
      <c r="AV480" s="71">
        <f t="shared" si="185"/>
        <v>0</v>
      </c>
      <c r="AX480" s="71">
        <f t="shared" si="186"/>
        <v>0</v>
      </c>
      <c r="AZ480" s="71">
        <f t="shared" si="187"/>
        <v>0</v>
      </c>
      <c r="BE480" s="102">
        <f t="shared" si="188"/>
        <v>4.4721359549995796</v>
      </c>
      <c r="BF480" s="81">
        <f t="shared" si="189"/>
        <v>9.3924867883288243E-14</v>
      </c>
      <c r="BG480" s="81" t="str">
        <f t="shared" si="190"/>
        <v>BASSO</v>
      </c>
      <c r="BK480" s="81" t="str">
        <f t="shared" si="191"/>
        <v>MOLTO BASSO</v>
      </c>
    </row>
    <row r="481" spans="7:63" x14ac:dyDescent="0.15">
      <c r="G481" s="64">
        <f t="shared" si="168"/>
        <v>0</v>
      </c>
      <c r="I481" s="64">
        <f t="shared" si="169"/>
        <v>0</v>
      </c>
      <c r="K481" s="64">
        <f t="shared" si="170"/>
        <v>0</v>
      </c>
      <c r="M481" s="64">
        <f t="shared" si="171"/>
        <v>0</v>
      </c>
      <c r="O481" s="64">
        <f t="shared" si="172"/>
        <v>0</v>
      </c>
      <c r="Q481" s="64">
        <f t="shared" si="173"/>
        <v>0</v>
      </c>
      <c r="S481" s="71">
        <f t="shared" si="174"/>
        <v>0</v>
      </c>
      <c r="U481" s="64">
        <f t="shared" si="175"/>
        <v>0</v>
      </c>
      <c r="W481" s="71">
        <f t="shared" si="176"/>
        <v>0</v>
      </c>
      <c r="Y481" s="71">
        <f t="shared" si="177"/>
        <v>0</v>
      </c>
      <c r="AA481" s="71">
        <f t="shared" si="178"/>
        <v>0</v>
      </c>
      <c r="AC481" s="71">
        <f t="shared" si="179"/>
        <v>0</v>
      </c>
      <c r="AK481" s="71">
        <f t="shared" si="180"/>
        <v>0</v>
      </c>
      <c r="AM481" s="71">
        <f t="shared" si="181"/>
        <v>0</v>
      </c>
      <c r="AO481" s="71">
        <f t="shared" si="182"/>
        <v>0</v>
      </c>
      <c r="AQ481" s="71">
        <f t="shared" si="183"/>
        <v>0</v>
      </c>
      <c r="AT481" s="71">
        <f t="shared" si="184"/>
        <v>0</v>
      </c>
      <c r="AV481" s="71">
        <f t="shared" si="185"/>
        <v>0</v>
      </c>
      <c r="AX481" s="71">
        <f t="shared" si="186"/>
        <v>0</v>
      </c>
      <c r="AZ481" s="71">
        <f t="shared" si="187"/>
        <v>0</v>
      </c>
      <c r="BE481" s="102">
        <f t="shared" si="188"/>
        <v>4.4721359549995796</v>
      </c>
      <c r="BF481" s="81">
        <f t="shared" si="189"/>
        <v>9.3924867883288243E-14</v>
      </c>
      <c r="BG481" s="81" t="str">
        <f t="shared" si="190"/>
        <v>BASSO</v>
      </c>
      <c r="BK481" s="81" t="str">
        <f t="shared" si="191"/>
        <v>MOLTO BASSO</v>
      </c>
    </row>
    <row r="482" spans="7:63" x14ac:dyDescent="0.15">
      <c r="G482" s="64">
        <f t="shared" si="168"/>
        <v>0</v>
      </c>
      <c r="I482" s="64">
        <f t="shared" si="169"/>
        <v>0</v>
      </c>
      <c r="K482" s="64">
        <f t="shared" si="170"/>
        <v>0</v>
      </c>
      <c r="M482" s="64">
        <f t="shared" si="171"/>
        <v>0</v>
      </c>
      <c r="O482" s="64">
        <f t="shared" si="172"/>
        <v>0</v>
      </c>
      <c r="Q482" s="64">
        <f t="shared" si="173"/>
        <v>0</v>
      </c>
      <c r="S482" s="71">
        <f t="shared" si="174"/>
        <v>0</v>
      </c>
      <c r="U482" s="64">
        <f t="shared" si="175"/>
        <v>0</v>
      </c>
      <c r="W482" s="71">
        <f t="shared" si="176"/>
        <v>0</v>
      </c>
      <c r="Y482" s="71">
        <f t="shared" si="177"/>
        <v>0</v>
      </c>
      <c r="AA482" s="71">
        <f t="shared" si="178"/>
        <v>0</v>
      </c>
      <c r="AC482" s="71">
        <f t="shared" si="179"/>
        <v>0</v>
      </c>
      <c r="AK482" s="71">
        <f t="shared" si="180"/>
        <v>0</v>
      </c>
      <c r="AM482" s="71">
        <f t="shared" si="181"/>
        <v>0</v>
      </c>
      <c r="AO482" s="71">
        <f t="shared" si="182"/>
        <v>0</v>
      </c>
      <c r="AQ482" s="71">
        <f t="shared" si="183"/>
        <v>0</v>
      </c>
      <c r="AT482" s="71">
        <f t="shared" si="184"/>
        <v>0</v>
      </c>
      <c r="AV482" s="71">
        <f t="shared" si="185"/>
        <v>0</v>
      </c>
      <c r="AX482" s="71">
        <f t="shared" si="186"/>
        <v>0</v>
      </c>
      <c r="AZ482" s="71">
        <f t="shared" si="187"/>
        <v>0</v>
      </c>
      <c r="BE482" s="102">
        <f t="shared" si="188"/>
        <v>4.4721359549995796</v>
      </c>
      <c r="BF482" s="81">
        <f t="shared" si="189"/>
        <v>9.3924867883288243E-14</v>
      </c>
      <c r="BG482" s="81" t="str">
        <f t="shared" si="190"/>
        <v>BASSO</v>
      </c>
      <c r="BK482" s="81" t="str">
        <f t="shared" si="191"/>
        <v>MOLTO BASSO</v>
      </c>
    </row>
    <row r="483" spans="7:63" x14ac:dyDescent="0.15">
      <c r="G483" s="64">
        <f t="shared" si="168"/>
        <v>0</v>
      </c>
      <c r="I483" s="64">
        <f t="shared" si="169"/>
        <v>0</v>
      </c>
      <c r="K483" s="64">
        <f t="shared" si="170"/>
        <v>0</v>
      </c>
      <c r="M483" s="64">
        <f t="shared" si="171"/>
        <v>0</v>
      </c>
      <c r="O483" s="64">
        <f t="shared" si="172"/>
        <v>0</v>
      </c>
      <c r="Q483" s="64">
        <f t="shared" si="173"/>
        <v>0</v>
      </c>
      <c r="S483" s="71">
        <f t="shared" si="174"/>
        <v>0</v>
      </c>
      <c r="U483" s="64">
        <f t="shared" si="175"/>
        <v>0</v>
      </c>
      <c r="W483" s="71">
        <f t="shared" si="176"/>
        <v>0</v>
      </c>
      <c r="Y483" s="71">
        <f t="shared" si="177"/>
        <v>0</v>
      </c>
      <c r="AA483" s="71">
        <f t="shared" si="178"/>
        <v>0</v>
      </c>
      <c r="AC483" s="71">
        <f t="shared" si="179"/>
        <v>0</v>
      </c>
      <c r="AK483" s="71">
        <f t="shared" si="180"/>
        <v>0</v>
      </c>
      <c r="AM483" s="71">
        <f t="shared" si="181"/>
        <v>0</v>
      </c>
      <c r="AO483" s="71">
        <f t="shared" si="182"/>
        <v>0</v>
      </c>
      <c r="AQ483" s="71">
        <f t="shared" si="183"/>
        <v>0</v>
      </c>
      <c r="AT483" s="71">
        <f t="shared" si="184"/>
        <v>0</v>
      </c>
      <c r="AV483" s="71">
        <f t="shared" si="185"/>
        <v>0</v>
      </c>
      <c r="AX483" s="71">
        <f t="shared" si="186"/>
        <v>0</v>
      </c>
      <c r="AZ483" s="71">
        <f t="shared" si="187"/>
        <v>0</v>
      </c>
      <c r="BE483" s="102">
        <f t="shared" si="188"/>
        <v>4.4721359549995796</v>
      </c>
      <c r="BF483" s="81">
        <f t="shared" si="189"/>
        <v>9.3924867883288243E-14</v>
      </c>
      <c r="BG483" s="81" t="str">
        <f t="shared" si="190"/>
        <v>BASSO</v>
      </c>
      <c r="BK483" s="81" t="str">
        <f t="shared" si="191"/>
        <v>MOLTO BASSO</v>
      </c>
    </row>
    <row r="484" spans="7:63" x14ac:dyDescent="0.15">
      <c r="G484" s="64">
        <f t="shared" si="168"/>
        <v>0</v>
      </c>
      <c r="I484" s="64">
        <f t="shared" si="169"/>
        <v>0</v>
      </c>
      <c r="K484" s="64">
        <f t="shared" si="170"/>
        <v>0</v>
      </c>
      <c r="M484" s="64">
        <f t="shared" si="171"/>
        <v>0</v>
      </c>
      <c r="O484" s="64">
        <f t="shared" si="172"/>
        <v>0</v>
      </c>
      <c r="Q484" s="64">
        <f t="shared" si="173"/>
        <v>0</v>
      </c>
      <c r="S484" s="71">
        <f t="shared" si="174"/>
        <v>0</v>
      </c>
      <c r="U484" s="64">
        <f t="shared" si="175"/>
        <v>0</v>
      </c>
      <c r="W484" s="71">
        <f t="shared" si="176"/>
        <v>0</v>
      </c>
      <c r="Y484" s="71">
        <f t="shared" si="177"/>
        <v>0</v>
      </c>
      <c r="AA484" s="71">
        <f t="shared" si="178"/>
        <v>0</v>
      </c>
      <c r="AC484" s="71">
        <f t="shared" si="179"/>
        <v>0</v>
      </c>
      <c r="AK484" s="71">
        <f t="shared" si="180"/>
        <v>0</v>
      </c>
      <c r="AM484" s="71">
        <f t="shared" si="181"/>
        <v>0</v>
      </c>
      <c r="AO484" s="71">
        <f t="shared" si="182"/>
        <v>0</v>
      </c>
      <c r="AQ484" s="71">
        <f t="shared" si="183"/>
        <v>0</v>
      </c>
      <c r="AT484" s="71">
        <f t="shared" si="184"/>
        <v>0</v>
      </c>
      <c r="AV484" s="71">
        <f t="shared" si="185"/>
        <v>0</v>
      </c>
      <c r="AX484" s="71">
        <f t="shared" si="186"/>
        <v>0</v>
      </c>
      <c r="AZ484" s="71">
        <f t="shared" si="187"/>
        <v>0</v>
      </c>
      <c r="BE484" s="102">
        <f t="shared" si="188"/>
        <v>4.4721359549995796</v>
      </c>
      <c r="BF484" s="81">
        <f t="shared" si="189"/>
        <v>9.3924867883288243E-14</v>
      </c>
      <c r="BG484" s="81" t="str">
        <f t="shared" si="190"/>
        <v>BASSO</v>
      </c>
      <c r="BK484" s="81" t="str">
        <f t="shared" si="191"/>
        <v>MOLTO BASSO</v>
      </c>
    </row>
    <row r="485" spans="7:63" x14ac:dyDescent="0.15">
      <c r="G485" s="64">
        <f t="shared" si="168"/>
        <v>0</v>
      </c>
      <c r="I485" s="64">
        <f t="shared" si="169"/>
        <v>0</v>
      </c>
      <c r="K485" s="64">
        <f t="shared" si="170"/>
        <v>0</v>
      </c>
      <c r="M485" s="64">
        <f t="shared" si="171"/>
        <v>0</v>
      </c>
      <c r="O485" s="64">
        <f t="shared" si="172"/>
        <v>0</v>
      </c>
      <c r="Q485" s="64">
        <f t="shared" si="173"/>
        <v>0</v>
      </c>
      <c r="S485" s="71">
        <f t="shared" si="174"/>
        <v>0</v>
      </c>
      <c r="U485" s="64">
        <f t="shared" si="175"/>
        <v>0</v>
      </c>
      <c r="W485" s="71">
        <f t="shared" si="176"/>
        <v>0</v>
      </c>
      <c r="Y485" s="71">
        <f t="shared" si="177"/>
        <v>0</v>
      </c>
      <c r="AA485" s="71">
        <f t="shared" si="178"/>
        <v>0</v>
      </c>
      <c r="AC485" s="71">
        <f t="shared" si="179"/>
        <v>0</v>
      </c>
      <c r="AK485" s="71">
        <f t="shared" si="180"/>
        <v>0</v>
      </c>
      <c r="AM485" s="71">
        <f t="shared" si="181"/>
        <v>0</v>
      </c>
      <c r="AO485" s="71">
        <f t="shared" si="182"/>
        <v>0</v>
      </c>
      <c r="AQ485" s="71">
        <f t="shared" si="183"/>
        <v>0</v>
      </c>
      <c r="AT485" s="71">
        <f t="shared" si="184"/>
        <v>0</v>
      </c>
      <c r="AV485" s="71">
        <f t="shared" si="185"/>
        <v>0</v>
      </c>
      <c r="AX485" s="71">
        <f t="shared" si="186"/>
        <v>0</v>
      </c>
      <c r="AZ485" s="71">
        <f t="shared" si="187"/>
        <v>0</v>
      </c>
      <c r="BE485" s="102">
        <f t="shared" si="188"/>
        <v>4.4721359549995796</v>
      </c>
      <c r="BF485" s="81">
        <f t="shared" si="189"/>
        <v>9.3924867883288243E-14</v>
      </c>
      <c r="BG485" s="81" t="str">
        <f t="shared" si="190"/>
        <v>BASSO</v>
      </c>
      <c r="BK485" s="81" t="str">
        <f t="shared" si="191"/>
        <v>MOLTO BASSO</v>
      </c>
    </row>
    <row r="486" spans="7:63" x14ac:dyDescent="0.15">
      <c r="G486" s="64">
        <f t="shared" si="168"/>
        <v>0</v>
      </c>
      <c r="I486" s="64">
        <f t="shared" si="169"/>
        <v>0</v>
      </c>
      <c r="K486" s="64">
        <f t="shared" si="170"/>
        <v>0</v>
      </c>
      <c r="M486" s="64">
        <f t="shared" si="171"/>
        <v>0</v>
      </c>
      <c r="O486" s="64">
        <f t="shared" si="172"/>
        <v>0</v>
      </c>
      <c r="Q486" s="64">
        <f t="shared" si="173"/>
        <v>0</v>
      </c>
      <c r="S486" s="71">
        <f t="shared" si="174"/>
        <v>0</v>
      </c>
      <c r="U486" s="64">
        <f t="shared" si="175"/>
        <v>0</v>
      </c>
      <c r="W486" s="71">
        <f t="shared" si="176"/>
        <v>0</v>
      </c>
      <c r="Y486" s="71">
        <f t="shared" si="177"/>
        <v>0</v>
      </c>
      <c r="AA486" s="71">
        <f t="shared" si="178"/>
        <v>0</v>
      </c>
      <c r="AC486" s="71">
        <f t="shared" si="179"/>
        <v>0</v>
      </c>
      <c r="AK486" s="71">
        <f t="shared" si="180"/>
        <v>0</v>
      </c>
      <c r="AM486" s="71">
        <f t="shared" si="181"/>
        <v>0</v>
      </c>
      <c r="AO486" s="71">
        <f t="shared" si="182"/>
        <v>0</v>
      </c>
      <c r="AQ486" s="71">
        <f t="shared" si="183"/>
        <v>0</v>
      </c>
      <c r="AT486" s="71">
        <f t="shared" si="184"/>
        <v>0</v>
      </c>
      <c r="AV486" s="71">
        <f t="shared" si="185"/>
        <v>0</v>
      </c>
      <c r="AX486" s="71">
        <f t="shared" si="186"/>
        <v>0</v>
      </c>
      <c r="AZ486" s="71">
        <f t="shared" si="187"/>
        <v>0</v>
      </c>
      <c r="BE486" s="102">
        <f t="shared" si="188"/>
        <v>4.4721359549995796</v>
      </c>
      <c r="BF486" s="81">
        <f t="shared" si="189"/>
        <v>9.3924867883288243E-14</v>
      </c>
      <c r="BG486" s="81" t="str">
        <f t="shared" si="190"/>
        <v>BASSO</v>
      </c>
      <c r="BK486" s="81" t="str">
        <f t="shared" si="191"/>
        <v>MOLTO BASSO</v>
      </c>
    </row>
    <row r="487" spans="7:63" x14ac:dyDescent="0.15">
      <c r="G487" s="64">
        <f t="shared" si="168"/>
        <v>0</v>
      </c>
      <c r="I487" s="64">
        <f t="shared" si="169"/>
        <v>0</v>
      </c>
      <c r="K487" s="64">
        <f t="shared" si="170"/>
        <v>0</v>
      </c>
      <c r="M487" s="64">
        <f t="shared" si="171"/>
        <v>0</v>
      </c>
      <c r="O487" s="64">
        <f t="shared" si="172"/>
        <v>0</v>
      </c>
      <c r="Q487" s="64">
        <f t="shared" si="173"/>
        <v>0</v>
      </c>
      <c r="S487" s="71">
        <f t="shared" si="174"/>
        <v>0</v>
      </c>
      <c r="U487" s="64">
        <f t="shared" si="175"/>
        <v>0</v>
      </c>
      <c r="W487" s="71">
        <f t="shared" si="176"/>
        <v>0</v>
      </c>
      <c r="Y487" s="71">
        <f t="shared" si="177"/>
        <v>0</v>
      </c>
      <c r="AA487" s="71">
        <f t="shared" si="178"/>
        <v>0</v>
      </c>
      <c r="AC487" s="71">
        <f t="shared" si="179"/>
        <v>0</v>
      </c>
      <c r="AK487" s="71">
        <f t="shared" si="180"/>
        <v>0</v>
      </c>
      <c r="AM487" s="71">
        <f t="shared" si="181"/>
        <v>0</v>
      </c>
      <c r="AO487" s="71">
        <f t="shared" si="182"/>
        <v>0</v>
      </c>
      <c r="AQ487" s="71">
        <f t="shared" si="183"/>
        <v>0</v>
      </c>
      <c r="AT487" s="71">
        <f t="shared" si="184"/>
        <v>0</v>
      </c>
      <c r="AV487" s="71">
        <f t="shared" si="185"/>
        <v>0</v>
      </c>
      <c r="AX487" s="71">
        <f t="shared" si="186"/>
        <v>0</v>
      </c>
      <c r="AZ487" s="71">
        <f t="shared" si="187"/>
        <v>0</v>
      </c>
      <c r="BE487" s="102">
        <f t="shared" si="188"/>
        <v>4.4721359549995796</v>
      </c>
      <c r="BF487" s="81">
        <f t="shared" si="189"/>
        <v>9.3924867883288243E-14</v>
      </c>
      <c r="BG487" s="81" t="str">
        <f t="shared" si="190"/>
        <v>BASSO</v>
      </c>
      <c r="BK487" s="81" t="str">
        <f t="shared" si="191"/>
        <v>MOLTO BASSO</v>
      </c>
    </row>
    <row r="488" spans="7:63" x14ac:dyDescent="0.15">
      <c r="G488" s="64">
        <f t="shared" ref="G488:G551" si="192">F489/2</f>
        <v>0</v>
      </c>
      <c r="I488" s="64">
        <f t="shared" si="169"/>
        <v>0</v>
      </c>
      <c r="K488" s="64">
        <f t="shared" si="170"/>
        <v>0</v>
      </c>
      <c r="M488" s="64">
        <f t="shared" si="171"/>
        <v>0</v>
      </c>
      <c r="O488" s="64">
        <f t="shared" si="172"/>
        <v>0</v>
      </c>
      <c r="Q488" s="64">
        <f t="shared" si="173"/>
        <v>0</v>
      </c>
      <c r="S488" s="71">
        <f t="shared" si="174"/>
        <v>0</v>
      </c>
      <c r="U488" s="64">
        <f t="shared" si="175"/>
        <v>0</v>
      </c>
      <c r="W488" s="71">
        <f t="shared" si="176"/>
        <v>0</v>
      </c>
      <c r="Y488" s="71">
        <f t="shared" si="177"/>
        <v>0</v>
      </c>
      <c r="AA488" s="71">
        <f t="shared" si="178"/>
        <v>0</v>
      </c>
      <c r="AC488" s="71">
        <f t="shared" si="179"/>
        <v>0</v>
      </c>
      <c r="AK488" s="71">
        <f t="shared" si="180"/>
        <v>0</v>
      </c>
      <c r="AM488" s="71">
        <f t="shared" si="181"/>
        <v>0</v>
      </c>
      <c r="AO488" s="71">
        <f t="shared" si="182"/>
        <v>0</v>
      </c>
      <c r="AQ488" s="71">
        <f t="shared" si="183"/>
        <v>0</v>
      </c>
      <c r="AT488" s="71">
        <f t="shared" si="184"/>
        <v>0</v>
      </c>
      <c r="AV488" s="71">
        <f t="shared" si="185"/>
        <v>0</v>
      </c>
      <c r="AX488" s="71">
        <f t="shared" si="186"/>
        <v>0</v>
      </c>
      <c r="AZ488" s="71">
        <f t="shared" si="187"/>
        <v>0</v>
      </c>
      <c r="BE488" s="102">
        <f t="shared" si="188"/>
        <v>4.4721359549995796</v>
      </c>
      <c r="BF488" s="81">
        <f t="shared" si="189"/>
        <v>9.3924867883288243E-14</v>
      </c>
      <c r="BG488" s="81" t="str">
        <f t="shared" si="190"/>
        <v>BASSO</v>
      </c>
      <c r="BK488" s="81" t="str">
        <f t="shared" si="191"/>
        <v>MOLTO BASSO</v>
      </c>
    </row>
    <row r="489" spans="7:63" x14ac:dyDescent="0.15">
      <c r="G489" s="64">
        <f t="shared" si="192"/>
        <v>0</v>
      </c>
      <c r="I489" s="64">
        <f t="shared" si="169"/>
        <v>0</v>
      </c>
      <c r="K489" s="64">
        <f t="shared" si="170"/>
        <v>0</v>
      </c>
      <c r="M489" s="64">
        <f t="shared" si="171"/>
        <v>0</v>
      </c>
      <c r="O489" s="64">
        <f t="shared" si="172"/>
        <v>0</v>
      </c>
      <c r="Q489" s="64">
        <f t="shared" si="173"/>
        <v>0</v>
      </c>
      <c r="S489" s="71">
        <f t="shared" si="174"/>
        <v>0</v>
      </c>
      <c r="U489" s="64">
        <f t="shared" si="175"/>
        <v>0</v>
      </c>
      <c r="W489" s="71">
        <f t="shared" si="176"/>
        <v>0</v>
      </c>
      <c r="Y489" s="71">
        <f t="shared" si="177"/>
        <v>0</v>
      </c>
      <c r="AA489" s="71">
        <f t="shared" si="178"/>
        <v>0</v>
      </c>
      <c r="AC489" s="71">
        <f t="shared" si="179"/>
        <v>0</v>
      </c>
      <c r="AK489" s="71">
        <f t="shared" si="180"/>
        <v>0</v>
      </c>
      <c r="AM489" s="71">
        <f t="shared" si="181"/>
        <v>0</v>
      </c>
      <c r="AO489" s="71">
        <f t="shared" si="182"/>
        <v>0</v>
      </c>
      <c r="AQ489" s="71">
        <f t="shared" si="183"/>
        <v>0</v>
      </c>
      <c r="AT489" s="71">
        <f t="shared" si="184"/>
        <v>0</v>
      </c>
      <c r="AV489" s="71">
        <f t="shared" si="185"/>
        <v>0</v>
      </c>
      <c r="AX489" s="71">
        <f t="shared" si="186"/>
        <v>0</v>
      </c>
      <c r="AZ489" s="71">
        <f t="shared" si="187"/>
        <v>0</v>
      </c>
      <c r="BE489" s="102">
        <f t="shared" si="188"/>
        <v>4.4721359549995796</v>
      </c>
      <c r="BF489" s="81">
        <f t="shared" si="189"/>
        <v>9.3924867883288243E-14</v>
      </c>
      <c r="BG489" s="81" t="str">
        <f t="shared" si="190"/>
        <v>BASSO</v>
      </c>
      <c r="BK489" s="81" t="str">
        <f t="shared" si="191"/>
        <v>MOLTO BASSO</v>
      </c>
    </row>
    <row r="490" spans="7:63" x14ac:dyDescent="0.15">
      <c r="G490" s="64">
        <f t="shared" si="192"/>
        <v>0</v>
      </c>
      <c r="I490" s="64">
        <f t="shared" si="169"/>
        <v>0</v>
      </c>
      <c r="K490" s="64">
        <f t="shared" si="170"/>
        <v>0</v>
      </c>
      <c r="M490" s="64">
        <f t="shared" si="171"/>
        <v>0</v>
      </c>
      <c r="O490" s="64">
        <f t="shared" si="172"/>
        <v>0</v>
      </c>
      <c r="Q490" s="64">
        <f t="shared" si="173"/>
        <v>0</v>
      </c>
      <c r="S490" s="71">
        <f t="shared" si="174"/>
        <v>0</v>
      </c>
      <c r="U490" s="64">
        <f t="shared" si="175"/>
        <v>0</v>
      </c>
      <c r="W490" s="71">
        <f t="shared" si="176"/>
        <v>0</v>
      </c>
      <c r="Y490" s="71">
        <f t="shared" si="177"/>
        <v>0</v>
      </c>
      <c r="AA490" s="71">
        <f t="shared" si="178"/>
        <v>0</v>
      </c>
      <c r="AC490" s="71">
        <f t="shared" si="179"/>
        <v>0</v>
      </c>
      <c r="AK490" s="71">
        <f t="shared" si="180"/>
        <v>0</v>
      </c>
      <c r="AM490" s="71">
        <f t="shared" si="181"/>
        <v>0</v>
      </c>
      <c r="AO490" s="71">
        <f t="shared" si="182"/>
        <v>0</v>
      </c>
      <c r="AQ490" s="71">
        <f t="shared" si="183"/>
        <v>0</v>
      </c>
      <c r="AT490" s="71">
        <f t="shared" si="184"/>
        <v>0</v>
      </c>
      <c r="AV490" s="71">
        <f t="shared" si="185"/>
        <v>0</v>
      </c>
      <c r="AX490" s="71">
        <f t="shared" si="186"/>
        <v>0</v>
      </c>
      <c r="AZ490" s="71">
        <f t="shared" si="187"/>
        <v>0</v>
      </c>
      <c r="BE490" s="102">
        <f t="shared" si="188"/>
        <v>4.4721359549995796</v>
      </c>
      <c r="BF490" s="81">
        <f t="shared" si="189"/>
        <v>9.3924867883288243E-14</v>
      </c>
      <c r="BG490" s="81" t="str">
        <f t="shared" si="190"/>
        <v>BASSO</v>
      </c>
      <c r="BK490" s="81" t="str">
        <f t="shared" si="191"/>
        <v>MOLTO BASSO</v>
      </c>
    </row>
    <row r="491" spans="7:63" x14ac:dyDescent="0.15">
      <c r="G491" s="64">
        <f t="shared" si="192"/>
        <v>0</v>
      </c>
      <c r="I491" s="64">
        <f t="shared" si="169"/>
        <v>0</v>
      </c>
      <c r="K491" s="64">
        <f t="shared" si="170"/>
        <v>0</v>
      </c>
      <c r="M491" s="64">
        <f t="shared" si="171"/>
        <v>0</v>
      </c>
      <c r="O491" s="64">
        <f t="shared" si="172"/>
        <v>0</v>
      </c>
      <c r="Q491" s="64">
        <f t="shared" si="173"/>
        <v>0</v>
      </c>
      <c r="S491" s="71">
        <f t="shared" si="174"/>
        <v>0</v>
      </c>
      <c r="U491" s="64">
        <f t="shared" si="175"/>
        <v>0</v>
      </c>
      <c r="W491" s="71">
        <f t="shared" si="176"/>
        <v>0</v>
      </c>
      <c r="Y491" s="71">
        <f t="shared" si="177"/>
        <v>0</v>
      </c>
      <c r="AA491" s="71">
        <f t="shared" si="178"/>
        <v>0</v>
      </c>
      <c r="AC491" s="71">
        <f t="shared" si="179"/>
        <v>0</v>
      </c>
      <c r="AK491" s="71">
        <f t="shared" si="180"/>
        <v>0</v>
      </c>
      <c r="AM491" s="71">
        <f t="shared" si="181"/>
        <v>0</v>
      </c>
      <c r="AO491" s="71">
        <f t="shared" si="182"/>
        <v>0</v>
      </c>
      <c r="AQ491" s="71">
        <f t="shared" si="183"/>
        <v>0</v>
      </c>
      <c r="AT491" s="71">
        <f t="shared" si="184"/>
        <v>0</v>
      </c>
      <c r="AV491" s="71">
        <f t="shared" si="185"/>
        <v>0</v>
      </c>
      <c r="AX491" s="71">
        <f t="shared" si="186"/>
        <v>0</v>
      </c>
      <c r="AZ491" s="71">
        <f t="shared" si="187"/>
        <v>0</v>
      </c>
      <c r="BE491" s="102">
        <f t="shared" si="188"/>
        <v>4.4721359549995796</v>
      </c>
      <c r="BF491" s="81">
        <f t="shared" si="189"/>
        <v>9.3924867883288243E-14</v>
      </c>
      <c r="BG491" s="81" t="str">
        <f t="shared" si="190"/>
        <v>BASSO</v>
      </c>
      <c r="BK491" s="81" t="str">
        <f t="shared" si="191"/>
        <v>MOLTO BASSO</v>
      </c>
    </row>
    <row r="492" spans="7:63" x14ac:dyDescent="0.15">
      <c r="G492" s="64">
        <f t="shared" si="192"/>
        <v>0</v>
      </c>
      <c r="I492" s="64">
        <f t="shared" si="169"/>
        <v>0</v>
      </c>
      <c r="K492" s="64">
        <f t="shared" si="170"/>
        <v>0</v>
      </c>
      <c r="M492" s="64">
        <f t="shared" si="171"/>
        <v>0</v>
      </c>
      <c r="O492" s="64">
        <f t="shared" si="172"/>
        <v>0</v>
      </c>
      <c r="Q492" s="64">
        <f t="shared" si="173"/>
        <v>0</v>
      </c>
      <c r="S492" s="71">
        <f t="shared" si="174"/>
        <v>0</v>
      </c>
      <c r="U492" s="64">
        <f t="shared" si="175"/>
        <v>0</v>
      </c>
      <c r="W492" s="71">
        <f t="shared" si="176"/>
        <v>0</v>
      </c>
      <c r="Y492" s="71">
        <f t="shared" si="177"/>
        <v>0</v>
      </c>
      <c r="AA492" s="71">
        <f t="shared" si="178"/>
        <v>0</v>
      </c>
      <c r="AC492" s="71">
        <f t="shared" si="179"/>
        <v>0</v>
      </c>
      <c r="AK492" s="71">
        <f t="shared" si="180"/>
        <v>0</v>
      </c>
      <c r="AM492" s="71">
        <f t="shared" si="181"/>
        <v>0</v>
      </c>
      <c r="AO492" s="71">
        <f t="shared" si="182"/>
        <v>0</v>
      </c>
      <c r="AQ492" s="71">
        <f t="shared" si="183"/>
        <v>0</v>
      </c>
      <c r="AT492" s="71">
        <f t="shared" si="184"/>
        <v>0</v>
      </c>
      <c r="AV492" s="71">
        <f t="shared" si="185"/>
        <v>0</v>
      </c>
      <c r="AX492" s="71">
        <f t="shared" si="186"/>
        <v>0</v>
      </c>
      <c r="AZ492" s="71">
        <f t="shared" si="187"/>
        <v>0</v>
      </c>
      <c r="BE492" s="102">
        <f t="shared" si="188"/>
        <v>4.4721359549995796</v>
      </c>
      <c r="BF492" s="81">
        <f t="shared" si="189"/>
        <v>9.3924867883288243E-14</v>
      </c>
      <c r="BG492" s="81" t="str">
        <f t="shared" si="190"/>
        <v>BASSO</v>
      </c>
      <c r="BK492" s="81" t="str">
        <f t="shared" si="191"/>
        <v>MOLTO BASSO</v>
      </c>
    </row>
    <row r="493" spans="7:63" x14ac:dyDescent="0.15">
      <c r="G493" s="64">
        <f t="shared" si="192"/>
        <v>0</v>
      </c>
      <c r="I493" s="64">
        <f t="shared" si="169"/>
        <v>0</v>
      </c>
      <c r="K493" s="64">
        <f t="shared" si="170"/>
        <v>0</v>
      </c>
      <c r="M493" s="64">
        <f t="shared" si="171"/>
        <v>0</v>
      </c>
      <c r="O493" s="64">
        <f t="shared" si="172"/>
        <v>0</v>
      </c>
      <c r="Q493" s="64">
        <f t="shared" si="173"/>
        <v>0</v>
      </c>
      <c r="S493" s="71">
        <f t="shared" si="174"/>
        <v>0</v>
      </c>
      <c r="U493" s="64">
        <f t="shared" si="175"/>
        <v>0</v>
      </c>
      <c r="W493" s="71">
        <f t="shared" si="176"/>
        <v>0</v>
      </c>
      <c r="Y493" s="71">
        <f t="shared" si="177"/>
        <v>0</v>
      </c>
      <c r="AA493" s="71">
        <f t="shared" si="178"/>
        <v>0</v>
      </c>
      <c r="AC493" s="71">
        <f t="shared" si="179"/>
        <v>0</v>
      </c>
      <c r="AK493" s="71">
        <f t="shared" si="180"/>
        <v>0</v>
      </c>
      <c r="AM493" s="71">
        <f t="shared" si="181"/>
        <v>0</v>
      </c>
      <c r="AO493" s="71">
        <f t="shared" si="182"/>
        <v>0</v>
      </c>
      <c r="AQ493" s="71">
        <f t="shared" si="183"/>
        <v>0</v>
      </c>
      <c r="AT493" s="71">
        <f t="shared" si="184"/>
        <v>0</v>
      </c>
      <c r="AV493" s="71">
        <f t="shared" si="185"/>
        <v>0</v>
      </c>
      <c r="AX493" s="71">
        <f t="shared" si="186"/>
        <v>0</v>
      </c>
      <c r="AZ493" s="71">
        <f t="shared" si="187"/>
        <v>0</v>
      </c>
      <c r="BE493" s="102">
        <f t="shared" si="188"/>
        <v>4.4721359549995796</v>
      </c>
      <c r="BF493" s="81">
        <f t="shared" si="189"/>
        <v>9.3924867883288243E-14</v>
      </c>
      <c r="BG493" s="81" t="str">
        <f t="shared" si="190"/>
        <v>BASSO</v>
      </c>
      <c r="BK493" s="81" t="str">
        <f t="shared" si="191"/>
        <v>MOLTO BASSO</v>
      </c>
    </row>
    <row r="494" spans="7:63" x14ac:dyDescent="0.15">
      <c r="G494" s="64">
        <f t="shared" si="192"/>
        <v>0</v>
      </c>
      <c r="I494" s="64">
        <f t="shared" si="169"/>
        <v>0</v>
      </c>
      <c r="K494" s="64">
        <f t="shared" si="170"/>
        <v>0</v>
      </c>
      <c r="M494" s="64">
        <f t="shared" si="171"/>
        <v>0</v>
      </c>
      <c r="O494" s="64">
        <f t="shared" si="172"/>
        <v>0</v>
      </c>
      <c r="Q494" s="64">
        <f t="shared" si="173"/>
        <v>0</v>
      </c>
      <c r="S494" s="71">
        <f t="shared" si="174"/>
        <v>0</v>
      </c>
      <c r="U494" s="64">
        <f t="shared" si="175"/>
        <v>0</v>
      </c>
      <c r="W494" s="71">
        <f t="shared" si="176"/>
        <v>0</v>
      </c>
      <c r="Y494" s="71">
        <f t="shared" si="177"/>
        <v>0</v>
      </c>
      <c r="AA494" s="71">
        <f t="shared" si="178"/>
        <v>0</v>
      </c>
      <c r="AC494" s="71">
        <f t="shared" si="179"/>
        <v>0</v>
      </c>
      <c r="AK494" s="71">
        <f t="shared" si="180"/>
        <v>0</v>
      </c>
      <c r="AM494" s="71">
        <f t="shared" si="181"/>
        <v>0</v>
      </c>
      <c r="AO494" s="71">
        <f t="shared" si="182"/>
        <v>0</v>
      </c>
      <c r="AQ494" s="71">
        <f t="shared" si="183"/>
        <v>0</v>
      </c>
      <c r="AT494" s="71">
        <f t="shared" si="184"/>
        <v>0</v>
      </c>
      <c r="AV494" s="71">
        <f t="shared" si="185"/>
        <v>0</v>
      </c>
      <c r="AX494" s="71">
        <f t="shared" si="186"/>
        <v>0</v>
      </c>
      <c r="AZ494" s="71">
        <f t="shared" si="187"/>
        <v>0</v>
      </c>
      <c r="BE494" s="102">
        <f t="shared" si="188"/>
        <v>4.4721359549995796</v>
      </c>
      <c r="BF494" s="81">
        <f t="shared" si="189"/>
        <v>9.3924867883288243E-14</v>
      </c>
      <c r="BG494" s="81" t="str">
        <f t="shared" si="190"/>
        <v>BASSO</v>
      </c>
      <c r="BK494" s="81" t="str">
        <f t="shared" si="191"/>
        <v>MOLTO BASSO</v>
      </c>
    </row>
    <row r="495" spans="7:63" x14ac:dyDescent="0.15">
      <c r="G495" s="64">
        <f t="shared" si="192"/>
        <v>0</v>
      </c>
      <c r="I495" s="64">
        <f t="shared" si="169"/>
        <v>0</v>
      </c>
      <c r="K495" s="64">
        <f t="shared" si="170"/>
        <v>0</v>
      </c>
      <c r="M495" s="64">
        <f t="shared" si="171"/>
        <v>0</v>
      </c>
      <c r="O495" s="64">
        <f t="shared" si="172"/>
        <v>0</v>
      </c>
      <c r="Q495" s="64">
        <f t="shared" si="173"/>
        <v>0</v>
      </c>
      <c r="S495" s="71">
        <f t="shared" si="174"/>
        <v>0</v>
      </c>
      <c r="U495" s="64">
        <f t="shared" si="175"/>
        <v>0</v>
      </c>
      <c r="W495" s="71">
        <f t="shared" si="176"/>
        <v>0</v>
      </c>
      <c r="Y495" s="71">
        <f t="shared" si="177"/>
        <v>0</v>
      </c>
      <c r="AA495" s="71">
        <f t="shared" si="178"/>
        <v>0</v>
      </c>
      <c r="AC495" s="71">
        <f t="shared" si="179"/>
        <v>0</v>
      </c>
      <c r="AK495" s="71">
        <f t="shared" si="180"/>
        <v>0</v>
      </c>
      <c r="AM495" s="71">
        <f t="shared" si="181"/>
        <v>0</v>
      </c>
      <c r="AO495" s="71">
        <f t="shared" si="182"/>
        <v>0</v>
      </c>
      <c r="AQ495" s="71">
        <f t="shared" si="183"/>
        <v>0</v>
      </c>
      <c r="AT495" s="71">
        <f t="shared" si="184"/>
        <v>0</v>
      </c>
      <c r="AV495" s="71">
        <f t="shared" si="185"/>
        <v>0</v>
      </c>
      <c r="AX495" s="71">
        <f t="shared" si="186"/>
        <v>0</v>
      </c>
      <c r="AZ495" s="71">
        <f t="shared" si="187"/>
        <v>0</v>
      </c>
      <c r="BE495" s="102">
        <f t="shared" si="188"/>
        <v>4.4721359549995796</v>
      </c>
      <c r="BF495" s="81">
        <f t="shared" si="189"/>
        <v>9.3924867883288243E-14</v>
      </c>
      <c r="BG495" s="81" t="str">
        <f t="shared" si="190"/>
        <v>BASSO</v>
      </c>
      <c r="BK495" s="81" t="str">
        <f t="shared" si="191"/>
        <v>MOLTO BASSO</v>
      </c>
    </row>
    <row r="496" spans="7:63" x14ac:dyDescent="0.15">
      <c r="G496" s="64">
        <f t="shared" si="192"/>
        <v>0</v>
      </c>
      <c r="I496" s="64">
        <f t="shared" si="169"/>
        <v>0</v>
      </c>
      <c r="K496" s="64">
        <f t="shared" si="170"/>
        <v>0</v>
      </c>
      <c r="M496" s="64">
        <f t="shared" si="171"/>
        <v>0</v>
      </c>
      <c r="O496" s="64">
        <f t="shared" si="172"/>
        <v>0</v>
      </c>
      <c r="Q496" s="64">
        <f t="shared" si="173"/>
        <v>0</v>
      </c>
      <c r="S496" s="71">
        <f t="shared" si="174"/>
        <v>0</v>
      </c>
      <c r="U496" s="64">
        <f t="shared" si="175"/>
        <v>0</v>
      </c>
      <c r="W496" s="71">
        <f t="shared" si="176"/>
        <v>0</v>
      </c>
      <c r="Y496" s="71">
        <f t="shared" si="177"/>
        <v>0</v>
      </c>
      <c r="AA496" s="71">
        <f t="shared" si="178"/>
        <v>0</v>
      </c>
      <c r="AC496" s="71">
        <f t="shared" si="179"/>
        <v>0</v>
      </c>
      <c r="AK496" s="71">
        <f t="shared" si="180"/>
        <v>0</v>
      </c>
      <c r="AM496" s="71">
        <f t="shared" si="181"/>
        <v>0</v>
      </c>
      <c r="AO496" s="71">
        <f t="shared" si="182"/>
        <v>0</v>
      </c>
      <c r="AQ496" s="71">
        <f t="shared" si="183"/>
        <v>0</v>
      </c>
      <c r="AT496" s="71">
        <f t="shared" si="184"/>
        <v>0</v>
      </c>
      <c r="AV496" s="71">
        <f t="shared" si="185"/>
        <v>0</v>
      </c>
      <c r="AX496" s="71">
        <f t="shared" si="186"/>
        <v>0</v>
      </c>
      <c r="AZ496" s="71">
        <f t="shared" si="187"/>
        <v>0</v>
      </c>
      <c r="BE496" s="102">
        <f t="shared" si="188"/>
        <v>4.4721359549995796</v>
      </c>
      <c r="BF496" s="81">
        <f t="shared" si="189"/>
        <v>9.3924867883288243E-14</v>
      </c>
      <c r="BG496" s="81" t="str">
        <f t="shared" si="190"/>
        <v>BASSO</v>
      </c>
      <c r="BK496" s="81" t="str">
        <f t="shared" si="191"/>
        <v>MOLTO BASSO</v>
      </c>
    </row>
    <row r="497" spans="7:63" x14ac:dyDescent="0.15">
      <c r="G497" s="64">
        <f t="shared" si="192"/>
        <v>0</v>
      </c>
      <c r="I497" s="64">
        <f t="shared" si="169"/>
        <v>0</v>
      </c>
      <c r="K497" s="64">
        <f t="shared" si="170"/>
        <v>0</v>
      </c>
      <c r="M497" s="64">
        <f t="shared" si="171"/>
        <v>0</v>
      </c>
      <c r="O497" s="64">
        <f t="shared" si="172"/>
        <v>0</v>
      </c>
      <c r="Q497" s="64">
        <f t="shared" si="173"/>
        <v>0</v>
      </c>
      <c r="S497" s="71">
        <f t="shared" si="174"/>
        <v>0</v>
      </c>
      <c r="U497" s="64">
        <f t="shared" si="175"/>
        <v>0</v>
      </c>
      <c r="W497" s="71">
        <f t="shared" si="176"/>
        <v>0</v>
      </c>
      <c r="Y497" s="71">
        <f t="shared" si="177"/>
        <v>0</v>
      </c>
      <c r="AA497" s="71">
        <f t="shared" si="178"/>
        <v>0</v>
      </c>
      <c r="AC497" s="71">
        <f t="shared" si="179"/>
        <v>0</v>
      </c>
      <c r="AK497" s="71">
        <f t="shared" si="180"/>
        <v>0</v>
      </c>
      <c r="AM497" s="71">
        <f t="shared" si="181"/>
        <v>0</v>
      </c>
      <c r="AO497" s="71">
        <f t="shared" si="182"/>
        <v>0</v>
      </c>
      <c r="AQ497" s="71">
        <f t="shared" si="183"/>
        <v>0</v>
      </c>
      <c r="AT497" s="71">
        <f t="shared" si="184"/>
        <v>0</v>
      </c>
      <c r="AV497" s="71">
        <f t="shared" si="185"/>
        <v>0</v>
      </c>
      <c r="AX497" s="71">
        <f t="shared" si="186"/>
        <v>0</v>
      </c>
      <c r="AZ497" s="71">
        <f t="shared" si="187"/>
        <v>0</v>
      </c>
      <c r="BE497" s="102">
        <f t="shared" si="188"/>
        <v>4.4721359549995796</v>
      </c>
      <c r="BF497" s="81">
        <f t="shared" si="189"/>
        <v>9.3924867883288243E-14</v>
      </c>
      <c r="BG497" s="81" t="str">
        <f t="shared" si="190"/>
        <v>BASSO</v>
      </c>
      <c r="BK497" s="81" t="str">
        <f t="shared" si="191"/>
        <v>MOLTO BASSO</v>
      </c>
    </row>
    <row r="498" spans="7:63" x14ac:dyDescent="0.15">
      <c r="G498" s="64">
        <f t="shared" si="192"/>
        <v>0</v>
      </c>
      <c r="I498" s="64">
        <f t="shared" si="169"/>
        <v>0</v>
      </c>
      <c r="K498" s="64">
        <f t="shared" si="170"/>
        <v>0</v>
      </c>
      <c r="M498" s="64">
        <f t="shared" si="171"/>
        <v>0</v>
      </c>
      <c r="O498" s="64">
        <f t="shared" si="172"/>
        <v>0</v>
      </c>
      <c r="Q498" s="64">
        <f t="shared" si="173"/>
        <v>0</v>
      </c>
      <c r="S498" s="71">
        <f t="shared" si="174"/>
        <v>0</v>
      </c>
      <c r="U498" s="64">
        <f t="shared" si="175"/>
        <v>0</v>
      </c>
      <c r="W498" s="71">
        <f t="shared" si="176"/>
        <v>0</v>
      </c>
      <c r="Y498" s="71">
        <f t="shared" si="177"/>
        <v>0</v>
      </c>
      <c r="AA498" s="71">
        <f t="shared" si="178"/>
        <v>0</v>
      </c>
      <c r="AC498" s="71">
        <f t="shared" si="179"/>
        <v>0</v>
      </c>
      <c r="AK498" s="71">
        <f t="shared" si="180"/>
        <v>0</v>
      </c>
      <c r="AM498" s="71">
        <f t="shared" si="181"/>
        <v>0</v>
      </c>
      <c r="AO498" s="71">
        <f t="shared" si="182"/>
        <v>0</v>
      </c>
      <c r="AQ498" s="71">
        <f t="shared" si="183"/>
        <v>0</v>
      </c>
      <c r="AT498" s="71">
        <f t="shared" si="184"/>
        <v>0</v>
      </c>
      <c r="AV498" s="71">
        <f t="shared" si="185"/>
        <v>0</v>
      </c>
      <c r="AX498" s="71">
        <f t="shared" si="186"/>
        <v>0</v>
      </c>
      <c r="AZ498" s="71">
        <f t="shared" si="187"/>
        <v>0</v>
      </c>
      <c r="BE498" s="102">
        <f t="shared" si="188"/>
        <v>4.4721359549995796</v>
      </c>
      <c r="BF498" s="81">
        <f t="shared" si="189"/>
        <v>9.3924867883288243E-14</v>
      </c>
      <c r="BG498" s="81" t="str">
        <f t="shared" si="190"/>
        <v>BASSO</v>
      </c>
      <c r="BK498" s="81" t="str">
        <f t="shared" si="191"/>
        <v>MOLTO BASSO</v>
      </c>
    </row>
    <row r="499" spans="7:63" x14ac:dyDescent="0.15">
      <c r="G499" s="64">
        <f t="shared" si="192"/>
        <v>0</v>
      </c>
      <c r="I499" s="64">
        <f t="shared" si="169"/>
        <v>0</v>
      </c>
      <c r="K499" s="64">
        <f t="shared" si="170"/>
        <v>0</v>
      </c>
      <c r="M499" s="64">
        <f t="shared" si="171"/>
        <v>0</v>
      </c>
      <c r="O499" s="64">
        <f t="shared" si="172"/>
        <v>0</v>
      </c>
      <c r="Q499" s="64">
        <f t="shared" si="173"/>
        <v>0</v>
      </c>
      <c r="S499" s="71">
        <f t="shared" si="174"/>
        <v>0</v>
      </c>
      <c r="U499" s="64">
        <f t="shared" si="175"/>
        <v>0</v>
      </c>
      <c r="W499" s="71">
        <f t="shared" si="176"/>
        <v>0</v>
      </c>
      <c r="Y499" s="71">
        <f t="shared" si="177"/>
        <v>0</v>
      </c>
      <c r="AA499" s="71">
        <f t="shared" si="178"/>
        <v>0</v>
      </c>
      <c r="AC499" s="71">
        <f t="shared" si="179"/>
        <v>0</v>
      </c>
      <c r="AK499" s="71">
        <f t="shared" si="180"/>
        <v>0</v>
      </c>
      <c r="AM499" s="71">
        <f t="shared" si="181"/>
        <v>0</v>
      </c>
      <c r="AO499" s="71">
        <f t="shared" si="182"/>
        <v>0</v>
      </c>
      <c r="AQ499" s="71">
        <f t="shared" si="183"/>
        <v>0</v>
      </c>
      <c r="AT499" s="71">
        <f t="shared" si="184"/>
        <v>0</v>
      </c>
      <c r="AV499" s="71">
        <f t="shared" si="185"/>
        <v>0</v>
      </c>
      <c r="AX499" s="71">
        <f t="shared" si="186"/>
        <v>0</v>
      </c>
      <c r="AZ499" s="71">
        <f t="shared" si="187"/>
        <v>0</v>
      </c>
      <c r="BE499" s="102">
        <f t="shared" si="188"/>
        <v>4.4721359549995796</v>
      </c>
      <c r="BF499" s="81">
        <f t="shared" si="189"/>
        <v>9.3924867883288243E-14</v>
      </c>
      <c r="BG499" s="81" t="str">
        <f t="shared" si="190"/>
        <v>BASSO</v>
      </c>
      <c r="BK499" s="81" t="str">
        <f t="shared" si="191"/>
        <v>MOLTO BASSO</v>
      </c>
    </row>
    <row r="500" spans="7:63" x14ac:dyDescent="0.15">
      <c r="G500" s="64">
        <f t="shared" si="192"/>
        <v>0</v>
      </c>
      <c r="I500" s="64">
        <f t="shared" si="169"/>
        <v>0</v>
      </c>
      <c r="K500" s="64">
        <f t="shared" si="170"/>
        <v>0</v>
      </c>
      <c r="M500" s="64">
        <f t="shared" si="171"/>
        <v>0</v>
      </c>
      <c r="O500" s="64">
        <f t="shared" si="172"/>
        <v>0</v>
      </c>
      <c r="Q500" s="64">
        <f t="shared" si="173"/>
        <v>0</v>
      </c>
      <c r="S500" s="71">
        <f t="shared" si="174"/>
        <v>0</v>
      </c>
      <c r="U500" s="64">
        <f t="shared" si="175"/>
        <v>0</v>
      </c>
      <c r="W500" s="71">
        <f t="shared" si="176"/>
        <v>0</v>
      </c>
      <c r="Y500" s="71">
        <f t="shared" si="177"/>
        <v>0</v>
      </c>
      <c r="AA500" s="71">
        <f t="shared" si="178"/>
        <v>0</v>
      </c>
      <c r="AC500" s="71">
        <f t="shared" si="179"/>
        <v>0</v>
      </c>
      <c r="AK500" s="71">
        <f t="shared" si="180"/>
        <v>0</v>
      </c>
      <c r="AM500" s="71">
        <f t="shared" si="181"/>
        <v>0</v>
      </c>
      <c r="AO500" s="71">
        <f t="shared" si="182"/>
        <v>0</v>
      </c>
      <c r="AQ500" s="71">
        <f t="shared" si="183"/>
        <v>0</v>
      </c>
      <c r="AT500" s="71">
        <f t="shared" si="184"/>
        <v>0</v>
      </c>
      <c r="AV500" s="71">
        <f t="shared" si="185"/>
        <v>0</v>
      </c>
      <c r="AX500" s="71">
        <f t="shared" si="186"/>
        <v>0</v>
      </c>
      <c r="AZ500" s="71">
        <f t="shared" si="187"/>
        <v>0</v>
      </c>
      <c r="BE500" s="102">
        <f t="shared" si="188"/>
        <v>4.4721359549995796</v>
      </c>
      <c r="BF500" s="81">
        <f t="shared" si="189"/>
        <v>9.3924867883288243E-14</v>
      </c>
      <c r="BG500" s="81" t="str">
        <f t="shared" si="190"/>
        <v>BASSO</v>
      </c>
      <c r="BK500" s="81" t="str">
        <f t="shared" si="191"/>
        <v>MOLTO BASSO</v>
      </c>
    </row>
    <row r="501" spans="7:63" x14ac:dyDescent="0.15">
      <c r="G501" s="64">
        <f t="shared" si="192"/>
        <v>0</v>
      </c>
      <c r="I501" s="64">
        <f t="shared" si="169"/>
        <v>0</v>
      </c>
      <c r="K501" s="64">
        <f t="shared" si="170"/>
        <v>0</v>
      </c>
      <c r="M501" s="64">
        <f t="shared" si="171"/>
        <v>0</v>
      </c>
      <c r="O501" s="64">
        <f t="shared" si="172"/>
        <v>0</v>
      </c>
      <c r="Q501" s="64">
        <f t="shared" si="173"/>
        <v>0</v>
      </c>
      <c r="S501" s="71">
        <f t="shared" si="174"/>
        <v>0</v>
      </c>
      <c r="U501" s="64">
        <f t="shared" si="175"/>
        <v>0</v>
      </c>
      <c r="W501" s="71">
        <f t="shared" si="176"/>
        <v>0</v>
      </c>
      <c r="Y501" s="71">
        <f t="shared" si="177"/>
        <v>0</v>
      </c>
      <c r="AA501" s="71">
        <f t="shared" si="178"/>
        <v>0</v>
      </c>
      <c r="AC501" s="71">
        <f t="shared" si="179"/>
        <v>0</v>
      </c>
      <c r="AK501" s="71">
        <f t="shared" si="180"/>
        <v>0</v>
      </c>
      <c r="AM501" s="71">
        <f t="shared" si="181"/>
        <v>0</v>
      </c>
      <c r="AO501" s="71">
        <f t="shared" si="182"/>
        <v>0</v>
      </c>
      <c r="AQ501" s="71">
        <f t="shared" si="183"/>
        <v>0</v>
      </c>
      <c r="AT501" s="71">
        <f t="shared" si="184"/>
        <v>0</v>
      </c>
      <c r="AV501" s="71">
        <f t="shared" si="185"/>
        <v>0</v>
      </c>
      <c r="AX501" s="71">
        <f t="shared" si="186"/>
        <v>0</v>
      </c>
      <c r="AZ501" s="71">
        <f t="shared" si="187"/>
        <v>0</v>
      </c>
      <c r="BE501" s="102">
        <f t="shared" si="188"/>
        <v>4.4721359549995796</v>
      </c>
      <c r="BF501" s="81">
        <f t="shared" si="189"/>
        <v>9.3924867883288243E-14</v>
      </c>
      <c r="BG501" s="81" t="str">
        <f t="shared" si="190"/>
        <v>BASSO</v>
      </c>
      <c r="BK501" s="81" t="str">
        <f t="shared" si="191"/>
        <v>MOLTO BASSO</v>
      </c>
    </row>
    <row r="502" spans="7:63" x14ac:dyDescent="0.15">
      <c r="G502" s="64">
        <f t="shared" si="192"/>
        <v>0</v>
      </c>
      <c r="I502" s="64">
        <f t="shared" si="169"/>
        <v>0</v>
      </c>
      <c r="K502" s="64">
        <f t="shared" si="170"/>
        <v>0</v>
      </c>
      <c r="M502" s="64">
        <f t="shared" si="171"/>
        <v>0</v>
      </c>
      <c r="O502" s="64">
        <f t="shared" si="172"/>
        <v>0</v>
      </c>
      <c r="Q502" s="64">
        <f t="shared" si="173"/>
        <v>0</v>
      </c>
      <c r="S502" s="71">
        <f t="shared" si="174"/>
        <v>0</v>
      </c>
      <c r="U502" s="64">
        <f t="shared" si="175"/>
        <v>0</v>
      </c>
      <c r="W502" s="71">
        <f t="shared" si="176"/>
        <v>0</v>
      </c>
      <c r="Y502" s="71">
        <f t="shared" si="177"/>
        <v>0</v>
      </c>
      <c r="AA502" s="71">
        <f t="shared" si="178"/>
        <v>0</v>
      </c>
      <c r="AC502" s="71">
        <f t="shared" si="179"/>
        <v>0</v>
      </c>
      <c r="AK502" s="71">
        <f t="shared" si="180"/>
        <v>0</v>
      </c>
      <c r="AM502" s="71">
        <f t="shared" si="181"/>
        <v>0</v>
      </c>
      <c r="AO502" s="71">
        <f t="shared" si="182"/>
        <v>0</v>
      </c>
      <c r="AQ502" s="71">
        <f t="shared" si="183"/>
        <v>0</v>
      </c>
      <c r="AT502" s="71">
        <f t="shared" si="184"/>
        <v>0</v>
      </c>
      <c r="AV502" s="71">
        <f t="shared" si="185"/>
        <v>0</v>
      </c>
      <c r="AX502" s="71">
        <f t="shared" si="186"/>
        <v>0</v>
      </c>
      <c r="AZ502" s="71">
        <f t="shared" si="187"/>
        <v>0</v>
      </c>
      <c r="BE502" s="102">
        <f t="shared" si="188"/>
        <v>4.4721359549995796</v>
      </c>
      <c r="BF502" s="81">
        <f t="shared" si="189"/>
        <v>9.3924867883288243E-14</v>
      </c>
      <c r="BG502" s="81" t="str">
        <f t="shared" si="190"/>
        <v>BASSO</v>
      </c>
      <c r="BK502" s="81" t="str">
        <f t="shared" si="191"/>
        <v>MOLTO BASSO</v>
      </c>
    </row>
    <row r="503" spans="7:63" x14ac:dyDescent="0.15">
      <c r="G503" s="64">
        <f t="shared" si="192"/>
        <v>0</v>
      </c>
      <c r="I503" s="64">
        <f t="shared" si="169"/>
        <v>0</v>
      </c>
      <c r="K503" s="64">
        <f t="shared" si="170"/>
        <v>0</v>
      </c>
      <c r="M503" s="64">
        <f t="shared" si="171"/>
        <v>0</v>
      </c>
      <c r="O503" s="64">
        <f t="shared" si="172"/>
        <v>0</v>
      </c>
      <c r="Q503" s="64">
        <f t="shared" si="173"/>
        <v>0</v>
      </c>
      <c r="S503" s="71">
        <f t="shared" si="174"/>
        <v>0</v>
      </c>
      <c r="U503" s="64">
        <f t="shared" si="175"/>
        <v>0</v>
      </c>
      <c r="W503" s="71">
        <f t="shared" si="176"/>
        <v>0</v>
      </c>
      <c r="Y503" s="71">
        <f t="shared" si="177"/>
        <v>0</v>
      </c>
      <c r="AA503" s="71">
        <f t="shared" si="178"/>
        <v>0</v>
      </c>
      <c r="AC503" s="71">
        <f t="shared" si="179"/>
        <v>0</v>
      </c>
      <c r="AK503" s="71">
        <f t="shared" si="180"/>
        <v>0</v>
      </c>
      <c r="AM503" s="71">
        <f t="shared" si="181"/>
        <v>0</v>
      </c>
      <c r="AO503" s="71">
        <f t="shared" si="182"/>
        <v>0</v>
      </c>
      <c r="AQ503" s="71">
        <f t="shared" si="183"/>
        <v>0</v>
      </c>
      <c r="AT503" s="71">
        <f t="shared" si="184"/>
        <v>0</v>
      </c>
      <c r="AV503" s="71">
        <f t="shared" si="185"/>
        <v>0</v>
      </c>
      <c r="AX503" s="71">
        <f t="shared" si="186"/>
        <v>0</v>
      </c>
      <c r="AZ503" s="71">
        <f t="shared" si="187"/>
        <v>0</v>
      </c>
      <c r="BE503" s="102">
        <f t="shared" si="188"/>
        <v>4.4721359549995796</v>
      </c>
      <c r="BF503" s="81">
        <f t="shared" si="189"/>
        <v>9.3924867883288243E-14</v>
      </c>
      <c r="BG503" s="81" t="str">
        <f t="shared" si="190"/>
        <v>BASSO</v>
      </c>
      <c r="BK503" s="81" t="str">
        <f t="shared" si="191"/>
        <v>MOLTO BASSO</v>
      </c>
    </row>
    <row r="504" spans="7:63" x14ac:dyDescent="0.15">
      <c r="G504" s="64">
        <f t="shared" si="192"/>
        <v>0</v>
      </c>
      <c r="I504" s="64">
        <f t="shared" si="169"/>
        <v>0</v>
      </c>
      <c r="K504" s="64">
        <f t="shared" si="170"/>
        <v>0</v>
      </c>
      <c r="M504" s="64">
        <f t="shared" si="171"/>
        <v>0</v>
      </c>
      <c r="O504" s="64">
        <f t="shared" si="172"/>
        <v>0</v>
      </c>
      <c r="Q504" s="64">
        <f t="shared" si="173"/>
        <v>0</v>
      </c>
      <c r="S504" s="71">
        <f t="shared" si="174"/>
        <v>0</v>
      </c>
      <c r="U504" s="64">
        <f t="shared" si="175"/>
        <v>0</v>
      </c>
      <c r="W504" s="71">
        <f t="shared" si="176"/>
        <v>0</v>
      </c>
      <c r="Y504" s="71">
        <f t="shared" si="177"/>
        <v>0</v>
      </c>
      <c r="AA504" s="71">
        <f t="shared" si="178"/>
        <v>0</v>
      </c>
      <c r="AC504" s="71">
        <f t="shared" si="179"/>
        <v>0</v>
      </c>
      <c r="AK504" s="71">
        <f t="shared" si="180"/>
        <v>0</v>
      </c>
      <c r="AM504" s="71">
        <f t="shared" si="181"/>
        <v>0</v>
      </c>
      <c r="AO504" s="71">
        <f t="shared" si="182"/>
        <v>0</v>
      </c>
      <c r="AQ504" s="71">
        <f t="shared" si="183"/>
        <v>0</v>
      </c>
      <c r="AT504" s="71">
        <f t="shared" si="184"/>
        <v>0</v>
      </c>
      <c r="AV504" s="71">
        <f t="shared" si="185"/>
        <v>0</v>
      </c>
      <c r="AX504" s="71">
        <f t="shared" si="186"/>
        <v>0</v>
      </c>
      <c r="AZ504" s="71">
        <f t="shared" si="187"/>
        <v>0</v>
      </c>
      <c r="BE504" s="102">
        <f t="shared" si="188"/>
        <v>4.4721359549995796</v>
      </c>
      <c r="BF504" s="81">
        <f t="shared" si="189"/>
        <v>9.3924867883288243E-14</v>
      </c>
      <c r="BG504" s="81" t="str">
        <f t="shared" si="190"/>
        <v>BASSO</v>
      </c>
      <c r="BK504" s="81" t="str">
        <f t="shared" si="191"/>
        <v>MOLTO BASSO</v>
      </c>
    </row>
    <row r="505" spans="7:63" x14ac:dyDescent="0.15">
      <c r="G505" s="64">
        <f t="shared" si="192"/>
        <v>0</v>
      </c>
      <c r="I505" s="64">
        <f t="shared" si="169"/>
        <v>0</v>
      </c>
      <c r="K505" s="64">
        <f t="shared" si="170"/>
        <v>0</v>
      </c>
      <c r="M505" s="64">
        <f t="shared" si="171"/>
        <v>0</v>
      </c>
      <c r="O505" s="64">
        <f t="shared" si="172"/>
        <v>0</v>
      </c>
      <c r="Q505" s="64">
        <f t="shared" si="173"/>
        <v>0</v>
      </c>
      <c r="S505" s="71">
        <f t="shared" si="174"/>
        <v>0</v>
      </c>
      <c r="U505" s="64">
        <f t="shared" si="175"/>
        <v>0</v>
      </c>
      <c r="W505" s="71">
        <f t="shared" si="176"/>
        <v>0</v>
      </c>
      <c r="Y505" s="71">
        <f t="shared" si="177"/>
        <v>0</v>
      </c>
      <c r="AA505" s="71">
        <f t="shared" si="178"/>
        <v>0</v>
      </c>
      <c r="AC505" s="71">
        <f t="shared" si="179"/>
        <v>0</v>
      </c>
      <c r="AK505" s="71">
        <f t="shared" si="180"/>
        <v>0</v>
      </c>
      <c r="AM505" s="71">
        <f t="shared" si="181"/>
        <v>0</v>
      </c>
      <c r="AO505" s="71">
        <f t="shared" si="182"/>
        <v>0</v>
      </c>
      <c r="AQ505" s="71">
        <f t="shared" si="183"/>
        <v>0</v>
      </c>
      <c r="AT505" s="71">
        <f t="shared" si="184"/>
        <v>0</v>
      </c>
      <c r="AV505" s="71">
        <f t="shared" si="185"/>
        <v>0</v>
      </c>
      <c r="AX505" s="71">
        <f t="shared" si="186"/>
        <v>0</v>
      </c>
      <c r="AZ505" s="71">
        <f t="shared" si="187"/>
        <v>0</v>
      </c>
      <c r="BE505" s="102">
        <f t="shared" si="188"/>
        <v>4.4721359549995796</v>
      </c>
      <c r="BF505" s="81">
        <f t="shared" si="189"/>
        <v>9.3924867883288243E-14</v>
      </c>
      <c r="BG505" s="81" t="str">
        <f t="shared" si="190"/>
        <v>BASSO</v>
      </c>
      <c r="BK505" s="81" t="str">
        <f t="shared" si="191"/>
        <v>MOLTO BASSO</v>
      </c>
    </row>
    <row r="506" spans="7:63" x14ac:dyDescent="0.15">
      <c r="G506" s="64">
        <f t="shared" si="192"/>
        <v>0</v>
      </c>
      <c r="I506" s="64">
        <f t="shared" si="169"/>
        <v>0</v>
      </c>
      <c r="K506" s="64">
        <f t="shared" si="170"/>
        <v>0</v>
      </c>
      <c r="M506" s="64">
        <f t="shared" si="171"/>
        <v>0</v>
      </c>
      <c r="O506" s="64">
        <f t="shared" si="172"/>
        <v>0</v>
      </c>
      <c r="Q506" s="64">
        <f t="shared" si="173"/>
        <v>0</v>
      </c>
      <c r="S506" s="71">
        <f t="shared" si="174"/>
        <v>0</v>
      </c>
      <c r="U506" s="64">
        <f t="shared" si="175"/>
        <v>0</v>
      </c>
      <c r="W506" s="71">
        <f t="shared" si="176"/>
        <v>0</v>
      </c>
      <c r="Y506" s="71">
        <f t="shared" si="177"/>
        <v>0</v>
      </c>
      <c r="AA506" s="71">
        <f t="shared" si="178"/>
        <v>0</v>
      </c>
      <c r="AC506" s="71">
        <f t="shared" si="179"/>
        <v>0</v>
      </c>
      <c r="AK506" s="71">
        <f t="shared" si="180"/>
        <v>0</v>
      </c>
      <c r="AM506" s="71">
        <f t="shared" si="181"/>
        <v>0</v>
      </c>
      <c r="AO506" s="71">
        <f t="shared" si="182"/>
        <v>0</v>
      </c>
      <c r="AQ506" s="71">
        <f t="shared" si="183"/>
        <v>0</v>
      </c>
      <c r="AT506" s="71">
        <f t="shared" si="184"/>
        <v>0</v>
      </c>
      <c r="AV506" s="71">
        <f t="shared" si="185"/>
        <v>0</v>
      </c>
      <c r="AX506" s="71">
        <f t="shared" si="186"/>
        <v>0</v>
      </c>
      <c r="AZ506" s="71">
        <f t="shared" si="187"/>
        <v>0</v>
      </c>
      <c r="BE506" s="102">
        <f t="shared" si="188"/>
        <v>4.4721359549995796</v>
      </c>
      <c r="BF506" s="81">
        <f t="shared" si="189"/>
        <v>9.3924867883288243E-14</v>
      </c>
      <c r="BG506" s="81" t="str">
        <f t="shared" si="190"/>
        <v>BASSO</v>
      </c>
      <c r="BK506" s="81" t="str">
        <f t="shared" si="191"/>
        <v>MOLTO BASSO</v>
      </c>
    </row>
    <row r="507" spans="7:63" x14ac:dyDescent="0.15">
      <c r="G507" s="64">
        <f t="shared" si="192"/>
        <v>0</v>
      </c>
      <c r="I507" s="64">
        <f t="shared" si="169"/>
        <v>0</v>
      </c>
      <c r="K507" s="64">
        <f t="shared" si="170"/>
        <v>0</v>
      </c>
      <c r="M507" s="64">
        <f t="shared" si="171"/>
        <v>0</v>
      </c>
      <c r="O507" s="64">
        <f t="shared" si="172"/>
        <v>0</v>
      </c>
      <c r="Q507" s="64">
        <f t="shared" si="173"/>
        <v>0</v>
      </c>
      <c r="S507" s="71">
        <f t="shared" si="174"/>
        <v>0</v>
      </c>
      <c r="U507" s="64">
        <f t="shared" si="175"/>
        <v>0</v>
      </c>
      <c r="W507" s="71">
        <f t="shared" si="176"/>
        <v>0</v>
      </c>
      <c r="Y507" s="71">
        <f t="shared" si="177"/>
        <v>0</v>
      </c>
      <c r="AA507" s="71">
        <f t="shared" si="178"/>
        <v>0</v>
      </c>
      <c r="AC507" s="71">
        <f t="shared" si="179"/>
        <v>0</v>
      </c>
      <c r="AK507" s="71">
        <f t="shared" si="180"/>
        <v>0</v>
      </c>
      <c r="AM507" s="71">
        <f t="shared" si="181"/>
        <v>0</v>
      </c>
      <c r="AO507" s="71">
        <f t="shared" si="182"/>
        <v>0</v>
      </c>
      <c r="AQ507" s="71">
        <f t="shared" si="183"/>
        <v>0</v>
      </c>
      <c r="AT507" s="71">
        <f t="shared" si="184"/>
        <v>0</v>
      </c>
      <c r="AV507" s="71">
        <f t="shared" si="185"/>
        <v>0</v>
      </c>
      <c r="AX507" s="71">
        <f t="shared" si="186"/>
        <v>0</v>
      </c>
      <c r="AZ507" s="71">
        <f t="shared" si="187"/>
        <v>0</v>
      </c>
      <c r="BE507" s="102">
        <f t="shared" si="188"/>
        <v>4.4721359549995796</v>
      </c>
      <c r="BF507" s="81">
        <f t="shared" si="189"/>
        <v>9.3924867883288243E-14</v>
      </c>
      <c r="BG507" s="81" t="str">
        <f t="shared" si="190"/>
        <v>BASSO</v>
      </c>
      <c r="BK507" s="81" t="str">
        <f t="shared" si="191"/>
        <v>MOLTO BASSO</v>
      </c>
    </row>
    <row r="508" spans="7:63" x14ac:dyDescent="0.15">
      <c r="G508" s="64">
        <f t="shared" si="192"/>
        <v>0</v>
      </c>
      <c r="I508" s="64">
        <f t="shared" si="169"/>
        <v>0</v>
      </c>
      <c r="K508" s="64">
        <f t="shared" si="170"/>
        <v>0</v>
      </c>
      <c r="M508" s="64">
        <f t="shared" si="171"/>
        <v>0</v>
      </c>
      <c r="O508" s="64">
        <f t="shared" si="172"/>
        <v>0</v>
      </c>
      <c r="Q508" s="64">
        <f t="shared" si="173"/>
        <v>0</v>
      </c>
      <c r="S508" s="71">
        <f t="shared" si="174"/>
        <v>0</v>
      </c>
      <c r="U508" s="64">
        <f t="shared" si="175"/>
        <v>0</v>
      </c>
      <c r="W508" s="71">
        <f t="shared" si="176"/>
        <v>0</v>
      </c>
      <c r="Y508" s="71">
        <f t="shared" si="177"/>
        <v>0</v>
      </c>
      <c r="AA508" s="71">
        <f t="shared" si="178"/>
        <v>0</v>
      </c>
      <c r="AC508" s="71">
        <f t="shared" si="179"/>
        <v>0</v>
      </c>
      <c r="AK508" s="71">
        <f t="shared" si="180"/>
        <v>0</v>
      </c>
      <c r="AM508" s="71">
        <f t="shared" si="181"/>
        <v>0</v>
      </c>
      <c r="AO508" s="71">
        <f t="shared" si="182"/>
        <v>0</v>
      </c>
      <c r="AQ508" s="71">
        <f t="shared" si="183"/>
        <v>0</v>
      </c>
      <c r="AT508" s="71">
        <f t="shared" si="184"/>
        <v>0</v>
      </c>
      <c r="AV508" s="71">
        <f t="shared" si="185"/>
        <v>0</v>
      </c>
      <c r="AX508" s="71">
        <f t="shared" si="186"/>
        <v>0</v>
      </c>
      <c r="AZ508" s="71">
        <f t="shared" si="187"/>
        <v>0</v>
      </c>
      <c r="BE508" s="102">
        <f t="shared" si="188"/>
        <v>4.4721359549995796</v>
      </c>
      <c r="BF508" s="81">
        <f t="shared" si="189"/>
        <v>9.3924867883288243E-14</v>
      </c>
      <c r="BG508" s="81" t="str">
        <f t="shared" si="190"/>
        <v>BASSO</v>
      </c>
      <c r="BK508" s="81" t="str">
        <f t="shared" si="191"/>
        <v>MOLTO BASSO</v>
      </c>
    </row>
    <row r="509" spans="7:63" x14ac:dyDescent="0.15">
      <c r="G509" s="64">
        <f t="shared" si="192"/>
        <v>0</v>
      </c>
      <c r="I509" s="64">
        <f t="shared" si="169"/>
        <v>0</v>
      </c>
      <c r="K509" s="64">
        <f t="shared" si="170"/>
        <v>0</v>
      </c>
      <c r="M509" s="64">
        <f t="shared" si="171"/>
        <v>0</v>
      </c>
      <c r="O509" s="64">
        <f t="shared" si="172"/>
        <v>0</v>
      </c>
      <c r="Q509" s="64">
        <f t="shared" si="173"/>
        <v>0</v>
      </c>
      <c r="S509" s="71">
        <f t="shared" si="174"/>
        <v>0</v>
      </c>
      <c r="U509" s="64">
        <f t="shared" si="175"/>
        <v>0</v>
      </c>
      <c r="W509" s="71">
        <f t="shared" si="176"/>
        <v>0</v>
      </c>
      <c r="Y509" s="71">
        <f t="shared" si="177"/>
        <v>0</v>
      </c>
      <c r="AA509" s="71">
        <f t="shared" si="178"/>
        <v>0</v>
      </c>
      <c r="AC509" s="71">
        <f t="shared" si="179"/>
        <v>0</v>
      </c>
      <c r="AK509" s="71">
        <f t="shared" si="180"/>
        <v>0</v>
      </c>
      <c r="AM509" s="71">
        <f t="shared" si="181"/>
        <v>0</v>
      </c>
      <c r="AO509" s="71">
        <f t="shared" si="182"/>
        <v>0</v>
      </c>
      <c r="AQ509" s="71">
        <f t="shared" si="183"/>
        <v>0</v>
      </c>
      <c r="AT509" s="71">
        <f t="shared" si="184"/>
        <v>0</v>
      </c>
      <c r="AV509" s="71">
        <f t="shared" si="185"/>
        <v>0</v>
      </c>
      <c r="AX509" s="71">
        <f t="shared" si="186"/>
        <v>0</v>
      </c>
      <c r="AZ509" s="71">
        <f t="shared" si="187"/>
        <v>0</v>
      </c>
      <c r="BE509" s="102">
        <f t="shared" si="188"/>
        <v>4.4721359549995796</v>
      </c>
      <c r="BF509" s="81">
        <f t="shared" si="189"/>
        <v>9.3924867883288243E-14</v>
      </c>
      <c r="BG509" s="81" t="str">
        <f t="shared" si="190"/>
        <v>BASSO</v>
      </c>
      <c r="BK509" s="81" t="str">
        <f t="shared" si="191"/>
        <v>MOLTO BASSO</v>
      </c>
    </row>
    <row r="510" spans="7:63" x14ac:dyDescent="0.15">
      <c r="G510" s="64">
        <f t="shared" si="192"/>
        <v>0</v>
      </c>
      <c r="I510" s="64">
        <f t="shared" si="169"/>
        <v>0</v>
      </c>
      <c r="K510" s="64">
        <f t="shared" si="170"/>
        <v>0</v>
      </c>
      <c r="M510" s="64">
        <f t="shared" si="171"/>
        <v>0</v>
      </c>
      <c r="O510" s="64">
        <f t="shared" si="172"/>
        <v>0</v>
      </c>
      <c r="Q510" s="64">
        <f t="shared" si="173"/>
        <v>0</v>
      </c>
      <c r="S510" s="71">
        <f t="shared" si="174"/>
        <v>0</v>
      </c>
      <c r="U510" s="64">
        <f t="shared" si="175"/>
        <v>0</v>
      </c>
      <c r="W510" s="71">
        <f t="shared" si="176"/>
        <v>0</v>
      </c>
      <c r="Y510" s="71">
        <f t="shared" si="177"/>
        <v>0</v>
      </c>
      <c r="AA510" s="71">
        <f t="shared" si="178"/>
        <v>0</v>
      </c>
      <c r="AC510" s="71">
        <f t="shared" si="179"/>
        <v>0</v>
      </c>
      <c r="AK510" s="71">
        <f t="shared" si="180"/>
        <v>0</v>
      </c>
      <c r="AM510" s="71">
        <f t="shared" si="181"/>
        <v>0</v>
      </c>
      <c r="AO510" s="71">
        <f t="shared" si="182"/>
        <v>0</v>
      </c>
      <c r="AQ510" s="71">
        <f t="shared" si="183"/>
        <v>0</v>
      </c>
      <c r="AT510" s="71">
        <f t="shared" si="184"/>
        <v>0</v>
      </c>
      <c r="AV510" s="71">
        <f t="shared" si="185"/>
        <v>0</v>
      </c>
      <c r="AX510" s="71">
        <f t="shared" si="186"/>
        <v>0</v>
      </c>
      <c r="AZ510" s="71">
        <f t="shared" si="187"/>
        <v>0</v>
      </c>
      <c r="BE510" s="102">
        <f t="shared" si="188"/>
        <v>4.4721359549995796</v>
      </c>
      <c r="BF510" s="81">
        <f t="shared" si="189"/>
        <v>9.3924867883288243E-14</v>
      </c>
      <c r="BG510" s="81" t="str">
        <f t="shared" si="190"/>
        <v>BASSO</v>
      </c>
      <c r="BK510" s="81" t="str">
        <f t="shared" si="191"/>
        <v>MOLTO BASSO</v>
      </c>
    </row>
    <row r="511" spans="7:63" x14ac:dyDescent="0.15">
      <c r="G511" s="64">
        <f t="shared" si="192"/>
        <v>0</v>
      </c>
      <c r="I511" s="64">
        <f t="shared" si="169"/>
        <v>0</v>
      </c>
      <c r="K511" s="64">
        <f t="shared" si="170"/>
        <v>0</v>
      </c>
      <c r="M511" s="64">
        <f t="shared" si="171"/>
        <v>0</v>
      </c>
      <c r="O511" s="64">
        <f t="shared" si="172"/>
        <v>0</v>
      </c>
      <c r="Q511" s="64">
        <f t="shared" si="173"/>
        <v>0</v>
      </c>
      <c r="S511" s="71">
        <f t="shared" si="174"/>
        <v>0</v>
      </c>
      <c r="U511" s="64">
        <f t="shared" si="175"/>
        <v>0</v>
      </c>
      <c r="W511" s="71">
        <f t="shared" si="176"/>
        <v>0</v>
      </c>
      <c r="Y511" s="71">
        <f t="shared" si="177"/>
        <v>0</v>
      </c>
      <c r="AA511" s="71">
        <f t="shared" si="178"/>
        <v>0</v>
      </c>
      <c r="AC511" s="71">
        <f t="shared" si="179"/>
        <v>0</v>
      </c>
      <c r="AK511" s="71">
        <f t="shared" si="180"/>
        <v>0</v>
      </c>
      <c r="AM511" s="71">
        <f t="shared" si="181"/>
        <v>0</v>
      </c>
      <c r="AO511" s="71">
        <f t="shared" si="182"/>
        <v>0</v>
      </c>
      <c r="AQ511" s="71">
        <f t="shared" si="183"/>
        <v>0</v>
      </c>
      <c r="AT511" s="71">
        <f t="shared" si="184"/>
        <v>0</v>
      </c>
      <c r="AV511" s="71">
        <f t="shared" si="185"/>
        <v>0</v>
      </c>
      <c r="AX511" s="71">
        <f t="shared" si="186"/>
        <v>0</v>
      </c>
      <c r="AZ511" s="71">
        <f t="shared" si="187"/>
        <v>0</v>
      </c>
      <c r="BE511" s="102">
        <f t="shared" si="188"/>
        <v>4.4721359549995796</v>
      </c>
      <c r="BF511" s="81">
        <f t="shared" si="189"/>
        <v>9.3924867883288243E-14</v>
      </c>
      <c r="BG511" s="81" t="str">
        <f t="shared" si="190"/>
        <v>BASSO</v>
      </c>
      <c r="BK511" s="81" t="str">
        <f t="shared" si="191"/>
        <v>MOLTO BASSO</v>
      </c>
    </row>
    <row r="512" spans="7:63" x14ac:dyDescent="0.15">
      <c r="G512" s="64">
        <f t="shared" si="192"/>
        <v>0</v>
      </c>
      <c r="I512" s="64">
        <f t="shared" si="169"/>
        <v>0</v>
      </c>
      <c r="K512" s="64">
        <f t="shared" si="170"/>
        <v>0</v>
      </c>
      <c r="M512" s="64">
        <f t="shared" si="171"/>
        <v>0</v>
      </c>
      <c r="O512" s="64">
        <f t="shared" si="172"/>
        <v>0</v>
      </c>
      <c r="Q512" s="64">
        <f t="shared" si="173"/>
        <v>0</v>
      </c>
      <c r="S512" s="71">
        <f t="shared" si="174"/>
        <v>0</v>
      </c>
      <c r="U512" s="64">
        <f t="shared" si="175"/>
        <v>0</v>
      </c>
      <c r="W512" s="71">
        <f t="shared" si="176"/>
        <v>0</v>
      </c>
      <c r="Y512" s="71">
        <f t="shared" si="177"/>
        <v>0</v>
      </c>
      <c r="AA512" s="71">
        <f t="shared" si="178"/>
        <v>0</v>
      </c>
      <c r="AC512" s="71">
        <f t="shared" si="179"/>
        <v>0</v>
      </c>
      <c r="AK512" s="71">
        <f t="shared" si="180"/>
        <v>0</v>
      </c>
      <c r="AM512" s="71">
        <f t="shared" si="181"/>
        <v>0</v>
      </c>
      <c r="AO512" s="71">
        <f t="shared" si="182"/>
        <v>0</v>
      </c>
      <c r="AQ512" s="71">
        <f t="shared" si="183"/>
        <v>0</v>
      </c>
      <c r="AT512" s="71">
        <f t="shared" si="184"/>
        <v>0</v>
      </c>
      <c r="AV512" s="71">
        <f t="shared" si="185"/>
        <v>0</v>
      </c>
      <c r="AX512" s="71">
        <f t="shared" si="186"/>
        <v>0</v>
      </c>
      <c r="AZ512" s="71">
        <f t="shared" si="187"/>
        <v>0</v>
      </c>
      <c r="BE512" s="102">
        <f t="shared" si="188"/>
        <v>4.4721359549995796</v>
      </c>
      <c r="BF512" s="81">
        <f t="shared" si="189"/>
        <v>9.3924867883288243E-14</v>
      </c>
      <c r="BG512" s="81" t="str">
        <f t="shared" si="190"/>
        <v>BASSO</v>
      </c>
      <c r="BK512" s="81" t="str">
        <f t="shared" si="191"/>
        <v>MOLTO BASSO</v>
      </c>
    </row>
    <row r="513" spans="7:63" x14ac:dyDescent="0.15">
      <c r="G513" s="64">
        <f t="shared" si="192"/>
        <v>0</v>
      </c>
      <c r="I513" s="64">
        <f t="shared" si="169"/>
        <v>0</v>
      </c>
      <c r="K513" s="64">
        <f t="shared" si="170"/>
        <v>0</v>
      </c>
      <c r="M513" s="64">
        <f t="shared" si="171"/>
        <v>0</v>
      </c>
      <c r="O513" s="64">
        <f t="shared" si="172"/>
        <v>0</v>
      </c>
      <c r="Q513" s="64">
        <f t="shared" si="173"/>
        <v>0</v>
      </c>
      <c r="S513" s="71">
        <f t="shared" si="174"/>
        <v>0</v>
      </c>
      <c r="U513" s="64">
        <f t="shared" si="175"/>
        <v>0</v>
      </c>
      <c r="W513" s="71">
        <f t="shared" si="176"/>
        <v>0</v>
      </c>
      <c r="Y513" s="71">
        <f t="shared" si="177"/>
        <v>0</v>
      </c>
      <c r="AA513" s="71">
        <f t="shared" si="178"/>
        <v>0</v>
      </c>
      <c r="AC513" s="71">
        <f t="shared" si="179"/>
        <v>0</v>
      </c>
      <c r="AK513" s="71">
        <f t="shared" si="180"/>
        <v>0</v>
      </c>
      <c r="AM513" s="71">
        <f t="shared" si="181"/>
        <v>0</v>
      </c>
      <c r="AO513" s="71">
        <f t="shared" si="182"/>
        <v>0</v>
      </c>
      <c r="AQ513" s="71">
        <f t="shared" si="183"/>
        <v>0</v>
      </c>
      <c r="AT513" s="71">
        <f t="shared" si="184"/>
        <v>0</v>
      </c>
      <c r="AV513" s="71">
        <f t="shared" si="185"/>
        <v>0</v>
      </c>
      <c r="AX513" s="71">
        <f t="shared" si="186"/>
        <v>0</v>
      </c>
      <c r="AZ513" s="71">
        <f t="shared" si="187"/>
        <v>0</v>
      </c>
      <c r="BE513" s="102">
        <f t="shared" si="188"/>
        <v>4.4721359549995796</v>
      </c>
      <c r="BF513" s="81">
        <f t="shared" si="189"/>
        <v>9.3924867883288243E-14</v>
      </c>
      <c r="BG513" s="81" t="str">
        <f t="shared" si="190"/>
        <v>BASSO</v>
      </c>
      <c r="BK513" s="81" t="str">
        <f t="shared" si="191"/>
        <v>MOLTO BASSO</v>
      </c>
    </row>
    <row r="514" spans="7:63" x14ac:dyDescent="0.15">
      <c r="G514" s="64">
        <f t="shared" si="192"/>
        <v>0</v>
      </c>
      <c r="I514" s="64">
        <f t="shared" si="169"/>
        <v>0</v>
      </c>
      <c r="K514" s="64">
        <f t="shared" si="170"/>
        <v>0</v>
      </c>
      <c r="M514" s="64">
        <f t="shared" si="171"/>
        <v>0</v>
      </c>
      <c r="O514" s="64">
        <f t="shared" si="172"/>
        <v>0</v>
      </c>
      <c r="Q514" s="64">
        <f t="shared" si="173"/>
        <v>0</v>
      </c>
      <c r="S514" s="71">
        <f t="shared" si="174"/>
        <v>0</v>
      </c>
      <c r="U514" s="64">
        <f t="shared" si="175"/>
        <v>0</v>
      </c>
      <c r="W514" s="71">
        <f t="shared" si="176"/>
        <v>0</v>
      </c>
      <c r="Y514" s="71">
        <f t="shared" si="177"/>
        <v>0</v>
      </c>
      <c r="AA514" s="71">
        <f t="shared" si="178"/>
        <v>0</v>
      </c>
      <c r="AC514" s="71">
        <f t="shared" si="179"/>
        <v>0</v>
      </c>
      <c r="AK514" s="71">
        <f t="shared" si="180"/>
        <v>0</v>
      </c>
      <c r="AM514" s="71">
        <f t="shared" si="181"/>
        <v>0</v>
      </c>
      <c r="AO514" s="71">
        <f t="shared" si="182"/>
        <v>0</v>
      </c>
      <c r="AQ514" s="71">
        <f t="shared" si="183"/>
        <v>0</v>
      </c>
      <c r="AT514" s="71">
        <f t="shared" si="184"/>
        <v>0</v>
      </c>
      <c r="AV514" s="71">
        <f t="shared" si="185"/>
        <v>0</v>
      </c>
      <c r="AX514" s="71">
        <f t="shared" si="186"/>
        <v>0</v>
      </c>
      <c r="AZ514" s="71">
        <f t="shared" si="187"/>
        <v>0</v>
      </c>
      <c r="BE514" s="102">
        <f t="shared" si="188"/>
        <v>4.4721359549995796</v>
      </c>
      <c r="BF514" s="81">
        <f t="shared" si="189"/>
        <v>9.3924867883288243E-14</v>
      </c>
      <c r="BG514" s="81" t="str">
        <f t="shared" si="190"/>
        <v>BASSO</v>
      </c>
      <c r="BK514" s="81" t="str">
        <f t="shared" si="191"/>
        <v>MOLTO BASSO</v>
      </c>
    </row>
    <row r="515" spans="7:63" x14ac:dyDescent="0.15">
      <c r="G515" s="64">
        <f t="shared" si="192"/>
        <v>0</v>
      </c>
      <c r="I515" s="64">
        <f t="shared" ref="I515:I578" si="193">H515/2</f>
        <v>0</v>
      </c>
      <c r="K515" s="64">
        <f t="shared" ref="K515:K578" si="194">J515/2</f>
        <v>0</v>
      </c>
      <c r="M515" s="64">
        <f t="shared" ref="M515:M578" si="195">L515/3</f>
        <v>0</v>
      </c>
      <c r="O515" s="64">
        <f t="shared" ref="O515:O578" si="196">N515/5</f>
        <v>0</v>
      </c>
      <c r="Q515" s="64">
        <f t="shared" ref="Q515:Q578" si="197">P515/3</f>
        <v>0</v>
      </c>
      <c r="S515" s="71">
        <f t="shared" ref="S515:S578" si="198">R515/3</f>
        <v>0</v>
      </c>
      <c r="U515" s="64">
        <f t="shared" ref="U515:U578" si="199">T515/3</f>
        <v>0</v>
      </c>
      <c r="W515" s="71">
        <f t="shared" ref="W515:W578" si="200">V515/4</f>
        <v>0</v>
      </c>
      <c r="Y515" s="71">
        <f t="shared" ref="Y515:Y578" si="201">X515/3</f>
        <v>0</v>
      </c>
      <c r="AA515" s="71">
        <f t="shared" ref="AA515:AA578" si="202">Z515/3</f>
        <v>0</v>
      </c>
      <c r="AC515" s="71">
        <f t="shared" ref="AC515:AC578" si="203">AB515/2</f>
        <v>0</v>
      </c>
      <c r="AK515" s="71">
        <f t="shared" ref="AK515:AK578" si="204">AJ515/2</f>
        <v>0</v>
      </c>
      <c r="AM515" s="71">
        <f t="shared" ref="AM515:AM578" si="205">AL515/3</f>
        <v>0</v>
      </c>
      <c r="AO515" s="71">
        <f t="shared" ref="AO515:AO578" si="206">AN515/3</f>
        <v>0</v>
      </c>
      <c r="AQ515" s="71">
        <f t="shared" ref="AQ515:AQ578" si="207">AP515/3</f>
        <v>0</v>
      </c>
      <c r="AT515" s="71">
        <f t="shared" ref="AT515:AT578" si="208">AS515/3</f>
        <v>0</v>
      </c>
      <c r="AV515" s="71">
        <f t="shared" ref="AV515:AV578" si="209">AU515/3</f>
        <v>0</v>
      </c>
      <c r="AX515" s="71">
        <f t="shared" ref="AX515:AX578" si="210">AW515/2</f>
        <v>0</v>
      </c>
      <c r="AZ515" s="71">
        <f t="shared" ref="AZ515:AZ578" si="211">AY515/3</f>
        <v>0</v>
      </c>
      <c r="BE515" s="102">
        <f t="shared" ref="BE515:BE578" si="212">SQRT((1-G515)^2 + (1-I515)^2 + (1-K515)^2 + (1-M515)^2 + (1-O515)^2 + (1-Q515)^2 + (1-S515)^2 + (1-U515)^2 + (1-W515)^2 + (1-Y515)^2 + (1-AA515)^2 + (1-AC515)^2 + (1-AK515)^2 + (1-AM515)^2 + (1-AO515)^2 + (1-AQ515)^2 + (1-AT515)^2 + (1-AV515)^2 + (1-AX515)^2 + (1-AZ515)^2)</f>
        <v>4.4721359549995796</v>
      </c>
      <c r="BF515" s="81">
        <f t="shared" ref="BF515:BF578" si="213">1 - (BE515 / 4.472135955)</f>
        <v>9.3924867883288243E-14</v>
      </c>
      <c r="BG515" s="81" t="str">
        <f t="shared" ref="BG515:BG578" si="214">IF(BF515&lt;=0.33, "BASSO", IF(BF515&lt;=0.66, "MEDIO", "ALTO"))</f>
        <v>BASSO</v>
      </c>
      <c r="BK515" s="81" t="str">
        <f t="shared" ref="BK515:BK578" si="215">IF(BF515&lt;0.3,"MOLTO BASSO",IF(BF515&lt;0.45,"BASSO",IF(BF515&lt;0.65,"MEDIO",IF(BF515&lt;0.8,"ALTO","MOLTO ALTO"))))</f>
        <v>MOLTO BASSO</v>
      </c>
    </row>
    <row r="516" spans="7:63" x14ac:dyDescent="0.15">
      <c r="G516" s="64">
        <f t="shared" si="192"/>
        <v>0</v>
      </c>
      <c r="I516" s="64">
        <f t="shared" si="193"/>
        <v>0</v>
      </c>
      <c r="K516" s="64">
        <f t="shared" si="194"/>
        <v>0</v>
      </c>
      <c r="M516" s="64">
        <f t="shared" si="195"/>
        <v>0</v>
      </c>
      <c r="O516" s="64">
        <f t="shared" si="196"/>
        <v>0</v>
      </c>
      <c r="Q516" s="64">
        <f t="shared" si="197"/>
        <v>0</v>
      </c>
      <c r="S516" s="71">
        <f t="shared" si="198"/>
        <v>0</v>
      </c>
      <c r="U516" s="64">
        <f t="shared" si="199"/>
        <v>0</v>
      </c>
      <c r="W516" s="71">
        <f t="shared" si="200"/>
        <v>0</v>
      </c>
      <c r="Y516" s="71">
        <f t="shared" si="201"/>
        <v>0</v>
      </c>
      <c r="AA516" s="71">
        <f t="shared" si="202"/>
        <v>0</v>
      </c>
      <c r="AC516" s="71">
        <f t="shared" si="203"/>
        <v>0</v>
      </c>
      <c r="AK516" s="71">
        <f t="shared" si="204"/>
        <v>0</v>
      </c>
      <c r="AM516" s="71">
        <f t="shared" si="205"/>
        <v>0</v>
      </c>
      <c r="AO516" s="71">
        <f t="shared" si="206"/>
        <v>0</v>
      </c>
      <c r="AQ516" s="71">
        <f t="shared" si="207"/>
        <v>0</v>
      </c>
      <c r="AT516" s="71">
        <f t="shared" si="208"/>
        <v>0</v>
      </c>
      <c r="AV516" s="71">
        <f t="shared" si="209"/>
        <v>0</v>
      </c>
      <c r="AX516" s="71">
        <f t="shared" si="210"/>
        <v>0</v>
      </c>
      <c r="AZ516" s="71">
        <f t="shared" si="211"/>
        <v>0</v>
      </c>
      <c r="BE516" s="102">
        <f t="shared" si="212"/>
        <v>4.4721359549995796</v>
      </c>
      <c r="BF516" s="81">
        <f t="shared" si="213"/>
        <v>9.3924867883288243E-14</v>
      </c>
      <c r="BG516" s="81" t="str">
        <f t="shared" si="214"/>
        <v>BASSO</v>
      </c>
      <c r="BK516" s="81" t="str">
        <f t="shared" si="215"/>
        <v>MOLTO BASSO</v>
      </c>
    </row>
    <row r="517" spans="7:63" x14ac:dyDescent="0.15">
      <c r="G517" s="64">
        <f t="shared" si="192"/>
        <v>0</v>
      </c>
      <c r="I517" s="64">
        <f t="shared" si="193"/>
        <v>0</v>
      </c>
      <c r="K517" s="64">
        <f t="shared" si="194"/>
        <v>0</v>
      </c>
      <c r="M517" s="64">
        <f t="shared" si="195"/>
        <v>0</v>
      </c>
      <c r="O517" s="64">
        <f t="shared" si="196"/>
        <v>0</v>
      </c>
      <c r="Q517" s="64">
        <f t="shared" si="197"/>
        <v>0</v>
      </c>
      <c r="S517" s="71">
        <f t="shared" si="198"/>
        <v>0</v>
      </c>
      <c r="U517" s="64">
        <f t="shared" si="199"/>
        <v>0</v>
      </c>
      <c r="W517" s="71">
        <f t="shared" si="200"/>
        <v>0</v>
      </c>
      <c r="Y517" s="71">
        <f t="shared" si="201"/>
        <v>0</v>
      </c>
      <c r="AA517" s="71">
        <f t="shared" si="202"/>
        <v>0</v>
      </c>
      <c r="AC517" s="71">
        <f t="shared" si="203"/>
        <v>0</v>
      </c>
      <c r="AK517" s="71">
        <f t="shared" si="204"/>
        <v>0</v>
      </c>
      <c r="AM517" s="71">
        <f t="shared" si="205"/>
        <v>0</v>
      </c>
      <c r="AO517" s="71">
        <f t="shared" si="206"/>
        <v>0</v>
      </c>
      <c r="AQ517" s="71">
        <f t="shared" si="207"/>
        <v>0</v>
      </c>
      <c r="AT517" s="71">
        <f t="shared" si="208"/>
        <v>0</v>
      </c>
      <c r="AV517" s="71">
        <f t="shared" si="209"/>
        <v>0</v>
      </c>
      <c r="AX517" s="71">
        <f t="shared" si="210"/>
        <v>0</v>
      </c>
      <c r="AZ517" s="71">
        <f t="shared" si="211"/>
        <v>0</v>
      </c>
      <c r="BE517" s="102">
        <f t="shared" si="212"/>
        <v>4.4721359549995796</v>
      </c>
      <c r="BF517" s="81">
        <f t="shared" si="213"/>
        <v>9.3924867883288243E-14</v>
      </c>
      <c r="BG517" s="81" t="str">
        <f t="shared" si="214"/>
        <v>BASSO</v>
      </c>
      <c r="BK517" s="81" t="str">
        <f t="shared" si="215"/>
        <v>MOLTO BASSO</v>
      </c>
    </row>
    <row r="518" spans="7:63" x14ac:dyDescent="0.15">
      <c r="G518" s="64">
        <f t="shared" si="192"/>
        <v>0</v>
      </c>
      <c r="I518" s="64">
        <f t="shared" si="193"/>
        <v>0</v>
      </c>
      <c r="K518" s="64">
        <f t="shared" si="194"/>
        <v>0</v>
      </c>
      <c r="M518" s="64">
        <f t="shared" si="195"/>
        <v>0</v>
      </c>
      <c r="O518" s="64">
        <f t="shared" si="196"/>
        <v>0</v>
      </c>
      <c r="Q518" s="64">
        <f t="shared" si="197"/>
        <v>0</v>
      </c>
      <c r="S518" s="71">
        <f t="shared" si="198"/>
        <v>0</v>
      </c>
      <c r="U518" s="64">
        <f t="shared" si="199"/>
        <v>0</v>
      </c>
      <c r="W518" s="71">
        <f t="shared" si="200"/>
        <v>0</v>
      </c>
      <c r="Y518" s="71">
        <f t="shared" si="201"/>
        <v>0</v>
      </c>
      <c r="AA518" s="71">
        <f t="shared" si="202"/>
        <v>0</v>
      </c>
      <c r="AC518" s="71">
        <f t="shared" si="203"/>
        <v>0</v>
      </c>
      <c r="AK518" s="71">
        <f t="shared" si="204"/>
        <v>0</v>
      </c>
      <c r="AM518" s="71">
        <f t="shared" si="205"/>
        <v>0</v>
      </c>
      <c r="AO518" s="71">
        <f t="shared" si="206"/>
        <v>0</v>
      </c>
      <c r="AQ518" s="71">
        <f t="shared" si="207"/>
        <v>0</v>
      </c>
      <c r="AT518" s="71">
        <f t="shared" si="208"/>
        <v>0</v>
      </c>
      <c r="AV518" s="71">
        <f t="shared" si="209"/>
        <v>0</v>
      </c>
      <c r="AX518" s="71">
        <f t="shared" si="210"/>
        <v>0</v>
      </c>
      <c r="AZ518" s="71">
        <f t="shared" si="211"/>
        <v>0</v>
      </c>
      <c r="BE518" s="102">
        <f t="shared" si="212"/>
        <v>4.4721359549995796</v>
      </c>
      <c r="BF518" s="81">
        <f t="shared" si="213"/>
        <v>9.3924867883288243E-14</v>
      </c>
      <c r="BG518" s="81" t="str">
        <f t="shared" si="214"/>
        <v>BASSO</v>
      </c>
      <c r="BK518" s="81" t="str">
        <f t="shared" si="215"/>
        <v>MOLTO BASSO</v>
      </c>
    </row>
    <row r="519" spans="7:63" x14ac:dyDescent="0.15">
      <c r="G519" s="64">
        <f t="shared" si="192"/>
        <v>0</v>
      </c>
      <c r="I519" s="64">
        <f t="shared" si="193"/>
        <v>0</v>
      </c>
      <c r="K519" s="64">
        <f t="shared" si="194"/>
        <v>0</v>
      </c>
      <c r="M519" s="64">
        <f t="shared" si="195"/>
        <v>0</v>
      </c>
      <c r="O519" s="64">
        <f t="shared" si="196"/>
        <v>0</v>
      </c>
      <c r="Q519" s="64">
        <f t="shared" si="197"/>
        <v>0</v>
      </c>
      <c r="S519" s="71">
        <f t="shared" si="198"/>
        <v>0</v>
      </c>
      <c r="U519" s="64">
        <f t="shared" si="199"/>
        <v>0</v>
      </c>
      <c r="W519" s="71">
        <f t="shared" si="200"/>
        <v>0</v>
      </c>
      <c r="Y519" s="71">
        <f t="shared" si="201"/>
        <v>0</v>
      </c>
      <c r="AA519" s="71">
        <f t="shared" si="202"/>
        <v>0</v>
      </c>
      <c r="AC519" s="71">
        <f t="shared" si="203"/>
        <v>0</v>
      </c>
      <c r="AK519" s="71">
        <f t="shared" si="204"/>
        <v>0</v>
      </c>
      <c r="AM519" s="71">
        <f t="shared" si="205"/>
        <v>0</v>
      </c>
      <c r="AO519" s="71">
        <f t="shared" si="206"/>
        <v>0</v>
      </c>
      <c r="AQ519" s="71">
        <f t="shared" si="207"/>
        <v>0</v>
      </c>
      <c r="AT519" s="71">
        <f t="shared" si="208"/>
        <v>0</v>
      </c>
      <c r="AV519" s="71">
        <f t="shared" si="209"/>
        <v>0</v>
      </c>
      <c r="AX519" s="71">
        <f t="shared" si="210"/>
        <v>0</v>
      </c>
      <c r="AZ519" s="71">
        <f t="shared" si="211"/>
        <v>0</v>
      </c>
      <c r="BE519" s="102">
        <f t="shared" si="212"/>
        <v>4.4721359549995796</v>
      </c>
      <c r="BF519" s="81">
        <f t="shared" si="213"/>
        <v>9.3924867883288243E-14</v>
      </c>
      <c r="BG519" s="81" t="str">
        <f t="shared" si="214"/>
        <v>BASSO</v>
      </c>
      <c r="BK519" s="81" t="str">
        <f t="shared" si="215"/>
        <v>MOLTO BASSO</v>
      </c>
    </row>
    <row r="520" spans="7:63" x14ac:dyDescent="0.15">
      <c r="G520" s="64">
        <f t="shared" si="192"/>
        <v>0</v>
      </c>
      <c r="I520" s="64">
        <f t="shared" si="193"/>
        <v>0</v>
      </c>
      <c r="K520" s="64">
        <f t="shared" si="194"/>
        <v>0</v>
      </c>
      <c r="M520" s="64">
        <f t="shared" si="195"/>
        <v>0</v>
      </c>
      <c r="O520" s="64">
        <f t="shared" si="196"/>
        <v>0</v>
      </c>
      <c r="Q520" s="64">
        <f t="shared" si="197"/>
        <v>0</v>
      </c>
      <c r="S520" s="71">
        <f t="shared" si="198"/>
        <v>0</v>
      </c>
      <c r="U520" s="64">
        <f t="shared" si="199"/>
        <v>0</v>
      </c>
      <c r="W520" s="71">
        <f t="shared" si="200"/>
        <v>0</v>
      </c>
      <c r="Y520" s="71">
        <f t="shared" si="201"/>
        <v>0</v>
      </c>
      <c r="AA520" s="71">
        <f t="shared" si="202"/>
        <v>0</v>
      </c>
      <c r="AC520" s="71">
        <f t="shared" si="203"/>
        <v>0</v>
      </c>
      <c r="AK520" s="71">
        <f t="shared" si="204"/>
        <v>0</v>
      </c>
      <c r="AM520" s="71">
        <f t="shared" si="205"/>
        <v>0</v>
      </c>
      <c r="AO520" s="71">
        <f t="shared" si="206"/>
        <v>0</v>
      </c>
      <c r="AQ520" s="71">
        <f t="shared" si="207"/>
        <v>0</v>
      </c>
      <c r="AT520" s="71">
        <f t="shared" si="208"/>
        <v>0</v>
      </c>
      <c r="AV520" s="71">
        <f t="shared" si="209"/>
        <v>0</v>
      </c>
      <c r="AX520" s="71">
        <f t="shared" si="210"/>
        <v>0</v>
      </c>
      <c r="AZ520" s="71">
        <f t="shared" si="211"/>
        <v>0</v>
      </c>
      <c r="BE520" s="102">
        <f t="shared" si="212"/>
        <v>4.4721359549995796</v>
      </c>
      <c r="BF520" s="81">
        <f t="shared" si="213"/>
        <v>9.3924867883288243E-14</v>
      </c>
      <c r="BG520" s="81" t="str">
        <f t="shared" si="214"/>
        <v>BASSO</v>
      </c>
      <c r="BK520" s="81" t="str">
        <f t="shared" si="215"/>
        <v>MOLTO BASSO</v>
      </c>
    </row>
    <row r="521" spans="7:63" x14ac:dyDescent="0.15">
      <c r="G521" s="64">
        <f t="shared" si="192"/>
        <v>0</v>
      </c>
      <c r="I521" s="64">
        <f t="shared" si="193"/>
        <v>0</v>
      </c>
      <c r="K521" s="64">
        <f t="shared" si="194"/>
        <v>0</v>
      </c>
      <c r="M521" s="64">
        <f t="shared" si="195"/>
        <v>0</v>
      </c>
      <c r="O521" s="64">
        <f t="shared" si="196"/>
        <v>0</v>
      </c>
      <c r="Q521" s="64">
        <f t="shared" si="197"/>
        <v>0</v>
      </c>
      <c r="S521" s="71">
        <f t="shared" si="198"/>
        <v>0</v>
      </c>
      <c r="U521" s="64">
        <f t="shared" si="199"/>
        <v>0</v>
      </c>
      <c r="W521" s="71">
        <f t="shared" si="200"/>
        <v>0</v>
      </c>
      <c r="Y521" s="71">
        <f t="shared" si="201"/>
        <v>0</v>
      </c>
      <c r="AA521" s="71">
        <f t="shared" si="202"/>
        <v>0</v>
      </c>
      <c r="AC521" s="71">
        <f t="shared" si="203"/>
        <v>0</v>
      </c>
      <c r="AK521" s="71">
        <f t="shared" si="204"/>
        <v>0</v>
      </c>
      <c r="AM521" s="71">
        <f t="shared" si="205"/>
        <v>0</v>
      </c>
      <c r="AO521" s="71">
        <f t="shared" si="206"/>
        <v>0</v>
      </c>
      <c r="AQ521" s="71">
        <f t="shared" si="207"/>
        <v>0</v>
      </c>
      <c r="AT521" s="71">
        <f t="shared" si="208"/>
        <v>0</v>
      </c>
      <c r="AV521" s="71">
        <f t="shared" si="209"/>
        <v>0</v>
      </c>
      <c r="AX521" s="71">
        <f t="shared" si="210"/>
        <v>0</v>
      </c>
      <c r="AZ521" s="71">
        <f t="shared" si="211"/>
        <v>0</v>
      </c>
      <c r="BE521" s="102">
        <f t="shared" si="212"/>
        <v>4.4721359549995796</v>
      </c>
      <c r="BF521" s="81">
        <f t="shared" si="213"/>
        <v>9.3924867883288243E-14</v>
      </c>
      <c r="BG521" s="81" t="str">
        <f t="shared" si="214"/>
        <v>BASSO</v>
      </c>
      <c r="BK521" s="81" t="str">
        <f t="shared" si="215"/>
        <v>MOLTO BASSO</v>
      </c>
    </row>
    <row r="522" spans="7:63" x14ac:dyDescent="0.15">
      <c r="G522" s="64">
        <f t="shared" si="192"/>
        <v>0</v>
      </c>
      <c r="I522" s="64">
        <f t="shared" si="193"/>
        <v>0</v>
      </c>
      <c r="K522" s="64">
        <f t="shared" si="194"/>
        <v>0</v>
      </c>
      <c r="M522" s="64">
        <f t="shared" si="195"/>
        <v>0</v>
      </c>
      <c r="O522" s="64">
        <f t="shared" si="196"/>
        <v>0</v>
      </c>
      <c r="Q522" s="64">
        <f t="shared" si="197"/>
        <v>0</v>
      </c>
      <c r="S522" s="71">
        <f t="shared" si="198"/>
        <v>0</v>
      </c>
      <c r="U522" s="64">
        <f t="shared" si="199"/>
        <v>0</v>
      </c>
      <c r="W522" s="71">
        <f t="shared" si="200"/>
        <v>0</v>
      </c>
      <c r="Y522" s="71">
        <f t="shared" si="201"/>
        <v>0</v>
      </c>
      <c r="AA522" s="71">
        <f t="shared" si="202"/>
        <v>0</v>
      </c>
      <c r="AC522" s="71">
        <f t="shared" si="203"/>
        <v>0</v>
      </c>
      <c r="AK522" s="71">
        <f t="shared" si="204"/>
        <v>0</v>
      </c>
      <c r="AM522" s="71">
        <f t="shared" si="205"/>
        <v>0</v>
      </c>
      <c r="AO522" s="71">
        <f t="shared" si="206"/>
        <v>0</v>
      </c>
      <c r="AQ522" s="71">
        <f t="shared" si="207"/>
        <v>0</v>
      </c>
      <c r="AT522" s="71">
        <f t="shared" si="208"/>
        <v>0</v>
      </c>
      <c r="AV522" s="71">
        <f t="shared" si="209"/>
        <v>0</v>
      </c>
      <c r="AX522" s="71">
        <f t="shared" si="210"/>
        <v>0</v>
      </c>
      <c r="AZ522" s="71">
        <f t="shared" si="211"/>
        <v>0</v>
      </c>
      <c r="BE522" s="102">
        <f t="shared" si="212"/>
        <v>4.4721359549995796</v>
      </c>
      <c r="BF522" s="81">
        <f t="shared" si="213"/>
        <v>9.3924867883288243E-14</v>
      </c>
      <c r="BG522" s="81" t="str">
        <f t="shared" si="214"/>
        <v>BASSO</v>
      </c>
      <c r="BK522" s="81" t="str">
        <f t="shared" si="215"/>
        <v>MOLTO BASSO</v>
      </c>
    </row>
    <row r="523" spans="7:63" x14ac:dyDescent="0.15">
      <c r="G523" s="64">
        <f t="shared" si="192"/>
        <v>0</v>
      </c>
      <c r="I523" s="64">
        <f t="shared" si="193"/>
        <v>0</v>
      </c>
      <c r="K523" s="64">
        <f t="shared" si="194"/>
        <v>0</v>
      </c>
      <c r="M523" s="64">
        <f t="shared" si="195"/>
        <v>0</v>
      </c>
      <c r="O523" s="64">
        <f t="shared" si="196"/>
        <v>0</v>
      </c>
      <c r="Q523" s="64">
        <f t="shared" si="197"/>
        <v>0</v>
      </c>
      <c r="S523" s="71">
        <f t="shared" si="198"/>
        <v>0</v>
      </c>
      <c r="U523" s="64">
        <f t="shared" si="199"/>
        <v>0</v>
      </c>
      <c r="W523" s="71">
        <f t="shared" si="200"/>
        <v>0</v>
      </c>
      <c r="Y523" s="71">
        <f t="shared" si="201"/>
        <v>0</v>
      </c>
      <c r="AA523" s="71">
        <f t="shared" si="202"/>
        <v>0</v>
      </c>
      <c r="AC523" s="71">
        <f t="shared" si="203"/>
        <v>0</v>
      </c>
      <c r="AK523" s="71">
        <f t="shared" si="204"/>
        <v>0</v>
      </c>
      <c r="AM523" s="71">
        <f t="shared" si="205"/>
        <v>0</v>
      </c>
      <c r="AO523" s="71">
        <f t="shared" si="206"/>
        <v>0</v>
      </c>
      <c r="AQ523" s="71">
        <f t="shared" si="207"/>
        <v>0</v>
      </c>
      <c r="AT523" s="71">
        <f t="shared" si="208"/>
        <v>0</v>
      </c>
      <c r="AV523" s="71">
        <f t="shared" si="209"/>
        <v>0</v>
      </c>
      <c r="AX523" s="71">
        <f t="shared" si="210"/>
        <v>0</v>
      </c>
      <c r="AZ523" s="71">
        <f t="shared" si="211"/>
        <v>0</v>
      </c>
      <c r="BE523" s="102">
        <f t="shared" si="212"/>
        <v>4.4721359549995796</v>
      </c>
      <c r="BF523" s="81">
        <f t="shared" si="213"/>
        <v>9.3924867883288243E-14</v>
      </c>
      <c r="BG523" s="81" t="str">
        <f t="shared" si="214"/>
        <v>BASSO</v>
      </c>
      <c r="BK523" s="81" t="str">
        <f t="shared" si="215"/>
        <v>MOLTO BASSO</v>
      </c>
    </row>
    <row r="524" spans="7:63" x14ac:dyDescent="0.15">
      <c r="G524" s="64">
        <f t="shared" si="192"/>
        <v>0</v>
      </c>
      <c r="I524" s="64">
        <f t="shared" si="193"/>
        <v>0</v>
      </c>
      <c r="K524" s="64">
        <f t="shared" si="194"/>
        <v>0</v>
      </c>
      <c r="M524" s="64">
        <f t="shared" si="195"/>
        <v>0</v>
      </c>
      <c r="O524" s="64">
        <f t="shared" si="196"/>
        <v>0</v>
      </c>
      <c r="Q524" s="64">
        <f t="shared" si="197"/>
        <v>0</v>
      </c>
      <c r="S524" s="71">
        <f t="shared" si="198"/>
        <v>0</v>
      </c>
      <c r="U524" s="64">
        <f t="shared" si="199"/>
        <v>0</v>
      </c>
      <c r="W524" s="71">
        <f t="shared" si="200"/>
        <v>0</v>
      </c>
      <c r="Y524" s="71">
        <f t="shared" si="201"/>
        <v>0</v>
      </c>
      <c r="AA524" s="71">
        <f t="shared" si="202"/>
        <v>0</v>
      </c>
      <c r="AC524" s="71">
        <f t="shared" si="203"/>
        <v>0</v>
      </c>
      <c r="AK524" s="71">
        <f t="shared" si="204"/>
        <v>0</v>
      </c>
      <c r="AM524" s="71">
        <f t="shared" si="205"/>
        <v>0</v>
      </c>
      <c r="AO524" s="71">
        <f t="shared" si="206"/>
        <v>0</v>
      </c>
      <c r="AQ524" s="71">
        <f t="shared" si="207"/>
        <v>0</v>
      </c>
      <c r="AT524" s="71">
        <f t="shared" si="208"/>
        <v>0</v>
      </c>
      <c r="AV524" s="71">
        <f t="shared" si="209"/>
        <v>0</v>
      </c>
      <c r="AX524" s="71">
        <f t="shared" si="210"/>
        <v>0</v>
      </c>
      <c r="AZ524" s="71">
        <f t="shared" si="211"/>
        <v>0</v>
      </c>
      <c r="BE524" s="102">
        <f t="shared" si="212"/>
        <v>4.4721359549995796</v>
      </c>
      <c r="BF524" s="81">
        <f t="shared" si="213"/>
        <v>9.3924867883288243E-14</v>
      </c>
      <c r="BG524" s="81" t="str">
        <f t="shared" si="214"/>
        <v>BASSO</v>
      </c>
      <c r="BK524" s="81" t="str">
        <f t="shared" si="215"/>
        <v>MOLTO BASSO</v>
      </c>
    </row>
    <row r="525" spans="7:63" x14ac:dyDescent="0.15">
      <c r="G525" s="64">
        <f t="shared" si="192"/>
        <v>0</v>
      </c>
      <c r="I525" s="64">
        <f t="shared" si="193"/>
        <v>0</v>
      </c>
      <c r="K525" s="64">
        <f t="shared" si="194"/>
        <v>0</v>
      </c>
      <c r="M525" s="64">
        <f t="shared" si="195"/>
        <v>0</v>
      </c>
      <c r="O525" s="64">
        <f t="shared" si="196"/>
        <v>0</v>
      </c>
      <c r="Q525" s="64">
        <f t="shared" si="197"/>
        <v>0</v>
      </c>
      <c r="S525" s="71">
        <f t="shared" si="198"/>
        <v>0</v>
      </c>
      <c r="U525" s="64">
        <f t="shared" si="199"/>
        <v>0</v>
      </c>
      <c r="W525" s="71">
        <f t="shared" si="200"/>
        <v>0</v>
      </c>
      <c r="Y525" s="71">
        <f t="shared" si="201"/>
        <v>0</v>
      </c>
      <c r="AA525" s="71">
        <f t="shared" si="202"/>
        <v>0</v>
      </c>
      <c r="AC525" s="71">
        <f t="shared" si="203"/>
        <v>0</v>
      </c>
      <c r="AK525" s="71">
        <f t="shared" si="204"/>
        <v>0</v>
      </c>
      <c r="AM525" s="71">
        <f t="shared" si="205"/>
        <v>0</v>
      </c>
      <c r="AO525" s="71">
        <f t="shared" si="206"/>
        <v>0</v>
      </c>
      <c r="AQ525" s="71">
        <f t="shared" si="207"/>
        <v>0</v>
      </c>
      <c r="AT525" s="71">
        <f t="shared" si="208"/>
        <v>0</v>
      </c>
      <c r="AV525" s="71">
        <f t="shared" si="209"/>
        <v>0</v>
      </c>
      <c r="AX525" s="71">
        <f t="shared" si="210"/>
        <v>0</v>
      </c>
      <c r="AZ525" s="71">
        <f t="shared" si="211"/>
        <v>0</v>
      </c>
      <c r="BE525" s="102">
        <f t="shared" si="212"/>
        <v>4.4721359549995796</v>
      </c>
      <c r="BF525" s="81">
        <f t="shared" si="213"/>
        <v>9.3924867883288243E-14</v>
      </c>
      <c r="BG525" s="81" t="str">
        <f t="shared" si="214"/>
        <v>BASSO</v>
      </c>
      <c r="BK525" s="81" t="str">
        <f t="shared" si="215"/>
        <v>MOLTO BASSO</v>
      </c>
    </row>
    <row r="526" spans="7:63" x14ac:dyDescent="0.15">
      <c r="G526" s="64">
        <f t="shared" si="192"/>
        <v>0</v>
      </c>
      <c r="I526" s="64">
        <f t="shared" si="193"/>
        <v>0</v>
      </c>
      <c r="K526" s="64">
        <f t="shared" si="194"/>
        <v>0</v>
      </c>
      <c r="M526" s="64">
        <f t="shared" si="195"/>
        <v>0</v>
      </c>
      <c r="O526" s="64">
        <f t="shared" si="196"/>
        <v>0</v>
      </c>
      <c r="Q526" s="64">
        <f t="shared" si="197"/>
        <v>0</v>
      </c>
      <c r="S526" s="71">
        <f t="shared" si="198"/>
        <v>0</v>
      </c>
      <c r="U526" s="64">
        <f t="shared" si="199"/>
        <v>0</v>
      </c>
      <c r="W526" s="71">
        <f t="shared" si="200"/>
        <v>0</v>
      </c>
      <c r="Y526" s="71">
        <f t="shared" si="201"/>
        <v>0</v>
      </c>
      <c r="AA526" s="71">
        <f t="shared" si="202"/>
        <v>0</v>
      </c>
      <c r="AC526" s="71">
        <f t="shared" si="203"/>
        <v>0</v>
      </c>
      <c r="AK526" s="71">
        <f t="shared" si="204"/>
        <v>0</v>
      </c>
      <c r="AM526" s="71">
        <f t="shared" si="205"/>
        <v>0</v>
      </c>
      <c r="AO526" s="71">
        <f t="shared" si="206"/>
        <v>0</v>
      </c>
      <c r="AQ526" s="71">
        <f t="shared" si="207"/>
        <v>0</v>
      </c>
      <c r="AT526" s="71">
        <f t="shared" si="208"/>
        <v>0</v>
      </c>
      <c r="AV526" s="71">
        <f t="shared" si="209"/>
        <v>0</v>
      </c>
      <c r="AX526" s="71">
        <f t="shared" si="210"/>
        <v>0</v>
      </c>
      <c r="AZ526" s="71">
        <f t="shared" si="211"/>
        <v>0</v>
      </c>
      <c r="BE526" s="102">
        <f t="shared" si="212"/>
        <v>4.4721359549995796</v>
      </c>
      <c r="BF526" s="81">
        <f t="shared" si="213"/>
        <v>9.3924867883288243E-14</v>
      </c>
      <c r="BG526" s="81" t="str">
        <f t="shared" si="214"/>
        <v>BASSO</v>
      </c>
      <c r="BK526" s="81" t="str">
        <f t="shared" si="215"/>
        <v>MOLTO BASSO</v>
      </c>
    </row>
    <row r="527" spans="7:63" x14ac:dyDescent="0.15">
      <c r="G527" s="64">
        <f t="shared" si="192"/>
        <v>0</v>
      </c>
      <c r="I527" s="64">
        <f t="shared" si="193"/>
        <v>0</v>
      </c>
      <c r="K527" s="64">
        <f t="shared" si="194"/>
        <v>0</v>
      </c>
      <c r="M527" s="64">
        <f t="shared" si="195"/>
        <v>0</v>
      </c>
      <c r="O527" s="64">
        <f t="shared" si="196"/>
        <v>0</v>
      </c>
      <c r="Q527" s="64">
        <f t="shared" si="197"/>
        <v>0</v>
      </c>
      <c r="S527" s="71">
        <f t="shared" si="198"/>
        <v>0</v>
      </c>
      <c r="U527" s="64">
        <f t="shared" si="199"/>
        <v>0</v>
      </c>
      <c r="W527" s="71">
        <f t="shared" si="200"/>
        <v>0</v>
      </c>
      <c r="Y527" s="71">
        <f t="shared" si="201"/>
        <v>0</v>
      </c>
      <c r="AA527" s="71">
        <f t="shared" si="202"/>
        <v>0</v>
      </c>
      <c r="AC527" s="71">
        <f t="shared" si="203"/>
        <v>0</v>
      </c>
      <c r="AK527" s="71">
        <f t="shared" si="204"/>
        <v>0</v>
      </c>
      <c r="AM527" s="71">
        <f t="shared" si="205"/>
        <v>0</v>
      </c>
      <c r="AO527" s="71">
        <f t="shared" si="206"/>
        <v>0</v>
      </c>
      <c r="AQ527" s="71">
        <f t="shared" si="207"/>
        <v>0</v>
      </c>
      <c r="AT527" s="71">
        <f t="shared" si="208"/>
        <v>0</v>
      </c>
      <c r="AV527" s="71">
        <f t="shared" si="209"/>
        <v>0</v>
      </c>
      <c r="AX527" s="71">
        <f t="shared" si="210"/>
        <v>0</v>
      </c>
      <c r="AZ527" s="71">
        <f t="shared" si="211"/>
        <v>0</v>
      </c>
      <c r="BE527" s="102">
        <f t="shared" si="212"/>
        <v>4.4721359549995796</v>
      </c>
      <c r="BF527" s="81">
        <f t="shared" si="213"/>
        <v>9.3924867883288243E-14</v>
      </c>
      <c r="BG527" s="81" t="str">
        <f t="shared" si="214"/>
        <v>BASSO</v>
      </c>
      <c r="BK527" s="81" t="str">
        <f t="shared" si="215"/>
        <v>MOLTO BASSO</v>
      </c>
    </row>
    <row r="528" spans="7:63" x14ac:dyDescent="0.15">
      <c r="G528" s="64">
        <f t="shared" si="192"/>
        <v>0</v>
      </c>
      <c r="I528" s="64">
        <f t="shared" si="193"/>
        <v>0</v>
      </c>
      <c r="K528" s="64">
        <f t="shared" si="194"/>
        <v>0</v>
      </c>
      <c r="M528" s="64">
        <f t="shared" si="195"/>
        <v>0</v>
      </c>
      <c r="O528" s="64">
        <f t="shared" si="196"/>
        <v>0</v>
      </c>
      <c r="Q528" s="64">
        <f t="shared" si="197"/>
        <v>0</v>
      </c>
      <c r="S528" s="71">
        <f t="shared" si="198"/>
        <v>0</v>
      </c>
      <c r="U528" s="64">
        <f t="shared" si="199"/>
        <v>0</v>
      </c>
      <c r="W528" s="71">
        <f t="shared" si="200"/>
        <v>0</v>
      </c>
      <c r="Y528" s="71">
        <f t="shared" si="201"/>
        <v>0</v>
      </c>
      <c r="AA528" s="71">
        <f t="shared" si="202"/>
        <v>0</v>
      </c>
      <c r="AC528" s="71">
        <f t="shared" si="203"/>
        <v>0</v>
      </c>
      <c r="AK528" s="71">
        <f t="shared" si="204"/>
        <v>0</v>
      </c>
      <c r="AM528" s="71">
        <f t="shared" si="205"/>
        <v>0</v>
      </c>
      <c r="AO528" s="71">
        <f t="shared" si="206"/>
        <v>0</v>
      </c>
      <c r="AQ528" s="71">
        <f t="shared" si="207"/>
        <v>0</v>
      </c>
      <c r="AT528" s="71">
        <f t="shared" si="208"/>
        <v>0</v>
      </c>
      <c r="AV528" s="71">
        <f t="shared" si="209"/>
        <v>0</v>
      </c>
      <c r="AX528" s="71">
        <f t="shared" si="210"/>
        <v>0</v>
      </c>
      <c r="AZ528" s="71">
        <f t="shared" si="211"/>
        <v>0</v>
      </c>
      <c r="BE528" s="102">
        <f t="shared" si="212"/>
        <v>4.4721359549995796</v>
      </c>
      <c r="BF528" s="81">
        <f t="shared" si="213"/>
        <v>9.3924867883288243E-14</v>
      </c>
      <c r="BG528" s="81" t="str">
        <f t="shared" si="214"/>
        <v>BASSO</v>
      </c>
      <c r="BK528" s="81" t="str">
        <f t="shared" si="215"/>
        <v>MOLTO BASSO</v>
      </c>
    </row>
    <row r="529" spans="7:63" x14ac:dyDescent="0.15">
      <c r="G529" s="64">
        <f t="shared" si="192"/>
        <v>0</v>
      </c>
      <c r="I529" s="64">
        <f t="shared" si="193"/>
        <v>0</v>
      </c>
      <c r="K529" s="64">
        <f t="shared" si="194"/>
        <v>0</v>
      </c>
      <c r="M529" s="64">
        <f t="shared" si="195"/>
        <v>0</v>
      </c>
      <c r="O529" s="64">
        <f t="shared" si="196"/>
        <v>0</v>
      </c>
      <c r="Q529" s="64">
        <f t="shared" si="197"/>
        <v>0</v>
      </c>
      <c r="S529" s="71">
        <f t="shared" si="198"/>
        <v>0</v>
      </c>
      <c r="U529" s="64">
        <f t="shared" si="199"/>
        <v>0</v>
      </c>
      <c r="W529" s="71">
        <f t="shared" si="200"/>
        <v>0</v>
      </c>
      <c r="Y529" s="71">
        <f t="shared" si="201"/>
        <v>0</v>
      </c>
      <c r="AA529" s="71">
        <f t="shared" si="202"/>
        <v>0</v>
      </c>
      <c r="AC529" s="71">
        <f t="shared" si="203"/>
        <v>0</v>
      </c>
      <c r="AK529" s="71">
        <f t="shared" si="204"/>
        <v>0</v>
      </c>
      <c r="AM529" s="71">
        <f t="shared" si="205"/>
        <v>0</v>
      </c>
      <c r="AO529" s="71">
        <f t="shared" si="206"/>
        <v>0</v>
      </c>
      <c r="AQ529" s="71">
        <f t="shared" si="207"/>
        <v>0</v>
      </c>
      <c r="AT529" s="71">
        <f t="shared" si="208"/>
        <v>0</v>
      </c>
      <c r="AV529" s="71">
        <f t="shared" si="209"/>
        <v>0</v>
      </c>
      <c r="AX529" s="71">
        <f t="shared" si="210"/>
        <v>0</v>
      </c>
      <c r="AZ529" s="71">
        <f t="shared" si="211"/>
        <v>0</v>
      </c>
      <c r="BE529" s="102">
        <f t="shared" si="212"/>
        <v>4.4721359549995796</v>
      </c>
      <c r="BF529" s="81">
        <f t="shared" si="213"/>
        <v>9.3924867883288243E-14</v>
      </c>
      <c r="BG529" s="81" t="str">
        <f t="shared" si="214"/>
        <v>BASSO</v>
      </c>
      <c r="BK529" s="81" t="str">
        <f t="shared" si="215"/>
        <v>MOLTO BASSO</v>
      </c>
    </row>
    <row r="530" spans="7:63" x14ac:dyDescent="0.15">
      <c r="G530" s="64">
        <f t="shared" si="192"/>
        <v>0</v>
      </c>
      <c r="I530" s="64">
        <f t="shared" si="193"/>
        <v>0</v>
      </c>
      <c r="K530" s="64">
        <f t="shared" si="194"/>
        <v>0</v>
      </c>
      <c r="M530" s="64">
        <f t="shared" si="195"/>
        <v>0</v>
      </c>
      <c r="O530" s="64">
        <f t="shared" si="196"/>
        <v>0</v>
      </c>
      <c r="Q530" s="64">
        <f t="shared" si="197"/>
        <v>0</v>
      </c>
      <c r="S530" s="71">
        <f t="shared" si="198"/>
        <v>0</v>
      </c>
      <c r="U530" s="64">
        <f t="shared" si="199"/>
        <v>0</v>
      </c>
      <c r="W530" s="71">
        <f t="shared" si="200"/>
        <v>0</v>
      </c>
      <c r="Y530" s="71">
        <f t="shared" si="201"/>
        <v>0</v>
      </c>
      <c r="AA530" s="71">
        <f t="shared" si="202"/>
        <v>0</v>
      </c>
      <c r="AC530" s="71">
        <f t="shared" si="203"/>
        <v>0</v>
      </c>
      <c r="AK530" s="71">
        <f t="shared" si="204"/>
        <v>0</v>
      </c>
      <c r="AM530" s="71">
        <f t="shared" si="205"/>
        <v>0</v>
      </c>
      <c r="AO530" s="71">
        <f t="shared" si="206"/>
        <v>0</v>
      </c>
      <c r="AQ530" s="71">
        <f t="shared" si="207"/>
        <v>0</v>
      </c>
      <c r="AT530" s="71">
        <f t="shared" si="208"/>
        <v>0</v>
      </c>
      <c r="AV530" s="71">
        <f t="shared" si="209"/>
        <v>0</v>
      </c>
      <c r="AX530" s="71">
        <f t="shared" si="210"/>
        <v>0</v>
      </c>
      <c r="AZ530" s="71">
        <f t="shared" si="211"/>
        <v>0</v>
      </c>
      <c r="BE530" s="102">
        <f t="shared" si="212"/>
        <v>4.4721359549995796</v>
      </c>
      <c r="BF530" s="81">
        <f t="shared" si="213"/>
        <v>9.3924867883288243E-14</v>
      </c>
      <c r="BG530" s="81" t="str">
        <f t="shared" si="214"/>
        <v>BASSO</v>
      </c>
      <c r="BK530" s="81" t="str">
        <f t="shared" si="215"/>
        <v>MOLTO BASSO</v>
      </c>
    </row>
    <row r="531" spans="7:63" x14ac:dyDescent="0.15">
      <c r="G531" s="64">
        <f t="shared" si="192"/>
        <v>0</v>
      </c>
      <c r="I531" s="64">
        <f t="shared" si="193"/>
        <v>0</v>
      </c>
      <c r="K531" s="64">
        <f t="shared" si="194"/>
        <v>0</v>
      </c>
      <c r="M531" s="64">
        <f t="shared" si="195"/>
        <v>0</v>
      </c>
      <c r="O531" s="64">
        <f t="shared" si="196"/>
        <v>0</v>
      </c>
      <c r="Q531" s="64">
        <f t="shared" si="197"/>
        <v>0</v>
      </c>
      <c r="S531" s="71">
        <f t="shared" si="198"/>
        <v>0</v>
      </c>
      <c r="U531" s="64">
        <f t="shared" si="199"/>
        <v>0</v>
      </c>
      <c r="W531" s="71">
        <f t="shared" si="200"/>
        <v>0</v>
      </c>
      <c r="Y531" s="71">
        <f t="shared" si="201"/>
        <v>0</v>
      </c>
      <c r="AA531" s="71">
        <f t="shared" si="202"/>
        <v>0</v>
      </c>
      <c r="AC531" s="71">
        <f t="shared" si="203"/>
        <v>0</v>
      </c>
      <c r="AK531" s="71">
        <f t="shared" si="204"/>
        <v>0</v>
      </c>
      <c r="AM531" s="71">
        <f t="shared" si="205"/>
        <v>0</v>
      </c>
      <c r="AO531" s="71">
        <f t="shared" si="206"/>
        <v>0</v>
      </c>
      <c r="AQ531" s="71">
        <f t="shared" si="207"/>
        <v>0</v>
      </c>
      <c r="AT531" s="71">
        <f t="shared" si="208"/>
        <v>0</v>
      </c>
      <c r="AV531" s="71">
        <f t="shared" si="209"/>
        <v>0</v>
      </c>
      <c r="AX531" s="71">
        <f t="shared" si="210"/>
        <v>0</v>
      </c>
      <c r="AZ531" s="71">
        <f t="shared" si="211"/>
        <v>0</v>
      </c>
      <c r="BE531" s="102">
        <f t="shared" si="212"/>
        <v>4.4721359549995796</v>
      </c>
      <c r="BF531" s="81">
        <f t="shared" si="213"/>
        <v>9.3924867883288243E-14</v>
      </c>
      <c r="BG531" s="81" t="str">
        <f t="shared" si="214"/>
        <v>BASSO</v>
      </c>
      <c r="BK531" s="81" t="str">
        <f t="shared" si="215"/>
        <v>MOLTO BASSO</v>
      </c>
    </row>
    <row r="532" spans="7:63" x14ac:dyDescent="0.15">
      <c r="G532" s="64">
        <f t="shared" si="192"/>
        <v>0</v>
      </c>
      <c r="I532" s="64">
        <f t="shared" si="193"/>
        <v>0</v>
      </c>
      <c r="K532" s="64">
        <f t="shared" si="194"/>
        <v>0</v>
      </c>
      <c r="M532" s="64">
        <f t="shared" si="195"/>
        <v>0</v>
      </c>
      <c r="O532" s="64">
        <f t="shared" si="196"/>
        <v>0</v>
      </c>
      <c r="Q532" s="64">
        <f t="shared" si="197"/>
        <v>0</v>
      </c>
      <c r="S532" s="71">
        <f t="shared" si="198"/>
        <v>0</v>
      </c>
      <c r="U532" s="64">
        <f t="shared" si="199"/>
        <v>0</v>
      </c>
      <c r="W532" s="71">
        <f t="shared" si="200"/>
        <v>0</v>
      </c>
      <c r="Y532" s="71">
        <f t="shared" si="201"/>
        <v>0</v>
      </c>
      <c r="AA532" s="71">
        <f t="shared" si="202"/>
        <v>0</v>
      </c>
      <c r="AC532" s="71">
        <f t="shared" si="203"/>
        <v>0</v>
      </c>
      <c r="AK532" s="71">
        <f t="shared" si="204"/>
        <v>0</v>
      </c>
      <c r="AM532" s="71">
        <f t="shared" si="205"/>
        <v>0</v>
      </c>
      <c r="AO532" s="71">
        <f t="shared" si="206"/>
        <v>0</v>
      </c>
      <c r="AQ532" s="71">
        <f t="shared" si="207"/>
        <v>0</v>
      </c>
      <c r="AT532" s="71">
        <f t="shared" si="208"/>
        <v>0</v>
      </c>
      <c r="AV532" s="71">
        <f t="shared" si="209"/>
        <v>0</v>
      </c>
      <c r="AX532" s="71">
        <f t="shared" si="210"/>
        <v>0</v>
      </c>
      <c r="AZ532" s="71">
        <f t="shared" si="211"/>
        <v>0</v>
      </c>
      <c r="BE532" s="102">
        <f t="shared" si="212"/>
        <v>4.4721359549995796</v>
      </c>
      <c r="BF532" s="81">
        <f t="shared" si="213"/>
        <v>9.3924867883288243E-14</v>
      </c>
      <c r="BG532" s="81" t="str">
        <f t="shared" si="214"/>
        <v>BASSO</v>
      </c>
      <c r="BK532" s="81" t="str">
        <f t="shared" si="215"/>
        <v>MOLTO BASSO</v>
      </c>
    </row>
    <row r="533" spans="7:63" x14ac:dyDescent="0.15">
      <c r="G533" s="64">
        <f t="shared" si="192"/>
        <v>0</v>
      </c>
      <c r="I533" s="64">
        <f t="shared" si="193"/>
        <v>0</v>
      </c>
      <c r="K533" s="64">
        <f t="shared" si="194"/>
        <v>0</v>
      </c>
      <c r="M533" s="64">
        <f t="shared" si="195"/>
        <v>0</v>
      </c>
      <c r="O533" s="64">
        <f t="shared" si="196"/>
        <v>0</v>
      </c>
      <c r="Q533" s="64">
        <f t="shared" si="197"/>
        <v>0</v>
      </c>
      <c r="S533" s="71">
        <f t="shared" si="198"/>
        <v>0</v>
      </c>
      <c r="U533" s="64">
        <f t="shared" si="199"/>
        <v>0</v>
      </c>
      <c r="W533" s="71">
        <f t="shared" si="200"/>
        <v>0</v>
      </c>
      <c r="Y533" s="71">
        <f t="shared" si="201"/>
        <v>0</v>
      </c>
      <c r="AA533" s="71">
        <f t="shared" si="202"/>
        <v>0</v>
      </c>
      <c r="AC533" s="71">
        <f t="shared" si="203"/>
        <v>0</v>
      </c>
      <c r="AK533" s="71">
        <f t="shared" si="204"/>
        <v>0</v>
      </c>
      <c r="AM533" s="71">
        <f t="shared" si="205"/>
        <v>0</v>
      </c>
      <c r="AO533" s="71">
        <f t="shared" si="206"/>
        <v>0</v>
      </c>
      <c r="AQ533" s="71">
        <f t="shared" si="207"/>
        <v>0</v>
      </c>
      <c r="AT533" s="71">
        <f t="shared" si="208"/>
        <v>0</v>
      </c>
      <c r="AV533" s="71">
        <f t="shared" si="209"/>
        <v>0</v>
      </c>
      <c r="AX533" s="71">
        <f t="shared" si="210"/>
        <v>0</v>
      </c>
      <c r="AZ533" s="71">
        <f t="shared" si="211"/>
        <v>0</v>
      </c>
      <c r="BE533" s="102">
        <f t="shared" si="212"/>
        <v>4.4721359549995796</v>
      </c>
      <c r="BF533" s="81">
        <f t="shared" si="213"/>
        <v>9.3924867883288243E-14</v>
      </c>
      <c r="BG533" s="81" t="str">
        <f t="shared" si="214"/>
        <v>BASSO</v>
      </c>
      <c r="BK533" s="81" t="str">
        <f t="shared" si="215"/>
        <v>MOLTO BASSO</v>
      </c>
    </row>
    <row r="534" spans="7:63" x14ac:dyDescent="0.15">
      <c r="G534" s="64">
        <f t="shared" si="192"/>
        <v>0</v>
      </c>
      <c r="I534" s="64">
        <f t="shared" si="193"/>
        <v>0</v>
      </c>
      <c r="K534" s="64">
        <f t="shared" si="194"/>
        <v>0</v>
      </c>
      <c r="M534" s="64">
        <f t="shared" si="195"/>
        <v>0</v>
      </c>
      <c r="O534" s="64">
        <f t="shared" si="196"/>
        <v>0</v>
      </c>
      <c r="Q534" s="64">
        <f t="shared" si="197"/>
        <v>0</v>
      </c>
      <c r="S534" s="71">
        <f t="shared" si="198"/>
        <v>0</v>
      </c>
      <c r="U534" s="64">
        <f t="shared" si="199"/>
        <v>0</v>
      </c>
      <c r="W534" s="71">
        <f t="shared" si="200"/>
        <v>0</v>
      </c>
      <c r="Y534" s="71">
        <f t="shared" si="201"/>
        <v>0</v>
      </c>
      <c r="AA534" s="71">
        <f t="shared" si="202"/>
        <v>0</v>
      </c>
      <c r="AC534" s="71">
        <f t="shared" si="203"/>
        <v>0</v>
      </c>
      <c r="AK534" s="71">
        <f t="shared" si="204"/>
        <v>0</v>
      </c>
      <c r="AM534" s="71">
        <f t="shared" si="205"/>
        <v>0</v>
      </c>
      <c r="AO534" s="71">
        <f t="shared" si="206"/>
        <v>0</v>
      </c>
      <c r="AQ534" s="71">
        <f t="shared" si="207"/>
        <v>0</v>
      </c>
      <c r="AT534" s="71">
        <f t="shared" si="208"/>
        <v>0</v>
      </c>
      <c r="AV534" s="71">
        <f t="shared" si="209"/>
        <v>0</v>
      </c>
      <c r="AX534" s="71">
        <f t="shared" si="210"/>
        <v>0</v>
      </c>
      <c r="AZ534" s="71">
        <f t="shared" si="211"/>
        <v>0</v>
      </c>
      <c r="BE534" s="102">
        <f t="shared" si="212"/>
        <v>4.4721359549995796</v>
      </c>
      <c r="BF534" s="81">
        <f t="shared" si="213"/>
        <v>9.3924867883288243E-14</v>
      </c>
      <c r="BG534" s="81" t="str">
        <f t="shared" si="214"/>
        <v>BASSO</v>
      </c>
      <c r="BK534" s="81" t="str">
        <f t="shared" si="215"/>
        <v>MOLTO BASSO</v>
      </c>
    </row>
    <row r="535" spans="7:63" x14ac:dyDescent="0.15">
      <c r="G535" s="64">
        <f t="shared" si="192"/>
        <v>0</v>
      </c>
      <c r="I535" s="64">
        <f t="shared" si="193"/>
        <v>0</v>
      </c>
      <c r="K535" s="64">
        <f t="shared" si="194"/>
        <v>0</v>
      </c>
      <c r="M535" s="64">
        <f t="shared" si="195"/>
        <v>0</v>
      </c>
      <c r="O535" s="64">
        <f t="shared" si="196"/>
        <v>0</v>
      </c>
      <c r="Q535" s="64">
        <f t="shared" si="197"/>
        <v>0</v>
      </c>
      <c r="S535" s="71">
        <f t="shared" si="198"/>
        <v>0</v>
      </c>
      <c r="U535" s="64">
        <f t="shared" si="199"/>
        <v>0</v>
      </c>
      <c r="W535" s="71">
        <f t="shared" si="200"/>
        <v>0</v>
      </c>
      <c r="Y535" s="71">
        <f t="shared" si="201"/>
        <v>0</v>
      </c>
      <c r="AA535" s="71">
        <f t="shared" si="202"/>
        <v>0</v>
      </c>
      <c r="AC535" s="71">
        <f t="shared" si="203"/>
        <v>0</v>
      </c>
      <c r="AK535" s="71">
        <f t="shared" si="204"/>
        <v>0</v>
      </c>
      <c r="AM535" s="71">
        <f t="shared" si="205"/>
        <v>0</v>
      </c>
      <c r="AO535" s="71">
        <f t="shared" si="206"/>
        <v>0</v>
      </c>
      <c r="AQ535" s="71">
        <f t="shared" si="207"/>
        <v>0</v>
      </c>
      <c r="AT535" s="71">
        <f t="shared" si="208"/>
        <v>0</v>
      </c>
      <c r="AV535" s="71">
        <f t="shared" si="209"/>
        <v>0</v>
      </c>
      <c r="AX535" s="71">
        <f t="shared" si="210"/>
        <v>0</v>
      </c>
      <c r="AZ535" s="71">
        <f t="shared" si="211"/>
        <v>0</v>
      </c>
      <c r="BE535" s="102">
        <f t="shared" si="212"/>
        <v>4.4721359549995796</v>
      </c>
      <c r="BF535" s="81">
        <f t="shared" si="213"/>
        <v>9.3924867883288243E-14</v>
      </c>
      <c r="BG535" s="81" t="str">
        <f t="shared" si="214"/>
        <v>BASSO</v>
      </c>
      <c r="BK535" s="81" t="str">
        <f t="shared" si="215"/>
        <v>MOLTO BASSO</v>
      </c>
    </row>
    <row r="536" spans="7:63" x14ac:dyDescent="0.15">
      <c r="G536" s="64">
        <f t="shared" si="192"/>
        <v>0</v>
      </c>
      <c r="I536" s="64">
        <f t="shared" si="193"/>
        <v>0</v>
      </c>
      <c r="K536" s="64">
        <f t="shared" si="194"/>
        <v>0</v>
      </c>
      <c r="M536" s="64">
        <f t="shared" si="195"/>
        <v>0</v>
      </c>
      <c r="O536" s="64">
        <f t="shared" si="196"/>
        <v>0</v>
      </c>
      <c r="Q536" s="64">
        <f t="shared" si="197"/>
        <v>0</v>
      </c>
      <c r="S536" s="71">
        <f t="shared" si="198"/>
        <v>0</v>
      </c>
      <c r="U536" s="64">
        <f t="shared" si="199"/>
        <v>0</v>
      </c>
      <c r="W536" s="71">
        <f t="shared" si="200"/>
        <v>0</v>
      </c>
      <c r="Y536" s="71">
        <f t="shared" si="201"/>
        <v>0</v>
      </c>
      <c r="AA536" s="71">
        <f t="shared" si="202"/>
        <v>0</v>
      </c>
      <c r="AC536" s="71">
        <f t="shared" si="203"/>
        <v>0</v>
      </c>
      <c r="AK536" s="71">
        <f t="shared" si="204"/>
        <v>0</v>
      </c>
      <c r="AM536" s="71">
        <f t="shared" si="205"/>
        <v>0</v>
      </c>
      <c r="AO536" s="71">
        <f t="shared" si="206"/>
        <v>0</v>
      </c>
      <c r="AQ536" s="71">
        <f t="shared" si="207"/>
        <v>0</v>
      </c>
      <c r="AT536" s="71">
        <f t="shared" si="208"/>
        <v>0</v>
      </c>
      <c r="AV536" s="71">
        <f t="shared" si="209"/>
        <v>0</v>
      </c>
      <c r="AX536" s="71">
        <f t="shared" si="210"/>
        <v>0</v>
      </c>
      <c r="AZ536" s="71">
        <f t="shared" si="211"/>
        <v>0</v>
      </c>
      <c r="BE536" s="102">
        <f t="shared" si="212"/>
        <v>4.4721359549995796</v>
      </c>
      <c r="BF536" s="81">
        <f t="shared" si="213"/>
        <v>9.3924867883288243E-14</v>
      </c>
      <c r="BG536" s="81" t="str">
        <f t="shared" si="214"/>
        <v>BASSO</v>
      </c>
      <c r="BK536" s="81" t="str">
        <f t="shared" si="215"/>
        <v>MOLTO BASSO</v>
      </c>
    </row>
    <row r="537" spans="7:63" x14ac:dyDescent="0.15">
      <c r="G537" s="64">
        <f t="shared" si="192"/>
        <v>0</v>
      </c>
      <c r="I537" s="64">
        <f t="shared" si="193"/>
        <v>0</v>
      </c>
      <c r="K537" s="64">
        <f t="shared" si="194"/>
        <v>0</v>
      </c>
      <c r="M537" s="64">
        <f t="shared" si="195"/>
        <v>0</v>
      </c>
      <c r="O537" s="64">
        <f t="shared" si="196"/>
        <v>0</v>
      </c>
      <c r="Q537" s="64">
        <f t="shared" si="197"/>
        <v>0</v>
      </c>
      <c r="S537" s="71">
        <f t="shared" si="198"/>
        <v>0</v>
      </c>
      <c r="U537" s="64">
        <f t="shared" si="199"/>
        <v>0</v>
      </c>
      <c r="W537" s="71">
        <f t="shared" si="200"/>
        <v>0</v>
      </c>
      <c r="Y537" s="71">
        <f t="shared" si="201"/>
        <v>0</v>
      </c>
      <c r="AA537" s="71">
        <f t="shared" si="202"/>
        <v>0</v>
      </c>
      <c r="AC537" s="71">
        <f t="shared" si="203"/>
        <v>0</v>
      </c>
      <c r="AK537" s="71">
        <f t="shared" si="204"/>
        <v>0</v>
      </c>
      <c r="AM537" s="71">
        <f t="shared" si="205"/>
        <v>0</v>
      </c>
      <c r="AO537" s="71">
        <f t="shared" si="206"/>
        <v>0</v>
      </c>
      <c r="AQ537" s="71">
        <f t="shared" si="207"/>
        <v>0</v>
      </c>
      <c r="AT537" s="71">
        <f t="shared" si="208"/>
        <v>0</v>
      </c>
      <c r="AV537" s="71">
        <f t="shared" si="209"/>
        <v>0</v>
      </c>
      <c r="AX537" s="71">
        <f t="shared" si="210"/>
        <v>0</v>
      </c>
      <c r="AZ537" s="71">
        <f t="shared" si="211"/>
        <v>0</v>
      </c>
      <c r="BE537" s="102">
        <f t="shared" si="212"/>
        <v>4.4721359549995796</v>
      </c>
      <c r="BF537" s="81">
        <f t="shared" si="213"/>
        <v>9.3924867883288243E-14</v>
      </c>
      <c r="BG537" s="81" t="str">
        <f t="shared" si="214"/>
        <v>BASSO</v>
      </c>
      <c r="BK537" s="81" t="str">
        <f t="shared" si="215"/>
        <v>MOLTO BASSO</v>
      </c>
    </row>
    <row r="538" spans="7:63" x14ac:dyDescent="0.15">
      <c r="G538" s="64">
        <f t="shared" si="192"/>
        <v>0</v>
      </c>
      <c r="I538" s="64">
        <f t="shared" si="193"/>
        <v>0</v>
      </c>
      <c r="K538" s="64">
        <f t="shared" si="194"/>
        <v>0</v>
      </c>
      <c r="M538" s="64">
        <f t="shared" si="195"/>
        <v>0</v>
      </c>
      <c r="O538" s="64">
        <f t="shared" si="196"/>
        <v>0</v>
      </c>
      <c r="Q538" s="64">
        <f t="shared" si="197"/>
        <v>0</v>
      </c>
      <c r="S538" s="71">
        <f t="shared" si="198"/>
        <v>0</v>
      </c>
      <c r="U538" s="64">
        <f t="shared" si="199"/>
        <v>0</v>
      </c>
      <c r="W538" s="71">
        <f t="shared" si="200"/>
        <v>0</v>
      </c>
      <c r="Y538" s="71">
        <f t="shared" si="201"/>
        <v>0</v>
      </c>
      <c r="AA538" s="71">
        <f t="shared" si="202"/>
        <v>0</v>
      </c>
      <c r="AC538" s="71">
        <f t="shared" si="203"/>
        <v>0</v>
      </c>
      <c r="AK538" s="71">
        <f t="shared" si="204"/>
        <v>0</v>
      </c>
      <c r="AM538" s="71">
        <f t="shared" si="205"/>
        <v>0</v>
      </c>
      <c r="AO538" s="71">
        <f t="shared" si="206"/>
        <v>0</v>
      </c>
      <c r="AQ538" s="71">
        <f t="shared" si="207"/>
        <v>0</v>
      </c>
      <c r="AT538" s="71">
        <f t="shared" si="208"/>
        <v>0</v>
      </c>
      <c r="AV538" s="71">
        <f t="shared" si="209"/>
        <v>0</v>
      </c>
      <c r="AX538" s="71">
        <f t="shared" si="210"/>
        <v>0</v>
      </c>
      <c r="AZ538" s="71">
        <f t="shared" si="211"/>
        <v>0</v>
      </c>
      <c r="BE538" s="102">
        <f t="shared" si="212"/>
        <v>4.4721359549995796</v>
      </c>
      <c r="BF538" s="81">
        <f t="shared" si="213"/>
        <v>9.3924867883288243E-14</v>
      </c>
      <c r="BG538" s="81" t="str">
        <f t="shared" si="214"/>
        <v>BASSO</v>
      </c>
      <c r="BK538" s="81" t="str">
        <f t="shared" si="215"/>
        <v>MOLTO BASSO</v>
      </c>
    </row>
    <row r="539" spans="7:63" x14ac:dyDescent="0.15">
      <c r="G539" s="64">
        <f t="shared" si="192"/>
        <v>0</v>
      </c>
      <c r="I539" s="64">
        <f t="shared" si="193"/>
        <v>0</v>
      </c>
      <c r="K539" s="64">
        <f t="shared" si="194"/>
        <v>0</v>
      </c>
      <c r="M539" s="64">
        <f t="shared" si="195"/>
        <v>0</v>
      </c>
      <c r="O539" s="64">
        <f t="shared" si="196"/>
        <v>0</v>
      </c>
      <c r="Q539" s="64">
        <f t="shared" si="197"/>
        <v>0</v>
      </c>
      <c r="S539" s="71">
        <f t="shared" si="198"/>
        <v>0</v>
      </c>
      <c r="U539" s="64">
        <f t="shared" si="199"/>
        <v>0</v>
      </c>
      <c r="W539" s="71">
        <f t="shared" si="200"/>
        <v>0</v>
      </c>
      <c r="Y539" s="71">
        <f t="shared" si="201"/>
        <v>0</v>
      </c>
      <c r="AA539" s="71">
        <f t="shared" si="202"/>
        <v>0</v>
      </c>
      <c r="AC539" s="71">
        <f t="shared" si="203"/>
        <v>0</v>
      </c>
      <c r="AK539" s="71">
        <f t="shared" si="204"/>
        <v>0</v>
      </c>
      <c r="AM539" s="71">
        <f t="shared" si="205"/>
        <v>0</v>
      </c>
      <c r="AO539" s="71">
        <f t="shared" si="206"/>
        <v>0</v>
      </c>
      <c r="AQ539" s="71">
        <f t="shared" si="207"/>
        <v>0</v>
      </c>
      <c r="AT539" s="71">
        <f t="shared" si="208"/>
        <v>0</v>
      </c>
      <c r="AV539" s="71">
        <f t="shared" si="209"/>
        <v>0</v>
      </c>
      <c r="AX539" s="71">
        <f t="shared" si="210"/>
        <v>0</v>
      </c>
      <c r="AZ539" s="71">
        <f t="shared" si="211"/>
        <v>0</v>
      </c>
      <c r="BE539" s="102">
        <f t="shared" si="212"/>
        <v>4.4721359549995796</v>
      </c>
      <c r="BF539" s="81">
        <f t="shared" si="213"/>
        <v>9.3924867883288243E-14</v>
      </c>
      <c r="BG539" s="81" t="str">
        <f t="shared" si="214"/>
        <v>BASSO</v>
      </c>
      <c r="BK539" s="81" t="str">
        <f t="shared" si="215"/>
        <v>MOLTO BASSO</v>
      </c>
    </row>
    <row r="540" spans="7:63" x14ac:dyDescent="0.15">
      <c r="G540" s="64">
        <f t="shared" si="192"/>
        <v>0</v>
      </c>
      <c r="I540" s="64">
        <f t="shared" si="193"/>
        <v>0</v>
      </c>
      <c r="K540" s="64">
        <f t="shared" si="194"/>
        <v>0</v>
      </c>
      <c r="M540" s="64">
        <f t="shared" si="195"/>
        <v>0</v>
      </c>
      <c r="O540" s="64">
        <f t="shared" si="196"/>
        <v>0</v>
      </c>
      <c r="Q540" s="64">
        <f t="shared" si="197"/>
        <v>0</v>
      </c>
      <c r="S540" s="71">
        <f t="shared" si="198"/>
        <v>0</v>
      </c>
      <c r="U540" s="64">
        <f t="shared" si="199"/>
        <v>0</v>
      </c>
      <c r="W540" s="71">
        <f t="shared" si="200"/>
        <v>0</v>
      </c>
      <c r="Y540" s="71">
        <f t="shared" si="201"/>
        <v>0</v>
      </c>
      <c r="AA540" s="71">
        <f t="shared" si="202"/>
        <v>0</v>
      </c>
      <c r="AC540" s="71">
        <f t="shared" si="203"/>
        <v>0</v>
      </c>
      <c r="AK540" s="71">
        <f t="shared" si="204"/>
        <v>0</v>
      </c>
      <c r="AM540" s="71">
        <f t="shared" si="205"/>
        <v>0</v>
      </c>
      <c r="AO540" s="71">
        <f t="shared" si="206"/>
        <v>0</v>
      </c>
      <c r="AQ540" s="71">
        <f t="shared" si="207"/>
        <v>0</v>
      </c>
      <c r="AT540" s="71">
        <f t="shared" si="208"/>
        <v>0</v>
      </c>
      <c r="AV540" s="71">
        <f t="shared" si="209"/>
        <v>0</v>
      </c>
      <c r="AX540" s="71">
        <f t="shared" si="210"/>
        <v>0</v>
      </c>
      <c r="AZ540" s="71">
        <f t="shared" si="211"/>
        <v>0</v>
      </c>
      <c r="BE540" s="102">
        <f t="shared" si="212"/>
        <v>4.4721359549995796</v>
      </c>
      <c r="BF540" s="81">
        <f t="shared" si="213"/>
        <v>9.3924867883288243E-14</v>
      </c>
      <c r="BG540" s="81" t="str">
        <f t="shared" si="214"/>
        <v>BASSO</v>
      </c>
      <c r="BK540" s="81" t="str">
        <f t="shared" si="215"/>
        <v>MOLTO BASSO</v>
      </c>
    </row>
    <row r="541" spans="7:63" x14ac:dyDescent="0.15">
      <c r="G541" s="64">
        <f t="shared" si="192"/>
        <v>0</v>
      </c>
      <c r="I541" s="64">
        <f t="shared" si="193"/>
        <v>0</v>
      </c>
      <c r="K541" s="64">
        <f t="shared" si="194"/>
        <v>0</v>
      </c>
      <c r="M541" s="64">
        <f t="shared" si="195"/>
        <v>0</v>
      </c>
      <c r="O541" s="64">
        <f t="shared" si="196"/>
        <v>0</v>
      </c>
      <c r="Q541" s="64">
        <f t="shared" si="197"/>
        <v>0</v>
      </c>
      <c r="S541" s="71">
        <f t="shared" si="198"/>
        <v>0</v>
      </c>
      <c r="U541" s="64">
        <f t="shared" si="199"/>
        <v>0</v>
      </c>
      <c r="W541" s="71">
        <f t="shared" si="200"/>
        <v>0</v>
      </c>
      <c r="Y541" s="71">
        <f t="shared" si="201"/>
        <v>0</v>
      </c>
      <c r="AA541" s="71">
        <f t="shared" si="202"/>
        <v>0</v>
      </c>
      <c r="AC541" s="71">
        <f t="shared" si="203"/>
        <v>0</v>
      </c>
      <c r="AK541" s="71">
        <f t="shared" si="204"/>
        <v>0</v>
      </c>
      <c r="AM541" s="71">
        <f t="shared" si="205"/>
        <v>0</v>
      </c>
      <c r="AO541" s="71">
        <f t="shared" si="206"/>
        <v>0</v>
      </c>
      <c r="AQ541" s="71">
        <f t="shared" si="207"/>
        <v>0</v>
      </c>
      <c r="AT541" s="71">
        <f t="shared" si="208"/>
        <v>0</v>
      </c>
      <c r="AV541" s="71">
        <f t="shared" si="209"/>
        <v>0</v>
      </c>
      <c r="AX541" s="71">
        <f t="shared" si="210"/>
        <v>0</v>
      </c>
      <c r="AZ541" s="71">
        <f t="shared" si="211"/>
        <v>0</v>
      </c>
      <c r="BE541" s="102">
        <f t="shared" si="212"/>
        <v>4.4721359549995796</v>
      </c>
      <c r="BF541" s="81">
        <f t="shared" si="213"/>
        <v>9.3924867883288243E-14</v>
      </c>
      <c r="BG541" s="81" t="str">
        <f t="shared" si="214"/>
        <v>BASSO</v>
      </c>
      <c r="BK541" s="81" t="str">
        <f t="shared" si="215"/>
        <v>MOLTO BASSO</v>
      </c>
    </row>
    <row r="542" spans="7:63" x14ac:dyDescent="0.15">
      <c r="G542" s="64">
        <f t="shared" si="192"/>
        <v>0</v>
      </c>
      <c r="I542" s="64">
        <f t="shared" si="193"/>
        <v>0</v>
      </c>
      <c r="K542" s="64">
        <f t="shared" si="194"/>
        <v>0</v>
      </c>
      <c r="M542" s="64">
        <f t="shared" si="195"/>
        <v>0</v>
      </c>
      <c r="O542" s="64">
        <f t="shared" si="196"/>
        <v>0</v>
      </c>
      <c r="Q542" s="64">
        <f t="shared" si="197"/>
        <v>0</v>
      </c>
      <c r="S542" s="71">
        <f t="shared" si="198"/>
        <v>0</v>
      </c>
      <c r="U542" s="64">
        <f t="shared" si="199"/>
        <v>0</v>
      </c>
      <c r="W542" s="71">
        <f t="shared" si="200"/>
        <v>0</v>
      </c>
      <c r="Y542" s="71">
        <f t="shared" si="201"/>
        <v>0</v>
      </c>
      <c r="AA542" s="71">
        <f t="shared" si="202"/>
        <v>0</v>
      </c>
      <c r="AC542" s="71">
        <f t="shared" si="203"/>
        <v>0</v>
      </c>
      <c r="AK542" s="71">
        <f t="shared" si="204"/>
        <v>0</v>
      </c>
      <c r="AM542" s="71">
        <f t="shared" si="205"/>
        <v>0</v>
      </c>
      <c r="AO542" s="71">
        <f t="shared" si="206"/>
        <v>0</v>
      </c>
      <c r="AQ542" s="71">
        <f t="shared" si="207"/>
        <v>0</v>
      </c>
      <c r="AT542" s="71">
        <f t="shared" si="208"/>
        <v>0</v>
      </c>
      <c r="AV542" s="71">
        <f t="shared" si="209"/>
        <v>0</v>
      </c>
      <c r="AX542" s="71">
        <f t="shared" si="210"/>
        <v>0</v>
      </c>
      <c r="AZ542" s="71">
        <f t="shared" si="211"/>
        <v>0</v>
      </c>
      <c r="BE542" s="102">
        <f t="shared" si="212"/>
        <v>4.4721359549995796</v>
      </c>
      <c r="BF542" s="81">
        <f t="shared" si="213"/>
        <v>9.3924867883288243E-14</v>
      </c>
      <c r="BG542" s="81" t="str">
        <f t="shared" si="214"/>
        <v>BASSO</v>
      </c>
      <c r="BK542" s="81" t="str">
        <f t="shared" si="215"/>
        <v>MOLTO BASSO</v>
      </c>
    </row>
    <row r="543" spans="7:63" x14ac:dyDescent="0.15">
      <c r="G543" s="64">
        <f t="shared" si="192"/>
        <v>0</v>
      </c>
      <c r="I543" s="64">
        <f t="shared" si="193"/>
        <v>0</v>
      </c>
      <c r="K543" s="64">
        <f t="shared" si="194"/>
        <v>0</v>
      </c>
      <c r="M543" s="64">
        <f t="shared" si="195"/>
        <v>0</v>
      </c>
      <c r="O543" s="64">
        <f t="shared" si="196"/>
        <v>0</v>
      </c>
      <c r="Q543" s="64">
        <f t="shared" si="197"/>
        <v>0</v>
      </c>
      <c r="S543" s="71">
        <f t="shared" si="198"/>
        <v>0</v>
      </c>
      <c r="U543" s="64">
        <f t="shared" si="199"/>
        <v>0</v>
      </c>
      <c r="W543" s="71">
        <f t="shared" si="200"/>
        <v>0</v>
      </c>
      <c r="Y543" s="71">
        <f t="shared" si="201"/>
        <v>0</v>
      </c>
      <c r="AA543" s="71">
        <f t="shared" si="202"/>
        <v>0</v>
      </c>
      <c r="AC543" s="71">
        <f t="shared" si="203"/>
        <v>0</v>
      </c>
      <c r="AK543" s="71">
        <f t="shared" si="204"/>
        <v>0</v>
      </c>
      <c r="AM543" s="71">
        <f t="shared" si="205"/>
        <v>0</v>
      </c>
      <c r="AO543" s="71">
        <f t="shared" si="206"/>
        <v>0</v>
      </c>
      <c r="AQ543" s="71">
        <f t="shared" si="207"/>
        <v>0</v>
      </c>
      <c r="AT543" s="71">
        <f t="shared" si="208"/>
        <v>0</v>
      </c>
      <c r="AV543" s="71">
        <f t="shared" si="209"/>
        <v>0</v>
      </c>
      <c r="AX543" s="71">
        <f t="shared" si="210"/>
        <v>0</v>
      </c>
      <c r="AZ543" s="71">
        <f t="shared" si="211"/>
        <v>0</v>
      </c>
      <c r="BE543" s="102">
        <f t="shared" si="212"/>
        <v>4.4721359549995796</v>
      </c>
      <c r="BF543" s="81">
        <f t="shared" si="213"/>
        <v>9.3924867883288243E-14</v>
      </c>
      <c r="BG543" s="81" t="str">
        <f t="shared" si="214"/>
        <v>BASSO</v>
      </c>
      <c r="BK543" s="81" t="str">
        <f t="shared" si="215"/>
        <v>MOLTO BASSO</v>
      </c>
    </row>
    <row r="544" spans="7:63" x14ac:dyDescent="0.15">
      <c r="G544" s="64">
        <f t="shared" si="192"/>
        <v>0</v>
      </c>
      <c r="I544" s="64">
        <f t="shared" si="193"/>
        <v>0</v>
      </c>
      <c r="K544" s="64">
        <f t="shared" si="194"/>
        <v>0</v>
      </c>
      <c r="M544" s="64">
        <f t="shared" si="195"/>
        <v>0</v>
      </c>
      <c r="O544" s="64">
        <f t="shared" si="196"/>
        <v>0</v>
      </c>
      <c r="Q544" s="64">
        <f t="shared" si="197"/>
        <v>0</v>
      </c>
      <c r="S544" s="71">
        <f t="shared" si="198"/>
        <v>0</v>
      </c>
      <c r="U544" s="64">
        <f t="shared" si="199"/>
        <v>0</v>
      </c>
      <c r="W544" s="71">
        <f t="shared" si="200"/>
        <v>0</v>
      </c>
      <c r="Y544" s="71">
        <f t="shared" si="201"/>
        <v>0</v>
      </c>
      <c r="AA544" s="71">
        <f t="shared" si="202"/>
        <v>0</v>
      </c>
      <c r="AC544" s="71">
        <f t="shared" si="203"/>
        <v>0</v>
      </c>
      <c r="AK544" s="71">
        <f t="shared" si="204"/>
        <v>0</v>
      </c>
      <c r="AM544" s="71">
        <f t="shared" si="205"/>
        <v>0</v>
      </c>
      <c r="AO544" s="71">
        <f t="shared" si="206"/>
        <v>0</v>
      </c>
      <c r="AQ544" s="71">
        <f t="shared" si="207"/>
        <v>0</v>
      </c>
      <c r="AT544" s="71">
        <f t="shared" si="208"/>
        <v>0</v>
      </c>
      <c r="AV544" s="71">
        <f t="shared" si="209"/>
        <v>0</v>
      </c>
      <c r="AX544" s="71">
        <f t="shared" si="210"/>
        <v>0</v>
      </c>
      <c r="AZ544" s="71">
        <f t="shared" si="211"/>
        <v>0</v>
      </c>
      <c r="BE544" s="102">
        <f t="shared" si="212"/>
        <v>4.4721359549995796</v>
      </c>
      <c r="BF544" s="81">
        <f t="shared" si="213"/>
        <v>9.3924867883288243E-14</v>
      </c>
      <c r="BG544" s="81" t="str">
        <f t="shared" si="214"/>
        <v>BASSO</v>
      </c>
      <c r="BK544" s="81" t="str">
        <f t="shared" si="215"/>
        <v>MOLTO BASSO</v>
      </c>
    </row>
    <row r="545" spans="7:63" x14ac:dyDescent="0.15">
      <c r="G545" s="64">
        <f t="shared" si="192"/>
        <v>0</v>
      </c>
      <c r="I545" s="64">
        <f t="shared" si="193"/>
        <v>0</v>
      </c>
      <c r="K545" s="64">
        <f t="shared" si="194"/>
        <v>0</v>
      </c>
      <c r="M545" s="64">
        <f t="shared" si="195"/>
        <v>0</v>
      </c>
      <c r="O545" s="64">
        <f t="shared" si="196"/>
        <v>0</v>
      </c>
      <c r="Q545" s="64">
        <f t="shared" si="197"/>
        <v>0</v>
      </c>
      <c r="S545" s="71">
        <f t="shared" si="198"/>
        <v>0</v>
      </c>
      <c r="U545" s="64">
        <f t="shared" si="199"/>
        <v>0</v>
      </c>
      <c r="W545" s="71">
        <f t="shared" si="200"/>
        <v>0</v>
      </c>
      <c r="Y545" s="71">
        <f t="shared" si="201"/>
        <v>0</v>
      </c>
      <c r="AA545" s="71">
        <f t="shared" si="202"/>
        <v>0</v>
      </c>
      <c r="AC545" s="71">
        <f t="shared" si="203"/>
        <v>0</v>
      </c>
      <c r="AK545" s="71">
        <f t="shared" si="204"/>
        <v>0</v>
      </c>
      <c r="AM545" s="71">
        <f t="shared" si="205"/>
        <v>0</v>
      </c>
      <c r="AO545" s="71">
        <f t="shared" si="206"/>
        <v>0</v>
      </c>
      <c r="AQ545" s="71">
        <f t="shared" si="207"/>
        <v>0</v>
      </c>
      <c r="AT545" s="71">
        <f t="shared" si="208"/>
        <v>0</v>
      </c>
      <c r="AV545" s="71">
        <f t="shared" si="209"/>
        <v>0</v>
      </c>
      <c r="AX545" s="71">
        <f t="shared" si="210"/>
        <v>0</v>
      </c>
      <c r="AZ545" s="71">
        <f t="shared" si="211"/>
        <v>0</v>
      </c>
      <c r="BE545" s="102">
        <f t="shared" si="212"/>
        <v>4.4721359549995796</v>
      </c>
      <c r="BF545" s="81">
        <f t="shared" si="213"/>
        <v>9.3924867883288243E-14</v>
      </c>
      <c r="BG545" s="81" t="str">
        <f t="shared" si="214"/>
        <v>BASSO</v>
      </c>
      <c r="BK545" s="81" t="str">
        <f t="shared" si="215"/>
        <v>MOLTO BASSO</v>
      </c>
    </row>
    <row r="546" spans="7:63" x14ac:dyDescent="0.15">
      <c r="G546" s="64">
        <f t="shared" si="192"/>
        <v>0</v>
      </c>
      <c r="I546" s="64">
        <f t="shared" si="193"/>
        <v>0</v>
      </c>
      <c r="K546" s="64">
        <f t="shared" si="194"/>
        <v>0</v>
      </c>
      <c r="M546" s="64">
        <f t="shared" si="195"/>
        <v>0</v>
      </c>
      <c r="O546" s="64">
        <f t="shared" si="196"/>
        <v>0</v>
      </c>
      <c r="Q546" s="64">
        <f t="shared" si="197"/>
        <v>0</v>
      </c>
      <c r="S546" s="71">
        <f t="shared" si="198"/>
        <v>0</v>
      </c>
      <c r="U546" s="64">
        <f t="shared" si="199"/>
        <v>0</v>
      </c>
      <c r="W546" s="71">
        <f t="shared" si="200"/>
        <v>0</v>
      </c>
      <c r="Y546" s="71">
        <f t="shared" si="201"/>
        <v>0</v>
      </c>
      <c r="AA546" s="71">
        <f t="shared" si="202"/>
        <v>0</v>
      </c>
      <c r="AC546" s="71">
        <f t="shared" si="203"/>
        <v>0</v>
      </c>
      <c r="AK546" s="71">
        <f t="shared" si="204"/>
        <v>0</v>
      </c>
      <c r="AM546" s="71">
        <f t="shared" si="205"/>
        <v>0</v>
      </c>
      <c r="AO546" s="71">
        <f t="shared" si="206"/>
        <v>0</v>
      </c>
      <c r="AQ546" s="71">
        <f t="shared" si="207"/>
        <v>0</v>
      </c>
      <c r="AT546" s="71">
        <f t="shared" si="208"/>
        <v>0</v>
      </c>
      <c r="AV546" s="71">
        <f t="shared" si="209"/>
        <v>0</v>
      </c>
      <c r="AX546" s="71">
        <f t="shared" si="210"/>
        <v>0</v>
      </c>
      <c r="AZ546" s="71">
        <f t="shared" si="211"/>
        <v>0</v>
      </c>
      <c r="BE546" s="102">
        <f t="shared" si="212"/>
        <v>4.4721359549995796</v>
      </c>
      <c r="BF546" s="81">
        <f t="shared" si="213"/>
        <v>9.3924867883288243E-14</v>
      </c>
      <c r="BG546" s="81" t="str">
        <f t="shared" si="214"/>
        <v>BASSO</v>
      </c>
      <c r="BK546" s="81" t="str">
        <f t="shared" si="215"/>
        <v>MOLTO BASSO</v>
      </c>
    </row>
    <row r="547" spans="7:63" x14ac:dyDescent="0.15">
      <c r="G547" s="64">
        <f t="shared" si="192"/>
        <v>0</v>
      </c>
      <c r="I547" s="64">
        <f t="shared" si="193"/>
        <v>0</v>
      </c>
      <c r="K547" s="64">
        <f t="shared" si="194"/>
        <v>0</v>
      </c>
      <c r="M547" s="64">
        <f t="shared" si="195"/>
        <v>0</v>
      </c>
      <c r="O547" s="64">
        <f t="shared" si="196"/>
        <v>0</v>
      </c>
      <c r="Q547" s="64">
        <f t="shared" si="197"/>
        <v>0</v>
      </c>
      <c r="S547" s="71">
        <f t="shared" si="198"/>
        <v>0</v>
      </c>
      <c r="U547" s="64">
        <f t="shared" si="199"/>
        <v>0</v>
      </c>
      <c r="W547" s="71">
        <f t="shared" si="200"/>
        <v>0</v>
      </c>
      <c r="Y547" s="71">
        <f t="shared" si="201"/>
        <v>0</v>
      </c>
      <c r="AA547" s="71">
        <f t="shared" si="202"/>
        <v>0</v>
      </c>
      <c r="AC547" s="71">
        <f t="shared" si="203"/>
        <v>0</v>
      </c>
      <c r="AK547" s="71">
        <f t="shared" si="204"/>
        <v>0</v>
      </c>
      <c r="AM547" s="71">
        <f t="shared" si="205"/>
        <v>0</v>
      </c>
      <c r="AO547" s="71">
        <f t="shared" si="206"/>
        <v>0</v>
      </c>
      <c r="AQ547" s="71">
        <f t="shared" si="207"/>
        <v>0</v>
      </c>
      <c r="AT547" s="71">
        <f t="shared" si="208"/>
        <v>0</v>
      </c>
      <c r="AV547" s="71">
        <f t="shared" si="209"/>
        <v>0</v>
      </c>
      <c r="AX547" s="71">
        <f t="shared" si="210"/>
        <v>0</v>
      </c>
      <c r="AZ547" s="71">
        <f t="shared" si="211"/>
        <v>0</v>
      </c>
      <c r="BE547" s="102">
        <f t="shared" si="212"/>
        <v>4.4721359549995796</v>
      </c>
      <c r="BF547" s="81">
        <f t="shared" si="213"/>
        <v>9.3924867883288243E-14</v>
      </c>
      <c r="BG547" s="81" t="str">
        <f t="shared" si="214"/>
        <v>BASSO</v>
      </c>
      <c r="BK547" s="81" t="str">
        <f t="shared" si="215"/>
        <v>MOLTO BASSO</v>
      </c>
    </row>
    <row r="548" spans="7:63" x14ac:dyDescent="0.15">
      <c r="G548" s="64">
        <f t="shared" si="192"/>
        <v>0</v>
      </c>
      <c r="I548" s="64">
        <f t="shared" si="193"/>
        <v>0</v>
      </c>
      <c r="K548" s="64">
        <f t="shared" si="194"/>
        <v>0</v>
      </c>
      <c r="M548" s="64">
        <f t="shared" si="195"/>
        <v>0</v>
      </c>
      <c r="O548" s="64">
        <f t="shared" si="196"/>
        <v>0</v>
      </c>
      <c r="Q548" s="64">
        <f t="shared" si="197"/>
        <v>0</v>
      </c>
      <c r="S548" s="71">
        <f t="shared" si="198"/>
        <v>0</v>
      </c>
      <c r="U548" s="64">
        <f t="shared" si="199"/>
        <v>0</v>
      </c>
      <c r="W548" s="71">
        <f t="shared" si="200"/>
        <v>0</v>
      </c>
      <c r="Y548" s="71">
        <f t="shared" si="201"/>
        <v>0</v>
      </c>
      <c r="AA548" s="71">
        <f t="shared" si="202"/>
        <v>0</v>
      </c>
      <c r="AC548" s="71">
        <f t="shared" si="203"/>
        <v>0</v>
      </c>
      <c r="AK548" s="71">
        <f t="shared" si="204"/>
        <v>0</v>
      </c>
      <c r="AM548" s="71">
        <f t="shared" si="205"/>
        <v>0</v>
      </c>
      <c r="AO548" s="71">
        <f t="shared" si="206"/>
        <v>0</v>
      </c>
      <c r="AQ548" s="71">
        <f t="shared" si="207"/>
        <v>0</v>
      </c>
      <c r="AT548" s="71">
        <f t="shared" si="208"/>
        <v>0</v>
      </c>
      <c r="AV548" s="71">
        <f t="shared" si="209"/>
        <v>0</v>
      </c>
      <c r="AX548" s="71">
        <f t="shared" si="210"/>
        <v>0</v>
      </c>
      <c r="AZ548" s="71">
        <f t="shared" si="211"/>
        <v>0</v>
      </c>
      <c r="BE548" s="102">
        <f t="shared" si="212"/>
        <v>4.4721359549995796</v>
      </c>
      <c r="BF548" s="81">
        <f t="shared" si="213"/>
        <v>9.3924867883288243E-14</v>
      </c>
      <c r="BG548" s="81" t="str">
        <f t="shared" si="214"/>
        <v>BASSO</v>
      </c>
      <c r="BK548" s="81" t="str">
        <f t="shared" si="215"/>
        <v>MOLTO BASSO</v>
      </c>
    </row>
    <row r="549" spans="7:63" x14ac:dyDescent="0.15">
      <c r="G549" s="64">
        <f t="shared" si="192"/>
        <v>0</v>
      </c>
      <c r="I549" s="64">
        <f t="shared" si="193"/>
        <v>0</v>
      </c>
      <c r="K549" s="64">
        <f t="shared" si="194"/>
        <v>0</v>
      </c>
      <c r="M549" s="64">
        <f t="shared" si="195"/>
        <v>0</v>
      </c>
      <c r="O549" s="64">
        <f t="shared" si="196"/>
        <v>0</v>
      </c>
      <c r="Q549" s="64">
        <f t="shared" si="197"/>
        <v>0</v>
      </c>
      <c r="S549" s="71">
        <f t="shared" si="198"/>
        <v>0</v>
      </c>
      <c r="U549" s="64">
        <f t="shared" si="199"/>
        <v>0</v>
      </c>
      <c r="W549" s="71">
        <f t="shared" si="200"/>
        <v>0</v>
      </c>
      <c r="Y549" s="71">
        <f t="shared" si="201"/>
        <v>0</v>
      </c>
      <c r="AA549" s="71">
        <f t="shared" si="202"/>
        <v>0</v>
      </c>
      <c r="AC549" s="71">
        <f t="shared" si="203"/>
        <v>0</v>
      </c>
      <c r="AK549" s="71">
        <f t="shared" si="204"/>
        <v>0</v>
      </c>
      <c r="AM549" s="71">
        <f t="shared" si="205"/>
        <v>0</v>
      </c>
      <c r="AO549" s="71">
        <f t="shared" si="206"/>
        <v>0</v>
      </c>
      <c r="AQ549" s="71">
        <f t="shared" si="207"/>
        <v>0</v>
      </c>
      <c r="AT549" s="71">
        <f t="shared" si="208"/>
        <v>0</v>
      </c>
      <c r="AV549" s="71">
        <f t="shared" si="209"/>
        <v>0</v>
      </c>
      <c r="AX549" s="71">
        <f t="shared" si="210"/>
        <v>0</v>
      </c>
      <c r="AZ549" s="71">
        <f t="shared" si="211"/>
        <v>0</v>
      </c>
      <c r="BE549" s="102">
        <f t="shared" si="212"/>
        <v>4.4721359549995796</v>
      </c>
      <c r="BF549" s="81">
        <f t="shared" si="213"/>
        <v>9.3924867883288243E-14</v>
      </c>
      <c r="BG549" s="81" t="str">
        <f t="shared" si="214"/>
        <v>BASSO</v>
      </c>
      <c r="BK549" s="81" t="str">
        <f t="shared" si="215"/>
        <v>MOLTO BASSO</v>
      </c>
    </row>
    <row r="550" spans="7:63" x14ac:dyDescent="0.15">
      <c r="G550" s="64">
        <f t="shared" si="192"/>
        <v>0</v>
      </c>
      <c r="I550" s="64">
        <f t="shared" si="193"/>
        <v>0</v>
      </c>
      <c r="K550" s="64">
        <f t="shared" si="194"/>
        <v>0</v>
      </c>
      <c r="M550" s="64">
        <f t="shared" si="195"/>
        <v>0</v>
      </c>
      <c r="O550" s="64">
        <f t="shared" si="196"/>
        <v>0</v>
      </c>
      <c r="Q550" s="64">
        <f t="shared" si="197"/>
        <v>0</v>
      </c>
      <c r="S550" s="71">
        <f t="shared" si="198"/>
        <v>0</v>
      </c>
      <c r="U550" s="64">
        <f t="shared" si="199"/>
        <v>0</v>
      </c>
      <c r="W550" s="71">
        <f t="shared" si="200"/>
        <v>0</v>
      </c>
      <c r="Y550" s="71">
        <f t="shared" si="201"/>
        <v>0</v>
      </c>
      <c r="AA550" s="71">
        <f t="shared" si="202"/>
        <v>0</v>
      </c>
      <c r="AC550" s="71">
        <f t="shared" si="203"/>
        <v>0</v>
      </c>
      <c r="AK550" s="71">
        <f t="shared" si="204"/>
        <v>0</v>
      </c>
      <c r="AM550" s="71">
        <f t="shared" si="205"/>
        <v>0</v>
      </c>
      <c r="AO550" s="71">
        <f t="shared" si="206"/>
        <v>0</v>
      </c>
      <c r="AQ550" s="71">
        <f t="shared" si="207"/>
        <v>0</v>
      </c>
      <c r="AT550" s="71">
        <f t="shared" si="208"/>
        <v>0</v>
      </c>
      <c r="AV550" s="71">
        <f t="shared" si="209"/>
        <v>0</v>
      </c>
      <c r="AX550" s="71">
        <f t="shared" si="210"/>
        <v>0</v>
      </c>
      <c r="AZ550" s="71">
        <f t="shared" si="211"/>
        <v>0</v>
      </c>
      <c r="BE550" s="102">
        <f t="shared" si="212"/>
        <v>4.4721359549995796</v>
      </c>
      <c r="BF550" s="81">
        <f t="shared" si="213"/>
        <v>9.3924867883288243E-14</v>
      </c>
      <c r="BG550" s="81" t="str">
        <f t="shared" si="214"/>
        <v>BASSO</v>
      </c>
      <c r="BK550" s="81" t="str">
        <f t="shared" si="215"/>
        <v>MOLTO BASSO</v>
      </c>
    </row>
    <row r="551" spans="7:63" x14ac:dyDescent="0.15">
      <c r="G551" s="64">
        <f t="shared" si="192"/>
        <v>0</v>
      </c>
      <c r="I551" s="64">
        <f t="shared" si="193"/>
        <v>0</v>
      </c>
      <c r="K551" s="64">
        <f t="shared" si="194"/>
        <v>0</v>
      </c>
      <c r="M551" s="64">
        <f t="shared" si="195"/>
        <v>0</v>
      </c>
      <c r="O551" s="64">
        <f t="shared" si="196"/>
        <v>0</v>
      </c>
      <c r="Q551" s="64">
        <f t="shared" si="197"/>
        <v>0</v>
      </c>
      <c r="S551" s="71">
        <f t="shared" si="198"/>
        <v>0</v>
      </c>
      <c r="U551" s="64">
        <f t="shared" si="199"/>
        <v>0</v>
      </c>
      <c r="W551" s="71">
        <f t="shared" si="200"/>
        <v>0</v>
      </c>
      <c r="Y551" s="71">
        <f t="shared" si="201"/>
        <v>0</v>
      </c>
      <c r="AA551" s="71">
        <f t="shared" si="202"/>
        <v>0</v>
      </c>
      <c r="AC551" s="71">
        <f t="shared" si="203"/>
        <v>0</v>
      </c>
      <c r="AK551" s="71">
        <f t="shared" si="204"/>
        <v>0</v>
      </c>
      <c r="AM551" s="71">
        <f t="shared" si="205"/>
        <v>0</v>
      </c>
      <c r="AO551" s="71">
        <f t="shared" si="206"/>
        <v>0</v>
      </c>
      <c r="AQ551" s="71">
        <f t="shared" si="207"/>
        <v>0</v>
      </c>
      <c r="AT551" s="71">
        <f t="shared" si="208"/>
        <v>0</v>
      </c>
      <c r="AV551" s="71">
        <f t="shared" si="209"/>
        <v>0</v>
      </c>
      <c r="AX551" s="71">
        <f t="shared" si="210"/>
        <v>0</v>
      </c>
      <c r="AZ551" s="71">
        <f t="shared" si="211"/>
        <v>0</v>
      </c>
      <c r="BE551" s="102">
        <f t="shared" si="212"/>
        <v>4.4721359549995796</v>
      </c>
      <c r="BF551" s="81">
        <f t="shared" si="213"/>
        <v>9.3924867883288243E-14</v>
      </c>
      <c r="BG551" s="81" t="str">
        <f t="shared" si="214"/>
        <v>BASSO</v>
      </c>
      <c r="BK551" s="81" t="str">
        <f t="shared" si="215"/>
        <v>MOLTO BASSO</v>
      </c>
    </row>
    <row r="552" spans="7:63" x14ac:dyDescent="0.15">
      <c r="G552" s="64">
        <f t="shared" ref="G552:G615" si="216">F553/2</f>
        <v>0</v>
      </c>
      <c r="I552" s="64">
        <f t="shared" si="193"/>
        <v>0</v>
      </c>
      <c r="K552" s="64">
        <f t="shared" si="194"/>
        <v>0</v>
      </c>
      <c r="M552" s="64">
        <f t="shared" si="195"/>
        <v>0</v>
      </c>
      <c r="O552" s="64">
        <f t="shared" si="196"/>
        <v>0</v>
      </c>
      <c r="Q552" s="64">
        <f t="shared" si="197"/>
        <v>0</v>
      </c>
      <c r="S552" s="71">
        <f t="shared" si="198"/>
        <v>0</v>
      </c>
      <c r="U552" s="64">
        <f t="shared" si="199"/>
        <v>0</v>
      </c>
      <c r="W552" s="71">
        <f t="shared" si="200"/>
        <v>0</v>
      </c>
      <c r="Y552" s="71">
        <f t="shared" si="201"/>
        <v>0</v>
      </c>
      <c r="AA552" s="71">
        <f t="shared" si="202"/>
        <v>0</v>
      </c>
      <c r="AC552" s="71">
        <f t="shared" si="203"/>
        <v>0</v>
      </c>
      <c r="AK552" s="71">
        <f t="shared" si="204"/>
        <v>0</v>
      </c>
      <c r="AM552" s="71">
        <f t="shared" si="205"/>
        <v>0</v>
      </c>
      <c r="AO552" s="71">
        <f t="shared" si="206"/>
        <v>0</v>
      </c>
      <c r="AQ552" s="71">
        <f t="shared" si="207"/>
        <v>0</v>
      </c>
      <c r="AT552" s="71">
        <f t="shared" si="208"/>
        <v>0</v>
      </c>
      <c r="AV552" s="71">
        <f t="shared" si="209"/>
        <v>0</v>
      </c>
      <c r="AX552" s="71">
        <f t="shared" si="210"/>
        <v>0</v>
      </c>
      <c r="AZ552" s="71">
        <f t="shared" si="211"/>
        <v>0</v>
      </c>
      <c r="BE552" s="102">
        <f t="shared" si="212"/>
        <v>4.4721359549995796</v>
      </c>
      <c r="BF552" s="81">
        <f t="shared" si="213"/>
        <v>9.3924867883288243E-14</v>
      </c>
      <c r="BG552" s="81" t="str">
        <f t="shared" si="214"/>
        <v>BASSO</v>
      </c>
      <c r="BK552" s="81" t="str">
        <f t="shared" si="215"/>
        <v>MOLTO BASSO</v>
      </c>
    </row>
    <row r="553" spans="7:63" x14ac:dyDescent="0.15">
      <c r="G553" s="64">
        <f t="shared" si="216"/>
        <v>0</v>
      </c>
      <c r="I553" s="64">
        <f t="shared" si="193"/>
        <v>0</v>
      </c>
      <c r="K553" s="64">
        <f t="shared" si="194"/>
        <v>0</v>
      </c>
      <c r="M553" s="64">
        <f t="shared" si="195"/>
        <v>0</v>
      </c>
      <c r="O553" s="64">
        <f t="shared" si="196"/>
        <v>0</v>
      </c>
      <c r="Q553" s="64">
        <f t="shared" si="197"/>
        <v>0</v>
      </c>
      <c r="S553" s="71">
        <f t="shared" si="198"/>
        <v>0</v>
      </c>
      <c r="U553" s="64">
        <f t="shared" si="199"/>
        <v>0</v>
      </c>
      <c r="W553" s="71">
        <f t="shared" si="200"/>
        <v>0</v>
      </c>
      <c r="Y553" s="71">
        <f t="shared" si="201"/>
        <v>0</v>
      </c>
      <c r="AA553" s="71">
        <f t="shared" si="202"/>
        <v>0</v>
      </c>
      <c r="AC553" s="71">
        <f t="shared" si="203"/>
        <v>0</v>
      </c>
      <c r="AK553" s="71">
        <f t="shared" si="204"/>
        <v>0</v>
      </c>
      <c r="AM553" s="71">
        <f t="shared" si="205"/>
        <v>0</v>
      </c>
      <c r="AO553" s="71">
        <f t="shared" si="206"/>
        <v>0</v>
      </c>
      <c r="AQ553" s="71">
        <f t="shared" si="207"/>
        <v>0</v>
      </c>
      <c r="AT553" s="71">
        <f t="shared" si="208"/>
        <v>0</v>
      </c>
      <c r="AV553" s="71">
        <f t="shared" si="209"/>
        <v>0</v>
      </c>
      <c r="AX553" s="71">
        <f t="shared" si="210"/>
        <v>0</v>
      </c>
      <c r="AZ553" s="71">
        <f t="shared" si="211"/>
        <v>0</v>
      </c>
      <c r="BE553" s="102">
        <f t="shared" si="212"/>
        <v>4.4721359549995796</v>
      </c>
      <c r="BF553" s="81">
        <f t="shared" si="213"/>
        <v>9.3924867883288243E-14</v>
      </c>
      <c r="BG553" s="81" t="str">
        <f t="shared" si="214"/>
        <v>BASSO</v>
      </c>
      <c r="BK553" s="81" t="str">
        <f t="shared" si="215"/>
        <v>MOLTO BASSO</v>
      </c>
    </row>
    <row r="554" spans="7:63" x14ac:dyDescent="0.15">
      <c r="G554" s="64">
        <f t="shared" si="216"/>
        <v>0</v>
      </c>
      <c r="I554" s="64">
        <f t="shared" si="193"/>
        <v>0</v>
      </c>
      <c r="K554" s="64">
        <f t="shared" si="194"/>
        <v>0</v>
      </c>
      <c r="M554" s="64">
        <f t="shared" si="195"/>
        <v>0</v>
      </c>
      <c r="O554" s="64">
        <f t="shared" si="196"/>
        <v>0</v>
      </c>
      <c r="Q554" s="64">
        <f t="shared" si="197"/>
        <v>0</v>
      </c>
      <c r="S554" s="71">
        <f t="shared" si="198"/>
        <v>0</v>
      </c>
      <c r="U554" s="64">
        <f t="shared" si="199"/>
        <v>0</v>
      </c>
      <c r="W554" s="71">
        <f t="shared" si="200"/>
        <v>0</v>
      </c>
      <c r="Y554" s="71">
        <f t="shared" si="201"/>
        <v>0</v>
      </c>
      <c r="AA554" s="71">
        <f t="shared" si="202"/>
        <v>0</v>
      </c>
      <c r="AC554" s="71">
        <f t="shared" si="203"/>
        <v>0</v>
      </c>
      <c r="AK554" s="71">
        <f t="shared" si="204"/>
        <v>0</v>
      </c>
      <c r="AM554" s="71">
        <f t="shared" si="205"/>
        <v>0</v>
      </c>
      <c r="AO554" s="71">
        <f t="shared" si="206"/>
        <v>0</v>
      </c>
      <c r="AQ554" s="71">
        <f t="shared" si="207"/>
        <v>0</v>
      </c>
      <c r="AT554" s="71">
        <f t="shared" si="208"/>
        <v>0</v>
      </c>
      <c r="AV554" s="71">
        <f t="shared" si="209"/>
        <v>0</v>
      </c>
      <c r="AX554" s="71">
        <f t="shared" si="210"/>
        <v>0</v>
      </c>
      <c r="AZ554" s="71">
        <f t="shared" si="211"/>
        <v>0</v>
      </c>
      <c r="BE554" s="102">
        <f t="shared" si="212"/>
        <v>4.4721359549995796</v>
      </c>
      <c r="BF554" s="81">
        <f t="shared" si="213"/>
        <v>9.3924867883288243E-14</v>
      </c>
      <c r="BG554" s="81" t="str">
        <f t="shared" si="214"/>
        <v>BASSO</v>
      </c>
      <c r="BK554" s="81" t="str">
        <f t="shared" si="215"/>
        <v>MOLTO BASSO</v>
      </c>
    </row>
    <row r="555" spans="7:63" x14ac:dyDescent="0.15">
      <c r="G555" s="64">
        <f t="shared" si="216"/>
        <v>0</v>
      </c>
      <c r="I555" s="64">
        <f t="shared" si="193"/>
        <v>0</v>
      </c>
      <c r="K555" s="64">
        <f t="shared" si="194"/>
        <v>0</v>
      </c>
      <c r="M555" s="64">
        <f t="shared" si="195"/>
        <v>0</v>
      </c>
      <c r="O555" s="64">
        <f t="shared" si="196"/>
        <v>0</v>
      </c>
      <c r="Q555" s="64">
        <f t="shared" si="197"/>
        <v>0</v>
      </c>
      <c r="S555" s="71">
        <f t="shared" si="198"/>
        <v>0</v>
      </c>
      <c r="U555" s="64">
        <f t="shared" si="199"/>
        <v>0</v>
      </c>
      <c r="W555" s="71">
        <f t="shared" si="200"/>
        <v>0</v>
      </c>
      <c r="Y555" s="71">
        <f t="shared" si="201"/>
        <v>0</v>
      </c>
      <c r="AA555" s="71">
        <f t="shared" si="202"/>
        <v>0</v>
      </c>
      <c r="AC555" s="71">
        <f t="shared" si="203"/>
        <v>0</v>
      </c>
      <c r="AK555" s="71">
        <f t="shared" si="204"/>
        <v>0</v>
      </c>
      <c r="AM555" s="71">
        <f t="shared" si="205"/>
        <v>0</v>
      </c>
      <c r="AO555" s="71">
        <f t="shared" si="206"/>
        <v>0</v>
      </c>
      <c r="AQ555" s="71">
        <f t="shared" si="207"/>
        <v>0</v>
      </c>
      <c r="AT555" s="71">
        <f t="shared" si="208"/>
        <v>0</v>
      </c>
      <c r="AV555" s="71">
        <f t="shared" si="209"/>
        <v>0</v>
      </c>
      <c r="AX555" s="71">
        <f t="shared" si="210"/>
        <v>0</v>
      </c>
      <c r="AZ555" s="71">
        <f t="shared" si="211"/>
        <v>0</v>
      </c>
      <c r="BE555" s="102">
        <f t="shared" si="212"/>
        <v>4.4721359549995796</v>
      </c>
      <c r="BF555" s="81">
        <f t="shared" si="213"/>
        <v>9.3924867883288243E-14</v>
      </c>
      <c r="BG555" s="81" t="str">
        <f t="shared" si="214"/>
        <v>BASSO</v>
      </c>
      <c r="BK555" s="81" t="str">
        <f t="shared" si="215"/>
        <v>MOLTO BASSO</v>
      </c>
    </row>
    <row r="556" spans="7:63" x14ac:dyDescent="0.15">
      <c r="G556" s="64">
        <f t="shared" si="216"/>
        <v>0</v>
      </c>
      <c r="I556" s="64">
        <f t="shared" si="193"/>
        <v>0</v>
      </c>
      <c r="K556" s="64">
        <f t="shared" si="194"/>
        <v>0</v>
      </c>
      <c r="M556" s="64">
        <f t="shared" si="195"/>
        <v>0</v>
      </c>
      <c r="O556" s="64">
        <f t="shared" si="196"/>
        <v>0</v>
      </c>
      <c r="Q556" s="64">
        <f t="shared" si="197"/>
        <v>0</v>
      </c>
      <c r="S556" s="71">
        <f t="shared" si="198"/>
        <v>0</v>
      </c>
      <c r="U556" s="64">
        <f t="shared" si="199"/>
        <v>0</v>
      </c>
      <c r="W556" s="71">
        <f t="shared" si="200"/>
        <v>0</v>
      </c>
      <c r="Y556" s="71">
        <f t="shared" si="201"/>
        <v>0</v>
      </c>
      <c r="AA556" s="71">
        <f t="shared" si="202"/>
        <v>0</v>
      </c>
      <c r="AC556" s="71">
        <f t="shared" si="203"/>
        <v>0</v>
      </c>
      <c r="AK556" s="71">
        <f t="shared" si="204"/>
        <v>0</v>
      </c>
      <c r="AM556" s="71">
        <f t="shared" si="205"/>
        <v>0</v>
      </c>
      <c r="AO556" s="71">
        <f t="shared" si="206"/>
        <v>0</v>
      </c>
      <c r="AQ556" s="71">
        <f t="shared" si="207"/>
        <v>0</v>
      </c>
      <c r="AT556" s="71">
        <f t="shared" si="208"/>
        <v>0</v>
      </c>
      <c r="AV556" s="71">
        <f t="shared" si="209"/>
        <v>0</v>
      </c>
      <c r="AX556" s="71">
        <f t="shared" si="210"/>
        <v>0</v>
      </c>
      <c r="AZ556" s="71">
        <f t="shared" si="211"/>
        <v>0</v>
      </c>
      <c r="BE556" s="102">
        <f t="shared" si="212"/>
        <v>4.4721359549995796</v>
      </c>
      <c r="BF556" s="81">
        <f t="shared" si="213"/>
        <v>9.3924867883288243E-14</v>
      </c>
      <c r="BG556" s="81" t="str">
        <f t="shared" si="214"/>
        <v>BASSO</v>
      </c>
      <c r="BK556" s="81" t="str">
        <f t="shared" si="215"/>
        <v>MOLTO BASSO</v>
      </c>
    </row>
    <row r="557" spans="7:63" x14ac:dyDescent="0.15">
      <c r="G557" s="64">
        <f t="shared" si="216"/>
        <v>0</v>
      </c>
      <c r="I557" s="64">
        <f t="shared" si="193"/>
        <v>0</v>
      </c>
      <c r="K557" s="64">
        <f t="shared" si="194"/>
        <v>0</v>
      </c>
      <c r="M557" s="64">
        <f t="shared" si="195"/>
        <v>0</v>
      </c>
      <c r="O557" s="64">
        <f t="shared" si="196"/>
        <v>0</v>
      </c>
      <c r="Q557" s="64">
        <f t="shared" si="197"/>
        <v>0</v>
      </c>
      <c r="S557" s="71">
        <f t="shared" si="198"/>
        <v>0</v>
      </c>
      <c r="U557" s="64">
        <f t="shared" si="199"/>
        <v>0</v>
      </c>
      <c r="W557" s="71">
        <f t="shared" si="200"/>
        <v>0</v>
      </c>
      <c r="Y557" s="71">
        <f t="shared" si="201"/>
        <v>0</v>
      </c>
      <c r="AA557" s="71">
        <f t="shared" si="202"/>
        <v>0</v>
      </c>
      <c r="AC557" s="71">
        <f t="shared" si="203"/>
        <v>0</v>
      </c>
      <c r="AK557" s="71">
        <f t="shared" si="204"/>
        <v>0</v>
      </c>
      <c r="AM557" s="71">
        <f t="shared" si="205"/>
        <v>0</v>
      </c>
      <c r="AO557" s="71">
        <f t="shared" si="206"/>
        <v>0</v>
      </c>
      <c r="AQ557" s="71">
        <f t="shared" si="207"/>
        <v>0</v>
      </c>
      <c r="AT557" s="71">
        <f t="shared" si="208"/>
        <v>0</v>
      </c>
      <c r="AV557" s="71">
        <f t="shared" si="209"/>
        <v>0</v>
      </c>
      <c r="AX557" s="71">
        <f t="shared" si="210"/>
        <v>0</v>
      </c>
      <c r="AZ557" s="71">
        <f t="shared" si="211"/>
        <v>0</v>
      </c>
      <c r="BE557" s="102">
        <f t="shared" si="212"/>
        <v>4.4721359549995796</v>
      </c>
      <c r="BF557" s="81">
        <f t="shared" si="213"/>
        <v>9.3924867883288243E-14</v>
      </c>
      <c r="BG557" s="81" t="str">
        <f t="shared" si="214"/>
        <v>BASSO</v>
      </c>
      <c r="BK557" s="81" t="str">
        <f t="shared" si="215"/>
        <v>MOLTO BASSO</v>
      </c>
    </row>
    <row r="558" spans="7:63" x14ac:dyDescent="0.15">
      <c r="G558" s="64">
        <f t="shared" si="216"/>
        <v>0</v>
      </c>
      <c r="I558" s="64">
        <f t="shared" si="193"/>
        <v>0</v>
      </c>
      <c r="K558" s="64">
        <f t="shared" si="194"/>
        <v>0</v>
      </c>
      <c r="M558" s="64">
        <f t="shared" si="195"/>
        <v>0</v>
      </c>
      <c r="O558" s="64">
        <f t="shared" si="196"/>
        <v>0</v>
      </c>
      <c r="Q558" s="64">
        <f t="shared" si="197"/>
        <v>0</v>
      </c>
      <c r="S558" s="71">
        <f t="shared" si="198"/>
        <v>0</v>
      </c>
      <c r="U558" s="64">
        <f t="shared" si="199"/>
        <v>0</v>
      </c>
      <c r="W558" s="71">
        <f t="shared" si="200"/>
        <v>0</v>
      </c>
      <c r="Y558" s="71">
        <f t="shared" si="201"/>
        <v>0</v>
      </c>
      <c r="AA558" s="71">
        <f t="shared" si="202"/>
        <v>0</v>
      </c>
      <c r="AC558" s="71">
        <f t="shared" si="203"/>
        <v>0</v>
      </c>
      <c r="AK558" s="71">
        <f t="shared" si="204"/>
        <v>0</v>
      </c>
      <c r="AM558" s="71">
        <f t="shared" si="205"/>
        <v>0</v>
      </c>
      <c r="AO558" s="71">
        <f t="shared" si="206"/>
        <v>0</v>
      </c>
      <c r="AQ558" s="71">
        <f t="shared" si="207"/>
        <v>0</v>
      </c>
      <c r="AT558" s="71">
        <f t="shared" si="208"/>
        <v>0</v>
      </c>
      <c r="AV558" s="71">
        <f t="shared" si="209"/>
        <v>0</v>
      </c>
      <c r="AX558" s="71">
        <f t="shared" si="210"/>
        <v>0</v>
      </c>
      <c r="AZ558" s="71">
        <f t="shared" si="211"/>
        <v>0</v>
      </c>
      <c r="BE558" s="102">
        <f t="shared" si="212"/>
        <v>4.4721359549995796</v>
      </c>
      <c r="BF558" s="81">
        <f t="shared" si="213"/>
        <v>9.3924867883288243E-14</v>
      </c>
      <c r="BG558" s="81" t="str">
        <f t="shared" si="214"/>
        <v>BASSO</v>
      </c>
      <c r="BK558" s="81" t="str">
        <f t="shared" si="215"/>
        <v>MOLTO BASSO</v>
      </c>
    </row>
    <row r="559" spans="7:63" x14ac:dyDescent="0.15">
      <c r="G559" s="64">
        <f t="shared" si="216"/>
        <v>0</v>
      </c>
      <c r="I559" s="64">
        <f t="shared" si="193"/>
        <v>0</v>
      </c>
      <c r="K559" s="64">
        <f t="shared" si="194"/>
        <v>0</v>
      </c>
      <c r="M559" s="64">
        <f t="shared" si="195"/>
        <v>0</v>
      </c>
      <c r="O559" s="64">
        <f t="shared" si="196"/>
        <v>0</v>
      </c>
      <c r="Q559" s="64">
        <f t="shared" si="197"/>
        <v>0</v>
      </c>
      <c r="S559" s="71">
        <f t="shared" si="198"/>
        <v>0</v>
      </c>
      <c r="U559" s="64">
        <f t="shared" si="199"/>
        <v>0</v>
      </c>
      <c r="W559" s="71">
        <f t="shared" si="200"/>
        <v>0</v>
      </c>
      <c r="Y559" s="71">
        <f t="shared" si="201"/>
        <v>0</v>
      </c>
      <c r="AA559" s="71">
        <f t="shared" si="202"/>
        <v>0</v>
      </c>
      <c r="AC559" s="71">
        <f t="shared" si="203"/>
        <v>0</v>
      </c>
      <c r="AK559" s="71">
        <f t="shared" si="204"/>
        <v>0</v>
      </c>
      <c r="AM559" s="71">
        <f t="shared" si="205"/>
        <v>0</v>
      </c>
      <c r="AO559" s="71">
        <f t="shared" si="206"/>
        <v>0</v>
      </c>
      <c r="AQ559" s="71">
        <f t="shared" si="207"/>
        <v>0</v>
      </c>
      <c r="AT559" s="71">
        <f t="shared" si="208"/>
        <v>0</v>
      </c>
      <c r="AV559" s="71">
        <f t="shared" si="209"/>
        <v>0</v>
      </c>
      <c r="AX559" s="71">
        <f t="shared" si="210"/>
        <v>0</v>
      </c>
      <c r="AZ559" s="71">
        <f t="shared" si="211"/>
        <v>0</v>
      </c>
      <c r="BE559" s="102">
        <f t="shared" si="212"/>
        <v>4.4721359549995796</v>
      </c>
      <c r="BF559" s="81">
        <f t="shared" si="213"/>
        <v>9.3924867883288243E-14</v>
      </c>
      <c r="BG559" s="81" t="str">
        <f t="shared" si="214"/>
        <v>BASSO</v>
      </c>
      <c r="BK559" s="81" t="str">
        <f t="shared" si="215"/>
        <v>MOLTO BASSO</v>
      </c>
    </row>
    <row r="560" spans="7:63" x14ac:dyDescent="0.15">
      <c r="G560" s="64">
        <f t="shared" si="216"/>
        <v>0</v>
      </c>
      <c r="I560" s="64">
        <f t="shared" si="193"/>
        <v>0</v>
      </c>
      <c r="K560" s="64">
        <f t="shared" si="194"/>
        <v>0</v>
      </c>
      <c r="M560" s="64">
        <f t="shared" si="195"/>
        <v>0</v>
      </c>
      <c r="O560" s="64">
        <f t="shared" si="196"/>
        <v>0</v>
      </c>
      <c r="Q560" s="64">
        <f t="shared" si="197"/>
        <v>0</v>
      </c>
      <c r="S560" s="71">
        <f t="shared" si="198"/>
        <v>0</v>
      </c>
      <c r="U560" s="64">
        <f t="shared" si="199"/>
        <v>0</v>
      </c>
      <c r="W560" s="71">
        <f t="shared" si="200"/>
        <v>0</v>
      </c>
      <c r="Y560" s="71">
        <f t="shared" si="201"/>
        <v>0</v>
      </c>
      <c r="AA560" s="71">
        <f t="shared" si="202"/>
        <v>0</v>
      </c>
      <c r="AC560" s="71">
        <f t="shared" si="203"/>
        <v>0</v>
      </c>
      <c r="AK560" s="71">
        <f t="shared" si="204"/>
        <v>0</v>
      </c>
      <c r="AM560" s="71">
        <f t="shared" si="205"/>
        <v>0</v>
      </c>
      <c r="AO560" s="71">
        <f t="shared" si="206"/>
        <v>0</v>
      </c>
      <c r="AQ560" s="71">
        <f t="shared" si="207"/>
        <v>0</v>
      </c>
      <c r="AT560" s="71">
        <f t="shared" si="208"/>
        <v>0</v>
      </c>
      <c r="AV560" s="71">
        <f t="shared" si="209"/>
        <v>0</v>
      </c>
      <c r="AX560" s="71">
        <f t="shared" si="210"/>
        <v>0</v>
      </c>
      <c r="AZ560" s="71">
        <f t="shared" si="211"/>
        <v>0</v>
      </c>
      <c r="BE560" s="102">
        <f t="shared" si="212"/>
        <v>4.4721359549995796</v>
      </c>
      <c r="BF560" s="81">
        <f t="shared" si="213"/>
        <v>9.3924867883288243E-14</v>
      </c>
      <c r="BG560" s="81" t="str">
        <f t="shared" si="214"/>
        <v>BASSO</v>
      </c>
      <c r="BK560" s="81" t="str">
        <f t="shared" si="215"/>
        <v>MOLTO BASSO</v>
      </c>
    </row>
    <row r="561" spans="7:63" x14ac:dyDescent="0.15">
      <c r="G561" s="64">
        <f t="shared" si="216"/>
        <v>0</v>
      </c>
      <c r="I561" s="64">
        <f t="shared" si="193"/>
        <v>0</v>
      </c>
      <c r="K561" s="64">
        <f t="shared" si="194"/>
        <v>0</v>
      </c>
      <c r="M561" s="64">
        <f t="shared" si="195"/>
        <v>0</v>
      </c>
      <c r="O561" s="64">
        <f t="shared" si="196"/>
        <v>0</v>
      </c>
      <c r="Q561" s="64">
        <f t="shared" si="197"/>
        <v>0</v>
      </c>
      <c r="S561" s="71">
        <f t="shared" si="198"/>
        <v>0</v>
      </c>
      <c r="U561" s="64">
        <f t="shared" si="199"/>
        <v>0</v>
      </c>
      <c r="W561" s="71">
        <f t="shared" si="200"/>
        <v>0</v>
      </c>
      <c r="Y561" s="71">
        <f t="shared" si="201"/>
        <v>0</v>
      </c>
      <c r="AA561" s="71">
        <f t="shared" si="202"/>
        <v>0</v>
      </c>
      <c r="AC561" s="71">
        <f t="shared" si="203"/>
        <v>0</v>
      </c>
      <c r="AK561" s="71">
        <f t="shared" si="204"/>
        <v>0</v>
      </c>
      <c r="AM561" s="71">
        <f t="shared" si="205"/>
        <v>0</v>
      </c>
      <c r="AO561" s="71">
        <f t="shared" si="206"/>
        <v>0</v>
      </c>
      <c r="AQ561" s="71">
        <f t="shared" si="207"/>
        <v>0</v>
      </c>
      <c r="AT561" s="71">
        <f t="shared" si="208"/>
        <v>0</v>
      </c>
      <c r="AV561" s="71">
        <f t="shared" si="209"/>
        <v>0</v>
      </c>
      <c r="AX561" s="71">
        <f t="shared" si="210"/>
        <v>0</v>
      </c>
      <c r="AZ561" s="71">
        <f t="shared" si="211"/>
        <v>0</v>
      </c>
      <c r="BE561" s="102">
        <f t="shared" si="212"/>
        <v>4.4721359549995796</v>
      </c>
      <c r="BF561" s="81">
        <f t="shared" si="213"/>
        <v>9.3924867883288243E-14</v>
      </c>
      <c r="BG561" s="81" t="str">
        <f t="shared" si="214"/>
        <v>BASSO</v>
      </c>
      <c r="BK561" s="81" t="str">
        <f t="shared" si="215"/>
        <v>MOLTO BASSO</v>
      </c>
    </row>
    <row r="562" spans="7:63" x14ac:dyDescent="0.15">
      <c r="G562" s="64">
        <f t="shared" si="216"/>
        <v>0</v>
      </c>
      <c r="I562" s="64">
        <f t="shared" si="193"/>
        <v>0</v>
      </c>
      <c r="K562" s="64">
        <f t="shared" si="194"/>
        <v>0</v>
      </c>
      <c r="M562" s="64">
        <f t="shared" si="195"/>
        <v>0</v>
      </c>
      <c r="O562" s="64">
        <f t="shared" si="196"/>
        <v>0</v>
      </c>
      <c r="Q562" s="64">
        <f t="shared" si="197"/>
        <v>0</v>
      </c>
      <c r="S562" s="71">
        <f t="shared" si="198"/>
        <v>0</v>
      </c>
      <c r="U562" s="64">
        <f t="shared" si="199"/>
        <v>0</v>
      </c>
      <c r="W562" s="71">
        <f t="shared" si="200"/>
        <v>0</v>
      </c>
      <c r="Y562" s="71">
        <f t="shared" si="201"/>
        <v>0</v>
      </c>
      <c r="AA562" s="71">
        <f t="shared" si="202"/>
        <v>0</v>
      </c>
      <c r="AC562" s="71">
        <f t="shared" si="203"/>
        <v>0</v>
      </c>
      <c r="AK562" s="71">
        <f t="shared" si="204"/>
        <v>0</v>
      </c>
      <c r="AM562" s="71">
        <f t="shared" si="205"/>
        <v>0</v>
      </c>
      <c r="AO562" s="71">
        <f t="shared" si="206"/>
        <v>0</v>
      </c>
      <c r="AQ562" s="71">
        <f t="shared" si="207"/>
        <v>0</v>
      </c>
      <c r="AT562" s="71">
        <f t="shared" si="208"/>
        <v>0</v>
      </c>
      <c r="AV562" s="71">
        <f t="shared" si="209"/>
        <v>0</v>
      </c>
      <c r="AX562" s="71">
        <f t="shared" si="210"/>
        <v>0</v>
      </c>
      <c r="AZ562" s="71">
        <f t="shared" si="211"/>
        <v>0</v>
      </c>
      <c r="BE562" s="102">
        <f t="shared" si="212"/>
        <v>4.4721359549995796</v>
      </c>
      <c r="BF562" s="81">
        <f t="shared" si="213"/>
        <v>9.3924867883288243E-14</v>
      </c>
      <c r="BG562" s="81" t="str">
        <f t="shared" si="214"/>
        <v>BASSO</v>
      </c>
      <c r="BK562" s="81" t="str">
        <f t="shared" si="215"/>
        <v>MOLTO BASSO</v>
      </c>
    </row>
    <row r="563" spans="7:63" x14ac:dyDescent="0.15">
      <c r="G563" s="64">
        <f t="shared" si="216"/>
        <v>0</v>
      </c>
      <c r="I563" s="64">
        <f t="shared" si="193"/>
        <v>0</v>
      </c>
      <c r="K563" s="64">
        <f t="shared" si="194"/>
        <v>0</v>
      </c>
      <c r="M563" s="64">
        <f t="shared" si="195"/>
        <v>0</v>
      </c>
      <c r="O563" s="64">
        <f t="shared" si="196"/>
        <v>0</v>
      </c>
      <c r="Q563" s="64">
        <f t="shared" si="197"/>
        <v>0</v>
      </c>
      <c r="S563" s="71">
        <f t="shared" si="198"/>
        <v>0</v>
      </c>
      <c r="U563" s="64">
        <f t="shared" si="199"/>
        <v>0</v>
      </c>
      <c r="W563" s="71">
        <f t="shared" si="200"/>
        <v>0</v>
      </c>
      <c r="Y563" s="71">
        <f t="shared" si="201"/>
        <v>0</v>
      </c>
      <c r="AA563" s="71">
        <f t="shared" si="202"/>
        <v>0</v>
      </c>
      <c r="AC563" s="71">
        <f t="shared" si="203"/>
        <v>0</v>
      </c>
      <c r="AK563" s="71">
        <f t="shared" si="204"/>
        <v>0</v>
      </c>
      <c r="AM563" s="71">
        <f t="shared" si="205"/>
        <v>0</v>
      </c>
      <c r="AO563" s="71">
        <f t="shared" si="206"/>
        <v>0</v>
      </c>
      <c r="AQ563" s="71">
        <f t="shared" si="207"/>
        <v>0</v>
      </c>
      <c r="AT563" s="71">
        <f t="shared" si="208"/>
        <v>0</v>
      </c>
      <c r="AV563" s="71">
        <f t="shared" si="209"/>
        <v>0</v>
      </c>
      <c r="AX563" s="71">
        <f t="shared" si="210"/>
        <v>0</v>
      </c>
      <c r="AZ563" s="71">
        <f t="shared" si="211"/>
        <v>0</v>
      </c>
      <c r="BE563" s="102">
        <f t="shared" si="212"/>
        <v>4.4721359549995796</v>
      </c>
      <c r="BF563" s="81">
        <f t="shared" si="213"/>
        <v>9.3924867883288243E-14</v>
      </c>
      <c r="BG563" s="81" t="str">
        <f t="shared" si="214"/>
        <v>BASSO</v>
      </c>
      <c r="BK563" s="81" t="str">
        <f t="shared" si="215"/>
        <v>MOLTO BASSO</v>
      </c>
    </row>
    <row r="564" spans="7:63" x14ac:dyDescent="0.15">
      <c r="G564" s="64">
        <f t="shared" si="216"/>
        <v>0</v>
      </c>
      <c r="I564" s="64">
        <f t="shared" si="193"/>
        <v>0</v>
      </c>
      <c r="K564" s="64">
        <f t="shared" si="194"/>
        <v>0</v>
      </c>
      <c r="M564" s="64">
        <f t="shared" si="195"/>
        <v>0</v>
      </c>
      <c r="O564" s="64">
        <f t="shared" si="196"/>
        <v>0</v>
      </c>
      <c r="Q564" s="64">
        <f t="shared" si="197"/>
        <v>0</v>
      </c>
      <c r="S564" s="71">
        <f t="shared" si="198"/>
        <v>0</v>
      </c>
      <c r="U564" s="64">
        <f t="shared" si="199"/>
        <v>0</v>
      </c>
      <c r="W564" s="71">
        <f t="shared" si="200"/>
        <v>0</v>
      </c>
      <c r="Y564" s="71">
        <f t="shared" si="201"/>
        <v>0</v>
      </c>
      <c r="AA564" s="71">
        <f t="shared" si="202"/>
        <v>0</v>
      </c>
      <c r="AC564" s="71">
        <f t="shared" si="203"/>
        <v>0</v>
      </c>
      <c r="AK564" s="71">
        <f t="shared" si="204"/>
        <v>0</v>
      </c>
      <c r="AM564" s="71">
        <f t="shared" si="205"/>
        <v>0</v>
      </c>
      <c r="AO564" s="71">
        <f t="shared" si="206"/>
        <v>0</v>
      </c>
      <c r="AQ564" s="71">
        <f t="shared" si="207"/>
        <v>0</v>
      </c>
      <c r="AT564" s="71">
        <f t="shared" si="208"/>
        <v>0</v>
      </c>
      <c r="AV564" s="71">
        <f t="shared" si="209"/>
        <v>0</v>
      </c>
      <c r="AX564" s="71">
        <f t="shared" si="210"/>
        <v>0</v>
      </c>
      <c r="AZ564" s="71">
        <f t="shared" si="211"/>
        <v>0</v>
      </c>
      <c r="BE564" s="102">
        <f t="shared" si="212"/>
        <v>4.4721359549995796</v>
      </c>
      <c r="BF564" s="81">
        <f t="shared" si="213"/>
        <v>9.3924867883288243E-14</v>
      </c>
      <c r="BG564" s="81" t="str">
        <f t="shared" si="214"/>
        <v>BASSO</v>
      </c>
      <c r="BK564" s="81" t="str">
        <f t="shared" si="215"/>
        <v>MOLTO BASSO</v>
      </c>
    </row>
    <row r="565" spans="7:63" x14ac:dyDescent="0.15">
      <c r="G565" s="64">
        <f t="shared" si="216"/>
        <v>0</v>
      </c>
      <c r="I565" s="64">
        <f t="shared" si="193"/>
        <v>0</v>
      </c>
      <c r="K565" s="64">
        <f t="shared" si="194"/>
        <v>0</v>
      </c>
      <c r="M565" s="64">
        <f t="shared" si="195"/>
        <v>0</v>
      </c>
      <c r="O565" s="64">
        <f t="shared" si="196"/>
        <v>0</v>
      </c>
      <c r="Q565" s="64">
        <f t="shared" si="197"/>
        <v>0</v>
      </c>
      <c r="S565" s="71">
        <f t="shared" si="198"/>
        <v>0</v>
      </c>
      <c r="U565" s="64">
        <f t="shared" si="199"/>
        <v>0</v>
      </c>
      <c r="W565" s="71">
        <f t="shared" si="200"/>
        <v>0</v>
      </c>
      <c r="Y565" s="71">
        <f t="shared" si="201"/>
        <v>0</v>
      </c>
      <c r="AA565" s="71">
        <f t="shared" si="202"/>
        <v>0</v>
      </c>
      <c r="AC565" s="71">
        <f t="shared" si="203"/>
        <v>0</v>
      </c>
      <c r="AK565" s="71">
        <f t="shared" si="204"/>
        <v>0</v>
      </c>
      <c r="AM565" s="71">
        <f t="shared" si="205"/>
        <v>0</v>
      </c>
      <c r="AO565" s="71">
        <f t="shared" si="206"/>
        <v>0</v>
      </c>
      <c r="AQ565" s="71">
        <f t="shared" si="207"/>
        <v>0</v>
      </c>
      <c r="AT565" s="71">
        <f t="shared" si="208"/>
        <v>0</v>
      </c>
      <c r="AV565" s="71">
        <f t="shared" si="209"/>
        <v>0</v>
      </c>
      <c r="AX565" s="71">
        <f t="shared" si="210"/>
        <v>0</v>
      </c>
      <c r="AZ565" s="71">
        <f t="shared" si="211"/>
        <v>0</v>
      </c>
      <c r="BE565" s="102">
        <f t="shared" si="212"/>
        <v>4.4721359549995796</v>
      </c>
      <c r="BF565" s="81">
        <f t="shared" si="213"/>
        <v>9.3924867883288243E-14</v>
      </c>
      <c r="BG565" s="81" t="str">
        <f t="shared" si="214"/>
        <v>BASSO</v>
      </c>
      <c r="BK565" s="81" t="str">
        <f t="shared" si="215"/>
        <v>MOLTO BASSO</v>
      </c>
    </row>
    <row r="566" spans="7:63" x14ac:dyDescent="0.15">
      <c r="G566" s="64">
        <f t="shared" si="216"/>
        <v>0</v>
      </c>
      <c r="I566" s="64">
        <f t="shared" si="193"/>
        <v>0</v>
      </c>
      <c r="K566" s="64">
        <f t="shared" si="194"/>
        <v>0</v>
      </c>
      <c r="M566" s="64">
        <f t="shared" si="195"/>
        <v>0</v>
      </c>
      <c r="O566" s="64">
        <f t="shared" si="196"/>
        <v>0</v>
      </c>
      <c r="Q566" s="64">
        <f t="shared" si="197"/>
        <v>0</v>
      </c>
      <c r="S566" s="71">
        <f t="shared" si="198"/>
        <v>0</v>
      </c>
      <c r="U566" s="64">
        <f t="shared" si="199"/>
        <v>0</v>
      </c>
      <c r="W566" s="71">
        <f t="shared" si="200"/>
        <v>0</v>
      </c>
      <c r="Y566" s="71">
        <f t="shared" si="201"/>
        <v>0</v>
      </c>
      <c r="AA566" s="71">
        <f t="shared" si="202"/>
        <v>0</v>
      </c>
      <c r="AC566" s="71">
        <f t="shared" si="203"/>
        <v>0</v>
      </c>
      <c r="AK566" s="71">
        <f t="shared" si="204"/>
        <v>0</v>
      </c>
      <c r="AM566" s="71">
        <f t="shared" si="205"/>
        <v>0</v>
      </c>
      <c r="AO566" s="71">
        <f t="shared" si="206"/>
        <v>0</v>
      </c>
      <c r="AQ566" s="71">
        <f t="shared" si="207"/>
        <v>0</v>
      </c>
      <c r="AT566" s="71">
        <f t="shared" si="208"/>
        <v>0</v>
      </c>
      <c r="AV566" s="71">
        <f t="shared" si="209"/>
        <v>0</v>
      </c>
      <c r="AX566" s="71">
        <f t="shared" si="210"/>
        <v>0</v>
      </c>
      <c r="AZ566" s="71">
        <f t="shared" si="211"/>
        <v>0</v>
      </c>
      <c r="BE566" s="102">
        <f t="shared" si="212"/>
        <v>4.4721359549995796</v>
      </c>
      <c r="BF566" s="81">
        <f t="shared" si="213"/>
        <v>9.3924867883288243E-14</v>
      </c>
      <c r="BG566" s="81" t="str">
        <f t="shared" si="214"/>
        <v>BASSO</v>
      </c>
      <c r="BK566" s="81" t="str">
        <f t="shared" si="215"/>
        <v>MOLTO BASSO</v>
      </c>
    </row>
    <row r="567" spans="7:63" x14ac:dyDescent="0.15">
      <c r="G567" s="64">
        <f t="shared" si="216"/>
        <v>0</v>
      </c>
      <c r="I567" s="64">
        <f t="shared" si="193"/>
        <v>0</v>
      </c>
      <c r="K567" s="64">
        <f t="shared" si="194"/>
        <v>0</v>
      </c>
      <c r="M567" s="64">
        <f t="shared" si="195"/>
        <v>0</v>
      </c>
      <c r="O567" s="64">
        <f t="shared" si="196"/>
        <v>0</v>
      </c>
      <c r="Q567" s="64">
        <f t="shared" si="197"/>
        <v>0</v>
      </c>
      <c r="S567" s="71">
        <f t="shared" si="198"/>
        <v>0</v>
      </c>
      <c r="U567" s="64">
        <f t="shared" si="199"/>
        <v>0</v>
      </c>
      <c r="W567" s="71">
        <f t="shared" si="200"/>
        <v>0</v>
      </c>
      <c r="Y567" s="71">
        <f t="shared" si="201"/>
        <v>0</v>
      </c>
      <c r="AA567" s="71">
        <f t="shared" si="202"/>
        <v>0</v>
      </c>
      <c r="AC567" s="71">
        <f t="shared" si="203"/>
        <v>0</v>
      </c>
      <c r="AK567" s="71">
        <f t="shared" si="204"/>
        <v>0</v>
      </c>
      <c r="AM567" s="71">
        <f t="shared" si="205"/>
        <v>0</v>
      </c>
      <c r="AO567" s="71">
        <f t="shared" si="206"/>
        <v>0</v>
      </c>
      <c r="AQ567" s="71">
        <f t="shared" si="207"/>
        <v>0</v>
      </c>
      <c r="AT567" s="71">
        <f t="shared" si="208"/>
        <v>0</v>
      </c>
      <c r="AV567" s="71">
        <f t="shared" si="209"/>
        <v>0</v>
      </c>
      <c r="AX567" s="71">
        <f t="shared" si="210"/>
        <v>0</v>
      </c>
      <c r="AZ567" s="71">
        <f t="shared" si="211"/>
        <v>0</v>
      </c>
      <c r="BE567" s="102">
        <f t="shared" si="212"/>
        <v>4.4721359549995796</v>
      </c>
      <c r="BF567" s="81">
        <f t="shared" si="213"/>
        <v>9.3924867883288243E-14</v>
      </c>
      <c r="BG567" s="81" t="str">
        <f t="shared" si="214"/>
        <v>BASSO</v>
      </c>
      <c r="BK567" s="81" t="str">
        <f t="shared" si="215"/>
        <v>MOLTO BASSO</v>
      </c>
    </row>
    <row r="568" spans="7:63" x14ac:dyDescent="0.15">
      <c r="G568" s="64">
        <f t="shared" si="216"/>
        <v>0</v>
      </c>
      <c r="I568" s="64">
        <f t="shared" si="193"/>
        <v>0</v>
      </c>
      <c r="K568" s="64">
        <f t="shared" si="194"/>
        <v>0</v>
      </c>
      <c r="M568" s="64">
        <f t="shared" si="195"/>
        <v>0</v>
      </c>
      <c r="O568" s="64">
        <f t="shared" si="196"/>
        <v>0</v>
      </c>
      <c r="Q568" s="64">
        <f t="shared" si="197"/>
        <v>0</v>
      </c>
      <c r="S568" s="71">
        <f t="shared" si="198"/>
        <v>0</v>
      </c>
      <c r="U568" s="64">
        <f t="shared" si="199"/>
        <v>0</v>
      </c>
      <c r="W568" s="71">
        <f t="shared" si="200"/>
        <v>0</v>
      </c>
      <c r="Y568" s="71">
        <f t="shared" si="201"/>
        <v>0</v>
      </c>
      <c r="AA568" s="71">
        <f t="shared" si="202"/>
        <v>0</v>
      </c>
      <c r="AC568" s="71">
        <f t="shared" si="203"/>
        <v>0</v>
      </c>
      <c r="AK568" s="71">
        <f t="shared" si="204"/>
        <v>0</v>
      </c>
      <c r="AM568" s="71">
        <f t="shared" si="205"/>
        <v>0</v>
      </c>
      <c r="AO568" s="71">
        <f t="shared" si="206"/>
        <v>0</v>
      </c>
      <c r="AQ568" s="71">
        <f t="shared" si="207"/>
        <v>0</v>
      </c>
      <c r="AT568" s="71">
        <f t="shared" si="208"/>
        <v>0</v>
      </c>
      <c r="AV568" s="71">
        <f t="shared" si="209"/>
        <v>0</v>
      </c>
      <c r="AX568" s="71">
        <f t="shared" si="210"/>
        <v>0</v>
      </c>
      <c r="AZ568" s="71">
        <f t="shared" si="211"/>
        <v>0</v>
      </c>
      <c r="BE568" s="102">
        <f t="shared" si="212"/>
        <v>4.4721359549995796</v>
      </c>
      <c r="BF568" s="81">
        <f t="shared" si="213"/>
        <v>9.3924867883288243E-14</v>
      </c>
      <c r="BG568" s="81" t="str">
        <f t="shared" si="214"/>
        <v>BASSO</v>
      </c>
      <c r="BK568" s="81" t="str">
        <f t="shared" si="215"/>
        <v>MOLTO BASSO</v>
      </c>
    </row>
    <row r="569" spans="7:63" x14ac:dyDescent="0.15">
      <c r="G569" s="64">
        <f t="shared" si="216"/>
        <v>0</v>
      </c>
      <c r="I569" s="64">
        <f t="shared" si="193"/>
        <v>0</v>
      </c>
      <c r="K569" s="64">
        <f t="shared" si="194"/>
        <v>0</v>
      </c>
      <c r="M569" s="64">
        <f t="shared" si="195"/>
        <v>0</v>
      </c>
      <c r="O569" s="64">
        <f t="shared" si="196"/>
        <v>0</v>
      </c>
      <c r="Q569" s="64">
        <f t="shared" si="197"/>
        <v>0</v>
      </c>
      <c r="S569" s="71">
        <f t="shared" si="198"/>
        <v>0</v>
      </c>
      <c r="U569" s="64">
        <f t="shared" si="199"/>
        <v>0</v>
      </c>
      <c r="W569" s="71">
        <f t="shared" si="200"/>
        <v>0</v>
      </c>
      <c r="Y569" s="71">
        <f t="shared" si="201"/>
        <v>0</v>
      </c>
      <c r="AA569" s="71">
        <f t="shared" si="202"/>
        <v>0</v>
      </c>
      <c r="AC569" s="71">
        <f t="shared" si="203"/>
        <v>0</v>
      </c>
      <c r="AK569" s="71">
        <f t="shared" si="204"/>
        <v>0</v>
      </c>
      <c r="AM569" s="71">
        <f t="shared" si="205"/>
        <v>0</v>
      </c>
      <c r="AO569" s="71">
        <f t="shared" si="206"/>
        <v>0</v>
      </c>
      <c r="AQ569" s="71">
        <f t="shared" si="207"/>
        <v>0</v>
      </c>
      <c r="AT569" s="71">
        <f t="shared" si="208"/>
        <v>0</v>
      </c>
      <c r="AV569" s="71">
        <f t="shared" si="209"/>
        <v>0</v>
      </c>
      <c r="AX569" s="71">
        <f t="shared" si="210"/>
        <v>0</v>
      </c>
      <c r="AZ569" s="71">
        <f t="shared" si="211"/>
        <v>0</v>
      </c>
      <c r="BE569" s="102">
        <f t="shared" si="212"/>
        <v>4.4721359549995796</v>
      </c>
      <c r="BF569" s="81">
        <f t="shared" si="213"/>
        <v>9.3924867883288243E-14</v>
      </c>
      <c r="BG569" s="81" t="str">
        <f t="shared" si="214"/>
        <v>BASSO</v>
      </c>
      <c r="BK569" s="81" t="str">
        <f t="shared" si="215"/>
        <v>MOLTO BASSO</v>
      </c>
    </row>
    <row r="570" spans="7:63" x14ac:dyDescent="0.15">
      <c r="G570" s="64">
        <f t="shared" si="216"/>
        <v>0</v>
      </c>
      <c r="I570" s="64">
        <f t="shared" si="193"/>
        <v>0</v>
      </c>
      <c r="K570" s="64">
        <f t="shared" si="194"/>
        <v>0</v>
      </c>
      <c r="M570" s="64">
        <f t="shared" si="195"/>
        <v>0</v>
      </c>
      <c r="O570" s="64">
        <f t="shared" si="196"/>
        <v>0</v>
      </c>
      <c r="Q570" s="64">
        <f t="shared" si="197"/>
        <v>0</v>
      </c>
      <c r="S570" s="71">
        <f t="shared" si="198"/>
        <v>0</v>
      </c>
      <c r="U570" s="64">
        <f t="shared" si="199"/>
        <v>0</v>
      </c>
      <c r="W570" s="71">
        <f t="shared" si="200"/>
        <v>0</v>
      </c>
      <c r="Y570" s="71">
        <f t="shared" si="201"/>
        <v>0</v>
      </c>
      <c r="AA570" s="71">
        <f t="shared" si="202"/>
        <v>0</v>
      </c>
      <c r="AC570" s="71">
        <f t="shared" si="203"/>
        <v>0</v>
      </c>
      <c r="AK570" s="71">
        <f t="shared" si="204"/>
        <v>0</v>
      </c>
      <c r="AM570" s="71">
        <f t="shared" si="205"/>
        <v>0</v>
      </c>
      <c r="AO570" s="71">
        <f t="shared" si="206"/>
        <v>0</v>
      </c>
      <c r="AQ570" s="71">
        <f t="shared" si="207"/>
        <v>0</v>
      </c>
      <c r="AT570" s="71">
        <f t="shared" si="208"/>
        <v>0</v>
      </c>
      <c r="AV570" s="71">
        <f t="shared" si="209"/>
        <v>0</v>
      </c>
      <c r="AX570" s="71">
        <f t="shared" si="210"/>
        <v>0</v>
      </c>
      <c r="AZ570" s="71">
        <f t="shared" si="211"/>
        <v>0</v>
      </c>
      <c r="BE570" s="102">
        <f t="shared" si="212"/>
        <v>4.4721359549995796</v>
      </c>
      <c r="BF570" s="81">
        <f t="shared" si="213"/>
        <v>9.3924867883288243E-14</v>
      </c>
      <c r="BG570" s="81" t="str">
        <f t="shared" si="214"/>
        <v>BASSO</v>
      </c>
      <c r="BK570" s="81" t="str">
        <f t="shared" si="215"/>
        <v>MOLTO BASSO</v>
      </c>
    </row>
    <row r="571" spans="7:63" x14ac:dyDescent="0.15">
      <c r="G571" s="64">
        <f t="shared" si="216"/>
        <v>0</v>
      </c>
      <c r="I571" s="64">
        <f t="shared" si="193"/>
        <v>0</v>
      </c>
      <c r="K571" s="64">
        <f t="shared" si="194"/>
        <v>0</v>
      </c>
      <c r="M571" s="64">
        <f t="shared" si="195"/>
        <v>0</v>
      </c>
      <c r="O571" s="64">
        <f t="shared" si="196"/>
        <v>0</v>
      </c>
      <c r="Q571" s="64">
        <f t="shared" si="197"/>
        <v>0</v>
      </c>
      <c r="S571" s="71">
        <f t="shared" si="198"/>
        <v>0</v>
      </c>
      <c r="U571" s="64">
        <f t="shared" si="199"/>
        <v>0</v>
      </c>
      <c r="W571" s="71">
        <f t="shared" si="200"/>
        <v>0</v>
      </c>
      <c r="Y571" s="71">
        <f t="shared" si="201"/>
        <v>0</v>
      </c>
      <c r="AA571" s="71">
        <f t="shared" si="202"/>
        <v>0</v>
      </c>
      <c r="AC571" s="71">
        <f t="shared" si="203"/>
        <v>0</v>
      </c>
      <c r="AK571" s="71">
        <f t="shared" si="204"/>
        <v>0</v>
      </c>
      <c r="AM571" s="71">
        <f t="shared" si="205"/>
        <v>0</v>
      </c>
      <c r="AO571" s="71">
        <f t="shared" si="206"/>
        <v>0</v>
      </c>
      <c r="AQ571" s="71">
        <f t="shared" si="207"/>
        <v>0</v>
      </c>
      <c r="AT571" s="71">
        <f t="shared" si="208"/>
        <v>0</v>
      </c>
      <c r="AV571" s="71">
        <f t="shared" si="209"/>
        <v>0</v>
      </c>
      <c r="AX571" s="71">
        <f t="shared" si="210"/>
        <v>0</v>
      </c>
      <c r="AZ571" s="71">
        <f t="shared" si="211"/>
        <v>0</v>
      </c>
      <c r="BE571" s="102">
        <f t="shared" si="212"/>
        <v>4.4721359549995796</v>
      </c>
      <c r="BF571" s="81">
        <f t="shared" si="213"/>
        <v>9.3924867883288243E-14</v>
      </c>
      <c r="BG571" s="81" t="str">
        <f t="shared" si="214"/>
        <v>BASSO</v>
      </c>
      <c r="BK571" s="81" t="str">
        <f t="shared" si="215"/>
        <v>MOLTO BASSO</v>
      </c>
    </row>
    <row r="572" spans="7:63" x14ac:dyDescent="0.15">
      <c r="G572" s="64">
        <f t="shared" si="216"/>
        <v>0</v>
      </c>
      <c r="I572" s="64">
        <f t="shared" si="193"/>
        <v>0</v>
      </c>
      <c r="K572" s="64">
        <f t="shared" si="194"/>
        <v>0</v>
      </c>
      <c r="M572" s="64">
        <f t="shared" si="195"/>
        <v>0</v>
      </c>
      <c r="O572" s="64">
        <f t="shared" si="196"/>
        <v>0</v>
      </c>
      <c r="Q572" s="64">
        <f t="shared" si="197"/>
        <v>0</v>
      </c>
      <c r="S572" s="71">
        <f t="shared" si="198"/>
        <v>0</v>
      </c>
      <c r="U572" s="64">
        <f t="shared" si="199"/>
        <v>0</v>
      </c>
      <c r="W572" s="71">
        <f t="shared" si="200"/>
        <v>0</v>
      </c>
      <c r="Y572" s="71">
        <f t="shared" si="201"/>
        <v>0</v>
      </c>
      <c r="AA572" s="71">
        <f t="shared" si="202"/>
        <v>0</v>
      </c>
      <c r="AC572" s="71">
        <f t="shared" si="203"/>
        <v>0</v>
      </c>
      <c r="AK572" s="71">
        <f t="shared" si="204"/>
        <v>0</v>
      </c>
      <c r="AM572" s="71">
        <f t="shared" si="205"/>
        <v>0</v>
      </c>
      <c r="AO572" s="71">
        <f t="shared" si="206"/>
        <v>0</v>
      </c>
      <c r="AQ572" s="71">
        <f t="shared" si="207"/>
        <v>0</v>
      </c>
      <c r="AT572" s="71">
        <f t="shared" si="208"/>
        <v>0</v>
      </c>
      <c r="AV572" s="71">
        <f t="shared" si="209"/>
        <v>0</v>
      </c>
      <c r="AX572" s="71">
        <f t="shared" si="210"/>
        <v>0</v>
      </c>
      <c r="AZ572" s="71">
        <f t="shared" si="211"/>
        <v>0</v>
      </c>
      <c r="BE572" s="102">
        <f t="shared" si="212"/>
        <v>4.4721359549995796</v>
      </c>
      <c r="BF572" s="81">
        <f t="shared" si="213"/>
        <v>9.3924867883288243E-14</v>
      </c>
      <c r="BG572" s="81" t="str">
        <f t="shared" si="214"/>
        <v>BASSO</v>
      </c>
      <c r="BK572" s="81" t="str">
        <f t="shared" si="215"/>
        <v>MOLTO BASSO</v>
      </c>
    </row>
    <row r="573" spans="7:63" x14ac:dyDescent="0.15">
      <c r="G573" s="64">
        <f t="shared" si="216"/>
        <v>0</v>
      </c>
      <c r="I573" s="64">
        <f t="shared" si="193"/>
        <v>0</v>
      </c>
      <c r="K573" s="64">
        <f t="shared" si="194"/>
        <v>0</v>
      </c>
      <c r="M573" s="64">
        <f t="shared" si="195"/>
        <v>0</v>
      </c>
      <c r="O573" s="64">
        <f t="shared" si="196"/>
        <v>0</v>
      </c>
      <c r="Q573" s="64">
        <f t="shared" si="197"/>
        <v>0</v>
      </c>
      <c r="S573" s="71">
        <f t="shared" si="198"/>
        <v>0</v>
      </c>
      <c r="U573" s="64">
        <f t="shared" si="199"/>
        <v>0</v>
      </c>
      <c r="W573" s="71">
        <f t="shared" si="200"/>
        <v>0</v>
      </c>
      <c r="Y573" s="71">
        <f t="shared" si="201"/>
        <v>0</v>
      </c>
      <c r="AA573" s="71">
        <f t="shared" si="202"/>
        <v>0</v>
      </c>
      <c r="AC573" s="71">
        <f t="shared" si="203"/>
        <v>0</v>
      </c>
      <c r="AK573" s="71">
        <f t="shared" si="204"/>
        <v>0</v>
      </c>
      <c r="AM573" s="71">
        <f t="shared" si="205"/>
        <v>0</v>
      </c>
      <c r="AO573" s="71">
        <f t="shared" si="206"/>
        <v>0</v>
      </c>
      <c r="AQ573" s="71">
        <f t="shared" si="207"/>
        <v>0</v>
      </c>
      <c r="AT573" s="71">
        <f t="shared" si="208"/>
        <v>0</v>
      </c>
      <c r="AV573" s="71">
        <f t="shared" si="209"/>
        <v>0</v>
      </c>
      <c r="AX573" s="71">
        <f t="shared" si="210"/>
        <v>0</v>
      </c>
      <c r="AZ573" s="71">
        <f t="shared" si="211"/>
        <v>0</v>
      </c>
      <c r="BE573" s="102">
        <f t="shared" si="212"/>
        <v>4.4721359549995796</v>
      </c>
      <c r="BF573" s="81">
        <f t="shared" si="213"/>
        <v>9.3924867883288243E-14</v>
      </c>
      <c r="BG573" s="81" t="str">
        <f t="shared" si="214"/>
        <v>BASSO</v>
      </c>
      <c r="BK573" s="81" t="str">
        <f t="shared" si="215"/>
        <v>MOLTO BASSO</v>
      </c>
    </row>
    <row r="574" spans="7:63" x14ac:dyDescent="0.15">
      <c r="G574" s="64">
        <f t="shared" si="216"/>
        <v>0</v>
      </c>
      <c r="I574" s="64">
        <f t="shared" si="193"/>
        <v>0</v>
      </c>
      <c r="K574" s="64">
        <f t="shared" si="194"/>
        <v>0</v>
      </c>
      <c r="M574" s="64">
        <f t="shared" si="195"/>
        <v>0</v>
      </c>
      <c r="O574" s="64">
        <f t="shared" si="196"/>
        <v>0</v>
      </c>
      <c r="Q574" s="64">
        <f t="shared" si="197"/>
        <v>0</v>
      </c>
      <c r="S574" s="71">
        <f t="shared" si="198"/>
        <v>0</v>
      </c>
      <c r="U574" s="64">
        <f t="shared" si="199"/>
        <v>0</v>
      </c>
      <c r="W574" s="71">
        <f t="shared" si="200"/>
        <v>0</v>
      </c>
      <c r="Y574" s="71">
        <f t="shared" si="201"/>
        <v>0</v>
      </c>
      <c r="AA574" s="71">
        <f t="shared" si="202"/>
        <v>0</v>
      </c>
      <c r="AC574" s="71">
        <f t="shared" si="203"/>
        <v>0</v>
      </c>
      <c r="AK574" s="71">
        <f t="shared" si="204"/>
        <v>0</v>
      </c>
      <c r="AM574" s="71">
        <f t="shared" si="205"/>
        <v>0</v>
      </c>
      <c r="AO574" s="71">
        <f t="shared" si="206"/>
        <v>0</v>
      </c>
      <c r="AQ574" s="71">
        <f t="shared" si="207"/>
        <v>0</v>
      </c>
      <c r="AT574" s="71">
        <f t="shared" si="208"/>
        <v>0</v>
      </c>
      <c r="AV574" s="71">
        <f t="shared" si="209"/>
        <v>0</v>
      </c>
      <c r="AX574" s="71">
        <f t="shared" si="210"/>
        <v>0</v>
      </c>
      <c r="AZ574" s="71">
        <f t="shared" si="211"/>
        <v>0</v>
      </c>
      <c r="BE574" s="102">
        <f t="shared" si="212"/>
        <v>4.4721359549995796</v>
      </c>
      <c r="BF574" s="81">
        <f t="shared" si="213"/>
        <v>9.3924867883288243E-14</v>
      </c>
      <c r="BG574" s="81" t="str">
        <f t="shared" si="214"/>
        <v>BASSO</v>
      </c>
      <c r="BK574" s="81" t="str">
        <f t="shared" si="215"/>
        <v>MOLTO BASSO</v>
      </c>
    </row>
    <row r="575" spans="7:63" x14ac:dyDescent="0.15">
      <c r="G575" s="64">
        <f t="shared" si="216"/>
        <v>0</v>
      </c>
      <c r="I575" s="64">
        <f t="shared" si="193"/>
        <v>0</v>
      </c>
      <c r="K575" s="64">
        <f t="shared" si="194"/>
        <v>0</v>
      </c>
      <c r="M575" s="64">
        <f t="shared" si="195"/>
        <v>0</v>
      </c>
      <c r="O575" s="64">
        <f t="shared" si="196"/>
        <v>0</v>
      </c>
      <c r="Q575" s="64">
        <f t="shared" si="197"/>
        <v>0</v>
      </c>
      <c r="S575" s="71">
        <f t="shared" si="198"/>
        <v>0</v>
      </c>
      <c r="U575" s="64">
        <f t="shared" si="199"/>
        <v>0</v>
      </c>
      <c r="W575" s="71">
        <f t="shared" si="200"/>
        <v>0</v>
      </c>
      <c r="Y575" s="71">
        <f t="shared" si="201"/>
        <v>0</v>
      </c>
      <c r="AA575" s="71">
        <f t="shared" si="202"/>
        <v>0</v>
      </c>
      <c r="AC575" s="71">
        <f t="shared" si="203"/>
        <v>0</v>
      </c>
      <c r="AK575" s="71">
        <f t="shared" si="204"/>
        <v>0</v>
      </c>
      <c r="AM575" s="71">
        <f t="shared" si="205"/>
        <v>0</v>
      </c>
      <c r="AO575" s="71">
        <f t="shared" si="206"/>
        <v>0</v>
      </c>
      <c r="AQ575" s="71">
        <f t="shared" si="207"/>
        <v>0</v>
      </c>
      <c r="AT575" s="71">
        <f t="shared" si="208"/>
        <v>0</v>
      </c>
      <c r="AV575" s="71">
        <f t="shared" si="209"/>
        <v>0</v>
      </c>
      <c r="AX575" s="71">
        <f t="shared" si="210"/>
        <v>0</v>
      </c>
      <c r="AZ575" s="71">
        <f t="shared" si="211"/>
        <v>0</v>
      </c>
      <c r="BE575" s="102">
        <f t="shared" si="212"/>
        <v>4.4721359549995796</v>
      </c>
      <c r="BF575" s="81">
        <f t="shared" si="213"/>
        <v>9.3924867883288243E-14</v>
      </c>
      <c r="BG575" s="81" t="str">
        <f t="shared" si="214"/>
        <v>BASSO</v>
      </c>
      <c r="BK575" s="81" t="str">
        <f t="shared" si="215"/>
        <v>MOLTO BASSO</v>
      </c>
    </row>
    <row r="576" spans="7:63" x14ac:dyDescent="0.15">
      <c r="G576" s="64">
        <f t="shared" si="216"/>
        <v>0</v>
      </c>
      <c r="I576" s="64">
        <f t="shared" si="193"/>
        <v>0</v>
      </c>
      <c r="K576" s="64">
        <f t="shared" si="194"/>
        <v>0</v>
      </c>
      <c r="M576" s="64">
        <f t="shared" si="195"/>
        <v>0</v>
      </c>
      <c r="O576" s="64">
        <f t="shared" si="196"/>
        <v>0</v>
      </c>
      <c r="Q576" s="64">
        <f t="shared" si="197"/>
        <v>0</v>
      </c>
      <c r="S576" s="71">
        <f t="shared" si="198"/>
        <v>0</v>
      </c>
      <c r="U576" s="64">
        <f t="shared" si="199"/>
        <v>0</v>
      </c>
      <c r="W576" s="71">
        <f t="shared" si="200"/>
        <v>0</v>
      </c>
      <c r="Y576" s="71">
        <f t="shared" si="201"/>
        <v>0</v>
      </c>
      <c r="AA576" s="71">
        <f t="shared" si="202"/>
        <v>0</v>
      </c>
      <c r="AC576" s="71">
        <f t="shared" si="203"/>
        <v>0</v>
      </c>
      <c r="AK576" s="71">
        <f t="shared" si="204"/>
        <v>0</v>
      </c>
      <c r="AM576" s="71">
        <f t="shared" si="205"/>
        <v>0</v>
      </c>
      <c r="AO576" s="71">
        <f t="shared" si="206"/>
        <v>0</v>
      </c>
      <c r="AQ576" s="71">
        <f t="shared" si="207"/>
        <v>0</v>
      </c>
      <c r="AT576" s="71">
        <f t="shared" si="208"/>
        <v>0</v>
      </c>
      <c r="AV576" s="71">
        <f t="shared" si="209"/>
        <v>0</v>
      </c>
      <c r="AX576" s="71">
        <f t="shared" si="210"/>
        <v>0</v>
      </c>
      <c r="AZ576" s="71">
        <f t="shared" si="211"/>
        <v>0</v>
      </c>
      <c r="BE576" s="102">
        <f t="shared" si="212"/>
        <v>4.4721359549995796</v>
      </c>
      <c r="BF576" s="81">
        <f t="shared" si="213"/>
        <v>9.3924867883288243E-14</v>
      </c>
      <c r="BG576" s="81" t="str">
        <f t="shared" si="214"/>
        <v>BASSO</v>
      </c>
      <c r="BK576" s="81" t="str">
        <f t="shared" si="215"/>
        <v>MOLTO BASSO</v>
      </c>
    </row>
    <row r="577" spans="7:63" x14ac:dyDescent="0.15">
      <c r="G577" s="64">
        <f t="shared" si="216"/>
        <v>0</v>
      </c>
      <c r="I577" s="64">
        <f t="shared" si="193"/>
        <v>0</v>
      </c>
      <c r="K577" s="64">
        <f t="shared" si="194"/>
        <v>0</v>
      </c>
      <c r="M577" s="64">
        <f t="shared" si="195"/>
        <v>0</v>
      </c>
      <c r="O577" s="64">
        <f t="shared" si="196"/>
        <v>0</v>
      </c>
      <c r="Q577" s="64">
        <f t="shared" si="197"/>
        <v>0</v>
      </c>
      <c r="S577" s="71">
        <f t="shared" si="198"/>
        <v>0</v>
      </c>
      <c r="U577" s="64">
        <f t="shared" si="199"/>
        <v>0</v>
      </c>
      <c r="W577" s="71">
        <f t="shared" si="200"/>
        <v>0</v>
      </c>
      <c r="Y577" s="71">
        <f t="shared" si="201"/>
        <v>0</v>
      </c>
      <c r="AA577" s="71">
        <f t="shared" si="202"/>
        <v>0</v>
      </c>
      <c r="AC577" s="71">
        <f t="shared" si="203"/>
        <v>0</v>
      </c>
      <c r="AK577" s="71">
        <f t="shared" si="204"/>
        <v>0</v>
      </c>
      <c r="AM577" s="71">
        <f t="shared" si="205"/>
        <v>0</v>
      </c>
      <c r="AO577" s="71">
        <f t="shared" si="206"/>
        <v>0</v>
      </c>
      <c r="AQ577" s="71">
        <f t="shared" si="207"/>
        <v>0</v>
      </c>
      <c r="AT577" s="71">
        <f t="shared" si="208"/>
        <v>0</v>
      </c>
      <c r="AV577" s="71">
        <f t="shared" si="209"/>
        <v>0</v>
      </c>
      <c r="AX577" s="71">
        <f t="shared" si="210"/>
        <v>0</v>
      </c>
      <c r="AZ577" s="71">
        <f t="shared" si="211"/>
        <v>0</v>
      </c>
      <c r="BE577" s="102">
        <f t="shared" si="212"/>
        <v>4.4721359549995796</v>
      </c>
      <c r="BF577" s="81">
        <f t="shared" si="213"/>
        <v>9.3924867883288243E-14</v>
      </c>
      <c r="BG577" s="81" t="str">
        <f t="shared" si="214"/>
        <v>BASSO</v>
      </c>
      <c r="BK577" s="81" t="str">
        <f t="shared" si="215"/>
        <v>MOLTO BASSO</v>
      </c>
    </row>
    <row r="578" spans="7:63" x14ac:dyDescent="0.15">
      <c r="G578" s="64">
        <f t="shared" si="216"/>
        <v>0</v>
      </c>
      <c r="I578" s="64">
        <f t="shared" si="193"/>
        <v>0</v>
      </c>
      <c r="K578" s="64">
        <f t="shared" si="194"/>
        <v>0</v>
      </c>
      <c r="M578" s="64">
        <f t="shared" si="195"/>
        <v>0</v>
      </c>
      <c r="O578" s="64">
        <f t="shared" si="196"/>
        <v>0</v>
      </c>
      <c r="Q578" s="64">
        <f t="shared" si="197"/>
        <v>0</v>
      </c>
      <c r="S578" s="71">
        <f t="shared" si="198"/>
        <v>0</v>
      </c>
      <c r="U578" s="64">
        <f t="shared" si="199"/>
        <v>0</v>
      </c>
      <c r="W578" s="71">
        <f t="shared" si="200"/>
        <v>0</v>
      </c>
      <c r="Y578" s="71">
        <f t="shared" si="201"/>
        <v>0</v>
      </c>
      <c r="AA578" s="71">
        <f t="shared" si="202"/>
        <v>0</v>
      </c>
      <c r="AC578" s="71">
        <f t="shared" si="203"/>
        <v>0</v>
      </c>
      <c r="AK578" s="71">
        <f t="shared" si="204"/>
        <v>0</v>
      </c>
      <c r="AM578" s="71">
        <f t="shared" si="205"/>
        <v>0</v>
      </c>
      <c r="AO578" s="71">
        <f t="shared" si="206"/>
        <v>0</v>
      </c>
      <c r="AQ578" s="71">
        <f t="shared" si="207"/>
        <v>0</v>
      </c>
      <c r="AT578" s="71">
        <f t="shared" si="208"/>
        <v>0</v>
      </c>
      <c r="AV578" s="71">
        <f t="shared" si="209"/>
        <v>0</v>
      </c>
      <c r="AX578" s="71">
        <f t="shared" si="210"/>
        <v>0</v>
      </c>
      <c r="AZ578" s="71">
        <f t="shared" si="211"/>
        <v>0</v>
      </c>
      <c r="BE578" s="102">
        <f t="shared" si="212"/>
        <v>4.4721359549995796</v>
      </c>
      <c r="BF578" s="81">
        <f t="shared" si="213"/>
        <v>9.3924867883288243E-14</v>
      </c>
      <c r="BG578" s="81" t="str">
        <f t="shared" si="214"/>
        <v>BASSO</v>
      </c>
      <c r="BK578" s="81" t="str">
        <f t="shared" si="215"/>
        <v>MOLTO BASSO</v>
      </c>
    </row>
    <row r="579" spans="7:63" x14ac:dyDescent="0.15">
      <c r="G579" s="64">
        <f t="shared" si="216"/>
        <v>0</v>
      </c>
      <c r="I579" s="64">
        <f t="shared" ref="I579:I642" si="217">H579/2</f>
        <v>0</v>
      </c>
      <c r="K579" s="64">
        <f t="shared" ref="K579:K642" si="218">J579/2</f>
        <v>0</v>
      </c>
      <c r="M579" s="64">
        <f t="shared" ref="M579:M642" si="219">L579/3</f>
        <v>0</v>
      </c>
      <c r="O579" s="64">
        <f t="shared" ref="O579:O642" si="220">N579/5</f>
        <v>0</v>
      </c>
      <c r="Q579" s="64">
        <f t="shared" ref="Q579:Q642" si="221">P579/3</f>
        <v>0</v>
      </c>
      <c r="S579" s="71">
        <f t="shared" ref="S579:S642" si="222">R579/3</f>
        <v>0</v>
      </c>
      <c r="U579" s="64">
        <f t="shared" ref="U579:U642" si="223">T579/3</f>
        <v>0</v>
      </c>
      <c r="W579" s="71">
        <f t="shared" ref="W579:W642" si="224">V579/4</f>
        <v>0</v>
      </c>
      <c r="Y579" s="71">
        <f t="shared" ref="Y579:Y642" si="225">X579/3</f>
        <v>0</v>
      </c>
      <c r="AA579" s="71">
        <f t="shared" ref="AA579:AA642" si="226">Z579/3</f>
        <v>0</v>
      </c>
      <c r="AC579" s="71">
        <f t="shared" ref="AC579:AC642" si="227">AB579/2</f>
        <v>0</v>
      </c>
      <c r="AK579" s="71">
        <f t="shared" ref="AK579:AK642" si="228">AJ579/2</f>
        <v>0</v>
      </c>
      <c r="AM579" s="71">
        <f t="shared" ref="AM579:AM642" si="229">AL579/3</f>
        <v>0</v>
      </c>
      <c r="AO579" s="71">
        <f t="shared" ref="AO579:AO642" si="230">AN579/3</f>
        <v>0</v>
      </c>
      <c r="AQ579" s="71">
        <f t="shared" ref="AQ579:AQ642" si="231">AP579/3</f>
        <v>0</v>
      </c>
      <c r="AT579" s="71">
        <f t="shared" ref="AT579:AT642" si="232">AS579/3</f>
        <v>0</v>
      </c>
      <c r="AV579" s="71">
        <f t="shared" ref="AV579:AV642" si="233">AU579/3</f>
        <v>0</v>
      </c>
      <c r="AX579" s="71">
        <f t="shared" ref="AX579:AX642" si="234">AW579/2</f>
        <v>0</v>
      </c>
      <c r="AZ579" s="71">
        <f t="shared" ref="AZ579:AZ642" si="235">AY579/3</f>
        <v>0</v>
      </c>
      <c r="BE579" s="102">
        <f t="shared" ref="BE579:BE642" si="236">SQRT((1-G579)^2 + (1-I579)^2 + (1-K579)^2 + (1-M579)^2 + (1-O579)^2 + (1-Q579)^2 + (1-S579)^2 + (1-U579)^2 + (1-W579)^2 + (1-Y579)^2 + (1-AA579)^2 + (1-AC579)^2 + (1-AK579)^2 + (1-AM579)^2 + (1-AO579)^2 + (1-AQ579)^2 + (1-AT579)^2 + (1-AV579)^2 + (1-AX579)^2 + (1-AZ579)^2)</f>
        <v>4.4721359549995796</v>
      </c>
      <c r="BF579" s="81">
        <f t="shared" ref="BF579:BF642" si="237">1 - (BE579 / 4.472135955)</f>
        <v>9.3924867883288243E-14</v>
      </c>
      <c r="BG579" s="81" t="str">
        <f t="shared" ref="BG579:BG642" si="238">IF(BF579&lt;=0.33, "BASSO", IF(BF579&lt;=0.66, "MEDIO", "ALTO"))</f>
        <v>BASSO</v>
      </c>
      <c r="BK579" s="81" t="str">
        <f t="shared" ref="BK579:BK642" si="239">IF(BF579&lt;0.3,"MOLTO BASSO",IF(BF579&lt;0.45,"BASSO",IF(BF579&lt;0.65,"MEDIO",IF(BF579&lt;0.8,"ALTO","MOLTO ALTO"))))</f>
        <v>MOLTO BASSO</v>
      </c>
    </row>
    <row r="580" spans="7:63" x14ac:dyDescent="0.15">
      <c r="G580" s="64">
        <f t="shared" si="216"/>
        <v>0</v>
      </c>
      <c r="I580" s="64">
        <f t="shared" si="217"/>
        <v>0</v>
      </c>
      <c r="K580" s="64">
        <f t="shared" si="218"/>
        <v>0</v>
      </c>
      <c r="M580" s="64">
        <f t="shared" si="219"/>
        <v>0</v>
      </c>
      <c r="O580" s="64">
        <f t="shared" si="220"/>
        <v>0</v>
      </c>
      <c r="Q580" s="64">
        <f t="shared" si="221"/>
        <v>0</v>
      </c>
      <c r="S580" s="71">
        <f t="shared" si="222"/>
        <v>0</v>
      </c>
      <c r="U580" s="64">
        <f t="shared" si="223"/>
        <v>0</v>
      </c>
      <c r="W580" s="71">
        <f t="shared" si="224"/>
        <v>0</v>
      </c>
      <c r="Y580" s="71">
        <f t="shared" si="225"/>
        <v>0</v>
      </c>
      <c r="AA580" s="71">
        <f t="shared" si="226"/>
        <v>0</v>
      </c>
      <c r="AC580" s="71">
        <f t="shared" si="227"/>
        <v>0</v>
      </c>
      <c r="AK580" s="71">
        <f t="shared" si="228"/>
        <v>0</v>
      </c>
      <c r="AM580" s="71">
        <f t="shared" si="229"/>
        <v>0</v>
      </c>
      <c r="AO580" s="71">
        <f t="shared" si="230"/>
        <v>0</v>
      </c>
      <c r="AQ580" s="71">
        <f t="shared" si="231"/>
        <v>0</v>
      </c>
      <c r="AT580" s="71">
        <f t="shared" si="232"/>
        <v>0</v>
      </c>
      <c r="AV580" s="71">
        <f t="shared" si="233"/>
        <v>0</v>
      </c>
      <c r="AX580" s="71">
        <f t="shared" si="234"/>
        <v>0</v>
      </c>
      <c r="AZ580" s="71">
        <f t="shared" si="235"/>
        <v>0</v>
      </c>
      <c r="BE580" s="102">
        <f t="shared" si="236"/>
        <v>4.4721359549995796</v>
      </c>
      <c r="BF580" s="81">
        <f t="shared" si="237"/>
        <v>9.3924867883288243E-14</v>
      </c>
      <c r="BG580" s="81" t="str">
        <f t="shared" si="238"/>
        <v>BASSO</v>
      </c>
      <c r="BK580" s="81" t="str">
        <f t="shared" si="239"/>
        <v>MOLTO BASSO</v>
      </c>
    </row>
    <row r="581" spans="7:63" x14ac:dyDescent="0.15">
      <c r="G581" s="64">
        <f t="shared" si="216"/>
        <v>0</v>
      </c>
      <c r="I581" s="64">
        <f t="shared" si="217"/>
        <v>0</v>
      </c>
      <c r="K581" s="64">
        <f t="shared" si="218"/>
        <v>0</v>
      </c>
      <c r="M581" s="64">
        <f t="shared" si="219"/>
        <v>0</v>
      </c>
      <c r="O581" s="64">
        <f t="shared" si="220"/>
        <v>0</v>
      </c>
      <c r="Q581" s="64">
        <f t="shared" si="221"/>
        <v>0</v>
      </c>
      <c r="S581" s="71">
        <f t="shared" si="222"/>
        <v>0</v>
      </c>
      <c r="U581" s="64">
        <f t="shared" si="223"/>
        <v>0</v>
      </c>
      <c r="W581" s="71">
        <f t="shared" si="224"/>
        <v>0</v>
      </c>
      <c r="Y581" s="71">
        <f t="shared" si="225"/>
        <v>0</v>
      </c>
      <c r="AA581" s="71">
        <f t="shared" si="226"/>
        <v>0</v>
      </c>
      <c r="AC581" s="71">
        <f t="shared" si="227"/>
        <v>0</v>
      </c>
      <c r="AK581" s="71">
        <f t="shared" si="228"/>
        <v>0</v>
      </c>
      <c r="AM581" s="71">
        <f t="shared" si="229"/>
        <v>0</v>
      </c>
      <c r="AO581" s="71">
        <f t="shared" si="230"/>
        <v>0</v>
      </c>
      <c r="AQ581" s="71">
        <f t="shared" si="231"/>
        <v>0</v>
      </c>
      <c r="AT581" s="71">
        <f t="shared" si="232"/>
        <v>0</v>
      </c>
      <c r="AV581" s="71">
        <f t="shared" si="233"/>
        <v>0</v>
      </c>
      <c r="AX581" s="71">
        <f t="shared" si="234"/>
        <v>0</v>
      </c>
      <c r="AZ581" s="71">
        <f t="shared" si="235"/>
        <v>0</v>
      </c>
      <c r="BE581" s="102">
        <f t="shared" si="236"/>
        <v>4.4721359549995796</v>
      </c>
      <c r="BF581" s="81">
        <f t="shared" si="237"/>
        <v>9.3924867883288243E-14</v>
      </c>
      <c r="BG581" s="81" t="str">
        <f t="shared" si="238"/>
        <v>BASSO</v>
      </c>
      <c r="BK581" s="81" t="str">
        <f t="shared" si="239"/>
        <v>MOLTO BASSO</v>
      </c>
    </row>
    <row r="582" spans="7:63" x14ac:dyDescent="0.15">
      <c r="G582" s="64">
        <f t="shared" si="216"/>
        <v>0</v>
      </c>
      <c r="I582" s="64">
        <f t="shared" si="217"/>
        <v>0</v>
      </c>
      <c r="K582" s="64">
        <f t="shared" si="218"/>
        <v>0</v>
      </c>
      <c r="M582" s="64">
        <f t="shared" si="219"/>
        <v>0</v>
      </c>
      <c r="O582" s="64">
        <f t="shared" si="220"/>
        <v>0</v>
      </c>
      <c r="Q582" s="64">
        <f t="shared" si="221"/>
        <v>0</v>
      </c>
      <c r="S582" s="71">
        <f t="shared" si="222"/>
        <v>0</v>
      </c>
      <c r="U582" s="64">
        <f t="shared" si="223"/>
        <v>0</v>
      </c>
      <c r="W582" s="71">
        <f t="shared" si="224"/>
        <v>0</v>
      </c>
      <c r="Y582" s="71">
        <f t="shared" si="225"/>
        <v>0</v>
      </c>
      <c r="AA582" s="71">
        <f t="shared" si="226"/>
        <v>0</v>
      </c>
      <c r="AC582" s="71">
        <f t="shared" si="227"/>
        <v>0</v>
      </c>
      <c r="AK582" s="71">
        <f t="shared" si="228"/>
        <v>0</v>
      </c>
      <c r="AM582" s="71">
        <f t="shared" si="229"/>
        <v>0</v>
      </c>
      <c r="AO582" s="71">
        <f t="shared" si="230"/>
        <v>0</v>
      </c>
      <c r="AQ582" s="71">
        <f t="shared" si="231"/>
        <v>0</v>
      </c>
      <c r="AT582" s="71">
        <f t="shared" si="232"/>
        <v>0</v>
      </c>
      <c r="AV582" s="71">
        <f t="shared" si="233"/>
        <v>0</v>
      </c>
      <c r="AX582" s="71">
        <f t="shared" si="234"/>
        <v>0</v>
      </c>
      <c r="AZ582" s="71">
        <f t="shared" si="235"/>
        <v>0</v>
      </c>
      <c r="BE582" s="102">
        <f t="shared" si="236"/>
        <v>4.4721359549995796</v>
      </c>
      <c r="BF582" s="81">
        <f t="shared" si="237"/>
        <v>9.3924867883288243E-14</v>
      </c>
      <c r="BG582" s="81" t="str">
        <f t="shared" si="238"/>
        <v>BASSO</v>
      </c>
      <c r="BK582" s="81" t="str">
        <f t="shared" si="239"/>
        <v>MOLTO BASSO</v>
      </c>
    </row>
    <row r="583" spans="7:63" x14ac:dyDescent="0.15">
      <c r="G583" s="64">
        <f t="shared" si="216"/>
        <v>0</v>
      </c>
      <c r="I583" s="64">
        <f t="shared" si="217"/>
        <v>0</v>
      </c>
      <c r="K583" s="64">
        <f t="shared" si="218"/>
        <v>0</v>
      </c>
      <c r="M583" s="64">
        <f t="shared" si="219"/>
        <v>0</v>
      </c>
      <c r="O583" s="64">
        <f t="shared" si="220"/>
        <v>0</v>
      </c>
      <c r="Q583" s="64">
        <f t="shared" si="221"/>
        <v>0</v>
      </c>
      <c r="S583" s="71">
        <f t="shared" si="222"/>
        <v>0</v>
      </c>
      <c r="U583" s="64">
        <f t="shared" si="223"/>
        <v>0</v>
      </c>
      <c r="W583" s="71">
        <f t="shared" si="224"/>
        <v>0</v>
      </c>
      <c r="Y583" s="71">
        <f t="shared" si="225"/>
        <v>0</v>
      </c>
      <c r="AA583" s="71">
        <f t="shared" si="226"/>
        <v>0</v>
      </c>
      <c r="AC583" s="71">
        <f t="shared" si="227"/>
        <v>0</v>
      </c>
      <c r="AK583" s="71">
        <f t="shared" si="228"/>
        <v>0</v>
      </c>
      <c r="AM583" s="71">
        <f t="shared" si="229"/>
        <v>0</v>
      </c>
      <c r="AO583" s="71">
        <f t="shared" si="230"/>
        <v>0</v>
      </c>
      <c r="AQ583" s="71">
        <f t="shared" si="231"/>
        <v>0</v>
      </c>
      <c r="AT583" s="71">
        <f t="shared" si="232"/>
        <v>0</v>
      </c>
      <c r="AV583" s="71">
        <f t="shared" si="233"/>
        <v>0</v>
      </c>
      <c r="AX583" s="71">
        <f t="shared" si="234"/>
        <v>0</v>
      </c>
      <c r="AZ583" s="71">
        <f t="shared" si="235"/>
        <v>0</v>
      </c>
      <c r="BE583" s="102">
        <f t="shared" si="236"/>
        <v>4.4721359549995796</v>
      </c>
      <c r="BF583" s="81">
        <f t="shared" si="237"/>
        <v>9.3924867883288243E-14</v>
      </c>
      <c r="BG583" s="81" t="str">
        <f t="shared" si="238"/>
        <v>BASSO</v>
      </c>
      <c r="BK583" s="81" t="str">
        <f t="shared" si="239"/>
        <v>MOLTO BASSO</v>
      </c>
    </row>
    <row r="584" spans="7:63" x14ac:dyDescent="0.15">
      <c r="G584" s="64">
        <f t="shared" si="216"/>
        <v>0</v>
      </c>
      <c r="I584" s="64">
        <f t="shared" si="217"/>
        <v>0</v>
      </c>
      <c r="K584" s="64">
        <f t="shared" si="218"/>
        <v>0</v>
      </c>
      <c r="M584" s="64">
        <f t="shared" si="219"/>
        <v>0</v>
      </c>
      <c r="O584" s="64">
        <f t="shared" si="220"/>
        <v>0</v>
      </c>
      <c r="Q584" s="64">
        <f t="shared" si="221"/>
        <v>0</v>
      </c>
      <c r="S584" s="71">
        <f t="shared" si="222"/>
        <v>0</v>
      </c>
      <c r="U584" s="64">
        <f t="shared" si="223"/>
        <v>0</v>
      </c>
      <c r="W584" s="71">
        <f t="shared" si="224"/>
        <v>0</v>
      </c>
      <c r="Y584" s="71">
        <f t="shared" si="225"/>
        <v>0</v>
      </c>
      <c r="AA584" s="71">
        <f t="shared" si="226"/>
        <v>0</v>
      </c>
      <c r="AC584" s="71">
        <f t="shared" si="227"/>
        <v>0</v>
      </c>
      <c r="AK584" s="71">
        <f t="shared" si="228"/>
        <v>0</v>
      </c>
      <c r="AM584" s="71">
        <f t="shared" si="229"/>
        <v>0</v>
      </c>
      <c r="AO584" s="71">
        <f t="shared" si="230"/>
        <v>0</v>
      </c>
      <c r="AQ584" s="71">
        <f t="shared" si="231"/>
        <v>0</v>
      </c>
      <c r="AT584" s="71">
        <f t="shared" si="232"/>
        <v>0</v>
      </c>
      <c r="AV584" s="71">
        <f t="shared" si="233"/>
        <v>0</v>
      </c>
      <c r="AX584" s="71">
        <f t="shared" si="234"/>
        <v>0</v>
      </c>
      <c r="AZ584" s="71">
        <f t="shared" si="235"/>
        <v>0</v>
      </c>
      <c r="BE584" s="102">
        <f t="shared" si="236"/>
        <v>4.4721359549995796</v>
      </c>
      <c r="BF584" s="81">
        <f t="shared" si="237"/>
        <v>9.3924867883288243E-14</v>
      </c>
      <c r="BG584" s="81" t="str">
        <f t="shared" si="238"/>
        <v>BASSO</v>
      </c>
      <c r="BK584" s="81" t="str">
        <f t="shared" si="239"/>
        <v>MOLTO BASSO</v>
      </c>
    </row>
    <row r="585" spans="7:63" x14ac:dyDescent="0.15">
      <c r="G585" s="64">
        <f t="shared" si="216"/>
        <v>0</v>
      </c>
      <c r="I585" s="64">
        <f t="shared" si="217"/>
        <v>0</v>
      </c>
      <c r="K585" s="64">
        <f t="shared" si="218"/>
        <v>0</v>
      </c>
      <c r="M585" s="64">
        <f t="shared" si="219"/>
        <v>0</v>
      </c>
      <c r="O585" s="64">
        <f t="shared" si="220"/>
        <v>0</v>
      </c>
      <c r="Q585" s="64">
        <f t="shared" si="221"/>
        <v>0</v>
      </c>
      <c r="S585" s="71">
        <f t="shared" si="222"/>
        <v>0</v>
      </c>
      <c r="U585" s="64">
        <f t="shared" si="223"/>
        <v>0</v>
      </c>
      <c r="W585" s="71">
        <f t="shared" si="224"/>
        <v>0</v>
      </c>
      <c r="Y585" s="71">
        <f t="shared" si="225"/>
        <v>0</v>
      </c>
      <c r="AA585" s="71">
        <f t="shared" si="226"/>
        <v>0</v>
      </c>
      <c r="AC585" s="71">
        <f t="shared" si="227"/>
        <v>0</v>
      </c>
      <c r="AK585" s="71">
        <f t="shared" si="228"/>
        <v>0</v>
      </c>
      <c r="AM585" s="71">
        <f t="shared" si="229"/>
        <v>0</v>
      </c>
      <c r="AO585" s="71">
        <f t="shared" si="230"/>
        <v>0</v>
      </c>
      <c r="AQ585" s="71">
        <f t="shared" si="231"/>
        <v>0</v>
      </c>
      <c r="AT585" s="71">
        <f t="shared" si="232"/>
        <v>0</v>
      </c>
      <c r="AV585" s="71">
        <f t="shared" si="233"/>
        <v>0</v>
      </c>
      <c r="AX585" s="71">
        <f t="shared" si="234"/>
        <v>0</v>
      </c>
      <c r="AZ585" s="71">
        <f t="shared" si="235"/>
        <v>0</v>
      </c>
      <c r="BE585" s="102">
        <f t="shared" si="236"/>
        <v>4.4721359549995796</v>
      </c>
      <c r="BF585" s="81">
        <f t="shared" si="237"/>
        <v>9.3924867883288243E-14</v>
      </c>
      <c r="BG585" s="81" t="str">
        <f t="shared" si="238"/>
        <v>BASSO</v>
      </c>
      <c r="BK585" s="81" t="str">
        <f t="shared" si="239"/>
        <v>MOLTO BASSO</v>
      </c>
    </row>
    <row r="586" spans="7:63" x14ac:dyDescent="0.15">
      <c r="G586" s="64">
        <f t="shared" si="216"/>
        <v>0</v>
      </c>
      <c r="I586" s="64">
        <f t="shared" si="217"/>
        <v>0</v>
      </c>
      <c r="K586" s="64">
        <f t="shared" si="218"/>
        <v>0</v>
      </c>
      <c r="M586" s="64">
        <f t="shared" si="219"/>
        <v>0</v>
      </c>
      <c r="O586" s="64">
        <f t="shared" si="220"/>
        <v>0</v>
      </c>
      <c r="Q586" s="64">
        <f t="shared" si="221"/>
        <v>0</v>
      </c>
      <c r="S586" s="71">
        <f t="shared" si="222"/>
        <v>0</v>
      </c>
      <c r="U586" s="64">
        <f t="shared" si="223"/>
        <v>0</v>
      </c>
      <c r="W586" s="71">
        <f t="shared" si="224"/>
        <v>0</v>
      </c>
      <c r="Y586" s="71">
        <f t="shared" si="225"/>
        <v>0</v>
      </c>
      <c r="AA586" s="71">
        <f t="shared" si="226"/>
        <v>0</v>
      </c>
      <c r="AC586" s="71">
        <f t="shared" si="227"/>
        <v>0</v>
      </c>
      <c r="AK586" s="71">
        <f t="shared" si="228"/>
        <v>0</v>
      </c>
      <c r="AM586" s="71">
        <f t="shared" si="229"/>
        <v>0</v>
      </c>
      <c r="AO586" s="71">
        <f t="shared" si="230"/>
        <v>0</v>
      </c>
      <c r="AQ586" s="71">
        <f t="shared" si="231"/>
        <v>0</v>
      </c>
      <c r="AT586" s="71">
        <f t="shared" si="232"/>
        <v>0</v>
      </c>
      <c r="AV586" s="71">
        <f t="shared" si="233"/>
        <v>0</v>
      </c>
      <c r="AX586" s="71">
        <f t="shared" si="234"/>
        <v>0</v>
      </c>
      <c r="AZ586" s="71">
        <f t="shared" si="235"/>
        <v>0</v>
      </c>
      <c r="BE586" s="102">
        <f t="shared" si="236"/>
        <v>4.4721359549995796</v>
      </c>
      <c r="BF586" s="81">
        <f t="shared" si="237"/>
        <v>9.3924867883288243E-14</v>
      </c>
      <c r="BG586" s="81" t="str">
        <f t="shared" si="238"/>
        <v>BASSO</v>
      </c>
      <c r="BK586" s="81" t="str">
        <f t="shared" si="239"/>
        <v>MOLTO BASSO</v>
      </c>
    </row>
    <row r="587" spans="7:63" x14ac:dyDescent="0.15">
      <c r="G587" s="64">
        <f t="shared" si="216"/>
        <v>0</v>
      </c>
      <c r="I587" s="64">
        <f t="shared" si="217"/>
        <v>0</v>
      </c>
      <c r="K587" s="64">
        <f t="shared" si="218"/>
        <v>0</v>
      </c>
      <c r="M587" s="64">
        <f t="shared" si="219"/>
        <v>0</v>
      </c>
      <c r="O587" s="64">
        <f t="shared" si="220"/>
        <v>0</v>
      </c>
      <c r="Q587" s="64">
        <f t="shared" si="221"/>
        <v>0</v>
      </c>
      <c r="S587" s="71">
        <f t="shared" si="222"/>
        <v>0</v>
      </c>
      <c r="U587" s="64">
        <f t="shared" si="223"/>
        <v>0</v>
      </c>
      <c r="W587" s="71">
        <f t="shared" si="224"/>
        <v>0</v>
      </c>
      <c r="Y587" s="71">
        <f t="shared" si="225"/>
        <v>0</v>
      </c>
      <c r="AA587" s="71">
        <f t="shared" si="226"/>
        <v>0</v>
      </c>
      <c r="AC587" s="71">
        <f t="shared" si="227"/>
        <v>0</v>
      </c>
      <c r="AK587" s="71">
        <f t="shared" si="228"/>
        <v>0</v>
      </c>
      <c r="AM587" s="71">
        <f t="shared" si="229"/>
        <v>0</v>
      </c>
      <c r="AO587" s="71">
        <f t="shared" si="230"/>
        <v>0</v>
      </c>
      <c r="AQ587" s="71">
        <f t="shared" si="231"/>
        <v>0</v>
      </c>
      <c r="AT587" s="71">
        <f t="shared" si="232"/>
        <v>0</v>
      </c>
      <c r="AV587" s="71">
        <f t="shared" si="233"/>
        <v>0</v>
      </c>
      <c r="AX587" s="71">
        <f t="shared" si="234"/>
        <v>0</v>
      </c>
      <c r="AZ587" s="71">
        <f t="shared" si="235"/>
        <v>0</v>
      </c>
      <c r="BE587" s="102">
        <f t="shared" si="236"/>
        <v>4.4721359549995796</v>
      </c>
      <c r="BF587" s="81">
        <f t="shared" si="237"/>
        <v>9.3924867883288243E-14</v>
      </c>
      <c r="BG587" s="81" t="str">
        <f t="shared" si="238"/>
        <v>BASSO</v>
      </c>
      <c r="BK587" s="81" t="str">
        <f t="shared" si="239"/>
        <v>MOLTO BASSO</v>
      </c>
    </row>
    <row r="588" spans="7:63" x14ac:dyDescent="0.15">
      <c r="G588" s="64">
        <f t="shared" si="216"/>
        <v>0</v>
      </c>
      <c r="I588" s="64">
        <f t="shared" si="217"/>
        <v>0</v>
      </c>
      <c r="K588" s="64">
        <f t="shared" si="218"/>
        <v>0</v>
      </c>
      <c r="M588" s="64">
        <f t="shared" si="219"/>
        <v>0</v>
      </c>
      <c r="O588" s="64">
        <f t="shared" si="220"/>
        <v>0</v>
      </c>
      <c r="Q588" s="64">
        <f t="shared" si="221"/>
        <v>0</v>
      </c>
      <c r="S588" s="71">
        <f t="shared" si="222"/>
        <v>0</v>
      </c>
      <c r="U588" s="64">
        <f t="shared" si="223"/>
        <v>0</v>
      </c>
      <c r="W588" s="71">
        <f t="shared" si="224"/>
        <v>0</v>
      </c>
      <c r="Y588" s="71">
        <f t="shared" si="225"/>
        <v>0</v>
      </c>
      <c r="AA588" s="71">
        <f t="shared" si="226"/>
        <v>0</v>
      </c>
      <c r="AC588" s="71">
        <f t="shared" si="227"/>
        <v>0</v>
      </c>
      <c r="AK588" s="71">
        <f t="shared" si="228"/>
        <v>0</v>
      </c>
      <c r="AM588" s="71">
        <f t="shared" si="229"/>
        <v>0</v>
      </c>
      <c r="AO588" s="71">
        <f t="shared" si="230"/>
        <v>0</v>
      </c>
      <c r="AQ588" s="71">
        <f t="shared" si="231"/>
        <v>0</v>
      </c>
      <c r="AT588" s="71">
        <f t="shared" si="232"/>
        <v>0</v>
      </c>
      <c r="AV588" s="71">
        <f t="shared" si="233"/>
        <v>0</v>
      </c>
      <c r="AX588" s="71">
        <f t="shared" si="234"/>
        <v>0</v>
      </c>
      <c r="AZ588" s="71">
        <f t="shared" si="235"/>
        <v>0</v>
      </c>
      <c r="BE588" s="102">
        <f t="shared" si="236"/>
        <v>4.4721359549995796</v>
      </c>
      <c r="BF588" s="81">
        <f t="shared" si="237"/>
        <v>9.3924867883288243E-14</v>
      </c>
      <c r="BG588" s="81" t="str">
        <f t="shared" si="238"/>
        <v>BASSO</v>
      </c>
      <c r="BK588" s="81" t="str">
        <f t="shared" si="239"/>
        <v>MOLTO BASSO</v>
      </c>
    </row>
    <row r="589" spans="7:63" x14ac:dyDescent="0.15">
      <c r="G589" s="64">
        <f t="shared" si="216"/>
        <v>0</v>
      </c>
      <c r="I589" s="64">
        <f t="shared" si="217"/>
        <v>0</v>
      </c>
      <c r="K589" s="64">
        <f t="shared" si="218"/>
        <v>0</v>
      </c>
      <c r="M589" s="64">
        <f t="shared" si="219"/>
        <v>0</v>
      </c>
      <c r="O589" s="64">
        <f t="shared" si="220"/>
        <v>0</v>
      </c>
      <c r="Q589" s="64">
        <f t="shared" si="221"/>
        <v>0</v>
      </c>
      <c r="S589" s="71">
        <f t="shared" si="222"/>
        <v>0</v>
      </c>
      <c r="U589" s="64">
        <f t="shared" si="223"/>
        <v>0</v>
      </c>
      <c r="W589" s="71">
        <f t="shared" si="224"/>
        <v>0</v>
      </c>
      <c r="Y589" s="71">
        <f t="shared" si="225"/>
        <v>0</v>
      </c>
      <c r="AA589" s="71">
        <f t="shared" si="226"/>
        <v>0</v>
      </c>
      <c r="AC589" s="71">
        <f t="shared" si="227"/>
        <v>0</v>
      </c>
      <c r="AK589" s="71">
        <f t="shared" si="228"/>
        <v>0</v>
      </c>
      <c r="AM589" s="71">
        <f t="shared" si="229"/>
        <v>0</v>
      </c>
      <c r="AO589" s="71">
        <f t="shared" si="230"/>
        <v>0</v>
      </c>
      <c r="AQ589" s="71">
        <f t="shared" si="231"/>
        <v>0</v>
      </c>
      <c r="AT589" s="71">
        <f t="shared" si="232"/>
        <v>0</v>
      </c>
      <c r="AV589" s="71">
        <f t="shared" si="233"/>
        <v>0</v>
      </c>
      <c r="AX589" s="71">
        <f t="shared" si="234"/>
        <v>0</v>
      </c>
      <c r="AZ589" s="71">
        <f t="shared" si="235"/>
        <v>0</v>
      </c>
      <c r="BE589" s="102">
        <f t="shared" si="236"/>
        <v>4.4721359549995796</v>
      </c>
      <c r="BF589" s="81">
        <f t="shared" si="237"/>
        <v>9.3924867883288243E-14</v>
      </c>
      <c r="BG589" s="81" t="str">
        <f t="shared" si="238"/>
        <v>BASSO</v>
      </c>
      <c r="BK589" s="81" t="str">
        <f t="shared" si="239"/>
        <v>MOLTO BASSO</v>
      </c>
    </row>
    <row r="590" spans="7:63" x14ac:dyDescent="0.15">
      <c r="G590" s="64">
        <f t="shared" si="216"/>
        <v>0</v>
      </c>
      <c r="I590" s="64">
        <f t="shared" si="217"/>
        <v>0</v>
      </c>
      <c r="K590" s="64">
        <f t="shared" si="218"/>
        <v>0</v>
      </c>
      <c r="M590" s="64">
        <f t="shared" si="219"/>
        <v>0</v>
      </c>
      <c r="O590" s="64">
        <f t="shared" si="220"/>
        <v>0</v>
      </c>
      <c r="Q590" s="64">
        <f t="shared" si="221"/>
        <v>0</v>
      </c>
      <c r="S590" s="71">
        <f t="shared" si="222"/>
        <v>0</v>
      </c>
      <c r="U590" s="64">
        <f t="shared" si="223"/>
        <v>0</v>
      </c>
      <c r="W590" s="71">
        <f t="shared" si="224"/>
        <v>0</v>
      </c>
      <c r="Y590" s="71">
        <f t="shared" si="225"/>
        <v>0</v>
      </c>
      <c r="AA590" s="71">
        <f t="shared" si="226"/>
        <v>0</v>
      </c>
      <c r="AC590" s="71">
        <f t="shared" si="227"/>
        <v>0</v>
      </c>
      <c r="AK590" s="71">
        <f t="shared" si="228"/>
        <v>0</v>
      </c>
      <c r="AM590" s="71">
        <f t="shared" si="229"/>
        <v>0</v>
      </c>
      <c r="AO590" s="71">
        <f t="shared" si="230"/>
        <v>0</v>
      </c>
      <c r="AQ590" s="71">
        <f t="shared" si="231"/>
        <v>0</v>
      </c>
      <c r="AT590" s="71">
        <f t="shared" si="232"/>
        <v>0</v>
      </c>
      <c r="AV590" s="71">
        <f t="shared" si="233"/>
        <v>0</v>
      </c>
      <c r="AX590" s="71">
        <f t="shared" si="234"/>
        <v>0</v>
      </c>
      <c r="AZ590" s="71">
        <f t="shared" si="235"/>
        <v>0</v>
      </c>
      <c r="BE590" s="102">
        <f t="shared" si="236"/>
        <v>4.4721359549995796</v>
      </c>
      <c r="BF590" s="81">
        <f t="shared" si="237"/>
        <v>9.3924867883288243E-14</v>
      </c>
      <c r="BG590" s="81" t="str">
        <f t="shared" si="238"/>
        <v>BASSO</v>
      </c>
      <c r="BK590" s="81" t="str">
        <f t="shared" si="239"/>
        <v>MOLTO BASSO</v>
      </c>
    </row>
    <row r="591" spans="7:63" x14ac:dyDescent="0.15">
      <c r="G591" s="64">
        <f t="shared" si="216"/>
        <v>0</v>
      </c>
      <c r="I591" s="64">
        <f t="shared" si="217"/>
        <v>0</v>
      </c>
      <c r="K591" s="64">
        <f t="shared" si="218"/>
        <v>0</v>
      </c>
      <c r="M591" s="64">
        <f t="shared" si="219"/>
        <v>0</v>
      </c>
      <c r="O591" s="64">
        <f t="shared" si="220"/>
        <v>0</v>
      </c>
      <c r="Q591" s="64">
        <f t="shared" si="221"/>
        <v>0</v>
      </c>
      <c r="S591" s="71">
        <f t="shared" si="222"/>
        <v>0</v>
      </c>
      <c r="U591" s="64">
        <f t="shared" si="223"/>
        <v>0</v>
      </c>
      <c r="W591" s="71">
        <f t="shared" si="224"/>
        <v>0</v>
      </c>
      <c r="Y591" s="71">
        <f t="shared" si="225"/>
        <v>0</v>
      </c>
      <c r="AA591" s="71">
        <f t="shared" si="226"/>
        <v>0</v>
      </c>
      <c r="AC591" s="71">
        <f t="shared" si="227"/>
        <v>0</v>
      </c>
      <c r="AK591" s="71">
        <f t="shared" si="228"/>
        <v>0</v>
      </c>
      <c r="AM591" s="71">
        <f t="shared" si="229"/>
        <v>0</v>
      </c>
      <c r="AO591" s="71">
        <f t="shared" si="230"/>
        <v>0</v>
      </c>
      <c r="AQ591" s="71">
        <f t="shared" si="231"/>
        <v>0</v>
      </c>
      <c r="AT591" s="71">
        <f t="shared" si="232"/>
        <v>0</v>
      </c>
      <c r="AV591" s="71">
        <f t="shared" si="233"/>
        <v>0</v>
      </c>
      <c r="AX591" s="71">
        <f t="shared" si="234"/>
        <v>0</v>
      </c>
      <c r="AZ591" s="71">
        <f t="shared" si="235"/>
        <v>0</v>
      </c>
      <c r="BE591" s="102">
        <f t="shared" si="236"/>
        <v>4.4721359549995796</v>
      </c>
      <c r="BF591" s="81">
        <f t="shared" si="237"/>
        <v>9.3924867883288243E-14</v>
      </c>
      <c r="BG591" s="81" t="str">
        <f t="shared" si="238"/>
        <v>BASSO</v>
      </c>
      <c r="BK591" s="81" t="str">
        <f t="shared" si="239"/>
        <v>MOLTO BASSO</v>
      </c>
    </row>
    <row r="592" spans="7:63" x14ac:dyDescent="0.15">
      <c r="G592" s="64">
        <f t="shared" si="216"/>
        <v>0</v>
      </c>
      <c r="I592" s="64">
        <f t="shared" si="217"/>
        <v>0</v>
      </c>
      <c r="K592" s="64">
        <f t="shared" si="218"/>
        <v>0</v>
      </c>
      <c r="M592" s="64">
        <f t="shared" si="219"/>
        <v>0</v>
      </c>
      <c r="O592" s="64">
        <f t="shared" si="220"/>
        <v>0</v>
      </c>
      <c r="Q592" s="64">
        <f t="shared" si="221"/>
        <v>0</v>
      </c>
      <c r="S592" s="71">
        <f t="shared" si="222"/>
        <v>0</v>
      </c>
      <c r="U592" s="64">
        <f t="shared" si="223"/>
        <v>0</v>
      </c>
      <c r="W592" s="71">
        <f t="shared" si="224"/>
        <v>0</v>
      </c>
      <c r="Y592" s="71">
        <f t="shared" si="225"/>
        <v>0</v>
      </c>
      <c r="AA592" s="71">
        <f t="shared" si="226"/>
        <v>0</v>
      </c>
      <c r="AC592" s="71">
        <f t="shared" si="227"/>
        <v>0</v>
      </c>
      <c r="AK592" s="71">
        <f t="shared" si="228"/>
        <v>0</v>
      </c>
      <c r="AM592" s="71">
        <f t="shared" si="229"/>
        <v>0</v>
      </c>
      <c r="AO592" s="71">
        <f t="shared" si="230"/>
        <v>0</v>
      </c>
      <c r="AQ592" s="71">
        <f t="shared" si="231"/>
        <v>0</v>
      </c>
      <c r="AT592" s="71">
        <f t="shared" si="232"/>
        <v>0</v>
      </c>
      <c r="AV592" s="71">
        <f t="shared" si="233"/>
        <v>0</v>
      </c>
      <c r="AX592" s="71">
        <f t="shared" si="234"/>
        <v>0</v>
      </c>
      <c r="AZ592" s="71">
        <f t="shared" si="235"/>
        <v>0</v>
      </c>
      <c r="BE592" s="102">
        <f t="shared" si="236"/>
        <v>4.4721359549995796</v>
      </c>
      <c r="BF592" s="81">
        <f t="shared" si="237"/>
        <v>9.3924867883288243E-14</v>
      </c>
      <c r="BG592" s="81" t="str">
        <f t="shared" si="238"/>
        <v>BASSO</v>
      </c>
      <c r="BK592" s="81" t="str">
        <f t="shared" si="239"/>
        <v>MOLTO BASSO</v>
      </c>
    </row>
    <row r="593" spans="7:63" x14ac:dyDescent="0.15">
      <c r="G593" s="64">
        <f t="shared" si="216"/>
        <v>0</v>
      </c>
      <c r="I593" s="64">
        <f t="shared" si="217"/>
        <v>0</v>
      </c>
      <c r="K593" s="64">
        <f t="shared" si="218"/>
        <v>0</v>
      </c>
      <c r="M593" s="64">
        <f t="shared" si="219"/>
        <v>0</v>
      </c>
      <c r="O593" s="64">
        <f t="shared" si="220"/>
        <v>0</v>
      </c>
      <c r="Q593" s="64">
        <f t="shared" si="221"/>
        <v>0</v>
      </c>
      <c r="S593" s="71">
        <f t="shared" si="222"/>
        <v>0</v>
      </c>
      <c r="U593" s="64">
        <f t="shared" si="223"/>
        <v>0</v>
      </c>
      <c r="W593" s="71">
        <f t="shared" si="224"/>
        <v>0</v>
      </c>
      <c r="Y593" s="71">
        <f t="shared" si="225"/>
        <v>0</v>
      </c>
      <c r="AA593" s="71">
        <f t="shared" si="226"/>
        <v>0</v>
      </c>
      <c r="AC593" s="71">
        <f t="shared" si="227"/>
        <v>0</v>
      </c>
      <c r="AK593" s="71">
        <f t="shared" si="228"/>
        <v>0</v>
      </c>
      <c r="AM593" s="71">
        <f t="shared" si="229"/>
        <v>0</v>
      </c>
      <c r="AO593" s="71">
        <f t="shared" si="230"/>
        <v>0</v>
      </c>
      <c r="AQ593" s="71">
        <f t="shared" si="231"/>
        <v>0</v>
      </c>
      <c r="AT593" s="71">
        <f t="shared" si="232"/>
        <v>0</v>
      </c>
      <c r="AV593" s="71">
        <f t="shared" si="233"/>
        <v>0</v>
      </c>
      <c r="AX593" s="71">
        <f t="shared" si="234"/>
        <v>0</v>
      </c>
      <c r="AZ593" s="71">
        <f t="shared" si="235"/>
        <v>0</v>
      </c>
      <c r="BE593" s="102">
        <f t="shared" si="236"/>
        <v>4.4721359549995796</v>
      </c>
      <c r="BF593" s="81">
        <f t="shared" si="237"/>
        <v>9.3924867883288243E-14</v>
      </c>
      <c r="BG593" s="81" t="str">
        <f t="shared" si="238"/>
        <v>BASSO</v>
      </c>
      <c r="BK593" s="81" t="str">
        <f t="shared" si="239"/>
        <v>MOLTO BASSO</v>
      </c>
    </row>
    <row r="594" spans="7:63" x14ac:dyDescent="0.15">
      <c r="G594" s="64">
        <f t="shared" si="216"/>
        <v>0</v>
      </c>
      <c r="I594" s="64">
        <f t="shared" si="217"/>
        <v>0</v>
      </c>
      <c r="K594" s="64">
        <f t="shared" si="218"/>
        <v>0</v>
      </c>
      <c r="M594" s="64">
        <f t="shared" si="219"/>
        <v>0</v>
      </c>
      <c r="O594" s="64">
        <f t="shared" si="220"/>
        <v>0</v>
      </c>
      <c r="Q594" s="64">
        <f t="shared" si="221"/>
        <v>0</v>
      </c>
      <c r="S594" s="71">
        <f t="shared" si="222"/>
        <v>0</v>
      </c>
      <c r="U594" s="64">
        <f t="shared" si="223"/>
        <v>0</v>
      </c>
      <c r="W594" s="71">
        <f t="shared" si="224"/>
        <v>0</v>
      </c>
      <c r="Y594" s="71">
        <f t="shared" si="225"/>
        <v>0</v>
      </c>
      <c r="AA594" s="71">
        <f t="shared" si="226"/>
        <v>0</v>
      </c>
      <c r="AC594" s="71">
        <f t="shared" si="227"/>
        <v>0</v>
      </c>
      <c r="AK594" s="71">
        <f t="shared" si="228"/>
        <v>0</v>
      </c>
      <c r="AM594" s="71">
        <f t="shared" si="229"/>
        <v>0</v>
      </c>
      <c r="AO594" s="71">
        <f t="shared" si="230"/>
        <v>0</v>
      </c>
      <c r="AQ594" s="71">
        <f t="shared" si="231"/>
        <v>0</v>
      </c>
      <c r="AT594" s="71">
        <f t="shared" si="232"/>
        <v>0</v>
      </c>
      <c r="AV594" s="71">
        <f t="shared" si="233"/>
        <v>0</v>
      </c>
      <c r="AX594" s="71">
        <f t="shared" si="234"/>
        <v>0</v>
      </c>
      <c r="AZ594" s="71">
        <f t="shared" si="235"/>
        <v>0</v>
      </c>
      <c r="BE594" s="102">
        <f t="shared" si="236"/>
        <v>4.4721359549995796</v>
      </c>
      <c r="BF594" s="81">
        <f t="shared" si="237"/>
        <v>9.3924867883288243E-14</v>
      </c>
      <c r="BG594" s="81" t="str">
        <f t="shared" si="238"/>
        <v>BASSO</v>
      </c>
      <c r="BK594" s="81" t="str">
        <f t="shared" si="239"/>
        <v>MOLTO BASSO</v>
      </c>
    </row>
    <row r="595" spans="7:63" x14ac:dyDescent="0.15">
      <c r="G595" s="64">
        <f t="shared" si="216"/>
        <v>0</v>
      </c>
      <c r="I595" s="64">
        <f t="shared" si="217"/>
        <v>0</v>
      </c>
      <c r="K595" s="64">
        <f t="shared" si="218"/>
        <v>0</v>
      </c>
      <c r="M595" s="64">
        <f t="shared" si="219"/>
        <v>0</v>
      </c>
      <c r="O595" s="64">
        <f t="shared" si="220"/>
        <v>0</v>
      </c>
      <c r="Q595" s="64">
        <f t="shared" si="221"/>
        <v>0</v>
      </c>
      <c r="S595" s="71">
        <f t="shared" si="222"/>
        <v>0</v>
      </c>
      <c r="U595" s="64">
        <f t="shared" si="223"/>
        <v>0</v>
      </c>
      <c r="W595" s="71">
        <f t="shared" si="224"/>
        <v>0</v>
      </c>
      <c r="Y595" s="71">
        <f t="shared" si="225"/>
        <v>0</v>
      </c>
      <c r="AA595" s="71">
        <f t="shared" si="226"/>
        <v>0</v>
      </c>
      <c r="AC595" s="71">
        <f t="shared" si="227"/>
        <v>0</v>
      </c>
      <c r="AK595" s="71">
        <f t="shared" si="228"/>
        <v>0</v>
      </c>
      <c r="AM595" s="71">
        <f t="shared" si="229"/>
        <v>0</v>
      </c>
      <c r="AO595" s="71">
        <f t="shared" si="230"/>
        <v>0</v>
      </c>
      <c r="AQ595" s="71">
        <f t="shared" si="231"/>
        <v>0</v>
      </c>
      <c r="AT595" s="71">
        <f t="shared" si="232"/>
        <v>0</v>
      </c>
      <c r="AV595" s="71">
        <f t="shared" si="233"/>
        <v>0</v>
      </c>
      <c r="AX595" s="71">
        <f t="shared" si="234"/>
        <v>0</v>
      </c>
      <c r="AZ595" s="71">
        <f t="shared" si="235"/>
        <v>0</v>
      </c>
      <c r="BE595" s="102">
        <f t="shared" si="236"/>
        <v>4.4721359549995796</v>
      </c>
      <c r="BF595" s="81">
        <f t="shared" si="237"/>
        <v>9.3924867883288243E-14</v>
      </c>
      <c r="BG595" s="81" t="str">
        <f t="shared" si="238"/>
        <v>BASSO</v>
      </c>
      <c r="BK595" s="81" t="str">
        <f t="shared" si="239"/>
        <v>MOLTO BASSO</v>
      </c>
    </row>
    <row r="596" spans="7:63" x14ac:dyDescent="0.15">
      <c r="G596" s="64">
        <f t="shared" si="216"/>
        <v>0</v>
      </c>
      <c r="I596" s="64">
        <f t="shared" si="217"/>
        <v>0</v>
      </c>
      <c r="K596" s="64">
        <f t="shared" si="218"/>
        <v>0</v>
      </c>
      <c r="M596" s="64">
        <f t="shared" si="219"/>
        <v>0</v>
      </c>
      <c r="O596" s="64">
        <f t="shared" si="220"/>
        <v>0</v>
      </c>
      <c r="Q596" s="64">
        <f t="shared" si="221"/>
        <v>0</v>
      </c>
      <c r="S596" s="71">
        <f t="shared" si="222"/>
        <v>0</v>
      </c>
      <c r="U596" s="64">
        <f t="shared" si="223"/>
        <v>0</v>
      </c>
      <c r="W596" s="71">
        <f t="shared" si="224"/>
        <v>0</v>
      </c>
      <c r="Y596" s="71">
        <f t="shared" si="225"/>
        <v>0</v>
      </c>
      <c r="AA596" s="71">
        <f t="shared" si="226"/>
        <v>0</v>
      </c>
      <c r="AC596" s="71">
        <f t="shared" si="227"/>
        <v>0</v>
      </c>
      <c r="AK596" s="71">
        <f t="shared" si="228"/>
        <v>0</v>
      </c>
      <c r="AM596" s="71">
        <f t="shared" si="229"/>
        <v>0</v>
      </c>
      <c r="AO596" s="71">
        <f t="shared" si="230"/>
        <v>0</v>
      </c>
      <c r="AQ596" s="71">
        <f t="shared" si="231"/>
        <v>0</v>
      </c>
      <c r="AT596" s="71">
        <f t="shared" si="232"/>
        <v>0</v>
      </c>
      <c r="AV596" s="71">
        <f t="shared" si="233"/>
        <v>0</v>
      </c>
      <c r="AX596" s="71">
        <f t="shared" si="234"/>
        <v>0</v>
      </c>
      <c r="AZ596" s="71">
        <f t="shared" si="235"/>
        <v>0</v>
      </c>
      <c r="BE596" s="102">
        <f t="shared" si="236"/>
        <v>4.4721359549995796</v>
      </c>
      <c r="BF596" s="81">
        <f t="shared" si="237"/>
        <v>9.3924867883288243E-14</v>
      </c>
      <c r="BG596" s="81" t="str">
        <f t="shared" si="238"/>
        <v>BASSO</v>
      </c>
      <c r="BK596" s="81" t="str">
        <f t="shared" si="239"/>
        <v>MOLTO BASSO</v>
      </c>
    </row>
    <row r="597" spans="7:63" x14ac:dyDescent="0.15">
      <c r="G597" s="64">
        <f t="shared" si="216"/>
        <v>0</v>
      </c>
      <c r="I597" s="64">
        <f t="shared" si="217"/>
        <v>0</v>
      </c>
      <c r="K597" s="64">
        <f t="shared" si="218"/>
        <v>0</v>
      </c>
      <c r="M597" s="64">
        <f t="shared" si="219"/>
        <v>0</v>
      </c>
      <c r="O597" s="64">
        <f t="shared" si="220"/>
        <v>0</v>
      </c>
      <c r="Q597" s="64">
        <f t="shared" si="221"/>
        <v>0</v>
      </c>
      <c r="S597" s="71">
        <f t="shared" si="222"/>
        <v>0</v>
      </c>
      <c r="U597" s="64">
        <f t="shared" si="223"/>
        <v>0</v>
      </c>
      <c r="W597" s="71">
        <f t="shared" si="224"/>
        <v>0</v>
      </c>
      <c r="Y597" s="71">
        <f t="shared" si="225"/>
        <v>0</v>
      </c>
      <c r="AA597" s="71">
        <f t="shared" si="226"/>
        <v>0</v>
      </c>
      <c r="AC597" s="71">
        <f t="shared" si="227"/>
        <v>0</v>
      </c>
      <c r="AK597" s="71">
        <f t="shared" si="228"/>
        <v>0</v>
      </c>
      <c r="AM597" s="71">
        <f t="shared" si="229"/>
        <v>0</v>
      </c>
      <c r="AO597" s="71">
        <f t="shared" si="230"/>
        <v>0</v>
      </c>
      <c r="AQ597" s="71">
        <f t="shared" si="231"/>
        <v>0</v>
      </c>
      <c r="AT597" s="71">
        <f t="shared" si="232"/>
        <v>0</v>
      </c>
      <c r="AV597" s="71">
        <f t="shared" si="233"/>
        <v>0</v>
      </c>
      <c r="AX597" s="71">
        <f t="shared" si="234"/>
        <v>0</v>
      </c>
      <c r="AZ597" s="71">
        <f t="shared" si="235"/>
        <v>0</v>
      </c>
      <c r="BE597" s="102">
        <f t="shared" si="236"/>
        <v>4.4721359549995796</v>
      </c>
      <c r="BF597" s="81">
        <f t="shared" si="237"/>
        <v>9.3924867883288243E-14</v>
      </c>
      <c r="BG597" s="81" t="str">
        <f t="shared" si="238"/>
        <v>BASSO</v>
      </c>
      <c r="BK597" s="81" t="str">
        <f t="shared" si="239"/>
        <v>MOLTO BASSO</v>
      </c>
    </row>
    <row r="598" spans="7:63" x14ac:dyDescent="0.15">
      <c r="G598" s="64">
        <f t="shared" si="216"/>
        <v>0</v>
      </c>
      <c r="I598" s="64">
        <f t="shared" si="217"/>
        <v>0</v>
      </c>
      <c r="K598" s="64">
        <f t="shared" si="218"/>
        <v>0</v>
      </c>
      <c r="M598" s="64">
        <f t="shared" si="219"/>
        <v>0</v>
      </c>
      <c r="O598" s="64">
        <f t="shared" si="220"/>
        <v>0</v>
      </c>
      <c r="Q598" s="64">
        <f t="shared" si="221"/>
        <v>0</v>
      </c>
      <c r="S598" s="71">
        <f t="shared" si="222"/>
        <v>0</v>
      </c>
      <c r="U598" s="64">
        <f t="shared" si="223"/>
        <v>0</v>
      </c>
      <c r="W598" s="71">
        <f t="shared" si="224"/>
        <v>0</v>
      </c>
      <c r="Y598" s="71">
        <f t="shared" si="225"/>
        <v>0</v>
      </c>
      <c r="AA598" s="71">
        <f t="shared" si="226"/>
        <v>0</v>
      </c>
      <c r="AC598" s="71">
        <f t="shared" si="227"/>
        <v>0</v>
      </c>
      <c r="AK598" s="71">
        <f t="shared" si="228"/>
        <v>0</v>
      </c>
      <c r="AM598" s="71">
        <f t="shared" si="229"/>
        <v>0</v>
      </c>
      <c r="AO598" s="71">
        <f t="shared" si="230"/>
        <v>0</v>
      </c>
      <c r="AQ598" s="71">
        <f t="shared" si="231"/>
        <v>0</v>
      </c>
      <c r="AT598" s="71">
        <f t="shared" si="232"/>
        <v>0</v>
      </c>
      <c r="AV598" s="71">
        <f t="shared" si="233"/>
        <v>0</v>
      </c>
      <c r="AX598" s="71">
        <f t="shared" si="234"/>
        <v>0</v>
      </c>
      <c r="AZ598" s="71">
        <f t="shared" si="235"/>
        <v>0</v>
      </c>
      <c r="BE598" s="102">
        <f t="shared" si="236"/>
        <v>4.4721359549995796</v>
      </c>
      <c r="BF598" s="81">
        <f t="shared" si="237"/>
        <v>9.3924867883288243E-14</v>
      </c>
      <c r="BG598" s="81" t="str">
        <f t="shared" si="238"/>
        <v>BASSO</v>
      </c>
      <c r="BK598" s="81" t="str">
        <f t="shared" si="239"/>
        <v>MOLTO BASSO</v>
      </c>
    </row>
    <row r="599" spans="7:63" x14ac:dyDescent="0.15">
      <c r="G599" s="64">
        <f t="shared" si="216"/>
        <v>0</v>
      </c>
      <c r="I599" s="64">
        <f t="shared" si="217"/>
        <v>0</v>
      </c>
      <c r="K599" s="64">
        <f t="shared" si="218"/>
        <v>0</v>
      </c>
      <c r="M599" s="64">
        <f t="shared" si="219"/>
        <v>0</v>
      </c>
      <c r="O599" s="64">
        <f t="shared" si="220"/>
        <v>0</v>
      </c>
      <c r="Q599" s="64">
        <f t="shared" si="221"/>
        <v>0</v>
      </c>
      <c r="S599" s="71">
        <f t="shared" si="222"/>
        <v>0</v>
      </c>
      <c r="U599" s="64">
        <f t="shared" si="223"/>
        <v>0</v>
      </c>
      <c r="W599" s="71">
        <f t="shared" si="224"/>
        <v>0</v>
      </c>
      <c r="Y599" s="71">
        <f t="shared" si="225"/>
        <v>0</v>
      </c>
      <c r="AA599" s="71">
        <f t="shared" si="226"/>
        <v>0</v>
      </c>
      <c r="AC599" s="71">
        <f t="shared" si="227"/>
        <v>0</v>
      </c>
      <c r="AK599" s="71">
        <f t="shared" si="228"/>
        <v>0</v>
      </c>
      <c r="AM599" s="71">
        <f t="shared" si="229"/>
        <v>0</v>
      </c>
      <c r="AO599" s="71">
        <f t="shared" si="230"/>
        <v>0</v>
      </c>
      <c r="AQ599" s="71">
        <f t="shared" si="231"/>
        <v>0</v>
      </c>
      <c r="AT599" s="71">
        <f t="shared" si="232"/>
        <v>0</v>
      </c>
      <c r="AV599" s="71">
        <f t="shared" si="233"/>
        <v>0</v>
      </c>
      <c r="AX599" s="71">
        <f t="shared" si="234"/>
        <v>0</v>
      </c>
      <c r="AZ599" s="71">
        <f t="shared" si="235"/>
        <v>0</v>
      </c>
      <c r="BE599" s="102">
        <f t="shared" si="236"/>
        <v>4.4721359549995796</v>
      </c>
      <c r="BF599" s="81">
        <f t="shared" si="237"/>
        <v>9.3924867883288243E-14</v>
      </c>
      <c r="BG599" s="81" t="str">
        <f t="shared" si="238"/>
        <v>BASSO</v>
      </c>
      <c r="BK599" s="81" t="str">
        <f t="shared" si="239"/>
        <v>MOLTO BASSO</v>
      </c>
    </row>
    <row r="600" spans="7:63" x14ac:dyDescent="0.15">
      <c r="G600" s="64">
        <f t="shared" si="216"/>
        <v>0</v>
      </c>
      <c r="I600" s="64">
        <f t="shared" si="217"/>
        <v>0</v>
      </c>
      <c r="K600" s="64">
        <f t="shared" si="218"/>
        <v>0</v>
      </c>
      <c r="M600" s="64">
        <f t="shared" si="219"/>
        <v>0</v>
      </c>
      <c r="O600" s="64">
        <f t="shared" si="220"/>
        <v>0</v>
      </c>
      <c r="Q600" s="64">
        <f t="shared" si="221"/>
        <v>0</v>
      </c>
      <c r="S600" s="71">
        <f t="shared" si="222"/>
        <v>0</v>
      </c>
      <c r="U600" s="64">
        <f t="shared" si="223"/>
        <v>0</v>
      </c>
      <c r="W600" s="71">
        <f t="shared" si="224"/>
        <v>0</v>
      </c>
      <c r="Y600" s="71">
        <f t="shared" si="225"/>
        <v>0</v>
      </c>
      <c r="AA600" s="71">
        <f t="shared" si="226"/>
        <v>0</v>
      </c>
      <c r="AC600" s="71">
        <f t="shared" si="227"/>
        <v>0</v>
      </c>
      <c r="AK600" s="71">
        <f t="shared" si="228"/>
        <v>0</v>
      </c>
      <c r="AM600" s="71">
        <f t="shared" si="229"/>
        <v>0</v>
      </c>
      <c r="AO600" s="71">
        <f t="shared" si="230"/>
        <v>0</v>
      </c>
      <c r="AQ600" s="71">
        <f t="shared" si="231"/>
        <v>0</v>
      </c>
      <c r="AT600" s="71">
        <f t="shared" si="232"/>
        <v>0</v>
      </c>
      <c r="AV600" s="71">
        <f t="shared" si="233"/>
        <v>0</v>
      </c>
      <c r="AX600" s="71">
        <f t="shared" si="234"/>
        <v>0</v>
      </c>
      <c r="AZ600" s="71">
        <f t="shared" si="235"/>
        <v>0</v>
      </c>
      <c r="BE600" s="102">
        <f t="shared" si="236"/>
        <v>4.4721359549995796</v>
      </c>
      <c r="BF600" s="81">
        <f t="shared" si="237"/>
        <v>9.3924867883288243E-14</v>
      </c>
      <c r="BG600" s="81" t="str">
        <f t="shared" si="238"/>
        <v>BASSO</v>
      </c>
      <c r="BK600" s="81" t="str">
        <f t="shared" si="239"/>
        <v>MOLTO BASSO</v>
      </c>
    </row>
    <row r="601" spans="7:63" x14ac:dyDescent="0.15">
      <c r="G601" s="64">
        <f t="shared" si="216"/>
        <v>0</v>
      </c>
      <c r="I601" s="64">
        <f t="shared" si="217"/>
        <v>0</v>
      </c>
      <c r="K601" s="64">
        <f t="shared" si="218"/>
        <v>0</v>
      </c>
      <c r="M601" s="64">
        <f t="shared" si="219"/>
        <v>0</v>
      </c>
      <c r="O601" s="64">
        <f t="shared" si="220"/>
        <v>0</v>
      </c>
      <c r="Q601" s="64">
        <f t="shared" si="221"/>
        <v>0</v>
      </c>
      <c r="S601" s="71">
        <f t="shared" si="222"/>
        <v>0</v>
      </c>
      <c r="U601" s="64">
        <f t="shared" si="223"/>
        <v>0</v>
      </c>
      <c r="W601" s="71">
        <f t="shared" si="224"/>
        <v>0</v>
      </c>
      <c r="Y601" s="71">
        <f t="shared" si="225"/>
        <v>0</v>
      </c>
      <c r="AA601" s="71">
        <f t="shared" si="226"/>
        <v>0</v>
      </c>
      <c r="AC601" s="71">
        <f t="shared" si="227"/>
        <v>0</v>
      </c>
      <c r="AK601" s="71">
        <f t="shared" si="228"/>
        <v>0</v>
      </c>
      <c r="AM601" s="71">
        <f t="shared" si="229"/>
        <v>0</v>
      </c>
      <c r="AO601" s="71">
        <f t="shared" si="230"/>
        <v>0</v>
      </c>
      <c r="AQ601" s="71">
        <f t="shared" si="231"/>
        <v>0</v>
      </c>
      <c r="AT601" s="71">
        <f t="shared" si="232"/>
        <v>0</v>
      </c>
      <c r="AV601" s="71">
        <f t="shared" si="233"/>
        <v>0</v>
      </c>
      <c r="AX601" s="71">
        <f t="shared" si="234"/>
        <v>0</v>
      </c>
      <c r="AZ601" s="71">
        <f t="shared" si="235"/>
        <v>0</v>
      </c>
      <c r="BE601" s="102">
        <f t="shared" si="236"/>
        <v>4.4721359549995796</v>
      </c>
      <c r="BF601" s="81">
        <f t="shared" si="237"/>
        <v>9.3924867883288243E-14</v>
      </c>
      <c r="BG601" s="81" t="str">
        <f t="shared" si="238"/>
        <v>BASSO</v>
      </c>
      <c r="BK601" s="81" t="str">
        <f t="shared" si="239"/>
        <v>MOLTO BASSO</v>
      </c>
    </row>
    <row r="602" spans="7:63" x14ac:dyDescent="0.15">
      <c r="G602" s="64">
        <f t="shared" si="216"/>
        <v>0</v>
      </c>
      <c r="I602" s="64">
        <f t="shared" si="217"/>
        <v>0</v>
      </c>
      <c r="K602" s="64">
        <f t="shared" si="218"/>
        <v>0</v>
      </c>
      <c r="M602" s="64">
        <f t="shared" si="219"/>
        <v>0</v>
      </c>
      <c r="O602" s="64">
        <f t="shared" si="220"/>
        <v>0</v>
      </c>
      <c r="Q602" s="64">
        <f t="shared" si="221"/>
        <v>0</v>
      </c>
      <c r="S602" s="71">
        <f t="shared" si="222"/>
        <v>0</v>
      </c>
      <c r="U602" s="64">
        <f t="shared" si="223"/>
        <v>0</v>
      </c>
      <c r="W602" s="71">
        <f t="shared" si="224"/>
        <v>0</v>
      </c>
      <c r="Y602" s="71">
        <f t="shared" si="225"/>
        <v>0</v>
      </c>
      <c r="AA602" s="71">
        <f t="shared" si="226"/>
        <v>0</v>
      </c>
      <c r="AC602" s="71">
        <f t="shared" si="227"/>
        <v>0</v>
      </c>
      <c r="AK602" s="71">
        <f t="shared" si="228"/>
        <v>0</v>
      </c>
      <c r="AM602" s="71">
        <f t="shared" si="229"/>
        <v>0</v>
      </c>
      <c r="AO602" s="71">
        <f t="shared" si="230"/>
        <v>0</v>
      </c>
      <c r="AQ602" s="71">
        <f t="shared" si="231"/>
        <v>0</v>
      </c>
      <c r="AT602" s="71">
        <f t="shared" si="232"/>
        <v>0</v>
      </c>
      <c r="AV602" s="71">
        <f t="shared" si="233"/>
        <v>0</v>
      </c>
      <c r="AX602" s="71">
        <f t="shared" si="234"/>
        <v>0</v>
      </c>
      <c r="AZ602" s="71">
        <f t="shared" si="235"/>
        <v>0</v>
      </c>
      <c r="BE602" s="102">
        <f t="shared" si="236"/>
        <v>4.4721359549995796</v>
      </c>
      <c r="BF602" s="81">
        <f t="shared" si="237"/>
        <v>9.3924867883288243E-14</v>
      </c>
      <c r="BG602" s="81" t="str">
        <f t="shared" si="238"/>
        <v>BASSO</v>
      </c>
      <c r="BK602" s="81" t="str">
        <f t="shared" si="239"/>
        <v>MOLTO BASSO</v>
      </c>
    </row>
    <row r="603" spans="7:63" x14ac:dyDescent="0.15">
      <c r="G603" s="64">
        <f t="shared" si="216"/>
        <v>0</v>
      </c>
      <c r="I603" s="64">
        <f t="shared" si="217"/>
        <v>0</v>
      </c>
      <c r="K603" s="64">
        <f t="shared" si="218"/>
        <v>0</v>
      </c>
      <c r="M603" s="64">
        <f t="shared" si="219"/>
        <v>0</v>
      </c>
      <c r="O603" s="64">
        <f t="shared" si="220"/>
        <v>0</v>
      </c>
      <c r="Q603" s="64">
        <f t="shared" si="221"/>
        <v>0</v>
      </c>
      <c r="S603" s="71">
        <f t="shared" si="222"/>
        <v>0</v>
      </c>
      <c r="U603" s="64">
        <f t="shared" si="223"/>
        <v>0</v>
      </c>
      <c r="W603" s="71">
        <f t="shared" si="224"/>
        <v>0</v>
      </c>
      <c r="Y603" s="71">
        <f t="shared" si="225"/>
        <v>0</v>
      </c>
      <c r="AA603" s="71">
        <f t="shared" si="226"/>
        <v>0</v>
      </c>
      <c r="AC603" s="71">
        <f t="shared" si="227"/>
        <v>0</v>
      </c>
      <c r="AK603" s="71">
        <f t="shared" si="228"/>
        <v>0</v>
      </c>
      <c r="AM603" s="71">
        <f t="shared" si="229"/>
        <v>0</v>
      </c>
      <c r="AO603" s="71">
        <f t="shared" si="230"/>
        <v>0</v>
      </c>
      <c r="AQ603" s="71">
        <f t="shared" si="231"/>
        <v>0</v>
      </c>
      <c r="AT603" s="71">
        <f t="shared" si="232"/>
        <v>0</v>
      </c>
      <c r="AV603" s="71">
        <f t="shared" si="233"/>
        <v>0</v>
      </c>
      <c r="AX603" s="71">
        <f t="shared" si="234"/>
        <v>0</v>
      </c>
      <c r="AZ603" s="71">
        <f t="shared" si="235"/>
        <v>0</v>
      </c>
      <c r="BE603" s="102">
        <f t="shared" si="236"/>
        <v>4.4721359549995796</v>
      </c>
      <c r="BF603" s="81">
        <f t="shared" si="237"/>
        <v>9.3924867883288243E-14</v>
      </c>
      <c r="BG603" s="81" t="str">
        <f t="shared" si="238"/>
        <v>BASSO</v>
      </c>
      <c r="BK603" s="81" t="str">
        <f t="shared" si="239"/>
        <v>MOLTO BASSO</v>
      </c>
    </row>
    <row r="604" spans="7:63" x14ac:dyDescent="0.15">
      <c r="G604" s="64">
        <f t="shared" si="216"/>
        <v>0</v>
      </c>
      <c r="I604" s="64">
        <f t="shared" si="217"/>
        <v>0</v>
      </c>
      <c r="K604" s="64">
        <f t="shared" si="218"/>
        <v>0</v>
      </c>
      <c r="M604" s="64">
        <f t="shared" si="219"/>
        <v>0</v>
      </c>
      <c r="O604" s="64">
        <f t="shared" si="220"/>
        <v>0</v>
      </c>
      <c r="Q604" s="64">
        <f t="shared" si="221"/>
        <v>0</v>
      </c>
      <c r="S604" s="71">
        <f t="shared" si="222"/>
        <v>0</v>
      </c>
      <c r="U604" s="64">
        <f t="shared" si="223"/>
        <v>0</v>
      </c>
      <c r="W604" s="71">
        <f t="shared" si="224"/>
        <v>0</v>
      </c>
      <c r="Y604" s="71">
        <f t="shared" si="225"/>
        <v>0</v>
      </c>
      <c r="AA604" s="71">
        <f t="shared" si="226"/>
        <v>0</v>
      </c>
      <c r="AC604" s="71">
        <f t="shared" si="227"/>
        <v>0</v>
      </c>
      <c r="AK604" s="71">
        <f t="shared" si="228"/>
        <v>0</v>
      </c>
      <c r="AM604" s="71">
        <f t="shared" si="229"/>
        <v>0</v>
      </c>
      <c r="AO604" s="71">
        <f t="shared" si="230"/>
        <v>0</v>
      </c>
      <c r="AQ604" s="71">
        <f t="shared" si="231"/>
        <v>0</v>
      </c>
      <c r="AT604" s="71">
        <f t="shared" si="232"/>
        <v>0</v>
      </c>
      <c r="AV604" s="71">
        <f t="shared" si="233"/>
        <v>0</v>
      </c>
      <c r="AX604" s="71">
        <f t="shared" si="234"/>
        <v>0</v>
      </c>
      <c r="AZ604" s="71">
        <f t="shared" si="235"/>
        <v>0</v>
      </c>
      <c r="BE604" s="102">
        <f t="shared" si="236"/>
        <v>4.4721359549995796</v>
      </c>
      <c r="BF604" s="81">
        <f t="shared" si="237"/>
        <v>9.3924867883288243E-14</v>
      </c>
      <c r="BG604" s="81" t="str">
        <f t="shared" si="238"/>
        <v>BASSO</v>
      </c>
      <c r="BK604" s="81" t="str">
        <f t="shared" si="239"/>
        <v>MOLTO BASSO</v>
      </c>
    </row>
    <row r="605" spans="7:63" x14ac:dyDescent="0.15">
      <c r="G605" s="64">
        <f t="shared" si="216"/>
        <v>0</v>
      </c>
      <c r="I605" s="64">
        <f t="shared" si="217"/>
        <v>0</v>
      </c>
      <c r="K605" s="64">
        <f t="shared" si="218"/>
        <v>0</v>
      </c>
      <c r="M605" s="64">
        <f t="shared" si="219"/>
        <v>0</v>
      </c>
      <c r="O605" s="64">
        <f t="shared" si="220"/>
        <v>0</v>
      </c>
      <c r="Q605" s="64">
        <f t="shared" si="221"/>
        <v>0</v>
      </c>
      <c r="S605" s="71">
        <f t="shared" si="222"/>
        <v>0</v>
      </c>
      <c r="U605" s="64">
        <f t="shared" si="223"/>
        <v>0</v>
      </c>
      <c r="W605" s="71">
        <f t="shared" si="224"/>
        <v>0</v>
      </c>
      <c r="Y605" s="71">
        <f t="shared" si="225"/>
        <v>0</v>
      </c>
      <c r="AA605" s="71">
        <f t="shared" si="226"/>
        <v>0</v>
      </c>
      <c r="AC605" s="71">
        <f t="shared" si="227"/>
        <v>0</v>
      </c>
      <c r="AK605" s="71">
        <f t="shared" si="228"/>
        <v>0</v>
      </c>
      <c r="AM605" s="71">
        <f t="shared" si="229"/>
        <v>0</v>
      </c>
      <c r="AO605" s="71">
        <f t="shared" si="230"/>
        <v>0</v>
      </c>
      <c r="AQ605" s="71">
        <f t="shared" si="231"/>
        <v>0</v>
      </c>
      <c r="AT605" s="71">
        <f t="shared" si="232"/>
        <v>0</v>
      </c>
      <c r="AV605" s="71">
        <f t="shared" si="233"/>
        <v>0</v>
      </c>
      <c r="AX605" s="71">
        <f t="shared" si="234"/>
        <v>0</v>
      </c>
      <c r="AZ605" s="71">
        <f t="shared" si="235"/>
        <v>0</v>
      </c>
      <c r="BE605" s="102">
        <f t="shared" si="236"/>
        <v>4.4721359549995796</v>
      </c>
      <c r="BF605" s="81">
        <f t="shared" si="237"/>
        <v>9.3924867883288243E-14</v>
      </c>
      <c r="BG605" s="81" t="str">
        <f t="shared" si="238"/>
        <v>BASSO</v>
      </c>
      <c r="BK605" s="81" t="str">
        <f t="shared" si="239"/>
        <v>MOLTO BASSO</v>
      </c>
    </row>
    <row r="606" spans="7:63" x14ac:dyDescent="0.15">
      <c r="G606" s="64">
        <f t="shared" si="216"/>
        <v>0</v>
      </c>
      <c r="I606" s="64">
        <f t="shared" si="217"/>
        <v>0</v>
      </c>
      <c r="K606" s="64">
        <f t="shared" si="218"/>
        <v>0</v>
      </c>
      <c r="M606" s="64">
        <f t="shared" si="219"/>
        <v>0</v>
      </c>
      <c r="O606" s="64">
        <f t="shared" si="220"/>
        <v>0</v>
      </c>
      <c r="Q606" s="64">
        <f t="shared" si="221"/>
        <v>0</v>
      </c>
      <c r="S606" s="71">
        <f t="shared" si="222"/>
        <v>0</v>
      </c>
      <c r="U606" s="64">
        <f t="shared" si="223"/>
        <v>0</v>
      </c>
      <c r="W606" s="71">
        <f t="shared" si="224"/>
        <v>0</v>
      </c>
      <c r="Y606" s="71">
        <f t="shared" si="225"/>
        <v>0</v>
      </c>
      <c r="AA606" s="71">
        <f t="shared" si="226"/>
        <v>0</v>
      </c>
      <c r="AC606" s="71">
        <f t="shared" si="227"/>
        <v>0</v>
      </c>
      <c r="AK606" s="71">
        <f t="shared" si="228"/>
        <v>0</v>
      </c>
      <c r="AM606" s="71">
        <f t="shared" si="229"/>
        <v>0</v>
      </c>
      <c r="AO606" s="71">
        <f t="shared" si="230"/>
        <v>0</v>
      </c>
      <c r="AQ606" s="71">
        <f t="shared" si="231"/>
        <v>0</v>
      </c>
      <c r="AT606" s="71">
        <f t="shared" si="232"/>
        <v>0</v>
      </c>
      <c r="AV606" s="71">
        <f t="shared" si="233"/>
        <v>0</v>
      </c>
      <c r="AX606" s="71">
        <f t="shared" si="234"/>
        <v>0</v>
      </c>
      <c r="AZ606" s="71">
        <f t="shared" si="235"/>
        <v>0</v>
      </c>
      <c r="BE606" s="102">
        <f t="shared" si="236"/>
        <v>4.4721359549995796</v>
      </c>
      <c r="BF606" s="81">
        <f t="shared" si="237"/>
        <v>9.3924867883288243E-14</v>
      </c>
      <c r="BG606" s="81" t="str">
        <f t="shared" si="238"/>
        <v>BASSO</v>
      </c>
      <c r="BK606" s="81" t="str">
        <f t="shared" si="239"/>
        <v>MOLTO BASSO</v>
      </c>
    </row>
    <row r="607" spans="7:63" x14ac:dyDescent="0.15">
      <c r="G607" s="64">
        <f t="shared" si="216"/>
        <v>0</v>
      </c>
      <c r="I607" s="64">
        <f t="shared" si="217"/>
        <v>0</v>
      </c>
      <c r="K607" s="64">
        <f t="shared" si="218"/>
        <v>0</v>
      </c>
      <c r="M607" s="64">
        <f t="shared" si="219"/>
        <v>0</v>
      </c>
      <c r="O607" s="64">
        <f t="shared" si="220"/>
        <v>0</v>
      </c>
      <c r="Q607" s="64">
        <f t="shared" si="221"/>
        <v>0</v>
      </c>
      <c r="S607" s="71">
        <f t="shared" si="222"/>
        <v>0</v>
      </c>
      <c r="U607" s="64">
        <f t="shared" si="223"/>
        <v>0</v>
      </c>
      <c r="W607" s="71">
        <f t="shared" si="224"/>
        <v>0</v>
      </c>
      <c r="Y607" s="71">
        <f t="shared" si="225"/>
        <v>0</v>
      </c>
      <c r="AA607" s="71">
        <f t="shared" si="226"/>
        <v>0</v>
      </c>
      <c r="AC607" s="71">
        <f t="shared" si="227"/>
        <v>0</v>
      </c>
      <c r="AK607" s="71">
        <f t="shared" si="228"/>
        <v>0</v>
      </c>
      <c r="AM607" s="71">
        <f t="shared" si="229"/>
        <v>0</v>
      </c>
      <c r="AO607" s="71">
        <f t="shared" si="230"/>
        <v>0</v>
      </c>
      <c r="AQ607" s="71">
        <f t="shared" si="231"/>
        <v>0</v>
      </c>
      <c r="AT607" s="71">
        <f t="shared" si="232"/>
        <v>0</v>
      </c>
      <c r="AV607" s="71">
        <f t="shared" si="233"/>
        <v>0</v>
      </c>
      <c r="AX607" s="71">
        <f t="shared" si="234"/>
        <v>0</v>
      </c>
      <c r="AZ607" s="71">
        <f t="shared" si="235"/>
        <v>0</v>
      </c>
      <c r="BE607" s="102">
        <f t="shared" si="236"/>
        <v>4.4721359549995796</v>
      </c>
      <c r="BF607" s="81">
        <f t="shared" si="237"/>
        <v>9.3924867883288243E-14</v>
      </c>
      <c r="BG607" s="81" t="str">
        <f t="shared" si="238"/>
        <v>BASSO</v>
      </c>
      <c r="BK607" s="81" t="str">
        <f t="shared" si="239"/>
        <v>MOLTO BASSO</v>
      </c>
    </row>
    <row r="608" spans="7:63" x14ac:dyDescent="0.15">
      <c r="G608" s="64">
        <f t="shared" si="216"/>
        <v>0</v>
      </c>
      <c r="I608" s="64">
        <f t="shared" si="217"/>
        <v>0</v>
      </c>
      <c r="K608" s="64">
        <f t="shared" si="218"/>
        <v>0</v>
      </c>
      <c r="M608" s="64">
        <f t="shared" si="219"/>
        <v>0</v>
      </c>
      <c r="O608" s="64">
        <f t="shared" si="220"/>
        <v>0</v>
      </c>
      <c r="Q608" s="64">
        <f t="shared" si="221"/>
        <v>0</v>
      </c>
      <c r="S608" s="71">
        <f t="shared" si="222"/>
        <v>0</v>
      </c>
      <c r="U608" s="64">
        <f t="shared" si="223"/>
        <v>0</v>
      </c>
      <c r="W608" s="71">
        <f t="shared" si="224"/>
        <v>0</v>
      </c>
      <c r="Y608" s="71">
        <f t="shared" si="225"/>
        <v>0</v>
      </c>
      <c r="AA608" s="71">
        <f t="shared" si="226"/>
        <v>0</v>
      </c>
      <c r="AC608" s="71">
        <f t="shared" si="227"/>
        <v>0</v>
      </c>
      <c r="AK608" s="71">
        <f t="shared" si="228"/>
        <v>0</v>
      </c>
      <c r="AM608" s="71">
        <f t="shared" si="229"/>
        <v>0</v>
      </c>
      <c r="AO608" s="71">
        <f t="shared" si="230"/>
        <v>0</v>
      </c>
      <c r="AQ608" s="71">
        <f t="shared" si="231"/>
        <v>0</v>
      </c>
      <c r="AT608" s="71">
        <f t="shared" si="232"/>
        <v>0</v>
      </c>
      <c r="AV608" s="71">
        <f t="shared" si="233"/>
        <v>0</v>
      </c>
      <c r="AX608" s="71">
        <f t="shared" si="234"/>
        <v>0</v>
      </c>
      <c r="AZ608" s="71">
        <f t="shared" si="235"/>
        <v>0</v>
      </c>
      <c r="BE608" s="102">
        <f t="shared" si="236"/>
        <v>4.4721359549995796</v>
      </c>
      <c r="BF608" s="81">
        <f t="shared" si="237"/>
        <v>9.3924867883288243E-14</v>
      </c>
      <c r="BG608" s="81" t="str">
        <f t="shared" si="238"/>
        <v>BASSO</v>
      </c>
      <c r="BK608" s="81" t="str">
        <f t="shared" si="239"/>
        <v>MOLTO BASSO</v>
      </c>
    </row>
    <row r="609" spans="7:63" x14ac:dyDescent="0.15">
      <c r="G609" s="64">
        <f t="shared" si="216"/>
        <v>0</v>
      </c>
      <c r="I609" s="64">
        <f t="shared" si="217"/>
        <v>0</v>
      </c>
      <c r="K609" s="64">
        <f t="shared" si="218"/>
        <v>0</v>
      </c>
      <c r="M609" s="64">
        <f t="shared" si="219"/>
        <v>0</v>
      </c>
      <c r="O609" s="64">
        <f t="shared" si="220"/>
        <v>0</v>
      </c>
      <c r="Q609" s="64">
        <f t="shared" si="221"/>
        <v>0</v>
      </c>
      <c r="S609" s="71">
        <f t="shared" si="222"/>
        <v>0</v>
      </c>
      <c r="U609" s="64">
        <f t="shared" si="223"/>
        <v>0</v>
      </c>
      <c r="W609" s="71">
        <f t="shared" si="224"/>
        <v>0</v>
      </c>
      <c r="Y609" s="71">
        <f t="shared" si="225"/>
        <v>0</v>
      </c>
      <c r="AA609" s="71">
        <f t="shared" si="226"/>
        <v>0</v>
      </c>
      <c r="AC609" s="71">
        <f t="shared" si="227"/>
        <v>0</v>
      </c>
      <c r="AK609" s="71">
        <f t="shared" si="228"/>
        <v>0</v>
      </c>
      <c r="AM609" s="71">
        <f t="shared" si="229"/>
        <v>0</v>
      </c>
      <c r="AO609" s="71">
        <f t="shared" si="230"/>
        <v>0</v>
      </c>
      <c r="AQ609" s="71">
        <f t="shared" si="231"/>
        <v>0</v>
      </c>
      <c r="AT609" s="71">
        <f t="shared" si="232"/>
        <v>0</v>
      </c>
      <c r="AV609" s="71">
        <f t="shared" si="233"/>
        <v>0</v>
      </c>
      <c r="AX609" s="71">
        <f t="shared" si="234"/>
        <v>0</v>
      </c>
      <c r="AZ609" s="71">
        <f t="shared" si="235"/>
        <v>0</v>
      </c>
      <c r="BE609" s="102">
        <f t="shared" si="236"/>
        <v>4.4721359549995796</v>
      </c>
      <c r="BF609" s="81">
        <f t="shared" si="237"/>
        <v>9.3924867883288243E-14</v>
      </c>
      <c r="BG609" s="81" t="str">
        <f t="shared" si="238"/>
        <v>BASSO</v>
      </c>
      <c r="BK609" s="81" t="str">
        <f t="shared" si="239"/>
        <v>MOLTO BASSO</v>
      </c>
    </row>
    <row r="610" spans="7:63" x14ac:dyDescent="0.15">
      <c r="G610" s="64">
        <f t="shared" si="216"/>
        <v>0</v>
      </c>
      <c r="I610" s="64">
        <f t="shared" si="217"/>
        <v>0</v>
      </c>
      <c r="K610" s="64">
        <f t="shared" si="218"/>
        <v>0</v>
      </c>
      <c r="M610" s="64">
        <f t="shared" si="219"/>
        <v>0</v>
      </c>
      <c r="O610" s="64">
        <f t="shared" si="220"/>
        <v>0</v>
      </c>
      <c r="Q610" s="64">
        <f t="shared" si="221"/>
        <v>0</v>
      </c>
      <c r="S610" s="71">
        <f t="shared" si="222"/>
        <v>0</v>
      </c>
      <c r="U610" s="64">
        <f t="shared" si="223"/>
        <v>0</v>
      </c>
      <c r="W610" s="71">
        <f t="shared" si="224"/>
        <v>0</v>
      </c>
      <c r="Y610" s="71">
        <f t="shared" si="225"/>
        <v>0</v>
      </c>
      <c r="AA610" s="71">
        <f t="shared" si="226"/>
        <v>0</v>
      </c>
      <c r="AC610" s="71">
        <f t="shared" si="227"/>
        <v>0</v>
      </c>
      <c r="AK610" s="71">
        <f t="shared" si="228"/>
        <v>0</v>
      </c>
      <c r="AM610" s="71">
        <f t="shared" si="229"/>
        <v>0</v>
      </c>
      <c r="AO610" s="71">
        <f t="shared" si="230"/>
        <v>0</v>
      </c>
      <c r="AQ610" s="71">
        <f t="shared" si="231"/>
        <v>0</v>
      </c>
      <c r="AT610" s="71">
        <f t="shared" si="232"/>
        <v>0</v>
      </c>
      <c r="AV610" s="71">
        <f t="shared" si="233"/>
        <v>0</v>
      </c>
      <c r="AX610" s="71">
        <f t="shared" si="234"/>
        <v>0</v>
      </c>
      <c r="AZ610" s="71">
        <f t="shared" si="235"/>
        <v>0</v>
      </c>
      <c r="BE610" s="102">
        <f t="shared" si="236"/>
        <v>4.4721359549995796</v>
      </c>
      <c r="BF610" s="81">
        <f t="shared" si="237"/>
        <v>9.3924867883288243E-14</v>
      </c>
      <c r="BG610" s="81" t="str">
        <f t="shared" si="238"/>
        <v>BASSO</v>
      </c>
      <c r="BK610" s="81" t="str">
        <f t="shared" si="239"/>
        <v>MOLTO BASSO</v>
      </c>
    </row>
    <row r="611" spans="7:63" x14ac:dyDescent="0.15">
      <c r="G611" s="64">
        <f t="shared" si="216"/>
        <v>0</v>
      </c>
      <c r="I611" s="64">
        <f t="shared" si="217"/>
        <v>0</v>
      </c>
      <c r="K611" s="64">
        <f t="shared" si="218"/>
        <v>0</v>
      </c>
      <c r="M611" s="64">
        <f t="shared" si="219"/>
        <v>0</v>
      </c>
      <c r="O611" s="64">
        <f t="shared" si="220"/>
        <v>0</v>
      </c>
      <c r="Q611" s="64">
        <f t="shared" si="221"/>
        <v>0</v>
      </c>
      <c r="S611" s="71">
        <f t="shared" si="222"/>
        <v>0</v>
      </c>
      <c r="U611" s="64">
        <f t="shared" si="223"/>
        <v>0</v>
      </c>
      <c r="W611" s="71">
        <f t="shared" si="224"/>
        <v>0</v>
      </c>
      <c r="Y611" s="71">
        <f t="shared" si="225"/>
        <v>0</v>
      </c>
      <c r="AA611" s="71">
        <f t="shared" si="226"/>
        <v>0</v>
      </c>
      <c r="AC611" s="71">
        <f t="shared" si="227"/>
        <v>0</v>
      </c>
      <c r="AK611" s="71">
        <f t="shared" si="228"/>
        <v>0</v>
      </c>
      <c r="AM611" s="71">
        <f t="shared" si="229"/>
        <v>0</v>
      </c>
      <c r="AO611" s="71">
        <f t="shared" si="230"/>
        <v>0</v>
      </c>
      <c r="AQ611" s="71">
        <f t="shared" si="231"/>
        <v>0</v>
      </c>
      <c r="AT611" s="71">
        <f t="shared" si="232"/>
        <v>0</v>
      </c>
      <c r="AV611" s="71">
        <f t="shared" si="233"/>
        <v>0</v>
      </c>
      <c r="AX611" s="71">
        <f t="shared" si="234"/>
        <v>0</v>
      </c>
      <c r="AZ611" s="71">
        <f t="shared" si="235"/>
        <v>0</v>
      </c>
      <c r="BE611" s="102">
        <f t="shared" si="236"/>
        <v>4.4721359549995796</v>
      </c>
      <c r="BF611" s="81">
        <f t="shared" si="237"/>
        <v>9.3924867883288243E-14</v>
      </c>
      <c r="BG611" s="81" t="str">
        <f t="shared" si="238"/>
        <v>BASSO</v>
      </c>
      <c r="BK611" s="81" t="str">
        <f t="shared" si="239"/>
        <v>MOLTO BASSO</v>
      </c>
    </row>
    <row r="612" spans="7:63" x14ac:dyDescent="0.15">
      <c r="G612" s="64">
        <f t="shared" si="216"/>
        <v>0</v>
      </c>
      <c r="I612" s="64">
        <f t="shared" si="217"/>
        <v>0</v>
      </c>
      <c r="K612" s="64">
        <f t="shared" si="218"/>
        <v>0</v>
      </c>
      <c r="M612" s="64">
        <f t="shared" si="219"/>
        <v>0</v>
      </c>
      <c r="O612" s="64">
        <f t="shared" si="220"/>
        <v>0</v>
      </c>
      <c r="Q612" s="64">
        <f t="shared" si="221"/>
        <v>0</v>
      </c>
      <c r="S612" s="71">
        <f t="shared" si="222"/>
        <v>0</v>
      </c>
      <c r="U612" s="64">
        <f t="shared" si="223"/>
        <v>0</v>
      </c>
      <c r="W612" s="71">
        <f t="shared" si="224"/>
        <v>0</v>
      </c>
      <c r="Y612" s="71">
        <f t="shared" si="225"/>
        <v>0</v>
      </c>
      <c r="AA612" s="71">
        <f t="shared" si="226"/>
        <v>0</v>
      </c>
      <c r="AC612" s="71">
        <f t="shared" si="227"/>
        <v>0</v>
      </c>
      <c r="AK612" s="71">
        <f t="shared" si="228"/>
        <v>0</v>
      </c>
      <c r="AM612" s="71">
        <f t="shared" si="229"/>
        <v>0</v>
      </c>
      <c r="AO612" s="71">
        <f t="shared" si="230"/>
        <v>0</v>
      </c>
      <c r="AQ612" s="71">
        <f t="shared" si="231"/>
        <v>0</v>
      </c>
      <c r="AT612" s="71">
        <f t="shared" si="232"/>
        <v>0</v>
      </c>
      <c r="AV612" s="71">
        <f t="shared" si="233"/>
        <v>0</v>
      </c>
      <c r="AX612" s="71">
        <f t="shared" si="234"/>
        <v>0</v>
      </c>
      <c r="AZ612" s="71">
        <f t="shared" si="235"/>
        <v>0</v>
      </c>
      <c r="BE612" s="102">
        <f t="shared" si="236"/>
        <v>4.4721359549995796</v>
      </c>
      <c r="BF612" s="81">
        <f t="shared" si="237"/>
        <v>9.3924867883288243E-14</v>
      </c>
      <c r="BG612" s="81" t="str">
        <f t="shared" si="238"/>
        <v>BASSO</v>
      </c>
      <c r="BK612" s="81" t="str">
        <f t="shared" si="239"/>
        <v>MOLTO BASSO</v>
      </c>
    </row>
    <row r="613" spans="7:63" x14ac:dyDescent="0.15">
      <c r="G613" s="64">
        <f t="shared" si="216"/>
        <v>0</v>
      </c>
      <c r="I613" s="64">
        <f t="shared" si="217"/>
        <v>0</v>
      </c>
      <c r="K613" s="64">
        <f t="shared" si="218"/>
        <v>0</v>
      </c>
      <c r="M613" s="64">
        <f t="shared" si="219"/>
        <v>0</v>
      </c>
      <c r="O613" s="64">
        <f t="shared" si="220"/>
        <v>0</v>
      </c>
      <c r="Q613" s="64">
        <f t="shared" si="221"/>
        <v>0</v>
      </c>
      <c r="S613" s="71">
        <f t="shared" si="222"/>
        <v>0</v>
      </c>
      <c r="U613" s="64">
        <f t="shared" si="223"/>
        <v>0</v>
      </c>
      <c r="W613" s="71">
        <f t="shared" si="224"/>
        <v>0</v>
      </c>
      <c r="Y613" s="71">
        <f t="shared" si="225"/>
        <v>0</v>
      </c>
      <c r="AA613" s="71">
        <f t="shared" si="226"/>
        <v>0</v>
      </c>
      <c r="AC613" s="71">
        <f t="shared" si="227"/>
        <v>0</v>
      </c>
      <c r="AK613" s="71">
        <f t="shared" si="228"/>
        <v>0</v>
      </c>
      <c r="AM613" s="71">
        <f t="shared" si="229"/>
        <v>0</v>
      </c>
      <c r="AO613" s="71">
        <f t="shared" si="230"/>
        <v>0</v>
      </c>
      <c r="AQ613" s="71">
        <f t="shared" si="231"/>
        <v>0</v>
      </c>
      <c r="AT613" s="71">
        <f t="shared" si="232"/>
        <v>0</v>
      </c>
      <c r="AV613" s="71">
        <f t="shared" si="233"/>
        <v>0</v>
      </c>
      <c r="AX613" s="71">
        <f t="shared" si="234"/>
        <v>0</v>
      </c>
      <c r="AZ613" s="71">
        <f t="shared" si="235"/>
        <v>0</v>
      </c>
      <c r="BE613" s="102">
        <f t="shared" si="236"/>
        <v>4.4721359549995796</v>
      </c>
      <c r="BF613" s="81">
        <f t="shared" si="237"/>
        <v>9.3924867883288243E-14</v>
      </c>
      <c r="BG613" s="81" t="str">
        <f t="shared" si="238"/>
        <v>BASSO</v>
      </c>
      <c r="BK613" s="81" t="str">
        <f t="shared" si="239"/>
        <v>MOLTO BASSO</v>
      </c>
    </row>
    <row r="614" spans="7:63" x14ac:dyDescent="0.15">
      <c r="G614" s="64">
        <f t="shared" si="216"/>
        <v>0</v>
      </c>
      <c r="I614" s="64">
        <f t="shared" si="217"/>
        <v>0</v>
      </c>
      <c r="K614" s="64">
        <f t="shared" si="218"/>
        <v>0</v>
      </c>
      <c r="M614" s="64">
        <f t="shared" si="219"/>
        <v>0</v>
      </c>
      <c r="O614" s="64">
        <f t="shared" si="220"/>
        <v>0</v>
      </c>
      <c r="Q614" s="64">
        <f t="shared" si="221"/>
        <v>0</v>
      </c>
      <c r="S614" s="71">
        <f t="shared" si="222"/>
        <v>0</v>
      </c>
      <c r="U614" s="64">
        <f t="shared" si="223"/>
        <v>0</v>
      </c>
      <c r="W614" s="71">
        <f t="shared" si="224"/>
        <v>0</v>
      </c>
      <c r="Y614" s="71">
        <f t="shared" si="225"/>
        <v>0</v>
      </c>
      <c r="AA614" s="71">
        <f t="shared" si="226"/>
        <v>0</v>
      </c>
      <c r="AC614" s="71">
        <f t="shared" si="227"/>
        <v>0</v>
      </c>
      <c r="AK614" s="71">
        <f t="shared" si="228"/>
        <v>0</v>
      </c>
      <c r="AM614" s="71">
        <f t="shared" si="229"/>
        <v>0</v>
      </c>
      <c r="AO614" s="71">
        <f t="shared" si="230"/>
        <v>0</v>
      </c>
      <c r="AQ614" s="71">
        <f t="shared" si="231"/>
        <v>0</v>
      </c>
      <c r="AT614" s="71">
        <f t="shared" si="232"/>
        <v>0</v>
      </c>
      <c r="AV614" s="71">
        <f t="shared" si="233"/>
        <v>0</v>
      </c>
      <c r="AX614" s="71">
        <f t="shared" si="234"/>
        <v>0</v>
      </c>
      <c r="AZ614" s="71">
        <f t="shared" si="235"/>
        <v>0</v>
      </c>
      <c r="BE614" s="102">
        <f t="shared" si="236"/>
        <v>4.4721359549995796</v>
      </c>
      <c r="BF614" s="81">
        <f t="shared" si="237"/>
        <v>9.3924867883288243E-14</v>
      </c>
      <c r="BG614" s="81" t="str">
        <f t="shared" si="238"/>
        <v>BASSO</v>
      </c>
      <c r="BK614" s="81" t="str">
        <f t="shared" si="239"/>
        <v>MOLTO BASSO</v>
      </c>
    </row>
    <row r="615" spans="7:63" x14ac:dyDescent="0.15">
      <c r="G615" s="64">
        <f t="shared" si="216"/>
        <v>0</v>
      </c>
      <c r="I615" s="64">
        <f t="shared" si="217"/>
        <v>0</v>
      </c>
      <c r="K615" s="64">
        <f t="shared" si="218"/>
        <v>0</v>
      </c>
      <c r="M615" s="64">
        <f t="shared" si="219"/>
        <v>0</v>
      </c>
      <c r="O615" s="64">
        <f t="shared" si="220"/>
        <v>0</v>
      </c>
      <c r="Q615" s="64">
        <f t="shared" si="221"/>
        <v>0</v>
      </c>
      <c r="S615" s="71">
        <f t="shared" si="222"/>
        <v>0</v>
      </c>
      <c r="U615" s="64">
        <f t="shared" si="223"/>
        <v>0</v>
      </c>
      <c r="W615" s="71">
        <f t="shared" si="224"/>
        <v>0</v>
      </c>
      <c r="Y615" s="71">
        <f t="shared" si="225"/>
        <v>0</v>
      </c>
      <c r="AA615" s="71">
        <f t="shared" si="226"/>
        <v>0</v>
      </c>
      <c r="AC615" s="71">
        <f t="shared" si="227"/>
        <v>0</v>
      </c>
      <c r="AK615" s="71">
        <f t="shared" si="228"/>
        <v>0</v>
      </c>
      <c r="AM615" s="71">
        <f t="shared" si="229"/>
        <v>0</v>
      </c>
      <c r="AO615" s="71">
        <f t="shared" si="230"/>
        <v>0</v>
      </c>
      <c r="AQ615" s="71">
        <f t="shared" si="231"/>
        <v>0</v>
      </c>
      <c r="AT615" s="71">
        <f t="shared" si="232"/>
        <v>0</v>
      </c>
      <c r="AV615" s="71">
        <f t="shared" si="233"/>
        <v>0</v>
      </c>
      <c r="AX615" s="71">
        <f t="shared" si="234"/>
        <v>0</v>
      </c>
      <c r="AZ615" s="71">
        <f t="shared" si="235"/>
        <v>0</v>
      </c>
      <c r="BE615" s="102">
        <f t="shared" si="236"/>
        <v>4.4721359549995796</v>
      </c>
      <c r="BF615" s="81">
        <f t="shared" si="237"/>
        <v>9.3924867883288243E-14</v>
      </c>
      <c r="BG615" s="81" t="str">
        <f t="shared" si="238"/>
        <v>BASSO</v>
      </c>
      <c r="BK615" s="81" t="str">
        <f t="shared" si="239"/>
        <v>MOLTO BASSO</v>
      </c>
    </row>
    <row r="616" spans="7:63" x14ac:dyDescent="0.15">
      <c r="G616" s="64">
        <f t="shared" ref="G616:G679" si="240">F617/2</f>
        <v>0</v>
      </c>
      <c r="I616" s="64">
        <f t="shared" si="217"/>
        <v>0</v>
      </c>
      <c r="K616" s="64">
        <f t="shared" si="218"/>
        <v>0</v>
      </c>
      <c r="M616" s="64">
        <f t="shared" si="219"/>
        <v>0</v>
      </c>
      <c r="O616" s="64">
        <f t="shared" si="220"/>
        <v>0</v>
      </c>
      <c r="Q616" s="64">
        <f t="shared" si="221"/>
        <v>0</v>
      </c>
      <c r="S616" s="71">
        <f t="shared" si="222"/>
        <v>0</v>
      </c>
      <c r="U616" s="64">
        <f t="shared" si="223"/>
        <v>0</v>
      </c>
      <c r="W616" s="71">
        <f t="shared" si="224"/>
        <v>0</v>
      </c>
      <c r="Y616" s="71">
        <f t="shared" si="225"/>
        <v>0</v>
      </c>
      <c r="AA616" s="71">
        <f t="shared" si="226"/>
        <v>0</v>
      </c>
      <c r="AC616" s="71">
        <f t="shared" si="227"/>
        <v>0</v>
      </c>
      <c r="AK616" s="71">
        <f t="shared" si="228"/>
        <v>0</v>
      </c>
      <c r="AM616" s="71">
        <f t="shared" si="229"/>
        <v>0</v>
      </c>
      <c r="AO616" s="71">
        <f t="shared" si="230"/>
        <v>0</v>
      </c>
      <c r="AQ616" s="71">
        <f t="shared" si="231"/>
        <v>0</v>
      </c>
      <c r="AT616" s="71">
        <f t="shared" si="232"/>
        <v>0</v>
      </c>
      <c r="AV616" s="71">
        <f t="shared" si="233"/>
        <v>0</v>
      </c>
      <c r="AX616" s="71">
        <f t="shared" si="234"/>
        <v>0</v>
      </c>
      <c r="AZ616" s="71">
        <f t="shared" si="235"/>
        <v>0</v>
      </c>
      <c r="BE616" s="102">
        <f t="shared" si="236"/>
        <v>4.4721359549995796</v>
      </c>
      <c r="BF616" s="81">
        <f t="shared" si="237"/>
        <v>9.3924867883288243E-14</v>
      </c>
      <c r="BG616" s="81" t="str">
        <f t="shared" si="238"/>
        <v>BASSO</v>
      </c>
      <c r="BK616" s="81" t="str">
        <f t="shared" si="239"/>
        <v>MOLTO BASSO</v>
      </c>
    </row>
    <row r="617" spans="7:63" x14ac:dyDescent="0.15">
      <c r="G617" s="64">
        <f t="shared" si="240"/>
        <v>0</v>
      </c>
      <c r="I617" s="64">
        <f t="shared" si="217"/>
        <v>0</v>
      </c>
      <c r="K617" s="64">
        <f t="shared" si="218"/>
        <v>0</v>
      </c>
      <c r="M617" s="64">
        <f t="shared" si="219"/>
        <v>0</v>
      </c>
      <c r="O617" s="64">
        <f t="shared" si="220"/>
        <v>0</v>
      </c>
      <c r="Q617" s="64">
        <f t="shared" si="221"/>
        <v>0</v>
      </c>
      <c r="S617" s="71">
        <f t="shared" si="222"/>
        <v>0</v>
      </c>
      <c r="U617" s="64">
        <f t="shared" si="223"/>
        <v>0</v>
      </c>
      <c r="W617" s="71">
        <f t="shared" si="224"/>
        <v>0</v>
      </c>
      <c r="Y617" s="71">
        <f t="shared" si="225"/>
        <v>0</v>
      </c>
      <c r="AA617" s="71">
        <f t="shared" si="226"/>
        <v>0</v>
      </c>
      <c r="AC617" s="71">
        <f t="shared" si="227"/>
        <v>0</v>
      </c>
      <c r="AK617" s="71">
        <f t="shared" si="228"/>
        <v>0</v>
      </c>
      <c r="AM617" s="71">
        <f t="shared" si="229"/>
        <v>0</v>
      </c>
      <c r="AO617" s="71">
        <f t="shared" si="230"/>
        <v>0</v>
      </c>
      <c r="AQ617" s="71">
        <f t="shared" si="231"/>
        <v>0</v>
      </c>
      <c r="AT617" s="71">
        <f t="shared" si="232"/>
        <v>0</v>
      </c>
      <c r="AV617" s="71">
        <f t="shared" si="233"/>
        <v>0</v>
      </c>
      <c r="AX617" s="71">
        <f t="shared" si="234"/>
        <v>0</v>
      </c>
      <c r="AZ617" s="71">
        <f t="shared" si="235"/>
        <v>0</v>
      </c>
      <c r="BE617" s="102">
        <f t="shared" si="236"/>
        <v>4.4721359549995796</v>
      </c>
      <c r="BF617" s="81">
        <f t="shared" si="237"/>
        <v>9.3924867883288243E-14</v>
      </c>
      <c r="BG617" s="81" t="str">
        <f t="shared" si="238"/>
        <v>BASSO</v>
      </c>
      <c r="BK617" s="81" t="str">
        <f t="shared" si="239"/>
        <v>MOLTO BASSO</v>
      </c>
    </row>
    <row r="618" spans="7:63" x14ac:dyDescent="0.15">
      <c r="G618" s="64">
        <f t="shared" si="240"/>
        <v>0</v>
      </c>
      <c r="I618" s="64">
        <f t="shared" si="217"/>
        <v>0</v>
      </c>
      <c r="K618" s="64">
        <f t="shared" si="218"/>
        <v>0</v>
      </c>
      <c r="M618" s="64">
        <f t="shared" si="219"/>
        <v>0</v>
      </c>
      <c r="O618" s="64">
        <f t="shared" si="220"/>
        <v>0</v>
      </c>
      <c r="Q618" s="64">
        <f t="shared" si="221"/>
        <v>0</v>
      </c>
      <c r="S618" s="71">
        <f t="shared" si="222"/>
        <v>0</v>
      </c>
      <c r="U618" s="64">
        <f t="shared" si="223"/>
        <v>0</v>
      </c>
      <c r="W618" s="71">
        <f t="shared" si="224"/>
        <v>0</v>
      </c>
      <c r="Y618" s="71">
        <f t="shared" si="225"/>
        <v>0</v>
      </c>
      <c r="AA618" s="71">
        <f t="shared" si="226"/>
        <v>0</v>
      </c>
      <c r="AC618" s="71">
        <f t="shared" si="227"/>
        <v>0</v>
      </c>
      <c r="AK618" s="71">
        <f t="shared" si="228"/>
        <v>0</v>
      </c>
      <c r="AM618" s="71">
        <f t="shared" si="229"/>
        <v>0</v>
      </c>
      <c r="AO618" s="71">
        <f t="shared" si="230"/>
        <v>0</v>
      </c>
      <c r="AQ618" s="71">
        <f t="shared" si="231"/>
        <v>0</v>
      </c>
      <c r="AT618" s="71">
        <f t="shared" si="232"/>
        <v>0</v>
      </c>
      <c r="AV618" s="71">
        <f t="shared" si="233"/>
        <v>0</v>
      </c>
      <c r="AX618" s="71">
        <f t="shared" si="234"/>
        <v>0</v>
      </c>
      <c r="AZ618" s="71">
        <f t="shared" si="235"/>
        <v>0</v>
      </c>
      <c r="BE618" s="102">
        <f t="shared" si="236"/>
        <v>4.4721359549995796</v>
      </c>
      <c r="BF618" s="81">
        <f t="shared" si="237"/>
        <v>9.3924867883288243E-14</v>
      </c>
      <c r="BG618" s="81" t="str">
        <f t="shared" si="238"/>
        <v>BASSO</v>
      </c>
      <c r="BK618" s="81" t="str">
        <f t="shared" si="239"/>
        <v>MOLTO BASSO</v>
      </c>
    </row>
    <row r="619" spans="7:63" x14ac:dyDescent="0.15">
      <c r="G619" s="64">
        <f t="shared" si="240"/>
        <v>0</v>
      </c>
      <c r="I619" s="64">
        <f t="shared" si="217"/>
        <v>0</v>
      </c>
      <c r="K619" s="64">
        <f t="shared" si="218"/>
        <v>0</v>
      </c>
      <c r="M619" s="64">
        <f t="shared" si="219"/>
        <v>0</v>
      </c>
      <c r="O619" s="64">
        <f t="shared" si="220"/>
        <v>0</v>
      </c>
      <c r="Q619" s="64">
        <f t="shared" si="221"/>
        <v>0</v>
      </c>
      <c r="S619" s="71">
        <f t="shared" si="222"/>
        <v>0</v>
      </c>
      <c r="U619" s="64">
        <f t="shared" si="223"/>
        <v>0</v>
      </c>
      <c r="W619" s="71">
        <f t="shared" si="224"/>
        <v>0</v>
      </c>
      <c r="Y619" s="71">
        <f t="shared" si="225"/>
        <v>0</v>
      </c>
      <c r="AA619" s="71">
        <f t="shared" si="226"/>
        <v>0</v>
      </c>
      <c r="AC619" s="71">
        <f t="shared" si="227"/>
        <v>0</v>
      </c>
      <c r="AK619" s="71">
        <f t="shared" si="228"/>
        <v>0</v>
      </c>
      <c r="AM619" s="71">
        <f t="shared" si="229"/>
        <v>0</v>
      </c>
      <c r="AO619" s="71">
        <f t="shared" si="230"/>
        <v>0</v>
      </c>
      <c r="AQ619" s="71">
        <f t="shared" si="231"/>
        <v>0</v>
      </c>
      <c r="AT619" s="71">
        <f t="shared" si="232"/>
        <v>0</v>
      </c>
      <c r="AV619" s="71">
        <f t="shared" si="233"/>
        <v>0</v>
      </c>
      <c r="AX619" s="71">
        <f t="shared" si="234"/>
        <v>0</v>
      </c>
      <c r="AZ619" s="71">
        <f t="shared" si="235"/>
        <v>0</v>
      </c>
      <c r="BE619" s="102">
        <f t="shared" si="236"/>
        <v>4.4721359549995796</v>
      </c>
      <c r="BF619" s="81">
        <f t="shared" si="237"/>
        <v>9.3924867883288243E-14</v>
      </c>
      <c r="BG619" s="81" t="str">
        <f t="shared" si="238"/>
        <v>BASSO</v>
      </c>
      <c r="BK619" s="81" t="str">
        <f t="shared" si="239"/>
        <v>MOLTO BASSO</v>
      </c>
    </row>
    <row r="620" spans="7:63" x14ac:dyDescent="0.15">
      <c r="G620" s="64">
        <f t="shared" si="240"/>
        <v>0</v>
      </c>
      <c r="I620" s="64">
        <f t="shared" si="217"/>
        <v>0</v>
      </c>
      <c r="K620" s="64">
        <f t="shared" si="218"/>
        <v>0</v>
      </c>
      <c r="M620" s="64">
        <f t="shared" si="219"/>
        <v>0</v>
      </c>
      <c r="O620" s="64">
        <f t="shared" si="220"/>
        <v>0</v>
      </c>
      <c r="Q620" s="64">
        <f t="shared" si="221"/>
        <v>0</v>
      </c>
      <c r="S620" s="71">
        <f t="shared" si="222"/>
        <v>0</v>
      </c>
      <c r="U620" s="64">
        <f t="shared" si="223"/>
        <v>0</v>
      </c>
      <c r="W620" s="71">
        <f t="shared" si="224"/>
        <v>0</v>
      </c>
      <c r="Y620" s="71">
        <f t="shared" si="225"/>
        <v>0</v>
      </c>
      <c r="AA620" s="71">
        <f t="shared" si="226"/>
        <v>0</v>
      </c>
      <c r="AC620" s="71">
        <f t="shared" si="227"/>
        <v>0</v>
      </c>
      <c r="AK620" s="71">
        <f t="shared" si="228"/>
        <v>0</v>
      </c>
      <c r="AM620" s="71">
        <f t="shared" si="229"/>
        <v>0</v>
      </c>
      <c r="AO620" s="71">
        <f t="shared" si="230"/>
        <v>0</v>
      </c>
      <c r="AQ620" s="71">
        <f t="shared" si="231"/>
        <v>0</v>
      </c>
      <c r="AT620" s="71">
        <f t="shared" si="232"/>
        <v>0</v>
      </c>
      <c r="AV620" s="71">
        <f t="shared" si="233"/>
        <v>0</v>
      </c>
      <c r="AX620" s="71">
        <f t="shared" si="234"/>
        <v>0</v>
      </c>
      <c r="AZ620" s="71">
        <f t="shared" si="235"/>
        <v>0</v>
      </c>
      <c r="BE620" s="102">
        <f t="shared" si="236"/>
        <v>4.4721359549995796</v>
      </c>
      <c r="BF620" s="81">
        <f t="shared" si="237"/>
        <v>9.3924867883288243E-14</v>
      </c>
      <c r="BG620" s="81" t="str">
        <f t="shared" si="238"/>
        <v>BASSO</v>
      </c>
      <c r="BK620" s="81" t="str">
        <f t="shared" si="239"/>
        <v>MOLTO BASSO</v>
      </c>
    </row>
    <row r="621" spans="7:63" x14ac:dyDescent="0.15">
      <c r="G621" s="64">
        <f t="shared" si="240"/>
        <v>0</v>
      </c>
      <c r="I621" s="64">
        <f t="shared" si="217"/>
        <v>0</v>
      </c>
      <c r="K621" s="64">
        <f t="shared" si="218"/>
        <v>0</v>
      </c>
      <c r="M621" s="64">
        <f t="shared" si="219"/>
        <v>0</v>
      </c>
      <c r="O621" s="64">
        <f t="shared" si="220"/>
        <v>0</v>
      </c>
      <c r="Q621" s="64">
        <f t="shared" si="221"/>
        <v>0</v>
      </c>
      <c r="S621" s="71">
        <f t="shared" si="222"/>
        <v>0</v>
      </c>
      <c r="U621" s="64">
        <f t="shared" si="223"/>
        <v>0</v>
      </c>
      <c r="W621" s="71">
        <f t="shared" si="224"/>
        <v>0</v>
      </c>
      <c r="Y621" s="71">
        <f t="shared" si="225"/>
        <v>0</v>
      </c>
      <c r="AA621" s="71">
        <f t="shared" si="226"/>
        <v>0</v>
      </c>
      <c r="AC621" s="71">
        <f t="shared" si="227"/>
        <v>0</v>
      </c>
      <c r="AK621" s="71">
        <f t="shared" si="228"/>
        <v>0</v>
      </c>
      <c r="AM621" s="71">
        <f t="shared" si="229"/>
        <v>0</v>
      </c>
      <c r="AO621" s="71">
        <f t="shared" si="230"/>
        <v>0</v>
      </c>
      <c r="AQ621" s="71">
        <f t="shared" si="231"/>
        <v>0</v>
      </c>
      <c r="AT621" s="71">
        <f t="shared" si="232"/>
        <v>0</v>
      </c>
      <c r="AV621" s="71">
        <f t="shared" si="233"/>
        <v>0</v>
      </c>
      <c r="AX621" s="71">
        <f t="shared" si="234"/>
        <v>0</v>
      </c>
      <c r="AZ621" s="71">
        <f t="shared" si="235"/>
        <v>0</v>
      </c>
      <c r="BE621" s="102">
        <f t="shared" si="236"/>
        <v>4.4721359549995796</v>
      </c>
      <c r="BF621" s="81">
        <f t="shared" si="237"/>
        <v>9.3924867883288243E-14</v>
      </c>
      <c r="BG621" s="81" t="str">
        <f t="shared" si="238"/>
        <v>BASSO</v>
      </c>
      <c r="BK621" s="81" t="str">
        <f t="shared" si="239"/>
        <v>MOLTO BASSO</v>
      </c>
    </row>
    <row r="622" spans="7:63" x14ac:dyDescent="0.15">
      <c r="G622" s="64">
        <f t="shared" si="240"/>
        <v>0</v>
      </c>
      <c r="I622" s="64">
        <f t="shared" si="217"/>
        <v>0</v>
      </c>
      <c r="K622" s="64">
        <f t="shared" si="218"/>
        <v>0</v>
      </c>
      <c r="M622" s="64">
        <f t="shared" si="219"/>
        <v>0</v>
      </c>
      <c r="O622" s="64">
        <f t="shared" si="220"/>
        <v>0</v>
      </c>
      <c r="Q622" s="64">
        <f t="shared" si="221"/>
        <v>0</v>
      </c>
      <c r="S622" s="71">
        <f t="shared" si="222"/>
        <v>0</v>
      </c>
      <c r="U622" s="64">
        <f t="shared" si="223"/>
        <v>0</v>
      </c>
      <c r="W622" s="71">
        <f t="shared" si="224"/>
        <v>0</v>
      </c>
      <c r="Y622" s="71">
        <f t="shared" si="225"/>
        <v>0</v>
      </c>
      <c r="AA622" s="71">
        <f t="shared" si="226"/>
        <v>0</v>
      </c>
      <c r="AC622" s="71">
        <f t="shared" si="227"/>
        <v>0</v>
      </c>
      <c r="AK622" s="71">
        <f t="shared" si="228"/>
        <v>0</v>
      </c>
      <c r="AM622" s="71">
        <f t="shared" si="229"/>
        <v>0</v>
      </c>
      <c r="AO622" s="71">
        <f t="shared" si="230"/>
        <v>0</v>
      </c>
      <c r="AQ622" s="71">
        <f t="shared" si="231"/>
        <v>0</v>
      </c>
      <c r="AT622" s="71">
        <f t="shared" si="232"/>
        <v>0</v>
      </c>
      <c r="AV622" s="71">
        <f t="shared" si="233"/>
        <v>0</v>
      </c>
      <c r="AX622" s="71">
        <f t="shared" si="234"/>
        <v>0</v>
      </c>
      <c r="AZ622" s="71">
        <f t="shared" si="235"/>
        <v>0</v>
      </c>
      <c r="BE622" s="102">
        <f t="shared" si="236"/>
        <v>4.4721359549995796</v>
      </c>
      <c r="BF622" s="81">
        <f t="shared" si="237"/>
        <v>9.3924867883288243E-14</v>
      </c>
      <c r="BG622" s="81" t="str">
        <f t="shared" si="238"/>
        <v>BASSO</v>
      </c>
      <c r="BK622" s="81" t="str">
        <f t="shared" si="239"/>
        <v>MOLTO BASSO</v>
      </c>
    </row>
    <row r="623" spans="7:63" x14ac:dyDescent="0.15">
      <c r="G623" s="64">
        <f t="shared" si="240"/>
        <v>0</v>
      </c>
      <c r="I623" s="64">
        <f t="shared" si="217"/>
        <v>0</v>
      </c>
      <c r="K623" s="64">
        <f t="shared" si="218"/>
        <v>0</v>
      </c>
      <c r="M623" s="64">
        <f t="shared" si="219"/>
        <v>0</v>
      </c>
      <c r="O623" s="64">
        <f t="shared" si="220"/>
        <v>0</v>
      </c>
      <c r="Q623" s="64">
        <f t="shared" si="221"/>
        <v>0</v>
      </c>
      <c r="S623" s="71">
        <f t="shared" si="222"/>
        <v>0</v>
      </c>
      <c r="U623" s="64">
        <f t="shared" si="223"/>
        <v>0</v>
      </c>
      <c r="W623" s="71">
        <f t="shared" si="224"/>
        <v>0</v>
      </c>
      <c r="Y623" s="71">
        <f t="shared" si="225"/>
        <v>0</v>
      </c>
      <c r="AA623" s="71">
        <f t="shared" si="226"/>
        <v>0</v>
      </c>
      <c r="AC623" s="71">
        <f t="shared" si="227"/>
        <v>0</v>
      </c>
      <c r="AK623" s="71">
        <f t="shared" si="228"/>
        <v>0</v>
      </c>
      <c r="AM623" s="71">
        <f t="shared" si="229"/>
        <v>0</v>
      </c>
      <c r="AO623" s="71">
        <f t="shared" si="230"/>
        <v>0</v>
      </c>
      <c r="AQ623" s="71">
        <f t="shared" si="231"/>
        <v>0</v>
      </c>
      <c r="AT623" s="71">
        <f t="shared" si="232"/>
        <v>0</v>
      </c>
      <c r="AV623" s="71">
        <f t="shared" si="233"/>
        <v>0</v>
      </c>
      <c r="AX623" s="71">
        <f t="shared" si="234"/>
        <v>0</v>
      </c>
      <c r="AZ623" s="71">
        <f t="shared" si="235"/>
        <v>0</v>
      </c>
      <c r="BE623" s="102">
        <f t="shared" si="236"/>
        <v>4.4721359549995796</v>
      </c>
      <c r="BF623" s="81">
        <f t="shared" si="237"/>
        <v>9.3924867883288243E-14</v>
      </c>
      <c r="BG623" s="81" t="str">
        <f t="shared" si="238"/>
        <v>BASSO</v>
      </c>
      <c r="BK623" s="81" t="str">
        <f t="shared" si="239"/>
        <v>MOLTO BASSO</v>
      </c>
    </row>
    <row r="624" spans="7:63" x14ac:dyDescent="0.15">
      <c r="G624" s="64">
        <f t="shared" si="240"/>
        <v>0</v>
      </c>
      <c r="I624" s="64">
        <f t="shared" si="217"/>
        <v>0</v>
      </c>
      <c r="K624" s="64">
        <f t="shared" si="218"/>
        <v>0</v>
      </c>
      <c r="M624" s="64">
        <f t="shared" si="219"/>
        <v>0</v>
      </c>
      <c r="O624" s="64">
        <f t="shared" si="220"/>
        <v>0</v>
      </c>
      <c r="Q624" s="64">
        <f t="shared" si="221"/>
        <v>0</v>
      </c>
      <c r="S624" s="71">
        <f t="shared" si="222"/>
        <v>0</v>
      </c>
      <c r="U624" s="64">
        <f t="shared" si="223"/>
        <v>0</v>
      </c>
      <c r="W624" s="71">
        <f t="shared" si="224"/>
        <v>0</v>
      </c>
      <c r="Y624" s="71">
        <f t="shared" si="225"/>
        <v>0</v>
      </c>
      <c r="AA624" s="71">
        <f t="shared" si="226"/>
        <v>0</v>
      </c>
      <c r="AC624" s="71">
        <f t="shared" si="227"/>
        <v>0</v>
      </c>
      <c r="AK624" s="71">
        <f t="shared" si="228"/>
        <v>0</v>
      </c>
      <c r="AM624" s="71">
        <f t="shared" si="229"/>
        <v>0</v>
      </c>
      <c r="AO624" s="71">
        <f t="shared" si="230"/>
        <v>0</v>
      </c>
      <c r="AQ624" s="71">
        <f t="shared" si="231"/>
        <v>0</v>
      </c>
      <c r="AT624" s="71">
        <f t="shared" si="232"/>
        <v>0</v>
      </c>
      <c r="AV624" s="71">
        <f t="shared" si="233"/>
        <v>0</v>
      </c>
      <c r="AX624" s="71">
        <f t="shared" si="234"/>
        <v>0</v>
      </c>
      <c r="AZ624" s="71">
        <f t="shared" si="235"/>
        <v>0</v>
      </c>
      <c r="BE624" s="102">
        <f t="shared" si="236"/>
        <v>4.4721359549995796</v>
      </c>
      <c r="BF624" s="81">
        <f t="shared" si="237"/>
        <v>9.3924867883288243E-14</v>
      </c>
      <c r="BG624" s="81" t="str">
        <f t="shared" si="238"/>
        <v>BASSO</v>
      </c>
      <c r="BK624" s="81" t="str">
        <f t="shared" si="239"/>
        <v>MOLTO BASSO</v>
      </c>
    </row>
    <row r="625" spans="7:63" x14ac:dyDescent="0.15">
      <c r="G625" s="64">
        <f t="shared" si="240"/>
        <v>0</v>
      </c>
      <c r="I625" s="64">
        <f t="shared" si="217"/>
        <v>0</v>
      </c>
      <c r="K625" s="64">
        <f t="shared" si="218"/>
        <v>0</v>
      </c>
      <c r="M625" s="64">
        <f t="shared" si="219"/>
        <v>0</v>
      </c>
      <c r="O625" s="64">
        <f t="shared" si="220"/>
        <v>0</v>
      </c>
      <c r="Q625" s="64">
        <f t="shared" si="221"/>
        <v>0</v>
      </c>
      <c r="S625" s="71">
        <f t="shared" si="222"/>
        <v>0</v>
      </c>
      <c r="U625" s="64">
        <f t="shared" si="223"/>
        <v>0</v>
      </c>
      <c r="W625" s="71">
        <f t="shared" si="224"/>
        <v>0</v>
      </c>
      <c r="Y625" s="71">
        <f t="shared" si="225"/>
        <v>0</v>
      </c>
      <c r="AA625" s="71">
        <f t="shared" si="226"/>
        <v>0</v>
      </c>
      <c r="AC625" s="71">
        <f t="shared" si="227"/>
        <v>0</v>
      </c>
      <c r="AK625" s="71">
        <f t="shared" si="228"/>
        <v>0</v>
      </c>
      <c r="AM625" s="71">
        <f t="shared" si="229"/>
        <v>0</v>
      </c>
      <c r="AO625" s="71">
        <f t="shared" si="230"/>
        <v>0</v>
      </c>
      <c r="AQ625" s="71">
        <f t="shared" si="231"/>
        <v>0</v>
      </c>
      <c r="AT625" s="71">
        <f t="shared" si="232"/>
        <v>0</v>
      </c>
      <c r="AV625" s="71">
        <f t="shared" si="233"/>
        <v>0</v>
      </c>
      <c r="AX625" s="71">
        <f t="shared" si="234"/>
        <v>0</v>
      </c>
      <c r="AZ625" s="71">
        <f t="shared" si="235"/>
        <v>0</v>
      </c>
      <c r="BE625" s="102">
        <f t="shared" si="236"/>
        <v>4.4721359549995796</v>
      </c>
      <c r="BF625" s="81">
        <f t="shared" si="237"/>
        <v>9.3924867883288243E-14</v>
      </c>
      <c r="BG625" s="81" t="str">
        <f t="shared" si="238"/>
        <v>BASSO</v>
      </c>
      <c r="BK625" s="81" t="str">
        <f t="shared" si="239"/>
        <v>MOLTO BASSO</v>
      </c>
    </row>
    <row r="626" spans="7:63" x14ac:dyDescent="0.15">
      <c r="G626" s="64">
        <f t="shared" si="240"/>
        <v>0</v>
      </c>
      <c r="I626" s="64">
        <f t="shared" si="217"/>
        <v>0</v>
      </c>
      <c r="K626" s="64">
        <f t="shared" si="218"/>
        <v>0</v>
      </c>
      <c r="M626" s="64">
        <f t="shared" si="219"/>
        <v>0</v>
      </c>
      <c r="O626" s="64">
        <f t="shared" si="220"/>
        <v>0</v>
      </c>
      <c r="Q626" s="64">
        <f t="shared" si="221"/>
        <v>0</v>
      </c>
      <c r="S626" s="71">
        <f t="shared" si="222"/>
        <v>0</v>
      </c>
      <c r="U626" s="64">
        <f t="shared" si="223"/>
        <v>0</v>
      </c>
      <c r="W626" s="71">
        <f t="shared" si="224"/>
        <v>0</v>
      </c>
      <c r="Y626" s="71">
        <f t="shared" si="225"/>
        <v>0</v>
      </c>
      <c r="AA626" s="71">
        <f t="shared" si="226"/>
        <v>0</v>
      </c>
      <c r="AC626" s="71">
        <f t="shared" si="227"/>
        <v>0</v>
      </c>
      <c r="AK626" s="71">
        <f t="shared" si="228"/>
        <v>0</v>
      </c>
      <c r="AM626" s="71">
        <f t="shared" si="229"/>
        <v>0</v>
      </c>
      <c r="AO626" s="71">
        <f t="shared" si="230"/>
        <v>0</v>
      </c>
      <c r="AQ626" s="71">
        <f t="shared" si="231"/>
        <v>0</v>
      </c>
      <c r="AT626" s="71">
        <f t="shared" si="232"/>
        <v>0</v>
      </c>
      <c r="AV626" s="71">
        <f t="shared" si="233"/>
        <v>0</v>
      </c>
      <c r="AX626" s="71">
        <f t="shared" si="234"/>
        <v>0</v>
      </c>
      <c r="AZ626" s="71">
        <f t="shared" si="235"/>
        <v>0</v>
      </c>
      <c r="BE626" s="102">
        <f t="shared" si="236"/>
        <v>4.4721359549995796</v>
      </c>
      <c r="BF626" s="81">
        <f t="shared" si="237"/>
        <v>9.3924867883288243E-14</v>
      </c>
      <c r="BG626" s="81" t="str">
        <f t="shared" si="238"/>
        <v>BASSO</v>
      </c>
      <c r="BK626" s="81" t="str">
        <f t="shared" si="239"/>
        <v>MOLTO BASSO</v>
      </c>
    </row>
    <row r="627" spans="7:63" x14ac:dyDescent="0.15">
      <c r="G627" s="64">
        <f t="shared" si="240"/>
        <v>0</v>
      </c>
      <c r="I627" s="64">
        <f t="shared" si="217"/>
        <v>0</v>
      </c>
      <c r="K627" s="64">
        <f t="shared" si="218"/>
        <v>0</v>
      </c>
      <c r="M627" s="64">
        <f t="shared" si="219"/>
        <v>0</v>
      </c>
      <c r="O627" s="64">
        <f t="shared" si="220"/>
        <v>0</v>
      </c>
      <c r="Q627" s="64">
        <f t="shared" si="221"/>
        <v>0</v>
      </c>
      <c r="S627" s="71">
        <f t="shared" si="222"/>
        <v>0</v>
      </c>
      <c r="U627" s="64">
        <f t="shared" si="223"/>
        <v>0</v>
      </c>
      <c r="W627" s="71">
        <f t="shared" si="224"/>
        <v>0</v>
      </c>
      <c r="Y627" s="71">
        <f t="shared" si="225"/>
        <v>0</v>
      </c>
      <c r="AA627" s="71">
        <f t="shared" si="226"/>
        <v>0</v>
      </c>
      <c r="AC627" s="71">
        <f t="shared" si="227"/>
        <v>0</v>
      </c>
      <c r="AK627" s="71">
        <f t="shared" si="228"/>
        <v>0</v>
      </c>
      <c r="AM627" s="71">
        <f t="shared" si="229"/>
        <v>0</v>
      </c>
      <c r="AO627" s="71">
        <f t="shared" si="230"/>
        <v>0</v>
      </c>
      <c r="AQ627" s="71">
        <f t="shared" si="231"/>
        <v>0</v>
      </c>
      <c r="AT627" s="71">
        <f t="shared" si="232"/>
        <v>0</v>
      </c>
      <c r="AV627" s="71">
        <f t="shared" si="233"/>
        <v>0</v>
      </c>
      <c r="AX627" s="71">
        <f t="shared" si="234"/>
        <v>0</v>
      </c>
      <c r="AZ627" s="71">
        <f t="shared" si="235"/>
        <v>0</v>
      </c>
      <c r="BE627" s="102">
        <f t="shared" si="236"/>
        <v>4.4721359549995796</v>
      </c>
      <c r="BF627" s="81">
        <f t="shared" si="237"/>
        <v>9.3924867883288243E-14</v>
      </c>
      <c r="BG627" s="81" t="str">
        <f t="shared" si="238"/>
        <v>BASSO</v>
      </c>
      <c r="BK627" s="81" t="str">
        <f t="shared" si="239"/>
        <v>MOLTO BASSO</v>
      </c>
    </row>
    <row r="628" spans="7:63" x14ac:dyDescent="0.15">
      <c r="G628" s="64">
        <f t="shared" si="240"/>
        <v>0</v>
      </c>
      <c r="I628" s="64">
        <f t="shared" si="217"/>
        <v>0</v>
      </c>
      <c r="K628" s="64">
        <f t="shared" si="218"/>
        <v>0</v>
      </c>
      <c r="M628" s="64">
        <f t="shared" si="219"/>
        <v>0</v>
      </c>
      <c r="O628" s="64">
        <f t="shared" si="220"/>
        <v>0</v>
      </c>
      <c r="Q628" s="64">
        <f t="shared" si="221"/>
        <v>0</v>
      </c>
      <c r="S628" s="71">
        <f t="shared" si="222"/>
        <v>0</v>
      </c>
      <c r="U628" s="64">
        <f t="shared" si="223"/>
        <v>0</v>
      </c>
      <c r="W628" s="71">
        <f t="shared" si="224"/>
        <v>0</v>
      </c>
      <c r="Y628" s="71">
        <f t="shared" si="225"/>
        <v>0</v>
      </c>
      <c r="AA628" s="71">
        <f t="shared" si="226"/>
        <v>0</v>
      </c>
      <c r="AC628" s="71">
        <f t="shared" si="227"/>
        <v>0</v>
      </c>
      <c r="AK628" s="71">
        <f t="shared" si="228"/>
        <v>0</v>
      </c>
      <c r="AM628" s="71">
        <f t="shared" si="229"/>
        <v>0</v>
      </c>
      <c r="AO628" s="71">
        <f t="shared" si="230"/>
        <v>0</v>
      </c>
      <c r="AQ628" s="71">
        <f t="shared" si="231"/>
        <v>0</v>
      </c>
      <c r="AT628" s="71">
        <f t="shared" si="232"/>
        <v>0</v>
      </c>
      <c r="AV628" s="71">
        <f t="shared" si="233"/>
        <v>0</v>
      </c>
      <c r="AX628" s="71">
        <f t="shared" si="234"/>
        <v>0</v>
      </c>
      <c r="AZ628" s="71">
        <f t="shared" si="235"/>
        <v>0</v>
      </c>
      <c r="BE628" s="102">
        <f t="shared" si="236"/>
        <v>4.4721359549995796</v>
      </c>
      <c r="BF628" s="81">
        <f t="shared" si="237"/>
        <v>9.3924867883288243E-14</v>
      </c>
      <c r="BG628" s="81" t="str">
        <f t="shared" si="238"/>
        <v>BASSO</v>
      </c>
      <c r="BK628" s="81" t="str">
        <f t="shared" si="239"/>
        <v>MOLTO BASSO</v>
      </c>
    </row>
    <row r="629" spans="7:63" x14ac:dyDescent="0.15">
      <c r="G629" s="64">
        <f t="shared" si="240"/>
        <v>0</v>
      </c>
      <c r="I629" s="64">
        <f t="shared" si="217"/>
        <v>0</v>
      </c>
      <c r="K629" s="64">
        <f t="shared" si="218"/>
        <v>0</v>
      </c>
      <c r="M629" s="64">
        <f t="shared" si="219"/>
        <v>0</v>
      </c>
      <c r="O629" s="64">
        <f t="shared" si="220"/>
        <v>0</v>
      </c>
      <c r="Q629" s="64">
        <f t="shared" si="221"/>
        <v>0</v>
      </c>
      <c r="S629" s="71">
        <f t="shared" si="222"/>
        <v>0</v>
      </c>
      <c r="U629" s="64">
        <f t="shared" si="223"/>
        <v>0</v>
      </c>
      <c r="W629" s="71">
        <f t="shared" si="224"/>
        <v>0</v>
      </c>
      <c r="Y629" s="71">
        <f t="shared" si="225"/>
        <v>0</v>
      </c>
      <c r="AA629" s="71">
        <f t="shared" si="226"/>
        <v>0</v>
      </c>
      <c r="AC629" s="71">
        <f t="shared" si="227"/>
        <v>0</v>
      </c>
      <c r="AK629" s="71">
        <f t="shared" si="228"/>
        <v>0</v>
      </c>
      <c r="AM629" s="71">
        <f t="shared" si="229"/>
        <v>0</v>
      </c>
      <c r="AO629" s="71">
        <f t="shared" si="230"/>
        <v>0</v>
      </c>
      <c r="AQ629" s="71">
        <f t="shared" si="231"/>
        <v>0</v>
      </c>
      <c r="AT629" s="71">
        <f t="shared" si="232"/>
        <v>0</v>
      </c>
      <c r="AV629" s="71">
        <f t="shared" si="233"/>
        <v>0</v>
      </c>
      <c r="AX629" s="71">
        <f t="shared" si="234"/>
        <v>0</v>
      </c>
      <c r="AZ629" s="71">
        <f t="shared" si="235"/>
        <v>0</v>
      </c>
      <c r="BE629" s="102">
        <f t="shared" si="236"/>
        <v>4.4721359549995796</v>
      </c>
      <c r="BF629" s="81">
        <f t="shared" si="237"/>
        <v>9.3924867883288243E-14</v>
      </c>
      <c r="BG629" s="81" t="str">
        <f t="shared" si="238"/>
        <v>BASSO</v>
      </c>
      <c r="BK629" s="81" t="str">
        <f t="shared" si="239"/>
        <v>MOLTO BASSO</v>
      </c>
    </row>
    <row r="630" spans="7:63" x14ac:dyDescent="0.15">
      <c r="G630" s="64">
        <f t="shared" si="240"/>
        <v>0</v>
      </c>
      <c r="I630" s="64">
        <f t="shared" si="217"/>
        <v>0</v>
      </c>
      <c r="K630" s="64">
        <f t="shared" si="218"/>
        <v>0</v>
      </c>
      <c r="M630" s="64">
        <f t="shared" si="219"/>
        <v>0</v>
      </c>
      <c r="O630" s="64">
        <f t="shared" si="220"/>
        <v>0</v>
      </c>
      <c r="Q630" s="64">
        <f t="shared" si="221"/>
        <v>0</v>
      </c>
      <c r="S630" s="71">
        <f t="shared" si="222"/>
        <v>0</v>
      </c>
      <c r="U630" s="64">
        <f t="shared" si="223"/>
        <v>0</v>
      </c>
      <c r="W630" s="71">
        <f t="shared" si="224"/>
        <v>0</v>
      </c>
      <c r="Y630" s="71">
        <f t="shared" si="225"/>
        <v>0</v>
      </c>
      <c r="AA630" s="71">
        <f t="shared" si="226"/>
        <v>0</v>
      </c>
      <c r="AC630" s="71">
        <f t="shared" si="227"/>
        <v>0</v>
      </c>
      <c r="AK630" s="71">
        <f t="shared" si="228"/>
        <v>0</v>
      </c>
      <c r="AM630" s="71">
        <f t="shared" si="229"/>
        <v>0</v>
      </c>
      <c r="AO630" s="71">
        <f t="shared" si="230"/>
        <v>0</v>
      </c>
      <c r="AQ630" s="71">
        <f t="shared" si="231"/>
        <v>0</v>
      </c>
      <c r="AT630" s="71">
        <f t="shared" si="232"/>
        <v>0</v>
      </c>
      <c r="AV630" s="71">
        <f t="shared" si="233"/>
        <v>0</v>
      </c>
      <c r="AX630" s="71">
        <f t="shared" si="234"/>
        <v>0</v>
      </c>
      <c r="AZ630" s="71">
        <f t="shared" si="235"/>
        <v>0</v>
      </c>
      <c r="BE630" s="102">
        <f t="shared" si="236"/>
        <v>4.4721359549995796</v>
      </c>
      <c r="BF630" s="81">
        <f t="shared" si="237"/>
        <v>9.3924867883288243E-14</v>
      </c>
      <c r="BG630" s="81" t="str">
        <f t="shared" si="238"/>
        <v>BASSO</v>
      </c>
      <c r="BK630" s="81" t="str">
        <f t="shared" si="239"/>
        <v>MOLTO BASSO</v>
      </c>
    </row>
    <row r="631" spans="7:63" x14ac:dyDescent="0.15">
      <c r="G631" s="64">
        <f t="shared" si="240"/>
        <v>0</v>
      </c>
      <c r="I631" s="64">
        <f t="shared" si="217"/>
        <v>0</v>
      </c>
      <c r="K631" s="64">
        <f t="shared" si="218"/>
        <v>0</v>
      </c>
      <c r="M631" s="64">
        <f t="shared" si="219"/>
        <v>0</v>
      </c>
      <c r="O631" s="64">
        <f t="shared" si="220"/>
        <v>0</v>
      </c>
      <c r="Q631" s="64">
        <f t="shared" si="221"/>
        <v>0</v>
      </c>
      <c r="S631" s="71">
        <f t="shared" si="222"/>
        <v>0</v>
      </c>
      <c r="U631" s="64">
        <f t="shared" si="223"/>
        <v>0</v>
      </c>
      <c r="W631" s="71">
        <f t="shared" si="224"/>
        <v>0</v>
      </c>
      <c r="Y631" s="71">
        <f t="shared" si="225"/>
        <v>0</v>
      </c>
      <c r="AA631" s="71">
        <f t="shared" si="226"/>
        <v>0</v>
      </c>
      <c r="AC631" s="71">
        <f t="shared" si="227"/>
        <v>0</v>
      </c>
      <c r="AK631" s="71">
        <f t="shared" si="228"/>
        <v>0</v>
      </c>
      <c r="AM631" s="71">
        <f t="shared" si="229"/>
        <v>0</v>
      </c>
      <c r="AO631" s="71">
        <f t="shared" si="230"/>
        <v>0</v>
      </c>
      <c r="AQ631" s="71">
        <f t="shared" si="231"/>
        <v>0</v>
      </c>
      <c r="AT631" s="71">
        <f t="shared" si="232"/>
        <v>0</v>
      </c>
      <c r="AV631" s="71">
        <f t="shared" si="233"/>
        <v>0</v>
      </c>
      <c r="AX631" s="71">
        <f t="shared" si="234"/>
        <v>0</v>
      </c>
      <c r="AZ631" s="71">
        <f t="shared" si="235"/>
        <v>0</v>
      </c>
      <c r="BE631" s="102">
        <f t="shared" si="236"/>
        <v>4.4721359549995796</v>
      </c>
      <c r="BF631" s="81">
        <f t="shared" si="237"/>
        <v>9.3924867883288243E-14</v>
      </c>
      <c r="BG631" s="81" t="str">
        <f t="shared" si="238"/>
        <v>BASSO</v>
      </c>
      <c r="BK631" s="81" t="str">
        <f t="shared" si="239"/>
        <v>MOLTO BASSO</v>
      </c>
    </row>
    <row r="632" spans="7:63" x14ac:dyDescent="0.15">
      <c r="G632" s="64">
        <f t="shared" si="240"/>
        <v>0</v>
      </c>
      <c r="I632" s="64">
        <f t="shared" si="217"/>
        <v>0</v>
      </c>
      <c r="K632" s="64">
        <f t="shared" si="218"/>
        <v>0</v>
      </c>
      <c r="M632" s="64">
        <f t="shared" si="219"/>
        <v>0</v>
      </c>
      <c r="O632" s="64">
        <f t="shared" si="220"/>
        <v>0</v>
      </c>
      <c r="Q632" s="64">
        <f t="shared" si="221"/>
        <v>0</v>
      </c>
      <c r="S632" s="71">
        <f t="shared" si="222"/>
        <v>0</v>
      </c>
      <c r="U632" s="64">
        <f t="shared" si="223"/>
        <v>0</v>
      </c>
      <c r="W632" s="71">
        <f t="shared" si="224"/>
        <v>0</v>
      </c>
      <c r="Y632" s="71">
        <f t="shared" si="225"/>
        <v>0</v>
      </c>
      <c r="AA632" s="71">
        <f t="shared" si="226"/>
        <v>0</v>
      </c>
      <c r="AC632" s="71">
        <f t="shared" si="227"/>
        <v>0</v>
      </c>
      <c r="AK632" s="71">
        <f t="shared" si="228"/>
        <v>0</v>
      </c>
      <c r="AM632" s="71">
        <f t="shared" si="229"/>
        <v>0</v>
      </c>
      <c r="AO632" s="71">
        <f t="shared" si="230"/>
        <v>0</v>
      </c>
      <c r="AQ632" s="71">
        <f t="shared" si="231"/>
        <v>0</v>
      </c>
      <c r="AT632" s="71">
        <f t="shared" si="232"/>
        <v>0</v>
      </c>
      <c r="AV632" s="71">
        <f t="shared" si="233"/>
        <v>0</v>
      </c>
      <c r="AX632" s="71">
        <f t="shared" si="234"/>
        <v>0</v>
      </c>
      <c r="AZ632" s="71">
        <f t="shared" si="235"/>
        <v>0</v>
      </c>
      <c r="BE632" s="102">
        <f t="shared" si="236"/>
        <v>4.4721359549995796</v>
      </c>
      <c r="BF632" s="81">
        <f t="shared" si="237"/>
        <v>9.3924867883288243E-14</v>
      </c>
      <c r="BG632" s="81" t="str">
        <f t="shared" si="238"/>
        <v>BASSO</v>
      </c>
      <c r="BK632" s="81" t="str">
        <f t="shared" si="239"/>
        <v>MOLTO BASSO</v>
      </c>
    </row>
    <row r="633" spans="7:63" x14ac:dyDescent="0.15">
      <c r="G633" s="64">
        <f t="shared" si="240"/>
        <v>0</v>
      </c>
      <c r="I633" s="64">
        <f t="shared" si="217"/>
        <v>0</v>
      </c>
      <c r="K633" s="64">
        <f t="shared" si="218"/>
        <v>0</v>
      </c>
      <c r="M633" s="64">
        <f t="shared" si="219"/>
        <v>0</v>
      </c>
      <c r="O633" s="64">
        <f t="shared" si="220"/>
        <v>0</v>
      </c>
      <c r="Q633" s="64">
        <f t="shared" si="221"/>
        <v>0</v>
      </c>
      <c r="S633" s="71">
        <f t="shared" si="222"/>
        <v>0</v>
      </c>
      <c r="U633" s="64">
        <f t="shared" si="223"/>
        <v>0</v>
      </c>
      <c r="W633" s="71">
        <f t="shared" si="224"/>
        <v>0</v>
      </c>
      <c r="Y633" s="71">
        <f t="shared" si="225"/>
        <v>0</v>
      </c>
      <c r="AA633" s="71">
        <f t="shared" si="226"/>
        <v>0</v>
      </c>
      <c r="AC633" s="71">
        <f t="shared" si="227"/>
        <v>0</v>
      </c>
      <c r="AK633" s="71">
        <f t="shared" si="228"/>
        <v>0</v>
      </c>
      <c r="AM633" s="71">
        <f t="shared" si="229"/>
        <v>0</v>
      </c>
      <c r="AO633" s="71">
        <f t="shared" si="230"/>
        <v>0</v>
      </c>
      <c r="AQ633" s="71">
        <f t="shared" si="231"/>
        <v>0</v>
      </c>
      <c r="AT633" s="71">
        <f t="shared" si="232"/>
        <v>0</v>
      </c>
      <c r="AV633" s="71">
        <f t="shared" si="233"/>
        <v>0</v>
      </c>
      <c r="AX633" s="71">
        <f t="shared" si="234"/>
        <v>0</v>
      </c>
      <c r="AZ633" s="71">
        <f t="shared" si="235"/>
        <v>0</v>
      </c>
      <c r="BE633" s="102">
        <f t="shared" si="236"/>
        <v>4.4721359549995796</v>
      </c>
      <c r="BF633" s="81">
        <f t="shared" si="237"/>
        <v>9.3924867883288243E-14</v>
      </c>
      <c r="BG633" s="81" t="str">
        <f t="shared" si="238"/>
        <v>BASSO</v>
      </c>
      <c r="BK633" s="81" t="str">
        <f t="shared" si="239"/>
        <v>MOLTO BASSO</v>
      </c>
    </row>
    <row r="634" spans="7:63" x14ac:dyDescent="0.15">
      <c r="G634" s="64">
        <f t="shared" si="240"/>
        <v>0</v>
      </c>
      <c r="I634" s="64">
        <f t="shared" si="217"/>
        <v>0</v>
      </c>
      <c r="K634" s="64">
        <f t="shared" si="218"/>
        <v>0</v>
      </c>
      <c r="M634" s="64">
        <f t="shared" si="219"/>
        <v>0</v>
      </c>
      <c r="O634" s="64">
        <f t="shared" si="220"/>
        <v>0</v>
      </c>
      <c r="Q634" s="64">
        <f t="shared" si="221"/>
        <v>0</v>
      </c>
      <c r="S634" s="71">
        <f t="shared" si="222"/>
        <v>0</v>
      </c>
      <c r="U634" s="64">
        <f t="shared" si="223"/>
        <v>0</v>
      </c>
      <c r="W634" s="71">
        <f t="shared" si="224"/>
        <v>0</v>
      </c>
      <c r="Y634" s="71">
        <f t="shared" si="225"/>
        <v>0</v>
      </c>
      <c r="AA634" s="71">
        <f t="shared" si="226"/>
        <v>0</v>
      </c>
      <c r="AC634" s="71">
        <f t="shared" si="227"/>
        <v>0</v>
      </c>
      <c r="AK634" s="71">
        <f t="shared" si="228"/>
        <v>0</v>
      </c>
      <c r="AM634" s="71">
        <f t="shared" si="229"/>
        <v>0</v>
      </c>
      <c r="AO634" s="71">
        <f t="shared" si="230"/>
        <v>0</v>
      </c>
      <c r="AQ634" s="71">
        <f t="shared" si="231"/>
        <v>0</v>
      </c>
      <c r="AT634" s="71">
        <f t="shared" si="232"/>
        <v>0</v>
      </c>
      <c r="AV634" s="71">
        <f t="shared" si="233"/>
        <v>0</v>
      </c>
      <c r="AX634" s="71">
        <f t="shared" si="234"/>
        <v>0</v>
      </c>
      <c r="AZ634" s="71">
        <f t="shared" si="235"/>
        <v>0</v>
      </c>
      <c r="BE634" s="102">
        <f t="shared" si="236"/>
        <v>4.4721359549995796</v>
      </c>
      <c r="BF634" s="81">
        <f t="shared" si="237"/>
        <v>9.3924867883288243E-14</v>
      </c>
      <c r="BG634" s="81" t="str">
        <f t="shared" si="238"/>
        <v>BASSO</v>
      </c>
      <c r="BK634" s="81" t="str">
        <f t="shared" si="239"/>
        <v>MOLTO BASSO</v>
      </c>
    </row>
    <row r="635" spans="7:63" x14ac:dyDescent="0.15">
      <c r="G635" s="64">
        <f t="shared" si="240"/>
        <v>0</v>
      </c>
      <c r="I635" s="64">
        <f t="shared" si="217"/>
        <v>0</v>
      </c>
      <c r="K635" s="64">
        <f t="shared" si="218"/>
        <v>0</v>
      </c>
      <c r="M635" s="64">
        <f t="shared" si="219"/>
        <v>0</v>
      </c>
      <c r="O635" s="64">
        <f t="shared" si="220"/>
        <v>0</v>
      </c>
      <c r="Q635" s="64">
        <f t="shared" si="221"/>
        <v>0</v>
      </c>
      <c r="S635" s="71">
        <f t="shared" si="222"/>
        <v>0</v>
      </c>
      <c r="U635" s="64">
        <f t="shared" si="223"/>
        <v>0</v>
      </c>
      <c r="W635" s="71">
        <f t="shared" si="224"/>
        <v>0</v>
      </c>
      <c r="Y635" s="71">
        <f t="shared" si="225"/>
        <v>0</v>
      </c>
      <c r="AA635" s="71">
        <f t="shared" si="226"/>
        <v>0</v>
      </c>
      <c r="AC635" s="71">
        <f t="shared" si="227"/>
        <v>0</v>
      </c>
      <c r="AK635" s="71">
        <f t="shared" si="228"/>
        <v>0</v>
      </c>
      <c r="AM635" s="71">
        <f t="shared" si="229"/>
        <v>0</v>
      </c>
      <c r="AO635" s="71">
        <f t="shared" si="230"/>
        <v>0</v>
      </c>
      <c r="AQ635" s="71">
        <f t="shared" si="231"/>
        <v>0</v>
      </c>
      <c r="AT635" s="71">
        <f t="shared" si="232"/>
        <v>0</v>
      </c>
      <c r="AV635" s="71">
        <f t="shared" si="233"/>
        <v>0</v>
      </c>
      <c r="AX635" s="71">
        <f t="shared" si="234"/>
        <v>0</v>
      </c>
      <c r="AZ635" s="71">
        <f t="shared" si="235"/>
        <v>0</v>
      </c>
      <c r="BE635" s="102">
        <f t="shared" si="236"/>
        <v>4.4721359549995796</v>
      </c>
      <c r="BF635" s="81">
        <f t="shared" si="237"/>
        <v>9.3924867883288243E-14</v>
      </c>
      <c r="BG635" s="81" t="str">
        <f t="shared" si="238"/>
        <v>BASSO</v>
      </c>
      <c r="BK635" s="81" t="str">
        <f t="shared" si="239"/>
        <v>MOLTO BASSO</v>
      </c>
    </row>
    <row r="636" spans="7:63" x14ac:dyDescent="0.15">
      <c r="G636" s="64">
        <f t="shared" si="240"/>
        <v>0</v>
      </c>
      <c r="I636" s="64">
        <f t="shared" si="217"/>
        <v>0</v>
      </c>
      <c r="K636" s="64">
        <f t="shared" si="218"/>
        <v>0</v>
      </c>
      <c r="M636" s="64">
        <f t="shared" si="219"/>
        <v>0</v>
      </c>
      <c r="O636" s="64">
        <f t="shared" si="220"/>
        <v>0</v>
      </c>
      <c r="Q636" s="64">
        <f t="shared" si="221"/>
        <v>0</v>
      </c>
      <c r="S636" s="71">
        <f t="shared" si="222"/>
        <v>0</v>
      </c>
      <c r="U636" s="64">
        <f t="shared" si="223"/>
        <v>0</v>
      </c>
      <c r="W636" s="71">
        <f t="shared" si="224"/>
        <v>0</v>
      </c>
      <c r="Y636" s="71">
        <f t="shared" si="225"/>
        <v>0</v>
      </c>
      <c r="AA636" s="71">
        <f t="shared" si="226"/>
        <v>0</v>
      </c>
      <c r="AC636" s="71">
        <f t="shared" si="227"/>
        <v>0</v>
      </c>
      <c r="AK636" s="71">
        <f t="shared" si="228"/>
        <v>0</v>
      </c>
      <c r="AM636" s="71">
        <f t="shared" si="229"/>
        <v>0</v>
      </c>
      <c r="AO636" s="71">
        <f t="shared" si="230"/>
        <v>0</v>
      </c>
      <c r="AQ636" s="71">
        <f t="shared" si="231"/>
        <v>0</v>
      </c>
      <c r="AT636" s="71">
        <f t="shared" si="232"/>
        <v>0</v>
      </c>
      <c r="AV636" s="71">
        <f t="shared" si="233"/>
        <v>0</v>
      </c>
      <c r="AX636" s="71">
        <f t="shared" si="234"/>
        <v>0</v>
      </c>
      <c r="AZ636" s="71">
        <f t="shared" si="235"/>
        <v>0</v>
      </c>
      <c r="BE636" s="102">
        <f t="shared" si="236"/>
        <v>4.4721359549995796</v>
      </c>
      <c r="BF636" s="81">
        <f t="shared" si="237"/>
        <v>9.3924867883288243E-14</v>
      </c>
      <c r="BG636" s="81" t="str">
        <f t="shared" si="238"/>
        <v>BASSO</v>
      </c>
      <c r="BK636" s="81" t="str">
        <f t="shared" si="239"/>
        <v>MOLTO BASSO</v>
      </c>
    </row>
    <row r="637" spans="7:63" x14ac:dyDescent="0.15">
      <c r="G637" s="64">
        <f t="shared" si="240"/>
        <v>0</v>
      </c>
      <c r="I637" s="64">
        <f t="shared" si="217"/>
        <v>0</v>
      </c>
      <c r="K637" s="64">
        <f t="shared" si="218"/>
        <v>0</v>
      </c>
      <c r="M637" s="64">
        <f t="shared" si="219"/>
        <v>0</v>
      </c>
      <c r="O637" s="64">
        <f t="shared" si="220"/>
        <v>0</v>
      </c>
      <c r="Q637" s="64">
        <f t="shared" si="221"/>
        <v>0</v>
      </c>
      <c r="S637" s="71">
        <f t="shared" si="222"/>
        <v>0</v>
      </c>
      <c r="U637" s="64">
        <f t="shared" si="223"/>
        <v>0</v>
      </c>
      <c r="W637" s="71">
        <f t="shared" si="224"/>
        <v>0</v>
      </c>
      <c r="Y637" s="71">
        <f t="shared" si="225"/>
        <v>0</v>
      </c>
      <c r="AA637" s="71">
        <f t="shared" si="226"/>
        <v>0</v>
      </c>
      <c r="AC637" s="71">
        <f t="shared" si="227"/>
        <v>0</v>
      </c>
      <c r="AK637" s="71">
        <f t="shared" si="228"/>
        <v>0</v>
      </c>
      <c r="AM637" s="71">
        <f t="shared" si="229"/>
        <v>0</v>
      </c>
      <c r="AO637" s="71">
        <f t="shared" si="230"/>
        <v>0</v>
      </c>
      <c r="AQ637" s="71">
        <f t="shared" si="231"/>
        <v>0</v>
      </c>
      <c r="AT637" s="71">
        <f t="shared" si="232"/>
        <v>0</v>
      </c>
      <c r="AV637" s="71">
        <f t="shared" si="233"/>
        <v>0</v>
      </c>
      <c r="AX637" s="71">
        <f t="shared" si="234"/>
        <v>0</v>
      </c>
      <c r="AZ637" s="71">
        <f t="shared" si="235"/>
        <v>0</v>
      </c>
      <c r="BE637" s="102">
        <f t="shared" si="236"/>
        <v>4.4721359549995796</v>
      </c>
      <c r="BF637" s="81">
        <f t="shared" si="237"/>
        <v>9.3924867883288243E-14</v>
      </c>
      <c r="BG637" s="81" t="str">
        <f t="shared" si="238"/>
        <v>BASSO</v>
      </c>
      <c r="BK637" s="81" t="str">
        <f t="shared" si="239"/>
        <v>MOLTO BASSO</v>
      </c>
    </row>
    <row r="638" spans="7:63" x14ac:dyDescent="0.15">
      <c r="G638" s="64">
        <f t="shared" si="240"/>
        <v>0</v>
      </c>
      <c r="I638" s="64">
        <f t="shared" si="217"/>
        <v>0</v>
      </c>
      <c r="K638" s="64">
        <f t="shared" si="218"/>
        <v>0</v>
      </c>
      <c r="M638" s="64">
        <f t="shared" si="219"/>
        <v>0</v>
      </c>
      <c r="O638" s="64">
        <f t="shared" si="220"/>
        <v>0</v>
      </c>
      <c r="Q638" s="64">
        <f t="shared" si="221"/>
        <v>0</v>
      </c>
      <c r="S638" s="71">
        <f t="shared" si="222"/>
        <v>0</v>
      </c>
      <c r="U638" s="64">
        <f t="shared" si="223"/>
        <v>0</v>
      </c>
      <c r="W638" s="71">
        <f t="shared" si="224"/>
        <v>0</v>
      </c>
      <c r="Y638" s="71">
        <f t="shared" si="225"/>
        <v>0</v>
      </c>
      <c r="AA638" s="71">
        <f t="shared" si="226"/>
        <v>0</v>
      </c>
      <c r="AC638" s="71">
        <f t="shared" si="227"/>
        <v>0</v>
      </c>
      <c r="AK638" s="71">
        <f t="shared" si="228"/>
        <v>0</v>
      </c>
      <c r="AM638" s="71">
        <f t="shared" si="229"/>
        <v>0</v>
      </c>
      <c r="AO638" s="71">
        <f t="shared" si="230"/>
        <v>0</v>
      </c>
      <c r="AQ638" s="71">
        <f t="shared" si="231"/>
        <v>0</v>
      </c>
      <c r="AT638" s="71">
        <f t="shared" si="232"/>
        <v>0</v>
      </c>
      <c r="AV638" s="71">
        <f t="shared" si="233"/>
        <v>0</v>
      </c>
      <c r="AX638" s="71">
        <f t="shared" si="234"/>
        <v>0</v>
      </c>
      <c r="AZ638" s="71">
        <f t="shared" si="235"/>
        <v>0</v>
      </c>
      <c r="BE638" s="102">
        <f t="shared" si="236"/>
        <v>4.4721359549995796</v>
      </c>
      <c r="BF638" s="81">
        <f t="shared" si="237"/>
        <v>9.3924867883288243E-14</v>
      </c>
      <c r="BG638" s="81" t="str">
        <f t="shared" si="238"/>
        <v>BASSO</v>
      </c>
      <c r="BK638" s="81" t="str">
        <f t="shared" si="239"/>
        <v>MOLTO BASSO</v>
      </c>
    </row>
    <row r="639" spans="7:63" x14ac:dyDescent="0.15">
      <c r="G639" s="64">
        <f t="shared" si="240"/>
        <v>0</v>
      </c>
      <c r="I639" s="64">
        <f t="shared" si="217"/>
        <v>0</v>
      </c>
      <c r="K639" s="64">
        <f t="shared" si="218"/>
        <v>0</v>
      </c>
      <c r="M639" s="64">
        <f t="shared" si="219"/>
        <v>0</v>
      </c>
      <c r="O639" s="64">
        <f t="shared" si="220"/>
        <v>0</v>
      </c>
      <c r="Q639" s="64">
        <f t="shared" si="221"/>
        <v>0</v>
      </c>
      <c r="S639" s="71">
        <f t="shared" si="222"/>
        <v>0</v>
      </c>
      <c r="U639" s="64">
        <f t="shared" si="223"/>
        <v>0</v>
      </c>
      <c r="W639" s="71">
        <f t="shared" si="224"/>
        <v>0</v>
      </c>
      <c r="Y639" s="71">
        <f t="shared" si="225"/>
        <v>0</v>
      </c>
      <c r="AA639" s="71">
        <f t="shared" si="226"/>
        <v>0</v>
      </c>
      <c r="AC639" s="71">
        <f t="shared" si="227"/>
        <v>0</v>
      </c>
      <c r="AK639" s="71">
        <f t="shared" si="228"/>
        <v>0</v>
      </c>
      <c r="AM639" s="71">
        <f t="shared" si="229"/>
        <v>0</v>
      </c>
      <c r="AO639" s="71">
        <f t="shared" si="230"/>
        <v>0</v>
      </c>
      <c r="AQ639" s="71">
        <f t="shared" si="231"/>
        <v>0</v>
      </c>
      <c r="AT639" s="71">
        <f t="shared" si="232"/>
        <v>0</v>
      </c>
      <c r="AV639" s="71">
        <f t="shared" si="233"/>
        <v>0</v>
      </c>
      <c r="AX639" s="71">
        <f t="shared" si="234"/>
        <v>0</v>
      </c>
      <c r="AZ639" s="71">
        <f t="shared" si="235"/>
        <v>0</v>
      </c>
      <c r="BE639" s="102">
        <f t="shared" si="236"/>
        <v>4.4721359549995796</v>
      </c>
      <c r="BF639" s="81">
        <f t="shared" si="237"/>
        <v>9.3924867883288243E-14</v>
      </c>
      <c r="BG639" s="81" t="str">
        <f t="shared" si="238"/>
        <v>BASSO</v>
      </c>
      <c r="BK639" s="81" t="str">
        <f t="shared" si="239"/>
        <v>MOLTO BASSO</v>
      </c>
    </row>
    <row r="640" spans="7:63" x14ac:dyDescent="0.15">
      <c r="G640" s="64">
        <f t="shared" si="240"/>
        <v>0</v>
      </c>
      <c r="I640" s="64">
        <f t="shared" si="217"/>
        <v>0</v>
      </c>
      <c r="K640" s="64">
        <f t="shared" si="218"/>
        <v>0</v>
      </c>
      <c r="M640" s="64">
        <f t="shared" si="219"/>
        <v>0</v>
      </c>
      <c r="O640" s="64">
        <f t="shared" si="220"/>
        <v>0</v>
      </c>
      <c r="Q640" s="64">
        <f t="shared" si="221"/>
        <v>0</v>
      </c>
      <c r="S640" s="71">
        <f t="shared" si="222"/>
        <v>0</v>
      </c>
      <c r="U640" s="64">
        <f t="shared" si="223"/>
        <v>0</v>
      </c>
      <c r="W640" s="71">
        <f t="shared" si="224"/>
        <v>0</v>
      </c>
      <c r="Y640" s="71">
        <f t="shared" si="225"/>
        <v>0</v>
      </c>
      <c r="AA640" s="71">
        <f t="shared" si="226"/>
        <v>0</v>
      </c>
      <c r="AC640" s="71">
        <f t="shared" si="227"/>
        <v>0</v>
      </c>
      <c r="AK640" s="71">
        <f t="shared" si="228"/>
        <v>0</v>
      </c>
      <c r="AM640" s="71">
        <f t="shared" si="229"/>
        <v>0</v>
      </c>
      <c r="AO640" s="71">
        <f t="shared" si="230"/>
        <v>0</v>
      </c>
      <c r="AQ640" s="71">
        <f t="shared" si="231"/>
        <v>0</v>
      </c>
      <c r="AT640" s="71">
        <f t="shared" si="232"/>
        <v>0</v>
      </c>
      <c r="AV640" s="71">
        <f t="shared" si="233"/>
        <v>0</v>
      </c>
      <c r="AX640" s="71">
        <f t="shared" si="234"/>
        <v>0</v>
      </c>
      <c r="AZ640" s="71">
        <f t="shared" si="235"/>
        <v>0</v>
      </c>
      <c r="BE640" s="102">
        <f t="shared" si="236"/>
        <v>4.4721359549995796</v>
      </c>
      <c r="BF640" s="81">
        <f t="shared" si="237"/>
        <v>9.3924867883288243E-14</v>
      </c>
      <c r="BG640" s="81" t="str">
        <f t="shared" si="238"/>
        <v>BASSO</v>
      </c>
      <c r="BK640" s="81" t="str">
        <f t="shared" si="239"/>
        <v>MOLTO BASSO</v>
      </c>
    </row>
    <row r="641" spans="7:63" x14ac:dyDescent="0.15">
      <c r="G641" s="64">
        <f t="shared" si="240"/>
        <v>0</v>
      </c>
      <c r="I641" s="64">
        <f t="shared" si="217"/>
        <v>0</v>
      </c>
      <c r="K641" s="64">
        <f t="shared" si="218"/>
        <v>0</v>
      </c>
      <c r="M641" s="64">
        <f t="shared" si="219"/>
        <v>0</v>
      </c>
      <c r="O641" s="64">
        <f t="shared" si="220"/>
        <v>0</v>
      </c>
      <c r="Q641" s="64">
        <f t="shared" si="221"/>
        <v>0</v>
      </c>
      <c r="S641" s="71">
        <f t="shared" si="222"/>
        <v>0</v>
      </c>
      <c r="U641" s="64">
        <f t="shared" si="223"/>
        <v>0</v>
      </c>
      <c r="W641" s="71">
        <f t="shared" si="224"/>
        <v>0</v>
      </c>
      <c r="Y641" s="71">
        <f t="shared" si="225"/>
        <v>0</v>
      </c>
      <c r="AA641" s="71">
        <f t="shared" si="226"/>
        <v>0</v>
      </c>
      <c r="AC641" s="71">
        <f t="shared" si="227"/>
        <v>0</v>
      </c>
      <c r="AK641" s="71">
        <f t="shared" si="228"/>
        <v>0</v>
      </c>
      <c r="AM641" s="71">
        <f t="shared" si="229"/>
        <v>0</v>
      </c>
      <c r="AO641" s="71">
        <f t="shared" si="230"/>
        <v>0</v>
      </c>
      <c r="AQ641" s="71">
        <f t="shared" si="231"/>
        <v>0</v>
      </c>
      <c r="AT641" s="71">
        <f t="shared" si="232"/>
        <v>0</v>
      </c>
      <c r="AV641" s="71">
        <f t="shared" si="233"/>
        <v>0</v>
      </c>
      <c r="AX641" s="71">
        <f t="shared" si="234"/>
        <v>0</v>
      </c>
      <c r="AZ641" s="71">
        <f t="shared" si="235"/>
        <v>0</v>
      </c>
      <c r="BE641" s="102">
        <f t="shared" si="236"/>
        <v>4.4721359549995796</v>
      </c>
      <c r="BF641" s="81">
        <f t="shared" si="237"/>
        <v>9.3924867883288243E-14</v>
      </c>
      <c r="BG641" s="81" t="str">
        <f t="shared" si="238"/>
        <v>BASSO</v>
      </c>
      <c r="BK641" s="81" t="str">
        <f t="shared" si="239"/>
        <v>MOLTO BASSO</v>
      </c>
    </row>
    <row r="642" spans="7:63" x14ac:dyDescent="0.15">
      <c r="G642" s="64">
        <f t="shared" si="240"/>
        <v>0</v>
      </c>
      <c r="I642" s="64">
        <f t="shared" si="217"/>
        <v>0</v>
      </c>
      <c r="K642" s="64">
        <f t="shared" si="218"/>
        <v>0</v>
      </c>
      <c r="M642" s="64">
        <f t="shared" si="219"/>
        <v>0</v>
      </c>
      <c r="O642" s="64">
        <f t="shared" si="220"/>
        <v>0</v>
      </c>
      <c r="Q642" s="64">
        <f t="shared" si="221"/>
        <v>0</v>
      </c>
      <c r="S642" s="71">
        <f t="shared" si="222"/>
        <v>0</v>
      </c>
      <c r="U642" s="64">
        <f t="shared" si="223"/>
        <v>0</v>
      </c>
      <c r="W642" s="71">
        <f t="shared" si="224"/>
        <v>0</v>
      </c>
      <c r="Y642" s="71">
        <f t="shared" si="225"/>
        <v>0</v>
      </c>
      <c r="AA642" s="71">
        <f t="shared" si="226"/>
        <v>0</v>
      </c>
      <c r="AC642" s="71">
        <f t="shared" si="227"/>
        <v>0</v>
      </c>
      <c r="AK642" s="71">
        <f t="shared" si="228"/>
        <v>0</v>
      </c>
      <c r="AM642" s="71">
        <f t="shared" si="229"/>
        <v>0</v>
      </c>
      <c r="AO642" s="71">
        <f t="shared" si="230"/>
        <v>0</v>
      </c>
      <c r="AQ642" s="71">
        <f t="shared" si="231"/>
        <v>0</v>
      </c>
      <c r="AT642" s="71">
        <f t="shared" si="232"/>
        <v>0</v>
      </c>
      <c r="AV642" s="71">
        <f t="shared" si="233"/>
        <v>0</v>
      </c>
      <c r="AX642" s="71">
        <f t="shared" si="234"/>
        <v>0</v>
      </c>
      <c r="AZ642" s="71">
        <f t="shared" si="235"/>
        <v>0</v>
      </c>
      <c r="BE642" s="102">
        <f t="shared" si="236"/>
        <v>4.4721359549995796</v>
      </c>
      <c r="BF642" s="81">
        <f t="shared" si="237"/>
        <v>9.3924867883288243E-14</v>
      </c>
      <c r="BG642" s="81" t="str">
        <f t="shared" si="238"/>
        <v>BASSO</v>
      </c>
      <c r="BK642" s="81" t="str">
        <f t="shared" si="239"/>
        <v>MOLTO BASSO</v>
      </c>
    </row>
    <row r="643" spans="7:63" x14ac:dyDescent="0.15">
      <c r="G643" s="64">
        <f t="shared" si="240"/>
        <v>0</v>
      </c>
      <c r="I643" s="64">
        <f t="shared" ref="I643:I706" si="241">H643/2</f>
        <v>0</v>
      </c>
      <c r="K643" s="64">
        <f t="shared" ref="K643:K706" si="242">J643/2</f>
        <v>0</v>
      </c>
      <c r="M643" s="64">
        <f t="shared" ref="M643:M706" si="243">L643/3</f>
        <v>0</v>
      </c>
      <c r="O643" s="64">
        <f t="shared" ref="O643:O706" si="244">N643/5</f>
        <v>0</v>
      </c>
      <c r="Q643" s="64">
        <f t="shared" ref="Q643:Q706" si="245">P643/3</f>
        <v>0</v>
      </c>
      <c r="S643" s="71">
        <f t="shared" ref="S643:S706" si="246">R643/3</f>
        <v>0</v>
      </c>
      <c r="U643" s="64">
        <f t="shared" ref="U643:U706" si="247">T643/3</f>
        <v>0</v>
      </c>
      <c r="W643" s="71">
        <f t="shared" ref="W643:W706" si="248">V643/4</f>
        <v>0</v>
      </c>
      <c r="Y643" s="71">
        <f t="shared" ref="Y643:Y706" si="249">X643/3</f>
        <v>0</v>
      </c>
      <c r="AA643" s="71">
        <f t="shared" ref="AA643:AA706" si="250">Z643/3</f>
        <v>0</v>
      </c>
      <c r="AC643" s="71">
        <f t="shared" ref="AC643:AC706" si="251">AB643/2</f>
        <v>0</v>
      </c>
      <c r="AK643" s="71">
        <f t="shared" ref="AK643:AK706" si="252">AJ643/2</f>
        <v>0</v>
      </c>
      <c r="AM643" s="71">
        <f t="shared" ref="AM643:AM706" si="253">AL643/3</f>
        <v>0</v>
      </c>
      <c r="AO643" s="71">
        <f t="shared" ref="AO643:AO706" si="254">AN643/3</f>
        <v>0</v>
      </c>
      <c r="AQ643" s="71">
        <f t="shared" ref="AQ643:AQ706" si="255">AP643/3</f>
        <v>0</v>
      </c>
      <c r="AT643" s="71">
        <f t="shared" ref="AT643:AT706" si="256">AS643/3</f>
        <v>0</v>
      </c>
      <c r="AV643" s="71">
        <f t="shared" ref="AV643:AV706" si="257">AU643/3</f>
        <v>0</v>
      </c>
      <c r="AX643" s="71">
        <f t="shared" ref="AX643:AX706" si="258">AW643/2</f>
        <v>0</v>
      </c>
      <c r="AZ643" s="71">
        <f t="shared" ref="AZ643:AZ706" si="259">AY643/3</f>
        <v>0</v>
      </c>
      <c r="BE643" s="102">
        <f t="shared" ref="BE643:BE706" si="260">SQRT((1-G643)^2 + (1-I643)^2 + (1-K643)^2 + (1-M643)^2 + (1-O643)^2 + (1-Q643)^2 + (1-S643)^2 + (1-U643)^2 + (1-W643)^2 + (1-Y643)^2 + (1-AA643)^2 + (1-AC643)^2 + (1-AK643)^2 + (1-AM643)^2 + (1-AO643)^2 + (1-AQ643)^2 + (1-AT643)^2 + (1-AV643)^2 + (1-AX643)^2 + (1-AZ643)^2)</f>
        <v>4.4721359549995796</v>
      </c>
      <c r="BF643" s="81">
        <f t="shared" ref="BF643:BF706" si="261">1 - (BE643 / 4.472135955)</f>
        <v>9.3924867883288243E-14</v>
      </c>
      <c r="BG643" s="81" t="str">
        <f t="shared" ref="BG643:BG706" si="262">IF(BF643&lt;=0.33, "BASSO", IF(BF643&lt;=0.66, "MEDIO", "ALTO"))</f>
        <v>BASSO</v>
      </c>
      <c r="BK643" s="81" t="str">
        <f t="shared" ref="BK643:BK706" si="263">IF(BF643&lt;0.3,"MOLTO BASSO",IF(BF643&lt;0.45,"BASSO",IF(BF643&lt;0.65,"MEDIO",IF(BF643&lt;0.8,"ALTO","MOLTO ALTO"))))</f>
        <v>MOLTO BASSO</v>
      </c>
    </row>
    <row r="644" spans="7:63" x14ac:dyDescent="0.15">
      <c r="G644" s="64">
        <f t="shared" si="240"/>
        <v>0</v>
      </c>
      <c r="I644" s="64">
        <f t="shared" si="241"/>
        <v>0</v>
      </c>
      <c r="K644" s="64">
        <f t="shared" si="242"/>
        <v>0</v>
      </c>
      <c r="M644" s="64">
        <f t="shared" si="243"/>
        <v>0</v>
      </c>
      <c r="O644" s="64">
        <f t="shared" si="244"/>
        <v>0</v>
      </c>
      <c r="Q644" s="64">
        <f t="shared" si="245"/>
        <v>0</v>
      </c>
      <c r="S644" s="71">
        <f t="shared" si="246"/>
        <v>0</v>
      </c>
      <c r="U644" s="64">
        <f t="shared" si="247"/>
        <v>0</v>
      </c>
      <c r="W644" s="71">
        <f t="shared" si="248"/>
        <v>0</v>
      </c>
      <c r="Y644" s="71">
        <f t="shared" si="249"/>
        <v>0</v>
      </c>
      <c r="AA644" s="71">
        <f t="shared" si="250"/>
        <v>0</v>
      </c>
      <c r="AC644" s="71">
        <f t="shared" si="251"/>
        <v>0</v>
      </c>
      <c r="AK644" s="71">
        <f t="shared" si="252"/>
        <v>0</v>
      </c>
      <c r="AM644" s="71">
        <f t="shared" si="253"/>
        <v>0</v>
      </c>
      <c r="AO644" s="71">
        <f t="shared" si="254"/>
        <v>0</v>
      </c>
      <c r="AQ644" s="71">
        <f t="shared" si="255"/>
        <v>0</v>
      </c>
      <c r="AT644" s="71">
        <f t="shared" si="256"/>
        <v>0</v>
      </c>
      <c r="AV644" s="71">
        <f t="shared" si="257"/>
        <v>0</v>
      </c>
      <c r="AX644" s="71">
        <f t="shared" si="258"/>
        <v>0</v>
      </c>
      <c r="AZ644" s="71">
        <f t="shared" si="259"/>
        <v>0</v>
      </c>
      <c r="BE644" s="102">
        <f t="shared" si="260"/>
        <v>4.4721359549995796</v>
      </c>
      <c r="BF644" s="81">
        <f t="shared" si="261"/>
        <v>9.3924867883288243E-14</v>
      </c>
      <c r="BG644" s="81" t="str">
        <f t="shared" si="262"/>
        <v>BASSO</v>
      </c>
      <c r="BK644" s="81" t="str">
        <f t="shared" si="263"/>
        <v>MOLTO BASSO</v>
      </c>
    </row>
    <row r="645" spans="7:63" x14ac:dyDescent="0.15">
      <c r="G645" s="64">
        <f t="shared" si="240"/>
        <v>0</v>
      </c>
      <c r="I645" s="64">
        <f t="shared" si="241"/>
        <v>0</v>
      </c>
      <c r="K645" s="64">
        <f t="shared" si="242"/>
        <v>0</v>
      </c>
      <c r="M645" s="64">
        <f t="shared" si="243"/>
        <v>0</v>
      </c>
      <c r="O645" s="64">
        <f t="shared" si="244"/>
        <v>0</v>
      </c>
      <c r="Q645" s="64">
        <f t="shared" si="245"/>
        <v>0</v>
      </c>
      <c r="S645" s="71">
        <f t="shared" si="246"/>
        <v>0</v>
      </c>
      <c r="U645" s="64">
        <f t="shared" si="247"/>
        <v>0</v>
      </c>
      <c r="W645" s="71">
        <f t="shared" si="248"/>
        <v>0</v>
      </c>
      <c r="Y645" s="71">
        <f t="shared" si="249"/>
        <v>0</v>
      </c>
      <c r="AA645" s="71">
        <f t="shared" si="250"/>
        <v>0</v>
      </c>
      <c r="AC645" s="71">
        <f t="shared" si="251"/>
        <v>0</v>
      </c>
      <c r="AK645" s="71">
        <f t="shared" si="252"/>
        <v>0</v>
      </c>
      <c r="AM645" s="71">
        <f t="shared" si="253"/>
        <v>0</v>
      </c>
      <c r="AO645" s="71">
        <f t="shared" si="254"/>
        <v>0</v>
      </c>
      <c r="AQ645" s="71">
        <f t="shared" si="255"/>
        <v>0</v>
      </c>
      <c r="AT645" s="71">
        <f t="shared" si="256"/>
        <v>0</v>
      </c>
      <c r="AV645" s="71">
        <f t="shared" si="257"/>
        <v>0</v>
      </c>
      <c r="AX645" s="71">
        <f t="shared" si="258"/>
        <v>0</v>
      </c>
      <c r="AZ645" s="71">
        <f t="shared" si="259"/>
        <v>0</v>
      </c>
      <c r="BE645" s="102">
        <f t="shared" si="260"/>
        <v>4.4721359549995796</v>
      </c>
      <c r="BF645" s="81">
        <f t="shared" si="261"/>
        <v>9.3924867883288243E-14</v>
      </c>
      <c r="BG645" s="81" t="str">
        <f t="shared" si="262"/>
        <v>BASSO</v>
      </c>
      <c r="BK645" s="81" t="str">
        <f t="shared" si="263"/>
        <v>MOLTO BASSO</v>
      </c>
    </row>
    <row r="646" spans="7:63" x14ac:dyDescent="0.15">
      <c r="G646" s="64">
        <f t="shared" si="240"/>
        <v>0</v>
      </c>
      <c r="I646" s="64">
        <f t="shared" si="241"/>
        <v>0</v>
      </c>
      <c r="K646" s="64">
        <f t="shared" si="242"/>
        <v>0</v>
      </c>
      <c r="M646" s="64">
        <f t="shared" si="243"/>
        <v>0</v>
      </c>
      <c r="O646" s="64">
        <f t="shared" si="244"/>
        <v>0</v>
      </c>
      <c r="Q646" s="64">
        <f t="shared" si="245"/>
        <v>0</v>
      </c>
      <c r="S646" s="71">
        <f t="shared" si="246"/>
        <v>0</v>
      </c>
      <c r="U646" s="64">
        <f t="shared" si="247"/>
        <v>0</v>
      </c>
      <c r="W646" s="71">
        <f t="shared" si="248"/>
        <v>0</v>
      </c>
      <c r="Y646" s="71">
        <f t="shared" si="249"/>
        <v>0</v>
      </c>
      <c r="AA646" s="71">
        <f t="shared" si="250"/>
        <v>0</v>
      </c>
      <c r="AC646" s="71">
        <f t="shared" si="251"/>
        <v>0</v>
      </c>
      <c r="AK646" s="71">
        <f t="shared" si="252"/>
        <v>0</v>
      </c>
      <c r="AM646" s="71">
        <f t="shared" si="253"/>
        <v>0</v>
      </c>
      <c r="AO646" s="71">
        <f t="shared" si="254"/>
        <v>0</v>
      </c>
      <c r="AQ646" s="71">
        <f t="shared" si="255"/>
        <v>0</v>
      </c>
      <c r="AT646" s="71">
        <f t="shared" si="256"/>
        <v>0</v>
      </c>
      <c r="AV646" s="71">
        <f t="shared" si="257"/>
        <v>0</v>
      </c>
      <c r="AX646" s="71">
        <f t="shared" si="258"/>
        <v>0</v>
      </c>
      <c r="AZ646" s="71">
        <f t="shared" si="259"/>
        <v>0</v>
      </c>
      <c r="BE646" s="102">
        <f t="shared" si="260"/>
        <v>4.4721359549995796</v>
      </c>
      <c r="BF646" s="81">
        <f t="shared" si="261"/>
        <v>9.3924867883288243E-14</v>
      </c>
      <c r="BG646" s="81" t="str">
        <f t="shared" si="262"/>
        <v>BASSO</v>
      </c>
      <c r="BK646" s="81" t="str">
        <f t="shared" si="263"/>
        <v>MOLTO BASSO</v>
      </c>
    </row>
    <row r="647" spans="7:63" x14ac:dyDescent="0.15">
      <c r="G647" s="64">
        <f t="shared" si="240"/>
        <v>0</v>
      </c>
      <c r="I647" s="64">
        <f t="shared" si="241"/>
        <v>0</v>
      </c>
      <c r="K647" s="64">
        <f t="shared" si="242"/>
        <v>0</v>
      </c>
      <c r="M647" s="64">
        <f t="shared" si="243"/>
        <v>0</v>
      </c>
      <c r="O647" s="64">
        <f t="shared" si="244"/>
        <v>0</v>
      </c>
      <c r="Q647" s="64">
        <f t="shared" si="245"/>
        <v>0</v>
      </c>
      <c r="S647" s="71">
        <f t="shared" si="246"/>
        <v>0</v>
      </c>
      <c r="U647" s="64">
        <f t="shared" si="247"/>
        <v>0</v>
      </c>
      <c r="W647" s="71">
        <f t="shared" si="248"/>
        <v>0</v>
      </c>
      <c r="Y647" s="71">
        <f t="shared" si="249"/>
        <v>0</v>
      </c>
      <c r="AA647" s="71">
        <f t="shared" si="250"/>
        <v>0</v>
      </c>
      <c r="AC647" s="71">
        <f t="shared" si="251"/>
        <v>0</v>
      </c>
      <c r="AK647" s="71">
        <f t="shared" si="252"/>
        <v>0</v>
      </c>
      <c r="AM647" s="71">
        <f t="shared" si="253"/>
        <v>0</v>
      </c>
      <c r="AO647" s="71">
        <f t="shared" si="254"/>
        <v>0</v>
      </c>
      <c r="AQ647" s="71">
        <f t="shared" si="255"/>
        <v>0</v>
      </c>
      <c r="AT647" s="71">
        <f t="shared" si="256"/>
        <v>0</v>
      </c>
      <c r="AV647" s="71">
        <f t="shared" si="257"/>
        <v>0</v>
      </c>
      <c r="AX647" s="71">
        <f t="shared" si="258"/>
        <v>0</v>
      </c>
      <c r="AZ647" s="71">
        <f t="shared" si="259"/>
        <v>0</v>
      </c>
      <c r="BE647" s="102">
        <f t="shared" si="260"/>
        <v>4.4721359549995796</v>
      </c>
      <c r="BF647" s="81">
        <f t="shared" si="261"/>
        <v>9.3924867883288243E-14</v>
      </c>
      <c r="BG647" s="81" t="str">
        <f t="shared" si="262"/>
        <v>BASSO</v>
      </c>
      <c r="BK647" s="81" t="str">
        <f t="shared" si="263"/>
        <v>MOLTO BASSO</v>
      </c>
    </row>
    <row r="648" spans="7:63" x14ac:dyDescent="0.15">
      <c r="G648" s="64">
        <f t="shared" si="240"/>
        <v>0</v>
      </c>
      <c r="I648" s="64">
        <f t="shared" si="241"/>
        <v>0</v>
      </c>
      <c r="K648" s="64">
        <f t="shared" si="242"/>
        <v>0</v>
      </c>
      <c r="M648" s="64">
        <f t="shared" si="243"/>
        <v>0</v>
      </c>
      <c r="O648" s="64">
        <f t="shared" si="244"/>
        <v>0</v>
      </c>
      <c r="Q648" s="64">
        <f t="shared" si="245"/>
        <v>0</v>
      </c>
      <c r="S648" s="71">
        <f t="shared" si="246"/>
        <v>0</v>
      </c>
      <c r="U648" s="64">
        <f t="shared" si="247"/>
        <v>0</v>
      </c>
      <c r="W648" s="71">
        <f t="shared" si="248"/>
        <v>0</v>
      </c>
      <c r="Y648" s="71">
        <f t="shared" si="249"/>
        <v>0</v>
      </c>
      <c r="AA648" s="71">
        <f t="shared" si="250"/>
        <v>0</v>
      </c>
      <c r="AC648" s="71">
        <f t="shared" si="251"/>
        <v>0</v>
      </c>
      <c r="AK648" s="71">
        <f t="shared" si="252"/>
        <v>0</v>
      </c>
      <c r="AM648" s="71">
        <f t="shared" si="253"/>
        <v>0</v>
      </c>
      <c r="AO648" s="71">
        <f t="shared" si="254"/>
        <v>0</v>
      </c>
      <c r="AQ648" s="71">
        <f t="shared" si="255"/>
        <v>0</v>
      </c>
      <c r="AT648" s="71">
        <f t="shared" si="256"/>
        <v>0</v>
      </c>
      <c r="AV648" s="71">
        <f t="shared" si="257"/>
        <v>0</v>
      </c>
      <c r="AX648" s="71">
        <f t="shared" si="258"/>
        <v>0</v>
      </c>
      <c r="AZ648" s="71">
        <f t="shared" si="259"/>
        <v>0</v>
      </c>
      <c r="BE648" s="102">
        <f t="shared" si="260"/>
        <v>4.4721359549995796</v>
      </c>
      <c r="BF648" s="81">
        <f t="shared" si="261"/>
        <v>9.3924867883288243E-14</v>
      </c>
      <c r="BG648" s="81" t="str">
        <f t="shared" si="262"/>
        <v>BASSO</v>
      </c>
      <c r="BK648" s="81" t="str">
        <f t="shared" si="263"/>
        <v>MOLTO BASSO</v>
      </c>
    </row>
    <row r="649" spans="7:63" x14ac:dyDescent="0.15">
      <c r="G649" s="64">
        <f t="shared" si="240"/>
        <v>0</v>
      </c>
      <c r="I649" s="64">
        <f t="shared" si="241"/>
        <v>0</v>
      </c>
      <c r="K649" s="64">
        <f t="shared" si="242"/>
        <v>0</v>
      </c>
      <c r="M649" s="64">
        <f t="shared" si="243"/>
        <v>0</v>
      </c>
      <c r="O649" s="64">
        <f t="shared" si="244"/>
        <v>0</v>
      </c>
      <c r="Q649" s="64">
        <f t="shared" si="245"/>
        <v>0</v>
      </c>
      <c r="S649" s="71">
        <f t="shared" si="246"/>
        <v>0</v>
      </c>
      <c r="U649" s="64">
        <f t="shared" si="247"/>
        <v>0</v>
      </c>
      <c r="W649" s="71">
        <f t="shared" si="248"/>
        <v>0</v>
      </c>
      <c r="Y649" s="71">
        <f t="shared" si="249"/>
        <v>0</v>
      </c>
      <c r="AA649" s="71">
        <f t="shared" si="250"/>
        <v>0</v>
      </c>
      <c r="AC649" s="71">
        <f t="shared" si="251"/>
        <v>0</v>
      </c>
      <c r="AK649" s="71">
        <f t="shared" si="252"/>
        <v>0</v>
      </c>
      <c r="AM649" s="71">
        <f t="shared" si="253"/>
        <v>0</v>
      </c>
      <c r="AO649" s="71">
        <f t="shared" si="254"/>
        <v>0</v>
      </c>
      <c r="AQ649" s="71">
        <f t="shared" si="255"/>
        <v>0</v>
      </c>
      <c r="AT649" s="71">
        <f t="shared" si="256"/>
        <v>0</v>
      </c>
      <c r="AV649" s="71">
        <f t="shared" si="257"/>
        <v>0</v>
      </c>
      <c r="AX649" s="71">
        <f t="shared" si="258"/>
        <v>0</v>
      </c>
      <c r="AZ649" s="71">
        <f t="shared" si="259"/>
        <v>0</v>
      </c>
      <c r="BE649" s="102">
        <f t="shared" si="260"/>
        <v>4.4721359549995796</v>
      </c>
      <c r="BF649" s="81">
        <f t="shared" si="261"/>
        <v>9.3924867883288243E-14</v>
      </c>
      <c r="BG649" s="81" t="str">
        <f t="shared" si="262"/>
        <v>BASSO</v>
      </c>
      <c r="BK649" s="81" t="str">
        <f t="shared" si="263"/>
        <v>MOLTO BASSO</v>
      </c>
    </row>
    <row r="650" spans="7:63" x14ac:dyDescent="0.15">
      <c r="G650" s="64">
        <f t="shared" si="240"/>
        <v>0</v>
      </c>
      <c r="I650" s="64">
        <f t="shared" si="241"/>
        <v>0</v>
      </c>
      <c r="K650" s="64">
        <f t="shared" si="242"/>
        <v>0</v>
      </c>
      <c r="M650" s="64">
        <f t="shared" si="243"/>
        <v>0</v>
      </c>
      <c r="O650" s="64">
        <f t="shared" si="244"/>
        <v>0</v>
      </c>
      <c r="Q650" s="64">
        <f t="shared" si="245"/>
        <v>0</v>
      </c>
      <c r="S650" s="71">
        <f t="shared" si="246"/>
        <v>0</v>
      </c>
      <c r="U650" s="64">
        <f t="shared" si="247"/>
        <v>0</v>
      </c>
      <c r="W650" s="71">
        <f t="shared" si="248"/>
        <v>0</v>
      </c>
      <c r="Y650" s="71">
        <f t="shared" si="249"/>
        <v>0</v>
      </c>
      <c r="AA650" s="71">
        <f t="shared" si="250"/>
        <v>0</v>
      </c>
      <c r="AC650" s="71">
        <f t="shared" si="251"/>
        <v>0</v>
      </c>
      <c r="AK650" s="71">
        <f t="shared" si="252"/>
        <v>0</v>
      </c>
      <c r="AM650" s="71">
        <f t="shared" si="253"/>
        <v>0</v>
      </c>
      <c r="AO650" s="71">
        <f t="shared" si="254"/>
        <v>0</v>
      </c>
      <c r="AQ650" s="71">
        <f t="shared" si="255"/>
        <v>0</v>
      </c>
      <c r="AT650" s="71">
        <f t="shared" si="256"/>
        <v>0</v>
      </c>
      <c r="AV650" s="71">
        <f t="shared" si="257"/>
        <v>0</v>
      </c>
      <c r="AX650" s="71">
        <f t="shared" si="258"/>
        <v>0</v>
      </c>
      <c r="AZ650" s="71">
        <f t="shared" si="259"/>
        <v>0</v>
      </c>
      <c r="BE650" s="102">
        <f t="shared" si="260"/>
        <v>4.4721359549995796</v>
      </c>
      <c r="BF650" s="81">
        <f t="shared" si="261"/>
        <v>9.3924867883288243E-14</v>
      </c>
      <c r="BG650" s="81" t="str">
        <f t="shared" si="262"/>
        <v>BASSO</v>
      </c>
      <c r="BK650" s="81" t="str">
        <f t="shared" si="263"/>
        <v>MOLTO BASSO</v>
      </c>
    </row>
    <row r="651" spans="7:63" x14ac:dyDescent="0.15">
      <c r="G651" s="64">
        <f t="shared" si="240"/>
        <v>0</v>
      </c>
      <c r="I651" s="64">
        <f t="shared" si="241"/>
        <v>0</v>
      </c>
      <c r="K651" s="64">
        <f t="shared" si="242"/>
        <v>0</v>
      </c>
      <c r="M651" s="64">
        <f t="shared" si="243"/>
        <v>0</v>
      </c>
      <c r="O651" s="64">
        <f t="shared" si="244"/>
        <v>0</v>
      </c>
      <c r="Q651" s="64">
        <f t="shared" si="245"/>
        <v>0</v>
      </c>
      <c r="S651" s="71">
        <f t="shared" si="246"/>
        <v>0</v>
      </c>
      <c r="U651" s="64">
        <f t="shared" si="247"/>
        <v>0</v>
      </c>
      <c r="W651" s="71">
        <f t="shared" si="248"/>
        <v>0</v>
      </c>
      <c r="Y651" s="71">
        <f t="shared" si="249"/>
        <v>0</v>
      </c>
      <c r="AA651" s="71">
        <f t="shared" si="250"/>
        <v>0</v>
      </c>
      <c r="AC651" s="71">
        <f t="shared" si="251"/>
        <v>0</v>
      </c>
      <c r="AK651" s="71">
        <f t="shared" si="252"/>
        <v>0</v>
      </c>
      <c r="AM651" s="71">
        <f t="shared" si="253"/>
        <v>0</v>
      </c>
      <c r="AO651" s="71">
        <f t="shared" si="254"/>
        <v>0</v>
      </c>
      <c r="AQ651" s="71">
        <f t="shared" si="255"/>
        <v>0</v>
      </c>
      <c r="AT651" s="71">
        <f t="shared" si="256"/>
        <v>0</v>
      </c>
      <c r="AV651" s="71">
        <f t="shared" si="257"/>
        <v>0</v>
      </c>
      <c r="AX651" s="71">
        <f t="shared" si="258"/>
        <v>0</v>
      </c>
      <c r="AZ651" s="71">
        <f t="shared" si="259"/>
        <v>0</v>
      </c>
      <c r="BE651" s="102">
        <f t="shared" si="260"/>
        <v>4.4721359549995796</v>
      </c>
      <c r="BF651" s="81">
        <f t="shared" si="261"/>
        <v>9.3924867883288243E-14</v>
      </c>
      <c r="BG651" s="81" t="str">
        <f t="shared" si="262"/>
        <v>BASSO</v>
      </c>
      <c r="BK651" s="81" t="str">
        <f t="shared" si="263"/>
        <v>MOLTO BASSO</v>
      </c>
    </row>
    <row r="652" spans="7:63" x14ac:dyDescent="0.15">
      <c r="G652" s="64">
        <f t="shared" si="240"/>
        <v>0</v>
      </c>
      <c r="I652" s="64">
        <f t="shared" si="241"/>
        <v>0</v>
      </c>
      <c r="K652" s="64">
        <f t="shared" si="242"/>
        <v>0</v>
      </c>
      <c r="M652" s="64">
        <f t="shared" si="243"/>
        <v>0</v>
      </c>
      <c r="O652" s="64">
        <f t="shared" si="244"/>
        <v>0</v>
      </c>
      <c r="Q652" s="64">
        <f t="shared" si="245"/>
        <v>0</v>
      </c>
      <c r="S652" s="71">
        <f t="shared" si="246"/>
        <v>0</v>
      </c>
      <c r="U652" s="64">
        <f t="shared" si="247"/>
        <v>0</v>
      </c>
      <c r="W652" s="71">
        <f t="shared" si="248"/>
        <v>0</v>
      </c>
      <c r="Y652" s="71">
        <f t="shared" si="249"/>
        <v>0</v>
      </c>
      <c r="AA652" s="71">
        <f t="shared" si="250"/>
        <v>0</v>
      </c>
      <c r="AC652" s="71">
        <f t="shared" si="251"/>
        <v>0</v>
      </c>
      <c r="AK652" s="71">
        <f t="shared" si="252"/>
        <v>0</v>
      </c>
      <c r="AM652" s="71">
        <f t="shared" si="253"/>
        <v>0</v>
      </c>
      <c r="AO652" s="71">
        <f t="shared" si="254"/>
        <v>0</v>
      </c>
      <c r="AQ652" s="71">
        <f t="shared" si="255"/>
        <v>0</v>
      </c>
      <c r="AT652" s="71">
        <f t="shared" si="256"/>
        <v>0</v>
      </c>
      <c r="AV652" s="71">
        <f t="shared" si="257"/>
        <v>0</v>
      </c>
      <c r="AX652" s="71">
        <f t="shared" si="258"/>
        <v>0</v>
      </c>
      <c r="AZ652" s="71">
        <f t="shared" si="259"/>
        <v>0</v>
      </c>
      <c r="BE652" s="102">
        <f t="shared" si="260"/>
        <v>4.4721359549995796</v>
      </c>
      <c r="BF652" s="81">
        <f t="shared" si="261"/>
        <v>9.3924867883288243E-14</v>
      </c>
      <c r="BG652" s="81" t="str">
        <f t="shared" si="262"/>
        <v>BASSO</v>
      </c>
      <c r="BK652" s="81" t="str">
        <f t="shared" si="263"/>
        <v>MOLTO BASSO</v>
      </c>
    </row>
    <row r="653" spans="7:63" x14ac:dyDescent="0.15">
      <c r="G653" s="64">
        <f t="shared" si="240"/>
        <v>0</v>
      </c>
      <c r="I653" s="64">
        <f t="shared" si="241"/>
        <v>0</v>
      </c>
      <c r="K653" s="64">
        <f t="shared" si="242"/>
        <v>0</v>
      </c>
      <c r="M653" s="64">
        <f t="shared" si="243"/>
        <v>0</v>
      </c>
      <c r="O653" s="64">
        <f t="shared" si="244"/>
        <v>0</v>
      </c>
      <c r="Q653" s="64">
        <f t="shared" si="245"/>
        <v>0</v>
      </c>
      <c r="S653" s="71">
        <f t="shared" si="246"/>
        <v>0</v>
      </c>
      <c r="U653" s="64">
        <f t="shared" si="247"/>
        <v>0</v>
      </c>
      <c r="W653" s="71">
        <f t="shared" si="248"/>
        <v>0</v>
      </c>
      <c r="Y653" s="71">
        <f t="shared" si="249"/>
        <v>0</v>
      </c>
      <c r="AA653" s="71">
        <f t="shared" si="250"/>
        <v>0</v>
      </c>
      <c r="AC653" s="71">
        <f t="shared" si="251"/>
        <v>0</v>
      </c>
      <c r="AK653" s="71">
        <f t="shared" si="252"/>
        <v>0</v>
      </c>
      <c r="AM653" s="71">
        <f t="shared" si="253"/>
        <v>0</v>
      </c>
      <c r="AO653" s="71">
        <f t="shared" si="254"/>
        <v>0</v>
      </c>
      <c r="AQ653" s="71">
        <f t="shared" si="255"/>
        <v>0</v>
      </c>
      <c r="AT653" s="71">
        <f t="shared" si="256"/>
        <v>0</v>
      </c>
      <c r="AV653" s="71">
        <f t="shared" si="257"/>
        <v>0</v>
      </c>
      <c r="AX653" s="71">
        <f t="shared" si="258"/>
        <v>0</v>
      </c>
      <c r="AZ653" s="71">
        <f t="shared" si="259"/>
        <v>0</v>
      </c>
      <c r="BE653" s="102">
        <f t="shared" si="260"/>
        <v>4.4721359549995796</v>
      </c>
      <c r="BF653" s="81">
        <f t="shared" si="261"/>
        <v>9.3924867883288243E-14</v>
      </c>
      <c r="BG653" s="81" t="str">
        <f t="shared" si="262"/>
        <v>BASSO</v>
      </c>
      <c r="BK653" s="81" t="str">
        <f t="shared" si="263"/>
        <v>MOLTO BASSO</v>
      </c>
    </row>
    <row r="654" spans="7:63" x14ac:dyDescent="0.15">
      <c r="G654" s="64">
        <f t="shared" si="240"/>
        <v>0</v>
      </c>
      <c r="I654" s="64">
        <f t="shared" si="241"/>
        <v>0</v>
      </c>
      <c r="K654" s="64">
        <f t="shared" si="242"/>
        <v>0</v>
      </c>
      <c r="M654" s="64">
        <f t="shared" si="243"/>
        <v>0</v>
      </c>
      <c r="O654" s="64">
        <f t="shared" si="244"/>
        <v>0</v>
      </c>
      <c r="Q654" s="64">
        <f t="shared" si="245"/>
        <v>0</v>
      </c>
      <c r="S654" s="71">
        <f t="shared" si="246"/>
        <v>0</v>
      </c>
      <c r="U654" s="64">
        <f t="shared" si="247"/>
        <v>0</v>
      </c>
      <c r="W654" s="71">
        <f t="shared" si="248"/>
        <v>0</v>
      </c>
      <c r="Y654" s="71">
        <f t="shared" si="249"/>
        <v>0</v>
      </c>
      <c r="AA654" s="71">
        <f t="shared" si="250"/>
        <v>0</v>
      </c>
      <c r="AC654" s="71">
        <f t="shared" si="251"/>
        <v>0</v>
      </c>
      <c r="AK654" s="71">
        <f t="shared" si="252"/>
        <v>0</v>
      </c>
      <c r="AM654" s="71">
        <f t="shared" si="253"/>
        <v>0</v>
      </c>
      <c r="AO654" s="71">
        <f t="shared" si="254"/>
        <v>0</v>
      </c>
      <c r="AQ654" s="71">
        <f t="shared" si="255"/>
        <v>0</v>
      </c>
      <c r="AT654" s="71">
        <f t="shared" si="256"/>
        <v>0</v>
      </c>
      <c r="AV654" s="71">
        <f t="shared" si="257"/>
        <v>0</v>
      </c>
      <c r="AX654" s="71">
        <f t="shared" si="258"/>
        <v>0</v>
      </c>
      <c r="AZ654" s="71">
        <f t="shared" si="259"/>
        <v>0</v>
      </c>
      <c r="BE654" s="102">
        <f t="shared" si="260"/>
        <v>4.4721359549995796</v>
      </c>
      <c r="BF654" s="81">
        <f t="shared" si="261"/>
        <v>9.3924867883288243E-14</v>
      </c>
      <c r="BG654" s="81" t="str">
        <f t="shared" si="262"/>
        <v>BASSO</v>
      </c>
      <c r="BK654" s="81" t="str">
        <f t="shared" si="263"/>
        <v>MOLTO BASSO</v>
      </c>
    </row>
    <row r="655" spans="7:63" x14ac:dyDescent="0.15">
      <c r="G655" s="64">
        <f t="shared" si="240"/>
        <v>0</v>
      </c>
      <c r="I655" s="64">
        <f t="shared" si="241"/>
        <v>0</v>
      </c>
      <c r="K655" s="64">
        <f t="shared" si="242"/>
        <v>0</v>
      </c>
      <c r="M655" s="64">
        <f t="shared" si="243"/>
        <v>0</v>
      </c>
      <c r="O655" s="64">
        <f t="shared" si="244"/>
        <v>0</v>
      </c>
      <c r="Q655" s="64">
        <f t="shared" si="245"/>
        <v>0</v>
      </c>
      <c r="S655" s="71">
        <f t="shared" si="246"/>
        <v>0</v>
      </c>
      <c r="U655" s="64">
        <f t="shared" si="247"/>
        <v>0</v>
      </c>
      <c r="W655" s="71">
        <f t="shared" si="248"/>
        <v>0</v>
      </c>
      <c r="Y655" s="71">
        <f t="shared" si="249"/>
        <v>0</v>
      </c>
      <c r="AA655" s="71">
        <f t="shared" si="250"/>
        <v>0</v>
      </c>
      <c r="AC655" s="71">
        <f t="shared" si="251"/>
        <v>0</v>
      </c>
      <c r="AK655" s="71">
        <f t="shared" si="252"/>
        <v>0</v>
      </c>
      <c r="AM655" s="71">
        <f t="shared" si="253"/>
        <v>0</v>
      </c>
      <c r="AO655" s="71">
        <f t="shared" si="254"/>
        <v>0</v>
      </c>
      <c r="AQ655" s="71">
        <f t="shared" si="255"/>
        <v>0</v>
      </c>
      <c r="AT655" s="71">
        <f t="shared" si="256"/>
        <v>0</v>
      </c>
      <c r="AV655" s="71">
        <f t="shared" si="257"/>
        <v>0</v>
      </c>
      <c r="AX655" s="71">
        <f t="shared" si="258"/>
        <v>0</v>
      </c>
      <c r="AZ655" s="71">
        <f t="shared" si="259"/>
        <v>0</v>
      </c>
      <c r="BE655" s="102">
        <f t="shared" si="260"/>
        <v>4.4721359549995796</v>
      </c>
      <c r="BF655" s="81">
        <f t="shared" si="261"/>
        <v>9.3924867883288243E-14</v>
      </c>
      <c r="BG655" s="81" t="str">
        <f t="shared" si="262"/>
        <v>BASSO</v>
      </c>
      <c r="BK655" s="81" t="str">
        <f t="shared" si="263"/>
        <v>MOLTO BASSO</v>
      </c>
    </row>
    <row r="656" spans="7:63" x14ac:dyDescent="0.15">
      <c r="G656" s="64">
        <f t="shared" si="240"/>
        <v>0</v>
      </c>
      <c r="I656" s="64">
        <f t="shared" si="241"/>
        <v>0</v>
      </c>
      <c r="K656" s="64">
        <f t="shared" si="242"/>
        <v>0</v>
      </c>
      <c r="M656" s="64">
        <f t="shared" si="243"/>
        <v>0</v>
      </c>
      <c r="O656" s="64">
        <f t="shared" si="244"/>
        <v>0</v>
      </c>
      <c r="Q656" s="64">
        <f t="shared" si="245"/>
        <v>0</v>
      </c>
      <c r="S656" s="71">
        <f t="shared" si="246"/>
        <v>0</v>
      </c>
      <c r="U656" s="64">
        <f t="shared" si="247"/>
        <v>0</v>
      </c>
      <c r="W656" s="71">
        <f t="shared" si="248"/>
        <v>0</v>
      </c>
      <c r="Y656" s="71">
        <f t="shared" si="249"/>
        <v>0</v>
      </c>
      <c r="AA656" s="71">
        <f t="shared" si="250"/>
        <v>0</v>
      </c>
      <c r="AC656" s="71">
        <f t="shared" si="251"/>
        <v>0</v>
      </c>
      <c r="AK656" s="71">
        <f t="shared" si="252"/>
        <v>0</v>
      </c>
      <c r="AM656" s="71">
        <f t="shared" si="253"/>
        <v>0</v>
      </c>
      <c r="AO656" s="71">
        <f t="shared" si="254"/>
        <v>0</v>
      </c>
      <c r="AQ656" s="71">
        <f t="shared" si="255"/>
        <v>0</v>
      </c>
      <c r="AT656" s="71">
        <f t="shared" si="256"/>
        <v>0</v>
      </c>
      <c r="AV656" s="71">
        <f t="shared" si="257"/>
        <v>0</v>
      </c>
      <c r="AX656" s="71">
        <f t="shared" si="258"/>
        <v>0</v>
      </c>
      <c r="AZ656" s="71">
        <f t="shared" si="259"/>
        <v>0</v>
      </c>
      <c r="BE656" s="102">
        <f t="shared" si="260"/>
        <v>4.4721359549995796</v>
      </c>
      <c r="BF656" s="81">
        <f t="shared" si="261"/>
        <v>9.3924867883288243E-14</v>
      </c>
      <c r="BG656" s="81" t="str">
        <f t="shared" si="262"/>
        <v>BASSO</v>
      </c>
      <c r="BK656" s="81" t="str">
        <f t="shared" si="263"/>
        <v>MOLTO BASSO</v>
      </c>
    </row>
    <row r="657" spans="7:63" x14ac:dyDescent="0.15">
      <c r="G657" s="64">
        <f t="shared" si="240"/>
        <v>0</v>
      </c>
      <c r="I657" s="64">
        <f t="shared" si="241"/>
        <v>0</v>
      </c>
      <c r="K657" s="64">
        <f t="shared" si="242"/>
        <v>0</v>
      </c>
      <c r="M657" s="64">
        <f t="shared" si="243"/>
        <v>0</v>
      </c>
      <c r="O657" s="64">
        <f t="shared" si="244"/>
        <v>0</v>
      </c>
      <c r="Q657" s="64">
        <f t="shared" si="245"/>
        <v>0</v>
      </c>
      <c r="S657" s="71">
        <f t="shared" si="246"/>
        <v>0</v>
      </c>
      <c r="U657" s="64">
        <f t="shared" si="247"/>
        <v>0</v>
      </c>
      <c r="W657" s="71">
        <f t="shared" si="248"/>
        <v>0</v>
      </c>
      <c r="Y657" s="71">
        <f t="shared" si="249"/>
        <v>0</v>
      </c>
      <c r="AA657" s="71">
        <f t="shared" si="250"/>
        <v>0</v>
      </c>
      <c r="AC657" s="71">
        <f t="shared" si="251"/>
        <v>0</v>
      </c>
      <c r="AK657" s="71">
        <f t="shared" si="252"/>
        <v>0</v>
      </c>
      <c r="AM657" s="71">
        <f t="shared" si="253"/>
        <v>0</v>
      </c>
      <c r="AO657" s="71">
        <f t="shared" si="254"/>
        <v>0</v>
      </c>
      <c r="AQ657" s="71">
        <f t="shared" si="255"/>
        <v>0</v>
      </c>
      <c r="AT657" s="71">
        <f t="shared" si="256"/>
        <v>0</v>
      </c>
      <c r="AV657" s="71">
        <f t="shared" si="257"/>
        <v>0</v>
      </c>
      <c r="AX657" s="71">
        <f t="shared" si="258"/>
        <v>0</v>
      </c>
      <c r="AZ657" s="71">
        <f t="shared" si="259"/>
        <v>0</v>
      </c>
      <c r="BE657" s="102">
        <f t="shared" si="260"/>
        <v>4.4721359549995796</v>
      </c>
      <c r="BF657" s="81">
        <f t="shared" si="261"/>
        <v>9.3924867883288243E-14</v>
      </c>
      <c r="BG657" s="81" t="str">
        <f t="shared" si="262"/>
        <v>BASSO</v>
      </c>
      <c r="BK657" s="81" t="str">
        <f t="shared" si="263"/>
        <v>MOLTO BASSO</v>
      </c>
    </row>
    <row r="658" spans="7:63" x14ac:dyDescent="0.15">
      <c r="G658" s="64">
        <f t="shared" si="240"/>
        <v>0</v>
      </c>
      <c r="I658" s="64">
        <f t="shared" si="241"/>
        <v>0</v>
      </c>
      <c r="K658" s="64">
        <f t="shared" si="242"/>
        <v>0</v>
      </c>
      <c r="M658" s="64">
        <f t="shared" si="243"/>
        <v>0</v>
      </c>
      <c r="O658" s="64">
        <f t="shared" si="244"/>
        <v>0</v>
      </c>
      <c r="Q658" s="64">
        <f t="shared" si="245"/>
        <v>0</v>
      </c>
      <c r="S658" s="71">
        <f t="shared" si="246"/>
        <v>0</v>
      </c>
      <c r="U658" s="64">
        <f t="shared" si="247"/>
        <v>0</v>
      </c>
      <c r="W658" s="71">
        <f t="shared" si="248"/>
        <v>0</v>
      </c>
      <c r="Y658" s="71">
        <f t="shared" si="249"/>
        <v>0</v>
      </c>
      <c r="AA658" s="71">
        <f t="shared" si="250"/>
        <v>0</v>
      </c>
      <c r="AC658" s="71">
        <f t="shared" si="251"/>
        <v>0</v>
      </c>
      <c r="AK658" s="71">
        <f t="shared" si="252"/>
        <v>0</v>
      </c>
      <c r="AM658" s="71">
        <f t="shared" si="253"/>
        <v>0</v>
      </c>
      <c r="AO658" s="71">
        <f t="shared" si="254"/>
        <v>0</v>
      </c>
      <c r="AQ658" s="71">
        <f t="shared" si="255"/>
        <v>0</v>
      </c>
      <c r="AT658" s="71">
        <f t="shared" si="256"/>
        <v>0</v>
      </c>
      <c r="AV658" s="71">
        <f t="shared" si="257"/>
        <v>0</v>
      </c>
      <c r="AX658" s="71">
        <f t="shared" si="258"/>
        <v>0</v>
      </c>
      <c r="AZ658" s="71">
        <f t="shared" si="259"/>
        <v>0</v>
      </c>
      <c r="BE658" s="102">
        <f t="shared" si="260"/>
        <v>4.4721359549995796</v>
      </c>
      <c r="BF658" s="81">
        <f t="shared" si="261"/>
        <v>9.3924867883288243E-14</v>
      </c>
      <c r="BG658" s="81" t="str">
        <f t="shared" si="262"/>
        <v>BASSO</v>
      </c>
      <c r="BK658" s="81" t="str">
        <f t="shared" si="263"/>
        <v>MOLTO BASSO</v>
      </c>
    </row>
    <row r="659" spans="7:63" x14ac:dyDescent="0.15">
      <c r="G659" s="64">
        <f t="shared" si="240"/>
        <v>0</v>
      </c>
      <c r="I659" s="64">
        <f t="shared" si="241"/>
        <v>0</v>
      </c>
      <c r="K659" s="64">
        <f t="shared" si="242"/>
        <v>0</v>
      </c>
      <c r="M659" s="64">
        <f t="shared" si="243"/>
        <v>0</v>
      </c>
      <c r="O659" s="64">
        <f t="shared" si="244"/>
        <v>0</v>
      </c>
      <c r="Q659" s="64">
        <f t="shared" si="245"/>
        <v>0</v>
      </c>
      <c r="S659" s="71">
        <f t="shared" si="246"/>
        <v>0</v>
      </c>
      <c r="U659" s="64">
        <f t="shared" si="247"/>
        <v>0</v>
      </c>
      <c r="W659" s="71">
        <f t="shared" si="248"/>
        <v>0</v>
      </c>
      <c r="Y659" s="71">
        <f t="shared" si="249"/>
        <v>0</v>
      </c>
      <c r="AA659" s="71">
        <f t="shared" si="250"/>
        <v>0</v>
      </c>
      <c r="AC659" s="71">
        <f t="shared" si="251"/>
        <v>0</v>
      </c>
      <c r="AK659" s="71">
        <f t="shared" si="252"/>
        <v>0</v>
      </c>
      <c r="AM659" s="71">
        <f t="shared" si="253"/>
        <v>0</v>
      </c>
      <c r="AO659" s="71">
        <f t="shared" si="254"/>
        <v>0</v>
      </c>
      <c r="AQ659" s="71">
        <f t="shared" si="255"/>
        <v>0</v>
      </c>
      <c r="AT659" s="71">
        <f t="shared" si="256"/>
        <v>0</v>
      </c>
      <c r="AV659" s="71">
        <f t="shared" si="257"/>
        <v>0</v>
      </c>
      <c r="AX659" s="71">
        <f t="shared" si="258"/>
        <v>0</v>
      </c>
      <c r="AZ659" s="71">
        <f t="shared" si="259"/>
        <v>0</v>
      </c>
      <c r="BE659" s="102">
        <f t="shared" si="260"/>
        <v>4.4721359549995796</v>
      </c>
      <c r="BF659" s="81">
        <f t="shared" si="261"/>
        <v>9.3924867883288243E-14</v>
      </c>
      <c r="BG659" s="81" t="str">
        <f t="shared" si="262"/>
        <v>BASSO</v>
      </c>
      <c r="BK659" s="81" t="str">
        <f t="shared" si="263"/>
        <v>MOLTO BASSO</v>
      </c>
    </row>
    <row r="660" spans="7:63" x14ac:dyDescent="0.15">
      <c r="G660" s="64">
        <f t="shared" si="240"/>
        <v>0</v>
      </c>
      <c r="I660" s="64">
        <f t="shared" si="241"/>
        <v>0</v>
      </c>
      <c r="K660" s="64">
        <f t="shared" si="242"/>
        <v>0</v>
      </c>
      <c r="M660" s="64">
        <f t="shared" si="243"/>
        <v>0</v>
      </c>
      <c r="O660" s="64">
        <f t="shared" si="244"/>
        <v>0</v>
      </c>
      <c r="Q660" s="64">
        <f t="shared" si="245"/>
        <v>0</v>
      </c>
      <c r="S660" s="71">
        <f t="shared" si="246"/>
        <v>0</v>
      </c>
      <c r="U660" s="64">
        <f t="shared" si="247"/>
        <v>0</v>
      </c>
      <c r="W660" s="71">
        <f t="shared" si="248"/>
        <v>0</v>
      </c>
      <c r="Y660" s="71">
        <f t="shared" si="249"/>
        <v>0</v>
      </c>
      <c r="AA660" s="71">
        <f t="shared" si="250"/>
        <v>0</v>
      </c>
      <c r="AC660" s="71">
        <f t="shared" si="251"/>
        <v>0</v>
      </c>
      <c r="AK660" s="71">
        <f t="shared" si="252"/>
        <v>0</v>
      </c>
      <c r="AM660" s="71">
        <f t="shared" si="253"/>
        <v>0</v>
      </c>
      <c r="AO660" s="71">
        <f t="shared" si="254"/>
        <v>0</v>
      </c>
      <c r="AQ660" s="71">
        <f t="shared" si="255"/>
        <v>0</v>
      </c>
      <c r="AT660" s="71">
        <f t="shared" si="256"/>
        <v>0</v>
      </c>
      <c r="AV660" s="71">
        <f t="shared" si="257"/>
        <v>0</v>
      </c>
      <c r="AX660" s="71">
        <f t="shared" si="258"/>
        <v>0</v>
      </c>
      <c r="AZ660" s="71">
        <f t="shared" si="259"/>
        <v>0</v>
      </c>
      <c r="BE660" s="102">
        <f t="shared" si="260"/>
        <v>4.4721359549995796</v>
      </c>
      <c r="BF660" s="81">
        <f t="shared" si="261"/>
        <v>9.3924867883288243E-14</v>
      </c>
      <c r="BG660" s="81" t="str">
        <f t="shared" si="262"/>
        <v>BASSO</v>
      </c>
      <c r="BK660" s="81" t="str">
        <f t="shared" si="263"/>
        <v>MOLTO BASSO</v>
      </c>
    </row>
    <row r="661" spans="7:63" x14ac:dyDescent="0.15">
      <c r="G661" s="64">
        <f t="shared" si="240"/>
        <v>0</v>
      </c>
      <c r="I661" s="64">
        <f t="shared" si="241"/>
        <v>0</v>
      </c>
      <c r="K661" s="64">
        <f t="shared" si="242"/>
        <v>0</v>
      </c>
      <c r="M661" s="64">
        <f t="shared" si="243"/>
        <v>0</v>
      </c>
      <c r="O661" s="64">
        <f t="shared" si="244"/>
        <v>0</v>
      </c>
      <c r="Q661" s="64">
        <f t="shared" si="245"/>
        <v>0</v>
      </c>
      <c r="S661" s="71">
        <f t="shared" si="246"/>
        <v>0</v>
      </c>
      <c r="U661" s="64">
        <f t="shared" si="247"/>
        <v>0</v>
      </c>
      <c r="W661" s="71">
        <f t="shared" si="248"/>
        <v>0</v>
      </c>
      <c r="Y661" s="71">
        <f t="shared" si="249"/>
        <v>0</v>
      </c>
      <c r="AA661" s="71">
        <f t="shared" si="250"/>
        <v>0</v>
      </c>
      <c r="AC661" s="71">
        <f t="shared" si="251"/>
        <v>0</v>
      </c>
      <c r="AK661" s="71">
        <f t="shared" si="252"/>
        <v>0</v>
      </c>
      <c r="AM661" s="71">
        <f t="shared" si="253"/>
        <v>0</v>
      </c>
      <c r="AO661" s="71">
        <f t="shared" si="254"/>
        <v>0</v>
      </c>
      <c r="AQ661" s="71">
        <f t="shared" si="255"/>
        <v>0</v>
      </c>
      <c r="AT661" s="71">
        <f t="shared" si="256"/>
        <v>0</v>
      </c>
      <c r="AV661" s="71">
        <f t="shared" si="257"/>
        <v>0</v>
      </c>
      <c r="AX661" s="71">
        <f t="shared" si="258"/>
        <v>0</v>
      </c>
      <c r="AZ661" s="71">
        <f t="shared" si="259"/>
        <v>0</v>
      </c>
      <c r="BE661" s="102">
        <f t="shared" si="260"/>
        <v>4.4721359549995796</v>
      </c>
      <c r="BF661" s="81">
        <f t="shared" si="261"/>
        <v>9.3924867883288243E-14</v>
      </c>
      <c r="BG661" s="81" t="str">
        <f t="shared" si="262"/>
        <v>BASSO</v>
      </c>
      <c r="BK661" s="81" t="str">
        <f t="shared" si="263"/>
        <v>MOLTO BASSO</v>
      </c>
    </row>
    <row r="662" spans="7:63" x14ac:dyDescent="0.15">
      <c r="G662" s="64">
        <f t="shared" si="240"/>
        <v>0</v>
      </c>
      <c r="I662" s="64">
        <f t="shared" si="241"/>
        <v>0</v>
      </c>
      <c r="K662" s="64">
        <f t="shared" si="242"/>
        <v>0</v>
      </c>
      <c r="M662" s="64">
        <f t="shared" si="243"/>
        <v>0</v>
      </c>
      <c r="O662" s="64">
        <f t="shared" si="244"/>
        <v>0</v>
      </c>
      <c r="Q662" s="64">
        <f t="shared" si="245"/>
        <v>0</v>
      </c>
      <c r="S662" s="71">
        <f t="shared" si="246"/>
        <v>0</v>
      </c>
      <c r="U662" s="64">
        <f t="shared" si="247"/>
        <v>0</v>
      </c>
      <c r="W662" s="71">
        <f t="shared" si="248"/>
        <v>0</v>
      </c>
      <c r="Y662" s="71">
        <f t="shared" si="249"/>
        <v>0</v>
      </c>
      <c r="AA662" s="71">
        <f t="shared" si="250"/>
        <v>0</v>
      </c>
      <c r="AC662" s="71">
        <f t="shared" si="251"/>
        <v>0</v>
      </c>
      <c r="AK662" s="71">
        <f t="shared" si="252"/>
        <v>0</v>
      </c>
      <c r="AM662" s="71">
        <f t="shared" si="253"/>
        <v>0</v>
      </c>
      <c r="AO662" s="71">
        <f t="shared" si="254"/>
        <v>0</v>
      </c>
      <c r="AQ662" s="71">
        <f t="shared" si="255"/>
        <v>0</v>
      </c>
      <c r="AT662" s="71">
        <f t="shared" si="256"/>
        <v>0</v>
      </c>
      <c r="AV662" s="71">
        <f t="shared" si="257"/>
        <v>0</v>
      </c>
      <c r="AX662" s="71">
        <f t="shared" si="258"/>
        <v>0</v>
      </c>
      <c r="AZ662" s="71">
        <f t="shared" si="259"/>
        <v>0</v>
      </c>
      <c r="BE662" s="102">
        <f t="shared" si="260"/>
        <v>4.4721359549995796</v>
      </c>
      <c r="BF662" s="81">
        <f t="shared" si="261"/>
        <v>9.3924867883288243E-14</v>
      </c>
      <c r="BG662" s="81" t="str">
        <f t="shared" si="262"/>
        <v>BASSO</v>
      </c>
      <c r="BK662" s="81" t="str">
        <f t="shared" si="263"/>
        <v>MOLTO BASSO</v>
      </c>
    </row>
    <row r="663" spans="7:63" x14ac:dyDescent="0.15">
      <c r="G663" s="64">
        <f t="shared" si="240"/>
        <v>0</v>
      </c>
      <c r="I663" s="64">
        <f t="shared" si="241"/>
        <v>0</v>
      </c>
      <c r="K663" s="64">
        <f t="shared" si="242"/>
        <v>0</v>
      </c>
      <c r="M663" s="64">
        <f t="shared" si="243"/>
        <v>0</v>
      </c>
      <c r="O663" s="64">
        <f t="shared" si="244"/>
        <v>0</v>
      </c>
      <c r="Q663" s="64">
        <f t="shared" si="245"/>
        <v>0</v>
      </c>
      <c r="S663" s="71">
        <f t="shared" si="246"/>
        <v>0</v>
      </c>
      <c r="U663" s="64">
        <f t="shared" si="247"/>
        <v>0</v>
      </c>
      <c r="W663" s="71">
        <f t="shared" si="248"/>
        <v>0</v>
      </c>
      <c r="Y663" s="71">
        <f t="shared" si="249"/>
        <v>0</v>
      </c>
      <c r="AA663" s="71">
        <f t="shared" si="250"/>
        <v>0</v>
      </c>
      <c r="AC663" s="71">
        <f t="shared" si="251"/>
        <v>0</v>
      </c>
      <c r="AK663" s="71">
        <f t="shared" si="252"/>
        <v>0</v>
      </c>
      <c r="AM663" s="71">
        <f t="shared" si="253"/>
        <v>0</v>
      </c>
      <c r="AO663" s="71">
        <f t="shared" si="254"/>
        <v>0</v>
      </c>
      <c r="AQ663" s="71">
        <f t="shared" si="255"/>
        <v>0</v>
      </c>
      <c r="AT663" s="71">
        <f t="shared" si="256"/>
        <v>0</v>
      </c>
      <c r="AV663" s="71">
        <f t="shared" si="257"/>
        <v>0</v>
      </c>
      <c r="AX663" s="71">
        <f t="shared" si="258"/>
        <v>0</v>
      </c>
      <c r="AZ663" s="71">
        <f t="shared" si="259"/>
        <v>0</v>
      </c>
      <c r="BE663" s="102">
        <f t="shared" si="260"/>
        <v>4.4721359549995796</v>
      </c>
      <c r="BF663" s="81">
        <f t="shared" si="261"/>
        <v>9.3924867883288243E-14</v>
      </c>
      <c r="BG663" s="81" t="str">
        <f t="shared" si="262"/>
        <v>BASSO</v>
      </c>
      <c r="BK663" s="81" t="str">
        <f t="shared" si="263"/>
        <v>MOLTO BASSO</v>
      </c>
    </row>
    <row r="664" spans="7:63" x14ac:dyDescent="0.15">
      <c r="G664" s="64">
        <f t="shared" si="240"/>
        <v>0</v>
      </c>
      <c r="I664" s="64">
        <f t="shared" si="241"/>
        <v>0</v>
      </c>
      <c r="K664" s="64">
        <f t="shared" si="242"/>
        <v>0</v>
      </c>
      <c r="M664" s="64">
        <f t="shared" si="243"/>
        <v>0</v>
      </c>
      <c r="O664" s="64">
        <f t="shared" si="244"/>
        <v>0</v>
      </c>
      <c r="Q664" s="64">
        <f t="shared" si="245"/>
        <v>0</v>
      </c>
      <c r="S664" s="71">
        <f t="shared" si="246"/>
        <v>0</v>
      </c>
      <c r="U664" s="64">
        <f t="shared" si="247"/>
        <v>0</v>
      </c>
      <c r="W664" s="71">
        <f t="shared" si="248"/>
        <v>0</v>
      </c>
      <c r="Y664" s="71">
        <f t="shared" si="249"/>
        <v>0</v>
      </c>
      <c r="AA664" s="71">
        <f t="shared" si="250"/>
        <v>0</v>
      </c>
      <c r="AC664" s="71">
        <f t="shared" si="251"/>
        <v>0</v>
      </c>
      <c r="AK664" s="71">
        <f t="shared" si="252"/>
        <v>0</v>
      </c>
      <c r="AM664" s="71">
        <f t="shared" si="253"/>
        <v>0</v>
      </c>
      <c r="AO664" s="71">
        <f t="shared" si="254"/>
        <v>0</v>
      </c>
      <c r="AQ664" s="71">
        <f t="shared" si="255"/>
        <v>0</v>
      </c>
      <c r="AT664" s="71">
        <f t="shared" si="256"/>
        <v>0</v>
      </c>
      <c r="AV664" s="71">
        <f t="shared" si="257"/>
        <v>0</v>
      </c>
      <c r="AX664" s="71">
        <f t="shared" si="258"/>
        <v>0</v>
      </c>
      <c r="AZ664" s="71">
        <f t="shared" si="259"/>
        <v>0</v>
      </c>
      <c r="BE664" s="102">
        <f t="shared" si="260"/>
        <v>4.4721359549995796</v>
      </c>
      <c r="BF664" s="81">
        <f t="shared" si="261"/>
        <v>9.3924867883288243E-14</v>
      </c>
      <c r="BG664" s="81" t="str">
        <f t="shared" si="262"/>
        <v>BASSO</v>
      </c>
      <c r="BK664" s="81" t="str">
        <f t="shared" si="263"/>
        <v>MOLTO BASSO</v>
      </c>
    </row>
    <row r="665" spans="7:63" x14ac:dyDescent="0.15">
      <c r="G665" s="64">
        <f t="shared" si="240"/>
        <v>0</v>
      </c>
      <c r="I665" s="64">
        <f t="shared" si="241"/>
        <v>0</v>
      </c>
      <c r="K665" s="64">
        <f t="shared" si="242"/>
        <v>0</v>
      </c>
      <c r="M665" s="64">
        <f t="shared" si="243"/>
        <v>0</v>
      </c>
      <c r="O665" s="64">
        <f t="shared" si="244"/>
        <v>0</v>
      </c>
      <c r="Q665" s="64">
        <f t="shared" si="245"/>
        <v>0</v>
      </c>
      <c r="S665" s="71">
        <f t="shared" si="246"/>
        <v>0</v>
      </c>
      <c r="U665" s="64">
        <f t="shared" si="247"/>
        <v>0</v>
      </c>
      <c r="W665" s="71">
        <f t="shared" si="248"/>
        <v>0</v>
      </c>
      <c r="Y665" s="71">
        <f t="shared" si="249"/>
        <v>0</v>
      </c>
      <c r="AA665" s="71">
        <f t="shared" si="250"/>
        <v>0</v>
      </c>
      <c r="AC665" s="71">
        <f t="shared" si="251"/>
        <v>0</v>
      </c>
      <c r="AK665" s="71">
        <f t="shared" si="252"/>
        <v>0</v>
      </c>
      <c r="AM665" s="71">
        <f t="shared" si="253"/>
        <v>0</v>
      </c>
      <c r="AO665" s="71">
        <f t="shared" si="254"/>
        <v>0</v>
      </c>
      <c r="AQ665" s="71">
        <f t="shared" si="255"/>
        <v>0</v>
      </c>
      <c r="AT665" s="71">
        <f t="shared" si="256"/>
        <v>0</v>
      </c>
      <c r="AV665" s="71">
        <f t="shared" si="257"/>
        <v>0</v>
      </c>
      <c r="AX665" s="71">
        <f t="shared" si="258"/>
        <v>0</v>
      </c>
      <c r="AZ665" s="71">
        <f t="shared" si="259"/>
        <v>0</v>
      </c>
      <c r="BE665" s="102">
        <f t="shared" si="260"/>
        <v>4.4721359549995796</v>
      </c>
      <c r="BF665" s="81">
        <f t="shared" si="261"/>
        <v>9.3924867883288243E-14</v>
      </c>
      <c r="BG665" s="81" t="str">
        <f t="shared" si="262"/>
        <v>BASSO</v>
      </c>
      <c r="BK665" s="81" t="str">
        <f t="shared" si="263"/>
        <v>MOLTO BASSO</v>
      </c>
    </row>
    <row r="666" spans="7:63" x14ac:dyDescent="0.15">
      <c r="G666" s="64">
        <f t="shared" si="240"/>
        <v>0</v>
      </c>
      <c r="I666" s="64">
        <f t="shared" si="241"/>
        <v>0</v>
      </c>
      <c r="K666" s="64">
        <f t="shared" si="242"/>
        <v>0</v>
      </c>
      <c r="M666" s="64">
        <f t="shared" si="243"/>
        <v>0</v>
      </c>
      <c r="O666" s="64">
        <f t="shared" si="244"/>
        <v>0</v>
      </c>
      <c r="Q666" s="64">
        <f t="shared" si="245"/>
        <v>0</v>
      </c>
      <c r="S666" s="71">
        <f t="shared" si="246"/>
        <v>0</v>
      </c>
      <c r="U666" s="64">
        <f t="shared" si="247"/>
        <v>0</v>
      </c>
      <c r="W666" s="71">
        <f t="shared" si="248"/>
        <v>0</v>
      </c>
      <c r="Y666" s="71">
        <f t="shared" si="249"/>
        <v>0</v>
      </c>
      <c r="AA666" s="71">
        <f t="shared" si="250"/>
        <v>0</v>
      </c>
      <c r="AC666" s="71">
        <f t="shared" si="251"/>
        <v>0</v>
      </c>
      <c r="AK666" s="71">
        <f t="shared" si="252"/>
        <v>0</v>
      </c>
      <c r="AM666" s="71">
        <f t="shared" si="253"/>
        <v>0</v>
      </c>
      <c r="AO666" s="71">
        <f t="shared" si="254"/>
        <v>0</v>
      </c>
      <c r="AQ666" s="71">
        <f t="shared" si="255"/>
        <v>0</v>
      </c>
      <c r="AT666" s="71">
        <f t="shared" si="256"/>
        <v>0</v>
      </c>
      <c r="AV666" s="71">
        <f t="shared" si="257"/>
        <v>0</v>
      </c>
      <c r="AX666" s="71">
        <f t="shared" si="258"/>
        <v>0</v>
      </c>
      <c r="AZ666" s="71">
        <f t="shared" si="259"/>
        <v>0</v>
      </c>
      <c r="BE666" s="102">
        <f t="shared" si="260"/>
        <v>4.4721359549995796</v>
      </c>
      <c r="BF666" s="81">
        <f t="shared" si="261"/>
        <v>9.3924867883288243E-14</v>
      </c>
      <c r="BG666" s="81" t="str">
        <f t="shared" si="262"/>
        <v>BASSO</v>
      </c>
      <c r="BK666" s="81" t="str">
        <f t="shared" si="263"/>
        <v>MOLTO BASSO</v>
      </c>
    </row>
    <row r="667" spans="7:63" x14ac:dyDescent="0.15">
      <c r="G667" s="64">
        <f t="shared" si="240"/>
        <v>0</v>
      </c>
      <c r="I667" s="64">
        <f t="shared" si="241"/>
        <v>0</v>
      </c>
      <c r="K667" s="64">
        <f t="shared" si="242"/>
        <v>0</v>
      </c>
      <c r="M667" s="64">
        <f t="shared" si="243"/>
        <v>0</v>
      </c>
      <c r="O667" s="64">
        <f t="shared" si="244"/>
        <v>0</v>
      </c>
      <c r="Q667" s="64">
        <f t="shared" si="245"/>
        <v>0</v>
      </c>
      <c r="S667" s="71">
        <f t="shared" si="246"/>
        <v>0</v>
      </c>
      <c r="U667" s="64">
        <f t="shared" si="247"/>
        <v>0</v>
      </c>
      <c r="W667" s="71">
        <f t="shared" si="248"/>
        <v>0</v>
      </c>
      <c r="Y667" s="71">
        <f t="shared" si="249"/>
        <v>0</v>
      </c>
      <c r="AA667" s="71">
        <f t="shared" si="250"/>
        <v>0</v>
      </c>
      <c r="AC667" s="71">
        <f t="shared" si="251"/>
        <v>0</v>
      </c>
      <c r="AK667" s="71">
        <f t="shared" si="252"/>
        <v>0</v>
      </c>
      <c r="AM667" s="71">
        <f t="shared" si="253"/>
        <v>0</v>
      </c>
      <c r="AO667" s="71">
        <f t="shared" si="254"/>
        <v>0</v>
      </c>
      <c r="AQ667" s="71">
        <f t="shared" si="255"/>
        <v>0</v>
      </c>
      <c r="AT667" s="71">
        <f t="shared" si="256"/>
        <v>0</v>
      </c>
      <c r="AV667" s="71">
        <f t="shared" si="257"/>
        <v>0</v>
      </c>
      <c r="AX667" s="71">
        <f t="shared" si="258"/>
        <v>0</v>
      </c>
      <c r="AZ667" s="71">
        <f t="shared" si="259"/>
        <v>0</v>
      </c>
      <c r="BE667" s="102">
        <f t="shared" si="260"/>
        <v>4.4721359549995796</v>
      </c>
      <c r="BF667" s="81">
        <f t="shared" si="261"/>
        <v>9.3924867883288243E-14</v>
      </c>
      <c r="BG667" s="81" t="str">
        <f t="shared" si="262"/>
        <v>BASSO</v>
      </c>
      <c r="BK667" s="81" t="str">
        <f t="shared" si="263"/>
        <v>MOLTO BASSO</v>
      </c>
    </row>
    <row r="668" spans="7:63" x14ac:dyDescent="0.15">
      <c r="G668" s="64">
        <f t="shared" si="240"/>
        <v>0</v>
      </c>
      <c r="I668" s="64">
        <f t="shared" si="241"/>
        <v>0</v>
      </c>
      <c r="K668" s="64">
        <f t="shared" si="242"/>
        <v>0</v>
      </c>
      <c r="M668" s="64">
        <f t="shared" si="243"/>
        <v>0</v>
      </c>
      <c r="O668" s="64">
        <f t="shared" si="244"/>
        <v>0</v>
      </c>
      <c r="Q668" s="64">
        <f t="shared" si="245"/>
        <v>0</v>
      </c>
      <c r="S668" s="71">
        <f t="shared" si="246"/>
        <v>0</v>
      </c>
      <c r="U668" s="64">
        <f t="shared" si="247"/>
        <v>0</v>
      </c>
      <c r="W668" s="71">
        <f t="shared" si="248"/>
        <v>0</v>
      </c>
      <c r="Y668" s="71">
        <f t="shared" si="249"/>
        <v>0</v>
      </c>
      <c r="AA668" s="71">
        <f t="shared" si="250"/>
        <v>0</v>
      </c>
      <c r="AC668" s="71">
        <f t="shared" si="251"/>
        <v>0</v>
      </c>
      <c r="AK668" s="71">
        <f t="shared" si="252"/>
        <v>0</v>
      </c>
      <c r="AM668" s="71">
        <f t="shared" si="253"/>
        <v>0</v>
      </c>
      <c r="AO668" s="71">
        <f t="shared" si="254"/>
        <v>0</v>
      </c>
      <c r="AQ668" s="71">
        <f t="shared" si="255"/>
        <v>0</v>
      </c>
      <c r="AT668" s="71">
        <f t="shared" si="256"/>
        <v>0</v>
      </c>
      <c r="AV668" s="71">
        <f t="shared" si="257"/>
        <v>0</v>
      </c>
      <c r="AX668" s="71">
        <f t="shared" si="258"/>
        <v>0</v>
      </c>
      <c r="AZ668" s="71">
        <f t="shared" si="259"/>
        <v>0</v>
      </c>
      <c r="BE668" s="102">
        <f t="shared" si="260"/>
        <v>4.4721359549995796</v>
      </c>
      <c r="BF668" s="81">
        <f t="shared" si="261"/>
        <v>9.3924867883288243E-14</v>
      </c>
      <c r="BG668" s="81" t="str">
        <f t="shared" si="262"/>
        <v>BASSO</v>
      </c>
      <c r="BK668" s="81" t="str">
        <f t="shared" si="263"/>
        <v>MOLTO BASSO</v>
      </c>
    </row>
    <row r="669" spans="7:63" x14ac:dyDescent="0.15">
      <c r="G669" s="64">
        <f t="shared" si="240"/>
        <v>0</v>
      </c>
      <c r="I669" s="64">
        <f t="shared" si="241"/>
        <v>0</v>
      </c>
      <c r="K669" s="64">
        <f t="shared" si="242"/>
        <v>0</v>
      </c>
      <c r="M669" s="64">
        <f t="shared" si="243"/>
        <v>0</v>
      </c>
      <c r="O669" s="64">
        <f t="shared" si="244"/>
        <v>0</v>
      </c>
      <c r="Q669" s="64">
        <f t="shared" si="245"/>
        <v>0</v>
      </c>
      <c r="S669" s="71">
        <f t="shared" si="246"/>
        <v>0</v>
      </c>
      <c r="U669" s="64">
        <f t="shared" si="247"/>
        <v>0</v>
      </c>
      <c r="W669" s="71">
        <f t="shared" si="248"/>
        <v>0</v>
      </c>
      <c r="Y669" s="71">
        <f t="shared" si="249"/>
        <v>0</v>
      </c>
      <c r="AA669" s="71">
        <f t="shared" si="250"/>
        <v>0</v>
      </c>
      <c r="AC669" s="71">
        <f t="shared" si="251"/>
        <v>0</v>
      </c>
      <c r="AK669" s="71">
        <f t="shared" si="252"/>
        <v>0</v>
      </c>
      <c r="AM669" s="71">
        <f t="shared" si="253"/>
        <v>0</v>
      </c>
      <c r="AO669" s="71">
        <f t="shared" si="254"/>
        <v>0</v>
      </c>
      <c r="AQ669" s="71">
        <f t="shared" si="255"/>
        <v>0</v>
      </c>
      <c r="AT669" s="71">
        <f t="shared" si="256"/>
        <v>0</v>
      </c>
      <c r="AV669" s="71">
        <f t="shared" si="257"/>
        <v>0</v>
      </c>
      <c r="AX669" s="71">
        <f t="shared" si="258"/>
        <v>0</v>
      </c>
      <c r="AZ669" s="71">
        <f t="shared" si="259"/>
        <v>0</v>
      </c>
      <c r="BE669" s="102">
        <f t="shared" si="260"/>
        <v>4.4721359549995796</v>
      </c>
      <c r="BF669" s="81">
        <f t="shared" si="261"/>
        <v>9.3924867883288243E-14</v>
      </c>
      <c r="BG669" s="81" t="str">
        <f t="shared" si="262"/>
        <v>BASSO</v>
      </c>
      <c r="BK669" s="81" t="str">
        <f t="shared" si="263"/>
        <v>MOLTO BASSO</v>
      </c>
    </row>
    <row r="670" spans="7:63" x14ac:dyDescent="0.15">
      <c r="G670" s="64">
        <f t="shared" si="240"/>
        <v>0</v>
      </c>
      <c r="I670" s="64">
        <f t="shared" si="241"/>
        <v>0</v>
      </c>
      <c r="K670" s="64">
        <f t="shared" si="242"/>
        <v>0</v>
      </c>
      <c r="M670" s="64">
        <f t="shared" si="243"/>
        <v>0</v>
      </c>
      <c r="O670" s="64">
        <f t="shared" si="244"/>
        <v>0</v>
      </c>
      <c r="Q670" s="64">
        <f t="shared" si="245"/>
        <v>0</v>
      </c>
      <c r="S670" s="71">
        <f t="shared" si="246"/>
        <v>0</v>
      </c>
      <c r="U670" s="64">
        <f t="shared" si="247"/>
        <v>0</v>
      </c>
      <c r="W670" s="71">
        <f t="shared" si="248"/>
        <v>0</v>
      </c>
      <c r="Y670" s="71">
        <f t="shared" si="249"/>
        <v>0</v>
      </c>
      <c r="AA670" s="71">
        <f t="shared" si="250"/>
        <v>0</v>
      </c>
      <c r="AC670" s="71">
        <f t="shared" si="251"/>
        <v>0</v>
      </c>
      <c r="AK670" s="71">
        <f t="shared" si="252"/>
        <v>0</v>
      </c>
      <c r="AM670" s="71">
        <f t="shared" si="253"/>
        <v>0</v>
      </c>
      <c r="AO670" s="71">
        <f t="shared" si="254"/>
        <v>0</v>
      </c>
      <c r="AQ670" s="71">
        <f t="shared" si="255"/>
        <v>0</v>
      </c>
      <c r="AT670" s="71">
        <f t="shared" si="256"/>
        <v>0</v>
      </c>
      <c r="AV670" s="71">
        <f t="shared" si="257"/>
        <v>0</v>
      </c>
      <c r="AX670" s="71">
        <f t="shared" si="258"/>
        <v>0</v>
      </c>
      <c r="AZ670" s="71">
        <f t="shared" si="259"/>
        <v>0</v>
      </c>
      <c r="BE670" s="102">
        <f t="shared" si="260"/>
        <v>4.4721359549995796</v>
      </c>
      <c r="BF670" s="81">
        <f t="shared" si="261"/>
        <v>9.3924867883288243E-14</v>
      </c>
      <c r="BG670" s="81" t="str">
        <f t="shared" si="262"/>
        <v>BASSO</v>
      </c>
      <c r="BK670" s="81" t="str">
        <f t="shared" si="263"/>
        <v>MOLTO BASSO</v>
      </c>
    </row>
    <row r="671" spans="7:63" x14ac:dyDescent="0.15">
      <c r="G671" s="64">
        <f t="shared" si="240"/>
        <v>0</v>
      </c>
      <c r="I671" s="64">
        <f t="shared" si="241"/>
        <v>0</v>
      </c>
      <c r="K671" s="64">
        <f t="shared" si="242"/>
        <v>0</v>
      </c>
      <c r="M671" s="64">
        <f t="shared" si="243"/>
        <v>0</v>
      </c>
      <c r="O671" s="64">
        <f t="shared" si="244"/>
        <v>0</v>
      </c>
      <c r="Q671" s="64">
        <f t="shared" si="245"/>
        <v>0</v>
      </c>
      <c r="S671" s="71">
        <f t="shared" si="246"/>
        <v>0</v>
      </c>
      <c r="U671" s="64">
        <f t="shared" si="247"/>
        <v>0</v>
      </c>
      <c r="W671" s="71">
        <f t="shared" si="248"/>
        <v>0</v>
      </c>
      <c r="Y671" s="71">
        <f t="shared" si="249"/>
        <v>0</v>
      </c>
      <c r="AA671" s="71">
        <f t="shared" si="250"/>
        <v>0</v>
      </c>
      <c r="AC671" s="71">
        <f t="shared" si="251"/>
        <v>0</v>
      </c>
      <c r="AK671" s="71">
        <f t="shared" si="252"/>
        <v>0</v>
      </c>
      <c r="AM671" s="71">
        <f t="shared" si="253"/>
        <v>0</v>
      </c>
      <c r="AO671" s="71">
        <f t="shared" si="254"/>
        <v>0</v>
      </c>
      <c r="AQ671" s="71">
        <f t="shared" si="255"/>
        <v>0</v>
      </c>
      <c r="AT671" s="71">
        <f t="shared" si="256"/>
        <v>0</v>
      </c>
      <c r="AV671" s="71">
        <f t="shared" si="257"/>
        <v>0</v>
      </c>
      <c r="AX671" s="71">
        <f t="shared" si="258"/>
        <v>0</v>
      </c>
      <c r="AZ671" s="71">
        <f t="shared" si="259"/>
        <v>0</v>
      </c>
      <c r="BE671" s="102">
        <f t="shared" si="260"/>
        <v>4.4721359549995796</v>
      </c>
      <c r="BF671" s="81">
        <f t="shared" si="261"/>
        <v>9.3924867883288243E-14</v>
      </c>
      <c r="BG671" s="81" t="str">
        <f t="shared" si="262"/>
        <v>BASSO</v>
      </c>
      <c r="BK671" s="81" t="str">
        <f t="shared" si="263"/>
        <v>MOLTO BASSO</v>
      </c>
    </row>
    <row r="672" spans="7:63" x14ac:dyDescent="0.15">
      <c r="G672" s="64">
        <f t="shared" si="240"/>
        <v>0</v>
      </c>
      <c r="I672" s="64">
        <f t="shared" si="241"/>
        <v>0</v>
      </c>
      <c r="K672" s="64">
        <f t="shared" si="242"/>
        <v>0</v>
      </c>
      <c r="M672" s="64">
        <f t="shared" si="243"/>
        <v>0</v>
      </c>
      <c r="O672" s="64">
        <f t="shared" si="244"/>
        <v>0</v>
      </c>
      <c r="Q672" s="64">
        <f t="shared" si="245"/>
        <v>0</v>
      </c>
      <c r="S672" s="71">
        <f t="shared" si="246"/>
        <v>0</v>
      </c>
      <c r="U672" s="64">
        <f t="shared" si="247"/>
        <v>0</v>
      </c>
      <c r="W672" s="71">
        <f t="shared" si="248"/>
        <v>0</v>
      </c>
      <c r="Y672" s="71">
        <f t="shared" si="249"/>
        <v>0</v>
      </c>
      <c r="AA672" s="71">
        <f t="shared" si="250"/>
        <v>0</v>
      </c>
      <c r="AC672" s="71">
        <f t="shared" si="251"/>
        <v>0</v>
      </c>
      <c r="AK672" s="71">
        <f t="shared" si="252"/>
        <v>0</v>
      </c>
      <c r="AM672" s="71">
        <f t="shared" si="253"/>
        <v>0</v>
      </c>
      <c r="AO672" s="71">
        <f t="shared" si="254"/>
        <v>0</v>
      </c>
      <c r="AQ672" s="71">
        <f t="shared" si="255"/>
        <v>0</v>
      </c>
      <c r="AT672" s="71">
        <f t="shared" si="256"/>
        <v>0</v>
      </c>
      <c r="AV672" s="71">
        <f t="shared" si="257"/>
        <v>0</v>
      </c>
      <c r="AX672" s="71">
        <f t="shared" si="258"/>
        <v>0</v>
      </c>
      <c r="AZ672" s="71">
        <f t="shared" si="259"/>
        <v>0</v>
      </c>
      <c r="BE672" s="102">
        <f t="shared" si="260"/>
        <v>4.4721359549995796</v>
      </c>
      <c r="BF672" s="81">
        <f t="shared" si="261"/>
        <v>9.3924867883288243E-14</v>
      </c>
      <c r="BG672" s="81" t="str">
        <f t="shared" si="262"/>
        <v>BASSO</v>
      </c>
      <c r="BK672" s="81" t="str">
        <f t="shared" si="263"/>
        <v>MOLTO BASSO</v>
      </c>
    </row>
    <row r="673" spans="7:63" x14ac:dyDescent="0.15">
      <c r="G673" s="64">
        <f t="shared" si="240"/>
        <v>0</v>
      </c>
      <c r="I673" s="64">
        <f t="shared" si="241"/>
        <v>0</v>
      </c>
      <c r="K673" s="64">
        <f t="shared" si="242"/>
        <v>0</v>
      </c>
      <c r="M673" s="64">
        <f t="shared" si="243"/>
        <v>0</v>
      </c>
      <c r="O673" s="64">
        <f t="shared" si="244"/>
        <v>0</v>
      </c>
      <c r="Q673" s="64">
        <f t="shared" si="245"/>
        <v>0</v>
      </c>
      <c r="S673" s="71">
        <f t="shared" si="246"/>
        <v>0</v>
      </c>
      <c r="U673" s="64">
        <f t="shared" si="247"/>
        <v>0</v>
      </c>
      <c r="W673" s="71">
        <f t="shared" si="248"/>
        <v>0</v>
      </c>
      <c r="Y673" s="71">
        <f t="shared" si="249"/>
        <v>0</v>
      </c>
      <c r="AA673" s="71">
        <f t="shared" si="250"/>
        <v>0</v>
      </c>
      <c r="AC673" s="71">
        <f t="shared" si="251"/>
        <v>0</v>
      </c>
      <c r="AK673" s="71">
        <f t="shared" si="252"/>
        <v>0</v>
      </c>
      <c r="AM673" s="71">
        <f t="shared" si="253"/>
        <v>0</v>
      </c>
      <c r="AO673" s="71">
        <f t="shared" si="254"/>
        <v>0</v>
      </c>
      <c r="AQ673" s="71">
        <f t="shared" si="255"/>
        <v>0</v>
      </c>
      <c r="AT673" s="71">
        <f t="shared" si="256"/>
        <v>0</v>
      </c>
      <c r="AV673" s="71">
        <f t="shared" si="257"/>
        <v>0</v>
      </c>
      <c r="AX673" s="71">
        <f t="shared" si="258"/>
        <v>0</v>
      </c>
      <c r="AZ673" s="71">
        <f t="shared" si="259"/>
        <v>0</v>
      </c>
      <c r="BE673" s="102">
        <f t="shared" si="260"/>
        <v>4.4721359549995796</v>
      </c>
      <c r="BF673" s="81">
        <f t="shared" si="261"/>
        <v>9.3924867883288243E-14</v>
      </c>
      <c r="BG673" s="81" t="str">
        <f t="shared" si="262"/>
        <v>BASSO</v>
      </c>
      <c r="BK673" s="81" t="str">
        <f t="shared" si="263"/>
        <v>MOLTO BASSO</v>
      </c>
    </row>
    <row r="674" spans="7:63" x14ac:dyDescent="0.15">
      <c r="G674" s="64">
        <f t="shared" si="240"/>
        <v>0</v>
      </c>
      <c r="I674" s="64">
        <f t="shared" si="241"/>
        <v>0</v>
      </c>
      <c r="K674" s="64">
        <f t="shared" si="242"/>
        <v>0</v>
      </c>
      <c r="M674" s="64">
        <f t="shared" si="243"/>
        <v>0</v>
      </c>
      <c r="O674" s="64">
        <f t="shared" si="244"/>
        <v>0</v>
      </c>
      <c r="Q674" s="64">
        <f t="shared" si="245"/>
        <v>0</v>
      </c>
      <c r="S674" s="71">
        <f t="shared" si="246"/>
        <v>0</v>
      </c>
      <c r="U674" s="64">
        <f t="shared" si="247"/>
        <v>0</v>
      </c>
      <c r="W674" s="71">
        <f t="shared" si="248"/>
        <v>0</v>
      </c>
      <c r="Y674" s="71">
        <f t="shared" si="249"/>
        <v>0</v>
      </c>
      <c r="AA674" s="71">
        <f t="shared" si="250"/>
        <v>0</v>
      </c>
      <c r="AC674" s="71">
        <f t="shared" si="251"/>
        <v>0</v>
      </c>
      <c r="AK674" s="71">
        <f t="shared" si="252"/>
        <v>0</v>
      </c>
      <c r="AM674" s="71">
        <f t="shared" si="253"/>
        <v>0</v>
      </c>
      <c r="AO674" s="71">
        <f t="shared" si="254"/>
        <v>0</v>
      </c>
      <c r="AQ674" s="71">
        <f t="shared" si="255"/>
        <v>0</v>
      </c>
      <c r="AT674" s="71">
        <f t="shared" si="256"/>
        <v>0</v>
      </c>
      <c r="AV674" s="71">
        <f t="shared" si="257"/>
        <v>0</v>
      </c>
      <c r="AX674" s="71">
        <f t="shared" si="258"/>
        <v>0</v>
      </c>
      <c r="AZ674" s="71">
        <f t="shared" si="259"/>
        <v>0</v>
      </c>
      <c r="BE674" s="102">
        <f t="shared" si="260"/>
        <v>4.4721359549995796</v>
      </c>
      <c r="BF674" s="81">
        <f t="shared" si="261"/>
        <v>9.3924867883288243E-14</v>
      </c>
      <c r="BG674" s="81" t="str">
        <f t="shared" si="262"/>
        <v>BASSO</v>
      </c>
      <c r="BK674" s="81" t="str">
        <f t="shared" si="263"/>
        <v>MOLTO BASSO</v>
      </c>
    </row>
    <row r="675" spans="7:63" x14ac:dyDescent="0.15">
      <c r="G675" s="64">
        <f t="shared" si="240"/>
        <v>0</v>
      </c>
      <c r="I675" s="64">
        <f t="shared" si="241"/>
        <v>0</v>
      </c>
      <c r="K675" s="64">
        <f t="shared" si="242"/>
        <v>0</v>
      </c>
      <c r="M675" s="64">
        <f t="shared" si="243"/>
        <v>0</v>
      </c>
      <c r="O675" s="64">
        <f t="shared" si="244"/>
        <v>0</v>
      </c>
      <c r="Q675" s="64">
        <f t="shared" si="245"/>
        <v>0</v>
      </c>
      <c r="S675" s="71">
        <f t="shared" si="246"/>
        <v>0</v>
      </c>
      <c r="U675" s="64">
        <f t="shared" si="247"/>
        <v>0</v>
      </c>
      <c r="W675" s="71">
        <f t="shared" si="248"/>
        <v>0</v>
      </c>
      <c r="Y675" s="71">
        <f t="shared" si="249"/>
        <v>0</v>
      </c>
      <c r="AA675" s="71">
        <f t="shared" si="250"/>
        <v>0</v>
      </c>
      <c r="AC675" s="71">
        <f t="shared" si="251"/>
        <v>0</v>
      </c>
      <c r="AK675" s="71">
        <f t="shared" si="252"/>
        <v>0</v>
      </c>
      <c r="AM675" s="71">
        <f t="shared" si="253"/>
        <v>0</v>
      </c>
      <c r="AO675" s="71">
        <f t="shared" si="254"/>
        <v>0</v>
      </c>
      <c r="AQ675" s="71">
        <f t="shared" si="255"/>
        <v>0</v>
      </c>
      <c r="AT675" s="71">
        <f t="shared" si="256"/>
        <v>0</v>
      </c>
      <c r="AV675" s="71">
        <f t="shared" si="257"/>
        <v>0</v>
      </c>
      <c r="AX675" s="71">
        <f t="shared" si="258"/>
        <v>0</v>
      </c>
      <c r="AZ675" s="71">
        <f t="shared" si="259"/>
        <v>0</v>
      </c>
      <c r="BE675" s="102">
        <f t="shared" si="260"/>
        <v>4.4721359549995796</v>
      </c>
      <c r="BF675" s="81">
        <f t="shared" si="261"/>
        <v>9.3924867883288243E-14</v>
      </c>
      <c r="BG675" s="81" t="str">
        <f t="shared" si="262"/>
        <v>BASSO</v>
      </c>
      <c r="BK675" s="81" t="str">
        <f t="shared" si="263"/>
        <v>MOLTO BASSO</v>
      </c>
    </row>
    <row r="676" spans="7:63" x14ac:dyDescent="0.15">
      <c r="G676" s="64">
        <f t="shared" si="240"/>
        <v>0</v>
      </c>
      <c r="I676" s="64">
        <f t="shared" si="241"/>
        <v>0</v>
      </c>
      <c r="K676" s="64">
        <f t="shared" si="242"/>
        <v>0</v>
      </c>
      <c r="M676" s="64">
        <f t="shared" si="243"/>
        <v>0</v>
      </c>
      <c r="O676" s="64">
        <f t="shared" si="244"/>
        <v>0</v>
      </c>
      <c r="Q676" s="64">
        <f t="shared" si="245"/>
        <v>0</v>
      </c>
      <c r="S676" s="71">
        <f t="shared" si="246"/>
        <v>0</v>
      </c>
      <c r="U676" s="64">
        <f t="shared" si="247"/>
        <v>0</v>
      </c>
      <c r="W676" s="71">
        <f t="shared" si="248"/>
        <v>0</v>
      </c>
      <c r="Y676" s="71">
        <f t="shared" si="249"/>
        <v>0</v>
      </c>
      <c r="AA676" s="71">
        <f t="shared" si="250"/>
        <v>0</v>
      </c>
      <c r="AC676" s="71">
        <f t="shared" si="251"/>
        <v>0</v>
      </c>
      <c r="AK676" s="71">
        <f t="shared" si="252"/>
        <v>0</v>
      </c>
      <c r="AM676" s="71">
        <f t="shared" si="253"/>
        <v>0</v>
      </c>
      <c r="AO676" s="71">
        <f t="shared" si="254"/>
        <v>0</v>
      </c>
      <c r="AQ676" s="71">
        <f t="shared" si="255"/>
        <v>0</v>
      </c>
      <c r="AT676" s="71">
        <f t="shared" si="256"/>
        <v>0</v>
      </c>
      <c r="AV676" s="71">
        <f t="shared" si="257"/>
        <v>0</v>
      </c>
      <c r="AX676" s="71">
        <f t="shared" si="258"/>
        <v>0</v>
      </c>
      <c r="AZ676" s="71">
        <f t="shared" si="259"/>
        <v>0</v>
      </c>
      <c r="BE676" s="102">
        <f t="shared" si="260"/>
        <v>4.4721359549995796</v>
      </c>
      <c r="BF676" s="81">
        <f t="shared" si="261"/>
        <v>9.3924867883288243E-14</v>
      </c>
      <c r="BG676" s="81" t="str">
        <f t="shared" si="262"/>
        <v>BASSO</v>
      </c>
      <c r="BK676" s="81" t="str">
        <f t="shared" si="263"/>
        <v>MOLTO BASSO</v>
      </c>
    </row>
    <row r="677" spans="7:63" x14ac:dyDescent="0.15">
      <c r="G677" s="64">
        <f t="shared" si="240"/>
        <v>0</v>
      </c>
      <c r="I677" s="64">
        <f t="shared" si="241"/>
        <v>0</v>
      </c>
      <c r="K677" s="64">
        <f t="shared" si="242"/>
        <v>0</v>
      </c>
      <c r="M677" s="64">
        <f t="shared" si="243"/>
        <v>0</v>
      </c>
      <c r="O677" s="64">
        <f t="shared" si="244"/>
        <v>0</v>
      </c>
      <c r="Q677" s="64">
        <f t="shared" si="245"/>
        <v>0</v>
      </c>
      <c r="S677" s="71">
        <f t="shared" si="246"/>
        <v>0</v>
      </c>
      <c r="U677" s="64">
        <f t="shared" si="247"/>
        <v>0</v>
      </c>
      <c r="W677" s="71">
        <f t="shared" si="248"/>
        <v>0</v>
      </c>
      <c r="Y677" s="71">
        <f t="shared" si="249"/>
        <v>0</v>
      </c>
      <c r="AA677" s="71">
        <f t="shared" si="250"/>
        <v>0</v>
      </c>
      <c r="AC677" s="71">
        <f t="shared" si="251"/>
        <v>0</v>
      </c>
      <c r="AK677" s="71">
        <f t="shared" si="252"/>
        <v>0</v>
      </c>
      <c r="AM677" s="71">
        <f t="shared" si="253"/>
        <v>0</v>
      </c>
      <c r="AO677" s="71">
        <f t="shared" si="254"/>
        <v>0</v>
      </c>
      <c r="AQ677" s="71">
        <f t="shared" si="255"/>
        <v>0</v>
      </c>
      <c r="AT677" s="71">
        <f t="shared" si="256"/>
        <v>0</v>
      </c>
      <c r="AV677" s="71">
        <f t="shared" si="257"/>
        <v>0</v>
      </c>
      <c r="AX677" s="71">
        <f t="shared" si="258"/>
        <v>0</v>
      </c>
      <c r="AZ677" s="71">
        <f t="shared" si="259"/>
        <v>0</v>
      </c>
      <c r="BE677" s="102">
        <f t="shared" si="260"/>
        <v>4.4721359549995796</v>
      </c>
      <c r="BF677" s="81">
        <f t="shared" si="261"/>
        <v>9.3924867883288243E-14</v>
      </c>
      <c r="BG677" s="81" t="str">
        <f t="shared" si="262"/>
        <v>BASSO</v>
      </c>
      <c r="BK677" s="81" t="str">
        <f t="shared" si="263"/>
        <v>MOLTO BASSO</v>
      </c>
    </row>
    <row r="678" spans="7:63" x14ac:dyDescent="0.15">
      <c r="G678" s="64">
        <f t="shared" si="240"/>
        <v>0</v>
      </c>
      <c r="I678" s="64">
        <f t="shared" si="241"/>
        <v>0</v>
      </c>
      <c r="K678" s="64">
        <f t="shared" si="242"/>
        <v>0</v>
      </c>
      <c r="M678" s="64">
        <f t="shared" si="243"/>
        <v>0</v>
      </c>
      <c r="O678" s="64">
        <f t="shared" si="244"/>
        <v>0</v>
      </c>
      <c r="Q678" s="64">
        <f t="shared" si="245"/>
        <v>0</v>
      </c>
      <c r="S678" s="71">
        <f t="shared" si="246"/>
        <v>0</v>
      </c>
      <c r="U678" s="64">
        <f t="shared" si="247"/>
        <v>0</v>
      </c>
      <c r="W678" s="71">
        <f t="shared" si="248"/>
        <v>0</v>
      </c>
      <c r="Y678" s="71">
        <f t="shared" si="249"/>
        <v>0</v>
      </c>
      <c r="AA678" s="71">
        <f t="shared" si="250"/>
        <v>0</v>
      </c>
      <c r="AC678" s="71">
        <f t="shared" si="251"/>
        <v>0</v>
      </c>
      <c r="AK678" s="71">
        <f t="shared" si="252"/>
        <v>0</v>
      </c>
      <c r="AM678" s="71">
        <f t="shared" si="253"/>
        <v>0</v>
      </c>
      <c r="AO678" s="71">
        <f t="shared" si="254"/>
        <v>0</v>
      </c>
      <c r="AQ678" s="71">
        <f t="shared" si="255"/>
        <v>0</v>
      </c>
      <c r="AT678" s="71">
        <f t="shared" si="256"/>
        <v>0</v>
      </c>
      <c r="AV678" s="71">
        <f t="shared" si="257"/>
        <v>0</v>
      </c>
      <c r="AX678" s="71">
        <f t="shared" si="258"/>
        <v>0</v>
      </c>
      <c r="AZ678" s="71">
        <f t="shared" si="259"/>
        <v>0</v>
      </c>
      <c r="BE678" s="102">
        <f t="shared" si="260"/>
        <v>4.4721359549995796</v>
      </c>
      <c r="BF678" s="81">
        <f t="shared" si="261"/>
        <v>9.3924867883288243E-14</v>
      </c>
      <c r="BG678" s="81" t="str">
        <f t="shared" si="262"/>
        <v>BASSO</v>
      </c>
      <c r="BK678" s="81" t="str">
        <f t="shared" si="263"/>
        <v>MOLTO BASSO</v>
      </c>
    </row>
    <row r="679" spans="7:63" x14ac:dyDescent="0.15">
      <c r="G679" s="64">
        <f t="shared" si="240"/>
        <v>0</v>
      </c>
      <c r="I679" s="64">
        <f t="shared" si="241"/>
        <v>0</v>
      </c>
      <c r="K679" s="64">
        <f t="shared" si="242"/>
        <v>0</v>
      </c>
      <c r="M679" s="64">
        <f t="shared" si="243"/>
        <v>0</v>
      </c>
      <c r="O679" s="64">
        <f t="shared" si="244"/>
        <v>0</v>
      </c>
      <c r="Q679" s="64">
        <f t="shared" si="245"/>
        <v>0</v>
      </c>
      <c r="S679" s="71">
        <f t="shared" si="246"/>
        <v>0</v>
      </c>
      <c r="U679" s="64">
        <f t="shared" si="247"/>
        <v>0</v>
      </c>
      <c r="W679" s="71">
        <f t="shared" si="248"/>
        <v>0</v>
      </c>
      <c r="Y679" s="71">
        <f t="shared" si="249"/>
        <v>0</v>
      </c>
      <c r="AA679" s="71">
        <f t="shared" si="250"/>
        <v>0</v>
      </c>
      <c r="AC679" s="71">
        <f t="shared" si="251"/>
        <v>0</v>
      </c>
      <c r="AK679" s="71">
        <f t="shared" si="252"/>
        <v>0</v>
      </c>
      <c r="AM679" s="71">
        <f t="shared" si="253"/>
        <v>0</v>
      </c>
      <c r="AO679" s="71">
        <f t="shared" si="254"/>
        <v>0</v>
      </c>
      <c r="AQ679" s="71">
        <f t="shared" si="255"/>
        <v>0</v>
      </c>
      <c r="AT679" s="71">
        <f t="shared" si="256"/>
        <v>0</v>
      </c>
      <c r="AV679" s="71">
        <f t="shared" si="257"/>
        <v>0</v>
      </c>
      <c r="AX679" s="71">
        <f t="shared" si="258"/>
        <v>0</v>
      </c>
      <c r="AZ679" s="71">
        <f t="shared" si="259"/>
        <v>0</v>
      </c>
      <c r="BE679" s="102">
        <f t="shared" si="260"/>
        <v>4.4721359549995796</v>
      </c>
      <c r="BF679" s="81">
        <f t="shared" si="261"/>
        <v>9.3924867883288243E-14</v>
      </c>
      <c r="BG679" s="81" t="str">
        <f t="shared" si="262"/>
        <v>BASSO</v>
      </c>
      <c r="BK679" s="81" t="str">
        <f t="shared" si="263"/>
        <v>MOLTO BASSO</v>
      </c>
    </row>
    <row r="680" spans="7:63" x14ac:dyDescent="0.15">
      <c r="G680" s="64">
        <f t="shared" ref="G680:G743" si="264">F681/2</f>
        <v>0</v>
      </c>
      <c r="I680" s="64">
        <f t="shared" si="241"/>
        <v>0</v>
      </c>
      <c r="K680" s="64">
        <f t="shared" si="242"/>
        <v>0</v>
      </c>
      <c r="M680" s="64">
        <f t="shared" si="243"/>
        <v>0</v>
      </c>
      <c r="O680" s="64">
        <f t="shared" si="244"/>
        <v>0</v>
      </c>
      <c r="Q680" s="64">
        <f t="shared" si="245"/>
        <v>0</v>
      </c>
      <c r="S680" s="71">
        <f t="shared" si="246"/>
        <v>0</v>
      </c>
      <c r="U680" s="64">
        <f t="shared" si="247"/>
        <v>0</v>
      </c>
      <c r="W680" s="71">
        <f t="shared" si="248"/>
        <v>0</v>
      </c>
      <c r="Y680" s="71">
        <f t="shared" si="249"/>
        <v>0</v>
      </c>
      <c r="AA680" s="71">
        <f t="shared" si="250"/>
        <v>0</v>
      </c>
      <c r="AC680" s="71">
        <f t="shared" si="251"/>
        <v>0</v>
      </c>
      <c r="AK680" s="71">
        <f t="shared" si="252"/>
        <v>0</v>
      </c>
      <c r="AM680" s="71">
        <f t="shared" si="253"/>
        <v>0</v>
      </c>
      <c r="AO680" s="71">
        <f t="shared" si="254"/>
        <v>0</v>
      </c>
      <c r="AQ680" s="71">
        <f t="shared" si="255"/>
        <v>0</v>
      </c>
      <c r="AT680" s="71">
        <f t="shared" si="256"/>
        <v>0</v>
      </c>
      <c r="AV680" s="71">
        <f t="shared" si="257"/>
        <v>0</v>
      </c>
      <c r="AX680" s="71">
        <f t="shared" si="258"/>
        <v>0</v>
      </c>
      <c r="AZ680" s="71">
        <f t="shared" si="259"/>
        <v>0</v>
      </c>
      <c r="BE680" s="102">
        <f t="shared" si="260"/>
        <v>4.4721359549995796</v>
      </c>
      <c r="BF680" s="81">
        <f t="shared" si="261"/>
        <v>9.3924867883288243E-14</v>
      </c>
      <c r="BG680" s="81" t="str">
        <f t="shared" si="262"/>
        <v>BASSO</v>
      </c>
      <c r="BK680" s="81" t="str">
        <f t="shared" si="263"/>
        <v>MOLTO BASSO</v>
      </c>
    </row>
    <row r="681" spans="7:63" x14ac:dyDescent="0.15">
      <c r="G681" s="64">
        <f t="shared" si="264"/>
        <v>0</v>
      </c>
      <c r="I681" s="64">
        <f t="shared" si="241"/>
        <v>0</v>
      </c>
      <c r="K681" s="64">
        <f t="shared" si="242"/>
        <v>0</v>
      </c>
      <c r="M681" s="64">
        <f t="shared" si="243"/>
        <v>0</v>
      </c>
      <c r="O681" s="64">
        <f t="shared" si="244"/>
        <v>0</v>
      </c>
      <c r="Q681" s="64">
        <f t="shared" si="245"/>
        <v>0</v>
      </c>
      <c r="S681" s="71">
        <f t="shared" si="246"/>
        <v>0</v>
      </c>
      <c r="U681" s="64">
        <f t="shared" si="247"/>
        <v>0</v>
      </c>
      <c r="W681" s="71">
        <f t="shared" si="248"/>
        <v>0</v>
      </c>
      <c r="Y681" s="71">
        <f t="shared" si="249"/>
        <v>0</v>
      </c>
      <c r="AA681" s="71">
        <f t="shared" si="250"/>
        <v>0</v>
      </c>
      <c r="AC681" s="71">
        <f t="shared" si="251"/>
        <v>0</v>
      </c>
      <c r="AK681" s="71">
        <f t="shared" si="252"/>
        <v>0</v>
      </c>
      <c r="AM681" s="71">
        <f t="shared" si="253"/>
        <v>0</v>
      </c>
      <c r="AO681" s="71">
        <f t="shared" si="254"/>
        <v>0</v>
      </c>
      <c r="AQ681" s="71">
        <f t="shared" si="255"/>
        <v>0</v>
      </c>
      <c r="AT681" s="71">
        <f t="shared" si="256"/>
        <v>0</v>
      </c>
      <c r="AV681" s="71">
        <f t="shared" si="257"/>
        <v>0</v>
      </c>
      <c r="AX681" s="71">
        <f t="shared" si="258"/>
        <v>0</v>
      </c>
      <c r="AZ681" s="71">
        <f t="shared" si="259"/>
        <v>0</v>
      </c>
      <c r="BE681" s="102">
        <f t="shared" si="260"/>
        <v>4.4721359549995796</v>
      </c>
      <c r="BF681" s="81">
        <f t="shared" si="261"/>
        <v>9.3924867883288243E-14</v>
      </c>
      <c r="BG681" s="81" t="str">
        <f t="shared" si="262"/>
        <v>BASSO</v>
      </c>
      <c r="BK681" s="81" t="str">
        <f t="shared" si="263"/>
        <v>MOLTO BASSO</v>
      </c>
    </row>
    <row r="682" spans="7:63" x14ac:dyDescent="0.15">
      <c r="G682" s="64">
        <f t="shared" si="264"/>
        <v>0</v>
      </c>
      <c r="I682" s="64">
        <f t="shared" si="241"/>
        <v>0</v>
      </c>
      <c r="K682" s="64">
        <f t="shared" si="242"/>
        <v>0</v>
      </c>
      <c r="M682" s="64">
        <f t="shared" si="243"/>
        <v>0</v>
      </c>
      <c r="O682" s="64">
        <f t="shared" si="244"/>
        <v>0</v>
      </c>
      <c r="Q682" s="64">
        <f t="shared" si="245"/>
        <v>0</v>
      </c>
      <c r="S682" s="71">
        <f t="shared" si="246"/>
        <v>0</v>
      </c>
      <c r="U682" s="64">
        <f t="shared" si="247"/>
        <v>0</v>
      </c>
      <c r="W682" s="71">
        <f t="shared" si="248"/>
        <v>0</v>
      </c>
      <c r="Y682" s="71">
        <f t="shared" si="249"/>
        <v>0</v>
      </c>
      <c r="AA682" s="71">
        <f t="shared" si="250"/>
        <v>0</v>
      </c>
      <c r="AC682" s="71">
        <f t="shared" si="251"/>
        <v>0</v>
      </c>
      <c r="AK682" s="71">
        <f t="shared" si="252"/>
        <v>0</v>
      </c>
      <c r="AM682" s="71">
        <f t="shared" si="253"/>
        <v>0</v>
      </c>
      <c r="AO682" s="71">
        <f t="shared" si="254"/>
        <v>0</v>
      </c>
      <c r="AQ682" s="71">
        <f t="shared" si="255"/>
        <v>0</v>
      </c>
      <c r="AT682" s="71">
        <f t="shared" si="256"/>
        <v>0</v>
      </c>
      <c r="AV682" s="71">
        <f t="shared" si="257"/>
        <v>0</v>
      </c>
      <c r="AX682" s="71">
        <f t="shared" si="258"/>
        <v>0</v>
      </c>
      <c r="AZ682" s="71">
        <f t="shared" si="259"/>
        <v>0</v>
      </c>
      <c r="BE682" s="102">
        <f t="shared" si="260"/>
        <v>4.4721359549995796</v>
      </c>
      <c r="BF682" s="81">
        <f t="shared" si="261"/>
        <v>9.3924867883288243E-14</v>
      </c>
      <c r="BG682" s="81" t="str">
        <f t="shared" si="262"/>
        <v>BASSO</v>
      </c>
      <c r="BK682" s="81" t="str">
        <f t="shared" si="263"/>
        <v>MOLTO BASSO</v>
      </c>
    </row>
    <row r="683" spans="7:63" x14ac:dyDescent="0.15">
      <c r="G683" s="64">
        <f t="shared" si="264"/>
        <v>0</v>
      </c>
      <c r="I683" s="64">
        <f t="shared" si="241"/>
        <v>0</v>
      </c>
      <c r="K683" s="64">
        <f t="shared" si="242"/>
        <v>0</v>
      </c>
      <c r="M683" s="64">
        <f t="shared" si="243"/>
        <v>0</v>
      </c>
      <c r="O683" s="64">
        <f t="shared" si="244"/>
        <v>0</v>
      </c>
      <c r="Q683" s="64">
        <f t="shared" si="245"/>
        <v>0</v>
      </c>
      <c r="S683" s="71">
        <f t="shared" si="246"/>
        <v>0</v>
      </c>
      <c r="U683" s="64">
        <f t="shared" si="247"/>
        <v>0</v>
      </c>
      <c r="W683" s="71">
        <f t="shared" si="248"/>
        <v>0</v>
      </c>
      <c r="Y683" s="71">
        <f t="shared" si="249"/>
        <v>0</v>
      </c>
      <c r="AA683" s="71">
        <f t="shared" si="250"/>
        <v>0</v>
      </c>
      <c r="AC683" s="71">
        <f t="shared" si="251"/>
        <v>0</v>
      </c>
      <c r="AK683" s="71">
        <f t="shared" si="252"/>
        <v>0</v>
      </c>
      <c r="AM683" s="71">
        <f t="shared" si="253"/>
        <v>0</v>
      </c>
      <c r="AO683" s="71">
        <f t="shared" si="254"/>
        <v>0</v>
      </c>
      <c r="AQ683" s="71">
        <f t="shared" si="255"/>
        <v>0</v>
      </c>
      <c r="AT683" s="71">
        <f t="shared" si="256"/>
        <v>0</v>
      </c>
      <c r="AV683" s="71">
        <f t="shared" si="257"/>
        <v>0</v>
      </c>
      <c r="AX683" s="71">
        <f t="shared" si="258"/>
        <v>0</v>
      </c>
      <c r="AZ683" s="71">
        <f t="shared" si="259"/>
        <v>0</v>
      </c>
      <c r="BE683" s="102">
        <f t="shared" si="260"/>
        <v>4.4721359549995796</v>
      </c>
      <c r="BF683" s="81">
        <f t="shared" si="261"/>
        <v>9.3924867883288243E-14</v>
      </c>
      <c r="BG683" s="81" t="str">
        <f t="shared" si="262"/>
        <v>BASSO</v>
      </c>
      <c r="BK683" s="81" t="str">
        <f t="shared" si="263"/>
        <v>MOLTO BASSO</v>
      </c>
    </row>
    <row r="684" spans="7:63" x14ac:dyDescent="0.15">
      <c r="G684" s="64">
        <f t="shared" si="264"/>
        <v>0</v>
      </c>
      <c r="I684" s="64">
        <f t="shared" si="241"/>
        <v>0</v>
      </c>
      <c r="K684" s="64">
        <f t="shared" si="242"/>
        <v>0</v>
      </c>
      <c r="M684" s="64">
        <f t="shared" si="243"/>
        <v>0</v>
      </c>
      <c r="O684" s="64">
        <f t="shared" si="244"/>
        <v>0</v>
      </c>
      <c r="Q684" s="64">
        <f t="shared" si="245"/>
        <v>0</v>
      </c>
      <c r="S684" s="71">
        <f t="shared" si="246"/>
        <v>0</v>
      </c>
      <c r="U684" s="64">
        <f t="shared" si="247"/>
        <v>0</v>
      </c>
      <c r="W684" s="71">
        <f t="shared" si="248"/>
        <v>0</v>
      </c>
      <c r="Y684" s="71">
        <f t="shared" si="249"/>
        <v>0</v>
      </c>
      <c r="AA684" s="71">
        <f t="shared" si="250"/>
        <v>0</v>
      </c>
      <c r="AC684" s="71">
        <f t="shared" si="251"/>
        <v>0</v>
      </c>
      <c r="AK684" s="71">
        <f t="shared" si="252"/>
        <v>0</v>
      </c>
      <c r="AM684" s="71">
        <f t="shared" si="253"/>
        <v>0</v>
      </c>
      <c r="AO684" s="71">
        <f t="shared" si="254"/>
        <v>0</v>
      </c>
      <c r="AQ684" s="71">
        <f t="shared" si="255"/>
        <v>0</v>
      </c>
      <c r="AT684" s="71">
        <f t="shared" si="256"/>
        <v>0</v>
      </c>
      <c r="AV684" s="71">
        <f t="shared" si="257"/>
        <v>0</v>
      </c>
      <c r="AX684" s="71">
        <f t="shared" si="258"/>
        <v>0</v>
      </c>
      <c r="AZ684" s="71">
        <f t="shared" si="259"/>
        <v>0</v>
      </c>
      <c r="BE684" s="102">
        <f t="shared" si="260"/>
        <v>4.4721359549995796</v>
      </c>
      <c r="BF684" s="81">
        <f t="shared" si="261"/>
        <v>9.3924867883288243E-14</v>
      </c>
      <c r="BG684" s="81" t="str">
        <f t="shared" si="262"/>
        <v>BASSO</v>
      </c>
      <c r="BK684" s="81" t="str">
        <f t="shared" si="263"/>
        <v>MOLTO BASSO</v>
      </c>
    </row>
    <row r="685" spans="7:63" x14ac:dyDescent="0.15">
      <c r="G685" s="64">
        <f t="shared" si="264"/>
        <v>0</v>
      </c>
      <c r="I685" s="64">
        <f t="shared" si="241"/>
        <v>0</v>
      </c>
      <c r="K685" s="64">
        <f t="shared" si="242"/>
        <v>0</v>
      </c>
      <c r="M685" s="64">
        <f t="shared" si="243"/>
        <v>0</v>
      </c>
      <c r="O685" s="64">
        <f t="shared" si="244"/>
        <v>0</v>
      </c>
      <c r="Q685" s="64">
        <f t="shared" si="245"/>
        <v>0</v>
      </c>
      <c r="S685" s="71">
        <f t="shared" si="246"/>
        <v>0</v>
      </c>
      <c r="U685" s="64">
        <f t="shared" si="247"/>
        <v>0</v>
      </c>
      <c r="W685" s="71">
        <f t="shared" si="248"/>
        <v>0</v>
      </c>
      <c r="Y685" s="71">
        <f t="shared" si="249"/>
        <v>0</v>
      </c>
      <c r="AA685" s="71">
        <f t="shared" si="250"/>
        <v>0</v>
      </c>
      <c r="AC685" s="71">
        <f t="shared" si="251"/>
        <v>0</v>
      </c>
      <c r="AK685" s="71">
        <f t="shared" si="252"/>
        <v>0</v>
      </c>
      <c r="AM685" s="71">
        <f t="shared" si="253"/>
        <v>0</v>
      </c>
      <c r="AO685" s="71">
        <f t="shared" si="254"/>
        <v>0</v>
      </c>
      <c r="AQ685" s="71">
        <f t="shared" si="255"/>
        <v>0</v>
      </c>
      <c r="AT685" s="71">
        <f t="shared" si="256"/>
        <v>0</v>
      </c>
      <c r="AV685" s="71">
        <f t="shared" si="257"/>
        <v>0</v>
      </c>
      <c r="AX685" s="71">
        <f t="shared" si="258"/>
        <v>0</v>
      </c>
      <c r="AZ685" s="71">
        <f t="shared" si="259"/>
        <v>0</v>
      </c>
      <c r="BE685" s="102">
        <f t="shared" si="260"/>
        <v>4.4721359549995796</v>
      </c>
      <c r="BF685" s="81">
        <f t="shared" si="261"/>
        <v>9.3924867883288243E-14</v>
      </c>
      <c r="BG685" s="81" t="str">
        <f t="shared" si="262"/>
        <v>BASSO</v>
      </c>
      <c r="BK685" s="81" t="str">
        <f t="shared" si="263"/>
        <v>MOLTO BASSO</v>
      </c>
    </row>
    <row r="686" spans="7:63" x14ac:dyDescent="0.15">
      <c r="G686" s="64">
        <f t="shared" si="264"/>
        <v>0</v>
      </c>
      <c r="I686" s="64">
        <f t="shared" si="241"/>
        <v>0</v>
      </c>
      <c r="K686" s="64">
        <f t="shared" si="242"/>
        <v>0</v>
      </c>
      <c r="M686" s="64">
        <f t="shared" si="243"/>
        <v>0</v>
      </c>
      <c r="O686" s="64">
        <f t="shared" si="244"/>
        <v>0</v>
      </c>
      <c r="Q686" s="64">
        <f t="shared" si="245"/>
        <v>0</v>
      </c>
      <c r="S686" s="71">
        <f t="shared" si="246"/>
        <v>0</v>
      </c>
      <c r="U686" s="64">
        <f t="shared" si="247"/>
        <v>0</v>
      </c>
      <c r="W686" s="71">
        <f t="shared" si="248"/>
        <v>0</v>
      </c>
      <c r="Y686" s="71">
        <f t="shared" si="249"/>
        <v>0</v>
      </c>
      <c r="AA686" s="71">
        <f t="shared" si="250"/>
        <v>0</v>
      </c>
      <c r="AC686" s="71">
        <f t="shared" si="251"/>
        <v>0</v>
      </c>
      <c r="AK686" s="71">
        <f t="shared" si="252"/>
        <v>0</v>
      </c>
      <c r="AM686" s="71">
        <f t="shared" si="253"/>
        <v>0</v>
      </c>
      <c r="AO686" s="71">
        <f t="shared" si="254"/>
        <v>0</v>
      </c>
      <c r="AQ686" s="71">
        <f t="shared" si="255"/>
        <v>0</v>
      </c>
      <c r="AT686" s="71">
        <f t="shared" si="256"/>
        <v>0</v>
      </c>
      <c r="AV686" s="71">
        <f t="shared" si="257"/>
        <v>0</v>
      </c>
      <c r="AX686" s="71">
        <f t="shared" si="258"/>
        <v>0</v>
      </c>
      <c r="AZ686" s="71">
        <f t="shared" si="259"/>
        <v>0</v>
      </c>
      <c r="BE686" s="102">
        <f t="shared" si="260"/>
        <v>4.4721359549995796</v>
      </c>
      <c r="BF686" s="81">
        <f t="shared" si="261"/>
        <v>9.3924867883288243E-14</v>
      </c>
      <c r="BG686" s="81" t="str">
        <f t="shared" si="262"/>
        <v>BASSO</v>
      </c>
      <c r="BK686" s="81" t="str">
        <f t="shared" si="263"/>
        <v>MOLTO BASSO</v>
      </c>
    </row>
    <row r="687" spans="7:63" x14ac:dyDescent="0.15">
      <c r="G687" s="64">
        <f t="shared" si="264"/>
        <v>0</v>
      </c>
      <c r="I687" s="64">
        <f t="shared" si="241"/>
        <v>0</v>
      </c>
      <c r="K687" s="64">
        <f t="shared" si="242"/>
        <v>0</v>
      </c>
      <c r="M687" s="64">
        <f t="shared" si="243"/>
        <v>0</v>
      </c>
      <c r="O687" s="64">
        <f t="shared" si="244"/>
        <v>0</v>
      </c>
      <c r="Q687" s="64">
        <f t="shared" si="245"/>
        <v>0</v>
      </c>
      <c r="S687" s="71">
        <f t="shared" si="246"/>
        <v>0</v>
      </c>
      <c r="U687" s="64">
        <f t="shared" si="247"/>
        <v>0</v>
      </c>
      <c r="W687" s="71">
        <f t="shared" si="248"/>
        <v>0</v>
      </c>
      <c r="Y687" s="71">
        <f t="shared" si="249"/>
        <v>0</v>
      </c>
      <c r="AA687" s="71">
        <f t="shared" si="250"/>
        <v>0</v>
      </c>
      <c r="AC687" s="71">
        <f t="shared" si="251"/>
        <v>0</v>
      </c>
      <c r="AK687" s="71">
        <f t="shared" si="252"/>
        <v>0</v>
      </c>
      <c r="AM687" s="71">
        <f t="shared" si="253"/>
        <v>0</v>
      </c>
      <c r="AO687" s="71">
        <f t="shared" si="254"/>
        <v>0</v>
      </c>
      <c r="AQ687" s="71">
        <f t="shared" si="255"/>
        <v>0</v>
      </c>
      <c r="AT687" s="71">
        <f t="shared" si="256"/>
        <v>0</v>
      </c>
      <c r="AV687" s="71">
        <f t="shared" si="257"/>
        <v>0</v>
      </c>
      <c r="AX687" s="71">
        <f t="shared" si="258"/>
        <v>0</v>
      </c>
      <c r="AZ687" s="71">
        <f t="shared" si="259"/>
        <v>0</v>
      </c>
      <c r="BE687" s="102">
        <f t="shared" si="260"/>
        <v>4.4721359549995796</v>
      </c>
      <c r="BF687" s="81">
        <f t="shared" si="261"/>
        <v>9.3924867883288243E-14</v>
      </c>
      <c r="BG687" s="81" t="str">
        <f t="shared" si="262"/>
        <v>BASSO</v>
      </c>
      <c r="BK687" s="81" t="str">
        <f t="shared" si="263"/>
        <v>MOLTO BASSO</v>
      </c>
    </row>
    <row r="688" spans="7:63" x14ac:dyDescent="0.15">
      <c r="G688" s="64">
        <f t="shared" si="264"/>
        <v>0</v>
      </c>
      <c r="I688" s="64">
        <f t="shared" si="241"/>
        <v>0</v>
      </c>
      <c r="K688" s="64">
        <f t="shared" si="242"/>
        <v>0</v>
      </c>
      <c r="M688" s="64">
        <f t="shared" si="243"/>
        <v>0</v>
      </c>
      <c r="O688" s="64">
        <f t="shared" si="244"/>
        <v>0</v>
      </c>
      <c r="Q688" s="64">
        <f t="shared" si="245"/>
        <v>0</v>
      </c>
      <c r="S688" s="71">
        <f t="shared" si="246"/>
        <v>0</v>
      </c>
      <c r="U688" s="64">
        <f t="shared" si="247"/>
        <v>0</v>
      </c>
      <c r="W688" s="71">
        <f t="shared" si="248"/>
        <v>0</v>
      </c>
      <c r="Y688" s="71">
        <f t="shared" si="249"/>
        <v>0</v>
      </c>
      <c r="AA688" s="71">
        <f t="shared" si="250"/>
        <v>0</v>
      </c>
      <c r="AC688" s="71">
        <f t="shared" si="251"/>
        <v>0</v>
      </c>
      <c r="AK688" s="71">
        <f t="shared" si="252"/>
        <v>0</v>
      </c>
      <c r="AM688" s="71">
        <f t="shared" si="253"/>
        <v>0</v>
      </c>
      <c r="AO688" s="71">
        <f t="shared" si="254"/>
        <v>0</v>
      </c>
      <c r="AQ688" s="71">
        <f t="shared" si="255"/>
        <v>0</v>
      </c>
      <c r="AT688" s="71">
        <f t="shared" si="256"/>
        <v>0</v>
      </c>
      <c r="AV688" s="71">
        <f t="shared" si="257"/>
        <v>0</v>
      </c>
      <c r="AX688" s="71">
        <f t="shared" si="258"/>
        <v>0</v>
      </c>
      <c r="AZ688" s="71">
        <f t="shared" si="259"/>
        <v>0</v>
      </c>
      <c r="BE688" s="102">
        <f t="shared" si="260"/>
        <v>4.4721359549995796</v>
      </c>
      <c r="BF688" s="81">
        <f t="shared" si="261"/>
        <v>9.3924867883288243E-14</v>
      </c>
      <c r="BG688" s="81" t="str">
        <f t="shared" si="262"/>
        <v>BASSO</v>
      </c>
      <c r="BK688" s="81" t="str">
        <f t="shared" si="263"/>
        <v>MOLTO BASSO</v>
      </c>
    </row>
    <row r="689" spans="7:63" x14ac:dyDescent="0.15">
      <c r="G689" s="64">
        <f t="shared" si="264"/>
        <v>0</v>
      </c>
      <c r="I689" s="64">
        <f t="shared" si="241"/>
        <v>0</v>
      </c>
      <c r="K689" s="64">
        <f t="shared" si="242"/>
        <v>0</v>
      </c>
      <c r="M689" s="64">
        <f t="shared" si="243"/>
        <v>0</v>
      </c>
      <c r="O689" s="64">
        <f t="shared" si="244"/>
        <v>0</v>
      </c>
      <c r="Q689" s="64">
        <f t="shared" si="245"/>
        <v>0</v>
      </c>
      <c r="S689" s="71">
        <f t="shared" si="246"/>
        <v>0</v>
      </c>
      <c r="U689" s="64">
        <f t="shared" si="247"/>
        <v>0</v>
      </c>
      <c r="W689" s="71">
        <f t="shared" si="248"/>
        <v>0</v>
      </c>
      <c r="Y689" s="71">
        <f t="shared" si="249"/>
        <v>0</v>
      </c>
      <c r="AA689" s="71">
        <f t="shared" si="250"/>
        <v>0</v>
      </c>
      <c r="AC689" s="71">
        <f t="shared" si="251"/>
        <v>0</v>
      </c>
      <c r="AK689" s="71">
        <f t="shared" si="252"/>
        <v>0</v>
      </c>
      <c r="AM689" s="71">
        <f t="shared" si="253"/>
        <v>0</v>
      </c>
      <c r="AO689" s="71">
        <f t="shared" si="254"/>
        <v>0</v>
      </c>
      <c r="AQ689" s="71">
        <f t="shared" si="255"/>
        <v>0</v>
      </c>
      <c r="AT689" s="71">
        <f t="shared" si="256"/>
        <v>0</v>
      </c>
      <c r="AV689" s="71">
        <f t="shared" si="257"/>
        <v>0</v>
      </c>
      <c r="AX689" s="71">
        <f t="shared" si="258"/>
        <v>0</v>
      </c>
      <c r="AZ689" s="71">
        <f t="shared" si="259"/>
        <v>0</v>
      </c>
      <c r="BE689" s="102">
        <f t="shared" si="260"/>
        <v>4.4721359549995796</v>
      </c>
      <c r="BF689" s="81">
        <f t="shared" si="261"/>
        <v>9.3924867883288243E-14</v>
      </c>
      <c r="BG689" s="81" t="str">
        <f t="shared" si="262"/>
        <v>BASSO</v>
      </c>
      <c r="BK689" s="81" t="str">
        <f t="shared" si="263"/>
        <v>MOLTO BASSO</v>
      </c>
    </row>
    <row r="690" spans="7:63" x14ac:dyDescent="0.15">
      <c r="G690" s="64">
        <f t="shared" si="264"/>
        <v>0</v>
      </c>
      <c r="I690" s="64">
        <f t="shared" si="241"/>
        <v>0</v>
      </c>
      <c r="K690" s="64">
        <f t="shared" si="242"/>
        <v>0</v>
      </c>
      <c r="M690" s="64">
        <f t="shared" si="243"/>
        <v>0</v>
      </c>
      <c r="O690" s="64">
        <f t="shared" si="244"/>
        <v>0</v>
      </c>
      <c r="Q690" s="64">
        <f t="shared" si="245"/>
        <v>0</v>
      </c>
      <c r="S690" s="71">
        <f t="shared" si="246"/>
        <v>0</v>
      </c>
      <c r="U690" s="64">
        <f t="shared" si="247"/>
        <v>0</v>
      </c>
      <c r="W690" s="71">
        <f t="shared" si="248"/>
        <v>0</v>
      </c>
      <c r="Y690" s="71">
        <f t="shared" si="249"/>
        <v>0</v>
      </c>
      <c r="AA690" s="71">
        <f t="shared" si="250"/>
        <v>0</v>
      </c>
      <c r="AC690" s="71">
        <f t="shared" si="251"/>
        <v>0</v>
      </c>
      <c r="AK690" s="71">
        <f t="shared" si="252"/>
        <v>0</v>
      </c>
      <c r="AM690" s="71">
        <f t="shared" si="253"/>
        <v>0</v>
      </c>
      <c r="AO690" s="71">
        <f t="shared" si="254"/>
        <v>0</v>
      </c>
      <c r="AQ690" s="71">
        <f t="shared" si="255"/>
        <v>0</v>
      </c>
      <c r="AT690" s="71">
        <f t="shared" si="256"/>
        <v>0</v>
      </c>
      <c r="AV690" s="71">
        <f t="shared" si="257"/>
        <v>0</v>
      </c>
      <c r="AX690" s="71">
        <f t="shared" si="258"/>
        <v>0</v>
      </c>
      <c r="AZ690" s="71">
        <f t="shared" si="259"/>
        <v>0</v>
      </c>
      <c r="BE690" s="102">
        <f t="shared" si="260"/>
        <v>4.4721359549995796</v>
      </c>
      <c r="BF690" s="81">
        <f t="shared" si="261"/>
        <v>9.3924867883288243E-14</v>
      </c>
      <c r="BG690" s="81" t="str">
        <f t="shared" si="262"/>
        <v>BASSO</v>
      </c>
      <c r="BK690" s="81" t="str">
        <f t="shared" si="263"/>
        <v>MOLTO BASSO</v>
      </c>
    </row>
    <row r="691" spans="7:63" x14ac:dyDescent="0.15">
      <c r="G691" s="64">
        <f t="shared" si="264"/>
        <v>0</v>
      </c>
      <c r="I691" s="64">
        <f t="shared" si="241"/>
        <v>0</v>
      </c>
      <c r="K691" s="64">
        <f t="shared" si="242"/>
        <v>0</v>
      </c>
      <c r="M691" s="64">
        <f t="shared" si="243"/>
        <v>0</v>
      </c>
      <c r="O691" s="64">
        <f t="shared" si="244"/>
        <v>0</v>
      </c>
      <c r="Q691" s="64">
        <f t="shared" si="245"/>
        <v>0</v>
      </c>
      <c r="S691" s="71">
        <f t="shared" si="246"/>
        <v>0</v>
      </c>
      <c r="U691" s="64">
        <f t="shared" si="247"/>
        <v>0</v>
      </c>
      <c r="W691" s="71">
        <f t="shared" si="248"/>
        <v>0</v>
      </c>
      <c r="Y691" s="71">
        <f t="shared" si="249"/>
        <v>0</v>
      </c>
      <c r="AA691" s="71">
        <f t="shared" si="250"/>
        <v>0</v>
      </c>
      <c r="AC691" s="71">
        <f t="shared" si="251"/>
        <v>0</v>
      </c>
      <c r="AK691" s="71">
        <f t="shared" si="252"/>
        <v>0</v>
      </c>
      <c r="AM691" s="71">
        <f t="shared" si="253"/>
        <v>0</v>
      </c>
      <c r="AO691" s="71">
        <f t="shared" si="254"/>
        <v>0</v>
      </c>
      <c r="AQ691" s="71">
        <f t="shared" si="255"/>
        <v>0</v>
      </c>
      <c r="AT691" s="71">
        <f t="shared" si="256"/>
        <v>0</v>
      </c>
      <c r="AV691" s="71">
        <f t="shared" si="257"/>
        <v>0</v>
      </c>
      <c r="AX691" s="71">
        <f t="shared" si="258"/>
        <v>0</v>
      </c>
      <c r="AZ691" s="71">
        <f t="shared" si="259"/>
        <v>0</v>
      </c>
      <c r="BE691" s="102">
        <f t="shared" si="260"/>
        <v>4.4721359549995796</v>
      </c>
      <c r="BF691" s="81">
        <f t="shared" si="261"/>
        <v>9.3924867883288243E-14</v>
      </c>
      <c r="BG691" s="81" t="str">
        <f t="shared" si="262"/>
        <v>BASSO</v>
      </c>
      <c r="BK691" s="81" t="str">
        <f t="shared" si="263"/>
        <v>MOLTO BASSO</v>
      </c>
    </row>
    <row r="692" spans="7:63" x14ac:dyDescent="0.15">
      <c r="G692" s="64">
        <f t="shared" si="264"/>
        <v>0</v>
      </c>
      <c r="I692" s="64">
        <f t="shared" si="241"/>
        <v>0</v>
      </c>
      <c r="K692" s="64">
        <f t="shared" si="242"/>
        <v>0</v>
      </c>
      <c r="M692" s="64">
        <f t="shared" si="243"/>
        <v>0</v>
      </c>
      <c r="O692" s="64">
        <f t="shared" si="244"/>
        <v>0</v>
      </c>
      <c r="Q692" s="64">
        <f t="shared" si="245"/>
        <v>0</v>
      </c>
      <c r="S692" s="71">
        <f t="shared" si="246"/>
        <v>0</v>
      </c>
      <c r="U692" s="64">
        <f t="shared" si="247"/>
        <v>0</v>
      </c>
      <c r="W692" s="71">
        <f t="shared" si="248"/>
        <v>0</v>
      </c>
      <c r="Y692" s="71">
        <f t="shared" si="249"/>
        <v>0</v>
      </c>
      <c r="AA692" s="71">
        <f t="shared" si="250"/>
        <v>0</v>
      </c>
      <c r="AC692" s="71">
        <f t="shared" si="251"/>
        <v>0</v>
      </c>
      <c r="AK692" s="71">
        <f t="shared" si="252"/>
        <v>0</v>
      </c>
      <c r="AM692" s="71">
        <f t="shared" si="253"/>
        <v>0</v>
      </c>
      <c r="AO692" s="71">
        <f t="shared" si="254"/>
        <v>0</v>
      </c>
      <c r="AQ692" s="71">
        <f t="shared" si="255"/>
        <v>0</v>
      </c>
      <c r="AT692" s="71">
        <f t="shared" si="256"/>
        <v>0</v>
      </c>
      <c r="AV692" s="71">
        <f t="shared" si="257"/>
        <v>0</v>
      </c>
      <c r="AX692" s="71">
        <f t="shared" si="258"/>
        <v>0</v>
      </c>
      <c r="AZ692" s="71">
        <f t="shared" si="259"/>
        <v>0</v>
      </c>
      <c r="BE692" s="102">
        <f t="shared" si="260"/>
        <v>4.4721359549995796</v>
      </c>
      <c r="BF692" s="81">
        <f t="shared" si="261"/>
        <v>9.3924867883288243E-14</v>
      </c>
      <c r="BG692" s="81" t="str">
        <f t="shared" si="262"/>
        <v>BASSO</v>
      </c>
      <c r="BK692" s="81" t="str">
        <f t="shared" si="263"/>
        <v>MOLTO BASSO</v>
      </c>
    </row>
    <row r="693" spans="7:63" x14ac:dyDescent="0.15">
      <c r="G693" s="64">
        <f t="shared" si="264"/>
        <v>0</v>
      </c>
      <c r="I693" s="64">
        <f t="shared" si="241"/>
        <v>0</v>
      </c>
      <c r="K693" s="64">
        <f t="shared" si="242"/>
        <v>0</v>
      </c>
      <c r="M693" s="64">
        <f t="shared" si="243"/>
        <v>0</v>
      </c>
      <c r="O693" s="64">
        <f t="shared" si="244"/>
        <v>0</v>
      </c>
      <c r="Q693" s="64">
        <f t="shared" si="245"/>
        <v>0</v>
      </c>
      <c r="S693" s="71">
        <f t="shared" si="246"/>
        <v>0</v>
      </c>
      <c r="U693" s="64">
        <f t="shared" si="247"/>
        <v>0</v>
      </c>
      <c r="W693" s="71">
        <f t="shared" si="248"/>
        <v>0</v>
      </c>
      <c r="Y693" s="71">
        <f t="shared" si="249"/>
        <v>0</v>
      </c>
      <c r="AA693" s="71">
        <f t="shared" si="250"/>
        <v>0</v>
      </c>
      <c r="AC693" s="71">
        <f t="shared" si="251"/>
        <v>0</v>
      </c>
      <c r="AK693" s="71">
        <f t="shared" si="252"/>
        <v>0</v>
      </c>
      <c r="AM693" s="71">
        <f t="shared" si="253"/>
        <v>0</v>
      </c>
      <c r="AO693" s="71">
        <f t="shared" si="254"/>
        <v>0</v>
      </c>
      <c r="AQ693" s="71">
        <f t="shared" si="255"/>
        <v>0</v>
      </c>
      <c r="AT693" s="71">
        <f t="shared" si="256"/>
        <v>0</v>
      </c>
      <c r="AV693" s="71">
        <f t="shared" si="257"/>
        <v>0</v>
      </c>
      <c r="AX693" s="71">
        <f t="shared" si="258"/>
        <v>0</v>
      </c>
      <c r="AZ693" s="71">
        <f t="shared" si="259"/>
        <v>0</v>
      </c>
      <c r="BE693" s="102">
        <f t="shared" si="260"/>
        <v>4.4721359549995796</v>
      </c>
      <c r="BF693" s="81">
        <f t="shared" si="261"/>
        <v>9.3924867883288243E-14</v>
      </c>
      <c r="BG693" s="81" t="str">
        <f t="shared" si="262"/>
        <v>BASSO</v>
      </c>
      <c r="BK693" s="81" t="str">
        <f t="shared" si="263"/>
        <v>MOLTO BASSO</v>
      </c>
    </row>
    <row r="694" spans="7:63" x14ac:dyDescent="0.15">
      <c r="G694" s="64">
        <f t="shared" si="264"/>
        <v>0</v>
      </c>
      <c r="I694" s="64">
        <f t="shared" si="241"/>
        <v>0</v>
      </c>
      <c r="K694" s="64">
        <f t="shared" si="242"/>
        <v>0</v>
      </c>
      <c r="M694" s="64">
        <f t="shared" si="243"/>
        <v>0</v>
      </c>
      <c r="O694" s="64">
        <f t="shared" si="244"/>
        <v>0</v>
      </c>
      <c r="Q694" s="64">
        <f t="shared" si="245"/>
        <v>0</v>
      </c>
      <c r="S694" s="71">
        <f t="shared" si="246"/>
        <v>0</v>
      </c>
      <c r="U694" s="64">
        <f t="shared" si="247"/>
        <v>0</v>
      </c>
      <c r="W694" s="71">
        <f t="shared" si="248"/>
        <v>0</v>
      </c>
      <c r="Y694" s="71">
        <f t="shared" si="249"/>
        <v>0</v>
      </c>
      <c r="AA694" s="71">
        <f t="shared" si="250"/>
        <v>0</v>
      </c>
      <c r="AC694" s="71">
        <f t="shared" si="251"/>
        <v>0</v>
      </c>
      <c r="AK694" s="71">
        <f t="shared" si="252"/>
        <v>0</v>
      </c>
      <c r="AM694" s="71">
        <f t="shared" si="253"/>
        <v>0</v>
      </c>
      <c r="AO694" s="71">
        <f t="shared" si="254"/>
        <v>0</v>
      </c>
      <c r="AQ694" s="71">
        <f t="shared" si="255"/>
        <v>0</v>
      </c>
      <c r="AT694" s="71">
        <f t="shared" si="256"/>
        <v>0</v>
      </c>
      <c r="AV694" s="71">
        <f t="shared" si="257"/>
        <v>0</v>
      </c>
      <c r="AX694" s="71">
        <f t="shared" si="258"/>
        <v>0</v>
      </c>
      <c r="AZ694" s="71">
        <f t="shared" si="259"/>
        <v>0</v>
      </c>
      <c r="BE694" s="102">
        <f t="shared" si="260"/>
        <v>4.4721359549995796</v>
      </c>
      <c r="BF694" s="81">
        <f t="shared" si="261"/>
        <v>9.3924867883288243E-14</v>
      </c>
      <c r="BG694" s="81" t="str">
        <f t="shared" si="262"/>
        <v>BASSO</v>
      </c>
      <c r="BK694" s="81" t="str">
        <f t="shared" si="263"/>
        <v>MOLTO BASSO</v>
      </c>
    </row>
    <row r="695" spans="7:63" x14ac:dyDescent="0.15">
      <c r="G695" s="64">
        <f t="shared" si="264"/>
        <v>0</v>
      </c>
      <c r="I695" s="64">
        <f t="shared" si="241"/>
        <v>0</v>
      </c>
      <c r="K695" s="64">
        <f t="shared" si="242"/>
        <v>0</v>
      </c>
      <c r="M695" s="64">
        <f t="shared" si="243"/>
        <v>0</v>
      </c>
      <c r="O695" s="64">
        <f t="shared" si="244"/>
        <v>0</v>
      </c>
      <c r="Q695" s="64">
        <f t="shared" si="245"/>
        <v>0</v>
      </c>
      <c r="S695" s="71">
        <f t="shared" si="246"/>
        <v>0</v>
      </c>
      <c r="U695" s="64">
        <f t="shared" si="247"/>
        <v>0</v>
      </c>
      <c r="W695" s="71">
        <f t="shared" si="248"/>
        <v>0</v>
      </c>
      <c r="Y695" s="71">
        <f t="shared" si="249"/>
        <v>0</v>
      </c>
      <c r="AA695" s="71">
        <f t="shared" si="250"/>
        <v>0</v>
      </c>
      <c r="AC695" s="71">
        <f t="shared" si="251"/>
        <v>0</v>
      </c>
      <c r="AK695" s="71">
        <f t="shared" si="252"/>
        <v>0</v>
      </c>
      <c r="AM695" s="71">
        <f t="shared" si="253"/>
        <v>0</v>
      </c>
      <c r="AO695" s="71">
        <f t="shared" si="254"/>
        <v>0</v>
      </c>
      <c r="AQ695" s="71">
        <f t="shared" si="255"/>
        <v>0</v>
      </c>
      <c r="AT695" s="71">
        <f t="shared" si="256"/>
        <v>0</v>
      </c>
      <c r="AV695" s="71">
        <f t="shared" si="257"/>
        <v>0</v>
      </c>
      <c r="AX695" s="71">
        <f t="shared" si="258"/>
        <v>0</v>
      </c>
      <c r="AZ695" s="71">
        <f t="shared" si="259"/>
        <v>0</v>
      </c>
      <c r="BE695" s="102">
        <f t="shared" si="260"/>
        <v>4.4721359549995796</v>
      </c>
      <c r="BF695" s="81">
        <f t="shared" si="261"/>
        <v>9.3924867883288243E-14</v>
      </c>
      <c r="BG695" s="81" t="str">
        <f t="shared" si="262"/>
        <v>BASSO</v>
      </c>
      <c r="BK695" s="81" t="str">
        <f t="shared" si="263"/>
        <v>MOLTO BASSO</v>
      </c>
    </row>
    <row r="696" spans="7:63" x14ac:dyDescent="0.15">
      <c r="G696" s="64">
        <f t="shared" si="264"/>
        <v>0</v>
      </c>
      <c r="I696" s="64">
        <f t="shared" si="241"/>
        <v>0</v>
      </c>
      <c r="K696" s="64">
        <f t="shared" si="242"/>
        <v>0</v>
      </c>
      <c r="M696" s="64">
        <f t="shared" si="243"/>
        <v>0</v>
      </c>
      <c r="O696" s="64">
        <f t="shared" si="244"/>
        <v>0</v>
      </c>
      <c r="Q696" s="64">
        <f t="shared" si="245"/>
        <v>0</v>
      </c>
      <c r="S696" s="71">
        <f t="shared" si="246"/>
        <v>0</v>
      </c>
      <c r="U696" s="64">
        <f t="shared" si="247"/>
        <v>0</v>
      </c>
      <c r="W696" s="71">
        <f t="shared" si="248"/>
        <v>0</v>
      </c>
      <c r="Y696" s="71">
        <f t="shared" si="249"/>
        <v>0</v>
      </c>
      <c r="AA696" s="71">
        <f t="shared" si="250"/>
        <v>0</v>
      </c>
      <c r="AC696" s="71">
        <f t="shared" si="251"/>
        <v>0</v>
      </c>
      <c r="AK696" s="71">
        <f t="shared" si="252"/>
        <v>0</v>
      </c>
      <c r="AM696" s="71">
        <f t="shared" si="253"/>
        <v>0</v>
      </c>
      <c r="AO696" s="71">
        <f t="shared" si="254"/>
        <v>0</v>
      </c>
      <c r="AQ696" s="71">
        <f t="shared" si="255"/>
        <v>0</v>
      </c>
      <c r="AT696" s="71">
        <f t="shared" si="256"/>
        <v>0</v>
      </c>
      <c r="AV696" s="71">
        <f t="shared" si="257"/>
        <v>0</v>
      </c>
      <c r="AX696" s="71">
        <f t="shared" si="258"/>
        <v>0</v>
      </c>
      <c r="AZ696" s="71">
        <f t="shared" si="259"/>
        <v>0</v>
      </c>
      <c r="BE696" s="102">
        <f t="shared" si="260"/>
        <v>4.4721359549995796</v>
      </c>
      <c r="BF696" s="81">
        <f t="shared" si="261"/>
        <v>9.3924867883288243E-14</v>
      </c>
      <c r="BG696" s="81" t="str">
        <f t="shared" si="262"/>
        <v>BASSO</v>
      </c>
      <c r="BK696" s="81" t="str">
        <f t="shared" si="263"/>
        <v>MOLTO BASSO</v>
      </c>
    </row>
    <row r="697" spans="7:63" x14ac:dyDescent="0.15">
      <c r="G697" s="64">
        <f t="shared" si="264"/>
        <v>0</v>
      </c>
      <c r="I697" s="64">
        <f t="shared" si="241"/>
        <v>0</v>
      </c>
      <c r="K697" s="64">
        <f t="shared" si="242"/>
        <v>0</v>
      </c>
      <c r="M697" s="64">
        <f t="shared" si="243"/>
        <v>0</v>
      </c>
      <c r="O697" s="64">
        <f t="shared" si="244"/>
        <v>0</v>
      </c>
      <c r="Q697" s="64">
        <f t="shared" si="245"/>
        <v>0</v>
      </c>
      <c r="S697" s="71">
        <f t="shared" si="246"/>
        <v>0</v>
      </c>
      <c r="U697" s="64">
        <f t="shared" si="247"/>
        <v>0</v>
      </c>
      <c r="W697" s="71">
        <f t="shared" si="248"/>
        <v>0</v>
      </c>
      <c r="Y697" s="71">
        <f t="shared" si="249"/>
        <v>0</v>
      </c>
      <c r="AA697" s="71">
        <f t="shared" si="250"/>
        <v>0</v>
      </c>
      <c r="AC697" s="71">
        <f t="shared" si="251"/>
        <v>0</v>
      </c>
      <c r="AK697" s="71">
        <f t="shared" si="252"/>
        <v>0</v>
      </c>
      <c r="AM697" s="71">
        <f t="shared" si="253"/>
        <v>0</v>
      </c>
      <c r="AO697" s="71">
        <f t="shared" si="254"/>
        <v>0</v>
      </c>
      <c r="AQ697" s="71">
        <f t="shared" si="255"/>
        <v>0</v>
      </c>
      <c r="AT697" s="71">
        <f t="shared" si="256"/>
        <v>0</v>
      </c>
      <c r="AV697" s="71">
        <f t="shared" si="257"/>
        <v>0</v>
      </c>
      <c r="AX697" s="71">
        <f t="shared" si="258"/>
        <v>0</v>
      </c>
      <c r="AZ697" s="71">
        <f t="shared" si="259"/>
        <v>0</v>
      </c>
      <c r="BE697" s="102">
        <f t="shared" si="260"/>
        <v>4.4721359549995796</v>
      </c>
      <c r="BF697" s="81">
        <f t="shared" si="261"/>
        <v>9.3924867883288243E-14</v>
      </c>
      <c r="BG697" s="81" t="str">
        <f t="shared" si="262"/>
        <v>BASSO</v>
      </c>
      <c r="BK697" s="81" t="str">
        <f t="shared" si="263"/>
        <v>MOLTO BASSO</v>
      </c>
    </row>
    <row r="698" spans="7:63" x14ac:dyDescent="0.15">
      <c r="G698" s="64">
        <f t="shared" si="264"/>
        <v>0</v>
      </c>
      <c r="I698" s="64">
        <f t="shared" si="241"/>
        <v>0</v>
      </c>
      <c r="K698" s="64">
        <f t="shared" si="242"/>
        <v>0</v>
      </c>
      <c r="M698" s="64">
        <f t="shared" si="243"/>
        <v>0</v>
      </c>
      <c r="O698" s="64">
        <f t="shared" si="244"/>
        <v>0</v>
      </c>
      <c r="Q698" s="64">
        <f t="shared" si="245"/>
        <v>0</v>
      </c>
      <c r="S698" s="71">
        <f t="shared" si="246"/>
        <v>0</v>
      </c>
      <c r="U698" s="64">
        <f t="shared" si="247"/>
        <v>0</v>
      </c>
      <c r="W698" s="71">
        <f t="shared" si="248"/>
        <v>0</v>
      </c>
      <c r="Y698" s="71">
        <f t="shared" si="249"/>
        <v>0</v>
      </c>
      <c r="AA698" s="71">
        <f t="shared" si="250"/>
        <v>0</v>
      </c>
      <c r="AC698" s="71">
        <f t="shared" si="251"/>
        <v>0</v>
      </c>
      <c r="AK698" s="71">
        <f t="shared" si="252"/>
        <v>0</v>
      </c>
      <c r="AM698" s="71">
        <f t="shared" si="253"/>
        <v>0</v>
      </c>
      <c r="AO698" s="71">
        <f t="shared" si="254"/>
        <v>0</v>
      </c>
      <c r="AQ698" s="71">
        <f t="shared" si="255"/>
        <v>0</v>
      </c>
      <c r="AT698" s="71">
        <f t="shared" si="256"/>
        <v>0</v>
      </c>
      <c r="AV698" s="71">
        <f t="shared" si="257"/>
        <v>0</v>
      </c>
      <c r="AX698" s="71">
        <f t="shared" si="258"/>
        <v>0</v>
      </c>
      <c r="AZ698" s="71">
        <f t="shared" si="259"/>
        <v>0</v>
      </c>
      <c r="BE698" s="102">
        <f t="shared" si="260"/>
        <v>4.4721359549995796</v>
      </c>
      <c r="BF698" s="81">
        <f t="shared" si="261"/>
        <v>9.3924867883288243E-14</v>
      </c>
      <c r="BG698" s="81" t="str">
        <f t="shared" si="262"/>
        <v>BASSO</v>
      </c>
      <c r="BK698" s="81" t="str">
        <f t="shared" si="263"/>
        <v>MOLTO BASSO</v>
      </c>
    </row>
    <row r="699" spans="7:63" x14ac:dyDescent="0.15">
      <c r="G699" s="64">
        <f t="shared" si="264"/>
        <v>0</v>
      </c>
      <c r="I699" s="64">
        <f t="shared" si="241"/>
        <v>0</v>
      </c>
      <c r="K699" s="64">
        <f t="shared" si="242"/>
        <v>0</v>
      </c>
      <c r="M699" s="64">
        <f t="shared" si="243"/>
        <v>0</v>
      </c>
      <c r="O699" s="64">
        <f t="shared" si="244"/>
        <v>0</v>
      </c>
      <c r="Q699" s="64">
        <f t="shared" si="245"/>
        <v>0</v>
      </c>
      <c r="S699" s="71">
        <f t="shared" si="246"/>
        <v>0</v>
      </c>
      <c r="U699" s="64">
        <f t="shared" si="247"/>
        <v>0</v>
      </c>
      <c r="W699" s="71">
        <f t="shared" si="248"/>
        <v>0</v>
      </c>
      <c r="Y699" s="71">
        <f t="shared" si="249"/>
        <v>0</v>
      </c>
      <c r="AA699" s="71">
        <f t="shared" si="250"/>
        <v>0</v>
      </c>
      <c r="AC699" s="71">
        <f t="shared" si="251"/>
        <v>0</v>
      </c>
      <c r="AK699" s="71">
        <f t="shared" si="252"/>
        <v>0</v>
      </c>
      <c r="AM699" s="71">
        <f t="shared" si="253"/>
        <v>0</v>
      </c>
      <c r="AO699" s="71">
        <f t="shared" si="254"/>
        <v>0</v>
      </c>
      <c r="AQ699" s="71">
        <f t="shared" si="255"/>
        <v>0</v>
      </c>
      <c r="AT699" s="71">
        <f t="shared" si="256"/>
        <v>0</v>
      </c>
      <c r="AV699" s="71">
        <f t="shared" si="257"/>
        <v>0</v>
      </c>
      <c r="AX699" s="71">
        <f t="shared" si="258"/>
        <v>0</v>
      </c>
      <c r="AZ699" s="71">
        <f t="shared" si="259"/>
        <v>0</v>
      </c>
      <c r="BE699" s="102">
        <f t="shared" si="260"/>
        <v>4.4721359549995796</v>
      </c>
      <c r="BF699" s="81">
        <f t="shared" si="261"/>
        <v>9.3924867883288243E-14</v>
      </c>
      <c r="BG699" s="81" t="str">
        <f t="shared" si="262"/>
        <v>BASSO</v>
      </c>
      <c r="BK699" s="81" t="str">
        <f t="shared" si="263"/>
        <v>MOLTO BASSO</v>
      </c>
    </row>
    <row r="700" spans="7:63" x14ac:dyDescent="0.15">
      <c r="G700" s="64">
        <f t="shared" si="264"/>
        <v>0</v>
      </c>
      <c r="I700" s="64">
        <f t="shared" si="241"/>
        <v>0</v>
      </c>
      <c r="K700" s="64">
        <f t="shared" si="242"/>
        <v>0</v>
      </c>
      <c r="M700" s="64">
        <f t="shared" si="243"/>
        <v>0</v>
      </c>
      <c r="O700" s="64">
        <f t="shared" si="244"/>
        <v>0</v>
      </c>
      <c r="Q700" s="64">
        <f t="shared" si="245"/>
        <v>0</v>
      </c>
      <c r="S700" s="71">
        <f t="shared" si="246"/>
        <v>0</v>
      </c>
      <c r="U700" s="64">
        <f t="shared" si="247"/>
        <v>0</v>
      </c>
      <c r="W700" s="71">
        <f t="shared" si="248"/>
        <v>0</v>
      </c>
      <c r="Y700" s="71">
        <f t="shared" si="249"/>
        <v>0</v>
      </c>
      <c r="AA700" s="71">
        <f t="shared" si="250"/>
        <v>0</v>
      </c>
      <c r="AC700" s="71">
        <f t="shared" si="251"/>
        <v>0</v>
      </c>
      <c r="AK700" s="71">
        <f t="shared" si="252"/>
        <v>0</v>
      </c>
      <c r="AM700" s="71">
        <f t="shared" si="253"/>
        <v>0</v>
      </c>
      <c r="AO700" s="71">
        <f t="shared" si="254"/>
        <v>0</v>
      </c>
      <c r="AQ700" s="71">
        <f t="shared" si="255"/>
        <v>0</v>
      </c>
      <c r="AT700" s="71">
        <f t="shared" si="256"/>
        <v>0</v>
      </c>
      <c r="AV700" s="71">
        <f t="shared" si="257"/>
        <v>0</v>
      </c>
      <c r="AX700" s="71">
        <f t="shared" si="258"/>
        <v>0</v>
      </c>
      <c r="AZ700" s="71">
        <f t="shared" si="259"/>
        <v>0</v>
      </c>
      <c r="BE700" s="102">
        <f t="shared" si="260"/>
        <v>4.4721359549995796</v>
      </c>
      <c r="BF700" s="81">
        <f t="shared" si="261"/>
        <v>9.3924867883288243E-14</v>
      </c>
      <c r="BG700" s="81" t="str">
        <f t="shared" si="262"/>
        <v>BASSO</v>
      </c>
      <c r="BK700" s="81" t="str">
        <f t="shared" si="263"/>
        <v>MOLTO BASSO</v>
      </c>
    </row>
    <row r="701" spans="7:63" x14ac:dyDescent="0.15">
      <c r="G701" s="64">
        <f t="shared" si="264"/>
        <v>0</v>
      </c>
      <c r="I701" s="64">
        <f t="shared" si="241"/>
        <v>0</v>
      </c>
      <c r="K701" s="64">
        <f t="shared" si="242"/>
        <v>0</v>
      </c>
      <c r="M701" s="64">
        <f t="shared" si="243"/>
        <v>0</v>
      </c>
      <c r="O701" s="64">
        <f t="shared" si="244"/>
        <v>0</v>
      </c>
      <c r="Q701" s="64">
        <f t="shared" si="245"/>
        <v>0</v>
      </c>
      <c r="S701" s="71">
        <f t="shared" si="246"/>
        <v>0</v>
      </c>
      <c r="U701" s="64">
        <f t="shared" si="247"/>
        <v>0</v>
      </c>
      <c r="W701" s="71">
        <f t="shared" si="248"/>
        <v>0</v>
      </c>
      <c r="Y701" s="71">
        <f t="shared" si="249"/>
        <v>0</v>
      </c>
      <c r="AA701" s="71">
        <f t="shared" si="250"/>
        <v>0</v>
      </c>
      <c r="AC701" s="71">
        <f t="shared" si="251"/>
        <v>0</v>
      </c>
      <c r="AK701" s="71">
        <f t="shared" si="252"/>
        <v>0</v>
      </c>
      <c r="AM701" s="71">
        <f t="shared" si="253"/>
        <v>0</v>
      </c>
      <c r="AO701" s="71">
        <f t="shared" si="254"/>
        <v>0</v>
      </c>
      <c r="AQ701" s="71">
        <f t="shared" si="255"/>
        <v>0</v>
      </c>
      <c r="AT701" s="71">
        <f t="shared" si="256"/>
        <v>0</v>
      </c>
      <c r="AV701" s="71">
        <f t="shared" si="257"/>
        <v>0</v>
      </c>
      <c r="AX701" s="71">
        <f t="shared" si="258"/>
        <v>0</v>
      </c>
      <c r="AZ701" s="71">
        <f t="shared" si="259"/>
        <v>0</v>
      </c>
      <c r="BE701" s="102">
        <f t="shared" si="260"/>
        <v>4.4721359549995796</v>
      </c>
      <c r="BF701" s="81">
        <f t="shared" si="261"/>
        <v>9.3924867883288243E-14</v>
      </c>
      <c r="BG701" s="81" t="str">
        <f t="shared" si="262"/>
        <v>BASSO</v>
      </c>
      <c r="BK701" s="81" t="str">
        <f t="shared" si="263"/>
        <v>MOLTO BASSO</v>
      </c>
    </row>
    <row r="702" spans="7:63" x14ac:dyDescent="0.15">
      <c r="G702" s="64">
        <f t="shared" si="264"/>
        <v>0</v>
      </c>
      <c r="I702" s="64">
        <f t="shared" si="241"/>
        <v>0</v>
      </c>
      <c r="K702" s="64">
        <f t="shared" si="242"/>
        <v>0</v>
      </c>
      <c r="M702" s="64">
        <f t="shared" si="243"/>
        <v>0</v>
      </c>
      <c r="O702" s="64">
        <f t="shared" si="244"/>
        <v>0</v>
      </c>
      <c r="Q702" s="64">
        <f t="shared" si="245"/>
        <v>0</v>
      </c>
      <c r="S702" s="71">
        <f t="shared" si="246"/>
        <v>0</v>
      </c>
      <c r="U702" s="64">
        <f t="shared" si="247"/>
        <v>0</v>
      </c>
      <c r="W702" s="71">
        <f t="shared" si="248"/>
        <v>0</v>
      </c>
      <c r="Y702" s="71">
        <f t="shared" si="249"/>
        <v>0</v>
      </c>
      <c r="AA702" s="71">
        <f t="shared" si="250"/>
        <v>0</v>
      </c>
      <c r="AC702" s="71">
        <f t="shared" si="251"/>
        <v>0</v>
      </c>
      <c r="AK702" s="71">
        <f t="shared" si="252"/>
        <v>0</v>
      </c>
      <c r="AM702" s="71">
        <f t="shared" si="253"/>
        <v>0</v>
      </c>
      <c r="AO702" s="71">
        <f t="shared" si="254"/>
        <v>0</v>
      </c>
      <c r="AQ702" s="71">
        <f t="shared" si="255"/>
        <v>0</v>
      </c>
      <c r="AT702" s="71">
        <f t="shared" si="256"/>
        <v>0</v>
      </c>
      <c r="AV702" s="71">
        <f t="shared" si="257"/>
        <v>0</v>
      </c>
      <c r="AX702" s="71">
        <f t="shared" si="258"/>
        <v>0</v>
      </c>
      <c r="AZ702" s="71">
        <f t="shared" si="259"/>
        <v>0</v>
      </c>
      <c r="BE702" s="102">
        <f t="shared" si="260"/>
        <v>4.4721359549995796</v>
      </c>
      <c r="BF702" s="81">
        <f t="shared" si="261"/>
        <v>9.3924867883288243E-14</v>
      </c>
      <c r="BG702" s="81" t="str">
        <f t="shared" si="262"/>
        <v>BASSO</v>
      </c>
      <c r="BK702" s="81" t="str">
        <f t="shared" si="263"/>
        <v>MOLTO BASSO</v>
      </c>
    </row>
    <row r="703" spans="7:63" x14ac:dyDescent="0.15">
      <c r="G703" s="64">
        <f t="shared" si="264"/>
        <v>0</v>
      </c>
      <c r="I703" s="64">
        <f t="shared" si="241"/>
        <v>0</v>
      </c>
      <c r="K703" s="64">
        <f t="shared" si="242"/>
        <v>0</v>
      </c>
      <c r="M703" s="64">
        <f t="shared" si="243"/>
        <v>0</v>
      </c>
      <c r="O703" s="64">
        <f t="shared" si="244"/>
        <v>0</v>
      </c>
      <c r="Q703" s="64">
        <f t="shared" si="245"/>
        <v>0</v>
      </c>
      <c r="S703" s="71">
        <f t="shared" si="246"/>
        <v>0</v>
      </c>
      <c r="U703" s="64">
        <f t="shared" si="247"/>
        <v>0</v>
      </c>
      <c r="W703" s="71">
        <f t="shared" si="248"/>
        <v>0</v>
      </c>
      <c r="Y703" s="71">
        <f t="shared" si="249"/>
        <v>0</v>
      </c>
      <c r="AA703" s="71">
        <f t="shared" si="250"/>
        <v>0</v>
      </c>
      <c r="AC703" s="71">
        <f t="shared" si="251"/>
        <v>0</v>
      </c>
      <c r="AK703" s="71">
        <f t="shared" si="252"/>
        <v>0</v>
      </c>
      <c r="AM703" s="71">
        <f t="shared" si="253"/>
        <v>0</v>
      </c>
      <c r="AO703" s="71">
        <f t="shared" si="254"/>
        <v>0</v>
      </c>
      <c r="AQ703" s="71">
        <f t="shared" si="255"/>
        <v>0</v>
      </c>
      <c r="AT703" s="71">
        <f t="shared" si="256"/>
        <v>0</v>
      </c>
      <c r="AV703" s="71">
        <f t="shared" si="257"/>
        <v>0</v>
      </c>
      <c r="AX703" s="71">
        <f t="shared" si="258"/>
        <v>0</v>
      </c>
      <c r="AZ703" s="71">
        <f t="shared" si="259"/>
        <v>0</v>
      </c>
      <c r="BE703" s="102">
        <f t="shared" si="260"/>
        <v>4.4721359549995796</v>
      </c>
      <c r="BF703" s="81">
        <f t="shared" si="261"/>
        <v>9.3924867883288243E-14</v>
      </c>
      <c r="BG703" s="81" t="str">
        <f t="shared" si="262"/>
        <v>BASSO</v>
      </c>
      <c r="BK703" s="81" t="str">
        <f t="shared" si="263"/>
        <v>MOLTO BASSO</v>
      </c>
    </row>
    <row r="704" spans="7:63" x14ac:dyDescent="0.15">
      <c r="G704" s="64">
        <f t="shared" si="264"/>
        <v>0</v>
      </c>
      <c r="I704" s="64">
        <f t="shared" si="241"/>
        <v>0</v>
      </c>
      <c r="K704" s="64">
        <f t="shared" si="242"/>
        <v>0</v>
      </c>
      <c r="M704" s="64">
        <f t="shared" si="243"/>
        <v>0</v>
      </c>
      <c r="O704" s="64">
        <f t="shared" si="244"/>
        <v>0</v>
      </c>
      <c r="Q704" s="64">
        <f t="shared" si="245"/>
        <v>0</v>
      </c>
      <c r="S704" s="71">
        <f t="shared" si="246"/>
        <v>0</v>
      </c>
      <c r="U704" s="64">
        <f t="shared" si="247"/>
        <v>0</v>
      </c>
      <c r="W704" s="71">
        <f t="shared" si="248"/>
        <v>0</v>
      </c>
      <c r="Y704" s="71">
        <f t="shared" si="249"/>
        <v>0</v>
      </c>
      <c r="AA704" s="71">
        <f t="shared" si="250"/>
        <v>0</v>
      </c>
      <c r="AC704" s="71">
        <f t="shared" si="251"/>
        <v>0</v>
      </c>
      <c r="AK704" s="71">
        <f t="shared" si="252"/>
        <v>0</v>
      </c>
      <c r="AM704" s="71">
        <f t="shared" si="253"/>
        <v>0</v>
      </c>
      <c r="AO704" s="71">
        <f t="shared" si="254"/>
        <v>0</v>
      </c>
      <c r="AQ704" s="71">
        <f t="shared" si="255"/>
        <v>0</v>
      </c>
      <c r="AT704" s="71">
        <f t="shared" si="256"/>
        <v>0</v>
      </c>
      <c r="AV704" s="71">
        <f t="shared" si="257"/>
        <v>0</v>
      </c>
      <c r="AX704" s="71">
        <f t="shared" si="258"/>
        <v>0</v>
      </c>
      <c r="AZ704" s="71">
        <f t="shared" si="259"/>
        <v>0</v>
      </c>
      <c r="BE704" s="102">
        <f t="shared" si="260"/>
        <v>4.4721359549995796</v>
      </c>
      <c r="BF704" s="81">
        <f t="shared" si="261"/>
        <v>9.3924867883288243E-14</v>
      </c>
      <c r="BG704" s="81" t="str">
        <f t="shared" si="262"/>
        <v>BASSO</v>
      </c>
      <c r="BK704" s="81" t="str">
        <f t="shared" si="263"/>
        <v>MOLTO BASSO</v>
      </c>
    </row>
    <row r="705" spans="7:63" x14ac:dyDescent="0.15">
      <c r="G705" s="64">
        <f t="shared" si="264"/>
        <v>0</v>
      </c>
      <c r="I705" s="64">
        <f t="shared" si="241"/>
        <v>0</v>
      </c>
      <c r="K705" s="64">
        <f t="shared" si="242"/>
        <v>0</v>
      </c>
      <c r="M705" s="64">
        <f t="shared" si="243"/>
        <v>0</v>
      </c>
      <c r="O705" s="64">
        <f t="shared" si="244"/>
        <v>0</v>
      </c>
      <c r="Q705" s="64">
        <f t="shared" si="245"/>
        <v>0</v>
      </c>
      <c r="S705" s="71">
        <f t="shared" si="246"/>
        <v>0</v>
      </c>
      <c r="U705" s="64">
        <f t="shared" si="247"/>
        <v>0</v>
      </c>
      <c r="W705" s="71">
        <f t="shared" si="248"/>
        <v>0</v>
      </c>
      <c r="Y705" s="71">
        <f t="shared" si="249"/>
        <v>0</v>
      </c>
      <c r="AA705" s="71">
        <f t="shared" si="250"/>
        <v>0</v>
      </c>
      <c r="AC705" s="71">
        <f t="shared" si="251"/>
        <v>0</v>
      </c>
      <c r="AK705" s="71">
        <f t="shared" si="252"/>
        <v>0</v>
      </c>
      <c r="AM705" s="71">
        <f t="shared" si="253"/>
        <v>0</v>
      </c>
      <c r="AO705" s="71">
        <f t="shared" si="254"/>
        <v>0</v>
      </c>
      <c r="AQ705" s="71">
        <f t="shared" si="255"/>
        <v>0</v>
      </c>
      <c r="AT705" s="71">
        <f t="shared" si="256"/>
        <v>0</v>
      </c>
      <c r="AV705" s="71">
        <f t="shared" si="257"/>
        <v>0</v>
      </c>
      <c r="AX705" s="71">
        <f t="shared" si="258"/>
        <v>0</v>
      </c>
      <c r="AZ705" s="71">
        <f t="shared" si="259"/>
        <v>0</v>
      </c>
      <c r="BE705" s="102">
        <f t="shared" si="260"/>
        <v>4.4721359549995796</v>
      </c>
      <c r="BF705" s="81">
        <f t="shared" si="261"/>
        <v>9.3924867883288243E-14</v>
      </c>
      <c r="BG705" s="81" t="str">
        <f t="shared" si="262"/>
        <v>BASSO</v>
      </c>
      <c r="BK705" s="81" t="str">
        <f t="shared" si="263"/>
        <v>MOLTO BASSO</v>
      </c>
    </row>
    <row r="706" spans="7:63" x14ac:dyDescent="0.15">
      <c r="G706" s="64">
        <f t="shared" si="264"/>
        <v>0</v>
      </c>
      <c r="I706" s="64">
        <f t="shared" si="241"/>
        <v>0</v>
      </c>
      <c r="K706" s="64">
        <f t="shared" si="242"/>
        <v>0</v>
      </c>
      <c r="M706" s="64">
        <f t="shared" si="243"/>
        <v>0</v>
      </c>
      <c r="O706" s="64">
        <f t="shared" si="244"/>
        <v>0</v>
      </c>
      <c r="Q706" s="64">
        <f t="shared" si="245"/>
        <v>0</v>
      </c>
      <c r="S706" s="71">
        <f t="shared" si="246"/>
        <v>0</v>
      </c>
      <c r="U706" s="64">
        <f t="shared" si="247"/>
        <v>0</v>
      </c>
      <c r="W706" s="71">
        <f t="shared" si="248"/>
        <v>0</v>
      </c>
      <c r="Y706" s="71">
        <f t="shared" si="249"/>
        <v>0</v>
      </c>
      <c r="AA706" s="71">
        <f t="shared" si="250"/>
        <v>0</v>
      </c>
      <c r="AC706" s="71">
        <f t="shared" si="251"/>
        <v>0</v>
      </c>
      <c r="AK706" s="71">
        <f t="shared" si="252"/>
        <v>0</v>
      </c>
      <c r="AM706" s="71">
        <f t="shared" si="253"/>
        <v>0</v>
      </c>
      <c r="AO706" s="71">
        <f t="shared" si="254"/>
        <v>0</v>
      </c>
      <c r="AQ706" s="71">
        <f t="shared" si="255"/>
        <v>0</v>
      </c>
      <c r="AT706" s="71">
        <f t="shared" si="256"/>
        <v>0</v>
      </c>
      <c r="AV706" s="71">
        <f t="shared" si="257"/>
        <v>0</v>
      </c>
      <c r="AX706" s="71">
        <f t="shared" si="258"/>
        <v>0</v>
      </c>
      <c r="AZ706" s="71">
        <f t="shared" si="259"/>
        <v>0</v>
      </c>
      <c r="BE706" s="102">
        <f t="shared" si="260"/>
        <v>4.4721359549995796</v>
      </c>
      <c r="BF706" s="81">
        <f t="shared" si="261"/>
        <v>9.3924867883288243E-14</v>
      </c>
      <c r="BG706" s="81" t="str">
        <f t="shared" si="262"/>
        <v>BASSO</v>
      </c>
      <c r="BK706" s="81" t="str">
        <f t="shared" si="263"/>
        <v>MOLTO BASSO</v>
      </c>
    </row>
    <row r="707" spans="7:63" x14ac:dyDescent="0.15">
      <c r="G707" s="64">
        <f t="shared" si="264"/>
        <v>0</v>
      </c>
      <c r="I707" s="64">
        <f t="shared" ref="I707:I770" si="265">H707/2</f>
        <v>0</v>
      </c>
      <c r="K707" s="64">
        <f t="shared" ref="K707:K770" si="266">J707/2</f>
        <v>0</v>
      </c>
      <c r="M707" s="64">
        <f t="shared" ref="M707:M770" si="267">L707/3</f>
        <v>0</v>
      </c>
      <c r="O707" s="64">
        <f t="shared" ref="O707:O770" si="268">N707/5</f>
        <v>0</v>
      </c>
      <c r="Q707" s="64">
        <f t="shared" ref="Q707:Q770" si="269">P707/3</f>
        <v>0</v>
      </c>
      <c r="S707" s="71">
        <f t="shared" ref="S707:S770" si="270">R707/3</f>
        <v>0</v>
      </c>
      <c r="U707" s="64">
        <f t="shared" ref="U707:U770" si="271">T707/3</f>
        <v>0</v>
      </c>
      <c r="W707" s="71">
        <f t="shared" ref="W707:W770" si="272">V707/4</f>
        <v>0</v>
      </c>
      <c r="Y707" s="71">
        <f t="shared" ref="Y707:Y770" si="273">X707/3</f>
        <v>0</v>
      </c>
      <c r="AA707" s="71">
        <f t="shared" ref="AA707:AA770" si="274">Z707/3</f>
        <v>0</v>
      </c>
      <c r="AC707" s="71">
        <f t="shared" ref="AC707:AC770" si="275">AB707/2</f>
        <v>0</v>
      </c>
      <c r="AK707" s="71">
        <f t="shared" ref="AK707:AK770" si="276">AJ707/2</f>
        <v>0</v>
      </c>
      <c r="AM707" s="71">
        <f t="shared" ref="AM707:AM770" si="277">AL707/3</f>
        <v>0</v>
      </c>
      <c r="AO707" s="71">
        <f t="shared" ref="AO707:AO770" si="278">AN707/3</f>
        <v>0</v>
      </c>
      <c r="AQ707" s="71">
        <f t="shared" ref="AQ707:AQ770" si="279">AP707/3</f>
        <v>0</v>
      </c>
      <c r="AT707" s="71">
        <f t="shared" ref="AT707:AT770" si="280">AS707/3</f>
        <v>0</v>
      </c>
      <c r="AV707" s="71">
        <f t="shared" ref="AV707:AV770" si="281">AU707/3</f>
        <v>0</v>
      </c>
      <c r="AX707" s="71">
        <f t="shared" ref="AX707:AX770" si="282">AW707/2</f>
        <v>0</v>
      </c>
      <c r="AZ707" s="71">
        <f t="shared" ref="AZ707:AZ770" si="283">AY707/3</f>
        <v>0</v>
      </c>
      <c r="BE707" s="102">
        <f t="shared" ref="BE707:BE770" si="284">SQRT((1-G707)^2 + (1-I707)^2 + (1-K707)^2 + (1-M707)^2 + (1-O707)^2 + (1-Q707)^2 + (1-S707)^2 + (1-U707)^2 + (1-W707)^2 + (1-Y707)^2 + (1-AA707)^2 + (1-AC707)^2 + (1-AK707)^2 + (1-AM707)^2 + (1-AO707)^2 + (1-AQ707)^2 + (1-AT707)^2 + (1-AV707)^2 + (1-AX707)^2 + (1-AZ707)^2)</f>
        <v>4.4721359549995796</v>
      </c>
      <c r="BF707" s="81">
        <f t="shared" ref="BF707:BF770" si="285">1 - (BE707 / 4.472135955)</f>
        <v>9.3924867883288243E-14</v>
      </c>
      <c r="BG707" s="81" t="str">
        <f t="shared" ref="BG707:BG770" si="286">IF(BF707&lt;=0.33, "BASSO", IF(BF707&lt;=0.66, "MEDIO", "ALTO"))</f>
        <v>BASSO</v>
      </c>
      <c r="BK707" s="81" t="str">
        <f t="shared" ref="BK707:BK770" si="287">IF(BF707&lt;0.3,"MOLTO BASSO",IF(BF707&lt;0.45,"BASSO",IF(BF707&lt;0.65,"MEDIO",IF(BF707&lt;0.8,"ALTO","MOLTO ALTO"))))</f>
        <v>MOLTO BASSO</v>
      </c>
    </row>
    <row r="708" spans="7:63" x14ac:dyDescent="0.15">
      <c r="G708" s="64">
        <f t="shared" si="264"/>
        <v>0</v>
      </c>
      <c r="I708" s="64">
        <f t="shared" si="265"/>
        <v>0</v>
      </c>
      <c r="K708" s="64">
        <f t="shared" si="266"/>
        <v>0</v>
      </c>
      <c r="M708" s="64">
        <f t="shared" si="267"/>
        <v>0</v>
      </c>
      <c r="O708" s="64">
        <f t="shared" si="268"/>
        <v>0</v>
      </c>
      <c r="Q708" s="64">
        <f t="shared" si="269"/>
        <v>0</v>
      </c>
      <c r="S708" s="71">
        <f t="shared" si="270"/>
        <v>0</v>
      </c>
      <c r="U708" s="64">
        <f t="shared" si="271"/>
        <v>0</v>
      </c>
      <c r="W708" s="71">
        <f t="shared" si="272"/>
        <v>0</v>
      </c>
      <c r="Y708" s="71">
        <f t="shared" si="273"/>
        <v>0</v>
      </c>
      <c r="AA708" s="71">
        <f t="shared" si="274"/>
        <v>0</v>
      </c>
      <c r="AC708" s="71">
        <f t="shared" si="275"/>
        <v>0</v>
      </c>
      <c r="AK708" s="71">
        <f t="shared" si="276"/>
        <v>0</v>
      </c>
      <c r="AM708" s="71">
        <f t="shared" si="277"/>
        <v>0</v>
      </c>
      <c r="AO708" s="71">
        <f t="shared" si="278"/>
        <v>0</v>
      </c>
      <c r="AQ708" s="71">
        <f t="shared" si="279"/>
        <v>0</v>
      </c>
      <c r="AT708" s="71">
        <f t="shared" si="280"/>
        <v>0</v>
      </c>
      <c r="AV708" s="71">
        <f t="shared" si="281"/>
        <v>0</v>
      </c>
      <c r="AX708" s="71">
        <f t="shared" si="282"/>
        <v>0</v>
      </c>
      <c r="AZ708" s="71">
        <f t="shared" si="283"/>
        <v>0</v>
      </c>
      <c r="BE708" s="102">
        <f t="shared" si="284"/>
        <v>4.4721359549995796</v>
      </c>
      <c r="BF708" s="81">
        <f t="shared" si="285"/>
        <v>9.3924867883288243E-14</v>
      </c>
      <c r="BG708" s="81" t="str">
        <f t="shared" si="286"/>
        <v>BASSO</v>
      </c>
      <c r="BK708" s="81" t="str">
        <f t="shared" si="287"/>
        <v>MOLTO BASSO</v>
      </c>
    </row>
    <row r="709" spans="7:63" x14ac:dyDescent="0.15">
      <c r="G709" s="64">
        <f t="shared" si="264"/>
        <v>0</v>
      </c>
      <c r="I709" s="64">
        <f t="shared" si="265"/>
        <v>0</v>
      </c>
      <c r="K709" s="64">
        <f t="shared" si="266"/>
        <v>0</v>
      </c>
      <c r="M709" s="64">
        <f t="shared" si="267"/>
        <v>0</v>
      </c>
      <c r="O709" s="64">
        <f t="shared" si="268"/>
        <v>0</v>
      </c>
      <c r="Q709" s="64">
        <f t="shared" si="269"/>
        <v>0</v>
      </c>
      <c r="S709" s="71">
        <f t="shared" si="270"/>
        <v>0</v>
      </c>
      <c r="U709" s="64">
        <f t="shared" si="271"/>
        <v>0</v>
      </c>
      <c r="W709" s="71">
        <f t="shared" si="272"/>
        <v>0</v>
      </c>
      <c r="Y709" s="71">
        <f t="shared" si="273"/>
        <v>0</v>
      </c>
      <c r="AA709" s="71">
        <f t="shared" si="274"/>
        <v>0</v>
      </c>
      <c r="AC709" s="71">
        <f t="shared" si="275"/>
        <v>0</v>
      </c>
      <c r="AK709" s="71">
        <f t="shared" si="276"/>
        <v>0</v>
      </c>
      <c r="AM709" s="71">
        <f t="shared" si="277"/>
        <v>0</v>
      </c>
      <c r="AO709" s="71">
        <f t="shared" si="278"/>
        <v>0</v>
      </c>
      <c r="AQ709" s="71">
        <f t="shared" si="279"/>
        <v>0</v>
      </c>
      <c r="AT709" s="71">
        <f t="shared" si="280"/>
        <v>0</v>
      </c>
      <c r="AV709" s="71">
        <f t="shared" si="281"/>
        <v>0</v>
      </c>
      <c r="AX709" s="71">
        <f t="shared" si="282"/>
        <v>0</v>
      </c>
      <c r="AZ709" s="71">
        <f t="shared" si="283"/>
        <v>0</v>
      </c>
      <c r="BE709" s="102">
        <f t="shared" si="284"/>
        <v>4.4721359549995796</v>
      </c>
      <c r="BF709" s="81">
        <f t="shared" si="285"/>
        <v>9.3924867883288243E-14</v>
      </c>
      <c r="BG709" s="81" t="str">
        <f t="shared" si="286"/>
        <v>BASSO</v>
      </c>
      <c r="BK709" s="81" t="str">
        <f t="shared" si="287"/>
        <v>MOLTO BASSO</v>
      </c>
    </row>
    <row r="710" spans="7:63" x14ac:dyDescent="0.15">
      <c r="G710" s="64">
        <f t="shared" si="264"/>
        <v>0</v>
      </c>
      <c r="I710" s="64">
        <f t="shared" si="265"/>
        <v>0</v>
      </c>
      <c r="K710" s="64">
        <f t="shared" si="266"/>
        <v>0</v>
      </c>
      <c r="M710" s="64">
        <f t="shared" si="267"/>
        <v>0</v>
      </c>
      <c r="O710" s="64">
        <f t="shared" si="268"/>
        <v>0</v>
      </c>
      <c r="Q710" s="64">
        <f t="shared" si="269"/>
        <v>0</v>
      </c>
      <c r="S710" s="71">
        <f t="shared" si="270"/>
        <v>0</v>
      </c>
      <c r="U710" s="64">
        <f t="shared" si="271"/>
        <v>0</v>
      </c>
      <c r="W710" s="71">
        <f t="shared" si="272"/>
        <v>0</v>
      </c>
      <c r="Y710" s="71">
        <f t="shared" si="273"/>
        <v>0</v>
      </c>
      <c r="AA710" s="71">
        <f t="shared" si="274"/>
        <v>0</v>
      </c>
      <c r="AC710" s="71">
        <f t="shared" si="275"/>
        <v>0</v>
      </c>
      <c r="AK710" s="71">
        <f t="shared" si="276"/>
        <v>0</v>
      </c>
      <c r="AM710" s="71">
        <f t="shared" si="277"/>
        <v>0</v>
      </c>
      <c r="AO710" s="71">
        <f t="shared" si="278"/>
        <v>0</v>
      </c>
      <c r="AQ710" s="71">
        <f t="shared" si="279"/>
        <v>0</v>
      </c>
      <c r="AT710" s="71">
        <f t="shared" si="280"/>
        <v>0</v>
      </c>
      <c r="AV710" s="71">
        <f t="shared" si="281"/>
        <v>0</v>
      </c>
      <c r="AX710" s="71">
        <f t="shared" si="282"/>
        <v>0</v>
      </c>
      <c r="AZ710" s="71">
        <f t="shared" si="283"/>
        <v>0</v>
      </c>
      <c r="BE710" s="102">
        <f t="shared" si="284"/>
        <v>4.4721359549995796</v>
      </c>
      <c r="BF710" s="81">
        <f t="shared" si="285"/>
        <v>9.3924867883288243E-14</v>
      </c>
      <c r="BG710" s="81" t="str">
        <f t="shared" si="286"/>
        <v>BASSO</v>
      </c>
      <c r="BK710" s="81" t="str">
        <f t="shared" si="287"/>
        <v>MOLTO BASSO</v>
      </c>
    </row>
    <row r="711" spans="7:63" x14ac:dyDescent="0.15">
      <c r="G711" s="64">
        <f t="shared" si="264"/>
        <v>0</v>
      </c>
      <c r="I711" s="64">
        <f t="shared" si="265"/>
        <v>0</v>
      </c>
      <c r="K711" s="64">
        <f t="shared" si="266"/>
        <v>0</v>
      </c>
      <c r="M711" s="64">
        <f t="shared" si="267"/>
        <v>0</v>
      </c>
      <c r="O711" s="64">
        <f t="shared" si="268"/>
        <v>0</v>
      </c>
      <c r="Q711" s="64">
        <f t="shared" si="269"/>
        <v>0</v>
      </c>
      <c r="S711" s="71">
        <f t="shared" si="270"/>
        <v>0</v>
      </c>
      <c r="U711" s="64">
        <f t="shared" si="271"/>
        <v>0</v>
      </c>
      <c r="W711" s="71">
        <f t="shared" si="272"/>
        <v>0</v>
      </c>
      <c r="Y711" s="71">
        <f t="shared" si="273"/>
        <v>0</v>
      </c>
      <c r="AA711" s="71">
        <f t="shared" si="274"/>
        <v>0</v>
      </c>
      <c r="AC711" s="71">
        <f t="shared" si="275"/>
        <v>0</v>
      </c>
      <c r="AK711" s="71">
        <f t="shared" si="276"/>
        <v>0</v>
      </c>
      <c r="AM711" s="71">
        <f t="shared" si="277"/>
        <v>0</v>
      </c>
      <c r="AO711" s="71">
        <f t="shared" si="278"/>
        <v>0</v>
      </c>
      <c r="AQ711" s="71">
        <f t="shared" si="279"/>
        <v>0</v>
      </c>
      <c r="AT711" s="71">
        <f t="shared" si="280"/>
        <v>0</v>
      </c>
      <c r="AV711" s="71">
        <f t="shared" si="281"/>
        <v>0</v>
      </c>
      <c r="AX711" s="71">
        <f t="shared" si="282"/>
        <v>0</v>
      </c>
      <c r="AZ711" s="71">
        <f t="shared" si="283"/>
        <v>0</v>
      </c>
      <c r="BE711" s="102">
        <f t="shared" si="284"/>
        <v>4.4721359549995796</v>
      </c>
      <c r="BF711" s="81">
        <f t="shared" si="285"/>
        <v>9.3924867883288243E-14</v>
      </c>
      <c r="BG711" s="81" t="str">
        <f t="shared" si="286"/>
        <v>BASSO</v>
      </c>
      <c r="BK711" s="81" t="str">
        <f t="shared" si="287"/>
        <v>MOLTO BASSO</v>
      </c>
    </row>
    <row r="712" spans="7:63" x14ac:dyDescent="0.15">
      <c r="G712" s="64">
        <f t="shared" si="264"/>
        <v>0</v>
      </c>
      <c r="I712" s="64">
        <f t="shared" si="265"/>
        <v>0</v>
      </c>
      <c r="K712" s="64">
        <f t="shared" si="266"/>
        <v>0</v>
      </c>
      <c r="M712" s="64">
        <f t="shared" si="267"/>
        <v>0</v>
      </c>
      <c r="O712" s="64">
        <f t="shared" si="268"/>
        <v>0</v>
      </c>
      <c r="Q712" s="64">
        <f t="shared" si="269"/>
        <v>0</v>
      </c>
      <c r="S712" s="71">
        <f t="shared" si="270"/>
        <v>0</v>
      </c>
      <c r="U712" s="64">
        <f t="shared" si="271"/>
        <v>0</v>
      </c>
      <c r="W712" s="71">
        <f t="shared" si="272"/>
        <v>0</v>
      </c>
      <c r="Y712" s="71">
        <f t="shared" si="273"/>
        <v>0</v>
      </c>
      <c r="AA712" s="71">
        <f t="shared" si="274"/>
        <v>0</v>
      </c>
      <c r="AC712" s="71">
        <f t="shared" si="275"/>
        <v>0</v>
      </c>
      <c r="AK712" s="71">
        <f t="shared" si="276"/>
        <v>0</v>
      </c>
      <c r="AM712" s="71">
        <f t="shared" si="277"/>
        <v>0</v>
      </c>
      <c r="AO712" s="71">
        <f t="shared" si="278"/>
        <v>0</v>
      </c>
      <c r="AQ712" s="71">
        <f t="shared" si="279"/>
        <v>0</v>
      </c>
      <c r="AT712" s="71">
        <f t="shared" si="280"/>
        <v>0</v>
      </c>
      <c r="AV712" s="71">
        <f t="shared" si="281"/>
        <v>0</v>
      </c>
      <c r="AX712" s="71">
        <f t="shared" si="282"/>
        <v>0</v>
      </c>
      <c r="AZ712" s="71">
        <f t="shared" si="283"/>
        <v>0</v>
      </c>
      <c r="BE712" s="102">
        <f t="shared" si="284"/>
        <v>4.4721359549995796</v>
      </c>
      <c r="BF712" s="81">
        <f t="shared" si="285"/>
        <v>9.3924867883288243E-14</v>
      </c>
      <c r="BG712" s="81" t="str">
        <f t="shared" si="286"/>
        <v>BASSO</v>
      </c>
      <c r="BK712" s="81" t="str">
        <f t="shared" si="287"/>
        <v>MOLTO BASSO</v>
      </c>
    </row>
    <row r="713" spans="7:63" x14ac:dyDescent="0.15">
      <c r="G713" s="64">
        <f t="shared" si="264"/>
        <v>0</v>
      </c>
      <c r="I713" s="64">
        <f t="shared" si="265"/>
        <v>0</v>
      </c>
      <c r="K713" s="64">
        <f t="shared" si="266"/>
        <v>0</v>
      </c>
      <c r="M713" s="64">
        <f t="shared" si="267"/>
        <v>0</v>
      </c>
      <c r="O713" s="64">
        <f t="shared" si="268"/>
        <v>0</v>
      </c>
      <c r="Q713" s="64">
        <f t="shared" si="269"/>
        <v>0</v>
      </c>
      <c r="S713" s="71">
        <f t="shared" si="270"/>
        <v>0</v>
      </c>
      <c r="U713" s="64">
        <f t="shared" si="271"/>
        <v>0</v>
      </c>
      <c r="W713" s="71">
        <f t="shared" si="272"/>
        <v>0</v>
      </c>
      <c r="Y713" s="71">
        <f t="shared" si="273"/>
        <v>0</v>
      </c>
      <c r="AA713" s="71">
        <f t="shared" si="274"/>
        <v>0</v>
      </c>
      <c r="AC713" s="71">
        <f t="shared" si="275"/>
        <v>0</v>
      </c>
      <c r="AK713" s="71">
        <f t="shared" si="276"/>
        <v>0</v>
      </c>
      <c r="AM713" s="71">
        <f t="shared" si="277"/>
        <v>0</v>
      </c>
      <c r="AO713" s="71">
        <f t="shared" si="278"/>
        <v>0</v>
      </c>
      <c r="AQ713" s="71">
        <f t="shared" si="279"/>
        <v>0</v>
      </c>
      <c r="AT713" s="71">
        <f t="shared" si="280"/>
        <v>0</v>
      </c>
      <c r="AV713" s="71">
        <f t="shared" si="281"/>
        <v>0</v>
      </c>
      <c r="AX713" s="71">
        <f t="shared" si="282"/>
        <v>0</v>
      </c>
      <c r="AZ713" s="71">
        <f t="shared" si="283"/>
        <v>0</v>
      </c>
      <c r="BE713" s="102">
        <f t="shared" si="284"/>
        <v>4.4721359549995796</v>
      </c>
      <c r="BF713" s="81">
        <f t="shared" si="285"/>
        <v>9.3924867883288243E-14</v>
      </c>
      <c r="BG713" s="81" t="str">
        <f t="shared" si="286"/>
        <v>BASSO</v>
      </c>
      <c r="BK713" s="81" t="str">
        <f t="shared" si="287"/>
        <v>MOLTO BASSO</v>
      </c>
    </row>
    <row r="714" spans="7:63" x14ac:dyDescent="0.15">
      <c r="G714" s="64">
        <f t="shared" si="264"/>
        <v>0</v>
      </c>
      <c r="I714" s="64">
        <f t="shared" si="265"/>
        <v>0</v>
      </c>
      <c r="K714" s="64">
        <f t="shared" si="266"/>
        <v>0</v>
      </c>
      <c r="M714" s="64">
        <f t="shared" si="267"/>
        <v>0</v>
      </c>
      <c r="O714" s="64">
        <f t="shared" si="268"/>
        <v>0</v>
      </c>
      <c r="Q714" s="64">
        <f t="shared" si="269"/>
        <v>0</v>
      </c>
      <c r="S714" s="71">
        <f t="shared" si="270"/>
        <v>0</v>
      </c>
      <c r="U714" s="64">
        <f t="shared" si="271"/>
        <v>0</v>
      </c>
      <c r="W714" s="71">
        <f t="shared" si="272"/>
        <v>0</v>
      </c>
      <c r="Y714" s="71">
        <f t="shared" si="273"/>
        <v>0</v>
      </c>
      <c r="AA714" s="71">
        <f t="shared" si="274"/>
        <v>0</v>
      </c>
      <c r="AC714" s="71">
        <f t="shared" si="275"/>
        <v>0</v>
      </c>
      <c r="AK714" s="71">
        <f t="shared" si="276"/>
        <v>0</v>
      </c>
      <c r="AM714" s="71">
        <f t="shared" si="277"/>
        <v>0</v>
      </c>
      <c r="AO714" s="71">
        <f t="shared" si="278"/>
        <v>0</v>
      </c>
      <c r="AQ714" s="71">
        <f t="shared" si="279"/>
        <v>0</v>
      </c>
      <c r="AT714" s="71">
        <f t="shared" si="280"/>
        <v>0</v>
      </c>
      <c r="AV714" s="71">
        <f t="shared" si="281"/>
        <v>0</v>
      </c>
      <c r="AX714" s="71">
        <f t="shared" si="282"/>
        <v>0</v>
      </c>
      <c r="AZ714" s="71">
        <f t="shared" si="283"/>
        <v>0</v>
      </c>
      <c r="BE714" s="102">
        <f t="shared" si="284"/>
        <v>4.4721359549995796</v>
      </c>
      <c r="BF714" s="81">
        <f t="shared" si="285"/>
        <v>9.3924867883288243E-14</v>
      </c>
      <c r="BG714" s="81" t="str">
        <f t="shared" si="286"/>
        <v>BASSO</v>
      </c>
      <c r="BK714" s="81" t="str">
        <f t="shared" si="287"/>
        <v>MOLTO BASSO</v>
      </c>
    </row>
    <row r="715" spans="7:63" x14ac:dyDescent="0.15">
      <c r="G715" s="64">
        <f t="shared" si="264"/>
        <v>0</v>
      </c>
      <c r="I715" s="64">
        <f t="shared" si="265"/>
        <v>0</v>
      </c>
      <c r="K715" s="64">
        <f t="shared" si="266"/>
        <v>0</v>
      </c>
      <c r="M715" s="64">
        <f t="shared" si="267"/>
        <v>0</v>
      </c>
      <c r="O715" s="64">
        <f t="shared" si="268"/>
        <v>0</v>
      </c>
      <c r="Q715" s="64">
        <f t="shared" si="269"/>
        <v>0</v>
      </c>
      <c r="S715" s="71">
        <f t="shared" si="270"/>
        <v>0</v>
      </c>
      <c r="U715" s="64">
        <f t="shared" si="271"/>
        <v>0</v>
      </c>
      <c r="W715" s="71">
        <f t="shared" si="272"/>
        <v>0</v>
      </c>
      <c r="Y715" s="71">
        <f t="shared" si="273"/>
        <v>0</v>
      </c>
      <c r="AA715" s="71">
        <f t="shared" si="274"/>
        <v>0</v>
      </c>
      <c r="AC715" s="71">
        <f t="shared" si="275"/>
        <v>0</v>
      </c>
      <c r="AK715" s="71">
        <f t="shared" si="276"/>
        <v>0</v>
      </c>
      <c r="AM715" s="71">
        <f t="shared" si="277"/>
        <v>0</v>
      </c>
      <c r="AO715" s="71">
        <f t="shared" si="278"/>
        <v>0</v>
      </c>
      <c r="AQ715" s="71">
        <f t="shared" si="279"/>
        <v>0</v>
      </c>
      <c r="AT715" s="71">
        <f t="shared" si="280"/>
        <v>0</v>
      </c>
      <c r="AV715" s="71">
        <f t="shared" si="281"/>
        <v>0</v>
      </c>
      <c r="AX715" s="71">
        <f t="shared" si="282"/>
        <v>0</v>
      </c>
      <c r="AZ715" s="71">
        <f t="shared" si="283"/>
        <v>0</v>
      </c>
      <c r="BE715" s="102">
        <f t="shared" si="284"/>
        <v>4.4721359549995796</v>
      </c>
      <c r="BF715" s="81">
        <f t="shared" si="285"/>
        <v>9.3924867883288243E-14</v>
      </c>
      <c r="BG715" s="81" t="str">
        <f t="shared" si="286"/>
        <v>BASSO</v>
      </c>
      <c r="BK715" s="81" t="str">
        <f t="shared" si="287"/>
        <v>MOLTO BASSO</v>
      </c>
    </row>
    <row r="716" spans="7:63" x14ac:dyDescent="0.15">
      <c r="G716" s="64">
        <f t="shared" si="264"/>
        <v>0</v>
      </c>
      <c r="I716" s="64">
        <f t="shared" si="265"/>
        <v>0</v>
      </c>
      <c r="K716" s="64">
        <f t="shared" si="266"/>
        <v>0</v>
      </c>
      <c r="M716" s="64">
        <f t="shared" si="267"/>
        <v>0</v>
      </c>
      <c r="O716" s="64">
        <f t="shared" si="268"/>
        <v>0</v>
      </c>
      <c r="Q716" s="64">
        <f t="shared" si="269"/>
        <v>0</v>
      </c>
      <c r="S716" s="71">
        <f t="shared" si="270"/>
        <v>0</v>
      </c>
      <c r="U716" s="64">
        <f t="shared" si="271"/>
        <v>0</v>
      </c>
      <c r="W716" s="71">
        <f t="shared" si="272"/>
        <v>0</v>
      </c>
      <c r="Y716" s="71">
        <f t="shared" si="273"/>
        <v>0</v>
      </c>
      <c r="AA716" s="71">
        <f t="shared" si="274"/>
        <v>0</v>
      </c>
      <c r="AC716" s="71">
        <f t="shared" si="275"/>
        <v>0</v>
      </c>
      <c r="AK716" s="71">
        <f t="shared" si="276"/>
        <v>0</v>
      </c>
      <c r="AM716" s="71">
        <f t="shared" si="277"/>
        <v>0</v>
      </c>
      <c r="AO716" s="71">
        <f t="shared" si="278"/>
        <v>0</v>
      </c>
      <c r="AQ716" s="71">
        <f t="shared" si="279"/>
        <v>0</v>
      </c>
      <c r="AT716" s="71">
        <f t="shared" si="280"/>
        <v>0</v>
      </c>
      <c r="AV716" s="71">
        <f t="shared" si="281"/>
        <v>0</v>
      </c>
      <c r="AX716" s="71">
        <f t="shared" si="282"/>
        <v>0</v>
      </c>
      <c r="AZ716" s="71">
        <f t="shared" si="283"/>
        <v>0</v>
      </c>
      <c r="BE716" s="102">
        <f t="shared" si="284"/>
        <v>4.4721359549995796</v>
      </c>
      <c r="BF716" s="81">
        <f t="shared" si="285"/>
        <v>9.3924867883288243E-14</v>
      </c>
      <c r="BG716" s="81" t="str">
        <f t="shared" si="286"/>
        <v>BASSO</v>
      </c>
      <c r="BK716" s="81" t="str">
        <f t="shared" si="287"/>
        <v>MOLTO BASSO</v>
      </c>
    </row>
    <row r="717" spans="7:63" x14ac:dyDescent="0.15">
      <c r="G717" s="64">
        <f t="shared" si="264"/>
        <v>0</v>
      </c>
      <c r="I717" s="64">
        <f t="shared" si="265"/>
        <v>0</v>
      </c>
      <c r="K717" s="64">
        <f t="shared" si="266"/>
        <v>0</v>
      </c>
      <c r="M717" s="64">
        <f t="shared" si="267"/>
        <v>0</v>
      </c>
      <c r="O717" s="64">
        <f t="shared" si="268"/>
        <v>0</v>
      </c>
      <c r="Q717" s="64">
        <f t="shared" si="269"/>
        <v>0</v>
      </c>
      <c r="S717" s="71">
        <f t="shared" si="270"/>
        <v>0</v>
      </c>
      <c r="U717" s="64">
        <f t="shared" si="271"/>
        <v>0</v>
      </c>
      <c r="W717" s="71">
        <f t="shared" si="272"/>
        <v>0</v>
      </c>
      <c r="Y717" s="71">
        <f t="shared" si="273"/>
        <v>0</v>
      </c>
      <c r="AA717" s="71">
        <f t="shared" si="274"/>
        <v>0</v>
      </c>
      <c r="AC717" s="71">
        <f t="shared" si="275"/>
        <v>0</v>
      </c>
      <c r="AK717" s="71">
        <f t="shared" si="276"/>
        <v>0</v>
      </c>
      <c r="AM717" s="71">
        <f t="shared" si="277"/>
        <v>0</v>
      </c>
      <c r="AO717" s="71">
        <f t="shared" si="278"/>
        <v>0</v>
      </c>
      <c r="AQ717" s="71">
        <f t="shared" si="279"/>
        <v>0</v>
      </c>
      <c r="AT717" s="71">
        <f t="shared" si="280"/>
        <v>0</v>
      </c>
      <c r="AV717" s="71">
        <f t="shared" si="281"/>
        <v>0</v>
      </c>
      <c r="AX717" s="71">
        <f t="shared" si="282"/>
        <v>0</v>
      </c>
      <c r="AZ717" s="71">
        <f t="shared" si="283"/>
        <v>0</v>
      </c>
      <c r="BE717" s="102">
        <f t="shared" si="284"/>
        <v>4.4721359549995796</v>
      </c>
      <c r="BF717" s="81">
        <f t="shared" si="285"/>
        <v>9.3924867883288243E-14</v>
      </c>
      <c r="BG717" s="81" t="str">
        <f t="shared" si="286"/>
        <v>BASSO</v>
      </c>
      <c r="BK717" s="81" t="str">
        <f t="shared" si="287"/>
        <v>MOLTO BASSO</v>
      </c>
    </row>
    <row r="718" spans="7:63" x14ac:dyDescent="0.15">
      <c r="G718" s="64">
        <f t="shared" si="264"/>
        <v>0</v>
      </c>
      <c r="I718" s="64">
        <f t="shared" si="265"/>
        <v>0</v>
      </c>
      <c r="K718" s="64">
        <f t="shared" si="266"/>
        <v>0</v>
      </c>
      <c r="M718" s="64">
        <f t="shared" si="267"/>
        <v>0</v>
      </c>
      <c r="O718" s="64">
        <f t="shared" si="268"/>
        <v>0</v>
      </c>
      <c r="Q718" s="64">
        <f t="shared" si="269"/>
        <v>0</v>
      </c>
      <c r="S718" s="71">
        <f t="shared" si="270"/>
        <v>0</v>
      </c>
      <c r="U718" s="64">
        <f t="shared" si="271"/>
        <v>0</v>
      </c>
      <c r="W718" s="71">
        <f t="shared" si="272"/>
        <v>0</v>
      </c>
      <c r="Y718" s="71">
        <f t="shared" si="273"/>
        <v>0</v>
      </c>
      <c r="AA718" s="71">
        <f t="shared" si="274"/>
        <v>0</v>
      </c>
      <c r="AC718" s="71">
        <f t="shared" si="275"/>
        <v>0</v>
      </c>
      <c r="AK718" s="71">
        <f t="shared" si="276"/>
        <v>0</v>
      </c>
      <c r="AM718" s="71">
        <f t="shared" si="277"/>
        <v>0</v>
      </c>
      <c r="AO718" s="71">
        <f t="shared" si="278"/>
        <v>0</v>
      </c>
      <c r="AQ718" s="71">
        <f t="shared" si="279"/>
        <v>0</v>
      </c>
      <c r="AT718" s="71">
        <f t="shared" si="280"/>
        <v>0</v>
      </c>
      <c r="AV718" s="71">
        <f t="shared" si="281"/>
        <v>0</v>
      </c>
      <c r="AX718" s="71">
        <f t="shared" si="282"/>
        <v>0</v>
      </c>
      <c r="AZ718" s="71">
        <f t="shared" si="283"/>
        <v>0</v>
      </c>
      <c r="BE718" s="102">
        <f t="shared" si="284"/>
        <v>4.4721359549995796</v>
      </c>
      <c r="BF718" s="81">
        <f t="shared" si="285"/>
        <v>9.3924867883288243E-14</v>
      </c>
      <c r="BG718" s="81" t="str">
        <f t="shared" si="286"/>
        <v>BASSO</v>
      </c>
      <c r="BK718" s="81" t="str">
        <f t="shared" si="287"/>
        <v>MOLTO BASSO</v>
      </c>
    </row>
    <row r="719" spans="7:63" x14ac:dyDescent="0.15">
      <c r="G719" s="64">
        <f t="shared" si="264"/>
        <v>0</v>
      </c>
      <c r="I719" s="64">
        <f t="shared" si="265"/>
        <v>0</v>
      </c>
      <c r="K719" s="64">
        <f t="shared" si="266"/>
        <v>0</v>
      </c>
      <c r="M719" s="64">
        <f t="shared" si="267"/>
        <v>0</v>
      </c>
      <c r="O719" s="64">
        <f t="shared" si="268"/>
        <v>0</v>
      </c>
      <c r="Q719" s="64">
        <f t="shared" si="269"/>
        <v>0</v>
      </c>
      <c r="S719" s="71">
        <f t="shared" si="270"/>
        <v>0</v>
      </c>
      <c r="U719" s="64">
        <f t="shared" si="271"/>
        <v>0</v>
      </c>
      <c r="W719" s="71">
        <f t="shared" si="272"/>
        <v>0</v>
      </c>
      <c r="Y719" s="71">
        <f t="shared" si="273"/>
        <v>0</v>
      </c>
      <c r="AA719" s="71">
        <f t="shared" si="274"/>
        <v>0</v>
      </c>
      <c r="AC719" s="71">
        <f t="shared" si="275"/>
        <v>0</v>
      </c>
      <c r="AK719" s="71">
        <f t="shared" si="276"/>
        <v>0</v>
      </c>
      <c r="AM719" s="71">
        <f t="shared" si="277"/>
        <v>0</v>
      </c>
      <c r="AO719" s="71">
        <f t="shared" si="278"/>
        <v>0</v>
      </c>
      <c r="AQ719" s="71">
        <f t="shared" si="279"/>
        <v>0</v>
      </c>
      <c r="AT719" s="71">
        <f t="shared" si="280"/>
        <v>0</v>
      </c>
      <c r="AV719" s="71">
        <f t="shared" si="281"/>
        <v>0</v>
      </c>
      <c r="AX719" s="71">
        <f t="shared" si="282"/>
        <v>0</v>
      </c>
      <c r="AZ719" s="71">
        <f t="shared" si="283"/>
        <v>0</v>
      </c>
      <c r="BE719" s="102">
        <f t="shared" si="284"/>
        <v>4.4721359549995796</v>
      </c>
      <c r="BF719" s="81">
        <f t="shared" si="285"/>
        <v>9.3924867883288243E-14</v>
      </c>
      <c r="BG719" s="81" t="str">
        <f t="shared" si="286"/>
        <v>BASSO</v>
      </c>
      <c r="BK719" s="81" t="str">
        <f t="shared" si="287"/>
        <v>MOLTO BASSO</v>
      </c>
    </row>
    <row r="720" spans="7:63" x14ac:dyDescent="0.15">
      <c r="G720" s="64">
        <f t="shared" si="264"/>
        <v>0</v>
      </c>
      <c r="I720" s="64">
        <f t="shared" si="265"/>
        <v>0</v>
      </c>
      <c r="K720" s="64">
        <f t="shared" si="266"/>
        <v>0</v>
      </c>
      <c r="M720" s="64">
        <f t="shared" si="267"/>
        <v>0</v>
      </c>
      <c r="O720" s="64">
        <f t="shared" si="268"/>
        <v>0</v>
      </c>
      <c r="Q720" s="64">
        <f t="shared" si="269"/>
        <v>0</v>
      </c>
      <c r="S720" s="71">
        <f t="shared" si="270"/>
        <v>0</v>
      </c>
      <c r="U720" s="64">
        <f t="shared" si="271"/>
        <v>0</v>
      </c>
      <c r="W720" s="71">
        <f t="shared" si="272"/>
        <v>0</v>
      </c>
      <c r="Y720" s="71">
        <f t="shared" si="273"/>
        <v>0</v>
      </c>
      <c r="AA720" s="71">
        <f t="shared" si="274"/>
        <v>0</v>
      </c>
      <c r="AC720" s="71">
        <f t="shared" si="275"/>
        <v>0</v>
      </c>
      <c r="AK720" s="71">
        <f t="shared" si="276"/>
        <v>0</v>
      </c>
      <c r="AM720" s="71">
        <f t="shared" si="277"/>
        <v>0</v>
      </c>
      <c r="AO720" s="71">
        <f t="shared" si="278"/>
        <v>0</v>
      </c>
      <c r="AQ720" s="71">
        <f t="shared" si="279"/>
        <v>0</v>
      </c>
      <c r="AT720" s="71">
        <f t="shared" si="280"/>
        <v>0</v>
      </c>
      <c r="AV720" s="71">
        <f t="shared" si="281"/>
        <v>0</v>
      </c>
      <c r="AX720" s="71">
        <f t="shared" si="282"/>
        <v>0</v>
      </c>
      <c r="AZ720" s="71">
        <f t="shared" si="283"/>
        <v>0</v>
      </c>
      <c r="BE720" s="102">
        <f t="shared" si="284"/>
        <v>4.4721359549995796</v>
      </c>
      <c r="BF720" s="81">
        <f t="shared" si="285"/>
        <v>9.3924867883288243E-14</v>
      </c>
      <c r="BG720" s="81" t="str">
        <f t="shared" si="286"/>
        <v>BASSO</v>
      </c>
      <c r="BK720" s="81" t="str">
        <f t="shared" si="287"/>
        <v>MOLTO BASSO</v>
      </c>
    </row>
    <row r="721" spans="7:63" x14ac:dyDescent="0.15">
      <c r="G721" s="64">
        <f t="shared" si="264"/>
        <v>0</v>
      </c>
      <c r="I721" s="64">
        <f t="shared" si="265"/>
        <v>0</v>
      </c>
      <c r="K721" s="64">
        <f t="shared" si="266"/>
        <v>0</v>
      </c>
      <c r="M721" s="64">
        <f t="shared" si="267"/>
        <v>0</v>
      </c>
      <c r="O721" s="64">
        <f t="shared" si="268"/>
        <v>0</v>
      </c>
      <c r="Q721" s="64">
        <f t="shared" si="269"/>
        <v>0</v>
      </c>
      <c r="S721" s="71">
        <f t="shared" si="270"/>
        <v>0</v>
      </c>
      <c r="U721" s="64">
        <f t="shared" si="271"/>
        <v>0</v>
      </c>
      <c r="W721" s="71">
        <f t="shared" si="272"/>
        <v>0</v>
      </c>
      <c r="Y721" s="71">
        <f t="shared" si="273"/>
        <v>0</v>
      </c>
      <c r="AA721" s="71">
        <f t="shared" si="274"/>
        <v>0</v>
      </c>
      <c r="AC721" s="71">
        <f t="shared" si="275"/>
        <v>0</v>
      </c>
      <c r="AK721" s="71">
        <f t="shared" si="276"/>
        <v>0</v>
      </c>
      <c r="AM721" s="71">
        <f t="shared" si="277"/>
        <v>0</v>
      </c>
      <c r="AO721" s="71">
        <f t="shared" si="278"/>
        <v>0</v>
      </c>
      <c r="AQ721" s="71">
        <f t="shared" si="279"/>
        <v>0</v>
      </c>
      <c r="AT721" s="71">
        <f t="shared" si="280"/>
        <v>0</v>
      </c>
      <c r="AV721" s="71">
        <f t="shared" si="281"/>
        <v>0</v>
      </c>
      <c r="AX721" s="71">
        <f t="shared" si="282"/>
        <v>0</v>
      </c>
      <c r="AZ721" s="71">
        <f t="shared" si="283"/>
        <v>0</v>
      </c>
      <c r="BE721" s="102">
        <f t="shared" si="284"/>
        <v>4.4721359549995796</v>
      </c>
      <c r="BF721" s="81">
        <f t="shared" si="285"/>
        <v>9.3924867883288243E-14</v>
      </c>
      <c r="BG721" s="81" t="str">
        <f t="shared" si="286"/>
        <v>BASSO</v>
      </c>
      <c r="BK721" s="81" t="str">
        <f t="shared" si="287"/>
        <v>MOLTO BASSO</v>
      </c>
    </row>
    <row r="722" spans="7:63" x14ac:dyDescent="0.15">
      <c r="G722" s="64">
        <f t="shared" si="264"/>
        <v>0</v>
      </c>
      <c r="I722" s="64">
        <f t="shared" si="265"/>
        <v>0</v>
      </c>
      <c r="K722" s="64">
        <f t="shared" si="266"/>
        <v>0</v>
      </c>
      <c r="M722" s="64">
        <f t="shared" si="267"/>
        <v>0</v>
      </c>
      <c r="O722" s="64">
        <f t="shared" si="268"/>
        <v>0</v>
      </c>
      <c r="Q722" s="64">
        <f t="shared" si="269"/>
        <v>0</v>
      </c>
      <c r="S722" s="71">
        <f t="shared" si="270"/>
        <v>0</v>
      </c>
      <c r="U722" s="64">
        <f t="shared" si="271"/>
        <v>0</v>
      </c>
      <c r="W722" s="71">
        <f t="shared" si="272"/>
        <v>0</v>
      </c>
      <c r="Y722" s="71">
        <f t="shared" si="273"/>
        <v>0</v>
      </c>
      <c r="AA722" s="71">
        <f t="shared" si="274"/>
        <v>0</v>
      </c>
      <c r="AC722" s="71">
        <f t="shared" si="275"/>
        <v>0</v>
      </c>
      <c r="AK722" s="71">
        <f t="shared" si="276"/>
        <v>0</v>
      </c>
      <c r="AM722" s="71">
        <f t="shared" si="277"/>
        <v>0</v>
      </c>
      <c r="AO722" s="71">
        <f t="shared" si="278"/>
        <v>0</v>
      </c>
      <c r="AQ722" s="71">
        <f t="shared" si="279"/>
        <v>0</v>
      </c>
      <c r="AT722" s="71">
        <f t="shared" si="280"/>
        <v>0</v>
      </c>
      <c r="AV722" s="71">
        <f t="shared" si="281"/>
        <v>0</v>
      </c>
      <c r="AX722" s="71">
        <f t="shared" si="282"/>
        <v>0</v>
      </c>
      <c r="AZ722" s="71">
        <f t="shared" si="283"/>
        <v>0</v>
      </c>
      <c r="BE722" s="102">
        <f t="shared" si="284"/>
        <v>4.4721359549995796</v>
      </c>
      <c r="BF722" s="81">
        <f t="shared" si="285"/>
        <v>9.3924867883288243E-14</v>
      </c>
      <c r="BG722" s="81" t="str">
        <f t="shared" si="286"/>
        <v>BASSO</v>
      </c>
      <c r="BK722" s="81" t="str">
        <f t="shared" si="287"/>
        <v>MOLTO BASSO</v>
      </c>
    </row>
    <row r="723" spans="7:63" x14ac:dyDescent="0.15">
      <c r="G723" s="64">
        <f t="shared" si="264"/>
        <v>0</v>
      </c>
      <c r="I723" s="64">
        <f t="shared" si="265"/>
        <v>0</v>
      </c>
      <c r="K723" s="64">
        <f t="shared" si="266"/>
        <v>0</v>
      </c>
      <c r="M723" s="64">
        <f t="shared" si="267"/>
        <v>0</v>
      </c>
      <c r="O723" s="64">
        <f t="shared" si="268"/>
        <v>0</v>
      </c>
      <c r="Q723" s="64">
        <f t="shared" si="269"/>
        <v>0</v>
      </c>
      <c r="S723" s="71">
        <f t="shared" si="270"/>
        <v>0</v>
      </c>
      <c r="U723" s="64">
        <f t="shared" si="271"/>
        <v>0</v>
      </c>
      <c r="W723" s="71">
        <f t="shared" si="272"/>
        <v>0</v>
      </c>
      <c r="Y723" s="71">
        <f t="shared" si="273"/>
        <v>0</v>
      </c>
      <c r="AA723" s="71">
        <f t="shared" si="274"/>
        <v>0</v>
      </c>
      <c r="AC723" s="71">
        <f t="shared" si="275"/>
        <v>0</v>
      </c>
      <c r="AK723" s="71">
        <f t="shared" si="276"/>
        <v>0</v>
      </c>
      <c r="AM723" s="71">
        <f t="shared" si="277"/>
        <v>0</v>
      </c>
      <c r="AO723" s="71">
        <f t="shared" si="278"/>
        <v>0</v>
      </c>
      <c r="AQ723" s="71">
        <f t="shared" si="279"/>
        <v>0</v>
      </c>
      <c r="AT723" s="71">
        <f t="shared" si="280"/>
        <v>0</v>
      </c>
      <c r="AV723" s="71">
        <f t="shared" si="281"/>
        <v>0</v>
      </c>
      <c r="AX723" s="71">
        <f t="shared" si="282"/>
        <v>0</v>
      </c>
      <c r="AZ723" s="71">
        <f t="shared" si="283"/>
        <v>0</v>
      </c>
      <c r="BE723" s="102">
        <f t="shared" si="284"/>
        <v>4.4721359549995796</v>
      </c>
      <c r="BF723" s="81">
        <f t="shared" si="285"/>
        <v>9.3924867883288243E-14</v>
      </c>
      <c r="BG723" s="81" t="str">
        <f t="shared" si="286"/>
        <v>BASSO</v>
      </c>
      <c r="BK723" s="81" t="str">
        <f t="shared" si="287"/>
        <v>MOLTO BASSO</v>
      </c>
    </row>
    <row r="724" spans="7:63" x14ac:dyDescent="0.15">
      <c r="G724" s="64">
        <f t="shared" si="264"/>
        <v>0</v>
      </c>
      <c r="I724" s="64">
        <f t="shared" si="265"/>
        <v>0</v>
      </c>
      <c r="K724" s="64">
        <f t="shared" si="266"/>
        <v>0</v>
      </c>
      <c r="M724" s="64">
        <f t="shared" si="267"/>
        <v>0</v>
      </c>
      <c r="O724" s="64">
        <f t="shared" si="268"/>
        <v>0</v>
      </c>
      <c r="Q724" s="64">
        <f t="shared" si="269"/>
        <v>0</v>
      </c>
      <c r="S724" s="71">
        <f t="shared" si="270"/>
        <v>0</v>
      </c>
      <c r="U724" s="64">
        <f t="shared" si="271"/>
        <v>0</v>
      </c>
      <c r="W724" s="71">
        <f t="shared" si="272"/>
        <v>0</v>
      </c>
      <c r="Y724" s="71">
        <f t="shared" si="273"/>
        <v>0</v>
      </c>
      <c r="AA724" s="71">
        <f t="shared" si="274"/>
        <v>0</v>
      </c>
      <c r="AC724" s="71">
        <f t="shared" si="275"/>
        <v>0</v>
      </c>
      <c r="AK724" s="71">
        <f t="shared" si="276"/>
        <v>0</v>
      </c>
      <c r="AM724" s="71">
        <f t="shared" si="277"/>
        <v>0</v>
      </c>
      <c r="AO724" s="71">
        <f t="shared" si="278"/>
        <v>0</v>
      </c>
      <c r="AQ724" s="71">
        <f t="shared" si="279"/>
        <v>0</v>
      </c>
      <c r="AT724" s="71">
        <f t="shared" si="280"/>
        <v>0</v>
      </c>
      <c r="AV724" s="71">
        <f t="shared" si="281"/>
        <v>0</v>
      </c>
      <c r="AX724" s="71">
        <f t="shared" si="282"/>
        <v>0</v>
      </c>
      <c r="AZ724" s="71">
        <f t="shared" si="283"/>
        <v>0</v>
      </c>
      <c r="BE724" s="102">
        <f t="shared" si="284"/>
        <v>4.4721359549995796</v>
      </c>
      <c r="BF724" s="81">
        <f t="shared" si="285"/>
        <v>9.3924867883288243E-14</v>
      </c>
      <c r="BG724" s="81" t="str">
        <f t="shared" si="286"/>
        <v>BASSO</v>
      </c>
      <c r="BK724" s="81" t="str">
        <f t="shared" si="287"/>
        <v>MOLTO BASSO</v>
      </c>
    </row>
    <row r="725" spans="7:63" x14ac:dyDescent="0.15">
      <c r="G725" s="64">
        <f t="shared" si="264"/>
        <v>0</v>
      </c>
      <c r="I725" s="64">
        <f t="shared" si="265"/>
        <v>0</v>
      </c>
      <c r="K725" s="64">
        <f t="shared" si="266"/>
        <v>0</v>
      </c>
      <c r="M725" s="64">
        <f t="shared" si="267"/>
        <v>0</v>
      </c>
      <c r="O725" s="64">
        <f t="shared" si="268"/>
        <v>0</v>
      </c>
      <c r="Q725" s="64">
        <f t="shared" si="269"/>
        <v>0</v>
      </c>
      <c r="S725" s="71">
        <f t="shared" si="270"/>
        <v>0</v>
      </c>
      <c r="U725" s="64">
        <f t="shared" si="271"/>
        <v>0</v>
      </c>
      <c r="W725" s="71">
        <f t="shared" si="272"/>
        <v>0</v>
      </c>
      <c r="Y725" s="71">
        <f t="shared" si="273"/>
        <v>0</v>
      </c>
      <c r="AA725" s="71">
        <f t="shared" si="274"/>
        <v>0</v>
      </c>
      <c r="AC725" s="71">
        <f t="shared" si="275"/>
        <v>0</v>
      </c>
      <c r="AK725" s="71">
        <f t="shared" si="276"/>
        <v>0</v>
      </c>
      <c r="AM725" s="71">
        <f t="shared" si="277"/>
        <v>0</v>
      </c>
      <c r="AO725" s="71">
        <f t="shared" si="278"/>
        <v>0</v>
      </c>
      <c r="AQ725" s="71">
        <f t="shared" si="279"/>
        <v>0</v>
      </c>
      <c r="AT725" s="71">
        <f t="shared" si="280"/>
        <v>0</v>
      </c>
      <c r="AV725" s="71">
        <f t="shared" si="281"/>
        <v>0</v>
      </c>
      <c r="AX725" s="71">
        <f t="shared" si="282"/>
        <v>0</v>
      </c>
      <c r="AZ725" s="71">
        <f t="shared" si="283"/>
        <v>0</v>
      </c>
      <c r="BE725" s="102">
        <f t="shared" si="284"/>
        <v>4.4721359549995796</v>
      </c>
      <c r="BF725" s="81">
        <f t="shared" si="285"/>
        <v>9.3924867883288243E-14</v>
      </c>
      <c r="BG725" s="81" t="str">
        <f t="shared" si="286"/>
        <v>BASSO</v>
      </c>
      <c r="BK725" s="81" t="str">
        <f t="shared" si="287"/>
        <v>MOLTO BASSO</v>
      </c>
    </row>
    <row r="726" spans="7:63" x14ac:dyDescent="0.15">
      <c r="G726" s="64">
        <f t="shared" si="264"/>
        <v>0</v>
      </c>
      <c r="I726" s="64">
        <f t="shared" si="265"/>
        <v>0</v>
      </c>
      <c r="K726" s="64">
        <f t="shared" si="266"/>
        <v>0</v>
      </c>
      <c r="M726" s="64">
        <f t="shared" si="267"/>
        <v>0</v>
      </c>
      <c r="O726" s="64">
        <f t="shared" si="268"/>
        <v>0</v>
      </c>
      <c r="Q726" s="64">
        <f t="shared" si="269"/>
        <v>0</v>
      </c>
      <c r="S726" s="71">
        <f t="shared" si="270"/>
        <v>0</v>
      </c>
      <c r="U726" s="64">
        <f t="shared" si="271"/>
        <v>0</v>
      </c>
      <c r="W726" s="71">
        <f t="shared" si="272"/>
        <v>0</v>
      </c>
      <c r="Y726" s="71">
        <f t="shared" si="273"/>
        <v>0</v>
      </c>
      <c r="AA726" s="71">
        <f t="shared" si="274"/>
        <v>0</v>
      </c>
      <c r="AC726" s="71">
        <f t="shared" si="275"/>
        <v>0</v>
      </c>
      <c r="AK726" s="71">
        <f t="shared" si="276"/>
        <v>0</v>
      </c>
      <c r="AM726" s="71">
        <f t="shared" si="277"/>
        <v>0</v>
      </c>
      <c r="AO726" s="71">
        <f t="shared" si="278"/>
        <v>0</v>
      </c>
      <c r="AQ726" s="71">
        <f t="shared" si="279"/>
        <v>0</v>
      </c>
      <c r="AT726" s="71">
        <f t="shared" si="280"/>
        <v>0</v>
      </c>
      <c r="AV726" s="71">
        <f t="shared" si="281"/>
        <v>0</v>
      </c>
      <c r="AX726" s="71">
        <f t="shared" si="282"/>
        <v>0</v>
      </c>
      <c r="AZ726" s="71">
        <f t="shared" si="283"/>
        <v>0</v>
      </c>
      <c r="BE726" s="102">
        <f t="shared" si="284"/>
        <v>4.4721359549995796</v>
      </c>
      <c r="BF726" s="81">
        <f t="shared" si="285"/>
        <v>9.3924867883288243E-14</v>
      </c>
      <c r="BG726" s="81" t="str">
        <f t="shared" si="286"/>
        <v>BASSO</v>
      </c>
      <c r="BK726" s="81" t="str">
        <f t="shared" si="287"/>
        <v>MOLTO BASSO</v>
      </c>
    </row>
    <row r="727" spans="7:63" x14ac:dyDescent="0.15">
      <c r="G727" s="64">
        <f t="shared" si="264"/>
        <v>0</v>
      </c>
      <c r="I727" s="64">
        <f t="shared" si="265"/>
        <v>0</v>
      </c>
      <c r="K727" s="64">
        <f t="shared" si="266"/>
        <v>0</v>
      </c>
      <c r="M727" s="64">
        <f t="shared" si="267"/>
        <v>0</v>
      </c>
      <c r="O727" s="64">
        <f t="shared" si="268"/>
        <v>0</v>
      </c>
      <c r="Q727" s="64">
        <f t="shared" si="269"/>
        <v>0</v>
      </c>
      <c r="S727" s="71">
        <f t="shared" si="270"/>
        <v>0</v>
      </c>
      <c r="U727" s="64">
        <f t="shared" si="271"/>
        <v>0</v>
      </c>
      <c r="W727" s="71">
        <f t="shared" si="272"/>
        <v>0</v>
      </c>
      <c r="Y727" s="71">
        <f t="shared" si="273"/>
        <v>0</v>
      </c>
      <c r="AA727" s="71">
        <f t="shared" si="274"/>
        <v>0</v>
      </c>
      <c r="AC727" s="71">
        <f t="shared" si="275"/>
        <v>0</v>
      </c>
      <c r="AK727" s="71">
        <f t="shared" si="276"/>
        <v>0</v>
      </c>
      <c r="AM727" s="71">
        <f t="shared" si="277"/>
        <v>0</v>
      </c>
      <c r="AO727" s="71">
        <f t="shared" si="278"/>
        <v>0</v>
      </c>
      <c r="AQ727" s="71">
        <f t="shared" si="279"/>
        <v>0</v>
      </c>
      <c r="AT727" s="71">
        <f t="shared" si="280"/>
        <v>0</v>
      </c>
      <c r="AV727" s="71">
        <f t="shared" si="281"/>
        <v>0</v>
      </c>
      <c r="AX727" s="71">
        <f t="shared" si="282"/>
        <v>0</v>
      </c>
      <c r="AZ727" s="71">
        <f t="shared" si="283"/>
        <v>0</v>
      </c>
      <c r="BE727" s="102">
        <f t="shared" si="284"/>
        <v>4.4721359549995796</v>
      </c>
      <c r="BF727" s="81">
        <f t="shared" si="285"/>
        <v>9.3924867883288243E-14</v>
      </c>
      <c r="BG727" s="81" t="str">
        <f t="shared" si="286"/>
        <v>BASSO</v>
      </c>
      <c r="BK727" s="81" t="str">
        <f t="shared" si="287"/>
        <v>MOLTO BASSO</v>
      </c>
    </row>
    <row r="728" spans="7:63" x14ac:dyDescent="0.15">
      <c r="G728" s="64">
        <f t="shared" si="264"/>
        <v>0</v>
      </c>
      <c r="I728" s="64">
        <f t="shared" si="265"/>
        <v>0</v>
      </c>
      <c r="K728" s="64">
        <f t="shared" si="266"/>
        <v>0</v>
      </c>
      <c r="M728" s="64">
        <f t="shared" si="267"/>
        <v>0</v>
      </c>
      <c r="O728" s="64">
        <f t="shared" si="268"/>
        <v>0</v>
      </c>
      <c r="Q728" s="64">
        <f t="shared" si="269"/>
        <v>0</v>
      </c>
      <c r="S728" s="71">
        <f t="shared" si="270"/>
        <v>0</v>
      </c>
      <c r="U728" s="64">
        <f t="shared" si="271"/>
        <v>0</v>
      </c>
      <c r="W728" s="71">
        <f t="shared" si="272"/>
        <v>0</v>
      </c>
      <c r="Y728" s="71">
        <f t="shared" si="273"/>
        <v>0</v>
      </c>
      <c r="AA728" s="71">
        <f t="shared" si="274"/>
        <v>0</v>
      </c>
      <c r="AC728" s="71">
        <f t="shared" si="275"/>
        <v>0</v>
      </c>
      <c r="AK728" s="71">
        <f t="shared" si="276"/>
        <v>0</v>
      </c>
      <c r="AM728" s="71">
        <f t="shared" si="277"/>
        <v>0</v>
      </c>
      <c r="AO728" s="71">
        <f t="shared" si="278"/>
        <v>0</v>
      </c>
      <c r="AQ728" s="71">
        <f t="shared" si="279"/>
        <v>0</v>
      </c>
      <c r="AT728" s="71">
        <f t="shared" si="280"/>
        <v>0</v>
      </c>
      <c r="AV728" s="71">
        <f t="shared" si="281"/>
        <v>0</v>
      </c>
      <c r="AX728" s="71">
        <f t="shared" si="282"/>
        <v>0</v>
      </c>
      <c r="AZ728" s="71">
        <f t="shared" si="283"/>
        <v>0</v>
      </c>
      <c r="BE728" s="102">
        <f t="shared" si="284"/>
        <v>4.4721359549995796</v>
      </c>
      <c r="BF728" s="81">
        <f t="shared" si="285"/>
        <v>9.3924867883288243E-14</v>
      </c>
      <c r="BG728" s="81" t="str">
        <f t="shared" si="286"/>
        <v>BASSO</v>
      </c>
      <c r="BK728" s="81" t="str">
        <f t="shared" si="287"/>
        <v>MOLTO BASSO</v>
      </c>
    </row>
    <row r="729" spans="7:63" x14ac:dyDescent="0.15">
      <c r="G729" s="64">
        <f t="shared" si="264"/>
        <v>0</v>
      </c>
      <c r="I729" s="64">
        <f t="shared" si="265"/>
        <v>0</v>
      </c>
      <c r="K729" s="64">
        <f t="shared" si="266"/>
        <v>0</v>
      </c>
      <c r="M729" s="64">
        <f t="shared" si="267"/>
        <v>0</v>
      </c>
      <c r="O729" s="64">
        <f t="shared" si="268"/>
        <v>0</v>
      </c>
      <c r="Q729" s="64">
        <f t="shared" si="269"/>
        <v>0</v>
      </c>
      <c r="S729" s="71">
        <f t="shared" si="270"/>
        <v>0</v>
      </c>
      <c r="U729" s="64">
        <f t="shared" si="271"/>
        <v>0</v>
      </c>
      <c r="W729" s="71">
        <f t="shared" si="272"/>
        <v>0</v>
      </c>
      <c r="Y729" s="71">
        <f t="shared" si="273"/>
        <v>0</v>
      </c>
      <c r="AA729" s="71">
        <f t="shared" si="274"/>
        <v>0</v>
      </c>
      <c r="AC729" s="71">
        <f t="shared" si="275"/>
        <v>0</v>
      </c>
      <c r="AK729" s="71">
        <f t="shared" si="276"/>
        <v>0</v>
      </c>
      <c r="AM729" s="71">
        <f t="shared" si="277"/>
        <v>0</v>
      </c>
      <c r="AO729" s="71">
        <f t="shared" si="278"/>
        <v>0</v>
      </c>
      <c r="AQ729" s="71">
        <f t="shared" si="279"/>
        <v>0</v>
      </c>
      <c r="AT729" s="71">
        <f t="shared" si="280"/>
        <v>0</v>
      </c>
      <c r="AV729" s="71">
        <f t="shared" si="281"/>
        <v>0</v>
      </c>
      <c r="AX729" s="71">
        <f t="shared" si="282"/>
        <v>0</v>
      </c>
      <c r="AZ729" s="71">
        <f t="shared" si="283"/>
        <v>0</v>
      </c>
      <c r="BE729" s="102">
        <f t="shared" si="284"/>
        <v>4.4721359549995796</v>
      </c>
      <c r="BF729" s="81">
        <f t="shared" si="285"/>
        <v>9.3924867883288243E-14</v>
      </c>
      <c r="BG729" s="81" t="str">
        <f t="shared" si="286"/>
        <v>BASSO</v>
      </c>
      <c r="BK729" s="81" t="str">
        <f t="shared" si="287"/>
        <v>MOLTO BASSO</v>
      </c>
    </row>
    <row r="730" spans="7:63" x14ac:dyDescent="0.15">
      <c r="G730" s="64">
        <f t="shared" si="264"/>
        <v>0</v>
      </c>
      <c r="I730" s="64">
        <f t="shared" si="265"/>
        <v>0</v>
      </c>
      <c r="K730" s="64">
        <f t="shared" si="266"/>
        <v>0</v>
      </c>
      <c r="M730" s="64">
        <f t="shared" si="267"/>
        <v>0</v>
      </c>
      <c r="O730" s="64">
        <f t="shared" si="268"/>
        <v>0</v>
      </c>
      <c r="Q730" s="64">
        <f t="shared" si="269"/>
        <v>0</v>
      </c>
      <c r="S730" s="71">
        <f t="shared" si="270"/>
        <v>0</v>
      </c>
      <c r="U730" s="64">
        <f t="shared" si="271"/>
        <v>0</v>
      </c>
      <c r="W730" s="71">
        <f t="shared" si="272"/>
        <v>0</v>
      </c>
      <c r="Y730" s="71">
        <f t="shared" si="273"/>
        <v>0</v>
      </c>
      <c r="AA730" s="71">
        <f t="shared" si="274"/>
        <v>0</v>
      </c>
      <c r="AC730" s="71">
        <f t="shared" si="275"/>
        <v>0</v>
      </c>
      <c r="AK730" s="71">
        <f t="shared" si="276"/>
        <v>0</v>
      </c>
      <c r="AM730" s="71">
        <f t="shared" si="277"/>
        <v>0</v>
      </c>
      <c r="AO730" s="71">
        <f t="shared" si="278"/>
        <v>0</v>
      </c>
      <c r="AQ730" s="71">
        <f t="shared" si="279"/>
        <v>0</v>
      </c>
      <c r="AT730" s="71">
        <f t="shared" si="280"/>
        <v>0</v>
      </c>
      <c r="AV730" s="71">
        <f t="shared" si="281"/>
        <v>0</v>
      </c>
      <c r="AX730" s="71">
        <f t="shared" si="282"/>
        <v>0</v>
      </c>
      <c r="AZ730" s="71">
        <f t="shared" si="283"/>
        <v>0</v>
      </c>
      <c r="BE730" s="102">
        <f t="shared" si="284"/>
        <v>4.4721359549995796</v>
      </c>
      <c r="BF730" s="81">
        <f t="shared" si="285"/>
        <v>9.3924867883288243E-14</v>
      </c>
      <c r="BG730" s="81" t="str">
        <f t="shared" si="286"/>
        <v>BASSO</v>
      </c>
      <c r="BK730" s="81" t="str">
        <f t="shared" si="287"/>
        <v>MOLTO BASSO</v>
      </c>
    </row>
    <row r="731" spans="7:63" x14ac:dyDescent="0.15">
      <c r="G731" s="64">
        <f t="shared" si="264"/>
        <v>0</v>
      </c>
      <c r="I731" s="64">
        <f t="shared" si="265"/>
        <v>0</v>
      </c>
      <c r="K731" s="64">
        <f t="shared" si="266"/>
        <v>0</v>
      </c>
      <c r="M731" s="64">
        <f t="shared" si="267"/>
        <v>0</v>
      </c>
      <c r="O731" s="64">
        <f t="shared" si="268"/>
        <v>0</v>
      </c>
      <c r="Q731" s="64">
        <f t="shared" si="269"/>
        <v>0</v>
      </c>
      <c r="S731" s="71">
        <f t="shared" si="270"/>
        <v>0</v>
      </c>
      <c r="U731" s="64">
        <f t="shared" si="271"/>
        <v>0</v>
      </c>
      <c r="W731" s="71">
        <f t="shared" si="272"/>
        <v>0</v>
      </c>
      <c r="Y731" s="71">
        <f t="shared" si="273"/>
        <v>0</v>
      </c>
      <c r="AA731" s="71">
        <f t="shared" si="274"/>
        <v>0</v>
      </c>
      <c r="AC731" s="71">
        <f t="shared" si="275"/>
        <v>0</v>
      </c>
      <c r="AK731" s="71">
        <f t="shared" si="276"/>
        <v>0</v>
      </c>
      <c r="AM731" s="71">
        <f t="shared" si="277"/>
        <v>0</v>
      </c>
      <c r="AO731" s="71">
        <f t="shared" si="278"/>
        <v>0</v>
      </c>
      <c r="AQ731" s="71">
        <f t="shared" si="279"/>
        <v>0</v>
      </c>
      <c r="AT731" s="71">
        <f t="shared" si="280"/>
        <v>0</v>
      </c>
      <c r="AV731" s="71">
        <f t="shared" si="281"/>
        <v>0</v>
      </c>
      <c r="AX731" s="71">
        <f t="shared" si="282"/>
        <v>0</v>
      </c>
      <c r="AZ731" s="71">
        <f t="shared" si="283"/>
        <v>0</v>
      </c>
      <c r="BE731" s="102">
        <f t="shared" si="284"/>
        <v>4.4721359549995796</v>
      </c>
      <c r="BF731" s="81">
        <f t="shared" si="285"/>
        <v>9.3924867883288243E-14</v>
      </c>
      <c r="BG731" s="81" t="str">
        <f t="shared" si="286"/>
        <v>BASSO</v>
      </c>
      <c r="BK731" s="81" t="str">
        <f t="shared" si="287"/>
        <v>MOLTO BASSO</v>
      </c>
    </row>
    <row r="732" spans="7:63" x14ac:dyDescent="0.15">
      <c r="G732" s="64">
        <f t="shared" si="264"/>
        <v>0</v>
      </c>
      <c r="I732" s="64">
        <f t="shared" si="265"/>
        <v>0</v>
      </c>
      <c r="K732" s="64">
        <f t="shared" si="266"/>
        <v>0</v>
      </c>
      <c r="M732" s="64">
        <f t="shared" si="267"/>
        <v>0</v>
      </c>
      <c r="O732" s="64">
        <f t="shared" si="268"/>
        <v>0</v>
      </c>
      <c r="Q732" s="64">
        <f t="shared" si="269"/>
        <v>0</v>
      </c>
      <c r="S732" s="71">
        <f t="shared" si="270"/>
        <v>0</v>
      </c>
      <c r="U732" s="64">
        <f t="shared" si="271"/>
        <v>0</v>
      </c>
      <c r="W732" s="71">
        <f t="shared" si="272"/>
        <v>0</v>
      </c>
      <c r="Y732" s="71">
        <f t="shared" si="273"/>
        <v>0</v>
      </c>
      <c r="AA732" s="71">
        <f t="shared" si="274"/>
        <v>0</v>
      </c>
      <c r="AC732" s="71">
        <f t="shared" si="275"/>
        <v>0</v>
      </c>
      <c r="AK732" s="71">
        <f t="shared" si="276"/>
        <v>0</v>
      </c>
      <c r="AM732" s="71">
        <f t="shared" si="277"/>
        <v>0</v>
      </c>
      <c r="AO732" s="71">
        <f t="shared" si="278"/>
        <v>0</v>
      </c>
      <c r="AQ732" s="71">
        <f t="shared" si="279"/>
        <v>0</v>
      </c>
      <c r="AT732" s="71">
        <f t="shared" si="280"/>
        <v>0</v>
      </c>
      <c r="AV732" s="71">
        <f t="shared" si="281"/>
        <v>0</v>
      </c>
      <c r="AX732" s="71">
        <f t="shared" si="282"/>
        <v>0</v>
      </c>
      <c r="AZ732" s="71">
        <f t="shared" si="283"/>
        <v>0</v>
      </c>
      <c r="BE732" s="102">
        <f t="shared" si="284"/>
        <v>4.4721359549995796</v>
      </c>
      <c r="BF732" s="81">
        <f t="shared" si="285"/>
        <v>9.3924867883288243E-14</v>
      </c>
      <c r="BG732" s="81" t="str">
        <f t="shared" si="286"/>
        <v>BASSO</v>
      </c>
      <c r="BK732" s="81" t="str">
        <f t="shared" si="287"/>
        <v>MOLTO BASSO</v>
      </c>
    </row>
    <row r="733" spans="7:63" x14ac:dyDescent="0.15">
      <c r="G733" s="64">
        <f t="shared" si="264"/>
        <v>0</v>
      </c>
      <c r="I733" s="64">
        <f t="shared" si="265"/>
        <v>0</v>
      </c>
      <c r="K733" s="64">
        <f t="shared" si="266"/>
        <v>0</v>
      </c>
      <c r="M733" s="64">
        <f t="shared" si="267"/>
        <v>0</v>
      </c>
      <c r="O733" s="64">
        <f t="shared" si="268"/>
        <v>0</v>
      </c>
      <c r="Q733" s="64">
        <f t="shared" si="269"/>
        <v>0</v>
      </c>
      <c r="S733" s="71">
        <f t="shared" si="270"/>
        <v>0</v>
      </c>
      <c r="U733" s="64">
        <f t="shared" si="271"/>
        <v>0</v>
      </c>
      <c r="W733" s="71">
        <f t="shared" si="272"/>
        <v>0</v>
      </c>
      <c r="Y733" s="71">
        <f t="shared" si="273"/>
        <v>0</v>
      </c>
      <c r="AA733" s="71">
        <f t="shared" si="274"/>
        <v>0</v>
      </c>
      <c r="AC733" s="71">
        <f t="shared" si="275"/>
        <v>0</v>
      </c>
      <c r="AK733" s="71">
        <f t="shared" si="276"/>
        <v>0</v>
      </c>
      <c r="AM733" s="71">
        <f t="shared" si="277"/>
        <v>0</v>
      </c>
      <c r="AO733" s="71">
        <f t="shared" si="278"/>
        <v>0</v>
      </c>
      <c r="AQ733" s="71">
        <f t="shared" si="279"/>
        <v>0</v>
      </c>
      <c r="AT733" s="71">
        <f t="shared" si="280"/>
        <v>0</v>
      </c>
      <c r="AV733" s="71">
        <f t="shared" si="281"/>
        <v>0</v>
      </c>
      <c r="AX733" s="71">
        <f t="shared" si="282"/>
        <v>0</v>
      </c>
      <c r="AZ733" s="71">
        <f t="shared" si="283"/>
        <v>0</v>
      </c>
      <c r="BE733" s="102">
        <f t="shared" si="284"/>
        <v>4.4721359549995796</v>
      </c>
      <c r="BF733" s="81">
        <f t="shared" si="285"/>
        <v>9.3924867883288243E-14</v>
      </c>
      <c r="BG733" s="81" t="str">
        <f t="shared" si="286"/>
        <v>BASSO</v>
      </c>
      <c r="BK733" s="81" t="str">
        <f t="shared" si="287"/>
        <v>MOLTO BASSO</v>
      </c>
    </row>
    <row r="734" spans="7:63" x14ac:dyDescent="0.15">
      <c r="G734" s="64">
        <f t="shared" si="264"/>
        <v>0</v>
      </c>
      <c r="I734" s="64">
        <f t="shared" si="265"/>
        <v>0</v>
      </c>
      <c r="K734" s="64">
        <f t="shared" si="266"/>
        <v>0</v>
      </c>
      <c r="M734" s="64">
        <f t="shared" si="267"/>
        <v>0</v>
      </c>
      <c r="O734" s="64">
        <f t="shared" si="268"/>
        <v>0</v>
      </c>
      <c r="Q734" s="64">
        <f t="shared" si="269"/>
        <v>0</v>
      </c>
      <c r="S734" s="71">
        <f t="shared" si="270"/>
        <v>0</v>
      </c>
      <c r="U734" s="64">
        <f t="shared" si="271"/>
        <v>0</v>
      </c>
      <c r="W734" s="71">
        <f t="shared" si="272"/>
        <v>0</v>
      </c>
      <c r="Y734" s="71">
        <f t="shared" si="273"/>
        <v>0</v>
      </c>
      <c r="AA734" s="71">
        <f t="shared" si="274"/>
        <v>0</v>
      </c>
      <c r="AC734" s="71">
        <f t="shared" si="275"/>
        <v>0</v>
      </c>
      <c r="AK734" s="71">
        <f t="shared" si="276"/>
        <v>0</v>
      </c>
      <c r="AM734" s="71">
        <f t="shared" si="277"/>
        <v>0</v>
      </c>
      <c r="AO734" s="71">
        <f t="shared" si="278"/>
        <v>0</v>
      </c>
      <c r="AQ734" s="71">
        <f t="shared" si="279"/>
        <v>0</v>
      </c>
      <c r="AT734" s="71">
        <f t="shared" si="280"/>
        <v>0</v>
      </c>
      <c r="AV734" s="71">
        <f t="shared" si="281"/>
        <v>0</v>
      </c>
      <c r="AX734" s="71">
        <f t="shared" si="282"/>
        <v>0</v>
      </c>
      <c r="AZ734" s="71">
        <f t="shared" si="283"/>
        <v>0</v>
      </c>
      <c r="BE734" s="102">
        <f t="shared" si="284"/>
        <v>4.4721359549995796</v>
      </c>
      <c r="BF734" s="81">
        <f t="shared" si="285"/>
        <v>9.3924867883288243E-14</v>
      </c>
      <c r="BG734" s="81" t="str">
        <f t="shared" si="286"/>
        <v>BASSO</v>
      </c>
      <c r="BK734" s="81" t="str">
        <f t="shared" si="287"/>
        <v>MOLTO BASSO</v>
      </c>
    </row>
    <row r="735" spans="7:63" x14ac:dyDescent="0.15">
      <c r="G735" s="64">
        <f t="shared" si="264"/>
        <v>0</v>
      </c>
      <c r="I735" s="64">
        <f t="shared" si="265"/>
        <v>0</v>
      </c>
      <c r="K735" s="64">
        <f t="shared" si="266"/>
        <v>0</v>
      </c>
      <c r="M735" s="64">
        <f t="shared" si="267"/>
        <v>0</v>
      </c>
      <c r="O735" s="64">
        <f t="shared" si="268"/>
        <v>0</v>
      </c>
      <c r="Q735" s="64">
        <f t="shared" si="269"/>
        <v>0</v>
      </c>
      <c r="S735" s="71">
        <f t="shared" si="270"/>
        <v>0</v>
      </c>
      <c r="U735" s="64">
        <f t="shared" si="271"/>
        <v>0</v>
      </c>
      <c r="W735" s="71">
        <f t="shared" si="272"/>
        <v>0</v>
      </c>
      <c r="Y735" s="71">
        <f t="shared" si="273"/>
        <v>0</v>
      </c>
      <c r="AA735" s="71">
        <f t="shared" si="274"/>
        <v>0</v>
      </c>
      <c r="AC735" s="71">
        <f t="shared" si="275"/>
        <v>0</v>
      </c>
      <c r="AK735" s="71">
        <f t="shared" si="276"/>
        <v>0</v>
      </c>
      <c r="AM735" s="71">
        <f t="shared" si="277"/>
        <v>0</v>
      </c>
      <c r="AO735" s="71">
        <f t="shared" si="278"/>
        <v>0</v>
      </c>
      <c r="AQ735" s="71">
        <f t="shared" si="279"/>
        <v>0</v>
      </c>
      <c r="AT735" s="71">
        <f t="shared" si="280"/>
        <v>0</v>
      </c>
      <c r="AV735" s="71">
        <f t="shared" si="281"/>
        <v>0</v>
      </c>
      <c r="AX735" s="71">
        <f t="shared" si="282"/>
        <v>0</v>
      </c>
      <c r="AZ735" s="71">
        <f t="shared" si="283"/>
        <v>0</v>
      </c>
      <c r="BE735" s="102">
        <f t="shared" si="284"/>
        <v>4.4721359549995796</v>
      </c>
      <c r="BF735" s="81">
        <f t="shared" si="285"/>
        <v>9.3924867883288243E-14</v>
      </c>
      <c r="BG735" s="81" t="str">
        <f t="shared" si="286"/>
        <v>BASSO</v>
      </c>
      <c r="BK735" s="81" t="str">
        <f t="shared" si="287"/>
        <v>MOLTO BASSO</v>
      </c>
    </row>
    <row r="736" spans="7:63" x14ac:dyDescent="0.15">
      <c r="G736" s="64">
        <f t="shared" si="264"/>
        <v>0</v>
      </c>
      <c r="I736" s="64">
        <f t="shared" si="265"/>
        <v>0</v>
      </c>
      <c r="K736" s="64">
        <f t="shared" si="266"/>
        <v>0</v>
      </c>
      <c r="M736" s="64">
        <f t="shared" si="267"/>
        <v>0</v>
      </c>
      <c r="O736" s="64">
        <f t="shared" si="268"/>
        <v>0</v>
      </c>
      <c r="Q736" s="64">
        <f t="shared" si="269"/>
        <v>0</v>
      </c>
      <c r="S736" s="71">
        <f t="shared" si="270"/>
        <v>0</v>
      </c>
      <c r="U736" s="64">
        <f t="shared" si="271"/>
        <v>0</v>
      </c>
      <c r="W736" s="71">
        <f t="shared" si="272"/>
        <v>0</v>
      </c>
      <c r="Y736" s="71">
        <f t="shared" si="273"/>
        <v>0</v>
      </c>
      <c r="AA736" s="71">
        <f t="shared" si="274"/>
        <v>0</v>
      </c>
      <c r="AC736" s="71">
        <f t="shared" si="275"/>
        <v>0</v>
      </c>
      <c r="AK736" s="71">
        <f t="shared" si="276"/>
        <v>0</v>
      </c>
      <c r="AM736" s="71">
        <f t="shared" si="277"/>
        <v>0</v>
      </c>
      <c r="AO736" s="71">
        <f t="shared" si="278"/>
        <v>0</v>
      </c>
      <c r="AQ736" s="71">
        <f t="shared" si="279"/>
        <v>0</v>
      </c>
      <c r="AT736" s="71">
        <f t="shared" si="280"/>
        <v>0</v>
      </c>
      <c r="AV736" s="71">
        <f t="shared" si="281"/>
        <v>0</v>
      </c>
      <c r="AX736" s="71">
        <f t="shared" si="282"/>
        <v>0</v>
      </c>
      <c r="AZ736" s="71">
        <f t="shared" si="283"/>
        <v>0</v>
      </c>
      <c r="BE736" s="102">
        <f t="shared" si="284"/>
        <v>4.4721359549995796</v>
      </c>
      <c r="BF736" s="81">
        <f t="shared" si="285"/>
        <v>9.3924867883288243E-14</v>
      </c>
      <c r="BG736" s="81" t="str">
        <f t="shared" si="286"/>
        <v>BASSO</v>
      </c>
      <c r="BK736" s="81" t="str">
        <f t="shared" si="287"/>
        <v>MOLTO BASSO</v>
      </c>
    </row>
    <row r="737" spans="7:63" x14ac:dyDescent="0.15">
      <c r="G737" s="64">
        <f t="shared" si="264"/>
        <v>0</v>
      </c>
      <c r="I737" s="64">
        <f t="shared" si="265"/>
        <v>0</v>
      </c>
      <c r="K737" s="64">
        <f t="shared" si="266"/>
        <v>0</v>
      </c>
      <c r="M737" s="64">
        <f t="shared" si="267"/>
        <v>0</v>
      </c>
      <c r="O737" s="64">
        <f t="shared" si="268"/>
        <v>0</v>
      </c>
      <c r="Q737" s="64">
        <f t="shared" si="269"/>
        <v>0</v>
      </c>
      <c r="S737" s="71">
        <f t="shared" si="270"/>
        <v>0</v>
      </c>
      <c r="U737" s="64">
        <f t="shared" si="271"/>
        <v>0</v>
      </c>
      <c r="W737" s="71">
        <f t="shared" si="272"/>
        <v>0</v>
      </c>
      <c r="Y737" s="71">
        <f t="shared" si="273"/>
        <v>0</v>
      </c>
      <c r="AA737" s="71">
        <f t="shared" si="274"/>
        <v>0</v>
      </c>
      <c r="AC737" s="71">
        <f t="shared" si="275"/>
        <v>0</v>
      </c>
      <c r="AK737" s="71">
        <f t="shared" si="276"/>
        <v>0</v>
      </c>
      <c r="AM737" s="71">
        <f t="shared" si="277"/>
        <v>0</v>
      </c>
      <c r="AO737" s="71">
        <f t="shared" si="278"/>
        <v>0</v>
      </c>
      <c r="AQ737" s="71">
        <f t="shared" si="279"/>
        <v>0</v>
      </c>
      <c r="AT737" s="71">
        <f t="shared" si="280"/>
        <v>0</v>
      </c>
      <c r="AV737" s="71">
        <f t="shared" si="281"/>
        <v>0</v>
      </c>
      <c r="AX737" s="71">
        <f t="shared" si="282"/>
        <v>0</v>
      </c>
      <c r="AZ737" s="71">
        <f t="shared" si="283"/>
        <v>0</v>
      </c>
      <c r="BE737" s="102">
        <f t="shared" si="284"/>
        <v>4.4721359549995796</v>
      </c>
      <c r="BF737" s="81">
        <f t="shared" si="285"/>
        <v>9.3924867883288243E-14</v>
      </c>
      <c r="BG737" s="81" t="str">
        <f t="shared" si="286"/>
        <v>BASSO</v>
      </c>
      <c r="BK737" s="81" t="str">
        <f t="shared" si="287"/>
        <v>MOLTO BASSO</v>
      </c>
    </row>
    <row r="738" spans="7:63" x14ac:dyDescent="0.15">
      <c r="G738" s="64">
        <f t="shared" si="264"/>
        <v>0</v>
      </c>
      <c r="I738" s="64">
        <f t="shared" si="265"/>
        <v>0</v>
      </c>
      <c r="K738" s="64">
        <f t="shared" si="266"/>
        <v>0</v>
      </c>
      <c r="M738" s="64">
        <f t="shared" si="267"/>
        <v>0</v>
      </c>
      <c r="O738" s="64">
        <f t="shared" si="268"/>
        <v>0</v>
      </c>
      <c r="Q738" s="64">
        <f t="shared" si="269"/>
        <v>0</v>
      </c>
      <c r="S738" s="71">
        <f t="shared" si="270"/>
        <v>0</v>
      </c>
      <c r="U738" s="64">
        <f t="shared" si="271"/>
        <v>0</v>
      </c>
      <c r="W738" s="71">
        <f t="shared" si="272"/>
        <v>0</v>
      </c>
      <c r="Y738" s="71">
        <f t="shared" si="273"/>
        <v>0</v>
      </c>
      <c r="AA738" s="71">
        <f t="shared" si="274"/>
        <v>0</v>
      </c>
      <c r="AC738" s="71">
        <f t="shared" si="275"/>
        <v>0</v>
      </c>
      <c r="AK738" s="71">
        <f t="shared" si="276"/>
        <v>0</v>
      </c>
      <c r="AM738" s="71">
        <f t="shared" si="277"/>
        <v>0</v>
      </c>
      <c r="AO738" s="71">
        <f t="shared" si="278"/>
        <v>0</v>
      </c>
      <c r="AQ738" s="71">
        <f t="shared" si="279"/>
        <v>0</v>
      </c>
      <c r="AT738" s="71">
        <f t="shared" si="280"/>
        <v>0</v>
      </c>
      <c r="AV738" s="71">
        <f t="shared" si="281"/>
        <v>0</v>
      </c>
      <c r="AX738" s="71">
        <f t="shared" si="282"/>
        <v>0</v>
      </c>
      <c r="AZ738" s="71">
        <f t="shared" si="283"/>
        <v>0</v>
      </c>
      <c r="BE738" s="102">
        <f t="shared" si="284"/>
        <v>4.4721359549995796</v>
      </c>
      <c r="BF738" s="81">
        <f t="shared" si="285"/>
        <v>9.3924867883288243E-14</v>
      </c>
      <c r="BG738" s="81" t="str">
        <f t="shared" si="286"/>
        <v>BASSO</v>
      </c>
      <c r="BK738" s="81" t="str">
        <f t="shared" si="287"/>
        <v>MOLTO BASSO</v>
      </c>
    </row>
    <row r="739" spans="7:63" x14ac:dyDescent="0.15">
      <c r="G739" s="64">
        <f t="shared" si="264"/>
        <v>0</v>
      </c>
      <c r="I739" s="64">
        <f t="shared" si="265"/>
        <v>0</v>
      </c>
      <c r="K739" s="64">
        <f t="shared" si="266"/>
        <v>0</v>
      </c>
      <c r="M739" s="64">
        <f t="shared" si="267"/>
        <v>0</v>
      </c>
      <c r="O739" s="64">
        <f t="shared" si="268"/>
        <v>0</v>
      </c>
      <c r="Q739" s="64">
        <f t="shared" si="269"/>
        <v>0</v>
      </c>
      <c r="S739" s="71">
        <f t="shared" si="270"/>
        <v>0</v>
      </c>
      <c r="U739" s="64">
        <f t="shared" si="271"/>
        <v>0</v>
      </c>
      <c r="W739" s="71">
        <f t="shared" si="272"/>
        <v>0</v>
      </c>
      <c r="Y739" s="71">
        <f t="shared" si="273"/>
        <v>0</v>
      </c>
      <c r="AA739" s="71">
        <f t="shared" si="274"/>
        <v>0</v>
      </c>
      <c r="AC739" s="71">
        <f t="shared" si="275"/>
        <v>0</v>
      </c>
      <c r="AK739" s="71">
        <f t="shared" si="276"/>
        <v>0</v>
      </c>
      <c r="AM739" s="71">
        <f t="shared" si="277"/>
        <v>0</v>
      </c>
      <c r="AO739" s="71">
        <f t="shared" si="278"/>
        <v>0</v>
      </c>
      <c r="AQ739" s="71">
        <f t="shared" si="279"/>
        <v>0</v>
      </c>
      <c r="AT739" s="71">
        <f t="shared" si="280"/>
        <v>0</v>
      </c>
      <c r="AV739" s="71">
        <f t="shared" si="281"/>
        <v>0</v>
      </c>
      <c r="AX739" s="71">
        <f t="shared" si="282"/>
        <v>0</v>
      </c>
      <c r="AZ739" s="71">
        <f t="shared" si="283"/>
        <v>0</v>
      </c>
      <c r="BE739" s="102">
        <f t="shared" si="284"/>
        <v>4.4721359549995796</v>
      </c>
      <c r="BF739" s="81">
        <f t="shared" si="285"/>
        <v>9.3924867883288243E-14</v>
      </c>
      <c r="BG739" s="81" t="str">
        <f t="shared" si="286"/>
        <v>BASSO</v>
      </c>
      <c r="BK739" s="81" t="str">
        <f t="shared" si="287"/>
        <v>MOLTO BASSO</v>
      </c>
    </row>
    <row r="740" spans="7:63" x14ac:dyDescent="0.15">
      <c r="G740" s="64">
        <f t="shared" si="264"/>
        <v>0</v>
      </c>
      <c r="I740" s="64">
        <f t="shared" si="265"/>
        <v>0</v>
      </c>
      <c r="K740" s="64">
        <f t="shared" si="266"/>
        <v>0</v>
      </c>
      <c r="M740" s="64">
        <f t="shared" si="267"/>
        <v>0</v>
      </c>
      <c r="O740" s="64">
        <f t="shared" si="268"/>
        <v>0</v>
      </c>
      <c r="Q740" s="64">
        <f t="shared" si="269"/>
        <v>0</v>
      </c>
      <c r="S740" s="71">
        <f t="shared" si="270"/>
        <v>0</v>
      </c>
      <c r="U740" s="64">
        <f t="shared" si="271"/>
        <v>0</v>
      </c>
      <c r="W740" s="71">
        <f t="shared" si="272"/>
        <v>0</v>
      </c>
      <c r="Y740" s="71">
        <f t="shared" si="273"/>
        <v>0</v>
      </c>
      <c r="AA740" s="71">
        <f t="shared" si="274"/>
        <v>0</v>
      </c>
      <c r="AC740" s="71">
        <f t="shared" si="275"/>
        <v>0</v>
      </c>
      <c r="AK740" s="71">
        <f t="shared" si="276"/>
        <v>0</v>
      </c>
      <c r="AM740" s="71">
        <f t="shared" si="277"/>
        <v>0</v>
      </c>
      <c r="AO740" s="71">
        <f t="shared" si="278"/>
        <v>0</v>
      </c>
      <c r="AQ740" s="71">
        <f t="shared" si="279"/>
        <v>0</v>
      </c>
      <c r="AT740" s="71">
        <f t="shared" si="280"/>
        <v>0</v>
      </c>
      <c r="AV740" s="71">
        <f t="shared" si="281"/>
        <v>0</v>
      </c>
      <c r="AX740" s="71">
        <f t="shared" si="282"/>
        <v>0</v>
      </c>
      <c r="AZ740" s="71">
        <f t="shared" si="283"/>
        <v>0</v>
      </c>
      <c r="BE740" s="102">
        <f t="shared" si="284"/>
        <v>4.4721359549995796</v>
      </c>
      <c r="BF740" s="81">
        <f t="shared" si="285"/>
        <v>9.3924867883288243E-14</v>
      </c>
      <c r="BG740" s="81" t="str">
        <f t="shared" si="286"/>
        <v>BASSO</v>
      </c>
      <c r="BK740" s="81" t="str">
        <f t="shared" si="287"/>
        <v>MOLTO BASSO</v>
      </c>
    </row>
    <row r="741" spans="7:63" x14ac:dyDescent="0.15">
      <c r="G741" s="64">
        <f t="shared" si="264"/>
        <v>0</v>
      </c>
      <c r="I741" s="64">
        <f t="shared" si="265"/>
        <v>0</v>
      </c>
      <c r="K741" s="64">
        <f t="shared" si="266"/>
        <v>0</v>
      </c>
      <c r="M741" s="64">
        <f t="shared" si="267"/>
        <v>0</v>
      </c>
      <c r="O741" s="64">
        <f t="shared" si="268"/>
        <v>0</v>
      </c>
      <c r="Q741" s="64">
        <f t="shared" si="269"/>
        <v>0</v>
      </c>
      <c r="S741" s="71">
        <f t="shared" si="270"/>
        <v>0</v>
      </c>
      <c r="U741" s="64">
        <f t="shared" si="271"/>
        <v>0</v>
      </c>
      <c r="W741" s="71">
        <f t="shared" si="272"/>
        <v>0</v>
      </c>
      <c r="Y741" s="71">
        <f t="shared" si="273"/>
        <v>0</v>
      </c>
      <c r="AA741" s="71">
        <f t="shared" si="274"/>
        <v>0</v>
      </c>
      <c r="AC741" s="71">
        <f t="shared" si="275"/>
        <v>0</v>
      </c>
      <c r="AK741" s="71">
        <f t="shared" si="276"/>
        <v>0</v>
      </c>
      <c r="AM741" s="71">
        <f t="shared" si="277"/>
        <v>0</v>
      </c>
      <c r="AO741" s="71">
        <f t="shared" si="278"/>
        <v>0</v>
      </c>
      <c r="AQ741" s="71">
        <f t="shared" si="279"/>
        <v>0</v>
      </c>
      <c r="AT741" s="71">
        <f t="shared" si="280"/>
        <v>0</v>
      </c>
      <c r="AV741" s="71">
        <f t="shared" si="281"/>
        <v>0</v>
      </c>
      <c r="AX741" s="71">
        <f t="shared" si="282"/>
        <v>0</v>
      </c>
      <c r="AZ741" s="71">
        <f t="shared" si="283"/>
        <v>0</v>
      </c>
      <c r="BE741" s="102">
        <f t="shared" si="284"/>
        <v>4.4721359549995796</v>
      </c>
      <c r="BF741" s="81">
        <f t="shared" si="285"/>
        <v>9.3924867883288243E-14</v>
      </c>
      <c r="BG741" s="81" t="str">
        <f t="shared" si="286"/>
        <v>BASSO</v>
      </c>
      <c r="BK741" s="81" t="str">
        <f t="shared" si="287"/>
        <v>MOLTO BASSO</v>
      </c>
    </row>
    <row r="742" spans="7:63" x14ac:dyDescent="0.15">
      <c r="G742" s="64">
        <f t="shared" si="264"/>
        <v>0</v>
      </c>
      <c r="I742" s="64">
        <f t="shared" si="265"/>
        <v>0</v>
      </c>
      <c r="K742" s="64">
        <f t="shared" si="266"/>
        <v>0</v>
      </c>
      <c r="M742" s="64">
        <f t="shared" si="267"/>
        <v>0</v>
      </c>
      <c r="O742" s="64">
        <f t="shared" si="268"/>
        <v>0</v>
      </c>
      <c r="Q742" s="64">
        <f t="shared" si="269"/>
        <v>0</v>
      </c>
      <c r="S742" s="71">
        <f t="shared" si="270"/>
        <v>0</v>
      </c>
      <c r="U742" s="64">
        <f t="shared" si="271"/>
        <v>0</v>
      </c>
      <c r="W742" s="71">
        <f t="shared" si="272"/>
        <v>0</v>
      </c>
      <c r="Y742" s="71">
        <f t="shared" si="273"/>
        <v>0</v>
      </c>
      <c r="AA742" s="71">
        <f t="shared" si="274"/>
        <v>0</v>
      </c>
      <c r="AC742" s="71">
        <f t="shared" si="275"/>
        <v>0</v>
      </c>
      <c r="AK742" s="71">
        <f t="shared" si="276"/>
        <v>0</v>
      </c>
      <c r="AM742" s="71">
        <f t="shared" si="277"/>
        <v>0</v>
      </c>
      <c r="AO742" s="71">
        <f t="shared" si="278"/>
        <v>0</v>
      </c>
      <c r="AQ742" s="71">
        <f t="shared" si="279"/>
        <v>0</v>
      </c>
      <c r="AT742" s="71">
        <f t="shared" si="280"/>
        <v>0</v>
      </c>
      <c r="AV742" s="71">
        <f t="shared" si="281"/>
        <v>0</v>
      </c>
      <c r="AX742" s="71">
        <f t="shared" si="282"/>
        <v>0</v>
      </c>
      <c r="AZ742" s="71">
        <f t="shared" si="283"/>
        <v>0</v>
      </c>
      <c r="BE742" s="102">
        <f t="shared" si="284"/>
        <v>4.4721359549995796</v>
      </c>
      <c r="BF742" s="81">
        <f t="shared" si="285"/>
        <v>9.3924867883288243E-14</v>
      </c>
      <c r="BG742" s="81" t="str">
        <f t="shared" si="286"/>
        <v>BASSO</v>
      </c>
      <c r="BK742" s="81" t="str">
        <f t="shared" si="287"/>
        <v>MOLTO BASSO</v>
      </c>
    </row>
    <row r="743" spans="7:63" x14ac:dyDescent="0.15">
      <c r="G743" s="64">
        <f t="shared" si="264"/>
        <v>0</v>
      </c>
      <c r="I743" s="64">
        <f t="shared" si="265"/>
        <v>0</v>
      </c>
      <c r="K743" s="64">
        <f t="shared" si="266"/>
        <v>0</v>
      </c>
      <c r="M743" s="64">
        <f t="shared" si="267"/>
        <v>0</v>
      </c>
      <c r="O743" s="64">
        <f t="shared" si="268"/>
        <v>0</v>
      </c>
      <c r="Q743" s="64">
        <f t="shared" si="269"/>
        <v>0</v>
      </c>
      <c r="S743" s="71">
        <f t="shared" si="270"/>
        <v>0</v>
      </c>
      <c r="U743" s="64">
        <f t="shared" si="271"/>
        <v>0</v>
      </c>
      <c r="W743" s="71">
        <f t="shared" si="272"/>
        <v>0</v>
      </c>
      <c r="Y743" s="71">
        <f t="shared" si="273"/>
        <v>0</v>
      </c>
      <c r="AA743" s="71">
        <f t="shared" si="274"/>
        <v>0</v>
      </c>
      <c r="AC743" s="71">
        <f t="shared" si="275"/>
        <v>0</v>
      </c>
      <c r="AK743" s="71">
        <f t="shared" si="276"/>
        <v>0</v>
      </c>
      <c r="AM743" s="71">
        <f t="shared" si="277"/>
        <v>0</v>
      </c>
      <c r="AO743" s="71">
        <f t="shared" si="278"/>
        <v>0</v>
      </c>
      <c r="AQ743" s="71">
        <f t="shared" si="279"/>
        <v>0</v>
      </c>
      <c r="AT743" s="71">
        <f t="shared" si="280"/>
        <v>0</v>
      </c>
      <c r="AV743" s="71">
        <f t="shared" si="281"/>
        <v>0</v>
      </c>
      <c r="AX743" s="71">
        <f t="shared" si="282"/>
        <v>0</v>
      </c>
      <c r="AZ743" s="71">
        <f t="shared" si="283"/>
        <v>0</v>
      </c>
      <c r="BE743" s="102">
        <f t="shared" si="284"/>
        <v>4.4721359549995796</v>
      </c>
      <c r="BF743" s="81">
        <f t="shared" si="285"/>
        <v>9.3924867883288243E-14</v>
      </c>
      <c r="BG743" s="81" t="str">
        <f t="shared" si="286"/>
        <v>BASSO</v>
      </c>
      <c r="BK743" s="81" t="str">
        <f t="shared" si="287"/>
        <v>MOLTO BASSO</v>
      </c>
    </row>
    <row r="744" spans="7:63" x14ac:dyDescent="0.15">
      <c r="G744" s="64">
        <f t="shared" ref="G744:G807" si="288">F745/2</f>
        <v>0</v>
      </c>
      <c r="I744" s="64">
        <f t="shared" si="265"/>
        <v>0</v>
      </c>
      <c r="K744" s="64">
        <f t="shared" si="266"/>
        <v>0</v>
      </c>
      <c r="M744" s="64">
        <f t="shared" si="267"/>
        <v>0</v>
      </c>
      <c r="O744" s="64">
        <f t="shared" si="268"/>
        <v>0</v>
      </c>
      <c r="Q744" s="64">
        <f t="shared" si="269"/>
        <v>0</v>
      </c>
      <c r="S744" s="71">
        <f t="shared" si="270"/>
        <v>0</v>
      </c>
      <c r="U744" s="64">
        <f t="shared" si="271"/>
        <v>0</v>
      </c>
      <c r="W744" s="71">
        <f t="shared" si="272"/>
        <v>0</v>
      </c>
      <c r="Y744" s="71">
        <f t="shared" si="273"/>
        <v>0</v>
      </c>
      <c r="AA744" s="71">
        <f t="shared" si="274"/>
        <v>0</v>
      </c>
      <c r="AC744" s="71">
        <f t="shared" si="275"/>
        <v>0</v>
      </c>
      <c r="AK744" s="71">
        <f t="shared" si="276"/>
        <v>0</v>
      </c>
      <c r="AM744" s="71">
        <f t="shared" si="277"/>
        <v>0</v>
      </c>
      <c r="AO744" s="71">
        <f t="shared" si="278"/>
        <v>0</v>
      </c>
      <c r="AQ744" s="71">
        <f t="shared" si="279"/>
        <v>0</v>
      </c>
      <c r="AT744" s="71">
        <f t="shared" si="280"/>
        <v>0</v>
      </c>
      <c r="AV744" s="71">
        <f t="shared" si="281"/>
        <v>0</v>
      </c>
      <c r="AX744" s="71">
        <f t="shared" si="282"/>
        <v>0</v>
      </c>
      <c r="AZ744" s="71">
        <f t="shared" si="283"/>
        <v>0</v>
      </c>
      <c r="BE744" s="102">
        <f t="shared" si="284"/>
        <v>4.4721359549995796</v>
      </c>
      <c r="BF744" s="81">
        <f t="shared" si="285"/>
        <v>9.3924867883288243E-14</v>
      </c>
      <c r="BG744" s="81" t="str">
        <f t="shared" si="286"/>
        <v>BASSO</v>
      </c>
      <c r="BK744" s="81" t="str">
        <f t="shared" si="287"/>
        <v>MOLTO BASSO</v>
      </c>
    </row>
    <row r="745" spans="7:63" x14ac:dyDescent="0.15">
      <c r="G745" s="64">
        <f t="shared" si="288"/>
        <v>0</v>
      </c>
      <c r="I745" s="64">
        <f t="shared" si="265"/>
        <v>0</v>
      </c>
      <c r="K745" s="64">
        <f t="shared" si="266"/>
        <v>0</v>
      </c>
      <c r="M745" s="64">
        <f t="shared" si="267"/>
        <v>0</v>
      </c>
      <c r="O745" s="64">
        <f t="shared" si="268"/>
        <v>0</v>
      </c>
      <c r="Q745" s="64">
        <f t="shared" si="269"/>
        <v>0</v>
      </c>
      <c r="S745" s="71">
        <f t="shared" si="270"/>
        <v>0</v>
      </c>
      <c r="U745" s="64">
        <f t="shared" si="271"/>
        <v>0</v>
      </c>
      <c r="W745" s="71">
        <f t="shared" si="272"/>
        <v>0</v>
      </c>
      <c r="Y745" s="71">
        <f t="shared" si="273"/>
        <v>0</v>
      </c>
      <c r="AA745" s="71">
        <f t="shared" si="274"/>
        <v>0</v>
      </c>
      <c r="AC745" s="71">
        <f t="shared" si="275"/>
        <v>0</v>
      </c>
      <c r="AK745" s="71">
        <f t="shared" si="276"/>
        <v>0</v>
      </c>
      <c r="AM745" s="71">
        <f t="shared" si="277"/>
        <v>0</v>
      </c>
      <c r="AO745" s="71">
        <f t="shared" si="278"/>
        <v>0</v>
      </c>
      <c r="AQ745" s="71">
        <f t="shared" si="279"/>
        <v>0</v>
      </c>
      <c r="AT745" s="71">
        <f t="shared" si="280"/>
        <v>0</v>
      </c>
      <c r="AV745" s="71">
        <f t="shared" si="281"/>
        <v>0</v>
      </c>
      <c r="AX745" s="71">
        <f t="shared" si="282"/>
        <v>0</v>
      </c>
      <c r="AZ745" s="71">
        <f t="shared" si="283"/>
        <v>0</v>
      </c>
      <c r="BE745" s="102">
        <f t="shared" si="284"/>
        <v>4.4721359549995796</v>
      </c>
      <c r="BF745" s="81">
        <f t="shared" si="285"/>
        <v>9.3924867883288243E-14</v>
      </c>
      <c r="BG745" s="81" t="str">
        <f t="shared" si="286"/>
        <v>BASSO</v>
      </c>
      <c r="BK745" s="81" t="str">
        <f t="shared" si="287"/>
        <v>MOLTO BASSO</v>
      </c>
    </row>
    <row r="746" spans="7:63" x14ac:dyDescent="0.15">
      <c r="G746" s="64">
        <f t="shared" si="288"/>
        <v>0</v>
      </c>
      <c r="I746" s="64">
        <f t="shared" si="265"/>
        <v>0</v>
      </c>
      <c r="K746" s="64">
        <f t="shared" si="266"/>
        <v>0</v>
      </c>
      <c r="M746" s="64">
        <f t="shared" si="267"/>
        <v>0</v>
      </c>
      <c r="O746" s="64">
        <f t="shared" si="268"/>
        <v>0</v>
      </c>
      <c r="Q746" s="64">
        <f t="shared" si="269"/>
        <v>0</v>
      </c>
      <c r="S746" s="71">
        <f t="shared" si="270"/>
        <v>0</v>
      </c>
      <c r="U746" s="64">
        <f t="shared" si="271"/>
        <v>0</v>
      </c>
      <c r="W746" s="71">
        <f t="shared" si="272"/>
        <v>0</v>
      </c>
      <c r="Y746" s="71">
        <f t="shared" si="273"/>
        <v>0</v>
      </c>
      <c r="AA746" s="71">
        <f t="shared" si="274"/>
        <v>0</v>
      </c>
      <c r="AC746" s="71">
        <f t="shared" si="275"/>
        <v>0</v>
      </c>
      <c r="AK746" s="71">
        <f t="shared" si="276"/>
        <v>0</v>
      </c>
      <c r="AM746" s="71">
        <f t="shared" si="277"/>
        <v>0</v>
      </c>
      <c r="AO746" s="71">
        <f t="shared" si="278"/>
        <v>0</v>
      </c>
      <c r="AQ746" s="71">
        <f t="shared" si="279"/>
        <v>0</v>
      </c>
      <c r="AT746" s="71">
        <f t="shared" si="280"/>
        <v>0</v>
      </c>
      <c r="AV746" s="71">
        <f t="shared" si="281"/>
        <v>0</v>
      </c>
      <c r="AX746" s="71">
        <f t="shared" si="282"/>
        <v>0</v>
      </c>
      <c r="AZ746" s="71">
        <f t="shared" si="283"/>
        <v>0</v>
      </c>
      <c r="BE746" s="102">
        <f t="shared" si="284"/>
        <v>4.4721359549995796</v>
      </c>
      <c r="BF746" s="81">
        <f t="shared" si="285"/>
        <v>9.3924867883288243E-14</v>
      </c>
      <c r="BG746" s="81" t="str">
        <f t="shared" si="286"/>
        <v>BASSO</v>
      </c>
      <c r="BK746" s="81" t="str">
        <f t="shared" si="287"/>
        <v>MOLTO BASSO</v>
      </c>
    </row>
    <row r="747" spans="7:63" x14ac:dyDescent="0.15">
      <c r="G747" s="64">
        <f t="shared" si="288"/>
        <v>0</v>
      </c>
      <c r="I747" s="64">
        <f t="shared" si="265"/>
        <v>0</v>
      </c>
      <c r="K747" s="64">
        <f t="shared" si="266"/>
        <v>0</v>
      </c>
      <c r="M747" s="64">
        <f t="shared" si="267"/>
        <v>0</v>
      </c>
      <c r="O747" s="64">
        <f t="shared" si="268"/>
        <v>0</v>
      </c>
      <c r="Q747" s="64">
        <f t="shared" si="269"/>
        <v>0</v>
      </c>
      <c r="S747" s="71">
        <f t="shared" si="270"/>
        <v>0</v>
      </c>
      <c r="U747" s="64">
        <f t="shared" si="271"/>
        <v>0</v>
      </c>
      <c r="W747" s="71">
        <f t="shared" si="272"/>
        <v>0</v>
      </c>
      <c r="Y747" s="71">
        <f t="shared" si="273"/>
        <v>0</v>
      </c>
      <c r="AA747" s="71">
        <f t="shared" si="274"/>
        <v>0</v>
      </c>
      <c r="AC747" s="71">
        <f t="shared" si="275"/>
        <v>0</v>
      </c>
      <c r="AK747" s="71">
        <f t="shared" si="276"/>
        <v>0</v>
      </c>
      <c r="AM747" s="71">
        <f t="shared" si="277"/>
        <v>0</v>
      </c>
      <c r="AO747" s="71">
        <f t="shared" si="278"/>
        <v>0</v>
      </c>
      <c r="AQ747" s="71">
        <f t="shared" si="279"/>
        <v>0</v>
      </c>
      <c r="AT747" s="71">
        <f t="shared" si="280"/>
        <v>0</v>
      </c>
      <c r="AV747" s="71">
        <f t="shared" si="281"/>
        <v>0</v>
      </c>
      <c r="AX747" s="71">
        <f t="shared" si="282"/>
        <v>0</v>
      </c>
      <c r="AZ747" s="71">
        <f t="shared" si="283"/>
        <v>0</v>
      </c>
      <c r="BE747" s="102">
        <f t="shared" si="284"/>
        <v>4.4721359549995796</v>
      </c>
      <c r="BF747" s="81">
        <f t="shared" si="285"/>
        <v>9.3924867883288243E-14</v>
      </c>
      <c r="BG747" s="81" t="str">
        <f t="shared" si="286"/>
        <v>BASSO</v>
      </c>
      <c r="BK747" s="81" t="str">
        <f t="shared" si="287"/>
        <v>MOLTO BASSO</v>
      </c>
    </row>
    <row r="748" spans="7:63" x14ac:dyDescent="0.15">
      <c r="G748" s="64">
        <f t="shared" si="288"/>
        <v>0</v>
      </c>
      <c r="I748" s="64">
        <f t="shared" si="265"/>
        <v>0</v>
      </c>
      <c r="K748" s="64">
        <f t="shared" si="266"/>
        <v>0</v>
      </c>
      <c r="M748" s="64">
        <f t="shared" si="267"/>
        <v>0</v>
      </c>
      <c r="O748" s="64">
        <f t="shared" si="268"/>
        <v>0</v>
      </c>
      <c r="Q748" s="64">
        <f t="shared" si="269"/>
        <v>0</v>
      </c>
      <c r="S748" s="71">
        <f t="shared" si="270"/>
        <v>0</v>
      </c>
      <c r="U748" s="64">
        <f t="shared" si="271"/>
        <v>0</v>
      </c>
      <c r="W748" s="71">
        <f t="shared" si="272"/>
        <v>0</v>
      </c>
      <c r="Y748" s="71">
        <f t="shared" si="273"/>
        <v>0</v>
      </c>
      <c r="AA748" s="71">
        <f t="shared" si="274"/>
        <v>0</v>
      </c>
      <c r="AC748" s="71">
        <f t="shared" si="275"/>
        <v>0</v>
      </c>
      <c r="AK748" s="71">
        <f t="shared" si="276"/>
        <v>0</v>
      </c>
      <c r="AM748" s="71">
        <f t="shared" si="277"/>
        <v>0</v>
      </c>
      <c r="AO748" s="71">
        <f t="shared" si="278"/>
        <v>0</v>
      </c>
      <c r="AQ748" s="71">
        <f t="shared" si="279"/>
        <v>0</v>
      </c>
      <c r="AT748" s="71">
        <f t="shared" si="280"/>
        <v>0</v>
      </c>
      <c r="AV748" s="71">
        <f t="shared" si="281"/>
        <v>0</v>
      </c>
      <c r="AX748" s="71">
        <f t="shared" si="282"/>
        <v>0</v>
      </c>
      <c r="AZ748" s="71">
        <f t="shared" si="283"/>
        <v>0</v>
      </c>
      <c r="BE748" s="102">
        <f t="shared" si="284"/>
        <v>4.4721359549995796</v>
      </c>
      <c r="BF748" s="81">
        <f t="shared" si="285"/>
        <v>9.3924867883288243E-14</v>
      </c>
      <c r="BG748" s="81" t="str">
        <f t="shared" si="286"/>
        <v>BASSO</v>
      </c>
      <c r="BK748" s="81" t="str">
        <f t="shared" si="287"/>
        <v>MOLTO BASSO</v>
      </c>
    </row>
    <row r="749" spans="7:63" x14ac:dyDescent="0.15">
      <c r="G749" s="64">
        <f t="shared" si="288"/>
        <v>0</v>
      </c>
      <c r="I749" s="64">
        <f t="shared" si="265"/>
        <v>0</v>
      </c>
      <c r="K749" s="64">
        <f t="shared" si="266"/>
        <v>0</v>
      </c>
      <c r="M749" s="64">
        <f t="shared" si="267"/>
        <v>0</v>
      </c>
      <c r="O749" s="64">
        <f t="shared" si="268"/>
        <v>0</v>
      </c>
      <c r="Q749" s="64">
        <f t="shared" si="269"/>
        <v>0</v>
      </c>
      <c r="S749" s="71">
        <f t="shared" si="270"/>
        <v>0</v>
      </c>
      <c r="U749" s="64">
        <f t="shared" si="271"/>
        <v>0</v>
      </c>
      <c r="W749" s="71">
        <f t="shared" si="272"/>
        <v>0</v>
      </c>
      <c r="Y749" s="71">
        <f t="shared" si="273"/>
        <v>0</v>
      </c>
      <c r="AA749" s="71">
        <f t="shared" si="274"/>
        <v>0</v>
      </c>
      <c r="AC749" s="71">
        <f t="shared" si="275"/>
        <v>0</v>
      </c>
      <c r="AK749" s="71">
        <f t="shared" si="276"/>
        <v>0</v>
      </c>
      <c r="AM749" s="71">
        <f t="shared" si="277"/>
        <v>0</v>
      </c>
      <c r="AO749" s="71">
        <f t="shared" si="278"/>
        <v>0</v>
      </c>
      <c r="AQ749" s="71">
        <f t="shared" si="279"/>
        <v>0</v>
      </c>
      <c r="AT749" s="71">
        <f t="shared" si="280"/>
        <v>0</v>
      </c>
      <c r="AV749" s="71">
        <f t="shared" si="281"/>
        <v>0</v>
      </c>
      <c r="AX749" s="71">
        <f t="shared" si="282"/>
        <v>0</v>
      </c>
      <c r="AZ749" s="71">
        <f t="shared" si="283"/>
        <v>0</v>
      </c>
      <c r="BE749" s="102">
        <f t="shared" si="284"/>
        <v>4.4721359549995796</v>
      </c>
      <c r="BF749" s="81">
        <f t="shared" si="285"/>
        <v>9.3924867883288243E-14</v>
      </c>
      <c r="BG749" s="81" t="str">
        <f t="shared" si="286"/>
        <v>BASSO</v>
      </c>
      <c r="BK749" s="81" t="str">
        <f t="shared" si="287"/>
        <v>MOLTO BASSO</v>
      </c>
    </row>
    <row r="750" spans="7:63" x14ac:dyDescent="0.15">
      <c r="G750" s="64">
        <f t="shared" si="288"/>
        <v>0</v>
      </c>
      <c r="I750" s="64">
        <f t="shared" si="265"/>
        <v>0</v>
      </c>
      <c r="K750" s="64">
        <f t="shared" si="266"/>
        <v>0</v>
      </c>
      <c r="M750" s="64">
        <f t="shared" si="267"/>
        <v>0</v>
      </c>
      <c r="O750" s="64">
        <f t="shared" si="268"/>
        <v>0</v>
      </c>
      <c r="Q750" s="64">
        <f t="shared" si="269"/>
        <v>0</v>
      </c>
      <c r="S750" s="71">
        <f t="shared" si="270"/>
        <v>0</v>
      </c>
      <c r="U750" s="64">
        <f t="shared" si="271"/>
        <v>0</v>
      </c>
      <c r="W750" s="71">
        <f t="shared" si="272"/>
        <v>0</v>
      </c>
      <c r="Y750" s="71">
        <f t="shared" si="273"/>
        <v>0</v>
      </c>
      <c r="AA750" s="71">
        <f t="shared" si="274"/>
        <v>0</v>
      </c>
      <c r="AC750" s="71">
        <f t="shared" si="275"/>
        <v>0</v>
      </c>
      <c r="AK750" s="71">
        <f t="shared" si="276"/>
        <v>0</v>
      </c>
      <c r="AM750" s="71">
        <f t="shared" si="277"/>
        <v>0</v>
      </c>
      <c r="AO750" s="71">
        <f t="shared" si="278"/>
        <v>0</v>
      </c>
      <c r="AQ750" s="71">
        <f t="shared" si="279"/>
        <v>0</v>
      </c>
      <c r="AT750" s="71">
        <f t="shared" si="280"/>
        <v>0</v>
      </c>
      <c r="AV750" s="71">
        <f t="shared" si="281"/>
        <v>0</v>
      </c>
      <c r="AX750" s="71">
        <f t="shared" si="282"/>
        <v>0</v>
      </c>
      <c r="AZ750" s="71">
        <f t="shared" si="283"/>
        <v>0</v>
      </c>
      <c r="BE750" s="102">
        <f t="shared" si="284"/>
        <v>4.4721359549995796</v>
      </c>
      <c r="BF750" s="81">
        <f t="shared" si="285"/>
        <v>9.3924867883288243E-14</v>
      </c>
      <c r="BG750" s="81" t="str">
        <f t="shared" si="286"/>
        <v>BASSO</v>
      </c>
      <c r="BK750" s="81" t="str">
        <f t="shared" si="287"/>
        <v>MOLTO BASSO</v>
      </c>
    </row>
    <row r="751" spans="7:63" x14ac:dyDescent="0.15">
      <c r="G751" s="64">
        <f t="shared" si="288"/>
        <v>0</v>
      </c>
      <c r="I751" s="64">
        <f t="shared" si="265"/>
        <v>0</v>
      </c>
      <c r="K751" s="64">
        <f t="shared" si="266"/>
        <v>0</v>
      </c>
      <c r="M751" s="64">
        <f t="shared" si="267"/>
        <v>0</v>
      </c>
      <c r="O751" s="64">
        <f t="shared" si="268"/>
        <v>0</v>
      </c>
      <c r="Q751" s="64">
        <f t="shared" si="269"/>
        <v>0</v>
      </c>
      <c r="S751" s="71">
        <f t="shared" si="270"/>
        <v>0</v>
      </c>
      <c r="U751" s="64">
        <f t="shared" si="271"/>
        <v>0</v>
      </c>
      <c r="W751" s="71">
        <f t="shared" si="272"/>
        <v>0</v>
      </c>
      <c r="Y751" s="71">
        <f t="shared" si="273"/>
        <v>0</v>
      </c>
      <c r="AA751" s="71">
        <f t="shared" si="274"/>
        <v>0</v>
      </c>
      <c r="AC751" s="71">
        <f t="shared" si="275"/>
        <v>0</v>
      </c>
      <c r="AK751" s="71">
        <f t="shared" si="276"/>
        <v>0</v>
      </c>
      <c r="AM751" s="71">
        <f t="shared" si="277"/>
        <v>0</v>
      </c>
      <c r="AO751" s="71">
        <f t="shared" si="278"/>
        <v>0</v>
      </c>
      <c r="AQ751" s="71">
        <f t="shared" si="279"/>
        <v>0</v>
      </c>
      <c r="AT751" s="71">
        <f t="shared" si="280"/>
        <v>0</v>
      </c>
      <c r="AV751" s="71">
        <f t="shared" si="281"/>
        <v>0</v>
      </c>
      <c r="AX751" s="71">
        <f t="shared" si="282"/>
        <v>0</v>
      </c>
      <c r="AZ751" s="71">
        <f t="shared" si="283"/>
        <v>0</v>
      </c>
      <c r="BE751" s="102">
        <f t="shared" si="284"/>
        <v>4.4721359549995796</v>
      </c>
      <c r="BF751" s="81">
        <f t="shared" si="285"/>
        <v>9.3924867883288243E-14</v>
      </c>
      <c r="BG751" s="81" t="str">
        <f t="shared" si="286"/>
        <v>BASSO</v>
      </c>
      <c r="BK751" s="81" t="str">
        <f t="shared" si="287"/>
        <v>MOLTO BASSO</v>
      </c>
    </row>
    <row r="752" spans="7:63" x14ac:dyDescent="0.15">
      <c r="G752" s="64">
        <f t="shared" si="288"/>
        <v>0</v>
      </c>
      <c r="I752" s="64">
        <f t="shared" si="265"/>
        <v>0</v>
      </c>
      <c r="K752" s="64">
        <f t="shared" si="266"/>
        <v>0</v>
      </c>
      <c r="M752" s="64">
        <f t="shared" si="267"/>
        <v>0</v>
      </c>
      <c r="O752" s="64">
        <f t="shared" si="268"/>
        <v>0</v>
      </c>
      <c r="Q752" s="64">
        <f t="shared" si="269"/>
        <v>0</v>
      </c>
      <c r="S752" s="71">
        <f t="shared" si="270"/>
        <v>0</v>
      </c>
      <c r="U752" s="64">
        <f t="shared" si="271"/>
        <v>0</v>
      </c>
      <c r="W752" s="71">
        <f t="shared" si="272"/>
        <v>0</v>
      </c>
      <c r="Y752" s="71">
        <f t="shared" si="273"/>
        <v>0</v>
      </c>
      <c r="AA752" s="71">
        <f t="shared" si="274"/>
        <v>0</v>
      </c>
      <c r="AC752" s="71">
        <f t="shared" si="275"/>
        <v>0</v>
      </c>
      <c r="AK752" s="71">
        <f t="shared" si="276"/>
        <v>0</v>
      </c>
      <c r="AM752" s="71">
        <f t="shared" si="277"/>
        <v>0</v>
      </c>
      <c r="AO752" s="71">
        <f t="shared" si="278"/>
        <v>0</v>
      </c>
      <c r="AQ752" s="71">
        <f t="shared" si="279"/>
        <v>0</v>
      </c>
      <c r="AT752" s="71">
        <f t="shared" si="280"/>
        <v>0</v>
      </c>
      <c r="AV752" s="71">
        <f t="shared" si="281"/>
        <v>0</v>
      </c>
      <c r="AX752" s="71">
        <f t="shared" si="282"/>
        <v>0</v>
      </c>
      <c r="AZ752" s="71">
        <f t="shared" si="283"/>
        <v>0</v>
      </c>
      <c r="BE752" s="102">
        <f t="shared" si="284"/>
        <v>4.4721359549995796</v>
      </c>
      <c r="BF752" s="81">
        <f t="shared" si="285"/>
        <v>9.3924867883288243E-14</v>
      </c>
      <c r="BG752" s="81" t="str">
        <f t="shared" si="286"/>
        <v>BASSO</v>
      </c>
      <c r="BK752" s="81" t="str">
        <f t="shared" si="287"/>
        <v>MOLTO BASSO</v>
      </c>
    </row>
    <row r="753" spans="7:63" x14ac:dyDescent="0.15">
      <c r="G753" s="64">
        <f t="shared" si="288"/>
        <v>0</v>
      </c>
      <c r="I753" s="64">
        <f t="shared" si="265"/>
        <v>0</v>
      </c>
      <c r="K753" s="64">
        <f t="shared" si="266"/>
        <v>0</v>
      </c>
      <c r="M753" s="64">
        <f t="shared" si="267"/>
        <v>0</v>
      </c>
      <c r="O753" s="64">
        <f t="shared" si="268"/>
        <v>0</v>
      </c>
      <c r="Q753" s="64">
        <f t="shared" si="269"/>
        <v>0</v>
      </c>
      <c r="S753" s="71">
        <f t="shared" si="270"/>
        <v>0</v>
      </c>
      <c r="U753" s="64">
        <f t="shared" si="271"/>
        <v>0</v>
      </c>
      <c r="W753" s="71">
        <f t="shared" si="272"/>
        <v>0</v>
      </c>
      <c r="Y753" s="71">
        <f t="shared" si="273"/>
        <v>0</v>
      </c>
      <c r="AA753" s="71">
        <f t="shared" si="274"/>
        <v>0</v>
      </c>
      <c r="AC753" s="71">
        <f t="shared" si="275"/>
        <v>0</v>
      </c>
      <c r="AK753" s="71">
        <f t="shared" si="276"/>
        <v>0</v>
      </c>
      <c r="AM753" s="71">
        <f t="shared" si="277"/>
        <v>0</v>
      </c>
      <c r="AO753" s="71">
        <f t="shared" si="278"/>
        <v>0</v>
      </c>
      <c r="AQ753" s="71">
        <f t="shared" si="279"/>
        <v>0</v>
      </c>
      <c r="AT753" s="71">
        <f t="shared" si="280"/>
        <v>0</v>
      </c>
      <c r="AV753" s="71">
        <f t="shared" si="281"/>
        <v>0</v>
      </c>
      <c r="AX753" s="71">
        <f t="shared" si="282"/>
        <v>0</v>
      </c>
      <c r="AZ753" s="71">
        <f t="shared" si="283"/>
        <v>0</v>
      </c>
      <c r="BE753" s="102">
        <f t="shared" si="284"/>
        <v>4.4721359549995796</v>
      </c>
      <c r="BF753" s="81">
        <f t="shared" si="285"/>
        <v>9.3924867883288243E-14</v>
      </c>
      <c r="BG753" s="81" t="str">
        <f t="shared" si="286"/>
        <v>BASSO</v>
      </c>
      <c r="BK753" s="81" t="str">
        <f t="shared" si="287"/>
        <v>MOLTO BASSO</v>
      </c>
    </row>
    <row r="754" spans="7:63" x14ac:dyDescent="0.15">
      <c r="G754" s="64">
        <f t="shared" si="288"/>
        <v>0</v>
      </c>
      <c r="I754" s="64">
        <f t="shared" si="265"/>
        <v>0</v>
      </c>
      <c r="K754" s="64">
        <f t="shared" si="266"/>
        <v>0</v>
      </c>
      <c r="M754" s="64">
        <f t="shared" si="267"/>
        <v>0</v>
      </c>
      <c r="O754" s="64">
        <f t="shared" si="268"/>
        <v>0</v>
      </c>
      <c r="Q754" s="64">
        <f t="shared" si="269"/>
        <v>0</v>
      </c>
      <c r="S754" s="71">
        <f t="shared" si="270"/>
        <v>0</v>
      </c>
      <c r="U754" s="64">
        <f t="shared" si="271"/>
        <v>0</v>
      </c>
      <c r="W754" s="71">
        <f t="shared" si="272"/>
        <v>0</v>
      </c>
      <c r="Y754" s="71">
        <f t="shared" si="273"/>
        <v>0</v>
      </c>
      <c r="AA754" s="71">
        <f t="shared" si="274"/>
        <v>0</v>
      </c>
      <c r="AC754" s="71">
        <f t="shared" si="275"/>
        <v>0</v>
      </c>
      <c r="AK754" s="71">
        <f t="shared" si="276"/>
        <v>0</v>
      </c>
      <c r="AM754" s="71">
        <f t="shared" si="277"/>
        <v>0</v>
      </c>
      <c r="AO754" s="71">
        <f t="shared" si="278"/>
        <v>0</v>
      </c>
      <c r="AQ754" s="71">
        <f t="shared" si="279"/>
        <v>0</v>
      </c>
      <c r="AT754" s="71">
        <f t="shared" si="280"/>
        <v>0</v>
      </c>
      <c r="AV754" s="71">
        <f t="shared" si="281"/>
        <v>0</v>
      </c>
      <c r="AX754" s="71">
        <f t="shared" si="282"/>
        <v>0</v>
      </c>
      <c r="AZ754" s="71">
        <f t="shared" si="283"/>
        <v>0</v>
      </c>
      <c r="BE754" s="102">
        <f t="shared" si="284"/>
        <v>4.4721359549995796</v>
      </c>
      <c r="BF754" s="81">
        <f t="shared" si="285"/>
        <v>9.3924867883288243E-14</v>
      </c>
      <c r="BG754" s="81" t="str">
        <f t="shared" si="286"/>
        <v>BASSO</v>
      </c>
      <c r="BK754" s="81" t="str">
        <f t="shared" si="287"/>
        <v>MOLTO BASSO</v>
      </c>
    </row>
    <row r="755" spans="7:63" x14ac:dyDescent="0.15">
      <c r="G755" s="64">
        <f t="shared" si="288"/>
        <v>0</v>
      </c>
      <c r="I755" s="64">
        <f t="shared" si="265"/>
        <v>0</v>
      </c>
      <c r="K755" s="64">
        <f t="shared" si="266"/>
        <v>0</v>
      </c>
      <c r="M755" s="64">
        <f t="shared" si="267"/>
        <v>0</v>
      </c>
      <c r="O755" s="64">
        <f t="shared" si="268"/>
        <v>0</v>
      </c>
      <c r="Q755" s="64">
        <f t="shared" si="269"/>
        <v>0</v>
      </c>
      <c r="S755" s="71">
        <f t="shared" si="270"/>
        <v>0</v>
      </c>
      <c r="U755" s="64">
        <f t="shared" si="271"/>
        <v>0</v>
      </c>
      <c r="W755" s="71">
        <f t="shared" si="272"/>
        <v>0</v>
      </c>
      <c r="Y755" s="71">
        <f t="shared" si="273"/>
        <v>0</v>
      </c>
      <c r="AA755" s="71">
        <f t="shared" si="274"/>
        <v>0</v>
      </c>
      <c r="AC755" s="71">
        <f t="shared" si="275"/>
        <v>0</v>
      </c>
      <c r="AK755" s="71">
        <f t="shared" si="276"/>
        <v>0</v>
      </c>
      <c r="AM755" s="71">
        <f t="shared" si="277"/>
        <v>0</v>
      </c>
      <c r="AO755" s="71">
        <f t="shared" si="278"/>
        <v>0</v>
      </c>
      <c r="AQ755" s="71">
        <f t="shared" si="279"/>
        <v>0</v>
      </c>
      <c r="AT755" s="71">
        <f t="shared" si="280"/>
        <v>0</v>
      </c>
      <c r="AV755" s="71">
        <f t="shared" si="281"/>
        <v>0</v>
      </c>
      <c r="AX755" s="71">
        <f t="shared" si="282"/>
        <v>0</v>
      </c>
      <c r="AZ755" s="71">
        <f t="shared" si="283"/>
        <v>0</v>
      </c>
      <c r="BE755" s="102">
        <f t="shared" si="284"/>
        <v>4.4721359549995796</v>
      </c>
      <c r="BF755" s="81">
        <f t="shared" si="285"/>
        <v>9.3924867883288243E-14</v>
      </c>
      <c r="BG755" s="81" t="str">
        <f t="shared" si="286"/>
        <v>BASSO</v>
      </c>
      <c r="BK755" s="81" t="str">
        <f t="shared" si="287"/>
        <v>MOLTO BASSO</v>
      </c>
    </row>
    <row r="756" spans="7:63" x14ac:dyDescent="0.15">
      <c r="G756" s="64">
        <f t="shared" si="288"/>
        <v>0</v>
      </c>
      <c r="I756" s="64">
        <f t="shared" si="265"/>
        <v>0</v>
      </c>
      <c r="K756" s="64">
        <f t="shared" si="266"/>
        <v>0</v>
      </c>
      <c r="M756" s="64">
        <f t="shared" si="267"/>
        <v>0</v>
      </c>
      <c r="O756" s="64">
        <f t="shared" si="268"/>
        <v>0</v>
      </c>
      <c r="Q756" s="64">
        <f t="shared" si="269"/>
        <v>0</v>
      </c>
      <c r="S756" s="71">
        <f t="shared" si="270"/>
        <v>0</v>
      </c>
      <c r="U756" s="64">
        <f t="shared" si="271"/>
        <v>0</v>
      </c>
      <c r="W756" s="71">
        <f t="shared" si="272"/>
        <v>0</v>
      </c>
      <c r="Y756" s="71">
        <f t="shared" si="273"/>
        <v>0</v>
      </c>
      <c r="AA756" s="71">
        <f t="shared" si="274"/>
        <v>0</v>
      </c>
      <c r="AC756" s="71">
        <f t="shared" si="275"/>
        <v>0</v>
      </c>
      <c r="AK756" s="71">
        <f t="shared" si="276"/>
        <v>0</v>
      </c>
      <c r="AM756" s="71">
        <f t="shared" si="277"/>
        <v>0</v>
      </c>
      <c r="AO756" s="71">
        <f t="shared" si="278"/>
        <v>0</v>
      </c>
      <c r="AQ756" s="71">
        <f t="shared" si="279"/>
        <v>0</v>
      </c>
      <c r="AT756" s="71">
        <f t="shared" si="280"/>
        <v>0</v>
      </c>
      <c r="AV756" s="71">
        <f t="shared" si="281"/>
        <v>0</v>
      </c>
      <c r="AX756" s="71">
        <f t="shared" si="282"/>
        <v>0</v>
      </c>
      <c r="AZ756" s="71">
        <f t="shared" si="283"/>
        <v>0</v>
      </c>
      <c r="BE756" s="102">
        <f t="shared" si="284"/>
        <v>4.4721359549995796</v>
      </c>
      <c r="BF756" s="81">
        <f t="shared" si="285"/>
        <v>9.3924867883288243E-14</v>
      </c>
      <c r="BG756" s="81" t="str">
        <f t="shared" si="286"/>
        <v>BASSO</v>
      </c>
      <c r="BK756" s="81" t="str">
        <f t="shared" si="287"/>
        <v>MOLTO BASSO</v>
      </c>
    </row>
    <row r="757" spans="7:63" x14ac:dyDescent="0.15">
      <c r="G757" s="64">
        <f t="shared" si="288"/>
        <v>0</v>
      </c>
      <c r="I757" s="64">
        <f t="shared" si="265"/>
        <v>0</v>
      </c>
      <c r="K757" s="64">
        <f t="shared" si="266"/>
        <v>0</v>
      </c>
      <c r="M757" s="64">
        <f t="shared" si="267"/>
        <v>0</v>
      </c>
      <c r="O757" s="64">
        <f t="shared" si="268"/>
        <v>0</v>
      </c>
      <c r="Q757" s="64">
        <f t="shared" si="269"/>
        <v>0</v>
      </c>
      <c r="S757" s="71">
        <f t="shared" si="270"/>
        <v>0</v>
      </c>
      <c r="U757" s="64">
        <f t="shared" si="271"/>
        <v>0</v>
      </c>
      <c r="W757" s="71">
        <f t="shared" si="272"/>
        <v>0</v>
      </c>
      <c r="Y757" s="71">
        <f t="shared" si="273"/>
        <v>0</v>
      </c>
      <c r="AA757" s="71">
        <f t="shared" si="274"/>
        <v>0</v>
      </c>
      <c r="AC757" s="71">
        <f t="shared" si="275"/>
        <v>0</v>
      </c>
      <c r="AK757" s="71">
        <f t="shared" si="276"/>
        <v>0</v>
      </c>
      <c r="AM757" s="71">
        <f t="shared" si="277"/>
        <v>0</v>
      </c>
      <c r="AO757" s="71">
        <f t="shared" si="278"/>
        <v>0</v>
      </c>
      <c r="AQ757" s="71">
        <f t="shared" si="279"/>
        <v>0</v>
      </c>
      <c r="AT757" s="71">
        <f t="shared" si="280"/>
        <v>0</v>
      </c>
      <c r="AV757" s="71">
        <f t="shared" si="281"/>
        <v>0</v>
      </c>
      <c r="AX757" s="71">
        <f t="shared" si="282"/>
        <v>0</v>
      </c>
      <c r="AZ757" s="71">
        <f t="shared" si="283"/>
        <v>0</v>
      </c>
      <c r="BE757" s="102">
        <f t="shared" si="284"/>
        <v>4.4721359549995796</v>
      </c>
      <c r="BF757" s="81">
        <f t="shared" si="285"/>
        <v>9.3924867883288243E-14</v>
      </c>
      <c r="BG757" s="81" t="str">
        <f t="shared" si="286"/>
        <v>BASSO</v>
      </c>
      <c r="BK757" s="81" t="str">
        <f t="shared" si="287"/>
        <v>MOLTO BASSO</v>
      </c>
    </row>
    <row r="758" spans="7:63" x14ac:dyDescent="0.15">
      <c r="G758" s="64">
        <f t="shared" si="288"/>
        <v>0</v>
      </c>
      <c r="I758" s="64">
        <f t="shared" si="265"/>
        <v>0</v>
      </c>
      <c r="K758" s="64">
        <f t="shared" si="266"/>
        <v>0</v>
      </c>
      <c r="M758" s="64">
        <f t="shared" si="267"/>
        <v>0</v>
      </c>
      <c r="O758" s="64">
        <f t="shared" si="268"/>
        <v>0</v>
      </c>
      <c r="Q758" s="64">
        <f t="shared" si="269"/>
        <v>0</v>
      </c>
      <c r="S758" s="71">
        <f t="shared" si="270"/>
        <v>0</v>
      </c>
      <c r="U758" s="64">
        <f t="shared" si="271"/>
        <v>0</v>
      </c>
      <c r="W758" s="71">
        <f t="shared" si="272"/>
        <v>0</v>
      </c>
      <c r="Y758" s="71">
        <f t="shared" si="273"/>
        <v>0</v>
      </c>
      <c r="AA758" s="71">
        <f t="shared" si="274"/>
        <v>0</v>
      </c>
      <c r="AC758" s="71">
        <f t="shared" si="275"/>
        <v>0</v>
      </c>
      <c r="AK758" s="71">
        <f t="shared" si="276"/>
        <v>0</v>
      </c>
      <c r="AM758" s="71">
        <f t="shared" si="277"/>
        <v>0</v>
      </c>
      <c r="AO758" s="71">
        <f t="shared" si="278"/>
        <v>0</v>
      </c>
      <c r="AQ758" s="71">
        <f t="shared" si="279"/>
        <v>0</v>
      </c>
      <c r="AT758" s="71">
        <f t="shared" si="280"/>
        <v>0</v>
      </c>
      <c r="AV758" s="71">
        <f t="shared" si="281"/>
        <v>0</v>
      </c>
      <c r="AX758" s="71">
        <f t="shared" si="282"/>
        <v>0</v>
      </c>
      <c r="AZ758" s="71">
        <f t="shared" si="283"/>
        <v>0</v>
      </c>
      <c r="BE758" s="102">
        <f t="shared" si="284"/>
        <v>4.4721359549995796</v>
      </c>
      <c r="BF758" s="81">
        <f t="shared" si="285"/>
        <v>9.3924867883288243E-14</v>
      </c>
      <c r="BG758" s="81" t="str">
        <f t="shared" si="286"/>
        <v>BASSO</v>
      </c>
      <c r="BK758" s="81" t="str">
        <f t="shared" si="287"/>
        <v>MOLTO BASSO</v>
      </c>
    </row>
    <row r="759" spans="7:63" x14ac:dyDescent="0.15">
      <c r="G759" s="64">
        <f t="shared" si="288"/>
        <v>0</v>
      </c>
      <c r="I759" s="64">
        <f t="shared" si="265"/>
        <v>0</v>
      </c>
      <c r="K759" s="64">
        <f t="shared" si="266"/>
        <v>0</v>
      </c>
      <c r="M759" s="64">
        <f t="shared" si="267"/>
        <v>0</v>
      </c>
      <c r="O759" s="64">
        <f t="shared" si="268"/>
        <v>0</v>
      </c>
      <c r="Q759" s="64">
        <f t="shared" si="269"/>
        <v>0</v>
      </c>
      <c r="S759" s="71">
        <f t="shared" si="270"/>
        <v>0</v>
      </c>
      <c r="U759" s="64">
        <f t="shared" si="271"/>
        <v>0</v>
      </c>
      <c r="W759" s="71">
        <f t="shared" si="272"/>
        <v>0</v>
      </c>
      <c r="Y759" s="71">
        <f t="shared" si="273"/>
        <v>0</v>
      </c>
      <c r="AA759" s="71">
        <f t="shared" si="274"/>
        <v>0</v>
      </c>
      <c r="AC759" s="71">
        <f t="shared" si="275"/>
        <v>0</v>
      </c>
      <c r="AK759" s="71">
        <f t="shared" si="276"/>
        <v>0</v>
      </c>
      <c r="AM759" s="71">
        <f t="shared" si="277"/>
        <v>0</v>
      </c>
      <c r="AO759" s="71">
        <f t="shared" si="278"/>
        <v>0</v>
      </c>
      <c r="AQ759" s="71">
        <f t="shared" si="279"/>
        <v>0</v>
      </c>
      <c r="AT759" s="71">
        <f t="shared" si="280"/>
        <v>0</v>
      </c>
      <c r="AV759" s="71">
        <f t="shared" si="281"/>
        <v>0</v>
      </c>
      <c r="AX759" s="71">
        <f t="shared" si="282"/>
        <v>0</v>
      </c>
      <c r="AZ759" s="71">
        <f t="shared" si="283"/>
        <v>0</v>
      </c>
      <c r="BE759" s="102">
        <f t="shared" si="284"/>
        <v>4.4721359549995796</v>
      </c>
      <c r="BF759" s="81">
        <f t="shared" si="285"/>
        <v>9.3924867883288243E-14</v>
      </c>
      <c r="BG759" s="81" t="str">
        <f t="shared" si="286"/>
        <v>BASSO</v>
      </c>
      <c r="BK759" s="81" t="str">
        <f t="shared" si="287"/>
        <v>MOLTO BASSO</v>
      </c>
    </row>
    <row r="760" spans="7:63" x14ac:dyDescent="0.15">
      <c r="G760" s="64">
        <f t="shared" si="288"/>
        <v>0</v>
      </c>
      <c r="I760" s="64">
        <f t="shared" si="265"/>
        <v>0</v>
      </c>
      <c r="K760" s="64">
        <f t="shared" si="266"/>
        <v>0</v>
      </c>
      <c r="M760" s="64">
        <f t="shared" si="267"/>
        <v>0</v>
      </c>
      <c r="O760" s="64">
        <f t="shared" si="268"/>
        <v>0</v>
      </c>
      <c r="Q760" s="64">
        <f t="shared" si="269"/>
        <v>0</v>
      </c>
      <c r="S760" s="71">
        <f t="shared" si="270"/>
        <v>0</v>
      </c>
      <c r="U760" s="64">
        <f t="shared" si="271"/>
        <v>0</v>
      </c>
      <c r="W760" s="71">
        <f t="shared" si="272"/>
        <v>0</v>
      </c>
      <c r="Y760" s="71">
        <f t="shared" si="273"/>
        <v>0</v>
      </c>
      <c r="AA760" s="71">
        <f t="shared" si="274"/>
        <v>0</v>
      </c>
      <c r="AC760" s="71">
        <f t="shared" si="275"/>
        <v>0</v>
      </c>
      <c r="AK760" s="71">
        <f t="shared" si="276"/>
        <v>0</v>
      </c>
      <c r="AM760" s="71">
        <f t="shared" si="277"/>
        <v>0</v>
      </c>
      <c r="AO760" s="71">
        <f t="shared" si="278"/>
        <v>0</v>
      </c>
      <c r="AQ760" s="71">
        <f t="shared" si="279"/>
        <v>0</v>
      </c>
      <c r="AT760" s="71">
        <f t="shared" si="280"/>
        <v>0</v>
      </c>
      <c r="AV760" s="71">
        <f t="shared" si="281"/>
        <v>0</v>
      </c>
      <c r="AX760" s="71">
        <f t="shared" si="282"/>
        <v>0</v>
      </c>
      <c r="AZ760" s="71">
        <f t="shared" si="283"/>
        <v>0</v>
      </c>
      <c r="BE760" s="102">
        <f t="shared" si="284"/>
        <v>4.4721359549995796</v>
      </c>
      <c r="BF760" s="81">
        <f t="shared" si="285"/>
        <v>9.3924867883288243E-14</v>
      </c>
      <c r="BG760" s="81" t="str">
        <f t="shared" si="286"/>
        <v>BASSO</v>
      </c>
      <c r="BK760" s="81" t="str">
        <f t="shared" si="287"/>
        <v>MOLTO BASSO</v>
      </c>
    </row>
    <row r="761" spans="7:63" x14ac:dyDescent="0.15">
      <c r="G761" s="64">
        <f t="shared" si="288"/>
        <v>0</v>
      </c>
      <c r="I761" s="64">
        <f t="shared" si="265"/>
        <v>0</v>
      </c>
      <c r="K761" s="64">
        <f t="shared" si="266"/>
        <v>0</v>
      </c>
      <c r="M761" s="64">
        <f t="shared" si="267"/>
        <v>0</v>
      </c>
      <c r="O761" s="64">
        <f t="shared" si="268"/>
        <v>0</v>
      </c>
      <c r="Q761" s="64">
        <f t="shared" si="269"/>
        <v>0</v>
      </c>
      <c r="S761" s="71">
        <f t="shared" si="270"/>
        <v>0</v>
      </c>
      <c r="U761" s="64">
        <f t="shared" si="271"/>
        <v>0</v>
      </c>
      <c r="W761" s="71">
        <f t="shared" si="272"/>
        <v>0</v>
      </c>
      <c r="Y761" s="71">
        <f t="shared" si="273"/>
        <v>0</v>
      </c>
      <c r="AA761" s="71">
        <f t="shared" si="274"/>
        <v>0</v>
      </c>
      <c r="AC761" s="71">
        <f t="shared" si="275"/>
        <v>0</v>
      </c>
      <c r="AK761" s="71">
        <f t="shared" si="276"/>
        <v>0</v>
      </c>
      <c r="AM761" s="71">
        <f t="shared" si="277"/>
        <v>0</v>
      </c>
      <c r="AO761" s="71">
        <f t="shared" si="278"/>
        <v>0</v>
      </c>
      <c r="AQ761" s="71">
        <f t="shared" si="279"/>
        <v>0</v>
      </c>
      <c r="AT761" s="71">
        <f t="shared" si="280"/>
        <v>0</v>
      </c>
      <c r="AV761" s="71">
        <f t="shared" si="281"/>
        <v>0</v>
      </c>
      <c r="AX761" s="71">
        <f t="shared" si="282"/>
        <v>0</v>
      </c>
      <c r="AZ761" s="71">
        <f t="shared" si="283"/>
        <v>0</v>
      </c>
      <c r="BE761" s="102">
        <f t="shared" si="284"/>
        <v>4.4721359549995796</v>
      </c>
      <c r="BF761" s="81">
        <f t="shared" si="285"/>
        <v>9.3924867883288243E-14</v>
      </c>
      <c r="BG761" s="81" t="str">
        <f t="shared" si="286"/>
        <v>BASSO</v>
      </c>
      <c r="BK761" s="81" t="str">
        <f t="shared" si="287"/>
        <v>MOLTO BASSO</v>
      </c>
    </row>
    <row r="762" spans="7:63" x14ac:dyDescent="0.15">
      <c r="G762" s="64">
        <f t="shared" si="288"/>
        <v>0</v>
      </c>
      <c r="I762" s="64">
        <f t="shared" si="265"/>
        <v>0</v>
      </c>
      <c r="K762" s="64">
        <f t="shared" si="266"/>
        <v>0</v>
      </c>
      <c r="M762" s="64">
        <f t="shared" si="267"/>
        <v>0</v>
      </c>
      <c r="O762" s="64">
        <f t="shared" si="268"/>
        <v>0</v>
      </c>
      <c r="Q762" s="64">
        <f t="shared" si="269"/>
        <v>0</v>
      </c>
      <c r="S762" s="71">
        <f t="shared" si="270"/>
        <v>0</v>
      </c>
      <c r="U762" s="64">
        <f t="shared" si="271"/>
        <v>0</v>
      </c>
      <c r="W762" s="71">
        <f t="shared" si="272"/>
        <v>0</v>
      </c>
      <c r="Y762" s="71">
        <f t="shared" si="273"/>
        <v>0</v>
      </c>
      <c r="AA762" s="71">
        <f t="shared" si="274"/>
        <v>0</v>
      </c>
      <c r="AC762" s="71">
        <f t="shared" si="275"/>
        <v>0</v>
      </c>
      <c r="AK762" s="71">
        <f t="shared" si="276"/>
        <v>0</v>
      </c>
      <c r="AM762" s="71">
        <f t="shared" si="277"/>
        <v>0</v>
      </c>
      <c r="AO762" s="71">
        <f t="shared" si="278"/>
        <v>0</v>
      </c>
      <c r="AQ762" s="71">
        <f t="shared" si="279"/>
        <v>0</v>
      </c>
      <c r="AT762" s="71">
        <f t="shared" si="280"/>
        <v>0</v>
      </c>
      <c r="AV762" s="71">
        <f t="shared" si="281"/>
        <v>0</v>
      </c>
      <c r="AX762" s="71">
        <f t="shared" si="282"/>
        <v>0</v>
      </c>
      <c r="AZ762" s="71">
        <f t="shared" si="283"/>
        <v>0</v>
      </c>
      <c r="BE762" s="102">
        <f t="shared" si="284"/>
        <v>4.4721359549995796</v>
      </c>
      <c r="BF762" s="81">
        <f t="shared" si="285"/>
        <v>9.3924867883288243E-14</v>
      </c>
      <c r="BG762" s="81" t="str">
        <f t="shared" si="286"/>
        <v>BASSO</v>
      </c>
      <c r="BK762" s="81" t="str">
        <f t="shared" si="287"/>
        <v>MOLTO BASSO</v>
      </c>
    </row>
    <row r="763" spans="7:63" x14ac:dyDescent="0.15">
      <c r="G763" s="64">
        <f t="shared" si="288"/>
        <v>0</v>
      </c>
      <c r="I763" s="64">
        <f t="shared" si="265"/>
        <v>0</v>
      </c>
      <c r="K763" s="64">
        <f t="shared" si="266"/>
        <v>0</v>
      </c>
      <c r="M763" s="64">
        <f t="shared" si="267"/>
        <v>0</v>
      </c>
      <c r="O763" s="64">
        <f t="shared" si="268"/>
        <v>0</v>
      </c>
      <c r="Q763" s="64">
        <f t="shared" si="269"/>
        <v>0</v>
      </c>
      <c r="S763" s="71">
        <f t="shared" si="270"/>
        <v>0</v>
      </c>
      <c r="U763" s="64">
        <f t="shared" si="271"/>
        <v>0</v>
      </c>
      <c r="W763" s="71">
        <f t="shared" si="272"/>
        <v>0</v>
      </c>
      <c r="Y763" s="71">
        <f t="shared" si="273"/>
        <v>0</v>
      </c>
      <c r="AA763" s="71">
        <f t="shared" si="274"/>
        <v>0</v>
      </c>
      <c r="AC763" s="71">
        <f t="shared" si="275"/>
        <v>0</v>
      </c>
      <c r="AK763" s="71">
        <f t="shared" si="276"/>
        <v>0</v>
      </c>
      <c r="AM763" s="71">
        <f t="shared" si="277"/>
        <v>0</v>
      </c>
      <c r="AO763" s="71">
        <f t="shared" si="278"/>
        <v>0</v>
      </c>
      <c r="AQ763" s="71">
        <f t="shared" si="279"/>
        <v>0</v>
      </c>
      <c r="AT763" s="71">
        <f t="shared" si="280"/>
        <v>0</v>
      </c>
      <c r="AV763" s="71">
        <f t="shared" si="281"/>
        <v>0</v>
      </c>
      <c r="AX763" s="71">
        <f t="shared" si="282"/>
        <v>0</v>
      </c>
      <c r="AZ763" s="71">
        <f t="shared" si="283"/>
        <v>0</v>
      </c>
      <c r="BE763" s="102">
        <f t="shared" si="284"/>
        <v>4.4721359549995796</v>
      </c>
      <c r="BF763" s="81">
        <f t="shared" si="285"/>
        <v>9.3924867883288243E-14</v>
      </c>
      <c r="BG763" s="81" t="str">
        <f t="shared" si="286"/>
        <v>BASSO</v>
      </c>
      <c r="BK763" s="81" t="str">
        <f t="shared" si="287"/>
        <v>MOLTO BASSO</v>
      </c>
    </row>
    <row r="764" spans="7:63" x14ac:dyDescent="0.15">
      <c r="G764" s="64">
        <f t="shared" si="288"/>
        <v>0</v>
      </c>
      <c r="I764" s="64">
        <f t="shared" si="265"/>
        <v>0</v>
      </c>
      <c r="K764" s="64">
        <f t="shared" si="266"/>
        <v>0</v>
      </c>
      <c r="M764" s="64">
        <f t="shared" si="267"/>
        <v>0</v>
      </c>
      <c r="O764" s="64">
        <f t="shared" si="268"/>
        <v>0</v>
      </c>
      <c r="Q764" s="64">
        <f t="shared" si="269"/>
        <v>0</v>
      </c>
      <c r="S764" s="71">
        <f t="shared" si="270"/>
        <v>0</v>
      </c>
      <c r="U764" s="64">
        <f t="shared" si="271"/>
        <v>0</v>
      </c>
      <c r="W764" s="71">
        <f t="shared" si="272"/>
        <v>0</v>
      </c>
      <c r="Y764" s="71">
        <f t="shared" si="273"/>
        <v>0</v>
      </c>
      <c r="AA764" s="71">
        <f t="shared" si="274"/>
        <v>0</v>
      </c>
      <c r="AC764" s="71">
        <f t="shared" si="275"/>
        <v>0</v>
      </c>
      <c r="AK764" s="71">
        <f t="shared" si="276"/>
        <v>0</v>
      </c>
      <c r="AM764" s="71">
        <f t="shared" si="277"/>
        <v>0</v>
      </c>
      <c r="AO764" s="71">
        <f t="shared" si="278"/>
        <v>0</v>
      </c>
      <c r="AQ764" s="71">
        <f t="shared" si="279"/>
        <v>0</v>
      </c>
      <c r="AT764" s="71">
        <f t="shared" si="280"/>
        <v>0</v>
      </c>
      <c r="AV764" s="71">
        <f t="shared" si="281"/>
        <v>0</v>
      </c>
      <c r="AX764" s="71">
        <f t="shared" si="282"/>
        <v>0</v>
      </c>
      <c r="AZ764" s="71">
        <f t="shared" si="283"/>
        <v>0</v>
      </c>
      <c r="BE764" s="102">
        <f t="shared" si="284"/>
        <v>4.4721359549995796</v>
      </c>
      <c r="BF764" s="81">
        <f t="shared" si="285"/>
        <v>9.3924867883288243E-14</v>
      </c>
      <c r="BG764" s="81" t="str">
        <f t="shared" si="286"/>
        <v>BASSO</v>
      </c>
      <c r="BK764" s="81" t="str">
        <f t="shared" si="287"/>
        <v>MOLTO BASSO</v>
      </c>
    </row>
    <row r="765" spans="7:63" x14ac:dyDescent="0.15">
      <c r="G765" s="64">
        <f t="shared" si="288"/>
        <v>0</v>
      </c>
      <c r="I765" s="64">
        <f t="shared" si="265"/>
        <v>0</v>
      </c>
      <c r="K765" s="64">
        <f t="shared" si="266"/>
        <v>0</v>
      </c>
      <c r="M765" s="64">
        <f t="shared" si="267"/>
        <v>0</v>
      </c>
      <c r="O765" s="64">
        <f t="shared" si="268"/>
        <v>0</v>
      </c>
      <c r="Q765" s="64">
        <f t="shared" si="269"/>
        <v>0</v>
      </c>
      <c r="S765" s="71">
        <f t="shared" si="270"/>
        <v>0</v>
      </c>
      <c r="U765" s="64">
        <f t="shared" si="271"/>
        <v>0</v>
      </c>
      <c r="W765" s="71">
        <f t="shared" si="272"/>
        <v>0</v>
      </c>
      <c r="Y765" s="71">
        <f t="shared" si="273"/>
        <v>0</v>
      </c>
      <c r="AA765" s="71">
        <f t="shared" si="274"/>
        <v>0</v>
      </c>
      <c r="AC765" s="71">
        <f t="shared" si="275"/>
        <v>0</v>
      </c>
      <c r="AK765" s="71">
        <f t="shared" si="276"/>
        <v>0</v>
      </c>
      <c r="AM765" s="71">
        <f t="shared" si="277"/>
        <v>0</v>
      </c>
      <c r="AO765" s="71">
        <f t="shared" si="278"/>
        <v>0</v>
      </c>
      <c r="AQ765" s="71">
        <f t="shared" si="279"/>
        <v>0</v>
      </c>
      <c r="AT765" s="71">
        <f t="shared" si="280"/>
        <v>0</v>
      </c>
      <c r="AV765" s="71">
        <f t="shared" si="281"/>
        <v>0</v>
      </c>
      <c r="AX765" s="71">
        <f t="shared" si="282"/>
        <v>0</v>
      </c>
      <c r="AZ765" s="71">
        <f t="shared" si="283"/>
        <v>0</v>
      </c>
      <c r="BE765" s="102">
        <f t="shared" si="284"/>
        <v>4.4721359549995796</v>
      </c>
      <c r="BF765" s="81">
        <f t="shared" si="285"/>
        <v>9.3924867883288243E-14</v>
      </c>
      <c r="BG765" s="81" t="str">
        <f t="shared" si="286"/>
        <v>BASSO</v>
      </c>
      <c r="BK765" s="81" t="str">
        <f t="shared" si="287"/>
        <v>MOLTO BASSO</v>
      </c>
    </row>
    <row r="766" spans="7:63" x14ac:dyDescent="0.15">
      <c r="G766" s="64">
        <f t="shared" si="288"/>
        <v>0</v>
      </c>
      <c r="I766" s="64">
        <f t="shared" si="265"/>
        <v>0</v>
      </c>
      <c r="K766" s="64">
        <f t="shared" si="266"/>
        <v>0</v>
      </c>
      <c r="M766" s="64">
        <f t="shared" si="267"/>
        <v>0</v>
      </c>
      <c r="O766" s="64">
        <f t="shared" si="268"/>
        <v>0</v>
      </c>
      <c r="Q766" s="64">
        <f t="shared" si="269"/>
        <v>0</v>
      </c>
      <c r="S766" s="71">
        <f t="shared" si="270"/>
        <v>0</v>
      </c>
      <c r="U766" s="64">
        <f t="shared" si="271"/>
        <v>0</v>
      </c>
      <c r="W766" s="71">
        <f t="shared" si="272"/>
        <v>0</v>
      </c>
      <c r="Y766" s="71">
        <f t="shared" si="273"/>
        <v>0</v>
      </c>
      <c r="AA766" s="71">
        <f t="shared" si="274"/>
        <v>0</v>
      </c>
      <c r="AC766" s="71">
        <f t="shared" si="275"/>
        <v>0</v>
      </c>
      <c r="AK766" s="71">
        <f t="shared" si="276"/>
        <v>0</v>
      </c>
      <c r="AM766" s="71">
        <f t="shared" si="277"/>
        <v>0</v>
      </c>
      <c r="AO766" s="71">
        <f t="shared" si="278"/>
        <v>0</v>
      </c>
      <c r="AQ766" s="71">
        <f t="shared" si="279"/>
        <v>0</v>
      </c>
      <c r="AT766" s="71">
        <f t="shared" si="280"/>
        <v>0</v>
      </c>
      <c r="AV766" s="71">
        <f t="shared" si="281"/>
        <v>0</v>
      </c>
      <c r="AX766" s="71">
        <f t="shared" si="282"/>
        <v>0</v>
      </c>
      <c r="AZ766" s="71">
        <f t="shared" si="283"/>
        <v>0</v>
      </c>
      <c r="BE766" s="102">
        <f t="shared" si="284"/>
        <v>4.4721359549995796</v>
      </c>
      <c r="BF766" s="81">
        <f t="shared" si="285"/>
        <v>9.3924867883288243E-14</v>
      </c>
      <c r="BG766" s="81" t="str">
        <f t="shared" si="286"/>
        <v>BASSO</v>
      </c>
      <c r="BK766" s="81" t="str">
        <f t="shared" si="287"/>
        <v>MOLTO BASSO</v>
      </c>
    </row>
    <row r="767" spans="7:63" x14ac:dyDescent="0.15">
      <c r="G767" s="64">
        <f t="shared" si="288"/>
        <v>0</v>
      </c>
      <c r="I767" s="64">
        <f t="shared" si="265"/>
        <v>0</v>
      </c>
      <c r="K767" s="64">
        <f t="shared" si="266"/>
        <v>0</v>
      </c>
      <c r="M767" s="64">
        <f t="shared" si="267"/>
        <v>0</v>
      </c>
      <c r="O767" s="64">
        <f t="shared" si="268"/>
        <v>0</v>
      </c>
      <c r="Q767" s="64">
        <f t="shared" si="269"/>
        <v>0</v>
      </c>
      <c r="S767" s="71">
        <f t="shared" si="270"/>
        <v>0</v>
      </c>
      <c r="U767" s="64">
        <f t="shared" si="271"/>
        <v>0</v>
      </c>
      <c r="W767" s="71">
        <f t="shared" si="272"/>
        <v>0</v>
      </c>
      <c r="Y767" s="71">
        <f t="shared" si="273"/>
        <v>0</v>
      </c>
      <c r="AA767" s="71">
        <f t="shared" si="274"/>
        <v>0</v>
      </c>
      <c r="AC767" s="71">
        <f t="shared" si="275"/>
        <v>0</v>
      </c>
      <c r="AK767" s="71">
        <f t="shared" si="276"/>
        <v>0</v>
      </c>
      <c r="AM767" s="71">
        <f t="shared" si="277"/>
        <v>0</v>
      </c>
      <c r="AO767" s="71">
        <f t="shared" si="278"/>
        <v>0</v>
      </c>
      <c r="AQ767" s="71">
        <f t="shared" si="279"/>
        <v>0</v>
      </c>
      <c r="AT767" s="71">
        <f t="shared" si="280"/>
        <v>0</v>
      </c>
      <c r="AV767" s="71">
        <f t="shared" si="281"/>
        <v>0</v>
      </c>
      <c r="AX767" s="71">
        <f t="shared" si="282"/>
        <v>0</v>
      </c>
      <c r="AZ767" s="71">
        <f t="shared" si="283"/>
        <v>0</v>
      </c>
      <c r="BE767" s="102">
        <f t="shared" si="284"/>
        <v>4.4721359549995796</v>
      </c>
      <c r="BF767" s="81">
        <f t="shared" si="285"/>
        <v>9.3924867883288243E-14</v>
      </c>
      <c r="BG767" s="81" t="str">
        <f t="shared" si="286"/>
        <v>BASSO</v>
      </c>
      <c r="BK767" s="81" t="str">
        <f t="shared" si="287"/>
        <v>MOLTO BASSO</v>
      </c>
    </row>
    <row r="768" spans="7:63" x14ac:dyDescent="0.15">
      <c r="G768" s="64">
        <f t="shared" si="288"/>
        <v>0</v>
      </c>
      <c r="I768" s="64">
        <f t="shared" si="265"/>
        <v>0</v>
      </c>
      <c r="K768" s="64">
        <f t="shared" si="266"/>
        <v>0</v>
      </c>
      <c r="M768" s="64">
        <f t="shared" si="267"/>
        <v>0</v>
      </c>
      <c r="O768" s="64">
        <f t="shared" si="268"/>
        <v>0</v>
      </c>
      <c r="Q768" s="64">
        <f t="shared" si="269"/>
        <v>0</v>
      </c>
      <c r="S768" s="71">
        <f t="shared" si="270"/>
        <v>0</v>
      </c>
      <c r="U768" s="64">
        <f t="shared" si="271"/>
        <v>0</v>
      </c>
      <c r="W768" s="71">
        <f t="shared" si="272"/>
        <v>0</v>
      </c>
      <c r="Y768" s="71">
        <f t="shared" si="273"/>
        <v>0</v>
      </c>
      <c r="AA768" s="71">
        <f t="shared" si="274"/>
        <v>0</v>
      </c>
      <c r="AC768" s="71">
        <f t="shared" si="275"/>
        <v>0</v>
      </c>
      <c r="AK768" s="71">
        <f t="shared" si="276"/>
        <v>0</v>
      </c>
      <c r="AM768" s="71">
        <f t="shared" si="277"/>
        <v>0</v>
      </c>
      <c r="AO768" s="71">
        <f t="shared" si="278"/>
        <v>0</v>
      </c>
      <c r="AQ768" s="71">
        <f t="shared" si="279"/>
        <v>0</v>
      </c>
      <c r="AT768" s="71">
        <f t="shared" si="280"/>
        <v>0</v>
      </c>
      <c r="AV768" s="71">
        <f t="shared" si="281"/>
        <v>0</v>
      </c>
      <c r="AX768" s="71">
        <f t="shared" si="282"/>
        <v>0</v>
      </c>
      <c r="AZ768" s="71">
        <f t="shared" si="283"/>
        <v>0</v>
      </c>
      <c r="BE768" s="102">
        <f t="shared" si="284"/>
        <v>4.4721359549995796</v>
      </c>
      <c r="BF768" s="81">
        <f t="shared" si="285"/>
        <v>9.3924867883288243E-14</v>
      </c>
      <c r="BG768" s="81" t="str">
        <f t="shared" si="286"/>
        <v>BASSO</v>
      </c>
      <c r="BK768" s="81" t="str">
        <f t="shared" si="287"/>
        <v>MOLTO BASSO</v>
      </c>
    </row>
    <row r="769" spans="7:63" x14ac:dyDescent="0.15">
      <c r="G769" s="64">
        <f t="shared" si="288"/>
        <v>0</v>
      </c>
      <c r="I769" s="64">
        <f t="shared" si="265"/>
        <v>0</v>
      </c>
      <c r="K769" s="64">
        <f t="shared" si="266"/>
        <v>0</v>
      </c>
      <c r="M769" s="64">
        <f t="shared" si="267"/>
        <v>0</v>
      </c>
      <c r="O769" s="64">
        <f t="shared" si="268"/>
        <v>0</v>
      </c>
      <c r="Q769" s="64">
        <f t="shared" si="269"/>
        <v>0</v>
      </c>
      <c r="S769" s="71">
        <f t="shared" si="270"/>
        <v>0</v>
      </c>
      <c r="U769" s="64">
        <f t="shared" si="271"/>
        <v>0</v>
      </c>
      <c r="W769" s="71">
        <f t="shared" si="272"/>
        <v>0</v>
      </c>
      <c r="Y769" s="71">
        <f t="shared" si="273"/>
        <v>0</v>
      </c>
      <c r="AA769" s="71">
        <f t="shared" si="274"/>
        <v>0</v>
      </c>
      <c r="AC769" s="71">
        <f t="shared" si="275"/>
        <v>0</v>
      </c>
      <c r="AK769" s="71">
        <f t="shared" si="276"/>
        <v>0</v>
      </c>
      <c r="AM769" s="71">
        <f t="shared" si="277"/>
        <v>0</v>
      </c>
      <c r="AO769" s="71">
        <f t="shared" si="278"/>
        <v>0</v>
      </c>
      <c r="AQ769" s="71">
        <f t="shared" si="279"/>
        <v>0</v>
      </c>
      <c r="AT769" s="71">
        <f t="shared" si="280"/>
        <v>0</v>
      </c>
      <c r="AV769" s="71">
        <f t="shared" si="281"/>
        <v>0</v>
      </c>
      <c r="AX769" s="71">
        <f t="shared" si="282"/>
        <v>0</v>
      </c>
      <c r="AZ769" s="71">
        <f t="shared" si="283"/>
        <v>0</v>
      </c>
      <c r="BE769" s="102">
        <f t="shared" si="284"/>
        <v>4.4721359549995796</v>
      </c>
      <c r="BF769" s="81">
        <f t="shared" si="285"/>
        <v>9.3924867883288243E-14</v>
      </c>
      <c r="BG769" s="81" t="str">
        <f t="shared" si="286"/>
        <v>BASSO</v>
      </c>
      <c r="BK769" s="81" t="str">
        <f t="shared" si="287"/>
        <v>MOLTO BASSO</v>
      </c>
    </row>
    <row r="770" spans="7:63" x14ac:dyDescent="0.15">
      <c r="G770" s="64">
        <f t="shared" si="288"/>
        <v>0</v>
      </c>
      <c r="I770" s="64">
        <f t="shared" si="265"/>
        <v>0</v>
      </c>
      <c r="K770" s="64">
        <f t="shared" si="266"/>
        <v>0</v>
      </c>
      <c r="M770" s="64">
        <f t="shared" si="267"/>
        <v>0</v>
      </c>
      <c r="O770" s="64">
        <f t="shared" si="268"/>
        <v>0</v>
      </c>
      <c r="Q770" s="64">
        <f t="shared" si="269"/>
        <v>0</v>
      </c>
      <c r="S770" s="71">
        <f t="shared" si="270"/>
        <v>0</v>
      </c>
      <c r="U770" s="64">
        <f t="shared" si="271"/>
        <v>0</v>
      </c>
      <c r="W770" s="71">
        <f t="shared" si="272"/>
        <v>0</v>
      </c>
      <c r="Y770" s="71">
        <f t="shared" si="273"/>
        <v>0</v>
      </c>
      <c r="AA770" s="71">
        <f t="shared" si="274"/>
        <v>0</v>
      </c>
      <c r="AC770" s="71">
        <f t="shared" si="275"/>
        <v>0</v>
      </c>
      <c r="AK770" s="71">
        <f t="shared" si="276"/>
        <v>0</v>
      </c>
      <c r="AM770" s="71">
        <f t="shared" si="277"/>
        <v>0</v>
      </c>
      <c r="AO770" s="71">
        <f t="shared" si="278"/>
        <v>0</v>
      </c>
      <c r="AQ770" s="71">
        <f t="shared" si="279"/>
        <v>0</v>
      </c>
      <c r="AT770" s="71">
        <f t="shared" si="280"/>
        <v>0</v>
      </c>
      <c r="AV770" s="71">
        <f t="shared" si="281"/>
        <v>0</v>
      </c>
      <c r="AX770" s="71">
        <f t="shared" si="282"/>
        <v>0</v>
      </c>
      <c r="AZ770" s="71">
        <f t="shared" si="283"/>
        <v>0</v>
      </c>
      <c r="BE770" s="102">
        <f t="shared" si="284"/>
        <v>4.4721359549995796</v>
      </c>
      <c r="BF770" s="81">
        <f t="shared" si="285"/>
        <v>9.3924867883288243E-14</v>
      </c>
      <c r="BG770" s="81" t="str">
        <f t="shared" si="286"/>
        <v>BASSO</v>
      </c>
      <c r="BK770" s="81" t="str">
        <f t="shared" si="287"/>
        <v>MOLTO BASSO</v>
      </c>
    </row>
    <row r="771" spans="7:63" x14ac:dyDescent="0.15">
      <c r="G771" s="64">
        <f t="shared" si="288"/>
        <v>0</v>
      </c>
      <c r="I771" s="64">
        <f t="shared" ref="I771:I834" si="289">H771/2</f>
        <v>0</v>
      </c>
      <c r="K771" s="64">
        <f t="shared" ref="K771:K834" si="290">J771/2</f>
        <v>0</v>
      </c>
      <c r="M771" s="64">
        <f t="shared" ref="M771:M834" si="291">L771/3</f>
        <v>0</v>
      </c>
      <c r="O771" s="64">
        <f t="shared" ref="O771:O834" si="292">N771/5</f>
        <v>0</v>
      </c>
      <c r="Q771" s="64">
        <f t="shared" ref="Q771:Q834" si="293">P771/3</f>
        <v>0</v>
      </c>
      <c r="S771" s="71">
        <f t="shared" ref="S771:S834" si="294">R771/3</f>
        <v>0</v>
      </c>
      <c r="U771" s="64">
        <f t="shared" ref="U771:U834" si="295">T771/3</f>
        <v>0</v>
      </c>
      <c r="W771" s="71">
        <f t="shared" ref="W771:W834" si="296">V771/4</f>
        <v>0</v>
      </c>
      <c r="Y771" s="71">
        <f t="shared" ref="Y771:Y834" si="297">X771/3</f>
        <v>0</v>
      </c>
      <c r="AA771" s="71">
        <f t="shared" ref="AA771:AA834" si="298">Z771/3</f>
        <v>0</v>
      </c>
      <c r="AC771" s="71">
        <f t="shared" ref="AC771:AC834" si="299">AB771/2</f>
        <v>0</v>
      </c>
      <c r="AK771" s="71">
        <f t="shared" ref="AK771:AK834" si="300">AJ771/2</f>
        <v>0</v>
      </c>
      <c r="AM771" s="71">
        <f t="shared" ref="AM771:AM834" si="301">AL771/3</f>
        <v>0</v>
      </c>
      <c r="AO771" s="71">
        <f t="shared" ref="AO771:AO834" si="302">AN771/3</f>
        <v>0</v>
      </c>
      <c r="AQ771" s="71">
        <f t="shared" ref="AQ771:AQ834" si="303">AP771/3</f>
        <v>0</v>
      </c>
      <c r="AT771" s="71">
        <f t="shared" ref="AT771:AT834" si="304">AS771/3</f>
        <v>0</v>
      </c>
      <c r="AV771" s="71">
        <f t="shared" ref="AV771:AV834" si="305">AU771/3</f>
        <v>0</v>
      </c>
      <c r="AX771" s="71">
        <f t="shared" ref="AX771:AX834" si="306">AW771/2</f>
        <v>0</v>
      </c>
      <c r="AZ771" s="71">
        <f t="shared" ref="AZ771:AZ834" si="307">AY771/3</f>
        <v>0</v>
      </c>
      <c r="BE771" s="102">
        <f t="shared" ref="BE771:BE834" si="308">SQRT((1-G771)^2 + (1-I771)^2 + (1-K771)^2 + (1-M771)^2 + (1-O771)^2 + (1-Q771)^2 + (1-S771)^2 + (1-U771)^2 + (1-W771)^2 + (1-Y771)^2 + (1-AA771)^2 + (1-AC771)^2 + (1-AK771)^2 + (1-AM771)^2 + (1-AO771)^2 + (1-AQ771)^2 + (1-AT771)^2 + (1-AV771)^2 + (1-AX771)^2 + (1-AZ771)^2)</f>
        <v>4.4721359549995796</v>
      </c>
      <c r="BF771" s="81">
        <f t="shared" ref="BF771:BF834" si="309">1 - (BE771 / 4.472135955)</f>
        <v>9.3924867883288243E-14</v>
      </c>
      <c r="BG771" s="81" t="str">
        <f t="shared" ref="BG771:BG834" si="310">IF(BF771&lt;=0.33, "BASSO", IF(BF771&lt;=0.66, "MEDIO", "ALTO"))</f>
        <v>BASSO</v>
      </c>
      <c r="BK771" s="81" t="str">
        <f t="shared" ref="BK771:BK834" si="311">IF(BF771&lt;0.3,"MOLTO BASSO",IF(BF771&lt;0.45,"BASSO",IF(BF771&lt;0.65,"MEDIO",IF(BF771&lt;0.8,"ALTO","MOLTO ALTO"))))</f>
        <v>MOLTO BASSO</v>
      </c>
    </row>
    <row r="772" spans="7:63" x14ac:dyDescent="0.15">
      <c r="G772" s="64">
        <f t="shared" si="288"/>
        <v>0</v>
      </c>
      <c r="I772" s="64">
        <f t="shared" si="289"/>
        <v>0</v>
      </c>
      <c r="K772" s="64">
        <f t="shared" si="290"/>
        <v>0</v>
      </c>
      <c r="M772" s="64">
        <f t="shared" si="291"/>
        <v>0</v>
      </c>
      <c r="O772" s="64">
        <f t="shared" si="292"/>
        <v>0</v>
      </c>
      <c r="Q772" s="64">
        <f t="shared" si="293"/>
        <v>0</v>
      </c>
      <c r="S772" s="71">
        <f t="shared" si="294"/>
        <v>0</v>
      </c>
      <c r="U772" s="64">
        <f t="shared" si="295"/>
        <v>0</v>
      </c>
      <c r="W772" s="71">
        <f t="shared" si="296"/>
        <v>0</v>
      </c>
      <c r="Y772" s="71">
        <f t="shared" si="297"/>
        <v>0</v>
      </c>
      <c r="AA772" s="71">
        <f t="shared" si="298"/>
        <v>0</v>
      </c>
      <c r="AC772" s="71">
        <f t="shared" si="299"/>
        <v>0</v>
      </c>
      <c r="AK772" s="71">
        <f t="shared" si="300"/>
        <v>0</v>
      </c>
      <c r="AM772" s="71">
        <f t="shared" si="301"/>
        <v>0</v>
      </c>
      <c r="AO772" s="71">
        <f t="shared" si="302"/>
        <v>0</v>
      </c>
      <c r="AQ772" s="71">
        <f t="shared" si="303"/>
        <v>0</v>
      </c>
      <c r="AT772" s="71">
        <f t="shared" si="304"/>
        <v>0</v>
      </c>
      <c r="AV772" s="71">
        <f t="shared" si="305"/>
        <v>0</v>
      </c>
      <c r="AX772" s="71">
        <f t="shared" si="306"/>
        <v>0</v>
      </c>
      <c r="AZ772" s="71">
        <f t="shared" si="307"/>
        <v>0</v>
      </c>
      <c r="BE772" s="102">
        <f t="shared" si="308"/>
        <v>4.4721359549995796</v>
      </c>
      <c r="BF772" s="81">
        <f t="shared" si="309"/>
        <v>9.3924867883288243E-14</v>
      </c>
      <c r="BG772" s="81" t="str">
        <f t="shared" si="310"/>
        <v>BASSO</v>
      </c>
      <c r="BK772" s="81" t="str">
        <f t="shared" si="311"/>
        <v>MOLTO BASSO</v>
      </c>
    </row>
    <row r="773" spans="7:63" x14ac:dyDescent="0.15">
      <c r="G773" s="64">
        <f t="shared" si="288"/>
        <v>0</v>
      </c>
      <c r="I773" s="64">
        <f t="shared" si="289"/>
        <v>0</v>
      </c>
      <c r="K773" s="64">
        <f t="shared" si="290"/>
        <v>0</v>
      </c>
      <c r="M773" s="64">
        <f t="shared" si="291"/>
        <v>0</v>
      </c>
      <c r="O773" s="64">
        <f t="shared" si="292"/>
        <v>0</v>
      </c>
      <c r="Q773" s="64">
        <f t="shared" si="293"/>
        <v>0</v>
      </c>
      <c r="S773" s="71">
        <f t="shared" si="294"/>
        <v>0</v>
      </c>
      <c r="U773" s="64">
        <f t="shared" si="295"/>
        <v>0</v>
      </c>
      <c r="W773" s="71">
        <f t="shared" si="296"/>
        <v>0</v>
      </c>
      <c r="Y773" s="71">
        <f t="shared" si="297"/>
        <v>0</v>
      </c>
      <c r="AA773" s="71">
        <f t="shared" si="298"/>
        <v>0</v>
      </c>
      <c r="AC773" s="71">
        <f t="shared" si="299"/>
        <v>0</v>
      </c>
      <c r="AK773" s="71">
        <f t="shared" si="300"/>
        <v>0</v>
      </c>
      <c r="AM773" s="71">
        <f t="shared" si="301"/>
        <v>0</v>
      </c>
      <c r="AO773" s="71">
        <f t="shared" si="302"/>
        <v>0</v>
      </c>
      <c r="AQ773" s="71">
        <f t="shared" si="303"/>
        <v>0</v>
      </c>
      <c r="AT773" s="71">
        <f t="shared" si="304"/>
        <v>0</v>
      </c>
      <c r="AV773" s="71">
        <f t="shared" si="305"/>
        <v>0</v>
      </c>
      <c r="AX773" s="71">
        <f t="shared" si="306"/>
        <v>0</v>
      </c>
      <c r="AZ773" s="71">
        <f t="shared" si="307"/>
        <v>0</v>
      </c>
      <c r="BE773" s="102">
        <f t="shared" si="308"/>
        <v>4.4721359549995796</v>
      </c>
      <c r="BF773" s="81">
        <f t="shared" si="309"/>
        <v>9.3924867883288243E-14</v>
      </c>
      <c r="BG773" s="81" t="str">
        <f t="shared" si="310"/>
        <v>BASSO</v>
      </c>
      <c r="BK773" s="81" t="str">
        <f t="shared" si="311"/>
        <v>MOLTO BASSO</v>
      </c>
    </row>
    <row r="774" spans="7:63" x14ac:dyDescent="0.15">
      <c r="G774" s="64">
        <f t="shared" si="288"/>
        <v>0</v>
      </c>
      <c r="I774" s="64">
        <f t="shared" si="289"/>
        <v>0</v>
      </c>
      <c r="K774" s="64">
        <f t="shared" si="290"/>
        <v>0</v>
      </c>
      <c r="M774" s="64">
        <f t="shared" si="291"/>
        <v>0</v>
      </c>
      <c r="O774" s="64">
        <f t="shared" si="292"/>
        <v>0</v>
      </c>
      <c r="Q774" s="64">
        <f t="shared" si="293"/>
        <v>0</v>
      </c>
      <c r="S774" s="71">
        <f t="shared" si="294"/>
        <v>0</v>
      </c>
      <c r="U774" s="64">
        <f t="shared" si="295"/>
        <v>0</v>
      </c>
      <c r="W774" s="71">
        <f t="shared" si="296"/>
        <v>0</v>
      </c>
      <c r="Y774" s="71">
        <f t="shared" si="297"/>
        <v>0</v>
      </c>
      <c r="AA774" s="71">
        <f t="shared" si="298"/>
        <v>0</v>
      </c>
      <c r="AC774" s="71">
        <f t="shared" si="299"/>
        <v>0</v>
      </c>
      <c r="AK774" s="71">
        <f t="shared" si="300"/>
        <v>0</v>
      </c>
      <c r="AM774" s="71">
        <f t="shared" si="301"/>
        <v>0</v>
      </c>
      <c r="AO774" s="71">
        <f t="shared" si="302"/>
        <v>0</v>
      </c>
      <c r="AQ774" s="71">
        <f t="shared" si="303"/>
        <v>0</v>
      </c>
      <c r="AT774" s="71">
        <f t="shared" si="304"/>
        <v>0</v>
      </c>
      <c r="AV774" s="71">
        <f t="shared" si="305"/>
        <v>0</v>
      </c>
      <c r="AX774" s="71">
        <f t="shared" si="306"/>
        <v>0</v>
      </c>
      <c r="AZ774" s="71">
        <f t="shared" si="307"/>
        <v>0</v>
      </c>
      <c r="BE774" s="102">
        <f t="shared" si="308"/>
        <v>4.4721359549995796</v>
      </c>
      <c r="BF774" s="81">
        <f t="shared" si="309"/>
        <v>9.3924867883288243E-14</v>
      </c>
      <c r="BG774" s="81" t="str">
        <f t="shared" si="310"/>
        <v>BASSO</v>
      </c>
      <c r="BK774" s="81" t="str">
        <f t="shared" si="311"/>
        <v>MOLTO BASSO</v>
      </c>
    </row>
    <row r="775" spans="7:63" x14ac:dyDescent="0.15">
      <c r="G775" s="64">
        <f t="shared" si="288"/>
        <v>0</v>
      </c>
      <c r="I775" s="64">
        <f t="shared" si="289"/>
        <v>0</v>
      </c>
      <c r="K775" s="64">
        <f t="shared" si="290"/>
        <v>0</v>
      </c>
      <c r="M775" s="64">
        <f t="shared" si="291"/>
        <v>0</v>
      </c>
      <c r="O775" s="64">
        <f t="shared" si="292"/>
        <v>0</v>
      </c>
      <c r="Q775" s="64">
        <f t="shared" si="293"/>
        <v>0</v>
      </c>
      <c r="S775" s="71">
        <f t="shared" si="294"/>
        <v>0</v>
      </c>
      <c r="U775" s="64">
        <f t="shared" si="295"/>
        <v>0</v>
      </c>
      <c r="W775" s="71">
        <f t="shared" si="296"/>
        <v>0</v>
      </c>
      <c r="Y775" s="71">
        <f t="shared" si="297"/>
        <v>0</v>
      </c>
      <c r="AA775" s="71">
        <f t="shared" si="298"/>
        <v>0</v>
      </c>
      <c r="AC775" s="71">
        <f t="shared" si="299"/>
        <v>0</v>
      </c>
      <c r="AK775" s="71">
        <f t="shared" si="300"/>
        <v>0</v>
      </c>
      <c r="AM775" s="71">
        <f t="shared" si="301"/>
        <v>0</v>
      </c>
      <c r="AO775" s="71">
        <f t="shared" si="302"/>
        <v>0</v>
      </c>
      <c r="AQ775" s="71">
        <f t="shared" si="303"/>
        <v>0</v>
      </c>
      <c r="AT775" s="71">
        <f t="shared" si="304"/>
        <v>0</v>
      </c>
      <c r="AV775" s="71">
        <f t="shared" si="305"/>
        <v>0</v>
      </c>
      <c r="AX775" s="71">
        <f t="shared" si="306"/>
        <v>0</v>
      </c>
      <c r="AZ775" s="71">
        <f t="shared" si="307"/>
        <v>0</v>
      </c>
      <c r="BE775" s="102">
        <f t="shared" si="308"/>
        <v>4.4721359549995796</v>
      </c>
      <c r="BF775" s="81">
        <f t="shared" si="309"/>
        <v>9.3924867883288243E-14</v>
      </c>
      <c r="BG775" s="81" t="str">
        <f t="shared" si="310"/>
        <v>BASSO</v>
      </c>
      <c r="BK775" s="81" t="str">
        <f t="shared" si="311"/>
        <v>MOLTO BASSO</v>
      </c>
    </row>
    <row r="776" spans="7:63" x14ac:dyDescent="0.15">
      <c r="G776" s="64">
        <f t="shared" si="288"/>
        <v>0</v>
      </c>
      <c r="I776" s="64">
        <f t="shared" si="289"/>
        <v>0</v>
      </c>
      <c r="K776" s="64">
        <f t="shared" si="290"/>
        <v>0</v>
      </c>
      <c r="M776" s="64">
        <f t="shared" si="291"/>
        <v>0</v>
      </c>
      <c r="O776" s="64">
        <f t="shared" si="292"/>
        <v>0</v>
      </c>
      <c r="Q776" s="64">
        <f t="shared" si="293"/>
        <v>0</v>
      </c>
      <c r="S776" s="71">
        <f t="shared" si="294"/>
        <v>0</v>
      </c>
      <c r="U776" s="64">
        <f t="shared" si="295"/>
        <v>0</v>
      </c>
      <c r="W776" s="71">
        <f t="shared" si="296"/>
        <v>0</v>
      </c>
      <c r="Y776" s="71">
        <f t="shared" si="297"/>
        <v>0</v>
      </c>
      <c r="AA776" s="71">
        <f t="shared" si="298"/>
        <v>0</v>
      </c>
      <c r="AC776" s="71">
        <f t="shared" si="299"/>
        <v>0</v>
      </c>
      <c r="AK776" s="71">
        <f t="shared" si="300"/>
        <v>0</v>
      </c>
      <c r="AM776" s="71">
        <f t="shared" si="301"/>
        <v>0</v>
      </c>
      <c r="AO776" s="71">
        <f t="shared" si="302"/>
        <v>0</v>
      </c>
      <c r="AQ776" s="71">
        <f t="shared" si="303"/>
        <v>0</v>
      </c>
      <c r="AT776" s="71">
        <f t="shared" si="304"/>
        <v>0</v>
      </c>
      <c r="AV776" s="71">
        <f t="shared" si="305"/>
        <v>0</v>
      </c>
      <c r="AX776" s="71">
        <f t="shared" si="306"/>
        <v>0</v>
      </c>
      <c r="AZ776" s="71">
        <f t="shared" si="307"/>
        <v>0</v>
      </c>
      <c r="BE776" s="102">
        <f t="shared" si="308"/>
        <v>4.4721359549995796</v>
      </c>
      <c r="BF776" s="81">
        <f t="shared" si="309"/>
        <v>9.3924867883288243E-14</v>
      </c>
      <c r="BG776" s="81" t="str">
        <f t="shared" si="310"/>
        <v>BASSO</v>
      </c>
      <c r="BK776" s="81" t="str">
        <f t="shared" si="311"/>
        <v>MOLTO BASSO</v>
      </c>
    </row>
    <row r="777" spans="7:63" x14ac:dyDescent="0.15">
      <c r="G777" s="64">
        <f t="shared" si="288"/>
        <v>0</v>
      </c>
      <c r="I777" s="64">
        <f t="shared" si="289"/>
        <v>0</v>
      </c>
      <c r="K777" s="64">
        <f t="shared" si="290"/>
        <v>0</v>
      </c>
      <c r="M777" s="64">
        <f t="shared" si="291"/>
        <v>0</v>
      </c>
      <c r="O777" s="64">
        <f t="shared" si="292"/>
        <v>0</v>
      </c>
      <c r="Q777" s="64">
        <f t="shared" si="293"/>
        <v>0</v>
      </c>
      <c r="S777" s="71">
        <f t="shared" si="294"/>
        <v>0</v>
      </c>
      <c r="U777" s="64">
        <f t="shared" si="295"/>
        <v>0</v>
      </c>
      <c r="W777" s="71">
        <f t="shared" si="296"/>
        <v>0</v>
      </c>
      <c r="Y777" s="71">
        <f t="shared" si="297"/>
        <v>0</v>
      </c>
      <c r="AA777" s="71">
        <f t="shared" si="298"/>
        <v>0</v>
      </c>
      <c r="AC777" s="71">
        <f t="shared" si="299"/>
        <v>0</v>
      </c>
      <c r="AK777" s="71">
        <f t="shared" si="300"/>
        <v>0</v>
      </c>
      <c r="AM777" s="71">
        <f t="shared" si="301"/>
        <v>0</v>
      </c>
      <c r="AO777" s="71">
        <f t="shared" si="302"/>
        <v>0</v>
      </c>
      <c r="AQ777" s="71">
        <f t="shared" si="303"/>
        <v>0</v>
      </c>
      <c r="AT777" s="71">
        <f t="shared" si="304"/>
        <v>0</v>
      </c>
      <c r="AV777" s="71">
        <f t="shared" si="305"/>
        <v>0</v>
      </c>
      <c r="AX777" s="71">
        <f t="shared" si="306"/>
        <v>0</v>
      </c>
      <c r="AZ777" s="71">
        <f t="shared" si="307"/>
        <v>0</v>
      </c>
      <c r="BE777" s="102">
        <f t="shared" si="308"/>
        <v>4.4721359549995796</v>
      </c>
      <c r="BF777" s="81">
        <f t="shared" si="309"/>
        <v>9.3924867883288243E-14</v>
      </c>
      <c r="BG777" s="81" t="str">
        <f t="shared" si="310"/>
        <v>BASSO</v>
      </c>
      <c r="BK777" s="81" t="str">
        <f t="shared" si="311"/>
        <v>MOLTO BASSO</v>
      </c>
    </row>
    <row r="778" spans="7:63" x14ac:dyDescent="0.15">
      <c r="G778" s="64">
        <f t="shared" si="288"/>
        <v>0</v>
      </c>
      <c r="I778" s="64">
        <f t="shared" si="289"/>
        <v>0</v>
      </c>
      <c r="K778" s="64">
        <f t="shared" si="290"/>
        <v>0</v>
      </c>
      <c r="M778" s="64">
        <f t="shared" si="291"/>
        <v>0</v>
      </c>
      <c r="O778" s="64">
        <f t="shared" si="292"/>
        <v>0</v>
      </c>
      <c r="Q778" s="64">
        <f t="shared" si="293"/>
        <v>0</v>
      </c>
      <c r="S778" s="71">
        <f t="shared" si="294"/>
        <v>0</v>
      </c>
      <c r="U778" s="64">
        <f t="shared" si="295"/>
        <v>0</v>
      </c>
      <c r="W778" s="71">
        <f t="shared" si="296"/>
        <v>0</v>
      </c>
      <c r="Y778" s="71">
        <f t="shared" si="297"/>
        <v>0</v>
      </c>
      <c r="AA778" s="71">
        <f t="shared" si="298"/>
        <v>0</v>
      </c>
      <c r="AC778" s="71">
        <f t="shared" si="299"/>
        <v>0</v>
      </c>
      <c r="AK778" s="71">
        <f t="shared" si="300"/>
        <v>0</v>
      </c>
      <c r="AM778" s="71">
        <f t="shared" si="301"/>
        <v>0</v>
      </c>
      <c r="AO778" s="71">
        <f t="shared" si="302"/>
        <v>0</v>
      </c>
      <c r="AQ778" s="71">
        <f t="shared" si="303"/>
        <v>0</v>
      </c>
      <c r="AT778" s="71">
        <f t="shared" si="304"/>
        <v>0</v>
      </c>
      <c r="AV778" s="71">
        <f t="shared" si="305"/>
        <v>0</v>
      </c>
      <c r="AX778" s="71">
        <f t="shared" si="306"/>
        <v>0</v>
      </c>
      <c r="AZ778" s="71">
        <f t="shared" si="307"/>
        <v>0</v>
      </c>
      <c r="BE778" s="102">
        <f t="shared" si="308"/>
        <v>4.4721359549995796</v>
      </c>
      <c r="BF778" s="81">
        <f t="shared" si="309"/>
        <v>9.3924867883288243E-14</v>
      </c>
      <c r="BG778" s="81" t="str">
        <f t="shared" si="310"/>
        <v>BASSO</v>
      </c>
      <c r="BK778" s="81" t="str">
        <f t="shared" si="311"/>
        <v>MOLTO BASSO</v>
      </c>
    </row>
    <row r="779" spans="7:63" x14ac:dyDescent="0.15">
      <c r="G779" s="64">
        <f t="shared" si="288"/>
        <v>0</v>
      </c>
      <c r="I779" s="64">
        <f t="shared" si="289"/>
        <v>0</v>
      </c>
      <c r="K779" s="64">
        <f t="shared" si="290"/>
        <v>0</v>
      </c>
      <c r="M779" s="64">
        <f t="shared" si="291"/>
        <v>0</v>
      </c>
      <c r="O779" s="64">
        <f t="shared" si="292"/>
        <v>0</v>
      </c>
      <c r="Q779" s="64">
        <f t="shared" si="293"/>
        <v>0</v>
      </c>
      <c r="S779" s="71">
        <f t="shared" si="294"/>
        <v>0</v>
      </c>
      <c r="U779" s="64">
        <f t="shared" si="295"/>
        <v>0</v>
      </c>
      <c r="W779" s="71">
        <f t="shared" si="296"/>
        <v>0</v>
      </c>
      <c r="Y779" s="71">
        <f t="shared" si="297"/>
        <v>0</v>
      </c>
      <c r="AA779" s="71">
        <f t="shared" si="298"/>
        <v>0</v>
      </c>
      <c r="AC779" s="71">
        <f t="shared" si="299"/>
        <v>0</v>
      </c>
      <c r="AK779" s="71">
        <f t="shared" si="300"/>
        <v>0</v>
      </c>
      <c r="AM779" s="71">
        <f t="shared" si="301"/>
        <v>0</v>
      </c>
      <c r="AO779" s="71">
        <f t="shared" si="302"/>
        <v>0</v>
      </c>
      <c r="AQ779" s="71">
        <f t="shared" si="303"/>
        <v>0</v>
      </c>
      <c r="AT779" s="71">
        <f t="shared" si="304"/>
        <v>0</v>
      </c>
      <c r="AV779" s="71">
        <f t="shared" si="305"/>
        <v>0</v>
      </c>
      <c r="AX779" s="71">
        <f t="shared" si="306"/>
        <v>0</v>
      </c>
      <c r="AZ779" s="71">
        <f t="shared" si="307"/>
        <v>0</v>
      </c>
      <c r="BE779" s="102">
        <f t="shared" si="308"/>
        <v>4.4721359549995796</v>
      </c>
      <c r="BF779" s="81">
        <f t="shared" si="309"/>
        <v>9.3924867883288243E-14</v>
      </c>
      <c r="BG779" s="81" t="str">
        <f t="shared" si="310"/>
        <v>BASSO</v>
      </c>
      <c r="BK779" s="81" t="str">
        <f t="shared" si="311"/>
        <v>MOLTO BASSO</v>
      </c>
    </row>
    <row r="780" spans="7:63" x14ac:dyDescent="0.15">
      <c r="G780" s="64">
        <f t="shared" si="288"/>
        <v>0</v>
      </c>
      <c r="I780" s="64">
        <f t="shared" si="289"/>
        <v>0</v>
      </c>
      <c r="K780" s="64">
        <f t="shared" si="290"/>
        <v>0</v>
      </c>
      <c r="M780" s="64">
        <f t="shared" si="291"/>
        <v>0</v>
      </c>
      <c r="O780" s="64">
        <f t="shared" si="292"/>
        <v>0</v>
      </c>
      <c r="Q780" s="64">
        <f t="shared" si="293"/>
        <v>0</v>
      </c>
      <c r="S780" s="71">
        <f t="shared" si="294"/>
        <v>0</v>
      </c>
      <c r="U780" s="64">
        <f t="shared" si="295"/>
        <v>0</v>
      </c>
      <c r="W780" s="71">
        <f t="shared" si="296"/>
        <v>0</v>
      </c>
      <c r="Y780" s="71">
        <f t="shared" si="297"/>
        <v>0</v>
      </c>
      <c r="AA780" s="71">
        <f t="shared" si="298"/>
        <v>0</v>
      </c>
      <c r="AC780" s="71">
        <f t="shared" si="299"/>
        <v>0</v>
      </c>
      <c r="AK780" s="71">
        <f t="shared" si="300"/>
        <v>0</v>
      </c>
      <c r="AM780" s="71">
        <f t="shared" si="301"/>
        <v>0</v>
      </c>
      <c r="AO780" s="71">
        <f t="shared" si="302"/>
        <v>0</v>
      </c>
      <c r="AQ780" s="71">
        <f t="shared" si="303"/>
        <v>0</v>
      </c>
      <c r="AT780" s="71">
        <f t="shared" si="304"/>
        <v>0</v>
      </c>
      <c r="AV780" s="71">
        <f t="shared" si="305"/>
        <v>0</v>
      </c>
      <c r="AX780" s="71">
        <f t="shared" si="306"/>
        <v>0</v>
      </c>
      <c r="AZ780" s="71">
        <f t="shared" si="307"/>
        <v>0</v>
      </c>
      <c r="BE780" s="102">
        <f t="shared" si="308"/>
        <v>4.4721359549995796</v>
      </c>
      <c r="BF780" s="81">
        <f t="shared" si="309"/>
        <v>9.3924867883288243E-14</v>
      </c>
      <c r="BG780" s="81" t="str">
        <f t="shared" si="310"/>
        <v>BASSO</v>
      </c>
      <c r="BK780" s="81" t="str">
        <f t="shared" si="311"/>
        <v>MOLTO BASSO</v>
      </c>
    </row>
    <row r="781" spans="7:63" x14ac:dyDescent="0.15">
      <c r="G781" s="64">
        <f t="shared" si="288"/>
        <v>0</v>
      </c>
      <c r="I781" s="64">
        <f t="shared" si="289"/>
        <v>0</v>
      </c>
      <c r="K781" s="64">
        <f t="shared" si="290"/>
        <v>0</v>
      </c>
      <c r="M781" s="64">
        <f t="shared" si="291"/>
        <v>0</v>
      </c>
      <c r="O781" s="64">
        <f t="shared" si="292"/>
        <v>0</v>
      </c>
      <c r="Q781" s="64">
        <f t="shared" si="293"/>
        <v>0</v>
      </c>
      <c r="S781" s="71">
        <f t="shared" si="294"/>
        <v>0</v>
      </c>
      <c r="U781" s="64">
        <f t="shared" si="295"/>
        <v>0</v>
      </c>
      <c r="W781" s="71">
        <f t="shared" si="296"/>
        <v>0</v>
      </c>
      <c r="Y781" s="71">
        <f t="shared" si="297"/>
        <v>0</v>
      </c>
      <c r="AA781" s="71">
        <f t="shared" si="298"/>
        <v>0</v>
      </c>
      <c r="AC781" s="71">
        <f t="shared" si="299"/>
        <v>0</v>
      </c>
      <c r="AK781" s="71">
        <f t="shared" si="300"/>
        <v>0</v>
      </c>
      <c r="AM781" s="71">
        <f t="shared" si="301"/>
        <v>0</v>
      </c>
      <c r="AO781" s="71">
        <f t="shared" si="302"/>
        <v>0</v>
      </c>
      <c r="AQ781" s="71">
        <f t="shared" si="303"/>
        <v>0</v>
      </c>
      <c r="AT781" s="71">
        <f t="shared" si="304"/>
        <v>0</v>
      </c>
      <c r="AV781" s="71">
        <f t="shared" si="305"/>
        <v>0</v>
      </c>
      <c r="AX781" s="71">
        <f t="shared" si="306"/>
        <v>0</v>
      </c>
      <c r="AZ781" s="71">
        <f t="shared" si="307"/>
        <v>0</v>
      </c>
      <c r="BE781" s="102">
        <f t="shared" si="308"/>
        <v>4.4721359549995796</v>
      </c>
      <c r="BF781" s="81">
        <f t="shared" si="309"/>
        <v>9.3924867883288243E-14</v>
      </c>
      <c r="BG781" s="81" t="str">
        <f t="shared" si="310"/>
        <v>BASSO</v>
      </c>
      <c r="BK781" s="81" t="str">
        <f t="shared" si="311"/>
        <v>MOLTO BASSO</v>
      </c>
    </row>
    <row r="782" spans="7:63" x14ac:dyDescent="0.15">
      <c r="G782" s="64">
        <f t="shared" si="288"/>
        <v>0</v>
      </c>
      <c r="I782" s="64">
        <f t="shared" si="289"/>
        <v>0</v>
      </c>
      <c r="K782" s="64">
        <f t="shared" si="290"/>
        <v>0</v>
      </c>
      <c r="M782" s="64">
        <f t="shared" si="291"/>
        <v>0</v>
      </c>
      <c r="O782" s="64">
        <f t="shared" si="292"/>
        <v>0</v>
      </c>
      <c r="Q782" s="64">
        <f t="shared" si="293"/>
        <v>0</v>
      </c>
      <c r="S782" s="71">
        <f t="shared" si="294"/>
        <v>0</v>
      </c>
      <c r="U782" s="64">
        <f t="shared" si="295"/>
        <v>0</v>
      </c>
      <c r="W782" s="71">
        <f t="shared" si="296"/>
        <v>0</v>
      </c>
      <c r="Y782" s="71">
        <f t="shared" si="297"/>
        <v>0</v>
      </c>
      <c r="AA782" s="71">
        <f t="shared" si="298"/>
        <v>0</v>
      </c>
      <c r="AC782" s="71">
        <f t="shared" si="299"/>
        <v>0</v>
      </c>
      <c r="AK782" s="71">
        <f t="shared" si="300"/>
        <v>0</v>
      </c>
      <c r="AM782" s="71">
        <f t="shared" si="301"/>
        <v>0</v>
      </c>
      <c r="AO782" s="71">
        <f t="shared" si="302"/>
        <v>0</v>
      </c>
      <c r="AQ782" s="71">
        <f t="shared" si="303"/>
        <v>0</v>
      </c>
      <c r="AT782" s="71">
        <f t="shared" si="304"/>
        <v>0</v>
      </c>
      <c r="AV782" s="71">
        <f t="shared" si="305"/>
        <v>0</v>
      </c>
      <c r="AX782" s="71">
        <f t="shared" si="306"/>
        <v>0</v>
      </c>
      <c r="AZ782" s="71">
        <f t="shared" si="307"/>
        <v>0</v>
      </c>
      <c r="BE782" s="102">
        <f t="shared" si="308"/>
        <v>4.4721359549995796</v>
      </c>
      <c r="BF782" s="81">
        <f t="shared" si="309"/>
        <v>9.3924867883288243E-14</v>
      </c>
      <c r="BG782" s="81" t="str">
        <f t="shared" si="310"/>
        <v>BASSO</v>
      </c>
      <c r="BK782" s="81" t="str">
        <f t="shared" si="311"/>
        <v>MOLTO BASSO</v>
      </c>
    </row>
    <row r="783" spans="7:63" x14ac:dyDescent="0.15">
      <c r="G783" s="64">
        <f t="shared" si="288"/>
        <v>0</v>
      </c>
      <c r="I783" s="64">
        <f t="shared" si="289"/>
        <v>0</v>
      </c>
      <c r="K783" s="64">
        <f t="shared" si="290"/>
        <v>0</v>
      </c>
      <c r="M783" s="64">
        <f t="shared" si="291"/>
        <v>0</v>
      </c>
      <c r="O783" s="64">
        <f t="shared" si="292"/>
        <v>0</v>
      </c>
      <c r="Q783" s="64">
        <f t="shared" si="293"/>
        <v>0</v>
      </c>
      <c r="S783" s="71">
        <f t="shared" si="294"/>
        <v>0</v>
      </c>
      <c r="U783" s="64">
        <f t="shared" si="295"/>
        <v>0</v>
      </c>
      <c r="W783" s="71">
        <f t="shared" si="296"/>
        <v>0</v>
      </c>
      <c r="Y783" s="71">
        <f t="shared" si="297"/>
        <v>0</v>
      </c>
      <c r="AA783" s="71">
        <f t="shared" si="298"/>
        <v>0</v>
      </c>
      <c r="AC783" s="71">
        <f t="shared" si="299"/>
        <v>0</v>
      </c>
      <c r="AK783" s="71">
        <f t="shared" si="300"/>
        <v>0</v>
      </c>
      <c r="AM783" s="71">
        <f t="shared" si="301"/>
        <v>0</v>
      </c>
      <c r="AO783" s="71">
        <f t="shared" si="302"/>
        <v>0</v>
      </c>
      <c r="AQ783" s="71">
        <f t="shared" si="303"/>
        <v>0</v>
      </c>
      <c r="AT783" s="71">
        <f t="shared" si="304"/>
        <v>0</v>
      </c>
      <c r="AV783" s="71">
        <f t="shared" si="305"/>
        <v>0</v>
      </c>
      <c r="AX783" s="71">
        <f t="shared" si="306"/>
        <v>0</v>
      </c>
      <c r="AZ783" s="71">
        <f t="shared" si="307"/>
        <v>0</v>
      </c>
      <c r="BE783" s="102">
        <f t="shared" si="308"/>
        <v>4.4721359549995796</v>
      </c>
      <c r="BF783" s="81">
        <f t="shared" si="309"/>
        <v>9.3924867883288243E-14</v>
      </c>
      <c r="BG783" s="81" t="str">
        <f t="shared" si="310"/>
        <v>BASSO</v>
      </c>
      <c r="BK783" s="81" t="str">
        <f t="shared" si="311"/>
        <v>MOLTO BASSO</v>
      </c>
    </row>
    <row r="784" spans="7:63" x14ac:dyDescent="0.15">
      <c r="G784" s="64">
        <f t="shared" si="288"/>
        <v>0</v>
      </c>
      <c r="I784" s="64">
        <f t="shared" si="289"/>
        <v>0</v>
      </c>
      <c r="K784" s="64">
        <f t="shared" si="290"/>
        <v>0</v>
      </c>
      <c r="M784" s="64">
        <f t="shared" si="291"/>
        <v>0</v>
      </c>
      <c r="O784" s="64">
        <f t="shared" si="292"/>
        <v>0</v>
      </c>
      <c r="Q784" s="64">
        <f t="shared" si="293"/>
        <v>0</v>
      </c>
      <c r="S784" s="71">
        <f t="shared" si="294"/>
        <v>0</v>
      </c>
      <c r="U784" s="64">
        <f t="shared" si="295"/>
        <v>0</v>
      </c>
      <c r="W784" s="71">
        <f t="shared" si="296"/>
        <v>0</v>
      </c>
      <c r="Y784" s="71">
        <f t="shared" si="297"/>
        <v>0</v>
      </c>
      <c r="AA784" s="71">
        <f t="shared" si="298"/>
        <v>0</v>
      </c>
      <c r="AC784" s="71">
        <f t="shared" si="299"/>
        <v>0</v>
      </c>
      <c r="AK784" s="71">
        <f t="shared" si="300"/>
        <v>0</v>
      </c>
      <c r="AM784" s="71">
        <f t="shared" si="301"/>
        <v>0</v>
      </c>
      <c r="AO784" s="71">
        <f t="shared" si="302"/>
        <v>0</v>
      </c>
      <c r="AQ784" s="71">
        <f t="shared" si="303"/>
        <v>0</v>
      </c>
      <c r="AT784" s="71">
        <f t="shared" si="304"/>
        <v>0</v>
      </c>
      <c r="AV784" s="71">
        <f t="shared" si="305"/>
        <v>0</v>
      </c>
      <c r="AX784" s="71">
        <f t="shared" si="306"/>
        <v>0</v>
      </c>
      <c r="AZ784" s="71">
        <f t="shared" si="307"/>
        <v>0</v>
      </c>
      <c r="BE784" s="102">
        <f t="shared" si="308"/>
        <v>4.4721359549995796</v>
      </c>
      <c r="BF784" s="81">
        <f t="shared" si="309"/>
        <v>9.3924867883288243E-14</v>
      </c>
      <c r="BG784" s="81" t="str">
        <f t="shared" si="310"/>
        <v>BASSO</v>
      </c>
      <c r="BK784" s="81" t="str">
        <f t="shared" si="311"/>
        <v>MOLTO BASSO</v>
      </c>
    </row>
    <row r="785" spans="7:63" x14ac:dyDescent="0.15">
      <c r="G785" s="64">
        <f t="shared" si="288"/>
        <v>0</v>
      </c>
      <c r="I785" s="64">
        <f t="shared" si="289"/>
        <v>0</v>
      </c>
      <c r="K785" s="64">
        <f t="shared" si="290"/>
        <v>0</v>
      </c>
      <c r="M785" s="64">
        <f t="shared" si="291"/>
        <v>0</v>
      </c>
      <c r="O785" s="64">
        <f t="shared" si="292"/>
        <v>0</v>
      </c>
      <c r="Q785" s="64">
        <f t="shared" si="293"/>
        <v>0</v>
      </c>
      <c r="S785" s="71">
        <f t="shared" si="294"/>
        <v>0</v>
      </c>
      <c r="U785" s="64">
        <f t="shared" si="295"/>
        <v>0</v>
      </c>
      <c r="W785" s="71">
        <f t="shared" si="296"/>
        <v>0</v>
      </c>
      <c r="Y785" s="71">
        <f t="shared" si="297"/>
        <v>0</v>
      </c>
      <c r="AA785" s="71">
        <f t="shared" si="298"/>
        <v>0</v>
      </c>
      <c r="AC785" s="71">
        <f t="shared" si="299"/>
        <v>0</v>
      </c>
      <c r="AK785" s="71">
        <f t="shared" si="300"/>
        <v>0</v>
      </c>
      <c r="AM785" s="71">
        <f t="shared" si="301"/>
        <v>0</v>
      </c>
      <c r="AO785" s="71">
        <f t="shared" si="302"/>
        <v>0</v>
      </c>
      <c r="AQ785" s="71">
        <f t="shared" si="303"/>
        <v>0</v>
      </c>
      <c r="AT785" s="71">
        <f t="shared" si="304"/>
        <v>0</v>
      </c>
      <c r="AV785" s="71">
        <f t="shared" si="305"/>
        <v>0</v>
      </c>
      <c r="AX785" s="71">
        <f t="shared" si="306"/>
        <v>0</v>
      </c>
      <c r="AZ785" s="71">
        <f t="shared" si="307"/>
        <v>0</v>
      </c>
      <c r="BE785" s="102">
        <f t="shared" si="308"/>
        <v>4.4721359549995796</v>
      </c>
      <c r="BF785" s="81">
        <f t="shared" si="309"/>
        <v>9.3924867883288243E-14</v>
      </c>
      <c r="BG785" s="81" t="str">
        <f t="shared" si="310"/>
        <v>BASSO</v>
      </c>
      <c r="BK785" s="81" t="str">
        <f t="shared" si="311"/>
        <v>MOLTO BASSO</v>
      </c>
    </row>
    <row r="786" spans="7:63" x14ac:dyDescent="0.15">
      <c r="G786" s="64">
        <f t="shared" si="288"/>
        <v>0</v>
      </c>
      <c r="I786" s="64">
        <f t="shared" si="289"/>
        <v>0</v>
      </c>
      <c r="K786" s="64">
        <f t="shared" si="290"/>
        <v>0</v>
      </c>
      <c r="M786" s="64">
        <f t="shared" si="291"/>
        <v>0</v>
      </c>
      <c r="O786" s="64">
        <f t="shared" si="292"/>
        <v>0</v>
      </c>
      <c r="Q786" s="64">
        <f t="shared" si="293"/>
        <v>0</v>
      </c>
      <c r="S786" s="71">
        <f t="shared" si="294"/>
        <v>0</v>
      </c>
      <c r="U786" s="64">
        <f t="shared" si="295"/>
        <v>0</v>
      </c>
      <c r="W786" s="71">
        <f t="shared" si="296"/>
        <v>0</v>
      </c>
      <c r="Y786" s="71">
        <f t="shared" si="297"/>
        <v>0</v>
      </c>
      <c r="AA786" s="71">
        <f t="shared" si="298"/>
        <v>0</v>
      </c>
      <c r="AC786" s="71">
        <f t="shared" si="299"/>
        <v>0</v>
      </c>
      <c r="AK786" s="71">
        <f t="shared" si="300"/>
        <v>0</v>
      </c>
      <c r="AM786" s="71">
        <f t="shared" si="301"/>
        <v>0</v>
      </c>
      <c r="AO786" s="71">
        <f t="shared" si="302"/>
        <v>0</v>
      </c>
      <c r="AQ786" s="71">
        <f t="shared" si="303"/>
        <v>0</v>
      </c>
      <c r="AT786" s="71">
        <f t="shared" si="304"/>
        <v>0</v>
      </c>
      <c r="AV786" s="71">
        <f t="shared" si="305"/>
        <v>0</v>
      </c>
      <c r="AX786" s="71">
        <f t="shared" si="306"/>
        <v>0</v>
      </c>
      <c r="AZ786" s="71">
        <f t="shared" si="307"/>
        <v>0</v>
      </c>
      <c r="BE786" s="102">
        <f t="shared" si="308"/>
        <v>4.4721359549995796</v>
      </c>
      <c r="BF786" s="81">
        <f t="shared" si="309"/>
        <v>9.3924867883288243E-14</v>
      </c>
      <c r="BG786" s="81" t="str">
        <f t="shared" si="310"/>
        <v>BASSO</v>
      </c>
      <c r="BK786" s="81" t="str">
        <f t="shared" si="311"/>
        <v>MOLTO BASSO</v>
      </c>
    </row>
    <row r="787" spans="7:63" x14ac:dyDescent="0.15">
      <c r="G787" s="64">
        <f t="shared" si="288"/>
        <v>0</v>
      </c>
      <c r="I787" s="64">
        <f t="shared" si="289"/>
        <v>0</v>
      </c>
      <c r="K787" s="64">
        <f t="shared" si="290"/>
        <v>0</v>
      </c>
      <c r="M787" s="64">
        <f t="shared" si="291"/>
        <v>0</v>
      </c>
      <c r="O787" s="64">
        <f t="shared" si="292"/>
        <v>0</v>
      </c>
      <c r="Q787" s="64">
        <f t="shared" si="293"/>
        <v>0</v>
      </c>
      <c r="S787" s="71">
        <f t="shared" si="294"/>
        <v>0</v>
      </c>
      <c r="U787" s="64">
        <f t="shared" si="295"/>
        <v>0</v>
      </c>
      <c r="W787" s="71">
        <f t="shared" si="296"/>
        <v>0</v>
      </c>
      <c r="Y787" s="71">
        <f t="shared" si="297"/>
        <v>0</v>
      </c>
      <c r="AA787" s="71">
        <f t="shared" si="298"/>
        <v>0</v>
      </c>
      <c r="AC787" s="71">
        <f t="shared" si="299"/>
        <v>0</v>
      </c>
      <c r="AK787" s="71">
        <f t="shared" si="300"/>
        <v>0</v>
      </c>
      <c r="AM787" s="71">
        <f t="shared" si="301"/>
        <v>0</v>
      </c>
      <c r="AO787" s="71">
        <f t="shared" si="302"/>
        <v>0</v>
      </c>
      <c r="AQ787" s="71">
        <f t="shared" si="303"/>
        <v>0</v>
      </c>
      <c r="AT787" s="71">
        <f t="shared" si="304"/>
        <v>0</v>
      </c>
      <c r="AV787" s="71">
        <f t="shared" si="305"/>
        <v>0</v>
      </c>
      <c r="AX787" s="71">
        <f t="shared" si="306"/>
        <v>0</v>
      </c>
      <c r="AZ787" s="71">
        <f t="shared" si="307"/>
        <v>0</v>
      </c>
      <c r="BE787" s="102">
        <f t="shared" si="308"/>
        <v>4.4721359549995796</v>
      </c>
      <c r="BF787" s="81">
        <f t="shared" si="309"/>
        <v>9.3924867883288243E-14</v>
      </c>
      <c r="BG787" s="81" t="str">
        <f t="shared" si="310"/>
        <v>BASSO</v>
      </c>
      <c r="BK787" s="81" t="str">
        <f t="shared" si="311"/>
        <v>MOLTO BASSO</v>
      </c>
    </row>
    <row r="788" spans="7:63" x14ac:dyDescent="0.15">
      <c r="G788" s="64">
        <f t="shared" si="288"/>
        <v>0</v>
      </c>
      <c r="I788" s="64">
        <f t="shared" si="289"/>
        <v>0</v>
      </c>
      <c r="K788" s="64">
        <f t="shared" si="290"/>
        <v>0</v>
      </c>
      <c r="M788" s="64">
        <f t="shared" si="291"/>
        <v>0</v>
      </c>
      <c r="O788" s="64">
        <f t="shared" si="292"/>
        <v>0</v>
      </c>
      <c r="Q788" s="64">
        <f t="shared" si="293"/>
        <v>0</v>
      </c>
      <c r="S788" s="71">
        <f t="shared" si="294"/>
        <v>0</v>
      </c>
      <c r="U788" s="64">
        <f t="shared" si="295"/>
        <v>0</v>
      </c>
      <c r="W788" s="71">
        <f t="shared" si="296"/>
        <v>0</v>
      </c>
      <c r="Y788" s="71">
        <f t="shared" si="297"/>
        <v>0</v>
      </c>
      <c r="AA788" s="71">
        <f t="shared" si="298"/>
        <v>0</v>
      </c>
      <c r="AC788" s="71">
        <f t="shared" si="299"/>
        <v>0</v>
      </c>
      <c r="AK788" s="71">
        <f t="shared" si="300"/>
        <v>0</v>
      </c>
      <c r="AM788" s="71">
        <f t="shared" si="301"/>
        <v>0</v>
      </c>
      <c r="AO788" s="71">
        <f t="shared" si="302"/>
        <v>0</v>
      </c>
      <c r="AQ788" s="71">
        <f t="shared" si="303"/>
        <v>0</v>
      </c>
      <c r="AT788" s="71">
        <f t="shared" si="304"/>
        <v>0</v>
      </c>
      <c r="AV788" s="71">
        <f t="shared" si="305"/>
        <v>0</v>
      </c>
      <c r="AX788" s="71">
        <f t="shared" si="306"/>
        <v>0</v>
      </c>
      <c r="AZ788" s="71">
        <f t="shared" si="307"/>
        <v>0</v>
      </c>
      <c r="BE788" s="102">
        <f t="shared" si="308"/>
        <v>4.4721359549995796</v>
      </c>
      <c r="BF788" s="81">
        <f t="shared" si="309"/>
        <v>9.3924867883288243E-14</v>
      </c>
      <c r="BG788" s="81" t="str">
        <f t="shared" si="310"/>
        <v>BASSO</v>
      </c>
      <c r="BK788" s="81" t="str">
        <f t="shared" si="311"/>
        <v>MOLTO BASSO</v>
      </c>
    </row>
    <row r="789" spans="7:63" x14ac:dyDescent="0.15">
      <c r="G789" s="64">
        <f t="shared" si="288"/>
        <v>0</v>
      </c>
      <c r="I789" s="64">
        <f t="shared" si="289"/>
        <v>0</v>
      </c>
      <c r="K789" s="64">
        <f t="shared" si="290"/>
        <v>0</v>
      </c>
      <c r="M789" s="64">
        <f t="shared" si="291"/>
        <v>0</v>
      </c>
      <c r="O789" s="64">
        <f t="shared" si="292"/>
        <v>0</v>
      </c>
      <c r="Q789" s="64">
        <f t="shared" si="293"/>
        <v>0</v>
      </c>
      <c r="S789" s="71">
        <f t="shared" si="294"/>
        <v>0</v>
      </c>
      <c r="U789" s="64">
        <f t="shared" si="295"/>
        <v>0</v>
      </c>
      <c r="W789" s="71">
        <f t="shared" si="296"/>
        <v>0</v>
      </c>
      <c r="Y789" s="71">
        <f t="shared" si="297"/>
        <v>0</v>
      </c>
      <c r="AA789" s="71">
        <f t="shared" si="298"/>
        <v>0</v>
      </c>
      <c r="AC789" s="71">
        <f t="shared" si="299"/>
        <v>0</v>
      </c>
      <c r="AK789" s="71">
        <f t="shared" si="300"/>
        <v>0</v>
      </c>
      <c r="AM789" s="71">
        <f t="shared" si="301"/>
        <v>0</v>
      </c>
      <c r="AO789" s="71">
        <f t="shared" si="302"/>
        <v>0</v>
      </c>
      <c r="AQ789" s="71">
        <f t="shared" si="303"/>
        <v>0</v>
      </c>
      <c r="AT789" s="71">
        <f t="shared" si="304"/>
        <v>0</v>
      </c>
      <c r="AV789" s="71">
        <f t="shared" si="305"/>
        <v>0</v>
      </c>
      <c r="AX789" s="71">
        <f t="shared" si="306"/>
        <v>0</v>
      </c>
      <c r="AZ789" s="71">
        <f t="shared" si="307"/>
        <v>0</v>
      </c>
      <c r="BE789" s="102">
        <f t="shared" si="308"/>
        <v>4.4721359549995796</v>
      </c>
      <c r="BF789" s="81">
        <f t="shared" si="309"/>
        <v>9.3924867883288243E-14</v>
      </c>
      <c r="BG789" s="81" t="str">
        <f t="shared" si="310"/>
        <v>BASSO</v>
      </c>
      <c r="BK789" s="81" t="str">
        <f t="shared" si="311"/>
        <v>MOLTO BASSO</v>
      </c>
    </row>
    <row r="790" spans="7:63" x14ac:dyDescent="0.15">
      <c r="G790" s="64">
        <f t="shared" si="288"/>
        <v>0</v>
      </c>
      <c r="I790" s="64">
        <f t="shared" si="289"/>
        <v>0</v>
      </c>
      <c r="K790" s="64">
        <f t="shared" si="290"/>
        <v>0</v>
      </c>
      <c r="M790" s="64">
        <f t="shared" si="291"/>
        <v>0</v>
      </c>
      <c r="O790" s="64">
        <f t="shared" si="292"/>
        <v>0</v>
      </c>
      <c r="Q790" s="64">
        <f t="shared" si="293"/>
        <v>0</v>
      </c>
      <c r="S790" s="71">
        <f t="shared" si="294"/>
        <v>0</v>
      </c>
      <c r="U790" s="64">
        <f t="shared" si="295"/>
        <v>0</v>
      </c>
      <c r="W790" s="71">
        <f t="shared" si="296"/>
        <v>0</v>
      </c>
      <c r="Y790" s="71">
        <f t="shared" si="297"/>
        <v>0</v>
      </c>
      <c r="AA790" s="71">
        <f t="shared" si="298"/>
        <v>0</v>
      </c>
      <c r="AC790" s="71">
        <f t="shared" si="299"/>
        <v>0</v>
      </c>
      <c r="AK790" s="71">
        <f t="shared" si="300"/>
        <v>0</v>
      </c>
      <c r="AM790" s="71">
        <f t="shared" si="301"/>
        <v>0</v>
      </c>
      <c r="AO790" s="71">
        <f t="shared" si="302"/>
        <v>0</v>
      </c>
      <c r="AQ790" s="71">
        <f t="shared" si="303"/>
        <v>0</v>
      </c>
      <c r="AT790" s="71">
        <f t="shared" si="304"/>
        <v>0</v>
      </c>
      <c r="AV790" s="71">
        <f t="shared" si="305"/>
        <v>0</v>
      </c>
      <c r="AX790" s="71">
        <f t="shared" si="306"/>
        <v>0</v>
      </c>
      <c r="AZ790" s="71">
        <f t="shared" si="307"/>
        <v>0</v>
      </c>
      <c r="BE790" s="102">
        <f t="shared" si="308"/>
        <v>4.4721359549995796</v>
      </c>
      <c r="BF790" s="81">
        <f t="shared" si="309"/>
        <v>9.3924867883288243E-14</v>
      </c>
      <c r="BG790" s="81" t="str">
        <f t="shared" si="310"/>
        <v>BASSO</v>
      </c>
      <c r="BK790" s="81" t="str">
        <f t="shared" si="311"/>
        <v>MOLTO BASSO</v>
      </c>
    </row>
    <row r="791" spans="7:63" x14ac:dyDescent="0.15">
      <c r="G791" s="64">
        <f t="shared" si="288"/>
        <v>0</v>
      </c>
      <c r="I791" s="64">
        <f t="shared" si="289"/>
        <v>0</v>
      </c>
      <c r="K791" s="64">
        <f t="shared" si="290"/>
        <v>0</v>
      </c>
      <c r="M791" s="64">
        <f t="shared" si="291"/>
        <v>0</v>
      </c>
      <c r="O791" s="64">
        <f t="shared" si="292"/>
        <v>0</v>
      </c>
      <c r="Q791" s="64">
        <f t="shared" si="293"/>
        <v>0</v>
      </c>
      <c r="S791" s="71">
        <f t="shared" si="294"/>
        <v>0</v>
      </c>
      <c r="U791" s="64">
        <f t="shared" si="295"/>
        <v>0</v>
      </c>
      <c r="W791" s="71">
        <f t="shared" si="296"/>
        <v>0</v>
      </c>
      <c r="Y791" s="71">
        <f t="shared" si="297"/>
        <v>0</v>
      </c>
      <c r="AA791" s="71">
        <f t="shared" si="298"/>
        <v>0</v>
      </c>
      <c r="AC791" s="71">
        <f t="shared" si="299"/>
        <v>0</v>
      </c>
      <c r="AK791" s="71">
        <f t="shared" si="300"/>
        <v>0</v>
      </c>
      <c r="AM791" s="71">
        <f t="shared" si="301"/>
        <v>0</v>
      </c>
      <c r="AO791" s="71">
        <f t="shared" si="302"/>
        <v>0</v>
      </c>
      <c r="AQ791" s="71">
        <f t="shared" si="303"/>
        <v>0</v>
      </c>
      <c r="AT791" s="71">
        <f t="shared" si="304"/>
        <v>0</v>
      </c>
      <c r="AV791" s="71">
        <f t="shared" si="305"/>
        <v>0</v>
      </c>
      <c r="AX791" s="71">
        <f t="shared" si="306"/>
        <v>0</v>
      </c>
      <c r="AZ791" s="71">
        <f t="shared" si="307"/>
        <v>0</v>
      </c>
      <c r="BE791" s="102">
        <f t="shared" si="308"/>
        <v>4.4721359549995796</v>
      </c>
      <c r="BF791" s="81">
        <f t="shared" si="309"/>
        <v>9.3924867883288243E-14</v>
      </c>
      <c r="BG791" s="81" t="str">
        <f t="shared" si="310"/>
        <v>BASSO</v>
      </c>
      <c r="BK791" s="81" t="str">
        <f t="shared" si="311"/>
        <v>MOLTO BASSO</v>
      </c>
    </row>
    <row r="792" spans="7:63" x14ac:dyDescent="0.15">
      <c r="G792" s="64">
        <f t="shared" si="288"/>
        <v>0</v>
      </c>
      <c r="I792" s="64">
        <f t="shared" si="289"/>
        <v>0</v>
      </c>
      <c r="K792" s="64">
        <f t="shared" si="290"/>
        <v>0</v>
      </c>
      <c r="M792" s="64">
        <f t="shared" si="291"/>
        <v>0</v>
      </c>
      <c r="O792" s="64">
        <f t="shared" si="292"/>
        <v>0</v>
      </c>
      <c r="Q792" s="64">
        <f t="shared" si="293"/>
        <v>0</v>
      </c>
      <c r="S792" s="71">
        <f t="shared" si="294"/>
        <v>0</v>
      </c>
      <c r="U792" s="64">
        <f t="shared" si="295"/>
        <v>0</v>
      </c>
      <c r="W792" s="71">
        <f t="shared" si="296"/>
        <v>0</v>
      </c>
      <c r="Y792" s="71">
        <f t="shared" si="297"/>
        <v>0</v>
      </c>
      <c r="AA792" s="71">
        <f t="shared" si="298"/>
        <v>0</v>
      </c>
      <c r="AC792" s="71">
        <f t="shared" si="299"/>
        <v>0</v>
      </c>
      <c r="AK792" s="71">
        <f t="shared" si="300"/>
        <v>0</v>
      </c>
      <c r="AM792" s="71">
        <f t="shared" si="301"/>
        <v>0</v>
      </c>
      <c r="AO792" s="71">
        <f t="shared" si="302"/>
        <v>0</v>
      </c>
      <c r="AQ792" s="71">
        <f t="shared" si="303"/>
        <v>0</v>
      </c>
      <c r="AT792" s="71">
        <f t="shared" si="304"/>
        <v>0</v>
      </c>
      <c r="AV792" s="71">
        <f t="shared" si="305"/>
        <v>0</v>
      </c>
      <c r="AX792" s="71">
        <f t="shared" si="306"/>
        <v>0</v>
      </c>
      <c r="AZ792" s="71">
        <f t="shared" si="307"/>
        <v>0</v>
      </c>
      <c r="BE792" s="102">
        <f t="shared" si="308"/>
        <v>4.4721359549995796</v>
      </c>
      <c r="BF792" s="81">
        <f t="shared" si="309"/>
        <v>9.3924867883288243E-14</v>
      </c>
      <c r="BG792" s="81" t="str">
        <f t="shared" si="310"/>
        <v>BASSO</v>
      </c>
      <c r="BK792" s="81" t="str">
        <f t="shared" si="311"/>
        <v>MOLTO BASSO</v>
      </c>
    </row>
    <row r="793" spans="7:63" x14ac:dyDescent="0.15">
      <c r="G793" s="64">
        <f t="shared" si="288"/>
        <v>0</v>
      </c>
      <c r="I793" s="64">
        <f t="shared" si="289"/>
        <v>0</v>
      </c>
      <c r="K793" s="64">
        <f t="shared" si="290"/>
        <v>0</v>
      </c>
      <c r="M793" s="64">
        <f t="shared" si="291"/>
        <v>0</v>
      </c>
      <c r="O793" s="64">
        <f t="shared" si="292"/>
        <v>0</v>
      </c>
      <c r="Q793" s="64">
        <f t="shared" si="293"/>
        <v>0</v>
      </c>
      <c r="S793" s="71">
        <f t="shared" si="294"/>
        <v>0</v>
      </c>
      <c r="U793" s="64">
        <f t="shared" si="295"/>
        <v>0</v>
      </c>
      <c r="W793" s="71">
        <f t="shared" si="296"/>
        <v>0</v>
      </c>
      <c r="Y793" s="71">
        <f t="shared" si="297"/>
        <v>0</v>
      </c>
      <c r="AA793" s="71">
        <f t="shared" si="298"/>
        <v>0</v>
      </c>
      <c r="AC793" s="71">
        <f t="shared" si="299"/>
        <v>0</v>
      </c>
      <c r="AK793" s="71">
        <f t="shared" si="300"/>
        <v>0</v>
      </c>
      <c r="AM793" s="71">
        <f t="shared" si="301"/>
        <v>0</v>
      </c>
      <c r="AO793" s="71">
        <f t="shared" si="302"/>
        <v>0</v>
      </c>
      <c r="AQ793" s="71">
        <f t="shared" si="303"/>
        <v>0</v>
      </c>
      <c r="AT793" s="71">
        <f t="shared" si="304"/>
        <v>0</v>
      </c>
      <c r="AV793" s="71">
        <f t="shared" si="305"/>
        <v>0</v>
      </c>
      <c r="AX793" s="71">
        <f t="shared" si="306"/>
        <v>0</v>
      </c>
      <c r="AZ793" s="71">
        <f t="shared" si="307"/>
        <v>0</v>
      </c>
      <c r="BE793" s="102">
        <f t="shared" si="308"/>
        <v>4.4721359549995796</v>
      </c>
      <c r="BF793" s="81">
        <f t="shared" si="309"/>
        <v>9.3924867883288243E-14</v>
      </c>
      <c r="BG793" s="81" t="str">
        <f t="shared" si="310"/>
        <v>BASSO</v>
      </c>
      <c r="BK793" s="81" t="str">
        <f t="shared" si="311"/>
        <v>MOLTO BASSO</v>
      </c>
    </row>
    <row r="794" spans="7:63" x14ac:dyDescent="0.15">
      <c r="G794" s="64">
        <f t="shared" si="288"/>
        <v>0</v>
      </c>
      <c r="I794" s="64">
        <f t="shared" si="289"/>
        <v>0</v>
      </c>
      <c r="K794" s="64">
        <f t="shared" si="290"/>
        <v>0</v>
      </c>
      <c r="M794" s="64">
        <f t="shared" si="291"/>
        <v>0</v>
      </c>
      <c r="O794" s="64">
        <f t="shared" si="292"/>
        <v>0</v>
      </c>
      <c r="Q794" s="64">
        <f t="shared" si="293"/>
        <v>0</v>
      </c>
      <c r="S794" s="71">
        <f t="shared" si="294"/>
        <v>0</v>
      </c>
      <c r="U794" s="64">
        <f t="shared" si="295"/>
        <v>0</v>
      </c>
      <c r="W794" s="71">
        <f t="shared" si="296"/>
        <v>0</v>
      </c>
      <c r="Y794" s="71">
        <f t="shared" si="297"/>
        <v>0</v>
      </c>
      <c r="AA794" s="71">
        <f t="shared" si="298"/>
        <v>0</v>
      </c>
      <c r="AC794" s="71">
        <f t="shared" si="299"/>
        <v>0</v>
      </c>
      <c r="AK794" s="71">
        <f t="shared" si="300"/>
        <v>0</v>
      </c>
      <c r="AM794" s="71">
        <f t="shared" si="301"/>
        <v>0</v>
      </c>
      <c r="AO794" s="71">
        <f t="shared" si="302"/>
        <v>0</v>
      </c>
      <c r="AQ794" s="71">
        <f t="shared" si="303"/>
        <v>0</v>
      </c>
      <c r="AT794" s="71">
        <f t="shared" si="304"/>
        <v>0</v>
      </c>
      <c r="AV794" s="71">
        <f t="shared" si="305"/>
        <v>0</v>
      </c>
      <c r="AX794" s="71">
        <f t="shared" si="306"/>
        <v>0</v>
      </c>
      <c r="AZ794" s="71">
        <f t="shared" si="307"/>
        <v>0</v>
      </c>
      <c r="BE794" s="102">
        <f t="shared" si="308"/>
        <v>4.4721359549995796</v>
      </c>
      <c r="BF794" s="81">
        <f t="shared" si="309"/>
        <v>9.3924867883288243E-14</v>
      </c>
      <c r="BG794" s="81" t="str">
        <f t="shared" si="310"/>
        <v>BASSO</v>
      </c>
      <c r="BK794" s="81" t="str">
        <f t="shared" si="311"/>
        <v>MOLTO BASSO</v>
      </c>
    </row>
    <row r="795" spans="7:63" x14ac:dyDescent="0.15">
      <c r="G795" s="64">
        <f t="shared" si="288"/>
        <v>0</v>
      </c>
      <c r="I795" s="64">
        <f t="shared" si="289"/>
        <v>0</v>
      </c>
      <c r="K795" s="64">
        <f t="shared" si="290"/>
        <v>0</v>
      </c>
      <c r="M795" s="64">
        <f t="shared" si="291"/>
        <v>0</v>
      </c>
      <c r="O795" s="64">
        <f t="shared" si="292"/>
        <v>0</v>
      </c>
      <c r="Q795" s="64">
        <f t="shared" si="293"/>
        <v>0</v>
      </c>
      <c r="S795" s="71">
        <f t="shared" si="294"/>
        <v>0</v>
      </c>
      <c r="U795" s="64">
        <f t="shared" si="295"/>
        <v>0</v>
      </c>
      <c r="W795" s="71">
        <f t="shared" si="296"/>
        <v>0</v>
      </c>
      <c r="Y795" s="71">
        <f t="shared" si="297"/>
        <v>0</v>
      </c>
      <c r="AA795" s="71">
        <f t="shared" si="298"/>
        <v>0</v>
      </c>
      <c r="AC795" s="71">
        <f t="shared" si="299"/>
        <v>0</v>
      </c>
      <c r="AK795" s="71">
        <f t="shared" si="300"/>
        <v>0</v>
      </c>
      <c r="AM795" s="71">
        <f t="shared" si="301"/>
        <v>0</v>
      </c>
      <c r="AO795" s="71">
        <f t="shared" si="302"/>
        <v>0</v>
      </c>
      <c r="AQ795" s="71">
        <f t="shared" si="303"/>
        <v>0</v>
      </c>
      <c r="AT795" s="71">
        <f t="shared" si="304"/>
        <v>0</v>
      </c>
      <c r="AV795" s="71">
        <f t="shared" si="305"/>
        <v>0</v>
      </c>
      <c r="AX795" s="71">
        <f t="shared" si="306"/>
        <v>0</v>
      </c>
      <c r="AZ795" s="71">
        <f t="shared" si="307"/>
        <v>0</v>
      </c>
      <c r="BE795" s="102">
        <f t="shared" si="308"/>
        <v>4.4721359549995796</v>
      </c>
      <c r="BF795" s="81">
        <f t="shared" si="309"/>
        <v>9.3924867883288243E-14</v>
      </c>
      <c r="BG795" s="81" t="str">
        <f t="shared" si="310"/>
        <v>BASSO</v>
      </c>
      <c r="BK795" s="81" t="str">
        <f t="shared" si="311"/>
        <v>MOLTO BASSO</v>
      </c>
    </row>
    <row r="796" spans="7:63" x14ac:dyDescent="0.15">
      <c r="G796" s="64">
        <f t="shared" si="288"/>
        <v>0</v>
      </c>
      <c r="I796" s="64">
        <f t="shared" si="289"/>
        <v>0</v>
      </c>
      <c r="K796" s="64">
        <f t="shared" si="290"/>
        <v>0</v>
      </c>
      <c r="M796" s="64">
        <f t="shared" si="291"/>
        <v>0</v>
      </c>
      <c r="O796" s="64">
        <f t="shared" si="292"/>
        <v>0</v>
      </c>
      <c r="Q796" s="64">
        <f t="shared" si="293"/>
        <v>0</v>
      </c>
      <c r="S796" s="71">
        <f t="shared" si="294"/>
        <v>0</v>
      </c>
      <c r="U796" s="64">
        <f t="shared" si="295"/>
        <v>0</v>
      </c>
      <c r="W796" s="71">
        <f t="shared" si="296"/>
        <v>0</v>
      </c>
      <c r="Y796" s="71">
        <f t="shared" si="297"/>
        <v>0</v>
      </c>
      <c r="AA796" s="71">
        <f t="shared" si="298"/>
        <v>0</v>
      </c>
      <c r="AC796" s="71">
        <f t="shared" si="299"/>
        <v>0</v>
      </c>
      <c r="AK796" s="71">
        <f t="shared" si="300"/>
        <v>0</v>
      </c>
      <c r="AM796" s="71">
        <f t="shared" si="301"/>
        <v>0</v>
      </c>
      <c r="AO796" s="71">
        <f t="shared" si="302"/>
        <v>0</v>
      </c>
      <c r="AQ796" s="71">
        <f t="shared" si="303"/>
        <v>0</v>
      </c>
      <c r="AT796" s="71">
        <f t="shared" si="304"/>
        <v>0</v>
      </c>
      <c r="AV796" s="71">
        <f t="shared" si="305"/>
        <v>0</v>
      </c>
      <c r="AX796" s="71">
        <f t="shared" si="306"/>
        <v>0</v>
      </c>
      <c r="AZ796" s="71">
        <f t="shared" si="307"/>
        <v>0</v>
      </c>
      <c r="BE796" s="102">
        <f t="shared" si="308"/>
        <v>4.4721359549995796</v>
      </c>
      <c r="BF796" s="81">
        <f t="shared" si="309"/>
        <v>9.3924867883288243E-14</v>
      </c>
      <c r="BG796" s="81" t="str">
        <f t="shared" si="310"/>
        <v>BASSO</v>
      </c>
      <c r="BK796" s="81" t="str">
        <f t="shared" si="311"/>
        <v>MOLTO BASSO</v>
      </c>
    </row>
    <row r="797" spans="7:63" x14ac:dyDescent="0.15">
      <c r="G797" s="64">
        <f t="shared" si="288"/>
        <v>0</v>
      </c>
      <c r="I797" s="64">
        <f t="shared" si="289"/>
        <v>0</v>
      </c>
      <c r="K797" s="64">
        <f t="shared" si="290"/>
        <v>0</v>
      </c>
      <c r="M797" s="64">
        <f t="shared" si="291"/>
        <v>0</v>
      </c>
      <c r="O797" s="64">
        <f t="shared" si="292"/>
        <v>0</v>
      </c>
      <c r="Q797" s="64">
        <f t="shared" si="293"/>
        <v>0</v>
      </c>
      <c r="S797" s="71">
        <f t="shared" si="294"/>
        <v>0</v>
      </c>
      <c r="U797" s="64">
        <f t="shared" si="295"/>
        <v>0</v>
      </c>
      <c r="W797" s="71">
        <f t="shared" si="296"/>
        <v>0</v>
      </c>
      <c r="Y797" s="71">
        <f t="shared" si="297"/>
        <v>0</v>
      </c>
      <c r="AA797" s="71">
        <f t="shared" si="298"/>
        <v>0</v>
      </c>
      <c r="AC797" s="71">
        <f t="shared" si="299"/>
        <v>0</v>
      </c>
      <c r="AK797" s="71">
        <f t="shared" si="300"/>
        <v>0</v>
      </c>
      <c r="AM797" s="71">
        <f t="shared" si="301"/>
        <v>0</v>
      </c>
      <c r="AO797" s="71">
        <f t="shared" si="302"/>
        <v>0</v>
      </c>
      <c r="AQ797" s="71">
        <f t="shared" si="303"/>
        <v>0</v>
      </c>
      <c r="AT797" s="71">
        <f t="shared" si="304"/>
        <v>0</v>
      </c>
      <c r="AV797" s="71">
        <f t="shared" si="305"/>
        <v>0</v>
      </c>
      <c r="AX797" s="71">
        <f t="shared" si="306"/>
        <v>0</v>
      </c>
      <c r="AZ797" s="71">
        <f t="shared" si="307"/>
        <v>0</v>
      </c>
      <c r="BE797" s="102">
        <f t="shared" si="308"/>
        <v>4.4721359549995796</v>
      </c>
      <c r="BF797" s="81">
        <f t="shared" si="309"/>
        <v>9.3924867883288243E-14</v>
      </c>
      <c r="BG797" s="81" t="str">
        <f t="shared" si="310"/>
        <v>BASSO</v>
      </c>
      <c r="BK797" s="81" t="str">
        <f t="shared" si="311"/>
        <v>MOLTO BASSO</v>
      </c>
    </row>
    <row r="798" spans="7:63" x14ac:dyDescent="0.15">
      <c r="G798" s="64">
        <f t="shared" si="288"/>
        <v>0</v>
      </c>
      <c r="I798" s="64">
        <f t="shared" si="289"/>
        <v>0</v>
      </c>
      <c r="K798" s="64">
        <f t="shared" si="290"/>
        <v>0</v>
      </c>
      <c r="M798" s="64">
        <f t="shared" si="291"/>
        <v>0</v>
      </c>
      <c r="O798" s="64">
        <f t="shared" si="292"/>
        <v>0</v>
      </c>
      <c r="Q798" s="64">
        <f t="shared" si="293"/>
        <v>0</v>
      </c>
      <c r="S798" s="71">
        <f t="shared" si="294"/>
        <v>0</v>
      </c>
      <c r="U798" s="64">
        <f t="shared" si="295"/>
        <v>0</v>
      </c>
      <c r="W798" s="71">
        <f t="shared" si="296"/>
        <v>0</v>
      </c>
      <c r="Y798" s="71">
        <f t="shared" si="297"/>
        <v>0</v>
      </c>
      <c r="AA798" s="71">
        <f t="shared" si="298"/>
        <v>0</v>
      </c>
      <c r="AC798" s="71">
        <f t="shared" si="299"/>
        <v>0</v>
      </c>
      <c r="AK798" s="71">
        <f t="shared" si="300"/>
        <v>0</v>
      </c>
      <c r="AM798" s="71">
        <f t="shared" si="301"/>
        <v>0</v>
      </c>
      <c r="AO798" s="71">
        <f t="shared" si="302"/>
        <v>0</v>
      </c>
      <c r="AQ798" s="71">
        <f t="shared" si="303"/>
        <v>0</v>
      </c>
      <c r="AT798" s="71">
        <f t="shared" si="304"/>
        <v>0</v>
      </c>
      <c r="AV798" s="71">
        <f t="shared" si="305"/>
        <v>0</v>
      </c>
      <c r="AX798" s="71">
        <f t="shared" si="306"/>
        <v>0</v>
      </c>
      <c r="AZ798" s="71">
        <f t="shared" si="307"/>
        <v>0</v>
      </c>
      <c r="BE798" s="102">
        <f t="shared" si="308"/>
        <v>4.4721359549995796</v>
      </c>
      <c r="BF798" s="81">
        <f t="shared" si="309"/>
        <v>9.3924867883288243E-14</v>
      </c>
      <c r="BG798" s="81" t="str">
        <f t="shared" si="310"/>
        <v>BASSO</v>
      </c>
      <c r="BK798" s="81" t="str">
        <f t="shared" si="311"/>
        <v>MOLTO BASSO</v>
      </c>
    </row>
    <row r="799" spans="7:63" x14ac:dyDescent="0.15">
      <c r="G799" s="64">
        <f t="shared" si="288"/>
        <v>0</v>
      </c>
      <c r="I799" s="64">
        <f t="shared" si="289"/>
        <v>0</v>
      </c>
      <c r="K799" s="64">
        <f t="shared" si="290"/>
        <v>0</v>
      </c>
      <c r="M799" s="64">
        <f t="shared" si="291"/>
        <v>0</v>
      </c>
      <c r="O799" s="64">
        <f t="shared" si="292"/>
        <v>0</v>
      </c>
      <c r="Q799" s="64">
        <f t="shared" si="293"/>
        <v>0</v>
      </c>
      <c r="S799" s="71">
        <f t="shared" si="294"/>
        <v>0</v>
      </c>
      <c r="U799" s="64">
        <f t="shared" si="295"/>
        <v>0</v>
      </c>
      <c r="W799" s="71">
        <f t="shared" si="296"/>
        <v>0</v>
      </c>
      <c r="Y799" s="71">
        <f t="shared" si="297"/>
        <v>0</v>
      </c>
      <c r="AA799" s="71">
        <f t="shared" si="298"/>
        <v>0</v>
      </c>
      <c r="AC799" s="71">
        <f t="shared" si="299"/>
        <v>0</v>
      </c>
      <c r="AK799" s="71">
        <f t="shared" si="300"/>
        <v>0</v>
      </c>
      <c r="AM799" s="71">
        <f t="shared" si="301"/>
        <v>0</v>
      </c>
      <c r="AO799" s="71">
        <f t="shared" si="302"/>
        <v>0</v>
      </c>
      <c r="AQ799" s="71">
        <f t="shared" si="303"/>
        <v>0</v>
      </c>
      <c r="AT799" s="71">
        <f t="shared" si="304"/>
        <v>0</v>
      </c>
      <c r="AV799" s="71">
        <f t="shared" si="305"/>
        <v>0</v>
      </c>
      <c r="AX799" s="71">
        <f t="shared" si="306"/>
        <v>0</v>
      </c>
      <c r="AZ799" s="71">
        <f t="shared" si="307"/>
        <v>0</v>
      </c>
      <c r="BE799" s="102">
        <f t="shared" si="308"/>
        <v>4.4721359549995796</v>
      </c>
      <c r="BF799" s="81">
        <f t="shared" si="309"/>
        <v>9.3924867883288243E-14</v>
      </c>
      <c r="BG799" s="81" t="str">
        <f t="shared" si="310"/>
        <v>BASSO</v>
      </c>
      <c r="BK799" s="81" t="str">
        <f t="shared" si="311"/>
        <v>MOLTO BASSO</v>
      </c>
    </row>
    <row r="800" spans="7:63" x14ac:dyDescent="0.15">
      <c r="G800" s="64">
        <f t="shared" si="288"/>
        <v>0</v>
      </c>
      <c r="I800" s="64">
        <f t="shared" si="289"/>
        <v>0</v>
      </c>
      <c r="K800" s="64">
        <f t="shared" si="290"/>
        <v>0</v>
      </c>
      <c r="M800" s="64">
        <f t="shared" si="291"/>
        <v>0</v>
      </c>
      <c r="O800" s="64">
        <f t="shared" si="292"/>
        <v>0</v>
      </c>
      <c r="Q800" s="64">
        <f t="shared" si="293"/>
        <v>0</v>
      </c>
      <c r="S800" s="71">
        <f t="shared" si="294"/>
        <v>0</v>
      </c>
      <c r="U800" s="64">
        <f t="shared" si="295"/>
        <v>0</v>
      </c>
      <c r="W800" s="71">
        <f t="shared" si="296"/>
        <v>0</v>
      </c>
      <c r="Y800" s="71">
        <f t="shared" si="297"/>
        <v>0</v>
      </c>
      <c r="AA800" s="71">
        <f t="shared" si="298"/>
        <v>0</v>
      </c>
      <c r="AC800" s="71">
        <f t="shared" si="299"/>
        <v>0</v>
      </c>
      <c r="AK800" s="71">
        <f t="shared" si="300"/>
        <v>0</v>
      </c>
      <c r="AM800" s="71">
        <f t="shared" si="301"/>
        <v>0</v>
      </c>
      <c r="AO800" s="71">
        <f t="shared" si="302"/>
        <v>0</v>
      </c>
      <c r="AQ800" s="71">
        <f t="shared" si="303"/>
        <v>0</v>
      </c>
      <c r="AT800" s="71">
        <f t="shared" si="304"/>
        <v>0</v>
      </c>
      <c r="AV800" s="71">
        <f t="shared" si="305"/>
        <v>0</v>
      </c>
      <c r="AX800" s="71">
        <f t="shared" si="306"/>
        <v>0</v>
      </c>
      <c r="AZ800" s="71">
        <f t="shared" si="307"/>
        <v>0</v>
      </c>
      <c r="BE800" s="102">
        <f t="shared" si="308"/>
        <v>4.4721359549995796</v>
      </c>
      <c r="BF800" s="81">
        <f t="shared" si="309"/>
        <v>9.3924867883288243E-14</v>
      </c>
      <c r="BG800" s="81" t="str">
        <f t="shared" si="310"/>
        <v>BASSO</v>
      </c>
      <c r="BK800" s="81" t="str">
        <f t="shared" si="311"/>
        <v>MOLTO BASSO</v>
      </c>
    </row>
    <row r="801" spans="7:63" x14ac:dyDescent="0.15">
      <c r="G801" s="64">
        <f t="shared" si="288"/>
        <v>0</v>
      </c>
      <c r="I801" s="64">
        <f t="shared" si="289"/>
        <v>0</v>
      </c>
      <c r="K801" s="64">
        <f t="shared" si="290"/>
        <v>0</v>
      </c>
      <c r="M801" s="64">
        <f t="shared" si="291"/>
        <v>0</v>
      </c>
      <c r="O801" s="64">
        <f t="shared" si="292"/>
        <v>0</v>
      </c>
      <c r="Q801" s="64">
        <f t="shared" si="293"/>
        <v>0</v>
      </c>
      <c r="S801" s="71">
        <f t="shared" si="294"/>
        <v>0</v>
      </c>
      <c r="U801" s="64">
        <f t="shared" si="295"/>
        <v>0</v>
      </c>
      <c r="W801" s="71">
        <f t="shared" si="296"/>
        <v>0</v>
      </c>
      <c r="Y801" s="71">
        <f t="shared" si="297"/>
        <v>0</v>
      </c>
      <c r="AA801" s="71">
        <f t="shared" si="298"/>
        <v>0</v>
      </c>
      <c r="AC801" s="71">
        <f t="shared" si="299"/>
        <v>0</v>
      </c>
      <c r="AK801" s="71">
        <f t="shared" si="300"/>
        <v>0</v>
      </c>
      <c r="AM801" s="71">
        <f t="shared" si="301"/>
        <v>0</v>
      </c>
      <c r="AO801" s="71">
        <f t="shared" si="302"/>
        <v>0</v>
      </c>
      <c r="AQ801" s="71">
        <f t="shared" si="303"/>
        <v>0</v>
      </c>
      <c r="AT801" s="71">
        <f t="shared" si="304"/>
        <v>0</v>
      </c>
      <c r="AV801" s="71">
        <f t="shared" si="305"/>
        <v>0</v>
      </c>
      <c r="AX801" s="71">
        <f t="shared" si="306"/>
        <v>0</v>
      </c>
      <c r="AZ801" s="71">
        <f t="shared" si="307"/>
        <v>0</v>
      </c>
      <c r="BE801" s="102">
        <f t="shared" si="308"/>
        <v>4.4721359549995796</v>
      </c>
      <c r="BF801" s="81">
        <f t="shared" si="309"/>
        <v>9.3924867883288243E-14</v>
      </c>
      <c r="BG801" s="81" t="str">
        <f t="shared" si="310"/>
        <v>BASSO</v>
      </c>
      <c r="BK801" s="81" t="str">
        <f t="shared" si="311"/>
        <v>MOLTO BASSO</v>
      </c>
    </row>
    <row r="802" spans="7:63" x14ac:dyDescent="0.15">
      <c r="G802" s="64">
        <f t="shared" si="288"/>
        <v>0</v>
      </c>
      <c r="I802" s="64">
        <f t="shared" si="289"/>
        <v>0</v>
      </c>
      <c r="K802" s="64">
        <f t="shared" si="290"/>
        <v>0</v>
      </c>
      <c r="M802" s="64">
        <f t="shared" si="291"/>
        <v>0</v>
      </c>
      <c r="O802" s="64">
        <f t="shared" si="292"/>
        <v>0</v>
      </c>
      <c r="Q802" s="64">
        <f t="shared" si="293"/>
        <v>0</v>
      </c>
      <c r="S802" s="71">
        <f t="shared" si="294"/>
        <v>0</v>
      </c>
      <c r="U802" s="64">
        <f t="shared" si="295"/>
        <v>0</v>
      </c>
      <c r="W802" s="71">
        <f t="shared" si="296"/>
        <v>0</v>
      </c>
      <c r="Y802" s="71">
        <f t="shared" si="297"/>
        <v>0</v>
      </c>
      <c r="AA802" s="71">
        <f t="shared" si="298"/>
        <v>0</v>
      </c>
      <c r="AC802" s="71">
        <f t="shared" si="299"/>
        <v>0</v>
      </c>
      <c r="AK802" s="71">
        <f t="shared" si="300"/>
        <v>0</v>
      </c>
      <c r="AM802" s="71">
        <f t="shared" si="301"/>
        <v>0</v>
      </c>
      <c r="AO802" s="71">
        <f t="shared" si="302"/>
        <v>0</v>
      </c>
      <c r="AQ802" s="71">
        <f t="shared" si="303"/>
        <v>0</v>
      </c>
      <c r="AT802" s="71">
        <f t="shared" si="304"/>
        <v>0</v>
      </c>
      <c r="AV802" s="71">
        <f t="shared" si="305"/>
        <v>0</v>
      </c>
      <c r="AX802" s="71">
        <f t="shared" si="306"/>
        <v>0</v>
      </c>
      <c r="AZ802" s="71">
        <f t="shared" si="307"/>
        <v>0</v>
      </c>
      <c r="BE802" s="102">
        <f t="shared" si="308"/>
        <v>4.4721359549995796</v>
      </c>
      <c r="BF802" s="81">
        <f t="shared" si="309"/>
        <v>9.3924867883288243E-14</v>
      </c>
      <c r="BG802" s="81" t="str">
        <f t="shared" si="310"/>
        <v>BASSO</v>
      </c>
      <c r="BK802" s="81" t="str">
        <f t="shared" si="311"/>
        <v>MOLTO BASSO</v>
      </c>
    </row>
    <row r="803" spans="7:63" x14ac:dyDescent="0.15">
      <c r="G803" s="64">
        <f t="shared" si="288"/>
        <v>0</v>
      </c>
      <c r="I803" s="64">
        <f t="shared" si="289"/>
        <v>0</v>
      </c>
      <c r="K803" s="64">
        <f t="shared" si="290"/>
        <v>0</v>
      </c>
      <c r="M803" s="64">
        <f t="shared" si="291"/>
        <v>0</v>
      </c>
      <c r="O803" s="64">
        <f t="shared" si="292"/>
        <v>0</v>
      </c>
      <c r="Q803" s="64">
        <f t="shared" si="293"/>
        <v>0</v>
      </c>
      <c r="S803" s="71">
        <f t="shared" si="294"/>
        <v>0</v>
      </c>
      <c r="U803" s="64">
        <f t="shared" si="295"/>
        <v>0</v>
      </c>
      <c r="W803" s="71">
        <f t="shared" si="296"/>
        <v>0</v>
      </c>
      <c r="Y803" s="71">
        <f t="shared" si="297"/>
        <v>0</v>
      </c>
      <c r="AA803" s="71">
        <f t="shared" si="298"/>
        <v>0</v>
      </c>
      <c r="AC803" s="71">
        <f t="shared" si="299"/>
        <v>0</v>
      </c>
      <c r="AK803" s="71">
        <f t="shared" si="300"/>
        <v>0</v>
      </c>
      <c r="AM803" s="71">
        <f t="shared" si="301"/>
        <v>0</v>
      </c>
      <c r="AO803" s="71">
        <f t="shared" si="302"/>
        <v>0</v>
      </c>
      <c r="AQ803" s="71">
        <f t="shared" si="303"/>
        <v>0</v>
      </c>
      <c r="AT803" s="71">
        <f t="shared" si="304"/>
        <v>0</v>
      </c>
      <c r="AV803" s="71">
        <f t="shared" si="305"/>
        <v>0</v>
      </c>
      <c r="AX803" s="71">
        <f t="shared" si="306"/>
        <v>0</v>
      </c>
      <c r="AZ803" s="71">
        <f t="shared" si="307"/>
        <v>0</v>
      </c>
      <c r="BE803" s="102">
        <f t="shared" si="308"/>
        <v>4.4721359549995796</v>
      </c>
      <c r="BF803" s="81">
        <f t="shared" si="309"/>
        <v>9.3924867883288243E-14</v>
      </c>
      <c r="BG803" s="81" t="str">
        <f t="shared" si="310"/>
        <v>BASSO</v>
      </c>
      <c r="BK803" s="81" t="str">
        <f t="shared" si="311"/>
        <v>MOLTO BASSO</v>
      </c>
    </row>
    <row r="804" spans="7:63" x14ac:dyDescent="0.15">
      <c r="G804" s="64">
        <f t="shared" si="288"/>
        <v>0</v>
      </c>
      <c r="I804" s="64">
        <f t="shared" si="289"/>
        <v>0</v>
      </c>
      <c r="K804" s="64">
        <f t="shared" si="290"/>
        <v>0</v>
      </c>
      <c r="M804" s="64">
        <f t="shared" si="291"/>
        <v>0</v>
      </c>
      <c r="O804" s="64">
        <f t="shared" si="292"/>
        <v>0</v>
      </c>
      <c r="Q804" s="64">
        <f t="shared" si="293"/>
        <v>0</v>
      </c>
      <c r="S804" s="71">
        <f t="shared" si="294"/>
        <v>0</v>
      </c>
      <c r="U804" s="64">
        <f t="shared" si="295"/>
        <v>0</v>
      </c>
      <c r="W804" s="71">
        <f t="shared" si="296"/>
        <v>0</v>
      </c>
      <c r="Y804" s="71">
        <f t="shared" si="297"/>
        <v>0</v>
      </c>
      <c r="AA804" s="71">
        <f t="shared" si="298"/>
        <v>0</v>
      </c>
      <c r="AC804" s="71">
        <f t="shared" si="299"/>
        <v>0</v>
      </c>
      <c r="AK804" s="71">
        <f t="shared" si="300"/>
        <v>0</v>
      </c>
      <c r="AM804" s="71">
        <f t="shared" si="301"/>
        <v>0</v>
      </c>
      <c r="AO804" s="71">
        <f t="shared" si="302"/>
        <v>0</v>
      </c>
      <c r="AQ804" s="71">
        <f t="shared" si="303"/>
        <v>0</v>
      </c>
      <c r="AT804" s="71">
        <f t="shared" si="304"/>
        <v>0</v>
      </c>
      <c r="AV804" s="71">
        <f t="shared" si="305"/>
        <v>0</v>
      </c>
      <c r="AX804" s="71">
        <f t="shared" si="306"/>
        <v>0</v>
      </c>
      <c r="AZ804" s="71">
        <f t="shared" si="307"/>
        <v>0</v>
      </c>
      <c r="BE804" s="102">
        <f t="shared" si="308"/>
        <v>4.4721359549995796</v>
      </c>
      <c r="BF804" s="81">
        <f t="shared" si="309"/>
        <v>9.3924867883288243E-14</v>
      </c>
      <c r="BG804" s="81" t="str">
        <f t="shared" si="310"/>
        <v>BASSO</v>
      </c>
      <c r="BK804" s="81" t="str">
        <f t="shared" si="311"/>
        <v>MOLTO BASSO</v>
      </c>
    </row>
    <row r="805" spans="7:63" x14ac:dyDescent="0.15">
      <c r="G805" s="64">
        <f t="shared" si="288"/>
        <v>0</v>
      </c>
      <c r="I805" s="64">
        <f t="shared" si="289"/>
        <v>0</v>
      </c>
      <c r="K805" s="64">
        <f t="shared" si="290"/>
        <v>0</v>
      </c>
      <c r="M805" s="64">
        <f t="shared" si="291"/>
        <v>0</v>
      </c>
      <c r="O805" s="64">
        <f t="shared" si="292"/>
        <v>0</v>
      </c>
      <c r="Q805" s="64">
        <f t="shared" si="293"/>
        <v>0</v>
      </c>
      <c r="S805" s="71">
        <f t="shared" si="294"/>
        <v>0</v>
      </c>
      <c r="U805" s="64">
        <f t="shared" si="295"/>
        <v>0</v>
      </c>
      <c r="W805" s="71">
        <f t="shared" si="296"/>
        <v>0</v>
      </c>
      <c r="Y805" s="71">
        <f t="shared" si="297"/>
        <v>0</v>
      </c>
      <c r="AA805" s="71">
        <f t="shared" si="298"/>
        <v>0</v>
      </c>
      <c r="AC805" s="71">
        <f t="shared" si="299"/>
        <v>0</v>
      </c>
      <c r="AK805" s="71">
        <f t="shared" si="300"/>
        <v>0</v>
      </c>
      <c r="AM805" s="71">
        <f t="shared" si="301"/>
        <v>0</v>
      </c>
      <c r="AO805" s="71">
        <f t="shared" si="302"/>
        <v>0</v>
      </c>
      <c r="AQ805" s="71">
        <f t="shared" si="303"/>
        <v>0</v>
      </c>
      <c r="AT805" s="71">
        <f t="shared" si="304"/>
        <v>0</v>
      </c>
      <c r="AV805" s="71">
        <f t="shared" si="305"/>
        <v>0</v>
      </c>
      <c r="AX805" s="71">
        <f t="shared" si="306"/>
        <v>0</v>
      </c>
      <c r="AZ805" s="71">
        <f t="shared" si="307"/>
        <v>0</v>
      </c>
      <c r="BE805" s="102">
        <f t="shared" si="308"/>
        <v>4.4721359549995796</v>
      </c>
      <c r="BF805" s="81">
        <f t="shared" si="309"/>
        <v>9.3924867883288243E-14</v>
      </c>
      <c r="BG805" s="81" t="str">
        <f t="shared" si="310"/>
        <v>BASSO</v>
      </c>
      <c r="BK805" s="81" t="str">
        <f t="shared" si="311"/>
        <v>MOLTO BASSO</v>
      </c>
    </row>
    <row r="806" spans="7:63" x14ac:dyDescent="0.15">
      <c r="G806" s="64">
        <f t="shared" si="288"/>
        <v>0</v>
      </c>
      <c r="I806" s="64">
        <f t="shared" si="289"/>
        <v>0</v>
      </c>
      <c r="K806" s="64">
        <f t="shared" si="290"/>
        <v>0</v>
      </c>
      <c r="M806" s="64">
        <f t="shared" si="291"/>
        <v>0</v>
      </c>
      <c r="O806" s="64">
        <f t="shared" si="292"/>
        <v>0</v>
      </c>
      <c r="Q806" s="64">
        <f t="shared" si="293"/>
        <v>0</v>
      </c>
      <c r="S806" s="71">
        <f t="shared" si="294"/>
        <v>0</v>
      </c>
      <c r="U806" s="64">
        <f t="shared" si="295"/>
        <v>0</v>
      </c>
      <c r="W806" s="71">
        <f t="shared" si="296"/>
        <v>0</v>
      </c>
      <c r="Y806" s="71">
        <f t="shared" si="297"/>
        <v>0</v>
      </c>
      <c r="AA806" s="71">
        <f t="shared" si="298"/>
        <v>0</v>
      </c>
      <c r="AC806" s="71">
        <f t="shared" si="299"/>
        <v>0</v>
      </c>
      <c r="AK806" s="71">
        <f t="shared" si="300"/>
        <v>0</v>
      </c>
      <c r="AM806" s="71">
        <f t="shared" si="301"/>
        <v>0</v>
      </c>
      <c r="AO806" s="71">
        <f t="shared" si="302"/>
        <v>0</v>
      </c>
      <c r="AQ806" s="71">
        <f t="shared" si="303"/>
        <v>0</v>
      </c>
      <c r="AT806" s="71">
        <f t="shared" si="304"/>
        <v>0</v>
      </c>
      <c r="AV806" s="71">
        <f t="shared" si="305"/>
        <v>0</v>
      </c>
      <c r="AX806" s="71">
        <f t="shared" si="306"/>
        <v>0</v>
      </c>
      <c r="AZ806" s="71">
        <f t="shared" si="307"/>
        <v>0</v>
      </c>
      <c r="BE806" s="102">
        <f t="shared" si="308"/>
        <v>4.4721359549995796</v>
      </c>
      <c r="BF806" s="81">
        <f t="shared" si="309"/>
        <v>9.3924867883288243E-14</v>
      </c>
      <c r="BG806" s="81" t="str">
        <f t="shared" si="310"/>
        <v>BASSO</v>
      </c>
      <c r="BK806" s="81" t="str">
        <f t="shared" si="311"/>
        <v>MOLTO BASSO</v>
      </c>
    </row>
    <row r="807" spans="7:63" x14ac:dyDescent="0.15">
      <c r="G807" s="64">
        <f t="shared" si="288"/>
        <v>0</v>
      </c>
      <c r="I807" s="64">
        <f t="shared" si="289"/>
        <v>0</v>
      </c>
      <c r="K807" s="64">
        <f t="shared" si="290"/>
        <v>0</v>
      </c>
      <c r="M807" s="64">
        <f t="shared" si="291"/>
        <v>0</v>
      </c>
      <c r="O807" s="64">
        <f t="shared" si="292"/>
        <v>0</v>
      </c>
      <c r="Q807" s="64">
        <f t="shared" si="293"/>
        <v>0</v>
      </c>
      <c r="S807" s="71">
        <f t="shared" si="294"/>
        <v>0</v>
      </c>
      <c r="U807" s="64">
        <f t="shared" si="295"/>
        <v>0</v>
      </c>
      <c r="W807" s="71">
        <f t="shared" si="296"/>
        <v>0</v>
      </c>
      <c r="Y807" s="71">
        <f t="shared" si="297"/>
        <v>0</v>
      </c>
      <c r="AA807" s="71">
        <f t="shared" si="298"/>
        <v>0</v>
      </c>
      <c r="AC807" s="71">
        <f t="shared" si="299"/>
        <v>0</v>
      </c>
      <c r="AK807" s="71">
        <f t="shared" si="300"/>
        <v>0</v>
      </c>
      <c r="AM807" s="71">
        <f t="shared" si="301"/>
        <v>0</v>
      </c>
      <c r="AO807" s="71">
        <f t="shared" si="302"/>
        <v>0</v>
      </c>
      <c r="AQ807" s="71">
        <f t="shared" si="303"/>
        <v>0</v>
      </c>
      <c r="AT807" s="71">
        <f t="shared" si="304"/>
        <v>0</v>
      </c>
      <c r="AV807" s="71">
        <f t="shared" si="305"/>
        <v>0</v>
      </c>
      <c r="AX807" s="71">
        <f t="shared" si="306"/>
        <v>0</v>
      </c>
      <c r="AZ807" s="71">
        <f t="shared" si="307"/>
        <v>0</v>
      </c>
      <c r="BE807" s="102">
        <f t="shared" si="308"/>
        <v>4.4721359549995796</v>
      </c>
      <c r="BF807" s="81">
        <f t="shared" si="309"/>
        <v>9.3924867883288243E-14</v>
      </c>
      <c r="BG807" s="81" t="str">
        <f t="shared" si="310"/>
        <v>BASSO</v>
      </c>
      <c r="BK807" s="81" t="str">
        <f t="shared" si="311"/>
        <v>MOLTO BASSO</v>
      </c>
    </row>
    <row r="808" spans="7:63" x14ac:dyDescent="0.15">
      <c r="G808" s="64">
        <f t="shared" ref="G808:G871" si="312">F809/2</f>
        <v>0</v>
      </c>
      <c r="I808" s="64">
        <f t="shared" si="289"/>
        <v>0</v>
      </c>
      <c r="K808" s="64">
        <f t="shared" si="290"/>
        <v>0</v>
      </c>
      <c r="M808" s="64">
        <f t="shared" si="291"/>
        <v>0</v>
      </c>
      <c r="O808" s="64">
        <f t="shared" si="292"/>
        <v>0</v>
      </c>
      <c r="Q808" s="64">
        <f t="shared" si="293"/>
        <v>0</v>
      </c>
      <c r="S808" s="71">
        <f t="shared" si="294"/>
        <v>0</v>
      </c>
      <c r="U808" s="64">
        <f t="shared" si="295"/>
        <v>0</v>
      </c>
      <c r="W808" s="71">
        <f t="shared" si="296"/>
        <v>0</v>
      </c>
      <c r="Y808" s="71">
        <f t="shared" si="297"/>
        <v>0</v>
      </c>
      <c r="AA808" s="71">
        <f t="shared" si="298"/>
        <v>0</v>
      </c>
      <c r="AC808" s="71">
        <f t="shared" si="299"/>
        <v>0</v>
      </c>
      <c r="AK808" s="71">
        <f t="shared" si="300"/>
        <v>0</v>
      </c>
      <c r="AM808" s="71">
        <f t="shared" si="301"/>
        <v>0</v>
      </c>
      <c r="AO808" s="71">
        <f t="shared" si="302"/>
        <v>0</v>
      </c>
      <c r="AQ808" s="71">
        <f t="shared" si="303"/>
        <v>0</v>
      </c>
      <c r="AT808" s="71">
        <f t="shared" si="304"/>
        <v>0</v>
      </c>
      <c r="AV808" s="71">
        <f t="shared" si="305"/>
        <v>0</v>
      </c>
      <c r="AX808" s="71">
        <f t="shared" si="306"/>
        <v>0</v>
      </c>
      <c r="AZ808" s="71">
        <f t="shared" si="307"/>
        <v>0</v>
      </c>
      <c r="BE808" s="102">
        <f t="shared" si="308"/>
        <v>4.4721359549995796</v>
      </c>
      <c r="BF808" s="81">
        <f t="shared" si="309"/>
        <v>9.3924867883288243E-14</v>
      </c>
      <c r="BG808" s="81" t="str">
        <f t="shared" si="310"/>
        <v>BASSO</v>
      </c>
      <c r="BK808" s="81" t="str">
        <f t="shared" si="311"/>
        <v>MOLTO BASSO</v>
      </c>
    </row>
    <row r="809" spans="7:63" x14ac:dyDescent="0.15">
      <c r="G809" s="64">
        <f t="shared" si="312"/>
        <v>0</v>
      </c>
      <c r="I809" s="64">
        <f t="shared" si="289"/>
        <v>0</v>
      </c>
      <c r="K809" s="64">
        <f t="shared" si="290"/>
        <v>0</v>
      </c>
      <c r="M809" s="64">
        <f t="shared" si="291"/>
        <v>0</v>
      </c>
      <c r="O809" s="64">
        <f t="shared" si="292"/>
        <v>0</v>
      </c>
      <c r="Q809" s="64">
        <f t="shared" si="293"/>
        <v>0</v>
      </c>
      <c r="S809" s="71">
        <f t="shared" si="294"/>
        <v>0</v>
      </c>
      <c r="U809" s="64">
        <f t="shared" si="295"/>
        <v>0</v>
      </c>
      <c r="W809" s="71">
        <f t="shared" si="296"/>
        <v>0</v>
      </c>
      <c r="Y809" s="71">
        <f t="shared" si="297"/>
        <v>0</v>
      </c>
      <c r="AA809" s="71">
        <f t="shared" si="298"/>
        <v>0</v>
      </c>
      <c r="AC809" s="71">
        <f t="shared" si="299"/>
        <v>0</v>
      </c>
      <c r="AK809" s="71">
        <f t="shared" si="300"/>
        <v>0</v>
      </c>
      <c r="AM809" s="71">
        <f t="shared" si="301"/>
        <v>0</v>
      </c>
      <c r="AO809" s="71">
        <f t="shared" si="302"/>
        <v>0</v>
      </c>
      <c r="AQ809" s="71">
        <f t="shared" si="303"/>
        <v>0</v>
      </c>
      <c r="AT809" s="71">
        <f t="shared" si="304"/>
        <v>0</v>
      </c>
      <c r="AV809" s="71">
        <f t="shared" si="305"/>
        <v>0</v>
      </c>
      <c r="AX809" s="71">
        <f t="shared" si="306"/>
        <v>0</v>
      </c>
      <c r="AZ809" s="71">
        <f t="shared" si="307"/>
        <v>0</v>
      </c>
      <c r="BE809" s="102">
        <f t="shared" si="308"/>
        <v>4.4721359549995796</v>
      </c>
      <c r="BF809" s="81">
        <f t="shared" si="309"/>
        <v>9.3924867883288243E-14</v>
      </c>
      <c r="BG809" s="81" t="str">
        <f t="shared" si="310"/>
        <v>BASSO</v>
      </c>
      <c r="BK809" s="81" t="str">
        <f t="shared" si="311"/>
        <v>MOLTO BASSO</v>
      </c>
    </row>
    <row r="810" spans="7:63" x14ac:dyDescent="0.15">
      <c r="G810" s="64">
        <f t="shared" si="312"/>
        <v>0</v>
      </c>
      <c r="I810" s="64">
        <f t="shared" si="289"/>
        <v>0</v>
      </c>
      <c r="K810" s="64">
        <f t="shared" si="290"/>
        <v>0</v>
      </c>
      <c r="M810" s="64">
        <f t="shared" si="291"/>
        <v>0</v>
      </c>
      <c r="O810" s="64">
        <f t="shared" si="292"/>
        <v>0</v>
      </c>
      <c r="Q810" s="64">
        <f t="shared" si="293"/>
        <v>0</v>
      </c>
      <c r="S810" s="71">
        <f t="shared" si="294"/>
        <v>0</v>
      </c>
      <c r="U810" s="64">
        <f t="shared" si="295"/>
        <v>0</v>
      </c>
      <c r="W810" s="71">
        <f t="shared" si="296"/>
        <v>0</v>
      </c>
      <c r="Y810" s="71">
        <f t="shared" si="297"/>
        <v>0</v>
      </c>
      <c r="AA810" s="71">
        <f t="shared" si="298"/>
        <v>0</v>
      </c>
      <c r="AC810" s="71">
        <f t="shared" si="299"/>
        <v>0</v>
      </c>
      <c r="AK810" s="71">
        <f t="shared" si="300"/>
        <v>0</v>
      </c>
      <c r="AM810" s="71">
        <f t="shared" si="301"/>
        <v>0</v>
      </c>
      <c r="AO810" s="71">
        <f t="shared" si="302"/>
        <v>0</v>
      </c>
      <c r="AQ810" s="71">
        <f t="shared" si="303"/>
        <v>0</v>
      </c>
      <c r="AT810" s="71">
        <f t="shared" si="304"/>
        <v>0</v>
      </c>
      <c r="AV810" s="71">
        <f t="shared" si="305"/>
        <v>0</v>
      </c>
      <c r="AX810" s="71">
        <f t="shared" si="306"/>
        <v>0</v>
      </c>
      <c r="AZ810" s="71">
        <f t="shared" si="307"/>
        <v>0</v>
      </c>
      <c r="BE810" s="102">
        <f t="shared" si="308"/>
        <v>4.4721359549995796</v>
      </c>
      <c r="BF810" s="81">
        <f t="shared" si="309"/>
        <v>9.3924867883288243E-14</v>
      </c>
      <c r="BG810" s="81" t="str">
        <f t="shared" si="310"/>
        <v>BASSO</v>
      </c>
      <c r="BK810" s="81" t="str">
        <f t="shared" si="311"/>
        <v>MOLTO BASSO</v>
      </c>
    </row>
    <row r="811" spans="7:63" x14ac:dyDescent="0.15">
      <c r="G811" s="64">
        <f t="shared" si="312"/>
        <v>0</v>
      </c>
      <c r="I811" s="64">
        <f t="shared" si="289"/>
        <v>0</v>
      </c>
      <c r="K811" s="64">
        <f t="shared" si="290"/>
        <v>0</v>
      </c>
      <c r="M811" s="64">
        <f t="shared" si="291"/>
        <v>0</v>
      </c>
      <c r="O811" s="64">
        <f t="shared" si="292"/>
        <v>0</v>
      </c>
      <c r="Q811" s="64">
        <f t="shared" si="293"/>
        <v>0</v>
      </c>
      <c r="S811" s="71">
        <f t="shared" si="294"/>
        <v>0</v>
      </c>
      <c r="U811" s="64">
        <f t="shared" si="295"/>
        <v>0</v>
      </c>
      <c r="W811" s="71">
        <f t="shared" si="296"/>
        <v>0</v>
      </c>
      <c r="Y811" s="71">
        <f t="shared" si="297"/>
        <v>0</v>
      </c>
      <c r="AA811" s="71">
        <f t="shared" si="298"/>
        <v>0</v>
      </c>
      <c r="AC811" s="71">
        <f t="shared" si="299"/>
        <v>0</v>
      </c>
      <c r="AK811" s="71">
        <f t="shared" si="300"/>
        <v>0</v>
      </c>
      <c r="AM811" s="71">
        <f t="shared" si="301"/>
        <v>0</v>
      </c>
      <c r="AO811" s="71">
        <f t="shared" si="302"/>
        <v>0</v>
      </c>
      <c r="AQ811" s="71">
        <f t="shared" si="303"/>
        <v>0</v>
      </c>
      <c r="AT811" s="71">
        <f t="shared" si="304"/>
        <v>0</v>
      </c>
      <c r="AV811" s="71">
        <f t="shared" si="305"/>
        <v>0</v>
      </c>
      <c r="AX811" s="71">
        <f t="shared" si="306"/>
        <v>0</v>
      </c>
      <c r="AZ811" s="71">
        <f t="shared" si="307"/>
        <v>0</v>
      </c>
      <c r="BE811" s="102">
        <f t="shared" si="308"/>
        <v>4.4721359549995796</v>
      </c>
      <c r="BF811" s="81">
        <f t="shared" si="309"/>
        <v>9.3924867883288243E-14</v>
      </c>
      <c r="BG811" s="81" t="str">
        <f t="shared" si="310"/>
        <v>BASSO</v>
      </c>
      <c r="BK811" s="81" t="str">
        <f t="shared" si="311"/>
        <v>MOLTO BASSO</v>
      </c>
    </row>
    <row r="812" spans="7:63" x14ac:dyDescent="0.15">
      <c r="G812" s="64">
        <f t="shared" si="312"/>
        <v>0</v>
      </c>
      <c r="I812" s="64">
        <f t="shared" si="289"/>
        <v>0</v>
      </c>
      <c r="K812" s="64">
        <f t="shared" si="290"/>
        <v>0</v>
      </c>
      <c r="M812" s="64">
        <f t="shared" si="291"/>
        <v>0</v>
      </c>
      <c r="O812" s="64">
        <f t="shared" si="292"/>
        <v>0</v>
      </c>
      <c r="Q812" s="64">
        <f t="shared" si="293"/>
        <v>0</v>
      </c>
      <c r="S812" s="71">
        <f t="shared" si="294"/>
        <v>0</v>
      </c>
      <c r="U812" s="64">
        <f t="shared" si="295"/>
        <v>0</v>
      </c>
      <c r="W812" s="71">
        <f t="shared" si="296"/>
        <v>0</v>
      </c>
      <c r="Y812" s="71">
        <f t="shared" si="297"/>
        <v>0</v>
      </c>
      <c r="AA812" s="71">
        <f t="shared" si="298"/>
        <v>0</v>
      </c>
      <c r="AC812" s="71">
        <f t="shared" si="299"/>
        <v>0</v>
      </c>
      <c r="AK812" s="71">
        <f t="shared" si="300"/>
        <v>0</v>
      </c>
      <c r="AM812" s="71">
        <f t="shared" si="301"/>
        <v>0</v>
      </c>
      <c r="AO812" s="71">
        <f t="shared" si="302"/>
        <v>0</v>
      </c>
      <c r="AQ812" s="71">
        <f t="shared" si="303"/>
        <v>0</v>
      </c>
      <c r="AT812" s="71">
        <f t="shared" si="304"/>
        <v>0</v>
      </c>
      <c r="AV812" s="71">
        <f t="shared" si="305"/>
        <v>0</v>
      </c>
      <c r="AX812" s="71">
        <f t="shared" si="306"/>
        <v>0</v>
      </c>
      <c r="AZ812" s="71">
        <f t="shared" si="307"/>
        <v>0</v>
      </c>
      <c r="BE812" s="102">
        <f t="shared" si="308"/>
        <v>4.4721359549995796</v>
      </c>
      <c r="BF812" s="81">
        <f t="shared" si="309"/>
        <v>9.3924867883288243E-14</v>
      </c>
      <c r="BG812" s="81" t="str">
        <f t="shared" si="310"/>
        <v>BASSO</v>
      </c>
      <c r="BK812" s="81" t="str">
        <f t="shared" si="311"/>
        <v>MOLTO BASSO</v>
      </c>
    </row>
    <row r="813" spans="7:63" x14ac:dyDescent="0.15">
      <c r="G813" s="64">
        <f t="shared" si="312"/>
        <v>0</v>
      </c>
      <c r="I813" s="64">
        <f t="shared" si="289"/>
        <v>0</v>
      </c>
      <c r="K813" s="64">
        <f t="shared" si="290"/>
        <v>0</v>
      </c>
      <c r="M813" s="64">
        <f t="shared" si="291"/>
        <v>0</v>
      </c>
      <c r="O813" s="64">
        <f t="shared" si="292"/>
        <v>0</v>
      </c>
      <c r="Q813" s="64">
        <f t="shared" si="293"/>
        <v>0</v>
      </c>
      <c r="S813" s="71">
        <f t="shared" si="294"/>
        <v>0</v>
      </c>
      <c r="U813" s="64">
        <f t="shared" si="295"/>
        <v>0</v>
      </c>
      <c r="W813" s="71">
        <f t="shared" si="296"/>
        <v>0</v>
      </c>
      <c r="Y813" s="71">
        <f t="shared" si="297"/>
        <v>0</v>
      </c>
      <c r="AA813" s="71">
        <f t="shared" si="298"/>
        <v>0</v>
      </c>
      <c r="AC813" s="71">
        <f t="shared" si="299"/>
        <v>0</v>
      </c>
      <c r="AK813" s="71">
        <f t="shared" si="300"/>
        <v>0</v>
      </c>
      <c r="AM813" s="71">
        <f t="shared" si="301"/>
        <v>0</v>
      </c>
      <c r="AO813" s="71">
        <f t="shared" si="302"/>
        <v>0</v>
      </c>
      <c r="AQ813" s="71">
        <f t="shared" si="303"/>
        <v>0</v>
      </c>
      <c r="AT813" s="71">
        <f t="shared" si="304"/>
        <v>0</v>
      </c>
      <c r="AV813" s="71">
        <f t="shared" si="305"/>
        <v>0</v>
      </c>
      <c r="AX813" s="71">
        <f t="shared" si="306"/>
        <v>0</v>
      </c>
      <c r="AZ813" s="71">
        <f t="shared" si="307"/>
        <v>0</v>
      </c>
      <c r="BE813" s="102">
        <f t="shared" si="308"/>
        <v>4.4721359549995796</v>
      </c>
      <c r="BF813" s="81">
        <f t="shared" si="309"/>
        <v>9.3924867883288243E-14</v>
      </c>
      <c r="BG813" s="81" t="str">
        <f t="shared" si="310"/>
        <v>BASSO</v>
      </c>
      <c r="BK813" s="81" t="str">
        <f t="shared" si="311"/>
        <v>MOLTO BASSO</v>
      </c>
    </row>
    <row r="814" spans="7:63" x14ac:dyDescent="0.15">
      <c r="G814" s="64">
        <f t="shared" si="312"/>
        <v>0</v>
      </c>
      <c r="I814" s="64">
        <f t="shared" si="289"/>
        <v>0</v>
      </c>
      <c r="K814" s="64">
        <f t="shared" si="290"/>
        <v>0</v>
      </c>
      <c r="M814" s="64">
        <f t="shared" si="291"/>
        <v>0</v>
      </c>
      <c r="O814" s="64">
        <f t="shared" si="292"/>
        <v>0</v>
      </c>
      <c r="Q814" s="64">
        <f t="shared" si="293"/>
        <v>0</v>
      </c>
      <c r="S814" s="71">
        <f t="shared" si="294"/>
        <v>0</v>
      </c>
      <c r="U814" s="64">
        <f t="shared" si="295"/>
        <v>0</v>
      </c>
      <c r="W814" s="71">
        <f t="shared" si="296"/>
        <v>0</v>
      </c>
      <c r="Y814" s="71">
        <f t="shared" si="297"/>
        <v>0</v>
      </c>
      <c r="AA814" s="71">
        <f t="shared" si="298"/>
        <v>0</v>
      </c>
      <c r="AC814" s="71">
        <f t="shared" si="299"/>
        <v>0</v>
      </c>
      <c r="AK814" s="71">
        <f t="shared" si="300"/>
        <v>0</v>
      </c>
      <c r="AM814" s="71">
        <f t="shared" si="301"/>
        <v>0</v>
      </c>
      <c r="AO814" s="71">
        <f t="shared" si="302"/>
        <v>0</v>
      </c>
      <c r="AQ814" s="71">
        <f t="shared" si="303"/>
        <v>0</v>
      </c>
      <c r="AT814" s="71">
        <f t="shared" si="304"/>
        <v>0</v>
      </c>
      <c r="AV814" s="71">
        <f t="shared" si="305"/>
        <v>0</v>
      </c>
      <c r="AX814" s="71">
        <f t="shared" si="306"/>
        <v>0</v>
      </c>
      <c r="AZ814" s="71">
        <f t="shared" si="307"/>
        <v>0</v>
      </c>
      <c r="BE814" s="102">
        <f t="shared" si="308"/>
        <v>4.4721359549995796</v>
      </c>
      <c r="BF814" s="81">
        <f t="shared" si="309"/>
        <v>9.3924867883288243E-14</v>
      </c>
      <c r="BG814" s="81" t="str">
        <f t="shared" si="310"/>
        <v>BASSO</v>
      </c>
      <c r="BK814" s="81" t="str">
        <f t="shared" si="311"/>
        <v>MOLTO BASSO</v>
      </c>
    </row>
    <row r="815" spans="7:63" x14ac:dyDescent="0.15">
      <c r="G815" s="64">
        <f t="shared" si="312"/>
        <v>0</v>
      </c>
      <c r="I815" s="64">
        <f t="shared" si="289"/>
        <v>0</v>
      </c>
      <c r="K815" s="64">
        <f t="shared" si="290"/>
        <v>0</v>
      </c>
      <c r="M815" s="64">
        <f t="shared" si="291"/>
        <v>0</v>
      </c>
      <c r="O815" s="64">
        <f t="shared" si="292"/>
        <v>0</v>
      </c>
      <c r="Q815" s="64">
        <f t="shared" si="293"/>
        <v>0</v>
      </c>
      <c r="S815" s="71">
        <f t="shared" si="294"/>
        <v>0</v>
      </c>
      <c r="U815" s="64">
        <f t="shared" si="295"/>
        <v>0</v>
      </c>
      <c r="W815" s="71">
        <f t="shared" si="296"/>
        <v>0</v>
      </c>
      <c r="Y815" s="71">
        <f t="shared" si="297"/>
        <v>0</v>
      </c>
      <c r="AA815" s="71">
        <f t="shared" si="298"/>
        <v>0</v>
      </c>
      <c r="AC815" s="71">
        <f t="shared" si="299"/>
        <v>0</v>
      </c>
      <c r="AK815" s="71">
        <f t="shared" si="300"/>
        <v>0</v>
      </c>
      <c r="AM815" s="71">
        <f t="shared" si="301"/>
        <v>0</v>
      </c>
      <c r="AO815" s="71">
        <f t="shared" si="302"/>
        <v>0</v>
      </c>
      <c r="AQ815" s="71">
        <f t="shared" si="303"/>
        <v>0</v>
      </c>
      <c r="AT815" s="71">
        <f t="shared" si="304"/>
        <v>0</v>
      </c>
      <c r="AV815" s="71">
        <f t="shared" si="305"/>
        <v>0</v>
      </c>
      <c r="AX815" s="71">
        <f t="shared" si="306"/>
        <v>0</v>
      </c>
      <c r="AZ815" s="71">
        <f t="shared" si="307"/>
        <v>0</v>
      </c>
      <c r="BE815" s="102">
        <f t="shared" si="308"/>
        <v>4.4721359549995796</v>
      </c>
      <c r="BF815" s="81">
        <f t="shared" si="309"/>
        <v>9.3924867883288243E-14</v>
      </c>
      <c r="BG815" s="81" t="str">
        <f t="shared" si="310"/>
        <v>BASSO</v>
      </c>
      <c r="BK815" s="81" t="str">
        <f t="shared" si="311"/>
        <v>MOLTO BASSO</v>
      </c>
    </row>
    <row r="816" spans="7:63" x14ac:dyDescent="0.15">
      <c r="G816" s="64">
        <f t="shared" si="312"/>
        <v>0</v>
      </c>
      <c r="I816" s="64">
        <f t="shared" si="289"/>
        <v>0</v>
      </c>
      <c r="K816" s="64">
        <f t="shared" si="290"/>
        <v>0</v>
      </c>
      <c r="M816" s="64">
        <f t="shared" si="291"/>
        <v>0</v>
      </c>
      <c r="O816" s="64">
        <f t="shared" si="292"/>
        <v>0</v>
      </c>
      <c r="Q816" s="64">
        <f t="shared" si="293"/>
        <v>0</v>
      </c>
      <c r="S816" s="71">
        <f t="shared" si="294"/>
        <v>0</v>
      </c>
      <c r="U816" s="64">
        <f t="shared" si="295"/>
        <v>0</v>
      </c>
      <c r="W816" s="71">
        <f t="shared" si="296"/>
        <v>0</v>
      </c>
      <c r="Y816" s="71">
        <f t="shared" si="297"/>
        <v>0</v>
      </c>
      <c r="AA816" s="71">
        <f t="shared" si="298"/>
        <v>0</v>
      </c>
      <c r="AC816" s="71">
        <f t="shared" si="299"/>
        <v>0</v>
      </c>
      <c r="AK816" s="71">
        <f t="shared" si="300"/>
        <v>0</v>
      </c>
      <c r="AM816" s="71">
        <f t="shared" si="301"/>
        <v>0</v>
      </c>
      <c r="AO816" s="71">
        <f t="shared" si="302"/>
        <v>0</v>
      </c>
      <c r="AQ816" s="71">
        <f t="shared" si="303"/>
        <v>0</v>
      </c>
      <c r="AT816" s="71">
        <f t="shared" si="304"/>
        <v>0</v>
      </c>
      <c r="AV816" s="71">
        <f t="shared" si="305"/>
        <v>0</v>
      </c>
      <c r="AX816" s="71">
        <f t="shared" si="306"/>
        <v>0</v>
      </c>
      <c r="AZ816" s="71">
        <f t="shared" si="307"/>
        <v>0</v>
      </c>
      <c r="BE816" s="102">
        <f t="shared" si="308"/>
        <v>4.4721359549995796</v>
      </c>
      <c r="BF816" s="81">
        <f t="shared" si="309"/>
        <v>9.3924867883288243E-14</v>
      </c>
      <c r="BG816" s="81" t="str">
        <f t="shared" si="310"/>
        <v>BASSO</v>
      </c>
      <c r="BK816" s="81" t="str">
        <f t="shared" si="311"/>
        <v>MOLTO BASSO</v>
      </c>
    </row>
    <row r="817" spans="7:63" x14ac:dyDescent="0.15">
      <c r="G817" s="64">
        <f t="shared" si="312"/>
        <v>0</v>
      </c>
      <c r="I817" s="64">
        <f t="shared" si="289"/>
        <v>0</v>
      </c>
      <c r="K817" s="64">
        <f t="shared" si="290"/>
        <v>0</v>
      </c>
      <c r="M817" s="64">
        <f t="shared" si="291"/>
        <v>0</v>
      </c>
      <c r="O817" s="64">
        <f t="shared" si="292"/>
        <v>0</v>
      </c>
      <c r="Q817" s="64">
        <f t="shared" si="293"/>
        <v>0</v>
      </c>
      <c r="S817" s="71">
        <f t="shared" si="294"/>
        <v>0</v>
      </c>
      <c r="U817" s="64">
        <f t="shared" si="295"/>
        <v>0</v>
      </c>
      <c r="W817" s="71">
        <f t="shared" si="296"/>
        <v>0</v>
      </c>
      <c r="Y817" s="71">
        <f t="shared" si="297"/>
        <v>0</v>
      </c>
      <c r="AA817" s="71">
        <f t="shared" si="298"/>
        <v>0</v>
      </c>
      <c r="AC817" s="71">
        <f t="shared" si="299"/>
        <v>0</v>
      </c>
      <c r="AK817" s="71">
        <f t="shared" si="300"/>
        <v>0</v>
      </c>
      <c r="AM817" s="71">
        <f t="shared" si="301"/>
        <v>0</v>
      </c>
      <c r="AO817" s="71">
        <f t="shared" si="302"/>
        <v>0</v>
      </c>
      <c r="AQ817" s="71">
        <f t="shared" si="303"/>
        <v>0</v>
      </c>
      <c r="AT817" s="71">
        <f t="shared" si="304"/>
        <v>0</v>
      </c>
      <c r="AV817" s="71">
        <f t="shared" si="305"/>
        <v>0</v>
      </c>
      <c r="AX817" s="71">
        <f t="shared" si="306"/>
        <v>0</v>
      </c>
      <c r="AZ817" s="71">
        <f t="shared" si="307"/>
        <v>0</v>
      </c>
      <c r="BE817" s="102">
        <f t="shared" si="308"/>
        <v>4.4721359549995796</v>
      </c>
      <c r="BF817" s="81">
        <f t="shared" si="309"/>
        <v>9.3924867883288243E-14</v>
      </c>
      <c r="BG817" s="81" t="str">
        <f t="shared" si="310"/>
        <v>BASSO</v>
      </c>
      <c r="BK817" s="81" t="str">
        <f t="shared" si="311"/>
        <v>MOLTO BASSO</v>
      </c>
    </row>
    <row r="818" spans="7:63" x14ac:dyDescent="0.15">
      <c r="G818" s="64">
        <f t="shared" si="312"/>
        <v>0</v>
      </c>
      <c r="I818" s="64">
        <f t="shared" si="289"/>
        <v>0</v>
      </c>
      <c r="K818" s="64">
        <f t="shared" si="290"/>
        <v>0</v>
      </c>
      <c r="M818" s="64">
        <f t="shared" si="291"/>
        <v>0</v>
      </c>
      <c r="O818" s="64">
        <f t="shared" si="292"/>
        <v>0</v>
      </c>
      <c r="Q818" s="64">
        <f t="shared" si="293"/>
        <v>0</v>
      </c>
      <c r="S818" s="71">
        <f t="shared" si="294"/>
        <v>0</v>
      </c>
      <c r="U818" s="64">
        <f t="shared" si="295"/>
        <v>0</v>
      </c>
      <c r="W818" s="71">
        <f t="shared" si="296"/>
        <v>0</v>
      </c>
      <c r="Y818" s="71">
        <f t="shared" si="297"/>
        <v>0</v>
      </c>
      <c r="AA818" s="71">
        <f t="shared" si="298"/>
        <v>0</v>
      </c>
      <c r="AC818" s="71">
        <f t="shared" si="299"/>
        <v>0</v>
      </c>
      <c r="AK818" s="71">
        <f t="shared" si="300"/>
        <v>0</v>
      </c>
      <c r="AM818" s="71">
        <f t="shared" si="301"/>
        <v>0</v>
      </c>
      <c r="AO818" s="71">
        <f t="shared" si="302"/>
        <v>0</v>
      </c>
      <c r="AQ818" s="71">
        <f t="shared" si="303"/>
        <v>0</v>
      </c>
      <c r="AT818" s="71">
        <f t="shared" si="304"/>
        <v>0</v>
      </c>
      <c r="AV818" s="71">
        <f t="shared" si="305"/>
        <v>0</v>
      </c>
      <c r="AX818" s="71">
        <f t="shared" si="306"/>
        <v>0</v>
      </c>
      <c r="AZ818" s="71">
        <f t="shared" si="307"/>
        <v>0</v>
      </c>
      <c r="BE818" s="102">
        <f t="shared" si="308"/>
        <v>4.4721359549995796</v>
      </c>
      <c r="BF818" s="81">
        <f t="shared" si="309"/>
        <v>9.3924867883288243E-14</v>
      </c>
      <c r="BG818" s="81" t="str">
        <f t="shared" si="310"/>
        <v>BASSO</v>
      </c>
      <c r="BK818" s="81" t="str">
        <f t="shared" si="311"/>
        <v>MOLTO BASSO</v>
      </c>
    </row>
    <row r="819" spans="7:63" x14ac:dyDescent="0.15">
      <c r="G819" s="64">
        <f t="shared" si="312"/>
        <v>0</v>
      </c>
      <c r="I819" s="64">
        <f t="shared" si="289"/>
        <v>0</v>
      </c>
      <c r="K819" s="64">
        <f t="shared" si="290"/>
        <v>0</v>
      </c>
      <c r="M819" s="64">
        <f t="shared" si="291"/>
        <v>0</v>
      </c>
      <c r="O819" s="64">
        <f t="shared" si="292"/>
        <v>0</v>
      </c>
      <c r="Q819" s="64">
        <f t="shared" si="293"/>
        <v>0</v>
      </c>
      <c r="S819" s="71">
        <f t="shared" si="294"/>
        <v>0</v>
      </c>
      <c r="U819" s="64">
        <f t="shared" si="295"/>
        <v>0</v>
      </c>
      <c r="W819" s="71">
        <f t="shared" si="296"/>
        <v>0</v>
      </c>
      <c r="Y819" s="71">
        <f t="shared" si="297"/>
        <v>0</v>
      </c>
      <c r="AA819" s="71">
        <f t="shared" si="298"/>
        <v>0</v>
      </c>
      <c r="AC819" s="71">
        <f t="shared" si="299"/>
        <v>0</v>
      </c>
      <c r="AK819" s="71">
        <f t="shared" si="300"/>
        <v>0</v>
      </c>
      <c r="AM819" s="71">
        <f t="shared" si="301"/>
        <v>0</v>
      </c>
      <c r="AO819" s="71">
        <f t="shared" si="302"/>
        <v>0</v>
      </c>
      <c r="AQ819" s="71">
        <f t="shared" si="303"/>
        <v>0</v>
      </c>
      <c r="AT819" s="71">
        <f t="shared" si="304"/>
        <v>0</v>
      </c>
      <c r="AV819" s="71">
        <f t="shared" si="305"/>
        <v>0</v>
      </c>
      <c r="AX819" s="71">
        <f t="shared" si="306"/>
        <v>0</v>
      </c>
      <c r="AZ819" s="71">
        <f t="shared" si="307"/>
        <v>0</v>
      </c>
      <c r="BE819" s="102">
        <f t="shared" si="308"/>
        <v>4.4721359549995796</v>
      </c>
      <c r="BF819" s="81">
        <f t="shared" si="309"/>
        <v>9.3924867883288243E-14</v>
      </c>
      <c r="BG819" s="81" t="str">
        <f t="shared" si="310"/>
        <v>BASSO</v>
      </c>
      <c r="BK819" s="81" t="str">
        <f t="shared" si="311"/>
        <v>MOLTO BASSO</v>
      </c>
    </row>
    <row r="820" spans="7:63" x14ac:dyDescent="0.15">
      <c r="G820" s="64">
        <f t="shared" si="312"/>
        <v>0</v>
      </c>
      <c r="I820" s="64">
        <f t="shared" si="289"/>
        <v>0</v>
      </c>
      <c r="K820" s="64">
        <f t="shared" si="290"/>
        <v>0</v>
      </c>
      <c r="M820" s="64">
        <f t="shared" si="291"/>
        <v>0</v>
      </c>
      <c r="O820" s="64">
        <f t="shared" si="292"/>
        <v>0</v>
      </c>
      <c r="Q820" s="64">
        <f t="shared" si="293"/>
        <v>0</v>
      </c>
      <c r="S820" s="71">
        <f t="shared" si="294"/>
        <v>0</v>
      </c>
      <c r="U820" s="64">
        <f t="shared" si="295"/>
        <v>0</v>
      </c>
      <c r="W820" s="71">
        <f t="shared" si="296"/>
        <v>0</v>
      </c>
      <c r="Y820" s="71">
        <f t="shared" si="297"/>
        <v>0</v>
      </c>
      <c r="AA820" s="71">
        <f t="shared" si="298"/>
        <v>0</v>
      </c>
      <c r="AC820" s="71">
        <f t="shared" si="299"/>
        <v>0</v>
      </c>
      <c r="AK820" s="71">
        <f t="shared" si="300"/>
        <v>0</v>
      </c>
      <c r="AM820" s="71">
        <f t="shared" si="301"/>
        <v>0</v>
      </c>
      <c r="AO820" s="71">
        <f t="shared" si="302"/>
        <v>0</v>
      </c>
      <c r="AQ820" s="71">
        <f t="shared" si="303"/>
        <v>0</v>
      </c>
      <c r="AT820" s="71">
        <f t="shared" si="304"/>
        <v>0</v>
      </c>
      <c r="AV820" s="71">
        <f t="shared" si="305"/>
        <v>0</v>
      </c>
      <c r="AX820" s="71">
        <f t="shared" si="306"/>
        <v>0</v>
      </c>
      <c r="AZ820" s="71">
        <f t="shared" si="307"/>
        <v>0</v>
      </c>
      <c r="BE820" s="102">
        <f t="shared" si="308"/>
        <v>4.4721359549995796</v>
      </c>
      <c r="BF820" s="81">
        <f t="shared" si="309"/>
        <v>9.3924867883288243E-14</v>
      </c>
      <c r="BG820" s="81" t="str">
        <f t="shared" si="310"/>
        <v>BASSO</v>
      </c>
      <c r="BK820" s="81" t="str">
        <f t="shared" si="311"/>
        <v>MOLTO BASSO</v>
      </c>
    </row>
    <row r="821" spans="7:63" x14ac:dyDescent="0.15">
      <c r="G821" s="64">
        <f t="shared" si="312"/>
        <v>0</v>
      </c>
      <c r="I821" s="64">
        <f t="shared" si="289"/>
        <v>0</v>
      </c>
      <c r="K821" s="64">
        <f t="shared" si="290"/>
        <v>0</v>
      </c>
      <c r="M821" s="64">
        <f t="shared" si="291"/>
        <v>0</v>
      </c>
      <c r="O821" s="64">
        <f t="shared" si="292"/>
        <v>0</v>
      </c>
      <c r="Q821" s="64">
        <f t="shared" si="293"/>
        <v>0</v>
      </c>
      <c r="S821" s="71">
        <f t="shared" si="294"/>
        <v>0</v>
      </c>
      <c r="U821" s="64">
        <f t="shared" si="295"/>
        <v>0</v>
      </c>
      <c r="W821" s="71">
        <f t="shared" si="296"/>
        <v>0</v>
      </c>
      <c r="Y821" s="71">
        <f t="shared" si="297"/>
        <v>0</v>
      </c>
      <c r="AA821" s="71">
        <f t="shared" si="298"/>
        <v>0</v>
      </c>
      <c r="AC821" s="71">
        <f t="shared" si="299"/>
        <v>0</v>
      </c>
      <c r="AK821" s="71">
        <f t="shared" si="300"/>
        <v>0</v>
      </c>
      <c r="AM821" s="71">
        <f t="shared" si="301"/>
        <v>0</v>
      </c>
      <c r="AO821" s="71">
        <f t="shared" si="302"/>
        <v>0</v>
      </c>
      <c r="AQ821" s="71">
        <f t="shared" si="303"/>
        <v>0</v>
      </c>
      <c r="AT821" s="71">
        <f t="shared" si="304"/>
        <v>0</v>
      </c>
      <c r="AV821" s="71">
        <f t="shared" si="305"/>
        <v>0</v>
      </c>
      <c r="AX821" s="71">
        <f t="shared" si="306"/>
        <v>0</v>
      </c>
      <c r="AZ821" s="71">
        <f t="shared" si="307"/>
        <v>0</v>
      </c>
      <c r="BE821" s="102">
        <f t="shared" si="308"/>
        <v>4.4721359549995796</v>
      </c>
      <c r="BF821" s="81">
        <f t="shared" si="309"/>
        <v>9.3924867883288243E-14</v>
      </c>
      <c r="BG821" s="81" t="str">
        <f t="shared" si="310"/>
        <v>BASSO</v>
      </c>
      <c r="BK821" s="81" t="str">
        <f t="shared" si="311"/>
        <v>MOLTO BASSO</v>
      </c>
    </row>
    <row r="822" spans="7:63" x14ac:dyDescent="0.15">
      <c r="G822" s="64">
        <f t="shared" si="312"/>
        <v>0</v>
      </c>
      <c r="I822" s="64">
        <f t="shared" si="289"/>
        <v>0</v>
      </c>
      <c r="K822" s="64">
        <f t="shared" si="290"/>
        <v>0</v>
      </c>
      <c r="M822" s="64">
        <f t="shared" si="291"/>
        <v>0</v>
      </c>
      <c r="O822" s="64">
        <f t="shared" si="292"/>
        <v>0</v>
      </c>
      <c r="Q822" s="64">
        <f t="shared" si="293"/>
        <v>0</v>
      </c>
      <c r="S822" s="71">
        <f t="shared" si="294"/>
        <v>0</v>
      </c>
      <c r="U822" s="64">
        <f t="shared" si="295"/>
        <v>0</v>
      </c>
      <c r="W822" s="71">
        <f t="shared" si="296"/>
        <v>0</v>
      </c>
      <c r="Y822" s="71">
        <f t="shared" si="297"/>
        <v>0</v>
      </c>
      <c r="AA822" s="71">
        <f t="shared" si="298"/>
        <v>0</v>
      </c>
      <c r="AC822" s="71">
        <f t="shared" si="299"/>
        <v>0</v>
      </c>
      <c r="AK822" s="71">
        <f t="shared" si="300"/>
        <v>0</v>
      </c>
      <c r="AM822" s="71">
        <f t="shared" si="301"/>
        <v>0</v>
      </c>
      <c r="AO822" s="71">
        <f t="shared" si="302"/>
        <v>0</v>
      </c>
      <c r="AQ822" s="71">
        <f t="shared" si="303"/>
        <v>0</v>
      </c>
      <c r="AT822" s="71">
        <f t="shared" si="304"/>
        <v>0</v>
      </c>
      <c r="AV822" s="71">
        <f t="shared" si="305"/>
        <v>0</v>
      </c>
      <c r="AX822" s="71">
        <f t="shared" si="306"/>
        <v>0</v>
      </c>
      <c r="AZ822" s="71">
        <f t="shared" si="307"/>
        <v>0</v>
      </c>
      <c r="BE822" s="102">
        <f t="shared" si="308"/>
        <v>4.4721359549995796</v>
      </c>
      <c r="BF822" s="81">
        <f t="shared" si="309"/>
        <v>9.3924867883288243E-14</v>
      </c>
      <c r="BG822" s="81" t="str">
        <f t="shared" si="310"/>
        <v>BASSO</v>
      </c>
      <c r="BK822" s="81" t="str">
        <f t="shared" si="311"/>
        <v>MOLTO BASSO</v>
      </c>
    </row>
    <row r="823" spans="7:63" x14ac:dyDescent="0.15">
      <c r="G823" s="64">
        <f t="shared" si="312"/>
        <v>0</v>
      </c>
      <c r="I823" s="64">
        <f t="shared" si="289"/>
        <v>0</v>
      </c>
      <c r="K823" s="64">
        <f t="shared" si="290"/>
        <v>0</v>
      </c>
      <c r="M823" s="64">
        <f t="shared" si="291"/>
        <v>0</v>
      </c>
      <c r="O823" s="64">
        <f t="shared" si="292"/>
        <v>0</v>
      </c>
      <c r="Q823" s="64">
        <f t="shared" si="293"/>
        <v>0</v>
      </c>
      <c r="S823" s="71">
        <f t="shared" si="294"/>
        <v>0</v>
      </c>
      <c r="U823" s="64">
        <f t="shared" si="295"/>
        <v>0</v>
      </c>
      <c r="W823" s="71">
        <f t="shared" si="296"/>
        <v>0</v>
      </c>
      <c r="Y823" s="71">
        <f t="shared" si="297"/>
        <v>0</v>
      </c>
      <c r="AA823" s="71">
        <f t="shared" si="298"/>
        <v>0</v>
      </c>
      <c r="AC823" s="71">
        <f t="shared" si="299"/>
        <v>0</v>
      </c>
      <c r="AK823" s="71">
        <f t="shared" si="300"/>
        <v>0</v>
      </c>
      <c r="AM823" s="71">
        <f t="shared" si="301"/>
        <v>0</v>
      </c>
      <c r="AO823" s="71">
        <f t="shared" si="302"/>
        <v>0</v>
      </c>
      <c r="AQ823" s="71">
        <f t="shared" si="303"/>
        <v>0</v>
      </c>
      <c r="AT823" s="71">
        <f t="shared" si="304"/>
        <v>0</v>
      </c>
      <c r="AV823" s="71">
        <f t="shared" si="305"/>
        <v>0</v>
      </c>
      <c r="AX823" s="71">
        <f t="shared" si="306"/>
        <v>0</v>
      </c>
      <c r="AZ823" s="71">
        <f t="shared" si="307"/>
        <v>0</v>
      </c>
      <c r="BE823" s="102">
        <f t="shared" si="308"/>
        <v>4.4721359549995796</v>
      </c>
      <c r="BF823" s="81">
        <f t="shared" si="309"/>
        <v>9.3924867883288243E-14</v>
      </c>
      <c r="BG823" s="81" t="str">
        <f t="shared" si="310"/>
        <v>BASSO</v>
      </c>
      <c r="BK823" s="81" t="str">
        <f t="shared" si="311"/>
        <v>MOLTO BASSO</v>
      </c>
    </row>
    <row r="824" spans="7:63" x14ac:dyDescent="0.15">
      <c r="G824" s="64">
        <f t="shared" si="312"/>
        <v>0</v>
      </c>
      <c r="I824" s="64">
        <f t="shared" si="289"/>
        <v>0</v>
      </c>
      <c r="K824" s="64">
        <f t="shared" si="290"/>
        <v>0</v>
      </c>
      <c r="M824" s="64">
        <f t="shared" si="291"/>
        <v>0</v>
      </c>
      <c r="O824" s="64">
        <f t="shared" si="292"/>
        <v>0</v>
      </c>
      <c r="Q824" s="64">
        <f t="shared" si="293"/>
        <v>0</v>
      </c>
      <c r="S824" s="71">
        <f t="shared" si="294"/>
        <v>0</v>
      </c>
      <c r="U824" s="64">
        <f t="shared" si="295"/>
        <v>0</v>
      </c>
      <c r="W824" s="71">
        <f t="shared" si="296"/>
        <v>0</v>
      </c>
      <c r="Y824" s="71">
        <f t="shared" si="297"/>
        <v>0</v>
      </c>
      <c r="AA824" s="71">
        <f t="shared" si="298"/>
        <v>0</v>
      </c>
      <c r="AC824" s="71">
        <f t="shared" si="299"/>
        <v>0</v>
      </c>
      <c r="AK824" s="71">
        <f t="shared" si="300"/>
        <v>0</v>
      </c>
      <c r="AM824" s="71">
        <f t="shared" si="301"/>
        <v>0</v>
      </c>
      <c r="AO824" s="71">
        <f t="shared" si="302"/>
        <v>0</v>
      </c>
      <c r="AQ824" s="71">
        <f t="shared" si="303"/>
        <v>0</v>
      </c>
      <c r="AT824" s="71">
        <f t="shared" si="304"/>
        <v>0</v>
      </c>
      <c r="AV824" s="71">
        <f t="shared" si="305"/>
        <v>0</v>
      </c>
      <c r="AX824" s="71">
        <f t="shared" si="306"/>
        <v>0</v>
      </c>
      <c r="AZ824" s="71">
        <f t="shared" si="307"/>
        <v>0</v>
      </c>
      <c r="BE824" s="102">
        <f t="shared" si="308"/>
        <v>4.4721359549995796</v>
      </c>
      <c r="BF824" s="81">
        <f t="shared" si="309"/>
        <v>9.3924867883288243E-14</v>
      </c>
      <c r="BG824" s="81" t="str">
        <f t="shared" si="310"/>
        <v>BASSO</v>
      </c>
      <c r="BK824" s="81" t="str">
        <f t="shared" si="311"/>
        <v>MOLTO BASSO</v>
      </c>
    </row>
    <row r="825" spans="7:63" x14ac:dyDescent="0.15">
      <c r="G825" s="64">
        <f t="shared" si="312"/>
        <v>0</v>
      </c>
      <c r="I825" s="64">
        <f t="shared" si="289"/>
        <v>0</v>
      </c>
      <c r="K825" s="64">
        <f t="shared" si="290"/>
        <v>0</v>
      </c>
      <c r="M825" s="64">
        <f t="shared" si="291"/>
        <v>0</v>
      </c>
      <c r="O825" s="64">
        <f t="shared" si="292"/>
        <v>0</v>
      </c>
      <c r="Q825" s="64">
        <f t="shared" si="293"/>
        <v>0</v>
      </c>
      <c r="S825" s="71">
        <f t="shared" si="294"/>
        <v>0</v>
      </c>
      <c r="U825" s="64">
        <f t="shared" si="295"/>
        <v>0</v>
      </c>
      <c r="W825" s="71">
        <f t="shared" si="296"/>
        <v>0</v>
      </c>
      <c r="Y825" s="71">
        <f t="shared" si="297"/>
        <v>0</v>
      </c>
      <c r="AA825" s="71">
        <f t="shared" si="298"/>
        <v>0</v>
      </c>
      <c r="AC825" s="71">
        <f t="shared" si="299"/>
        <v>0</v>
      </c>
      <c r="AK825" s="71">
        <f t="shared" si="300"/>
        <v>0</v>
      </c>
      <c r="AM825" s="71">
        <f t="shared" si="301"/>
        <v>0</v>
      </c>
      <c r="AO825" s="71">
        <f t="shared" si="302"/>
        <v>0</v>
      </c>
      <c r="AQ825" s="71">
        <f t="shared" si="303"/>
        <v>0</v>
      </c>
      <c r="AT825" s="71">
        <f t="shared" si="304"/>
        <v>0</v>
      </c>
      <c r="AV825" s="71">
        <f t="shared" si="305"/>
        <v>0</v>
      </c>
      <c r="AX825" s="71">
        <f t="shared" si="306"/>
        <v>0</v>
      </c>
      <c r="AZ825" s="71">
        <f t="shared" si="307"/>
        <v>0</v>
      </c>
      <c r="BE825" s="102">
        <f t="shared" si="308"/>
        <v>4.4721359549995796</v>
      </c>
      <c r="BF825" s="81">
        <f t="shared" si="309"/>
        <v>9.3924867883288243E-14</v>
      </c>
      <c r="BG825" s="81" t="str">
        <f t="shared" si="310"/>
        <v>BASSO</v>
      </c>
      <c r="BK825" s="81" t="str">
        <f t="shared" si="311"/>
        <v>MOLTO BASSO</v>
      </c>
    </row>
    <row r="826" spans="7:63" x14ac:dyDescent="0.15">
      <c r="G826" s="64">
        <f t="shared" si="312"/>
        <v>0</v>
      </c>
      <c r="I826" s="64">
        <f t="shared" si="289"/>
        <v>0</v>
      </c>
      <c r="K826" s="64">
        <f t="shared" si="290"/>
        <v>0</v>
      </c>
      <c r="M826" s="64">
        <f t="shared" si="291"/>
        <v>0</v>
      </c>
      <c r="O826" s="64">
        <f t="shared" si="292"/>
        <v>0</v>
      </c>
      <c r="Q826" s="64">
        <f t="shared" si="293"/>
        <v>0</v>
      </c>
      <c r="S826" s="71">
        <f t="shared" si="294"/>
        <v>0</v>
      </c>
      <c r="U826" s="64">
        <f t="shared" si="295"/>
        <v>0</v>
      </c>
      <c r="W826" s="71">
        <f t="shared" si="296"/>
        <v>0</v>
      </c>
      <c r="Y826" s="71">
        <f t="shared" si="297"/>
        <v>0</v>
      </c>
      <c r="AA826" s="71">
        <f t="shared" si="298"/>
        <v>0</v>
      </c>
      <c r="AC826" s="71">
        <f t="shared" si="299"/>
        <v>0</v>
      </c>
      <c r="AK826" s="71">
        <f t="shared" si="300"/>
        <v>0</v>
      </c>
      <c r="AM826" s="71">
        <f t="shared" si="301"/>
        <v>0</v>
      </c>
      <c r="AO826" s="71">
        <f t="shared" si="302"/>
        <v>0</v>
      </c>
      <c r="AQ826" s="71">
        <f t="shared" si="303"/>
        <v>0</v>
      </c>
      <c r="AT826" s="71">
        <f t="shared" si="304"/>
        <v>0</v>
      </c>
      <c r="AV826" s="71">
        <f t="shared" si="305"/>
        <v>0</v>
      </c>
      <c r="AX826" s="71">
        <f t="shared" si="306"/>
        <v>0</v>
      </c>
      <c r="AZ826" s="71">
        <f t="shared" si="307"/>
        <v>0</v>
      </c>
      <c r="BE826" s="102">
        <f t="shared" si="308"/>
        <v>4.4721359549995796</v>
      </c>
      <c r="BF826" s="81">
        <f t="shared" si="309"/>
        <v>9.3924867883288243E-14</v>
      </c>
      <c r="BG826" s="81" t="str">
        <f t="shared" si="310"/>
        <v>BASSO</v>
      </c>
      <c r="BK826" s="81" t="str">
        <f t="shared" si="311"/>
        <v>MOLTO BASSO</v>
      </c>
    </row>
    <row r="827" spans="7:63" x14ac:dyDescent="0.15">
      <c r="G827" s="64">
        <f t="shared" si="312"/>
        <v>0</v>
      </c>
      <c r="I827" s="64">
        <f t="shared" si="289"/>
        <v>0</v>
      </c>
      <c r="K827" s="64">
        <f t="shared" si="290"/>
        <v>0</v>
      </c>
      <c r="M827" s="64">
        <f t="shared" si="291"/>
        <v>0</v>
      </c>
      <c r="O827" s="64">
        <f t="shared" si="292"/>
        <v>0</v>
      </c>
      <c r="Q827" s="64">
        <f t="shared" si="293"/>
        <v>0</v>
      </c>
      <c r="S827" s="71">
        <f t="shared" si="294"/>
        <v>0</v>
      </c>
      <c r="U827" s="64">
        <f t="shared" si="295"/>
        <v>0</v>
      </c>
      <c r="W827" s="71">
        <f t="shared" si="296"/>
        <v>0</v>
      </c>
      <c r="Y827" s="71">
        <f t="shared" si="297"/>
        <v>0</v>
      </c>
      <c r="AA827" s="71">
        <f t="shared" si="298"/>
        <v>0</v>
      </c>
      <c r="AC827" s="71">
        <f t="shared" si="299"/>
        <v>0</v>
      </c>
      <c r="AK827" s="71">
        <f t="shared" si="300"/>
        <v>0</v>
      </c>
      <c r="AM827" s="71">
        <f t="shared" si="301"/>
        <v>0</v>
      </c>
      <c r="AO827" s="71">
        <f t="shared" si="302"/>
        <v>0</v>
      </c>
      <c r="AQ827" s="71">
        <f t="shared" si="303"/>
        <v>0</v>
      </c>
      <c r="AT827" s="71">
        <f t="shared" si="304"/>
        <v>0</v>
      </c>
      <c r="AV827" s="71">
        <f t="shared" si="305"/>
        <v>0</v>
      </c>
      <c r="AX827" s="71">
        <f t="shared" si="306"/>
        <v>0</v>
      </c>
      <c r="AZ827" s="71">
        <f t="shared" si="307"/>
        <v>0</v>
      </c>
      <c r="BE827" s="102">
        <f t="shared" si="308"/>
        <v>4.4721359549995796</v>
      </c>
      <c r="BF827" s="81">
        <f t="shared" si="309"/>
        <v>9.3924867883288243E-14</v>
      </c>
      <c r="BG827" s="81" t="str">
        <f t="shared" si="310"/>
        <v>BASSO</v>
      </c>
      <c r="BK827" s="81" t="str">
        <f t="shared" si="311"/>
        <v>MOLTO BASSO</v>
      </c>
    </row>
    <row r="828" spans="7:63" x14ac:dyDescent="0.15">
      <c r="G828" s="64">
        <f t="shared" si="312"/>
        <v>0</v>
      </c>
      <c r="I828" s="64">
        <f t="shared" si="289"/>
        <v>0</v>
      </c>
      <c r="K828" s="64">
        <f t="shared" si="290"/>
        <v>0</v>
      </c>
      <c r="M828" s="64">
        <f t="shared" si="291"/>
        <v>0</v>
      </c>
      <c r="O828" s="64">
        <f t="shared" si="292"/>
        <v>0</v>
      </c>
      <c r="Q828" s="64">
        <f t="shared" si="293"/>
        <v>0</v>
      </c>
      <c r="S828" s="71">
        <f t="shared" si="294"/>
        <v>0</v>
      </c>
      <c r="U828" s="64">
        <f t="shared" si="295"/>
        <v>0</v>
      </c>
      <c r="W828" s="71">
        <f t="shared" si="296"/>
        <v>0</v>
      </c>
      <c r="Y828" s="71">
        <f t="shared" si="297"/>
        <v>0</v>
      </c>
      <c r="AA828" s="71">
        <f t="shared" si="298"/>
        <v>0</v>
      </c>
      <c r="AC828" s="71">
        <f t="shared" si="299"/>
        <v>0</v>
      </c>
      <c r="AK828" s="71">
        <f t="shared" si="300"/>
        <v>0</v>
      </c>
      <c r="AM828" s="71">
        <f t="shared" si="301"/>
        <v>0</v>
      </c>
      <c r="AO828" s="71">
        <f t="shared" si="302"/>
        <v>0</v>
      </c>
      <c r="AQ828" s="71">
        <f t="shared" si="303"/>
        <v>0</v>
      </c>
      <c r="AT828" s="71">
        <f t="shared" si="304"/>
        <v>0</v>
      </c>
      <c r="AV828" s="71">
        <f t="shared" si="305"/>
        <v>0</v>
      </c>
      <c r="AX828" s="71">
        <f t="shared" si="306"/>
        <v>0</v>
      </c>
      <c r="AZ828" s="71">
        <f t="shared" si="307"/>
        <v>0</v>
      </c>
      <c r="BE828" s="102">
        <f t="shared" si="308"/>
        <v>4.4721359549995796</v>
      </c>
      <c r="BF828" s="81">
        <f t="shared" si="309"/>
        <v>9.3924867883288243E-14</v>
      </c>
      <c r="BG828" s="81" t="str">
        <f t="shared" si="310"/>
        <v>BASSO</v>
      </c>
      <c r="BK828" s="81" t="str">
        <f t="shared" si="311"/>
        <v>MOLTO BASSO</v>
      </c>
    </row>
    <row r="829" spans="7:63" x14ac:dyDescent="0.15">
      <c r="G829" s="64">
        <f t="shared" si="312"/>
        <v>0</v>
      </c>
      <c r="I829" s="64">
        <f t="shared" si="289"/>
        <v>0</v>
      </c>
      <c r="K829" s="64">
        <f t="shared" si="290"/>
        <v>0</v>
      </c>
      <c r="M829" s="64">
        <f t="shared" si="291"/>
        <v>0</v>
      </c>
      <c r="O829" s="64">
        <f t="shared" si="292"/>
        <v>0</v>
      </c>
      <c r="Q829" s="64">
        <f t="shared" si="293"/>
        <v>0</v>
      </c>
      <c r="S829" s="71">
        <f t="shared" si="294"/>
        <v>0</v>
      </c>
      <c r="U829" s="64">
        <f t="shared" si="295"/>
        <v>0</v>
      </c>
      <c r="W829" s="71">
        <f t="shared" si="296"/>
        <v>0</v>
      </c>
      <c r="Y829" s="71">
        <f t="shared" si="297"/>
        <v>0</v>
      </c>
      <c r="AA829" s="71">
        <f t="shared" si="298"/>
        <v>0</v>
      </c>
      <c r="AC829" s="71">
        <f t="shared" si="299"/>
        <v>0</v>
      </c>
      <c r="AK829" s="71">
        <f t="shared" si="300"/>
        <v>0</v>
      </c>
      <c r="AM829" s="71">
        <f t="shared" si="301"/>
        <v>0</v>
      </c>
      <c r="AO829" s="71">
        <f t="shared" si="302"/>
        <v>0</v>
      </c>
      <c r="AQ829" s="71">
        <f t="shared" si="303"/>
        <v>0</v>
      </c>
      <c r="AT829" s="71">
        <f t="shared" si="304"/>
        <v>0</v>
      </c>
      <c r="AV829" s="71">
        <f t="shared" si="305"/>
        <v>0</v>
      </c>
      <c r="AX829" s="71">
        <f t="shared" si="306"/>
        <v>0</v>
      </c>
      <c r="AZ829" s="71">
        <f t="shared" si="307"/>
        <v>0</v>
      </c>
      <c r="BE829" s="102">
        <f t="shared" si="308"/>
        <v>4.4721359549995796</v>
      </c>
      <c r="BF829" s="81">
        <f t="shared" si="309"/>
        <v>9.3924867883288243E-14</v>
      </c>
      <c r="BG829" s="81" t="str">
        <f t="shared" si="310"/>
        <v>BASSO</v>
      </c>
      <c r="BK829" s="81" t="str">
        <f t="shared" si="311"/>
        <v>MOLTO BASSO</v>
      </c>
    </row>
    <row r="830" spans="7:63" x14ac:dyDescent="0.15">
      <c r="G830" s="64">
        <f t="shared" si="312"/>
        <v>0</v>
      </c>
      <c r="I830" s="64">
        <f t="shared" si="289"/>
        <v>0</v>
      </c>
      <c r="K830" s="64">
        <f t="shared" si="290"/>
        <v>0</v>
      </c>
      <c r="M830" s="64">
        <f t="shared" si="291"/>
        <v>0</v>
      </c>
      <c r="O830" s="64">
        <f t="shared" si="292"/>
        <v>0</v>
      </c>
      <c r="Q830" s="64">
        <f t="shared" si="293"/>
        <v>0</v>
      </c>
      <c r="S830" s="71">
        <f t="shared" si="294"/>
        <v>0</v>
      </c>
      <c r="U830" s="64">
        <f t="shared" si="295"/>
        <v>0</v>
      </c>
      <c r="W830" s="71">
        <f t="shared" si="296"/>
        <v>0</v>
      </c>
      <c r="Y830" s="71">
        <f t="shared" si="297"/>
        <v>0</v>
      </c>
      <c r="AA830" s="71">
        <f t="shared" si="298"/>
        <v>0</v>
      </c>
      <c r="AC830" s="71">
        <f t="shared" si="299"/>
        <v>0</v>
      </c>
      <c r="AK830" s="71">
        <f t="shared" si="300"/>
        <v>0</v>
      </c>
      <c r="AM830" s="71">
        <f t="shared" si="301"/>
        <v>0</v>
      </c>
      <c r="AO830" s="71">
        <f t="shared" si="302"/>
        <v>0</v>
      </c>
      <c r="AQ830" s="71">
        <f t="shared" si="303"/>
        <v>0</v>
      </c>
      <c r="AT830" s="71">
        <f t="shared" si="304"/>
        <v>0</v>
      </c>
      <c r="AV830" s="71">
        <f t="shared" si="305"/>
        <v>0</v>
      </c>
      <c r="AX830" s="71">
        <f t="shared" si="306"/>
        <v>0</v>
      </c>
      <c r="AZ830" s="71">
        <f t="shared" si="307"/>
        <v>0</v>
      </c>
      <c r="BE830" s="102">
        <f t="shared" si="308"/>
        <v>4.4721359549995796</v>
      </c>
      <c r="BF830" s="81">
        <f t="shared" si="309"/>
        <v>9.3924867883288243E-14</v>
      </c>
      <c r="BG830" s="81" t="str">
        <f t="shared" si="310"/>
        <v>BASSO</v>
      </c>
      <c r="BK830" s="81" t="str">
        <f t="shared" si="311"/>
        <v>MOLTO BASSO</v>
      </c>
    </row>
    <row r="831" spans="7:63" x14ac:dyDescent="0.15">
      <c r="G831" s="64">
        <f t="shared" si="312"/>
        <v>0</v>
      </c>
      <c r="I831" s="64">
        <f t="shared" si="289"/>
        <v>0</v>
      </c>
      <c r="K831" s="64">
        <f t="shared" si="290"/>
        <v>0</v>
      </c>
      <c r="M831" s="64">
        <f t="shared" si="291"/>
        <v>0</v>
      </c>
      <c r="O831" s="64">
        <f t="shared" si="292"/>
        <v>0</v>
      </c>
      <c r="Q831" s="64">
        <f t="shared" si="293"/>
        <v>0</v>
      </c>
      <c r="S831" s="71">
        <f t="shared" si="294"/>
        <v>0</v>
      </c>
      <c r="U831" s="64">
        <f t="shared" si="295"/>
        <v>0</v>
      </c>
      <c r="W831" s="71">
        <f t="shared" si="296"/>
        <v>0</v>
      </c>
      <c r="Y831" s="71">
        <f t="shared" si="297"/>
        <v>0</v>
      </c>
      <c r="AA831" s="71">
        <f t="shared" si="298"/>
        <v>0</v>
      </c>
      <c r="AC831" s="71">
        <f t="shared" si="299"/>
        <v>0</v>
      </c>
      <c r="AK831" s="71">
        <f t="shared" si="300"/>
        <v>0</v>
      </c>
      <c r="AM831" s="71">
        <f t="shared" si="301"/>
        <v>0</v>
      </c>
      <c r="AO831" s="71">
        <f t="shared" si="302"/>
        <v>0</v>
      </c>
      <c r="AQ831" s="71">
        <f t="shared" si="303"/>
        <v>0</v>
      </c>
      <c r="AT831" s="71">
        <f t="shared" si="304"/>
        <v>0</v>
      </c>
      <c r="AV831" s="71">
        <f t="shared" si="305"/>
        <v>0</v>
      </c>
      <c r="AX831" s="71">
        <f t="shared" si="306"/>
        <v>0</v>
      </c>
      <c r="AZ831" s="71">
        <f t="shared" si="307"/>
        <v>0</v>
      </c>
      <c r="BE831" s="102">
        <f t="shared" si="308"/>
        <v>4.4721359549995796</v>
      </c>
      <c r="BF831" s="81">
        <f t="shared" si="309"/>
        <v>9.3924867883288243E-14</v>
      </c>
      <c r="BG831" s="81" t="str">
        <f t="shared" si="310"/>
        <v>BASSO</v>
      </c>
      <c r="BK831" s="81" t="str">
        <f t="shared" si="311"/>
        <v>MOLTO BASSO</v>
      </c>
    </row>
    <row r="832" spans="7:63" x14ac:dyDescent="0.15">
      <c r="G832" s="64">
        <f t="shared" si="312"/>
        <v>0</v>
      </c>
      <c r="I832" s="64">
        <f t="shared" si="289"/>
        <v>0</v>
      </c>
      <c r="K832" s="64">
        <f t="shared" si="290"/>
        <v>0</v>
      </c>
      <c r="M832" s="64">
        <f t="shared" si="291"/>
        <v>0</v>
      </c>
      <c r="O832" s="64">
        <f t="shared" si="292"/>
        <v>0</v>
      </c>
      <c r="Q832" s="64">
        <f t="shared" si="293"/>
        <v>0</v>
      </c>
      <c r="S832" s="71">
        <f t="shared" si="294"/>
        <v>0</v>
      </c>
      <c r="U832" s="64">
        <f t="shared" si="295"/>
        <v>0</v>
      </c>
      <c r="W832" s="71">
        <f t="shared" si="296"/>
        <v>0</v>
      </c>
      <c r="Y832" s="71">
        <f t="shared" si="297"/>
        <v>0</v>
      </c>
      <c r="AA832" s="71">
        <f t="shared" si="298"/>
        <v>0</v>
      </c>
      <c r="AC832" s="71">
        <f t="shared" si="299"/>
        <v>0</v>
      </c>
      <c r="AK832" s="71">
        <f t="shared" si="300"/>
        <v>0</v>
      </c>
      <c r="AM832" s="71">
        <f t="shared" si="301"/>
        <v>0</v>
      </c>
      <c r="AO832" s="71">
        <f t="shared" si="302"/>
        <v>0</v>
      </c>
      <c r="AQ832" s="71">
        <f t="shared" si="303"/>
        <v>0</v>
      </c>
      <c r="AT832" s="71">
        <f t="shared" si="304"/>
        <v>0</v>
      </c>
      <c r="AV832" s="71">
        <f t="shared" si="305"/>
        <v>0</v>
      </c>
      <c r="AX832" s="71">
        <f t="shared" si="306"/>
        <v>0</v>
      </c>
      <c r="AZ832" s="71">
        <f t="shared" si="307"/>
        <v>0</v>
      </c>
      <c r="BE832" s="102">
        <f t="shared" si="308"/>
        <v>4.4721359549995796</v>
      </c>
      <c r="BF832" s="81">
        <f t="shared" si="309"/>
        <v>9.3924867883288243E-14</v>
      </c>
      <c r="BG832" s="81" t="str">
        <f t="shared" si="310"/>
        <v>BASSO</v>
      </c>
      <c r="BK832" s="81" t="str">
        <f t="shared" si="311"/>
        <v>MOLTO BASSO</v>
      </c>
    </row>
    <row r="833" spans="7:63" x14ac:dyDescent="0.15">
      <c r="G833" s="64">
        <f t="shared" si="312"/>
        <v>0</v>
      </c>
      <c r="I833" s="64">
        <f t="shared" si="289"/>
        <v>0</v>
      </c>
      <c r="K833" s="64">
        <f t="shared" si="290"/>
        <v>0</v>
      </c>
      <c r="M833" s="64">
        <f t="shared" si="291"/>
        <v>0</v>
      </c>
      <c r="O833" s="64">
        <f t="shared" si="292"/>
        <v>0</v>
      </c>
      <c r="Q833" s="64">
        <f t="shared" si="293"/>
        <v>0</v>
      </c>
      <c r="S833" s="71">
        <f t="shared" si="294"/>
        <v>0</v>
      </c>
      <c r="U833" s="64">
        <f t="shared" si="295"/>
        <v>0</v>
      </c>
      <c r="W833" s="71">
        <f t="shared" si="296"/>
        <v>0</v>
      </c>
      <c r="Y833" s="71">
        <f t="shared" si="297"/>
        <v>0</v>
      </c>
      <c r="AA833" s="71">
        <f t="shared" si="298"/>
        <v>0</v>
      </c>
      <c r="AC833" s="71">
        <f t="shared" si="299"/>
        <v>0</v>
      </c>
      <c r="AK833" s="71">
        <f t="shared" si="300"/>
        <v>0</v>
      </c>
      <c r="AM833" s="71">
        <f t="shared" si="301"/>
        <v>0</v>
      </c>
      <c r="AO833" s="71">
        <f t="shared" si="302"/>
        <v>0</v>
      </c>
      <c r="AQ833" s="71">
        <f t="shared" si="303"/>
        <v>0</v>
      </c>
      <c r="AT833" s="71">
        <f t="shared" si="304"/>
        <v>0</v>
      </c>
      <c r="AV833" s="71">
        <f t="shared" si="305"/>
        <v>0</v>
      </c>
      <c r="AX833" s="71">
        <f t="shared" si="306"/>
        <v>0</v>
      </c>
      <c r="AZ833" s="71">
        <f t="shared" si="307"/>
        <v>0</v>
      </c>
      <c r="BE833" s="102">
        <f t="shared" si="308"/>
        <v>4.4721359549995796</v>
      </c>
      <c r="BF833" s="81">
        <f t="shared" si="309"/>
        <v>9.3924867883288243E-14</v>
      </c>
      <c r="BG833" s="81" t="str">
        <f t="shared" si="310"/>
        <v>BASSO</v>
      </c>
      <c r="BK833" s="81" t="str">
        <f t="shared" si="311"/>
        <v>MOLTO BASSO</v>
      </c>
    </row>
    <row r="834" spans="7:63" x14ac:dyDescent="0.15">
      <c r="G834" s="64">
        <f t="shared" si="312"/>
        <v>0</v>
      </c>
      <c r="I834" s="64">
        <f t="shared" si="289"/>
        <v>0</v>
      </c>
      <c r="K834" s="64">
        <f t="shared" si="290"/>
        <v>0</v>
      </c>
      <c r="M834" s="64">
        <f t="shared" si="291"/>
        <v>0</v>
      </c>
      <c r="O834" s="64">
        <f t="shared" si="292"/>
        <v>0</v>
      </c>
      <c r="Q834" s="64">
        <f t="shared" si="293"/>
        <v>0</v>
      </c>
      <c r="S834" s="71">
        <f t="shared" si="294"/>
        <v>0</v>
      </c>
      <c r="U834" s="64">
        <f t="shared" si="295"/>
        <v>0</v>
      </c>
      <c r="W834" s="71">
        <f t="shared" si="296"/>
        <v>0</v>
      </c>
      <c r="Y834" s="71">
        <f t="shared" si="297"/>
        <v>0</v>
      </c>
      <c r="AA834" s="71">
        <f t="shared" si="298"/>
        <v>0</v>
      </c>
      <c r="AC834" s="71">
        <f t="shared" si="299"/>
        <v>0</v>
      </c>
      <c r="AK834" s="71">
        <f t="shared" si="300"/>
        <v>0</v>
      </c>
      <c r="AM834" s="71">
        <f t="shared" si="301"/>
        <v>0</v>
      </c>
      <c r="AO834" s="71">
        <f t="shared" si="302"/>
        <v>0</v>
      </c>
      <c r="AQ834" s="71">
        <f t="shared" si="303"/>
        <v>0</v>
      </c>
      <c r="AT834" s="71">
        <f t="shared" si="304"/>
        <v>0</v>
      </c>
      <c r="AV834" s="71">
        <f t="shared" si="305"/>
        <v>0</v>
      </c>
      <c r="AX834" s="71">
        <f t="shared" si="306"/>
        <v>0</v>
      </c>
      <c r="AZ834" s="71">
        <f t="shared" si="307"/>
        <v>0</v>
      </c>
      <c r="BE834" s="102">
        <f t="shared" si="308"/>
        <v>4.4721359549995796</v>
      </c>
      <c r="BF834" s="81">
        <f t="shared" si="309"/>
        <v>9.3924867883288243E-14</v>
      </c>
      <c r="BG834" s="81" t="str">
        <f t="shared" si="310"/>
        <v>BASSO</v>
      </c>
      <c r="BK834" s="81" t="str">
        <f t="shared" si="311"/>
        <v>MOLTO BASSO</v>
      </c>
    </row>
    <row r="835" spans="7:63" x14ac:dyDescent="0.15">
      <c r="G835" s="64">
        <f t="shared" si="312"/>
        <v>0</v>
      </c>
      <c r="I835" s="64">
        <f t="shared" ref="I835:I898" si="313">H835/2</f>
        <v>0</v>
      </c>
      <c r="K835" s="64">
        <f t="shared" ref="K835:K898" si="314">J835/2</f>
        <v>0</v>
      </c>
      <c r="M835" s="64">
        <f t="shared" ref="M835:M898" si="315">L835/3</f>
        <v>0</v>
      </c>
      <c r="O835" s="64">
        <f t="shared" ref="O835:O898" si="316">N835/5</f>
        <v>0</v>
      </c>
      <c r="Q835" s="64">
        <f t="shared" ref="Q835:Q898" si="317">P835/3</f>
        <v>0</v>
      </c>
      <c r="S835" s="71">
        <f t="shared" ref="S835:S898" si="318">R835/3</f>
        <v>0</v>
      </c>
      <c r="U835" s="64">
        <f t="shared" ref="U835:U898" si="319">T835/3</f>
        <v>0</v>
      </c>
      <c r="W835" s="71">
        <f t="shared" ref="W835:W898" si="320">V835/4</f>
        <v>0</v>
      </c>
      <c r="Y835" s="71">
        <f t="shared" ref="Y835:Y898" si="321">X835/3</f>
        <v>0</v>
      </c>
      <c r="AA835" s="71">
        <f t="shared" ref="AA835:AA898" si="322">Z835/3</f>
        <v>0</v>
      </c>
      <c r="AC835" s="71">
        <f t="shared" ref="AC835:AC898" si="323">AB835/2</f>
        <v>0</v>
      </c>
      <c r="AK835" s="71">
        <f t="shared" ref="AK835:AK898" si="324">AJ835/2</f>
        <v>0</v>
      </c>
      <c r="AM835" s="71">
        <f t="shared" ref="AM835:AM898" si="325">AL835/3</f>
        <v>0</v>
      </c>
      <c r="AO835" s="71">
        <f t="shared" ref="AO835:AO898" si="326">AN835/3</f>
        <v>0</v>
      </c>
      <c r="AQ835" s="71">
        <f t="shared" ref="AQ835:AQ898" si="327">AP835/3</f>
        <v>0</v>
      </c>
      <c r="AT835" s="71">
        <f t="shared" ref="AT835:AT898" si="328">AS835/3</f>
        <v>0</v>
      </c>
      <c r="AV835" s="71">
        <f t="shared" ref="AV835:AV898" si="329">AU835/3</f>
        <v>0</v>
      </c>
      <c r="AX835" s="71">
        <f t="shared" ref="AX835:AX898" si="330">AW835/2</f>
        <v>0</v>
      </c>
      <c r="AZ835" s="71">
        <f t="shared" ref="AZ835:AZ898" si="331">AY835/3</f>
        <v>0</v>
      </c>
      <c r="BE835" s="102">
        <f t="shared" ref="BE835:BE898" si="332">SQRT((1-G835)^2 + (1-I835)^2 + (1-K835)^2 + (1-M835)^2 + (1-O835)^2 + (1-Q835)^2 + (1-S835)^2 + (1-U835)^2 + (1-W835)^2 + (1-Y835)^2 + (1-AA835)^2 + (1-AC835)^2 + (1-AK835)^2 + (1-AM835)^2 + (1-AO835)^2 + (1-AQ835)^2 + (1-AT835)^2 + (1-AV835)^2 + (1-AX835)^2 + (1-AZ835)^2)</f>
        <v>4.4721359549995796</v>
      </c>
      <c r="BF835" s="81">
        <f t="shared" ref="BF835:BF898" si="333">1 - (BE835 / 4.472135955)</f>
        <v>9.3924867883288243E-14</v>
      </c>
      <c r="BG835" s="81" t="str">
        <f t="shared" ref="BG835:BG898" si="334">IF(BF835&lt;=0.33, "BASSO", IF(BF835&lt;=0.66, "MEDIO", "ALTO"))</f>
        <v>BASSO</v>
      </c>
      <c r="BK835" s="81" t="str">
        <f t="shared" ref="BK835:BK898" si="335">IF(BF835&lt;0.3,"MOLTO BASSO",IF(BF835&lt;0.45,"BASSO",IF(BF835&lt;0.65,"MEDIO",IF(BF835&lt;0.8,"ALTO","MOLTO ALTO"))))</f>
        <v>MOLTO BASSO</v>
      </c>
    </row>
    <row r="836" spans="7:63" x14ac:dyDescent="0.15">
      <c r="G836" s="64">
        <f t="shared" si="312"/>
        <v>0</v>
      </c>
      <c r="I836" s="64">
        <f t="shared" si="313"/>
        <v>0</v>
      </c>
      <c r="K836" s="64">
        <f t="shared" si="314"/>
        <v>0</v>
      </c>
      <c r="M836" s="64">
        <f t="shared" si="315"/>
        <v>0</v>
      </c>
      <c r="O836" s="64">
        <f t="shared" si="316"/>
        <v>0</v>
      </c>
      <c r="Q836" s="64">
        <f t="shared" si="317"/>
        <v>0</v>
      </c>
      <c r="S836" s="71">
        <f t="shared" si="318"/>
        <v>0</v>
      </c>
      <c r="U836" s="64">
        <f t="shared" si="319"/>
        <v>0</v>
      </c>
      <c r="W836" s="71">
        <f t="shared" si="320"/>
        <v>0</v>
      </c>
      <c r="Y836" s="71">
        <f t="shared" si="321"/>
        <v>0</v>
      </c>
      <c r="AA836" s="71">
        <f t="shared" si="322"/>
        <v>0</v>
      </c>
      <c r="AC836" s="71">
        <f t="shared" si="323"/>
        <v>0</v>
      </c>
      <c r="AK836" s="71">
        <f t="shared" si="324"/>
        <v>0</v>
      </c>
      <c r="AM836" s="71">
        <f t="shared" si="325"/>
        <v>0</v>
      </c>
      <c r="AO836" s="71">
        <f t="shared" si="326"/>
        <v>0</v>
      </c>
      <c r="AQ836" s="71">
        <f t="shared" si="327"/>
        <v>0</v>
      </c>
      <c r="AT836" s="71">
        <f t="shared" si="328"/>
        <v>0</v>
      </c>
      <c r="AV836" s="71">
        <f t="shared" si="329"/>
        <v>0</v>
      </c>
      <c r="AX836" s="71">
        <f t="shared" si="330"/>
        <v>0</v>
      </c>
      <c r="AZ836" s="71">
        <f t="shared" si="331"/>
        <v>0</v>
      </c>
      <c r="BE836" s="102">
        <f t="shared" si="332"/>
        <v>4.4721359549995796</v>
      </c>
      <c r="BF836" s="81">
        <f t="shared" si="333"/>
        <v>9.3924867883288243E-14</v>
      </c>
      <c r="BG836" s="81" t="str">
        <f t="shared" si="334"/>
        <v>BASSO</v>
      </c>
      <c r="BK836" s="81" t="str">
        <f t="shared" si="335"/>
        <v>MOLTO BASSO</v>
      </c>
    </row>
    <row r="837" spans="7:63" x14ac:dyDescent="0.15">
      <c r="G837" s="64">
        <f t="shared" si="312"/>
        <v>0</v>
      </c>
      <c r="I837" s="64">
        <f t="shared" si="313"/>
        <v>0</v>
      </c>
      <c r="K837" s="64">
        <f t="shared" si="314"/>
        <v>0</v>
      </c>
      <c r="M837" s="64">
        <f t="shared" si="315"/>
        <v>0</v>
      </c>
      <c r="O837" s="64">
        <f t="shared" si="316"/>
        <v>0</v>
      </c>
      <c r="Q837" s="64">
        <f t="shared" si="317"/>
        <v>0</v>
      </c>
      <c r="S837" s="71">
        <f t="shared" si="318"/>
        <v>0</v>
      </c>
      <c r="U837" s="64">
        <f t="shared" si="319"/>
        <v>0</v>
      </c>
      <c r="W837" s="71">
        <f t="shared" si="320"/>
        <v>0</v>
      </c>
      <c r="Y837" s="71">
        <f t="shared" si="321"/>
        <v>0</v>
      </c>
      <c r="AA837" s="71">
        <f t="shared" si="322"/>
        <v>0</v>
      </c>
      <c r="AC837" s="71">
        <f t="shared" si="323"/>
        <v>0</v>
      </c>
      <c r="AK837" s="71">
        <f t="shared" si="324"/>
        <v>0</v>
      </c>
      <c r="AM837" s="71">
        <f t="shared" si="325"/>
        <v>0</v>
      </c>
      <c r="AO837" s="71">
        <f t="shared" si="326"/>
        <v>0</v>
      </c>
      <c r="AQ837" s="71">
        <f t="shared" si="327"/>
        <v>0</v>
      </c>
      <c r="AT837" s="71">
        <f t="shared" si="328"/>
        <v>0</v>
      </c>
      <c r="AV837" s="71">
        <f t="shared" si="329"/>
        <v>0</v>
      </c>
      <c r="AX837" s="71">
        <f t="shared" si="330"/>
        <v>0</v>
      </c>
      <c r="AZ837" s="71">
        <f t="shared" si="331"/>
        <v>0</v>
      </c>
      <c r="BE837" s="102">
        <f t="shared" si="332"/>
        <v>4.4721359549995796</v>
      </c>
      <c r="BF837" s="81">
        <f t="shared" si="333"/>
        <v>9.3924867883288243E-14</v>
      </c>
      <c r="BG837" s="81" t="str">
        <f t="shared" si="334"/>
        <v>BASSO</v>
      </c>
      <c r="BK837" s="81" t="str">
        <f t="shared" si="335"/>
        <v>MOLTO BASSO</v>
      </c>
    </row>
    <row r="838" spans="7:63" x14ac:dyDescent="0.15">
      <c r="G838" s="64">
        <f t="shared" si="312"/>
        <v>0</v>
      </c>
      <c r="I838" s="64">
        <f t="shared" si="313"/>
        <v>0</v>
      </c>
      <c r="K838" s="64">
        <f t="shared" si="314"/>
        <v>0</v>
      </c>
      <c r="M838" s="64">
        <f t="shared" si="315"/>
        <v>0</v>
      </c>
      <c r="O838" s="64">
        <f t="shared" si="316"/>
        <v>0</v>
      </c>
      <c r="Q838" s="64">
        <f t="shared" si="317"/>
        <v>0</v>
      </c>
      <c r="S838" s="71">
        <f t="shared" si="318"/>
        <v>0</v>
      </c>
      <c r="U838" s="64">
        <f t="shared" si="319"/>
        <v>0</v>
      </c>
      <c r="W838" s="71">
        <f t="shared" si="320"/>
        <v>0</v>
      </c>
      <c r="Y838" s="71">
        <f t="shared" si="321"/>
        <v>0</v>
      </c>
      <c r="AA838" s="71">
        <f t="shared" si="322"/>
        <v>0</v>
      </c>
      <c r="AC838" s="71">
        <f t="shared" si="323"/>
        <v>0</v>
      </c>
      <c r="AK838" s="71">
        <f t="shared" si="324"/>
        <v>0</v>
      </c>
      <c r="AM838" s="71">
        <f t="shared" si="325"/>
        <v>0</v>
      </c>
      <c r="AO838" s="71">
        <f t="shared" si="326"/>
        <v>0</v>
      </c>
      <c r="AQ838" s="71">
        <f t="shared" si="327"/>
        <v>0</v>
      </c>
      <c r="AT838" s="71">
        <f t="shared" si="328"/>
        <v>0</v>
      </c>
      <c r="AV838" s="71">
        <f t="shared" si="329"/>
        <v>0</v>
      </c>
      <c r="AX838" s="71">
        <f t="shared" si="330"/>
        <v>0</v>
      </c>
      <c r="AZ838" s="71">
        <f t="shared" si="331"/>
        <v>0</v>
      </c>
      <c r="BE838" s="102">
        <f t="shared" si="332"/>
        <v>4.4721359549995796</v>
      </c>
      <c r="BF838" s="81">
        <f t="shared" si="333"/>
        <v>9.3924867883288243E-14</v>
      </c>
      <c r="BG838" s="81" t="str">
        <f t="shared" si="334"/>
        <v>BASSO</v>
      </c>
      <c r="BK838" s="81" t="str">
        <f t="shared" si="335"/>
        <v>MOLTO BASSO</v>
      </c>
    </row>
    <row r="839" spans="7:63" x14ac:dyDescent="0.15">
      <c r="G839" s="64">
        <f t="shared" si="312"/>
        <v>0</v>
      </c>
      <c r="I839" s="64">
        <f t="shared" si="313"/>
        <v>0</v>
      </c>
      <c r="K839" s="64">
        <f t="shared" si="314"/>
        <v>0</v>
      </c>
      <c r="M839" s="64">
        <f t="shared" si="315"/>
        <v>0</v>
      </c>
      <c r="O839" s="64">
        <f t="shared" si="316"/>
        <v>0</v>
      </c>
      <c r="Q839" s="64">
        <f t="shared" si="317"/>
        <v>0</v>
      </c>
      <c r="S839" s="71">
        <f t="shared" si="318"/>
        <v>0</v>
      </c>
      <c r="U839" s="64">
        <f t="shared" si="319"/>
        <v>0</v>
      </c>
      <c r="W839" s="71">
        <f t="shared" si="320"/>
        <v>0</v>
      </c>
      <c r="Y839" s="71">
        <f t="shared" si="321"/>
        <v>0</v>
      </c>
      <c r="AA839" s="71">
        <f t="shared" si="322"/>
        <v>0</v>
      </c>
      <c r="AC839" s="71">
        <f t="shared" si="323"/>
        <v>0</v>
      </c>
      <c r="AK839" s="71">
        <f t="shared" si="324"/>
        <v>0</v>
      </c>
      <c r="AM839" s="71">
        <f t="shared" si="325"/>
        <v>0</v>
      </c>
      <c r="AO839" s="71">
        <f t="shared" si="326"/>
        <v>0</v>
      </c>
      <c r="AQ839" s="71">
        <f t="shared" si="327"/>
        <v>0</v>
      </c>
      <c r="AT839" s="71">
        <f t="shared" si="328"/>
        <v>0</v>
      </c>
      <c r="AV839" s="71">
        <f t="shared" si="329"/>
        <v>0</v>
      </c>
      <c r="AX839" s="71">
        <f t="shared" si="330"/>
        <v>0</v>
      </c>
      <c r="AZ839" s="71">
        <f t="shared" si="331"/>
        <v>0</v>
      </c>
      <c r="BE839" s="102">
        <f t="shared" si="332"/>
        <v>4.4721359549995796</v>
      </c>
      <c r="BF839" s="81">
        <f t="shared" si="333"/>
        <v>9.3924867883288243E-14</v>
      </c>
      <c r="BG839" s="81" t="str">
        <f t="shared" si="334"/>
        <v>BASSO</v>
      </c>
      <c r="BK839" s="81" t="str">
        <f t="shared" si="335"/>
        <v>MOLTO BASSO</v>
      </c>
    </row>
    <row r="840" spans="7:63" x14ac:dyDescent="0.15">
      <c r="G840" s="64">
        <f t="shared" si="312"/>
        <v>0</v>
      </c>
      <c r="I840" s="64">
        <f t="shared" si="313"/>
        <v>0</v>
      </c>
      <c r="K840" s="64">
        <f t="shared" si="314"/>
        <v>0</v>
      </c>
      <c r="M840" s="64">
        <f t="shared" si="315"/>
        <v>0</v>
      </c>
      <c r="O840" s="64">
        <f t="shared" si="316"/>
        <v>0</v>
      </c>
      <c r="Q840" s="64">
        <f t="shared" si="317"/>
        <v>0</v>
      </c>
      <c r="S840" s="71">
        <f t="shared" si="318"/>
        <v>0</v>
      </c>
      <c r="U840" s="64">
        <f t="shared" si="319"/>
        <v>0</v>
      </c>
      <c r="W840" s="71">
        <f t="shared" si="320"/>
        <v>0</v>
      </c>
      <c r="Y840" s="71">
        <f t="shared" si="321"/>
        <v>0</v>
      </c>
      <c r="AA840" s="71">
        <f t="shared" si="322"/>
        <v>0</v>
      </c>
      <c r="AC840" s="71">
        <f t="shared" si="323"/>
        <v>0</v>
      </c>
      <c r="AK840" s="71">
        <f t="shared" si="324"/>
        <v>0</v>
      </c>
      <c r="AM840" s="71">
        <f t="shared" si="325"/>
        <v>0</v>
      </c>
      <c r="AO840" s="71">
        <f t="shared" si="326"/>
        <v>0</v>
      </c>
      <c r="AQ840" s="71">
        <f t="shared" si="327"/>
        <v>0</v>
      </c>
      <c r="AT840" s="71">
        <f t="shared" si="328"/>
        <v>0</v>
      </c>
      <c r="AV840" s="71">
        <f t="shared" si="329"/>
        <v>0</v>
      </c>
      <c r="AX840" s="71">
        <f t="shared" si="330"/>
        <v>0</v>
      </c>
      <c r="AZ840" s="71">
        <f t="shared" si="331"/>
        <v>0</v>
      </c>
      <c r="BE840" s="102">
        <f t="shared" si="332"/>
        <v>4.4721359549995796</v>
      </c>
      <c r="BF840" s="81">
        <f t="shared" si="333"/>
        <v>9.3924867883288243E-14</v>
      </c>
      <c r="BG840" s="81" t="str">
        <f t="shared" si="334"/>
        <v>BASSO</v>
      </c>
      <c r="BK840" s="81" t="str">
        <f t="shared" si="335"/>
        <v>MOLTO BASSO</v>
      </c>
    </row>
    <row r="841" spans="7:63" x14ac:dyDescent="0.15">
      <c r="G841" s="64">
        <f t="shared" si="312"/>
        <v>0</v>
      </c>
      <c r="I841" s="64">
        <f t="shared" si="313"/>
        <v>0</v>
      </c>
      <c r="K841" s="64">
        <f t="shared" si="314"/>
        <v>0</v>
      </c>
      <c r="M841" s="64">
        <f t="shared" si="315"/>
        <v>0</v>
      </c>
      <c r="O841" s="64">
        <f t="shared" si="316"/>
        <v>0</v>
      </c>
      <c r="Q841" s="64">
        <f t="shared" si="317"/>
        <v>0</v>
      </c>
      <c r="S841" s="71">
        <f t="shared" si="318"/>
        <v>0</v>
      </c>
      <c r="U841" s="64">
        <f t="shared" si="319"/>
        <v>0</v>
      </c>
      <c r="W841" s="71">
        <f t="shared" si="320"/>
        <v>0</v>
      </c>
      <c r="Y841" s="71">
        <f t="shared" si="321"/>
        <v>0</v>
      </c>
      <c r="AA841" s="71">
        <f t="shared" si="322"/>
        <v>0</v>
      </c>
      <c r="AC841" s="71">
        <f t="shared" si="323"/>
        <v>0</v>
      </c>
      <c r="AK841" s="71">
        <f t="shared" si="324"/>
        <v>0</v>
      </c>
      <c r="AM841" s="71">
        <f t="shared" si="325"/>
        <v>0</v>
      </c>
      <c r="AO841" s="71">
        <f t="shared" si="326"/>
        <v>0</v>
      </c>
      <c r="AQ841" s="71">
        <f t="shared" si="327"/>
        <v>0</v>
      </c>
      <c r="AT841" s="71">
        <f t="shared" si="328"/>
        <v>0</v>
      </c>
      <c r="AV841" s="71">
        <f t="shared" si="329"/>
        <v>0</v>
      </c>
      <c r="AX841" s="71">
        <f t="shared" si="330"/>
        <v>0</v>
      </c>
      <c r="AZ841" s="71">
        <f t="shared" si="331"/>
        <v>0</v>
      </c>
      <c r="BE841" s="102">
        <f t="shared" si="332"/>
        <v>4.4721359549995796</v>
      </c>
      <c r="BF841" s="81">
        <f t="shared" si="333"/>
        <v>9.3924867883288243E-14</v>
      </c>
      <c r="BG841" s="81" t="str">
        <f t="shared" si="334"/>
        <v>BASSO</v>
      </c>
      <c r="BK841" s="81" t="str">
        <f t="shared" si="335"/>
        <v>MOLTO BASSO</v>
      </c>
    </row>
    <row r="842" spans="7:63" x14ac:dyDescent="0.15">
      <c r="G842" s="64">
        <f t="shared" si="312"/>
        <v>0</v>
      </c>
      <c r="I842" s="64">
        <f t="shared" si="313"/>
        <v>0</v>
      </c>
      <c r="K842" s="64">
        <f t="shared" si="314"/>
        <v>0</v>
      </c>
      <c r="M842" s="64">
        <f t="shared" si="315"/>
        <v>0</v>
      </c>
      <c r="O842" s="64">
        <f t="shared" si="316"/>
        <v>0</v>
      </c>
      <c r="Q842" s="64">
        <f t="shared" si="317"/>
        <v>0</v>
      </c>
      <c r="S842" s="71">
        <f t="shared" si="318"/>
        <v>0</v>
      </c>
      <c r="U842" s="64">
        <f t="shared" si="319"/>
        <v>0</v>
      </c>
      <c r="W842" s="71">
        <f t="shared" si="320"/>
        <v>0</v>
      </c>
      <c r="Y842" s="71">
        <f t="shared" si="321"/>
        <v>0</v>
      </c>
      <c r="AA842" s="71">
        <f t="shared" si="322"/>
        <v>0</v>
      </c>
      <c r="AC842" s="71">
        <f t="shared" si="323"/>
        <v>0</v>
      </c>
      <c r="AK842" s="71">
        <f t="shared" si="324"/>
        <v>0</v>
      </c>
      <c r="AM842" s="71">
        <f t="shared" si="325"/>
        <v>0</v>
      </c>
      <c r="AO842" s="71">
        <f t="shared" si="326"/>
        <v>0</v>
      </c>
      <c r="AQ842" s="71">
        <f t="shared" si="327"/>
        <v>0</v>
      </c>
      <c r="AT842" s="71">
        <f t="shared" si="328"/>
        <v>0</v>
      </c>
      <c r="AV842" s="71">
        <f t="shared" si="329"/>
        <v>0</v>
      </c>
      <c r="AX842" s="71">
        <f t="shared" si="330"/>
        <v>0</v>
      </c>
      <c r="AZ842" s="71">
        <f t="shared" si="331"/>
        <v>0</v>
      </c>
      <c r="BE842" s="102">
        <f t="shared" si="332"/>
        <v>4.4721359549995796</v>
      </c>
      <c r="BF842" s="81">
        <f t="shared" si="333"/>
        <v>9.3924867883288243E-14</v>
      </c>
      <c r="BG842" s="81" t="str">
        <f t="shared" si="334"/>
        <v>BASSO</v>
      </c>
      <c r="BK842" s="81" t="str">
        <f t="shared" si="335"/>
        <v>MOLTO BASSO</v>
      </c>
    </row>
    <row r="843" spans="7:63" x14ac:dyDescent="0.15">
      <c r="G843" s="64">
        <f t="shared" si="312"/>
        <v>0</v>
      </c>
      <c r="I843" s="64">
        <f t="shared" si="313"/>
        <v>0</v>
      </c>
      <c r="K843" s="64">
        <f t="shared" si="314"/>
        <v>0</v>
      </c>
      <c r="M843" s="64">
        <f t="shared" si="315"/>
        <v>0</v>
      </c>
      <c r="O843" s="64">
        <f t="shared" si="316"/>
        <v>0</v>
      </c>
      <c r="Q843" s="64">
        <f t="shared" si="317"/>
        <v>0</v>
      </c>
      <c r="S843" s="71">
        <f t="shared" si="318"/>
        <v>0</v>
      </c>
      <c r="U843" s="64">
        <f t="shared" si="319"/>
        <v>0</v>
      </c>
      <c r="W843" s="71">
        <f t="shared" si="320"/>
        <v>0</v>
      </c>
      <c r="Y843" s="71">
        <f t="shared" si="321"/>
        <v>0</v>
      </c>
      <c r="AA843" s="71">
        <f t="shared" si="322"/>
        <v>0</v>
      </c>
      <c r="AC843" s="71">
        <f t="shared" si="323"/>
        <v>0</v>
      </c>
      <c r="AK843" s="71">
        <f t="shared" si="324"/>
        <v>0</v>
      </c>
      <c r="AM843" s="71">
        <f t="shared" si="325"/>
        <v>0</v>
      </c>
      <c r="AO843" s="71">
        <f t="shared" si="326"/>
        <v>0</v>
      </c>
      <c r="AQ843" s="71">
        <f t="shared" si="327"/>
        <v>0</v>
      </c>
      <c r="AT843" s="71">
        <f t="shared" si="328"/>
        <v>0</v>
      </c>
      <c r="AV843" s="71">
        <f t="shared" si="329"/>
        <v>0</v>
      </c>
      <c r="AX843" s="71">
        <f t="shared" si="330"/>
        <v>0</v>
      </c>
      <c r="AZ843" s="71">
        <f t="shared" si="331"/>
        <v>0</v>
      </c>
      <c r="BE843" s="102">
        <f t="shared" si="332"/>
        <v>4.4721359549995796</v>
      </c>
      <c r="BF843" s="81">
        <f t="shared" si="333"/>
        <v>9.3924867883288243E-14</v>
      </c>
      <c r="BG843" s="81" t="str">
        <f t="shared" si="334"/>
        <v>BASSO</v>
      </c>
      <c r="BK843" s="81" t="str">
        <f t="shared" si="335"/>
        <v>MOLTO BASSO</v>
      </c>
    </row>
    <row r="844" spans="7:63" x14ac:dyDescent="0.15">
      <c r="G844" s="64">
        <f t="shared" si="312"/>
        <v>0</v>
      </c>
      <c r="I844" s="64">
        <f t="shared" si="313"/>
        <v>0</v>
      </c>
      <c r="K844" s="64">
        <f t="shared" si="314"/>
        <v>0</v>
      </c>
      <c r="M844" s="64">
        <f t="shared" si="315"/>
        <v>0</v>
      </c>
      <c r="O844" s="64">
        <f t="shared" si="316"/>
        <v>0</v>
      </c>
      <c r="Q844" s="64">
        <f t="shared" si="317"/>
        <v>0</v>
      </c>
      <c r="S844" s="71">
        <f t="shared" si="318"/>
        <v>0</v>
      </c>
      <c r="U844" s="64">
        <f t="shared" si="319"/>
        <v>0</v>
      </c>
      <c r="W844" s="71">
        <f t="shared" si="320"/>
        <v>0</v>
      </c>
      <c r="Y844" s="71">
        <f t="shared" si="321"/>
        <v>0</v>
      </c>
      <c r="AA844" s="71">
        <f t="shared" si="322"/>
        <v>0</v>
      </c>
      <c r="AC844" s="71">
        <f t="shared" si="323"/>
        <v>0</v>
      </c>
      <c r="AK844" s="71">
        <f t="shared" si="324"/>
        <v>0</v>
      </c>
      <c r="AM844" s="71">
        <f t="shared" si="325"/>
        <v>0</v>
      </c>
      <c r="AO844" s="71">
        <f t="shared" si="326"/>
        <v>0</v>
      </c>
      <c r="AQ844" s="71">
        <f t="shared" si="327"/>
        <v>0</v>
      </c>
      <c r="AT844" s="71">
        <f t="shared" si="328"/>
        <v>0</v>
      </c>
      <c r="AV844" s="71">
        <f t="shared" si="329"/>
        <v>0</v>
      </c>
      <c r="AX844" s="71">
        <f t="shared" si="330"/>
        <v>0</v>
      </c>
      <c r="AZ844" s="71">
        <f t="shared" si="331"/>
        <v>0</v>
      </c>
      <c r="BE844" s="102">
        <f t="shared" si="332"/>
        <v>4.4721359549995796</v>
      </c>
      <c r="BF844" s="81">
        <f t="shared" si="333"/>
        <v>9.3924867883288243E-14</v>
      </c>
      <c r="BG844" s="81" t="str">
        <f t="shared" si="334"/>
        <v>BASSO</v>
      </c>
      <c r="BK844" s="81" t="str">
        <f t="shared" si="335"/>
        <v>MOLTO BASSO</v>
      </c>
    </row>
    <row r="845" spans="7:63" x14ac:dyDescent="0.15">
      <c r="G845" s="64">
        <f t="shared" si="312"/>
        <v>0</v>
      </c>
      <c r="I845" s="64">
        <f t="shared" si="313"/>
        <v>0</v>
      </c>
      <c r="K845" s="64">
        <f t="shared" si="314"/>
        <v>0</v>
      </c>
      <c r="M845" s="64">
        <f t="shared" si="315"/>
        <v>0</v>
      </c>
      <c r="O845" s="64">
        <f t="shared" si="316"/>
        <v>0</v>
      </c>
      <c r="Q845" s="64">
        <f t="shared" si="317"/>
        <v>0</v>
      </c>
      <c r="S845" s="71">
        <f t="shared" si="318"/>
        <v>0</v>
      </c>
      <c r="U845" s="64">
        <f t="shared" si="319"/>
        <v>0</v>
      </c>
      <c r="W845" s="71">
        <f t="shared" si="320"/>
        <v>0</v>
      </c>
      <c r="Y845" s="71">
        <f t="shared" si="321"/>
        <v>0</v>
      </c>
      <c r="AA845" s="71">
        <f t="shared" si="322"/>
        <v>0</v>
      </c>
      <c r="AC845" s="71">
        <f t="shared" si="323"/>
        <v>0</v>
      </c>
      <c r="AK845" s="71">
        <f t="shared" si="324"/>
        <v>0</v>
      </c>
      <c r="AM845" s="71">
        <f t="shared" si="325"/>
        <v>0</v>
      </c>
      <c r="AO845" s="71">
        <f t="shared" si="326"/>
        <v>0</v>
      </c>
      <c r="AQ845" s="71">
        <f t="shared" si="327"/>
        <v>0</v>
      </c>
      <c r="AT845" s="71">
        <f t="shared" si="328"/>
        <v>0</v>
      </c>
      <c r="AV845" s="71">
        <f t="shared" si="329"/>
        <v>0</v>
      </c>
      <c r="AX845" s="71">
        <f t="shared" si="330"/>
        <v>0</v>
      </c>
      <c r="AZ845" s="71">
        <f t="shared" si="331"/>
        <v>0</v>
      </c>
      <c r="BE845" s="102">
        <f t="shared" si="332"/>
        <v>4.4721359549995796</v>
      </c>
      <c r="BF845" s="81">
        <f t="shared" si="333"/>
        <v>9.3924867883288243E-14</v>
      </c>
      <c r="BG845" s="81" t="str">
        <f t="shared" si="334"/>
        <v>BASSO</v>
      </c>
      <c r="BK845" s="81" t="str">
        <f t="shared" si="335"/>
        <v>MOLTO BASSO</v>
      </c>
    </row>
    <row r="846" spans="7:63" x14ac:dyDescent="0.15">
      <c r="G846" s="64">
        <f t="shared" si="312"/>
        <v>0</v>
      </c>
      <c r="I846" s="64">
        <f t="shared" si="313"/>
        <v>0</v>
      </c>
      <c r="K846" s="64">
        <f t="shared" si="314"/>
        <v>0</v>
      </c>
      <c r="M846" s="64">
        <f t="shared" si="315"/>
        <v>0</v>
      </c>
      <c r="O846" s="64">
        <f t="shared" si="316"/>
        <v>0</v>
      </c>
      <c r="Q846" s="64">
        <f t="shared" si="317"/>
        <v>0</v>
      </c>
      <c r="S846" s="71">
        <f t="shared" si="318"/>
        <v>0</v>
      </c>
      <c r="U846" s="64">
        <f t="shared" si="319"/>
        <v>0</v>
      </c>
      <c r="W846" s="71">
        <f t="shared" si="320"/>
        <v>0</v>
      </c>
      <c r="Y846" s="71">
        <f t="shared" si="321"/>
        <v>0</v>
      </c>
      <c r="AA846" s="71">
        <f t="shared" si="322"/>
        <v>0</v>
      </c>
      <c r="AC846" s="71">
        <f t="shared" si="323"/>
        <v>0</v>
      </c>
      <c r="AK846" s="71">
        <f t="shared" si="324"/>
        <v>0</v>
      </c>
      <c r="AM846" s="71">
        <f t="shared" si="325"/>
        <v>0</v>
      </c>
      <c r="AO846" s="71">
        <f t="shared" si="326"/>
        <v>0</v>
      </c>
      <c r="AQ846" s="71">
        <f t="shared" si="327"/>
        <v>0</v>
      </c>
      <c r="AT846" s="71">
        <f t="shared" si="328"/>
        <v>0</v>
      </c>
      <c r="AV846" s="71">
        <f t="shared" si="329"/>
        <v>0</v>
      </c>
      <c r="AX846" s="71">
        <f t="shared" si="330"/>
        <v>0</v>
      </c>
      <c r="AZ846" s="71">
        <f t="shared" si="331"/>
        <v>0</v>
      </c>
      <c r="BE846" s="102">
        <f t="shared" si="332"/>
        <v>4.4721359549995796</v>
      </c>
      <c r="BF846" s="81">
        <f t="shared" si="333"/>
        <v>9.3924867883288243E-14</v>
      </c>
      <c r="BG846" s="81" t="str">
        <f t="shared" si="334"/>
        <v>BASSO</v>
      </c>
      <c r="BK846" s="81" t="str">
        <f t="shared" si="335"/>
        <v>MOLTO BASSO</v>
      </c>
    </row>
    <row r="847" spans="7:63" x14ac:dyDescent="0.15">
      <c r="G847" s="64">
        <f t="shared" si="312"/>
        <v>0</v>
      </c>
      <c r="I847" s="64">
        <f t="shared" si="313"/>
        <v>0</v>
      </c>
      <c r="K847" s="64">
        <f t="shared" si="314"/>
        <v>0</v>
      </c>
      <c r="M847" s="64">
        <f t="shared" si="315"/>
        <v>0</v>
      </c>
      <c r="O847" s="64">
        <f t="shared" si="316"/>
        <v>0</v>
      </c>
      <c r="Q847" s="64">
        <f t="shared" si="317"/>
        <v>0</v>
      </c>
      <c r="S847" s="71">
        <f t="shared" si="318"/>
        <v>0</v>
      </c>
      <c r="U847" s="64">
        <f t="shared" si="319"/>
        <v>0</v>
      </c>
      <c r="W847" s="71">
        <f t="shared" si="320"/>
        <v>0</v>
      </c>
      <c r="Y847" s="71">
        <f t="shared" si="321"/>
        <v>0</v>
      </c>
      <c r="AA847" s="71">
        <f t="shared" si="322"/>
        <v>0</v>
      </c>
      <c r="AC847" s="71">
        <f t="shared" si="323"/>
        <v>0</v>
      </c>
      <c r="AK847" s="71">
        <f t="shared" si="324"/>
        <v>0</v>
      </c>
      <c r="AM847" s="71">
        <f t="shared" si="325"/>
        <v>0</v>
      </c>
      <c r="AO847" s="71">
        <f t="shared" si="326"/>
        <v>0</v>
      </c>
      <c r="AQ847" s="71">
        <f t="shared" si="327"/>
        <v>0</v>
      </c>
      <c r="AT847" s="71">
        <f t="shared" si="328"/>
        <v>0</v>
      </c>
      <c r="AV847" s="71">
        <f t="shared" si="329"/>
        <v>0</v>
      </c>
      <c r="AX847" s="71">
        <f t="shared" si="330"/>
        <v>0</v>
      </c>
      <c r="AZ847" s="71">
        <f t="shared" si="331"/>
        <v>0</v>
      </c>
      <c r="BE847" s="102">
        <f t="shared" si="332"/>
        <v>4.4721359549995796</v>
      </c>
      <c r="BF847" s="81">
        <f t="shared" si="333"/>
        <v>9.3924867883288243E-14</v>
      </c>
      <c r="BG847" s="81" t="str">
        <f t="shared" si="334"/>
        <v>BASSO</v>
      </c>
      <c r="BK847" s="81" t="str">
        <f t="shared" si="335"/>
        <v>MOLTO BASSO</v>
      </c>
    </row>
    <row r="848" spans="7:63" x14ac:dyDescent="0.15">
      <c r="G848" s="64">
        <f t="shared" si="312"/>
        <v>0</v>
      </c>
      <c r="I848" s="64">
        <f t="shared" si="313"/>
        <v>0</v>
      </c>
      <c r="K848" s="64">
        <f t="shared" si="314"/>
        <v>0</v>
      </c>
      <c r="M848" s="64">
        <f t="shared" si="315"/>
        <v>0</v>
      </c>
      <c r="O848" s="64">
        <f t="shared" si="316"/>
        <v>0</v>
      </c>
      <c r="Q848" s="64">
        <f t="shared" si="317"/>
        <v>0</v>
      </c>
      <c r="S848" s="71">
        <f t="shared" si="318"/>
        <v>0</v>
      </c>
      <c r="U848" s="64">
        <f t="shared" si="319"/>
        <v>0</v>
      </c>
      <c r="W848" s="71">
        <f t="shared" si="320"/>
        <v>0</v>
      </c>
      <c r="Y848" s="71">
        <f t="shared" si="321"/>
        <v>0</v>
      </c>
      <c r="AA848" s="71">
        <f t="shared" si="322"/>
        <v>0</v>
      </c>
      <c r="AC848" s="71">
        <f t="shared" si="323"/>
        <v>0</v>
      </c>
      <c r="AK848" s="71">
        <f t="shared" si="324"/>
        <v>0</v>
      </c>
      <c r="AM848" s="71">
        <f t="shared" si="325"/>
        <v>0</v>
      </c>
      <c r="AO848" s="71">
        <f t="shared" si="326"/>
        <v>0</v>
      </c>
      <c r="AQ848" s="71">
        <f t="shared" si="327"/>
        <v>0</v>
      </c>
      <c r="AT848" s="71">
        <f t="shared" si="328"/>
        <v>0</v>
      </c>
      <c r="AV848" s="71">
        <f t="shared" si="329"/>
        <v>0</v>
      </c>
      <c r="AX848" s="71">
        <f t="shared" si="330"/>
        <v>0</v>
      </c>
      <c r="AZ848" s="71">
        <f t="shared" si="331"/>
        <v>0</v>
      </c>
      <c r="BE848" s="102">
        <f t="shared" si="332"/>
        <v>4.4721359549995796</v>
      </c>
      <c r="BF848" s="81">
        <f t="shared" si="333"/>
        <v>9.3924867883288243E-14</v>
      </c>
      <c r="BG848" s="81" t="str">
        <f t="shared" si="334"/>
        <v>BASSO</v>
      </c>
      <c r="BK848" s="81" t="str">
        <f t="shared" si="335"/>
        <v>MOLTO BASSO</v>
      </c>
    </row>
    <row r="849" spans="7:63" x14ac:dyDescent="0.15">
      <c r="G849" s="64">
        <f t="shared" si="312"/>
        <v>0</v>
      </c>
      <c r="I849" s="64">
        <f t="shared" si="313"/>
        <v>0</v>
      </c>
      <c r="K849" s="64">
        <f t="shared" si="314"/>
        <v>0</v>
      </c>
      <c r="M849" s="64">
        <f t="shared" si="315"/>
        <v>0</v>
      </c>
      <c r="O849" s="64">
        <f t="shared" si="316"/>
        <v>0</v>
      </c>
      <c r="Q849" s="64">
        <f t="shared" si="317"/>
        <v>0</v>
      </c>
      <c r="S849" s="71">
        <f t="shared" si="318"/>
        <v>0</v>
      </c>
      <c r="U849" s="64">
        <f t="shared" si="319"/>
        <v>0</v>
      </c>
      <c r="W849" s="71">
        <f t="shared" si="320"/>
        <v>0</v>
      </c>
      <c r="Y849" s="71">
        <f t="shared" si="321"/>
        <v>0</v>
      </c>
      <c r="AA849" s="71">
        <f t="shared" si="322"/>
        <v>0</v>
      </c>
      <c r="AC849" s="71">
        <f t="shared" si="323"/>
        <v>0</v>
      </c>
      <c r="AK849" s="71">
        <f t="shared" si="324"/>
        <v>0</v>
      </c>
      <c r="AM849" s="71">
        <f t="shared" si="325"/>
        <v>0</v>
      </c>
      <c r="AO849" s="71">
        <f t="shared" si="326"/>
        <v>0</v>
      </c>
      <c r="AQ849" s="71">
        <f t="shared" si="327"/>
        <v>0</v>
      </c>
      <c r="AT849" s="71">
        <f t="shared" si="328"/>
        <v>0</v>
      </c>
      <c r="AV849" s="71">
        <f t="shared" si="329"/>
        <v>0</v>
      </c>
      <c r="AX849" s="71">
        <f t="shared" si="330"/>
        <v>0</v>
      </c>
      <c r="AZ849" s="71">
        <f t="shared" si="331"/>
        <v>0</v>
      </c>
      <c r="BE849" s="102">
        <f t="shared" si="332"/>
        <v>4.4721359549995796</v>
      </c>
      <c r="BF849" s="81">
        <f t="shared" si="333"/>
        <v>9.3924867883288243E-14</v>
      </c>
      <c r="BG849" s="81" t="str">
        <f t="shared" si="334"/>
        <v>BASSO</v>
      </c>
      <c r="BK849" s="81" t="str">
        <f t="shared" si="335"/>
        <v>MOLTO BASSO</v>
      </c>
    </row>
    <row r="850" spans="7:63" x14ac:dyDescent="0.15">
      <c r="G850" s="64">
        <f t="shared" si="312"/>
        <v>0</v>
      </c>
      <c r="I850" s="64">
        <f t="shared" si="313"/>
        <v>0</v>
      </c>
      <c r="K850" s="64">
        <f t="shared" si="314"/>
        <v>0</v>
      </c>
      <c r="M850" s="64">
        <f t="shared" si="315"/>
        <v>0</v>
      </c>
      <c r="O850" s="64">
        <f t="shared" si="316"/>
        <v>0</v>
      </c>
      <c r="Q850" s="64">
        <f t="shared" si="317"/>
        <v>0</v>
      </c>
      <c r="S850" s="71">
        <f t="shared" si="318"/>
        <v>0</v>
      </c>
      <c r="U850" s="64">
        <f t="shared" si="319"/>
        <v>0</v>
      </c>
      <c r="W850" s="71">
        <f t="shared" si="320"/>
        <v>0</v>
      </c>
      <c r="Y850" s="71">
        <f t="shared" si="321"/>
        <v>0</v>
      </c>
      <c r="AA850" s="71">
        <f t="shared" si="322"/>
        <v>0</v>
      </c>
      <c r="AC850" s="71">
        <f t="shared" si="323"/>
        <v>0</v>
      </c>
      <c r="AK850" s="71">
        <f t="shared" si="324"/>
        <v>0</v>
      </c>
      <c r="AM850" s="71">
        <f t="shared" si="325"/>
        <v>0</v>
      </c>
      <c r="AO850" s="71">
        <f t="shared" si="326"/>
        <v>0</v>
      </c>
      <c r="AQ850" s="71">
        <f t="shared" si="327"/>
        <v>0</v>
      </c>
      <c r="AT850" s="71">
        <f t="shared" si="328"/>
        <v>0</v>
      </c>
      <c r="AV850" s="71">
        <f t="shared" si="329"/>
        <v>0</v>
      </c>
      <c r="AX850" s="71">
        <f t="shared" si="330"/>
        <v>0</v>
      </c>
      <c r="AZ850" s="71">
        <f t="shared" si="331"/>
        <v>0</v>
      </c>
      <c r="BE850" s="102">
        <f t="shared" si="332"/>
        <v>4.4721359549995796</v>
      </c>
      <c r="BF850" s="81">
        <f t="shared" si="333"/>
        <v>9.3924867883288243E-14</v>
      </c>
      <c r="BG850" s="81" t="str">
        <f t="shared" si="334"/>
        <v>BASSO</v>
      </c>
      <c r="BK850" s="81" t="str">
        <f t="shared" si="335"/>
        <v>MOLTO BASSO</v>
      </c>
    </row>
    <row r="851" spans="7:63" x14ac:dyDescent="0.15">
      <c r="G851" s="64">
        <f t="shared" si="312"/>
        <v>0</v>
      </c>
      <c r="I851" s="64">
        <f t="shared" si="313"/>
        <v>0</v>
      </c>
      <c r="K851" s="64">
        <f t="shared" si="314"/>
        <v>0</v>
      </c>
      <c r="M851" s="64">
        <f t="shared" si="315"/>
        <v>0</v>
      </c>
      <c r="O851" s="64">
        <f t="shared" si="316"/>
        <v>0</v>
      </c>
      <c r="Q851" s="64">
        <f t="shared" si="317"/>
        <v>0</v>
      </c>
      <c r="S851" s="71">
        <f t="shared" si="318"/>
        <v>0</v>
      </c>
      <c r="U851" s="64">
        <f t="shared" si="319"/>
        <v>0</v>
      </c>
      <c r="W851" s="71">
        <f t="shared" si="320"/>
        <v>0</v>
      </c>
      <c r="Y851" s="71">
        <f t="shared" si="321"/>
        <v>0</v>
      </c>
      <c r="AA851" s="71">
        <f t="shared" si="322"/>
        <v>0</v>
      </c>
      <c r="AC851" s="71">
        <f t="shared" si="323"/>
        <v>0</v>
      </c>
      <c r="AK851" s="71">
        <f t="shared" si="324"/>
        <v>0</v>
      </c>
      <c r="AM851" s="71">
        <f t="shared" si="325"/>
        <v>0</v>
      </c>
      <c r="AO851" s="71">
        <f t="shared" si="326"/>
        <v>0</v>
      </c>
      <c r="AQ851" s="71">
        <f t="shared" si="327"/>
        <v>0</v>
      </c>
      <c r="AT851" s="71">
        <f t="shared" si="328"/>
        <v>0</v>
      </c>
      <c r="AV851" s="71">
        <f t="shared" si="329"/>
        <v>0</v>
      </c>
      <c r="AX851" s="71">
        <f t="shared" si="330"/>
        <v>0</v>
      </c>
      <c r="AZ851" s="71">
        <f t="shared" si="331"/>
        <v>0</v>
      </c>
      <c r="BE851" s="102">
        <f t="shared" si="332"/>
        <v>4.4721359549995796</v>
      </c>
      <c r="BF851" s="81">
        <f t="shared" si="333"/>
        <v>9.3924867883288243E-14</v>
      </c>
      <c r="BG851" s="81" t="str">
        <f t="shared" si="334"/>
        <v>BASSO</v>
      </c>
      <c r="BK851" s="81" t="str">
        <f t="shared" si="335"/>
        <v>MOLTO BASSO</v>
      </c>
    </row>
    <row r="852" spans="7:63" x14ac:dyDescent="0.15">
      <c r="G852" s="64">
        <f t="shared" si="312"/>
        <v>0</v>
      </c>
      <c r="I852" s="64">
        <f t="shared" si="313"/>
        <v>0</v>
      </c>
      <c r="K852" s="64">
        <f t="shared" si="314"/>
        <v>0</v>
      </c>
      <c r="M852" s="64">
        <f t="shared" si="315"/>
        <v>0</v>
      </c>
      <c r="O852" s="64">
        <f t="shared" si="316"/>
        <v>0</v>
      </c>
      <c r="Q852" s="64">
        <f t="shared" si="317"/>
        <v>0</v>
      </c>
      <c r="S852" s="71">
        <f t="shared" si="318"/>
        <v>0</v>
      </c>
      <c r="U852" s="64">
        <f t="shared" si="319"/>
        <v>0</v>
      </c>
      <c r="W852" s="71">
        <f t="shared" si="320"/>
        <v>0</v>
      </c>
      <c r="Y852" s="71">
        <f t="shared" si="321"/>
        <v>0</v>
      </c>
      <c r="AA852" s="71">
        <f t="shared" si="322"/>
        <v>0</v>
      </c>
      <c r="AC852" s="71">
        <f t="shared" si="323"/>
        <v>0</v>
      </c>
      <c r="AK852" s="71">
        <f t="shared" si="324"/>
        <v>0</v>
      </c>
      <c r="AM852" s="71">
        <f t="shared" si="325"/>
        <v>0</v>
      </c>
      <c r="AO852" s="71">
        <f t="shared" si="326"/>
        <v>0</v>
      </c>
      <c r="AQ852" s="71">
        <f t="shared" si="327"/>
        <v>0</v>
      </c>
      <c r="AT852" s="71">
        <f t="shared" si="328"/>
        <v>0</v>
      </c>
      <c r="AV852" s="71">
        <f t="shared" si="329"/>
        <v>0</v>
      </c>
      <c r="AX852" s="71">
        <f t="shared" si="330"/>
        <v>0</v>
      </c>
      <c r="AZ852" s="71">
        <f t="shared" si="331"/>
        <v>0</v>
      </c>
      <c r="BE852" s="102">
        <f t="shared" si="332"/>
        <v>4.4721359549995796</v>
      </c>
      <c r="BF852" s="81">
        <f t="shared" si="333"/>
        <v>9.3924867883288243E-14</v>
      </c>
      <c r="BG852" s="81" t="str">
        <f t="shared" si="334"/>
        <v>BASSO</v>
      </c>
      <c r="BK852" s="81" t="str">
        <f t="shared" si="335"/>
        <v>MOLTO BASSO</v>
      </c>
    </row>
    <row r="853" spans="7:63" x14ac:dyDescent="0.15">
      <c r="G853" s="64">
        <f t="shared" si="312"/>
        <v>0</v>
      </c>
      <c r="I853" s="64">
        <f t="shared" si="313"/>
        <v>0</v>
      </c>
      <c r="K853" s="64">
        <f t="shared" si="314"/>
        <v>0</v>
      </c>
      <c r="M853" s="64">
        <f t="shared" si="315"/>
        <v>0</v>
      </c>
      <c r="O853" s="64">
        <f t="shared" si="316"/>
        <v>0</v>
      </c>
      <c r="Q853" s="64">
        <f t="shared" si="317"/>
        <v>0</v>
      </c>
      <c r="S853" s="71">
        <f t="shared" si="318"/>
        <v>0</v>
      </c>
      <c r="U853" s="64">
        <f t="shared" si="319"/>
        <v>0</v>
      </c>
      <c r="W853" s="71">
        <f t="shared" si="320"/>
        <v>0</v>
      </c>
      <c r="Y853" s="71">
        <f t="shared" si="321"/>
        <v>0</v>
      </c>
      <c r="AA853" s="71">
        <f t="shared" si="322"/>
        <v>0</v>
      </c>
      <c r="AC853" s="71">
        <f t="shared" si="323"/>
        <v>0</v>
      </c>
      <c r="AK853" s="71">
        <f t="shared" si="324"/>
        <v>0</v>
      </c>
      <c r="AM853" s="71">
        <f t="shared" si="325"/>
        <v>0</v>
      </c>
      <c r="AO853" s="71">
        <f t="shared" si="326"/>
        <v>0</v>
      </c>
      <c r="AQ853" s="71">
        <f t="shared" si="327"/>
        <v>0</v>
      </c>
      <c r="AT853" s="71">
        <f t="shared" si="328"/>
        <v>0</v>
      </c>
      <c r="AV853" s="71">
        <f t="shared" si="329"/>
        <v>0</v>
      </c>
      <c r="AX853" s="71">
        <f t="shared" si="330"/>
        <v>0</v>
      </c>
      <c r="AZ853" s="71">
        <f t="shared" si="331"/>
        <v>0</v>
      </c>
      <c r="BE853" s="102">
        <f t="shared" si="332"/>
        <v>4.4721359549995796</v>
      </c>
      <c r="BF853" s="81">
        <f t="shared" si="333"/>
        <v>9.3924867883288243E-14</v>
      </c>
      <c r="BG853" s="81" t="str">
        <f t="shared" si="334"/>
        <v>BASSO</v>
      </c>
      <c r="BK853" s="81" t="str">
        <f t="shared" si="335"/>
        <v>MOLTO BASSO</v>
      </c>
    </row>
    <row r="854" spans="7:63" x14ac:dyDescent="0.15">
      <c r="G854" s="64">
        <f t="shared" si="312"/>
        <v>0</v>
      </c>
      <c r="I854" s="64">
        <f t="shared" si="313"/>
        <v>0</v>
      </c>
      <c r="K854" s="64">
        <f t="shared" si="314"/>
        <v>0</v>
      </c>
      <c r="M854" s="64">
        <f t="shared" si="315"/>
        <v>0</v>
      </c>
      <c r="O854" s="64">
        <f t="shared" si="316"/>
        <v>0</v>
      </c>
      <c r="Q854" s="64">
        <f t="shared" si="317"/>
        <v>0</v>
      </c>
      <c r="S854" s="71">
        <f t="shared" si="318"/>
        <v>0</v>
      </c>
      <c r="U854" s="64">
        <f t="shared" si="319"/>
        <v>0</v>
      </c>
      <c r="W854" s="71">
        <f t="shared" si="320"/>
        <v>0</v>
      </c>
      <c r="Y854" s="71">
        <f t="shared" si="321"/>
        <v>0</v>
      </c>
      <c r="AA854" s="71">
        <f t="shared" si="322"/>
        <v>0</v>
      </c>
      <c r="AC854" s="71">
        <f t="shared" si="323"/>
        <v>0</v>
      </c>
      <c r="AK854" s="71">
        <f t="shared" si="324"/>
        <v>0</v>
      </c>
      <c r="AM854" s="71">
        <f t="shared" si="325"/>
        <v>0</v>
      </c>
      <c r="AO854" s="71">
        <f t="shared" si="326"/>
        <v>0</v>
      </c>
      <c r="AQ854" s="71">
        <f t="shared" si="327"/>
        <v>0</v>
      </c>
      <c r="AT854" s="71">
        <f t="shared" si="328"/>
        <v>0</v>
      </c>
      <c r="AV854" s="71">
        <f t="shared" si="329"/>
        <v>0</v>
      </c>
      <c r="AX854" s="71">
        <f t="shared" si="330"/>
        <v>0</v>
      </c>
      <c r="AZ854" s="71">
        <f t="shared" si="331"/>
        <v>0</v>
      </c>
      <c r="BE854" s="102">
        <f t="shared" si="332"/>
        <v>4.4721359549995796</v>
      </c>
      <c r="BF854" s="81">
        <f t="shared" si="333"/>
        <v>9.3924867883288243E-14</v>
      </c>
      <c r="BG854" s="81" t="str">
        <f t="shared" si="334"/>
        <v>BASSO</v>
      </c>
      <c r="BK854" s="81" t="str">
        <f t="shared" si="335"/>
        <v>MOLTO BASSO</v>
      </c>
    </row>
    <row r="855" spans="7:63" x14ac:dyDescent="0.15">
      <c r="G855" s="64">
        <f t="shared" si="312"/>
        <v>0</v>
      </c>
      <c r="I855" s="64">
        <f t="shared" si="313"/>
        <v>0</v>
      </c>
      <c r="K855" s="64">
        <f t="shared" si="314"/>
        <v>0</v>
      </c>
      <c r="M855" s="64">
        <f t="shared" si="315"/>
        <v>0</v>
      </c>
      <c r="O855" s="64">
        <f t="shared" si="316"/>
        <v>0</v>
      </c>
      <c r="Q855" s="64">
        <f t="shared" si="317"/>
        <v>0</v>
      </c>
      <c r="S855" s="71">
        <f t="shared" si="318"/>
        <v>0</v>
      </c>
      <c r="U855" s="64">
        <f t="shared" si="319"/>
        <v>0</v>
      </c>
      <c r="W855" s="71">
        <f t="shared" si="320"/>
        <v>0</v>
      </c>
      <c r="Y855" s="71">
        <f t="shared" si="321"/>
        <v>0</v>
      </c>
      <c r="AA855" s="71">
        <f t="shared" si="322"/>
        <v>0</v>
      </c>
      <c r="AC855" s="71">
        <f t="shared" si="323"/>
        <v>0</v>
      </c>
      <c r="AK855" s="71">
        <f t="shared" si="324"/>
        <v>0</v>
      </c>
      <c r="AM855" s="71">
        <f t="shared" si="325"/>
        <v>0</v>
      </c>
      <c r="AO855" s="71">
        <f t="shared" si="326"/>
        <v>0</v>
      </c>
      <c r="AQ855" s="71">
        <f t="shared" si="327"/>
        <v>0</v>
      </c>
      <c r="AT855" s="71">
        <f t="shared" si="328"/>
        <v>0</v>
      </c>
      <c r="AV855" s="71">
        <f t="shared" si="329"/>
        <v>0</v>
      </c>
      <c r="AX855" s="71">
        <f t="shared" si="330"/>
        <v>0</v>
      </c>
      <c r="AZ855" s="71">
        <f t="shared" si="331"/>
        <v>0</v>
      </c>
      <c r="BE855" s="102">
        <f t="shared" si="332"/>
        <v>4.4721359549995796</v>
      </c>
      <c r="BF855" s="81">
        <f t="shared" si="333"/>
        <v>9.3924867883288243E-14</v>
      </c>
      <c r="BG855" s="81" t="str">
        <f t="shared" si="334"/>
        <v>BASSO</v>
      </c>
      <c r="BK855" s="81" t="str">
        <f t="shared" si="335"/>
        <v>MOLTO BASSO</v>
      </c>
    </row>
    <row r="856" spans="7:63" x14ac:dyDescent="0.15">
      <c r="G856" s="64">
        <f t="shared" si="312"/>
        <v>0</v>
      </c>
      <c r="I856" s="64">
        <f t="shared" si="313"/>
        <v>0</v>
      </c>
      <c r="K856" s="64">
        <f t="shared" si="314"/>
        <v>0</v>
      </c>
      <c r="M856" s="64">
        <f t="shared" si="315"/>
        <v>0</v>
      </c>
      <c r="O856" s="64">
        <f t="shared" si="316"/>
        <v>0</v>
      </c>
      <c r="Q856" s="64">
        <f t="shared" si="317"/>
        <v>0</v>
      </c>
      <c r="S856" s="71">
        <f t="shared" si="318"/>
        <v>0</v>
      </c>
      <c r="U856" s="64">
        <f t="shared" si="319"/>
        <v>0</v>
      </c>
      <c r="W856" s="71">
        <f t="shared" si="320"/>
        <v>0</v>
      </c>
      <c r="Y856" s="71">
        <f t="shared" si="321"/>
        <v>0</v>
      </c>
      <c r="AA856" s="71">
        <f t="shared" si="322"/>
        <v>0</v>
      </c>
      <c r="AC856" s="71">
        <f t="shared" si="323"/>
        <v>0</v>
      </c>
      <c r="AK856" s="71">
        <f t="shared" si="324"/>
        <v>0</v>
      </c>
      <c r="AM856" s="71">
        <f t="shared" si="325"/>
        <v>0</v>
      </c>
      <c r="AO856" s="71">
        <f t="shared" si="326"/>
        <v>0</v>
      </c>
      <c r="AQ856" s="71">
        <f t="shared" si="327"/>
        <v>0</v>
      </c>
      <c r="AT856" s="71">
        <f t="shared" si="328"/>
        <v>0</v>
      </c>
      <c r="AV856" s="71">
        <f t="shared" si="329"/>
        <v>0</v>
      </c>
      <c r="AX856" s="71">
        <f t="shared" si="330"/>
        <v>0</v>
      </c>
      <c r="AZ856" s="71">
        <f t="shared" si="331"/>
        <v>0</v>
      </c>
      <c r="BE856" s="102">
        <f t="shared" si="332"/>
        <v>4.4721359549995796</v>
      </c>
      <c r="BF856" s="81">
        <f t="shared" si="333"/>
        <v>9.3924867883288243E-14</v>
      </c>
      <c r="BG856" s="81" t="str">
        <f t="shared" si="334"/>
        <v>BASSO</v>
      </c>
      <c r="BK856" s="81" t="str">
        <f t="shared" si="335"/>
        <v>MOLTO BASSO</v>
      </c>
    </row>
    <row r="857" spans="7:63" x14ac:dyDescent="0.15">
      <c r="G857" s="64">
        <f t="shared" si="312"/>
        <v>0</v>
      </c>
      <c r="I857" s="64">
        <f t="shared" si="313"/>
        <v>0</v>
      </c>
      <c r="K857" s="64">
        <f t="shared" si="314"/>
        <v>0</v>
      </c>
      <c r="M857" s="64">
        <f t="shared" si="315"/>
        <v>0</v>
      </c>
      <c r="O857" s="64">
        <f t="shared" si="316"/>
        <v>0</v>
      </c>
      <c r="Q857" s="64">
        <f t="shared" si="317"/>
        <v>0</v>
      </c>
      <c r="S857" s="71">
        <f t="shared" si="318"/>
        <v>0</v>
      </c>
      <c r="U857" s="64">
        <f t="shared" si="319"/>
        <v>0</v>
      </c>
      <c r="W857" s="71">
        <f t="shared" si="320"/>
        <v>0</v>
      </c>
      <c r="Y857" s="71">
        <f t="shared" si="321"/>
        <v>0</v>
      </c>
      <c r="AA857" s="71">
        <f t="shared" si="322"/>
        <v>0</v>
      </c>
      <c r="AC857" s="71">
        <f t="shared" si="323"/>
        <v>0</v>
      </c>
      <c r="AK857" s="71">
        <f t="shared" si="324"/>
        <v>0</v>
      </c>
      <c r="AM857" s="71">
        <f t="shared" si="325"/>
        <v>0</v>
      </c>
      <c r="AO857" s="71">
        <f t="shared" si="326"/>
        <v>0</v>
      </c>
      <c r="AQ857" s="71">
        <f t="shared" si="327"/>
        <v>0</v>
      </c>
      <c r="AT857" s="71">
        <f t="shared" si="328"/>
        <v>0</v>
      </c>
      <c r="AV857" s="71">
        <f t="shared" si="329"/>
        <v>0</v>
      </c>
      <c r="AX857" s="71">
        <f t="shared" si="330"/>
        <v>0</v>
      </c>
      <c r="AZ857" s="71">
        <f t="shared" si="331"/>
        <v>0</v>
      </c>
      <c r="BE857" s="102">
        <f t="shared" si="332"/>
        <v>4.4721359549995796</v>
      </c>
      <c r="BF857" s="81">
        <f t="shared" si="333"/>
        <v>9.3924867883288243E-14</v>
      </c>
      <c r="BG857" s="81" t="str">
        <f t="shared" si="334"/>
        <v>BASSO</v>
      </c>
      <c r="BK857" s="81" t="str">
        <f t="shared" si="335"/>
        <v>MOLTO BASSO</v>
      </c>
    </row>
    <row r="858" spans="7:63" x14ac:dyDescent="0.15">
      <c r="G858" s="64">
        <f t="shared" si="312"/>
        <v>0</v>
      </c>
      <c r="I858" s="64">
        <f t="shared" si="313"/>
        <v>0</v>
      </c>
      <c r="K858" s="64">
        <f t="shared" si="314"/>
        <v>0</v>
      </c>
      <c r="M858" s="64">
        <f t="shared" si="315"/>
        <v>0</v>
      </c>
      <c r="O858" s="64">
        <f t="shared" si="316"/>
        <v>0</v>
      </c>
      <c r="Q858" s="64">
        <f t="shared" si="317"/>
        <v>0</v>
      </c>
      <c r="S858" s="71">
        <f t="shared" si="318"/>
        <v>0</v>
      </c>
      <c r="U858" s="64">
        <f t="shared" si="319"/>
        <v>0</v>
      </c>
      <c r="W858" s="71">
        <f t="shared" si="320"/>
        <v>0</v>
      </c>
      <c r="Y858" s="71">
        <f t="shared" si="321"/>
        <v>0</v>
      </c>
      <c r="AA858" s="71">
        <f t="shared" si="322"/>
        <v>0</v>
      </c>
      <c r="AC858" s="71">
        <f t="shared" si="323"/>
        <v>0</v>
      </c>
      <c r="AK858" s="71">
        <f t="shared" si="324"/>
        <v>0</v>
      </c>
      <c r="AM858" s="71">
        <f t="shared" si="325"/>
        <v>0</v>
      </c>
      <c r="AO858" s="71">
        <f t="shared" si="326"/>
        <v>0</v>
      </c>
      <c r="AQ858" s="71">
        <f t="shared" si="327"/>
        <v>0</v>
      </c>
      <c r="AT858" s="71">
        <f t="shared" si="328"/>
        <v>0</v>
      </c>
      <c r="AV858" s="71">
        <f t="shared" si="329"/>
        <v>0</v>
      </c>
      <c r="AX858" s="71">
        <f t="shared" si="330"/>
        <v>0</v>
      </c>
      <c r="AZ858" s="71">
        <f t="shared" si="331"/>
        <v>0</v>
      </c>
      <c r="BE858" s="102">
        <f t="shared" si="332"/>
        <v>4.4721359549995796</v>
      </c>
      <c r="BF858" s="81">
        <f t="shared" si="333"/>
        <v>9.3924867883288243E-14</v>
      </c>
      <c r="BG858" s="81" t="str">
        <f t="shared" si="334"/>
        <v>BASSO</v>
      </c>
      <c r="BK858" s="81" t="str">
        <f t="shared" si="335"/>
        <v>MOLTO BASSO</v>
      </c>
    </row>
    <row r="859" spans="7:63" x14ac:dyDescent="0.15">
      <c r="G859" s="64">
        <f t="shared" si="312"/>
        <v>0</v>
      </c>
      <c r="I859" s="64">
        <f t="shared" si="313"/>
        <v>0</v>
      </c>
      <c r="K859" s="64">
        <f t="shared" si="314"/>
        <v>0</v>
      </c>
      <c r="M859" s="64">
        <f t="shared" si="315"/>
        <v>0</v>
      </c>
      <c r="O859" s="64">
        <f t="shared" si="316"/>
        <v>0</v>
      </c>
      <c r="Q859" s="64">
        <f t="shared" si="317"/>
        <v>0</v>
      </c>
      <c r="S859" s="71">
        <f t="shared" si="318"/>
        <v>0</v>
      </c>
      <c r="U859" s="64">
        <f t="shared" si="319"/>
        <v>0</v>
      </c>
      <c r="W859" s="71">
        <f t="shared" si="320"/>
        <v>0</v>
      </c>
      <c r="Y859" s="71">
        <f t="shared" si="321"/>
        <v>0</v>
      </c>
      <c r="AA859" s="71">
        <f t="shared" si="322"/>
        <v>0</v>
      </c>
      <c r="AC859" s="71">
        <f t="shared" si="323"/>
        <v>0</v>
      </c>
      <c r="AK859" s="71">
        <f t="shared" si="324"/>
        <v>0</v>
      </c>
      <c r="AM859" s="71">
        <f t="shared" si="325"/>
        <v>0</v>
      </c>
      <c r="AO859" s="71">
        <f t="shared" si="326"/>
        <v>0</v>
      </c>
      <c r="AQ859" s="71">
        <f t="shared" si="327"/>
        <v>0</v>
      </c>
      <c r="AT859" s="71">
        <f t="shared" si="328"/>
        <v>0</v>
      </c>
      <c r="AV859" s="71">
        <f t="shared" si="329"/>
        <v>0</v>
      </c>
      <c r="AX859" s="71">
        <f t="shared" si="330"/>
        <v>0</v>
      </c>
      <c r="AZ859" s="71">
        <f t="shared" si="331"/>
        <v>0</v>
      </c>
      <c r="BE859" s="102">
        <f t="shared" si="332"/>
        <v>4.4721359549995796</v>
      </c>
      <c r="BF859" s="81">
        <f t="shared" si="333"/>
        <v>9.3924867883288243E-14</v>
      </c>
      <c r="BG859" s="81" t="str">
        <f t="shared" si="334"/>
        <v>BASSO</v>
      </c>
      <c r="BK859" s="81" t="str">
        <f t="shared" si="335"/>
        <v>MOLTO BASSO</v>
      </c>
    </row>
    <row r="860" spans="7:63" x14ac:dyDescent="0.15">
      <c r="G860" s="64">
        <f t="shared" si="312"/>
        <v>0</v>
      </c>
      <c r="I860" s="64">
        <f t="shared" si="313"/>
        <v>0</v>
      </c>
      <c r="K860" s="64">
        <f t="shared" si="314"/>
        <v>0</v>
      </c>
      <c r="M860" s="64">
        <f t="shared" si="315"/>
        <v>0</v>
      </c>
      <c r="O860" s="64">
        <f t="shared" si="316"/>
        <v>0</v>
      </c>
      <c r="Q860" s="64">
        <f t="shared" si="317"/>
        <v>0</v>
      </c>
      <c r="S860" s="71">
        <f t="shared" si="318"/>
        <v>0</v>
      </c>
      <c r="U860" s="64">
        <f t="shared" si="319"/>
        <v>0</v>
      </c>
      <c r="W860" s="71">
        <f t="shared" si="320"/>
        <v>0</v>
      </c>
      <c r="Y860" s="71">
        <f t="shared" si="321"/>
        <v>0</v>
      </c>
      <c r="AA860" s="71">
        <f t="shared" si="322"/>
        <v>0</v>
      </c>
      <c r="AC860" s="71">
        <f t="shared" si="323"/>
        <v>0</v>
      </c>
      <c r="AK860" s="71">
        <f t="shared" si="324"/>
        <v>0</v>
      </c>
      <c r="AM860" s="71">
        <f t="shared" si="325"/>
        <v>0</v>
      </c>
      <c r="AO860" s="71">
        <f t="shared" si="326"/>
        <v>0</v>
      </c>
      <c r="AQ860" s="71">
        <f t="shared" si="327"/>
        <v>0</v>
      </c>
      <c r="AT860" s="71">
        <f t="shared" si="328"/>
        <v>0</v>
      </c>
      <c r="AV860" s="71">
        <f t="shared" si="329"/>
        <v>0</v>
      </c>
      <c r="AX860" s="71">
        <f t="shared" si="330"/>
        <v>0</v>
      </c>
      <c r="AZ860" s="71">
        <f t="shared" si="331"/>
        <v>0</v>
      </c>
      <c r="BE860" s="102">
        <f t="shared" si="332"/>
        <v>4.4721359549995796</v>
      </c>
      <c r="BF860" s="81">
        <f t="shared" si="333"/>
        <v>9.3924867883288243E-14</v>
      </c>
      <c r="BG860" s="81" t="str">
        <f t="shared" si="334"/>
        <v>BASSO</v>
      </c>
      <c r="BK860" s="81" t="str">
        <f t="shared" si="335"/>
        <v>MOLTO BASSO</v>
      </c>
    </row>
    <row r="861" spans="7:63" x14ac:dyDescent="0.15">
      <c r="G861" s="64">
        <f t="shared" si="312"/>
        <v>0</v>
      </c>
      <c r="I861" s="64">
        <f t="shared" si="313"/>
        <v>0</v>
      </c>
      <c r="K861" s="64">
        <f t="shared" si="314"/>
        <v>0</v>
      </c>
      <c r="M861" s="64">
        <f t="shared" si="315"/>
        <v>0</v>
      </c>
      <c r="O861" s="64">
        <f t="shared" si="316"/>
        <v>0</v>
      </c>
      <c r="Q861" s="64">
        <f t="shared" si="317"/>
        <v>0</v>
      </c>
      <c r="S861" s="71">
        <f t="shared" si="318"/>
        <v>0</v>
      </c>
      <c r="U861" s="64">
        <f t="shared" si="319"/>
        <v>0</v>
      </c>
      <c r="W861" s="71">
        <f t="shared" si="320"/>
        <v>0</v>
      </c>
      <c r="Y861" s="71">
        <f t="shared" si="321"/>
        <v>0</v>
      </c>
      <c r="AA861" s="71">
        <f t="shared" si="322"/>
        <v>0</v>
      </c>
      <c r="AC861" s="71">
        <f t="shared" si="323"/>
        <v>0</v>
      </c>
      <c r="AK861" s="71">
        <f t="shared" si="324"/>
        <v>0</v>
      </c>
      <c r="AM861" s="71">
        <f t="shared" si="325"/>
        <v>0</v>
      </c>
      <c r="AO861" s="71">
        <f t="shared" si="326"/>
        <v>0</v>
      </c>
      <c r="AQ861" s="71">
        <f t="shared" si="327"/>
        <v>0</v>
      </c>
      <c r="AT861" s="71">
        <f t="shared" si="328"/>
        <v>0</v>
      </c>
      <c r="AV861" s="71">
        <f t="shared" si="329"/>
        <v>0</v>
      </c>
      <c r="AX861" s="71">
        <f t="shared" si="330"/>
        <v>0</v>
      </c>
      <c r="AZ861" s="71">
        <f t="shared" si="331"/>
        <v>0</v>
      </c>
      <c r="BE861" s="102">
        <f t="shared" si="332"/>
        <v>4.4721359549995796</v>
      </c>
      <c r="BF861" s="81">
        <f t="shared" si="333"/>
        <v>9.3924867883288243E-14</v>
      </c>
      <c r="BG861" s="81" t="str">
        <f t="shared" si="334"/>
        <v>BASSO</v>
      </c>
      <c r="BK861" s="81" t="str">
        <f t="shared" si="335"/>
        <v>MOLTO BASSO</v>
      </c>
    </row>
    <row r="862" spans="7:63" x14ac:dyDescent="0.15">
      <c r="G862" s="64">
        <f t="shared" si="312"/>
        <v>0</v>
      </c>
      <c r="I862" s="64">
        <f t="shared" si="313"/>
        <v>0</v>
      </c>
      <c r="K862" s="64">
        <f t="shared" si="314"/>
        <v>0</v>
      </c>
      <c r="M862" s="64">
        <f t="shared" si="315"/>
        <v>0</v>
      </c>
      <c r="O862" s="64">
        <f t="shared" si="316"/>
        <v>0</v>
      </c>
      <c r="Q862" s="64">
        <f t="shared" si="317"/>
        <v>0</v>
      </c>
      <c r="S862" s="71">
        <f t="shared" si="318"/>
        <v>0</v>
      </c>
      <c r="U862" s="64">
        <f t="shared" si="319"/>
        <v>0</v>
      </c>
      <c r="W862" s="71">
        <f t="shared" si="320"/>
        <v>0</v>
      </c>
      <c r="Y862" s="71">
        <f t="shared" si="321"/>
        <v>0</v>
      </c>
      <c r="AA862" s="71">
        <f t="shared" si="322"/>
        <v>0</v>
      </c>
      <c r="AC862" s="71">
        <f t="shared" si="323"/>
        <v>0</v>
      </c>
      <c r="AK862" s="71">
        <f t="shared" si="324"/>
        <v>0</v>
      </c>
      <c r="AM862" s="71">
        <f t="shared" si="325"/>
        <v>0</v>
      </c>
      <c r="AO862" s="71">
        <f t="shared" si="326"/>
        <v>0</v>
      </c>
      <c r="AQ862" s="71">
        <f t="shared" si="327"/>
        <v>0</v>
      </c>
      <c r="AT862" s="71">
        <f t="shared" si="328"/>
        <v>0</v>
      </c>
      <c r="AV862" s="71">
        <f t="shared" si="329"/>
        <v>0</v>
      </c>
      <c r="AX862" s="71">
        <f t="shared" si="330"/>
        <v>0</v>
      </c>
      <c r="AZ862" s="71">
        <f t="shared" si="331"/>
        <v>0</v>
      </c>
      <c r="BE862" s="102">
        <f t="shared" si="332"/>
        <v>4.4721359549995796</v>
      </c>
      <c r="BF862" s="81">
        <f t="shared" si="333"/>
        <v>9.3924867883288243E-14</v>
      </c>
      <c r="BG862" s="81" t="str">
        <f t="shared" si="334"/>
        <v>BASSO</v>
      </c>
      <c r="BK862" s="81" t="str">
        <f t="shared" si="335"/>
        <v>MOLTO BASSO</v>
      </c>
    </row>
    <row r="863" spans="7:63" x14ac:dyDescent="0.15">
      <c r="G863" s="64">
        <f t="shared" si="312"/>
        <v>0</v>
      </c>
      <c r="I863" s="64">
        <f t="shared" si="313"/>
        <v>0</v>
      </c>
      <c r="K863" s="64">
        <f t="shared" si="314"/>
        <v>0</v>
      </c>
      <c r="M863" s="64">
        <f t="shared" si="315"/>
        <v>0</v>
      </c>
      <c r="O863" s="64">
        <f t="shared" si="316"/>
        <v>0</v>
      </c>
      <c r="Q863" s="64">
        <f t="shared" si="317"/>
        <v>0</v>
      </c>
      <c r="S863" s="71">
        <f t="shared" si="318"/>
        <v>0</v>
      </c>
      <c r="U863" s="64">
        <f t="shared" si="319"/>
        <v>0</v>
      </c>
      <c r="W863" s="71">
        <f t="shared" si="320"/>
        <v>0</v>
      </c>
      <c r="Y863" s="71">
        <f t="shared" si="321"/>
        <v>0</v>
      </c>
      <c r="AA863" s="71">
        <f t="shared" si="322"/>
        <v>0</v>
      </c>
      <c r="AC863" s="71">
        <f t="shared" si="323"/>
        <v>0</v>
      </c>
      <c r="AK863" s="71">
        <f t="shared" si="324"/>
        <v>0</v>
      </c>
      <c r="AM863" s="71">
        <f t="shared" si="325"/>
        <v>0</v>
      </c>
      <c r="AO863" s="71">
        <f t="shared" si="326"/>
        <v>0</v>
      </c>
      <c r="AQ863" s="71">
        <f t="shared" si="327"/>
        <v>0</v>
      </c>
      <c r="AT863" s="71">
        <f t="shared" si="328"/>
        <v>0</v>
      </c>
      <c r="AV863" s="71">
        <f t="shared" si="329"/>
        <v>0</v>
      </c>
      <c r="AX863" s="71">
        <f t="shared" si="330"/>
        <v>0</v>
      </c>
      <c r="AZ863" s="71">
        <f t="shared" si="331"/>
        <v>0</v>
      </c>
      <c r="BE863" s="102">
        <f t="shared" si="332"/>
        <v>4.4721359549995796</v>
      </c>
      <c r="BF863" s="81">
        <f t="shared" si="333"/>
        <v>9.3924867883288243E-14</v>
      </c>
      <c r="BG863" s="81" t="str">
        <f t="shared" si="334"/>
        <v>BASSO</v>
      </c>
      <c r="BK863" s="81" t="str">
        <f t="shared" si="335"/>
        <v>MOLTO BASSO</v>
      </c>
    </row>
    <row r="864" spans="7:63" x14ac:dyDescent="0.15">
      <c r="G864" s="64">
        <f t="shared" si="312"/>
        <v>0</v>
      </c>
      <c r="I864" s="64">
        <f t="shared" si="313"/>
        <v>0</v>
      </c>
      <c r="K864" s="64">
        <f t="shared" si="314"/>
        <v>0</v>
      </c>
      <c r="M864" s="64">
        <f t="shared" si="315"/>
        <v>0</v>
      </c>
      <c r="O864" s="64">
        <f t="shared" si="316"/>
        <v>0</v>
      </c>
      <c r="Q864" s="64">
        <f t="shared" si="317"/>
        <v>0</v>
      </c>
      <c r="S864" s="71">
        <f t="shared" si="318"/>
        <v>0</v>
      </c>
      <c r="U864" s="64">
        <f t="shared" si="319"/>
        <v>0</v>
      </c>
      <c r="W864" s="71">
        <f t="shared" si="320"/>
        <v>0</v>
      </c>
      <c r="Y864" s="71">
        <f t="shared" si="321"/>
        <v>0</v>
      </c>
      <c r="AA864" s="71">
        <f t="shared" si="322"/>
        <v>0</v>
      </c>
      <c r="AC864" s="71">
        <f t="shared" si="323"/>
        <v>0</v>
      </c>
      <c r="AK864" s="71">
        <f t="shared" si="324"/>
        <v>0</v>
      </c>
      <c r="AM864" s="71">
        <f t="shared" si="325"/>
        <v>0</v>
      </c>
      <c r="AO864" s="71">
        <f t="shared" si="326"/>
        <v>0</v>
      </c>
      <c r="AQ864" s="71">
        <f t="shared" si="327"/>
        <v>0</v>
      </c>
      <c r="AT864" s="71">
        <f t="shared" si="328"/>
        <v>0</v>
      </c>
      <c r="AV864" s="71">
        <f t="shared" si="329"/>
        <v>0</v>
      </c>
      <c r="AX864" s="71">
        <f t="shared" si="330"/>
        <v>0</v>
      </c>
      <c r="AZ864" s="71">
        <f t="shared" si="331"/>
        <v>0</v>
      </c>
      <c r="BE864" s="102">
        <f t="shared" si="332"/>
        <v>4.4721359549995796</v>
      </c>
      <c r="BF864" s="81">
        <f t="shared" si="333"/>
        <v>9.3924867883288243E-14</v>
      </c>
      <c r="BG864" s="81" t="str">
        <f t="shared" si="334"/>
        <v>BASSO</v>
      </c>
      <c r="BK864" s="81" t="str">
        <f t="shared" si="335"/>
        <v>MOLTO BASSO</v>
      </c>
    </row>
    <row r="865" spans="7:63" x14ac:dyDescent="0.15">
      <c r="G865" s="64">
        <f t="shared" si="312"/>
        <v>0</v>
      </c>
      <c r="I865" s="64">
        <f t="shared" si="313"/>
        <v>0</v>
      </c>
      <c r="K865" s="64">
        <f t="shared" si="314"/>
        <v>0</v>
      </c>
      <c r="M865" s="64">
        <f t="shared" si="315"/>
        <v>0</v>
      </c>
      <c r="O865" s="64">
        <f t="shared" si="316"/>
        <v>0</v>
      </c>
      <c r="Q865" s="64">
        <f t="shared" si="317"/>
        <v>0</v>
      </c>
      <c r="S865" s="71">
        <f t="shared" si="318"/>
        <v>0</v>
      </c>
      <c r="U865" s="64">
        <f t="shared" si="319"/>
        <v>0</v>
      </c>
      <c r="W865" s="71">
        <f t="shared" si="320"/>
        <v>0</v>
      </c>
      <c r="Y865" s="71">
        <f t="shared" si="321"/>
        <v>0</v>
      </c>
      <c r="AA865" s="71">
        <f t="shared" si="322"/>
        <v>0</v>
      </c>
      <c r="AC865" s="71">
        <f t="shared" si="323"/>
        <v>0</v>
      </c>
      <c r="AK865" s="71">
        <f t="shared" si="324"/>
        <v>0</v>
      </c>
      <c r="AM865" s="71">
        <f t="shared" si="325"/>
        <v>0</v>
      </c>
      <c r="AO865" s="71">
        <f t="shared" si="326"/>
        <v>0</v>
      </c>
      <c r="AQ865" s="71">
        <f t="shared" si="327"/>
        <v>0</v>
      </c>
      <c r="AT865" s="71">
        <f t="shared" si="328"/>
        <v>0</v>
      </c>
      <c r="AV865" s="71">
        <f t="shared" si="329"/>
        <v>0</v>
      </c>
      <c r="AX865" s="71">
        <f t="shared" si="330"/>
        <v>0</v>
      </c>
      <c r="AZ865" s="71">
        <f t="shared" si="331"/>
        <v>0</v>
      </c>
      <c r="BE865" s="102">
        <f t="shared" si="332"/>
        <v>4.4721359549995796</v>
      </c>
      <c r="BF865" s="81">
        <f t="shared" si="333"/>
        <v>9.3924867883288243E-14</v>
      </c>
      <c r="BG865" s="81" t="str">
        <f t="shared" si="334"/>
        <v>BASSO</v>
      </c>
      <c r="BK865" s="81" t="str">
        <f t="shared" si="335"/>
        <v>MOLTO BASSO</v>
      </c>
    </row>
    <row r="866" spans="7:63" x14ac:dyDescent="0.15">
      <c r="G866" s="64">
        <f t="shared" si="312"/>
        <v>0</v>
      </c>
      <c r="I866" s="64">
        <f t="shared" si="313"/>
        <v>0</v>
      </c>
      <c r="K866" s="64">
        <f t="shared" si="314"/>
        <v>0</v>
      </c>
      <c r="M866" s="64">
        <f t="shared" si="315"/>
        <v>0</v>
      </c>
      <c r="O866" s="64">
        <f t="shared" si="316"/>
        <v>0</v>
      </c>
      <c r="Q866" s="64">
        <f t="shared" si="317"/>
        <v>0</v>
      </c>
      <c r="S866" s="71">
        <f t="shared" si="318"/>
        <v>0</v>
      </c>
      <c r="U866" s="64">
        <f t="shared" si="319"/>
        <v>0</v>
      </c>
      <c r="W866" s="71">
        <f t="shared" si="320"/>
        <v>0</v>
      </c>
      <c r="Y866" s="71">
        <f t="shared" si="321"/>
        <v>0</v>
      </c>
      <c r="AA866" s="71">
        <f t="shared" si="322"/>
        <v>0</v>
      </c>
      <c r="AC866" s="71">
        <f t="shared" si="323"/>
        <v>0</v>
      </c>
      <c r="AK866" s="71">
        <f t="shared" si="324"/>
        <v>0</v>
      </c>
      <c r="AM866" s="71">
        <f t="shared" si="325"/>
        <v>0</v>
      </c>
      <c r="AO866" s="71">
        <f t="shared" si="326"/>
        <v>0</v>
      </c>
      <c r="AQ866" s="71">
        <f t="shared" si="327"/>
        <v>0</v>
      </c>
      <c r="AT866" s="71">
        <f t="shared" si="328"/>
        <v>0</v>
      </c>
      <c r="AV866" s="71">
        <f t="shared" si="329"/>
        <v>0</v>
      </c>
      <c r="AX866" s="71">
        <f t="shared" si="330"/>
        <v>0</v>
      </c>
      <c r="AZ866" s="71">
        <f t="shared" si="331"/>
        <v>0</v>
      </c>
      <c r="BE866" s="102">
        <f t="shared" si="332"/>
        <v>4.4721359549995796</v>
      </c>
      <c r="BF866" s="81">
        <f t="shared" si="333"/>
        <v>9.3924867883288243E-14</v>
      </c>
      <c r="BG866" s="81" t="str">
        <f t="shared" si="334"/>
        <v>BASSO</v>
      </c>
      <c r="BK866" s="81" t="str">
        <f t="shared" si="335"/>
        <v>MOLTO BASSO</v>
      </c>
    </row>
    <row r="867" spans="7:63" x14ac:dyDescent="0.15">
      <c r="G867" s="64">
        <f t="shared" si="312"/>
        <v>0</v>
      </c>
      <c r="I867" s="64">
        <f t="shared" si="313"/>
        <v>0</v>
      </c>
      <c r="K867" s="64">
        <f t="shared" si="314"/>
        <v>0</v>
      </c>
      <c r="M867" s="64">
        <f t="shared" si="315"/>
        <v>0</v>
      </c>
      <c r="O867" s="64">
        <f t="shared" si="316"/>
        <v>0</v>
      </c>
      <c r="Q867" s="64">
        <f t="shared" si="317"/>
        <v>0</v>
      </c>
      <c r="S867" s="71">
        <f t="shared" si="318"/>
        <v>0</v>
      </c>
      <c r="U867" s="64">
        <f t="shared" si="319"/>
        <v>0</v>
      </c>
      <c r="W867" s="71">
        <f t="shared" si="320"/>
        <v>0</v>
      </c>
      <c r="Y867" s="71">
        <f t="shared" si="321"/>
        <v>0</v>
      </c>
      <c r="AA867" s="71">
        <f t="shared" si="322"/>
        <v>0</v>
      </c>
      <c r="AC867" s="71">
        <f t="shared" si="323"/>
        <v>0</v>
      </c>
      <c r="AK867" s="71">
        <f t="shared" si="324"/>
        <v>0</v>
      </c>
      <c r="AM867" s="71">
        <f t="shared" si="325"/>
        <v>0</v>
      </c>
      <c r="AO867" s="71">
        <f t="shared" si="326"/>
        <v>0</v>
      </c>
      <c r="AQ867" s="71">
        <f t="shared" si="327"/>
        <v>0</v>
      </c>
      <c r="AT867" s="71">
        <f t="shared" si="328"/>
        <v>0</v>
      </c>
      <c r="AV867" s="71">
        <f t="shared" si="329"/>
        <v>0</v>
      </c>
      <c r="AX867" s="71">
        <f t="shared" si="330"/>
        <v>0</v>
      </c>
      <c r="AZ867" s="71">
        <f t="shared" si="331"/>
        <v>0</v>
      </c>
      <c r="BE867" s="102">
        <f t="shared" si="332"/>
        <v>4.4721359549995796</v>
      </c>
      <c r="BF867" s="81">
        <f t="shared" si="333"/>
        <v>9.3924867883288243E-14</v>
      </c>
      <c r="BG867" s="81" t="str">
        <f t="shared" si="334"/>
        <v>BASSO</v>
      </c>
      <c r="BK867" s="81" t="str">
        <f t="shared" si="335"/>
        <v>MOLTO BASSO</v>
      </c>
    </row>
    <row r="868" spans="7:63" x14ac:dyDescent="0.15">
      <c r="G868" s="64">
        <f t="shared" si="312"/>
        <v>0</v>
      </c>
      <c r="I868" s="64">
        <f t="shared" si="313"/>
        <v>0</v>
      </c>
      <c r="K868" s="64">
        <f t="shared" si="314"/>
        <v>0</v>
      </c>
      <c r="M868" s="64">
        <f t="shared" si="315"/>
        <v>0</v>
      </c>
      <c r="O868" s="64">
        <f t="shared" si="316"/>
        <v>0</v>
      </c>
      <c r="Q868" s="64">
        <f t="shared" si="317"/>
        <v>0</v>
      </c>
      <c r="S868" s="71">
        <f t="shared" si="318"/>
        <v>0</v>
      </c>
      <c r="U868" s="64">
        <f t="shared" si="319"/>
        <v>0</v>
      </c>
      <c r="W868" s="71">
        <f t="shared" si="320"/>
        <v>0</v>
      </c>
      <c r="Y868" s="71">
        <f t="shared" si="321"/>
        <v>0</v>
      </c>
      <c r="AA868" s="71">
        <f t="shared" si="322"/>
        <v>0</v>
      </c>
      <c r="AC868" s="71">
        <f t="shared" si="323"/>
        <v>0</v>
      </c>
      <c r="AK868" s="71">
        <f t="shared" si="324"/>
        <v>0</v>
      </c>
      <c r="AM868" s="71">
        <f t="shared" si="325"/>
        <v>0</v>
      </c>
      <c r="AO868" s="71">
        <f t="shared" si="326"/>
        <v>0</v>
      </c>
      <c r="AQ868" s="71">
        <f t="shared" si="327"/>
        <v>0</v>
      </c>
      <c r="AT868" s="71">
        <f t="shared" si="328"/>
        <v>0</v>
      </c>
      <c r="AV868" s="71">
        <f t="shared" si="329"/>
        <v>0</v>
      </c>
      <c r="AX868" s="71">
        <f t="shared" si="330"/>
        <v>0</v>
      </c>
      <c r="AZ868" s="71">
        <f t="shared" si="331"/>
        <v>0</v>
      </c>
      <c r="BE868" s="102">
        <f t="shared" si="332"/>
        <v>4.4721359549995796</v>
      </c>
      <c r="BF868" s="81">
        <f t="shared" si="333"/>
        <v>9.3924867883288243E-14</v>
      </c>
      <c r="BG868" s="81" t="str">
        <f t="shared" si="334"/>
        <v>BASSO</v>
      </c>
      <c r="BK868" s="81" t="str">
        <f t="shared" si="335"/>
        <v>MOLTO BASSO</v>
      </c>
    </row>
    <row r="869" spans="7:63" x14ac:dyDescent="0.15">
      <c r="G869" s="64">
        <f t="shared" si="312"/>
        <v>0</v>
      </c>
      <c r="I869" s="64">
        <f t="shared" si="313"/>
        <v>0</v>
      </c>
      <c r="K869" s="64">
        <f t="shared" si="314"/>
        <v>0</v>
      </c>
      <c r="M869" s="64">
        <f t="shared" si="315"/>
        <v>0</v>
      </c>
      <c r="O869" s="64">
        <f t="shared" si="316"/>
        <v>0</v>
      </c>
      <c r="Q869" s="64">
        <f t="shared" si="317"/>
        <v>0</v>
      </c>
      <c r="S869" s="71">
        <f t="shared" si="318"/>
        <v>0</v>
      </c>
      <c r="U869" s="64">
        <f t="shared" si="319"/>
        <v>0</v>
      </c>
      <c r="W869" s="71">
        <f t="shared" si="320"/>
        <v>0</v>
      </c>
      <c r="Y869" s="71">
        <f t="shared" si="321"/>
        <v>0</v>
      </c>
      <c r="AA869" s="71">
        <f t="shared" si="322"/>
        <v>0</v>
      </c>
      <c r="AC869" s="71">
        <f t="shared" si="323"/>
        <v>0</v>
      </c>
      <c r="AK869" s="71">
        <f t="shared" si="324"/>
        <v>0</v>
      </c>
      <c r="AM869" s="71">
        <f t="shared" si="325"/>
        <v>0</v>
      </c>
      <c r="AO869" s="71">
        <f t="shared" si="326"/>
        <v>0</v>
      </c>
      <c r="AQ869" s="71">
        <f t="shared" si="327"/>
        <v>0</v>
      </c>
      <c r="AT869" s="71">
        <f t="shared" si="328"/>
        <v>0</v>
      </c>
      <c r="AV869" s="71">
        <f t="shared" si="329"/>
        <v>0</v>
      </c>
      <c r="AX869" s="71">
        <f t="shared" si="330"/>
        <v>0</v>
      </c>
      <c r="AZ869" s="71">
        <f t="shared" si="331"/>
        <v>0</v>
      </c>
      <c r="BE869" s="102">
        <f t="shared" si="332"/>
        <v>4.4721359549995796</v>
      </c>
      <c r="BF869" s="81">
        <f t="shared" si="333"/>
        <v>9.3924867883288243E-14</v>
      </c>
      <c r="BG869" s="81" t="str">
        <f t="shared" si="334"/>
        <v>BASSO</v>
      </c>
      <c r="BK869" s="81" t="str">
        <f t="shared" si="335"/>
        <v>MOLTO BASSO</v>
      </c>
    </row>
    <row r="870" spans="7:63" x14ac:dyDescent="0.15">
      <c r="G870" s="64">
        <f t="shared" si="312"/>
        <v>0</v>
      </c>
      <c r="I870" s="64">
        <f t="shared" si="313"/>
        <v>0</v>
      </c>
      <c r="K870" s="64">
        <f t="shared" si="314"/>
        <v>0</v>
      </c>
      <c r="M870" s="64">
        <f t="shared" si="315"/>
        <v>0</v>
      </c>
      <c r="O870" s="64">
        <f t="shared" si="316"/>
        <v>0</v>
      </c>
      <c r="Q870" s="64">
        <f t="shared" si="317"/>
        <v>0</v>
      </c>
      <c r="S870" s="71">
        <f t="shared" si="318"/>
        <v>0</v>
      </c>
      <c r="U870" s="64">
        <f t="shared" si="319"/>
        <v>0</v>
      </c>
      <c r="W870" s="71">
        <f t="shared" si="320"/>
        <v>0</v>
      </c>
      <c r="Y870" s="71">
        <f t="shared" si="321"/>
        <v>0</v>
      </c>
      <c r="AA870" s="71">
        <f t="shared" si="322"/>
        <v>0</v>
      </c>
      <c r="AC870" s="71">
        <f t="shared" si="323"/>
        <v>0</v>
      </c>
      <c r="AK870" s="71">
        <f t="shared" si="324"/>
        <v>0</v>
      </c>
      <c r="AM870" s="71">
        <f t="shared" si="325"/>
        <v>0</v>
      </c>
      <c r="AO870" s="71">
        <f t="shared" si="326"/>
        <v>0</v>
      </c>
      <c r="AQ870" s="71">
        <f t="shared" si="327"/>
        <v>0</v>
      </c>
      <c r="AT870" s="71">
        <f t="shared" si="328"/>
        <v>0</v>
      </c>
      <c r="AV870" s="71">
        <f t="shared" si="329"/>
        <v>0</v>
      </c>
      <c r="AX870" s="71">
        <f t="shared" si="330"/>
        <v>0</v>
      </c>
      <c r="AZ870" s="71">
        <f t="shared" si="331"/>
        <v>0</v>
      </c>
      <c r="BE870" s="102">
        <f t="shared" si="332"/>
        <v>4.4721359549995796</v>
      </c>
      <c r="BF870" s="81">
        <f t="shared" si="333"/>
        <v>9.3924867883288243E-14</v>
      </c>
      <c r="BG870" s="81" t="str">
        <f t="shared" si="334"/>
        <v>BASSO</v>
      </c>
      <c r="BK870" s="81" t="str">
        <f t="shared" si="335"/>
        <v>MOLTO BASSO</v>
      </c>
    </row>
    <row r="871" spans="7:63" x14ac:dyDescent="0.15">
      <c r="G871" s="64">
        <f t="shared" si="312"/>
        <v>0</v>
      </c>
      <c r="I871" s="64">
        <f t="shared" si="313"/>
        <v>0</v>
      </c>
      <c r="K871" s="64">
        <f t="shared" si="314"/>
        <v>0</v>
      </c>
      <c r="M871" s="64">
        <f t="shared" si="315"/>
        <v>0</v>
      </c>
      <c r="O871" s="64">
        <f t="shared" si="316"/>
        <v>0</v>
      </c>
      <c r="Q871" s="64">
        <f t="shared" si="317"/>
        <v>0</v>
      </c>
      <c r="S871" s="71">
        <f t="shared" si="318"/>
        <v>0</v>
      </c>
      <c r="U871" s="64">
        <f t="shared" si="319"/>
        <v>0</v>
      </c>
      <c r="W871" s="71">
        <f t="shared" si="320"/>
        <v>0</v>
      </c>
      <c r="Y871" s="71">
        <f t="shared" si="321"/>
        <v>0</v>
      </c>
      <c r="AA871" s="71">
        <f t="shared" si="322"/>
        <v>0</v>
      </c>
      <c r="AC871" s="71">
        <f t="shared" si="323"/>
        <v>0</v>
      </c>
      <c r="AK871" s="71">
        <f t="shared" si="324"/>
        <v>0</v>
      </c>
      <c r="AM871" s="71">
        <f t="shared" si="325"/>
        <v>0</v>
      </c>
      <c r="AO871" s="71">
        <f t="shared" si="326"/>
        <v>0</v>
      </c>
      <c r="AQ871" s="71">
        <f t="shared" si="327"/>
        <v>0</v>
      </c>
      <c r="AT871" s="71">
        <f t="shared" si="328"/>
        <v>0</v>
      </c>
      <c r="AV871" s="71">
        <f t="shared" si="329"/>
        <v>0</v>
      </c>
      <c r="AX871" s="71">
        <f t="shared" si="330"/>
        <v>0</v>
      </c>
      <c r="AZ871" s="71">
        <f t="shared" si="331"/>
        <v>0</v>
      </c>
      <c r="BE871" s="102">
        <f t="shared" si="332"/>
        <v>4.4721359549995796</v>
      </c>
      <c r="BF871" s="81">
        <f t="shared" si="333"/>
        <v>9.3924867883288243E-14</v>
      </c>
      <c r="BG871" s="81" t="str">
        <f t="shared" si="334"/>
        <v>BASSO</v>
      </c>
      <c r="BK871" s="81" t="str">
        <f t="shared" si="335"/>
        <v>MOLTO BASSO</v>
      </c>
    </row>
    <row r="872" spans="7:63" x14ac:dyDescent="0.15">
      <c r="G872" s="64">
        <f t="shared" ref="G872:G935" si="336">F873/2</f>
        <v>0</v>
      </c>
      <c r="I872" s="64">
        <f t="shared" si="313"/>
        <v>0</v>
      </c>
      <c r="K872" s="64">
        <f t="shared" si="314"/>
        <v>0</v>
      </c>
      <c r="M872" s="64">
        <f t="shared" si="315"/>
        <v>0</v>
      </c>
      <c r="O872" s="64">
        <f t="shared" si="316"/>
        <v>0</v>
      </c>
      <c r="Q872" s="64">
        <f t="shared" si="317"/>
        <v>0</v>
      </c>
      <c r="S872" s="71">
        <f t="shared" si="318"/>
        <v>0</v>
      </c>
      <c r="U872" s="64">
        <f t="shared" si="319"/>
        <v>0</v>
      </c>
      <c r="W872" s="71">
        <f t="shared" si="320"/>
        <v>0</v>
      </c>
      <c r="Y872" s="71">
        <f t="shared" si="321"/>
        <v>0</v>
      </c>
      <c r="AA872" s="71">
        <f t="shared" si="322"/>
        <v>0</v>
      </c>
      <c r="AC872" s="71">
        <f t="shared" si="323"/>
        <v>0</v>
      </c>
      <c r="AK872" s="71">
        <f t="shared" si="324"/>
        <v>0</v>
      </c>
      <c r="AM872" s="71">
        <f t="shared" si="325"/>
        <v>0</v>
      </c>
      <c r="AO872" s="71">
        <f t="shared" si="326"/>
        <v>0</v>
      </c>
      <c r="AQ872" s="71">
        <f t="shared" si="327"/>
        <v>0</v>
      </c>
      <c r="AT872" s="71">
        <f t="shared" si="328"/>
        <v>0</v>
      </c>
      <c r="AV872" s="71">
        <f t="shared" si="329"/>
        <v>0</v>
      </c>
      <c r="AX872" s="71">
        <f t="shared" si="330"/>
        <v>0</v>
      </c>
      <c r="AZ872" s="71">
        <f t="shared" si="331"/>
        <v>0</v>
      </c>
      <c r="BE872" s="102">
        <f t="shared" si="332"/>
        <v>4.4721359549995796</v>
      </c>
      <c r="BF872" s="81">
        <f t="shared" si="333"/>
        <v>9.3924867883288243E-14</v>
      </c>
      <c r="BG872" s="81" t="str">
        <f t="shared" si="334"/>
        <v>BASSO</v>
      </c>
      <c r="BK872" s="81" t="str">
        <f t="shared" si="335"/>
        <v>MOLTO BASSO</v>
      </c>
    </row>
    <row r="873" spans="7:63" x14ac:dyDescent="0.15">
      <c r="G873" s="64">
        <f t="shared" si="336"/>
        <v>0</v>
      </c>
      <c r="I873" s="64">
        <f t="shared" si="313"/>
        <v>0</v>
      </c>
      <c r="K873" s="64">
        <f t="shared" si="314"/>
        <v>0</v>
      </c>
      <c r="M873" s="64">
        <f t="shared" si="315"/>
        <v>0</v>
      </c>
      <c r="O873" s="64">
        <f t="shared" si="316"/>
        <v>0</v>
      </c>
      <c r="Q873" s="64">
        <f t="shared" si="317"/>
        <v>0</v>
      </c>
      <c r="S873" s="71">
        <f t="shared" si="318"/>
        <v>0</v>
      </c>
      <c r="U873" s="64">
        <f t="shared" si="319"/>
        <v>0</v>
      </c>
      <c r="W873" s="71">
        <f t="shared" si="320"/>
        <v>0</v>
      </c>
      <c r="Y873" s="71">
        <f t="shared" si="321"/>
        <v>0</v>
      </c>
      <c r="AA873" s="71">
        <f t="shared" si="322"/>
        <v>0</v>
      </c>
      <c r="AC873" s="71">
        <f t="shared" si="323"/>
        <v>0</v>
      </c>
      <c r="AK873" s="71">
        <f t="shared" si="324"/>
        <v>0</v>
      </c>
      <c r="AM873" s="71">
        <f t="shared" si="325"/>
        <v>0</v>
      </c>
      <c r="AO873" s="71">
        <f t="shared" si="326"/>
        <v>0</v>
      </c>
      <c r="AQ873" s="71">
        <f t="shared" si="327"/>
        <v>0</v>
      </c>
      <c r="AT873" s="71">
        <f t="shared" si="328"/>
        <v>0</v>
      </c>
      <c r="AV873" s="71">
        <f t="shared" si="329"/>
        <v>0</v>
      </c>
      <c r="AX873" s="71">
        <f t="shared" si="330"/>
        <v>0</v>
      </c>
      <c r="AZ873" s="71">
        <f t="shared" si="331"/>
        <v>0</v>
      </c>
      <c r="BE873" s="102">
        <f t="shared" si="332"/>
        <v>4.4721359549995796</v>
      </c>
      <c r="BF873" s="81">
        <f t="shared" si="333"/>
        <v>9.3924867883288243E-14</v>
      </c>
      <c r="BG873" s="81" t="str">
        <f t="shared" si="334"/>
        <v>BASSO</v>
      </c>
      <c r="BK873" s="81" t="str">
        <f t="shared" si="335"/>
        <v>MOLTO BASSO</v>
      </c>
    </row>
    <row r="874" spans="7:63" x14ac:dyDescent="0.15">
      <c r="G874" s="64">
        <f t="shared" si="336"/>
        <v>0</v>
      </c>
      <c r="I874" s="64">
        <f t="shared" si="313"/>
        <v>0</v>
      </c>
      <c r="K874" s="64">
        <f t="shared" si="314"/>
        <v>0</v>
      </c>
      <c r="M874" s="64">
        <f t="shared" si="315"/>
        <v>0</v>
      </c>
      <c r="O874" s="64">
        <f t="shared" si="316"/>
        <v>0</v>
      </c>
      <c r="Q874" s="64">
        <f t="shared" si="317"/>
        <v>0</v>
      </c>
      <c r="S874" s="71">
        <f t="shared" si="318"/>
        <v>0</v>
      </c>
      <c r="U874" s="64">
        <f t="shared" si="319"/>
        <v>0</v>
      </c>
      <c r="W874" s="71">
        <f t="shared" si="320"/>
        <v>0</v>
      </c>
      <c r="Y874" s="71">
        <f t="shared" si="321"/>
        <v>0</v>
      </c>
      <c r="AA874" s="71">
        <f t="shared" si="322"/>
        <v>0</v>
      </c>
      <c r="AC874" s="71">
        <f t="shared" si="323"/>
        <v>0</v>
      </c>
      <c r="AK874" s="71">
        <f t="shared" si="324"/>
        <v>0</v>
      </c>
      <c r="AM874" s="71">
        <f t="shared" si="325"/>
        <v>0</v>
      </c>
      <c r="AO874" s="71">
        <f t="shared" si="326"/>
        <v>0</v>
      </c>
      <c r="AQ874" s="71">
        <f t="shared" si="327"/>
        <v>0</v>
      </c>
      <c r="AT874" s="71">
        <f t="shared" si="328"/>
        <v>0</v>
      </c>
      <c r="AV874" s="71">
        <f t="shared" si="329"/>
        <v>0</v>
      </c>
      <c r="AX874" s="71">
        <f t="shared" si="330"/>
        <v>0</v>
      </c>
      <c r="AZ874" s="71">
        <f t="shared" si="331"/>
        <v>0</v>
      </c>
      <c r="BE874" s="102">
        <f t="shared" si="332"/>
        <v>4.4721359549995796</v>
      </c>
      <c r="BF874" s="81">
        <f t="shared" si="333"/>
        <v>9.3924867883288243E-14</v>
      </c>
      <c r="BG874" s="81" t="str">
        <f t="shared" si="334"/>
        <v>BASSO</v>
      </c>
      <c r="BK874" s="81" t="str">
        <f t="shared" si="335"/>
        <v>MOLTO BASSO</v>
      </c>
    </row>
    <row r="875" spans="7:63" x14ac:dyDescent="0.15">
      <c r="G875" s="64">
        <f t="shared" si="336"/>
        <v>0</v>
      </c>
      <c r="I875" s="64">
        <f t="shared" si="313"/>
        <v>0</v>
      </c>
      <c r="K875" s="64">
        <f t="shared" si="314"/>
        <v>0</v>
      </c>
      <c r="M875" s="64">
        <f t="shared" si="315"/>
        <v>0</v>
      </c>
      <c r="O875" s="64">
        <f t="shared" si="316"/>
        <v>0</v>
      </c>
      <c r="Q875" s="64">
        <f t="shared" si="317"/>
        <v>0</v>
      </c>
      <c r="S875" s="71">
        <f t="shared" si="318"/>
        <v>0</v>
      </c>
      <c r="U875" s="64">
        <f t="shared" si="319"/>
        <v>0</v>
      </c>
      <c r="W875" s="71">
        <f t="shared" si="320"/>
        <v>0</v>
      </c>
      <c r="Y875" s="71">
        <f t="shared" si="321"/>
        <v>0</v>
      </c>
      <c r="AA875" s="71">
        <f t="shared" si="322"/>
        <v>0</v>
      </c>
      <c r="AC875" s="71">
        <f t="shared" si="323"/>
        <v>0</v>
      </c>
      <c r="AK875" s="71">
        <f t="shared" si="324"/>
        <v>0</v>
      </c>
      <c r="AM875" s="71">
        <f t="shared" si="325"/>
        <v>0</v>
      </c>
      <c r="AO875" s="71">
        <f t="shared" si="326"/>
        <v>0</v>
      </c>
      <c r="AQ875" s="71">
        <f t="shared" si="327"/>
        <v>0</v>
      </c>
      <c r="AT875" s="71">
        <f t="shared" si="328"/>
        <v>0</v>
      </c>
      <c r="AV875" s="71">
        <f t="shared" si="329"/>
        <v>0</v>
      </c>
      <c r="AX875" s="71">
        <f t="shared" si="330"/>
        <v>0</v>
      </c>
      <c r="AZ875" s="71">
        <f t="shared" si="331"/>
        <v>0</v>
      </c>
      <c r="BE875" s="102">
        <f t="shared" si="332"/>
        <v>4.4721359549995796</v>
      </c>
      <c r="BF875" s="81">
        <f t="shared" si="333"/>
        <v>9.3924867883288243E-14</v>
      </c>
      <c r="BG875" s="81" t="str">
        <f t="shared" si="334"/>
        <v>BASSO</v>
      </c>
      <c r="BK875" s="81" t="str">
        <f t="shared" si="335"/>
        <v>MOLTO BASSO</v>
      </c>
    </row>
    <row r="876" spans="7:63" x14ac:dyDescent="0.15">
      <c r="G876" s="64">
        <f t="shared" si="336"/>
        <v>0</v>
      </c>
      <c r="I876" s="64">
        <f t="shared" si="313"/>
        <v>0</v>
      </c>
      <c r="K876" s="64">
        <f t="shared" si="314"/>
        <v>0</v>
      </c>
      <c r="M876" s="64">
        <f t="shared" si="315"/>
        <v>0</v>
      </c>
      <c r="O876" s="64">
        <f t="shared" si="316"/>
        <v>0</v>
      </c>
      <c r="Q876" s="64">
        <f t="shared" si="317"/>
        <v>0</v>
      </c>
      <c r="S876" s="71">
        <f t="shared" si="318"/>
        <v>0</v>
      </c>
      <c r="U876" s="64">
        <f t="shared" si="319"/>
        <v>0</v>
      </c>
      <c r="W876" s="71">
        <f t="shared" si="320"/>
        <v>0</v>
      </c>
      <c r="Y876" s="71">
        <f t="shared" si="321"/>
        <v>0</v>
      </c>
      <c r="AA876" s="71">
        <f t="shared" si="322"/>
        <v>0</v>
      </c>
      <c r="AC876" s="71">
        <f t="shared" si="323"/>
        <v>0</v>
      </c>
      <c r="AK876" s="71">
        <f t="shared" si="324"/>
        <v>0</v>
      </c>
      <c r="AM876" s="71">
        <f t="shared" si="325"/>
        <v>0</v>
      </c>
      <c r="AO876" s="71">
        <f t="shared" si="326"/>
        <v>0</v>
      </c>
      <c r="AQ876" s="71">
        <f t="shared" si="327"/>
        <v>0</v>
      </c>
      <c r="AT876" s="71">
        <f t="shared" si="328"/>
        <v>0</v>
      </c>
      <c r="AV876" s="71">
        <f t="shared" si="329"/>
        <v>0</v>
      </c>
      <c r="AX876" s="71">
        <f t="shared" si="330"/>
        <v>0</v>
      </c>
      <c r="AZ876" s="71">
        <f t="shared" si="331"/>
        <v>0</v>
      </c>
      <c r="BE876" s="102">
        <f t="shared" si="332"/>
        <v>4.4721359549995796</v>
      </c>
      <c r="BF876" s="81">
        <f t="shared" si="333"/>
        <v>9.3924867883288243E-14</v>
      </c>
      <c r="BG876" s="81" t="str">
        <f t="shared" si="334"/>
        <v>BASSO</v>
      </c>
      <c r="BK876" s="81" t="str">
        <f t="shared" si="335"/>
        <v>MOLTO BASSO</v>
      </c>
    </row>
    <row r="877" spans="7:63" x14ac:dyDescent="0.15">
      <c r="G877" s="64">
        <f t="shared" si="336"/>
        <v>0</v>
      </c>
      <c r="I877" s="64">
        <f t="shared" si="313"/>
        <v>0</v>
      </c>
      <c r="K877" s="64">
        <f t="shared" si="314"/>
        <v>0</v>
      </c>
      <c r="M877" s="64">
        <f t="shared" si="315"/>
        <v>0</v>
      </c>
      <c r="O877" s="64">
        <f t="shared" si="316"/>
        <v>0</v>
      </c>
      <c r="Q877" s="64">
        <f t="shared" si="317"/>
        <v>0</v>
      </c>
      <c r="S877" s="71">
        <f t="shared" si="318"/>
        <v>0</v>
      </c>
      <c r="U877" s="64">
        <f t="shared" si="319"/>
        <v>0</v>
      </c>
      <c r="W877" s="71">
        <f t="shared" si="320"/>
        <v>0</v>
      </c>
      <c r="Y877" s="71">
        <f t="shared" si="321"/>
        <v>0</v>
      </c>
      <c r="AA877" s="71">
        <f t="shared" si="322"/>
        <v>0</v>
      </c>
      <c r="AC877" s="71">
        <f t="shared" si="323"/>
        <v>0</v>
      </c>
      <c r="AK877" s="71">
        <f t="shared" si="324"/>
        <v>0</v>
      </c>
      <c r="AM877" s="71">
        <f t="shared" si="325"/>
        <v>0</v>
      </c>
      <c r="AO877" s="71">
        <f t="shared" si="326"/>
        <v>0</v>
      </c>
      <c r="AQ877" s="71">
        <f t="shared" si="327"/>
        <v>0</v>
      </c>
      <c r="AT877" s="71">
        <f t="shared" si="328"/>
        <v>0</v>
      </c>
      <c r="AV877" s="71">
        <f t="shared" si="329"/>
        <v>0</v>
      </c>
      <c r="AX877" s="71">
        <f t="shared" si="330"/>
        <v>0</v>
      </c>
      <c r="AZ877" s="71">
        <f t="shared" si="331"/>
        <v>0</v>
      </c>
      <c r="BE877" s="102">
        <f t="shared" si="332"/>
        <v>4.4721359549995796</v>
      </c>
      <c r="BF877" s="81">
        <f t="shared" si="333"/>
        <v>9.3924867883288243E-14</v>
      </c>
      <c r="BG877" s="81" t="str">
        <f t="shared" si="334"/>
        <v>BASSO</v>
      </c>
      <c r="BK877" s="81" t="str">
        <f t="shared" si="335"/>
        <v>MOLTO BASSO</v>
      </c>
    </row>
    <row r="878" spans="7:63" x14ac:dyDescent="0.15">
      <c r="G878" s="64">
        <f t="shared" si="336"/>
        <v>0</v>
      </c>
      <c r="I878" s="64">
        <f t="shared" si="313"/>
        <v>0</v>
      </c>
      <c r="K878" s="64">
        <f t="shared" si="314"/>
        <v>0</v>
      </c>
      <c r="M878" s="64">
        <f t="shared" si="315"/>
        <v>0</v>
      </c>
      <c r="O878" s="64">
        <f t="shared" si="316"/>
        <v>0</v>
      </c>
      <c r="Q878" s="64">
        <f t="shared" si="317"/>
        <v>0</v>
      </c>
      <c r="S878" s="71">
        <f t="shared" si="318"/>
        <v>0</v>
      </c>
      <c r="U878" s="64">
        <f t="shared" si="319"/>
        <v>0</v>
      </c>
      <c r="W878" s="71">
        <f t="shared" si="320"/>
        <v>0</v>
      </c>
      <c r="Y878" s="71">
        <f t="shared" si="321"/>
        <v>0</v>
      </c>
      <c r="AA878" s="71">
        <f t="shared" si="322"/>
        <v>0</v>
      </c>
      <c r="AC878" s="71">
        <f t="shared" si="323"/>
        <v>0</v>
      </c>
      <c r="AK878" s="71">
        <f t="shared" si="324"/>
        <v>0</v>
      </c>
      <c r="AM878" s="71">
        <f t="shared" si="325"/>
        <v>0</v>
      </c>
      <c r="AO878" s="71">
        <f t="shared" si="326"/>
        <v>0</v>
      </c>
      <c r="AQ878" s="71">
        <f t="shared" si="327"/>
        <v>0</v>
      </c>
      <c r="AT878" s="71">
        <f t="shared" si="328"/>
        <v>0</v>
      </c>
      <c r="AV878" s="71">
        <f t="shared" si="329"/>
        <v>0</v>
      </c>
      <c r="AX878" s="71">
        <f t="shared" si="330"/>
        <v>0</v>
      </c>
      <c r="AZ878" s="71">
        <f t="shared" si="331"/>
        <v>0</v>
      </c>
      <c r="BE878" s="102">
        <f t="shared" si="332"/>
        <v>4.4721359549995796</v>
      </c>
      <c r="BF878" s="81">
        <f t="shared" si="333"/>
        <v>9.3924867883288243E-14</v>
      </c>
      <c r="BG878" s="81" t="str">
        <f t="shared" si="334"/>
        <v>BASSO</v>
      </c>
      <c r="BK878" s="81" t="str">
        <f t="shared" si="335"/>
        <v>MOLTO BASSO</v>
      </c>
    </row>
    <row r="879" spans="7:63" x14ac:dyDescent="0.15">
      <c r="G879" s="64">
        <f t="shared" si="336"/>
        <v>0</v>
      </c>
      <c r="I879" s="64">
        <f t="shared" si="313"/>
        <v>0</v>
      </c>
      <c r="K879" s="64">
        <f t="shared" si="314"/>
        <v>0</v>
      </c>
      <c r="M879" s="64">
        <f t="shared" si="315"/>
        <v>0</v>
      </c>
      <c r="O879" s="64">
        <f t="shared" si="316"/>
        <v>0</v>
      </c>
      <c r="Q879" s="64">
        <f t="shared" si="317"/>
        <v>0</v>
      </c>
      <c r="S879" s="71">
        <f t="shared" si="318"/>
        <v>0</v>
      </c>
      <c r="U879" s="64">
        <f t="shared" si="319"/>
        <v>0</v>
      </c>
      <c r="W879" s="71">
        <f t="shared" si="320"/>
        <v>0</v>
      </c>
      <c r="Y879" s="71">
        <f t="shared" si="321"/>
        <v>0</v>
      </c>
      <c r="AA879" s="71">
        <f t="shared" si="322"/>
        <v>0</v>
      </c>
      <c r="AC879" s="71">
        <f t="shared" si="323"/>
        <v>0</v>
      </c>
      <c r="AK879" s="71">
        <f t="shared" si="324"/>
        <v>0</v>
      </c>
      <c r="AM879" s="71">
        <f t="shared" si="325"/>
        <v>0</v>
      </c>
      <c r="AO879" s="71">
        <f t="shared" si="326"/>
        <v>0</v>
      </c>
      <c r="AQ879" s="71">
        <f t="shared" si="327"/>
        <v>0</v>
      </c>
      <c r="AT879" s="71">
        <f t="shared" si="328"/>
        <v>0</v>
      </c>
      <c r="AV879" s="71">
        <f t="shared" si="329"/>
        <v>0</v>
      </c>
      <c r="AX879" s="71">
        <f t="shared" si="330"/>
        <v>0</v>
      </c>
      <c r="AZ879" s="71">
        <f t="shared" si="331"/>
        <v>0</v>
      </c>
      <c r="BE879" s="102">
        <f t="shared" si="332"/>
        <v>4.4721359549995796</v>
      </c>
      <c r="BF879" s="81">
        <f t="shared" si="333"/>
        <v>9.3924867883288243E-14</v>
      </c>
      <c r="BG879" s="81" t="str">
        <f t="shared" si="334"/>
        <v>BASSO</v>
      </c>
      <c r="BK879" s="81" t="str">
        <f t="shared" si="335"/>
        <v>MOLTO BASSO</v>
      </c>
    </row>
    <row r="880" spans="7:63" x14ac:dyDescent="0.15">
      <c r="G880" s="64">
        <f t="shared" si="336"/>
        <v>0</v>
      </c>
      <c r="I880" s="64">
        <f t="shared" si="313"/>
        <v>0</v>
      </c>
      <c r="K880" s="64">
        <f t="shared" si="314"/>
        <v>0</v>
      </c>
      <c r="M880" s="64">
        <f t="shared" si="315"/>
        <v>0</v>
      </c>
      <c r="O880" s="64">
        <f t="shared" si="316"/>
        <v>0</v>
      </c>
      <c r="Q880" s="64">
        <f t="shared" si="317"/>
        <v>0</v>
      </c>
      <c r="S880" s="71">
        <f t="shared" si="318"/>
        <v>0</v>
      </c>
      <c r="U880" s="64">
        <f t="shared" si="319"/>
        <v>0</v>
      </c>
      <c r="W880" s="71">
        <f t="shared" si="320"/>
        <v>0</v>
      </c>
      <c r="Y880" s="71">
        <f t="shared" si="321"/>
        <v>0</v>
      </c>
      <c r="AA880" s="71">
        <f t="shared" si="322"/>
        <v>0</v>
      </c>
      <c r="AC880" s="71">
        <f t="shared" si="323"/>
        <v>0</v>
      </c>
      <c r="AK880" s="71">
        <f t="shared" si="324"/>
        <v>0</v>
      </c>
      <c r="AM880" s="71">
        <f t="shared" si="325"/>
        <v>0</v>
      </c>
      <c r="AO880" s="71">
        <f t="shared" si="326"/>
        <v>0</v>
      </c>
      <c r="AQ880" s="71">
        <f t="shared" si="327"/>
        <v>0</v>
      </c>
      <c r="AT880" s="71">
        <f t="shared" si="328"/>
        <v>0</v>
      </c>
      <c r="AV880" s="71">
        <f t="shared" si="329"/>
        <v>0</v>
      </c>
      <c r="AX880" s="71">
        <f t="shared" si="330"/>
        <v>0</v>
      </c>
      <c r="AZ880" s="71">
        <f t="shared" si="331"/>
        <v>0</v>
      </c>
      <c r="BE880" s="102">
        <f t="shared" si="332"/>
        <v>4.4721359549995796</v>
      </c>
      <c r="BF880" s="81">
        <f t="shared" si="333"/>
        <v>9.3924867883288243E-14</v>
      </c>
      <c r="BG880" s="81" t="str">
        <f t="shared" si="334"/>
        <v>BASSO</v>
      </c>
      <c r="BK880" s="81" t="str">
        <f t="shared" si="335"/>
        <v>MOLTO BASSO</v>
      </c>
    </row>
    <row r="881" spans="7:63" x14ac:dyDescent="0.15">
      <c r="G881" s="64">
        <f t="shared" si="336"/>
        <v>0</v>
      </c>
      <c r="I881" s="64">
        <f t="shared" si="313"/>
        <v>0</v>
      </c>
      <c r="K881" s="64">
        <f t="shared" si="314"/>
        <v>0</v>
      </c>
      <c r="M881" s="64">
        <f t="shared" si="315"/>
        <v>0</v>
      </c>
      <c r="O881" s="64">
        <f t="shared" si="316"/>
        <v>0</v>
      </c>
      <c r="Q881" s="64">
        <f t="shared" si="317"/>
        <v>0</v>
      </c>
      <c r="S881" s="71">
        <f t="shared" si="318"/>
        <v>0</v>
      </c>
      <c r="U881" s="64">
        <f t="shared" si="319"/>
        <v>0</v>
      </c>
      <c r="W881" s="71">
        <f t="shared" si="320"/>
        <v>0</v>
      </c>
      <c r="Y881" s="71">
        <f t="shared" si="321"/>
        <v>0</v>
      </c>
      <c r="AA881" s="71">
        <f t="shared" si="322"/>
        <v>0</v>
      </c>
      <c r="AC881" s="71">
        <f t="shared" si="323"/>
        <v>0</v>
      </c>
      <c r="AK881" s="71">
        <f t="shared" si="324"/>
        <v>0</v>
      </c>
      <c r="AM881" s="71">
        <f t="shared" si="325"/>
        <v>0</v>
      </c>
      <c r="AO881" s="71">
        <f t="shared" si="326"/>
        <v>0</v>
      </c>
      <c r="AQ881" s="71">
        <f t="shared" si="327"/>
        <v>0</v>
      </c>
      <c r="AT881" s="71">
        <f t="shared" si="328"/>
        <v>0</v>
      </c>
      <c r="AV881" s="71">
        <f t="shared" si="329"/>
        <v>0</v>
      </c>
      <c r="AX881" s="71">
        <f t="shared" si="330"/>
        <v>0</v>
      </c>
      <c r="AZ881" s="71">
        <f t="shared" si="331"/>
        <v>0</v>
      </c>
      <c r="BE881" s="102">
        <f t="shared" si="332"/>
        <v>4.4721359549995796</v>
      </c>
      <c r="BF881" s="81">
        <f t="shared" si="333"/>
        <v>9.3924867883288243E-14</v>
      </c>
      <c r="BG881" s="81" t="str">
        <f t="shared" si="334"/>
        <v>BASSO</v>
      </c>
      <c r="BK881" s="81" t="str">
        <f t="shared" si="335"/>
        <v>MOLTO BASSO</v>
      </c>
    </row>
    <row r="882" spans="7:63" x14ac:dyDescent="0.15">
      <c r="G882" s="64">
        <f t="shared" si="336"/>
        <v>0</v>
      </c>
      <c r="I882" s="64">
        <f t="shared" si="313"/>
        <v>0</v>
      </c>
      <c r="K882" s="64">
        <f t="shared" si="314"/>
        <v>0</v>
      </c>
      <c r="M882" s="64">
        <f t="shared" si="315"/>
        <v>0</v>
      </c>
      <c r="O882" s="64">
        <f t="shared" si="316"/>
        <v>0</v>
      </c>
      <c r="Q882" s="64">
        <f t="shared" si="317"/>
        <v>0</v>
      </c>
      <c r="S882" s="71">
        <f t="shared" si="318"/>
        <v>0</v>
      </c>
      <c r="U882" s="64">
        <f t="shared" si="319"/>
        <v>0</v>
      </c>
      <c r="W882" s="71">
        <f t="shared" si="320"/>
        <v>0</v>
      </c>
      <c r="Y882" s="71">
        <f t="shared" si="321"/>
        <v>0</v>
      </c>
      <c r="AA882" s="71">
        <f t="shared" si="322"/>
        <v>0</v>
      </c>
      <c r="AC882" s="71">
        <f t="shared" si="323"/>
        <v>0</v>
      </c>
      <c r="AK882" s="71">
        <f t="shared" si="324"/>
        <v>0</v>
      </c>
      <c r="AM882" s="71">
        <f t="shared" si="325"/>
        <v>0</v>
      </c>
      <c r="AO882" s="71">
        <f t="shared" si="326"/>
        <v>0</v>
      </c>
      <c r="AQ882" s="71">
        <f t="shared" si="327"/>
        <v>0</v>
      </c>
      <c r="AT882" s="71">
        <f t="shared" si="328"/>
        <v>0</v>
      </c>
      <c r="AV882" s="71">
        <f t="shared" si="329"/>
        <v>0</v>
      </c>
      <c r="AX882" s="71">
        <f t="shared" si="330"/>
        <v>0</v>
      </c>
      <c r="AZ882" s="71">
        <f t="shared" si="331"/>
        <v>0</v>
      </c>
      <c r="BE882" s="102">
        <f t="shared" si="332"/>
        <v>4.4721359549995796</v>
      </c>
      <c r="BF882" s="81">
        <f t="shared" si="333"/>
        <v>9.3924867883288243E-14</v>
      </c>
      <c r="BG882" s="81" t="str">
        <f t="shared" si="334"/>
        <v>BASSO</v>
      </c>
      <c r="BK882" s="81" t="str">
        <f t="shared" si="335"/>
        <v>MOLTO BASSO</v>
      </c>
    </row>
    <row r="883" spans="7:63" x14ac:dyDescent="0.15">
      <c r="G883" s="64">
        <f t="shared" si="336"/>
        <v>0</v>
      </c>
      <c r="I883" s="64">
        <f t="shared" si="313"/>
        <v>0</v>
      </c>
      <c r="K883" s="64">
        <f t="shared" si="314"/>
        <v>0</v>
      </c>
      <c r="M883" s="64">
        <f t="shared" si="315"/>
        <v>0</v>
      </c>
      <c r="O883" s="64">
        <f t="shared" si="316"/>
        <v>0</v>
      </c>
      <c r="Q883" s="64">
        <f t="shared" si="317"/>
        <v>0</v>
      </c>
      <c r="S883" s="71">
        <f t="shared" si="318"/>
        <v>0</v>
      </c>
      <c r="U883" s="64">
        <f t="shared" si="319"/>
        <v>0</v>
      </c>
      <c r="W883" s="71">
        <f t="shared" si="320"/>
        <v>0</v>
      </c>
      <c r="Y883" s="71">
        <f t="shared" si="321"/>
        <v>0</v>
      </c>
      <c r="AA883" s="71">
        <f t="shared" si="322"/>
        <v>0</v>
      </c>
      <c r="AC883" s="71">
        <f t="shared" si="323"/>
        <v>0</v>
      </c>
      <c r="AK883" s="71">
        <f t="shared" si="324"/>
        <v>0</v>
      </c>
      <c r="AM883" s="71">
        <f t="shared" si="325"/>
        <v>0</v>
      </c>
      <c r="AO883" s="71">
        <f t="shared" si="326"/>
        <v>0</v>
      </c>
      <c r="AQ883" s="71">
        <f t="shared" si="327"/>
        <v>0</v>
      </c>
      <c r="AT883" s="71">
        <f t="shared" si="328"/>
        <v>0</v>
      </c>
      <c r="AV883" s="71">
        <f t="shared" si="329"/>
        <v>0</v>
      </c>
      <c r="AX883" s="71">
        <f t="shared" si="330"/>
        <v>0</v>
      </c>
      <c r="AZ883" s="71">
        <f t="shared" si="331"/>
        <v>0</v>
      </c>
      <c r="BE883" s="102">
        <f t="shared" si="332"/>
        <v>4.4721359549995796</v>
      </c>
      <c r="BF883" s="81">
        <f t="shared" si="333"/>
        <v>9.3924867883288243E-14</v>
      </c>
      <c r="BG883" s="81" t="str">
        <f t="shared" si="334"/>
        <v>BASSO</v>
      </c>
      <c r="BK883" s="81" t="str">
        <f t="shared" si="335"/>
        <v>MOLTO BASSO</v>
      </c>
    </row>
    <row r="884" spans="7:63" x14ac:dyDescent="0.15">
      <c r="G884" s="64">
        <f t="shared" si="336"/>
        <v>0</v>
      </c>
      <c r="I884" s="64">
        <f t="shared" si="313"/>
        <v>0</v>
      </c>
      <c r="K884" s="64">
        <f t="shared" si="314"/>
        <v>0</v>
      </c>
      <c r="M884" s="64">
        <f t="shared" si="315"/>
        <v>0</v>
      </c>
      <c r="O884" s="64">
        <f t="shared" si="316"/>
        <v>0</v>
      </c>
      <c r="Q884" s="64">
        <f t="shared" si="317"/>
        <v>0</v>
      </c>
      <c r="S884" s="71">
        <f t="shared" si="318"/>
        <v>0</v>
      </c>
      <c r="U884" s="64">
        <f t="shared" si="319"/>
        <v>0</v>
      </c>
      <c r="W884" s="71">
        <f t="shared" si="320"/>
        <v>0</v>
      </c>
      <c r="Y884" s="71">
        <f t="shared" si="321"/>
        <v>0</v>
      </c>
      <c r="AA884" s="71">
        <f t="shared" si="322"/>
        <v>0</v>
      </c>
      <c r="AC884" s="71">
        <f t="shared" si="323"/>
        <v>0</v>
      </c>
      <c r="AK884" s="71">
        <f t="shared" si="324"/>
        <v>0</v>
      </c>
      <c r="AM884" s="71">
        <f t="shared" si="325"/>
        <v>0</v>
      </c>
      <c r="AO884" s="71">
        <f t="shared" si="326"/>
        <v>0</v>
      </c>
      <c r="AQ884" s="71">
        <f t="shared" si="327"/>
        <v>0</v>
      </c>
      <c r="AT884" s="71">
        <f t="shared" si="328"/>
        <v>0</v>
      </c>
      <c r="AV884" s="71">
        <f t="shared" si="329"/>
        <v>0</v>
      </c>
      <c r="AX884" s="71">
        <f t="shared" si="330"/>
        <v>0</v>
      </c>
      <c r="AZ884" s="71">
        <f t="shared" si="331"/>
        <v>0</v>
      </c>
      <c r="BE884" s="102">
        <f t="shared" si="332"/>
        <v>4.4721359549995796</v>
      </c>
      <c r="BF884" s="81">
        <f t="shared" si="333"/>
        <v>9.3924867883288243E-14</v>
      </c>
      <c r="BG884" s="81" t="str">
        <f t="shared" si="334"/>
        <v>BASSO</v>
      </c>
      <c r="BK884" s="81" t="str">
        <f t="shared" si="335"/>
        <v>MOLTO BASSO</v>
      </c>
    </row>
    <row r="885" spans="7:63" x14ac:dyDescent="0.15">
      <c r="G885" s="64">
        <f t="shared" si="336"/>
        <v>0</v>
      </c>
      <c r="I885" s="64">
        <f t="shared" si="313"/>
        <v>0</v>
      </c>
      <c r="K885" s="64">
        <f t="shared" si="314"/>
        <v>0</v>
      </c>
      <c r="M885" s="64">
        <f t="shared" si="315"/>
        <v>0</v>
      </c>
      <c r="O885" s="64">
        <f t="shared" si="316"/>
        <v>0</v>
      </c>
      <c r="Q885" s="64">
        <f t="shared" si="317"/>
        <v>0</v>
      </c>
      <c r="S885" s="71">
        <f t="shared" si="318"/>
        <v>0</v>
      </c>
      <c r="U885" s="64">
        <f t="shared" si="319"/>
        <v>0</v>
      </c>
      <c r="W885" s="71">
        <f t="shared" si="320"/>
        <v>0</v>
      </c>
      <c r="Y885" s="71">
        <f t="shared" si="321"/>
        <v>0</v>
      </c>
      <c r="AA885" s="71">
        <f t="shared" si="322"/>
        <v>0</v>
      </c>
      <c r="AC885" s="71">
        <f t="shared" si="323"/>
        <v>0</v>
      </c>
      <c r="AK885" s="71">
        <f t="shared" si="324"/>
        <v>0</v>
      </c>
      <c r="AM885" s="71">
        <f t="shared" si="325"/>
        <v>0</v>
      </c>
      <c r="AO885" s="71">
        <f t="shared" si="326"/>
        <v>0</v>
      </c>
      <c r="AQ885" s="71">
        <f t="shared" si="327"/>
        <v>0</v>
      </c>
      <c r="AT885" s="71">
        <f t="shared" si="328"/>
        <v>0</v>
      </c>
      <c r="AV885" s="71">
        <f t="shared" si="329"/>
        <v>0</v>
      </c>
      <c r="AX885" s="71">
        <f t="shared" si="330"/>
        <v>0</v>
      </c>
      <c r="AZ885" s="71">
        <f t="shared" si="331"/>
        <v>0</v>
      </c>
      <c r="BE885" s="102">
        <f t="shared" si="332"/>
        <v>4.4721359549995796</v>
      </c>
      <c r="BF885" s="81">
        <f t="shared" si="333"/>
        <v>9.3924867883288243E-14</v>
      </c>
      <c r="BG885" s="81" t="str">
        <f t="shared" si="334"/>
        <v>BASSO</v>
      </c>
      <c r="BK885" s="81" t="str">
        <f t="shared" si="335"/>
        <v>MOLTO BASSO</v>
      </c>
    </row>
    <row r="886" spans="7:63" x14ac:dyDescent="0.15">
      <c r="G886" s="64">
        <f t="shared" si="336"/>
        <v>0</v>
      </c>
      <c r="I886" s="64">
        <f t="shared" si="313"/>
        <v>0</v>
      </c>
      <c r="K886" s="64">
        <f t="shared" si="314"/>
        <v>0</v>
      </c>
      <c r="M886" s="64">
        <f t="shared" si="315"/>
        <v>0</v>
      </c>
      <c r="O886" s="64">
        <f t="shared" si="316"/>
        <v>0</v>
      </c>
      <c r="Q886" s="64">
        <f t="shared" si="317"/>
        <v>0</v>
      </c>
      <c r="S886" s="71">
        <f t="shared" si="318"/>
        <v>0</v>
      </c>
      <c r="U886" s="64">
        <f t="shared" si="319"/>
        <v>0</v>
      </c>
      <c r="W886" s="71">
        <f t="shared" si="320"/>
        <v>0</v>
      </c>
      <c r="Y886" s="71">
        <f t="shared" si="321"/>
        <v>0</v>
      </c>
      <c r="AA886" s="71">
        <f t="shared" si="322"/>
        <v>0</v>
      </c>
      <c r="AC886" s="71">
        <f t="shared" si="323"/>
        <v>0</v>
      </c>
      <c r="AK886" s="71">
        <f t="shared" si="324"/>
        <v>0</v>
      </c>
      <c r="AM886" s="71">
        <f t="shared" si="325"/>
        <v>0</v>
      </c>
      <c r="AO886" s="71">
        <f t="shared" si="326"/>
        <v>0</v>
      </c>
      <c r="AQ886" s="71">
        <f t="shared" si="327"/>
        <v>0</v>
      </c>
      <c r="AT886" s="71">
        <f t="shared" si="328"/>
        <v>0</v>
      </c>
      <c r="AV886" s="71">
        <f t="shared" si="329"/>
        <v>0</v>
      </c>
      <c r="AX886" s="71">
        <f t="shared" si="330"/>
        <v>0</v>
      </c>
      <c r="AZ886" s="71">
        <f t="shared" si="331"/>
        <v>0</v>
      </c>
      <c r="BE886" s="102">
        <f t="shared" si="332"/>
        <v>4.4721359549995796</v>
      </c>
      <c r="BF886" s="81">
        <f t="shared" si="333"/>
        <v>9.3924867883288243E-14</v>
      </c>
      <c r="BG886" s="81" t="str">
        <f t="shared" si="334"/>
        <v>BASSO</v>
      </c>
      <c r="BK886" s="81" t="str">
        <f t="shared" si="335"/>
        <v>MOLTO BASSO</v>
      </c>
    </row>
    <row r="887" spans="7:63" x14ac:dyDescent="0.15">
      <c r="G887" s="64">
        <f t="shared" si="336"/>
        <v>0</v>
      </c>
      <c r="I887" s="64">
        <f t="shared" si="313"/>
        <v>0</v>
      </c>
      <c r="K887" s="64">
        <f t="shared" si="314"/>
        <v>0</v>
      </c>
      <c r="M887" s="64">
        <f t="shared" si="315"/>
        <v>0</v>
      </c>
      <c r="O887" s="64">
        <f t="shared" si="316"/>
        <v>0</v>
      </c>
      <c r="Q887" s="64">
        <f t="shared" si="317"/>
        <v>0</v>
      </c>
      <c r="S887" s="71">
        <f t="shared" si="318"/>
        <v>0</v>
      </c>
      <c r="U887" s="64">
        <f t="shared" si="319"/>
        <v>0</v>
      </c>
      <c r="W887" s="71">
        <f t="shared" si="320"/>
        <v>0</v>
      </c>
      <c r="Y887" s="71">
        <f t="shared" si="321"/>
        <v>0</v>
      </c>
      <c r="AA887" s="71">
        <f t="shared" si="322"/>
        <v>0</v>
      </c>
      <c r="AC887" s="71">
        <f t="shared" si="323"/>
        <v>0</v>
      </c>
      <c r="AK887" s="71">
        <f t="shared" si="324"/>
        <v>0</v>
      </c>
      <c r="AM887" s="71">
        <f t="shared" si="325"/>
        <v>0</v>
      </c>
      <c r="AO887" s="71">
        <f t="shared" si="326"/>
        <v>0</v>
      </c>
      <c r="AQ887" s="71">
        <f t="shared" si="327"/>
        <v>0</v>
      </c>
      <c r="AT887" s="71">
        <f t="shared" si="328"/>
        <v>0</v>
      </c>
      <c r="AV887" s="71">
        <f t="shared" si="329"/>
        <v>0</v>
      </c>
      <c r="AX887" s="71">
        <f t="shared" si="330"/>
        <v>0</v>
      </c>
      <c r="AZ887" s="71">
        <f t="shared" si="331"/>
        <v>0</v>
      </c>
      <c r="BE887" s="102">
        <f t="shared" si="332"/>
        <v>4.4721359549995796</v>
      </c>
      <c r="BF887" s="81">
        <f t="shared" si="333"/>
        <v>9.3924867883288243E-14</v>
      </c>
      <c r="BG887" s="81" t="str">
        <f t="shared" si="334"/>
        <v>BASSO</v>
      </c>
      <c r="BK887" s="81" t="str">
        <f t="shared" si="335"/>
        <v>MOLTO BASSO</v>
      </c>
    </row>
    <row r="888" spans="7:63" x14ac:dyDescent="0.15">
      <c r="G888" s="64">
        <f t="shared" si="336"/>
        <v>0</v>
      </c>
      <c r="I888" s="64">
        <f t="shared" si="313"/>
        <v>0</v>
      </c>
      <c r="K888" s="64">
        <f t="shared" si="314"/>
        <v>0</v>
      </c>
      <c r="M888" s="64">
        <f t="shared" si="315"/>
        <v>0</v>
      </c>
      <c r="O888" s="64">
        <f t="shared" si="316"/>
        <v>0</v>
      </c>
      <c r="Q888" s="64">
        <f t="shared" si="317"/>
        <v>0</v>
      </c>
      <c r="S888" s="71">
        <f t="shared" si="318"/>
        <v>0</v>
      </c>
      <c r="U888" s="64">
        <f t="shared" si="319"/>
        <v>0</v>
      </c>
      <c r="W888" s="71">
        <f t="shared" si="320"/>
        <v>0</v>
      </c>
      <c r="Y888" s="71">
        <f t="shared" si="321"/>
        <v>0</v>
      </c>
      <c r="AA888" s="71">
        <f t="shared" si="322"/>
        <v>0</v>
      </c>
      <c r="AC888" s="71">
        <f t="shared" si="323"/>
        <v>0</v>
      </c>
      <c r="AK888" s="71">
        <f t="shared" si="324"/>
        <v>0</v>
      </c>
      <c r="AM888" s="71">
        <f t="shared" si="325"/>
        <v>0</v>
      </c>
      <c r="AO888" s="71">
        <f t="shared" si="326"/>
        <v>0</v>
      </c>
      <c r="AQ888" s="71">
        <f t="shared" si="327"/>
        <v>0</v>
      </c>
      <c r="AT888" s="71">
        <f t="shared" si="328"/>
        <v>0</v>
      </c>
      <c r="AV888" s="71">
        <f t="shared" si="329"/>
        <v>0</v>
      </c>
      <c r="AX888" s="71">
        <f t="shared" si="330"/>
        <v>0</v>
      </c>
      <c r="AZ888" s="71">
        <f t="shared" si="331"/>
        <v>0</v>
      </c>
      <c r="BE888" s="102">
        <f t="shared" si="332"/>
        <v>4.4721359549995796</v>
      </c>
      <c r="BF888" s="81">
        <f t="shared" si="333"/>
        <v>9.3924867883288243E-14</v>
      </c>
      <c r="BG888" s="81" t="str">
        <f t="shared" si="334"/>
        <v>BASSO</v>
      </c>
      <c r="BK888" s="81" t="str">
        <f t="shared" si="335"/>
        <v>MOLTO BASSO</v>
      </c>
    </row>
    <row r="889" spans="7:63" x14ac:dyDescent="0.15">
      <c r="G889" s="64">
        <f t="shared" si="336"/>
        <v>0</v>
      </c>
      <c r="I889" s="64">
        <f t="shared" si="313"/>
        <v>0</v>
      </c>
      <c r="K889" s="64">
        <f t="shared" si="314"/>
        <v>0</v>
      </c>
      <c r="M889" s="64">
        <f t="shared" si="315"/>
        <v>0</v>
      </c>
      <c r="O889" s="64">
        <f t="shared" si="316"/>
        <v>0</v>
      </c>
      <c r="Q889" s="64">
        <f t="shared" si="317"/>
        <v>0</v>
      </c>
      <c r="S889" s="71">
        <f t="shared" si="318"/>
        <v>0</v>
      </c>
      <c r="U889" s="64">
        <f t="shared" si="319"/>
        <v>0</v>
      </c>
      <c r="W889" s="71">
        <f t="shared" si="320"/>
        <v>0</v>
      </c>
      <c r="Y889" s="71">
        <f t="shared" si="321"/>
        <v>0</v>
      </c>
      <c r="AA889" s="71">
        <f t="shared" si="322"/>
        <v>0</v>
      </c>
      <c r="AC889" s="71">
        <f t="shared" si="323"/>
        <v>0</v>
      </c>
      <c r="AK889" s="71">
        <f t="shared" si="324"/>
        <v>0</v>
      </c>
      <c r="AM889" s="71">
        <f t="shared" si="325"/>
        <v>0</v>
      </c>
      <c r="AO889" s="71">
        <f t="shared" si="326"/>
        <v>0</v>
      </c>
      <c r="AQ889" s="71">
        <f t="shared" si="327"/>
        <v>0</v>
      </c>
      <c r="AT889" s="71">
        <f t="shared" si="328"/>
        <v>0</v>
      </c>
      <c r="AV889" s="71">
        <f t="shared" si="329"/>
        <v>0</v>
      </c>
      <c r="AX889" s="71">
        <f t="shared" si="330"/>
        <v>0</v>
      </c>
      <c r="AZ889" s="71">
        <f t="shared" si="331"/>
        <v>0</v>
      </c>
      <c r="BE889" s="102">
        <f t="shared" si="332"/>
        <v>4.4721359549995796</v>
      </c>
      <c r="BF889" s="81">
        <f t="shared" si="333"/>
        <v>9.3924867883288243E-14</v>
      </c>
      <c r="BG889" s="81" t="str">
        <f t="shared" si="334"/>
        <v>BASSO</v>
      </c>
      <c r="BK889" s="81" t="str">
        <f t="shared" si="335"/>
        <v>MOLTO BASSO</v>
      </c>
    </row>
    <row r="890" spans="7:63" x14ac:dyDescent="0.15">
      <c r="G890" s="64">
        <f t="shared" si="336"/>
        <v>0</v>
      </c>
      <c r="I890" s="64">
        <f t="shared" si="313"/>
        <v>0</v>
      </c>
      <c r="K890" s="64">
        <f t="shared" si="314"/>
        <v>0</v>
      </c>
      <c r="M890" s="64">
        <f t="shared" si="315"/>
        <v>0</v>
      </c>
      <c r="O890" s="64">
        <f t="shared" si="316"/>
        <v>0</v>
      </c>
      <c r="Q890" s="64">
        <f t="shared" si="317"/>
        <v>0</v>
      </c>
      <c r="S890" s="71">
        <f t="shared" si="318"/>
        <v>0</v>
      </c>
      <c r="U890" s="64">
        <f t="shared" si="319"/>
        <v>0</v>
      </c>
      <c r="W890" s="71">
        <f t="shared" si="320"/>
        <v>0</v>
      </c>
      <c r="Y890" s="71">
        <f t="shared" si="321"/>
        <v>0</v>
      </c>
      <c r="AA890" s="71">
        <f t="shared" si="322"/>
        <v>0</v>
      </c>
      <c r="AC890" s="71">
        <f t="shared" si="323"/>
        <v>0</v>
      </c>
      <c r="AK890" s="71">
        <f t="shared" si="324"/>
        <v>0</v>
      </c>
      <c r="AM890" s="71">
        <f t="shared" si="325"/>
        <v>0</v>
      </c>
      <c r="AO890" s="71">
        <f t="shared" si="326"/>
        <v>0</v>
      </c>
      <c r="AQ890" s="71">
        <f t="shared" si="327"/>
        <v>0</v>
      </c>
      <c r="AT890" s="71">
        <f t="shared" si="328"/>
        <v>0</v>
      </c>
      <c r="AV890" s="71">
        <f t="shared" si="329"/>
        <v>0</v>
      </c>
      <c r="AX890" s="71">
        <f t="shared" si="330"/>
        <v>0</v>
      </c>
      <c r="AZ890" s="71">
        <f t="shared" si="331"/>
        <v>0</v>
      </c>
      <c r="BE890" s="102">
        <f t="shared" si="332"/>
        <v>4.4721359549995796</v>
      </c>
      <c r="BF890" s="81">
        <f t="shared" si="333"/>
        <v>9.3924867883288243E-14</v>
      </c>
      <c r="BG890" s="81" t="str">
        <f t="shared" si="334"/>
        <v>BASSO</v>
      </c>
      <c r="BK890" s="81" t="str">
        <f t="shared" si="335"/>
        <v>MOLTO BASSO</v>
      </c>
    </row>
    <row r="891" spans="7:63" x14ac:dyDescent="0.15">
      <c r="G891" s="64">
        <f t="shared" si="336"/>
        <v>0</v>
      </c>
      <c r="I891" s="64">
        <f t="shared" si="313"/>
        <v>0</v>
      </c>
      <c r="K891" s="64">
        <f t="shared" si="314"/>
        <v>0</v>
      </c>
      <c r="M891" s="64">
        <f t="shared" si="315"/>
        <v>0</v>
      </c>
      <c r="O891" s="64">
        <f t="shared" si="316"/>
        <v>0</v>
      </c>
      <c r="Q891" s="64">
        <f t="shared" si="317"/>
        <v>0</v>
      </c>
      <c r="S891" s="71">
        <f t="shared" si="318"/>
        <v>0</v>
      </c>
      <c r="U891" s="64">
        <f t="shared" si="319"/>
        <v>0</v>
      </c>
      <c r="W891" s="71">
        <f t="shared" si="320"/>
        <v>0</v>
      </c>
      <c r="Y891" s="71">
        <f t="shared" si="321"/>
        <v>0</v>
      </c>
      <c r="AA891" s="71">
        <f t="shared" si="322"/>
        <v>0</v>
      </c>
      <c r="AC891" s="71">
        <f t="shared" si="323"/>
        <v>0</v>
      </c>
      <c r="AK891" s="71">
        <f t="shared" si="324"/>
        <v>0</v>
      </c>
      <c r="AM891" s="71">
        <f t="shared" si="325"/>
        <v>0</v>
      </c>
      <c r="AO891" s="71">
        <f t="shared" si="326"/>
        <v>0</v>
      </c>
      <c r="AQ891" s="71">
        <f t="shared" si="327"/>
        <v>0</v>
      </c>
      <c r="AT891" s="71">
        <f t="shared" si="328"/>
        <v>0</v>
      </c>
      <c r="AV891" s="71">
        <f t="shared" si="329"/>
        <v>0</v>
      </c>
      <c r="AX891" s="71">
        <f t="shared" si="330"/>
        <v>0</v>
      </c>
      <c r="AZ891" s="71">
        <f t="shared" si="331"/>
        <v>0</v>
      </c>
      <c r="BE891" s="102">
        <f t="shared" si="332"/>
        <v>4.4721359549995796</v>
      </c>
      <c r="BF891" s="81">
        <f t="shared" si="333"/>
        <v>9.3924867883288243E-14</v>
      </c>
      <c r="BG891" s="81" t="str">
        <f t="shared" si="334"/>
        <v>BASSO</v>
      </c>
      <c r="BK891" s="81" t="str">
        <f t="shared" si="335"/>
        <v>MOLTO BASSO</v>
      </c>
    </row>
    <row r="892" spans="7:63" x14ac:dyDescent="0.15">
      <c r="G892" s="64">
        <f t="shared" si="336"/>
        <v>0</v>
      </c>
      <c r="I892" s="64">
        <f t="shared" si="313"/>
        <v>0</v>
      </c>
      <c r="K892" s="64">
        <f t="shared" si="314"/>
        <v>0</v>
      </c>
      <c r="M892" s="64">
        <f t="shared" si="315"/>
        <v>0</v>
      </c>
      <c r="O892" s="64">
        <f t="shared" si="316"/>
        <v>0</v>
      </c>
      <c r="Q892" s="64">
        <f t="shared" si="317"/>
        <v>0</v>
      </c>
      <c r="S892" s="71">
        <f t="shared" si="318"/>
        <v>0</v>
      </c>
      <c r="U892" s="64">
        <f t="shared" si="319"/>
        <v>0</v>
      </c>
      <c r="W892" s="71">
        <f t="shared" si="320"/>
        <v>0</v>
      </c>
      <c r="Y892" s="71">
        <f t="shared" si="321"/>
        <v>0</v>
      </c>
      <c r="AA892" s="71">
        <f t="shared" si="322"/>
        <v>0</v>
      </c>
      <c r="AC892" s="71">
        <f t="shared" si="323"/>
        <v>0</v>
      </c>
      <c r="AK892" s="71">
        <f t="shared" si="324"/>
        <v>0</v>
      </c>
      <c r="AM892" s="71">
        <f t="shared" si="325"/>
        <v>0</v>
      </c>
      <c r="AO892" s="71">
        <f t="shared" si="326"/>
        <v>0</v>
      </c>
      <c r="AQ892" s="71">
        <f t="shared" si="327"/>
        <v>0</v>
      </c>
      <c r="AT892" s="71">
        <f t="shared" si="328"/>
        <v>0</v>
      </c>
      <c r="AV892" s="71">
        <f t="shared" si="329"/>
        <v>0</v>
      </c>
      <c r="AX892" s="71">
        <f t="shared" si="330"/>
        <v>0</v>
      </c>
      <c r="AZ892" s="71">
        <f t="shared" si="331"/>
        <v>0</v>
      </c>
      <c r="BE892" s="102">
        <f t="shared" si="332"/>
        <v>4.4721359549995796</v>
      </c>
      <c r="BF892" s="81">
        <f t="shared" si="333"/>
        <v>9.3924867883288243E-14</v>
      </c>
      <c r="BG892" s="81" t="str">
        <f t="shared" si="334"/>
        <v>BASSO</v>
      </c>
      <c r="BK892" s="81" t="str">
        <f t="shared" si="335"/>
        <v>MOLTO BASSO</v>
      </c>
    </row>
    <row r="893" spans="7:63" x14ac:dyDescent="0.15">
      <c r="G893" s="64">
        <f t="shared" si="336"/>
        <v>0</v>
      </c>
      <c r="I893" s="64">
        <f t="shared" si="313"/>
        <v>0</v>
      </c>
      <c r="K893" s="64">
        <f t="shared" si="314"/>
        <v>0</v>
      </c>
      <c r="M893" s="64">
        <f t="shared" si="315"/>
        <v>0</v>
      </c>
      <c r="O893" s="64">
        <f t="shared" si="316"/>
        <v>0</v>
      </c>
      <c r="Q893" s="64">
        <f t="shared" si="317"/>
        <v>0</v>
      </c>
      <c r="S893" s="71">
        <f t="shared" si="318"/>
        <v>0</v>
      </c>
      <c r="U893" s="64">
        <f t="shared" si="319"/>
        <v>0</v>
      </c>
      <c r="W893" s="71">
        <f t="shared" si="320"/>
        <v>0</v>
      </c>
      <c r="Y893" s="71">
        <f t="shared" si="321"/>
        <v>0</v>
      </c>
      <c r="AA893" s="71">
        <f t="shared" si="322"/>
        <v>0</v>
      </c>
      <c r="AC893" s="71">
        <f t="shared" si="323"/>
        <v>0</v>
      </c>
      <c r="AK893" s="71">
        <f t="shared" si="324"/>
        <v>0</v>
      </c>
      <c r="AM893" s="71">
        <f t="shared" si="325"/>
        <v>0</v>
      </c>
      <c r="AO893" s="71">
        <f t="shared" si="326"/>
        <v>0</v>
      </c>
      <c r="AQ893" s="71">
        <f t="shared" si="327"/>
        <v>0</v>
      </c>
      <c r="AT893" s="71">
        <f t="shared" si="328"/>
        <v>0</v>
      </c>
      <c r="AV893" s="71">
        <f t="shared" si="329"/>
        <v>0</v>
      </c>
      <c r="AX893" s="71">
        <f t="shared" si="330"/>
        <v>0</v>
      </c>
      <c r="AZ893" s="71">
        <f t="shared" si="331"/>
        <v>0</v>
      </c>
      <c r="BE893" s="102">
        <f t="shared" si="332"/>
        <v>4.4721359549995796</v>
      </c>
      <c r="BF893" s="81">
        <f t="shared" si="333"/>
        <v>9.3924867883288243E-14</v>
      </c>
      <c r="BG893" s="81" t="str">
        <f t="shared" si="334"/>
        <v>BASSO</v>
      </c>
      <c r="BK893" s="81" t="str">
        <f t="shared" si="335"/>
        <v>MOLTO BASSO</v>
      </c>
    </row>
    <row r="894" spans="7:63" x14ac:dyDescent="0.15">
      <c r="G894" s="64">
        <f t="shared" si="336"/>
        <v>0</v>
      </c>
      <c r="I894" s="64">
        <f t="shared" si="313"/>
        <v>0</v>
      </c>
      <c r="K894" s="64">
        <f t="shared" si="314"/>
        <v>0</v>
      </c>
      <c r="M894" s="64">
        <f t="shared" si="315"/>
        <v>0</v>
      </c>
      <c r="O894" s="64">
        <f t="shared" si="316"/>
        <v>0</v>
      </c>
      <c r="Q894" s="64">
        <f t="shared" si="317"/>
        <v>0</v>
      </c>
      <c r="S894" s="71">
        <f t="shared" si="318"/>
        <v>0</v>
      </c>
      <c r="U894" s="64">
        <f t="shared" si="319"/>
        <v>0</v>
      </c>
      <c r="W894" s="71">
        <f t="shared" si="320"/>
        <v>0</v>
      </c>
      <c r="Y894" s="71">
        <f t="shared" si="321"/>
        <v>0</v>
      </c>
      <c r="AA894" s="71">
        <f t="shared" si="322"/>
        <v>0</v>
      </c>
      <c r="AC894" s="71">
        <f t="shared" si="323"/>
        <v>0</v>
      </c>
      <c r="AK894" s="71">
        <f t="shared" si="324"/>
        <v>0</v>
      </c>
      <c r="AM894" s="71">
        <f t="shared" si="325"/>
        <v>0</v>
      </c>
      <c r="AO894" s="71">
        <f t="shared" si="326"/>
        <v>0</v>
      </c>
      <c r="AQ894" s="71">
        <f t="shared" si="327"/>
        <v>0</v>
      </c>
      <c r="AT894" s="71">
        <f t="shared" si="328"/>
        <v>0</v>
      </c>
      <c r="AV894" s="71">
        <f t="shared" si="329"/>
        <v>0</v>
      </c>
      <c r="AX894" s="71">
        <f t="shared" si="330"/>
        <v>0</v>
      </c>
      <c r="AZ894" s="71">
        <f t="shared" si="331"/>
        <v>0</v>
      </c>
      <c r="BE894" s="102">
        <f t="shared" si="332"/>
        <v>4.4721359549995796</v>
      </c>
      <c r="BF894" s="81">
        <f t="shared" si="333"/>
        <v>9.3924867883288243E-14</v>
      </c>
      <c r="BG894" s="81" t="str">
        <f t="shared" si="334"/>
        <v>BASSO</v>
      </c>
      <c r="BK894" s="81" t="str">
        <f t="shared" si="335"/>
        <v>MOLTO BASSO</v>
      </c>
    </row>
    <row r="895" spans="7:63" x14ac:dyDescent="0.15">
      <c r="G895" s="64">
        <f t="shared" si="336"/>
        <v>0</v>
      </c>
      <c r="I895" s="64">
        <f t="shared" si="313"/>
        <v>0</v>
      </c>
      <c r="K895" s="64">
        <f t="shared" si="314"/>
        <v>0</v>
      </c>
      <c r="M895" s="64">
        <f t="shared" si="315"/>
        <v>0</v>
      </c>
      <c r="O895" s="64">
        <f t="shared" si="316"/>
        <v>0</v>
      </c>
      <c r="Q895" s="64">
        <f t="shared" si="317"/>
        <v>0</v>
      </c>
      <c r="S895" s="71">
        <f t="shared" si="318"/>
        <v>0</v>
      </c>
      <c r="U895" s="64">
        <f t="shared" si="319"/>
        <v>0</v>
      </c>
      <c r="W895" s="71">
        <f t="shared" si="320"/>
        <v>0</v>
      </c>
      <c r="Y895" s="71">
        <f t="shared" si="321"/>
        <v>0</v>
      </c>
      <c r="AA895" s="71">
        <f t="shared" si="322"/>
        <v>0</v>
      </c>
      <c r="AC895" s="71">
        <f t="shared" si="323"/>
        <v>0</v>
      </c>
      <c r="AK895" s="71">
        <f t="shared" si="324"/>
        <v>0</v>
      </c>
      <c r="AM895" s="71">
        <f t="shared" si="325"/>
        <v>0</v>
      </c>
      <c r="AO895" s="71">
        <f t="shared" si="326"/>
        <v>0</v>
      </c>
      <c r="AQ895" s="71">
        <f t="shared" si="327"/>
        <v>0</v>
      </c>
      <c r="AT895" s="71">
        <f t="shared" si="328"/>
        <v>0</v>
      </c>
      <c r="AV895" s="71">
        <f t="shared" si="329"/>
        <v>0</v>
      </c>
      <c r="AX895" s="71">
        <f t="shared" si="330"/>
        <v>0</v>
      </c>
      <c r="AZ895" s="71">
        <f t="shared" si="331"/>
        <v>0</v>
      </c>
      <c r="BE895" s="102">
        <f t="shared" si="332"/>
        <v>4.4721359549995796</v>
      </c>
      <c r="BF895" s="81">
        <f t="shared" si="333"/>
        <v>9.3924867883288243E-14</v>
      </c>
      <c r="BG895" s="81" t="str">
        <f t="shared" si="334"/>
        <v>BASSO</v>
      </c>
      <c r="BK895" s="81" t="str">
        <f t="shared" si="335"/>
        <v>MOLTO BASSO</v>
      </c>
    </row>
    <row r="896" spans="7:63" x14ac:dyDescent="0.15">
      <c r="G896" s="64">
        <f t="shared" si="336"/>
        <v>0</v>
      </c>
      <c r="I896" s="64">
        <f t="shared" si="313"/>
        <v>0</v>
      </c>
      <c r="K896" s="64">
        <f t="shared" si="314"/>
        <v>0</v>
      </c>
      <c r="M896" s="64">
        <f t="shared" si="315"/>
        <v>0</v>
      </c>
      <c r="O896" s="64">
        <f t="shared" si="316"/>
        <v>0</v>
      </c>
      <c r="Q896" s="64">
        <f t="shared" si="317"/>
        <v>0</v>
      </c>
      <c r="S896" s="71">
        <f t="shared" si="318"/>
        <v>0</v>
      </c>
      <c r="U896" s="64">
        <f t="shared" si="319"/>
        <v>0</v>
      </c>
      <c r="W896" s="71">
        <f t="shared" si="320"/>
        <v>0</v>
      </c>
      <c r="Y896" s="71">
        <f t="shared" si="321"/>
        <v>0</v>
      </c>
      <c r="AA896" s="71">
        <f t="shared" si="322"/>
        <v>0</v>
      </c>
      <c r="AC896" s="71">
        <f t="shared" si="323"/>
        <v>0</v>
      </c>
      <c r="AK896" s="71">
        <f t="shared" si="324"/>
        <v>0</v>
      </c>
      <c r="AM896" s="71">
        <f t="shared" si="325"/>
        <v>0</v>
      </c>
      <c r="AO896" s="71">
        <f t="shared" si="326"/>
        <v>0</v>
      </c>
      <c r="AQ896" s="71">
        <f t="shared" si="327"/>
        <v>0</v>
      </c>
      <c r="AT896" s="71">
        <f t="shared" si="328"/>
        <v>0</v>
      </c>
      <c r="AV896" s="71">
        <f t="shared" si="329"/>
        <v>0</v>
      </c>
      <c r="AX896" s="71">
        <f t="shared" si="330"/>
        <v>0</v>
      </c>
      <c r="AZ896" s="71">
        <f t="shared" si="331"/>
        <v>0</v>
      </c>
      <c r="BE896" s="102">
        <f t="shared" si="332"/>
        <v>4.4721359549995796</v>
      </c>
      <c r="BF896" s="81">
        <f t="shared" si="333"/>
        <v>9.3924867883288243E-14</v>
      </c>
      <c r="BG896" s="81" t="str">
        <f t="shared" si="334"/>
        <v>BASSO</v>
      </c>
      <c r="BK896" s="81" t="str">
        <f t="shared" si="335"/>
        <v>MOLTO BASSO</v>
      </c>
    </row>
    <row r="897" spans="7:63" x14ac:dyDescent="0.15">
      <c r="G897" s="64">
        <f t="shared" si="336"/>
        <v>0</v>
      </c>
      <c r="I897" s="64">
        <f t="shared" si="313"/>
        <v>0</v>
      </c>
      <c r="K897" s="64">
        <f t="shared" si="314"/>
        <v>0</v>
      </c>
      <c r="M897" s="64">
        <f t="shared" si="315"/>
        <v>0</v>
      </c>
      <c r="O897" s="64">
        <f t="shared" si="316"/>
        <v>0</v>
      </c>
      <c r="Q897" s="64">
        <f t="shared" si="317"/>
        <v>0</v>
      </c>
      <c r="S897" s="71">
        <f t="shared" si="318"/>
        <v>0</v>
      </c>
      <c r="U897" s="64">
        <f t="shared" si="319"/>
        <v>0</v>
      </c>
      <c r="W897" s="71">
        <f t="shared" si="320"/>
        <v>0</v>
      </c>
      <c r="Y897" s="71">
        <f t="shared" si="321"/>
        <v>0</v>
      </c>
      <c r="AA897" s="71">
        <f t="shared" si="322"/>
        <v>0</v>
      </c>
      <c r="AC897" s="71">
        <f t="shared" si="323"/>
        <v>0</v>
      </c>
      <c r="AK897" s="71">
        <f t="shared" si="324"/>
        <v>0</v>
      </c>
      <c r="AM897" s="71">
        <f t="shared" si="325"/>
        <v>0</v>
      </c>
      <c r="AO897" s="71">
        <f t="shared" si="326"/>
        <v>0</v>
      </c>
      <c r="AQ897" s="71">
        <f t="shared" si="327"/>
        <v>0</v>
      </c>
      <c r="AT897" s="71">
        <f t="shared" si="328"/>
        <v>0</v>
      </c>
      <c r="AV897" s="71">
        <f t="shared" si="329"/>
        <v>0</v>
      </c>
      <c r="AX897" s="71">
        <f t="shared" si="330"/>
        <v>0</v>
      </c>
      <c r="AZ897" s="71">
        <f t="shared" si="331"/>
        <v>0</v>
      </c>
      <c r="BE897" s="102">
        <f t="shared" si="332"/>
        <v>4.4721359549995796</v>
      </c>
      <c r="BF897" s="81">
        <f t="shared" si="333"/>
        <v>9.3924867883288243E-14</v>
      </c>
      <c r="BG897" s="81" t="str">
        <f t="shared" si="334"/>
        <v>BASSO</v>
      </c>
      <c r="BK897" s="81" t="str">
        <f t="shared" si="335"/>
        <v>MOLTO BASSO</v>
      </c>
    </row>
    <row r="898" spans="7:63" x14ac:dyDescent="0.15">
      <c r="G898" s="64">
        <f t="shared" si="336"/>
        <v>0</v>
      </c>
      <c r="I898" s="64">
        <f t="shared" si="313"/>
        <v>0</v>
      </c>
      <c r="K898" s="64">
        <f t="shared" si="314"/>
        <v>0</v>
      </c>
      <c r="M898" s="64">
        <f t="shared" si="315"/>
        <v>0</v>
      </c>
      <c r="O898" s="64">
        <f t="shared" si="316"/>
        <v>0</v>
      </c>
      <c r="Q898" s="64">
        <f t="shared" si="317"/>
        <v>0</v>
      </c>
      <c r="S898" s="71">
        <f t="shared" si="318"/>
        <v>0</v>
      </c>
      <c r="U898" s="64">
        <f t="shared" si="319"/>
        <v>0</v>
      </c>
      <c r="W898" s="71">
        <f t="shared" si="320"/>
        <v>0</v>
      </c>
      <c r="Y898" s="71">
        <f t="shared" si="321"/>
        <v>0</v>
      </c>
      <c r="AA898" s="71">
        <f t="shared" si="322"/>
        <v>0</v>
      </c>
      <c r="AC898" s="71">
        <f t="shared" si="323"/>
        <v>0</v>
      </c>
      <c r="AK898" s="71">
        <f t="shared" si="324"/>
        <v>0</v>
      </c>
      <c r="AM898" s="71">
        <f t="shared" si="325"/>
        <v>0</v>
      </c>
      <c r="AO898" s="71">
        <f t="shared" si="326"/>
        <v>0</v>
      </c>
      <c r="AQ898" s="71">
        <f t="shared" si="327"/>
        <v>0</v>
      </c>
      <c r="AT898" s="71">
        <f t="shared" si="328"/>
        <v>0</v>
      </c>
      <c r="AV898" s="71">
        <f t="shared" si="329"/>
        <v>0</v>
      </c>
      <c r="AX898" s="71">
        <f t="shared" si="330"/>
        <v>0</v>
      </c>
      <c r="AZ898" s="71">
        <f t="shared" si="331"/>
        <v>0</v>
      </c>
      <c r="BE898" s="102">
        <f t="shared" si="332"/>
        <v>4.4721359549995796</v>
      </c>
      <c r="BF898" s="81">
        <f t="shared" si="333"/>
        <v>9.3924867883288243E-14</v>
      </c>
      <c r="BG898" s="81" t="str">
        <f t="shared" si="334"/>
        <v>BASSO</v>
      </c>
      <c r="BK898" s="81" t="str">
        <f t="shared" si="335"/>
        <v>MOLTO BASSO</v>
      </c>
    </row>
    <row r="899" spans="7:63" x14ac:dyDescent="0.15">
      <c r="G899" s="64">
        <f t="shared" si="336"/>
        <v>0</v>
      </c>
      <c r="I899" s="64">
        <f t="shared" ref="I899:I962" si="337">H899/2</f>
        <v>0</v>
      </c>
      <c r="K899" s="64">
        <f t="shared" ref="K899:K962" si="338">J899/2</f>
        <v>0</v>
      </c>
      <c r="M899" s="64">
        <f t="shared" ref="M899:M962" si="339">L899/3</f>
        <v>0</v>
      </c>
      <c r="O899" s="64">
        <f t="shared" ref="O899:O962" si="340">N899/5</f>
        <v>0</v>
      </c>
      <c r="Q899" s="64">
        <f t="shared" ref="Q899:Q962" si="341">P899/3</f>
        <v>0</v>
      </c>
      <c r="S899" s="71">
        <f t="shared" ref="S899:S962" si="342">R899/3</f>
        <v>0</v>
      </c>
      <c r="U899" s="64">
        <f t="shared" ref="U899:U962" si="343">T899/3</f>
        <v>0</v>
      </c>
      <c r="W899" s="71">
        <f t="shared" ref="W899:W962" si="344">V899/4</f>
        <v>0</v>
      </c>
      <c r="Y899" s="71">
        <f t="shared" ref="Y899:Y962" si="345">X899/3</f>
        <v>0</v>
      </c>
      <c r="AA899" s="71">
        <f t="shared" ref="AA899:AA962" si="346">Z899/3</f>
        <v>0</v>
      </c>
      <c r="AC899" s="71">
        <f t="shared" ref="AC899:AC962" si="347">AB899/2</f>
        <v>0</v>
      </c>
      <c r="AK899" s="71">
        <f t="shared" ref="AK899:AK962" si="348">AJ899/2</f>
        <v>0</v>
      </c>
      <c r="AM899" s="71">
        <f t="shared" ref="AM899:AM962" si="349">AL899/3</f>
        <v>0</v>
      </c>
      <c r="AO899" s="71">
        <f t="shared" ref="AO899:AO962" si="350">AN899/3</f>
        <v>0</v>
      </c>
      <c r="AQ899" s="71">
        <f t="shared" ref="AQ899:AQ962" si="351">AP899/3</f>
        <v>0</v>
      </c>
      <c r="AT899" s="71">
        <f t="shared" ref="AT899:AT962" si="352">AS899/3</f>
        <v>0</v>
      </c>
      <c r="AV899" s="71">
        <f t="shared" ref="AV899:AV962" si="353">AU899/3</f>
        <v>0</v>
      </c>
      <c r="AX899" s="71">
        <f t="shared" ref="AX899:AX962" si="354">AW899/2</f>
        <v>0</v>
      </c>
      <c r="AZ899" s="71">
        <f t="shared" ref="AZ899:AZ962" si="355">AY899/3</f>
        <v>0</v>
      </c>
      <c r="BE899" s="102">
        <f t="shared" ref="BE899:BE962" si="356">SQRT((1-G899)^2 + (1-I899)^2 + (1-K899)^2 + (1-M899)^2 + (1-O899)^2 + (1-Q899)^2 + (1-S899)^2 + (1-U899)^2 + (1-W899)^2 + (1-Y899)^2 + (1-AA899)^2 + (1-AC899)^2 + (1-AK899)^2 + (1-AM899)^2 + (1-AO899)^2 + (1-AQ899)^2 + (1-AT899)^2 + (1-AV899)^2 + (1-AX899)^2 + (1-AZ899)^2)</f>
        <v>4.4721359549995796</v>
      </c>
      <c r="BF899" s="81">
        <f t="shared" ref="BF899:BF962" si="357">1 - (BE899 / 4.472135955)</f>
        <v>9.3924867883288243E-14</v>
      </c>
      <c r="BG899" s="81" t="str">
        <f t="shared" ref="BG899:BG962" si="358">IF(BF899&lt;=0.33, "BASSO", IF(BF899&lt;=0.66, "MEDIO", "ALTO"))</f>
        <v>BASSO</v>
      </c>
      <c r="BK899" s="81" t="str">
        <f t="shared" ref="BK899:BK962" si="359">IF(BF899&lt;0.3,"MOLTO BASSO",IF(BF899&lt;0.45,"BASSO",IF(BF899&lt;0.65,"MEDIO",IF(BF899&lt;0.8,"ALTO","MOLTO ALTO"))))</f>
        <v>MOLTO BASSO</v>
      </c>
    </row>
    <row r="900" spans="7:63" x14ac:dyDescent="0.15">
      <c r="G900" s="64">
        <f t="shared" si="336"/>
        <v>0</v>
      </c>
      <c r="I900" s="64">
        <f t="shared" si="337"/>
        <v>0</v>
      </c>
      <c r="K900" s="64">
        <f t="shared" si="338"/>
        <v>0</v>
      </c>
      <c r="M900" s="64">
        <f t="shared" si="339"/>
        <v>0</v>
      </c>
      <c r="O900" s="64">
        <f t="shared" si="340"/>
        <v>0</v>
      </c>
      <c r="Q900" s="64">
        <f t="shared" si="341"/>
        <v>0</v>
      </c>
      <c r="S900" s="71">
        <f t="shared" si="342"/>
        <v>0</v>
      </c>
      <c r="U900" s="64">
        <f t="shared" si="343"/>
        <v>0</v>
      </c>
      <c r="W900" s="71">
        <f t="shared" si="344"/>
        <v>0</v>
      </c>
      <c r="Y900" s="71">
        <f t="shared" si="345"/>
        <v>0</v>
      </c>
      <c r="AA900" s="71">
        <f t="shared" si="346"/>
        <v>0</v>
      </c>
      <c r="AC900" s="71">
        <f t="shared" si="347"/>
        <v>0</v>
      </c>
      <c r="AK900" s="71">
        <f t="shared" si="348"/>
        <v>0</v>
      </c>
      <c r="AM900" s="71">
        <f t="shared" si="349"/>
        <v>0</v>
      </c>
      <c r="AO900" s="71">
        <f t="shared" si="350"/>
        <v>0</v>
      </c>
      <c r="AQ900" s="71">
        <f t="shared" si="351"/>
        <v>0</v>
      </c>
      <c r="AT900" s="71">
        <f t="shared" si="352"/>
        <v>0</v>
      </c>
      <c r="AV900" s="71">
        <f t="shared" si="353"/>
        <v>0</v>
      </c>
      <c r="AX900" s="71">
        <f t="shared" si="354"/>
        <v>0</v>
      </c>
      <c r="AZ900" s="71">
        <f t="shared" si="355"/>
        <v>0</v>
      </c>
      <c r="BE900" s="102">
        <f t="shared" si="356"/>
        <v>4.4721359549995796</v>
      </c>
      <c r="BF900" s="81">
        <f t="shared" si="357"/>
        <v>9.3924867883288243E-14</v>
      </c>
      <c r="BG900" s="81" t="str">
        <f t="shared" si="358"/>
        <v>BASSO</v>
      </c>
      <c r="BK900" s="81" t="str">
        <f t="shared" si="359"/>
        <v>MOLTO BASSO</v>
      </c>
    </row>
    <row r="901" spans="7:63" x14ac:dyDescent="0.15">
      <c r="G901" s="64">
        <f t="shared" si="336"/>
        <v>0</v>
      </c>
      <c r="I901" s="64">
        <f t="shared" si="337"/>
        <v>0</v>
      </c>
      <c r="K901" s="64">
        <f t="shared" si="338"/>
        <v>0</v>
      </c>
      <c r="M901" s="64">
        <f t="shared" si="339"/>
        <v>0</v>
      </c>
      <c r="O901" s="64">
        <f t="shared" si="340"/>
        <v>0</v>
      </c>
      <c r="Q901" s="64">
        <f t="shared" si="341"/>
        <v>0</v>
      </c>
      <c r="S901" s="71">
        <f t="shared" si="342"/>
        <v>0</v>
      </c>
      <c r="U901" s="64">
        <f t="shared" si="343"/>
        <v>0</v>
      </c>
      <c r="W901" s="71">
        <f t="shared" si="344"/>
        <v>0</v>
      </c>
      <c r="Y901" s="71">
        <f t="shared" si="345"/>
        <v>0</v>
      </c>
      <c r="AA901" s="71">
        <f t="shared" si="346"/>
        <v>0</v>
      </c>
      <c r="AC901" s="71">
        <f t="shared" si="347"/>
        <v>0</v>
      </c>
      <c r="AK901" s="71">
        <f t="shared" si="348"/>
        <v>0</v>
      </c>
      <c r="AM901" s="71">
        <f t="shared" si="349"/>
        <v>0</v>
      </c>
      <c r="AO901" s="71">
        <f t="shared" si="350"/>
        <v>0</v>
      </c>
      <c r="AQ901" s="71">
        <f t="shared" si="351"/>
        <v>0</v>
      </c>
      <c r="AT901" s="71">
        <f t="shared" si="352"/>
        <v>0</v>
      </c>
      <c r="AV901" s="71">
        <f t="shared" si="353"/>
        <v>0</v>
      </c>
      <c r="AX901" s="71">
        <f t="shared" si="354"/>
        <v>0</v>
      </c>
      <c r="AZ901" s="71">
        <f t="shared" si="355"/>
        <v>0</v>
      </c>
      <c r="BE901" s="102">
        <f t="shared" si="356"/>
        <v>4.4721359549995796</v>
      </c>
      <c r="BF901" s="81">
        <f t="shared" si="357"/>
        <v>9.3924867883288243E-14</v>
      </c>
      <c r="BG901" s="81" t="str">
        <f t="shared" si="358"/>
        <v>BASSO</v>
      </c>
      <c r="BK901" s="81" t="str">
        <f t="shared" si="359"/>
        <v>MOLTO BASSO</v>
      </c>
    </row>
    <row r="902" spans="7:63" x14ac:dyDescent="0.15">
      <c r="G902" s="64">
        <f t="shared" si="336"/>
        <v>0</v>
      </c>
      <c r="I902" s="64">
        <f t="shared" si="337"/>
        <v>0</v>
      </c>
      <c r="K902" s="64">
        <f t="shared" si="338"/>
        <v>0</v>
      </c>
      <c r="M902" s="64">
        <f t="shared" si="339"/>
        <v>0</v>
      </c>
      <c r="O902" s="64">
        <f t="shared" si="340"/>
        <v>0</v>
      </c>
      <c r="Q902" s="64">
        <f t="shared" si="341"/>
        <v>0</v>
      </c>
      <c r="S902" s="71">
        <f t="shared" si="342"/>
        <v>0</v>
      </c>
      <c r="U902" s="64">
        <f t="shared" si="343"/>
        <v>0</v>
      </c>
      <c r="W902" s="71">
        <f t="shared" si="344"/>
        <v>0</v>
      </c>
      <c r="Y902" s="71">
        <f t="shared" si="345"/>
        <v>0</v>
      </c>
      <c r="AA902" s="71">
        <f t="shared" si="346"/>
        <v>0</v>
      </c>
      <c r="AC902" s="71">
        <f t="shared" si="347"/>
        <v>0</v>
      </c>
      <c r="AK902" s="71">
        <f t="shared" si="348"/>
        <v>0</v>
      </c>
      <c r="AM902" s="71">
        <f t="shared" si="349"/>
        <v>0</v>
      </c>
      <c r="AO902" s="71">
        <f t="shared" si="350"/>
        <v>0</v>
      </c>
      <c r="AQ902" s="71">
        <f t="shared" si="351"/>
        <v>0</v>
      </c>
      <c r="AT902" s="71">
        <f t="shared" si="352"/>
        <v>0</v>
      </c>
      <c r="AV902" s="71">
        <f t="shared" si="353"/>
        <v>0</v>
      </c>
      <c r="AX902" s="71">
        <f t="shared" si="354"/>
        <v>0</v>
      </c>
      <c r="AZ902" s="71">
        <f t="shared" si="355"/>
        <v>0</v>
      </c>
      <c r="BE902" s="102">
        <f t="shared" si="356"/>
        <v>4.4721359549995796</v>
      </c>
      <c r="BF902" s="81">
        <f t="shared" si="357"/>
        <v>9.3924867883288243E-14</v>
      </c>
      <c r="BG902" s="81" t="str">
        <f t="shared" si="358"/>
        <v>BASSO</v>
      </c>
      <c r="BK902" s="81" t="str">
        <f t="shared" si="359"/>
        <v>MOLTO BASSO</v>
      </c>
    </row>
    <row r="903" spans="7:63" x14ac:dyDescent="0.15">
      <c r="G903" s="64">
        <f t="shared" si="336"/>
        <v>0</v>
      </c>
      <c r="I903" s="64">
        <f t="shared" si="337"/>
        <v>0</v>
      </c>
      <c r="K903" s="64">
        <f t="shared" si="338"/>
        <v>0</v>
      </c>
      <c r="M903" s="64">
        <f t="shared" si="339"/>
        <v>0</v>
      </c>
      <c r="O903" s="64">
        <f t="shared" si="340"/>
        <v>0</v>
      </c>
      <c r="Q903" s="64">
        <f t="shared" si="341"/>
        <v>0</v>
      </c>
      <c r="S903" s="71">
        <f t="shared" si="342"/>
        <v>0</v>
      </c>
      <c r="U903" s="64">
        <f t="shared" si="343"/>
        <v>0</v>
      </c>
      <c r="W903" s="71">
        <f t="shared" si="344"/>
        <v>0</v>
      </c>
      <c r="Y903" s="71">
        <f t="shared" si="345"/>
        <v>0</v>
      </c>
      <c r="AA903" s="71">
        <f t="shared" si="346"/>
        <v>0</v>
      </c>
      <c r="AC903" s="71">
        <f t="shared" si="347"/>
        <v>0</v>
      </c>
      <c r="AK903" s="71">
        <f t="shared" si="348"/>
        <v>0</v>
      </c>
      <c r="AM903" s="71">
        <f t="shared" si="349"/>
        <v>0</v>
      </c>
      <c r="AO903" s="71">
        <f t="shared" si="350"/>
        <v>0</v>
      </c>
      <c r="AQ903" s="71">
        <f t="shared" si="351"/>
        <v>0</v>
      </c>
      <c r="AT903" s="71">
        <f t="shared" si="352"/>
        <v>0</v>
      </c>
      <c r="AV903" s="71">
        <f t="shared" si="353"/>
        <v>0</v>
      </c>
      <c r="AX903" s="71">
        <f t="shared" si="354"/>
        <v>0</v>
      </c>
      <c r="AZ903" s="71">
        <f t="shared" si="355"/>
        <v>0</v>
      </c>
      <c r="BE903" s="102">
        <f t="shared" si="356"/>
        <v>4.4721359549995796</v>
      </c>
      <c r="BF903" s="81">
        <f t="shared" si="357"/>
        <v>9.3924867883288243E-14</v>
      </c>
      <c r="BG903" s="81" t="str">
        <f t="shared" si="358"/>
        <v>BASSO</v>
      </c>
      <c r="BK903" s="81" t="str">
        <f t="shared" si="359"/>
        <v>MOLTO BASSO</v>
      </c>
    </row>
    <row r="904" spans="7:63" x14ac:dyDescent="0.15">
      <c r="G904" s="64">
        <f t="shared" si="336"/>
        <v>0</v>
      </c>
      <c r="I904" s="64">
        <f t="shared" si="337"/>
        <v>0</v>
      </c>
      <c r="K904" s="64">
        <f t="shared" si="338"/>
        <v>0</v>
      </c>
      <c r="M904" s="64">
        <f t="shared" si="339"/>
        <v>0</v>
      </c>
      <c r="O904" s="64">
        <f t="shared" si="340"/>
        <v>0</v>
      </c>
      <c r="Q904" s="64">
        <f t="shared" si="341"/>
        <v>0</v>
      </c>
      <c r="S904" s="71">
        <f t="shared" si="342"/>
        <v>0</v>
      </c>
      <c r="U904" s="64">
        <f t="shared" si="343"/>
        <v>0</v>
      </c>
      <c r="W904" s="71">
        <f t="shared" si="344"/>
        <v>0</v>
      </c>
      <c r="Y904" s="71">
        <f t="shared" si="345"/>
        <v>0</v>
      </c>
      <c r="AA904" s="71">
        <f t="shared" si="346"/>
        <v>0</v>
      </c>
      <c r="AC904" s="71">
        <f t="shared" si="347"/>
        <v>0</v>
      </c>
      <c r="AK904" s="71">
        <f t="shared" si="348"/>
        <v>0</v>
      </c>
      <c r="AM904" s="71">
        <f t="shared" si="349"/>
        <v>0</v>
      </c>
      <c r="AO904" s="71">
        <f t="shared" si="350"/>
        <v>0</v>
      </c>
      <c r="AQ904" s="71">
        <f t="shared" si="351"/>
        <v>0</v>
      </c>
      <c r="AT904" s="71">
        <f t="shared" si="352"/>
        <v>0</v>
      </c>
      <c r="AV904" s="71">
        <f t="shared" si="353"/>
        <v>0</v>
      </c>
      <c r="AX904" s="71">
        <f t="shared" si="354"/>
        <v>0</v>
      </c>
      <c r="AZ904" s="71">
        <f t="shared" si="355"/>
        <v>0</v>
      </c>
      <c r="BE904" s="102">
        <f t="shared" si="356"/>
        <v>4.4721359549995796</v>
      </c>
      <c r="BF904" s="81">
        <f t="shared" si="357"/>
        <v>9.3924867883288243E-14</v>
      </c>
      <c r="BG904" s="81" t="str">
        <f t="shared" si="358"/>
        <v>BASSO</v>
      </c>
      <c r="BK904" s="81" t="str">
        <f t="shared" si="359"/>
        <v>MOLTO BASSO</v>
      </c>
    </row>
    <row r="905" spans="7:63" x14ac:dyDescent="0.15">
      <c r="G905" s="64">
        <f t="shared" si="336"/>
        <v>0</v>
      </c>
      <c r="I905" s="64">
        <f t="shared" si="337"/>
        <v>0</v>
      </c>
      <c r="K905" s="64">
        <f t="shared" si="338"/>
        <v>0</v>
      </c>
      <c r="M905" s="64">
        <f t="shared" si="339"/>
        <v>0</v>
      </c>
      <c r="O905" s="64">
        <f t="shared" si="340"/>
        <v>0</v>
      </c>
      <c r="Q905" s="64">
        <f t="shared" si="341"/>
        <v>0</v>
      </c>
      <c r="S905" s="71">
        <f t="shared" si="342"/>
        <v>0</v>
      </c>
      <c r="U905" s="64">
        <f t="shared" si="343"/>
        <v>0</v>
      </c>
      <c r="W905" s="71">
        <f t="shared" si="344"/>
        <v>0</v>
      </c>
      <c r="Y905" s="71">
        <f t="shared" si="345"/>
        <v>0</v>
      </c>
      <c r="AA905" s="71">
        <f t="shared" si="346"/>
        <v>0</v>
      </c>
      <c r="AC905" s="71">
        <f t="shared" si="347"/>
        <v>0</v>
      </c>
      <c r="AK905" s="71">
        <f t="shared" si="348"/>
        <v>0</v>
      </c>
      <c r="AM905" s="71">
        <f t="shared" si="349"/>
        <v>0</v>
      </c>
      <c r="AO905" s="71">
        <f t="shared" si="350"/>
        <v>0</v>
      </c>
      <c r="AQ905" s="71">
        <f t="shared" si="351"/>
        <v>0</v>
      </c>
      <c r="AT905" s="71">
        <f t="shared" si="352"/>
        <v>0</v>
      </c>
      <c r="AV905" s="71">
        <f t="shared" si="353"/>
        <v>0</v>
      </c>
      <c r="AX905" s="71">
        <f t="shared" si="354"/>
        <v>0</v>
      </c>
      <c r="AZ905" s="71">
        <f t="shared" si="355"/>
        <v>0</v>
      </c>
      <c r="BE905" s="102">
        <f t="shared" si="356"/>
        <v>4.4721359549995796</v>
      </c>
      <c r="BF905" s="81">
        <f t="shared" si="357"/>
        <v>9.3924867883288243E-14</v>
      </c>
      <c r="BG905" s="81" t="str">
        <f t="shared" si="358"/>
        <v>BASSO</v>
      </c>
      <c r="BK905" s="81" t="str">
        <f t="shared" si="359"/>
        <v>MOLTO BASSO</v>
      </c>
    </row>
    <row r="906" spans="7:63" x14ac:dyDescent="0.15">
      <c r="G906" s="64">
        <f t="shared" si="336"/>
        <v>0</v>
      </c>
      <c r="I906" s="64">
        <f t="shared" si="337"/>
        <v>0</v>
      </c>
      <c r="K906" s="64">
        <f t="shared" si="338"/>
        <v>0</v>
      </c>
      <c r="M906" s="64">
        <f t="shared" si="339"/>
        <v>0</v>
      </c>
      <c r="O906" s="64">
        <f t="shared" si="340"/>
        <v>0</v>
      </c>
      <c r="Q906" s="64">
        <f t="shared" si="341"/>
        <v>0</v>
      </c>
      <c r="S906" s="71">
        <f t="shared" si="342"/>
        <v>0</v>
      </c>
      <c r="U906" s="64">
        <f t="shared" si="343"/>
        <v>0</v>
      </c>
      <c r="W906" s="71">
        <f t="shared" si="344"/>
        <v>0</v>
      </c>
      <c r="Y906" s="71">
        <f t="shared" si="345"/>
        <v>0</v>
      </c>
      <c r="AA906" s="71">
        <f t="shared" si="346"/>
        <v>0</v>
      </c>
      <c r="AC906" s="71">
        <f t="shared" si="347"/>
        <v>0</v>
      </c>
      <c r="AK906" s="71">
        <f t="shared" si="348"/>
        <v>0</v>
      </c>
      <c r="AM906" s="71">
        <f t="shared" si="349"/>
        <v>0</v>
      </c>
      <c r="AO906" s="71">
        <f t="shared" si="350"/>
        <v>0</v>
      </c>
      <c r="AQ906" s="71">
        <f t="shared" si="351"/>
        <v>0</v>
      </c>
      <c r="AT906" s="71">
        <f t="shared" si="352"/>
        <v>0</v>
      </c>
      <c r="AV906" s="71">
        <f t="shared" si="353"/>
        <v>0</v>
      </c>
      <c r="AX906" s="71">
        <f t="shared" si="354"/>
        <v>0</v>
      </c>
      <c r="AZ906" s="71">
        <f t="shared" si="355"/>
        <v>0</v>
      </c>
      <c r="BE906" s="102">
        <f t="shared" si="356"/>
        <v>4.4721359549995796</v>
      </c>
      <c r="BF906" s="81">
        <f t="shared" si="357"/>
        <v>9.3924867883288243E-14</v>
      </c>
      <c r="BG906" s="81" t="str">
        <f t="shared" si="358"/>
        <v>BASSO</v>
      </c>
      <c r="BK906" s="81" t="str">
        <f t="shared" si="359"/>
        <v>MOLTO BASSO</v>
      </c>
    </row>
    <row r="907" spans="7:63" x14ac:dyDescent="0.15">
      <c r="G907" s="64">
        <f t="shared" si="336"/>
        <v>0</v>
      </c>
      <c r="I907" s="64">
        <f t="shared" si="337"/>
        <v>0</v>
      </c>
      <c r="K907" s="64">
        <f t="shared" si="338"/>
        <v>0</v>
      </c>
      <c r="M907" s="64">
        <f t="shared" si="339"/>
        <v>0</v>
      </c>
      <c r="O907" s="64">
        <f t="shared" si="340"/>
        <v>0</v>
      </c>
      <c r="Q907" s="64">
        <f t="shared" si="341"/>
        <v>0</v>
      </c>
      <c r="S907" s="71">
        <f t="shared" si="342"/>
        <v>0</v>
      </c>
      <c r="U907" s="64">
        <f t="shared" si="343"/>
        <v>0</v>
      </c>
      <c r="W907" s="71">
        <f t="shared" si="344"/>
        <v>0</v>
      </c>
      <c r="Y907" s="71">
        <f t="shared" si="345"/>
        <v>0</v>
      </c>
      <c r="AA907" s="71">
        <f t="shared" si="346"/>
        <v>0</v>
      </c>
      <c r="AC907" s="71">
        <f t="shared" si="347"/>
        <v>0</v>
      </c>
      <c r="AK907" s="71">
        <f t="shared" si="348"/>
        <v>0</v>
      </c>
      <c r="AM907" s="71">
        <f t="shared" si="349"/>
        <v>0</v>
      </c>
      <c r="AO907" s="71">
        <f t="shared" si="350"/>
        <v>0</v>
      </c>
      <c r="AQ907" s="71">
        <f t="shared" si="351"/>
        <v>0</v>
      </c>
      <c r="AT907" s="71">
        <f t="shared" si="352"/>
        <v>0</v>
      </c>
      <c r="AV907" s="71">
        <f t="shared" si="353"/>
        <v>0</v>
      </c>
      <c r="AX907" s="71">
        <f t="shared" si="354"/>
        <v>0</v>
      </c>
      <c r="AZ907" s="71">
        <f t="shared" si="355"/>
        <v>0</v>
      </c>
      <c r="BE907" s="102">
        <f t="shared" si="356"/>
        <v>4.4721359549995796</v>
      </c>
      <c r="BF907" s="81">
        <f t="shared" si="357"/>
        <v>9.3924867883288243E-14</v>
      </c>
      <c r="BG907" s="81" t="str">
        <f t="shared" si="358"/>
        <v>BASSO</v>
      </c>
      <c r="BK907" s="81" t="str">
        <f t="shared" si="359"/>
        <v>MOLTO BASSO</v>
      </c>
    </row>
    <row r="908" spans="7:63" x14ac:dyDescent="0.15">
      <c r="G908" s="64">
        <f t="shared" si="336"/>
        <v>0</v>
      </c>
      <c r="I908" s="64">
        <f t="shared" si="337"/>
        <v>0</v>
      </c>
      <c r="K908" s="64">
        <f t="shared" si="338"/>
        <v>0</v>
      </c>
      <c r="M908" s="64">
        <f t="shared" si="339"/>
        <v>0</v>
      </c>
      <c r="O908" s="64">
        <f t="shared" si="340"/>
        <v>0</v>
      </c>
      <c r="Q908" s="64">
        <f t="shared" si="341"/>
        <v>0</v>
      </c>
      <c r="S908" s="71">
        <f t="shared" si="342"/>
        <v>0</v>
      </c>
      <c r="U908" s="64">
        <f t="shared" si="343"/>
        <v>0</v>
      </c>
      <c r="W908" s="71">
        <f t="shared" si="344"/>
        <v>0</v>
      </c>
      <c r="Y908" s="71">
        <f t="shared" si="345"/>
        <v>0</v>
      </c>
      <c r="AA908" s="71">
        <f t="shared" si="346"/>
        <v>0</v>
      </c>
      <c r="AC908" s="71">
        <f t="shared" si="347"/>
        <v>0</v>
      </c>
      <c r="AK908" s="71">
        <f t="shared" si="348"/>
        <v>0</v>
      </c>
      <c r="AM908" s="71">
        <f t="shared" si="349"/>
        <v>0</v>
      </c>
      <c r="AO908" s="71">
        <f t="shared" si="350"/>
        <v>0</v>
      </c>
      <c r="AQ908" s="71">
        <f t="shared" si="351"/>
        <v>0</v>
      </c>
      <c r="AT908" s="71">
        <f t="shared" si="352"/>
        <v>0</v>
      </c>
      <c r="AV908" s="71">
        <f t="shared" si="353"/>
        <v>0</v>
      </c>
      <c r="AX908" s="71">
        <f t="shared" si="354"/>
        <v>0</v>
      </c>
      <c r="AZ908" s="71">
        <f t="shared" si="355"/>
        <v>0</v>
      </c>
      <c r="BE908" s="102">
        <f t="shared" si="356"/>
        <v>4.4721359549995796</v>
      </c>
      <c r="BF908" s="81">
        <f t="shared" si="357"/>
        <v>9.3924867883288243E-14</v>
      </c>
      <c r="BG908" s="81" t="str">
        <f t="shared" si="358"/>
        <v>BASSO</v>
      </c>
      <c r="BK908" s="81" t="str">
        <f t="shared" si="359"/>
        <v>MOLTO BASSO</v>
      </c>
    </row>
    <row r="909" spans="7:63" x14ac:dyDescent="0.15">
      <c r="G909" s="64">
        <f t="shared" si="336"/>
        <v>0</v>
      </c>
      <c r="I909" s="64">
        <f t="shared" si="337"/>
        <v>0</v>
      </c>
      <c r="K909" s="64">
        <f t="shared" si="338"/>
        <v>0</v>
      </c>
      <c r="M909" s="64">
        <f t="shared" si="339"/>
        <v>0</v>
      </c>
      <c r="O909" s="64">
        <f t="shared" si="340"/>
        <v>0</v>
      </c>
      <c r="Q909" s="64">
        <f t="shared" si="341"/>
        <v>0</v>
      </c>
      <c r="S909" s="71">
        <f t="shared" si="342"/>
        <v>0</v>
      </c>
      <c r="U909" s="64">
        <f t="shared" si="343"/>
        <v>0</v>
      </c>
      <c r="W909" s="71">
        <f t="shared" si="344"/>
        <v>0</v>
      </c>
      <c r="Y909" s="71">
        <f t="shared" si="345"/>
        <v>0</v>
      </c>
      <c r="AA909" s="71">
        <f t="shared" si="346"/>
        <v>0</v>
      </c>
      <c r="AC909" s="71">
        <f t="shared" si="347"/>
        <v>0</v>
      </c>
      <c r="AK909" s="71">
        <f t="shared" si="348"/>
        <v>0</v>
      </c>
      <c r="AM909" s="71">
        <f t="shared" si="349"/>
        <v>0</v>
      </c>
      <c r="AO909" s="71">
        <f t="shared" si="350"/>
        <v>0</v>
      </c>
      <c r="AQ909" s="71">
        <f t="shared" si="351"/>
        <v>0</v>
      </c>
      <c r="AT909" s="71">
        <f t="shared" si="352"/>
        <v>0</v>
      </c>
      <c r="AV909" s="71">
        <f t="shared" si="353"/>
        <v>0</v>
      </c>
      <c r="AX909" s="71">
        <f t="shared" si="354"/>
        <v>0</v>
      </c>
      <c r="AZ909" s="71">
        <f t="shared" si="355"/>
        <v>0</v>
      </c>
      <c r="BE909" s="102">
        <f t="shared" si="356"/>
        <v>4.4721359549995796</v>
      </c>
      <c r="BF909" s="81">
        <f t="shared" si="357"/>
        <v>9.3924867883288243E-14</v>
      </c>
      <c r="BG909" s="81" t="str">
        <f t="shared" si="358"/>
        <v>BASSO</v>
      </c>
      <c r="BK909" s="81" t="str">
        <f t="shared" si="359"/>
        <v>MOLTO BASSO</v>
      </c>
    </row>
    <row r="910" spans="7:63" x14ac:dyDescent="0.15">
      <c r="G910" s="64">
        <f t="shared" si="336"/>
        <v>0</v>
      </c>
      <c r="I910" s="64">
        <f t="shared" si="337"/>
        <v>0</v>
      </c>
      <c r="K910" s="64">
        <f t="shared" si="338"/>
        <v>0</v>
      </c>
      <c r="M910" s="64">
        <f t="shared" si="339"/>
        <v>0</v>
      </c>
      <c r="O910" s="64">
        <f t="shared" si="340"/>
        <v>0</v>
      </c>
      <c r="Q910" s="64">
        <f t="shared" si="341"/>
        <v>0</v>
      </c>
      <c r="S910" s="71">
        <f t="shared" si="342"/>
        <v>0</v>
      </c>
      <c r="U910" s="64">
        <f t="shared" si="343"/>
        <v>0</v>
      </c>
      <c r="W910" s="71">
        <f t="shared" si="344"/>
        <v>0</v>
      </c>
      <c r="Y910" s="71">
        <f t="shared" si="345"/>
        <v>0</v>
      </c>
      <c r="AA910" s="71">
        <f t="shared" si="346"/>
        <v>0</v>
      </c>
      <c r="AC910" s="71">
        <f t="shared" si="347"/>
        <v>0</v>
      </c>
      <c r="AK910" s="71">
        <f t="shared" si="348"/>
        <v>0</v>
      </c>
      <c r="AM910" s="71">
        <f t="shared" si="349"/>
        <v>0</v>
      </c>
      <c r="AO910" s="71">
        <f t="shared" si="350"/>
        <v>0</v>
      </c>
      <c r="AQ910" s="71">
        <f t="shared" si="351"/>
        <v>0</v>
      </c>
      <c r="AT910" s="71">
        <f t="shared" si="352"/>
        <v>0</v>
      </c>
      <c r="AV910" s="71">
        <f t="shared" si="353"/>
        <v>0</v>
      </c>
      <c r="AX910" s="71">
        <f t="shared" si="354"/>
        <v>0</v>
      </c>
      <c r="AZ910" s="71">
        <f t="shared" si="355"/>
        <v>0</v>
      </c>
      <c r="BE910" s="102">
        <f t="shared" si="356"/>
        <v>4.4721359549995796</v>
      </c>
      <c r="BF910" s="81">
        <f t="shared" si="357"/>
        <v>9.3924867883288243E-14</v>
      </c>
      <c r="BG910" s="81" t="str">
        <f t="shared" si="358"/>
        <v>BASSO</v>
      </c>
      <c r="BK910" s="81" t="str">
        <f t="shared" si="359"/>
        <v>MOLTO BASSO</v>
      </c>
    </row>
    <row r="911" spans="7:63" x14ac:dyDescent="0.15">
      <c r="G911" s="64">
        <f t="shared" si="336"/>
        <v>0</v>
      </c>
      <c r="I911" s="64">
        <f t="shared" si="337"/>
        <v>0</v>
      </c>
      <c r="K911" s="64">
        <f t="shared" si="338"/>
        <v>0</v>
      </c>
      <c r="M911" s="64">
        <f t="shared" si="339"/>
        <v>0</v>
      </c>
      <c r="O911" s="64">
        <f t="shared" si="340"/>
        <v>0</v>
      </c>
      <c r="Q911" s="64">
        <f t="shared" si="341"/>
        <v>0</v>
      </c>
      <c r="S911" s="71">
        <f t="shared" si="342"/>
        <v>0</v>
      </c>
      <c r="U911" s="64">
        <f t="shared" si="343"/>
        <v>0</v>
      </c>
      <c r="W911" s="71">
        <f t="shared" si="344"/>
        <v>0</v>
      </c>
      <c r="Y911" s="71">
        <f t="shared" si="345"/>
        <v>0</v>
      </c>
      <c r="AA911" s="71">
        <f t="shared" si="346"/>
        <v>0</v>
      </c>
      <c r="AC911" s="71">
        <f t="shared" si="347"/>
        <v>0</v>
      </c>
      <c r="AK911" s="71">
        <f t="shared" si="348"/>
        <v>0</v>
      </c>
      <c r="AM911" s="71">
        <f t="shared" si="349"/>
        <v>0</v>
      </c>
      <c r="AO911" s="71">
        <f t="shared" si="350"/>
        <v>0</v>
      </c>
      <c r="AQ911" s="71">
        <f t="shared" si="351"/>
        <v>0</v>
      </c>
      <c r="AT911" s="71">
        <f t="shared" si="352"/>
        <v>0</v>
      </c>
      <c r="AV911" s="71">
        <f t="shared" si="353"/>
        <v>0</v>
      </c>
      <c r="AX911" s="71">
        <f t="shared" si="354"/>
        <v>0</v>
      </c>
      <c r="AZ911" s="71">
        <f t="shared" si="355"/>
        <v>0</v>
      </c>
      <c r="BE911" s="102">
        <f t="shared" si="356"/>
        <v>4.4721359549995796</v>
      </c>
      <c r="BF911" s="81">
        <f t="shared" si="357"/>
        <v>9.3924867883288243E-14</v>
      </c>
      <c r="BG911" s="81" t="str">
        <f t="shared" si="358"/>
        <v>BASSO</v>
      </c>
      <c r="BK911" s="81" t="str">
        <f t="shared" si="359"/>
        <v>MOLTO BASSO</v>
      </c>
    </row>
    <row r="912" spans="7:63" x14ac:dyDescent="0.15">
      <c r="G912" s="64">
        <f t="shared" si="336"/>
        <v>0</v>
      </c>
      <c r="I912" s="64">
        <f t="shared" si="337"/>
        <v>0</v>
      </c>
      <c r="K912" s="64">
        <f t="shared" si="338"/>
        <v>0</v>
      </c>
      <c r="M912" s="64">
        <f t="shared" si="339"/>
        <v>0</v>
      </c>
      <c r="O912" s="64">
        <f t="shared" si="340"/>
        <v>0</v>
      </c>
      <c r="Q912" s="64">
        <f t="shared" si="341"/>
        <v>0</v>
      </c>
      <c r="S912" s="71">
        <f t="shared" si="342"/>
        <v>0</v>
      </c>
      <c r="U912" s="64">
        <f t="shared" si="343"/>
        <v>0</v>
      </c>
      <c r="W912" s="71">
        <f t="shared" si="344"/>
        <v>0</v>
      </c>
      <c r="Y912" s="71">
        <f t="shared" si="345"/>
        <v>0</v>
      </c>
      <c r="AA912" s="71">
        <f t="shared" si="346"/>
        <v>0</v>
      </c>
      <c r="AC912" s="71">
        <f t="shared" si="347"/>
        <v>0</v>
      </c>
      <c r="AK912" s="71">
        <f t="shared" si="348"/>
        <v>0</v>
      </c>
      <c r="AM912" s="71">
        <f t="shared" si="349"/>
        <v>0</v>
      </c>
      <c r="AO912" s="71">
        <f t="shared" si="350"/>
        <v>0</v>
      </c>
      <c r="AQ912" s="71">
        <f t="shared" si="351"/>
        <v>0</v>
      </c>
      <c r="AT912" s="71">
        <f t="shared" si="352"/>
        <v>0</v>
      </c>
      <c r="AV912" s="71">
        <f t="shared" si="353"/>
        <v>0</v>
      </c>
      <c r="AX912" s="71">
        <f t="shared" si="354"/>
        <v>0</v>
      </c>
      <c r="AZ912" s="71">
        <f t="shared" si="355"/>
        <v>0</v>
      </c>
      <c r="BE912" s="102">
        <f t="shared" si="356"/>
        <v>4.4721359549995796</v>
      </c>
      <c r="BF912" s="81">
        <f t="shared" si="357"/>
        <v>9.3924867883288243E-14</v>
      </c>
      <c r="BG912" s="81" t="str">
        <f t="shared" si="358"/>
        <v>BASSO</v>
      </c>
      <c r="BK912" s="81" t="str">
        <f t="shared" si="359"/>
        <v>MOLTO BASSO</v>
      </c>
    </row>
    <row r="913" spans="7:63" x14ac:dyDescent="0.15">
      <c r="G913" s="64">
        <f t="shared" si="336"/>
        <v>0</v>
      </c>
      <c r="I913" s="64">
        <f t="shared" si="337"/>
        <v>0</v>
      </c>
      <c r="K913" s="64">
        <f t="shared" si="338"/>
        <v>0</v>
      </c>
      <c r="M913" s="64">
        <f t="shared" si="339"/>
        <v>0</v>
      </c>
      <c r="O913" s="64">
        <f t="shared" si="340"/>
        <v>0</v>
      </c>
      <c r="Q913" s="64">
        <f t="shared" si="341"/>
        <v>0</v>
      </c>
      <c r="S913" s="71">
        <f t="shared" si="342"/>
        <v>0</v>
      </c>
      <c r="U913" s="64">
        <f t="shared" si="343"/>
        <v>0</v>
      </c>
      <c r="W913" s="71">
        <f t="shared" si="344"/>
        <v>0</v>
      </c>
      <c r="Y913" s="71">
        <f t="shared" si="345"/>
        <v>0</v>
      </c>
      <c r="AA913" s="71">
        <f t="shared" si="346"/>
        <v>0</v>
      </c>
      <c r="AC913" s="71">
        <f t="shared" si="347"/>
        <v>0</v>
      </c>
      <c r="AK913" s="71">
        <f t="shared" si="348"/>
        <v>0</v>
      </c>
      <c r="AM913" s="71">
        <f t="shared" si="349"/>
        <v>0</v>
      </c>
      <c r="AO913" s="71">
        <f t="shared" si="350"/>
        <v>0</v>
      </c>
      <c r="AQ913" s="71">
        <f t="shared" si="351"/>
        <v>0</v>
      </c>
      <c r="AT913" s="71">
        <f t="shared" si="352"/>
        <v>0</v>
      </c>
      <c r="AV913" s="71">
        <f t="shared" si="353"/>
        <v>0</v>
      </c>
      <c r="AX913" s="71">
        <f t="shared" si="354"/>
        <v>0</v>
      </c>
      <c r="AZ913" s="71">
        <f t="shared" si="355"/>
        <v>0</v>
      </c>
      <c r="BE913" s="102">
        <f t="shared" si="356"/>
        <v>4.4721359549995796</v>
      </c>
      <c r="BF913" s="81">
        <f t="shared" si="357"/>
        <v>9.3924867883288243E-14</v>
      </c>
      <c r="BG913" s="81" t="str">
        <f t="shared" si="358"/>
        <v>BASSO</v>
      </c>
      <c r="BK913" s="81" t="str">
        <f t="shared" si="359"/>
        <v>MOLTO BASSO</v>
      </c>
    </row>
    <row r="914" spans="7:63" x14ac:dyDescent="0.15">
      <c r="G914" s="64">
        <f t="shared" si="336"/>
        <v>0</v>
      </c>
      <c r="I914" s="64">
        <f t="shared" si="337"/>
        <v>0</v>
      </c>
      <c r="K914" s="64">
        <f t="shared" si="338"/>
        <v>0</v>
      </c>
      <c r="M914" s="64">
        <f t="shared" si="339"/>
        <v>0</v>
      </c>
      <c r="O914" s="64">
        <f t="shared" si="340"/>
        <v>0</v>
      </c>
      <c r="Q914" s="64">
        <f t="shared" si="341"/>
        <v>0</v>
      </c>
      <c r="S914" s="71">
        <f t="shared" si="342"/>
        <v>0</v>
      </c>
      <c r="U914" s="64">
        <f t="shared" si="343"/>
        <v>0</v>
      </c>
      <c r="W914" s="71">
        <f t="shared" si="344"/>
        <v>0</v>
      </c>
      <c r="Y914" s="71">
        <f t="shared" si="345"/>
        <v>0</v>
      </c>
      <c r="AA914" s="71">
        <f t="shared" si="346"/>
        <v>0</v>
      </c>
      <c r="AC914" s="71">
        <f t="shared" si="347"/>
        <v>0</v>
      </c>
      <c r="AK914" s="71">
        <f t="shared" si="348"/>
        <v>0</v>
      </c>
      <c r="AM914" s="71">
        <f t="shared" si="349"/>
        <v>0</v>
      </c>
      <c r="AO914" s="71">
        <f t="shared" si="350"/>
        <v>0</v>
      </c>
      <c r="AQ914" s="71">
        <f t="shared" si="351"/>
        <v>0</v>
      </c>
      <c r="AT914" s="71">
        <f t="shared" si="352"/>
        <v>0</v>
      </c>
      <c r="AV914" s="71">
        <f t="shared" si="353"/>
        <v>0</v>
      </c>
      <c r="AX914" s="71">
        <f t="shared" si="354"/>
        <v>0</v>
      </c>
      <c r="AZ914" s="71">
        <f t="shared" si="355"/>
        <v>0</v>
      </c>
      <c r="BE914" s="102">
        <f t="shared" si="356"/>
        <v>4.4721359549995796</v>
      </c>
      <c r="BF914" s="81">
        <f t="shared" si="357"/>
        <v>9.3924867883288243E-14</v>
      </c>
      <c r="BG914" s="81" t="str">
        <f t="shared" si="358"/>
        <v>BASSO</v>
      </c>
      <c r="BK914" s="81" t="str">
        <f t="shared" si="359"/>
        <v>MOLTO BASSO</v>
      </c>
    </row>
    <row r="915" spans="7:63" x14ac:dyDescent="0.15">
      <c r="G915" s="64">
        <f t="shared" si="336"/>
        <v>0</v>
      </c>
      <c r="I915" s="64">
        <f t="shared" si="337"/>
        <v>0</v>
      </c>
      <c r="K915" s="64">
        <f t="shared" si="338"/>
        <v>0</v>
      </c>
      <c r="M915" s="64">
        <f t="shared" si="339"/>
        <v>0</v>
      </c>
      <c r="O915" s="64">
        <f t="shared" si="340"/>
        <v>0</v>
      </c>
      <c r="Q915" s="64">
        <f t="shared" si="341"/>
        <v>0</v>
      </c>
      <c r="S915" s="71">
        <f t="shared" si="342"/>
        <v>0</v>
      </c>
      <c r="U915" s="64">
        <f t="shared" si="343"/>
        <v>0</v>
      </c>
      <c r="W915" s="71">
        <f t="shared" si="344"/>
        <v>0</v>
      </c>
      <c r="Y915" s="71">
        <f t="shared" si="345"/>
        <v>0</v>
      </c>
      <c r="AA915" s="71">
        <f t="shared" si="346"/>
        <v>0</v>
      </c>
      <c r="AC915" s="71">
        <f t="shared" si="347"/>
        <v>0</v>
      </c>
      <c r="AK915" s="71">
        <f t="shared" si="348"/>
        <v>0</v>
      </c>
      <c r="AM915" s="71">
        <f t="shared" si="349"/>
        <v>0</v>
      </c>
      <c r="AO915" s="71">
        <f t="shared" si="350"/>
        <v>0</v>
      </c>
      <c r="AQ915" s="71">
        <f t="shared" si="351"/>
        <v>0</v>
      </c>
      <c r="AT915" s="71">
        <f t="shared" si="352"/>
        <v>0</v>
      </c>
      <c r="AV915" s="71">
        <f t="shared" si="353"/>
        <v>0</v>
      </c>
      <c r="AX915" s="71">
        <f t="shared" si="354"/>
        <v>0</v>
      </c>
      <c r="AZ915" s="71">
        <f t="shared" si="355"/>
        <v>0</v>
      </c>
      <c r="BE915" s="102">
        <f t="shared" si="356"/>
        <v>4.4721359549995796</v>
      </c>
      <c r="BF915" s="81">
        <f t="shared" si="357"/>
        <v>9.3924867883288243E-14</v>
      </c>
      <c r="BG915" s="81" t="str">
        <f t="shared" si="358"/>
        <v>BASSO</v>
      </c>
      <c r="BK915" s="81" t="str">
        <f t="shared" si="359"/>
        <v>MOLTO BASSO</v>
      </c>
    </row>
    <row r="916" spans="7:63" x14ac:dyDescent="0.15">
      <c r="G916" s="64">
        <f t="shared" si="336"/>
        <v>0</v>
      </c>
      <c r="I916" s="64">
        <f t="shared" si="337"/>
        <v>0</v>
      </c>
      <c r="K916" s="64">
        <f t="shared" si="338"/>
        <v>0</v>
      </c>
      <c r="M916" s="64">
        <f t="shared" si="339"/>
        <v>0</v>
      </c>
      <c r="O916" s="64">
        <f t="shared" si="340"/>
        <v>0</v>
      </c>
      <c r="Q916" s="64">
        <f t="shared" si="341"/>
        <v>0</v>
      </c>
      <c r="S916" s="71">
        <f t="shared" si="342"/>
        <v>0</v>
      </c>
      <c r="U916" s="64">
        <f t="shared" si="343"/>
        <v>0</v>
      </c>
      <c r="W916" s="71">
        <f t="shared" si="344"/>
        <v>0</v>
      </c>
      <c r="Y916" s="71">
        <f t="shared" si="345"/>
        <v>0</v>
      </c>
      <c r="AA916" s="71">
        <f t="shared" si="346"/>
        <v>0</v>
      </c>
      <c r="AC916" s="71">
        <f t="shared" si="347"/>
        <v>0</v>
      </c>
      <c r="AK916" s="71">
        <f t="shared" si="348"/>
        <v>0</v>
      </c>
      <c r="AM916" s="71">
        <f t="shared" si="349"/>
        <v>0</v>
      </c>
      <c r="AO916" s="71">
        <f t="shared" si="350"/>
        <v>0</v>
      </c>
      <c r="AQ916" s="71">
        <f t="shared" si="351"/>
        <v>0</v>
      </c>
      <c r="AT916" s="71">
        <f t="shared" si="352"/>
        <v>0</v>
      </c>
      <c r="AV916" s="71">
        <f t="shared" si="353"/>
        <v>0</v>
      </c>
      <c r="AX916" s="71">
        <f t="shared" si="354"/>
        <v>0</v>
      </c>
      <c r="AZ916" s="71">
        <f t="shared" si="355"/>
        <v>0</v>
      </c>
      <c r="BE916" s="102">
        <f t="shared" si="356"/>
        <v>4.4721359549995796</v>
      </c>
      <c r="BF916" s="81">
        <f t="shared" si="357"/>
        <v>9.3924867883288243E-14</v>
      </c>
      <c r="BG916" s="81" t="str">
        <f t="shared" si="358"/>
        <v>BASSO</v>
      </c>
      <c r="BK916" s="81" t="str">
        <f t="shared" si="359"/>
        <v>MOLTO BASSO</v>
      </c>
    </row>
    <row r="917" spans="7:63" x14ac:dyDescent="0.15">
      <c r="G917" s="64">
        <f t="shared" si="336"/>
        <v>0</v>
      </c>
      <c r="I917" s="64">
        <f t="shared" si="337"/>
        <v>0</v>
      </c>
      <c r="K917" s="64">
        <f t="shared" si="338"/>
        <v>0</v>
      </c>
      <c r="M917" s="64">
        <f t="shared" si="339"/>
        <v>0</v>
      </c>
      <c r="O917" s="64">
        <f t="shared" si="340"/>
        <v>0</v>
      </c>
      <c r="Q917" s="64">
        <f t="shared" si="341"/>
        <v>0</v>
      </c>
      <c r="S917" s="71">
        <f t="shared" si="342"/>
        <v>0</v>
      </c>
      <c r="U917" s="64">
        <f t="shared" si="343"/>
        <v>0</v>
      </c>
      <c r="W917" s="71">
        <f t="shared" si="344"/>
        <v>0</v>
      </c>
      <c r="Y917" s="71">
        <f t="shared" si="345"/>
        <v>0</v>
      </c>
      <c r="AA917" s="71">
        <f t="shared" si="346"/>
        <v>0</v>
      </c>
      <c r="AC917" s="71">
        <f t="shared" si="347"/>
        <v>0</v>
      </c>
      <c r="AK917" s="71">
        <f t="shared" si="348"/>
        <v>0</v>
      </c>
      <c r="AM917" s="71">
        <f t="shared" si="349"/>
        <v>0</v>
      </c>
      <c r="AO917" s="71">
        <f t="shared" si="350"/>
        <v>0</v>
      </c>
      <c r="AQ917" s="71">
        <f t="shared" si="351"/>
        <v>0</v>
      </c>
      <c r="AT917" s="71">
        <f t="shared" si="352"/>
        <v>0</v>
      </c>
      <c r="AV917" s="71">
        <f t="shared" si="353"/>
        <v>0</v>
      </c>
      <c r="AX917" s="71">
        <f t="shared" si="354"/>
        <v>0</v>
      </c>
      <c r="AZ917" s="71">
        <f t="shared" si="355"/>
        <v>0</v>
      </c>
      <c r="BE917" s="102">
        <f t="shared" si="356"/>
        <v>4.4721359549995796</v>
      </c>
      <c r="BF917" s="81">
        <f t="shared" si="357"/>
        <v>9.3924867883288243E-14</v>
      </c>
      <c r="BG917" s="81" t="str">
        <f t="shared" si="358"/>
        <v>BASSO</v>
      </c>
      <c r="BK917" s="81" t="str">
        <f t="shared" si="359"/>
        <v>MOLTO BASSO</v>
      </c>
    </row>
    <row r="918" spans="7:63" x14ac:dyDescent="0.15">
      <c r="G918" s="64">
        <f t="shared" si="336"/>
        <v>0</v>
      </c>
      <c r="I918" s="64">
        <f t="shared" si="337"/>
        <v>0</v>
      </c>
      <c r="K918" s="64">
        <f t="shared" si="338"/>
        <v>0</v>
      </c>
      <c r="M918" s="64">
        <f t="shared" si="339"/>
        <v>0</v>
      </c>
      <c r="O918" s="64">
        <f t="shared" si="340"/>
        <v>0</v>
      </c>
      <c r="Q918" s="64">
        <f t="shared" si="341"/>
        <v>0</v>
      </c>
      <c r="S918" s="71">
        <f t="shared" si="342"/>
        <v>0</v>
      </c>
      <c r="U918" s="64">
        <f t="shared" si="343"/>
        <v>0</v>
      </c>
      <c r="W918" s="71">
        <f t="shared" si="344"/>
        <v>0</v>
      </c>
      <c r="Y918" s="71">
        <f t="shared" si="345"/>
        <v>0</v>
      </c>
      <c r="AA918" s="71">
        <f t="shared" si="346"/>
        <v>0</v>
      </c>
      <c r="AC918" s="71">
        <f t="shared" si="347"/>
        <v>0</v>
      </c>
      <c r="AK918" s="71">
        <f t="shared" si="348"/>
        <v>0</v>
      </c>
      <c r="AM918" s="71">
        <f t="shared" si="349"/>
        <v>0</v>
      </c>
      <c r="AO918" s="71">
        <f t="shared" si="350"/>
        <v>0</v>
      </c>
      <c r="AQ918" s="71">
        <f t="shared" si="351"/>
        <v>0</v>
      </c>
      <c r="AT918" s="71">
        <f t="shared" si="352"/>
        <v>0</v>
      </c>
      <c r="AV918" s="71">
        <f t="shared" si="353"/>
        <v>0</v>
      </c>
      <c r="AX918" s="71">
        <f t="shared" si="354"/>
        <v>0</v>
      </c>
      <c r="AZ918" s="71">
        <f t="shared" si="355"/>
        <v>0</v>
      </c>
      <c r="BE918" s="102">
        <f t="shared" si="356"/>
        <v>4.4721359549995796</v>
      </c>
      <c r="BF918" s="81">
        <f t="shared" si="357"/>
        <v>9.3924867883288243E-14</v>
      </c>
      <c r="BG918" s="81" t="str">
        <f t="shared" si="358"/>
        <v>BASSO</v>
      </c>
      <c r="BK918" s="81" t="str">
        <f t="shared" si="359"/>
        <v>MOLTO BASSO</v>
      </c>
    </row>
    <row r="919" spans="7:63" x14ac:dyDescent="0.15">
      <c r="G919" s="64">
        <f t="shared" si="336"/>
        <v>0</v>
      </c>
      <c r="I919" s="64">
        <f t="shared" si="337"/>
        <v>0</v>
      </c>
      <c r="K919" s="64">
        <f t="shared" si="338"/>
        <v>0</v>
      </c>
      <c r="M919" s="64">
        <f t="shared" si="339"/>
        <v>0</v>
      </c>
      <c r="O919" s="64">
        <f t="shared" si="340"/>
        <v>0</v>
      </c>
      <c r="Q919" s="64">
        <f t="shared" si="341"/>
        <v>0</v>
      </c>
      <c r="S919" s="71">
        <f t="shared" si="342"/>
        <v>0</v>
      </c>
      <c r="U919" s="64">
        <f t="shared" si="343"/>
        <v>0</v>
      </c>
      <c r="W919" s="71">
        <f t="shared" si="344"/>
        <v>0</v>
      </c>
      <c r="Y919" s="71">
        <f t="shared" si="345"/>
        <v>0</v>
      </c>
      <c r="AA919" s="71">
        <f t="shared" si="346"/>
        <v>0</v>
      </c>
      <c r="AC919" s="71">
        <f t="shared" si="347"/>
        <v>0</v>
      </c>
      <c r="AK919" s="71">
        <f t="shared" si="348"/>
        <v>0</v>
      </c>
      <c r="AM919" s="71">
        <f t="shared" si="349"/>
        <v>0</v>
      </c>
      <c r="AO919" s="71">
        <f t="shared" si="350"/>
        <v>0</v>
      </c>
      <c r="AQ919" s="71">
        <f t="shared" si="351"/>
        <v>0</v>
      </c>
      <c r="AT919" s="71">
        <f t="shared" si="352"/>
        <v>0</v>
      </c>
      <c r="AV919" s="71">
        <f t="shared" si="353"/>
        <v>0</v>
      </c>
      <c r="AX919" s="71">
        <f t="shared" si="354"/>
        <v>0</v>
      </c>
      <c r="AZ919" s="71">
        <f t="shared" si="355"/>
        <v>0</v>
      </c>
      <c r="BE919" s="102">
        <f t="shared" si="356"/>
        <v>4.4721359549995796</v>
      </c>
      <c r="BF919" s="81">
        <f t="shared" si="357"/>
        <v>9.3924867883288243E-14</v>
      </c>
      <c r="BG919" s="81" t="str">
        <f t="shared" si="358"/>
        <v>BASSO</v>
      </c>
      <c r="BK919" s="81" t="str">
        <f t="shared" si="359"/>
        <v>MOLTO BASSO</v>
      </c>
    </row>
    <row r="920" spans="7:63" x14ac:dyDescent="0.15">
      <c r="G920" s="64">
        <f t="shared" si="336"/>
        <v>0</v>
      </c>
      <c r="I920" s="64">
        <f t="shared" si="337"/>
        <v>0</v>
      </c>
      <c r="K920" s="64">
        <f t="shared" si="338"/>
        <v>0</v>
      </c>
      <c r="M920" s="64">
        <f t="shared" si="339"/>
        <v>0</v>
      </c>
      <c r="O920" s="64">
        <f t="shared" si="340"/>
        <v>0</v>
      </c>
      <c r="Q920" s="64">
        <f t="shared" si="341"/>
        <v>0</v>
      </c>
      <c r="S920" s="71">
        <f t="shared" si="342"/>
        <v>0</v>
      </c>
      <c r="U920" s="64">
        <f t="shared" si="343"/>
        <v>0</v>
      </c>
      <c r="W920" s="71">
        <f t="shared" si="344"/>
        <v>0</v>
      </c>
      <c r="Y920" s="71">
        <f t="shared" si="345"/>
        <v>0</v>
      </c>
      <c r="AA920" s="71">
        <f t="shared" si="346"/>
        <v>0</v>
      </c>
      <c r="AC920" s="71">
        <f t="shared" si="347"/>
        <v>0</v>
      </c>
      <c r="AK920" s="71">
        <f t="shared" si="348"/>
        <v>0</v>
      </c>
      <c r="AM920" s="71">
        <f t="shared" si="349"/>
        <v>0</v>
      </c>
      <c r="AO920" s="71">
        <f t="shared" si="350"/>
        <v>0</v>
      </c>
      <c r="AQ920" s="71">
        <f t="shared" si="351"/>
        <v>0</v>
      </c>
      <c r="AT920" s="71">
        <f t="shared" si="352"/>
        <v>0</v>
      </c>
      <c r="AV920" s="71">
        <f t="shared" si="353"/>
        <v>0</v>
      </c>
      <c r="AX920" s="71">
        <f t="shared" si="354"/>
        <v>0</v>
      </c>
      <c r="AZ920" s="71">
        <f t="shared" si="355"/>
        <v>0</v>
      </c>
      <c r="BE920" s="102">
        <f t="shared" si="356"/>
        <v>4.4721359549995796</v>
      </c>
      <c r="BF920" s="81">
        <f t="shared" si="357"/>
        <v>9.3924867883288243E-14</v>
      </c>
      <c r="BG920" s="81" t="str">
        <f t="shared" si="358"/>
        <v>BASSO</v>
      </c>
      <c r="BK920" s="81" t="str">
        <f t="shared" si="359"/>
        <v>MOLTO BASSO</v>
      </c>
    </row>
    <row r="921" spans="7:63" x14ac:dyDescent="0.15">
      <c r="G921" s="64">
        <f t="shared" si="336"/>
        <v>0</v>
      </c>
      <c r="I921" s="64">
        <f t="shared" si="337"/>
        <v>0</v>
      </c>
      <c r="K921" s="64">
        <f t="shared" si="338"/>
        <v>0</v>
      </c>
      <c r="M921" s="64">
        <f t="shared" si="339"/>
        <v>0</v>
      </c>
      <c r="O921" s="64">
        <f t="shared" si="340"/>
        <v>0</v>
      </c>
      <c r="Q921" s="64">
        <f t="shared" si="341"/>
        <v>0</v>
      </c>
      <c r="S921" s="71">
        <f t="shared" si="342"/>
        <v>0</v>
      </c>
      <c r="U921" s="64">
        <f t="shared" si="343"/>
        <v>0</v>
      </c>
      <c r="W921" s="71">
        <f t="shared" si="344"/>
        <v>0</v>
      </c>
      <c r="Y921" s="71">
        <f t="shared" si="345"/>
        <v>0</v>
      </c>
      <c r="AA921" s="71">
        <f t="shared" si="346"/>
        <v>0</v>
      </c>
      <c r="AC921" s="71">
        <f t="shared" si="347"/>
        <v>0</v>
      </c>
      <c r="AK921" s="71">
        <f t="shared" si="348"/>
        <v>0</v>
      </c>
      <c r="AM921" s="71">
        <f t="shared" si="349"/>
        <v>0</v>
      </c>
      <c r="AO921" s="71">
        <f t="shared" si="350"/>
        <v>0</v>
      </c>
      <c r="AQ921" s="71">
        <f t="shared" si="351"/>
        <v>0</v>
      </c>
      <c r="AT921" s="71">
        <f t="shared" si="352"/>
        <v>0</v>
      </c>
      <c r="AV921" s="71">
        <f t="shared" si="353"/>
        <v>0</v>
      </c>
      <c r="AX921" s="71">
        <f t="shared" si="354"/>
        <v>0</v>
      </c>
      <c r="AZ921" s="71">
        <f t="shared" si="355"/>
        <v>0</v>
      </c>
      <c r="BE921" s="102">
        <f t="shared" si="356"/>
        <v>4.4721359549995796</v>
      </c>
      <c r="BF921" s="81">
        <f t="shared" si="357"/>
        <v>9.3924867883288243E-14</v>
      </c>
      <c r="BG921" s="81" t="str">
        <f t="shared" si="358"/>
        <v>BASSO</v>
      </c>
      <c r="BK921" s="81" t="str">
        <f t="shared" si="359"/>
        <v>MOLTO BASSO</v>
      </c>
    </row>
    <row r="922" spans="7:63" x14ac:dyDescent="0.15">
      <c r="G922" s="64">
        <f t="shared" si="336"/>
        <v>0</v>
      </c>
      <c r="I922" s="64">
        <f t="shared" si="337"/>
        <v>0</v>
      </c>
      <c r="K922" s="64">
        <f t="shared" si="338"/>
        <v>0</v>
      </c>
      <c r="M922" s="64">
        <f t="shared" si="339"/>
        <v>0</v>
      </c>
      <c r="O922" s="64">
        <f t="shared" si="340"/>
        <v>0</v>
      </c>
      <c r="Q922" s="64">
        <f t="shared" si="341"/>
        <v>0</v>
      </c>
      <c r="S922" s="71">
        <f t="shared" si="342"/>
        <v>0</v>
      </c>
      <c r="U922" s="64">
        <f t="shared" si="343"/>
        <v>0</v>
      </c>
      <c r="W922" s="71">
        <f t="shared" si="344"/>
        <v>0</v>
      </c>
      <c r="Y922" s="71">
        <f t="shared" si="345"/>
        <v>0</v>
      </c>
      <c r="AA922" s="71">
        <f t="shared" si="346"/>
        <v>0</v>
      </c>
      <c r="AC922" s="71">
        <f t="shared" si="347"/>
        <v>0</v>
      </c>
      <c r="AK922" s="71">
        <f t="shared" si="348"/>
        <v>0</v>
      </c>
      <c r="AM922" s="71">
        <f t="shared" si="349"/>
        <v>0</v>
      </c>
      <c r="AO922" s="71">
        <f t="shared" si="350"/>
        <v>0</v>
      </c>
      <c r="AQ922" s="71">
        <f t="shared" si="351"/>
        <v>0</v>
      </c>
      <c r="AT922" s="71">
        <f t="shared" si="352"/>
        <v>0</v>
      </c>
      <c r="AV922" s="71">
        <f t="shared" si="353"/>
        <v>0</v>
      </c>
      <c r="AX922" s="71">
        <f t="shared" si="354"/>
        <v>0</v>
      </c>
      <c r="AZ922" s="71">
        <f t="shared" si="355"/>
        <v>0</v>
      </c>
      <c r="BE922" s="102">
        <f t="shared" si="356"/>
        <v>4.4721359549995796</v>
      </c>
      <c r="BF922" s="81">
        <f t="shared" si="357"/>
        <v>9.3924867883288243E-14</v>
      </c>
      <c r="BG922" s="81" t="str">
        <f t="shared" si="358"/>
        <v>BASSO</v>
      </c>
      <c r="BK922" s="81" t="str">
        <f t="shared" si="359"/>
        <v>MOLTO BASSO</v>
      </c>
    </row>
    <row r="923" spans="7:63" x14ac:dyDescent="0.15">
      <c r="G923" s="64">
        <f t="shared" si="336"/>
        <v>0</v>
      </c>
      <c r="I923" s="64">
        <f t="shared" si="337"/>
        <v>0</v>
      </c>
      <c r="K923" s="64">
        <f t="shared" si="338"/>
        <v>0</v>
      </c>
      <c r="M923" s="64">
        <f t="shared" si="339"/>
        <v>0</v>
      </c>
      <c r="O923" s="64">
        <f t="shared" si="340"/>
        <v>0</v>
      </c>
      <c r="Q923" s="64">
        <f t="shared" si="341"/>
        <v>0</v>
      </c>
      <c r="S923" s="71">
        <f t="shared" si="342"/>
        <v>0</v>
      </c>
      <c r="U923" s="64">
        <f t="shared" si="343"/>
        <v>0</v>
      </c>
      <c r="W923" s="71">
        <f t="shared" si="344"/>
        <v>0</v>
      </c>
      <c r="Y923" s="71">
        <f t="shared" si="345"/>
        <v>0</v>
      </c>
      <c r="AA923" s="71">
        <f t="shared" si="346"/>
        <v>0</v>
      </c>
      <c r="AC923" s="71">
        <f t="shared" si="347"/>
        <v>0</v>
      </c>
      <c r="AK923" s="71">
        <f t="shared" si="348"/>
        <v>0</v>
      </c>
      <c r="AM923" s="71">
        <f t="shared" si="349"/>
        <v>0</v>
      </c>
      <c r="AO923" s="71">
        <f t="shared" si="350"/>
        <v>0</v>
      </c>
      <c r="AQ923" s="71">
        <f t="shared" si="351"/>
        <v>0</v>
      </c>
      <c r="AT923" s="71">
        <f t="shared" si="352"/>
        <v>0</v>
      </c>
      <c r="AV923" s="71">
        <f t="shared" si="353"/>
        <v>0</v>
      </c>
      <c r="AX923" s="71">
        <f t="shared" si="354"/>
        <v>0</v>
      </c>
      <c r="AZ923" s="71">
        <f t="shared" si="355"/>
        <v>0</v>
      </c>
      <c r="BE923" s="102">
        <f t="shared" si="356"/>
        <v>4.4721359549995796</v>
      </c>
      <c r="BF923" s="81">
        <f t="shared" si="357"/>
        <v>9.3924867883288243E-14</v>
      </c>
      <c r="BG923" s="81" t="str">
        <f t="shared" si="358"/>
        <v>BASSO</v>
      </c>
      <c r="BK923" s="81" t="str">
        <f t="shared" si="359"/>
        <v>MOLTO BASSO</v>
      </c>
    </row>
    <row r="924" spans="7:63" x14ac:dyDescent="0.15">
      <c r="G924" s="64">
        <f t="shared" si="336"/>
        <v>0</v>
      </c>
      <c r="I924" s="64">
        <f t="shared" si="337"/>
        <v>0</v>
      </c>
      <c r="K924" s="64">
        <f t="shared" si="338"/>
        <v>0</v>
      </c>
      <c r="M924" s="64">
        <f t="shared" si="339"/>
        <v>0</v>
      </c>
      <c r="O924" s="64">
        <f t="shared" si="340"/>
        <v>0</v>
      </c>
      <c r="Q924" s="64">
        <f t="shared" si="341"/>
        <v>0</v>
      </c>
      <c r="S924" s="71">
        <f t="shared" si="342"/>
        <v>0</v>
      </c>
      <c r="U924" s="64">
        <f t="shared" si="343"/>
        <v>0</v>
      </c>
      <c r="W924" s="71">
        <f t="shared" si="344"/>
        <v>0</v>
      </c>
      <c r="Y924" s="71">
        <f t="shared" si="345"/>
        <v>0</v>
      </c>
      <c r="AA924" s="71">
        <f t="shared" si="346"/>
        <v>0</v>
      </c>
      <c r="AC924" s="71">
        <f t="shared" si="347"/>
        <v>0</v>
      </c>
      <c r="AK924" s="71">
        <f t="shared" si="348"/>
        <v>0</v>
      </c>
      <c r="AM924" s="71">
        <f t="shared" si="349"/>
        <v>0</v>
      </c>
      <c r="AO924" s="71">
        <f t="shared" si="350"/>
        <v>0</v>
      </c>
      <c r="AQ924" s="71">
        <f t="shared" si="351"/>
        <v>0</v>
      </c>
      <c r="AT924" s="71">
        <f t="shared" si="352"/>
        <v>0</v>
      </c>
      <c r="AV924" s="71">
        <f t="shared" si="353"/>
        <v>0</v>
      </c>
      <c r="AX924" s="71">
        <f t="shared" si="354"/>
        <v>0</v>
      </c>
      <c r="AZ924" s="71">
        <f t="shared" si="355"/>
        <v>0</v>
      </c>
      <c r="BE924" s="102">
        <f t="shared" si="356"/>
        <v>4.4721359549995796</v>
      </c>
      <c r="BF924" s="81">
        <f t="shared" si="357"/>
        <v>9.3924867883288243E-14</v>
      </c>
      <c r="BG924" s="81" t="str">
        <f t="shared" si="358"/>
        <v>BASSO</v>
      </c>
      <c r="BK924" s="81" t="str">
        <f t="shared" si="359"/>
        <v>MOLTO BASSO</v>
      </c>
    </row>
    <row r="925" spans="7:63" x14ac:dyDescent="0.15">
      <c r="G925" s="64">
        <f t="shared" si="336"/>
        <v>0</v>
      </c>
      <c r="I925" s="64">
        <f t="shared" si="337"/>
        <v>0</v>
      </c>
      <c r="K925" s="64">
        <f t="shared" si="338"/>
        <v>0</v>
      </c>
      <c r="M925" s="64">
        <f t="shared" si="339"/>
        <v>0</v>
      </c>
      <c r="O925" s="64">
        <f t="shared" si="340"/>
        <v>0</v>
      </c>
      <c r="Q925" s="64">
        <f t="shared" si="341"/>
        <v>0</v>
      </c>
      <c r="S925" s="71">
        <f t="shared" si="342"/>
        <v>0</v>
      </c>
      <c r="U925" s="64">
        <f t="shared" si="343"/>
        <v>0</v>
      </c>
      <c r="W925" s="71">
        <f t="shared" si="344"/>
        <v>0</v>
      </c>
      <c r="Y925" s="71">
        <f t="shared" si="345"/>
        <v>0</v>
      </c>
      <c r="AA925" s="71">
        <f t="shared" si="346"/>
        <v>0</v>
      </c>
      <c r="AC925" s="71">
        <f t="shared" si="347"/>
        <v>0</v>
      </c>
      <c r="AK925" s="71">
        <f t="shared" si="348"/>
        <v>0</v>
      </c>
      <c r="AM925" s="71">
        <f t="shared" si="349"/>
        <v>0</v>
      </c>
      <c r="AO925" s="71">
        <f t="shared" si="350"/>
        <v>0</v>
      </c>
      <c r="AQ925" s="71">
        <f t="shared" si="351"/>
        <v>0</v>
      </c>
      <c r="AT925" s="71">
        <f t="shared" si="352"/>
        <v>0</v>
      </c>
      <c r="AV925" s="71">
        <f t="shared" si="353"/>
        <v>0</v>
      </c>
      <c r="AX925" s="71">
        <f t="shared" si="354"/>
        <v>0</v>
      </c>
      <c r="AZ925" s="71">
        <f t="shared" si="355"/>
        <v>0</v>
      </c>
      <c r="BE925" s="102">
        <f t="shared" si="356"/>
        <v>4.4721359549995796</v>
      </c>
      <c r="BF925" s="81">
        <f t="shared" si="357"/>
        <v>9.3924867883288243E-14</v>
      </c>
      <c r="BG925" s="81" t="str">
        <f t="shared" si="358"/>
        <v>BASSO</v>
      </c>
      <c r="BK925" s="81" t="str">
        <f t="shared" si="359"/>
        <v>MOLTO BASSO</v>
      </c>
    </row>
    <row r="926" spans="7:63" x14ac:dyDescent="0.15">
      <c r="G926" s="64">
        <f t="shared" si="336"/>
        <v>0</v>
      </c>
      <c r="I926" s="64">
        <f t="shared" si="337"/>
        <v>0</v>
      </c>
      <c r="K926" s="64">
        <f t="shared" si="338"/>
        <v>0</v>
      </c>
      <c r="M926" s="64">
        <f t="shared" si="339"/>
        <v>0</v>
      </c>
      <c r="O926" s="64">
        <f t="shared" si="340"/>
        <v>0</v>
      </c>
      <c r="Q926" s="64">
        <f t="shared" si="341"/>
        <v>0</v>
      </c>
      <c r="S926" s="71">
        <f t="shared" si="342"/>
        <v>0</v>
      </c>
      <c r="U926" s="64">
        <f t="shared" si="343"/>
        <v>0</v>
      </c>
      <c r="W926" s="71">
        <f t="shared" si="344"/>
        <v>0</v>
      </c>
      <c r="Y926" s="71">
        <f t="shared" si="345"/>
        <v>0</v>
      </c>
      <c r="AA926" s="71">
        <f t="shared" si="346"/>
        <v>0</v>
      </c>
      <c r="AC926" s="71">
        <f t="shared" si="347"/>
        <v>0</v>
      </c>
      <c r="AK926" s="71">
        <f t="shared" si="348"/>
        <v>0</v>
      </c>
      <c r="AM926" s="71">
        <f t="shared" si="349"/>
        <v>0</v>
      </c>
      <c r="AO926" s="71">
        <f t="shared" si="350"/>
        <v>0</v>
      </c>
      <c r="AQ926" s="71">
        <f t="shared" si="351"/>
        <v>0</v>
      </c>
      <c r="AT926" s="71">
        <f t="shared" si="352"/>
        <v>0</v>
      </c>
      <c r="AV926" s="71">
        <f t="shared" si="353"/>
        <v>0</v>
      </c>
      <c r="AX926" s="71">
        <f t="shared" si="354"/>
        <v>0</v>
      </c>
      <c r="AZ926" s="71">
        <f t="shared" si="355"/>
        <v>0</v>
      </c>
      <c r="BE926" s="102">
        <f t="shared" si="356"/>
        <v>4.4721359549995796</v>
      </c>
      <c r="BF926" s="81">
        <f t="shared" si="357"/>
        <v>9.3924867883288243E-14</v>
      </c>
      <c r="BG926" s="81" t="str">
        <f t="shared" si="358"/>
        <v>BASSO</v>
      </c>
      <c r="BK926" s="81" t="str">
        <f t="shared" si="359"/>
        <v>MOLTO BASSO</v>
      </c>
    </row>
    <row r="927" spans="7:63" x14ac:dyDescent="0.15">
      <c r="G927" s="64">
        <f t="shared" si="336"/>
        <v>0</v>
      </c>
      <c r="I927" s="64">
        <f t="shared" si="337"/>
        <v>0</v>
      </c>
      <c r="K927" s="64">
        <f t="shared" si="338"/>
        <v>0</v>
      </c>
      <c r="M927" s="64">
        <f t="shared" si="339"/>
        <v>0</v>
      </c>
      <c r="O927" s="64">
        <f t="shared" si="340"/>
        <v>0</v>
      </c>
      <c r="Q927" s="64">
        <f t="shared" si="341"/>
        <v>0</v>
      </c>
      <c r="S927" s="71">
        <f t="shared" si="342"/>
        <v>0</v>
      </c>
      <c r="U927" s="64">
        <f t="shared" si="343"/>
        <v>0</v>
      </c>
      <c r="W927" s="71">
        <f t="shared" si="344"/>
        <v>0</v>
      </c>
      <c r="Y927" s="71">
        <f t="shared" si="345"/>
        <v>0</v>
      </c>
      <c r="AA927" s="71">
        <f t="shared" si="346"/>
        <v>0</v>
      </c>
      <c r="AC927" s="71">
        <f t="shared" si="347"/>
        <v>0</v>
      </c>
      <c r="AK927" s="71">
        <f t="shared" si="348"/>
        <v>0</v>
      </c>
      <c r="AM927" s="71">
        <f t="shared" si="349"/>
        <v>0</v>
      </c>
      <c r="AO927" s="71">
        <f t="shared" si="350"/>
        <v>0</v>
      </c>
      <c r="AQ927" s="71">
        <f t="shared" si="351"/>
        <v>0</v>
      </c>
      <c r="AT927" s="71">
        <f t="shared" si="352"/>
        <v>0</v>
      </c>
      <c r="AV927" s="71">
        <f t="shared" si="353"/>
        <v>0</v>
      </c>
      <c r="AX927" s="71">
        <f t="shared" si="354"/>
        <v>0</v>
      </c>
      <c r="AZ927" s="71">
        <f t="shared" si="355"/>
        <v>0</v>
      </c>
      <c r="BE927" s="102">
        <f t="shared" si="356"/>
        <v>4.4721359549995796</v>
      </c>
      <c r="BF927" s="81">
        <f t="shared" si="357"/>
        <v>9.3924867883288243E-14</v>
      </c>
      <c r="BG927" s="81" t="str">
        <f t="shared" si="358"/>
        <v>BASSO</v>
      </c>
      <c r="BK927" s="81" t="str">
        <f t="shared" si="359"/>
        <v>MOLTO BASSO</v>
      </c>
    </row>
    <row r="928" spans="7:63" x14ac:dyDescent="0.15">
      <c r="G928" s="64">
        <f t="shared" si="336"/>
        <v>0</v>
      </c>
      <c r="I928" s="64">
        <f t="shared" si="337"/>
        <v>0</v>
      </c>
      <c r="K928" s="64">
        <f t="shared" si="338"/>
        <v>0</v>
      </c>
      <c r="M928" s="64">
        <f t="shared" si="339"/>
        <v>0</v>
      </c>
      <c r="O928" s="64">
        <f t="shared" si="340"/>
        <v>0</v>
      </c>
      <c r="Q928" s="64">
        <f t="shared" si="341"/>
        <v>0</v>
      </c>
      <c r="S928" s="71">
        <f t="shared" si="342"/>
        <v>0</v>
      </c>
      <c r="U928" s="64">
        <f t="shared" si="343"/>
        <v>0</v>
      </c>
      <c r="W928" s="71">
        <f t="shared" si="344"/>
        <v>0</v>
      </c>
      <c r="Y928" s="71">
        <f t="shared" si="345"/>
        <v>0</v>
      </c>
      <c r="AA928" s="71">
        <f t="shared" si="346"/>
        <v>0</v>
      </c>
      <c r="AC928" s="71">
        <f t="shared" si="347"/>
        <v>0</v>
      </c>
      <c r="AK928" s="71">
        <f t="shared" si="348"/>
        <v>0</v>
      </c>
      <c r="AM928" s="71">
        <f t="shared" si="349"/>
        <v>0</v>
      </c>
      <c r="AO928" s="71">
        <f t="shared" si="350"/>
        <v>0</v>
      </c>
      <c r="AQ928" s="71">
        <f t="shared" si="351"/>
        <v>0</v>
      </c>
      <c r="AT928" s="71">
        <f t="shared" si="352"/>
        <v>0</v>
      </c>
      <c r="AV928" s="71">
        <f t="shared" si="353"/>
        <v>0</v>
      </c>
      <c r="AX928" s="71">
        <f t="shared" si="354"/>
        <v>0</v>
      </c>
      <c r="AZ928" s="71">
        <f t="shared" si="355"/>
        <v>0</v>
      </c>
      <c r="BE928" s="102">
        <f t="shared" si="356"/>
        <v>4.4721359549995796</v>
      </c>
      <c r="BF928" s="81">
        <f t="shared" si="357"/>
        <v>9.3924867883288243E-14</v>
      </c>
      <c r="BG928" s="81" t="str">
        <f t="shared" si="358"/>
        <v>BASSO</v>
      </c>
      <c r="BK928" s="81" t="str">
        <f t="shared" si="359"/>
        <v>MOLTO BASSO</v>
      </c>
    </row>
    <row r="929" spans="7:63" x14ac:dyDescent="0.15">
      <c r="G929" s="64">
        <f t="shared" si="336"/>
        <v>0</v>
      </c>
      <c r="I929" s="64">
        <f t="shared" si="337"/>
        <v>0</v>
      </c>
      <c r="K929" s="64">
        <f t="shared" si="338"/>
        <v>0</v>
      </c>
      <c r="M929" s="64">
        <f t="shared" si="339"/>
        <v>0</v>
      </c>
      <c r="O929" s="64">
        <f t="shared" si="340"/>
        <v>0</v>
      </c>
      <c r="Q929" s="64">
        <f t="shared" si="341"/>
        <v>0</v>
      </c>
      <c r="S929" s="71">
        <f t="shared" si="342"/>
        <v>0</v>
      </c>
      <c r="U929" s="64">
        <f t="shared" si="343"/>
        <v>0</v>
      </c>
      <c r="W929" s="71">
        <f t="shared" si="344"/>
        <v>0</v>
      </c>
      <c r="Y929" s="71">
        <f t="shared" si="345"/>
        <v>0</v>
      </c>
      <c r="AA929" s="71">
        <f t="shared" si="346"/>
        <v>0</v>
      </c>
      <c r="AC929" s="71">
        <f t="shared" si="347"/>
        <v>0</v>
      </c>
      <c r="AK929" s="71">
        <f t="shared" si="348"/>
        <v>0</v>
      </c>
      <c r="AM929" s="71">
        <f t="shared" si="349"/>
        <v>0</v>
      </c>
      <c r="AO929" s="71">
        <f t="shared" si="350"/>
        <v>0</v>
      </c>
      <c r="AQ929" s="71">
        <f t="shared" si="351"/>
        <v>0</v>
      </c>
      <c r="AT929" s="71">
        <f t="shared" si="352"/>
        <v>0</v>
      </c>
      <c r="AV929" s="71">
        <f t="shared" si="353"/>
        <v>0</v>
      </c>
      <c r="AX929" s="71">
        <f t="shared" si="354"/>
        <v>0</v>
      </c>
      <c r="AZ929" s="71">
        <f t="shared" si="355"/>
        <v>0</v>
      </c>
      <c r="BE929" s="102">
        <f t="shared" si="356"/>
        <v>4.4721359549995796</v>
      </c>
      <c r="BF929" s="81">
        <f t="shared" si="357"/>
        <v>9.3924867883288243E-14</v>
      </c>
      <c r="BG929" s="81" t="str">
        <f t="shared" si="358"/>
        <v>BASSO</v>
      </c>
      <c r="BK929" s="81" t="str">
        <f t="shared" si="359"/>
        <v>MOLTO BASSO</v>
      </c>
    </row>
    <row r="930" spans="7:63" x14ac:dyDescent="0.15">
      <c r="G930" s="64">
        <f t="shared" si="336"/>
        <v>0</v>
      </c>
      <c r="I930" s="64">
        <f t="shared" si="337"/>
        <v>0</v>
      </c>
      <c r="K930" s="64">
        <f t="shared" si="338"/>
        <v>0</v>
      </c>
      <c r="M930" s="64">
        <f t="shared" si="339"/>
        <v>0</v>
      </c>
      <c r="O930" s="64">
        <f t="shared" si="340"/>
        <v>0</v>
      </c>
      <c r="Q930" s="64">
        <f t="shared" si="341"/>
        <v>0</v>
      </c>
      <c r="S930" s="71">
        <f t="shared" si="342"/>
        <v>0</v>
      </c>
      <c r="U930" s="64">
        <f t="shared" si="343"/>
        <v>0</v>
      </c>
      <c r="W930" s="71">
        <f t="shared" si="344"/>
        <v>0</v>
      </c>
      <c r="Y930" s="71">
        <f t="shared" si="345"/>
        <v>0</v>
      </c>
      <c r="AA930" s="71">
        <f t="shared" si="346"/>
        <v>0</v>
      </c>
      <c r="AC930" s="71">
        <f t="shared" si="347"/>
        <v>0</v>
      </c>
      <c r="AK930" s="71">
        <f t="shared" si="348"/>
        <v>0</v>
      </c>
      <c r="AM930" s="71">
        <f t="shared" si="349"/>
        <v>0</v>
      </c>
      <c r="AO930" s="71">
        <f t="shared" si="350"/>
        <v>0</v>
      </c>
      <c r="AQ930" s="71">
        <f t="shared" si="351"/>
        <v>0</v>
      </c>
      <c r="AT930" s="71">
        <f t="shared" si="352"/>
        <v>0</v>
      </c>
      <c r="AV930" s="71">
        <f t="shared" si="353"/>
        <v>0</v>
      </c>
      <c r="AX930" s="71">
        <f t="shared" si="354"/>
        <v>0</v>
      </c>
      <c r="AZ930" s="71">
        <f t="shared" si="355"/>
        <v>0</v>
      </c>
      <c r="BE930" s="102">
        <f t="shared" si="356"/>
        <v>4.4721359549995796</v>
      </c>
      <c r="BF930" s="81">
        <f t="shared" si="357"/>
        <v>9.3924867883288243E-14</v>
      </c>
      <c r="BG930" s="81" t="str">
        <f t="shared" si="358"/>
        <v>BASSO</v>
      </c>
      <c r="BK930" s="81" t="str">
        <f t="shared" si="359"/>
        <v>MOLTO BASSO</v>
      </c>
    </row>
    <row r="931" spans="7:63" x14ac:dyDescent="0.15">
      <c r="G931" s="64">
        <f t="shared" si="336"/>
        <v>0</v>
      </c>
      <c r="I931" s="64">
        <f t="shared" si="337"/>
        <v>0</v>
      </c>
      <c r="K931" s="64">
        <f t="shared" si="338"/>
        <v>0</v>
      </c>
      <c r="M931" s="64">
        <f t="shared" si="339"/>
        <v>0</v>
      </c>
      <c r="O931" s="64">
        <f t="shared" si="340"/>
        <v>0</v>
      </c>
      <c r="Q931" s="64">
        <f t="shared" si="341"/>
        <v>0</v>
      </c>
      <c r="S931" s="71">
        <f t="shared" si="342"/>
        <v>0</v>
      </c>
      <c r="U931" s="64">
        <f t="shared" si="343"/>
        <v>0</v>
      </c>
      <c r="W931" s="71">
        <f t="shared" si="344"/>
        <v>0</v>
      </c>
      <c r="Y931" s="71">
        <f t="shared" si="345"/>
        <v>0</v>
      </c>
      <c r="AA931" s="71">
        <f t="shared" si="346"/>
        <v>0</v>
      </c>
      <c r="AC931" s="71">
        <f t="shared" si="347"/>
        <v>0</v>
      </c>
      <c r="AK931" s="71">
        <f t="shared" si="348"/>
        <v>0</v>
      </c>
      <c r="AM931" s="71">
        <f t="shared" si="349"/>
        <v>0</v>
      </c>
      <c r="AO931" s="71">
        <f t="shared" si="350"/>
        <v>0</v>
      </c>
      <c r="AQ931" s="71">
        <f t="shared" si="351"/>
        <v>0</v>
      </c>
      <c r="AT931" s="71">
        <f t="shared" si="352"/>
        <v>0</v>
      </c>
      <c r="AV931" s="71">
        <f t="shared" si="353"/>
        <v>0</v>
      </c>
      <c r="AX931" s="71">
        <f t="shared" si="354"/>
        <v>0</v>
      </c>
      <c r="AZ931" s="71">
        <f t="shared" si="355"/>
        <v>0</v>
      </c>
      <c r="BE931" s="102">
        <f t="shared" si="356"/>
        <v>4.4721359549995796</v>
      </c>
      <c r="BF931" s="81">
        <f t="shared" si="357"/>
        <v>9.3924867883288243E-14</v>
      </c>
      <c r="BG931" s="81" t="str">
        <f t="shared" si="358"/>
        <v>BASSO</v>
      </c>
      <c r="BK931" s="81" t="str">
        <f t="shared" si="359"/>
        <v>MOLTO BASSO</v>
      </c>
    </row>
    <row r="932" spans="7:63" x14ac:dyDescent="0.15">
      <c r="G932" s="64">
        <f t="shared" si="336"/>
        <v>0</v>
      </c>
      <c r="I932" s="64">
        <f t="shared" si="337"/>
        <v>0</v>
      </c>
      <c r="K932" s="64">
        <f t="shared" si="338"/>
        <v>0</v>
      </c>
      <c r="M932" s="64">
        <f t="shared" si="339"/>
        <v>0</v>
      </c>
      <c r="O932" s="64">
        <f t="shared" si="340"/>
        <v>0</v>
      </c>
      <c r="Q932" s="64">
        <f t="shared" si="341"/>
        <v>0</v>
      </c>
      <c r="S932" s="71">
        <f t="shared" si="342"/>
        <v>0</v>
      </c>
      <c r="U932" s="64">
        <f t="shared" si="343"/>
        <v>0</v>
      </c>
      <c r="W932" s="71">
        <f t="shared" si="344"/>
        <v>0</v>
      </c>
      <c r="Y932" s="71">
        <f t="shared" si="345"/>
        <v>0</v>
      </c>
      <c r="AA932" s="71">
        <f t="shared" si="346"/>
        <v>0</v>
      </c>
      <c r="AC932" s="71">
        <f t="shared" si="347"/>
        <v>0</v>
      </c>
      <c r="AK932" s="71">
        <f t="shared" si="348"/>
        <v>0</v>
      </c>
      <c r="AM932" s="71">
        <f t="shared" si="349"/>
        <v>0</v>
      </c>
      <c r="AO932" s="71">
        <f t="shared" si="350"/>
        <v>0</v>
      </c>
      <c r="AQ932" s="71">
        <f t="shared" si="351"/>
        <v>0</v>
      </c>
      <c r="AT932" s="71">
        <f t="shared" si="352"/>
        <v>0</v>
      </c>
      <c r="AV932" s="71">
        <f t="shared" si="353"/>
        <v>0</v>
      </c>
      <c r="AX932" s="71">
        <f t="shared" si="354"/>
        <v>0</v>
      </c>
      <c r="AZ932" s="71">
        <f t="shared" si="355"/>
        <v>0</v>
      </c>
      <c r="BE932" s="102">
        <f t="shared" si="356"/>
        <v>4.4721359549995796</v>
      </c>
      <c r="BF932" s="81">
        <f t="shared" si="357"/>
        <v>9.3924867883288243E-14</v>
      </c>
      <c r="BG932" s="81" t="str">
        <f t="shared" si="358"/>
        <v>BASSO</v>
      </c>
      <c r="BK932" s="81" t="str">
        <f t="shared" si="359"/>
        <v>MOLTO BASSO</v>
      </c>
    </row>
    <row r="933" spans="7:63" x14ac:dyDescent="0.15">
      <c r="G933" s="64">
        <f t="shared" si="336"/>
        <v>0</v>
      </c>
      <c r="I933" s="64">
        <f t="shared" si="337"/>
        <v>0</v>
      </c>
      <c r="K933" s="64">
        <f t="shared" si="338"/>
        <v>0</v>
      </c>
      <c r="M933" s="64">
        <f t="shared" si="339"/>
        <v>0</v>
      </c>
      <c r="O933" s="64">
        <f t="shared" si="340"/>
        <v>0</v>
      </c>
      <c r="Q933" s="64">
        <f t="shared" si="341"/>
        <v>0</v>
      </c>
      <c r="S933" s="71">
        <f t="shared" si="342"/>
        <v>0</v>
      </c>
      <c r="U933" s="64">
        <f t="shared" si="343"/>
        <v>0</v>
      </c>
      <c r="W933" s="71">
        <f t="shared" si="344"/>
        <v>0</v>
      </c>
      <c r="Y933" s="71">
        <f t="shared" si="345"/>
        <v>0</v>
      </c>
      <c r="AA933" s="71">
        <f t="shared" si="346"/>
        <v>0</v>
      </c>
      <c r="AC933" s="71">
        <f t="shared" si="347"/>
        <v>0</v>
      </c>
      <c r="AK933" s="71">
        <f t="shared" si="348"/>
        <v>0</v>
      </c>
      <c r="AM933" s="71">
        <f t="shared" si="349"/>
        <v>0</v>
      </c>
      <c r="AO933" s="71">
        <f t="shared" si="350"/>
        <v>0</v>
      </c>
      <c r="AQ933" s="71">
        <f t="shared" si="351"/>
        <v>0</v>
      </c>
      <c r="AT933" s="71">
        <f t="shared" si="352"/>
        <v>0</v>
      </c>
      <c r="AV933" s="71">
        <f t="shared" si="353"/>
        <v>0</v>
      </c>
      <c r="AX933" s="71">
        <f t="shared" si="354"/>
        <v>0</v>
      </c>
      <c r="AZ933" s="71">
        <f t="shared" si="355"/>
        <v>0</v>
      </c>
      <c r="BE933" s="102">
        <f t="shared" si="356"/>
        <v>4.4721359549995796</v>
      </c>
      <c r="BF933" s="81">
        <f t="shared" si="357"/>
        <v>9.3924867883288243E-14</v>
      </c>
      <c r="BG933" s="81" t="str">
        <f t="shared" si="358"/>
        <v>BASSO</v>
      </c>
      <c r="BK933" s="81" t="str">
        <f t="shared" si="359"/>
        <v>MOLTO BASSO</v>
      </c>
    </row>
    <row r="934" spans="7:63" x14ac:dyDescent="0.15">
      <c r="G934" s="64">
        <f t="shared" si="336"/>
        <v>0</v>
      </c>
      <c r="I934" s="64">
        <f t="shared" si="337"/>
        <v>0</v>
      </c>
      <c r="K934" s="64">
        <f t="shared" si="338"/>
        <v>0</v>
      </c>
      <c r="M934" s="64">
        <f t="shared" si="339"/>
        <v>0</v>
      </c>
      <c r="O934" s="64">
        <f t="shared" si="340"/>
        <v>0</v>
      </c>
      <c r="Q934" s="64">
        <f t="shared" si="341"/>
        <v>0</v>
      </c>
      <c r="S934" s="71">
        <f t="shared" si="342"/>
        <v>0</v>
      </c>
      <c r="U934" s="64">
        <f t="shared" si="343"/>
        <v>0</v>
      </c>
      <c r="W934" s="71">
        <f t="shared" si="344"/>
        <v>0</v>
      </c>
      <c r="Y934" s="71">
        <f t="shared" si="345"/>
        <v>0</v>
      </c>
      <c r="AA934" s="71">
        <f t="shared" si="346"/>
        <v>0</v>
      </c>
      <c r="AC934" s="71">
        <f t="shared" si="347"/>
        <v>0</v>
      </c>
      <c r="AK934" s="71">
        <f t="shared" si="348"/>
        <v>0</v>
      </c>
      <c r="AM934" s="71">
        <f t="shared" si="349"/>
        <v>0</v>
      </c>
      <c r="AO934" s="71">
        <f t="shared" si="350"/>
        <v>0</v>
      </c>
      <c r="AQ934" s="71">
        <f t="shared" si="351"/>
        <v>0</v>
      </c>
      <c r="AT934" s="71">
        <f t="shared" si="352"/>
        <v>0</v>
      </c>
      <c r="AV934" s="71">
        <f t="shared" si="353"/>
        <v>0</v>
      </c>
      <c r="AX934" s="71">
        <f t="shared" si="354"/>
        <v>0</v>
      </c>
      <c r="AZ934" s="71">
        <f t="shared" si="355"/>
        <v>0</v>
      </c>
      <c r="BE934" s="102">
        <f t="shared" si="356"/>
        <v>4.4721359549995796</v>
      </c>
      <c r="BF934" s="81">
        <f t="shared" si="357"/>
        <v>9.3924867883288243E-14</v>
      </c>
      <c r="BG934" s="81" t="str">
        <f t="shared" si="358"/>
        <v>BASSO</v>
      </c>
      <c r="BK934" s="81" t="str">
        <f t="shared" si="359"/>
        <v>MOLTO BASSO</v>
      </c>
    </row>
    <row r="935" spans="7:63" x14ac:dyDescent="0.15">
      <c r="G935" s="64">
        <f t="shared" si="336"/>
        <v>0</v>
      </c>
      <c r="I935" s="64">
        <f t="shared" si="337"/>
        <v>0</v>
      </c>
      <c r="K935" s="64">
        <f t="shared" si="338"/>
        <v>0</v>
      </c>
      <c r="M935" s="64">
        <f t="shared" si="339"/>
        <v>0</v>
      </c>
      <c r="O935" s="64">
        <f t="shared" si="340"/>
        <v>0</v>
      </c>
      <c r="Q935" s="64">
        <f t="shared" si="341"/>
        <v>0</v>
      </c>
      <c r="S935" s="71">
        <f t="shared" si="342"/>
        <v>0</v>
      </c>
      <c r="U935" s="64">
        <f t="shared" si="343"/>
        <v>0</v>
      </c>
      <c r="W935" s="71">
        <f t="shared" si="344"/>
        <v>0</v>
      </c>
      <c r="Y935" s="71">
        <f t="shared" si="345"/>
        <v>0</v>
      </c>
      <c r="AA935" s="71">
        <f t="shared" si="346"/>
        <v>0</v>
      </c>
      <c r="AC935" s="71">
        <f t="shared" si="347"/>
        <v>0</v>
      </c>
      <c r="AK935" s="71">
        <f t="shared" si="348"/>
        <v>0</v>
      </c>
      <c r="AM935" s="71">
        <f t="shared" si="349"/>
        <v>0</v>
      </c>
      <c r="AO935" s="71">
        <f t="shared" si="350"/>
        <v>0</v>
      </c>
      <c r="AQ935" s="71">
        <f t="shared" si="351"/>
        <v>0</v>
      </c>
      <c r="AT935" s="71">
        <f t="shared" si="352"/>
        <v>0</v>
      </c>
      <c r="AV935" s="71">
        <f t="shared" si="353"/>
        <v>0</v>
      </c>
      <c r="AX935" s="71">
        <f t="shared" si="354"/>
        <v>0</v>
      </c>
      <c r="AZ935" s="71">
        <f t="shared" si="355"/>
        <v>0</v>
      </c>
      <c r="BE935" s="102">
        <f t="shared" si="356"/>
        <v>4.4721359549995796</v>
      </c>
      <c r="BF935" s="81">
        <f t="shared" si="357"/>
        <v>9.3924867883288243E-14</v>
      </c>
      <c r="BG935" s="81" t="str">
        <f t="shared" si="358"/>
        <v>BASSO</v>
      </c>
      <c r="BK935" s="81" t="str">
        <f t="shared" si="359"/>
        <v>MOLTO BASSO</v>
      </c>
    </row>
    <row r="936" spans="7:63" x14ac:dyDescent="0.15">
      <c r="G936" s="64">
        <f t="shared" ref="G936:G999" si="360">F937/2</f>
        <v>0</v>
      </c>
      <c r="I936" s="64">
        <f t="shared" si="337"/>
        <v>0</v>
      </c>
      <c r="K936" s="64">
        <f t="shared" si="338"/>
        <v>0</v>
      </c>
      <c r="M936" s="64">
        <f t="shared" si="339"/>
        <v>0</v>
      </c>
      <c r="O936" s="64">
        <f t="shared" si="340"/>
        <v>0</v>
      </c>
      <c r="Q936" s="64">
        <f t="shared" si="341"/>
        <v>0</v>
      </c>
      <c r="S936" s="71">
        <f t="shared" si="342"/>
        <v>0</v>
      </c>
      <c r="U936" s="64">
        <f t="shared" si="343"/>
        <v>0</v>
      </c>
      <c r="W936" s="71">
        <f t="shared" si="344"/>
        <v>0</v>
      </c>
      <c r="Y936" s="71">
        <f t="shared" si="345"/>
        <v>0</v>
      </c>
      <c r="AA936" s="71">
        <f t="shared" si="346"/>
        <v>0</v>
      </c>
      <c r="AC936" s="71">
        <f t="shared" si="347"/>
        <v>0</v>
      </c>
      <c r="AK936" s="71">
        <f t="shared" si="348"/>
        <v>0</v>
      </c>
      <c r="AM936" s="71">
        <f t="shared" si="349"/>
        <v>0</v>
      </c>
      <c r="AO936" s="71">
        <f t="shared" si="350"/>
        <v>0</v>
      </c>
      <c r="AQ936" s="71">
        <f t="shared" si="351"/>
        <v>0</v>
      </c>
      <c r="AT936" s="71">
        <f t="shared" si="352"/>
        <v>0</v>
      </c>
      <c r="AV936" s="71">
        <f t="shared" si="353"/>
        <v>0</v>
      </c>
      <c r="AX936" s="71">
        <f t="shared" si="354"/>
        <v>0</v>
      </c>
      <c r="AZ936" s="71">
        <f t="shared" si="355"/>
        <v>0</v>
      </c>
      <c r="BE936" s="102">
        <f t="shared" si="356"/>
        <v>4.4721359549995796</v>
      </c>
      <c r="BF936" s="81">
        <f t="shared" si="357"/>
        <v>9.3924867883288243E-14</v>
      </c>
      <c r="BG936" s="81" t="str">
        <f t="shared" si="358"/>
        <v>BASSO</v>
      </c>
      <c r="BK936" s="81" t="str">
        <f t="shared" si="359"/>
        <v>MOLTO BASSO</v>
      </c>
    </row>
    <row r="937" spans="7:63" x14ac:dyDescent="0.15">
      <c r="G937" s="64">
        <f t="shared" si="360"/>
        <v>0</v>
      </c>
      <c r="I937" s="64">
        <f t="shared" si="337"/>
        <v>0</v>
      </c>
      <c r="K937" s="64">
        <f t="shared" si="338"/>
        <v>0</v>
      </c>
      <c r="M937" s="64">
        <f t="shared" si="339"/>
        <v>0</v>
      </c>
      <c r="O937" s="64">
        <f t="shared" si="340"/>
        <v>0</v>
      </c>
      <c r="Q937" s="64">
        <f t="shared" si="341"/>
        <v>0</v>
      </c>
      <c r="S937" s="71">
        <f t="shared" si="342"/>
        <v>0</v>
      </c>
      <c r="U937" s="64">
        <f t="shared" si="343"/>
        <v>0</v>
      </c>
      <c r="W937" s="71">
        <f t="shared" si="344"/>
        <v>0</v>
      </c>
      <c r="Y937" s="71">
        <f t="shared" si="345"/>
        <v>0</v>
      </c>
      <c r="AA937" s="71">
        <f t="shared" si="346"/>
        <v>0</v>
      </c>
      <c r="AC937" s="71">
        <f t="shared" si="347"/>
        <v>0</v>
      </c>
      <c r="AK937" s="71">
        <f t="shared" si="348"/>
        <v>0</v>
      </c>
      <c r="AM937" s="71">
        <f t="shared" si="349"/>
        <v>0</v>
      </c>
      <c r="AO937" s="71">
        <f t="shared" si="350"/>
        <v>0</v>
      </c>
      <c r="AQ937" s="71">
        <f t="shared" si="351"/>
        <v>0</v>
      </c>
      <c r="AT937" s="71">
        <f t="shared" si="352"/>
        <v>0</v>
      </c>
      <c r="AV937" s="71">
        <f t="shared" si="353"/>
        <v>0</v>
      </c>
      <c r="AX937" s="71">
        <f t="shared" si="354"/>
        <v>0</v>
      </c>
      <c r="AZ937" s="71">
        <f t="shared" si="355"/>
        <v>0</v>
      </c>
      <c r="BE937" s="102">
        <f t="shared" si="356"/>
        <v>4.4721359549995796</v>
      </c>
      <c r="BF937" s="81">
        <f t="shared" si="357"/>
        <v>9.3924867883288243E-14</v>
      </c>
      <c r="BG937" s="81" t="str">
        <f t="shared" si="358"/>
        <v>BASSO</v>
      </c>
      <c r="BK937" s="81" t="str">
        <f t="shared" si="359"/>
        <v>MOLTO BASSO</v>
      </c>
    </row>
    <row r="938" spans="7:63" x14ac:dyDescent="0.15">
      <c r="G938" s="64">
        <f t="shared" si="360"/>
        <v>0</v>
      </c>
      <c r="I938" s="64">
        <f t="shared" si="337"/>
        <v>0</v>
      </c>
      <c r="K938" s="64">
        <f t="shared" si="338"/>
        <v>0</v>
      </c>
      <c r="M938" s="64">
        <f t="shared" si="339"/>
        <v>0</v>
      </c>
      <c r="O938" s="64">
        <f t="shared" si="340"/>
        <v>0</v>
      </c>
      <c r="Q938" s="64">
        <f t="shared" si="341"/>
        <v>0</v>
      </c>
      <c r="S938" s="71">
        <f t="shared" si="342"/>
        <v>0</v>
      </c>
      <c r="U938" s="64">
        <f t="shared" si="343"/>
        <v>0</v>
      </c>
      <c r="W938" s="71">
        <f t="shared" si="344"/>
        <v>0</v>
      </c>
      <c r="Y938" s="71">
        <f t="shared" si="345"/>
        <v>0</v>
      </c>
      <c r="AA938" s="71">
        <f t="shared" si="346"/>
        <v>0</v>
      </c>
      <c r="AC938" s="71">
        <f t="shared" si="347"/>
        <v>0</v>
      </c>
      <c r="AK938" s="71">
        <f t="shared" si="348"/>
        <v>0</v>
      </c>
      <c r="AM938" s="71">
        <f t="shared" si="349"/>
        <v>0</v>
      </c>
      <c r="AO938" s="71">
        <f t="shared" si="350"/>
        <v>0</v>
      </c>
      <c r="AQ938" s="71">
        <f t="shared" si="351"/>
        <v>0</v>
      </c>
      <c r="AT938" s="71">
        <f t="shared" si="352"/>
        <v>0</v>
      </c>
      <c r="AV938" s="71">
        <f t="shared" si="353"/>
        <v>0</v>
      </c>
      <c r="AX938" s="71">
        <f t="shared" si="354"/>
        <v>0</v>
      </c>
      <c r="AZ938" s="71">
        <f t="shared" si="355"/>
        <v>0</v>
      </c>
      <c r="BE938" s="102">
        <f t="shared" si="356"/>
        <v>4.4721359549995796</v>
      </c>
      <c r="BF938" s="81">
        <f t="shared" si="357"/>
        <v>9.3924867883288243E-14</v>
      </c>
      <c r="BG938" s="81" t="str">
        <f t="shared" si="358"/>
        <v>BASSO</v>
      </c>
      <c r="BK938" s="81" t="str">
        <f t="shared" si="359"/>
        <v>MOLTO BASSO</v>
      </c>
    </row>
    <row r="939" spans="7:63" x14ac:dyDescent="0.15">
      <c r="G939" s="64">
        <f t="shared" si="360"/>
        <v>0</v>
      </c>
      <c r="I939" s="64">
        <f t="shared" si="337"/>
        <v>0</v>
      </c>
      <c r="K939" s="64">
        <f t="shared" si="338"/>
        <v>0</v>
      </c>
      <c r="M939" s="64">
        <f t="shared" si="339"/>
        <v>0</v>
      </c>
      <c r="O939" s="64">
        <f t="shared" si="340"/>
        <v>0</v>
      </c>
      <c r="Q939" s="64">
        <f t="shared" si="341"/>
        <v>0</v>
      </c>
      <c r="S939" s="71">
        <f t="shared" si="342"/>
        <v>0</v>
      </c>
      <c r="U939" s="64">
        <f t="shared" si="343"/>
        <v>0</v>
      </c>
      <c r="W939" s="71">
        <f t="shared" si="344"/>
        <v>0</v>
      </c>
      <c r="Y939" s="71">
        <f t="shared" si="345"/>
        <v>0</v>
      </c>
      <c r="AA939" s="71">
        <f t="shared" si="346"/>
        <v>0</v>
      </c>
      <c r="AC939" s="71">
        <f t="shared" si="347"/>
        <v>0</v>
      </c>
      <c r="AK939" s="71">
        <f t="shared" si="348"/>
        <v>0</v>
      </c>
      <c r="AM939" s="71">
        <f t="shared" si="349"/>
        <v>0</v>
      </c>
      <c r="AO939" s="71">
        <f t="shared" si="350"/>
        <v>0</v>
      </c>
      <c r="AQ939" s="71">
        <f t="shared" si="351"/>
        <v>0</v>
      </c>
      <c r="AT939" s="71">
        <f t="shared" si="352"/>
        <v>0</v>
      </c>
      <c r="AV939" s="71">
        <f t="shared" si="353"/>
        <v>0</v>
      </c>
      <c r="AX939" s="71">
        <f t="shared" si="354"/>
        <v>0</v>
      </c>
      <c r="AZ939" s="71">
        <f t="shared" si="355"/>
        <v>0</v>
      </c>
      <c r="BE939" s="102">
        <f t="shared" si="356"/>
        <v>4.4721359549995796</v>
      </c>
      <c r="BF939" s="81">
        <f t="shared" si="357"/>
        <v>9.3924867883288243E-14</v>
      </c>
      <c r="BG939" s="81" t="str">
        <f t="shared" si="358"/>
        <v>BASSO</v>
      </c>
      <c r="BK939" s="81" t="str">
        <f t="shared" si="359"/>
        <v>MOLTO BASSO</v>
      </c>
    </row>
    <row r="940" spans="7:63" x14ac:dyDescent="0.15">
      <c r="G940" s="64">
        <f t="shared" si="360"/>
        <v>0</v>
      </c>
      <c r="I940" s="64">
        <f t="shared" si="337"/>
        <v>0</v>
      </c>
      <c r="K940" s="64">
        <f t="shared" si="338"/>
        <v>0</v>
      </c>
      <c r="M940" s="64">
        <f t="shared" si="339"/>
        <v>0</v>
      </c>
      <c r="O940" s="64">
        <f t="shared" si="340"/>
        <v>0</v>
      </c>
      <c r="Q940" s="64">
        <f t="shared" si="341"/>
        <v>0</v>
      </c>
      <c r="S940" s="71">
        <f t="shared" si="342"/>
        <v>0</v>
      </c>
      <c r="U940" s="64">
        <f t="shared" si="343"/>
        <v>0</v>
      </c>
      <c r="W940" s="71">
        <f t="shared" si="344"/>
        <v>0</v>
      </c>
      <c r="Y940" s="71">
        <f t="shared" si="345"/>
        <v>0</v>
      </c>
      <c r="AA940" s="71">
        <f t="shared" si="346"/>
        <v>0</v>
      </c>
      <c r="AC940" s="71">
        <f t="shared" si="347"/>
        <v>0</v>
      </c>
      <c r="AK940" s="71">
        <f t="shared" si="348"/>
        <v>0</v>
      </c>
      <c r="AM940" s="71">
        <f t="shared" si="349"/>
        <v>0</v>
      </c>
      <c r="AO940" s="71">
        <f t="shared" si="350"/>
        <v>0</v>
      </c>
      <c r="AQ940" s="71">
        <f t="shared" si="351"/>
        <v>0</v>
      </c>
      <c r="AT940" s="71">
        <f t="shared" si="352"/>
        <v>0</v>
      </c>
      <c r="AV940" s="71">
        <f t="shared" si="353"/>
        <v>0</v>
      </c>
      <c r="AX940" s="71">
        <f t="shared" si="354"/>
        <v>0</v>
      </c>
      <c r="AZ940" s="71">
        <f t="shared" si="355"/>
        <v>0</v>
      </c>
      <c r="BE940" s="102">
        <f t="shared" si="356"/>
        <v>4.4721359549995796</v>
      </c>
      <c r="BF940" s="81">
        <f t="shared" si="357"/>
        <v>9.3924867883288243E-14</v>
      </c>
      <c r="BG940" s="81" t="str">
        <f t="shared" si="358"/>
        <v>BASSO</v>
      </c>
      <c r="BK940" s="81" t="str">
        <f t="shared" si="359"/>
        <v>MOLTO BASSO</v>
      </c>
    </row>
    <row r="941" spans="7:63" x14ac:dyDescent="0.15">
      <c r="G941" s="64">
        <f t="shared" si="360"/>
        <v>0</v>
      </c>
      <c r="I941" s="64">
        <f t="shared" si="337"/>
        <v>0</v>
      </c>
      <c r="K941" s="64">
        <f t="shared" si="338"/>
        <v>0</v>
      </c>
      <c r="M941" s="64">
        <f t="shared" si="339"/>
        <v>0</v>
      </c>
      <c r="O941" s="64">
        <f t="shared" si="340"/>
        <v>0</v>
      </c>
      <c r="Q941" s="64">
        <f t="shared" si="341"/>
        <v>0</v>
      </c>
      <c r="S941" s="71">
        <f t="shared" si="342"/>
        <v>0</v>
      </c>
      <c r="U941" s="64">
        <f t="shared" si="343"/>
        <v>0</v>
      </c>
      <c r="W941" s="71">
        <f t="shared" si="344"/>
        <v>0</v>
      </c>
      <c r="Y941" s="71">
        <f t="shared" si="345"/>
        <v>0</v>
      </c>
      <c r="AA941" s="71">
        <f t="shared" si="346"/>
        <v>0</v>
      </c>
      <c r="AC941" s="71">
        <f t="shared" si="347"/>
        <v>0</v>
      </c>
      <c r="AK941" s="71">
        <f t="shared" si="348"/>
        <v>0</v>
      </c>
      <c r="AM941" s="71">
        <f t="shared" si="349"/>
        <v>0</v>
      </c>
      <c r="AO941" s="71">
        <f t="shared" si="350"/>
        <v>0</v>
      </c>
      <c r="AQ941" s="71">
        <f t="shared" si="351"/>
        <v>0</v>
      </c>
      <c r="AT941" s="71">
        <f t="shared" si="352"/>
        <v>0</v>
      </c>
      <c r="AV941" s="71">
        <f t="shared" si="353"/>
        <v>0</v>
      </c>
      <c r="AX941" s="71">
        <f t="shared" si="354"/>
        <v>0</v>
      </c>
      <c r="AZ941" s="71">
        <f t="shared" si="355"/>
        <v>0</v>
      </c>
      <c r="BE941" s="102">
        <f t="shared" si="356"/>
        <v>4.4721359549995796</v>
      </c>
      <c r="BF941" s="81">
        <f t="shared" si="357"/>
        <v>9.3924867883288243E-14</v>
      </c>
      <c r="BG941" s="81" t="str">
        <f t="shared" si="358"/>
        <v>BASSO</v>
      </c>
      <c r="BK941" s="81" t="str">
        <f t="shared" si="359"/>
        <v>MOLTO BASSO</v>
      </c>
    </row>
    <row r="942" spans="7:63" x14ac:dyDescent="0.15">
      <c r="G942" s="64">
        <f t="shared" si="360"/>
        <v>0</v>
      </c>
      <c r="I942" s="64">
        <f t="shared" si="337"/>
        <v>0</v>
      </c>
      <c r="K942" s="64">
        <f t="shared" si="338"/>
        <v>0</v>
      </c>
      <c r="M942" s="64">
        <f t="shared" si="339"/>
        <v>0</v>
      </c>
      <c r="O942" s="64">
        <f t="shared" si="340"/>
        <v>0</v>
      </c>
      <c r="Q942" s="64">
        <f t="shared" si="341"/>
        <v>0</v>
      </c>
      <c r="S942" s="71">
        <f t="shared" si="342"/>
        <v>0</v>
      </c>
      <c r="U942" s="64">
        <f t="shared" si="343"/>
        <v>0</v>
      </c>
      <c r="W942" s="71">
        <f t="shared" si="344"/>
        <v>0</v>
      </c>
      <c r="Y942" s="71">
        <f t="shared" si="345"/>
        <v>0</v>
      </c>
      <c r="AA942" s="71">
        <f t="shared" si="346"/>
        <v>0</v>
      </c>
      <c r="AC942" s="71">
        <f t="shared" si="347"/>
        <v>0</v>
      </c>
      <c r="AK942" s="71">
        <f t="shared" si="348"/>
        <v>0</v>
      </c>
      <c r="AM942" s="71">
        <f t="shared" si="349"/>
        <v>0</v>
      </c>
      <c r="AO942" s="71">
        <f t="shared" si="350"/>
        <v>0</v>
      </c>
      <c r="AQ942" s="71">
        <f t="shared" si="351"/>
        <v>0</v>
      </c>
      <c r="AT942" s="71">
        <f t="shared" si="352"/>
        <v>0</v>
      </c>
      <c r="AV942" s="71">
        <f t="shared" si="353"/>
        <v>0</v>
      </c>
      <c r="AX942" s="71">
        <f t="shared" si="354"/>
        <v>0</v>
      </c>
      <c r="AZ942" s="71">
        <f t="shared" si="355"/>
        <v>0</v>
      </c>
      <c r="BE942" s="102">
        <f t="shared" si="356"/>
        <v>4.4721359549995796</v>
      </c>
      <c r="BF942" s="81">
        <f t="shared" si="357"/>
        <v>9.3924867883288243E-14</v>
      </c>
      <c r="BG942" s="81" t="str">
        <f t="shared" si="358"/>
        <v>BASSO</v>
      </c>
      <c r="BK942" s="81" t="str">
        <f t="shared" si="359"/>
        <v>MOLTO BASSO</v>
      </c>
    </row>
    <row r="943" spans="7:63" x14ac:dyDescent="0.15">
      <c r="G943" s="64">
        <f t="shared" si="360"/>
        <v>0</v>
      </c>
      <c r="I943" s="64">
        <f t="shared" si="337"/>
        <v>0</v>
      </c>
      <c r="K943" s="64">
        <f t="shared" si="338"/>
        <v>0</v>
      </c>
      <c r="M943" s="64">
        <f t="shared" si="339"/>
        <v>0</v>
      </c>
      <c r="O943" s="64">
        <f t="shared" si="340"/>
        <v>0</v>
      </c>
      <c r="Q943" s="64">
        <f t="shared" si="341"/>
        <v>0</v>
      </c>
      <c r="S943" s="71">
        <f t="shared" si="342"/>
        <v>0</v>
      </c>
      <c r="U943" s="64">
        <f t="shared" si="343"/>
        <v>0</v>
      </c>
      <c r="W943" s="71">
        <f t="shared" si="344"/>
        <v>0</v>
      </c>
      <c r="Y943" s="71">
        <f t="shared" si="345"/>
        <v>0</v>
      </c>
      <c r="AA943" s="71">
        <f t="shared" si="346"/>
        <v>0</v>
      </c>
      <c r="AC943" s="71">
        <f t="shared" si="347"/>
        <v>0</v>
      </c>
      <c r="AK943" s="71">
        <f t="shared" si="348"/>
        <v>0</v>
      </c>
      <c r="AM943" s="71">
        <f t="shared" si="349"/>
        <v>0</v>
      </c>
      <c r="AO943" s="71">
        <f t="shared" si="350"/>
        <v>0</v>
      </c>
      <c r="AQ943" s="71">
        <f t="shared" si="351"/>
        <v>0</v>
      </c>
      <c r="AT943" s="71">
        <f t="shared" si="352"/>
        <v>0</v>
      </c>
      <c r="AV943" s="71">
        <f t="shared" si="353"/>
        <v>0</v>
      </c>
      <c r="AX943" s="71">
        <f t="shared" si="354"/>
        <v>0</v>
      </c>
      <c r="AZ943" s="71">
        <f t="shared" si="355"/>
        <v>0</v>
      </c>
      <c r="BE943" s="102">
        <f t="shared" si="356"/>
        <v>4.4721359549995796</v>
      </c>
      <c r="BF943" s="81">
        <f t="shared" si="357"/>
        <v>9.3924867883288243E-14</v>
      </c>
      <c r="BG943" s="81" t="str">
        <f t="shared" si="358"/>
        <v>BASSO</v>
      </c>
      <c r="BK943" s="81" t="str">
        <f t="shared" si="359"/>
        <v>MOLTO BASSO</v>
      </c>
    </row>
    <row r="944" spans="7:63" x14ac:dyDescent="0.15">
      <c r="G944" s="64">
        <f t="shared" si="360"/>
        <v>0</v>
      </c>
      <c r="I944" s="64">
        <f t="shared" si="337"/>
        <v>0</v>
      </c>
      <c r="K944" s="64">
        <f t="shared" si="338"/>
        <v>0</v>
      </c>
      <c r="M944" s="64">
        <f t="shared" si="339"/>
        <v>0</v>
      </c>
      <c r="O944" s="64">
        <f t="shared" si="340"/>
        <v>0</v>
      </c>
      <c r="Q944" s="64">
        <f t="shared" si="341"/>
        <v>0</v>
      </c>
      <c r="S944" s="71">
        <f t="shared" si="342"/>
        <v>0</v>
      </c>
      <c r="U944" s="64">
        <f t="shared" si="343"/>
        <v>0</v>
      </c>
      <c r="W944" s="71">
        <f t="shared" si="344"/>
        <v>0</v>
      </c>
      <c r="Y944" s="71">
        <f t="shared" si="345"/>
        <v>0</v>
      </c>
      <c r="AA944" s="71">
        <f t="shared" si="346"/>
        <v>0</v>
      </c>
      <c r="AC944" s="71">
        <f t="shared" si="347"/>
        <v>0</v>
      </c>
      <c r="AK944" s="71">
        <f t="shared" si="348"/>
        <v>0</v>
      </c>
      <c r="AM944" s="71">
        <f t="shared" si="349"/>
        <v>0</v>
      </c>
      <c r="AO944" s="71">
        <f t="shared" si="350"/>
        <v>0</v>
      </c>
      <c r="AQ944" s="71">
        <f t="shared" si="351"/>
        <v>0</v>
      </c>
      <c r="AT944" s="71">
        <f t="shared" si="352"/>
        <v>0</v>
      </c>
      <c r="AV944" s="71">
        <f t="shared" si="353"/>
        <v>0</v>
      </c>
      <c r="AX944" s="71">
        <f t="shared" si="354"/>
        <v>0</v>
      </c>
      <c r="AZ944" s="71">
        <f t="shared" si="355"/>
        <v>0</v>
      </c>
      <c r="BE944" s="102">
        <f t="shared" si="356"/>
        <v>4.4721359549995796</v>
      </c>
      <c r="BF944" s="81">
        <f t="shared" si="357"/>
        <v>9.3924867883288243E-14</v>
      </c>
      <c r="BG944" s="81" t="str">
        <f t="shared" si="358"/>
        <v>BASSO</v>
      </c>
      <c r="BK944" s="81" t="str">
        <f t="shared" si="359"/>
        <v>MOLTO BASSO</v>
      </c>
    </row>
    <row r="945" spans="7:63" x14ac:dyDescent="0.15">
      <c r="G945" s="64">
        <f t="shared" si="360"/>
        <v>0</v>
      </c>
      <c r="I945" s="64">
        <f t="shared" si="337"/>
        <v>0</v>
      </c>
      <c r="K945" s="64">
        <f t="shared" si="338"/>
        <v>0</v>
      </c>
      <c r="M945" s="64">
        <f t="shared" si="339"/>
        <v>0</v>
      </c>
      <c r="O945" s="64">
        <f t="shared" si="340"/>
        <v>0</v>
      </c>
      <c r="Q945" s="64">
        <f t="shared" si="341"/>
        <v>0</v>
      </c>
      <c r="S945" s="71">
        <f t="shared" si="342"/>
        <v>0</v>
      </c>
      <c r="U945" s="64">
        <f t="shared" si="343"/>
        <v>0</v>
      </c>
      <c r="W945" s="71">
        <f t="shared" si="344"/>
        <v>0</v>
      </c>
      <c r="Y945" s="71">
        <f t="shared" si="345"/>
        <v>0</v>
      </c>
      <c r="AA945" s="71">
        <f t="shared" si="346"/>
        <v>0</v>
      </c>
      <c r="AC945" s="71">
        <f t="shared" si="347"/>
        <v>0</v>
      </c>
      <c r="AK945" s="71">
        <f t="shared" si="348"/>
        <v>0</v>
      </c>
      <c r="AM945" s="71">
        <f t="shared" si="349"/>
        <v>0</v>
      </c>
      <c r="AO945" s="71">
        <f t="shared" si="350"/>
        <v>0</v>
      </c>
      <c r="AQ945" s="71">
        <f t="shared" si="351"/>
        <v>0</v>
      </c>
      <c r="AT945" s="71">
        <f t="shared" si="352"/>
        <v>0</v>
      </c>
      <c r="AV945" s="71">
        <f t="shared" si="353"/>
        <v>0</v>
      </c>
      <c r="AX945" s="71">
        <f t="shared" si="354"/>
        <v>0</v>
      </c>
      <c r="AZ945" s="71">
        <f t="shared" si="355"/>
        <v>0</v>
      </c>
      <c r="BE945" s="102">
        <f t="shared" si="356"/>
        <v>4.4721359549995796</v>
      </c>
      <c r="BF945" s="81">
        <f t="shared" si="357"/>
        <v>9.3924867883288243E-14</v>
      </c>
      <c r="BG945" s="81" t="str">
        <f t="shared" si="358"/>
        <v>BASSO</v>
      </c>
      <c r="BK945" s="81" t="str">
        <f t="shared" si="359"/>
        <v>MOLTO BASSO</v>
      </c>
    </row>
    <row r="946" spans="7:63" x14ac:dyDescent="0.15">
      <c r="G946" s="64">
        <f t="shared" si="360"/>
        <v>0</v>
      </c>
      <c r="I946" s="64">
        <f t="shared" si="337"/>
        <v>0</v>
      </c>
      <c r="K946" s="64">
        <f t="shared" si="338"/>
        <v>0</v>
      </c>
      <c r="M946" s="64">
        <f t="shared" si="339"/>
        <v>0</v>
      </c>
      <c r="O946" s="64">
        <f t="shared" si="340"/>
        <v>0</v>
      </c>
      <c r="Q946" s="64">
        <f t="shared" si="341"/>
        <v>0</v>
      </c>
      <c r="S946" s="71">
        <f t="shared" si="342"/>
        <v>0</v>
      </c>
      <c r="U946" s="64">
        <f t="shared" si="343"/>
        <v>0</v>
      </c>
      <c r="W946" s="71">
        <f t="shared" si="344"/>
        <v>0</v>
      </c>
      <c r="Y946" s="71">
        <f t="shared" si="345"/>
        <v>0</v>
      </c>
      <c r="AA946" s="71">
        <f t="shared" si="346"/>
        <v>0</v>
      </c>
      <c r="AC946" s="71">
        <f t="shared" si="347"/>
        <v>0</v>
      </c>
      <c r="AK946" s="71">
        <f t="shared" si="348"/>
        <v>0</v>
      </c>
      <c r="AM946" s="71">
        <f t="shared" si="349"/>
        <v>0</v>
      </c>
      <c r="AO946" s="71">
        <f t="shared" si="350"/>
        <v>0</v>
      </c>
      <c r="AQ946" s="71">
        <f t="shared" si="351"/>
        <v>0</v>
      </c>
      <c r="AT946" s="71">
        <f t="shared" si="352"/>
        <v>0</v>
      </c>
      <c r="AV946" s="71">
        <f t="shared" si="353"/>
        <v>0</v>
      </c>
      <c r="AX946" s="71">
        <f t="shared" si="354"/>
        <v>0</v>
      </c>
      <c r="AZ946" s="71">
        <f t="shared" si="355"/>
        <v>0</v>
      </c>
      <c r="BE946" s="102">
        <f t="shared" si="356"/>
        <v>4.4721359549995796</v>
      </c>
      <c r="BF946" s="81">
        <f t="shared" si="357"/>
        <v>9.3924867883288243E-14</v>
      </c>
      <c r="BG946" s="81" t="str">
        <f t="shared" si="358"/>
        <v>BASSO</v>
      </c>
      <c r="BK946" s="81" t="str">
        <f t="shared" si="359"/>
        <v>MOLTO BASSO</v>
      </c>
    </row>
    <row r="947" spans="7:63" x14ac:dyDescent="0.15">
      <c r="G947" s="64">
        <f t="shared" si="360"/>
        <v>0</v>
      </c>
      <c r="I947" s="64">
        <f t="shared" si="337"/>
        <v>0</v>
      </c>
      <c r="K947" s="64">
        <f t="shared" si="338"/>
        <v>0</v>
      </c>
      <c r="M947" s="64">
        <f t="shared" si="339"/>
        <v>0</v>
      </c>
      <c r="O947" s="64">
        <f t="shared" si="340"/>
        <v>0</v>
      </c>
      <c r="Q947" s="64">
        <f t="shared" si="341"/>
        <v>0</v>
      </c>
      <c r="S947" s="71">
        <f t="shared" si="342"/>
        <v>0</v>
      </c>
      <c r="U947" s="64">
        <f t="shared" si="343"/>
        <v>0</v>
      </c>
      <c r="W947" s="71">
        <f t="shared" si="344"/>
        <v>0</v>
      </c>
      <c r="Y947" s="71">
        <f t="shared" si="345"/>
        <v>0</v>
      </c>
      <c r="AA947" s="71">
        <f t="shared" si="346"/>
        <v>0</v>
      </c>
      <c r="AC947" s="71">
        <f t="shared" si="347"/>
        <v>0</v>
      </c>
      <c r="AK947" s="71">
        <f t="shared" si="348"/>
        <v>0</v>
      </c>
      <c r="AM947" s="71">
        <f t="shared" si="349"/>
        <v>0</v>
      </c>
      <c r="AO947" s="71">
        <f t="shared" si="350"/>
        <v>0</v>
      </c>
      <c r="AQ947" s="71">
        <f t="shared" si="351"/>
        <v>0</v>
      </c>
      <c r="AT947" s="71">
        <f t="shared" si="352"/>
        <v>0</v>
      </c>
      <c r="AV947" s="71">
        <f t="shared" si="353"/>
        <v>0</v>
      </c>
      <c r="AX947" s="71">
        <f t="shared" si="354"/>
        <v>0</v>
      </c>
      <c r="AZ947" s="71">
        <f t="shared" si="355"/>
        <v>0</v>
      </c>
      <c r="BE947" s="102">
        <f t="shared" si="356"/>
        <v>4.4721359549995796</v>
      </c>
      <c r="BF947" s="81">
        <f t="shared" si="357"/>
        <v>9.3924867883288243E-14</v>
      </c>
      <c r="BG947" s="81" t="str">
        <f t="shared" si="358"/>
        <v>BASSO</v>
      </c>
      <c r="BK947" s="81" t="str">
        <f t="shared" si="359"/>
        <v>MOLTO BASSO</v>
      </c>
    </row>
    <row r="948" spans="7:63" x14ac:dyDescent="0.15">
      <c r="G948" s="64">
        <f t="shared" si="360"/>
        <v>0</v>
      </c>
      <c r="I948" s="64">
        <f t="shared" si="337"/>
        <v>0</v>
      </c>
      <c r="K948" s="64">
        <f t="shared" si="338"/>
        <v>0</v>
      </c>
      <c r="M948" s="64">
        <f t="shared" si="339"/>
        <v>0</v>
      </c>
      <c r="O948" s="64">
        <f t="shared" si="340"/>
        <v>0</v>
      </c>
      <c r="Q948" s="64">
        <f t="shared" si="341"/>
        <v>0</v>
      </c>
      <c r="S948" s="71">
        <f t="shared" si="342"/>
        <v>0</v>
      </c>
      <c r="U948" s="64">
        <f t="shared" si="343"/>
        <v>0</v>
      </c>
      <c r="W948" s="71">
        <f t="shared" si="344"/>
        <v>0</v>
      </c>
      <c r="Y948" s="71">
        <f t="shared" si="345"/>
        <v>0</v>
      </c>
      <c r="AA948" s="71">
        <f t="shared" si="346"/>
        <v>0</v>
      </c>
      <c r="AC948" s="71">
        <f t="shared" si="347"/>
        <v>0</v>
      </c>
      <c r="AK948" s="71">
        <f t="shared" si="348"/>
        <v>0</v>
      </c>
      <c r="AM948" s="71">
        <f t="shared" si="349"/>
        <v>0</v>
      </c>
      <c r="AO948" s="71">
        <f t="shared" si="350"/>
        <v>0</v>
      </c>
      <c r="AQ948" s="71">
        <f t="shared" si="351"/>
        <v>0</v>
      </c>
      <c r="AT948" s="71">
        <f t="shared" si="352"/>
        <v>0</v>
      </c>
      <c r="AV948" s="71">
        <f t="shared" si="353"/>
        <v>0</v>
      </c>
      <c r="AX948" s="71">
        <f t="shared" si="354"/>
        <v>0</v>
      </c>
      <c r="AZ948" s="71">
        <f t="shared" si="355"/>
        <v>0</v>
      </c>
      <c r="BE948" s="102">
        <f t="shared" si="356"/>
        <v>4.4721359549995796</v>
      </c>
      <c r="BF948" s="81">
        <f t="shared" si="357"/>
        <v>9.3924867883288243E-14</v>
      </c>
      <c r="BG948" s="81" t="str">
        <f t="shared" si="358"/>
        <v>BASSO</v>
      </c>
      <c r="BK948" s="81" t="str">
        <f t="shared" si="359"/>
        <v>MOLTO BASSO</v>
      </c>
    </row>
    <row r="949" spans="7:63" x14ac:dyDescent="0.15">
      <c r="G949" s="64">
        <f t="shared" si="360"/>
        <v>0</v>
      </c>
      <c r="I949" s="64">
        <f t="shared" si="337"/>
        <v>0</v>
      </c>
      <c r="K949" s="64">
        <f t="shared" si="338"/>
        <v>0</v>
      </c>
      <c r="M949" s="64">
        <f t="shared" si="339"/>
        <v>0</v>
      </c>
      <c r="O949" s="64">
        <f t="shared" si="340"/>
        <v>0</v>
      </c>
      <c r="Q949" s="64">
        <f t="shared" si="341"/>
        <v>0</v>
      </c>
      <c r="S949" s="71">
        <f t="shared" si="342"/>
        <v>0</v>
      </c>
      <c r="U949" s="64">
        <f t="shared" si="343"/>
        <v>0</v>
      </c>
      <c r="W949" s="71">
        <f t="shared" si="344"/>
        <v>0</v>
      </c>
      <c r="Y949" s="71">
        <f t="shared" si="345"/>
        <v>0</v>
      </c>
      <c r="AA949" s="71">
        <f t="shared" si="346"/>
        <v>0</v>
      </c>
      <c r="AC949" s="71">
        <f t="shared" si="347"/>
        <v>0</v>
      </c>
      <c r="AK949" s="71">
        <f t="shared" si="348"/>
        <v>0</v>
      </c>
      <c r="AM949" s="71">
        <f t="shared" si="349"/>
        <v>0</v>
      </c>
      <c r="AO949" s="71">
        <f t="shared" si="350"/>
        <v>0</v>
      </c>
      <c r="AQ949" s="71">
        <f t="shared" si="351"/>
        <v>0</v>
      </c>
      <c r="AT949" s="71">
        <f t="shared" si="352"/>
        <v>0</v>
      </c>
      <c r="AV949" s="71">
        <f t="shared" si="353"/>
        <v>0</v>
      </c>
      <c r="AX949" s="71">
        <f t="shared" si="354"/>
        <v>0</v>
      </c>
      <c r="AZ949" s="71">
        <f t="shared" si="355"/>
        <v>0</v>
      </c>
      <c r="BE949" s="102">
        <f t="shared" si="356"/>
        <v>4.4721359549995796</v>
      </c>
      <c r="BF949" s="81">
        <f t="shared" si="357"/>
        <v>9.3924867883288243E-14</v>
      </c>
      <c r="BG949" s="81" t="str">
        <f t="shared" si="358"/>
        <v>BASSO</v>
      </c>
      <c r="BK949" s="81" t="str">
        <f t="shared" si="359"/>
        <v>MOLTO BASSO</v>
      </c>
    </row>
    <row r="950" spans="7:63" x14ac:dyDescent="0.15">
      <c r="G950" s="64">
        <f t="shared" si="360"/>
        <v>0</v>
      </c>
      <c r="I950" s="64">
        <f t="shared" si="337"/>
        <v>0</v>
      </c>
      <c r="K950" s="64">
        <f t="shared" si="338"/>
        <v>0</v>
      </c>
      <c r="M950" s="64">
        <f t="shared" si="339"/>
        <v>0</v>
      </c>
      <c r="O950" s="64">
        <f t="shared" si="340"/>
        <v>0</v>
      </c>
      <c r="Q950" s="64">
        <f t="shared" si="341"/>
        <v>0</v>
      </c>
      <c r="S950" s="71">
        <f t="shared" si="342"/>
        <v>0</v>
      </c>
      <c r="U950" s="64">
        <f t="shared" si="343"/>
        <v>0</v>
      </c>
      <c r="W950" s="71">
        <f t="shared" si="344"/>
        <v>0</v>
      </c>
      <c r="Y950" s="71">
        <f t="shared" si="345"/>
        <v>0</v>
      </c>
      <c r="AA950" s="71">
        <f t="shared" si="346"/>
        <v>0</v>
      </c>
      <c r="AC950" s="71">
        <f t="shared" si="347"/>
        <v>0</v>
      </c>
      <c r="AK950" s="71">
        <f t="shared" si="348"/>
        <v>0</v>
      </c>
      <c r="AM950" s="71">
        <f t="shared" si="349"/>
        <v>0</v>
      </c>
      <c r="AO950" s="71">
        <f t="shared" si="350"/>
        <v>0</v>
      </c>
      <c r="AQ950" s="71">
        <f t="shared" si="351"/>
        <v>0</v>
      </c>
      <c r="AT950" s="71">
        <f t="shared" si="352"/>
        <v>0</v>
      </c>
      <c r="AV950" s="71">
        <f t="shared" si="353"/>
        <v>0</v>
      </c>
      <c r="AX950" s="71">
        <f t="shared" si="354"/>
        <v>0</v>
      </c>
      <c r="AZ950" s="71">
        <f t="shared" si="355"/>
        <v>0</v>
      </c>
      <c r="BE950" s="102">
        <f t="shared" si="356"/>
        <v>4.4721359549995796</v>
      </c>
      <c r="BF950" s="81">
        <f t="shared" si="357"/>
        <v>9.3924867883288243E-14</v>
      </c>
      <c r="BG950" s="81" t="str">
        <f t="shared" si="358"/>
        <v>BASSO</v>
      </c>
      <c r="BK950" s="81" t="str">
        <f t="shared" si="359"/>
        <v>MOLTO BASSO</v>
      </c>
    </row>
    <row r="951" spans="7:63" x14ac:dyDescent="0.15">
      <c r="G951" s="64">
        <f t="shared" si="360"/>
        <v>0</v>
      </c>
      <c r="I951" s="64">
        <f t="shared" si="337"/>
        <v>0</v>
      </c>
      <c r="K951" s="64">
        <f t="shared" si="338"/>
        <v>0</v>
      </c>
      <c r="M951" s="64">
        <f t="shared" si="339"/>
        <v>0</v>
      </c>
      <c r="O951" s="64">
        <f t="shared" si="340"/>
        <v>0</v>
      </c>
      <c r="Q951" s="64">
        <f t="shared" si="341"/>
        <v>0</v>
      </c>
      <c r="S951" s="71">
        <f t="shared" si="342"/>
        <v>0</v>
      </c>
      <c r="U951" s="64">
        <f t="shared" si="343"/>
        <v>0</v>
      </c>
      <c r="W951" s="71">
        <f t="shared" si="344"/>
        <v>0</v>
      </c>
      <c r="Y951" s="71">
        <f t="shared" si="345"/>
        <v>0</v>
      </c>
      <c r="AA951" s="71">
        <f t="shared" si="346"/>
        <v>0</v>
      </c>
      <c r="AC951" s="71">
        <f t="shared" si="347"/>
        <v>0</v>
      </c>
      <c r="AK951" s="71">
        <f t="shared" si="348"/>
        <v>0</v>
      </c>
      <c r="AM951" s="71">
        <f t="shared" si="349"/>
        <v>0</v>
      </c>
      <c r="AO951" s="71">
        <f t="shared" si="350"/>
        <v>0</v>
      </c>
      <c r="AQ951" s="71">
        <f t="shared" si="351"/>
        <v>0</v>
      </c>
      <c r="AT951" s="71">
        <f t="shared" si="352"/>
        <v>0</v>
      </c>
      <c r="AV951" s="71">
        <f t="shared" si="353"/>
        <v>0</v>
      </c>
      <c r="AX951" s="71">
        <f t="shared" si="354"/>
        <v>0</v>
      </c>
      <c r="AZ951" s="71">
        <f t="shared" si="355"/>
        <v>0</v>
      </c>
      <c r="BE951" s="102">
        <f t="shared" si="356"/>
        <v>4.4721359549995796</v>
      </c>
      <c r="BF951" s="81">
        <f t="shared" si="357"/>
        <v>9.3924867883288243E-14</v>
      </c>
      <c r="BG951" s="81" t="str">
        <f t="shared" si="358"/>
        <v>BASSO</v>
      </c>
      <c r="BK951" s="81" t="str">
        <f t="shared" si="359"/>
        <v>MOLTO BASSO</v>
      </c>
    </row>
    <row r="952" spans="7:63" x14ac:dyDescent="0.15">
      <c r="G952" s="64">
        <f t="shared" si="360"/>
        <v>0</v>
      </c>
      <c r="I952" s="64">
        <f t="shared" si="337"/>
        <v>0</v>
      </c>
      <c r="K952" s="64">
        <f t="shared" si="338"/>
        <v>0</v>
      </c>
      <c r="M952" s="64">
        <f t="shared" si="339"/>
        <v>0</v>
      </c>
      <c r="O952" s="64">
        <f t="shared" si="340"/>
        <v>0</v>
      </c>
      <c r="Q952" s="64">
        <f t="shared" si="341"/>
        <v>0</v>
      </c>
      <c r="S952" s="71">
        <f t="shared" si="342"/>
        <v>0</v>
      </c>
      <c r="U952" s="64">
        <f t="shared" si="343"/>
        <v>0</v>
      </c>
      <c r="W952" s="71">
        <f t="shared" si="344"/>
        <v>0</v>
      </c>
      <c r="Y952" s="71">
        <f t="shared" si="345"/>
        <v>0</v>
      </c>
      <c r="AA952" s="71">
        <f t="shared" si="346"/>
        <v>0</v>
      </c>
      <c r="AC952" s="71">
        <f t="shared" si="347"/>
        <v>0</v>
      </c>
      <c r="AK952" s="71">
        <f t="shared" si="348"/>
        <v>0</v>
      </c>
      <c r="AM952" s="71">
        <f t="shared" si="349"/>
        <v>0</v>
      </c>
      <c r="AO952" s="71">
        <f t="shared" si="350"/>
        <v>0</v>
      </c>
      <c r="AQ952" s="71">
        <f t="shared" si="351"/>
        <v>0</v>
      </c>
      <c r="AT952" s="71">
        <f t="shared" si="352"/>
        <v>0</v>
      </c>
      <c r="AV952" s="71">
        <f t="shared" si="353"/>
        <v>0</v>
      </c>
      <c r="AX952" s="71">
        <f t="shared" si="354"/>
        <v>0</v>
      </c>
      <c r="AZ952" s="71">
        <f t="shared" si="355"/>
        <v>0</v>
      </c>
      <c r="BE952" s="102">
        <f t="shared" si="356"/>
        <v>4.4721359549995796</v>
      </c>
      <c r="BF952" s="81">
        <f t="shared" si="357"/>
        <v>9.3924867883288243E-14</v>
      </c>
      <c r="BG952" s="81" t="str">
        <f t="shared" si="358"/>
        <v>BASSO</v>
      </c>
      <c r="BK952" s="81" t="str">
        <f t="shared" si="359"/>
        <v>MOLTO BASSO</v>
      </c>
    </row>
    <row r="953" spans="7:63" x14ac:dyDescent="0.15">
      <c r="G953" s="64">
        <f t="shared" si="360"/>
        <v>0</v>
      </c>
      <c r="I953" s="64">
        <f t="shared" si="337"/>
        <v>0</v>
      </c>
      <c r="K953" s="64">
        <f t="shared" si="338"/>
        <v>0</v>
      </c>
      <c r="M953" s="64">
        <f t="shared" si="339"/>
        <v>0</v>
      </c>
      <c r="O953" s="64">
        <f t="shared" si="340"/>
        <v>0</v>
      </c>
      <c r="Q953" s="64">
        <f t="shared" si="341"/>
        <v>0</v>
      </c>
      <c r="S953" s="71">
        <f t="shared" si="342"/>
        <v>0</v>
      </c>
      <c r="U953" s="64">
        <f t="shared" si="343"/>
        <v>0</v>
      </c>
      <c r="W953" s="71">
        <f t="shared" si="344"/>
        <v>0</v>
      </c>
      <c r="Y953" s="71">
        <f t="shared" si="345"/>
        <v>0</v>
      </c>
      <c r="AA953" s="71">
        <f t="shared" si="346"/>
        <v>0</v>
      </c>
      <c r="AC953" s="71">
        <f t="shared" si="347"/>
        <v>0</v>
      </c>
      <c r="AK953" s="71">
        <f t="shared" si="348"/>
        <v>0</v>
      </c>
      <c r="AM953" s="71">
        <f t="shared" si="349"/>
        <v>0</v>
      </c>
      <c r="AO953" s="71">
        <f t="shared" si="350"/>
        <v>0</v>
      </c>
      <c r="AQ953" s="71">
        <f t="shared" si="351"/>
        <v>0</v>
      </c>
      <c r="AT953" s="71">
        <f t="shared" si="352"/>
        <v>0</v>
      </c>
      <c r="AV953" s="71">
        <f t="shared" si="353"/>
        <v>0</v>
      </c>
      <c r="AX953" s="71">
        <f t="shared" si="354"/>
        <v>0</v>
      </c>
      <c r="AZ953" s="71">
        <f t="shared" si="355"/>
        <v>0</v>
      </c>
      <c r="BE953" s="102">
        <f t="shared" si="356"/>
        <v>4.4721359549995796</v>
      </c>
      <c r="BF953" s="81">
        <f t="shared" si="357"/>
        <v>9.3924867883288243E-14</v>
      </c>
      <c r="BG953" s="81" t="str">
        <f t="shared" si="358"/>
        <v>BASSO</v>
      </c>
      <c r="BK953" s="81" t="str">
        <f t="shared" si="359"/>
        <v>MOLTO BASSO</v>
      </c>
    </row>
    <row r="954" spans="7:63" x14ac:dyDescent="0.15">
      <c r="G954" s="64">
        <f t="shared" si="360"/>
        <v>0</v>
      </c>
      <c r="I954" s="64">
        <f t="shared" si="337"/>
        <v>0</v>
      </c>
      <c r="K954" s="64">
        <f t="shared" si="338"/>
        <v>0</v>
      </c>
      <c r="M954" s="64">
        <f t="shared" si="339"/>
        <v>0</v>
      </c>
      <c r="O954" s="64">
        <f t="shared" si="340"/>
        <v>0</v>
      </c>
      <c r="Q954" s="64">
        <f t="shared" si="341"/>
        <v>0</v>
      </c>
      <c r="S954" s="71">
        <f t="shared" si="342"/>
        <v>0</v>
      </c>
      <c r="U954" s="64">
        <f t="shared" si="343"/>
        <v>0</v>
      </c>
      <c r="W954" s="71">
        <f t="shared" si="344"/>
        <v>0</v>
      </c>
      <c r="Y954" s="71">
        <f t="shared" si="345"/>
        <v>0</v>
      </c>
      <c r="AA954" s="71">
        <f t="shared" si="346"/>
        <v>0</v>
      </c>
      <c r="AC954" s="71">
        <f t="shared" si="347"/>
        <v>0</v>
      </c>
      <c r="AK954" s="71">
        <f t="shared" si="348"/>
        <v>0</v>
      </c>
      <c r="AM954" s="71">
        <f t="shared" si="349"/>
        <v>0</v>
      </c>
      <c r="AO954" s="71">
        <f t="shared" si="350"/>
        <v>0</v>
      </c>
      <c r="AQ954" s="71">
        <f t="shared" si="351"/>
        <v>0</v>
      </c>
      <c r="AT954" s="71">
        <f t="shared" si="352"/>
        <v>0</v>
      </c>
      <c r="AV954" s="71">
        <f t="shared" si="353"/>
        <v>0</v>
      </c>
      <c r="AX954" s="71">
        <f t="shared" si="354"/>
        <v>0</v>
      </c>
      <c r="AZ954" s="71">
        <f t="shared" si="355"/>
        <v>0</v>
      </c>
      <c r="BE954" s="102">
        <f t="shared" si="356"/>
        <v>4.4721359549995796</v>
      </c>
      <c r="BF954" s="81">
        <f t="shared" si="357"/>
        <v>9.3924867883288243E-14</v>
      </c>
      <c r="BG954" s="81" t="str">
        <f t="shared" si="358"/>
        <v>BASSO</v>
      </c>
      <c r="BK954" s="81" t="str">
        <f t="shared" si="359"/>
        <v>MOLTO BASSO</v>
      </c>
    </row>
    <row r="955" spans="7:63" x14ac:dyDescent="0.15">
      <c r="G955" s="64">
        <f t="shared" si="360"/>
        <v>0</v>
      </c>
      <c r="I955" s="64">
        <f t="shared" si="337"/>
        <v>0</v>
      </c>
      <c r="K955" s="64">
        <f t="shared" si="338"/>
        <v>0</v>
      </c>
      <c r="M955" s="64">
        <f t="shared" si="339"/>
        <v>0</v>
      </c>
      <c r="O955" s="64">
        <f t="shared" si="340"/>
        <v>0</v>
      </c>
      <c r="Q955" s="64">
        <f t="shared" si="341"/>
        <v>0</v>
      </c>
      <c r="S955" s="71">
        <f t="shared" si="342"/>
        <v>0</v>
      </c>
      <c r="U955" s="64">
        <f t="shared" si="343"/>
        <v>0</v>
      </c>
      <c r="W955" s="71">
        <f t="shared" si="344"/>
        <v>0</v>
      </c>
      <c r="Y955" s="71">
        <f t="shared" si="345"/>
        <v>0</v>
      </c>
      <c r="AA955" s="71">
        <f t="shared" si="346"/>
        <v>0</v>
      </c>
      <c r="AC955" s="71">
        <f t="shared" si="347"/>
        <v>0</v>
      </c>
      <c r="AK955" s="71">
        <f t="shared" si="348"/>
        <v>0</v>
      </c>
      <c r="AM955" s="71">
        <f t="shared" si="349"/>
        <v>0</v>
      </c>
      <c r="AO955" s="71">
        <f t="shared" si="350"/>
        <v>0</v>
      </c>
      <c r="AQ955" s="71">
        <f t="shared" si="351"/>
        <v>0</v>
      </c>
      <c r="AT955" s="71">
        <f t="shared" si="352"/>
        <v>0</v>
      </c>
      <c r="AV955" s="71">
        <f t="shared" si="353"/>
        <v>0</v>
      </c>
      <c r="AX955" s="71">
        <f t="shared" si="354"/>
        <v>0</v>
      </c>
      <c r="AZ955" s="71">
        <f t="shared" si="355"/>
        <v>0</v>
      </c>
      <c r="BE955" s="102">
        <f t="shared" si="356"/>
        <v>4.4721359549995796</v>
      </c>
      <c r="BF955" s="81">
        <f t="shared" si="357"/>
        <v>9.3924867883288243E-14</v>
      </c>
      <c r="BG955" s="81" t="str">
        <f t="shared" si="358"/>
        <v>BASSO</v>
      </c>
      <c r="BK955" s="81" t="str">
        <f t="shared" si="359"/>
        <v>MOLTO BASSO</v>
      </c>
    </row>
    <row r="956" spans="7:63" x14ac:dyDescent="0.15">
      <c r="G956" s="64">
        <f t="shared" si="360"/>
        <v>0</v>
      </c>
      <c r="I956" s="64">
        <f t="shared" si="337"/>
        <v>0</v>
      </c>
      <c r="K956" s="64">
        <f t="shared" si="338"/>
        <v>0</v>
      </c>
      <c r="M956" s="64">
        <f t="shared" si="339"/>
        <v>0</v>
      </c>
      <c r="O956" s="64">
        <f t="shared" si="340"/>
        <v>0</v>
      </c>
      <c r="Q956" s="64">
        <f t="shared" si="341"/>
        <v>0</v>
      </c>
      <c r="S956" s="71">
        <f t="shared" si="342"/>
        <v>0</v>
      </c>
      <c r="U956" s="64">
        <f t="shared" si="343"/>
        <v>0</v>
      </c>
      <c r="W956" s="71">
        <f t="shared" si="344"/>
        <v>0</v>
      </c>
      <c r="Y956" s="71">
        <f t="shared" si="345"/>
        <v>0</v>
      </c>
      <c r="AA956" s="71">
        <f t="shared" si="346"/>
        <v>0</v>
      </c>
      <c r="AC956" s="71">
        <f t="shared" si="347"/>
        <v>0</v>
      </c>
      <c r="AK956" s="71">
        <f t="shared" si="348"/>
        <v>0</v>
      </c>
      <c r="AM956" s="71">
        <f t="shared" si="349"/>
        <v>0</v>
      </c>
      <c r="AO956" s="71">
        <f t="shared" si="350"/>
        <v>0</v>
      </c>
      <c r="AQ956" s="71">
        <f t="shared" si="351"/>
        <v>0</v>
      </c>
      <c r="AT956" s="71">
        <f t="shared" si="352"/>
        <v>0</v>
      </c>
      <c r="AV956" s="71">
        <f t="shared" si="353"/>
        <v>0</v>
      </c>
      <c r="AX956" s="71">
        <f t="shared" si="354"/>
        <v>0</v>
      </c>
      <c r="AZ956" s="71">
        <f t="shared" si="355"/>
        <v>0</v>
      </c>
      <c r="BE956" s="102">
        <f t="shared" si="356"/>
        <v>4.4721359549995796</v>
      </c>
      <c r="BF956" s="81">
        <f t="shared" si="357"/>
        <v>9.3924867883288243E-14</v>
      </c>
      <c r="BG956" s="81" t="str">
        <f t="shared" si="358"/>
        <v>BASSO</v>
      </c>
      <c r="BK956" s="81" t="str">
        <f t="shared" si="359"/>
        <v>MOLTO BASSO</v>
      </c>
    </row>
    <row r="957" spans="7:63" x14ac:dyDescent="0.15">
      <c r="G957" s="64">
        <f t="shared" si="360"/>
        <v>0</v>
      </c>
      <c r="I957" s="64">
        <f t="shared" si="337"/>
        <v>0</v>
      </c>
      <c r="K957" s="64">
        <f t="shared" si="338"/>
        <v>0</v>
      </c>
      <c r="M957" s="64">
        <f t="shared" si="339"/>
        <v>0</v>
      </c>
      <c r="O957" s="64">
        <f t="shared" si="340"/>
        <v>0</v>
      </c>
      <c r="Q957" s="64">
        <f t="shared" si="341"/>
        <v>0</v>
      </c>
      <c r="S957" s="71">
        <f t="shared" si="342"/>
        <v>0</v>
      </c>
      <c r="U957" s="64">
        <f t="shared" si="343"/>
        <v>0</v>
      </c>
      <c r="W957" s="71">
        <f t="shared" si="344"/>
        <v>0</v>
      </c>
      <c r="Y957" s="71">
        <f t="shared" si="345"/>
        <v>0</v>
      </c>
      <c r="AA957" s="71">
        <f t="shared" si="346"/>
        <v>0</v>
      </c>
      <c r="AC957" s="71">
        <f t="shared" si="347"/>
        <v>0</v>
      </c>
      <c r="AK957" s="71">
        <f t="shared" si="348"/>
        <v>0</v>
      </c>
      <c r="AM957" s="71">
        <f t="shared" si="349"/>
        <v>0</v>
      </c>
      <c r="AO957" s="71">
        <f t="shared" si="350"/>
        <v>0</v>
      </c>
      <c r="AQ957" s="71">
        <f t="shared" si="351"/>
        <v>0</v>
      </c>
      <c r="AT957" s="71">
        <f t="shared" si="352"/>
        <v>0</v>
      </c>
      <c r="AV957" s="71">
        <f t="shared" si="353"/>
        <v>0</v>
      </c>
      <c r="AX957" s="71">
        <f t="shared" si="354"/>
        <v>0</v>
      </c>
      <c r="AZ957" s="71">
        <f t="shared" si="355"/>
        <v>0</v>
      </c>
      <c r="BE957" s="102">
        <f t="shared" si="356"/>
        <v>4.4721359549995796</v>
      </c>
      <c r="BF957" s="81">
        <f t="shared" si="357"/>
        <v>9.3924867883288243E-14</v>
      </c>
      <c r="BG957" s="81" t="str">
        <f t="shared" si="358"/>
        <v>BASSO</v>
      </c>
      <c r="BK957" s="81" t="str">
        <f t="shared" si="359"/>
        <v>MOLTO BASSO</v>
      </c>
    </row>
    <row r="958" spans="7:63" x14ac:dyDescent="0.15">
      <c r="G958" s="64">
        <f t="shared" si="360"/>
        <v>0</v>
      </c>
      <c r="I958" s="64">
        <f t="shared" si="337"/>
        <v>0</v>
      </c>
      <c r="K958" s="64">
        <f t="shared" si="338"/>
        <v>0</v>
      </c>
      <c r="M958" s="64">
        <f t="shared" si="339"/>
        <v>0</v>
      </c>
      <c r="O958" s="64">
        <f t="shared" si="340"/>
        <v>0</v>
      </c>
      <c r="Q958" s="64">
        <f t="shared" si="341"/>
        <v>0</v>
      </c>
      <c r="S958" s="71">
        <f t="shared" si="342"/>
        <v>0</v>
      </c>
      <c r="U958" s="64">
        <f t="shared" si="343"/>
        <v>0</v>
      </c>
      <c r="W958" s="71">
        <f t="shared" si="344"/>
        <v>0</v>
      </c>
      <c r="Y958" s="71">
        <f t="shared" si="345"/>
        <v>0</v>
      </c>
      <c r="AA958" s="71">
        <f t="shared" si="346"/>
        <v>0</v>
      </c>
      <c r="AC958" s="71">
        <f t="shared" si="347"/>
        <v>0</v>
      </c>
      <c r="AK958" s="71">
        <f t="shared" si="348"/>
        <v>0</v>
      </c>
      <c r="AM958" s="71">
        <f t="shared" si="349"/>
        <v>0</v>
      </c>
      <c r="AO958" s="71">
        <f t="shared" si="350"/>
        <v>0</v>
      </c>
      <c r="AQ958" s="71">
        <f t="shared" si="351"/>
        <v>0</v>
      </c>
      <c r="AT958" s="71">
        <f t="shared" si="352"/>
        <v>0</v>
      </c>
      <c r="AV958" s="71">
        <f t="shared" si="353"/>
        <v>0</v>
      </c>
      <c r="AX958" s="71">
        <f t="shared" si="354"/>
        <v>0</v>
      </c>
      <c r="AZ958" s="71">
        <f t="shared" si="355"/>
        <v>0</v>
      </c>
      <c r="BE958" s="102">
        <f t="shared" si="356"/>
        <v>4.4721359549995796</v>
      </c>
      <c r="BF958" s="81">
        <f t="shared" si="357"/>
        <v>9.3924867883288243E-14</v>
      </c>
      <c r="BG958" s="81" t="str">
        <f t="shared" si="358"/>
        <v>BASSO</v>
      </c>
      <c r="BK958" s="81" t="str">
        <f t="shared" si="359"/>
        <v>MOLTO BASSO</v>
      </c>
    </row>
    <row r="959" spans="7:63" x14ac:dyDescent="0.15">
      <c r="G959" s="64">
        <f t="shared" si="360"/>
        <v>0</v>
      </c>
      <c r="I959" s="64">
        <f t="shared" si="337"/>
        <v>0</v>
      </c>
      <c r="K959" s="64">
        <f t="shared" si="338"/>
        <v>0</v>
      </c>
      <c r="M959" s="64">
        <f t="shared" si="339"/>
        <v>0</v>
      </c>
      <c r="O959" s="64">
        <f t="shared" si="340"/>
        <v>0</v>
      </c>
      <c r="Q959" s="64">
        <f t="shared" si="341"/>
        <v>0</v>
      </c>
      <c r="S959" s="71">
        <f t="shared" si="342"/>
        <v>0</v>
      </c>
      <c r="U959" s="64">
        <f t="shared" si="343"/>
        <v>0</v>
      </c>
      <c r="W959" s="71">
        <f t="shared" si="344"/>
        <v>0</v>
      </c>
      <c r="Y959" s="71">
        <f t="shared" si="345"/>
        <v>0</v>
      </c>
      <c r="AA959" s="71">
        <f t="shared" si="346"/>
        <v>0</v>
      </c>
      <c r="AC959" s="71">
        <f t="shared" si="347"/>
        <v>0</v>
      </c>
      <c r="AK959" s="71">
        <f t="shared" si="348"/>
        <v>0</v>
      </c>
      <c r="AM959" s="71">
        <f t="shared" si="349"/>
        <v>0</v>
      </c>
      <c r="AO959" s="71">
        <f t="shared" si="350"/>
        <v>0</v>
      </c>
      <c r="AQ959" s="71">
        <f t="shared" si="351"/>
        <v>0</v>
      </c>
      <c r="AT959" s="71">
        <f t="shared" si="352"/>
        <v>0</v>
      </c>
      <c r="AV959" s="71">
        <f t="shared" si="353"/>
        <v>0</v>
      </c>
      <c r="AX959" s="71">
        <f t="shared" si="354"/>
        <v>0</v>
      </c>
      <c r="AZ959" s="71">
        <f t="shared" si="355"/>
        <v>0</v>
      </c>
      <c r="BE959" s="102">
        <f t="shared" si="356"/>
        <v>4.4721359549995796</v>
      </c>
      <c r="BF959" s="81">
        <f t="shared" si="357"/>
        <v>9.3924867883288243E-14</v>
      </c>
      <c r="BG959" s="81" t="str">
        <f t="shared" si="358"/>
        <v>BASSO</v>
      </c>
      <c r="BK959" s="81" t="str">
        <f t="shared" si="359"/>
        <v>MOLTO BASSO</v>
      </c>
    </row>
    <row r="960" spans="7:63" x14ac:dyDescent="0.15">
      <c r="G960" s="64">
        <f t="shared" si="360"/>
        <v>0</v>
      </c>
      <c r="I960" s="64">
        <f t="shared" si="337"/>
        <v>0</v>
      </c>
      <c r="K960" s="64">
        <f t="shared" si="338"/>
        <v>0</v>
      </c>
      <c r="M960" s="64">
        <f t="shared" si="339"/>
        <v>0</v>
      </c>
      <c r="O960" s="64">
        <f t="shared" si="340"/>
        <v>0</v>
      </c>
      <c r="Q960" s="64">
        <f t="shared" si="341"/>
        <v>0</v>
      </c>
      <c r="S960" s="71">
        <f t="shared" si="342"/>
        <v>0</v>
      </c>
      <c r="U960" s="64">
        <f t="shared" si="343"/>
        <v>0</v>
      </c>
      <c r="W960" s="71">
        <f t="shared" si="344"/>
        <v>0</v>
      </c>
      <c r="Y960" s="71">
        <f t="shared" si="345"/>
        <v>0</v>
      </c>
      <c r="AA960" s="71">
        <f t="shared" si="346"/>
        <v>0</v>
      </c>
      <c r="AC960" s="71">
        <f t="shared" si="347"/>
        <v>0</v>
      </c>
      <c r="AK960" s="71">
        <f t="shared" si="348"/>
        <v>0</v>
      </c>
      <c r="AM960" s="71">
        <f t="shared" si="349"/>
        <v>0</v>
      </c>
      <c r="AO960" s="71">
        <f t="shared" si="350"/>
        <v>0</v>
      </c>
      <c r="AQ960" s="71">
        <f t="shared" si="351"/>
        <v>0</v>
      </c>
      <c r="AT960" s="71">
        <f t="shared" si="352"/>
        <v>0</v>
      </c>
      <c r="AV960" s="71">
        <f t="shared" si="353"/>
        <v>0</v>
      </c>
      <c r="AX960" s="71">
        <f t="shared" si="354"/>
        <v>0</v>
      </c>
      <c r="AZ960" s="71">
        <f t="shared" si="355"/>
        <v>0</v>
      </c>
      <c r="BE960" s="102">
        <f t="shared" si="356"/>
        <v>4.4721359549995796</v>
      </c>
      <c r="BF960" s="81">
        <f t="shared" si="357"/>
        <v>9.3924867883288243E-14</v>
      </c>
      <c r="BG960" s="81" t="str">
        <f t="shared" si="358"/>
        <v>BASSO</v>
      </c>
      <c r="BK960" s="81" t="str">
        <f t="shared" si="359"/>
        <v>MOLTO BASSO</v>
      </c>
    </row>
    <row r="961" spans="7:63" x14ac:dyDescent="0.15">
      <c r="G961" s="64">
        <f t="shared" si="360"/>
        <v>0</v>
      </c>
      <c r="I961" s="64">
        <f t="shared" si="337"/>
        <v>0</v>
      </c>
      <c r="K961" s="64">
        <f t="shared" si="338"/>
        <v>0</v>
      </c>
      <c r="M961" s="64">
        <f t="shared" si="339"/>
        <v>0</v>
      </c>
      <c r="O961" s="64">
        <f t="shared" si="340"/>
        <v>0</v>
      </c>
      <c r="Q961" s="64">
        <f t="shared" si="341"/>
        <v>0</v>
      </c>
      <c r="S961" s="71">
        <f t="shared" si="342"/>
        <v>0</v>
      </c>
      <c r="U961" s="64">
        <f t="shared" si="343"/>
        <v>0</v>
      </c>
      <c r="W961" s="71">
        <f t="shared" si="344"/>
        <v>0</v>
      </c>
      <c r="Y961" s="71">
        <f t="shared" si="345"/>
        <v>0</v>
      </c>
      <c r="AA961" s="71">
        <f t="shared" si="346"/>
        <v>0</v>
      </c>
      <c r="AC961" s="71">
        <f t="shared" si="347"/>
        <v>0</v>
      </c>
      <c r="AK961" s="71">
        <f t="shared" si="348"/>
        <v>0</v>
      </c>
      <c r="AM961" s="71">
        <f t="shared" si="349"/>
        <v>0</v>
      </c>
      <c r="AO961" s="71">
        <f t="shared" si="350"/>
        <v>0</v>
      </c>
      <c r="AQ961" s="71">
        <f t="shared" si="351"/>
        <v>0</v>
      </c>
      <c r="AT961" s="71">
        <f t="shared" si="352"/>
        <v>0</v>
      </c>
      <c r="AV961" s="71">
        <f t="shared" si="353"/>
        <v>0</v>
      </c>
      <c r="AX961" s="71">
        <f t="shared" si="354"/>
        <v>0</v>
      </c>
      <c r="AZ961" s="71">
        <f t="shared" si="355"/>
        <v>0</v>
      </c>
      <c r="BE961" s="102">
        <f t="shared" si="356"/>
        <v>4.4721359549995796</v>
      </c>
      <c r="BF961" s="81">
        <f t="shared" si="357"/>
        <v>9.3924867883288243E-14</v>
      </c>
      <c r="BG961" s="81" t="str">
        <f t="shared" si="358"/>
        <v>BASSO</v>
      </c>
      <c r="BK961" s="81" t="str">
        <f t="shared" si="359"/>
        <v>MOLTO BASSO</v>
      </c>
    </row>
    <row r="962" spans="7:63" x14ac:dyDescent="0.15">
      <c r="G962" s="64">
        <f t="shared" si="360"/>
        <v>0</v>
      </c>
      <c r="I962" s="64">
        <f t="shared" si="337"/>
        <v>0</v>
      </c>
      <c r="K962" s="64">
        <f t="shared" si="338"/>
        <v>0</v>
      </c>
      <c r="M962" s="64">
        <f t="shared" si="339"/>
        <v>0</v>
      </c>
      <c r="O962" s="64">
        <f t="shared" si="340"/>
        <v>0</v>
      </c>
      <c r="Q962" s="64">
        <f t="shared" si="341"/>
        <v>0</v>
      </c>
      <c r="S962" s="71">
        <f t="shared" si="342"/>
        <v>0</v>
      </c>
      <c r="U962" s="64">
        <f t="shared" si="343"/>
        <v>0</v>
      </c>
      <c r="W962" s="71">
        <f t="shared" si="344"/>
        <v>0</v>
      </c>
      <c r="Y962" s="71">
        <f t="shared" si="345"/>
        <v>0</v>
      </c>
      <c r="AA962" s="71">
        <f t="shared" si="346"/>
        <v>0</v>
      </c>
      <c r="AC962" s="71">
        <f t="shared" si="347"/>
        <v>0</v>
      </c>
      <c r="AK962" s="71">
        <f t="shared" si="348"/>
        <v>0</v>
      </c>
      <c r="AM962" s="71">
        <f t="shared" si="349"/>
        <v>0</v>
      </c>
      <c r="AO962" s="71">
        <f t="shared" si="350"/>
        <v>0</v>
      </c>
      <c r="AQ962" s="71">
        <f t="shared" si="351"/>
        <v>0</v>
      </c>
      <c r="AT962" s="71">
        <f t="shared" si="352"/>
        <v>0</v>
      </c>
      <c r="AV962" s="71">
        <f t="shared" si="353"/>
        <v>0</v>
      </c>
      <c r="AX962" s="71">
        <f t="shared" si="354"/>
        <v>0</v>
      </c>
      <c r="AZ962" s="71">
        <f t="shared" si="355"/>
        <v>0</v>
      </c>
      <c r="BE962" s="102">
        <f t="shared" si="356"/>
        <v>4.4721359549995796</v>
      </c>
      <c r="BF962" s="81">
        <f t="shared" si="357"/>
        <v>9.3924867883288243E-14</v>
      </c>
      <c r="BG962" s="81" t="str">
        <f t="shared" si="358"/>
        <v>BASSO</v>
      </c>
      <c r="BK962" s="81" t="str">
        <f t="shared" si="359"/>
        <v>MOLTO BASSO</v>
      </c>
    </row>
    <row r="963" spans="7:63" x14ac:dyDescent="0.15">
      <c r="G963" s="64">
        <f t="shared" si="360"/>
        <v>0</v>
      </c>
      <c r="I963" s="64">
        <f t="shared" ref="I963:I1019" si="361">H963/2</f>
        <v>0</v>
      </c>
      <c r="K963" s="64">
        <f t="shared" ref="K963:K1026" si="362">J963/2</f>
        <v>0</v>
      </c>
      <c r="M963" s="64">
        <f t="shared" ref="M963:M1026" si="363">L963/3</f>
        <v>0</v>
      </c>
      <c r="O963" s="64">
        <f t="shared" ref="O963:O1026" si="364">N963/5</f>
        <v>0</v>
      </c>
      <c r="Q963" s="64">
        <f t="shared" ref="Q963:Q1026" si="365">P963/3</f>
        <v>0</v>
      </c>
      <c r="S963" s="71">
        <f t="shared" ref="S963:S1026" si="366">R963/3</f>
        <v>0</v>
      </c>
      <c r="U963" s="64">
        <f t="shared" ref="U963:U1026" si="367">T963/3</f>
        <v>0</v>
      </c>
      <c r="W963" s="71">
        <f t="shared" ref="W963:W1026" si="368">V963/4</f>
        <v>0</v>
      </c>
      <c r="Y963" s="71">
        <f t="shared" ref="Y963:Y1026" si="369">X963/3</f>
        <v>0</v>
      </c>
      <c r="AA963" s="71">
        <f t="shared" ref="AA963:AA1026" si="370">Z963/3</f>
        <v>0</v>
      </c>
      <c r="AC963" s="71">
        <f t="shared" ref="AC963:AC1026" si="371">AB963/2</f>
        <v>0</v>
      </c>
      <c r="AK963" s="71">
        <f t="shared" ref="AK963:AK1026" si="372">AJ963/2</f>
        <v>0</v>
      </c>
      <c r="AM963" s="71">
        <f t="shared" ref="AM963:AM1026" si="373">AL963/3</f>
        <v>0</v>
      </c>
      <c r="AO963" s="71">
        <f t="shared" ref="AO963:AO1026" si="374">AN963/3</f>
        <v>0</v>
      </c>
      <c r="AQ963" s="71">
        <f t="shared" ref="AQ963:AQ1026" si="375">AP963/3</f>
        <v>0</v>
      </c>
      <c r="AT963" s="71">
        <f t="shared" ref="AT963:AT1026" si="376">AS963/3</f>
        <v>0</v>
      </c>
      <c r="AV963" s="71">
        <f t="shared" ref="AV963:AV1026" si="377">AU963/3</f>
        <v>0</v>
      </c>
      <c r="AX963" s="71">
        <f t="shared" ref="AX963:AX1026" si="378">AW963/2</f>
        <v>0</v>
      </c>
      <c r="AZ963" s="71">
        <f t="shared" ref="AZ963:AZ1026" si="379">AY963/3</f>
        <v>0</v>
      </c>
      <c r="BE963" s="102">
        <f t="shared" ref="BE963:BE1026" si="380">SQRT((1-G963)^2 + (1-I963)^2 + (1-K963)^2 + (1-M963)^2 + (1-O963)^2 + (1-Q963)^2 + (1-S963)^2 + (1-U963)^2 + (1-W963)^2 + (1-Y963)^2 + (1-AA963)^2 + (1-AC963)^2 + (1-AK963)^2 + (1-AM963)^2 + (1-AO963)^2 + (1-AQ963)^2 + (1-AT963)^2 + (1-AV963)^2 + (1-AX963)^2 + (1-AZ963)^2)</f>
        <v>4.4721359549995796</v>
      </c>
      <c r="BF963" s="81">
        <f t="shared" ref="BF963:BF1016" si="381">1 - (BE963 / 4.472135955)</f>
        <v>9.3924867883288243E-14</v>
      </c>
      <c r="BG963" s="81" t="str">
        <f t="shared" ref="BG963:BG1026" si="382">IF(BF963&lt;=0.33, "BASSO", IF(BF963&lt;=0.66, "MEDIO", "ALTO"))</f>
        <v>BASSO</v>
      </c>
      <c r="BK963" s="81" t="str">
        <f t="shared" ref="BK963:BK1019" si="383">IF(BF963&lt;0.3,"MOLTO BASSO",IF(BF963&lt;0.45,"BASSO",IF(BF963&lt;0.65,"MEDIO",IF(BF963&lt;0.8,"ALTO","MOLTO ALTO"))))</f>
        <v>MOLTO BASSO</v>
      </c>
    </row>
    <row r="964" spans="7:63" x14ac:dyDescent="0.15">
      <c r="G964" s="64">
        <f t="shared" si="360"/>
        <v>0</v>
      </c>
      <c r="I964" s="64">
        <f t="shared" si="361"/>
        <v>0</v>
      </c>
      <c r="K964" s="64">
        <f t="shared" si="362"/>
        <v>0</v>
      </c>
      <c r="M964" s="64">
        <f t="shared" si="363"/>
        <v>0</v>
      </c>
      <c r="O964" s="64">
        <f t="shared" si="364"/>
        <v>0</v>
      </c>
      <c r="Q964" s="64">
        <f t="shared" si="365"/>
        <v>0</v>
      </c>
      <c r="S964" s="71">
        <f t="shared" si="366"/>
        <v>0</v>
      </c>
      <c r="U964" s="64">
        <f t="shared" si="367"/>
        <v>0</v>
      </c>
      <c r="W964" s="71">
        <f t="shared" si="368"/>
        <v>0</v>
      </c>
      <c r="Y964" s="71">
        <f t="shared" si="369"/>
        <v>0</v>
      </c>
      <c r="AA964" s="71">
        <f t="shared" si="370"/>
        <v>0</v>
      </c>
      <c r="AC964" s="71">
        <f t="shared" si="371"/>
        <v>0</v>
      </c>
      <c r="AK964" s="71">
        <f t="shared" si="372"/>
        <v>0</v>
      </c>
      <c r="AM964" s="71">
        <f t="shared" si="373"/>
        <v>0</v>
      </c>
      <c r="AO964" s="71">
        <f t="shared" si="374"/>
        <v>0</v>
      </c>
      <c r="AQ964" s="71">
        <f t="shared" si="375"/>
        <v>0</v>
      </c>
      <c r="AT964" s="71">
        <f t="shared" si="376"/>
        <v>0</v>
      </c>
      <c r="AV964" s="71">
        <f t="shared" si="377"/>
        <v>0</v>
      </c>
      <c r="AX964" s="71">
        <f t="shared" si="378"/>
        <v>0</v>
      </c>
      <c r="AZ964" s="71">
        <f t="shared" si="379"/>
        <v>0</v>
      </c>
      <c r="BE964" s="102">
        <f t="shared" si="380"/>
        <v>4.4721359549995796</v>
      </c>
      <c r="BF964" s="81">
        <f t="shared" si="381"/>
        <v>9.3924867883288243E-14</v>
      </c>
      <c r="BG964" s="81" t="str">
        <f t="shared" si="382"/>
        <v>BASSO</v>
      </c>
      <c r="BK964" s="81" t="str">
        <f t="shared" si="383"/>
        <v>MOLTO BASSO</v>
      </c>
    </row>
    <row r="965" spans="7:63" x14ac:dyDescent="0.15">
      <c r="G965" s="64">
        <f t="shared" si="360"/>
        <v>0</v>
      </c>
      <c r="I965" s="64">
        <f t="shared" si="361"/>
        <v>0</v>
      </c>
      <c r="K965" s="64">
        <f t="shared" si="362"/>
        <v>0</v>
      </c>
      <c r="M965" s="64">
        <f t="shared" si="363"/>
        <v>0</v>
      </c>
      <c r="O965" s="64">
        <f t="shared" si="364"/>
        <v>0</v>
      </c>
      <c r="Q965" s="64">
        <f t="shared" si="365"/>
        <v>0</v>
      </c>
      <c r="S965" s="71">
        <f t="shared" si="366"/>
        <v>0</v>
      </c>
      <c r="U965" s="64">
        <f t="shared" si="367"/>
        <v>0</v>
      </c>
      <c r="W965" s="71">
        <f t="shared" si="368"/>
        <v>0</v>
      </c>
      <c r="Y965" s="71">
        <f t="shared" si="369"/>
        <v>0</v>
      </c>
      <c r="AA965" s="71">
        <f t="shared" si="370"/>
        <v>0</v>
      </c>
      <c r="AC965" s="71">
        <f t="shared" si="371"/>
        <v>0</v>
      </c>
      <c r="AK965" s="71">
        <f t="shared" si="372"/>
        <v>0</v>
      </c>
      <c r="AM965" s="71">
        <f t="shared" si="373"/>
        <v>0</v>
      </c>
      <c r="AO965" s="71">
        <f t="shared" si="374"/>
        <v>0</v>
      </c>
      <c r="AQ965" s="71">
        <f t="shared" si="375"/>
        <v>0</v>
      </c>
      <c r="AT965" s="71">
        <f t="shared" si="376"/>
        <v>0</v>
      </c>
      <c r="AV965" s="71">
        <f t="shared" si="377"/>
        <v>0</v>
      </c>
      <c r="AX965" s="71">
        <f t="shared" si="378"/>
        <v>0</v>
      </c>
      <c r="AZ965" s="71">
        <f t="shared" si="379"/>
        <v>0</v>
      </c>
      <c r="BE965" s="102">
        <f t="shared" si="380"/>
        <v>4.4721359549995796</v>
      </c>
      <c r="BF965" s="81">
        <f t="shared" si="381"/>
        <v>9.3924867883288243E-14</v>
      </c>
      <c r="BG965" s="81" t="str">
        <f t="shared" si="382"/>
        <v>BASSO</v>
      </c>
      <c r="BK965" s="81" t="str">
        <f t="shared" si="383"/>
        <v>MOLTO BASSO</v>
      </c>
    </row>
    <row r="966" spans="7:63" x14ac:dyDescent="0.15">
      <c r="G966" s="64">
        <f t="shared" si="360"/>
        <v>0</v>
      </c>
      <c r="I966" s="64">
        <f t="shared" si="361"/>
        <v>0</v>
      </c>
      <c r="K966" s="64">
        <f t="shared" si="362"/>
        <v>0</v>
      </c>
      <c r="M966" s="64">
        <f t="shared" si="363"/>
        <v>0</v>
      </c>
      <c r="O966" s="64">
        <f t="shared" si="364"/>
        <v>0</v>
      </c>
      <c r="Q966" s="64">
        <f t="shared" si="365"/>
        <v>0</v>
      </c>
      <c r="S966" s="71">
        <f t="shared" si="366"/>
        <v>0</v>
      </c>
      <c r="U966" s="64">
        <f t="shared" si="367"/>
        <v>0</v>
      </c>
      <c r="W966" s="71">
        <f t="shared" si="368"/>
        <v>0</v>
      </c>
      <c r="Y966" s="71">
        <f t="shared" si="369"/>
        <v>0</v>
      </c>
      <c r="AA966" s="71">
        <f t="shared" si="370"/>
        <v>0</v>
      </c>
      <c r="AC966" s="71">
        <f t="shared" si="371"/>
        <v>0</v>
      </c>
      <c r="AK966" s="71">
        <f t="shared" si="372"/>
        <v>0</v>
      </c>
      <c r="AM966" s="71">
        <f t="shared" si="373"/>
        <v>0</v>
      </c>
      <c r="AO966" s="71">
        <f t="shared" si="374"/>
        <v>0</v>
      </c>
      <c r="AQ966" s="71">
        <f t="shared" si="375"/>
        <v>0</v>
      </c>
      <c r="AT966" s="71">
        <f t="shared" si="376"/>
        <v>0</v>
      </c>
      <c r="AV966" s="71">
        <f t="shared" si="377"/>
        <v>0</v>
      </c>
      <c r="AX966" s="71">
        <f t="shared" si="378"/>
        <v>0</v>
      </c>
      <c r="AZ966" s="71">
        <f t="shared" si="379"/>
        <v>0</v>
      </c>
      <c r="BE966" s="102">
        <f t="shared" si="380"/>
        <v>4.4721359549995796</v>
      </c>
      <c r="BF966" s="81">
        <f t="shared" si="381"/>
        <v>9.3924867883288243E-14</v>
      </c>
      <c r="BG966" s="81" t="str">
        <f t="shared" si="382"/>
        <v>BASSO</v>
      </c>
      <c r="BK966" s="81" t="str">
        <f t="shared" si="383"/>
        <v>MOLTO BASSO</v>
      </c>
    </row>
    <row r="967" spans="7:63" x14ac:dyDescent="0.15">
      <c r="G967" s="64">
        <f t="shared" si="360"/>
        <v>0</v>
      </c>
      <c r="I967" s="64">
        <f t="shared" si="361"/>
        <v>0</v>
      </c>
      <c r="K967" s="64">
        <f t="shared" si="362"/>
        <v>0</v>
      </c>
      <c r="M967" s="64">
        <f t="shared" si="363"/>
        <v>0</v>
      </c>
      <c r="O967" s="64">
        <f t="shared" si="364"/>
        <v>0</v>
      </c>
      <c r="Q967" s="64">
        <f t="shared" si="365"/>
        <v>0</v>
      </c>
      <c r="S967" s="71">
        <f t="shared" si="366"/>
        <v>0</v>
      </c>
      <c r="U967" s="64">
        <f t="shared" si="367"/>
        <v>0</v>
      </c>
      <c r="W967" s="71">
        <f t="shared" si="368"/>
        <v>0</v>
      </c>
      <c r="Y967" s="71">
        <f t="shared" si="369"/>
        <v>0</v>
      </c>
      <c r="AA967" s="71">
        <f t="shared" si="370"/>
        <v>0</v>
      </c>
      <c r="AC967" s="71">
        <f t="shared" si="371"/>
        <v>0</v>
      </c>
      <c r="AK967" s="71">
        <f t="shared" si="372"/>
        <v>0</v>
      </c>
      <c r="AM967" s="71">
        <f t="shared" si="373"/>
        <v>0</v>
      </c>
      <c r="AO967" s="71">
        <f t="shared" si="374"/>
        <v>0</v>
      </c>
      <c r="AQ967" s="71">
        <f t="shared" si="375"/>
        <v>0</v>
      </c>
      <c r="AT967" s="71">
        <f t="shared" si="376"/>
        <v>0</v>
      </c>
      <c r="AV967" s="71">
        <f t="shared" si="377"/>
        <v>0</v>
      </c>
      <c r="AX967" s="71">
        <f t="shared" si="378"/>
        <v>0</v>
      </c>
      <c r="AZ967" s="71">
        <f t="shared" si="379"/>
        <v>0</v>
      </c>
      <c r="BE967" s="102">
        <f t="shared" si="380"/>
        <v>4.4721359549995796</v>
      </c>
      <c r="BF967" s="81">
        <f t="shared" si="381"/>
        <v>9.3924867883288243E-14</v>
      </c>
      <c r="BG967" s="81" t="str">
        <f t="shared" si="382"/>
        <v>BASSO</v>
      </c>
      <c r="BK967" s="81" t="str">
        <f t="shared" si="383"/>
        <v>MOLTO BASSO</v>
      </c>
    </row>
    <row r="968" spans="7:63" x14ac:dyDescent="0.15">
      <c r="G968" s="64">
        <f t="shared" si="360"/>
        <v>0</v>
      </c>
      <c r="I968" s="64">
        <f t="shared" si="361"/>
        <v>0</v>
      </c>
      <c r="K968" s="64">
        <f t="shared" si="362"/>
        <v>0</v>
      </c>
      <c r="M968" s="64">
        <f t="shared" si="363"/>
        <v>0</v>
      </c>
      <c r="O968" s="64">
        <f t="shared" si="364"/>
        <v>0</v>
      </c>
      <c r="Q968" s="64">
        <f t="shared" si="365"/>
        <v>0</v>
      </c>
      <c r="S968" s="71">
        <f t="shared" si="366"/>
        <v>0</v>
      </c>
      <c r="U968" s="64">
        <f t="shared" si="367"/>
        <v>0</v>
      </c>
      <c r="W968" s="71">
        <f t="shared" si="368"/>
        <v>0</v>
      </c>
      <c r="Y968" s="71">
        <f t="shared" si="369"/>
        <v>0</v>
      </c>
      <c r="AA968" s="71">
        <f t="shared" si="370"/>
        <v>0</v>
      </c>
      <c r="AC968" s="71">
        <f t="shared" si="371"/>
        <v>0</v>
      </c>
      <c r="AK968" s="71">
        <f t="shared" si="372"/>
        <v>0</v>
      </c>
      <c r="AM968" s="71">
        <f t="shared" si="373"/>
        <v>0</v>
      </c>
      <c r="AO968" s="71">
        <f t="shared" si="374"/>
        <v>0</v>
      </c>
      <c r="AQ968" s="71">
        <f t="shared" si="375"/>
        <v>0</v>
      </c>
      <c r="AT968" s="71">
        <f t="shared" si="376"/>
        <v>0</v>
      </c>
      <c r="AV968" s="71">
        <f t="shared" si="377"/>
        <v>0</v>
      </c>
      <c r="AX968" s="71">
        <f t="shared" si="378"/>
        <v>0</v>
      </c>
      <c r="AZ968" s="71">
        <f t="shared" si="379"/>
        <v>0</v>
      </c>
      <c r="BE968" s="102">
        <f t="shared" si="380"/>
        <v>4.4721359549995796</v>
      </c>
      <c r="BF968" s="81">
        <f t="shared" si="381"/>
        <v>9.3924867883288243E-14</v>
      </c>
      <c r="BG968" s="81" t="str">
        <f t="shared" si="382"/>
        <v>BASSO</v>
      </c>
      <c r="BK968" s="81" t="str">
        <f t="shared" si="383"/>
        <v>MOLTO BASSO</v>
      </c>
    </row>
    <row r="969" spans="7:63" x14ac:dyDescent="0.15">
      <c r="G969" s="64">
        <f t="shared" si="360"/>
        <v>0</v>
      </c>
      <c r="I969" s="64">
        <f t="shared" si="361"/>
        <v>0</v>
      </c>
      <c r="K969" s="64">
        <f t="shared" si="362"/>
        <v>0</v>
      </c>
      <c r="M969" s="64">
        <f t="shared" si="363"/>
        <v>0</v>
      </c>
      <c r="O969" s="64">
        <f t="shared" si="364"/>
        <v>0</v>
      </c>
      <c r="Q969" s="64">
        <f t="shared" si="365"/>
        <v>0</v>
      </c>
      <c r="S969" s="71">
        <f t="shared" si="366"/>
        <v>0</v>
      </c>
      <c r="U969" s="64">
        <f t="shared" si="367"/>
        <v>0</v>
      </c>
      <c r="W969" s="71">
        <f t="shared" si="368"/>
        <v>0</v>
      </c>
      <c r="Y969" s="71">
        <f t="shared" si="369"/>
        <v>0</v>
      </c>
      <c r="AA969" s="71">
        <f t="shared" si="370"/>
        <v>0</v>
      </c>
      <c r="AC969" s="71">
        <f t="shared" si="371"/>
        <v>0</v>
      </c>
      <c r="AK969" s="71">
        <f t="shared" si="372"/>
        <v>0</v>
      </c>
      <c r="AM969" s="71">
        <f t="shared" si="373"/>
        <v>0</v>
      </c>
      <c r="AO969" s="71">
        <f t="shared" si="374"/>
        <v>0</v>
      </c>
      <c r="AQ969" s="71">
        <f t="shared" si="375"/>
        <v>0</v>
      </c>
      <c r="AT969" s="71">
        <f t="shared" si="376"/>
        <v>0</v>
      </c>
      <c r="AV969" s="71">
        <f t="shared" si="377"/>
        <v>0</v>
      </c>
      <c r="AX969" s="71">
        <f t="shared" si="378"/>
        <v>0</v>
      </c>
      <c r="AZ969" s="71">
        <f t="shared" si="379"/>
        <v>0</v>
      </c>
      <c r="BE969" s="102">
        <f t="shared" si="380"/>
        <v>4.4721359549995796</v>
      </c>
      <c r="BF969" s="81">
        <f t="shared" si="381"/>
        <v>9.3924867883288243E-14</v>
      </c>
      <c r="BG969" s="81" t="str">
        <f t="shared" si="382"/>
        <v>BASSO</v>
      </c>
      <c r="BK969" s="81" t="str">
        <f t="shared" si="383"/>
        <v>MOLTO BASSO</v>
      </c>
    </row>
    <row r="970" spans="7:63" x14ac:dyDescent="0.15">
      <c r="G970" s="64">
        <f t="shared" si="360"/>
        <v>0</v>
      </c>
      <c r="I970" s="64">
        <f t="shared" si="361"/>
        <v>0</v>
      </c>
      <c r="K970" s="64">
        <f t="shared" si="362"/>
        <v>0</v>
      </c>
      <c r="M970" s="64">
        <f t="shared" si="363"/>
        <v>0</v>
      </c>
      <c r="O970" s="64">
        <f t="shared" si="364"/>
        <v>0</v>
      </c>
      <c r="Q970" s="64">
        <f t="shared" si="365"/>
        <v>0</v>
      </c>
      <c r="S970" s="71">
        <f t="shared" si="366"/>
        <v>0</v>
      </c>
      <c r="U970" s="64">
        <f t="shared" si="367"/>
        <v>0</v>
      </c>
      <c r="W970" s="71">
        <f t="shared" si="368"/>
        <v>0</v>
      </c>
      <c r="Y970" s="71">
        <f t="shared" si="369"/>
        <v>0</v>
      </c>
      <c r="AA970" s="71">
        <f t="shared" si="370"/>
        <v>0</v>
      </c>
      <c r="AC970" s="71">
        <f t="shared" si="371"/>
        <v>0</v>
      </c>
      <c r="AK970" s="71">
        <f t="shared" si="372"/>
        <v>0</v>
      </c>
      <c r="AM970" s="71">
        <f t="shared" si="373"/>
        <v>0</v>
      </c>
      <c r="AO970" s="71">
        <f t="shared" si="374"/>
        <v>0</v>
      </c>
      <c r="AQ970" s="71">
        <f t="shared" si="375"/>
        <v>0</v>
      </c>
      <c r="AT970" s="71">
        <f t="shared" si="376"/>
        <v>0</v>
      </c>
      <c r="AV970" s="71">
        <f t="shared" si="377"/>
        <v>0</v>
      </c>
      <c r="AX970" s="71">
        <f t="shared" si="378"/>
        <v>0</v>
      </c>
      <c r="AZ970" s="71">
        <f t="shared" si="379"/>
        <v>0</v>
      </c>
      <c r="BE970" s="102">
        <f t="shared" si="380"/>
        <v>4.4721359549995796</v>
      </c>
      <c r="BF970" s="81">
        <f t="shared" si="381"/>
        <v>9.3924867883288243E-14</v>
      </c>
      <c r="BG970" s="81" t="str">
        <f t="shared" si="382"/>
        <v>BASSO</v>
      </c>
      <c r="BK970" s="81" t="str">
        <f t="shared" si="383"/>
        <v>MOLTO BASSO</v>
      </c>
    </row>
    <row r="971" spans="7:63" x14ac:dyDescent="0.15">
      <c r="G971" s="64">
        <f t="shared" si="360"/>
        <v>0</v>
      </c>
      <c r="I971" s="64">
        <f t="shared" si="361"/>
        <v>0</v>
      </c>
      <c r="K971" s="64">
        <f t="shared" si="362"/>
        <v>0</v>
      </c>
      <c r="M971" s="64">
        <f t="shared" si="363"/>
        <v>0</v>
      </c>
      <c r="O971" s="64">
        <f t="shared" si="364"/>
        <v>0</v>
      </c>
      <c r="Q971" s="64">
        <f t="shared" si="365"/>
        <v>0</v>
      </c>
      <c r="S971" s="71">
        <f t="shared" si="366"/>
        <v>0</v>
      </c>
      <c r="U971" s="64">
        <f t="shared" si="367"/>
        <v>0</v>
      </c>
      <c r="W971" s="71">
        <f t="shared" si="368"/>
        <v>0</v>
      </c>
      <c r="Y971" s="71">
        <f t="shared" si="369"/>
        <v>0</v>
      </c>
      <c r="AA971" s="71">
        <f t="shared" si="370"/>
        <v>0</v>
      </c>
      <c r="AC971" s="71">
        <f t="shared" si="371"/>
        <v>0</v>
      </c>
      <c r="AK971" s="71">
        <f t="shared" si="372"/>
        <v>0</v>
      </c>
      <c r="AM971" s="71">
        <f t="shared" si="373"/>
        <v>0</v>
      </c>
      <c r="AO971" s="71">
        <f t="shared" si="374"/>
        <v>0</v>
      </c>
      <c r="AQ971" s="71">
        <f t="shared" si="375"/>
        <v>0</v>
      </c>
      <c r="AT971" s="71">
        <f t="shared" si="376"/>
        <v>0</v>
      </c>
      <c r="AV971" s="71">
        <f t="shared" si="377"/>
        <v>0</v>
      </c>
      <c r="AX971" s="71">
        <f t="shared" si="378"/>
        <v>0</v>
      </c>
      <c r="AZ971" s="71">
        <f t="shared" si="379"/>
        <v>0</v>
      </c>
      <c r="BE971" s="102">
        <f t="shared" si="380"/>
        <v>4.4721359549995796</v>
      </c>
      <c r="BF971" s="81">
        <f t="shared" si="381"/>
        <v>9.3924867883288243E-14</v>
      </c>
      <c r="BG971" s="81" t="str">
        <f t="shared" si="382"/>
        <v>BASSO</v>
      </c>
      <c r="BK971" s="81" t="str">
        <f t="shared" si="383"/>
        <v>MOLTO BASSO</v>
      </c>
    </row>
    <row r="972" spans="7:63" x14ac:dyDescent="0.15">
      <c r="G972" s="64">
        <f t="shared" si="360"/>
        <v>0</v>
      </c>
      <c r="I972" s="64">
        <f t="shared" si="361"/>
        <v>0</v>
      </c>
      <c r="K972" s="64">
        <f t="shared" si="362"/>
        <v>0</v>
      </c>
      <c r="M972" s="64">
        <f t="shared" si="363"/>
        <v>0</v>
      </c>
      <c r="O972" s="64">
        <f t="shared" si="364"/>
        <v>0</v>
      </c>
      <c r="Q972" s="64">
        <f t="shared" si="365"/>
        <v>0</v>
      </c>
      <c r="S972" s="71">
        <f t="shared" si="366"/>
        <v>0</v>
      </c>
      <c r="U972" s="64">
        <f t="shared" si="367"/>
        <v>0</v>
      </c>
      <c r="W972" s="71">
        <f t="shared" si="368"/>
        <v>0</v>
      </c>
      <c r="Y972" s="71">
        <f t="shared" si="369"/>
        <v>0</v>
      </c>
      <c r="AA972" s="71">
        <f t="shared" si="370"/>
        <v>0</v>
      </c>
      <c r="AC972" s="71">
        <f t="shared" si="371"/>
        <v>0</v>
      </c>
      <c r="AK972" s="71">
        <f t="shared" si="372"/>
        <v>0</v>
      </c>
      <c r="AM972" s="71">
        <f t="shared" si="373"/>
        <v>0</v>
      </c>
      <c r="AO972" s="71">
        <f t="shared" si="374"/>
        <v>0</v>
      </c>
      <c r="AQ972" s="71">
        <f t="shared" si="375"/>
        <v>0</v>
      </c>
      <c r="AT972" s="71">
        <f t="shared" si="376"/>
        <v>0</v>
      </c>
      <c r="AV972" s="71">
        <f t="shared" si="377"/>
        <v>0</v>
      </c>
      <c r="AX972" s="71">
        <f t="shared" si="378"/>
        <v>0</v>
      </c>
      <c r="AZ972" s="71">
        <f t="shared" si="379"/>
        <v>0</v>
      </c>
      <c r="BE972" s="102">
        <f t="shared" si="380"/>
        <v>4.4721359549995796</v>
      </c>
      <c r="BF972" s="81">
        <f t="shared" si="381"/>
        <v>9.3924867883288243E-14</v>
      </c>
      <c r="BG972" s="81" t="str">
        <f t="shared" si="382"/>
        <v>BASSO</v>
      </c>
      <c r="BK972" s="81" t="str">
        <f t="shared" si="383"/>
        <v>MOLTO BASSO</v>
      </c>
    </row>
    <row r="973" spans="7:63" x14ac:dyDescent="0.15">
      <c r="G973" s="64">
        <f t="shared" si="360"/>
        <v>0</v>
      </c>
      <c r="I973" s="64">
        <f t="shared" si="361"/>
        <v>0</v>
      </c>
      <c r="K973" s="64">
        <f t="shared" si="362"/>
        <v>0</v>
      </c>
      <c r="M973" s="64">
        <f t="shared" si="363"/>
        <v>0</v>
      </c>
      <c r="O973" s="64">
        <f t="shared" si="364"/>
        <v>0</v>
      </c>
      <c r="Q973" s="64">
        <f t="shared" si="365"/>
        <v>0</v>
      </c>
      <c r="S973" s="71">
        <f t="shared" si="366"/>
        <v>0</v>
      </c>
      <c r="U973" s="64">
        <f t="shared" si="367"/>
        <v>0</v>
      </c>
      <c r="W973" s="71">
        <f t="shared" si="368"/>
        <v>0</v>
      </c>
      <c r="Y973" s="71">
        <f t="shared" si="369"/>
        <v>0</v>
      </c>
      <c r="AA973" s="71">
        <f t="shared" si="370"/>
        <v>0</v>
      </c>
      <c r="AC973" s="71">
        <f t="shared" si="371"/>
        <v>0</v>
      </c>
      <c r="AK973" s="71">
        <f t="shared" si="372"/>
        <v>0</v>
      </c>
      <c r="AM973" s="71">
        <f t="shared" si="373"/>
        <v>0</v>
      </c>
      <c r="AO973" s="71">
        <f t="shared" si="374"/>
        <v>0</v>
      </c>
      <c r="AQ973" s="71">
        <f t="shared" si="375"/>
        <v>0</v>
      </c>
      <c r="AT973" s="71">
        <f t="shared" si="376"/>
        <v>0</v>
      </c>
      <c r="AV973" s="71">
        <f t="shared" si="377"/>
        <v>0</v>
      </c>
      <c r="AX973" s="71">
        <f t="shared" si="378"/>
        <v>0</v>
      </c>
      <c r="AZ973" s="71">
        <f t="shared" si="379"/>
        <v>0</v>
      </c>
      <c r="BE973" s="102">
        <f t="shared" si="380"/>
        <v>4.4721359549995796</v>
      </c>
      <c r="BF973" s="81">
        <f t="shared" si="381"/>
        <v>9.3924867883288243E-14</v>
      </c>
      <c r="BG973" s="81" t="str">
        <f t="shared" si="382"/>
        <v>BASSO</v>
      </c>
      <c r="BK973" s="81" t="str">
        <f t="shared" si="383"/>
        <v>MOLTO BASSO</v>
      </c>
    </row>
    <row r="974" spans="7:63" x14ac:dyDescent="0.15">
      <c r="G974" s="64">
        <f t="shared" si="360"/>
        <v>0</v>
      </c>
      <c r="I974" s="64">
        <f t="shared" si="361"/>
        <v>0</v>
      </c>
      <c r="K974" s="64">
        <f t="shared" si="362"/>
        <v>0</v>
      </c>
      <c r="M974" s="64">
        <f t="shared" si="363"/>
        <v>0</v>
      </c>
      <c r="O974" s="64">
        <f t="shared" si="364"/>
        <v>0</v>
      </c>
      <c r="Q974" s="64">
        <f t="shared" si="365"/>
        <v>0</v>
      </c>
      <c r="S974" s="71">
        <f t="shared" si="366"/>
        <v>0</v>
      </c>
      <c r="U974" s="64">
        <f t="shared" si="367"/>
        <v>0</v>
      </c>
      <c r="W974" s="71">
        <f t="shared" si="368"/>
        <v>0</v>
      </c>
      <c r="Y974" s="71">
        <f t="shared" si="369"/>
        <v>0</v>
      </c>
      <c r="AA974" s="71">
        <f t="shared" si="370"/>
        <v>0</v>
      </c>
      <c r="AC974" s="71">
        <f t="shared" si="371"/>
        <v>0</v>
      </c>
      <c r="AK974" s="71">
        <f t="shared" si="372"/>
        <v>0</v>
      </c>
      <c r="AM974" s="71">
        <f t="shared" si="373"/>
        <v>0</v>
      </c>
      <c r="AO974" s="71">
        <f t="shared" si="374"/>
        <v>0</v>
      </c>
      <c r="AQ974" s="71">
        <f t="shared" si="375"/>
        <v>0</v>
      </c>
      <c r="AT974" s="71">
        <f t="shared" si="376"/>
        <v>0</v>
      </c>
      <c r="AV974" s="71">
        <f t="shared" si="377"/>
        <v>0</v>
      </c>
      <c r="AX974" s="71">
        <f t="shared" si="378"/>
        <v>0</v>
      </c>
      <c r="AZ974" s="71">
        <f t="shared" si="379"/>
        <v>0</v>
      </c>
      <c r="BE974" s="102">
        <f t="shared" si="380"/>
        <v>4.4721359549995796</v>
      </c>
      <c r="BF974" s="81">
        <f t="shared" si="381"/>
        <v>9.3924867883288243E-14</v>
      </c>
      <c r="BG974" s="81" t="str">
        <f t="shared" si="382"/>
        <v>BASSO</v>
      </c>
      <c r="BK974" s="81" t="str">
        <f t="shared" si="383"/>
        <v>MOLTO BASSO</v>
      </c>
    </row>
    <row r="975" spans="7:63" x14ac:dyDescent="0.15">
      <c r="G975" s="64">
        <f t="shared" si="360"/>
        <v>0</v>
      </c>
      <c r="I975" s="64">
        <f t="shared" si="361"/>
        <v>0</v>
      </c>
      <c r="K975" s="64">
        <f t="shared" si="362"/>
        <v>0</v>
      </c>
      <c r="M975" s="64">
        <f t="shared" si="363"/>
        <v>0</v>
      </c>
      <c r="O975" s="64">
        <f t="shared" si="364"/>
        <v>0</v>
      </c>
      <c r="Q975" s="64">
        <f t="shared" si="365"/>
        <v>0</v>
      </c>
      <c r="S975" s="71">
        <f t="shared" si="366"/>
        <v>0</v>
      </c>
      <c r="U975" s="64">
        <f t="shared" si="367"/>
        <v>0</v>
      </c>
      <c r="W975" s="71">
        <f t="shared" si="368"/>
        <v>0</v>
      </c>
      <c r="Y975" s="71">
        <f t="shared" si="369"/>
        <v>0</v>
      </c>
      <c r="AA975" s="71">
        <f t="shared" si="370"/>
        <v>0</v>
      </c>
      <c r="AC975" s="71">
        <f t="shared" si="371"/>
        <v>0</v>
      </c>
      <c r="AK975" s="71">
        <f t="shared" si="372"/>
        <v>0</v>
      </c>
      <c r="AM975" s="71">
        <f t="shared" si="373"/>
        <v>0</v>
      </c>
      <c r="AO975" s="71">
        <f t="shared" si="374"/>
        <v>0</v>
      </c>
      <c r="AQ975" s="71">
        <f t="shared" si="375"/>
        <v>0</v>
      </c>
      <c r="AT975" s="71">
        <f t="shared" si="376"/>
        <v>0</v>
      </c>
      <c r="AV975" s="71">
        <f t="shared" si="377"/>
        <v>0</v>
      </c>
      <c r="AX975" s="71">
        <f t="shared" si="378"/>
        <v>0</v>
      </c>
      <c r="AZ975" s="71">
        <f t="shared" si="379"/>
        <v>0</v>
      </c>
      <c r="BE975" s="102">
        <f t="shared" si="380"/>
        <v>4.4721359549995796</v>
      </c>
      <c r="BF975" s="81">
        <f t="shared" si="381"/>
        <v>9.3924867883288243E-14</v>
      </c>
      <c r="BG975" s="81" t="str">
        <f t="shared" si="382"/>
        <v>BASSO</v>
      </c>
      <c r="BK975" s="81" t="str">
        <f t="shared" si="383"/>
        <v>MOLTO BASSO</v>
      </c>
    </row>
    <row r="976" spans="7:63" x14ac:dyDescent="0.15">
      <c r="G976" s="64">
        <f t="shared" si="360"/>
        <v>0</v>
      </c>
      <c r="I976" s="64">
        <f t="shared" si="361"/>
        <v>0</v>
      </c>
      <c r="K976" s="64">
        <f t="shared" si="362"/>
        <v>0</v>
      </c>
      <c r="M976" s="64">
        <f t="shared" si="363"/>
        <v>0</v>
      </c>
      <c r="O976" s="64">
        <f t="shared" si="364"/>
        <v>0</v>
      </c>
      <c r="Q976" s="64">
        <f t="shared" si="365"/>
        <v>0</v>
      </c>
      <c r="S976" s="71">
        <f t="shared" si="366"/>
        <v>0</v>
      </c>
      <c r="U976" s="64">
        <f t="shared" si="367"/>
        <v>0</v>
      </c>
      <c r="W976" s="71">
        <f t="shared" si="368"/>
        <v>0</v>
      </c>
      <c r="Y976" s="71">
        <f t="shared" si="369"/>
        <v>0</v>
      </c>
      <c r="AA976" s="71">
        <f t="shared" si="370"/>
        <v>0</v>
      </c>
      <c r="AC976" s="71">
        <f t="shared" si="371"/>
        <v>0</v>
      </c>
      <c r="AK976" s="71">
        <f t="shared" si="372"/>
        <v>0</v>
      </c>
      <c r="AM976" s="71">
        <f t="shared" si="373"/>
        <v>0</v>
      </c>
      <c r="AO976" s="71">
        <f t="shared" si="374"/>
        <v>0</v>
      </c>
      <c r="AQ976" s="71">
        <f t="shared" si="375"/>
        <v>0</v>
      </c>
      <c r="AT976" s="71">
        <f t="shared" si="376"/>
        <v>0</v>
      </c>
      <c r="AV976" s="71">
        <f t="shared" si="377"/>
        <v>0</v>
      </c>
      <c r="AX976" s="71">
        <f t="shared" si="378"/>
        <v>0</v>
      </c>
      <c r="AZ976" s="71">
        <f t="shared" si="379"/>
        <v>0</v>
      </c>
      <c r="BE976" s="102">
        <f t="shared" si="380"/>
        <v>4.4721359549995796</v>
      </c>
      <c r="BF976" s="81">
        <f t="shared" si="381"/>
        <v>9.3924867883288243E-14</v>
      </c>
      <c r="BG976" s="81" t="str">
        <f t="shared" si="382"/>
        <v>BASSO</v>
      </c>
      <c r="BK976" s="81" t="str">
        <f t="shared" si="383"/>
        <v>MOLTO BASSO</v>
      </c>
    </row>
    <row r="977" spans="7:63" x14ac:dyDescent="0.15">
      <c r="G977" s="64">
        <f t="shared" si="360"/>
        <v>0</v>
      </c>
      <c r="I977" s="64">
        <f t="shared" si="361"/>
        <v>0</v>
      </c>
      <c r="K977" s="64">
        <f t="shared" si="362"/>
        <v>0</v>
      </c>
      <c r="M977" s="64">
        <f t="shared" si="363"/>
        <v>0</v>
      </c>
      <c r="O977" s="64">
        <f t="shared" si="364"/>
        <v>0</v>
      </c>
      <c r="Q977" s="64">
        <f t="shared" si="365"/>
        <v>0</v>
      </c>
      <c r="S977" s="71">
        <f t="shared" si="366"/>
        <v>0</v>
      </c>
      <c r="U977" s="64">
        <f t="shared" si="367"/>
        <v>0</v>
      </c>
      <c r="W977" s="71">
        <f t="shared" si="368"/>
        <v>0</v>
      </c>
      <c r="Y977" s="71">
        <f t="shared" si="369"/>
        <v>0</v>
      </c>
      <c r="AA977" s="71">
        <f t="shared" si="370"/>
        <v>0</v>
      </c>
      <c r="AC977" s="71">
        <f t="shared" si="371"/>
        <v>0</v>
      </c>
      <c r="AK977" s="71">
        <f t="shared" si="372"/>
        <v>0</v>
      </c>
      <c r="AM977" s="71">
        <f t="shared" si="373"/>
        <v>0</v>
      </c>
      <c r="AO977" s="71">
        <f t="shared" si="374"/>
        <v>0</v>
      </c>
      <c r="AQ977" s="71">
        <f t="shared" si="375"/>
        <v>0</v>
      </c>
      <c r="AT977" s="71">
        <f t="shared" si="376"/>
        <v>0</v>
      </c>
      <c r="AV977" s="71">
        <f t="shared" si="377"/>
        <v>0</v>
      </c>
      <c r="AX977" s="71">
        <f t="shared" si="378"/>
        <v>0</v>
      </c>
      <c r="AZ977" s="71">
        <f t="shared" si="379"/>
        <v>0</v>
      </c>
      <c r="BE977" s="102">
        <f t="shared" si="380"/>
        <v>4.4721359549995796</v>
      </c>
      <c r="BF977" s="81">
        <f t="shared" si="381"/>
        <v>9.3924867883288243E-14</v>
      </c>
      <c r="BG977" s="81" t="str">
        <f t="shared" si="382"/>
        <v>BASSO</v>
      </c>
      <c r="BK977" s="81" t="str">
        <f t="shared" si="383"/>
        <v>MOLTO BASSO</v>
      </c>
    </row>
    <row r="978" spans="7:63" x14ac:dyDescent="0.15">
      <c r="G978" s="64">
        <f t="shared" si="360"/>
        <v>0</v>
      </c>
      <c r="I978" s="64">
        <f t="shared" si="361"/>
        <v>0</v>
      </c>
      <c r="K978" s="64">
        <f t="shared" si="362"/>
        <v>0</v>
      </c>
      <c r="M978" s="64">
        <f t="shared" si="363"/>
        <v>0</v>
      </c>
      <c r="O978" s="64">
        <f t="shared" si="364"/>
        <v>0</v>
      </c>
      <c r="Q978" s="64">
        <f t="shared" si="365"/>
        <v>0</v>
      </c>
      <c r="S978" s="71">
        <f t="shared" si="366"/>
        <v>0</v>
      </c>
      <c r="U978" s="64">
        <f t="shared" si="367"/>
        <v>0</v>
      </c>
      <c r="W978" s="71">
        <f t="shared" si="368"/>
        <v>0</v>
      </c>
      <c r="Y978" s="71">
        <f t="shared" si="369"/>
        <v>0</v>
      </c>
      <c r="AA978" s="71">
        <f t="shared" si="370"/>
        <v>0</v>
      </c>
      <c r="AC978" s="71">
        <f t="shared" si="371"/>
        <v>0</v>
      </c>
      <c r="AK978" s="71">
        <f t="shared" si="372"/>
        <v>0</v>
      </c>
      <c r="AM978" s="71">
        <f t="shared" si="373"/>
        <v>0</v>
      </c>
      <c r="AO978" s="71">
        <f t="shared" si="374"/>
        <v>0</v>
      </c>
      <c r="AQ978" s="71">
        <f t="shared" si="375"/>
        <v>0</v>
      </c>
      <c r="AT978" s="71">
        <f t="shared" si="376"/>
        <v>0</v>
      </c>
      <c r="AV978" s="71">
        <f t="shared" si="377"/>
        <v>0</v>
      </c>
      <c r="AX978" s="71">
        <f t="shared" si="378"/>
        <v>0</v>
      </c>
      <c r="AZ978" s="71">
        <f t="shared" si="379"/>
        <v>0</v>
      </c>
      <c r="BE978" s="102">
        <f t="shared" si="380"/>
        <v>4.4721359549995796</v>
      </c>
      <c r="BF978" s="81">
        <f t="shared" si="381"/>
        <v>9.3924867883288243E-14</v>
      </c>
      <c r="BG978" s="81" t="str">
        <f t="shared" si="382"/>
        <v>BASSO</v>
      </c>
      <c r="BK978" s="81" t="str">
        <f t="shared" si="383"/>
        <v>MOLTO BASSO</v>
      </c>
    </row>
    <row r="979" spans="7:63" x14ac:dyDescent="0.15">
      <c r="G979" s="64">
        <f t="shared" si="360"/>
        <v>0</v>
      </c>
      <c r="I979" s="64">
        <f t="shared" si="361"/>
        <v>0</v>
      </c>
      <c r="K979" s="64">
        <f t="shared" si="362"/>
        <v>0</v>
      </c>
      <c r="M979" s="64">
        <f t="shared" si="363"/>
        <v>0</v>
      </c>
      <c r="O979" s="64">
        <f t="shared" si="364"/>
        <v>0</v>
      </c>
      <c r="Q979" s="64">
        <f t="shared" si="365"/>
        <v>0</v>
      </c>
      <c r="S979" s="71">
        <f t="shared" si="366"/>
        <v>0</v>
      </c>
      <c r="U979" s="64">
        <f t="shared" si="367"/>
        <v>0</v>
      </c>
      <c r="W979" s="71">
        <f t="shared" si="368"/>
        <v>0</v>
      </c>
      <c r="Y979" s="71">
        <f t="shared" si="369"/>
        <v>0</v>
      </c>
      <c r="AA979" s="71">
        <f t="shared" si="370"/>
        <v>0</v>
      </c>
      <c r="AC979" s="71">
        <f t="shared" si="371"/>
        <v>0</v>
      </c>
      <c r="AK979" s="71">
        <f t="shared" si="372"/>
        <v>0</v>
      </c>
      <c r="AM979" s="71">
        <f t="shared" si="373"/>
        <v>0</v>
      </c>
      <c r="AO979" s="71">
        <f t="shared" si="374"/>
        <v>0</v>
      </c>
      <c r="AQ979" s="71">
        <f t="shared" si="375"/>
        <v>0</v>
      </c>
      <c r="AT979" s="71">
        <f t="shared" si="376"/>
        <v>0</v>
      </c>
      <c r="AV979" s="71">
        <f t="shared" si="377"/>
        <v>0</v>
      </c>
      <c r="AX979" s="71">
        <f t="shared" si="378"/>
        <v>0</v>
      </c>
      <c r="AZ979" s="71">
        <f t="shared" si="379"/>
        <v>0</v>
      </c>
      <c r="BE979" s="102">
        <f t="shared" si="380"/>
        <v>4.4721359549995796</v>
      </c>
      <c r="BF979" s="81">
        <f t="shared" si="381"/>
        <v>9.3924867883288243E-14</v>
      </c>
      <c r="BG979" s="81" t="str">
        <f t="shared" si="382"/>
        <v>BASSO</v>
      </c>
      <c r="BK979" s="81" t="str">
        <f t="shared" si="383"/>
        <v>MOLTO BASSO</v>
      </c>
    </row>
    <row r="980" spans="7:63" x14ac:dyDescent="0.15">
      <c r="G980" s="64">
        <f t="shared" si="360"/>
        <v>0</v>
      </c>
      <c r="I980" s="64">
        <f t="shared" si="361"/>
        <v>0</v>
      </c>
      <c r="K980" s="64">
        <f t="shared" si="362"/>
        <v>0</v>
      </c>
      <c r="M980" s="64">
        <f t="shared" si="363"/>
        <v>0</v>
      </c>
      <c r="O980" s="64">
        <f t="shared" si="364"/>
        <v>0</v>
      </c>
      <c r="Q980" s="64">
        <f t="shared" si="365"/>
        <v>0</v>
      </c>
      <c r="S980" s="71">
        <f t="shared" si="366"/>
        <v>0</v>
      </c>
      <c r="U980" s="64">
        <f t="shared" si="367"/>
        <v>0</v>
      </c>
      <c r="W980" s="71">
        <f t="shared" si="368"/>
        <v>0</v>
      </c>
      <c r="Y980" s="71">
        <f t="shared" si="369"/>
        <v>0</v>
      </c>
      <c r="AA980" s="71">
        <f t="shared" si="370"/>
        <v>0</v>
      </c>
      <c r="AC980" s="71">
        <f t="shared" si="371"/>
        <v>0</v>
      </c>
      <c r="AK980" s="71">
        <f t="shared" si="372"/>
        <v>0</v>
      </c>
      <c r="AM980" s="71">
        <f t="shared" si="373"/>
        <v>0</v>
      </c>
      <c r="AO980" s="71">
        <f t="shared" si="374"/>
        <v>0</v>
      </c>
      <c r="AQ980" s="71">
        <f t="shared" si="375"/>
        <v>0</v>
      </c>
      <c r="AT980" s="71">
        <f t="shared" si="376"/>
        <v>0</v>
      </c>
      <c r="AV980" s="71">
        <f t="shared" si="377"/>
        <v>0</v>
      </c>
      <c r="AX980" s="71">
        <f t="shared" si="378"/>
        <v>0</v>
      </c>
      <c r="AZ980" s="71">
        <f t="shared" si="379"/>
        <v>0</v>
      </c>
      <c r="BE980" s="102">
        <f t="shared" si="380"/>
        <v>4.4721359549995796</v>
      </c>
      <c r="BF980" s="81">
        <f t="shared" si="381"/>
        <v>9.3924867883288243E-14</v>
      </c>
      <c r="BG980" s="81" t="str">
        <f t="shared" si="382"/>
        <v>BASSO</v>
      </c>
      <c r="BK980" s="81" t="str">
        <f t="shared" si="383"/>
        <v>MOLTO BASSO</v>
      </c>
    </row>
    <row r="981" spans="7:63" x14ac:dyDescent="0.15">
      <c r="G981" s="64">
        <f t="shared" si="360"/>
        <v>0</v>
      </c>
      <c r="I981" s="64">
        <f t="shared" si="361"/>
        <v>0</v>
      </c>
      <c r="K981" s="64">
        <f t="shared" si="362"/>
        <v>0</v>
      </c>
      <c r="M981" s="64">
        <f t="shared" si="363"/>
        <v>0</v>
      </c>
      <c r="O981" s="64">
        <f t="shared" si="364"/>
        <v>0</v>
      </c>
      <c r="Q981" s="64">
        <f t="shared" si="365"/>
        <v>0</v>
      </c>
      <c r="S981" s="71">
        <f t="shared" si="366"/>
        <v>0</v>
      </c>
      <c r="U981" s="64">
        <f t="shared" si="367"/>
        <v>0</v>
      </c>
      <c r="W981" s="71">
        <f t="shared" si="368"/>
        <v>0</v>
      </c>
      <c r="Y981" s="71">
        <f t="shared" si="369"/>
        <v>0</v>
      </c>
      <c r="AA981" s="71">
        <f t="shared" si="370"/>
        <v>0</v>
      </c>
      <c r="AC981" s="71">
        <f t="shared" si="371"/>
        <v>0</v>
      </c>
      <c r="AK981" s="71">
        <f t="shared" si="372"/>
        <v>0</v>
      </c>
      <c r="AM981" s="71">
        <f t="shared" si="373"/>
        <v>0</v>
      </c>
      <c r="AO981" s="71">
        <f t="shared" si="374"/>
        <v>0</v>
      </c>
      <c r="AQ981" s="71">
        <f t="shared" si="375"/>
        <v>0</v>
      </c>
      <c r="AT981" s="71">
        <f t="shared" si="376"/>
        <v>0</v>
      </c>
      <c r="AV981" s="71">
        <f t="shared" si="377"/>
        <v>0</v>
      </c>
      <c r="AX981" s="71">
        <f t="shared" si="378"/>
        <v>0</v>
      </c>
      <c r="AZ981" s="71">
        <f t="shared" si="379"/>
        <v>0</v>
      </c>
      <c r="BE981" s="102">
        <f t="shared" si="380"/>
        <v>4.4721359549995796</v>
      </c>
      <c r="BF981" s="81">
        <f t="shared" si="381"/>
        <v>9.3924867883288243E-14</v>
      </c>
      <c r="BG981" s="81" t="str">
        <f t="shared" si="382"/>
        <v>BASSO</v>
      </c>
      <c r="BK981" s="81" t="str">
        <f t="shared" si="383"/>
        <v>MOLTO BASSO</v>
      </c>
    </row>
    <row r="982" spans="7:63" x14ac:dyDescent="0.15">
      <c r="G982" s="64">
        <f t="shared" si="360"/>
        <v>0</v>
      </c>
      <c r="I982" s="64">
        <f t="shared" si="361"/>
        <v>0</v>
      </c>
      <c r="K982" s="64">
        <f t="shared" si="362"/>
        <v>0</v>
      </c>
      <c r="M982" s="64">
        <f t="shared" si="363"/>
        <v>0</v>
      </c>
      <c r="O982" s="64">
        <f t="shared" si="364"/>
        <v>0</v>
      </c>
      <c r="Q982" s="64">
        <f t="shared" si="365"/>
        <v>0</v>
      </c>
      <c r="S982" s="71">
        <f t="shared" si="366"/>
        <v>0</v>
      </c>
      <c r="U982" s="64">
        <f t="shared" si="367"/>
        <v>0</v>
      </c>
      <c r="W982" s="71">
        <f t="shared" si="368"/>
        <v>0</v>
      </c>
      <c r="Y982" s="71">
        <f t="shared" si="369"/>
        <v>0</v>
      </c>
      <c r="AA982" s="71">
        <f t="shared" si="370"/>
        <v>0</v>
      </c>
      <c r="AC982" s="71">
        <f t="shared" si="371"/>
        <v>0</v>
      </c>
      <c r="AK982" s="71">
        <f t="shared" si="372"/>
        <v>0</v>
      </c>
      <c r="AM982" s="71">
        <f t="shared" si="373"/>
        <v>0</v>
      </c>
      <c r="AO982" s="71">
        <f t="shared" si="374"/>
        <v>0</v>
      </c>
      <c r="AQ982" s="71">
        <f t="shared" si="375"/>
        <v>0</v>
      </c>
      <c r="AT982" s="71">
        <f t="shared" si="376"/>
        <v>0</v>
      </c>
      <c r="AV982" s="71">
        <f t="shared" si="377"/>
        <v>0</v>
      </c>
      <c r="AX982" s="71">
        <f t="shared" si="378"/>
        <v>0</v>
      </c>
      <c r="AZ982" s="71">
        <f t="shared" si="379"/>
        <v>0</v>
      </c>
      <c r="BE982" s="102">
        <f t="shared" si="380"/>
        <v>4.4721359549995796</v>
      </c>
      <c r="BF982" s="81">
        <f t="shared" si="381"/>
        <v>9.3924867883288243E-14</v>
      </c>
      <c r="BG982" s="81" t="str">
        <f t="shared" si="382"/>
        <v>BASSO</v>
      </c>
      <c r="BK982" s="81" t="str">
        <f t="shared" si="383"/>
        <v>MOLTO BASSO</v>
      </c>
    </row>
    <row r="983" spans="7:63" x14ac:dyDescent="0.15">
      <c r="G983" s="64">
        <f t="shared" si="360"/>
        <v>0</v>
      </c>
      <c r="I983" s="64">
        <f t="shared" si="361"/>
        <v>0</v>
      </c>
      <c r="K983" s="64">
        <f t="shared" si="362"/>
        <v>0</v>
      </c>
      <c r="M983" s="64">
        <f t="shared" si="363"/>
        <v>0</v>
      </c>
      <c r="O983" s="64">
        <f t="shared" si="364"/>
        <v>0</v>
      </c>
      <c r="Q983" s="64">
        <f t="shared" si="365"/>
        <v>0</v>
      </c>
      <c r="S983" s="71">
        <f t="shared" si="366"/>
        <v>0</v>
      </c>
      <c r="U983" s="64">
        <f t="shared" si="367"/>
        <v>0</v>
      </c>
      <c r="W983" s="71">
        <f t="shared" si="368"/>
        <v>0</v>
      </c>
      <c r="Y983" s="71">
        <f t="shared" si="369"/>
        <v>0</v>
      </c>
      <c r="AA983" s="71">
        <f t="shared" si="370"/>
        <v>0</v>
      </c>
      <c r="AC983" s="71">
        <f t="shared" si="371"/>
        <v>0</v>
      </c>
      <c r="AK983" s="71">
        <f t="shared" si="372"/>
        <v>0</v>
      </c>
      <c r="AM983" s="71">
        <f t="shared" si="373"/>
        <v>0</v>
      </c>
      <c r="AO983" s="71">
        <f t="shared" si="374"/>
        <v>0</v>
      </c>
      <c r="AQ983" s="71">
        <f t="shared" si="375"/>
        <v>0</v>
      </c>
      <c r="AT983" s="71">
        <f t="shared" si="376"/>
        <v>0</v>
      </c>
      <c r="AV983" s="71">
        <f t="shared" si="377"/>
        <v>0</v>
      </c>
      <c r="AX983" s="71">
        <f t="shared" si="378"/>
        <v>0</v>
      </c>
      <c r="AZ983" s="71">
        <f t="shared" si="379"/>
        <v>0</v>
      </c>
      <c r="BE983" s="102">
        <f t="shared" si="380"/>
        <v>4.4721359549995796</v>
      </c>
      <c r="BF983" s="81">
        <f t="shared" si="381"/>
        <v>9.3924867883288243E-14</v>
      </c>
      <c r="BG983" s="81" t="str">
        <f t="shared" si="382"/>
        <v>BASSO</v>
      </c>
      <c r="BK983" s="81" t="str">
        <f t="shared" si="383"/>
        <v>MOLTO BASSO</v>
      </c>
    </row>
    <row r="984" spans="7:63" x14ac:dyDescent="0.15">
      <c r="G984" s="64">
        <f t="shared" si="360"/>
        <v>0</v>
      </c>
      <c r="I984" s="64">
        <f t="shared" si="361"/>
        <v>0</v>
      </c>
      <c r="K984" s="64">
        <f t="shared" si="362"/>
        <v>0</v>
      </c>
      <c r="M984" s="64">
        <f t="shared" si="363"/>
        <v>0</v>
      </c>
      <c r="O984" s="64">
        <f t="shared" si="364"/>
        <v>0</v>
      </c>
      <c r="Q984" s="64">
        <f t="shared" si="365"/>
        <v>0</v>
      </c>
      <c r="S984" s="71">
        <f t="shared" si="366"/>
        <v>0</v>
      </c>
      <c r="U984" s="64">
        <f t="shared" si="367"/>
        <v>0</v>
      </c>
      <c r="W984" s="71">
        <f t="shared" si="368"/>
        <v>0</v>
      </c>
      <c r="Y984" s="71">
        <f t="shared" si="369"/>
        <v>0</v>
      </c>
      <c r="AA984" s="71">
        <f t="shared" si="370"/>
        <v>0</v>
      </c>
      <c r="AC984" s="71">
        <f t="shared" si="371"/>
        <v>0</v>
      </c>
      <c r="AK984" s="71">
        <f t="shared" si="372"/>
        <v>0</v>
      </c>
      <c r="AM984" s="71">
        <f t="shared" si="373"/>
        <v>0</v>
      </c>
      <c r="AO984" s="71">
        <f t="shared" si="374"/>
        <v>0</v>
      </c>
      <c r="AQ984" s="71">
        <f t="shared" si="375"/>
        <v>0</v>
      </c>
      <c r="AT984" s="71">
        <f t="shared" si="376"/>
        <v>0</v>
      </c>
      <c r="AV984" s="71">
        <f t="shared" si="377"/>
        <v>0</v>
      </c>
      <c r="AX984" s="71">
        <f t="shared" si="378"/>
        <v>0</v>
      </c>
      <c r="AZ984" s="71">
        <f t="shared" si="379"/>
        <v>0</v>
      </c>
      <c r="BE984" s="102">
        <f t="shared" si="380"/>
        <v>4.4721359549995796</v>
      </c>
      <c r="BF984" s="81">
        <f t="shared" si="381"/>
        <v>9.3924867883288243E-14</v>
      </c>
      <c r="BG984" s="81" t="str">
        <f t="shared" si="382"/>
        <v>BASSO</v>
      </c>
      <c r="BK984" s="81" t="str">
        <f t="shared" si="383"/>
        <v>MOLTO BASSO</v>
      </c>
    </row>
    <row r="985" spans="7:63" x14ac:dyDescent="0.15">
      <c r="G985" s="64">
        <f t="shared" si="360"/>
        <v>0</v>
      </c>
      <c r="I985" s="64">
        <f t="shared" si="361"/>
        <v>0</v>
      </c>
      <c r="K985" s="64">
        <f t="shared" si="362"/>
        <v>0</v>
      </c>
      <c r="M985" s="64">
        <f t="shared" si="363"/>
        <v>0</v>
      </c>
      <c r="O985" s="64">
        <f t="shared" si="364"/>
        <v>0</v>
      </c>
      <c r="Q985" s="64">
        <f t="shared" si="365"/>
        <v>0</v>
      </c>
      <c r="S985" s="71">
        <f t="shared" si="366"/>
        <v>0</v>
      </c>
      <c r="U985" s="64">
        <f t="shared" si="367"/>
        <v>0</v>
      </c>
      <c r="W985" s="71">
        <f t="shared" si="368"/>
        <v>0</v>
      </c>
      <c r="Y985" s="71">
        <f t="shared" si="369"/>
        <v>0</v>
      </c>
      <c r="AA985" s="71">
        <f t="shared" si="370"/>
        <v>0</v>
      </c>
      <c r="AC985" s="71">
        <f t="shared" si="371"/>
        <v>0</v>
      </c>
      <c r="AK985" s="71">
        <f t="shared" si="372"/>
        <v>0</v>
      </c>
      <c r="AM985" s="71">
        <f t="shared" si="373"/>
        <v>0</v>
      </c>
      <c r="AO985" s="71">
        <f t="shared" si="374"/>
        <v>0</v>
      </c>
      <c r="AQ985" s="71">
        <f t="shared" si="375"/>
        <v>0</v>
      </c>
      <c r="AT985" s="71">
        <f t="shared" si="376"/>
        <v>0</v>
      </c>
      <c r="AV985" s="71">
        <f t="shared" si="377"/>
        <v>0</v>
      </c>
      <c r="AX985" s="71">
        <f t="shared" si="378"/>
        <v>0</v>
      </c>
      <c r="AZ985" s="71">
        <f t="shared" si="379"/>
        <v>0</v>
      </c>
      <c r="BE985" s="102">
        <f t="shared" si="380"/>
        <v>4.4721359549995796</v>
      </c>
      <c r="BF985" s="81">
        <f t="shared" si="381"/>
        <v>9.3924867883288243E-14</v>
      </c>
      <c r="BG985" s="81" t="str">
        <f t="shared" si="382"/>
        <v>BASSO</v>
      </c>
      <c r="BK985" s="81" t="str">
        <f t="shared" si="383"/>
        <v>MOLTO BASSO</v>
      </c>
    </row>
    <row r="986" spans="7:63" x14ac:dyDescent="0.15">
      <c r="G986" s="64">
        <f t="shared" si="360"/>
        <v>0</v>
      </c>
      <c r="I986" s="64">
        <f t="shared" si="361"/>
        <v>0</v>
      </c>
      <c r="K986" s="64">
        <f t="shared" si="362"/>
        <v>0</v>
      </c>
      <c r="M986" s="64">
        <f t="shared" si="363"/>
        <v>0</v>
      </c>
      <c r="O986" s="64">
        <f t="shared" si="364"/>
        <v>0</v>
      </c>
      <c r="Q986" s="64">
        <f t="shared" si="365"/>
        <v>0</v>
      </c>
      <c r="S986" s="71">
        <f t="shared" si="366"/>
        <v>0</v>
      </c>
      <c r="U986" s="64">
        <f t="shared" si="367"/>
        <v>0</v>
      </c>
      <c r="W986" s="71">
        <f t="shared" si="368"/>
        <v>0</v>
      </c>
      <c r="Y986" s="71">
        <f t="shared" si="369"/>
        <v>0</v>
      </c>
      <c r="AA986" s="71">
        <f t="shared" si="370"/>
        <v>0</v>
      </c>
      <c r="AC986" s="71">
        <f t="shared" si="371"/>
        <v>0</v>
      </c>
      <c r="AK986" s="71">
        <f t="shared" si="372"/>
        <v>0</v>
      </c>
      <c r="AM986" s="71">
        <f t="shared" si="373"/>
        <v>0</v>
      </c>
      <c r="AO986" s="71">
        <f t="shared" si="374"/>
        <v>0</v>
      </c>
      <c r="AQ986" s="71">
        <f t="shared" si="375"/>
        <v>0</v>
      </c>
      <c r="AT986" s="71">
        <f t="shared" si="376"/>
        <v>0</v>
      </c>
      <c r="AV986" s="71">
        <f t="shared" si="377"/>
        <v>0</v>
      </c>
      <c r="AX986" s="71">
        <f t="shared" si="378"/>
        <v>0</v>
      </c>
      <c r="AZ986" s="71">
        <f t="shared" si="379"/>
        <v>0</v>
      </c>
      <c r="BE986" s="102">
        <f t="shared" si="380"/>
        <v>4.4721359549995796</v>
      </c>
      <c r="BF986" s="81">
        <f t="shared" si="381"/>
        <v>9.3924867883288243E-14</v>
      </c>
      <c r="BG986" s="81" t="str">
        <f t="shared" si="382"/>
        <v>BASSO</v>
      </c>
      <c r="BK986" s="81" t="str">
        <f t="shared" si="383"/>
        <v>MOLTO BASSO</v>
      </c>
    </row>
    <row r="987" spans="7:63" x14ac:dyDescent="0.15">
      <c r="G987" s="64">
        <f t="shared" si="360"/>
        <v>0</v>
      </c>
      <c r="I987" s="64">
        <f t="shared" si="361"/>
        <v>0</v>
      </c>
      <c r="K987" s="64">
        <f t="shared" si="362"/>
        <v>0</v>
      </c>
      <c r="M987" s="64">
        <f t="shared" si="363"/>
        <v>0</v>
      </c>
      <c r="O987" s="64">
        <f t="shared" si="364"/>
        <v>0</v>
      </c>
      <c r="Q987" s="64">
        <f t="shared" si="365"/>
        <v>0</v>
      </c>
      <c r="S987" s="71">
        <f t="shared" si="366"/>
        <v>0</v>
      </c>
      <c r="U987" s="64">
        <f t="shared" si="367"/>
        <v>0</v>
      </c>
      <c r="W987" s="71">
        <f t="shared" si="368"/>
        <v>0</v>
      </c>
      <c r="Y987" s="71">
        <f t="shared" si="369"/>
        <v>0</v>
      </c>
      <c r="AA987" s="71">
        <f t="shared" si="370"/>
        <v>0</v>
      </c>
      <c r="AC987" s="71">
        <f t="shared" si="371"/>
        <v>0</v>
      </c>
      <c r="AK987" s="71">
        <f t="shared" si="372"/>
        <v>0</v>
      </c>
      <c r="AM987" s="71">
        <f t="shared" si="373"/>
        <v>0</v>
      </c>
      <c r="AO987" s="71">
        <f t="shared" si="374"/>
        <v>0</v>
      </c>
      <c r="AQ987" s="71">
        <f t="shared" si="375"/>
        <v>0</v>
      </c>
      <c r="AT987" s="71">
        <f t="shared" si="376"/>
        <v>0</v>
      </c>
      <c r="AV987" s="71">
        <f t="shared" si="377"/>
        <v>0</v>
      </c>
      <c r="AX987" s="71">
        <f t="shared" si="378"/>
        <v>0</v>
      </c>
      <c r="AZ987" s="71">
        <f t="shared" si="379"/>
        <v>0</v>
      </c>
      <c r="BE987" s="102">
        <f t="shared" si="380"/>
        <v>4.4721359549995796</v>
      </c>
      <c r="BF987" s="81">
        <f t="shared" si="381"/>
        <v>9.3924867883288243E-14</v>
      </c>
      <c r="BG987" s="81" t="str">
        <f t="shared" si="382"/>
        <v>BASSO</v>
      </c>
      <c r="BK987" s="81" t="str">
        <f t="shared" si="383"/>
        <v>MOLTO BASSO</v>
      </c>
    </row>
    <row r="988" spans="7:63" x14ac:dyDescent="0.15">
      <c r="G988" s="64">
        <f t="shared" si="360"/>
        <v>0</v>
      </c>
      <c r="I988" s="64">
        <f t="shared" si="361"/>
        <v>0</v>
      </c>
      <c r="K988" s="64">
        <f t="shared" si="362"/>
        <v>0</v>
      </c>
      <c r="M988" s="64">
        <f t="shared" si="363"/>
        <v>0</v>
      </c>
      <c r="O988" s="64">
        <f t="shared" si="364"/>
        <v>0</v>
      </c>
      <c r="Q988" s="64">
        <f t="shared" si="365"/>
        <v>0</v>
      </c>
      <c r="S988" s="71">
        <f t="shared" si="366"/>
        <v>0</v>
      </c>
      <c r="U988" s="64">
        <f t="shared" si="367"/>
        <v>0</v>
      </c>
      <c r="W988" s="71">
        <f t="shared" si="368"/>
        <v>0</v>
      </c>
      <c r="Y988" s="71">
        <f t="shared" si="369"/>
        <v>0</v>
      </c>
      <c r="AA988" s="71">
        <f t="shared" si="370"/>
        <v>0</v>
      </c>
      <c r="AC988" s="71">
        <f t="shared" si="371"/>
        <v>0</v>
      </c>
      <c r="AK988" s="71">
        <f t="shared" si="372"/>
        <v>0</v>
      </c>
      <c r="AM988" s="71">
        <f t="shared" si="373"/>
        <v>0</v>
      </c>
      <c r="AO988" s="71">
        <f t="shared" si="374"/>
        <v>0</v>
      </c>
      <c r="AQ988" s="71">
        <f t="shared" si="375"/>
        <v>0</v>
      </c>
      <c r="AT988" s="71">
        <f t="shared" si="376"/>
        <v>0</v>
      </c>
      <c r="AV988" s="71">
        <f t="shared" si="377"/>
        <v>0</v>
      </c>
      <c r="AX988" s="71">
        <f t="shared" si="378"/>
        <v>0</v>
      </c>
      <c r="AZ988" s="71">
        <f t="shared" si="379"/>
        <v>0</v>
      </c>
      <c r="BE988" s="102">
        <f t="shared" si="380"/>
        <v>4.4721359549995796</v>
      </c>
      <c r="BF988" s="81">
        <f t="shared" si="381"/>
        <v>9.3924867883288243E-14</v>
      </c>
      <c r="BG988" s="81" t="str">
        <f t="shared" si="382"/>
        <v>BASSO</v>
      </c>
      <c r="BK988" s="81" t="str">
        <f t="shared" si="383"/>
        <v>MOLTO BASSO</v>
      </c>
    </row>
    <row r="989" spans="7:63" x14ac:dyDescent="0.15">
      <c r="G989" s="64">
        <f t="shared" si="360"/>
        <v>0</v>
      </c>
      <c r="I989" s="64">
        <f t="shared" si="361"/>
        <v>0</v>
      </c>
      <c r="K989" s="64">
        <f t="shared" si="362"/>
        <v>0</v>
      </c>
      <c r="M989" s="64">
        <f t="shared" si="363"/>
        <v>0</v>
      </c>
      <c r="O989" s="64">
        <f t="shared" si="364"/>
        <v>0</v>
      </c>
      <c r="Q989" s="64">
        <f t="shared" si="365"/>
        <v>0</v>
      </c>
      <c r="S989" s="71">
        <f t="shared" si="366"/>
        <v>0</v>
      </c>
      <c r="U989" s="64">
        <f t="shared" si="367"/>
        <v>0</v>
      </c>
      <c r="W989" s="71">
        <f t="shared" si="368"/>
        <v>0</v>
      </c>
      <c r="Y989" s="71">
        <f t="shared" si="369"/>
        <v>0</v>
      </c>
      <c r="AA989" s="71">
        <f t="shared" si="370"/>
        <v>0</v>
      </c>
      <c r="AC989" s="71">
        <f t="shared" si="371"/>
        <v>0</v>
      </c>
      <c r="AK989" s="71">
        <f t="shared" si="372"/>
        <v>0</v>
      </c>
      <c r="AM989" s="71">
        <f t="shared" si="373"/>
        <v>0</v>
      </c>
      <c r="AO989" s="71">
        <f t="shared" si="374"/>
        <v>0</v>
      </c>
      <c r="AQ989" s="71">
        <f t="shared" si="375"/>
        <v>0</v>
      </c>
      <c r="AT989" s="71">
        <f t="shared" si="376"/>
        <v>0</v>
      </c>
      <c r="AV989" s="71">
        <f t="shared" si="377"/>
        <v>0</v>
      </c>
      <c r="AX989" s="71">
        <f t="shared" si="378"/>
        <v>0</v>
      </c>
      <c r="AZ989" s="71">
        <f t="shared" si="379"/>
        <v>0</v>
      </c>
      <c r="BE989" s="102">
        <f t="shared" si="380"/>
        <v>4.4721359549995796</v>
      </c>
      <c r="BF989" s="81">
        <f t="shared" si="381"/>
        <v>9.3924867883288243E-14</v>
      </c>
      <c r="BG989" s="81" t="str">
        <f t="shared" si="382"/>
        <v>BASSO</v>
      </c>
      <c r="BK989" s="81" t="str">
        <f t="shared" si="383"/>
        <v>MOLTO BASSO</v>
      </c>
    </row>
    <row r="990" spans="7:63" x14ac:dyDescent="0.15">
      <c r="G990" s="64">
        <f t="shared" si="360"/>
        <v>0</v>
      </c>
      <c r="I990" s="64">
        <f t="shared" si="361"/>
        <v>0</v>
      </c>
      <c r="K990" s="64">
        <f t="shared" si="362"/>
        <v>0</v>
      </c>
      <c r="M990" s="64">
        <f t="shared" si="363"/>
        <v>0</v>
      </c>
      <c r="O990" s="64">
        <f t="shared" si="364"/>
        <v>0</v>
      </c>
      <c r="Q990" s="64">
        <f t="shared" si="365"/>
        <v>0</v>
      </c>
      <c r="S990" s="71">
        <f t="shared" si="366"/>
        <v>0</v>
      </c>
      <c r="U990" s="64">
        <f t="shared" si="367"/>
        <v>0</v>
      </c>
      <c r="W990" s="71">
        <f t="shared" si="368"/>
        <v>0</v>
      </c>
      <c r="Y990" s="71">
        <f t="shared" si="369"/>
        <v>0</v>
      </c>
      <c r="AA990" s="71">
        <f t="shared" si="370"/>
        <v>0</v>
      </c>
      <c r="AC990" s="71">
        <f t="shared" si="371"/>
        <v>0</v>
      </c>
      <c r="AK990" s="71">
        <f t="shared" si="372"/>
        <v>0</v>
      </c>
      <c r="AM990" s="71">
        <f t="shared" si="373"/>
        <v>0</v>
      </c>
      <c r="AO990" s="71">
        <f t="shared" si="374"/>
        <v>0</v>
      </c>
      <c r="AQ990" s="71">
        <f t="shared" si="375"/>
        <v>0</v>
      </c>
      <c r="AT990" s="71">
        <f t="shared" si="376"/>
        <v>0</v>
      </c>
      <c r="AV990" s="71">
        <f t="shared" si="377"/>
        <v>0</v>
      </c>
      <c r="AX990" s="71">
        <f t="shared" si="378"/>
        <v>0</v>
      </c>
      <c r="AZ990" s="71">
        <f t="shared" si="379"/>
        <v>0</v>
      </c>
      <c r="BE990" s="102">
        <f t="shared" si="380"/>
        <v>4.4721359549995796</v>
      </c>
      <c r="BF990" s="81">
        <f t="shared" si="381"/>
        <v>9.3924867883288243E-14</v>
      </c>
      <c r="BG990" s="81" t="str">
        <f t="shared" si="382"/>
        <v>BASSO</v>
      </c>
      <c r="BK990" s="81" t="str">
        <f t="shared" si="383"/>
        <v>MOLTO BASSO</v>
      </c>
    </row>
    <row r="991" spans="7:63" x14ac:dyDescent="0.15">
      <c r="G991" s="64">
        <f t="shared" si="360"/>
        <v>0</v>
      </c>
      <c r="I991" s="64">
        <f t="shared" si="361"/>
        <v>0</v>
      </c>
      <c r="K991" s="64">
        <f t="shared" si="362"/>
        <v>0</v>
      </c>
      <c r="M991" s="64">
        <f t="shared" si="363"/>
        <v>0</v>
      </c>
      <c r="O991" s="64">
        <f t="shared" si="364"/>
        <v>0</v>
      </c>
      <c r="Q991" s="64">
        <f t="shared" si="365"/>
        <v>0</v>
      </c>
      <c r="S991" s="71">
        <f t="shared" si="366"/>
        <v>0</v>
      </c>
      <c r="U991" s="64">
        <f t="shared" si="367"/>
        <v>0</v>
      </c>
      <c r="W991" s="71">
        <f t="shared" si="368"/>
        <v>0</v>
      </c>
      <c r="Y991" s="71">
        <f t="shared" si="369"/>
        <v>0</v>
      </c>
      <c r="AA991" s="71">
        <f t="shared" si="370"/>
        <v>0</v>
      </c>
      <c r="AC991" s="71">
        <f t="shared" si="371"/>
        <v>0</v>
      </c>
      <c r="AK991" s="71">
        <f t="shared" si="372"/>
        <v>0</v>
      </c>
      <c r="AM991" s="71">
        <f t="shared" si="373"/>
        <v>0</v>
      </c>
      <c r="AO991" s="71">
        <f t="shared" si="374"/>
        <v>0</v>
      </c>
      <c r="AQ991" s="71">
        <f t="shared" si="375"/>
        <v>0</v>
      </c>
      <c r="AT991" s="71">
        <f t="shared" si="376"/>
        <v>0</v>
      </c>
      <c r="AV991" s="71">
        <f t="shared" si="377"/>
        <v>0</v>
      </c>
      <c r="AX991" s="71">
        <f t="shared" si="378"/>
        <v>0</v>
      </c>
      <c r="AZ991" s="71">
        <f t="shared" si="379"/>
        <v>0</v>
      </c>
      <c r="BE991" s="102">
        <f t="shared" si="380"/>
        <v>4.4721359549995796</v>
      </c>
      <c r="BF991" s="81">
        <f t="shared" si="381"/>
        <v>9.3924867883288243E-14</v>
      </c>
      <c r="BG991" s="81" t="str">
        <f t="shared" si="382"/>
        <v>BASSO</v>
      </c>
      <c r="BK991" s="81" t="str">
        <f t="shared" si="383"/>
        <v>MOLTO BASSO</v>
      </c>
    </row>
    <row r="992" spans="7:63" x14ac:dyDescent="0.15">
      <c r="G992" s="64">
        <f t="shared" si="360"/>
        <v>0</v>
      </c>
      <c r="I992" s="64">
        <f t="shared" si="361"/>
        <v>0</v>
      </c>
      <c r="K992" s="64">
        <f t="shared" si="362"/>
        <v>0</v>
      </c>
      <c r="M992" s="64">
        <f t="shared" si="363"/>
        <v>0</v>
      </c>
      <c r="O992" s="64">
        <f t="shared" si="364"/>
        <v>0</v>
      </c>
      <c r="Q992" s="64">
        <f t="shared" si="365"/>
        <v>0</v>
      </c>
      <c r="S992" s="71">
        <f t="shared" si="366"/>
        <v>0</v>
      </c>
      <c r="U992" s="64">
        <f t="shared" si="367"/>
        <v>0</v>
      </c>
      <c r="W992" s="71">
        <f t="shared" si="368"/>
        <v>0</v>
      </c>
      <c r="Y992" s="71">
        <f t="shared" si="369"/>
        <v>0</v>
      </c>
      <c r="AA992" s="71">
        <f t="shared" si="370"/>
        <v>0</v>
      </c>
      <c r="AC992" s="71">
        <f t="shared" si="371"/>
        <v>0</v>
      </c>
      <c r="AK992" s="71">
        <f t="shared" si="372"/>
        <v>0</v>
      </c>
      <c r="AM992" s="71">
        <f t="shared" si="373"/>
        <v>0</v>
      </c>
      <c r="AO992" s="71">
        <f t="shared" si="374"/>
        <v>0</v>
      </c>
      <c r="AQ992" s="71">
        <f t="shared" si="375"/>
        <v>0</v>
      </c>
      <c r="AT992" s="71">
        <f t="shared" si="376"/>
        <v>0</v>
      </c>
      <c r="AV992" s="71">
        <f t="shared" si="377"/>
        <v>0</v>
      </c>
      <c r="AX992" s="71">
        <f t="shared" si="378"/>
        <v>0</v>
      </c>
      <c r="AZ992" s="71">
        <f t="shared" si="379"/>
        <v>0</v>
      </c>
      <c r="BE992" s="102">
        <f t="shared" si="380"/>
        <v>4.4721359549995796</v>
      </c>
      <c r="BF992" s="81">
        <f t="shared" si="381"/>
        <v>9.3924867883288243E-14</v>
      </c>
      <c r="BG992" s="81" t="str">
        <f t="shared" si="382"/>
        <v>BASSO</v>
      </c>
      <c r="BK992" s="81" t="str">
        <f t="shared" si="383"/>
        <v>MOLTO BASSO</v>
      </c>
    </row>
    <row r="993" spans="7:63" x14ac:dyDescent="0.15">
      <c r="G993" s="64">
        <f t="shared" si="360"/>
        <v>0</v>
      </c>
      <c r="I993" s="64">
        <f t="shared" si="361"/>
        <v>0</v>
      </c>
      <c r="K993" s="64">
        <f t="shared" si="362"/>
        <v>0</v>
      </c>
      <c r="M993" s="64">
        <f t="shared" si="363"/>
        <v>0</v>
      </c>
      <c r="O993" s="64">
        <f t="shared" si="364"/>
        <v>0</v>
      </c>
      <c r="Q993" s="64">
        <f t="shared" si="365"/>
        <v>0</v>
      </c>
      <c r="S993" s="71">
        <f t="shared" si="366"/>
        <v>0</v>
      </c>
      <c r="U993" s="64">
        <f t="shared" si="367"/>
        <v>0</v>
      </c>
      <c r="W993" s="71">
        <f t="shared" si="368"/>
        <v>0</v>
      </c>
      <c r="Y993" s="71">
        <f t="shared" si="369"/>
        <v>0</v>
      </c>
      <c r="AA993" s="71">
        <f t="shared" si="370"/>
        <v>0</v>
      </c>
      <c r="AC993" s="71">
        <f t="shared" si="371"/>
        <v>0</v>
      </c>
      <c r="AK993" s="71">
        <f t="shared" si="372"/>
        <v>0</v>
      </c>
      <c r="AM993" s="71">
        <f t="shared" si="373"/>
        <v>0</v>
      </c>
      <c r="AO993" s="71">
        <f t="shared" si="374"/>
        <v>0</v>
      </c>
      <c r="AQ993" s="71">
        <f t="shared" si="375"/>
        <v>0</v>
      </c>
      <c r="AT993" s="71">
        <f t="shared" si="376"/>
        <v>0</v>
      </c>
      <c r="AV993" s="71">
        <f t="shared" si="377"/>
        <v>0</v>
      </c>
      <c r="AX993" s="71">
        <f t="shared" si="378"/>
        <v>0</v>
      </c>
      <c r="AZ993" s="71">
        <f t="shared" si="379"/>
        <v>0</v>
      </c>
      <c r="BE993" s="102">
        <f t="shared" si="380"/>
        <v>4.4721359549995796</v>
      </c>
      <c r="BF993" s="81">
        <f t="shared" si="381"/>
        <v>9.3924867883288243E-14</v>
      </c>
      <c r="BG993" s="81" t="str">
        <f t="shared" si="382"/>
        <v>BASSO</v>
      </c>
      <c r="BK993" s="81" t="str">
        <f t="shared" si="383"/>
        <v>MOLTO BASSO</v>
      </c>
    </row>
    <row r="994" spans="7:63" x14ac:dyDescent="0.15">
      <c r="G994" s="64">
        <f t="shared" si="360"/>
        <v>0</v>
      </c>
      <c r="I994" s="64">
        <f t="shared" si="361"/>
        <v>0</v>
      </c>
      <c r="K994" s="64">
        <f t="shared" si="362"/>
        <v>0</v>
      </c>
      <c r="M994" s="64">
        <f t="shared" si="363"/>
        <v>0</v>
      </c>
      <c r="O994" s="64">
        <f t="shared" si="364"/>
        <v>0</v>
      </c>
      <c r="Q994" s="64">
        <f t="shared" si="365"/>
        <v>0</v>
      </c>
      <c r="S994" s="71">
        <f t="shared" si="366"/>
        <v>0</v>
      </c>
      <c r="U994" s="64">
        <f t="shared" si="367"/>
        <v>0</v>
      </c>
      <c r="W994" s="71">
        <f t="shared" si="368"/>
        <v>0</v>
      </c>
      <c r="Y994" s="71">
        <f t="shared" si="369"/>
        <v>0</v>
      </c>
      <c r="AA994" s="71">
        <f t="shared" si="370"/>
        <v>0</v>
      </c>
      <c r="AC994" s="71">
        <f t="shared" si="371"/>
        <v>0</v>
      </c>
      <c r="AK994" s="71">
        <f t="shared" si="372"/>
        <v>0</v>
      </c>
      <c r="AM994" s="71">
        <f t="shared" si="373"/>
        <v>0</v>
      </c>
      <c r="AO994" s="71">
        <f t="shared" si="374"/>
        <v>0</v>
      </c>
      <c r="AQ994" s="71">
        <f t="shared" si="375"/>
        <v>0</v>
      </c>
      <c r="AT994" s="71">
        <f t="shared" si="376"/>
        <v>0</v>
      </c>
      <c r="AV994" s="71">
        <f t="shared" si="377"/>
        <v>0</v>
      </c>
      <c r="AX994" s="71">
        <f t="shared" si="378"/>
        <v>0</v>
      </c>
      <c r="AZ994" s="71">
        <f t="shared" si="379"/>
        <v>0</v>
      </c>
      <c r="BE994" s="102">
        <f t="shared" si="380"/>
        <v>4.4721359549995796</v>
      </c>
      <c r="BF994" s="81">
        <f t="shared" si="381"/>
        <v>9.3924867883288243E-14</v>
      </c>
      <c r="BG994" s="81" t="str">
        <f t="shared" si="382"/>
        <v>BASSO</v>
      </c>
      <c r="BK994" s="81" t="str">
        <f t="shared" si="383"/>
        <v>MOLTO BASSO</v>
      </c>
    </row>
    <row r="995" spans="7:63" x14ac:dyDescent="0.15">
      <c r="G995" s="64">
        <f t="shared" si="360"/>
        <v>0</v>
      </c>
      <c r="I995" s="64">
        <f t="shared" si="361"/>
        <v>0</v>
      </c>
      <c r="K995" s="64">
        <f t="shared" si="362"/>
        <v>0</v>
      </c>
      <c r="M995" s="64">
        <f t="shared" si="363"/>
        <v>0</v>
      </c>
      <c r="O995" s="64">
        <f t="shared" si="364"/>
        <v>0</v>
      </c>
      <c r="Q995" s="64">
        <f t="shared" si="365"/>
        <v>0</v>
      </c>
      <c r="S995" s="71">
        <f t="shared" si="366"/>
        <v>0</v>
      </c>
      <c r="U995" s="64">
        <f t="shared" si="367"/>
        <v>0</v>
      </c>
      <c r="W995" s="71">
        <f t="shared" si="368"/>
        <v>0</v>
      </c>
      <c r="Y995" s="71">
        <f t="shared" si="369"/>
        <v>0</v>
      </c>
      <c r="AA995" s="71">
        <f t="shared" si="370"/>
        <v>0</v>
      </c>
      <c r="AC995" s="71">
        <f t="shared" si="371"/>
        <v>0</v>
      </c>
      <c r="AK995" s="71">
        <f t="shared" si="372"/>
        <v>0</v>
      </c>
      <c r="AM995" s="71">
        <f t="shared" si="373"/>
        <v>0</v>
      </c>
      <c r="AO995" s="71">
        <f t="shared" si="374"/>
        <v>0</v>
      </c>
      <c r="AQ995" s="71">
        <f t="shared" si="375"/>
        <v>0</v>
      </c>
      <c r="AT995" s="71">
        <f t="shared" si="376"/>
        <v>0</v>
      </c>
      <c r="AV995" s="71">
        <f t="shared" si="377"/>
        <v>0</v>
      </c>
      <c r="AX995" s="71">
        <f t="shared" si="378"/>
        <v>0</v>
      </c>
      <c r="AZ995" s="71">
        <f t="shared" si="379"/>
        <v>0</v>
      </c>
      <c r="BE995" s="102">
        <f t="shared" si="380"/>
        <v>4.4721359549995796</v>
      </c>
      <c r="BF995" s="81">
        <f t="shared" si="381"/>
        <v>9.3924867883288243E-14</v>
      </c>
      <c r="BG995" s="81" t="str">
        <f t="shared" si="382"/>
        <v>BASSO</v>
      </c>
      <c r="BK995" s="81" t="str">
        <f t="shared" si="383"/>
        <v>MOLTO BASSO</v>
      </c>
    </row>
    <row r="996" spans="7:63" x14ac:dyDescent="0.15">
      <c r="G996" s="64">
        <f t="shared" si="360"/>
        <v>0</v>
      </c>
      <c r="I996" s="64">
        <f t="shared" si="361"/>
        <v>0</v>
      </c>
      <c r="K996" s="64">
        <f t="shared" si="362"/>
        <v>0</v>
      </c>
      <c r="M996" s="64">
        <f t="shared" si="363"/>
        <v>0</v>
      </c>
      <c r="O996" s="64">
        <f t="shared" si="364"/>
        <v>0</v>
      </c>
      <c r="Q996" s="64">
        <f t="shared" si="365"/>
        <v>0</v>
      </c>
      <c r="S996" s="71">
        <f t="shared" si="366"/>
        <v>0</v>
      </c>
      <c r="U996" s="64">
        <f t="shared" si="367"/>
        <v>0</v>
      </c>
      <c r="W996" s="71">
        <f t="shared" si="368"/>
        <v>0</v>
      </c>
      <c r="Y996" s="71">
        <f t="shared" si="369"/>
        <v>0</v>
      </c>
      <c r="AA996" s="71">
        <f t="shared" si="370"/>
        <v>0</v>
      </c>
      <c r="AC996" s="71">
        <f t="shared" si="371"/>
        <v>0</v>
      </c>
      <c r="AK996" s="71">
        <f t="shared" si="372"/>
        <v>0</v>
      </c>
      <c r="AM996" s="71">
        <f t="shared" si="373"/>
        <v>0</v>
      </c>
      <c r="AO996" s="71">
        <f t="shared" si="374"/>
        <v>0</v>
      </c>
      <c r="AQ996" s="71">
        <f t="shared" si="375"/>
        <v>0</v>
      </c>
      <c r="AT996" s="71">
        <f t="shared" si="376"/>
        <v>0</v>
      </c>
      <c r="AV996" s="71">
        <f t="shared" si="377"/>
        <v>0</v>
      </c>
      <c r="AX996" s="71">
        <f t="shared" si="378"/>
        <v>0</v>
      </c>
      <c r="AZ996" s="71">
        <f t="shared" si="379"/>
        <v>0</v>
      </c>
      <c r="BE996" s="102">
        <f t="shared" si="380"/>
        <v>4.4721359549995796</v>
      </c>
      <c r="BF996" s="81">
        <f t="shared" si="381"/>
        <v>9.3924867883288243E-14</v>
      </c>
      <c r="BG996" s="81" t="str">
        <f t="shared" si="382"/>
        <v>BASSO</v>
      </c>
      <c r="BK996" s="81" t="str">
        <f t="shared" si="383"/>
        <v>MOLTO BASSO</v>
      </c>
    </row>
    <row r="997" spans="7:63" x14ac:dyDescent="0.15">
      <c r="G997" s="64">
        <f t="shared" si="360"/>
        <v>0</v>
      </c>
      <c r="I997" s="64">
        <f t="shared" si="361"/>
        <v>0</v>
      </c>
      <c r="K997" s="64">
        <f t="shared" si="362"/>
        <v>0</v>
      </c>
      <c r="M997" s="64">
        <f t="shared" si="363"/>
        <v>0</v>
      </c>
      <c r="O997" s="64">
        <f t="shared" si="364"/>
        <v>0</v>
      </c>
      <c r="Q997" s="64">
        <f t="shared" si="365"/>
        <v>0</v>
      </c>
      <c r="S997" s="71">
        <f t="shared" si="366"/>
        <v>0</v>
      </c>
      <c r="U997" s="64">
        <f t="shared" si="367"/>
        <v>0</v>
      </c>
      <c r="W997" s="71">
        <f t="shared" si="368"/>
        <v>0</v>
      </c>
      <c r="Y997" s="71">
        <f t="shared" si="369"/>
        <v>0</v>
      </c>
      <c r="AA997" s="71">
        <f t="shared" si="370"/>
        <v>0</v>
      </c>
      <c r="AC997" s="71">
        <f t="shared" si="371"/>
        <v>0</v>
      </c>
      <c r="AK997" s="71">
        <f t="shared" si="372"/>
        <v>0</v>
      </c>
      <c r="AM997" s="71">
        <f t="shared" si="373"/>
        <v>0</v>
      </c>
      <c r="AO997" s="71">
        <f t="shared" si="374"/>
        <v>0</v>
      </c>
      <c r="AQ997" s="71">
        <f t="shared" si="375"/>
        <v>0</v>
      </c>
      <c r="AT997" s="71">
        <f t="shared" si="376"/>
        <v>0</v>
      </c>
      <c r="AV997" s="71">
        <f t="shared" si="377"/>
        <v>0</v>
      </c>
      <c r="AX997" s="71">
        <f t="shared" si="378"/>
        <v>0</v>
      </c>
      <c r="AZ997" s="71">
        <f t="shared" si="379"/>
        <v>0</v>
      </c>
      <c r="BE997" s="102">
        <f t="shared" si="380"/>
        <v>4.4721359549995796</v>
      </c>
      <c r="BF997" s="81">
        <f t="shared" si="381"/>
        <v>9.3924867883288243E-14</v>
      </c>
      <c r="BG997" s="81" t="str">
        <f t="shared" si="382"/>
        <v>BASSO</v>
      </c>
      <c r="BK997" s="81" t="str">
        <f t="shared" si="383"/>
        <v>MOLTO BASSO</v>
      </c>
    </row>
    <row r="998" spans="7:63" x14ac:dyDescent="0.15">
      <c r="G998" s="64">
        <f t="shared" si="360"/>
        <v>0</v>
      </c>
      <c r="I998" s="64">
        <f t="shared" si="361"/>
        <v>0</v>
      </c>
      <c r="K998" s="64">
        <f t="shared" si="362"/>
        <v>0</v>
      </c>
      <c r="M998" s="64">
        <f t="shared" si="363"/>
        <v>0</v>
      </c>
      <c r="O998" s="64">
        <f t="shared" si="364"/>
        <v>0</v>
      </c>
      <c r="Q998" s="64">
        <f t="shared" si="365"/>
        <v>0</v>
      </c>
      <c r="S998" s="71">
        <f t="shared" si="366"/>
        <v>0</v>
      </c>
      <c r="U998" s="64">
        <f t="shared" si="367"/>
        <v>0</v>
      </c>
      <c r="W998" s="71">
        <f t="shared" si="368"/>
        <v>0</v>
      </c>
      <c r="Y998" s="71">
        <f t="shared" si="369"/>
        <v>0</v>
      </c>
      <c r="AA998" s="71">
        <f t="shared" si="370"/>
        <v>0</v>
      </c>
      <c r="AC998" s="71">
        <f t="shared" si="371"/>
        <v>0</v>
      </c>
      <c r="AK998" s="71">
        <f t="shared" si="372"/>
        <v>0</v>
      </c>
      <c r="AM998" s="71">
        <f t="shared" si="373"/>
        <v>0</v>
      </c>
      <c r="AO998" s="71">
        <f t="shared" si="374"/>
        <v>0</v>
      </c>
      <c r="AQ998" s="71">
        <f t="shared" si="375"/>
        <v>0</v>
      </c>
      <c r="AT998" s="71">
        <f t="shared" si="376"/>
        <v>0</v>
      </c>
      <c r="AV998" s="71">
        <f t="shared" si="377"/>
        <v>0</v>
      </c>
      <c r="AX998" s="71">
        <f t="shared" si="378"/>
        <v>0</v>
      </c>
      <c r="AZ998" s="71">
        <f t="shared" si="379"/>
        <v>0</v>
      </c>
      <c r="BE998" s="102">
        <f t="shared" si="380"/>
        <v>4.4721359549995796</v>
      </c>
      <c r="BF998" s="81">
        <f t="shared" si="381"/>
        <v>9.3924867883288243E-14</v>
      </c>
      <c r="BG998" s="81" t="str">
        <f t="shared" si="382"/>
        <v>BASSO</v>
      </c>
      <c r="BK998" s="81" t="str">
        <f t="shared" si="383"/>
        <v>MOLTO BASSO</v>
      </c>
    </row>
    <row r="999" spans="7:63" x14ac:dyDescent="0.15">
      <c r="G999" s="64">
        <f t="shared" si="360"/>
        <v>0</v>
      </c>
      <c r="I999" s="64">
        <f t="shared" si="361"/>
        <v>0</v>
      </c>
      <c r="K999" s="64">
        <f t="shared" si="362"/>
        <v>0</v>
      </c>
      <c r="M999" s="64">
        <f t="shared" si="363"/>
        <v>0</v>
      </c>
      <c r="O999" s="64">
        <f t="shared" si="364"/>
        <v>0</v>
      </c>
      <c r="Q999" s="64">
        <f t="shared" si="365"/>
        <v>0</v>
      </c>
      <c r="S999" s="71">
        <f t="shared" si="366"/>
        <v>0</v>
      </c>
      <c r="U999" s="64">
        <f t="shared" si="367"/>
        <v>0</v>
      </c>
      <c r="W999" s="71">
        <f t="shared" si="368"/>
        <v>0</v>
      </c>
      <c r="Y999" s="71">
        <f t="shared" si="369"/>
        <v>0</v>
      </c>
      <c r="AA999" s="71">
        <f t="shared" si="370"/>
        <v>0</v>
      </c>
      <c r="AC999" s="71">
        <f t="shared" si="371"/>
        <v>0</v>
      </c>
      <c r="AK999" s="71">
        <f t="shared" si="372"/>
        <v>0</v>
      </c>
      <c r="AM999" s="71">
        <f t="shared" si="373"/>
        <v>0</v>
      </c>
      <c r="AO999" s="71">
        <f t="shared" si="374"/>
        <v>0</v>
      </c>
      <c r="AQ999" s="71">
        <f t="shared" si="375"/>
        <v>0</v>
      </c>
      <c r="AT999" s="71">
        <f t="shared" si="376"/>
        <v>0</v>
      </c>
      <c r="AV999" s="71">
        <f t="shared" si="377"/>
        <v>0</v>
      </c>
      <c r="AX999" s="71">
        <f t="shared" si="378"/>
        <v>0</v>
      </c>
      <c r="AZ999" s="71">
        <f t="shared" si="379"/>
        <v>0</v>
      </c>
      <c r="BE999" s="102">
        <f t="shared" si="380"/>
        <v>4.4721359549995796</v>
      </c>
      <c r="BF999" s="81">
        <f t="shared" si="381"/>
        <v>9.3924867883288243E-14</v>
      </c>
      <c r="BG999" s="81" t="str">
        <f t="shared" si="382"/>
        <v>BASSO</v>
      </c>
      <c r="BK999" s="81" t="str">
        <f t="shared" si="383"/>
        <v>MOLTO BASSO</v>
      </c>
    </row>
    <row r="1000" spans="7:63" x14ac:dyDescent="0.15">
      <c r="G1000" s="64">
        <f t="shared" ref="G1000:G1063" si="384">F1001/2</f>
        <v>0</v>
      </c>
      <c r="I1000" s="64">
        <f t="shared" si="361"/>
        <v>0</v>
      </c>
      <c r="K1000" s="64">
        <f t="shared" si="362"/>
        <v>0</v>
      </c>
      <c r="M1000" s="64">
        <f t="shared" si="363"/>
        <v>0</v>
      </c>
      <c r="O1000" s="64">
        <f t="shared" si="364"/>
        <v>0</v>
      </c>
      <c r="Q1000" s="64">
        <f t="shared" si="365"/>
        <v>0</v>
      </c>
      <c r="S1000" s="71">
        <f t="shared" si="366"/>
        <v>0</v>
      </c>
      <c r="U1000" s="64">
        <f t="shared" si="367"/>
        <v>0</v>
      </c>
      <c r="W1000" s="71">
        <f t="shared" si="368"/>
        <v>0</v>
      </c>
      <c r="Y1000" s="71">
        <f t="shared" si="369"/>
        <v>0</v>
      </c>
      <c r="AA1000" s="71">
        <f t="shared" si="370"/>
        <v>0</v>
      </c>
      <c r="AC1000" s="71">
        <f t="shared" si="371"/>
        <v>0</v>
      </c>
      <c r="AK1000" s="71">
        <f t="shared" si="372"/>
        <v>0</v>
      </c>
      <c r="AM1000" s="71">
        <f t="shared" si="373"/>
        <v>0</v>
      </c>
      <c r="AO1000" s="71">
        <f t="shared" si="374"/>
        <v>0</v>
      </c>
      <c r="AQ1000" s="71">
        <f t="shared" si="375"/>
        <v>0</v>
      </c>
      <c r="AT1000" s="71">
        <f t="shared" si="376"/>
        <v>0</v>
      </c>
      <c r="AV1000" s="71">
        <f t="shared" si="377"/>
        <v>0</v>
      </c>
      <c r="AX1000" s="71">
        <f t="shared" si="378"/>
        <v>0</v>
      </c>
      <c r="AZ1000" s="71">
        <f t="shared" si="379"/>
        <v>0</v>
      </c>
      <c r="BE1000" s="102">
        <f t="shared" si="380"/>
        <v>4.4721359549995796</v>
      </c>
      <c r="BF1000" s="81">
        <f t="shared" si="381"/>
        <v>9.3924867883288243E-14</v>
      </c>
      <c r="BG1000" s="81" t="str">
        <f t="shared" si="382"/>
        <v>BASSO</v>
      </c>
      <c r="BK1000" s="81" t="str">
        <f t="shared" si="383"/>
        <v>MOLTO BASSO</v>
      </c>
    </row>
    <row r="1001" spans="7:63" x14ac:dyDescent="0.15">
      <c r="G1001" s="64">
        <f t="shared" si="384"/>
        <v>0</v>
      </c>
      <c r="I1001" s="64">
        <f t="shared" si="361"/>
        <v>0</v>
      </c>
      <c r="K1001" s="64">
        <f t="shared" si="362"/>
        <v>0</v>
      </c>
      <c r="M1001" s="64">
        <f t="shared" si="363"/>
        <v>0</v>
      </c>
      <c r="O1001" s="64">
        <f t="shared" si="364"/>
        <v>0</v>
      </c>
      <c r="Q1001" s="64">
        <f t="shared" si="365"/>
        <v>0</v>
      </c>
      <c r="S1001" s="71">
        <f t="shared" si="366"/>
        <v>0</v>
      </c>
      <c r="U1001" s="64">
        <f t="shared" si="367"/>
        <v>0</v>
      </c>
      <c r="W1001" s="71">
        <f t="shared" si="368"/>
        <v>0</v>
      </c>
      <c r="Y1001" s="71">
        <f t="shared" si="369"/>
        <v>0</v>
      </c>
      <c r="AA1001" s="71">
        <f t="shared" si="370"/>
        <v>0</v>
      </c>
      <c r="AC1001" s="71">
        <f t="shared" si="371"/>
        <v>0</v>
      </c>
      <c r="AK1001" s="71">
        <f t="shared" si="372"/>
        <v>0</v>
      </c>
      <c r="AM1001" s="71">
        <f t="shared" si="373"/>
        <v>0</v>
      </c>
      <c r="AO1001" s="71">
        <f t="shared" si="374"/>
        <v>0</v>
      </c>
      <c r="AQ1001" s="71">
        <f t="shared" si="375"/>
        <v>0</v>
      </c>
      <c r="AT1001" s="71">
        <f t="shared" si="376"/>
        <v>0</v>
      </c>
      <c r="AV1001" s="71">
        <f t="shared" si="377"/>
        <v>0</v>
      </c>
      <c r="AX1001" s="71">
        <f t="shared" si="378"/>
        <v>0</v>
      </c>
      <c r="AZ1001" s="71">
        <f t="shared" si="379"/>
        <v>0</v>
      </c>
      <c r="BE1001" s="102">
        <f t="shared" si="380"/>
        <v>4.4721359549995796</v>
      </c>
      <c r="BF1001" s="81">
        <f t="shared" si="381"/>
        <v>9.3924867883288243E-14</v>
      </c>
      <c r="BG1001" s="81" t="str">
        <f t="shared" si="382"/>
        <v>BASSO</v>
      </c>
      <c r="BK1001" s="81" t="str">
        <f t="shared" si="383"/>
        <v>MOLTO BASSO</v>
      </c>
    </row>
    <row r="1002" spans="7:63" x14ac:dyDescent="0.15">
      <c r="G1002" s="64">
        <f t="shared" si="384"/>
        <v>0</v>
      </c>
      <c r="I1002" s="64">
        <f t="shared" si="361"/>
        <v>0</v>
      </c>
      <c r="K1002" s="64">
        <f t="shared" si="362"/>
        <v>0</v>
      </c>
      <c r="M1002" s="64">
        <f t="shared" si="363"/>
        <v>0</v>
      </c>
      <c r="O1002" s="64">
        <f t="shared" si="364"/>
        <v>0</v>
      </c>
      <c r="Q1002" s="64">
        <f t="shared" si="365"/>
        <v>0</v>
      </c>
      <c r="S1002" s="71">
        <f t="shared" si="366"/>
        <v>0</v>
      </c>
      <c r="U1002" s="64">
        <f t="shared" si="367"/>
        <v>0</v>
      </c>
      <c r="W1002" s="71">
        <f t="shared" si="368"/>
        <v>0</v>
      </c>
      <c r="Y1002" s="71">
        <f t="shared" si="369"/>
        <v>0</v>
      </c>
      <c r="AA1002" s="71">
        <f t="shared" si="370"/>
        <v>0</v>
      </c>
      <c r="AC1002" s="71">
        <f t="shared" si="371"/>
        <v>0</v>
      </c>
      <c r="AK1002" s="71">
        <f t="shared" si="372"/>
        <v>0</v>
      </c>
      <c r="AM1002" s="71">
        <f t="shared" si="373"/>
        <v>0</v>
      </c>
      <c r="AO1002" s="71">
        <f t="shared" si="374"/>
        <v>0</v>
      </c>
      <c r="AQ1002" s="71">
        <f t="shared" si="375"/>
        <v>0</v>
      </c>
      <c r="AT1002" s="71">
        <f t="shared" si="376"/>
        <v>0</v>
      </c>
      <c r="AV1002" s="71">
        <f t="shared" si="377"/>
        <v>0</v>
      </c>
      <c r="AX1002" s="71">
        <f t="shared" si="378"/>
        <v>0</v>
      </c>
      <c r="AZ1002" s="71">
        <f t="shared" si="379"/>
        <v>0</v>
      </c>
      <c r="BE1002" s="102">
        <f t="shared" si="380"/>
        <v>4.4721359549995796</v>
      </c>
      <c r="BF1002" s="81">
        <f t="shared" si="381"/>
        <v>9.3924867883288243E-14</v>
      </c>
      <c r="BG1002" s="81" t="str">
        <f t="shared" si="382"/>
        <v>BASSO</v>
      </c>
      <c r="BK1002" s="81" t="str">
        <f t="shared" si="383"/>
        <v>MOLTO BASSO</v>
      </c>
    </row>
    <row r="1003" spans="7:63" x14ac:dyDescent="0.15">
      <c r="G1003" s="64">
        <f t="shared" si="384"/>
        <v>0</v>
      </c>
      <c r="I1003" s="64">
        <f t="shared" si="361"/>
        <v>0</v>
      </c>
      <c r="K1003" s="64">
        <f t="shared" si="362"/>
        <v>0</v>
      </c>
      <c r="M1003" s="64">
        <f t="shared" si="363"/>
        <v>0</v>
      </c>
      <c r="O1003" s="64">
        <f t="shared" si="364"/>
        <v>0</v>
      </c>
      <c r="Q1003" s="64">
        <f t="shared" si="365"/>
        <v>0</v>
      </c>
      <c r="S1003" s="71">
        <f t="shared" si="366"/>
        <v>0</v>
      </c>
      <c r="U1003" s="64">
        <f t="shared" si="367"/>
        <v>0</v>
      </c>
      <c r="W1003" s="71">
        <f t="shared" si="368"/>
        <v>0</v>
      </c>
      <c r="Y1003" s="71">
        <f t="shared" si="369"/>
        <v>0</v>
      </c>
      <c r="AA1003" s="71">
        <f t="shared" si="370"/>
        <v>0</v>
      </c>
      <c r="AC1003" s="71">
        <f t="shared" si="371"/>
        <v>0</v>
      </c>
      <c r="AK1003" s="71">
        <f t="shared" si="372"/>
        <v>0</v>
      </c>
      <c r="AM1003" s="71">
        <f t="shared" si="373"/>
        <v>0</v>
      </c>
      <c r="AO1003" s="71">
        <f t="shared" si="374"/>
        <v>0</v>
      </c>
      <c r="AQ1003" s="71">
        <f t="shared" si="375"/>
        <v>0</v>
      </c>
      <c r="AT1003" s="71">
        <f t="shared" si="376"/>
        <v>0</v>
      </c>
      <c r="AV1003" s="71">
        <f t="shared" si="377"/>
        <v>0</v>
      </c>
      <c r="AX1003" s="71">
        <f t="shared" si="378"/>
        <v>0</v>
      </c>
      <c r="AZ1003" s="71">
        <f t="shared" si="379"/>
        <v>0</v>
      </c>
      <c r="BE1003" s="102">
        <f t="shared" si="380"/>
        <v>4.4721359549995796</v>
      </c>
      <c r="BF1003" s="81">
        <f t="shared" si="381"/>
        <v>9.3924867883288243E-14</v>
      </c>
      <c r="BG1003" s="81" t="str">
        <f t="shared" si="382"/>
        <v>BASSO</v>
      </c>
      <c r="BK1003" s="81" t="str">
        <f t="shared" si="383"/>
        <v>MOLTO BASSO</v>
      </c>
    </row>
    <row r="1004" spans="7:63" x14ac:dyDescent="0.15">
      <c r="G1004" s="64">
        <f t="shared" si="384"/>
        <v>0</v>
      </c>
      <c r="I1004" s="64">
        <f t="shared" si="361"/>
        <v>0</v>
      </c>
      <c r="K1004" s="64">
        <f t="shared" si="362"/>
        <v>0</v>
      </c>
      <c r="M1004" s="64">
        <f t="shared" si="363"/>
        <v>0</v>
      </c>
      <c r="O1004" s="64">
        <f t="shared" si="364"/>
        <v>0</v>
      </c>
      <c r="Q1004" s="64">
        <f t="shared" si="365"/>
        <v>0</v>
      </c>
      <c r="S1004" s="71">
        <f t="shared" si="366"/>
        <v>0</v>
      </c>
      <c r="U1004" s="64">
        <f t="shared" si="367"/>
        <v>0</v>
      </c>
      <c r="W1004" s="71">
        <f t="shared" si="368"/>
        <v>0</v>
      </c>
      <c r="Y1004" s="71">
        <f t="shared" si="369"/>
        <v>0</v>
      </c>
      <c r="AA1004" s="71">
        <f t="shared" si="370"/>
        <v>0</v>
      </c>
      <c r="AC1004" s="71">
        <f t="shared" si="371"/>
        <v>0</v>
      </c>
      <c r="AK1004" s="71">
        <f t="shared" si="372"/>
        <v>0</v>
      </c>
      <c r="AM1004" s="71">
        <f t="shared" si="373"/>
        <v>0</v>
      </c>
      <c r="AO1004" s="71">
        <f t="shared" si="374"/>
        <v>0</v>
      </c>
      <c r="AQ1004" s="71">
        <f t="shared" si="375"/>
        <v>0</v>
      </c>
      <c r="AT1004" s="71">
        <f t="shared" si="376"/>
        <v>0</v>
      </c>
      <c r="AV1004" s="71">
        <f t="shared" si="377"/>
        <v>0</v>
      </c>
      <c r="AX1004" s="71">
        <f t="shared" si="378"/>
        <v>0</v>
      </c>
      <c r="AZ1004" s="71">
        <f t="shared" si="379"/>
        <v>0</v>
      </c>
      <c r="BE1004" s="102">
        <f t="shared" si="380"/>
        <v>4.4721359549995796</v>
      </c>
      <c r="BF1004" s="81">
        <f t="shared" si="381"/>
        <v>9.3924867883288243E-14</v>
      </c>
      <c r="BG1004" s="81" t="str">
        <f t="shared" si="382"/>
        <v>BASSO</v>
      </c>
      <c r="BK1004" s="81" t="str">
        <f t="shared" si="383"/>
        <v>MOLTO BASSO</v>
      </c>
    </row>
    <row r="1005" spans="7:63" x14ac:dyDescent="0.15">
      <c r="G1005" s="64">
        <f t="shared" si="384"/>
        <v>0</v>
      </c>
      <c r="I1005" s="64">
        <f t="shared" si="361"/>
        <v>0</v>
      </c>
      <c r="K1005" s="64">
        <f t="shared" si="362"/>
        <v>0</v>
      </c>
      <c r="M1005" s="64">
        <f t="shared" si="363"/>
        <v>0</v>
      </c>
      <c r="O1005" s="64">
        <f t="shared" si="364"/>
        <v>0</v>
      </c>
      <c r="Q1005" s="64">
        <f t="shared" si="365"/>
        <v>0</v>
      </c>
      <c r="S1005" s="71">
        <f t="shared" si="366"/>
        <v>0</v>
      </c>
      <c r="U1005" s="64">
        <f t="shared" si="367"/>
        <v>0</v>
      </c>
      <c r="W1005" s="71">
        <f t="shared" si="368"/>
        <v>0</v>
      </c>
      <c r="Y1005" s="71">
        <f t="shared" si="369"/>
        <v>0</v>
      </c>
      <c r="AA1005" s="71">
        <f t="shared" si="370"/>
        <v>0</v>
      </c>
      <c r="AC1005" s="71">
        <f t="shared" si="371"/>
        <v>0</v>
      </c>
      <c r="AK1005" s="71">
        <f t="shared" si="372"/>
        <v>0</v>
      </c>
      <c r="AM1005" s="71">
        <f t="shared" si="373"/>
        <v>0</v>
      </c>
      <c r="AO1005" s="71">
        <f t="shared" si="374"/>
        <v>0</v>
      </c>
      <c r="AQ1005" s="71">
        <f t="shared" si="375"/>
        <v>0</v>
      </c>
      <c r="AT1005" s="71">
        <f t="shared" si="376"/>
        <v>0</v>
      </c>
      <c r="AV1005" s="71">
        <f t="shared" si="377"/>
        <v>0</v>
      </c>
      <c r="AX1005" s="71">
        <f t="shared" si="378"/>
        <v>0</v>
      </c>
      <c r="AZ1005" s="71">
        <f t="shared" si="379"/>
        <v>0</v>
      </c>
      <c r="BE1005" s="102">
        <f t="shared" si="380"/>
        <v>4.4721359549995796</v>
      </c>
      <c r="BF1005" s="81">
        <f t="shared" si="381"/>
        <v>9.3924867883288243E-14</v>
      </c>
      <c r="BG1005" s="81" t="str">
        <f t="shared" si="382"/>
        <v>BASSO</v>
      </c>
      <c r="BK1005" s="81" t="str">
        <f t="shared" si="383"/>
        <v>MOLTO BASSO</v>
      </c>
    </row>
    <row r="1006" spans="7:63" x14ac:dyDescent="0.15">
      <c r="G1006" s="64">
        <f t="shared" si="384"/>
        <v>0</v>
      </c>
      <c r="I1006" s="64">
        <f t="shared" si="361"/>
        <v>0</v>
      </c>
      <c r="K1006" s="64">
        <f t="shared" si="362"/>
        <v>0</v>
      </c>
      <c r="M1006" s="64">
        <f t="shared" si="363"/>
        <v>0</v>
      </c>
      <c r="O1006" s="64">
        <f t="shared" si="364"/>
        <v>0</v>
      </c>
      <c r="Q1006" s="64">
        <f t="shared" si="365"/>
        <v>0</v>
      </c>
      <c r="S1006" s="71">
        <f t="shared" si="366"/>
        <v>0</v>
      </c>
      <c r="U1006" s="64">
        <f t="shared" si="367"/>
        <v>0</v>
      </c>
      <c r="W1006" s="71">
        <f t="shared" si="368"/>
        <v>0</v>
      </c>
      <c r="Y1006" s="71">
        <f t="shared" si="369"/>
        <v>0</v>
      </c>
      <c r="AA1006" s="71">
        <f t="shared" si="370"/>
        <v>0</v>
      </c>
      <c r="AC1006" s="71">
        <f t="shared" si="371"/>
        <v>0</v>
      </c>
      <c r="AK1006" s="71">
        <f t="shared" si="372"/>
        <v>0</v>
      </c>
      <c r="AM1006" s="71">
        <f t="shared" si="373"/>
        <v>0</v>
      </c>
      <c r="AO1006" s="71">
        <f t="shared" si="374"/>
        <v>0</v>
      </c>
      <c r="AQ1006" s="71">
        <f t="shared" si="375"/>
        <v>0</v>
      </c>
      <c r="AT1006" s="71">
        <f t="shared" si="376"/>
        <v>0</v>
      </c>
      <c r="AV1006" s="71">
        <f t="shared" si="377"/>
        <v>0</v>
      </c>
      <c r="AX1006" s="71">
        <f t="shared" si="378"/>
        <v>0</v>
      </c>
      <c r="AZ1006" s="71">
        <f t="shared" si="379"/>
        <v>0</v>
      </c>
      <c r="BE1006" s="102">
        <f t="shared" si="380"/>
        <v>4.4721359549995796</v>
      </c>
      <c r="BF1006" s="81">
        <f t="shared" si="381"/>
        <v>9.3924867883288243E-14</v>
      </c>
      <c r="BG1006" s="81" t="str">
        <f t="shared" si="382"/>
        <v>BASSO</v>
      </c>
      <c r="BK1006" s="81" t="str">
        <f t="shared" si="383"/>
        <v>MOLTO BASSO</v>
      </c>
    </row>
    <row r="1007" spans="7:63" x14ac:dyDescent="0.15">
      <c r="G1007" s="64">
        <f t="shared" si="384"/>
        <v>0</v>
      </c>
      <c r="I1007" s="64">
        <f t="shared" si="361"/>
        <v>0</v>
      </c>
      <c r="K1007" s="64">
        <f t="shared" si="362"/>
        <v>0</v>
      </c>
      <c r="M1007" s="64">
        <f t="shared" si="363"/>
        <v>0</v>
      </c>
      <c r="O1007" s="64">
        <f t="shared" si="364"/>
        <v>0</v>
      </c>
      <c r="Q1007" s="64">
        <f t="shared" si="365"/>
        <v>0</v>
      </c>
      <c r="S1007" s="71">
        <f t="shared" si="366"/>
        <v>0</v>
      </c>
      <c r="U1007" s="64">
        <f t="shared" si="367"/>
        <v>0</v>
      </c>
      <c r="W1007" s="71">
        <f t="shared" si="368"/>
        <v>0</v>
      </c>
      <c r="Y1007" s="71">
        <f t="shared" si="369"/>
        <v>0</v>
      </c>
      <c r="AA1007" s="71">
        <f t="shared" si="370"/>
        <v>0</v>
      </c>
      <c r="AC1007" s="71">
        <f t="shared" si="371"/>
        <v>0</v>
      </c>
      <c r="AK1007" s="71">
        <f t="shared" si="372"/>
        <v>0</v>
      </c>
      <c r="AM1007" s="71">
        <f t="shared" si="373"/>
        <v>0</v>
      </c>
      <c r="AO1007" s="71">
        <f t="shared" si="374"/>
        <v>0</v>
      </c>
      <c r="AQ1007" s="71">
        <f t="shared" si="375"/>
        <v>0</v>
      </c>
      <c r="AT1007" s="71">
        <f t="shared" si="376"/>
        <v>0</v>
      </c>
      <c r="AV1007" s="71">
        <f t="shared" si="377"/>
        <v>0</v>
      </c>
      <c r="AX1007" s="71">
        <f t="shared" si="378"/>
        <v>0</v>
      </c>
      <c r="AZ1007" s="71">
        <f t="shared" si="379"/>
        <v>0</v>
      </c>
      <c r="BE1007" s="102">
        <f t="shared" si="380"/>
        <v>4.4721359549995796</v>
      </c>
      <c r="BF1007" s="81">
        <f t="shared" si="381"/>
        <v>9.3924867883288243E-14</v>
      </c>
      <c r="BG1007" s="81" t="str">
        <f t="shared" si="382"/>
        <v>BASSO</v>
      </c>
      <c r="BK1007" s="81" t="str">
        <f t="shared" si="383"/>
        <v>MOLTO BASSO</v>
      </c>
    </row>
    <row r="1008" spans="7:63" x14ac:dyDescent="0.15">
      <c r="G1008" s="64">
        <f t="shared" si="384"/>
        <v>0</v>
      </c>
      <c r="I1008" s="64">
        <f t="shared" si="361"/>
        <v>0</v>
      </c>
      <c r="K1008" s="64">
        <f t="shared" si="362"/>
        <v>0</v>
      </c>
      <c r="M1008" s="64">
        <f t="shared" si="363"/>
        <v>0</v>
      </c>
      <c r="O1008" s="64">
        <f t="shared" si="364"/>
        <v>0</v>
      </c>
      <c r="Q1008" s="64">
        <f t="shared" si="365"/>
        <v>0</v>
      </c>
      <c r="S1008" s="71">
        <f t="shared" si="366"/>
        <v>0</v>
      </c>
      <c r="U1008" s="64">
        <f t="shared" si="367"/>
        <v>0</v>
      </c>
      <c r="W1008" s="71">
        <f t="shared" si="368"/>
        <v>0</v>
      </c>
      <c r="Y1008" s="71">
        <f t="shared" si="369"/>
        <v>0</v>
      </c>
      <c r="AA1008" s="71">
        <f t="shared" si="370"/>
        <v>0</v>
      </c>
      <c r="AC1008" s="71">
        <f t="shared" si="371"/>
        <v>0</v>
      </c>
      <c r="AK1008" s="71">
        <f t="shared" si="372"/>
        <v>0</v>
      </c>
      <c r="AM1008" s="71">
        <f t="shared" si="373"/>
        <v>0</v>
      </c>
      <c r="AO1008" s="71">
        <f t="shared" si="374"/>
        <v>0</v>
      </c>
      <c r="AQ1008" s="71">
        <f t="shared" si="375"/>
        <v>0</v>
      </c>
      <c r="AT1008" s="71">
        <f t="shared" si="376"/>
        <v>0</v>
      </c>
      <c r="AV1008" s="71">
        <f t="shared" si="377"/>
        <v>0</v>
      </c>
      <c r="AX1008" s="71">
        <f t="shared" si="378"/>
        <v>0</v>
      </c>
      <c r="AZ1008" s="71">
        <f t="shared" si="379"/>
        <v>0</v>
      </c>
      <c r="BE1008" s="102">
        <f t="shared" si="380"/>
        <v>4.4721359549995796</v>
      </c>
      <c r="BF1008" s="81">
        <f t="shared" si="381"/>
        <v>9.3924867883288243E-14</v>
      </c>
      <c r="BG1008" s="81" t="str">
        <f t="shared" si="382"/>
        <v>BASSO</v>
      </c>
      <c r="BK1008" s="81" t="str">
        <f t="shared" si="383"/>
        <v>MOLTO BASSO</v>
      </c>
    </row>
    <row r="1009" spans="7:63" x14ac:dyDescent="0.15">
      <c r="G1009" s="64">
        <f t="shared" si="384"/>
        <v>0</v>
      </c>
      <c r="I1009" s="64">
        <f t="shared" si="361"/>
        <v>0</v>
      </c>
      <c r="K1009" s="64">
        <f t="shared" si="362"/>
        <v>0</v>
      </c>
      <c r="M1009" s="64">
        <f t="shared" si="363"/>
        <v>0</v>
      </c>
      <c r="O1009" s="64">
        <f t="shared" si="364"/>
        <v>0</v>
      </c>
      <c r="Q1009" s="64">
        <f t="shared" si="365"/>
        <v>0</v>
      </c>
      <c r="S1009" s="71">
        <f t="shared" si="366"/>
        <v>0</v>
      </c>
      <c r="U1009" s="64">
        <f t="shared" si="367"/>
        <v>0</v>
      </c>
      <c r="W1009" s="71">
        <f t="shared" si="368"/>
        <v>0</v>
      </c>
      <c r="Y1009" s="71">
        <f t="shared" si="369"/>
        <v>0</v>
      </c>
      <c r="AA1009" s="71">
        <f t="shared" si="370"/>
        <v>0</v>
      </c>
      <c r="AC1009" s="71">
        <f t="shared" si="371"/>
        <v>0</v>
      </c>
      <c r="AK1009" s="71">
        <f t="shared" si="372"/>
        <v>0</v>
      </c>
      <c r="AM1009" s="71">
        <f t="shared" si="373"/>
        <v>0</v>
      </c>
      <c r="AO1009" s="71">
        <f t="shared" si="374"/>
        <v>0</v>
      </c>
      <c r="AQ1009" s="71">
        <f t="shared" si="375"/>
        <v>0</v>
      </c>
      <c r="AT1009" s="71">
        <f t="shared" si="376"/>
        <v>0</v>
      </c>
      <c r="AV1009" s="71">
        <f t="shared" si="377"/>
        <v>0</v>
      </c>
      <c r="AX1009" s="71">
        <f t="shared" si="378"/>
        <v>0</v>
      </c>
      <c r="AZ1009" s="71">
        <f t="shared" si="379"/>
        <v>0</v>
      </c>
      <c r="BE1009" s="102">
        <f t="shared" si="380"/>
        <v>4.4721359549995796</v>
      </c>
      <c r="BF1009" s="81">
        <f t="shared" si="381"/>
        <v>9.3924867883288243E-14</v>
      </c>
      <c r="BG1009" s="81" t="str">
        <f t="shared" si="382"/>
        <v>BASSO</v>
      </c>
      <c r="BK1009" s="81" t="str">
        <f t="shared" si="383"/>
        <v>MOLTO BASSO</v>
      </c>
    </row>
    <row r="1010" spans="7:63" x14ac:dyDescent="0.15">
      <c r="G1010" s="64">
        <f t="shared" si="384"/>
        <v>0</v>
      </c>
      <c r="I1010" s="64">
        <f t="shared" si="361"/>
        <v>0</v>
      </c>
      <c r="K1010" s="64">
        <f t="shared" si="362"/>
        <v>0</v>
      </c>
      <c r="M1010" s="64">
        <f t="shared" si="363"/>
        <v>0</v>
      </c>
      <c r="O1010" s="64">
        <f t="shared" si="364"/>
        <v>0</v>
      </c>
      <c r="Q1010" s="64">
        <f t="shared" si="365"/>
        <v>0</v>
      </c>
      <c r="S1010" s="71">
        <f t="shared" si="366"/>
        <v>0</v>
      </c>
      <c r="U1010" s="64">
        <f t="shared" si="367"/>
        <v>0</v>
      </c>
      <c r="W1010" s="71">
        <f t="shared" si="368"/>
        <v>0</v>
      </c>
      <c r="Y1010" s="71">
        <f t="shared" si="369"/>
        <v>0</v>
      </c>
      <c r="AA1010" s="71">
        <f t="shared" si="370"/>
        <v>0</v>
      </c>
      <c r="AC1010" s="71">
        <f t="shared" si="371"/>
        <v>0</v>
      </c>
      <c r="AK1010" s="71">
        <f t="shared" si="372"/>
        <v>0</v>
      </c>
      <c r="AM1010" s="71">
        <f t="shared" si="373"/>
        <v>0</v>
      </c>
      <c r="AO1010" s="71">
        <f t="shared" si="374"/>
        <v>0</v>
      </c>
      <c r="AQ1010" s="71">
        <f t="shared" si="375"/>
        <v>0</v>
      </c>
      <c r="AT1010" s="71">
        <f t="shared" si="376"/>
        <v>0</v>
      </c>
      <c r="AV1010" s="71">
        <f t="shared" si="377"/>
        <v>0</v>
      </c>
      <c r="AX1010" s="71">
        <f t="shared" si="378"/>
        <v>0</v>
      </c>
      <c r="AZ1010" s="71">
        <f t="shared" si="379"/>
        <v>0</v>
      </c>
      <c r="BE1010" s="102">
        <f t="shared" si="380"/>
        <v>4.4721359549995796</v>
      </c>
      <c r="BF1010" s="81">
        <f t="shared" si="381"/>
        <v>9.3924867883288243E-14</v>
      </c>
      <c r="BG1010" s="81" t="str">
        <f t="shared" si="382"/>
        <v>BASSO</v>
      </c>
      <c r="BK1010" s="81" t="str">
        <f t="shared" si="383"/>
        <v>MOLTO BASSO</v>
      </c>
    </row>
    <row r="1011" spans="7:63" x14ac:dyDescent="0.15">
      <c r="G1011" s="64">
        <f t="shared" si="384"/>
        <v>0</v>
      </c>
      <c r="I1011" s="64">
        <f t="shared" si="361"/>
        <v>0</v>
      </c>
      <c r="K1011" s="64">
        <f t="shared" si="362"/>
        <v>0</v>
      </c>
      <c r="M1011" s="64">
        <f t="shared" si="363"/>
        <v>0</v>
      </c>
      <c r="O1011" s="64">
        <f t="shared" si="364"/>
        <v>0</v>
      </c>
      <c r="Q1011" s="64">
        <f t="shared" si="365"/>
        <v>0</v>
      </c>
      <c r="S1011" s="71">
        <f t="shared" si="366"/>
        <v>0</v>
      </c>
      <c r="U1011" s="64">
        <f t="shared" si="367"/>
        <v>0</v>
      </c>
      <c r="W1011" s="71">
        <f t="shared" si="368"/>
        <v>0</v>
      </c>
      <c r="Y1011" s="71">
        <f t="shared" si="369"/>
        <v>0</v>
      </c>
      <c r="AA1011" s="71">
        <f t="shared" si="370"/>
        <v>0</v>
      </c>
      <c r="AC1011" s="71">
        <f t="shared" si="371"/>
        <v>0</v>
      </c>
      <c r="AK1011" s="71">
        <f t="shared" si="372"/>
        <v>0</v>
      </c>
      <c r="AM1011" s="71">
        <f t="shared" si="373"/>
        <v>0</v>
      </c>
      <c r="AO1011" s="71">
        <f t="shared" si="374"/>
        <v>0</v>
      </c>
      <c r="AQ1011" s="71">
        <f t="shared" si="375"/>
        <v>0</v>
      </c>
      <c r="AT1011" s="71">
        <f t="shared" si="376"/>
        <v>0</v>
      </c>
      <c r="AV1011" s="71">
        <f t="shared" si="377"/>
        <v>0</v>
      </c>
      <c r="AX1011" s="71">
        <f t="shared" si="378"/>
        <v>0</v>
      </c>
      <c r="AZ1011" s="71">
        <f t="shared" si="379"/>
        <v>0</v>
      </c>
      <c r="BE1011" s="102">
        <f t="shared" si="380"/>
        <v>4.4721359549995796</v>
      </c>
      <c r="BF1011" s="81">
        <f t="shared" si="381"/>
        <v>9.3924867883288243E-14</v>
      </c>
      <c r="BG1011" s="81" t="str">
        <f t="shared" si="382"/>
        <v>BASSO</v>
      </c>
      <c r="BK1011" s="81" t="str">
        <f t="shared" si="383"/>
        <v>MOLTO BASSO</v>
      </c>
    </row>
    <row r="1012" spans="7:63" x14ac:dyDescent="0.15">
      <c r="G1012" s="64">
        <f t="shared" si="384"/>
        <v>0</v>
      </c>
      <c r="I1012" s="64">
        <f t="shared" si="361"/>
        <v>0</v>
      </c>
      <c r="K1012" s="64">
        <f t="shared" si="362"/>
        <v>0</v>
      </c>
      <c r="M1012" s="64">
        <f t="shared" si="363"/>
        <v>0</v>
      </c>
      <c r="O1012" s="64">
        <f t="shared" si="364"/>
        <v>0</v>
      </c>
      <c r="Q1012" s="64">
        <f t="shared" si="365"/>
        <v>0</v>
      </c>
      <c r="S1012" s="71">
        <f t="shared" si="366"/>
        <v>0</v>
      </c>
      <c r="U1012" s="64">
        <f t="shared" si="367"/>
        <v>0</v>
      </c>
      <c r="W1012" s="71">
        <f t="shared" si="368"/>
        <v>0</v>
      </c>
      <c r="Y1012" s="71">
        <f t="shared" si="369"/>
        <v>0</v>
      </c>
      <c r="AA1012" s="71">
        <f t="shared" si="370"/>
        <v>0</v>
      </c>
      <c r="AC1012" s="71">
        <f t="shared" si="371"/>
        <v>0</v>
      </c>
      <c r="AK1012" s="71">
        <f t="shared" si="372"/>
        <v>0</v>
      </c>
      <c r="AM1012" s="71">
        <f t="shared" si="373"/>
        <v>0</v>
      </c>
      <c r="AO1012" s="71">
        <f t="shared" si="374"/>
        <v>0</v>
      </c>
      <c r="AQ1012" s="71">
        <f t="shared" si="375"/>
        <v>0</v>
      </c>
      <c r="AT1012" s="71">
        <f t="shared" si="376"/>
        <v>0</v>
      </c>
      <c r="AV1012" s="71">
        <f t="shared" si="377"/>
        <v>0</v>
      </c>
      <c r="AX1012" s="71">
        <f t="shared" si="378"/>
        <v>0</v>
      </c>
      <c r="AZ1012" s="71">
        <f t="shared" si="379"/>
        <v>0</v>
      </c>
      <c r="BE1012" s="102">
        <f t="shared" si="380"/>
        <v>4.4721359549995796</v>
      </c>
      <c r="BF1012" s="81">
        <f t="shared" si="381"/>
        <v>9.3924867883288243E-14</v>
      </c>
      <c r="BG1012" s="81" t="str">
        <f t="shared" si="382"/>
        <v>BASSO</v>
      </c>
      <c r="BK1012" s="81" t="str">
        <f t="shared" si="383"/>
        <v>MOLTO BASSO</v>
      </c>
    </row>
    <row r="1013" spans="7:63" x14ac:dyDescent="0.15">
      <c r="G1013" s="64">
        <f t="shared" si="384"/>
        <v>0</v>
      </c>
      <c r="I1013" s="64">
        <f t="shared" si="361"/>
        <v>0</v>
      </c>
      <c r="K1013" s="64">
        <f t="shared" si="362"/>
        <v>0</v>
      </c>
      <c r="M1013" s="64">
        <f t="shared" si="363"/>
        <v>0</v>
      </c>
      <c r="O1013" s="64">
        <f t="shared" si="364"/>
        <v>0</v>
      </c>
      <c r="Q1013" s="64">
        <f t="shared" si="365"/>
        <v>0</v>
      </c>
      <c r="S1013" s="71">
        <f t="shared" si="366"/>
        <v>0</v>
      </c>
      <c r="U1013" s="64">
        <f t="shared" si="367"/>
        <v>0</v>
      </c>
      <c r="W1013" s="71">
        <f t="shared" si="368"/>
        <v>0</v>
      </c>
      <c r="Y1013" s="71">
        <f t="shared" si="369"/>
        <v>0</v>
      </c>
      <c r="AA1013" s="71">
        <f t="shared" si="370"/>
        <v>0</v>
      </c>
      <c r="AC1013" s="71">
        <f t="shared" si="371"/>
        <v>0</v>
      </c>
      <c r="AK1013" s="71">
        <f t="shared" si="372"/>
        <v>0</v>
      </c>
      <c r="AM1013" s="71">
        <f t="shared" si="373"/>
        <v>0</v>
      </c>
      <c r="AO1013" s="71">
        <f t="shared" si="374"/>
        <v>0</v>
      </c>
      <c r="AQ1013" s="71">
        <f t="shared" si="375"/>
        <v>0</v>
      </c>
      <c r="AT1013" s="71">
        <f t="shared" si="376"/>
        <v>0</v>
      </c>
      <c r="AV1013" s="71">
        <f t="shared" si="377"/>
        <v>0</v>
      </c>
      <c r="AX1013" s="71">
        <f t="shared" si="378"/>
        <v>0</v>
      </c>
      <c r="AZ1013" s="71">
        <f t="shared" si="379"/>
        <v>0</v>
      </c>
      <c r="BE1013" s="102">
        <f t="shared" si="380"/>
        <v>4.4721359549995796</v>
      </c>
      <c r="BF1013" s="81">
        <f t="shared" si="381"/>
        <v>9.3924867883288243E-14</v>
      </c>
      <c r="BG1013" s="81" t="str">
        <f t="shared" si="382"/>
        <v>BASSO</v>
      </c>
      <c r="BK1013" s="81" t="str">
        <f t="shared" si="383"/>
        <v>MOLTO BASSO</v>
      </c>
    </row>
    <row r="1014" spans="7:63" x14ac:dyDescent="0.15">
      <c r="G1014" s="64">
        <f t="shared" si="384"/>
        <v>0</v>
      </c>
      <c r="I1014" s="64">
        <f t="shared" si="361"/>
        <v>0</v>
      </c>
      <c r="K1014" s="64">
        <f t="shared" si="362"/>
        <v>0</v>
      </c>
      <c r="M1014" s="64">
        <f t="shared" si="363"/>
        <v>0</v>
      </c>
      <c r="O1014" s="64">
        <f t="shared" si="364"/>
        <v>0</v>
      </c>
      <c r="Q1014" s="64">
        <f t="shared" si="365"/>
        <v>0</v>
      </c>
      <c r="S1014" s="71">
        <f t="shared" si="366"/>
        <v>0</v>
      </c>
      <c r="U1014" s="64">
        <f t="shared" si="367"/>
        <v>0</v>
      </c>
      <c r="W1014" s="71">
        <f t="shared" si="368"/>
        <v>0</v>
      </c>
      <c r="Y1014" s="71">
        <f t="shared" si="369"/>
        <v>0</v>
      </c>
      <c r="AA1014" s="71">
        <f t="shared" si="370"/>
        <v>0</v>
      </c>
      <c r="AC1014" s="71">
        <f t="shared" si="371"/>
        <v>0</v>
      </c>
      <c r="AK1014" s="71">
        <f t="shared" si="372"/>
        <v>0</v>
      </c>
      <c r="AM1014" s="71">
        <f t="shared" si="373"/>
        <v>0</v>
      </c>
      <c r="AO1014" s="71">
        <f t="shared" si="374"/>
        <v>0</v>
      </c>
      <c r="AQ1014" s="71">
        <f t="shared" si="375"/>
        <v>0</v>
      </c>
      <c r="AT1014" s="71">
        <f t="shared" si="376"/>
        <v>0</v>
      </c>
      <c r="AV1014" s="71">
        <f t="shared" si="377"/>
        <v>0</v>
      </c>
      <c r="AX1014" s="71">
        <f t="shared" si="378"/>
        <v>0</v>
      </c>
      <c r="AZ1014" s="71">
        <f t="shared" si="379"/>
        <v>0</v>
      </c>
      <c r="BE1014" s="102">
        <f t="shared" si="380"/>
        <v>4.4721359549995796</v>
      </c>
      <c r="BF1014" s="81">
        <f t="shared" si="381"/>
        <v>9.3924867883288243E-14</v>
      </c>
      <c r="BG1014" s="81" t="str">
        <f t="shared" si="382"/>
        <v>BASSO</v>
      </c>
      <c r="BK1014" s="81" t="str">
        <f t="shared" si="383"/>
        <v>MOLTO BASSO</v>
      </c>
    </row>
    <row r="1015" spans="7:63" x14ac:dyDescent="0.15">
      <c r="G1015" s="64">
        <f t="shared" si="384"/>
        <v>0</v>
      </c>
      <c r="I1015" s="64">
        <f t="shared" si="361"/>
        <v>0</v>
      </c>
      <c r="K1015" s="64">
        <f t="shared" si="362"/>
        <v>0</v>
      </c>
      <c r="M1015" s="64">
        <f t="shared" si="363"/>
        <v>0</v>
      </c>
      <c r="O1015" s="64">
        <f t="shared" si="364"/>
        <v>0</v>
      </c>
      <c r="Q1015" s="64">
        <f t="shared" si="365"/>
        <v>0</v>
      </c>
      <c r="S1015" s="71">
        <f t="shared" si="366"/>
        <v>0</v>
      </c>
      <c r="U1015" s="64">
        <f t="shared" si="367"/>
        <v>0</v>
      </c>
      <c r="W1015" s="71">
        <f t="shared" si="368"/>
        <v>0</v>
      </c>
      <c r="Y1015" s="71">
        <f t="shared" si="369"/>
        <v>0</v>
      </c>
      <c r="AA1015" s="71">
        <f t="shared" si="370"/>
        <v>0</v>
      </c>
      <c r="AC1015" s="71">
        <f t="shared" si="371"/>
        <v>0</v>
      </c>
      <c r="AK1015" s="71">
        <f t="shared" si="372"/>
        <v>0</v>
      </c>
      <c r="AM1015" s="71">
        <f t="shared" si="373"/>
        <v>0</v>
      </c>
      <c r="AO1015" s="71">
        <f t="shared" si="374"/>
        <v>0</v>
      </c>
      <c r="AQ1015" s="71">
        <f t="shared" si="375"/>
        <v>0</v>
      </c>
      <c r="AT1015" s="71">
        <f t="shared" si="376"/>
        <v>0</v>
      </c>
      <c r="AV1015" s="71">
        <f t="shared" si="377"/>
        <v>0</v>
      </c>
      <c r="AX1015" s="71">
        <f t="shared" si="378"/>
        <v>0</v>
      </c>
      <c r="AZ1015" s="71">
        <f t="shared" si="379"/>
        <v>0</v>
      </c>
      <c r="BE1015" s="102">
        <f t="shared" si="380"/>
        <v>4.4721359549995796</v>
      </c>
      <c r="BF1015" s="81">
        <f t="shared" si="381"/>
        <v>9.3924867883288243E-14</v>
      </c>
      <c r="BG1015" s="81" t="str">
        <f t="shared" si="382"/>
        <v>BASSO</v>
      </c>
      <c r="BK1015" s="81" t="str">
        <f t="shared" si="383"/>
        <v>MOLTO BASSO</v>
      </c>
    </row>
    <row r="1016" spans="7:63" x14ac:dyDescent="0.15">
      <c r="G1016" s="64">
        <f t="shared" si="384"/>
        <v>0</v>
      </c>
      <c r="I1016" s="64">
        <f t="shared" si="361"/>
        <v>0</v>
      </c>
      <c r="K1016" s="64">
        <f t="shared" si="362"/>
        <v>0</v>
      </c>
      <c r="M1016" s="64">
        <f t="shared" si="363"/>
        <v>0</v>
      </c>
      <c r="O1016" s="64">
        <f t="shared" si="364"/>
        <v>0</v>
      </c>
      <c r="Q1016" s="64">
        <f t="shared" si="365"/>
        <v>0</v>
      </c>
      <c r="S1016" s="71">
        <f t="shared" si="366"/>
        <v>0</v>
      </c>
      <c r="U1016" s="64">
        <f t="shared" si="367"/>
        <v>0</v>
      </c>
      <c r="W1016" s="71">
        <f t="shared" si="368"/>
        <v>0</v>
      </c>
      <c r="Y1016" s="71">
        <f t="shared" si="369"/>
        <v>0</v>
      </c>
      <c r="AA1016" s="71">
        <f t="shared" si="370"/>
        <v>0</v>
      </c>
      <c r="AC1016" s="71">
        <f t="shared" si="371"/>
        <v>0</v>
      </c>
      <c r="AK1016" s="71">
        <f t="shared" si="372"/>
        <v>0</v>
      </c>
      <c r="AM1016" s="71">
        <f t="shared" si="373"/>
        <v>0</v>
      </c>
      <c r="AO1016" s="71">
        <f t="shared" si="374"/>
        <v>0</v>
      </c>
      <c r="AQ1016" s="71">
        <f t="shared" si="375"/>
        <v>0</v>
      </c>
      <c r="AT1016" s="71">
        <f t="shared" si="376"/>
        <v>0</v>
      </c>
      <c r="AV1016" s="71">
        <f t="shared" si="377"/>
        <v>0</v>
      </c>
      <c r="AX1016" s="71">
        <f t="shared" si="378"/>
        <v>0</v>
      </c>
      <c r="AZ1016" s="71">
        <f t="shared" si="379"/>
        <v>0</v>
      </c>
      <c r="BE1016" s="102">
        <f t="shared" si="380"/>
        <v>4.4721359549995796</v>
      </c>
      <c r="BF1016" s="81">
        <f t="shared" si="381"/>
        <v>9.3924867883288243E-14</v>
      </c>
      <c r="BG1016" s="81" t="str">
        <f t="shared" si="382"/>
        <v>BASSO</v>
      </c>
      <c r="BK1016" s="81" t="str">
        <f t="shared" si="383"/>
        <v>MOLTO BASSO</v>
      </c>
    </row>
    <row r="1017" spans="7:63" x14ac:dyDescent="0.15">
      <c r="G1017" s="64">
        <f t="shared" si="384"/>
        <v>0</v>
      </c>
      <c r="I1017" s="64">
        <f t="shared" si="361"/>
        <v>0</v>
      </c>
      <c r="K1017" s="64">
        <f t="shared" si="362"/>
        <v>0</v>
      </c>
      <c r="M1017" s="64">
        <f t="shared" si="363"/>
        <v>0</v>
      </c>
      <c r="O1017" s="64">
        <f t="shared" si="364"/>
        <v>0</v>
      </c>
      <c r="Q1017" s="64">
        <f t="shared" si="365"/>
        <v>0</v>
      </c>
      <c r="S1017" s="71">
        <f t="shared" si="366"/>
        <v>0</v>
      </c>
      <c r="U1017" s="64">
        <f t="shared" si="367"/>
        <v>0</v>
      </c>
      <c r="W1017" s="71">
        <f t="shared" si="368"/>
        <v>0</v>
      </c>
      <c r="Y1017" s="71">
        <f t="shared" si="369"/>
        <v>0</v>
      </c>
      <c r="AA1017" s="71">
        <f t="shared" si="370"/>
        <v>0</v>
      </c>
      <c r="AC1017" s="71">
        <f t="shared" si="371"/>
        <v>0</v>
      </c>
      <c r="AK1017" s="71">
        <f t="shared" si="372"/>
        <v>0</v>
      </c>
      <c r="AM1017" s="71">
        <f t="shared" si="373"/>
        <v>0</v>
      </c>
      <c r="AO1017" s="71">
        <f t="shared" si="374"/>
        <v>0</v>
      </c>
      <c r="AQ1017" s="71">
        <f t="shared" si="375"/>
        <v>0</v>
      </c>
      <c r="AT1017" s="71">
        <f t="shared" si="376"/>
        <v>0</v>
      </c>
      <c r="AV1017" s="71">
        <f t="shared" si="377"/>
        <v>0</v>
      </c>
      <c r="AX1017" s="71">
        <f t="shared" si="378"/>
        <v>0</v>
      </c>
      <c r="AZ1017" s="71">
        <f t="shared" si="379"/>
        <v>0</v>
      </c>
      <c r="BE1017" s="102">
        <f t="shared" si="380"/>
        <v>4.4721359549995796</v>
      </c>
      <c r="BG1017" s="81" t="str">
        <f t="shared" si="382"/>
        <v>BASSO</v>
      </c>
      <c r="BK1017" s="81" t="str">
        <f t="shared" si="383"/>
        <v>MOLTO BASSO</v>
      </c>
    </row>
    <row r="1018" spans="7:63" x14ac:dyDescent="0.15">
      <c r="G1018" s="64">
        <f t="shared" si="384"/>
        <v>0</v>
      </c>
      <c r="I1018" s="64">
        <f t="shared" si="361"/>
        <v>0</v>
      </c>
      <c r="K1018" s="64">
        <f t="shared" si="362"/>
        <v>0</v>
      </c>
      <c r="M1018" s="64">
        <f t="shared" si="363"/>
        <v>0</v>
      </c>
      <c r="O1018" s="64">
        <f t="shared" si="364"/>
        <v>0</v>
      </c>
      <c r="Q1018" s="64">
        <f t="shared" si="365"/>
        <v>0</v>
      </c>
      <c r="S1018" s="71">
        <f t="shared" si="366"/>
        <v>0</v>
      </c>
      <c r="U1018" s="64">
        <f t="shared" si="367"/>
        <v>0</v>
      </c>
      <c r="W1018" s="71">
        <f t="shared" si="368"/>
        <v>0</v>
      </c>
      <c r="Y1018" s="71">
        <f t="shared" si="369"/>
        <v>0</v>
      </c>
      <c r="AA1018" s="71">
        <f t="shared" si="370"/>
        <v>0</v>
      </c>
      <c r="AC1018" s="71">
        <f t="shared" si="371"/>
        <v>0</v>
      </c>
      <c r="AK1018" s="71">
        <f t="shared" si="372"/>
        <v>0</v>
      </c>
      <c r="AM1018" s="71">
        <f t="shared" si="373"/>
        <v>0</v>
      </c>
      <c r="AO1018" s="71">
        <f t="shared" si="374"/>
        <v>0</v>
      </c>
      <c r="AQ1018" s="71">
        <f t="shared" si="375"/>
        <v>0</v>
      </c>
      <c r="AT1018" s="71">
        <f t="shared" si="376"/>
        <v>0</v>
      </c>
      <c r="AV1018" s="71">
        <f t="shared" si="377"/>
        <v>0</v>
      </c>
      <c r="AX1018" s="71">
        <f t="shared" si="378"/>
        <v>0</v>
      </c>
      <c r="AZ1018" s="71">
        <f t="shared" si="379"/>
        <v>0</v>
      </c>
      <c r="BE1018" s="102">
        <f t="shared" si="380"/>
        <v>4.4721359549995796</v>
      </c>
      <c r="BG1018" s="81" t="str">
        <f t="shared" si="382"/>
        <v>BASSO</v>
      </c>
      <c r="BK1018" s="81" t="str">
        <f t="shared" si="383"/>
        <v>MOLTO BASSO</v>
      </c>
    </row>
    <row r="1019" spans="7:63" x14ac:dyDescent="0.15">
      <c r="G1019" s="64">
        <f t="shared" si="384"/>
        <v>0</v>
      </c>
      <c r="I1019" s="64">
        <f t="shared" si="361"/>
        <v>0</v>
      </c>
      <c r="K1019" s="64">
        <f t="shared" si="362"/>
        <v>0</v>
      </c>
      <c r="M1019" s="64">
        <f t="shared" si="363"/>
        <v>0</v>
      </c>
      <c r="O1019" s="64">
        <f t="shared" si="364"/>
        <v>0</v>
      </c>
      <c r="Q1019" s="64">
        <f t="shared" si="365"/>
        <v>0</v>
      </c>
      <c r="S1019" s="71">
        <f t="shared" si="366"/>
        <v>0</v>
      </c>
      <c r="U1019" s="64">
        <f t="shared" si="367"/>
        <v>0</v>
      </c>
      <c r="W1019" s="71">
        <f t="shared" si="368"/>
        <v>0</v>
      </c>
      <c r="Y1019" s="71">
        <f t="shared" si="369"/>
        <v>0</v>
      </c>
      <c r="AA1019" s="71">
        <f t="shared" si="370"/>
        <v>0</v>
      </c>
      <c r="AC1019" s="71">
        <f t="shared" si="371"/>
        <v>0</v>
      </c>
      <c r="AK1019" s="71">
        <f t="shared" si="372"/>
        <v>0</v>
      </c>
      <c r="AM1019" s="71">
        <f t="shared" si="373"/>
        <v>0</v>
      </c>
      <c r="AO1019" s="71">
        <f t="shared" si="374"/>
        <v>0</v>
      </c>
      <c r="AQ1019" s="71">
        <f t="shared" si="375"/>
        <v>0</v>
      </c>
      <c r="AT1019" s="71">
        <f t="shared" si="376"/>
        <v>0</v>
      </c>
      <c r="AV1019" s="71">
        <f t="shared" si="377"/>
        <v>0</v>
      </c>
      <c r="AX1019" s="71">
        <f t="shared" si="378"/>
        <v>0</v>
      </c>
      <c r="AZ1019" s="71">
        <f t="shared" si="379"/>
        <v>0</v>
      </c>
      <c r="BE1019" s="102">
        <f t="shared" si="380"/>
        <v>4.4721359549995796</v>
      </c>
      <c r="BG1019" s="81" t="str">
        <f t="shared" si="382"/>
        <v>BASSO</v>
      </c>
      <c r="BK1019" s="81" t="str">
        <f t="shared" si="383"/>
        <v>MOLTO BASSO</v>
      </c>
    </row>
    <row r="1020" spans="7:63" x14ac:dyDescent="0.15">
      <c r="G1020" s="64">
        <f t="shared" si="384"/>
        <v>0</v>
      </c>
      <c r="K1020" s="64">
        <f t="shared" si="362"/>
        <v>0</v>
      </c>
      <c r="M1020" s="64">
        <f t="shared" si="363"/>
        <v>0</v>
      </c>
      <c r="O1020" s="64">
        <f t="shared" si="364"/>
        <v>0</v>
      </c>
      <c r="Q1020" s="64">
        <f t="shared" si="365"/>
        <v>0</v>
      </c>
      <c r="S1020" s="71">
        <f t="shared" si="366"/>
        <v>0</v>
      </c>
      <c r="U1020" s="64">
        <f t="shared" si="367"/>
        <v>0</v>
      </c>
      <c r="W1020" s="71">
        <f t="shared" si="368"/>
        <v>0</v>
      </c>
      <c r="Y1020" s="71">
        <f t="shared" si="369"/>
        <v>0</v>
      </c>
      <c r="AA1020" s="71">
        <f t="shared" si="370"/>
        <v>0</v>
      </c>
      <c r="AC1020" s="71">
        <f t="shared" si="371"/>
        <v>0</v>
      </c>
      <c r="AK1020" s="71">
        <f t="shared" si="372"/>
        <v>0</v>
      </c>
      <c r="AM1020" s="71">
        <f t="shared" si="373"/>
        <v>0</v>
      </c>
      <c r="AO1020" s="71">
        <f t="shared" si="374"/>
        <v>0</v>
      </c>
      <c r="AQ1020" s="71">
        <f t="shared" si="375"/>
        <v>0</v>
      </c>
      <c r="AT1020" s="71">
        <f t="shared" si="376"/>
        <v>0</v>
      </c>
      <c r="AV1020" s="71">
        <f t="shared" si="377"/>
        <v>0</v>
      </c>
      <c r="AX1020" s="71">
        <f t="shared" si="378"/>
        <v>0</v>
      </c>
      <c r="AZ1020" s="71">
        <f t="shared" si="379"/>
        <v>0</v>
      </c>
      <c r="BE1020" s="102">
        <f t="shared" si="380"/>
        <v>4.4721359549995796</v>
      </c>
      <c r="BG1020" s="81" t="str">
        <f t="shared" si="382"/>
        <v>BASSO</v>
      </c>
      <c r="BK1020" s="81" t="str">
        <f t="shared" ref="BK1020:BK1026" si="385">IF(BF1020&lt;0.3,"MOLTO BASSO",IF(BF1020&lt;0.45,"BASSO",IF(BF1020&lt;0.65,"MEDIO","ALTO")))</f>
        <v>MOLTO BASSO</v>
      </c>
    </row>
    <row r="1021" spans="7:63" x14ac:dyDescent="0.15">
      <c r="G1021" s="64">
        <f t="shared" si="384"/>
        <v>0</v>
      </c>
      <c r="K1021" s="64">
        <f t="shared" si="362"/>
        <v>0</v>
      </c>
      <c r="M1021" s="64">
        <f t="shared" si="363"/>
        <v>0</v>
      </c>
      <c r="O1021" s="64">
        <f t="shared" si="364"/>
        <v>0</v>
      </c>
      <c r="Q1021" s="64">
        <f t="shared" si="365"/>
        <v>0</v>
      </c>
      <c r="S1021" s="71">
        <f t="shared" si="366"/>
        <v>0</v>
      </c>
      <c r="U1021" s="64">
        <f t="shared" si="367"/>
        <v>0</v>
      </c>
      <c r="W1021" s="71">
        <f t="shared" si="368"/>
        <v>0</v>
      </c>
      <c r="Y1021" s="71">
        <f t="shared" si="369"/>
        <v>0</v>
      </c>
      <c r="AA1021" s="71">
        <f t="shared" si="370"/>
        <v>0</v>
      </c>
      <c r="AC1021" s="71">
        <f t="shared" si="371"/>
        <v>0</v>
      </c>
      <c r="AK1021" s="71">
        <f t="shared" si="372"/>
        <v>0</v>
      </c>
      <c r="AM1021" s="71">
        <f t="shared" si="373"/>
        <v>0</v>
      </c>
      <c r="AO1021" s="71">
        <f t="shared" si="374"/>
        <v>0</v>
      </c>
      <c r="AQ1021" s="71">
        <f t="shared" si="375"/>
        <v>0</v>
      </c>
      <c r="AT1021" s="71">
        <f t="shared" si="376"/>
        <v>0</v>
      </c>
      <c r="AV1021" s="71">
        <f t="shared" si="377"/>
        <v>0</v>
      </c>
      <c r="AX1021" s="71">
        <f t="shared" si="378"/>
        <v>0</v>
      </c>
      <c r="AZ1021" s="71">
        <f t="shared" si="379"/>
        <v>0</v>
      </c>
      <c r="BE1021" s="102">
        <f t="shared" si="380"/>
        <v>4.4721359549995796</v>
      </c>
      <c r="BG1021" s="81" t="str">
        <f t="shared" si="382"/>
        <v>BASSO</v>
      </c>
      <c r="BK1021" s="81" t="str">
        <f t="shared" si="385"/>
        <v>MOLTO BASSO</v>
      </c>
    </row>
    <row r="1022" spans="7:63" x14ac:dyDescent="0.15">
      <c r="G1022" s="64">
        <f t="shared" si="384"/>
        <v>0</v>
      </c>
      <c r="K1022" s="64">
        <f t="shared" si="362"/>
        <v>0</v>
      </c>
      <c r="M1022" s="64">
        <f t="shared" si="363"/>
        <v>0</v>
      </c>
      <c r="O1022" s="64">
        <f t="shared" si="364"/>
        <v>0</v>
      </c>
      <c r="Q1022" s="64">
        <f t="shared" si="365"/>
        <v>0</v>
      </c>
      <c r="S1022" s="71">
        <f t="shared" si="366"/>
        <v>0</v>
      </c>
      <c r="U1022" s="64">
        <f t="shared" si="367"/>
        <v>0</v>
      </c>
      <c r="W1022" s="71">
        <f t="shared" si="368"/>
        <v>0</v>
      </c>
      <c r="Y1022" s="71">
        <f t="shared" si="369"/>
        <v>0</v>
      </c>
      <c r="AA1022" s="71">
        <f t="shared" si="370"/>
        <v>0</v>
      </c>
      <c r="AC1022" s="71">
        <f t="shared" si="371"/>
        <v>0</v>
      </c>
      <c r="AK1022" s="71">
        <f t="shared" si="372"/>
        <v>0</v>
      </c>
      <c r="AM1022" s="71">
        <f t="shared" si="373"/>
        <v>0</v>
      </c>
      <c r="AO1022" s="71">
        <f t="shared" si="374"/>
        <v>0</v>
      </c>
      <c r="AQ1022" s="71">
        <f t="shared" si="375"/>
        <v>0</v>
      </c>
      <c r="AT1022" s="71">
        <f t="shared" si="376"/>
        <v>0</v>
      </c>
      <c r="AV1022" s="71">
        <f t="shared" si="377"/>
        <v>0</v>
      </c>
      <c r="AX1022" s="71">
        <f t="shared" si="378"/>
        <v>0</v>
      </c>
      <c r="AZ1022" s="71">
        <f t="shared" si="379"/>
        <v>0</v>
      </c>
      <c r="BE1022" s="102">
        <f t="shared" si="380"/>
        <v>4.4721359549995796</v>
      </c>
      <c r="BG1022" s="81" t="str">
        <f t="shared" si="382"/>
        <v>BASSO</v>
      </c>
      <c r="BK1022" s="81" t="str">
        <f t="shared" si="385"/>
        <v>MOLTO BASSO</v>
      </c>
    </row>
    <row r="1023" spans="7:63" x14ac:dyDescent="0.15">
      <c r="G1023" s="64">
        <f t="shared" si="384"/>
        <v>0</v>
      </c>
      <c r="K1023" s="64">
        <f t="shared" si="362"/>
        <v>0</v>
      </c>
      <c r="M1023" s="64">
        <f t="shared" si="363"/>
        <v>0</v>
      </c>
      <c r="O1023" s="64">
        <f t="shared" si="364"/>
        <v>0</v>
      </c>
      <c r="Q1023" s="64">
        <f t="shared" si="365"/>
        <v>0</v>
      </c>
      <c r="S1023" s="71">
        <f t="shared" si="366"/>
        <v>0</v>
      </c>
      <c r="U1023" s="64">
        <f t="shared" si="367"/>
        <v>0</v>
      </c>
      <c r="W1023" s="71">
        <f t="shared" si="368"/>
        <v>0</v>
      </c>
      <c r="Y1023" s="71">
        <f t="shared" si="369"/>
        <v>0</v>
      </c>
      <c r="AA1023" s="71">
        <f t="shared" si="370"/>
        <v>0</v>
      </c>
      <c r="AC1023" s="71">
        <f t="shared" si="371"/>
        <v>0</v>
      </c>
      <c r="AK1023" s="71">
        <f t="shared" si="372"/>
        <v>0</v>
      </c>
      <c r="AM1023" s="71">
        <f t="shared" si="373"/>
        <v>0</v>
      </c>
      <c r="AO1023" s="71">
        <f t="shared" si="374"/>
        <v>0</v>
      </c>
      <c r="AQ1023" s="71">
        <f t="shared" si="375"/>
        <v>0</v>
      </c>
      <c r="AT1023" s="71">
        <f t="shared" si="376"/>
        <v>0</v>
      </c>
      <c r="AV1023" s="71">
        <f t="shared" si="377"/>
        <v>0</v>
      </c>
      <c r="AX1023" s="71">
        <f t="shared" si="378"/>
        <v>0</v>
      </c>
      <c r="AZ1023" s="71">
        <f t="shared" si="379"/>
        <v>0</v>
      </c>
      <c r="BE1023" s="102">
        <f t="shared" si="380"/>
        <v>4.4721359549995796</v>
      </c>
      <c r="BG1023" s="81" t="str">
        <f t="shared" si="382"/>
        <v>BASSO</v>
      </c>
      <c r="BK1023" s="81" t="str">
        <f t="shared" si="385"/>
        <v>MOLTO BASSO</v>
      </c>
    </row>
    <row r="1024" spans="7:63" x14ac:dyDescent="0.15">
      <c r="G1024" s="64">
        <f t="shared" si="384"/>
        <v>0</v>
      </c>
      <c r="K1024" s="64">
        <f t="shared" si="362"/>
        <v>0</v>
      </c>
      <c r="M1024" s="64">
        <f t="shared" si="363"/>
        <v>0</v>
      </c>
      <c r="O1024" s="64">
        <f t="shared" si="364"/>
        <v>0</v>
      </c>
      <c r="Q1024" s="64">
        <f t="shared" si="365"/>
        <v>0</v>
      </c>
      <c r="S1024" s="71">
        <f t="shared" si="366"/>
        <v>0</v>
      </c>
      <c r="U1024" s="64">
        <f t="shared" si="367"/>
        <v>0</v>
      </c>
      <c r="W1024" s="71">
        <f t="shared" si="368"/>
        <v>0</v>
      </c>
      <c r="Y1024" s="71">
        <f t="shared" si="369"/>
        <v>0</v>
      </c>
      <c r="AA1024" s="71">
        <f t="shared" si="370"/>
        <v>0</v>
      </c>
      <c r="AC1024" s="71">
        <f t="shared" si="371"/>
        <v>0</v>
      </c>
      <c r="AK1024" s="71">
        <f t="shared" si="372"/>
        <v>0</v>
      </c>
      <c r="AM1024" s="71">
        <f t="shared" si="373"/>
        <v>0</v>
      </c>
      <c r="AO1024" s="71">
        <f t="shared" si="374"/>
        <v>0</v>
      </c>
      <c r="AQ1024" s="71">
        <f t="shared" si="375"/>
        <v>0</v>
      </c>
      <c r="AT1024" s="71">
        <f t="shared" si="376"/>
        <v>0</v>
      </c>
      <c r="AV1024" s="71">
        <f t="shared" si="377"/>
        <v>0</v>
      </c>
      <c r="AX1024" s="71">
        <f t="shared" si="378"/>
        <v>0</v>
      </c>
      <c r="AZ1024" s="71">
        <f t="shared" si="379"/>
        <v>0</v>
      </c>
      <c r="BE1024" s="102">
        <f t="shared" si="380"/>
        <v>4.4721359549995796</v>
      </c>
      <c r="BG1024" s="81" t="str">
        <f t="shared" si="382"/>
        <v>BASSO</v>
      </c>
      <c r="BK1024" s="81" t="str">
        <f t="shared" si="385"/>
        <v>MOLTO BASSO</v>
      </c>
    </row>
    <row r="1025" spans="7:63" x14ac:dyDescent="0.15">
      <c r="G1025" s="64">
        <f t="shared" si="384"/>
        <v>0</v>
      </c>
      <c r="K1025" s="64">
        <f t="shared" si="362"/>
        <v>0</v>
      </c>
      <c r="M1025" s="64">
        <f t="shared" si="363"/>
        <v>0</v>
      </c>
      <c r="O1025" s="64">
        <f t="shared" si="364"/>
        <v>0</v>
      </c>
      <c r="Q1025" s="64">
        <f t="shared" si="365"/>
        <v>0</v>
      </c>
      <c r="S1025" s="71">
        <f t="shared" si="366"/>
        <v>0</v>
      </c>
      <c r="U1025" s="64">
        <f t="shared" si="367"/>
        <v>0</v>
      </c>
      <c r="W1025" s="71">
        <f t="shared" si="368"/>
        <v>0</v>
      </c>
      <c r="Y1025" s="71">
        <f t="shared" si="369"/>
        <v>0</v>
      </c>
      <c r="AA1025" s="71">
        <f t="shared" si="370"/>
        <v>0</v>
      </c>
      <c r="AC1025" s="71">
        <f t="shared" si="371"/>
        <v>0</v>
      </c>
      <c r="AK1025" s="71">
        <f t="shared" si="372"/>
        <v>0</v>
      </c>
      <c r="AM1025" s="71">
        <f t="shared" si="373"/>
        <v>0</v>
      </c>
      <c r="AO1025" s="71">
        <f t="shared" si="374"/>
        <v>0</v>
      </c>
      <c r="AQ1025" s="71">
        <f t="shared" si="375"/>
        <v>0</v>
      </c>
      <c r="AT1025" s="71">
        <f t="shared" si="376"/>
        <v>0</v>
      </c>
      <c r="AV1025" s="71">
        <f t="shared" si="377"/>
        <v>0</v>
      </c>
      <c r="AX1025" s="71">
        <f t="shared" si="378"/>
        <v>0</v>
      </c>
      <c r="AZ1025" s="71">
        <f t="shared" si="379"/>
        <v>0</v>
      </c>
      <c r="BE1025" s="102">
        <f t="shared" si="380"/>
        <v>4.4721359549995796</v>
      </c>
      <c r="BG1025" s="81" t="str">
        <f t="shared" si="382"/>
        <v>BASSO</v>
      </c>
      <c r="BK1025" s="81" t="str">
        <f t="shared" si="385"/>
        <v>MOLTO BASSO</v>
      </c>
    </row>
    <row r="1026" spans="7:63" x14ac:dyDescent="0.15">
      <c r="G1026" s="64">
        <f t="shared" si="384"/>
        <v>0</v>
      </c>
      <c r="K1026" s="64">
        <f t="shared" si="362"/>
        <v>0</v>
      </c>
      <c r="M1026" s="64">
        <f t="shared" si="363"/>
        <v>0</v>
      </c>
      <c r="O1026" s="64">
        <f t="shared" si="364"/>
        <v>0</v>
      </c>
      <c r="Q1026" s="64">
        <f t="shared" si="365"/>
        <v>0</v>
      </c>
      <c r="S1026" s="71">
        <f t="shared" si="366"/>
        <v>0</v>
      </c>
      <c r="U1026" s="64">
        <f t="shared" si="367"/>
        <v>0</v>
      </c>
      <c r="W1026" s="71">
        <f t="shared" si="368"/>
        <v>0</v>
      </c>
      <c r="Y1026" s="71">
        <f t="shared" si="369"/>
        <v>0</v>
      </c>
      <c r="AA1026" s="71">
        <f t="shared" si="370"/>
        <v>0</v>
      </c>
      <c r="AC1026" s="71">
        <f t="shared" si="371"/>
        <v>0</v>
      </c>
      <c r="AK1026" s="71">
        <f t="shared" si="372"/>
        <v>0</v>
      </c>
      <c r="AM1026" s="71">
        <f t="shared" si="373"/>
        <v>0</v>
      </c>
      <c r="AO1026" s="71">
        <f t="shared" si="374"/>
        <v>0</v>
      </c>
      <c r="AQ1026" s="71">
        <f t="shared" si="375"/>
        <v>0</v>
      </c>
      <c r="AT1026" s="71">
        <f t="shared" si="376"/>
        <v>0</v>
      </c>
      <c r="AV1026" s="71">
        <f t="shared" si="377"/>
        <v>0</v>
      </c>
      <c r="AX1026" s="71">
        <f t="shared" si="378"/>
        <v>0</v>
      </c>
      <c r="AZ1026" s="71">
        <f t="shared" si="379"/>
        <v>0</v>
      </c>
      <c r="BE1026" s="102">
        <f t="shared" si="380"/>
        <v>4.4721359549995796</v>
      </c>
      <c r="BG1026" s="81" t="str">
        <f t="shared" si="382"/>
        <v>BASSO</v>
      </c>
      <c r="BK1026" s="81" t="str">
        <f t="shared" si="385"/>
        <v>MOLTO BASSO</v>
      </c>
    </row>
    <row r="1027" spans="7:63" x14ac:dyDescent="0.15">
      <c r="G1027" s="64">
        <f t="shared" si="384"/>
        <v>0</v>
      </c>
      <c r="K1027" s="64">
        <f t="shared" ref="K1027:K1042" si="386">J1027/2</f>
        <v>0</v>
      </c>
      <c r="M1027" s="64">
        <f t="shared" ref="M1027:M1042" si="387">L1027/3</f>
        <v>0</v>
      </c>
      <c r="O1027" s="64">
        <f t="shared" ref="O1027:O1090" si="388">N1027/5</f>
        <v>0</v>
      </c>
      <c r="Q1027" s="64">
        <f t="shared" ref="Q1027:Q1090" si="389">P1027/3</f>
        <v>0</v>
      </c>
      <c r="S1027" s="71">
        <f t="shared" ref="S1027:S1090" si="390">R1027/3</f>
        <v>0</v>
      </c>
      <c r="U1027" s="64">
        <f t="shared" ref="U1027:U1090" si="391">T1027/3</f>
        <v>0</v>
      </c>
      <c r="W1027" s="71">
        <f t="shared" ref="W1027:W1090" si="392">V1027/4</f>
        <v>0</v>
      </c>
      <c r="Y1027" s="71">
        <f t="shared" ref="Y1027:Y1090" si="393">X1027/3</f>
        <v>0</v>
      </c>
      <c r="AA1027" s="71">
        <f t="shared" ref="AA1027:AA1090" si="394">Z1027/3</f>
        <v>0</v>
      </c>
      <c r="AC1027" s="71">
        <f t="shared" ref="AC1027:AC1090" si="395">AB1027/2</f>
        <v>0</v>
      </c>
      <c r="AK1027" s="71">
        <f t="shared" ref="AK1027:AK1090" si="396">AJ1027/2</f>
        <v>0</v>
      </c>
      <c r="AM1027" s="71">
        <f t="shared" ref="AM1027:AM1090" si="397">AL1027/3</f>
        <v>0</v>
      </c>
      <c r="AO1027" s="71">
        <f t="shared" ref="AO1027:AO1090" si="398">AN1027/3</f>
        <v>0</v>
      </c>
      <c r="AQ1027" s="71">
        <f t="shared" ref="AQ1027:AQ1090" si="399">AP1027/3</f>
        <v>0</v>
      </c>
      <c r="AT1027" s="71">
        <f t="shared" ref="AT1027:AT1090" si="400">AS1027/3</f>
        <v>0</v>
      </c>
      <c r="AV1027" s="71">
        <f t="shared" ref="AV1027:AV1090" si="401">AU1027/3</f>
        <v>0</v>
      </c>
      <c r="AX1027" s="71">
        <f t="shared" ref="AX1027:AX1090" si="402">AW1027/2</f>
        <v>0</v>
      </c>
      <c r="AZ1027" s="71">
        <f t="shared" ref="AZ1027:AZ1090" si="403">AY1027/3</f>
        <v>0</v>
      </c>
      <c r="BE1027" s="102">
        <f t="shared" ref="BE1027:BE1079" si="404">SQRT((1-G1027)^2 + (1-I1027)^2 + (1-K1027)^2 + (1-M1027)^2 + (1-O1027)^2 + (1-Q1027)^2 + (1-S1027)^2 + (1-U1027)^2 + (1-W1027)^2 + (1-Y1027)^2 + (1-AA1027)^2 + (1-AC1027)^2 + (1-AK1027)^2 + (1-AM1027)^2 + (1-AO1027)^2 + (1-AQ1027)^2 + (1-AT1027)^2 + (1-AV1027)^2 + (1-AX1027)^2 + (1-AZ1027)^2)</f>
        <v>4.4721359549995796</v>
      </c>
      <c r="BG1027" s="81" t="str">
        <f t="shared" ref="BG1027:BG1090" si="405">IF(BF1027&lt;=0.33, "BASSO", IF(BF1027&lt;=0.66, "MEDIO", "ALTO"))</f>
        <v>BASSO</v>
      </c>
      <c r="BK1027" s="81" t="str">
        <f t="shared" ref="BK1027:BK1046" si="406">IF(BF1027&lt;0.3,"MOLTO BASSO",IF(BF1027&lt;0.45,"BASSO",IF(BF1027&lt;0.65,"MEDIO","ALTO")))</f>
        <v>MOLTO BASSO</v>
      </c>
    </row>
    <row r="1028" spans="7:63" x14ac:dyDescent="0.15">
      <c r="G1028" s="64">
        <f t="shared" si="384"/>
        <v>0</v>
      </c>
      <c r="K1028" s="64">
        <f t="shared" si="386"/>
        <v>0</v>
      </c>
      <c r="M1028" s="64">
        <f t="shared" si="387"/>
        <v>0</v>
      </c>
      <c r="O1028" s="64">
        <f t="shared" si="388"/>
        <v>0</v>
      </c>
      <c r="Q1028" s="64">
        <f t="shared" si="389"/>
        <v>0</v>
      </c>
      <c r="S1028" s="71">
        <f t="shared" si="390"/>
        <v>0</v>
      </c>
      <c r="U1028" s="64">
        <f t="shared" si="391"/>
        <v>0</v>
      </c>
      <c r="W1028" s="71">
        <f t="shared" si="392"/>
        <v>0</v>
      </c>
      <c r="Y1028" s="71">
        <f t="shared" si="393"/>
        <v>0</v>
      </c>
      <c r="AA1028" s="71">
        <f t="shared" si="394"/>
        <v>0</v>
      </c>
      <c r="AC1028" s="71">
        <f t="shared" si="395"/>
        <v>0</v>
      </c>
      <c r="AK1028" s="71">
        <f t="shared" si="396"/>
        <v>0</v>
      </c>
      <c r="AM1028" s="71">
        <f t="shared" si="397"/>
        <v>0</v>
      </c>
      <c r="AO1028" s="71">
        <f t="shared" si="398"/>
        <v>0</v>
      </c>
      <c r="AQ1028" s="71">
        <f t="shared" si="399"/>
        <v>0</v>
      </c>
      <c r="AT1028" s="71">
        <f t="shared" si="400"/>
        <v>0</v>
      </c>
      <c r="AV1028" s="71">
        <f t="shared" si="401"/>
        <v>0</v>
      </c>
      <c r="AX1028" s="71">
        <f t="shared" si="402"/>
        <v>0</v>
      </c>
      <c r="AZ1028" s="71">
        <f t="shared" si="403"/>
        <v>0</v>
      </c>
      <c r="BE1028" s="102">
        <f t="shared" si="404"/>
        <v>4.4721359549995796</v>
      </c>
      <c r="BG1028" s="81" t="str">
        <f t="shared" si="405"/>
        <v>BASSO</v>
      </c>
      <c r="BK1028" s="81" t="str">
        <f t="shared" si="406"/>
        <v>MOLTO BASSO</v>
      </c>
    </row>
    <row r="1029" spans="7:63" x14ac:dyDescent="0.15">
      <c r="G1029" s="64">
        <f t="shared" si="384"/>
        <v>0</v>
      </c>
      <c r="K1029" s="64">
        <f t="shared" si="386"/>
        <v>0</v>
      </c>
      <c r="M1029" s="64">
        <f t="shared" si="387"/>
        <v>0</v>
      </c>
      <c r="O1029" s="64">
        <f t="shared" si="388"/>
        <v>0</v>
      </c>
      <c r="Q1029" s="64">
        <f t="shared" si="389"/>
        <v>0</v>
      </c>
      <c r="S1029" s="71">
        <f t="shared" si="390"/>
        <v>0</v>
      </c>
      <c r="U1029" s="64">
        <f t="shared" si="391"/>
        <v>0</v>
      </c>
      <c r="W1029" s="71">
        <f t="shared" si="392"/>
        <v>0</v>
      </c>
      <c r="Y1029" s="71">
        <f t="shared" si="393"/>
        <v>0</v>
      </c>
      <c r="AA1029" s="71">
        <f t="shared" si="394"/>
        <v>0</v>
      </c>
      <c r="AC1029" s="71">
        <f t="shared" si="395"/>
        <v>0</v>
      </c>
      <c r="AK1029" s="71">
        <f t="shared" si="396"/>
        <v>0</v>
      </c>
      <c r="AM1029" s="71">
        <f t="shared" si="397"/>
        <v>0</v>
      </c>
      <c r="AO1029" s="71">
        <f t="shared" si="398"/>
        <v>0</v>
      </c>
      <c r="AQ1029" s="71">
        <f t="shared" si="399"/>
        <v>0</v>
      </c>
      <c r="AT1029" s="71">
        <f t="shared" si="400"/>
        <v>0</v>
      </c>
      <c r="AV1029" s="71">
        <f t="shared" si="401"/>
        <v>0</v>
      </c>
      <c r="AX1029" s="71">
        <f t="shared" si="402"/>
        <v>0</v>
      </c>
      <c r="AZ1029" s="71">
        <f t="shared" si="403"/>
        <v>0</v>
      </c>
      <c r="BE1029" s="102">
        <f t="shared" si="404"/>
        <v>4.4721359549995796</v>
      </c>
      <c r="BG1029" s="81" t="str">
        <f t="shared" si="405"/>
        <v>BASSO</v>
      </c>
      <c r="BK1029" s="81" t="str">
        <f t="shared" si="406"/>
        <v>MOLTO BASSO</v>
      </c>
    </row>
    <row r="1030" spans="7:63" x14ac:dyDescent="0.15">
      <c r="G1030" s="64">
        <f t="shared" si="384"/>
        <v>0</v>
      </c>
      <c r="K1030" s="64">
        <f t="shared" si="386"/>
        <v>0</v>
      </c>
      <c r="M1030" s="64">
        <f t="shared" si="387"/>
        <v>0</v>
      </c>
      <c r="O1030" s="64">
        <f t="shared" si="388"/>
        <v>0</v>
      </c>
      <c r="Q1030" s="64">
        <f t="shared" si="389"/>
        <v>0</v>
      </c>
      <c r="S1030" s="71">
        <f t="shared" si="390"/>
        <v>0</v>
      </c>
      <c r="U1030" s="64">
        <f t="shared" si="391"/>
        <v>0</v>
      </c>
      <c r="W1030" s="71">
        <f t="shared" si="392"/>
        <v>0</v>
      </c>
      <c r="Y1030" s="71">
        <f t="shared" si="393"/>
        <v>0</v>
      </c>
      <c r="AA1030" s="71">
        <f t="shared" si="394"/>
        <v>0</v>
      </c>
      <c r="AC1030" s="71">
        <f t="shared" si="395"/>
        <v>0</v>
      </c>
      <c r="AK1030" s="71">
        <f t="shared" si="396"/>
        <v>0</v>
      </c>
      <c r="AM1030" s="71">
        <f t="shared" si="397"/>
        <v>0</v>
      </c>
      <c r="AO1030" s="71">
        <f t="shared" si="398"/>
        <v>0</v>
      </c>
      <c r="AQ1030" s="71">
        <f t="shared" si="399"/>
        <v>0</v>
      </c>
      <c r="AT1030" s="71">
        <f t="shared" si="400"/>
        <v>0</v>
      </c>
      <c r="AV1030" s="71">
        <f t="shared" si="401"/>
        <v>0</v>
      </c>
      <c r="AX1030" s="71">
        <f t="shared" si="402"/>
        <v>0</v>
      </c>
      <c r="AZ1030" s="71">
        <f t="shared" si="403"/>
        <v>0</v>
      </c>
      <c r="BE1030" s="102">
        <f t="shared" si="404"/>
        <v>4.4721359549995796</v>
      </c>
      <c r="BG1030" s="81" t="str">
        <f t="shared" si="405"/>
        <v>BASSO</v>
      </c>
      <c r="BK1030" s="81" t="str">
        <f t="shared" si="406"/>
        <v>MOLTO BASSO</v>
      </c>
    </row>
    <row r="1031" spans="7:63" x14ac:dyDescent="0.15">
      <c r="G1031" s="64">
        <f t="shared" si="384"/>
        <v>0</v>
      </c>
      <c r="K1031" s="64">
        <f t="shared" si="386"/>
        <v>0</v>
      </c>
      <c r="M1031" s="64">
        <f t="shared" si="387"/>
        <v>0</v>
      </c>
      <c r="O1031" s="64">
        <f t="shared" si="388"/>
        <v>0</v>
      </c>
      <c r="Q1031" s="64">
        <f t="shared" si="389"/>
        <v>0</v>
      </c>
      <c r="S1031" s="71">
        <f t="shared" si="390"/>
        <v>0</v>
      </c>
      <c r="U1031" s="64">
        <f t="shared" si="391"/>
        <v>0</v>
      </c>
      <c r="W1031" s="71">
        <f t="shared" si="392"/>
        <v>0</v>
      </c>
      <c r="Y1031" s="71">
        <f t="shared" si="393"/>
        <v>0</v>
      </c>
      <c r="AA1031" s="71">
        <f t="shared" si="394"/>
        <v>0</v>
      </c>
      <c r="AC1031" s="71">
        <f t="shared" si="395"/>
        <v>0</v>
      </c>
      <c r="AK1031" s="71">
        <f t="shared" si="396"/>
        <v>0</v>
      </c>
      <c r="AM1031" s="71">
        <f t="shared" si="397"/>
        <v>0</v>
      </c>
      <c r="AO1031" s="71">
        <f t="shared" si="398"/>
        <v>0</v>
      </c>
      <c r="AQ1031" s="71">
        <f t="shared" si="399"/>
        <v>0</v>
      </c>
      <c r="AT1031" s="71">
        <f t="shared" si="400"/>
        <v>0</v>
      </c>
      <c r="AV1031" s="71">
        <f t="shared" si="401"/>
        <v>0</v>
      </c>
      <c r="AX1031" s="71">
        <f t="shared" si="402"/>
        <v>0</v>
      </c>
      <c r="AZ1031" s="71">
        <f t="shared" si="403"/>
        <v>0</v>
      </c>
      <c r="BE1031" s="102">
        <f t="shared" si="404"/>
        <v>4.4721359549995796</v>
      </c>
      <c r="BG1031" s="81" t="str">
        <f t="shared" si="405"/>
        <v>BASSO</v>
      </c>
      <c r="BK1031" s="81" t="str">
        <f t="shared" si="406"/>
        <v>MOLTO BASSO</v>
      </c>
    </row>
    <row r="1032" spans="7:63" x14ac:dyDescent="0.15">
      <c r="G1032" s="64">
        <f t="shared" si="384"/>
        <v>0</v>
      </c>
      <c r="K1032" s="64">
        <f t="shared" si="386"/>
        <v>0</v>
      </c>
      <c r="M1032" s="64">
        <f t="shared" si="387"/>
        <v>0</v>
      </c>
      <c r="O1032" s="64">
        <f t="shared" si="388"/>
        <v>0</v>
      </c>
      <c r="Q1032" s="64">
        <f t="shared" si="389"/>
        <v>0</v>
      </c>
      <c r="S1032" s="71">
        <f t="shared" si="390"/>
        <v>0</v>
      </c>
      <c r="U1032" s="64">
        <f t="shared" si="391"/>
        <v>0</v>
      </c>
      <c r="W1032" s="71">
        <f t="shared" si="392"/>
        <v>0</v>
      </c>
      <c r="Y1032" s="71">
        <f t="shared" si="393"/>
        <v>0</v>
      </c>
      <c r="AA1032" s="71">
        <f t="shared" si="394"/>
        <v>0</v>
      </c>
      <c r="AC1032" s="71">
        <f t="shared" si="395"/>
        <v>0</v>
      </c>
      <c r="AK1032" s="71">
        <f t="shared" si="396"/>
        <v>0</v>
      </c>
      <c r="AM1032" s="71">
        <f t="shared" si="397"/>
        <v>0</v>
      </c>
      <c r="AO1032" s="71">
        <f t="shared" si="398"/>
        <v>0</v>
      </c>
      <c r="AQ1032" s="71">
        <f t="shared" si="399"/>
        <v>0</v>
      </c>
      <c r="AT1032" s="71">
        <f t="shared" si="400"/>
        <v>0</v>
      </c>
      <c r="AV1032" s="71">
        <f t="shared" si="401"/>
        <v>0</v>
      </c>
      <c r="AX1032" s="71">
        <f t="shared" si="402"/>
        <v>0</v>
      </c>
      <c r="AZ1032" s="71">
        <f t="shared" si="403"/>
        <v>0</v>
      </c>
      <c r="BE1032" s="102">
        <f t="shared" si="404"/>
        <v>4.4721359549995796</v>
      </c>
      <c r="BG1032" s="81" t="str">
        <f t="shared" si="405"/>
        <v>BASSO</v>
      </c>
      <c r="BK1032" s="81" t="str">
        <f t="shared" si="406"/>
        <v>MOLTO BASSO</v>
      </c>
    </row>
    <row r="1033" spans="7:63" x14ac:dyDescent="0.15">
      <c r="G1033" s="64">
        <f t="shared" si="384"/>
        <v>0</v>
      </c>
      <c r="K1033" s="64">
        <f t="shared" si="386"/>
        <v>0</v>
      </c>
      <c r="M1033" s="64">
        <f t="shared" si="387"/>
        <v>0</v>
      </c>
      <c r="O1033" s="64">
        <f t="shared" si="388"/>
        <v>0</v>
      </c>
      <c r="Q1033" s="64">
        <f t="shared" si="389"/>
        <v>0</v>
      </c>
      <c r="S1033" s="71">
        <f t="shared" si="390"/>
        <v>0</v>
      </c>
      <c r="U1033" s="64">
        <f t="shared" si="391"/>
        <v>0</v>
      </c>
      <c r="W1033" s="71">
        <f t="shared" si="392"/>
        <v>0</v>
      </c>
      <c r="Y1033" s="71">
        <f t="shared" si="393"/>
        <v>0</v>
      </c>
      <c r="AA1033" s="71">
        <f t="shared" si="394"/>
        <v>0</v>
      </c>
      <c r="AC1033" s="71">
        <f t="shared" si="395"/>
        <v>0</v>
      </c>
      <c r="AK1033" s="71">
        <f t="shared" si="396"/>
        <v>0</v>
      </c>
      <c r="AM1033" s="71">
        <f t="shared" si="397"/>
        <v>0</v>
      </c>
      <c r="AO1033" s="71">
        <f t="shared" si="398"/>
        <v>0</v>
      </c>
      <c r="AQ1033" s="71">
        <f t="shared" si="399"/>
        <v>0</v>
      </c>
      <c r="AT1033" s="71">
        <f t="shared" si="400"/>
        <v>0</v>
      </c>
      <c r="AV1033" s="71">
        <f t="shared" si="401"/>
        <v>0</v>
      </c>
      <c r="AX1033" s="71">
        <f t="shared" si="402"/>
        <v>0</v>
      </c>
      <c r="AZ1033" s="71">
        <f t="shared" si="403"/>
        <v>0</v>
      </c>
      <c r="BE1033" s="102">
        <f t="shared" si="404"/>
        <v>4.4721359549995796</v>
      </c>
      <c r="BG1033" s="81" t="str">
        <f t="shared" si="405"/>
        <v>BASSO</v>
      </c>
      <c r="BK1033" s="81" t="str">
        <f t="shared" si="406"/>
        <v>MOLTO BASSO</v>
      </c>
    </row>
    <row r="1034" spans="7:63" x14ac:dyDescent="0.15">
      <c r="G1034" s="64">
        <f t="shared" si="384"/>
        <v>0</v>
      </c>
      <c r="K1034" s="64">
        <f t="shared" si="386"/>
        <v>0</v>
      </c>
      <c r="M1034" s="64">
        <f t="shared" si="387"/>
        <v>0</v>
      </c>
      <c r="O1034" s="64">
        <f t="shared" si="388"/>
        <v>0</v>
      </c>
      <c r="Q1034" s="64">
        <f t="shared" si="389"/>
        <v>0</v>
      </c>
      <c r="S1034" s="71">
        <f t="shared" si="390"/>
        <v>0</v>
      </c>
      <c r="U1034" s="64">
        <f t="shared" si="391"/>
        <v>0</v>
      </c>
      <c r="W1034" s="71">
        <f t="shared" si="392"/>
        <v>0</v>
      </c>
      <c r="Y1034" s="71">
        <f t="shared" si="393"/>
        <v>0</v>
      </c>
      <c r="AA1034" s="71">
        <f t="shared" si="394"/>
        <v>0</v>
      </c>
      <c r="AC1034" s="71">
        <f t="shared" si="395"/>
        <v>0</v>
      </c>
      <c r="AK1034" s="71">
        <f t="shared" si="396"/>
        <v>0</v>
      </c>
      <c r="AM1034" s="71">
        <f t="shared" si="397"/>
        <v>0</v>
      </c>
      <c r="AO1034" s="71">
        <f t="shared" si="398"/>
        <v>0</v>
      </c>
      <c r="AQ1034" s="71">
        <f t="shared" si="399"/>
        <v>0</v>
      </c>
      <c r="AT1034" s="71">
        <f t="shared" si="400"/>
        <v>0</v>
      </c>
      <c r="AV1034" s="71">
        <f t="shared" si="401"/>
        <v>0</v>
      </c>
      <c r="AX1034" s="71">
        <f t="shared" si="402"/>
        <v>0</v>
      </c>
      <c r="AZ1034" s="71">
        <f t="shared" si="403"/>
        <v>0</v>
      </c>
      <c r="BE1034" s="102">
        <f t="shared" si="404"/>
        <v>4.4721359549995796</v>
      </c>
      <c r="BG1034" s="81" t="str">
        <f t="shared" si="405"/>
        <v>BASSO</v>
      </c>
      <c r="BK1034" s="81" t="str">
        <f t="shared" si="406"/>
        <v>MOLTO BASSO</v>
      </c>
    </row>
    <row r="1035" spans="7:63" x14ac:dyDescent="0.15">
      <c r="G1035" s="64">
        <f t="shared" si="384"/>
        <v>0</v>
      </c>
      <c r="K1035" s="64">
        <f t="shared" si="386"/>
        <v>0</v>
      </c>
      <c r="M1035" s="64">
        <f t="shared" si="387"/>
        <v>0</v>
      </c>
      <c r="O1035" s="64">
        <f t="shared" si="388"/>
        <v>0</v>
      </c>
      <c r="Q1035" s="64">
        <f t="shared" si="389"/>
        <v>0</v>
      </c>
      <c r="S1035" s="71">
        <f t="shared" si="390"/>
        <v>0</v>
      </c>
      <c r="U1035" s="64">
        <f t="shared" si="391"/>
        <v>0</v>
      </c>
      <c r="W1035" s="71">
        <f t="shared" si="392"/>
        <v>0</v>
      </c>
      <c r="Y1035" s="71">
        <f t="shared" si="393"/>
        <v>0</v>
      </c>
      <c r="AA1035" s="71">
        <f t="shared" si="394"/>
        <v>0</v>
      </c>
      <c r="AC1035" s="71">
        <f t="shared" si="395"/>
        <v>0</v>
      </c>
      <c r="AK1035" s="71">
        <f t="shared" si="396"/>
        <v>0</v>
      </c>
      <c r="AM1035" s="71">
        <f t="shared" si="397"/>
        <v>0</v>
      </c>
      <c r="AO1035" s="71">
        <f t="shared" si="398"/>
        <v>0</v>
      </c>
      <c r="AQ1035" s="71">
        <f t="shared" si="399"/>
        <v>0</v>
      </c>
      <c r="AT1035" s="71">
        <f t="shared" si="400"/>
        <v>0</v>
      </c>
      <c r="AV1035" s="71">
        <f t="shared" si="401"/>
        <v>0</v>
      </c>
      <c r="AX1035" s="71">
        <f t="shared" si="402"/>
        <v>0</v>
      </c>
      <c r="AZ1035" s="71">
        <f t="shared" si="403"/>
        <v>0</v>
      </c>
      <c r="BE1035" s="102">
        <f t="shared" si="404"/>
        <v>4.4721359549995796</v>
      </c>
      <c r="BG1035" s="81" t="str">
        <f t="shared" si="405"/>
        <v>BASSO</v>
      </c>
      <c r="BK1035" s="81" t="str">
        <f t="shared" si="406"/>
        <v>MOLTO BASSO</v>
      </c>
    </row>
    <row r="1036" spans="7:63" x14ac:dyDescent="0.15">
      <c r="G1036" s="64">
        <f t="shared" si="384"/>
        <v>0</v>
      </c>
      <c r="K1036" s="64">
        <f t="shared" si="386"/>
        <v>0</v>
      </c>
      <c r="M1036" s="64">
        <f t="shared" si="387"/>
        <v>0</v>
      </c>
      <c r="O1036" s="64">
        <f t="shared" si="388"/>
        <v>0</v>
      </c>
      <c r="Q1036" s="64">
        <f t="shared" si="389"/>
        <v>0</v>
      </c>
      <c r="S1036" s="71">
        <f t="shared" si="390"/>
        <v>0</v>
      </c>
      <c r="U1036" s="64">
        <f t="shared" si="391"/>
        <v>0</v>
      </c>
      <c r="W1036" s="71">
        <f t="shared" si="392"/>
        <v>0</v>
      </c>
      <c r="Y1036" s="71">
        <f t="shared" si="393"/>
        <v>0</v>
      </c>
      <c r="AA1036" s="71">
        <f t="shared" si="394"/>
        <v>0</v>
      </c>
      <c r="AC1036" s="71">
        <f t="shared" si="395"/>
        <v>0</v>
      </c>
      <c r="AK1036" s="71">
        <f t="shared" si="396"/>
        <v>0</v>
      </c>
      <c r="AM1036" s="71">
        <f t="shared" si="397"/>
        <v>0</v>
      </c>
      <c r="AO1036" s="71">
        <f t="shared" si="398"/>
        <v>0</v>
      </c>
      <c r="AQ1036" s="71">
        <f t="shared" si="399"/>
        <v>0</v>
      </c>
      <c r="AT1036" s="71">
        <f t="shared" si="400"/>
        <v>0</v>
      </c>
      <c r="AV1036" s="71">
        <f t="shared" si="401"/>
        <v>0</v>
      </c>
      <c r="AX1036" s="71">
        <f t="shared" si="402"/>
        <v>0</v>
      </c>
      <c r="AZ1036" s="71">
        <f t="shared" si="403"/>
        <v>0</v>
      </c>
      <c r="BE1036" s="102">
        <f t="shared" si="404"/>
        <v>4.4721359549995796</v>
      </c>
      <c r="BG1036" s="81" t="str">
        <f t="shared" si="405"/>
        <v>BASSO</v>
      </c>
      <c r="BK1036" s="81" t="str">
        <f t="shared" si="406"/>
        <v>MOLTO BASSO</v>
      </c>
    </row>
    <row r="1037" spans="7:63" x14ac:dyDescent="0.15">
      <c r="G1037" s="64">
        <f t="shared" si="384"/>
        <v>0</v>
      </c>
      <c r="K1037" s="64">
        <f t="shared" si="386"/>
        <v>0</v>
      </c>
      <c r="M1037" s="64">
        <f t="shared" si="387"/>
        <v>0</v>
      </c>
      <c r="O1037" s="64">
        <f t="shared" si="388"/>
        <v>0</v>
      </c>
      <c r="Q1037" s="64">
        <f t="shared" si="389"/>
        <v>0</v>
      </c>
      <c r="S1037" s="71">
        <f t="shared" si="390"/>
        <v>0</v>
      </c>
      <c r="U1037" s="64">
        <f t="shared" si="391"/>
        <v>0</v>
      </c>
      <c r="W1037" s="71">
        <f t="shared" si="392"/>
        <v>0</v>
      </c>
      <c r="Y1037" s="71">
        <f t="shared" si="393"/>
        <v>0</v>
      </c>
      <c r="AA1037" s="71">
        <f t="shared" si="394"/>
        <v>0</v>
      </c>
      <c r="AC1037" s="71">
        <f t="shared" si="395"/>
        <v>0</v>
      </c>
      <c r="AK1037" s="71">
        <f t="shared" si="396"/>
        <v>0</v>
      </c>
      <c r="AM1037" s="71">
        <f t="shared" si="397"/>
        <v>0</v>
      </c>
      <c r="AO1037" s="71">
        <f t="shared" si="398"/>
        <v>0</v>
      </c>
      <c r="AQ1037" s="71">
        <f t="shared" si="399"/>
        <v>0</v>
      </c>
      <c r="AT1037" s="71">
        <f t="shared" si="400"/>
        <v>0</v>
      </c>
      <c r="AV1037" s="71">
        <f t="shared" si="401"/>
        <v>0</v>
      </c>
      <c r="AX1037" s="71">
        <f t="shared" si="402"/>
        <v>0</v>
      </c>
      <c r="AZ1037" s="71">
        <f t="shared" si="403"/>
        <v>0</v>
      </c>
      <c r="BE1037" s="102">
        <f t="shared" si="404"/>
        <v>4.4721359549995796</v>
      </c>
      <c r="BG1037" s="81" t="str">
        <f t="shared" si="405"/>
        <v>BASSO</v>
      </c>
      <c r="BK1037" s="81" t="str">
        <f t="shared" si="406"/>
        <v>MOLTO BASSO</v>
      </c>
    </row>
    <row r="1038" spans="7:63" x14ac:dyDescent="0.15">
      <c r="G1038" s="64">
        <f t="shared" si="384"/>
        <v>0</v>
      </c>
      <c r="K1038" s="64">
        <f t="shared" si="386"/>
        <v>0</v>
      </c>
      <c r="M1038" s="64">
        <f t="shared" si="387"/>
        <v>0</v>
      </c>
      <c r="O1038" s="64">
        <f t="shared" si="388"/>
        <v>0</v>
      </c>
      <c r="Q1038" s="64">
        <f t="shared" si="389"/>
        <v>0</v>
      </c>
      <c r="S1038" s="71">
        <f t="shared" si="390"/>
        <v>0</v>
      </c>
      <c r="U1038" s="64">
        <f t="shared" si="391"/>
        <v>0</v>
      </c>
      <c r="W1038" s="71">
        <f t="shared" si="392"/>
        <v>0</v>
      </c>
      <c r="Y1038" s="71">
        <f t="shared" si="393"/>
        <v>0</v>
      </c>
      <c r="AA1038" s="71">
        <f t="shared" si="394"/>
        <v>0</v>
      </c>
      <c r="AC1038" s="71">
        <f t="shared" si="395"/>
        <v>0</v>
      </c>
      <c r="AK1038" s="71">
        <f t="shared" si="396"/>
        <v>0</v>
      </c>
      <c r="AM1038" s="71">
        <f t="shared" si="397"/>
        <v>0</v>
      </c>
      <c r="AO1038" s="71">
        <f t="shared" si="398"/>
        <v>0</v>
      </c>
      <c r="AQ1038" s="71">
        <f t="shared" si="399"/>
        <v>0</v>
      </c>
      <c r="AT1038" s="71">
        <f t="shared" si="400"/>
        <v>0</v>
      </c>
      <c r="AV1038" s="71">
        <f t="shared" si="401"/>
        <v>0</v>
      </c>
      <c r="AX1038" s="71">
        <f t="shared" si="402"/>
        <v>0</v>
      </c>
      <c r="AZ1038" s="71">
        <f t="shared" si="403"/>
        <v>0</v>
      </c>
      <c r="BE1038" s="102">
        <f t="shared" si="404"/>
        <v>4.4721359549995796</v>
      </c>
      <c r="BG1038" s="81" t="str">
        <f t="shared" si="405"/>
        <v>BASSO</v>
      </c>
      <c r="BK1038" s="81" t="str">
        <f t="shared" si="406"/>
        <v>MOLTO BASSO</v>
      </c>
    </row>
    <row r="1039" spans="7:63" x14ac:dyDescent="0.15">
      <c r="G1039" s="64">
        <f t="shared" si="384"/>
        <v>0</v>
      </c>
      <c r="K1039" s="64">
        <f t="shared" si="386"/>
        <v>0</v>
      </c>
      <c r="M1039" s="64">
        <f t="shared" si="387"/>
        <v>0</v>
      </c>
      <c r="O1039" s="64">
        <f t="shared" si="388"/>
        <v>0</v>
      </c>
      <c r="Q1039" s="64">
        <f t="shared" si="389"/>
        <v>0</v>
      </c>
      <c r="S1039" s="71">
        <f t="shared" si="390"/>
        <v>0</v>
      </c>
      <c r="U1039" s="64">
        <f t="shared" si="391"/>
        <v>0</v>
      </c>
      <c r="W1039" s="71">
        <f t="shared" si="392"/>
        <v>0</v>
      </c>
      <c r="Y1039" s="71">
        <f t="shared" si="393"/>
        <v>0</v>
      </c>
      <c r="AA1039" s="71">
        <f t="shared" si="394"/>
        <v>0</v>
      </c>
      <c r="AC1039" s="71">
        <f t="shared" si="395"/>
        <v>0</v>
      </c>
      <c r="AK1039" s="71">
        <f t="shared" si="396"/>
        <v>0</v>
      </c>
      <c r="AM1039" s="71">
        <f t="shared" si="397"/>
        <v>0</v>
      </c>
      <c r="AO1039" s="71">
        <f t="shared" si="398"/>
        <v>0</v>
      </c>
      <c r="AQ1039" s="71">
        <f t="shared" si="399"/>
        <v>0</v>
      </c>
      <c r="AT1039" s="71">
        <f t="shared" si="400"/>
        <v>0</v>
      </c>
      <c r="AV1039" s="71">
        <f t="shared" si="401"/>
        <v>0</v>
      </c>
      <c r="AX1039" s="71">
        <f t="shared" si="402"/>
        <v>0</v>
      </c>
      <c r="AZ1039" s="71">
        <f t="shared" si="403"/>
        <v>0</v>
      </c>
      <c r="BE1039" s="102">
        <f t="shared" si="404"/>
        <v>4.4721359549995796</v>
      </c>
      <c r="BG1039" s="81" t="str">
        <f t="shared" si="405"/>
        <v>BASSO</v>
      </c>
      <c r="BK1039" s="81" t="str">
        <f t="shared" si="406"/>
        <v>MOLTO BASSO</v>
      </c>
    </row>
    <row r="1040" spans="7:63" x14ac:dyDescent="0.15">
      <c r="G1040" s="64">
        <f t="shared" si="384"/>
        <v>0</v>
      </c>
      <c r="K1040" s="64">
        <f t="shared" si="386"/>
        <v>0</v>
      </c>
      <c r="M1040" s="64">
        <f t="shared" si="387"/>
        <v>0</v>
      </c>
      <c r="O1040" s="64">
        <f t="shared" si="388"/>
        <v>0</v>
      </c>
      <c r="Q1040" s="64">
        <f t="shared" si="389"/>
        <v>0</v>
      </c>
      <c r="S1040" s="71">
        <f t="shared" si="390"/>
        <v>0</v>
      </c>
      <c r="U1040" s="64">
        <f t="shared" si="391"/>
        <v>0</v>
      </c>
      <c r="W1040" s="71">
        <f t="shared" si="392"/>
        <v>0</v>
      </c>
      <c r="Y1040" s="71">
        <f t="shared" si="393"/>
        <v>0</v>
      </c>
      <c r="AA1040" s="71">
        <f t="shared" si="394"/>
        <v>0</v>
      </c>
      <c r="AC1040" s="71">
        <f t="shared" si="395"/>
        <v>0</v>
      </c>
      <c r="AK1040" s="71">
        <f t="shared" si="396"/>
        <v>0</v>
      </c>
      <c r="AM1040" s="71">
        <f t="shared" si="397"/>
        <v>0</v>
      </c>
      <c r="AO1040" s="71">
        <f t="shared" si="398"/>
        <v>0</v>
      </c>
      <c r="AQ1040" s="71">
        <f t="shared" si="399"/>
        <v>0</v>
      </c>
      <c r="AT1040" s="71">
        <f t="shared" si="400"/>
        <v>0</v>
      </c>
      <c r="AV1040" s="71">
        <f t="shared" si="401"/>
        <v>0</v>
      </c>
      <c r="AX1040" s="71">
        <f t="shared" si="402"/>
        <v>0</v>
      </c>
      <c r="AZ1040" s="71">
        <f t="shared" si="403"/>
        <v>0</v>
      </c>
      <c r="BE1040" s="102">
        <f t="shared" si="404"/>
        <v>4.4721359549995796</v>
      </c>
      <c r="BG1040" s="81" t="str">
        <f t="shared" si="405"/>
        <v>BASSO</v>
      </c>
      <c r="BK1040" s="81" t="str">
        <f t="shared" si="406"/>
        <v>MOLTO BASSO</v>
      </c>
    </row>
    <row r="1041" spans="7:63" x14ac:dyDescent="0.15">
      <c r="G1041" s="64">
        <f t="shared" si="384"/>
        <v>0</v>
      </c>
      <c r="K1041" s="64">
        <f t="shared" si="386"/>
        <v>0</v>
      </c>
      <c r="M1041" s="64">
        <f t="shared" si="387"/>
        <v>0</v>
      </c>
      <c r="O1041" s="64">
        <f t="shared" si="388"/>
        <v>0</v>
      </c>
      <c r="Q1041" s="64">
        <f t="shared" si="389"/>
        <v>0</v>
      </c>
      <c r="S1041" s="71">
        <f t="shared" si="390"/>
        <v>0</v>
      </c>
      <c r="U1041" s="64">
        <f t="shared" si="391"/>
        <v>0</v>
      </c>
      <c r="W1041" s="71">
        <f t="shared" si="392"/>
        <v>0</v>
      </c>
      <c r="Y1041" s="71">
        <f t="shared" si="393"/>
        <v>0</v>
      </c>
      <c r="AA1041" s="71">
        <f t="shared" si="394"/>
        <v>0</v>
      </c>
      <c r="AC1041" s="71">
        <f t="shared" si="395"/>
        <v>0</v>
      </c>
      <c r="AK1041" s="71">
        <f t="shared" si="396"/>
        <v>0</v>
      </c>
      <c r="AM1041" s="71">
        <f t="shared" si="397"/>
        <v>0</v>
      </c>
      <c r="AO1041" s="71">
        <f t="shared" si="398"/>
        <v>0</v>
      </c>
      <c r="AQ1041" s="71">
        <f t="shared" si="399"/>
        <v>0</v>
      </c>
      <c r="AT1041" s="71">
        <f t="shared" si="400"/>
        <v>0</v>
      </c>
      <c r="AV1041" s="71">
        <f t="shared" si="401"/>
        <v>0</v>
      </c>
      <c r="AX1041" s="71">
        <f t="shared" si="402"/>
        <v>0</v>
      </c>
      <c r="AZ1041" s="71">
        <f t="shared" si="403"/>
        <v>0</v>
      </c>
      <c r="BE1041" s="102">
        <f t="shared" si="404"/>
        <v>4.4721359549995796</v>
      </c>
      <c r="BG1041" s="81" t="str">
        <f t="shared" si="405"/>
        <v>BASSO</v>
      </c>
      <c r="BK1041" s="81" t="str">
        <f t="shared" si="406"/>
        <v>MOLTO BASSO</v>
      </c>
    </row>
    <row r="1042" spans="7:63" x14ac:dyDescent="0.15">
      <c r="G1042" s="64">
        <f t="shared" si="384"/>
        <v>0</v>
      </c>
      <c r="K1042" s="64">
        <f t="shared" si="386"/>
        <v>0</v>
      </c>
      <c r="M1042" s="64">
        <f t="shared" si="387"/>
        <v>0</v>
      </c>
      <c r="O1042" s="64">
        <f t="shared" si="388"/>
        <v>0</v>
      </c>
      <c r="Q1042" s="64">
        <f t="shared" si="389"/>
        <v>0</v>
      </c>
      <c r="S1042" s="71">
        <f t="shared" si="390"/>
        <v>0</v>
      </c>
      <c r="U1042" s="64">
        <f t="shared" si="391"/>
        <v>0</v>
      </c>
      <c r="W1042" s="71">
        <f t="shared" si="392"/>
        <v>0</v>
      </c>
      <c r="Y1042" s="71">
        <f t="shared" si="393"/>
        <v>0</v>
      </c>
      <c r="AA1042" s="71">
        <f t="shared" si="394"/>
        <v>0</v>
      </c>
      <c r="AC1042" s="71">
        <f t="shared" si="395"/>
        <v>0</v>
      </c>
      <c r="AK1042" s="71">
        <f t="shared" si="396"/>
        <v>0</v>
      </c>
      <c r="AM1042" s="71">
        <f t="shared" si="397"/>
        <v>0</v>
      </c>
      <c r="AO1042" s="71">
        <f t="shared" si="398"/>
        <v>0</v>
      </c>
      <c r="AQ1042" s="71">
        <f t="shared" si="399"/>
        <v>0</v>
      </c>
      <c r="AT1042" s="71">
        <f t="shared" si="400"/>
        <v>0</v>
      </c>
      <c r="AV1042" s="71">
        <f t="shared" si="401"/>
        <v>0</v>
      </c>
      <c r="AX1042" s="71">
        <f t="shared" si="402"/>
        <v>0</v>
      </c>
      <c r="AZ1042" s="71">
        <f t="shared" si="403"/>
        <v>0</v>
      </c>
      <c r="BE1042" s="102">
        <f t="shared" si="404"/>
        <v>4.4721359549995796</v>
      </c>
      <c r="BG1042" s="81" t="str">
        <f t="shared" si="405"/>
        <v>BASSO</v>
      </c>
      <c r="BK1042" s="81" t="str">
        <f t="shared" si="406"/>
        <v>MOLTO BASSO</v>
      </c>
    </row>
    <row r="1043" spans="7:63" x14ac:dyDescent="0.15">
      <c r="G1043" s="64">
        <f t="shared" si="384"/>
        <v>0</v>
      </c>
      <c r="O1043" s="64">
        <f t="shared" si="388"/>
        <v>0</v>
      </c>
      <c r="Q1043" s="64">
        <f t="shared" si="389"/>
        <v>0</v>
      </c>
      <c r="S1043" s="71">
        <f t="shared" si="390"/>
        <v>0</v>
      </c>
      <c r="U1043" s="64">
        <f t="shared" si="391"/>
        <v>0</v>
      </c>
      <c r="W1043" s="71">
        <f t="shared" si="392"/>
        <v>0</v>
      </c>
      <c r="Y1043" s="71">
        <f t="shared" si="393"/>
        <v>0</v>
      </c>
      <c r="AA1043" s="71">
        <f t="shared" si="394"/>
        <v>0</v>
      </c>
      <c r="AC1043" s="71">
        <f t="shared" si="395"/>
        <v>0</v>
      </c>
      <c r="AK1043" s="71">
        <f t="shared" si="396"/>
        <v>0</v>
      </c>
      <c r="AM1043" s="71">
        <f t="shared" si="397"/>
        <v>0</v>
      </c>
      <c r="AO1043" s="71">
        <f t="shared" si="398"/>
        <v>0</v>
      </c>
      <c r="AQ1043" s="71">
        <f t="shared" si="399"/>
        <v>0</v>
      </c>
      <c r="AT1043" s="71">
        <f t="shared" si="400"/>
        <v>0</v>
      </c>
      <c r="AV1043" s="71">
        <f t="shared" si="401"/>
        <v>0</v>
      </c>
      <c r="AX1043" s="71">
        <f t="shared" si="402"/>
        <v>0</v>
      </c>
      <c r="AZ1043" s="71">
        <f t="shared" si="403"/>
        <v>0</v>
      </c>
      <c r="BE1043" s="102">
        <f t="shared" si="404"/>
        <v>4.4721359549995796</v>
      </c>
      <c r="BG1043" s="81" t="str">
        <f t="shared" si="405"/>
        <v>BASSO</v>
      </c>
      <c r="BK1043" s="81" t="str">
        <f t="shared" si="406"/>
        <v>MOLTO BASSO</v>
      </c>
    </row>
    <row r="1044" spans="7:63" x14ac:dyDescent="0.15">
      <c r="G1044" s="64">
        <f t="shared" si="384"/>
        <v>0</v>
      </c>
      <c r="O1044" s="64">
        <f t="shared" si="388"/>
        <v>0</v>
      </c>
      <c r="Q1044" s="64">
        <f t="shared" si="389"/>
        <v>0</v>
      </c>
      <c r="S1044" s="71">
        <f t="shared" si="390"/>
        <v>0</v>
      </c>
      <c r="U1044" s="64">
        <f t="shared" si="391"/>
        <v>0</v>
      </c>
      <c r="W1044" s="71">
        <f t="shared" si="392"/>
        <v>0</v>
      </c>
      <c r="Y1044" s="71">
        <f t="shared" si="393"/>
        <v>0</v>
      </c>
      <c r="AA1044" s="71">
        <f t="shared" si="394"/>
        <v>0</v>
      </c>
      <c r="AC1044" s="71">
        <f t="shared" si="395"/>
        <v>0</v>
      </c>
      <c r="AK1044" s="71">
        <f t="shared" si="396"/>
        <v>0</v>
      </c>
      <c r="AM1044" s="71">
        <f t="shared" si="397"/>
        <v>0</v>
      </c>
      <c r="AO1044" s="71">
        <f t="shared" si="398"/>
        <v>0</v>
      </c>
      <c r="AQ1044" s="71">
        <f t="shared" si="399"/>
        <v>0</v>
      </c>
      <c r="AT1044" s="71">
        <f t="shared" si="400"/>
        <v>0</v>
      </c>
      <c r="AV1044" s="71">
        <f t="shared" si="401"/>
        <v>0</v>
      </c>
      <c r="AX1044" s="71">
        <f t="shared" si="402"/>
        <v>0</v>
      </c>
      <c r="AZ1044" s="71">
        <f t="shared" si="403"/>
        <v>0</v>
      </c>
      <c r="BE1044" s="102">
        <f t="shared" si="404"/>
        <v>4.4721359549995796</v>
      </c>
      <c r="BG1044" s="81" t="str">
        <f t="shared" si="405"/>
        <v>BASSO</v>
      </c>
      <c r="BK1044" s="81" t="str">
        <f t="shared" si="406"/>
        <v>MOLTO BASSO</v>
      </c>
    </row>
    <row r="1045" spans="7:63" x14ac:dyDescent="0.15">
      <c r="G1045" s="64">
        <f t="shared" si="384"/>
        <v>0</v>
      </c>
      <c r="O1045" s="64">
        <f t="shared" si="388"/>
        <v>0</v>
      </c>
      <c r="Q1045" s="64">
        <f t="shared" si="389"/>
        <v>0</v>
      </c>
      <c r="S1045" s="71">
        <f t="shared" si="390"/>
        <v>0</v>
      </c>
      <c r="U1045" s="64">
        <f t="shared" si="391"/>
        <v>0</v>
      </c>
      <c r="W1045" s="71">
        <f t="shared" si="392"/>
        <v>0</v>
      </c>
      <c r="Y1045" s="71">
        <f t="shared" si="393"/>
        <v>0</v>
      </c>
      <c r="AA1045" s="71">
        <f t="shared" si="394"/>
        <v>0</v>
      </c>
      <c r="AC1045" s="71">
        <f t="shared" si="395"/>
        <v>0</v>
      </c>
      <c r="AK1045" s="71">
        <f t="shared" si="396"/>
        <v>0</v>
      </c>
      <c r="AM1045" s="71">
        <f t="shared" si="397"/>
        <v>0</v>
      </c>
      <c r="AO1045" s="71">
        <f t="shared" si="398"/>
        <v>0</v>
      </c>
      <c r="AQ1045" s="71">
        <f t="shared" si="399"/>
        <v>0</v>
      </c>
      <c r="AT1045" s="71">
        <f t="shared" si="400"/>
        <v>0</v>
      </c>
      <c r="AV1045" s="71">
        <f t="shared" si="401"/>
        <v>0</v>
      </c>
      <c r="AX1045" s="71">
        <f t="shared" si="402"/>
        <v>0</v>
      </c>
      <c r="AZ1045" s="71">
        <f t="shared" si="403"/>
        <v>0</v>
      </c>
      <c r="BE1045" s="102">
        <f t="shared" si="404"/>
        <v>4.4721359549995796</v>
      </c>
      <c r="BG1045" s="81" t="str">
        <f t="shared" si="405"/>
        <v>BASSO</v>
      </c>
      <c r="BK1045" s="81" t="str">
        <f t="shared" si="406"/>
        <v>MOLTO BASSO</v>
      </c>
    </row>
    <row r="1046" spans="7:63" x14ac:dyDescent="0.15">
      <c r="G1046" s="64">
        <f t="shared" si="384"/>
        <v>0</v>
      </c>
      <c r="O1046" s="64">
        <f t="shared" si="388"/>
        <v>0</v>
      </c>
      <c r="Q1046" s="64">
        <f t="shared" si="389"/>
        <v>0</v>
      </c>
      <c r="S1046" s="71">
        <f t="shared" si="390"/>
        <v>0</v>
      </c>
      <c r="U1046" s="64">
        <f t="shared" si="391"/>
        <v>0</v>
      </c>
      <c r="W1046" s="71">
        <f t="shared" si="392"/>
        <v>0</v>
      </c>
      <c r="Y1046" s="71">
        <f t="shared" si="393"/>
        <v>0</v>
      </c>
      <c r="AA1046" s="71">
        <f t="shared" si="394"/>
        <v>0</v>
      </c>
      <c r="AC1046" s="71">
        <f t="shared" si="395"/>
        <v>0</v>
      </c>
      <c r="AK1046" s="71">
        <f t="shared" si="396"/>
        <v>0</v>
      </c>
      <c r="AM1046" s="71">
        <f t="shared" si="397"/>
        <v>0</v>
      </c>
      <c r="AO1046" s="71">
        <f t="shared" si="398"/>
        <v>0</v>
      </c>
      <c r="AQ1046" s="71">
        <f t="shared" si="399"/>
        <v>0</v>
      </c>
      <c r="AT1046" s="71">
        <f t="shared" si="400"/>
        <v>0</v>
      </c>
      <c r="AV1046" s="71">
        <f t="shared" si="401"/>
        <v>0</v>
      </c>
      <c r="AX1046" s="71">
        <f t="shared" si="402"/>
        <v>0</v>
      </c>
      <c r="AZ1046" s="71">
        <f t="shared" si="403"/>
        <v>0</v>
      </c>
      <c r="BE1046" s="102">
        <f t="shared" si="404"/>
        <v>4.4721359549995796</v>
      </c>
      <c r="BG1046" s="81" t="str">
        <f t="shared" si="405"/>
        <v>BASSO</v>
      </c>
      <c r="BK1046" s="81" t="str">
        <f t="shared" si="406"/>
        <v>MOLTO BASSO</v>
      </c>
    </row>
    <row r="1047" spans="7:63" x14ac:dyDescent="0.15">
      <c r="G1047" s="64">
        <f t="shared" si="384"/>
        <v>0</v>
      </c>
      <c r="O1047" s="64">
        <f t="shared" si="388"/>
        <v>0</v>
      </c>
      <c r="Q1047" s="64">
        <f t="shared" si="389"/>
        <v>0</v>
      </c>
      <c r="S1047" s="71">
        <f t="shared" si="390"/>
        <v>0</v>
      </c>
      <c r="U1047" s="64">
        <f t="shared" si="391"/>
        <v>0</v>
      </c>
      <c r="W1047" s="71">
        <f t="shared" si="392"/>
        <v>0</v>
      </c>
      <c r="Y1047" s="71">
        <f t="shared" si="393"/>
        <v>0</v>
      </c>
      <c r="AA1047" s="71">
        <f t="shared" si="394"/>
        <v>0</v>
      </c>
      <c r="AC1047" s="71">
        <f t="shared" si="395"/>
        <v>0</v>
      </c>
      <c r="AK1047" s="71">
        <f t="shared" si="396"/>
        <v>0</v>
      </c>
      <c r="AM1047" s="71">
        <f t="shared" si="397"/>
        <v>0</v>
      </c>
      <c r="AO1047" s="71">
        <f t="shared" si="398"/>
        <v>0</v>
      </c>
      <c r="AQ1047" s="71">
        <f t="shared" si="399"/>
        <v>0</v>
      </c>
      <c r="AT1047" s="71">
        <f t="shared" si="400"/>
        <v>0</v>
      </c>
      <c r="AV1047" s="71">
        <f t="shared" si="401"/>
        <v>0</v>
      </c>
      <c r="AX1047" s="71">
        <f t="shared" si="402"/>
        <v>0</v>
      </c>
      <c r="AZ1047" s="71">
        <f t="shared" si="403"/>
        <v>0</v>
      </c>
      <c r="BE1047" s="102">
        <f t="shared" si="404"/>
        <v>4.4721359549995796</v>
      </c>
      <c r="BG1047" s="81" t="str">
        <f t="shared" si="405"/>
        <v>BASSO</v>
      </c>
    </row>
    <row r="1048" spans="7:63" x14ac:dyDescent="0.15">
      <c r="G1048" s="64">
        <f t="shared" si="384"/>
        <v>0</v>
      </c>
      <c r="O1048" s="64">
        <f t="shared" si="388"/>
        <v>0</v>
      </c>
      <c r="Q1048" s="64">
        <f t="shared" si="389"/>
        <v>0</v>
      </c>
      <c r="S1048" s="71">
        <f t="shared" si="390"/>
        <v>0</v>
      </c>
      <c r="U1048" s="64">
        <f t="shared" si="391"/>
        <v>0</v>
      </c>
      <c r="W1048" s="71">
        <f t="shared" si="392"/>
        <v>0</v>
      </c>
      <c r="Y1048" s="71">
        <f t="shared" si="393"/>
        <v>0</v>
      </c>
      <c r="AA1048" s="71">
        <f t="shared" si="394"/>
        <v>0</v>
      </c>
      <c r="AC1048" s="71">
        <f t="shared" si="395"/>
        <v>0</v>
      </c>
      <c r="AK1048" s="71">
        <f t="shared" si="396"/>
        <v>0</v>
      </c>
      <c r="AM1048" s="71">
        <f t="shared" si="397"/>
        <v>0</v>
      </c>
      <c r="AO1048" s="71">
        <f t="shared" si="398"/>
        <v>0</v>
      </c>
      <c r="AQ1048" s="71">
        <f t="shared" si="399"/>
        <v>0</v>
      </c>
      <c r="AT1048" s="71">
        <f t="shared" si="400"/>
        <v>0</v>
      </c>
      <c r="AV1048" s="71">
        <f t="shared" si="401"/>
        <v>0</v>
      </c>
      <c r="AX1048" s="71">
        <f t="shared" si="402"/>
        <v>0</v>
      </c>
      <c r="AZ1048" s="71">
        <f t="shared" si="403"/>
        <v>0</v>
      </c>
      <c r="BE1048" s="102">
        <f t="shared" si="404"/>
        <v>4.4721359549995796</v>
      </c>
      <c r="BG1048" s="81" t="str">
        <f t="shared" si="405"/>
        <v>BASSO</v>
      </c>
    </row>
    <row r="1049" spans="7:63" x14ac:dyDescent="0.15">
      <c r="G1049" s="64">
        <f t="shared" si="384"/>
        <v>0</v>
      </c>
      <c r="O1049" s="64">
        <f t="shared" si="388"/>
        <v>0</v>
      </c>
      <c r="Q1049" s="64">
        <f t="shared" si="389"/>
        <v>0</v>
      </c>
      <c r="S1049" s="71">
        <f t="shared" si="390"/>
        <v>0</v>
      </c>
      <c r="U1049" s="64">
        <f t="shared" si="391"/>
        <v>0</v>
      </c>
      <c r="W1049" s="71">
        <f t="shared" si="392"/>
        <v>0</v>
      </c>
      <c r="Y1049" s="71">
        <f t="shared" si="393"/>
        <v>0</v>
      </c>
      <c r="AA1049" s="71">
        <f t="shared" si="394"/>
        <v>0</v>
      </c>
      <c r="AC1049" s="71">
        <f t="shared" si="395"/>
        <v>0</v>
      </c>
      <c r="AK1049" s="71">
        <f t="shared" si="396"/>
        <v>0</v>
      </c>
      <c r="AM1049" s="71">
        <f t="shared" si="397"/>
        <v>0</v>
      </c>
      <c r="AO1049" s="71">
        <f t="shared" si="398"/>
        <v>0</v>
      </c>
      <c r="AQ1049" s="71">
        <f t="shared" si="399"/>
        <v>0</v>
      </c>
      <c r="AT1049" s="71">
        <f t="shared" si="400"/>
        <v>0</v>
      </c>
      <c r="AV1049" s="71">
        <f t="shared" si="401"/>
        <v>0</v>
      </c>
      <c r="AX1049" s="71">
        <f t="shared" si="402"/>
        <v>0</v>
      </c>
      <c r="AZ1049" s="71">
        <f t="shared" si="403"/>
        <v>0</v>
      </c>
      <c r="BE1049" s="102">
        <f t="shared" si="404"/>
        <v>4.4721359549995796</v>
      </c>
      <c r="BG1049" s="81" t="str">
        <f t="shared" si="405"/>
        <v>BASSO</v>
      </c>
    </row>
    <row r="1050" spans="7:63" x14ac:dyDescent="0.15">
      <c r="G1050" s="64">
        <f t="shared" si="384"/>
        <v>0</v>
      </c>
      <c r="O1050" s="64">
        <f t="shared" si="388"/>
        <v>0</v>
      </c>
      <c r="Q1050" s="64">
        <f t="shared" si="389"/>
        <v>0</v>
      </c>
      <c r="S1050" s="71">
        <f t="shared" si="390"/>
        <v>0</v>
      </c>
      <c r="U1050" s="64">
        <f t="shared" si="391"/>
        <v>0</v>
      </c>
      <c r="W1050" s="71">
        <f t="shared" si="392"/>
        <v>0</v>
      </c>
      <c r="Y1050" s="71">
        <f t="shared" si="393"/>
        <v>0</v>
      </c>
      <c r="AA1050" s="71">
        <f t="shared" si="394"/>
        <v>0</v>
      </c>
      <c r="AC1050" s="71">
        <f t="shared" si="395"/>
        <v>0</v>
      </c>
      <c r="AK1050" s="71">
        <f t="shared" si="396"/>
        <v>0</v>
      </c>
      <c r="AM1050" s="71">
        <f t="shared" si="397"/>
        <v>0</v>
      </c>
      <c r="AO1050" s="71">
        <f t="shared" si="398"/>
        <v>0</v>
      </c>
      <c r="AQ1050" s="71">
        <f t="shared" si="399"/>
        <v>0</v>
      </c>
      <c r="AT1050" s="71">
        <f t="shared" si="400"/>
        <v>0</v>
      </c>
      <c r="AV1050" s="71">
        <f t="shared" si="401"/>
        <v>0</v>
      </c>
      <c r="AX1050" s="71">
        <f t="shared" si="402"/>
        <v>0</v>
      </c>
      <c r="AZ1050" s="71">
        <f t="shared" si="403"/>
        <v>0</v>
      </c>
      <c r="BE1050" s="102">
        <f t="shared" si="404"/>
        <v>4.4721359549995796</v>
      </c>
      <c r="BG1050" s="81" t="str">
        <f t="shared" si="405"/>
        <v>BASSO</v>
      </c>
    </row>
    <row r="1051" spans="7:63" x14ac:dyDescent="0.15">
      <c r="G1051" s="64">
        <f t="shared" si="384"/>
        <v>0</v>
      </c>
      <c r="O1051" s="64">
        <f t="shared" si="388"/>
        <v>0</v>
      </c>
      <c r="Q1051" s="64">
        <f t="shared" si="389"/>
        <v>0</v>
      </c>
      <c r="S1051" s="71">
        <f t="shared" si="390"/>
        <v>0</v>
      </c>
      <c r="U1051" s="64">
        <f t="shared" si="391"/>
        <v>0</v>
      </c>
      <c r="W1051" s="71">
        <f t="shared" si="392"/>
        <v>0</v>
      </c>
      <c r="Y1051" s="71">
        <f t="shared" si="393"/>
        <v>0</v>
      </c>
      <c r="AA1051" s="71">
        <f t="shared" si="394"/>
        <v>0</v>
      </c>
      <c r="AC1051" s="71">
        <f t="shared" si="395"/>
        <v>0</v>
      </c>
      <c r="AK1051" s="71">
        <f t="shared" si="396"/>
        <v>0</v>
      </c>
      <c r="AM1051" s="71">
        <f t="shared" si="397"/>
        <v>0</v>
      </c>
      <c r="AO1051" s="71">
        <f t="shared" si="398"/>
        <v>0</v>
      </c>
      <c r="AQ1051" s="71">
        <f t="shared" si="399"/>
        <v>0</v>
      </c>
      <c r="AT1051" s="71">
        <f t="shared" si="400"/>
        <v>0</v>
      </c>
      <c r="AV1051" s="71">
        <f t="shared" si="401"/>
        <v>0</v>
      </c>
      <c r="AX1051" s="71">
        <f t="shared" si="402"/>
        <v>0</v>
      </c>
      <c r="AZ1051" s="71">
        <f t="shared" si="403"/>
        <v>0</v>
      </c>
      <c r="BE1051" s="102">
        <f t="shared" si="404"/>
        <v>4.4721359549995796</v>
      </c>
      <c r="BG1051" s="81" t="str">
        <f t="shared" si="405"/>
        <v>BASSO</v>
      </c>
    </row>
    <row r="1052" spans="7:63" x14ac:dyDescent="0.15">
      <c r="G1052" s="64">
        <f t="shared" si="384"/>
        <v>0</v>
      </c>
      <c r="O1052" s="64">
        <f t="shared" si="388"/>
        <v>0</v>
      </c>
      <c r="Q1052" s="64">
        <f t="shared" si="389"/>
        <v>0</v>
      </c>
      <c r="S1052" s="71">
        <f t="shared" si="390"/>
        <v>0</v>
      </c>
      <c r="U1052" s="64">
        <f t="shared" si="391"/>
        <v>0</v>
      </c>
      <c r="W1052" s="71">
        <f t="shared" si="392"/>
        <v>0</v>
      </c>
      <c r="Y1052" s="71">
        <f t="shared" si="393"/>
        <v>0</v>
      </c>
      <c r="AA1052" s="71">
        <f t="shared" si="394"/>
        <v>0</v>
      </c>
      <c r="AC1052" s="71">
        <f t="shared" si="395"/>
        <v>0</v>
      </c>
      <c r="AK1052" s="71">
        <f t="shared" si="396"/>
        <v>0</v>
      </c>
      <c r="AM1052" s="71">
        <f t="shared" si="397"/>
        <v>0</v>
      </c>
      <c r="AO1052" s="71">
        <f t="shared" si="398"/>
        <v>0</v>
      </c>
      <c r="AQ1052" s="71">
        <f t="shared" si="399"/>
        <v>0</v>
      </c>
      <c r="AT1052" s="71">
        <f t="shared" si="400"/>
        <v>0</v>
      </c>
      <c r="AV1052" s="71">
        <f t="shared" si="401"/>
        <v>0</v>
      </c>
      <c r="AX1052" s="71">
        <f t="shared" si="402"/>
        <v>0</v>
      </c>
      <c r="AZ1052" s="71">
        <f t="shared" si="403"/>
        <v>0</v>
      </c>
      <c r="BE1052" s="102">
        <f t="shared" si="404"/>
        <v>4.4721359549995796</v>
      </c>
      <c r="BG1052" s="81" t="str">
        <f t="shared" si="405"/>
        <v>BASSO</v>
      </c>
    </row>
    <row r="1053" spans="7:63" x14ac:dyDescent="0.15">
      <c r="G1053" s="64">
        <f t="shared" si="384"/>
        <v>0</v>
      </c>
      <c r="O1053" s="64">
        <f t="shared" si="388"/>
        <v>0</v>
      </c>
      <c r="Q1053" s="64">
        <f t="shared" si="389"/>
        <v>0</v>
      </c>
      <c r="S1053" s="71">
        <f t="shared" si="390"/>
        <v>0</v>
      </c>
      <c r="U1053" s="64">
        <f t="shared" si="391"/>
        <v>0</v>
      </c>
      <c r="W1053" s="71">
        <f t="shared" si="392"/>
        <v>0</v>
      </c>
      <c r="Y1053" s="71">
        <f t="shared" si="393"/>
        <v>0</v>
      </c>
      <c r="AA1053" s="71">
        <f t="shared" si="394"/>
        <v>0</v>
      </c>
      <c r="AC1053" s="71">
        <f t="shared" si="395"/>
        <v>0</v>
      </c>
      <c r="AK1053" s="71">
        <f t="shared" si="396"/>
        <v>0</v>
      </c>
      <c r="AM1053" s="71">
        <f t="shared" si="397"/>
        <v>0</v>
      </c>
      <c r="AO1053" s="71">
        <f t="shared" si="398"/>
        <v>0</v>
      </c>
      <c r="AQ1053" s="71">
        <f t="shared" si="399"/>
        <v>0</v>
      </c>
      <c r="AT1053" s="71">
        <f t="shared" si="400"/>
        <v>0</v>
      </c>
      <c r="AV1053" s="71">
        <f t="shared" si="401"/>
        <v>0</v>
      </c>
      <c r="AX1053" s="71">
        <f t="shared" si="402"/>
        <v>0</v>
      </c>
      <c r="AZ1053" s="71">
        <f t="shared" si="403"/>
        <v>0</v>
      </c>
      <c r="BE1053" s="102">
        <f t="shared" si="404"/>
        <v>4.4721359549995796</v>
      </c>
      <c r="BG1053" s="81" t="str">
        <f t="shared" si="405"/>
        <v>BASSO</v>
      </c>
    </row>
    <row r="1054" spans="7:63" x14ac:dyDescent="0.15">
      <c r="G1054" s="64">
        <f t="shared" si="384"/>
        <v>0</v>
      </c>
      <c r="O1054" s="64">
        <f t="shared" si="388"/>
        <v>0</v>
      </c>
      <c r="Q1054" s="64">
        <f t="shared" si="389"/>
        <v>0</v>
      </c>
      <c r="S1054" s="71">
        <f t="shared" si="390"/>
        <v>0</v>
      </c>
      <c r="U1054" s="64">
        <f t="shared" si="391"/>
        <v>0</v>
      </c>
      <c r="W1054" s="71">
        <f t="shared" si="392"/>
        <v>0</v>
      </c>
      <c r="Y1054" s="71">
        <f t="shared" si="393"/>
        <v>0</v>
      </c>
      <c r="AA1054" s="71">
        <f t="shared" si="394"/>
        <v>0</v>
      </c>
      <c r="AC1054" s="71">
        <f t="shared" si="395"/>
        <v>0</v>
      </c>
      <c r="AK1054" s="71">
        <f t="shared" si="396"/>
        <v>0</v>
      </c>
      <c r="AM1054" s="71">
        <f t="shared" si="397"/>
        <v>0</v>
      </c>
      <c r="AO1054" s="71">
        <f t="shared" si="398"/>
        <v>0</v>
      </c>
      <c r="AQ1054" s="71">
        <f t="shared" si="399"/>
        <v>0</v>
      </c>
      <c r="AT1054" s="71">
        <f t="shared" si="400"/>
        <v>0</v>
      </c>
      <c r="AV1054" s="71">
        <f t="shared" si="401"/>
        <v>0</v>
      </c>
      <c r="AX1054" s="71">
        <f t="shared" si="402"/>
        <v>0</v>
      </c>
      <c r="AZ1054" s="71">
        <f t="shared" si="403"/>
        <v>0</v>
      </c>
      <c r="BE1054" s="102">
        <f t="shared" si="404"/>
        <v>4.4721359549995796</v>
      </c>
      <c r="BG1054" s="81" t="str">
        <f t="shared" si="405"/>
        <v>BASSO</v>
      </c>
    </row>
    <row r="1055" spans="7:63" x14ac:dyDescent="0.15">
      <c r="G1055" s="64">
        <f t="shared" si="384"/>
        <v>0</v>
      </c>
      <c r="O1055" s="64">
        <f t="shared" si="388"/>
        <v>0</v>
      </c>
      <c r="Q1055" s="64">
        <f t="shared" si="389"/>
        <v>0</v>
      </c>
      <c r="S1055" s="71">
        <f t="shared" si="390"/>
        <v>0</v>
      </c>
      <c r="U1055" s="64">
        <f t="shared" si="391"/>
        <v>0</v>
      </c>
      <c r="W1055" s="71">
        <f t="shared" si="392"/>
        <v>0</v>
      </c>
      <c r="Y1055" s="71">
        <f t="shared" si="393"/>
        <v>0</v>
      </c>
      <c r="AA1055" s="71">
        <f t="shared" si="394"/>
        <v>0</v>
      </c>
      <c r="AC1055" s="71">
        <f t="shared" si="395"/>
        <v>0</v>
      </c>
      <c r="AK1055" s="71">
        <f t="shared" si="396"/>
        <v>0</v>
      </c>
      <c r="AM1055" s="71">
        <f t="shared" si="397"/>
        <v>0</v>
      </c>
      <c r="AO1055" s="71">
        <f t="shared" si="398"/>
        <v>0</v>
      </c>
      <c r="AQ1055" s="71">
        <f t="shared" si="399"/>
        <v>0</v>
      </c>
      <c r="AT1055" s="71">
        <f t="shared" si="400"/>
        <v>0</v>
      </c>
      <c r="AV1055" s="71">
        <f t="shared" si="401"/>
        <v>0</v>
      </c>
      <c r="AX1055" s="71">
        <f t="shared" si="402"/>
        <v>0</v>
      </c>
      <c r="AZ1055" s="71">
        <f t="shared" si="403"/>
        <v>0</v>
      </c>
      <c r="BE1055" s="102">
        <f t="shared" si="404"/>
        <v>4.4721359549995796</v>
      </c>
      <c r="BG1055" s="81" t="str">
        <f t="shared" si="405"/>
        <v>BASSO</v>
      </c>
    </row>
    <row r="1056" spans="7:63" x14ac:dyDescent="0.15">
      <c r="G1056" s="64">
        <f t="shared" si="384"/>
        <v>0</v>
      </c>
      <c r="O1056" s="64">
        <f t="shared" si="388"/>
        <v>0</v>
      </c>
      <c r="Q1056" s="64">
        <f t="shared" si="389"/>
        <v>0</v>
      </c>
      <c r="S1056" s="71">
        <f t="shared" si="390"/>
        <v>0</v>
      </c>
      <c r="U1056" s="64">
        <f t="shared" si="391"/>
        <v>0</v>
      </c>
      <c r="W1056" s="71">
        <f t="shared" si="392"/>
        <v>0</v>
      </c>
      <c r="Y1056" s="71">
        <f t="shared" si="393"/>
        <v>0</v>
      </c>
      <c r="AA1056" s="71">
        <f t="shared" si="394"/>
        <v>0</v>
      </c>
      <c r="AC1056" s="71">
        <f t="shared" si="395"/>
        <v>0</v>
      </c>
      <c r="AK1056" s="71">
        <f t="shared" si="396"/>
        <v>0</v>
      </c>
      <c r="AM1056" s="71">
        <f t="shared" si="397"/>
        <v>0</v>
      </c>
      <c r="AO1056" s="71">
        <f t="shared" si="398"/>
        <v>0</v>
      </c>
      <c r="AQ1056" s="71">
        <f t="shared" si="399"/>
        <v>0</v>
      </c>
      <c r="AT1056" s="71">
        <f t="shared" si="400"/>
        <v>0</v>
      </c>
      <c r="AV1056" s="71">
        <f t="shared" si="401"/>
        <v>0</v>
      </c>
      <c r="AX1056" s="71">
        <f t="shared" si="402"/>
        <v>0</v>
      </c>
      <c r="AZ1056" s="71">
        <f t="shared" si="403"/>
        <v>0</v>
      </c>
      <c r="BE1056" s="102">
        <f t="shared" si="404"/>
        <v>4.4721359549995796</v>
      </c>
      <c r="BG1056" s="81" t="str">
        <f t="shared" si="405"/>
        <v>BASSO</v>
      </c>
    </row>
    <row r="1057" spans="7:59" x14ac:dyDescent="0.15">
      <c r="G1057" s="64">
        <f t="shared" si="384"/>
        <v>0</v>
      </c>
      <c r="O1057" s="64">
        <f t="shared" si="388"/>
        <v>0</v>
      </c>
      <c r="Q1057" s="64">
        <f t="shared" si="389"/>
        <v>0</v>
      </c>
      <c r="S1057" s="71">
        <f t="shared" si="390"/>
        <v>0</v>
      </c>
      <c r="U1057" s="64">
        <f t="shared" si="391"/>
        <v>0</v>
      </c>
      <c r="W1057" s="71">
        <f t="shared" si="392"/>
        <v>0</v>
      </c>
      <c r="Y1057" s="71">
        <f t="shared" si="393"/>
        <v>0</v>
      </c>
      <c r="AA1057" s="71">
        <f t="shared" si="394"/>
        <v>0</v>
      </c>
      <c r="AC1057" s="71">
        <f t="shared" si="395"/>
        <v>0</v>
      </c>
      <c r="AK1057" s="71">
        <f t="shared" si="396"/>
        <v>0</v>
      </c>
      <c r="AM1057" s="71">
        <f t="shared" si="397"/>
        <v>0</v>
      </c>
      <c r="AO1057" s="71">
        <f t="shared" si="398"/>
        <v>0</v>
      </c>
      <c r="AQ1057" s="71">
        <f t="shared" si="399"/>
        <v>0</v>
      </c>
      <c r="AT1057" s="71">
        <f t="shared" si="400"/>
        <v>0</v>
      </c>
      <c r="AV1057" s="71">
        <f t="shared" si="401"/>
        <v>0</v>
      </c>
      <c r="AX1057" s="71">
        <f t="shared" si="402"/>
        <v>0</v>
      </c>
      <c r="AZ1057" s="71">
        <f t="shared" si="403"/>
        <v>0</v>
      </c>
      <c r="BE1057" s="102">
        <f t="shared" si="404"/>
        <v>4.4721359549995796</v>
      </c>
      <c r="BG1057" s="81" t="str">
        <f t="shared" si="405"/>
        <v>BASSO</v>
      </c>
    </row>
    <row r="1058" spans="7:59" x14ac:dyDescent="0.15">
      <c r="G1058" s="64">
        <f t="shared" si="384"/>
        <v>0</v>
      </c>
      <c r="O1058" s="64">
        <f t="shared" si="388"/>
        <v>0</v>
      </c>
      <c r="Q1058" s="64">
        <f t="shared" si="389"/>
        <v>0</v>
      </c>
      <c r="S1058" s="71">
        <f t="shared" si="390"/>
        <v>0</v>
      </c>
      <c r="U1058" s="64">
        <f t="shared" si="391"/>
        <v>0</v>
      </c>
      <c r="W1058" s="71">
        <f t="shared" si="392"/>
        <v>0</v>
      </c>
      <c r="Y1058" s="71">
        <f t="shared" si="393"/>
        <v>0</v>
      </c>
      <c r="AA1058" s="71">
        <f t="shared" si="394"/>
        <v>0</v>
      </c>
      <c r="AC1058" s="71">
        <f t="shared" si="395"/>
        <v>0</v>
      </c>
      <c r="AK1058" s="71">
        <f t="shared" si="396"/>
        <v>0</v>
      </c>
      <c r="AM1058" s="71">
        <f t="shared" si="397"/>
        <v>0</v>
      </c>
      <c r="AO1058" s="71">
        <f t="shared" si="398"/>
        <v>0</v>
      </c>
      <c r="AQ1058" s="71">
        <f t="shared" si="399"/>
        <v>0</v>
      </c>
      <c r="AT1058" s="71">
        <f t="shared" si="400"/>
        <v>0</v>
      </c>
      <c r="AV1058" s="71">
        <f t="shared" si="401"/>
        <v>0</v>
      </c>
      <c r="AX1058" s="71">
        <f t="shared" si="402"/>
        <v>0</v>
      </c>
      <c r="AZ1058" s="71">
        <f t="shared" si="403"/>
        <v>0</v>
      </c>
      <c r="BE1058" s="102">
        <f t="shared" si="404"/>
        <v>4.4721359549995796</v>
      </c>
      <c r="BG1058" s="81" t="str">
        <f t="shared" si="405"/>
        <v>BASSO</v>
      </c>
    </row>
    <row r="1059" spans="7:59" x14ac:dyDescent="0.15">
      <c r="G1059" s="64">
        <f t="shared" si="384"/>
        <v>0</v>
      </c>
      <c r="O1059" s="64">
        <f t="shared" si="388"/>
        <v>0</v>
      </c>
      <c r="Q1059" s="64">
        <f t="shared" si="389"/>
        <v>0</v>
      </c>
      <c r="S1059" s="71">
        <f t="shared" si="390"/>
        <v>0</v>
      </c>
      <c r="U1059" s="64">
        <f t="shared" si="391"/>
        <v>0</v>
      </c>
      <c r="W1059" s="71">
        <f t="shared" si="392"/>
        <v>0</v>
      </c>
      <c r="Y1059" s="71">
        <f t="shared" si="393"/>
        <v>0</v>
      </c>
      <c r="AA1059" s="71">
        <f t="shared" si="394"/>
        <v>0</v>
      </c>
      <c r="AC1059" s="71">
        <f t="shared" si="395"/>
        <v>0</v>
      </c>
      <c r="AK1059" s="71">
        <f t="shared" si="396"/>
        <v>0</v>
      </c>
      <c r="AM1059" s="71">
        <f t="shared" si="397"/>
        <v>0</v>
      </c>
      <c r="AO1059" s="71">
        <f t="shared" si="398"/>
        <v>0</v>
      </c>
      <c r="AQ1059" s="71">
        <f t="shared" si="399"/>
        <v>0</v>
      </c>
      <c r="AT1059" s="71">
        <f t="shared" si="400"/>
        <v>0</v>
      </c>
      <c r="AV1059" s="71">
        <f t="shared" si="401"/>
        <v>0</v>
      </c>
      <c r="AX1059" s="71">
        <f t="shared" si="402"/>
        <v>0</v>
      </c>
      <c r="AZ1059" s="71">
        <f t="shared" si="403"/>
        <v>0</v>
      </c>
      <c r="BE1059" s="102">
        <f t="shared" si="404"/>
        <v>4.4721359549995796</v>
      </c>
      <c r="BG1059" s="81" t="str">
        <f t="shared" si="405"/>
        <v>BASSO</v>
      </c>
    </row>
    <row r="1060" spans="7:59" x14ac:dyDescent="0.15">
      <c r="G1060" s="64">
        <f t="shared" si="384"/>
        <v>0</v>
      </c>
      <c r="O1060" s="64">
        <f t="shared" si="388"/>
        <v>0</v>
      </c>
      <c r="Q1060" s="64">
        <f t="shared" si="389"/>
        <v>0</v>
      </c>
      <c r="S1060" s="71">
        <f t="shared" si="390"/>
        <v>0</v>
      </c>
      <c r="U1060" s="64">
        <f t="shared" si="391"/>
        <v>0</v>
      </c>
      <c r="W1060" s="71">
        <f t="shared" si="392"/>
        <v>0</v>
      </c>
      <c r="Y1060" s="71">
        <f t="shared" si="393"/>
        <v>0</v>
      </c>
      <c r="AA1060" s="71">
        <f t="shared" si="394"/>
        <v>0</v>
      </c>
      <c r="AC1060" s="71">
        <f t="shared" si="395"/>
        <v>0</v>
      </c>
      <c r="AK1060" s="71">
        <f t="shared" si="396"/>
        <v>0</v>
      </c>
      <c r="AM1060" s="71">
        <f t="shared" si="397"/>
        <v>0</v>
      </c>
      <c r="AO1060" s="71">
        <f t="shared" si="398"/>
        <v>0</v>
      </c>
      <c r="AQ1060" s="71">
        <f t="shared" si="399"/>
        <v>0</v>
      </c>
      <c r="AT1060" s="71">
        <f t="shared" si="400"/>
        <v>0</v>
      </c>
      <c r="AV1060" s="71">
        <f t="shared" si="401"/>
        <v>0</v>
      </c>
      <c r="AX1060" s="71">
        <f t="shared" si="402"/>
        <v>0</v>
      </c>
      <c r="AZ1060" s="71">
        <f t="shared" si="403"/>
        <v>0</v>
      </c>
      <c r="BE1060" s="102">
        <f t="shared" si="404"/>
        <v>4.4721359549995796</v>
      </c>
      <c r="BG1060" s="81" t="str">
        <f t="shared" si="405"/>
        <v>BASSO</v>
      </c>
    </row>
    <row r="1061" spans="7:59" x14ac:dyDescent="0.15">
      <c r="G1061" s="64">
        <f t="shared" si="384"/>
        <v>0</v>
      </c>
      <c r="O1061" s="64">
        <f t="shared" si="388"/>
        <v>0</v>
      </c>
      <c r="Q1061" s="64">
        <f t="shared" si="389"/>
        <v>0</v>
      </c>
      <c r="S1061" s="71">
        <f t="shared" si="390"/>
        <v>0</v>
      </c>
      <c r="U1061" s="64">
        <f t="shared" si="391"/>
        <v>0</v>
      </c>
      <c r="W1061" s="71">
        <f t="shared" si="392"/>
        <v>0</v>
      </c>
      <c r="Y1061" s="71">
        <f t="shared" si="393"/>
        <v>0</v>
      </c>
      <c r="AA1061" s="71">
        <f t="shared" si="394"/>
        <v>0</v>
      </c>
      <c r="AC1061" s="71">
        <f t="shared" si="395"/>
        <v>0</v>
      </c>
      <c r="AK1061" s="71">
        <f t="shared" si="396"/>
        <v>0</v>
      </c>
      <c r="AM1061" s="71">
        <f t="shared" si="397"/>
        <v>0</v>
      </c>
      <c r="AO1061" s="71">
        <f t="shared" si="398"/>
        <v>0</v>
      </c>
      <c r="AQ1061" s="71">
        <f t="shared" si="399"/>
        <v>0</v>
      </c>
      <c r="AT1061" s="71">
        <f t="shared" si="400"/>
        <v>0</v>
      </c>
      <c r="AV1061" s="71">
        <f t="shared" si="401"/>
        <v>0</v>
      </c>
      <c r="AX1061" s="71">
        <f t="shared" si="402"/>
        <v>0</v>
      </c>
      <c r="AZ1061" s="71">
        <f t="shared" si="403"/>
        <v>0</v>
      </c>
      <c r="BE1061" s="102">
        <f t="shared" si="404"/>
        <v>4.4721359549995796</v>
      </c>
      <c r="BG1061" s="81" t="str">
        <f t="shared" si="405"/>
        <v>BASSO</v>
      </c>
    </row>
    <row r="1062" spans="7:59" x14ac:dyDescent="0.15">
      <c r="G1062" s="64">
        <f t="shared" si="384"/>
        <v>0</v>
      </c>
      <c r="O1062" s="64">
        <f t="shared" si="388"/>
        <v>0</v>
      </c>
      <c r="Q1062" s="64">
        <f t="shared" si="389"/>
        <v>0</v>
      </c>
      <c r="S1062" s="71">
        <f t="shared" si="390"/>
        <v>0</v>
      </c>
      <c r="U1062" s="64">
        <f t="shared" si="391"/>
        <v>0</v>
      </c>
      <c r="W1062" s="71">
        <f t="shared" si="392"/>
        <v>0</v>
      </c>
      <c r="Y1062" s="71">
        <f t="shared" si="393"/>
        <v>0</v>
      </c>
      <c r="AA1062" s="71">
        <f t="shared" si="394"/>
        <v>0</v>
      </c>
      <c r="AC1062" s="71">
        <f t="shared" si="395"/>
        <v>0</v>
      </c>
      <c r="AK1062" s="71">
        <f t="shared" si="396"/>
        <v>0</v>
      </c>
      <c r="AM1062" s="71">
        <f t="shared" si="397"/>
        <v>0</v>
      </c>
      <c r="AO1062" s="71">
        <f t="shared" si="398"/>
        <v>0</v>
      </c>
      <c r="AQ1062" s="71">
        <f t="shared" si="399"/>
        <v>0</v>
      </c>
      <c r="AT1062" s="71">
        <f t="shared" si="400"/>
        <v>0</v>
      </c>
      <c r="AV1062" s="71">
        <f t="shared" si="401"/>
        <v>0</v>
      </c>
      <c r="AX1062" s="71">
        <f t="shared" si="402"/>
        <v>0</v>
      </c>
      <c r="AZ1062" s="71">
        <f t="shared" si="403"/>
        <v>0</v>
      </c>
      <c r="BE1062" s="102">
        <f t="shared" si="404"/>
        <v>4.4721359549995796</v>
      </c>
      <c r="BG1062" s="81" t="str">
        <f t="shared" si="405"/>
        <v>BASSO</v>
      </c>
    </row>
    <row r="1063" spans="7:59" x14ac:dyDescent="0.15">
      <c r="G1063" s="64">
        <f t="shared" si="384"/>
        <v>0</v>
      </c>
      <c r="O1063" s="64">
        <f t="shared" si="388"/>
        <v>0</v>
      </c>
      <c r="Q1063" s="64">
        <f t="shared" si="389"/>
        <v>0</v>
      </c>
      <c r="S1063" s="71">
        <f t="shared" si="390"/>
        <v>0</v>
      </c>
      <c r="U1063" s="64">
        <f t="shared" si="391"/>
        <v>0</v>
      </c>
      <c r="W1063" s="71">
        <f t="shared" si="392"/>
        <v>0</v>
      </c>
      <c r="Y1063" s="71">
        <f t="shared" si="393"/>
        <v>0</v>
      </c>
      <c r="AA1063" s="71">
        <f t="shared" si="394"/>
        <v>0</v>
      </c>
      <c r="AC1063" s="71">
        <f t="shared" si="395"/>
        <v>0</v>
      </c>
      <c r="AK1063" s="71">
        <f t="shared" si="396"/>
        <v>0</v>
      </c>
      <c r="AM1063" s="71">
        <f t="shared" si="397"/>
        <v>0</v>
      </c>
      <c r="AO1063" s="71">
        <f t="shared" si="398"/>
        <v>0</v>
      </c>
      <c r="AQ1063" s="71">
        <f t="shared" si="399"/>
        <v>0</v>
      </c>
      <c r="AT1063" s="71">
        <f t="shared" si="400"/>
        <v>0</v>
      </c>
      <c r="AV1063" s="71">
        <f t="shared" si="401"/>
        <v>0</v>
      </c>
      <c r="AX1063" s="71">
        <f t="shared" si="402"/>
        <v>0</v>
      </c>
      <c r="AZ1063" s="71">
        <f t="shared" si="403"/>
        <v>0</v>
      </c>
      <c r="BE1063" s="102">
        <f t="shared" si="404"/>
        <v>4.4721359549995796</v>
      </c>
      <c r="BG1063" s="81" t="str">
        <f t="shared" si="405"/>
        <v>BASSO</v>
      </c>
    </row>
    <row r="1064" spans="7:59" x14ac:dyDescent="0.15">
      <c r="G1064" s="64">
        <f t="shared" ref="G1064:G1116" si="407">F1065/2</f>
        <v>0</v>
      </c>
      <c r="O1064" s="64">
        <f t="shared" si="388"/>
        <v>0</v>
      </c>
      <c r="Q1064" s="64">
        <f t="shared" si="389"/>
        <v>0</v>
      </c>
      <c r="S1064" s="71">
        <f t="shared" si="390"/>
        <v>0</v>
      </c>
      <c r="U1064" s="64">
        <f t="shared" si="391"/>
        <v>0</v>
      </c>
      <c r="W1064" s="71">
        <f t="shared" si="392"/>
        <v>0</v>
      </c>
      <c r="Y1064" s="71">
        <f t="shared" si="393"/>
        <v>0</v>
      </c>
      <c r="AA1064" s="71">
        <f t="shared" si="394"/>
        <v>0</v>
      </c>
      <c r="AC1064" s="71">
        <f t="shared" si="395"/>
        <v>0</v>
      </c>
      <c r="AK1064" s="71">
        <f t="shared" si="396"/>
        <v>0</v>
      </c>
      <c r="AM1064" s="71">
        <f t="shared" si="397"/>
        <v>0</v>
      </c>
      <c r="AO1064" s="71">
        <f t="shared" si="398"/>
        <v>0</v>
      </c>
      <c r="AQ1064" s="71">
        <f t="shared" si="399"/>
        <v>0</v>
      </c>
      <c r="AT1064" s="71">
        <f t="shared" si="400"/>
        <v>0</v>
      </c>
      <c r="AV1064" s="71">
        <f t="shared" si="401"/>
        <v>0</v>
      </c>
      <c r="AX1064" s="71">
        <f t="shared" si="402"/>
        <v>0</v>
      </c>
      <c r="AZ1064" s="71">
        <f t="shared" si="403"/>
        <v>0</v>
      </c>
      <c r="BE1064" s="102">
        <f t="shared" si="404"/>
        <v>4.4721359549995796</v>
      </c>
      <c r="BG1064" s="81" t="str">
        <f t="shared" si="405"/>
        <v>BASSO</v>
      </c>
    </row>
    <row r="1065" spans="7:59" x14ac:dyDescent="0.15">
      <c r="G1065" s="64">
        <f t="shared" si="407"/>
        <v>0</v>
      </c>
      <c r="O1065" s="64">
        <f t="shared" si="388"/>
        <v>0</v>
      </c>
      <c r="Q1065" s="64">
        <f t="shared" si="389"/>
        <v>0</v>
      </c>
      <c r="S1065" s="71">
        <f t="shared" si="390"/>
        <v>0</v>
      </c>
      <c r="U1065" s="64">
        <f t="shared" si="391"/>
        <v>0</v>
      </c>
      <c r="W1065" s="71">
        <f t="shared" si="392"/>
        <v>0</v>
      </c>
      <c r="Y1065" s="71">
        <f t="shared" si="393"/>
        <v>0</v>
      </c>
      <c r="AA1065" s="71">
        <f t="shared" si="394"/>
        <v>0</v>
      </c>
      <c r="AC1065" s="71">
        <f t="shared" si="395"/>
        <v>0</v>
      </c>
      <c r="AK1065" s="71">
        <f t="shared" si="396"/>
        <v>0</v>
      </c>
      <c r="AM1065" s="71">
        <f t="shared" si="397"/>
        <v>0</v>
      </c>
      <c r="AO1065" s="71">
        <f t="shared" si="398"/>
        <v>0</v>
      </c>
      <c r="AQ1065" s="71">
        <f t="shared" si="399"/>
        <v>0</v>
      </c>
      <c r="AT1065" s="71">
        <f t="shared" si="400"/>
        <v>0</v>
      </c>
      <c r="AV1065" s="71">
        <f t="shared" si="401"/>
        <v>0</v>
      </c>
      <c r="AX1065" s="71">
        <f t="shared" si="402"/>
        <v>0</v>
      </c>
      <c r="AZ1065" s="71">
        <f t="shared" si="403"/>
        <v>0</v>
      </c>
      <c r="BE1065" s="102">
        <f t="shared" si="404"/>
        <v>4.4721359549995796</v>
      </c>
      <c r="BG1065" s="81" t="str">
        <f t="shared" si="405"/>
        <v>BASSO</v>
      </c>
    </row>
    <row r="1066" spans="7:59" x14ac:dyDescent="0.15">
      <c r="G1066" s="64">
        <f t="shared" si="407"/>
        <v>0</v>
      </c>
      <c r="O1066" s="64">
        <f t="shared" si="388"/>
        <v>0</v>
      </c>
      <c r="Q1066" s="64">
        <f t="shared" si="389"/>
        <v>0</v>
      </c>
      <c r="S1066" s="71">
        <f t="shared" si="390"/>
        <v>0</v>
      </c>
      <c r="U1066" s="64">
        <f t="shared" si="391"/>
        <v>0</v>
      </c>
      <c r="W1066" s="71">
        <f t="shared" si="392"/>
        <v>0</v>
      </c>
      <c r="Y1066" s="71">
        <f t="shared" si="393"/>
        <v>0</v>
      </c>
      <c r="AA1066" s="71">
        <f t="shared" si="394"/>
        <v>0</v>
      </c>
      <c r="AC1066" s="71">
        <f t="shared" si="395"/>
        <v>0</v>
      </c>
      <c r="AK1066" s="71">
        <f t="shared" si="396"/>
        <v>0</v>
      </c>
      <c r="AM1066" s="71">
        <f t="shared" si="397"/>
        <v>0</v>
      </c>
      <c r="AO1066" s="71">
        <f t="shared" si="398"/>
        <v>0</v>
      </c>
      <c r="AQ1066" s="71">
        <f t="shared" si="399"/>
        <v>0</v>
      </c>
      <c r="AT1066" s="71">
        <f t="shared" si="400"/>
        <v>0</v>
      </c>
      <c r="AV1066" s="71">
        <f t="shared" si="401"/>
        <v>0</v>
      </c>
      <c r="AX1066" s="71">
        <f t="shared" si="402"/>
        <v>0</v>
      </c>
      <c r="AZ1066" s="71">
        <f t="shared" si="403"/>
        <v>0</v>
      </c>
      <c r="BE1066" s="102">
        <f t="shared" si="404"/>
        <v>4.4721359549995796</v>
      </c>
      <c r="BG1066" s="81" t="str">
        <f t="shared" si="405"/>
        <v>BASSO</v>
      </c>
    </row>
    <row r="1067" spans="7:59" x14ac:dyDescent="0.15">
      <c r="G1067" s="64">
        <f t="shared" si="407"/>
        <v>0</v>
      </c>
      <c r="O1067" s="64">
        <f t="shared" si="388"/>
        <v>0</v>
      </c>
      <c r="Q1067" s="64">
        <f t="shared" si="389"/>
        <v>0</v>
      </c>
      <c r="S1067" s="71">
        <f t="shared" si="390"/>
        <v>0</v>
      </c>
      <c r="U1067" s="64">
        <f t="shared" si="391"/>
        <v>0</v>
      </c>
      <c r="W1067" s="71">
        <f t="shared" si="392"/>
        <v>0</v>
      </c>
      <c r="Y1067" s="71">
        <f t="shared" si="393"/>
        <v>0</v>
      </c>
      <c r="AA1067" s="71">
        <f t="shared" si="394"/>
        <v>0</v>
      </c>
      <c r="AC1067" s="71">
        <f t="shared" si="395"/>
        <v>0</v>
      </c>
      <c r="AK1067" s="71">
        <f t="shared" si="396"/>
        <v>0</v>
      </c>
      <c r="AM1067" s="71">
        <f t="shared" si="397"/>
        <v>0</v>
      </c>
      <c r="AO1067" s="71">
        <f t="shared" si="398"/>
        <v>0</v>
      </c>
      <c r="AQ1067" s="71">
        <f t="shared" si="399"/>
        <v>0</v>
      </c>
      <c r="AT1067" s="71">
        <f t="shared" si="400"/>
        <v>0</v>
      </c>
      <c r="AV1067" s="71">
        <f t="shared" si="401"/>
        <v>0</v>
      </c>
      <c r="AX1067" s="71">
        <f t="shared" si="402"/>
        <v>0</v>
      </c>
      <c r="AZ1067" s="71">
        <f t="shared" si="403"/>
        <v>0</v>
      </c>
      <c r="BE1067" s="102">
        <f t="shared" si="404"/>
        <v>4.4721359549995796</v>
      </c>
      <c r="BG1067" s="81" t="str">
        <f t="shared" si="405"/>
        <v>BASSO</v>
      </c>
    </row>
    <row r="1068" spans="7:59" x14ac:dyDescent="0.15">
      <c r="G1068" s="64">
        <f t="shared" si="407"/>
        <v>0</v>
      </c>
      <c r="O1068" s="64">
        <f t="shared" si="388"/>
        <v>0</v>
      </c>
      <c r="Q1068" s="64">
        <f t="shared" si="389"/>
        <v>0</v>
      </c>
      <c r="S1068" s="71">
        <f t="shared" si="390"/>
        <v>0</v>
      </c>
      <c r="U1068" s="64">
        <f t="shared" si="391"/>
        <v>0</v>
      </c>
      <c r="W1068" s="71">
        <f t="shared" si="392"/>
        <v>0</v>
      </c>
      <c r="Y1068" s="71">
        <f t="shared" si="393"/>
        <v>0</v>
      </c>
      <c r="AA1068" s="71">
        <f t="shared" si="394"/>
        <v>0</v>
      </c>
      <c r="AC1068" s="71">
        <f t="shared" si="395"/>
        <v>0</v>
      </c>
      <c r="AK1068" s="71">
        <f t="shared" si="396"/>
        <v>0</v>
      </c>
      <c r="AM1068" s="71">
        <f t="shared" si="397"/>
        <v>0</v>
      </c>
      <c r="AO1068" s="71">
        <f t="shared" si="398"/>
        <v>0</v>
      </c>
      <c r="AQ1068" s="71">
        <f t="shared" si="399"/>
        <v>0</v>
      </c>
      <c r="AT1068" s="71">
        <f t="shared" si="400"/>
        <v>0</v>
      </c>
      <c r="AV1068" s="71">
        <f t="shared" si="401"/>
        <v>0</v>
      </c>
      <c r="AX1068" s="71">
        <f t="shared" si="402"/>
        <v>0</v>
      </c>
      <c r="AZ1068" s="71">
        <f t="shared" si="403"/>
        <v>0</v>
      </c>
      <c r="BE1068" s="102">
        <f t="shared" si="404"/>
        <v>4.4721359549995796</v>
      </c>
      <c r="BG1068" s="81" t="str">
        <f t="shared" si="405"/>
        <v>BASSO</v>
      </c>
    </row>
    <row r="1069" spans="7:59" x14ac:dyDescent="0.15">
      <c r="G1069" s="64">
        <f t="shared" si="407"/>
        <v>0</v>
      </c>
      <c r="O1069" s="64">
        <f t="shared" si="388"/>
        <v>0</v>
      </c>
      <c r="Q1069" s="64">
        <f t="shared" si="389"/>
        <v>0</v>
      </c>
      <c r="S1069" s="71">
        <f t="shared" si="390"/>
        <v>0</v>
      </c>
      <c r="U1069" s="64">
        <f t="shared" si="391"/>
        <v>0</v>
      </c>
      <c r="W1069" s="71">
        <f t="shared" si="392"/>
        <v>0</v>
      </c>
      <c r="Y1069" s="71">
        <f t="shared" si="393"/>
        <v>0</v>
      </c>
      <c r="AA1069" s="71">
        <f t="shared" si="394"/>
        <v>0</v>
      </c>
      <c r="AC1069" s="71">
        <f t="shared" si="395"/>
        <v>0</v>
      </c>
      <c r="AK1069" s="71">
        <f t="shared" si="396"/>
        <v>0</v>
      </c>
      <c r="AM1069" s="71">
        <f t="shared" si="397"/>
        <v>0</v>
      </c>
      <c r="AO1069" s="71">
        <f t="shared" si="398"/>
        <v>0</v>
      </c>
      <c r="AQ1069" s="71">
        <f t="shared" si="399"/>
        <v>0</v>
      </c>
      <c r="AT1069" s="71">
        <f t="shared" si="400"/>
        <v>0</v>
      </c>
      <c r="AV1069" s="71">
        <f t="shared" si="401"/>
        <v>0</v>
      </c>
      <c r="AX1069" s="71">
        <f t="shared" si="402"/>
        <v>0</v>
      </c>
      <c r="AZ1069" s="71">
        <f t="shared" si="403"/>
        <v>0</v>
      </c>
      <c r="BE1069" s="102">
        <f t="shared" si="404"/>
        <v>4.4721359549995796</v>
      </c>
      <c r="BG1069" s="81" t="str">
        <f t="shared" si="405"/>
        <v>BASSO</v>
      </c>
    </row>
    <row r="1070" spans="7:59" x14ac:dyDescent="0.15">
      <c r="G1070" s="64">
        <f t="shared" si="407"/>
        <v>0</v>
      </c>
      <c r="O1070" s="64">
        <f t="shared" si="388"/>
        <v>0</v>
      </c>
      <c r="Q1070" s="64">
        <f t="shared" si="389"/>
        <v>0</v>
      </c>
      <c r="S1070" s="71">
        <f t="shared" si="390"/>
        <v>0</v>
      </c>
      <c r="U1070" s="64">
        <f t="shared" si="391"/>
        <v>0</v>
      </c>
      <c r="W1070" s="71">
        <f t="shared" si="392"/>
        <v>0</v>
      </c>
      <c r="Y1070" s="71">
        <f t="shared" si="393"/>
        <v>0</v>
      </c>
      <c r="AA1070" s="71">
        <f t="shared" si="394"/>
        <v>0</v>
      </c>
      <c r="AC1070" s="71">
        <f t="shared" si="395"/>
        <v>0</v>
      </c>
      <c r="AK1070" s="71">
        <f t="shared" si="396"/>
        <v>0</v>
      </c>
      <c r="AM1070" s="71">
        <f t="shared" si="397"/>
        <v>0</v>
      </c>
      <c r="AO1070" s="71">
        <f t="shared" si="398"/>
        <v>0</v>
      </c>
      <c r="AQ1070" s="71">
        <f t="shared" si="399"/>
        <v>0</v>
      </c>
      <c r="AT1070" s="71">
        <f t="shared" si="400"/>
        <v>0</v>
      </c>
      <c r="AV1070" s="71">
        <f t="shared" si="401"/>
        <v>0</v>
      </c>
      <c r="AX1070" s="71">
        <f t="shared" si="402"/>
        <v>0</v>
      </c>
      <c r="AZ1070" s="71">
        <f t="shared" si="403"/>
        <v>0</v>
      </c>
      <c r="BE1070" s="102">
        <f t="shared" si="404"/>
        <v>4.4721359549995796</v>
      </c>
      <c r="BG1070" s="81" t="str">
        <f t="shared" si="405"/>
        <v>BASSO</v>
      </c>
    </row>
    <row r="1071" spans="7:59" x14ac:dyDescent="0.15">
      <c r="G1071" s="64">
        <f t="shared" si="407"/>
        <v>0</v>
      </c>
      <c r="O1071" s="64">
        <f t="shared" si="388"/>
        <v>0</v>
      </c>
      <c r="Q1071" s="64">
        <f t="shared" si="389"/>
        <v>0</v>
      </c>
      <c r="S1071" s="71">
        <f t="shared" si="390"/>
        <v>0</v>
      </c>
      <c r="U1071" s="64">
        <f t="shared" si="391"/>
        <v>0</v>
      </c>
      <c r="W1071" s="71">
        <f t="shared" si="392"/>
        <v>0</v>
      </c>
      <c r="Y1071" s="71">
        <f t="shared" si="393"/>
        <v>0</v>
      </c>
      <c r="AA1071" s="71">
        <f t="shared" si="394"/>
        <v>0</v>
      </c>
      <c r="AC1071" s="71">
        <f t="shared" si="395"/>
        <v>0</v>
      </c>
      <c r="AK1071" s="71">
        <f t="shared" si="396"/>
        <v>0</v>
      </c>
      <c r="AM1071" s="71">
        <f t="shared" si="397"/>
        <v>0</v>
      </c>
      <c r="AO1071" s="71">
        <f t="shared" si="398"/>
        <v>0</v>
      </c>
      <c r="AQ1071" s="71">
        <f t="shared" si="399"/>
        <v>0</v>
      </c>
      <c r="AT1071" s="71">
        <f t="shared" si="400"/>
        <v>0</v>
      </c>
      <c r="AV1071" s="71">
        <f t="shared" si="401"/>
        <v>0</v>
      </c>
      <c r="AX1071" s="71">
        <f t="shared" si="402"/>
        <v>0</v>
      </c>
      <c r="AZ1071" s="71">
        <f t="shared" si="403"/>
        <v>0</v>
      </c>
      <c r="BE1071" s="102">
        <f t="shared" si="404"/>
        <v>4.4721359549995796</v>
      </c>
      <c r="BG1071" s="81" t="str">
        <f t="shared" si="405"/>
        <v>BASSO</v>
      </c>
    </row>
    <row r="1072" spans="7:59" x14ac:dyDescent="0.15">
      <c r="G1072" s="64">
        <f t="shared" si="407"/>
        <v>0</v>
      </c>
      <c r="O1072" s="64">
        <f t="shared" si="388"/>
        <v>0</v>
      </c>
      <c r="Q1072" s="64">
        <f t="shared" si="389"/>
        <v>0</v>
      </c>
      <c r="S1072" s="71">
        <f t="shared" si="390"/>
        <v>0</v>
      </c>
      <c r="U1072" s="64">
        <f t="shared" si="391"/>
        <v>0</v>
      </c>
      <c r="W1072" s="71">
        <f t="shared" si="392"/>
        <v>0</v>
      </c>
      <c r="Y1072" s="71">
        <f t="shared" si="393"/>
        <v>0</v>
      </c>
      <c r="AA1072" s="71">
        <f t="shared" si="394"/>
        <v>0</v>
      </c>
      <c r="AC1072" s="71">
        <f t="shared" si="395"/>
        <v>0</v>
      </c>
      <c r="AK1072" s="71">
        <f t="shared" si="396"/>
        <v>0</v>
      </c>
      <c r="AM1072" s="71">
        <f t="shared" si="397"/>
        <v>0</v>
      </c>
      <c r="AO1072" s="71">
        <f t="shared" si="398"/>
        <v>0</v>
      </c>
      <c r="AQ1072" s="71">
        <f t="shared" si="399"/>
        <v>0</v>
      </c>
      <c r="AT1072" s="71">
        <f t="shared" si="400"/>
        <v>0</v>
      </c>
      <c r="AV1072" s="71">
        <f t="shared" si="401"/>
        <v>0</v>
      </c>
      <c r="AX1072" s="71">
        <f t="shared" si="402"/>
        <v>0</v>
      </c>
      <c r="AZ1072" s="71">
        <f t="shared" si="403"/>
        <v>0</v>
      </c>
      <c r="BE1072" s="102">
        <f t="shared" si="404"/>
        <v>4.4721359549995796</v>
      </c>
      <c r="BG1072" s="81" t="str">
        <f t="shared" si="405"/>
        <v>BASSO</v>
      </c>
    </row>
    <row r="1073" spans="7:59" x14ac:dyDescent="0.15">
      <c r="G1073" s="64">
        <f t="shared" si="407"/>
        <v>0</v>
      </c>
      <c r="O1073" s="64">
        <f t="shared" si="388"/>
        <v>0</v>
      </c>
      <c r="Q1073" s="64">
        <f t="shared" si="389"/>
        <v>0</v>
      </c>
      <c r="S1073" s="71">
        <f t="shared" si="390"/>
        <v>0</v>
      </c>
      <c r="U1073" s="64">
        <f t="shared" si="391"/>
        <v>0</v>
      </c>
      <c r="W1073" s="71">
        <f t="shared" si="392"/>
        <v>0</v>
      </c>
      <c r="Y1073" s="71">
        <f t="shared" si="393"/>
        <v>0</v>
      </c>
      <c r="AA1073" s="71">
        <f t="shared" si="394"/>
        <v>0</v>
      </c>
      <c r="AC1073" s="71">
        <f t="shared" si="395"/>
        <v>0</v>
      </c>
      <c r="AK1073" s="71">
        <f t="shared" si="396"/>
        <v>0</v>
      </c>
      <c r="AM1073" s="71">
        <f t="shared" si="397"/>
        <v>0</v>
      </c>
      <c r="AO1073" s="71">
        <f t="shared" si="398"/>
        <v>0</v>
      </c>
      <c r="AQ1073" s="71">
        <f t="shared" si="399"/>
        <v>0</v>
      </c>
      <c r="AT1073" s="71">
        <f t="shared" si="400"/>
        <v>0</v>
      </c>
      <c r="AV1073" s="71">
        <f t="shared" si="401"/>
        <v>0</v>
      </c>
      <c r="AX1073" s="71">
        <f t="shared" si="402"/>
        <v>0</v>
      </c>
      <c r="AZ1073" s="71">
        <f t="shared" si="403"/>
        <v>0</v>
      </c>
      <c r="BE1073" s="102">
        <f t="shared" si="404"/>
        <v>4.4721359549995796</v>
      </c>
      <c r="BG1073" s="81" t="str">
        <f t="shared" si="405"/>
        <v>BASSO</v>
      </c>
    </row>
    <row r="1074" spans="7:59" x14ac:dyDescent="0.15">
      <c r="G1074" s="64">
        <f t="shared" si="407"/>
        <v>0</v>
      </c>
      <c r="O1074" s="64">
        <f t="shared" si="388"/>
        <v>0</v>
      </c>
      <c r="Q1074" s="64">
        <f t="shared" si="389"/>
        <v>0</v>
      </c>
      <c r="S1074" s="71">
        <f t="shared" si="390"/>
        <v>0</v>
      </c>
      <c r="U1074" s="64">
        <f t="shared" si="391"/>
        <v>0</v>
      </c>
      <c r="W1074" s="71">
        <f t="shared" si="392"/>
        <v>0</v>
      </c>
      <c r="Y1074" s="71">
        <f t="shared" si="393"/>
        <v>0</v>
      </c>
      <c r="AA1074" s="71">
        <f t="shared" si="394"/>
        <v>0</v>
      </c>
      <c r="AC1074" s="71">
        <f t="shared" si="395"/>
        <v>0</v>
      </c>
      <c r="AK1074" s="71">
        <f t="shared" si="396"/>
        <v>0</v>
      </c>
      <c r="AM1074" s="71">
        <f t="shared" si="397"/>
        <v>0</v>
      </c>
      <c r="AO1074" s="71">
        <f t="shared" si="398"/>
        <v>0</v>
      </c>
      <c r="AQ1074" s="71">
        <f t="shared" si="399"/>
        <v>0</v>
      </c>
      <c r="AT1074" s="71">
        <f t="shared" si="400"/>
        <v>0</v>
      </c>
      <c r="AV1074" s="71">
        <f t="shared" si="401"/>
        <v>0</v>
      </c>
      <c r="AX1074" s="71">
        <f t="shared" si="402"/>
        <v>0</v>
      </c>
      <c r="AZ1074" s="71">
        <f t="shared" si="403"/>
        <v>0</v>
      </c>
      <c r="BE1074" s="102">
        <f t="shared" si="404"/>
        <v>4.4721359549995796</v>
      </c>
      <c r="BG1074" s="81" t="str">
        <f t="shared" si="405"/>
        <v>BASSO</v>
      </c>
    </row>
    <row r="1075" spans="7:59" x14ac:dyDescent="0.15">
      <c r="G1075" s="64">
        <f t="shared" si="407"/>
        <v>0</v>
      </c>
      <c r="O1075" s="64">
        <f t="shared" si="388"/>
        <v>0</v>
      </c>
      <c r="Q1075" s="64">
        <f t="shared" si="389"/>
        <v>0</v>
      </c>
      <c r="S1075" s="71">
        <f t="shared" si="390"/>
        <v>0</v>
      </c>
      <c r="U1075" s="64">
        <f t="shared" si="391"/>
        <v>0</v>
      </c>
      <c r="W1075" s="71">
        <f t="shared" si="392"/>
        <v>0</v>
      </c>
      <c r="Y1075" s="71">
        <f t="shared" si="393"/>
        <v>0</v>
      </c>
      <c r="AA1075" s="71">
        <f t="shared" si="394"/>
        <v>0</v>
      </c>
      <c r="AC1075" s="71">
        <f t="shared" si="395"/>
        <v>0</v>
      </c>
      <c r="AK1075" s="71">
        <f t="shared" si="396"/>
        <v>0</v>
      </c>
      <c r="AM1075" s="71">
        <f t="shared" si="397"/>
        <v>0</v>
      </c>
      <c r="AO1075" s="71">
        <f t="shared" si="398"/>
        <v>0</v>
      </c>
      <c r="AQ1075" s="71">
        <f t="shared" si="399"/>
        <v>0</v>
      </c>
      <c r="AT1075" s="71">
        <f t="shared" si="400"/>
        <v>0</v>
      </c>
      <c r="AV1075" s="71">
        <f t="shared" si="401"/>
        <v>0</v>
      </c>
      <c r="AX1075" s="71">
        <f t="shared" si="402"/>
        <v>0</v>
      </c>
      <c r="AZ1075" s="71">
        <f t="shared" si="403"/>
        <v>0</v>
      </c>
      <c r="BE1075" s="102">
        <f t="shared" si="404"/>
        <v>4.4721359549995796</v>
      </c>
      <c r="BG1075" s="81" t="str">
        <f t="shared" si="405"/>
        <v>BASSO</v>
      </c>
    </row>
    <row r="1076" spans="7:59" x14ac:dyDescent="0.15">
      <c r="G1076" s="64">
        <f t="shared" si="407"/>
        <v>0</v>
      </c>
      <c r="O1076" s="64">
        <f t="shared" si="388"/>
        <v>0</v>
      </c>
      <c r="Q1076" s="64">
        <f t="shared" si="389"/>
        <v>0</v>
      </c>
      <c r="S1076" s="71">
        <f t="shared" si="390"/>
        <v>0</v>
      </c>
      <c r="U1076" s="64">
        <f t="shared" si="391"/>
        <v>0</v>
      </c>
      <c r="W1076" s="71">
        <f t="shared" si="392"/>
        <v>0</v>
      </c>
      <c r="Y1076" s="71">
        <f t="shared" si="393"/>
        <v>0</v>
      </c>
      <c r="AA1076" s="71">
        <f t="shared" si="394"/>
        <v>0</v>
      </c>
      <c r="AC1076" s="71">
        <f t="shared" si="395"/>
        <v>0</v>
      </c>
      <c r="AK1076" s="71">
        <f t="shared" si="396"/>
        <v>0</v>
      </c>
      <c r="AM1076" s="71">
        <f t="shared" si="397"/>
        <v>0</v>
      </c>
      <c r="AO1076" s="71">
        <f t="shared" si="398"/>
        <v>0</v>
      </c>
      <c r="AQ1076" s="71">
        <f t="shared" si="399"/>
        <v>0</v>
      </c>
      <c r="AT1076" s="71">
        <f t="shared" si="400"/>
        <v>0</v>
      </c>
      <c r="AV1076" s="71">
        <f t="shared" si="401"/>
        <v>0</v>
      </c>
      <c r="AX1076" s="71">
        <f t="shared" si="402"/>
        <v>0</v>
      </c>
      <c r="AZ1076" s="71">
        <f t="shared" si="403"/>
        <v>0</v>
      </c>
      <c r="BE1076" s="102">
        <f t="shared" si="404"/>
        <v>4.4721359549995796</v>
      </c>
      <c r="BG1076" s="81" t="str">
        <f t="shared" si="405"/>
        <v>BASSO</v>
      </c>
    </row>
    <row r="1077" spans="7:59" x14ac:dyDescent="0.15">
      <c r="G1077" s="64">
        <f t="shared" si="407"/>
        <v>0</v>
      </c>
      <c r="O1077" s="64">
        <f t="shared" si="388"/>
        <v>0</v>
      </c>
      <c r="Q1077" s="64">
        <f t="shared" si="389"/>
        <v>0</v>
      </c>
      <c r="S1077" s="71">
        <f t="shared" si="390"/>
        <v>0</v>
      </c>
      <c r="U1077" s="64">
        <f t="shared" si="391"/>
        <v>0</v>
      </c>
      <c r="W1077" s="71">
        <f t="shared" si="392"/>
        <v>0</v>
      </c>
      <c r="Y1077" s="71">
        <f t="shared" si="393"/>
        <v>0</v>
      </c>
      <c r="AA1077" s="71">
        <f t="shared" si="394"/>
        <v>0</v>
      </c>
      <c r="AC1077" s="71">
        <f t="shared" si="395"/>
        <v>0</v>
      </c>
      <c r="AK1077" s="71">
        <f t="shared" si="396"/>
        <v>0</v>
      </c>
      <c r="AM1077" s="71">
        <f t="shared" si="397"/>
        <v>0</v>
      </c>
      <c r="AO1077" s="71">
        <f t="shared" si="398"/>
        <v>0</v>
      </c>
      <c r="AQ1077" s="71">
        <f t="shared" si="399"/>
        <v>0</v>
      </c>
      <c r="AT1077" s="71">
        <f t="shared" si="400"/>
        <v>0</v>
      </c>
      <c r="AV1077" s="71">
        <f t="shared" si="401"/>
        <v>0</v>
      </c>
      <c r="AX1077" s="71">
        <f t="shared" si="402"/>
        <v>0</v>
      </c>
      <c r="AZ1077" s="71">
        <f t="shared" si="403"/>
        <v>0</v>
      </c>
      <c r="BE1077" s="102">
        <f t="shared" si="404"/>
        <v>4.4721359549995796</v>
      </c>
      <c r="BG1077" s="81" t="str">
        <f t="shared" si="405"/>
        <v>BASSO</v>
      </c>
    </row>
    <row r="1078" spans="7:59" x14ac:dyDescent="0.15">
      <c r="G1078" s="64">
        <f t="shared" si="407"/>
        <v>0</v>
      </c>
      <c r="O1078" s="64">
        <f t="shared" si="388"/>
        <v>0</v>
      </c>
      <c r="Q1078" s="64">
        <f t="shared" si="389"/>
        <v>0</v>
      </c>
      <c r="S1078" s="71">
        <f t="shared" si="390"/>
        <v>0</v>
      </c>
      <c r="U1078" s="64">
        <f t="shared" si="391"/>
        <v>0</v>
      </c>
      <c r="W1078" s="71">
        <f t="shared" si="392"/>
        <v>0</v>
      </c>
      <c r="Y1078" s="71">
        <f t="shared" si="393"/>
        <v>0</v>
      </c>
      <c r="AA1078" s="71">
        <f t="shared" si="394"/>
        <v>0</v>
      </c>
      <c r="AC1078" s="71">
        <f t="shared" si="395"/>
        <v>0</v>
      </c>
      <c r="AK1078" s="71">
        <f t="shared" si="396"/>
        <v>0</v>
      </c>
      <c r="AM1078" s="71">
        <f t="shared" si="397"/>
        <v>0</v>
      </c>
      <c r="AO1078" s="71">
        <f t="shared" si="398"/>
        <v>0</v>
      </c>
      <c r="AQ1078" s="71">
        <f t="shared" si="399"/>
        <v>0</v>
      </c>
      <c r="AT1078" s="71">
        <f t="shared" si="400"/>
        <v>0</v>
      </c>
      <c r="AV1078" s="71">
        <f t="shared" si="401"/>
        <v>0</v>
      </c>
      <c r="AX1078" s="71">
        <f t="shared" si="402"/>
        <v>0</v>
      </c>
      <c r="AZ1078" s="71">
        <f t="shared" si="403"/>
        <v>0</v>
      </c>
      <c r="BE1078" s="102">
        <f t="shared" si="404"/>
        <v>4.4721359549995796</v>
      </c>
      <c r="BG1078" s="81" t="str">
        <f t="shared" si="405"/>
        <v>BASSO</v>
      </c>
    </row>
    <row r="1079" spans="7:59" x14ac:dyDescent="0.15">
      <c r="G1079" s="64">
        <f t="shared" si="407"/>
        <v>0</v>
      </c>
      <c r="O1079" s="64">
        <f t="shared" si="388"/>
        <v>0</v>
      </c>
      <c r="Q1079" s="64">
        <f t="shared" si="389"/>
        <v>0</v>
      </c>
      <c r="S1079" s="71">
        <f t="shared" si="390"/>
        <v>0</v>
      </c>
      <c r="U1079" s="64">
        <f t="shared" si="391"/>
        <v>0</v>
      </c>
      <c r="W1079" s="71">
        <f t="shared" si="392"/>
        <v>0</v>
      </c>
      <c r="Y1079" s="71">
        <f t="shared" si="393"/>
        <v>0</v>
      </c>
      <c r="AA1079" s="71">
        <f t="shared" si="394"/>
        <v>0</v>
      </c>
      <c r="AC1079" s="71">
        <f t="shared" si="395"/>
        <v>0</v>
      </c>
      <c r="AK1079" s="71">
        <f t="shared" si="396"/>
        <v>0</v>
      </c>
      <c r="AM1079" s="71">
        <f t="shared" si="397"/>
        <v>0</v>
      </c>
      <c r="AO1079" s="71">
        <f t="shared" si="398"/>
        <v>0</v>
      </c>
      <c r="AQ1079" s="71">
        <f t="shared" si="399"/>
        <v>0</v>
      </c>
      <c r="AT1079" s="71">
        <f t="shared" si="400"/>
        <v>0</v>
      </c>
      <c r="AV1079" s="71">
        <f t="shared" si="401"/>
        <v>0</v>
      </c>
      <c r="AX1079" s="71">
        <f t="shared" si="402"/>
        <v>0</v>
      </c>
      <c r="AZ1079" s="71">
        <f t="shared" si="403"/>
        <v>0</v>
      </c>
      <c r="BE1079" s="102">
        <f t="shared" si="404"/>
        <v>4.4721359549995796</v>
      </c>
      <c r="BG1079" s="81" t="str">
        <f t="shared" si="405"/>
        <v>BASSO</v>
      </c>
    </row>
    <row r="1080" spans="7:59" x14ac:dyDescent="0.15">
      <c r="G1080" s="64">
        <f t="shared" si="407"/>
        <v>0</v>
      </c>
      <c r="O1080" s="64">
        <f t="shared" si="388"/>
        <v>0</v>
      </c>
      <c r="Q1080" s="64">
        <f t="shared" si="389"/>
        <v>0</v>
      </c>
      <c r="S1080" s="71">
        <f t="shared" si="390"/>
        <v>0</v>
      </c>
      <c r="U1080" s="64">
        <f t="shared" si="391"/>
        <v>0</v>
      </c>
      <c r="W1080" s="71">
        <f t="shared" si="392"/>
        <v>0</v>
      </c>
      <c r="Y1080" s="71">
        <f t="shared" si="393"/>
        <v>0</v>
      </c>
      <c r="AA1080" s="71">
        <f t="shared" si="394"/>
        <v>0</v>
      </c>
      <c r="AC1080" s="71">
        <f t="shared" si="395"/>
        <v>0</v>
      </c>
      <c r="AK1080" s="71">
        <f t="shared" si="396"/>
        <v>0</v>
      </c>
      <c r="AM1080" s="71">
        <f t="shared" si="397"/>
        <v>0</v>
      </c>
      <c r="AO1080" s="71">
        <f t="shared" si="398"/>
        <v>0</v>
      </c>
      <c r="AQ1080" s="71">
        <f t="shared" si="399"/>
        <v>0</v>
      </c>
      <c r="AT1080" s="71">
        <f t="shared" si="400"/>
        <v>0</v>
      </c>
      <c r="AV1080" s="71">
        <f t="shared" si="401"/>
        <v>0</v>
      </c>
      <c r="AX1080" s="71">
        <f t="shared" si="402"/>
        <v>0</v>
      </c>
      <c r="AZ1080" s="71">
        <f t="shared" si="403"/>
        <v>0</v>
      </c>
      <c r="BG1080" s="81" t="str">
        <f t="shared" si="405"/>
        <v>BASSO</v>
      </c>
    </row>
    <row r="1081" spans="7:59" x14ac:dyDescent="0.15">
      <c r="G1081" s="64">
        <f t="shared" si="407"/>
        <v>0</v>
      </c>
      <c r="O1081" s="64">
        <f t="shared" si="388"/>
        <v>0</v>
      </c>
      <c r="Q1081" s="64">
        <f t="shared" si="389"/>
        <v>0</v>
      </c>
      <c r="S1081" s="71">
        <f t="shared" si="390"/>
        <v>0</v>
      </c>
      <c r="U1081" s="64">
        <f t="shared" si="391"/>
        <v>0</v>
      </c>
      <c r="W1081" s="71">
        <f t="shared" si="392"/>
        <v>0</v>
      </c>
      <c r="Y1081" s="71">
        <f t="shared" si="393"/>
        <v>0</v>
      </c>
      <c r="AA1081" s="71">
        <f t="shared" si="394"/>
        <v>0</v>
      </c>
      <c r="AC1081" s="71">
        <f t="shared" si="395"/>
        <v>0</v>
      </c>
      <c r="AK1081" s="71">
        <f t="shared" si="396"/>
        <v>0</v>
      </c>
      <c r="AM1081" s="71">
        <f t="shared" si="397"/>
        <v>0</v>
      </c>
      <c r="AO1081" s="71">
        <f t="shared" si="398"/>
        <v>0</v>
      </c>
      <c r="AQ1081" s="71">
        <f t="shared" si="399"/>
        <v>0</v>
      </c>
      <c r="AT1081" s="71">
        <f t="shared" si="400"/>
        <v>0</v>
      </c>
      <c r="AV1081" s="71">
        <f t="shared" si="401"/>
        <v>0</v>
      </c>
      <c r="AX1081" s="71">
        <f t="shared" si="402"/>
        <v>0</v>
      </c>
      <c r="AZ1081" s="71">
        <f t="shared" si="403"/>
        <v>0</v>
      </c>
      <c r="BG1081" s="81" t="str">
        <f t="shared" si="405"/>
        <v>BASSO</v>
      </c>
    </row>
    <row r="1082" spans="7:59" x14ac:dyDescent="0.15">
      <c r="G1082" s="64">
        <f t="shared" si="407"/>
        <v>0</v>
      </c>
      <c r="O1082" s="64">
        <f t="shared" si="388"/>
        <v>0</v>
      </c>
      <c r="Q1082" s="64">
        <f t="shared" si="389"/>
        <v>0</v>
      </c>
      <c r="S1082" s="71">
        <f t="shared" si="390"/>
        <v>0</v>
      </c>
      <c r="U1082" s="64">
        <f t="shared" si="391"/>
        <v>0</v>
      </c>
      <c r="W1082" s="71">
        <f t="shared" si="392"/>
        <v>0</v>
      </c>
      <c r="Y1082" s="71">
        <f t="shared" si="393"/>
        <v>0</v>
      </c>
      <c r="AA1082" s="71">
        <f t="shared" si="394"/>
        <v>0</v>
      </c>
      <c r="AC1082" s="71">
        <f t="shared" si="395"/>
        <v>0</v>
      </c>
      <c r="AK1082" s="71">
        <f t="shared" si="396"/>
        <v>0</v>
      </c>
      <c r="AM1082" s="71">
        <f t="shared" si="397"/>
        <v>0</v>
      </c>
      <c r="AO1082" s="71">
        <f t="shared" si="398"/>
        <v>0</v>
      </c>
      <c r="AQ1082" s="71">
        <f t="shared" si="399"/>
        <v>0</v>
      </c>
      <c r="AT1082" s="71">
        <f t="shared" si="400"/>
        <v>0</v>
      </c>
      <c r="AV1082" s="71">
        <f t="shared" si="401"/>
        <v>0</v>
      </c>
      <c r="AX1082" s="71">
        <f t="shared" si="402"/>
        <v>0</v>
      </c>
      <c r="AZ1082" s="71">
        <f t="shared" si="403"/>
        <v>0</v>
      </c>
      <c r="BG1082" s="81" t="str">
        <f t="shared" si="405"/>
        <v>BASSO</v>
      </c>
    </row>
    <row r="1083" spans="7:59" x14ac:dyDescent="0.15">
      <c r="G1083" s="64">
        <f t="shared" si="407"/>
        <v>0</v>
      </c>
      <c r="O1083" s="64">
        <f t="shared" si="388"/>
        <v>0</v>
      </c>
      <c r="Q1083" s="64">
        <f t="shared" si="389"/>
        <v>0</v>
      </c>
      <c r="S1083" s="71">
        <f t="shared" si="390"/>
        <v>0</v>
      </c>
      <c r="U1083" s="64">
        <f t="shared" si="391"/>
        <v>0</v>
      </c>
      <c r="W1083" s="71">
        <f t="shared" si="392"/>
        <v>0</v>
      </c>
      <c r="Y1083" s="71">
        <f t="shared" si="393"/>
        <v>0</v>
      </c>
      <c r="AA1083" s="71">
        <f t="shared" si="394"/>
        <v>0</v>
      </c>
      <c r="AC1083" s="71">
        <f t="shared" si="395"/>
        <v>0</v>
      </c>
      <c r="AK1083" s="71">
        <f t="shared" si="396"/>
        <v>0</v>
      </c>
      <c r="AM1083" s="71">
        <f t="shared" si="397"/>
        <v>0</v>
      </c>
      <c r="AO1083" s="71">
        <f t="shared" si="398"/>
        <v>0</v>
      </c>
      <c r="AQ1083" s="71">
        <f t="shared" si="399"/>
        <v>0</v>
      </c>
      <c r="AT1083" s="71">
        <f t="shared" si="400"/>
        <v>0</v>
      </c>
      <c r="AV1083" s="71">
        <f t="shared" si="401"/>
        <v>0</v>
      </c>
      <c r="AX1083" s="71">
        <f t="shared" si="402"/>
        <v>0</v>
      </c>
      <c r="AZ1083" s="71">
        <f t="shared" si="403"/>
        <v>0</v>
      </c>
      <c r="BG1083" s="81" t="str">
        <f t="shared" si="405"/>
        <v>BASSO</v>
      </c>
    </row>
    <row r="1084" spans="7:59" x14ac:dyDescent="0.15">
      <c r="G1084" s="64">
        <f t="shared" si="407"/>
        <v>0</v>
      </c>
      <c r="O1084" s="64">
        <f t="shared" si="388"/>
        <v>0</v>
      </c>
      <c r="Q1084" s="64">
        <f t="shared" si="389"/>
        <v>0</v>
      </c>
      <c r="S1084" s="71">
        <f t="shared" si="390"/>
        <v>0</v>
      </c>
      <c r="U1084" s="64">
        <f t="shared" si="391"/>
        <v>0</v>
      </c>
      <c r="W1084" s="71">
        <f t="shared" si="392"/>
        <v>0</v>
      </c>
      <c r="Y1084" s="71">
        <f t="shared" si="393"/>
        <v>0</v>
      </c>
      <c r="AA1084" s="71">
        <f t="shared" si="394"/>
        <v>0</v>
      </c>
      <c r="AC1084" s="71">
        <f t="shared" si="395"/>
        <v>0</v>
      </c>
      <c r="AK1084" s="71">
        <f t="shared" si="396"/>
        <v>0</v>
      </c>
      <c r="AM1084" s="71">
        <f t="shared" si="397"/>
        <v>0</v>
      </c>
      <c r="AO1084" s="71">
        <f t="shared" si="398"/>
        <v>0</v>
      </c>
      <c r="AQ1084" s="71">
        <f t="shared" si="399"/>
        <v>0</v>
      </c>
      <c r="AT1084" s="71">
        <f t="shared" si="400"/>
        <v>0</v>
      </c>
      <c r="AV1084" s="71">
        <f t="shared" si="401"/>
        <v>0</v>
      </c>
      <c r="AX1084" s="71">
        <f t="shared" si="402"/>
        <v>0</v>
      </c>
      <c r="AZ1084" s="71">
        <f t="shared" si="403"/>
        <v>0</v>
      </c>
      <c r="BG1084" s="81" t="str">
        <f t="shared" si="405"/>
        <v>BASSO</v>
      </c>
    </row>
    <row r="1085" spans="7:59" x14ac:dyDescent="0.15">
      <c r="G1085" s="64">
        <f t="shared" si="407"/>
        <v>0</v>
      </c>
      <c r="O1085" s="64">
        <f t="shared" si="388"/>
        <v>0</v>
      </c>
      <c r="Q1085" s="64">
        <f t="shared" si="389"/>
        <v>0</v>
      </c>
      <c r="S1085" s="71">
        <f t="shared" si="390"/>
        <v>0</v>
      </c>
      <c r="U1085" s="64">
        <f t="shared" si="391"/>
        <v>0</v>
      </c>
      <c r="W1085" s="71">
        <f t="shared" si="392"/>
        <v>0</v>
      </c>
      <c r="Y1085" s="71">
        <f t="shared" si="393"/>
        <v>0</v>
      </c>
      <c r="AA1085" s="71">
        <f t="shared" si="394"/>
        <v>0</v>
      </c>
      <c r="AC1085" s="71">
        <f t="shared" si="395"/>
        <v>0</v>
      </c>
      <c r="AK1085" s="71">
        <f t="shared" si="396"/>
        <v>0</v>
      </c>
      <c r="AM1085" s="71">
        <f t="shared" si="397"/>
        <v>0</v>
      </c>
      <c r="AO1085" s="71">
        <f t="shared" si="398"/>
        <v>0</v>
      </c>
      <c r="AQ1085" s="71">
        <f t="shared" si="399"/>
        <v>0</v>
      </c>
      <c r="AT1085" s="71">
        <f t="shared" si="400"/>
        <v>0</v>
      </c>
      <c r="AV1085" s="71">
        <f t="shared" si="401"/>
        <v>0</v>
      </c>
      <c r="AX1085" s="71">
        <f t="shared" si="402"/>
        <v>0</v>
      </c>
      <c r="AZ1085" s="71">
        <f t="shared" si="403"/>
        <v>0</v>
      </c>
      <c r="BG1085" s="81" t="str">
        <f t="shared" si="405"/>
        <v>BASSO</v>
      </c>
    </row>
    <row r="1086" spans="7:59" x14ac:dyDescent="0.15">
      <c r="G1086" s="64">
        <f t="shared" si="407"/>
        <v>0</v>
      </c>
      <c r="O1086" s="64">
        <f t="shared" si="388"/>
        <v>0</v>
      </c>
      <c r="Q1086" s="64">
        <f t="shared" si="389"/>
        <v>0</v>
      </c>
      <c r="S1086" s="71">
        <f t="shared" si="390"/>
        <v>0</v>
      </c>
      <c r="U1086" s="64">
        <f t="shared" si="391"/>
        <v>0</v>
      </c>
      <c r="W1086" s="71">
        <f t="shared" si="392"/>
        <v>0</v>
      </c>
      <c r="Y1086" s="71">
        <f t="shared" si="393"/>
        <v>0</v>
      </c>
      <c r="AA1086" s="71">
        <f t="shared" si="394"/>
        <v>0</v>
      </c>
      <c r="AC1086" s="71">
        <f t="shared" si="395"/>
        <v>0</v>
      </c>
      <c r="AK1086" s="71">
        <f t="shared" si="396"/>
        <v>0</v>
      </c>
      <c r="AM1086" s="71">
        <f t="shared" si="397"/>
        <v>0</v>
      </c>
      <c r="AO1086" s="71">
        <f t="shared" si="398"/>
        <v>0</v>
      </c>
      <c r="AQ1086" s="71">
        <f t="shared" si="399"/>
        <v>0</v>
      </c>
      <c r="AT1086" s="71">
        <f t="shared" si="400"/>
        <v>0</v>
      </c>
      <c r="AV1086" s="71">
        <f t="shared" si="401"/>
        <v>0</v>
      </c>
      <c r="AX1086" s="71">
        <f t="shared" si="402"/>
        <v>0</v>
      </c>
      <c r="AZ1086" s="71">
        <f t="shared" si="403"/>
        <v>0</v>
      </c>
      <c r="BG1086" s="81" t="str">
        <f t="shared" si="405"/>
        <v>BASSO</v>
      </c>
    </row>
    <row r="1087" spans="7:59" x14ac:dyDescent="0.15">
      <c r="G1087" s="64">
        <f t="shared" si="407"/>
        <v>0</v>
      </c>
      <c r="O1087" s="64">
        <f t="shared" si="388"/>
        <v>0</v>
      </c>
      <c r="Q1087" s="64">
        <f t="shared" si="389"/>
        <v>0</v>
      </c>
      <c r="S1087" s="71">
        <f t="shared" si="390"/>
        <v>0</v>
      </c>
      <c r="U1087" s="64">
        <f t="shared" si="391"/>
        <v>0</v>
      </c>
      <c r="W1087" s="71">
        <f t="shared" si="392"/>
        <v>0</v>
      </c>
      <c r="Y1087" s="71">
        <f t="shared" si="393"/>
        <v>0</v>
      </c>
      <c r="AA1087" s="71">
        <f t="shared" si="394"/>
        <v>0</v>
      </c>
      <c r="AC1087" s="71">
        <f t="shared" si="395"/>
        <v>0</v>
      </c>
      <c r="AK1087" s="71">
        <f t="shared" si="396"/>
        <v>0</v>
      </c>
      <c r="AM1087" s="71">
        <f t="shared" si="397"/>
        <v>0</v>
      </c>
      <c r="AO1087" s="71">
        <f t="shared" si="398"/>
        <v>0</v>
      </c>
      <c r="AQ1087" s="71">
        <f t="shared" si="399"/>
        <v>0</v>
      </c>
      <c r="AT1087" s="71">
        <f t="shared" si="400"/>
        <v>0</v>
      </c>
      <c r="AV1087" s="71">
        <f t="shared" si="401"/>
        <v>0</v>
      </c>
      <c r="AX1087" s="71">
        <f t="shared" si="402"/>
        <v>0</v>
      </c>
      <c r="AZ1087" s="71">
        <f t="shared" si="403"/>
        <v>0</v>
      </c>
      <c r="BG1087" s="81" t="str">
        <f t="shared" si="405"/>
        <v>BASSO</v>
      </c>
    </row>
    <row r="1088" spans="7:59" x14ac:dyDescent="0.15">
      <c r="G1088" s="64">
        <f t="shared" si="407"/>
        <v>0</v>
      </c>
      <c r="O1088" s="64">
        <f t="shared" si="388"/>
        <v>0</v>
      </c>
      <c r="Q1088" s="64">
        <f t="shared" si="389"/>
        <v>0</v>
      </c>
      <c r="S1088" s="71">
        <f t="shared" si="390"/>
        <v>0</v>
      </c>
      <c r="U1088" s="64">
        <f t="shared" si="391"/>
        <v>0</v>
      </c>
      <c r="W1088" s="71">
        <f t="shared" si="392"/>
        <v>0</v>
      </c>
      <c r="Y1088" s="71">
        <f t="shared" si="393"/>
        <v>0</v>
      </c>
      <c r="AA1088" s="71">
        <f t="shared" si="394"/>
        <v>0</v>
      </c>
      <c r="AC1088" s="71">
        <f t="shared" si="395"/>
        <v>0</v>
      </c>
      <c r="AK1088" s="71">
        <f t="shared" si="396"/>
        <v>0</v>
      </c>
      <c r="AM1088" s="71">
        <f t="shared" si="397"/>
        <v>0</v>
      </c>
      <c r="AO1088" s="71">
        <f t="shared" si="398"/>
        <v>0</v>
      </c>
      <c r="AQ1088" s="71">
        <f t="shared" si="399"/>
        <v>0</v>
      </c>
      <c r="AT1088" s="71">
        <f t="shared" si="400"/>
        <v>0</v>
      </c>
      <c r="AV1088" s="71">
        <f t="shared" si="401"/>
        <v>0</v>
      </c>
      <c r="AX1088" s="71">
        <f t="shared" si="402"/>
        <v>0</v>
      </c>
      <c r="AZ1088" s="71">
        <f t="shared" si="403"/>
        <v>0</v>
      </c>
      <c r="BG1088" s="81" t="str">
        <f t="shared" si="405"/>
        <v>BASSO</v>
      </c>
    </row>
    <row r="1089" spans="7:59" x14ac:dyDescent="0.15">
      <c r="G1089" s="64">
        <f t="shared" si="407"/>
        <v>0</v>
      </c>
      <c r="O1089" s="64">
        <f t="shared" si="388"/>
        <v>0</v>
      </c>
      <c r="Q1089" s="64">
        <f t="shared" si="389"/>
        <v>0</v>
      </c>
      <c r="S1089" s="71">
        <f t="shared" si="390"/>
        <v>0</v>
      </c>
      <c r="U1089" s="64">
        <f t="shared" si="391"/>
        <v>0</v>
      </c>
      <c r="W1089" s="71">
        <f t="shared" si="392"/>
        <v>0</v>
      </c>
      <c r="Y1089" s="71">
        <f t="shared" si="393"/>
        <v>0</v>
      </c>
      <c r="AA1089" s="71">
        <f t="shared" si="394"/>
        <v>0</v>
      </c>
      <c r="AC1089" s="71">
        <f t="shared" si="395"/>
        <v>0</v>
      </c>
      <c r="AK1089" s="71">
        <f t="shared" si="396"/>
        <v>0</v>
      </c>
      <c r="AM1089" s="71">
        <f t="shared" si="397"/>
        <v>0</v>
      </c>
      <c r="AO1089" s="71">
        <f t="shared" si="398"/>
        <v>0</v>
      </c>
      <c r="AQ1089" s="71">
        <f t="shared" si="399"/>
        <v>0</v>
      </c>
      <c r="AT1089" s="71">
        <f t="shared" si="400"/>
        <v>0</v>
      </c>
      <c r="AV1089" s="71">
        <f t="shared" si="401"/>
        <v>0</v>
      </c>
      <c r="AX1089" s="71">
        <f t="shared" si="402"/>
        <v>0</v>
      </c>
      <c r="AZ1089" s="71">
        <f t="shared" si="403"/>
        <v>0</v>
      </c>
      <c r="BG1089" s="81" t="str">
        <f t="shared" si="405"/>
        <v>BASSO</v>
      </c>
    </row>
    <row r="1090" spans="7:59" x14ac:dyDescent="0.15">
      <c r="G1090" s="64">
        <f t="shared" si="407"/>
        <v>0</v>
      </c>
      <c r="O1090" s="64">
        <f t="shared" si="388"/>
        <v>0</v>
      </c>
      <c r="Q1090" s="64">
        <f t="shared" si="389"/>
        <v>0</v>
      </c>
      <c r="S1090" s="71">
        <f t="shared" si="390"/>
        <v>0</v>
      </c>
      <c r="U1090" s="64">
        <f t="shared" si="391"/>
        <v>0</v>
      </c>
      <c r="W1090" s="71">
        <f t="shared" si="392"/>
        <v>0</v>
      </c>
      <c r="Y1090" s="71">
        <f t="shared" si="393"/>
        <v>0</v>
      </c>
      <c r="AA1090" s="71">
        <f t="shared" si="394"/>
        <v>0</v>
      </c>
      <c r="AC1090" s="71">
        <f t="shared" si="395"/>
        <v>0</v>
      </c>
      <c r="AK1090" s="71">
        <f t="shared" si="396"/>
        <v>0</v>
      </c>
      <c r="AM1090" s="71">
        <f t="shared" si="397"/>
        <v>0</v>
      </c>
      <c r="AO1090" s="71">
        <f t="shared" si="398"/>
        <v>0</v>
      </c>
      <c r="AQ1090" s="71">
        <f t="shared" si="399"/>
        <v>0</v>
      </c>
      <c r="AT1090" s="71">
        <f t="shared" si="400"/>
        <v>0</v>
      </c>
      <c r="AV1090" s="71">
        <f t="shared" si="401"/>
        <v>0</v>
      </c>
      <c r="AX1090" s="71">
        <f t="shared" si="402"/>
        <v>0</v>
      </c>
      <c r="AZ1090" s="71">
        <f t="shared" si="403"/>
        <v>0</v>
      </c>
      <c r="BG1090" s="81" t="str">
        <f t="shared" si="405"/>
        <v>BASSO</v>
      </c>
    </row>
    <row r="1091" spans="7:59" x14ac:dyDescent="0.15">
      <c r="G1091" s="64">
        <f t="shared" si="407"/>
        <v>0</v>
      </c>
      <c r="O1091" s="64">
        <f t="shared" ref="O1091:O1097" si="408">N1091/5</f>
        <v>0</v>
      </c>
      <c r="Q1091" s="64">
        <f t="shared" ref="Q1091:Q1097" si="409">P1091/3</f>
        <v>0</v>
      </c>
      <c r="S1091" s="71">
        <f t="shared" ref="S1091:S1097" si="410">R1091/3</f>
        <v>0</v>
      </c>
      <c r="U1091" s="64">
        <f t="shared" ref="U1091:U1097" si="411">T1091/3</f>
        <v>0</v>
      </c>
      <c r="W1091" s="71">
        <f t="shared" ref="W1091:W1097" si="412">V1091/4</f>
        <v>0</v>
      </c>
      <c r="Y1091" s="71">
        <f t="shared" ref="Y1091:Y1097" si="413">X1091/3</f>
        <v>0</v>
      </c>
      <c r="AA1091" s="71">
        <f t="shared" ref="AA1091:AA1097" si="414">Z1091/3</f>
        <v>0</v>
      </c>
      <c r="AC1091" s="71">
        <f t="shared" ref="AC1091:AC1097" si="415">AB1091/2</f>
        <v>0</v>
      </c>
      <c r="AK1091" s="71">
        <f t="shared" ref="AK1091:AK1097" si="416">AJ1091/2</f>
        <v>0</v>
      </c>
      <c r="AM1091" s="71">
        <f t="shared" ref="AM1091:AM1097" si="417">AL1091/3</f>
        <v>0</v>
      </c>
      <c r="AO1091" s="71">
        <f t="shared" ref="AO1091:AO1097" si="418">AN1091/3</f>
        <v>0</v>
      </c>
      <c r="AQ1091" s="71">
        <f t="shared" ref="AQ1091:AQ1097" si="419">AP1091/3</f>
        <v>0</v>
      </c>
      <c r="AT1091" s="71">
        <f t="shared" ref="AT1091:AT1097" si="420">AS1091/3</f>
        <v>0</v>
      </c>
      <c r="AV1091" s="71">
        <f t="shared" ref="AV1091:AV1097" si="421">AU1091/3</f>
        <v>0</v>
      </c>
      <c r="AX1091" s="71">
        <f t="shared" ref="AX1091:AX1097" si="422">AW1091/2</f>
        <v>0</v>
      </c>
      <c r="AZ1091" s="71">
        <f t="shared" ref="AZ1091:AZ1097" si="423">AY1091/3</f>
        <v>0</v>
      </c>
      <c r="BG1091" s="81" t="str">
        <f t="shared" ref="BG1091:BG1103" si="424">IF(BF1091&lt;=0.33, "BASSO", IF(BF1091&lt;=0.66, "MEDIO", "ALTO"))</f>
        <v>BASSO</v>
      </c>
    </row>
    <row r="1092" spans="7:59" x14ac:dyDescent="0.15">
      <c r="G1092" s="64">
        <f t="shared" si="407"/>
        <v>0</v>
      </c>
      <c r="O1092" s="64">
        <f t="shared" si="408"/>
        <v>0</v>
      </c>
      <c r="Q1092" s="64">
        <f t="shared" si="409"/>
        <v>0</v>
      </c>
      <c r="S1092" s="71">
        <f t="shared" si="410"/>
        <v>0</v>
      </c>
      <c r="U1092" s="64">
        <f t="shared" si="411"/>
        <v>0</v>
      </c>
      <c r="W1092" s="71">
        <f t="shared" si="412"/>
        <v>0</v>
      </c>
      <c r="Y1092" s="71">
        <f t="shared" si="413"/>
        <v>0</v>
      </c>
      <c r="AA1092" s="71">
        <f t="shared" si="414"/>
        <v>0</v>
      </c>
      <c r="AC1092" s="71">
        <f t="shared" si="415"/>
        <v>0</v>
      </c>
      <c r="AK1092" s="71">
        <f t="shared" si="416"/>
        <v>0</v>
      </c>
      <c r="AM1092" s="71">
        <f t="shared" si="417"/>
        <v>0</v>
      </c>
      <c r="AO1092" s="71">
        <f t="shared" si="418"/>
        <v>0</v>
      </c>
      <c r="AQ1092" s="71">
        <f t="shared" si="419"/>
        <v>0</v>
      </c>
      <c r="AT1092" s="71">
        <f t="shared" si="420"/>
        <v>0</v>
      </c>
      <c r="AV1092" s="71">
        <f t="shared" si="421"/>
        <v>0</v>
      </c>
      <c r="AX1092" s="71">
        <f t="shared" si="422"/>
        <v>0</v>
      </c>
      <c r="AZ1092" s="71">
        <f t="shared" si="423"/>
        <v>0</v>
      </c>
      <c r="BG1092" s="81" t="str">
        <f t="shared" si="424"/>
        <v>BASSO</v>
      </c>
    </row>
    <row r="1093" spans="7:59" x14ac:dyDescent="0.15">
      <c r="G1093" s="64">
        <f t="shared" si="407"/>
        <v>0</v>
      </c>
      <c r="O1093" s="64">
        <f t="shared" si="408"/>
        <v>0</v>
      </c>
      <c r="Q1093" s="64">
        <f t="shared" si="409"/>
        <v>0</v>
      </c>
      <c r="S1093" s="71">
        <f t="shared" si="410"/>
        <v>0</v>
      </c>
      <c r="U1093" s="64">
        <f t="shared" si="411"/>
        <v>0</v>
      </c>
      <c r="W1093" s="71">
        <f t="shared" si="412"/>
        <v>0</v>
      </c>
      <c r="Y1093" s="71">
        <f t="shared" si="413"/>
        <v>0</v>
      </c>
      <c r="AA1093" s="71">
        <f t="shared" si="414"/>
        <v>0</v>
      </c>
      <c r="AC1093" s="71">
        <f t="shared" si="415"/>
        <v>0</v>
      </c>
      <c r="AK1093" s="71">
        <f t="shared" si="416"/>
        <v>0</v>
      </c>
      <c r="AM1093" s="71">
        <f t="shared" si="417"/>
        <v>0</v>
      </c>
      <c r="AO1093" s="71">
        <f t="shared" si="418"/>
        <v>0</v>
      </c>
      <c r="AQ1093" s="71">
        <f t="shared" si="419"/>
        <v>0</v>
      </c>
      <c r="AT1093" s="71">
        <f t="shared" si="420"/>
        <v>0</v>
      </c>
      <c r="AV1093" s="71">
        <f t="shared" si="421"/>
        <v>0</v>
      </c>
      <c r="AX1093" s="71">
        <f t="shared" si="422"/>
        <v>0</v>
      </c>
      <c r="AZ1093" s="71">
        <f t="shared" si="423"/>
        <v>0</v>
      </c>
      <c r="BG1093" s="81" t="str">
        <f t="shared" si="424"/>
        <v>BASSO</v>
      </c>
    </row>
    <row r="1094" spans="7:59" x14ac:dyDescent="0.15">
      <c r="G1094" s="64">
        <f t="shared" si="407"/>
        <v>0</v>
      </c>
      <c r="O1094" s="64">
        <f t="shared" si="408"/>
        <v>0</v>
      </c>
      <c r="Q1094" s="64">
        <f t="shared" si="409"/>
        <v>0</v>
      </c>
      <c r="S1094" s="71">
        <f t="shared" si="410"/>
        <v>0</v>
      </c>
      <c r="U1094" s="64">
        <f t="shared" si="411"/>
        <v>0</v>
      </c>
      <c r="W1094" s="71">
        <f t="shared" si="412"/>
        <v>0</v>
      </c>
      <c r="Y1094" s="71">
        <f t="shared" si="413"/>
        <v>0</v>
      </c>
      <c r="AA1094" s="71">
        <f t="shared" si="414"/>
        <v>0</v>
      </c>
      <c r="AC1094" s="71">
        <f t="shared" si="415"/>
        <v>0</v>
      </c>
      <c r="AK1094" s="71">
        <f t="shared" si="416"/>
        <v>0</v>
      </c>
      <c r="AM1094" s="71">
        <f t="shared" si="417"/>
        <v>0</v>
      </c>
      <c r="AO1094" s="71">
        <f t="shared" si="418"/>
        <v>0</v>
      </c>
      <c r="AQ1094" s="71">
        <f t="shared" si="419"/>
        <v>0</v>
      </c>
      <c r="AT1094" s="71">
        <f t="shared" si="420"/>
        <v>0</v>
      </c>
      <c r="AV1094" s="71">
        <f t="shared" si="421"/>
        <v>0</v>
      </c>
      <c r="AX1094" s="71">
        <f t="shared" si="422"/>
        <v>0</v>
      </c>
      <c r="AZ1094" s="71">
        <f t="shared" si="423"/>
        <v>0</v>
      </c>
      <c r="BG1094" s="81" t="str">
        <f t="shared" si="424"/>
        <v>BASSO</v>
      </c>
    </row>
    <row r="1095" spans="7:59" x14ac:dyDescent="0.15">
      <c r="G1095" s="64">
        <f t="shared" si="407"/>
        <v>0</v>
      </c>
      <c r="O1095" s="64">
        <f t="shared" si="408"/>
        <v>0</v>
      </c>
      <c r="Q1095" s="64">
        <f t="shared" si="409"/>
        <v>0</v>
      </c>
      <c r="S1095" s="71">
        <f t="shared" si="410"/>
        <v>0</v>
      </c>
      <c r="U1095" s="64">
        <f t="shared" si="411"/>
        <v>0</v>
      </c>
      <c r="W1095" s="71">
        <f t="shared" si="412"/>
        <v>0</v>
      </c>
      <c r="Y1095" s="71">
        <f t="shared" si="413"/>
        <v>0</v>
      </c>
      <c r="AA1095" s="71">
        <f t="shared" si="414"/>
        <v>0</v>
      </c>
      <c r="AC1095" s="71">
        <f t="shared" si="415"/>
        <v>0</v>
      </c>
      <c r="AK1095" s="71">
        <f t="shared" si="416"/>
        <v>0</v>
      </c>
      <c r="AM1095" s="71">
        <f t="shared" si="417"/>
        <v>0</v>
      </c>
      <c r="AO1095" s="71">
        <f t="shared" si="418"/>
        <v>0</v>
      </c>
      <c r="AQ1095" s="71">
        <f t="shared" si="419"/>
        <v>0</v>
      </c>
      <c r="AT1095" s="71">
        <f t="shared" si="420"/>
        <v>0</v>
      </c>
      <c r="AV1095" s="71">
        <f t="shared" si="421"/>
        <v>0</v>
      </c>
      <c r="AX1095" s="71">
        <f t="shared" si="422"/>
        <v>0</v>
      </c>
      <c r="AZ1095" s="71">
        <f t="shared" si="423"/>
        <v>0</v>
      </c>
      <c r="BG1095" s="81" t="str">
        <f t="shared" si="424"/>
        <v>BASSO</v>
      </c>
    </row>
    <row r="1096" spans="7:59" x14ac:dyDescent="0.15">
      <c r="G1096" s="64">
        <f t="shared" si="407"/>
        <v>0</v>
      </c>
      <c r="O1096" s="64">
        <f t="shared" si="408"/>
        <v>0</v>
      </c>
      <c r="Q1096" s="64">
        <f t="shared" si="409"/>
        <v>0</v>
      </c>
      <c r="S1096" s="71">
        <f t="shared" si="410"/>
        <v>0</v>
      </c>
      <c r="U1096" s="64">
        <f t="shared" si="411"/>
        <v>0</v>
      </c>
      <c r="W1096" s="71">
        <f t="shared" si="412"/>
        <v>0</v>
      </c>
      <c r="Y1096" s="71">
        <f t="shared" si="413"/>
        <v>0</v>
      </c>
      <c r="AA1096" s="71">
        <f t="shared" si="414"/>
        <v>0</v>
      </c>
      <c r="AC1096" s="71">
        <f t="shared" si="415"/>
        <v>0</v>
      </c>
      <c r="AK1096" s="71">
        <f t="shared" si="416"/>
        <v>0</v>
      </c>
      <c r="AM1096" s="71">
        <f t="shared" si="417"/>
        <v>0</v>
      </c>
      <c r="AO1096" s="71">
        <f t="shared" si="418"/>
        <v>0</v>
      </c>
      <c r="AQ1096" s="71">
        <f t="shared" si="419"/>
        <v>0</v>
      </c>
      <c r="AT1096" s="71">
        <f t="shared" si="420"/>
        <v>0</v>
      </c>
      <c r="AV1096" s="71">
        <f t="shared" si="421"/>
        <v>0</v>
      </c>
      <c r="AX1096" s="71">
        <f t="shared" si="422"/>
        <v>0</v>
      </c>
      <c r="AZ1096" s="71">
        <f t="shared" si="423"/>
        <v>0</v>
      </c>
      <c r="BG1096" s="81" t="str">
        <f t="shared" si="424"/>
        <v>BASSO</v>
      </c>
    </row>
    <row r="1097" spans="7:59" x14ac:dyDescent="0.15">
      <c r="G1097" s="64">
        <f t="shared" si="407"/>
        <v>0</v>
      </c>
      <c r="O1097" s="64">
        <f t="shared" si="408"/>
        <v>0</v>
      </c>
      <c r="Q1097" s="64">
        <f t="shared" si="409"/>
        <v>0</v>
      </c>
      <c r="S1097" s="71">
        <f t="shared" si="410"/>
        <v>0</v>
      </c>
      <c r="U1097" s="64">
        <f t="shared" si="411"/>
        <v>0</v>
      </c>
      <c r="W1097" s="71">
        <f t="shared" si="412"/>
        <v>0</v>
      </c>
      <c r="Y1097" s="71">
        <f t="shared" si="413"/>
        <v>0</v>
      </c>
      <c r="AA1097" s="71">
        <f t="shared" si="414"/>
        <v>0</v>
      </c>
      <c r="AC1097" s="71">
        <f t="shared" si="415"/>
        <v>0</v>
      </c>
      <c r="AK1097" s="71">
        <f t="shared" si="416"/>
        <v>0</v>
      </c>
      <c r="AM1097" s="71">
        <f t="shared" si="417"/>
        <v>0</v>
      </c>
      <c r="AO1097" s="71">
        <f t="shared" si="418"/>
        <v>0</v>
      </c>
      <c r="AQ1097" s="71">
        <f t="shared" si="419"/>
        <v>0</v>
      </c>
      <c r="AT1097" s="71">
        <f t="shared" si="420"/>
        <v>0</v>
      </c>
      <c r="AV1097" s="71">
        <f t="shared" si="421"/>
        <v>0</v>
      </c>
      <c r="AX1097" s="71">
        <f t="shared" si="422"/>
        <v>0</v>
      </c>
      <c r="AZ1097" s="71">
        <f t="shared" si="423"/>
        <v>0</v>
      </c>
      <c r="BG1097" s="81" t="str">
        <f t="shared" si="424"/>
        <v>BASSO</v>
      </c>
    </row>
    <row r="1098" spans="7:59" x14ac:dyDescent="0.15">
      <c r="G1098" s="64">
        <f t="shared" si="407"/>
        <v>0</v>
      </c>
      <c r="BG1098" s="81" t="str">
        <f t="shared" si="424"/>
        <v>BASSO</v>
      </c>
    </row>
    <row r="1099" spans="7:59" x14ac:dyDescent="0.15">
      <c r="G1099" s="64">
        <f t="shared" si="407"/>
        <v>0</v>
      </c>
      <c r="BG1099" s="81" t="str">
        <f t="shared" si="424"/>
        <v>BASSO</v>
      </c>
    </row>
    <row r="1100" spans="7:59" x14ac:dyDescent="0.15">
      <c r="G1100" s="64">
        <f t="shared" si="407"/>
        <v>0</v>
      </c>
      <c r="BG1100" s="81" t="str">
        <f t="shared" si="424"/>
        <v>BASSO</v>
      </c>
    </row>
    <row r="1101" spans="7:59" x14ac:dyDescent="0.15">
      <c r="G1101" s="64">
        <f t="shared" si="407"/>
        <v>0</v>
      </c>
      <c r="BG1101" s="81" t="str">
        <f t="shared" si="424"/>
        <v>BASSO</v>
      </c>
    </row>
    <row r="1102" spans="7:59" x14ac:dyDescent="0.15">
      <c r="G1102" s="64">
        <f t="shared" si="407"/>
        <v>0</v>
      </c>
      <c r="BG1102" s="81" t="str">
        <f t="shared" si="424"/>
        <v>BASSO</v>
      </c>
    </row>
    <row r="1103" spans="7:59" x14ac:dyDescent="0.15">
      <c r="G1103" s="64">
        <f t="shared" si="407"/>
        <v>0</v>
      </c>
      <c r="BG1103" s="81" t="str">
        <f t="shared" si="424"/>
        <v>BASSO</v>
      </c>
    </row>
    <row r="1104" spans="7:59" x14ac:dyDescent="0.15">
      <c r="G1104" s="64">
        <f t="shared" si="407"/>
        <v>0</v>
      </c>
    </row>
    <row r="1105" spans="7:7" x14ac:dyDescent="0.15">
      <c r="G1105" s="64">
        <f t="shared" si="407"/>
        <v>0</v>
      </c>
    </row>
    <row r="1106" spans="7:7" x14ac:dyDescent="0.15">
      <c r="G1106" s="64">
        <f t="shared" si="407"/>
        <v>0</v>
      </c>
    </row>
    <row r="1107" spans="7:7" x14ac:dyDescent="0.15">
      <c r="G1107" s="64">
        <f t="shared" si="407"/>
        <v>0</v>
      </c>
    </row>
    <row r="1108" spans="7:7" x14ac:dyDescent="0.15">
      <c r="G1108" s="64">
        <f t="shared" si="407"/>
        <v>0</v>
      </c>
    </row>
    <row r="1109" spans="7:7" x14ac:dyDescent="0.15">
      <c r="G1109" s="64">
        <f t="shared" si="407"/>
        <v>0</v>
      </c>
    </row>
    <row r="1110" spans="7:7" x14ac:dyDescent="0.15">
      <c r="G1110" s="64">
        <f t="shared" si="407"/>
        <v>0</v>
      </c>
    </row>
    <row r="1111" spans="7:7" x14ac:dyDescent="0.15">
      <c r="G1111" s="64">
        <f t="shared" si="407"/>
        <v>0</v>
      </c>
    </row>
    <row r="1112" spans="7:7" x14ac:dyDescent="0.15">
      <c r="G1112" s="64">
        <f t="shared" si="407"/>
        <v>0</v>
      </c>
    </row>
    <row r="1113" spans="7:7" x14ac:dyDescent="0.15">
      <c r="G1113" s="64">
        <f t="shared" si="407"/>
        <v>0</v>
      </c>
    </row>
    <row r="1114" spans="7:7" x14ac:dyDescent="0.15">
      <c r="G1114" s="64">
        <f t="shared" si="407"/>
        <v>0</v>
      </c>
    </row>
    <row r="1115" spans="7:7" x14ac:dyDescent="0.15">
      <c r="G1115" s="64">
        <f t="shared" si="407"/>
        <v>0</v>
      </c>
    </row>
    <row r="1116" spans="7:7" x14ac:dyDescent="0.15">
      <c r="G1116" s="64">
        <f t="shared" si="407"/>
        <v>0</v>
      </c>
    </row>
  </sheetData>
  <dataValidations count="9">
    <dataValidation type="list" allowBlank="1" showInputMessage="1" showErrorMessage="1" sqref="AW1:AW241 AW243:AW1048576" xr:uid="{A5A6E449-9A44-CA45-B196-A5D1276E417D}">
      <formula1>"0, 1, 2,"</formula1>
    </dataValidation>
    <dataValidation type="list" allowBlank="1" showInputMessage="1" showErrorMessage="1" sqref="Z1:Z1048576 AL1:AL1048576 AU1:AU1048576" xr:uid="{FA1B2B93-628F-E243-BBFB-AD4883F3EECC}">
      <formula1>"0, 1, 2, 3, "</formula1>
    </dataValidation>
    <dataValidation type="list" allowBlank="1" showInputMessage="1" showErrorMessage="1" sqref="X1:X1048576" xr:uid="{E343CB38-6E1F-024A-A307-0E5E8BF4264B}">
      <formula1>"0, 1, 2, 3, nan"</formula1>
    </dataValidation>
    <dataValidation type="list" allowBlank="1" showInputMessage="1" showErrorMessage="1" sqref="N293:N1048576 N1:N254" xr:uid="{EB150C23-63DC-864A-9675-6CA9C484AD5D}">
      <formula1>"0, 1, 2, 3, 4, 5"</formula1>
    </dataValidation>
    <dataValidation type="list" allowBlank="1" showInputMessage="1" showErrorMessage="1" sqref="E1:E187 E189:E1048576 AD1:AI1048576 BA1:BD1048576" xr:uid="{4E62D382-1821-FD4B-9162-99CED464CEFE}">
      <formula1>"0, 1"</formula1>
    </dataValidation>
    <dataValidation type="list" allowBlank="1" showInputMessage="1" showErrorMessage="1" sqref="D1:D254 D293:D1048576 L1:L224 L226:L254 L293:L1048576 P293:P1048576 P1:P254 R1:R254 R293:R1048576 T1:T254 T293:T1048576 AB1:AB1048576 AJ2:AJ47 AJ49:AJ292 AJ297:AJ1048576" xr:uid="{9DC92318-1DCE-C549-86F8-3AA2D2F001C8}">
      <formula1>"0, 1, 2, 3"</formula1>
    </dataValidation>
    <dataValidation type="list" allowBlank="1" showInputMessage="1" showErrorMessage="1" sqref="C293:C1048576 C1:C254 V293:V1048576 V1:V254 AY1:AY1048576" xr:uid="{C362963D-0909-8F46-A44D-254F0A680E4B}">
      <formula1>"0, 1, 2, 3, 4"</formula1>
    </dataValidation>
    <dataValidation type="list" allowBlank="1" showInputMessage="1" showErrorMessage="1" sqref="B1:B42 B44:B254 B256:B1048576 F293:F1048576 F1:F255 F258 H293:H1048576 H1:H254 J293:J1048576 J1:J254 AJ1" xr:uid="{AC92750B-B71B-7445-866F-1FB1B1DE4DD2}">
      <formula1>"0, 1, 2"</formula1>
    </dataValidation>
    <dataValidation type="list" allowBlank="1" showInputMessage="1" showErrorMessage="1" sqref="A1:A18 A293:A1048576 A20:A254" xr:uid="{14C49FFB-A196-5E4C-AF43-3C7E70473ECF}">
      <formula1>"0, 1, 2, 3, 4, 5, "</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0DD6-EED9-414B-8EC8-B14D92578887}">
  <dimension ref="A1:DE1116"/>
  <sheetViews>
    <sheetView topLeftCell="CN92" zoomScale="116" workbookViewId="0">
      <selection activeCell="CV14" sqref="CV14"/>
    </sheetView>
  </sheetViews>
  <sheetFormatPr baseColWidth="10" defaultRowHeight="13" x14ac:dyDescent="0.15"/>
  <cols>
    <col min="1" max="5" width="17.6640625" style="91" hidden="1" customWidth="1"/>
    <col min="6" max="6" width="17.6640625" style="22" hidden="1" customWidth="1"/>
    <col min="7" max="8" width="17.6640625" style="64" hidden="1" customWidth="1"/>
    <col min="9" max="9" width="17.33203125" style="64" customWidth="1"/>
    <col min="10" max="10" width="17.6640625" style="22" hidden="1" customWidth="1"/>
    <col min="11" max="12" width="17.6640625" style="64" hidden="1" customWidth="1"/>
    <col min="13" max="13" width="17.6640625" style="64" customWidth="1"/>
    <col min="14" max="14" width="17.6640625" style="22" hidden="1" customWidth="1"/>
    <col min="15" max="16" width="17.6640625" style="64" hidden="1" customWidth="1"/>
    <col min="17" max="17" width="17.6640625" style="64" customWidth="1"/>
    <col min="18" max="18" width="24" style="22" hidden="1" customWidth="1"/>
    <col min="19" max="20" width="17.6640625" style="64" hidden="1" customWidth="1"/>
    <col min="21" max="21" width="17.6640625" style="64" customWidth="1"/>
    <col min="22" max="22" width="20.33203125" style="22" hidden="1" customWidth="1"/>
    <col min="23" max="24" width="17.6640625" style="64" hidden="1" customWidth="1"/>
    <col min="25" max="25" width="17.6640625" style="114" hidden="1" customWidth="1"/>
    <col min="26" max="26" width="17.6640625" style="22" hidden="1" customWidth="1"/>
    <col min="27" max="28" width="17.6640625" style="64" hidden="1" customWidth="1"/>
    <col min="29" max="29" width="17.6640625" style="64" customWidth="1"/>
    <col min="30" max="30" width="25.1640625" style="27" hidden="1" customWidth="1"/>
    <col min="31" max="32" width="17.6640625" style="68" hidden="1" customWidth="1"/>
    <col min="33" max="33" width="17.6640625" style="68" customWidth="1"/>
    <col min="34" max="34" width="19.33203125" style="22" hidden="1" customWidth="1"/>
    <col min="35" max="36" width="17.6640625" style="64" hidden="1" customWidth="1"/>
    <col min="37" max="37" width="17.6640625" style="64" customWidth="1"/>
    <col min="38" max="38" width="24.5" style="22" hidden="1" customWidth="1"/>
    <col min="39" max="40" width="17.6640625" style="68" hidden="1" customWidth="1"/>
    <col min="41" max="41" width="17.6640625" style="68" customWidth="1"/>
    <col min="42" max="42" width="24.6640625" style="22" hidden="1" customWidth="1"/>
    <col min="43" max="44" width="17.6640625" hidden="1" customWidth="1"/>
    <col min="45" max="45" width="17.6640625" customWidth="1"/>
    <col min="46" max="46" width="21.33203125" style="22" hidden="1" customWidth="1"/>
    <col min="47" max="48" width="17.6640625" hidden="1" customWidth="1"/>
    <col min="49" max="49" width="17.6640625" customWidth="1"/>
    <col min="50" max="50" width="17.6640625" style="22" hidden="1" customWidth="1"/>
    <col min="51" max="52" width="17.6640625" hidden="1" customWidth="1"/>
    <col min="53" max="53" width="17.6640625" customWidth="1"/>
    <col min="54" max="59" width="17.6640625" style="91" hidden="1" customWidth="1"/>
    <col min="60" max="60" width="23.83203125" style="31" hidden="1" customWidth="1"/>
    <col min="61" max="62" width="17.6640625" hidden="1" customWidth="1"/>
    <col min="63" max="63" width="17.6640625" customWidth="1"/>
    <col min="64" max="64" width="17.6640625" style="22" hidden="1" customWidth="1"/>
    <col min="65" max="66" width="17.6640625" hidden="1" customWidth="1"/>
    <col min="67" max="67" width="17.6640625" customWidth="1"/>
    <col min="68" max="68" width="17.6640625" style="22" hidden="1" customWidth="1"/>
    <col min="69" max="70" width="17.6640625" hidden="1" customWidth="1"/>
    <col min="71" max="71" width="17.6640625" style="136" hidden="1" customWidth="1"/>
    <col min="72" max="72" width="22.5" style="22" hidden="1" customWidth="1"/>
    <col min="73" max="74" width="17.6640625" hidden="1" customWidth="1"/>
    <col min="75" max="75" width="17.6640625" customWidth="1"/>
    <col min="76" max="76" width="17.6640625" style="91" hidden="1" customWidth="1"/>
    <col min="77" max="77" width="19.6640625" style="22" hidden="1" customWidth="1"/>
    <col min="78" max="79" width="17.6640625" hidden="1" customWidth="1"/>
    <col min="80" max="80" width="17.6640625" customWidth="1"/>
    <col min="81" max="81" width="17.6640625" style="22" hidden="1" customWidth="1"/>
    <col min="82" max="83" width="17.6640625" hidden="1" customWidth="1"/>
    <col min="84" max="84" width="17.6640625" customWidth="1"/>
    <col min="85" max="85" width="17.6640625" style="22" hidden="1" customWidth="1"/>
    <col min="86" max="87" width="17.6640625" hidden="1" customWidth="1"/>
    <col min="88" max="88" width="17.6640625" style="136" hidden="1" customWidth="1"/>
    <col min="89" max="89" width="23" style="22" hidden="1" customWidth="1"/>
    <col min="90" max="91" width="17.6640625" hidden="1" customWidth="1"/>
    <col min="92" max="92" width="17.6640625" customWidth="1"/>
    <col min="93" max="96" width="17.6640625" style="91" hidden="1" customWidth="1"/>
    <col min="97" max="97" width="18.33203125" style="102" customWidth="1"/>
    <col min="98" max="98" width="19.1640625" style="102" customWidth="1"/>
    <col min="99" max="99" width="17" style="102" customWidth="1"/>
    <col min="100" max="100" width="17.6640625" style="108" customWidth="1"/>
    <col min="104" max="104" width="22.1640625" style="109" customWidth="1"/>
    <col min="105" max="105" width="20.83203125" style="67" customWidth="1"/>
    <col min="106" max="106" width="18.6640625" style="67" customWidth="1"/>
    <col min="107" max="107" width="18.1640625" style="67" customWidth="1"/>
    <col min="108" max="108" width="19.5" customWidth="1"/>
    <col min="109" max="109" width="23.5" style="67" customWidth="1"/>
  </cols>
  <sheetData>
    <row r="1" spans="1:109" ht="15" thickBot="1" x14ac:dyDescent="0.2">
      <c r="A1" s="83" t="s">
        <v>273</v>
      </c>
      <c r="B1" s="83" t="s">
        <v>265</v>
      </c>
      <c r="C1" s="83" t="s">
        <v>267</v>
      </c>
      <c r="D1" s="83" t="s">
        <v>268</v>
      </c>
      <c r="E1" s="83" t="s">
        <v>266</v>
      </c>
      <c r="F1" s="49" t="s">
        <v>247</v>
      </c>
      <c r="G1" s="66" t="s">
        <v>377</v>
      </c>
      <c r="H1" s="66" t="s">
        <v>378</v>
      </c>
      <c r="I1" s="66" t="s">
        <v>375</v>
      </c>
      <c r="J1" s="49" t="s">
        <v>248</v>
      </c>
      <c r="K1" s="69" t="s">
        <v>379</v>
      </c>
      <c r="L1" s="69" t="s">
        <v>380</v>
      </c>
      <c r="M1" s="69" t="s">
        <v>376</v>
      </c>
      <c r="N1" s="49" t="s">
        <v>249</v>
      </c>
      <c r="O1" s="66" t="s">
        <v>381</v>
      </c>
      <c r="P1" s="66" t="s">
        <v>382</v>
      </c>
      <c r="Q1" s="66" t="s">
        <v>383</v>
      </c>
      <c r="R1" s="49" t="s">
        <v>250</v>
      </c>
      <c r="S1" s="66" t="s">
        <v>384</v>
      </c>
      <c r="T1" s="66" t="s">
        <v>385</v>
      </c>
      <c r="U1" s="66" t="s">
        <v>386</v>
      </c>
      <c r="V1" s="49" t="s">
        <v>251</v>
      </c>
      <c r="W1" s="66" t="s">
        <v>387</v>
      </c>
      <c r="X1" s="66" t="s">
        <v>388</v>
      </c>
      <c r="Y1" s="137" t="s">
        <v>389</v>
      </c>
      <c r="Z1" s="49" t="s">
        <v>252</v>
      </c>
      <c r="AA1" s="66" t="s">
        <v>390</v>
      </c>
      <c r="AB1" s="66" t="s">
        <v>391</v>
      </c>
      <c r="AC1" s="66" t="s">
        <v>392</v>
      </c>
      <c r="AD1" s="49" t="s">
        <v>253</v>
      </c>
      <c r="AE1" s="66" t="s">
        <v>393</v>
      </c>
      <c r="AF1" s="66" t="s">
        <v>394</v>
      </c>
      <c r="AG1" s="66" t="s">
        <v>395</v>
      </c>
      <c r="AH1" s="49" t="s">
        <v>254</v>
      </c>
      <c r="AI1" s="66" t="s">
        <v>396</v>
      </c>
      <c r="AJ1" s="66" t="s">
        <v>397</v>
      </c>
      <c r="AK1" s="66" t="s">
        <v>398</v>
      </c>
      <c r="AL1" s="49" t="s">
        <v>255</v>
      </c>
      <c r="AM1" s="66" t="s">
        <v>399</v>
      </c>
      <c r="AN1" s="66" t="s">
        <v>400</v>
      </c>
      <c r="AO1" s="66" t="s">
        <v>401</v>
      </c>
      <c r="AP1" s="49" t="s">
        <v>256</v>
      </c>
      <c r="AQ1" s="66" t="s">
        <v>402</v>
      </c>
      <c r="AR1" s="66" t="s">
        <v>403</v>
      </c>
      <c r="AS1" s="66" t="s">
        <v>404</v>
      </c>
      <c r="AT1" s="49" t="s">
        <v>257</v>
      </c>
      <c r="AU1" s="66" t="s">
        <v>405</v>
      </c>
      <c r="AV1" s="66" t="s">
        <v>406</v>
      </c>
      <c r="AW1" s="66" t="s">
        <v>407</v>
      </c>
      <c r="AX1" s="49" t="s">
        <v>258</v>
      </c>
      <c r="AY1" s="66" t="s">
        <v>408</v>
      </c>
      <c r="AZ1" s="66" t="s">
        <v>409</v>
      </c>
      <c r="BA1" s="66" t="s">
        <v>410</v>
      </c>
      <c r="BB1" s="83" t="s">
        <v>259</v>
      </c>
      <c r="BC1" s="83" t="s">
        <v>260</v>
      </c>
      <c r="BD1" s="83" t="s">
        <v>261</v>
      </c>
      <c r="BE1" s="83" t="s">
        <v>262</v>
      </c>
      <c r="BF1" s="83" t="s">
        <v>263</v>
      </c>
      <c r="BG1" s="83" t="s">
        <v>264</v>
      </c>
      <c r="BH1" s="49" t="s">
        <v>269</v>
      </c>
      <c r="BI1" s="66" t="s">
        <v>411</v>
      </c>
      <c r="BJ1" s="66" t="s">
        <v>412</v>
      </c>
      <c r="BK1" s="65" t="s">
        <v>413</v>
      </c>
      <c r="BL1" s="104" t="s">
        <v>270</v>
      </c>
      <c r="BM1" s="66" t="s">
        <v>414</v>
      </c>
      <c r="BN1" s="66" t="s">
        <v>415</v>
      </c>
      <c r="BO1" s="65" t="s">
        <v>416</v>
      </c>
      <c r="BP1" s="49"/>
      <c r="BQ1" s="66" t="s">
        <v>417</v>
      </c>
      <c r="BR1" s="66" t="s">
        <v>418</v>
      </c>
      <c r="BS1" s="137" t="s">
        <v>419</v>
      </c>
      <c r="BT1" s="49" t="s">
        <v>272</v>
      </c>
      <c r="BU1" s="66" t="s">
        <v>420</v>
      </c>
      <c r="BV1" s="66" t="s">
        <v>421</v>
      </c>
      <c r="BW1" s="66" t="s">
        <v>422</v>
      </c>
      <c r="BX1" s="92" t="s">
        <v>348</v>
      </c>
      <c r="BY1" s="49" t="s">
        <v>275</v>
      </c>
      <c r="BZ1" s="72" t="s">
        <v>423</v>
      </c>
      <c r="CA1" s="72" t="s">
        <v>424</v>
      </c>
      <c r="CB1" s="66" t="s">
        <v>425</v>
      </c>
      <c r="CC1" s="66" t="s">
        <v>276</v>
      </c>
      <c r="CD1" s="66" t="s">
        <v>426</v>
      </c>
      <c r="CE1" s="66" t="s">
        <v>427</v>
      </c>
      <c r="CF1" s="66" t="s">
        <v>428</v>
      </c>
      <c r="CG1" s="66" t="s">
        <v>277</v>
      </c>
      <c r="CH1" s="66" t="s">
        <v>429</v>
      </c>
      <c r="CI1" s="66" t="s">
        <v>430</v>
      </c>
      <c r="CJ1" s="137" t="s">
        <v>431</v>
      </c>
      <c r="CK1" s="66" t="s">
        <v>278</v>
      </c>
      <c r="CL1" s="66" t="s">
        <v>432</v>
      </c>
      <c r="CM1" s="66" t="s">
        <v>433</v>
      </c>
      <c r="CN1" s="66" t="s">
        <v>434</v>
      </c>
      <c r="CO1" s="83" t="s">
        <v>279</v>
      </c>
      <c r="CP1" s="83" t="s">
        <v>280</v>
      </c>
      <c r="CQ1" s="92" t="s">
        <v>281</v>
      </c>
      <c r="CR1" s="92" t="s">
        <v>282</v>
      </c>
      <c r="CS1" s="110" t="s">
        <v>626</v>
      </c>
      <c r="CT1" s="110" t="s">
        <v>627</v>
      </c>
      <c r="CU1" s="110" t="s">
        <v>435</v>
      </c>
      <c r="CV1" s="107" t="s">
        <v>625</v>
      </c>
      <c r="CW1" s="105" t="s">
        <v>371</v>
      </c>
      <c r="CX1" s="105" t="s">
        <v>372</v>
      </c>
      <c r="CY1" s="105" t="s">
        <v>373</v>
      </c>
      <c r="CZ1" s="107" t="s">
        <v>622</v>
      </c>
      <c r="DA1" s="105" t="s">
        <v>436</v>
      </c>
      <c r="DB1" s="105" t="s">
        <v>437</v>
      </c>
      <c r="DC1" s="105" t="s">
        <v>438</v>
      </c>
      <c r="DD1" s="107" t="s">
        <v>623</v>
      </c>
      <c r="DE1" s="107" t="s">
        <v>624</v>
      </c>
    </row>
    <row r="2" spans="1:109" ht="14" thickTop="1" x14ac:dyDescent="0.15">
      <c r="A2" s="84">
        <v>5</v>
      </c>
      <c r="B2" s="84">
        <v>1</v>
      </c>
      <c r="C2" s="84">
        <v>1</v>
      </c>
      <c r="D2" s="84">
        <v>2</v>
      </c>
      <c r="E2" s="84">
        <v>1</v>
      </c>
      <c r="F2" s="17">
        <v>2</v>
      </c>
      <c r="G2" s="64">
        <f>AVERAGE($F$2:$F$341)</f>
        <v>1.4</v>
      </c>
      <c r="H2" s="64">
        <f>STDEV($F$2:$F$341)</f>
        <v>0.60868832330368694</v>
      </c>
      <c r="I2" s="64">
        <f>100 + ((F2 - $G$2) / $H$2) * 10</f>
        <v>109.85726154139888</v>
      </c>
      <c r="J2" s="17">
        <v>2</v>
      </c>
      <c r="K2" s="64">
        <f>AVERAGE($J$2:$J$341)</f>
        <v>1.3</v>
      </c>
      <c r="L2" s="64">
        <f>STDEV($J$2:$J$341)</f>
        <v>0.69850240137007691</v>
      </c>
      <c r="M2" s="64">
        <f>100 + ((J2 - $K$2) / $L$2) * 10</f>
        <v>110.02144013573877</v>
      </c>
      <c r="N2" s="17">
        <v>2</v>
      </c>
      <c r="O2" s="64">
        <f>AVERAGE($N$2:$N$341)</f>
        <v>1.111764705882353</v>
      </c>
      <c r="P2" s="64">
        <f>STDEV($N$2:$N$341)</f>
        <v>0.63745655454128158</v>
      </c>
      <c r="Q2" s="64">
        <f t="shared" ref="Q2:Q66" si="0">100 + ((N2 - $O$2) / $P$2) * 10</f>
        <v>113.93405225485253</v>
      </c>
      <c r="R2" s="17">
        <v>3</v>
      </c>
      <c r="S2" s="64">
        <f>AVERAGE($R$2:$R$341)</f>
        <v>1.861764705882353</v>
      </c>
      <c r="T2" s="64">
        <f>STDEV($R$2:$R$341)</f>
        <v>1.0254906605697793</v>
      </c>
      <c r="U2" s="64">
        <f>100 + ((R2 - $S$2) / $T$2) * 10</f>
        <v>111.09942135879838</v>
      </c>
      <c r="V2" s="17">
        <v>1</v>
      </c>
      <c r="W2" s="64">
        <f>AVERAGE($V$2:$V$341)</f>
        <v>2.3294117647058825</v>
      </c>
      <c r="X2" s="64">
        <f>STDEV($V$2:$V$341)</f>
        <v>1.550626367257643</v>
      </c>
      <c r="Y2" s="114">
        <f>100 + ((V2 - $W$2) / $X$2) * 10</f>
        <v>91.426614478012453</v>
      </c>
      <c r="Z2" s="17">
        <v>2</v>
      </c>
      <c r="AA2" s="64">
        <f>AVERAGE($Z$2:$Z$341)</f>
        <v>1.8117647058823529</v>
      </c>
      <c r="AB2" s="64">
        <f>STDEV($Z$2:$Z$341)</f>
        <v>1.2503131656988871</v>
      </c>
      <c r="AC2" s="64">
        <f>100 + ((Z2 - $AA$2) / $AB$2) * 10</f>
        <v>101.50550517487696</v>
      </c>
      <c r="AD2" s="23">
        <v>3</v>
      </c>
      <c r="AE2" s="71">
        <f>AVERAGE($AD$2:$AD$341)</f>
        <v>1.8764705882352941</v>
      </c>
      <c r="AF2" s="71">
        <f>STDEV($AD$2:$AD$341)</f>
        <v>1.2202951486709512</v>
      </c>
      <c r="AG2" s="71">
        <f>100 + ((AD2 - $AE$2) / $AF$2) * 10</f>
        <v>109.20703006144345</v>
      </c>
      <c r="AH2" s="17">
        <v>3</v>
      </c>
      <c r="AI2" s="64">
        <f>AVERAGE($AH$2:$AH$341)</f>
        <v>2.0441176470588234</v>
      </c>
      <c r="AJ2" s="64">
        <f>STDEV($AH$2:$AH$341)</f>
        <v>0.91583615146205632</v>
      </c>
      <c r="AK2" s="64">
        <f>100 + ((AH2 - $AI$2) / $AJ$2) * 10</f>
        <v>110.43726382077395</v>
      </c>
      <c r="AL2" s="17">
        <v>4</v>
      </c>
      <c r="AM2" s="71">
        <f>AVERAGE($AL$2:$AL$341)</f>
        <v>2.9235294117647057</v>
      </c>
      <c r="AN2" s="71">
        <f>STDEV($AL$2:$AL$341)</f>
        <v>0.89905188458052543</v>
      </c>
      <c r="AO2" s="71">
        <f>100 + ((AL2 - $AM$2) / $AN$2) * 10</f>
        <v>111.97339782828605</v>
      </c>
      <c r="AP2" s="17">
        <v>1</v>
      </c>
      <c r="AQ2" s="71">
        <f>AVERAGE($AP$2:$AP$341)</f>
        <v>2.0088235294117647</v>
      </c>
      <c r="AR2" s="71">
        <f>STDEV($AP$2:$AP$341)</f>
        <v>0.97909344833150513</v>
      </c>
      <c r="AS2" s="71">
        <f>100 + ((AP2 - $AQ$2) / $AR$2) * 10</f>
        <v>89.696350934316598</v>
      </c>
      <c r="AT2" s="17">
        <v>1</v>
      </c>
      <c r="AU2" s="71">
        <f>AVERAGE($AT$2:$AT$341)</f>
        <v>0.99411764705882355</v>
      </c>
      <c r="AV2" s="71">
        <f>STDEV($AT$2:$AT$341)</f>
        <v>0.92169562111184422</v>
      </c>
      <c r="AW2" s="71">
        <f>100 + ((AT2 - $AU$2) / $AV$2) * 10</f>
        <v>100.0638209925971</v>
      </c>
      <c r="AX2" s="17">
        <v>3</v>
      </c>
      <c r="AY2" s="71">
        <f>AVERAGE($AX$2:$AX$341)</f>
        <v>1.9147058823529413</v>
      </c>
      <c r="AZ2" s="71">
        <f>STDEV($AX$2:$AX$341)</f>
        <v>0.91935348353824675</v>
      </c>
      <c r="BA2" s="71">
        <f>100 + ((AX2 - $AY$2) / $AZ$2) * 10</f>
        <v>111.80497096144313</v>
      </c>
      <c r="BB2" s="84">
        <v>1</v>
      </c>
      <c r="BC2" s="84">
        <v>0</v>
      </c>
      <c r="BD2" s="84">
        <v>1</v>
      </c>
      <c r="BE2" s="84">
        <v>0</v>
      </c>
      <c r="BF2" s="84">
        <v>0</v>
      </c>
      <c r="BG2" s="84">
        <v>0</v>
      </c>
      <c r="BH2" s="20">
        <v>2</v>
      </c>
      <c r="BI2" s="71">
        <f>AVERAGE($BH$2:$BH$341)</f>
        <v>0.69117647058823528</v>
      </c>
      <c r="BJ2" s="71">
        <f>STDEV($BH$2:$BH$341)</f>
        <v>0.88343244740062032</v>
      </c>
      <c r="BK2" s="71">
        <f>100 + ((BH2 - $BI$2) / $BJ$2) * 10</f>
        <v>114.81520780975161</v>
      </c>
      <c r="BL2" s="17">
        <v>3</v>
      </c>
      <c r="BM2" s="71">
        <f>AVERAGE($BL$2:$BL$341)</f>
        <v>1.7911764705882354</v>
      </c>
      <c r="BN2" s="71">
        <f>STDEV($BL$2:$BL$341)</f>
        <v>1.0700722681350801</v>
      </c>
      <c r="BO2" s="71">
        <f>100 + ((BL2 - $BM$2) / $BN$2) * 10</f>
        <v>111.29665318323313</v>
      </c>
      <c r="BP2" s="17">
        <v>1</v>
      </c>
      <c r="BQ2" s="71">
        <f>AVERAGE($BP$2:$BP$341)</f>
        <v>0.98820058997050142</v>
      </c>
      <c r="BR2" s="71">
        <f>STDEV($BP$2:$BP$341)</f>
        <v>0.72966070245677206</v>
      </c>
      <c r="BS2" s="138">
        <f>100 + ((BP2 - $BQ$2) / $BR$2) * 10</f>
        <v>100.16171091563201</v>
      </c>
      <c r="BT2" s="17">
        <v>3</v>
      </c>
      <c r="BU2" s="71">
        <f>AVERAGE($BT$2:$BT$341)</f>
        <v>1.7352941176470589</v>
      </c>
      <c r="BV2" s="71">
        <f>STDEV($BT$2:$BT$341)</f>
        <v>1.0506023986101001</v>
      </c>
      <c r="BW2" s="71">
        <f>100 + ((BT2 - $BU$2) / $BV$2) * 10</f>
        <v>112.03791162123835</v>
      </c>
      <c r="BX2" s="84">
        <v>2</v>
      </c>
      <c r="BY2" s="17">
        <v>3</v>
      </c>
      <c r="BZ2" s="71">
        <f>AVERAGE($BY$2:$BY$341)</f>
        <v>1.9441176470588235</v>
      </c>
      <c r="CA2" s="71">
        <f>STDEV($BY$2:$BY$341)</f>
        <v>1.0502678901049951</v>
      </c>
      <c r="CB2" s="71">
        <f>100 + ((BY2 - $BZ$2) / $CA$2) * 10</f>
        <v>110.05345743585116</v>
      </c>
      <c r="CC2" s="17">
        <v>3</v>
      </c>
      <c r="CD2" s="71">
        <f>AVERAGE($CC$2:$CC$341)</f>
        <v>1.9794117647058824</v>
      </c>
      <c r="CE2" s="71">
        <f>STDEV($CC$2:$CC$341)</f>
        <v>1.0901217522228619</v>
      </c>
      <c r="CF2" s="71">
        <f>100 + ((CC2 - $CD$2) / $CE$2) * 10</f>
        <v>109.36214907383548</v>
      </c>
      <c r="CG2" s="17">
        <v>2</v>
      </c>
      <c r="CH2" s="71">
        <f>AVERAGE($CG$2:$CG$341)</f>
        <v>0.73235294117647054</v>
      </c>
      <c r="CI2" s="71">
        <f>STDEV($CG$2:$CG$341)</f>
        <v>0.67976249029103042</v>
      </c>
      <c r="CJ2" s="138">
        <f>100 + ((CG2 - $CH$2) / $CI$2) * 10</f>
        <v>118.64838200002481</v>
      </c>
      <c r="CK2" s="17">
        <v>3</v>
      </c>
      <c r="CL2" s="71">
        <f>AVERAGE($CK$2:$CK$341)</f>
        <v>1.9764705882352942</v>
      </c>
      <c r="CM2" s="71">
        <f>STDEV($CK$2:$CK$341)</f>
        <v>1.0416287516958884</v>
      </c>
      <c r="CN2" s="71">
        <f>100 + ((CK2 - $CL$2) / $CM$2) * 10</f>
        <v>109.82624001207998</v>
      </c>
      <c r="CO2" s="93">
        <v>1</v>
      </c>
      <c r="CP2" s="93">
        <v>0</v>
      </c>
      <c r="CQ2" s="93">
        <v>1</v>
      </c>
      <c r="CR2" s="93">
        <v>0</v>
      </c>
      <c r="CS2" s="102">
        <f>AVERAGE(I2, M2, Q2, U2, AC2, AG2, AK2, AO2, AS2, AW2, BA2, BK2, BO2, BW2, CB2, CF2, CN2)</f>
        <v>108.6465961294421</v>
      </c>
      <c r="CT2" s="102">
        <f>STDEV(I2, M2, Q2, U2, AC2, AG2, AK2, AO2, AS2, AW2, BA2, BK2, BO2, BW2, CB2, CF2, CN2)</f>
        <v>6.15488829328297</v>
      </c>
      <c r="CU2" s="102">
        <f>IF(CS2=0, 0, CT2 / CS2)</f>
        <v>5.6650539570977494E-2</v>
      </c>
      <c r="CV2" s="108">
        <f>CS2 - CT2 * CU2</f>
        <v>108.29791838662852</v>
      </c>
      <c r="CW2" s="106">
        <f>QUARTILE(CV2:CV341, 1)</f>
        <v>95.361392182476067</v>
      </c>
      <c r="CX2" s="106">
        <f>QUARTILE(CV2:CV341, 2)</f>
        <v>98.947067740938053</v>
      </c>
      <c r="CY2" s="106">
        <f>QUARTILE(CV2:CV341, 3)</f>
        <v>103.48447838374591</v>
      </c>
      <c r="CZ2" s="109" t="str">
        <f>IF(CV2&lt;95.3613922, "Basso", IF(CV2&lt;98.9470677, "Medio-Basso", IF(CV2&lt;103.484478, "Medio-Alto", "Alto")))</f>
        <v>Alto</v>
      </c>
      <c r="DA2" s="102">
        <f>AVERAGE(CS2:CS341)</f>
        <v>99.988324899049488</v>
      </c>
      <c r="DB2" s="102">
        <f>STDEV(CS2:CS341)</f>
        <v>5.7338215553614322</v>
      </c>
      <c r="DC2" s="102">
        <f>DB2/DA2</f>
        <v>5.7344910629820334E-2</v>
      </c>
      <c r="DD2" s="107">
        <f>DA2 - (DB2 * DC2)</f>
        <v>99.659519414389948</v>
      </c>
      <c r="DE2" s="107" t="str">
        <f>IF(DD2&lt;95.36139221, "Basso", IF(DD2&lt;98.9470677, "Medio-Basso", IF(DD2&lt;103.484478, "Medio-Alto", "Alto")))</f>
        <v>Medio-Alto</v>
      </c>
    </row>
    <row r="3" spans="1:109" x14ac:dyDescent="0.15">
      <c r="A3" s="85">
        <v>2</v>
      </c>
      <c r="B3" s="85">
        <v>1</v>
      </c>
      <c r="C3" s="85">
        <v>3</v>
      </c>
      <c r="D3" s="85">
        <v>2</v>
      </c>
      <c r="E3" s="85">
        <v>1</v>
      </c>
      <c r="F3" s="18">
        <v>1</v>
      </c>
      <c r="I3" s="64">
        <f t="shared" ref="I3:I66" si="1">100 + ((F3 - $G$2) / $H$2) * 10</f>
        <v>93.428492305734082</v>
      </c>
      <c r="J3" s="18">
        <v>2</v>
      </c>
      <c r="M3" s="64">
        <f t="shared" ref="M3:M66" si="2">100 + ((J3 - $K$2) / $L$2) * 10</f>
        <v>110.02144013573877</v>
      </c>
      <c r="N3" s="18">
        <v>1</v>
      </c>
      <c r="Q3" s="64">
        <f t="shared" si="0"/>
        <v>98.246708656674187</v>
      </c>
      <c r="R3" s="18">
        <v>2</v>
      </c>
      <c r="U3" s="64">
        <f t="shared" ref="U3:U66" si="3">100 + ((R3 - $S$2) / $T$2) * 10</f>
        <v>101.34799174124942</v>
      </c>
      <c r="V3" s="18">
        <v>3</v>
      </c>
      <c r="Y3" s="114">
        <f t="shared" ref="Y3:Y66" si="4">100 + ((V3 - $W$2) / $X$2) * 10</f>
        <v>104.32462809516186</v>
      </c>
      <c r="Z3" s="18">
        <v>2</v>
      </c>
      <c r="AC3" s="64">
        <f t="shared" ref="AC3:AC66" si="5">100 + ((Z3 - $AA$2) / $AB$2) * 10</f>
        <v>101.50550517487696</v>
      </c>
      <c r="AD3" s="24">
        <v>3</v>
      </c>
      <c r="AE3" s="71"/>
      <c r="AF3" s="71"/>
      <c r="AG3" s="71">
        <f t="shared" ref="AG3:AG66" si="6">100 + ((AD3 - $AE$2) / $AF$2) * 10</f>
        <v>109.20703006144345</v>
      </c>
      <c r="AH3" s="18">
        <v>3</v>
      </c>
      <c r="AK3" s="64">
        <f t="shared" ref="AK3:AK66" si="7">100 + ((AH3 - $AI$2) / $AJ$2) * 10</f>
        <v>110.43726382077395</v>
      </c>
      <c r="AL3" s="18">
        <v>3</v>
      </c>
      <c r="AM3" s="71"/>
      <c r="AN3" s="71"/>
      <c r="AO3" s="71">
        <f t="shared" ref="AO3:AO66" si="8">100 + ((AL3 - $AM$2) / $AN$2) * 10</f>
        <v>100.85056924463234</v>
      </c>
      <c r="AP3" s="18">
        <v>1</v>
      </c>
      <c r="AQ3" s="71"/>
      <c r="AR3" s="71"/>
      <c r="AS3" s="71">
        <f t="shared" ref="AS3:AS66" si="9">100 + ((AP3 - $AQ$2) / $AR$2) * 10</f>
        <v>89.696350934316598</v>
      </c>
      <c r="AT3" s="18">
        <v>0</v>
      </c>
      <c r="AU3" s="71"/>
      <c r="AV3" s="71"/>
      <c r="AW3" s="71">
        <f t="shared" ref="AW3:AW66" si="10">100 + ((AT3 - $AU$2) / $AV$2) * 10</f>
        <v>89.214252251088965</v>
      </c>
      <c r="AX3" s="18">
        <v>2</v>
      </c>
      <c r="AY3" s="71"/>
      <c r="AZ3" s="71"/>
      <c r="BA3" s="71">
        <f t="shared" ref="BA3:BA66" si="11">100 + ((AX3 - $AY$2) / $AZ$2) * 10</f>
        <v>100.92776194547928</v>
      </c>
      <c r="BB3" s="85">
        <v>1</v>
      </c>
      <c r="BC3" s="85">
        <v>0</v>
      </c>
      <c r="BD3" s="85">
        <v>1</v>
      </c>
      <c r="BE3" s="85">
        <v>0</v>
      </c>
      <c r="BF3" s="85">
        <v>0</v>
      </c>
      <c r="BG3" s="85">
        <v>1</v>
      </c>
      <c r="BH3" s="19">
        <v>2</v>
      </c>
      <c r="BI3" s="71"/>
      <c r="BJ3" s="71"/>
      <c r="BK3" s="71">
        <f t="shared" ref="BK3:BK66" si="12">100 + ((BH3 - $BI$2) / $BJ$2) * 10</f>
        <v>114.81520780975161</v>
      </c>
      <c r="BL3" s="18">
        <v>2</v>
      </c>
      <c r="BM3" s="71"/>
      <c r="BN3" s="71"/>
      <c r="BO3" s="71">
        <f t="shared" ref="BO3:BO66" si="13">100 + ((BL3 - $BM$2) / $BN$2) * 10</f>
        <v>101.95148996595998</v>
      </c>
      <c r="BP3" s="18">
        <v>1</v>
      </c>
      <c r="BQ3" s="71"/>
      <c r="BR3" s="71"/>
      <c r="BS3" s="138">
        <f t="shared" ref="BS3:BS66" si="14">100 + ((BP3 - $BQ$2) / $BR$2) * 10</f>
        <v>100.16171091563201</v>
      </c>
      <c r="BT3" s="18">
        <v>2</v>
      </c>
      <c r="BU3" s="71"/>
      <c r="BV3" s="71"/>
      <c r="BW3" s="71">
        <f t="shared" ref="BW3:BW66" si="15">100 + ((BT3 - $BU$2) / $BV$2) * 10</f>
        <v>102.51956289746849</v>
      </c>
      <c r="BX3" s="85">
        <v>1</v>
      </c>
      <c r="BY3" s="18">
        <v>2</v>
      </c>
      <c r="BZ3" s="71"/>
      <c r="CA3" s="71"/>
      <c r="CB3" s="71">
        <f t="shared" ref="CB3:CB66" si="16">100 + ((BY3 - $BZ$2) / $CA$2) * 10</f>
        <v>100.53207713448795</v>
      </c>
      <c r="CC3" s="18">
        <v>3</v>
      </c>
      <c r="CD3" s="71"/>
      <c r="CE3" s="71"/>
      <c r="CF3" s="71">
        <f t="shared" ref="CF3:CF66" si="17">100 + ((CC3 - $CD$2) / $CE$2) * 10</f>
        <v>109.36214907383548</v>
      </c>
      <c r="CG3" s="18">
        <v>2</v>
      </c>
      <c r="CH3" s="71"/>
      <c r="CI3" s="71"/>
      <c r="CJ3" s="138">
        <f t="shared" ref="CJ3:CJ66" si="18">100 + ((CG3 - $CH$2) / $CI$2) * 10</f>
        <v>118.64838200002481</v>
      </c>
      <c r="CK3" s="18">
        <v>3</v>
      </c>
      <c r="CL3" s="71"/>
      <c r="CM3" s="71"/>
      <c r="CN3" s="71">
        <f t="shared" ref="CN3:CN66" si="19">100 + ((CK3 - $CL$2) / $CM$2) * 10</f>
        <v>109.82624001207998</v>
      </c>
      <c r="CO3" s="94">
        <v>1</v>
      </c>
      <c r="CP3" s="94">
        <v>1</v>
      </c>
      <c r="CQ3" s="94">
        <v>0</v>
      </c>
      <c r="CR3" s="94">
        <v>0</v>
      </c>
      <c r="CS3" s="102">
        <f t="shared" ref="CS3:CS66" si="20">AVERAGE(I3, M3, Q3, U3, AC3, AG3, AK3, AO3, AS3, AW3, BA3, BK3, BO3, BW3, CB3, CF3, CN3)</f>
        <v>102.58177018621127</v>
      </c>
      <c r="CT3" s="102">
        <f t="shared" ref="CT3:CT66" si="21">STDEV(I3, M3, Q3, U3, AC3, AG3, AK3, AO3, AS3, AW3, BA3, BK3, BO3, BW3, CB3, CF3, CN3)</f>
        <v>7.3713124432752677</v>
      </c>
      <c r="CU3" s="102">
        <f t="shared" ref="CU3:CU66" si="22">IF(CS3=0, 0, CT3 / CS3)</f>
        <v>7.1857918126139897E-2</v>
      </c>
      <c r="CV3" s="108">
        <f t="shared" ref="CV3:CV66" si="23">CS3 - CT3 * CU3</f>
        <v>102.05208302018021</v>
      </c>
      <c r="CZ3" s="109" t="str">
        <f t="shared" ref="CZ3:CZ66" si="24">IF(CV3&lt;95.9069994, "Basso", IF(CV3&lt;99.02062343, "Medio-Basso", IF(CV3&lt;103.58108, "Medio-Alto", "Alto")))</f>
        <v>Medio-Alto</v>
      </c>
    </row>
    <row r="4" spans="1:109" x14ac:dyDescent="0.15">
      <c r="A4" s="84">
        <v>2</v>
      </c>
      <c r="B4" s="84">
        <v>1</v>
      </c>
      <c r="C4" s="84">
        <v>1</v>
      </c>
      <c r="D4" s="84">
        <v>2</v>
      </c>
      <c r="E4" s="84">
        <v>1</v>
      </c>
      <c r="F4" s="17">
        <v>1</v>
      </c>
      <c r="I4" s="64">
        <f t="shared" si="1"/>
        <v>93.428492305734082</v>
      </c>
      <c r="J4" s="17">
        <v>0</v>
      </c>
      <c r="M4" s="64">
        <f t="shared" si="2"/>
        <v>81.388754033628004</v>
      </c>
      <c r="N4" s="17">
        <v>2</v>
      </c>
      <c r="Q4" s="64">
        <f t="shared" si="0"/>
        <v>113.93405225485253</v>
      </c>
      <c r="R4" s="17">
        <v>1</v>
      </c>
      <c r="U4" s="64">
        <f t="shared" si="3"/>
        <v>91.596562123700451</v>
      </c>
      <c r="V4" s="17">
        <v>0</v>
      </c>
      <c r="Y4" s="114">
        <f t="shared" si="4"/>
        <v>84.977607669437745</v>
      </c>
      <c r="Z4" s="17">
        <v>2</v>
      </c>
      <c r="AC4" s="64">
        <f t="shared" si="5"/>
        <v>101.50550517487696</v>
      </c>
      <c r="AD4" s="25">
        <v>2</v>
      </c>
      <c r="AE4" s="71"/>
      <c r="AF4" s="71"/>
      <c r="AG4" s="71">
        <f t="shared" si="6"/>
        <v>101.01229126330007</v>
      </c>
      <c r="AH4" s="17">
        <v>2</v>
      </c>
      <c r="AK4" s="64">
        <f t="shared" si="7"/>
        <v>99.518280131348902</v>
      </c>
      <c r="AL4" s="17">
        <v>3</v>
      </c>
      <c r="AM4" s="71"/>
      <c r="AN4" s="71"/>
      <c r="AO4" s="71">
        <f t="shared" si="8"/>
        <v>100.85056924463234</v>
      </c>
      <c r="AP4" s="17">
        <v>1</v>
      </c>
      <c r="AQ4" s="71"/>
      <c r="AR4" s="71"/>
      <c r="AS4" s="71">
        <f t="shared" si="9"/>
        <v>89.696350934316598</v>
      </c>
      <c r="AT4" s="17">
        <v>0</v>
      </c>
      <c r="AU4" s="71"/>
      <c r="AV4" s="71"/>
      <c r="AW4" s="71">
        <f t="shared" si="10"/>
        <v>89.214252251088965</v>
      </c>
      <c r="AX4" s="17">
        <v>2</v>
      </c>
      <c r="AY4" s="71"/>
      <c r="AZ4" s="71"/>
      <c r="BA4" s="71">
        <f t="shared" si="11"/>
        <v>100.92776194547928</v>
      </c>
      <c r="BB4" s="84">
        <v>1</v>
      </c>
      <c r="BC4" s="84">
        <v>0</v>
      </c>
      <c r="BD4" s="84">
        <v>0</v>
      </c>
      <c r="BE4" s="84">
        <v>1</v>
      </c>
      <c r="BF4" s="84">
        <v>0</v>
      </c>
      <c r="BG4" s="84">
        <v>0</v>
      </c>
      <c r="BH4" s="20">
        <v>0</v>
      </c>
      <c r="BI4" s="71"/>
      <c r="BJ4" s="71"/>
      <c r="BK4" s="71">
        <f t="shared" si="12"/>
        <v>92.176238572378367</v>
      </c>
      <c r="BL4" s="17">
        <v>3</v>
      </c>
      <c r="BM4" s="71"/>
      <c r="BN4" s="71"/>
      <c r="BO4" s="71">
        <f t="shared" si="13"/>
        <v>111.29665318323313</v>
      </c>
      <c r="BP4" s="17">
        <v>1</v>
      </c>
      <c r="BQ4" s="71"/>
      <c r="BR4" s="71"/>
      <c r="BS4" s="138">
        <f t="shared" si="14"/>
        <v>100.16171091563201</v>
      </c>
      <c r="BT4" s="17">
        <v>2</v>
      </c>
      <c r="BU4" s="71"/>
      <c r="BV4" s="71"/>
      <c r="BW4" s="71">
        <f t="shared" si="15"/>
        <v>102.51956289746849</v>
      </c>
      <c r="BX4" s="84">
        <v>1</v>
      </c>
      <c r="BY4" s="17">
        <v>3</v>
      </c>
      <c r="BZ4" s="71"/>
      <c r="CA4" s="71"/>
      <c r="CB4" s="71">
        <f t="shared" si="16"/>
        <v>110.05345743585116</v>
      </c>
      <c r="CC4" s="17">
        <v>2</v>
      </c>
      <c r="CD4" s="71"/>
      <c r="CE4" s="71"/>
      <c r="CF4" s="71">
        <f t="shared" si="17"/>
        <v>100.18886179687853</v>
      </c>
      <c r="CG4" s="17">
        <v>1</v>
      </c>
      <c r="CH4" s="71"/>
      <c r="CI4" s="71"/>
      <c r="CJ4" s="138">
        <f t="shared" si="18"/>
        <v>103.93736139675698</v>
      </c>
      <c r="CK4" s="17">
        <v>2</v>
      </c>
      <c r="CL4" s="71"/>
      <c r="CM4" s="71"/>
      <c r="CN4" s="71">
        <f t="shared" si="19"/>
        <v>100.22589057499034</v>
      </c>
      <c r="CO4" s="93">
        <v>1</v>
      </c>
      <c r="CP4" s="93">
        <v>0</v>
      </c>
      <c r="CQ4" s="93">
        <v>1</v>
      </c>
      <c r="CR4" s="93">
        <v>0</v>
      </c>
      <c r="CS4" s="102">
        <f t="shared" si="20"/>
        <v>98.796090360221058</v>
      </c>
      <c r="CT4" s="102">
        <f t="shared" si="21"/>
        <v>8.4913065627720758</v>
      </c>
      <c r="CU4" s="102">
        <f t="shared" si="22"/>
        <v>8.5947799470726713E-2</v>
      </c>
      <c r="CV4" s="108">
        <f t="shared" si="23"/>
        <v>98.066281246519452</v>
      </c>
      <c r="CZ4" s="109" t="str">
        <f t="shared" si="24"/>
        <v>Medio-Basso</v>
      </c>
    </row>
    <row r="5" spans="1:109" x14ac:dyDescent="0.15">
      <c r="A5" s="85">
        <v>5</v>
      </c>
      <c r="B5" s="85">
        <v>1</v>
      </c>
      <c r="C5" s="85">
        <v>1</v>
      </c>
      <c r="D5" s="85">
        <v>2</v>
      </c>
      <c r="E5" s="85">
        <v>1</v>
      </c>
      <c r="F5" s="18">
        <v>2</v>
      </c>
      <c r="I5" s="64">
        <f t="shared" si="1"/>
        <v>109.85726154139888</v>
      </c>
      <c r="J5" s="18">
        <v>2</v>
      </c>
      <c r="M5" s="64">
        <f t="shared" si="2"/>
        <v>110.02144013573877</v>
      </c>
      <c r="N5" s="18">
        <v>1</v>
      </c>
      <c r="Q5" s="64">
        <f t="shared" si="0"/>
        <v>98.246708656674187</v>
      </c>
      <c r="R5" s="18">
        <v>3</v>
      </c>
      <c r="U5" s="64">
        <f t="shared" si="3"/>
        <v>111.09942135879838</v>
      </c>
      <c r="V5" s="18">
        <v>0</v>
      </c>
      <c r="Y5" s="114">
        <f t="shared" si="4"/>
        <v>84.977607669437745</v>
      </c>
      <c r="Z5" s="18">
        <v>2</v>
      </c>
      <c r="AC5" s="64">
        <f t="shared" si="5"/>
        <v>101.50550517487696</v>
      </c>
      <c r="AD5" s="24">
        <v>3</v>
      </c>
      <c r="AE5" s="71"/>
      <c r="AF5" s="71"/>
      <c r="AG5" s="71">
        <f t="shared" si="6"/>
        <v>109.20703006144345</v>
      </c>
      <c r="AH5" s="18">
        <v>3</v>
      </c>
      <c r="AK5" s="64">
        <f t="shared" si="7"/>
        <v>110.43726382077395</v>
      </c>
      <c r="AL5" s="18">
        <v>3</v>
      </c>
      <c r="AM5" s="71"/>
      <c r="AN5" s="71"/>
      <c r="AO5" s="71">
        <f t="shared" si="8"/>
        <v>100.85056924463234</v>
      </c>
      <c r="AP5" s="18">
        <v>3</v>
      </c>
      <c r="AQ5" s="71"/>
      <c r="AR5" s="71"/>
      <c r="AS5" s="71">
        <f t="shared" si="9"/>
        <v>110.12341030651692</v>
      </c>
      <c r="AT5" s="18">
        <v>2</v>
      </c>
      <c r="AU5" s="71"/>
      <c r="AV5" s="71"/>
      <c r="AW5" s="71">
        <f t="shared" si="10"/>
        <v>110.91338973410525</v>
      </c>
      <c r="AX5" s="18">
        <v>3</v>
      </c>
      <c r="AY5" s="71"/>
      <c r="AZ5" s="71"/>
      <c r="BA5" s="71">
        <f t="shared" si="11"/>
        <v>111.80497096144313</v>
      </c>
      <c r="BB5" s="85">
        <v>1</v>
      </c>
      <c r="BC5" s="85">
        <v>1</v>
      </c>
      <c r="BD5" s="85">
        <v>0</v>
      </c>
      <c r="BE5" s="85">
        <v>0</v>
      </c>
      <c r="BF5" s="85">
        <v>0</v>
      </c>
      <c r="BG5" s="85">
        <v>0</v>
      </c>
      <c r="BH5" s="19">
        <v>0</v>
      </c>
      <c r="BI5" s="71"/>
      <c r="BJ5" s="71"/>
      <c r="BK5" s="71">
        <f t="shared" si="12"/>
        <v>92.176238572378367</v>
      </c>
      <c r="BL5" s="18">
        <v>3</v>
      </c>
      <c r="BM5" s="71"/>
      <c r="BN5" s="71"/>
      <c r="BO5" s="71">
        <f t="shared" si="13"/>
        <v>111.29665318323313</v>
      </c>
      <c r="BP5" s="18">
        <v>1</v>
      </c>
      <c r="BQ5" s="71"/>
      <c r="BR5" s="71"/>
      <c r="BS5" s="138">
        <f t="shared" si="14"/>
        <v>100.16171091563201</v>
      </c>
      <c r="BT5" s="18">
        <v>2</v>
      </c>
      <c r="BU5" s="71"/>
      <c r="BV5" s="71"/>
      <c r="BW5" s="71">
        <f t="shared" si="15"/>
        <v>102.51956289746849</v>
      </c>
      <c r="BX5" s="85">
        <v>2</v>
      </c>
      <c r="BY5" s="18">
        <v>3</v>
      </c>
      <c r="BZ5" s="71"/>
      <c r="CA5" s="71"/>
      <c r="CB5" s="71">
        <f t="shared" si="16"/>
        <v>110.05345743585116</v>
      </c>
      <c r="CC5" s="18">
        <v>3</v>
      </c>
      <c r="CD5" s="71"/>
      <c r="CE5" s="71"/>
      <c r="CF5" s="71">
        <f t="shared" si="17"/>
        <v>109.36214907383548</v>
      </c>
      <c r="CG5" s="18">
        <v>1</v>
      </c>
      <c r="CH5" s="71"/>
      <c r="CI5" s="71"/>
      <c r="CJ5" s="138">
        <f t="shared" si="18"/>
        <v>103.93736139675698</v>
      </c>
      <c r="CK5" s="18">
        <v>3</v>
      </c>
      <c r="CL5" s="71"/>
      <c r="CM5" s="71"/>
      <c r="CN5" s="71">
        <f t="shared" si="19"/>
        <v>109.82624001207998</v>
      </c>
      <c r="CO5" s="94">
        <v>1</v>
      </c>
      <c r="CP5" s="94">
        <v>1</v>
      </c>
      <c r="CQ5" s="94">
        <v>0</v>
      </c>
      <c r="CR5" s="94">
        <v>0</v>
      </c>
      <c r="CS5" s="102">
        <f t="shared" si="20"/>
        <v>107.01772189242641</v>
      </c>
      <c r="CT5" s="102">
        <f t="shared" si="21"/>
        <v>5.726758978189558</v>
      </c>
      <c r="CU5" s="102">
        <f t="shared" si="22"/>
        <v>5.3512248970745822E-2</v>
      </c>
      <c r="CV5" s="108">
        <f t="shared" si="23"/>
        <v>106.71127014019008</v>
      </c>
      <c r="CZ5" s="109" t="str">
        <f t="shared" si="24"/>
        <v>Alto</v>
      </c>
    </row>
    <row r="6" spans="1:109" x14ac:dyDescent="0.15">
      <c r="A6" s="84">
        <v>2</v>
      </c>
      <c r="B6" s="84">
        <v>1</v>
      </c>
      <c r="C6" s="84">
        <v>1</v>
      </c>
      <c r="D6" s="84">
        <v>2</v>
      </c>
      <c r="E6" s="85">
        <v>1</v>
      </c>
      <c r="F6" s="17">
        <v>1</v>
      </c>
      <c r="I6" s="64">
        <f t="shared" si="1"/>
        <v>93.428492305734082</v>
      </c>
      <c r="J6" s="17">
        <v>0</v>
      </c>
      <c r="M6" s="64">
        <f t="shared" si="2"/>
        <v>81.388754033628004</v>
      </c>
      <c r="N6" s="17">
        <v>2</v>
      </c>
      <c r="Q6" s="64">
        <f t="shared" si="0"/>
        <v>113.93405225485253</v>
      </c>
      <c r="R6" s="17">
        <v>1</v>
      </c>
      <c r="U6" s="64">
        <f t="shared" si="3"/>
        <v>91.596562123700451</v>
      </c>
      <c r="V6" s="17">
        <v>2</v>
      </c>
      <c r="Y6" s="114">
        <f t="shared" si="4"/>
        <v>97.875621286587162</v>
      </c>
      <c r="Z6" s="17">
        <v>0</v>
      </c>
      <c r="AC6" s="64">
        <f t="shared" si="5"/>
        <v>85.509512691809249</v>
      </c>
      <c r="AD6" s="25">
        <v>0</v>
      </c>
      <c r="AE6" s="71"/>
      <c r="AF6" s="71"/>
      <c r="AG6" s="71">
        <f t="shared" si="6"/>
        <v>84.62281366701329</v>
      </c>
      <c r="AH6" s="17">
        <v>3</v>
      </c>
      <c r="AK6" s="64">
        <f t="shared" si="7"/>
        <v>110.43726382077395</v>
      </c>
      <c r="AL6" s="17">
        <v>3</v>
      </c>
      <c r="AM6" s="71"/>
      <c r="AN6" s="71"/>
      <c r="AO6" s="71">
        <f t="shared" si="8"/>
        <v>100.85056924463234</v>
      </c>
      <c r="AP6" s="17">
        <v>3</v>
      </c>
      <c r="AQ6" s="71"/>
      <c r="AR6" s="71"/>
      <c r="AS6" s="71">
        <f t="shared" si="9"/>
        <v>110.12341030651692</v>
      </c>
      <c r="AT6" s="17">
        <v>2</v>
      </c>
      <c r="AU6" s="71"/>
      <c r="AV6" s="71"/>
      <c r="AW6" s="71">
        <f t="shared" si="10"/>
        <v>110.91338973410525</v>
      </c>
      <c r="AX6" s="17">
        <v>1</v>
      </c>
      <c r="AY6" s="71"/>
      <c r="AZ6" s="71"/>
      <c r="BA6" s="71">
        <f t="shared" si="11"/>
        <v>90.050552929515405</v>
      </c>
      <c r="BB6" s="84">
        <v>1</v>
      </c>
      <c r="BC6" s="84">
        <v>0</v>
      </c>
      <c r="BD6" s="84">
        <v>1</v>
      </c>
      <c r="BE6" s="84">
        <v>0</v>
      </c>
      <c r="BF6" s="84">
        <v>0</v>
      </c>
      <c r="BG6" s="84">
        <v>0</v>
      </c>
      <c r="BH6" s="20">
        <v>0</v>
      </c>
      <c r="BI6" s="71"/>
      <c r="BJ6" s="71"/>
      <c r="BK6" s="71">
        <f t="shared" si="12"/>
        <v>92.176238572378367</v>
      </c>
      <c r="BL6" s="17">
        <v>2</v>
      </c>
      <c r="BM6" s="71"/>
      <c r="BN6" s="71"/>
      <c r="BO6" s="71">
        <f t="shared" si="13"/>
        <v>101.95148996595998</v>
      </c>
      <c r="BP6" s="17">
        <v>0</v>
      </c>
      <c r="BQ6" s="71"/>
      <c r="BR6" s="71"/>
      <c r="BS6" s="138">
        <f t="shared" si="14"/>
        <v>86.456710815818582</v>
      </c>
      <c r="BT6" s="17">
        <v>3</v>
      </c>
      <c r="BU6" s="71"/>
      <c r="BV6" s="71"/>
      <c r="BW6" s="71">
        <f t="shared" si="15"/>
        <v>112.03791162123835</v>
      </c>
      <c r="BX6" s="84">
        <v>0</v>
      </c>
      <c r="BY6" s="17">
        <v>3</v>
      </c>
      <c r="BZ6" s="71"/>
      <c r="CA6" s="71"/>
      <c r="CB6" s="71">
        <f t="shared" si="16"/>
        <v>110.05345743585116</v>
      </c>
      <c r="CC6" s="17">
        <v>3</v>
      </c>
      <c r="CD6" s="71"/>
      <c r="CE6" s="71"/>
      <c r="CF6" s="71">
        <f t="shared" si="17"/>
        <v>109.36214907383548</v>
      </c>
      <c r="CG6" s="17">
        <v>2</v>
      </c>
      <c r="CH6" s="71"/>
      <c r="CI6" s="71"/>
      <c r="CJ6" s="138">
        <f t="shared" si="18"/>
        <v>118.64838200002481</v>
      </c>
      <c r="CK6" s="17">
        <v>0</v>
      </c>
      <c r="CL6" s="71"/>
      <c r="CM6" s="71"/>
      <c r="CN6" s="71">
        <f t="shared" si="19"/>
        <v>81.025191700811078</v>
      </c>
      <c r="CO6" s="93">
        <v>1</v>
      </c>
      <c r="CP6" s="93">
        <v>0</v>
      </c>
      <c r="CQ6" s="93">
        <v>1</v>
      </c>
      <c r="CR6" s="93">
        <v>0</v>
      </c>
      <c r="CS6" s="102">
        <f t="shared" si="20"/>
        <v>98.791871263668014</v>
      </c>
      <c r="CT6" s="102">
        <f t="shared" si="21"/>
        <v>11.897717987790656</v>
      </c>
      <c r="CU6" s="102">
        <f t="shared" si="22"/>
        <v>0.1204321553545286</v>
      </c>
      <c r="CV6" s="108">
        <f t="shared" si="23"/>
        <v>97.359003442598038</v>
      </c>
      <c r="CZ6" s="109" t="str">
        <f t="shared" si="24"/>
        <v>Medio-Basso</v>
      </c>
    </row>
    <row r="7" spans="1:109" x14ac:dyDescent="0.15">
      <c r="A7" s="85">
        <v>3</v>
      </c>
      <c r="B7" s="85">
        <v>2</v>
      </c>
      <c r="C7" s="85">
        <v>3</v>
      </c>
      <c r="D7" s="85">
        <v>2</v>
      </c>
      <c r="E7" s="85">
        <v>1</v>
      </c>
      <c r="F7" s="18">
        <v>1</v>
      </c>
      <c r="I7" s="64">
        <f t="shared" si="1"/>
        <v>93.428492305734082</v>
      </c>
      <c r="J7" s="18">
        <v>1</v>
      </c>
      <c r="M7" s="64">
        <f t="shared" si="2"/>
        <v>95.705097084683388</v>
      </c>
      <c r="N7" s="18">
        <v>1</v>
      </c>
      <c r="Q7" s="64">
        <f t="shared" si="0"/>
        <v>98.246708656674187</v>
      </c>
      <c r="R7" s="18">
        <v>1</v>
      </c>
      <c r="U7" s="64">
        <f t="shared" si="3"/>
        <v>91.596562123700451</v>
      </c>
      <c r="V7" s="18">
        <v>4</v>
      </c>
      <c r="Y7" s="114">
        <f t="shared" si="4"/>
        <v>110.77363490373656</v>
      </c>
      <c r="Z7" s="18">
        <v>3</v>
      </c>
      <c r="AC7" s="64">
        <f t="shared" si="5"/>
        <v>109.50350141641081</v>
      </c>
      <c r="AD7" s="24">
        <v>2</v>
      </c>
      <c r="AE7" s="71"/>
      <c r="AF7" s="71"/>
      <c r="AG7" s="71">
        <f t="shared" si="6"/>
        <v>101.01229126330007</v>
      </c>
      <c r="AH7" s="18">
        <v>2</v>
      </c>
      <c r="AK7" s="64">
        <f t="shared" si="7"/>
        <v>99.518280131348902</v>
      </c>
      <c r="AL7" s="18">
        <v>3</v>
      </c>
      <c r="AM7" s="71"/>
      <c r="AN7" s="71"/>
      <c r="AO7" s="71">
        <f t="shared" si="8"/>
        <v>100.85056924463234</v>
      </c>
      <c r="AP7" s="18">
        <v>1</v>
      </c>
      <c r="AQ7" s="71"/>
      <c r="AR7" s="71"/>
      <c r="AS7" s="71">
        <f t="shared" si="9"/>
        <v>89.696350934316598</v>
      </c>
      <c r="AT7" s="18">
        <v>0</v>
      </c>
      <c r="AU7" s="71"/>
      <c r="AV7" s="71"/>
      <c r="AW7" s="71">
        <f t="shared" si="10"/>
        <v>89.214252251088965</v>
      </c>
      <c r="AX7" s="18">
        <v>2</v>
      </c>
      <c r="AY7" s="71"/>
      <c r="AZ7" s="71"/>
      <c r="BA7" s="71">
        <f t="shared" si="11"/>
        <v>100.92776194547928</v>
      </c>
      <c r="BB7" s="85">
        <v>0</v>
      </c>
      <c r="BC7" s="85">
        <v>0</v>
      </c>
      <c r="BD7" s="85">
        <v>1</v>
      </c>
      <c r="BE7" s="85">
        <v>1</v>
      </c>
      <c r="BF7" s="85">
        <v>0</v>
      </c>
      <c r="BG7" s="85">
        <v>0</v>
      </c>
      <c r="BH7" s="19">
        <v>1</v>
      </c>
      <c r="BI7" s="71"/>
      <c r="BJ7" s="71"/>
      <c r="BK7" s="71">
        <f t="shared" si="12"/>
        <v>103.49572319106498</v>
      </c>
      <c r="BL7" s="18">
        <v>2</v>
      </c>
      <c r="BM7" s="71"/>
      <c r="BN7" s="71"/>
      <c r="BO7" s="71">
        <f t="shared" si="13"/>
        <v>101.95148996595998</v>
      </c>
      <c r="BP7" s="18">
        <v>0</v>
      </c>
      <c r="BQ7" s="71"/>
      <c r="BR7" s="71"/>
      <c r="BS7" s="138">
        <f t="shared" si="14"/>
        <v>86.456710815818582</v>
      </c>
      <c r="BT7" s="18">
        <v>2</v>
      </c>
      <c r="BU7" s="71"/>
      <c r="BV7" s="71"/>
      <c r="BW7" s="71">
        <f t="shared" si="15"/>
        <v>102.51956289746849</v>
      </c>
      <c r="BX7" s="85">
        <v>0</v>
      </c>
      <c r="BY7" s="18">
        <v>3</v>
      </c>
      <c r="BZ7" s="71"/>
      <c r="CA7" s="71"/>
      <c r="CB7" s="71">
        <f t="shared" si="16"/>
        <v>110.05345743585116</v>
      </c>
      <c r="CC7" s="18">
        <v>3</v>
      </c>
      <c r="CD7" s="71"/>
      <c r="CE7" s="71"/>
      <c r="CF7" s="71">
        <f t="shared" si="17"/>
        <v>109.36214907383548</v>
      </c>
      <c r="CG7" s="18">
        <v>0</v>
      </c>
      <c r="CH7" s="71"/>
      <c r="CI7" s="71"/>
      <c r="CJ7" s="138">
        <f t="shared" si="18"/>
        <v>89.226340793489143</v>
      </c>
      <c r="CK7" s="18">
        <v>0</v>
      </c>
      <c r="CL7" s="71"/>
      <c r="CM7" s="71"/>
      <c r="CN7" s="71">
        <f t="shared" si="19"/>
        <v>81.025191700811078</v>
      </c>
      <c r="CO7" s="94">
        <v>1</v>
      </c>
      <c r="CP7" s="94">
        <v>0</v>
      </c>
      <c r="CQ7" s="94">
        <v>1</v>
      </c>
      <c r="CR7" s="94">
        <v>0</v>
      </c>
      <c r="CS7" s="102">
        <f t="shared" si="20"/>
        <v>98.712202448374128</v>
      </c>
      <c r="CT7" s="102">
        <f t="shared" si="21"/>
        <v>7.8816494873635063</v>
      </c>
      <c r="CU7" s="102">
        <f t="shared" si="22"/>
        <v>7.9844733395403267E-2</v>
      </c>
      <c r="CV7" s="108">
        <f t="shared" si="23"/>
        <v>98.082894246339578</v>
      </c>
      <c r="CZ7" s="109" t="str">
        <f t="shared" si="24"/>
        <v>Medio-Basso</v>
      </c>
    </row>
    <row r="8" spans="1:109" x14ac:dyDescent="0.15">
      <c r="A8" s="84">
        <v>3</v>
      </c>
      <c r="B8" s="84">
        <v>2</v>
      </c>
      <c r="C8" s="84">
        <v>3</v>
      </c>
      <c r="D8" s="84">
        <v>2</v>
      </c>
      <c r="E8" s="85">
        <v>1</v>
      </c>
      <c r="F8" s="17">
        <v>2</v>
      </c>
      <c r="I8" s="64">
        <f t="shared" si="1"/>
        <v>109.85726154139888</v>
      </c>
      <c r="J8" s="17">
        <v>1</v>
      </c>
      <c r="M8" s="64">
        <f t="shared" si="2"/>
        <v>95.705097084683388</v>
      </c>
      <c r="N8" s="17">
        <v>1</v>
      </c>
      <c r="Q8" s="64">
        <f t="shared" si="0"/>
        <v>98.246708656674187</v>
      </c>
      <c r="R8" s="17">
        <v>3</v>
      </c>
      <c r="U8" s="64">
        <f t="shared" si="3"/>
        <v>111.09942135879838</v>
      </c>
      <c r="V8" s="17">
        <v>1</v>
      </c>
      <c r="Y8" s="114">
        <f t="shared" si="4"/>
        <v>91.426614478012453</v>
      </c>
      <c r="Z8" s="17">
        <v>3</v>
      </c>
      <c r="AC8" s="64">
        <f t="shared" si="5"/>
        <v>109.50350141641081</v>
      </c>
      <c r="AD8" s="25">
        <v>3</v>
      </c>
      <c r="AE8" s="71"/>
      <c r="AF8" s="71"/>
      <c r="AG8" s="71">
        <f t="shared" si="6"/>
        <v>109.20703006144345</v>
      </c>
      <c r="AH8" s="17">
        <v>3</v>
      </c>
      <c r="AK8" s="64">
        <f t="shared" si="7"/>
        <v>110.43726382077395</v>
      </c>
      <c r="AL8" s="17">
        <v>3</v>
      </c>
      <c r="AM8" s="71"/>
      <c r="AN8" s="71"/>
      <c r="AO8" s="71">
        <f t="shared" si="8"/>
        <v>100.85056924463234</v>
      </c>
      <c r="AP8" s="17">
        <v>2</v>
      </c>
      <c r="AQ8" s="71"/>
      <c r="AR8" s="71"/>
      <c r="AS8" s="71">
        <f t="shared" si="9"/>
        <v>99.909880620416757</v>
      </c>
      <c r="AT8" s="17">
        <v>2</v>
      </c>
      <c r="AU8" s="71"/>
      <c r="AV8" s="71"/>
      <c r="AW8" s="71">
        <f t="shared" si="10"/>
        <v>110.91338973410525</v>
      </c>
      <c r="AX8" s="17">
        <v>2</v>
      </c>
      <c r="AY8" s="71"/>
      <c r="AZ8" s="71"/>
      <c r="BA8" s="71">
        <f t="shared" si="11"/>
        <v>100.92776194547928</v>
      </c>
      <c r="BB8" s="84">
        <v>1</v>
      </c>
      <c r="BC8" s="84">
        <v>0</v>
      </c>
      <c r="BD8" s="84">
        <v>1</v>
      </c>
      <c r="BE8" s="84">
        <v>0</v>
      </c>
      <c r="BF8" s="84">
        <v>0</v>
      </c>
      <c r="BG8" s="84">
        <v>0</v>
      </c>
      <c r="BH8" s="20">
        <v>0</v>
      </c>
      <c r="BI8" s="71"/>
      <c r="BJ8" s="71"/>
      <c r="BK8" s="71">
        <f t="shared" si="12"/>
        <v>92.176238572378367</v>
      </c>
      <c r="BL8" s="17">
        <v>3</v>
      </c>
      <c r="BM8" s="71"/>
      <c r="BN8" s="71"/>
      <c r="BO8" s="71">
        <f t="shared" si="13"/>
        <v>111.29665318323313</v>
      </c>
      <c r="BP8" s="17">
        <v>1</v>
      </c>
      <c r="BQ8" s="71"/>
      <c r="BR8" s="71"/>
      <c r="BS8" s="138">
        <f t="shared" si="14"/>
        <v>100.16171091563201</v>
      </c>
      <c r="BT8" s="17">
        <v>3</v>
      </c>
      <c r="BU8" s="71"/>
      <c r="BV8" s="71"/>
      <c r="BW8" s="71">
        <f t="shared" si="15"/>
        <v>112.03791162123835</v>
      </c>
      <c r="BX8" s="84">
        <v>2</v>
      </c>
      <c r="BY8" s="17">
        <v>2</v>
      </c>
      <c r="BZ8" s="71"/>
      <c r="CA8" s="71"/>
      <c r="CB8" s="71">
        <f t="shared" si="16"/>
        <v>100.53207713448795</v>
      </c>
      <c r="CC8" s="17">
        <v>3</v>
      </c>
      <c r="CD8" s="71"/>
      <c r="CE8" s="71"/>
      <c r="CF8" s="71">
        <f t="shared" si="17"/>
        <v>109.36214907383548</v>
      </c>
      <c r="CG8" s="17">
        <v>1</v>
      </c>
      <c r="CH8" s="71"/>
      <c r="CI8" s="71"/>
      <c r="CJ8" s="138">
        <f t="shared" si="18"/>
        <v>103.93736139675698</v>
      </c>
      <c r="CK8" s="17">
        <v>3</v>
      </c>
      <c r="CL8" s="71"/>
      <c r="CM8" s="71"/>
      <c r="CN8" s="71">
        <f t="shared" si="19"/>
        <v>109.82624001207998</v>
      </c>
      <c r="CO8" s="93">
        <v>0</v>
      </c>
      <c r="CP8" s="93">
        <v>1</v>
      </c>
      <c r="CQ8" s="93">
        <v>1</v>
      </c>
      <c r="CR8" s="93">
        <v>0</v>
      </c>
      <c r="CS8" s="102">
        <f t="shared" si="20"/>
        <v>105.40524441659237</v>
      </c>
      <c r="CT8" s="102">
        <f t="shared" si="21"/>
        <v>6.462107483865795</v>
      </c>
      <c r="CU8" s="102">
        <f t="shared" si="22"/>
        <v>6.1307267201294612E-2</v>
      </c>
      <c r="CV8" s="108">
        <f t="shared" si="23"/>
        <v>105.00907026639553</v>
      </c>
      <c r="CZ8" s="109" t="str">
        <f t="shared" si="24"/>
        <v>Alto</v>
      </c>
    </row>
    <row r="9" spans="1:109" x14ac:dyDescent="0.15">
      <c r="A9" s="85">
        <v>3</v>
      </c>
      <c r="B9" s="85">
        <v>1</v>
      </c>
      <c r="C9" s="85">
        <v>1</v>
      </c>
      <c r="D9" s="85">
        <v>2</v>
      </c>
      <c r="E9" s="85">
        <v>1</v>
      </c>
      <c r="F9" s="18">
        <v>2</v>
      </c>
      <c r="I9" s="64">
        <f t="shared" si="1"/>
        <v>109.85726154139888</v>
      </c>
      <c r="J9" s="18">
        <v>1</v>
      </c>
      <c r="M9" s="64">
        <f t="shared" si="2"/>
        <v>95.705097084683388</v>
      </c>
      <c r="N9" s="18">
        <v>2</v>
      </c>
      <c r="Q9" s="64">
        <f t="shared" si="0"/>
        <v>113.93405225485253</v>
      </c>
      <c r="R9" s="18">
        <v>3</v>
      </c>
      <c r="U9" s="64">
        <f t="shared" si="3"/>
        <v>111.09942135879838</v>
      </c>
      <c r="V9" s="18">
        <v>1</v>
      </c>
      <c r="Y9" s="114">
        <f t="shared" si="4"/>
        <v>91.426614478012453</v>
      </c>
      <c r="Z9" s="18">
        <v>2</v>
      </c>
      <c r="AC9" s="64">
        <f t="shared" si="5"/>
        <v>101.50550517487696</v>
      </c>
      <c r="AD9" s="24">
        <v>3</v>
      </c>
      <c r="AE9" s="71"/>
      <c r="AF9" s="71"/>
      <c r="AG9" s="71">
        <f t="shared" si="6"/>
        <v>109.20703006144345</v>
      </c>
      <c r="AH9" s="18">
        <v>3</v>
      </c>
      <c r="AK9" s="64">
        <f t="shared" si="7"/>
        <v>110.43726382077395</v>
      </c>
      <c r="AL9" s="18">
        <v>3</v>
      </c>
      <c r="AM9" s="71"/>
      <c r="AN9" s="71"/>
      <c r="AO9" s="71">
        <f t="shared" si="8"/>
        <v>100.85056924463234</v>
      </c>
      <c r="AP9" s="18">
        <v>3</v>
      </c>
      <c r="AQ9" s="71"/>
      <c r="AR9" s="71"/>
      <c r="AS9" s="71">
        <f t="shared" si="9"/>
        <v>110.12341030651692</v>
      </c>
      <c r="AT9" s="18">
        <v>2</v>
      </c>
      <c r="AU9" s="71"/>
      <c r="AV9" s="71"/>
      <c r="AW9" s="71">
        <f t="shared" si="10"/>
        <v>110.91338973410525</v>
      </c>
      <c r="AX9" s="18">
        <v>0</v>
      </c>
      <c r="AY9" s="71"/>
      <c r="AZ9" s="71"/>
      <c r="BA9" s="71">
        <f t="shared" si="11"/>
        <v>79.173343913551548</v>
      </c>
      <c r="BB9" s="85">
        <v>1</v>
      </c>
      <c r="BC9" s="85">
        <v>0</v>
      </c>
      <c r="BD9" s="85">
        <v>0</v>
      </c>
      <c r="BE9" s="85">
        <v>0</v>
      </c>
      <c r="BF9" s="85">
        <v>0</v>
      </c>
      <c r="BG9" s="85">
        <v>0</v>
      </c>
      <c r="BH9" s="19">
        <v>2</v>
      </c>
      <c r="BI9" s="71"/>
      <c r="BJ9" s="71"/>
      <c r="BK9" s="71">
        <f t="shared" si="12"/>
        <v>114.81520780975161</v>
      </c>
      <c r="BL9" s="18">
        <v>3</v>
      </c>
      <c r="BM9" s="71"/>
      <c r="BN9" s="71"/>
      <c r="BO9" s="71">
        <f t="shared" si="13"/>
        <v>111.29665318323313</v>
      </c>
      <c r="BP9" s="18">
        <v>0</v>
      </c>
      <c r="BQ9" s="71"/>
      <c r="BR9" s="71"/>
      <c r="BS9" s="138">
        <f t="shared" si="14"/>
        <v>86.456710815818582</v>
      </c>
      <c r="BT9" s="18">
        <v>3</v>
      </c>
      <c r="BU9" s="71"/>
      <c r="BV9" s="71"/>
      <c r="BW9" s="71">
        <f t="shared" si="15"/>
        <v>112.03791162123835</v>
      </c>
      <c r="BX9" s="85">
        <v>0</v>
      </c>
      <c r="BY9" s="18">
        <v>3</v>
      </c>
      <c r="BZ9" s="71"/>
      <c r="CA9" s="71"/>
      <c r="CB9" s="71">
        <f t="shared" si="16"/>
        <v>110.05345743585116</v>
      </c>
      <c r="CC9" s="18">
        <v>3</v>
      </c>
      <c r="CD9" s="71"/>
      <c r="CE9" s="71"/>
      <c r="CF9" s="71">
        <f t="shared" si="17"/>
        <v>109.36214907383548</v>
      </c>
      <c r="CG9" s="18">
        <v>1</v>
      </c>
      <c r="CH9" s="71"/>
      <c r="CI9" s="71"/>
      <c r="CJ9" s="138">
        <f t="shared" si="18"/>
        <v>103.93736139675698</v>
      </c>
      <c r="CK9" s="18">
        <v>3</v>
      </c>
      <c r="CL9" s="71"/>
      <c r="CM9" s="71"/>
      <c r="CN9" s="71">
        <f t="shared" si="19"/>
        <v>109.82624001207998</v>
      </c>
      <c r="CO9" s="94">
        <v>0</v>
      </c>
      <c r="CP9" s="94">
        <v>0</v>
      </c>
      <c r="CQ9" s="94">
        <v>0</v>
      </c>
      <c r="CR9" s="94">
        <v>1</v>
      </c>
      <c r="CS9" s="102">
        <f t="shared" si="20"/>
        <v>107.07046844891904</v>
      </c>
      <c r="CT9" s="102">
        <f t="shared" si="21"/>
        <v>8.7050084994942516</v>
      </c>
      <c r="CU9" s="102">
        <f t="shared" si="22"/>
        <v>8.1301675668368059E-2</v>
      </c>
      <c r="CV9" s="108">
        <f t="shared" si="23"/>
        <v>106.36273667120278</v>
      </c>
      <c r="CZ9" s="109" t="str">
        <f t="shared" si="24"/>
        <v>Alto</v>
      </c>
    </row>
    <row r="10" spans="1:109" x14ac:dyDescent="0.15">
      <c r="A10" s="84">
        <v>3</v>
      </c>
      <c r="B10" s="84">
        <v>1</v>
      </c>
      <c r="C10" s="84">
        <v>1</v>
      </c>
      <c r="D10" s="84">
        <v>2</v>
      </c>
      <c r="E10" s="85">
        <v>1</v>
      </c>
      <c r="F10" s="17">
        <v>2</v>
      </c>
      <c r="I10" s="64">
        <f t="shared" si="1"/>
        <v>109.85726154139888</v>
      </c>
      <c r="J10" s="17">
        <v>2</v>
      </c>
      <c r="M10" s="64">
        <f t="shared" si="2"/>
        <v>110.02144013573877</v>
      </c>
      <c r="N10" s="17">
        <v>1</v>
      </c>
      <c r="Q10" s="64">
        <f t="shared" si="0"/>
        <v>98.246708656674187</v>
      </c>
      <c r="R10" s="17">
        <v>2</v>
      </c>
      <c r="U10" s="64">
        <f t="shared" si="3"/>
        <v>101.34799174124942</v>
      </c>
      <c r="V10" s="17">
        <v>0</v>
      </c>
      <c r="Y10" s="114">
        <f t="shared" si="4"/>
        <v>84.977607669437745</v>
      </c>
      <c r="Z10" s="17">
        <v>2</v>
      </c>
      <c r="AC10" s="64">
        <f t="shared" si="5"/>
        <v>101.50550517487696</v>
      </c>
      <c r="AD10" s="25">
        <v>2</v>
      </c>
      <c r="AE10" s="71"/>
      <c r="AF10" s="71"/>
      <c r="AG10" s="71">
        <f t="shared" si="6"/>
        <v>101.01229126330007</v>
      </c>
      <c r="AH10" s="17">
        <v>2</v>
      </c>
      <c r="AK10" s="64">
        <f t="shared" si="7"/>
        <v>99.518280131348902</v>
      </c>
      <c r="AL10" s="17">
        <v>3</v>
      </c>
      <c r="AM10" s="71"/>
      <c r="AN10" s="71"/>
      <c r="AO10" s="71">
        <f t="shared" si="8"/>
        <v>100.85056924463234</v>
      </c>
      <c r="AP10" s="17">
        <v>2</v>
      </c>
      <c r="AQ10" s="71"/>
      <c r="AR10" s="71"/>
      <c r="AS10" s="71">
        <f t="shared" si="9"/>
        <v>99.909880620416757</v>
      </c>
      <c r="AT10" s="17">
        <v>1</v>
      </c>
      <c r="AU10" s="71"/>
      <c r="AV10" s="71"/>
      <c r="AW10" s="71">
        <f t="shared" si="10"/>
        <v>100.0638209925971</v>
      </c>
      <c r="AX10" s="17">
        <v>0</v>
      </c>
      <c r="AY10" s="71"/>
      <c r="AZ10" s="71"/>
      <c r="BA10" s="71">
        <f t="shared" si="11"/>
        <v>79.173343913551548</v>
      </c>
      <c r="BB10" s="84">
        <v>1</v>
      </c>
      <c r="BC10" s="84">
        <v>0</v>
      </c>
      <c r="BD10" s="84">
        <v>1</v>
      </c>
      <c r="BE10" s="84">
        <v>0</v>
      </c>
      <c r="BF10" s="84">
        <v>0</v>
      </c>
      <c r="BG10" s="84">
        <v>0</v>
      </c>
      <c r="BH10" s="20">
        <v>0</v>
      </c>
      <c r="BI10" s="71"/>
      <c r="BJ10" s="71"/>
      <c r="BK10" s="71">
        <f t="shared" si="12"/>
        <v>92.176238572378367</v>
      </c>
      <c r="BL10" s="17">
        <v>1</v>
      </c>
      <c r="BM10" s="71"/>
      <c r="BN10" s="71"/>
      <c r="BO10" s="71">
        <f t="shared" si="13"/>
        <v>92.606326748686826</v>
      </c>
      <c r="BP10" s="17">
        <v>1</v>
      </c>
      <c r="BQ10" s="71"/>
      <c r="BR10" s="71"/>
      <c r="BS10" s="138">
        <f t="shared" si="14"/>
        <v>100.16171091563201</v>
      </c>
      <c r="BT10" s="17">
        <v>3</v>
      </c>
      <c r="BU10" s="71"/>
      <c r="BV10" s="71"/>
      <c r="BW10" s="71">
        <f t="shared" si="15"/>
        <v>112.03791162123835</v>
      </c>
      <c r="BX10" s="84">
        <v>1</v>
      </c>
      <c r="BY10" s="17">
        <v>2</v>
      </c>
      <c r="BZ10" s="71"/>
      <c r="CA10" s="71"/>
      <c r="CB10" s="71">
        <f t="shared" si="16"/>
        <v>100.53207713448795</v>
      </c>
      <c r="CC10" s="17">
        <v>2</v>
      </c>
      <c r="CD10" s="71"/>
      <c r="CE10" s="71"/>
      <c r="CF10" s="71">
        <f t="shared" si="17"/>
        <v>100.18886179687853</v>
      </c>
      <c r="CG10" s="17">
        <v>1</v>
      </c>
      <c r="CH10" s="71"/>
      <c r="CI10" s="71"/>
      <c r="CJ10" s="138">
        <f t="shared" si="18"/>
        <v>103.93736139675698</v>
      </c>
      <c r="CK10" s="17">
        <v>0</v>
      </c>
      <c r="CL10" s="71"/>
      <c r="CM10" s="71"/>
      <c r="CN10" s="71">
        <f t="shared" si="19"/>
        <v>81.025191700811078</v>
      </c>
      <c r="CO10" s="93">
        <v>1</v>
      </c>
      <c r="CP10" s="93">
        <v>1</v>
      </c>
      <c r="CQ10" s="93">
        <v>0</v>
      </c>
      <c r="CR10" s="93">
        <v>0</v>
      </c>
      <c r="CS10" s="102">
        <f t="shared" si="20"/>
        <v>98.827864764133295</v>
      </c>
      <c r="CT10" s="102">
        <f t="shared" si="21"/>
        <v>8.7973339374411079</v>
      </c>
      <c r="CU10" s="102">
        <f t="shared" si="22"/>
        <v>8.9016735901733701E-2</v>
      </c>
      <c r="CV10" s="108">
        <f t="shared" si="23"/>
        <v>98.044754812384738</v>
      </c>
      <c r="CZ10" s="109" t="str">
        <f t="shared" si="24"/>
        <v>Medio-Basso</v>
      </c>
    </row>
    <row r="11" spans="1:109" x14ac:dyDescent="0.15">
      <c r="A11" s="85">
        <v>2</v>
      </c>
      <c r="B11" s="85">
        <v>1</v>
      </c>
      <c r="C11" s="85">
        <v>3</v>
      </c>
      <c r="D11" s="85">
        <v>2</v>
      </c>
      <c r="E11" s="85">
        <v>1</v>
      </c>
      <c r="F11" s="18">
        <v>2</v>
      </c>
      <c r="I11" s="64">
        <f t="shared" si="1"/>
        <v>109.85726154139888</v>
      </c>
      <c r="J11" s="18">
        <v>1</v>
      </c>
      <c r="M11" s="64">
        <f t="shared" si="2"/>
        <v>95.705097084683388</v>
      </c>
      <c r="N11" s="18">
        <v>1</v>
      </c>
      <c r="Q11" s="64">
        <f t="shared" si="0"/>
        <v>98.246708656674187</v>
      </c>
      <c r="R11" s="18">
        <v>1</v>
      </c>
      <c r="U11" s="64">
        <f t="shared" si="3"/>
        <v>91.596562123700451</v>
      </c>
      <c r="V11" s="18">
        <v>3</v>
      </c>
      <c r="Y11" s="114">
        <f t="shared" si="4"/>
        <v>104.32462809516186</v>
      </c>
      <c r="Z11" s="18">
        <v>3</v>
      </c>
      <c r="AC11" s="64">
        <f t="shared" si="5"/>
        <v>109.50350141641081</v>
      </c>
      <c r="AD11" s="24">
        <v>0</v>
      </c>
      <c r="AE11" s="71"/>
      <c r="AF11" s="71"/>
      <c r="AG11" s="71">
        <f t="shared" si="6"/>
        <v>84.62281366701329</v>
      </c>
      <c r="AH11" s="18">
        <v>3</v>
      </c>
      <c r="AK11" s="64">
        <f t="shared" si="7"/>
        <v>110.43726382077395</v>
      </c>
      <c r="AL11" s="18">
        <v>4</v>
      </c>
      <c r="AM11" s="71"/>
      <c r="AN11" s="71"/>
      <c r="AO11" s="71">
        <f t="shared" si="8"/>
        <v>111.97339782828605</v>
      </c>
      <c r="AP11" s="18">
        <v>0</v>
      </c>
      <c r="AQ11" s="71"/>
      <c r="AR11" s="71"/>
      <c r="AS11" s="71">
        <f t="shared" si="9"/>
        <v>79.482821248216453</v>
      </c>
      <c r="AT11" s="18">
        <v>2</v>
      </c>
      <c r="AU11" s="71"/>
      <c r="AV11" s="71"/>
      <c r="AW11" s="71">
        <f t="shared" si="10"/>
        <v>110.91338973410525</v>
      </c>
      <c r="AX11" s="18">
        <v>1</v>
      </c>
      <c r="AY11" s="71"/>
      <c r="AZ11" s="71"/>
      <c r="BA11" s="71">
        <f t="shared" si="11"/>
        <v>90.050552929515405</v>
      </c>
      <c r="BB11" s="85">
        <v>1</v>
      </c>
      <c r="BC11" s="85">
        <v>0</v>
      </c>
      <c r="BD11" s="85">
        <v>1</v>
      </c>
      <c r="BE11" s="85">
        <v>0</v>
      </c>
      <c r="BF11" s="85">
        <v>0</v>
      </c>
      <c r="BG11" s="85">
        <v>0</v>
      </c>
      <c r="BH11" s="19">
        <v>0</v>
      </c>
      <c r="BI11" s="71"/>
      <c r="BJ11" s="71"/>
      <c r="BK11" s="71">
        <f t="shared" si="12"/>
        <v>92.176238572378367</v>
      </c>
      <c r="BL11" s="18">
        <v>3</v>
      </c>
      <c r="BM11" s="71"/>
      <c r="BN11" s="71"/>
      <c r="BO11" s="71">
        <f t="shared" si="13"/>
        <v>111.29665318323313</v>
      </c>
      <c r="BP11" s="18">
        <v>1</v>
      </c>
      <c r="BQ11" s="71"/>
      <c r="BR11" s="71"/>
      <c r="BS11" s="138">
        <f t="shared" si="14"/>
        <v>100.16171091563201</v>
      </c>
      <c r="BT11" s="18">
        <v>2</v>
      </c>
      <c r="BU11" s="71"/>
      <c r="BV11" s="71"/>
      <c r="BW11" s="71">
        <f t="shared" si="15"/>
        <v>102.51956289746849</v>
      </c>
      <c r="BX11" s="85">
        <v>1</v>
      </c>
      <c r="BY11" s="18">
        <v>3</v>
      </c>
      <c r="BZ11" s="71"/>
      <c r="CA11" s="71"/>
      <c r="CB11" s="71">
        <f t="shared" si="16"/>
        <v>110.05345743585116</v>
      </c>
      <c r="CC11" s="18">
        <v>2</v>
      </c>
      <c r="CD11" s="71"/>
      <c r="CE11" s="71"/>
      <c r="CF11" s="71">
        <f t="shared" si="17"/>
        <v>100.18886179687853</v>
      </c>
      <c r="CG11" s="18">
        <v>1</v>
      </c>
      <c r="CH11" s="71"/>
      <c r="CI11" s="71"/>
      <c r="CJ11" s="138">
        <f t="shared" si="18"/>
        <v>103.93736139675698</v>
      </c>
      <c r="CK11" s="18">
        <v>3</v>
      </c>
      <c r="CL11" s="71"/>
      <c r="CM11" s="71"/>
      <c r="CN11" s="71">
        <f t="shared" si="19"/>
        <v>109.82624001207998</v>
      </c>
      <c r="CO11" s="94">
        <v>1</v>
      </c>
      <c r="CP11" s="94">
        <v>1</v>
      </c>
      <c r="CQ11" s="94">
        <v>0</v>
      </c>
      <c r="CR11" s="94">
        <v>0</v>
      </c>
      <c r="CS11" s="102">
        <f t="shared" si="20"/>
        <v>101.0853167028628</v>
      </c>
      <c r="CT11" s="102">
        <f t="shared" si="21"/>
        <v>10.548213393951327</v>
      </c>
      <c r="CU11" s="102">
        <f t="shared" si="22"/>
        <v>0.10434961019074095</v>
      </c>
      <c r="CV11" s="108">
        <f t="shared" si="23"/>
        <v>99.98461474699522</v>
      </c>
      <c r="CZ11" s="109" t="str">
        <f t="shared" si="24"/>
        <v>Medio-Alto</v>
      </c>
    </row>
    <row r="12" spans="1:109" x14ac:dyDescent="0.15">
      <c r="A12" s="84">
        <v>3</v>
      </c>
      <c r="B12" s="84">
        <v>2</v>
      </c>
      <c r="C12" s="84">
        <v>3</v>
      </c>
      <c r="D12" s="84">
        <v>2</v>
      </c>
      <c r="E12" s="85">
        <v>1</v>
      </c>
      <c r="F12" s="17">
        <v>2</v>
      </c>
      <c r="I12" s="64">
        <f t="shared" si="1"/>
        <v>109.85726154139888</v>
      </c>
      <c r="J12" s="17">
        <v>2</v>
      </c>
      <c r="M12" s="64">
        <f t="shared" si="2"/>
        <v>110.02144013573877</v>
      </c>
      <c r="N12" s="17">
        <v>2</v>
      </c>
      <c r="Q12" s="64">
        <f t="shared" si="0"/>
        <v>113.93405225485253</v>
      </c>
      <c r="R12" s="17">
        <v>3</v>
      </c>
      <c r="U12" s="64">
        <f t="shared" si="3"/>
        <v>111.09942135879838</v>
      </c>
      <c r="V12" s="17">
        <v>5</v>
      </c>
      <c r="Y12" s="114">
        <f t="shared" si="4"/>
        <v>117.22264171231127</v>
      </c>
      <c r="Z12" s="17">
        <v>3</v>
      </c>
      <c r="AC12" s="64">
        <f t="shared" si="5"/>
        <v>109.50350141641081</v>
      </c>
      <c r="AD12" s="25">
        <v>3</v>
      </c>
      <c r="AE12" s="71"/>
      <c r="AF12" s="71"/>
      <c r="AG12" s="71">
        <f t="shared" si="6"/>
        <v>109.20703006144345</v>
      </c>
      <c r="AH12" s="17">
        <v>3</v>
      </c>
      <c r="AK12" s="64">
        <f t="shared" si="7"/>
        <v>110.43726382077395</v>
      </c>
      <c r="AL12" s="17">
        <v>2</v>
      </c>
      <c r="AM12" s="71"/>
      <c r="AN12" s="71"/>
      <c r="AO12" s="71">
        <f t="shared" si="8"/>
        <v>89.72774066097864</v>
      </c>
      <c r="AP12" s="17">
        <v>3</v>
      </c>
      <c r="AQ12" s="71"/>
      <c r="AR12" s="71"/>
      <c r="AS12" s="71">
        <f t="shared" si="9"/>
        <v>110.12341030651692</v>
      </c>
      <c r="AT12" s="17">
        <v>2</v>
      </c>
      <c r="AU12" s="71"/>
      <c r="AV12" s="71"/>
      <c r="AW12" s="71">
        <f t="shared" si="10"/>
        <v>110.91338973410525</v>
      </c>
      <c r="AX12" s="17">
        <v>3</v>
      </c>
      <c r="AY12" s="71"/>
      <c r="AZ12" s="71"/>
      <c r="BA12" s="71">
        <f t="shared" si="11"/>
        <v>111.80497096144313</v>
      </c>
      <c r="BB12" s="84">
        <v>0</v>
      </c>
      <c r="BC12" s="84">
        <v>1</v>
      </c>
      <c r="BD12" s="84">
        <v>1</v>
      </c>
      <c r="BE12" s="84">
        <v>0</v>
      </c>
      <c r="BF12" s="84">
        <v>0</v>
      </c>
      <c r="BG12" s="84">
        <v>0</v>
      </c>
      <c r="BH12" s="20">
        <v>2</v>
      </c>
      <c r="BI12" s="71"/>
      <c r="BJ12" s="71"/>
      <c r="BK12" s="71">
        <f t="shared" si="12"/>
        <v>114.81520780975161</v>
      </c>
      <c r="BL12" s="17">
        <v>3</v>
      </c>
      <c r="BM12" s="71"/>
      <c r="BN12" s="71"/>
      <c r="BO12" s="71">
        <f t="shared" si="13"/>
        <v>111.29665318323313</v>
      </c>
      <c r="BP12" s="17">
        <v>1</v>
      </c>
      <c r="BQ12" s="71"/>
      <c r="BR12" s="71"/>
      <c r="BS12" s="138">
        <f t="shared" si="14"/>
        <v>100.16171091563201</v>
      </c>
      <c r="BT12" s="17">
        <v>3</v>
      </c>
      <c r="BU12" s="71"/>
      <c r="BV12" s="71"/>
      <c r="BW12" s="71">
        <f t="shared" si="15"/>
        <v>112.03791162123835</v>
      </c>
      <c r="BX12" s="84">
        <v>1</v>
      </c>
      <c r="BY12" s="17">
        <v>2</v>
      </c>
      <c r="BZ12" s="71"/>
      <c r="CA12" s="71"/>
      <c r="CB12" s="71">
        <f t="shared" si="16"/>
        <v>100.53207713448795</v>
      </c>
      <c r="CC12" s="17">
        <v>3</v>
      </c>
      <c r="CD12" s="71"/>
      <c r="CE12" s="71"/>
      <c r="CF12" s="71">
        <f t="shared" si="17"/>
        <v>109.36214907383548</v>
      </c>
      <c r="CG12" s="17">
        <v>1</v>
      </c>
      <c r="CH12" s="71"/>
      <c r="CI12" s="71"/>
      <c r="CJ12" s="138">
        <f t="shared" si="18"/>
        <v>103.93736139675698</v>
      </c>
      <c r="CK12" s="17">
        <v>3</v>
      </c>
      <c r="CL12" s="71"/>
      <c r="CM12" s="71"/>
      <c r="CN12" s="71">
        <f t="shared" si="19"/>
        <v>109.82624001207998</v>
      </c>
      <c r="CO12" s="93">
        <v>1</v>
      </c>
      <c r="CP12" s="93">
        <v>1</v>
      </c>
      <c r="CQ12" s="93">
        <v>0</v>
      </c>
      <c r="CR12" s="93">
        <v>0</v>
      </c>
      <c r="CS12" s="102">
        <f t="shared" si="20"/>
        <v>109.08821888747573</v>
      </c>
      <c r="CT12" s="102">
        <f t="shared" si="21"/>
        <v>5.7976888590358495</v>
      </c>
      <c r="CU12" s="102">
        <f t="shared" si="22"/>
        <v>5.3146791818245318E-2</v>
      </c>
      <c r="CV12" s="108">
        <f t="shared" si="23"/>
        <v>108.78009032465759</v>
      </c>
      <c r="CZ12" s="109" t="str">
        <f t="shared" si="24"/>
        <v>Alto</v>
      </c>
    </row>
    <row r="13" spans="1:109" x14ac:dyDescent="0.15">
      <c r="A13" s="85">
        <v>0</v>
      </c>
      <c r="B13" s="85">
        <v>2</v>
      </c>
      <c r="C13" s="85">
        <v>0</v>
      </c>
      <c r="D13" s="85">
        <v>2</v>
      </c>
      <c r="E13" s="85">
        <v>1</v>
      </c>
      <c r="F13" s="18">
        <v>0</v>
      </c>
      <c r="I13" s="64">
        <f t="shared" si="1"/>
        <v>76.99972307006928</v>
      </c>
      <c r="J13" s="18">
        <v>0</v>
      </c>
      <c r="M13" s="64">
        <f t="shared" si="2"/>
        <v>81.388754033628004</v>
      </c>
      <c r="N13" s="18">
        <v>0</v>
      </c>
      <c r="Q13" s="64">
        <f t="shared" si="0"/>
        <v>82.559365058495843</v>
      </c>
      <c r="R13" s="18">
        <v>0</v>
      </c>
      <c r="U13" s="64">
        <f t="shared" si="3"/>
        <v>81.845132506151486</v>
      </c>
      <c r="V13" s="18">
        <v>5</v>
      </c>
      <c r="Y13" s="114">
        <f t="shared" si="4"/>
        <v>117.22264171231127</v>
      </c>
      <c r="Z13" s="18">
        <v>0</v>
      </c>
      <c r="AC13" s="64">
        <f t="shared" si="5"/>
        <v>85.509512691809249</v>
      </c>
      <c r="AD13" s="24">
        <v>0</v>
      </c>
      <c r="AE13" s="71"/>
      <c r="AF13" s="71"/>
      <c r="AG13" s="71">
        <f t="shared" si="6"/>
        <v>84.62281366701329</v>
      </c>
      <c r="AH13" s="18">
        <v>0</v>
      </c>
      <c r="AK13" s="64">
        <f t="shared" si="7"/>
        <v>77.680312752498807</v>
      </c>
      <c r="AL13" s="18">
        <v>3</v>
      </c>
      <c r="AM13" s="71"/>
      <c r="AN13" s="71"/>
      <c r="AO13" s="71">
        <f t="shared" si="8"/>
        <v>100.85056924463234</v>
      </c>
      <c r="AP13" s="18">
        <v>0</v>
      </c>
      <c r="AQ13" s="71"/>
      <c r="AR13" s="71"/>
      <c r="AS13" s="71">
        <f t="shared" si="9"/>
        <v>79.482821248216453</v>
      </c>
      <c r="AT13" s="18">
        <v>0</v>
      </c>
      <c r="AU13" s="71"/>
      <c r="AV13" s="71"/>
      <c r="AW13" s="71">
        <f t="shared" si="10"/>
        <v>89.214252251088965</v>
      </c>
      <c r="AX13" s="18">
        <v>1</v>
      </c>
      <c r="AY13" s="71"/>
      <c r="AZ13" s="71"/>
      <c r="BA13" s="71">
        <f t="shared" si="11"/>
        <v>90.050552929515405</v>
      </c>
      <c r="BB13" s="85">
        <v>0</v>
      </c>
      <c r="BC13" s="85">
        <v>0</v>
      </c>
      <c r="BD13" s="85">
        <v>0</v>
      </c>
      <c r="BE13" s="85">
        <v>1</v>
      </c>
      <c r="BF13" s="85">
        <v>1</v>
      </c>
      <c r="BG13" s="85">
        <v>0</v>
      </c>
      <c r="BH13" s="19">
        <v>0</v>
      </c>
      <c r="BI13" s="71"/>
      <c r="BJ13" s="71"/>
      <c r="BK13" s="71">
        <f t="shared" si="12"/>
        <v>92.176238572378367</v>
      </c>
      <c r="BL13" s="18">
        <v>0</v>
      </c>
      <c r="BM13" s="71"/>
      <c r="BN13" s="71"/>
      <c r="BO13" s="71">
        <f t="shared" si="13"/>
        <v>83.261163531413686</v>
      </c>
      <c r="BP13" s="18">
        <v>0</v>
      </c>
      <c r="BQ13" s="71"/>
      <c r="BR13" s="71"/>
      <c r="BS13" s="138">
        <f t="shared" si="14"/>
        <v>86.456710815818582</v>
      </c>
      <c r="BT13" s="18">
        <v>0</v>
      </c>
      <c r="BU13" s="71"/>
      <c r="BV13" s="71"/>
      <c r="BW13" s="71">
        <f t="shared" si="15"/>
        <v>83.482865449928767</v>
      </c>
      <c r="BX13" s="85">
        <v>2</v>
      </c>
      <c r="BY13" s="18">
        <v>1</v>
      </c>
      <c r="BZ13" s="71"/>
      <c r="CA13" s="71"/>
      <c r="CB13" s="71">
        <f t="shared" si="16"/>
        <v>91.01069683312474</v>
      </c>
      <c r="CC13" s="18">
        <v>0</v>
      </c>
      <c r="CD13" s="71"/>
      <c r="CE13" s="71"/>
      <c r="CF13" s="71">
        <f t="shared" si="17"/>
        <v>81.842287242964616</v>
      </c>
      <c r="CG13" s="18">
        <v>0</v>
      </c>
      <c r="CH13" s="71"/>
      <c r="CI13" s="71"/>
      <c r="CJ13" s="138">
        <f t="shared" si="18"/>
        <v>89.226340793489143</v>
      </c>
      <c r="CK13" s="18">
        <v>2</v>
      </c>
      <c r="CL13" s="71"/>
      <c r="CM13" s="71"/>
      <c r="CN13" s="71">
        <f t="shared" si="19"/>
        <v>100.22589057499034</v>
      </c>
      <c r="CO13" s="94">
        <v>0</v>
      </c>
      <c r="CP13" s="94">
        <v>0</v>
      </c>
      <c r="CQ13" s="94">
        <v>0</v>
      </c>
      <c r="CR13" s="94">
        <v>1</v>
      </c>
      <c r="CS13" s="102">
        <f t="shared" si="20"/>
        <v>86.011938332818815</v>
      </c>
      <c r="CT13" s="102">
        <f t="shared" si="21"/>
        <v>7.0232899049369619</v>
      </c>
      <c r="CU13" s="102">
        <f t="shared" si="22"/>
        <v>8.1654826540017031E-2</v>
      </c>
      <c r="CV13" s="108">
        <f t="shared" si="23"/>
        <v>85.438452813890933</v>
      </c>
      <c r="CZ13" s="109" t="str">
        <f t="shared" si="24"/>
        <v>Basso</v>
      </c>
    </row>
    <row r="14" spans="1:109" x14ac:dyDescent="0.15">
      <c r="A14" s="84">
        <v>3</v>
      </c>
      <c r="B14" s="84">
        <v>1</v>
      </c>
      <c r="C14" s="84">
        <v>1</v>
      </c>
      <c r="D14" s="84">
        <v>2</v>
      </c>
      <c r="E14" s="85">
        <v>1</v>
      </c>
      <c r="F14" s="17">
        <v>1</v>
      </c>
      <c r="I14" s="64">
        <f t="shared" si="1"/>
        <v>93.428492305734082</v>
      </c>
      <c r="J14" s="17">
        <v>1</v>
      </c>
      <c r="M14" s="64">
        <f t="shared" si="2"/>
        <v>95.705097084683388</v>
      </c>
      <c r="N14" s="17">
        <v>1</v>
      </c>
      <c r="Q14" s="64">
        <f t="shared" si="0"/>
        <v>98.246708656674187</v>
      </c>
      <c r="R14" s="17">
        <v>2</v>
      </c>
      <c r="U14" s="64">
        <f t="shared" si="3"/>
        <v>101.34799174124942</v>
      </c>
      <c r="V14" s="17">
        <v>4</v>
      </c>
      <c r="Y14" s="114">
        <f t="shared" si="4"/>
        <v>110.77363490373656</v>
      </c>
      <c r="Z14" s="17">
        <v>3</v>
      </c>
      <c r="AC14" s="64">
        <f t="shared" si="5"/>
        <v>109.50350141641081</v>
      </c>
      <c r="AD14" s="25">
        <v>2</v>
      </c>
      <c r="AE14" s="71"/>
      <c r="AF14" s="71"/>
      <c r="AG14" s="71">
        <f t="shared" si="6"/>
        <v>101.01229126330007</v>
      </c>
      <c r="AH14" s="17">
        <v>2</v>
      </c>
      <c r="AK14" s="64">
        <f t="shared" si="7"/>
        <v>99.518280131348902</v>
      </c>
      <c r="AL14" s="17">
        <v>3</v>
      </c>
      <c r="AM14" s="71"/>
      <c r="AN14" s="71"/>
      <c r="AO14" s="71">
        <f t="shared" si="8"/>
        <v>100.85056924463234</v>
      </c>
      <c r="AP14" s="17">
        <v>2</v>
      </c>
      <c r="AQ14" s="71"/>
      <c r="AR14" s="71"/>
      <c r="AS14" s="71">
        <f t="shared" si="9"/>
        <v>99.909880620416757</v>
      </c>
      <c r="AT14" s="17">
        <v>1</v>
      </c>
      <c r="AU14" s="71"/>
      <c r="AV14" s="71"/>
      <c r="AW14" s="71">
        <f t="shared" si="10"/>
        <v>100.0638209925971</v>
      </c>
      <c r="AX14" s="17">
        <v>1</v>
      </c>
      <c r="AY14" s="71"/>
      <c r="AZ14" s="71"/>
      <c r="BA14" s="71">
        <f t="shared" si="11"/>
        <v>90.050552929515405</v>
      </c>
      <c r="BB14" s="84">
        <v>0</v>
      </c>
      <c r="BC14" s="84">
        <v>0</v>
      </c>
      <c r="BD14" s="84">
        <v>1</v>
      </c>
      <c r="BE14" s="84">
        <v>1</v>
      </c>
      <c r="BF14" s="84">
        <v>0</v>
      </c>
      <c r="BG14" s="84">
        <v>0</v>
      </c>
      <c r="BH14" s="20">
        <v>2</v>
      </c>
      <c r="BI14" s="71"/>
      <c r="BJ14" s="71"/>
      <c r="BK14" s="71">
        <f t="shared" si="12"/>
        <v>114.81520780975161</v>
      </c>
      <c r="BL14" s="17">
        <v>1</v>
      </c>
      <c r="BM14" s="71"/>
      <c r="BN14" s="71"/>
      <c r="BO14" s="71">
        <f t="shared" si="13"/>
        <v>92.606326748686826</v>
      </c>
      <c r="BP14" s="17">
        <v>1</v>
      </c>
      <c r="BQ14" s="71"/>
      <c r="BR14" s="71"/>
      <c r="BS14" s="138">
        <f t="shared" si="14"/>
        <v>100.16171091563201</v>
      </c>
      <c r="BT14" s="17">
        <v>1</v>
      </c>
      <c r="BU14" s="71"/>
      <c r="BV14" s="71"/>
      <c r="BW14" s="71">
        <f t="shared" si="15"/>
        <v>93.001214173698628</v>
      </c>
      <c r="BX14" s="84">
        <v>0</v>
      </c>
      <c r="BY14" s="17">
        <v>2</v>
      </c>
      <c r="BZ14" s="71"/>
      <c r="CA14" s="71"/>
      <c r="CB14" s="71">
        <f t="shared" si="16"/>
        <v>100.53207713448795</v>
      </c>
      <c r="CC14" s="17">
        <v>2</v>
      </c>
      <c r="CD14" s="71"/>
      <c r="CE14" s="71"/>
      <c r="CF14" s="71">
        <f t="shared" si="17"/>
        <v>100.18886179687853</v>
      </c>
      <c r="CG14" s="17">
        <v>1</v>
      </c>
      <c r="CH14" s="71"/>
      <c r="CI14" s="71"/>
      <c r="CJ14" s="138">
        <f t="shared" si="18"/>
        <v>103.93736139675698</v>
      </c>
      <c r="CK14" s="17">
        <v>1</v>
      </c>
      <c r="CL14" s="71"/>
      <c r="CM14" s="71"/>
      <c r="CN14" s="71">
        <f t="shared" si="19"/>
        <v>90.625541137900711</v>
      </c>
      <c r="CO14" s="93">
        <v>0</v>
      </c>
      <c r="CP14" s="93">
        <v>1</v>
      </c>
      <c r="CQ14" s="93">
        <v>1</v>
      </c>
      <c r="CR14" s="93">
        <v>0</v>
      </c>
      <c r="CS14" s="102">
        <f t="shared" si="20"/>
        <v>98.906259716939203</v>
      </c>
      <c r="CT14" s="102">
        <f t="shared" si="21"/>
        <v>6.3680108447664754</v>
      </c>
      <c r="CU14" s="102">
        <f t="shared" si="22"/>
        <v>6.4384305533250863E-2</v>
      </c>
      <c r="CV14" s="108">
        <f t="shared" si="23"/>
        <v>98.496259761070704</v>
      </c>
      <c r="CZ14" s="109" t="str">
        <f t="shared" si="24"/>
        <v>Medio-Basso</v>
      </c>
    </row>
    <row r="15" spans="1:109" x14ac:dyDescent="0.15">
      <c r="A15" s="85">
        <v>1</v>
      </c>
      <c r="B15" s="85">
        <v>2</v>
      </c>
      <c r="C15" s="85">
        <v>1</v>
      </c>
      <c r="D15" s="85">
        <v>2</v>
      </c>
      <c r="E15" s="85">
        <v>1</v>
      </c>
      <c r="F15" s="18">
        <v>1</v>
      </c>
      <c r="I15" s="64">
        <f t="shared" si="1"/>
        <v>93.428492305734082</v>
      </c>
      <c r="J15" s="18">
        <v>2</v>
      </c>
      <c r="M15" s="64">
        <f t="shared" si="2"/>
        <v>110.02144013573877</v>
      </c>
      <c r="N15" s="18">
        <v>1</v>
      </c>
      <c r="Q15" s="64">
        <f t="shared" si="0"/>
        <v>98.246708656674187</v>
      </c>
      <c r="R15" s="18">
        <v>2</v>
      </c>
      <c r="U15" s="64">
        <f t="shared" si="3"/>
        <v>101.34799174124942</v>
      </c>
      <c r="V15" s="18">
        <v>0</v>
      </c>
      <c r="Y15" s="114">
        <f t="shared" si="4"/>
        <v>84.977607669437745</v>
      </c>
      <c r="Z15" s="18">
        <v>2</v>
      </c>
      <c r="AC15" s="64">
        <f t="shared" si="5"/>
        <v>101.50550517487696</v>
      </c>
      <c r="AD15" s="24">
        <v>3</v>
      </c>
      <c r="AE15" s="71"/>
      <c r="AF15" s="71"/>
      <c r="AG15" s="71">
        <f t="shared" si="6"/>
        <v>109.20703006144345</v>
      </c>
      <c r="AH15" s="18">
        <v>3</v>
      </c>
      <c r="AK15" s="64">
        <f t="shared" si="7"/>
        <v>110.43726382077395</v>
      </c>
      <c r="AL15" s="18">
        <v>3</v>
      </c>
      <c r="AM15" s="71"/>
      <c r="AN15" s="71"/>
      <c r="AO15" s="71">
        <f t="shared" si="8"/>
        <v>100.85056924463234</v>
      </c>
      <c r="AP15" s="18">
        <v>2</v>
      </c>
      <c r="AQ15" s="71"/>
      <c r="AR15" s="71"/>
      <c r="AS15" s="71">
        <f t="shared" si="9"/>
        <v>99.909880620416757</v>
      </c>
      <c r="AT15" s="18">
        <v>1</v>
      </c>
      <c r="AU15" s="71"/>
      <c r="AV15" s="71"/>
      <c r="AW15" s="71">
        <f t="shared" si="10"/>
        <v>100.0638209925971</v>
      </c>
      <c r="AX15" s="18">
        <v>3</v>
      </c>
      <c r="AY15" s="71"/>
      <c r="AZ15" s="71"/>
      <c r="BA15" s="71">
        <f t="shared" si="11"/>
        <v>111.80497096144313</v>
      </c>
      <c r="BB15" s="85">
        <v>1</v>
      </c>
      <c r="BC15" s="85">
        <v>0</v>
      </c>
      <c r="BD15" s="85">
        <v>1</v>
      </c>
      <c r="BE15" s="85">
        <v>0</v>
      </c>
      <c r="BF15" s="85">
        <v>0</v>
      </c>
      <c r="BG15" s="85">
        <v>0</v>
      </c>
      <c r="BH15" s="19">
        <v>2</v>
      </c>
      <c r="BI15" s="71"/>
      <c r="BJ15" s="71"/>
      <c r="BK15" s="71">
        <f t="shared" si="12"/>
        <v>114.81520780975161</v>
      </c>
      <c r="BL15" s="18">
        <v>3</v>
      </c>
      <c r="BM15" s="71"/>
      <c r="BN15" s="71"/>
      <c r="BO15" s="71">
        <f t="shared" si="13"/>
        <v>111.29665318323313</v>
      </c>
      <c r="BP15" s="18">
        <v>1</v>
      </c>
      <c r="BQ15" s="71"/>
      <c r="BR15" s="71"/>
      <c r="BS15" s="138">
        <f t="shared" si="14"/>
        <v>100.16171091563201</v>
      </c>
      <c r="BT15" s="18">
        <v>3</v>
      </c>
      <c r="BU15" s="71"/>
      <c r="BV15" s="71"/>
      <c r="BW15" s="71">
        <f t="shared" si="15"/>
        <v>112.03791162123835</v>
      </c>
      <c r="BX15" s="85">
        <v>0</v>
      </c>
      <c r="BY15" s="18">
        <v>3</v>
      </c>
      <c r="BZ15" s="71"/>
      <c r="CA15" s="71"/>
      <c r="CB15" s="71">
        <f t="shared" si="16"/>
        <v>110.05345743585116</v>
      </c>
      <c r="CC15" s="18">
        <v>3</v>
      </c>
      <c r="CD15" s="71"/>
      <c r="CE15" s="71"/>
      <c r="CF15" s="71">
        <f t="shared" si="17"/>
        <v>109.36214907383548</v>
      </c>
      <c r="CG15" s="18">
        <v>1</v>
      </c>
      <c r="CH15" s="71"/>
      <c r="CI15" s="71"/>
      <c r="CJ15" s="138">
        <f t="shared" si="18"/>
        <v>103.93736139675698</v>
      </c>
      <c r="CK15" s="18">
        <v>3</v>
      </c>
      <c r="CL15" s="71"/>
      <c r="CM15" s="71"/>
      <c r="CN15" s="71">
        <f t="shared" si="19"/>
        <v>109.82624001207998</v>
      </c>
      <c r="CO15" s="94">
        <v>1</v>
      </c>
      <c r="CP15" s="94">
        <v>0</v>
      </c>
      <c r="CQ15" s="94">
        <v>1</v>
      </c>
      <c r="CR15" s="94">
        <v>0</v>
      </c>
      <c r="CS15" s="102">
        <f t="shared" si="20"/>
        <v>106.13031134421</v>
      </c>
      <c r="CT15" s="102">
        <f t="shared" si="21"/>
        <v>6.2399480606845872</v>
      </c>
      <c r="CU15" s="102">
        <f t="shared" si="22"/>
        <v>5.8795154576025951E-2</v>
      </c>
      <c r="CV15" s="108">
        <f t="shared" si="23"/>
        <v>105.76343263343567</v>
      </c>
      <c r="CZ15" s="109" t="str">
        <f t="shared" si="24"/>
        <v>Alto</v>
      </c>
    </row>
    <row r="16" spans="1:109" x14ac:dyDescent="0.15">
      <c r="A16" s="84">
        <v>2</v>
      </c>
      <c r="B16" s="84">
        <v>1</v>
      </c>
      <c r="C16" s="84">
        <v>1</v>
      </c>
      <c r="D16" s="84">
        <v>2</v>
      </c>
      <c r="E16" s="85">
        <v>1</v>
      </c>
      <c r="F16" s="17">
        <v>1</v>
      </c>
      <c r="I16" s="64">
        <f t="shared" si="1"/>
        <v>93.428492305734082</v>
      </c>
      <c r="J16" s="17">
        <v>2</v>
      </c>
      <c r="M16" s="64">
        <f t="shared" si="2"/>
        <v>110.02144013573877</v>
      </c>
      <c r="N16" s="17">
        <v>1</v>
      </c>
      <c r="Q16" s="64">
        <f t="shared" si="0"/>
        <v>98.246708656674187</v>
      </c>
      <c r="R16" s="17">
        <v>2</v>
      </c>
      <c r="U16" s="64">
        <f t="shared" si="3"/>
        <v>101.34799174124942</v>
      </c>
      <c r="V16" s="17">
        <v>5</v>
      </c>
      <c r="Y16" s="114">
        <f t="shared" si="4"/>
        <v>117.22264171231127</v>
      </c>
      <c r="Z16" s="17">
        <v>2</v>
      </c>
      <c r="AC16" s="64">
        <f t="shared" si="5"/>
        <v>101.50550517487696</v>
      </c>
      <c r="AD16" s="25">
        <v>3</v>
      </c>
      <c r="AE16" s="71"/>
      <c r="AF16" s="71"/>
      <c r="AG16" s="71">
        <f t="shared" si="6"/>
        <v>109.20703006144345</v>
      </c>
      <c r="AH16" s="17">
        <v>3</v>
      </c>
      <c r="AK16" s="64">
        <f t="shared" si="7"/>
        <v>110.43726382077395</v>
      </c>
      <c r="AL16" s="17">
        <v>3</v>
      </c>
      <c r="AM16" s="71"/>
      <c r="AN16" s="71"/>
      <c r="AO16" s="71">
        <f t="shared" si="8"/>
        <v>100.85056924463234</v>
      </c>
      <c r="AP16" s="17">
        <v>2</v>
      </c>
      <c r="AQ16" s="71"/>
      <c r="AR16" s="71"/>
      <c r="AS16" s="71">
        <f t="shared" si="9"/>
        <v>99.909880620416757</v>
      </c>
      <c r="AT16" s="17">
        <v>2</v>
      </c>
      <c r="AU16" s="71"/>
      <c r="AV16" s="71"/>
      <c r="AW16" s="71">
        <f t="shared" si="10"/>
        <v>110.91338973410525</v>
      </c>
      <c r="AX16" s="17">
        <v>3</v>
      </c>
      <c r="AY16" s="71"/>
      <c r="AZ16" s="71"/>
      <c r="BA16" s="71">
        <f t="shared" si="11"/>
        <v>111.80497096144313</v>
      </c>
      <c r="BB16" s="84">
        <v>1</v>
      </c>
      <c r="BC16" s="84">
        <v>0</v>
      </c>
      <c r="BD16" s="84">
        <v>0</v>
      </c>
      <c r="BE16" s="84">
        <v>1</v>
      </c>
      <c r="BF16" s="84">
        <v>0</v>
      </c>
      <c r="BG16" s="84">
        <v>0</v>
      </c>
      <c r="BH16" s="20">
        <v>1</v>
      </c>
      <c r="BI16" s="71"/>
      <c r="BJ16" s="71"/>
      <c r="BK16" s="71">
        <f t="shared" si="12"/>
        <v>103.49572319106498</v>
      </c>
      <c r="BL16" s="17">
        <v>2</v>
      </c>
      <c r="BM16" s="71"/>
      <c r="BN16" s="71"/>
      <c r="BO16" s="71">
        <f t="shared" si="13"/>
        <v>101.95148996595998</v>
      </c>
      <c r="BP16" s="17">
        <v>1</v>
      </c>
      <c r="BQ16" s="71"/>
      <c r="BR16" s="71"/>
      <c r="BS16" s="138">
        <f t="shared" si="14"/>
        <v>100.16171091563201</v>
      </c>
      <c r="BT16" s="17">
        <v>3</v>
      </c>
      <c r="BU16" s="71"/>
      <c r="BV16" s="71"/>
      <c r="BW16" s="71">
        <f t="shared" si="15"/>
        <v>112.03791162123835</v>
      </c>
      <c r="BX16" s="84">
        <v>0</v>
      </c>
      <c r="BY16" s="17">
        <v>2</v>
      </c>
      <c r="BZ16" s="71"/>
      <c r="CA16" s="71"/>
      <c r="CB16" s="71">
        <f t="shared" si="16"/>
        <v>100.53207713448795</v>
      </c>
      <c r="CC16" s="17">
        <v>2</v>
      </c>
      <c r="CD16" s="71"/>
      <c r="CE16" s="71"/>
      <c r="CF16" s="71">
        <f t="shared" si="17"/>
        <v>100.18886179687853</v>
      </c>
      <c r="CG16" s="17">
        <v>2</v>
      </c>
      <c r="CH16" s="71"/>
      <c r="CI16" s="71"/>
      <c r="CJ16" s="138">
        <f t="shared" si="18"/>
        <v>118.64838200002481</v>
      </c>
      <c r="CK16" s="17">
        <v>3</v>
      </c>
      <c r="CL16" s="71"/>
      <c r="CM16" s="71"/>
      <c r="CN16" s="71">
        <f t="shared" si="19"/>
        <v>109.82624001207998</v>
      </c>
      <c r="CO16" s="93">
        <v>1</v>
      </c>
      <c r="CP16" s="93">
        <v>1</v>
      </c>
      <c r="CQ16" s="93">
        <v>0</v>
      </c>
      <c r="CR16" s="93">
        <v>0</v>
      </c>
      <c r="CS16" s="102">
        <f t="shared" si="20"/>
        <v>104.45326742228224</v>
      </c>
      <c r="CT16" s="102">
        <f t="shared" si="21"/>
        <v>5.7246449233863554</v>
      </c>
      <c r="CU16" s="102">
        <f t="shared" si="22"/>
        <v>5.4805800380019129E-2</v>
      </c>
      <c r="CV16" s="108">
        <f t="shared" si="23"/>
        <v>104.13952367536463</v>
      </c>
      <c r="CZ16" s="109" t="str">
        <f t="shared" si="24"/>
        <v>Alto</v>
      </c>
    </row>
    <row r="17" spans="1:104" x14ac:dyDescent="0.15">
      <c r="A17" s="85">
        <v>5</v>
      </c>
      <c r="B17" s="85">
        <v>1</v>
      </c>
      <c r="C17" s="85">
        <v>2</v>
      </c>
      <c r="D17" s="85">
        <v>2</v>
      </c>
      <c r="E17" s="85">
        <v>1</v>
      </c>
      <c r="F17" s="18">
        <v>1</v>
      </c>
      <c r="I17" s="64">
        <f t="shared" si="1"/>
        <v>93.428492305734082</v>
      </c>
      <c r="J17" s="18">
        <v>2</v>
      </c>
      <c r="M17" s="64">
        <f t="shared" si="2"/>
        <v>110.02144013573877</v>
      </c>
      <c r="N17" s="18">
        <v>1</v>
      </c>
      <c r="Q17" s="64">
        <f t="shared" si="0"/>
        <v>98.246708656674187</v>
      </c>
      <c r="R17" s="18">
        <v>2</v>
      </c>
      <c r="U17" s="64">
        <f t="shared" si="3"/>
        <v>101.34799174124942</v>
      </c>
      <c r="V17" s="18">
        <v>4</v>
      </c>
      <c r="Y17" s="114">
        <f t="shared" si="4"/>
        <v>110.77363490373656</v>
      </c>
      <c r="Z17" s="17">
        <v>2</v>
      </c>
      <c r="AC17" s="64">
        <f t="shared" si="5"/>
        <v>101.50550517487696</v>
      </c>
      <c r="AD17" s="24">
        <v>2</v>
      </c>
      <c r="AE17" s="71"/>
      <c r="AF17" s="71"/>
      <c r="AG17" s="71">
        <f t="shared" si="6"/>
        <v>101.01229126330007</v>
      </c>
      <c r="AH17" s="18">
        <v>3</v>
      </c>
      <c r="AK17" s="64">
        <f t="shared" si="7"/>
        <v>110.43726382077395</v>
      </c>
      <c r="AL17" s="18">
        <v>3</v>
      </c>
      <c r="AM17" s="71"/>
      <c r="AN17" s="71"/>
      <c r="AO17" s="71">
        <f t="shared" si="8"/>
        <v>100.85056924463234</v>
      </c>
      <c r="AP17" s="18">
        <v>2</v>
      </c>
      <c r="AQ17" s="71"/>
      <c r="AR17" s="71"/>
      <c r="AS17" s="71">
        <f t="shared" si="9"/>
        <v>99.909880620416757</v>
      </c>
      <c r="AT17" s="18">
        <v>0</v>
      </c>
      <c r="AU17" s="71"/>
      <c r="AV17" s="71"/>
      <c r="AW17" s="71">
        <f t="shared" si="10"/>
        <v>89.214252251088965</v>
      </c>
      <c r="AX17" s="18">
        <v>2</v>
      </c>
      <c r="AY17" s="71"/>
      <c r="AZ17" s="71"/>
      <c r="BA17" s="71">
        <f t="shared" si="11"/>
        <v>100.92776194547928</v>
      </c>
      <c r="BB17" s="85">
        <v>1</v>
      </c>
      <c r="BC17" s="85">
        <v>1</v>
      </c>
      <c r="BD17" s="85">
        <v>0</v>
      </c>
      <c r="BE17" s="85">
        <v>0</v>
      </c>
      <c r="BF17" s="85">
        <v>0</v>
      </c>
      <c r="BG17" s="85">
        <v>0</v>
      </c>
      <c r="BH17" s="19">
        <v>0</v>
      </c>
      <c r="BI17" s="71"/>
      <c r="BJ17" s="71"/>
      <c r="BK17" s="71">
        <f t="shared" si="12"/>
        <v>92.176238572378367</v>
      </c>
      <c r="BL17" s="18">
        <v>2</v>
      </c>
      <c r="BM17" s="71"/>
      <c r="BN17" s="71"/>
      <c r="BO17" s="71">
        <f t="shared" si="13"/>
        <v>101.95148996595998</v>
      </c>
      <c r="BP17" s="18">
        <v>2</v>
      </c>
      <c r="BQ17" s="71"/>
      <c r="BR17" s="71"/>
      <c r="BS17" s="138">
        <f t="shared" si="14"/>
        <v>113.86671101544545</v>
      </c>
      <c r="BT17" s="18">
        <v>2</v>
      </c>
      <c r="BU17" s="71"/>
      <c r="BV17" s="71"/>
      <c r="BW17" s="71">
        <f t="shared" si="15"/>
        <v>102.51956289746849</v>
      </c>
      <c r="BX17" s="85">
        <v>2</v>
      </c>
      <c r="BY17" s="18">
        <v>2</v>
      </c>
      <c r="BZ17" s="71"/>
      <c r="CA17" s="71"/>
      <c r="CB17" s="71">
        <f t="shared" si="16"/>
        <v>100.53207713448795</v>
      </c>
      <c r="CC17" s="18">
        <v>3</v>
      </c>
      <c r="CD17" s="71"/>
      <c r="CE17" s="71"/>
      <c r="CF17" s="71">
        <f t="shared" si="17"/>
        <v>109.36214907383548</v>
      </c>
      <c r="CG17" s="18">
        <v>1</v>
      </c>
      <c r="CH17" s="71"/>
      <c r="CI17" s="71"/>
      <c r="CJ17" s="138">
        <f t="shared" si="18"/>
        <v>103.93736139675698</v>
      </c>
      <c r="CK17" s="18">
        <v>2</v>
      </c>
      <c r="CL17" s="71"/>
      <c r="CM17" s="71"/>
      <c r="CN17" s="71">
        <f t="shared" si="19"/>
        <v>100.22589057499034</v>
      </c>
      <c r="CO17" s="94">
        <v>0</v>
      </c>
      <c r="CP17" s="94">
        <v>1</v>
      </c>
      <c r="CQ17" s="94">
        <v>1</v>
      </c>
      <c r="CR17" s="94">
        <v>0</v>
      </c>
      <c r="CS17" s="102">
        <f t="shared" si="20"/>
        <v>100.80409208112269</v>
      </c>
      <c r="CT17" s="102">
        <f t="shared" si="21"/>
        <v>5.739216309761594</v>
      </c>
      <c r="CU17" s="102">
        <f t="shared" si="22"/>
        <v>5.6934358430041965E-2</v>
      </c>
      <c r="CV17" s="108">
        <f t="shared" si="23"/>
        <v>100.47733348263517</v>
      </c>
      <c r="CZ17" s="109" t="str">
        <f t="shared" si="24"/>
        <v>Medio-Alto</v>
      </c>
    </row>
    <row r="18" spans="1:104" x14ac:dyDescent="0.15">
      <c r="A18" s="84">
        <v>3</v>
      </c>
      <c r="B18" s="84">
        <v>1</v>
      </c>
      <c r="C18" s="84">
        <v>1</v>
      </c>
      <c r="D18" s="84">
        <v>2</v>
      </c>
      <c r="E18" s="85">
        <v>1</v>
      </c>
      <c r="F18" s="17">
        <v>2</v>
      </c>
      <c r="I18" s="64">
        <f t="shared" si="1"/>
        <v>109.85726154139888</v>
      </c>
      <c r="J18" s="17">
        <v>1</v>
      </c>
      <c r="M18" s="64">
        <f t="shared" si="2"/>
        <v>95.705097084683388</v>
      </c>
      <c r="N18" s="17">
        <v>1</v>
      </c>
      <c r="Q18" s="64">
        <f t="shared" si="0"/>
        <v>98.246708656674187</v>
      </c>
      <c r="R18" s="17">
        <v>2</v>
      </c>
      <c r="U18" s="64">
        <f t="shared" si="3"/>
        <v>101.34799174124942</v>
      </c>
      <c r="V18" s="17">
        <v>2</v>
      </c>
      <c r="Y18" s="114">
        <f t="shared" si="4"/>
        <v>97.875621286587162</v>
      </c>
      <c r="Z18" s="17">
        <v>3</v>
      </c>
      <c r="AC18" s="64">
        <f t="shared" si="5"/>
        <v>109.50350141641081</v>
      </c>
      <c r="AD18" s="25">
        <v>0</v>
      </c>
      <c r="AE18" s="71"/>
      <c r="AF18" s="71"/>
      <c r="AG18" s="71">
        <f t="shared" si="6"/>
        <v>84.62281366701329</v>
      </c>
      <c r="AH18" s="17">
        <v>3</v>
      </c>
      <c r="AK18" s="64">
        <f t="shared" si="7"/>
        <v>110.43726382077395</v>
      </c>
      <c r="AL18" s="17">
        <v>4</v>
      </c>
      <c r="AM18" s="71"/>
      <c r="AN18" s="71"/>
      <c r="AO18" s="71">
        <f t="shared" si="8"/>
        <v>111.97339782828605</v>
      </c>
      <c r="AP18" s="17">
        <v>0</v>
      </c>
      <c r="AQ18" s="71"/>
      <c r="AR18" s="71"/>
      <c r="AS18" s="71">
        <f t="shared" si="9"/>
        <v>79.482821248216453</v>
      </c>
      <c r="AT18" s="17">
        <v>0</v>
      </c>
      <c r="AU18" s="71"/>
      <c r="AV18" s="71"/>
      <c r="AW18" s="71">
        <f t="shared" si="10"/>
        <v>89.214252251088965</v>
      </c>
      <c r="AX18" s="17">
        <v>3</v>
      </c>
      <c r="AY18" s="71"/>
      <c r="AZ18" s="71"/>
      <c r="BA18" s="71">
        <f t="shared" si="11"/>
        <v>111.80497096144313</v>
      </c>
      <c r="BB18" s="84">
        <v>0</v>
      </c>
      <c r="BC18" s="84">
        <v>1</v>
      </c>
      <c r="BD18" s="84">
        <v>1</v>
      </c>
      <c r="BE18" s="84">
        <v>0</v>
      </c>
      <c r="BF18" s="84">
        <v>0</v>
      </c>
      <c r="BG18" s="84">
        <v>0</v>
      </c>
      <c r="BH18" s="20">
        <v>0</v>
      </c>
      <c r="BI18" s="71"/>
      <c r="BJ18" s="71"/>
      <c r="BK18" s="71">
        <f t="shared" si="12"/>
        <v>92.176238572378367</v>
      </c>
      <c r="BL18" s="17">
        <v>2</v>
      </c>
      <c r="BM18" s="71"/>
      <c r="BN18" s="71"/>
      <c r="BO18" s="71">
        <f t="shared" si="13"/>
        <v>101.95148996595998</v>
      </c>
      <c r="BP18" s="17">
        <v>1</v>
      </c>
      <c r="BQ18" s="71"/>
      <c r="BR18" s="71"/>
      <c r="BS18" s="138">
        <f t="shared" si="14"/>
        <v>100.16171091563201</v>
      </c>
      <c r="BT18" s="17">
        <v>2</v>
      </c>
      <c r="BU18" s="71"/>
      <c r="BV18" s="71"/>
      <c r="BW18" s="71">
        <f t="shared" si="15"/>
        <v>102.51956289746849</v>
      </c>
      <c r="BX18" s="84">
        <v>0</v>
      </c>
      <c r="BY18" s="17">
        <v>2</v>
      </c>
      <c r="BZ18" s="71"/>
      <c r="CA18" s="71"/>
      <c r="CB18" s="71">
        <f t="shared" si="16"/>
        <v>100.53207713448795</v>
      </c>
      <c r="CC18" s="17">
        <v>3</v>
      </c>
      <c r="CD18" s="71"/>
      <c r="CE18" s="71"/>
      <c r="CF18" s="71">
        <f t="shared" si="17"/>
        <v>109.36214907383548</v>
      </c>
      <c r="CG18" s="17">
        <v>0</v>
      </c>
      <c r="CH18" s="71"/>
      <c r="CI18" s="71"/>
      <c r="CJ18" s="138">
        <f t="shared" si="18"/>
        <v>89.226340793489143</v>
      </c>
      <c r="CK18" s="17">
        <v>3</v>
      </c>
      <c r="CL18" s="71"/>
      <c r="CM18" s="71"/>
      <c r="CN18" s="71">
        <f t="shared" si="19"/>
        <v>109.82624001207998</v>
      </c>
      <c r="CO18" s="93">
        <v>1</v>
      </c>
      <c r="CP18" s="93">
        <v>0</v>
      </c>
      <c r="CQ18" s="93">
        <v>1</v>
      </c>
      <c r="CR18" s="93">
        <v>0</v>
      </c>
      <c r="CS18" s="102">
        <f t="shared" si="20"/>
        <v>101.09199046314404</v>
      </c>
      <c r="CT18" s="102">
        <f t="shared" si="21"/>
        <v>10.036821303132824</v>
      </c>
      <c r="CU18" s="102">
        <f t="shared" si="22"/>
        <v>9.9284040774645074E-2</v>
      </c>
      <c r="CV18" s="108">
        <f t="shared" si="23"/>
        <v>100.09549428763597</v>
      </c>
      <c r="CZ18" s="109" t="str">
        <f t="shared" si="24"/>
        <v>Medio-Alto</v>
      </c>
    </row>
    <row r="19" spans="1:104" x14ac:dyDescent="0.15">
      <c r="A19" s="86">
        <v>3</v>
      </c>
      <c r="B19" s="85">
        <v>1</v>
      </c>
      <c r="C19" s="85">
        <v>4</v>
      </c>
      <c r="D19" s="85">
        <v>2</v>
      </c>
      <c r="E19" s="85">
        <v>1</v>
      </c>
      <c r="F19" s="18">
        <v>1</v>
      </c>
      <c r="I19" s="64">
        <f t="shared" si="1"/>
        <v>93.428492305734082</v>
      </c>
      <c r="J19" s="18">
        <v>0</v>
      </c>
      <c r="M19" s="64">
        <f t="shared" si="2"/>
        <v>81.388754033628004</v>
      </c>
      <c r="N19" s="18">
        <v>0</v>
      </c>
      <c r="Q19" s="64">
        <f t="shared" si="0"/>
        <v>82.559365058495843</v>
      </c>
      <c r="R19" s="18">
        <v>0</v>
      </c>
      <c r="U19" s="64">
        <f t="shared" si="3"/>
        <v>81.845132506151486</v>
      </c>
      <c r="V19" s="18">
        <v>4</v>
      </c>
      <c r="Y19" s="114">
        <f t="shared" si="4"/>
        <v>110.77363490373656</v>
      </c>
      <c r="Z19" s="18">
        <v>3</v>
      </c>
      <c r="AC19" s="64">
        <f t="shared" si="5"/>
        <v>109.50350141641081</v>
      </c>
      <c r="AD19" s="24">
        <v>0</v>
      </c>
      <c r="AE19" s="71"/>
      <c r="AF19" s="71"/>
      <c r="AG19" s="71">
        <f t="shared" si="6"/>
        <v>84.62281366701329</v>
      </c>
      <c r="AH19" s="18">
        <v>0</v>
      </c>
      <c r="AK19" s="64">
        <f t="shared" si="7"/>
        <v>77.680312752498807</v>
      </c>
      <c r="AL19" s="18">
        <v>3</v>
      </c>
      <c r="AM19" s="71"/>
      <c r="AN19" s="71"/>
      <c r="AO19" s="71">
        <f t="shared" si="8"/>
        <v>100.85056924463234</v>
      </c>
      <c r="AP19" s="18">
        <v>0</v>
      </c>
      <c r="AQ19" s="71"/>
      <c r="AR19" s="71"/>
      <c r="AS19" s="71">
        <f t="shared" si="9"/>
        <v>79.482821248216453</v>
      </c>
      <c r="AT19" s="18">
        <v>0</v>
      </c>
      <c r="AU19" s="71"/>
      <c r="AV19" s="71"/>
      <c r="AW19" s="71">
        <f t="shared" si="10"/>
        <v>89.214252251088965</v>
      </c>
      <c r="AX19" s="18">
        <v>3</v>
      </c>
      <c r="AY19" s="71"/>
      <c r="AZ19" s="71"/>
      <c r="BA19" s="71">
        <f t="shared" si="11"/>
        <v>111.80497096144313</v>
      </c>
      <c r="BB19" s="85">
        <v>0</v>
      </c>
      <c r="BC19" s="85">
        <v>0</v>
      </c>
      <c r="BD19" s="85">
        <v>1</v>
      </c>
      <c r="BE19" s="85">
        <v>1</v>
      </c>
      <c r="BF19" s="85">
        <v>0</v>
      </c>
      <c r="BG19" s="85">
        <v>0</v>
      </c>
      <c r="BH19" s="19">
        <v>0</v>
      </c>
      <c r="BI19" s="71"/>
      <c r="BJ19" s="71"/>
      <c r="BK19" s="71">
        <f t="shared" si="12"/>
        <v>92.176238572378367</v>
      </c>
      <c r="BL19" s="18">
        <v>0</v>
      </c>
      <c r="BM19" s="71"/>
      <c r="BN19" s="71"/>
      <c r="BO19" s="71">
        <f t="shared" si="13"/>
        <v>83.261163531413686</v>
      </c>
      <c r="BP19" s="18">
        <v>0</v>
      </c>
      <c r="BQ19" s="71"/>
      <c r="BR19" s="71"/>
      <c r="BS19" s="138">
        <f t="shared" si="14"/>
        <v>86.456710815818582</v>
      </c>
      <c r="BT19" s="18">
        <v>1</v>
      </c>
      <c r="BU19" s="71"/>
      <c r="BV19" s="71"/>
      <c r="BW19" s="71">
        <f t="shared" si="15"/>
        <v>93.001214173698628</v>
      </c>
      <c r="BX19" s="85">
        <v>2</v>
      </c>
      <c r="BY19" s="18">
        <v>0</v>
      </c>
      <c r="BZ19" s="71"/>
      <c r="CA19" s="71"/>
      <c r="CB19" s="71">
        <f t="shared" si="16"/>
        <v>81.489316531761531</v>
      </c>
      <c r="CC19" s="18">
        <v>0</v>
      </c>
      <c r="CD19" s="71"/>
      <c r="CE19" s="71"/>
      <c r="CF19" s="71">
        <f t="shared" si="17"/>
        <v>81.842287242964616</v>
      </c>
      <c r="CG19" s="18">
        <v>1</v>
      </c>
      <c r="CH19" s="71"/>
      <c r="CI19" s="71"/>
      <c r="CJ19" s="138">
        <f t="shared" si="18"/>
        <v>103.93736139675698</v>
      </c>
      <c r="CK19" s="18">
        <v>0</v>
      </c>
      <c r="CL19" s="71"/>
      <c r="CM19" s="71"/>
      <c r="CN19" s="71">
        <f t="shared" si="19"/>
        <v>81.025191700811078</v>
      </c>
      <c r="CO19" s="94">
        <v>0</v>
      </c>
      <c r="CP19" s="94">
        <v>0</v>
      </c>
      <c r="CQ19" s="94">
        <v>1</v>
      </c>
      <c r="CR19" s="94">
        <v>0</v>
      </c>
      <c r="CS19" s="102">
        <f t="shared" si="20"/>
        <v>88.539788070490658</v>
      </c>
      <c r="CT19" s="102">
        <f t="shared" si="21"/>
        <v>10.355261870043412</v>
      </c>
      <c r="CU19" s="102">
        <f t="shared" si="22"/>
        <v>0.11695602729248804</v>
      </c>
      <c r="CV19" s="108">
        <f t="shared" si="23"/>
        <v>87.328677780597005</v>
      </c>
      <c r="CZ19" s="109" t="str">
        <f t="shared" si="24"/>
        <v>Basso</v>
      </c>
    </row>
    <row r="20" spans="1:104" x14ac:dyDescent="0.15">
      <c r="A20" s="86">
        <v>3</v>
      </c>
      <c r="B20" s="84">
        <v>1</v>
      </c>
      <c r="C20" s="84">
        <v>1</v>
      </c>
      <c r="D20" s="84">
        <v>2</v>
      </c>
      <c r="E20" s="85">
        <v>1</v>
      </c>
      <c r="F20" s="17">
        <v>1</v>
      </c>
      <c r="I20" s="64">
        <f t="shared" si="1"/>
        <v>93.428492305734082</v>
      </c>
      <c r="J20" s="17">
        <v>2</v>
      </c>
      <c r="M20" s="64">
        <f t="shared" si="2"/>
        <v>110.02144013573877</v>
      </c>
      <c r="N20" s="17">
        <v>1</v>
      </c>
      <c r="Q20" s="64">
        <f t="shared" si="0"/>
        <v>98.246708656674187</v>
      </c>
      <c r="R20" s="17">
        <v>1</v>
      </c>
      <c r="U20" s="64">
        <f t="shared" si="3"/>
        <v>91.596562123700451</v>
      </c>
      <c r="V20" s="17">
        <v>2</v>
      </c>
      <c r="Y20" s="114">
        <f t="shared" si="4"/>
        <v>97.875621286587162</v>
      </c>
      <c r="Z20" s="17">
        <v>3</v>
      </c>
      <c r="AC20" s="64">
        <f t="shared" si="5"/>
        <v>109.50350141641081</v>
      </c>
      <c r="AD20" s="25">
        <v>2</v>
      </c>
      <c r="AE20" s="71"/>
      <c r="AF20" s="71"/>
      <c r="AG20" s="71">
        <f t="shared" si="6"/>
        <v>101.01229126330007</v>
      </c>
      <c r="AH20" s="17">
        <v>3</v>
      </c>
      <c r="AK20" s="64">
        <f t="shared" si="7"/>
        <v>110.43726382077395</v>
      </c>
      <c r="AL20" s="17">
        <v>0</v>
      </c>
      <c r="AM20" s="71"/>
      <c r="AN20" s="71"/>
      <c r="AO20" s="71">
        <f t="shared" si="8"/>
        <v>67.482083493671226</v>
      </c>
      <c r="AP20" s="17">
        <v>2</v>
      </c>
      <c r="AQ20" s="71"/>
      <c r="AR20" s="71"/>
      <c r="AS20" s="71">
        <f t="shared" si="9"/>
        <v>99.909880620416757</v>
      </c>
      <c r="AT20" s="17">
        <v>2</v>
      </c>
      <c r="AU20" s="71"/>
      <c r="AV20" s="71"/>
      <c r="AW20" s="71">
        <f t="shared" si="10"/>
        <v>110.91338973410525</v>
      </c>
      <c r="AX20" s="17">
        <v>2</v>
      </c>
      <c r="AY20" s="71"/>
      <c r="AZ20" s="71"/>
      <c r="BA20" s="71">
        <f t="shared" si="11"/>
        <v>100.92776194547928</v>
      </c>
      <c r="BB20" s="84">
        <v>1</v>
      </c>
      <c r="BC20" s="84">
        <v>0</v>
      </c>
      <c r="BD20" s="84">
        <v>1</v>
      </c>
      <c r="BE20" s="84">
        <v>0</v>
      </c>
      <c r="BF20" s="84">
        <v>0</v>
      </c>
      <c r="BG20" s="84">
        <v>0</v>
      </c>
      <c r="BH20" s="20">
        <v>2</v>
      </c>
      <c r="BI20" s="71"/>
      <c r="BJ20" s="71"/>
      <c r="BK20" s="71">
        <f t="shared" si="12"/>
        <v>114.81520780975161</v>
      </c>
      <c r="BL20" s="17">
        <v>3</v>
      </c>
      <c r="BM20" s="71"/>
      <c r="BN20" s="71"/>
      <c r="BO20" s="71">
        <f t="shared" si="13"/>
        <v>111.29665318323313</v>
      </c>
      <c r="BP20" s="17">
        <v>1</v>
      </c>
      <c r="BQ20" s="71"/>
      <c r="BR20" s="71"/>
      <c r="BS20" s="138">
        <f t="shared" si="14"/>
        <v>100.16171091563201</v>
      </c>
      <c r="BT20" s="17">
        <v>2</v>
      </c>
      <c r="BU20" s="71"/>
      <c r="BV20" s="71"/>
      <c r="BW20" s="71">
        <f t="shared" si="15"/>
        <v>102.51956289746849</v>
      </c>
      <c r="BX20" s="84">
        <v>1</v>
      </c>
      <c r="BY20" s="17">
        <v>3</v>
      </c>
      <c r="BZ20" s="71"/>
      <c r="CA20" s="71"/>
      <c r="CB20" s="71">
        <f t="shared" si="16"/>
        <v>110.05345743585116</v>
      </c>
      <c r="CC20" s="17">
        <v>3</v>
      </c>
      <c r="CD20" s="71"/>
      <c r="CE20" s="71"/>
      <c r="CF20" s="71">
        <f t="shared" si="17"/>
        <v>109.36214907383548</v>
      </c>
      <c r="CG20" s="17">
        <v>1</v>
      </c>
      <c r="CH20" s="71"/>
      <c r="CI20" s="71"/>
      <c r="CJ20" s="138">
        <f t="shared" si="18"/>
        <v>103.93736139675698</v>
      </c>
      <c r="CK20" s="17">
        <v>3</v>
      </c>
      <c r="CL20" s="71"/>
      <c r="CM20" s="71"/>
      <c r="CN20" s="71">
        <f t="shared" si="19"/>
        <v>109.82624001207998</v>
      </c>
      <c r="CO20" s="93">
        <v>1</v>
      </c>
      <c r="CP20" s="93">
        <v>1</v>
      </c>
      <c r="CQ20" s="93">
        <v>0</v>
      </c>
      <c r="CR20" s="93">
        <v>0</v>
      </c>
      <c r="CS20" s="102">
        <f t="shared" si="20"/>
        <v>103.02074387813087</v>
      </c>
      <c r="CT20" s="102">
        <f t="shared" si="21"/>
        <v>11.397850545316031</v>
      </c>
      <c r="CU20" s="102">
        <f t="shared" si="22"/>
        <v>0.11063646132083069</v>
      </c>
      <c r="CV20" s="108">
        <f t="shared" si="23"/>
        <v>101.75972602713341</v>
      </c>
      <c r="CZ20" s="109" t="str">
        <f t="shared" si="24"/>
        <v>Medio-Alto</v>
      </c>
    </row>
    <row r="21" spans="1:104" x14ac:dyDescent="0.15">
      <c r="A21" s="85">
        <v>1</v>
      </c>
      <c r="B21" s="85">
        <v>1</v>
      </c>
      <c r="C21" s="85">
        <v>1</v>
      </c>
      <c r="D21" s="85">
        <v>2</v>
      </c>
      <c r="E21" s="85">
        <v>1</v>
      </c>
      <c r="F21" s="18">
        <v>1</v>
      </c>
      <c r="I21" s="64">
        <f t="shared" si="1"/>
        <v>93.428492305734082</v>
      </c>
      <c r="J21" s="18">
        <v>0</v>
      </c>
      <c r="M21" s="64">
        <f t="shared" si="2"/>
        <v>81.388754033628004</v>
      </c>
      <c r="N21" s="18">
        <v>1</v>
      </c>
      <c r="Q21" s="64">
        <f t="shared" si="0"/>
        <v>98.246708656674187</v>
      </c>
      <c r="R21" s="18">
        <v>2</v>
      </c>
      <c r="U21" s="64">
        <f t="shared" si="3"/>
        <v>101.34799174124942</v>
      </c>
      <c r="V21" s="18">
        <v>2</v>
      </c>
      <c r="Y21" s="114">
        <f t="shared" si="4"/>
        <v>97.875621286587162</v>
      </c>
      <c r="Z21" s="18">
        <v>3</v>
      </c>
      <c r="AC21" s="64">
        <f t="shared" si="5"/>
        <v>109.50350141641081</v>
      </c>
      <c r="AD21" s="24">
        <v>2</v>
      </c>
      <c r="AE21" s="71"/>
      <c r="AF21" s="71"/>
      <c r="AG21" s="71">
        <f t="shared" si="6"/>
        <v>101.01229126330007</v>
      </c>
      <c r="AH21" s="18">
        <v>2</v>
      </c>
      <c r="AK21" s="64">
        <f t="shared" si="7"/>
        <v>99.518280131348902</v>
      </c>
      <c r="AL21" s="18">
        <v>3</v>
      </c>
      <c r="AM21" s="71"/>
      <c r="AN21" s="71"/>
      <c r="AO21" s="71">
        <f t="shared" si="8"/>
        <v>100.85056924463234</v>
      </c>
      <c r="AP21" s="18">
        <v>2</v>
      </c>
      <c r="AQ21" s="71"/>
      <c r="AR21" s="71"/>
      <c r="AS21" s="71">
        <f t="shared" si="9"/>
        <v>99.909880620416757</v>
      </c>
      <c r="AT21" s="18">
        <v>2</v>
      </c>
      <c r="AU21" s="71"/>
      <c r="AV21" s="71"/>
      <c r="AW21" s="71">
        <f t="shared" si="10"/>
        <v>110.91338973410525</v>
      </c>
      <c r="AX21" s="18">
        <v>1</v>
      </c>
      <c r="AY21" s="71"/>
      <c r="AZ21" s="71"/>
      <c r="BA21" s="71">
        <f t="shared" si="11"/>
        <v>90.050552929515405</v>
      </c>
      <c r="BB21" s="85">
        <v>1</v>
      </c>
      <c r="BC21" s="85">
        <v>0</v>
      </c>
      <c r="BD21" s="85">
        <v>1</v>
      </c>
      <c r="BE21" s="85">
        <v>0</v>
      </c>
      <c r="BF21" s="85">
        <v>0</v>
      </c>
      <c r="BG21" s="85">
        <v>0</v>
      </c>
      <c r="BH21" s="19">
        <v>0</v>
      </c>
      <c r="BI21" s="71"/>
      <c r="BJ21" s="71"/>
      <c r="BK21" s="71">
        <f t="shared" si="12"/>
        <v>92.176238572378367</v>
      </c>
      <c r="BL21" s="18">
        <v>2</v>
      </c>
      <c r="BM21" s="71"/>
      <c r="BN21" s="71"/>
      <c r="BO21" s="71">
        <f t="shared" si="13"/>
        <v>101.95148996595998</v>
      </c>
      <c r="BP21" s="18">
        <v>1</v>
      </c>
      <c r="BQ21" s="71"/>
      <c r="BR21" s="71"/>
      <c r="BS21" s="138">
        <f t="shared" si="14"/>
        <v>100.16171091563201</v>
      </c>
      <c r="BT21" s="18">
        <v>1</v>
      </c>
      <c r="BU21" s="71"/>
      <c r="BV21" s="71"/>
      <c r="BW21" s="71">
        <f t="shared" si="15"/>
        <v>93.001214173698628</v>
      </c>
      <c r="BX21" s="85">
        <v>2</v>
      </c>
      <c r="BY21" s="18">
        <v>3</v>
      </c>
      <c r="BZ21" s="71"/>
      <c r="CA21" s="71"/>
      <c r="CB21" s="71">
        <f t="shared" si="16"/>
        <v>110.05345743585116</v>
      </c>
      <c r="CC21" s="18">
        <v>2</v>
      </c>
      <c r="CD21" s="71"/>
      <c r="CE21" s="71"/>
      <c r="CF21" s="71">
        <f t="shared" si="17"/>
        <v>100.18886179687853</v>
      </c>
      <c r="CG21" s="18">
        <v>0</v>
      </c>
      <c r="CH21" s="71"/>
      <c r="CI21" s="71"/>
      <c r="CJ21" s="138">
        <f t="shared" si="18"/>
        <v>89.226340793489143</v>
      </c>
      <c r="CK21" s="18">
        <v>2</v>
      </c>
      <c r="CL21" s="71"/>
      <c r="CM21" s="71"/>
      <c r="CN21" s="71">
        <f t="shared" si="19"/>
        <v>100.22589057499034</v>
      </c>
      <c r="CO21" s="94">
        <v>1</v>
      </c>
      <c r="CP21" s="94">
        <v>1</v>
      </c>
      <c r="CQ21" s="94">
        <v>0</v>
      </c>
      <c r="CR21" s="94">
        <v>0</v>
      </c>
      <c r="CS21" s="102">
        <f t="shared" si="20"/>
        <v>99.045150858633676</v>
      </c>
      <c r="CT21" s="102">
        <f t="shared" si="21"/>
        <v>7.5187869893269026</v>
      </c>
      <c r="CU21" s="102">
        <f t="shared" si="22"/>
        <v>7.5912721866196201E-2</v>
      </c>
      <c r="CV21" s="108">
        <f t="shared" si="23"/>
        <v>98.474379273141722</v>
      </c>
      <c r="CZ21" s="109" t="str">
        <f t="shared" si="24"/>
        <v>Medio-Basso</v>
      </c>
    </row>
    <row r="22" spans="1:104" x14ac:dyDescent="0.15">
      <c r="A22" s="84">
        <v>1</v>
      </c>
      <c r="B22" s="84">
        <v>1</v>
      </c>
      <c r="C22" s="84">
        <v>1</v>
      </c>
      <c r="D22" s="84">
        <v>2</v>
      </c>
      <c r="E22" s="85">
        <v>1</v>
      </c>
      <c r="F22" s="17">
        <v>2</v>
      </c>
      <c r="I22" s="64">
        <f t="shared" si="1"/>
        <v>109.85726154139888</v>
      </c>
      <c r="J22" s="17">
        <v>1</v>
      </c>
      <c r="M22" s="64">
        <f t="shared" si="2"/>
        <v>95.705097084683388</v>
      </c>
      <c r="N22" s="17">
        <v>1</v>
      </c>
      <c r="Q22" s="64">
        <f t="shared" si="0"/>
        <v>98.246708656674187</v>
      </c>
      <c r="R22" s="17">
        <v>2</v>
      </c>
      <c r="U22" s="64">
        <f t="shared" si="3"/>
        <v>101.34799174124942</v>
      </c>
      <c r="V22" s="17">
        <v>5</v>
      </c>
      <c r="Y22" s="114">
        <f t="shared" si="4"/>
        <v>117.22264171231127</v>
      </c>
      <c r="Z22" s="17">
        <v>0</v>
      </c>
      <c r="AC22" s="64">
        <f t="shared" si="5"/>
        <v>85.509512691809249</v>
      </c>
      <c r="AD22" s="25">
        <v>0</v>
      </c>
      <c r="AE22" s="71"/>
      <c r="AF22" s="71"/>
      <c r="AG22" s="71">
        <f t="shared" si="6"/>
        <v>84.62281366701329</v>
      </c>
      <c r="AH22" s="17">
        <v>2</v>
      </c>
      <c r="AK22" s="64">
        <f t="shared" si="7"/>
        <v>99.518280131348902</v>
      </c>
      <c r="AL22" s="17">
        <v>4</v>
      </c>
      <c r="AM22" s="71"/>
      <c r="AN22" s="71"/>
      <c r="AO22" s="71">
        <f t="shared" si="8"/>
        <v>111.97339782828605</v>
      </c>
      <c r="AP22" s="17">
        <v>0</v>
      </c>
      <c r="AQ22" s="71"/>
      <c r="AR22" s="71"/>
      <c r="AS22" s="71">
        <f t="shared" si="9"/>
        <v>79.482821248216453</v>
      </c>
      <c r="AT22" s="17">
        <v>2</v>
      </c>
      <c r="AU22" s="71"/>
      <c r="AV22" s="71"/>
      <c r="AW22" s="71">
        <f t="shared" si="10"/>
        <v>110.91338973410525</v>
      </c>
      <c r="AX22" s="17">
        <v>2</v>
      </c>
      <c r="AY22" s="71"/>
      <c r="AZ22" s="71"/>
      <c r="BA22" s="71">
        <f t="shared" si="11"/>
        <v>100.92776194547928</v>
      </c>
      <c r="BB22" s="84">
        <v>0</v>
      </c>
      <c r="BC22" s="84">
        <v>0</v>
      </c>
      <c r="BD22" s="84">
        <v>1</v>
      </c>
      <c r="BE22" s="84">
        <v>1</v>
      </c>
      <c r="BF22" s="84">
        <v>0</v>
      </c>
      <c r="BG22" s="84">
        <v>0</v>
      </c>
      <c r="BH22" s="20">
        <v>0</v>
      </c>
      <c r="BI22" s="71"/>
      <c r="BJ22" s="71"/>
      <c r="BK22" s="71">
        <f t="shared" si="12"/>
        <v>92.176238572378367</v>
      </c>
      <c r="BL22" s="17">
        <v>2</v>
      </c>
      <c r="BM22" s="71"/>
      <c r="BN22" s="71"/>
      <c r="BO22" s="71">
        <f t="shared" si="13"/>
        <v>101.95148996595998</v>
      </c>
      <c r="BP22" s="17">
        <v>2</v>
      </c>
      <c r="BQ22" s="71"/>
      <c r="BR22" s="71"/>
      <c r="BS22" s="138">
        <f t="shared" si="14"/>
        <v>113.86671101544545</v>
      </c>
      <c r="BT22" s="17">
        <v>0</v>
      </c>
      <c r="BU22" s="71"/>
      <c r="BV22" s="71"/>
      <c r="BW22" s="71">
        <f t="shared" si="15"/>
        <v>83.482865449928767</v>
      </c>
      <c r="BX22" s="84">
        <v>2</v>
      </c>
      <c r="BY22" s="17">
        <v>0</v>
      </c>
      <c r="BZ22" s="71"/>
      <c r="CA22" s="71"/>
      <c r="CB22" s="71">
        <f t="shared" si="16"/>
        <v>81.489316531761531</v>
      </c>
      <c r="CC22" s="17">
        <v>0</v>
      </c>
      <c r="CD22" s="71"/>
      <c r="CE22" s="71"/>
      <c r="CF22" s="71">
        <f t="shared" si="17"/>
        <v>81.842287242964616</v>
      </c>
      <c r="CG22" s="17">
        <v>0</v>
      </c>
      <c r="CH22" s="71"/>
      <c r="CI22" s="71"/>
      <c r="CJ22" s="138">
        <f t="shared" si="18"/>
        <v>89.226340793489143</v>
      </c>
      <c r="CK22" s="17">
        <v>3</v>
      </c>
      <c r="CL22" s="71"/>
      <c r="CM22" s="71"/>
      <c r="CN22" s="71">
        <f t="shared" si="19"/>
        <v>109.82624001207998</v>
      </c>
      <c r="CO22" s="93">
        <v>0</v>
      </c>
      <c r="CP22" s="93">
        <v>0</v>
      </c>
      <c r="CQ22" s="93">
        <v>0</v>
      </c>
      <c r="CR22" s="93">
        <v>1</v>
      </c>
      <c r="CS22" s="102">
        <f t="shared" si="20"/>
        <v>95.816086708549278</v>
      </c>
      <c r="CT22" s="102">
        <f t="shared" si="21"/>
        <v>11.348451826668157</v>
      </c>
      <c r="CU22" s="102">
        <f t="shared" si="22"/>
        <v>0.11843994277482406</v>
      </c>
      <c r="CV22" s="108">
        <f t="shared" si="23"/>
        <v>94.471976723615853</v>
      </c>
      <c r="CZ22" s="109" t="str">
        <f t="shared" si="24"/>
        <v>Basso</v>
      </c>
    </row>
    <row r="23" spans="1:104" x14ac:dyDescent="0.15">
      <c r="A23" s="85">
        <v>2</v>
      </c>
      <c r="B23" s="85">
        <v>1</v>
      </c>
      <c r="C23" s="85">
        <v>1</v>
      </c>
      <c r="D23" s="85">
        <v>2</v>
      </c>
      <c r="E23" s="85">
        <v>1</v>
      </c>
      <c r="F23" s="18">
        <v>1</v>
      </c>
      <c r="I23" s="64">
        <f t="shared" si="1"/>
        <v>93.428492305734082</v>
      </c>
      <c r="J23" s="18">
        <v>1</v>
      </c>
      <c r="M23" s="64">
        <f t="shared" si="2"/>
        <v>95.705097084683388</v>
      </c>
      <c r="N23" s="18">
        <v>1</v>
      </c>
      <c r="Q23" s="64">
        <f t="shared" si="0"/>
        <v>98.246708656674187</v>
      </c>
      <c r="R23" s="18">
        <v>1</v>
      </c>
      <c r="U23" s="64">
        <f t="shared" si="3"/>
        <v>91.596562123700451</v>
      </c>
      <c r="V23" s="18">
        <v>4</v>
      </c>
      <c r="Y23" s="114">
        <f t="shared" si="4"/>
        <v>110.77363490373656</v>
      </c>
      <c r="Z23" s="18">
        <v>3</v>
      </c>
      <c r="AC23" s="64">
        <f t="shared" si="5"/>
        <v>109.50350141641081</v>
      </c>
      <c r="AD23" s="24">
        <v>0</v>
      </c>
      <c r="AE23" s="71"/>
      <c r="AF23" s="71"/>
      <c r="AG23" s="71">
        <f t="shared" si="6"/>
        <v>84.62281366701329</v>
      </c>
      <c r="AH23" s="18">
        <v>2</v>
      </c>
      <c r="AK23" s="64">
        <f t="shared" si="7"/>
        <v>99.518280131348902</v>
      </c>
      <c r="AL23" s="18">
        <v>3</v>
      </c>
      <c r="AM23" s="71"/>
      <c r="AN23" s="71"/>
      <c r="AO23" s="71">
        <f t="shared" si="8"/>
        <v>100.85056924463234</v>
      </c>
      <c r="AP23" s="18">
        <v>2</v>
      </c>
      <c r="AQ23" s="71"/>
      <c r="AR23" s="71"/>
      <c r="AS23" s="71">
        <f t="shared" si="9"/>
        <v>99.909880620416757</v>
      </c>
      <c r="AT23" s="18">
        <v>0</v>
      </c>
      <c r="AU23" s="71"/>
      <c r="AV23" s="71"/>
      <c r="AW23" s="71">
        <f t="shared" si="10"/>
        <v>89.214252251088965</v>
      </c>
      <c r="AX23" s="18">
        <v>1</v>
      </c>
      <c r="AY23" s="71"/>
      <c r="AZ23" s="71"/>
      <c r="BA23" s="71">
        <f t="shared" si="11"/>
        <v>90.050552929515405</v>
      </c>
      <c r="BB23" s="85">
        <v>1</v>
      </c>
      <c r="BC23" s="85">
        <v>0</v>
      </c>
      <c r="BD23" s="85">
        <v>1</v>
      </c>
      <c r="BE23" s="85">
        <v>0</v>
      </c>
      <c r="BF23" s="85">
        <v>0</v>
      </c>
      <c r="BG23" s="85">
        <v>0</v>
      </c>
      <c r="BH23" s="19">
        <v>0</v>
      </c>
      <c r="BI23" s="71"/>
      <c r="BJ23" s="71"/>
      <c r="BK23" s="71">
        <f t="shared" si="12"/>
        <v>92.176238572378367</v>
      </c>
      <c r="BL23" s="18">
        <v>3</v>
      </c>
      <c r="BM23" s="71"/>
      <c r="BN23" s="71"/>
      <c r="BO23" s="71">
        <f t="shared" si="13"/>
        <v>111.29665318323313</v>
      </c>
      <c r="BP23" s="18">
        <v>1</v>
      </c>
      <c r="BQ23" s="71"/>
      <c r="BR23" s="71"/>
      <c r="BS23" s="138">
        <f t="shared" si="14"/>
        <v>100.16171091563201</v>
      </c>
      <c r="BT23" s="18">
        <v>1</v>
      </c>
      <c r="BU23" s="71"/>
      <c r="BV23" s="71"/>
      <c r="BW23" s="71">
        <f t="shared" si="15"/>
        <v>93.001214173698628</v>
      </c>
      <c r="BX23" s="85">
        <v>1</v>
      </c>
      <c r="BY23" s="18">
        <v>3</v>
      </c>
      <c r="BZ23" s="71"/>
      <c r="CA23" s="71"/>
      <c r="CB23" s="71">
        <f t="shared" si="16"/>
        <v>110.05345743585116</v>
      </c>
      <c r="CC23" s="18">
        <v>2</v>
      </c>
      <c r="CD23" s="71"/>
      <c r="CE23" s="71"/>
      <c r="CF23" s="71">
        <f t="shared" si="17"/>
        <v>100.18886179687853</v>
      </c>
      <c r="CG23" s="18">
        <v>0</v>
      </c>
      <c r="CH23" s="71"/>
      <c r="CI23" s="71"/>
      <c r="CJ23" s="138">
        <f t="shared" si="18"/>
        <v>89.226340793489143</v>
      </c>
      <c r="CK23" s="18">
        <v>2</v>
      </c>
      <c r="CL23" s="71"/>
      <c r="CM23" s="71"/>
      <c r="CN23" s="71">
        <f t="shared" si="19"/>
        <v>100.22589057499034</v>
      </c>
      <c r="CO23" s="94">
        <v>1</v>
      </c>
      <c r="CP23" s="94">
        <v>0</v>
      </c>
      <c r="CQ23" s="94">
        <v>0</v>
      </c>
      <c r="CR23" s="94">
        <v>0</v>
      </c>
      <c r="CS23" s="102">
        <f t="shared" si="20"/>
        <v>97.622883892249916</v>
      </c>
      <c r="CT23" s="102">
        <f t="shared" si="21"/>
        <v>7.5881912405911098</v>
      </c>
      <c r="CU23" s="102">
        <f t="shared" si="22"/>
        <v>7.7729636106289218E-2</v>
      </c>
      <c r="CV23" s="108">
        <f t="shared" si="23"/>
        <v>97.033056548413839</v>
      </c>
      <c r="CZ23" s="109" t="str">
        <f t="shared" si="24"/>
        <v>Medio-Basso</v>
      </c>
    </row>
    <row r="24" spans="1:104" x14ac:dyDescent="0.15">
      <c r="A24" s="84">
        <v>3</v>
      </c>
      <c r="B24" s="84">
        <v>2</v>
      </c>
      <c r="C24" s="84">
        <v>0</v>
      </c>
      <c r="D24" s="84">
        <v>2</v>
      </c>
      <c r="E24" s="85">
        <v>1</v>
      </c>
      <c r="F24" s="17">
        <v>1</v>
      </c>
      <c r="I24" s="64">
        <f t="shared" si="1"/>
        <v>93.428492305734082</v>
      </c>
      <c r="J24" s="17">
        <v>2</v>
      </c>
      <c r="M24" s="64">
        <f t="shared" si="2"/>
        <v>110.02144013573877</v>
      </c>
      <c r="N24" s="17">
        <v>1</v>
      </c>
      <c r="Q24" s="64">
        <f t="shared" si="0"/>
        <v>98.246708656674187</v>
      </c>
      <c r="R24" s="17">
        <v>3</v>
      </c>
      <c r="U24" s="64">
        <f t="shared" si="3"/>
        <v>111.09942135879838</v>
      </c>
      <c r="V24" s="17">
        <v>1</v>
      </c>
      <c r="Y24" s="114">
        <f t="shared" si="4"/>
        <v>91.426614478012453</v>
      </c>
      <c r="Z24" s="17">
        <v>0</v>
      </c>
      <c r="AC24" s="64">
        <f t="shared" si="5"/>
        <v>85.509512691809249</v>
      </c>
      <c r="AD24" s="25">
        <v>0</v>
      </c>
      <c r="AE24" s="71"/>
      <c r="AF24" s="71"/>
      <c r="AG24" s="71">
        <f t="shared" si="6"/>
        <v>84.62281366701329</v>
      </c>
      <c r="AH24" s="17">
        <v>2</v>
      </c>
      <c r="AK24" s="64">
        <f t="shared" si="7"/>
        <v>99.518280131348902</v>
      </c>
      <c r="AL24" s="17">
        <v>3</v>
      </c>
      <c r="AM24" s="71"/>
      <c r="AN24" s="71"/>
      <c r="AO24" s="71">
        <f t="shared" si="8"/>
        <v>100.85056924463234</v>
      </c>
      <c r="AP24" s="17">
        <v>2</v>
      </c>
      <c r="AQ24" s="71"/>
      <c r="AR24" s="71"/>
      <c r="AS24" s="71">
        <f t="shared" si="9"/>
        <v>99.909880620416757</v>
      </c>
      <c r="AT24" s="17">
        <v>0</v>
      </c>
      <c r="AU24" s="71"/>
      <c r="AV24" s="71"/>
      <c r="AW24" s="71">
        <f t="shared" si="10"/>
        <v>89.214252251088965</v>
      </c>
      <c r="AX24" s="17">
        <v>1</v>
      </c>
      <c r="AY24" s="71"/>
      <c r="AZ24" s="71"/>
      <c r="BA24" s="71">
        <f t="shared" si="11"/>
        <v>90.050552929515405</v>
      </c>
      <c r="BB24" s="84">
        <v>0</v>
      </c>
      <c r="BC24" s="84">
        <v>1</v>
      </c>
      <c r="BD24" s="84">
        <v>1</v>
      </c>
      <c r="BE24" s="84">
        <v>0</v>
      </c>
      <c r="BF24" s="84">
        <v>0</v>
      </c>
      <c r="BG24" s="84">
        <v>0</v>
      </c>
      <c r="BH24" s="20">
        <v>0</v>
      </c>
      <c r="BI24" s="71"/>
      <c r="BJ24" s="71"/>
      <c r="BK24" s="71">
        <f t="shared" si="12"/>
        <v>92.176238572378367</v>
      </c>
      <c r="BL24" s="17">
        <v>2</v>
      </c>
      <c r="BM24" s="71"/>
      <c r="BN24" s="71"/>
      <c r="BO24" s="71">
        <f t="shared" si="13"/>
        <v>101.95148996595998</v>
      </c>
      <c r="BP24" s="17">
        <v>0</v>
      </c>
      <c r="BQ24" s="71"/>
      <c r="BR24" s="71"/>
      <c r="BS24" s="138">
        <f t="shared" si="14"/>
        <v>86.456710815818582</v>
      </c>
      <c r="BT24" s="17">
        <v>2</v>
      </c>
      <c r="BU24" s="71"/>
      <c r="BV24" s="71"/>
      <c r="BW24" s="71">
        <f t="shared" si="15"/>
        <v>102.51956289746849</v>
      </c>
      <c r="BX24" s="84">
        <v>0</v>
      </c>
      <c r="BY24" s="17">
        <v>3</v>
      </c>
      <c r="BZ24" s="71"/>
      <c r="CA24" s="71"/>
      <c r="CB24" s="71">
        <f t="shared" si="16"/>
        <v>110.05345743585116</v>
      </c>
      <c r="CC24" s="17">
        <v>2</v>
      </c>
      <c r="CD24" s="71"/>
      <c r="CE24" s="71"/>
      <c r="CF24" s="71">
        <f t="shared" si="17"/>
        <v>100.18886179687853</v>
      </c>
      <c r="CG24" s="17">
        <v>1</v>
      </c>
      <c r="CH24" s="71"/>
      <c r="CI24" s="71"/>
      <c r="CJ24" s="138">
        <f t="shared" si="18"/>
        <v>103.93736139675698</v>
      </c>
      <c r="CK24" s="17">
        <v>0</v>
      </c>
      <c r="CL24" s="71"/>
      <c r="CM24" s="71"/>
      <c r="CN24" s="71">
        <f t="shared" si="19"/>
        <v>81.025191700811078</v>
      </c>
      <c r="CO24" s="93">
        <v>1</v>
      </c>
      <c r="CP24" s="93">
        <v>0</v>
      </c>
      <c r="CQ24" s="93">
        <v>0</v>
      </c>
      <c r="CR24" s="93">
        <v>0</v>
      </c>
      <c r="CS24" s="102">
        <f t="shared" si="20"/>
        <v>97.081572138948104</v>
      </c>
      <c r="CT24" s="102">
        <f t="shared" si="21"/>
        <v>9.084088961329817</v>
      </c>
      <c r="CU24" s="102">
        <f t="shared" si="22"/>
        <v>9.3571712542192917E-2</v>
      </c>
      <c r="CV24" s="108">
        <f t="shared" si="23"/>
        <v>96.231558377950847</v>
      </c>
      <c r="CZ24" s="109" t="str">
        <f t="shared" si="24"/>
        <v>Medio-Basso</v>
      </c>
    </row>
    <row r="25" spans="1:104" x14ac:dyDescent="0.15">
      <c r="A25" s="85">
        <v>2</v>
      </c>
      <c r="B25" s="85">
        <v>1</v>
      </c>
      <c r="C25" s="85">
        <v>2</v>
      </c>
      <c r="D25" s="85">
        <v>1</v>
      </c>
      <c r="E25" s="85">
        <v>1</v>
      </c>
      <c r="F25" s="18">
        <v>1</v>
      </c>
      <c r="I25" s="64">
        <f t="shared" si="1"/>
        <v>93.428492305734082</v>
      </c>
      <c r="J25" s="18">
        <v>1</v>
      </c>
      <c r="M25" s="64">
        <f t="shared" si="2"/>
        <v>95.705097084683388</v>
      </c>
      <c r="N25" s="18">
        <v>1</v>
      </c>
      <c r="Q25" s="64">
        <f t="shared" si="0"/>
        <v>98.246708656674187</v>
      </c>
      <c r="R25" s="18">
        <v>1</v>
      </c>
      <c r="U25" s="64">
        <f t="shared" si="3"/>
        <v>91.596562123700451</v>
      </c>
      <c r="V25" s="18">
        <v>2</v>
      </c>
      <c r="Y25" s="114">
        <f t="shared" si="4"/>
        <v>97.875621286587162</v>
      </c>
      <c r="Z25" s="18">
        <v>3</v>
      </c>
      <c r="AC25" s="64">
        <f t="shared" si="5"/>
        <v>109.50350141641081</v>
      </c>
      <c r="AD25" s="24">
        <v>2</v>
      </c>
      <c r="AE25" s="71"/>
      <c r="AF25" s="71"/>
      <c r="AG25" s="71">
        <f t="shared" si="6"/>
        <v>101.01229126330007</v>
      </c>
      <c r="AH25" s="18">
        <v>3</v>
      </c>
      <c r="AK25" s="64">
        <f t="shared" si="7"/>
        <v>110.43726382077395</v>
      </c>
      <c r="AL25" s="18">
        <v>1</v>
      </c>
      <c r="AM25" s="71"/>
      <c r="AN25" s="71"/>
      <c r="AO25" s="71">
        <f t="shared" si="8"/>
        <v>78.60491207732494</v>
      </c>
      <c r="AP25" s="18">
        <v>2</v>
      </c>
      <c r="AQ25" s="71"/>
      <c r="AR25" s="71"/>
      <c r="AS25" s="71">
        <f t="shared" si="9"/>
        <v>99.909880620416757</v>
      </c>
      <c r="AT25" s="18">
        <v>0</v>
      </c>
      <c r="AU25" s="71"/>
      <c r="AV25" s="71"/>
      <c r="AW25" s="71">
        <f t="shared" si="10"/>
        <v>89.214252251088965</v>
      </c>
      <c r="AX25" s="18">
        <v>0</v>
      </c>
      <c r="AY25" s="71"/>
      <c r="AZ25" s="71"/>
      <c r="BA25" s="71">
        <f t="shared" si="11"/>
        <v>79.173343913551548</v>
      </c>
      <c r="BB25" s="85">
        <v>1</v>
      </c>
      <c r="BC25" s="85">
        <v>0</v>
      </c>
      <c r="BD25" s="85">
        <v>1</v>
      </c>
      <c r="BE25" s="85">
        <v>0</v>
      </c>
      <c r="BF25" s="85">
        <v>0</v>
      </c>
      <c r="BG25" s="85">
        <v>0</v>
      </c>
      <c r="BH25" s="19">
        <v>1</v>
      </c>
      <c r="BI25" s="71"/>
      <c r="BJ25" s="71"/>
      <c r="BK25" s="71">
        <f t="shared" si="12"/>
        <v>103.49572319106498</v>
      </c>
      <c r="BL25" s="18">
        <v>2</v>
      </c>
      <c r="BM25" s="71"/>
      <c r="BN25" s="71"/>
      <c r="BO25" s="71">
        <f t="shared" si="13"/>
        <v>101.95148996595998</v>
      </c>
      <c r="BP25" s="18">
        <v>2</v>
      </c>
      <c r="BQ25" s="71"/>
      <c r="BR25" s="71"/>
      <c r="BS25" s="138">
        <f t="shared" si="14"/>
        <v>113.86671101544545</v>
      </c>
      <c r="BT25" s="18">
        <v>2</v>
      </c>
      <c r="BU25" s="71"/>
      <c r="BV25" s="71"/>
      <c r="BW25" s="71">
        <f t="shared" si="15"/>
        <v>102.51956289746849</v>
      </c>
      <c r="BX25" s="85">
        <v>0</v>
      </c>
      <c r="BY25" s="18">
        <v>2</v>
      </c>
      <c r="BZ25" s="71"/>
      <c r="CA25" s="71"/>
      <c r="CB25" s="71">
        <f t="shared" si="16"/>
        <v>100.53207713448795</v>
      </c>
      <c r="CC25" s="18">
        <v>2</v>
      </c>
      <c r="CD25" s="71"/>
      <c r="CE25" s="71"/>
      <c r="CF25" s="71">
        <f t="shared" si="17"/>
        <v>100.18886179687853</v>
      </c>
      <c r="CG25" s="18">
        <v>2</v>
      </c>
      <c r="CH25" s="71"/>
      <c r="CI25" s="71"/>
      <c r="CJ25" s="138">
        <f t="shared" si="18"/>
        <v>118.64838200002481</v>
      </c>
      <c r="CK25" s="18">
        <v>2</v>
      </c>
      <c r="CL25" s="71"/>
      <c r="CM25" s="71"/>
      <c r="CN25" s="71">
        <f t="shared" si="19"/>
        <v>100.22589057499034</v>
      </c>
      <c r="CO25" s="94">
        <v>0</v>
      </c>
      <c r="CP25" s="94">
        <v>1</v>
      </c>
      <c r="CQ25" s="94">
        <v>1</v>
      </c>
      <c r="CR25" s="94">
        <v>0</v>
      </c>
      <c r="CS25" s="102">
        <f t="shared" si="20"/>
        <v>97.396818299677022</v>
      </c>
      <c r="CT25" s="102">
        <f t="shared" si="21"/>
        <v>8.8423175582787366</v>
      </c>
      <c r="CU25" s="102">
        <f t="shared" si="22"/>
        <v>9.0786513488275405E-2</v>
      </c>
      <c r="CV25" s="108">
        <f t="shared" si="23"/>
        <v>96.594055117404736</v>
      </c>
      <c r="CZ25" s="109" t="str">
        <f t="shared" si="24"/>
        <v>Medio-Basso</v>
      </c>
    </row>
    <row r="26" spans="1:104" x14ac:dyDescent="0.15">
      <c r="A26" s="84">
        <v>4</v>
      </c>
      <c r="B26" s="84">
        <v>2</v>
      </c>
      <c r="C26" s="84">
        <v>3</v>
      </c>
      <c r="D26" s="84">
        <v>2</v>
      </c>
      <c r="E26" s="85">
        <v>1</v>
      </c>
      <c r="F26" s="17">
        <v>1</v>
      </c>
      <c r="I26" s="64">
        <f t="shared" si="1"/>
        <v>93.428492305734082</v>
      </c>
      <c r="J26" s="17">
        <v>2</v>
      </c>
      <c r="M26" s="64">
        <f t="shared" si="2"/>
        <v>110.02144013573877</v>
      </c>
      <c r="N26" s="17">
        <v>1</v>
      </c>
      <c r="Q26" s="64">
        <f t="shared" si="0"/>
        <v>98.246708656674187</v>
      </c>
      <c r="R26" s="17">
        <v>1</v>
      </c>
      <c r="U26" s="64">
        <f t="shared" si="3"/>
        <v>91.596562123700451</v>
      </c>
      <c r="V26" s="17">
        <v>5</v>
      </c>
      <c r="Y26" s="114">
        <f t="shared" si="4"/>
        <v>117.22264171231127</v>
      </c>
      <c r="Z26" s="17">
        <v>3</v>
      </c>
      <c r="AC26" s="64">
        <f t="shared" si="5"/>
        <v>109.50350141641081</v>
      </c>
      <c r="AD26" s="25">
        <v>2</v>
      </c>
      <c r="AE26" s="71"/>
      <c r="AF26" s="71"/>
      <c r="AG26" s="71">
        <f t="shared" si="6"/>
        <v>101.01229126330007</v>
      </c>
      <c r="AH26" s="17">
        <v>2</v>
      </c>
      <c r="AK26" s="64">
        <f t="shared" si="7"/>
        <v>99.518280131348902</v>
      </c>
      <c r="AL26" s="17">
        <v>4</v>
      </c>
      <c r="AM26" s="71"/>
      <c r="AN26" s="71"/>
      <c r="AO26" s="71">
        <f t="shared" si="8"/>
        <v>111.97339782828605</v>
      </c>
      <c r="AP26" s="17">
        <v>1</v>
      </c>
      <c r="AQ26" s="71"/>
      <c r="AR26" s="71"/>
      <c r="AS26" s="71">
        <f t="shared" si="9"/>
        <v>89.696350934316598</v>
      </c>
      <c r="AT26" s="17">
        <v>0</v>
      </c>
      <c r="AU26" s="71"/>
      <c r="AV26" s="71"/>
      <c r="AW26" s="71">
        <f t="shared" si="10"/>
        <v>89.214252251088965</v>
      </c>
      <c r="AX26" s="17">
        <v>3</v>
      </c>
      <c r="AY26" s="71"/>
      <c r="AZ26" s="71"/>
      <c r="BA26" s="71">
        <f t="shared" si="11"/>
        <v>111.80497096144313</v>
      </c>
      <c r="BB26" s="84">
        <v>1</v>
      </c>
      <c r="BC26" s="84">
        <v>0</v>
      </c>
      <c r="BD26" s="84">
        <v>1</v>
      </c>
      <c r="BE26" s="84">
        <v>0</v>
      </c>
      <c r="BF26" s="84">
        <v>0</v>
      </c>
      <c r="BG26" s="84">
        <v>0</v>
      </c>
      <c r="BH26" s="20">
        <v>1</v>
      </c>
      <c r="BI26" s="71"/>
      <c r="BJ26" s="71"/>
      <c r="BK26" s="71">
        <f t="shared" si="12"/>
        <v>103.49572319106498</v>
      </c>
      <c r="BL26" s="17">
        <v>2</v>
      </c>
      <c r="BM26" s="71"/>
      <c r="BN26" s="71"/>
      <c r="BO26" s="71">
        <f t="shared" si="13"/>
        <v>101.95148996595998</v>
      </c>
      <c r="BP26" s="17">
        <v>0</v>
      </c>
      <c r="BQ26" s="71"/>
      <c r="BR26" s="71"/>
      <c r="BS26" s="138">
        <f t="shared" si="14"/>
        <v>86.456710815818582</v>
      </c>
      <c r="BT26" s="17">
        <v>0</v>
      </c>
      <c r="BU26" s="71"/>
      <c r="BV26" s="71"/>
      <c r="BW26" s="71">
        <f t="shared" si="15"/>
        <v>83.482865449928767</v>
      </c>
      <c r="BX26" s="84">
        <v>0</v>
      </c>
      <c r="BY26" s="17">
        <v>0</v>
      </c>
      <c r="BZ26" s="71"/>
      <c r="CA26" s="71"/>
      <c r="CB26" s="71">
        <f t="shared" si="16"/>
        <v>81.489316531761531</v>
      </c>
      <c r="CC26" s="17">
        <v>1</v>
      </c>
      <c r="CD26" s="71"/>
      <c r="CE26" s="71"/>
      <c r="CF26" s="71">
        <f t="shared" si="17"/>
        <v>91.015574519921572</v>
      </c>
      <c r="CG26" s="17">
        <v>1</v>
      </c>
      <c r="CH26" s="71"/>
      <c r="CI26" s="71"/>
      <c r="CJ26" s="138">
        <f t="shared" si="18"/>
        <v>103.93736139675698</v>
      </c>
      <c r="CK26" s="17">
        <v>2</v>
      </c>
      <c r="CL26" s="71"/>
      <c r="CM26" s="71"/>
      <c r="CN26" s="71">
        <f t="shared" si="19"/>
        <v>100.22589057499034</v>
      </c>
      <c r="CO26" s="93">
        <v>0</v>
      </c>
      <c r="CP26" s="93">
        <v>0</v>
      </c>
      <c r="CQ26" s="93">
        <v>0</v>
      </c>
      <c r="CR26" s="93">
        <v>1</v>
      </c>
      <c r="CS26" s="102">
        <f t="shared" si="20"/>
        <v>98.098653425980544</v>
      </c>
      <c r="CT26" s="102">
        <f t="shared" si="21"/>
        <v>9.5685019495989447</v>
      </c>
      <c r="CU26" s="102">
        <f t="shared" si="22"/>
        <v>9.7539585054740544E-2</v>
      </c>
      <c r="CV26" s="108">
        <f t="shared" si="23"/>
        <v>97.165345716221182</v>
      </c>
      <c r="CZ26" s="109" t="str">
        <f t="shared" si="24"/>
        <v>Medio-Basso</v>
      </c>
    </row>
    <row r="27" spans="1:104" x14ac:dyDescent="0.15">
      <c r="A27" s="85">
        <v>2</v>
      </c>
      <c r="B27" s="85">
        <v>1</v>
      </c>
      <c r="C27" s="85">
        <v>2</v>
      </c>
      <c r="D27" s="85">
        <v>2</v>
      </c>
      <c r="E27" s="85">
        <v>1</v>
      </c>
      <c r="F27" s="18">
        <v>2</v>
      </c>
      <c r="I27" s="64">
        <f t="shared" si="1"/>
        <v>109.85726154139888</v>
      </c>
      <c r="J27" s="18">
        <v>1</v>
      </c>
      <c r="M27" s="64">
        <f t="shared" si="2"/>
        <v>95.705097084683388</v>
      </c>
      <c r="N27" s="18">
        <v>1</v>
      </c>
      <c r="Q27" s="64">
        <f t="shared" si="0"/>
        <v>98.246708656674187</v>
      </c>
      <c r="R27" s="18">
        <v>3</v>
      </c>
      <c r="U27" s="64">
        <f t="shared" si="3"/>
        <v>111.09942135879838</v>
      </c>
      <c r="V27" s="18">
        <v>2</v>
      </c>
      <c r="Y27" s="114">
        <f t="shared" si="4"/>
        <v>97.875621286587162</v>
      </c>
      <c r="Z27" s="18">
        <v>3</v>
      </c>
      <c r="AC27" s="64">
        <f t="shared" si="5"/>
        <v>109.50350141641081</v>
      </c>
      <c r="AD27" s="24">
        <v>3</v>
      </c>
      <c r="AE27" s="71"/>
      <c r="AF27" s="71"/>
      <c r="AG27" s="71">
        <f t="shared" si="6"/>
        <v>109.20703006144345</v>
      </c>
      <c r="AH27" s="18">
        <v>3</v>
      </c>
      <c r="AK27" s="64">
        <f t="shared" si="7"/>
        <v>110.43726382077395</v>
      </c>
      <c r="AL27" s="18">
        <v>1</v>
      </c>
      <c r="AM27" s="71"/>
      <c r="AN27" s="71"/>
      <c r="AO27" s="71">
        <f t="shared" si="8"/>
        <v>78.60491207732494</v>
      </c>
      <c r="AP27" s="18">
        <v>3</v>
      </c>
      <c r="AQ27" s="71"/>
      <c r="AR27" s="71"/>
      <c r="AS27" s="71">
        <f t="shared" si="9"/>
        <v>110.12341030651692</v>
      </c>
      <c r="AT27" s="18">
        <v>2</v>
      </c>
      <c r="AU27" s="71"/>
      <c r="AV27" s="71"/>
      <c r="AW27" s="71">
        <f t="shared" si="10"/>
        <v>110.91338973410525</v>
      </c>
      <c r="AX27" s="18">
        <v>3</v>
      </c>
      <c r="AY27" s="71"/>
      <c r="AZ27" s="71"/>
      <c r="BA27" s="71">
        <f t="shared" si="11"/>
        <v>111.80497096144313</v>
      </c>
      <c r="BB27" s="85">
        <v>0</v>
      </c>
      <c r="BC27" s="85">
        <v>1</v>
      </c>
      <c r="BD27" s="85">
        <v>1</v>
      </c>
      <c r="BE27" s="85">
        <v>0</v>
      </c>
      <c r="BF27" s="85">
        <v>0</v>
      </c>
      <c r="BG27" s="85">
        <v>0</v>
      </c>
      <c r="BH27" s="19">
        <v>0</v>
      </c>
      <c r="BI27" s="71"/>
      <c r="BJ27" s="71"/>
      <c r="BK27" s="71">
        <f t="shared" si="12"/>
        <v>92.176238572378367</v>
      </c>
      <c r="BL27" s="18">
        <v>2</v>
      </c>
      <c r="BM27" s="71"/>
      <c r="BN27" s="71"/>
      <c r="BO27" s="71">
        <f t="shared" si="13"/>
        <v>101.95148996595998</v>
      </c>
      <c r="BP27" s="18">
        <v>1</v>
      </c>
      <c r="BQ27" s="71"/>
      <c r="BR27" s="71"/>
      <c r="BS27" s="138">
        <f t="shared" si="14"/>
        <v>100.16171091563201</v>
      </c>
      <c r="BT27" s="18">
        <v>3</v>
      </c>
      <c r="BU27" s="71"/>
      <c r="BV27" s="71"/>
      <c r="BW27" s="71">
        <f t="shared" si="15"/>
        <v>112.03791162123835</v>
      </c>
      <c r="BX27" s="85">
        <v>0</v>
      </c>
      <c r="BY27" s="18">
        <v>2</v>
      </c>
      <c r="BZ27" s="71"/>
      <c r="CA27" s="71"/>
      <c r="CB27" s="71">
        <f t="shared" si="16"/>
        <v>100.53207713448795</v>
      </c>
      <c r="CC27" s="18">
        <v>3</v>
      </c>
      <c r="CD27" s="71"/>
      <c r="CE27" s="71"/>
      <c r="CF27" s="71">
        <f t="shared" si="17"/>
        <v>109.36214907383548</v>
      </c>
      <c r="CG27" s="18">
        <v>0</v>
      </c>
      <c r="CH27" s="71"/>
      <c r="CI27" s="71"/>
      <c r="CJ27" s="138">
        <f t="shared" si="18"/>
        <v>89.226340793489143</v>
      </c>
      <c r="CK27" s="18">
        <v>3</v>
      </c>
      <c r="CL27" s="71"/>
      <c r="CM27" s="71"/>
      <c r="CN27" s="71">
        <f t="shared" si="19"/>
        <v>109.82624001207998</v>
      </c>
      <c r="CO27" s="94">
        <v>1</v>
      </c>
      <c r="CP27" s="94">
        <v>1</v>
      </c>
      <c r="CQ27" s="94">
        <v>0</v>
      </c>
      <c r="CR27" s="94">
        <v>0</v>
      </c>
      <c r="CS27" s="102">
        <f t="shared" si="20"/>
        <v>104.78759255291493</v>
      </c>
      <c r="CT27" s="102">
        <f t="shared" si="21"/>
        <v>9.1834059650871609</v>
      </c>
      <c r="CU27" s="102">
        <f t="shared" si="22"/>
        <v>8.7638295158367976E-2</v>
      </c>
      <c r="CV27" s="108">
        <f t="shared" si="23"/>
        <v>103.9827745103875</v>
      </c>
      <c r="CZ27" s="109" t="str">
        <f t="shared" si="24"/>
        <v>Alto</v>
      </c>
    </row>
    <row r="28" spans="1:104" x14ac:dyDescent="0.15">
      <c r="A28" s="84">
        <v>3</v>
      </c>
      <c r="B28" s="84">
        <v>1</v>
      </c>
      <c r="C28" s="84">
        <v>1</v>
      </c>
      <c r="D28" s="84">
        <v>2</v>
      </c>
      <c r="E28" s="85">
        <v>1</v>
      </c>
      <c r="F28" s="17">
        <v>1</v>
      </c>
      <c r="I28" s="64">
        <f t="shared" si="1"/>
        <v>93.428492305734082</v>
      </c>
      <c r="J28" s="17">
        <v>1</v>
      </c>
      <c r="M28" s="64">
        <f t="shared" si="2"/>
        <v>95.705097084683388</v>
      </c>
      <c r="N28" s="17">
        <v>1</v>
      </c>
      <c r="Q28" s="64">
        <f t="shared" si="0"/>
        <v>98.246708656674187</v>
      </c>
      <c r="R28" s="17">
        <v>2</v>
      </c>
      <c r="U28" s="64">
        <f t="shared" si="3"/>
        <v>101.34799174124942</v>
      </c>
      <c r="V28" s="17">
        <v>5</v>
      </c>
      <c r="Y28" s="114">
        <f t="shared" si="4"/>
        <v>117.22264171231127</v>
      </c>
      <c r="Z28" s="17">
        <v>0</v>
      </c>
      <c r="AC28" s="64">
        <f t="shared" si="5"/>
        <v>85.509512691809249</v>
      </c>
      <c r="AD28" s="25">
        <v>3</v>
      </c>
      <c r="AE28" s="71"/>
      <c r="AF28" s="71"/>
      <c r="AG28" s="71">
        <f t="shared" si="6"/>
        <v>109.20703006144345</v>
      </c>
      <c r="AH28" s="17">
        <v>1</v>
      </c>
      <c r="AK28" s="64">
        <f t="shared" si="7"/>
        <v>88.599296441923855</v>
      </c>
      <c r="AL28" s="17">
        <v>3</v>
      </c>
      <c r="AM28" s="71"/>
      <c r="AN28" s="71"/>
      <c r="AO28" s="71">
        <f t="shared" si="8"/>
        <v>100.85056924463234</v>
      </c>
      <c r="AP28" s="17">
        <v>1</v>
      </c>
      <c r="AQ28" s="71"/>
      <c r="AR28" s="71"/>
      <c r="AS28" s="71">
        <f t="shared" si="9"/>
        <v>89.696350934316598</v>
      </c>
      <c r="AT28" s="17">
        <v>0</v>
      </c>
      <c r="AU28" s="71"/>
      <c r="AV28" s="71"/>
      <c r="AW28" s="71">
        <f t="shared" si="10"/>
        <v>89.214252251088965</v>
      </c>
      <c r="AX28" s="17">
        <v>3</v>
      </c>
      <c r="AY28" s="71"/>
      <c r="AZ28" s="71"/>
      <c r="BA28" s="71">
        <f t="shared" si="11"/>
        <v>111.80497096144313</v>
      </c>
      <c r="BB28" s="84">
        <v>1</v>
      </c>
      <c r="BC28" s="84">
        <v>0</v>
      </c>
      <c r="BD28" s="84">
        <v>1</v>
      </c>
      <c r="BE28" s="84">
        <v>0</v>
      </c>
      <c r="BF28" s="84">
        <v>0</v>
      </c>
      <c r="BG28" s="84">
        <v>0</v>
      </c>
      <c r="BH28" s="20">
        <v>0</v>
      </c>
      <c r="BI28" s="71"/>
      <c r="BJ28" s="71"/>
      <c r="BK28" s="71">
        <f t="shared" si="12"/>
        <v>92.176238572378367</v>
      </c>
      <c r="BL28" s="17">
        <v>2</v>
      </c>
      <c r="BM28" s="71"/>
      <c r="BN28" s="71"/>
      <c r="BO28" s="71">
        <f t="shared" si="13"/>
        <v>101.95148996595998</v>
      </c>
      <c r="BP28" s="17">
        <v>0</v>
      </c>
      <c r="BQ28" s="71"/>
      <c r="BR28" s="71"/>
      <c r="BS28" s="138">
        <f t="shared" si="14"/>
        <v>86.456710815818582</v>
      </c>
      <c r="BT28" s="17">
        <v>2</v>
      </c>
      <c r="BU28" s="71"/>
      <c r="BV28" s="71"/>
      <c r="BW28" s="71">
        <f t="shared" si="15"/>
        <v>102.51956289746849</v>
      </c>
      <c r="BX28" s="84">
        <v>2</v>
      </c>
      <c r="BY28" s="17">
        <v>3</v>
      </c>
      <c r="BZ28" s="71"/>
      <c r="CA28" s="71"/>
      <c r="CB28" s="71">
        <f t="shared" si="16"/>
        <v>110.05345743585116</v>
      </c>
      <c r="CC28" s="17">
        <v>2</v>
      </c>
      <c r="CD28" s="71"/>
      <c r="CE28" s="71"/>
      <c r="CF28" s="71">
        <f t="shared" si="17"/>
        <v>100.18886179687853</v>
      </c>
      <c r="CG28" s="17">
        <v>1</v>
      </c>
      <c r="CH28" s="71"/>
      <c r="CI28" s="71"/>
      <c r="CJ28" s="138">
        <f t="shared" si="18"/>
        <v>103.93736139675698</v>
      </c>
      <c r="CK28" s="17">
        <v>2</v>
      </c>
      <c r="CL28" s="71"/>
      <c r="CM28" s="71"/>
      <c r="CN28" s="71">
        <f t="shared" si="19"/>
        <v>100.22589057499034</v>
      </c>
      <c r="CO28" s="93">
        <v>0</v>
      </c>
      <c r="CP28" s="93">
        <v>1</v>
      </c>
      <c r="CQ28" s="93">
        <v>1</v>
      </c>
      <c r="CR28" s="93">
        <v>0</v>
      </c>
      <c r="CS28" s="102">
        <f t="shared" si="20"/>
        <v>98.277986683442691</v>
      </c>
      <c r="CT28" s="102">
        <f t="shared" si="21"/>
        <v>7.8099931039950272</v>
      </c>
      <c r="CU28" s="102">
        <f t="shared" si="22"/>
        <v>7.946838725086347E-2</v>
      </c>
      <c r="CV28" s="108">
        <f t="shared" si="23"/>
        <v>97.657339127027839</v>
      </c>
      <c r="CZ28" s="109" t="str">
        <f t="shared" si="24"/>
        <v>Medio-Basso</v>
      </c>
    </row>
    <row r="29" spans="1:104" x14ac:dyDescent="0.15">
      <c r="A29" s="85">
        <v>4</v>
      </c>
      <c r="B29" s="85">
        <v>2</v>
      </c>
      <c r="C29" s="85">
        <v>4</v>
      </c>
      <c r="D29" s="85">
        <v>2</v>
      </c>
      <c r="E29" s="85">
        <v>1</v>
      </c>
      <c r="F29" s="18">
        <v>1</v>
      </c>
      <c r="I29" s="64">
        <f t="shared" si="1"/>
        <v>93.428492305734082</v>
      </c>
      <c r="J29" s="18">
        <v>2</v>
      </c>
      <c r="M29" s="64">
        <f t="shared" si="2"/>
        <v>110.02144013573877</v>
      </c>
      <c r="N29" s="18">
        <v>1</v>
      </c>
      <c r="Q29" s="64">
        <f t="shared" si="0"/>
        <v>98.246708656674187</v>
      </c>
      <c r="R29" s="18">
        <v>1</v>
      </c>
      <c r="U29" s="64">
        <f t="shared" si="3"/>
        <v>91.596562123700451</v>
      </c>
      <c r="V29" s="18">
        <v>0</v>
      </c>
      <c r="Y29" s="114">
        <f t="shared" si="4"/>
        <v>84.977607669437745</v>
      </c>
      <c r="Z29" s="18">
        <v>2</v>
      </c>
      <c r="AC29" s="64">
        <f t="shared" si="5"/>
        <v>101.50550517487696</v>
      </c>
      <c r="AD29" s="24">
        <v>3</v>
      </c>
      <c r="AE29" s="71"/>
      <c r="AF29" s="71"/>
      <c r="AG29" s="71">
        <f t="shared" si="6"/>
        <v>109.20703006144345</v>
      </c>
      <c r="AH29" s="18">
        <v>2</v>
      </c>
      <c r="AK29" s="64">
        <f t="shared" si="7"/>
        <v>99.518280131348902</v>
      </c>
      <c r="AL29" s="18">
        <v>3</v>
      </c>
      <c r="AM29" s="71"/>
      <c r="AN29" s="71"/>
      <c r="AO29" s="71">
        <f t="shared" si="8"/>
        <v>100.85056924463234</v>
      </c>
      <c r="AP29" s="18">
        <v>2</v>
      </c>
      <c r="AQ29" s="71"/>
      <c r="AR29" s="71"/>
      <c r="AS29" s="71">
        <f t="shared" si="9"/>
        <v>99.909880620416757</v>
      </c>
      <c r="AT29" s="18">
        <v>0</v>
      </c>
      <c r="AU29" s="71"/>
      <c r="AV29" s="71"/>
      <c r="AW29" s="71">
        <f t="shared" si="10"/>
        <v>89.214252251088965</v>
      </c>
      <c r="AX29" s="18">
        <v>1</v>
      </c>
      <c r="AY29" s="71"/>
      <c r="AZ29" s="71"/>
      <c r="BA29" s="71">
        <f t="shared" si="11"/>
        <v>90.050552929515405</v>
      </c>
      <c r="BB29" s="85">
        <v>1</v>
      </c>
      <c r="BC29" s="85">
        <v>0</v>
      </c>
      <c r="BD29" s="85">
        <v>0</v>
      </c>
      <c r="BE29" s="85">
        <v>1</v>
      </c>
      <c r="BF29" s="85">
        <v>0</v>
      </c>
      <c r="BG29" s="85">
        <v>0</v>
      </c>
      <c r="BH29" s="19">
        <v>1</v>
      </c>
      <c r="BI29" s="71"/>
      <c r="BJ29" s="71"/>
      <c r="BK29" s="71">
        <f t="shared" si="12"/>
        <v>103.49572319106498</v>
      </c>
      <c r="BL29" s="18">
        <v>1</v>
      </c>
      <c r="BM29" s="71"/>
      <c r="BN29" s="71"/>
      <c r="BO29" s="71">
        <f t="shared" si="13"/>
        <v>92.606326748686826</v>
      </c>
      <c r="BP29" s="18">
        <v>1</v>
      </c>
      <c r="BQ29" s="71"/>
      <c r="BR29" s="71"/>
      <c r="BS29" s="138">
        <f t="shared" si="14"/>
        <v>100.16171091563201</v>
      </c>
      <c r="BT29" s="18">
        <v>1</v>
      </c>
      <c r="BU29" s="71"/>
      <c r="BV29" s="71"/>
      <c r="BW29" s="71">
        <f t="shared" si="15"/>
        <v>93.001214173698628</v>
      </c>
      <c r="BX29" s="85">
        <v>2</v>
      </c>
      <c r="BY29" s="18">
        <v>2</v>
      </c>
      <c r="BZ29" s="71"/>
      <c r="CA29" s="71"/>
      <c r="CB29" s="71">
        <f t="shared" si="16"/>
        <v>100.53207713448795</v>
      </c>
      <c r="CC29" s="18">
        <v>0</v>
      </c>
      <c r="CD29" s="71"/>
      <c r="CE29" s="71"/>
      <c r="CF29" s="71">
        <f t="shared" si="17"/>
        <v>81.842287242964616</v>
      </c>
      <c r="CG29" s="18">
        <v>1</v>
      </c>
      <c r="CH29" s="71"/>
      <c r="CI29" s="71"/>
      <c r="CJ29" s="138">
        <f t="shared" si="18"/>
        <v>103.93736139675698</v>
      </c>
      <c r="CK29" s="18">
        <v>0</v>
      </c>
      <c r="CL29" s="71"/>
      <c r="CM29" s="71"/>
      <c r="CN29" s="71">
        <f t="shared" si="19"/>
        <v>81.025191700811078</v>
      </c>
      <c r="CO29" s="94">
        <v>0</v>
      </c>
      <c r="CP29" s="94">
        <v>0</v>
      </c>
      <c r="CQ29" s="94">
        <v>0</v>
      </c>
      <c r="CR29" s="94">
        <v>1</v>
      </c>
      <c r="CS29" s="102">
        <f t="shared" si="20"/>
        <v>96.238358460404967</v>
      </c>
      <c r="CT29" s="102">
        <f t="shared" si="21"/>
        <v>8.2385473315135851</v>
      </c>
      <c r="CU29" s="102">
        <f t="shared" si="22"/>
        <v>8.5605651045088674E-2</v>
      </c>
      <c r="CV29" s="108">
        <f t="shared" si="23"/>
        <v>95.533092252424964</v>
      </c>
      <c r="CZ29" s="109" t="str">
        <f t="shared" si="24"/>
        <v>Basso</v>
      </c>
    </row>
    <row r="30" spans="1:104" x14ac:dyDescent="0.15">
      <c r="A30" s="84">
        <v>3</v>
      </c>
      <c r="B30" s="84">
        <v>2</v>
      </c>
      <c r="C30" s="84">
        <v>4</v>
      </c>
      <c r="D30" s="84">
        <v>2</v>
      </c>
      <c r="E30" s="85">
        <v>1</v>
      </c>
      <c r="F30" s="17">
        <v>2</v>
      </c>
      <c r="I30" s="64">
        <f t="shared" si="1"/>
        <v>109.85726154139888</v>
      </c>
      <c r="J30" s="17">
        <v>2</v>
      </c>
      <c r="M30" s="64">
        <f t="shared" si="2"/>
        <v>110.02144013573877</v>
      </c>
      <c r="N30" s="17">
        <v>1</v>
      </c>
      <c r="Q30" s="64">
        <f t="shared" si="0"/>
        <v>98.246708656674187</v>
      </c>
      <c r="R30" s="17">
        <v>3</v>
      </c>
      <c r="U30" s="64">
        <f t="shared" si="3"/>
        <v>111.09942135879838</v>
      </c>
      <c r="V30" s="17">
        <v>0</v>
      </c>
      <c r="Y30" s="114">
        <f t="shared" si="4"/>
        <v>84.977607669437745</v>
      </c>
      <c r="Z30" s="17">
        <v>2</v>
      </c>
      <c r="AC30" s="64">
        <f t="shared" si="5"/>
        <v>101.50550517487696</v>
      </c>
      <c r="AD30" s="25">
        <v>3</v>
      </c>
      <c r="AE30" s="71"/>
      <c r="AF30" s="71"/>
      <c r="AG30" s="71">
        <f t="shared" si="6"/>
        <v>109.20703006144345</v>
      </c>
      <c r="AH30" s="17">
        <v>2</v>
      </c>
      <c r="AK30" s="64">
        <f t="shared" si="7"/>
        <v>99.518280131348902</v>
      </c>
      <c r="AL30" s="17">
        <v>3</v>
      </c>
      <c r="AM30" s="71"/>
      <c r="AN30" s="71"/>
      <c r="AO30" s="71">
        <f t="shared" si="8"/>
        <v>100.85056924463234</v>
      </c>
      <c r="AP30" s="17">
        <v>3</v>
      </c>
      <c r="AQ30" s="71"/>
      <c r="AR30" s="71"/>
      <c r="AS30" s="71">
        <f t="shared" si="9"/>
        <v>110.12341030651692</v>
      </c>
      <c r="AT30" s="17">
        <v>0</v>
      </c>
      <c r="AU30" s="71"/>
      <c r="AV30" s="71"/>
      <c r="AW30" s="71">
        <f t="shared" si="10"/>
        <v>89.214252251088965</v>
      </c>
      <c r="AX30" s="17">
        <v>2</v>
      </c>
      <c r="AY30" s="71"/>
      <c r="AZ30" s="71"/>
      <c r="BA30" s="71">
        <f t="shared" si="11"/>
        <v>100.92776194547928</v>
      </c>
      <c r="BB30" s="84">
        <v>1</v>
      </c>
      <c r="BC30" s="84">
        <v>0</v>
      </c>
      <c r="BD30" s="84">
        <v>0</v>
      </c>
      <c r="BE30" s="84">
        <v>1</v>
      </c>
      <c r="BF30" s="84">
        <v>0</v>
      </c>
      <c r="BG30" s="84">
        <v>0</v>
      </c>
      <c r="BH30" s="20">
        <v>0</v>
      </c>
      <c r="BI30" s="71"/>
      <c r="BJ30" s="71"/>
      <c r="BK30" s="71">
        <f t="shared" si="12"/>
        <v>92.176238572378367</v>
      </c>
      <c r="BL30" s="17">
        <v>0</v>
      </c>
      <c r="BM30" s="71"/>
      <c r="BN30" s="71"/>
      <c r="BO30" s="71">
        <f t="shared" si="13"/>
        <v>83.261163531413686</v>
      </c>
      <c r="BP30" s="17">
        <v>2</v>
      </c>
      <c r="BQ30" s="71"/>
      <c r="BR30" s="71"/>
      <c r="BS30" s="138">
        <f t="shared" si="14"/>
        <v>113.86671101544545</v>
      </c>
      <c r="BT30" s="17">
        <v>3</v>
      </c>
      <c r="BU30" s="71"/>
      <c r="BV30" s="71"/>
      <c r="BW30" s="71">
        <f t="shared" si="15"/>
        <v>112.03791162123835</v>
      </c>
      <c r="BX30" s="84">
        <v>2</v>
      </c>
      <c r="BY30" s="17">
        <v>2</v>
      </c>
      <c r="BZ30" s="71"/>
      <c r="CA30" s="71"/>
      <c r="CB30" s="71">
        <f t="shared" si="16"/>
        <v>100.53207713448795</v>
      </c>
      <c r="CC30" s="17">
        <v>2</v>
      </c>
      <c r="CD30" s="71"/>
      <c r="CE30" s="71"/>
      <c r="CF30" s="71">
        <f t="shared" si="17"/>
        <v>100.18886179687853</v>
      </c>
      <c r="CG30" s="17">
        <v>1</v>
      </c>
      <c r="CH30" s="71"/>
      <c r="CI30" s="71"/>
      <c r="CJ30" s="138">
        <f t="shared" si="18"/>
        <v>103.93736139675698</v>
      </c>
      <c r="CK30" s="17">
        <v>3</v>
      </c>
      <c r="CL30" s="71"/>
      <c r="CM30" s="71"/>
      <c r="CN30" s="71">
        <f t="shared" si="19"/>
        <v>109.82624001207998</v>
      </c>
      <c r="CO30" s="93">
        <v>0</v>
      </c>
      <c r="CP30" s="93">
        <v>1</v>
      </c>
      <c r="CQ30" s="93">
        <v>1</v>
      </c>
      <c r="CR30" s="93">
        <v>0</v>
      </c>
      <c r="CS30" s="102">
        <f t="shared" si="20"/>
        <v>102.27024314567495</v>
      </c>
      <c r="CT30" s="102">
        <f t="shared" si="21"/>
        <v>8.3930810864744085</v>
      </c>
      <c r="CU30" s="102">
        <f t="shared" si="22"/>
        <v>8.2067675096060971E-2</v>
      </c>
      <c r="CV30" s="108">
        <f t="shared" si="23"/>
        <v>101.58144249401528</v>
      </c>
      <c r="CZ30" s="109" t="str">
        <f t="shared" si="24"/>
        <v>Medio-Alto</v>
      </c>
    </row>
    <row r="31" spans="1:104" x14ac:dyDescent="0.15">
      <c r="A31" s="85">
        <v>2</v>
      </c>
      <c r="B31" s="85">
        <v>2</v>
      </c>
      <c r="C31" s="85">
        <v>3</v>
      </c>
      <c r="D31" s="85">
        <v>2</v>
      </c>
      <c r="E31" s="85">
        <v>1</v>
      </c>
      <c r="F31" s="18">
        <v>2</v>
      </c>
      <c r="I31" s="64">
        <f t="shared" si="1"/>
        <v>109.85726154139888</v>
      </c>
      <c r="J31" s="18">
        <v>2</v>
      </c>
      <c r="M31" s="64">
        <f t="shared" si="2"/>
        <v>110.02144013573877</v>
      </c>
      <c r="N31" s="18">
        <v>2</v>
      </c>
      <c r="Q31" s="64">
        <f t="shared" si="0"/>
        <v>113.93405225485253</v>
      </c>
      <c r="R31" s="18">
        <v>0</v>
      </c>
      <c r="U31" s="64">
        <f t="shared" si="3"/>
        <v>81.845132506151486</v>
      </c>
      <c r="V31" s="18">
        <v>2</v>
      </c>
      <c r="Y31" s="114">
        <f t="shared" si="4"/>
        <v>97.875621286587162</v>
      </c>
      <c r="Z31" s="18">
        <v>3</v>
      </c>
      <c r="AC31" s="64">
        <f t="shared" si="5"/>
        <v>109.50350141641081</v>
      </c>
      <c r="AD31" s="24">
        <v>3</v>
      </c>
      <c r="AE31" s="71"/>
      <c r="AF31" s="71"/>
      <c r="AG31" s="71">
        <f t="shared" si="6"/>
        <v>109.20703006144345</v>
      </c>
      <c r="AH31" s="18">
        <v>3</v>
      </c>
      <c r="AK31" s="64">
        <f t="shared" si="7"/>
        <v>110.43726382077395</v>
      </c>
      <c r="AL31" s="18">
        <v>2</v>
      </c>
      <c r="AM31" s="71"/>
      <c r="AN31" s="71"/>
      <c r="AO31" s="71">
        <f t="shared" si="8"/>
        <v>89.72774066097864</v>
      </c>
      <c r="AP31" s="18">
        <v>2</v>
      </c>
      <c r="AQ31" s="71"/>
      <c r="AR31" s="71"/>
      <c r="AS31" s="71">
        <f t="shared" si="9"/>
        <v>99.909880620416757</v>
      </c>
      <c r="AT31" s="18">
        <v>2</v>
      </c>
      <c r="AU31" s="71"/>
      <c r="AV31" s="71"/>
      <c r="AW31" s="71">
        <f t="shared" si="10"/>
        <v>110.91338973410525</v>
      </c>
      <c r="AX31" s="18">
        <v>2</v>
      </c>
      <c r="AY31" s="71"/>
      <c r="AZ31" s="71"/>
      <c r="BA31" s="71">
        <f t="shared" si="11"/>
        <v>100.92776194547928</v>
      </c>
      <c r="BB31" s="85">
        <v>0</v>
      </c>
      <c r="BC31" s="85">
        <v>1</v>
      </c>
      <c r="BD31" s="85">
        <v>1</v>
      </c>
      <c r="BE31" s="85">
        <v>0</v>
      </c>
      <c r="BF31" s="85">
        <v>0</v>
      </c>
      <c r="BG31" s="85">
        <v>0</v>
      </c>
      <c r="BH31" s="19">
        <v>2</v>
      </c>
      <c r="BI31" s="71"/>
      <c r="BJ31" s="71"/>
      <c r="BK31" s="71">
        <f t="shared" si="12"/>
        <v>114.81520780975161</v>
      </c>
      <c r="BL31" s="18">
        <v>2</v>
      </c>
      <c r="BM31" s="71"/>
      <c r="BN31" s="71"/>
      <c r="BO31" s="71">
        <f t="shared" si="13"/>
        <v>101.95148996595998</v>
      </c>
      <c r="BP31" s="18">
        <v>1</v>
      </c>
      <c r="BQ31" s="71"/>
      <c r="BR31" s="71"/>
      <c r="BS31" s="138">
        <f t="shared" si="14"/>
        <v>100.16171091563201</v>
      </c>
      <c r="BT31" s="18">
        <v>2</v>
      </c>
      <c r="BU31" s="71"/>
      <c r="BV31" s="71"/>
      <c r="BW31" s="71">
        <f t="shared" si="15"/>
        <v>102.51956289746849</v>
      </c>
      <c r="BX31" s="85">
        <v>1</v>
      </c>
      <c r="BY31" s="18">
        <v>2</v>
      </c>
      <c r="BZ31" s="71"/>
      <c r="CA31" s="71"/>
      <c r="CB31" s="71">
        <f t="shared" si="16"/>
        <v>100.53207713448795</v>
      </c>
      <c r="CC31" s="18">
        <v>3</v>
      </c>
      <c r="CD31" s="71"/>
      <c r="CE31" s="71"/>
      <c r="CF31" s="71">
        <f t="shared" si="17"/>
        <v>109.36214907383548</v>
      </c>
      <c r="CG31" s="18">
        <v>1</v>
      </c>
      <c r="CH31" s="71"/>
      <c r="CI31" s="71"/>
      <c r="CJ31" s="138">
        <f t="shared" si="18"/>
        <v>103.93736139675698</v>
      </c>
      <c r="CK31" s="18">
        <v>3</v>
      </c>
      <c r="CL31" s="71"/>
      <c r="CM31" s="71"/>
      <c r="CN31" s="71">
        <f t="shared" si="19"/>
        <v>109.82624001207998</v>
      </c>
      <c r="CO31" s="94">
        <v>0</v>
      </c>
      <c r="CP31" s="94">
        <v>1</v>
      </c>
      <c r="CQ31" s="94">
        <v>1</v>
      </c>
      <c r="CR31" s="94">
        <v>0</v>
      </c>
      <c r="CS31" s="102">
        <f t="shared" si="20"/>
        <v>105.01712832890196</v>
      </c>
      <c r="CT31" s="102">
        <f t="shared" si="21"/>
        <v>8.7216776836442609</v>
      </c>
      <c r="CU31" s="102">
        <f t="shared" si="22"/>
        <v>8.3050049286521502E-2</v>
      </c>
      <c r="CV31" s="108">
        <f t="shared" si="23"/>
        <v>104.29279256741415</v>
      </c>
      <c r="CZ31" s="109" t="str">
        <f t="shared" si="24"/>
        <v>Alto</v>
      </c>
    </row>
    <row r="32" spans="1:104" x14ac:dyDescent="0.15">
      <c r="A32" s="84">
        <v>3</v>
      </c>
      <c r="B32" s="84">
        <v>2</v>
      </c>
      <c r="C32" s="84">
        <v>3</v>
      </c>
      <c r="D32" s="84">
        <v>2</v>
      </c>
      <c r="E32" s="85">
        <v>1</v>
      </c>
      <c r="F32" s="17">
        <v>1</v>
      </c>
      <c r="I32" s="64">
        <f t="shared" si="1"/>
        <v>93.428492305734082</v>
      </c>
      <c r="J32" s="17">
        <v>1</v>
      </c>
      <c r="M32" s="64">
        <f t="shared" si="2"/>
        <v>95.705097084683388</v>
      </c>
      <c r="N32" s="17">
        <v>1</v>
      </c>
      <c r="Q32" s="64">
        <f t="shared" si="0"/>
        <v>98.246708656674187</v>
      </c>
      <c r="R32" s="17">
        <v>0</v>
      </c>
      <c r="U32" s="64">
        <f t="shared" si="3"/>
        <v>81.845132506151486</v>
      </c>
      <c r="V32" s="17">
        <v>2</v>
      </c>
      <c r="Y32" s="114">
        <f t="shared" si="4"/>
        <v>97.875621286587162</v>
      </c>
      <c r="Z32" s="17">
        <v>0</v>
      </c>
      <c r="AC32" s="64">
        <f t="shared" si="5"/>
        <v>85.509512691809249</v>
      </c>
      <c r="AD32" s="25">
        <v>0</v>
      </c>
      <c r="AE32" s="71"/>
      <c r="AF32" s="71"/>
      <c r="AG32" s="71">
        <f t="shared" si="6"/>
        <v>84.62281366701329</v>
      </c>
      <c r="AH32" s="17">
        <v>3</v>
      </c>
      <c r="AK32" s="64">
        <f t="shared" si="7"/>
        <v>110.43726382077395</v>
      </c>
      <c r="AL32" s="17">
        <v>3</v>
      </c>
      <c r="AM32" s="71"/>
      <c r="AN32" s="71"/>
      <c r="AO32" s="71">
        <f t="shared" si="8"/>
        <v>100.85056924463234</v>
      </c>
      <c r="AP32" s="17">
        <v>2</v>
      </c>
      <c r="AQ32" s="71"/>
      <c r="AR32" s="71"/>
      <c r="AS32" s="71">
        <f t="shared" si="9"/>
        <v>99.909880620416757</v>
      </c>
      <c r="AT32" s="17">
        <v>0</v>
      </c>
      <c r="AU32" s="71"/>
      <c r="AV32" s="71"/>
      <c r="AW32" s="71">
        <f t="shared" si="10"/>
        <v>89.214252251088965</v>
      </c>
      <c r="AX32" s="17">
        <v>2</v>
      </c>
      <c r="AY32" s="71"/>
      <c r="AZ32" s="71"/>
      <c r="BA32" s="71">
        <f t="shared" si="11"/>
        <v>100.92776194547928</v>
      </c>
      <c r="BB32" s="84">
        <v>0</v>
      </c>
      <c r="BC32" s="84">
        <v>1</v>
      </c>
      <c r="BD32" s="84">
        <v>0</v>
      </c>
      <c r="BE32" s="84">
        <v>1</v>
      </c>
      <c r="BF32" s="84">
        <v>0</v>
      </c>
      <c r="BG32" s="84">
        <v>0</v>
      </c>
      <c r="BH32" s="20">
        <v>0</v>
      </c>
      <c r="BI32" s="71"/>
      <c r="BJ32" s="71"/>
      <c r="BK32" s="71">
        <f t="shared" si="12"/>
        <v>92.176238572378367</v>
      </c>
      <c r="BL32" s="17">
        <v>1</v>
      </c>
      <c r="BM32" s="71"/>
      <c r="BN32" s="71"/>
      <c r="BO32" s="71">
        <f t="shared" si="13"/>
        <v>92.606326748686826</v>
      </c>
      <c r="BP32" s="17">
        <v>0</v>
      </c>
      <c r="BQ32" s="71"/>
      <c r="BR32" s="71"/>
      <c r="BS32" s="138">
        <f t="shared" si="14"/>
        <v>86.456710815818582</v>
      </c>
      <c r="BT32" s="17">
        <v>0</v>
      </c>
      <c r="BU32" s="71"/>
      <c r="BV32" s="71"/>
      <c r="BW32" s="71">
        <f t="shared" si="15"/>
        <v>83.482865449928767</v>
      </c>
      <c r="BX32" s="84">
        <v>2</v>
      </c>
      <c r="BY32" s="17">
        <v>3</v>
      </c>
      <c r="BZ32" s="71"/>
      <c r="CA32" s="71"/>
      <c r="CB32" s="71">
        <f t="shared" si="16"/>
        <v>110.05345743585116</v>
      </c>
      <c r="CC32" s="17">
        <v>3</v>
      </c>
      <c r="CD32" s="71"/>
      <c r="CE32" s="71"/>
      <c r="CF32" s="71">
        <f t="shared" si="17"/>
        <v>109.36214907383548</v>
      </c>
      <c r="CG32" s="17">
        <v>0</v>
      </c>
      <c r="CH32" s="71"/>
      <c r="CI32" s="71"/>
      <c r="CJ32" s="138">
        <f t="shared" si="18"/>
        <v>89.226340793489143</v>
      </c>
      <c r="CK32" s="17">
        <v>2</v>
      </c>
      <c r="CL32" s="71"/>
      <c r="CM32" s="71"/>
      <c r="CN32" s="71">
        <f t="shared" si="19"/>
        <v>100.22589057499034</v>
      </c>
      <c r="CO32" s="93">
        <v>1</v>
      </c>
      <c r="CP32" s="93">
        <v>0</v>
      </c>
      <c r="CQ32" s="93">
        <v>1</v>
      </c>
      <c r="CR32" s="93">
        <v>0</v>
      </c>
      <c r="CS32" s="102">
        <f t="shared" si="20"/>
        <v>95.800259567654592</v>
      </c>
      <c r="CT32" s="102">
        <f t="shared" si="21"/>
        <v>9.1693126347438803</v>
      </c>
      <c r="CU32" s="102">
        <f t="shared" si="22"/>
        <v>9.5712816187814909E-2</v>
      </c>
      <c r="CV32" s="108">
        <f t="shared" si="23"/>
        <v>94.922638832876743</v>
      </c>
      <c r="CZ32" s="109" t="str">
        <f t="shared" si="24"/>
        <v>Basso</v>
      </c>
    </row>
    <row r="33" spans="1:104" x14ac:dyDescent="0.15">
      <c r="A33" s="85">
        <v>2</v>
      </c>
      <c r="B33" s="85">
        <v>1</v>
      </c>
      <c r="C33" s="85">
        <v>1</v>
      </c>
      <c r="D33" s="85">
        <v>2</v>
      </c>
      <c r="E33" s="85">
        <v>1</v>
      </c>
      <c r="F33" s="18">
        <v>1</v>
      </c>
      <c r="I33" s="64">
        <f t="shared" si="1"/>
        <v>93.428492305734082</v>
      </c>
      <c r="J33" s="18">
        <v>1</v>
      </c>
      <c r="M33" s="64">
        <f t="shared" si="2"/>
        <v>95.705097084683388</v>
      </c>
      <c r="N33" s="18">
        <v>2</v>
      </c>
      <c r="Q33" s="64">
        <f t="shared" si="0"/>
        <v>113.93405225485253</v>
      </c>
      <c r="R33" s="18">
        <v>3</v>
      </c>
      <c r="U33" s="64">
        <f t="shared" si="3"/>
        <v>111.09942135879838</v>
      </c>
      <c r="V33" s="18">
        <v>1</v>
      </c>
      <c r="Y33" s="114">
        <f t="shared" si="4"/>
        <v>91.426614478012453</v>
      </c>
      <c r="Z33" s="18">
        <v>0</v>
      </c>
      <c r="AC33" s="64">
        <f t="shared" si="5"/>
        <v>85.509512691809249</v>
      </c>
      <c r="AD33" s="24">
        <v>3</v>
      </c>
      <c r="AE33" s="71"/>
      <c r="AF33" s="71"/>
      <c r="AG33" s="71">
        <f t="shared" si="6"/>
        <v>109.20703006144345</v>
      </c>
      <c r="AH33" s="18">
        <v>2</v>
      </c>
      <c r="AK33" s="64">
        <f t="shared" si="7"/>
        <v>99.518280131348902</v>
      </c>
      <c r="AL33" s="18">
        <v>3</v>
      </c>
      <c r="AM33" s="71"/>
      <c r="AN33" s="71"/>
      <c r="AO33" s="71">
        <f t="shared" si="8"/>
        <v>100.85056924463234</v>
      </c>
      <c r="AP33" s="18">
        <v>3</v>
      </c>
      <c r="AQ33" s="71"/>
      <c r="AR33" s="71"/>
      <c r="AS33" s="71">
        <f t="shared" si="9"/>
        <v>110.12341030651692</v>
      </c>
      <c r="AT33" s="18">
        <v>2</v>
      </c>
      <c r="AU33" s="71"/>
      <c r="AV33" s="71"/>
      <c r="AW33" s="71">
        <f t="shared" si="10"/>
        <v>110.91338973410525</v>
      </c>
      <c r="AX33" s="18">
        <v>2</v>
      </c>
      <c r="AY33" s="71"/>
      <c r="AZ33" s="71"/>
      <c r="BA33" s="71">
        <f t="shared" si="11"/>
        <v>100.92776194547928</v>
      </c>
      <c r="BB33" s="85">
        <v>1</v>
      </c>
      <c r="BC33" s="85">
        <v>1</v>
      </c>
      <c r="BD33" s="85">
        <v>0</v>
      </c>
      <c r="BE33" s="85">
        <v>0</v>
      </c>
      <c r="BF33" s="85">
        <v>0</v>
      </c>
      <c r="BG33" s="85">
        <v>0</v>
      </c>
      <c r="BH33" s="19">
        <v>0</v>
      </c>
      <c r="BI33" s="71"/>
      <c r="BJ33" s="71"/>
      <c r="BK33" s="71">
        <f t="shared" si="12"/>
        <v>92.176238572378367</v>
      </c>
      <c r="BL33" s="18">
        <v>3</v>
      </c>
      <c r="BM33" s="71"/>
      <c r="BN33" s="71"/>
      <c r="BO33" s="71">
        <f t="shared" si="13"/>
        <v>111.29665318323313</v>
      </c>
      <c r="BP33" s="18">
        <v>1</v>
      </c>
      <c r="BQ33" s="71"/>
      <c r="BR33" s="71"/>
      <c r="BS33" s="138">
        <f t="shared" si="14"/>
        <v>100.16171091563201</v>
      </c>
      <c r="BT33" s="18">
        <v>2</v>
      </c>
      <c r="BU33" s="71"/>
      <c r="BV33" s="71"/>
      <c r="BW33" s="71">
        <f t="shared" si="15"/>
        <v>102.51956289746849</v>
      </c>
      <c r="BX33" s="85">
        <v>0</v>
      </c>
      <c r="BY33" s="18">
        <v>2</v>
      </c>
      <c r="BZ33" s="71"/>
      <c r="CA33" s="71"/>
      <c r="CB33" s="71">
        <f t="shared" si="16"/>
        <v>100.53207713448795</v>
      </c>
      <c r="CC33" s="18">
        <v>2</v>
      </c>
      <c r="CD33" s="71"/>
      <c r="CE33" s="71"/>
      <c r="CF33" s="71">
        <f t="shared" si="17"/>
        <v>100.18886179687853</v>
      </c>
      <c r="CG33" s="18">
        <v>1</v>
      </c>
      <c r="CH33" s="71"/>
      <c r="CI33" s="71"/>
      <c r="CJ33" s="138">
        <f t="shared" si="18"/>
        <v>103.93736139675698</v>
      </c>
      <c r="CK33" s="18">
        <v>2</v>
      </c>
      <c r="CL33" s="71"/>
      <c r="CM33" s="71"/>
      <c r="CN33" s="71">
        <f t="shared" si="19"/>
        <v>100.22589057499034</v>
      </c>
      <c r="CO33" s="94">
        <v>0</v>
      </c>
      <c r="CP33" s="94">
        <v>1</v>
      </c>
      <c r="CQ33" s="94">
        <v>1</v>
      </c>
      <c r="CR33" s="94">
        <v>0</v>
      </c>
      <c r="CS33" s="102">
        <f t="shared" si="20"/>
        <v>102.24448831052003</v>
      </c>
      <c r="CT33" s="102">
        <f t="shared" si="21"/>
        <v>7.933447842044167</v>
      </c>
      <c r="CU33" s="102">
        <f t="shared" si="22"/>
        <v>7.7592914524155204E-2</v>
      </c>
      <c r="CV33" s="108">
        <f t="shared" si="23"/>
        <v>101.62890897023046</v>
      </c>
      <c r="CZ33" s="109" t="str">
        <f t="shared" si="24"/>
        <v>Medio-Alto</v>
      </c>
    </row>
    <row r="34" spans="1:104" x14ac:dyDescent="0.15">
      <c r="A34" s="84">
        <v>3</v>
      </c>
      <c r="B34" s="84">
        <v>1</v>
      </c>
      <c r="C34" s="84">
        <v>1</v>
      </c>
      <c r="D34" s="84">
        <v>2</v>
      </c>
      <c r="E34" s="85">
        <v>1</v>
      </c>
      <c r="F34" s="17">
        <v>0</v>
      </c>
      <c r="I34" s="64">
        <f t="shared" si="1"/>
        <v>76.99972307006928</v>
      </c>
      <c r="J34" s="17">
        <v>1</v>
      </c>
      <c r="M34" s="64">
        <f t="shared" si="2"/>
        <v>95.705097084683388</v>
      </c>
      <c r="N34" s="17">
        <v>1</v>
      </c>
      <c r="Q34" s="64">
        <f t="shared" si="0"/>
        <v>98.246708656674187</v>
      </c>
      <c r="R34" s="17">
        <v>2</v>
      </c>
      <c r="U34" s="64">
        <f t="shared" si="3"/>
        <v>101.34799174124942</v>
      </c>
      <c r="V34" s="17">
        <v>0</v>
      </c>
      <c r="Y34" s="114">
        <f t="shared" si="4"/>
        <v>84.977607669437745</v>
      </c>
      <c r="Z34" s="17">
        <v>3</v>
      </c>
      <c r="AC34" s="64">
        <f t="shared" si="5"/>
        <v>109.50350141641081</v>
      </c>
      <c r="AD34" s="25">
        <v>2</v>
      </c>
      <c r="AE34" s="71"/>
      <c r="AF34" s="71"/>
      <c r="AG34" s="71">
        <f t="shared" si="6"/>
        <v>101.01229126330007</v>
      </c>
      <c r="AH34" s="17">
        <v>2</v>
      </c>
      <c r="AK34" s="64">
        <f t="shared" si="7"/>
        <v>99.518280131348902</v>
      </c>
      <c r="AL34" s="17">
        <v>3</v>
      </c>
      <c r="AM34" s="71"/>
      <c r="AN34" s="71"/>
      <c r="AO34" s="71">
        <f t="shared" si="8"/>
        <v>100.85056924463234</v>
      </c>
      <c r="AP34" s="17">
        <v>2</v>
      </c>
      <c r="AQ34" s="71"/>
      <c r="AR34" s="71"/>
      <c r="AS34" s="71">
        <f t="shared" si="9"/>
        <v>99.909880620416757</v>
      </c>
      <c r="AT34" s="17">
        <v>1</v>
      </c>
      <c r="AU34" s="71"/>
      <c r="AV34" s="71"/>
      <c r="AW34" s="71">
        <f t="shared" si="10"/>
        <v>100.0638209925971</v>
      </c>
      <c r="AX34" s="17">
        <v>1</v>
      </c>
      <c r="AY34" s="71"/>
      <c r="AZ34" s="71"/>
      <c r="BA34" s="71">
        <f t="shared" si="11"/>
        <v>90.050552929515405</v>
      </c>
      <c r="BB34" s="84">
        <v>1</v>
      </c>
      <c r="BC34" s="84">
        <v>0</v>
      </c>
      <c r="BD34" s="84">
        <v>1</v>
      </c>
      <c r="BE34" s="84">
        <v>0</v>
      </c>
      <c r="BF34" s="84">
        <v>0</v>
      </c>
      <c r="BG34" s="84">
        <v>0</v>
      </c>
      <c r="BH34" s="20">
        <v>0</v>
      </c>
      <c r="BI34" s="71"/>
      <c r="BJ34" s="71"/>
      <c r="BK34" s="71">
        <f t="shared" si="12"/>
        <v>92.176238572378367</v>
      </c>
      <c r="BL34" s="17">
        <v>1</v>
      </c>
      <c r="BM34" s="71"/>
      <c r="BN34" s="71"/>
      <c r="BO34" s="71">
        <f t="shared" si="13"/>
        <v>92.606326748686826</v>
      </c>
      <c r="BP34" s="17">
        <v>0</v>
      </c>
      <c r="BQ34" s="71"/>
      <c r="BR34" s="71"/>
      <c r="BS34" s="138">
        <f t="shared" si="14"/>
        <v>86.456710815818582</v>
      </c>
      <c r="BT34" s="17">
        <v>1</v>
      </c>
      <c r="BU34" s="71"/>
      <c r="BV34" s="71"/>
      <c r="BW34" s="71">
        <f t="shared" si="15"/>
        <v>93.001214173698628</v>
      </c>
      <c r="BX34" s="84">
        <v>2</v>
      </c>
      <c r="BY34" s="17">
        <v>3</v>
      </c>
      <c r="BZ34" s="71"/>
      <c r="CA34" s="71"/>
      <c r="CB34" s="71">
        <f t="shared" si="16"/>
        <v>110.05345743585116</v>
      </c>
      <c r="CC34" s="17">
        <v>2</v>
      </c>
      <c r="CD34" s="71"/>
      <c r="CE34" s="71"/>
      <c r="CF34" s="71">
        <f t="shared" si="17"/>
        <v>100.18886179687853</v>
      </c>
      <c r="CG34" s="17">
        <v>0</v>
      </c>
      <c r="CH34" s="71"/>
      <c r="CI34" s="71"/>
      <c r="CJ34" s="138">
        <f t="shared" si="18"/>
        <v>89.226340793489143</v>
      </c>
      <c r="CK34" s="17">
        <v>0</v>
      </c>
      <c r="CL34" s="71"/>
      <c r="CM34" s="71"/>
      <c r="CN34" s="71">
        <f t="shared" si="19"/>
        <v>81.025191700811078</v>
      </c>
      <c r="CO34" s="93">
        <v>0</v>
      </c>
      <c r="CP34" s="93">
        <v>0</v>
      </c>
      <c r="CQ34" s="93">
        <v>1</v>
      </c>
      <c r="CR34" s="93">
        <v>0</v>
      </c>
      <c r="CS34" s="102">
        <f t="shared" si="20"/>
        <v>96.603512210541297</v>
      </c>
      <c r="CT34" s="102">
        <f t="shared" si="21"/>
        <v>8.5642717354299673</v>
      </c>
      <c r="CU34" s="102">
        <f t="shared" si="22"/>
        <v>8.8653834001031703E-2</v>
      </c>
      <c r="CV34" s="108">
        <f t="shared" si="23"/>
        <v>95.844256685768755</v>
      </c>
      <c r="CZ34" s="109" t="str">
        <f t="shared" si="24"/>
        <v>Basso</v>
      </c>
    </row>
    <row r="35" spans="1:104" x14ac:dyDescent="0.15">
      <c r="A35" s="85">
        <v>2</v>
      </c>
      <c r="B35" s="85">
        <v>1</v>
      </c>
      <c r="C35" s="85">
        <v>1</v>
      </c>
      <c r="D35" s="85">
        <v>2</v>
      </c>
      <c r="E35" s="85">
        <v>1</v>
      </c>
      <c r="F35" s="18">
        <v>1</v>
      </c>
      <c r="I35" s="64">
        <f t="shared" si="1"/>
        <v>93.428492305734082</v>
      </c>
      <c r="J35" s="18">
        <v>1</v>
      </c>
      <c r="M35" s="64">
        <f t="shared" si="2"/>
        <v>95.705097084683388</v>
      </c>
      <c r="N35" s="18">
        <v>1</v>
      </c>
      <c r="Q35" s="64">
        <f t="shared" si="0"/>
        <v>98.246708656674187</v>
      </c>
      <c r="R35" s="18">
        <v>2</v>
      </c>
      <c r="U35" s="64">
        <f t="shared" si="3"/>
        <v>101.34799174124942</v>
      </c>
      <c r="V35" s="18">
        <v>2</v>
      </c>
      <c r="Y35" s="114">
        <f t="shared" si="4"/>
        <v>97.875621286587162</v>
      </c>
      <c r="Z35" s="18">
        <v>3</v>
      </c>
      <c r="AC35" s="64">
        <f t="shared" si="5"/>
        <v>109.50350141641081</v>
      </c>
      <c r="AD35" s="24">
        <v>2</v>
      </c>
      <c r="AE35" s="71"/>
      <c r="AF35" s="71"/>
      <c r="AG35" s="71">
        <f t="shared" si="6"/>
        <v>101.01229126330007</v>
      </c>
      <c r="AH35" s="18">
        <v>2</v>
      </c>
      <c r="AK35" s="64">
        <f t="shared" si="7"/>
        <v>99.518280131348902</v>
      </c>
      <c r="AL35" s="18">
        <v>3</v>
      </c>
      <c r="AM35" s="71"/>
      <c r="AN35" s="71"/>
      <c r="AO35" s="71">
        <f t="shared" si="8"/>
        <v>100.85056924463234</v>
      </c>
      <c r="AP35" s="18">
        <v>2</v>
      </c>
      <c r="AQ35" s="71"/>
      <c r="AR35" s="71"/>
      <c r="AS35" s="71">
        <f t="shared" si="9"/>
        <v>99.909880620416757</v>
      </c>
      <c r="AT35" s="18">
        <v>0</v>
      </c>
      <c r="AU35" s="71"/>
      <c r="AV35" s="71"/>
      <c r="AW35" s="71">
        <f t="shared" si="10"/>
        <v>89.214252251088965</v>
      </c>
      <c r="AX35" s="18">
        <v>2</v>
      </c>
      <c r="AY35" s="71"/>
      <c r="AZ35" s="71"/>
      <c r="BA35" s="71">
        <f t="shared" si="11"/>
        <v>100.92776194547928</v>
      </c>
      <c r="BB35" s="85">
        <v>1</v>
      </c>
      <c r="BC35" s="85">
        <v>0</v>
      </c>
      <c r="BD35" s="85">
        <v>1</v>
      </c>
      <c r="BE35" s="85">
        <v>0</v>
      </c>
      <c r="BF35" s="85">
        <v>0</v>
      </c>
      <c r="BG35" s="85">
        <v>0</v>
      </c>
      <c r="BH35" s="19">
        <v>0</v>
      </c>
      <c r="BI35" s="71"/>
      <c r="BJ35" s="71"/>
      <c r="BK35" s="71">
        <f t="shared" si="12"/>
        <v>92.176238572378367</v>
      </c>
      <c r="BL35" s="18">
        <v>1</v>
      </c>
      <c r="BM35" s="71"/>
      <c r="BN35" s="71"/>
      <c r="BO35" s="71">
        <f t="shared" si="13"/>
        <v>92.606326748686826</v>
      </c>
      <c r="BP35" s="18">
        <v>1</v>
      </c>
      <c r="BQ35" s="71"/>
      <c r="BR35" s="71"/>
      <c r="BS35" s="138">
        <f t="shared" si="14"/>
        <v>100.16171091563201</v>
      </c>
      <c r="BT35" s="18">
        <v>2</v>
      </c>
      <c r="BU35" s="71"/>
      <c r="BV35" s="71"/>
      <c r="BW35" s="71">
        <f t="shared" si="15"/>
        <v>102.51956289746849</v>
      </c>
      <c r="BX35" s="85">
        <v>2</v>
      </c>
      <c r="BY35" s="18">
        <v>3</v>
      </c>
      <c r="BZ35" s="71"/>
      <c r="CA35" s="71"/>
      <c r="CB35" s="71">
        <f t="shared" si="16"/>
        <v>110.05345743585116</v>
      </c>
      <c r="CC35" s="18">
        <v>2</v>
      </c>
      <c r="CD35" s="71"/>
      <c r="CE35" s="71"/>
      <c r="CF35" s="71">
        <f t="shared" si="17"/>
        <v>100.18886179687853</v>
      </c>
      <c r="CG35" s="18">
        <v>0</v>
      </c>
      <c r="CH35" s="71"/>
      <c r="CI35" s="71"/>
      <c r="CJ35" s="138">
        <f t="shared" si="18"/>
        <v>89.226340793489143</v>
      </c>
      <c r="CK35" s="18">
        <v>2</v>
      </c>
      <c r="CL35" s="71"/>
      <c r="CM35" s="71"/>
      <c r="CN35" s="71">
        <f t="shared" si="19"/>
        <v>100.22589057499034</v>
      </c>
      <c r="CO35" s="94">
        <v>0</v>
      </c>
      <c r="CP35" s="94">
        <v>1</v>
      </c>
      <c r="CQ35" s="94">
        <v>1</v>
      </c>
      <c r="CR35" s="94">
        <v>0</v>
      </c>
      <c r="CS35" s="102">
        <f t="shared" si="20"/>
        <v>99.260892040427763</v>
      </c>
      <c r="CT35" s="102">
        <f t="shared" si="21"/>
        <v>5.5346511065932429</v>
      </c>
      <c r="CU35" s="102">
        <f t="shared" si="22"/>
        <v>5.5758627520081587E-2</v>
      </c>
      <c r="CV35" s="108">
        <f t="shared" si="23"/>
        <v>98.95228749092162</v>
      </c>
      <c r="CZ35" s="109" t="str">
        <f t="shared" si="24"/>
        <v>Medio-Basso</v>
      </c>
    </row>
    <row r="36" spans="1:104" x14ac:dyDescent="0.15">
      <c r="A36" s="84">
        <v>3</v>
      </c>
      <c r="B36" s="84">
        <v>1</v>
      </c>
      <c r="C36" s="84">
        <v>2</v>
      </c>
      <c r="D36" s="84">
        <v>2</v>
      </c>
      <c r="E36" s="85">
        <v>1</v>
      </c>
      <c r="F36" s="17">
        <v>2</v>
      </c>
      <c r="I36" s="64">
        <f t="shared" si="1"/>
        <v>109.85726154139888</v>
      </c>
      <c r="J36" s="17">
        <v>2</v>
      </c>
      <c r="M36" s="64">
        <f t="shared" si="2"/>
        <v>110.02144013573877</v>
      </c>
      <c r="N36" s="17">
        <v>2</v>
      </c>
      <c r="Q36" s="64">
        <f t="shared" si="0"/>
        <v>113.93405225485253</v>
      </c>
      <c r="R36" s="17">
        <v>3</v>
      </c>
      <c r="U36" s="64">
        <f t="shared" si="3"/>
        <v>111.09942135879838</v>
      </c>
      <c r="V36" s="17">
        <v>2</v>
      </c>
      <c r="Y36" s="114">
        <f t="shared" si="4"/>
        <v>97.875621286587162</v>
      </c>
      <c r="Z36" s="17">
        <v>0</v>
      </c>
      <c r="AC36" s="64">
        <f t="shared" si="5"/>
        <v>85.509512691809249</v>
      </c>
      <c r="AD36" s="25">
        <v>3</v>
      </c>
      <c r="AE36" s="71"/>
      <c r="AF36" s="71"/>
      <c r="AG36" s="71">
        <f t="shared" si="6"/>
        <v>109.20703006144345</v>
      </c>
      <c r="AH36" s="17">
        <v>3</v>
      </c>
      <c r="AK36" s="64">
        <f t="shared" si="7"/>
        <v>110.43726382077395</v>
      </c>
      <c r="AL36" s="17">
        <v>3</v>
      </c>
      <c r="AM36" s="71"/>
      <c r="AN36" s="71"/>
      <c r="AO36" s="71">
        <f t="shared" si="8"/>
        <v>100.85056924463234</v>
      </c>
      <c r="AP36" s="17">
        <v>2</v>
      </c>
      <c r="AQ36" s="71"/>
      <c r="AR36" s="71"/>
      <c r="AS36" s="71">
        <f t="shared" si="9"/>
        <v>99.909880620416757</v>
      </c>
      <c r="AT36" s="17">
        <v>1</v>
      </c>
      <c r="AU36" s="71"/>
      <c r="AV36" s="71"/>
      <c r="AW36" s="71">
        <f t="shared" si="10"/>
        <v>100.0638209925971</v>
      </c>
      <c r="AX36" s="17">
        <v>1</v>
      </c>
      <c r="AY36" s="71"/>
      <c r="AZ36" s="71"/>
      <c r="BA36" s="71">
        <f t="shared" si="11"/>
        <v>90.050552929515405</v>
      </c>
      <c r="BB36" s="84">
        <v>1</v>
      </c>
      <c r="BC36" s="84">
        <v>0</v>
      </c>
      <c r="BD36" s="84">
        <v>0</v>
      </c>
      <c r="BE36" s="84">
        <v>1</v>
      </c>
      <c r="BF36" s="84">
        <v>0</v>
      </c>
      <c r="BG36" s="84">
        <v>0</v>
      </c>
      <c r="BH36" s="20">
        <v>0</v>
      </c>
      <c r="BI36" s="71"/>
      <c r="BJ36" s="71"/>
      <c r="BK36" s="71">
        <f t="shared" si="12"/>
        <v>92.176238572378367</v>
      </c>
      <c r="BL36" s="17">
        <v>3</v>
      </c>
      <c r="BM36" s="71"/>
      <c r="BN36" s="71"/>
      <c r="BO36" s="71">
        <f t="shared" si="13"/>
        <v>111.29665318323313</v>
      </c>
      <c r="BP36" s="17">
        <v>2</v>
      </c>
      <c r="BQ36" s="71"/>
      <c r="BR36" s="71"/>
      <c r="BS36" s="138">
        <f t="shared" si="14"/>
        <v>113.86671101544545</v>
      </c>
      <c r="BT36" s="17">
        <v>3</v>
      </c>
      <c r="BU36" s="71"/>
      <c r="BV36" s="71"/>
      <c r="BW36" s="71">
        <f t="shared" si="15"/>
        <v>112.03791162123835</v>
      </c>
      <c r="BX36" s="84">
        <v>0</v>
      </c>
      <c r="BY36" s="17">
        <v>3</v>
      </c>
      <c r="BZ36" s="71"/>
      <c r="CA36" s="71"/>
      <c r="CB36" s="71">
        <f t="shared" si="16"/>
        <v>110.05345743585116</v>
      </c>
      <c r="CC36" s="17">
        <v>2</v>
      </c>
      <c r="CD36" s="71"/>
      <c r="CE36" s="71"/>
      <c r="CF36" s="71">
        <f t="shared" si="17"/>
        <v>100.18886179687853</v>
      </c>
      <c r="CG36" s="17">
        <v>0</v>
      </c>
      <c r="CH36" s="71"/>
      <c r="CI36" s="71"/>
      <c r="CJ36" s="138">
        <f t="shared" si="18"/>
        <v>89.226340793489143</v>
      </c>
      <c r="CK36" s="17">
        <v>2</v>
      </c>
      <c r="CL36" s="71"/>
      <c r="CM36" s="71"/>
      <c r="CN36" s="71">
        <f t="shared" si="19"/>
        <v>100.22589057499034</v>
      </c>
      <c r="CO36" s="93">
        <v>0</v>
      </c>
      <c r="CP36" s="93">
        <v>1</v>
      </c>
      <c r="CQ36" s="93">
        <v>1</v>
      </c>
      <c r="CR36" s="93">
        <v>0</v>
      </c>
      <c r="CS36" s="102">
        <f t="shared" si="20"/>
        <v>103.93645993156157</v>
      </c>
      <c r="CT36" s="102">
        <f t="shared" si="21"/>
        <v>8.623461976756273</v>
      </c>
      <c r="CU36" s="102">
        <f t="shared" si="22"/>
        <v>8.2968594297270784E-2</v>
      </c>
      <c r="CV36" s="108">
        <f t="shared" si="23"/>
        <v>103.22098341337414</v>
      </c>
      <c r="CZ36" s="109" t="str">
        <f t="shared" si="24"/>
        <v>Medio-Alto</v>
      </c>
    </row>
    <row r="37" spans="1:104" x14ac:dyDescent="0.15">
      <c r="A37" s="85">
        <v>1</v>
      </c>
      <c r="B37" s="85">
        <v>1</v>
      </c>
      <c r="C37" s="85">
        <v>1</v>
      </c>
      <c r="D37" s="85">
        <v>2</v>
      </c>
      <c r="E37" s="85">
        <v>1</v>
      </c>
      <c r="F37" s="18">
        <v>1</v>
      </c>
      <c r="I37" s="64">
        <f t="shared" si="1"/>
        <v>93.428492305734082</v>
      </c>
      <c r="J37" s="18">
        <v>1</v>
      </c>
      <c r="M37" s="64">
        <f t="shared" si="2"/>
        <v>95.705097084683388</v>
      </c>
      <c r="N37" s="18">
        <v>1</v>
      </c>
      <c r="Q37" s="64">
        <f t="shared" si="0"/>
        <v>98.246708656674187</v>
      </c>
      <c r="R37" s="18">
        <v>2</v>
      </c>
      <c r="U37" s="64">
        <f t="shared" si="3"/>
        <v>101.34799174124942</v>
      </c>
      <c r="V37" s="18">
        <v>0</v>
      </c>
      <c r="Y37" s="114">
        <f t="shared" si="4"/>
        <v>84.977607669437745</v>
      </c>
      <c r="Z37" s="18">
        <v>3</v>
      </c>
      <c r="AC37" s="64">
        <f t="shared" si="5"/>
        <v>109.50350141641081</v>
      </c>
      <c r="AD37" s="24">
        <v>0</v>
      </c>
      <c r="AE37" s="71"/>
      <c r="AF37" s="71"/>
      <c r="AG37" s="71">
        <f t="shared" si="6"/>
        <v>84.62281366701329</v>
      </c>
      <c r="AH37" s="18">
        <v>2</v>
      </c>
      <c r="AK37" s="64">
        <f t="shared" si="7"/>
        <v>99.518280131348902</v>
      </c>
      <c r="AL37" s="18">
        <v>3</v>
      </c>
      <c r="AM37" s="71"/>
      <c r="AN37" s="71"/>
      <c r="AO37" s="71">
        <f t="shared" si="8"/>
        <v>100.85056924463234</v>
      </c>
      <c r="AP37" s="18">
        <v>2</v>
      </c>
      <c r="AQ37" s="71"/>
      <c r="AR37" s="71"/>
      <c r="AS37" s="71">
        <f t="shared" si="9"/>
        <v>99.909880620416757</v>
      </c>
      <c r="AT37" s="18">
        <v>2</v>
      </c>
      <c r="AU37" s="71"/>
      <c r="AV37" s="71"/>
      <c r="AW37" s="71">
        <f t="shared" si="10"/>
        <v>110.91338973410525</v>
      </c>
      <c r="AX37" s="18">
        <v>3</v>
      </c>
      <c r="AY37" s="71"/>
      <c r="AZ37" s="71"/>
      <c r="BA37" s="71">
        <f t="shared" si="11"/>
        <v>111.80497096144313</v>
      </c>
      <c r="BB37" s="85">
        <v>1</v>
      </c>
      <c r="BC37" s="85">
        <v>0</v>
      </c>
      <c r="BD37" s="85">
        <v>1</v>
      </c>
      <c r="BE37" s="85">
        <v>0</v>
      </c>
      <c r="BF37" s="85">
        <v>0</v>
      </c>
      <c r="BG37" s="85">
        <v>0</v>
      </c>
      <c r="BH37" s="19">
        <v>0</v>
      </c>
      <c r="BI37" s="71"/>
      <c r="BJ37" s="71"/>
      <c r="BK37" s="71">
        <f t="shared" si="12"/>
        <v>92.176238572378367</v>
      </c>
      <c r="BL37" s="18">
        <v>3</v>
      </c>
      <c r="BM37" s="71"/>
      <c r="BN37" s="71"/>
      <c r="BO37" s="71">
        <f t="shared" si="13"/>
        <v>111.29665318323313</v>
      </c>
      <c r="BP37" s="18">
        <v>1</v>
      </c>
      <c r="BQ37" s="71"/>
      <c r="BR37" s="71"/>
      <c r="BS37" s="138">
        <f t="shared" si="14"/>
        <v>100.16171091563201</v>
      </c>
      <c r="BT37" s="18">
        <v>3</v>
      </c>
      <c r="BU37" s="71"/>
      <c r="BV37" s="71"/>
      <c r="BW37" s="71">
        <f t="shared" si="15"/>
        <v>112.03791162123835</v>
      </c>
      <c r="BX37" s="85">
        <v>1</v>
      </c>
      <c r="BY37" s="18">
        <v>3</v>
      </c>
      <c r="BZ37" s="71"/>
      <c r="CA37" s="71"/>
      <c r="CB37" s="71">
        <f t="shared" si="16"/>
        <v>110.05345743585116</v>
      </c>
      <c r="CC37" s="18">
        <v>3</v>
      </c>
      <c r="CD37" s="71"/>
      <c r="CE37" s="71"/>
      <c r="CF37" s="71">
        <f t="shared" si="17"/>
        <v>109.36214907383548</v>
      </c>
      <c r="CG37" s="18">
        <v>0</v>
      </c>
      <c r="CH37" s="71"/>
      <c r="CI37" s="71"/>
      <c r="CJ37" s="138">
        <f t="shared" si="18"/>
        <v>89.226340793489143</v>
      </c>
      <c r="CK37" s="18">
        <v>0</v>
      </c>
      <c r="CL37" s="71"/>
      <c r="CM37" s="71"/>
      <c r="CN37" s="71">
        <f t="shared" si="19"/>
        <v>81.025191700811078</v>
      </c>
      <c r="CO37" s="94">
        <v>0</v>
      </c>
      <c r="CP37" s="94">
        <v>1</v>
      </c>
      <c r="CQ37" s="94">
        <v>1</v>
      </c>
      <c r="CR37" s="94">
        <v>0</v>
      </c>
      <c r="CS37" s="102">
        <f t="shared" si="20"/>
        <v>101.28254689123878</v>
      </c>
      <c r="CT37" s="102">
        <f t="shared" si="21"/>
        <v>9.7058546982509064</v>
      </c>
      <c r="CU37" s="102">
        <f t="shared" si="22"/>
        <v>9.5829488852343325E-2</v>
      </c>
      <c r="CV37" s="108">
        <f t="shared" si="23"/>
        <v>100.35243979663028</v>
      </c>
      <c r="CZ37" s="109" t="str">
        <f t="shared" si="24"/>
        <v>Medio-Alto</v>
      </c>
    </row>
    <row r="38" spans="1:104" x14ac:dyDescent="0.15">
      <c r="A38" s="84">
        <v>2</v>
      </c>
      <c r="B38" s="84">
        <v>1</v>
      </c>
      <c r="C38" s="84">
        <v>3</v>
      </c>
      <c r="D38" s="84">
        <v>2</v>
      </c>
      <c r="E38" s="85">
        <v>1</v>
      </c>
      <c r="F38" s="17">
        <v>1</v>
      </c>
      <c r="I38" s="64">
        <f t="shared" si="1"/>
        <v>93.428492305734082</v>
      </c>
      <c r="J38" s="17">
        <v>1</v>
      </c>
      <c r="M38" s="64">
        <f t="shared" si="2"/>
        <v>95.705097084683388</v>
      </c>
      <c r="N38" s="17">
        <v>0</v>
      </c>
      <c r="Q38" s="64">
        <f t="shared" si="0"/>
        <v>82.559365058495843</v>
      </c>
      <c r="R38" s="17">
        <v>1</v>
      </c>
      <c r="U38" s="64">
        <f t="shared" si="3"/>
        <v>91.596562123700451</v>
      </c>
      <c r="V38" s="17">
        <v>4</v>
      </c>
      <c r="Y38" s="114">
        <f t="shared" si="4"/>
        <v>110.77363490373656</v>
      </c>
      <c r="Z38" s="17">
        <v>0</v>
      </c>
      <c r="AC38" s="64">
        <f t="shared" si="5"/>
        <v>85.509512691809249</v>
      </c>
      <c r="AD38" s="25">
        <v>0</v>
      </c>
      <c r="AE38" s="71"/>
      <c r="AF38" s="71"/>
      <c r="AG38" s="71">
        <f t="shared" si="6"/>
        <v>84.62281366701329</v>
      </c>
      <c r="AH38" s="17">
        <v>0</v>
      </c>
      <c r="AK38" s="64">
        <f t="shared" si="7"/>
        <v>77.680312752498807</v>
      </c>
      <c r="AL38" s="17">
        <v>3</v>
      </c>
      <c r="AM38" s="71"/>
      <c r="AN38" s="71"/>
      <c r="AO38" s="71">
        <f t="shared" si="8"/>
        <v>100.85056924463234</v>
      </c>
      <c r="AP38" s="17">
        <v>0</v>
      </c>
      <c r="AQ38" s="71"/>
      <c r="AR38" s="71"/>
      <c r="AS38" s="71">
        <f t="shared" si="9"/>
        <v>79.482821248216453</v>
      </c>
      <c r="AT38" s="17">
        <v>0</v>
      </c>
      <c r="AU38" s="71"/>
      <c r="AV38" s="71"/>
      <c r="AW38" s="71">
        <f t="shared" si="10"/>
        <v>89.214252251088965</v>
      </c>
      <c r="AX38" s="17">
        <v>2</v>
      </c>
      <c r="AY38" s="71"/>
      <c r="AZ38" s="71"/>
      <c r="BA38" s="71">
        <f t="shared" si="11"/>
        <v>100.92776194547928</v>
      </c>
      <c r="BB38" s="84">
        <v>0</v>
      </c>
      <c r="BC38" s="84">
        <v>0</v>
      </c>
      <c r="BD38" s="84">
        <v>1</v>
      </c>
      <c r="BE38" s="84">
        <v>1</v>
      </c>
      <c r="BF38" s="84">
        <v>0</v>
      </c>
      <c r="BG38" s="84">
        <v>0</v>
      </c>
      <c r="BH38" s="20">
        <v>0</v>
      </c>
      <c r="BI38" s="71"/>
      <c r="BJ38" s="71"/>
      <c r="BK38" s="71">
        <f t="shared" si="12"/>
        <v>92.176238572378367</v>
      </c>
      <c r="BL38" s="17">
        <v>1</v>
      </c>
      <c r="BM38" s="71"/>
      <c r="BN38" s="71"/>
      <c r="BO38" s="71">
        <f t="shared" si="13"/>
        <v>92.606326748686826</v>
      </c>
      <c r="BP38" s="17">
        <v>1</v>
      </c>
      <c r="BQ38" s="71"/>
      <c r="BR38" s="71"/>
      <c r="BS38" s="138">
        <f t="shared" si="14"/>
        <v>100.16171091563201</v>
      </c>
      <c r="BT38" s="17">
        <v>1</v>
      </c>
      <c r="BU38" s="71"/>
      <c r="BV38" s="71"/>
      <c r="BW38" s="71">
        <f t="shared" si="15"/>
        <v>93.001214173698628</v>
      </c>
      <c r="BX38" s="84">
        <v>2</v>
      </c>
      <c r="BY38" s="17">
        <v>0</v>
      </c>
      <c r="BZ38" s="71"/>
      <c r="CA38" s="71"/>
      <c r="CB38" s="71">
        <f t="shared" si="16"/>
        <v>81.489316531761531</v>
      </c>
      <c r="CC38" s="17">
        <v>0</v>
      </c>
      <c r="CD38" s="71"/>
      <c r="CE38" s="71"/>
      <c r="CF38" s="71">
        <f t="shared" si="17"/>
        <v>81.842287242964616</v>
      </c>
      <c r="CG38" s="17">
        <v>1</v>
      </c>
      <c r="CH38" s="71"/>
      <c r="CI38" s="71"/>
      <c r="CJ38" s="138">
        <f t="shared" si="18"/>
        <v>103.93736139675698</v>
      </c>
      <c r="CK38" s="17">
        <v>2</v>
      </c>
      <c r="CL38" s="71"/>
      <c r="CM38" s="71"/>
      <c r="CN38" s="71">
        <f t="shared" si="19"/>
        <v>100.22589057499034</v>
      </c>
      <c r="CO38" s="93">
        <v>0</v>
      </c>
      <c r="CP38" s="93">
        <v>0</v>
      </c>
      <c r="CQ38" s="93">
        <v>0</v>
      </c>
      <c r="CR38" s="93">
        <v>1</v>
      </c>
      <c r="CS38" s="102">
        <f t="shared" si="20"/>
        <v>89.583460836343079</v>
      </c>
      <c r="CT38" s="102">
        <f t="shared" si="21"/>
        <v>7.5522465297555863</v>
      </c>
      <c r="CU38" s="102">
        <f t="shared" si="22"/>
        <v>8.4304027319870176E-2</v>
      </c>
      <c r="CV38" s="108">
        <f t="shared" si="23"/>
        <v>88.946776038572168</v>
      </c>
      <c r="CZ38" s="109" t="str">
        <f t="shared" si="24"/>
        <v>Basso</v>
      </c>
    </row>
    <row r="39" spans="1:104" x14ac:dyDescent="0.15">
      <c r="A39" s="85">
        <v>1</v>
      </c>
      <c r="B39" s="85">
        <v>1</v>
      </c>
      <c r="C39" s="85">
        <v>1</v>
      </c>
      <c r="D39" s="85">
        <v>2</v>
      </c>
      <c r="E39" s="85">
        <v>1</v>
      </c>
      <c r="F39" s="18">
        <v>2</v>
      </c>
      <c r="I39" s="64">
        <f t="shared" si="1"/>
        <v>109.85726154139888</v>
      </c>
      <c r="J39" s="18">
        <v>1</v>
      </c>
      <c r="M39" s="64">
        <f t="shared" si="2"/>
        <v>95.705097084683388</v>
      </c>
      <c r="N39" s="18">
        <v>1</v>
      </c>
      <c r="Q39" s="64">
        <f t="shared" si="0"/>
        <v>98.246708656674187</v>
      </c>
      <c r="R39" s="18">
        <v>1</v>
      </c>
      <c r="U39" s="64">
        <f t="shared" si="3"/>
        <v>91.596562123700451</v>
      </c>
      <c r="V39" s="18">
        <v>2</v>
      </c>
      <c r="Y39" s="114">
        <f t="shared" si="4"/>
        <v>97.875621286587162</v>
      </c>
      <c r="Z39" s="18">
        <v>2</v>
      </c>
      <c r="AC39" s="64">
        <f t="shared" si="5"/>
        <v>101.50550517487696</v>
      </c>
      <c r="AD39" s="24">
        <v>3</v>
      </c>
      <c r="AE39" s="71"/>
      <c r="AF39" s="71"/>
      <c r="AG39" s="71">
        <f t="shared" si="6"/>
        <v>109.20703006144345</v>
      </c>
      <c r="AH39" s="18">
        <v>2</v>
      </c>
      <c r="AK39" s="64">
        <f t="shared" si="7"/>
        <v>99.518280131348902</v>
      </c>
      <c r="AL39" s="18">
        <v>3</v>
      </c>
      <c r="AM39" s="71"/>
      <c r="AN39" s="71"/>
      <c r="AO39" s="71">
        <f t="shared" si="8"/>
        <v>100.85056924463234</v>
      </c>
      <c r="AP39" s="18">
        <v>3</v>
      </c>
      <c r="AQ39" s="71"/>
      <c r="AR39" s="71"/>
      <c r="AS39" s="71">
        <f t="shared" si="9"/>
        <v>110.12341030651692</v>
      </c>
      <c r="AT39" s="18">
        <v>2</v>
      </c>
      <c r="AU39" s="71"/>
      <c r="AV39" s="71"/>
      <c r="AW39" s="71">
        <f t="shared" si="10"/>
        <v>110.91338973410525</v>
      </c>
      <c r="AX39" s="18">
        <v>3</v>
      </c>
      <c r="AY39" s="71"/>
      <c r="AZ39" s="71"/>
      <c r="BA39" s="71">
        <f t="shared" si="11"/>
        <v>111.80497096144313</v>
      </c>
      <c r="BB39" s="85">
        <v>1</v>
      </c>
      <c r="BC39" s="85">
        <v>0</v>
      </c>
      <c r="BD39" s="85">
        <v>0</v>
      </c>
      <c r="BE39" s="85">
        <v>1</v>
      </c>
      <c r="BF39" s="85">
        <v>0</v>
      </c>
      <c r="BG39" s="85">
        <v>0</v>
      </c>
      <c r="BH39" s="19">
        <v>0</v>
      </c>
      <c r="BI39" s="71"/>
      <c r="BJ39" s="71"/>
      <c r="BK39" s="71">
        <f t="shared" si="12"/>
        <v>92.176238572378367</v>
      </c>
      <c r="BL39" s="18">
        <v>1</v>
      </c>
      <c r="BM39" s="71"/>
      <c r="BN39" s="71"/>
      <c r="BO39" s="71">
        <f t="shared" si="13"/>
        <v>92.606326748686826</v>
      </c>
      <c r="BP39" s="18">
        <v>1</v>
      </c>
      <c r="BQ39" s="71"/>
      <c r="BR39" s="71"/>
      <c r="BS39" s="138">
        <f t="shared" si="14"/>
        <v>100.16171091563201</v>
      </c>
      <c r="BT39" s="18">
        <v>1</v>
      </c>
      <c r="BU39" s="71"/>
      <c r="BV39" s="71"/>
      <c r="BW39" s="71">
        <f t="shared" si="15"/>
        <v>93.001214173698628</v>
      </c>
      <c r="BX39" s="85">
        <v>0</v>
      </c>
      <c r="BY39" s="18">
        <v>2</v>
      </c>
      <c r="BZ39" s="71"/>
      <c r="CA39" s="71"/>
      <c r="CB39" s="71">
        <f t="shared" si="16"/>
        <v>100.53207713448795</v>
      </c>
      <c r="CC39" s="18">
        <v>2</v>
      </c>
      <c r="CD39" s="71"/>
      <c r="CE39" s="71"/>
      <c r="CF39" s="71">
        <f t="shared" si="17"/>
        <v>100.18886179687853</v>
      </c>
      <c r="CG39" s="18">
        <v>0</v>
      </c>
      <c r="CH39" s="71"/>
      <c r="CI39" s="71"/>
      <c r="CJ39" s="138">
        <f t="shared" si="18"/>
        <v>89.226340793489143</v>
      </c>
      <c r="CK39" s="18">
        <v>2</v>
      </c>
      <c r="CL39" s="71"/>
      <c r="CM39" s="71"/>
      <c r="CN39" s="71">
        <f t="shared" si="19"/>
        <v>100.22589057499034</v>
      </c>
      <c r="CO39" s="94">
        <v>0</v>
      </c>
      <c r="CP39" s="94">
        <v>1</v>
      </c>
      <c r="CQ39" s="94">
        <v>0</v>
      </c>
      <c r="CR39" s="94">
        <v>0</v>
      </c>
      <c r="CS39" s="102">
        <f t="shared" si="20"/>
        <v>101.06231729540849</v>
      </c>
      <c r="CT39" s="102">
        <f t="shared" si="21"/>
        <v>7.0012657840421326</v>
      </c>
      <c r="CU39" s="102">
        <f t="shared" si="22"/>
        <v>6.9276719269925319E-2</v>
      </c>
      <c r="CV39" s="108">
        <f t="shared" si="23"/>
        <v>100.57729257115327</v>
      </c>
      <c r="CZ39" s="109" t="str">
        <f t="shared" si="24"/>
        <v>Medio-Alto</v>
      </c>
    </row>
    <row r="40" spans="1:104" x14ac:dyDescent="0.15">
      <c r="A40" s="84">
        <v>2</v>
      </c>
      <c r="B40" s="84">
        <v>1</v>
      </c>
      <c r="C40" s="84">
        <v>2</v>
      </c>
      <c r="D40" s="84">
        <v>2</v>
      </c>
      <c r="E40" s="85">
        <v>1</v>
      </c>
      <c r="F40" s="17">
        <v>1</v>
      </c>
      <c r="I40" s="64">
        <f t="shared" si="1"/>
        <v>93.428492305734082</v>
      </c>
      <c r="J40" s="17">
        <v>1</v>
      </c>
      <c r="M40" s="64">
        <f t="shared" si="2"/>
        <v>95.705097084683388</v>
      </c>
      <c r="N40" s="17">
        <v>2</v>
      </c>
      <c r="Q40" s="64">
        <f t="shared" si="0"/>
        <v>113.93405225485253</v>
      </c>
      <c r="R40" s="17">
        <v>2</v>
      </c>
      <c r="U40" s="64">
        <f t="shared" si="3"/>
        <v>101.34799174124942</v>
      </c>
      <c r="V40" s="17">
        <v>0</v>
      </c>
      <c r="Y40" s="114">
        <f t="shared" si="4"/>
        <v>84.977607669437745</v>
      </c>
      <c r="Z40" s="17">
        <v>2</v>
      </c>
      <c r="AC40" s="64">
        <f t="shared" si="5"/>
        <v>101.50550517487696</v>
      </c>
      <c r="AD40" s="25">
        <v>3</v>
      </c>
      <c r="AE40" s="71"/>
      <c r="AF40" s="71"/>
      <c r="AG40" s="71">
        <f t="shared" si="6"/>
        <v>109.20703006144345</v>
      </c>
      <c r="AH40" s="17">
        <v>2</v>
      </c>
      <c r="AK40" s="64">
        <f t="shared" si="7"/>
        <v>99.518280131348902</v>
      </c>
      <c r="AL40" s="17">
        <v>3</v>
      </c>
      <c r="AM40" s="71"/>
      <c r="AN40" s="71"/>
      <c r="AO40" s="71">
        <f t="shared" si="8"/>
        <v>100.85056924463234</v>
      </c>
      <c r="AP40" s="17">
        <v>2</v>
      </c>
      <c r="AQ40" s="71"/>
      <c r="AR40" s="71"/>
      <c r="AS40" s="71">
        <f t="shared" si="9"/>
        <v>99.909880620416757</v>
      </c>
      <c r="AT40" s="17">
        <v>0</v>
      </c>
      <c r="AU40" s="71"/>
      <c r="AV40" s="71"/>
      <c r="AW40" s="71">
        <f t="shared" si="10"/>
        <v>89.214252251088965</v>
      </c>
      <c r="AX40" s="17">
        <v>2</v>
      </c>
      <c r="AY40" s="71"/>
      <c r="AZ40" s="71"/>
      <c r="BA40" s="71">
        <f t="shared" si="11"/>
        <v>100.92776194547928</v>
      </c>
      <c r="BB40" s="84">
        <v>1</v>
      </c>
      <c r="BC40" s="84">
        <v>0</v>
      </c>
      <c r="BD40" s="84">
        <v>1</v>
      </c>
      <c r="BE40" s="84">
        <v>0</v>
      </c>
      <c r="BF40" s="84">
        <v>0</v>
      </c>
      <c r="BG40" s="84">
        <v>0</v>
      </c>
      <c r="BH40" s="20">
        <v>0</v>
      </c>
      <c r="BI40" s="71"/>
      <c r="BJ40" s="71"/>
      <c r="BK40" s="71">
        <f t="shared" si="12"/>
        <v>92.176238572378367</v>
      </c>
      <c r="BL40" s="17">
        <v>3</v>
      </c>
      <c r="BM40" s="71"/>
      <c r="BN40" s="71"/>
      <c r="BO40" s="71">
        <f t="shared" si="13"/>
        <v>111.29665318323313</v>
      </c>
      <c r="BP40" s="17">
        <v>1</v>
      </c>
      <c r="BQ40" s="71"/>
      <c r="BR40" s="71"/>
      <c r="BS40" s="138">
        <f t="shared" si="14"/>
        <v>100.16171091563201</v>
      </c>
      <c r="BT40" s="17">
        <v>2</v>
      </c>
      <c r="BU40" s="71"/>
      <c r="BV40" s="71"/>
      <c r="BW40" s="71">
        <f t="shared" si="15"/>
        <v>102.51956289746849</v>
      </c>
      <c r="BX40" s="84">
        <v>0</v>
      </c>
      <c r="BY40" s="17">
        <v>2</v>
      </c>
      <c r="BZ40" s="71"/>
      <c r="CA40" s="71"/>
      <c r="CB40" s="71">
        <f t="shared" si="16"/>
        <v>100.53207713448795</v>
      </c>
      <c r="CC40" s="17">
        <v>3</v>
      </c>
      <c r="CD40" s="71"/>
      <c r="CE40" s="71"/>
      <c r="CF40" s="71">
        <f t="shared" si="17"/>
        <v>109.36214907383548</v>
      </c>
      <c r="CG40" s="17">
        <v>1</v>
      </c>
      <c r="CH40" s="71"/>
      <c r="CI40" s="71"/>
      <c r="CJ40" s="138">
        <f t="shared" si="18"/>
        <v>103.93736139675698</v>
      </c>
      <c r="CK40" s="17">
        <v>3</v>
      </c>
      <c r="CL40" s="71"/>
      <c r="CM40" s="71"/>
      <c r="CN40" s="71">
        <f t="shared" si="19"/>
        <v>109.82624001207998</v>
      </c>
      <c r="CO40" s="93">
        <v>1</v>
      </c>
      <c r="CP40" s="93">
        <v>0</v>
      </c>
      <c r="CQ40" s="93">
        <v>1</v>
      </c>
      <c r="CR40" s="93">
        <v>0</v>
      </c>
      <c r="CS40" s="102">
        <f t="shared" si="20"/>
        <v>101.83893139348761</v>
      </c>
      <c r="CT40" s="102">
        <f t="shared" si="21"/>
        <v>7.0043373484244107</v>
      </c>
      <c r="CU40" s="102">
        <f t="shared" si="22"/>
        <v>6.8778582537957808E-2</v>
      </c>
      <c r="CV40" s="108">
        <f t="shared" si="23"/>
        <v>101.35718299904531</v>
      </c>
      <c r="CZ40" s="109" t="str">
        <f t="shared" si="24"/>
        <v>Medio-Alto</v>
      </c>
    </row>
    <row r="41" spans="1:104" x14ac:dyDescent="0.15">
      <c r="A41" s="85">
        <v>1</v>
      </c>
      <c r="B41" s="85">
        <v>1</v>
      </c>
      <c r="C41" s="85">
        <v>1</v>
      </c>
      <c r="D41" s="85">
        <v>2</v>
      </c>
      <c r="E41" s="85">
        <v>1</v>
      </c>
      <c r="F41" s="18">
        <v>2</v>
      </c>
      <c r="I41" s="64">
        <f t="shared" si="1"/>
        <v>109.85726154139888</v>
      </c>
      <c r="J41" s="18">
        <v>2</v>
      </c>
      <c r="M41" s="64">
        <f t="shared" si="2"/>
        <v>110.02144013573877</v>
      </c>
      <c r="N41" s="18">
        <v>2</v>
      </c>
      <c r="Q41" s="64">
        <f t="shared" si="0"/>
        <v>113.93405225485253</v>
      </c>
      <c r="R41" s="18">
        <v>1</v>
      </c>
      <c r="U41" s="64">
        <f t="shared" si="3"/>
        <v>91.596562123700451</v>
      </c>
      <c r="V41" s="18">
        <v>5</v>
      </c>
      <c r="Y41" s="114">
        <f t="shared" si="4"/>
        <v>117.22264171231127</v>
      </c>
      <c r="Z41" s="18">
        <v>2</v>
      </c>
      <c r="AC41" s="64">
        <f t="shared" si="5"/>
        <v>101.50550517487696</v>
      </c>
      <c r="AD41" s="24">
        <v>3</v>
      </c>
      <c r="AE41" s="71"/>
      <c r="AF41" s="71"/>
      <c r="AG41" s="71">
        <f t="shared" si="6"/>
        <v>109.20703006144345</v>
      </c>
      <c r="AH41" s="18">
        <v>3</v>
      </c>
      <c r="AK41" s="64">
        <f t="shared" si="7"/>
        <v>110.43726382077395</v>
      </c>
      <c r="AL41" s="18">
        <v>2</v>
      </c>
      <c r="AM41" s="71"/>
      <c r="AN41" s="71"/>
      <c r="AO41" s="71">
        <f t="shared" si="8"/>
        <v>89.72774066097864</v>
      </c>
      <c r="AP41" s="18">
        <v>1</v>
      </c>
      <c r="AQ41" s="71"/>
      <c r="AR41" s="71"/>
      <c r="AS41" s="71">
        <f t="shared" si="9"/>
        <v>89.696350934316598</v>
      </c>
      <c r="AT41" s="18">
        <v>2</v>
      </c>
      <c r="AU41" s="71"/>
      <c r="AV41" s="71"/>
      <c r="AW41" s="71">
        <f t="shared" si="10"/>
        <v>110.91338973410525</v>
      </c>
      <c r="AX41" s="18">
        <v>3</v>
      </c>
      <c r="AY41" s="71"/>
      <c r="AZ41" s="71"/>
      <c r="BA41" s="71">
        <f t="shared" si="11"/>
        <v>111.80497096144313</v>
      </c>
      <c r="BB41" s="85">
        <v>1</v>
      </c>
      <c r="BC41" s="85">
        <v>1</v>
      </c>
      <c r="BD41" s="85">
        <v>0</v>
      </c>
      <c r="BE41" s="85">
        <v>0</v>
      </c>
      <c r="BF41" s="85">
        <v>0</v>
      </c>
      <c r="BG41" s="85">
        <v>0</v>
      </c>
      <c r="BH41" s="19">
        <v>0</v>
      </c>
      <c r="BI41" s="71"/>
      <c r="BJ41" s="71"/>
      <c r="BK41" s="71">
        <f t="shared" si="12"/>
        <v>92.176238572378367</v>
      </c>
      <c r="BL41" s="18">
        <v>3</v>
      </c>
      <c r="BM41" s="71"/>
      <c r="BN41" s="71"/>
      <c r="BO41" s="71">
        <f t="shared" si="13"/>
        <v>111.29665318323313</v>
      </c>
      <c r="BP41" s="18">
        <v>2</v>
      </c>
      <c r="BQ41" s="71"/>
      <c r="BR41" s="71"/>
      <c r="BS41" s="138">
        <f t="shared" si="14"/>
        <v>113.86671101544545</v>
      </c>
      <c r="BT41" s="18">
        <v>2</v>
      </c>
      <c r="BU41" s="71"/>
      <c r="BV41" s="71"/>
      <c r="BW41" s="71">
        <f t="shared" si="15"/>
        <v>102.51956289746849</v>
      </c>
      <c r="BX41" s="85">
        <v>0</v>
      </c>
      <c r="BY41" s="18">
        <v>2</v>
      </c>
      <c r="BZ41" s="71"/>
      <c r="CA41" s="71"/>
      <c r="CB41" s="71">
        <f t="shared" si="16"/>
        <v>100.53207713448795</v>
      </c>
      <c r="CC41" s="18">
        <v>3</v>
      </c>
      <c r="CD41" s="71"/>
      <c r="CE41" s="71"/>
      <c r="CF41" s="71">
        <f t="shared" si="17"/>
        <v>109.36214907383548</v>
      </c>
      <c r="CG41" s="18">
        <v>0</v>
      </c>
      <c r="CH41" s="71"/>
      <c r="CI41" s="71"/>
      <c r="CJ41" s="138">
        <f t="shared" si="18"/>
        <v>89.226340793489143</v>
      </c>
      <c r="CK41" s="18">
        <v>3</v>
      </c>
      <c r="CL41" s="71"/>
      <c r="CM41" s="71"/>
      <c r="CN41" s="71">
        <f t="shared" si="19"/>
        <v>109.82624001207998</v>
      </c>
      <c r="CO41" s="94">
        <v>0</v>
      </c>
      <c r="CP41" s="94">
        <v>1</v>
      </c>
      <c r="CQ41" s="94">
        <v>1</v>
      </c>
      <c r="CR41" s="94">
        <v>0</v>
      </c>
      <c r="CS41" s="102">
        <f t="shared" si="20"/>
        <v>104.37732283983011</v>
      </c>
      <c r="CT41" s="102">
        <f t="shared" si="21"/>
        <v>8.5965556016701683</v>
      </c>
      <c r="CU41" s="102">
        <f t="shared" si="22"/>
        <v>8.2360376447495401E-2</v>
      </c>
      <c r="CV41" s="108">
        <f t="shared" si="23"/>
        <v>103.66930728432473</v>
      </c>
      <c r="CZ41" s="109" t="str">
        <f t="shared" si="24"/>
        <v>Alto</v>
      </c>
    </row>
    <row r="42" spans="1:104" x14ac:dyDescent="0.15">
      <c r="A42" s="84">
        <v>3</v>
      </c>
      <c r="B42" s="84">
        <v>1</v>
      </c>
      <c r="C42" s="84">
        <v>3</v>
      </c>
      <c r="D42" s="84">
        <v>2</v>
      </c>
      <c r="E42" s="85">
        <v>1</v>
      </c>
      <c r="F42" s="17">
        <v>2</v>
      </c>
      <c r="I42" s="64">
        <f t="shared" si="1"/>
        <v>109.85726154139888</v>
      </c>
      <c r="J42" s="17">
        <v>2</v>
      </c>
      <c r="M42" s="64">
        <f t="shared" si="2"/>
        <v>110.02144013573877</v>
      </c>
      <c r="N42" s="17">
        <v>2</v>
      </c>
      <c r="Q42" s="64">
        <f t="shared" si="0"/>
        <v>113.93405225485253</v>
      </c>
      <c r="R42" s="17">
        <v>3</v>
      </c>
      <c r="U42" s="64">
        <f t="shared" si="3"/>
        <v>111.09942135879838</v>
      </c>
      <c r="V42" s="17">
        <v>4</v>
      </c>
      <c r="Y42" s="114">
        <f t="shared" si="4"/>
        <v>110.77363490373656</v>
      </c>
      <c r="Z42" s="17">
        <v>1</v>
      </c>
      <c r="AC42" s="64">
        <f t="shared" si="5"/>
        <v>93.507508933343104</v>
      </c>
      <c r="AD42" s="25">
        <v>3</v>
      </c>
      <c r="AE42" s="71"/>
      <c r="AF42" s="71"/>
      <c r="AG42" s="71">
        <f t="shared" si="6"/>
        <v>109.20703006144345</v>
      </c>
      <c r="AH42" s="17">
        <v>3</v>
      </c>
      <c r="AK42" s="64">
        <f t="shared" si="7"/>
        <v>110.43726382077395</v>
      </c>
      <c r="AL42" s="17">
        <v>4</v>
      </c>
      <c r="AM42" s="71"/>
      <c r="AN42" s="71"/>
      <c r="AO42" s="71">
        <f t="shared" si="8"/>
        <v>111.97339782828605</v>
      </c>
      <c r="AP42" s="17">
        <v>3</v>
      </c>
      <c r="AQ42" s="71"/>
      <c r="AR42" s="71"/>
      <c r="AS42" s="71">
        <f t="shared" si="9"/>
        <v>110.12341030651692</v>
      </c>
      <c r="AT42" s="17">
        <v>2</v>
      </c>
      <c r="AU42" s="71"/>
      <c r="AV42" s="71"/>
      <c r="AW42" s="71">
        <f t="shared" si="10"/>
        <v>110.91338973410525</v>
      </c>
      <c r="AX42" s="17">
        <v>3</v>
      </c>
      <c r="AY42" s="71"/>
      <c r="AZ42" s="71"/>
      <c r="BA42" s="71">
        <f t="shared" si="11"/>
        <v>111.80497096144313</v>
      </c>
      <c r="BB42" s="84">
        <v>0</v>
      </c>
      <c r="BC42" s="84">
        <v>1</v>
      </c>
      <c r="BD42" s="84">
        <v>1</v>
      </c>
      <c r="BE42" s="84">
        <v>0</v>
      </c>
      <c r="BF42" s="84">
        <v>0</v>
      </c>
      <c r="BG42" s="84">
        <v>0</v>
      </c>
      <c r="BH42" s="20">
        <v>2</v>
      </c>
      <c r="BI42" s="71"/>
      <c r="BJ42" s="71"/>
      <c r="BK42" s="71">
        <f t="shared" si="12"/>
        <v>114.81520780975161</v>
      </c>
      <c r="BL42" s="17">
        <v>3</v>
      </c>
      <c r="BM42" s="71"/>
      <c r="BN42" s="71"/>
      <c r="BO42" s="71">
        <f t="shared" si="13"/>
        <v>111.29665318323313</v>
      </c>
      <c r="BP42" s="17">
        <v>2</v>
      </c>
      <c r="BQ42" s="71"/>
      <c r="BR42" s="71"/>
      <c r="BS42" s="138">
        <f t="shared" si="14"/>
        <v>113.86671101544545</v>
      </c>
      <c r="BT42" s="17">
        <v>3</v>
      </c>
      <c r="BU42" s="71"/>
      <c r="BV42" s="71"/>
      <c r="BW42" s="71">
        <f t="shared" si="15"/>
        <v>112.03791162123835</v>
      </c>
      <c r="BX42" s="84">
        <v>2</v>
      </c>
      <c r="BY42" s="17">
        <v>2</v>
      </c>
      <c r="BZ42" s="71"/>
      <c r="CA42" s="71"/>
      <c r="CB42" s="71">
        <f t="shared" si="16"/>
        <v>100.53207713448795</v>
      </c>
      <c r="CC42" s="17">
        <v>3</v>
      </c>
      <c r="CD42" s="71"/>
      <c r="CE42" s="71"/>
      <c r="CF42" s="71">
        <f t="shared" si="17"/>
        <v>109.36214907383548</v>
      </c>
      <c r="CG42" s="17">
        <v>2</v>
      </c>
      <c r="CH42" s="71"/>
      <c r="CI42" s="71"/>
      <c r="CJ42" s="138">
        <f t="shared" si="18"/>
        <v>118.64838200002481</v>
      </c>
      <c r="CK42" s="17">
        <v>3</v>
      </c>
      <c r="CL42" s="71"/>
      <c r="CM42" s="71"/>
      <c r="CN42" s="71">
        <f t="shared" si="19"/>
        <v>109.82624001207998</v>
      </c>
      <c r="CO42" s="93">
        <v>1</v>
      </c>
      <c r="CP42" s="93">
        <v>1</v>
      </c>
      <c r="CQ42" s="93">
        <v>1</v>
      </c>
      <c r="CR42" s="93">
        <v>0</v>
      </c>
      <c r="CS42" s="102">
        <f t="shared" si="20"/>
        <v>109.45584622184276</v>
      </c>
      <c r="CT42" s="102">
        <f t="shared" si="21"/>
        <v>5.0719559441369366</v>
      </c>
      <c r="CU42" s="102">
        <f t="shared" si="22"/>
        <v>4.6337917244339832E-2</v>
      </c>
      <c r="CV42" s="108">
        <f t="shared" si="23"/>
        <v>109.2208223470364</v>
      </c>
      <c r="CZ42" s="109" t="str">
        <f t="shared" si="24"/>
        <v>Alto</v>
      </c>
    </row>
    <row r="43" spans="1:104" x14ac:dyDescent="0.15">
      <c r="A43" s="85">
        <v>2</v>
      </c>
      <c r="B43" s="84">
        <v>1</v>
      </c>
      <c r="C43" s="85">
        <v>2</v>
      </c>
      <c r="D43" s="85">
        <v>2</v>
      </c>
      <c r="E43" s="85">
        <v>1</v>
      </c>
      <c r="F43" s="18">
        <v>2</v>
      </c>
      <c r="I43" s="64">
        <f t="shared" si="1"/>
        <v>109.85726154139888</v>
      </c>
      <c r="J43" s="18">
        <v>0</v>
      </c>
      <c r="M43" s="64">
        <f t="shared" si="2"/>
        <v>81.388754033628004</v>
      </c>
      <c r="N43" s="18">
        <v>1</v>
      </c>
      <c r="Q43" s="64">
        <f t="shared" si="0"/>
        <v>98.246708656674187</v>
      </c>
      <c r="R43" s="18">
        <v>2</v>
      </c>
      <c r="U43" s="64">
        <f t="shared" si="3"/>
        <v>101.34799174124942</v>
      </c>
      <c r="V43" s="18">
        <v>2</v>
      </c>
      <c r="Y43" s="114">
        <f t="shared" si="4"/>
        <v>97.875621286587162</v>
      </c>
      <c r="Z43" s="18">
        <v>2</v>
      </c>
      <c r="AC43" s="64">
        <f t="shared" si="5"/>
        <v>101.50550517487696</v>
      </c>
      <c r="AD43" s="24">
        <v>3</v>
      </c>
      <c r="AE43" s="71"/>
      <c r="AF43" s="71"/>
      <c r="AG43" s="71">
        <f t="shared" si="6"/>
        <v>109.20703006144345</v>
      </c>
      <c r="AH43" s="18">
        <v>1</v>
      </c>
      <c r="AK43" s="64">
        <f t="shared" si="7"/>
        <v>88.599296441923855</v>
      </c>
      <c r="AL43" s="18">
        <v>3</v>
      </c>
      <c r="AM43" s="71"/>
      <c r="AN43" s="71"/>
      <c r="AO43" s="71">
        <f t="shared" si="8"/>
        <v>100.85056924463234</v>
      </c>
      <c r="AP43" s="18">
        <v>2</v>
      </c>
      <c r="AQ43" s="71"/>
      <c r="AR43" s="71"/>
      <c r="AS43" s="71">
        <f t="shared" si="9"/>
        <v>99.909880620416757</v>
      </c>
      <c r="AT43" s="18">
        <v>0</v>
      </c>
      <c r="AU43" s="71"/>
      <c r="AV43" s="71"/>
      <c r="AW43" s="71">
        <f t="shared" si="10"/>
        <v>89.214252251088965</v>
      </c>
      <c r="AX43" s="18">
        <v>2</v>
      </c>
      <c r="AY43" s="71"/>
      <c r="AZ43" s="71"/>
      <c r="BA43" s="71">
        <f t="shared" si="11"/>
        <v>100.92776194547928</v>
      </c>
      <c r="BB43" s="85">
        <v>1</v>
      </c>
      <c r="BC43" s="85">
        <v>0</v>
      </c>
      <c r="BD43" s="85">
        <v>1</v>
      </c>
      <c r="BE43" s="85">
        <v>0</v>
      </c>
      <c r="BF43" s="85">
        <v>0</v>
      </c>
      <c r="BG43" s="85">
        <v>0</v>
      </c>
      <c r="BH43" s="19">
        <v>1</v>
      </c>
      <c r="BI43" s="71"/>
      <c r="BJ43" s="71"/>
      <c r="BK43" s="71">
        <f t="shared" si="12"/>
        <v>103.49572319106498</v>
      </c>
      <c r="BL43" s="18">
        <v>2</v>
      </c>
      <c r="BM43" s="71"/>
      <c r="BN43" s="71"/>
      <c r="BO43" s="71">
        <f t="shared" si="13"/>
        <v>101.95148996595998</v>
      </c>
      <c r="BP43" s="18">
        <v>1</v>
      </c>
      <c r="BQ43" s="71"/>
      <c r="BR43" s="71"/>
      <c r="BS43" s="138">
        <f t="shared" si="14"/>
        <v>100.16171091563201</v>
      </c>
      <c r="BT43" s="18">
        <v>2</v>
      </c>
      <c r="BU43" s="71"/>
      <c r="BV43" s="71"/>
      <c r="BW43" s="71">
        <f t="shared" si="15"/>
        <v>102.51956289746849</v>
      </c>
      <c r="BX43" s="85">
        <v>2</v>
      </c>
      <c r="BY43" s="18">
        <v>2</v>
      </c>
      <c r="BZ43" s="71"/>
      <c r="CA43" s="71"/>
      <c r="CB43" s="71">
        <f t="shared" si="16"/>
        <v>100.53207713448795</v>
      </c>
      <c r="CC43" s="18">
        <v>2</v>
      </c>
      <c r="CD43" s="71"/>
      <c r="CE43" s="71"/>
      <c r="CF43" s="71">
        <f t="shared" si="17"/>
        <v>100.18886179687853</v>
      </c>
      <c r="CG43" s="18">
        <v>0</v>
      </c>
      <c r="CH43" s="71"/>
      <c r="CI43" s="71"/>
      <c r="CJ43" s="138">
        <f t="shared" si="18"/>
        <v>89.226340793489143</v>
      </c>
      <c r="CK43" s="18">
        <v>0</v>
      </c>
      <c r="CL43" s="71"/>
      <c r="CM43" s="71"/>
      <c r="CN43" s="71">
        <f t="shared" si="19"/>
        <v>81.025191700811078</v>
      </c>
      <c r="CO43" s="94">
        <v>0</v>
      </c>
      <c r="CP43" s="94">
        <v>1</v>
      </c>
      <c r="CQ43" s="94">
        <v>1</v>
      </c>
      <c r="CR43" s="94">
        <v>0</v>
      </c>
      <c r="CS43" s="102">
        <f t="shared" si="20"/>
        <v>98.280465788204879</v>
      </c>
      <c r="CT43" s="102">
        <f t="shared" si="21"/>
        <v>8.3510666288201332</v>
      </c>
      <c r="CU43" s="102">
        <f t="shared" si="22"/>
        <v>8.4971785205177425E-2</v>
      </c>
      <c r="CV43" s="108">
        <f t="shared" si="23"/>
        <v>97.57086074838665</v>
      </c>
      <c r="CZ43" s="109" t="str">
        <f t="shared" si="24"/>
        <v>Medio-Basso</v>
      </c>
    </row>
    <row r="44" spans="1:104" x14ac:dyDescent="0.15">
      <c r="A44" s="84">
        <v>3</v>
      </c>
      <c r="B44" s="85">
        <v>1</v>
      </c>
      <c r="C44" s="84">
        <v>2</v>
      </c>
      <c r="D44" s="84">
        <v>2</v>
      </c>
      <c r="E44" s="85">
        <v>1</v>
      </c>
      <c r="F44" s="17">
        <v>1</v>
      </c>
      <c r="I44" s="64">
        <f t="shared" si="1"/>
        <v>93.428492305734082</v>
      </c>
      <c r="J44" s="17">
        <v>1</v>
      </c>
      <c r="M44" s="64">
        <f t="shared" si="2"/>
        <v>95.705097084683388</v>
      </c>
      <c r="N44" s="17">
        <v>1</v>
      </c>
      <c r="Q44" s="64">
        <f t="shared" si="0"/>
        <v>98.246708656674187</v>
      </c>
      <c r="R44" s="17">
        <v>2</v>
      </c>
      <c r="U44" s="64">
        <f t="shared" si="3"/>
        <v>101.34799174124942</v>
      </c>
      <c r="V44" s="17">
        <v>5</v>
      </c>
      <c r="Y44" s="114">
        <f t="shared" si="4"/>
        <v>117.22264171231127</v>
      </c>
      <c r="Z44" s="17">
        <v>2</v>
      </c>
      <c r="AC44" s="64">
        <f t="shared" si="5"/>
        <v>101.50550517487696</v>
      </c>
      <c r="AD44" s="25">
        <v>2</v>
      </c>
      <c r="AE44" s="71"/>
      <c r="AF44" s="71"/>
      <c r="AG44" s="71">
        <f t="shared" si="6"/>
        <v>101.01229126330007</v>
      </c>
      <c r="AH44" s="17">
        <v>2</v>
      </c>
      <c r="AK44" s="64">
        <f t="shared" si="7"/>
        <v>99.518280131348902</v>
      </c>
      <c r="AL44" s="17">
        <v>3</v>
      </c>
      <c r="AM44" s="71"/>
      <c r="AN44" s="71"/>
      <c r="AO44" s="71">
        <f t="shared" si="8"/>
        <v>100.85056924463234</v>
      </c>
      <c r="AP44" s="17">
        <v>2</v>
      </c>
      <c r="AQ44" s="71"/>
      <c r="AR44" s="71"/>
      <c r="AS44" s="71">
        <f t="shared" si="9"/>
        <v>99.909880620416757</v>
      </c>
      <c r="AT44" s="17">
        <v>0</v>
      </c>
      <c r="AU44" s="71"/>
      <c r="AV44" s="71"/>
      <c r="AW44" s="71">
        <f t="shared" si="10"/>
        <v>89.214252251088965</v>
      </c>
      <c r="AX44" s="17">
        <v>2</v>
      </c>
      <c r="AY44" s="71"/>
      <c r="AZ44" s="71"/>
      <c r="BA44" s="71">
        <f t="shared" si="11"/>
        <v>100.92776194547928</v>
      </c>
      <c r="BB44" s="84">
        <v>1</v>
      </c>
      <c r="BC44" s="84">
        <v>0</v>
      </c>
      <c r="BD44" s="84">
        <v>1</v>
      </c>
      <c r="BE44" s="84">
        <v>0</v>
      </c>
      <c r="BF44" s="84">
        <v>0</v>
      </c>
      <c r="BG44" s="84">
        <v>0</v>
      </c>
      <c r="BH44" s="20">
        <v>0</v>
      </c>
      <c r="BI44" s="71"/>
      <c r="BJ44" s="71"/>
      <c r="BK44" s="71">
        <f t="shared" si="12"/>
        <v>92.176238572378367</v>
      </c>
      <c r="BL44" s="17">
        <v>2</v>
      </c>
      <c r="BM44" s="71"/>
      <c r="BN44" s="71"/>
      <c r="BO44" s="71">
        <f t="shared" si="13"/>
        <v>101.95148996595998</v>
      </c>
      <c r="BP44" s="17">
        <v>1</v>
      </c>
      <c r="BQ44" s="71"/>
      <c r="BR44" s="71"/>
      <c r="BS44" s="138">
        <f t="shared" si="14"/>
        <v>100.16171091563201</v>
      </c>
      <c r="BT44" s="17">
        <v>3</v>
      </c>
      <c r="BU44" s="71"/>
      <c r="BV44" s="71"/>
      <c r="BW44" s="71">
        <f t="shared" si="15"/>
        <v>112.03791162123835</v>
      </c>
      <c r="BX44" s="84">
        <v>2</v>
      </c>
      <c r="BY44" s="17">
        <v>3</v>
      </c>
      <c r="BZ44" s="71"/>
      <c r="CA44" s="71"/>
      <c r="CB44" s="71">
        <f t="shared" si="16"/>
        <v>110.05345743585116</v>
      </c>
      <c r="CC44" s="17">
        <v>2</v>
      </c>
      <c r="CD44" s="71"/>
      <c r="CE44" s="71"/>
      <c r="CF44" s="71">
        <f t="shared" si="17"/>
        <v>100.18886179687853</v>
      </c>
      <c r="CG44" s="17">
        <v>1</v>
      </c>
      <c r="CH44" s="71"/>
      <c r="CI44" s="71"/>
      <c r="CJ44" s="138">
        <f t="shared" si="18"/>
        <v>103.93736139675698</v>
      </c>
      <c r="CK44" s="17">
        <v>2</v>
      </c>
      <c r="CL44" s="71"/>
      <c r="CM44" s="71"/>
      <c r="CN44" s="71">
        <f t="shared" si="19"/>
        <v>100.22589057499034</v>
      </c>
      <c r="CO44" s="93">
        <v>0</v>
      </c>
      <c r="CP44" s="93">
        <v>1</v>
      </c>
      <c r="CQ44" s="93">
        <v>1</v>
      </c>
      <c r="CR44" s="93">
        <v>0</v>
      </c>
      <c r="CS44" s="102">
        <f t="shared" si="20"/>
        <v>99.900040022751838</v>
      </c>
      <c r="CT44" s="102">
        <f t="shared" si="21"/>
        <v>5.5839599881841302</v>
      </c>
      <c r="CU44" s="102">
        <f t="shared" si="22"/>
        <v>5.5895472983918781E-2</v>
      </c>
      <c r="CV44" s="108">
        <f t="shared" si="23"/>
        <v>99.587921938089011</v>
      </c>
      <c r="CZ44" s="109" t="str">
        <f t="shared" si="24"/>
        <v>Medio-Alto</v>
      </c>
    </row>
    <row r="45" spans="1:104" x14ac:dyDescent="0.15">
      <c r="A45" s="85">
        <v>3</v>
      </c>
      <c r="B45" s="85">
        <v>2</v>
      </c>
      <c r="C45" s="85">
        <v>3</v>
      </c>
      <c r="D45" s="85">
        <v>0</v>
      </c>
      <c r="E45" s="85">
        <v>1</v>
      </c>
      <c r="F45" s="18">
        <v>1</v>
      </c>
      <c r="I45" s="64">
        <f t="shared" si="1"/>
        <v>93.428492305734082</v>
      </c>
      <c r="J45" s="18">
        <v>1</v>
      </c>
      <c r="M45" s="64">
        <f t="shared" si="2"/>
        <v>95.705097084683388</v>
      </c>
      <c r="N45" s="18">
        <v>1</v>
      </c>
      <c r="Q45" s="64">
        <f t="shared" si="0"/>
        <v>98.246708656674187</v>
      </c>
      <c r="R45" s="18">
        <v>2</v>
      </c>
      <c r="U45" s="64">
        <f t="shared" si="3"/>
        <v>101.34799174124942</v>
      </c>
      <c r="V45" s="18">
        <v>1</v>
      </c>
      <c r="Y45" s="114">
        <f t="shared" si="4"/>
        <v>91.426614478012453</v>
      </c>
      <c r="Z45" s="18">
        <v>2</v>
      </c>
      <c r="AC45" s="64">
        <f t="shared" si="5"/>
        <v>101.50550517487696</v>
      </c>
      <c r="AD45" s="24">
        <v>2</v>
      </c>
      <c r="AE45" s="71"/>
      <c r="AF45" s="71"/>
      <c r="AG45" s="71">
        <f t="shared" si="6"/>
        <v>101.01229126330007</v>
      </c>
      <c r="AH45" s="18">
        <v>2</v>
      </c>
      <c r="AK45" s="64">
        <f t="shared" si="7"/>
        <v>99.518280131348902</v>
      </c>
      <c r="AL45" s="18">
        <v>3</v>
      </c>
      <c r="AM45" s="71"/>
      <c r="AN45" s="71"/>
      <c r="AO45" s="71">
        <f t="shared" si="8"/>
        <v>100.85056924463234</v>
      </c>
      <c r="AP45" s="18">
        <v>2</v>
      </c>
      <c r="AQ45" s="71"/>
      <c r="AR45" s="71"/>
      <c r="AS45" s="71">
        <f t="shared" si="9"/>
        <v>99.909880620416757</v>
      </c>
      <c r="AT45" s="18">
        <v>0</v>
      </c>
      <c r="AU45" s="71"/>
      <c r="AV45" s="71"/>
      <c r="AW45" s="71">
        <f t="shared" si="10"/>
        <v>89.214252251088965</v>
      </c>
      <c r="AX45" s="18">
        <v>2</v>
      </c>
      <c r="AY45" s="71"/>
      <c r="AZ45" s="71"/>
      <c r="BA45" s="71">
        <f t="shared" si="11"/>
        <v>100.92776194547928</v>
      </c>
      <c r="BB45" s="85">
        <v>1</v>
      </c>
      <c r="BC45" s="85">
        <v>0</v>
      </c>
      <c r="BD45" s="85">
        <v>1</v>
      </c>
      <c r="BE45" s="85">
        <v>0</v>
      </c>
      <c r="BF45" s="85">
        <v>0</v>
      </c>
      <c r="BG45" s="85">
        <v>0</v>
      </c>
      <c r="BH45" s="19">
        <v>0</v>
      </c>
      <c r="BI45" s="71"/>
      <c r="BJ45" s="71"/>
      <c r="BK45" s="71">
        <f t="shared" si="12"/>
        <v>92.176238572378367</v>
      </c>
      <c r="BL45" s="18">
        <v>1</v>
      </c>
      <c r="BM45" s="71"/>
      <c r="BN45" s="71"/>
      <c r="BO45" s="71">
        <f t="shared" si="13"/>
        <v>92.606326748686826</v>
      </c>
      <c r="BP45" s="18">
        <v>1</v>
      </c>
      <c r="BQ45" s="71"/>
      <c r="BR45" s="71"/>
      <c r="BS45" s="138">
        <f t="shared" si="14"/>
        <v>100.16171091563201</v>
      </c>
      <c r="BT45" s="18">
        <v>1</v>
      </c>
      <c r="BU45" s="71"/>
      <c r="BV45" s="71"/>
      <c r="BW45" s="71">
        <f t="shared" si="15"/>
        <v>93.001214173698628</v>
      </c>
      <c r="BX45" s="85">
        <v>0</v>
      </c>
      <c r="BY45" s="18">
        <v>3</v>
      </c>
      <c r="BZ45" s="71"/>
      <c r="CA45" s="71"/>
      <c r="CB45" s="71">
        <f t="shared" si="16"/>
        <v>110.05345743585116</v>
      </c>
      <c r="CC45" s="18">
        <v>3</v>
      </c>
      <c r="CD45" s="71"/>
      <c r="CE45" s="71"/>
      <c r="CF45" s="71">
        <f t="shared" si="17"/>
        <v>109.36214907383548</v>
      </c>
      <c r="CG45" s="18">
        <v>1</v>
      </c>
      <c r="CH45" s="71"/>
      <c r="CI45" s="71"/>
      <c r="CJ45" s="138">
        <f t="shared" si="18"/>
        <v>103.93736139675698</v>
      </c>
      <c r="CK45" s="18">
        <v>2</v>
      </c>
      <c r="CL45" s="71"/>
      <c r="CM45" s="71"/>
      <c r="CN45" s="71">
        <f t="shared" si="19"/>
        <v>100.22589057499034</v>
      </c>
      <c r="CO45" s="94">
        <v>0</v>
      </c>
      <c r="CP45" s="94">
        <v>1</v>
      </c>
      <c r="CQ45" s="94">
        <v>1</v>
      </c>
      <c r="CR45" s="94">
        <v>0</v>
      </c>
      <c r="CS45" s="102">
        <f t="shared" si="20"/>
        <v>98.770123941113255</v>
      </c>
      <c r="CT45" s="102">
        <f t="shared" si="21"/>
        <v>5.6782999089977375</v>
      </c>
      <c r="CU45" s="102">
        <f t="shared" si="22"/>
        <v>5.7490055519046832E-2</v>
      </c>
      <c r="CV45" s="108">
        <f t="shared" si="23"/>
        <v>98.443678164091182</v>
      </c>
      <c r="CZ45" s="109" t="str">
        <f t="shared" si="24"/>
        <v>Medio-Basso</v>
      </c>
    </row>
    <row r="46" spans="1:104" x14ac:dyDescent="0.15">
      <c r="A46" s="84">
        <v>2</v>
      </c>
      <c r="B46" s="84">
        <v>1</v>
      </c>
      <c r="C46" s="84">
        <v>3</v>
      </c>
      <c r="D46" s="84">
        <v>2</v>
      </c>
      <c r="E46" s="85">
        <v>1</v>
      </c>
      <c r="F46" s="17">
        <v>1</v>
      </c>
      <c r="I46" s="64">
        <f t="shared" si="1"/>
        <v>93.428492305734082</v>
      </c>
      <c r="J46" s="17">
        <v>0</v>
      </c>
      <c r="M46" s="64">
        <f t="shared" si="2"/>
        <v>81.388754033628004</v>
      </c>
      <c r="N46" s="17">
        <v>0</v>
      </c>
      <c r="Q46" s="64">
        <f t="shared" si="0"/>
        <v>82.559365058495843</v>
      </c>
      <c r="R46" s="17">
        <v>0</v>
      </c>
      <c r="U46" s="64">
        <f t="shared" si="3"/>
        <v>81.845132506151486</v>
      </c>
      <c r="V46" s="17">
        <v>2</v>
      </c>
      <c r="Y46" s="114">
        <f t="shared" si="4"/>
        <v>97.875621286587162</v>
      </c>
      <c r="Z46" s="17">
        <v>3</v>
      </c>
      <c r="AC46" s="64">
        <f t="shared" si="5"/>
        <v>109.50350141641081</v>
      </c>
      <c r="AD46" s="25">
        <v>0</v>
      </c>
      <c r="AE46" s="71"/>
      <c r="AF46" s="71"/>
      <c r="AG46" s="71">
        <f t="shared" si="6"/>
        <v>84.62281366701329</v>
      </c>
      <c r="AH46" s="17">
        <v>1</v>
      </c>
      <c r="AK46" s="64">
        <f t="shared" si="7"/>
        <v>88.599296441923855</v>
      </c>
      <c r="AL46" s="17">
        <v>3</v>
      </c>
      <c r="AM46" s="71"/>
      <c r="AN46" s="71"/>
      <c r="AO46" s="71">
        <f t="shared" si="8"/>
        <v>100.85056924463234</v>
      </c>
      <c r="AP46" s="17">
        <v>0</v>
      </c>
      <c r="AQ46" s="71"/>
      <c r="AR46" s="71"/>
      <c r="AS46" s="71">
        <f t="shared" si="9"/>
        <v>79.482821248216453</v>
      </c>
      <c r="AT46" s="17">
        <v>0</v>
      </c>
      <c r="AU46" s="71"/>
      <c r="AV46" s="71"/>
      <c r="AW46" s="71">
        <f t="shared" si="10"/>
        <v>89.214252251088965</v>
      </c>
      <c r="AX46" s="17">
        <v>3</v>
      </c>
      <c r="AY46" s="71"/>
      <c r="AZ46" s="71"/>
      <c r="BA46" s="71">
        <f t="shared" si="11"/>
        <v>111.80497096144313</v>
      </c>
      <c r="BB46" s="84">
        <v>0</v>
      </c>
      <c r="BC46" s="84">
        <v>0</v>
      </c>
      <c r="BD46" s="84">
        <v>1</v>
      </c>
      <c r="BE46" s="84">
        <v>1</v>
      </c>
      <c r="BF46" s="84">
        <v>0</v>
      </c>
      <c r="BG46" s="84">
        <v>0</v>
      </c>
      <c r="BH46" s="20">
        <v>0</v>
      </c>
      <c r="BI46" s="71"/>
      <c r="BJ46" s="71"/>
      <c r="BK46" s="71">
        <f t="shared" si="12"/>
        <v>92.176238572378367</v>
      </c>
      <c r="BL46" s="17">
        <v>0</v>
      </c>
      <c r="BM46" s="71"/>
      <c r="BN46" s="71"/>
      <c r="BO46" s="71">
        <f t="shared" si="13"/>
        <v>83.261163531413686</v>
      </c>
      <c r="BP46" s="17">
        <v>1</v>
      </c>
      <c r="BQ46" s="71"/>
      <c r="BR46" s="71"/>
      <c r="BS46" s="138">
        <f t="shared" si="14"/>
        <v>100.16171091563201</v>
      </c>
      <c r="BT46" s="17">
        <v>0</v>
      </c>
      <c r="BU46" s="71"/>
      <c r="BV46" s="71"/>
      <c r="BW46" s="71">
        <f t="shared" si="15"/>
        <v>83.482865449928767</v>
      </c>
      <c r="BX46" s="84">
        <v>2</v>
      </c>
      <c r="BY46" s="17">
        <v>0</v>
      </c>
      <c r="BZ46" s="71"/>
      <c r="CA46" s="71"/>
      <c r="CB46" s="71">
        <f t="shared" si="16"/>
        <v>81.489316531761531</v>
      </c>
      <c r="CC46" s="17">
        <v>0</v>
      </c>
      <c r="CD46" s="71"/>
      <c r="CE46" s="71"/>
      <c r="CF46" s="71">
        <f t="shared" si="17"/>
        <v>81.842287242964616</v>
      </c>
      <c r="CG46" s="17">
        <v>0</v>
      </c>
      <c r="CH46" s="71"/>
      <c r="CI46" s="71"/>
      <c r="CJ46" s="138">
        <f t="shared" si="18"/>
        <v>89.226340793489143</v>
      </c>
      <c r="CK46" s="17">
        <v>2</v>
      </c>
      <c r="CL46" s="71"/>
      <c r="CM46" s="71"/>
      <c r="CN46" s="71">
        <f t="shared" si="19"/>
        <v>100.22589057499034</v>
      </c>
      <c r="CO46" s="93">
        <v>0</v>
      </c>
      <c r="CP46" s="93">
        <v>1</v>
      </c>
      <c r="CQ46" s="93">
        <v>1</v>
      </c>
      <c r="CR46" s="93">
        <v>0</v>
      </c>
      <c r="CS46" s="102">
        <f t="shared" si="20"/>
        <v>89.751631237539755</v>
      </c>
      <c r="CT46" s="102">
        <f t="shared" si="21"/>
        <v>10.18140738808823</v>
      </c>
      <c r="CU46" s="102">
        <f t="shared" si="22"/>
        <v>0.11343980324036415</v>
      </c>
      <c r="CV46" s="108">
        <f t="shared" si="23"/>
        <v>88.596654386725035</v>
      </c>
      <c r="CZ46" s="109" t="str">
        <f t="shared" si="24"/>
        <v>Basso</v>
      </c>
    </row>
    <row r="47" spans="1:104" x14ac:dyDescent="0.15">
      <c r="A47" s="85">
        <v>3</v>
      </c>
      <c r="B47" s="85">
        <v>1</v>
      </c>
      <c r="C47" s="85">
        <v>3</v>
      </c>
      <c r="D47" s="85">
        <v>2</v>
      </c>
      <c r="E47" s="85">
        <v>1</v>
      </c>
      <c r="F47" s="18">
        <v>1</v>
      </c>
      <c r="I47" s="64">
        <f t="shared" si="1"/>
        <v>93.428492305734082</v>
      </c>
      <c r="J47" s="18">
        <v>1</v>
      </c>
      <c r="M47" s="64">
        <f t="shared" si="2"/>
        <v>95.705097084683388</v>
      </c>
      <c r="N47" s="18">
        <v>0</v>
      </c>
      <c r="Q47" s="64">
        <f t="shared" si="0"/>
        <v>82.559365058495843</v>
      </c>
      <c r="R47" s="18">
        <v>2</v>
      </c>
      <c r="U47" s="64">
        <f t="shared" si="3"/>
        <v>101.34799174124942</v>
      </c>
      <c r="V47" s="18">
        <v>1</v>
      </c>
      <c r="Y47" s="114">
        <f t="shared" si="4"/>
        <v>91.426614478012453</v>
      </c>
      <c r="Z47" s="18">
        <v>0</v>
      </c>
      <c r="AC47" s="64">
        <f t="shared" si="5"/>
        <v>85.509512691809249</v>
      </c>
      <c r="AD47" s="24">
        <v>2</v>
      </c>
      <c r="AE47" s="71"/>
      <c r="AF47" s="71"/>
      <c r="AG47" s="71">
        <f t="shared" si="6"/>
        <v>101.01229126330007</v>
      </c>
      <c r="AH47" s="18">
        <v>2</v>
      </c>
      <c r="AK47" s="64">
        <f t="shared" si="7"/>
        <v>99.518280131348902</v>
      </c>
      <c r="AL47" s="18">
        <v>0</v>
      </c>
      <c r="AM47" s="71"/>
      <c r="AN47" s="71"/>
      <c r="AO47" s="71">
        <f t="shared" si="8"/>
        <v>67.482083493671226</v>
      </c>
      <c r="AP47" s="18">
        <v>2</v>
      </c>
      <c r="AQ47" s="71"/>
      <c r="AR47" s="71"/>
      <c r="AS47" s="71">
        <f t="shared" si="9"/>
        <v>99.909880620416757</v>
      </c>
      <c r="AT47" s="18">
        <v>2</v>
      </c>
      <c r="AU47" s="71"/>
      <c r="AV47" s="71"/>
      <c r="AW47" s="71">
        <f t="shared" si="10"/>
        <v>110.91338973410525</v>
      </c>
      <c r="AX47" s="18">
        <v>1</v>
      </c>
      <c r="AY47" s="71"/>
      <c r="AZ47" s="71"/>
      <c r="BA47" s="71">
        <f t="shared" si="11"/>
        <v>90.050552929515405</v>
      </c>
      <c r="BB47" s="85">
        <v>0</v>
      </c>
      <c r="BC47" s="85">
        <v>1</v>
      </c>
      <c r="BD47" s="85">
        <v>1</v>
      </c>
      <c r="BE47" s="85">
        <v>0</v>
      </c>
      <c r="BF47" s="85">
        <v>0</v>
      </c>
      <c r="BG47" s="85">
        <v>0</v>
      </c>
      <c r="BH47" s="19">
        <v>0</v>
      </c>
      <c r="BI47" s="71"/>
      <c r="BJ47" s="71"/>
      <c r="BK47" s="71">
        <f t="shared" si="12"/>
        <v>92.176238572378367</v>
      </c>
      <c r="BL47" s="18">
        <v>0</v>
      </c>
      <c r="BM47" s="71"/>
      <c r="BN47" s="71"/>
      <c r="BO47" s="71">
        <f t="shared" si="13"/>
        <v>83.261163531413686</v>
      </c>
      <c r="BP47" s="18">
        <v>1</v>
      </c>
      <c r="BQ47" s="71"/>
      <c r="BR47" s="71"/>
      <c r="BS47" s="138">
        <f t="shared" si="14"/>
        <v>100.16171091563201</v>
      </c>
      <c r="BT47" s="18">
        <v>2</v>
      </c>
      <c r="BU47" s="71"/>
      <c r="BV47" s="71"/>
      <c r="BW47" s="71">
        <f t="shared" si="15"/>
        <v>102.51956289746849</v>
      </c>
      <c r="BX47" s="85">
        <v>1</v>
      </c>
      <c r="BY47" s="18">
        <v>2</v>
      </c>
      <c r="BZ47" s="71"/>
      <c r="CA47" s="71"/>
      <c r="CB47" s="71">
        <f t="shared" si="16"/>
        <v>100.53207713448795</v>
      </c>
      <c r="CC47" s="18">
        <v>2</v>
      </c>
      <c r="CD47" s="71"/>
      <c r="CE47" s="71"/>
      <c r="CF47" s="71">
        <f t="shared" si="17"/>
        <v>100.18886179687853</v>
      </c>
      <c r="CG47" s="18">
        <v>0</v>
      </c>
      <c r="CH47" s="71"/>
      <c r="CI47" s="71"/>
      <c r="CJ47" s="138">
        <f t="shared" si="18"/>
        <v>89.226340793489143</v>
      </c>
      <c r="CK47" s="18">
        <v>0</v>
      </c>
      <c r="CL47" s="71"/>
      <c r="CM47" s="71"/>
      <c r="CN47" s="71">
        <f t="shared" si="19"/>
        <v>81.025191700811078</v>
      </c>
      <c r="CO47" s="94">
        <v>1</v>
      </c>
      <c r="CP47" s="94">
        <v>0</v>
      </c>
      <c r="CQ47" s="94">
        <v>1</v>
      </c>
      <c r="CR47" s="94">
        <v>0</v>
      </c>
      <c r="CS47" s="102">
        <f t="shared" si="20"/>
        <v>93.361178393398092</v>
      </c>
      <c r="CT47" s="102">
        <f t="shared" si="21"/>
        <v>10.645493039972902</v>
      </c>
      <c r="CU47" s="102">
        <f t="shared" si="22"/>
        <v>0.1140248358382512</v>
      </c>
      <c r="CV47" s="108">
        <f t="shared" si="23"/>
        <v>92.14732779709793</v>
      </c>
      <c r="CZ47" s="109" t="str">
        <f t="shared" si="24"/>
        <v>Basso</v>
      </c>
    </row>
    <row r="48" spans="1:104" x14ac:dyDescent="0.15">
      <c r="A48" s="84">
        <v>3</v>
      </c>
      <c r="B48" s="84">
        <v>1</v>
      </c>
      <c r="C48" s="84">
        <v>3</v>
      </c>
      <c r="D48" s="84">
        <v>2</v>
      </c>
      <c r="E48" s="85">
        <v>1</v>
      </c>
      <c r="F48" s="17">
        <v>2</v>
      </c>
      <c r="I48" s="64">
        <f t="shared" si="1"/>
        <v>109.85726154139888</v>
      </c>
      <c r="J48" s="17">
        <v>1</v>
      </c>
      <c r="M48" s="64">
        <f t="shared" si="2"/>
        <v>95.705097084683388</v>
      </c>
      <c r="N48" s="17">
        <v>1</v>
      </c>
      <c r="Q48" s="64">
        <f t="shared" si="0"/>
        <v>98.246708656674187</v>
      </c>
      <c r="R48" s="17">
        <v>2</v>
      </c>
      <c r="U48" s="64">
        <f t="shared" si="3"/>
        <v>101.34799174124942</v>
      </c>
      <c r="V48" s="17">
        <v>1</v>
      </c>
      <c r="Y48" s="114">
        <f t="shared" si="4"/>
        <v>91.426614478012453</v>
      </c>
      <c r="Z48" s="17">
        <v>0</v>
      </c>
      <c r="AC48" s="64">
        <f t="shared" si="5"/>
        <v>85.509512691809249</v>
      </c>
      <c r="AD48" s="25">
        <v>2</v>
      </c>
      <c r="AE48" s="71"/>
      <c r="AF48" s="71"/>
      <c r="AG48" s="71">
        <f t="shared" si="6"/>
        <v>101.01229126330007</v>
      </c>
      <c r="AH48" s="17">
        <v>2</v>
      </c>
      <c r="AK48" s="64">
        <f t="shared" si="7"/>
        <v>99.518280131348902</v>
      </c>
      <c r="AL48" s="17">
        <v>3</v>
      </c>
      <c r="AM48" s="71"/>
      <c r="AN48" s="71"/>
      <c r="AO48" s="71">
        <f t="shared" si="8"/>
        <v>100.85056924463234</v>
      </c>
      <c r="AP48" s="17">
        <v>2</v>
      </c>
      <c r="AQ48" s="71"/>
      <c r="AR48" s="71"/>
      <c r="AS48" s="71">
        <f t="shared" si="9"/>
        <v>99.909880620416757</v>
      </c>
      <c r="AT48" s="17">
        <v>2</v>
      </c>
      <c r="AU48" s="71"/>
      <c r="AV48" s="71"/>
      <c r="AW48" s="71">
        <f t="shared" si="10"/>
        <v>110.91338973410525</v>
      </c>
      <c r="AX48" s="17">
        <v>2</v>
      </c>
      <c r="AY48" s="71"/>
      <c r="AZ48" s="71"/>
      <c r="BA48" s="71">
        <f t="shared" si="11"/>
        <v>100.92776194547928</v>
      </c>
      <c r="BB48" s="84">
        <v>1</v>
      </c>
      <c r="BC48" s="84">
        <v>0</v>
      </c>
      <c r="BD48" s="84">
        <v>1</v>
      </c>
      <c r="BE48" s="84">
        <v>0</v>
      </c>
      <c r="BF48" s="84">
        <v>0</v>
      </c>
      <c r="BG48" s="84">
        <v>0</v>
      </c>
      <c r="BH48" s="20">
        <v>0</v>
      </c>
      <c r="BI48" s="71"/>
      <c r="BJ48" s="71"/>
      <c r="BK48" s="71">
        <f t="shared" si="12"/>
        <v>92.176238572378367</v>
      </c>
      <c r="BL48" s="17">
        <v>1</v>
      </c>
      <c r="BM48" s="71"/>
      <c r="BN48" s="71"/>
      <c r="BO48" s="71">
        <f t="shared" si="13"/>
        <v>92.606326748686826</v>
      </c>
      <c r="BP48" s="17">
        <v>0</v>
      </c>
      <c r="BQ48" s="71"/>
      <c r="BR48" s="71"/>
      <c r="BS48" s="138">
        <f t="shared" si="14"/>
        <v>86.456710815818582</v>
      </c>
      <c r="BT48" s="17">
        <v>2</v>
      </c>
      <c r="BU48" s="71"/>
      <c r="BV48" s="71"/>
      <c r="BW48" s="71">
        <f t="shared" si="15"/>
        <v>102.51956289746849</v>
      </c>
      <c r="BX48" s="84">
        <v>1</v>
      </c>
      <c r="BY48" s="17">
        <v>2</v>
      </c>
      <c r="BZ48" s="71"/>
      <c r="CA48" s="71"/>
      <c r="CB48" s="71">
        <f t="shared" si="16"/>
        <v>100.53207713448795</v>
      </c>
      <c r="CC48" s="17">
        <v>3</v>
      </c>
      <c r="CD48" s="71"/>
      <c r="CE48" s="71"/>
      <c r="CF48" s="71">
        <f t="shared" si="17"/>
        <v>109.36214907383548</v>
      </c>
      <c r="CG48" s="17">
        <v>0</v>
      </c>
      <c r="CH48" s="71"/>
      <c r="CI48" s="71"/>
      <c r="CJ48" s="138">
        <f t="shared" si="18"/>
        <v>89.226340793489143</v>
      </c>
      <c r="CK48" s="17">
        <v>2</v>
      </c>
      <c r="CL48" s="71"/>
      <c r="CM48" s="71"/>
      <c r="CN48" s="71">
        <f t="shared" si="19"/>
        <v>100.22589057499034</v>
      </c>
      <c r="CO48" s="93">
        <v>0</v>
      </c>
      <c r="CP48" s="93">
        <v>1</v>
      </c>
      <c r="CQ48" s="93">
        <v>1</v>
      </c>
      <c r="CR48" s="93">
        <v>0</v>
      </c>
      <c r="CS48" s="102">
        <f t="shared" si="20"/>
        <v>100.07182292099679</v>
      </c>
      <c r="CT48" s="102">
        <f t="shared" si="21"/>
        <v>6.4350138054497945</v>
      </c>
      <c r="CU48" s="102">
        <f t="shared" si="22"/>
        <v>6.4303953077081574E-2</v>
      </c>
      <c r="CV48" s="108">
        <f t="shared" si="23"/>
        <v>99.658026095200782</v>
      </c>
      <c r="CZ48" s="109" t="str">
        <f t="shared" si="24"/>
        <v>Medio-Alto</v>
      </c>
    </row>
    <row r="49" spans="1:104" x14ac:dyDescent="0.15">
      <c r="A49" s="85">
        <v>3</v>
      </c>
      <c r="B49" s="85">
        <v>1</v>
      </c>
      <c r="C49" s="85">
        <v>3</v>
      </c>
      <c r="D49" s="85">
        <v>2</v>
      </c>
      <c r="E49" s="85">
        <v>1</v>
      </c>
      <c r="F49" s="18">
        <v>1</v>
      </c>
      <c r="I49" s="64">
        <f t="shared" si="1"/>
        <v>93.428492305734082</v>
      </c>
      <c r="J49" s="18">
        <v>2</v>
      </c>
      <c r="M49" s="64">
        <f t="shared" si="2"/>
        <v>110.02144013573877</v>
      </c>
      <c r="N49" s="18">
        <v>1</v>
      </c>
      <c r="Q49" s="64">
        <f t="shared" si="0"/>
        <v>98.246708656674187</v>
      </c>
      <c r="R49" s="18">
        <v>0</v>
      </c>
      <c r="U49" s="64">
        <f t="shared" si="3"/>
        <v>81.845132506151486</v>
      </c>
      <c r="V49" s="18">
        <v>0</v>
      </c>
      <c r="Y49" s="114">
        <f t="shared" si="4"/>
        <v>84.977607669437745</v>
      </c>
      <c r="Z49" s="18">
        <v>3</v>
      </c>
      <c r="AC49" s="64">
        <f t="shared" si="5"/>
        <v>109.50350141641081</v>
      </c>
      <c r="AD49" s="24">
        <v>0</v>
      </c>
      <c r="AE49" s="71"/>
      <c r="AF49" s="71"/>
      <c r="AG49" s="71">
        <f t="shared" si="6"/>
        <v>84.62281366701329</v>
      </c>
      <c r="AH49" s="18">
        <v>2</v>
      </c>
      <c r="AK49" s="64">
        <f t="shared" si="7"/>
        <v>99.518280131348902</v>
      </c>
      <c r="AL49" s="18">
        <v>3</v>
      </c>
      <c r="AM49" s="71"/>
      <c r="AN49" s="71"/>
      <c r="AO49" s="71">
        <f t="shared" si="8"/>
        <v>100.85056924463234</v>
      </c>
      <c r="AP49" s="18">
        <v>2</v>
      </c>
      <c r="AQ49" s="71"/>
      <c r="AR49" s="71"/>
      <c r="AS49" s="71">
        <f t="shared" si="9"/>
        <v>99.909880620416757</v>
      </c>
      <c r="AT49" s="18">
        <v>0</v>
      </c>
      <c r="AU49" s="71"/>
      <c r="AV49" s="71"/>
      <c r="AW49" s="71">
        <f t="shared" si="10"/>
        <v>89.214252251088965</v>
      </c>
      <c r="AX49" s="18">
        <v>2</v>
      </c>
      <c r="AY49" s="71"/>
      <c r="AZ49" s="71"/>
      <c r="BA49" s="71">
        <f t="shared" si="11"/>
        <v>100.92776194547928</v>
      </c>
      <c r="BB49" s="85">
        <v>1</v>
      </c>
      <c r="BC49" s="85">
        <v>0</v>
      </c>
      <c r="BD49" s="85">
        <v>1</v>
      </c>
      <c r="BE49" s="85">
        <v>0</v>
      </c>
      <c r="BF49" s="85">
        <v>0</v>
      </c>
      <c r="BG49" s="85">
        <v>0</v>
      </c>
      <c r="BH49" s="20">
        <v>0</v>
      </c>
      <c r="BI49" s="71"/>
      <c r="BJ49" s="71"/>
      <c r="BK49" s="71">
        <f t="shared" si="12"/>
        <v>92.176238572378367</v>
      </c>
      <c r="BL49" s="18">
        <v>1</v>
      </c>
      <c r="BM49" s="71"/>
      <c r="BN49" s="71"/>
      <c r="BO49" s="71">
        <f t="shared" si="13"/>
        <v>92.606326748686826</v>
      </c>
      <c r="BP49" s="18">
        <v>1</v>
      </c>
      <c r="BQ49" s="71"/>
      <c r="BR49" s="71"/>
      <c r="BS49" s="138">
        <f t="shared" si="14"/>
        <v>100.16171091563201</v>
      </c>
      <c r="BT49" s="18">
        <v>2</v>
      </c>
      <c r="BU49" s="71"/>
      <c r="BV49" s="71"/>
      <c r="BW49" s="71">
        <f t="shared" si="15"/>
        <v>102.51956289746849</v>
      </c>
      <c r="BX49" s="85">
        <v>2</v>
      </c>
      <c r="BY49" s="18">
        <v>2</v>
      </c>
      <c r="BZ49" s="71"/>
      <c r="CA49" s="71"/>
      <c r="CB49" s="71">
        <f t="shared" si="16"/>
        <v>100.53207713448795</v>
      </c>
      <c r="CC49" s="18">
        <v>0</v>
      </c>
      <c r="CD49" s="71"/>
      <c r="CE49" s="71"/>
      <c r="CF49" s="71">
        <f t="shared" si="17"/>
        <v>81.842287242964616</v>
      </c>
      <c r="CG49" s="18">
        <v>1</v>
      </c>
      <c r="CH49" s="71"/>
      <c r="CI49" s="71"/>
      <c r="CJ49" s="138">
        <f t="shared" si="18"/>
        <v>103.93736139675698</v>
      </c>
      <c r="CK49" s="18">
        <v>0</v>
      </c>
      <c r="CL49" s="71"/>
      <c r="CM49" s="71"/>
      <c r="CN49" s="71">
        <f t="shared" si="19"/>
        <v>81.025191700811078</v>
      </c>
      <c r="CO49" s="94">
        <v>0</v>
      </c>
      <c r="CP49" s="94">
        <v>0</v>
      </c>
      <c r="CQ49" s="94">
        <v>0</v>
      </c>
      <c r="CR49" s="94">
        <v>1</v>
      </c>
      <c r="CS49" s="102">
        <f t="shared" si="20"/>
        <v>95.222971598675656</v>
      </c>
      <c r="CT49" s="102">
        <f t="shared" si="21"/>
        <v>9.1703775343926086</v>
      </c>
      <c r="CU49" s="102">
        <f t="shared" si="22"/>
        <v>9.6304257055134249E-2</v>
      </c>
      <c r="CV49" s="108">
        <f t="shared" si="23"/>
        <v>94.33982520331088</v>
      </c>
      <c r="CZ49" s="109" t="str">
        <f t="shared" si="24"/>
        <v>Basso</v>
      </c>
    </row>
    <row r="50" spans="1:104" x14ac:dyDescent="0.15">
      <c r="A50" s="84">
        <v>4</v>
      </c>
      <c r="B50" s="84">
        <v>1</v>
      </c>
      <c r="C50" s="84">
        <v>2</v>
      </c>
      <c r="D50" s="84">
        <v>2</v>
      </c>
      <c r="E50" s="85">
        <v>1</v>
      </c>
      <c r="F50" s="17">
        <v>2</v>
      </c>
      <c r="I50" s="64">
        <f t="shared" si="1"/>
        <v>109.85726154139888</v>
      </c>
      <c r="J50" s="17">
        <v>2</v>
      </c>
      <c r="M50" s="64">
        <f t="shared" si="2"/>
        <v>110.02144013573877</v>
      </c>
      <c r="N50" s="17">
        <v>2</v>
      </c>
      <c r="Q50" s="64">
        <f t="shared" si="0"/>
        <v>113.93405225485253</v>
      </c>
      <c r="R50" s="17">
        <v>3</v>
      </c>
      <c r="U50" s="64">
        <f t="shared" si="3"/>
        <v>111.09942135879838</v>
      </c>
      <c r="V50" s="17">
        <v>1</v>
      </c>
      <c r="Y50" s="114">
        <f t="shared" si="4"/>
        <v>91.426614478012453</v>
      </c>
      <c r="Z50" s="17">
        <v>3</v>
      </c>
      <c r="AC50" s="64">
        <f t="shared" si="5"/>
        <v>109.50350141641081</v>
      </c>
      <c r="AD50" s="25">
        <v>2</v>
      </c>
      <c r="AE50" s="71"/>
      <c r="AF50" s="71"/>
      <c r="AG50" s="71">
        <f t="shared" si="6"/>
        <v>101.01229126330007</v>
      </c>
      <c r="AH50" s="17">
        <v>3</v>
      </c>
      <c r="AK50" s="64">
        <f t="shared" si="7"/>
        <v>110.43726382077395</v>
      </c>
      <c r="AL50" s="17">
        <v>4</v>
      </c>
      <c r="AM50" s="71"/>
      <c r="AN50" s="71"/>
      <c r="AO50" s="71">
        <f t="shared" si="8"/>
        <v>111.97339782828605</v>
      </c>
      <c r="AP50" s="17">
        <v>2</v>
      </c>
      <c r="AQ50" s="71"/>
      <c r="AR50" s="71"/>
      <c r="AS50" s="71">
        <f t="shared" si="9"/>
        <v>99.909880620416757</v>
      </c>
      <c r="AT50" s="17">
        <v>1</v>
      </c>
      <c r="AU50" s="71"/>
      <c r="AV50" s="71"/>
      <c r="AW50" s="71">
        <f t="shared" si="10"/>
        <v>100.0638209925971</v>
      </c>
      <c r="AX50" s="17">
        <v>2</v>
      </c>
      <c r="AY50" s="71"/>
      <c r="AZ50" s="71"/>
      <c r="BA50" s="71">
        <f t="shared" si="11"/>
        <v>100.92776194547928</v>
      </c>
      <c r="BB50" s="84">
        <v>1</v>
      </c>
      <c r="BC50" s="84">
        <v>0</v>
      </c>
      <c r="BD50" s="84">
        <v>1</v>
      </c>
      <c r="BE50" s="84">
        <v>0</v>
      </c>
      <c r="BF50" s="84">
        <v>0</v>
      </c>
      <c r="BG50" s="84">
        <v>0</v>
      </c>
      <c r="BH50" s="20">
        <v>0</v>
      </c>
      <c r="BI50" s="71"/>
      <c r="BJ50" s="71"/>
      <c r="BK50" s="71">
        <f t="shared" si="12"/>
        <v>92.176238572378367</v>
      </c>
      <c r="BL50" s="17">
        <v>3</v>
      </c>
      <c r="BM50" s="71"/>
      <c r="BN50" s="71"/>
      <c r="BO50" s="71">
        <f t="shared" si="13"/>
        <v>111.29665318323313</v>
      </c>
      <c r="BP50" s="17">
        <v>2</v>
      </c>
      <c r="BQ50" s="71"/>
      <c r="BR50" s="71"/>
      <c r="BS50" s="138">
        <f t="shared" si="14"/>
        <v>113.86671101544545</v>
      </c>
      <c r="BT50" s="17">
        <v>3</v>
      </c>
      <c r="BU50" s="71"/>
      <c r="BV50" s="71"/>
      <c r="BW50" s="71">
        <f t="shared" si="15"/>
        <v>112.03791162123835</v>
      </c>
      <c r="BX50" s="84">
        <v>2</v>
      </c>
      <c r="BY50" s="17">
        <v>3</v>
      </c>
      <c r="BZ50" s="71"/>
      <c r="CA50" s="71"/>
      <c r="CB50" s="71">
        <f t="shared" si="16"/>
        <v>110.05345743585116</v>
      </c>
      <c r="CC50" s="17">
        <v>3</v>
      </c>
      <c r="CD50" s="71"/>
      <c r="CE50" s="71"/>
      <c r="CF50" s="71">
        <f t="shared" si="17"/>
        <v>109.36214907383548</v>
      </c>
      <c r="CG50" s="17">
        <v>2</v>
      </c>
      <c r="CH50" s="71"/>
      <c r="CI50" s="71"/>
      <c r="CJ50" s="138">
        <f t="shared" si="18"/>
        <v>118.64838200002481</v>
      </c>
      <c r="CK50" s="17">
        <v>3</v>
      </c>
      <c r="CL50" s="71"/>
      <c r="CM50" s="71"/>
      <c r="CN50" s="71">
        <f t="shared" si="19"/>
        <v>109.82624001207998</v>
      </c>
      <c r="CO50" s="93">
        <v>1</v>
      </c>
      <c r="CP50" s="93">
        <v>1</v>
      </c>
      <c r="CQ50" s="93">
        <v>0</v>
      </c>
      <c r="CR50" s="93">
        <v>0</v>
      </c>
      <c r="CS50" s="102">
        <f t="shared" si="20"/>
        <v>107.26427900450996</v>
      </c>
      <c r="CT50" s="102">
        <f t="shared" si="21"/>
        <v>6.0280117027748981</v>
      </c>
      <c r="CU50" s="102">
        <f t="shared" si="22"/>
        <v>5.6197755289265017E-2</v>
      </c>
      <c r="CV50" s="108">
        <f t="shared" si="23"/>
        <v>106.92551827795658</v>
      </c>
      <c r="CZ50" s="109" t="str">
        <f t="shared" si="24"/>
        <v>Alto</v>
      </c>
    </row>
    <row r="51" spans="1:104" x14ac:dyDescent="0.15">
      <c r="A51" s="85">
        <v>3</v>
      </c>
      <c r="B51" s="85">
        <v>1</v>
      </c>
      <c r="C51" s="85">
        <v>1</v>
      </c>
      <c r="D51" s="85">
        <v>2</v>
      </c>
      <c r="E51" s="85">
        <v>1</v>
      </c>
      <c r="F51" s="18">
        <v>1</v>
      </c>
      <c r="I51" s="64">
        <f t="shared" si="1"/>
        <v>93.428492305734082</v>
      </c>
      <c r="J51" s="18">
        <v>1</v>
      </c>
      <c r="M51" s="64">
        <f t="shared" si="2"/>
        <v>95.705097084683388</v>
      </c>
      <c r="N51" s="18">
        <v>2</v>
      </c>
      <c r="Q51" s="64">
        <f t="shared" si="0"/>
        <v>113.93405225485253</v>
      </c>
      <c r="R51" s="18">
        <v>2</v>
      </c>
      <c r="U51" s="64">
        <f t="shared" si="3"/>
        <v>101.34799174124942</v>
      </c>
      <c r="V51" s="18">
        <v>1</v>
      </c>
      <c r="Y51" s="114">
        <f t="shared" si="4"/>
        <v>91.426614478012453</v>
      </c>
      <c r="Z51" s="18">
        <v>0</v>
      </c>
      <c r="AC51" s="64">
        <f t="shared" si="5"/>
        <v>85.509512691809249</v>
      </c>
      <c r="AD51" s="24">
        <v>3</v>
      </c>
      <c r="AE51" s="71"/>
      <c r="AF51" s="71"/>
      <c r="AG51" s="71">
        <f t="shared" si="6"/>
        <v>109.20703006144345</v>
      </c>
      <c r="AH51" s="18">
        <v>3</v>
      </c>
      <c r="AK51" s="64">
        <f t="shared" si="7"/>
        <v>110.43726382077395</v>
      </c>
      <c r="AL51" s="18">
        <v>3</v>
      </c>
      <c r="AM51" s="71"/>
      <c r="AN51" s="71"/>
      <c r="AO51" s="71">
        <f t="shared" si="8"/>
        <v>100.85056924463234</v>
      </c>
      <c r="AP51" s="18">
        <v>3</v>
      </c>
      <c r="AQ51" s="71"/>
      <c r="AR51" s="71"/>
      <c r="AS51" s="71">
        <f t="shared" si="9"/>
        <v>110.12341030651692</v>
      </c>
      <c r="AT51" s="18">
        <v>2</v>
      </c>
      <c r="AU51" s="71"/>
      <c r="AV51" s="71"/>
      <c r="AW51" s="71">
        <f t="shared" si="10"/>
        <v>110.91338973410525</v>
      </c>
      <c r="AX51" s="18">
        <v>2</v>
      </c>
      <c r="AY51" s="71"/>
      <c r="AZ51" s="71"/>
      <c r="BA51" s="71">
        <f t="shared" si="11"/>
        <v>100.92776194547928</v>
      </c>
      <c r="BB51" s="85">
        <v>1</v>
      </c>
      <c r="BC51" s="85">
        <v>0</v>
      </c>
      <c r="BD51" s="85">
        <v>1</v>
      </c>
      <c r="BE51" s="85">
        <v>0</v>
      </c>
      <c r="BF51" s="85">
        <v>0</v>
      </c>
      <c r="BG51" s="85">
        <v>0</v>
      </c>
      <c r="BH51" s="19">
        <v>0</v>
      </c>
      <c r="BI51" s="71"/>
      <c r="BJ51" s="71"/>
      <c r="BK51" s="71">
        <f t="shared" si="12"/>
        <v>92.176238572378367</v>
      </c>
      <c r="BL51" s="18">
        <v>0</v>
      </c>
      <c r="BM51" s="71"/>
      <c r="BN51" s="71"/>
      <c r="BO51" s="71">
        <f t="shared" si="13"/>
        <v>83.261163531413686</v>
      </c>
      <c r="BP51" s="18">
        <v>1</v>
      </c>
      <c r="BQ51" s="71"/>
      <c r="BR51" s="71"/>
      <c r="BS51" s="138">
        <f t="shared" si="14"/>
        <v>100.16171091563201</v>
      </c>
      <c r="BT51" s="18">
        <v>3</v>
      </c>
      <c r="BU51" s="71"/>
      <c r="BV51" s="71"/>
      <c r="BW51" s="71">
        <f t="shared" si="15"/>
        <v>112.03791162123835</v>
      </c>
      <c r="BX51" s="85">
        <v>1</v>
      </c>
      <c r="BY51" s="18">
        <v>2</v>
      </c>
      <c r="BZ51" s="71"/>
      <c r="CA51" s="71"/>
      <c r="CB51" s="71">
        <f t="shared" si="16"/>
        <v>100.53207713448795</v>
      </c>
      <c r="CC51" s="18">
        <v>3</v>
      </c>
      <c r="CD51" s="71"/>
      <c r="CE51" s="71"/>
      <c r="CF51" s="71">
        <f t="shared" si="17"/>
        <v>109.36214907383548</v>
      </c>
      <c r="CG51" s="18">
        <v>2</v>
      </c>
      <c r="CH51" s="71"/>
      <c r="CI51" s="71"/>
      <c r="CJ51" s="138">
        <f t="shared" si="18"/>
        <v>118.64838200002481</v>
      </c>
      <c r="CK51" s="18">
        <v>3</v>
      </c>
      <c r="CL51" s="71"/>
      <c r="CM51" s="71"/>
      <c r="CN51" s="71">
        <f t="shared" si="19"/>
        <v>109.82624001207998</v>
      </c>
      <c r="CO51" s="94">
        <v>1</v>
      </c>
      <c r="CP51" s="94">
        <v>0</v>
      </c>
      <c r="CQ51" s="94">
        <v>1</v>
      </c>
      <c r="CR51" s="94">
        <v>0</v>
      </c>
      <c r="CS51" s="102">
        <f t="shared" si="20"/>
        <v>102.32825594921847</v>
      </c>
      <c r="CT51" s="102">
        <f t="shared" si="21"/>
        <v>9.5626276885739667</v>
      </c>
      <c r="CU51" s="102">
        <f t="shared" si="22"/>
        <v>9.3450509831023862E-2</v>
      </c>
      <c r="CV51" s="108">
        <f t="shared" si="23"/>
        <v>101.43462351639697</v>
      </c>
      <c r="CZ51" s="109" t="str">
        <f t="shared" si="24"/>
        <v>Medio-Alto</v>
      </c>
    </row>
    <row r="52" spans="1:104" x14ac:dyDescent="0.15">
      <c r="A52" s="84">
        <v>1</v>
      </c>
      <c r="B52" s="84">
        <v>1</v>
      </c>
      <c r="C52" s="84">
        <v>1</v>
      </c>
      <c r="D52" s="84">
        <v>2</v>
      </c>
      <c r="E52" s="85">
        <v>1</v>
      </c>
      <c r="F52" s="17">
        <v>2</v>
      </c>
      <c r="I52" s="64">
        <f t="shared" si="1"/>
        <v>109.85726154139888</v>
      </c>
      <c r="J52" s="17">
        <v>2</v>
      </c>
      <c r="M52" s="64">
        <f t="shared" si="2"/>
        <v>110.02144013573877</v>
      </c>
      <c r="N52" s="17">
        <v>2</v>
      </c>
      <c r="Q52" s="64">
        <f t="shared" si="0"/>
        <v>113.93405225485253</v>
      </c>
      <c r="R52" s="17">
        <v>3</v>
      </c>
      <c r="U52" s="64">
        <f t="shared" si="3"/>
        <v>111.09942135879838</v>
      </c>
      <c r="V52" s="17">
        <v>0</v>
      </c>
      <c r="Y52" s="114">
        <f t="shared" si="4"/>
        <v>84.977607669437745</v>
      </c>
      <c r="Z52" s="17">
        <v>0</v>
      </c>
      <c r="AC52" s="64">
        <f t="shared" si="5"/>
        <v>85.509512691809249</v>
      </c>
      <c r="AD52" s="25">
        <v>3</v>
      </c>
      <c r="AE52" s="71"/>
      <c r="AF52" s="71"/>
      <c r="AG52" s="71">
        <f t="shared" si="6"/>
        <v>109.20703006144345</v>
      </c>
      <c r="AH52" s="17">
        <v>3</v>
      </c>
      <c r="AK52" s="64">
        <f t="shared" si="7"/>
        <v>110.43726382077395</v>
      </c>
      <c r="AL52" s="17">
        <v>3</v>
      </c>
      <c r="AM52" s="71"/>
      <c r="AN52" s="71"/>
      <c r="AO52" s="71">
        <f t="shared" si="8"/>
        <v>100.85056924463234</v>
      </c>
      <c r="AP52" s="17">
        <v>3</v>
      </c>
      <c r="AQ52" s="71"/>
      <c r="AR52" s="71"/>
      <c r="AS52" s="71">
        <f t="shared" si="9"/>
        <v>110.12341030651692</v>
      </c>
      <c r="AT52" s="17">
        <v>2</v>
      </c>
      <c r="AU52" s="71"/>
      <c r="AV52" s="71"/>
      <c r="AW52" s="71">
        <f t="shared" si="10"/>
        <v>110.91338973410525</v>
      </c>
      <c r="AX52" s="17">
        <v>0</v>
      </c>
      <c r="AY52" s="71"/>
      <c r="AZ52" s="71"/>
      <c r="BA52" s="71">
        <f t="shared" si="11"/>
        <v>79.173343913551548</v>
      </c>
      <c r="BB52" s="84">
        <v>1</v>
      </c>
      <c r="BC52" s="84">
        <v>0</v>
      </c>
      <c r="BD52" s="84">
        <v>0</v>
      </c>
      <c r="BE52" s="84">
        <v>1</v>
      </c>
      <c r="BF52" s="84">
        <v>0</v>
      </c>
      <c r="BG52" s="84">
        <v>0</v>
      </c>
      <c r="BH52" s="20">
        <v>0</v>
      </c>
      <c r="BI52" s="71"/>
      <c r="BJ52" s="71"/>
      <c r="BK52" s="71">
        <f t="shared" si="12"/>
        <v>92.176238572378367</v>
      </c>
      <c r="BL52" s="17">
        <v>0</v>
      </c>
      <c r="BM52" s="71"/>
      <c r="BN52" s="71"/>
      <c r="BO52" s="71">
        <f t="shared" si="13"/>
        <v>83.261163531413686</v>
      </c>
      <c r="BP52" s="17">
        <v>0</v>
      </c>
      <c r="BQ52" s="71"/>
      <c r="BR52" s="71"/>
      <c r="BS52" s="138">
        <f t="shared" si="14"/>
        <v>86.456710815818582</v>
      </c>
      <c r="BT52" s="17">
        <v>3</v>
      </c>
      <c r="BU52" s="71"/>
      <c r="BV52" s="71"/>
      <c r="BW52" s="71">
        <f t="shared" si="15"/>
        <v>112.03791162123835</v>
      </c>
      <c r="BX52" s="84">
        <v>0</v>
      </c>
      <c r="BY52" s="17">
        <v>3</v>
      </c>
      <c r="BZ52" s="71"/>
      <c r="CA52" s="71"/>
      <c r="CB52" s="71">
        <f t="shared" si="16"/>
        <v>110.05345743585116</v>
      </c>
      <c r="CC52" s="17">
        <v>3</v>
      </c>
      <c r="CD52" s="71"/>
      <c r="CE52" s="71"/>
      <c r="CF52" s="71">
        <f t="shared" si="17"/>
        <v>109.36214907383548</v>
      </c>
      <c r="CG52" s="17">
        <v>2</v>
      </c>
      <c r="CH52" s="71"/>
      <c r="CI52" s="71"/>
      <c r="CJ52" s="138">
        <f t="shared" si="18"/>
        <v>118.64838200002481</v>
      </c>
      <c r="CK52" s="17">
        <v>2</v>
      </c>
      <c r="CL52" s="71"/>
      <c r="CM52" s="71"/>
      <c r="CN52" s="71">
        <f t="shared" si="19"/>
        <v>100.22589057499034</v>
      </c>
      <c r="CO52" s="93">
        <v>1</v>
      </c>
      <c r="CP52" s="93">
        <v>1</v>
      </c>
      <c r="CQ52" s="93">
        <v>0</v>
      </c>
      <c r="CR52" s="93">
        <v>0</v>
      </c>
      <c r="CS52" s="102">
        <f t="shared" si="20"/>
        <v>103.42608858078407</v>
      </c>
      <c r="CT52" s="102">
        <f t="shared" si="21"/>
        <v>11.319853085538506</v>
      </c>
      <c r="CU52" s="102">
        <f t="shared" si="22"/>
        <v>0.10944872073255282</v>
      </c>
      <c r="CV52" s="108">
        <f t="shared" si="23"/>
        <v>102.18714514169143</v>
      </c>
      <c r="CZ52" s="109" t="str">
        <f t="shared" si="24"/>
        <v>Medio-Alto</v>
      </c>
    </row>
    <row r="53" spans="1:104" x14ac:dyDescent="0.15">
      <c r="A53" s="85">
        <v>2</v>
      </c>
      <c r="B53" s="85">
        <v>1</v>
      </c>
      <c r="C53" s="85">
        <v>3</v>
      </c>
      <c r="D53" s="85">
        <v>2</v>
      </c>
      <c r="E53" s="85">
        <v>1</v>
      </c>
      <c r="F53" s="18">
        <v>2</v>
      </c>
      <c r="I53" s="64">
        <f t="shared" si="1"/>
        <v>109.85726154139888</v>
      </c>
      <c r="J53" s="18">
        <v>2</v>
      </c>
      <c r="M53" s="64">
        <f t="shared" si="2"/>
        <v>110.02144013573877</v>
      </c>
      <c r="N53" s="18">
        <v>2</v>
      </c>
      <c r="Q53" s="64">
        <f t="shared" si="0"/>
        <v>113.93405225485253</v>
      </c>
      <c r="R53" s="18">
        <v>3</v>
      </c>
      <c r="U53" s="64">
        <f t="shared" si="3"/>
        <v>111.09942135879838</v>
      </c>
      <c r="V53" s="18">
        <v>4</v>
      </c>
      <c r="Y53" s="114">
        <f t="shared" si="4"/>
        <v>110.77363490373656</v>
      </c>
      <c r="Z53" s="18">
        <v>3</v>
      </c>
      <c r="AC53" s="64">
        <f t="shared" si="5"/>
        <v>109.50350141641081</v>
      </c>
      <c r="AD53" s="24">
        <v>3</v>
      </c>
      <c r="AE53" s="71"/>
      <c r="AF53" s="71"/>
      <c r="AG53" s="71">
        <f t="shared" si="6"/>
        <v>109.20703006144345</v>
      </c>
      <c r="AH53" s="18">
        <v>2</v>
      </c>
      <c r="AK53" s="64">
        <f t="shared" si="7"/>
        <v>99.518280131348902</v>
      </c>
      <c r="AL53" s="18">
        <v>4</v>
      </c>
      <c r="AM53" s="71"/>
      <c r="AN53" s="71"/>
      <c r="AO53" s="71">
        <f t="shared" si="8"/>
        <v>111.97339782828605</v>
      </c>
      <c r="AP53" s="18">
        <v>3</v>
      </c>
      <c r="AQ53" s="71"/>
      <c r="AR53" s="71"/>
      <c r="AS53" s="71">
        <f t="shared" si="9"/>
        <v>110.12341030651692</v>
      </c>
      <c r="AT53" s="18">
        <v>2</v>
      </c>
      <c r="AU53" s="71"/>
      <c r="AV53" s="71"/>
      <c r="AW53" s="71">
        <f t="shared" si="10"/>
        <v>110.91338973410525</v>
      </c>
      <c r="AX53" s="18">
        <v>2</v>
      </c>
      <c r="AY53" s="71"/>
      <c r="AZ53" s="71"/>
      <c r="BA53" s="71">
        <f t="shared" si="11"/>
        <v>100.92776194547928</v>
      </c>
      <c r="BB53" s="85">
        <v>1</v>
      </c>
      <c r="BC53" s="85">
        <v>0</v>
      </c>
      <c r="BD53" s="85">
        <v>1</v>
      </c>
      <c r="BE53" s="85">
        <v>0</v>
      </c>
      <c r="BF53" s="85">
        <v>0</v>
      </c>
      <c r="BG53" s="85">
        <v>0</v>
      </c>
      <c r="BH53" s="19">
        <v>2</v>
      </c>
      <c r="BI53" s="71"/>
      <c r="BJ53" s="71"/>
      <c r="BK53" s="71">
        <f t="shared" si="12"/>
        <v>114.81520780975161</v>
      </c>
      <c r="BL53" s="18">
        <v>2</v>
      </c>
      <c r="BM53" s="71"/>
      <c r="BN53" s="71"/>
      <c r="BO53" s="71">
        <f t="shared" si="13"/>
        <v>101.95148996595998</v>
      </c>
      <c r="BP53" s="18">
        <v>2</v>
      </c>
      <c r="BQ53" s="71"/>
      <c r="BR53" s="71"/>
      <c r="BS53" s="138">
        <f t="shared" si="14"/>
        <v>113.86671101544545</v>
      </c>
      <c r="BT53" s="18">
        <v>2</v>
      </c>
      <c r="BU53" s="71"/>
      <c r="BV53" s="71"/>
      <c r="BW53" s="71">
        <f t="shared" si="15"/>
        <v>102.51956289746849</v>
      </c>
      <c r="BX53" s="85">
        <v>2</v>
      </c>
      <c r="BY53" s="18">
        <v>2</v>
      </c>
      <c r="BZ53" s="71"/>
      <c r="CA53" s="71"/>
      <c r="CB53" s="71">
        <f t="shared" si="16"/>
        <v>100.53207713448795</v>
      </c>
      <c r="CC53" s="18">
        <v>3</v>
      </c>
      <c r="CD53" s="71"/>
      <c r="CE53" s="71"/>
      <c r="CF53" s="71">
        <f t="shared" si="17"/>
        <v>109.36214907383548</v>
      </c>
      <c r="CG53" s="18">
        <v>2</v>
      </c>
      <c r="CH53" s="71"/>
      <c r="CI53" s="71"/>
      <c r="CJ53" s="138">
        <f t="shared" si="18"/>
        <v>118.64838200002481</v>
      </c>
      <c r="CK53" s="18">
        <v>3</v>
      </c>
      <c r="CL53" s="71"/>
      <c r="CM53" s="71"/>
      <c r="CN53" s="71">
        <f t="shared" si="19"/>
        <v>109.82624001207998</v>
      </c>
      <c r="CO53" s="94">
        <v>1</v>
      </c>
      <c r="CP53" s="94">
        <v>1</v>
      </c>
      <c r="CQ53" s="94">
        <v>0</v>
      </c>
      <c r="CR53" s="94">
        <v>0</v>
      </c>
      <c r="CS53" s="102">
        <f t="shared" si="20"/>
        <v>108.0050396239978</v>
      </c>
      <c r="CT53" s="102">
        <f t="shared" si="21"/>
        <v>4.8787803090363733</v>
      </c>
      <c r="CU53" s="102">
        <f t="shared" si="22"/>
        <v>4.5171783891020854E-2</v>
      </c>
      <c r="CV53" s="108">
        <f t="shared" si="23"/>
        <v>107.78465641422625</v>
      </c>
      <c r="CZ53" s="109" t="str">
        <f t="shared" si="24"/>
        <v>Alto</v>
      </c>
    </row>
    <row r="54" spans="1:104" x14ac:dyDescent="0.15">
      <c r="A54" s="84">
        <v>3</v>
      </c>
      <c r="B54" s="84">
        <v>1</v>
      </c>
      <c r="C54" s="84">
        <v>2</v>
      </c>
      <c r="D54" s="84">
        <v>2</v>
      </c>
      <c r="E54" s="85">
        <v>1</v>
      </c>
      <c r="F54" s="17">
        <v>1</v>
      </c>
      <c r="I54" s="64">
        <f t="shared" si="1"/>
        <v>93.428492305734082</v>
      </c>
      <c r="J54" s="17">
        <v>1</v>
      </c>
      <c r="M54" s="64">
        <f t="shared" si="2"/>
        <v>95.705097084683388</v>
      </c>
      <c r="N54" s="17">
        <v>1</v>
      </c>
      <c r="Q54" s="64">
        <f t="shared" si="0"/>
        <v>98.246708656674187</v>
      </c>
      <c r="R54" s="17">
        <v>2</v>
      </c>
      <c r="U54" s="64">
        <f t="shared" si="3"/>
        <v>101.34799174124942</v>
      </c>
      <c r="V54" s="17">
        <v>2</v>
      </c>
      <c r="Y54" s="114">
        <f t="shared" si="4"/>
        <v>97.875621286587162</v>
      </c>
      <c r="Z54" s="17">
        <v>2</v>
      </c>
      <c r="AC54" s="64">
        <f t="shared" si="5"/>
        <v>101.50550517487696</v>
      </c>
      <c r="AD54" s="25">
        <v>3</v>
      </c>
      <c r="AE54" s="71"/>
      <c r="AF54" s="71"/>
      <c r="AG54" s="71">
        <f t="shared" si="6"/>
        <v>109.20703006144345</v>
      </c>
      <c r="AH54" s="17">
        <v>2</v>
      </c>
      <c r="AK54" s="64">
        <f t="shared" si="7"/>
        <v>99.518280131348902</v>
      </c>
      <c r="AL54" s="17">
        <v>3</v>
      </c>
      <c r="AM54" s="71"/>
      <c r="AN54" s="71"/>
      <c r="AO54" s="71">
        <f t="shared" si="8"/>
        <v>100.85056924463234</v>
      </c>
      <c r="AP54" s="17">
        <v>3</v>
      </c>
      <c r="AQ54" s="71"/>
      <c r="AR54" s="71"/>
      <c r="AS54" s="71">
        <f t="shared" si="9"/>
        <v>110.12341030651692</v>
      </c>
      <c r="AT54" s="17">
        <v>2</v>
      </c>
      <c r="AU54" s="71"/>
      <c r="AV54" s="71"/>
      <c r="AW54" s="71">
        <f t="shared" si="10"/>
        <v>110.91338973410525</v>
      </c>
      <c r="AX54" s="17">
        <v>1</v>
      </c>
      <c r="AY54" s="71"/>
      <c r="AZ54" s="71"/>
      <c r="BA54" s="71">
        <f t="shared" si="11"/>
        <v>90.050552929515405</v>
      </c>
      <c r="BB54" s="84">
        <v>1</v>
      </c>
      <c r="BC54" s="84">
        <v>0</v>
      </c>
      <c r="BD54" s="84">
        <v>1</v>
      </c>
      <c r="BE54" s="84">
        <v>0</v>
      </c>
      <c r="BF54" s="84">
        <v>0</v>
      </c>
      <c r="BG54" s="84">
        <v>0</v>
      </c>
      <c r="BH54" s="20">
        <v>0</v>
      </c>
      <c r="BI54" s="71"/>
      <c r="BJ54" s="71"/>
      <c r="BK54" s="71">
        <f t="shared" si="12"/>
        <v>92.176238572378367</v>
      </c>
      <c r="BL54" s="17">
        <v>3</v>
      </c>
      <c r="BM54" s="71"/>
      <c r="BN54" s="71"/>
      <c r="BO54" s="71">
        <f t="shared" si="13"/>
        <v>111.29665318323313</v>
      </c>
      <c r="BP54" s="17">
        <v>1</v>
      </c>
      <c r="BQ54" s="71"/>
      <c r="BR54" s="71"/>
      <c r="BS54" s="138">
        <f t="shared" si="14"/>
        <v>100.16171091563201</v>
      </c>
      <c r="BT54" s="17">
        <v>1</v>
      </c>
      <c r="BU54" s="71"/>
      <c r="BV54" s="71"/>
      <c r="BW54" s="71">
        <f t="shared" si="15"/>
        <v>93.001214173698628</v>
      </c>
      <c r="BX54" s="84">
        <v>3</v>
      </c>
      <c r="BY54" s="17">
        <v>0</v>
      </c>
      <c r="BZ54" s="71"/>
      <c r="CA54" s="71"/>
      <c r="CB54" s="71">
        <f t="shared" si="16"/>
        <v>81.489316531761531</v>
      </c>
      <c r="CC54" s="17">
        <v>2</v>
      </c>
      <c r="CD54" s="71"/>
      <c r="CE54" s="71"/>
      <c r="CF54" s="71">
        <f t="shared" si="17"/>
        <v>100.18886179687853</v>
      </c>
      <c r="CG54" s="17">
        <v>0</v>
      </c>
      <c r="CH54" s="71"/>
      <c r="CI54" s="71"/>
      <c r="CJ54" s="138">
        <f t="shared" si="18"/>
        <v>89.226340793489143</v>
      </c>
      <c r="CK54" s="17">
        <v>2</v>
      </c>
      <c r="CL54" s="71"/>
      <c r="CM54" s="71"/>
      <c r="CN54" s="71">
        <f t="shared" si="19"/>
        <v>100.22589057499034</v>
      </c>
      <c r="CO54" s="93">
        <v>0</v>
      </c>
      <c r="CP54" s="93">
        <v>1</v>
      </c>
      <c r="CQ54" s="93">
        <v>0</v>
      </c>
      <c r="CR54" s="93">
        <v>0</v>
      </c>
      <c r="CS54" s="102">
        <f t="shared" si="20"/>
        <v>99.369129541395338</v>
      </c>
      <c r="CT54" s="102">
        <f t="shared" si="21"/>
        <v>8.0965473144105413</v>
      </c>
      <c r="CU54" s="102">
        <f t="shared" si="22"/>
        <v>8.147950325999051E-2</v>
      </c>
      <c r="CV54" s="108">
        <f t="shared" si="23"/>
        <v>98.709426888096161</v>
      </c>
      <c r="CZ54" s="109" t="str">
        <f t="shared" si="24"/>
        <v>Medio-Basso</v>
      </c>
    </row>
    <row r="55" spans="1:104" x14ac:dyDescent="0.15">
      <c r="A55" s="85">
        <v>4</v>
      </c>
      <c r="B55" s="85">
        <v>1</v>
      </c>
      <c r="C55" s="85">
        <v>1</v>
      </c>
      <c r="D55" s="85">
        <v>0</v>
      </c>
      <c r="E55" s="85">
        <v>1</v>
      </c>
      <c r="F55" s="18">
        <v>1</v>
      </c>
      <c r="I55" s="64">
        <f t="shared" si="1"/>
        <v>93.428492305734082</v>
      </c>
      <c r="J55" s="18">
        <v>2</v>
      </c>
      <c r="M55" s="64">
        <f t="shared" si="2"/>
        <v>110.02144013573877</v>
      </c>
      <c r="N55" s="18">
        <v>2</v>
      </c>
      <c r="Q55" s="64">
        <f t="shared" si="0"/>
        <v>113.93405225485253</v>
      </c>
      <c r="R55" s="18">
        <v>2</v>
      </c>
      <c r="U55" s="64">
        <f t="shared" si="3"/>
        <v>101.34799174124942</v>
      </c>
      <c r="V55" s="18">
        <v>1</v>
      </c>
      <c r="Y55" s="114">
        <f t="shared" si="4"/>
        <v>91.426614478012453</v>
      </c>
      <c r="Z55" s="18">
        <v>3</v>
      </c>
      <c r="AC55" s="64">
        <f t="shared" si="5"/>
        <v>109.50350141641081</v>
      </c>
      <c r="AD55" s="24">
        <v>3</v>
      </c>
      <c r="AE55" s="71"/>
      <c r="AF55" s="71"/>
      <c r="AG55" s="71">
        <f t="shared" si="6"/>
        <v>109.20703006144345</v>
      </c>
      <c r="AH55" s="18">
        <v>3</v>
      </c>
      <c r="AK55" s="64">
        <f t="shared" si="7"/>
        <v>110.43726382077395</v>
      </c>
      <c r="AL55" s="18">
        <v>3</v>
      </c>
      <c r="AM55" s="71"/>
      <c r="AN55" s="71"/>
      <c r="AO55" s="71">
        <f t="shared" si="8"/>
        <v>100.85056924463234</v>
      </c>
      <c r="AP55" s="18">
        <v>3</v>
      </c>
      <c r="AQ55" s="71"/>
      <c r="AR55" s="71"/>
      <c r="AS55" s="71">
        <f t="shared" si="9"/>
        <v>110.12341030651692</v>
      </c>
      <c r="AT55" s="18">
        <v>1</v>
      </c>
      <c r="AU55" s="71"/>
      <c r="AV55" s="71"/>
      <c r="AW55" s="71">
        <f t="shared" si="10"/>
        <v>100.0638209925971</v>
      </c>
      <c r="AX55" s="18">
        <v>2</v>
      </c>
      <c r="AY55" s="71"/>
      <c r="AZ55" s="71"/>
      <c r="BA55" s="71">
        <f t="shared" si="11"/>
        <v>100.92776194547928</v>
      </c>
      <c r="BB55" s="85">
        <v>1</v>
      </c>
      <c r="BC55" s="85">
        <v>0</v>
      </c>
      <c r="BD55" s="85">
        <v>1</v>
      </c>
      <c r="BE55" s="85">
        <v>0</v>
      </c>
      <c r="BF55" s="85">
        <v>0</v>
      </c>
      <c r="BG55" s="85">
        <v>0</v>
      </c>
      <c r="BH55" s="19">
        <v>0</v>
      </c>
      <c r="BI55" s="71"/>
      <c r="BJ55" s="71"/>
      <c r="BK55" s="71">
        <f t="shared" si="12"/>
        <v>92.176238572378367</v>
      </c>
      <c r="BL55" s="18">
        <v>3</v>
      </c>
      <c r="BM55" s="71"/>
      <c r="BN55" s="71"/>
      <c r="BO55" s="71">
        <f t="shared" si="13"/>
        <v>111.29665318323313</v>
      </c>
      <c r="BP55" s="18">
        <v>1</v>
      </c>
      <c r="BQ55" s="71"/>
      <c r="BR55" s="71"/>
      <c r="BS55" s="138">
        <f t="shared" si="14"/>
        <v>100.16171091563201</v>
      </c>
      <c r="BT55" s="18">
        <v>2</v>
      </c>
      <c r="BU55" s="71"/>
      <c r="BV55" s="71"/>
      <c r="BW55" s="71">
        <f t="shared" si="15"/>
        <v>102.51956289746849</v>
      </c>
      <c r="BX55" s="85">
        <v>0</v>
      </c>
      <c r="BY55" s="18">
        <v>0</v>
      </c>
      <c r="BZ55" s="71"/>
      <c r="CA55" s="71"/>
      <c r="CB55" s="71">
        <f t="shared" si="16"/>
        <v>81.489316531761531</v>
      </c>
      <c r="CC55" s="18">
        <v>3</v>
      </c>
      <c r="CD55" s="71"/>
      <c r="CE55" s="71"/>
      <c r="CF55" s="71">
        <f t="shared" si="17"/>
        <v>109.36214907383548</v>
      </c>
      <c r="CG55" s="18">
        <v>1</v>
      </c>
      <c r="CH55" s="71"/>
      <c r="CI55" s="71"/>
      <c r="CJ55" s="138">
        <f t="shared" si="18"/>
        <v>103.93736139675698</v>
      </c>
      <c r="CK55" s="18">
        <v>3</v>
      </c>
      <c r="CL55" s="71"/>
      <c r="CM55" s="71"/>
      <c r="CN55" s="71">
        <f t="shared" si="19"/>
        <v>109.82624001207998</v>
      </c>
      <c r="CO55" s="94">
        <v>0</v>
      </c>
      <c r="CP55" s="94">
        <v>0</v>
      </c>
      <c r="CQ55" s="94">
        <v>0</v>
      </c>
      <c r="CR55" s="94">
        <v>1</v>
      </c>
      <c r="CS55" s="102">
        <f t="shared" si="20"/>
        <v>103.91267614683444</v>
      </c>
      <c r="CT55" s="102">
        <f t="shared" si="21"/>
        <v>8.6221135103809523</v>
      </c>
      <c r="CU55" s="102">
        <f t="shared" si="22"/>
        <v>8.2974607430930006E-2</v>
      </c>
      <c r="CV55" s="108">
        <f t="shared" si="23"/>
        <v>103.19725966308566</v>
      </c>
      <c r="CZ55" s="109" t="str">
        <f t="shared" si="24"/>
        <v>Medio-Alto</v>
      </c>
    </row>
    <row r="56" spans="1:104" x14ac:dyDescent="0.15">
      <c r="A56" s="84">
        <v>3</v>
      </c>
      <c r="B56" s="84">
        <v>2</v>
      </c>
      <c r="C56" s="84">
        <v>2</v>
      </c>
      <c r="D56" s="84">
        <v>3</v>
      </c>
      <c r="E56" s="85">
        <v>1</v>
      </c>
      <c r="F56" s="17">
        <v>2</v>
      </c>
      <c r="I56" s="64">
        <f t="shared" si="1"/>
        <v>109.85726154139888</v>
      </c>
      <c r="J56" s="17">
        <v>0</v>
      </c>
      <c r="M56" s="64">
        <f t="shared" si="2"/>
        <v>81.388754033628004</v>
      </c>
      <c r="N56" s="17">
        <v>0</v>
      </c>
      <c r="Q56" s="64">
        <f t="shared" si="0"/>
        <v>82.559365058495843</v>
      </c>
      <c r="R56" s="17">
        <v>0</v>
      </c>
      <c r="U56" s="64">
        <f t="shared" si="3"/>
        <v>81.845132506151486</v>
      </c>
      <c r="V56" s="17">
        <v>2</v>
      </c>
      <c r="Y56" s="114">
        <f t="shared" si="4"/>
        <v>97.875621286587162</v>
      </c>
      <c r="Z56" s="17">
        <v>0</v>
      </c>
      <c r="AC56" s="64">
        <f t="shared" si="5"/>
        <v>85.509512691809249</v>
      </c>
      <c r="AD56" s="25">
        <v>0</v>
      </c>
      <c r="AE56" s="71"/>
      <c r="AF56" s="71"/>
      <c r="AG56" s="71">
        <f t="shared" si="6"/>
        <v>84.62281366701329</v>
      </c>
      <c r="AH56" s="17">
        <v>0</v>
      </c>
      <c r="AK56" s="64">
        <f t="shared" si="7"/>
        <v>77.680312752498807</v>
      </c>
      <c r="AL56" s="17">
        <v>1</v>
      </c>
      <c r="AM56" s="71"/>
      <c r="AN56" s="71"/>
      <c r="AO56" s="71">
        <f t="shared" si="8"/>
        <v>78.60491207732494</v>
      </c>
      <c r="AP56" s="17">
        <v>0</v>
      </c>
      <c r="AQ56" s="71"/>
      <c r="AR56" s="71"/>
      <c r="AS56" s="71">
        <f t="shared" si="9"/>
        <v>79.482821248216453</v>
      </c>
      <c r="AT56" s="17">
        <v>0</v>
      </c>
      <c r="AU56" s="71"/>
      <c r="AV56" s="71"/>
      <c r="AW56" s="71">
        <f t="shared" si="10"/>
        <v>89.214252251088965</v>
      </c>
      <c r="AX56" s="17">
        <v>0</v>
      </c>
      <c r="AY56" s="71"/>
      <c r="AZ56" s="71"/>
      <c r="BA56" s="71">
        <f t="shared" si="11"/>
        <v>79.173343913551548</v>
      </c>
      <c r="BB56" s="84">
        <v>0</v>
      </c>
      <c r="BC56" s="84">
        <v>0</v>
      </c>
      <c r="BD56" s="84">
        <v>1</v>
      </c>
      <c r="BE56" s="84">
        <v>1</v>
      </c>
      <c r="BF56" s="84">
        <v>0</v>
      </c>
      <c r="BG56" s="84">
        <v>0</v>
      </c>
      <c r="BH56" s="20">
        <v>0</v>
      </c>
      <c r="BI56" s="71"/>
      <c r="BJ56" s="71"/>
      <c r="BK56" s="71">
        <f t="shared" si="12"/>
        <v>92.176238572378367</v>
      </c>
      <c r="BL56" s="17">
        <v>0</v>
      </c>
      <c r="BM56" s="71"/>
      <c r="BN56" s="71"/>
      <c r="BO56" s="71">
        <f t="shared" si="13"/>
        <v>83.261163531413686</v>
      </c>
      <c r="BP56" s="17">
        <v>2</v>
      </c>
      <c r="BQ56" s="71"/>
      <c r="BR56" s="71"/>
      <c r="BS56" s="138">
        <f t="shared" si="14"/>
        <v>113.86671101544545</v>
      </c>
      <c r="BT56" s="17">
        <v>0</v>
      </c>
      <c r="BU56" s="71"/>
      <c r="BV56" s="71"/>
      <c r="BW56" s="71">
        <f t="shared" si="15"/>
        <v>83.482865449928767</v>
      </c>
      <c r="BX56" s="84">
        <v>0</v>
      </c>
      <c r="BY56" s="17">
        <v>1</v>
      </c>
      <c r="BZ56" s="71"/>
      <c r="CA56" s="71"/>
      <c r="CB56" s="71">
        <f t="shared" si="16"/>
        <v>91.01069683312474</v>
      </c>
      <c r="CC56" s="17">
        <v>0</v>
      </c>
      <c r="CD56" s="71"/>
      <c r="CE56" s="71"/>
      <c r="CF56" s="71">
        <f t="shared" si="17"/>
        <v>81.842287242964616</v>
      </c>
      <c r="CG56" s="17">
        <v>1</v>
      </c>
      <c r="CH56" s="71"/>
      <c r="CI56" s="71"/>
      <c r="CJ56" s="138">
        <f t="shared" si="18"/>
        <v>103.93736139675698</v>
      </c>
      <c r="CK56" s="17">
        <v>2</v>
      </c>
      <c r="CL56" s="71"/>
      <c r="CM56" s="71"/>
      <c r="CN56" s="71">
        <f t="shared" si="19"/>
        <v>100.22589057499034</v>
      </c>
      <c r="CO56" s="93">
        <v>0</v>
      </c>
      <c r="CP56" s="93">
        <v>0</v>
      </c>
      <c r="CQ56" s="93">
        <v>0</v>
      </c>
      <c r="CR56" s="93">
        <v>1</v>
      </c>
      <c r="CS56" s="102">
        <f t="shared" si="20"/>
        <v>85.996330820351659</v>
      </c>
      <c r="CT56" s="102">
        <f t="shared" si="21"/>
        <v>8.4473957809407931</v>
      </c>
      <c r="CU56" s="102">
        <f t="shared" si="22"/>
        <v>9.8229723295841537E-2</v>
      </c>
      <c r="CV56" s="108">
        <f t="shared" si="23"/>
        <v>85.16654547021939</v>
      </c>
      <c r="CZ56" s="109" t="str">
        <f t="shared" si="24"/>
        <v>Basso</v>
      </c>
    </row>
    <row r="57" spans="1:104" x14ac:dyDescent="0.15">
      <c r="A57" s="85">
        <v>3</v>
      </c>
      <c r="B57" s="85">
        <v>1</v>
      </c>
      <c r="C57" s="85">
        <v>1</v>
      </c>
      <c r="D57" s="85">
        <v>2</v>
      </c>
      <c r="E57" s="85">
        <v>1</v>
      </c>
      <c r="F57" s="18">
        <v>0</v>
      </c>
      <c r="I57" s="64">
        <f t="shared" si="1"/>
        <v>76.99972307006928</v>
      </c>
      <c r="J57" s="18">
        <v>2</v>
      </c>
      <c r="M57" s="64">
        <f t="shared" si="2"/>
        <v>110.02144013573877</v>
      </c>
      <c r="N57" s="18">
        <v>1</v>
      </c>
      <c r="Q57" s="64">
        <f t="shared" si="0"/>
        <v>98.246708656674187</v>
      </c>
      <c r="R57" s="18">
        <v>2</v>
      </c>
      <c r="U57" s="64">
        <f t="shared" si="3"/>
        <v>101.34799174124942</v>
      </c>
      <c r="V57" s="18">
        <v>2</v>
      </c>
      <c r="Y57" s="114">
        <f t="shared" si="4"/>
        <v>97.875621286587162</v>
      </c>
      <c r="Z57" s="18">
        <v>2</v>
      </c>
      <c r="AC57" s="64">
        <f t="shared" si="5"/>
        <v>101.50550517487696</v>
      </c>
      <c r="AD57" s="24">
        <v>3</v>
      </c>
      <c r="AE57" s="71"/>
      <c r="AF57" s="71"/>
      <c r="AG57" s="71">
        <f t="shared" si="6"/>
        <v>109.20703006144345</v>
      </c>
      <c r="AH57" s="18">
        <v>2</v>
      </c>
      <c r="AK57" s="64">
        <f t="shared" si="7"/>
        <v>99.518280131348902</v>
      </c>
      <c r="AL57" s="18">
        <v>3</v>
      </c>
      <c r="AM57" s="71"/>
      <c r="AN57" s="71"/>
      <c r="AO57" s="71">
        <f t="shared" si="8"/>
        <v>100.85056924463234</v>
      </c>
      <c r="AP57" s="18">
        <v>2</v>
      </c>
      <c r="AQ57" s="71"/>
      <c r="AR57" s="71"/>
      <c r="AS57" s="71">
        <f t="shared" si="9"/>
        <v>99.909880620416757</v>
      </c>
      <c r="AT57" s="18">
        <v>1</v>
      </c>
      <c r="AU57" s="71"/>
      <c r="AV57" s="71"/>
      <c r="AW57" s="71">
        <f t="shared" si="10"/>
        <v>100.0638209925971</v>
      </c>
      <c r="AX57" s="18">
        <v>3</v>
      </c>
      <c r="AY57" s="71"/>
      <c r="AZ57" s="71"/>
      <c r="BA57" s="71">
        <f t="shared" si="11"/>
        <v>111.80497096144313</v>
      </c>
      <c r="BB57" s="85">
        <v>1</v>
      </c>
      <c r="BC57" s="85">
        <v>0</v>
      </c>
      <c r="BD57" s="85">
        <v>1</v>
      </c>
      <c r="BE57" s="85">
        <v>0</v>
      </c>
      <c r="BF57" s="85">
        <v>0</v>
      </c>
      <c r="BG57" s="85">
        <v>0</v>
      </c>
      <c r="BH57" s="19">
        <v>0</v>
      </c>
      <c r="BI57" s="71"/>
      <c r="BJ57" s="71"/>
      <c r="BK57" s="71">
        <f t="shared" si="12"/>
        <v>92.176238572378367</v>
      </c>
      <c r="BL57" s="18">
        <v>0</v>
      </c>
      <c r="BM57" s="71"/>
      <c r="BN57" s="71"/>
      <c r="BO57" s="71">
        <f t="shared" si="13"/>
        <v>83.261163531413686</v>
      </c>
      <c r="BP57" s="18">
        <v>1</v>
      </c>
      <c r="BQ57" s="71"/>
      <c r="BR57" s="71"/>
      <c r="BS57" s="138">
        <f t="shared" si="14"/>
        <v>100.16171091563201</v>
      </c>
      <c r="BT57" s="18">
        <v>2</v>
      </c>
      <c r="BU57" s="71"/>
      <c r="BV57" s="71"/>
      <c r="BW57" s="71">
        <f t="shared" si="15"/>
        <v>102.51956289746849</v>
      </c>
      <c r="BX57" s="85">
        <v>0</v>
      </c>
      <c r="BY57" s="18">
        <v>3</v>
      </c>
      <c r="BZ57" s="71"/>
      <c r="CA57" s="71"/>
      <c r="CB57" s="71">
        <f t="shared" si="16"/>
        <v>110.05345743585116</v>
      </c>
      <c r="CC57" s="18">
        <v>3</v>
      </c>
      <c r="CD57" s="71"/>
      <c r="CE57" s="71"/>
      <c r="CF57" s="71">
        <f t="shared" si="17"/>
        <v>109.36214907383548</v>
      </c>
      <c r="CG57" s="18">
        <v>0</v>
      </c>
      <c r="CH57" s="71"/>
      <c r="CI57" s="71"/>
      <c r="CJ57" s="138">
        <f t="shared" si="18"/>
        <v>89.226340793489143</v>
      </c>
      <c r="CK57" s="18">
        <v>2</v>
      </c>
      <c r="CL57" s="71"/>
      <c r="CM57" s="71"/>
      <c r="CN57" s="71">
        <f t="shared" si="19"/>
        <v>100.22589057499034</v>
      </c>
      <c r="CO57" s="94">
        <v>0</v>
      </c>
      <c r="CP57" s="94">
        <v>1</v>
      </c>
      <c r="CQ57" s="94">
        <v>1</v>
      </c>
      <c r="CR57" s="94">
        <v>0</v>
      </c>
      <c r="CS57" s="102">
        <f t="shared" si="20"/>
        <v>100.41614016920165</v>
      </c>
      <c r="CT57" s="102">
        <f t="shared" si="21"/>
        <v>9.3383320839002</v>
      </c>
      <c r="CU57" s="102">
        <f t="shared" si="22"/>
        <v>9.2996325771584801E-2</v>
      </c>
      <c r="CV57" s="108">
        <f t="shared" si="23"/>
        <v>99.547709596564033</v>
      </c>
      <c r="CZ57" s="109" t="str">
        <f t="shared" si="24"/>
        <v>Medio-Alto</v>
      </c>
    </row>
    <row r="58" spans="1:104" x14ac:dyDescent="0.15">
      <c r="A58" s="84">
        <v>2</v>
      </c>
      <c r="B58" s="84">
        <v>1</v>
      </c>
      <c r="C58" s="84">
        <v>3</v>
      </c>
      <c r="D58" s="84">
        <v>0</v>
      </c>
      <c r="E58" s="85">
        <v>1</v>
      </c>
      <c r="F58" s="17">
        <v>1</v>
      </c>
      <c r="I58" s="64">
        <f t="shared" si="1"/>
        <v>93.428492305734082</v>
      </c>
      <c r="J58" s="17">
        <v>1</v>
      </c>
      <c r="M58" s="64">
        <f t="shared" si="2"/>
        <v>95.705097084683388</v>
      </c>
      <c r="N58" s="17">
        <v>1</v>
      </c>
      <c r="Q58" s="64">
        <f t="shared" si="0"/>
        <v>98.246708656674187</v>
      </c>
      <c r="R58" s="17">
        <v>2</v>
      </c>
      <c r="U58" s="64">
        <f t="shared" si="3"/>
        <v>101.34799174124942</v>
      </c>
      <c r="V58" s="17">
        <v>5</v>
      </c>
      <c r="Y58" s="114">
        <f t="shared" si="4"/>
        <v>117.22264171231127</v>
      </c>
      <c r="Z58" s="17">
        <v>3</v>
      </c>
      <c r="AC58" s="64">
        <f t="shared" si="5"/>
        <v>109.50350141641081</v>
      </c>
      <c r="AD58" s="25">
        <v>3</v>
      </c>
      <c r="AE58" s="71"/>
      <c r="AF58" s="71"/>
      <c r="AG58" s="71">
        <f t="shared" si="6"/>
        <v>109.20703006144345</v>
      </c>
      <c r="AH58" s="17">
        <v>3</v>
      </c>
      <c r="AK58" s="64">
        <f t="shared" si="7"/>
        <v>110.43726382077395</v>
      </c>
      <c r="AL58" s="17">
        <v>3</v>
      </c>
      <c r="AM58" s="71"/>
      <c r="AN58" s="71"/>
      <c r="AO58" s="71">
        <f t="shared" si="8"/>
        <v>100.85056924463234</v>
      </c>
      <c r="AP58" s="17">
        <v>3</v>
      </c>
      <c r="AQ58" s="71"/>
      <c r="AR58" s="71"/>
      <c r="AS58" s="71">
        <f t="shared" si="9"/>
        <v>110.12341030651692</v>
      </c>
      <c r="AT58" s="17">
        <v>2</v>
      </c>
      <c r="AU58" s="71"/>
      <c r="AV58" s="71"/>
      <c r="AW58" s="71">
        <f t="shared" si="10"/>
        <v>110.91338973410525</v>
      </c>
      <c r="AX58" s="17">
        <v>1</v>
      </c>
      <c r="AY58" s="71"/>
      <c r="AZ58" s="71"/>
      <c r="BA58" s="71">
        <f t="shared" si="11"/>
        <v>90.050552929515405</v>
      </c>
      <c r="BB58" s="84">
        <v>1</v>
      </c>
      <c r="BC58" s="84">
        <v>0</v>
      </c>
      <c r="BD58" s="84">
        <v>1</v>
      </c>
      <c r="BE58" s="84">
        <v>0</v>
      </c>
      <c r="BF58" s="84">
        <v>0</v>
      </c>
      <c r="BG58" s="84">
        <v>0</v>
      </c>
      <c r="BH58" s="20">
        <v>1</v>
      </c>
      <c r="BI58" s="71"/>
      <c r="BJ58" s="71"/>
      <c r="BK58" s="71">
        <f t="shared" si="12"/>
        <v>103.49572319106498</v>
      </c>
      <c r="BL58" s="17">
        <v>3</v>
      </c>
      <c r="BM58" s="71"/>
      <c r="BN58" s="71"/>
      <c r="BO58" s="71">
        <f t="shared" si="13"/>
        <v>111.29665318323313</v>
      </c>
      <c r="BP58" s="17">
        <v>1</v>
      </c>
      <c r="BQ58" s="71"/>
      <c r="BR58" s="71"/>
      <c r="BS58" s="138">
        <f t="shared" si="14"/>
        <v>100.16171091563201</v>
      </c>
      <c r="BT58" s="17">
        <v>1</v>
      </c>
      <c r="BU58" s="71"/>
      <c r="BV58" s="71"/>
      <c r="BW58" s="71">
        <f t="shared" si="15"/>
        <v>93.001214173698628</v>
      </c>
      <c r="BX58" s="84">
        <v>0</v>
      </c>
      <c r="BY58" s="17">
        <v>3</v>
      </c>
      <c r="BZ58" s="71"/>
      <c r="CA58" s="71"/>
      <c r="CB58" s="71">
        <f t="shared" si="16"/>
        <v>110.05345743585116</v>
      </c>
      <c r="CC58" s="17">
        <v>3</v>
      </c>
      <c r="CD58" s="71"/>
      <c r="CE58" s="71"/>
      <c r="CF58" s="71">
        <f t="shared" si="17"/>
        <v>109.36214907383548</v>
      </c>
      <c r="CG58" s="17">
        <v>1</v>
      </c>
      <c r="CH58" s="71"/>
      <c r="CI58" s="71"/>
      <c r="CJ58" s="138">
        <f t="shared" si="18"/>
        <v>103.93736139675698</v>
      </c>
      <c r="CK58" s="17">
        <v>0</v>
      </c>
      <c r="CL58" s="71"/>
      <c r="CM58" s="71"/>
      <c r="CN58" s="71">
        <f t="shared" si="19"/>
        <v>81.025191700811078</v>
      </c>
      <c r="CO58" s="93">
        <v>0</v>
      </c>
      <c r="CP58" s="93">
        <v>1</v>
      </c>
      <c r="CQ58" s="93">
        <v>1</v>
      </c>
      <c r="CR58" s="93">
        <v>0</v>
      </c>
      <c r="CS58" s="102">
        <f t="shared" si="20"/>
        <v>102.23814094471963</v>
      </c>
      <c r="CT58" s="102">
        <f t="shared" si="21"/>
        <v>9.097629796588043</v>
      </c>
      <c r="CU58" s="102">
        <f t="shared" si="22"/>
        <v>8.8984695070963293E-2</v>
      </c>
      <c r="CV58" s="108">
        <f t="shared" si="23"/>
        <v>101.42859113140173</v>
      </c>
      <c r="CZ58" s="109" t="str">
        <f t="shared" si="24"/>
        <v>Medio-Alto</v>
      </c>
    </row>
    <row r="59" spans="1:104" x14ac:dyDescent="0.15">
      <c r="A59" s="85">
        <v>4</v>
      </c>
      <c r="B59" s="85">
        <v>1</v>
      </c>
      <c r="C59" s="85">
        <v>1</v>
      </c>
      <c r="D59" s="85">
        <v>2</v>
      </c>
      <c r="E59" s="85">
        <v>1</v>
      </c>
      <c r="F59" s="18">
        <v>1</v>
      </c>
      <c r="I59" s="64">
        <f t="shared" si="1"/>
        <v>93.428492305734082</v>
      </c>
      <c r="J59" s="18">
        <v>2</v>
      </c>
      <c r="M59" s="64">
        <f t="shared" si="2"/>
        <v>110.02144013573877</v>
      </c>
      <c r="N59" s="18">
        <v>1</v>
      </c>
      <c r="Q59" s="64">
        <f t="shared" si="0"/>
        <v>98.246708656674187</v>
      </c>
      <c r="R59" s="18">
        <v>2</v>
      </c>
      <c r="U59" s="64">
        <f t="shared" si="3"/>
        <v>101.34799174124942</v>
      </c>
      <c r="V59" s="18">
        <v>0</v>
      </c>
      <c r="Y59" s="114">
        <f t="shared" si="4"/>
        <v>84.977607669437745</v>
      </c>
      <c r="Z59" s="18">
        <v>0</v>
      </c>
      <c r="AC59" s="64">
        <f t="shared" si="5"/>
        <v>85.509512691809249</v>
      </c>
      <c r="AD59" s="24">
        <v>0</v>
      </c>
      <c r="AE59" s="71"/>
      <c r="AF59" s="71"/>
      <c r="AG59" s="71">
        <f t="shared" si="6"/>
        <v>84.62281366701329</v>
      </c>
      <c r="AH59" s="18">
        <v>1</v>
      </c>
      <c r="AK59" s="64">
        <f t="shared" si="7"/>
        <v>88.599296441923855</v>
      </c>
      <c r="AL59" s="18">
        <v>3</v>
      </c>
      <c r="AM59" s="71"/>
      <c r="AN59" s="71"/>
      <c r="AO59" s="71">
        <f t="shared" si="8"/>
        <v>100.85056924463234</v>
      </c>
      <c r="AP59" s="18">
        <v>2</v>
      </c>
      <c r="AQ59" s="71"/>
      <c r="AR59" s="71"/>
      <c r="AS59" s="71">
        <f t="shared" si="9"/>
        <v>99.909880620416757</v>
      </c>
      <c r="AT59" s="18">
        <v>0</v>
      </c>
      <c r="AU59" s="71"/>
      <c r="AV59" s="71"/>
      <c r="AW59" s="71">
        <f t="shared" si="10"/>
        <v>89.214252251088965</v>
      </c>
      <c r="AX59" s="18">
        <v>2</v>
      </c>
      <c r="AY59" s="71"/>
      <c r="AZ59" s="71"/>
      <c r="BA59" s="71">
        <f t="shared" si="11"/>
        <v>100.92776194547928</v>
      </c>
      <c r="BB59" s="85">
        <v>1</v>
      </c>
      <c r="BC59" s="85">
        <v>1</v>
      </c>
      <c r="BD59" s="85">
        <v>0</v>
      </c>
      <c r="BE59" s="85">
        <v>0</v>
      </c>
      <c r="BF59" s="85">
        <v>0</v>
      </c>
      <c r="BG59" s="85">
        <v>0</v>
      </c>
      <c r="BH59" s="19">
        <v>0</v>
      </c>
      <c r="BI59" s="71"/>
      <c r="BJ59" s="71"/>
      <c r="BK59" s="71">
        <f t="shared" si="12"/>
        <v>92.176238572378367</v>
      </c>
      <c r="BL59" s="18">
        <v>0</v>
      </c>
      <c r="BM59" s="71"/>
      <c r="BN59" s="71"/>
      <c r="BO59" s="71">
        <f t="shared" si="13"/>
        <v>83.261163531413686</v>
      </c>
      <c r="BP59" s="18">
        <v>1</v>
      </c>
      <c r="BQ59" s="71"/>
      <c r="BR59" s="71"/>
      <c r="BS59" s="138">
        <f t="shared" si="14"/>
        <v>100.16171091563201</v>
      </c>
      <c r="BT59" s="18">
        <v>0</v>
      </c>
      <c r="BU59" s="71"/>
      <c r="BV59" s="71"/>
      <c r="BW59" s="71">
        <f t="shared" si="15"/>
        <v>83.482865449928767</v>
      </c>
      <c r="BX59" s="85">
        <v>0</v>
      </c>
      <c r="BY59" s="18">
        <v>2</v>
      </c>
      <c r="BZ59" s="71"/>
      <c r="CA59" s="71"/>
      <c r="CB59" s="71">
        <f t="shared" si="16"/>
        <v>100.53207713448795</v>
      </c>
      <c r="CC59" s="18">
        <v>2</v>
      </c>
      <c r="CD59" s="71"/>
      <c r="CE59" s="71"/>
      <c r="CF59" s="71">
        <f t="shared" si="17"/>
        <v>100.18886179687853</v>
      </c>
      <c r="CG59" s="18">
        <v>1</v>
      </c>
      <c r="CH59" s="71"/>
      <c r="CI59" s="71"/>
      <c r="CJ59" s="138">
        <f t="shared" si="18"/>
        <v>103.93736139675698</v>
      </c>
      <c r="CK59" s="18">
        <v>2</v>
      </c>
      <c r="CL59" s="71"/>
      <c r="CM59" s="71"/>
      <c r="CN59" s="71">
        <f t="shared" si="19"/>
        <v>100.22589057499034</v>
      </c>
      <c r="CO59" s="94">
        <v>1</v>
      </c>
      <c r="CP59" s="94">
        <v>1</v>
      </c>
      <c r="CQ59" s="94">
        <v>0</v>
      </c>
      <c r="CR59" s="94">
        <v>0</v>
      </c>
      <c r="CS59" s="102">
        <f t="shared" si="20"/>
        <v>94.855636280108115</v>
      </c>
      <c r="CT59" s="102">
        <f t="shared" si="21"/>
        <v>7.9353922194619173</v>
      </c>
      <c r="CU59" s="102">
        <f t="shared" si="22"/>
        <v>8.3657571976310949E-2</v>
      </c>
      <c r="CV59" s="108">
        <f t="shared" si="23"/>
        <v>94.19178063434822</v>
      </c>
      <c r="CZ59" s="109" t="str">
        <f t="shared" si="24"/>
        <v>Basso</v>
      </c>
    </row>
    <row r="60" spans="1:104" x14ac:dyDescent="0.15">
      <c r="A60" s="84">
        <v>2</v>
      </c>
      <c r="B60" s="84">
        <v>2</v>
      </c>
      <c r="C60" s="84">
        <v>2</v>
      </c>
      <c r="D60" s="84">
        <v>2</v>
      </c>
      <c r="E60" s="85">
        <v>1</v>
      </c>
      <c r="F60" s="17">
        <v>2</v>
      </c>
      <c r="I60" s="64">
        <f t="shared" si="1"/>
        <v>109.85726154139888</v>
      </c>
      <c r="J60" s="17">
        <v>2</v>
      </c>
      <c r="M60" s="64">
        <f t="shared" si="2"/>
        <v>110.02144013573877</v>
      </c>
      <c r="N60" s="17">
        <v>2</v>
      </c>
      <c r="Q60" s="64">
        <f t="shared" si="0"/>
        <v>113.93405225485253</v>
      </c>
      <c r="R60" s="17">
        <v>3</v>
      </c>
      <c r="U60" s="64">
        <f t="shared" si="3"/>
        <v>111.09942135879838</v>
      </c>
      <c r="V60" s="17">
        <v>4</v>
      </c>
      <c r="Y60" s="114">
        <f t="shared" si="4"/>
        <v>110.77363490373656</v>
      </c>
      <c r="Z60" s="17">
        <v>3</v>
      </c>
      <c r="AC60" s="64">
        <f t="shared" si="5"/>
        <v>109.50350141641081</v>
      </c>
      <c r="AD60" s="25">
        <v>3</v>
      </c>
      <c r="AE60" s="71"/>
      <c r="AF60" s="71"/>
      <c r="AG60" s="71">
        <f t="shared" si="6"/>
        <v>109.20703006144345</v>
      </c>
      <c r="AH60" s="17">
        <v>3</v>
      </c>
      <c r="AK60" s="64">
        <f t="shared" si="7"/>
        <v>110.43726382077395</v>
      </c>
      <c r="AL60" s="17">
        <v>3</v>
      </c>
      <c r="AM60" s="71"/>
      <c r="AN60" s="71"/>
      <c r="AO60" s="71">
        <f t="shared" si="8"/>
        <v>100.85056924463234</v>
      </c>
      <c r="AP60" s="17">
        <v>3</v>
      </c>
      <c r="AQ60" s="71"/>
      <c r="AR60" s="71"/>
      <c r="AS60" s="71">
        <f t="shared" si="9"/>
        <v>110.12341030651692</v>
      </c>
      <c r="AT60" s="17">
        <v>2</v>
      </c>
      <c r="AU60" s="71"/>
      <c r="AV60" s="71"/>
      <c r="AW60" s="71">
        <f t="shared" si="10"/>
        <v>110.91338973410525</v>
      </c>
      <c r="AX60" s="17">
        <v>3</v>
      </c>
      <c r="AY60" s="71"/>
      <c r="AZ60" s="71"/>
      <c r="BA60" s="71">
        <f t="shared" si="11"/>
        <v>111.80497096144313</v>
      </c>
      <c r="BB60" s="84">
        <v>1</v>
      </c>
      <c r="BC60" s="84">
        <v>1</v>
      </c>
      <c r="BD60" s="84">
        <v>0</v>
      </c>
      <c r="BE60" s="84">
        <v>0</v>
      </c>
      <c r="BF60" s="84">
        <v>0</v>
      </c>
      <c r="BG60" s="84">
        <v>0</v>
      </c>
      <c r="BH60" s="20">
        <v>2</v>
      </c>
      <c r="BI60" s="71"/>
      <c r="BJ60" s="71"/>
      <c r="BK60" s="71">
        <f t="shared" si="12"/>
        <v>114.81520780975161</v>
      </c>
      <c r="BL60" s="17">
        <v>2</v>
      </c>
      <c r="BM60" s="71"/>
      <c r="BN60" s="71"/>
      <c r="BO60" s="71">
        <f t="shared" si="13"/>
        <v>101.95148996595998</v>
      </c>
      <c r="BP60" s="17">
        <v>1</v>
      </c>
      <c r="BQ60" s="71"/>
      <c r="BR60" s="71"/>
      <c r="BS60" s="138">
        <f t="shared" si="14"/>
        <v>100.16171091563201</v>
      </c>
      <c r="BT60" s="17">
        <v>3</v>
      </c>
      <c r="BU60" s="71"/>
      <c r="BV60" s="71"/>
      <c r="BW60" s="71">
        <f t="shared" si="15"/>
        <v>112.03791162123835</v>
      </c>
      <c r="BX60" s="84">
        <v>0</v>
      </c>
      <c r="BY60" s="17">
        <v>3</v>
      </c>
      <c r="BZ60" s="71"/>
      <c r="CA60" s="71"/>
      <c r="CB60" s="71">
        <f t="shared" si="16"/>
        <v>110.05345743585116</v>
      </c>
      <c r="CC60" s="17">
        <v>3</v>
      </c>
      <c r="CD60" s="71"/>
      <c r="CE60" s="71"/>
      <c r="CF60" s="71">
        <f t="shared" si="17"/>
        <v>109.36214907383548</v>
      </c>
      <c r="CG60" s="17">
        <v>1</v>
      </c>
      <c r="CH60" s="71"/>
      <c r="CI60" s="71"/>
      <c r="CJ60" s="138">
        <f t="shared" si="18"/>
        <v>103.93736139675698</v>
      </c>
      <c r="CK60" s="17">
        <v>3</v>
      </c>
      <c r="CL60" s="71"/>
      <c r="CM60" s="71"/>
      <c r="CN60" s="71">
        <f t="shared" si="19"/>
        <v>109.82624001207998</v>
      </c>
      <c r="CO60" s="93">
        <v>1</v>
      </c>
      <c r="CP60" s="93">
        <v>1</v>
      </c>
      <c r="CQ60" s="93">
        <v>0</v>
      </c>
      <c r="CR60" s="93">
        <v>0</v>
      </c>
      <c r="CS60" s="102">
        <f t="shared" si="20"/>
        <v>109.75286863263715</v>
      </c>
      <c r="CT60" s="102">
        <f t="shared" si="21"/>
        <v>3.5099129776741154</v>
      </c>
      <c r="CU60" s="102">
        <f t="shared" si="22"/>
        <v>3.1980147957885584E-2</v>
      </c>
      <c r="CV60" s="108">
        <f t="shared" si="23"/>
        <v>109.64062109629182</v>
      </c>
      <c r="CZ60" s="109" t="str">
        <f t="shared" si="24"/>
        <v>Alto</v>
      </c>
    </row>
    <row r="61" spans="1:104" x14ac:dyDescent="0.15">
      <c r="A61" s="85">
        <v>2</v>
      </c>
      <c r="B61" s="85">
        <v>1</v>
      </c>
      <c r="C61" s="85">
        <v>3</v>
      </c>
      <c r="D61" s="85">
        <v>2</v>
      </c>
      <c r="E61" s="85">
        <v>1</v>
      </c>
      <c r="F61" s="18">
        <v>2</v>
      </c>
      <c r="I61" s="64">
        <f t="shared" si="1"/>
        <v>109.85726154139888</v>
      </c>
      <c r="J61" s="18">
        <v>1</v>
      </c>
      <c r="M61" s="64">
        <f t="shared" si="2"/>
        <v>95.705097084683388</v>
      </c>
      <c r="N61" s="18">
        <v>1</v>
      </c>
      <c r="Q61" s="64">
        <f t="shared" si="0"/>
        <v>98.246708656674187</v>
      </c>
      <c r="R61" s="18">
        <v>1</v>
      </c>
      <c r="U61" s="64">
        <f t="shared" si="3"/>
        <v>91.596562123700451</v>
      </c>
      <c r="V61" s="18">
        <v>2</v>
      </c>
      <c r="Y61" s="114">
        <f t="shared" si="4"/>
        <v>97.875621286587162</v>
      </c>
      <c r="Z61" s="18">
        <v>0</v>
      </c>
      <c r="AC61" s="64">
        <f t="shared" si="5"/>
        <v>85.509512691809249</v>
      </c>
      <c r="AD61" s="24">
        <v>2</v>
      </c>
      <c r="AE61" s="71"/>
      <c r="AF61" s="71"/>
      <c r="AG61" s="71">
        <f t="shared" si="6"/>
        <v>101.01229126330007</v>
      </c>
      <c r="AH61" s="18">
        <v>1</v>
      </c>
      <c r="AK61" s="64">
        <f t="shared" si="7"/>
        <v>88.599296441923855</v>
      </c>
      <c r="AL61" s="18">
        <v>3</v>
      </c>
      <c r="AM61" s="71"/>
      <c r="AN61" s="71"/>
      <c r="AO61" s="71">
        <f t="shared" si="8"/>
        <v>100.85056924463234</v>
      </c>
      <c r="AP61" s="18">
        <v>2</v>
      </c>
      <c r="AQ61" s="71"/>
      <c r="AR61" s="71"/>
      <c r="AS61" s="71">
        <f t="shared" si="9"/>
        <v>99.909880620416757</v>
      </c>
      <c r="AT61" s="18">
        <v>2</v>
      </c>
      <c r="AU61" s="71"/>
      <c r="AV61" s="71"/>
      <c r="AW61" s="71">
        <f t="shared" si="10"/>
        <v>110.91338973410525</v>
      </c>
      <c r="AX61" s="18">
        <v>2</v>
      </c>
      <c r="AY61" s="71"/>
      <c r="AZ61" s="71"/>
      <c r="BA61" s="71">
        <f t="shared" si="11"/>
        <v>100.92776194547928</v>
      </c>
      <c r="BB61" s="85">
        <v>1</v>
      </c>
      <c r="BC61" s="85">
        <v>0</v>
      </c>
      <c r="BD61" s="85">
        <v>0</v>
      </c>
      <c r="BE61" s="85">
        <v>1</v>
      </c>
      <c r="BF61" s="85">
        <v>0</v>
      </c>
      <c r="BG61" s="85">
        <v>0</v>
      </c>
      <c r="BH61" s="19">
        <v>0</v>
      </c>
      <c r="BI61" s="71"/>
      <c r="BJ61" s="71"/>
      <c r="BK61" s="71">
        <f t="shared" si="12"/>
        <v>92.176238572378367</v>
      </c>
      <c r="BL61" s="18">
        <v>1</v>
      </c>
      <c r="BM61" s="71"/>
      <c r="BN61" s="71"/>
      <c r="BO61" s="71">
        <f t="shared" si="13"/>
        <v>92.606326748686826</v>
      </c>
      <c r="BP61" s="18">
        <v>1</v>
      </c>
      <c r="BQ61" s="71"/>
      <c r="BR61" s="71"/>
      <c r="BS61" s="138">
        <f t="shared" si="14"/>
        <v>100.16171091563201</v>
      </c>
      <c r="BT61" s="18">
        <v>1</v>
      </c>
      <c r="BU61" s="71"/>
      <c r="BV61" s="71"/>
      <c r="BW61" s="71">
        <f t="shared" si="15"/>
        <v>93.001214173698628</v>
      </c>
      <c r="BX61" s="85">
        <v>2</v>
      </c>
      <c r="BY61" s="18">
        <v>2</v>
      </c>
      <c r="BZ61" s="71"/>
      <c r="CA61" s="71"/>
      <c r="CB61" s="71">
        <f t="shared" si="16"/>
        <v>100.53207713448795</v>
      </c>
      <c r="CC61" s="18">
        <v>2</v>
      </c>
      <c r="CD61" s="71"/>
      <c r="CE61" s="71"/>
      <c r="CF61" s="71">
        <f t="shared" si="17"/>
        <v>100.18886179687853</v>
      </c>
      <c r="CG61" s="18">
        <v>0</v>
      </c>
      <c r="CH61" s="71"/>
      <c r="CI61" s="71"/>
      <c r="CJ61" s="138">
        <f t="shared" si="18"/>
        <v>89.226340793489143</v>
      </c>
      <c r="CK61" s="18">
        <v>2</v>
      </c>
      <c r="CL61" s="71"/>
      <c r="CM61" s="71"/>
      <c r="CN61" s="71">
        <f t="shared" si="19"/>
        <v>100.22589057499034</v>
      </c>
      <c r="CO61" s="94">
        <v>1</v>
      </c>
      <c r="CP61" s="94">
        <v>0</v>
      </c>
      <c r="CQ61" s="94">
        <v>1</v>
      </c>
      <c r="CR61" s="94">
        <v>0</v>
      </c>
      <c r="CS61" s="102">
        <f t="shared" si="20"/>
        <v>97.756408255837911</v>
      </c>
      <c r="CT61" s="102">
        <f t="shared" si="21"/>
        <v>6.757544324023498</v>
      </c>
      <c r="CU61" s="102">
        <f t="shared" si="22"/>
        <v>6.9126356466967923E-2</v>
      </c>
      <c r="CV61" s="108">
        <f t="shared" si="23"/>
        <v>97.289283838054132</v>
      </c>
      <c r="CZ61" s="109" t="str">
        <f t="shared" si="24"/>
        <v>Medio-Basso</v>
      </c>
    </row>
    <row r="62" spans="1:104" x14ac:dyDescent="0.15">
      <c r="A62" s="84">
        <v>4</v>
      </c>
      <c r="B62" s="84">
        <v>1</v>
      </c>
      <c r="C62" s="84">
        <v>3</v>
      </c>
      <c r="D62" s="84">
        <v>2</v>
      </c>
      <c r="E62" s="85">
        <v>1</v>
      </c>
      <c r="F62" s="17">
        <v>2</v>
      </c>
      <c r="I62" s="64">
        <f t="shared" si="1"/>
        <v>109.85726154139888</v>
      </c>
      <c r="J62" s="17">
        <v>2</v>
      </c>
      <c r="M62" s="64">
        <f t="shared" si="2"/>
        <v>110.02144013573877</v>
      </c>
      <c r="N62" s="17">
        <v>1</v>
      </c>
      <c r="Q62" s="64">
        <f t="shared" si="0"/>
        <v>98.246708656674187</v>
      </c>
      <c r="R62" s="17">
        <v>2</v>
      </c>
      <c r="U62" s="64">
        <f t="shared" si="3"/>
        <v>101.34799174124942</v>
      </c>
      <c r="V62" s="17">
        <v>0</v>
      </c>
      <c r="Y62" s="114">
        <f t="shared" si="4"/>
        <v>84.977607669437745</v>
      </c>
      <c r="Z62" s="17">
        <v>3</v>
      </c>
      <c r="AC62" s="64">
        <f t="shared" si="5"/>
        <v>109.50350141641081</v>
      </c>
      <c r="AD62" s="25">
        <v>0</v>
      </c>
      <c r="AE62" s="71"/>
      <c r="AF62" s="71"/>
      <c r="AG62" s="71">
        <f t="shared" si="6"/>
        <v>84.62281366701329</v>
      </c>
      <c r="AH62" s="17">
        <v>1</v>
      </c>
      <c r="AK62" s="64">
        <f t="shared" si="7"/>
        <v>88.599296441923855</v>
      </c>
      <c r="AL62" s="17">
        <v>3</v>
      </c>
      <c r="AM62" s="71"/>
      <c r="AN62" s="71"/>
      <c r="AO62" s="71">
        <f t="shared" si="8"/>
        <v>100.85056924463234</v>
      </c>
      <c r="AP62" s="17">
        <v>0</v>
      </c>
      <c r="AQ62" s="71"/>
      <c r="AR62" s="71"/>
      <c r="AS62" s="71">
        <f t="shared" si="9"/>
        <v>79.482821248216453</v>
      </c>
      <c r="AT62" s="17">
        <v>2</v>
      </c>
      <c r="AU62" s="71"/>
      <c r="AV62" s="71"/>
      <c r="AW62" s="71">
        <f t="shared" si="10"/>
        <v>110.91338973410525</v>
      </c>
      <c r="AX62" s="17">
        <v>0</v>
      </c>
      <c r="AY62" s="71"/>
      <c r="AZ62" s="71"/>
      <c r="BA62" s="71">
        <f t="shared" si="11"/>
        <v>79.173343913551548</v>
      </c>
      <c r="BB62" s="84">
        <v>0</v>
      </c>
      <c r="BC62" s="84">
        <v>1</v>
      </c>
      <c r="BD62" s="84">
        <v>1</v>
      </c>
      <c r="BE62" s="84">
        <v>0</v>
      </c>
      <c r="BF62" s="84">
        <v>0</v>
      </c>
      <c r="BG62" s="84">
        <v>0</v>
      </c>
      <c r="BH62" s="20">
        <v>1</v>
      </c>
      <c r="BI62" s="71"/>
      <c r="BJ62" s="71"/>
      <c r="BK62" s="71">
        <f t="shared" si="12"/>
        <v>103.49572319106498</v>
      </c>
      <c r="BL62" s="17">
        <v>3</v>
      </c>
      <c r="BM62" s="71"/>
      <c r="BN62" s="71"/>
      <c r="BO62" s="71">
        <f t="shared" si="13"/>
        <v>111.29665318323313</v>
      </c>
      <c r="BP62" s="17">
        <v>0</v>
      </c>
      <c r="BQ62" s="71"/>
      <c r="BR62" s="71"/>
      <c r="BS62" s="138">
        <f t="shared" si="14"/>
        <v>86.456710815818582</v>
      </c>
      <c r="BT62" s="17">
        <v>0</v>
      </c>
      <c r="BU62" s="71"/>
      <c r="BV62" s="71"/>
      <c r="BW62" s="71">
        <f t="shared" si="15"/>
        <v>83.482865449928767</v>
      </c>
      <c r="BX62" s="84">
        <v>3</v>
      </c>
      <c r="BY62" s="17">
        <v>0</v>
      </c>
      <c r="BZ62" s="71"/>
      <c r="CA62" s="71"/>
      <c r="CB62" s="71">
        <f t="shared" si="16"/>
        <v>81.489316531761531</v>
      </c>
      <c r="CC62" s="17">
        <v>0</v>
      </c>
      <c r="CD62" s="71"/>
      <c r="CE62" s="71"/>
      <c r="CF62" s="71">
        <f t="shared" si="17"/>
        <v>81.842287242964616</v>
      </c>
      <c r="CG62" s="17">
        <v>0</v>
      </c>
      <c r="CH62" s="71"/>
      <c r="CI62" s="71"/>
      <c r="CJ62" s="138">
        <f t="shared" si="18"/>
        <v>89.226340793489143</v>
      </c>
      <c r="CK62" s="17">
        <v>0</v>
      </c>
      <c r="CL62" s="71"/>
      <c r="CM62" s="71"/>
      <c r="CN62" s="71">
        <f t="shared" si="19"/>
        <v>81.025191700811078</v>
      </c>
      <c r="CO62" s="93">
        <v>0</v>
      </c>
      <c r="CP62" s="93">
        <v>0</v>
      </c>
      <c r="CQ62" s="93">
        <v>0</v>
      </c>
      <c r="CR62" s="93">
        <v>1</v>
      </c>
      <c r="CS62" s="102">
        <f t="shared" si="20"/>
        <v>95.014775002392881</v>
      </c>
      <c r="CT62" s="102">
        <f t="shared" si="21"/>
        <v>12.884864432502443</v>
      </c>
      <c r="CU62" s="102">
        <f t="shared" si="22"/>
        <v>0.13560906113999582</v>
      </c>
      <c r="CV62" s="108">
        <f t="shared" si="23"/>
        <v>93.267470633785095</v>
      </c>
      <c r="CZ62" s="109" t="str">
        <f t="shared" si="24"/>
        <v>Basso</v>
      </c>
    </row>
    <row r="63" spans="1:104" x14ac:dyDescent="0.15">
      <c r="A63" s="85">
        <v>2</v>
      </c>
      <c r="B63" s="85">
        <v>2</v>
      </c>
      <c r="C63" s="85">
        <v>3</v>
      </c>
      <c r="D63" s="85">
        <v>2</v>
      </c>
      <c r="E63" s="85">
        <v>1</v>
      </c>
      <c r="F63" s="18">
        <v>2</v>
      </c>
      <c r="I63" s="64">
        <f t="shared" si="1"/>
        <v>109.85726154139888</v>
      </c>
      <c r="J63" s="18">
        <v>1</v>
      </c>
      <c r="M63" s="64">
        <f t="shared" si="2"/>
        <v>95.705097084683388</v>
      </c>
      <c r="N63" s="18">
        <v>0</v>
      </c>
      <c r="Q63" s="64">
        <f t="shared" si="0"/>
        <v>82.559365058495843</v>
      </c>
      <c r="R63" s="18">
        <v>0</v>
      </c>
      <c r="U63" s="64">
        <f t="shared" si="3"/>
        <v>81.845132506151486</v>
      </c>
      <c r="V63" s="18">
        <v>4</v>
      </c>
      <c r="Y63" s="114">
        <f t="shared" si="4"/>
        <v>110.77363490373656</v>
      </c>
      <c r="Z63" s="18">
        <v>0</v>
      </c>
      <c r="AC63" s="64">
        <f t="shared" si="5"/>
        <v>85.509512691809249</v>
      </c>
      <c r="AD63" s="24">
        <v>0</v>
      </c>
      <c r="AE63" s="71"/>
      <c r="AF63" s="71"/>
      <c r="AG63" s="71">
        <f t="shared" si="6"/>
        <v>84.62281366701329</v>
      </c>
      <c r="AH63" s="18">
        <v>0</v>
      </c>
      <c r="AK63" s="64">
        <f t="shared" si="7"/>
        <v>77.680312752498807</v>
      </c>
      <c r="AL63" s="18">
        <v>3</v>
      </c>
      <c r="AM63" s="71"/>
      <c r="AN63" s="71"/>
      <c r="AO63" s="71">
        <f t="shared" si="8"/>
        <v>100.85056924463234</v>
      </c>
      <c r="AP63" s="18">
        <v>2</v>
      </c>
      <c r="AQ63" s="71"/>
      <c r="AR63" s="71"/>
      <c r="AS63" s="71">
        <f t="shared" si="9"/>
        <v>99.909880620416757</v>
      </c>
      <c r="AT63" s="18">
        <v>1</v>
      </c>
      <c r="AU63" s="71"/>
      <c r="AV63" s="71"/>
      <c r="AW63" s="71">
        <f t="shared" si="10"/>
        <v>100.0638209925971</v>
      </c>
      <c r="AX63" s="19">
        <v>1</v>
      </c>
      <c r="AY63" s="71"/>
      <c r="AZ63" s="71"/>
      <c r="BA63" s="71">
        <f t="shared" si="11"/>
        <v>90.050552929515405</v>
      </c>
      <c r="BB63" s="85">
        <v>1</v>
      </c>
      <c r="BC63" s="85">
        <v>0</v>
      </c>
      <c r="BD63" s="85">
        <v>0</v>
      </c>
      <c r="BE63" s="85">
        <v>1</v>
      </c>
      <c r="BF63" s="85">
        <v>0</v>
      </c>
      <c r="BG63" s="85">
        <v>0</v>
      </c>
      <c r="BH63" s="19">
        <v>1</v>
      </c>
      <c r="BI63" s="71"/>
      <c r="BJ63" s="71"/>
      <c r="BK63" s="71">
        <f t="shared" si="12"/>
        <v>103.49572319106498</v>
      </c>
      <c r="BL63" s="18">
        <v>0</v>
      </c>
      <c r="BM63" s="71"/>
      <c r="BN63" s="71"/>
      <c r="BO63" s="71">
        <f t="shared" si="13"/>
        <v>83.261163531413686</v>
      </c>
      <c r="BP63" s="18">
        <v>0</v>
      </c>
      <c r="BQ63" s="71"/>
      <c r="BR63" s="71"/>
      <c r="BS63" s="138">
        <f t="shared" si="14"/>
        <v>86.456710815818582</v>
      </c>
      <c r="BT63" s="18">
        <v>0</v>
      </c>
      <c r="BU63" s="71"/>
      <c r="BV63" s="71"/>
      <c r="BW63" s="71">
        <f t="shared" si="15"/>
        <v>83.482865449928767</v>
      </c>
      <c r="BX63" s="85">
        <v>2</v>
      </c>
      <c r="BY63" s="18">
        <v>1</v>
      </c>
      <c r="BZ63" s="71"/>
      <c r="CA63" s="71"/>
      <c r="CB63" s="71">
        <f t="shared" si="16"/>
        <v>91.01069683312474</v>
      </c>
      <c r="CC63" s="18">
        <v>1</v>
      </c>
      <c r="CD63" s="71"/>
      <c r="CE63" s="71"/>
      <c r="CF63" s="71">
        <f t="shared" si="17"/>
        <v>91.015574519921572</v>
      </c>
      <c r="CG63" s="18">
        <v>1</v>
      </c>
      <c r="CH63" s="71"/>
      <c r="CI63" s="71"/>
      <c r="CJ63" s="138">
        <f t="shared" si="18"/>
        <v>103.93736139675698</v>
      </c>
      <c r="CK63" s="18">
        <v>1</v>
      </c>
      <c r="CL63" s="71"/>
      <c r="CM63" s="71"/>
      <c r="CN63" s="71">
        <f t="shared" si="19"/>
        <v>90.625541137900711</v>
      </c>
      <c r="CO63" s="94">
        <v>0</v>
      </c>
      <c r="CP63" s="94">
        <v>0</v>
      </c>
      <c r="CQ63" s="94">
        <v>1</v>
      </c>
      <c r="CR63" s="94">
        <v>0</v>
      </c>
      <c r="CS63" s="102">
        <f t="shared" si="20"/>
        <v>91.267404926621595</v>
      </c>
      <c r="CT63" s="102">
        <f t="shared" si="21"/>
        <v>9.0552373160335353</v>
      </c>
      <c r="CU63" s="102">
        <f t="shared" si="22"/>
        <v>9.9216552977636291E-2</v>
      </c>
      <c r="CV63" s="108">
        <f t="shared" si="23"/>
        <v>90.368975493730289</v>
      </c>
      <c r="CZ63" s="109" t="str">
        <f t="shared" si="24"/>
        <v>Basso</v>
      </c>
    </row>
    <row r="64" spans="1:104" x14ac:dyDescent="0.15">
      <c r="A64" s="84">
        <v>5</v>
      </c>
      <c r="B64" s="84">
        <v>1</v>
      </c>
      <c r="C64" s="84">
        <v>1</v>
      </c>
      <c r="D64" s="84">
        <v>2</v>
      </c>
      <c r="E64" s="85">
        <v>1</v>
      </c>
      <c r="F64" s="17">
        <v>2</v>
      </c>
      <c r="I64" s="64">
        <f t="shared" si="1"/>
        <v>109.85726154139888</v>
      </c>
      <c r="J64" s="17">
        <v>1</v>
      </c>
      <c r="M64" s="64">
        <f t="shared" si="2"/>
        <v>95.705097084683388</v>
      </c>
      <c r="N64" s="17">
        <v>1</v>
      </c>
      <c r="Q64" s="64">
        <f t="shared" si="0"/>
        <v>98.246708656674187</v>
      </c>
      <c r="R64" s="17">
        <v>2</v>
      </c>
      <c r="U64" s="64">
        <f t="shared" si="3"/>
        <v>101.34799174124942</v>
      </c>
      <c r="V64" s="17">
        <v>3</v>
      </c>
      <c r="Y64" s="114">
        <f t="shared" si="4"/>
        <v>104.32462809516186</v>
      </c>
      <c r="Z64" s="17">
        <v>0</v>
      </c>
      <c r="AC64" s="64">
        <f t="shared" si="5"/>
        <v>85.509512691809249</v>
      </c>
      <c r="AD64" s="25">
        <v>0</v>
      </c>
      <c r="AE64" s="71"/>
      <c r="AF64" s="71"/>
      <c r="AG64" s="71">
        <f t="shared" si="6"/>
        <v>84.62281366701329</v>
      </c>
      <c r="AH64" s="17">
        <v>1</v>
      </c>
      <c r="AK64" s="64">
        <f t="shared" si="7"/>
        <v>88.599296441923855</v>
      </c>
      <c r="AL64" s="17">
        <v>3</v>
      </c>
      <c r="AM64" s="71"/>
      <c r="AN64" s="71"/>
      <c r="AO64" s="71">
        <f t="shared" si="8"/>
        <v>100.85056924463234</v>
      </c>
      <c r="AP64" s="17">
        <v>2</v>
      </c>
      <c r="AQ64" s="71"/>
      <c r="AR64" s="71"/>
      <c r="AS64" s="71">
        <f t="shared" si="9"/>
        <v>99.909880620416757</v>
      </c>
      <c r="AT64" s="17">
        <v>1</v>
      </c>
      <c r="AU64" s="71"/>
      <c r="AV64" s="71"/>
      <c r="AW64" s="71">
        <f t="shared" si="10"/>
        <v>100.0638209925971</v>
      </c>
      <c r="AX64" s="17">
        <v>2</v>
      </c>
      <c r="AY64" s="71"/>
      <c r="AZ64" s="71"/>
      <c r="BA64" s="71">
        <f t="shared" si="11"/>
        <v>100.92776194547928</v>
      </c>
      <c r="BB64" s="84">
        <v>1</v>
      </c>
      <c r="BC64" s="84">
        <v>0</v>
      </c>
      <c r="BD64" s="84">
        <v>0</v>
      </c>
      <c r="BE64" s="84">
        <v>1</v>
      </c>
      <c r="BF64" s="84">
        <v>0</v>
      </c>
      <c r="BG64" s="84">
        <v>0</v>
      </c>
      <c r="BH64" s="20">
        <v>0</v>
      </c>
      <c r="BI64" s="71"/>
      <c r="BJ64" s="71"/>
      <c r="BK64" s="71">
        <f t="shared" si="12"/>
        <v>92.176238572378367</v>
      </c>
      <c r="BL64" s="17">
        <v>1</v>
      </c>
      <c r="BM64" s="71"/>
      <c r="BN64" s="71"/>
      <c r="BO64" s="71">
        <f t="shared" si="13"/>
        <v>92.606326748686826</v>
      </c>
      <c r="BP64" s="17">
        <v>0</v>
      </c>
      <c r="BQ64" s="71"/>
      <c r="BR64" s="71"/>
      <c r="BS64" s="138">
        <f t="shared" si="14"/>
        <v>86.456710815818582</v>
      </c>
      <c r="BT64" s="17">
        <v>1</v>
      </c>
      <c r="BU64" s="71"/>
      <c r="BV64" s="71"/>
      <c r="BW64" s="71">
        <f t="shared" si="15"/>
        <v>93.001214173698628</v>
      </c>
      <c r="BX64" s="84">
        <v>2</v>
      </c>
      <c r="BY64" s="17">
        <v>1</v>
      </c>
      <c r="BZ64" s="71"/>
      <c r="CA64" s="71"/>
      <c r="CB64" s="71">
        <f t="shared" si="16"/>
        <v>91.01069683312474</v>
      </c>
      <c r="CC64" s="17">
        <v>1</v>
      </c>
      <c r="CD64" s="71"/>
      <c r="CE64" s="71"/>
      <c r="CF64" s="71">
        <f t="shared" si="17"/>
        <v>91.015574519921572</v>
      </c>
      <c r="CG64" s="17">
        <v>2</v>
      </c>
      <c r="CH64" s="71"/>
      <c r="CI64" s="71"/>
      <c r="CJ64" s="138">
        <f t="shared" si="18"/>
        <v>118.64838200002481</v>
      </c>
      <c r="CK64" s="17">
        <v>2</v>
      </c>
      <c r="CL64" s="71"/>
      <c r="CM64" s="71"/>
      <c r="CN64" s="71">
        <f t="shared" si="19"/>
        <v>100.22589057499034</v>
      </c>
      <c r="CO64" s="93">
        <v>0</v>
      </c>
      <c r="CP64" s="93">
        <v>1</v>
      </c>
      <c r="CQ64" s="93">
        <v>1</v>
      </c>
      <c r="CR64" s="93">
        <v>0</v>
      </c>
      <c r="CS64" s="102">
        <f t="shared" si="20"/>
        <v>95.628038591216367</v>
      </c>
      <c r="CT64" s="102">
        <f t="shared" si="21"/>
        <v>6.6144151036095993</v>
      </c>
      <c r="CU64" s="102">
        <f t="shared" si="22"/>
        <v>6.9168156129233285E-2</v>
      </c>
      <c r="CV64" s="108">
        <f t="shared" si="23"/>
        <v>95.170531694626334</v>
      </c>
      <c r="CZ64" s="109" t="str">
        <f t="shared" si="24"/>
        <v>Basso</v>
      </c>
    </row>
    <row r="65" spans="1:104" x14ac:dyDescent="0.15">
      <c r="A65" s="85">
        <v>3</v>
      </c>
      <c r="B65" s="85">
        <v>1</v>
      </c>
      <c r="C65" s="85">
        <v>1</v>
      </c>
      <c r="D65" s="85">
        <v>2</v>
      </c>
      <c r="E65" s="85">
        <v>1</v>
      </c>
      <c r="F65" s="18">
        <v>0</v>
      </c>
      <c r="I65" s="64">
        <f t="shared" si="1"/>
        <v>76.99972307006928</v>
      </c>
      <c r="J65" s="18">
        <v>1</v>
      </c>
      <c r="M65" s="64">
        <f t="shared" si="2"/>
        <v>95.705097084683388</v>
      </c>
      <c r="N65" s="18">
        <v>1</v>
      </c>
      <c r="Q65" s="64">
        <f t="shared" si="0"/>
        <v>98.246708656674187</v>
      </c>
      <c r="R65" s="18">
        <v>2</v>
      </c>
      <c r="U65" s="64">
        <f t="shared" si="3"/>
        <v>101.34799174124942</v>
      </c>
      <c r="V65" s="18">
        <v>1</v>
      </c>
      <c r="Y65" s="114">
        <f t="shared" si="4"/>
        <v>91.426614478012453</v>
      </c>
      <c r="Z65" s="18">
        <v>0</v>
      </c>
      <c r="AC65" s="64">
        <f t="shared" si="5"/>
        <v>85.509512691809249</v>
      </c>
      <c r="AD65" s="24">
        <v>0</v>
      </c>
      <c r="AE65" s="71"/>
      <c r="AF65" s="71"/>
      <c r="AG65" s="71">
        <f t="shared" si="6"/>
        <v>84.62281366701329</v>
      </c>
      <c r="AH65" s="18">
        <v>2</v>
      </c>
      <c r="AK65" s="64">
        <f t="shared" si="7"/>
        <v>99.518280131348902</v>
      </c>
      <c r="AL65" s="18">
        <v>3</v>
      </c>
      <c r="AM65" s="71"/>
      <c r="AN65" s="71"/>
      <c r="AO65" s="71">
        <f t="shared" si="8"/>
        <v>100.85056924463234</v>
      </c>
      <c r="AP65" s="18">
        <v>2</v>
      </c>
      <c r="AQ65" s="71"/>
      <c r="AR65" s="71"/>
      <c r="AS65" s="71">
        <f t="shared" si="9"/>
        <v>99.909880620416757</v>
      </c>
      <c r="AT65" s="18">
        <v>0</v>
      </c>
      <c r="AU65" s="71"/>
      <c r="AV65" s="71"/>
      <c r="AW65" s="71">
        <f t="shared" si="10"/>
        <v>89.214252251088965</v>
      </c>
      <c r="AX65" s="18">
        <v>3</v>
      </c>
      <c r="AY65" s="71"/>
      <c r="AZ65" s="71"/>
      <c r="BA65" s="71">
        <f t="shared" si="11"/>
        <v>111.80497096144313</v>
      </c>
      <c r="BB65" s="85">
        <v>1</v>
      </c>
      <c r="BC65" s="85">
        <v>0</v>
      </c>
      <c r="BD65" s="85">
        <v>0</v>
      </c>
      <c r="BE65" s="85">
        <v>1</v>
      </c>
      <c r="BF65" s="85">
        <v>0</v>
      </c>
      <c r="BG65" s="85">
        <v>0</v>
      </c>
      <c r="BH65" s="19">
        <v>1</v>
      </c>
      <c r="BI65" s="71"/>
      <c r="BJ65" s="71"/>
      <c r="BK65" s="71">
        <f t="shared" si="12"/>
        <v>103.49572319106498</v>
      </c>
      <c r="BL65" s="18">
        <v>3</v>
      </c>
      <c r="BM65" s="71"/>
      <c r="BN65" s="71"/>
      <c r="BO65" s="71">
        <f t="shared" si="13"/>
        <v>111.29665318323313</v>
      </c>
      <c r="BP65" s="18">
        <v>2</v>
      </c>
      <c r="BQ65" s="71"/>
      <c r="BR65" s="71"/>
      <c r="BS65" s="138">
        <f t="shared" si="14"/>
        <v>113.86671101544545</v>
      </c>
      <c r="BT65" s="18">
        <v>0</v>
      </c>
      <c r="BU65" s="71"/>
      <c r="BV65" s="71"/>
      <c r="BW65" s="71">
        <f t="shared" si="15"/>
        <v>83.482865449928767</v>
      </c>
      <c r="BX65" s="85">
        <v>3</v>
      </c>
      <c r="BY65" s="18">
        <v>3</v>
      </c>
      <c r="BZ65" s="71"/>
      <c r="CA65" s="71"/>
      <c r="CB65" s="71">
        <f t="shared" si="16"/>
        <v>110.05345743585116</v>
      </c>
      <c r="CC65" s="18">
        <v>3</v>
      </c>
      <c r="CD65" s="71"/>
      <c r="CE65" s="71"/>
      <c r="CF65" s="71">
        <f t="shared" si="17"/>
        <v>109.36214907383548</v>
      </c>
      <c r="CG65" s="18">
        <v>0</v>
      </c>
      <c r="CH65" s="71"/>
      <c r="CI65" s="71"/>
      <c r="CJ65" s="138">
        <f t="shared" si="18"/>
        <v>89.226340793489143</v>
      </c>
      <c r="CK65" s="18">
        <v>2</v>
      </c>
      <c r="CL65" s="71"/>
      <c r="CM65" s="71"/>
      <c r="CN65" s="71">
        <f t="shared" si="19"/>
        <v>100.22589057499034</v>
      </c>
      <c r="CO65" s="94">
        <v>1</v>
      </c>
      <c r="CP65" s="94">
        <v>0</v>
      </c>
      <c r="CQ65" s="94">
        <v>1</v>
      </c>
      <c r="CR65" s="94">
        <v>0</v>
      </c>
      <c r="CS65" s="102">
        <f t="shared" si="20"/>
        <v>97.743914060548988</v>
      </c>
      <c r="CT65" s="102">
        <f t="shared" si="21"/>
        <v>10.518821860534642</v>
      </c>
      <c r="CU65" s="102">
        <f t="shared" si="22"/>
        <v>0.10761613100554367</v>
      </c>
      <c r="CV65" s="108">
        <f t="shared" si="23"/>
        <v>96.611919149181716</v>
      </c>
      <c r="CZ65" s="109" t="str">
        <f t="shared" si="24"/>
        <v>Medio-Basso</v>
      </c>
    </row>
    <row r="66" spans="1:104" x14ac:dyDescent="0.15">
      <c r="A66" s="84">
        <v>1</v>
      </c>
      <c r="B66" s="84">
        <v>1</v>
      </c>
      <c r="C66" s="84">
        <v>1</v>
      </c>
      <c r="D66" s="84">
        <v>2</v>
      </c>
      <c r="E66" s="85">
        <v>1</v>
      </c>
      <c r="F66" s="17">
        <v>1</v>
      </c>
      <c r="I66" s="64">
        <f t="shared" si="1"/>
        <v>93.428492305734082</v>
      </c>
      <c r="J66" s="17">
        <v>0</v>
      </c>
      <c r="M66" s="64">
        <f t="shared" si="2"/>
        <v>81.388754033628004</v>
      </c>
      <c r="N66" s="17">
        <v>1</v>
      </c>
      <c r="Q66" s="64">
        <f t="shared" si="0"/>
        <v>98.246708656674187</v>
      </c>
      <c r="R66" s="17">
        <v>1</v>
      </c>
      <c r="U66" s="64">
        <f t="shared" si="3"/>
        <v>91.596562123700451</v>
      </c>
      <c r="V66" s="17">
        <v>2</v>
      </c>
      <c r="Y66" s="114">
        <f t="shared" si="4"/>
        <v>97.875621286587162</v>
      </c>
      <c r="Z66" s="17">
        <v>2</v>
      </c>
      <c r="AC66" s="64">
        <f t="shared" si="5"/>
        <v>101.50550517487696</v>
      </c>
      <c r="AD66" s="25">
        <v>3</v>
      </c>
      <c r="AE66" s="71"/>
      <c r="AF66" s="71"/>
      <c r="AG66" s="71">
        <f t="shared" si="6"/>
        <v>109.20703006144345</v>
      </c>
      <c r="AH66" s="17">
        <v>1</v>
      </c>
      <c r="AK66" s="64">
        <f t="shared" si="7"/>
        <v>88.599296441923855</v>
      </c>
      <c r="AL66" s="17">
        <v>3</v>
      </c>
      <c r="AM66" s="71"/>
      <c r="AN66" s="71"/>
      <c r="AO66" s="71">
        <f t="shared" si="8"/>
        <v>100.85056924463234</v>
      </c>
      <c r="AP66" s="17">
        <v>3</v>
      </c>
      <c r="AQ66" s="71"/>
      <c r="AR66" s="71"/>
      <c r="AS66" s="71">
        <f t="shared" si="9"/>
        <v>110.12341030651692</v>
      </c>
      <c r="AT66" s="17">
        <v>0</v>
      </c>
      <c r="AU66" s="71"/>
      <c r="AV66" s="71"/>
      <c r="AW66" s="71">
        <f t="shared" si="10"/>
        <v>89.214252251088965</v>
      </c>
      <c r="AX66" s="17">
        <v>2</v>
      </c>
      <c r="AY66" s="71"/>
      <c r="AZ66" s="71"/>
      <c r="BA66" s="71">
        <f t="shared" si="11"/>
        <v>100.92776194547928</v>
      </c>
      <c r="BB66" s="84">
        <v>1</v>
      </c>
      <c r="BC66" s="84">
        <v>0</v>
      </c>
      <c r="BD66" s="84">
        <v>1</v>
      </c>
      <c r="BE66" s="84">
        <v>0</v>
      </c>
      <c r="BF66" s="84">
        <v>0</v>
      </c>
      <c r="BG66" s="84">
        <v>0</v>
      </c>
      <c r="BH66" s="20">
        <v>2</v>
      </c>
      <c r="BI66" s="71"/>
      <c r="BJ66" s="71"/>
      <c r="BK66" s="71">
        <f t="shared" si="12"/>
        <v>114.81520780975161</v>
      </c>
      <c r="BL66" s="17">
        <v>0</v>
      </c>
      <c r="BM66" s="71"/>
      <c r="BN66" s="71"/>
      <c r="BO66" s="71">
        <f t="shared" si="13"/>
        <v>83.261163531413686</v>
      </c>
      <c r="BP66" s="17">
        <v>1</v>
      </c>
      <c r="BQ66" s="71"/>
      <c r="BR66" s="71"/>
      <c r="BS66" s="138">
        <f t="shared" si="14"/>
        <v>100.16171091563201</v>
      </c>
      <c r="BT66" s="17">
        <v>0</v>
      </c>
      <c r="BU66" s="71"/>
      <c r="BV66" s="71"/>
      <c r="BW66" s="71">
        <f t="shared" si="15"/>
        <v>83.482865449928767</v>
      </c>
      <c r="BX66" s="84">
        <v>2</v>
      </c>
      <c r="BY66" s="17">
        <v>1</v>
      </c>
      <c r="BZ66" s="71"/>
      <c r="CA66" s="71"/>
      <c r="CB66" s="71">
        <f t="shared" si="16"/>
        <v>91.01069683312474</v>
      </c>
      <c r="CC66" s="17">
        <v>1</v>
      </c>
      <c r="CD66" s="71"/>
      <c r="CE66" s="71"/>
      <c r="CF66" s="71">
        <f t="shared" si="17"/>
        <v>91.015574519921572</v>
      </c>
      <c r="CG66" s="17">
        <v>0</v>
      </c>
      <c r="CH66" s="71"/>
      <c r="CI66" s="71"/>
      <c r="CJ66" s="138">
        <f t="shared" si="18"/>
        <v>89.226340793489143</v>
      </c>
      <c r="CK66" s="17">
        <v>1</v>
      </c>
      <c r="CL66" s="71"/>
      <c r="CM66" s="71"/>
      <c r="CN66" s="71">
        <f t="shared" si="19"/>
        <v>90.625541137900711</v>
      </c>
      <c r="CO66" s="93">
        <v>0</v>
      </c>
      <c r="CP66" s="93">
        <v>0</v>
      </c>
      <c r="CQ66" s="93">
        <v>0</v>
      </c>
      <c r="CR66" s="93">
        <v>1</v>
      </c>
      <c r="CS66" s="102">
        <f t="shared" si="20"/>
        <v>95.252905401631736</v>
      </c>
      <c r="CT66" s="102">
        <f t="shared" si="21"/>
        <v>9.8090400665779871</v>
      </c>
      <c r="CU66" s="102">
        <f t="shared" si="22"/>
        <v>0.1029789067873404</v>
      </c>
      <c r="CV66" s="108">
        <f t="shared" si="23"/>
        <v>94.242781178942309</v>
      </c>
      <c r="CZ66" s="109" t="str">
        <f t="shared" si="24"/>
        <v>Basso</v>
      </c>
    </row>
    <row r="67" spans="1:104" x14ac:dyDescent="0.15">
      <c r="A67" s="85">
        <v>4</v>
      </c>
      <c r="B67" s="85">
        <v>1</v>
      </c>
      <c r="C67" s="85">
        <v>3</v>
      </c>
      <c r="D67" s="85">
        <v>2</v>
      </c>
      <c r="E67" s="85">
        <v>1</v>
      </c>
      <c r="F67" s="18">
        <v>1</v>
      </c>
      <c r="I67" s="64">
        <f t="shared" ref="I67:I130" si="25">100 + ((F67 - $G$2) / $H$2) * 10</f>
        <v>93.428492305734082</v>
      </c>
      <c r="J67" s="18">
        <v>1</v>
      </c>
      <c r="M67" s="64">
        <f t="shared" ref="M67:M130" si="26">100 + ((J67 - $K$2) / $L$2) * 10</f>
        <v>95.705097084683388</v>
      </c>
      <c r="N67" s="18">
        <v>1</v>
      </c>
      <c r="Q67" s="64">
        <f t="shared" ref="Q67:Q130" si="27">100 + ((N67 - $O$2) / $P$2) * 10</f>
        <v>98.246708656674187</v>
      </c>
      <c r="R67" s="18">
        <v>1</v>
      </c>
      <c r="U67" s="64">
        <f t="shared" ref="U67:U130" si="28">100 + ((R67 - $S$2) / $T$2) * 10</f>
        <v>91.596562123700451</v>
      </c>
      <c r="V67" s="18">
        <v>5</v>
      </c>
      <c r="Y67" s="114">
        <f t="shared" ref="Y67:Y130" si="29">100 + ((V67 - $W$2) / $X$2) * 10</f>
        <v>117.22264171231127</v>
      </c>
      <c r="Z67" s="18">
        <v>0</v>
      </c>
      <c r="AC67" s="64">
        <f t="shared" ref="AC67:AC130" si="30">100 + ((Z67 - $AA$2) / $AB$2) * 10</f>
        <v>85.509512691809249</v>
      </c>
      <c r="AD67" s="24">
        <v>0</v>
      </c>
      <c r="AE67" s="71"/>
      <c r="AF67" s="71"/>
      <c r="AG67" s="71">
        <f t="shared" ref="AG67:AG130" si="31">100 + ((AD67 - $AE$2) / $AF$2) * 10</f>
        <v>84.62281366701329</v>
      </c>
      <c r="AH67" s="18">
        <v>1</v>
      </c>
      <c r="AK67" s="64">
        <f t="shared" ref="AK67:AK130" si="32">100 + ((AH67 - $AI$2) / $AJ$2) * 10</f>
        <v>88.599296441923855</v>
      </c>
      <c r="AL67" s="18">
        <v>3</v>
      </c>
      <c r="AM67" s="71"/>
      <c r="AN67" s="71"/>
      <c r="AO67" s="71">
        <f t="shared" ref="AO67:AO130" si="33">100 + ((AL67 - $AM$2) / $AN$2) * 10</f>
        <v>100.85056924463234</v>
      </c>
      <c r="AP67" s="18">
        <v>0</v>
      </c>
      <c r="AQ67" s="71"/>
      <c r="AR67" s="71"/>
      <c r="AS67" s="71">
        <f t="shared" ref="AS67:AS130" si="34">100 + ((AP67 - $AQ$2) / $AR$2) * 10</f>
        <v>79.482821248216453</v>
      </c>
      <c r="AT67" s="18">
        <v>0</v>
      </c>
      <c r="AU67" s="71"/>
      <c r="AV67" s="71"/>
      <c r="AW67" s="71">
        <f t="shared" ref="AW67:AW130" si="35">100 + ((AT67 - $AU$2) / $AV$2) * 10</f>
        <v>89.214252251088965</v>
      </c>
      <c r="AX67" s="18">
        <v>0</v>
      </c>
      <c r="AY67" s="71"/>
      <c r="AZ67" s="71"/>
      <c r="BA67" s="71">
        <f t="shared" ref="BA67:BA130" si="36">100 + ((AX67 - $AY$2) / $AZ$2) * 10</f>
        <v>79.173343913551548</v>
      </c>
      <c r="BB67" s="85">
        <v>0</v>
      </c>
      <c r="BC67" s="85">
        <v>0</v>
      </c>
      <c r="BD67" s="85">
        <v>0</v>
      </c>
      <c r="BE67" s="85">
        <v>1</v>
      </c>
      <c r="BF67" s="85">
        <v>0</v>
      </c>
      <c r="BG67" s="85">
        <v>0</v>
      </c>
      <c r="BH67" s="19">
        <v>0</v>
      </c>
      <c r="BI67" s="71"/>
      <c r="BJ67" s="71"/>
      <c r="BK67" s="71">
        <f t="shared" ref="BK67:BK130" si="37">100 + ((BH67 - $BI$2) / $BJ$2) * 10</f>
        <v>92.176238572378367</v>
      </c>
      <c r="BL67" s="18">
        <v>0</v>
      </c>
      <c r="BM67" s="71"/>
      <c r="BN67" s="71"/>
      <c r="BO67" s="71">
        <f t="shared" ref="BO67:BO130" si="38">100 + ((BL67 - $BM$2) / $BN$2) * 10</f>
        <v>83.261163531413686</v>
      </c>
      <c r="BP67" s="18">
        <v>0</v>
      </c>
      <c r="BQ67" s="71"/>
      <c r="BR67" s="71"/>
      <c r="BS67" s="138">
        <f t="shared" ref="BS67:BS130" si="39">100 + ((BP67 - $BQ$2) / $BR$2) * 10</f>
        <v>86.456710815818582</v>
      </c>
      <c r="BT67" s="18">
        <v>0</v>
      </c>
      <c r="BU67" s="71"/>
      <c r="BV67" s="71"/>
      <c r="BW67" s="71">
        <f t="shared" ref="BW67:BW130" si="40">100 + ((BT67 - $BU$2) / $BV$2) * 10</f>
        <v>83.482865449928767</v>
      </c>
      <c r="BX67" s="85">
        <v>2</v>
      </c>
      <c r="BY67" s="18">
        <v>1</v>
      </c>
      <c r="BZ67" s="71"/>
      <c r="CA67" s="71"/>
      <c r="CB67" s="71">
        <f t="shared" ref="CB67:CB130" si="41">100 + ((BY67 - $BZ$2) / $CA$2) * 10</f>
        <v>91.01069683312474</v>
      </c>
      <c r="CC67" s="18">
        <v>0</v>
      </c>
      <c r="CD67" s="71"/>
      <c r="CE67" s="71"/>
      <c r="CF67" s="71">
        <f t="shared" ref="CF67:CF130" si="42">100 + ((CC67 - $CD$2) / $CE$2) * 10</f>
        <v>81.842287242964616</v>
      </c>
      <c r="CG67" s="18">
        <v>0</v>
      </c>
      <c r="CH67" s="71"/>
      <c r="CI67" s="71"/>
      <c r="CJ67" s="138">
        <f t="shared" ref="CJ67:CJ130" si="43">100 + ((CG67 - $CH$2) / $CI$2) * 10</f>
        <v>89.226340793489143</v>
      </c>
      <c r="CK67" s="18">
        <v>2</v>
      </c>
      <c r="CL67" s="71"/>
      <c r="CM67" s="71"/>
      <c r="CN67" s="71">
        <f t="shared" ref="CN67:CN130" si="44">100 + ((CK67 - $CL$2) / $CM$2) * 10</f>
        <v>100.22589057499034</v>
      </c>
      <c r="CO67" s="94">
        <v>0</v>
      </c>
      <c r="CP67" s="94">
        <v>0</v>
      </c>
      <c r="CQ67" s="94">
        <v>1</v>
      </c>
      <c r="CR67" s="94">
        <v>0</v>
      </c>
      <c r="CS67" s="102">
        <f t="shared" ref="CS67:CS130" si="45">AVERAGE(I67, M67, Q67, U67, AC67, AG67, AK67, AO67, AS67, AW67, BA67, BK67, BO67, BW67, CB67, CF67, CN67)</f>
        <v>89.319330107872261</v>
      </c>
      <c r="CT67" s="102">
        <f t="shared" ref="CT67:CT130" si="46">STDEV(I67, M67, Q67, U67, AC67, AG67, AK67, AO67, AS67, AW67, BA67, BK67, BO67, BW67, CB67, CF67, CN67)</f>
        <v>6.9325481044112776</v>
      </c>
      <c r="CU67" s="102">
        <f t="shared" ref="CU67:CU130" si="47">IF(CS67=0, 0, CT67 / CS67)</f>
        <v>7.7615316819312663E-2</v>
      </c>
      <c r="CV67" s="108">
        <f t="shared" ref="CV67:CV130" si="48">CS67 - CT67 * CU67</f>
        <v>88.781258190383255</v>
      </c>
      <c r="CZ67" s="109" t="str">
        <f t="shared" ref="CZ67:CZ130" si="49">IF(CV67&lt;95.9069994, "Basso", IF(CV67&lt;99.02062343, "Medio-Basso", IF(CV67&lt;103.58108, "Medio-Alto", "Alto")))</f>
        <v>Basso</v>
      </c>
    </row>
    <row r="68" spans="1:104" x14ac:dyDescent="0.15">
      <c r="A68" s="84">
        <v>4</v>
      </c>
      <c r="B68" s="84">
        <v>1</v>
      </c>
      <c r="C68" s="84">
        <v>1</v>
      </c>
      <c r="D68" s="84">
        <v>2</v>
      </c>
      <c r="E68" s="85">
        <v>1</v>
      </c>
      <c r="F68" s="17">
        <v>2</v>
      </c>
      <c r="I68" s="64">
        <f t="shared" si="25"/>
        <v>109.85726154139888</v>
      </c>
      <c r="J68" s="17">
        <v>1</v>
      </c>
      <c r="M68" s="64">
        <f t="shared" si="26"/>
        <v>95.705097084683388</v>
      </c>
      <c r="N68" s="17">
        <v>1</v>
      </c>
      <c r="Q68" s="64">
        <f t="shared" si="27"/>
        <v>98.246708656674187</v>
      </c>
      <c r="R68" s="17">
        <v>2</v>
      </c>
      <c r="U68" s="64">
        <f t="shared" si="28"/>
        <v>101.34799174124942</v>
      </c>
      <c r="V68" s="17">
        <v>2</v>
      </c>
      <c r="Y68" s="114">
        <f t="shared" si="29"/>
        <v>97.875621286587162</v>
      </c>
      <c r="Z68" s="17">
        <v>3</v>
      </c>
      <c r="AC68" s="64">
        <f t="shared" si="30"/>
        <v>109.50350141641081</v>
      </c>
      <c r="AD68" s="25">
        <v>2</v>
      </c>
      <c r="AE68" s="71"/>
      <c r="AF68" s="71"/>
      <c r="AG68" s="71">
        <f t="shared" si="31"/>
        <v>101.01229126330007</v>
      </c>
      <c r="AH68" s="17">
        <v>2</v>
      </c>
      <c r="AK68" s="64">
        <f t="shared" si="32"/>
        <v>99.518280131348902</v>
      </c>
      <c r="AL68" s="17">
        <v>3</v>
      </c>
      <c r="AM68" s="71"/>
      <c r="AN68" s="71"/>
      <c r="AO68" s="71">
        <f t="shared" si="33"/>
        <v>100.85056924463234</v>
      </c>
      <c r="AP68" s="17">
        <v>2</v>
      </c>
      <c r="AQ68" s="71"/>
      <c r="AR68" s="71"/>
      <c r="AS68" s="71">
        <f t="shared" si="34"/>
        <v>99.909880620416757</v>
      </c>
      <c r="AT68" s="17">
        <v>0</v>
      </c>
      <c r="AU68" s="71"/>
      <c r="AV68" s="71"/>
      <c r="AW68" s="71">
        <f t="shared" si="35"/>
        <v>89.214252251088965</v>
      </c>
      <c r="AX68" s="17">
        <v>1</v>
      </c>
      <c r="AY68" s="71"/>
      <c r="AZ68" s="71"/>
      <c r="BA68" s="71">
        <f t="shared" si="36"/>
        <v>90.050552929515405</v>
      </c>
      <c r="BB68" s="84">
        <v>1</v>
      </c>
      <c r="BC68" s="84">
        <v>0</v>
      </c>
      <c r="BD68" s="84">
        <v>1</v>
      </c>
      <c r="BE68" s="84">
        <v>0</v>
      </c>
      <c r="BF68" s="84">
        <v>0</v>
      </c>
      <c r="BG68" s="84">
        <v>0</v>
      </c>
      <c r="BH68" s="20">
        <v>1</v>
      </c>
      <c r="BI68" s="71"/>
      <c r="BJ68" s="71"/>
      <c r="BK68" s="71">
        <f t="shared" si="37"/>
        <v>103.49572319106498</v>
      </c>
      <c r="BL68" s="17">
        <v>2</v>
      </c>
      <c r="BM68" s="71"/>
      <c r="BN68" s="71"/>
      <c r="BO68" s="71">
        <f t="shared" si="38"/>
        <v>101.95148996595998</v>
      </c>
      <c r="BP68" s="17">
        <v>0</v>
      </c>
      <c r="BQ68" s="71"/>
      <c r="BR68" s="71"/>
      <c r="BS68" s="138">
        <f t="shared" si="39"/>
        <v>86.456710815818582</v>
      </c>
      <c r="BT68" s="17">
        <v>1</v>
      </c>
      <c r="BU68" s="71"/>
      <c r="BV68" s="71"/>
      <c r="BW68" s="71">
        <f t="shared" si="40"/>
        <v>93.001214173698628</v>
      </c>
      <c r="BX68" s="84">
        <v>3</v>
      </c>
      <c r="BY68" s="17">
        <v>0</v>
      </c>
      <c r="BZ68" s="71"/>
      <c r="CA68" s="71"/>
      <c r="CB68" s="71">
        <f t="shared" si="41"/>
        <v>81.489316531761531</v>
      </c>
      <c r="CC68" s="17">
        <v>2</v>
      </c>
      <c r="CD68" s="71"/>
      <c r="CE68" s="71"/>
      <c r="CF68" s="71">
        <f t="shared" si="42"/>
        <v>100.18886179687853</v>
      </c>
      <c r="CG68" s="17">
        <v>1</v>
      </c>
      <c r="CH68" s="71"/>
      <c r="CI68" s="71"/>
      <c r="CJ68" s="138">
        <f t="shared" si="43"/>
        <v>103.93736139675698</v>
      </c>
      <c r="CK68" s="17">
        <v>0</v>
      </c>
      <c r="CL68" s="71"/>
      <c r="CM68" s="71"/>
      <c r="CN68" s="71">
        <f t="shared" si="44"/>
        <v>81.025191700811078</v>
      </c>
      <c r="CO68" s="93">
        <v>1</v>
      </c>
      <c r="CP68" s="93">
        <v>0</v>
      </c>
      <c r="CQ68" s="93">
        <v>0</v>
      </c>
      <c r="CR68" s="93">
        <v>0</v>
      </c>
      <c r="CS68" s="102">
        <f t="shared" si="45"/>
        <v>97.433422602405514</v>
      </c>
      <c r="CT68" s="102">
        <f t="shared" si="46"/>
        <v>8.2305948377131095</v>
      </c>
      <c r="CU68" s="102">
        <f t="shared" si="47"/>
        <v>8.4474039994463929E-2</v>
      </c>
      <c r="CV68" s="108">
        <f t="shared" si="48"/>
        <v>96.738151004906314</v>
      </c>
      <c r="CZ68" s="109" t="str">
        <f t="shared" si="49"/>
        <v>Medio-Basso</v>
      </c>
    </row>
    <row r="69" spans="1:104" x14ac:dyDescent="0.15">
      <c r="A69" s="85">
        <v>3</v>
      </c>
      <c r="B69" s="85">
        <v>1</v>
      </c>
      <c r="C69" s="85">
        <v>3</v>
      </c>
      <c r="D69" s="85">
        <v>2</v>
      </c>
      <c r="E69" s="85">
        <v>1</v>
      </c>
      <c r="F69" s="18">
        <v>1</v>
      </c>
      <c r="I69" s="64">
        <f t="shared" si="25"/>
        <v>93.428492305734082</v>
      </c>
      <c r="J69" s="18">
        <v>2</v>
      </c>
      <c r="M69" s="64">
        <f t="shared" si="26"/>
        <v>110.02144013573877</v>
      </c>
      <c r="N69" s="18">
        <v>1</v>
      </c>
      <c r="Q69" s="64">
        <f t="shared" si="27"/>
        <v>98.246708656674187</v>
      </c>
      <c r="R69" s="18">
        <v>0</v>
      </c>
      <c r="U69" s="64">
        <f t="shared" si="28"/>
        <v>81.845132506151486</v>
      </c>
      <c r="V69" s="18">
        <v>2</v>
      </c>
      <c r="Y69" s="114">
        <f t="shared" si="29"/>
        <v>97.875621286587162</v>
      </c>
      <c r="Z69" s="18">
        <v>0</v>
      </c>
      <c r="AC69" s="64">
        <f t="shared" si="30"/>
        <v>85.509512691809249</v>
      </c>
      <c r="AD69" s="24">
        <v>0</v>
      </c>
      <c r="AE69" s="71"/>
      <c r="AF69" s="71"/>
      <c r="AG69" s="71">
        <f t="shared" si="31"/>
        <v>84.62281366701329</v>
      </c>
      <c r="AH69" s="18">
        <v>2</v>
      </c>
      <c r="AK69" s="64">
        <f t="shared" si="32"/>
        <v>99.518280131348902</v>
      </c>
      <c r="AL69" s="18">
        <v>3</v>
      </c>
      <c r="AM69" s="71"/>
      <c r="AN69" s="71"/>
      <c r="AO69" s="71">
        <f t="shared" si="33"/>
        <v>100.85056924463234</v>
      </c>
      <c r="AP69" s="18">
        <v>2</v>
      </c>
      <c r="AQ69" s="71"/>
      <c r="AR69" s="71"/>
      <c r="AS69" s="71">
        <f t="shared" si="34"/>
        <v>99.909880620416757</v>
      </c>
      <c r="AT69" s="18">
        <v>1</v>
      </c>
      <c r="AU69" s="71"/>
      <c r="AV69" s="71"/>
      <c r="AW69" s="71">
        <f t="shared" si="35"/>
        <v>100.0638209925971</v>
      </c>
      <c r="AX69" s="18">
        <v>3</v>
      </c>
      <c r="AY69" s="71"/>
      <c r="AZ69" s="71"/>
      <c r="BA69" s="71">
        <f t="shared" si="36"/>
        <v>111.80497096144313</v>
      </c>
      <c r="BB69" s="85">
        <v>1</v>
      </c>
      <c r="BC69" s="85">
        <v>0</v>
      </c>
      <c r="BD69" s="85">
        <v>1</v>
      </c>
      <c r="BE69" s="85">
        <v>0</v>
      </c>
      <c r="BF69" s="85">
        <v>0</v>
      </c>
      <c r="BG69" s="85">
        <v>0</v>
      </c>
      <c r="BH69" s="19">
        <v>0</v>
      </c>
      <c r="BI69" s="71"/>
      <c r="BJ69" s="71"/>
      <c r="BK69" s="71">
        <f t="shared" si="37"/>
        <v>92.176238572378367</v>
      </c>
      <c r="BL69" s="18">
        <v>2</v>
      </c>
      <c r="BM69" s="71"/>
      <c r="BN69" s="71"/>
      <c r="BO69" s="71">
        <f t="shared" si="38"/>
        <v>101.95148996595998</v>
      </c>
      <c r="BP69" s="18">
        <v>1</v>
      </c>
      <c r="BQ69" s="71"/>
      <c r="BR69" s="71"/>
      <c r="BS69" s="138">
        <f t="shared" si="39"/>
        <v>100.16171091563201</v>
      </c>
      <c r="BT69" s="18">
        <v>0</v>
      </c>
      <c r="BU69" s="71"/>
      <c r="BV69" s="71"/>
      <c r="BW69" s="71">
        <f t="shared" si="40"/>
        <v>83.482865449928767</v>
      </c>
      <c r="BX69" s="85">
        <v>2</v>
      </c>
      <c r="BY69" s="18">
        <v>3</v>
      </c>
      <c r="BZ69" s="71"/>
      <c r="CA69" s="71"/>
      <c r="CB69" s="71">
        <f t="shared" si="41"/>
        <v>110.05345743585116</v>
      </c>
      <c r="CC69" s="18">
        <v>1</v>
      </c>
      <c r="CD69" s="71"/>
      <c r="CE69" s="71"/>
      <c r="CF69" s="71">
        <f t="shared" si="42"/>
        <v>91.015574519921572</v>
      </c>
      <c r="CG69" s="18">
        <v>0</v>
      </c>
      <c r="CH69" s="71"/>
      <c r="CI69" s="71"/>
      <c r="CJ69" s="138">
        <f t="shared" si="43"/>
        <v>89.226340793489143</v>
      </c>
      <c r="CK69" s="18">
        <v>2</v>
      </c>
      <c r="CL69" s="71"/>
      <c r="CM69" s="71"/>
      <c r="CN69" s="71">
        <f t="shared" si="44"/>
        <v>100.22589057499034</v>
      </c>
      <c r="CO69" s="94">
        <v>0</v>
      </c>
      <c r="CP69" s="94">
        <v>1</v>
      </c>
      <c r="CQ69" s="94">
        <v>1</v>
      </c>
      <c r="CR69" s="94">
        <v>0</v>
      </c>
      <c r="CS69" s="102">
        <f t="shared" si="45"/>
        <v>96.748655201917046</v>
      </c>
      <c r="CT69" s="102">
        <f t="shared" si="46"/>
        <v>9.3641986143227953</v>
      </c>
      <c r="CU69" s="102">
        <f t="shared" si="47"/>
        <v>9.6788927916149958E-2</v>
      </c>
      <c r="CV69" s="108">
        <f t="shared" si="48"/>
        <v>95.842304457242847</v>
      </c>
      <c r="CZ69" s="109" t="str">
        <f t="shared" si="49"/>
        <v>Basso</v>
      </c>
    </row>
    <row r="70" spans="1:104" x14ac:dyDescent="0.15">
      <c r="A70" s="84">
        <v>3</v>
      </c>
      <c r="B70" s="84">
        <v>1</v>
      </c>
      <c r="C70" s="84">
        <v>3</v>
      </c>
      <c r="D70" s="84">
        <v>2</v>
      </c>
      <c r="E70" s="85">
        <v>1</v>
      </c>
      <c r="F70" s="17">
        <v>2</v>
      </c>
      <c r="I70" s="64">
        <f t="shared" si="25"/>
        <v>109.85726154139888</v>
      </c>
      <c r="J70" s="17">
        <v>2</v>
      </c>
      <c r="M70" s="64">
        <f t="shared" si="26"/>
        <v>110.02144013573877</v>
      </c>
      <c r="N70" s="17">
        <v>1</v>
      </c>
      <c r="Q70" s="64">
        <f t="shared" si="27"/>
        <v>98.246708656674187</v>
      </c>
      <c r="R70" s="17">
        <v>2</v>
      </c>
      <c r="U70" s="64">
        <f t="shared" si="28"/>
        <v>101.34799174124942</v>
      </c>
      <c r="V70" s="17">
        <v>4</v>
      </c>
      <c r="Y70" s="114">
        <f t="shared" si="29"/>
        <v>110.77363490373656</v>
      </c>
      <c r="Z70" s="17">
        <v>3</v>
      </c>
      <c r="AC70" s="64">
        <f t="shared" si="30"/>
        <v>109.50350141641081</v>
      </c>
      <c r="AD70" s="25">
        <v>2</v>
      </c>
      <c r="AE70" s="71"/>
      <c r="AF70" s="71"/>
      <c r="AG70" s="71">
        <f t="shared" si="31"/>
        <v>101.01229126330007</v>
      </c>
      <c r="AH70" s="17">
        <v>2</v>
      </c>
      <c r="AK70" s="64">
        <f t="shared" si="32"/>
        <v>99.518280131348902</v>
      </c>
      <c r="AL70" s="17">
        <v>3</v>
      </c>
      <c r="AM70" s="71"/>
      <c r="AN70" s="71"/>
      <c r="AO70" s="71">
        <f t="shared" si="33"/>
        <v>100.85056924463234</v>
      </c>
      <c r="AP70" s="17">
        <v>2</v>
      </c>
      <c r="AQ70" s="71"/>
      <c r="AR70" s="71"/>
      <c r="AS70" s="71">
        <f t="shared" si="34"/>
        <v>99.909880620416757</v>
      </c>
      <c r="AT70" s="17">
        <v>0</v>
      </c>
      <c r="AU70" s="71"/>
      <c r="AV70" s="71"/>
      <c r="AW70" s="71">
        <f t="shared" si="35"/>
        <v>89.214252251088965</v>
      </c>
      <c r="AX70" s="17">
        <v>2</v>
      </c>
      <c r="AY70" s="71"/>
      <c r="AZ70" s="71"/>
      <c r="BA70" s="71">
        <f t="shared" si="36"/>
        <v>100.92776194547928</v>
      </c>
      <c r="BB70" s="84">
        <v>1</v>
      </c>
      <c r="BC70" s="84">
        <v>0</v>
      </c>
      <c r="BD70" s="84">
        <v>1</v>
      </c>
      <c r="BE70" s="84">
        <v>0</v>
      </c>
      <c r="BF70" s="84">
        <v>0</v>
      </c>
      <c r="BG70" s="84">
        <v>0</v>
      </c>
      <c r="BH70" s="20">
        <v>0</v>
      </c>
      <c r="BI70" s="71"/>
      <c r="BJ70" s="71"/>
      <c r="BK70" s="71">
        <f t="shared" si="37"/>
        <v>92.176238572378367</v>
      </c>
      <c r="BL70" s="17">
        <v>3</v>
      </c>
      <c r="BM70" s="71"/>
      <c r="BN70" s="71"/>
      <c r="BO70" s="71">
        <f t="shared" si="38"/>
        <v>111.29665318323313</v>
      </c>
      <c r="BP70" s="17">
        <v>1</v>
      </c>
      <c r="BQ70" s="71"/>
      <c r="BR70" s="71"/>
      <c r="BS70" s="138">
        <f t="shared" si="39"/>
        <v>100.16171091563201</v>
      </c>
      <c r="BT70" s="17">
        <v>2</v>
      </c>
      <c r="BU70" s="71"/>
      <c r="BV70" s="71"/>
      <c r="BW70" s="71">
        <f t="shared" si="40"/>
        <v>102.51956289746849</v>
      </c>
      <c r="BX70" s="84">
        <v>2</v>
      </c>
      <c r="BY70" s="17">
        <v>2</v>
      </c>
      <c r="BZ70" s="71"/>
      <c r="CA70" s="71"/>
      <c r="CB70" s="71">
        <f t="shared" si="41"/>
        <v>100.53207713448795</v>
      </c>
      <c r="CC70" s="17">
        <v>1</v>
      </c>
      <c r="CD70" s="71"/>
      <c r="CE70" s="71"/>
      <c r="CF70" s="71">
        <f t="shared" si="42"/>
        <v>91.015574519921572</v>
      </c>
      <c r="CG70" s="17">
        <v>1</v>
      </c>
      <c r="CH70" s="71"/>
      <c r="CI70" s="71"/>
      <c r="CJ70" s="138">
        <f t="shared" si="43"/>
        <v>103.93736139675698</v>
      </c>
      <c r="CK70" s="17">
        <v>2</v>
      </c>
      <c r="CL70" s="71"/>
      <c r="CM70" s="71"/>
      <c r="CN70" s="71">
        <f t="shared" si="44"/>
        <v>100.22589057499034</v>
      </c>
      <c r="CO70" s="93">
        <v>1</v>
      </c>
      <c r="CP70" s="93">
        <v>0</v>
      </c>
      <c r="CQ70" s="93">
        <v>0</v>
      </c>
      <c r="CR70" s="93">
        <v>0</v>
      </c>
      <c r="CS70" s="102">
        <f t="shared" si="45"/>
        <v>101.06917269589519</v>
      </c>
      <c r="CT70" s="102">
        <f t="shared" si="46"/>
        <v>6.4651886359472819</v>
      </c>
      <c r="CU70" s="102">
        <f t="shared" si="47"/>
        <v>6.3967958413988862E-2</v>
      </c>
      <c r="CV70" s="108">
        <f t="shared" si="48"/>
        <v>100.65560777809232</v>
      </c>
      <c r="CZ70" s="109" t="str">
        <f t="shared" si="49"/>
        <v>Medio-Alto</v>
      </c>
    </row>
    <row r="71" spans="1:104" x14ac:dyDescent="0.15">
      <c r="A71" s="85">
        <v>4</v>
      </c>
      <c r="B71" s="85">
        <v>1</v>
      </c>
      <c r="C71" s="85">
        <v>0</v>
      </c>
      <c r="D71" s="85">
        <v>2</v>
      </c>
      <c r="E71" s="85">
        <v>1</v>
      </c>
      <c r="F71" s="18">
        <v>1</v>
      </c>
      <c r="I71" s="64">
        <f t="shared" si="25"/>
        <v>93.428492305734082</v>
      </c>
      <c r="J71" s="18">
        <v>0</v>
      </c>
      <c r="M71" s="64">
        <f t="shared" si="26"/>
        <v>81.388754033628004</v>
      </c>
      <c r="N71" s="18">
        <v>1</v>
      </c>
      <c r="Q71" s="64">
        <f t="shared" si="27"/>
        <v>98.246708656674187</v>
      </c>
      <c r="R71" s="18">
        <v>2</v>
      </c>
      <c r="U71" s="64">
        <f t="shared" si="28"/>
        <v>101.34799174124942</v>
      </c>
      <c r="V71" s="18">
        <v>2</v>
      </c>
      <c r="Y71" s="114">
        <f t="shared" si="29"/>
        <v>97.875621286587162</v>
      </c>
      <c r="Z71" s="18">
        <v>3</v>
      </c>
      <c r="AC71" s="64">
        <f t="shared" si="30"/>
        <v>109.50350141641081</v>
      </c>
      <c r="AD71" s="24">
        <v>2</v>
      </c>
      <c r="AE71" s="71"/>
      <c r="AF71" s="71"/>
      <c r="AG71" s="71">
        <f t="shared" si="31"/>
        <v>101.01229126330007</v>
      </c>
      <c r="AH71" s="18">
        <v>3</v>
      </c>
      <c r="AK71" s="64">
        <f t="shared" si="32"/>
        <v>110.43726382077395</v>
      </c>
      <c r="AL71" s="18">
        <v>3</v>
      </c>
      <c r="AM71" s="71"/>
      <c r="AN71" s="71"/>
      <c r="AO71" s="71">
        <f t="shared" si="33"/>
        <v>100.85056924463234</v>
      </c>
      <c r="AP71" s="18">
        <v>2</v>
      </c>
      <c r="AQ71" s="71"/>
      <c r="AR71" s="71"/>
      <c r="AS71" s="71">
        <f t="shared" si="34"/>
        <v>99.909880620416757</v>
      </c>
      <c r="AT71" s="18">
        <v>1</v>
      </c>
      <c r="AU71" s="71"/>
      <c r="AV71" s="71"/>
      <c r="AW71" s="71">
        <f t="shared" si="35"/>
        <v>100.0638209925971</v>
      </c>
      <c r="AX71" s="18">
        <v>2</v>
      </c>
      <c r="AY71" s="71"/>
      <c r="AZ71" s="71"/>
      <c r="BA71" s="71">
        <f t="shared" si="36"/>
        <v>100.92776194547928</v>
      </c>
      <c r="BB71" s="85">
        <v>0</v>
      </c>
      <c r="BC71" s="85">
        <v>1</v>
      </c>
      <c r="BD71" s="85">
        <v>1</v>
      </c>
      <c r="BE71" s="85">
        <v>0</v>
      </c>
      <c r="BF71" s="85">
        <v>0</v>
      </c>
      <c r="BG71" s="85">
        <v>0</v>
      </c>
      <c r="BH71" s="19">
        <v>0</v>
      </c>
      <c r="BI71" s="71"/>
      <c r="BJ71" s="71"/>
      <c r="BK71" s="71">
        <f t="shared" si="37"/>
        <v>92.176238572378367</v>
      </c>
      <c r="BL71" s="18">
        <v>1</v>
      </c>
      <c r="BM71" s="71"/>
      <c r="BN71" s="71"/>
      <c r="BO71" s="71">
        <f t="shared" si="38"/>
        <v>92.606326748686826</v>
      </c>
      <c r="BP71" s="18">
        <v>1</v>
      </c>
      <c r="BQ71" s="71"/>
      <c r="BR71" s="71"/>
      <c r="BS71" s="138">
        <f t="shared" si="39"/>
        <v>100.16171091563201</v>
      </c>
      <c r="BT71" s="18">
        <v>2</v>
      </c>
      <c r="BU71" s="71"/>
      <c r="BV71" s="71"/>
      <c r="BW71" s="71">
        <f t="shared" si="40"/>
        <v>102.51956289746849</v>
      </c>
      <c r="BX71" s="85">
        <v>1</v>
      </c>
      <c r="BY71" s="18">
        <v>2</v>
      </c>
      <c r="BZ71" s="71"/>
      <c r="CA71" s="71"/>
      <c r="CB71" s="71">
        <f t="shared" si="41"/>
        <v>100.53207713448795</v>
      </c>
      <c r="CC71" s="18">
        <v>2</v>
      </c>
      <c r="CD71" s="71"/>
      <c r="CE71" s="71"/>
      <c r="CF71" s="71">
        <f t="shared" si="42"/>
        <v>100.18886179687853</v>
      </c>
      <c r="CG71" s="18">
        <v>2</v>
      </c>
      <c r="CH71" s="71"/>
      <c r="CI71" s="71"/>
      <c r="CJ71" s="138">
        <f t="shared" si="43"/>
        <v>118.64838200002481</v>
      </c>
      <c r="CK71" s="18">
        <v>0</v>
      </c>
      <c r="CL71" s="71"/>
      <c r="CM71" s="71"/>
      <c r="CN71" s="71">
        <f t="shared" si="44"/>
        <v>81.025191700811078</v>
      </c>
      <c r="CO71" s="94">
        <v>1</v>
      </c>
      <c r="CP71" s="94">
        <v>1</v>
      </c>
      <c r="CQ71" s="94">
        <v>0</v>
      </c>
      <c r="CR71" s="94">
        <v>0</v>
      </c>
      <c r="CS71" s="102">
        <f t="shared" si="45"/>
        <v>98.009723228918062</v>
      </c>
      <c r="CT71" s="102">
        <f t="shared" si="46"/>
        <v>7.9513206341114637</v>
      </c>
      <c r="CU71" s="102">
        <f t="shared" si="47"/>
        <v>8.1127875604136007E-2</v>
      </c>
      <c r="CV71" s="108">
        <f t="shared" si="48"/>
        <v>97.364649477625264</v>
      </c>
      <c r="CZ71" s="109" t="str">
        <f t="shared" si="49"/>
        <v>Medio-Basso</v>
      </c>
    </row>
    <row r="72" spans="1:104" x14ac:dyDescent="0.15">
      <c r="A72" s="84">
        <v>4</v>
      </c>
      <c r="B72" s="84">
        <v>1</v>
      </c>
      <c r="C72" s="84">
        <v>1</v>
      </c>
      <c r="D72" s="84">
        <v>2</v>
      </c>
      <c r="E72" s="85">
        <v>1</v>
      </c>
      <c r="F72" s="17">
        <v>1</v>
      </c>
      <c r="I72" s="64">
        <f t="shared" si="25"/>
        <v>93.428492305734082</v>
      </c>
      <c r="J72" s="17">
        <v>1</v>
      </c>
      <c r="M72" s="64">
        <f t="shared" si="26"/>
        <v>95.705097084683388</v>
      </c>
      <c r="N72" s="17">
        <v>2</v>
      </c>
      <c r="Q72" s="64">
        <f t="shared" si="27"/>
        <v>113.93405225485253</v>
      </c>
      <c r="R72" s="17">
        <v>2</v>
      </c>
      <c r="U72" s="64">
        <f t="shared" si="28"/>
        <v>101.34799174124942</v>
      </c>
      <c r="V72" s="17">
        <v>3</v>
      </c>
      <c r="Y72" s="114">
        <f t="shared" si="29"/>
        <v>104.32462809516186</v>
      </c>
      <c r="Z72" s="17">
        <v>3</v>
      </c>
      <c r="AC72" s="64">
        <f t="shared" si="30"/>
        <v>109.50350141641081</v>
      </c>
      <c r="AD72" s="25">
        <v>2</v>
      </c>
      <c r="AE72" s="71"/>
      <c r="AF72" s="71"/>
      <c r="AG72" s="71">
        <f t="shared" si="31"/>
        <v>101.01229126330007</v>
      </c>
      <c r="AH72" s="17">
        <v>2</v>
      </c>
      <c r="AK72" s="64">
        <f t="shared" si="32"/>
        <v>99.518280131348902</v>
      </c>
      <c r="AL72" s="17">
        <v>4</v>
      </c>
      <c r="AM72" s="71"/>
      <c r="AN72" s="71"/>
      <c r="AO72" s="71">
        <f t="shared" si="33"/>
        <v>111.97339782828605</v>
      </c>
      <c r="AP72" s="17">
        <v>2</v>
      </c>
      <c r="AQ72" s="71"/>
      <c r="AR72" s="71"/>
      <c r="AS72" s="71">
        <f t="shared" si="34"/>
        <v>99.909880620416757</v>
      </c>
      <c r="AT72" s="17">
        <v>2</v>
      </c>
      <c r="AU72" s="71"/>
      <c r="AV72" s="71"/>
      <c r="AW72" s="71">
        <f t="shared" si="35"/>
        <v>110.91338973410525</v>
      </c>
      <c r="AX72" s="17">
        <v>2</v>
      </c>
      <c r="AY72" s="71"/>
      <c r="AZ72" s="71"/>
      <c r="BA72" s="71">
        <f t="shared" si="36"/>
        <v>100.92776194547928</v>
      </c>
      <c r="BB72" s="84">
        <v>0</v>
      </c>
      <c r="BC72" s="84">
        <v>0</v>
      </c>
      <c r="BD72" s="84">
        <v>1</v>
      </c>
      <c r="BE72" s="84">
        <v>1</v>
      </c>
      <c r="BF72" s="84">
        <v>0</v>
      </c>
      <c r="BG72" s="84">
        <v>0</v>
      </c>
      <c r="BH72" s="20">
        <v>0</v>
      </c>
      <c r="BI72" s="71"/>
      <c r="BJ72" s="71"/>
      <c r="BK72" s="71">
        <f t="shared" si="37"/>
        <v>92.176238572378367</v>
      </c>
      <c r="BL72" s="17">
        <v>3</v>
      </c>
      <c r="BM72" s="71"/>
      <c r="BN72" s="71"/>
      <c r="BO72" s="71">
        <f t="shared" si="38"/>
        <v>111.29665318323313</v>
      </c>
      <c r="BP72" s="17">
        <v>0</v>
      </c>
      <c r="BQ72" s="71"/>
      <c r="BR72" s="71"/>
      <c r="BS72" s="138">
        <f t="shared" si="39"/>
        <v>86.456710815818582</v>
      </c>
      <c r="BT72" s="17">
        <v>1</v>
      </c>
      <c r="BU72" s="71"/>
      <c r="BV72" s="71"/>
      <c r="BW72" s="71">
        <f t="shared" si="40"/>
        <v>93.001214173698628</v>
      </c>
      <c r="BX72" s="84">
        <v>0</v>
      </c>
      <c r="BY72" s="17">
        <v>3</v>
      </c>
      <c r="BZ72" s="71"/>
      <c r="CA72" s="71"/>
      <c r="CB72" s="71">
        <f t="shared" si="41"/>
        <v>110.05345743585116</v>
      </c>
      <c r="CC72" s="17">
        <v>2</v>
      </c>
      <c r="CD72" s="71"/>
      <c r="CE72" s="71"/>
      <c r="CF72" s="71">
        <f t="shared" si="42"/>
        <v>100.18886179687853</v>
      </c>
      <c r="CG72" s="17">
        <v>0</v>
      </c>
      <c r="CH72" s="71"/>
      <c r="CI72" s="71"/>
      <c r="CJ72" s="138">
        <f t="shared" si="43"/>
        <v>89.226340793489143</v>
      </c>
      <c r="CK72" s="17">
        <v>2</v>
      </c>
      <c r="CL72" s="71"/>
      <c r="CM72" s="71"/>
      <c r="CN72" s="71">
        <f t="shared" si="44"/>
        <v>100.22589057499034</v>
      </c>
      <c r="CO72" s="93">
        <v>1</v>
      </c>
      <c r="CP72" s="93">
        <v>1</v>
      </c>
      <c r="CQ72" s="93">
        <v>0</v>
      </c>
      <c r="CR72" s="93">
        <v>0</v>
      </c>
      <c r="CS72" s="102">
        <f t="shared" si="45"/>
        <v>102.65390894487626</v>
      </c>
      <c r="CT72" s="102">
        <f t="shared" si="46"/>
        <v>7.2099960345705929</v>
      </c>
      <c r="CU72" s="102">
        <f t="shared" si="47"/>
        <v>7.0235961871089214E-2</v>
      </c>
      <c r="CV72" s="108">
        <f t="shared" si="48"/>
        <v>102.14750793830146</v>
      </c>
      <c r="CZ72" s="109" t="str">
        <f t="shared" si="49"/>
        <v>Medio-Alto</v>
      </c>
    </row>
    <row r="73" spans="1:104" x14ac:dyDescent="0.15">
      <c r="A73" s="85">
        <v>3</v>
      </c>
      <c r="B73" s="85">
        <v>1</v>
      </c>
      <c r="C73" s="85">
        <v>3</v>
      </c>
      <c r="D73" s="85">
        <v>0</v>
      </c>
      <c r="E73" s="85">
        <v>1</v>
      </c>
      <c r="F73" s="18">
        <v>2</v>
      </c>
      <c r="I73" s="64">
        <f t="shared" si="25"/>
        <v>109.85726154139888</v>
      </c>
      <c r="J73" s="18">
        <v>2</v>
      </c>
      <c r="M73" s="64">
        <f t="shared" si="26"/>
        <v>110.02144013573877</v>
      </c>
      <c r="N73" s="18">
        <v>2</v>
      </c>
      <c r="Q73" s="64">
        <f t="shared" si="27"/>
        <v>113.93405225485253</v>
      </c>
      <c r="R73" s="18">
        <v>3</v>
      </c>
      <c r="U73" s="64">
        <f t="shared" si="28"/>
        <v>111.09942135879838</v>
      </c>
      <c r="V73" s="18">
        <v>4</v>
      </c>
      <c r="Y73" s="114">
        <f t="shared" si="29"/>
        <v>110.77363490373656</v>
      </c>
      <c r="Z73" s="18">
        <v>3</v>
      </c>
      <c r="AC73" s="64">
        <f t="shared" si="30"/>
        <v>109.50350141641081</v>
      </c>
      <c r="AD73" s="24">
        <v>3</v>
      </c>
      <c r="AE73" s="71"/>
      <c r="AF73" s="71"/>
      <c r="AG73" s="71">
        <f t="shared" si="31"/>
        <v>109.20703006144345</v>
      </c>
      <c r="AH73" s="18">
        <v>3</v>
      </c>
      <c r="AK73" s="64">
        <f t="shared" si="32"/>
        <v>110.43726382077395</v>
      </c>
      <c r="AL73" s="18">
        <v>4</v>
      </c>
      <c r="AM73" s="71"/>
      <c r="AN73" s="71"/>
      <c r="AO73" s="71">
        <f t="shared" si="33"/>
        <v>111.97339782828605</v>
      </c>
      <c r="AP73" s="18">
        <v>3</v>
      </c>
      <c r="AQ73" s="71"/>
      <c r="AR73" s="71"/>
      <c r="AS73" s="71">
        <f t="shared" si="34"/>
        <v>110.12341030651692</v>
      </c>
      <c r="AT73" s="18">
        <v>2</v>
      </c>
      <c r="AU73" s="71"/>
      <c r="AV73" s="71"/>
      <c r="AW73" s="71">
        <f t="shared" si="35"/>
        <v>110.91338973410525</v>
      </c>
      <c r="AX73" s="18">
        <v>3</v>
      </c>
      <c r="AY73" s="71"/>
      <c r="AZ73" s="71"/>
      <c r="BA73" s="71">
        <f t="shared" si="36"/>
        <v>111.80497096144313</v>
      </c>
      <c r="BB73" s="85">
        <v>0</v>
      </c>
      <c r="BC73" s="85">
        <v>1</v>
      </c>
      <c r="BD73" s="85">
        <v>1</v>
      </c>
      <c r="BE73" s="85">
        <v>0</v>
      </c>
      <c r="BF73" s="85">
        <v>0</v>
      </c>
      <c r="BG73" s="85">
        <v>0</v>
      </c>
      <c r="BH73" s="19">
        <v>2</v>
      </c>
      <c r="BI73" s="71"/>
      <c r="BJ73" s="71"/>
      <c r="BK73" s="71">
        <f t="shared" si="37"/>
        <v>114.81520780975161</v>
      </c>
      <c r="BL73" s="18">
        <v>1</v>
      </c>
      <c r="BM73" s="71"/>
      <c r="BN73" s="71"/>
      <c r="BO73" s="71">
        <f t="shared" si="38"/>
        <v>92.606326748686826</v>
      </c>
      <c r="BP73" s="18">
        <v>1</v>
      </c>
      <c r="BQ73" s="71"/>
      <c r="BR73" s="71"/>
      <c r="BS73" s="138">
        <f t="shared" si="39"/>
        <v>100.16171091563201</v>
      </c>
      <c r="BT73" s="18">
        <v>3</v>
      </c>
      <c r="BU73" s="71"/>
      <c r="BV73" s="71"/>
      <c r="BW73" s="71">
        <f t="shared" si="40"/>
        <v>112.03791162123835</v>
      </c>
      <c r="BX73" s="85">
        <v>2</v>
      </c>
      <c r="BY73" s="18">
        <v>3</v>
      </c>
      <c r="BZ73" s="71"/>
      <c r="CA73" s="71"/>
      <c r="CB73" s="71">
        <f t="shared" si="41"/>
        <v>110.05345743585116</v>
      </c>
      <c r="CC73" s="18">
        <v>3</v>
      </c>
      <c r="CD73" s="71"/>
      <c r="CE73" s="71"/>
      <c r="CF73" s="71">
        <f t="shared" si="42"/>
        <v>109.36214907383548</v>
      </c>
      <c r="CG73" s="18">
        <v>1</v>
      </c>
      <c r="CH73" s="71"/>
      <c r="CI73" s="71"/>
      <c r="CJ73" s="138">
        <f t="shared" si="43"/>
        <v>103.93736139675698</v>
      </c>
      <c r="CK73" s="18">
        <v>3</v>
      </c>
      <c r="CL73" s="71"/>
      <c r="CM73" s="71"/>
      <c r="CN73" s="71">
        <f t="shared" si="44"/>
        <v>109.82624001207998</v>
      </c>
      <c r="CO73" s="94">
        <v>0</v>
      </c>
      <c r="CP73" s="94">
        <v>1</v>
      </c>
      <c r="CQ73" s="94">
        <v>0</v>
      </c>
      <c r="CR73" s="94">
        <v>0</v>
      </c>
      <c r="CS73" s="102">
        <f t="shared" si="45"/>
        <v>109.85743718360069</v>
      </c>
      <c r="CT73" s="102">
        <f t="shared" si="46"/>
        <v>4.7153217206934688</v>
      </c>
      <c r="CU73" s="102">
        <f t="shared" si="47"/>
        <v>4.292218935357945E-2</v>
      </c>
      <c r="CV73" s="108">
        <f t="shared" si="48"/>
        <v>109.65504525184204</v>
      </c>
      <c r="CZ73" s="109" t="str">
        <f t="shared" si="49"/>
        <v>Alto</v>
      </c>
    </row>
    <row r="74" spans="1:104" x14ac:dyDescent="0.15">
      <c r="A74" s="84">
        <v>5</v>
      </c>
      <c r="B74" s="84">
        <v>1</v>
      </c>
      <c r="C74" s="84">
        <v>1</v>
      </c>
      <c r="D74" s="84">
        <v>2</v>
      </c>
      <c r="E74" s="85">
        <v>1</v>
      </c>
      <c r="F74" s="17">
        <v>1</v>
      </c>
      <c r="I74" s="64">
        <f t="shared" si="25"/>
        <v>93.428492305734082</v>
      </c>
      <c r="J74" s="17">
        <v>1</v>
      </c>
      <c r="M74" s="64">
        <f t="shared" si="26"/>
        <v>95.705097084683388</v>
      </c>
      <c r="N74" s="17">
        <v>0</v>
      </c>
      <c r="Q74" s="64">
        <f t="shared" si="27"/>
        <v>82.559365058495843</v>
      </c>
      <c r="R74" s="17">
        <v>1</v>
      </c>
      <c r="U74" s="64">
        <f t="shared" si="28"/>
        <v>91.596562123700451</v>
      </c>
      <c r="V74" s="17">
        <v>4</v>
      </c>
      <c r="Y74" s="114">
        <f t="shared" si="29"/>
        <v>110.77363490373656</v>
      </c>
      <c r="Z74" s="17">
        <v>0</v>
      </c>
      <c r="AC74" s="64">
        <f t="shared" si="30"/>
        <v>85.509512691809249</v>
      </c>
      <c r="AD74" s="25">
        <v>0</v>
      </c>
      <c r="AE74" s="71"/>
      <c r="AF74" s="71"/>
      <c r="AG74" s="71">
        <f t="shared" si="31"/>
        <v>84.62281366701329</v>
      </c>
      <c r="AH74" s="17">
        <v>1</v>
      </c>
      <c r="AK74" s="64">
        <f t="shared" si="32"/>
        <v>88.599296441923855</v>
      </c>
      <c r="AL74" s="17">
        <v>3</v>
      </c>
      <c r="AM74" s="71"/>
      <c r="AN74" s="71"/>
      <c r="AO74" s="71">
        <f t="shared" si="33"/>
        <v>100.85056924463234</v>
      </c>
      <c r="AP74" s="17">
        <v>0</v>
      </c>
      <c r="AQ74" s="71"/>
      <c r="AR74" s="71"/>
      <c r="AS74" s="71">
        <f t="shared" si="34"/>
        <v>79.482821248216453</v>
      </c>
      <c r="AT74" s="17">
        <v>0</v>
      </c>
      <c r="AU74" s="71"/>
      <c r="AV74" s="71"/>
      <c r="AW74" s="71">
        <f t="shared" si="35"/>
        <v>89.214252251088965</v>
      </c>
      <c r="AX74" s="17">
        <v>2</v>
      </c>
      <c r="AY74" s="71"/>
      <c r="AZ74" s="71"/>
      <c r="BA74" s="71">
        <f t="shared" si="36"/>
        <v>100.92776194547928</v>
      </c>
      <c r="BB74" s="84">
        <v>0</v>
      </c>
      <c r="BC74" s="84">
        <v>0</v>
      </c>
      <c r="BD74" s="84">
        <v>1</v>
      </c>
      <c r="BE74" s="84">
        <v>1</v>
      </c>
      <c r="BF74" s="84">
        <v>0</v>
      </c>
      <c r="BG74" s="84">
        <v>0</v>
      </c>
      <c r="BH74" s="20">
        <v>0</v>
      </c>
      <c r="BI74" s="71"/>
      <c r="BJ74" s="71"/>
      <c r="BK74" s="71">
        <f t="shared" si="37"/>
        <v>92.176238572378367</v>
      </c>
      <c r="BL74" s="17">
        <v>1</v>
      </c>
      <c r="BM74" s="71"/>
      <c r="BN74" s="71"/>
      <c r="BO74" s="71">
        <f t="shared" si="38"/>
        <v>92.606326748686826</v>
      </c>
      <c r="BP74" s="17">
        <v>1</v>
      </c>
      <c r="BQ74" s="71"/>
      <c r="BR74" s="71"/>
      <c r="BS74" s="138">
        <f t="shared" si="39"/>
        <v>100.16171091563201</v>
      </c>
      <c r="BT74" s="17">
        <v>1</v>
      </c>
      <c r="BU74" s="71"/>
      <c r="BV74" s="71"/>
      <c r="BW74" s="71">
        <f t="shared" si="40"/>
        <v>93.001214173698628</v>
      </c>
      <c r="BX74" s="84">
        <v>2</v>
      </c>
      <c r="BY74" s="17">
        <v>1</v>
      </c>
      <c r="BZ74" s="71"/>
      <c r="CA74" s="71"/>
      <c r="CB74" s="71">
        <f t="shared" si="41"/>
        <v>91.01069683312474</v>
      </c>
      <c r="CC74" s="17">
        <v>2</v>
      </c>
      <c r="CD74" s="71"/>
      <c r="CE74" s="71"/>
      <c r="CF74" s="71">
        <f t="shared" si="42"/>
        <v>100.18886179687853</v>
      </c>
      <c r="CG74" s="17">
        <v>1</v>
      </c>
      <c r="CH74" s="71"/>
      <c r="CI74" s="71"/>
      <c r="CJ74" s="138">
        <f t="shared" si="43"/>
        <v>103.93736139675698</v>
      </c>
      <c r="CK74" s="17">
        <v>2</v>
      </c>
      <c r="CL74" s="71"/>
      <c r="CM74" s="71"/>
      <c r="CN74" s="71">
        <f t="shared" si="44"/>
        <v>100.22589057499034</v>
      </c>
      <c r="CO74" s="93">
        <v>0</v>
      </c>
      <c r="CP74" s="93">
        <v>1</v>
      </c>
      <c r="CQ74" s="93">
        <v>0</v>
      </c>
      <c r="CR74" s="93">
        <v>0</v>
      </c>
      <c r="CS74" s="102">
        <f t="shared" si="45"/>
        <v>91.865045456619669</v>
      </c>
      <c r="CT74" s="102">
        <f t="shared" si="46"/>
        <v>6.4828687546265957</v>
      </c>
      <c r="CU74" s="102">
        <f t="shared" si="47"/>
        <v>7.056948290182824E-2</v>
      </c>
      <c r="CV74" s="108">
        <f t="shared" si="48"/>
        <v>91.407552760885252</v>
      </c>
      <c r="CZ74" s="109" t="str">
        <f t="shared" si="49"/>
        <v>Basso</v>
      </c>
    </row>
    <row r="75" spans="1:104" x14ac:dyDescent="0.15">
      <c r="A75" s="85">
        <v>5</v>
      </c>
      <c r="B75" s="85">
        <v>1</v>
      </c>
      <c r="C75" s="85">
        <v>1</v>
      </c>
      <c r="D75" s="85">
        <v>2</v>
      </c>
      <c r="E75" s="85">
        <v>1</v>
      </c>
      <c r="F75" s="18">
        <v>1</v>
      </c>
      <c r="I75" s="64">
        <f t="shared" si="25"/>
        <v>93.428492305734082</v>
      </c>
      <c r="J75" s="18">
        <v>1</v>
      </c>
      <c r="M75" s="64">
        <f t="shared" si="26"/>
        <v>95.705097084683388</v>
      </c>
      <c r="N75" s="18">
        <v>0</v>
      </c>
      <c r="Q75" s="64">
        <f t="shared" si="27"/>
        <v>82.559365058495843</v>
      </c>
      <c r="R75" s="18">
        <v>1</v>
      </c>
      <c r="U75" s="64">
        <f t="shared" si="28"/>
        <v>91.596562123700451</v>
      </c>
      <c r="V75" s="18">
        <v>4</v>
      </c>
      <c r="Y75" s="114">
        <f t="shared" si="29"/>
        <v>110.77363490373656</v>
      </c>
      <c r="Z75" s="18">
        <v>3</v>
      </c>
      <c r="AC75" s="64">
        <f t="shared" si="30"/>
        <v>109.50350141641081</v>
      </c>
      <c r="AD75" s="24">
        <v>0</v>
      </c>
      <c r="AE75" s="71"/>
      <c r="AF75" s="71"/>
      <c r="AG75" s="71">
        <f t="shared" si="31"/>
        <v>84.62281366701329</v>
      </c>
      <c r="AH75" s="18">
        <v>1</v>
      </c>
      <c r="AK75" s="64">
        <f t="shared" si="32"/>
        <v>88.599296441923855</v>
      </c>
      <c r="AL75" s="18">
        <v>3</v>
      </c>
      <c r="AM75" s="71"/>
      <c r="AN75" s="71"/>
      <c r="AO75" s="71">
        <f t="shared" si="33"/>
        <v>100.85056924463234</v>
      </c>
      <c r="AP75" s="18">
        <v>0</v>
      </c>
      <c r="AQ75" s="71"/>
      <c r="AR75" s="71"/>
      <c r="AS75" s="71">
        <f t="shared" si="34"/>
        <v>79.482821248216453</v>
      </c>
      <c r="AT75" s="18">
        <v>0</v>
      </c>
      <c r="AU75" s="71"/>
      <c r="AV75" s="71"/>
      <c r="AW75" s="71">
        <f t="shared" si="35"/>
        <v>89.214252251088965</v>
      </c>
      <c r="AX75" s="18">
        <v>2</v>
      </c>
      <c r="AY75" s="71"/>
      <c r="AZ75" s="71"/>
      <c r="BA75" s="71">
        <f t="shared" si="36"/>
        <v>100.92776194547928</v>
      </c>
      <c r="BB75" s="85">
        <v>0</v>
      </c>
      <c r="BC75" s="85">
        <v>0</v>
      </c>
      <c r="BD75" s="85">
        <v>1</v>
      </c>
      <c r="BE75" s="85">
        <v>1</v>
      </c>
      <c r="BF75" s="85">
        <v>0</v>
      </c>
      <c r="BG75" s="85">
        <v>0</v>
      </c>
      <c r="BH75" s="19">
        <v>0</v>
      </c>
      <c r="BI75" s="71"/>
      <c r="BJ75" s="71"/>
      <c r="BK75" s="71">
        <f t="shared" si="37"/>
        <v>92.176238572378367</v>
      </c>
      <c r="BL75" s="18">
        <v>1</v>
      </c>
      <c r="BM75" s="71"/>
      <c r="BN75" s="71"/>
      <c r="BO75" s="71">
        <f t="shared" si="38"/>
        <v>92.606326748686826</v>
      </c>
      <c r="BP75" s="18">
        <v>0</v>
      </c>
      <c r="BQ75" s="71"/>
      <c r="BR75" s="71"/>
      <c r="BS75" s="138">
        <f t="shared" si="39"/>
        <v>86.456710815818582</v>
      </c>
      <c r="BT75" s="18">
        <v>1</v>
      </c>
      <c r="BU75" s="71"/>
      <c r="BV75" s="71"/>
      <c r="BW75" s="71">
        <f t="shared" si="40"/>
        <v>93.001214173698628</v>
      </c>
      <c r="BX75" s="85">
        <v>2</v>
      </c>
      <c r="BY75" s="18">
        <v>1</v>
      </c>
      <c r="BZ75" s="71"/>
      <c r="CA75" s="71"/>
      <c r="CB75" s="71">
        <f t="shared" si="41"/>
        <v>91.01069683312474</v>
      </c>
      <c r="CC75" s="18">
        <v>2</v>
      </c>
      <c r="CD75" s="71"/>
      <c r="CE75" s="71"/>
      <c r="CF75" s="71">
        <f t="shared" si="42"/>
        <v>100.18886179687853</v>
      </c>
      <c r="CG75" s="18">
        <v>0</v>
      </c>
      <c r="CH75" s="71"/>
      <c r="CI75" s="71"/>
      <c r="CJ75" s="138">
        <f t="shared" si="43"/>
        <v>89.226340793489143</v>
      </c>
      <c r="CK75" s="18">
        <v>0</v>
      </c>
      <c r="CL75" s="71"/>
      <c r="CM75" s="71"/>
      <c r="CN75" s="71">
        <f t="shared" si="44"/>
        <v>81.025191700811078</v>
      </c>
      <c r="CO75" s="94">
        <v>0</v>
      </c>
      <c r="CP75" s="94">
        <v>0</v>
      </c>
      <c r="CQ75" s="94">
        <v>1</v>
      </c>
      <c r="CR75" s="94">
        <v>0</v>
      </c>
      <c r="CS75" s="102">
        <f t="shared" si="45"/>
        <v>92.147003683115102</v>
      </c>
      <c r="CT75" s="102">
        <f t="shared" si="46"/>
        <v>7.8637257367491067</v>
      </c>
      <c r="CU75" s="102">
        <f t="shared" si="47"/>
        <v>8.5338919578890726E-2</v>
      </c>
      <c r="CV75" s="108">
        <f t="shared" si="48"/>
        <v>91.475921824876224</v>
      </c>
      <c r="CZ75" s="109" t="str">
        <f t="shared" si="49"/>
        <v>Basso</v>
      </c>
    </row>
    <row r="76" spans="1:104" x14ac:dyDescent="0.15">
      <c r="A76" s="84">
        <v>2</v>
      </c>
      <c r="B76" s="84">
        <v>1</v>
      </c>
      <c r="C76" s="84">
        <v>3</v>
      </c>
      <c r="D76" s="84">
        <v>0</v>
      </c>
      <c r="E76" s="85">
        <v>1</v>
      </c>
      <c r="F76" s="17">
        <v>2</v>
      </c>
      <c r="I76" s="64">
        <f t="shared" si="25"/>
        <v>109.85726154139888</v>
      </c>
      <c r="J76" s="17">
        <v>2</v>
      </c>
      <c r="M76" s="64">
        <f t="shared" si="26"/>
        <v>110.02144013573877</v>
      </c>
      <c r="N76" s="17">
        <v>2</v>
      </c>
      <c r="Q76" s="64">
        <f t="shared" si="27"/>
        <v>113.93405225485253</v>
      </c>
      <c r="R76" s="17">
        <v>2</v>
      </c>
      <c r="U76" s="64">
        <f t="shared" si="28"/>
        <v>101.34799174124942</v>
      </c>
      <c r="V76" s="17">
        <v>4</v>
      </c>
      <c r="Y76" s="114">
        <f t="shared" si="29"/>
        <v>110.77363490373656</v>
      </c>
      <c r="Z76" s="17">
        <v>3</v>
      </c>
      <c r="AC76" s="64">
        <f t="shared" si="30"/>
        <v>109.50350141641081</v>
      </c>
      <c r="AD76" s="25">
        <v>3</v>
      </c>
      <c r="AE76" s="71"/>
      <c r="AF76" s="71"/>
      <c r="AG76" s="71">
        <f t="shared" si="31"/>
        <v>109.20703006144345</v>
      </c>
      <c r="AH76" s="17">
        <v>2</v>
      </c>
      <c r="AK76" s="64">
        <f t="shared" si="32"/>
        <v>99.518280131348902</v>
      </c>
      <c r="AL76" s="17">
        <v>4</v>
      </c>
      <c r="AM76" s="71"/>
      <c r="AN76" s="71"/>
      <c r="AO76" s="71">
        <f t="shared" si="33"/>
        <v>111.97339782828605</v>
      </c>
      <c r="AP76" s="17">
        <v>3</v>
      </c>
      <c r="AQ76" s="71"/>
      <c r="AR76" s="71"/>
      <c r="AS76" s="71">
        <f t="shared" si="34"/>
        <v>110.12341030651692</v>
      </c>
      <c r="AT76" s="17">
        <v>2</v>
      </c>
      <c r="AU76" s="71"/>
      <c r="AV76" s="71"/>
      <c r="AW76" s="71">
        <f t="shared" si="35"/>
        <v>110.91338973410525</v>
      </c>
      <c r="AX76" s="17">
        <v>1</v>
      </c>
      <c r="AY76" s="71"/>
      <c r="AZ76" s="71"/>
      <c r="BA76" s="71">
        <f t="shared" si="36"/>
        <v>90.050552929515405</v>
      </c>
      <c r="BB76" s="84">
        <v>0</v>
      </c>
      <c r="BC76" s="84">
        <v>0</v>
      </c>
      <c r="BD76" s="84">
        <v>1</v>
      </c>
      <c r="BE76" s="84">
        <v>0</v>
      </c>
      <c r="BF76" s="84">
        <v>0</v>
      </c>
      <c r="BG76" s="84">
        <v>0</v>
      </c>
      <c r="BH76" s="20">
        <v>2</v>
      </c>
      <c r="BI76" s="71"/>
      <c r="BJ76" s="71"/>
      <c r="BK76" s="71">
        <f t="shared" si="37"/>
        <v>114.81520780975161</v>
      </c>
      <c r="BL76" s="17">
        <v>1</v>
      </c>
      <c r="BM76" s="71"/>
      <c r="BN76" s="71"/>
      <c r="BO76" s="71">
        <f t="shared" si="38"/>
        <v>92.606326748686826</v>
      </c>
      <c r="BP76" s="17">
        <v>0</v>
      </c>
      <c r="BQ76" s="71"/>
      <c r="BR76" s="71"/>
      <c r="BS76" s="138">
        <f t="shared" si="39"/>
        <v>86.456710815818582</v>
      </c>
      <c r="BT76" s="17">
        <v>3</v>
      </c>
      <c r="BU76" s="71"/>
      <c r="BV76" s="71"/>
      <c r="BW76" s="71">
        <f t="shared" si="40"/>
        <v>112.03791162123835</v>
      </c>
      <c r="BX76" s="84">
        <v>2</v>
      </c>
      <c r="BY76" s="17">
        <v>3</v>
      </c>
      <c r="BZ76" s="71"/>
      <c r="CA76" s="71"/>
      <c r="CB76" s="71">
        <f t="shared" si="41"/>
        <v>110.05345743585116</v>
      </c>
      <c r="CC76" s="17">
        <v>3</v>
      </c>
      <c r="CD76" s="71"/>
      <c r="CE76" s="71"/>
      <c r="CF76" s="71">
        <f t="shared" si="42"/>
        <v>109.36214907383548</v>
      </c>
      <c r="CG76" s="17">
        <v>1</v>
      </c>
      <c r="CH76" s="71"/>
      <c r="CI76" s="71"/>
      <c r="CJ76" s="138">
        <f t="shared" si="43"/>
        <v>103.93736139675698</v>
      </c>
      <c r="CK76" s="17">
        <v>2</v>
      </c>
      <c r="CL76" s="71"/>
      <c r="CM76" s="71"/>
      <c r="CN76" s="71">
        <f t="shared" si="44"/>
        <v>100.22589057499034</v>
      </c>
      <c r="CO76" s="93">
        <v>1</v>
      </c>
      <c r="CP76" s="93">
        <v>1</v>
      </c>
      <c r="CQ76" s="93">
        <v>0</v>
      </c>
      <c r="CR76" s="93">
        <v>0</v>
      </c>
      <c r="CS76" s="102">
        <f t="shared" si="45"/>
        <v>106.79713243207179</v>
      </c>
      <c r="CT76" s="102">
        <f t="shared" si="46"/>
        <v>7.3111679746743468</v>
      </c>
      <c r="CU76" s="102">
        <f t="shared" si="47"/>
        <v>6.8458467078454641E-2</v>
      </c>
      <c r="CV76" s="108">
        <f t="shared" si="48"/>
        <v>106.2966210799725</v>
      </c>
      <c r="CZ76" s="109" t="str">
        <f t="shared" si="49"/>
        <v>Alto</v>
      </c>
    </row>
    <row r="77" spans="1:104" x14ac:dyDescent="0.15">
      <c r="A77" s="85">
        <v>3</v>
      </c>
      <c r="B77" s="85">
        <v>1</v>
      </c>
      <c r="C77" s="85">
        <v>1</v>
      </c>
      <c r="D77" s="85">
        <v>2</v>
      </c>
      <c r="E77" s="85">
        <v>1</v>
      </c>
      <c r="F77" s="18">
        <v>1</v>
      </c>
      <c r="I77" s="64">
        <f t="shared" si="25"/>
        <v>93.428492305734082</v>
      </c>
      <c r="J77" s="18">
        <v>0</v>
      </c>
      <c r="M77" s="64">
        <f t="shared" si="26"/>
        <v>81.388754033628004</v>
      </c>
      <c r="N77" s="18">
        <v>1</v>
      </c>
      <c r="Q77" s="64">
        <f t="shared" si="27"/>
        <v>98.246708656674187</v>
      </c>
      <c r="R77" s="18">
        <v>2</v>
      </c>
      <c r="U77" s="64">
        <f t="shared" si="28"/>
        <v>101.34799174124942</v>
      </c>
      <c r="V77" s="18">
        <v>2</v>
      </c>
      <c r="Y77" s="114">
        <f t="shared" si="29"/>
        <v>97.875621286587162</v>
      </c>
      <c r="Z77" s="18">
        <v>0</v>
      </c>
      <c r="AC77" s="64">
        <f t="shared" si="30"/>
        <v>85.509512691809249</v>
      </c>
      <c r="AD77" s="24">
        <v>0</v>
      </c>
      <c r="AE77" s="71"/>
      <c r="AF77" s="71"/>
      <c r="AG77" s="71">
        <f t="shared" si="31"/>
        <v>84.62281366701329</v>
      </c>
      <c r="AH77" s="18">
        <v>1</v>
      </c>
      <c r="AK77" s="64">
        <f t="shared" si="32"/>
        <v>88.599296441923855</v>
      </c>
      <c r="AL77" s="18">
        <v>0</v>
      </c>
      <c r="AM77" s="71"/>
      <c r="AN77" s="71"/>
      <c r="AO77" s="71">
        <f t="shared" si="33"/>
        <v>67.482083493671226</v>
      </c>
      <c r="AP77" s="18">
        <v>2</v>
      </c>
      <c r="AQ77" s="71"/>
      <c r="AR77" s="71"/>
      <c r="AS77" s="71">
        <f t="shared" si="34"/>
        <v>99.909880620416757</v>
      </c>
      <c r="AT77" s="18">
        <v>0</v>
      </c>
      <c r="AU77" s="71"/>
      <c r="AV77" s="71"/>
      <c r="AW77" s="71">
        <f t="shared" si="35"/>
        <v>89.214252251088965</v>
      </c>
      <c r="AX77" s="18">
        <v>2</v>
      </c>
      <c r="AY77" s="71"/>
      <c r="AZ77" s="71"/>
      <c r="BA77" s="71">
        <f t="shared" si="36"/>
        <v>100.92776194547928</v>
      </c>
      <c r="BB77" s="85">
        <v>0</v>
      </c>
      <c r="BC77" s="85">
        <v>0</v>
      </c>
      <c r="BD77" s="85">
        <v>1</v>
      </c>
      <c r="BE77" s="85">
        <v>1</v>
      </c>
      <c r="BF77" s="85">
        <v>0</v>
      </c>
      <c r="BG77" s="85">
        <v>0</v>
      </c>
      <c r="BH77" s="19">
        <v>0</v>
      </c>
      <c r="BI77" s="71"/>
      <c r="BJ77" s="71"/>
      <c r="BK77" s="71">
        <f t="shared" si="37"/>
        <v>92.176238572378367</v>
      </c>
      <c r="BL77" s="18">
        <v>1</v>
      </c>
      <c r="BM77" s="71"/>
      <c r="BN77" s="71"/>
      <c r="BO77" s="71">
        <f t="shared" si="38"/>
        <v>92.606326748686826</v>
      </c>
      <c r="BP77" s="18">
        <v>1</v>
      </c>
      <c r="BQ77" s="71"/>
      <c r="BR77" s="71"/>
      <c r="BS77" s="138">
        <f t="shared" si="39"/>
        <v>100.16171091563201</v>
      </c>
      <c r="BT77" s="18">
        <v>1</v>
      </c>
      <c r="BU77" s="71"/>
      <c r="BV77" s="71"/>
      <c r="BW77" s="71">
        <f t="shared" si="40"/>
        <v>93.001214173698628</v>
      </c>
      <c r="BX77" s="85">
        <v>2</v>
      </c>
      <c r="BY77" s="18">
        <v>0</v>
      </c>
      <c r="BZ77" s="71"/>
      <c r="CA77" s="71"/>
      <c r="CB77" s="71">
        <f t="shared" si="41"/>
        <v>81.489316531761531</v>
      </c>
      <c r="CC77" s="18">
        <v>1</v>
      </c>
      <c r="CD77" s="71"/>
      <c r="CE77" s="71"/>
      <c r="CF77" s="71">
        <f t="shared" si="42"/>
        <v>91.015574519921572</v>
      </c>
      <c r="CG77" s="18">
        <v>1</v>
      </c>
      <c r="CH77" s="71"/>
      <c r="CI77" s="71"/>
      <c r="CJ77" s="138">
        <f t="shared" si="43"/>
        <v>103.93736139675698</v>
      </c>
      <c r="CK77" s="18">
        <v>2</v>
      </c>
      <c r="CL77" s="71"/>
      <c r="CM77" s="71"/>
      <c r="CN77" s="71">
        <f t="shared" si="44"/>
        <v>100.22589057499034</v>
      </c>
      <c r="CO77" s="94">
        <v>0</v>
      </c>
      <c r="CP77" s="94">
        <v>0</v>
      </c>
      <c r="CQ77" s="94">
        <v>1</v>
      </c>
      <c r="CR77" s="94">
        <v>0</v>
      </c>
      <c r="CS77" s="102">
        <f t="shared" si="45"/>
        <v>90.658359351183847</v>
      </c>
      <c r="CT77" s="102">
        <f t="shared" si="46"/>
        <v>8.8396453119863931</v>
      </c>
      <c r="CU77" s="102">
        <f t="shared" si="47"/>
        <v>9.7505021878282666E-2</v>
      </c>
      <c r="CV77" s="108">
        <f t="shared" si="48"/>
        <v>89.79644954164236</v>
      </c>
      <c r="CZ77" s="109" t="str">
        <f t="shared" si="49"/>
        <v>Basso</v>
      </c>
    </row>
    <row r="78" spans="1:104" x14ac:dyDescent="0.15">
      <c r="A78" s="84">
        <v>2</v>
      </c>
      <c r="B78" s="84">
        <v>1</v>
      </c>
      <c r="C78" s="84">
        <v>2</v>
      </c>
      <c r="D78" s="84">
        <v>0</v>
      </c>
      <c r="E78" s="85">
        <v>1</v>
      </c>
      <c r="F78" s="17">
        <v>2</v>
      </c>
      <c r="I78" s="64">
        <f t="shared" si="25"/>
        <v>109.85726154139888</v>
      </c>
      <c r="J78" s="17">
        <v>2</v>
      </c>
      <c r="M78" s="64">
        <f t="shared" si="26"/>
        <v>110.02144013573877</v>
      </c>
      <c r="N78" s="17">
        <v>2</v>
      </c>
      <c r="Q78" s="64">
        <f t="shared" si="27"/>
        <v>113.93405225485253</v>
      </c>
      <c r="R78" s="17">
        <v>3</v>
      </c>
      <c r="U78" s="64">
        <f t="shared" si="28"/>
        <v>111.09942135879838</v>
      </c>
      <c r="V78" s="17">
        <v>4</v>
      </c>
      <c r="Y78" s="114">
        <f t="shared" si="29"/>
        <v>110.77363490373656</v>
      </c>
      <c r="Z78" s="17">
        <v>3</v>
      </c>
      <c r="AC78" s="64">
        <f t="shared" si="30"/>
        <v>109.50350141641081</v>
      </c>
      <c r="AD78" s="25">
        <v>3</v>
      </c>
      <c r="AE78" s="71"/>
      <c r="AF78" s="71"/>
      <c r="AG78" s="71">
        <f t="shared" si="31"/>
        <v>109.20703006144345</v>
      </c>
      <c r="AH78" s="17">
        <v>3</v>
      </c>
      <c r="AK78" s="64">
        <f t="shared" si="32"/>
        <v>110.43726382077395</v>
      </c>
      <c r="AL78" s="17">
        <v>4</v>
      </c>
      <c r="AM78" s="71"/>
      <c r="AN78" s="71"/>
      <c r="AO78" s="71">
        <f t="shared" si="33"/>
        <v>111.97339782828605</v>
      </c>
      <c r="AP78" s="17">
        <v>3</v>
      </c>
      <c r="AQ78" s="71"/>
      <c r="AR78" s="71"/>
      <c r="AS78" s="71">
        <f t="shared" si="34"/>
        <v>110.12341030651692</v>
      </c>
      <c r="AT78" s="17">
        <v>2</v>
      </c>
      <c r="AU78" s="71"/>
      <c r="AV78" s="71"/>
      <c r="AW78" s="71">
        <f t="shared" si="35"/>
        <v>110.91338973410525</v>
      </c>
      <c r="AX78" s="17">
        <v>3</v>
      </c>
      <c r="AY78" s="71"/>
      <c r="AZ78" s="71"/>
      <c r="BA78" s="71">
        <f t="shared" si="36"/>
        <v>111.80497096144313</v>
      </c>
      <c r="BB78" s="84">
        <v>1</v>
      </c>
      <c r="BC78" s="84">
        <v>0</v>
      </c>
      <c r="BD78" s="84">
        <v>1</v>
      </c>
      <c r="BE78" s="84">
        <v>0</v>
      </c>
      <c r="BF78" s="84">
        <v>0</v>
      </c>
      <c r="BG78" s="84">
        <v>0</v>
      </c>
      <c r="BH78" s="20">
        <v>2</v>
      </c>
      <c r="BI78" s="71"/>
      <c r="BJ78" s="71"/>
      <c r="BK78" s="71">
        <f t="shared" si="37"/>
        <v>114.81520780975161</v>
      </c>
      <c r="BL78" s="17">
        <v>2</v>
      </c>
      <c r="BM78" s="71"/>
      <c r="BN78" s="71"/>
      <c r="BO78" s="71">
        <f t="shared" si="38"/>
        <v>101.95148996595998</v>
      </c>
      <c r="BP78" s="17">
        <v>2</v>
      </c>
      <c r="BQ78" s="71"/>
      <c r="BR78" s="71"/>
      <c r="BS78" s="138">
        <f t="shared" si="39"/>
        <v>113.86671101544545</v>
      </c>
      <c r="BT78" s="17">
        <v>3</v>
      </c>
      <c r="BU78" s="71"/>
      <c r="BV78" s="71"/>
      <c r="BW78" s="71">
        <f t="shared" si="40"/>
        <v>112.03791162123835</v>
      </c>
      <c r="BX78" s="84">
        <v>2</v>
      </c>
      <c r="BY78" s="17">
        <v>3</v>
      </c>
      <c r="BZ78" s="71"/>
      <c r="CA78" s="71"/>
      <c r="CB78" s="71">
        <f t="shared" si="41"/>
        <v>110.05345743585116</v>
      </c>
      <c r="CC78" s="17">
        <v>3</v>
      </c>
      <c r="CD78" s="71"/>
      <c r="CE78" s="71"/>
      <c r="CF78" s="71">
        <f t="shared" si="42"/>
        <v>109.36214907383548</v>
      </c>
      <c r="CG78" s="17">
        <v>2</v>
      </c>
      <c r="CH78" s="71"/>
      <c r="CI78" s="71"/>
      <c r="CJ78" s="138">
        <f t="shared" si="43"/>
        <v>118.64838200002481</v>
      </c>
      <c r="CK78" s="17">
        <v>3</v>
      </c>
      <c r="CL78" s="71"/>
      <c r="CM78" s="71"/>
      <c r="CN78" s="71">
        <f t="shared" si="44"/>
        <v>109.82624001207998</v>
      </c>
      <c r="CO78" s="93">
        <v>1</v>
      </c>
      <c r="CP78" s="93">
        <v>1</v>
      </c>
      <c r="CQ78" s="93">
        <v>0</v>
      </c>
      <c r="CR78" s="93">
        <v>0</v>
      </c>
      <c r="CS78" s="102">
        <f t="shared" si="45"/>
        <v>110.40715266696971</v>
      </c>
      <c r="CT78" s="102">
        <f t="shared" si="46"/>
        <v>2.6869377566488133</v>
      </c>
      <c r="CU78" s="102">
        <f t="shared" si="47"/>
        <v>2.4336627580222519E-2</v>
      </c>
      <c r="CV78" s="108">
        <f t="shared" si="48"/>
        <v>110.3417616634549</v>
      </c>
      <c r="CZ78" s="109" t="str">
        <f t="shared" si="49"/>
        <v>Alto</v>
      </c>
    </row>
    <row r="79" spans="1:104" x14ac:dyDescent="0.15">
      <c r="A79" s="85">
        <v>2</v>
      </c>
      <c r="B79" s="85">
        <v>1</v>
      </c>
      <c r="C79" s="85">
        <v>3</v>
      </c>
      <c r="D79" s="85">
        <v>2</v>
      </c>
      <c r="E79" s="85">
        <v>1</v>
      </c>
      <c r="F79" s="18">
        <v>2</v>
      </c>
      <c r="I79" s="64">
        <f t="shared" si="25"/>
        <v>109.85726154139888</v>
      </c>
      <c r="J79" s="18">
        <v>2</v>
      </c>
      <c r="M79" s="64">
        <f t="shared" si="26"/>
        <v>110.02144013573877</v>
      </c>
      <c r="N79" s="18">
        <v>1</v>
      </c>
      <c r="Q79" s="64">
        <f t="shared" si="27"/>
        <v>98.246708656674187</v>
      </c>
      <c r="R79" s="18">
        <v>3</v>
      </c>
      <c r="U79" s="64">
        <f t="shared" si="28"/>
        <v>111.09942135879838</v>
      </c>
      <c r="V79" s="18">
        <v>0</v>
      </c>
      <c r="Y79" s="114">
        <f t="shared" si="29"/>
        <v>84.977607669437745</v>
      </c>
      <c r="Z79" s="18">
        <v>3</v>
      </c>
      <c r="AC79" s="64">
        <f t="shared" si="30"/>
        <v>109.50350141641081</v>
      </c>
      <c r="AD79" s="24">
        <v>3</v>
      </c>
      <c r="AE79" s="71"/>
      <c r="AF79" s="71"/>
      <c r="AG79" s="71">
        <f t="shared" si="31"/>
        <v>109.20703006144345</v>
      </c>
      <c r="AH79" s="18">
        <v>3</v>
      </c>
      <c r="AK79" s="64">
        <f t="shared" si="32"/>
        <v>110.43726382077395</v>
      </c>
      <c r="AL79" s="18">
        <v>3</v>
      </c>
      <c r="AM79" s="71"/>
      <c r="AN79" s="71"/>
      <c r="AO79" s="71">
        <f t="shared" si="33"/>
        <v>100.85056924463234</v>
      </c>
      <c r="AP79" s="18">
        <v>3</v>
      </c>
      <c r="AQ79" s="71"/>
      <c r="AR79" s="71"/>
      <c r="AS79" s="71">
        <f t="shared" si="34"/>
        <v>110.12341030651692</v>
      </c>
      <c r="AT79" s="18">
        <v>0</v>
      </c>
      <c r="AU79" s="71"/>
      <c r="AV79" s="71"/>
      <c r="AW79" s="71">
        <f t="shared" si="35"/>
        <v>89.214252251088965</v>
      </c>
      <c r="AX79" s="18">
        <v>2</v>
      </c>
      <c r="AY79" s="71"/>
      <c r="AZ79" s="71"/>
      <c r="BA79" s="71">
        <f t="shared" si="36"/>
        <v>100.92776194547928</v>
      </c>
      <c r="BB79" s="85">
        <v>1</v>
      </c>
      <c r="BC79" s="85">
        <v>0</v>
      </c>
      <c r="BD79" s="85">
        <v>1</v>
      </c>
      <c r="BE79" s="85">
        <v>0</v>
      </c>
      <c r="BF79" s="85">
        <v>0</v>
      </c>
      <c r="BG79" s="85">
        <v>0</v>
      </c>
      <c r="BH79" s="19">
        <v>1</v>
      </c>
      <c r="BI79" s="71"/>
      <c r="BJ79" s="71"/>
      <c r="BK79" s="71">
        <f t="shared" si="37"/>
        <v>103.49572319106498</v>
      </c>
      <c r="BL79" s="18">
        <v>2</v>
      </c>
      <c r="BM79" s="71"/>
      <c r="BN79" s="71"/>
      <c r="BO79" s="71">
        <f t="shared" si="38"/>
        <v>101.95148996595998</v>
      </c>
      <c r="BP79" s="18">
        <v>1</v>
      </c>
      <c r="BQ79" s="71"/>
      <c r="BR79" s="71"/>
      <c r="BS79" s="138">
        <f t="shared" si="39"/>
        <v>100.16171091563201</v>
      </c>
      <c r="BT79" s="18">
        <v>3</v>
      </c>
      <c r="BU79" s="71"/>
      <c r="BV79" s="71"/>
      <c r="BW79" s="71">
        <f t="shared" si="40"/>
        <v>112.03791162123835</v>
      </c>
      <c r="BX79" s="85">
        <v>0</v>
      </c>
      <c r="BY79" s="18">
        <v>0</v>
      </c>
      <c r="BZ79" s="71"/>
      <c r="CA79" s="71"/>
      <c r="CB79" s="71">
        <f t="shared" si="41"/>
        <v>81.489316531761531</v>
      </c>
      <c r="CC79" s="18">
        <v>3</v>
      </c>
      <c r="CD79" s="71"/>
      <c r="CE79" s="71"/>
      <c r="CF79" s="71">
        <f t="shared" si="42"/>
        <v>109.36214907383548</v>
      </c>
      <c r="CG79" s="18">
        <v>1</v>
      </c>
      <c r="CH79" s="71"/>
      <c r="CI79" s="71"/>
      <c r="CJ79" s="138">
        <f t="shared" si="43"/>
        <v>103.93736139675698</v>
      </c>
      <c r="CK79" s="18">
        <v>3</v>
      </c>
      <c r="CL79" s="71"/>
      <c r="CM79" s="71"/>
      <c r="CN79" s="71">
        <f t="shared" si="44"/>
        <v>109.82624001207998</v>
      </c>
      <c r="CO79" s="94">
        <v>1</v>
      </c>
      <c r="CP79" s="94">
        <v>0</v>
      </c>
      <c r="CQ79" s="94">
        <v>1</v>
      </c>
      <c r="CR79" s="94">
        <v>0</v>
      </c>
      <c r="CS79" s="102">
        <f t="shared" si="45"/>
        <v>104.56773241969979</v>
      </c>
      <c r="CT79" s="102">
        <f t="shared" si="46"/>
        <v>8.5197834514937671</v>
      </c>
      <c r="CU79" s="102">
        <f t="shared" si="47"/>
        <v>8.1476218852085405E-2</v>
      </c>
      <c r="CV79" s="108">
        <f t="shared" si="48"/>
        <v>103.87357267863351</v>
      </c>
      <c r="CZ79" s="109" t="str">
        <f t="shared" si="49"/>
        <v>Alto</v>
      </c>
    </row>
    <row r="80" spans="1:104" x14ac:dyDescent="0.15">
      <c r="A80" s="84">
        <v>3</v>
      </c>
      <c r="B80" s="84">
        <v>1</v>
      </c>
      <c r="C80" s="84">
        <v>2</v>
      </c>
      <c r="D80" s="84">
        <v>0</v>
      </c>
      <c r="E80" s="85">
        <v>1</v>
      </c>
      <c r="F80" s="17">
        <v>1</v>
      </c>
      <c r="I80" s="64">
        <f t="shared" si="25"/>
        <v>93.428492305734082</v>
      </c>
      <c r="J80" s="17">
        <v>2</v>
      </c>
      <c r="M80" s="64">
        <f t="shared" si="26"/>
        <v>110.02144013573877</v>
      </c>
      <c r="N80" s="17">
        <v>2</v>
      </c>
      <c r="Q80" s="64">
        <f t="shared" si="27"/>
        <v>113.93405225485253</v>
      </c>
      <c r="R80" s="17">
        <v>2</v>
      </c>
      <c r="U80" s="64">
        <f t="shared" si="28"/>
        <v>101.34799174124942</v>
      </c>
      <c r="V80" s="17">
        <v>4</v>
      </c>
      <c r="Y80" s="114">
        <f t="shared" si="29"/>
        <v>110.77363490373656</v>
      </c>
      <c r="Z80" s="17">
        <v>3</v>
      </c>
      <c r="AC80" s="64">
        <f t="shared" si="30"/>
        <v>109.50350141641081</v>
      </c>
      <c r="AD80" s="25">
        <v>3</v>
      </c>
      <c r="AE80" s="71"/>
      <c r="AF80" s="71"/>
      <c r="AG80" s="71">
        <f t="shared" si="31"/>
        <v>109.20703006144345</v>
      </c>
      <c r="AH80" s="17">
        <v>3</v>
      </c>
      <c r="AK80" s="64">
        <f t="shared" si="32"/>
        <v>110.43726382077395</v>
      </c>
      <c r="AL80" s="17">
        <v>2</v>
      </c>
      <c r="AM80" s="71"/>
      <c r="AN80" s="71"/>
      <c r="AO80" s="71">
        <f t="shared" si="33"/>
        <v>89.72774066097864</v>
      </c>
      <c r="AP80" s="17">
        <v>3</v>
      </c>
      <c r="AQ80" s="71"/>
      <c r="AR80" s="71"/>
      <c r="AS80" s="71">
        <f t="shared" si="34"/>
        <v>110.12341030651692</v>
      </c>
      <c r="AT80" s="17">
        <v>2</v>
      </c>
      <c r="AU80" s="71"/>
      <c r="AV80" s="71"/>
      <c r="AW80" s="71">
        <f t="shared" si="35"/>
        <v>110.91338973410525</v>
      </c>
      <c r="AX80" s="17">
        <v>3</v>
      </c>
      <c r="AY80" s="71"/>
      <c r="AZ80" s="71"/>
      <c r="BA80" s="71">
        <f t="shared" si="36"/>
        <v>111.80497096144313</v>
      </c>
      <c r="BB80" s="84">
        <v>0</v>
      </c>
      <c r="BC80" s="84">
        <v>1</v>
      </c>
      <c r="BD80" s="84">
        <v>1</v>
      </c>
      <c r="BE80" s="84">
        <v>0</v>
      </c>
      <c r="BF80" s="84">
        <v>0</v>
      </c>
      <c r="BG80" s="84">
        <v>0</v>
      </c>
      <c r="BH80" s="20">
        <v>2</v>
      </c>
      <c r="BI80" s="71"/>
      <c r="BJ80" s="71"/>
      <c r="BK80" s="71">
        <f t="shared" si="37"/>
        <v>114.81520780975161</v>
      </c>
      <c r="BL80" s="17">
        <v>3</v>
      </c>
      <c r="BM80" s="71"/>
      <c r="BN80" s="71"/>
      <c r="BO80" s="71">
        <f t="shared" si="38"/>
        <v>111.29665318323313</v>
      </c>
      <c r="BP80" s="17">
        <v>2</v>
      </c>
      <c r="BQ80" s="71"/>
      <c r="BR80" s="71"/>
      <c r="BS80" s="138">
        <f t="shared" si="39"/>
        <v>113.86671101544545</v>
      </c>
      <c r="BT80" s="17">
        <v>3</v>
      </c>
      <c r="BU80" s="71"/>
      <c r="BV80" s="71"/>
      <c r="BW80" s="71">
        <f t="shared" si="40"/>
        <v>112.03791162123835</v>
      </c>
      <c r="BX80" s="84">
        <v>2</v>
      </c>
      <c r="BY80" s="17">
        <v>2</v>
      </c>
      <c r="BZ80" s="71"/>
      <c r="CA80" s="71"/>
      <c r="CB80" s="71">
        <f t="shared" si="41"/>
        <v>100.53207713448795</v>
      </c>
      <c r="CC80" s="17">
        <v>3</v>
      </c>
      <c r="CD80" s="71"/>
      <c r="CE80" s="71"/>
      <c r="CF80" s="71">
        <f t="shared" si="42"/>
        <v>109.36214907383548</v>
      </c>
      <c r="CG80" s="17">
        <v>1</v>
      </c>
      <c r="CH80" s="71"/>
      <c r="CI80" s="71"/>
      <c r="CJ80" s="138">
        <f t="shared" si="43"/>
        <v>103.93736139675698</v>
      </c>
      <c r="CK80" s="17">
        <v>3</v>
      </c>
      <c r="CL80" s="71"/>
      <c r="CM80" s="71"/>
      <c r="CN80" s="71">
        <f t="shared" si="44"/>
        <v>109.82624001207998</v>
      </c>
      <c r="CO80" s="93">
        <v>1</v>
      </c>
      <c r="CP80" s="93">
        <v>1</v>
      </c>
      <c r="CQ80" s="93">
        <v>1</v>
      </c>
      <c r="CR80" s="93">
        <v>0</v>
      </c>
      <c r="CS80" s="102">
        <f t="shared" si="45"/>
        <v>107.54820719022786</v>
      </c>
      <c r="CT80" s="102">
        <f t="shared" si="46"/>
        <v>7.062201835009863</v>
      </c>
      <c r="CU80" s="102">
        <f t="shared" si="47"/>
        <v>6.566545384172201E-2</v>
      </c>
      <c r="CV80" s="108">
        <f t="shared" si="48"/>
        <v>107.08446450161009</v>
      </c>
      <c r="CZ80" s="109" t="str">
        <f t="shared" si="49"/>
        <v>Alto</v>
      </c>
    </row>
    <row r="81" spans="1:104" x14ac:dyDescent="0.15">
      <c r="A81" s="85">
        <v>4</v>
      </c>
      <c r="B81" s="85">
        <v>1</v>
      </c>
      <c r="C81" s="85">
        <v>3</v>
      </c>
      <c r="D81" s="85">
        <v>2</v>
      </c>
      <c r="E81" s="85">
        <v>1</v>
      </c>
      <c r="F81" s="18">
        <v>1</v>
      </c>
      <c r="I81" s="64">
        <f t="shared" si="25"/>
        <v>93.428492305734082</v>
      </c>
      <c r="J81" s="18">
        <v>0</v>
      </c>
      <c r="M81" s="64">
        <f t="shared" si="26"/>
        <v>81.388754033628004</v>
      </c>
      <c r="N81" s="18">
        <v>1</v>
      </c>
      <c r="Q81" s="64">
        <f t="shared" si="27"/>
        <v>98.246708656674187</v>
      </c>
      <c r="R81" s="18">
        <v>2</v>
      </c>
      <c r="U81" s="64">
        <f t="shared" si="28"/>
        <v>101.34799174124942</v>
      </c>
      <c r="V81" s="18">
        <v>3</v>
      </c>
      <c r="Y81" s="114">
        <f t="shared" si="29"/>
        <v>104.32462809516186</v>
      </c>
      <c r="Z81" s="18">
        <v>3</v>
      </c>
      <c r="AC81" s="64">
        <f t="shared" si="30"/>
        <v>109.50350141641081</v>
      </c>
      <c r="AD81" s="24">
        <v>0</v>
      </c>
      <c r="AE81" s="71"/>
      <c r="AF81" s="71"/>
      <c r="AG81" s="71">
        <f t="shared" si="31"/>
        <v>84.62281366701329</v>
      </c>
      <c r="AH81" s="18">
        <v>2</v>
      </c>
      <c r="AK81" s="64">
        <f t="shared" si="32"/>
        <v>99.518280131348902</v>
      </c>
      <c r="AL81" s="18">
        <v>3</v>
      </c>
      <c r="AM81" s="71"/>
      <c r="AN81" s="71"/>
      <c r="AO81" s="71">
        <f t="shared" si="33"/>
        <v>100.85056924463234</v>
      </c>
      <c r="AP81" s="18">
        <v>2</v>
      </c>
      <c r="AQ81" s="71"/>
      <c r="AR81" s="71"/>
      <c r="AS81" s="71">
        <f t="shared" si="34"/>
        <v>99.909880620416757</v>
      </c>
      <c r="AT81" s="18">
        <v>0</v>
      </c>
      <c r="AU81" s="71"/>
      <c r="AV81" s="71"/>
      <c r="AW81" s="71">
        <f t="shared" si="35"/>
        <v>89.214252251088965</v>
      </c>
      <c r="AX81" s="18">
        <v>1</v>
      </c>
      <c r="AY81" s="71"/>
      <c r="AZ81" s="71"/>
      <c r="BA81" s="71">
        <f t="shared" si="36"/>
        <v>90.050552929515405</v>
      </c>
      <c r="BB81" s="85">
        <v>0</v>
      </c>
      <c r="BC81" s="85">
        <v>0</v>
      </c>
      <c r="BD81" s="85">
        <v>1</v>
      </c>
      <c r="BE81" s="85">
        <v>1</v>
      </c>
      <c r="BF81" s="85">
        <v>0</v>
      </c>
      <c r="BG81" s="85">
        <v>0</v>
      </c>
      <c r="BH81" s="19">
        <v>0</v>
      </c>
      <c r="BI81" s="71"/>
      <c r="BJ81" s="71"/>
      <c r="BK81" s="71">
        <f t="shared" si="37"/>
        <v>92.176238572378367</v>
      </c>
      <c r="BL81" s="18">
        <v>1</v>
      </c>
      <c r="BM81" s="71"/>
      <c r="BN81" s="71"/>
      <c r="BO81" s="71">
        <f t="shared" si="38"/>
        <v>92.606326748686826</v>
      </c>
      <c r="BP81" s="18">
        <v>1</v>
      </c>
      <c r="BQ81" s="71"/>
      <c r="BR81" s="71"/>
      <c r="BS81" s="138">
        <f t="shared" si="39"/>
        <v>100.16171091563201</v>
      </c>
      <c r="BT81" s="18">
        <v>2</v>
      </c>
      <c r="BU81" s="71"/>
      <c r="BV81" s="71"/>
      <c r="BW81" s="71">
        <f t="shared" si="40"/>
        <v>102.51956289746849</v>
      </c>
      <c r="BX81" s="85">
        <v>1</v>
      </c>
      <c r="BY81" s="18">
        <v>2</v>
      </c>
      <c r="BZ81" s="71"/>
      <c r="CA81" s="71"/>
      <c r="CB81" s="71">
        <f t="shared" si="41"/>
        <v>100.53207713448795</v>
      </c>
      <c r="CC81" s="18">
        <v>3</v>
      </c>
      <c r="CD81" s="71"/>
      <c r="CE81" s="71"/>
      <c r="CF81" s="71">
        <f t="shared" si="42"/>
        <v>109.36214907383548</v>
      </c>
      <c r="CG81" s="18">
        <v>0</v>
      </c>
      <c r="CH81" s="71"/>
      <c r="CI81" s="71"/>
      <c r="CJ81" s="138">
        <f t="shared" si="43"/>
        <v>89.226340793489143</v>
      </c>
      <c r="CK81" s="18">
        <v>1</v>
      </c>
      <c r="CL81" s="71"/>
      <c r="CM81" s="71"/>
      <c r="CN81" s="71">
        <f t="shared" si="44"/>
        <v>90.625541137900711</v>
      </c>
      <c r="CO81" s="94">
        <v>0</v>
      </c>
      <c r="CP81" s="94">
        <v>0</v>
      </c>
      <c r="CQ81" s="94">
        <v>0</v>
      </c>
      <c r="CR81" s="94">
        <v>1</v>
      </c>
      <c r="CS81" s="102">
        <f t="shared" si="45"/>
        <v>96.229628974262937</v>
      </c>
      <c r="CT81" s="102">
        <f t="shared" si="46"/>
        <v>7.8814996984877776</v>
      </c>
      <c r="CU81" s="102">
        <f t="shared" si="47"/>
        <v>8.1903045688721518E-2</v>
      </c>
      <c r="CV81" s="108">
        <f t="shared" si="48"/>
        <v>95.584110144362043</v>
      </c>
      <c r="CZ81" s="109" t="str">
        <f t="shared" si="49"/>
        <v>Basso</v>
      </c>
    </row>
    <row r="82" spans="1:104" x14ac:dyDescent="0.15">
      <c r="A82" s="84">
        <v>4</v>
      </c>
      <c r="B82" s="84">
        <v>1</v>
      </c>
      <c r="C82" s="84">
        <v>1</v>
      </c>
      <c r="D82" s="84">
        <v>2</v>
      </c>
      <c r="E82" s="85">
        <v>1</v>
      </c>
      <c r="F82" s="17">
        <v>1</v>
      </c>
      <c r="I82" s="64">
        <f t="shared" si="25"/>
        <v>93.428492305734082</v>
      </c>
      <c r="J82" s="17">
        <v>2</v>
      </c>
      <c r="M82" s="64">
        <f t="shared" si="26"/>
        <v>110.02144013573877</v>
      </c>
      <c r="N82" s="17">
        <v>1</v>
      </c>
      <c r="Q82" s="64">
        <f t="shared" si="27"/>
        <v>98.246708656674187</v>
      </c>
      <c r="R82" s="17">
        <v>3</v>
      </c>
      <c r="U82" s="64">
        <f t="shared" si="28"/>
        <v>111.09942135879838</v>
      </c>
      <c r="V82" s="17">
        <v>0</v>
      </c>
      <c r="Y82" s="114">
        <f t="shared" si="29"/>
        <v>84.977607669437745</v>
      </c>
      <c r="Z82" s="17">
        <v>0</v>
      </c>
      <c r="AC82" s="64">
        <f t="shared" si="30"/>
        <v>85.509512691809249</v>
      </c>
      <c r="AD82" s="25">
        <v>3</v>
      </c>
      <c r="AE82" s="71"/>
      <c r="AF82" s="71"/>
      <c r="AG82" s="71">
        <f t="shared" si="31"/>
        <v>109.20703006144345</v>
      </c>
      <c r="AH82" s="17">
        <v>3</v>
      </c>
      <c r="AK82" s="64">
        <f t="shared" si="32"/>
        <v>110.43726382077395</v>
      </c>
      <c r="AL82" s="17">
        <v>3</v>
      </c>
      <c r="AM82" s="71"/>
      <c r="AN82" s="71"/>
      <c r="AO82" s="71">
        <f t="shared" si="33"/>
        <v>100.85056924463234</v>
      </c>
      <c r="AP82" s="17">
        <v>2</v>
      </c>
      <c r="AQ82" s="71"/>
      <c r="AR82" s="71"/>
      <c r="AS82" s="71">
        <f t="shared" si="34"/>
        <v>99.909880620416757</v>
      </c>
      <c r="AT82" s="17">
        <v>0</v>
      </c>
      <c r="AU82" s="71"/>
      <c r="AV82" s="71"/>
      <c r="AW82" s="71">
        <f t="shared" si="35"/>
        <v>89.214252251088965</v>
      </c>
      <c r="AX82" s="17">
        <v>3</v>
      </c>
      <c r="AY82" s="71"/>
      <c r="AZ82" s="71"/>
      <c r="BA82" s="71">
        <f t="shared" si="36"/>
        <v>111.80497096144313</v>
      </c>
      <c r="BB82" s="84">
        <v>1</v>
      </c>
      <c r="BC82" s="84">
        <v>0</v>
      </c>
      <c r="BD82" s="84">
        <v>0</v>
      </c>
      <c r="BE82" s="84">
        <v>1</v>
      </c>
      <c r="BF82" s="84">
        <v>0</v>
      </c>
      <c r="BG82" s="84">
        <v>0</v>
      </c>
      <c r="BH82" s="20">
        <v>0</v>
      </c>
      <c r="BI82" s="71"/>
      <c r="BJ82" s="71"/>
      <c r="BK82" s="71">
        <f t="shared" si="37"/>
        <v>92.176238572378367</v>
      </c>
      <c r="BL82" s="17">
        <v>2</v>
      </c>
      <c r="BM82" s="71"/>
      <c r="BN82" s="71"/>
      <c r="BO82" s="71">
        <f t="shared" si="38"/>
        <v>101.95148996595998</v>
      </c>
      <c r="BP82" s="17">
        <v>1</v>
      </c>
      <c r="BQ82" s="71"/>
      <c r="BR82" s="71"/>
      <c r="BS82" s="138">
        <f t="shared" si="39"/>
        <v>100.16171091563201</v>
      </c>
      <c r="BT82" s="17">
        <v>2</v>
      </c>
      <c r="BU82" s="71"/>
      <c r="BV82" s="71"/>
      <c r="BW82" s="71">
        <f t="shared" si="40"/>
        <v>102.51956289746849</v>
      </c>
      <c r="BX82" s="84">
        <v>1</v>
      </c>
      <c r="BY82" s="17">
        <v>3</v>
      </c>
      <c r="BZ82" s="71"/>
      <c r="CA82" s="71"/>
      <c r="CB82" s="71">
        <f t="shared" si="41"/>
        <v>110.05345743585116</v>
      </c>
      <c r="CC82" s="17">
        <v>2</v>
      </c>
      <c r="CD82" s="71"/>
      <c r="CE82" s="71"/>
      <c r="CF82" s="71">
        <f t="shared" si="42"/>
        <v>100.18886179687853</v>
      </c>
      <c r="CG82" s="17">
        <v>1</v>
      </c>
      <c r="CH82" s="71"/>
      <c r="CI82" s="71"/>
      <c r="CJ82" s="138">
        <f t="shared" si="43"/>
        <v>103.93736139675698</v>
      </c>
      <c r="CK82" s="17">
        <v>0</v>
      </c>
      <c r="CL82" s="71"/>
      <c r="CM82" s="71"/>
      <c r="CN82" s="71">
        <f t="shared" si="44"/>
        <v>81.025191700811078</v>
      </c>
      <c r="CO82" s="93">
        <v>1</v>
      </c>
      <c r="CP82" s="93">
        <v>0</v>
      </c>
      <c r="CQ82" s="93">
        <v>1</v>
      </c>
      <c r="CR82" s="93">
        <v>0</v>
      </c>
      <c r="CS82" s="102">
        <f t="shared" si="45"/>
        <v>100.44966732222946</v>
      </c>
      <c r="CT82" s="102">
        <f t="shared" si="46"/>
        <v>9.5494368673188372</v>
      </c>
      <c r="CU82" s="102">
        <f t="shared" si="47"/>
        <v>9.5066883961750587E-2</v>
      </c>
      <c r="CV82" s="108">
        <f t="shared" si="48"/>
        <v>99.541832115663993</v>
      </c>
      <c r="CZ82" s="109" t="str">
        <f t="shared" si="49"/>
        <v>Medio-Alto</v>
      </c>
    </row>
    <row r="83" spans="1:104" x14ac:dyDescent="0.15">
      <c r="A83" s="85">
        <v>4</v>
      </c>
      <c r="B83" s="85">
        <v>1</v>
      </c>
      <c r="C83" s="85">
        <v>2</v>
      </c>
      <c r="D83" s="85">
        <v>2</v>
      </c>
      <c r="E83" s="85">
        <v>1</v>
      </c>
      <c r="F83" s="18">
        <v>1</v>
      </c>
      <c r="I83" s="64">
        <f t="shared" si="25"/>
        <v>93.428492305734082</v>
      </c>
      <c r="J83" s="18">
        <v>1</v>
      </c>
      <c r="M83" s="64">
        <f t="shared" si="26"/>
        <v>95.705097084683388</v>
      </c>
      <c r="N83" s="18">
        <v>1</v>
      </c>
      <c r="Q83" s="64">
        <f t="shared" si="27"/>
        <v>98.246708656674187</v>
      </c>
      <c r="R83" s="18">
        <v>2</v>
      </c>
      <c r="U83" s="64">
        <f t="shared" si="28"/>
        <v>101.34799174124942</v>
      </c>
      <c r="V83" s="18">
        <v>2</v>
      </c>
      <c r="Y83" s="114">
        <f t="shared" si="29"/>
        <v>97.875621286587162</v>
      </c>
      <c r="Z83" s="18">
        <v>3</v>
      </c>
      <c r="AC83" s="64">
        <f t="shared" si="30"/>
        <v>109.50350141641081</v>
      </c>
      <c r="AD83" s="24">
        <v>0</v>
      </c>
      <c r="AE83" s="71"/>
      <c r="AF83" s="71"/>
      <c r="AG83" s="71">
        <f t="shared" si="31"/>
        <v>84.62281366701329</v>
      </c>
      <c r="AH83" s="18">
        <v>3</v>
      </c>
      <c r="AK83" s="64">
        <f t="shared" si="32"/>
        <v>110.43726382077395</v>
      </c>
      <c r="AL83" s="18">
        <v>4</v>
      </c>
      <c r="AM83" s="71"/>
      <c r="AN83" s="71"/>
      <c r="AO83" s="71">
        <f t="shared" si="33"/>
        <v>111.97339782828605</v>
      </c>
      <c r="AP83" s="18">
        <v>2</v>
      </c>
      <c r="AQ83" s="71"/>
      <c r="AR83" s="71"/>
      <c r="AS83" s="71">
        <f t="shared" si="34"/>
        <v>99.909880620416757</v>
      </c>
      <c r="AT83" s="18">
        <v>0</v>
      </c>
      <c r="AU83" s="71"/>
      <c r="AV83" s="71"/>
      <c r="AW83" s="71">
        <f t="shared" si="35"/>
        <v>89.214252251088965</v>
      </c>
      <c r="AX83" s="18">
        <v>1</v>
      </c>
      <c r="AY83" s="71"/>
      <c r="AZ83" s="71"/>
      <c r="BA83" s="71">
        <f t="shared" si="36"/>
        <v>90.050552929515405</v>
      </c>
      <c r="BB83" s="85">
        <v>0</v>
      </c>
      <c r="BC83" s="85">
        <v>1</v>
      </c>
      <c r="BD83" s="85">
        <v>1</v>
      </c>
      <c r="BE83" s="85">
        <v>0</v>
      </c>
      <c r="BF83" s="85">
        <v>0</v>
      </c>
      <c r="BG83" s="85">
        <v>0</v>
      </c>
      <c r="BH83" s="19">
        <v>0</v>
      </c>
      <c r="BI83" s="71"/>
      <c r="BJ83" s="71"/>
      <c r="BK83" s="71">
        <f t="shared" si="37"/>
        <v>92.176238572378367</v>
      </c>
      <c r="BL83" s="18">
        <v>3</v>
      </c>
      <c r="BM83" s="71"/>
      <c r="BN83" s="71"/>
      <c r="BO83" s="71">
        <f t="shared" si="38"/>
        <v>111.29665318323313</v>
      </c>
      <c r="BP83" s="18">
        <v>1</v>
      </c>
      <c r="BQ83" s="71"/>
      <c r="BR83" s="71"/>
      <c r="BS83" s="138">
        <f t="shared" si="39"/>
        <v>100.16171091563201</v>
      </c>
      <c r="BT83" s="18">
        <v>2</v>
      </c>
      <c r="BU83" s="71"/>
      <c r="BV83" s="71"/>
      <c r="BW83" s="71">
        <f t="shared" si="40"/>
        <v>102.51956289746849</v>
      </c>
      <c r="BX83" s="85">
        <v>0</v>
      </c>
      <c r="BY83" s="18">
        <v>3</v>
      </c>
      <c r="BZ83" s="71"/>
      <c r="CA83" s="71"/>
      <c r="CB83" s="71">
        <f t="shared" si="41"/>
        <v>110.05345743585116</v>
      </c>
      <c r="CC83" s="18">
        <v>2</v>
      </c>
      <c r="CD83" s="71"/>
      <c r="CE83" s="71"/>
      <c r="CF83" s="71">
        <f t="shared" si="42"/>
        <v>100.18886179687853</v>
      </c>
      <c r="CG83" s="18">
        <v>0</v>
      </c>
      <c r="CH83" s="71"/>
      <c r="CI83" s="71"/>
      <c r="CJ83" s="138">
        <f t="shared" si="43"/>
        <v>89.226340793489143</v>
      </c>
      <c r="CK83" s="18">
        <v>3</v>
      </c>
      <c r="CL83" s="71"/>
      <c r="CM83" s="71"/>
      <c r="CN83" s="71">
        <f t="shared" si="44"/>
        <v>109.82624001207998</v>
      </c>
      <c r="CO83" s="94">
        <v>1</v>
      </c>
      <c r="CP83" s="94">
        <v>0</v>
      </c>
      <c r="CQ83" s="94">
        <v>1</v>
      </c>
      <c r="CR83" s="94">
        <v>0</v>
      </c>
      <c r="CS83" s="102">
        <f t="shared" si="45"/>
        <v>100.61770389527858</v>
      </c>
      <c r="CT83" s="102">
        <f t="shared" si="46"/>
        <v>8.8292026588739212</v>
      </c>
      <c r="CU83" s="102">
        <f t="shared" si="47"/>
        <v>8.7749991473302008E-2</v>
      </c>
      <c r="CV83" s="108">
        <f t="shared" si="48"/>
        <v>99.842941437246338</v>
      </c>
      <c r="CZ83" s="109" t="str">
        <f t="shared" si="49"/>
        <v>Medio-Alto</v>
      </c>
    </row>
    <row r="84" spans="1:104" x14ac:dyDescent="0.15">
      <c r="A84" s="84">
        <v>4</v>
      </c>
      <c r="B84" s="84">
        <v>1</v>
      </c>
      <c r="C84" s="84">
        <v>3</v>
      </c>
      <c r="D84" s="84">
        <v>2</v>
      </c>
      <c r="E84" s="85">
        <v>1</v>
      </c>
      <c r="F84" s="17">
        <v>2</v>
      </c>
      <c r="I84" s="64">
        <f t="shared" si="25"/>
        <v>109.85726154139888</v>
      </c>
      <c r="J84" s="17">
        <v>2</v>
      </c>
      <c r="M84" s="64">
        <f t="shared" si="26"/>
        <v>110.02144013573877</v>
      </c>
      <c r="N84" s="17">
        <v>2</v>
      </c>
      <c r="Q84" s="64">
        <f t="shared" si="27"/>
        <v>113.93405225485253</v>
      </c>
      <c r="R84" s="17">
        <v>3</v>
      </c>
      <c r="U84" s="64">
        <f t="shared" si="28"/>
        <v>111.09942135879838</v>
      </c>
      <c r="V84" s="17">
        <v>0</v>
      </c>
      <c r="Y84" s="114">
        <f t="shared" si="29"/>
        <v>84.977607669437745</v>
      </c>
      <c r="Z84" s="17">
        <v>3</v>
      </c>
      <c r="AC84" s="64">
        <f t="shared" si="30"/>
        <v>109.50350141641081</v>
      </c>
      <c r="AD84" s="25">
        <v>0</v>
      </c>
      <c r="AE84" s="71"/>
      <c r="AF84" s="71"/>
      <c r="AG84" s="71">
        <f t="shared" si="31"/>
        <v>84.62281366701329</v>
      </c>
      <c r="AH84" s="17">
        <v>2</v>
      </c>
      <c r="AK84" s="64">
        <f t="shared" si="32"/>
        <v>99.518280131348902</v>
      </c>
      <c r="AL84" s="17">
        <v>3</v>
      </c>
      <c r="AM84" s="71"/>
      <c r="AN84" s="71"/>
      <c r="AO84" s="71">
        <f t="shared" si="33"/>
        <v>100.85056924463234</v>
      </c>
      <c r="AP84" s="17">
        <v>0</v>
      </c>
      <c r="AQ84" s="71"/>
      <c r="AR84" s="71"/>
      <c r="AS84" s="71">
        <f t="shared" si="34"/>
        <v>79.482821248216453</v>
      </c>
      <c r="AT84" s="17">
        <v>1</v>
      </c>
      <c r="AU84" s="71"/>
      <c r="AV84" s="71"/>
      <c r="AW84" s="71">
        <f t="shared" si="35"/>
        <v>100.0638209925971</v>
      </c>
      <c r="AX84" s="17">
        <v>3</v>
      </c>
      <c r="AY84" s="71"/>
      <c r="AZ84" s="71"/>
      <c r="BA84" s="71">
        <f t="shared" si="36"/>
        <v>111.80497096144313</v>
      </c>
      <c r="BB84" s="84">
        <v>1</v>
      </c>
      <c r="BC84" s="84">
        <v>0</v>
      </c>
      <c r="BD84" s="84">
        <v>1</v>
      </c>
      <c r="BE84" s="84">
        <v>0</v>
      </c>
      <c r="BF84" s="84">
        <v>0</v>
      </c>
      <c r="BG84" s="84">
        <v>0</v>
      </c>
      <c r="BH84" s="20">
        <v>0</v>
      </c>
      <c r="BI84" s="71"/>
      <c r="BJ84" s="71"/>
      <c r="BK84" s="71">
        <f t="shared" si="37"/>
        <v>92.176238572378367</v>
      </c>
      <c r="BL84" s="17">
        <v>3</v>
      </c>
      <c r="BM84" s="71"/>
      <c r="BN84" s="71"/>
      <c r="BO84" s="71">
        <f t="shared" si="38"/>
        <v>111.29665318323313</v>
      </c>
      <c r="BP84" s="17">
        <v>0</v>
      </c>
      <c r="BQ84" s="71"/>
      <c r="BR84" s="71"/>
      <c r="BS84" s="138">
        <f t="shared" si="39"/>
        <v>86.456710815818582</v>
      </c>
      <c r="BT84" s="17">
        <v>0</v>
      </c>
      <c r="BU84" s="71"/>
      <c r="BV84" s="71"/>
      <c r="BW84" s="71">
        <f t="shared" si="40"/>
        <v>83.482865449928767</v>
      </c>
      <c r="BX84" s="84">
        <v>1</v>
      </c>
      <c r="BY84" s="17">
        <v>3</v>
      </c>
      <c r="BZ84" s="71"/>
      <c r="CA84" s="71"/>
      <c r="CB84" s="71">
        <f t="shared" si="41"/>
        <v>110.05345743585116</v>
      </c>
      <c r="CC84" s="17">
        <v>3</v>
      </c>
      <c r="CD84" s="71"/>
      <c r="CE84" s="71"/>
      <c r="CF84" s="71">
        <f t="shared" si="42"/>
        <v>109.36214907383548</v>
      </c>
      <c r="CG84" s="17">
        <v>0</v>
      </c>
      <c r="CH84" s="71"/>
      <c r="CI84" s="71"/>
      <c r="CJ84" s="138">
        <f t="shared" si="43"/>
        <v>89.226340793489143</v>
      </c>
      <c r="CK84" s="17">
        <v>0</v>
      </c>
      <c r="CL84" s="71"/>
      <c r="CM84" s="71"/>
      <c r="CN84" s="71">
        <f t="shared" si="44"/>
        <v>81.025191700811078</v>
      </c>
      <c r="CO84" s="93">
        <v>0</v>
      </c>
      <c r="CP84" s="93">
        <v>1</v>
      </c>
      <c r="CQ84" s="93">
        <v>0</v>
      </c>
      <c r="CR84" s="93">
        <v>0</v>
      </c>
      <c r="CS84" s="102">
        <f t="shared" si="45"/>
        <v>101.06797108049933</v>
      </c>
      <c r="CT84" s="102">
        <f t="shared" si="46"/>
        <v>12.232162459594448</v>
      </c>
      <c r="CU84" s="102">
        <f t="shared" si="47"/>
        <v>0.12102906913854726</v>
      </c>
      <c r="CV84" s="108">
        <f t="shared" si="48"/>
        <v>99.587523844463135</v>
      </c>
      <c r="CZ84" s="109" t="str">
        <f t="shared" si="49"/>
        <v>Medio-Alto</v>
      </c>
    </row>
    <row r="85" spans="1:104" x14ac:dyDescent="0.15">
      <c r="A85" s="85">
        <v>5</v>
      </c>
      <c r="B85" s="85">
        <v>1</v>
      </c>
      <c r="C85" s="85">
        <v>1</v>
      </c>
      <c r="D85" s="85">
        <v>2</v>
      </c>
      <c r="E85" s="85">
        <v>1</v>
      </c>
      <c r="F85" s="18">
        <v>1</v>
      </c>
      <c r="I85" s="64">
        <f t="shared" si="25"/>
        <v>93.428492305734082</v>
      </c>
      <c r="J85" s="18">
        <v>1</v>
      </c>
      <c r="M85" s="64">
        <f t="shared" si="26"/>
        <v>95.705097084683388</v>
      </c>
      <c r="N85" s="18">
        <v>1</v>
      </c>
      <c r="Q85" s="64">
        <f t="shared" si="27"/>
        <v>98.246708656674187</v>
      </c>
      <c r="R85" s="18">
        <v>2</v>
      </c>
      <c r="U85" s="64">
        <f t="shared" si="28"/>
        <v>101.34799174124942</v>
      </c>
      <c r="V85" s="18">
        <v>0</v>
      </c>
      <c r="Y85" s="114">
        <f t="shared" si="29"/>
        <v>84.977607669437745</v>
      </c>
      <c r="Z85" s="18">
        <v>2</v>
      </c>
      <c r="AC85" s="64">
        <f t="shared" si="30"/>
        <v>101.50550517487696</v>
      </c>
      <c r="AD85" s="24">
        <v>2</v>
      </c>
      <c r="AE85" s="71"/>
      <c r="AF85" s="71"/>
      <c r="AG85" s="71">
        <f t="shared" si="31"/>
        <v>101.01229126330007</v>
      </c>
      <c r="AH85" s="18">
        <v>2</v>
      </c>
      <c r="AK85" s="64">
        <f t="shared" si="32"/>
        <v>99.518280131348902</v>
      </c>
      <c r="AL85" s="18">
        <v>3</v>
      </c>
      <c r="AM85" s="71"/>
      <c r="AN85" s="71"/>
      <c r="AO85" s="71">
        <f t="shared" si="33"/>
        <v>100.85056924463234</v>
      </c>
      <c r="AP85" s="18">
        <v>2</v>
      </c>
      <c r="AQ85" s="71"/>
      <c r="AR85" s="71"/>
      <c r="AS85" s="71">
        <f t="shared" si="34"/>
        <v>99.909880620416757</v>
      </c>
      <c r="AT85" s="18">
        <v>1</v>
      </c>
      <c r="AU85" s="71"/>
      <c r="AV85" s="71"/>
      <c r="AW85" s="71">
        <f t="shared" si="35"/>
        <v>100.0638209925971</v>
      </c>
      <c r="AX85" s="18">
        <v>2</v>
      </c>
      <c r="AY85" s="71"/>
      <c r="AZ85" s="71"/>
      <c r="BA85" s="71">
        <f t="shared" si="36"/>
        <v>100.92776194547928</v>
      </c>
      <c r="BB85" s="85">
        <v>1</v>
      </c>
      <c r="BC85" s="85">
        <v>0</v>
      </c>
      <c r="BD85" s="85">
        <v>1</v>
      </c>
      <c r="BE85" s="85">
        <v>0</v>
      </c>
      <c r="BF85" s="85">
        <v>0</v>
      </c>
      <c r="BG85" s="85">
        <v>0</v>
      </c>
      <c r="BH85" s="19">
        <v>2</v>
      </c>
      <c r="BI85" s="71"/>
      <c r="BJ85" s="71"/>
      <c r="BK85" s="71">
        <f t="shared" si="37"/>
        <v>114.81520780975161</v>
      </c>
      <c r="BL85" s="18">
        <v>1</v>
      </c>
      <c r="BM85" s="71"/>
      <c r="BN85" s="71"/>
      <c r="BO85" s="71">
        <f t="shared" si="38"/>
        <v>92.606326748686826</v>
      </c>
      <c r="BP85" s="18">
        <v>1</v>
      </c>
      <c r="BQ85" s="71"/>
      <c r="BR85" s="71"/>
      <c r="BS85" s="138">
        <f t="shared" si="39"/>
        <v>100.16171091563201</v>
      </c>
      <c r="BT85" s="18">
        <v>2</v>
      </c>
      <c r="BU85" s="71"/>
      <c r="BV85" s="71"/>
      <c r="BW85" s="71">
        <f t="shared" si="40"/>
        <v>102.51956289746849</v>
      </c>
      <c r="BX85" s="85">
        <v>3</v>
      </c>
      <c r="BY85" s="18">
        <v>3</v>
      </c>
      <c r="BZ85" s="71"/>
      <c r="CA85" s="71"/>
      <c r="CB85" s="71">
        <f t="shared" si="41"/>
        <v>110.05345743585116</v>
      </c>
      <c r="CC85" s="18">
        <v>2</v>
      </c>
      <c r="CD85" s="71"/>
      <c r="CE85" s="71"/>
      <c r="CF85" s="71">
        <f t="shared" si="42"/>
        <v>100.18886179687853</v>
      </c>
      <c r="CG85" s="18">
        <v>1</v>
      </c>
      <c r="CH85" s="71"/>
      <c r="CI85" s="71"/>
      <c r="CJ85" s="138">
        <f t="shared" si="43"/>
        <v>103.93736139675698</v>
      </c>
      <c r="CK85" s="18">
        <v>3</v>
      </c>
      <c r="CL85" s="71"/>
      <c r="CM85" s="71"/>
      <c r="CN85" s="71">
        <f t="shared" si="44"/>
        <v>109.82624001207998</v>
      </c>
      <c r="CO85" s="94">
        <v>1</v>
      </c>
      <c r="CP85" s="94">
        <v>1</v>
      </c>
      <c r="CQ85" s="94">
        <v>0</v>
      </c>
      <c r="CR85" s="94">
        <v>0</v>
      </c>
      <c r="CS85" s="102">
        <f t="shared" si="45"/>
        <v>101.32506210951229</v>
      </c>
      <c r="CT85" s="102">
        <f t="shared" si="46"/>
        <v>5.7006632492818179</v>
      </c>
      <c r="CU85" s="102">
        <f t="shared" si="47"/>
        <v>5.626113747772029E-2</v>
      </c>
      <c r="CV85" s="108">
        <f t="shared" si="48"/>
        <v>101.00433631073025</v>
      </c>
      <c r="CZ85" s="109" t="str">
        <f t="shared" si="49"/>
        <v>Medio-Alto</v>
      </c>
    </row>
    <row r="86" spans="1:104" x14ac:dyDescent="0.15">
      <c r="A86" s="84">
        <v>2</v>
      </c>
      <c r="B86" s="84">
        <v>1</v>
      </c>
      <c r="C86" s="84">
        <v>2</v>
      </c>
      <c r="D86" s="84">
        <v>2</v>
      </c>
      <c r="E86" s="85">
        <v>1</v>
      </c>
      <c r="F86" s="17">
        <v>2</v>
      </c>
      <c r="I86" s="64">
        <f t="shared" si="25"/>
        <v>109.85726154139888</v>
      </c>
      <c r="J86" s="17">
        <v>2</v>
      </c>
      <c r="M86" s="64">
        <f t="shared" si="26"/>
        <v>110.02144013573877</v>
      </c>
      <c r="N86" s="17">
        <v>1</v>
      </c>
      <c r="Q86" s="64">
        <f t="shared" si="27"/>
        <v>98.246708656674187</v>
      </c>
      <c r="R86" s="17">
        <v>2</v>
      </c>
      <c r="U86" s="64">
        <f t="shared" si="28"/>
        <v>101.34799174124942</v>
      </c>
      <c r="V86" s="17">
        <v>2</v>
      </c>
      <c r="Y86" s="114">
        <f t="shared" si="29"/>
        <v>97.875621286587162</v>
      </c>
      <c r="Z86" s="17">
        <v>3</v>
      </c>
      <c r="AC86" s="64">
        <f t="shared" si="30"/>
        <v>109.50350141641081</v>
      </c>
      <c r="AD86" s="25">
        <v>3</v>
      </c>
      <c r="AE86" s="71"/>
      <c r="AF86" s="71"/>
      <c r="AG86" s="71">
        <f t="shared" si="31"/>
        <v>109.20703006144345</v>
      </c>
      <c r="AH86" s="17">
        <v>3</v>
      </c>
      <c r="AK86" s="64">
        <f t="shared" si="32"/>
        <v>110.43726382077395</v>
      </c>
      <c r="AL86" s="17">
        <v>3</v>
      </c>
      <c r="AM86" s="71"/>
      <c r="AN86" s="71"/>
      <c r="AO86" s="71">
        <f t="shared" si="33"/>
        <v>100.85056924463234</v>
      </c>
      <c r="AP86" s="17">
        <v>2</v>
      </c>
      <c r="AQ86" s="71"/>
      <c r="AR86" s="71"/>
      <c r="AS86" s="71">
        <f t="shared" si="34"/>
        <v>99.909880620416757</v>
      </c>
      <c r="AT86" s="17">
        <v>2</v>
      </c>
      <c r="AU86" s="71"/>
      <c r="AV86" s="71"/>
      <c r="AW86" s="71">
        <f t="shared" si="35"/>
        <v>110.91338973410525</v>
      </c>
      <c r="AX86" s="17">
        <v>2</v>
      </c>
      <c r="AY86" s="71"/>
      <c r="AZ86" s="71"/>
      <c r="BA86" s="71">
        <f t="shared" si="36"/>
        <v>100.92776194547928</v>
      </c>
      <c r="BB86" s="84">
        <v>1</v>
      </c>
      <c r="BC86" s="84">
        <v>0</v>
      </c>
      <c r="BD86" s="84">
        <v>1</v>
      </c>
      <c r="BE86" s="84">
        <v>0</v>
      </c>
      <c r="BF86" s="84">
        <v>0</v>
      </c>
      <c r="BG86" s="84">
        <v>0</v>
      </c>
      <c r="BH86" s="20">
        <v>0</v>
      </c>
      <c r="BI86" s="71"/>
      <c r="BJ86" s="71"/>
      <c r="BK86" s="71">
        <f t="shared" si="37"/>
        <v>92.176238572378367</v>
      </c>
      <c r="BL86" s="17">
        <v>3</v>
      </c>
      <c r="BM86" s="71"/>
      <c r="BN86" s="71"/>
      <c r="BO86" s="71">
        <f t="shared" si="38"/>
        <v>111.29665318323313</v>
      </c>
      <c r="BP86" s="17">
        <v>1</v>
      </c>
      <c r="BQ86" s="71"/>
      <c r="BR86" s="71"/>
      <c r="BS86" s="138">
        <f t="shared" si="39"/>
        <v>100.16171091563201</v>
      </c>
      <c r="BT86" s="17">
        <v>2</v>
      </c>
      <c r="BU86" s="71"/>
      <c r="BV86" s="71"/>
      <c r="BW86" s="71">
        <f t="shared" si="40"/>
        <v>102.51956289746849</v>
      </c>
      <c r="BX86" s="84">
        <v>0</v>
      </c>
      <c r="BY86" s="17">
        <v>3</v>
      </c>
      <c r="BZ86" s="71"/>
      <c r="CA86" s="71"/>
      <c r="CB86" s="71">
        <f t="shared" si="41"/>
        <v>110.05345743585116</v>
      </c>
      <c r="CC86" s="17">
        <v>0</v>
      </c>
      <c r="CD86" s="71"/>
      <c r="CE86" s="71"/>
      <c r="CF86" s="71">
        <f t="shared" si="42"/>
        <v>81.842287242964616</v>
      </c>
      <c r="CG86" s="17">
        <v>0</v>
      </c>
      <c r="CH86" s="71"/>
      <c r="CI86" s="71"/>
      <c r="CJ86" s="138">
        <f t="shared" si="43"/>
        <v>89.226340793489143</v>
      </c>
      <c r="CK86" s="17">
        <v>3</v>
      </c>
      <c r="CL86" s="71"/>
      <c r="CM86" s="71"/>
      <c r="CN86" s="71">
        <f t="shared" si="44"/>
        <v>109.82624001207998</v>
      </c>
      <c r="CO86" s="93">
        <v>1</v>
      </c>
      <c r="CP86" s="93">
        <v>1</v>
      </c>
      <c r="CQ86" s="93">
        <v>0</v>
      </c>
      <c r="CR86" s="93">
        <v>0</v>
      </c>
      <c r="CS86" s="102">
        <f t="shared" si="45"/>
        <v>104.05513166248817</v>
      </c>
      <c r="CT86" s="102">
        <f t="shared" si="46"/>
        <v>8.1015298407660037</v>
      </c>
      <c r="CU86" s="102">
        <f t="shared" si="47"/>
        <v>7.7858051893529068E-2</v>
      </c>
      <c r="CV86" s="108">
        <f t="shared" si="48"/>
        <v>103.42436233172883</v>
      </c>
      <c r="CZ86" s="109" t="str">
        <f t="shared" si="49"/>
        <v>Medio-Alto</v>
      </c>
    </row>
    <row r="87" spans="1:104" x14ac:dyDescent="0.15">
      <c r="A87" s="85">
        <v>3</v>
      </c>
      <c r="B87" s="85">
        <v>2</v>
      </c>
      <c r="C87" s="85">
        <v>3</v>
      </c>
      <c r="D87" s="85">
        <v>3</v>
      </c>
      <c r="E87" s="85">
        <v>1</v>
      </c>
      <c r="F87" s="18">
        <v>2</v>
      </c>
      <c r="I87" s="64">
        <f t="shared" si="25"/>
        <v>109.85726154139888</v>
      </c>
      <c r="J87" s="18">
        <v>2</v>
      </c>
      <c r="M87" s="64">
        <f t="shared" si="26"/>
        <v>110.02144013573877</v>
      </c>
      <c r="N87" s="18">
        <v>2</v>
      </c>
      <c r="Q87" s="64">
        <f t="shared" si="27"/>
        <v>113.93405225485253</v>
      </c>
      <c r="R87" s="18">
        <v>3</v>
      </c>
      <c r="U87" s="64">
        <f t="shared" si="28"/>
        <v>111.09942135879838</v>
      </c>
      <c r="V87" s="18">
        <v>0</v>
      </c>
      <c r="Y87" s="114">
        <f t="shared" si="29"/>
        <v>84.977607669437745</v>
      </c>
      <c r="Z87" s="18">
        <v>2</v>
      </c>
      <c r="AC87" s="64">
        <f t="shared" si="30"/>
        <v>101.50550517487696</v>
      </c>
      <c r="AD87" s="24">
        <v>3</v>
      </c>
      <c r="AE87" s="71"/>
      <c r="AF87" s="71"/>
      <c r="AG87" s="71">
        <f t="shared" si="31"/>
        <v>109.20703006144345</v>
      </c>
      <c r="AH87" s="18">
        <v>3</v>
      </c>
      <c r="AK87" s="64">
        <f t="shared" si="32"/>
        <v>110.43726382077395</v>
      </c>
      <c r="AL87" s="18">
        <v>3</v>
      </c>
      <c r="AM87" s="71"/>
      <c r="AN87" s="71"/>
      <c r="AO87" s="71">
        <f t="shared" si="33"/>
        <v>100.85056924463234</v>
      </c>
      <c r="AP87" s="18">
        <v>2</v>
      </c>
      <c r="AQ87" s="71"/>
      <c r="AR87" s="71"/>
      <c r="AS87" s="71">
        <f t="shared" si="34"/>
        <v>99.909880620416757</v>
      </c>
      <c r="AT87" s="18">
        <v>0</v>
      </c>
      <c r="AU87" s="71"/>
      <c r="AV87" s="71"/>
      <c r="AW87" s="71">
        <f t="shared" si="35"/>
        <v>89.214252251088965</v>
      </c>
      <c r="AX87" s="18">
        <v>0</v>
      </c>
      <c r="AY87" s="71"/>
      <c r="AZ87" s="71"/>
      <c r="BA87" s="71">
        <f t="shared" si="36"/>
        <v>79.173343913551548</v>
      </c>
      <c r="BB87" s="85">
        <v>1</v>
      </c>
      <c r="BC87" s="85">
        <v>0</v>
      </c>
      <c r="BD87" s="85">
        <v>1</v>
      </c>
      <c r="BE87" s="85">
        <v>0</v>
      </c>
      <c r="BF87" s="85">
        <v>0</v>
      </c>
      <c r="BG87" s="85">
        <v>0</v>
      </c>
      <c r="BH87" s="19">
        <v>2</v>
      </c>
      <c r="BI87" s="71"/>
      <c r="BJ87" s="71"/>
      <c r="BK87" s="71">
        <f t="shared" si="37"/>
        <v>114.81520780975161</v>
      </c>
      <c r="BL87" s="18">
        <v>0</v>
      </c>
      <c r="BM87" s="71"/>
      <c r="BN87" s="71"/>
      <c r="BO87" s="71">
        <f t="shared" si="38"/>
        <v>83.261163531413686</v>
      </c>
      <c r="BP87" s="18">
        <v>0</v>
      </c>
      <c r="BQ87" s="71"/>
      <c r="BR87" s="71"/>
      <c r="BS87" s="138">
        <f t="shared" si="39"/>
        <v>86.456710815818582</v>
      </c>
      <c r="BT87" s="18">
        <v>3</v>
      </c>
      <c r="BU87" s="71"/>
      <c r="BV87" s="71"/>
      <c r="BW87" s="71">
        <f t="shared" si="40"/>
        <v>112.03791162123835</v>
      </c>
      <c r="BX87" s="85">
        <v>0</v>
      </c>
      <c r="BY87" s="18">
        <v>3</v>
      </c>
      <c r="BZ87" s="71"/>
      <c r="CA87" s="71"/>
      <c r="CB87" s="71">
        <f t="shared" si="41"/>
        <v>110.05345743585116</v>
      </c>
      <c r="CC87" s="18">
        <v>1</v>
      </c>
      <c r="CD87" s="71"/>
      <c r="CE87" s="71"/>
      <c r="CF87" s="71">
        <f t="shared" si="42"/>
        <v>91.015574519921572</v>
      </c>
      <c r="CG87" s="18">
        <v>0</v>
      </c>
      <c r="CH87" s="71"/>
      <c r="CI87" s="71"/>
      <c r="CJ87" s="138">
        <f t="shared" si="43"/>
        <v>89.226340793489143</v>
      </c>
      <c r="CK87" s="18">
        <v>1</v>
      </c>
      <c r="CL87" s="71"/>
      <c r="CM87" s="71"/>
      <c r="CN87" s="71">
        <f t="shared" si="44"/>
        <v>90.625541137900711</v>
      </c>
      <c r="CO87" s="94">
        <v>0</v>
      </c>
      <c r="CP87" s="94">
        <v>0</v>
      </c>
      <c r="CQ87" s="94">
        <v>0</v>
      </c>
      <c r="CR87" s="94">
        <v>1</v>
      </c>
      <c r="CS87" s="102">
        <f t="shared" si="45"/>
        <v>102.17758096668528</v>
      </c>
      <c r="CT87" s="102">
        <f t="shared" si="46"/>
        <v>11.443849159280159</v>
      </c>
      <c r="CU87" s="102">
        <f t="shared" si="47"/>
        <v>0.11199960941540976</v>
      </c>
      <c r="CV87" s="108">
        <f t="shared" si="48"/>
        <v>100.89587433063704</v>
      </c>
      <c r="CZ87" s="109" t="str">
        <f t="shared" si="49"/>
        <v>Medio-Alto</v>
      </c>
    </row>
    <row r="88" spans="1:104" x14ac:dyDescent="0.15">
      <c r="A88" s="84">
        <v>3</v>
      </c>
      <c r="B88" s="84">
        <v>1</v>
      </c>
      <c r="C88" s="84">
        <v>3</v>
      </c>
      <c r="D88" s="84">
        <v>2</v>
      </c>
      <c r="E88" s="85">
        <v>1</v>
      </c>
      <c r="F88" s="17">
        <v>1</v>
      </c>
      <c r="I88" s="64">
        <f t="shared" si="25"/>
        <v>93.428492305734082</v>
      </c>
      <c r="J88" s="17">
        <v>1</v>
      </c>
      <c r="M88" s="64">
        <f t="shared" si="26"/>
        <v>95.705097084683388</v>
      </c>
      <c r="N88" s="17">
        <v>1</v>
      </c>
      <c r="Q88" s="64">
        <f t="shared" si="27"/>
        <v>98.246708656674187</v>
      </c>
      <c r="R88" s="17">
        <v>1</v>
      </c>
      <c r="U88" s="64">
        <f t="shared" si="28"/>
        <v>91.596562123700451</v>
      </c>
      <c r="V88" s="17">
        <v>2</v>
      </c>
      <c r="Y88" s="114">
        <f t="shared" si="29"/>
        <v>97.875621286587162</v>
      </c>
      <c r="Z88" s="17">
        <v>3</v>
      </c>
      <c r="AC88" s="64">
        <f t="shared" si="30"/>
        <v>109.50350141641081</v>
      </c>
      <c r="AD88" s="25">
        <v>0</v>
      </c>
      <c r="AE88" s="71"/>
      <c r="AF88" s="71"/>
      <c r="AG88" s="71">
        <f t="shared" si="31"/>
        <v>84.62281366701329</v>
      </c>
      <c r="AH88" s="17">
        <v>2</v>
      </c>
      <c r="AK88" s="64">
        <f t="shared" si="32"/>
        <v>99.518280131348902</v>
      </c>
      <c r="AL88" s="17">
        <v>3</v>
      </c>
      <c r="AM88" s="71"/>
      <c r="AN88" s="71"/>
      <c r="AO88" s="71">
        <f t="shared" si="33"/>
        <v>100.85056924463234</v>
      </c>
      <c r="AP88" s="17">
        <v>2</v>
      </c>
      <c r="AQ88" s="71"/>
      <c r="AR88" s="71"/>
      <c r="AS88" s="71">
        <f t="shared" si="34"/>
        <v>99.909880620416757</v>
      </c>
      <c r="AT88" s="17">
        <v>0</v>
      </c>
      <c r="AU88" s="71"/>
      <c r="AV88" s="71"/>
      <c r="AW88" s="71">
        <f t="shared" si="35"/>
        <v>89.214252251088965</v>
      </c>
      <c r="AX88" s="17">
        <v>1</v>
      </c>
      <c r="AY88" s="71"/>
      <c r="AZ88" s="71"/>
      <c r="BA88" s="71">
        <f t="shared" si="36"/>
        <v>90.050552929515405</v>
      </c>
      <c r="BB88" s="84">
        <v>1</v>
      </c>
      <c r="BC88" s="84">
        <v>0</v>
      </c>
      <c r="BD88" s="84">
        <v>1</v>
      </c>
      <c r="BE88" s="84">
        <v>0</v>
      </c>
      <c r="BF88" s="84">
        <v>0</v>
      </c>
      <c r="BG88" s="84">
        <v>0</v>
      </c>
      <c r="BH88" s="20">
        <v>0</v>
      </c>
      <c r="BI88" s="71"/>
      <c r="BJ88" s="71"/>
      <c r="BK88" s="71">
        <f t="shared" si="37"/>
        <v>92.176238572378367</v>
      </c>
      <c r="BL88" s="17">
        <v>1</v>
      </c>
      <c r="BM88" s="71"/>
      <c r="BN88" s="71"/>
      <c r="BO88" s="71">
        <f t="shared" si="38"/>
        <v>92.606326748686826</v>
      </c>
      <c r="BP88" s="17">
        <v>1</v>
      </c>
      <c r="BQ88" s="71"/>
      <c r="BR88" s="71"/>
      <c r="BS88" s="138">
        <f t="shared" si="39"/>
        <v>100.16171091563201</v>
      </c>
      <c r="BT88" s="17">
        <v>1</v>
      </c>
      <c r="BU88" s="71"/>
      <c r="BV88" s="71"/>
      <c r="BW88" s="71">
        <f t="shared" si="40"/>
        <v>93.001214173698628</v>
      </c>
      <c r="BX88" s="84">
        <v>2</v>
      </c>
      <c r="BY88" s="17">
        <v>1</v>
      </c>
      <c r="BZ88" s="71"/>
      <c r="CA88" s="71"/>
      <c r="CB88" s="71">
        <f t="shared" si="41"/>
        <v>91.01069683312474</v>
      </c>
      <c r="CC88" s="17">
        <v>3</v>
      </c>
      <c r="CD88" s="71"/>
      <c r="CE88" s="71"/>
      <c r="CF88" s="71">
        <f t="shared" si="42"/>
        <v>109.36214907383548</v>
      </c>
      <c r="CG88" s="17">
        <v>1</v>
      </c>
      <c r="CH88" s="71"/>
      <c r="CI88" s="71"/>
      <c r="CJ88" s="138">
        <f t="shared" si="43"/>
        <v>103.93736139675698</v>
      </c>
      <c r="CK88" s="17">
        <v>1</v>
      </c>
      <c r="CL88" s="71"/>
      <c r="CM88" s="71"/>
      <c r="CN88" s="71">
        <f t="shared" si="44"/>
        <v>90.625541137900711</v>
      </c>
      <c r="CO88" s="93">
        <v>0</v>
      </c>
      <c r="CP88" s="93">
        <v>1</v>
      </c>
      <c r="CQ88" s="93">
        <v>1</v>
      </c>
      <c r="CR88" s="93">
        <v>0</v>
      </c>
      <c r="CS88" s="102">
        <f t="shared" si="45"/>
        <v>95.378169233579015</v>
      </c>
      <c r="CT88" s="102">
        <f t="shared" si="46"/>
        <v>6.7843602261084319</v>
      </c>
      <c r="CU88" s="102">
        <f t="shared" si="47"/>
        <v>7.1131164297080232E-2</v>
      </c>
      <c r="CV88" s="108">
        <f t="shared" si="48"/>
        <v>94.895589791685126</v>
      </c>
      <c r="CZ88" s="109" t="str">
        <f t="shared" si="49"/>
        <v>Basso</v>
      </c>
    </row>
    <row r="89" spans="1:104" x14ac:dyDescent="0.15">
      <c r="A89" s="85">
        <v>2</v>
      </c>
      <c r="B89" s="85">
        <v>1</v>
      </c>
      <c r="C89" s="85">
        <v>3</v>
      </c>
      <c r="D89" s="85">
        <v>1</v>
      </c>
      <c r="E89" s="85">
        <v>1</v>
      </c>
      <c r="F89" s="18">
        <v>1</v>
      </c>
      <c r="I89" s="64">
        <f t="shared" si="25"/>
        <v>93.428492305734082</v>
      </c>
      <c r="J89" s="18">
        <v>1</v>
      </c>
      <c r="M89" s="64">
        <f t="shared" si="26"/>
        <v>95.705097084683388</v>
      </c>
      <c r="N89" s="18">
        <v>0</v>
      </c>
      <c r="Q89" s="64">
        <f t="shared" si="27"/>
        <v>82.559365058495843</v>
      </c>
      <c r="R89" s="18">
        <v>0</v>
      </c>
      <c r="U89" s="64">
        <f t="shared" si="28"/>
        <v>81.845132506151486</v>
      </c>
      <c r="V89" s="18">
        <v>1</v>
      </c>
      <c r="Y89" s="114">
        <f t="shared" si="29"/>
        <v>91.426614478012453</v>
      </c>
      <c r="Z89" s="18">
        <v>0</v>
      </c>
      <c r="AC89" s="64">
        <f t="shared" si="30"/>
        <v>85.509512691809249</v>
      </c>
      <c r="AD89" s="24">
        <v>0</v>
      </c>
      <c r="AE89" s="71"/>
      <c r="AF89" s="71"/>
      <c r="AG89" s="71">
        <f t="shared" si="31"/>
        <v>84.62281366701329</v>
      </c>
      <c r="AH89" s="18">
        <v>1</v>
      </c>
      <c r="AK89" s="64">
        <f t="shared" si="32"/>
        <v>88.599296441923855</v>
      </c>
      <c r="AL89" s="18">
        <v>3</v>
      </c>
      <c r="AM89" s="71"/>
      <c r="AN89" s="71"/>
      <c r="AO89" s="71">
        <f t="shared" si="33"/>
        <v>100.85056924463234</v>
      </c>
      <c r="AP89" s="18">
        <v>0</v>
      </c>
      <c r="AQ89" s="71"/>
      <c r="AR89" s="71"/>
      <c r="AS89" s="71">
        <f t="shared" si="34"/>
        <v>79.482821248216453</v>
      </c>
      <c r="AT89" s="18">
        <v>0</v>
      </c>
      <c r="AU89" s="71"/>
      <c r="AV89" s="71"/>
      <c r="AW89" s="71">
        <f t="shared" si="35"/>
        <v>89.214252251088965</v>
      </c>
      <c r="AX89" s="18">
        <v>1</v>
      </c>
      <c r="AY89" s="71"/>
      <c r="AZ89" s="71"/>
      <c r="BA89" s="71">
        <f t="shared" si="36"/>
        <v>90.050552929515405</v>
      </c>
      <c r="BB89" s="85">
        <v>0</v>
      </c>
      <c r="BC89" s="85">
        <v>0</v>
      </c>
      <c r="BD89" s="85">
        <v>1</v>
      </c>
      <c r="BE89" s="85">
        <v>0</v>
      </c>
      <c r="BF89" s="85">
        <v>0</v>
      </c>
      <c r="BG89" s="85">
        <v>0</v>
      </c>
      <c r="BH89" s="19">
        <v>0</v>
      </c>
      <c r="BI89" s="71"/>
      <c r="BJ89" s="71"/>
      <c r="BK89" s="71">
        <f t="shared" si="37"/>
        <v>92.176238572378367</v>
      </c>
      <c r="BL89" s="18">
        <v>0</v>
      </c>
      <c r="BM89" s="71"/>
      <c r="BN89" s="71"/>
      <c r="BO89" s="71">
        <f t="shared" si="38"/>
        <v>83.261163531413686</v>
      </c>
      <c r="BP89" s="18">
        <v>0</v>
      </c>
      <c r="BQ89" s="71"/>
      <c r="BR89" s="71"/>
      <c r="BS89" s="138">
        <f t="shared" si="39"/>
        <v>86.456710815818582</v>
      </c>
      <c r="BT89" s="18">
        <v>0</v>
      </c>
      <c r="BU89" s="71"/>
      <c r="BV89" s="71"/>
      <c r="BW89" s="71">
        <f t="shared" si="40"/>
        <v>83.482865449928767</v>
      </c>
      <c r="BX89" s="85">
        <v>2</v>
      </c>
      <c r="BY89" s="18">
        <v>1</v>
      </c>
      <c r="BZ89" s="71"/>
      <c r="CA89" s="71"/>
      <c r="CB89" s="71">
        <f t="shared" si="41"/>
        <v>91.01069683312474</v>
      </c>
      <c r="CC89" s="18">
        <v>0</v>
      </c>
      <c r="CD89" s="71"/>
      <c r="CE89" s="71"/>
      <c r="CF89" s="71">
        <f t="shared" si="42"/>
        <v>81.842287242964616</v>
      </c>
      <c r="CG89" s="18">
        <v>0</v>
      </c>
      <c r="CH89" s="71"/>
      <c r="CI89" s="71"/>
      <c r="CJ89" s="138">
        <f t="shared" si="43"/>
        <v>89.226340793489143</v>
      </c>
      <c r="CK89" s="18">
        <v>3</v>
      </c>
      <c r="CL89" s="71"/>
      <c r="CM89" s="71"/>
      <c r="CN89" s="71">
        <f t="shared" si="44"/>
        <v>109.82624001207998</v>
      </c>
      <c r="CO89" s="94">
        <v>0</v>
      </c>
      <c r="CP89" s="94">
        <v>0</v>
      </c>
      <c r="CQ89" s="94">
        <v>0</v>
      </c>
      <c r="CR89" s="94">
        <v>1</v>
      </c>
      <c r="CS89" s="102">
        <f t="shared" si="45"/>
        <v>89.027493945362039</v>
      </c>
      <c r="CT89" s="102">
        <f t="shared" si="46"/>
        <v>7.8396689066274776</v>
      </c>
      <c r="CU89" s="102">
        <f t="shared" si="47"/>
        <v>8.8058964250289237E-2</v>
      </c>
      <c r="CV89" s="108">
        <f t="shared" si="48"/>
        <v>88.337140821379222</v>
      </c>
      <c r="CZ89" s="109" t="str">
        <f t="shared" si="49"/>
        <v>Basso</v>
      </c>
    </row>
    <row r="90" spans="1:104" x14ac:dyDescent="0.15">
      <c r="A90" s="84">
        <v>4</v>
      </c>
      <c r="B90" s="84">
        <v>1</v>
      </c>
      <c r="C90" s="84">
        <v>1</v>
      </c>
      <c r="D90" s="84">
        <v>2</v>
      </c>
      <c r="E90" s="85">
        <v>1</v>
      </c>
      <c r="F90" s="17">
        <v>2</v>
      </c>
      <c r="I90" s="64">
        <f t="shared" si="25"/>
        <v>109.85726154139888</v>
      </c>
      <c r="J90" s="17">
        <v>0</v>
      </c>
      <c r="M90" s="64">
        <f t="shared" si="26"/>
        <v>81.388754033628004</v>
      </c>
      <c r="N90" s="17">
        <v>2</v>
      </c>
      <c r="Q90" s="64">
        <f t="shared" si="27"/>
        <v>113.93405225485253</v>
      </c>
      <c r="R90" s="17">
        <v>2</v>
      </c>
      <c r="U90" s="64">
        <f t="shared" si="28"/>
        <v>101.34799174124942</v>
      </c>
      <c r="V90" s="17">
        <v>1</v>
      </c>
      <c r="Y90" s="114">
        <f t="shared" si="29"/>
        <v>91.426614478012453</v>
      </c>
      <c r="Z90" s="17">
        <v>3</v>
      </c>
      <c r="AC90" s="64">
        <f t="shared" si="30"/>
        <v>109.50350141641081</v>
      </c>
      <c r="AD90" s="25">
        <v>2</v>
      </c>
      <c r="AE90" s="71"/>
      <c r="AF90" s="71"/>
      <c r="AG90" s="71">
        <f t="shared" si="31"/>
        <v>101.01229126330007</v>
      </c>
      <c r="AH90" s="17">
        <v>2</v>
      </c>
      <c r="AK90" s="64">
        <f t="shared" si="32"/>
        <v>99.518280131348902</v>
      </c>
      <c r="AL90" s="17">
        <v>3</v>
      </c>
      <c r="AM90" s="71"/>
      <c r="AN90" s="71"/>
      <c r="AO90" s="71">
        <f t="shared" si="33"/>
        <v>100.85056924463234</v>
      </c>
      <c r="AP90" s="17">
        <v>2</v>
      </c>
      <c r="AQ90" s="71"/>
      <c r="AR90" s="71"/>
      <c r="AS90" s="71">
        <f t="shared" si="34"/>
        <v>99.909880620416757</v>
      </c>
      <c r="AT90" s="17">
        <v>2</v>
      </c>
      <c r="AU90" s="71"/>
      <c r="AV90" s="71"/>
      <c r="AW90" s="71">
        <f t="shared" si="35"/>
        <v>110.91338973410525</v>
      </c>
      <c r="AX90" s="17">
        <v>3</v>
      </c>
      <c r="AY90" s="71"/>
      <c r="AZ90" s="71"/>
      <c r="BA90" s="71">
        <f t="shared" si="36"/>
        <v>111.80497096144313</v>
      </c>
      <c r="BB90" s="84">
        <v>0</v>
      </c>
      <c r="BC90" s="84">
        <v>0</v>
      </c>
      <c r="BD90" s="84">
        <v>1</v>
      </c>
      <c r="BE90" s="84">
        <v>1</v>
      </c>
      <c r="BF90" s="84">
        <v>0</v>
      </c>
      <c r="BG90" s="84">
        <v>0</v>
      </c>
      <c r="BH90" s="20">
        <v>0</v>
      </c>
      <c r="BI90" s="71"/>
      <c r="BJ90" s="71"/>
      <c r="BK90" s="71">
        <f t="shared" si="37"/>
        <v>92.176238572378367</v>
      </c>
      <c r="BL90" s="17">
        <v>2</v>
      </c>
      <c r="BM90" s="71"/>
      <c r="BN90" s="71"/>
      <c r="BO90" s="71">
        <f t="shared" si="38"/>
        <v>101.95148996595998</v>
      </c>
      <c r="BP90" s="17">
        <v>1</v>
      </c>
      <c r="BQ90" s="71"/>
      <c r="BR90" s="71"/>
      <c r="BS90" s="138">
        <f t="shared" si="39"/>
        <v>100.16171091563201</v>
      </c>
      <c r="BT90" s="17">
        <v>0</v>
      </c>
      <c r="BU90" s="71"/>
      <c r="BV90" s="71"/>
      <c r="BW90" s="71">
        <f t="shared" si="40"/>
        <v>83.482865449928767</v>
      </c>
      <c r="BX90" s="84">
        <v>0</v>
      </c>
      <c r="BY90" s="17">
        <v>2</v>
      </c>
      <c r="BZ90" s="71"/>
      <c r="CA90" s="71"/>
      <c r="CB90" s="71">
        <f t="shared" si="41"/>
        <v>100.53207713448795</v>
      </c>
      <c r="CC90" s="17">
        <v>2</v>
      </c>
      <c r="CD90" s="71"/>
      <c r="CE90" s="71"/>
      <c r="CF90" s="71">
        <f t="shared" si="42"/>
        <v>100.18886179687853</v>
      </c>
      <c r="CG90" s="17">
        <v>0</v>
      </c>
      <c r="CH90" s="71"/>
      <c r="CI90" s="71"/>
      <c r="CJ90" s="138">
        <f t="shared" si="43"/>
        <v>89.226340793489143</v>
      </c>
      <c r="CK90" s="17">
        <v>0</v>
      </c>
      <c r="CL90" s="71"/>
      <c r="CM90" s="71"/>
      <c r="CN90" s="71">
        <f t="shared" si="44"/>
        <v>81.025191700811078</v>
      </c>
      <c r="CO90" s="93">
        <v>1</v>
      </c>
      <c r="CP90" s="93">
        <v>1</v>
      </c>
      <c r="CQ90" s="93">
        <v>0</v>
      </c>
      <c r="CR90" s="93">
        <v>0</v>
      </c>
      <c r="CS90" s="102">
        <f t="shared" si="45"/>
        <v>99.964568680190055</v>
      </c>
      <c r="CT90" s="102">
        <f t="shared" si="46"/>
        <v>10.272716838337061</v>
      </c>
      <c r="CU90" s="102">
        <f t="shared" si="47"/>
        <v>0.10276357887565019</v>
      </c>
      <c r="CV90" s="108">
        <f t="shared" si="48"/>
        <v>98.908907533106387</v>
      </c>
      <c r="CZ90" s="109" t="str">
        <f t="shared" si="49"/>
        <v>Medio-Basso</v>
      </c>
    </row>
    <row r="91" spans="1:104" x14ac:dyDescent="0.15">
      <c r="A91" s="85">
        <v>3</v>
      </c>
      <c r="B91" s="85">
        <v>1</v>
      </c>
      <c r="C91" s="85">
        <v>1</v>
      </c>
      <c r="D91" s="85">
        <v>2</v>
      </c>
      <c r="E91" s="85">
        <v>1</v>
      </c>
      <c r="F91" s="18">
        <v>1</v>
      </c>
      <c r="I91" s="64">
        <f t="shared" si="25"/>
        <v>93.428492305734082</v>
      </c>
      <c r="J91" s="18">
        <v>1</v>
      </c>
      <c r="M91" s="64">
        <f t="shared" si="26"/>
        <v>95.705097084683388</v>
      </c>
      <c r="N91" s="18">
        <v>1</v>
      </c>
      <c r="Q91" s="64">
        <f t="shared" si="27"/>
        <v>98.246708656674187</v>
      </c>
      <c r="R91" s="18">
        <v>0</v>
      </c>
      <c r="U91" s="64">
        <f t="shared" si="28"/>
        <v>81.845132506151486</v>
      </c>
      <c r="V91" s="18">
        <v>2</v>
      </c>
      <c r="Y91" s="114">
        <f t="shared" si="29"/>
        <v>97.875621286587162</v>
      </c>
      <c r="Z91" s="18">
        <v>0</v>
      </c>
      <c r="AC91" s="64">
        <f t="shared" si="30"/>
        <v>85.509512691809249</v>
      </c>
      <c r="AD91" s="24">
        <v>3</v>
      </c>
      <c r="AE91" s="71"/>
      <c r="AF91" s="71"/>
      <c r="AG91" s="71">
        <f t="shared" si="31"/>
        <v>109.20703006144345</v>
      </c>
      <c r="AH91" s="18">
        <v>2</v>
      </c>
      <c r="AK91" s="64">
        <f t="shared" si="32"/>
        <v>99.518280131348902</v>
      </c>
      <c r="AL91" s="18">
        <v>3</v>
      </c>
      <c r="AM91" s="71"/>
      <c r="AN91" s="71"/>
      <c r="AO91" s="71">
        <f t="shared" si="33"/>
        <v>100.85056924463234</v>
      </c>
      <c r="AP91" s="18">
        <v>2</v>
      </c>
      <c r="AQ91" s="71"/>
      <c r="AR91" s="71"/>
      <c r="AS91" s="71">
        <f t="shared" si="34"/>
        <v>99.909880620416757</v>
      </c>
      <c r="AT91" s="18">
        <v>0</v>
      </c>
      <c r="AU91" s="71"/>
      <c r="AV91" s="71"/>
      <c r="AW91" s="71">
        <f t="shared" si="35"/>
        <v>89.214252251088965</v>
      </c>
      <c r="AX91" s="18">
        <v>2</v>
      </c>
      <c r="AY91" s="71"/>
      <c r="AZ91" s="71"/>
      <c r="BA91" s="71">
        <f t="shared" si="36"/>
        <v>100.92776194547928</v>
      </c>
      <c r="BB91" s="85">
        <v>1</v>
      </c>
      <c r="BC91" s="85">
        <v>0</v>
      </c>
      <c r="BD91" s="85">
        <v>0</v>
      </c>
      <c r="BE91" s="85">
        <v>1</v>
      </c>
      <c r="BF91" s="85">
        <v>0</v>
      </c>
      <c r="BG91" s="85">
        <v>0</v>
      </c>
      <c r="BH91" s="19">
        <v>0</v>
      </c>
      <c r="BI91" s="71"/>
      <c r="BJ91" s="71"/>
      <c r="BK91" s="71">
        <f t="shared" si="37"/>
        <v>92.176238572378367</v>
      </c>
      <c r="BL91" s="18">
        <v>2</v>
      </c>
      <c r="BM91" s="71"/>
      <c r="BN91" s="71"/>
      <c r="BO91" s="71">
        <f t="shared" si="38"/>
        <v>101.95148996595998</v>
      </c>
      <c r="BP91" s="18">
        <v>1</v>
      </c>
      <c r="BQ91" s="71"/>
      <c r="BR91" s="71"/>
      <c r="BS91" s="138">
        <f t="shared" si="39"/>
        <v>100.16171091563201</v>
      </c>
      <c r="BT91" s="18">
        <v>0</v>
      </c>
      <c r="BU91" s="71"/>
      <c r="BV91" s="71"/>
      <c r="BW91" s="71">
        <f t="shared" si="40"/>
        <v>83.482865449928767</v>
      </c>
      <c r="BX91" s="85">
        <v>2</v>
      </c>
      <c r="BY91" s="18">
        <v>0</v>
      </c>
      <c r="BZ91" s="71"/>
      <c r="CA91" s="71"/>
      <c r="CB91" s="71">
        <f t="shared" si="41"/>
        <v>81.489316531761531</v>
      </c>
      <c r="CC91" s="18">
        <v>0</v>
      </c>
      <c r="CD91" s="71"/>
      <c r="CE91" s="71"/>
      <c r="CF91" s="71">
        <f t="shared" si="42"/>
        <v>81.842287242964616</v>
      </c>
      <c r="CG91" s="18">
        <v>0</v>
      </c>
      <c r="CH91" s="71"/>
      <c r="CI91" s="71"/>
      <c r="CJ91" s="138">
        <f t="shared" si="43"/>
        <v>89.226340793489143</v>
      </c>
      <c r="CK91" s="18">
        <v>2</v>
      </c>
      <c r="CL91" s="71"/>
      <c r="CM91" s="71"/>
      <c r="CN91" s="71">
        <f t="shared" si="44"/>
        <v>100.22589057499034</v>
      </c>
      <c r="CO91" s="94">
        <v>0</v>
      </c>
      <c r="CP91" s="94">
        <v>0</v>
      </c>
      <c r="CQ91" s="94">
        <v>0</v>
      </c>
      <c r="CR91" s="94">
        <v>1</v>
      </c>
      <c r="CS91" s="102">
        <f t="shared" si="45"/>
        <v>93.854753284555628</v>
      </c>
      <c r="CT91" s="102">
        <f t="shared" si="46"/>
        <v>8.5712083197326514</v>
      </c>
      <c r="CU91" s="102">
        <f t="shared" si="47"/>
        <v>9.1324179327879562E-2</v>
      </c>
      <c r="CV91" s="108">
        <f t="shared" si="48"/>
        <v>93.071994718907746</v>
      </c>
      <c r="CZ91" s="109" t="str">
        <f t="shared" si="49"/>
        <v>Basso</v>
      </c>
    </row>
    <row r="92" spans="1:104" x14ac:dyDescent="0.15">
      <c r="A92" s="84">
        <v>4</v>
      </c>
      <c r="B92" s="84">
        <v>1</v>
      </c>
      <c r="C92" s="84">
        <v>3</v>
      </c>
      <c r="D92" s="84">
        <v>2</v>
      </c>
      <c r="E92" s="85">
        <v>1</v>
      </c>
      <c r="F92" s="17">
        <v>1</v>
      </c>
      <c r="I92" s="64">
        <f t="shared" si="25"/>
        <v>93.428492305734082</v>
      </c>
      <c r="J92" s="17">
        <v>2</v>
      </c>
      <c r="M92" s="64">
        <f t="shared" si="26"/>
        <v>110.02144013573877</v>
      </c>
      <c r="N92" s="17">
        <v>1</v>
      </c>
      <c r="Q92" s="64">
        <f t="shared" si="27"/>
        <v>98.246708656674187</v>
      </c>
      <c r="R92" s="17">
        <v>2</v>
      </c>
      <c r="U92" s="64">
        <f t="shared" si="28"/>
        <v>101.34799174124942</v>
      </c>
      <c r="V92" s="17">
        <v>0</v>
      </c>
      <c r="Y92" s="114">
        <f t="shared" si="29"/>
        <v>84.977607669437745</v>
      </c>
      <c r="Z92" s="17">
        <v>3</v>
      </c>
      <c r="AC92" s="64">
        <f t="shared" si="30"/>
        <v>109.50350141641081</v>
      </c>
      <c r="AD92" s="25">
        <v>2</v>
      </c>
      <c r="AE92" s="71"/>
      <c r="AF92" s="71"/>
      <c r="AG92" s="71">
        <f t="shared" si="31"/>
        <v>101.01229126330007</v>
      </c>
      <c r="AH92" s="17">
        <v>2</v>
      </c>
      <c r="AK92" s="64">
        <f t="shared" si="32"/>
        <v>99.518280131348902</v>
      </c>
      <c r="AL92" s="17">
        <v>3</v>
      </c>
      <c r="AM92" s="71"/>
      <c r="AN92" s="71"/>
      <c r="AO92" s="71">
        <f t="shared" si="33"/>
        <v>100.85056924463234</v>
      </c>
      <c r="AP92" s="17">
        <v>2</v>
      </c>
      <c r="AQ92" s="71"/>
      <c r="AR92" s="71"/>
      <c r="AS92" s="71">
        <f t="shared" si="34"/>
        <v>99.909880620416757</v>
      </c>
      <c r="AT92" s="17">
        <v>0</v>
      </c>
      <c r="AU92" s="71"/>
      <c r="AV92" s="71"/>
      <c r="AW92" s="71">
        <f t="shared" si="35"/>
        <v>89.214252251088965</v>
      </c>
      <c r="AX92" s="17">
        <v>1</v>
      </c>
      <c r="AY92" s="71"/>
      <c r="AZ92" s="71"/>
      <c r="BA92" s="71">
        <f t="shared" si="36"/>
        <v>90.050552929515405</v>
      </c>
      <c r="BB92" s="84">
        <v>1</v>
      </c>
      <c r="BC92" s="84">
        <v>0</v>
      </c>
      <c r="BD92" s="84">
        <v>1</v>
      </c>
      <c r="BE92" s="84">
        <v>0</v>
      </c>
      <c r="BF92" s="84">
        <v>0</v>
      </c>
      <c r="BG92" s="84">
        <v>0</v>
      </c>
      <c r="BH92" s="20">
        <v>0</v>
      </c>
      <c r="BI92" s="71"/>
      <c r="BJ92" s="71"/>
      <c r="BK92" s="71">
        <f t="shared" si="37"/>
        <v>92.176238572378367</v>
      </c>
      <c r="BL92" s="17">
        <v>2</v>
      </c>
      <c r="BM92" s="71"/>
      <c r="BN92" s="71"/>
      <c r="BO92" s="71">
        <f t="shared" si="38"/>
        <v>101.95148996595998</v>
      </c>
      <c r="BP92" s="17">
        <v>1</v>
      </c>
      <c r="BQ92" s="71"/>
      <c r="BR92" s="71"/>
      <c r="BS92" s="138">
        <f t="shared" si="39"/>
        <v>100.16171091563201</v>
      </c>
      <c r="BT92" s="17">
        <v>2</v>
      </c>
      <c r="BU92" s="71"/>
      <c r="BV92" s="71"/>
      <c r="BW92" s="71">
        <f t="shared" si="40"/>
        <v>102.51956289746849</v>
      </c>
      <c r="BX92" s="84">
        <v>0</v>
      </c>
      <c r="BY92" s="17">
        <v>2</v>
      </c>
      <c r="BZ92" s="71"/>
      <c r="CA92" s="71"/>
      <c r="CB92" s="71">
        <f t="shared" si="41"/>
        <v>100.53207713448795</v>
      </c>
      <c r="CC92" s="17">
        <v>2</v>
      </c>
      <c r="CD92" s="71"/>
      <c r="CE92" s="71"/>
      <c r="CF92" s="71">
        <f t="shared" si="42"/>
        <v>100.18886179687853</v>
      </c>
      <c r="CG92" s="17">
        <v>1</v>
      </c>
      <c r="CH92" s="71"/>
      <c r="CI92" s="71"/>
      <c r="CJ92" s="138">
        <f t="shared" si="43"/>
        <v>103.93736139675698</v>
      </c>
      <c r="CK92" s="17">
        <v>3</v>
      </c>
      <c r="CL92" s="71"/>
      <c r="CM92" s="71"/>
      <c r="CN92" s="71">
        <f t="shared" si="44"/>
        <v>109.82624001207998</v>
      </c>
      <c r="CO92" s="93">
        <v>1</v>
      </c>
      <c r="CP92" s="93">
        <v>1</v>
      </c>
      <c r="CQ92" s="93">
        <v>0</v>
      </c>
      <c r="CR92" s="93">
        <v>0</v>
      </c>
      <c r="CS92" s="102">
        <f t="shared" si="45"/>
        <v>100.017554769139</v>
      </c>
      <c r="CT92" s="102">
        <f t="shared" si="46"/>
        <v>6.2468498951371538</v>
      </c>
      <c r="CU92" s="102">
        <f t="shared" si="47"/>
        <v>6.2457534675349369E-2</v>
      </c>
      <c r="CV92" s="108">
        <f t="shared" si="48"/>
        <v>99.627391925201763</v>
      </c>
      <c r="CZ92" s="109" t="str">
        <f t="shared" si="49"/>
        <v>Medio-Alto</v>
      </c>
    </row>
    <row r="93" spans="1:104" x14ac:dyDescent="0.15">
      <c r="A93" s="85">
        <v>2</v>
      </c>
      <c r="B93" s="85">
        <v>2</v>
      </c>
      <c r="C93" s="85">
        <v>1</v>
      </c>
      <c r="D93" s="85">
        <v>1</v>
      </c>
      <c r="E93" s="85">
        <v>1</v>
      </c>
      <c r="F93" s="18">
        <v>2</v>
      </c>
      <c r="I93" s="64">
        <f t="shared" si="25"/>
        <v>109.85726154139888</v>
      </c>
      <c r="J93" s="18">
        <v>0</v>
      </c>
      <c r="M93" s="64">
        <f t="shared" si="26"/>
        <v>81.388754033628004</v>
      </c>
      <c r="N93" s="18">
        <v>0</v>
      </c>
      <c r="Q93" s="64">
        <f t="shared" si="27"/>
        <v>82.559365058495843</v>
      </c>
      <c r="R93" s="18">
        <v>0</v>
      </c>
      <c r="U93" s="64">
        <f t="shared" si="28"/>
        <v>81.845132506151486</v>
      </c>
      <c r="V93" s="18">
        <v>2</v>
      </c>
      <c r="Y93" s="114">
        <f t="shared" si="29"/>
        <v>97.875621286587162</v>
      </c>
      <c r="Z93" s="18">
        <v>0</v>
      </c>
      <c r="AC93" s="64">
        <f t="shared" si="30"/>
        <v>85.509512691809249</v>
      </c>
      <c r="AD93" s="24">
        <v>0</v>
      </c>
      <c r="AE93" s="71"/>
      <c r="AF93" s="71"/>
      <c r="AG93" s="71">
        <f t="shared" si="31"/>
        <v>84.62281366701329</v>
      </c>
      <c r="AH93" s="18">
        <v>0</v>
      </c>
      <c r="AK93" s="64">
        <f t="shared" si="32"/>
        <v>77.680312752498807</v>
      </c>
      <c r="AL93" s="18">
        <v>1</v>
      </c>
      <c r="AM93" s="71"/>
      <c r="AN93" s="71"/>
      <c r="AO93" s="71">
        <f t="shared" si="33"/>
        <v>78.60491207732494</v>
      </c>
      <c r="AP93" s="18">
        <v>0</v>
      </c>
      <c r="AQ93" s="71"/>
      <c r="AR93" s="71"/>
      <c r="AS93" s="71">
        <f t="shared" si="34"/>
        <v>79.482821248216453</v>
      </c>
      <c r="AT93" s="18">
        <v>0</v>
      </c>
      <c r="AU93" s="71"/>
      <c r="AV93" s="71"/>
      <c r="AW93" s="71">
        <f t="shared" si="35"/>
        <v>89.214252251088965</v>
      </c>
      <c r="AX93" s="18">
        <v>0</v>
      </c>
      <c r="AY93" s="71"/>
      <c r="AZ93" s="71"/>
      <c r="BA93" s="71">
        <f t="shared" si="36"/>
        <v>79.173343913551548</v>
      </c>
      <c r="BB93" s="85">
        <v>0</v>
      </c>
      <c r="BC93" s="85">
        <v>0</v>
      </c>
      <c r="BD93" s="85">
        <v>1</v>
      </c>
      <c r="BE93" s="85">
        <v>1</v>
      </c>
      <c r="BF93" s="85">
        <v>0</v>
      </c>
      <c r="BG93" s="85">
        <v>0</v>
      </c>
      <c r="BH93" s="19">
        <v>1</v>
      </c>
      <c r="BI93" s="71"/>
      <c r="BJ93" s="71"/>
      <c r="BK93" s="71">
        <f t="shared" si="37"/>
        <v>103.49572319106498</v>
      </c>
      <c r="BL93" s="18">
        <v>0</v>
      </c>
      <c r="BM93" s="71"/>
      <c r="BN93" s="71"/>
      <c r="BO93" s="71">
        <f t="shared" si="38"/>
        <v>83.261163531413686</v>
      </c>
      <c r="BP93" s="18">
        <v>0</v>
      </c>
      <c r="BQ93" s="71"/>
      <c r="BR93" s="71"/>
      <c r="BS93" s="138">
        <f t="shared" si="39"/>
        <v>86.456710815818582</v>
      </c>
      <c r="BT93" s="18">
        <v>0</v>
      </c>
      <c r="BU93" s="71"/>
      <c r="BV93" s="71"/>
      <c r="BW93" s="71">
        <f t="shared" si="40"/>
        <v>83.482865449928767</v>
      </c>
      <c r="BX93" s="85">
        <v>2</v>
      </c>
      <c r="BY93" s="18">
        <v>1</v>
      </c>
      <c r="BZ93" s="71"/>
      <c r="CA93" s="71"/>
      <c r="CB93" s="71">
        <f t="shared" si="41"/>
        <v>91.01069683312474</v>
      </c>
      <c r="CC93" s="18">
        <v>0</v>
      </c>
      <c r="CD93" s="71"/>
      <c r="CE93" s="71"/>
      <c r="CF93" s="71">
        <f t="shared" si="42"/>
        <v>81.842287242964616</v>
      </c>
      <c r="CG93" s="18">
        <v>0</v>
      </c>
      <c r="CH93" s="71"/>
      <c r="CI93" s="71"/>
      <c r="CJ93" s="138">
        <f t="shared" si="43"/>
        <v>89.226340793489143</v>
      </c>
      <c r="CK93" s="18">
        <v>2</v>
      </c>
      <c r="CL93" s="71"/>
      <c r="CM93" s="71"/>
      <c r="CN93" s="71">
        <f t="shared" si="44"/>
        <v>100.22589057499034</v>
      </c>
      <c r="CO93" s="94">
        <v>0</v>
      </c>
      <c r="CP93" s="94">
        <v>0</v>
      </c>
      <c r="CQ93" s="94">
        <v>0</v>
      </c>
      <c r="CR93" s="94">
        <v>1</v>
      </c>
      <c r="CS93" s="102">
        <f t="shared" si="45"/>
        <v>86.662182856744991</v>
      </c>
      <c r="CT93" s="102">
        <f t="shared" si="46"/>
        <v>9.3616114375211428</v>
      </c>
      <c r="CU93" s="102">
        <f t="shared" si="47"/>
        <v>0.10802418227793947</v>
      </c>
      <c r="CV93" s="108">
        <f t="shared" si="48"/>
        <v>85.650902436402959</v>
      </c>
      <c r="CZ93" s="109" t="str">
        <f t="shared" si="49"/>
        <v>Basso</v>
      </c>
    </row>
    <row r="94" spans="1:104" x14ac:dyDescent="0.15">
      <c r="A94" s="84">
        <v>3</v>
      </c>
      <c r="B94" s="84">
        <v>1</v>
      </c>
      <c r="C94" s="84">
        <v>1</v>
      </c>
      <c r="D94" s="84">
        <v>0</v>
      </c>
      <c r="E94" s="85">
        <v>1</v>
      </c>
      <c r="F94" s="17">
        <v>1</v>
      </c>
      <c r="I94" s="64">
        <f t="shared" si="25"/>
        <v>93.428492305734082</v>
      </c>
      <c r="J94" s="17">
        <v>2</v>
      </c>
      <c r="M94" s="64">
        <f t="shared" si="26"/>
        <v>110.02144013573877</v>
      </c>
      <c r="N94" s="17">
        <v>2</v>
      </c>
      <c r="Q94" s="64">
        <f t="shared" si="27"/>
        <v>113.93405225485253</v>
      </c>
      <c r="R94" s="17">
        <v>3</v>
      </c>
      <c r="U94" s="64">
        <f t="shared" si="28"/>
        <v>111.09942135879838</v>
      </c>
      <c r="V94" s="17">
        <v>1</v>
      </c>
      <c r="Y94" s="114">
        <f t="shared" si="29"/>
        <v>91.426614478012453</v>
      </c>
      <c r="Z94" s="17">
        <v>2</v>
      </c>
      <c r="AC94" s="64">
        <f t="shared" si="30"/>
        <v>101.50550517487696</v>
      </c>
      <c r="AD94" s="25">
        <v>1</v>
      </c>
      <c r="AE94" s="71"/>
      <c r="AF94" s="71"/>
      <c r="AG94" s="71">
        <f t="shared" si="31"/>
        <v>92.81755246515668</v>
      </c>
      <c r="AH94" s="17">
        <v>2</v>
      </c>
      <c r="AK94" s="64">
        <f t="shared" si="32"/>
        <v>99.518280131348902</v>
      </c>
      <c r="AL94" s="17">
        <v>3</v>
      </c>
      <c r="AM94" s="71"/>
      <c r="AN94" s="71"/>
      <c r="AO94" s="71">
        <f t="shared" si="33"/>
        <v>100.85056924463234</v>
      </c>
      <c r="AP94" s="17">
        <v>2</v>
      </c>
      <c r="AQ94" s="71"/>
      <c r="AR94" s="71"/>
      <c r="AS94" s="71">
        <f t="shared" si="34"/>
        <v>99.909880620416757</v>
      </c>
      <c r="AT94" s="17">
        <v>1</v>
      </c>
      <c r="AU94" s="71"/>
      <c r="AV94" s="71"/>
      <c r="AW94" s="71">
        <f t="shared" si="35"/>
        <v>100.0638209925971</v>
      </c>
      <c r="AX94" s="17">
        <v>3</v>
      </c>
      <c r="AY94" s="71"/>
      <c r="AZ94" s="71"/>
      <c r="BA94" s="71">
        <f t="shared" si="36"/>
        <v>111.80497096144313</v>
      </c>
      <c r="BB94" s="84">
        <v>1</v>
      </c>
      <c r="BC94" s="84">
        <v>1</v>
      </c>
      <c r="BD94" s="84">
        <v>0</v>
      </c>
      <c r="BE94" s="84">
        <v>0</v>
      </c>
      <c r="BF94" s="84">
        <v>0</v>
      </c>
      <c r="BG94" s="84">
        <v>0</v>
      </c>
      <c r="BH94" s="20">
        <v>0</v>
      </c>
      <c r="BI94" s="71"/>
      <c r="BJ94" s="71"/>
      <c r="BK94" s="71">
        <f t="shared" si="37"/>
        <v>92.176238572378367</v>
      </c>
      <c r="BL94" s="17">
        <v>3</v>
      </c>
      <c r="BM94" s="71"/>
      <c r="BN94" s="71"/>
      <c r="BO94" s="71">
        <f t="shared" si="38"/>
        <v>111.29665318323313</v>
      </c>
      <c r="BP94" s="17">
        <v>1</v>
      </c>
      <c r="BQ94" s="71"/>
      <c r="BR94" s="71"/>
      <c r="BS94" s="138">
        <f t="shared" si="39"/>
        <v>100.16171091563201</v>
      </c>
      <c r="BT94" s="17">
        <v>2</v>
      </c>
      <c r="BU94" s="71"/>
      <c r="BV94" s="71"/>
      <c r="BW94" s="71">
        <f t="shared" si="40"/>
        <v>102.51956289746849</v>
      </c>
      <c r="BX94" s="84">
        <v>0</v>
      </c>
      <c r="BY94" s="17">
        <v>3</v>
      </c>
      <c r="BZ94" s="71"/>
      <c r="CA94" s="71"/>
      <c r="CB94" s="71">
        <f t="shared" si="41"/>
        <v>110.05345743585116</v>
      </c>
      <c r="CC94" s="17">
        <v>3</v>
      </c>
      <c r="CD94" s="71"/>
      <c r="CE94" s="71"/>
      <c r="CF94" s="71">
        <f t="shared" si="42"/>
        <v>109.36214907383548</v>
      </c>
      <c r="CG94" s="17">
        <v>1</v>
      </c>
      <c r="CH94" s="71"/>
      <c r="CI94" s="71"/>
      <c r="CJ94" s="138">
        <f t="shared" si="43"/>
        <v>103.93736139675698</v>
      </c>
      <c r="CK94" s="17">
        <v>1</v>
      </c>
      <c r="CL94" s="71"/>
      <c r="CM94" s="71"/>
      <c r="CN94" s="71">
        <f t="shared" si="44"/>
        <v>90.625541137900711</v>
      </c>
      <c r="CO94" s="93">
        <v>0</v>
      </c>
      <c r="CP94" s="93">
        <v>1</v>
      </c>
      <c r="CQ94" s="93">
        <v>1</v>
      </c>
      <c r="CR94" s="93">
        <v>0</v>
      </c>
      <c r="CS94" s="102">
        <f t="shared" si="45"/>
        <v>102.99926987919196</v>
      </c>
      <c r="CT94" s="102">
        <f t="shared" si="46"/>
        <v>7.8022380369065125</v>
      </c>
      <c r="CU94" s="102">
        <f t="shared" si="47"/>
        <v>7.575042081422298E-2</v>
      </c>
      <c r="CV94" s="108">
        <f t="shared" si="48"/>
        <v>102.40824706460356</v>
      </c>
      <c r="CZ94" s="109" t="str">
        <f t="shared" si="49"/>
        <v>Medio-Alto</v>
      </c>
    </row>
    <row r="95" spans="1:104" x14ac:dyDescent="0.15">
      <c r="A95" s="85">
        <v>2</v>
      </c>
      <c r="B95" s="85">
        <v>1</v>
      </c>
      <c r="C95" s="85">
        <v>2</v>
      </c>
      <c r="D95" s="85">
        <v>0</v>
      </c>
      <c r="E95" s="85">
        <v>1</v>
      </c>
      <c r="F95" s="18">
        <v>1</v>
      </c>
      <c r="I95" s="64">
        <f t="shared" si="25"/>
        <v>93.428492305734082</v>
      </c>
      <c r="J95" s="18">
        <v>1</v>
      </c>
      <c r="M95" s="64">
        <f t="shared" si="26"/>
        <v>95.705097084683388</v>
      </c>
      <c r="N95" s="18">
        <v>1</v>
      </c>
      <c r="Q95" s="64">
        <f t="shared" si="27"/>
        <v>98.246708656674187</v>
      </c>
      <c r="R95" s="18">
        <v>2</v>
      </c>
      <c r="U95" s="64">
        <f t="shared" si="28"/>
        <v>101.34799174124942</v>
      </c>
      <c r="V95" s="18">
        <v>2</v>
      </c>
      <c r="Y95" s="114">
        <f t="shared" si="29"/>
        <v>97.875621286587162</v>
      </c>
      <c r="Z95" s="18">
        <v>3</v>
      </c>
      <c r="AC95" s="64">
        <f t="shared" si="30"/>
        <v>109.50350141641081</v>
      </c>
      <c r="AD95" s="24">
        <v>2</v>
      </c>
      <c r="AE95" s="71"/>
      <c r="AF95" s="71"/>
      <c r="AG95" s="71">
        <f t="shared" si="31"/>
        <v>101.01229126330007</v>
      </c>
      <c r="AH95" s="18">
        <v>3</v>
      </c>
      <c r="AK95" s="64">
        <f t="shared" si="32"/>
        <v>110.43726382077395</v>
      </c>
      <c r="AL95" s="18">
        <v>4</v>
      </c>
      <c r="AM95" s="71"/>
      <c r="AN95" s="71"/>
      <c r="AO95" s="71">
        <f t="shared" si="33"/>
        <v>111.97339782828605</v>
      </c>
      <c r="AP95" s="18">
        <v>2</v>
      </c>
      <c r="AQ95" s="71"/>
      <c r="AR95" s="71"/>
      <c r="AS95" s="71">
        <f t="shared" si="34"/>
        <v>99.909880620416757</v>
      </c>
      <c r="AT95" s="18">
        <v>1</v>
      </c>
      <c r="AU95" s="71"/>
      <c r="AV95" s="71"/>
      <c r="AW95" s="71">
        <f t="shared" si="35"/>
        <v>100.0638209925971</v>
      </c>
      <c r="AX95" s="18">
        <v>3</v>
      </c>
      <c r="AY95" s="71"/>
      <c r="AZ95" s="71"/>
      <c r="BA95" s="71">
        <f t="shared" si="36"/>
        <v>111.80497096144313</v>
      </c>
      <c r="BB95" s="85">
        <v>1</v>
      </c>
      <c r="BC95" s="85">
        <v>0</v>
      </c>
      <c r="BD95" s="85">
        <v>1</v>
      </c>
      <c r="BE95" s="85">
        <v>0</v>
      </c>
      <c r="BF95" s="85">
        <v>0</v>
      </c>
      <c r="BG95" s="85">
        <v>0</v>
      </c>
      <c r="BH95" s="19">
        <v>0</v>
      </c>
      <c r="BI95" s="71"/>
      <c r="BJ95" s="71"/>
      <c r="BK95" s="71">
        <f t="shared" si="37"/>
        <v>92.176238572378367</v>
      </c>
      <c r="BL95" s="18">
        <v>1</v>
      </c>
      <c r="BM95" s="71"/>
      <c r="BN95" s="71"/>
      <c r="BO95" s="71">
        <f t="shared" si="38"/>
        <v>92.606326748686826</v>
      </c>
      <c r="BP95" s="18">
        <v>1</v>
      </c>
      <c r="BQ95" s="71"/>
      <c r="BR95" s="71"/>
      <c r="BS95" s="138">
        <f t="shared" si="39"/>
        <v>100.16171091563201</v>
      </c>
      <c r="BT95" s="18">
        <v>1</v>
      </c>
      <c r="BU95" s="71"/>
      <c r="BV95" s="71"/>
      <c r="BW95" s="71">
        <f t="shared" si="40"/>
        <v>93.001214173698628</v>
      </c>
      <c r="BX95" s="85">
        <v>0</v>
      </c>
      <c r="BY95" s="18">
        <v>2</v>
      </c>
      <c r="BZ95" s="71"/>
      <c r="CA95" s="71"/>
      <c r="CB95" s="71">
        <f t="shared" si="41"/>
        <v>100.53207713448795</v>
      </c>
      <c r="CC95" s="18">
        <v>2</v>
      </c>
      <c r="CD95" s="71"/>
      <c r="CE95" s="71"/>
      <c r="CF95" s="71">
        <f t="shared" si="42"/>
        <v>100.18886179687853</v>
      </c>
      <c r="CG95" s="18">
        <v>1</v>
      </c>
      <c r="CH95" s="71"/>
      <c r="CI95" s="71"/>
      <c r="CJ95" s="138">
        <f t="shared" si="43"/>
        <v>103.93736139675698</v>
      </c>
      <c r="CK95" s="18">
        <v>1</v>
      </c>
      <c r="CL95" s="71"/>
      <c r="CM95" s="71"/>
      <c r="CN95" s="71">
        <f t="shared" si="44"/>
        <v>90.625541137900711</v>
      </c>
      <c r="CO95" s="94">
        <v>1</v>
      </c>
      <c r="CP95" s="94">
        <v>0</v>
      </c>
      <c r="CQ95" s="94">
        <v>1</v>
      </c>
      <c r="CR95" s="94">
        <v>0</v>
      </c>
      <c r="CS95" s="102">
        <f t="shared" si="45"/>
        <v>100.15080448562352</v>
      </c>
      <c r="CT95" s="102">
        <f t="shared" si="46"/>
        <v>7.0808052380663344</v>
      </c>
      <c r="CU95" s="102">
        <f t="shared" si="47"/>
        <v>7.0701431450635746E-2</v>
      </c>
      <c r="CV95" s="108">
        <f t="shared" si="48"/>
        <v>99.650181419469078</v>
      </c>
      <c r="CZ95" s="109" t="str">
        <f t="shared" si="49"/>
        <v>Medio-Alto</v>
      </c>
    </row>
    <row r="96" spans="1:104" x14ac:dyDescent="0.15">
      <c r="A96" s="84">
        <v>3</v>
      </c>
      <c r="B96" s="84">
        <v>1</v>
      </c>
      <c r="C96" s="84">
        <v>3</v>
      </c>
      <c r="D96" s="84">
        <v>0</v>
      </c>
      <c r="E96" s="85">
        <v>1</v>
      </c>
      <c r="F96" s="17">
        <v>1</v>
      </c>
      <c r="I96" s="64">
        <f t="shared" si="25"/>
        <v>93.428492305734082</v>
      </c>
      <c r="J96" s="17">
        <v>1</v>
      </c>
      <c r="M96" s="64">
        <f t="shared" si="26"/>
        <v>95.705097084683388</v>
      </c>
      <c r="N96" s="17">
        <v>1</v>
      </c>
      <c r="Q96" s="64">
        <f t="shared" si="27"/>
        <v>98.246708656674187</v>
      </c>
      <c r="R96" s="17">
        <v>2</v>
      </c>
      <c r="U96" s="64">
        <f t="shared" si="28"/>
        <v>101.34799174124942</v>
      </c>
      <c r="V96" s="17">
        <v>0</v>
      </c>
      <c r="Y96" s="114">
        <f t="shared" si="29"/>
        <v>84.977607669437745</v>
      </c>
      <c r="Z96" s="17">
        <v>2</v>
      </c>
      <c r="AC96" s="64">
        <f t="shared" si="30"/>
        <v>101.50550517487696</v>
      </c>
      <c r="AD96" s="25">
        <v>3</v>
      </c>
      <c r="AE96" s="71"/>
      <c r="AF96" s="71"/>
      <c r="AG96" s="71">
        <f t="shared" si="31"/>
        <v>109.20703006144345</v>
      </c>
      <c r="AH96" s="17">
        <v>2</v>
      </c>
      <c r="AK96" s="64">
        <f t="shared" si="32"/>
        <v>99.518280131348902</v>
      </c>
      <c r="AL96" s="17">
        <v>3</v>
      </c>
      <c r="AM96" s="71"/>
      <c r="AN96" s="71"/>
      <c r="AO96" s="71">
        <f t="shared" si="33"/>
        <v>100.85056924463234</v>
      </c>
      <c r="AP96" s="17">
        <v>3</v>
      </c>
      <c r="AQ96" s="71"/>
      <c r="AR96" s="71"/>
      <c r="AS96" s="71">
        <f t="shared" si="34"/>
        <v>110.12341030651692</v>
      </c>
      <c r="AT96" s="17">
        <v>0</v>
      </c>
      <c r="AU96" s="71"/>
      <c r="AV96" s="71"/>
      <c r="AW96" s="71">
        <f t="shared" si="35"/>
        <v>89.214252251088965</v>
      </c>
      <c r="AX96" s="17">
        <v>2</v>
      </c>
      <c r="AY96" s="71"/>
      <c r="AZ96" s="71"/>
      <c r="BA96" s="71">
        <f t="shared" si="36"/>
        <v>100.92776194547928</v>
      </c>
      <c r="BB96" s="84">
        <v>1</v>
      </c>
      <c r="BC96" s="84">
        <v>0</v>
      </c>
      <c r="BD96" s="84">
        <v>1</v>
      </c>
      <c r="BE96" s="84">
        <v>0</v>
      </c>
      <c r="BF96" s="84">
        <v>0</v>
      </c>
      <c r="BG96" s="84">
        <v>0</v>
      </c>
      <c r="BH96" s="20">
        <v>0</v>
      </c>
      <c r="BI96" s="71"/>
      <c r="BJ96" s="71"/>
      <c r="BK96" s="71">
        <f t="shared" si="37"/>
        <v>92.176238572378367</v>
      </c>
      <c r="BL96" s="17">
        <v>1</v>
      </c>
      <c r="BM96" s="71"/>
      <c r="BN96" s="71"/>
      <c r="BO96" s="71">
        <f t="shared" si="38"/>
        <v>92.606326748686826</v>
      </c>
      <c r="BP96" s="17">
        <v>3</v>
      </c>
      <c r="BQ96" s="71"/>
      <c r="BR96" s="71"/>
      <c r="BS96" s="138">
        <f t="shared" si="39"/>
        <v>127.57171111525888</v>
      </c>
      <c r="BT96" s="20">
        <v>1</v>
      </c>
      <c r="BU96" s="71"/>
      <c r="BV96" s="71"/>
      <c r="BW96" s="71">
        <f t="shared" si="40"/>
        <v>93.001214173698628</v>
      </c>
      <c r="BX96" s="84">
        <v>2</v>
      </c>
      <c r="BY96" s="17">
        <v>1</v>
      </c>
      <c r="BZ96" s="71"/>
      <c r="CA96" s="71"/>
      <c r="CB96" s="71">
        <f t="shared" si="41"/>
        <v>91.01069683312474</v>
      </c>
      <c r="CC96" s="17">
        <v>2</v>
      </c>
      <c r="CD96" s="71"/>
      <c r="CE96" s="71"/>
      <c r="CF96" s="71">
        <f t="shared" si="42"/>
        <v>100.18886179687853</v>
      </c>
      <c r="CG96" s="17">
        <v>0</v>
      </c>
      <c r="CH96" s="71"/>
      <c r="CI96" s="71"/>
      <c r="CJ96" s="138">
        <f t="shared" si="43"/>
        <v>89.226340793489143</v>
      </c>
      <c r="CK96" s="17">
        <v>2</v>
      </c>
      <c r="CL96" s="71"/>
      <c r="CM96" s="71"/>
      <c r="CN96" s="71">
        <f t="shared" si="44"/>
        <v>100.22589057499034</v>
      </c>
      <c r="CO96" s="93">
        <v>0</v>
      </c>
      <c r="CP96" s="93">
        <v>0</v>
      </c>
      <c r="CQ96" s="93">
        <v>1</v>
      </c>
      <c r="CR96" s="93">
        <v>0</v>
      </c>
      <c r="CS96" s="102">
        <f t="shared" si="45"/>
        <v>98.193195741381487</v>
      </c>
      <c r="CT96" s="102">
        <f t="shared" si="46"/>
        <v>5.9395271762943374</v>
      </c>
      <c r="CU96" s="102">
        <f t="shared" si="47"/>
        <v>6.0488174679004227E-2</v>
      </c>
      <c r="CV96" s="108">
        <f t="shared" si="48"/>
        <v>97.833924584031109</v>
      </c>
      <c r="CZ96" s="109" t="str">
        <f t="shared" si="49"/>
        <v>Medio-Basso</v>
      </c>
    </row>
    <row r="97" spans="1:104" x14ac:dyDescent="0.15">
      <c r="A97" s="85">
        <v>3</v>
      </c>
      <c r="B97" s="85">
        <v>1</v>
      </c>
      <c r="C97" s="85">
        <v>4</v>
      </c>
      <c r="D97" s="85">
        <v>1</v>
      </c>
      <c r="E97" s="85">
        <v>1</v>
      </c>
      <c r="F97" s="18">
        <v>2</v>
      </c>
      <c r="I97" s="64">
        <f t="shared" si="25"/>
        <v>109.85726154139888</v>
      </c>
      <c r="J97" s="18">
        <v>2</v>
      </c>
      <c r="M97" s="64">
        <f t="shared" si="26"/>
        <v>110.02144013573877</v>
      </c>
      <c r="N97" s="18">
        <v>1</v>
      </c>
      <c r="Q97" s="64">
        <f t="shared" si="27"/>
        <v>98.246708656674187</v>
      </c>
      <c r="R97" s="18">
        <v>3</v>
      </c>
      <c r="U97" s="64">
        <f t="shared" si="28"/>
        <v>111.09942135879838</v>
      </c>
      <c r="V97" s="18">
        <v>0</v>
      </c>
      <c r="Y97" s="114">
        <f t="shared" si="29"/>
        <v>84.977607669437745</v>
      </c>
      <c r="Z97" s="18">
        <v>2</v>
      </c>
      <c r="AC97" s="64">
        <f t="shared" si="30"/>
        <v>101.50550517487696</v>
      </c>
      <c r="AD97" s="24">
        <v>3</v>
      </c>
      <c r="AE97" s="71"/>
      <c r="AF97" s="71"/>
      <c r="AG97" s="71">
        <f t="shared" si="31"/>
        <v>109.20703006144345</v>
      </c>
      <c r="AH97" s="18">
        <v>3</v>
      </c>
      <c r="AK97" s="64">
        <f t="shared" si="32"/>
        <v>110.43726382077395</v>
      </c>
      <c r="AL97" s="18">
        <v>3</v>
      </c>
      <c r="AM97" s="71"/>
      <c r="AN97" s="71"/>
      <c r="AO97" s="71">
        <f t="shared" si="33"/>
        <v>100.85056924463234</v>
      </c>
      <c r="AP97" s="18">
        <v>3</v>
      </c>
      <c r="AQ97" s="71"/>
      <c r="AR97" s="71"/>
      <c r="AS97" s="71">
        <f t="shared" si="34"/>
        <v>110.12341030651692</v>
      </c>
      <c r="AT97" s="18">
        <v>2</v>
      </c>
      <c r="AU97" s="71"/>
      <c r="AV97" s="71"/>
      <c r="AW97" s="71">
        <f t="shared" si="35"/>
        <v>110.91338973410525</v>
      </c>
      <c r="AX97" s="18">
        <v>1</v>
      </c>
      <c r="AY97" s="71"/>
      <c r="AZ97" s="71"/>
      <c r="BA97" s="71">
        <f t="shared" si="36"/>
        <v>90.050552929515405</v>
      </c>
      <c r="BB97" s="85">
        <v>1</v>
      </c>
      <c r="BC97" s="85">
        <v>0</v>
      </c>
      <c r="BD97" s="85">
        <v>1</v>
      </c>
      <c r="BE97" s="85">
        <v>0</v>
      </c>
      <c r="BF97" s="85">
        <v>0</v>
      </c>
      <c r="BG97" s="85">
        <v>0</v>
      </c>
      <c r="BH97" s="19">
        <v>2</v>
      </c>
      <c r="BI97" s="71"/>
      <c r="BJ97" s="71"/>
      <c r="BK97" s="71">
        <f t="shared" si="37"/>
        <v>114.81520780975161</v>
      </c>
      <c r="BL97" s="18">
        <v>0</v>
      </c>
      <c r="BM97" s="71"/>
      <c r="BN97" s="71"/>
      <c r="BO97" s="71">
        <f t="shared" si="38"/>
        <v>83.261163531413686</v>
      </c>
      <c r="BP97" s="18">
        <v>2</v>
      </c>
      <c r="BQ97" s="71"/>
      <c r="BR97" s="71"/>
      <c r="BS97" s="138">
        <f t="shared" si="39"/>
        <v>113.86671101544545</v>
      </c>
      <c r="BT97" s="18">
        <v>2</v>
      </c>
      <c r="BU97" s="71"/>
      <c r="BV97" s="71"/>
      <c r="BW97" s="71">
        <f t="shared" si="40"/>
        <v>102.51956289746849</v>
      </c>
      <c r="BX97" s="85">
        <v>2</v>
      </c>
      <c r="BY97" s="18">
        <v>3</v>
      </c>
      <c r="BZ97" s="71"/>
      <c r="CA97" s="71"/>
      <c r="CB97" s="71">
        <f t="shared" si="41"/>
        <v>110.05345743585116</v>
      </c>
      <c r="CC97" s="18">
        <v>3</v>
      </c>
      <c r="CD97" s="71"/>
      <c r="CE97" s="71"/>
      <c r="CF97" s="71">
        <f t="shared" si="42"/>
        <v>109.36214907383548</v>
      </c>
      <c r="CG97" s="18">
        <v>1</v>
      </c>
      <c r="CH97" s="71"/>
      <c r="CI97" s="71"/>
      <c r="CJ97" s="138">
        <f t="shared" si="43"/>
        <v>103.93736139675698</v>
      </c>
      <c r="CK97" s="18">
        <v>3</v>
      </c>
      <c r="CL97" s="71"/>
      <c r="CM97" s="71"/>
      <c r="CN97" s="71">
        <f t="shared" si="44"/>
        <v>109.82624001207998</v>
      </c>
      <c r="CO97" s="94">
        <v>1</v>
      </c>
      <c r="CP97" s="94">
        <v>0</v>
      </c>
      <c r="CQ97" s="94">
        <v>1</v>
      </c>
      <c r="CR97" s="94">
        <v>0</v>
      </c>
      <c r="CS97" s="102">
        <f t="shared" si="45"/>
        <v>105.42060786616912</v>
      </c>
      <c r="CT97" s="102">
        <f t="shared" si="46"/>
        <v>8.4147645180851285</v>
      </c>
      <c r="CU97" s="102">
        <f t="shared" si="47"/>
        <v>7.9820868883317631E-2</v>
      </c>
      <c r="CV97" s="108">
        <f t="shared" si="48"/>
        <v>104.74893405088706</v>
      </c>
      <c r="CZ97" s="109" t="str">
        <f t="shared" si="49"/>
        <v>Alto</v>
      </c>
    </row>
    <row r="98" spans="1:104" x14ac:dyDescent="0.15">
      <c r="A98" s="84">
        <v>4</v>
      </c>
      <c r="B98" s="84">
        <v>1</v>
      </c>
      <c r="C98" s="84">
        <v>3</v>
      </c>
      <c r="D98" s="84">
        <v>2</v>
      </c>
      <c r="E98" s="85">
        <v>1</v>
      </c>
      <c r="F98" s="17">
        <v>1</v>
      </c>
      <c r="I98" s="64">
        <f t="shared" si="25"/>
        <v>93.428492305734082</v>
      </c>
      <c r="J98" s="17">
        <v>1</v>
      </c>
      <c r="M98" s="64">
        <f t="shared" si="26"/>
        <v>95.705097084683388</v>
      </c>
      <c r="N98" s="17">
        <v>1</v>
      </c>
      <c r="Q98" s="64">
        <f t="shared" si="27"/>
        <v>98.246708656674187</v>
      </c>
      <c r="R98" s="17">
        <v>2</v>
      </c>
      <c r="U98" s="64">
        <f t="shared" si="28"/>
        <v>101.34799174124942</v>
      </c>
      <c r="V98" s="17">
        <v>4</v>
      </c>
      <c r="Y98" s="114">
        <f t="shared" si="29"/>
        <v>110.77363490373656</v>
      </c>
      <c r="Z98" s="17">
        <v>3</v>
      </c>
      <c r="AC98" s="64">
        <f t="shared" si="30"/>
        <v>109.50350141641081</v>
      </c>
      <c r="AD98" s="25">
        <v>2</v>
      </c>
      <c r="AE98" s="71"/>
      <c r="AF98" s="71"/>
      <c r="AG98" s="71">
        <f t="shared" si="31"/>
        <v>101.01229126330007</v>
      </c>
      <c r="AH98" s="17">
        <v>2</v>
      </c>
      <c r="AK98" s="64">
        <f t="shared" si="32"/>
        <v>99.518280131348902</v>
      </c>
      <c r="AL98" s="17">
        <v>3</v>
      </c>
      <c r="AM98" s="71"/>
      <c r="AN98" s="71"/>
      <c r="AO98" s="71">
        <f t="shared" si="33"/>
        <v>100.85056924463234</v>
      </c>
      <c r="AP98" s="17">
        <v>2</v>
      </c>
      <c r="AQ98" s="71"/>
      <c r="AR98" s="71"/>
      <c r="AS98" s="71">
        <f t="shared" si="34"/>
        <v>99.909880620416757</v>
      </c>
      <c r="AT98" s="17">
        <v>2</v>
      </c>
      <c r="AU98" s="71"/>
      <c r="AV98" s="71"/>
      <c r="AW98" s="71">
        <f t="shared" si="35"/>
        <v>110.91338973410525</v>
      </c>
      <c r="AX98" s="17">
        <v>1</v>
      </c>
      <c r="AY98" s="71"/>
      <c r="AZ98" s="71"/>
      <c r="BA98" s="71">
        <f t="shared" si="36"/>
        <v>90.050552929515405</v>
      </c>
      <c r="BB98" s="84">
        <v>1</v>
      </c>
      <c r="BC98" s="84">
        <v>0</v>
      </c>
      <c r="BD98" s="84">
        <v>1</v>
      </c>
      <c r="BE98" s="84">
        <v>0</v>
      </c>
      <c r="BF98" s="84">
        <v>0</v>
      </c>
      <c r="BG98" s="84">
        <v>0</v>
      </c>
      <c r="BH98" s="20">
        <v>1</v>
      </c>
      <c r="BI98" s="71"/>
      <c r="BJ98" s="71"/>
      <c r="BK98" s="71">
        <f t="shared" si="37"/>
        <v>103.49572319106498</v>
      </c>
      <c r="BL98" s="17">
        <v>3</v>
      </c>
      <c r="BM98" s="71"/>
      <c r="BN98" s="71"/>
      <c r="BO98" s="71">
        <f t="shared" si="38"/>
        <v>111.29665318323313</v>
      </c>
      <c r="BP98" s="17">
        <v>1</v>
      </c>
      <c r="BQ98" s="71"/>
      <c r="BR98" s="71"/>
      <c r="BS98" s="138">
        <f t="shared" si="39"/>
        <v>100.16171091563201</v>
      </c>
      <c r="BT98" s="17">
        <v>2</v>
      </c>
      <c r="BU98" s="71"/>
      <c r="BV98" s="71"/>
      <c r="BW98" s="71">
        <f t="shared" si="40"/>
        <v>102.51956289746849</v>
      </c>
      <c r="BX98" s="84">
        <v>2</v>
      </c>
      <c r="BY98" s="17">
        <v>3</v>
      </c>
      <c r="BZ98" s="71"/>
      <c r="CA98" s="71"/>
      <c r="CB98" s="71">
        <f t="shared" si="41"/>
        <v>110.05345743585116</v>
      </c>
      <c r="CC98" s="17">
        <v>0</v>
      </c>
      <c r="CD98" s="71"/>
      <c r="CE98" s="71"/>
      <c r="CF98" s="71">
        <f t="shared" si="42"/>
        <v>81.842287242964616</v>
      </c>
      <c r="CG98" s="17">
        <v>0</v>
      </c>
      <c r="CH98" s="71"/>
      <c r="CI98" s="71"/>
      <c r="CJ98" s="138">
        <f t="shared" si="43"/>
        <v>89.226340793489143</v>
      </c>
      <c r="CK98" s="17">
        <v>1</v>
      </c>
      <c r="CL98" s="71"/>
      <c r="CM98" s="71"/>
      <c r="CN98" s="71">
        <f t="shared" si="44"/>
        <v>90.625541137900711</v>
      </c>
      <c r="CO98" s="93">
        <v>1</v>
      </c>
      <c r="CP98" s="93">
        <v>0</v>
      </c>
      <c r="CQ98" s="93">
        <v>1</v>
      </c>
      <c r="CR98" s="93">
        <v>0</v>
      </c>
      <c r="CS98" s="102">
        <f t="shared" si="45"/>
        <v>100.01882236567963</v>
      </c>
      <c r="CT98" s="102">
        <f t="shared" si="46"/>
        <v>8.0690463797644654</v>
      </c>
      <c r="CU98" s="102">
        <f t="shared" si="47"/>
        <v>8.0675278801655551E-2</v>
      </c>
      <c r="CV98" s="108">
        <f t="shared" si="48"/>
        <v>99.367849799328638</v>
      </c>
      <c r="CZ98" s="109" t="str">
        <f t="shared" si="49"/>
        <v>Medio-Alto</v>
      </c>
    </row>
    <row r="99" spans="1:104" x14ac:dyDescent="0.15">
      <c r="A99" s="85">
        <v>3</v>
      </c>
      <c r="B99" s="85">
        <v>1</v>
      </c>
      <c r="C99" s="85">
        <v>2</v>
      </c>
      <c r="D99" s="85">
        <v>0</v>
      </c>
      <c r="E99" s="85">
        <v>1</v>
      </c>
      <c r="F99" s="18">
        <v>2</v>
      </c>
      <c r="I99" s="64">
        <f t="shared" si="25"/>
        <v>109.85726154139888</v>
      </c>
      <c r="J99" s="18">
        <v>1</v>
      </c>
      <c r="M99" s="64">
        <f t="shared" si="26"/>
        <v>95.705097084683388</v>
      </c>
      <c r="N99" s="18">
        <v>1</v>
      </c>
      <c r="Q99" s="64">
        <f t="shared" si="27"/>
        <v>98.246708656674187</v>
      </c>
      <c r="R99" s="18">
        <v>3</v>
      </c>
      <c r="U99" s="64">
        <f t="shared" si="28"/>
        <v>111.09942135879838</v>
      </c>
      <c r="V99" s="18">
        <v>1</v>
      </c>
      <c r="Y99" s="114">
        <f t="shared" si="29"/>
        <v>91.426614478012453</v>
      </c>
      <c r="Z99" s="18">
        <v>3</v>
      </c>
      <c r="AC99" s="64">
        <f t="shared" si="30"/>
        <v>109.50350141641081</v>
      </c>
      <c r="AD99" s="24">
        <v>3</v>
      </c>
      <c r="AE99" s="71"/>
      <c r="AF99" s="71"/>
      <c r="AG99" s="71">
        <f t="shared" si="31"/>
        <v>109.20703006144345</v>
      </c>
      <c r="AH99" s="18">
        <v>3</v>
      </c>
      <c r="AK99" s="64">
        <f t="shared" si="32"/>
        <v>110.43726382077395</v>
      </c>
      <c r="AL99" s="18">
        <v>3</v>
      </c>
      <c r="AM99" s="71"/>
      <c r="AN99" s="71"/>
      <c r="AO99" s="71">
        <f t="shared" si="33"/>
        <v>100.85056924463234</v>
      </c>
      <c r="AP99" s="18">
        <v>2</v>
      </c>
      <c r="AQ99" s="71"/>
      <c r="AR99" s="71"/>
      <c r="AS99" s="71">
        <f t="shared" si="34"/>
        <v>99.909880620416757</v>
      </c>
      <c r="AT99" s="18">
        <v>0</v>
      </c>
      <c r="AU99" s="71"/>
      <c r="AV99" s="71"/>
      <c r="AW99" s="71">
        <f t="shared" si="35"/>
        <v>89.214252251088965</v>
      </c>
      <c r="AX99" s="18">
        <v>2</v>
      </c>
      <c r="AY99" s="71"/>
      <c r="AZ99" s="71"/>
      <c r="BA99" s="71">
        <f t="shared" si="36"/>
        <v>100.92776194547928</v>
      </c>
      <c r="BB99" s="85">
        <v>1</v>
      </c>
      <c r="BC99" s="85">
        <v>0</v>
      </c>
      <c r="BD99" s="85">
        <v>1</v>
      </c>
      <c r="BE99" s="85">
        <v>0</v>
      </c>
      <c r="BF99" s="85">
        <v>0</v>
      </c>
      <c r="BG99" s="85">
        <v>0</v>
      </c>
      <c r="BH99" s="19">
        <v>0</v>
      </c>
      <c r="BI99" s="71"/>
      <c r="BJ99" s="71"/>
      <c r="BK99" s="71">
        <f t="shared" si="37"/>
        <v>92.176238572378367</v>
      </c>
      <c r="BL99" s="18">
        <v>0</v>
      </c>
      <c r="BM99" s="71"/>
      <c r="BN99" s="71"/>
      <c r="BO99" s="71">
        <f t="shared" si="38"/>
        <v>83.261163531413686</v>
      </c>
      <c r="BP99" s="18">
        <v>0</v>
      </c>
      <c r="BQ99" s="71"/>
      <c r="BR99" s="71"/>
      <c r="BS99" s="138">
        <f t="shared" si="39"/>
        <v>86.456710815818582</v>
      </c>
      <c r="BT99" s="18">
        <v>2</v>
      </c>
      <c r="BU99" s="71"/>
      <c r="BV99" s="71"/>
      <c r="BW99" s="71">
        <f t="shared" si="40"/>
        <v>102.51956289746849</v>
      </c>
      <c r="BX99" s="85">
        <v>2</v>
      </c>
      <c r="BY99" s="18">
        <v>2</v>
      </c>
      <c r="BZ99" s="71"/>
      <c r="CA99" s="71"/>
      <c r="CB99" s="71">
        <f t="shared" si="41"/>
        <v>100.53207713448795</v>
      </c>
      <c r="CC99" s="18">
        <v>2</v>
      </c>
      <c r="CD99" s="71"/>
      <c r="CE99" s="71"/>
      <c r="CF99" s="71">
        <f t="shared" si="42"/>
        <v>100.18886179687853</v>
      </c>
      <c r="CG99" s="18">
        <v>2</v>
      </c>
      <c r="CH99" s="71"/>
      <c r="CI99" s="71"/>
      <c r="CJ99" s="138">
        <f t="shared" si="43"/>
        <v>118.64838200002481</v>
      </c>
      <c r="CK99" s="18">
        <v>2</v>
      </c>
      <c r="CL99" s="71"/>
      <c r="CM99" s="71"/>
      <c r="CN99" s="71">
        <f t="shared" si="44"/>
        <v>100.22589057499034</v>
      </c>
      <c r="CO99" s="94">
        <v>1</v>
      </c>
      <c r="CP99" s="94">
        <v>1</v>
      </c>
      <c r="CQ99" s="94">
        <v>0</v>
      </c>
      <c r="CR99" s="94">
        <v>0</v>
      </c>
      <c r="CS99" s="102">
        <f t="shared" si="45"/>
        <v>100.81544367702458</v>
      </c>
      <c r="CT99" s="102">
        <f t="shared" si="46"/>
        <v>7.8288083799795976</v>
      </c>
      <c r="CU99" s="102">
        <f t="shared" si="47"/>
        <v>7.7654852217485706E-2</v>
      </c>
      <c r="CV99" s="108">
        <f t="shared" si="48"/>
        <v>100.20749871923825</v>
      </c>
      <c r="CZ99" s="109" t="str">
        <f t="shared" si="49"/>
        <v>Medio-Alto</v>
      </c>
    </row>
    <row r="100" spans="1:104" x14ac:dyDescent="0.15">
      <c r="A100" s="84">
        <v>3</v>
      </c>
      <c r="B100" s="84">
        <v>1</v>
      </c>
      <c r="C100" s="84">
        <v>4</v>
      </c>
      <c r="D100" s="84">
        <v>2</v>
      </c>
      <c r="E100" s="85">
        <v>1</v>
      </c>
      <c r="F100" s="17">
        <v>2</v>
      </c>
      <c r="I100" s="64">
        <f t="shared" si="25"/>
        <v>109.85726154139888</v>
      </c>
      <c r="J100" s="17">
        <v>2</v>
      </c>
      <c r="M100" s="64">
        <f t="shared" si="26"/>
        <v>110.02144013573877</v>
      </c>
      <c r="N100" s="17">
        <v>2</v>
      </c>
      <c r="Q100" s="64">
        <f t="shared" si="27"/>
        <v>113.93405225485253</v>
      </c>
      <c r="R100" s="17">
        <v>3</v>
      </c>
      <c r="U100" s="64">
        <f t="shared" si="28"/>
        <v>111.09942135879838</v>
      </c>
      <c r="V100" s="17">
        <v>0</v>
      </c>
      <c r="Y100" s="114">
        <f t="shared" si="29"/>
        <v>84.977607669437745</v>
      </c>
      <c r="Z100" s="17">
        <v>2</v>
      </c>
      <c r="AC100" s="64">
        <f t="shared" si="30"/>
        <v>101.50550517487696</v>
      </c>
      <c r="AD100" s="25">
        <v>2</v>
      </c>
      <c r="AE100" s="71"/>
      <c r="AF100" s="71"/>
      <c r="AG100" s="71">
        <f t="shared" si="31"/>
        <v>101.01229126330007</v>
      </c>
      <c r="AH100" s="17">
        <v>3</v>
      </c>
      <c r="AK100" s="64">
        <f t="shared" si="32"/>
        <v>110.43726382077395</v>
      </c>
      <c r="AL100" s="17">
        <v>3</v>
      </c>
      <c r="AM100" s="71"/>
      <c r="AN100" s="71"/>
      <c r="AO100" s="71">
        <f t="shared" si="33"/>
        <v>100.85056924463234</v>
      </c>
      <c r="AP100" s="17">
        <v>3</v>
      </c>
      <c r="AQ100" s="71"/>
      <c r="AR100" s="71"/>
      <c r="AS100" s="71">
        <f t="shared" si="34"/>
        <v>110.12341030651692</v>
      </c>
      <c r="AT100" s="17">
        <v>2</v>
      </c>
      <c r="AU100" s="71"/>
      <c r="AV100" s="71"/>
      <c r="AW100" s="71">
        <f t="shared" si="35"/>
        <v>110.91338973410525</v>
      </c>
      <c r="AX100" s="17">
        <v>1</v>
      </c>
      <c r="AY100" s="71"/>
      <c r="AZ100" s="71"/>
      <c r="BA100" s="71">
        <f t="shared" si="36"/>
        <v>90.050552929515405</v>
      </c>
      <c r="BB100" s="84">
        <v>1</v>
      </c>
      <c r="BC100" s="84">
        <v>1</v>
      </c>
      <c r="BD100" s="84">
        <v>0</v>
      </c>
      <c r="BE100" s="84">
        <v>0</v>
      </c>
      <c r="BF100" s="84">
        <v>0</v>
      </c>
      <c r="BG100" s="84">
        <v>0</v>
      </c>
      <c r="BH100" s="20">
        <v>2</v>
      </c>
      <c r="BI100" s="71"/>
      <c r="BJ100" s="71"/>
      <c r="BK100" s="71">
        <f t="shared" si="37"/>
        <v>114.81520780975161</v>
      </c>
      <c r="BL100" s="17">
        <v>3</v>
      </c>
      <c r="BM100" s="71"/>
      <c r="BN100" s="71"/>
      <c r="BO100" s="71">
        <f t="shared" si="38"/>
        <v>111.29665318323313</v>
      </c>
      <c r="BP100" s="17">
        <v>1</v>
      </c>
      <c r="BQ100" s="71"/>
      <c r="BR100" s="71"/>
      <c r="BS100" s="138">
        <f t="shared" si="39"/>
        <v>100.16171091563201</v>
      </c>
      <c r="BT100" s="17">
        <v>3</v>
      </c>
      <c r="BU100" s="71"/>
      <c r="BV100" s="71"/>
      <c r="BW100" s="71">
        <f t="shared" si="40"/>
        <v>112.03791162123835</v>
      </c>
      <c r="BX100" s="84">
        <v>3</v>
      </c>
      <c r="BY100" s="17">
        <v>3</v>
      </c>
      <c r="BZ100" s="71"/>
      <c r="CA100" s="71"/>
      <c r="CB100" s="71">
        <f t="shared" si="41"/>
        <v>110.05345743585116</v>
      </c>
      <c r="CC100" s="17">
        <v>3</v>
      </c>
      <c r="CD100" s="71"/>
      <c r="CE100" s="71"/>
      <c r="CF100" s="71">
        <f t="shared" si="42"/>
        <v>109.36214907383548</v>
      </c>
      <c r="CG100" s="17">
        <v>2</v>
      </c>
      <c r="CH100" s="71"/>
      <c r="CI100" s="71"/>
      <c r="CJ100" s="138">
        <f t="shared" si="43"/>
        <v>118.64838200002481</v>
      </c>
      <c r="CK100" s="17">
        <v>3</v>
      </c>
      <c r="CL100" s="71"/>
      <c r="CM100" s="71"/>
      <c r="CN100" s="71">
        <f t="shared" si="44"/>
        <v>109.82624001207998</v>
      </c>
      <c r="CO100" s="93">
        <v>1</v>
      </c>
      <c r="CP100" s="93">
        <v>1</v>
      </c>
      <c r="CQ100" s="93">
        <v>0</v>
      </c>
      <c r="CR100" s="93">
        <v>0</v>
      </c>
      <c r="CS100" s="102">
        <f t="shared" si="45"/>
        <v>108.07039864120584</v>
      </c>
      <c r="CT100" s="102">
        <f t="shared" si="46"/>
        <v>6.2176075125564783</v>
      </c>
      <c r="CU100" s="102">
        <f t="shared" si="47"/>
        <v>5.7532937702940844E-2</v>
      </c>
      <c r="CV100" s="108">
        <f t="shared" si="48"/>
        <v>107.7126814155246</v>
      </c>
      <c r="CZ100" s="109" t="str">
        <f t="shared" si="49"/>
        <v>Alto</v>
      </c>
    </row>
    <row r="101" spans="1:104" x14ac:dyDescent="0.15">
      <c r="A101" s="85">
        <v>4</v>
      </c>
      <c r="B101" s="85">
        <v>1</v>
      </c>
      <c r="C101" s="85">
        <v>3</v>
      </c>
      <c r="D101" s="85">
        <v>2</v>
      </c>
      <c r="E101" s="85">
        <v>1</v>
      </c>
      <c r="F101" s="18">
        <v>1</v>
      </c>
      <c r="I101" s="64">
        <f t="shared" si="25"/>
        <v>93.428492305734082</v>
      </c>
      <c r="J101" s="18">
        <v>2</v>
      </c>
      <c r="M101" s="64">
        <f t="shared" si="26"/>
        <v>110.02144013573877</v>
      </c>
      <c r="N101" s="18">
        <v>1</v>
      </c>
      <c r="Q101" s="64">
        <f t="shared" si="27"/>
        <v>98.246708656674187</v>
      </c>
      <c r="R101" s="18">
        <v>3</v>
      </c>
      <c r="U101" s="64">
        <f t="shared" si="28"/>
        <v>111.09942135879838</v>
      </c>
      <c r="V101" s="18">
        <v>0</v>
      </c>
      <c r="Y101" s="114">
        <f t="shared" si="29"/>
        <v>84.977607669437745</v>
      </c>
      <c r="Z101" s="18">
        <v>3</v>
      </c>
      <c r="AC101" s="64">
        <f t="shared" si="30"/>
        <v>109.50350141641081</v>
      </c>
      <c r="AD101" s="24">
        <v>2</v>
      </c>
      <c r="AE101" s="71"/>
      <c r="AF101" s="71"/>
      <c r="AG101" s="71">
        <f t="shared" si="31"/>
        <v>101.01229126330007</v>
      </c>
      <c r="AH101" s="18">
        <v>3</v>
      </c>
      <c r="AK101" s="64">
        <f t="shared" si="32"/>
        <v>110.43726382077395</v>
      </c>
      <c r="AL101" s="18">
        <v>3</v>
      </c>
      <c r="AM101" s="71"/>
      <c r="AN101" s="71"/>
      <c r="AO101" s="71">
        <f t="shared" si="33"/>
        <v>100.85056924463234</v>
      </c>
      <c r="AP101" s="18">
        <v>2</v>
      </c>
      <c r="AQ101" s="71"/>
      <c r="AR101" s="71"/>
      <c r="AS101" s="71">
        <f t="shared" si="34"/>
        <v>99.909880620416757</v>
      </c>
      <c r="AT101" s="18">
        <v>1</v>
      </c>
      <c r="AU101" s="71"/>
      <c r="AV101" s="71"/>
      <c r="AW101" s="71">
        <f t="shared" si="35"/>
        <v>100.0638209925971</v>
      </c>
      <c r="AX101" s="18">
        <v>3</v>
      </c>
      <c r="AY101" s="71"/>
      <c r="AZ101" s="71"/>
      <c r="BA101" s="71">
        <f t="shared" si="36"/>
        <v>111.80497096144313</v>
      </c>
      <c r="BB101" s="85">
        <v>1</v>
      </c>
      <c r="BC101" s="85">
        <v>0</v>
      </c>
      <c r="BD101" s="85">
        <v>1</v>
      </c>
      <c r="BE101" s="85">
        <v>0</v>
      </c>
      <c r="BF101" s="85">
        <v>0</v>
      </c>
      <c r="BG101" s="85">
        <v>0</v>
      </c>
      <c r="BH101" s="19">
        <v>0</v>
      </c>
      <c r="BI101" s="71"/>
      <c r="BJ101" s="71"/>
      <c r="BK101" s="71">
        <f t="shared" si="37"/>
        <v>92.176238572378367</v>
      </c>
      <c r="BL101" s="18">
        <v>1</v>
      </c>
      <c r="BM101" s="71"/>
      <c r="BN101" s="71"/>
      <c r="BO101" s="71">
        <f t="shared" si="38"/>
        <v>92.606326748686826</v>
      </c>
      <c r="BP101" s="18">
        <v>2</v>
      </c>
      <c r="BQ101" s="71"/>
      <c r="BR101" s="71"/>
      <c r="BS101" s="138">
        <f t="shared" si="39"/>
        <v>113.86671101544545</v>
      </c>
      <c r="BT101" s="18">
        <v>2</v>
      </c>
      <c r="BU101" s="71"/>
      <c r="BV101" s="71"/>
      <c r="BW101" s="71">
        <f t="shared" si="40"/>
        <v>102.51956289746849</v>
      </c>
      <c r="BX101" s="85">
        <v>1</v>
      </c>
      <c r="BY101" s="18">
        <v>3</v>
      </c>
      <c r="BZ101" s="71"/>
      <c r="CA101" s="71"/>
      <c r="CB101" s="71">
        <f t="shared" si="41"/>
        <v>110.05345743585116</v>
      </c>
      <c r="CC101" s="18">
        <v>3</v>
      </c>
      <c r="CD101" s="71"/>
      <c r="CE101" s="71"/>
      <c r="CF101" s="71">
        <f t="shared" si="42"/>
        <v>109.36214907383548</v>
      </c>
      <c r="CG101" s="18">
        <v>1</v>
      </c>
      <c r="CH101" s="71"/>
      <c r="CI101" s="71"/>
      <c r="CJ101" s="138">
        <f t="shared" si="43"/>
        <v>103.93736139675698</v>
      </c>
      <c r="CK101" s="18">
        <v>3</v>
      </c>
      <c r="CL101" s="71"/>
      <c r="CM101" s="71"/>
      <c r="CN101" s="71">
        <f t="shared" si="44"/>
        <v>109.82624001207998</v>
      </c>
      <c r="CO101" s="94">
        <v>1</v>
      </c>
      <c r="CP101" s="94">
        <v>0</v>
      </c>
      <c r="CQ101" s="94">
        <v>1</v>
      </c>
      <c r="CR101" s="94">
        <v>0</v>
      </c>
      <c r="CS101" s="102">
        <f t="shared" si="45"/>
        <v>103.70131385393059</v>
      </c>
      <c r="CT101" s="102">
        <f t="shared" si="46"/>
        <v>7.0038528603132058</v>
      </c>
      <c r="CU101" s="102">
        <f t="shared" si="47"/>
        <v>6.7538709009786951E-2</v>
      </c>
      <c r="CV101" s="108">
        <f t="shared" si="48"/>
        <v>103.22828267365053</v>
      </c>
      <c r="CZ101" s="109" t="str">
        <f t="shared" si="49"/>
        <v>Medio-Alto</v>
      </c>
    </row>
    <row r="102" spans="1:104" x14ac:dyDescent="0.15">
      <c r="A102" s="84">
        <v>2</v>
      </c>
      <c r="B102" s="84">
        <v>1</v>
      </c>
      <c r="C102" s="84">
        <v>4</v>
      </c>
      <c r="D102" s="84">
        <v>1</v>
      </c>
      <c r="E102" s="85">
        <v>1</v>
      </c>
      <c r="F102" s="17">
        <v>1</v>
      </c>
      <c r="I102" s="64">
        <f t="shared" si="25"/>
        <v>93.428492305734082</v>
      </c>
      <c r="J102" s="17">
        <v>2</v>
      </c>
      <c r="M102" s="64">
        <f t="shared" si="26"/>
        <v>110.02144013573877</v>
      </c>
      <c r="N102" s="17">
        <v>1</v>
      </c>
      <c r="Q102" s="64">
        <f t="shared" si="27"/>
        <v>98.246708656674187</v>
      </c>
      <c r="R102" s="17">
        <v>2</v>
      </c>
      <c r="U102" s="64">
        <f t="shared" si="28"/>
        <v>101.34799174124942</v>
      </c>
      <c r="V102" s="17">
        <v>2</v>
      </c>
      <c r="Y102" s="114">
        <f t="shared" si="29"/>
        <v>97.875621286587162</v>
      </c>
      <c r="Z102" s="17">
        <v>1</v>
      </c>
      <c r="AC102" s="64">
        <f t="shared" si="30"/>
        <v>93.507508933343104</v>
      </c>
      <c r="AD102" s="25">
        <v>3</v>
      </c>
      <c r="AE102" s="71"/>
      <c r="AF102" s="71"/>
      <c r="AG102" s="71">
        <f t="shared" si="31"/>
        <v>109.20703006144345</v>
      </c>
      <c r="AH102" s="17">
        <v>3</v>
      </c>
      <c r="AK102" s="64">
        <f t="shared" si="32"/>
        <v>110.43726382077395</v>
      </c>
      <c r="AL102" s="17">
        <v>4</v>
      </c>
      <c r="AM102" s="71"/>
      <c r="AN102" s="71"/>
      <c r="AO102" s="71">
        <f t="shared" si="33"/>
        <v>111.97339782828605</v>
      </c>
      <c r="AP102" s="17">
        <v>3</v>
      </c>
      <c r="AQ102" s="71"/>
      <c r="AR102" s="71"/>
      <c r="AS102" s="71">
        <f t="shared" si="34"/>
        <v>110.12341030651692</v>
      </c>
      <c r="AT102" s="17">
        <v>0</v>
      </c>
      <c r="AU102" s="71"/>
      <c r="AV102" s="71"/>
      <c r="AW102" s="71">
        <f t="shared" si="35"/>
        <v>89.214252251088965</v>
      </c>
      <c r="AX102" s="17">
        <v>1</v>
      </c>
      <c r="AY102" s="71"/>
      <c r="AZ102" s="71"/>
      <c r="BA102" s="71">
        <f t="shared" si="36"/>
        <v>90.050552929515405</v>
      </c>
      <c r="BB102" s="84">
        <v>1</v>
      </c>
      <c r="BC102" s="84">
        <v>1</v>
      </c>
      <c r="BD102" s="84">
        <v>0</v>
      </c>
      <c r="BE102" s="84">
        <v>0</v>
      </c>
      <c r="BF102" s="84">
        <v>0</v>
      </c>
      <c r="BG102" s="84">
        <v>0</v>
      </c>
      <c r="BH102" s="20">
        <v>0</v>
      </c>
      <c r="BI102" s="71"/>
      <c r="BJ102" s="71"/>
      <c r="BK102" s="71">
        <f t="shared" si="37"/>
        <v>92.176238572378367</v>
      </c>
      <c r="BL102" s="17">
        <v>1</v>
      </c>
      <c r="BM102" s="71"/>
      <c r="BN102" s="71"/>
      <c r="BO102" s="71">
        <f t="shared" si="38"/>
        <v>92.606326748686826</v>
      </c>
      <c r="BP102" s="17">
        <v>2</v>
      </c>
      <c r="BQ102" s="71"/>
      <c r="BR102" s="71"/>
      <c r="BS102" s="138">
        <f t="shared" si="39"/>
        <v>113.86671101544545</v>
      </c>
      <c r="BT102" s="17">
        <v>2</v>
      </c>
      <c r="BU102" s="71"/>
      <c r="BV102" s="71"/>
      <c r="BW102" s="71">
        <f t="shared" si="40"/>
        <v>102.51956289746849</v>
      </c>
      <c r="BX102" s="84">
        <v>0</v>
      </c>
      <c r="BY102" s="17">
        <v>3</v>
      </c>
      <c r="BZ102" s="71"/>
      <c r="CA102" s="71"/>
      <c r="CB102" s="71">
        <f t="shared" si="41"/>
        <v>110.05345743585116</v>
      </c>
      <c r="CC102" s="17">
        <v>3</v>
      </c>
      <c r="CD102" s="71"/>
      <c r="CE102" s="71"/>
      <c r="CF102" s="71">
        <f t="shared" si="42"/>
        <v>109.36214907383548</v>
      </c>
      <c r="CG102" s="17">
        <v>1</v>
      </c>
      <c r="CH102" s="71"/>
      <c r="CI102" s="71"/>
      <c r="CJ102" s="138">
        <f t="shared" si="43"/>
        <v>103.93736139675698</v>
      </c>
      <c r="CK102" s="17">
        <v>3</v>
      </c>
      <c r="CL102" s="71"/>
      <c r="CM102" s="71"/>
      <c r="CN102" s="71">
        <f t="shared" si="44"/>
        <v>109.82624001207998</v>
      </c>
      <c r="CO102" s="93">
        <v>1</v>
      </c>
      <c r="CP102" s="93">
        <v>1</v>
      </c>
      <c r="CQ102" s="93">
        <v>0</v>
      </c>
      <c r="CR102" s="93">
        <v>0</v>
      </c>
      <c r="CS102" s="102">
        <f t="shared" si="45"/>
        <v>102.00600139474497</v>
      </c>
      <c r="CT102" s="102">
        <f t="shared" si="46"/>
        <v>8.6046024086213482</v>
      </c>
      <c r="CU102" s="102">
        <f t="shared" si="47"/>
        <v>8.4353883996717768E-2</v>
      </c>
      <c r="CV102" s="108">
        <f t="shared" si="48"/>
        <v>101.28016976133024</v>
      </c>
      <c r="CZ102" s="109" t="str">
        <f t="shared" si="49"/>
        <v>Medio-Alto</v>
      </c>
    </row>
    <row r="103" spans="1:104" x14ac:dyDescent="0.15">
      <c r="A103" s="85">
        <v>4</v>
      </c>
      <c r="B103" s="85">
        <v>2</v>
      </c>
      <c r="C103" s="85">
        <v>1</v>
      </c>
      <c r="D103" s="85">
        <v>2</v>
      </c>
      <c r="E103" s="85">
        <v>1</v>
      </c>
      <c r="F103" s="18">
        <v>1</v>
      </c>
      <c r="I103" s="64">
        <f t="shared" si="25"/>
        <v>93.428492305734082</v>
      </c>
      <c r="J103" s="18">
        <v>2</v>
      </c>
      <c r="M103" s="64">
        <f t="shared" si="26"/>
        <v>110.02144013573877</v>
      </c>
      <c r="N103" s="18">
        <v>1</v>
      </c>
      <c r="Q103" s="64">
        <f t="shared" si="27"/>
        <v>98.246708656674187</v>
      </c>
      <c r="R103" s="18">
        <v>3</v>
      </c>
      <c r="U103" s="64">
        <f t="shared" si="28"/>
        <v>111.09942135879838</v>
      </c>
      <c r="V103" s="18">
        <v>3</v>
      </c>
      <c r="Y103" s="114">
        <f t="shared" si="29"/>
        <v>104.32462809516186</v>
      </c>
      <c r="Z103" s="18">
        <v>2</v>
      </c>
      <c r="AC103" s="64">
        <f t="shared" si="30"/>
        <v>101.50550517487696</v>
      </c>
      <c r="AD103" s="24">
        <v>3</v>
      </c>
      <c r="AE103" s="71"/>
      <c r="AF103" s="71"/>
      <c r="AG103" s="71">
        <f t="shared" si="31"/>
        <v>109.20703006144345</v>
      </c>
      <c r="AH103" s="18">
        <v>3</v>
      </c>
      <c r="AK103" s="64">
        <f t="shared" si="32"/>
        <v>110.43726382077395</v>
      </c>
      <c r="AL103" s="18">
        <v>3</v>
      </c>
      <c r="AM103" s="71"/>
      <c r="AN103" s="71"/>
      <c r="AO103" s="71">
        <f t="shared" si="33"/>
        <v>100.85056924463234</v>
      </c>
      <c r="AP103" s="18">
        <v>3</v>
      </c>
      <c r="AQ103" s="71"/>
      <c r="AR103" s="71"/>
      <c r="AS103" s="71">
        <f t="shared" si="34"/>
        <v>110.12341030651692</v>
      </c>
      <c r="AT103" s="18">
        <v>1</v>
      </c>
      <c r="AU103" s="71"/>
      <c r="AV103" s="71"/>
      <c r="AW103" s="71">
        <f t="shared" si="35"/>
        <v>100.0638209925971</v>
      </c>
      <c r="AX103" s="18">
        <v>3</v>
      </c>
      <c r="AY103" s="71"/>
      <c r="AZ103" s="71"/>
      <c r="BA103" s="71">
        <f t="shared" si="36"/>
        <v>111.80497096144313</v>
      </c>
      <c r="BB103" s="85">
        <v>1</v>
      </c>
      <c r="BC103" s="85">
        <v>0</v>
      </c>
      <c r="BD103" s="85">
        <v>1</v>
      </c>
      <c r="BE103" s="85">
        <v>0</v>
      </c>
      <c r="BF103" s="85">
        <v>0</v>
      </c>
      <c r="BG103" s="85">
        <v>0</v>
      </c>
      <c r="BH103" s="19">
        <v>2</v>
      </c>
      <c r="BI103" s="71"/>
      <c r="BJ103" s="71"/>
      <c r="BK103" s="71">
        <f t="shared" si="37"/>
        <v>114.81520780975161</v>
      </c>
      <c r="BL103" s="18">
        <v>3</v>
      </c>
      <c r="BM103" s="71"/>
      <c r="BN103" s="71"/>
      <c r="BO103" s="71">
        <f t="shared" si="38"/>
        <v>111.29665318323313</v>
      </c>
      <c r="BP103" s="18">
        <v>1</v>
      </c>
      <c r="BQ103" s="71"/>
      <c r="BR103" s="71"/>
      <c r="BS103" s="138">
        <f t="shared" si="39"/>
        <v>100.16171091563201</v>
      </c>
      <c r="BT103" s="18">
        <v>3</v>
      </c>
      <c r="BU103" s="71"/>
      <c r="BV103" s="71"/>
      <c r="BW103" s="71">
        <f t="shared" si="40"/>
        <v>112.03791162123835</v>
      </c>
      <c r="BX103" s="85">
        <v>0</v>
      </c>
      <c r="BY103" s="18">
        <v>3</v>
      </c>
      <c r="BZ103" s="71"/>
      <c r="CA103" s="71"/>
      <c r="CB103" s="71">
        <f t="shared" si="41"/>
        <v>110.05345743585116</v>
      </c>
      <c r="CC103" s="18">
        <v>3</v>
      </c>
      <c r="CD103" s="71"/>
      <c r="CE103" s="71"/>
      <c r="CF103" s="71">
        <f t="shared" si="42"/>
        <v>109.36214907383548</v>
      </c>
      <c r="CG103" s="18">
        <v>1</v>
      </c>
      <c r="CH103" s="71"/>
      <c r="CI103" s="71"/>
      <c r="CJ103" s="138">
        <f t="shared" si="43"/>
        <v>103.93736139675698</v>
      </c>
      <c r="CK103" s="18">
        <v>3</v>
      </c>
      <c r="CL103" s="71"/>
      <c r="CM103" s="71"/>
      <c r="CN103" s="71">
        <f t="shared" si="44"/>
        <v>109.82624001207998</v>
      </c>
      <c r="CO103" s="94">
        <v>1</v>
      </c>
      <c r="CP103" s="94">
        <v>1</v>
      </c>
      <c r="CQ103" s="94">
        <v>0</v>
      </c>
      <c r="CR103" s="94">
        <v>0</v>
      </c>
      <c r="CS103" s="102">
        <f t="shared" si="45"/>
        <v>107.30472071501289</v>
      </c>
      <c r="CT103" s="102">
        <f t="shared" si="46"/>
        <v>6.0136134519534359</v>
      </c>
      <c r="CU103" s="102">
        <f t="shared" si="47"/>
        <v>5.6042394145219353E-2</v>
      </c>
      <c r="CV103" s="108">
        <f t="shared" si="48"/>
        <v>106.96770341970152</v>
      </c>
      <c r="CZ103" s="109" t="str">
        <f t="shared" si="49"/>
        <v>Alto</v>
      </c>
    </row>
    <row r="104" spans="1:104" x14ac:dyDescent="0.15">
      <c r="A104" s="84">
        <v>3</v>
      </c>
      <c r="B104" s="84">
        <v>1</v>
      </c>
      <c r="C104" s="84">
        <v>1</v>
      </c>
      <c r="D104" s="84">
        <v>2</v>
      </c>
      <c r="E104" s="85">
        <v>1</v>
      </c>
      <c r="F104" s="17">
        <v>2</v>
      </c>
      <c r="I104" s="64">
        <f t="shared" si="25"/>
        <v>109.85726154139888</v>
      </c>
      <c r="J104" s="17">
        <v>1</v>
      </c>
      <c r="M104" s="64">
        <f t="shared" si="26"/>
        <v>95.705097084683388</v>
      </c>
      <c r="N104" s="17">
        <v>1</v>
      </c>
      <c r="Q104" s="64">
        <f t="shared" si="27"/>
        <v>98.246708656674187</v>
      </c>
      <c r="R104" s="17">
        <v>2</v>
      </c>
      <c r="U104" s="64">
        <f t="shared" si="28"/>
        <v>101.34799174124942</v>
      </c>
      <c r="V104" s="17">
        <v>1</v>
      </c>
      <c r="Y104" s="114">
        <f t="shared" si="29"/>
        <v>91.426614478012453</v>
      </c>
      <c r="Z104" s="17">
        <v>2</v>
      </c>
      <c r="AC104" s="64">
        <f t="shared" si="30"/>
        <v>101.50550517487696</v>
      </c>
      <c r="AD104" s="25">
        <v>2</v>
      </c>
      <c r="AE104" s="71"/>
      <c r="AF104" s="71"/>
      <c r="AG104" s="71">
        <f t="shared" si="31"/>
        <v>101.01229126330007</v>
      </c>
      <c r="AH104" s="17">
        <v>2</v>
      </c>
      <c r="AK104" s="64">
        <f t="shared" si="32"/>
        <v>99.518280131348902</v>
      </c>
      <c r="AL104" s="17">
        <v>0</v>
      </c>
      <c r="AM104" s="71"/>
      <c r="AN104" s="71"/>
      <c r="AO104" s="71">
        <f t="shared" si="33"/>
        <v>67.482083493671226</v>
      </c>
      <c r="AP104" s="17">
        <v>2</v>
      </c>
      <c r="AQ104" s="71"/>
      <c r="AR104" s="71"/>
      <c r="AS104" s="71">
        <f t="shared" si="34"/>
        <v>99.909880620416757</v>
      </c>
      <c r="AT104" s="17">
        <v>1</v>
      </c>
      <c r="AU104" s="71"/>
      <c r="AV104" s="71"/>
      <c r="AW104" s="71">
        <f t="shared" si="35"/>
        <v>100.0638209925971</v>
      </c>
      <c r="AX104" s="17">
        <v>2</v>
      </c>
      <c r="AY104" s="71"/>
      <c r="AZ104" s="71"/>
      <c r="BA104" s="71">
        <f t="shared" si="36"/>
        <v>100.92776194547928</v>
      </c>
      <c r="BB104" s="84">
        <v>0</v>
      </c>
      <c r="BC104" s="84">
        <v>1</v>
      </c>
      <c r="BD104" s="84">
        <v>0</v>
      </c>
      <c r="BE104" s="84">
        <v>1</v>
      </c>
      <c r="BF104" s="84">
        <v>0</v>
      </c>
      <c r="BG104" s="84">
        <v>0</v>
      </c>
      <c r="BH104" s="20">
        <v>0</v>
      </c>
      <c r="BI104" s="71"/>
      <c r="BJ104" s="71"/>
      <c r="BK104" s="71">
        <f t="shared" si="37"/>
        <v>92.176238572378367</v>
      </c>
      <c r="BL104" s="17">
        <v>1</v>
      </c>
      <c r="BM104" s="71"/>
      <c r="BN104" s="71"/>
      <c r="BO104" s="71">
        <f t="shared" si="38"/>
        <v>92.606326748686826</v>
      </c>
      <c r="BP104" s="17">
        <v>1</v>
      </c>
      <c r="BQ104" s="71"/>
      <c r="BR104" s="71"/>
      <c r="BS104" s="138">
        <f t="shared" si="39"/>
        <v>100.16171091563201</v>
      </c>
      <c r="BT104" s="17">
        <v>2</v>
      </c>
      <c r="BU104" s="71"/>
      <c r="BV104" s="71"/>
      <c r="BW104" s="71">
        <f t="shared" si="40"/>
        <v>102.51956289746849</v>
      </c>
      <c r="BX104" s="84">
        <v>1</v>
      </c>
      <c r="BY104" s="17">
        <v>3</v>
      </c>
      <c r="BZ104" s="71"/>
      <c r="CA104" s="71"/>
      <c r="CB104" s="71">
        <f t="shared" si="41"/>
        <v>110.05345743585116</v>
      </c>
      <c r="CC104" s="17">
        <v>3</v>
      </c>
      <c r="CD104" s="71"/>
      <c r="CE104" s="71"/>
      <c r="CF104" s="71">
        <f t="shared" si="42"/>
        <v>109.36214907383548</v>
      </c>
      <c r="CG104" s="17">
        <v>2</v>
      </c>
      <c r="CH104" s="71"/>
      <c r="CI104" s="71"/>
      <c r="CJ104" s="138">
        <f t="shared" si="43"/>
        <v>118.64838200002481</v>
      </c>
      <c r="CK104" s="17">
        <v>2</v>
      </c>
      <c r="CL104" s="71"/>
      <c r="CM104" s="71"/>
      <c r="CN104" s="71">
        <f t="shared" si="44"/>
        <v>100.22589057499034</v>
      </c>
      <c r="CO104" s="93">
        <v>1</v>
      </c>
      <c r="CP104" s="93">
        <v>0</v>
      </c>
      <c r="CQ104" s="93">
        <v>1</v>
      </c>
      <c r="CR104" s="93">
        <v>0</v>
      </c>
      <c r="CS104" s="102">
        <f t="shared" si="45"/>
        <v>98.971782820523941</v>
      </c>
      <c r="CT104" s="102">
        <f t="shared" si="46"/>
        <v>9.6025382889418278</v>
      </c>
      <c r="CU104" s="102">
        <f t="shared" si="47"/>
        <v>9.7022989940022925E-2</v>
      </c>
      <c r="CV104" s="108">
        <f t="shared" si="48"/>
        <v>98.040115844717249</v>
      </c>
      <c r="CZ104" s="109" t="str">
        <f t="shared" si="49"/>
        <v>Medio-Basso</v>
      </c>
    </row>
    <row r="105" spans="1:104" x14ac:dyDescent="0.15">
      <c r="A105" s="85">
        <v>2</v>
      </c>
      <c r="B105" s="85">
        <v>1</v>
      </c>
      <c r="C105" s="85">
        <v>3</v>
      </c>
      <c r="D105" s="85">
        <v>1</v>
      </c>
      <c r="E105" s="85">
        <v>1</v>
      </c>
      <c r="F105" s="18">
        <v>2</v>
      </c>
      <c r="I105" s="64">
        <f t="shared" si="25"/>
        <v>109.85726154139888</v>
      </c>
      <c r="J105" s="18">
        <v>2</v>
      </c>
      <c r="M105" s="64">
        <f t="shared" si="26"/>
        <v>110.02144013573877</v>
      </c>
      <c r="N105" s="18">
        <v>2</v>
      </c>
      <c r="Q105" s="64">
        <f t="shared" si="27"/>
        <v>113.93405225485253</v>
      </c>
      <c r="R105" s="18">
        <v>3</v>
      </c>
      <c r="U105" s="64">
        <f t="shared" si="28"/>
        <v>111.09942135879838</v>
      </c>
      <c r="V105" s="18">
        <v>4</v>
      </c>
      <c r="Y105" s="114">
        <f t="shared" si="29"/>
        <v>110.77363490373656</v>
      </c>
      <c r="Z105" s="18">
        <v>2</v>
      </c>
      <c r="AC105" s="64">
        <f t="shared" si="30"/>
        <v>101.50550517487696</v>
      </c>
      <c r="AD105" s="24">
        <v>3</v>
      </c>
      <c r="AE105" s="71"/>
      <c r="AF105" s="71"/>
      <c r="AG105" s="71">
        <f t="shared" si="31"/>
        <v>109.20703006144345</v>
      </c>
      <c r="AH105" s="18">
        <v>3</v>
      </c>
      <c r="AK105" s="64">
        <f t="shared" si="32"/>
        <v>110.43726382077395</v>
      </c>
      <c r="AL105" s="18">
        <v>4</v>
      </c>
      <c r="AM105" s="71"/>
      <c r="AN105" s="71"/>
      <c r="AO105" s="71">
        <f t="shared" si="33"/>
        <v>111.97339782828605</v>
      </c>
      <c r="AP105" s="18">
        <v>3</v>
      </c>
      <c r="AQ105" s="71"/>
      <c r="AR105" s="71"/>
      <c r="AS105" s="71">
        <f t="shared" si="34"/>
        <v>110.12341030651692</v>
      </c>
      <c r="AT105" s="18">
        <v>2</v>
      </c>
      <c r="AU105" s="71"/>
      <c r="AV105" s="71"/>
      <c r="AW105" s="71">
        <f t="shared" si="35"/>
        <v>110.91338973410525</v>
      </c>
      <c r="AX105" s="18">
        <v>3</v>
      </c>
      <c r="AY105" s="71"/>
      <c r="AZ105" s="71"/>
      <c r="BA105" s="71">
        <f t="shared" si="36"/>
        <v>111.80497096144313</v>
      </c>
      <c r="BB105" s="85">
        <v>1</v>
      </c>
      <c r="BC105" s="85">
        <v>1</v>
      </c>
      <c r="BD105" s="85">
        <v>0</v>
      </c>
      <c r="BE105" s="85">
        <v>0</v>
      </c>
      <c r="BF105" s="85">
        <v>0</v>
      </c>
      <c r="BG105" s="85">
        <v>0</v>
      </c>
      <c r="BH105" s="19">
        <v>2</v>
      </c>
      <c r="BI105" s="71"/>
      <c r="BJ105" s="71"/>
      <c r="BK105" s="71">
        <f t="shared" si="37"/>
        <v>114.81520780975161</v>
      </c>
      <c r="BL105" s="18">
        <v>2</v>
      </c>
      <c r="BM105" s="71"/>
      <c r="BN105" s="71"/>
      <c r="BO105" s="71">
        <f t="shared" si="38"/>
        <v>101.95148996595998</v>
      </c>
      <c r="BP105" s="18">
        <v>2</v>
      </c>
      <c r="BQ105" s="71"/>
      <c r="BR105" s="71"/>
      <c r="BS105" s="138">
        <f t="shared" si="39"/>
        <v>113.86671101544545</v>
      </c>
      <c r="BT105" s="18">
        <v>3</v>
      </c>
      <c r="BU105" s="71"/>
      <c r="BV105" s="71"/>
      <c r="BW105" s="71">
        <f t="shared" si="40"/>
        <v>112.03791162123835</v>
      </c>
      <c r="BX105" s="85">
        <v>0</v>
      </c>
      <c r="BY105" s="18">
        <v>3</v>
      </c>
      <c r="BZ105" s="71"/>
      <c r="CA105" s="71"/>
      <c r="CB105" s="71">
        <f t="shared" si="41"/>
        <v>110.05345743585116</v>
      </c>
      <c r="CC105" s="18">
        <v>3</v>
      </c>
      <c r="CD105" s="71"/>
      <c r="CE105" s="71"/>
      <c r="CF105" s="71">
        <f t="shared" si="42"/>
        <v>109.36214907383548</v>
      </c>
      <c r="CG105" s="18">
        <v>2</v>
      </c>
      <c r="CH105" s="71"/>
      <c r="CI105" s="71"/>
      <c r="CJ105" s="138">
        <f t="shared" si="43"/>
        <v>118.64838200002481</v>
      </c>
      <c r="CK105" s="18">
        <v>3</v>
      </c>
      <c r="CL105" s="71"/>
      <c r="CM105" s="71"/>
      <c r="CN105" s="71">
        <f t="shared" si="44"/>
        <v>109.82624001207998</v>
      </c>
      <c r="CO105" s="94">
        <v>0</v>
      </c>
      <c r="CP105" s="94">
        <v>1</v>
      </c>
      <c r="CQ105" s="94">
        <v>1</v>
      </c>
      <c r="CR105" s="94">
        <v>0</v>
      </c>
      <c r="CS105" s="102">
        <f t="shared" si="45"/>
        <v>109.93668229982066</v>
      </c>
      <c r="CT105" s="102">
        <f t="shared" si="46"/>
        <v>3.4475904120877701</v>
      </c>
      <c r="CU105" s="102">
        <f t="shared" si="47"/>
        <v>3.1359782194313082E-2</v>
      </c>
      <c r="CV105" s="108">
        <f t="shared" si="48"/>
        <v>109.82856661540238</v>
      </c>
      <c r="CZ105" s="109" t="str">
        <f t="shared" si="49"/>
        <v>Alto</v>
      </c>
    </row>
    <row r="106" spans="1:104" x14ac:dyDescent="0.15">
      <c r="A106" s="84">
        <v>3</v>
      </c>
      <c r="B106" s="84">
        <v>1</v>
      </c>
      <c r="C106" s="84">
        <v>3</v>
      </c>
      <c r="D106" s="84">
        <v>2</v>
      </c>
      <c r="E106" s="85">
        <v>1</v>
      </c>
      <c r="F106" s="17">
        <v>1</v>
      </c>
      <c r="I106" s="64">
        <f t="shared" si="25"/>
        <v>93.428492305734082</v>
      </c>
      <c r="J106" s="17">
        <v>1</v>
      </c>
      <c r="M106" s="64">
        <f t="shared" si="26"/>
        <v>95.705097084683388</v>
      </c>
      <c r="N106" s="17">
        <v>1</v>
      </c>
      <c r="Q106" s="64">
        <f t="shared" si="27"/>
        <v>98.246708656674187</v>
      </c>
      <c r="R106" s="17">
        <v>1</v>
      </c>
      <c r="U106" s="64">
        <f t="shared" si="28"/>
        <v>91.596562123700451</v>
      </c>
      <c r="V106" s="17">
        <v>2</v>
      </c>
      <c r="Y106" s="114">
        <f t="shared" si="29"/>
        <v>97.875621286587162</v>
      </c>
      <c r="Z106" s="17">
        <v>0</v>
      </c>
      <c r="AC106" s="64">
        <f t="shared" si="30"/>
        <v>85.509512691809249</v>
      </c>
      <c r="AD106" s="25">
        <v>0</v>
      </c>
      <c r="AE106" s="71"/>
      <c r="AF106" s="71"/>
      <c r="AG106" s="71">
        <f t="shared" si="31"/>
        <v>84.62281366701329</v>
      </c>
      <c r="AH106" s="17">
        <v>2</v>
      </c>
      <c r="AK106" s="64">
        <f t="shared" si="32"/>
        <v>99.518280131348902</v>
      </c>
      <c r="AL106" s="17">
        <v>4</v>
      </c>
      <c r="AM106" s="71"/>
      <c r="AN106" s="71"/>
      <c r="AO106" s="71">
        <f t="shared" si="33"/>
        <v>111.97339782828605</v>
      </c>
      <c r="AP106" s="17">
        <v>2</v>
      </c>
      <c r="AQ106" s="71"/>
      <c r="AR106" s="71"/>
      <c r="AS106" s="71">
        <f t="shared" si="34"/>
        <v>99.909880620416757</v>
      </c>
      <c r="AT106" s="17">
        <v>2</v>
      </c>
      <c r="AU106" s="71"/>
      <c r="AV106" s="71"/>
      <c r="AW106" s="71">
        <f t="shared" si="35"/>
        <v>110.91338973410525</v>
      </c>
      <c r="AX106" s="17">
        <v>2</v>
      </c>
      <c r="AY106" s="71"/>
      <c r="AZ106" s="71"/>
      <c r="BA106" s="71">
        <f t="shared" si="36"/>
        <v>100.92776194547928</v>
      </c>
      <c r="BB106" s="84">
        <v>1</v>
      </c>
      <c r="BC106" s="84">
        <v>0</v>
      </c>
      <c r="BD106" s="84">
        <v>1</v>
      </c>
      <c r="BE106" s="84">
        <v>0</v>
      </c>
      <c r="BF106" s="84">
        <v>0</v>
      </c>
      <c r="BG106" s="84">
        <v>0</v>
      </c>
      <c r="BH106" s="20">
        <v>0</v>
      </c>
      <c r="BI106" s="71"/>
      <c r="BJ106" s="71"/>
      <c r="BK106" s="71">
        <f t="shared" si="37"/>
        <v>92.176238572378367</v>
      </c>
      <c r="BL106" s="17">
        <v>3</v>
      </c>
      <c r="BM106" s="71"/>
      <c r="BN106" s="71"/>
      <c r="BO106" s="71">
        <f t="shared" si="38"/>
        <v>111.29665318323313</v>
      </c>
      <c r="BP106" s="17">
        <v>0</v>
      </c>
      <c r="BQ106" s="71"/>
      <c r="BR106" s="71"/>
      <c r="BS106" s="138">
        <f t="shared" si="39"/>
        <v>86.456710815818582</v>
      </c>
      <c r="BT106" s="17">
        <v>2</v>
      </c>
      <c r="BU106" s="71"/>
      <c r="BV106" s="71"/>
      <c r="BW106" s="71">
        <f t="shared" si="40"/>
        <v>102.51956289746849</v>
      </c>
      <c r="BX106" s="84">
        <v>3</v>
      </c>
      <c r="BY106" s="17">
        <v>3</v>
      </c>
      <c r="BZ106" s="71"/>
      <c r="CA106" s="71"/>
      <c r="CB106" s="71">
        <f t="shared" si="41"/>
        <v>110.05345743585116</v>
      </c>
      <c r="CC106" s="17">
        <v>2</v>
      </c>
      <c r="CD106" s="71"/>
      <c r="CE106" s="71"/>
      <c r="CF106" s="71">
        <f t="shared" si="42"/>
        <v>100.18886179687853</v>
      </c>
      <c r="CG106" s="17">
        <v>1</v>
      </c>
      <c r="CH106" s="71"/>
      <c r="CI106" s="71"/>
      <c r="CJ106" s="138">
        <f t="shared" si="43"/>
        <v>103.93736139675698</v>
      </c>
      <c r="CK106" s="17">
        <v>0</v>
      </c>
      <c r="CL106" s="71"/>
      <c r="CM106" s="71"/>
      <c r="CN106" s="71">
        <f t="shared" si="44"/>
        <v>81.025191700811078</v>
      </c>
      <c r="CO106" s="93">
        <v>0</v>
      </c>
      <c r="CP106" s="93">
        <v>1</v>
      </c>
      <c r="CQ106" s="93">
        <v>1</v>
      </c>
      <c r="CR106" s="93">
        <v>0</v>
      </c>
      <c r="CS106" s="102">
        <f t="shared" si="45"/>
        <v>98.212462492698322</v>
      </c>
      <c r="CT106" s="102">
        <f t="shared" si="46"/>
        <v>9.5109310022491158</v>
      </c>
      <c r="CU106" s="102">
        <f t="shared" si="47"/>
        <v>9.6840367921293219E-2</v>
      </c>
      <c r="CV106" s="108">
        <f t="shared" si="48"/>
        <v>97.291420435166486</v>
      </c>
      <c r="CZ106" s="109" t="str">
        <f t="shared" si="49"/>
        <v>Medio-Basso</v>
      </c>
    </row>
    <row r="107" spans="1:104" x14ac:dyDescent="0.15">
      <c r="A107" s="85">
        <v>3</v>
      </c>
      <c r="B107" s="85">
        <v>1</v>
      </c>
      <c r="C107" s="85">
        <v>3</v>
      </c>
      <c r="D107" s="85">
        <v>2</v>
      </c>
      <c r="E107" s="85">
        <v>1</v>
      </c>
      <c r="F107" s="18">
        <v>2</v>
      </c>
      <c r="I107" s="64">
        <f t="shared" si="25"/>
        <v>109.85726154139888</v>
      </c>
      <c r="J107" s="18">
        <v>1</v>
      </c>
      <c r="M107" s="64">
        <f t="shared" si="26"/>
        <v>95.705097084683388</v>
      </c>
      <c r="N107" s="18">
        <v>2</v>
      </c>
      <c r="Q107" s="64">
        <f t="shared" si="27"/>
        <v>113.93405225485253</v>
      </c>
      <c r="R107" s="18">
        <v>3</v>
      </c>
      <c r="U107" s="64">
        <f t="shared" si="28"/>
        <v>111.09942135879838</v>
      </c>
      <c r="V107" s="18">
        <v>2</v>
      </c>
      <c r="Y107" s="114">
        <f t="shared" si="29"/>
        <v>97.875621286587162</v>
      </c>
      <c r="Z107" s="18">
        <v>3</v>
      </c>
      <c r="AC107" s="64">
        <f t="shared" si="30"/>
        <v>109.50350141641081</v>
      </c>
      <c r="AD107" s="24">
        <v>3</v>
      </c>
      <c r="AE107" s="71"/>
      <c r="AF107" s="71"/>
      <c r="AG107" s="71">
        <f t="shared" si="31"/>
        <v>109.20703006144345</v>
      </c>
      <c r="AH107" s="18">
        <v>3</v>
      </c>
      <c r="AK107" s="64">
        <f t="shared" si="32"/>
        <v>110.43726382077395</v>
      </c>
      <c r="AL107" s="18">
        <v>4</v>
      </c>
      <c r="AM107" s="71"/>
      <c r="AN107" s="71"/>
      <c r="AO107" s="71">
        <f t="shared" si="33"/>
        <v>111.97339782828605</v>
      </c>
      <c r="AP107" s="18">
        <v>3</v>
      </c>
      <c r="AQ107" s="71"/>
      <c r="AR107" s="71"/>
      <c r="AS107" s="71">
        <f t="shared" si="34"/>
        <v>110.12341030651692</v>
      </c>
      <c r="AT107" s="18">
        <v>2</v>
      </c>
      <c r="AU107" s="71"/>
      <c r="AV107" s="71"/>
      <c r="AW107" s="71">
        <f t="shared" si="35"/>
        <v>110.91338973410525</v>
      </c>
      <c r="AX107" s="18">
        <v>3</v>
      </c>
      <c r="AY107" s="71"/>
      <c r="AZ107" s="71"/>
      <c r="BA107" s="71">
        <f t="shared" si="36"/>
        <v>111.80497096144313</v>
      </c>
      <c r="BB107" s="85">
        <v>0</v>
      </c>
      <c r="BC107" s="85">
        <v>1</v>
      </c>
      <c r="BD107" s="85">
        <v>1</v>
      </c>
      <c r="BE107" s="85">
        <v>0</v>
      </c>
      <c r="BF107" s="85">
        <v>0</v>
      </c>
      <c r="BG107" s="85">
        <v>0</v>
      </c>
      <c r="BH107" s="19">
        <v>2</v>
      </c>
      <c r="BI107" s="71"/>
      <c r="BJ107" s="71"/>
      <c r="BK107" s="71">
        <f t="shared" si="37"/>
        <v>114.81520780975161</v>
      </c>
      <c r="BL107" s="18">
        <v>3</v>
      </c>
      <c r="BM107" s="71"/>
      <c r="BN107" s="71"/>
      <c r="BO107" s="71">
        <f t="shared" si="38"/>
        <v>111.29665318323313</v>
      </c>
      <c r="BP107" s="18">
        <v>2</v>
      </c>
      <c r="BQ107" s="71"/>
      <c r="BR107" s="71"/>
      <c r="BS107" s="138">
        <f t="shared" si="39"/>
        <v>113.86671101544545</v>
      </c>
      <c r="BT107" s="18">
        <v>2</v>
      </c>
      <c r="BU107" s="71"/>
      <c r="BV107" s="71"/>
      <c r="BW107" s="71">
        <f t="shared" si="40"/>
        <v>102.51956289746849</v>
      </c>
      <c r="BX107" s="85">
        <v>0</v>
      </c>
      <c r="BY107" s="18">
        <v>3</v>
      </c>
      <c r="BZ107" s="71"/>
      <c r="CA107" s="71"/>
      <c r="CB107" s="71">
        <f t="shared" si="41"/>
        <v>110.05345743585116</v>
      </c>
      <c r="CC107" s="18">
        <v>3</v>
      </c>
      <c r="CD107" s="71"/>
      <c r="CE107" s="71"/>
      <c r="CF107" s="71">
        <f t="shared" si="42"/>
        <v>109.36214907383548</v>
      </c>
      <c r="CG107" s="18">
        <v>1</v>
      </c>
      <c r="CH107" s="71"/>
      <c r="CI107" s="71"/>
      <c r="CJ107" s="138">
        <f t="shared" si="43"/>
        <v>103.93736139675698</v>
      </c>
      <c r="CK107" s="18">
        <v>0</v>
      </c>
      <c r="CL107" s="71"/>
      <c r="CM107" s="71"/>
      <c r="CN107" s="71">
        <f t="shared" si="44"/>
        <v>81.025191700811078</v>
      </c>
      <c r="CO107" s="94">
        <v>1</v>
      </c>
      <c r="CP107" s="94">
        <v>1</v>
      </c>
      <c r="CQ107" s="94">
        <v>0</v>
      </c>
      <c r="CR107" s="94">
        <v>0</v>
      </c>
      <c r="CS107" s="102">
        <f t="shared" si="45"/>
        <v>107.86064814527434</v>
      </c>
      <c r="CT107" s="102">
        <f t="shared" si="46"/>
        <v>8.1894979025684531</v>
      </c>
      <c r="CU107" s="102">
        <f t="shared" si="47"/>
        <v>7.5926652058851518E-2</v>
      </c>
      <c r="CV107" s="108">
        <f t="shared" si="48"/>
        <v>107.23884698748932</v>
      </c>
      <c r="CZ107" s="109" t="str">
        <f t="shared" si="49"/>
        <v>Alto</v>
      </c>
    </row>
    <row r="108" spans="1:104" x14ac:dyDescent="0.15">
      <c r="A108" s="84">
        <v>4</v>
      </c>
      <c r="B108" s="84">
        <v>1</v>
      </c>
      <c r="C108" s="84">
        <v>1</v>
      </c>
      <c r="D108" s="84">
        <v>2</v>
      </c>
      <c r="E108" s="85">
        <v>1</v>
      </c>
      <c r="F108" s="17">
        <v>1</v>
      </c>
      <c r="I108" s="64">
        <f t="shared" si="25"/>
        <v>93.428492305734082</v>
      </c>
      <c r="J108" s="17">
        <v>0</v>
      </c>
      <c r="M108" s="64">
        <f t="shared" si="26"/>
        <v>81.388754033628004</v>
      </c>
      <c r="N108" s="17">
        <v>1</v>
      </c>
      <c r="Q108" s="64">
        <f t="shared" si="27"/>
        <v>98.246708656674187</v>
      </c>
      <c r="R108" s="17">
        <v>2</v>
      </c>
      <c r="U108" s="64">
        <f t="shared" si="28"/>
        <v>101.34799174124942</v>
      </c>
      <c r="V108" s="17">
        <v>3</v>
      </c>
      <c r="Y108" s="114">
        <f t="shared" si="29"/>
        <v>104.32462809516186</v>
      </c>
      <c r="Z108" s="17">
        <v>3</v>
      </c>
      <c r="AC108" s="64">
        <f t="shared" si="30"/>
        <v>109.50350141641081</v>
      </c>
      <c r="AD108" s="25">
        <v>0</v>
      </c>
      <c r="AE108" s="71"/>
      <c r="AF108" s="71"/>
      <c r="AG108" s="71">
        <f t="shared" si="31"/>
        <v>84.62281366701329</v>
      </c>
      <c r="AH108" s="17">
        <v>2</v>
      </c>
      <c r="AK108" s="64">
        <f t="shared" si="32"/>
        <v>99.518280131348902</v>
      </c>
      <c r="AL108" s="17">
        <v>3</v>
      </c>
      <c r="AM108" s="71"/>
      <c r="AN108" s="71"/>
      <c r="AO108" s="71">
        <f t="shared" si="33"/>
        <v>100.85056924463234</v>
      </c>
      <c r="AP108" s="17">
        <v>2</v>
      </c>
      <c r="AQ108" s="71"/>
      <c r="AR108" s="71"/>
      <c r="AS108" s="71">
        <f t="shared" si="34"/>
        <v>99.909880620416757</v>
      </c>
      <c r="AT108" s="17">
        <v>1</v>
      </c>
      <c r="AU108" s="71"/>
      <c r="AV108" s="71"/>
      <c r="AW108" s="71">
        <f t="shared" si="35"/>
        <v>100.0638209925971</v>
      </c>
      <c r="AX108" s="17">
        <v>2</v>
      </c>
      <c r="AY108" s="71"/>
      <c r="AZ108" s="71"/>
      <c r="BA108" s="71">
        <f t="shared" si="36"/>
        <v>100.92776194547928</v>
      </c>
      <c r="BB108" s="84">
        <v>1</v>
      </c>
      <c r="BC108" s="84">
        <v>0</v>
      </c>
      <c r="BD108" s="84">
        <v>1</v>
      </c>
      <c r="BE108" s="84">
        <v>0</v>
      </c>
      <c r="BF108" s="84">
        <v>0</v>
      </c>
      <c r="BG108" s="84">
        <v>0</v>
      </c>
      <c r="BH108" s="20">
        <v>0</v>
      </c>
      <c r="BI108" s="71"/>
      <c r="BJ108" s="71"/>
      <c r="BK108" s="71">
        <f t="shared" si="37"/>
        <v>92.176238572378367</v>
      </c>
      <c r="BL108" s="17">
        <v>2</v>
      </c>
      <c r="BM108" s="71"/>
      <c r="BN108" s="71"/>
      <c r="BO108" s="71">
        <f t="shared" si="38"/>
        <v>101.95148996595998</v>
      </c>
      <c r="BP108" s="17">
        <v>1</v>
      </c>
      <c r="BQ108" s="71"/>
      <c r="BR108" s="71"/>
      <c r="BS108" s="138">
        <f t="shared" si="39"/>
        <v>100.16171091563201</v>
      </c>
      <c r="BT108" s="17">
        <v>2</v>
      </c>
      <c r="BU108" s="71"/>
      <c r="BV108" s="71"/>
      <c r="BW108" s="71">
        <f t="shared" si="40"/>
        <v>102.51956289746849</v>
      </c>
      <c r="BX108" s="84">
        <v>3</v>
      </c>
      <c r="BY108" s="17">
        <v>0</v>
      </c>
      <c r="BZ108" s="71"/>
      <c r="CA108" s="71"/>
      <c r="CB108" s="71">
        <f t="shared" si="41"/>
        <v>81.489316531761531</v>
      </c>
      <c r="CC108" s="17">
        <v>1</v>
      </c>
      <c r="CD108" s="71"/>
      <c r="CE108" s="71"/>
      <c r="CF108" s="71">
        <f t="shared" si="42"/>
        <v>91.015574519921572</v>
      </c>
      <c r="CG108" s="17">
        <v>1</v>
      </c>
      <c r="CH108" s="71"/>
      <c r="CI108" s="71"/>
      <c r="CJ108" s="138">
        <f t="shared" si="43"/>
        <v>103.93736139675698</v>
      </c>
      <c r="CK108" s="17">
        <v>3</v>
      </c>
      <c r="CL108" s="71"/>
      <c r="CM108" s="71"/>
      <c r="CN108" s="71">
        <f t="shared" si="44"/>
        <v>109.82624001207998</v>
      </c>
      <c r="CO108" s="93">
        <v>1</v>
      </c>
      <c r="CP108" s="93">
        <v>1</v>
      </c>
      <c r="CQ108" s="93">
        <v>0</v>
      </c>
      <c r="CR108" s="93">
        <v>0</v>
      </c>
      <c r="CS108" s="102">
        <f t="shared" si="45"/>
        <v>96.987470426750235</v>
      </c>
      <c r="CT108" s="102">
        <f t="shared" si="46"/>
        <v>8.5149299908087759</v>
      </c>
      <c r="CU108" s="102">
        <f t="shared" si="47"/>
        <v>8.7794123852726683E-2</v>
      </c>
      <c r="CV108" s="108">
        <f t="shared" si="48"/>
        <v>96.239909608539875</v>
      </c>
      <c r="CZ108" s="109" t="str">
        <f t="shared" si="49"/>
        <v>Medio-Basso</v>
      </c>
    </row>
    <row r="109" spans="1:104" x14ac:dyDescent="0.15">
      <c r="A109" s="85">
        <v>4</v>
      </c>
      <c r="B109" s="85">
        <v>2</v>
      </c>
      <c r="C109" s="85">
        <v>0</v>
      </c>
      <c r="D109" s="85">
        <v>1</v>
      </c>
      <c r="E109" s="85">
        <v>1</v>
      </c>
      <c r="F109" s="18">
        <v>1</v>
      </c>
      <c r="I109" s="64">
        <f t="shared" si="25"/>
        <v>93.428492305734082</v>
      </c>
      <c r="J109" s="18">
        <v>0</v>
      </c>
      <c r="M109" s="64">
        <f t="shared" si="26"/>
        <v>81.388754033628004</v>
      </c>
      <c r="N109" s="18">
        <v>0</v>
      </c>
      <c r="Q109" s="64">
        <f t="shared" si="27"/>
        <v>82.559365058495843</v>
      </c>
      <c r="R109" s="18">
        <v>2</v>
      </c>
      <c r="U109" s="64">
        <f t="shared" si="28"/>
        <v>101.34799174124942</v>
      </c>
      <c r="V109" s="18">
        <v>5</v>
      </c>
      <c r="Y109" s="114">
        <f t="shared" si="29"/>
        <v>117.22264171231127</v>
      </c>
      <c r="Z109" s="18">
        <v>0</v>
      </c>
      <c r="AC109" s="64">
        <f t="shared" si="30"/>
        <v>85.509512691809249</v>
      </c>
      <c r="AD109" s="24">
        <v>0</v>
      </c>
      <c r="AE109" s="71"/>
      <c r="AF109" s="71"/>
      <c r="AG109" s="71">
        <f t="shared" si="31"/>
        <v>84.62281366701329</v>
      </c>
      <c r="AH109" s="18">
        <v>1</v>
      </c>
      <c r="AK109" s="64">
        <f t="shared" si="32"/>
        <v>88.599296441923855</v>
      </c>
      <c r="AL109" s="18">
        <v>3</v>
      </c>
      <c r="AM109" s="71"/>
      <c r="AN109" s="71"/>
      <c r="AO109" s="71">
        <f t="shared" si="33"/>
        <v>100.85056924463234</v>
      </c>
      <c r="AP109" s="18">
        <v>1</v>
      </c>
      <c r="AQ109" s="71"/>
      <c r="AR109" s="71"/>
      <c r="AS109" s="71">
        <f t="shared" si="34"/>
        <v>89.696350934316598</v>
      </c>
      <c r="AT109" s="18">
        <v>0</v>
      </c>
      <c r="AU109" s="71"/>
      <c r="AV109" s="71"/>
      <c r="AW109" s="71">
        <f t="shared" si="35"/>
        <v>89.214252251088965</v>
      </c>
      <c r="AX109" s="18">
        <v>3</v>
      </c>
      <c r="AY109" s="71"/>
      <c r="AZ109" s="71"/>
      <c r="BA109" s="71">
        <f t="shared" si="36"/>
        <v>111.80497096144313</v>
      </c>
      <c r="BB109" s="85">
        <v>1</v>
      </c>
      <c r="BC109" s="85">
        <v>0</v>
      </c>
      <c r="BD109" s="85">
        <v>1</v>
      </c>
      <c r="BE109" s="85">
        <v>0</v>
      </c>
      <c r="BF109" s="85">
        <v>0</v>
      </c>
      <c r="BG109" s="85">
        <v>0</v>
      </c>
      <c r="BH109" s="19">
        <v>0</v>
      </c>
      <c r="BI109" s="71"/>
      <c r="BJ109" s="71"/>
      <c r="BK109" s="71">
        <f t="shared" si="37"/>
        <v>92.176238572378367</v>
      </c>
      <c r="BL109" s="18">
        <v>0</v>
      </c>
      <c r="BM109" s="71"/>
      <c r="BN109" s="71"/>
      <c r="BO109" s="71">
        <f t="shared" si="38"/>
        <v>83.261163531413686</v>
      </c>
      <c r="BP109" s="18">
        <v>0</v>
      </c>
      <c r="BQ109" s="71"/>
      <c r="BR109" s="71"/>
      <c r="BS109" s="138">
        <f t="shared" si="39"/>
        <v>86.456710815818582</v>
      </c>
      <c r="BT109" s="18">
        <v>0</v>
      </c>
      <c r="BU109" s="71"/>
      <c r="BV109" s="71"/>
      <c r="BW109" s="71">
        <f t="shared" si="40"/>
        <v>83.482865449928767</v>
      </c>
      <c r="BX109" s="85">
        <v>3</v>
      </c>
      <c r="BY109" s="18">
        <v>0</v>
      </c>
      <c r="BZ109" s="71"/>
      <c r="CA109" s="71"/>
      <c r="CB109" s="71">
        <f t="shared" si="41"/>
        <v>81.489316531761531</v>
      </c>
      <c r="CC109" s="18">
        <v>0</v>
      </c>
      <c r="CD109" s="71"/>
      <c r="CE109" s="71"/>
      <c r="CF109" s="71">
        <f t="shared" si="42"/>
        <v>81.842287242964616</v>
      </c>
      <c r="CG109" s="18">
        <v>2</v>
      </c>
      <c r="CH109" s="71"/>
      <c r="CI109" s="71"/>
      <c r="CJ109" s="138">
        <f t="shared" si="43"/>
        <v>118.64838200002481</v>
      </c>
      <c r="CK109" s="18">
        <v>0</v>
      </c>
      <c r="CL109" s="71"/>
      <c r="CM109" s="71"/>
      <c r="CN109" s="71">
        <f t="shared" si="44"/>
        <v>81.025191700811078</v>
      </c>
      <c r="CO109" s="94">
        <v>0</v>
      </c>
      <c r="CP109" s="94">
        <v>0</v>
      </c>
      <c r="CQ109" s="94">
        <v>0</v>
      </c>
      <c r="CR109" s="94">
        <v>1</v>
      </c>
      <c r="CS109" s="102">
        <f t="shared" si="45"/>
        <v>88.958790138858404</v>
      </c>
      <c r="CT109" s="102">
        <f t="shared" si="46"/>
        <v>8.6916196630516591</v>
      </c>
      <c r="CU109" s="102">
        <f t="shared" si="47"/>
        <v>9.7703887940524523E-2</v>
      </c>
      <c r="CV109" s="108">
        <f t="shared" si="48"/>
        <v>88.109585105277944</v>
      </c>
      <c r="CZ109" s="109" t="str">
        <f t="shared" si="49"/>
        <v>Basso</v>
      </c>
    </row>
    <row r="110" spans="1:104" x14ac:dyDescent="0.15">
      <c r="A110" s="84">
        <v>3</v>
      </c>
      <c r="B110" s="84">
        <v>1</v>
      </c>
      <c r="C110" s="84">
        <v>2</v>
      </c>
      <c r="D110" s="84">
        <v>0</v>
      </c>
      <c r="E110" s="85">
        <v>1</v>
      </c>
      <c r="F110" s="17">
        <v>1</v>
      </c>
      <c r="I110" s="64">
        <f t="shared" si="25"/>
        <v>93.428492305734082</v>
      </c>
      <c r="J110" s="17">
        <v>1</v>
      </c>
      <c r="M110" s="64">
        <f t="shared" si="26"/>
        <v>95.705097084683388</v>
      </c>
      <c r="N110" s="17">
        <v>1</v>
      </c>
      <c r="Q110" s="64">
        <f t="shared" si="27"/>
        <v>98.246708656674187</v>
      </c>
      <c r="R110" s="17">
        <v>1</v>
      </c>
      <c r="U110" s="64">
        <f t="shared" si="28"/>
        <v>91.596562123700451</v>
      </c>
      <c r="V110" s="17">
        <v>2</v>
      </c>
      <c r="Y110" s="114">
        <f t="shared" si="29"/>
        <v>97.875621286587162</v>
      </c>
      <c r="Z110" s="17">
        <v>3</v>
      </c>
      <c r="AC110" s="64">
        <f t="shared" si="30"/>
        <v>109.50350141641081</v>
      </c>
      <c r="AD110" s="25">
        <v>2</v>
      </c>
      <c r="AE110" s="71"/>
      <c r="AF110" s="71"/>
      <c r="AG110" s="71">
        <f t="shared" si="31"/>
        <v>101.01229126330007</v>
      </c>
      <c r="AH110" s="17">
        <v>2</v>
      </c>
      <c r="AK110" s="64">
        <f t="shared" si="32"/>
        <v>99.518280131348902</v>
      </c>
      <c r="AL110" s="17">
        <v>3</v>
      </c>
      <c r="AM110" s="71"/>
      <c r="AN110" s="71"/>
      <c r="AO110" s="71">
        <f t="shared" si="33"/>
        <v>100.85056924463234</v>
      </c>
      <c r="AP110" s="17">
        <v>2</v>
      </c>
      <c r="AQ110" s="71"/>
      <c r="AR110" s="71"/>
      <c r="AS110" s="71">
        <f t="shared" si="34"/>
        <v>99.909880620416757</v>
      </c>
      <c r="AT110" s="17">
        <v>0</v>
      </c>
      <c r="AU110" s="71"/>
      <c r="AV110" s="71"/>
      <c r="AW110" s="71">
        <f t="shared" si="35"/>
        <v>89.214252251088965</v>
      </c>
      <c r="AX110" s="17">
        <v>1</v>
      </c>
      <c r="AY110" s="71"/>
      <c r="AZ110" s="71"/>
      <c r="BA110" s="71">
        <f t="shared" si="36"/>
        <v>90.050552929515405</v>
      </c>
      <c r="BB110" s="84">
        <v>1</v>
      </c>
      <c r="BC110" s="84">
        <v>0</v>
      </c>
      <c r="BD110" s="84">
        <v>1</v>
      </c>
      <c r="BE110" s="84">
        <v>0</v>
      </c>
      <c r="BF110" s="84">
        <v>0</v>
      </c>
      <c r="BG110" s="84">
        <v>0</v>
      </c>
      <c r="BH110" s="20">
        <v>0</v>
      </c>
      <c r="BI110" s="71"/>
      <c r="BJ110" s="71"/>
      <c r="BK110" s="71">
        <f t="shared" si="37"/>
        <v>92.176238572378367</v>
      </c>
      <c r="BL110" s="17">
        <v>2</v>
      </c>
      <c r="BM110" s="71"/>
      <c r="BN110" s="71"/>
      <c r="BO110" s="71">
        <f t="shared" si="38"/>
        <v>101.95148996595998</v>
      </c>
      <c r="BP110" s="17">
        <v>1</v>
      </c>
      <c r="BQ110" s="71"/>
      <c r="BR110" s="71"/>
      <c r="BS110" s="138">
        <f t="shared" si="39"/>
        <v>100.16171091563201</v>
      </c>
      <c r="BT110" s="17">
        <v>1</v>
      </c>
      <c r="BU110" s="71"/>
      <c r="BV110" s="71"/>
      <c r="BW110" s="71">
        <f t="shared" si="40"/>
        <v>93.001214173698628</v>
      </c>
      <c r="BX110" s="84">
        <v>0</v>
      </c>
      <c r="BY110" s="17">
        <v>2</v>
      </c>
      <c r="BZ110" s="71"/>
      <c r="CA110" s="71"/>
      <c r="CB110" s="71">
        <f t="shared" si="41"/>
        <v>100.53207713448795</v>
      </c>
      <c r="CC110" s="17">
        <v>2</v>
      </c>
      <c r="CD110" s="71"/>
      <c r="CE110" s="71"/>
      <c r="CF110" s="71">
        <f t="shared" si="42"/>
        <v>100.18886179687853</v>
      </c>
      <c r="CG110" s="17">
        <v>1</v>
      </c>
      <c r="CH110" s="71"/>
      <c r="CI110" s="71"/>
      <c r="CJ110" s="138">
        <f t="shared" si="43"/>
        <v>103.93736139675698</v>
      </c>
      <c r="CK110" s="17">
        <v>3</v>
      </c>
      <c r="CL110" s="71"/>
      <c r="CM110" s="71"/>
      <c r="CN110" s="71">
        <f t="shared" si="44"/>
        <v>109.82624001207998</v>
      </c>
      <c r="CO110" s="93">
        <v>1</v>
      </c>
      <c r="CP110" s="93">
        <v>0</v>
      </c>
      <c r="CQ110" s="93">
        <v>1</v>
      </c>
      <c r="CR110" s="93">
        <v>0</v>
      </c>
      <c r="CS110" s="102">
        <f t="shared" si="45"/>
        <v>98.041900569587568</v>
      </c>
      <c r="CT110" s="102">
        <f t="shared" si="46"/>
        <v>6.0655131179760557</v>
      </c>
      <c r="CU110" s="102">
        <f t="shared" si="47"/>
        <v>6.1866539538071419E-2</v>
      </c>
      <c r="CV110" s="108">
        <f t="shared" si="48"/>
        <v>97.66664826245561</v>
      </c>
      <c r="CZ110" s="109" t="str">
        <f t="shared" si="49"/>
        <v>Medio-Basso</v>
      </c>
    </row>
    <row r="111" spans="1:104" x14ac:dyDescent="0.15">
      <c r="A111" s="85">
        <v>3</v>
      </c>
      <c r="B111" s="85">
        <v>2</v>
      </c>
      <c r="C111" s="85">
        <v>3</v>
      </c>
      <c r="D111" s="85">
        <v>3</v>
      </c>
      <c r="E111" s="85">
        <v>1</v>
      </c>
      <c r="F111" s="18">
        <v>2</v>
      </c>
      <c r="I111" s="64">
        <f t="shared" si="25"/>
        <v>109.85726154139888</v>
      </c>
      <c r="J111" s="18">
        <v>2</v>
      </c>
      <c r="M111" s="64">
        <f t="shared" si="26"/>
        <v>110.02144013573877</v>
      </c>
      <c r="N111" s="18">
        <v>1</v>
      </c>
      <c r="Q111" s="64">
        <f t="shared" si="27"/>
        <v>98.246708656674187</v>
      </c>
      <c r="R111" s="18">
        <v>2</v>
      </c>
      <c r="U111" s="64">
        <f t="shared" si="28"/>
        <v>101.34799174124942</v>
      </c>
      <c r="V111" s="18">
        <v>4</v>
      </c>
      <c r="Y111" s="114">
        <f t="shared" si="29"/>
        <v>110.77363490373656</v>
      </c>
      <c r="Z111" s="18">
        <v>3</v>
      </c>
      <c r="AC111" s="64">
        <f t="shared" si="30"/>
        <v>109.50350141641081</v>
      </c>
      <c r="AD111" s="24">
        <v>3</v>
      </c>
      <c r="AE111" s="71"/>
      <c r="AF111" s="71"/>
      <c r="AG111" s="71">
        <f t="shared" si="31"/>
        <v>109.20703006144345</v>
      </c>
      <c r="AH111" s="18">
        <v>3</v>
      </c>
      <c r="AK111" s="64">
        <f t="shared" si="32"/>
        <v>110.43726382077395</v>
      </c>
      <c r="AL111" s="18">
        <v>0</v>
      </c>
      <c r="AM111" s="71"/>
      <c r="AN111" s="71"/>
      <c r="AO111" s="71">
        <f t="shared" si="33"/>
        <v>67.482083493671226</v>
      </c>
      <c r="AP111" s="18">
        <v>2</v>
      </c>
      <c r="AQ111" s="71"/>
      <c r="AR111" s="71"/>
      <c r="AS111" s="71">
        <f t="shared" si="34"/>
        <v>99.909880620416757</v>
      </c>
      <c r="AT111" s="18">
        <v>2</v>
      </c>
      <c r="AU111" s="71"/>
      <c r="AV111" s="71"/>
      <c r="AW111" s="71">
        <f t="shared" si="35"/>
        <v>110.91338973410525</v>
      </c>
      <c r="AX111" s="18">
        <v>1</v>
      </c>
      <c r="AY111" s="71"/>
      <c r="AZ111" s="71"/>
      <c r="BA111" s="71">
        <f t="shared" si="36"/>
        <v>90.050552929515405</v>
      </c>
      <c r="BB111" s="85">
        <v>1</v>
      </c>
      <c r="BC111" s="85">
        <v>0</v>
      </c>
      <c r="BD111" s="85">
        <v>1</v>
      </c>
      <c r="BE111" s="85">
        <v>0</v>
      </c>
      <c r="BF111" s="85">
        <v>0</v>
      </c>
      <c r="BG111" s="85">
        <v>0</v>
      </c>
      <c r="BH111" s="19">
        <v>2</v>
      </c>
      <c r="BI111" s="71"/>
      <c r="BJ111" s="71"/>
      <c r="BK111" s="71">
        <f t="shared" si="37"/>
        <v>114.81520780975161</v>
      </c>
      <c r="BL111" s="18">
        <v>2</v>
      </c>
      <c r="BM111" s="71"/>
      <c r="BN111" s="71"/>
      <c r="BO111" s="71">
        <f t="shared" si="38"/>
        <v>101.95148996595998</v>
      </c>
      <c r="BP111" s="18">
        <v>1</v>
      </c>
      <c r="BQ111" s="71"/>
      <c r="BR111" s="71"/>
      <c r="BS111" s="138">
        <f t="shared" si="39"/>
        <v>100.16171091563201</v>
      </c>
      <c r="BT111" s="18">
        <v>2</v>
      </c>
      <c r="BU111" s="71"/>
      <c r="BV111" s="71"/>
      <c r="BW111" s="71">
        <f t="shared" si="40"/>
        <v>102.51956289746849</v>
      </c>
      <c r="BX111" s="85">
        <v>2</v>
      </c>
      <c r="BY111" s="18">
        <v>2</v>
      </c>
      <c r="BZ111" s="71"/>
      <c r="CA111" s="71"/>
      <c r="CB111" s="71">
        <f t="shared" si="41"/>
        <v>100.53207713448795</v>
      </c>
      <c r="CC111" s="18">
        <v>3</v>
      </c>
      <c r="CD111" s="71"/>
      <c r="CE111" s="71"/>
      <c r="CF111" s="71">
        <f t="shared" si="42"/>
        <v>109.36214907383548</v>
      </c>
      <c r="CG111" s="18">
        <v>0</v>
      </c>
      <c r="CH111" s="71"/>
      <c r="CI111" s="71"/>
      <c r="CJ111" s="138">
        <f t="shared" si="43"/>
        <v>89.226340793489143</v>
      </c>
      <c r="CK111" s="18">
        <v>1</v>
      </c>
      <c r="CL111" s="71"/>
      <c r="CM111" s="71"/>
      <c r="CN111" s="71">
        <f t="shared" si="44"/>
        <v>90.625541137900711</v>
      </c>
      <c r="CO111" s="94">
        <v>0</v>
      </c>
      <c r="CP111" s="94">
        <v>1</v>
      </c>
      <c r="CQ111" s="94">
        <v>1</v>
      </c>
      <c r="CR111" s="94">
        <v>0</v>
      </c>
      <c r="CS111" s="102">
        <f t="shared" si="45"/>
        <v>102.16371365710602</v>
      </c>
      <c r="CT111" s="102">
        <f t="shared" si="46"/>
        <v>11.423378257636861</v>
      </c>
      <c r="CU111" s="102">
        <f t="shared" si="47"/>
        <v>0.11181443830416501</v>
      </c>
      <c r="CV111" s="108">
        <f t="shared" si="48"/>
        <v>100.88641503369234</v>
      </c>
      <c r="CZ111" s="109" t="str">
        <f t="shared" si="49"/>
        <v>Medio-Alto</v>
      </c>
    </row>
    <row r="112" spans="1:104" x14ac:dyDescent="0.15">
      <c r="A112" s="84">
        <v>3</v>
      </c>
      <c r="B112" s="84">
        <v>1</v>
      </c>
      <c r="C112" s="84">
        <v>2</v>
      </c>
      <c r="D112" s="84">
        <v>2</v>
      </c>
      <c r="E112" s="85">
        <v>1</v>
      </c>
      <c r="F112" s="17">
        <v>1</v>
      </c>
      <c r="I112" s="64">
        <f t="shared" si="25"/>
        <v>93.428492305734082</v>
      </c>
      <c r="J112" s="17">
        <v>0</v>
      </c>
      <c r="M112" s="64">
        <f t="shared" si="26"/>
        <v>81.388754033628004</v>
      </c>
      <c r="N112" s="17">
        <v>1</v>
      </c>
      <c r="Q112" s="64">
        <f t="shared" si="27"/>
        <v>98.246708656674187</v>
      </c>
      <c r="R112" s="17">
        <v>1</v>
      </c>
      <c r="U112" s="64">
        <f t="shared" si="28"/>
        <v>91.596562123700451</v>
      </c>
      <c r="V112" s="17">
        <v>3</v>
      </c>
      <c r="Y112" s="114">
        <f t="shared" si="29"/>
        <v>104.32462809516186</v>
      </c>
      <c r="Z112" s="17">
        <v>0</v>
      </c>
      <c r="AC112" s="64">
        <f t="shared" si="30"/>
        <v>85.509512691809249</v>
      </c>
      <c r="AD112" s="25">
        <v>2</v>
      </c>
      <c r="AE112" s="71"/>
      <c r="AF112" s="71"/>
      <c r="AG112" s="71">
        <f t="shared" si="31"/>
        <v>101.01229126330007</v>
      </c>
      <c r="AH112" s="17">
        <v>2</v>
      </c>
      <c r="AK112" s="64">
        <f t="shared" si="32"/>
        <v>99.518280131348902</v>
      </c>
      <c r="AL112" s="17">
        <v>3</v>
      </c>
      <c r="AM112" s="71"/>
      <c r="AN112" s="71"/>
      <c r="AO112" s="71">
        <f t="shared" si="33"/>
        <v>100.85056924463234</v>
      </c>
      <c r="AP112" s="17">
        <v>2</v>
      </c>
      <c r="AQ112" s="71"/>
      <c r="AR112" s="71"/>
      <c r="AS112" s="71">
        <f t="shared" si="34"/>
        <v>99.909880620416757</v>
      </c>
      <c r="AT112" s="17">
        <v>0</v>
      </c>
      <c r="AU112" s="71"/>
      <c r="AV112" s="71"/>
      <c r="AW112" s="71">
        <f t="shared" si="35"/>
        <v>89.214252251088965</v>
      </c>
      <c r="AX112" s="17">
        <v>3</v>
      </c>
      <c r="AY112" s="71"/>
      <c r="AZ112" s="71"/>
      <c r="BA112" s="71">
        <f t="shared" si="36"/>
        <v>111.80497096144313</v>
      </c>
      <c r="BB112" s="84">
        <v>1</v>
      </c>
      <c r="BC112" s="84">
        <v>0</v>
      </c>
      <c r="BD112" s="84">
        <v>1</v>
      </c>
      <c r="BE112" s="84">
        <v>0</v>
      </c>
      <c r="BF112" s="84">
        <v>0</v>
      </c>
      <c r="BG112" s="84">
        <v>0</v>
      </c>
      <c r="BH112" s="20">
        <v>0</v>
      </c>
      <c r="BI112" s="71"/>
      <c r="BJ112" s="71"/>
      <c r="BK112" s="71">
        <f t="shared" si="37"/>
        <v>92.176238572378367</v>
      </c>
      <c r="BL112" s="17">
        <v>3</v>
      </c>
      <c r="BM112" s="71"/>
      <c r="BN112" s="71"/>
      <c r="BO112" s="71">
        <f t="shared" si="38"/>
        <v>111.29665318323313</v>
      </c>
      <c r="BP112" s="17">
        <v>0</v>
      </c>
      <c r="BQ112" s="71"/>
      <c r="BR112" s="71"/>
      <c r="BS112" s="138">
        <f t="shared" si="39"/>
        <v>86.456710815818582</v>
      </c>
      <c r="BT112" s="17">
        <v>0</v>
      </c>
      <c r="BU112" s="71"/>
      <c r="BV112" s="71"/>
      <c r="BW112" s="71">
        <f t="shared" si="40"/>
        <v>83.482865449928767</v>
      </c>
      <c r="BX112" s="84">
        <v>0</v>
      </c>
      <c r="BY112" s="17">
        <v>3</v>
      </c>
      <c r="BZ112" s="71"/>
      <c r="CA112" s="71"/>
      <c r="CB112" s="71">
        <f t="shared" si="41"/>
        <v>110.05345743585116</v>
      </c>
      <c r="CC112" s="17">
        <v>2</v>
      </c>
      <c r="CD112" s="71"/>
      <c r="CE112" s="71"/>
      <c r="CF112" s="71">
        <f t="shared" si="42"/>
        <v>100.18886179687853</v>
      </c>
      <c r="CG112" s="17">
        <v>1</v>
      </c>
      <c r="CH112" s="71"/>
      <c r="CI112" s="71"/>
      <c r="CJ112" s="138">
        <f t="shared" si="43"/>
        <v>103.93736139675698</v>
      </c>
      <c r="CK112" s="17">
        <v>3</v>
      </c>
      <c r="CL112" s="71"/>
      <c r="CM112" s="71"/>
      <c r="CN112" s="71">
        <f t="shared" si="44"/>
        <v>109.82624001207998</v>
      </c>
      <c r="CO112" s="93">
        <v>1</v>
      </c>
      <c r="CP112" s="93">
        <v>1</v>
      </c>
      <c r="CQ112" s="93">
        <v>0</v>
      </c>
      <c r="CR112" s="93">
        <v>0</v>
      </c>
      <c r="CS112" s="102">
        <f t="shared" si="45"/>
        <v>97.617917102007411</v>
      </c>
      <c r="CT112" s="102">
        <f t="shared" si="46"/>
        <v>9.6622586575703266</v>
      </c>
      <c r="CU112" s="102">
        <f t="shared" si="47"/>
        <v>9.8980381311287294E-2</v>
      </c>
      <c r="CV112" s="108">
        <f t="shared" si="48"/>
        <v>96.661543055752816</v>
      </c>
      <c r="CZ112" s="109" t="str">
        <f t="shared" si="49"/>
        <v>Medio-Basso</v>
      </c>
    </row>
    <row r="113" spans="1:104" x14ac:dyDescent="0.15">
      <c r="A113" s="85">
        <v>3</v>
      </c>
      <c r="B113" s="85">
        <v>1</v>
      </c>
      <c r="C113" s="85">
        <v>3</v>
      </c>
      <c r="D113" s="85">
        <v>2</v>
      </c>
      <c r="E113" s="85">
        <v>1</v>
      </c>
      <c r="F113" s="18">
        <v>2</v>
      </c>
      <c r="I113" s="64">
        <f t="shared" si="25"/>
        <v>109.85726154139888</v>
      </c>
      <c r="J113" s="18">
        <v>2</v>
      </c>
      <c r="M113" s="64">
        <f t="shared" si="26"/>
        <v>110.02144013573877</v>
      </c>
      <c r="N113" s="18">
        <v>1</v>
      </c>
      <c r="Q113" s="64">
        <f t="shared" si="27"/>
        <v>98.246708656674187</v>
      </c>
      <c r="R113" s="18">
        <v>2</v>
      </c>
      <c r="U113" s="64">
        <f t="shared" si="28"/>
        <v>101.34799174124942</v>
      </c>
      <c r="V113" s="18">
        <v>0</v>
      </c>
      <c r="Y113" s="114">
        <f t="shared" si="29"/>
        <v>84.977607669437745</v>
      </c>
      <c r="Z113" s="18">
        <v>2</v>
      </c>
      <c r="AC113" s="64">
        <f t="shared" si="30"/>
        <v>101.50550517487696</v>
      </c>
      <c r="AD113" s="24">
        <v>3</v>
      </c>
      <c r="AE113" s="71"/>
      <c r="AF113" s="71"/>
      <c r="AG113" s="71">
        <f t="shared" si="31"/>
        <v>109.20703006144345</v>
      </c>
      <c r="AH113" s="18">
        <v>3</v>
      </c>
      <c r="AK113" s="64">
        <f t="shared" si="32"/>
        <v>110.43726382077395</v>
      </c>
      <c r="AL113" s="18">
        <v>3</v>
      </c>
      <c r="AM113" s="71"/>
      <c r="AN113" s="71"/>
      <c r="AO113" s="71">
        <f t="shared" si="33"/>
        <v>100.85056924463234</v>
      </c>
      <c r="AP113" s="18">
        <v>3</v>
      </c>
      <c r="AQ113" s="71"/>
      <c r="AR113" s="71"/>
      <c r="AS113" s="71">
        <f t="shared" si="34"/>
        <v>110.12341030651692</v>
      </c>
      <c r="AT113" s="18">
        <v>0</v>
      </c>
      <c r="AU113" s="71"/>
      <c r="AV113" s="71"/>
      <c r="AW113" s="71">
        <f t="shared" si="35"/>
        <v>89.214252251088965</v>
      </c>
      <c r="AX113" s="18">
        <v>1</v>
      </c>
      <c r="AY113" s="71"/>
      <c r="AZ113" s="71"/>
      <c r="BA113" s="71">
        <f t="shared" si="36"/>
        <v>90.050552929515405</v>
      </c>
      <c r="BB113" s="85">
        <v>1</v>
      </c>
      <c r="BC113" s="85">
        <v>0</v>
      </c>
      <c r="BD113" s="85">
        <v>1</v>
      </c>
      <c r="BE113" s="85">
        <v>0</v>
      </c>
      <c r="BF113" s="85">
        <v>0</v>
      </c>
      <c r="BG113" s="85">
        <v>0</v>
      </c>
      <c r="BH113" s="19">
        <v>2</v>
      </c>
      <c r="BI113" s="71"/>
      <c r="BJ113" s="71"/>
      <c r="BK113" s="71">
        <f t="shared" si="37"/>
        <v>114.81520780975161</v>
      </c>
      <c r="BL113" s="18">
        <v>0</v>
      </c>
      <c r="BM113" s="71"/>
      <c r="BN113" s="71"/>
      <c r="BO113" s="71">
        <f t="shared" si="38"/>
        <v>83.261163531413686</v>
      </c>
      <c r="BP113" s="18">
        <v>2</v>
      </c>
      <c r="BQ113" s="71"/>
      <c r="BR113" s="71"/>
      <c r="BS113" s="138">
        <f t="shared" si="39"/>
        <v>113.86671101544545</v>
      </c>
      <c r="BT113" s="18">
        <v>3</v>
      </c>
      <c r="BU113" s="71"/>
      <c r="BV113" s="71"/>
      <c r="BW113" s="71">
        <f t="shared" si="40"/>
        <v>112.03791162123835</v>
      </c>
      <c r="BX113" s="85">
        <v>1</v>
      </c>
      <c r="BY113" s="18">
        <v>3</v>
      </c>
      <c r="BZ113" s="71"/>
      <c r="CA113" s="71"/>
      <c r="CB113" s="71">
        <f t="shared" si="41"/>
        <v>110.05345743585116</v>
      </c>
      <c r="CC113" s="18">
        <v>3</v>
      </c>
      <c r="CD113" s="71"/>
      <c r="CE113" s="71"/>
      <c r="CF113" s="71">
        <f t="shared" si="42"/>
        <v>109.36214907383548</v>
      </c>
      <c r="CG113" s="18">
        <v>1</v>
      </c>
      <c r="CH113" s="71"/>
      <c r="CI113" s="71"/>
      <c r="CJ113" s="138">
        <f t="shared" si="43"/>
        <v>103.93736139675698</v>
      </c>
      <c r="CK113" s="18">
        <v>1</v>
      </c>
      <c r="CL113" s="71"/>
      <c r="CM113" s="71"/>
      <c r="CN113" s="71">
        <f t="shared" si="44"/>
        <v>90.625541137900711</v>
      </c>
      <c r="CO113" s="94">
        <v>0</v>
      </c>
      <c r="CP113" s="94">
        <v>1</v>
      </c>
      <c r="CQ113" s="94">
        <v>1</v>
      </c>
      <c r="CR113" s="94">
        <v>0</v>
      </c>
      <c r="CS113" s="102">
        <f t="shared" si="45"/>
        <v>103.00102449846474</v>
      </c>
      <c r="CT113" s="102">
        <f t="shared" si="46"/>
        <v>9.6341752012284143</v>
      </c>
      <c r="CU113" s="102">
        <f t="shared" si="47"/>
        <v>9.3534751213780534E-2</v>
      </c>
      <c r="CV113" s="108">
        <f t="shared" si="48"/>
        <v>102.09989431786786</v>
      </c>
      <c r="CZ113" s="109" t="str">
        <f t="shared" si="49"/>
        <v>Medio-Alto</v>
      </c>
    </row>
    <row r="114" spans="1:104" x14ac:dyDescent="0.15">
      <c r="A114" s="84">
        <v>3</v>
      </c>
      <c r="B114" s="84">
        <v>1</v>
      </c>
      <c r="C114" s="84">
        <v>3</v>
      </c>
      <c r="D114" s="84">
        <v>2</v>
      </c>
      <c r="E114" s="85">
        <v>1</v>
      </c>
      <c r="F114" s="17">
        <v>1</v>
      </c>
      <c r="I114" s="64">
        <f t="shared" si="25"/>
        <v>93.428492305734082</v>
      </c>
      <c r="J114" s="17">
        <v>1</v>
      </c>
      <c r="M114" s="64">
        <f t="shared" si="26"/>
        <v>95.705097084683388</v>
      </c>
      <c r="N114" s="17">
        <v>0</v>
      </c>
      <c r="Q114" s="64">
        <f t="shared" si="27"/>
        <v>82.559365058495843</v>
      </c>
      <c r="R114" s="17">
        <v>0</v>
      </c>
      <c r="U114" s="64">
        <f t="shared" si="28"/>
        <v>81.845132506151486</v>
      </c>
      <c r="V114" s="17">
        <v>4</v>
      </c>
      <c r="Y114" s="114">
        <f t="shared" si="29"/>
        <v>110.77363490373656</v>
      </c>
      <c r="Z114" s="17">
        <v>0</v>
      </c>
      <c r="AC114" s="64">
        <f t="shared" si="30"/>
        <v>85.509512691809249</v>
      </c>
      <c r="AD114" s="25">
        <v>3</v>
      </c>
      <c r="AE114" s="71"/>
      <c r="AF114" s="71"/>
      <c r="AG114" s="71">
        <f t="shared" si="31"/>
        <v>109.20703006144345</v>
      </c>
      <c r="AH114" s="17">
        <v>0</v>
      </c>
      <c r="AK114" s="64">
        <f t="shared" si="32"/>
        <v>77.680312752498807</v>
      </c>
      <c r="AL114" s="17">
        <v>3</v>
      </c>
      <c r="AM114" s="71"/>
      <c r="AN114" s="71"/>
      <c r="AO114" s="71">
        <f t="shared" si="33"/>
        <v>100.85056924463234</v>
      </c>
      <c r="AP114" s="17">
        <v>3</v>
      </c>
      <c r="AQ114" s="71"/>
      <c r="AR114" s="71"/>
      <c r="AS114" s="71">
        <f t="shared" si="34"/>
        <v>110.12341030651692</v>
      </c>
      <c r="AT114" s="17">
        <v>0</v>
      </c>
      <c r="AU114" s="71"/>
      <c r="AV114" s="71"/>
      <c r="AW114" s="71">
        <f t="shared" si="35"/>
        <v>89.214252251088965</v>
      </c>
      <c r="AX114" s="17">
        <v>0</v>
      </c>
      <c r="AY114" s="71"/>
      <c r="AZ114" s="71"/>
      <c r="BA114" s="71">
        <f t="shared" si="36"/>
        <v>79.173343913551548</v>
      </c>
      <c r="BB114" s="84">
        <v>1</v>
      </c>
      <c r="BC114" s="84">
        <v>0</v>
      </c>
      <c r="BD114" s="84">
        <v>0</v>
      </c>
      <c r="BE114" s="84">
        <v>1</v>
      </c>
      <c r="BF114" s="84">
        <v>0</v>
      </c>
      <c r="BG114" s="84">
        <v>0</v>
      </c>
      <c r="BH114" s="20">
        <v>0</v>
      </c>
      <c r="BI114" s="71"/>
      <c r="BJ114" s="71"/>
      <c r="BK114" s="71">
        <f t="shared" si="37"/>
        <v>92.176238572378367</v>
      </c>
      <c r="BL114" s="17">
        <v>0</v>
      </c>
      <c r="BM114" s="71"/>
      <c r="BN114" s="71"/>
      <c r="BO114" s="71">
        <f t="shared" si="38"/>
        <v>83.261163531413686</v>
      </c>
      <c r="BP114" s="17">
        <v>0</v>
      </c>
      <c r="BQ114" s="71"/>
      <c r="BR114" s="71"/>
      <c r="BS114" s="138">
        <f t="shared" si="39"/>
        <v>86.456710815818582</v>
      </c>
      <c r="BT114" s="17">
        <v>3</v>
      </c>
      <c r="BU114" s="71"/>
      <c r="BV114" s="71"/>
      <c r="BW114" s="71">
        <f t="shared" si="40"/>
        <v>112.03791162123835</v>
      </c>
      <c r="BX114" s="84">
        <v>2</v>
      </c>
      <c r="BY114" s="17">
        <v>2</v>
      </c>
      <c r="BZ114" s="71"/>
      <c r="CA114" s="71"/>
      <c r="CB114" s="71">
        <f t="shared" si="41"/>
        <v>100.53207713448795</v>
      </c>
      <c r="CC114" s="17">
        <v>0</v>
      </c>
      <c r="CD114" s="71"/>
      <c r="CE114" s="71"/>
      <c r="CF114" s="71">
        <f t="shared" si="42"/>
        <v>81.842287242964616</v>
      </c>
      <c r="CG114" s="17">
        <v>0</v>
      </c>
      <c r="CH114" s="71"/>
      <c r="CI114" s="71"/>
      <c r="CJ114" s="138">
        <f t="shared" si="43"/>
        <v>89.226340793489143</v>
      </c>
      <c r="CK114" s="17">
        <v>2</v>
      </c>
      <c r="CL114" s="71"/>
      <c r="CM114" s="71"/>
      <c r="CN114" s="71">
        <f t="shared" si="44"/>
        <v>100.22589057499034</v>
      </c>
      <c r="CO114" s="93">
        <v>0</v>
      </c>
      <c r="CP114" s="93">
        <v>1</v>
      </c>
      <c r="CQ114" s="93">
        <v>0</v>
      </c>
      <c r="CR114" s="93">
        <v>0</v>
      </c>
      <c r="CS114" s="102">
        <f t="shared" si="45"/>
        <v>92.668946285534105</v>
      </c>
      <c r="CT114" s="102">
        <f t="shared" si="46"/>
        <v>11.303486012725367</v>
      </c>
      <c r="CU114" s="102">
        <f t="shared" si="47"/>
        <v>0.12197706422491042</v>
      </c>
      <c r="CV114" s="108">
        <f t="shared" si="48"/>
        <v>91.290180246194524</v>
      </c>
      <c r="CZ114" s="109" t="str">
        <f t="shared" si="49"/>
        <v>Basso</v>
      </c>
    </row>
    <row r="115" spans="1:104" x14ac:dyDescent="0.15">
      <c r="A115" s="85">
        <v>3</v>
      </c>
      <c r="B115" s="85">
        <v>2</v>
      </c>
      <c r="C115" s="85">
        <v>3</v>
      </c>
      <c r="D115" s="85">
        <v>2</v>
      </c>
      <c r="E115" s="85">
        <v>1</v>
      </c>
      <c r="F115" s="18">
        <v>2</v>
      </c>
      <c r="I115" s="64">
        <f t="shared" si="25"/>
        <v>109.85726154139888</v>
      </c>
      <c r="J115" s="18">
        <v>1</v>
      </c>
      <c r="M115" s="64">
        <f t="shared" si="26"/>
        <v>95.705097084683388</v>
      </c>
      <c r="N115" s="18">
        <v>1</v>
      </c>
      <c r="Q115" s="64">
        <f t="shared" si="27"/>
        <v>98.246708656674187</v>
      </c>
      <c r="R115" s="18">
        <v>2</v>
      </c>
      <c r="U115" s="64">
        <f t="shared" si="28"/>
        <v>101.34799174124942</v>
      </c>
      <c r="V115" s="18">
        <v>4</v>
      </c>
      <c r="Y115" s="114">
        <f t="shared" si="29"/>
        <v>110.77363490373656</v>
      </c>
      <c r="Z115" s="18">
        <v>0</v>
      </c>
      <c r="AC115" s="64">
        <f t="shared" si="30"/>
        <v>85.509512691809249</v>
      </c>
      <c r="AD115" s="24">
        <v>1</v>
      </c>
      <c r="AE115" s="71"/>
      <c r="AF115" s="71"/>
      <c r="AG115" s="71">
        <f t="shared" si="31"/>
        <v>92.81755246515668</v>
      </c>
      <c r="AH115" s="18">
        <v>1</v>
      </c>
      <c r="AK115" s="64">
        <f t="shared" si="32"/>
        <v>88.599296441923855</v>
      </c>
      <c r="AL115" s="18">
        <v>3</v>
      </c>
      <c r="AM115" s="71"/>
      <c r="AN115" s="71"/>
      <c r="AO115" s="71">
        <f t="shared" si="33"/>
        <v>100.85056924463234</v>
      </c>
      <c r="AP115" s="18">
        <v>1</v>
      </c>
      <c r="AQ115" s="71"/>
      <c r="AR115" s="71"/>
      <c r="AS115" s="71">
        <f t="shared" si="34"/>
        <v>89.696350934316598</v>
      </c>
      <c r="AT115" s="18">
        <v>2</v>
      </c>
      <c r="AU115" s="71"/>
      <c r="AV115" s="71"/>
      <c r="AW115" s="71">
        <f t="shared" si="35"/>
        <v>110.91338973410525</v>
      </c>
      <c r="AX115" s="18">
        <v>2</v>
      </c>
      <c r="AY115" s="71"/>
      <c r="AZ115" s="71"/>
      <c r="BA115" s="71">
        <f t="shared" si="36"/>
        <v>100.92776194547928</v>
      </c>
      <c r="BB115" s="85">
        <v>0</v>
      </c>
      <c r="BC115" s="85">
        <v>0</v>
      </c>
      <c r="BD115" s="85">
        <v>0</v>
      </c>
      <c r="BE115" s="85">
        <v>1</v>
      </c>
      <c r="BF115" s="85">
        <v>0</v>
      </c>
      <c r="BG115" s="85">
        <v>0</v>
      </c>
      <c r="BH115" s="19">
        <v>1</v>
      </c>
      <c r="BI115" s="71"/>
      <c r="BJ115" s="71"/>
      <c r="BK115" s="71">
        <f t="shared" si="37"/>
        <v>103.49572319106498</v>
      </c>
      <c r="BL115" s="18">
        <v>3</v>
      </c>
      <c r="BM115" s="71"/>
      <c r="BN115" s="71"/>
      <c r="BO115" s="71">
        <f t="shared" si="38"/>
        <v>111.29665318323313</v>
      </c>
      <c r="BP115" s="18">
        <v>0</v>
      </c>
      <c r="BQ115" s="71"/>
      <c r="BR115" s="71"/>
      <c r="BS115" s="138">
        <f t="shared" si="39"/>
        <v>86.456710815818582</v>
      </c>
      <c r="BT115" s="18">
        <v>2</v>
      </c>
      <c r="BU115" s="71"/>
      <c r="BV115" s="71"/>
      <c r="BW115" s="71">
        <f t="shared" si="40"/>
        <v>102.51956289746849</v>
      </c>
      <c r="BX115" s="85">
        <v>2</v>
      </c>
      <c r="BY115" s="18">
        <v>1</v>
      </c>
      <c r="BZ115" s="71"/>
      <c r="CA115" s="71"/>
      <c r="CB115" s="71">
        <f t="shared" si="41"/>
        <v>91.01069683312474</v>
      </c>
      <c r="CC115" s="18">
        <v>1</v>
      </c>
      <c r="CD115" s="71"/>
      <c r="CE115" s="71"/>
      <c r="CF115" s="71">
        <f t="shared" si="42"/>
        <v>91.015574519921572</v>
      </c>
      <c r="CG115" s="18">
        <v>1</v>
      </c>
      <c r="CH115" s="71"/>
      <c r="CI115" s="71"/>
      <c r="CJ115" s="138">
        <f t="shared" si="43"/>
        <v>103.93736139675698</v>
      </c>
      <c r="CK115" s="18">
        <v>2</v>
      </c>
      <c r="CL115" s="71"/>
      <c r="CM115" s="71"/>
      <c r="CN115" s="71">
        <f t="shared" si="44"/>
        <v>100.22589057499034</v>
      </c>
      <c r="CO115" s="94">
        <v>0</v>
      </c>
      <c r="CP115" s="94">
        <v>0</v>
      </c>
      <c r="CQ115" s="94">
        <v>0</v>
      </c>
      <c r="CR115" s="94">
        <v>1</v>
      </c>
      <c r="CS115" s="102">
        <f t="shared" si="45"/>
        <v>98.472681981248968</v>
      </c>
      <c r="CT115" s="102">
        <f t="shared" si="46"/>
        <v>7.9333057399374187</v>
      </c>
      <c r="CU115" s="102">
        <f t="shared" si="47"/>
        <v>8.0563518534491299E-2</v>
      </c>
      <c r="CV115" s="108">
        <f t="shared" si="48"/>
        <v>97.833546957229728</v>
      </c>
      <c r="CZ115" s="109" t="str">
        <f t="shared" si="49"/>
        <v>Medio-Basso</v>
      </c>
    </row>
    <row r="116" spans="1:104" x14ac:dyDescent="0.15">
      <c r="A116" s="84">
        <v>3</v>
      </c>
      <c r="B116" s="84">
        <v>1</v>
      </c>
      <c r="C116" s="84">
        <v>4</v>
      </c>
      <c r="D116" s="84">
        <v>2</v>
      </c>
      <c r="E116" s="85">
        <v>1</v>
      </c>
      <c r="F116" s="17">
        <v>1</v>
      </c>
      <c r="I116" s="64">
        <f t="shared" si="25"/>
        <v>93.428492305734082</v>
      </c>
      <c r="J116" s="17">
        <v>2</v>
      </c>
      <c r="M116" s="64">
        <f t="shared" si="26"/>
        <v>110.02144013573877</v>
      </c>
      <c r="N116" s="17">
        <v>2</v>
      </c>
      <c r="Q116" s="64">
        <f t="shared" si="27"/>
        <v>113.93405225485253</v>
      </c>
      <c r="R116" s="17">
        <v>1</v>
      </c>
      <c r="U116" s="64">
        <f t="shared" si="28"/>
        <v>91.596562123700451</v>
      </c>
      <c r="V116" s="17">
        <v>2</v>
      </c>
      <c r="Y116" s="114">
        <f t="shared" si="29"/>
        <v>97.875621286587162</v>
      </c>
      <c r="Z116" s="17">
        <v>3</v>
      </c>
      <c r="AC116" s="64">
        <f t="shared" si="30"/>
        <v>109.50350141641081</v>
      </c>
      <c r="AD116" s="25">
        <v>3</v>
      </c>
      <c r="AE116" s="71"/>
      <c r="AF116" s="71"/>
      <c r="AG116" s="71">
        <f t="shared" si="31"/>
        <v>109.20703006144345</v>
      </c>
      <c r="AH116" s="17">
        <v>3</v>
      </c>
      <c r="AK116" s="64">
        <f t="shared" si="32"/>
        <v>110.43726382077395</v>
      </c>
      <c r="AL116" s="17">
        <v>3</v>
      </c>
      <c r="AM116" s="71"/>
      <c r="AN116" s="71"/>
      <c r="AO116" s="71">
        <f t="shared" si="33"/>
        <v>100.85056924463234</v>
      </c>
      <c r="AP116" s="17">
        <v>3</v>
      </c>
      <c r="AQ116" s="71"/>
      <c r="AR116" s="71"/>
      <c r="AS116" s="71">
        <f t="shared" si="34"/>
        <v>110.12341030651692</v>
      </c>
      <c r="AT116" s="17">
        <v>2</v>
      </c>
      <c r="AU116" s="71"/>
      <c r="AV116" s="71"/>
      <c r="AW116" s="71">
        <f t="shared" si="35"/>
        <v>110.91338973410525</v>
      </c>
      <c r="AX116" s="17">
        <v>3</v>
      </c>
      <c r="AY116" s="71"/>
      <c r="AZ116" s="71"/>
      <c r="BA116" s="71">
        <f t="shared" si="36"/>
        <v>111.80497096144313</v>
      </c>
      <c r="BB116" s="84">
        <v>1</v>
      </c>
      <c r="BC116" s="84">
        <v>0</v>
      </c>
      <c r="BD116" s="84">
        <v>1</v>
      </c>
      <c r="BE116" s="84">
        <v>0</v>
      </c>
      <c r="BF116" s="84">
        <v>0</v>
      </c>
      <c r="BG116" s="84">
        <v>0</v>
      </c>
      <c r="BH116" s="20">
        <v>2</v>
      </c>
      <c r="BI116" s="71"/>
      <c r="BJ116" s="71"/>
      <c r="BK116" s="71">
        <f t="shared" si="37"/>
        <v>114.81520780975161</v>
      </c>
      <c r="BL116" s="17">
        <v>3</v>
      </c>
      <c r="BM116" s="71"/>
      <c r="BN116" s="71"/>
      <c r="BO116" s="71">
        <f t="shared" si="38"/>
        <v>111.29665318323313</v>
      </c>
      <c r="BP116" s="17">
        <v>2</v>
      </c>
      <c r="BQ116" s="71"/>
      <c r="BR116" s="71"/>
      <c r="BS116" s="138">
        <f t="shared" si="39"/>
        <v>113.86671101544545</v>
      </c>
      <c r="BT116" s="17">
        <v>2</v>
      </c>
      <c r="BU116" s="71"/>
      <c r="BV116" s="71"/>
      <c r="BW116" s="71">
        <f t="shared" si="40"/>
        <v>102.51956289746849</v>
      </c>
      <c r="BX116" s="84">
        <v>1</v>
      </c>
      <c r="BY116" s="17">
        <v>3</v>
      </c>
      <c r="BZ116" s="71"/>
      <c r="CA116" s="71"/>
      <c r="CB116" s="71">
        <f t="shared" si="41"/>
        <v>110.05345743585116</v>
      </c>
      <c r="CC116" s="17">
        <v>3</v>
      </c>
      <c r="CD116" s="71"/>
      <c r="CE116" s="71"/>
      <c r="CF116" s="71">
        <f t="shared" si="42"/>
        <v>109.36214907383548</v>
      </c>
      <c r="CG116" s="17">
        <v>0</v>
      </c>
      <c r="CH116" s="71"/>
      <c r="CI116" s="71"/>
      <c r="CJ116" s="138">
        <f t="shared" si="43"/>
        <v>89.226340793489143</v>
      </c>
      <c r="CK116" s="17">
        <v>3</v>
      </c>
      <c r="CL116" s="71"/>
      <c r="CM116" s="71"/>
      <c r="CN116" s="71">
        <f t="shared" si="44"/>
        <v>109.82624001207998</v>
      </c>
      <c r="CO116" s="93">
        <v>0</v>
      </c>
      <c r="CP116" s="93">
        <v>1</v>
      </c>
      <c r="CQ116" s="93">
        <v>1</v>
      </c>
      <c r="CR116" s="93">
        <v>0</v>
      </c>
      <c r="CS116" s="102">
        <f t="shared" si="45"/>
        <v>107.6290560457395</v>
      </c>
      <c r="CT116" s="102">
        <f t="shared" si="46"/>
        <v>6.630260391863108</v>
      </c>
      <c r="CU116" s="102">
        <f t="shared" si="47"/>
        <v>6.1602885275193926E-2</v>
      </c>
      <c r="CV116" s="108">
        <f t="shared" si="48"/>
        <v>107.2206128754749</v>
      </c>
      <c r="CZ116" s="109" t="str">
        <f t="shared" si="49"/>
        <v>Alto</v>
      </c>
    </row>
    <row r="117" spans="1:104" x14ac:dyDescent="0.15">
      <c r="A117" s="85">
        <v>2</v>
      </c>
      <c r="B117" s="85">
        <v>2</v>
      </c>
      <c r="C117" s="85">
        <v>3</v>
      </c>
      <c r="D117" s="85">
        <v>2</v>
      </c>
      <c r="E117" s="85">
        <v>1</v>
      </c>
      <c r="F117" s="18">
        <v>2</v>
      </c>
      <c r="I117" s="64">
        <f t="shared" si="25"/>
        <v>109.85726154139888</v>
      </c>
      <c r="J117" s="18">
        <v>1</v>
      </c>
      <c r="M117" s="64">
        <f t="shared" si="26"/>
        <v>95.705097084683388</v>
      </c>
      <c r="N117" s="18">
        <v>1</v>
      </c>
      <c r="Q117" s="64">
        <f t="shared" si="27"/>
        <v>98.246708656674187</v>
      </c>
      <c r="R117" s="18">
        <v>1</v>
      </c>
      <c r="U117" s="64">
        <f t="shared" si="28"/>
        <v>91.596562123700451</v>
      </c>
      <c r="V117" s="18">
        <v>0</v>
      </c>
      <c r="Y117" s="114">
        <f t="shared" si="29"/>
        <v>84.977607669437745</v>
      </c>
      <c r="Z117" s="18">
        <v>0</v>
      </c>
      <c r="AC117" s="64">
        <f t="shared" si="30"/>
        <v>85.509512691809249</v>
      </c>
      <c r="AD117" s="24">
        <v>2</v>
      </c>
      <c r="AE117" s="71"/>
      <c r="AF117" s="71"/>
      <c r="AG117" s="71">
        <f t="shared" si="31"/>
        <v>101.01229126330007</v>
      </c>
      <c r="AH117" s="18">
        <v>1</v>
      </c>
      <c r="AK117" s="64">
        <f t="shared" si="32"/>
        <v>88.599296441923855</v>
      </c>
      <c r="AL117" s="18">
        <v>3</v>
      </c>
      <c r="AM117" s="71"/>
      <c r="AN117" s="71"/>
      <c r="AO117" s="71">
        <f t="shared" si="33"/>
        <v>100.85056924463234</v>
      </c>
      <c r="AP117" s="18">
        <v>2</v>
      </c>
      <c r="AQ117" s="71"/>
      <c r="AR117" s="71"/>
      <c r="AS117" s="71">
        <f t="shared" si="34"/>
        <v>99.909880620416757</v>
      </c>
      <c r="AT117" s="18">
        <v>0</v>
      </c>
      <c r="AU117" s="71"/>
      <c r="AV117" s="71"/>
      <c r="AW117" s="71">
        <f t="shared" si="35"/>
        <v>89.214252251088965</v>
      </c>
      <c r="AX117" s="18">
        <v>2</v>
      </c>
      <c r="AY117" s="71"/>
      <c r="AZ117" s="71"/>
      <c r="BA117" s="71">
        <f t="shared" si="36"/>
        <v>100.92776194547928</v>
      </c>
      <c r="BB117" s="85">
        <v>1</v>
      </c>
      <c r="BC117" s="85">
        <v>0</v>
      </c>
      <c r="BD117" s="85">
        <v>1</v>
      </c>
      <c r="BE117" s="85">
        <v>0</v>
      </c>
      <c r="BF117" s="85">
        <v>0</v>
      </c>
      <c r="BG117" s="85">
        <v>0</v>
      </c>
      <c r="BH117" s="19">
        <v>0</v>
      </c>
      <c r="BI117" s="71"/>
      <c r="BJ117" s="71"/>
      <c r="BK117" s="71">
        <f t="shared" si="37"/>
        <v>92.176238572378367</v>
      </c>
      <c r="BL117" s="18">
        <v>1</v>
      </c>
      <c r="BM117" s="71"/>
      <c r="BN117" s="71"/>
      <c r="BO117" s="71">
        <f t="shared" si="38"/>
        <v>92.606326748686826</v>
      </c>
      <c r="BP117" s="18">
        <v>1</v>
      </c>
      <c r="BQ117" s="71"/>
      <c r="BR117" s="71"/>
      <c r="BS117" s="138">
        <f t="shared" si="39"/>
        <v>100.16171091563201</v>
      </c>
      <c r="BT117" s="18">
        <v>2</v>
      </c>
      <c r="BU117" s="71"/>
      <c r="BV117" s="71"/>
      <c r="BW117" s="71">
        <f t="shared" si="40"/>
        <v>102.51956289746849</v>
      </c>
      <c r="BX117" s="85">
        <v>3</v>
      </c>
      <c r="BY117" s="18">
        <v>0</v>
      </c>
      <c r="BZ117" s="71"/>
      <c r="CA117" s="71"/>
      <c r="CB117" s="71">
        <f t="shared" si="41"/>
        <v>81.489316531761531</v>
      </c>
      <c r="CC117" s="18">
        <v>2</v>
      </c>
      <c r="CD117" s="71"/>
      <c r="CE117" s="71"/>
      <c r="CF117" s="71">
        <f t="shared" si="42"/>
        <v>100.18886179687853</v>
      </c>
      <c r="CG117" s="18">
        <v>1</v>
      </c>
      <c r="CH117" s="71"/>
      <c r="CI117" s="71"/>
      <c r="CJ117" s="138">
        <f t="shared" si="43"/>
        <v>103.93736139675698</v>
      </c>
      <c r="CK117" s="18">
        <v>0</v>
      </c>
      <c r="CL117" s="71"/>
      <c r="CM117" s="71"/>
      <c r="CN117" s="71">
        <f t="shared" si="44"/>
        <v>81.025191700811078</v>
      </c>
      <c r="CO117" s="94">
        <v>0</v>
      </c>
      <c r="CP117" s="94">
        <v>1</v>
      </c>
      <c r="CQ117" s="94">
        <v>0</v>
      </c>
      <c r="CR117" s="94">
        <v>0</v>
      </c>
      <c r="CS117" s="102">
        <f t="shared" si="45"/>
        <v>94.790276006652476</v>
      </c>
      <c r="CT117" s="102">
        <f t="shared" si="46"/>
        <v>7.9520152112435118</v>
      </c>
      <c r="CU117" s="102">
        <f t="shared" si="47"/>
        <v>8.3890621973560148E-2</v>
      </c>
      <c r="CV117" s="108">
        <f t="shared" si="48"/>
        <v>94.123176504638053</v>
      </c>
      <c r="CZ117" s="109" t="str">
        <f t="shared" si="49"/>
        <v>Basso</v>
      </c>
    </row>
    <row r="118" spans="1:104" x14ac:dyDescent="0.15">
      <c r="A118" s="84">
        <v>2</v>
      </c>
      <c r="B118" s="84">
        <v>2</v>
      </c>
      <c r="C118" s="84">
        <v>3</v>
      </c>
      <c r="D118" s="84">
        <v>2</v>
      </c>
      <c r="E118" s="85">
        <v>1</v>
      </c>
      <c r="F118" s="17">
        <v>2</v>
      </c>
      <c r="I118" s="64">
        <f t="shared" si="25"/>
        <v>109.85726154139888</v>
      </c>
      <c r="J118" s="17">
        <v>2</v>
      </c>
      <c r="M118" s="64">
        <f t="shared" si="26"/>
        <v>110.02144013573877</v>
      </c>
      <c r="N118" s="17">
        <v>1</v>
      </c>
      <c r="Q118" s="64">
        <f t="shared" si="27"/>
        <v>98.246708656674187</v>
      </c>
      <c r="R118" s="17">
        <v>1</v>
      </c>
      <c r="U118" s="64">
        <f t="shared" si="28"/>
        <v>91.596562123700451</v>
      </c>
      <c r="V118" s="17">
        <v>0</v>
      </c>
      <c r="Y118" s="114">
        <f t="shared" si="29"/>
        <v>84.977607669437745</v>
      </c>
      <c r="Z118" s="17">
        <v>2</v>
      </c>
      <c r="AC118" s="64">
        <f t="shared" si="30"/>
        <v>101.50550517487696</v>
      </c>
      <c r="AD118" s="25">
        <v>3</v>
      </c>
      <c r="AE118" s="71"/>
      <c r="AF118" s="71"/>
      <c r="AG118" s="71">
        <f t="shared" si="31"/>
        <v>109.20703006144345</v>
      </c>
      <c r="AH118" s="17">
        <v>1</v>
      </c>
      <c r="AK118" s="64">
        <f t="shared" si="32"/>
        <v>88.599296441923855</v>
      </c>
      <c r="AL118" s="17">
        <v>3</v>
      </c>
      <c r="AM118" s="71"/>
      <c r="AN118" s="71"/>
      <c r="AO118" s="71">
        <f t="shared" si="33"/>
        <v>100.85056924463234</v>
      </c>
      <c r="AP118" s="17">
        <v>3</v>
      </c>
      <c r="AQ118" s="71"/>
      <c r="AR118" s="71"/>
      <c r="AS118" s="71">
        <f t="shared" si="34"/>
        <v>110.12341030651692</v>
      </c>
      <c r="AT118" s="17">
        <v>1</v>
      </c>
      <c r="AU118" s="71"/>
      <c r="AV118" s="71"/>
      <c r="AW118" s="71">
        <f t="shared" si="35"/>
        <v>100.0638209925971</v>
      </c>
      <c r="AX118" s="17">
        <v>2</v>
      </c>
      <c r="AY118" s="71"/>
      <c r="AZ118" s="71"/>
      <c r="BA118" s="71">
        <f t="shared" si="36"/>
        <v>100.92776194547928</v>
      </c>
      <c r="BB118" s="84">
        <v>1</v>
      </c>
      <c r="BC118" s="84">
        <v>0</v>
      </c>
      <c r="BD118" s="84">
        <v>1</v>
      </c>
      <c r="BE118" s="84">
        <v>0</v>
      </c>
      <c r="BF118" s="84">
        <v>0</v>
      </c>
      <c r="BG118" s="84">
        <v>0</v>
      </c>
      <c r="BH118" s="20">
        <v>0</v>
      </c>
      <c r="BI118" s="71"/>
      <c r="BJ118" s="71"/>
      <c r="BK118" s="71">
        <f t="shared" si="37"/>
        <v>92.176238572378367</v>
      </c>
      <c r="BL118" s="17">
        <v>3</v>
      </c>
      <c r="BM118" s="71"/>
      <c r="BN118" s="71"/>
      <c r="BO118" s="71">
        <f t="shared" si="38"/>
        <v>111.29665318323313</v>
      </c>
      <c r="BP118" s="17">
        <v>0</v>
      </c>
      <c r="BQ118" s="71"/>
      <c r="BR118" s="71"/>
      <c r="BS118" s="138">
        <f t="shared" si="39"/>
        <v>86.456710815818582</v>
      </c>
      <c r="BT118" s="17">
        <v>2</v>
      </c>
      <c r="BU118" s="71"/>
      <c r="BV118" s="71"/>
      <c r="BW118" s="71">
        <f t="shared" si="40"/>
        <v>102.51956289746849</v>
      </c>
      <c r="BX118" s="84">
        <v>2</v>
      </c>
      <c r="BY118" s="17">
        <v>2</v>
      </c>
      <c r="BZ118" s="71"/>
      <c r="CA118" s="71"/>
      <c r="CB118" s="71">
        <f t="shared" si="41"/>
        <v>100.53207713448795</v>
      </c>
      <c r="CC118" s="17">
        <v>1</v>
      </c>
      <c r="CD118" s="71"/>
      <c r="CE118" s="71"/>
      <c r="CF118" s="71">
        <f t="shared" si="42"/>
        <v>91.015574519921572</v>
      </c>
      <c r="CG118" s="17">
        <v>1</v>
      </c>
      <c r="CH118" s="71"/>
      <c r="CI118" s="71"/>
      <c r="CJ118" s="138">
        <f t="shared" si="43"/>
        <v>103.93736139675698</v>
      </c>
      <c r="CK118" s="17">
        <v>0</v>
      </c>
      <c r="CL118" s="71"/>
      <c r="CM118" s="71"/>
      <c r="CN118" s="71">
        <f t="shared" si="44"/>
        <v>81.025191700811078</v>
      </c>
      <c r="CO118" s="93">
        <v>1</v>
      </c>
      <c r="CP118" s="93">
        <v>1</v>
      </c>
      <c r="CQ118" s="93">
        <v>0</v>
      </c>
      <c r="CR118" s="93">
        <v>0</v>
      </c>
      <c r="CS118" s="102">
        <f t="shared" si="45"/>
        <v>99.974392037251931</v>
      </c>
      <c r="CT118" s="102">
        <f t="shared" si="46"/>
        <v>8.7627742404478255</v>
      </c>
      <c r="CU118" s="102">
        <f t="shared" si="47"/>
        <v>8.7650187831926865E-2</v>
      </c>
      <c r="CV118" s="108">
        <f t="shared" si="48"/>
        <v>99.206333229147916</v>
      </c>
      <c r="CZ118" s="109" t="str">
        <f t="shared" si="49"/>
        <v>Medio-Alto</v>
      </c>
    </row>
    <row r="119" spans="1:104" x14ac:dyDescent="0.15">
      <c r="A119" s="85">
        <v>3</v>
      </c>
      <c r="B119" s="85">
        <v>1</v>
      </c>
      <c r="C119" s="85">
        <v>3</v>
      </c>
      <c r="D119" s="85">
        <v>2</v>
      </c>
      <c r="E119" s="85">
        <v>1</v>
      </c>
      <c r="F119" s="18">
        <v>1</v>
      </c>
      <c r="I119" s="64">
        <f t="shared" si="25"/>
        <v>93.428492305734082</v>
      </c>
      <c r="J119" s="18">
        <v>1</v>
      </c>
      <c r="M119" s="64">
        <f t="shared" si="26"/>
        <v>95.705097084683388</v>
      </c>
      <c r="N119" s="18">
        <v>0</v>
      </c>
      <c r="Q119" s="64">
        <f t="shared" si="27"/>
        <v>82.559365058495843</v>
      </c>
      <c r="R119" s="18">
        <v>0</v>
      </c>
      <c r="U119" s="64">
        <f t="shared" si="28"/>
        <v>81.845132506151486</v>
      </c>
      <c r="V119" s="18">
        <v>2</v>
      </c>
      <c r="Y119" s="114">
        <f t="shared" si="29"/>
        <v>97.875621286587162</v>
      </c>
      <c r="Z119" s="18">
        <v>3</v>
      </c>
      <c r="AC119" s="64">
        <f t="shared" si="30"/>
        <v>109.50350141641081</v>
      </c>
      <c r="AD119" s="24">
        <v>3</v>
      </c>
      <c r="AE119" s="71"/>
      <c r="AF119" s="71"/>
      <c r="AG119" s="71">
        <f t="shared" si="31"/>
        <v>109.20703006144345</v>
      </c>
      <c r="AH119" s="18">
        <v>1</v>
      </c>
      <c r="AK119" s="64">
        <f t="shared" si="32"/>
        <v>88.599296441923855</v>
      </c>
      <c r="AL119" s="18">
        <v>4</v>
      </c>
      <c r="AM119" s="71"/>
      <c r="AN119" s="71"/>
      <c r="AO119" s="71">
        <f t="shared" si="33"/>
        <v>111.97339782828605</v>
      </c>
      <c r="AP119" s="18">
        <v>3</v>
      </c>
      <c r="AQ119" s="71"/>
      <c r="AR119" s="71"/>
      <c r="AS119" s="71">
        <f t="shared" si="34"/>
        <v>110.12341030651692</v>
      </c>
      <c r="AT119" s="18">
        <v>0</v>
      </c>
      <c r="AU119" s="71"/>
      <c r="AV119" s="71"/>
      <c r="AW119" s="71">
        <f t="shared" si="35"/>
        <v>89.214252251088965</v>
      </c>
      <c r="AX119" s="18">
        <v>2</v>
      </c>
      <c r="AY119" s="71"/>
      <c r="AZ119" s="71"/>
      <c r="BA119" s="71">
        <f t="shared" si="36"/>
        <v>100.92776194547928</v>
      </c>
      <c r="BB119" s="85">
        <v>0</v>
      </c>
      <c r="BC119" s="85">
        <v>0</v>
      </c>
      <c r="BD119" s="85">
        <v>1</v>
      </c>
      <c r="BE119" s="85">
        <v>1</v>
      </c>
      <c r="BF119" s="85">
        <v>0</v>
      </c>
      <c r="BG119" s="85">
        <v>0</v>
      </c>
      <c r="BH119" s="19">
        <v>0</v>
      </c>
      <c r="BI119" s="71"/>
      <c r="BJ119" s="71"/>
      <c r="BK119" s="71">
        <f t="shared" si="37"/>
        <v>92.176238572378367</v>
      </c>
      <c r="BL119" s="18">
        <v>1</v>
      </c>
      <c r="BM119" s="71"/>
      <c r="BN119" s="71"/>
      <c r="BO119" s="71">
        <f t="shared" si="38"/>
        <v>92.606326748686826</v>
      </c>
      <c r="BP119" s="18">
        <v>0</v>
      </c>
      <c r="BQ119" s="71"/>
      <c r="BR119" s="71"/>
      <c r="BS119" s="138">
        <f t="shared" si="39"/>
        <v>86.456710815818582</v>
      </c>
      <c r="BT119" s="18">
        <v>2</v>
      </c>
      <c r="BU119" s="71"/>
      <c r="BV119" s="71"/>
      <c r="BW119" s="71">
        <f t="shared" si="40"/>
        <v>102.51956289746849</v>
      </c>
      <c r="BX119" s="85">
        <v>2</v>
      </c>
      <c r="BY119" s="18">
        <v>2</v>
      </c>
      <c r="BZ119" s="71"/>
      <c r="CA119" s="71"/>
      <c r="CB119" s="71">
        <f t="shared" si="41"/>
        <v>100.53207713448795</v>
      </c>
      <c r="CC119" s="18">
        <v>2</v>
      </c>
      <c r="CD119" s="71"/>
      <c r="CE119" s="71"/>
      <c r="CF119" s="71">
        <f t="shared" si="42"/>
        <v>100.18886179687853</v>
      </c>
      <c r="CG119" s="18">
        <v>0</v>
      </c>
      <c r="CH119" s="71"/>
      <c r="CI119" s="71"/>
      <c r="CJ119" s="138">
        <f t="shared" si="43"/>
        <v>89.226340793489143</v>
      </c>
      <c r="CK119" s="18">
        <v>2</v>
      </c>
      <c r="CL119" s="71"/>
      <c r="CM119" s="71"/>
      <c r="CN119" s="71">
        <f t="shared" si="44"/>
        <v>100.22589057499034</v>
      </c>
      <c r="CO119" s="94">
        <v>0</v>
      </c>
      <c r="CP119" s="94">
        <v>0</v>
      </c>
      <c r="CQ119" s="94">
        <v>0</v>
      </c>
      <c r="CR119" s="94">
        <v>1</v>
      </c>
      <c r="CS119" s="102">
        <f t="shared" si="45"/>
        <v>97.725629113594394</v>
      </c>
      <c r="CT119" s="102">
        <f t="shared" si="46"/>
        <v>9.348012198474855</v>
      </c>
      <c r="CU119" s="102">
        <f t="shared" si="47"/>
        <v>9.5655687082954521E-2</v>
      </c>
      <c r="CV119" s="108">
        <f t="shared" si="48"/>
        <v>96.831438583889437</v>
      </c>
      <c r="CZ119" s="109" t="str">
        <f t="shared" si="49"/>
        <v>Medio-Basso</v>
      </c>
    </row>
    <row r="120" spans="1:104" x14ac:dyDescent="0.15">
      <c r="A120" s="84">
        <v>4</v>
      </c>
      <c r="B120" s="84">
        <v>2</v>
      </c>
      <c r="C120" s="84">
        <v>3</v>
      </c>
      <c r="D120" s="84">
        <v>0</v>
      </c>
      <c r="E120" s="85">
        <v>1</v>
      </c>
      <c r="F120" s="17">
        <v>1</v>
      </c>
      <c r="I120" s="64">
        <f t="shared" si="25"/>
        <v>93.428492305734082</v>
      </c>
      <c r="J120" s="17">
        <v>1</v>
      </c>
      <c r="M120" s="64">
        <f t="shared" si="26"/>
        <v>95.705097084683388</v>
      </c>
      <c r="N120" s="17">
        <v>2</v>
      </c>
      <c r="Q120" s="64">
        <f t="shared" si="27"/>
        <v>113.93405225485253</v>
      </c>
      <c r="R120" s="17">
        <v>2</v>
      </c>
      <c r="U120" s="64">
        <f t="shared" si="28"/>
        <v>101.34799174124942</v>
      </c>
      <c r="V120" s="17">
        <v>3</v>
      </c>
      <c r="Y120" s="114">
        <f t="shared" si="29"/>
        <v>104.32462809516186</v>
      </c>
      <c r="Z120" s="17">
        <v>0</v>
      </c>
      <c r="AC120" s="64">
        <f t="shared" si="30"/>
        <v>85.509512691809249</v>
      </c>
      <c r="AD120" s="25">
        <v>2</v>
      </c>
      <c r="AE120" s="71"/>
      <c r="AF120" s="71"/>
      <c r="AG120" s="71">
        <f t="shared" si="31"/>
        <v>101.01229126330007</v>
      </c>
      <c r="AH120" s="17">
        <v>2</v>
      </c>
      <c r="AK120" s="64">
        <f t="shared" si="32"/>
        <v>99.518280131348902</v>
      </c>
      <c r="AL120" s="17">
        <v>3</v>
      </c>
      <c r="AM120" s="71"/>
      <c r="AN120" s="71"/>
      <c r="AO120" s="71">
        <f t="shared" si="33"/>
        <v>100.85056924463234</v>
      </c>
      <c r="AP120" s="17">
        <v>3</v>
      </c>
      <c r="AQ120" s="71"/>
      <c r="AR120" s="71"/>
      <c r="AS120" s="71">
        <f t="shared" si="34"/>
        <v>110.12341030651692</v>
      </c>
      <c r="AT120" s="17">
        <v>0</v>
      </c>
      <c r="AU120" s="71"/>
      <c r="AV120" s="71"/>
      <c r="AW120" s="71">
        <f t="shared" si="35"/>
        <v>89.214252251088965</v>
      </c>
      <c r="AX120" s="17">
        <v>3</v>
      </c>
      <c r="AY120" s="71"/>
      <c r="AZ120" s="71"/>
      <c r="BA120" s="71">
        <f t="shared" si="36"/>
        <v>111.80497096144313</v>
      </c>
      <c r="BB120" s="84">
        <v>1</v>
      </c>
      <c r="BC120" s="84">
        <v>0</v>
      </c>
      <c r="BD120" s="84">
        <v>1</v>
      </c>
      <c r="BE120" s="84">
        <v>0</v>
      </c>
      <c r="BF120" s="84">
        <v>0</v>
      </c>
      <c r="BG120" s="84">
        <v>0</v>
      </c>
      <c r="BH120" s="20">
        <v>0</v>
      </c>
      <c r="BI120" s="71"/>
      <c r="BJ120" s="71"/>
      <c r="BK120" s="71">
        <f t="shared" si="37"/>
        <v>92.176238572378367</v>
      </c>
      <c r="BL120" s="17">
        <v>3</v>
      </c>
      <c r="BM120" s="71"/>
      <c r="BN120" s="71"/>
      <c r="BO120" s="71">
        <f t="shared" si="38"/>
        <v>111.29665318323313</v>
      </c>
      <c r="BP120" s="17">
        <v>1</v>
      </c>
      <c r="BQ120" s="71"/>
      <c r="BR120" s="71"/>
      <c r="BS120" s="138">
        <f t="shared" si="39"/>
        <v>100.16171091563201</v>
      </c>
      <c r="BT120" s="17">
        <v>2</v>
      </c>
      <c r="BU120" s="71"/>
      <c r="BV120" s="71"/>
      <c r="BW120" s="71">
        <f t="shared" si="40"/>
        <v>102.51956289746849</v>
      </c>
      <c r="BX120" s="84">
        <v>1</v>
      </c>
      <c r="BY120" s="17">
        <v>2</v>
      </c>
      <c r="BZ120" s="71"/>
      <c r="CA120" s="71"/>
      <c r="CB120" s="71">
        <f t="shared" si="41"/>
        <v>100.53207713448795</v>
      </c>
      <c r="CC120" s="17">
        <v>2</v>
      </c>
      <c r="CD120" s="71"/>
      <c r="CE120" s="71"/>
      <c r="CF120" s="71">
        <f t="shared" si="42"/>
        <v>100.18886179687853</v>
      </c>
      <c r="CG120" s="17">
        <v>0</v>
      </c>
      <c r="CH120" s="71"/>
      <c r="CI120" s="71"/>
      <c r="CJ120" s="138">
        <f t="shared" si="43"/>
        <v>89.226340793489143</v>
      </c>
      <c r="CK120" s="17">
        <v>2</v>
      </c>
      <c r="CL120" s="71"/>
      <c r="CM120" s="71"/>
      <c r="CN120" s="71">
        <f t="shared" si="44"/>
        <v>100.22589057499034</v>
      </c>
      <c r="CO120" s="93">
        <v>0</v>
      </c>
      <c r="CP120" s="93">
        <v>1</v>
      </c>
      <c r="CQ120" s="93">
        <v>1</v>
      </c>
      <c r="CR120" s="93">
        <v>0</v>
      </c>
      <c r="CS120" s="102">
        <f t="shared" si="45"/>
        <v>100.5522473174174</v>
      </c>
      <c r="CT120" s="102">
        <f t="shared" si="46"/>
        <v>7.976890099571821</v>
      </c>
      <c r="CU120" s="102">
        <f t="shared" si="47"/>
        <v>7.9330798787528287E-2</v>
      </c>
      <c r="CV120" s="108">
        <f t="shared" si="48"/>
        <v>99.919434253978039</v>
      </c>
      <c r="CZ120" s="109" t="str">
        <f t="shared" si="49"/>
        <v>Medio-Alto</v>
      </c>
    </row>
    <row r="121" spans="1:104" x14ac:dyDescent="0.15">
      <c r="A121" s="85">
        <v>3</v>
      </c>
      <c r="B121" s="85">
        <v>1</v>
      </c>
      <c r="C121" s="85">
        <v>3</v>
      </c>
      <c r="D121" s="85">
        <v>0</v>
      </c>
      <c r="E121" s="85">
        <v>1</v>
      </c>
      <c r="F121" s="18">
        <v>1</v>
      </c>
      <c r="I121" s="64">
        <f t="shared" si="25"/>
        <v>93.428492305734082</v>
      </c>
      <c r="J121" s="18">
        <v>2</v>
      </c>
      <c r="M121" s="64">
        <f t="shared" si="26"/>
        <v>110.02144013573877</v>
      </c>
      <c r="N121" s="18">
        <v>1</v>
      </c>
      <c r="Q121" s="64">
        <f t="shared" si="27"/>
        <v>98.246708656674187</v>
      </c>
      <c r="R121" s="18">
        <v>2</v>
      </c>
      <c r="U121" s="64">
        <f t="shared" si="28"/>
        <v>101.34799174124942</v>
      </c>
      <c r="V121" s="18">
        <v>0</v>
      </c>
      <c r="Y121" s="114">
        <f t="shared" si="29"/>
        <v>84.977607669437745</v>
      </c>
      <c r="Z121" s="18">
        <v>3</v>
      </c>
      <c r="AC121" s="64">
        <f t="shared" si="30"/>
        <v>109.50350141641081</v>
      </c>
      <c r="AD121" s="24">
        <v>0</v>
      </c>
      <c r="AE121" s="71"/>
      <c r="AF121" s="71"/>
      <c r="AG121" s="71">
        <f t="shared" si="31"/>
        <v>84.62281366701329</v>
      </c>
      <c r="AH121" s="18">
        <v>1</v>
      </c>
      <c r="AK121" s="64">
        <f t="shared" si="32"/>
        <v>88.599296441923855</v>
      </c>
      <c r="AL121" s="18">
        <v>4</v>
      </c>
      <c r="AM121" s="71"/>
      <c r="AN121" s="71"/>
      <c r="AO121" s="71">
        <f t="shared" si="33"/>
        <v>111.97339782828605</v>
      </c>
      <c r="AP121" s="18">
        <v>0</v>
      </c>
      <c r="AQ121" s="71"/>
      <c r="AR121" s="71"/>
      <c r="AS121" s="71">
        <f t="shared" si="34"/>
        <v>79.482821248216453</v>
      </c>
      <c r="AT121" s="18">
        <v>0</v>
      </c>
      <c r="AU121" s="71"/>
      <c r="AV121" s="71"/>
      <c r="AW121" s="71">
        <f t="shared" si="35"/>
        <v>89.214252251088965</v>
      </c>
      <c r="AX121" s="18">
        <v>2</v>
      </c>
      <c r="AY121" s="71"/>
      <c r="AZ121" s="71"/>
      <c r="BA121" s="71">
        <f t="shared" si="36"/>
        <v>100.92776194547928</v>
      </c>
      <c r="BB121" s="85">
        <v>1</v>
      </c>
      <c r="BC121" s="85">
        <v>0</v>
      </c>
      <c r="BD121" s="85">
        <v>1</v>
      </c>
      <c r="BE121" s="85">
        <v>0</v>
      </c>
      <c r="BF121" s="85">
        <v>0</v>
      </c>
      <c r="BG121" s="85">
        <v>0</v>
      </c>
      <c r="BH121" s="19">
        <v>2</v>
      </c>
      <c r="BI121" s="71"/>
      <c r="BJ121" s="71"/>
      <c r="BK121" s="71">
        <f t="shared" si="37"/>
        <v>114.81520780975161</v>
      </c>
      <c r="BL121" s="18">
        <v>3</v>
      </c>
      <c r="BM121" s="71"/>
      <c r="BN121" s="71"/>
      <c r="BO121" s="71">
        <f t="shared" si="38"/>
        <v>111.29665318323313</v>
      </c>
      <c r="BP121" s="18">
        <v>2</v>
      </c>
      <c r="BQ121" s="71"/>
      <c r="BR121" s="71"/>
      <c r="BS121" s="138">
        <f t="shared" si="39"/>
        <v>113.86671101544545</v>
      </c>
      <c r="BT121" s="18">
        <v>1</v>
      </c>
      <c r="BU121" s="71"/>
      <c r="BV121" s="71"/>
      <c r="BW121" s="71">
        <f t="shared" si="40"/>
        <v>93.001214173698628</v>
      </c>
      <c r="BX121" s="85">
        <v>0</v>
      </c>
      <c r="BY121" s="18">
        <v>2</v>
      </c>
      <c r="BZ121" s="71"/>
      <c r="CA121" s="71"/>
      <c r="CB121" s="71">
        <f t="shared" si="41"/>
        <v>100.53207713448795</v>
      </c>
      <c r="CC121" s="18">
        <v>2</v>
      </c>
      <c r="CD121" s="71"/>
      <c r="CE121" s="71"/>
      <c r="CF121" s="71">
        <f t="shared" si="42"/>
        <v>100.18886179687853</v>
      </c>
      <c r="CG121" s="18">
        <v>0</v>
      </c>
      <c r="CH121" s="71"/>
      <c r="CI121" s="71"/>
      <c r="CJ121" s="138">
        <f t="shared" si="43"/>
        <v>89.226340793489143</v>
      </c>
      <c r="CK121" s="18">
        <v>0</v>
      </c>
      <c r="CL121" s="71"/>
      <c r="CM121" s="71"/>
      <c r="CN121" s="71">
        <f t="shared" si="44"/>
        <v>81.025191700811078</v>
      </c>
      <c r="CO121" s="94">
        <v>0</v>
      </c>
      <c r="CP121" s="94">
        <v>0</v>
      </c>
      <c r="CQ121" s="94">
        <v>0</v>
      </c>
      <c r="CR121" s="94">
        <v>1</v>
      </c>
      <c r="CS121" s="102">
        <f t="shared" si="45"/>
        <v>98.131040202157408</v>
      </c>
      <c r="CT121" s="102">
        <f t="shared" si="46"/>
        <v>11.135063441958261</v>
      </c>
      <c r="CU121" s="102">
        <f t="shared" si="47"/>
        <v>0.11347136868231686</v>
      </c>
      <c r="CV121" s="108">
        <f t="shared" si="48"/>
        <v>96.86752931303397</v>
      </c>
      <c r="CZ121" s="109" t="str">
        <f t="shared" si="49"/>
        <v>Medio-Basso</v>
      </c>
    </row>
    <row r="122" spans="1:104" x14ac:dyDescent="0.15">
      <c r="A122" s="84">
        <v>3</v>
      </c>
      <c r="B122" s="84">
        <v>2</v>
      </c>
      <c r="C122" s="84">
        <v>1</v>
      </c>
      <c r="D122" s="84">
        <v>2</v>
      </c>
      <c r="E122" s="85">
        <v>1</v>
      </c>
      <c r="F122" s="17">
        <v>2</v>
      </c>
      <c r="I122" s="64">
        <f t="shared" si="25"/>
        <v>109.85726154139888</v>
      </c>
      <c r="J122" s="17">
        <v>2</v>
      </c>
      <c r="M122" s="64">
        <f t="shared" si="26"/>
        <v>110.02144013573877</v>
      </c>
      <c r="N122" s="17">
        <v>1</v>
      </c>
      <c r="Q122" s="64">
        <f t="shared" si="27"/>
        <v>98.246708656674187</v>
      </c>
      <c r="R122" s="17">
        <v>2</v>
      </c>
      <c r="U122" s="64">
        <f t="shared" si="28"/>
        <v>101.34799174124942</v>
      </c>
      <c r="V122" s="17">
        <v>2</v>
      </c>
      <c r="Y122" s="114">
        <f t="shared" si="29"/>
        <v>97.875621286587162</v>
      </c>
      <c r="Z122" s="17">
        <v>3</v>
      </c>
      <c r="AC122" s="64">
        <f t="shared" si="30"/>
        <v>109.50350141641081</v>
      </c>
      <c r="AD122" s="25">
        <v>3</v>
      </c>
      <c r="AE122" s="71"/>
      <c r="AF122" s="71"/>
      <c r="AG122" s="71">
        <f t="shared" si="31"/>
        <v>109.20703006144345</v>
      </c>
      <c r="AH122" s="17">
        <v>3</v>
      </c>
      <c r="AK122" s="64">
        <f t="shared" si="32"/>
        <v>110.43726382077395</v>
      </c>
      <c r="AL122" s="17">
        <v>0</v>
      </c>
      <c r="AM122" s="71"/>
      <c r="AN122" s="71"/>
      <c r="AO122" s="71">
        <f t="shared" si="33"/>
        <v>67.482083493671226</v>
      </c>
      <c r="AP122" s="17">
        <v>2</v>
      </c>
      <c r="AQ122" s="71"/>
      <c r="AR122" s="71"/>
      <c r="AS122" s="71">
        <f t="shared" si="34"/>
        <v>99.909880620416757</v>
      </c>
      <c r="AT122" s="17">
        <v>2</v>
      </c>
      <c r="AU122" s="71"/>
      <c r="AV122" s="71"/>
      <c r="AW122" s="71">
        <f t="shared" si="35"/>
        <v>110.91338973410525</v>
      </c>
      <c r="AX122" s="17">
        <v>1</v>
      </c>
      <c r="AY122" s="71"/>
      <c r="AZ122" s="71"/>
      <c r="BA122" s="71">
        <f t="shared" si="36"/>
        <v>90.050552929515405</v>
      </c>
      <c r="BB122" s="84">
        <v>1</v>
      </c>
      <c r="BC122" s="84">
        <v>0</v>
      </c>
      <c r="BD122" s="84">
        <v>1</v>
      </c>
      <c r="BE122" s="84">
        <v>0</v>
      </c>
      <c r="BF122" s="84">
        <v>0</v>
      </c>
      <c r="BG122" s="84">
        <v>0</v>
      </c>
      <c r="BH122" s="20">
        <v>2</v>
      </c>
      <c r="BI122" s="71"/>
      <c r="BJ122" s="71"/>
      <c r="BK122" s="71">
        <f t="shared" si="37"/>
        <v>114.81520780975161</v>
      </c>
      <c r="BL122" s="17">
        <v>3</v>
      </c>
      <c r="BM122" s="71"/>
      <c r="BN122" s="71"/>
      <c r="BO122" s="71">
        <f t="shared" si="38"/>
        <v>111.29665318323313</v>
      </c>
      <c r="BP122" s="17">
        <v>2</v>
      </c>
      <c r="BQ122" s="71"/>
      <c r="BR122" s="71"/>
      <c r="BS122" s="138">
        <f t="shared" si="39"/>
        <v>113.86671101544545</v>
      </c>
      <c r="BT122" s="17">
        <v>3</v>
      </c>
      <c r="BU122" s="71"/>
      <c r="BV122" s="71"/>
      <c r="BW122" s="71">
        <f t="shared" si="40"/>
        <v>112.03791162123835</v>
      </c>
      <c r="BX122" s="84">
        <v>2</v>
      </c>
      <c r="BY122" s="17">
        <v>3</v>
      </c>
      <c r="BZ122" s="71"/>
      <c r="CA122" s="71"/>
      <c r="CB122" s="71">
        <f t="shared" si="41"/>
        <v>110.05345743585116</v>
      </c>
      <c r="CC122" s="17">
        <v>3</v>
      </c>
      <c r="CD122" s="71"/>
      <c r="CE122" s="71"/>
      <c r="CF122" s="71">
        <f t="shared" si="42"/>
        <v>109.36214907383548</v>
      </c>
      <c r="CG122" s="17">
        <v>2</v>
      </c>
      <c r="CH122" s="71"/>
      <c r="CI122" s="71"/>
      <c r="CJ122" s="138">
        <f t="shared" si="43"/>
        <v>118.64838200002481</v>
      </c>
      <c r="CK122" s="17">
        <v>3</v>
      </c>
      <c r="CL122" s="71"/>
      <c r="CM122" s="71"/>
      <c r="CN122" s="71">
        <f t="shared" si="44"/>
        <v>109.82624001207998</v>
      </c>
      <c r="CO122" s="93">
        <v>0</v>
      </c>
      <c r="CP122" s="93">
        <v>1</v>
      </c>
      <c r="CQ122" s="93">
        <v>1</v>
      </c>
      <c r="CR122" s="93">
        <v>0</v>
      </c>
      <c r="CS122" s="102">
        <f t="shared" si="45"/>
        <v>104.9628660757287</v>
      </c>
      <c r="CT122" s="102">
        <f t="shared" si="46"/>
        <v>11.51251280418132</v>
      </c>
      <c r="CU122" s="102">
        <f t="shared" si="47"/>
        <v>0.10968176874929522</v>
      </c>
      <c r="CV122" s="108">
        <f t="shared" si="48"/>
        <v>103.70015330861719</v>
      </c>
      <c r="CZ122" s="109" t="str">
        <f t="shared" si="49"/>
        <v>Alto</v>
      </c>
    </row>
    <row r="123" spans="1:104" x14ac:dyDescent="0.15">
      <c r="A123" s="85">
        <v>4</v>
      </c>
      <c r="B123" s="85">
        <v>1</v>
      </c>
      <c r="C123" s="85">
        <v>3</v>
      </c>
      <c r="D123" s="85">
        <v>2</v>
      </c>
      <c r="E123" s="85">
        <v>1</v>
      </c>
      <c r="F123" s="18">
        <v>1</v>
      </c>
      <c r="I123" s="64">
        <f t="shared" si="25"/>
        <v>93.428492305734082</v>
      </c>
      <c r="J123" s="18">
        <v>2</v>
      </c>
      <c r="M123" s="64">
        <f t="shared" si="26"/>
        <v>110.02144013573877</v>
      </c>
      <c r="N123" s="18">
        <v>1</v>
      </c>
      <c r="Q123" s="64">
        <f t="shared" si="27"/>
        <v>98.246708656674187</v>
      </c>
      <c r="R123" s="18">
        <v>2</v>
      </c>
      <c r="U123" s="64">
        <f t="shared" si="28"/>
        <v>101.34799174124942</v>
      </c>
      <c r="V123" s="18">
        <v>3</v>
      </c>
      <c r="Y123" s="114">
        <f t="shared" si="29"/>
        <v>104.32462809516186</v>
      </c>
      <c r="Z123" s="18">
        <v>2</v>
      </c>
      <c r="AC123" s="64">
        <f t="shared" si="30"/>
        <v>101.50550517487696</v>
      </c>
      <c r="AD123" s="24">
        <v>2</v>
      </c>
      <c r="AE123" s="71"/>
      <c r="AF123" s="71"/>
      <c r="AG123" s="71">
        <f t="shared" si="31"/>
        <v>101.01229126330007</v>
      </c>
      <c r="AH123" s="18">
        <v>2</v>
      </c>
      <c r="AK123" s="64">
        <f t="shared" si="32"/>
        <v>99.518280131348902</v>
      </c>
      <c r="AL123" s="18">
        <v>3</v>
      </c>
      <c r="AM123" s="71"/>
      <c r="AN123" s="71"/>
      <c r="AO123" s="71">
        <f t="shared" si="33"/>
        <v>100.85056924463234</v>
      </c>
      <c r="AP123" s="18">
        <v>2</v>
      </c>
      <c r="AQ123" s="71"/>
      <c r="AR123" s="71"/>
      <c r="AS123" s="71">
        <f t="shared" si="34"/>
        <v>99.909880620416757</v>
      </c>
      <c r="AT123" s="18">
        <v>1</v>
      </c>
      <c r="AU123" s="71"/>
      <c r="AV123" s="71"/>
      <c r="AW123" s="71">
        <f t="shared" si="35"/>
        <v>100.0638209925971</v>
      </c>
      <c r="AX123" s="18">
        <v>2</v>
      </c>
      <c r="AY123" s="71"/>
      <c r="AZ123" s="71"/>
      <c r="BA123" s="71">
        <f t="shared" si="36"/>
        <v>100.92776194547928</v>
      </c>
      <c r="BB123" s="85">
        <v>1</v>
      </c>
      <c r="BC123" s="85">
        <v>0</v>
      </c>
      <c r="BD123" s="85">
        <v>1</v>
      </c>
      <c r="BE123" s="85">
        <v>0</v>
      </c>
      <c r="BF123" s="85">
        <v>0</v>
      </c>
      <c r="BG123" s="85">
        <v>0</v>
      </c>
      <c r="BH123" s="19">
        <v>0</v>
      </c>
      <c r="BI123" s="71"/>
      <c r="BJ123" s="71"/>
      <c r="BK123" s="71">
        <f t="shared" si="37"/>
        <v>92.176238572378367</v>
      </c>
      <c r="BL123" s="18">
        <v>1</v>
      </c>
      <c r="BM123" s="71"/>
      <c r="BN123" s="71"/>
      <c r="BO123" s="71">
        <f t="shared" si="38"/>
        <v>92.606326748686826</v>
      </c>
      <c r="BP123" s="18">
        <v>1</v>
      </c>
      <c r="BQ123" s="71"/>
      <c r="BR123" s="71"/>
      <c r="BS123" s="138">
        <f t="shared" si="39"/>
        <v>100.16171091563201</v>
      </c>
      <c r="BT123" s="18">
        <v>2</v>
      </c>
      <c r="BU123" s="71"/>
      <c r="BV123" s="71"/>
      <c r="BW123" s="71">
        <f t="shared" si="40"/>
        <v>102.51956289746849</v>
      </c>
      <c r="BX123" s="85">
        <v>2</v>
      </c>
      <c r="BY123" s="18">
        <v>2</v>
      </c>
      <c r="BZ123" s="71"/>
      <c r="CA123" s="71"/>
      <c r="CB123" s="71">
        <f t="shared" si="41"/>
        <v>100.53207713448795</v>
      </c>
      <c r="CC123" s="18">
        <v>2</v>
      </c>
      <c r="CD123" s="71"/>
      <c r="CE123" s="71"/>
      <c r="CF123" s="71">
        <f t="shared" si="42"/>
        <v>100.18886179687853</v>
      </c>
      <c r="CG123" s="18">
        <v>0</v>
      </c>
      <c r="CH123" s="71"/>
      <c r="CI123" s="71"/>
      <c r="CJ123" s="138">
        <f t="shared" si="43"/>
        <v>89.226340793489143</v>
      </c>
      <c r="CK123" s="18">
        <v>0</v>
      </c>
      <c r="CL123" s="71"/>
      <c r="CM123" s="71"/>
      <c r="CN123" s="71">
        <f t="shared" si="44"/>
        <v>81.025191700811078</v>
      </c>
      <c r="CO123" s="94">
        <v>1</v>
      </c>
      <c r="CP123" s="94">
        <v>1</v>
      </c>
      <c r="CQ123" s="94">
        <v>0</v>
      </c>
      <c r="CR123" s="94">
        <v>0</v>
      </c>
      <c r="CS123" s="102">
        <f t="shared" si="45"/>
        <v>98.581235356632874</v>
      </c>
      <c r="CT123" s="102">
        <f t="shared" si="46"/>
        <v>6.1338895313857345</v>
      </c>
      <c r="CU123" s="102">
        <f t="shared" si="47"/>
        <v>6.2221674431198186E-2</v>
      </c>
      <c r="CV123" s="108">
        <f t="shared" si="48"/>
        <v>98.19957447921405</v>
      </c>
      <c r="CZ123" s="109" t="str">
        <f t="shared" si="49"/>
        <v>Medio-Basso</v>
      </c>
    </row>
    <row r="124" spans="1:104" x14ac:dyDescent="0.15">
      <c r="A124" s="84">
        <v>2</v>
      </c>
      <c r="B124" s="84">
        <v>1</v>
      </c>
      <c r="C124" s="84">
        <v>3</v>
      </c>
      <c r="D124" s="84">
        <v>2</v>
      </c>
      <c r="E124" s="85">
        <v>1</v>
      </c>
      <c r="F124" s="17">
        <v>1</v>
      </c>
      <c r="I124" s="64">
        <f t="shared" si="25"/>
        <v>93.428492305734082</v>
      </c>
      <c r="J124" s="17">
        <v>1</v>
      </c>
      <c r="M124" s="64">
        <f t="shared" si="26"/>
        <v>95.705097084683388</v>
      </c>
      <c r="N124" s="17">
        <v>1</v>
      </c>
      <c r="Q124" s="64">
        <f t="shared" si="27"/>
        <v>98.246708656674187</v>
      </c>
      <c r="R124" s="17">
        <v>2</v>
      </c>
      <c r="U124" s="64">
        <f t="shared" si="28"/>
        <v>101.34799174124942</v>
      </c>
      <c r="V124" s="17">
        <v>3</v>
      </c>
      <c r="Y124" s="114">
        <f t="shared" si="29"/>
        <v>104.32462809516186</v>
      </c>
      <c r="Z124" s="17">
        <v>0</v>
      </c>
      <c r="AC124" s="64">
        <f t="shared" si="30"/>
        <v>85.509512691809249</v>
      </c>
      <c r="AD124" s="25">
        <v>2</v>
      </c>
      <c r="AE124" s="71"/>
      <c r="AF124" s="71"/>
      <c r="AG124" s="71">
        <f t="shared" si="31"/>
        <v>101.01229126330007</v>
      </c>
      <c r="AH124" s="17">
        <v>2</v>
      </c>
      <c r="AK124" s="64">
        <f t="shared" si="32"/>
        <v>99.518280131348902</v>
      </c>
      <c r="AL124" s="17">
        <v>3</v>
      </c>
      <c r="AM124" s="71"/>
      <c r="AN124" s="71"/>
      <c r="AO124" s="71">
        <f t="shared" si="33"/>
        <v>100.85056924463234</v>
      </c>
      <c r="AP124" s="17">
        <v>2</v>
      </c>
      <c r="AQ124" s="71"/>
      <c r="AR124" s="71"/>
      <c r="AS124" s="71">
        <f t="shared" si="34"/>
        <v>99.909880620416757</v>
      </c>
      <c r="AT124" s="17">
        <v>0</v>
      </c>
      <c r="AU124" s="71"/>
      <c r="AV124" s="71"/>
      <c r="AW124" s="71">
        <f t="shared" si="35"/>
        <v>89.214252251088965</v>
      </c>
      <c r="AX124" s="17">
        <v>2</v>
      </c>
      <c r="AY124" s="71"/>
      <c r="AZ124" s="71"/>
      <c r="BA124" s="71">
        <f t="shared" si="36"/>
        <v>100.92776194547928</v>
      </c>
      <c r="BB124" s="84">
        <v>1</v>
      </c>
      <c r="BC124" s="84">
        <v>0</v>
      </c>
      <c r="BD124" s="84">
        <v>0</v>
      </c>
      <c r="BE124" s="84">
        <v>1</v>
      </c>
      <c r="BF124" s="84">
        <v>0</v>
      </c>
      <c r="BG124" s="84">
        <v>0</v>
      </c>
      <c r="BH124" s="20">
        <v>0</v>
      </c>
      <c r="BI124" s="71"/>
      <c r="BJ124" s="71"/>
      <c r="BK124" s="71">
        <f t="shared" si="37"/>
        <v>92.176238572378367</v>
      </c>
      <c r="BL124" s="17">
        <v>2</v>
      </c>
      <c r="BM124" s="71"/>
      <c r="BN124" s="71"/>
      <c r="BO124" s="71">
        <f t="shared" si="38"/>
        <v>101.95148996595998</v>
      </c>
      <c r="BP124" s="17">
        <v>1</v>
      </c>
      <c r="BQ124" s="71"/>
      <c r="BR124" s="71"/>
      <c r="BS124" s="138">
        <f t="shared" si="39"/>
        <v>100.16171091563201</v>
      </c>
      <c r="BT124" s="17">
        <v>1</v>
      </c>
      <c r="BU124" s="71"/>
      <c r="BV124" s="71"/>
      <c r="BW124" s="71">
        <f t="shared" si="40"/>
        <v>93.001214173698628</v>
      </c>
      <c r="BX124" s="84">
        <v>2</v>
      </c>
      <c r="BY124" s="17">
        <v>1</v>
      </c>
      <c r="BZ124" s="71"/>
      <c r="CA124" s="71"/>
      <c r="CB124" s="71">
        <f t="shared" si="41"/>
        <v>91.01069683312474</v>
      </c>
      <c r="CC124" s="17">
        <v>0</v>
      </c>
      <c r="CD124" s="71"/>
      <c r="CE124" s="71"/>
      <c r="CF124" s="71">
        <f t="shared" si="42"/>
        <v>81.842287242964616</v>
      </c>
      <c r="CG124" s="17">
        <v>0</v>
      </c>
      <c r="CH124" s="71"/>
      <c r="CI124" s="71"/>
      <c r="CJ124" s="138">
        <f t="shared" si="43"/>
        <v>89.226340793489143</v>
      </c>
      <c r="CK124" s="17">
        <v>2</v>
      </c>
      <c r="CL124" s="71"/>
      <c r="CM124" s="71"/>
      <c r="CN124" s="71">
        <f t="shared" si="44"/>
        <v>100.22589057499034</v>
      </c>
      <c r="CO124" s="93">
        <v>0</v>
      </c>
      <c r="CP124" s="93">
        <v>0</v>
      </c>
      <c r="CQ124" s="93">
        <v>0</v>
      </c>
      <c r="CR124" s="93">
        <v>1</v>
      </c>
      <c r="CS124" s="102">
        <f t="shared" si="45"/>
        <v>95.639920899972552</v>
      </c>
      <c r="CT124" s="102">
        <f t="shared" si="46"/>
        <v>6.1087359406880148</v>
      </c>
      <c r="CU124" s="102">
        <f t="shared" si="47"/>
        <v>6.3872239575323272E-2</v>
      </c>
      <c r="CV124" s="108">
        <f t="shared" si="48"/>
        <v>95.24974225446654</v>
      </c>
      <c r="CZ124" s="109" t="str">
        <f t="shared" si="49"/>
        <v>Basso</v>
      </c>
    </row>
    <row r="125" spans="1:104" x14ac:dyDescent="0.15">
      <c r="A125" s="85">
        <v>3</v>
      </c>
      <c r="B125" s="85">
        <v>1</v>
      </c>
      <c r="C125" s="85">
        <v>3</v>
      </c>
      <c r="D125" s="85">
        <v>2</v>
      </c>
      <c r="E125" s="85">
        <v>1</v>
      </c>
      <c r="F125" s="18">
        <v>2</v>
      </c>
      <c r="I125" s="64">
        <f t="shared" si="25"/>
        <v>109.85726154139888</v>
      </c>
      <c r="J125" s="18">
        <v>1</v>
      </c>
      <c r="M125" s="64">
        <f t="shared" si="26"/>
        <v>95.705097084683388</v>
      </c>
      <c r="N125" s="18">
        <v>1</v>
      </c>
      <c r="Q125" s="64">
        <f t="shared" si="27"/>
        <v>98.246708656674187</v>
      </c>
      <c r="R125" s="18">
        <v>2</v>
      </c>
      <c r="U125" s="64">
        <f t="shared" si="28"/>
        <v>101.34799174124942</v>
      </c>
      <c r="V125" s="18">
        <v>2</v>
      </c>
      <c r="Y125" s="114">
        <f t="shared" si="29"/>
        <v>97.875621286587162</v>
      </c>
      <c r="Z125" s="18">
        <v>2</v>
      </c>
      <c r="AC125" s="64">
        <f t="shared" si="30"/>
        <v>101.50550517487696</v>
      </c>
      <c r="AD125" s="24">
        <v>3</v>
      </c>
      <c r="AE125" s="71"/>
      <c r="AF125" s="71"/>
      <c r="AG125" s="71">
        <f t="shared" si="31"/>
        <v>109.20703006144345</v>
      </c>
      <c r="AH125" s="18">
        <v>1</v>
      </c>
      <c r="AK125" s="64">
        <f t="shared" si="32"/>
        <v>88.599296441923855</v>
      </c>
      <c r="AL125" s="18">
        <v>3</v>
      </c>
      <c r="AM125" s="71"/>
      <c r="AN125" s="71"/>
      <c r="AO125" s="71">
        <f t="shared" si="33"/>
        <v>100.85056924463234</v>
      </c>
      <c r="AP125" s="18">
        <v>2</v>
      </c>
      <c r="AQ125" s="71"/>
      <c r="AR125" s="71"/>
      <c r="AS125" s="71">
        <f t="shared" si="34"/>
        <v>99.909880620416757</v>
      </c>
      <c r="AT125" s="18">
        <v>0</v>
      </c>
      <c r="AU125" s="71"/>
      <c r="AV125" s="71"/>
      <c r="AW125" s="71">
        <f t="shared" si="35"/>
        <v>89.214252251088965</v>
      </c>
      <c r="AX125" s="18">
        <v>2</v>
      </c>
      <c r="AY125" s="71"/>
      <c r="AZ125" s="71"/>
      <c r="BA125" s="71">
        <f t="shared" si="36"/>
        <v>100.92776194547928</v>
      </c>
      <c r="BB125" s="85">
        <v>1</v>
      </c>
      <c r="BC125" s="85">
        <v>0</v>
      </c>
      <c r="BD125" s="85">
        <v>1</v>
      </c>
      <c r="BE125" s="85">
        <v>0</v>
      </c>
      <c r="BF125" s="85">
        <v>0</v>
      </c>
      <c r="BG125" s="85">
        <v>0</v>
      </c>
      <c r="BH125" s="19">
        <v>1</v>
      </c>
      <c r="BI125" s="71"/>
      <c r="BJ125" s="71"/>
      <c r="BK125" s="71">
        <f t="shared" si="37"/>
        <v>103.49572319106498</v>
      </c>
      <c r="BL125" s="18">
        <v>2</v>
      </c>
      <c r="BM125" s="71"/>
      <c r="BN125" s="71"/>
      <c r="BO125" s="71">
        <f t="shared" si="38"/>
        <v>101.95148996595998</v>
      </c>
      <c r="BP125" s="18">
        <v>2</v>
      </c>
      <c r="BQ125" s="71"/>
      <c r="BR125" s="71"/>
      <c r="BS125" s="138">
        <f t="shared" si="39"/>
        <v>113.86671101544545</v>
      </c>
      <c r="BT125" s="18">
        <v>2</v>
      </c>
      <c r="BU125" s="71"/>
      <c r="BV125" s="71"/>
      <c r="BW125" s="71">
        <f t="shared" si="40"/>
        <v>102.51956289746849</v>
      </c>
      <c r="BX125" s="85">
        <v>2</v>
      </c>
      <c r="BY125" s="18">
        <v>2</v>
      </c>
      <c r="BZ125" s="71"/>
      <c r="CA125" s="71"/>
      <c r="CB125" s="71">
        <f t="shared" si="41"/>
        <v>100.53207713448795</v>
      </c>
      <c r="CC125" s="18">
        <v>3</v>
      </c>
      <c r="CD125" s="71"/>
      <c r="CE125" s="71"/>
      <c r="CF125" s="71">
        <f t="shared" si="42"/>
        <v>109.36214907383548</v>
      </c>
      <c r="CG125" s="18">
        <v>0</v>
      </c>
      <c r="CH125" s="71"/>
      <c r="CI125" s="71"/>
      <c r="CJ125" s="138">
        <f t="shared" si="43"/>
        <v>89.226340793489143</v>
      </c>
      <c r="CK125" s="18">
        <v>3</v>
      </c>
      <c r="CL125" s="71"/>
      <c r="CM125" s="71"/>
      <c r="CN125" s="71">
        <f t="shared" si="44"/>
        <v>109.82624001207998</v>
      </c>
      <c r="CO125" s="94">
        <v>1</v>
      </c>
      <c r="CP125" s="94">
        <v>1</v>
      </c>
      <c r="CQ125" s="94">
        <v>0</v>
      </c>
      <c r="CR125" s="94">
        <v>0</v>
      </c>
      <c r="CS125" s="102">
        <f t="shared" si="45"/>
        <v>101.35638806110379</v>
      </c>
      <c r="CT125" s="102">
        <f t="shared" si="46"/>
        <v>6.2800662019122706</v>
      </c>
      <c r="CU125" s="102">
        <f t="shared" si="47"/>
        <v>6.1960240711481013E-2</v>
      </c>
      <c r="CV125" s="108">
        <f t="shared" si="48"/>
        <v>100.96727364754926</v>
      </c>
      <c r="CZ125" s="109" t="str">
        <f t="shared" si="49"/>
        <v>Medio-Alto</v>
      </c>
    </row>
    <row r="126" spans="1:104" x14ac:dyDescent="0.15">
      <c r="A126" s="84">
        <v>1</v>
      </c>
      <c r="B126" s="84">
        <v>1</v>
      </c>
      <c r="C126" s="84">
        <v>1</v>
      </c>
      <c r="D126" s="84">
        <v>2</v>
      </c>
      <c r="E126" s="85">
        <v>1</v>
      </c>
      <c r="F126" s="17">
        <v>2</v>
      </c>
      <c r="I126" s="64">
        <f t="shared" si="25"/>
        <v>109.85726154139888</v>
      </c>
      <c r="J126" s="17">
        <v>2</v>
      </c>
      <c r="M126" s="64">
        <f t="shared" si="26"/>
        <v>110.02144013573877</v>
      </c>
      <c r="N126" s="17">
        <v>2</v>
      </c>
      <c r="Q126" s="64">
        <f t="shared" si="27"/>
        <v>113.93405225485253</v>
      </c>
      <c r="R126" s="17">
        <v>3</v>
      </c>
      <c r="U126" s="64">
        <f t="shared" si="28"/>
        <v>111.09942135879838</v>
      </c>
      <c r="V126" s="17">
        <v>2</v>
      </c>
      <c r="Y126" s="114">
        <f t="shared" si="29"/>
        <v>97.875621286587162</v>
      </c>
      <c r="Z126" s="17">
        <v>1</v>
      </c>
      <c r="AC126" s="64">
        <f t="shared" si="30"/>
        <v>93.507508933343104</v>
      </c>
      <c r="AD126" s="25">
        <v>3</v>
      </c>
      <c r="AE126" s="71"/>
      <c r="AF126" s="71"/>
      <c r="AG126" s="71">
        <f t="shared" si="31"/>
        <v>109.20703006144345</v>
      </c>
      <c r="AH126" s="17">
        <v>3</v>
      </c>
      <c r="AK126" s="64">
        <f t="shared" si="32"/>
        <v>110.43726382077395</v>
      </c>
      <c r="AL126" s="17">
        <v>4</v>
      </c>
      <c r="AM126" s="71"/>
      <c r="AN126" s="71"/>
      <c r="AO126" s="71">
        <f t="shared" si="33"/>
        <v>111.97339782828605</v>
      </c>
      <c r="AP126" s="17">
        <v>3</v>
      </c>
      <c r="AQ126" s="71"/>
      <c r="AR126" s="71"/>
      <c r="AS126" s="71">
        <f t="shared" si="34"/>
        <v>110.12341030651692</v>
      </c>
      <c r="AT126" s="17">
        <v>2</v>
      </c>
      <c r="AU126" s="71"/>
      <c r="AV126" s="71"/>
      <c r="AW126" s="71">
        <f t="shared" si="35"/>
        <v>110.91338973410525</v>
      </c>
      <c r="AX126" s="17">
        <v>3</v>
      </c>
      <c r="AY126" s="71"/>
      <c r="AZ126" s="71"/>
      <c r="BA126" s="71">
        <f t="shared" si="36"/>
        <v>111.80497096144313</v>
      </c>
      <c r="BB126" s="84">
        <v>1</v>
      </c>
      <c r="BC126" s="84">
        <v>1</v>
      </c>
      <c r="BD126" s="84">
        <v>0</v>
      </c>
      <c r="BE126" s="84">
        <v>0</v>
      </c>
      <c r="BF126" s="84">
        <v>0</v>
      </c>
      <c r="BG126" s="84">
        <v>0</v>
      </c>
      <c r="BH126" s="20">
        <v>2</v>
      </c>
      <c r="BI126" s="71"/>
      <c r="BJ126" s="71"/>
      <c r="BK126" s="71">
        <f t="shared" si="37"/>
        <v>114.81520780975161</v>
      </c>
      <c r="BL126" s="17">
        <v>3</v>
      </c>
      <c r="BM126" s="71"/>
      <c r="BN126" s="71"/>
      <c r="BO126" s="71">
        <f t="shared" si="38"/>
        <v>111.29665318323313</v>
      </c>
      <c r="BP126" s="17">
        <v>1</v>
      </c>
      <c r="BQ126" s="71"/>
      <c r="BR126" s="71"/>
      <c r="BS126" s="138">
        <f t="shared" si="39"/>
        <v>100.16171091563201</v>
      </c>
      <c r="BT126" s="17">
        <v>3</v>
      </c>
      <c r="BU126" s="71"/>
      <c r="BV126" s="71"/>
      <c r="BW126" s="71">
        <f t="shared" si="40"/>
        <v>112.03791162123835</v>
      </c>
      <c r="BX126" s="84">
        <v>0</v>
      </c>
      <c r="BY126" s="17">
        <v>2</v>
      </c>
      <c r="BZ126" s="71"/>
      <c r="CA126" s="71"/>
      <c r="CB126" s="71">
        <f t="shared" si="41"/>
        <v>100.53207713448795</v>
      </c>
      <c r="CC126" s="17">
        <v>3</v>
      </c>
      <c r="CD126" s="71"/>
      <c r="CE126" s="71"/>
      <c r="CF126" s="71">
        <f t="shared" si="42"/>
        <v>109.36214907383548</v>
      </c>
      <c r="CG126" s="17">
        <v>2</v>
      </c>
      <c r="CH126" s="71"/>
      <c r="CI126" s="71"/>
      <c r="CJ126" s="138">
        <f t="shared" si="43"/>
        <v>118.64838200002481</v>
      </c>
      <c r="CK126" s="17">
        <v>3</v>
      </c>
      <c r="CL126" s="71"/>
      <c r="CM126" s="71"/>
      <c r="CN126" s="71">
        <f t="shared" si="44"/>
        <v>109.82624001207998</v>
      </c>
      <c r="CO126" s="93">
        <v>1</v>
      </c>
      <c r="CP126" s="93">
        <v>1</v>
      </c>
      <c r="CQ126" s="93">
        <v>0</v>
      </c>
      <c r="CR126" s="93">
        <v>0</v>
      </c>
      <c r="CS126" s="102">
        <f t="shared" si="45"/>
        <v>109.45584622184276</v>
      </c>
      <c r="CT126" s="102">
        <f t="shared" si="46"/>
        <v>5.0719559441369366</v>
      </c>
      <c r="CU126" s="102">
        <f t="shared" si="47"/>
        <v>4.6337917244339832E-2</v>
      </c>
      <c r="CV126" s="108">
        <f t="shared" si="48"/>
        <v>109.2208223470364</v>
      </c>
      <c r="CZ126" s="109" t="str">
        <f t="shared" si="49"/>
        <v>Alto</v>
      </c>
    </row>
    <row r="127" spans="1:104" x14ac:dyDescent="0.15">
      <c r="A127" s="85">
        <v>4</v>
      </c>
      <c r="B127" s="85">
        <v>1</v>
      </c>
      <c r="C127" s="85">
        <v>3</v>
      </c>
      <c r="D127" s="85">
        <v>1</v>
      </c>
      <c r="E127" s="85">
        <v>1</v>
      </c>
      <c r="F127" s="18">
        <v>2</v>
      </c>
      <c r="I127" s="64">
        <f t="shared" si="25"/>
        <v>109.85726154139888</v>
      </c>
      <c r="J127" s="18">
        <v>1</v>
      </c>
      <c r="M127" s="64">
        <f t="shared" si="26"/>
        <v>95.705097084683388</v>
      </c>
      <c r="N127" s="18">
        <v>1</v>
      </c>
      <c r="Q127" s="64">
        <f t="shared" si="27"/>
        <v>98.246708656674187</v>
      </c>
      <c r="R127" s="18">
        <v>1</v>
      </c>
      <c r="U127" s="64">
        <f t="shared" si="28"/>
        <v>91.596562123700451</v>
      </c>
      <c r="V127" s="18">
        <v>2</v>
      </c>
      <c r="Y127" s="114">
        <f t="shared" si="29"/>
        <v>97.875621286587162</v>
      </c>
      <c r="Z127" s="18">
        <v>3</v>
      </c>
      <c r="AC127" s="64">
        <f t="shared" si="30"/>
        <v>109.50350141641081</v>
      </c>
      <c r="AD127" s="24">
        <v>3</v>
      </c>
      <c r="AE127" s="71"/>
      <c r="AF127" s="71"/>
      <c r="AG127" s="71">
        <f t="shared" si="31"/>
        <v>109.20703006144345</v>
      </c>
      <c r="AH127" s="18">
        <v>2</v>
      </c>
      <c r="AK127" s="64">
        <f t="shared" si="32"/>
        <v>99.518280131348902</v>
      </c>
      <c r="AL127" s="18">
        <v>3</v>
      </c>
      <c r="AM127" s="71"/>
      <c r="AN127" s="71"/>
      <c r="AO127" s="71">
        <f t="shared" si="33"/>
        <v>100.85056924463234</v>
      </c>
      <c r="AP127" s="18">
        <v>3</v>
      </c>
      <c r="AQ127" s="71"/>
      <c r="AR127" s="71"/>
      <c r="AS127" s="71">
        <f t="shared" si="34"/>
        <v>110.12341030651692</v>
      </c>
      <c r="AT127" s="18">
        <v>0</v>
      </c>
      <c r="AU127" s="71"/>
      <c r="AV127" s="71"/>
      <c r="AW127" s="71">
        <f t="shared" si="35"/>
        <v>89.214252251088965</v>
      </c>
      <c r="AX127" s="18">
        <v>2</v>
      </c>
      <c r="AY127" s="71"/>
      <c r="AZ127" s="71"/>
      <c r="BA127" s="71">
        <f t="shared" si="36"/>
        <v>100.92776194547928</v>
      </c>
      <c r="BB127" s="85">
        <v>1</v>
      </c>
      <c r="BC127" s="85">
        <v>0</v>
      </c>
      <c r="BD127" s="85">
        <v>1</v>
      </c>
      <c r="BE127" s="85">
        <v>0</v>
      </c>
      <c r="BF127" s="85">
        <v>0</v>
      </c>
      <c r="BG127" s="85">
        <v>0</v>
      </c>
      <c r="BH127" s="19">
        <v>0</v>
      </c>
      <c r="BI127" s="71"/>
      <c r="BJ127" s="71"/>
      <c r="BK127" s="71">
        <f t="shared" si="37"/>
        <v>92.176238572378367</v>
      </c>
      <c r="BL127" s="18">
        <v>1</v>
      </c>
      <c r="BM127" s="71"/>
      <c r="BN127" s="71"/>
      <c r="BO127" s="71">
        <f t="shared" si="38"/>
        <v>92.606326748686826</v>
      </c>
      <c r="BP127" s="18">
        <v>1</v>
      </c>
      <c r="BQ127" s="71"/>
      <c r="BR127" s="71"/>
      <c r="BS127" s="138">
        <f t="shared" si="39"/>
        <v>100.16171091563201</v>
      </c>
      <c r="BT127" s="18">
        <v>2</v>
      </c>
      <c r="BU127" s="71"/>
      <c r="BV127" s="71"/>
      <c r="BW127" s="71">
        <f t="shared" si="40"/>
        <v>102.51956289746849</v>
      </c>
      <c r="BX127" s="85">
        <v>2</v>
      </c>
      <c r="BY127" s="18">
        <v>2</v>
      </c>
      <c r="BZ127" s="71"/>
      <c r="CA127" s="71"/>
      <c r="CB127" s="71">
        <f t="shared" si="41"/>
        <v>100.53207713448795</v>
      </c>
      <c r="CC127" s="18">
        <v>1</v>
      </c>
      <c r="CD127" s="71"/>
      <c r="CE127" s="71"/>
      <c r="CF127" s="71">
        <f t="shared" si="42"/>
        <v>91.015574519921572</v>
      </c>
      <c r="CG127" s="18">
        <v>1</v>
      </c>
      <c r="CH127" s="71"/>
      <c r="CI127" s="71"/>
      <c r="CJ127" s="138">
        <f t="shared" si="43"/>
        <v>103.93736139675698</v>
      </c>
      <c r="CK127" s="18">
        <v>1</v>
      </c>
      <c r="CL127" s="71"/>
      <c r="CM127" s="71"/>
      <c r="CN127" s="71">
        <f t="shared" si="44"/>
        <v>90.625541137900711</v>
      </c>
      <c r="CO127" s="94">
        <v>1</v>
      </c>
      <c r="CP127" s="94">
        <v>1</v>
      </c>
      <c r="CQ127" s="94">
        <v>0</v>
      </c>
      <c r="CR127" s="94">
        <v>0</v>
      </c>
      <c r="CS127" s="102">
        <f t="shared" si="45"/>
        <v>99.072103280836558</v>
      </c>
      <c r="CT127" s="102">
        <f t="shared" si="46"/>
        <v>7.3378047320802509</v>
      </c>
      <c r="CU127" s="102">
        <f t="shared" si="47"/>
        <v>7.4065296779659631E-2</v>
      </c>
      <c r="CV127" s="108">
        <f t="shared" si="48"/>
        <v>98.528626595643843</v>
      </c>
      <c r="CZ127" s="109" t="str">
        <f t="shared" si="49"/>
        <v>Medio-Basso</v>
      </c>
    </row>
    <row r="128" spans="1:104" x14ac:dyDescent="0.15">
      <c r="A128" s="84">
        <v>5</v>
      </c>
      <c r="B128" s="84">
        <v>1</v>
      </c>
      <c r="C128" s="84">
        <v>1</v>
      </c>
      <c r="D128" s="84">
        <v>2</v>
      </c>
      <c r="E128" s="85">
        <v>1</v>
      </c>
      <c r="F128" s="17">
        <v>1</v>
      </c>
      <c r="I128" s="64">
        <f t="shared" si="25"/>
        <v>93.428492305734082</v>
      </c>
      <c r="J128" s="17">
        <v>0</v>
      </c>
      <c r="M128" s="64">
        <f t="shared" si="26"/>
        <v>81.388754033628004</v>
      </c>
      <c r="N128" s="17">
        <v>1</v>
      </c>
      <c r="Q128" s="64">
        <f t="shared" si="27"/>
        <v>98.246708656674187</v>
      </c>
      <c r="R128" s="17">
        <v>3</v>
      </c>
      <c r="U128" s="64">
        <f t="shared" si="28"/>
        <v>111.09942135879838</v>
      </c>
      <c r="V128" s="17">
        <v>0</v>
      </c>
      <c r="Y128" s="114">
        <f t="shared" si="29"/>
        <v>84.977607669437745</v>
      </c>
      <c r="Z128" s="17">
        <v>3</v>
      </c>
      <c r="AC128" s="64">
        <f t="shared" si="30"/>
        <v>109.50350141641081</v>
      </c>
      <c r="AD128" s="25">
        <v>0</v>
      </c>
      <c r="AE128" s="71"/>
      <c r="AF128" s="71"/>
      <c r="AG128" s="71">
        <f t="shared" si="31"/>
        <v>84.62281366701329</v>
      </c>
      <c r="AH128" s="17">
        <v>2</v>
      </c>
      <c r="AK128" s="64">
        <f t="shared" si="32"/>
        <v>99.518280131348902</v>
      </c>
      <c r="AL128" s="17">
        <v>4</v>
      </c>
      <c r="AM128" s="71"/>
      <c r="AN128" s="71"/>
      <c r="AO128" s="71">
        <f t="shared" si="33"/>
        <v>111.97339782828605</v>
      </c>
      <c r="AP128" s="17">
        <v>2</v>
      </c>
      <c r="AQ128" s="71"/>
      <c r="AR128" s="71"/>
      <c r="AS128" s="71">
        <f t="shared" si="34"/>
        <v>99.909880620416757</v>
      </c>
      <c r="AT128" s="17">
        <v>0</v>
      </c>
      <c r="AU128" s="71"/>
      <c r="AV128" s="71"/>
      <c r="AW128" s="71">
        <f t="shared" si="35"/>
        <v>89.214252251088965</v>
      </c>
      <c r="AX128" s="17">
        <v>1</v>
      </c>
      <c r="AY128" s="71"/>
      <c r="AZ128" s="71"/>
      <c r="BA128" s="71">
        <f t="shared" si="36"/>
        <v>90.050552929515405</v>
      </c>
      <c r="BB128" s="84">
        <v>1</v>
      </c>
      <c r="BC128" s="84">
        <v>0</v>
      </c>
      <c r="BD128" s="84">
        <v>1</v>
      </c>
      <c r="BE128" s="84">
        <v>0</v>
      </c>
      <c r="BF128" s="84">
        <v>0</v>
      </c>
      <c r="BG128" s="84">
        <v>0</v>
      </c>
      <c r="BH128" s="20">
        <v>0</v>
      </c>
      <c r="BI128" s="71"/>
      <c r="BJ128" s="71"/>
      <c r="BK128" s="71">
        <f t="shared" si="37"/>
        <v>92.176238572378367</v>
      </c>
      <c r="BL128" s="17">
        <v>2</v>
      </c>
      <c r="BM128" s="71"/>
      <c r="BN128" s="71"/>
      <c r="BO128" s="71">
        <f t="shared" si="38"/>
        <v>101.95148996595998</v>
      </c>
      <c r="BP128" s="17">
        <v>2</v>
      </c>
      <c r="BQ128" s="71"/>
      <c r="BR128" s="71"/>
      <c r="BS128" s="138">
        <f t="shared" si="39"/>
        <v>113.86671101544545</v>
      </c>
      <c r="BT128" s="17">
        <v>2</v>
      </c>
      <c r="BU128" s="71"/>
      <c r="BV128" s="71"/>
      <c r="BW128" s="71">
        <f t="shared" si="40"/>
        <v>102.51956289746849</v>
      </c>
      <c r="BX128" s="84">
        <v>1</v>
      </c>
      <c r="BY128" s="17">
        <v>0</v>
      </c>
      <c r="BZ128" s="71"/>
      <c r="CA128" s="71"/>
      <c r="CB128" s="71">
        <f t="shared" si="41"/>
        <v>81.489316531761531</v>
      </c>
      <c r="CC128" s="17">
        <v>1</v>
      </c>
      <c r="CD128" s="71"/>
      <c r="CE128" s="71"/>
      <c r="CF128" s="71">
        <f t="shared" si="42"/>
        <v>91.015574519921572</v>
      </c>
      <c r="CG128" s="17">
        <v>1</v>
      </c>
      <c r="CH128" s="71"/>
      <c r="CI128" s="71"/>
      <c r="CJ128" s="138">
        <f t="shared" si="43"/>
        <v>103.93736139675698</v>
      </c>
      <c r="CK128" s="17">
        <v>1</v>
      </c>
      <c r="CL128" s="71"/>
      <c r="CM128" s="71"/>
      <c r="CN128" s="71">
        <f t="shared" si="44"/>
        <v>90.625541137900711</v>
      </c>
      <c r="CO128" s="93">
        <v>0</v>
      </c>
      <c r="CP128" s="93">
        <v>0</v>
      </c>
      <c r="CQ128" s="93">
        <v>0</v>
      </c>
      <c r="CR128" s="93">
        <v>1</v>
      </c>
      <c r="CS128" s="102">
        <f t="shared" si="45"/>
        <v>95.807869342606196</v>
      </c>
      <c r="CT128" s="102">
        <f t="shared" si="46"/>
        <v>9.6351935673311306</v>
      </c>
      <c r="CU128" s="102">
        <f t="shared" si="47"/>
        <v>0.10056787227859075</v>
      </c>
      <c r="CV128" s="108">
        <f t="shared" si="48"/>
        <v>94.838878426547339</v>
      </c>
      <c r="CZ128" s="109" t="str">
        <f t="shared" si="49"/>
        <v>Basso</v>
      </c>
    </row>
    <row r="129" spans="1:104" x14ac:dyDescent="0.15">
      <c r="A129" s="85">
        <v>2</v>
      </c>
      <c r="B129" s="85">
        <v>1</v>
      </c>
      <c r="C129" s="85">
        <v>2</v>
      </c>
      <c r="D129" s="85">
        <v>0</v>
      </c>
      <c r="E129" s="85">
        <v>1</v>
      </c>
      <c r="F129" s="18">
        <v>1</v>
      </c>
      <c r="I129" s="64">
        <f t="shared" si="25"/>
        <v>93.428492305734082</v>
      </c>
      <c r="J129" s="18">
        <v>2</v>
      </c>
      <c r="M129" s="64">
        <f t="shared" si="26"/>
        <v>110.02144013573877</v>
      </c>
      <c r="N129" s="18">
        <v>2</v>
      </c>
      <c r="Q129" s="64">
        <f t="shared" si="27"/>
        <v>113.93405225485253</v>
      </c>
      <c r="R129" s="18">
        <v>2</v>
      </c>
      <c r="U129" s="64">
        <f t="shared" si="28"/>
        <v>101.34799174124942</v>
      </c>
      <c r="V129" s="18">
        <v>0</v>
      </c>
      <c r="Y129" s="114">
        <f t="shared" si="29"/>
        <v>84.977607669437745</v>
      </c>
      <c r="Z129" s="18">
        <v>2</v>
      </c>
      <c r="AC129" s="64">
        <f t="shared" si="30"/>
        <v>101.50550517487696</v>
      </c>
      <c r="AD129" s="24">
        <v>1</v>
      </c>
      <c r="AE129" s="71"/>
      <c r="AF129" s="71"/>
      <c r="AG129" s="71">
        <f t="shared" si="31"/>
        <v>92.81755246515668</v>
      </c>
      <c r="AH129" s="18">
        <v>3</v>
      </c>
      <c r="AK129" s="64">
        <f t="shared" si="32"/>
        <v>110.43726382077395</v>
      </c>
      <c r="AL129" s="18">
        <v>3</v>
      </c>
      <c r="AM129" s="71"/>
      <c r="AN129" s="71"/>
      <c r="AO129" s="71">
        <f t="shared" si="33"/>
        <v>100.85056924463234</v>
      </c>
      <c r="AP129" s="18">
        <v>2</v>
      </c>
      <c r="AQ129" s="71"/>
      <c r="AR129" s="71"/>
      <c r="AS129" s="71">
        <f t="shared" si="34"/>
        <v>99.909880620416757</v>
      </c>
      <c r="AT129" s="18">
        <v>2</v>
      </c>
      <c r="AU129" s="71"/>
      <c r="AV129" s="71"/>
      <c r="AW129" s="71">
        <f t="shared" si="35"/>
        <v>110.91338973410525</v>
      </c>
      <c r="AX129" s="18">
        <v>1</v>
      </c>
      <c r="AY129" s="71"/>
      <c r="AZ129" s="71"/>
      <c r="BA129" s="71">
        <f t="shared" si="36"/>
        <v>90.050552929515405</v>
      </c>
      <c r="BB129" s="85">
        <v>1</v>
      </c>
      <c r="BC129" s="85">
        <v>1</v>
      </c>
      <c r="BD129" s="85">
        <v>0</v>
      </c>
      <c r="BE129" s="85">
        <v>0</v>
      </c>
      <c r="BF129" s="85">
        <v>0</v>
      </c>
      <c r="BG129" s="85">
        <v>0</v>
      </c>
      <c r="BH129" s="19">
        <v>2</v>
      </c>
      <c r="BI129" s="71"/>
      <c r="BJ129" s="71"/>
      <c r="BK129" s="71">
        <f t="shared" si="37"/>
        <v>114.81520780975161</v>
      </c>
      <c r="BL129" s="18">
        <v>3</v>
      </c>
      <c r="BM129" s="71"/>
      <c r="BN129" s="71"/>
      <c r="BO129" s="71">
        <f t="shared" si="38"/>
        <v>111.29665318323313</v>
      </c>
      <c r="BP129" s="18">
        <v>1</v>
      </c>
      <c r="BQ129" s="71"/>
      <c r="BR129" s="71"/>
      <c r="BS129" s="138">
        <f t="shared" si="39"/>
        <v>100.16171091563201</v>
      </c>
      <c r="BT129" s="18">
        <v>0</v>
      </c>
      <c r="BU129" s="71"/>
      <c r="BV129" s="71"/>
      <c r="BW129" s="71">
        <f t="shared" si="40"/>
        <v>83.482865449928767</v>
      </c>
      <c r="BX129" s="85">
        <v>0</v>
      </c>
      <c r="BY129" s="18">
        <v>2</v>
      </c>
      <c r="BZ129" s="71"/>
      <c r="CA129" s="71"/>
      <c r="CB129" s="71">
        <f t="shared" si="41"/>
        <v>100.53207713448795</v>
      </c>
      <c r="CC129" s="18">
        <v>3</v>
      </c>
      <c r="CD129" s="71"/>
      <c r="CE129" s="71"/>
      <c r="CF129" s="71">
        <f t="shared" si="42"/>
        <v>109.36214907383548</v>
      </c>
      <c r="CG129" s="18">
        <v>1</v>
      </c>
      <c r="CH129" s="71"/>
      <c r="CI129" s="71"/>
      <c r="CJ129" s="138">
        <f t="shared" si="43"/>
        <v>103.93736139675698</v>
      </c>
      <c r="CK129" s="18">
        <v>3</v>
      </c>
      <c r="CL129" s="71"/>
      <c r="CM129" s="71"/>
      <c r="CN129" s="71">
        <f t="shared" si="44"/>
        <v>109.82624001207998</v>
      </c>
      <c r="CO129" s="94">
        <v>1</v>
      </c>
      <c r="CP129" s="94">
        <v>1</v>
      </c>
      <c r="CQ129" s="94">
        <v>0</v>
      </c>
      <c r="CR129" s="94">
        <v>0</v>
      </c>
      <c r="CS129" s="102">
        <f t="shared" si="45"/>
        <v>103.20775782884525</v>
      </c>
      <c r="CT129" s="102">
        <f t="shared" si="46"/>
        <v>9.1879267072101793</v>
      </c>
      <c r="CU129" s="102">
        <f t="shared" si="47"/>
        <v>8.9023605400351716E-2</v>
      </c>
      <c r="CV129" s="108">
        <f t="shared" si="48"/>
        <v>102.38981546721521</v>
      </c>
      <c r="CZ129" s="109" t="str">
        <f t="shared" si="49"/>
        <v>Medio-Alto</v>
      </c>
    </row>
    <row r="130" spans="1:104" x14ac:dyDescent="0.15">
      <c r="A130" s="84">
        <v>3</v>
      </c>
      <c r="B130" s="84">
        <v>2</v>
      </c>
      <c r="C130" s="84">
        <v>1</v>
      </c>
      <c r="D130" s="84">
        <v>2</v>
      </c>
      <c r="E130" s="85">
        <v>1</v>
      </c>
      <c r="F130" s="17">
        <v>0</v>
      </c>
      <c r="I130" s="64">
        <f t="shared" si="25"/>
        <v>76.99972307006928</v>
      </c>
      <c r="J130" s="17">
        <v>2</v>
      </c>
      <c r="M130" s="64">
        <f t="shared" si="26"/>
        <v>110.02144013573877</v>
      </c>
      <c r="N130" s="17">
        <v>0</v>
      </c>
      <c r="Q130" s="64">
        <f t="shared" si="27"/>
        <v>82.559365058495843</v>
      </c>
      <c r="R130" s="17">
        <v>0</v>
      </c>
      <c r="U130" s="64">
        <f t="shared" si="28"/>
        <v>81.845132506151486</v>
      </c>
      <c r="V130" s="17">
        <v>4</v>
      </c>
      <c r="Y130" s="114">
        <f t="shared" si="29"/>
        <v>110.77363490373656</v>
      </c>
      <c r="Z130" s="17">
        <v>0</v>
      </c>
      <c r="AC130" s="64">
        <f t="shared" si="30"/>
        <v>85.509512691809249</v>
      </c>
      <c r="AD130" s="25">
        <v>0</v>
      </c>
      <c r="AE130" s="71"/>
      <c r="AF130" s="71"/>
      <c r="AG130" s="71">
        <f t="shared" si="31"/>
        <v>84.62281366701329</v>
      </c>
      <c r="AH130" s="17">
        <v>1</v>
      </c>
      <c r="AK130" s="64">
        <f t="shared" si="32"/>
        <v>88.599296441923855</v>
      </c>
      <c r="AL130" s="17">
        <v>3</v>
      </c>
      <c r="AM130" s="71"/>
      <c r="AN130" s="71"/>
      <c r="AO130" s="71">
        <f t="shared" si="33"/>
        <v>100.85056924463234</v>
      </c>
      <c r="AP130" s="17">
        <v>0</v>
      </c>
      <c r="AQ130" s="71"/>
      <c r="AR130" s="71"/>
      <c r="AS130" s="71">
        <f t="shared" si="34"/>
        <v>79.482821248216453</v>
      </c>
      <c r="AT130" s="17">
        <v>0</v>
      </c>
      <c r="AU130" s="71"/>
      <c r="AV130" s="71"/>
      <c r="AW130" s="71">
        <f t="shared" si="35"/>
        <v>89.214252251088965</v>
      </c>
      <c r="AX130" s="17">
        <v>2</v>
      </c>
      <c r="AY130" s="71"/>
      <c r="AZ130" s="71"/>
      <c r="BA130" s="71">
        <f t="shared" si="36"/>
        <v>100.92776194547928</v>
      </c>
      <c r="BB130" s="84">
        <v>0</v>
      </c>
      <c r="BC130" s="84">
        <v>0</v>
      </c>
      <c r="BD130" s="84">
        <v>1</v>
      </c>
      <c r="BE130" s="84">
        <v>1</v>
      </c>
      <c r="BF130" s="84">
        <v>0</v>
      </c>
      <c r="BG130" s="84">
        <v>0</v>
      </c>
      <c r="BH130" s="20">
        <v>0</v>
      </c>
      <c r="BI130" s="71"/>
      <c r="BJ130" s="71"/>
      <c r="BK130" s="71">
        <f t="shared" si="37"/>
        <v>92.176238572378367</v>
      </c>
      <c r="BL130" s="17">
        <v>0</v>
      </c>
      <c r="BM130" s="71"/>
      <c r="BN130" s="71"/>
      <c r="BO130" s="71">
        <f t="shared" si="38"/>
        <v>83.261163531413686</v>
      </c>
      <c r="BP130" s="17">
        <v>1</v>
      </c>
      <c r="BQ130" s="71"/>
      <c r="BR130" s="71"/>
      <c r="BS130" s="138">
        <f t="shared" si="39"/>
        <v>100.16171091563201</v>
      </c>
      <c r="BT130" s="17">
        <v>0</v>
      </c>
      <c r="BU130" s="71"/>
      <c r="BV130" s="71"/>
      <c r="BW130" s="71">
        <f t="shared" si="40"/>
        <v>83.482865449928767</v>
      </c>
      <c r="BX130" s="84">
        <v>0</v>
      </c>
      <c r="BY130" s="17">
        <v>0</v>
      </c>
      <c r="BZ130" s="71"/>
      <c r="CA130" s="71"/>
      <c r="CB130" s="71">
        <f t="shared" si="41"/>
        <v>81.489316531761531</v>
      </c>
      <c r="CC130" s="17">
        <v>0</v>
      </c>
      <c r="CD130" s="71"/>
      <c r="CE130" s="71"/>
      <c r="CF130" s="71">
        <f t="shared" si="42"/>
        <v>81.842287242964616</v>
      </c>
      <c r="CG130" s="17">
        <v>1</v>
      </c>
      <c r="CH130" s="71"/>
      <c r="CI130" s="71"/>
      <c r="CJ130" s="138">
        <f t="shared" si="43"/>
        <v>103.93736139675698</v>
      </c>
      <c r="CK130" s="17">
        <v>2</v>
      </c>
      <c r="CL130" s="71"/>
      <c r="CM130" s="71"/>
      <c r="CN130" s="71">
        <f t="shared" si="44"/>
        <v>100.22589057499034</v>
      </c>
      <c r="CO130" s="93">
        <v>0</v>
      </c>
      <c r="CP130" s="93">
        <v>0</v>
      </c>
      <c r="CQ130" s="93">
        <v>1</v>
      </c>
      <c r="CR130" s="93">
        <v>0</v>
      </c>
      <c r="CS130" s="102">
        <f t="shared" si="45"/>
        <v>88.418261774356253</v>
      </c>
      <c r="CT130" s="102">
        <f t="shared" si="46"/>
        <v>9.3031837069334387</v>
      </c>
      <c r="CU130" s="102">
        <f t="shared" si="47"/>
        <v>0.10521789865848301</v>
      </c>
      <c r="CV130" s="108">
        <f t="shared" si="48"/>
        <v>87.439400333878879</v>
      </c>
      <c r="CZ130" s="109" t="str">
        <f t="shared" si="49"/>
        <v>Basso</v>
      </c>
    </row>
    <row r="131" spans="1:104" x14ac:dyDescent="0.15">
      <c r="A131" s="85">
        <v>2</v>
      </c>
      <c r="B131" s="85">
        <v>2</v>
      </c>
      <c r="C131" s="85">
        <v>2</v>
      </c>
      <c r="D131" s="85">
        <v>2</v>
      </c>
      <c r="E131" s="85">
        <v>1</v>
      </c>
      <c r="F131" s="18">
        <v>1</v>
      </c>
      <c r="I131" s="64">
        <f t="shared" ref="I131:I194" si="50">100 + ((F131 - $G$2) / $H$2) * 10</f>
        <v>93.428492305734082</v>
      </c>
      <c r="J131" s="18">
        <v>1</v>
      </c>
      <c r="M131" s="64">
        <f t="shared" ref="M131:M194" si="51">100 + ((J131 - $K$2) / $L$2) * 10</f>
        <v>95.705097084683388</v>
      </c>
      <c r="N131" s="18">
        <v>1</v>
      </c>
      <c r="Q131" s="64">
        <f t="shared" ref="Q131:Q194" si="52">100 + ((N131 - $O$2) / $P$2) * 10</f>
        <v>98.246708656674187</v>
      </c>
      <c r="R131" s="18">
        <v>1</v>
      </c>
      <c r="U131" s="64">
        <f t="shared" ref="U131:U194" si="53">100 + ((R131 - $S$2) / $T$2) * 10</f>
        <v>91.596562123700451</v>
      </c>
      <c r="V131" s="18">
        <v>4</v>
      </c>
      <c r="Y131" s="114">
        <f t="shared" ref="Y131:Y194" si="54">100 + ((V131 - $W$2) / $X$2) * 10</f>
        <v>110.77363490373656</v>
      </c>
      <c r="Z131" s="18">
        <v>2</v>
      </c>
      <c r="AC131" s="64">
        <f t="shared" ref="AC131:AC194" si="55">100 + ((Z131 - $AA$2) / $AB$2) * 10</f>
        <v>101.50550517487696</v>
      </c>
      <c r="AD131" s="24">
        <v>0</v>
      </c>
      <c r="AE131" s="71"/>
      <c r="AF131" s="71"/>
      <c r="AG131" s="71">
        <f t="shared" ref="AG131:AG194" si="56">100 + ((AD131 - $AE$2) / $AF$2) * 10</f>
        <v>84.62281366701329</v>
      </c>
      <c r="AH131" s="18">
        <v>2</v>
      </c>
      <c r="AK131" s="64">
        <f t="shared" ref="AK131:AK194" si="57">100 + ((AH131 - $AI$2) / $AJ$2) * 10</f>
        <v>99.518280131348902</v>
      </c>
      <c r="AL131" s="18">
        <v>3</v>
      </c>
      <c r="AM131" s="71"/>
      <c r="AN131" s="71"/>
      <c r="AO131" s="71">
        <f t="shared" ref="AO131:AO194" si="58">100 + ((AL131 - $AM$2) / $AN$2) * 10</f>
        <v>100.85056924463234</v>
      </c>
      <c r="AP131" s="18">
        <v>2</v>
      </c>
      <c r="AQ131" s="71"/>
      <c r="AR131" s="71"/>
      <c r="AS131" s="71">
        <f t="shared" ref="AS131:AS194" si="59">100 + ((AP131 - $AQ$2) / $AR$2) * 10</f>
        <v>99.909880620416757</v>
      </c>
      <c r="AT131" s="18">
        <v>1</v>
      </c>
      <c r="AU131" s="71"/>
      <c r="AV131" s="71"/>
      <c r="AW131" s="71">
        <f t="shared" ref="AW131:AW194" si="60">100 + ((AT131 - $AU$2) / $AV$2) * 10</f>
        <v>100.0638209925971</v>
      </c>
      <c r="AX131" s="18">
        <v>2</v>
      </c>
      <c r="AY131" s="71"/>
      <c r="AZ131" s="71"/>
      <c r="BA131" s="71">
        <f t="shared" ref="BA131:BA194" si="61">100 + ((AX131 - $AY$2) / $AZ$2) * 10</f>
        <v>100.92776194547928</v>
      </c>
      <c r="BB131" s="85">
        <v>1</v>
      </c>
      <c r="BC131" s="85">
        <v>0</v>
      </c>
      <c r="BD131" s="85">
        <v>1</v>
      </c>
      <c r="BE131" s="85">
        <v>0</v>
      </c>
      <c r="BF131" s="85">
        <v>0</v>
      </c>
      <c r="BG131" s="85">
        <v>0</v>
      </c>
      <c r="BH131" s="19">
        <v>0</v>
      </c>
      <c r="BI131" s="71"/>
      <c r="BJ131" s="71"/>
      <c r="BK131" s="71">
        <f t="shared" ref="BK131:BK194" si="62">100 + ((BH131 - $BI$2) / $BJ$2) * 10</f>
        <v>92.176238572378367</v>
      </c>
      <c r="BL131" s="18">
        <v>1</v>
      </c>
      <c r="BM131" s="71"/>
      <c r="BN131" s="71"/>
      <c r="BO131" s="71">
        <f t="shared" ref="BO131:BO194" si="63">100 + ((BL131 - $BM$2) / $BN$2) * 10</f>
        <v>92.606326748686826</v>
      </c>
      <c r="BP131" s="18">
        <v>1</v>
      </c>
      <c r="BQ131" s="71"/>
      <c r="BR131" s="71"/>
      <c r="BS131" s="138">
        <f t="shared" ref="BS131:BS194" si="64">100 + ((BP131 - $BQ$2) / $BR$2) * 10</f>
        <v>100.16171091563201</v>
      </c>
      <c r="BT131" s="18">
        <v>0</v>
      </c>
      <c r="BU131" s="71"/>
      <c r="BV131" s="71"/>
      <c r="BW131" s="71">
        <f t="shared" ref="BW131:BW194" si="65">100 + ((BT131 - $BU$2) / $BV$2) * 10</f>
        <v>83.482865449928767</v>
      </c>
      <c r="BX131" s="85">
        <v>2</v>
      </c>
      <c r="BY131" s="18">
        <v>2</v>
      </c>
      <c r="BZ131" s="71"/>
      <c r="CA131" s="71"/>
      <c r="CB131" s="71">
        <f t="shared" ref="CB131:CB194" si="66">100 + ((BY131 - $BZ$2) / $CA$2) * 10</f>
        <v>100.53207713448795</v>
      </c>
      <c r="CC131" s="18">
        <v>2</v>
      </c>
      <c r="CD131" s="71"/>
      <c r="CE131" s="71"/>
      <c r="CF131" s="71">
        <f t="shared" ref="CF131:CF194" si="67">100 + ((CC131 - $CD$2) / $CE$2) * 10</f>
        <v>100.18886179687853</v>
      </c>
      <c r="CG131" s="18">
        <v>0</v>
      </c>
      <c r="CH131" s="71"/>
      <c r="CI131" s="71"/>
      <c r="CJ131" s="138">
        <f t="shared" ref="CJ131:CJ194" si="68">100 + ((CG131 - $CH$2) / $CI$2) * 10</f>
        <v>89.226340793489143</v>
      </c>
      <c r="CK131" s="18">
        <v>1</v>
      </c>
      <c r="CL131" s="71"/>
      <c r="CM131" s="71"/>
      <c r="CN131" s="71">
        <f t="shared" ref="CN131:CN194" si="69">100 + ((CK131 - $CL$2) / $CM$2) * 10</f>
        <v>90.625541137900711</v>
      </c>
      <c r="CO131" s="94">
        <v>1</v>
      </c>
      <c r="CP131" s="94">
        <v>0</v>
      </c>
      <c r="CQ131" s="94">
        <v>1</v>
      </c>
      <c r="CR131" s="94">
        <v>0</v>
      </c>
      <c r="CS131" s="102">
        <f t="shared" ref="CS131:CS194" si="70">AVERAGE(I131, M131, Q131, U131, AC131, AG131, AK131, AO131, AS131, AW131, BA131, BK131, BO131, BW131, CB131, CF131, CN131)</f>
        <v>95.646317811024574</v>
      </c>
      <c r="CT131" s="102">
        <f t="shared" ref="CT131:CT194" si="71">STDEV(I131, M131, Q131, U131, AC131, AG131, AK131, AO131, AS131, AW131, BA131, BK131, BO131, BW131, CB131, CF131, CN131)</f>
        <v>5.7583682351866177</v>
      </c>
      <c r="CU131" s="102">
        <f t="shared" ref="CU131:CU194" si="72">IF(CS131=0, 0, CT131 / CS131)</f>
        <v>6.0204808370813052E-2</v>
      </c>
      <c r="CV131" s="108">
        <f t="shared" ref="CV131:CV194" si="73">CS131 - CT131 * CU131</f>
        <v>95.299636354896592</v>
      </c>
      <c r="CZ131" s="109" t="str">
        <f t="shared" ref="CZ131:CZ194" si="74">IF(CV131&lt;95.9069994, "Basso", IF(CV131&lt;99.02062343, "Medio-Basso", IF(CV131&lt;103.58108, "Medio-Alto", "Alto")))</f>
        <v>Basso</v>
      </c>
    </row>
    <row r="132" spans="1:104" x14ac:dyDescent="0.15">
      <c r="A132" s="84">
        <v>5</v>
      </c>
      <c r="B132" s="84">
        <v>2</v>
      </c>
      <c r="C132" s="84">
        <v>2</v>
      </c>
      <c r="D132" s="84">
        <v>2</v>
      </c>
      <c r="E132" s="85">
        <v>1</v>
      </c>
      <c r="F132" s="17">
        <v>2</v>
      </c>
      <c r="I132" s="64">
        <f t="shared" si="50"/>
        <v>109.85726154139888</v>
      </c>
      <c r="J132" s="17">
        <v>0</v>
      </c>
      <c r="M132" s="64">
        <f t="shared" si="51"/>
        <v>81.388754033628004</v>
      </c>
      <c r="N132" s="17">
        <v>0</v>
      </c>
      <c r="Q132" s="64">
        <f t="shared" si="52"/>
        <v>82.559365058495843</v>
      </c>
      <c r="R132" s="17">
        <v>0</v>
      </c>
      <c r="U132" s="64">
        <f t="shared" si="53"/>
        <v>81.845132506151486</v>
      </c>
      <c r="V132" s="17">
        <v>2</v>
      </c>
      <c r="Y132" s="114">
        <f t="shared" si="54"/>
        <v>97.875621286587162</v>
      </c>
      <c r="Z132" s="17">
        <v>0</v>
      </c>
      <c r="AC132" s="64">
        <f t="shared" si="55"/>
        <v>85.509512691809249</v>
      </c>
      <c r="AD132" s="25">
        <v>0</v>
      </c>
      <c r="AE132" s="71"/>
      <c r="AF132" s="71"/>
      <c r="AG132" s="71">
        <f t="shared" si="56"/>
        <v>84.62281366701329</v>
      </c>
      <c r="AH132" s="17">
        <v>0</v>
      </c>
      <c r="AK132" s="64">
        <f t="shared" si="57"/>
        <v>77.680312752498807</v>
      </c>
      <c r="AL132" s="17">
        <v>3</v>
      </c>
      <c r="AM132" s="71"/>
      <c r="AN132" s="71"/>
      <c r="AO132" s="71">
        <f t="shared" si="58"/>
        <v>100.85056924463234</v>
      </c>
      <c r="AP132" s="17">
        <v>0</v>
      </c>
      <c r="AQ132" s="71"/>
      <c r="AR132" s="71"/>
      <c r="AS132" s="71">
        <f t="shared" si="59"/>
        <v>79.482821248216453</v>
      </c>
      <c r="AT132" s="17">
        <v>0</v>
      </c>
      <c r="AU132" s="71"/>
      <c r="AV132" s="71"/>
      <c r="AW132" s="71">
        <f t="shared" si="60"/>
        <v>89.214252251088965</v>
      </c>
      <c r="AX132" s="17">
        <v>0</v>
      </c>
      <c r="AY132" s="71"/>
      <c r="AZ132" s="71"/>
      <c r="BA132" s="71">
        <f t="shared" si="61"/>
        <v>79.173343913551548</v>
      </c>
      <c r="BB132" s="84">
        <v>1</v>
      </c>
      <c r="BC132" s="84">
        <v>0</v>
      </c>
      <c r="BD132" s="84">
        <v>0</v>
      </c>
      <c r="BE132" s="84">
        <v>1</v>
      </c>
      <c r="BF132" s="84">
        <v>0</v>
      </c>
      <c r="BG132" s="84">
        <v>0</v>
      </c>
      <c r="BH132" s="20">
        <v>0</v>
      </c>
      <c r="BI132" s="71"/>
      <c r="BJ132" s="71"/>
      <c r="BK132" s="71">
        <f t="shared" si="62"/>
        <v>92.176238572378367</v>
      </c>
      <c r="BL132" s="17">
        <v>0</v>
      </c>
      <c r="BM132" s="71"/>
      <c r="BN132" s="71"/>
      <c r="BO132" s="71">
        <f t="shared" si="63"/>
        <v>83.261163531413686</v>
      </c>
      <c r="BP132" s="17">
        <v>0</v>
      </c>
      <c r="BQ132" s="71"/>
      <c r="BR132" s="71"/>
      <c r="BS132" s="138">
        <f t="shared" si="64"/>
        <v>86.456710815818582</v>
      </c>
      <c r="BT132" s="17">
        <v>0</v>
      </c>
      <c r="BU132" s="71"/>
      <c r="BV132" s="71"/>
      <c r="BW132" s="71">
        <f t="shared" si="65"/>
        <v>83.482865449928767</v>
      </c>
      <c r="BX132" s="84">
        <v>2</v>
      </c>
      <c r="BY132" s="17">
        <v>1</v>
      </c>
      <c r="BZ132" s="71"/>
      <c r="CA132" s="71"/>
      <c r="CB132" s="71">
        <f t="shared" si="66"/>
        <v>91.01069683312474</v>
      </c>
      <c r="CC132" s="17">
        <v>0</v>
      </c>
      <c r="CD132" s="71"/>
      <c r="CE132" s="71"/>
      <c r="CF132" s="71">
        <f t="shared" si="67"/>
        <v>81.842287242964616</v>
      </c>
      <c r="CG132" s="17">
        <v>1</v>
      </c>
      <c r="CH132" s="71"/>
      <c r="CI132" s="71"/>
      <c r="CJ132" s="138">
        <f t="shared" si="68"/>
        <v>103.93736139675698</v>
      </c>
      <c r="CK132" s="17">
        <v>0</v>
      </c>
      <c r="CL132" s="71"/>
      <c r="CM132" s="71"/>
      <c r="CN132" s="71">
        <f t="shared" si="69"/>
        <v>81.025191700811078</v>
      </c>
      <c r="CO132" s="93">
        <v>1</v>
      </c>
      <c r="CP132" s="93">
        <v>0</v>
      </c>
      <c r="CQ132" s="93">
        <v>1</v>
      </c>
      <c r="CR132" s="93">
        <v>0</v>
      </c>
      <c r="CS132" s="102">
        <f t="shared" si="70"/>
        <v>86.175446014065074</v>
      </c>
      <c r="CT132" s="102">
        <f t="shared" si="71"/>
        <v>8.4017770101359428</v>
      </c>
      <c r="CU132" s="102">
        <f t="shared" si="72"/>
        <v>9.7496182482938953E-2</v>
      </c>
      <c r="CV132" s="108">
        <f t="shared" si="73"/>
        <v>85.356304829503898</v>
      </c>
      <c r="CZ132" s="109" t="str">
        <f t="shared" si="74"/>
        <v>Basso</v>
      </c>
    </row>
    <row r="133" spans="1:104" x14ac:dyDescent="0.15">
      <c r="A133" s="85">
        <v>3</v>
      </c>
      <c r="B133" s="85">
        <v>1</v>
      </c>
      <c r="C133" s="85">
        <v>3</v>
      </c>
      <c r="D133" s="85">
        <v>2</v>
      </c>
      <c r="E133" s="85">
        <v>1</v>
      </c>
      <c r="F133" s="18">
        <v>2</v>
      </c>
      <c r="I133" s="64">
        <f t="shared" si="50"/>
        <v>109.85726154139888</v>
      </c>
      <c r="J133" s="18">
        <v>2</v>
      </c>
      <c r="M133" s="64">
        <f t="shared" si="51"/>
        <v>110.02144013573877</v>
      </c>
      <c r="N133" s="18">
        <v>2</v>
      </c>
      <c r="Q133" s="64">
        <f t="shared" si="52"/>
        <v>113.93405225485253</v>
      </c>
      <c r="R133" s="18">
        <v>3</v>
      </c>
      <c r="U133" s="64">
        <f t="shared" si="53"/>
        <v>111.09942135879838</v>
      </c>
      <c r="V133" s="18">
        <v>0</v>
      </c>
      <c r="Y133" s="114">
        <f t="shared" si="54"/>
        <v>84.977607669437745</v>
      </c>
      <c r="Z133" s="18">
        <v>2</v>
      </c>
      <c r="AC133" s="64">
        <f t="shared" si="55"/>
        <v>101.50550517487696</v>
      </c>
      <c r="AD133" s="24">
        <v>3</v>
      </c>
      <c r="AE133" s="71"/>
      <c r="AF133" s="71"/>
      <c r="AG133" s="71">
        <f t="shared" si="56"/>
        <v>109.20703006144345</v>
      </c>
      <c r="AH133" s="18">
        <v>3</v>
      </c>
      <c r="AK133" s="64">
        <f t="shared" si="57"/>
        <v>110.43726382077395</v>
      </c>
      <c r="AL133" s="18">
        <v>3</v>
      </c>
      <c r="AM133" s="71"/>
      <c r="AN133" s="71"/>
      <c r="AO133" s="71">
        <f t="shared" si="58"/>
        <v>100.85056924463234</v>
      </c>
      <c r="AP133" s="18">
        <v>3</v>
      </c>
      <c r="AQ133" s="71"/>
      <c r="AR133" s="71"/>
      <c r="AS133" s="71">
        <f t="shared" si="59"/>
        <v>110.12341030651692</v>
      </c>
      <c r="AT133" s="18">
        <v>2</v>
      </c>
      <c r="AU133" s="71"/>
      <c r="AV133" s="71"/>
      <c r="AW133" s="71">
        <f t="shared" si="60"/>
        <v>110.91338973410525</v>
      </c>
      <c r="AX133" s="18">
        <v>3</v>
      </c>
      <c r="AY133" s="71"/>
      <c r="AZ133" s="71"/>
      <c r="BA133" s="71">
        <f t="shared" si="61"/>
        <v>111.80497096144313</v>
      </c>
      <c r="BB133" s="85">
        <v>1</v>
      </c>
      <c r="BC133" s="85">
        <v>1</v>
      </c>
      <c r="BD133" s="85">
        <v>0</v>
      </c>
      <c r="BE133" s="85">
        <v>0</v>
      </c>
      <c r="BF133" s="85">
        <v>0</v>
      </c>
      <c r="BG133" s="85">
        <v>0</v>
      </c>
      <c r="BH133" s="19">
        <v>0</v>
      </c>
      <c r="BI133" s="71"/>
      <c r="BJ133" s="71"/>
      <c r="BK133" s="71">
        <f t="shared" si="62"/>
        <v>92.176238572378367</v>
      </c>
      <c r="BL133" s="18">
        <v>3</v>
      </c>
      <c r="BM133" s="71"/>
      <c r="BN133" s="71"/>
      <c r="BO133" s="71">
        <f t="shared" si="63"/>
        <v>111.29665318323313</v>
      </c>
      <c r="BP133" s="18">
        <v>1</v>
      </c>
      <c r="BQ133" s="71"/>
      <c r="BR133" s="71"/>
      <c r="BS133" s="138">
        <f t="shared" si="64"/>
        <v>100.16171091563201</v>
      </c>
      <c r="BT133" s="18">
        <v>3</v>
      </c>
      <c r="BU133" s="71"/>
      <c r="BV133" s="71"/>
      <c r="BW133" s="71">
        <f t="shared" si="65"/>
        <v>112.03791162123835</v>
      </c>
      <c r="BX133" s="85">
        <v>1</v>
      </c>
      <c r="BY133" s="18">
        <v>3</v>
      </c>
      <c r="BZ133" s="71"/>
      <c r="CA133" s="71"/>
      <c r="CB133" s="71">
        <f t="shared" si="66"/>
        <v>110.05345743585116</v>
      </c>
      <c r="CC133" s="18">
        <v>3</v>
      </c>
      <c r="CD133" s="71"/>
      <c r="CE133" s="71"/>
      <c r="CF133" s="71">
        <f t="shared" si="67"/>
        <v>109.36214907383548</v>
      </c>
      <c r="CG133" s="18">
        <v>0</v>
      </c>
      <c r="CH133" s="71"/>
      <c r="CI133" s="71"/>
      <c r="CJ133" s="138">
        <f t="shared" si="68"/>
        <v>89.226340793489143</v>
      </c>
      <c r="CK133" s="18">
        <v>3</v>
      </c>
      <c r="CL133" s="71"/>
      <c r="CM133" s="71"/>
      <c r="CN133" s="71">
        <f t="shared" si="69"/>
        <v>109.82624001207998</v>
      </c>
      <c r="CO133" s="94">
        <v>1</v>
      </c>
      <c r="CP133" s="94">
        <v>0</v>
      </c>
      <c r="CQ133" s="94">
        <v>1</v>
      </c>
      <c r="CR133" s="94">
        <v>0</v>
      </c>
      <c r="CS133" s="102">
        <f t="shared" si="70"/>
        <v>108.50040967607043</v>
      </c>
      <c r="CT133" s="102">
        <f t="shared" si="71"/>
        <v>5.3807175711875219</v>
      </c>
      <c r="CU133" s="102">
        <f t="shared" si="72"/>
        <v>4.9591679766479532E-2</v>
      </c>
      <c r="CV133" s="108">
        <f t="shared" si="73"/>
        <v>108.23357085336623</v>
      </c>
      <c r="CZ133" s="109" t="str">
        <f t="shared" si="74"/>
        <v>Alto</v>
      </c>
    </row>
    <row r="134" spans="1:104" x14ac:dyDescent="0.15">
      <c r="A134" s="84">
        <v>2</v>
      </c>
      <c r="B134" s="84">
        <v>1</v>
      </c>
      <c r="C134" s="84">
        <v>1</v>
      </c>
      <c r="D134" s="84">
        <v>1</v>
      </c>
      <c r="E134" s="85">
        <v>1</v>
      </c>
      <c r="F134" s="17">
        <v>1</v>
      </c>
      <c r="I134" s="64">
        <f t="shared" si="50"/>
        <v>93.428492305734082</v>
      </c>
      <c r="J134" s="17">
        <v>1</v>
      </c>
      <c r="M134" s="64">
        <f t="shared" si="51"/>
        <v>95.705097084683388</v>
      </c>
      <c r="N134" s="17">
        <v>1</v>
      </c>
      <c r="Q134" s="64">
        <f t="shared" si="52"/>
        <v>98.246708656674187</v>
      </c>
      <c r="R134" s="17">
        <v>1</v>
      </c>
      <c r="U134" s="64">
        <f t="shared" si="53"/>
        <v>91.596562123700451</v>
      </c>
      <c r="V134" s="17">
        <v>2</v>
      </c>
      <c r="Y134" s="114">
        <f t="shared" si="54"/>
        <v>97.875621286587162</v>
      </c>
      <c r="Z134" s="17">
        <v>0</v>
      </c>
      <c r="AC134" s="64">
        <f t="shared" si="55"/>
        <v>85.509512691809249</v>
      </c>
      <c r="AD134" s="25">
        <v>2</v>
      </c>
      <c r="AE134" s="71"/>
      <c r="AF134" s="71"/>
      <c r="AG134" s="71">
        <f t="shared" si="56"/>
        <v>101.01229126330007</v>
      </c>
      <c r="AH134" s="17">
        <v>1</v>
      </c>
      <c r="AK134" s="64">
        <f t="shared" si="57"/>
        <v>88.599296441923855</v>
      </c>
      <c r="AL134" s="17">
        <v>3</v>
      </c>
      <c r="AM134" s="71"/>
      <c r="AN134" s="71"/>
      <c r="AO134" s="71">
        <f t="shared" si="58"/>
        <v>100.85056924463234</v>
      </c>
      <c r="AP134" s="17">
        <v>2</v>
      </c>
      <c r="AQ134" s="71"/>
      <c r="AR134" s="71"/>
      <c r="AS134" s="71">
        <f t="shared" si="59"/>
        <v>99.909880620416757</v>
      </c>
      <c r="AT134" s="17">
        <v>0</v>
      </c>
      <c r="AU134" s="71"/>
      <c r="AV134" s="71"/>
      <c r="AW134" s="71">
        <f t="shared" si="60"/>
        <v>89.214252251088965</v>
      </c>
      <c r="AX134" s="17">
        <v>2</v>
      </c>
      <c r="AY134" s="71"/>
      <c r="AZ134" s="71"/>
      <c r="BA134" s="71">
        <f t="shared" si="61"/>
        <v>100.92776194547928</v>
      </c>
      <c r="BB134" s="84">
        <v>1</v>
      </c>
      <c r="BC134" s="84">
        <v>0</v>
      </c>
      <c r="BD134" s="84">
        <v>1</v>
      </c>
      <c r="BE134" s="84">
        <v>0</v>
      </c>
      <c r="BF134" s="84">
        <v>0</v>
      </c>
      <c r="BG134" s="84">
        <v>0</v>
      </c>
      <c r="BH134" s="20">
        <v>0</v>
      </c>
      <c r="BI134" s="71"/>
      <c r="BJ134" s="71"/>
      <c r="BK134" s="71">
        <f t="shared" si="62"/>
        <v>92.176238572378367</v>
      </c>
      <c r="BL134" s="17">
        <v>2</v>
      </c>
      <c r="BM134" s="71"/>
      <c r="BN134" s="71"/>
      <c r="BO134" s="71">
        <f t="shared" si="63"/>
        <v>101.95148996595998</v>
      </c>
      <c r="BP134" s="17">
        <v>1</v>
      </c>
      <c r="BQ134" s="71"/>
      <c r="BR134" s="71"/>
      <c r="BS134" s="138">
        <f t="shared" si="64"/>
        <v>100.16171091563201</v>
      </c>
      <c r="BT134" s="17">
        <v>2</v>
      </c>
      <c r="BU134" s="71"/>
      <c r="BV134" s="71"/>
      <c r="BW134" s="71">
        <f t="shared" si="65"/>
        <v>102.51956289746849</v>
      </c>
      <c r="BX134" s="84">
        <v>0</v>
      </c>
      <c r="BY134" s="17">
        <v>3</v>
      </c>
      <c r="BZ134" s="71"/>
      <c r="CA134" s="71"/>
      <c r="CB134" s="71">
        <f t="shared" si="66"/>
        <v>110.05345743585116</v>
      </c>
      <c r="CC134" s="17">
        <v>2</v>
      </c>
      <c r="CD134" s="71"/>
      <c r="CE134" s="71"/>
      <c r="CF134" s="71">
        <f t="shared" si="67"/>
        <v>100.18886179687853</v>
      </c>
      <c r="CG134" s="17">
        <v>1</v>
      </c>
      <c r="CH134" s="71"/>
      <c r="CI134" s="71"/>
      <c r="CJ134" s="138">
        <f t="shared" si="68"/>
        <v>103.93736139675698</v>
      </c>
      <c r="CK134" s="17">
        <v>0</v>
      </c>
      <c r="CL134" s="71"/>
      <c r="CM134" s="71"/>
      <c r="CN134" s="71">
        <f t="shared" si="69"/>
        <v>81.025191700811078</v>
      </c>
      <c r="CO134" s="93"/>
      <c r="CP134" s="93">
        <v>1</v>
      </c>
      <c r="CQ134" s="93">
        <v>1</v>
      </c>
      <c r="CR134" s="93">
        <v>0</v>
      </c>
      <c r="CS134" s="102">
        <f t="shared" si="70"/>
        <v>96.053836882281786</v>
      </c>
      <c r="CT134" s="102">
        <f t="shared" si="71"/>
        <v>7.3400174914207392</v>
      </c>
      <c r="CU134" s="102">
        <f t="shared" si="72"/>
        <v>7.6415661567129839E-2</v>
      </c>
      <c r="CV134" s="108">
        <f t="shared" si="73"/>
        <v>95.492944589760569</v>
      </c>
      <c r="CZ134" s="109" t="str">
        <f t="shared" si="74"/>
        <v>Basso</v>
      </c>
    </row>
    <row r="135" spans="1:104" x14ac:dyDescent="0.15">
      <c r="A135" s="85">
        <v>3</v>
      </c>
      <c r="B135" s="85">
        <v>1</v>
      </c>
      <c r="C135" s="85">
        <v>1</v>
      </c>
      <c r="D135" s="85">
        <v>2</v>
      </c>
      <c r="E135" s="85">
        <v>1</v>
      </c>
      <c r="F135" s="18">
        <v>0</v>
      </c>
      <c r="I135" s="64">
        <f t="shared" si="50"/>
        <v>76.99972307006928</v>
      </c>
      <c r="J135" s="18">
        <v>2</v>
      </c>
      <c r="M135" s="64">
        <f t="shared" si="51"/>
        <v>110.02144013573877</v>
      </c>
      <c r="N135" s="18">
        <v>2</v>
      </c>
      <c r="Q135" s="64">
        <f t="shared" si="52"/>
        <v>113.93405225485253</v>
      </c>
      <c r="R135" s="18">
        <v>3</v>
      </c>
      <c r="U135" s="64">
        <f t="shared" si="53"/>
        <v>111.09942135879838</v>
      </c>
      <c r="V135" s="18">
        <v>1</v>
      </c>
      <c r="Y135" s="114">
        <f t="shared" si="54"/>
        <v>91.426614478012453</v>
      </c>
      <c r="Z135" s="18">
        <v>0</v>
      </c>
      <c r="AC135" s="64">
        <f t="shared" si="55"/>
        <v>85.509512691809249</v>
      </c>
      <c r="AD135" s="24">
        <v>0</v>
      </c>
      <c r="AE135" s="71"/>
      <c r="AF135" s="71"/>
      <c r="AG135" s="71">
        <f t="shared" si="56"/>
        <v>84.62281366701329</v>
      </c>
      <c r="AH135" s="18">
        <v>2</v>
      </c>
      <c r="AK135" s="64">
        <f t="shared" si="57"/>
        <v>99.518280131348902</v>
      </c>
      <c r="AL135" s="18">
        <v>0</v>
      </c>
      <c r="AM135" s="71"/>
      <c r="AN135" s="71"/>
      <c r="AO135" s="71">
        <f t="shared" si="58"/>
        <v>67.482083493671226</v>
      </c>
      <c r="AP135" s="18">
        <v>2</v>
      </c>
      <c r="AQ135" s="71"/>
      <c r="AR135" s="71"/>
      <c r="AS135" s="71">
        <f t="shared" si="59"/>
        <v>99.909880620416757</v>
      </c>
      <c r="AT135" s="18">
        <v>0</v>
      </c>
      <c r="AU135" s="71"/>
      <c r="AV135" s="71"/>
      <c r="AW135" s="71">
        <f t="shared" si="60"/>
        <v>89.214252251088965</v>
      </c>
      <c r="AX135" s="18">
        <v>2</v>
      </c>
      <c r="AY135" s="71"/>
      <c r="AZ135" s="71"/>
      <c r="BA135" s="71">
        <f t="shared" si="61"/>
        <v>100.92776194547928</v>
      </c>
      <c r="BB135" s="85">
        <v>0</v>
      </c>
      <c r="BC135" s="85">
        <v>0</v>
      </c>
      <c r="BD135" s="85">
        <v>1</v>
      </c>
      <c r="BE135" s="85">
        <v>1</v>
      </c>
      <c r="BF135" s="85">
        <v>0</v>
      </c>
      <c r="BG135" s="85">
        <v>0</v>
      </c>
      <c r="BH135" s="19">
        <v>0</v>
      </c>
      <c r="BI135" s="71"/>
      <c r="BJ135" s="71"/>
      <c r="BK135" s="71">
        <f t="shared" si="62"/>
        <v>92.176238572378367</v>
      </c>
      <c r="BL135" s="18">
        <v>0</v>
      </c>
      <c r="BM135" s="71"/>
      <c r="BN135" s="71"/>
      <c r="BO135" s="71">
        <f t="shared" si="63"/>
        <v>83.261163531413686</v>
      </c>
      <c r="BP135" s="18">
        <v>1</v>
      </c>
      <c r="BQ135" s="71"/>
      <c r="BR135" s="71"/>
      <c r="BS135" s="138">
        <f t="shared" si="64"/>
        <v>100.16171091563201</v>
      </c>
      <c r="BT135" s="18">
        <v>2</v>
      </c>
      <c r="BU135" s="71"/>
      <c r="BV135" s="71"/>
      <c r="BW135" s="71">
        <f t="shared" si="65"/>
        <v>102.51956289746849</v>
      </c>
      <c r="BX135" s="85">
        <v>1</v>
      </c>
      <c r="BY135" s="18">
        <v>0</v>
      </c>
      <c r="BZ135" s="71"/>
      <c r="CA135" s="71"/>
      <c r="CB135" s="71">
        <f t="shared" si="66"/>
        <v>81.489316531761531</v>
      </c>
      <c r="CC135" s="18">
        <v>2</v>
      </c>
      <c r="CD135" s="71"/>
      <c r="CE135" s="71"/>
      <c r="CF135" s="71">
        <f t="shared" si="67"/>
        <v>100.18886179687853</v>
      </c>
      <c r="CG135" s="18">
        <v>0</v>
      </c>
      <c r="CH135" s="71"/>
      <c r="CI135" s="71"/>
      <c r="CJ135" s="138">
        <f t="shared" si="68"/>
        <v>89.226340793489143</v>
      </c>
      <c r="CK135" s="18">
        <v>2</v>
      </c>
      <c r="CL135" s="71"/>
      <c r="CM135" s="71"/>
      <c r="CN135" s="71">
        <f t="shared" si="69"/>
        <v>100.22589057499034</v>
      </c>
      <c r="CO135" s="94">
        <v>1</v>
      </c>
      <c r="CP135" s="94">
        <v>1</v>
      </c>
      <c r="CQ135" s="94">
        <v>0</v>
      </c>
      <c r="CR135" s="94">
        <v>0</v>
      </c>
      <c r="CS135" s="102">
        <f t="shared" si="70"/>
        <v>94.064720913245736</v>
      </c>
      <c r="CT135" s="102">
        <f t="shared" si="71"/>
        <v>12.893043805330249</v>
      </c>
      <c r="CU135" s="102">
        <f t="shared" si="72"/>
        <v>0.13706566798004197</v>
      </c>
      <c r="CV135" s="108">
        <f t="shared" si="73"/>
        <v>92.297527251772209</v>
      </c>
      <c r="CZ135" s="109" t="str">
        <f t="shared" si="74"/>
        <v>Basso</v>
      </c>
    </row>
    <row r="136" spans="1:104" x14ac:dyDescent="0.15">
      <c r="A136" s="84">
        <v>4</v>
      </c>
      <c r="B136" s="84">
        <v>2</v>
      </c>
      <c r="C136" s="84">
        <v>3</v>
      </c>
      <c r="D136" s="84">
        <v>2</v>
      </c>
      <c r="E136" s="85">
        <v>1</v>
      </c>
      <c r="F136" s="17">
        <v>1</v>
      </c>
      <c r="I136" s="64">
        <f t="shared" si="50"/>
        <v>93.428492305734082</v>
      </c>
      <c r="J136" s="17">
        <v>1</v>
      </c>
      <c r="M136" s="64">
        <f t="shared" si="51"/>
        <v>95.705097084683388</v>
      </c>
      <c r="N136" s="17">
        <v>1</v>
      </c>
      <c r="Q136" s="64">
        <f t="shared" si="52"/>
        <v>98.246708656674187</v>
      </c>
      <c r="R136" s="17">
        <v>2</v>
      </c>
      <c r="U136" s="64">
        <f t="shared" si="53"/>
        <v>101.34799174124942</v>
      </c>
      <c r="V136" s="17">
        <v>1</v>
      </c>
      <c r="Y136" s="114">
        <f t="shared" si="54"/>
        <v>91.426614478012453</v>
      </c>
      <c r="Z136" s="17">
        <v>2</v>
      </c>
      <c r="AC136" s="64">
        <f t="shared" si="55"/>
        <v>101.50550517487696</v>
      </c>
      <c r="AD136" s="25">
        <v>2</v>
      </c>
      <c r="AE136" s="71"/>
      <c r="AF136" s="71"/>
      <c r="AG136" s="71">
        <f t="shared" si="56"/>
        <v>101.01229126330007</v>
      </c>
      <c r="AH136" s="17">
        <v>2</v>
      </c>
      <c r="AK136" s="64">
        <f t="shared" si="57"/>
        <v>99.518280131348902</v>
      </c>
      <c r="AL136" s="17">
        <v>3</v>
      </c>
      <c r="AM136" s="71"/>
      <c r="AN136" s="71"/>
      <c r="AO136" s="71">
        <f t="shared" si="58"/>
        <v>100.85056924463234</v>
      </c>
      <c r="AP136" s="17">
        <v>2</v>
      </c>
      <c r="AQ136" s="71"/>
      <c r="AR136" s="71"/>
      <c r="AS136" s="71">
        <f t="shared" si="59"/>
        <v>99.909880620416757</v>
      </c>
      <c r="AT136" s="17">
        <v>1</v>
      </c>
      <c r="AU136" s="71"/>
      <c r="AV136" s="71"/>
      <c r="AW136" s="71">
        <f t="shared" si="60"/>
        <v>100.0638209925971</v>
      </c>
      <c r="AX136" s="17">
        <v>2</v>
      </c>
      <c r="AY136" s="71"/>
      <c r="AZ136" s="71"/>
      <c r="BA136" s="71">
        <f t="shared" si="61"/>
        <v>100.92776194547928</v>
      </c>
      <c r="BB136" s="84">
        <v>1</v>
      </c>
      <c r="BC136" s="84">
        <v>0</v>
      </c>
      <c r="BD136" s="84">
        <v>1</v>
      </c>
      <c r="BE136" s="84">
        <v>0</v>
      </c>
      <c r="BF136" s="84">
        <v>0</v>
      </c>
      <c r="BG136" s="84">
        <v>0</v>
      </c>
      <c r="BH136" s="20">
        <v>0</v>
      </c>
      <c r="BI136" s="71"/>
      <c r="BJ136" s="71"/>
      <c r="BK136" s="71">
        <f t="shared" si="62"/>
        <v>92.176238572378367</v>
      </c>
      <c r="BL136" s="17">
        <v>2</v>
      </c>
      <c r="BM136" s="71"/>
      <c r="BN136" s="71"/>
      <c r="BO136" s="71">
        <f t="shared" si="63"/>
        <v>101.95148996595998</v>
      </c>
      <c r="BP136" s="17">
        <v>1</v>
      </c>
      <c r="BQ136" s="71"/>
      <c r="BR136" s="71"/>
      <c r="BS136" s="138">
        <f t="shared" si="64"/>
        <v>100.16171091563201</v>
      </c>
      <c r="BT136" s="17">
        <v>2</v>
      </c>
      <c r="BU136" s="71"/>
      <c r="BV136" s="71"/>
      <c r="BW136" s="71">
        <f t="shared" si="65"/>
        <v>102.51956289746849</v>
      </c>
      <c r="BX136" s="84">
        <v>3</v>
      </c>
      <c r="BY136" s="17">
        <v>2</v>
      </c>
      <c r="BZ136" s="71"/>
      <c r="CA136" s="71"/>
      <c r="CB136" s="71">
        <f t="shared" si="66"/>
        <v>100.53207713448795</v>
      </c>
      <c r="CC136" s="17">
        <v>2</v>
      </c>
      <c r="CD136" s="71"/>
      <c r="CE136" s="71"/>
      <c r="CF136" s="71">
        <f t="shared" si="67"/>
        <v>100.18886179687853</v>
      </c>
      <c r="CG136" s="17">
        <v>2</v>
      </c>
      <c r="CH136" s="71"/>
      <c r="CI136" s="71"/>
      <c r="CJ136" s="138">
        <f t="shared" si="68"/>
        <v>118.64838200002481</v>
      </c>
      <c r="CK136" s="17">
        <v>3</v>
      </c>
      <c r="CL136" s="71"/>
      <c r="CM136" s="71"/>
      <c r="CN136" s="71">
        <f t="shared" si="69"/>
        <v>109.82624001207998</v>
      </c>
      <c r="CO136" s="93">
        <v>1</v>
      </c>
      <c r="CP136" s="93">
        <v>1</v>
      </c>
      <c r="CQ136" s="93">
        <v>0</v>
      </c>
      <c r="CR136" s="93">
        <v>0</v>
      </c>
      <c r="CS136" s="102">
        <f t="shared" si="70"/>
        <v>99.982992325896817</v>
      </c>
      <c r="CT136" s="102">
        <f t="shared" si="71"/>
        <v>3.8720017303934671</v>
      </c>
      <c r="CU136" s="102">
        <f t="shared" si="72"/>
        <v>3.8726603798499952E-2</v>
      </c>
      <c r="CV136" s="108">
        <f t="shared" si="73"/>
        <v>99.83304284897676</v>
      </c>
      <c r="CZ136" s="109" t="str">
        <f t="shared" si="74"/>
        <v>Medio-Alto</v>
      </c>
    </row>
    <row r="137" spans="1:104" x14ac:dyDescent="0.15">
      <c r="A137" s="85">
        <v>3</v>
      </c>
      <c r="B137" s="85">
        <v>1</v>
      </c>
      <c r="C137" s="85">
        <v>3</v>
      </c>
      <c r="D137" s="85">
        <v>2</v>
      </c>
      <c r="E137" s="85">
        <v>1</v>
      </c>
      <c r="F137" s="18">
        <v>1</v>
      </c>
      <c r="I137" s="64">
        <f t="shared" si="50"/>
        <v>93.428492305734082</v>
      </c>
      <c r="J137" s="18">
        <v>1</v>
      </c>
      <c r="M137" s="64">
        <f t="shared" si="51"/>
        <v>95.705097084683388</v>
      </c>
      <c r="N137" s="18">
        <v>1</v>
      </c>
      <c r="Q137" s="64">
        <f t="shared" si="52"/>
        <v>98.246708656674187</v>
      </c>
      <c r="R137" s="18">
        <v>2</v>
      </c>
      <c r="U137" s="64">
        <f t="shared" si="53"/>
        <v>101.34799174124942</v>
      </c>
      <c r="V137" s="18">
        <v>0</v>
      </c>
      <c r="Y137" s="114">
        <f t="shared" si="54"/>
        <v>84.977607669437745</v>
      </c>
      <c r="Z137" s="18">
        <v>2</v>
      </c>
      <c r="AC137" s="64">
        <f t="shared" si="55"/>
        <v>101.50550517487696</v>
      </c>
      <c r="AD137" s="24">
        <v>0</v>
      </c>
      <c r="AE137" s="71"/>
      <c r="AF137" s="71"/>
      <c r="AG137" s="71">
        <f t="shared" si="56"/>
        <v>84.62281366701329</v>
      </c>
      <c r="AH137" s="18">
        <v>2</v>
      </c>
      <c r="AK137" s="64">
        <f t="shared" si="57"/>
        <v>99.518280131348902</v>
      </c>
      <c r="AL137" s="18">
        <v>3</v>
      </c>
      <c r="AM137" s="71"/>
      <c r="AN137" s="71"/>
      <c r="AO137" s="71">
        <f t="shared" si="58"/>
        <v>100.85056924463234</v>
      </c>
      <c r="AP137" s="18">
        <v>0</v>
      </c>
      <c r="AQ137" s="71"/>
      <c r="AR137" s="71"/>
      <c r="AS137" s="71">
        <f t="shared" si="59"/>
        <v>79.482821248216453</v>
      </c>
      <c r="AT137" s="18">
        <v>0</v>
      </c>
      <c r="AU137" s="71"/>
      <c r="AV137" s="71"/>
      <c r="AW137" s="71">
        <f t="shared" si="60"/>
        <v>89.214252251088965</v>
      </c>
      <c r="AX137" s="18">
        <v>2</v>
      </c>
      <c r="AY137" s="71"/>
      <c r="AZ137" s="71"/>
      <c r="BA137" s="71">
        <f t="shared" si="61"/>
        <v>100.92776194547928</v>
      </c>
      <c r="BB137" s="85">
        <v>1</v>
      </c>
      <c r="BC137" s="85">
        <v>0</v>
      </c>
      <c r="BD137" s="85">
        <v>1</v>
      </c>
      <c r="BE137" s="85">
        <v>0</v>
      </c>
      <c r="BF137" s="85">
        <v>0</v>
      </c>
      <c r="BG137" s="85">
        <v>0</v>
      </c>
      <c r="BH137" s="19">
        <v>0</v>
      </c>
      <c r="BI137" s="71"/>
      <c r="BJ137" s="71"/>
      <c r="BK137" s="71">
        <f t="shared" si="62"/>
        <v>92.176238572378367</v>
      </c>
      <c r="BL137" s="18">
        <v>1</v>
      </c>
      <c r="BM137" s="71"/>
      <c r="BN137" s="71"/>
      <c r="BO137" s="71">
        <f t="shared" si="63"/>
        <v>92.606326748686826</v>
      </c>
      <c r="BP137" s="18">
        <v>2</v>
      </c>
      <c r="BQ137" s="71"/>
      <c r="BR137" s="71"/>
      <c r="BS137" s="138">
        <f t="shared" si="64"/>
        <v>113.86671101544545</v>
      </c>
      <c r="BT137" s="18">
        <v>2</v>
      </c>
      <c r="BU137" s="71"/>
      <c r="BV137" s="71"/>
      <c r="BW137" s="71">
        <f t="shared" si="65"/>
        <v>102.51956289746849</v>
      </c>
      <c r="BX137" s="85">
        <v>0</v>
      </c>
      <c r="BY137" s="18">
        <v>3</v>
      </c>
      <c r="BZ137" s="71"/>
      <c r="CA137" s="71"/>
      <c r="CB137" s="71">
        <f t="shared" si="66"/>
        <v>110.05345743585116</v>
      </c>
      <c r="CC137" s="18">
        <v>2</v>
      </c>
      <c r="CD137" s="71"/>
      <c r="CE137" s="71"/>
      <c r="CF137" s="71">
        <f t="shared" si="67"/>
        <v>100.18886179687853</v>
      </c>
      <c r="CG137" s="18">
        <v>1</v>
      </c>
      <c r="CH137" s="71"/>
      <c r="CI137" s="71"/>
      <c r="CJ137" s="138">
        <f t="shared" si="68"/>
        <v>103.93736139675698</v>
      </c>
      <c r="CK137" s="18">
        <v>2</v>
      </c>
      <c r="CL137" s="71"/>
      <c r="CM137" s="71"/>
      <c r="CN137" s="71">
        <f t="shared" si="69"/>
        <v>100.22589057499034</v>
      </c>
      <c r="CO137" s="94">
        <v>0</v>
      </c>
      <c r="CP137" s="94">
        <v>0</v>
      </c>
      <c r="CQ137" s="94">
        <v>1</v>
      </c>
      <c r="CR137" s="94">
        <v>0</v>
      </c>
      <c r="CS137" s="102">
        <f t="shared" si="70"/>
        <v>96.624743028073567</v>
      </c>
      <c r="CT137" s="102">
        <f t="shared" si="71"/>
        <v>7.3911437591476208</v>
      </c>
      <c r="CU137" s="102">
        <f t="shared" si="72"/>
        <v>7.6493282440090751E-2</v>
      </c>
      <c r="CV137" s="108">
        <f t="shared" si="73"/>
        <v>96.05937018094977</v>
      </c>
      <c r="CZ137" s="109" t="str">
        <f t="shared" si="74"/>
        <v>Medio-Basso</v>
      </c>
    </row>
    <row r="138" spans="1:104" x14ac:dyDescent="0.15">
      <c r="A138" s="84">
        <v>4</v>
      </c>
      <c r="B138" s="84">
        <v>1</v>
      </c>
      <c r="C138" s="84">
        <v>4</v>
      </c>
      <c r="D138" s="84">
        <v>2</v>
      </c>
      <c r="E138" s="85">
        <v>1</v>
      </c>
      <c r="F138" s="17">
        <v>1</v>
      </c>
      <c r="I138" s="64">
        <f t="shared" si="50"/>
        <v>93.428492305734082</v>
      </c>
      <c r="J138" s="17">
        <v>2</v>
      </c>
      <c r="M138" s="64">
        <f t="shared" si="51"/>
        <v>110.02144013573877</v>
      </c>
      <c r="N138" s="17">
        <v>1</v>
      </c>
      <c r="Q138" s="64">
        <f t="shared" si="52"/>
        <v>98.246708656674187</v>
      </c>
      <c r="R138" s="17">
        <v>1</v>
      </c>
      <c r="U138" s="64">
        <f t="shared" si="53"/>
        <v>91.596562123700451</v>
      </c>
      <c r="V138" s="17">
        <v>5</v>
      </c>
      <c r="Y138" s="114">
        <f t="shared" si="54"/>
        <v>117.22264171231127</v>
      </c>
      <c r="Z138" s="17">
        <v>0</v>
      </c>
      <c r="AC138" s="64">
        <f t="shared" si="55"/>
        <v>85.509512691809249</v>
      </c>
      <c r="AD138" s="25">
        <v>3</v>
      </c>
      <c r="AE138" s="71"/>
      <c r="AF138" s="71"/>
      <c r="AG138" s="71">
        <f t="shared" si="56"/>
        <v>109.20703006144345</v>
      </c>
      <c r="AH138" s="17">
        <v>2</v>
      </c>
      <c r="AK138" s="64">
        <f t="shared" si="57"/>
        <v>99.518280131348902</v>
      </c>
      <c r="AL138" s="17">
        <v>3</v>
      </c>
      <c r="AM138" s="71"/>
      <c r="AN138" s="71"/>
      <c r="AO138" s="71">
        <f t="shared" si="58"/>
        <v>100.85056924463234</v>
      </c>
      <c r="AP138" s="17">
        <v>2</v>
      </c>
      <c r="AQ138" s="71"/>
      <c r="AR138" s="71"/>
      <c r="AS138" s="71">
        <f t="shared" si="59"/>
        <v>99.909880620416757</v>
      </c>
      <c r="AT138" s="17">
        <v>0</v>
      </c>
      <c r="AU138" s="71"/>
      <c r="AV138" s="71"/>
      <c r="AW138" s="71">
        <f t="shared" si="60"/>
        <v>89.214252251088965</v>
      </c>
      <c r="AX138" s="17">
        <v>1</v>
      </c>
      <c r="AY138" s="71"/>
      <c r="AZ138" s="71"/>
      <c r="BA138" s="71">
        <f t="shared" si="61"/>
        <v>90.050552929515405</v>
      </c>
      <c r="BB138" s="84">
        <v>0</v>
      </c>
      <c r="BC138" s="84">
        <v>0</v>
      </c>
      <c r="BD138" s="84">
        <v>1</v>
      </c>
      <c r="BE138" s="84">
        <v>1</v>
      </c>
      <c r="BF138" s="84">
        <v>0</v>
      </c>
      <c r="BG138" s="84">
        <v>0</v>
      </c>
      <c r="BH138" s="20">
        <v>1</v>
      </c>
      <c r="BI138" s="71"/>
      <c r="BJ138" s="71"/>
      <c r="BK138" s="71">
        <f t="shared" si="62"/>
        <v>103.49572319106498</v>
      </c>
      <c r="BL138" s="17">
        <v>0</v>
      </c>
      <c r="BM138" s="71"/>
      <c r="BN138" s="71"/>
      <c r="BO138" s="71">
        <f t="shared" si="63"/>
        <v>83.261163531413686</v>
      </c>
      <c r="BP138" s="17">
        <v>1</v>
      </c>
      <c r="BQ138" s="71"/>
      <c r="BR138" s="71"/>
      <c r="BS138" s="138">
        <f t="shared" si="64"/>
        <v>100.16171091563201</v>
      </c>
      <c r="BT138" s="17">
        <v>2</v>
      </c>
      <c r="BU138" s="71"/>
      <c r="BV138" s="71"/>
      <c r="BW138" s="71">
        <f t="shared" si="65"/>
        <v>102.51956289746849</v>
      </c>
      <c r="BX138" s="84">
        <v>2</v>
      </c>
      <c r="BY138" s="17">
        <v>3</v>
      </c>
      <c r="BZ138" s="71"/>
      <c r="CA138" s="71"/>
      <c r="CB138" s="71">
        <f t="shared" si="66"/>
        <v>110.05345743585116</v>
      </c>
      <c r="CC138" s="17">
        <v>3</v>
      </c>
      <c r="CD138" s="71"/>
      <c r="CE138" s="71"/>
      <c r="CF138" s="71">
        <f t="shared" si="67"/>
        <v>109.36214907383548</v>
      </c>
      <c r="CG138" s="17">
        <v>1</v>
      </c>
      <c r="CH138" s="71"/>
      <c r="CI138" s="71"/>
      <c r="CJ138" s="138">
        <f t="shared" si="68"/>
        <v>103.93736139675698</v>
      </c>
      <c r="CK138" s="17">
        <v>3</v>
      </c>
      <c r="CL138" s="71"/>
      <c r="CM138" s="71"/>
      <c r="CN138" s="71">
        <f t="shared" si="69"/>
        <v>109.82624001207998</v>
      </c>
      <c r="CO138" s="93">
        <v>1</v>
      </c>
      <c r="CP138" s="93">
        <v>0</v>
      </c>
      <c r="CQ138" s="93">
        <v>1</v>
      </c>
      <c r="CR138" s="93">
        <v>0</v>
      </c>
      <c r="CS138" s="102">
        <f t="shared" si="70"/>
        <v>99.18068101728332</v>
      </c>
      <c r="CT138" s="102">
        <f t="shared" si="71"/>
        <v>9.0172017278264285</v>
      </c>
      <c r="CU138" s="102">
        <f t="shared" si="72"/>
        <v>9.0916916836405695E-2</v>
      </c>
      <c r="CV138" s="108">
        <f t="shared" si="73"/>
        <v>98.360864837697434</v>
      </c>
      <c r="CZ138" s="109" t="str">
        <f t="shared" si="74"/>
        <v>Medio-Basso</v>
      </c>
    </row>
    <row r="139" spans="1:104" x14ac:dyDescent="0.15">
      <c r="A139" s="85">
        <v>4</v>
      </c>
      <c r="B139" s="85">
        <v>1</v>
      </c>
      <c r="C139" s="85">
        <v>4</v>
      </c>
      <c r="D139" s="85">
        <v>2</v>
      </c>
      <c r="E139" s="85">
        <v>1</v>
      </c>
      <c r="F139" s="18">
        <v>1</v>
      </c>
      <c r="I139" s="64">
        <f t="shared" si="50"/>
        <v>93.428492305734082</v>
      </c>
      <c r="J139" s="18">
        <v>1</v>
      </c>
      <c r="M139" s="64">
        <f t="shared" si="51"/>
        <v>95.705097084683388</v>
      </c>
      <c r="N139" s="18">
        <v>2</v>
      </c>
      <c r="Q139" s="64">
        <f t="shared" si="52"/>
        <v>113.93405225485253</v>
      </c>
      <c r="R139" s="18">
        <v>3</v>
      </c>
      <c r="U139" s="64">
        <f t="shared" si="53"/>
        <v>111.09942135879838</v>
      </c>
      <c r="V139" s="18">
        <v>0</v>
      </c>
      <c r="Y139" s="114">
        <f t="shared" si="54"/>
        <v>84.977607669437745</v>
      </c>
      <c r="Z139" s="18">
        <v>3</v>
      </c>
      <c r="AC139" s="64">
        <f t="shared" si="55"/>
        <v>109.50350141641081</v>
      </c>
      <c r="AD139" s="24">
        <v>3</v>
      </c>
      <c r="AE139" s="71"/>
      <c r="AF139" s="71"/>
      <c r="AG139" s="71">
        <f t="shared" si="56"/>
        <v>109.20703006144345</v>
      </c>
      <c r="AH139" s="18">
        <v>2</v>
      </c>
      <c r="AK139" s="64">
        <f t="shared" si="57"/>
        <v>99.518280131348902</v>
      </c>
      <c r="AL139" s="18">
        <v>3</v>
      </c>
      <c r="AM139" s="71"/>
      <c r="AN139" s="71"/>
      <c r="AO139" s="71">
        <f t="shared" si="58"/>
        <v>100.85056924463234</v>
      </c>
      <c r="AP139" s="18">
        <v>3</v>
      </c>
      <c r="AQ139" s="71"/>
      <c r="AR139" s="71"/>
      <c r="AS139" s="71">
        <f t="shared" si="59"/>
        <v>110.12341030651692</v>
      </c>
      <c r="AT139" s="18">
        <v>1</v>
      </c>
      <c r="AU139" s="71"/>
      <c r="AV139" s="71"/>
      <c r="AW139" s="71">
        <f t="shared" si="60"/>
        <v>100.0638209925971</v>
      </c>
      <c r="AX139" s="18">
        <v>1</v>
      </c>
      <c r="AY139" s="71"/>
      <c r="AZ139" s="71"/>
      <c r="BA139" s="71">
        <f t="shared" si="61"/>
        <v>90.050552929515405</v>
      </c>
      <c r="BB139" s="85">
        <v>1</v>
      </c>
      <c r="BC139" s="85">
        <v>0</v>
      </c>
      <c r="BD139" s="85">
        <v>1</v>
      </c>
      <c r="BE139" s="85">
        <v>0</v>
      </c>
      <c r="BF139" s="85">
        <v>0</v>
      </c>
      <c r="BG139" s="85">
        <v>0</v>
      </c>
      <c r="BH139" s="19">
        <v>2</v>
      </c>
      <c r="BI139" s="71"/>
      <c r="BJ139" s="71"/>
      <c r="BK139" s="71">
        <f t="shared" si="62"/>
        <v>114.81520780975161</v>
      </c>
      <c r="BL139" s="18">
        <v>2</v>
      </c>
      <c r="BM139" s="71"/>
      <c r="BN139" s="71"/>
      <c r="BO139" s="71">
        <f t="shared" si="63"/>
        <v>101.95148996595998</v>
      </c>
      <c r="BP139" s="18">
        <v>1</v>
      </c>
      <c r="BQ139" s="71"/>
      <c r="BR139" s="71"/>
      <c r="BS139" s="138">
        <f t="shared" si="64"/>
        <v>100.16171091563201</v>
      </c>
      <c r="BT139" s="18">
        <v>2</v>
      </c>
      <c r="BU139" s="71"/>
      <c r="BV139" s="71"/>
      <c r="BW139" s="71">
        <f t="shared" si="65"/>
        <v>102.51956289746849</v>
      </c>
      <c r="BX139" s="85">
        <v>3</v>
      </c>
      <c r="BY139" s="18">
        <v>3</v>
      </c>
      <c r="BZ139" s="71"/>
      <c r="CA139" s="71"/>
      <c r="CB139" s="71">
        <f t="shared" si="66"/>
        <v>110.05345743585116</v>
      </c>
      <c r="CC139" s="18">
        <v>3</v>
      </c>
      <c r="CD139" s="71"/>
      <c r="CE139" s="71"/>
      <c r="CF139" s="71">
        <f t="shared" si="67"/>
        <v>109.36214907383548</v>
      </c>
      <c r="CG139" s="18">
        <v>1</v>
      </c>
      <c r="CH139" s="71"/>
      <c r="CI139" s="71"/>
      <c r="CJ139" s="138">
        <f t="shared" si="68"/>
        <v>103.93736139675698</v>
      </c>
      <c r="CK139" s="18">
        <v>3</v>
      </c>
      <c r="CL139" s="71"/>
      <c r="CM139" s="71"/>
      <c r="CN139" s="71">
        <f t="shared" si="69"/>
        <v>109.82624001207998</v>
      </c>
      <c r="CO139" s="94">
        <v>1</v>
      </c>
      <c r="CP139" s="94">
        <v>0</v>
      </c>
      <c r="CQ139" s="94">
        <v>1</v>
      </c>
      <c r="CR139" s="94">
        <v>0</v>
      </c>
      <c r="CS139" s="102">
        <f t="shared" si="70"/>
        <v>104.82425501655766</v>
      </c>
      <c r="CT139" s="102">
        <f t="shared" si="71"/>
        <v>7.3984020598321161</v>
      </c>
      <c r="CU139" s="102">
        <f t="shared" si="72"/>
        <v>7.0579104603829448E-2</v>
      </c>
      <c r="CV139" s="108">
        <f t="shared" si="73"/>
        <v>104.30208242367559</v>
      </c>
      <c r="CZ139" s="109" t="str">
        <f t="shared" si="74"/>
        <v>Alto</v>
      </c>
    </row>
    <row r="140" spans="1:104" x14ac:dyDescent="0.15">
      <c r="A140" s="84">
        <v>4</v>
      </c>
      <c r="B140" s="84">
        <v>1</v>
      </c>
      <c r="C140" s="84">
        <v>3</v>
      </c>
      <c r="D140" s="84">
        <v>2</v>
      </c>
      <c r="E140" s="85">
        <v>1</v>
      </c>
      <c r="F140" s="17">
        <v>2</v>
      </c>
      <c r="I140" s="64">
        <f t="shared" si="50"/>
        <v>109.85726154139888</v>
      </c>
      <c r="J140" s="17">
        <v>2</v>
      </c>
      <c r="M140" s="64">
        <f t="shared" si="51"/>
        <v>110.02144013573877</v>
      </c>
      <c r="N140" s="17">
        <v>1</v>
      </c>
      <c r="Q140" s="64">
        <f t="shared" si="52"/>
        <v>98.246708656674187</v>
      </c>
      <c r="R140" s="17">
        <v>2</v>
      </c>
      <c r="U140" s="64">
        <f t="shared" si="53"/>
        <v>101.34799174124942</v>
      </c>
      <c r="V140" s="17">
        <v>3</v>
      </c>
      <c r="Y140" s="114">
        <f t="shared" si="54"/>
        <v>104.32462809516186</v>
      </c>
      <c r="Z140" s="17">
        <v>1</v>
      </c>
      <c r="AC140" s="64">
        <f t="shared" si="55"/>
        <v>93.507508933343104</v>
      </c>
      <c r="AD140" s="25">
        <v>2</v>
      </c>
      <c r="AE140" s="71"/>
      <c r="AF140" s="71"/>
      <c r="AG140" s="71">
        <f t="shared" si="56"/>
        <v>101.01229126330007</v>
      </c>
      <c r="AH140" s="17">
        <v>3</v>
      </c>
      <c r="AK140" s="64">
        <f t="shared" si="57"/>
        <v>110.43726382077395</v>
      </c>
      <c r="AL140" s="17">
        <v>3</v>
      </c>
      <c r="AM140" s="71"/>
      <c r="AN140" s="71"/>
      <c r="AO140" s="71">
        <f t="shared" si="58"/>
        <v>100.85056924463234</v>
      </c>
      <c r="AP140" s="17">
        <v>0</v>
      </c>
      <c r="AQ140" s="71"/>
      <c r="AR140" s="71"/>
      <c r="AS140" s="71">
        <f t="shared" si="59"/>
        <v>79.482821248216453</v>
      </c>
      <c r="AT140" s="17">
        <v>2</v>
      </c>
      <c r="AU140" s="71"/>
      <c r="AV140" s="71"/>
      <c r="AW140" s="71">
        <f t="shared" si="60"/>
        <v>110.91338973410525</v>
      </c>
      <c r="AX140" s="17">
        <v>3</v>
      </c>
      <c r="AY140" s="71"/>
      <c r="AZ140" s="71"/>
      <c r="BA140" s="71">
        <f t="shared" si="61"/>
        <v>111.80497096144313</v>
      </c>
      <c r="BB140" s="84">
        <v>1</v>
      </c>
      <c r="BC140" s="84">
        <v>0</v>
      </c>
      <c r="BD140" s="84">
        <v>1</v>
      </c>
      <c r="BE140" s="84">
        <v>0</v>
      </c>
      <c r="BF140" s="84">
        <v>0</v>
      </c>
      <c r="BG140" s="84">
        <v>0</v>
      </c>
      <c r="BH140" s="20">
        <v>0</v>
      </c>
      <c r="BI140" s="71"/>
      <c r="BJ140" s="71"/>
      <c r="BK140" s="71">
        <f t="shared" si="62"/>
        <v>92.176238572378367</v>
      </c>
      <c r="BL140" s="17">
        <v>3</v>
      </c>
      <c r="BM140" s="71"/>
      <c r="BN140" s="71"/>
      <c r="BO140" s="71">
        <f t="shared" si="63"/>
        <v>111.29665318323313</v>
      </c>
      <c r="BP140" s="17">
        <v>0</v>
      </c>
      <c r="BQ140" s="71"/>
      <c r="BR140" s="71"/>
      <c r="BS140" s="138">
        <f t="shared" si="64"/>
        <v>86.456710815818582</v>
      </c>
      <c r="BT140" s="17">
        <v>2</v>
      </c>
      <c r="BU140" s="71"/>
      <c r="BV140" s="71"/>
      <c r="BW140" s="71">
        <f t="shared" si="65"/>
        <v>102.51956289746849</v>
      </c>
      <c r="BX140" s="84">
        <v>0</v>
      </c>
      <c r="BY140" s="17">
        <v>3</v>
      </c>
      <c r="BZ140" s="71"/>
      <c r="CA140" s="71"/>
      <c r="CB140" s="71">
        <f t="shared" si="66"/>
        <v>110.05345743585116</v>
      </c>
      <c r="CC140" s="17">
        <v>3</v>
      </c>
      <c r="CD140" s="71"/>
      <c r="CE140" s="71"/>
      <c r="CF140" s="71">
        <f t="shared" si="67"/>
        <v>109.36214907383548</v>
      </c>
      <c r="CG140" s="17">
        <v>1</v>
      </c>
      <c r="CH140" s="71"/>
      <c r="CI140" s="71"/>
      <c r="CJ140" s="138">
        <f t="shared" si="68"/>
        <v>103.93736139675698</v>
      </c>
      <c r="CK140" s="17">
        <v>2</v>
      </c>
      <c r="CL140" s="71"/>
      <c r="CM140" s="71"/>
      <c r="CN140" s="71">
        <f t="shared" si="69"/>
        <v>100.22589057499034</v>
      </c>
      <c r="CO140" s="93">
        <v>1</v>
      </c>
      <c r="CP140" s="93">
        <v>1</v>
      </c>
      <c r="CQ140" s="93">
        <v>0</v>
      </c>
      <c r="CR140" s="93">
        <v>0</v>
      </c>
      <c r="CS140" s="102">
        <f t="shared" si="70"/>
        <v>103.12448053050781</v>
      </c>
      <c r="CT140" s="102">
        <f t="shared" si="71"/>
        <v>8.8484581356132992</v>
      </c>
      <c r="CU140" s="102">
        <f t="shared" si="72"/>
        <v>8.580366262301431E-2</v>
      </c>
      <c r="CV140" s="108">
        <f t="shared" si="73"/>
        <v>102.36525041390578</v>
      </c>
      <c r="CZ140" s="109" t="str">
        <f t="shared" si="74"/>
        <v>Medio-Alto</v>
      </c>
    </row>
    <row r="141" spans="1:104" x14ac:dyDescent="0.15">
      <c r="A141" s="85">
        <v>4</v>
      </c>
      <c r="B141" s="85">
        <v>2</v>
      </c>
      <c r="C141" s="85">
        <v>3</v>
      </c>
      <c r="D141" s="85">
        <v>2</v>
      </c>
      <c r="E141" s="85">
        <v>1</v>
      </c>
      <c r="F141" s="18">
        <v>2</v>
      </c>
      <c r="I141" s="64">
        <f t="shared" si="50"/>
        <v>109.85726154139888</v>
      </c>
      <c r="J141" s="18">
        <v>2</v>
      </c>
      <c r="M141" s="64">
        <f t="shared" si="51"/>
        <v>110.02144013573877</v>
      </c>
      <c r="N141" s="18">
        <v>0</v>
      </c>
      <c r="Q141" s="64">
        <f t="shared" si="52"/>
        <v>82.559365058495843</v>
      </c>
      <c r="R141" s="18">
        <v>1</v>
      </c>
      <c r="U141" s="64">
        <f t="shared" si="53"/>
        <v>91.596562123700451</v>
      </c>
      <c r="V141" s="18">
        <v>4</v>
      </c>
      <c r="Y141" s="114">
        <f t="shared" si="54"/>
        <v>110.77363490373656</v>
      </c>
      <c r="Z141" s="18">
        <v>0</v>
      </c>
      <c r="AC141" s="64">
        <f t="shared" si="55"/>
        <v>85.509512691809249</v>
      </c>
      <c r="AD141" s="24">
        <v>0</v>
      </c>
      <c r="AE141" s="71"/>
      <c r="AF141" s="71"/>
      <c r="AG141" s="71">
        <f t="shared" si="56"/>
        <v>84.62281366701329</v>
      </c>
      <c r="AH141" s="18">
        <v>1</v>
      </c>
      <c r="AK141" s="64">
        <f t="shared" si="57"/>
        <v>88.599296441923855</v>
      </c>
      <c r="AL141" s="18">
        <v>3</v>
      </c>
      <c r="AM141" s="71"/>
      <c r="AN141" s="71"/>
      <c r="AO141" s="71">
        <f t="shared" si="58"/>
        <v>100.85056924463234</v>
      </c>
      <c r="AP141" s="18">
        <v>2</v>
      </c>
      <c r="AQ141" s="71"/>
      <c r="AR141" s="71"/>
      <c r="AS141" s="71">
        <f t="shared" si="59"/>
        <v>99.909880620416757</v>
      </c>
      <c r="AT141" s="18">
        <v>0</v>
      </c>
      <c r="AU141" s="71"/>
      <c r="AV141" s="71"/>
      <c r="AW141" s="71">
        <f t="shared" si="60"/>
        <v>89.214252251088965</v>
      </c>
      <c r="AX141" s="18">
        <v>1</v>
      </c>
      <c r="AY141" s="71"/>
      <c r="AZ141" s="71"/>
      <c r="BA141" s="71">
        <f t="shared" si="61"/>
        <v>90.050552929515405</v>
      </c>
      <c r="BB141" s="85">
        <v>1</v>
      </c>
      <c r="BC141" s="85">
        <v>0</v>
      </c>
      <c r="BD141" s="85">
        <v>1</v>
      </c>
      <c r="BE141" s="85">
        <v>0</v>
      </c>
      <c r="BF141" s="85">
        <v>0</v>
      </c>
      <c r="BG141" s="85">
        <v>0</v>
      </c>
      <c r="BH141" s="19">
        <v>0</v>
      </c>
      <c r="BI141" s="71"/>
      <c r="BJ141" s="71"/>
      <c r="BK141" s="71">
        <f t="shared" si="62"/>
        <v>92.176238572378367</v>
      </c>
      <c r="BL141" s="18">
        <v>2</v>
      </c>
      <c r="BM141" s="71"/>
      <c r="BN141" s="71"/>
      <c r="BO141" s="71">
        <f t="shared" si="63"/>
        <v>101.95148996595998</v>
      </c>
      <c r="BP141" s="18">
        <v>1</v>
      </c>
      <c r="BQ141" s="71"/>
      <c r="BR141" s="71"/>
      <c r="BS141" s="138">
        <f t="shared" si="64"/>
        <v>100.16171091563201</v>
      </c>
      <c r="BT141" s="18">
        <v>2</v>
      </c>
      <c r="BU141" s="71"/>
      <c r="BV141" s="71"/>
      <c r="BW141" s="71">
        <f t="shared" si="65"/>
        <v>102.51956289746849</v>
      </c>
      <c r="BX141" s="85">
        <v>2</v>
      </c>
      <c r="BY141" s="18">
        <v>1</v>
      </c>
      <c r="BZ141" s="71"/>
      <c r="CA141" s="71"/>
      <c r="CB141" s="71">
        <f t="shared" si="66"/>
        <v>91.01069683312474</v>
      </c>
      <c r="CC141" s="18">
        <v>2</v>
      </c>
      <c r="CD141" s="71"/>
      <c r="CE141" s="71"/>
      <c r="CF141" s="71">
        <f t="shared" si="67"/>
        <v>100.18886179687853</v>
      </c>
      <c r="CG141" s="18">
        <v>1</v>
      </c>
      <c r="CH141" s="71"/>
      <c r="CI141" s="71"/>
      <c r="CJ141" s="138">
        <f t="shared" si="68"/>
        <v>103.93736139675698</v>
      </c>
      <c r="CK141" s="18">
        <v>2</v>
      </c>
      <c r="CL141" s="71"/>
      <c r="CM141" s="71"/>
      <c r="CN141" s="71">
        <f t="shared" si="69"/>
        <v>100.22589057499034</v>
      </c>
      <c r="CO141" s="94">
        <v>0</v>
      </c>
      <c r="CP141" s="94">
        <v>0</v>
      </c>
      <c r="CQ141" s="94">
        <v>0</v>
      </c>
      <c r="CR141" s="94">
        <v>1</v>
      </c>
      <c r="CS141" s="102">
        <f t="shared" si="70"/>
        <v>95.344955726266718</v>
      </c>
      <c r="CT141" s="102">
        <f t="shared" si="71"/>
        <v>8.4732429413556041</v>
      </c>
      <c r="CU141" s="102">
        <f t="shared" si="72"/>
        <v>8.8869336367223231E-2</v>
      </c>
      <c r="CV141" s="108">
        <f t="shared" si="73"/>
        <v>94.591944249190192</v>
      </c>
      <c r="CZ141" s="109" t="str">
        <f t="shared" si="74"/>
        <v>Basso</v>
      </c>
    </row>
    <row r="142" spans="1:104" x14ac:dyDescent="0.15">
      <c r="A142" s="84">
        <v>4</v>
      </c>
      <c r="B142" s="84">
        <v>2</v>
      </c>
      <c r="C142" s="84">
        <v>3</v>
      </c>
      <c r="D142" s="84">
        <v>2</v>
      </c>
      <c r="E142" s="85">
        <v>1</v>
      </c>
      <c r="F142" s="17">
        <v>1</v>
      </c>
      <c r="I142" s="64">
        <f t="shared" si="50"/>
        <v>93.428492305734082</v>
      </c>
      <c r="J142" s="17">
        <v>1</v>
      </c>
      <c r="M142" s="64">
        <f t="shared" si="51"/>
        <v>95.705097084683388</v>
      </c>
      <c r="N142" s="17">
        <v>1</v>
      </c>
      <c r="Q142" s="64">
        <f t="shared" si="52"/>
        <v>98.246708656674187</v>
      </c>
      <c r="R142" s="17">
        <v>1</v>
      </c>
      <c r="U142" s="64">
        <f t="shared" si="53"/>
        <v>91.596562123700451</v>
      </c>
      <c r="V142" s="17">
        <v>4</v>
      </c>
      <c r="Y142" s="114">
        <f t="shared" si="54"/>
        <v>110.77363490373656</v>
      </c>
      <c r="Z142" s="17">
        <v>3</v>
      </c>
      <c r="AC142" s="64">
        <f t="shared" si="55"/>
        <v>109.50350141641081</v>
      </c>
      <c r="AD142" s="25">
        <v>0</v>
      </c>
      <c r="AE142" s="71"/>
      <c r="AF142" s="71"/>
      <c r="AG142" s="71">
        <f t="shared" si="56"/>
        <v>84.62281366701329</v>
      </c>
      <c r="AH142" s="17">
        <v>1</v>
      </c>
      <c r="AK142" s="64">
        <f t="shared" si="57"/>
        <v>88.599296441923855</v>
      </c>
      <c r="AL142" s="17">
        <v>3</v>
      </c>
      <c r="AM142" s="71"/>
      <c r="AN142" s="71"/>
      <c r="AO142" s="71">
        <f t="shared" si="58"/>
        <v>100.85056924463234</v>
      </c>
      <c r="AP142" s="17">
        <v>0</v>
      </c>
      <c r="AQ142" s="71"/>
      <c r="AR142" s="71"/>
      <c r="AS142" s="71">
        <f t="shared" si="59"/>
        <v>79.482821248216453</v>
      </c>
      <c r="AT142" s="17">
        <v>2</v>
      </c>
      <c r="AU142" s="71"/>
      <c r="AV142" s="71"/>
      <c r="AW142" s="71">
        <f t="shared" si="60"/>
        <v>110.91338973410525</v>
      </c>
      <c r="AX142" s="17">
        <v>2</v>
      </c>
      <c r="AY142" s="71"/>
      <c r="AZ142" s="71"/>
      <c r="BA142" s="71">
        <f t="shared" si="61"/>
        <v>100.92776194547928</v>
      </c>
      <c r="BB142" s="84">
        <v>0</v>
      </c>
      <c r="BC142" s="84">
        <v>0</v>
      </c>
      <c r="BD142" s="84">
        <v>1</v>
      </c>
      <c r="BE142" s="84">
        <v>1</v>
      </c>
      <c r="BF142" s="84">
        <v>0</v>
      </c>
      <c r="BG142" s="84">
        <v>0</v>
      </c>
      <c r="BH142" s="20">
        <v>0</v>
      </c>
      <c r="BI142" s="71"/>
      <c r="BJ142" s="71"/>
      <c r="BK142" s="71">
        <f t="shared" si="62"/>
        <v>92.176238572378367</v>
      </c>
      <c r="BL142" s="17">
        <v>1</v>
      </c>
      <c r="BM142" s="71"/>
      <c r="BN142" s="71"/>
      <c r="BO142" s="71">
        <f t="shared" si="63"/>
        <v>92.606326748686826</v>
      </c>
      <c r="BP142" s="17">
        <v>0</v>
      </c>
      <c r="BQ142" s="71"/>
      <c r="BR142" s="71"/>
      <c r="BS142" s="138">
        <f t="shared" si="64"/>
        <v>86.456710815818582</v>
      </c>
      <c r="BT142" s="17">
        <v>1</v>
      </c>
      <c r="BU142" s="71"/>
      <c r="BV142" s="71"/>
      <c r="BW142" s="71">
        <f t="shared" si="65"/>
        <v>93.001214173698628</v>
      </c>
      <c r="BX142" s="84">
        <v>2</v>
      </c>
      <c r="BY142" s="17">
        <v>1</v>
      </c>
      <c r="BZ142" s="71"/>
      <c r="CA142" s="71"/>
      <c r="CB142" s="71">
        <f t="shared" si="66"/>
        <v>91.01069683312474</v>
      </c>
      <c r="CC142" s="17">
        <v>0</v>
      </c>
      <c r="CD142" s="71"/>
      <c r="CE142" s="71"/>
      <c r="CF142" s="71">
        <f t="shared" si="67"/>
        <v>81.842287242964616</v>
      </c>
      <c r="CG142" s="17">
        <v>1</v>
      </c>
      <c r="CH142" s="71"/>
      <c r="CI142" s="71"/>
      <c r="CJ142" s="138">
        <f t="shared" si="68"/>
        <v>103.93736139675698</v>
      </c>
      <c r="CK142" s="17">
        <v>2</v>
      </c>
      <c r="CL142" s="71"/>
      <c r="CM142" s="71"/>
      <c r="CN142" s="71">
        <f t="shared" si="69"/>
        <v>100.22589057499034</v>
      </c>
      <c r="CO142" s="93">
        <v>0</v>
      </c>
      <c r="CP142" s="93">
        <v>0</v>
      </c>
      <c r="CQ142" s="93">
        <v>1</v>
      </c>
      <c r="CR142" s="93">
        <v>0</v>
      </c>
      <c r="CS142" s="102">
        <f t="shared" si="70"/>
        <v>94.396451059671591</v>
      </c>
      <c r="CT142" s="102">
        <f t="shared" si="71"/>
        <v>8.5708076535981732</v>
      </c>
      <c r="CU142" s="102">
        <f t="shared" si="72"/>
        <v>9.0795867401627622E-2</v>
      </c>
      <c r="CV142" s="108">
        <f t="shared" si="73"/>
        <v>93.618257144430629</v>
      </c>
      <c r="CZ142" s="109" t="str">
        <f t="shared" si="74"/>
        <v>Basso</v>
      </c>
    </row>
    <row r="143" spans="1:104" x14ac:dyDescent="0.15">
      <c r="A143" s="85">
        <v>4</v>
      </c>
      <c r="B143" s="85">
        <v>1</v>
      </c>
      <c r="C143" s="85">
        <v>4</v>
      </c>
      <c r="D143" s="85">
        <v>2</v>
      </c>
      <c r="E143" s="85">
        <v>0</v>
      </c>
      <c r="F143" s="18">
        <v>2</v>
      </c>
      <c r="I143" s="64">
        <f t="shared" si="50"/>
        <v>109.85726154139888</v>
      </c>
      <c r="J143" s="18">
        <v>2</v>
      </c>
      <c r="M143" s="64">
        <f t="shared" si="51"/>
        <v>110.02144013573877</v>
      </c>
      <c r="N143" s="18">
        <v>2</v>
      </c>
      <c r="Q143" s="64">
        <f t="shared" si="52"/>
        <v>113.93405225485253</v>
      </c>
      <c r="R143" s="18">
        <v>3</v>
      </c>
      <c r="U143" s="64">
        <f t="shared" si="53"/>
        <v>111.09942135879838</v>
      </c>
      <c r="V143" s="18">
        <v>1</v>
      </c>
      <c r="Y143" s="114">
        <f t="shared" si="54"/>
        <v>91.426614478012453</v>
      </c>
      <c r="Z143" s="18">
        <v>3</v>
      </c>
      <c r="AC143" s="64">
        <f t="shared" si="55"/>
        <v>109.50350141641081</v>
      </c>
      <c r="AD143" s="24">
        <v>3</v>
      </c>
      <c r="AE143" s="71"/>
      <c r="AF143" s="71"/>
      <c r="AG143" s="71">
        <f t="shared" si="56"/>
        <v>109.20703006144345</v>
      </c>
      <c r="AH143" s="18">
        <v>3</v>
      </c>
      <c r="AK143" s="64">
        <f t="shared" si="57"/>
        <v>110.43726382077395</v>
      </c>
      <c r="AL143" s="18">
        <v>4</v>
      </c>
      <c r="AM143" s="71"/>
      <c r="AN143" s="71"/>
      <c r="AO143" s="71">
        <f t="shared" si="58"/>
        <v>111.97339782828605</v>
      </c>
      <c r="AP143" s="18">
        <v>3</v>
      </c>
      <c r="AQ143" s="71"/>
      <c r="AR143" s="71"/>
      <c r="AS143" s="71">
        <f t="shared" si="59"/>
        <v>110.12341030651692</v>
      </c>
      <c r="AT143" s="18">
        <v>2</v>
      </c>
      <c r="AU143" s="71"/>
      <c r="AV143" s="71"/>
      <c r="AW143" s="71">
        <f t="shared" si="60"/>
        <v>110.91338973410525</v>
      </c>
      <c r="AX143" s="18">
        <v>3</v>
      </c>
      <c r="AY143" s="71"/>
      <c r="AZ143" s="71"/>
      <c r="BA143" s="71">
        <f t="shared" si="61"/>
        <v>111.80497096144313</v>
      </c>
      <c r="BB143" s="85">
        <v>1</v>
      </c>
      <c r="BC143" s="85">
        <v>0</v>
      </c>
      <c r="BD143" s="85">
        <v>1</v>
      </c>
      <c r="BE143" s="85">
        <v>0</v>
      </c>
      <c r="BF143" s="85">
        <v>0</v>
      </c>
      <c r="BG143" s="85">
        <v>0</v>
      </c>
      <c r="BH143" s="19">
        <v>2</v>
      </c>
      <c r="BI143" s="71"/>
      <c r="BJ143" s="71"/>
      <c r="BK143" s="71">
        <f t="shared" si="62"/>
        <v>114.81520780975161</v>
      </c>
      <c r="BL143" s="18">
        <v>3</v>
      </c>
      <c r="BM143" s="71"/>
      <c r="BN143" s="71"/>
      <c r="BO143" s="71">
        <f t="shared" si="63"/>
        <v>111.29665318323313</v>
      </c>
      <c r="BP143" s="18">
        <v>3</v>
      </c>
      <c r="BQ143" s="71"/>
      <c r="BR143" s="71"/>
      <c r="BS143" s="138">
        <f t="shared" si="64"/>
        <v>127.57171111525888</v>
      </c>
      <c r="BT143" s="18">
        <v>3</v>
      </c>
      <c r="BU143" s="71"/>
      <c r="BV143" s="71"/>
      <c r="BW143" s="71">
        <f t="shared" si="65"/>
        <v>112.03791162123835</v>
      </c>
      <c r="BX143" s="85">
        <v>2</v>
      </c>
      <c r="BY143" s="18">
        <v>0</v>
      </c>
      <c r="BZ143" s="71"/>
      <c r="CA143" s="71"/>
      <c r="CB143" s="71">
        <f t="shared" si="66"/>
        <v>81.489316531761531</v>
      </c>
      <c r="CC143" s="19">
        <v>3</v>
      </c>
      <c r="CD143" s="71"/>
      <c r="CE143" s="71"/>
      <c r="CF143" s="71">
        <f t="shared" si="67"/>
        <v>109.36214907383548</v>
      </c>
      <c r="CG143" s="18">
        <v>2</v>
      </c>
      <c r="CH143" s="71"/>
      <c r="CI143" s="71"/>
      <c r="CJ143" s="138">
        <f t="shared" si="68"/>
        <v>118.64838200002481</v>
      </c>
      <c r="CK143" s="18">
        <v>3</v>
      </c>
      <c r="CL143" s="71"/>
      <c r="CM143" s="71"/>
      <c r="CN143" s="71">
        <f t="shared" si="69"/>
        <v>109.82624001207998</v>
      </c>
      <c r="CO143" s="95">
        <v>0</v>
      </c>
      <c r="CP143" s="95">
        <v>1</v>
      </c>
      <c r="CQ143" s="95">
        <v>1</v>
      </c>
      <c r="CR143" s="95">
        <v>0</v>
      </c>
      <c r="CS143" s="102">
        <f t="shared" si="70"/>
        <v>109.2766245677452</v>
      </c>
      <c r="CT143" s="102">
        <f t="shared" si="71"/>
        <v>7.3280099775526768</v>
      </c>
      <c r="CU143" s="102">
        <f t="shared" si="72"/>
        <v>6.7059263648921855E-2</v>
      </c>
      <c r="CV143" s="108">
        <f t="shared" si="73"/>
        <v>108.78521361463856</v>
      </c>
      <c r="CZ143" s="109" t="str">
        <f t="shared" si="74"/>
        <v>Alto</v>
      </c>
    </row>
    <row r="144" spans="1:104" x14ac:dyDescent="0.15">
      <c r="A144" s="84">
        <v>3</v>
      </c>
      <c r="B144" s="84">
        <v>2</v>
      </c>
      <c r="C144" s="84">
        <v>4</v>
      </c>
      <c r="D144" s="84">
        <v>2</v>
      </c>
      <c r="E144" s="85">
        <v>1</v>
      </c>
      <c r="F144" s="17">
        <v>2</v>
      </c>
      <c r="I144" s="64">
        <f t="shared" si="50"/>
        <v>109.85726154139888</v>
      </c>
      <c r="J144" s="17">
        <v>0</v>
      </c>
      <c r="M144" s="64">
        <f t="shared" si="51"/>
        <v>81.388754033628004</v>
      </c>
      <c r="N144" s="17">
        <v>0</v>
      </c>
      <c r="Q144" s="64">
        <f t="shared" si="52"/>
        <v>82.559365058495843</v>
      </c>
      <c r="R144" s="17">
        <v>1</v>
      </c>
      <c r="U144" s="64">
        <f t="shared" si="53"/>
        <v>91.596562123700451</v>
      </c>
      <c r="V144" s="17">
        <v>0</v>
      </c>
      <c r="Y144" s="114">
        <f t="shared" si="54"/>
        <v>84.977607669437745</v>
      </c>
      <c r="Z144" s="17">
        <v>0</v>
      </c>
      <c r="AC144" s="64">
        <f t="shared" si="55"/>
        <v>85.509512691809249</v>
      </c>
      <c r="AD144" s="25">
        <v>2</v>
      </c>
      <c r="AE144" s="71"/>
      <c r="AF144" s="71"/>
      <c r="AG144" s="71">
        <f t="shared" si="56"/>
        <v>101.01229126330007</v>
      </c>
      <c r="AH144" s="17">
        <v>0</v>
      </c>
      <c r="AK144" s="64">
        <f t="shared" si="57"/>
        <v>77.680312752498807</v>
      </c>
      <c r="AL144" s="17">
        <v>3</v>
      </c>
      <c r="AM144" s="71"/>
      <c r="AN144" s="71"/>
      <c r="AO144" s="71">
        <f t="shared" si="58"/>
        <v>100.85056924463234</v>
      </c>
      <c r="AP144" s="17">
        <v>2</v>
      </c>
      <c r="AQ144" s="71"/>
      <c r="AR144" s="71"/>
      <c r="AS144" s="71">
        <f t="shared" si="59"/>
        <v>99.909880620416757</v>
      </c>
      <c r="AT144" s="17">
        <v>0</v>
      </c>
      <c r="AU144" s="71"/>
      <c r="AV144" s="71"/>
      <c r="AW144" s="71">
        <f t="shared" si="60"/>
        <v>89.214252251088965</v>
      </c>
      <c r="AX144" s="17">
        <v>0</v>
      </c>
      <c r="AY144" s="71"/>
      <c r="AZ144" s="71"/>
      <c r="BA144" s="71">
        <f t="shared" si="61"/>
        <v>79.173343913551548</v>
      </c>
      <c r="BB144" s="84">
        <v>0</v>
      </c>
      <c r="BC144" s="84">
        <v>0</v>
      </c>
      <c r="BD144" s="84">
        <v>0</v>
      </c>
      <c r="BE144" s="84">
        <v>0</v>
      </c>
      <c r="BF144" s="84">
        <v>1</v>
      </c>
      <c r="BG144" s="84">
        <v>0</v>
      </c>
      <c r="BH144" s="20">
        <v>0</v>
      </c>
      <c r="BI144" s="71"/>
      <c r="BJ144" s="71"/>
      <c r="BK144" s="71">
        <f t="shared" si="62"/>
        <v>92.176238572378367</v>
      </c>
      <c r="BL144" s="17">
        <v>0</v>
      </c>
      <c r="BM144" s="71"/>
      <c r="BN144" s="71"/>
      <c r="BO144" s="71">
        <f t="shared" si="63"/>
        <v>83.261163531413686</v>
      </c>
      <c r="BP144" s="17">
        <v>0</v>
      </c>
      <c r="BQ144" s="71"/>
      <c r="BR144" s="71"/>
      <c r="BS144" s="138">
        <f t="shared" si="64"/>
        <v>86.456710815818582</v>
      </c>
      <c r="BT144" s="17">
        <v>1</v>
      </c>
      <c r="BU144" s="71"/>
      <c r="BV144" s="71"/>
      <c r="BW144" s="71">
        <f t="shared" si="65"/>
        <v>93.001214173698628</v>
      </c>
      <c r="BX144" s="84">
        <v>2</v>
      </c>
      <c r="BY144" s="17">
        <v>3</v>
      </c>
      <c r="BZ144" s="71"/>
      <c r="CA144" s="71"/>
      <c r="CB144" s="71">
        <f t="shared" si="66"/>
        <v>110.05345743585116</v>
      </c>
      <c r="CC144" s="17">
        <v>1</v>
      </c>
      <c r="CD144" s="71"/>
      <c r="CE144" s="71"/>
      <c r="CF144" s="71">
        <f t="shared" si="67"/>
        <v>91.015574519921572</v>
      </c>
      <c r="CG144" s="17">
        <v>1</v>
      </c>
      <c r="CH144" s="71"/>
      <c r="CI144" s="71"/>
      <c r="CJ144" s="138">
        <f t="shared" si="68"/>
        <v>103.93736139675698</v>
      </c>
      <c r="CK144" s="17">
        <v>2</v>
      </c>
      <c r="CL144" s="71"/>
      <c r="CM144" s="71"/>
      <c r="CN144" s="71">
        <f t="shared" si="69"/>
        <v>100.22589057499034</v>
      </c>
      <c r="CO144" s="93">
        <v>0</v>
      </c>
      <c r="CP144" s="93">
        <v>0</v>
      </c>
      <c r="CQ144" s="93">
        <v>0</v>
      </c>
      <c r="CR144" s="93">
        <v>1</v>
      </c>
      <c r="CS144" s="102">
        <f t="shared" si="70"/>
        <v>92.263861429575002</v>
      </c>
      <c r="CT144" s="102">
        <f t="shared" si="71"/>
        <v>10.103004151631016</v>
      </c>
      <c r="CU144" s="102">
        <f t="shared" si="72"/>
        <v>0.10950120659476884</v>
      </c>
      <c r="CV144" s="108">
        <f t="shared" si="73"/>
        <v>91.15757028473945</v>
      </c>
      <c r="CZ144" s="109" t="str">
        <f t="shared" si="74"/>
        <v>Basso</v>
      </c>
    </row>
    <row r="145" spans="1:104" x14ac:dyDescent="0.15">
      <c r="A145" s="85">
        <v>3</v>
      </c>
      <c r="B145" s="85">
        <v>1</v>
      </c>
      <c r="C145" s="85">
        <v>3</v>
      </c>
      <c r="D145" s="85">
        <v>2</v>
      </c>
      <c r="E145" s="85">
        <v>1</v>
      </c>
      <c r="F145" s="18">
        <v>1</v>
      </c>
      <c r="I145" s="64">
        <f t="shared" si="50"/>
        <v>93.428492305734082</v>
      </c>
      <c r="J145" s="18">
        <v>1</v>
      </c>
      <c r="M145" s="64">
        <f t="shared" si="51"/>
        <v>95.705097084683388</v>
      </c>
      <c r="N145" s="18">
        <v>1</v>
      </c>
      <c r="Q145" s="64">
        <f t="shared" si="52"/>
        <v>98.246708656674187</v>
      </c>
      <c r="R145" s="18">
        <v>2</v>
      </c>
      <c r="U145" s="64">
        <f t="shared" si="53"/>
        <v>101.34799174124942</v>
      </c>
      <c r="V145" s="18">
        <v>5</v>
      </c>
      <c r="Y145" s="114">
        <f t="shared" si="54"/>
        <v>117.22264171231127</v>
      </c>
      <c r="Z145" s="18">
        <v>3</v>
      </c>
      <c r="AC145" s="64">
        <f t="shared" si="55"/>
        <v>109.50350141641081</v>
      </c>
      <c r="AD145" s="24">
        <v>2</v>
      </c>
      <c r="AE145" s="71"/>
      <c r="AF145" s="71"/>
      <c r="AG145" s="71">
        <f t="shared" si="56"/>
        <v>101.01229126330007</v>
      </c>
      <c r="AH145" s="18">
        <v>1</v>
      </c>
      <c r="AK145" s="64">
        <f t="shared" si="57"/>
        <v>88.599296441923855</v>
      </c>
      <c r="AL145" s="18">
        <v>3</v>
      </c>
      <c r="AM145" s="71"/>
      <c r="AN145" s="71"/>
      <c r="AO145" s="71">
        <f t="shared" si="58"/>
        <v>100.85056924463234</v>
      </c>
      <c r="AP145" s="18">
        <v>0</v>
      </c>
      <c r="AQ145" s="71"/>
      <c r="AR145" s="71"/>
      <c r="AS145" s="71">
        <f t="shared" si="59"/>
        <v>79.482821248216453</v>
      </c>
      <c r="AT145" s="18">
        <v>0</v>
      </c>
      <c r="AU145" s="71"/>
      <c r="AV145" s="71"/>
      <c r="AW145" s="71">
        <f t="shared" si="60"/>
        <v>89.214252251088965</v>
      </c>
      <c r="AX145" s="18">
        <v>2</v>
      </c>
      <c r="AY145" s="71"/>
      <c r="AZ145" s="71"/>
      <c r="BA145" s="71">
        <f t="shared" si="61"/>
        <v>100.92776194547928</v>
      </c>
      <c r="BB145" s="85">
        <v>1</v>
      </c>
      <c r="BC145" s="85">
        <v>0</v>
      </c>
      <c r="BD145" s="85">
        <v>1</v>
      </c>
      <c r="BE145" s="85">
        <v>0</v>
      </c>
      <c r="BF145" s="85">
        <v>0</v>
      </c>
      <c r="BG145" s="85">
        <v>0</v>
      </c>
      <c r="BH145" s="19">
        <v>0</v>
      </c>
      <c r="BI145" s="71"/>
      <c r="BJ145" s="71"/>
      <c r="BK145" s="71">
        <f t="shared" si="62"/>
        <v>92.176238572378367</v>
      </c>
      <c r="BL145" s="18">
        <v>2</v>
      </c>
      <c r="BM145" s="71"/>
      <c r="BN145" s="71"/>
      <c r="BO145" s="71">
        <f t="shared" si="63"/>
        <v>101.95148996595998</v>
      </c>
      <c r="BP145" s="18">
        <v>0</v>
      </c>
      <c r="BQ145" s="71"/>
      <c r="BR145" s="71"/>
      <c r="BS145" s="138">
        <f t="shared" si="64"/>
        <v>86.456710815818582</v>
      </c>
      <c r="BT145" s="18">
        <v>2</v>
      </c>
      <c r="BU145" s="71"/>
      <c r="BV145" s="71"/>
      <c r="BW145" s="71">
        <f t="shared" si="65"/>
        <v>102.51956289746849</v>
      </c>
      <c r="BX145" s="85">
        <v>2</v>
      </c>
      <c r="BY145" s="18">
        <v>1</v>
      </c>
      <c r="BZ145" s="71"/>
      <c r="CA145" s="71"/>
      <c r="CB145" s="71">
        <f t="shared" si="66"/>
        <v>91.01069683312474</v>
      </c>
      <c r="CC145" s="18">
        <v>1</v>
      </c>
      <c r="CD145" s="71"/>
      <c r="CE145" s="71"/>
      <c r="CF145" s="71">
        <f t="shared" si="67"/>
        <v>91.015574519921572</v>
      </c>
      <c r="CG145" s="18">
        <v>1</v>
      </c>
      <c r="CH145" s="71"/>
      <c r="CI145" s="71"/>
      <c r="CJ145" s="138">
        <f t="shared" si="68"/>
        <v>103.93736139675698</v>
      </c>
      <c r="CK145" s="18">
        <v>1</v>
      </c>
      <c r="CL145" s="71"/>
      <c r="CM145" s="71"/>
      <c r="CN145" s="71">
        <f t="shared" si="69"/>
        <v>90.625541137900711</v>
      </c>
      <c r="CO145" s="94">
        <v>0</v>
      </c>
      <c r="CP145" s="94">
        <v>1</v>
      </c>
      <c r="CQ145" s="94">
        <v>1</v>
      </c>
      <c r="CR145" s="94">
        <v>0</v>
      </c>
      <c r="CS145" s="102">
        <f t="shared" si="70"/>
        <v>95.74222867800863</v>
      </c>
      <c r="CT145" s="102">
        <f t="shared" si="71"/>
        <v>7.2426675930922153</v>
      </c>
      <c r="CU145" s="102">
        <f t="shared" si="72"/>
        <v>7.564757675999044E-2</v>
      </c>
      <c r="CV145" s="108">
        <f t="shared" si="73"/>
        <v>95.194338425313092</v>
      </c>
      <c r="CZ145" s="109" t="str">
        <f t="shared" si="74"/>
        <v>Basso</v>
      </c>
    </row>
    <row r="146" spans="1:104" x14ac:dyDescent="0.15">
      <c r="A146" s="84">
        <v>4</v>
      </c>
      <c r="B146" s="84">
        <v>2</v>
      </c>
      <c r="C146" s="84">
        <v>1</v>
      </c>
      <c r="D146" s="84">
        <v>2</v>
      </c>
      <c r="E146" s="85">
        <v>1</v>
      </c>
      <c r="F146" s="17">
        <v>1</v>
      </c>
      <c r="I146" s="64">
        <f t="shared" si="50"/>
        <v>93.428492305734082</v>
      </c>
      <c r="J146" s="17">
        <v>0</v>
      </c>
      <c r="M146" s="64">
        <f t="shared" si="51"/>
        <v>81.388754033628004</v>
      </c>
      <c r="N146" s="17">
        <v>1</v>
      </c>
      <c r="Q146" s="64">
        <f t="shared" si="52"/>
        <v>98.246708656674187</v>
      </c>
      <c r="R146" s="17">
        <v>0</v>
      </c>
      <c r="U146" s="64">
        <f t="shared" si="53"/>
        <v>81.845132506151486</v>
      </c>
      <c r="V146" s="17">
        <v>4</v>
      </c>
      <c r="Y146" s="114">
        <f t="shared" si="54"/>
        <v>110.77363490373656</v>
      </c>
      <c r="Z146" s="17">
        <v>0</v>
      </c>
      <c r="AC146" s="64">
        <f t="shared" si="55"/>
        <v>85.509512691809249</v>
      </c>
      <c r="AD146" s="25">
        <v>0</v>
      </c>
      <c r="AE146" s="71"/>
      <c r="AF146" s="71"/>
      <c r="AG146" s="71">
        <f t="shared" si="56"/>
        <v>84.62281366701329</v>
      </c>
      <c r="AH146" s="17">
        <v>1</v>
      </c>
      <c r="AK146" s="64">
        <f t="shared" si="57"/>
        <v>88.599296441923855</v>
      </c>
      <c r="AL146" s="17">
        <v>3</v>
      </c>
      <c r="AM146" s="71"/>
      <c r="AN146" s="71"/>
      <c r="AO146" s="71">
        <f t="shared" si="58"/>
        <v>100.85056924463234</v>
      </c>
      <c r="AP146" s="17">
        <v>2</v>
      </c>
      <c r="AQ146" s="71"/>
      <c r="AR146" s="71"/>
      <c r="AS146" s="71">
        <f t="shared" si="59"/>
        <v>99.909880620416757</v>
      </c>
      <c r="AT146" s="17">
        <v>0</v>
      </c>
      <c r="AU146" s="71"/>
      <c r="AV146" s="71"/>
      <c r="AW146" s="71">
        <f t="shared" si="60"/>
        <v>89.214252251088965</v>
      </c>
      <c r="AX146" s="17">
        <v>1</v>
      </c>
      <c r="AY146" s="71"/>
      <c r="AZ146" s="71"/>
      <c r="BA146" s="71">
        <f t="shared" si="61"/>
        <v>90.050552929515405</v>
      </c>
      <c r="BB146" s="84">
        <v>0</v>
      </c>
      <c r="BC146" s="84">
        <v>0</v>
      </c>
      <c r="BD146" s="84">
        <v>1</v>
      </c>
      <c r="BE146" s="84">
        <v>1</v>
      </c>
      <c r="BF146" s="84">
        <v>0</v>
      </c>
      <c r="BG146" s="84">
        <v>0</v>
      </c>
      <c r="BH146" s="20">
        <v>0</v>
      </c>
      <c r="BI146" s="71"/>
      <c r="BJ146" s="71"/>
      <c r="BK146" s="71">
        <f t="shared" si="62"/>
        <v>92.176238572378367</v>
      </c>
      <c r="BL146" s="17">
        <v>3</v>
      </c>
      <c r="BM146" s="71"/>
      <c r="BN146" s="71"/>
      <c r="BO146" s="71">
        <f t="shared" si="63"/>
        <v>111.29665318323313</v>
      </c>
      <c r="BP146" s="17">
        <v>1</v>
      </c>
      <c r="BQ146" s="71"/>
      <c r="BR146" s="71"/>
      <c r="BS146" s="138">
        <f t="shared" si="64"/>
        <v>100.16171091563201</v>
      </c>
      <c r="BT146" s="17">
        <v>0</v>
      </c>
      <c r="BU146" s="71"/>
      <c r="BV146" s="71"/>
      <c r="BW146" s="71">
        <f t="shared" si="65"/>
        <v>83.482865449928767</v>
      </c>
      <c r="BX146" s="84">
        <v>2</v>
      </c>
      <c r="BY146" s="17">
        <v>0</v>
      </c>
      <c r="BZ146" s="71"/>
      <c r="CA146" s="71"/>
      <c r="CB146" s="71">
        <f t="shared" si="66"/>
        <v>81.489316531761531</v>
      </c>
      <c r="CC146" s="17">
        <v>2</v>
      </c>
      <c r="CD146" s="71"/>
      <c r="CE146" s="71"/>
      <c r="CF146" s="71">
        <f t="shared" si="67"/>
        <v>100.18886179687853</v>
      </c>
      <c r="CG146" s="17">
        <v>0</v>
      </c>
      <c r="CH146" s="71"/>
      <c r="CI146" s="71"/>
      <c r="CJ146" s="138">
        <f t="shared" si="68"/>
        <v>89.226340793489143</v>
      </c>
      <c r="CK146" s="17">
        <v>2</v>
      </c>
      <c r="CL146" s="71"/>
      <c r="CM146" s="71"/>
      <c r="CN146" s="71">
        <f t="shared" si="69"/>
        <v>100.22589057499034</v>
      </c>
      <c r="CO146" s="93">
        <v>1</v>
      </c>
      <c r="CP146" s="93">
        <v>1</v>
      </c>
      <c r="CQ146" s="93">
        <v>0</v>
      </c>
      <c r="CR146" s="93">
        <v>0</v>
      </c>
      <c r="CS146" s="102">
        <f t="shared" si="70"/>
        <v>91.913281850456372</v>
      </c>
      <c r="CT146" s="102">
        <f t="shared" si="71"/>
        <v>8.6867653247422201</v>
      </c>
      <c r="CU146" s="102">
        <f t="shared" si="72"/>
        <v>9.4510446693391439E-2</v>
      </c>
      <c r="CV146" s="108">
        <f t="shared" si="73"/>
        <v>91.092291779294314</v>
      </c>
      <c r="CZ146" s="109" t="str">
        <f t="shared" si="74"/>
        <v>Basso</v>
      </c>
    </row>
    <row r="147" spans="1:104" x14ac:dyDescent="0.15">
      <c r="A147" s="85">
        <v>4</v>
      </c>
      <c r="B147" s="85">
        <v>2</v>
      </c>
      <c r="C147" s="85">
        <v>2</v>
      </c>
      <c r="D147" s="85">
        <v>2</v>
      </c>
      <c r="E147" s="85">
        <v>1</v>
      </c>
      <c r="F147" s="18">
        <v>1</v>
      </c>
      <c r="I147" s="64">
        <f t="shared" si="50"/>
        <v>93.428492305734082</v>
      </c>
      <c r="J147" s="18">
        <v>2</v>
      </c>
      <c r="M147" s="64">
        <f t="shared" si="51"/>
        <v>110.02144013573877</v>
      </c>
      <c r="N147" s="18">
        <v>2</v>
      </c>
      <c r="Q147" s="64">
        <f t="shared" si="52"/>
        <v>113.93405225485253</v>
      </c>
      <c r="R147" s="18">
        <v>3</v>
      </c>
      <c r="U147" s="64">
        <f t="shared" si="53"/>
        <v>111.09942135879838</v>
      </c>
      <c r="V147" s="18">
        <v>4</v>
      </c>
      <c r="Y147" s="114">
        <f t="shared" si="54"/>
        <v>110.77363490373656</v>
      </c>
      <c r="Z147" s="18">
        <v>2</v>
      </c>
      <c r="AC147" s="64">
        <f t="shared" si="55"/>
        <v>101.50550517487696</v>
      </c>
      <c r="AD147" s="24">
        <v>0</v>
      </c>
      <c r="AE147" s="71"/>
      <c r="AF147" s="71"/>
      <c r="AG147" s="71">
        <f t="shared" si="56"/>
        <v>84.62281366701329</v>
      </c>
      <c r="AH147" s="18">
        <v>3</v>
      </c>
      <c r="AK147" s="64">
        <f t="shared" si="57"/>
        <v>110.43726382077395</v>
      </c>
      <c r="AL147" s="18">
        <v>3</v>
      </c>
      <c r="AM147" s="71"/>
      <c r="AN147" s="71"/>
      <c r="AO147" s="71">
        <f t="shared" si="58"/>
        <v>100.85056924463234</v>
      </c>
      <c r="AP147" s="18">
        <v>2</v>
      </c>
      <c r="AQ147" s="71"/>
      <c r="AR147" s="71"/>
      <c r="AS147" s="71">
        <f t="shared" si="59"/>
        <v>99.909880620416757</v>
      </c>
      <c r="AT147" s="18">
        <v>2</v>
      </c>
      <c r="AU147" s="71"/>
      <c r="AV147" s="71"/>
      <c r="AW147" s="71">
        <f t="shared" si="60"/>
        <v>110.91338973410525</v>
      </c>
      <c r="AX147" s="18">
        <v>1</v>
      </c>
      <c r="AY147" s="71"/>
      <c r="AZ147" s="71"/>
      <c r="BA147" s="71">
        <f t="shared" si="61"/>
        <v>90.050552929515405</v>
      </c>
      <c r="BB147" s="85">
        <v>1</v>
      </c>
      <c r="BC147" s="85">
        <v>0</v>
      </c>
      <c r="BD147" s="85">
        <v>1</v>
      </c>
      <c r="BE147" s="85">
        <v>0</v>
      </c>
      <c r="BF147" s="85">
        <v>0</v>
      </c>
      <c r="BG147" s="85">
        <v>0</v>
      </c>
      <c r="BH147" s="19">
        <v>0</v>
      </c>
      <c r="BI147" s="71"/>
      <c r="BJ147" s="71"/>
      <c r="BK147" s="71">
        <f t="shared" si="62"/>
        <v>92.176238572378367</v>
      </c>
      <c r="BL147" s="18">
        <v>3</v>
      </c>
      <c r="BM147" s="71"/>
      <c r="BN147" s="71"/>
      <c r="BO147" s="71">
        <f t="shared" si="63"/>
        <v>111.29665318323313</v>
      </c>
      <c r="BP147" s="18">
        <v>1</v>
      </c>
      <c r="BQ147" s="71"/>
      <c r="BR147" s="71"/>
      <c r="BS147" s="138">
        <f t="shared" si="64"/>
        <v>100.16171091563201</v>
      </c>
      <c r="BT147" s="18">
        <v>2</v>
      </c>
      <c r="BU147" s="71"/>
      <c r="BV147" s="71"/>
      <c r="BW147" s="71">
        <f t="shared" si="65"/>
        <v>102.51956289746849</v>
      </c>
      <c r="BX147" s="85">
        <v>2</v>
      </c>
      <c r="BY147" s="18">
        <v>3</v>
      </c>
      <c r="BZ147" s="71"/>
      <c r="CA147" s="71"/>
      <c r="CB147" s="71">
        <f t="shared" si="66"/>
        <v>110.05345743585116</v>
      </c>
      <c r="CC147" s="18">
        <v>2</v>
      </c>
      <c r="CD147" s="71"/>
      <c r="CE147" s="71"/>
      <c r="CF147" s="71">
        <f t="shared" si="67"/>
        <v>100.18886179687853</v>
      </c>
      <c r="CG147" s="18">
        <v>0</v>
      </c>
      <c r="CH147" s="71"/>
      <c r="CI147" s="71"/>
      <c r="CJ147" s="138">
        <f t="shared" si="68"/>
        <v>89.226340793489143</v>
      </c>
      <c r="CK147" s="18">
        <v>3</v>
      </c>
      <c r="CL147" s="71"/>
      <c r="CM147" s="71"/>
      <c r="CN147" s="71">
        <f t="shared" si="69"/>
        <v>109.82624001207998</v>
      </c>
      <c r="CO147" s="94">
        <v>1</v>
      </c>
      <c r="CP147" s="94">
        <v>0</v>
      </c>
      <c r="CQ147" s="94">
        <v>1</v>
      </c>
      <c r="CR147" s="94">
        <v>0</v>
      </c>
      <c r="CS147" s="102">
        <f t="shared" si="70"/>
        <v>103.1079055967263</v>
      </c>
      <c r="CT147" s="102">
        <f t="shared" si="71"/>
        <v>8.8603299697929216</v>
      </c>
      <c r="CU147" s="102">
        <f t="shared" si="72"/>
        <v>8.5932595745347382E-2</v>
      </c>
      <c r="CV147" s="108">
        <f t="shared" si="73"/>
        <v>102.3465144432617</v>
      </c>
      <c r="CZ147" s="109" t="str">
        <f t="shared" si="74"/>
        <v>Medio-Alto</v>
      </c>
    </row>
    <row r="148" spans="1:104" x14ac:dyDescent="0.15">
      <c r="A148" s="84">
        <v>4</v>
      </c>
      <c r="B148" s="84">
        <v>1</v>
      </c>
      <c r="C148" s="84">
        <v>4</v>
      </c>
      <c r="D148" s="84">
        <v>2</v>
      </c>
      <c r="E148" s="85">
        <v>1</v>
      </c>
      <c r="F148" s="17">
        <v>1</v>
      </c>
      <c r="I148" s="64">
        <f t="shared" si="50"/>
        <v>93.428492305734082</v>
      </c>
      <c r="J148" s="17">
        <v>1</v>
      </c>
      <c r="M148" s="64">
        <f t="shared" si="51"/>
        <v>95.705097084683388</v>
      </c>
      <c r="N148" s="17">
        <v>2</v>
      </c>
      <c r="Q148" s="64">
        <f t="shared" si="52"/>
        <v>113.93405225485253</v>
      </c>
      <c r="R148" s="17">
        <v>2</v>
      </c>
      <c r="U148" s="64">
        <f t="shared" si="53"/>
        <v>101.34799174124942</v>
      </c>
      <c r="V148" s="17">
        <v>0</v>
      </c>
      <c r="Y148" s="114">
        <f t="shared" si="54"/>
        <v>84.977607669437745</v>
      </c>
      <c r="Z148" s="17">
        <v>2</v>
      </c>
      <c r="AC148" s="64">
        <f t="shared" si="55"/>
        <v>101.50550517487696</v>
      </c>
      <c r="AD148" s="25">
        <v>2</v>
      </c>
      <c r="AE148" s="71"/>
      <c r="AF148" s="71"/>
      <c r="AG148" s="71">
        <f t="shared" si="56"/>
        <v>101.01229126330007</v>
      </c>
      <c r="AH148" s="17">
        <v>2</v>
      </c>
      <c r="AK148" s="64">
        <f t="shared" si="57"/>
        <v>99.518280131348902</v>
      </c>
      <c r="AL148" s="17">
        <v>3</v>
      </c>
      <c r="AM148" s="71"/>
      <c r="AN148" s="71"/>
      <c r="AO148" s="71">
        <f t="shared" si="58"/>
        <v>100.85056924463234</v>
      </c>
      <c r="AP148" s="17">
        <v>1</v>
      </c>
      <c r="AQ148" s="71"/>
      <c r="AR148" s="71"/>
      <c r="AS148" s="71">
        <f t="shared" si="59"/>
        <v>89.696350934316598</v>
      </c>
      <c r="AT148" s="17">
        <v>0</v>
      </c>
      <c r="AU148" s="71"/>
      <c r="AV148" s="71"/>
      <c r="AW148" s="71">
        <f t="shared" si="60"/>
        <v>89.214252251088965</v>
      </c>
      <c r="AX148" s="17">
        <v>3</v>
      </c>
      <c r="AY148" s="71"/>
      <c r="AZ148" s="71"/>
      <c r="BA148" s="71">
        <f t="shared" si="61"/>
        <v>111.80497096144313</v>
      </c>
      <c r="BB148" s="84">
        <v>1</v>
      </c>
      <c r="BC148" s="84">
        <v>1</v>
      </c>
      <c r="BD148" s="84">
        <v>0</v>
      </c>
      <c r="BE148" s="84">
        <v>0</v>
      </c>
      <c r="BF148" s="84">
        <v>0</v>
      </c>
      <c r="BG148" s="84">
        <v>0</v>
      </c>
      <c r="BH148" s="20">
        <v>0</v>
      </c>
      <c r="BI148" s="71"/>
      <c r="BJ148" s="71"/>
      <c r="BK148" s="71">
        <f t="shared" si="62"/>
        <v>92.176238572378367</v>
      </c>
      <c r="BL148" s="17">
        <v>1</v>
      </c>
      <c r="BM148" s="71"/>
      <c r="BN148" s="71"/>
      <c r="BO148" s="71">
        <f t="shared" si="63"/>
        <v>92.606326748686826</v>
      </c>
      <c r="BP148" s="17">
        <v>1</v>
      </c>
      <c r="BQ148" s="71"/>
      <c r="BR148" s="71"/>
      <c r="BS148" s="138">
        <f t="shared" si="64"/>
        <v>100.16171091563201</v>
      </c>
      <c r="BT148" s="17">
        <v>2</v>
      </c>
      <c r="BU148" s="71"/>
      <c r="BV148" s="71"/>
      <c r="BW148" s="71">
        <f t="shared" si="65"/>
        <v>102.51956289746849</v>
      </c>
      <c r="BX148" s="84">
        <v>2</v>
      </c>
      <c r="BY148" s="17">
        <v>2</v>
      </c>
      <c r="BZ148" s="71"/>
      <c r="CA148" s="71"/>
      <c r="CB148" s="71">
        <f t="shared" si="66"/>
        <v>100.53207713448795</v>
      </c>
      <c r="CC148" s="17">
        <v>3</v>
      </c>
      <c r="CD148" s="71"/>
      <c r="CE148" s="71"/>
      <c r="CF148" s="71">
        <f t="shared" si="67"/>
        <v>109.36214907383548</v>
      </c>
      <c r="CG148" s="17">
        <v>0</v>
      </c>
      <c r="CH148" s="71"/>
      <c r="CI148" s="71"/>
      <c r="CJ148" s="138">
        <f t="shared" si="68"/>
        <v>89.226340793489143</v>
      </c>
      <c r="CK148" s="17">
        <v>3</v>
      </c>
      <c r="CL148" s="71"/>
      <c r="CM148" s="71"/>
      <c r="CN148" s="71">
        <f t="shared" si="69"/>
        <v>109.82624001207998</v>
      </c>
      <c r="CO148" s="93">
        <v>1</v>
      </c>
      <c r="CP148" s="93">
        <v>1</v>
      </c>
      <c r="CQ148" s="93">
        <v>0</v>
      </c>
      <c r="CR148" s="93">
        <v>0</v>
      </c>
      <c r="CS148" s="102">
        <f t="shared" si="70"/>
        <v>100.29649692861551</v>
      </c>
      <c r="CT148" s="102">
        <f t="shared" si="71"/>
        <v>7.6195750330308805</v>
      </c>
      <c r="CU148" s="102">
        <f t="shared" si="72"/>
        <v>7.5970500130767241E-2</v>
      </c>
      <c r="CV148" s="108">
        <f t="shared" si="73"/>
        <v>99.717634002572254</v>
      </c>
      <c r="CZ148" s="109" t="str">
        <f t="shared" si="74"/>
        <v>Medio-Alto</v>
      </c>
    </row>
    <row r="149" spans="1:104" x14ac:dyDescent="0.15">
      <c r="A149" s="85">
        <v>1</v>
      </c>
      <c r="B149" s="85">
        <v>2</v>
      </c>
      <c r="C149" s="85">
        <v>2</v>
      </c>
      <c r="D149" s="85">
        <v>2</v>
      </c>
      <c r="E149" s="85">
        <v>1</v>
      </c>
      <c r="F149" s="18">
        <v>1</v>
      </c>
      <c r="I149" s="64">
        <f t="shared" si="50"/>
        <v>93.428492305734082</v>
      </c>
      <c r="J149" s="18">
        <v>0</v>
      </c>
      <c r="M149" s="64">
        <f t="shared" si="51"/>
        <v>81.388754033628004</v>
      </c>
      <c r="N149" s="18">
        <v>0</v>
      </c>
      <c r="Q149" s="64">
        <f t="shared" si="52"/>
        <v>82.559365058495843</v>
      </c>
      <c r="R149" s="18">
        <v>0</v>
      </c>
      <c r="U149" s="64">
        <f t="shared" si="53"/>
        <v>81.845132506151486</v>
      </c>
      <c r="V149" s="18">
        <v>0</v>
      </c>
      <c r="Y149" s="114">
        <f t="shared" si="54"/>
        <v>84.977607669437745</v>
      </c>
      <c r="Z149" s="18">
        <v>3</v>
      </c>
      <c r="AC149" s="64">
        <f t="shared" si="55"/>
        <v>109.50350141641081</v>
      </c>
      <c r="AD149" s="24">
        <v>2</v>
      </c>
      <c r="AE149" s="71"/>
      <c r="AF149" s="71"/>
      <c r="AG149" s="71">
        <f t="shared" si="56"/>
        <v>101.01229126330007</v>
      </c>
      <c r="AH149" s="18">
        <v>1</v>
      </c>
      <c r="AK149" s="64">
        <f t="shared" si="57"/>
        <v>88.599296441923855</v>
      </c>
      <c r="AL149" s="18">
        <v>4</v>
      </c>
      <c r="AM149" s="71"/>
      <c r="AN149" s="71"/>
      <c r="AO149" s="71">
        <f t="shared" si="58"/>
        <v>111.97339782828605</v>
      </c>
      <c r="AP149" s="18">
        <v>2</v>
      </c>
      <c r="AQ149" s="71"/>
      <c r="AR149" s="71"/>
      <c r="AS149" s="71">
        <f t="shared" si="59"/>
        <v>99.909880620416757</v>
      </c>
      <c r="AT149" s="18">
        <v>1</v>
      </c>
      <c r="AU149" s="71"/>
      <c r="AV149" s="71"/>
      <c r="AW149" s="71">
        <f t="shared" si="60"/>
        <v>100.0638209925971</v>
      </c>
      <c r="AX149" s="18">
        <v>2</v>
      </c>
      <c r="AY149" s="71"/>
      <c r="AZ149" s="71"/>
      <c r="BA149" s="71">
        <f t="shared" si="61"/>
        <v>100.92776194547928</v>
      </c>
      <c r="BB149" s="85">
        <v>0</v>
      </c>
      <c r="BC149" s="85">
        <v>0</v>
      </c>
      <c r="BD149" s="85">
        <v>1</v>
      </c>
      <c r="BE149" s="85">
        <v>1</v>
      </c>
      <c r="BF149" s="85">
        <v>0</v>
      </c>
      <c r="BG149" s="85">
        <v>0</v>
      </c>
      <c r="BH149" s="19">
        <v>0</v>
      </c>
      <c r="BI149" s="71"/>
      <c r="BJ149" s="71"/>
      <c r="BK149" s="71">
        <f t="shared" si="62"/>
        <v>92.176238572378367</v>
      </c>
      <c r="BL149" s="18">
        <v>2</v>
      </c>
      <c r="BM149" s="71"/>
      <c r="BN149" s="71"/>
      <c r="BO149" s="71">
        <f t="shared" si="63"/>
        <v>101.95148996595998</v>
      </c>
      <c r="BP149" s="18">
        <v>1</v>
      </c>
      <c r="BQ149" s="71"/>
      <c r="BR149" s="71"/>
      <c r="BS149" s="138">
        <f t="shared" si="64"/>
        <v>100.16171091563201</v>
      </c>
      <c r="BT149" s="18">
        <v>0</v>
      </c>
      <c r="BU149" s="71"/>
      <c r="BV149" s="71"/>
      <c r="BW149" s="71">
        <f t="shared" si="65"/>
        <v>83.482865449928767</v>
      </c>
      <c r="BX149" s="85">
        <v>0</v>
      </c>
      <c r="BY149" s="18">
        <v>2</v>
      </c>
      <c r="BZ149" s="71"/>
      <c r="CA149" s="71"/>
      <c r="CB149" s="71">
        <f t="shared" si="66"/>
        <v>100.53207713448795</v>
      </c>
      <c r="CC149" s="18">
        <v>2</v>
      </c>
      <c r="CD149" s="71"/>
      <c r="CE149" s="71"/>
      <c r="CF149" s="71">
        <f t="shared" si="67"/>
        <v>100.18886179687853</v>
      </c>
      <c r="CG149" s="18">
        <v>0</v>
      </c>
      <c r="CH149" s="71"/>
      <c r="CI149" s="71"/>
      <c r="CJ149" s="138">
        <f t="shared" si="68"/>
        <v>89.226340793489143</v>
      </c>
      <c r="CK149" s="18">
        <v>2</v>
      </c>
      <c r="CL149" s="71"/>
      <c r="CM149" s="71"/>
      <c r="CN149" s="71">
        <f t="shared" si="69"/>
        <v>100.22589057499034</v>
      </c>
      <c r="CO149" s="94">
        <v>1</v>
      </c>
      <c r="CP149" s="94">
        <v>0</v>
      </c>
      <c r="CQ149" s="94">
        <v>1</v>
      </c>
      <c r="CR149" s="94">
        <v>0</v>
      </c>
      <c r="CS149" s="102">
        <f t="shared" si="70"/>
        <v>95.868771641591024</v>
      </c>
      <c r="CT149" s="102">
        <f t="shared" si="71"/>
        <v>9.4768004122312437</v>
      </c>
      <c r="CU149" s="102">
        <f t="shared" si="72"/>
        <v>9.8851797618317416E-2</v>
      </c>
      <c r="CV149" s="108">
        <f t="shared" si="73"/>
        <v>94.931972885171959</v>
      </c>
      <c r="CZ149" s="109" t="str">
        <f t="shared" si="74"/>
        <v>Basso</v>
      </c>
    </row>
    <row r="150" spans="1:104" x14ac:dyDescent="0.15">
      <c r="A150" s="84">
        <v>4</v>
      </c>
      <c r="B150" s="84">
        <v>1</v>
      </c>
      <c r="C150" s="84">
        <v>1</v>
      </c>
      <c r="D150" s="84">
        <v>2</v>
      </c>
      <c r="E150" s="85">
        <v>1</v>
      </c>
      <c r="F150" s="17">
        <v>1</v>
      </c>
      <c r="I150" s="64">
        <f t="shared" si="50"/>
        <v>93.428492305734082</v>
      </c>
      <c r="J150" s="17">
        <v>2</v>
      </c>
      <c r="M150" s="64">
        <f t="shared" si="51"/>
        <v>110.02144013573877</v>
      </c>
      <c r="N150" s="17">
        <v>2</v>
      </c>
      <c r="Q150" s="64">
        <f t="shared" si="52"/>
        <v>113.93405225485253</v>
      </c>
      <c r="R150" s="17">
        <v>2</v>
      </c>
      <c r="U150" s="64">
        <f t="shared" si="53"/>
        <v>101.34799174124942</v>
      </c>
      <c r="V150" s="17">
        <v>0</v>
      </c>
      <c r="Y150" s="114">
        <f t="shared" si="54"/>
        <v>84.977607669437745</v>
      </c>
      <c r="Z150" s="17">
        <v>3</v>
      </c>
      <c r="AC150" s="64">
        <f t="shared" si="55"/>
        <v>109.50350141641081</v>
      </c>
      <c r="AD150" s="25">
        <v>3</v>
      </c>
      <c r="AE150" s="71"/>
      <c r="AF150" s="71"/>
      <c r="AG150" s="71">
        <f t="shared" si="56"/>
        <v>109.20703006144345</v>
      </c>
      <c r="AH150" s="17">
        <v>3</v>
      </c>
      <c r="AK150" s="64">
        <f t="shared" si="57"/>
        <v>110.43726382077395</v>
      </c>
      <c r="AL150" s="17">
        <v>3</v>
      </c>
      <c r="AM150" s="71"/>
      <c r="AN150" s="71"/>
      <c r="AO150" s="71">
        <f t="shared" si="58"/>
        <v>100.85056924463234</v>
      </c>
      <c r="AP150" s="17">
        <v>2</v>
      </c>
      <c r="AQ150" s="71"/>
      <c r="AR150" s="71"/>
      <c r="AS150" s="71">
        <f t="shared" si="59"/>
        <v>99.909880620416757</v>
      </c>
      <c r="AT150" s="17">
        <v>1</v>
      </c>
      <c r="AU150" s="71"/>
      <c r="AV150" s="71"/>
      <c r="AW150" s="71">
        <f t="shared" si="60"/>
        <v>100.0638209925971</v>
      </c>
      <c r="AX150" s="17">
        <v>3</v>
      </c>
      <c r="AY150" s="71"/>
      <c r="AZ150" s="71"/>
      <c r="BA150" s="71">
        <f t="shared" si="61"/>
        <v>111.80497096144313</v>
      </c>
      <c r="BB150" s="84">
        <v>1</v>
      </c>
      <c r="BC150" s="84">
        <v>0</v>
      </c>
      <c r="BD150" s="84">
        <v>1</v>
      </c>
      <c r="BE150" s="84">
        <v>0</v>
      </c>
      <c r="BF150" s="84">
        <v>0</v>
      </c>
      <c r="BG150" s="84">
        <v>0</v>
      </c>
      <c r="BH150" s="20">
        <v>0</v>
      </c>
      <c r="BI150" s="71"/>
      <c r="BJ150" s="71"/>
      <c r="BK150" s="71">
        <f t="shared" si="62"/>
        <v>92.176238572378367</v>
      </c>
      <c r="BL150" s="17">
        <v>3</v>
      </c>
      <c r="BM150" s="71"/>
      <c r="BN150" s="71"/>
      <c r="BO150" s="71">
        <f t="shared" si="63"/>
        <v>111.29665318323313</v>
      </c>
      <c r="BP150" s="17">
        <v>2</v>
      </c>
      <c r="BQ150" s="71"/>
      <c r="BR150" s="71"/>
      <c r="BS150" s="138">
        <f t="shared" si="64"/>
        <v>113.86671101544545</v>
      </c>
      <c r="BT150" s="17">
        <v>2</v>
      </c>
      <c r="BU150" s="71"/>
      <c r="BV150" s="71"/>
      <c r="BW150" s="71">
        <f t="shared" si="65"/>
        <v>102.51956289746849</v>
      </c>
      <c r="BX150" s="84">
        <v>1</v>
      </c>
      <c r="BY150" s="17">
        <v>2</v>
      </c>
      <c r="BZ150" s="71"/>
      <c r="CA150" s="71"/>
      <c r="CB150" s="71">
        <f t="shared" si="66"/>
        <v>100.53207713448795</v>
      </c>
      <c r="CC150" s="17">
        <v>2</v>
      </c>
      <c r="CD150" s="71"/>
      <c r="CE150" s="71"/>
      <c r="CF150" s="71">
        <f t="shared" si="67"/>
        <v>100.18886179687853</v>
      </c>
      <c r="CG150" s="17">
        <v>1</v>
      </c>
      <c r="CH150" s="71"/>
      <c r="CI150" s="71"/>
      <c r="CJ150" s="138">
        <f t="shared" si="68"/>
        <v>103.93736139675698</v>
      </c>
      <c r="CK150" s="17">
        <v>0</v>
      </c>
      <c r="CL150" s="71"/>
      <c r="CM150" s="71"/>
      <c r="CN150" s="71">
        <f t="shared" si="69"/>
        <v>81.025191700811078</v>
      </c>
      <c r="CO150" s="93">
        <v>1</v>
      </c>
      <c r="CP150" s="93">
        <v>1</v>
      </c>
      <c r="CQ150" s="93">
        <v>0</v>
      </c>
      <c r="CR150" s="93">
        <v>0</v>
      </c>
      <c r="CS150" s="102">
        <f t="shared" si="70"/>
        <v>102.83809404944409</v>
      </c>
      <c r="CT150" s="102">
        <f t="shared" si="71"/>
        <v>8.5961801272640432</v>
      </c>
      <c r="CU150" s="102">
        <f t="shared" si="72"/>
        <v>8.3589453954008894E-2</v>
      </c>
      <c r="CV150" s="108">
        <f t="shared" si="73"/>
        <v>102.11954404651578</v>
      </c>
      <c r="CZ150" s="109" t="str">
        <f t="shared" si="74"/>
        <v>Medio-Alto</v>
      </c>
    </row>
    <row r="151" spans="1:104" x14ac:dyDescent="0.15">
      <c r="A151" s="85">
        <v>5</v>
      </c>
      <c r="B151" s="85">
        <v>2</v>
      </c>
      <c r="C151" s="85">
        <v>3</v>
      </c>
      <c r="D151" s="85">
        <v>2</v>
      </c>
      <c r="E151" s="85">
        <v>1</v>
      </c>
      <c r="F151" s="18">
        <v>1</v>
      </c>
      <c r="I151" s="64">
        <f t="shared" si="50"/>
        <v>93.428492305734082</v>
      </c>
      <c r="J151" s="18">
        <v>2</v>
      </c>
      <c r="M151" s="64">
        <f t="shared" si="51"/>
        <v>110.02144013573877</v>
      </c>
      <c r="N151" s="18">
        <v>1</v>
      </c>
      <c r="Q151" s="64">
        <f t="shared" si="52"/>
        <v>98.246708656674187</v>
      </c>
      <c r="R151" s="18">
        <v>2</v>
      </c>
      <c r="U151" s="64">
        <f t="shared" si="53"/>
        <v>101.34799174124942</v>
      </c>
      <c r="V151" s="18">
        <v>2</v>
      </c>
      <c r="Y151" s="114">
        <f t="shared" si="54"/>
        <v>97.875621286587162</v>
      </c>
      <c r="Z151" s="18">
        <v>0</v>
      </c>
      <c r="AC151" s="64">
        <f t="shared" si="55"/>
        <v>85.509512691809249</v>
      </c>
      <c r="AD151" s="24">
        <v>2</v>
      </c>
      <c r="AE151" s="71"/>
      <c r="AF151" s="71"/>
      <c r="AG151" s="71">
        <f t="shared" si="56"/>
        <v>101.01229126330007</v>
      </c>
      <c r="AH151" s="18">
        <v>3</v>
      </c>
      <c r="AK151" s="64">
        <f t="shared" si="57"/>
        <v>110.43726382077395</v>
      </c>
      <c r="AL151" s="18">
        <v>3</v>
      </c>
      <c r="AM151" s="71"/>
      <c r="AN151" s="71"/>
      <c r="AO151" s="71">
        <f t="shared" si="58"/>
        <v>100.85056924463234</v>
      </c>
      <c r="AP151" s="18">
        <v>2</v>
      </c>
      <c r="AQ151" s="71"/>
      <c r="AR151" s="71"/>
      <c r="AS151" s="71">
        <f t="shared" si="59"/>
        <v>99.909880620416757</v>
      </c>
      <c r="AT151" s="18">
        <v>0</v>
      </c>
      <c r="AU151" s="71"/>
      <c r="AV151" s="71"/>
      <c r="AW151" s="71">
        <f t="shared" si="60"/>
        <v>89.214252251088965</v>
      </c>
      <c r="AX151" s="18">
        <v>2</v>
      </c>
      <c r="AY151" s="71"/>
      <c r="AZ151" s="71"/>
      <c r="BA151" s="71">
        <f t="shared" si="61"/>
        <v>100.92776194547928</v>
      </c>
      <c r="BB151" s="85">
        <v>1</v>
      </c>
      <c r="BC151" s="85">
        <v>0</v>
      </c>
      <c r="BD151" s="85">
        <v>0</v>
      </c>
      <c r="BE151" s="85">
        <v>1</v>
      </c>
      <c r="BF151" s="85">
        <v>0</v>
      </c>
      <c r="BG151" s="85">
        <v>0</v>
      </c>
      <c r="BH151" s="19">
        <v>0</v>
      </c>
      <c r="BI151" s="71"/>
      <c r="BJ151" s="71"/>
      <c r="BK151" s="71">
        <f t="shared" si="62"/>
        <v>92.176238572378367</v>
      </c>
      <c r="BL151" s="18">
        <v>1</v>
      </c>
      <c r="BM151" s="71"/>
      <c r="BN151" s="71"/>
      <c r="BO151" s="71">
        <f t="shared" si="63"/>
        <v>92.606326748686826</v>
      </c>
      <c r="BP151" s="18">
        <v>2</v>
      </c>
      <c r="BQ151" s="71"/>
      <c r="BR151" s="71"/>
      <c r="BS151" s="138">
        <f t="shared" si="64"/>
        <v>113.86671101544545</v>
      </c>
      <c r="BT151" s="18">
        <v>2</v>
      </c>
      <c r="BU151" s="71"/>
      <c r="BV151" s="71"/>
      <c r="BW151" s="71">
        <f t="shared" si="65"/>
        <v>102.51956289746849</v>
      </c>
      <c r="BX151" s="85">
        <v>1</v>
      </c>
      <c r="BY151" s="18">
        <v>0</v>
      </c>
      <c r="BZ151" s="71"/>
      <c r="CA151" s="71"/>
      <c r="CB151" s="71">
        <f t="shared" si="66"/>
        <v>81.489316531761531</v>
      </c>
      <c r="CC151" s="18">
        <v>0</v>
      </c>
      <c r="CD151" s="71"/>
      <c r="CE151" s="71"/>
      <c r="CF151" s="71">
        <f t="shared" si="67"/>
        <v>81.842287242964616</v>
      </c>
      <c r="CG151" s="18">
        <v>1</v>
      </c>
      <c r="CH151" s="71"/>
      <c r="CI151" s="71"/>
      <c r="CJ151" s="138">
        <f t="shared" si="68"/>
        <v>103.93736139675698</v>
      </c>
      <c r="CK151" s="18">
        <v>3</v>
      </c>
      <c r="CL151" s="71"/>
      <c r="CM151" s="71"/>
      <c r="CN151" s="71">
        <f t="shared" si="69"/>
        <v>109.82624001207998</v>
      </c>
      <c r="CO151" s="94">
        <v>0</v>
      </c>
      <c r="CP151" s="94">
        <v>1</v>
      </c>
      <c r="CQ151" s="94">
        <v>1</v>
      </c>
      <c r="CR151" s="94">
        <v>0</v>
      </c>
      <c r="CS151" s="102">
        <f t="shared" si="70"/>
        <v>97.139184510719815</v>
      </c>
      <c r="CT151" s="102">
        <f t="shared" si="71"/>
        <v>9.1459057402251833</v>
      </c>
      <c r="CU151" s="102">
        <f t="shared" si="72"/>
        <v>9.4152589259341418E-2</v>
      </c>
      <c r="CV151" s="108">
        <f t="shared" si="73"/>
        <v>96.278073804155738</v>
      </c>
      <c r="CZ151" s="109" t="str">
        <f t="shared" si="74"/>
        <v>Medio-Basso</v>
      </c>
    </row>
    <row r="152" spans="1:104" x14ac:dyDescent="0.15">
      <c r="A152" s="84">
        <v>3</v>
      </c>
      <c r="B152" s="84">
        <v>2</v>
      </c>
      <c r="C152" s="84">
        <v>4</v>
      </c>
      <c r="D152" s="84">
        <v>1</v>
      </c>
      <c r="E152" s="85">
        <v>1</v>
      </c>
      <c r="F152" s="17">
        <v>2</v>
      </c>
      <c r="I152" s="64">
        <f t="shared" si="50"/>
        <v>109.85726154139888</v>
      </c>
      <c r="J152" s="17">
        <v>0</v>
      </c>
      <c r="M152" s="64">
        <f t="shared" si="51"/>
        <v>81.388754033628004</v>
      </c>
      <c r="N152" s="17">
        <v>0</v>
      </c>
      <c r="Q152" s="64">
        <f t="shared" si="52"/>
        <v>82.559365058495843</v>
      </c>
      <c r="R152" s="17">
        <v>0</v>
      </c>
      <c r="U152" s="64">
        <f t="shared" si="53"/>
        <v>81.845132506151486</v>
      </c>
      <c r="V152" s="17">
        <v>1</v>
      </c>
      <c r="Y152" s="114">
        <f t="shared" si="54"/>
        <v>91.426614478012453</v>
      </c>
      <c r="Z152" s="17">
        <v>3</v>
      </c>
      <c r="AC152" s="64">
        <f t="shared" si="55"/>
        <v>109.50350141641081</v>
      </c>
      <c r="AD152" s="25">
        <v>3</v>
      </c>
      <c r="AE152" s="71"/>
      <c r="AF152" s="71"/>
      <c r="AG152" s="71">
        <f t="shared" si="56"/>
        <v>109.20703006144345</v>
      </c>
      <c r="AH152" s="17">
        <v>1</v>
      </c>
      <c r="AK152" s="64">
        <f t="shared" si="57"/>
        <v>88.599296441923855</v>
      </c>
      <c r="AL152" s="17">
        <v>3</v>
      </c>
      <c r="AM152" s="71"/>
      <c r="AN152" s="71"/>
      <c r="AO152" s="71">
        <f t="shared" si="58"/>
        <v>100.85056924463234</v>
      </c>
      <c r="AP152" s="17">
        <v>3</v>
      </c>
      <c r="AQ152" s="71"/>
      <c r="AR152" s="71"/>
      <c r="AS152" s="71">
        <f t="shared" si="59"/>
        <v>110.12341030651692</v>
      </c>
      <c r="AT152" s="17">
        <v>0</v>
      </c>
      <c r="AU152" s="71"/>
      <c r="AV152" s="71"/>
      <c r="AW152" s="71">
        <f t="shared" si="60"/>
        <v>89.214252251088965</v>
      </c>
      <c r="AX152" s="17">
        <v>2</v>
      </c>
      <c r="AY152" s="71"/>
      <c r="AZ152" s="71"/>
      <c r="BA152" s="71">
        <f t="shared" si="61"/>
        <v>100.92776194547928</v>
      </c>
      <c r="BB152" s="84">
        <v>0</v>
      </c>
      <c r="BC152" s="84">
        <v>0</v>
      </c>
      <c r="BD152" s="84">
        <v>1</v>
      </c>
      <c r="BE152" s="84">
        <v>1</v>
      </c>
      <c r="BF152" s="84">
        <v>0</v>
      </c>
      <c r="BG152" s="84">
        <v>0</v>
      </c>
      <c r="BH152" s="20">
        <v>0</v>
      </c>
      <c r="BI152" s="71"/>
      <c r="BJ152" s="71"/>
      <c r="BK152" s="71">
        <f t="shared" si="62"/>
        <v>92.176238572378367</v>
      </c>
      <c r="BL152" s="17">
        <v>0</v>
      </c>
      <c r="BM152" s="71"/>
      <c r="BN152" s="71"/>
      <c r="BO152" s="71">
        <f t="shared" si="63"/>
        <v>83.261163531413686</v>
      </c>
      <c r="BP152" s="17">
        <v>0</v>
      </c>
      <c r="BQ152" s="71"/>
      <c r="BR152" s="71"/>
      <c r="BS152" s="138">
        <f t="shared" si="64"/>
        <v>86.456710815818582</v>
      </c>
      <c r="BT152" s="17">
        <v>1</v>
      </c>
      <c r="BU152" s="71"/>
      <c r="BV152" s="71"/>
      <c r="BW152" s="71">
        <f t="shared" si="65"/>
        <v>93.001214173698628</v>
      </c>
      <c r="BX152" s="84">
        <v>2</v>
      </c>
      <c r="BY152" s="17">
        <v>1</v>
      </c>
      <c r="BZ152" s="71"/>
      <c r="CA152" s="71"/>
      <c r="CB152" s="71">
        <f t="shared" si="66"/>
        <v>91.01069683312474</v>
      </c>
      <c r="CC152" s="17">
        <v>1</v>
      </c>
      <c r="CD152" s="71"/>
      <c r="CE152" s="71"/>
      <c r="CF152" s="71">
        <f t="shared" si="67"/>
        <v>91.015574519921572</v>
      </c>
      <c r="CG152" s="17">
        <v>1</v>
      </c>
      <c r="CH152" s="71"/>
      <c r="CI152" s="71"/>
      <c r="CJ152" s="138">
        <f t="shared" si="68"/>
        <v>103.93736139675698</v>
      </c>
      <c r="CK152" s="17">
        <v>2</v>
      </c>
      <c r="CL152" s="71"/>
      <c r="CM152" s="71"/>
      <c r="CN152" s="71">
        <f t="shared" si="69"/>
        <v>100.22589057499034</v>
      </c>
      <c r="CO152" s="93">
        <v>0</v>
      </c>
      <c r="CP152" s="93">
        <v>0</v>
      </c>
      <c r="CQ152" s="93">
        <v>0</v>
      </c>
      <c r="CR152" s="93">
        <v>1</v>
      </c>
      <c r="CS152" s="102">
        <f t="shared" si="70"/>
        <v>94.986300765452782</v>
      </c>
      <c r="CT152" s="102">
        <f t="shared" si="71"/>
        <v>10.390531621160649</v>
      </c>
      <c r="CU152" s="102">
        <f t="shared" si="72"/>
        <v>0.10938979134283501</v>
      </c>
      <c r="CV152" s="108">
        <f t="shared" si="73"/>
        <v>93.849682679472892</v>
      </c>
      <c r="CZ152" s="109" t="str">
        <f t="shared" si="74"/>
        <v>Basso</v>
      </c>
    </row>
    <row r="153" spans="1:104" x14ac:dyDescent="0.15">
      <c r="A153" s="85">
        <v>2</v>
      </c>
      <c r="B153" s="85">
        <v>1</v>
      </c>
      <c r="C153" s="85">
        <v>3</v>
      </c>
      <c r="D153" s="85">
        <v>1</v>
      </c>
      <c r="E153" s="85">
        <v>1</v>
      </c>
      <c r="F153" s="18">
        <v>2</v>
      </c>
      <c r="I153" s="64">
        <f t="shared" si="50"/>
        <v>109.85726154139888</v>
      </c>
      <c r="J153" s="18">
        <v>0</v>
      </c>
      <c r="M153" s="64">
        <f t="shared" si="51"/>
        <v>81.388754033628004</v>
      </c>
      <c r="N153" s="18">
        <v>0</v>
      </c>
      <c r="Q153" s="64">
        <f t="shared" si="52"/>
        <v>82.559365058495843</v>
      </c>
      <c r="R153" s="18">
        <v>1</v>
      </c>
      <c r="U153" s="64">
        <f t="shared" si="53"/>
        <v>91.596562123700451</v>
      </c>
      <c r="V153" s="18">
        <v>2</v>
      </c>
      <c r="Y153" s="114">
        <f t="shared" si="54"/>
        <v>97.875621286587162</v>
      </c>
      <c r="Z153" s="18">
        <v>3</v>
      </c>
      <c r="AC153" s="64">
        <f t="shared" si="55"/>
        <v>109.50350141641081</v>
      </c>
      <c r="AD153" s="24">
        <v>3</v>
      </c>
      <c r="AE153" s="71"/>
      <c r="AF153" s="71"/>
      <c r="AG153" s="71">
        <f t="shared" si="56"/>
        <v>109.20703006144345</v>
      </c>
      <c r="AH153" s="18">
        <v>1</v>
      </c>
      <c r="AK153" s="64">
        <f t="shared" si="57"/>
        <v>88.599296441923855</v>
      </c>
      <c r="AL153" s="18">
        <v>3</v>
      </c>
      <c r="AM153" s="71"/>
      <c r="AN153" s="71"/>
      <c r="AO153" s="71">
        <f t="shared" si="58"/>
        <v>100.85056924463234</v>
      </c>
      <c r="AP153" s="18">
        <v>3</v>
      </c>
      <c r="AQ153" s="71"/>
      <c r="AR153" s="71"/>
      <c r="AS153" s="71">
        <f t="shared" si="59"/>
        <v>110.12341030651692</v>
      </c>
      <c r="AT153" s="18">
        <v>1</v>
      </c>
      <c r="AU153" s="71"/>
      <c r="AV153" s="71"/>
      <c r="AW153" s="71">
        <f t="shared" si="60"/>
        <v>100.0638209925971</v>
      </c>
      <c r="AX153" s="18">
        <v>2</v>
      </c>
      <c r="AY153" s="71"/>
      <c r="AZ153" s="71"/>
      <c r="BA153" s="71">
        <f t="shared" si="61"/>
        <v>100.92776194547928</v>
      </c>
      <c r="BB153" s="85">
        <v>0</v>
      </c>
      <c r="BC153" s="85">
        <v>0</v>
      </c>
      <c r="BD153" s="85">
        <v>1</v>
      </c>
      <c r="BE153" s="85">
        <v>0</v>
      </c>
      <c r="BF153" s="85">
        <v>0</v>
      </c>
      <c r="BG153" s="85">
        <v>0</v>
      </c>
      <c r="BH153" s="19">
        <v>0</v>
      </c>
      <c r="BI153" s="71"/>
      <c r="BJ153" s="71"/>
      <c r="BK153" s="71">
        <f t="shared" si="62"/>
        <v>92.176238572378367</v>
      </c>
      <c r="BL153" s="18">
        <v>0</v>
      </c>
      <c r="BM153" s="71"/>
      <c r="BN153" s="71"/>
      <c r="BO153" s="71">
        <f t="shared" si="63"/>
        <v>83.261163531413686</v>
      </c>
      <c r="BP153" s="18">
        <v>0</v>
      </c>
      <c r="BQ153" s="71"/>
      <c r="BR153" s="71"/>
      <c r="BS153" s="138">
        <f t="shared" si="64"/>
        <v>86.456710815818582</v>
      </c>
      <c r="BT153" s="18">
        <v>0</v>
      </c>
      <c r="BU153" s="71"/>
      <c r="BV153" s="71"/>
      <c r="BW153" s="71">
        <f t="shared" si="65"/>
        <v>83.482865449928767</v>
      </c>
      <c r="BX153" s="85">
        <v>0</v>
      </c>
      <c r="BY153" s="18">
        <v>2</v>
      </c>
      <c r="BZ153" s="71"/>
      <c r="CA153" s="71"/>
      <c r="CB153" s="71">
        <f t="shared" si="66"/>
        <v>100.53207713448795</v>
      </c>
      <c r="CC153" s="18">
        <v>2</v>
      </c>
      <c r="CD153" s="71"/>
      <c r="CE153" s="71"/>
      <c r="CF153" s="71">
        <f t="shared" si="67"/>
        <v>100.18886179687853</v>
      </c>
      <c r="CG153" s="18">
        <v>0</v>
      </c>
      <c r="CH153" s="71"/>
      <c r="CI153" s="71"/>
      <c r="CJ153" s="138">
        <f t="shared" si="68"/>
        <v>89.226340793489143</v>
      </c>
      <c r="CK153" s="18">
        <v>2</v>
      </c>
      <c r="CL153" s="71"/>
      <c r="CM153" s="71"/>
      <c r="CN153" s="71">
        <f t="shared" si="69"/>
        <v>100.22589057499034</v>
      </c>
      <c r="CO153" s="94">
        <v>0</v>
      </c>
      <c r="CP153" s="94">
        <v>0</v>
      </c>
      <c r="CQ153" s="94">
        <v>0</v>
      </c>
      <c r="CR153" s="94">
        <v>1</v>
      </c>
      <c r="CS153" s="102">
        <f t="shared" si="70"/>
        <v>96.73790766037088</v>
      </c>
      <c r="CT153" s="102">
        <f t="shared" si="71"/>
        <v>10.189318962723632</v>
      </c>
      <c r="CU153" s="102">
        <f t="shared" si="72"/>
        <v>0.10532912287597195</v>
      </c>
      <c r="CV153" s="108">
        <f t="shared" si="73"/>
        <v>95.664675631323689</v>
      </c>
      <c r="CZ153" s="109" t="str">
        <f t="shared" si="74"/>
        <v>Basso</v>
      </c>
    </row>
    <row r="154" spans="1:104" x14ac:dyDescent="0.15">
      <c r="A154" s="84">
        <v>4</v>
      </c>
      <c r="B154" s="84">
        <v>2</v>
      </c>
      <c r="C154" s="84">
        <v>1</v>
      </c>
      <c r="D154" s="84">
        <v>2</v>
      </c>
      <c r="E154" s="85">
        <v>1</v>
      </c>
      <c r="F154" s="17">
        <v>2</v>
      </c>
      <c r="I154" s="64">
        <f t="shared" si="50"/>
        <v>109.85726154139888</v>
      </c>
      <c r="J154" s="17">
        <v>1</v>
      </c>
      <c r="M154" s="64">
        <f t="shared" si="51"/>
        <v>95.705097084683388</v>
      </c>
      <c r="N154" s="17">
        <v>0</v>
      </c>
      <c r="Q154" s="64">
        <f t="shared" si="52"/>
        <v>82.559365058495843</v>
      </c>
      <c r="R154" s="17">
        <v>1</v>
      </c>
      <c r="U154" s="64">
        <f t="shared" si="53"/>
        <v>91.596562123700451</v>
      </c>
      <c r="V154" s="17">
        <v>4</v>
      </c>
      <c r="Y154" s="114">
        <f t="shared" si="54"/>
        <v>110.77363490373656</v>
      </c>
      <c r="Z154" s="17">
        <v>3</v>
      </c>
      <c r="AC154" s="64">
        <f t="shared" si="55"/>
        <v>109.50350141641081</v>
      </c>
      <c r="AD154" s="25">
        <v>0</v>
      </c>
      <c r="AE154" s="71"/>
      <c r="AF154" s="71"/>
      <c r="AG154" s="71">
        <f t="shared" si="56"/>
        <v>84.62281366701329</v>
      </c>
      <c r="AH154" s="17">
        <v>0</v>
      </c>
      <c r="AK154" s="64">
        <f t="shared" si="57"/>
        <v>77.680312752498807</v>
      </c>
      <c r="AL154" s="17">
        <v>3</v>
      </c>
      <c r="AM154" s="71"/>
      <c r="AN154" s="71"/>
      <c r="AO154" s="71">
        <f t="shared" si="58"/>
        <v>100.85056924463234</v>
      </c>
      <c r="AP154" s="17">
        <v>0</v>
      </c>
      <c r="AQ154" s="71"/>
      <c r="AR154" s="71"/>
      <c r="AS154" s="71">
        <f t="shared" si="59"/>
        <v>79.482821248216453</v>
      </c>
      <c r="AT154" s="17">
        <v>0</v>
      </c>
      <c r="AU154" s="71"/>
      <c r="AV154" s="71"/>
      <c r="AW154" s="71">
        <f t="shared" si="60"/>
        <v>89.214252251088965</v>
      </c>
      <c r="AX154" s="17">
        <v>2</v>
      </c>
      <c r="AY154" s="71"/>
      <c r="AZ154" s="71"/>
      <c r="BA154" s="71">
        <f t="shared" si="61"/>
        <v>100.92776194547928</v>
      </c>
      <c r="BB154" s="84">
        <v>1</v>
      </c>
      <c r="BC154" s="84">
        <v>0</v>
      </c>
      <c r="BD154" s="84">
        <v>1</v>
      </c>
      <c r="BE154" s="84">
        <v>0</v>
      </c>
      <c r="BF154" s="84">
        <v>0</v>
      </c>
      <c r="BG154" s="84">
        <v>0</v>
      </c>
      <c r="BH154" s="20">
        <v>0</v>
      </c>
      <c r="BI154" s="71"/>
      <c r="BJ154" s="71"/>
      <c r="BK154" s="71">
        <f t="shared" si="62"/>
        <v>92.176238572378367</v>
      </c>
      <c r="BL154" s="17">
        <v>2</v>
      </c>
      <c r="BM154" s="71"/>
      <c r="BN154" s="71"/>
      <c r="BO154" s="71">
        <f t="shared" si="63"/>
        <v>101.95148996595998</v>
      </c>
      <c r="BP154" s="17">
        <v>0</v>
      </c>
      <c r="BQ154" s="71"/>
      <c r="BR154" s="71"/>
      <c r="BS154" s="138">
        <f t="shared" si="64"/>
        <v>86.456710815818582</v>
      </c>
      <c r="BT154" s="17">
        <v>0</v>
      </c>
      <c r="BU154" s="71"/>
      <c r="BV154" s="71"/>
      <c r="BW154" s="71">
        <f t="shared" si="65"/>
        <v>83.482865449928767</v>
      </c>
      <c r="BX154" s="84">
        <v>2</v>
      </c>
      <c r="BY154" s="17">
        <v>1</v>
      </c>
      <c r="BZ154" s="71"/>
      <c r="CA154" s="71"/>
      <c r="CB154" s="71">
        <f t="shared" si="66"/>
        <v>91.01069683312474</v>
      </c>
      <c r="CC154" s="17">
        <v>0</v>
      </c>
      <c r="CD154" s="71"/>
      <c r="CE154" s="71"/>
      <c r="CF154" s="71">
        <f t="shared" si="67"/>
        <v>81.842287242964616</v>
      </c>
      <c r="CG154" s="17">
        <v>0</v>
      </c>
      <c r="CH154" s="71"/>
      <c r="CI154" s="71"/>
      <c r="CJ154" s="138">
        <f t="shared" si="68"/>
        <v>89.226340793489143</v>
      </c>
      <c r="CK154" s="17">
        <v>0</v>
      </c>
      <c r="CL154" s="71"/>
      <c r="CM154" s="71"/>
      <c r="CN154" s="71">
        <f t="shared" si="69"/>
        <v>81.025191700811078</v>
      </c>
      <c r="CO154" s="93">
        <v>0</v>
      </c>
      <c r="CP154" s="93">
        <v>0</v>
      </c>
      <c r="CQ154" s="93">
        <v>0</v>
      </c>
      <c r="CR154" s="93">
        <v>1</v>
      </c>
      <c r="CS154" s="102">
        <f t="shared" si="70"/>
        <v>91.381711064634487</v>
      </c>
      <c r="CT154" s="102">
        <f t="shared" si="71"/>
        <v>10.307566124017425</v>
      </c>
      <c r="CU154" s="102">
        <f t="shared" si="72"/>
        <v>0.11279681682395792</v>
      </c>
      <c r="CV154" s="108">
        <f t="shared" si="73"/>
        <v>90.219050416642858</v>
      </c>
      <c r="CZ154" s="109" t="str">
        <f t="shared" si="74"/>
        <v>Basso</v>
      </c>
    </row>
    <row r="155" spans="1:104" x14ac:dyDescent="0.15">
      <c r="A155" s="85">
        <v>3</v>
      </c>
      <c r="B155" s="85">
        <v>1</v>
      </c>
      <c r="C155" s="85">
        <v>4</v>
      </c>
      <c r="D155" s="85">
        <v>2</v>
      </c>
      <c r="E155" s="85">
        <v>1</v>
      </c>
      <c r="F155" s="18">
        <v>2</v>
      </c>
      <c r="I155" s="64">
        <f t="shared" si="50"/>
        <v>109.85726154139888</v>
      </c>
      <c r="J155" s="18">
        <v>2</v>
      </c>
      <c r="M155" s="64">
        <f t="shared" si="51"/>
        <v>110.02144013573877</v>
      </c>
      <c r="N155" s="18">
        <v>2</v>
      </c>
      <c r="Q155" s="64">
        <f t="shared" si="52"/>
        <v>113.93405225485253</v>
      </c>
      <c r="R155" s="18">
        <v>3</v>
      </c>
      <c r="U155" s="64">
        <f t="shared" si="53"/>
        <v>111.09942135879838</v>
      </c>
      <c r="V155" s="18">
        <v>0</v>
      </c>
      <c r="Y155" s="114">
        <f t="shared" si="54"/>
        <v>84.977607669437745</v>
      </c>
      <c r="Z155" s="18">
        <v>2</v>
      </c>
      <c r="AC155" s="64">
        <f t="shared" si="55"/>
        <v>101.50550517487696</v>
      </c>
      <c r="AD155" s="24">
        <v>3</v>
      </c>
      <c r="AE155" s="71"/>
      <c r="AF155" s="71"/>
      <c r="AG155" s="71">
        <f t="shared" si="56"/>
        <v>109.20703006144345</v>
      </c>
      <c r="AH155" s="18">
        <v>3</v>
      </c>
      <c r="AK155" s="64">
        <f t="shared" si="57"/>
        <v>110.43726382077395</v>
      </c>
      <c r="AL155" s="18">
        <v>3</v>
      </c>
      <c r="AM155" s="71"/>
      <c r="AN155" s="71"/>
      <c r="AO155" s="71">
        <f t="shared" si="58"/>
        <v>100.85056924463234</v>
      </c>
      <c r="AP155" s="18">
        <v>3</v>
      </c>
      <c r="AQ155" s="71"/>
      <c r="AR155" s="71"/>
      <c r="AS155" s="71">
        <f t="shared" si="59"/>
        <v>110.12341030651692</v>
      </c>
      <c r="AT155" s="18">
        <v>2</v>
      </c>
      <c r="AU155" s="71"/>
      <c r="AV155" s="71"/>
      <c r="AW155" s="71">
        <f t="shared" si="60"/>
        <v>110.91338973410525</v>
      </c>
      <c r="AX155" s="18">
        <v>3</v>
      </c>
      <c r="AY155" s="71"/>
      <c r="AZ155" s="71"/>
      <c r="BA155" s="71">
        <f t="shared" si="61"/>
        <v>111.80497096144313</v>
      </c>
      <c r="BB155" s="85">
        <v>1</v>
      </c>
      <c r="BC155" s="85">
        <v>0</v>
      </c>
      <c r="BD155" s="85">
        <v>1</v>
      </c>
      <c r="BE155" s="85">
        <v>0</v>
      </c>
      <c r="BF155" s="85">
        <v>0</v>
      </c>
      <c r="BG155" s="85">
        <v>0</v>
      </c>
      <c r="BH155" s="19">
        <v>2</v>
      </c>
      <c r="BI155" s="71"/>
      <c r="BJ155" s="71"/>
      <c r="BK155" s="71">
        <f t="shared" si="62"/>
        <v>114.81520780975161</v>
      </c>
      <c r="BL155" s="18">
        <v>3</v>
      </c>
      <c r="BM155" s="71"/>
      <c r="BN155" s="71"/>
      <c r="BO155" s="71">
        <f t="shared" si="63"/>
        <v>111.29665318323313</v>
      </c>
      <c r="BP155" s="18">
        <v>1</v>
      </c>
      <c r="BQ155" s="71"/>
      <c r="BR155" s="71"/>
      <c r="BS155" s="138">
        <f t="shared" si="64"/>
        <v>100.16171091563201</v>
      </c>
      <c r="BT155" s="18">
        <v>3</v>
      </c>
      <c r="BU155" s="71"/>
      <c r="BV155" s="71"/>
      <c r="BW155" s="71">
        <f t="shared" si="65"/>
        <v>112.03791162123835</v>
      </c>
      <c r="BX155" s="85">
        <v>2</v>
      </c>
      <c r="BY155" s="18">
        <v>2</v>
      </c>
      <c r="BZ155" s="71"/>
      <c r="CA155" s="71"/>
      <c r="CB155" s="71">
        <f t="shared" si="66"/>
        <v>100.53207713448795</v>
      </c>
      <c r="CC155" s="18">
        <v>3</v>
      </c>
      <c r="CD155" s="71"/>
      <c r="CE155" s="71"/>
      <c r="CF155" s="71">
        <f t="shared" si="67"/>
        <v>109.36214907383548</v>
      </c>
      <c r="CG155" s="18">
        <v>1</v>
      </c>
      <c r="CH155" s="71"/>
      <c r="CI155" s="71"/>
      <c r="CJ155" s="138">
        <f t="shared" si="68"/>
        <v>103.93736139675698</v>
      </c>
      <c r="CK155" s="18">
        <v>3</v>
      </c>
      <c r="CL155" s="71"/>
      <c r="CM155" s="71"/>
      <c r="CN155" s="71">
        <f t="shared" si="69"/>
        <v>109.82624001207998</v>
      </c>
      <c r="CO155" s="94">
        <v>1</v>
      </c>
      <c r="CP155" s="94">
        <v>1</v>
      </c>
      <c r="CQ155" s="94">
        <v>0</v>
      </c>
      <c r="CR155" s="94">
        <v>0</v>
      </c>
      <c r="CS155" s="102">
        <f t="shared" si="70"/>
        <v>109.27203255465925</v>
      </c>
      <c r="CT155" s="102">
        <f t="shared" si="71"/>
        <v>4.239638788821229</v>
      </c>
      <c r="CU155" s="102">
        <f t="shared" si="72"/>
        <v>3.8798937749240717E-2</v>
      </c>
      <c r="CV155" s="108">
        <f t="shared" si="73"/>
        <v>109.10753907321251</v>
      </c>
      <c r="CZ155" s="109" t="str">
        <f t="shared" si="74"/>
        <v>Alto</v>
      </c>
    </row>
    <row r="156" spans="1:104" x14ac:dyDescent="0.15">
      <c r="A156" s="84">
        <v>3</v>
      </c>
      <c r="B156" s="84">
        <v>2</v>
      </c>
      <c r="C156" s="84">
        <v>3</v>
      </c>
      <c r="D156" s="84">
        <v>2</v>
      </c>
      <c r="E156" s="85">
        <v>1</v>
      </c>
      <c r="F156" s="17">
        <v>2</v>
      </c>
      <c r="I156" s="64">
        <f t="shared" si="50"/>
        <v>109.85726154139888</v>
      </c>
      <c r="J156" s="17">
        <v>1</v>
      </c>
      <c r="M156" s="64">
        <f t="shared" si="51"/>
        <v>95.705097084683388</v>
      </c>
      <c r="N156" s="17">
        <v>1</v>
      </c>
      <c r="Q156" s="64">
        <f t="shared" si="52"/>
        <v>98.246708656674187</v>
      </c>
      <c r="R156" s="17">
        <v>3</v>
      </c>
      <c r="U156" s="64">
        <f t="shared" si="53"/>
        <v>111.09942135879838</v>
      </c>
      <c r="V156" s="17">
        <v>0</v>
      </c>
      <c r="Y156" s="114">
        <f t="shared" si="54"/>
        <v>84.977607669437745</v>
      </c>
      <c r="Z156" s="17">
        <v>3</v>
      </c>
      <c r="AC156" s="64">
        <f t="shared" si="55"/>
        <v>109.50350141641081</v>
      </c>
      <c r="AD156" s="25">
        <v>0</v>
      </c>
      <c r="AE156" s="71"/>
      <c r="AF156" s="71"/>
      <c r="AG156" s="71">
        <f t="shared" si="56"/>
        <v>84.62281366701329</v>
      </c>
      <c r="AH156" s="17">
        <v>2</v>
      </c>
      <c r="AK156" s="64">
        <f t="shared" si="57"/>
        <v>99.518280131348902</v>
      </c>
      <c r="AL156" s="17">
        <v>0</v>
      </c>
      <c r="AM156" s="71"/>
      <c r="AN156" s="71"/>
      <c r="AO156" s="71">
        <f t="shared" si="58"/>
        <v>67.482083493671226</v>
      </c>
      <c r="AP156" s="17">
        <v>0</v>
      </c>
      <c r="AQ156" s="71"/>
      <c r="AR156" s="71"/>
      <c r="AS156" s="71">
        <f t="shared" si="59"/>
        <v>79.482821248216453</v>
      </c>
      <c r="AT156" s="17">
        <v>1</v>
      </c>
      <c r="AU156" s="71"/>
      <c r="AV156" s="71"/>
      <c r="AW156" s="71">
        <f t="shared" si="60"/>
        <v>100.0638209925971</v>
      </c>
      <c r="AX156" s="17">
        <v>1</v>
      </c>
      <c r="AY156" s="71"/>
      <c r="AZ156" s="71"/>
      <c r="BA156" s="71">
        <f t="shared" si="61"/>
        <v>90.050552929515405</v>
      </c>
      <c r="BB156" s="84">
        <v>0</v>
      </c>
      <c r="BC156" s="84">
        <v>0</v>
      </c>
      <c r="BD156" s="84">
        <v>1</v>
      </c>
      <c r="BE156" s="84">
        <v>1</v>
      </c>
      <c r="BF156" s="84">
        <v>0</v>
      </c>
      <c r="BG156" s="84">
        <v>0</v>
      </c>
      <c r="BH156" s="20">
        <v>0</v>
      </c>
      <c r="BI156" s="71"/>
      <c r="BJ156" s="71"/>
      <c r="BK156" s="71">
        <f t="shared" si="62"/>
        <v>92.176238572378367</v>
      </c>
      <c r="BL156" s="17">
        <v>3</v>
      </c>
      <c r="BM156" s="71"/>
      <c r="BN156" s="71"/>
      <c r="BO156" s="71">
        <f t="shared" si="63"/>
        <v>111.29665318323313</v>
      </c>
      <c r="BP156" s="17">
        <v>0</v>
      </c>
      <c r="BQ156" s="71"/>
      <c r="BR156" s="71"/>
      <c r="BS156" s="138">
        <f t="shared" si="64"/>
        <v>86.456710815818582</v>
      </c>
      <c r="BT156" s="17">
        <v>2</v>
      </c>
      <c r="BU156" s="71"/>
      <c r="BV156" s="71"/>
      <c r="BW156" s="71">
        <f t="shared" si="65"/>
        <v>102.51956289746849</v>
      </c>
      <c r="BX156" s="84">
        <v>0</v>
      </c>
      <c r="BY156" s="17">
        <v>3</v>
      </c>
      <c r="BZ156" s="71"/>
      <c r="CA156" s="71"/>
      <c r="CB156" s="71">
        <f t="shared" si="66"/>
        <v>110.05345743585116</v>
      </c>
      <c r="CC156" s="17">
        <v>2</v>
      </c>
      <c r="CD156" s="71"/>
      <c r="CE156" s="71"/>
      <c r="CF156" s="71">
        <f t="shared" si="67"/>
        <v>100.18886179687853</v>
      </c>
      <c r="CG156" s="17">
        <v>0</v>
      </c>
      <c r="CH156" s="71"/>
      <c r="CI156" s="71"/>
      <c r="CJ156" s="138">
        <f t="shared" si="68"/>
        <v>89.226340793489143</v>
      </c>
      <c r="CK156" s="17">
        <v>2</v>
      </c>
      <c r="CL156" s="71"/>
      <c r="CM156" s="71"/>
      <c r="CN156" s="71">
        <f t="shared" si="69"/>
        <v>100.22589057499034</v>
      </c>
      <c r="CO156" s="93">
        <v>0</v>
      </c>
      <c r="CP156" s="93">
        <v>1</v>
      </c>
      <c r="CQ156" s="93">
        <v>0</v>
      </c>
      <c r="CR156" s="93">
        <v>0</v>
      </c>
      <c r="CS156" s="102">
        <f t="shared" si="70"/>
        <v>97.770178057713409</v>
      </c>
      <c r="CT156" s="102">
        <f t="shared" si="71"/>
        <v>12.139968174979773</v>
      </c>
      <c r="CU156" s="102">
        <f t="shared" si="72"/>
        <v>0.12416841634279924</v>
      </c>
      <c r="CV156" s="108">
        <f t="shared" si="73"/>
        <v>96.262777434974183</v>
      </c>
      <c r="CZ156" s="109" t="str">
        <f t="shared" si="74"/>
        <v>Medio-Basso</v>
      </c>
    </row>
    <row r="157" spans="1:104" x14ac:dyDescent="0.15">
      <c r="A157" s="85">
        <v>5</v>
      </c>
      <c r="B157" s="85">
        <v>2</v>
      </c>
      <c r="C157" s="85">
        <v>3</v>
      </c>
      <c r="D157" s="85">
        <v>2</v>
      </c>
      <c r="E157" s="85">
        <v>1</v>
      </c>
      <c r="F157" s="18">
        <v>1</v>
      </c>
      <c r="I157" s="64">
        <f t="shared" si="50"/>
        <v>93.428492305734082</v>
      </c>
      <c r="J157" s="18">
        <v>1</v>
      </c>
      <c r="M157" s="64">
        <f t="shared" si="51"/>
        <v>95.705097084683388</v>
      </c>
      <c r="N157" s="18">
        <v>1</v>
      </c>
      <c r="Q157" s="64">
        <f t="shared" si="52"/>
        <v>98.246708656674187</v>
      </c>
      <c r="R157" s="18">
        <v>2</v>
      </c>
      <c r="U157" s="64">
        <f t="shared" si="53"/>
        <v>101.34799174124942</v>
      </c>
      <c r="V157" s="18">
        <v>2</v>
      </c>
      <c r="Y157" s="114">
        <f t="shared" si="54"/>
        <v>97.875621286587162</v>
      </c>
      <c r="Z157" s="18">
        <v>0</v>
      </c>
      <c r="AC157" s="64">
        <f t="shared" si="55"/>
        <v>85.509512691809249</v>
      </c>
      <c r="AD157" s="24">
        <v>2</v>
      </c>
      <c r="AE157" s="71"/>
      <c r="AF157" s="71"/>
      <c r="AG157" s="71">
        <f t="shared" si="56"/>
        <v>101.01229126330007</v>
      </c>
      <c r="AH157" s="18">
        <v>2</v>
      </c>
      <c r="AK157" s="64">
        <f t="shared" si="57"/>
        <v>99.518280131348902</v>
      </c>
      <c r="AL157" s="18">
        <v>3</v>
      </c>
      <c r="AM157" s="71"/>
      <c r="AN157" s="71"/>
      <c r="AO157" s="71">
        <f t="shared" si="58"/>
        <v>100.85056924463234</v>
      </c>
      <c r="AP157" s="18">
        <v>0</v>
      </c>
      <c r="AQ157" s="71"/>
      <c r="AR157" s="71"/>
      <c r="AS157" s="71">
        <f t="shared" si="59"/>
        <v>79.482821248216453</v>
      </c>
      <c r="AT157" s="18">
        <v>0</v>
      </c>
      <c r="AU157" s="71"/>
      <c r="AV157" s="71"/>
      <c r="AW157" s="71">
        <f t="shared" si="60"/>
        <v>89.214252251088965</v>
      </c>
      <c r="AX157" s="18">
        <v>2</v>
      </c>
      <c r="AY157" s="71"/>
      <c r="AZ157" s="71"/>
      <c r="BA157" s="71">
        <f t="shared" si="61"/>
        <v>100.92776194547928</v>
      </c>
      <c r="BB157" s="85">
        <v>1</v>
      </c>
      <c r="BC157" s="85">
        <v>0</v>
      </c>
      <c r="BD157" s="85">
        <v>1</v>
      </c>
      <c r="BE157" s="85">
        <v>0</v>
      </c>
      <c r="BF157" s="85">
        <v>0</v>
      </c>
      <c r="BG157" s="85">
        <v>0</v>
      </c>
      <c r="BH157" s="19">
        <v>0</v>
      </c>
      <c r="BI157" s="71"/>
      <c r="BJ157" s="71"/>
      <c r="BK157" s="71">
        <f t="shared" si="62"/>
        <v>92.176238572378367</v>
      </c>
      <c r="BL157" s="18">
        <v>1</v>
      </c>
      <c r="BM157" s="71"/>
      <c r="BN157" s="71"/>
      <c r="BO157" s="71">
        <f t="shared" si="63"/>
        <v>92.606326748686826</v>
      </c>
      <c r="BP157" s="18">
        <v>1</v>
      </c>
      <c r="BQ157" s="71"/>
      <c r="BR157" s="71"/>
      <c r="BS157" s="138">
        <f t="shared" si="64"/>
        <v>100.16171091563201</v>
      </c>
      <c r="BT157" s="18">
        <v>3</v>
      </c>
      <c r="BU157" s="71"/>
      <c r="BV157" s="71"/>
      <c r="BW157" s="71">
        <f t="shared" si="65"/>
        <v>112.03791162123835</v>
      </c>
      <c r="BX157" s="85">
        <v>2</v>
      </c>
      <c r="BY157" s="18">
        <v>2</v>
      </c>
      <c r="BZ157" s="71"/>
      <c r="CA157" s="71"/>
      <c r="CB157" s="71">
        <f t="shared" si="66"/>
        <v>100.53207713448795</v>
      </c>
      <c r="CC157" s="18">
        <v>2</v>
      </c>
      <c r="CD157" s="71"/>
      <c r="CE157" s="71"/>
      <c r="CF157" s="71">
        <f t="shared" si="67"/>
        <v>100.18886179687853</v>
      </c>
      <c r="CG157" s="18">
        <v>2</v>
      </c>
      <c r="CH157" s="71"/>
      <c r="CI157" s="71"/>
      <c r="CJ157" s="138">
        <f t="shared" si="68"/>
        <v>118.64838200002481</v>
      </c>
      <c r="CK157" s="18">
        <v>2</v>
      </c>
      <c r="CL157" s="71"/>
      <c r="CM157" s="71"/>
      <c r="CN157" s="71">
        <f t="shared" si="69"/>
        <v>100.22589057499034</v>
      </c>
      <c r="CO157" s="94">
        <v>1</v>
      </c>
      <c r="CP157" s="94">
        <v>1</v>
      </c>
      <c r="CQ157" s="94">
        <v>0</v>
      </c>
      <c r="CR157" s="94">
        <v>0</v>
      </c>
      <c r="CS157" s="102">
        <f t="shared" si="70"/>
        <v>96.647710883110392</v>
      </c>
      <c r="CT157" s="102">
        <f t="shared" si="71"/>
        <v>7.4445435580333275</v>
      </c>
      <c r="CU157" s="102">
        <f t="shared" si="72"/>
        <v>7.7027624244893456E-2</v>
      </c>
      <c r="CV157" s="108">
        <f t="shared" si="73"/>
        <v>96.074275379247453</v>
      </c>
      <c r="CZ157" s="109" t="str">
        <f t="shared" si="74"/>
        <v>Medio-Basso</v>
      </c>
    </row>
    <row r="158" spans="1:104" x14ac:dyDescent="0.15">
      <c r="A158" s="84">
        <v>2</v>
      </c>
      <c r="B158" s="84">
        <v>2</v>
      </c>
      <c r="C158" s="84">
        <v>3</v>
      </c>
      <c r="D158" s="84">
        <v>2</v>
      </c>
      <c r="E158" s="85">
        <v>1</v>
      </c>
      <c r="F158" s="17">
        <v>2</v>
      </c>
      <c r="I158" s="64">
        <f t="shared" si="50"/>
        <v>109.85726154139888</v>
      </c>
      <c r="J158" s="17">
        <v>2</v>
      </c>
      <c r="M158" s="64">
        <f t="shared" si="51"/>
        <v>110.02144013573877</v>
      </c>
      <c r="N158" s="17">
        <v>0</v>
      </c>
      <c r="Q158" s="64">
        <f t="shared" si="52"/>
        <v>82.559365058495843</v>
      </c>
      <c r="R158" s="17">
        <v>0</v>
      </c>
      <c r="U158" s="64">
        <f t="shared" si="53"/>
        <v>81.845132506151486</v>
      </c>
      <c r="V158" s="17">
        <v>2</v>
      </c>
      <c r="Y158" s="114">
        <f t="shared" si="54"/>
        <v>97.875621286587162</v>
      </c>
      <c r="Z158" s="17">
        <v>3</v>
      </c>
      <c r="AC158" s="64">
        <f t="shared" si="55"/>
        <v>109.50350141641081</v>
      </c>
      <c r="AD158" s="25">
        <v>0</v>
      </c>
      <c r="AE158" s="71"/>
      <c r="AF158" s="71"/>
      <c r="AG158" s="71">
        <f t="shared" si="56"/>
        <v>84.62281366701329</v>
      </c>
      <c r="AH158" s="17">
        <v>0</v>
      </c>
      <c r="AK158" s="64">
        <f t="shared" si="57"/>
        <v>77.680312752498807</v>
      </c>
      <c r="AL158" s="17">
        <v>3</v>
      </c>
      <c r="AM158" s="71"/>
      <c r="AN158" s="71"/>
      <c r="AO158" s="71">
        <f t="shared" si="58"/>
        <v>100.85056924463234</v>
      </c>
      <c r="AP158" s="17">
        <v>0</v>
      </c>
      <c r="AQ158" s="71"/>
      <c r="AR158" s="71"/>
      <c r="AS158" s="71">
        <f t="shared" si="59"/>
        <v>79.482821248216453</v>
      </c>
      <c r="AT158" s="17">
        <v>0</v>
      </c>
      <c r="AU158" s="71"/>
      <c r="AV158" s="71"/>
      <c r="AW158" s="71">
        <f t="shared" si="60"/>
        <v>89.214252251088965</v>
      </c>
      <c r="AX158" s="17">
        <v>0</v>
      </c>
      <c r="AY158" s="71"/>
      <c r="AZ158" s="71"/>
      <c r="BA158" s="71">
        <f t="shared" si="61"/>
        <v>79.173343913551548</v>
      </c>
      <c r="BB158" s="84">
        <v>0</v>
      </c>
      <c r="BC158" s="84">
        <v>0</v>
      </c>
      <c r="BD158" s="84">
        <v>1</v>
      </c>
      <c r="BE158" s="84">
        <v>1</v>
      </c>
      <c r="BF158" s="84">
        <v>0</v>
      </c>
      <c r="BG158" s="84">
        <v>0</v>
      </c>
      <c r="BH158" s="20">
        <v>0</v>
      </c>
      <c r="BI158" s="71"/>
      <c r="BJ158" s="71"/>
      <c r="BK158" s="71">
        <f t="shared" si="62"/>
        <v>92.176238572378367</v>
      </c>
      <c r="BL158" s="17">
        <v>3</v>
      </c>
      <c r="BM158" s="71"/>
      <c r="BN158" s="71"/>
      <c r="BO158" s="71">
        <f t="shared" si="63"/>
        <v>111.29665318323313</v>
      </c>
      <c r="BP158" s="17">
        <v>0</v>
      </c>
      <c r="BQ158" s="71"/>
      <c r="BR158" s="71"/>
      <c r="BS158" s="138">
        <f t="shared" si="64"/>
        <v>86.456710815818582</v>
      </c>
      <c r="BT158" s="17">
        <v>0</v>
      </c>
      <c r="BU158" s="71"/>
      <c r="BV158" s="71"/>
      <c r="BW158" s="71">
        <f t="shared" si="65"/>
        <v>83.482865449928767</v>
      </c>
      <c r="BX158" s="84">
        <v>2</v>
      </c>
      <c r="BY158" s="17">
        <v>1</v>
      </c>
      <c r="BZ158" s="71"/>
      <c r="CA158" s="71"/>
      <c r="CB158" s="71">
        <f t="shared" si="66"/>
        <v>91.01069683312474</v>
      </c>
      <c r="CC158" s="17">
        <v>0</v>
      </c>
      <c r="CD158" s="71"/>
      <c r="CE158" s="71"/>
      <c r="CF158" s="71">
        <f t="shared" si="67"/>
        <v>81.842287242964616</v>
      </c>
      <c r="CG158" s="17">
        <v>0</v>
      </c>
      <c r="CH158" s="71"/>
      <c r="CI158" s="71"/>
      <c r="CJ158" s="138">
        <f t="shared" si="68"/>
        <v>89.226340793489143</v>
      </c>
      <c r="CK158" s="17">
        <v>2</v>
      </c>
      <c r="CL158" s="71"/>
      <c r="CM158" s="71"/>
      <c r="CN158" s="71">
        <f t="shared" si="69"/>
        <v>100.22589057499034</v>
      </c>
      <c r="CO158" s="93">
        <v>0</v>
      </c>
      <c r="CP158" s="93">
        <v>0</v>
      </c>
      <c r="CQ158" s="93">
        <v>0</v>
      </c>
      <c r="CR158" s="93">
        <v>1</v>
      </c>
      <c r="CS158" s="102">
        <f t="shared" si="70"/>
        <v>92.049732093636294</v>
      </c>
      <c r="CT158" s="102">
        <f t="shared" si="71"/>
        <v>12.313001969733103</v>
      </c>
      <c r="CU158" s="102">
        <f t="shared" si="72"/>
        <v>0.13376466926821551</v>
      </c>
      <c r="CV158" s="108">
        <f t="shared" si="73"/>
        <v>90.402687457456054</v>
      </c>
      <c r="CZ158" s="109" t="str">
        <f t="shared" si="74"/>
        <v>Basso</v>
      </c>
    </row>
    <row r="159" spans="1:104" x14ac:dyDescent="0.15">
      <c r="A159" s="85">
        <v>2</v>
      </c>
      <c r="B159" s="85">
        <v>0</v>
      </c>
      <c r="C159" s="85">
        <v>4</v>
      </c>
      <c r="D159" s="85">
        <v>0</v>
      </c>
      <c r="E159" s="85">
        <v>1</v>
      </c>
      <c r="F159" s="18">
        <v>2</v>
      </c>
      <c r="I159" s="64">
        <f t="shared" si="50"/>
        <v>109.85726154139888</v>
      </c>
      <c r="J159" s="18">
        <v>1</v>
      </c>
      <c r="M159" s="64">
        <f t="shared" si="51"/>
        <v>95.705097084683388</v>
      </c>
      <c r="N159" s="18">
        <v>1</v>
      </c>
      <c r="Q159" s="64">
        <f t="shared" si="52"/>
        <v>98.246708656674187</v>
      </c>
      <c r="R159" s="18">
        <v>3</v>
      </c>
      <c r="U159" s="64">
        <f t="shared" si="53"/>
        <v>111.09942135879838</v>
      </c>
      <c r="V159" s="18">
        <v>2</v>
      </c>
      <c r="Y159" s="114">
        <f t="shared" si="54"/>
        <v>97.875621286587162</v>
      </c>
      <c r="Z159" s="18">
        <v>1</v>
      </c>
      <c r="AC159" s="64">
        <f t="shared" si="55"/>
        <v>93.507508933343104</v>
      </c>
      <c r="AD159" s="24">
        <v>3</v>
      </c>
      <c r="AE159" s="71"/>
      <c r="AF159" s="71"/>
      <c r="AG159" s="71">
        <f t="shared" si="56"/>
        <v>109.20703006144345</v>
      </c>
      <c r="AH159" s="18">
        <v>2</v>
      </c>
      <c r="AK159" s="64">
        <f t="shared" si="57"/>
        <v>99.518280131348902</v>
      </c>
      <c r="AL159" s="18">
        <v>3</v>
      </c>
      <c r="AM159" s="71"/>
      <c r="AN159" s="71"/>
      <c r="AO159" s="71">
        <f t="shared" si="58"/>
        <v>100.85056924463234</v>
      </c>
      <c r="AP159" s="18">
        <v>3</v>
      </c>
      <c r="AQ159" s="71"/>
      <c r="AR159" s="71"/>
      <c r="AS159" s="71">
        <f t="shared" si="59"/>
        <v>110.12341030651692</v>
      </c>
      <c r="AT159" s="18">
        <v>2</v>
      </c>
      <c r="AU159" s="71"/>
      <c r="AV159" s="71"/>
      <c r="AW159" s="71">
        <f t="shared" si="60"/>
        <v>110.91338973410525</v>
      </c>
      <c r="AX159" s="18">
        <v>3</v>
      </c>
      <c r="AY159" s="71"/>
      <c r="AZ159" s="71"/>
      <c r="BA159" s="71">
        <f t="shared" si="61"/>
        <v>111.80497096144313</v>
      </c>
      <c r="BB159" s="85">
        <v>0</v>
      </c>
      <c r="BC159" s="85">
        <v>1</v>
      </c>
      <c r="BD159" s="85">
        <v>1</v>
      </c>
      <c r="BE159" s="85">
        <v>0</v>
      </c>
      <c r="BF159" s="85">
        <v>0</v>
      </c>
      <c r="BG159" s="85">
        <v>0</v>
      </c>
      <c r="BH159" s="19">
        <v>0</v>
      </c>
      <c r="BI159" s="71"/>
      <c r="BJ159" s="71"/>
      <c r="BK159" s="71">
        <f t="shared" si="62"/>
        <v>92.176238572378367</v>
      </c>
      <c r="BL159" s="18">
        <v>1</v>
      </c>
      <c r="BM159" s="71"/>
      <c r="BN159" s="71"/>
      <c r="BO159" s="71">
        <f t="shared" si="63"/>
        <v>92.606326748686826</v>
      </c>
      <c r="BP159" s="18">
        <v>1</v>
      </c>
      <c r="BQ159" s="71"/>
      <c r="BR159" s="71"/>
      <c r="BS159" s="138">
        <f t="shared" si="64"/>
        <v>100.16171091563201</v>
      </c>
      <c r="BT159" s="18">
        <v>3</v>
      </c>
      <c r="BU159" s="71"/>
      <c r="BV159" s="71"/>
      <c r="BW159" s="71">
        <f t="shared" si="65"/>
        <v>112.03791162123835</v>
      </c>
      <c r="BX159" s="85">
        <v>0</v>
      </c>
      <c r="BY159" s="18">
        <v>3</v>
      </c>
      <c r="BZ159" s="71"/>
      <c r="CA159" s="71"/>
      <c r="CB159" s="71">
        <f t="shared" si="66"/>
        <v>110.05345743585116</v>
      </c>
      <c r="CC159" s="18">
        <v>2</v>
      </c>
      <c r="CD159" s="71"/>
      <c r="CE159" s="71"/>
      <c r="CF159" s="71">
        <f t="shared" si="67"/>
        <v>100.18886179687853</v>
      </c>
      <c r="CG159" s="18">
        <v>0</v>
      </c>
      <c r="CH159" s="71"/>
      <c r="CI159" s="71"/>
      <c r="CJ159" s="138">
        <f t="shared" si="68"/>
        <v>89.226340793489143</v>
      </c>
      <c r="CK159" s="18">
        <v>2</v>
      </c>
      <c r="CL159" s="71"/>
      <c r="CM159" s="71"/>
      <c r="CN159" s="71">
        <f t="shared" si="69"/>
        <v>100.22589057499034</v>
      </c>
      <c r="CO159" s="94">
        <v>1</v>
      </c>
      <c r="CP159" s="94">
        <v>1</v>
      </c>
      <c r="CQ159" s="94">
        <v>0</v>
      </c>
      <c r="CR159" s="94">
        <v>0</v>
      </c>
      <c r="CS159" s="102">
        <f t="shared" si="70"/>
        <v>103.41896086849481</v>
      </c>
      <c r="CT159" s="102">
        <f t="shared" si="71"/>
        <v>7.4746775599516377</v>
      </c>
      <c r="CU159" s="102">
        <f t="shared" si="72"/>
        <v>7.2275697775152345E-2</v>
      </c>
      <c r="CV159" s="108">
        <f t="shared" si="73"/>
        <v>102.87872333220503</v>
      </c>
      <c r="CZ159" s="109" t="str">
        <f t="shared" si="74"/>
        <v>Medio-Alto</v>
      </c>
    </row>
    <row r="160" spans="1:104" x14ac:dyDescent="0.15">
      <c r="A160" s="84">
        <v>3</v>
      </c>
      <c r="B160" s="84">
        <v>2</v>
      </c>
      <c r="C160" s="84">
        <v>3</v>
      </c>
      <c r="D160" s="84">
        <v>2</v>
      </c>
      <c r="E160" s="85">
        <v>1</v>
      </c>
      <c r="F160" s="17">
        <v>2</v>
      </c>
      <c r="I160" s="64">
        <f t="shared" si="50"/>
        <v>109.85726154139888</v>
      </c>
      <c r="J160" s="17">
        <v>2</v>
      </c>
      <c r="M160" s="64">
        <f t="shared" si="51"/>
        <v>110.02144013573877</v>
      </c>
      <c r="N160" s="17">
        <v>2</v>
      </c>
      <c r="Q160" s="64">
        <f t="shared" si="52"/>
        <v>113.93405225485253</v>
      </c>
      <c r="R160" s="17">
        <v>3</v>
      </c>
      <c r="U160" s="64">
        <f t="shared" si="53"/>
        <v>111.09942135879838</v>
      </c>
      <c r="V160" s="17">
        <v>4</v>
      </c>
      <c r="Y160" s="114">
        <f t="shared" si="54"/>
        <v>110.77363490373656</v>
      </c>
      <c r="Z160" s="17">
        <v>3</v>
      </c>
      <c r="AC160" s="64">
        <f t="shared" si="55"/>
        <v>109.50350141641081</v>
      </c>
      <c r="AD160" s="25">
        <v>3</v>
      </c>
      <c r="AE160" s="71"/>
      <c r="AF160" s="71"/>
      <c r="AG160" s="71">
        <f t="shared" si="56"/>
        <v>109.20703006144345</v>
      </c>
      <c r="AH160" s="17">
        <v>3</v>
      </c>
      <c r="AK160" s="64">
        <f t="shared" si="57"/>
        <v>110.43726382077395</v>
      </c>
      <c r="AL160" s="17">
        <v>2</v>
      </c>
      <c r="AM160" s="71"/>
      <c r="AN160" s="71"/>
      <c r="AO160" s="71">
        <f t="shared" si="58"/>
        <v>89.72774066097864</v>
      </c>
      <c r="AP160" s="17">
        <v>3</v>
      </c>
      <c r="AQ160" s="71"/>
      <c r="AR160" s="71"/>
      <c r="AS160" s="71">
        <f t="shared" si="59"/>
        <v>110.12341030651692</v>
      </c>
      <c r="AT160" s="17">
        <v>2</v>
      </c>
      <c r="AU160" s="71"/>
      <c r="AV160" s="71"/>
      <c r="AW160" s="71">
        <f t="shared" si="60"/>
        <v>110.91338973410525</v>
      </c>
      <c r="AX160" s="17">
        <v>3</v>
      </c>
      <c r="AY160" s="71"/>
      <c r="AZ160" s="71"/>
      <c r="BA160" s="71">
        <f t="shared" si="61"/>
        <v>111.80497096144313</v>
      </c>
      <c r="BB160" s="84">
        <v>0</v>
      </c>
      <c r="BC160" s="84">
        <v>1</v>
      </c>
      <c r="BD160" s="84">
        <v>1</v>
      </c>
      <c r="BE160" s="84">
        <v>0</v>
      </c>
      <c r="BF160" s="84">
        <v>0</v>
      </c>
      <c r="BG160" s="84">
        <v>0</v>
      </c>
      <c r="BH160" s="20">
        <v>0</v>
      </c>
      <c r="BI160" s="71"/>
      <c r="BJ160" s="71"/>
      <c r="BK160" s="71">
        <f t="shared" si="62"/>
        <v>92.176238572378367</v>
      </c>
      <c r="BL160" s="17">
        <v>3</v>
      </c>
      <c r="BM160" s="71"/>
      <c r="BN160" s="71"/>
      <c r="BO160" s="71">
        <f t="shared" si="63"/>
        <v>111.29665318323313</v>
      </c>
      <c r="BP160" s="17">
        <v>1</v>
      </c>
      <c r="BQ160" s="71"/>
      <c r="BR160" s="71"/>
      <c r="BS160" s="138">
        <f t="shared" si="64"/>
        <v>100.16171091563201</v>
      </c>
      <c r="BT160" s="17">
        <v>2</v>
      </c>
      <c r="BU160" s="71"/>
      <c r="BV160" s="71"/>
      <c r="BW160" s="71">
        <f t="shared" si="65"/>
        <v>102.51956289746849</v>
      </c>
      <c r="BX160" s="84">
        <v>0</v>
      </c>
      <c r="BY160" s="17">
        <v>2</v>
      </c>
      <c r="BZ160" s="71"/>
      <c r="CA160" s="71"/>
      <c r="CB160" s="71">
        <f t="shared" si="66"/>
        <v>100.53207713448795</v>
      </c>
      <c r="CC160" s="17">
        <v>3</v>
      </c>
      <c r="CD160" s="71"/>
      <c r="CE160" s="71"/>
      <c r="CF160" s="71">
        <f t="shared" si="67"/>
        <v>109.36214907383548</v>
      </c>
      <c r="CG160" s="17">
        <v>0</v>
      </c>
      <c r="CH160" s="71"/>
      <c r="CI160" s="71"/>
      <c r="CJ160" s="138">
        <f t="shared" si="68"/>
        <v>89.226340793489143</v>
      </c>
      <c r="CK160" s="17">
        <v>3</v>
      </c>
      <c r="CL160" s="71"/>
      <c r="CM160" s="71"/>
      <c r="CN160" s="71">
        <f t="shared" si="69"/>
        <v>109.82624001207998</v>
      </c>
      <c r="CO160" s="93">
        <v>1</v>
      </c>
      <c r="CP160" s="93"/>
      <c r="CQ160" s="93">
        <v>1</v>
      </c>
      <c r="CR160" s="93">
        <v>0</v>
      </c>
      <c r="CS160" s="102">
        <f t="shared" si="70"/>
        <v>107.19661194858496</v>
      </c>
      <c r="CT160" s="102">
        <f t="shared" si="71"/>
        <v>6.9130554128647361</v>
      </c>
      <c r="CU160" s="102">
        <f t="shared" si="72"/>
        <v>6.4489495397302907E-2</v>
      </c>
      <c r="CV160" s="108">
        <f t="shared" si="73"/>
        <v>106.75079249335572</v>
      </c>
      <c r="CZ160" s="109" t="str">
        <f t="shared" si="74"/>
        <v>Alto</v>
      </c>
    </row>
    <row r="161" spans="1:104" x14ac:dyDescent="0.15">
      <c r="A161" s="85">
        <v>3</v>
      </c>
      <c r="B161" s="85">
        <v>2</v>
      </c>
      <c r="C161" s="85">
        <v>1</v>
      </c>
      <c r="D161" s="85">
        <v>2</v>
      </c>
      <c r="E161" s="85">
        <v>1</v>
      </c>
      <c r="F161" s="18">
        <v>1</v>
      </c>
      <c r="I161" s="64">
        <f t="shared" si="50"/>
        <v>93.428492305734082</v>
      </c>
      <c r="J161" s="18">
        <v>2</v>
      </c>
      <c r="M161" s="64">
        <f t="shared" si="51"/>
        <v>110.02144013573877</v>
      </c>
      <c r="N161" s="18">
        <v>1</v>
      </c>
      <c r="Q161" s="64">
        <f t="shared" si="52"/>
        <v>98.246708656674187</v>
      </c>
      <c r="R161" s="18">
        <v>2</v>
      </c>
      <c r="U161" s="64">
        <f t="shared" si="53"/>
        <v>101.34799174124942</v>
      </c>
      <c r="V161" s="18">
        <v>1</v>
      </c>
      <c r="Y161" s="114">
        <f t="shared" si="54"/>
        <v>91.426614478012453</v>
      </c>
      <c r="Z161" s="18">
        <v>3</v>
      </c>
      <c r="AC161" s="64">
        <f t="shared" si="55"/>
        <v>109.50350141641081</v>
      </c>
      <c r="AD161" s="24">
        <v>2</v>
      </c>
      <c r="AE161" s="71"/>
      <c r="AF161" s="71"/>
      <c r="AG161" s="71">
        <f t="shared" si="56"/>
        <v>101.01229126330007</v>
      </c>
      <c r="AH161" s="18">
        <v>1</v>
      </c>
      <c r="AK161" s="64">
        <f t="shared" si="57"/>
        <v>88.599296441923855</v>
      </c>
      <c r="AL161" s="18">
        <v>3</v>
      </c>
      <c r="AM161" s="71"/>
      <c r="AN161" s="71"/>
      <c r="AO161" s="71">
        <f t="shared" si="58"/>
        <v>100.85056924463234</v>
      </c>
      <c r="AP161" s="18">
        <v>2</v>
      </c>
      <c r="AQ161" s="71"/>
      <c r="AR161" s="71"/>
      <c r="AS161" s="71">
        <f t="shared" si="59"/>
        <v>99.909880620416757</v>
      </c>
      <c r="AT161" s="18">
        <v>0</v>
      </c>
      <c r="AU161" s="71"/>
      <c r="AV161" s="71"/>
      <c r="AW161" s="71">
        <f t="shared" si="60"/>
        <v>89.214252251088965</v>
      </c>
      <c r="AX161" s="18">
        <v>1</v>
      </c>
      <c r="AY161" s="71"/>
      <c r="AZ161" s="71"/>
      <c r="BA161" s="71">
        <f t="shared" si="61"/>
        <v>90.050552929515405</v>
      </c>
      <c r="BB161" s="85">
        <v>1</v>
      </c>
      <c r="BC161" s="85">
        <v>0</v>
      </c>
      <c r="BD161" s="85">
        <v>1</v>
      </c>
      <c r="BE161" s="85">
        <v>0</v>
      </c>
      <c r="BF161" s="85">
        <v>0</v>
      </c>
      <c r="BG161" s="85">
        <v>0</v>
      </c>
      <c r="BH161" s="19">
        <v>0</v>
      </c>
      <c r="BI161" s="71"/>
      <c r="BJ161" s="71"/>
      <c r="BK161" s="71">
        <f t="shared" si="62"/>
        <v>92.176238572378367</v>
      </c>
      <c r="BL161" s="18">
        <v>2</v>
      </c>
      <c r="BM161" s="71"/>
      <c r="BN161" s="71"/>
      <c r="BO161" s="71">
        <f t="shared" si="63"/>
        <v>101.95148996595998</v>
      </c>
      <c r="BP161" s="18">
        <v>1</v>
      </c>
      <c r="BQ161" s="71"/>
      <c r="BR161" s="71"/>
      <c r="BS161" s="138">
        <f t="shared" si="64"/>
        <v>100.16171091563201</v>
      </c>
      <c r="BT161" s="18">
        <v>1</v>
      </c>
      <c r="BU161" s="71"/>
      <c r="BV161" s="71"/>
      <c r="BW161" s="71">
        <f t="shared" si="65"/>
        <v>93.001214173698628</v>
      </c>
      <c r="BX161" s="85">
        <v>3</v>
      </c>
      <c r="BY161" s="18">
        <v>3</v>
      </c>
      <c r="BZ161" s="71"/>
      <c r="CA161" s="71"/>
      <c r="CB161" s="71">
        <f t="shared" si="66"/>
        <v>110.05345743585116</v>
      </c>
      <c r="CC161" s="18">
        <v>2</v>
      </c>
      <c r="CD161" s="71"/>
      <c r="CE161" s="71"/>
      <c r="CF161" s="71">
        <f t="shared" si="67"/>
        <v>100.18886179687853</v>
      </c>
      <c r="CG161" s="18">
        <v>0</v>
      </c>
      <c r="CH161" s="71"/>
      <c r="CI161" s="71"/>
      <c r="CJ161" s="138">
        <f t="shared" si="68"/>
        <v>89.226340793489143</v>
      </c>
      <c r="CK161" s="18">
        <v>2</v>
      </c>
      <c r="CL161" s="71"/>
      <c r="CM161" s="71"/>
      <c r="CN161" s="71">
        <f t="shared" si="69"/>
        <v>100.22589057499034</v>
      </c>
      <c r="CO161" s="94">
        <v>1</v>
      </c>
      <c r="CP161" s="94">
        <v>1</v>
      </c>
      <c r="CQ161" s="94">
        <v>0</v>
      </c>
      <c r="CR161" s="94">
        <v>0</v>
      </c>
      <c r="CS161" s="102">
        <f t="shared" si="70"/>
        <v>98.810713501555398</v>
      </c>
      <c r="CT161" s="102">
        <f t="shared" si="71"/>
        <v>6.9686542094530175</v>
      </c>
      <c r="CU161" s="102">
        <f t="shared" si="72"/>
        <v>7.0525289844641417E-2</v>
      </c>
      <c r="CV161" s="108">
        <f t="shared" si="73"/>
        <v>98.319247143606646</v>
      </c>
      <c r="CZ161" s="109" t="str">
        <f t="shared" si="74"/>
        <v>Medio-Basso</v>
      </c>
    </row>
    <row r="162" spans="1:104" x14ac:dyDescent="0.15">
      <c r="A162" s="84">
        <v>2</v>
      </c>
      <c r="B162" s="84">
        <v>2</v>
      </c>
      <c r="C162" s="84">
        <v>3</v>
      </c>
      <c r="D162" s="84">
        <v>0</v>
      </c>
      <c r="E162" s="85">
        <v>1</v>
      </c>
      <c r="F162" s="17">
        <v>2</v>
      </c>
      <c r="I162" s="64">
        <f t="shared" si="50"/>
        <v>109.85726154139888</v>
      </c>
      <c r="J162" s="17">
        <v>2</v>
      </c>
      <c r="M162" s="64">
        <f t="shared" si="51"/>
        <v>110.02144013573877</v>
      </c>
      <c r="N162" s="17">
        <v>1</v>
      </c>
      <c r="Q162" s="64">
        <f t="shared" si="52"/>
        <v>98.246708656674187</v>
      </c>
      <c r="R162" s="17">
        <v>3</v>
      </c>
      <c r="U162" s="64">
        <f t="shared" si="53"/>
        <v>111.09942135879838</v>
      </c>
      <c r="V162" s="17">
        <v>4</v>
      </c>
      <c r="Y162" s="114">
        <f t="shared" si="54"/>
        <v>110.77363490373656</v>
      </c>
      <c r="Z162" s="17">
        <v>3</v>
      </c>
      <c r="AC162" s="64">
        <f t="shared" si="55"/>
        <v>109.50350141641081</v>
      </c>
      <c r="AD162" s="25">
        <v>3</v>
      </c>
      <c r="AE162" s="71"/>
      <c r="AF162" s="71"/>
      <c r="AG162" s="71">
        <f t="shared" si="56"/>
        <v>109.20703006144345</v>
      </c>
      <c r="AH162" s="17">
        <v>3</v>
      </c>
      <c r="AK162" s="64">
        <f t="shared" si="57"/>
        <v>110.43726382077395</v>
      </c>
      <c r="AL162" s="17">
        <v>4</v>
      </c>
      <c r="AM162" s="71"/>
      <c r="AN162" s="71"/>
      <c r="AO162" s="71">
        <f t="shared" si="58"/>
        <v>111.97339782828605</v>
      </c>
      <c r="AP162" s="17">
        <v>2</v>
      </c>
      <c r="AQ162" s="71"/>
      <c r="AR162" s="71"/>
      <c r="AS162" s="71">
        <f t="shared" si="59"/>
        <v>99.909880620416757</v>
      </c>
      <c r="AT162" s="17">
        <v>1</v>
      </c>
      <c r="AU162" s="71"/>
      <c r="AV162" s="71"/>
      <c r="AW162" s="71">
        <f t="shared" si="60"/>
        <v>100.0638209925971</v>
      </c>
      <c r="AX162" s="20">
        <v>2</v>
      </c>
      <c r="AY162" s="71"/>
      <c r="AZ162" s="71"/>
      <c r="BA162" s="71">
        <f t="shared" si="61"/>
        <v>100.92776194547928</v>
      </c>
      <c r="BB162" s="84">
        <v>1</v>
      </c>
      <c r="BC162" s="84">
        <v>0</v>
      </c>
      <c r="BD162" s="84">
        <v>1</v>
      </c>
      <c r="BE162" s="84">
        <v>0</v>
      </c>
      <c r="BF162" s="84">
        <v>0</v>
      </c>
      <c r="BG162" s="84">
        <v>0</v>
      </c>
      <c r="BH162" s="20">
        <v>2</v>
      </c>
      <c r="BI162" s="71"/>
      <c r="BJ162" s="71"/>
      <c r="BK162" s="71">
        <f t="shared" si="62"/>
        <v>114.81520780975161</v>
      </c>
      <c r="BL162" s="17">
        <v>2</v>
      </c>
      <c r="BM162" s="71"/>
      <c r="BN162" s="71"/>
      <c r="BO162" s="71">
        <f t="shared" si="63"/>
        <v>101.95148996595998</v>
      </c>
      <c r="BP162" s="17">
        <v>2</v>
      </c>
      <c r="BQ162" s="71"/>
      <c r="BR162" s="71"/>
      <c r="BS162" s="138">
        <f t="shared" si="64"/>
        <v>113.86671101544545</v>
      </c>
      <c r="BT162" s="17">
        <v>3</v>
      </c>
      <c r="BU162" s="71"/>
      <c r="BV162" s="71"/>
      <c r="BW162" s="71">
        <f t="shared" si="65"/>
        <v>112.03791162123835</v>
      </c>
      <c r="BX162" s="84">
        <v>2</v>
      </c>
      <c r="BY162" s="17">
        <v>2</v>
      </c>
      <c r="BZ162" s="71"/>
      <c r="CA162" s="71"/>
      <c r="CB162" s="71">
        <f t="shared" si="66"/>
        <v>100.53207713448795</v>
      </c>
      <c r="CC162" s="17">
        <v>2</v>
      </c>
      <c r="CD162" s="71"/>
      <c r="CE162" s="71"/>
      <c r="CF162" s="71">
        <f t="shared" si="67"/>
        <v>100.18886179687853</v>
      </c>
      <c r="CG162" s="17">
        <v>2</v>
      </c>
      <c r="CH162" s="71"/>
      <c r="CI162" s="71"/>
      <c r="CJ162" s="138">
        <f t="shared" si="68"/>
        <v>118.64838200002481</v>
      </c>
      <c r="CK162" s="17">
        <v>2</v>
      </c>
      <c r="CL162" s="71"/>
      <c r="CM162" s="71"/>
      <c r="CN162" s="71">
        <f t="shared" si="69"/>
        <v>100.22589057499034</v>
      </c>
      <c r="CO162" s="93">
        <v>0</v>
      </c>
      <c r="CP162" s="93">
        <v>1</v>
      </c>
      <c r="CQ162" s="93">
        <v>0</v>
      </c>
      <c r="CR162" s="93">
        <v>0</v>
      </c>
      <c r="CS162" s="102">
        <f t="shared" si="70"/>
        <v>105.94111336948968</v>
      </c>
      <c r="CT162" s="102">
        <f t="shared" si="71"/>
        <v>5.7044795921859981</v>
      </c>
      <c r="CU162" s="102">
        <f t="shared" si="72"/>
        <v>5.3845758372300143E-2</v>
      </c>
      <c r="CV162" s="108">
        <f t="shared" si="73"/>
        <v>105.63395133972912</v>
      </c>
      <c r="CZ162" s="109" t="str">
        <f t="shared" si="74"/>
        <v>Alto</v>
      </c>
    </row>
    <row r="163" spans="1:104" x14ac:dyDescent="0.15">
      <c r="A163" s="85">
        <v>3</v>
      </c>
      <c r="B163" s="85">
        <v>1</v>
      </c>
      <c r="C163" s="85">
        <v>3</v>
      </c>
      <c r="D163" s="85">
        <v>2</v>
      </c>
      <c r="E163" s="85">
        <v>1</v>
      </c>
      <c r="F163" s="18">
        <v>1</v>
      </c>
      <c r="I163" s="64">
        <f t="shared" si="50"/>
        <v>93.428492305734082</v>
      </c>
      <c r="J163" s="18">
        <v>1</v>
      </c>
      <c r="M163" s="64">
        <f t="shared" si="51"/>
        <v>95.705097084683388</v>
      </c>
      <c r="N163" s="18">
        <v>1</v>
      </c>
      <c r="Q163" s="64">
        <f t="shared" si="52"/>
        <v>98.246708656674187</v>
      </c>
      <c r="R163" s="18">
        <v>2</v>
      </c>
      <c r="U163" s="64">
        <f t="shared" si="53"/>
        <v>101.34799174124942</v>
      </c>
      <c r="V163" s="18">
        <v>2</v>
      </c>
      <c r="Y163" s="114">
        <f t="shared" si="54"/>
        <v>97.875621286587162</v>
      </c>
      <c r="Z163" s="18">
        <v>3</v>
      </c>
      <c r="AC163" s="64">
        <f t="shared" si="55"/>
        <v>109.50350141641081</v>
      </c>
      <c r="AD163" s="24">
        <v>0</v>
      </c>
      <c r="AE163" s="71"/>
      <c r="AF163" s="71"/>
      <c r="AG163" s="71">
        <f t="shared" si="56"/>
        <v>84.62281366701329</v>
      </c>
      <c r="AH163" s="18">
        <v>2</v>
      </c>
      <c r="AK163" s="64">
        <f t="shared" si="57"/>
        <v>99.518280131348902</v>
      </c>
      <c r="AL163" s="18">
        <v>2</v>
      </c>
      <c r="AM163" s="71"/>
      <c r="AN163" s="71"/>
      <c r="AO163" s="71">
        <f t="shared" si="58"/>
        <v>89.72774066097864</v>
      </c>
      <c r="AP163" s="18">
        <v>0</v>
      </c>
      <c r="AQ163" s="71"/>
      <c r="AR163" s="71"/>
      <c r="AS163" s="71">
        <f t="shared" si="59"/>
        <v>79.482821248216453</v>
      </c>
      <c r="AT163" s="18">
        <v>2</v>
      </c>
      <c r="AU163" s="71"/>
      <c r="AV163" s="71"/>
      <c r="AW163" s="71">
        <f t="shared" si="60"/>
        <v>110.91338973410525</v>
      </c>
      <c r="AX163" s="18">
        <v>1</v>
      </c>
      <c r="AY163" s="71"/>
      <c r="AZ163" s="71"/>
      <c r="BA163" s="71">
        <f t="shared" si="61"/>
        <v>90.050552929515405</v>
      </c>
      <c r="BB163" s="85">
        <v>0</v>
      </c>
      <c r="BC163" s="85">
        <v>1</v>
      </c>
      <c r="BD163" s="85">
        <v>1</v>
      </c>
      <c r="BE163" s="85">
        <v>0</v>
      </c>
      <c r="BF163" s="85">
        <v>0</v>
      </c>
      <c r="BG163" s="85">
        <v>0</v>
      </c>
      <c r="BH163" s="19">
        <v>2</v>
      </c>
      <c r="BI163" s="71"/>
      <c r="BJ163" s="71"/>
      <c r="BK163" s="71">
        <f t="shared" si="62"/>
        <v>114.81520780975161</v>
      </c>
      <c r="BL163" s="18">
        <v>1</v>
      </c>
      <c r="BM163" s="71"/>
      <c r="BN163" s="71"/>
      <c r="BO163" s="71">
        <f t="shared" si="63"/>
        <v>92.606326748686826</v>
      </c>
      <c r="BP163" s="18">
        <v>1</v>
      </c>
      <c r="BQ163" s="71"/>
      <c r="BR163" s="71"/>
      <c r="BS163" s="138">
        <f t="shared" si="64"/>
        <v>100.16171091563201</v>
      </c>
      <c r="BT163" s="18">
        <v>2</v>
      </c>
      <c r="BU163" s="71"/>
      <c r="BV163" s="71"/>
      <c r="BW163" s="71">
        <f t="shared" si="65"/>
        <v>102.51956289746849</v>
      </c>
      <c r="BX163" s="85">
        <v>2</v>
      </c>
      <c r="BY163" s="18">
        <v>3</v>
      </c>
      <c r="BZ163" s="71"/>
      <c r="CA163" s="71"/>
      <c r="CB163" s="71">
        <f t="shared" si="66"/>
        <v>110.05345743585116</v>
      </c>
      <c r="CC163" s="18">
        <v>3</v>
      </c>
      <c r="CD163" s="71"/>
      <c r="CE163" s="71"/>
      <c r="CF163" s="71">
        <f t="shared" si="67"/>
        <v>109.36214907383548</v>
      </c>
      <c r="CG163" s="18">
        <v>1</v>
      </c>
      <c r="CH163" s="71"/>
      <c r="CI163" s="71"/>
      <c r="CJ163" s="138">
        <f t="shared" si="68"/>
        <v>103.93736139675698</v>
      </c>
      <c r="CK163" s="18">
        <v>3</v>
      </c>
      <c r="CL163" s="71"/>
      <c r="CM163" s="71"/>
      <c r="CN163" s="71">
        <f t="shared" si="69"/>
        <v>109.82624001207998</v>
      </c>
      <c r="CO163" s="94">
        <v>1</v>
      </c>
      <c r="CP163" s="94">
        <v>1</v>
      </c>
      <c r="CQ163" s="94">
        <v>0</v>
      </c>
      <c r="CR163" s="94">
        <v>0</v>
      </c>
      <c r="CS163" s="102">
        <f t="shared" si="70"/>
        <v>99.513549032564896</v>
      </c>
      <c r="CT163" s="102">
        <f t="shared" si="71"/>
        <v>10.307324485505445</v>
      </c>
      <c r="CU163" s="102">
        <f t="shared" si="72"/>
        <v>0.10357709664371902</v>
      </c>
      <c r="CV163" s="108">
        <f t="shared" si="73"/>
        <v>98.445946288191521</v>
      </c>
      <c r="CZ163" s="109" t="str">
        <f t="shared" si="74"/>
        <v>Medio-Basso</v>
      </c>
    </row>
    <row r="164" spans="1:104" x14ac:dyDescent="0.15">
      <c r="A164" s="84">
        <v>2</v>
      </c>
      <c r="B164" s="84">
        <v>1</v>
      </c>
      <c r="C164" s="84">
        <v>2</v>
      </c>
      <c r="D164" s="84">
        <v>2</v>
      </c>
      <c r="E164" s="85">
        <v>1</v>
      </c>
      <c r="F164" s="17">
        <v>1</v>
      </c>
      <c r="I164" s="64">
        <f t="shared" si="50"/>
        <v>93.428492305734082</v>
      </c>
      <c r="J164" s="17">
        <v>1</v>
      </c>
      <c r="M164" s="64">
        <f t="shared" si="51"/>
        <v>95.705097084683388</v>
      </c>
      <c r="N164" s="17">
        <v>1</v>
      </c>
      <c r="Q164" s="64">
        <f t="shared" si="52"/>
        <v>98.246708656674187</v>
      </c>
      <c r="R164" s="17">
        <v>1</v>
      </c>
      <c r="U164" s="64">
        <f t="shared" si="53"/>
        <v>91.596562123700451</v>
      </c>
      <c r="V164" s="17">
        <v>2</v>
      </c>
      <c r="Y164" s="114">
        <f t="shared" si="54"/>
        <v>97.875621286587162</v>
      </c>
      <c r="Z164" s="17">
        <v>2</v>
      </c>
      <c r="AC164" s="64">
        <f t="shared" si="55"/>
        <v>101.50550517487696</v>
      </c>
      <c r="AD164" s="25">
        <v>2</v>
      </c>
      <c r="AE164" s="71"/>
      <c r="AF164" s="71"/>
      <c r="AG164" s="71">
        <f t="shared" si="56"/>
        <v>101.01229126330007</v>
      </c>
      <c r="AH164" s="17">
        <v>2</v>
      </c>
      <c r="AK164" s="64">
        <f t="shared" si="57"/>
        <v>99.518280131348902</v>
      </c>
      <c r="AL164" s="17">
        <v>3</v>
      </c>
      <c r="AM164" s="71"/>
      <c r="AN164" s="71"/>
      <c r="AO164" s="71">
        <f t="shared" si="58"/>
        <v>100.85056924463234</v>
      </c>
      <c r="AP164" s="17">
        <v>2</v>
      </c>
      <c r="AQ164" s="71"/>
      <c r="AR164" s="71"/>
      <c r="AS164" s="71">
        <f t="shared" si="59"/>
        <v>99.909880620416757</v>
      </c>
      <c r="AT164" s="17">
        <v>2</v>
      </c>
      <c r="AU164" s="71"/>
      <c r="AV164" s="71"/>
      <c r="AW164" s="71">
        <f t="shared" si="60"/>
        <v>110.91338973410525</v>
      </c>
      <c r="AX164" s="17">
        <v>2</v>
      </c>
      <c r="AY164" s="71"/>
      <c r="AZ164" s="71"/>
      <c r="BA164" s="71">
        <f t="shared" si="61"/>
        <v>100.92776194547928</v>
      </c>
      <c r="BB164" s="84">
        <v>1</v>
      </c>
      <c r="BC164" s="84">
        <v>0</v>
      </c>
      <c r="BD164" s="84">
        <v>1</v>
      </c>
      <c r="BE164" s="84">
        <v>0</v>
      </c>
      <c r="BF164" s="84">
        <v>0</v>
      </c>
      <c r="BG164" s="84">
        <v>0</v>
      </c>
      <c r="BH164" s="20">
        <v>0</v>
      </c>
      <c r="BI164" s="71"/>
      <c r="BJ164" s="71"/>
      <c r="BK164" s="71">
        <f t="shared" si="62"/>
        <v>92.176238572378367</v>
      </c>
      <c r="BL164" s="17">
        <v>3</v>
      </c>
      <c r="BM164" s="71"/>
      <c r="BN164" s="71"/>
      <c r="BO164" s="71">
        <f t="shared" si="63"/>
        <v>111.29665318323313</v>
      </c>
      <c r="BP164" s="17">
        <v>1</v>
      </c>
      <c r="BQ164" s="71"/>
      <c r="BR164" s="71"/>
      <c r="BS164" s="138">
        <f t="shared" si="64"/>
        <v>100.16171091563201</v>
      </c>
      <c r="BT164" s="17">
        <v>0</v>
      </c>
      <c r="BU164" s="71"/>
      <c r="BV164" s="71"/>
      <c r="BW164" s="71">
        <f t="shared" si="65"/>
        <v>83.482865449928767</v>
      </c>
      <c r="BX164" s="84">
        <v>2</v>
      </c>
      <c r="BY164" s="17">
        <v>2</v>
      </c>
      <c r="BZ164" s="71"/>
      <c r="CA164" s="71"/>
      <c r="CB164" s="71">
        <f t="shared" si="66"/>
        <v>100.53207713448795</v>
      </c>
      <c r="CC164" s="17">
        <v>3</v>
      </c>
      <c r="CD164" s="71"/>
      <c r="CE164" s="71"/>
      <c r="CF164" s="71">
        <f t="shared" si="67"/>
        <v>109.36214907383548</v>
      </c>
      <c r="CG164" s="17">
        <v>1</v>
      </c>
      <c r="CH164" s="71"/>
      <c r="CI164" s="71"/>
      <c r="CJ164" s="138">
        <f t="shared" si="68"/>
        <v>103.93736139675698</v>
      </c>
      <c r="CK164" s="17">
        <v>2</v>
      </c>
      <c r="CL164" s="71"/>
      <c r="CM164" s="71"/>
      <c r="CN164" s="71">
        <f t="shared" si="69"/>
        <v>100.22589057499034</v>
      </c>
      <c r="CO164" s="93">
        <v>1</v>
      </c>
      <c r="CP164" s="93">
        <v>1</v>
      </c>
      <c r="CQ164" s="93">
        <v>0</v>
      </c>
      <c r="CR164" s="93">
        <v>0</v>
      </c>
      <c r="CS164" s="102">
        <f t="shared" si="70"/>
        <v>99.452377192576819</v>
      </c>
      <c r="CT164" s="102">
        <f t="shared" si="71"/>
        <v>7.0890215251015114</v>
      </c>
      <c r="CU164" s="102">
        <f t="shared" si="72"/>
        <v>7.1280563876060271E-2</v>
      </c>
      <c r="CV164" s="108">
        <f t="shared" si="73"/>
        <v>98.947067740938053</v>
      </c>
      <c r="CZ164" s="109" t="str">
        <f t="shared" si="74"/>
        <v>Medio-Basso</v>
      </c>
    </row>
    <row r="165" spans="1:104" x14ac:dyDescent="0.15">
      <c r="A165" s="85">
        <v>2</v>
      </c>
      <c r="B165" s="85">
        <v>2</v>
      </c>
      <c r="C165" s="85">
        <v>3</v>
      </c>
      <c r="D165" s="85">
        <v>2</v>
      </c>
      <c r="E165" s="85">
        <v>1</v>
      </c>
      <c r="F165" s="18">
        <v>1</v>
      </c>
      <c r="I165" s="64">
        <f t="shared" si="50"/>
        <v>93.428492305734082</v>
      </c>
      <c r="J165" s="18">
        <v>0</v>
      </c>
      <c r="M165" s="64">
        <f t="shared" si="51"/>
        <v>81.388754033628004</v>
      </c>
      <c r="N165" s="18">
        <v>1</v>
      </c>
      <c r="Q165" s="64">
        <f t="shared" si="52"/>
        <v>98.246708656674187</v>
      </c>
      <c r="R165" s="18">
        <v>2</v>
      </c>
      <c r="U165" s="64">
        <f t="shared" si="53"/>
        <v>101.34799174124942</v>
      </c>
      <c r="V165" s="18">
        <v>4</v>
      </c>
      <c r="Y165" s="114">
        <f t="shared" si="54"/>
        <v>110.77363490373656</v>
      </c>
      <c r="Z165" s="18">
        <v>2</v>
      </c>
      <c r="AC165" s="64">
        <f t="shared" si="55"/>
        <v>101.50550517487696</v>
      </c>
      <c r="AD165" s="24">
        <v>3</v>
      </c>
      <c r="AE165" s="71"/>
      <c r="AF165" s="71"/>
      <c r="AG165" s="71">
        <f t="shared" si="56"/>
        <v>109.20703006144345</v>
      </c>
      <c r="AH165" s="18">
        <v>1</v>
      </c>
      <c r="AK165" s="64">
        <f t="shared" si="57"/>
        <v>88.599296441923855</v>
      </c>
      <c r="AL165" s="18">
        <v>3</v>
      </c>
      <c r="AM165" s="71"/>
      <c r="AN165" s="71"/>
      <c r="AO165" s="71">
        <f t="shared" si="58"/>
        <v>100.85056924463234</v>
      </c>
      <c r="AP165" s="18">
        <v>2</v>
      </c>
      <c r="AQ165" s="71"/>
      <c r="AR165" s="71"/>
      <c r="AS165" s="71">
        <f t="shared" si="59"/>
        <v>99.909880620416757</v>
      </c>
      <c r="AT165" s="18">
        <v>0</v>
      </c>
      <c r="AU165" s="71"/>
      <c r="AV165" s="71"/>
      <c r="AW165" s="71">
        <f t="shared" si="60"/>
        <v>89.214252251088965</v>
      </c>
      <c r="AX165" s="18">
        <v>2</v>
      </c>
      <c r="AY165" s="71"/>
      <c r="AZ165" s="71"/>
      <c r="BA165" s="71">
        <f t="shared" si="61"/>
        <v>100.92776194547928</v>
      </c>
      <c r="BB165" s="85">
        <v>1</v>
      </c>
      <c r="BC165" s="85">
        <v>0</v>
      </c>
      <c r="BD165" s="85">
        <v>0</v>
      </c>
      <c r="BE165" s="85">
        <v>1</v>
      </c>
      <c r="BF165" s="85">
        <v>0</v>
      </c>
      <c r="BG165" s="85">
        <v>0</v>
      </c>
      <c r="BH165" s="19">
        <v>1</v>
      </c>
      <c r="BI165" s="71"/>
      <c r="BJ165" s="71"/>
      <c r="BK165" s="71">
        <f t="shared" si="62"/>
        <v>103.49572319106498</v>
      </c>
      <c r="BL165" s="18">
        <v>1</v>
      </c>
      <c r="BM165" s="71"/>
      <c r="BN165" s="71"/>
      <c r="BO165" s="71">
        <f t="shared" si="63"/>
        <v>92.606326748686826</v>
      </c>
      <c r="BP165" s="18">
        <v>0</v>
      </c>
      <c r="BQ165" s="71"/>
      <c r="BR165" s="71"/>
      <c r="BS165" s="138">
        <f t="shared" si="64"/>
        <v>86.456710815818582</v>
      </c>
      <c r="BT165" s="18">
        <v>1</v>
      </c>
      <c r="BU165" s="71"/>
      <c r="BV165" s="71"/>
      <c r="BW165" s="71">
        <f t="shared" si="65"/>
        <v>93.001214173698628</v>
      </c>
      <c r="BX165" s="85">
        <v>2</v>
      </c>
      <c r="BY165" s="18">
        <v>2</v>
      </c>
      <c r="BZ165" s="71"/>
      <c r="CA165" s="71"/>
      <c r="CB165" s="71">
        <f t="shared" si="66"/>
        <v>100.53207713448795</v>
      </c>
      <c r="CC165" s="18">
        <v>2</v>
      </c>
      <c r="CD165" s="71"/>
      <c r="CE165" s="71"/>
      <c r="CF165" s="71">
        <f t="shared" si="67"/>
        <v>100.18886179687853</v>
      </c>
      <c r="CG165" s="18">
        <v>0</v>
      </c>
      <c r="CH165" s="71"/>
      <c r="CI165" s="71"/>
      <c r="CJ165" s="138">
        <f t="shared" si="68"/>
        <v>89.226340793489143</v>
      </c>
      <c r="CK165" s="18">
        <v>2</v>
      </c>
      <c r="CL165" s="71"/>
      <c r="CM165" s="71"/>
      <c r="CN165" s="71">
        <f t="shared" si="69"/>
        <v>100.22589057499034</v>
      </c>
      <c r="CO165" s="94">
        <v>0</v>
      </c>
      <c r="CP165" s="94">
        <v>0</v>
      </c>
      <c r="CQ165" s="94">
        <v>0</v>
      </c>
      <c r="CR165" s="94">
        <v>1</v>
      </c>
      <c r="CS165" s="102">
        <f t="shared" si="70"/>
        <v>97.333902123350271</v>
      </c>
      <c r="CT165" s="102">
        <f t="shared" si="71"/>
        <v>6.7304947044835881</v>
      </c>
      <c r="CU165" s="102">
        <f t="shared" si="72"/>
        <v>6.9148514111291873E-2</v>
      </c>
      <c r="CV165" s="108">
        <f t="shared" si="73"/>
        <v>96.868498415301318</v>
      </c>
      <c r="CZ165" s="109" t="str">
        <f t="shared" si="74"/>
        <v>Medio-Basso</v>
      </c>
    </row>
    <row r="166" spans="1:104" x14ac:dyDescent="0.15">
      <c r="A166" s="84">
        <v>2</v>
      </c>
      <c r="B166" s="84">
        <v>1</v>
      </c>
      <c r="C166" s="84">
        <v>3</v>
      </c>
      <c r="D166" s="84">
        <v>2</v>
      </c>
      <c r="E166" s="85">
        <v>1</v>
      </c>
      <c r="F166" s="17">
        <v>2</v>
      </c>
      <c r="I166" s="64">
        <f t="shared" si="50"/>
        <v>109.85726154139888</v>
      </c>
      <c r="J166" s="17">
        <v>1</v>
      </c>
      <c r="M166" s="64">
        <f t="shared" si="51"/>
        <v>95.705097084683388</v>
      </c>
      <c r="N166" s="17">
        <v>1</v>
      </c>
      <c r="Q166" s="64">
        <f t="shared" si="52"/>
        <v>98.246708656674187</v>
      </c>
      <c r="R166" s="17">
        <v>1</v>
      </c>
      <c r="U166" s="64">
        <f t="shared" si="53"/>
        <v>91.596562123700451</v>
      </c>
      <c r="V166" s="17">
        <v>3</v>
      </c>
      <c r="Y166" s="114">
        <f t="shared" si="54"/>
        <v>104.32462809516186</v>
      </c>
      <c r="Z166" s="17">
        <v>3</v>
      </c>
      <c r="AC166" s="64">
        <f t="shared" si="55"/>
        <v>109.50350141641081</v>
      </c>
      <c r="AD166" s="25">
        <v>2</v>
      </c>
      <c r="AE166" s="71"/>
      <c r="AF166" s="71"/>
      <c r="AG166" s="71">
        <f t="shared" si="56"/>
        <v>101.01229126330007</v>
      </c>
      <c r="AH166" s="17">
        <v>1</v>
      </c>
      <c r="AK166" s="64">
        <f t="shared" si="57"/>
        <v>88.599296441923855</v>
      </c>
      <c r="AL166" s="17">
        <v>4</v>
      </c>
      <c r="AM166" s="71"/>
      <c r="AN166" s="71"/>
      <c r="AO166" s="71">
        <f t="shared" si="58"/>
        <v>111.97339782828605</v>
      </c>
      <c r="AP166" s="17">
        <v>2</v>
      </c>
      <c r="AQ166" s="71"/>
      <c r="AR166" s="71"/>
      <c r="AS166" s="71">
        <f t="shared" si="59"/>
        <v>99.909880620416757</v>
      </c>
      <c r="AT166" s="17">
        <v>0</v>
      </c>
      <c r="AU166" s="71"/>
      <c r="AV166" s="71"/>
      <c r="AW166" s="71">
        <f t="shared" si="60"/>
        <v>89.214252251088965</v>
      </c>
      <c r="AX166" s="17">
        <v>2</v>
      </c>
      <c r="AY166" s="71"/>
      <c r="AZ166" s="71"/>
      <c r="BA166" s="71">
        <f t="shared" si="61"/>
        <v>100.92776194547928</v>
      </c>
      <c r="BB166" s="84">
        <v>1</v>
      </c>
      <c r="BC166" s="84">
        <v>0</v>
      </c>
      <c r="BD166" s="84">
        <v>0</v>
      </c>
      <c r="BE166" s="84">
        <v>1</v>
      </c>
      <c r="BF166" s="84">
        <v>0</v>
      </c>
      <c r="BG166" s="84">
        <v>0</v>
      </c>
      <c r="BH166" s="20">
        <v>0</v>
      </c>
      <c r="BI166" s="71"/>
      <c r="BJ166" s="71"/>
      <c r="BK166" s="71">
        <f t="shared" si="62"/>
        <v>92.176238572378367</v>
      </c>
      <c r="BL166" s="17">
        <v>0</v>
      </c>
      <c r="BM166" s="71"/>
      <c r="BN166" s="71"/>
      <c r="BO166" s="71">
        <f t="shared" si="63"/>
        <v>83.261163531413686</v>
      </c>
      <c r="BP166" s="17">
        <v>1</v>
      </c>
      <c r="BQ166" s="71"/>
      <c r="BR166" s="71"/>
      <c r="BS166" s="138">
        <f t="shared" si="64"/>
        <v>100.16171091563201</v>
      </c>
      <c r="BT166" s="17">
        <v>1</v>
      </c>
      <c r="BU166" s="71"/>
      <c r="BV166" s="71"/>
      <c r="BW166" s="71">
        <f t="shared" si="65"/>
        <v>93.001214173698628</v>
      </c>
      <c r="BX166" s="84">
        <v>0</v>
      </c>
      <c r="BY166" s="17">
        <v>2</v>
      </c>
      <c r="BZ166" s="71"/>
      <c r="CA166" s="71"/>
      <c r="CB166" s="71">
        <f t="shared" si="66"/>
        <v>100.53207713448795</v>
      </c>
      <c r="CC166" s="17">
        <v>0</v>
      </c>
      <c r="CD166" s="71"/>
      <c r="CE166" s="71"/>
      <c r="CF166" s="71">
        <f t="shared" si="67"/>
        <v>81.842287242964616</v>
      </c>
      <c r="CG166" s="17">
        <v>1</v>
      </c>
      <c r="CH166" s="71"/>
      <c r="CI166" s="71"/>
      <c r="CJ166" s="138">
        <f t="shared" si="68"/>
        <v>103.93736139675698</v>
      </c>
      <c r="CK166" s="17">
        <v>2</v>
      </c>
      <c r="CL166" s="71"/>
      <c r="CM166" s="71"/>
      <c r="CN166" s="71">
        <f t="shared" si="69"/>
        <v>100.22589057499034</v>
      </c>
      <c r="CO166" s="93">
        <v>0</v>
      </c>
      <c r="CP166" s="93">
        <v>1</v>
      </c>
      <c r="CQ166" s="93">
        <v>1</v>
      </c>
      <c r="CR166" s="93">
        <v>0</v>
      </c>
      <c r="CS166" s="102">
        <f t="shared" si="70"/>
        <v>96.916757788429209</v>
      </c>
      <c r="CT166" s="102">
        <f t="shared" si="71"/>
        <v>8.7678226963045027</v>
      </c>
      <c r="CU166" s="102">
        <f t="shared" si="72"/>
        <v>9.046756099130758E-2</v>
      </c>
      <c r="CV166" s="108">
        <f t="shared" si="73"/>
        <v>96.123554253890305</v>
      </c>
      <c r="CZ166" s="109" t="str">
        <f t="shared" si="74"/>
        <v>Medio-Basso</v>
      </c>
    </row>
    <row r="167" spans="1:104" x14ac:dyDescent="0.15">
      <c r="A167" s="85">
        <v>3</v>
      </c>
      <c r="B167" s="85">
        <v>2</v>
      </c>
      <c r="C167" s="85">
        <v>3</v>
      </c>
      <c r="D167" s="85">
        <v>2</v>
      </c>
      <c r="E167" s="85">
        <v>1</v>
      </c>
      <c r="F167" s="18">
        <v>2</v>
      </c>
      <c r="I167" s="64">
        <f t="shared" si="50"/>
        <v>109.85726154139888</v>
      </c>
      <c r="J167" s="18">
        <v>2</v>
      </c>
      <c r="M167" s="64">
        <f t="shared" si="51"/>
        <v>110.02144013573877</v>
      </c>
      <c r="N167" s="18">
        <v>2</v>
      </c>
      <c r="Q167" s="64">
        <f t="shared" si="52"/>
        <v>113.93405225485253</v>
      </c>
      <c r="R167" s="18">
        <v>3</v>
      </c>
      <c r="U167" s="64">
        <f t="shared" si="53"/>
        <v>111.09942135879838</v>
      </c>
      <c r="V167" s="18">
        <v>4</v>
      </c>
      <c r="Y167" s="114">
        <f t="shared" si="54"/>
        <v>110.77363490373656</v>
      </c>
      <c r="Z167" s="18">
        <v>2</v>
      </c>
      <c r="AC167" s="64">
        <f t="shared" si="55"/>
        <v>101.50550517487696</v>
      </c>
      <c r="AD167" s="24">
        <v>3</v>
      </c>
      <c r="AE167" s="71"/>
      <c r="AF167" s="71"/>
      <c r="AG167" s="71">
        <f t="shared" si="56"/>
        <v>109.20703006144345</v>
      </c>
      <c r="AH167" s="18">
        <v>3</v>
      </c>
      <c r="AK167" s="64">
        <f t="shared" si="57"/>
        <v>110.43726382077395</v>
      </c>
      <c r="AL167" s="18">
        <v>3</v>
      </c>
      <c r="AM167" s="71"/>
      <c r="AN167" s="71"/>
      <c r="AO167" s="71">
        <f t="shared" si="58"/>
        <v>100.85056924463234</v>
      </c>
      <c r="AP167" s="18">
        <v>3</v>
      </c>
      <c r="AQ167" s="71"/>
      <c r="AR167" s="71"/>
      <c r="AS167" s="71">
        <f t="shared" si="59"/>
        <v>110.12341030651692</v>
      </c>
      <c r="AT167" s="18">
        <v>2</v>
      </c>
      <c r="AU167" s="71"/>
      <c r="AV167" s="71"/>
      <c r="AW167" s="71">
        <f t="shared" si="60"/>
        <v>110.91338973410525</v>
      </c>
      <c r="AX167" s="18">
        <v>3</v>
      </c>
      <c r="AY167" s="71"/>
      <c r="AZ167" s="71"/>
      <c r="BA167" s="71">
        <f t="shared" si="61"/>
        <v>111.80497096144313</v>
      </c>
      <c r="BB167" s="85">
        <v>1</v>
      </c>
      <c r="BC167" s="85">
        <v>1</v>
      </c>
      <c r="BD167" s="85">
        <v>0</v>
      </c>
      <c r="BE167" s="85">
        <v>0</v>
      </c>
      <c r="BF167" s="85">
        <v>0</v>
      </c>
      <c r="BG167" s="85">
        <v>0</v>
      </c>
      <c r="BH167" s="19">
        <v>2</v>
      </c>
      <c r="BI167" s="71"/>
      <c r="BJ167" s="71"/>
      <c r="BK167" s="71">
        <f t="shared" si="62"/>
        <v>114.81520780975161</v>
      </c>
      <c r="BL167" s="18">
        <v>3</v>
      </c>
      <c r="BM167" s="71"/>
      <c r="BN167" s="71"/>
      <c r="BO167" s="71">
        <f t="shared" si="63"/>
        <v>111.29665318323313</v>
      </c>
      <c r="BP167" s="18">
        <v>2</v>
      </c>
      <c r="BQ167" s="71"/>
      <c r="BR167" s="71"/>
      <c r="BS167" s="138">
        <f t="shared" si="64"/>
        <v>113.86671101544545</v>
      </c>
      <c r="BT167" s="18">
        <v>3</v>
      </c>
      <c r="BU167" s="71"/>
      <c r="BV167" s="71"/>
      <c r="BW167" s="71">
        <f t="shared" si="65"/>
        <v>112.03791162123835</v>
      </c>
      <c r="BX167" s="85">
        <v>2</v>
      </c>
      <c r="BY167" s="18">
        <v>2</v>
      </c>
      <c r="BZ167" s="71"/>
      <c r="CA167" s="71"/>
      <c r="CB167" s="71">
        <f t="shared" si="66"/>
        <v>100.53207713448795</v>
      </c>
      <c r="CC167" s="18">
        <v>3</v>
      </c>
      <c r="CD167" s="71"/>
      <c r="CE167" s="71"/>
      <c r="CF167" s="71">
        <f t="shared" si="67"/>
        <v>109.36214907383548</v>
      </c>
      <c r="CG167" s="18">
        <v>1</v>
      </c>
      <c r="CH167" s="71"/>
      <c r="CI167" s="71"/>
      <c r="CJ167" s="138">
        <f t="shared" si="68"/>
        <v>103.93736139675698</v>
      </c>
      <c r="CK167" s="18">
        <v>3</v>
      </c>
      <c r="CL167" s="71"/>
      <c r="CM167" s="71"/>
      <c r="CN167" s="71">
        <f t="shared" si="69"/>
        <v>109.82624001207998</v>
      </c>
      <c r="CO167" s="94">
        <v>1</v>
      </c>
      <c r="CP167" s="94">
        <v>1</v>
      </c>
      <c r="CQ167" s="94">
        <v>0</v>
      </c>
      <c r="CR167" s="94">
        <v>0</v>
      </c>
      <c r="CS167" s="102">
        <f t="shared" si="70"/>
        <v>109.27203255465925</v>
      </c>
      <c r="CT167" s="102">
        <f t="shared" si="71"/>
        <v>4.239638788821229</v>
      </c>
      <c r="CU167" s="102">
        <f t="shared" si="72"/>
        <v>3.8798937749240717E-2</v>
      </c>
      <c r="CV167" s="108">
        <f t="shared" si="73"/>
        <v>109.10753907321251</v>
      </c>
      <c r="CZ167" s="109" t="str">
        <f t="shared" si="74"/>
        <v>Alto</v>
      </c>
    </row>
    <row r="168" spans="1:104" x14ac:dyDescent="0.15">
      <c r="A168" s="84">
        <v>3</v>
      </c>
      <c r="B168" s="84">
        <v>2</v>
      </c>
      <c r="C168" s="84">
        <v>3</v>
      </c>
      <c r="D168" s="84">
        <v>2</v>
      </c>
      <c r="E168" s="85">
        <v>1</v>
      </c>
      <c r="F168" s="17">
        <v>1</v>
      </c>
      <c r="I168" s="64">
        <f t="shared" si="50"/>
        <v>93.428492305734082</v>
      </c>
      <c r="J168" s="17">
        <v>1</v>
      </c>
      <c r="M168" s="64">
        <f t="shared" si="51"/>
        <v>95.705097084683388</v>
      </c>
      <c r="N168" s="17">
        <v>0</v>
      </c>
      <c r="Q168" s="64">
        <f t="shared" si="52"/>
        <v>82.559365058495843</v>
      </c>
      <c r="R168" s="17">
        <v>0</v>
      </c>
      <c r="U168" s="64">
        <f t="shared" si="53"/>
        <v>81.845132506151486</v>
      </c>
      <c r="V168" s="17">
        <v>4</v>
      </c>
      <c r="Y168" s="114">
        <f t="shared" si="54"/>
        <v>110.77363490373656</v>
      </c>
      <c r="Z168" s="17">
        <v>0</v>
      </c>
      <c r="AC168" s="64">
        <f t="shared" si="55"/>
        <v>85.509512691809249</v>
      </c>
      <c r="AD168" s="25">
        <v>0</v>
      </c>
      <c r="AE168" s="71"/>
      <c r="AF168" s="71"/>
      <c r="AG168" s="71">
        <f t="shared" si="56"/>
        <v>84.62281366701329</v>
      </c>
      <c r="AH168" s="17">
        <v>0</v>
      </c>
      <c r="AK168" s="64">
        <f t="shared" si="57"/>
        <v>77.680312752498807</v>
      </c>
      <c r="AL168" s="17">
        <v>3</v>
      </c>
      <c r="AM168" s="71"/>
      <c r="AN168" s="71"/>
      <c r="AO168" s="71">
        <f t="shared" si="58"/>
        <v>100.85056924463234</v>
      </c>
      <c r="AP168" s="17">
        <v>2</v>
      </c>
      <c r="AQ168" s="71"/>
      <c r="AR168" s="71"/>
      <c r="AS168" s="71">
        <f t="shared" si="59"/>
        <v>99.909880620416757</v>
      </c>
      <c r="AT168" s="17">
        <v>0</v>
      </c>
      <c r="AU168" s="71"/>
      <c r="AV168" s="71"/>
      <c r="AW168" s="71">
        <f t="shared" si="60"/>
        <v>89.214252251088965</v>
      </c>
      <c r="AX168" s="17">
        <v>2</v>
      </c>
      <c r="AY168" s="71"/>
      <c r="AZ168" s="71"/>
      <c r="BA168" s="71">
        <f t="shared" si="61"/>
        <v>100.92776194547928</v>
      </c>
      <c r="BB168" s="84">
        <v>0</v>
      </c>
      <c r="BC168" s="84">
        <v>0</v>
      </c>
      <c r="BD168" s="84">
        <v>1</v>
      </c>
      <c r="BE168" s="84">
        <v>1</v>
      </c>
      <c r="BF168" s="84">
        <v>0</v>
      </c>
      <c r="BG168" s="84">
        <v>0</v>
      </c>
      <c r="BH168" s="20">
        <v>0</v>
      </c>
      <c r="BI168" s="71"/>
      <c r="BJ168" s="71"/>
      <c r="BK168" s="71">
        <f t="shared" si="62"/>
        <v>92.176238572378367</v>
      </c>
      <c r="BL168" s="17">
        <v>3</v>
      </c>
      <c r="BM168" s="71"/>
      <c r="BN168" s="71"/>
      <c r="BO168" s="71">
        <f t="shared" si="63"/>
        <v>111.29665318323313</v>
      </c>
      <c r="BP168" s="17">
        <v>0</v>
      </c>
      <c r="BQ168" s="71"/>
      <c r="BR168" s="71"/>
      <c r="BS168" s="138">
        <f t="shared" si="64"/>
        <v>86.456710815818582</v>
      </c>
      <c r="BT168" s="17">
        <v>0</v>
      </c>
      <c r="BU168" s="71"/>
      <c r="BV168" s="71"/>
      <c r="BW168" s="71">
        <f t="shared" si="65"/>
        <v>83.482865449928767</v>
      </c>
      <c r="BX168" s="84">
        <v>2</v>
      </c>
      <c r="BY168" s="17">
        <v>1</v>
      </c>
      <c r="BZ168" s="71"/>
      <c r="CA168" s="71"/>
      <c r="CB168" s="71">
        <f t="shared" si="66"/>
        <v>91.01069683312474</v>
      </c>
      <c r="CC168" s="17">
        <v>0</v>
      </c>
      <c r="CD168" s="71"/>
      <c r="CE168" s="71"/>
      <c r="CF168" s="71">
        <f t="shared" si="67"/>
        <v>81.842287242964616</v>
      </c>
      <c r="CG168" s="17">
        <v>0</v>
      </c>
      <c r="CH168" s="71"/>
      <c r="CI168" s="71"/>
      <c r="CJ168" s="138">
        <f t="shared" si="68"/>
        <v>89.226340793489143</v>
      </c>
      <c r="CK168" s="17">
        <v>2</v>
      </c>
      <c r="CL168" s="71"/>
      <c r="CM168" s="71"/>
      <c r="CN168" s="71">
        <f t="shared" si="69"/>
        <v>100.22589057499034</v>
      </c>
      <c r="CO168" s="93">
        <v>0</v>
      </c>
      <c r="CP168" s="93">
        <v>0</v>
      </c>
      <c r="CQ168" s="93">
        <v>0</v>
      </c>
      <c r="CR168" s="93">
        <v>1</v>
      </c>
      <c r="CS168" s="102">
        <f t="shared" si="70"/>
        <v>91.311048352036664</v>
      </c>
      <c r="CT168" s="102">
        <f t="shared" si="71"/>
        <v>9.1742492202191634</v>
      </c>
      <c r="CU168" s="102">
        <f t="shared" si="72"/>
        <v>0.10047249906549272</v>
      </c>
      <c r="CV168" s="108">
        <f t="shared" si="73"/>
        <v>90.389288605831595</v>
      </c>
      <c r="CZ168" s="109" t="str">
        <f t="shared" si="74"/>
        <v>Basso</v>
      </c>
    </row>
    <row r="169" spans="1:104" x14ac:dyDescent="0.15">
      <c r="A169" s="85">
        <v>1</v>
      </c>
      <c r="B169" s="85">
        <v>2</v>
      </c>
      <c r="C169" s="85">
        <v>1</v>
      </c>
      <c r="D169" s="85">
        <v>2</v>
      </c>
      <c r="E169" s="85">
        <v>1</v>
      </c>
      <c r="F169" s="18">
        <v>1</v>
      </c>
      <c r="I169" s="64">
        <f t="shared" si="50"/>
        <v>93.428492305734082</v>
      </c>
      <c r="J169" s="18">
        <v>2</v>
      </c>
      <c r="M169" s="64">
        <f t="shared" si="51"/>
        <v>110.02144013573877</v>
      </c>
      <c r="N169" s="18">
        <v>2</v>
      </c>
      <c r="Q169" s="64">
        <f t="shared" si="52"/>
        <v>113.93405225485253</v>
      </c>
      <c r="R169" s="18">
        <v>3</v>
      </c>
      <c r="U169" s="64">
        <f t="shared" si="53"/>
        <v>111.09942135879838</v>
      </c>
      <c r="V169" s="18">
        <v>5</v>
      </c>
      <c r="Y169" s="114">
        <f t="shared" si="54"/>
        <v>117.22264171231127</v>
      </c>
      <c r="Z169" s="18">
        <v>0</v>
      </c>
      <c r="AC169" s="64">
        <f t="shared" si="55"/>
        <v>85.509512691809249</v>
      </c>
      <c r="AD169" s="24">
        <v>0</v>
      </c>
      <c r="AE169" s="71"/>
      <c r="AF169" s="71"/>
      <c r="AG169" s="71">
        <f t="shared" si="56"/>
        <v>84.62281366701329</v>
      </c>
      <c r="AH169" s="18">
        <v>2</v>
      </c>
      <c r="AK169" s="64">
        <f t="shared" si="57"/>
        <v>99.518280131348902</v>
      </c>
      <c r="AL169" s="18">
        <v>3</v>
      </c>
      <c r="AM169" s="71"/>
      <c r="AN169" s="71"/>
      <c r="AO169" s="71">
        <f t="shared" si="58"/>
        <v>100.85056924463234</v>
      </c>
      <c r="AP169" s="18">
        <v>2</v>
      </c>
      <c r="AQ169" s="71"/>
      <c r="AR169" s="71"/>
      <c r="AS169" s="71">
        <f t="shared" si="59"/>
        <v>99.909880620416757</v>
      </c>
      <c r="AT169" s="18">
        <v>0</v>
      </c>
      <c r="AU169" s="71"/>
      <c r="AV169" s="71"/>
      <c r="AW169" s="71">
        <f t="shared" si="60"/>
        <v>89.214252251088965</v>
      </c>
      <c r="AX169" s="18">
        <v>2</v>
      </c>
      <c r="AY169" s="71"/>
      <c r="AZ169" s="71"/>
      <c r="BA169" s="71">
        <f t="shared" si="61"/>
        <v>100.92776194547928</v>
      </c>
      <c r="BB169" s="85">
        <v>1</v>
      </c>
      <c r="BC169" s="85">
        <v>0</v>
      </c>
      <c r="BD169" s="85">
        <v>0</v>
      </c>
      <c r="BE169" s="85">
        <v>1</v>
      </c>
      <c r="BF169" s="85">
        <v>0</v>
      </c>
      <c r="BG169" s="85">
        <v>0</v>
      </c>
      <c r="BH169" s="19">
        <v>0</v>
      </c>
      <c r="BI169" s="71"/>
      <c r="BJ169" s="71"/>
      <c r="BK169" s="71">
        <f t="shared" si="62"/>
        <v>92.176238572378367</v>
      </c>
      <c r="BL169" s="18">
        <v>3</v>
      </c>
      <c r="BM169" s="71"/>
      <c r="BN169" s="71"/>
      <c r="BO169" s="71">
        <f t="shared" si="63"/>
        <v>111.29665318323313</v>
      </c>
      <c r="BP169" s="18">
        <v>1</v>
      </c>
      <c r="BQ169" s="71"/>
      <c r="BR169" s="71"/>
      <c r="BS169" s="138">
        <f t="shared" si="64"/>
        <v>100.16171091563201</v>
      </c>
      <c r="BT169" s="18">
        <v>2</v>
      </c>
      <c r="BU169" s="71"/>
      <c r="BV169" s="71"/>
      <c r="BW169" s="71">
        <f t="shared" si="65"/>
        <v>102.51956289746849</v>
      </c>
      <c r="BX169" s="85">
        <v>1</v>
      </c>
      <c r="BY169" s="18">
        <v>0</v>
      </c>
      <c r="BZ169" s="71"/>
      <c r="CA169" s="71"/>
      <c r="CB169" s="71">
        <f t="shared" si="66"/>
        <v>81.489316531761531</v>
      </c>
      <c r="CC169" s="18">
        <v>2</v>
      </c>
      <c r="CD169" s="71"/>
      <c r="CE169" s="71"/>
      <c r="CF169" s="71">
        <f t="shared" si="67"/>
        <v>100.18886179687853</v>
      </c>
      <c r="CG169" s="18">
        <v>0</v>
      </c>
      <c r="CH169" s="71"/>
      <c r="CI169" s="71"/>
      <c r="CJ169" s="138">
        <f t="shared" si="68"/>
        <v>89.226340793489143</v>
      </c>
      <c r="CK169" s="18">
        <v>2</v>
      </c>
      <c r="CL169" s="71"/>
      <c r="CM169" s="71"/>
      <c r="CN169" s="71">
        <f t="shared" si="69"/>
        <v>100.22589057499034</v>
      </c>
      <c r="CO169" s="94">
        <v>1</v>
      </c>
      <c r="CP169" s="94">
        <v>0</v>
      </c>
      <c r="CQ169" s="94">
        <v>0</v>
      </c>
      <c r="CR169" s="94">
        <v>0</v>
      </c>
      <c r="CS169" s="102">
        <f t="shared" si="70"/>
        <v>98.643117656683685</v>
      </c>
      <c r="CT169" s="102">
        <f t="shared" si="71"/>
        <v>9.7857181359412575</v>
      </c>
      <c r="CU169" s="102">
        <f t="shared" si="72"/>
        <v>9.9203252780385068E-2</v>
      </c>
      <c r="CV169" s="108">
        <f t="shared" si="73"/>
        <v>97.672342586806309</v>
      </c>
      <c r="CZ169" s="109" t="str">
        <f t="shared" si="74"/>
        <v>Medio-Basso</v>
      </c>
    </row>
    <row r="170" spans="1:104" x14ac:dyDescent="0.15">
      <c r="A170" s="84">
        <v>3</v>
      </c>
      <c r="B170" s="84">
        <v>2</v>
      </c>
      <c r="C170" s="84">
        <v>3</v>
      </c>
      <c r="D170" s="84">
        <v>1</v>
      </c>
      <c r="E170" s="85">
        <v>1</v>
      </c>
      <c r="F170" s="17">
        <v>2</v>
      </c>
      <c r="I170" s="64">
        <f t="shared" si="50"/>
        <v>109.85726154139888</v>
      </c>
      <c r="J170" s="17">
        <v>1</v>
      </c>
      <c r="M170" s="64">
        <f t="shared" si="51"/>
        <v>95.705097084683388</v>
      </c>
      <c r="N170" s="17">
        <v>1</v>
      </c>
      <c r="Q170" s="64">
        <f t="shared" si="52"/>
        <v>98.246708656674187</v>
      </c>
      <c r="R170" s="17">
        <v>3</v>
      </c>
      <c r="U170" s="64">
        <f t="shared" si="53"/>
        <v>111.09942135879838</v>
      </c>
      <c r="V170" s="17">
        <v>1</v>
      </c>
      <c r="Y170" s="114">
        <f t="shared" si="54"/>
        <v>91.426614478012453</v>
      </c>
      <c r="Z170" s="17">
        <v>3</v>
      </c>
      <c r="AC170" s="64">
        <f t="shared" si="55"/>
        <v>109.50350141641081</v>
      </c>
      <c r="AD170" s="25">
        <v>0</v>
      </c>
      <c r="AE170" s="71"/>
      <c r="AF170" s="71"/>
      <c r="AG170" s="71">
        <f t="shared" si="56"/>
        <v>84.62281366701329</v>
      </c>
      <c r="AH170" s="17">
        <v>2</v>
      </c>
      <c r="AK170" s="64">
        <f t="shared" si="57"/>
        <v>99.518280131348902</v>
      </c>
      <c r="AL170" s="17">
        <v>3</v>
      </c>
      <c r="AM170" s="71"/>
      <c r="AN170" s="71"/>
      <c r="AO170" s="71">
        <f t="shared" si="58"/>
        <v>100.85056924463234</v>
      </c>
      <c r="AP170" s="17">
        <v>2</v>
      </c>
      <c r="AQ170" s="71"/>
      <c r="AR170" s="71"/>
      <c r="AS170" s="71">
        <f t="shared" si="59"/>
        <v>99.909880620416757</v>
      </c>
      <c r="AT170" s="17">
        <v>2</v>
      </c>
      <c r="AU170" s="71"/>
      <c r="AV170" s="71"/>
      <c r="AW170" s="71">
        <f t="shared" si="60"/>
        <v>110.91338973410525</v>
      </c>
      <c r="AX170" s="17">
        <v>2</v>
      </c>
      <c r="AY170" s="71"/>
      <c r="AZ170" s="71"/>
      <c r="BA170" s="71">
        <f t="shared" si="61"/>
        <v>100.92776194547928</v>
      </c>
      <c r="BB170" s="84">
        <v>1</v>
      </c>
      <c r="BC170" s="84">
        <v>1</v>
      </c>
      <c r="BD170" s="84">
        <v>0</v>
      </c>
      <c r="BE170" s="84">
        <v>0</v>
      </c>
      <c r="BF170" s="84">
        <v>0</v>
      </c>
      <c r="BG170" s="84">
        <v>0</v>
      </c>
      <c r="BH170" s="20">
        <v>0</v>
      </c>
      <c r="BI170" s="71"/>
      <c r="BJ170" s="71"/>
      <c r="BK170" s="71">
        <f t="shared" si="62"/>
        <v>92.176238572378367</v>
      </c>
      <c r="BL170" s="17">
        <v>3</v>
      </c>
      <c r="BM170" s="71"/>
      <c r="BN170" s="71"/>
      <c r="BO170" s="71">
        <f t="shared" si="63"/>
        <v>111.29665318323313</v>
      </c>
      <c r="BP170" s="17">
        <v>1</v>
      </c>
      <c r="BQ170" s="71"/>
      <c r="BR170" s="71"/>
      <c r="BS170" s="138">
        <f t="shared" si="64"/>
        <v>100.16171091563201</v>
      </c>
      <c r="BT170" s="17">
        <v>2</v>
      </c>
      <c r="BU170" s="71"/>
      <c r="BV170" s="71"/>
      <c r="BW170" s="71">
        <f t="shared" si="65"/>
        <v>102.51956289746849</v>
      </c>
      <c r="BX170" s="84">
        <v>0</v>
      </c>
      <c r="BY170" s="17">
        <v>3</v>
      </c>
      <c r="BZ170" s="71"/>
      <c r="CA170" s="71"/>
      <c r="CB170" s="71">
        <f t="shared" si="66"/>
        <v>110.05345743585116</v>
      </c>
      <c r="CC170" s="17">
        <v>2</v>
      </c>
      <c r="CD170" s="71"/>
      <c r="CE170" s="71"/>
      <c r="CF170" s="71">
        <f t="shared" si="67"/>
        <v>100.18886179687853</v>
      </c>
      <c r="CG170" s="17">
        <v>0</v>
      </c>
      <c r="CH170" s="71"/>
      <c r="CI170" s="71"/>
      <c r="CJ170" s="138">
        <f t="shared" si="68"/>
        <v>89.226340793489143</v>
      </c>
      <c r="CK170" s="17">
        <v>2</v>
      </c>
      <c r="CL170" s="71"/>
      <c r="CM170" s="71"/>
      <c r="CN170" s="71">
        <f t="shared" si="69"/>
        <v>100.22589057499034</v>
      </c>
      <c r="CO170" s="93">
        <v>1</v>
      </c>
      <c r="CP170" s="93">
        <v>0</v>
      </c>
      <c r="CQ170" s="93">
        <v>1</v>
      </c>
      <c r="CR170" s="93">
        <v>0</v>
      </c>
      <c r="CS170" s="102">
        <f t="shared" si="70"/>
        <v>102.21266763892714</v>
      </c>
      <c r="CT170" s="102">
        <f t="shared" si="71"/>
        <v>7.5111836981396856</v>
      </c>
      <c r="CU170" s="102">
        <f t="shared" si="72"/>
        <v>7.348583958960378E-2</v>
      </c>
      <c r="CV170" s="108">
        <f t="shared" si="73"/>
        <v>101.6607019985576</v>
      </c>
      <c r="CZ170" s="109" t="str">
        <f t="shared" si="74"/>
        <v>Medio-Alto</v>
      </c>
    </row>
    <row r="171" spans="1:104" x14ac:dyDescent="0.15">
      <c r="A171" s="85">
        <v>2</v>
      </c>
      <c r="B171" s="85">
        <v>2</v>
      </c>
      <c r="C171" s="85">
        <v>0</v>
      </c>
      <c r="D171" s="85">
        <v>2</v>
      </c>
      <c r="E171" s="85">
        <v>1</v>
      </c>
      <c r="F171" s="18">
        <v>1</v>
      </c>
      <c r="I171" s="64">
        <f t="shared" si="50"/>
        <v>93.428492305734082</v>
      </c>
      <c r="J171" s="18">
        <v>2</v>
      </c>
      <c r="M171" s="64">
        <f t="shared" si="51"/>
        <v>110.02144013573877</v>
      </c>
      <c r="N171" s="18">
        <v>1</v>
      </c>
      <c r="Q171" s="64">
        <f t="shared" si="52"/>
        <v>98.246708656674187</v>
      </c>
      <c r="R171" s="18">
        <v>2</v>
      </c>
      <c r="U171" s="64">
        <f t="shared" si="53"/>
        <v>101.34799174124942</v>
      </c>
      <c r="V171" s="18">
        <v>1</v>
      </c>
      <c r="Y171" s="114">
        <f t="shared" si="54"/>
        <v>91.426614478012453</v>
      </c>
      <c r="Z171" s="18">
        <v>0</v>
      </c>
      <c r="AC171" s="64">
        <f t="shared" si="55"/>
        <v>85.509512691809249</v>
      </c>
      <c r="AD171" s="24">
        <v>2</v>
      </c>
      <c r="AE171" s="71"/>
      <c r="AF171" s="71"/>
      <c r="AG171" s="71">
        <f t="shared" si="56"/>
        <v>101.01229126330007</v>
      </c>
      <c r="AH171" s="18">
        <v>2</v>
      </c>
      <c r="AK171" s="64">
        <f t="shared" si="57"/>
        <v>99.518280131348902</v>
      </c>
      <c r="AL171" s="18">
        <v>3</v>
      </c>
      <c r="AM171" s="71"/>
      <c r="AN171" s="71"/>
      <c r="AO171" s="71">
        <f t="shared" si="58"/>
        <v>100.85056924463234</v>
      </c>
      <c r="AP171" s="18">
        <v>2</v>
      </c>
      <c r="AQ171" s="71"/>
      <c r="AR171" s="71"/>
      <c r="AS171" s="71">
        <f t="shared" si="59"/>
        <v>99.909880620416757</v>
      </c>
      <c r="AT171" s="18">
        <v>2</v>
      </c>
      <c r="AU171" s="71"/>
      <c r="AV171" s="71"/>
      <c r="AW171" s="71">
        <f t="shared" si="60"/>
        <v>110.91338973410525</v>
      </c>
      <c r="AX171" s="18">
        <v>2</v>
      </c>
      <c r="AY171" s="71"/>
      <c r="AZ171" s="71"/>
      <c r="BA171" s="71">
        <f t="shared" si="61"/>
        <v>100.92776194547928</v>
      </c>
      <c r="BB171" s="85">
        <v>1</v>
      </c>
      <c r="BC171" s="85">
        <v>0</v>
      </c>
      <c r="BD171" s="85">
        <v>1</v>
      </c>
      <c r="BE171" s="85">
        <v>0</v>
      </c>
      <c r="BF171" s="85">
        <v>0</v>
      </c>
      <c r="BG171" s="85">
        <v>0</v>
      </c>
      <c r="BH171" s="19">
        <v>0</v>
      </c>
      <c r="BI171" s="71"/>
      <c r="BJ171" s="71"/>
      <c r="BK171" s="71">
        <f t="shared" si="62"/>
        <v>92.176238572378367</v>
      </c>
      <c r="BL171" s="18">
        <v>1</v>
      </c>
      <c r="BM171" s="71"/>
      <c r="BN171" s="71"/>
      <c r="BO171" s="71">
        <f t="shared" si="63"/>
        <v>92.606326748686826</v>
      </c>
      <c r="BP171" s="18">
        <v>0</v>
      </c>
      <c r="BQ171" s="71"/>
      <c r="BR171" s="71"/>
      <c r="BS171" s="138">
        <f t="shared" si="64"/>
        <v>86.456710815818582</v>
      </c>
      <c r="BT171" s="18">
        <v>2</v>
      </c>
      <c r="BU171" s="71"/>
      <c r="BV171" s="71"/>
      <c r="BW171" s="71">
        <f t="shared" si="65"/>
        <v>102.51956289746849</v>
      </c>
      <c r="BX171" s="85">
        <v>3</v>
      </c>
      <c r="BY171" s="18">
        <v>2</v>
      </c>
      <c r="BZ171" s="71"/>
      <c r="CA171" s="71"/>
      <c r="CB171" s="71">
        <f t="shared" si="66"/>
        <v>100.53207713448795</v>
      </c>
      <c r="CC171" s="18">
        <v>0</v>
      </c>
      <c r="CD171" s="71"/>
      <c r="CE171" s="71"/>
      <c r="CF171" s="71">
        <f t="shared" si="67"/>
        <v>81.842287242964616</v>
      </c>
      <c r="CG171" s="18">
        <v>1</v>
      </c>
      <c r="CH171" s="71"/>
      <c r="CI171" s="71"/>
      <c r="CJ171" s="138">
        <f t="shared" si="68"/>
        <v>103.93736139675698</v>
      </c>
      <c r="CK171" s="18">
        <v>1</v>
      </c>
      <c r="CL171" s="71"/>
      <c r="CM171" s="71"/>
      <c r="CN171" s="71">
        <f t="shared" si="69"/>
        <v>90.625541137900711</v>
      </c>
      <c r="CO171" s="94">
        <v>1</v>
      </c>
      <c r="CP171" s="94">
        <v>0</v>
      </c>
      <c r="CQ171" s="94">
        <v>1</v>
      </c>
      <c r="CR171" s="94">
        <v>0</v>
      </c>
      <c r="CS171" s="102">
        <f t="shared" si="70"/>
        <v>97.764020717904415</v>
      </c>
      <c r="CT171" s="102">
        <f t="shared" si="71"/>
        <v>7.6466054978241571</v>
      </c>
      <c r="CU171" s="102">
        <f t="shared" si="72"/>
        <v>7.8214924485238202E-2</v>
      </c>
      <c r="CV171" s="108">
        <f t="shared" si="73"/>
        <v>97.165942046323693</v>
      </c>
      <c r="CZ171" s="109" t="str">
        <f t="shared" si="74"/>
        <v>Medio-Basso</v>
      </c>
    </row>
    <row r="172" spans="1:104" x14ac:dyDescent="0.15">
      <c r="A172" s="84">
        <v>2</v>
      </c>
      <c r="B172" s="84">
        <v>2</v>
      </c>
      <c r="C172" s="84">
        <v>0</v>
      </c>
      <c r="D172" s="84">
        <v>2</v>
      </c>
      <c r="E172" s="85">
        <v>1</v>
      </c>
      <c r="F172" s="17">
        <v>0</v>
      </c>
      <c r="I172" s="64">
        <f t="shared" si="50"/>
        <v>76.99972307006928</v>
      </c>
      <c r="J172" s="17">
        <v>0</v>
      </c>
      <c r="M172" s="64">
        <f t="shared" si="51"/>
        <v>81.388754033628004</v>
      </c>
      <c r="N172" s="17">
        <v>1</v>
      </c>
      <c r="Q172" s="64">
        <f t="shared" si="52"/>
        <v>98.246708656674187</v>
      </c>
      <c r="R172" s="17">
        <v>1</v>
      </c>
      <c r="U172" s="64">
        <f t="shared" si="53"/>
        <v>91.596562123700451</v>
      </c>
      <c r="V172" s="17">
        <v>5</v>
      </c>
      <c r="Y172" s="114">
        <f t="shared" si="54"/>
        <v>117.22264171231127</v>
      </c>
      <c r="Z172" s="17">
        <v>0</v>
      </c>
      <c r="AC172" s="64">
        <f t="shared" si="55"/>
        <v>85.509512691809249</v>
      </c>
      <c r="AD172" s="25">
        <v>1</v>
      </c>
      <c r="AE172" s="71"/>
      <c r="AF172" s="71"/>
      <c r="AG172" s="71">
        <f t="shared" si="56"/>
        <v>92.81755246515668</v>
      </c>
      <c r="AH172" s="17">
        <v>1</v>
      </c>
      <c r="AK172" s="64">
        <f t="shared" si="57"/>
        <v>88.599296441923855</v>
      </c>
      <c r="AL172" s="17">
        <v>3</v>
      </c>
      <c r="AM172" s="71"/>
      <c r="AN172" s="71"/>
      <c r="AO172" s="71">
        <f t="shared" si="58"/>
        <v>100.85056924463234</v>
      </c>
      <c r="AP172" s="17">
        <v>1</v>
      </c>
      <c r="AQ172" s="71"/>
      <c r="AR172" s="71"/>
      <c r="AS172" s="71">
        <f t="shared" si="59"/>
        <v>89.696350934316598</v>
      </c>
      <c r="AT172" s="17">
        <v>0</v>
      </c>
      <c r="AU172" s="71"/>
      <c r="AV172" s="71"/>
      <c r="AW172" s="71">
        <f t="shared" si="60"/>
        <v>89.214252251088965</v>
      </c>
      <c r="AX172" s="17">
        <v>1</v>
      </c>
      <c r="AY172" s="71"/>
      <c r="AZ172" s="71"/>
      <c r="BA172" s="71">
        <f t="shared" si="61"/>
        <v>90.050552929515405</v>
      </c>
      <c r="BB172" s="84">
        <v>1</v>
      </c>
      <c r="BC172" s="84">
        <v>0</v>
      </c>
      <c r="BD172" s="84">
        <v>1</v>
      </c>
      <c r="BE172" s="84">
        <v>0</v>
      </c>
      <c r="BF172" s="84">
        <v>0</v>
      </c>
      <c r="BG172" s="84">
        <v>0</v>
      </c>
      <c r="BH172" s="20">
        <v>1</v>
      </c>
      <c r="BI172" s="71"/>
      <c r="BJ172" s="71"/>
      <c r="BK172" s="71">
        <f t="shared" si="62"/>
        <v>103.49572319106498</v>
      </c>
      <c r="BL172" s="17">
        <v>1</v>
      </c>
      <c r="BM172" s="71"/>
      <c r="BN172" s="71"/>
      <c r="BO172" s="71">
        <f t="shared" si="63"/>
        <v>92.606326748686826</v>
      </c>
      <c r="BP172" s="17">
        <v>0</v>
      </c>
      <c r="BQ172" s="71"/>
      <c r="BR172" s="71"/>
      <c r="BS172" s="138">
        <f t="shared" si="64"/>
        <v>86.456710815818582</v>
      </c>
      <c r="BT172" s="17">
        <v>0</v>
      </c>
      <c r="BU172" s="71"/>
      <c r="BV172" s="71"/>
      <c r="BW172" s="71">
        <f t="shared" si="65"/>
        <v>83.482865449928767</v>
      </c>
      <c r="BX172" s="84">
        <v>3</v>
      </c>
      <c r="BY172" s="17">
        <v>0</v>
      </c>
      <c r="BZ172" s="71"/>
      <c r="CA172" s="71"/>
      <c r="CB172" s="71">
        <f t="shared" si="66"/>
        <v>81.489316531761531</v>
      </c>
      <c r="CC172" s="17">
        <v>2</v>
      </c>
      <c r="CD172" s="71"/>
      <c r="CE172" s="71"/>
      <c r="CF172" s="71">
        <f t="shared" si="67"/>
        <v>100.18886179687853</v>
      </c>
      <c r="CG172" s="17">
        <v>1</v>
      </c>
      <c r="CH172" s="71"/>
      <c r="CI172" s="71"/>
      <c r="CJ172" s="138">
        <f t="shared" si="68"/>
        <v>103.93736139675698</v>
      </c>
      <c r="CK172" s="17">
        <v>1</v>
      </c>
      <c r="CL172" s="71"/>
      <c r="CM172" s="71"/>
      <c r="CN172" s="71">
        <f t="shared" si="69"/>
        <v>90.625541137900711</v>
      </c>
      <c r="CO172" s="93">
        <v>1</v>
      </c>
      <c r="CP172" s="93">
        <v>1</v>
      </c>
      <c r="CQ172" s="93">
        <v>0</v>
      </c>
      <c r="CR172" s="93">
        <v>0</v>
      </c>
      <c r="CS172" s="102">
        <f t="shared" si="70"/>
        <v>90.403439394043303</v>
      </c>
      <c r="CT172" s="102">
        <f t="shared" si="71"/>
        <v>7.3633362005690186</v>
      </c>
      <c r="CU172" s="102">
        <f t="shared" si="72"/>
        <v>8.1449735208350818E-2</v>
      </c>
      <c r="CV172" s="108">
        <f t="shared" si="73"/>
        <v>89.80369761025689</v>
      </c>
      <c r="CZ172" s="109" t="str">
        <f t="shared" si="74"/>
        <v>Basso</v>
      </c>
    </row>
    <row r="173" spans="1:104" x14ac:dyDescent="0.15">
      <c r="A173" s="85">
        <v>3</v>
      </c>
      <c r="B173" s="85">
        <v>2</v>
      </c>
      <c r="C173" s="85">
        <v>1</v>
      </c>
      <c r="D173" s="85">
        <v>0</v>
      </c>
      <c r="E173" s="85">
        <v>1</v>
      </c>
      <c r="F173" s="18">
        <v>1</v>
      </c>
      <c r="I173" s="64">
        <f t="shared" si="50"/>
        <v>93.428492305734082</v>
      </c>
      <c r="J173" s="18">
        <v>0</v>
      </c>
      <c r="M173" s="64">
        <f t="shared" si="51"/>
        <v>81.388754033628004</v>
      </c>
      <c r="N173" s="18">
        <v>0</v>
      </c>
      <c r="Q173" s="64">
        <f t="shared" si="52"/>
        <v>82.559365058495843</v>
      </c>
      <c r="R173" s="18">
        <v>0</v>
      </c>
      <c r="U173" s="64">
        <f t="shared" si="53"/>
        <v>81.845132506151486</v>
      </c>
      <c r="V173" s="18">
        <v>2</v>
      </c>
      <c r="Y173" s="114">
        <f t="shared" si="54"/>
        <v>97.875621286587162</v>
      </c>
      <c r="Z173" s="18">
        <v>0</v>
      </c>
      <c r="AC173" s="64">
        <f t="shared" si="55"/>
        <v>85.509512691809249</v>
      </c>
      <c r="AD173" s="24">
        <v>0</v>
      </c>
      <c r="AE173" s="71"/>
      <c r="AF173" s="71"/>
      <c r="AG173" s="71">
        <f t="shared" si="56"/>
        <v>84.62281366701329</v>
      </c>
      <c r="AH173" s="18">
        <v>0</v>
      </c>
      <c r="AK173" s="64">
        <f t="shared" si="57"/>
        <v>77.680312752498807</v>
      </c>
      <c r="AL173" s="18">
        <v>3</v>
      </c>
      <c r="AM173" s="71"/>
      <c r="AN173" s="71"/>
      <c r="AO173" s="71">
        <f t="shared" si="58"/>
        <v>100.85056924463234</v>
      </c>
      <c r="AP173" s="18">
        <v>0</v>
      </c>
      <c r="AQ173" s="71"/>
      <c r="AR173" s="71"/>
      <c r="AS173" s="71">
        <f t="shared" si="59"/>
        <v>79.482821248216453</v>
      </c>
      <c r="AT173" s="18">
        <v>0</v>
      </c>
      <c r="AU173" s="71"/>
      <c r="AV173" s="71"/>
      <c r="AW173" s="71">
        <f t="shared" si="60"/>
        <v>89.214252251088965</v>
      </c>
      <c r="AX173" s="18">
        <v>0</v>
      </c>
      <c r="AY173" s="71"/>
      <c r="AZ173" s="71"/>
      <c r="BA173" s="71">
        <f t="shared" si="61"/>
        <v>79.173343913551548</v>
      </c>
      <c r="BB173" s="85">
        <v>0</v>
      </c>
      <c r="BC173" s="85">
        <v>0</v>
      </c>
      <c r="BD173" s="85">
        <v>1</v>
      </c>
      <c r="BE173" s="85">
        <v>1</v>
      </c>
      <c r="BF173" s="85">
        <v>0</v>
      </c>
      <c r="BG173" s="85">
        <v>0</v>
      </c>
      <c r="BH173" s="19">
        <v>0</v>
      </c>
      <c r="BI173" s="71"/>
      <c r="BJ173" s="71"/>
      <c r="BK173" s="71">
        <f t="shared" si="62"/>
        <v>92.176238572378367</v>
      </c>
      <c r="BL173" s="18">
        <v>0</v>
      </c>
      <c r="BM173" s="71"/>
      <c r="BN173" s="71"/>
      <c r="BO173" s="71">
        <f t="shared" si="63"/>
        <v>83.261163531413686</v>
      </c>
      <c r="BP173" s="18">
        <v>0</v>
      </c>
      <c r="BQ173" s="71"/>
      <c r="BR173" s="71"/>
      <c r="BS173" s="138">
        <f t="shared" si="64"/>
        <v>86.456710815818582</v>
      </c>
      <c r="BT173" s="18">
        <v>0</v>
      </c>
      <c r="BU173" s="71"/>
      <c r="BV173" s="71"/>
      <c r="BW173" s="71">
        <f t="shared" si="65"/>
        <v>83.482865449928767</v>
      </c>
      <c r="BX173" s="85">
        <v>2</v>
      </c>
      <c r="BY173" s="18">
        <v>1</v>
      </c>
      <c r="BZ173" s="71"/>
      <c r="CA173" s="71"/>
      <c r="CB173" s="71">
        <f t="shared" si="66"/>
        <v>91.01069683312474</v>
      </c>
      <c r="CC173" s="18">
        <v>0</v>
      </c>
      <c r="CD173" s="71"/>
      <c r="CE173" s="71"/>
      <c r="CF173" s="71">
        <f t="shared" si="67"/>
        <v>81.842287242964616</v>
      </c>
      <c r="CG173" s="18">
        <v>0</v>
      </c>
      <c r="CH173" s="71"/>
      <c r="CI173" s="71"/>
      <c r="CJ173" s="138">
        <f t="shared" si="68"/>
        <v>89.226340793489143</v>
      </c>
      <c r="CK173" s="18">
        <v>2</v>
      </c>
      <c r="CL173" s="71"/>
      <c r="CM173" s="71"/>
      <c r="CN173" s="71">
        <f t="shared" si="69"/>
        <v>100.22589057499034</v>
      </c>
      <c r="CO173" s="94">
        <v>0</v>
      </c>
      <c r="CP173" s="94">
        <v>0</v>
      </c>
      <c r="CQ173" s="94">
        <v>0</v>
      </c>
      <c r="CR173" s="94">
        <v>1</v>
      </c>
      <c r="CS173" s="102">
        <f t="shared" si="70"/>
        <v>86.338500698683561</v>
      </c>
      <c r="CT173" s="102">
        <f t="shared" si="71"/>
        <v>7.0340862121647376</v>
      </c>
      <c r="CU173" s="102">
        <f t="shared" si="72"/>
        <v>8.1471025732926458E-2</v>
      </c>
      <c r="CV173" s="108">
        <f t="shared" si="73"/>
        <v>85.765426479884667</v>
      </c>
      <c r="CZ173" s="109" t="str">
        <f t="shared" si="74"/>
        <v>Basso</v>
      </c>
    </row>
    <row r="174" spans="1:104" x14ac:dyDescent="0.15">
      <c r="A174" s="84">
        <v>3</v>
      </c>
      <c r="B174" s="84">
        <v>2</v>
      </c>
      <c r="C174" s="84">
        <v>0</v>
      </c>
      <c r="D174" s="84">
        <v>2</v>
      </c>
      <c r="E174" s="85">
        <v>1</v>
      </c>
      <c r="F174" s="17">
        <v>0</v>
      </c>
      <c r="I174" s="64">
        <f t="shared" si="50"/>
        <v>76.99972307006928</v>
      </c>
      <c r="J174" s="17">
        <v>0</v>
      </c>
      <c r="M174" s="64">
        <f t="shared" si="51"/>
        <v>81.388754033628004</v>
      </c>
      <c r="N174" s="17">
        <v>0</v>
      </c>
      <c r="Q174" s="64">
        <f t="shared" si="52"/>
        <v>82.559365058495843</v>
      </c>
      <c r="R174" s="17">
        <v>0</v>
      </c>
      <c r="U174" s="64">
        <f t="shared" si="53"/>
        <v>81.845132506151486</v>
      </c>
      <c r="V174" s="17">
        <v>5</v>
      </c>
      <c r="Y174" s="114">
        <f t="shared" si="54"/>
        <v>117.22264171231127</v>
      </c>
      <c r="Z174" s="17">
        <v>0</v>
      </c>
      <c r="AC174" s="64">
        <f t="shared" si="55"/>
        <v>85.509512691809249</v>
      </c>
      <c r="AD174" s="25">
        <v>1</v>
      </c>
      <c r="AE174" s="71"/>
      <c r="AF174" s="71"/>
      <c r="AG174" s="71">
        <f t="shared" si="56"/>
        <v>92.81755246515668</v>
      </c>
      <c r="AH174" s="17">
        <v>1</v>
      </c>
      <c r="AK174" s="64">
        <f t="shared" si="57"/>
        <v>88.599296441923855</v>
      </c>
      <c r="AL174" s="17">
        <v>3</v>
      </c>
      <c r="AM174" s="71"/>
      <c r="AN174" s="71"/>
      <c r="AO174" s="71">
        <f t="shared" si="58"/>
        <v>100.85056924463234</v>
      </c>
      <c r="AP174" s="17">
        <v>1</v>
      </c>
      <c r="AQ174" s="71"/>
      <c r="AR174" s="71"/>
      <c r="AS174" s="71">
        <f t="shared" si="59"/>
        <v>89.696350934316598</v>
      </c>
      <c r="AT174" s="17">
        <v>0</v>
      </c>
      <c r="AU174" s="71"/>
      <c r="AV174" s="71"/>
      <c r="AW174" s="71">
        <f t="shared" si="60"/>
        <v>89.214252251088965</v>
      </c>
      <c r="AX174" s="17">
        <v>3</v>
      </c>
      <c r="AY174" s="71"/>
      <c r="AZ174" s="71"/>
      <c r="BA174" s="71">
        <f t="shared" si="61"/>
        <v>111.80497096144313</v>
      </c>
      <c r="BB174" s="84">
        <v>1</v>
      </c>
      <c r="BC174" s="84">
        <v>0</v>
      </c>
      <c r="BD174" s="84">
        <v>1</v>
      </c>
      <c r="BE174" s="84">
        <v>0</v>
      </c>
      <c r="BF174" s="84">
        <v>0</v>
      </c>
      <c r="BG174" s="84">
        <v>0</v>
      </c>
      <c r="BH174" s="20">
        <v>1</v>
      </c>
      <c r="BI174" s="71"/>
      <c r="BJ174" s="71"/>
      <c r="BK174" s="71">
        <f t="shared" si="62"/>
        <v>103.49572319106498</v>
      </c>
      <c r="BL174" s="17">
        <v>3</v>
      </c>
      <c r="BM174" s="71"/>
      <c r="BN174" s="71"/>
      <c r="BO174" s="71">
        <f t="shared" si="63"/>
        <v>111.29665318323313</v>
      </c>
      <c r="BP174" s="17">
        <v>0</v>
      </c>
      <c r="BQ174" s="71"/>
      <c r="BR174" s="71"/>
      <c r="BS174" s="138">
        <f t="shared" si="64"/>
        <v>86.456710815818582</v>
      </c>
      <c r="BT174" s="17">
        <v>0</v>
      </c>
      <c r="BU174" s="71"/>
      <c r="BV174" s="71"/>
      <c r="BW174" s="71">
        <f t="shared" si="65"/>
        <v>83.482865449928767</v>
      </c>
      <c r="BX174" s="84">
        <v>0</v>
      </c>
      <c r="BY174" s="17">
        <v>0</v>
      </c>
      <c r="BZ174" s="71"/>
      <c r="CA174" s="71"/>
      <c r="CB174" s="71">
        <f t="shared" si="66"/>
        <v>81.489316531761531</v>
      </c>
      <c r="CC174" s="17">
        <v>1</v>
      </c>
      <c r="CD174" s="71"/>
      <c r="CE174" s="71"/>
      <c r="CF174" s="71">
        <f t="shared" si="67"/>
        <v>91.015574519921572</v>
      </c>
      <c r="CG174" s="17">
        <v>1</v>
      </c>
      <c r="CH174" s="71"/>
      <c r="CI174" s="71"/>
      <c r="CJ174" s="138">
        <f t="shared" si="68"/>
        <v>103.93736139675698</v>
      </c>
      <c r="CK174" s="17">
        <v>1</v>
      </c>
      <c r="CL174" s="71"/>
      <c r="CM174" s="71"/>
      <c r="CN174" s="71">
        <f t="shared" si="69"/>
        <v>90.625541137900711</v>
      </c>
      <c r="CO174" s="93">
        <v>1</v>
      </c>
      <c r="CP174" s="93">
        <v>0</v>
      </c>
      <c r="CQ174" s="93">
        <v>1</v>
      </c>
      <c r="CR174" s="93">
        <v>0</v>
      </c>
      <c r="CS174" s="102">
        <f t="shared" si="70"/>
        <v>90.746538451325051</v>
      </c>
      <c r="CT174" s="102">
        <f t="shared" si="71"/>
        <v>10.402905087616491</v>
      </c>
      <c r="CU174" s="102">
        <f t="shared" si="72"/>
        <v>0.11463693563580321</v>
      </c>
      <c r="CV174" s="108">
        <f t="shared" si="73"/>
        <v>89.553981290370587</v>
      </c>
      <c r="CZ174" s="109" t="str">
        <f t="shared" si="74"/>
        <v>Basso</v>
      </c>
    </row>
    <row r="175" spans="1:104" x14ac:dyDescent="0.15">
      <c r="A175" s="85">
        <v>4</v>
      </c>
      <c r="B175" s="85">
        <v>2</v>
      </c>
      <c r="C175" s="85">
        <v>0</v>
      </c>
      <c r="D175" s="85">
        <v>2</v>
      </c>
      <c r="E175" s="85">
        <v>1</v>
      </c>
      <c r="F175" s="18">
        <v>1</v>
      </c>
      <c r="I175" s="64">
        <f t="shared" si="50"/>
        <v>93.428492305734082</v>
      </c>
      <c r="J175" s="18">
        <v>1</v>
      </c>
      <c r="M175" s="64">
        <f t="shared" si="51"/>
        <v>95.705097084683388</v>
      </c>
      <c r="N175" s="18">
        <v>1</v>
      </c>
      <c r="Q175" s="64">
        <f t="shared" si="52"/>
        <v>98.246708656674187</v>
      </c>
      <c r="R175" s="18">
        <v>1</v>
      </c>
      <c r="U175" s="64">
        <f t="shared" si="53"/>
        <v>91.596562123700451</v>
      </c>
      <c r="V175" s="18">
        <v>4</v>
      </c>
      <c r="Y175" s="114">
        <f t="shared" si="54"/>
        <v>110.77363490373656</v>
      </c>
      <c r="Z175" s="18">
        <v>0</v>
      </c>
      <c r="AC175" s="64">
        <f t="shared" si="55"/>
        <v>85.509512691809249</v>
      </c>
      <c r="AD175" s="24">
        <v>0</v>
      </c>
      <c r="AE175" s="71"/>
      <c r="AF175" s="71"/>
      <c r="AG175" s="71">
        <f t="shared" si="56"/>
        <v>84.62281366701329</v>
      </c>
      <c r="AH175" s="18">
        <v>2</v>
      </c>
      <c r="AK175" s="64">
        <f t="shared" si="57"/>
        <v>99.518280131348902</v>
      </c>
      <c r="AL175" s="18">
        <v>3</v>
      </c>
      <c r="AM175" s="71"/>
      <c r="AN175" s="71"/>
      <c r="AO175" s="71">
        <f t="shared" si="58"/>
        <v>100.85056924463234</v>
      </c>
      <c r="AP175" s="18">
        <v>2</v>
      </c>
      <c r="AQ175" s="71"/>
      <c r="AR175" s="71"/>
      <c r="AS175" s="71">
        <f t="shared" si="59"/>
        <v>99.909880620416757</v>
      </c>
      <c r="AT175" s="18">
        <v>0</v>
      </c>
      <c r="AU175" s="71"/>
      <c r="AV175" s="71"/>
      <c r="AW175" s="71">
        <f t="shared" si="60"/>
        <v>89.214252251088965</v>
      </c>
      <c r="AX175" s="18">
        <v>2</v>
      </c>
      <c r="AY175" s="71"/>
      <c r="AZ175" s="71"/>
      <c r="BA175" s="71">
        <f t="shared" si="61"/>
        <v>100.92776194547928</v>
      </c>
      <c r="BB175" s="85">
        <v>1</v>
      </c>
      <c r="BC175" s="85">
        <v>0</v>
      </c>
      <c r="BD175" s="85">
        <v>1</v>
      </c>
      <c r="BE175" s="85">
        <v>0</v>
      </c>
      <c r="BF175" s="85">
        <v>0</v>
      </c>
      <c r="BG175" s="85">
        <v>0</v>
      </c>
      <c r="BH175" s="19">
        <v>0</v>
      </c>
      <c r="BI175" s="71"/>
      <c r="BJ175" s="71"/>
      <c r="BK175" s="71">
        <f t="shared" si="62"/>
        <v>92.176238572378367</v>
      </c>
      <c r="BL175" s="18">
        <v>3</v>
      </c>
      <c r="BM175" s="71"/>
      <c r="BN175" s="71"/>
      <c r="BO175" s="71">
        <f t="shared" si="63"/>
        <v>111.29665318323313</v>
      </c>
      <c r="BP175" s="18">
        <v>2</v>
      </c>
      <c r="BQ175" s="71"/>
      <c r="BR175" s="71"/>
      <c r="BS175" s="138">
        <f t="shared" si="64"/>
        <v>113.86671101544545</v>
      </c>
      <c r="BT175" s="18">
        <v>1</v>
      </c>
      <c r="BU175" s="71"/>
      <c r="BV175" s="71"/>
      <c r="BW175" s="71">
        <f t="shared" si="65"/>
        <v>93.001214173698628</v>
      </c>
      <c r="BX175" s="85">
        <v>2</v>
      </c>
      <c r="BY175" s="18">
        <v>3</v>
      </c>
      <c r="BZ175" s="71"/>
      <c r="CA175" s="71"/>
      <c r="CB175" s="71">
        <f t="shared" si="66"/>
        <v>110.05345743585116</v>
      </c>
      <c r="CC175" s="18">
        <v>2</v>
      </c>
      <c r="CD175" s="71"/>
      <c r="CE175" s="71"/>
      <c r="CF175" s="71">
        <f t="shared" si="67"/>
        <v>100.18886179687853</v>
      </c>
      <c r="CG175" s="18">
        <v>1</v>
      </c>
      <c r="CH175" s="71"/>
      <c r="CI175" s="71"/>
      <c r="CJ175" s="138">
        <f t="shared" si="68"/>
        <v>103.93736139675698</v>
      </c>
      <c r="CK175" s="18">
        <v>1</v>
      </c>
      <c r="CL175" s="71"/>
      <c r="CM175" s="71"/>
      <c r="CN175" s="71">
        <f t="shared" si="69"/>
        <v>90.625541137900711</v>
      </c>
      <c r="CO175" s="94">
        <v>1</v>
      </c>
      <c r="CP175" s="94">
        <v>0</v>
      </c>
      <c r="CQ175" s="94">
        <v>1</v>
      </c>
      <c r="CR175" s="94">
        <v>0</v>
      </c>
      <c r="CS175" s="102">
        <f t="shared" si="70"/>
        <v>96.286582177795367</v>
      </c>
      <c r="CT175" s="102">
        <f t="shared" si="71"/>
        <v>7.4677945032689612</v>
      </c>
      <c r="CU175" s="102">
        <f t="shared" si="72"/>
        <v>7.75579975357263E-2</v>
      </c>
      <c r="CV175" s="108">
        <f t="shared" si="73"/>
        <v>95.707394990113528</v>
      </c>
      <c r="CZ175" s="109" t="str">
        <f t="shared" si="74"/>
        <v>Basso</v>
      </c>
    </row>
    <row r="176" spans="1:104" x14ac:dyDescent="0.15">
      <c r="A176" s="84">
        <v>3</v>
      </c>
      <c r="B176" s="84">
        <v>2</v>
      </c>
      <c r="C176" s="84">
        <v>3</v>
      </c>
      <c r="D176" s="84">
        <v>2</v>
      </c>
      <c r="E176" s="85">
        <v>1</v>
      </c>
      <c r="F176" s="17">
        <v>1</v>
      </c>
      <c r="I176" s="64">
        <f t="shared" si="50"/>
        <v>93.428492305734082</v>
      </c>
      <c r="J176" s="17">
        <v>2</v>
      </c>
      <c r="M176" s="64">
        <f t="shared" si="51"/>
        <v>110.02144013573877</v>
      </c>
      <c r="N176" s="17">
        <v>1</v>
      </c>
      <c r="Q176" s="64">
        <f t="shared" si="52"/>
        <v>98.246708656674187</v>
      </c>
      <c r="R176" s="17">
        <v>0</v>
      </c>
      <c r="U176" s="64">
        <f t="shared" si="53"/>
        <v>81.845132506151486</v>
      </c>
      <c r="V176" s="17">
        <v>5</v>
      </c>
      <c r="Y176" s="114">
        <f t="shared" si="54"/>
        <v>117.22264171231127</v>
      </c>
      <c r="Z176" s="17">
        <v>0</v>
      </c>
      <c r="AC176" s="64">
        <f t="shared" si="55"/>
        <v>85.509512691809249</v>
      </c>
      <c r="AD176" s="25">
        <v>3</v>
      </c>
      <c r="AE176" s="71"/>
      <c r="AF176" s="71"/>
      <c r="AG176" s="71">
        <f t="shared" si="56"/>
        <v>109.20703006144345</v>
      </c>
      <c r="AH176" s="17">
        <v>1</v>
      </c>
      <c r="AK176" s="64">
        <f t="shared" si="57"/>
        <v>88.599296441923855</v>
      </c>
      <c r="AL176" s="17">
        <v>3</v>
      </c>
      <c r="AM176" s="71"/>
      <c r="AN176" s="71"/>
      <c r="AO176" s="71">
        <f t="shared" si="58"/>
        <v>100.85056924463234</v>
      </c>
      <c r="AP176" s="17">
        <v>2</v>
      </c>
      <c r="AQ176" s="71"/>
      <c r="AR176" s="71"/>
      <c r="AS176" s="71">
        <f t="shared" si="59"/>
        <v>99.909880620416757</v>
      </c>
      <c r="AT176" s="17">
        <v>2</v>
      </c>
      <c r="AU176" s="71"/>
      <c r="AV176" s="71"/>
      <c r="AW176" s="71">
        <f t="shared" si="60"/>
        <v>110.91338973410525</v>
      </c>
      <c r="AX176" s="17">
        <v>1</v>
      </c>
      <c r="AY176" s="71"/>
      <c r="AZ176" s="71"/>
      <c r="BA176" s="71">
        <f t="shared" si="61"/>
        <v>90.050552929515405</v>
      </c>
      <c r="BB176" s="84">
        <v>0</v>
      </c>
      <c r="BC176" s="84">
        <v>0</v>
      </c>
      <c r="BD176" s="84">
        <v>1</v>
      </c>
      <c r="BE176" s="84">
        <v>1</v>
      </c>
      <c r="BF176" s="84">
        <v>0</v>
      </c>
      <c r="BG176" s="84">
        <v>0</v>
      </c>
      <c r="BH176" s="20">
        <v>0</v>
      </c>
      <c r="BI176" s="71"/>
      <c r="BJ176" s="71"/>
      <c r="BK176" s="71">
        <f t="shared" si="62"/>
        <v>92.176238572378367</v>
      </c>
      <c r="BL176" s="17">
        <v>3</v>
      </c>
      <c r="BM176" s="71"/>
      <c r="BN176" s="71"/>
      <c r="BO176" s="71">
        <f t="shared" si="63"/>
        <v>111.29665318323313</v>
      </c>
      <c r="BP176" s="17">
        <v>0</v>
      </c>
      <c r="BQ176" s="71"/>
      <c r="BR176" s="71"/>
      <c r="BS176" s="138">
        <f t="shared" si="64"/>
        <v>86.456710815818582</v>
      </c>
      <c r="BT176" s="17">
        <v>1</v>
      </c>
      <c r="BU176" s="71"/>
      <c r="BV176" s="71"/>
      <c r="BW176" s="71">
        <f t="shared" si="65"/>
        <v>93.001214173698628</v>
      </c>
      <c r="BX176" s="84">
        <v>2</v>
      </c>
      <c r="BY176" s="17">
        <v>2</v>
      </c>
      <c r="BZ176" s="71"/>
      <c r="CA176" s="71"/>
      <c r="CB176" s="71">
        <f t="shared" si="66"/>
        <v>100.53207713448795</v>
      </c>
      <c r="CC176" s="17">
        <v>2</v>
      </c>
      <c r="CD176" s="71"/>
      <c r="CE176" s="71"/>
      <c r="CF176" s="71">
        <f t="shared" si="67"/>
        <v>100.18886179687853</v>
      </c>
      <c r="CG176" s="17">
        <v>0</v>
      </c>
      <c r="CH176" s="71"/>
      <c r="CI176" s="71"/>
      <c r="CJ176" s="138">
        <f t="shared" si="68"/>
        <v>89.226340793489143</v>
      </c>
      <c r="CK176" s="17">
        <v>2</v>
      </c>
      <c r="CL176" s="71"/>
      <c r="CM176" s="71"/>
      <c r="CN176" s="71">
        <f t="shared" si="69"/>
        <v>100.22589057499034</v>
      </c>
      <c r="CO176" s="93">
        <v>0</v>
      </c>
      <c r="CP176" s="93">
        <v>0</v>
      </c>
      <c r="CQ176" s="93">
        <v>1</v>
      </c>
      <c r="CR176" s="93">
        <v>0</v>
      </c>
      <c r="CS176" s="102">
        <f t="shared" si="70"/>
        <v>98.000172986106577</v>
      </c>
      <c r="CT176" s="102">
        <f t="shared" si="71"/>
        <v>8.9792198703388184</v>
      </c>
      <c r="CU176" s="102">
        <f t="shared" si="72"/>
        <v>9.1624530822122088E-2</v>
      </c>
      <c r="CV176" s="108">
        <f t="shared" si="73"/>
        <v>97.177456178338105</v>
      </c>
      <c r="CZ176" s="109" t="str">
        <f t="shared" si="74"/>
        <v>Medio-Basso</v>
      </c>
    </row>
    <row r="177" spans="1:104" x14ac:dyDescent="0.15">
      <c r="A177" s="85">
        <v>2</v>
      </c>
      <c r="B177" s="85">
        <v>1</v>
      </c>
      <c r="C177" s="85">
        <v>3</v>
      </c>
      <c r="D177" s="85">
        <v>2</v>
      </c>
      <c r="E177" s="85">
        <v>1</v>
      </c>
      <c r="F177" s="18">
        <v>2</v>
      </c>
      <c r="I177" s="64">
        <f t="shared" si="50"/>
        <v>109.85726154139888</v>
      </c>
      <c r="J177" s="18">
        <v>1</v>
      </c>
      <c r="M177" s="64">
        <f t="shared" si="51"/>
        <v>95.705097084683388</v>
      </c>
      <c r="N177" s="18">
        <v>1</v>
      </c>
      <c r="Q177" s="64">
        <f t="shared" si="52"/>
        <v>98.246708656674187</v>
      </c>
      <c r="R177" s="18">
        <v>2</v>
      </c>
      <c r="U177" s="64">
        <f t="shared" si="53"/>
        <v>101.34799174124942</v>
      </c>
      <c r="V177" s="18">
        <v>4</v>
      </c>
      <c r="Y177" s="114">
        <f t="shared" si="54"/>
        <v>110.77363490373656</v>
      </c>
      <c r="Z177" s="18">
        <v>0</v>
      </c>
      <c r="AC177" s="64">
        <f t="shared" si="55"/>
        <v>85.509512691809249</v>
      </c>
      <c r="AD177" s="24">
        <v>2</v>
      </c>
      <c r="AE177" s="71"/>
      <c r="AF177" s="71"/>
      <c r="AG177" s="71">
        <f t="shared" si="56"/>
        <v>101.01229126330007</v>
      </c>
      <c r="AH177" s="18">
        <v>0</v>
      </c>
      <c r="AK177" s="64">
        <f t="shared" si="57"/>
        <v>77.680312752498807</v>
      </c>
      <c r="AL177" s="18">
        <v>3</v>
      </c>
      <c r="AM177" s="71"/>
      <c r="AN177" s="71"/>
      <c r="AO177" s="71">
        <f t="shared" si="58"/>
        <v>100.85056924463234</v>
      </c>
      <c r="AP177" s="18">
        <v>2</v>
      </c>
      <c r="AQ177" s="71"/>
      <c r="AR177" s="71"/>
      <c r="AS177" s="71">
        <f t="shared" si="59"/>
        <v>99.909880620416757</v>
      </c>
      <c r="AT177" s="18">
        <v>0</v>
      </c>
      <c r="AU177" s="71"/>
      <c r="AV177" s="71"/>
      <c r="AW177" s="71">
        <f t="shared" si="60"/>
        <v>89.214252251088965</v>
      </c>
      <c r="AX177" s="18">
        <v>0</v>
      </c>
      <c r="AY177" s="71"/>
      <c r="AZ177" s="71"/>
      <c r="BA177" s="71">
        <f t="shared" si="61"/>
        <v>79.173343913551548</v>
      </c>
      <c r="BB177" s="85">
        <v>1</v>
      </c>
      <c r="BC177" s="85">
        <v>0</v>
      </c>
      <c r="BD177" s="85">
        <v>0</v>
      </c>
      <c r="BE177" s="85">
        <v>1</v>
      </c>
      <c r="BF177" s="85">
        <v>0</v>
      </c>
      <c r="BG177" s="85">
        <v>0</v>
      </c>
      <c r="BH177" s="19">
        <v>0</v>
      </c>
      <c r="BI177" s="71"/>
      <c r="BJ177" s="71"/>
      <c r="BK177" s="71">
        <f t="shared" si="62"/>
        <v>92.176238572378367</v>
      </c>
      <c r="BL177" s="18">
        <v>0</v>
      </c>
      <c r="BM177" s="71"/>
      <c r="BN177" s="71"/>
      <c r="BO177" s="71">
        <f t="shared" si="63"/>
        <v>83.261163531413686</v>
      </c>
      <c r="BP177" s="18">
        <v>0</v>
      </c>
      <c r="BQ177" s="71"/>
      <c r="BR177" s="71"/>
      <c r="BS177" s="138">
        <f t="shared" si="64"/>
        <v>86.456710815818582</v>
      </c>
      <c r="BT177" s="18">
        <v>2</v>
      </c>
      <c r="BU177" s="71"/>
      <c r="BV177" s="71"/>
      <c r="BW177" s="71">
        <f t="shared" si="65"/>
        <v>102.51956289746849</v>
      </c>
      <c r="BX177" s="85">
        <v>2</v>
      </c>
      <c r="BY177" s="18">
        <v>2</v>
      </c>
      <c r="BZ177" s="71"/>
      <c r="CA177" s="71"/>
      <c r="CB177" s="71">
        <f t="shared" si="66"/>
        <v>100.53207713448795</v>
      </c>
      <c r="CC177" s="18">
        <v>2</v>
      </c>
      <c r="CD177" s="71"/>
      <c r="CE177" s="71"/>
      <c r="CF177" s="71">
        <f t="shared" si="67"/>
        <v>100.18886179687853</v>
      </c>
      <c r="CG177" s="18">
        <v>0</v>
      </c>
      <c r="CH177" s="71"/>
      <c r="CI177" s="71"/>
      <c r="CJ177" s="138">
        <f t="shared" si="68"/>
        <v>89.226340793489143</v>
      </c>
      <c r="CK177" s="18">
        <v>2</v>
      </c>
      <c r="CL177" s="71"/>
      <c r="CM177" s="71"/>
      <c r="CN177" s="71">
        <f t="shared" si="69"/>
        <v>100.22589057499034</v>
      </c>
      <c r="CO177" s="94">
        <v>0</v>
      </c>
      <c r="CP177" s="94">
        <v>1</v>
      </c>
      <c r="CQ177" s="94">
        <v>0</v>
      </c>
      <c r="CR177" s="94">
        <v>0</v>
      </c>
      <c r="CS177" s="102">
        <f t="shared" si="70"/>
        <v>95.141824486407131</v>
      </c>
      <c r="CT177" s="102">
        <f t="shared" si="71"/>
        <v>9.1082722030833878</v>
      </c>
      <c r="CU177" s="102">
        <f t="shared" si="72"/>
        <v>9.5733629791645236E-2</v>
      </c>
      <c r="CV177" s="108">
        <f t="shared" si="73"/>
        <v>94.269856527275607</v>
      </c>
      <c r="CZ177" s="109" t="str">
        <f t="shared" si="74"/>
        <v>Basso</v>
      </c>
    </row>
    <row r="178" spans="1:104" x14ac:dyDescent="0.15">
      <c r="A178" s="84">
        <v>3</v>
      </c>
      <c r="B178" s="84">
        <v>2</v>
      </c>
      <c r="C178" s="84">
        <v>2</v>
      </c>
      <c r="D178" s="84">
        <v>2</v>
      </c>
      <c r="E178" s="85">
        <v>1</v>
      </c>
      <c r="F178" s="17">
        <v>2</v>
      </c>
      <c r="I178" s="64">
        <f t="shared" si="50"/>
        <v>109.85726154139888</v>
      </c>
      <c r="J178" s="17">
        <v>2</v>
      </c>
      <c r="M178" s="64">
        <f t="shared" si="51"/>
        <v>110.02144013573877</v>
      </c>
      <c r="N178" s="17">
        <v>0</v>
      </c>
      <c r="Q178" s="64">
        <f t="shared" si="52"/>
        <v>82.559365058495843</v>
      </c>
      <c r="R178" s="17">
        <v>1</v>
      </c>
      <c r="U178" s="64">
        <f t="shared" si="53"/>
        <v>91.596562123700451</v>
      </c>
      <c r="V178" s="17">
        <v>1</v>
      </c>
      <c r="Y178" s="114">
        <f t="shared" si="54"/>
        <v>91.426614478012453</v>
      </c>
      <c r="Z178" s="17">
        <v>0</v>
      </c>
      <c r="AC178" s="64">
        <f t="shared" si="55"/>
        <v>85.509512691809249</v>
      </c>
      <c r="AD178" s="25">
        <v>2</v>
      </c>
      <c r="AE178" s="71"/>
      <c r="AF178" s="71"/>
      <c r="AG178" s="71">
        <f t="shared" si="56"/>
        <v>101.01229126330007</v>
      </c>
      <c r="AH178" s="17">
        <v>1</v>
      </c>
      <c r="AK178" s="64">
        <f t="shared" si="57"/>
        <v>88.599296441923855</v>
      </c>
      <c r="AL178" s="17">
        <v>4</v>
      </c>
      <c r="AM178" s="71"/>
      <c r="AN178" s="71"/>
      <c r="AO178" s="71">
        <f t="shared" si="58"/>
        <v>111.97339782828605</v>
      </c>
      <c r="AP178" s="17">
        <v>2</v>
      </c>
      <c r="AQ178" s="71"/>
      <c r="AR178" s="71"/>
      <c r="AS178" s="71">
        <f t="shared" si="59"/>
        <v>99.909880620416757</v>
      </c>
      <c r="AT178" s="17">
        <v>1</v>
      </c>
      <c r="AU178" s="71"/>
      <c r="AV178" s="71"/>
      <c r="AW178" s="71">
        <f t="shared" si="60"/>
        <v>100.0638209925971</v>
      </c>
      <c r="AX178" s="17">
        <v>1</v>
      </c>
      <c r="AY178" s="71"/>
      <c r="AZ178" s="71"/>
      <c r="BA178" s="71">
        <f t="shared" si="61"/>
        <v>90.050552929515405</v>
      </c>
      <c r="BB178" s="84">
        <v>1</v>
      </c>
      <c r="BC178" s="84">
        <v>0</v>
      </c>
      <c r="BD178" s="84">
        <v>1</v>
      </c>
      <c r="BE178" s="84">
        <v>0</v>
      </c>
      <c r="BF178" s="84">
        <v>0</v>
      </c>
      <c r="BG178" s="84">
        <v>0</v>
      </c>
      <c r="BH178" s="20">
        <v>0</v>
      </c>
      <c r="BI178" s="71"/>
      <c r="BJ178" s="71"/>
      <c r="BK178" s="71">
        <f t="shared" si="62"/>
        <v>92.176238572378367</v>
      </c>
      <c r="BL178" s="17">
        <v>3</v>
      </c>
      <c r="BM178" s="71"/>
      <c r="BN178" s="71"/>
      <c r="BO178" s="71">
        <f t="shared" si="63"/>
        <v>111.29665318323313</v>
      </c>
      <c r="BP178" s="17">
        <v>1</v>
      </c>
      <c r="BQ178" s="71"/>
      <c r="BR178" s="71"/>
      <c r="BS178" s="138">
        <f t="shared" si="64"/>
        <v>100.16171091563201</v>
      </c>
      <c r="BT178" s="17">
        <v>1</v>
      </c>
      <c r="BU178" s="71"/>
      <c r="BV178" s="71"/>
      <c r="BW178" s="71">
        <f t="shared" si="65"/>
        <v>93.001214173698628</v>
      </c>
      <c r="BX178" s="84">
        <v>2</v>
      </c>
      <c r="BY178" s="17">
        <v>0</v>
      </c>
      <c r="BZ178" s="71"/>
      <c r="CA178" s="71"/>
      <c r="CB178" s="71">
        <f t="shared" si="66"/>
        <v>81.489316531761531</v>
      </c>
      <c r="CC178" s="17">
        <v>0</v>
      </c>
      <c r="CD178" s="71"/>
      <c r="CE178" s="71"/>
      <c r="CF178" s="71">
        <f t="shared" si="67"/>
        <v>81.842287242964616</v>
      </c>
      <c r="CG178" s="17">
        <v>0</v>
      </c>
      <c r="CH178" s="71"/>
      <c r="CI178" s="71"/>
      <c r="CJ178" s="138">
        <f t="shared" si="68"/>
        <v>89.226340793489143</v>
      </c>
      <c r="CK178" s="17">
        <v>2</v>
      </c>
      <c r="CL178" s="71"/>
      <c r="CM178" s="71"/>
      <c r="CN178" s="71">
        <f t="shared" si="69"/>
        <v>100.22589057499034</v>
      </c>
      <c r="CO178" s="93">
        <v>0</v>
      </c>
      <c r="CP178" s="93">
        <v>0</v>
      </c>
      <c r="CQ178" s="93">
        <v>1</v>
      </c>
      <c r="CR178" s="93">
        <v>0</v>
      </c>
      <c r="CS178" s="102">
        <f t="shared" si="70"/>
        <v>95.952057759188762</v>
      </c>
      <c r="CT178" s="102">
        <f t="shared" si="71"/>
        <v>10.569347454209149</v>
      </c>
      <c r="CU178" s="102">
        <f t="shared" si="72"/>
        <v>0.11015237923020973</v>
      </c>
      <c r="CV178" s="108">
        <f t="shared" si="73"/>
        <v>94.787818990196868</v>
      </c>
      <c r="CZ178" s="109" t="str">
        <f t="shared" si="74"/>
        <v>Basso</v>
      </c>
    </row>
    <row r="179" spans="1:104" x14ac:dyDescent="0.15">
      <c r="A179" s="85">
        <v>3</v>
      </c>
      <c r="B179" s="85">
        <v>2</v>
      </c>
      <c r="C179" s="85">
        <v>1</v>
      </c>
      <c r="D179" s="85">
        <v>2</v>
      </c>
      <c r="E179" s="85">
        <v>1</v>
      </c>
      <c r="F179" s="18">
        <v>2</v>
      </c>
      <c r="I179" s="64">
        <f t="shared" si="50"/>
        <v>109.85726154139888</v>
      </c>
      <c r="J179" s="18">
        <v>1</v>
      </c>
      <c r="M179" s="64">
        <f t="shared" si="51"/>
        <v>95.705097084683388</v>
      </c>
      <c r="N179" s="18">
        <v>0</v>
      </c>
      <c r="Q179" s="64">
        <f t="shared" si="52"/>
        <v>82.559365058495843</v>
      </c>
      <c r="R179" s="18">
        <v>3</v>
      </c>
      <c r="U179" s="64">
        <f t="shared" si="53"/>
        <v>111.09942135879838</v>
      </c>
      <c r="V179" s="18">
        <v>0</v>
      </c>
      <c r="Y179" s="114">
        <f t="shared" si="54"/>
        <v>84.977607669437745</v>
      </c>
      <c r="Z179" s="18">
        <v>0</v>
      </c>
      <c r="AC179" s="64">
        <f t="shared" si="55"/>
        <v>85.509512691809249</v>
      </c>
      <c r="AD179" s="24">
        <v>2</v>
      </c>
      <c r="AE179" s="71"/>
      <c r="AF179" s="71"/>
      <c r="AG179" s="71">
        <f t="shared" si="56"/>
        <v>101.01229126330007</v>
      </c>
      <c r="AH179" s="18">
        <v>2</v>
      </c>
      <c r="AK179" s="64">
        <f t="shared" si="57"/>
        <v>99.518280131348902</v>
      </c>
      <c r="AL179" s="18">
        <v>3</v>
      </c>
      <c r="AM179" s="71"/>
      <c r="AN179" s="71"/>
      <c r="AO179" s="71">
        <f t="shared" si="58"/>
        <v>100.85056924463234</v>
      </c>
      <c r="AP179" s="18">
        <v>1</v>
      </c>
      <c r="AQ179" s="71"/>
      <c r="AR179" s="71"/>
      <c r="AS179" s="71">
        <f t="shared" si="59"/>
        <v>89.696350934316598</v>
      </c>
      <c r="AT179" s="18">
        <v>0</v>
      </c>
      <c r="AU179" s="71"/>
      <c r="AV179" s="71"/>
      <c r="AW179" s="71">
        <f t="shared" si="60"/>
        <v>89.214252251088965</v>
      </c>
      <c r="AX179" s="18">
        <v>2</v>
      </c>
      <c r="AY179" s="71"/>
      <c r="AZ179" s="71"/>
      <c r="BA179" s="71">
        <f t="shared" si="61"/>
        <v>100.92776194547928</v>
      </c>
      <c r="BB179" s="85">
        <v>0</v>
      </c>
      <c r="BC179" s="85">
        <v>0</v>
      </c>
      <c r="BD179" s="85">
        <v>1</v>
      </c>
      <c r="BE179" s="85">
        <v>1</v>
      </c>
      <c r="BF179" s="85">
        <v>0</v>
      </c>
      <c r="BG179" s="85">
        <v>0</v>
      </c>
      <c r="BH179" s="19">
        <v>0</v>
      </c>
      <c r="BI179" s="71"/>
      <c r="BJ179" s="71"/>
      <c r="BK179" s="71">
        <f t="shared" si="62"/>
        <v>92.176238572378367</v>
      </c>
      <c r="BL179" s="18">
        <v>3</v>
      </c>
      <c r="BM179" s="71"/>
      <c r="BN179" s="71"/>
      <c r="BO179" s="71">
        <f t="shared" si="63"/>
        <v>111.29665318323313</v>
      </c>
      <c r="BP179" s="18">
        <v>1</v>
      </c>
      <c r="BQ179" s="71"/>
      <c r="BR179" s="71"/>
      <c r="BS179" s="138">
        <f t="shared" si="64"/>
        <v>100.16171091563201</v>
      </c>
      <c r="BT179" s="18">
        <v>1</v>
      </c>
      <c r="BU179" s="71"/>
      <c r="BV179" s="71"/>
      <c r="BW179" s="71">
        <f t="shared" si="65"/>
        <v>93.001214173698628</v>
      </c>
      <c r="BX179" s="85">
        <v>1</v>
      </c>
      <c r="BY179" s="18">
        <v>0</v>
      </c>
      <c r="BZ179" s="71"/>
      <c r="CA179" s="71"/>
      <c r="CB179" s="71">
        <f t="shared" si="66"/>
        <v>81.489316531761531</v>
      </c>
      <c r="CC179" s="18">
        <v>1</v>
      </c>
      <c r="CD179" s="71"/>
      <c r="CE179" s="71"/>
      <c r="CF179" s="71">
        <f t="shared" si="67"/>
        <v>91.015574519921572</v>
      </c>
      <c r="CG179" s="18">
        <v>2</v>
      </c>
      <c r="CH179" s="71"/>
      <c r="CI179" s="71"/>
      <c r="CJ179" s="138">
        <f t="shared" si="68"/>
        <v>118.64838200002481</v>
      </c>
      <c r="CK179" s="18">
        <v>0</v>
      </c>
      <c r="CL179" s="71"/>
      <c r="CM179" s="71"/>
      <c r="CN179" s="71">
        <f t="shared" si="69"/>
        <v>81.025191700811078</v>
      </c>
      <c r="CO179" s="94">
        <v>0</v>
      </c>
      <c r="CP179" s="94">
        <v>0</v>
      </c>
      <c r="CQ179" s="94">
        <v>1</v>
      </c>
      <c r="CR179" s="94">
        <v>0</v>
      </c>
      <c r="CS179" s="102">
        <f t="shared" si="70"/>
        <v>95.056138363950353</v>
      </c>
      <c r="CT179" s="102">
        <f t="shared" si="71"/>
        <v>9.9498890557063984</v>
      </c>
      <c r="CU179" s="102">
        <f t="shared" si="72"/>
        <v>0.10467381935515122</v>
      </c>
      <c r="CV179" s="108">
        <f t="shared" si="73"/>
        <v>94.014645474329541</v>
      </c>
      <c r="CZ179" s="109" t="str">
        <f t="shared" si="74"/>
        <v>Basso</v>
      </c>
    </row>
    <row r="180" spans="1:104" x14ac:dyDescent="0.15">
      <c r="A180" s="84">
        <v>3</v>
      </c>
      <c r="B180" s="84">
        <v>2</v>
      </c>
      <c r="C180" s="84">
        <v>1</v>
      </c>
      <c r="D180" s="84">
        <v>2</v>
      </c>
      <c r="E180" s="85">
        <v>1</v>
      </c>
      <c r="F180" s="17">
        <v>1</v>
      </c>
      <c r="I180" s="64">
        <f t="shared" si="50"/>
        <v>93.428492305734082</v>
      </c>
      <c r="J180" s="17">
        <v>0</v>
      </c>
      <c r="M180" s="64">
        <f t="shared" si="51"/>
        <v>81.388754033628004</v>
      </c>
      <c r="N180" s="17">
        <v>1</v>
      </c>
      <c r="Q180" s="64">
        <f t="shared" si="52"/>
        <v>98.246708656674187</v>
      </c>
      <c r="R180" s="17">
        <v>1</v>
      </c>
      <c r="U180" s="64">
        <f t="shared" si="53"/>
        <v>91.596562123700451</v>
      </c>
      <c r="V180" s="17">
        <v>4</v>
      </c>
      <c r="Y180" s="114">
        <f t="shared" si="54"/>
        <v>110.77363490373656</v>
      </c>
      <c r="Z180" s="17">
        <v>3</v>
      </c>
      <c r="AC180" s="64">
        <f t="shared" si="55"/>
        <v>109.50350141641081</v>
      </c>
      <c r="AD180" s="25">
        <v>0</v>
      </c>
      <c r="AE180" s="71"/>
      <c r="AF180" s="71"/>
      <c r="AG180" s="71">
        <f t="shared" si="56"/>
        <v>84.62281366701329</v>
      </c>
      <c r="AH180" s="17">
        <v>1</v>
      </c>
      <c r="AK180" s="64">
        <f t="shared" si="57"/>
        <v>88.599296441923855</v>
      </c>
      <c r="AL180" s="17">
        <v>3</v>
      </c>
      <c r="AM180" s="71"/>
      <c r="AN180" s="71"/>
      <c r="AO180" s="71">
        <f t="shared" si="58"/>
        <v>100.85056924463234</v>
      </c>
      <c r="AP180" s="17">
        <v>0</v>
      </c>
      <c r="AQ180" s="71"/>
      <c r="AR180" s="71"/>
      <c r="AS180" s="71">
        <f t="shared" si="59"/>
        <v>79.482821248216453</v>
      </c>
      <c r="AT180" s="17">
        <v>0</v>
      </c>
      <c r="AU180" s="71"/>
      <c r="AV180" s="71"/>
      <c r="AW180" s="71">
        <f t="shared" si="60"/>
        <v>89.214252251088965</v>
      </c>
      <c r="AX180" s="17">
        <v>0</v>
      </c>
      <c r="AY180" s="71"/>
      <c r="AZ180" s="71"/>
      <c r="BA180" s="71">
        <f t="shared" si="61"/>
        <v>79.173343913551548</v>
      </c>
      <c r="BB180" s="84">
        <v>1</v>
      </c>
      <c r="BC180" s="84">
        <v>0</v>
      </c>
      <c r="BD180" s="84">
        <v>1</v>
      </c>
      <c r="BE180" s="84">
        <v>0</v>
      </c>
      <c r="BF180" s="84">
        <v>0</v>
      </c>
      <c r="BG180" s="84">
        <v>0</v>
      </c>
      <c r="BH180" s="20">
        <v>0</v>
      </c>
      <c r="BI180" s="71"/>
      <c r="BJ180" s="71"/>
      <c r="BK180" s="71">
        <f t="shared" si="62"/>
        <v>92.176238572378367</v>
      </c>
      <c r="BL180" s="17">
        <v>1</v>
      </c>
      <c r="BM180" s="71"/>
      <c r="BN180" s="71"/>
      <c r="BO180" s="71">
        <f t="shared" si="63"/>
        <v>92.606326748686826</v>
      </c>
      <c r="BP180" s="17">
        <v>1</v>
      </c>
      <c r="BQ180" s="71"/>
      <c r="BR180" s="71"/>
      <c r="BS180" s="138">
        <f t="shared" si="64"/>
        <v>100.16171091563201</v>
      </c>
      <c r="BT180" s="17">
        <v>0</v>
      </c>
      <c r="BU180" s="71"/>
      <c r="BV180" s="71"/>
      <c r="BW180" s="71">
        <f t="shared" si="65"/>
        <v>83.482865449928767</v>
      </c>
      <c r="BX180" s="84">
        <v>2</v>
      </c>
      <c r="BY180" s="17">
        <v>3</v>
      </c>
      <c r="BZ180" s="71"/>
      <c r="CA180" s="71"/>
      <c r="CB180" s="71">
        <f t="shared" si="66"/>
        <v>110.05345743585116</v>
      </c>
      <c r="CC180" s="17">
        <v>2</v>
      </c>
      <c r="CD180" s="71"/>
      <c r="CE180" s="71"/>
      <c r="CF180" s="71">
        <f t="shared" si="67"/>
        <v>100.18886179687853</v>
      </c>
      <c r="CG180" s="17">
        <v>1</v>
      </c>
      <c r="CH180" s="71"/>
      <c r="CI180" s="71"/>
      <c r="CJ180" s="138">
        <f t="shared" si="68"/>
        <v>103.93736139675698</v>
      </c>
      <c r="CK180" s="17">
        <v>0</v>
      </c>
      <c r="CL180" s="71"/>
      <c r="CM180" s="71"/>
      <c r="CN180" s="71">
        <f t="shared" si="69"/>
        <v>81.025191700811078</v>
      </c>
      <c r="CO180" s="93">
        <v>0</v>
      </c>
      <c r="CP180" s="93">
        <v>0</v>
      </c>
      <c r="CQ180" s="93">
        <v>0</v>
      </c>
      <c r="CR180" s="93">
        <v>1</v>
      </c>
      <c r="CS180" s="102">
        <f t="shared" si="70"/>
        <v>91.508238647476986</v>
      </c>
      <c r="CT180" s="102">
        <f t="shared" si="71"/>
        <v>9.7331254621592649</v>
      </c>
      <c r="CU180" s="102">
        <f t="shared" si="72"/>
        <v>0.10636337892651178</v>
      </c>
      <c r="CV180" s="108">
        <f t="shared" si="73"/>
        <v>90.472990535806062</v>
      </c>
      <c r="CZ180" s="109" t="str">
        <f t="shared" si="74"/>
        <v>Basso</v>
      </c>
    </row>
    <row r="181" spans="1:104" x14ac:dyDescent="0.15">
      <c r="A181" s="85">
        <v>2</v>
      </c>
      <c r="B181" s="85">
        <v>2</v>
      </c>
      <c r="C181" s="85">
        <v>0</v>
      </c>
      <c r="D181" s="85">
        <v>2</v>
      </c>
      <c r="E181" s="85">
        <v>1</v>
      </c>
      <c r="F181" s="18">
        <v>2</v>
      </c>
      <c r="I181" s="64">
        <f t="shared" si="50"/>
        <v>109.85726154139888</v>
      </c>
      <c r="J181" s="18">
        <v>1</v>
      </c>
      <c r="M181" s="64">
        <f t="shared" si="51"/>
        <v>95.705097084683388</v>
      </c>
      <c r="N181" s="18">
        <v>1</v>
      </c>
      <c r="Q181" s="64">
        <f t="shared" si="52"/>
        <v>98.246708656674187</v>
      </c>
      <c r="R181" s="18">
        <v>2</v>
      </c>
      <c r="U181" s="64">
        <f t="shared" si="53"/>
        <v>101.34799174124942</v>
      </c>
      <c r="V181" s="18">
        <v>1</v>
      </c>
      <c r="Y181" s="114">
        <f t="shared" si="54"/>
        <v>91.426614478012453</v>
      </c>
      <c r="Z181" s="18">
        <v>0</v>
      </c>
      <c r="AC181" s="64">
        <f t="shared" si="55"/>
        <v>85.509512691809249</v>
      </c>
      <c r="AD181" s="24">
        <v>2</v>
      </c>
      <c r="AE181" s="71"/>
      <c r="AF181" s="71"/>
      <c r="AG181" s="71">
        <f t="shared" si="56"/>
        <v>101.01229126330007</v>
      </c>
      <c r="AH181" s="18">
        <v>2</v>
      </c>
      <c r="AK181" s="64">
        <f t="shared" si="57"/>
        <v>99.518280131348902</v>
      </c>
      <c r="AL181" s="18">
        <v>3</v>
      </c>
      <c r="AM181" s="71"/>
      <c r="AN181" s="71"/>
      <c r="AO181" s="71">
        <f t="shared" si="58"/>
        <v>100.85056924463234</v>
      </c>
      <c r="AP181" s="18">
        <v>2</v>
      </c>
      <c r="AQ181" s="71"/>
      <c r="AR181" s="71"/>
      <c r="AS181" s="71">
        <f t="shared" si="59"/>
        <v>99.909880620416757</v>
      </c>
      <c r="AT181" s="18">
        <v>2</v>
      </c>
      <c r="AU181" s="71"/>
      <c r="AV181" s="71"/>
      <c r="AW181" s="71">
        <f t="shared" si="60"/>
        <v>110.91338973410525</v>
      </c>
      <c r="AX181" s="18">
        <v>2</v>
      </c>
      <c r="AY181" s="71"/>
      <c r="AZ181" s="71"/>
      <c r="BA181" s="71">
        <f t="shared" si="61"/>
        <v>100.92776194547928</v>
      </c>
      <c r="BB181" s="85">
        <v>1</v>
      </c>
      <c r="BC181" s="85">
        <v>0</v>
      </c>
      <c r="BD181" s="85">
        <v>1</v>
      </c>
      <c r="BE181" s="85">
        <v>0</v>
      </c>
      <c r="BF181" s="85">
        <v>0</v>
      </c>
      <c r="BG181" s="85">
        <v>0</v>
      </c>
      <c r="BH181" s="19">
        <v>1</v>
      </c>
      <c r="BI181" s="71"/>
      <c r="BJ181" s="71"/>
      <c r="BK181" s="71">
        <f t="shared" si="62"/>
        <v>103.49572319106498</v>
      </c>
      <c r="BL181" s="18">
        <v>3</v>
      </c>
      <c r="BM181" s="71"/>
      <c r="BN181" s="71"/>
      <c r="BO181" s="71">
        <f t="shared" si="63"/>
        <v>111.29665318323313</v>
      </c>
      <c r="BP181" s="18">
        <v>0</v>
      </c>
      <c r="BQ181" s="71"/>
      <c r="BR181" s="71"/>
      <c r="BS181" s="138">
        <f t="shared" si="64"/>
        <v>86.456710815818582</v>
      </c>
      <c r="BT181" s="18">
        <v>0</v>
      </c>
      <c r="BU181" s="71"/>
      <c r="BV181" s="71"/>
      <c r="BW181" s="71">
        <f t="shared" si="65"/>
        <v>83.482865449928767</v>
      </c>
      <c r="BX181" s="85">
        <v>3</v>
      </c>
      <c r="BY181" s="18">
        <v>0</v>
      </c>
      <c r="BZ181" s="71"/>
      <c r="CA181" s="71"/>
      <c r="CB181" s="71">
        <f t="shared" si="66"/>
        <v>81.489316531761531</v>
      </c>
      <c r="CC181" s="18">
        <v>0</v>
      </c>
      <c r="CD181" s="71"/>
      <c r="CE181" s="71"/>
      <c r="CF181" s="71">
        <f t="shared" si="67"/>
        <v>81.842287242964616</v>
      </c>
      <c r="CG181" s="18">
        <v>0</v>
      </c>
      <c r="CH181" s="71"/>
      <c r="CI181" s="71"/>
      <c r="CJ181" s="138">
        <f t="shared" si="68"/>
        <v>89.226340793489143</v>
      </c>
      <c r="CK181" s="18">
        <v>0</v>
      </c>
      <c r="CL181" s="71"/>
      <c r="CM181" s="71"/>
      <c r="CN181" s="71">
        <f t="shared" si="69"/>
        <v>81.025191700811078</v>
      </c>
      <c r="CO181" s="94">
        <v>1</v>
      </c>
      <c r="CP181" s="94">
        <v>0</v>
      </c>
      <c r="CQ181" s="94">
        <v>1</v>
      </c>
      <c r="CR181" s="94">
        <v>0</v>
      </c>
      <c r="CS181" s="102">
        <f t="shared" si="70"/>
        <v>96.848869526756587</v>
      </c>
      <c r="CT181" s="102">
        <f t="shared" si="71"/>
        <v>10.394307946127485</v>
      </c>
      <c r="CU181" s="102">
        <f t="shared" si="72"/>
        <v>0.10732503122564413</v>
      </c>
      <c r="CV181" s="108">
        <f t="shared" si="73"/>
        <v>95.733300101869489</v>
      </c>
      <c r="CZ181" s="109" t="str">
        <f t="shared" si="74"/>
        <v>Basso</v>
      </c>
    </row>
    <row r="182" spans="1:104" x14ac:dyDescent="0.15">
      <c r="A182" s="84">
        <v>4</v>
      </c>
      <c r="B182" s="84">
        <v>1</v>
      </c>
      <c r="C182" s="84">
        <v>1</v>
      </c>
      <c r="D182" s="84">
        <v>1</v>
      </c>
      <c r="E182" s="85">
        <v>1</v>
      </c>
      <c r="F182" s="17">
        <v>0</v>
      </c>
      <c r="I182" s="64">
        <f t="shared" si="50"/>
        <v>76.99972307006928</v>
      </c>
      <c r="J182" s="17">
        <v>1</v>
      </c>
      <c r="M182" s="64">
        <f t="shared" si="51"/>
        <v>95.705097084683388</v>
      </c>
      <c r="N182" s="17">
        <v>1</v>
      </c>
      <c r="Q182" s="64">
        <f t="shared" si="52"/>
        <v>98.246708656674187</v>
      </c>
      <c r="R182" s="17">
        <v>3</v>
      </c>
      <c r="U182" s="64">
        <f t="shared" si="53"/>
        <v>111.09942135879838</v>
      </c>
      <c r="V182" s="17">
        <v>1</v>
      </c>
      <c r="Y182" s="114">
        <f t="shared" si="54"/>
        <v>91.426614478012453</v>
      </c>
      <c r="Z182" s="17">
        <v>3</v>
      </c>
      <c r="AC182" s="64">
        <f t="shared" si="55"/>
        <v>109.50350141641081</v>
      </c>
      <c r="AD182" s="25">
        <v>0</v>
      </c>
      <c r="AE182" s="71"/>
      <c r="AF182" s="71"/>
      <c r="AG182" s="71">
        <f t="shared" si="56"/>
        <v>84.62281366701329</v>
      </c>
      <c r="AH182" s="17">
        <v>1</v>
      </c>
      <c r="AK182" s="64">
        <f t="shared" si="57"/>
        <v>88.599296441923855</v>
      </c>
      <c r="AL182" s="17">
        <v>3</v>
      </c>
      <c r="AM182" s="71"/>
      <c r="AN182" s="71"/>
      <c r="AO182" s="71">
        <f t="shared" si="58"/>
        <v>100.85056924463234</v>
      </c>
      <c r="AP182" s="17">
        <v>1</v>
      </c>
      <c r="AQ182" s="71"/>
      <c r="AR182" s="71"/>
      <c r="AS182" s="71">
        <f t="shared" si="59"/>
        <v>89.696350934316598</v>
      </c>
      <c r="AT182" s="17">
        <v>1</v>
      </c>
      <c r="AU182" s="71"/>
      <c r="AV182" s="71"/>
      <c r="AW182" s="71">
        <f t="shared" si="60"/>
        <v>100.0638209925971</v>
      </c>
      <c r="AX182" s="17">
        <v>3</v>
      </c>
      <c r="AY182" s="71"/>
      <c r="AZ182" s="71"/>
      <c r="BA182" s="71">
        <f t="shared" si="61"/>
        <v>111.80497096144313</v>
      </c>
      <c r="BB182" s="84">
        <v>1</v>
      </c>
      <c r="BC182" s="84">
        <v>0</v>
      </c>
      <c r="BD182" s="84">
        <v>1</v>
      </c>
      <c r="BE182" s="84">
        <v>0</v>
      </c>
      <c r="BF182" s="84">
        <v>0</v>
      </c>
      <c r="BG182" s="84">
        <v>0</v>
      </c>
      <c r="BH182" s="20">
        <v>0</v>
      </c>
      <c r="BI182" s="71"/>
      <c r="BJ182" s="71"/>
      <c r="BK182" s="71">
        <f t="shared" si="62"/>
        <v>92.176238572378367</v>
      </c>
      <c r="BL182" s="17">
        <v>3</v>
      </c>
      <c r="BM182" s="71"/>
      <c r="BN182" s="71"/>
      <c r="BO182" s="71">
        <f t="shared" si="63"/>
        <v>111.29665318323313</v>
      </c>
      <c r="BP182" s="17">
        <v>1</v>
      </c>
      <c r="BQ182" s="71"/>
      <c r="BR182" s="71"/>
      <c r="BS182" s="138">
        <f t="shared" si="64"/>
        <v>100.16171091563201</v>
      </c>
      <c r="BT182" s="17">
        <v>1</v>
      </c>
      <c r="BU182" s="71"/>
      <c r="BV182" s="71"/>
      <c r="BW182" s="71">
        <f t="shared" si="65"/>
        <v>93.001214173698628</v>
      </c>
      <c r="BX182" s="84">
        <v>0</v>
      </c>
      <c r="BY182" s="17">
        <v>0</v>
      </c>
      <c r="BZ182" s="71"/>
      <c r="CA182" s="71"/>
      <c r="CB182" s="71">
        <f t="shared" si="66"/>
        <v>81.489316531761531</v>
      </c>
      <c r="CC182" s="17">
        <v>0</v>
      </c>
      <c r="CD182" s="71"/>
      <c r="CE182" s="71"/>
      <c r="CF182" s="71">
        <f t="shared" si="67"/>
        <v>81.842287242964616</v>
      </c>
      <c r="CG182" s="17">
        <v>1</v>
      </c>
      <c r="CH182" s="71"/>
      <c r="CI182" s="71"/>
      <c r="CJ182" s="138">
        <f t="shared" si="68"/>
        <v>103.93736139675698</v>
      </c>
      <c r="CK182" s="17">
        <v>3</v>
      </c>
      <c r="CL182" s="71"/>
      <c r="CM182" s="71"/>
      <c r="CN182" s="71">
        <f t="shared" si="69"/>
        <v>109.82624001207998</v>
      </c>
      <c r="CO182" s="93">
        <v>1</v>
      </c>
      <c r="CP182" s="93">
        <v>0</v>
      </c>
      <c r="CQ182" s="93">
        <v>1</v>
      </c>
      <c r="CR182" s="93">
        <v>0</v>
      </c>
      <c r="CS182" s="102">
        <f t="shared" si="70"/>
        <v>96.28377785556934</v>
      </c>
      <c r="CT182" s="102">
        <f t="shared" si="71"/>
        <v>11.588428892887711</v>
      </c>
      <c r="CU182" s="102">
        <f t="shared" si="72"/>
        <v>0.12035702328040093</v>
      </c>
      <c r="CV182" s="108">
        <f t="shared" si="73"/>
        <v>94.88902904952478</v>
      </c>
      <c r="CZ182" s="109" t="str">
        <f t="shared" si="74"/>
        <v>Basso</v>
      </c>
    </row>
    <row r="183" spans="1:104" x14ac:dyDescent="0.15">
      <c r="A183" s="85">
        <v>4</v>
      </c>
      <c r="B183" s="85">
        <v>1</v>
      </c>
      <c r="C183" s="85">
        <v>3</v>
      </c>
      <c r="D183" s="85">
        <v>2</v>
      </c>
      <c r="E183" s="85">
        <v>1</v>
      </c>
      <c r="F183" s="18">
        <v>2</v>
      </c>
      <c r="I183" s="64">
        <f t="shared" si="50"/>
        <v>109.85726154139888</v>
      </c>
      <c r="J183" s="18">
        <v>2</v>
      </c>
      <c r="M183" s="64">
        <f t="shared" si="51"/>
        <v>110.02144013573877</v>
      </c>
      <c r="N183" s="18">
        <v>0</v>
      </c>
      <c r="Q183" s="64">
        <f t="shared" si="52"/>
        <v>82.559365058495843</v>
      </c>
      <c r="R183" s="18">
        <v>0</v>
      </c>
      <c r="U183" s="64">
        <f t="shared" si="53"/>
        <v>81.845132506151486</v>
      </c>
      <c r="V183" s="18">
        <v>5</v>
      </c>
      <c r="Y183" s="114">
        <f t="shared" si="54"/>
        <v>117.22264171231127</v>
      </c>
      <c r="Z183" s="18">
        <v>0</v>
      </c>
      <c r="AC183" s="64">
        <f t="shared" si="55"/>
        <v>85.509512691809249</v>
      </c>
      <c r="AD183" s="24">
        <v>0</v>
      </c>
      <c r="AE183" s="71"/>
      <c r="AF183" s="71"/>
      <c r="AG183" s="71">
        <f t="shared" si="56"/>
        <v>84.62281366701329</v>
      </c>
      <c r="AH183" s="18">
        <v>0</v>
      </c>
      <c r="AK183" s="64">
        <f t="shared" si="57"/>
        <v>77.680312752498807</v>
      </c>
      <c r="AL183" s="18">
        <v>3</v>
      </c>
      <c r="AM183" s="71"/>
      <c r="AN183" s="71"/>
      <c r="AO183" s="71">
        <f t="shared" si="58"/>
        <v>100.85056924463234</v>
      </c>
      <c r="AP183" s="18">
        <v>0</v>
      </c>
      <c r="AQ183" s="71"/>
      <c r="AR183" s="71"/>
      <c r="AS183" s="71">
        <f t="shared" si="59"/>
        <v>79.482821248216453</v>
      </c>
      <c r="AT183" s="18">
        <v>0</v>
      </c>
      <c r="AU183" s="71"/>
      <c r="AV183" s="71"/>
      <c r="AW183" s="71">
        <f t="shared" si="60"/>
        <v>89.214252251088965</v>
      </c>
      <c r="AX183" s="18">
        <v>2</v>
      </c>
      <c r="AY183" s="71"/>
      <c r="AZ183" s="71"/>
      <c r="BA183" s="71">
        <f t="shared" si="61"/>
        <v>100.92776194547928</v>
      </c>
      <c r="BB183" s="85">
        <v>0</v>
      </c>
      <c r="BC183" s="85">
        <v>0</v>
      </c>
      <c r="BD183" s="85">
        <v>1</v>
      </c>
      <c r="BE183" s="85">
        <v>1</v>
      </c>
      <c r="BF183" s="85">
        <v>0</v>
      </c>
      <c r="BG183" s="85">
        <v>0</v>
      </c>
      <c r="BH183" s="19">
        <v>0</v>
      </c>
      <c r="BI183" s="71"/>
      <c r="BJ183" s="71"/>
      <c r="BK183" s="71">
        <f t="shared" si="62"/>
        <v>92.176238572378367</v>
      </c>
      <c r="BL183" s="18">
        <v>0</v>
      </c>
      <c r="BM183" s="71"/>
      <c r="BN183" s="71"/>
      <c r="BO183" s="71">
        <f t="shared" si="63"/>
        <v>83.261163531413686</v>
      </c>
      <c r="BP183" s="18">
        <v>0</v>
      </c>
      <c r="BQ183" s="71"/>
      <c r="BR183" s="71"/>
      <c r="BS183" s="138">
        <f t="shared" si="64"/>
        <v>86.456710815818582</v>
      </c>
      <c r="BT183" s="18">
        <v>0</v>
      </c>
      <c r="BU183" s="71"/>
      <c r="BV183" s="71"/>
      <c r="BW183" s="71">
        <f t="shared" si="65"/>
        <v>83.482865449928767</v>
      </c>
      <c r="BX183" s="85">
        <v>0</v>
      </c>
      <c r="BY183" s="18">
        <v>3</v>
      </c>
      <c r="BZ183" s="71"/>
      <c r="CA183" s="71"/>
      <c r="CB183" s="71">
        <f t="shared" si="66"/>
        <v>110.05345743585116</v>
      </c>
      <c r="CC183" s="18">
        <v>3</v>
      </c>
      <c r="CD183" s="71"/>
      <c r="CE183" s="71"/>
      <c r="CF183" s="71">
        <f t="shared" si="67"/>
        <v>109.36214907383548</v>
      </c>
      <c r="CG183" s="18">
        <v>2</v>
      </c>
      <c r="CH183" s="71"/>
      <c r="CI183" s="71"/>
      <c r="CJ183" s="138">
        <f t="shared" si="68"/>
        <v>118.64838200002481</v>
      </c>
      <c r="CK183" s="18">
        <v>2</v>
      </c>
      <c r="CL183" s="71"/>
      <c r="CM183" s="71"/>
      <c r="CN183" s="71">
        <f t="shared" si="69"/>
        <v>100.22589057499034</v>
      </c>
      <c r="CO183" s="94">
        <v>0</v>
      </c>
      <c r="CP183" s="94">
        <v>0</v>
      </c>
      <c r="CQ183" s="94">
        <v>1</v>
      </c>
      <c r="CR183" s="94">
        <v>0</v>
      </c>
      <c r="CS183" s="102">
        <f t="shared" si="70"/>
        <v>93.007823981230672</v>
      </c>
      <c r="CT183" s="102">
        <f t="shared" si="71"/>
        <v>11.954839751966768</v>
      </c>
      <c r="CU183" s="102">
        <f t="shared" si="72"/>
        <v>0.1285358504288768</v>
      </c>
      <c r="CV183" s="108">
        <f t="shared" si="73"/>
        <v>91.471198486970678</v>
      </c>
      <c r="CZ183" s="109" t="str">
        <f t="shared" si="74"/>
        <v>Basso</v>
      </c>
    </row>
    <row r="184" spans="1:104" x14ac:dyDescent="0.15">
      <c r="A184" s="84">
        <v>5</v>
      </c>
      <c r="B184" s="84">
        <v>2</v>
      </c>
      <c r="C184" s="84">
        <v>1</v>
      </c>
      <c r="D184" s="84">
        <v>2</v>
      </c>
      <c r="E184" s="85">
        <v>1</v>
      </c>
      <c r="F184" s="17">
        <v>0</v>
      </c>
      <c r="I184" s="64">
        <f t="shared" si="50"/>
        <v>76.99972307006928</v>
      </c>
      <c r="J184" s="17">
        <v>0</v>
      </c>
      <c r="M184" s="64">
        <f t="shared" si="51"/>
        <v>81.388754033628004</v>
      </c>
      <c r="N184" s="17">
        <v>1</v>
      </c>
      <c r="Q184" s="64">
        <f t="shared" si="52"/>
        <v>98.246708656674187</v>
      </c>
      <c r="R184" s="17">
        <v>1</v>
      </c>
      <c r="U184" s="64">
        <f t="shared" si="53"/>
        <v>91.596562123700451</v>
      </c>
      <c r="V184" s="17">
        <v>4</v>
      </c>
      <c r="Y184" s="114">
        <f t="shared" si="54"/>
        <v>110.77363490373656</v>
      </c>
      <c r="Z184" s="17">
        <v>2</v>
      </c>
      <c r="AC184" s="64">
        <f t="shared" si="55"/>
        <v>101.50550517487696</v>
      </c>
      <c r="AD184" s="25">
        <v>2</v>
      </c>
      <c r="AE184" s="71"/>
      <c r="AF184" s="71"/>
      <c r="AG184" s="71">
        <f t="shared" si="56"/>
        <v>101.01229126330007</v>
      </c>
      <c r="AH184" s="17">
        <v>1</v>
      </c>
      <c r="AK184" s="64">
        <f t="shared" si="57"/>
        <v>88.599296441923855</v>
      </c>
      <c r="AL184" s="17">
        <v>3</v>
      </c>
      <c r="AM184" s="71"/>
      <c r="AN184" s="71"/>
      <c r="AO184" s="71">
        <f t="shared" si="58"/>
        <v>100.85056924463234</v>
      </c>
      <c r="AP184" s="17">
        <v>2</v>
      </c>
      <c r="AQ184" s="71"/>
      <c r="AR184" s="71"/>
      <c r="AS184" s="71">
        <f t="shared" si="59"/>
        <v>99.909880620416757</v>
      </c>
      <c r="AT184" s="17">
        <v>0</v>
      </c>
      <c r="AU184" s="71"/>
      <c r="AV184" s="71"/>
      <c r="AW184" s="71">
        <f t="shared" si="60"/>
        <v>89.214252251088965</v>
      </c>
      <c r="AX184" s="17">
        <v>2</v>
      </c>
      <c r="AY184" s="71"/>
      <c r="AZ184" s="71"/>
      <c r="BA184" s="71">
        <f t="shared" si="61"/>
        <v>100.92776194547928</v>
      </c>
      <c r="BB184" s="84">
        <v>1</v>
      </c>
      <c r="BC184" s="84">
        <v>0</v>
      </c>
      <c r="BD184" s="84">
        <v>1</v>
      </c>
      <c r="BE184" s="84">
        <v>0</v>
      </c>
      <c r="BF184" s="84">
        <v>0</v>
      </c>
      <c r="BG184" s="84">
        <v>0</v>
      </c>
      <c r="BH184" s="20">
        <v>0</v>
      </c>
      <c r="BI184" s="71"/>
      <c r="BJ184" s="71"/>
      <c r="BK184" s="71">
        <f t="shared" si="62"/>
        <v>92.176238572378367</v>
      </c>
      <c r="BL184" s="17">
        <v>1</v>
      </c>
      <c r="BM184" s="71"/>
      <c r="BN184" s="71"/>
      <c r="BO184" s="71">
        <f t="shared" si="63"/>
        <v>92.606326748686826</v>
      </c>
      <c r="BP184" s="17">
        <v>1</v>
      </c>
      <c r="BQ184" s="71"/>
      <c r="BR184" s="71"/>
      <c r="BS184" s="138">
        <f t="shared" si="64"/>
        <v>100.16171091563201</v>
      </c>
      <c r="BT184" s="17">
        <v>2</v>
      </c>
      <c r="BU184" s="71"/>
      <c r="BV184" s="71"/>
      <c r="BW184" s="71">
        <f t="shared" si="65"/>
        <v>102.51956289746849</v>
      </c>
      <c r="BX184" s="84">
        <v>2</v>
      </c>
      <c r="BY184" s="17">
        <v>0</v>
      </c>
      <c r="BZ184" s="71"/>
      <c r="CA184" s="71"/>
      <c r="CB184" s="71">
        <f t="shared" si="66"/>
        <v>81.489316531761531</v>
      </c>
      <c r="CC184" s="17">
        <v>2</v>
      </c>
      <c r="CD184" s="71"/>
      <c r="CE184" s="71"/>
      <c r="CF184" s="71">
        <f t="shared" si="67"/>
        <v>100.18886179687853</v>
      </c>
      <c r="CG184" s="17">
        <v>1</v>
      </c>
      <c r="CH184" s="71"/>
      <c r="CI184" s="71"/>
      <c r="CJ184" s="138">
        <f t="shared" si="68"/>
        <v>103.93736139675698</v>
      </c>
      <c r="CK184" s="17">
        <v>3</v>
      </c>
      <c r="CL184" s="71"/>
      <c r="CM184" s="71"/>
      <c r="CN184" s="71">
        <f t="shared" si="69"/>
        <v>109.82624001207998</v>
      </c>
      <c r="CO184" s="93">
        <v>1</v>
      </c>
      <c r="CP184" s="93">
        <v>1</v>
      </c>
      <c r="CQ184" s="93">
        <v>0</v>
      </c>
      <c r="CR184" s="93">
        <v>0</v>
      </c>
      <c r="CS184" s="102">
        <f t="shared" si="70"/>
        <v>94.650461846179041</v>
      </c>
      <c r="CT184" s="102">
        <f t="shared" si="71"/>
        <v>8.9276201885692306</v>
      </c>
      <c r="CU184" s="102">
        <f t="shared" si="72"/>
        <v>9.4321992882379482E-2</v>
      </c>
      <c r="CV184" s="108">
        <f t="shared" si="73"/>
        <v>93.808390918296226</v>
      </c>
      <c r="CZ184" s="109" t="str">
        <f t="shared" si="74"/>
        <v>Basso</v>
      </c>
    </row>
    <row r="185" spans="1:104" x14ac:dyDescent="0.15">
      <c r="A185" s="85">
        <v>2</v>
      </c>
      <c r="B185" s="85">
        <v>2</v>
      </c>
      <c r="C185" s="85">
        <v>0</v>
      </c>
      <c r="D185" s="85">
        <v>2</v>
      </c>
      <c r="E185" s="85">
        <v>1</v>
      </c>
      <c r="F185" s="18">
        <v>1</v>
      </c>
      <c r="I185" s="64">
        <f t="shared" si="50"/>
        <v>93.428492305734082</v>
      </c>
      <c r="J185" s="18">
        <v>2</v>
      </c>
      <c r="M185" s="64">
        <f t="shared" si="51"/>
        <v>110.02144013573877</v>
      </c>
      <c r="N185" s="18">
        <v>1</v>
      </c>
      <c r="Q185" s="64">
        <f t="shared" si="52"/>
        <v>98.246708656674187</v>
      </c>
      <c r="R185" s="18">
        <v>1</v>
      </c>
      <c r="U185" s="64">
        <f t="shared" si="53"/>
        <v>91.596562123700451</v>
      </c>
      <c r="V185" s="18">
        <v>1</v>
      </c>
      <c r="Y185" s="114">
        <f t="shared" si="54"/>
        <v>91.426614478012453</v>
      </c>
      <c r="Z185" s="18">
        <v>3</v>
      </c>
      <c r="AC185" s="64">
        <f t="shared" si="55"/>
        <v>109.50350141641081</v>
      </c>
      <c r="AD185" s="24">
        <v>0</v>
      </c>
      <c r="AE185" s="71"/>
      <c r="AF185" s="71"/>
      <c r="AG185" s="71">
        <f t="shared" si="56"/>
        <v>84.62281366701329</v>
      </c>
      <c r="AH185" s="18">
        <v>2</v>
      </c>
      <c r="AK185" s="64">
        <f t="shared" si="57"/>
        <v>99.518280131348902</v>
      </c>
      <c r="AL185" s="18">
        <v>3</v>
      </c>
      <c r="AM185" s="71"/>
      <c r="AN185" s="71"/>
      <c r="AO185" s="71">
        <f t="shared" si="58"/>
        <v>100.85056924463234</v>
      </c>
      <c r="AP185" s="18">
        <v>2</v>
      </c>
      <c r="AQ185" s="71"/>
      <c r="AR185" s="71"/>
      <c r="AS185" s="71">
        <f t="shared" si="59"/>
        <v>99.909880620416757</v>
      </c>
      <c r="AT185" s="18">
        <v>2</v>
      </c>
      <c r="AU185" s="71"/>
      <c r="AV185" s="71"/>
      <c r="AW185" s="71">
        <f t="shared" si="60"/>
        <v>110.91338973410525</v>
      </c>
      <c r="AX185" s="18">
        <v>1</v>
      </c>
      <c r="AY185" s="71"/>
      <c r="AZ185" s="71"/>
      <c r="BA185" s="71">
        <f t="shared" si="61"/>
        <v>90.050552929515405</v>
      </c>
      <c r="BB185" s="85">
        <v>1</v>
      </c>
      <c r="BC185" s="85">
        <v>0</v>
      </c>
      <c r="BD185" s="85">
        <v>1</v>
      </c>
      <c r="BE185" s="85">
        <v>0</v>
      </c>
      <c r="BF185" s="85">
        <v>0</v>
      </c>
      <c r="BG185" s="85">
        <v>0</v>
      </c>
      <c r="BH185" s="19">
        <v>0</v>
      </c>
      <c r="BI185" s="71"/>
      <c r="BJ185" s="71"/>
      <c r="BK185" s="71">
        <f t="shared" si="62"/>
        <v>92.176238572378367</v>
      </c>
      <c r="BL185" s="18">
        <v>1</v>
      </c>
      <c r="BM185" s="71"/>
      <c r="BN185" s="71"/>
      <c r="BO185" s="71">
        <f t="shared" si="63"/>
        <v>92.606326748686826</v>
      </c>
      <c r="BP185" s="18">
        <v>1</v>
      </c>
      <c r="BQ185" s="71"/>
      <c r="BR185" s="71"/>
      <c r="BS185" s="138">
        <f t="shared" si="64"/>
        <v>100.16171091563201</v>
      </c>
      <c r="BT185" s="18">
        <v>2</v>
      </c>
      <c r="BU185" s="71"/>
      <c r="BV185" s="71"/>
      <c r="BW185" s="71">
        <f t="shared" si="65"/>
        <v>102.51956289746849</v>
      </c>
      <c r="BX185" s="85">
        <v>3</v>
      </c>
      <c r="BY185" s="18">
        <v>2</v>
      </c>
      <c r="BZ185" s="71"/>
      <c r="CA185" s="71"/>
      <c r="CB185" s="71">
        <f t="shared" si="66"/>
        <v>100.53207713448795</v>
      </c>
      <c r="CC185" s="18">
        <v>2</v>
      </c>
      <c r="CD185" s="71"/>
      <c r="CE185" s="71"/>
      <c r="CF185" s="71">
        <f t="shared" si="67"/>
        <v>100.18886179687853</v>
      </c>
      <c r="CG185" s="18">
        <v>1</v>
      </c>
      <c r="CH185" s="71"/>
      <c r="CI185" s="71"/>
      <c r="CJ185" s="138">
        <f t="shared" si="68"/>
        <v>103.93736139675698</v>
      </c>
      <c r="CK185" s="18">
        <v>1</v>
      </c>
      <c r="CL185" s="71"/>
      <c r="CM185" s="71"/>
      <c r="CN185" s="71">
        <f t="shared" si="69"/>
        <v>90.625541137900711</v>
      </c>
      <c r="CO185" s="94">
        <v>1</v>
      </c>
      <c r="CP185" s="94">
        <v>0</v>
      </c>
      <c r="CQ185" s="94">
        <v>1</v>
      </c>
      <c r="CR185" s="94">
        <v>0</v>
      </c>
      <c r="CS185" s="102">
        <f t="shared" si="70"/>
        <v>98.077105838417111</v>
      </c>
      <c r="CT185" s="102">
        <f t="shared" si="71"/>
        <v>7.5444707152616344</v>
      </c>
      <c r="CU185" s="102">
        <f t="shared" si="72"/>
        <v>7.6923871792171514E-2</v>
      </c>
      <c r="CV185" s="108">
        <f t="shared" si="73"/>
        <v>97.496755940376531</v>
      </c>
      <c r="CZ185" s="109" t="str">
        <f t="shared" si="74"/>
        <v>Medio-Basso</v>
      </c>
    </row>
    <row r="186" spans="1:104" x14ac:dyDescent="0.15">
      <c r="A186" s="84">
        <v>4</v>
      </c>
      <c r="B186" s="84">
        <v>2</v>
      </c>
      <c r="C186" s="84">
        <v>1</v>
      </c>
      <c r="D186" s="84">
        <v>0</v>
      </c>
      <c r="E186" s="85">
        <v>1</v>
      </c>
      <c r="F186" s="17">
        <v>1</v>
      </c>
      <c r="I186" s="64">
        <f t="shared" si="50"/>
        <v>93.428492305734082</v>
      </c>
      <c r="J186" s="17">
        <v>2</v>
      </c>
      <c r="M186" s="64">
        <f t="shared" si="51"/>
        <v>110.02144013573877</v>
      </c>
      <c r="N186" s="17">
        <v>2</v>
      </c>
      <c r="Q186" s="64">
        <f t="shared" si="52"/>
        <v>113.93405225485253</v>
      </c>
      <c r="R186" s="17">
        <v>3</v>
      </c>
      <c r="U186" s="64">
        <f t="shared" si="53"/>
        <v>111.09942135879838</v>
      </c>
      <c r="V186" s="17">
        <v>4</v>
      </c>
      <c r="Y186" s="114">
        <f t="shared" si="54"/>
        <v>110.77363490373656</v>
      </c>
      <c r="Z186" s="17">
        <v>1</v>
      </c>
      <c r="AC186" s="64">
        <f t="shared" si="55"/>
        <v>93.507508933343104</v>
      </c>
      <c r="AD186" s="25">
        <v>3</v>
      </c>
      <c r="AE186" s="71"/>
      <c r="AF186" s="71"/>
      <c r="AG186" s="71">
        <f t="shared" si="56"/>
        <v>109.20703006144345</v>
      </c>
      <c r="AH186" s="17">
        <v>3</v>
      </c>
      <c r="AK186" s="64">
        <f t="shared" si="57"/>
        <v>110.43726382077395</v>
      </c>
      <c r="AL186" s="17">
        <v>2</v>
      </c>
      <c r="AM186" s="71"/>
      <c r="AN186" s="71"/>
      <c r="AO186" s="71">
        <f t="shared" si="58"/>
        <v>89.72774066097864</v>
      </c>
      <c r="AP186" s="17">
        <v>3</v>
      </c>
      <c r="AQ186" s="71"/>
      <c r="AR186" s="71"/>
      <c r="AS186" s="71">
        <f t="shared" si="59"/>
        <v>110.12341030651692</v>
      </c>
      <c r="AT186" s="17">
        <v>2</v>
      </c>
      <c r="AU186" s="71"/>
      <c r="AV186" s="71"/>
      <c r="AW186" s="71">
        <f t="shared" si="60"/>
        <v>110.91338973410525</v>
      </c>
      <c r="AX186" s="17">
        <v>3</v>
      </c>
      <c r="AY186" s="71"/>
      <c r="AZ186" s="71"/>
      <c r="BA186" s="71">
        <f t="shared" si="61"/>
        <v>111.80497096144313</v>
      </c>
      <c r="BB186" s="84">
        <v>0</v>
      </c>
      <c r="BC186" s="84">
        <v>1</v>
      </c>
      <c r="BD186" s="84">
        <v>1</v>
      </c>
      <c r="BE186" s="84">
        <v>0</v>
      </c>
      <c r="BF186" s="84">
        <v>0</v>
      </c>
      <c r="BG186" s="84">
        <v>0</v>
      </c>
      <c r="BH186" s="20">
        <v>2</v>
      </c>
      <c r="BI186" s="71"/>
      <c r="BJ186" s="71"/>
      <c r="BK186" s="71">
        <f t="shared" si="62"/>
        <v>114.81520780975161</v>
      </c>
      <c r="BL186" s="17">
        <v>1</v>
      </c>
      <c r="BM186" s="71"/>
      <c r="BN186" s="71"/>
      <c r="BO186" s="71">
        <f t="shared" si="63"/>
        <v>92.606326748686826</v>
      </c>
      <c r="BP186" s="17">
        <v>3</v>
      </c>
      <c r="BQ186" s="71"/>
      <c r="BR186" s="71"/>
      <c r="BS186" s="138">
        <f t="shared" si="64"/>
        <v>127.57171111525888</v>
      </c>
      <c r="BT186" s="17">
        <v>3</v>
      </c>
      <c r="BU186" s="71"/>
      <c r="BV186" s="71"/>
      <c r="BW186" s="71">
        <f t="shared" si="65"/>
        <v>112.03791162123835</v>
      </c>
      <c r="BX186" s="84">
        <v>2</v>
      </c>
      <c r="BY186" s="17">
        <v>2</v>
      </c>
      <c r="BZ186" s="71"/>
      <c r="CA186" s="71"/>
      <c r="CB186" s="71">
        <f t="shared" si="66"/>
        <v>100.53207713448795</v>
      </c>
      <c r="CC186" s="17">
        <v>3</v>
      </c>
      <c r="CD186" s="71"/>
      <c r="CE186" s="71"/>
      <c r="CF186" s="71">
        <f t="shared" si="67"/>
        <v>109.36214907383548</v>
      </c>
      <c r="CG186" s="17">
        <v>1</v>
      </c>
      <c r="CH186" s="71"/>
      <c r="CI186" s="71"/>
      <c r="CJ186" s="138">
        <f t="shared" si="68"/>
        <v>103.93736139675698</v>
      </c>
      <c r="CK186" s="17">
        <v>3</v>
      </c>
      <c r="CL186" s="71"/>
      <c r="CM186" s="71"/>
      <c r="CN186" s="71">
        <f t="shared" si="69"/>
        <v>109.82624001207998</v>
      </c>
      <c r="CO186" s="93">
        <v>1</v>
      </c>
      <c r="CP186" s="93">
        <v>1</v>
      </c>
      <c r="CQ186" s="93">
        <v>0</v>
      </c>
      <c r="CR186" s="93">
        <v>0</v>
      </c>
      <c r="CS186" s="102">
        <f t="shared" si="70"/>
        <v>106.08144899610639</v>
      </c>
      <c r="CT186" s="102">
        <f t="shared" si="71"/>
        <v>8.4339977516165217</v>
      </c>
      <c r="CU186" s="102">
        <f t="shared" si="72"/>
        <v>7.9504925992536946E-2</v>
      </c>
      <c r="CV186" s="108">
        <f t="shared" si="73"/>
        <v>105.41090462904289</v>
      </c>
      <c r="CZ186" s="109" t="str">
        <f t="shared" si="74"/>
        <v>Alto</v>
      </c>
    </row>
    <row r="187" spans="1:104" x14ac:dyDescent="0.15">
      <c r="A187" s="85">
        <v>4</v>
      </c>
      <c r="B187" s="85">
        <v>1</v>
      </c>
      <c r="C187" s="85">
        <v>4</v>
      </c>
      <c r="D187" s="85">
        <v>3</v>
      </c>
      <c r="E187" s="85">
        <v>0</v>
      </c>
      <c r="F187" s="18">
        <v>2</v>
      </c>
      <c r="I187" s="64">
        <f t="shared" si="50"/>
        <v>109.85726154139888</v>
      </c>
      <c r="J187" s="18">
        <v>1</v>
      </c>
      <c r="M187" s="64">
        <f t="shared" si="51"/>
        <v>95.705097084683388</v>
      </c>
      <c r="N187" s="18">
        <v>1</v>
      </c>
      <c r="Q187" s="64">
        <f t="shared" si="52"/>
        <v>98.246708656674187</v>
      </c>
      <c r="R187" s="18">
        <v>2</v>
      </c>
      <c r="U187" s="64">
        <f t="shared" si="53"/>
        <v>101.34799174124942</v>
      </c>
      <c r="V187" s="18">
        <v>4</v>
      </c>
      <c r="Y187" s="114">
        <f t="shared" si="54"/>
        <v>110.77363490373656</v>
      </c>
      <c r="Z187" s="18">
        <v>0</v>
      </c>
      <c r="AC187" s="64">
        <f t="shared" si="55"/>
        <v>85.509512691809249</v>
      </c>
      <c r="AD187" s="24">
        <v>3</v>
      </c>
      <c r="AE187" s="71"/>
      <c r="AF187" s="71"/>
      <c r="AG187" s="71">
        <f t="shared" si="56"/>
        <v>109.20703006144345</v>
      </c>
      <c r="AH187" s="18">
        <v>2</v>
      </c>
      <c r="AK187" s="64">
        <f t="shared" si="57"/>
        <v>99.518280131348902</v>
      </c>
      <c r="AL187" s="18">
        <v>3</v>
      </c>
      <c r="AM187" s="71"/>
      <c r="AN187" s="71"/>
      <c r="AO187" s="71">
        <f t="shared" si="58"/>
        <v>100.85056924463234</v>
      </c>
      <c r="AP187" s="18">
        <v>3</v>
      </c>
      <c r="AQ187" s="71"/>
      <c r="AR187" s="71"/>
      <c r="AS187" s="71">
        <f t="shared" si="59"/>
        <v>110.12341030651692</v>
      </c>
      <c r="AT187" s="18">
        <v>2</v>
      </c>
      <c r="AU187" s="71"/>
      <c r="AV187" s="71"/>
      <c r="AW187" s="71">
        <f t="shared" si="60"/>
        <v>110.91338973410525</v>
      </c>
      <c r="AX187" s="18">
        <v>2</v>
      </c>
      <c r="AY187" s="71"/>
      <c r="AZ187" s="71"/>
      <c r="BA187" s="71">
        <f t="shared" si="61"/>
        <v>100.92776194547928</v>
      </c>
      <c r="BB187" s="85">
        <v>1</v>
      </c>
      <c r="BC187" s="85">
        <v>0</v>
      </c>
      <c r="BD187" s="85">
        <v>0</v>
      </c>
      <c r="BE187" s="85">
        <v>1</v>
      </c>
      <c r="BF187" s="85">
        <v>0</v>
      </c>
      <c r="BG187" s="85">
        <v>0</v>
      </c>
      <c r="BH187" s="19">
        <v>0</v>
      </c>
      <c r="BI187" s="71"/>
      <c r="BJ187" s="71"/>
      <c r="BK187" s="71">
        <f t="shared" si="62"/>
        <v>92.176238572378367</v>
      </c>
      <c r="BL187" s="18">
        <v>1</v>
      </c>
      <c r="BM187" s="71"/>
      <c r="BN187" s="71"/>
      <c r="BO187" s="71">
        <f t="shared" si="63"/>
        <v>92.606326748686826</v>
      </c>
      <c r="BP187" s="18">
        <v>1</v>
      </c>
      <c r="BQ187" s="71"/>
      <c r="BR187" s="71"/>
      <c r="BS187" s="138">
        <f t="shared" si="64"/>
        <v>100.16171091563201</v>
      </c>
      <c r="BT187" s="18">
        <v>3</v>
      </c>
      <c r="BU187" s="71"/>
      <c r="BV187" s="71"/>
      <c r="BW187" s="71">
        <f t="shared" si="65"/>
        <v>112.03791162123835</v>
      </c>
      <c r="BX187" s="85">
        <v>2</v>
      </c>
      <c r="BY187" s="18">
        <v>2</v>
      </c>
      <c r="BZ187" s="71"/>
      <c r="CA187" s="71"/>
      <c r="CB187" s="71">
        <f t="shared" si="66"/>
        <v>100.53207713448795</v>
      </c>
      <c r="CC187" s="18">
        <v>2</v>
      </c>
      <c r="CD187" s="71"/>
      <c r="CE187" s="71"/>
      <c r="CF187" s="71">
        <f t="shared" si="67"/>
        <v>100.18886179687853</v>
      </c>
      <c r="CG187" s="18">
        <v>1</v>
      </c>
      <c r="CH187" s="71"/>
      <c r="CI187" s="71"/>
      <c r="CJ187" s="138">
        <f t="shared" si="68"/>
        <v>103.93736139675698</v>
      </c>
      <c r="CK187" s="18">
        <v>1</v>
      </c>
      <c r="CL187" s="71"/>
      <c r="CM187" s="71"/>
      <c r="CN187" s="71">
        <f t="shared" si="69"/>
        <v>90.625541137900711</v>
      </c>
      <c r="CO187" s="94">
        <v>1</v>
      </c>
      <c r="CP187" s="94">
        <v>1</v>
      </c>
      <c r="CQ187" s="94">
        <v>0</v>
      </c>
      <c r="CR187" s="94">
        <v>0</v>
      </c>
      <c r="CS187" s="102">
        <f t="shared" si="70"/>
        <v>100.61023353828895</v>
      </c>
      <c r="CT187" s="102">
        <f t="shared" si="71"/>
        <v>7.8314509429331656</v>
      </c>
      <c r="CU187" s="102">
        <f t="shared" si="72"/>
        <v>7.7839506653692173E-2</v>
      </c>
      <c r="CV187" s="108">
        <f t="shared" si="73"/>
        <v>100.00063726050844</v>
      </c>
      <c r="CZ187" s="109" t="str">
        <f t="shared" si="74"/>
        <v>Medio-Alto</v>
      </c>
    </row>
    <row r="188" spans="1:104" x14ac:dyDescent="0.15">
      <c r="A188" s="84">
        <v>2</v>
      </c>
      <c r="B188" s="84">
        <v>1</v>
      </c>
      <c r="C188" s="84">
        <v>2</v>
      </c>
      <c r="D188" s="84">
        <v>1</v>
      </c>
      <c r="E188" s="87">
        <v>1</v>
      </c>
      <c r="F188" s="17">
        <v>2</v>
      </c>
      <c r="I188" s="64">
        <f t="shared" si="50"/>
        <v>109.85726154139888</v>
      </c>
      <c r="J188" s="17">
        <v>1</v>
      </c>
      <c r="M188" s="64">
        <f t="shared" si="51"/>
        <v>95.705097084683388</v>
      </c>
      <c r="N188" s="17">
        <v>1</v>
      </c>
      <c r="Q188" s="64">
        <f t="shared" si="52"/>
        <v>98.246708656674187</v>
      </c>
      <c r="R188" s="17">
        <v>1</v>
      </c>
      <c r="U188" s="64">
        <f t="shared" si="53"/>
        <v>91.596562123700451</v>
      </c>
      <c r="V188" s="17">
        <v>4</v>
      </c>
      <c r="Y188" s="114">
        <f t="shared" si="54"/>
        <v>110.77363490373656</v>
      </c>
      <c r="Z188" s="17">
        <v>0</v>
      </c>
      <c r="AC188" s="64">
        <f t="shared" si="55"/>
        <v>85.509512691809249</v>
      </c>
      <c r="AD188" s="25">
        <v>0</v>
      </c>
      <c r="AE188" s="71"/>
      <c r="AF188" s="71"/>
      <c r="AG188" s="71">
        <f t="shared" si="56"/>
        <v>84.62281366701329</v>
      </c>
      <c r="AH188" s="17">
        <v>1</v>
      </c>
      <c r="AK188" s="64">
        <f t="shared" si="57"/>
        <v>88.599296441923855</v>
      </c>
      <c r="AL188" s="17">
        <v>0</v>
      </c>
      <c r="AM188" s="71"/>
      <c r="AN188" s="71"/>
      <c r="AO188" s="71">
        <f t="shared" si="58"/>
        <v>67.482083493671226</v>
      </c>
      <c r="AP188" s="17">
        <v>0</v>
      </c>
      <c r="AQ188" s="71"/>
      <c r="AR188" s="71"/>
      <c r="AS188" s="71">
        <f t="shared" si="59"/>
        <v>79.482821248216453</v>
      </c>
      <c r="AT188" s="17">
        <v>0</v>
      </c>
      <c r="AU188" s="71"/>
      <c r="AV188" s="71"/>
      <c r="AW188" s="71">
        <f t="shared" si="60"/>
        <v>89.214252251088965</v>
      </c>
      <c r="AX188" s="17">
        <v>2</v>
      </c>
      <c r="AY188" s="71"/>
      <c r="AZ188" s="71"/>
      <c r="BA188" s="71">
        <f t="shared" si="61"/>
        <v>100.92776194547928</v>
      </c>
      <c r="BB188" s="84">
        <v>1</v>
      </c>
      <c r="BC188" s="84">
        <v>0</v>
      </c>
      <c r="BD188" s="84">
        <v>0</v>
      </c>
      <c r="BE188" s="84">
        <v>1</v>
      </c>
      <c r="BF188" s="84">
        <v>0</v>
      </c>
      <c r="BG188" s="84">
        <v>0</v>
      </c>
      <c r="BH188" s="20">
        <v>1</v>
      </c>
      <c r="BI188" s="71"/>
      <c r="BJ188" s="71"/>
      <c r="BK188" s="71">
        <f t="shared" si="62"/>
        <v>103.49572319106498</v>
      </c>
      <c r="BL188" s="17">
        <v>0</v>
      </c>
      <c r="BM188" s="71"/>
      <c r="BN188" s="71"/>
      <c r="BO188" s="71">
        <f t="shared" si="63"/>
        <v>83.261163531413686</v>
      </c>
      <c r="BP188" s="17">
        <v>0</v>
      </c>
      <c r="BQ188" s="71"/>
      <c r="BR188" s="71"/>
      <c r="BS188" s="138">
        <f t="shared" si="64"/>
        <v>86.456710815818582</v>
      </c>
      <c r="BT188" s="17">
        <v>1</v>
      </c>
      <c r="BU188" s="71"/>
      <c r="BV188" s="71"/>
      <c r="BW188" s="71">
        <f t="shared" si="65"/>
        <v>93.001214173698628</v>
      </c>
      <c r="BX188" s="84">
        <v>2</v>
      </c>
      <c r="BY188" s="17">
        <v>1</v>
      </c>
      <c r="BZ188" s="71"/>
      <c r="CA188" s="71"/>
      <c r="CB188" s="71">
        <f t="shared" si="66"/>
        <v>91.01069683312474</v>
      </c>
      <c r="CC188" s="17">
        <v>1</v>
      </c>
      <c r="CD188" s="71"/>
      <c r="CE188" s="71"/>
      <c r="CF188" s="71">
        <f t="shared" si="67"/>
        <v>91.015574519921572</v>
      </c>
      <c r="CG188" s="17">
        <v>0</v>
      </c>
      <c r="CH188" s="71"/>
      <c r="CI188" s="71"/>
      <c r="CJ188" s="138">
        <f t="shared" si="68"/>
        <v>89.226340793489143</v>
      </c>
      <c r="CK188" s="17">
        <v>2</v>
      </c>
      <c r="CL188" s="71"/>
      <c r="CM188" s="71"/>
      <c r="CN188" s="71">
        <f t="shared" si="69"/>
        <v>100.22589057499034</v>
      </c>
      <c r="CO188" s="93">
        <v>0</v>
      </c>
      <c r="CP188" s="93">
        <v>0</v>
      </c>
      <c r="CQ188" s="93">
        <v>0</v>
      </c>
      <c r="CR188" s="93">
        <v>1</v>
      </c>
      <c r="CS188" s="102">
        <f t="shared" si="70"/>
        <v>91.367907880580788</v>
      </c>
      <c r="CT188" s="102">
        <f t="shared" si="71"/>
        <v>9.9922573715093463</v>
      </c>
      <c r="CU188" s="102">
        <f t="shared" si="72"/>
        <v>0.10936287809686279</v>
      </c>
      <c r="CV188" s="108">
        <f t="shared" si="73"/>
        <v>90.27512585574793</v>
      </c>
      <c r="CZ188" s="109" t="str">
        <f t="shared" si="74"/>
        <v>Basso</v>
      </c>
    </row>
    <row r="189" spans="1:104" x14ac:dyDescent="0.15">
      <c r="A189" s="85">
        <v>3</v>
      </c>
      <c r="B189" s="85">
        <v>2</v>
      </c>
      <c r="C189" s="85">
        <v>1</v>
      </c>
      <c r="D189" s="85">
        <v>2</v>
      </c>
      <c r="E189" s="85">
        <v>1</v>
      </c>
      <c r="F189" s="18">
        <v>2</v>
      </c>
      <c r="I189" s="64">
        <f t="shared" si="50"/>
        <v>109.85726154139888</v>
      </c>
      <c r="J189" s="18">
        <v>2</v>
      </c>
      <c r="M189" s="64">
        <f t="shared" si="51"/>
        <v>110.02144013573877</v>
      </c>
      <c r="N189" s="18">
        <v>1</v>
      </c>
      <c r="Q189" s="64">
        <f t="shared" si="52"/>
        <v>98.246708656674187</v>
      </c>
      <c r="R189" s="18">
        <v>3</v>
      </c>
      <c r="U189" s="64">
        <f t="shared" si="53"/>
        <v>111.09942135879838</v>
      </c>
      <c r="V189" s="18">
        <v>1</v>
      </c>
      <c r="Y189" s="114">
        <f t="shared" si="54"/>
        <v>91.426614478012453</v>
      </c>
      <c r="Z189" s="18">
        <v>3</v>
      </c>
      <c r="AC189" s="64">
        <f t="shared" si="55"/>
        <v>109.50350141641081</v>
      </c>
      <c r="AD189" s="24">
        <v>3</v>
      </c>
      <c r="AE189" s="71"/>
      <c r="AF189" s="71"/>
      <c r="AG189" s="71">
        <f t="shared" si="56"/>
        <v>109.20703006144345</v>
      </c>
      <c r="AH189" s="18">
        <v>2</v>
      </c>
      <c r="AK189" s="64">
        <f t="shared" si="57"/>
        <v>99.518280131348902</v>
      </c>
      <c r="AL189" s="18">
        <v>1</v>
      </c>
      <c r="AM189" s="71"/>
      <c r="AN189" s="71"/>
      <c r="AO189" s="71">
        <f t="shared" si="58"/>
        <v>78.60491207732494</v>
      </c>
      <c r="AP189" s="18">
        <v>3</v>
      </c>
      <c r="AQ189" s="71"/>
      <c r="AR189" s="71"/>
      <c r="AS189" s="71">
        <f t="shared" si="59"/>
        <v>110.12341030651692</v>
      </c>
      <c r="AT189" s="18">
        <v>0</v>
      </c>
      <c r="AU189" s="71"/>
      <c r="AV189" s="71"/>
      <c r="AW189" s="71">
        <f t="shared" si="60"/>
        <v>89.214252251088965</v>
      </c>
      <c r="AX189" s="18">
        <v>2</v>
      </c>
      <c r="AY189" s="71"/>
      <c r="AZ189" s="71"/>
      <c r="BA189" s="71">
        <f t="shared" si="61"/>
        <v>100.92776194547928</v>
      </c>
      <c r="BB189" s="85">
        <v>1</v>
      </c>
      <c r="BC189" s="85">
        <v>0</v>
      </c>
      <c r="BD189" s="85">
        <v>1</v>
      </c>
      <c r="BE189" s="85">
        <v>0</v>
      </c>
      <c r="BF189" s="85">
        <v>0</v>
      </c>
      <c r="BG189" s="85">
        <v>0</v>
      </c>
      <c r="BH189" s="19">
        <v>2</v>
      </c>
      <c r="BI189" s="71"/>
      <c r="BJ189" s="71"/>
      <c r="BK189" s="71">
        <f t="shared" si="62"/>
        <v>114.81520780975161</v>
      </c>
      <c r="BL189" s="18">
        <v>1</v>
      </c>
      <c r="BM189" s="71"/>
      <c r="BN189" s="71"/>
      <c r="BO189" s="71">
        <f t="shared" si="63"/>
        <v>92.606326748686826</v>
      </c>
      <c r="BP189" s="18">
        <v>1</v>
      </c>
      <c r="BQ189" s="71"/>
      <c r="BR189" s="71"/>
      <c r="BS189" s="138">
        <f t="shared" si="64"/>
        <v>100.16171091563201</v>
      </c>
      <c r="BT189" s="18">
        <v>3</v>
      </c>
      <c r="BU189" s="71"/>
      <c r="BV189" s="71"/>
      <c r="BW189" s="71">
        <f t="shared" si="65"/>
        <v>112.03791162123835</v>
      </c>
      <c r="BX189" s="85">
        <v>2</v>
      </c>
      <c r="BY189" s="18">
        <v>2</v>
      </c>
      <c r="BZ189" s="71"/>
      <c r="CA189" s="71"/>
      <c r="CB189" s="71">
        <f t="shared" si="66"/>
        <v>100.53207713448795</v>
      </c>
      <c r="CC189" s="18">
        <v>3</v>
      </c>
      <c r="CD189" s="71"/>
      <c r="CE189" s="71"/>
      <c r="CF189" s="71">
        <f t="shared" si="67"/>
        <v>109.36214907383548</v>
      </c>
      <c r="CG189" s="18">
        <v>0</v>
      </c>
      <c r="CH189" s="71"/>
      <c r="CI189" s="71"/>
      <c r="CJ189" s="138">
        <f t="shared" si="68"/>
        <v>89.226340793489143</v>
      </c>
      <c r="CK189" s="18">
        <v>0</v>
      </c>
      <c r="CL189" s="71"/>
      <c r="CM189" s="71"/>
      <c r="CN189" s="71">
        <f t="shared" si="69"/>
        <v>81.025191700811078</v>
      </c>
      <c r="CO189" s="94">
        <v>1</v>
      </c>
      <c r="CP189" s="94">
        <v>0</v>
      </c>
      <c r="CQ189" s="94">
        <v>1</v>
      </c>
      <c r="CR189" s="94">
        <v>0</v>
      </c>
      <c r="CS189" s="102">
        <f t="shared" si="70"/>
        <v>102.15899082182557</v>
      </c>
      <c r="CT189" s="102">
        <f t="shared" si="71"/>
        <v>11.080426603188952</v>
      </c>
      <c r="CU189" s="102">
        <f t="shared" si="72"/>
        <v>0.10846256911948365</v>
      </c>
      <c r="CV189" s="108">
        <f t="shared" si="73"/>
        <v>100.95717928550383</v>
      </c>
      <c r="CZ189" s="109" t="str">
        <f t="shared" si="74"/>
        <v>Medio-Alto</v>
      </c>
    </row>
    <row r="190" spans="1:104" x14ac:dyDescent="0.15">
      <c r="A190" s="84">
        <v>3</v>
      </c>
      <c r="B190" s="84">
        <v>2</v>
      </c>
      <c r="C190" s="84">
        <v>3</v>
      </c>
      <c r="D190" s="84">
        <v>1</v>
      </c>
      <c r="E190" s="84">
        <v>1</v>
      </c>
      <c r="F190" s="17">
        <v>2</v>
      </c>
      <c r="I190" s="64">
        <f t="shared" si="50"/>
        <v>109.85726154139888</v>
      </c>
      <c r="J190" s="17">
        <v>2</v>
      </c>
      <c r="M190" s="64">
        <f t="shared" si="51"/>
        <v>110.02144013573877</v>
      </c>
      <c r="N190" s="17">
        <v>1</v>
      </c>
      <c r="Q190" s="64">
        <f t="shared" si="52"/>
        <v>98.246708656674187</v>
      </c>
      <c r="R190" s="17">
        <v>3</v>
      </c>
      <c r="U190" s="64">
        <f t="shared" si="53"/>
        <v>111.09942135879838</v>
      </c>
      <c r="V190" s="17">
        <v>1</v>
      </c>
      <c r="Y190" s="114">
        <f t="shared" si="54"/>
        <v>91.426614478012453</v>
      </c>
      <c r="Z190" s="17">
        <v>2</v>
      </c>
      <c r="AC190" s="64">
        <f t="shared" si="55"/>
        <v>101.50550517487696</v>
      </c>
      <c r="AD190" s="25">
        <v>0</v>
      </c>
      <c r="AE190" s="71"/>
      <c r="AF190" s="71"/>
      <c r="AG190" s="71">
        <f t="shared" si="56"/>
        <v>84.62281366701329</v>
      </c>
      <c r="AH190" s="17">
        <v>2</v>
      </c>
      <c r="AK190" s="64">
        <f t="shared" si="57"/>
        <v>99.518280131348902</v>
      </c>
      <c r="AL190" s="17">
        <v>2</v>
      </c>
      <c r="AM190" s="71"/>
      <c r="AN190" s="71"/>
      <c r="AO190" s="71">
        <f t="shared" si="58"/>
        <v>89.72774066097864</v>
      </c>
      <c r="AP190" s="17">
        <v>0</v>
      </c>
      <c r="AQ190" s="71"/>
      <c r="AR190" s="71"/>
      <c r="AS190" s="71">
        <f t="shared" si="59"/>
        <v>79.482821248216453</v>
      </c>
      <c r="AT190" s="17">
        <v>1</v>
      </c>
      <c r="AU190" s="71"/>
      <c r="AV190" s="71"/>
      <c r="AW190" s="71">
        <f t="shared" si="60"/>
        <v>100.0638209925971</v>
      </c>
      <c r="AX190" s="17">
        <v>1</v>
      </c>
      <c r="AY190" s="71"/>
      <c r="AZ190" s="71"/>
      <c r="BA190" s="71">
        <f t="shared" si="61"/>
        <v>90.050552929515405</v>
      </c>
      <c r="BB190" s="84">
        <v>1</v>
      </c>
      <c r="BC190" s="84">
        <v>0</v>
      </c>
      <c r="BD190" s="84">
        <v>0</v>
      </c>
      <c r="BE190" s="84">
        <v>1</v>
      </c>
      <c r="BF190" s="84">
        <v>0</v>
      </c>
      <c r="BG190" s="84">
        <v>0</v>
      </c>
      <c r="BH190" s="20">
        <v>2</v>
      </c>
      <c r="BI190" s="71"/>
      <c r="BJ190" s="71"/>
      <c r="BK190" s="71">
        <f t="shared" si="62"/>
        <v>114.81520780975161</v>
      </c>
      <c r="BL190" s="17">
        <v>1</v>
      </c>
      <c r="BM190" s="71"/>
      <c r="BN190" s="71"/>
      <c r="BO190" s="71">
        <f t="shared" si="63"/>
        <v>92.606326748686826</v>
      </c>
      <c r="BP190" s="17">
        <v>2</v>
      </c>
      <c r="BQ190" s="71"/>
      <c r="BR190" s="71"/>
      <c r="BS190" s="138">
        <f t="shared" si="64"/>
        <v>113.86671101544545</v>
      </c>
      <c r="BT190" s="17">
        <v>1</v>
      </c>
      <c r="BU190" s="71"/>
      <c r="BV190" s="71"/>
      <c r="BW190" s="71">
        <f t="shared" si="65"/>
        <v>93.001214173698628</v>
      </c>
      <c r="BX190" s="84">
        <v>3</v>
      </c>
      <c r="BY190" s="17">
        <v>0</v>
      </c>
      <c r="BZ190" s="71"/>
      <c r="CA190" s="71"/>
      <c r="CB190" s="71">
        <f t="shared" si="66"/>
        <v>81.489316531761531</v>
      </c>
      <c r="CC190" s="17">
        <v>3</v>
      </c>
      <c r="CD190" s="71"/>
      <c r="CE190" s="71"/>
      <c r="CF190" s="71">
        <f t="shared" si="67"/>
        <v>109.36214907383548</v>
      </c>
      <c r="CG190" s="17">
        <v>0</v>
      </c>
      <c r="CH190" s="71"/>
      <c r="CI190" s="71"/>
      <c r="CJ190" s="138">
        <f t="shared" si="68"/>
        <v>89.226340793489143</v>
      </c>
      <c r="CK190" s="17">
        <v>0</v>
      </c>
      <c r="CL190" s="71"/>
      <c r="CM190" s="71"/>
      <c r="CN190" s="71">
        <f t="shared" si="69"/>
        <v>81.025191700811078</v>
      </c>
      <c r="CO190" s="93">
        <v>0</v>
      </c>
      <c r="CP190" s="93">
        <v>1</v>
      </c>
      <c r="CQ190" s="93">
        <v>0</v>
      </c>
      <c r="CR190" s="93">
        <v>0</v>
      </c>
      <c r="CS190" s="102">
        <f t="shared" si="70"/>
        <v>96.852692502100112</v>
      </c>
      <c r="CT190" s="102">
        <f t="shared" si="71"/>
        <v>11.54712122943589</v>
      </c>
      <c r="CU190" s="102">
        <f t="shared" si="72"/>
        <v>0.11922354382853638</v>
      </c>
      <c r="CV190" s="108">
        <f t="shared" si="73"/>
        <v>95.47600378810904</v>
      </c>
      <c r="CZ190" s="109" t="str">
        <f t="shared" si="74"/>
        <v>Basso</v>
      </c>
    </row>
    <row r="191" spans="1:104" x14ac:dyDescent="0.15">
      <c r="A191" s="85">
        <v>3</v>
      </c>
      <c r="B191" s="85">
        <v>1</v>
      </c>
      <c r="C191" s="85">
        <v>2</v>
      </c>
      <c r="D191" s="85">
        <v>0</v>
      </c>
      <c r="E191" s="85">
        <v>1</v>
      </c>
      <c r="F191" s="18">
        <v>1</v>
      </c>
      <c r="I191" s="64">
        <f t="shared" si="50"/>
        <v>93.428492305734082</v>
      </c>
      <c r="J191" s="18">
        <v>1</v>
      </c>
      <c r="M191" s="64">
        <f t="shared" si="51"/>
        <v>95.705097084683388</v>
      </c>
      <c r="N191" s="18">
        <v>1</v>
      </c>
      <c r="Q191" s="64">
        <f t="shared" si="52"/>
        <v>98.246708656674187</v>
      </c>
      <c r="R191" s="18">
        <v>2</v>
      </c>
      <c r="U191" s="64">
        <f t="shared" si="53"/>
        <v>101.34799174124942</v>
      </c>
      <c r="V191" s="18">
        <v>2</v>
      </c>
      <c r="Y191" s="114">
        <f t="shared" si="54"/>
        <v>97.875621286587162</v>
      </c>
      <c r="Z191" s="18">
        <v>3</v>
      </c>
      <c r="AC191" s="64">
        <f t="shared" si="55"/>
        <v>109.50350141641081</v>
      </c>
      <c r="AD191" s="24">
        <v>3</v>
      </c>
      <c r="AE191" s="71"/>
      <c r="AF191" s="71"/>
      <c r="AG191" s="71">
        <f t="shared" si="56"/>
        <v>109.20703006144345</v>
      </c>
      <c r="AH191" s="18">
        <v>3</v>
      </c>
      <c r="AK191" s="64">
        <f t="shared" si="57"/>
        <v>110.43726382077395</v>
      </c>
      <c r="AL191" s="18">
        <v>3</v>
      </c>
      <c r="AM191" s="71"/>
      <c r="AN191" s="71"/>
      <c r="AO191" s="71">
        <f t="shared" si="58"/>
        <v>100.85056924463234</v>
      </c>
      <c r="AP191" s="18">
        <v>3</v>
      </c>
      <c r="AQ191" s="71"/>
      <c r="AR191" s="71"/>
      <c r="AS191" s="71">
        <f t="shared" si="59"/>
        <v>110.12341030651692</v>
      </c>
      <c r="AT191" s="18">
        <v>2</v>
      </c>
      <c r="AU191" s="71"/>
      <c r="AV191" s="71"/>
      <c r="AW191" s="71">
        <f t="shared" si="60"/>
        <v>110.91338973410525</v>
      </c>
      <c r="AX191" s="18">
        <v>3</v>
      </c>
      <c r="AY191" s="71"/>
      <c r="AZ191" s="71"/>
      <c r="BA191" s="71">
        <f t="shared" si="61"/>
        <v>111.80497096144313</v>
      </c>
      <c r="BB191" s="85">
        <v>1</v>
      </c>
      <c r="BC191" s="85">
        <v>1</v>
      </c>
      <c r="BD191" s="85">
        <v>0</v>
      </c>
      <c r="BE191" s="85">
        <v>0</v>
      </c>
      <c r="BF191" s="85">
        <v>0</v>
      </c>
      <c r="BG191" s="85">
        <v>0</v>
      </c>
      <c r="BH191" s="19">
        <v>0</v>
      </c>
      <c r="BI191" s="71"/>
      <c r="BJ191" s="71"/>
      <c r="BK191" s="71">
        <f t="shared" si="62"/>
        <v>92.176238572378367</v>
      </c>
      <c r="BL191" s="18">
        <v>3</v>
      </c>
      <c r="BM191" s="71"/>
      <c r="BN191" s="71"/>
      <c r="BO191" s="71">
        <f t="shared" si="63"/>
        <v>111.29665318323313</v>
      </c>
      <c r="BP191" s="18">
        <v>1</v>
      </c>
      <c r="BQ191" s="71"/>
      <c r="BR191" s="71"/>
      <c r="BS191" s="138">
        <f t="shared" si="64"/>
        <v>100.16171091563201</v>
      </c>
      <c r="BT191" s="18">
        <v>2</v>
      </c>
      <c r="BU191" s="71"/>
      <c r="BV191" s="71"/>
      <c r="BW191" s="71">
        <f t="shared" si="65"/>
        <v>102.51956289746849</v>
      </c>
      <c r="BX191" s="85">
        <v>0</v>
      </c>
      <c r="BY191" s="18">
        <v>3</v>
      </c>
      <c r="BZ191" s="71"/>
      <c r="CA191" s="71"/>
      <c r="CB191" s="71">
        <f t="shared" si="66"/>
        <v>110.05345743585116</v>
      </c>
      <c r="CC191" s="18">
        <v>3</v>
      </c>
      <c r="CD191" s="71"/>
      <c r="CE191" s="71"/>
      <c r="CF191" s="71">
        <f t="shared" si="67"/>
        <v>109.36214907383548</v>
      </c>
      <c r="CG191" s="18">
        <v>0</v>
      </c>
      <c r="CH191" s="71"/>
      <c r="CI191" s="71"/>
      <c r="CJ191" s="138">
        <f t="shared" si="68"/>
        <v>89.226340793489143</v>
      </c>
      <c r="CK191" s="18">
        <v>2</v>
      </c>
      <c r="CL191" s="71"/>
      <c r="CM191" s="71"/>
      <c r="CN191" s="71">
        <f t="shared" si="69"/>
        <v>100.22589057499034</v>
      </c>
      <c r="CO191" s="94">
        <v>1</v>
      </c>
      <c r="CP191" s="94"/>
      <c r="CQ191" s="94">
        <v>1</v>
      </c>
      <c r="CR191" s="94">
        <v>0</v>
      </c>
      <c r="CS191" s="102">
        <f t="shared" si="70"/>
        <v>104.54131629831906</v>
      </c>
      <c r="CT191" s="102">
        <f t="shared" si="71"/>
        <v>6.8262225180038643</v>
      </c>
      <c r="CU191" s="102">
        <f t="shared" si="72"/>
        <v>6.5296887008047214E-2</v>
      </c>
      <c r="CV191" s="108">
        <f t="shared" si="73"/>
        <v>104.09558521786917</v>
      </c>
      <c r="CZ191" s="109" t="str">
        <f t="shared" si="74"/>
        <v>Alto</v>
      </c>
    </row>
    <row r="192" spans="1:104" x14ac:dyDescent="0.15">
      <c r="A192" s="84">
        <v>1</v>
      </c>
      <c r="B192" s="84">
        <v>1</v>
      </c>
      <c r="C192" s="84">
        <v>2</v>
      </c>
      <c r="D192" s="84">
        <v>0</v>
      </c>
      <c r="E192" s="84">
        <v>1</v>
      </c>
      <c r="F192" s="17">
        <v>1</v>
      </c>
      <c r="I192" s="64">
        <f t="shared" si="50"/>
        <v>93.428492305734082</v>
      </c>
      <c r="J192" s="17">
        <v>1</v>
      </c>
      <c r="M192" s="64">
        <f t="shared" si="51"/>
        <v>95.705097084683388</v>
      </c>
      <c r="N192" s="17">
        <v>1</v>
      </c>
      <c r="Q192" s="64">
        <f t="shared" si="52"/>
        <v>98.246708656674187</v>
      </c>
      <c r="R192" s="17">
        <v>0</v>
      </c>
      <c r="U192" s="64">
        <f t="shared" si="53"/>
        <v>81.845132506151486</v>
      </c>
      <c r="V192" s="17">
        <v>2</v>
      </c>
      <c r="Y192" s="114">
        <f t="shared" si="54"/>
        <v>97.875621286587162</v>
      </c>
      <c r="Z192" s="17">
        <v>2</v>
      </c>
      <c r="AC192" s="64">
        <f t="shared" si="55"/>
        <v>101.50550517487696</v>
      </c>
      <c r="AD192" s="25">
        <v>3</v>
      </c>
      <c r="AE192" s="71"/>
      <c r="AF192" s="71"/>
      <c r="AG192" s="71">
        <f t="shared" si="56"/>
        <v>109.20703006144345</v>
      </c>
      <c r="AH192" s="17">
        <v>1</v>
      </c>
      <c r="AK192" s="64">
        <f t="shared" si="57"/>
        <v>88.599296441923855</v>
      </c>
      <c r="AL192" s="17">
        <v>3</v>
      </c>
      <c r="AM192" s="71"/>
      <c r="AN192" s="71"/>
      <c r="AO192" s="71">
        <f t="shared" si="58"/>
        <v>100.85056924463234</v>
      </c>
      <c r="AP192" s="17">
        <v>3</v>
      </c>
      <c r="AQ192" s="71"/>
      <c r="AR192" s="71"/>
      <c r="AS192" s="71">
        <f t="shared" si="59"/>
        <v>110.12341030651692</v>
      </c>
      <c r="AT192" s="17">
        <v>1</v>
      </c>
      <c r="AU192" s="71"/>
      <c r="AV192" s="71"/>
      <c r="AW192" s="71">
        <f t="shared" si="60"/>
        <v>100.0638209925971</v>
      </c>
      <c r="AX192" s="17">
        <v>1</v>
      </c>
      <c r="AY192" s="71"/>
      <c r="AZ192" s="71"/>
      <c r="BA192" s="71">
        <f t="shared" si="61"/>
        <v>90.050552929515405</v>
      </c>
      <c r="BB192" s="84">
        <v>1</v>
      </c>
      <c r="BC192" s="84">
        <v>0</v>
      </c>
      <c r="BD192" s="84">
        <v>1</v>
      </c>
      <c r="BE192" s="84">
        <v>0</v>
      </c>
      <c r="BF192" s="84">
        <v>0</v>
      </c>
      <c r="BG192" s="84">
        <v>0</v>
      </c>
      <c r="BH192" s="20">
        <v>2</v>
      </c>
      <c r="BI192" s="71"/>
      <c r="BJ192" s="71"/>
      <c r="BK192" s="71">
        <f t="shared" si="62"/>
        <v>114.81520780975161</v>
      </c>
      <c r="BL192" s="17">
        <v>1</v>
      </c>
      <c r="BM192" s="71"/>
      <c r="BN192" s="71"/>
      <c r="BO192" s="71">
        <f t="shared" si="63"/>
        <v>92.606326748686826</v>
      </c>
      <c r="BP192" s="17">
        <v>1</v>
      </c>
      <c r="BQ192" s="71"/>
      <c r="BR192" s="71"/>
      <c r="BS192" s="138">
        <f t="shared" si="64"/>
        <v>100.16171091563201</v>
      </c>
      <c r="BT192" s="17">
        <v>0</v>
      </c>
      <c r="BU192" s="71"/>
      <c r="BV192" s="71"/>
      <c r="BW192" s="71">
        <f t="shared" si="65"/>
        <v>83.482865449928767</v>
      </c>
      <c r="BX192" s="84">
        <v>2</v>
      </c>
      <c r="BY192" s="17">
        <v>2</v>
      </c>
      <c r="BZ192" s="71"/>
      <c r="CA192" s="71"/>
      <c r="CB192" s="71">
        <f t="shared" si="66"/>
        <v>100.53207713448795</v>
      </c>
      <c r="CC192" s="17">
        <v>2</v>
      </c>
      <c r="CD192" s="71"/>
      <c r="CE192" s="71"/>
      <c r="CF192" s="71">
        <f t="shared" si="67"/>
        <v>100.18886179687853</v>
      </c>
      <c r="CG192" s="17">
        <v>0</v>
      </c>
      <c r="CH192" s="71"/>
      <c r="CI192" s="71"/>
      <c r="CJ192" s="138">
        <f t="shared" si="68"/>
        <v>89.226340793489143</v>
      </c>
      <c r="CK192" s="17">
        <v>2</v>
      </c>
      <c r="CL192" s="71"/>
      <c r="CM192" s="71"/>
      <c r="CN192" s="71">
        <f t="shared" si="69"/>
        <v>100.22589057499034</v>
      </c>
      <c r="CO192" s="93">
        <v>1</v>
      </c>
      <c r="CP192" s="93">
        <v>1</v>
      </c>
      <c r="CQ192" s="93">
        <v>0</v>
      </c>
      <c r="CR192" s="93">
        <v>0</v>
      </c>
      <c r="CS192" s="102">
        <f t="shared" si="70"/>
        <v>97.733932071733719</v>
      </c>
      <c r="CT192" s="102">
        <f t="shared" si="71"/>
        <v>8.9217600887100517</v>
      </c>
      <c r="CU192" s="102">
        <f t="shared" si="72"/>
        <v>9.1286208378086667E-2</v>
      </c>
      <c r="CV192" s="108">
        <f t="shared" si="73"/>
        <v>96.919498421176442</v>
      </c>
      <c r="CZ192" s="109" t="str">
        <f t="shared" si="74"/>
        <v>Medio-Basso</v>
      </c>
    </row>
    <row r="193" spans="1:104" x14ac:dyDescent="0.15">
      <c r="A193" s="85">
        <v>2</v>
      </c>
      <c r="B193" s="85">
        <v>2</v>
      </c>
      <c r="C193" s="85">
        <v>4</v>
      </c>
      <c r="D193" s="85">
        <v>2</v>
      </c>
      <c r="E193" s="85">
        <v>1</v>
      </c>
      <c r="F193" s="18">
        <v>2</v>
      </c>
      <c r="I193" s="64">
        <f t="shared" si="50"/>
        <v>109.85726154139888</v>
      </c>
      <c r="J193" s="18">
        <v>2</v>
      </c>
      <c r="M193" s="64">
        <f t="shared" si="51"/>
        <v>110.02144013573877</v>
      </c>
      <c r="N193" s="18">
        <v>2</v>
      </c>
      <c r="Q193" s="64">
        <f t="shared" si="52"/>
        <v>113.93405225485253</v>
      </c>
      <c r="R193" s="18">
        <v>1</v>
      </c>
      <c r="U193" s="64">
        <f t="shared" si="53"/>
        <v>91.596562123700451</v>
      </c>
      <c r="V193" s="18">
        <v>4</v>
      </c>
      <c r="Y193" s="114">
        <f t="shared" si="54"/>
        <v>110.77363490373656</v>
      </c>
      <c r="Z193" s="18">
        <v>3</v>
      </c>
      <c r="AC193" s="64">
        <f t="shared" si="55"/>
        <v>109.50350141641081</v>
      </c>
      <c r="AD193" s="24">
        <v>3</v>
      </c>
      <c r="AE193" s="71"/>
      <c r="AF193" s="71"/>
      <c r="AG193" s="71">
        <f t="shared" si="56"/>
        <v>109.20703006144345</v>
      </c>
      <c r="AH193" s="18">
        <v>3</v>
      </c>
      <c r="AK193" s="64">
        <f t="shared" si="57"/>
        <v>110.43726382077395</v>
      </c>
      <c r="AL193" s="18">
        <v>4</v>
      </c>
      <c r="AM193" s="71"/>
      <c r="AN193" s="71"/>
      <c r="AO193" s="71">
        <f t="shared" si="58"/>
        <v>111.97339782828605</v>
      </c>
      <c r="AP193" s="18">
        <v>3</v>
      </c>
      <c r="AQ193" s="71"/>
      <c r="AR193" s="71"/>
      <c r="AS193" s="71">
        <f t="shared" si="59"/>
        <v>110.12341030651692</v>
      </c>
      <c r="AT193" s="18">
        <v>2</v>
      </c>
      <c r="AU193" s="71"/>
      <c r="AV193" s="71"/>
      <c r="AW193" s="71">
        <f t="shared" si="60"/>
        <v>110.91338973410525</v>
      </c>
      <c r="AX193" s="18">
        <v>1</v>
      </c>
      <c r="AY193" s="71"/>
      <c r="AZ193" s="71"/>
      <c r="BA193" s="71">
        <f t="shared" si="61"/>
        <v>90.050552929515405</v>
      </c>
      <c r="BB193" s="85">
        <v>0</v>
      </c>
      <c r="BC193" s="85">
        <v>1</v>
      </c>
      <c r="BD193" s="85">
        <v>1</v>
      </c>
      <c r="BE193" s="85">
        <v>0</v>
      </c>
      <c r="BF193" s="85">
        <v>0</v>
      </c>
      <c r="BG193" s="85">
        <v>0</v>
      </c>
      <c r="BH193" s="19">
        <v>2</v>
      </c>
      <c r="BI193" s="71"/>
      <c r="BJ193" s="71"/>
      <c r="BK193" s="71">
        <f t="shared" si="62"/>
        <v>114.81520780975161</v>
      </c>
      <c r="BL193" s="18">
        <v>2</v>
      </c>
      <c r="BM193" s="71"/>
      <c r="BN193" s="71"/>
      <c r="BO193" s="71">
        <f t="shared" si="63"/>
        <v>101.95148996595998</v>
      </c>
      <c r="BP193" s="18">
        <v>2</v>
      </c>
      <c r="BQ193" s="71"/>
      <c r="BR193" s="71"/>
      <c r="BS193" s="138">
        <f t="shared" si="64"/>
        <v>113.86671101544545</v>
      </c>
      <c r="BT193" s="18">
        <v>2</v>
      </c>
      <c r="BU193" s="71"/>
      <c r="BV193" s="71"/>
      <c r="BW193" s="71">
        <f t="shared" si="65"/>
        <v>102.51956289746849</v>
      </c>
      <c r="BX193" s="85">
        <v>2</v>
      </c>
      <c r="BY193" s="18">
        <v>2</v>
      </c>
      <c r="BZ193" s="71"/>
      <c r="CA193" s="71"/>
      <c r="CB193" s="71">
        <f t="shared" si="66"/>
        <v>100.53207713448795</v>
      </c>
      <c r="CC193" s="18">
        <v>3</v>
      </c>
      <c r="CD193" s="71"/>
      <c r="CE193" s="71"/>
      <c r="CF193" s="71">
        <f t="shared" si="67"/>
        <v>109.36214907383548</v>
      </c>
      <c r="CG193" s="18">
        <v>1</v>
      </c>
      <c r="CH193" s="71"/>
      <c r="CI193" s="71"/>
      <c r="CJ193" s="138">
        <f t="shared" si="68"/>
        <v>103.93736139675698</v>
      </c>
      <c r="CK193" s="18">
        <v>3</v>
      </c>
      <c r="CL193" s="71"/>
      <c r="CM193" s="71"/>
      <c r="CN193" s="71">
        <f t="shared" si="69"/>
        <v>109.82624001207998</v>
      </c>
      <c r="CO193" s="94">
        <v>0</v>
      </c>
      <c r="CP193" s="94">
        <v>1</v>
      </c>
      <c r="CQ193" s="94">
        <v>0</v>
      </c>
      <c r="CR193" s="94">
        <v>0</v>
      </c>
      <c r="CS193" s="102">
        <f t="shared" si="70"/>
        <v>106.86026994390153</v>
      </c>
      <c r="CT193" s="102">
        <f t="shared" si="71"/>
        <v>7.1780515890952623</v>
      </c>
      <c r="CU193" s="102">
        <f t="shared" si="72"/>
        <v>6.7172313834351405E-2</v>
      </c>
      <c r="CV193" s="108">
        <f t="shared" si="73"/>
        <v>106.37810360983966</v>
      </c>
      <c r="CZ193" s="109" t="str">
        <f t="shared" si="74"/>
        <v>Alto</v>
      </c>
    </row>
    <row r="194" spans="1:104" x14ac:dyDescent="0.15">
      <c r="A194" s="84">
        <v>1</v>
      </c>
      <c r="B194" s="84">
        <v>2</v>
      </c>
      <c r="C194" s="84">
        <v>2</v>
      </c>
      <c r="D194" s="84">
        <v>2</v>
      </c>
      <c r="E194" s="84">
        <v>1</v>
      </c>
      <c r="F194" s="17">
        <v>2</v>
      </c>
      <c r="I194" s="64">
        <f t="shared" si="50"/>
        <v>109.85726154139888</v>
      </c>
      <c r="J194" s="17">
        <v>1</v>
      </c>
      <c r="M194" s="64">
        <f t="shared" si="51"/>
        <v>95.705097084683388</v>
      </c>
      <c r="N194" s="17">
        <v>1</v>
      </c>
      <c r="Q194" s="64">
        <f t="shared" si="52"/>
        <v>98.246708656674187</v>
      </c>
      <c r="R194" s="17">
        <v>1</v>
      </c>
      <c r="U194" s="64">
        <f t="shared" si="53"/>
        <v>91.596562123700451</v>
      </c>
      <c r="V194" s="17">
        <v>3</v>
      </c>
      <c r="Y194" s="114">
        <f t="shared" si="54"/>
        <v>104.32462809516186</v>
      </c>
      <c r="Z194" s="17">
        <v>0</v>
      </c>
      <c r="AC194" s="64">
        <f t="shared" si="55"/>
        <v>85.509512691809249</v>
      </c>
      <c r="AD194" s="25">
        <v>2</v>
      </c>
      <c r="AE194" s="71"/>
      <c r="AF194" s="71"/>
      <c r="AG194" s="71">
        <f t="shared" si="56"/>
        <v>101.01229126330007</v>
      </c>
      <c r="AH194" s="17">
        <v>1</v>
      </c>
      <c r="AK194" s="64">
        <f t="shared" si="57"/>
        <v>88.599296441923855</v>
      </c>
      <c r="AL194" s="17">
        <v>3</v>
      </c>
      <c r="AM194" s="71"/>
      <c r="AN194" s="71"/>
      <c r="AO194" s="71">
        <f t="shared" si="58"/>
        <v>100.85056924463234</v>
      </c>
      <c r="AP194" s="17">
        <v>2</v>
      </c>
      <c r="AQ194" s="71"/>
      <c r="AR194" s="71"/>
      <c r="AS194" s="71">
        <f t="shared" si="59"/>
        <v>99.909880620416757</v>
      </c>
      <c r="AT194" s="17">
        <v>1</v>
      </c>
      <c r="AU194" s="71"/>
      <c r="AV194" s="71"/>
      <c r="AW194" s="71">
        <f t="shared" si="60"/>
        <v>100.0638209925971</v>
      </c>
      <c r="AX194" s="17">
        <v>2</v>
      </c>
      <c r="AY194" s="71"/>
      <c r="AZ194" s="71"/>
      <c r="BA194" s="71">
        <f t="shared" si="61"/>
        <v>100.92776194547928</v>
      </c>
      <c r="BB194" s="84">
        <v>1</v>
      </c>
      <c r="BC194" s="84">
        <v>0</v>
      </c>
      <c r="BD194" s="84">
        <v>0</v>
      </c>
      <c r="BE194" s="84">
        <v>1</v>
      </c>
      <c r="BF194" s="84">
        <v>0</v>
      </c>
      <c r="BG194" s="84">
        <v>0</v>
      </c>
      <c r="BH194" s="20">
        <v>0</v>
      </c>
      <c r="BI194" s="71"/>
      <c r="BJ194" s="71"/>
      <c r="BK194" s="71">
        <f t="shared" si="62"/>
        <v>92.176238572378367</v>
      </c>
      <c r="BL194" s="17">
        <v>1</v>
      </c>
      <c r="BM194" s="71"/>
      <c r="BN194" s="71"/>
      <c r="BO194" s="71">
        <f t="shared" si="63"/>
        <v>92.606326748686826</v>
      </c>
      <c r="BP194" s="17">
        <v>1</v>
      </c>
      <c r="BQ194" s="71"/>
      <c r="BR194" s="71"/>
      <c r="BS194" s="138">
        <f t="shared" si="64"/>
        <v>100.16171091563201</v>
      </c>
      <c r="BT194" s="17">
        <v>2</v>
      </c>
      <c r="BU194" s="71"/>
      <c r="BV194" s="71"/>
      <c r="BW194" s="71">
        <f t="shared" si="65"/>
        <v>102.51956289746849</v>
      </c>
      <c r="BX194" s="84">
        <v>2</v>
      </c>
      <c r="BY194" s="17">
        <v>1</v>
      </c>
      <c r="BZ194" s="71"/>
      <c r="CA194" s="71"/>
      <c r="CB194" s="71">
        <f t="shared" si="66"/>
        <v>91.01069683312474</v>
      </c>
      <c r="CC194" s="17">
        <v>0</v>
      </c>
      <c r="CD194" s="71"/>
      <c r="CE194" s="71"/>
      <c r="CF194" s="71">
        <f t="shared" si="67"/>
        <v>81.842287242964616</v>
      </c>
      <c r="CG194" s="17">
        <v>0</v>
      </c>
      <c r="CH194" s="71"/>
      <c r="CI194" s="71"/>
      <c r="CJ194" s="138">
        <f t="shared" si="68"/>
        <v>89.226340793489143</v>
      </c>
      <c r="CK194" s="17">
        <v>2</v>
      </c>
      <c r="CL194" s="71"/>
      <c r="CM194" s="71"/>
      <c r="CN194" s="71">
        <f t="shared" si="69"/>
        <v>100.22589057499034</v>
      </c>
      <c r="CO194" s="93">
        <v>0</v>
      </c>
      <c r="CP194" s="93">
        <v>1</v>
      </c>
      <c r="CQ194" s="93">
        <v>1</v>
      </c>
      <c r="CR194" s="93">
        <v>0</v>
      </c>
      <c r="CS194" s="102">
        <f t="shared" si="70"/>
        <v>96.038809733895832</v>
      </c>
      <c r="CT194" s="102">
        <f t="shared" si="71"/>
        <v>7.0618450608343535</v>
      </c>
      <c r="CU194" s="102">
        <f t="shared" si="72"/>
        <v>7.3531159750951744E-2</v>
      </c>
      <c r="CV194" s="108">
        <f t="shared" si="73"/>
        <v>95.519544076591146</v>
      </c>
      <c r="CZ194" s="109" t="str">
        <f t="shared" si="74"/>
        <v>Basso</v>
      </c>
    </row>
    <row r="195" spans="1:104" x14ac:dyDescent="0.15">
      <c r="A195" s="85">
        <v>2</v>
      </c>
      <c r="B195" s="85">
        <v>2</v>
      </c>
      <c r="C195" s="85">
        <v>3</v>
      </c>
      <c r="D195" s="85">
        <v>1</v>
      </c>
      <c r="E195" s="85">
        <v>1</v>
      </c>
      <c r="F195" s="18">
        <v>2</v>
      </c>
      <c r="I195" s="64">
        <f t="shared" ref="I195:I258" si="75">100 + ((F195 - $G$2) / $H$2) * 10</f>
        <v>109.85726154139888</v>
      </c>
      <c r="J195" s="18">
        <v>1</v>
      </c>
      <c r="M195" s="64">
        <f t="shared" ref="M195:M258" si="76">100 + ((J195 - $K$2) / $L$2) * 10</f>
        <v>95.705097084683388</v>
      </c>
      <c r="N195" s="18">
        <v>1</v>
      </c>
      <c r="Q195" s="64">
        <f t="shared" ref="Q195:Q258" si="77">100 + ((N195 - $O$2) / $P$2) * 10</f>
        <v>98.246708656674187</v>
      </c>
      <c r="R195" s="18">
        <v>2</v>
      </c>
      <c r="U195" s="64">
        <f t="shared" ref="U195:U258" si="78">100 + ((R195 - $S$2) / $T$2) * 10</f>
        <v>101.34799174124942</v>
      </c>
      <c r="V195" s="18">
        <v>5</v>
      </c>
      <c r="Y195" s="114">
        <f t="shared" ref="Y195:Y258" si="79">100 + ((V195 - $W$2) / $X$2) * 10</f>
        <v>117.22264171231127</v>
      </c>
      <c r="Z195" s="18">
        <v>0</v>
      </c>
      <c r="AC195" s="64">
        <f t="shared" ref="AC195:AC258" si="80">100 + ((Z195 - $AA$2) / $AB$2) * 10</f>
        <v>85.509512691809249</v>
      </c>
      <c r="AD195" s="24">
        <v>3</v>
      </c>
      <c r="AE195" s="71"/>
      <c r="AF195" s="71"/>
      <c r="AG195" s="71">
        <f t="shared" ref="AG195:AG258" si="81">100 + ((AD195 - $AE$2) / $AF$2) * 10</f>
        <v>109.20703006144345</v>
      </c>
      <c r="AH195" s="18">
        <v>3</v>
      </c>
      <c r="AK195" s="64">
        <f t="shared" ref="AK195:AK258" si="82">100 + ((AH195 - $AI$2) / $AJ$2) * 10</f>
        <v>110.43726382077395</v>
      </c>
      <c r="AL195" s="18">
        <v>3</v>
      </c>
      <c r="AM195" s="71"/>
      <c r="AN195" s="71"/>
      <c r="AO195" s="71">
        <f t="shared" ref="AO195:AO258" si="83">100 + ((AL195 - $AM$2) / $AN$2) * 10</f>
        <v>100.85056924463234</v>
      </c>
      <c r="AP195" s="18">
        <v>3</v>
      </c>
      <c r="AQ195" s="71"/>
      <c r="AR195" s="71"/>
      <c r="AS195" s="71">
        <f t="shared" ref="AS195:AS258" si="84">100 + ((AP195 - $AQ$2) / $AR$2) * 10</f>
        <v>110.12341030651692</v>
      </c>
      <c r="AT195" s="18">
        <v>0</v>
      </c>
      <c r="AU195" s="71"/>
      <c r="AV195" s="71"/>
      <c r="AW195" s="71">
        <f t="shared" ref="AW195:AW258" si="85">100 + ((AT195 - $AU$2) / $AV$2) * 10</f>
        <v>89.214252251088965</v>
      </c>
      <c r="AX195" s="18">
        <v>1</v>
      </c>
      <c r="AY195" s="71"/>
      <c r="AZ195" s="71"/>
      <c r="BA195" s="71">
        <f t="shared" ref="BA195:BA258" si="86">100 + ((AX195 - $AY$2) / $AZ$2) * 10</f>
        <v>90.050552929515405</v>
      </c>
      <c r="BB195" s="85">
        <v>1</v>
      </c>
      <c r="BC195" s="85">
        <v>0</v>
      </c>
      <c r="BD195" s="85">
        <v>0</v>
      </c>
      <c r="BE195" s="85">
        <v>1</v>
      </c>
      <c r="BF195" s="85">
        <v>0</v>
      </c>
      <c r="BG195" s="85">
        <v>0</v>
      </c>
      <c r="BH195" s="19">
        <v>1</v>
      </c>
      <c r="BI195" s="71"/>
      <c r="BJ195" s="71"/>
      <c r="BK195" s="71">
        <f t="shared" ref="BK195:BK258" si="87">100 + ((BH195 - $BI$2) / $BJ$2) * 10</f>
        <v>103.49572319106498</v>
      </c>
      <c r="BL195" s="18">
        <v>1</v>
      </c>
      <c r="BM195" s="71"/>
      <c r="BN195" s="71"/>
      <c r="BO195" s="71">
        <f t="shared" ref="BO195:BO258" si="88">100 + ((BL195 - $BM$2) / $BN$2) * 10</f>
        <v>92.606326748686826</v>
      </c>
      <c r="BP195" s="18">
        <v>1</v>
      </c>
      <c r="BQ195" s="71"/>
      <c r="BR195" s="71"/>
      <c r="BS195" s="138">
        <f t="shared" ref="BS195:BS258" si="89">100 + ((BP195 - $BQ$2) / $BR$2) * 10</f>
        <v>100.16171091563201</v>
      </c>
      <c r="BT195" s="18">
        <v>1</v>
      </c>
      <c r="BU195" s="71"/>
      <c r="BV195" s="71"/>
      <c r="BW195" s="71">
        <f t="shared" ref="BW195:BW258" si="90">100 + ((BT195 - $BU$2) / $BV$2) * 10</f>
        <v>93.001214173698628</v>
      </c>
      <c r="BX195" s="85">
        <v>2</v>
      </c>
      <c r="BY195" s="18">
        <v>0</v>
      </c>
      <c r="BZ195" s="71"/>
      <c r="CA195" s="71"/>
      <c r="CB195" s="71">
        <f t="shared" ref="CB195:CB258" si="91">100 + ((BY195 - $BZ$2) / $CA$2) * 10</f>
        <v>81.489316531761531</v>
      </c>
      <c r="CC195" s="18">
        <v>3</v>
      </c>
      <c r="CD195" s="71"/>
      <c r="CE195" s="71"/>
      <c r="CF195" s="71">
        <f t="shared" ref="CF195:CF258" si="92">100 + ((CC195 - $CD$2) / $CE$2) * 10</f>
        <v>109.36214907383548</v>
      </c>
      <c r="CG195" s="18">
        <v>0</v>
      </c>
      <c r="CH195" s="71"/>
      <c r="CI195" s="71"/>
      <c r="CJ195" s="138">
        <f t="shared" ref="CJ195:CJ258" si="93">100 + ((CG195 - $CH$2) / $CI$2) * 10</f>
        <v>89.226340793489143</v>
      </c>
      <c r="CK195" s="18">
        <v>3</v>
      </c>
      <c r="CL195" s="71"/>
      <c r="CM195" s="71"/>
      <c r="CN195" s="71">
        <f t="shared" ref="CN195:CN258" si="94">100 + ((CK195 - $CL$2) / $CM$2) * 10</f>
        <v>109.82624001207998</v>
      </c>
      <c r="CO195" s="94">
        <v>0</v>
      </c>
      <c r="CP195" s="94">
        <v>1</v>
      </c>
      <c r="CQ195" s="94">
        <v>1</v>
      </c>
      <c r="CR195" s="94">
        <v>0</v>
      </c>
      <c r="CS195" s="102">
        <f t="shared" ref="CS195:CS258" si="95">AVERAGE(I195, M195, Q195, U195, AC195, AG195, AK195, AO195, AS195, AW195, BA195, BK195, BO195, BW195, CB195, CF195, CN195)</f>
        <v>99.431212944759622</v>
      </c>
      <c r="CT195" s="102">
        <f t="shared" ref="CT195:CT258" si="96">STDEV(I195, M195, Q195, U195, AC195, AG195, AK195, AO195, AS195, AW195, BA195, BK195, BO195, BW195, CB195, CF195, CN195)</f>
        <v>9.6174764928272882</v>
      </c>
      <c r="CU195" s="102">
        <f t="shared" ref="CU195:CU258" si="97">IF(CS195=0, 0, CT195 / CS195)</f>
        <v>9.6724923773889887E-2</v>
      </c>
      <c r="CV195" s="108">
        <f t="shared" ref="CV195:CV258" si="98">CS195 - CT195 * CU195</f>
        <v>98.500963264093727</v>
      </c>
      <c r="CZ195" s="109" t="str">
        <f t="shared" ref="CZ195:CZ258" si="99">IF(CV195&lt;95.9069994, "Basso", IF(CV195&lt;99.02062343, "Medio-Basso", IF(CV195&lt;103.58108, "Medio-Alto", "Alto")))</f>
        <v>Medio-Basso</v>
      </c>
    </row>
    <row r="196" spans="1:104" x14ac:dyDescent="0.15">
      <c r="A196" s="84">
        <v>2</v>
      </c>
      <c r="B196" s="84">
        <v>1</v>
      </c>
      <c r="C196" s="84">
        <v>3</v>
      </c>
      <c r="D196" s="84">
        <v>3</v>
      </c>
      <c r="E196" s="84">
        <v>0</v>
      </c>
      <c r="F196" s="17">
        <v>2</v>
      </c>
      <c r="I196" s="64">
        <f t="shared" si="75"/>
        <v>109.85726154139888</v>
      </c>
      <c r="J196" s="17">
        <v>0</v>
      </c>
      <c r="M196" s="64">
        <f t="shared" si="76"/>
        <v>81.388754033628004</v>
      </c>
      <c r="N196" s="17">
        <v>0</v>
      </c>
      <c r="Q196" s="64">
        <f t="shared" si="77"/>
        <v>82.559365058495843</v>
      </c>
      <c r="R196" s="17">
        <v>0</v>
      </c>
      <c r="U196" s="64">
        <f t="shared" si="78"/>
        <v>81.845132506151486</v>
      </c>
      <c r="V196" s="17">
        <v>0</v>
      </c>
      <c r="Y196" s="114">
        <f t="shared" si="79"/>
        <v>84.977607669437745</v>
      </c>
      <c r="Z196" s="17">
        <v>0</v>
      </c>
      <c r="AC196" s="64">
        <f t="shared" si="80"/>
        <v>85.509512691809249</v>
      </c>
      <c r="AD196" s="25">
        <v>3</v>
      </c>
      <c r="AE196" s="71"/>
      <c r="AF196" s="71"/>
      <c r="AG196" s="71">
        <f t="shared" si="81"/>
        <v>109.20703006144345</v>
      </c>
      <c r="AH196" s="17">
        <v>0</v>
      </c>
      <c r="AK196" s="64">
        <f t="shared" si="82"/>
        <v>77.680312752498807</v>
      </c>
      <c r="AL196" s="17">
        <v>3</v>
      </c>
      <c r="AM196" s="71"/>
      <c r="AN196" s="71"/>
      <c r="AO196" s="71">
        <f t="shared" si="83"/>
        <v>100.85056924463234</v>
      </c>
      <c r="AP196" s="17">
        <v>2</v>
      </c>
      <c r="AQ196" s="71"/>
      <c r="AR196" s="71"/>
      <c r="AS196" s="71">
        <f t="shared" si="84"/>
        <v>99.909880620416757</v>
      </c>
      <c r="AT196" s="17">
        <v>0</v>
      </c>
      <c r="AU196" s="71"/>
      <c r="AV196" s="71"/>
      <c r="AW196" s="71">
        <f t="shared" si="85"/>
        <v>89.214252251088965</v>
      </c>
      <c r="AX196" s="17">
        <v>0</v>
      </c>
      <c r="AY196" s="71"/>
      <c r="AZ196" s="71"/>
      <c r="BA196" s="71">
        <f t="shared" si="86"/>
        <v>79.173343913551548</v>
      </c>
      <c r="BB196" s="84">
        <v>1</v>
      </c>
      <c r="BC196" s="84">
        <v>0</v>
      </c>
      <c r="BD196" s="84">
        <v>0</v>
      </c>
      <c r="BE196" s="84">
        <v>1</v>
      </c>
      <c r="BF196" s="84">
        <v>0</v>
      </c>
      <c r="BG196" s="84">
        <v>0</v>
      </c>
      <c r="BH196" s="20">
        <v>0</v>
      </c>
      <c r="BI196" s="71"/>
      <c r="BJ196" s="71"/>
      <c r="BK196" s="71">
        <f t="shared" si="87"/>
        <v>92.176238572378367</v>
      </c>
      <c r="BL196" s="17">
        <v>0</v>
      </c>
      <c r="BM196" s="71"/>
      <c r="BN196" s="71"/>
      <c r="BO196" s="71">
        <f t="shared" si="88"/>
        <v>83.261163531413686</v>
      </c>
      <c r="BP196" s="17">
        <v>0</v>
      </c>
      <c r="BQ196" s="71"/>
      <c r="BR196" s="71"/>
      <c r="BS196" s="138">
        <f t="shared" si="89"/>
        <v>86.456710815818582</v>
      </c>
      <c r="BT196" s="17">
        <v>0</v>
      </c>
      <c r="BU196" s="71"/>
      <c r="BV196" s="71"/>
      <c r="BW196" s="71">
        <f t="shared" si="90"/>
        <v>83.482865449928767</v>
      </c>
      <c r="BX196" s="84">
        <v>2</v>
      </c>
      <c r="BY196" s="17">
        <v>2</v>
      </c>
      <c r="BZ196" s="71"/>
      <c r="CA196" s="71"/>
      <c r="CB196" s="71">
        <f t="shared" si="91"/>
        <v>100.53207713448795</v>
      </c>
      <c r="CC196" s="17">
        <v>0</v>
      </c>
      <c r="CD196" s="71"/>
      <c r="CE196" s="71"/>
      <c r="CF196" s="71">
        <f t="shared" si="92"/>
        <v>81.842287242964616</v>
      </c>
      <c r="CG196" s="17">
        <v>0</v>
      </c>
      <c r="CH196" s="71"/>
      <c r="CI196" s="71"/>
      <c r="CJ196" s="138">
        <f t="shared" si="93"/>
        <v>89.226340793489143</v>
      </c>
      <c r="CK196" s="17">
        <v>2</v>
      </c>
      <c r="CL196" s="71"/>
      <c r="CM196" s="71"/>
      <c r="CN196" s="71">
        <f t="shared" si="94"/>
        <v>100.22589057499034</v>
      </c>
      <c r="CO196" s="93">
        <v>0</v>
      </c>
      <c r="CP196" s="93">
        <v>0</v>
      </c>
      <c r="CQ196" s="93">
        <v>0</v>
      </c>
      <c r="CR196" s="93">
        <v>1</v>
      </c>
      <c r="CS196" s="102">
        <f t="shared" si="95"/>
        <v>90.512702187134082</v>
      </c>
      <c r="CT196" s="102">
        <f t="shared" si="96"/>
        <v>10.709653955964043</v>
      </c>
      <c r="CU196" s="102">
        <f t="shared" si="97"/>
        <v>0.11832211056766313</v>
      </c>
      <c r="CV196" s="108">
        <f t="shared" si="98"/>
        <v>89.2455133276151</v>
      </c>
      <c r="CZ196" s="109" t="str">
        <f t="shared" si="99"/>
        <v>Basso</v>
      </c>
    </row>
    <row r="197" spans="1:104" x14ac:dyDescent="0.15">
      <c r="A197" s="85">
        <v>4</v>
      </c>
      <c r="B197" s="85">
        <v>0</v>
      </c>
      <c r="C197" s="85">
        <v>0</v>
      </c>
      <c r="D197" s="85">
        <v>1</v>
      </c>
      <c r="E197" s="85">
        <v>1</v>
      </c>
      <c r="F197" s="18">
        <v>2</v>
      </c>
      <c r="I197" s="64">
        <f t="shared" si="75"/>
        <v>109.85726154139888</v>
      </c>
      <c r="J197" s="18">
        <v>2</v>
      </c>
      <c r="M197" s="64">
        <f t="shared" si="76"/>
        <v>110.02144013573877</v>
      </c>
      <c r="N197" s="18">
        <v>2</v>
      </c>
      <c r="Q197" s="64">
        <f t="shared" si="77"/>
        <v>113.93405225485253</v>
      </c>
      <c r="R197" s="18">
        <v>3</v>
      </c>
      <c r="U197" s="64">
        <f t="shared" si="78"/>
        <v>111.09942135879838</v>
      </c>
      <c r="V197" s="18">
        <v>4</v>
      </c>
      <c r="Y197" s="114">
        <f t="shared" si="79"/>
        <v>110.77363490373656</v>
      </c>
      <c r="Z197" s="18">
        <v>3</v>
      </c>
      <c r="AC197" s="64">
        <f t="shared" si="80"/>
        <v>109.50350141641081</v>
      </c>
      <c r="AD197" s="24">
        <v>3</v>
      </c>
      <c r="AE197" s="71"/>
      <c r="AF197" s="71"/>
      <c r="AG197" s="71">
        <f t="shared" si="81"/>
        <v>109.20703006144345</v>
      </c>
      <c r="AH197" s="18">
        <v>3</v>
      </c>
      <c r="AK197" s="64">
        <f t="shared" si="82"/>
        <v>110.43726382077395</v>
      </c>
      <c r="AL197" s="18">
        <v>3</v>
      </c>
      <c r="AM197" s="71"/>
      <c r="AN197" s="71"/>
      <c r="AO197" s="71">
        <f t="shared" si="83"/>
        <v>100.85056924463234</v>
      </c>
      <c r="AP197" s="18">
        <v>3</v>
      </c>
      <c r="AQ197" s="71"/>
      <c r="AR197" s="71"/>
      <c r="AS197" s="71">
        <f t="shared" si="84"/>
        <v>110.12341030651692</v>
      </c>
      <c r="AT197" s="18">
        <v>0</v>
      </c>
      <c r="AU197" s="71"/>
      <c r="AV197" s="71"/>
      <c r="AW197" s="71">
        <f t="shared" si="85"/>
        <v>89.214252251088965</v>
      </c>
      <c r="AX197" s="18">
        <v>3</v>
      </c>
      <c r="AY197" s="71"/>
      <c r="AZ197" s="71"/>
      <c r="BA197" s="71">
        <f t="shared" si="86"/>
        <v>111.80497096144313</v>
      </c>
      <c r="BB197" s="85">
        <v>1</v>
      </c>
      <c r="BC197" s="85">
        <v>0</v>
      </c>
      <c r="BD197" s="85">
        <v>1</v>
      </c>
      <c r="BE197" s="85">
        <v>0</v>
      </c>
      <c r="BF197" s="85">
        <v>0</v>
      </c>
      <c r="BG197" s="85">
        <v>0</v>
      </c>
      <c r="BH197" s="19">
        <v>2</v>
      </c>
      <c r="BI197" s="71"/>
      <c r="BJ197" s="71"/>
      <c r="BK197" s="71">
        <f t="shared" si="87"/>
        <v>114.81520780975161</v>
      </c>
      <c r="BL197" s="18">
        <v>3</v>
      </c>
      <c r="BM197" s="71"/>
      <c r="BN197" s="71"/>
      <c r="BO197" s="71">
        <f t="shared" si="88"/>
        <v>111.29665318323313</v>
      </c>
      <c r="BP197" s="18">
        <v>1</v>
      </c>
      <c r="BQ197" s="71"/>
      <c r="BR197" s="71"/>
      <c r="BS197" s="138">
        <f t="shared" si="89"/>
        <v>100.16171091563201</v>
      </c>
      <c r="BT197" s="18">
        <v>3</v>
      </c>
      <c r="BU197" s="71"/>
      <c r="BV197" s="71"/>
      <c r="BW197" s="71">
        <f t="shared" si="90"/>
        <v>112.03791162123835</v>
      </c>
      <c r="BX197" s="85">
        <v>3</v>
      </c>
      <c r="BY197" s="18">
        <v>3</v>
      </c>
      <c r="BZ197" s="71"/>
      <c r="CA197" s="71"/>
      <c r="CB197" s="71">
        <f t="shared" si="91"/>
        <v>110.05345743585116</v>
      </c>
      <c r="CC197" s="18">
        <v>3</v>
      </c>
      <c r="CD197" s="71"/>
      <c r="CE197" s="71"/>
      <c r="CF197" s="71">
        <f t="shared" si="92"/>
        <v>109.36214907383548</v>
      </c>
      <c r="CG197" s="18">
        <v>0</v>
      </c>
      <c r="CH197" s="71"/>
      <c r="CI197" s="71"/>
      <c r="CJ197" s="138">
        <f t="shared" si="93"/>
        <v>89.226340793489143</v>
      </c>
      <c r="CK197" s="18">
        <v>3</v>
      </c>
      <c r="CL197" s="71"/>
      <c r="CM197" s="71"/>
      <c r="CN197" s="71">
        <f t="shared" si="94"/>
        <v>109.82624001207998</v>
      </c>
      <c r="CO197" s="94">
        <v>1</v>
      </c>
      <c r="CP197" s="94">
        <v>1</v>
      </c>
      <c r="CQ197" s="94">
        <v>0</v>
      </c>
      <c r="CR197" s="94">
        <v>0</v>
      </c>
      <c r="CS197" s="102">
        <f t="shared" si="95"/>
        <v>109.02616426406401</v>
      </c>
      <c r="CT197" s="102">
        <f t="shared" si="96"/>
        <v>5.8637863939639416</v>
      </c>
      <c r="CU197" s="102">
        <f t="shared" si="97"/>
        <v>5.378329535433081E-2</v>
      </c>
      <c r="CV197" s="108">
        <f t="shared" si="98"/>
        <v>108.71079050854274</v>
      </c>
      <c r="CZ197" s="109" t="str">
        <f t="shared" si="99"/>
        <v>Alto</v>
      </c>
    </row>
    <row r="198" spans="1:104" x14ac:dyDescent="0.15">
      <c r="A198" s="84">
        <v>2</v>
      </c>
      <c r="B198" s="84">
        <v>2</v>
      </c>
      <c r="C198" s="84">
        <v>2</v>
      </c>
      <c r="D198" s="84">
        <v>1</v>
      </c>
      <c r="E198" s="84">
        <v>1</v>
      </c>
      <c r="F198" s="17">
        <v>1</v>
      </c>
      <c r="I198" s="64">
        <f t="shared" si="75"/>
        <v>93.428492305734082</v>
      </c>
      <c r="J198" s="17">
        <v>1</v>
      </c>
      <c r="M198" s="64">
        <f t="shared" si="76"/>
        <v>95.705097084683388</v>
      </c>
      <c r="N198" s="17">
        <v>1</v>
      </c>
      <c r="Q198" s="64">
        <f t="shared" si="77"/>
        <v>98.246708656674187</v>
      </c>
      <c r="R198" s="17">
        <v>2</v>
      </c>
      <c r="U198" s="64">
        <f t="shared" si="78"/>
        <v>101.34799174124942</v>
      </c>
      <c r="V198" s="17">
        <v>1</v>
      </c>
      <c r="Y198" s="114">
        <f t="shared" si="79"/>
        <v>91.426614478012453</v>
      </c>
      <c r="Z198" s="17">
        <v>2</v>
      </c>
      <c r="AC198" s="64">
        <f t="shared" si="80"/>
        <v>101.50550517487696</v>
      </c>
      <c r="AD198" s="25">
        <v>2</v>
      </c>
      <c r="AE198" s="71"/>
      <c r="AF198" s="71"/>
      <c r="AG198" s="71">
        <f t="shared" si="81"/>
        <v>101.01229126330007</v>
      </c>
      <c r="AH198" s="17">
        <v>2</v>
      </c>
      <c r="AK198" s="64">
        <f t="shared" si="82"/>
        <v>99.518280131348902</v>
      </c>
      <c r="AL198" s="17">
        <v>0</v>
      </c>
      <c r="AM198" s="71"/>
      <c r="AN198" s="71"/>
      <c r="AO198" s="71">
        <f t="shared" si="83"/>
        <v>67.482083493671226</v>
      </c>
      <c r="AP198" s="17">
        <v>0</v>
      </c>
      <c r="AQ198" s="71"/>
      <c r="AR198" s="71"/>
      <c r="AS198" s="71">
        <f t="shared" si="84"/>
        <v>79.482821248216453</v>
      </c>
      <c r="AT198" s="17">
        <v>0</v>
      </c>
      <c r="AU198" s="71"/>
      <c r="AV198" s="71"/>
      <c r="AW198" s="71">
        <f t="shared" si="85"/>
        <v>89.214252251088965</v>
      </c>
      <c r="AX198" s="17">
        <v>2</v>
      </c>
      <c r="AY198" s="71"/>
      <c r="AZ198" s="71"/>
      <c r="BA198" s="71">
        <f t="shared" si="86"/>
        <v>100.92776194547928</v>
      </c>
      <c r="BB198" s="84">
        <v>0</v>
      </c>
      <c r="BC198" s="84">
        <v>0</v>
      </c>
      <c r="BD198" s="84">
        <v>0</v>
      </c>
      <c r="BE198" s="84">
        <v>1</v>
      </c>
      <c r="BF198" s="84">
        <v>0</v>
      </c>
      <c r="BG198" s="84">
        <v>0</v>
      </c>
      <c r="BH198" s="20">
        <v>1</v>
      </c>
      <c r="BI198" s="71"/>
      <c r="BJ198" s="71"/>
      <c r="BK198" s="71">
        <f t="shared" si="87"/>
        <v>103.49572319106498</v>
      </c>
      <c r="BL198" s="17">
        <v>0</v>
      </c>
      <c r="BM198" s="71"/>
      <c r="BN198" s="71"/>
      <c r="BO198" s="71">
        <f t="shared" si="88"/>
        <v>83.261163531413686</v>
      </c>
      <c r="BP198" s="17">
        <v>2</v>
      </c>
      <c r="BQ198" s="71"/>
      <c r="BR198" s="71"/>
      <c r="BS198" s="138">
        <f t="shared" si="89"/>
        <v>113.86671101544545</v>
      </c>
      <c r="BT198" s="17">
        <v>0</v>
      </c>
      <c r="BU198" s="71"/>
      <c r="BV198" s="71"/>
      <c r="BW198" s="71">
        <f t="shared" si="90"/>
        <v>83.482865449928767</v>
      </c>
      <c r="BX198" s="84">
        <v>2</v>
      </c>
      <c r="BY198" s="17">
        <v>0</v>
      </c>
      <c r="BZ198" s="71"/>
      <c r="CA198" s="71"/>
      <c r="CB198" s="71">
        <f t="shared" si="91"/>
        <v>81.489316531761531</v>
      </c>
      <c r="CC198" s="17">
        <v>1</v>
      </c>
      <c r="CD198" s="71"/>
      <c r="CE198" s="71"/>
      <c r="CF198" s="71">
        <f t="shared" si="92"/>
        <v>91.015574519921572</v>
      </c>
      <c r="CG198" s="17">
        <v>1</v>
      </c>
      <c r="CH198" s="71"/>
      <c r="CI198" s="71"/>
      <c r="CJ198" s="138">
        <f t="shared" si="93"/>
        <v>103.93736139675698</v>
      </c>
      <c r="CK198" s="17">
        <v>1</v>
      </c>
      <c r="CL198" s="71"/>
      <c r="CM198" s="71"/>
      <c r="CN198" s="71">
        <f t="shared" si="94"/>
        <v>90.625541137900711</v>
      </c>
      <c r="CO198" s="93">
        <v>0</v>
      </c>
      <c r="CP198" s="93">
        <v>0</v>
      </c>
      <c r="CQ198" s="93">
        <v>0</v>
      </c>
      <c r="CR198" s="93">
        <v>1</v>
      </c>
      <c r="CS198" s="102">
        <f t="shared" si="95"/>
        <v>91.837733509312599</v>
      </c>
      <c r="CT198" s="102">
        <f t="shared" si="96"/>
        <v>10.029625197241614</v>
      </c>
      <c r="CU198" s="102">
        <f t="shared" si="97"/>
        <v>0.10921028659994732</v>
      </c>
      <c r="CV198" s="108">
        <f t="shared" si="98"/>
        <v>90.742395267031796</v>
      </c>
      <c r="CZ198" s="109" t="str">
        <f t="shared" si="99"/>
        <v>Basso</v>
      </c>
    </row>
    <row r="199" spans="1:104" x14ac:dyDescent="0.15">
      <c r="A199" s="85">
        <v>5</v>
      </c>
      <c r="B199" s="85">
        <v>2</v>
      </c>
      <c r="C199" s="85">
        <v>3</v>
      </c>
      <c r="D199" s="85">
        <v>3</v>
      </c>
      <c r="E199" s="85">
        <v>1</v>
      </c>
      <c r="F199" s="18">
        <v>2</v>
      </c>
      <c r="I199" s="64">
        <f t="shared" si="75"/>
        <v>109.85726154139888</v>
      </c>
      <c r="J199" s="18">
        <v>2</v>
      </c>
      <c r="M199" s="64">
        <f t="shared" si="76"/>
        <v>110.02144013573877</v>
      </c>
      <c r="N199" s="18">
        <v>2</v>
      </c>
      <c r="Q199" s="64">
        <f t="shared" si="77"/>
        <v>113.93405225485253</v>
      </c>
      <c r="R199" s="18">
        <v>3</v>
      </c>
      <c r="U199" s="64">
        <f t="shared" si="78"/>
        <v>111.09942135879838</v>
      </c>
      <c r="V199" s="18">
        <v>0</v>
      </c>
      <c r="Y199" s="114">
        <f t="shared" si="79"/>
        <v>84.977607669437745</v>
      </c>
      <c r="Z199" s="18">
        <v>3</v>
      </c>
      <c r="AC199" s="64">
        <f t="shared" si="80"/>
        <v>109.50350141641081</v>
      </c>
      <c r="AD199" s="24">
        <v>0</v>
      </c>
      <c r="AE199" s="71"/>
      <c r="AF199" s="71"/>
      <c r="AG199" s="71">
        <f t="shared" si="81"/>
        <v>84.62281366701329</v>
      </c>
      <c r="AH199" s="18">
        <v>2</v>
      </c>
      <c r="AK199" s="64">
        <f t="shared" si="82"/>
        <v>99.518280131348902</v>
      </c>
      <c r="AL199" s="18">
        <v>0</v>
      </c>
      <c r="AM199" s="71"/>
      <c r="AN199" s="71"/>
      <c r="AO199" s="71">
        <f t="shared" si="83"/>
        <v>67.482083493671226</v>
      </c>
      <c r="AP199" s="18">
        <v>0</v>
      </c>
      <c r="AQ199" s="71"/>
      <c r="AR199" s="71"/>
      <c r="AS199" s="71">
        <f t="shared" si="84"/>
        <v>79.482821248216453</v>
      </c>
      <c r="AT199" s="18">
        <v>0</v>
      </c>
      <c r="AU199" s="71"/>
      <c r="AV199" s="71"/>
      <c r="AW199" s="71">
        <f t="shared" si="85"/>
        <v>89.214252251088965</v>
      </c>
      <c r="AX199" s="18">
        <v>2</v>
      </c>
      <c r="AY199" s="71"/>
      <c r="AZ199" s="71"/>
      <c r="BA199" s="71">
        <f t="shared" si="86"/>
        <v>100.92776194547928</v>
      </c>
      <c r="BB199" s="85">
        <v>0</v>
      </c>
      <c r="BC199" s="85">
        <v>0</v>
      </c>
      <c r="BD199" s="85">
        <v>0</v>
      </c>
      <c r="BE199" s="85">
        <v>0</v>
      </c>
      <c r="BF199" s="85">
        <v>1</v>
      </c>
      <c r="BG199" s="85">
        <v>0</v>
      </c>
      <c r="BH199" s="19">
        <v>1</v>
      </c>
      <c r="BI199" s="71"/>
      <c r="BJ199" s="71"/>
      <c r="BK199" s="71">
        <f t="shared" si="87"/>
        <v>103.49572319106498</v>
      </c>
      <c r="BL199" s="18">
        <v>0</v>
      </c>
      <c r="BM199" s="71"/>
      <c r="BN199" s="71"/>
      <c r="BO199" s="71">
        <f t="shared" si="88"/>
        <v>83.261163531413686</v>
      </c>
      <c r="BP199" s="18">
        <v>1</v>
      </c>
      <c r="BQ199" s="71"/>
      <c r="BR199" s="71"/>
      <c r="BS199" s="138">
        <f t="shared" si="89"/>
        <v>100.16171091563201</v>
      </c>
      <c r="BT199" s="18">
        <v>1</v>
      </c>
      <c r="BU199" s="71"/>
      <c r="BV199" s="71"/>
      <c r="BW199" s="71">
        <f t="shared" si="90"/>
        <v>93.001214173698628</v>
      </c>
      <c r="BX199" s="85">
        <v>3</v>
      </c>
      <c r="BY199" s="18">
        <v>0</v>
      </c>
      <c r="BZ199" s="71"/>
      <c r="CA199" s="71"/>
      <c r="CB199" s="71">
        <f t="shared" si="91"/>
        <v>81.489316531761531</v>
      </c>
      <c r="CC199" s="18">
        <v>0</v>
      </c>
      <c r="CD199" s="71"/>
      <c r="CE199" s="71"/>
      <c r="CF199" s="71">
        <f t="shared" si="92"/>
        <v>81.842287242964616</v>
      </c>
      <c r="CG199" s="18">
        <v>0</v>
      </c>
      <c r="CH199" s="71"/>
      <c r="CI199" s="71"/>
      <c r="CJ199" s="138">
        <f t="shared" si="93"/>
        <v>89.226340793489143</v>
      </c>
      <c r="CK199" s="18">
        <v>2</v>
      </c>
      <c r="CL199" s="71"/>
      <c r="CM199" s="71"/>
      <c r="CN199" s="71">
        <f t="shared" si="94"/>
        <v>100.22589057499034</v>
      </c>
      <c r="CO199" s="94">
        <v>0</v>
      </c>
      <c r="CP199" s="94">
        <v>0</v>
      </c>
      <c r="CQ199" s="94">
        <v>0</v>
      </c>
      <c r="CR199" s="94">
        <v>1</v>
      </c>
      <c r="CS199" s="102">
        <f t="shared" si="95"/>
        <v>95.234075569994786</v>
      </c>
      <c r="CT199" s="102">
        <f t="shared" si="96"/>
        <v>13.840996592257341</v>
      </c>
      <c r="CU199" s="102">
        <f t="shared" si="97"/>
        <v>0.14533659837002919</v>
      </c>
      <c r="CV199" s="108">
        <f t="shared" si="98"/>
        <v>93.222472207224939</v>
      </c>
      <c r="CZ199" s="109" t="str">
        <f t="shared" si="99"/>
        <v>Basso</v>
      </c>
    </row>
    <row r="200" spans="1:104" x14ac:dyDescent="0.15">
      <c r="A200" s="84">
        <v>2</v>
      </c>
      <c r="B200" s="84">
        <v>2</v>
      </c>
      <c r="C200" s="84">
        <v>2</v>
      </c>
      <c r="D200" s="84">
        <v>2</v>
      </c>
      <c r="E200" s="84">
        <v>1</v>
      </c>
      <c r="F200" s="17">
        <v>0</v>
      </c>
      <c r="I200" s="64">
        <f t="shared" si="75"/>
        <v>76.99972307006928</v>
      </c>
      <c r="J200" s="17">
        <v>2</v>
      </c>
      <c r="M200" s="64">
        <f t="shared" si="76"/>
        <v>110.02144013573877</v>
      </c>
      <c r="N200" s="17">
        <v>1</v>
      </c>
      <c r="Q200" s="64">
        <f t="shared" si="77"/>
        <v>98.246708656674187</v>
      </c>
      <c r="R200" s="17">
        <v>1</v>
      </c>
      <c r="U200" s="64">
        <f t="shared" si="78"/>
        <v>91.596562123700451</v>
      </c>
      <c r="V200" s="17">
        <v>2</v>
      </c>
      <c r="Y200" s="114">
        <f t="shared" si="79"/>
        <v>97.875621286587162</v>
      </c>
      <c r="Z200" s="17">
        <v>0</v>
      </c>
      <c r="AC200" s="64">
        <f t="shared" si="80"/>
        <v>85.509512691809249</v>
      </c>
      <c r="AD200" s="25">
        <v>3</v>
      </c>
      <c r="AE200" s="71"/>
      <c r="AF200" s="71"/>
      <c r="AG200" s="71">
        <f t="shared" si="81"/>
        <v>109.20703006144345</v>
      </c>
      <c r="AH200" s="17">
        <v>2</v>
      </c>
      <c r="AK200" s="64">
        <f t="shared" si="82"/>
        <v>99.518280131348902</v>
      </c>
      <c r="AL200" s="17">
        <v>3</v>
      </c>
      <c r="AM200" s="71"/>
      <c r="AN200" s="71"/>
      <c r="AO200" s="71">
        <f t="shared" si="83"/>
        <v>100.85056924463234</v>
      </c>
      <c r="AP200" s="17">
        <v>3</v>
      </c>
      <c r="AQ200" s="71"/>
      <c r="AR200" s="71"/>
      <c r="AS200" s="71">
        <f t="shared" si="84"/>
        <v>110.12341030651692</v>
      </c>
      <c r="AT200" s="17">
        <v>1</v>
      </c>
      <c r="AU200" s="71"/>
      <c r="AV200" s="71"/>
      <c r="AW200" s="71">
        <f t="shared" si="85"/>
        <v>100.0638209925971</v>
      </c>
      <c r="AX200" s="17">
        <v>3</v>
      </c>
      <c r="AY200" s="71"/>
      <c r="AZ200" s="71"/>
      <c r="BA200" s="71">
        <f t="shared" si="86"/>
        <v>111.80497096144313</v>
      </c>
      <c r="BB200" s="84">
        <v>1</v>
      </c>
      <c r="BC200" s="84">
        <v>0</v>
      </c>
      <c r="BD200" s="84">
        <v>1</v>
      </c>
      <c r="BE200" s="84">
        <v>0</v>
      </c>
      <c r="BF200" s="84">
        <v>0</v>
      </c>
      <c r="BG200" s="84">
        <v>0</v>
      </c>
      <c r="BH200" s="20">
        <v>0</v>
      </c>
      <c r="BI200" s="71"/>
      <c r="BJ200" s="71"/>
      <c r="BK200" s="71">
        <f t="shared" si="87"/>
        <v>92.176238572378367</v>
      </c>
      <c r="BL200" s="17">
        <v>2</v>
      </c>
      <c r="BM200" s="71"/>
      <c r="BN200" s="71"/>
      <c r="BO200" s="71">
        <f t="shared" si="88"/>
        <v>101.95148996595998</v>
      </c>
      <c r="BP200" s="17">
        <v>1</v>
      </c>
      <c r="BQ200" s="71"/>
      <c r="BR200" s="71"/>
      <c r="BS200" s="138">
        <f t="shared" si="89"/>
        <v>100.16171091563201</v>
      </c>
      <c r="BT200" s="17">
        <v>1</v>
      </c>
      <c r="BU200" s="71"/>
      <c r="BV200" s="71"/>
      <c r="BW200" s="71">
        <f t="shared" si="90"/>
        <v>93.001214173698628</v>
      </c>
      <c r="BX200" s="84">
        <v>0</v>
      </c>
      <c r="BY200" s="17">
        <v>3</v>
      </c>
      <c r="BZ200" s="71"/>
      <c r="CA200" s="71"/>
      <c r="CB200" s="71">
        <f t="shared" si="91"/>
        <v>110.05345743585116</v>
      </c>
      <c r="CC200" s="17">
        <v>1</v>
      </c>
      <c r="CD200" s="71"/>
      <c r="CE200" s="71"/>
      <c r="CF200" s="71">
        <f t="shared" si="92"/>
        <v>91.015574519921572</v>
      </c>
      <c r="CG200" s="17">
        <v>1</v>
      </c>
      <c r="CH200" s="71"/>
      <c r="CI200" s="71"/>
      <c r="CJ200" s="138">
        <f t="shared" si="93"/>
        <v>103.93736139675698</v>
      </c>
      <c r="CK200" s="17">
        <v>3</v>
      </c>
      <c r="CL200" s="71"/>
      <c r="CM200" s="71"/>
      <c r="CN200" s="71">
        <f t="shared" si="94"/>
        <v>109.82624001207998</v>
      </c>
      <c r="CO200" s="93">
        <v>1</v>
      </c>
      <c r="CP200" s="93">
        <v>0</v>
      </c>
      <c r="CQ200" s="93">
        <v>1</v>
      </c>
      <c r="CR200" s="93">
        <v>0</v>
      </c>
      <c r="CS200" s="102">
        <f t="shared" si="95"/>
        <v>99.527426062109612</v>
      </c>
      <c r="CT200" s="102">
        <f t="shared" si="96"/>
        <v>10.090932535503002</v>
      </c>
      <c r="CU200" s="102">
        <f t="shared" si="97"/>
        <v>0.10138846079678383</v>
      </c>
      <c r="CV200" s="108">
        <f t="shared" si="98"/>
        <v>98.504321944330769</v>
      </c>
      <c r="CZ200" s="109" t="str">
        <f t="shared" si="99"/>
        <v>Medio-Basso</v>
      </c>
    </row>
    <row r="201" spans="1:104" x14ac:dyDescent="0.15">
      <c r="A201" s="85">
        <v>1</v>
      </c>
      <c r="B201" s="85">
        <v>2</v>
      </c>
      <c r="C201" s="85">
        <v>1</v>
      </c>
      <c r="D201" s="85">
        <v>0</v>
      </c>
      <c r="E201" s="85">
        <v>0</v>
      </c>
      <c r="F201" s="18">
        <v>2</v>
      </c>
      <c r="I201" s="64">
        <f t="shared" si="75"/>
        <v>109.85726154139888</v>
      </c>
      <c r="J201" s="18">
        <v>2</v>
      </c>
      <c r="M201" s="64">
        <f t="shared" si="76"/>
        <v>110.02144013573877</v>
      </c>
      <c r="N201" s="17">
        <v>1</v>
      </c>
      <c r="Q201" s="64">
        <f t="shared" si="77"/>
        <v>98.246708656674187</v>
      </c>
      <c r="R201" s="18">
        <v>3</v>
      </c>
      <c r="U201" s="64">
        <f t="shared" si="78"/>
        <v>111.09942135879838</v>
      </c>
      <c r="V201" s="18">
        <v>3</v>
      </c>
      <c r="Y201" s="114">
        <f t="shared" si="79"/>
        <v>104.32462809516186</v>
      </c>
      <c r="Z201" s="18">
        <v>2</v>
      </c>
      <c r="AC201" s="64">
        <f t="shared" si="80"/>
        <v>101.50550517487696</v>
      </c>
      <c r="AD201" s="24">
        <v>3</v>
      </c>
      <c r="AE201" s="71"/>
      <c r="AF201" s="71"/>
      <c r="AG201" s="71">
        <f t="shared" si="81"/>
        <v>109.20703006144345</v>
      </c>
      <c r="AH201" s="18">
        <v>3</v>
      </c>
      <c r="AK201" s="64">
        <f t="shared" si="82"/>
        <v>110.43726382077395</v>
      </c>
      <c r="AL201" s="18">
        <v>3</v>
      </c>
      <c r="AM201" s="71"/>
      <c r="AN201" s="71"/>
      <c r="AO201" s="71">
        <f t="shared" si="83"/>
        <v>100.85056924463234</v>
      </c>
      <c r="AP201" s="18">
        <v>3</v>
      </c>
      <c r="AQ201" s="71"/>
      <c r="AR201" s="71"/>
      <c r="AS201" s="71">
        <f t="shared" si="84"/>
        <v>110.12341030651692</v>
      </c>
      <c r="AT201" s="18">
        <v>2</v>
      </c>
      <c r="AU201" s="71"/>
      <c r="AV201" s="71"/>
      <c r="AW201" s="71">
        <f t="shared" si="85"/>
        <v>110.91338973410525</v>
      </c>
      <c r="AX201" s="18">
        <v>2</v>
      </c>
      <c r="AY201" s="71"/>
      <c r="AZ201" s="71"/>
      <c r="BA201" s="71">
        <f t="shared" si="86"/>
        <v>100.92776194547928</v>
      </c>
      <c r="BB201" s="85">
        <v>1</v>
      </c>
      <c r="BC201" s="85">
        <v>1</v>
      </c>
      <c r="BD201" s="85">
        <v>0</v>
      </c>
      <c r="BE201" s="85">
        <v>0</v>
      </c>
      <c r="BF201" s="85">
        <v>0</v>
      </c>
      <c r="BG201" s="85">
        <v>0</v>
      </c>
      <c r="BH201" s="19">
        <v>0</v>
      </c>
      <c r="BI201" s="71"/>
      <c r="BJ201" s="71"/>
      <c r="BK201" s="71">
        <f t="shared" si="87"/>
        <v>92.176238572378367</v>
      </c>
      <c r="BL201" s="18">
        <v>2</v>
      </c>
      <c r="BM201" s="71"/>
      <c r="BN201" s="71"/>
      <c r="BO201" s="71">
        <f t="shared" si="88"/>
        <v>101.95148996595998</v>
      </c>
      <c r="BP201" s="18">
        <v>2</v>
      </c>
      <c r="BQ201" s="71"/>
      <c r="BR201" s="71"/>
      <c r="BS201" s="138">
        <f t="shared" si="89"/>
        <v>113.86671101544545</v>
      </c>
      <c r="BT201" s="18">
        <v>3</v>
      </c>
      <c r="BU201" s="71"/>
      <c r="BV201" s="71"/>
      <c r="BW201" s="71">
        <f t="shared" si="90"/>
        <v>112.03791162123835</v>
      </c>
      <c r="BX201" s="85">
        <v>0</v>
      </c>
      <c r="BY201" s="18">
        <v>2</v>
      </c>
      <c r="BZ201" s="71"/>
      <c r="CA201" s="71"/>
      <c r="CB201" s="71">
        <f t="shared" si="91"/>
        <v>100.53207713448795</v>
      </c>
      <c r="CC201" s="18">
        <v>3</v>
      </c>
      <c r="CD201" s="71"/>
      <c r="CE201" s="71"/>
      <c r="CF201" s="71">
        <f t="shared" si="92"/>
        <v>109.36214907383548</v>
      </c>
      <c r="CG201" s="18">
        <v>2</v>
      </c>
      <c r="CH201" s="71"/>
      <c r="CI201" s="71"/>
      <c r="CJ201" s="138">
        <f t="shared" si="93"/>
        <v>118.64838200002481</v>
      </c>
      <c r="CK201" s="18">
        <v>3</v>
      </c>
      <c r="CL201" s="71"/>
      <c r="CM201" s="71"/>
      <c r="CN201" s="71">
        <f t="shared" si="94"/>
        <v>109.82624001207998</v>
      </c>
      <c r="CO201" s="94">
        <v>1</v>
      </c>
      <c r="CP201" s="94">
        <v>1</v>
      </c>
      <c r="CQ201" s="94">
        <v>0</v>
      </c>
      <c r="CR201" s="94">
        <v>0</v>
      </c>
      <c r="CS201" s="102">
        <f t="shared" si="95"/>
        <v>105.82799225649522</v>
      </c>
      <c r="CT201" s="102">
        <f t="shared" si="96"/>
        <v>5.9161516823111375</v>
      </c>
      <c r="CU201" s="102">
        <f t="shared" si="97"/>
        <v>5.5903467089994163E-2</v>
      </c>
      <c r="CV201" s="108">
        <f t="shared" si="98"/>
        <v>105.49725886562372</v>
      </c>
      <c r="CZ201" s="109" t="str">
        <f t="shared" si="99"/>
        <v>Alto</v>
      </c>
    </row>
    <row r="202" spans="1:104" x14ac:dyDescent="0.15">
      <c r="A202" s="84">
        <v>2</v>
      </c>
      <c r="B202" s="84">
        <v>1</v>
      </c>
      <c r="C202" s="84">
        <v>1</v>
      </c>
      <c r="D202" s="84">
        <v>2</v>
      </c>
      <c r="E202" s="84">
        <v>1</v>
      </c>
      <c r="F202" s="17">
        <v>2</v>
      </c>
      <c r="I202" s="64">
        <f t="shared" si="75"/>
        <v>109.85726154139888</v>
      </c>
      <c r="J202" s="17">
        <v>2</v>
      </c>
      <c r="M202" s="64">
        <f t="shared" si="76"/>
        <v>110.02144013573877</v>
      </c>
      <c r="N202" s="17">
        <v>2</v>
      </c>
      <c r="Q202" s="64">
        <f t="shared" si="77"/>
        <v>113.93405225485253</v>
      </c>
      <c r="R202" s="17">
        <v>3</v>
      </c>
      <c r="U202" s="64">
        <f t="shared" si="78"/>
        <v>111.09942135879838</v>
      </c>
      <c r="V202" s="17">
        <v>4</v>
      </c>
      <c r="Y202" s="114">
        <f t="shared" si="79"/>
        <v>110.77363490373656</v>
      </c>
      <c r="Z202" s="17">
        <v>3</v>
      </c>
      <c r="AC202" s="64">
        <f t="shared" si="80"/>
        <v>109.50350141641081</v>
      </c>
      <c r="AD202" s="25">
        <v>3</v>
      </c>
      <c r="AE202" s="71"/>
      <c r="AF202" s="71"/>
      <c r="AG202" s="71">
        <f t="shared" si="81"/>
        <v>109.20703006144345</v>
      </c>
      <c r="AH202" s="17">
        <v>2</v>
      </c>
      <c r="AK202" s="64">
        <f t="shared" si="82"/>
        <v>99.518280131348902</v>
      </c>
      <c r="AL202" s="17">
        <v>4</v>
      </c>
      <c r="AM202" s="71"/>
      <c r="AN202" s="71"/>
      <c r="AO202" s="71">
        <f t="shared" si="83"/>
        <v>111.97339782828605</v>
      </c>
      <c r="AP202" s="17">
        <v>3</v>
      </c>
      <c r="AQ202" s="71"/>
      <c r="AR202" s="71"/>
      <c r="AS202" s="71">
        <f t="shared" si="84"/>
        <v>110.12341030651692</v>
      </c>
      <c r="AT202" s="17">
        <v>2</v>
      </c>
      <c r="AU202" s="71"/>
      <c r="AV202" s="71"/>
      <c r="AW202" s="71">
        <f t="shared" si="85"/>
        <v>110.91338973410525</v>
      </c>
      <c r="AX202" s="17">
        <v>3</v>
      </c>
      <c r="AY202" s="71"/>
      <c r="AZ202" s="71"/>
      <c r="BA202" s="71">
        <f t="shared" si="86"/>
        <v>111.80497096144313</v>
      </c>
      <c r="BB202" s="84">
        <v>1</v>
      </c>
      <c r="BC202" s="84">
        <v>0</v>
      </c>
      <c r="BD202" s="84">
        <v>1</v>
      </c>
      <c r="BE202" s="84">
        <v>0</v>
      </c>
      <c r="BF202" s="84">
        <v>0</v>
      </c>
      <c r="BG202" s="84">
        <v>0</v>
      </c>
      <c r="BH202" s="20">
        <v>2</v>
      </c>
      <c r="BI202" s="71"/>
      <c r="BJ202" s="71"/>
      <c r="BK202" s="71">
        <f t="shared" si="87"/>
        <v>114.81520780975161</v>
      </c>
      <c r="BL202" s="17">
        <v>1</v>
      </c>
      <c r="BM202" s="71"/>
      <c r="BN202" s="71"/>
      <c r="BO202" s="71">
        <f t="shared" si="88"/>
        <v>92.606326748686826</v>
      </c>
      <c r="BP202" s="17">
        <v>2</v>
      </c>
      <c r="BQ202" s="71"/>
      <c r="BR202" s="71"/>
      <c r="BS202" s="138">
        <f t="shared" si="89"/>
        <v>113.86671101544545</v>
      </c>
      <c r="BT202" s="17">
        <v>2</v>
      </c>
      <c r="BU202" s="71"/>
      <c r="BV202" s="71"/>
      <c r="BW202" s="71">
        <f t="shared" si="90"/>
        <v>102.51956289746849</v>
      </c>
      <c r="BX202" s="84">
        <v>2</v>
      </c>
      <c r="BY202" s="17">
        <v>3</v>
      </c>
      <c r="BZ202" s="71"/>
      <c r="CA202" s="71"/>
      <c r="CB202" s="71">
        <f t="shared" si="91"/>
        <v>110.05345743585116</v>
      </c>
      <c r="CC202" s="17">
        <v>3</v>
      </c>
      <c r="CD202" s="71"/>
      <c r="CE202" s="71"/>
      <c r="CF202" s="71">
        <f t="shared" si="92"/>
        <v>109.36214907383548</v>
      </c>
      <c r="CG202" s="17">
        <v>2</v>
      </c>
      <c r="CH202" s="71"/>
      <c r="CI202" s="71"/>
      <c r="CJ202" s="138">
        <f t="shared" si="93"/>
        <v>118.64838200002481</v>
      </c>
      <c r="CK202" s="17">
        <v>1</v>
      </c>
      <c r="CL202" s="71"/>
      <c r="CM202" s="71"/>
      <c r="CN202" s="71">
        <f t="shared" si="94"/>
        <v>90.625541137900711</v>
      </c>
      <c r="CO202" s="96">
        <v>1</v>
      </c>
      <c r="CP202" s="96">
        <v>0</v>
      </c>
      <c r="CQ202" s="96">
        <v>1</v>
      </c>
      <c r="CR202" s="96">
        <v>0</v>
      </c>
      <c r="CS202" s="102">
        <f t="shared" si="95"/>
        <v>107.52578828434336</v>
      </c>
      <c r="CT202" s="102">
        <f t="shared" si="96"/>
        <v>7.0215869066014251</v>
      </c>
      <c r="CU202" s="102">
        <f t="shared" si="97"/>
        <v>6.5301422278657456E-2</v>
      </c>
      <c r="CV202" s="108">
        <f t="shared" si="98"/>
        <v>107.0672686726891</v>
      </c>
      <c r="CZ202" s="109" t="str">
        <f t="shared" si="99"/>
        <v>Alto</v>
      </c>
    </row>
    <row r="203" spans="1:104" x14ac:dyDescent="0.15">
      <c r="A203" s="85">
        <v>5</v>
      </c>
      <c r="B203" s="85">
        <v>2</v>
      </c>
      <c r="C203" s="85">
        <v>1</v>
      </c>
      <c r="D203" s="85">
        <v>2</v>
      </c>
      <c r="E203" s="85">
        <v>1</v>
      </c>
      <c r="F203" s="18">
        <v>0</v>
      </c>
      <c r="I203" s="64">
        <f t="shared" si="75"/>
        <v>76.99972307006928</v>
      </c>
      <c r="J203" s="18">
        <v>0</v>
      </c>
      <c r="M203" s="64">
        <f t="shared" si="76"/>
        <v>81.388754033628004</v>
      </c>
      <c r="N203" s="18">
        <v>1</v>
      </c>
      <c r="Q203" s="64">
        <f t="shared" si="77"/>
        <v>98.246708656674187</v>
      </c>
      <c r="R203" s="18">
        <v>1</v>
      </c>
      <c r="U203" s="64">
        <f t="shared" si="78"/>
        <v>91.596562123700451</v>
      </c>
      <c r="V203" s="18">
        <v>5</v>
      </c>
      <c r="Y203" s="114">
        <f t="shared" si="79"/>
        <v>117.22264171231127</v>
      </c>
      <c r="Z203" s="18">
        <v>0</v>
      </c>
      <c r="AC203" s="64">
        <f t="shared" si="80"/>
        <v>85.509512691809249</v>
      </c>
      <c r="AD203" s="24">
        <v>2</v>
      </c>
      <c r="AE203" s="71"/>
      <c r="AF203" s="71"/>
      <c r="AG203" s="71">
        <f t="shared" si="81"/>
        <v>101.01229126330007</v>
      </c>
      <c r="AH203" s="18">
        <v>1</v>
      </c>
      <c r="AK203" s="64">
        <f t="shared" si="82"/>
        <v>88.599296441923855</v>
      </c>
      <c r="AL203" s="18">
        <v>4</v>
      </c>
      <c r="AM203" s="71"/>
      <c r="AN203" s="71"/>
      <c r="AO203" s="71">
        <f t="shared" si="83"/>
        <v>111.97339782828605</v>
      </c>
      <c r="AP203" s="18">
        <v>2</v>
      </c>
      <c r="AQ203" s="71"/>
      <c r="AR203" s="71"/>
      <c r="AS203" s="71">
        <f t="shared" si="84"/>
        <v>99.909880620416757</v>
      </c>
      <c r="AT203" s="18">
        <v>1</v>
      </c>
      <c r="AU203" s="71"/>
      <c r="AV203" s="71"/>
      <c r="AW203" s="71">
        <f t="shared" si="85"/>
        <v>100.0638209925971</v>
      </c>
      <c r="AX203" s="18">
        <v>1</v>
      </c>
      <c r="AY203" s="71"/>
      <c r="AZ203" s="71"/>
      <c r="BA203" s="71">
        <f t="shared" si="86"/>
        <v>90.050552929515405</v>
      </c>
      <c r="BB203" s="85">
        <v>0</v>
      </c>
      <c r="BC203" s="85">
        <v>0</v>
      </c>
      <c r="BD203" s="85">
        <v>1</v>
      </c>
      <c r="BE203" s="85">
        <v>1</v>
      </c>
      <c r="BF203" s="85">
        <v>0</v>
      </c>
      <c r="BG203" s="85">
        <v>0</v>
      </c>
      <c r="BH203" s="19">
        <v>0</v>
      </c>
      <c r="BI203" s="71"/>
      <c r="BJ203" s="71"/>
      <c r="BK203" s="71">
        <f t="shared" si="87"/>
        <v>92.176238572378367</v>
      </c>
      <c r="BL203" s="18">
        <v>2</v>
      </c>
      <c r="BM203" s="71"/>
      <c r="BN203" s="71"/>
      <c r="BO203" s="71">
        <f t="shared" si="88"/>
        <v>101.95148996595998</v>
      </c>
      <c r="BP203" s="18">
        <v>0</v>
      </c>
      <c r="BQ203" s="71"/>
      <c r="BR203" s="71"/>
      <c r="BS203" s="138">
        <f t="shared" si="89"/>
        <v>86.456710815818582</v>
      </c>
      <c r="BT203" s="18">
        <v>1</v>
      </c>
      <c r="BU203" s="71"/>
      <c r="BV203" s="71"/>
      <c r="BW203" s="71">
        <f t="shared" si="90"/>
        <v>93.001214173698628</v>
      </c>
      <c r="BX203" s="85">
        <v>2</v>
      </c>
      <c r="BY203" s="18">
        <v>2</v>
      </c>
      <c r="BZ203" s="71"/>
      <c r="CA203" s="71"/>
      <c r="CB203" s="71">
        <f t="shared" si="91"/>
        <v>100.53207713448795</v>
      </c>
      <c r="CC203" s="18">
        <v>2</v>
      </c>
      <c r="CD203" s="71"/>
      <c r="CE203" s="71"/>
      <c r="CF203" s="71">
        <f t="shared" si="92"/>
        <v>100.18886179687853</v>
      </c>
      <c r="CG203" s="18">
        <v>1</v>
      </c>
      <c r="CH203" s="71"/>
      <c r="CI203" s="71"/>
      <c r="CJ203" s="138">
        <f t="shared" si="93"/>
        <v>103.93736139675698</v>
      </c>
      <c r="CK203" s="18">
        <v>2</v>
      </c>
      <c r="CL203" s="71"/>
      <c r="CM203" s="71"/>
      <c r="CN203" s="71">
        <f t="shared" si="94"/>
        <v>100.22589057499034</v>
      </c>
      <c r="CO203" s="94">
        <v>1</v>
      </c>
      <c r="CP203" s="94">
        <v>0</v>
      </c>
      <c r="CQ203" s="94">
        <v>0</v>
      </c>
      <c r="CR203" s="94">
        <v>0</v>
      </c>
      <c r="CS203" s="102">
        <f t="shared" si="95"/>
        <v>94.907427815900846</v>
      </c>
      <c r="CT203" s="102">
        <f t="shared" si="96"/>
        <v>8.6815658313416684</v>
      </c>
      <c r="CU203" s="102">
        <f t="shared" si="97"/>
        <v>9.1474039821013389E-2</v>
      </c>
      <c r="CV203" s="108">
        <f t="shared" si="98"/>
        <v>94.113289917335948</v>
      </c>
      <c r="CZ203" s="109" t="str">
        <f t="shared" si="99"/>
        <v>Basso</v>
      </c>
    </row>
    <row r="204" spans="1:104" x14ac:dyDescent="0.15">
      <c r="A204" s="84">
        <v>3</v>
      </c>
      <c r="B204" s="84">
        <v>1</v>
      </c>
      <c r="C204" s="84">
        <v>3</v>
      </c>
      <c r="D204" s="84">
        <v>2</v>
      </c>
      <c r="E204" s="84">
        <v>1</v>
      </c>
      <c r="F204" s="17">
        <v>2</v>
      </c>
      <c r="I204" s="64">
        <f t="shared" si="75"/>
        <v>109.85726154139888</v>
      </c>
      <c r="J204" s="17">
        <v>2</v>
      </c>
      <c r="M204" s="64">
        <f t="shared" si="76"/>
        <v>110.02144013573877</v>
      </c>
      <c r="N204" s="17">
        <v>1</v>
      </c>
      <c r="Q204" s="64">
        <f t="shared" si="77"/>
        <v>98.246708656674187</v>
      </c>
      <c r="R204" s="17">
        <v>2</v>
      </c>
      <c r="U204" s="64">
        <f t="shared" si="78"/>
        <v>101.34799174124942</v>
      </c>
      <c r="V204" s="17">
        <v>0</v>
      </c>
      <c r="Y204" s="114">
        <f t="shared" si="79"/>
        <v>84.977607669437745</v>
      </c>
      <c r="Z204" s="17">
        <v>3</v>
      </c>
      <c r="AC204" s="64">
        <f t="shared" si="80"/>
        <v>109.50350141641081</v>
      </c>
      <c r="AD204" s="25">
        <v>2</v>
      </c>
      <c r="AE204" s="71"/>
      <c r="AF204" s="71"/>
      <c r="AG204" s="71">
        <f t="shared" si="81"/>
        <v>101.01229126330007</v>
      </c>
      <c r="AH204" s="17">
        <v>2</v>
      </c>
      <c r="AK204" s="64">
        <f t="shared" si="82"/>
        <v>99.518280131348902</v>
      </c>
      <c r="AL204" s="17">
        <v>3</v>
      </c>
      <c r="AM204" s="71"/>
      <c r="AN204" s="71"/>
      <c r="AO204" s="71">
        <f t="shared" si="83"/>
        <v>100.85056924463234</v>
      </c>
      <c r="AP204" s="17">
        <v>3</v>
      </c>
      <c r="AQ204" s="71"/>
      <c r="AR204" s="71"/>
      <c r="AS204" s="71">
        <f t="shared" si="84"/>
        <v>110.12341030651692</v>
      </c>
      <c r="AT204" s="17">
        <v>0</v>
      </c>
      <c r="AU204" s="71"/>
      <c r="AV204" s="71"/>
      <c r="AW204" s="71">
        <f t="shared" si="85"/>
        <v>89.214252251088965</v>
      </c>
      <c r="AX204" s="17">
        <v>2</v>
      </c>
      <c r="AY204" s="71"/>
      <c r="AZ204" s="71"/>
      <c r="BA204" s="71">
        <f t="shared" si="86"/>
        <v>100.92776194547928</v>
      </c>
      <c r="BB204" s="84">
        <v>1</v>
      </c>
      <c r="BC204" s="84">
        <v>0</v>
      </c>
      <c r="BD204" s="84">
        <v>1</v>
      </c>
      <c r="BE204" s="84">
        <v>0</v>
      </c>
      <c r="BF204" s="84">
        <v>0</v>
      </c>
      <c r="BG204" s="84">
        <v>0</v>
      </c>
      <c r="BH204" s="20">
        <v>1</v>
      </c>
      <c r="BI204" s="71"/>
      <c r="BJ204" s="71"/>
      <c r="BK204" s="71">
        <f t="shared" si="87"/>
        <v>103.49572319106498</v>
      </c>
      <c r="BL204" s="17">
        <v>2</v>
      </c>
      <c r="BM204" s="71"/>
      <c r="BN204" s="71"/>
      <c r="BO204" s="71">
        <f t="shared" si="88"/>
        <v>101.95148996595998</v>
      </c>
      <c r="BP204" s="17">
        <v>1</v>
      </c>
      <c r="BQ204" s="71"/>
      <c r="BR204" s="71"/>
      <c r="BS204" s="138">
        <f t="shared" si="89"/>
        <v>100.16171091563201</v>
      </c>
      <c r="BT204" s="17">
        <v>2</v>
      </c>
      <c r="BU204" s="71"/>
      <c r="BV204" s="71"/>
      <c r="BW204" s="71">
        <f t="shared" si="90"/>
        <v>102.51956289746849</v>
      </c>
      <c r="BX204" s="84">
        <v>2</v>
      </c>
      <c r="BY204" s="17">
        <v>3</v>
      </c>
      <c r="BZ204" s="71"/>
      <c r="CA204" s="71"/>
      <c r="CB204" s="71">
        <f t="shared" si="91"/>
        <v>110.05345743585116</v>
      </c>
      <c r="CC204" s="17">
        <v>3</v>
      </c>
      <c r="CD204" s="71"/>
      <c r="CE204" s="71"/>
      <c r="CF204" s="71">
        <f t="shared" si="92"/>
        <v>109.36214907383548</v>
      </c>
      <c r="CG204" s="17">
        <v>1</v>
      </c>
      <c r="CH204" s="71"/>
      <c r="CI204" s="71"/>
      <c r="CJ204" s="138">
        <f t="shared" si="93"/>
        <v>103.93736139675698</v>
      </c>
      <c r="CK204" s="17">
        <v>0</v>
      </c>
      <c r="CL204" s="71"/>
      <c r="CM204" s="71"/>
      <c r="CN204" s="71">
        <f t="shared" si="94"/>
        <v>81.025191700811078</v>
      </c>
      <c r="CO204" s="93">
        <v>1</v>
      </c>
      <c r="CP204" s="93">
        <v>1</v>
      </c>
      <c r="CQ204" s="93">
        <v>0</v>
      </c>
      <c r="CR204" s="93">
        <v>0</v>
      </c>
      <c r="CS204" s="102">
        <f t="shared" si="95"/>
        <v>102.29594369993117</v>
      </c>
      <c r="CT204" s="102">
        <f t="shared" si="96"/>
        <v>7.8898194415322731</v>
      </c>
      <c r="CU204" s="102">
        <f t="shared" si="97"/>
        <v>7.7127392897178793E-2</v>
      </c>
      <c r="CV204" s="108">
        <f t="shared" si="98"/>
        <v>101.68742249597631</v>
      </c>
      <c r="CZ204" s="109" t="str">
        <f t="shared" si="99"/>
        <v>Medio-Alto</v>
      </c>
    </row>
    <row r="205" spans="1:104" x14ac:dyDescent="0.15">
      <c r="A205" s="85">
        <v>3</v>
      </c>
      <c r="B205" s="85">
        <v>2</v>
      </c>
      <c r="C205" s="85">
        <v>1</v>
      </c>
      <c r="D205" s="85">
        <v>2</v>
      </c>
      <c r="E205" s="85">
        <v>1</v>
      </c>
      <c r="F205" s="18">
        <v>1</v>
      </c>
      <c r="I205" s="64">
        <f t="shared" si="75"/>
        <v>93.428492305734082</v>
      </c>
      <c r="J205" s="18">
        <v>1</v>
      </c>
      <c r="M205" s="64">
        <f t="shared" si="76"/>
        <v>95.705097084683388</v>
      </c>
      <c r="N205" s="18">
        <v>0</v>
      </c>
      <c r="Q205" s="64">
        <f t="shared" si="77"/>
        <v>82.559365058495843</v>
      </c>
      <c r="R205" s="18">
        <v>2</v>
      </c>
      <c r="U205" s="64">
        <f t="shared" si="78"/>
        <v>101.34799174124942</v>
      </c>
      <c r="V205" s="18">
        <v>2</v>
      </c>
      <c r="Y205" s="114">
        <f t="shared" si="79"/>
        <v>97.875621286587162</v>
      </c>
      <c r="Z205" s="18">
        <v>0</v>
      </c>
      <c r="AC205" s="64">
        <f t="shared" si="80"/>
        <v>85.509512691809249</v>
      </c>
      <c r="AD205" s="24">
        <v>0</v>
      </c>
      <c r="AE205" s="71"/>
      <c r="AF205" s="71"/>
      <c r="AG205" s="71">
        <f t="shared" si="81"/>
        <v>84.62281366701329</v>
      </c>
      <c r="AH205" s="18">
        <v>1</v>
      </c>
      <c r="AK205" s="64">
        <f t="shared" si="82"/>
        <v>88.599296441923855</v>
      </c>
      <c r="AL205" s="18">
        <v>3</v>
      </c>
      <c r="AM205" s="71"/>
      <c r="AN205" s="71"/>
      <c r="AO205" s="71">
        <f t="shared" si="83"/>
        <v>100.85056924463234</v>
      </c>
      <c r="AP205" s="18">
        <v>0</v>
      </c>
      <c r="AQ205" s="71"/>
      <c r="AR205" s="71"/>
      <c r="AS205" s="71">
        <f t="shared" si="84"/>
        <v>79.482821248216453</v>
      </c>
      <c r="AT205" s="18">
        <v>0</v>
      </c>
      <c r="AU205" s="71"/>
      <c r="AV205" s="71"/>
      <c r="AW205" s="71">
        <f t="shared" si="85"/>
        <v>89.214252251088965</v>
      </c>
      <c r="AX205" s="18">
        <v>3</v>
      </c>
      <c r="AY205" s="71"/>
      <c r="AZ205" s="71"/>
      <c r="BA205" s="71">
        <f t="shared" si="86"/>
        <v>111.80497096144313</v>
      </c>
      <c r="BB205" s="85">
        <v>1</v>
      </c>
      <c r="BC205" s="85">
        <v>0</v>
      </c>
      <c r="BD205" s="85">
        <v>1</v>
      </c>
      <c r="BE205" s="85">
        <v>0</v>
      </c>
      <c r="BF205" s="85">
        <v>0</v>
      </c>
      <c r="BG205" s="85">
        <v>0</v>
      </c>
      <c r="BH205" s="19">
        <v>0</v>
      </c>
      <c r="BI205" s="71"/>
      <c r="BJ205" s="71"/>
      <c r="BK205" s="71">
        <f t="shared" si="87"/>
        <v>92.176238572378367</v>
      </c>
      <c r="BL205" s="18">
        <v>0</v>
      </c>
      <c r="BM205" s="71"/>
      <c r="BN205" s="71"/>
      <c r="BO205" s="71">
        <f t="shared" si="88"/>
        <v>83.261163531413686</v>
      </c>
      <c r="BP205" s="18">
        <v>0</v>
      </c>
      <c r="BQ205" s="71"/>
      <c r="BR205" s="71"/>
      <c r="BS205" s="138">
        <f t="shared" si="89"/>
        <v>86.456710815818582</v>
      </c>
      <c r="BT205" s="18">
        <v>0</v>
      </c>
      <c r="BU205" s="71"/>
      <c r="BV205" s="71"/>
      <c r="BW205" s="71">
        <f t="shared" si="90"/>
        <v>83.482865449928767</v>
      </c>
      <c r="BX205" s="85">
        <v>3</v>
      </c>
      <c r="BY205" s="18">
        <v>1</v>
      </c>
      <c r="BZ205" s="71"/>
      <c r="CA205" s="71"/>
      <c r="CB205" s="71">
        <f t="shared" si="91"/>
        <v>91.01069683312474</v>
      </c>
      <c r="CC205" s="18">
        <v>1</v>
      </c>
      <c r="CD205" s="71"/>
      <c r="CE205" s="71"/>
      <c r="CF205" s="71">
        <f t="shared" si="92"/>
        <v>91.015574519921572</v>
      </c>
      <c r="CG205" s="18">
        <v>1</v>
      </c>
      <c r="CH205" s="71"/>
      <c r="CI205" s="71"/>
      <c r="CJ205" s="138">
        <f t="shared" si="93"/>
        <v>103.93736139675698</v>
      </c>
      <c r="CK205" s="18">
        <v>1</v>
      </c>
      <c r="CL205" s="71"/>
      <c r="CM205" s="71"/>
      <c r="CN205" s="71">
        <f t="shared" si="94"/>
        <v>90.625541137900711</v>
      </c>
      <c r="CO205" s="94">
        <v>0</v>
      </c>
      <c r="CP205" s="94">
        <v>1</v>
      </c>
      <c r="CQ205" s="94">
        <v>1</v>
      </c>
      <c r="CR205" s="94">
        <v>0</v>
      </c>
      <c r="CS205" s="102">
        <f t="shared" si="95"/>
        <v>90.864544867115171</v>
      </c>
      <c r="CT205" s="102">
        <f t="shared" si="96"/>
        <v>8.1634169816409869</v>
      </c>
      <c r="CU205" s="102">
        <f t="shared" si="97"/>
        <v>8.9841609767369379E-2</v>
      </c>
      <c r="CV205" s="108">
        <f t="shared" si="98"/>
        <v>90.131130344282269</v>
      </c>
      <c r="CZ205" s="109" t="str">
        <f t="shared" si="99"/>
        <v>Basso</v>
      </c>
    </row>
    <row r="206" spans="1:104" x14ac:dyDescent="0.15">
      <c r="A206" s="84">
        <v>3</v>
      </c>
      <c r="B206" s="84">
        <v>2</v>
      </c>
      <c r="C206" s="84">
        <v>2</v>
      </c>
      <c r="D206" s="84">
        <v>2</v>
      </c>
      <c r="E206" s="84">
        <v>1</v>
      </c>
      <c r="F206" s="17">
        <v>2</v>
      </c>
      <c r="I206" s="64">
        <f t="shared" si="75"/>
        <v>109.85726154139888</v>
      </c>
      <c r="J206" s="17">
        <v>1</v>
      </c>
      <c r="M206" s="64">
        <f t="shared" si="76"/>
        <v>95.705097084683388</v>
      </c>
      <c r="N206" s="17">
        <v>1</v>
      </c>
      <c r="Q206" s="64">
        <f t="shared" si="77"/>
        <v>98.246708656674187</v>
      </c>
      <c r="R206" s="17">
        <v>3</v>
      </c>
      <c r="U206" s="64">
        <f t="shared" si="78"/>
        <v>111.09942135879838</v>
      </c>
      <c r="V206" s="17">
        <v>4</v>
      </c>
      <c r="Y206" s="114">
        <f t="shared" si="79"/>
        <v>110.77363490373656</v>
      </c>
      <c r="Z206" s="17">
        <v>2</v>
      </c>
      <c r="AC206" s="64">
        <f t="shared" si="80"/>
        <v>101.50550517487696</v>
      </c>
      <c r="AD206" s="25">
        <v>3</v>
      </c>
      <c r="AE206" s="71"/>
      <c r="AF206" s="71"/>
      <c r="AG206" s="71">
        <f t="shared" si="81"/>
        <v>109.20703006144345</v>
      </c>
      <c r="AH206" s="17">
        <v>2</v>
      </c>
      <c r="AK206" s="64">
        <f t="shared" si="82"/>
        <v>99.518280131348902</v>
      </c>
      <c r="AL206" s="17">
        <v>3</v>
      </c>
      <c r="AM206" s="71"/>
      <c r="AN206" s="71"/>
      <c r="AO206" s="71">
        <f t="shared" si="83"/>
        <v>100.85056924463234</v>
      </c>
      <c r="AP206" s="17">
        <v>3</v>
      </c>
      <c r="AQ206" s="71"/>
      <c r="AR206" s="71"/>
      <c r="AS206" s="71">
        <f t="shared" si="84"/>
        <v>110.12341030651692</v>
      </c>
      <c r="AT206" s="17">
        <v>0</v>
      </c>
      <c r="AU206" s="71"/>
      <c r="AV206" s="71"/>
      <c r="AW206" s="71">
        <f t="shared" si="85"/>
        <v>89.214252251088965</v>
      </c>
      <c r="AX206" s="17">
        <v>1</v>
      </c>
      <c r="AY206" s="71"/>
      <c r="AZ206" s="71"/>
      <c r="BA206" s="71">
        <f t="shared" si="86"/>
        <v>90.050552929515405</v>
      </c>
      <c r="BB206" s="84">
        <v>1</v>
      </c>
      <c r="BC206" s="84">
        <v>0</v>
      </c>
      <c r="BD206" s="84">
        <v>1</v>
      </c>
      <c r="BE206" s="84">
        <v>0</v>
      </c>
      <c r="BF206" s="84">
        <v>0</v>
      </c>
      <c r="BG206" s="84">
        <v>0</v>
      </c>
      <c r="BH206" s="20">
        <v>2</v>
      </c>
      <c r="BI206" s="71"/>
      <c r="BJ206" s="71"/>
      <c r="BK206" s="71">
        <f t="shared" si="87"/>
        <v>114.81520780975161</v>
      </c>
      <c r="BL206" s="17">
        <v>1</v>
      </c>
      <c r="BM206" s="71"/>
      <c r="BN206" s="71"/>
      <c r="BO206" s="71">
        <f t="shared" si="88"/>
        <v>92.606326748686826</v>
      </c>
      <c r="BP206" s="17">
        <v>1</v>
      </c>
      <c r="BQ206" s="71"/>
      <c r="BR206" s="71"/>
      <c r="BS206" s="138">
        <f t="shared" si="89"/>
        <v>100.16171091563201</v>
      </c>
      <c r="BT206" s="17">
        <v>3</v>
      </c>
      <c r="BU206" s="71"/>
      <c r="BV206" s="71"/>
      <c r="BW206" s="71">
        <f t="shared" si="90"/>
        <v>112.03791162123835</v>
      </c>
      <c r="BX206" s="84">
        <v>2</v>
      </c>
      <c r="BY206" s="17">
        <v>3</v>
      </c>
      <c r="BZ206" s="71"/>
      <c r="CA206" s="71"/>
      <c r="CB206" s="71">
        <f t="shared" si="91"/>
        <v>110.05345743585116</v>
      </c>
      <c r="CC206" s="17">
        <v>3</v>
      </c>
      <c r="CD206" s="71"/>
      <c r="CE206" s="71"/>
      <c r="CF206" s="71">
        <f t="shared" si="92"/>
        <v>109.36214907383548</v>
      </c>
      <c r="CG206" s="17">
        <v>1</v>
      </c>
      <c r="CH206" s="71"/>
      <c r="CI206" s="71"/>
      <c r="CJ206" s="138">
        <f t="shared" si="93"/>
        <v>103.93736139675698</v>
      </c>
      <c r="CK206" s="17">
        <v>3</v>
      </c>
      <c r="CL206" s="71"/>
      <c r="CM206" s="71"/>
      <c r="CN206" s="71">
        <f t="shared" si="94"/>
        <v>109.82624001207998</v>
      </c>
      <c r="CO206" s="93">
        <v>1</v>
      </c>
      <c r="CP206" s="93">
        <v>1</v>
      </c>
      <c r="CQ206" s="93">
        <v>0</v>
      </c>
      <c r="CR206" s="93">
        <v>0</v>
      </c>
      <c r="CS206" s="102">
        <f t="shared" si="95"/>
        <v>103.76937537896596</v>
      </c>
      <c r="CT206" s="102">
        <f t="shared" si="96"/>
        <v>8.330994215650982</v>
      </c>
      <c r="CU206" s="102">
        <f t="shared" si="97"/>
        <v>8.0283746386890883E-2</v>
      </c>
      <c r="CV206" s="108">
        <f t="shared" si="98"/>
        <v>103.10053195220598</v>
      </c>
      <c r="CZ206" s="109" t="str">
        <f t="shared" si="99"/>
        <v>Medio-Alto</v>
      </c>
    </row>
    <row r="207" spans="1:104" x14ac:dyDescent="0.15">
      <c r="A207" s="85">
        <v>3</v>
      </c>
      <c r="B207" s="85">
        <v>2</v>
      </c>
      <c r="C207" s="85">
        <v>3</v>
      </c>
      <c r="D207" s="85">
        <v>2</v>
      </c>
      <c r="E207" s="85">
        <v>1</v>
      </c>
      <c r="F207" s="18">
        <v>2</v>
      </c>
      <c r="I207" s="64">
        <f t="shared" si="75"/>
        <v>109.85726154139888</v>
      </c>
      <c r="J207" s="18">
        <v>2</v>
      </c>
      <c r="M207" s="64">
        <f t="shared" si="76"/>
        <v>110.02144013573877</v>
      </c>
      <c r="N207" s="18">
        <v>1</v>
      </c>
      <c r="Q207" s="64">
        <f t="shared" si="77"/>
        <v>98.246708656674187</v>
      </c>
      <c r="R207" s="18">
        <v>2</v>
      </c>
      <c r="U207" s="64">
        <f t="shared" si="78"/>
        <v>101.34799174124942</v>
      </c>
      <c r="V207" s="18">
        <v>3</v>
      </c>
      <c r="Y207" s="114">
        <f t="shared" si="79"/>
        <v>104.32462809516186</v>
      </c>
      <c r="Z207" s="18">
        <v>2</v>
      </c>
      <c r="AC207" s="64">
        <f t="shared" si="80"/>
        <v>101.50550517487696</v>
      </c>
      <c r="AD207" s="24">
        <v>3</v>
      </c>
      <c r="AE207" s="71"/>
      <c r="AF207" s="71"/>
      <c r="AG207" s="71">
        <f t="shared" si="81"/>
        <v>109.20703006144345</v>
      </c>
      <c r="AH207" s="18">
        <v>3</v>
      </c>
      <c r="AK207" s="64">
        <f t="shared" si="82"/>
        <v>110.43726382077395</v>
      </c>
      <c r="AL207" s="18">
        <v>4</v>
      </c>
      <c r="AM207" s="71"/>
      <c r="AN207" s="71"/>
      <c r="AO207" s="71">
        <f t="shared" si="83"/>
        <v>111.97339782828605</v>
      </c>
      <c r="AP207" s="18">
        <v>3</v>
      </c>
      <c r="AQ207" s="71"/>
      <c r="AR207" s="71"/>
      <c r="AS207" s="71">
        <f t="shared" si="84"/>
        <v>110.12341030651692</v>
      </c>
      <c r="AT207" s="18">
        <v>1</v>
      </c>
      <c r="AU207" s="71"/>
      <c r="AV207" s="71"/>
      <c r="AW207" s="71">
        <f t="shared" si="85"/>
        <v>100.0638209925971</v>
      </c>
      <c r="AX207" s="18">
        <v>3</v>
      </c>
      <c r="AY207" s="71"/>
      <c r="AZ207" s="71"/>
      <c r="BA207" s="71">
        <f t="shared" si="86"/>
        <v>111.80497096144313</v>
      </c>
      <c r="BB207" s="85">
        <v>1</v>
      </c>
      <c r="BC207" s="85">
        <v>0</v>
      </c>
      <c r="BD207" s="85">
        <v>1</v>
      </c>
      <c r="BE207" s="85">
        <v>0</v>
      </c>
      <c r="BF207" s="85">
        <v>0</v>
      </c>
      <c r="BG207" s="85">
        <v>0</v>
      </c>
      <c r="BH207" s="19">
        <v>2</v>
      </c>
      <c r="BI207" s="71"/>
      <c r="BJ207" s="71"/>
      <c r="BK207" s="71">
        <f t="shared" si="87"/>
        <v>114.81520780975161</v>
      </c>
      <c r="BL207" s="18">
        <v>2</v>
      </c>
      <c r="BM207" s="71"/>
      <c r="BN207" s="71"/>
      <c r="BO207" s="71">
        <f t="shared" si="88"/>
        <v>101.95148996595998</v>
      </c>
      <c r="BP207" s="18">
        <v>1</v>
      </c>
      <c r="BQ207" s="71"/>
      <c r="BR207" s="71"/>
      <c r="BS207" s="138">
        <f t="shared" si="89"/>
        <v>100.16171091563201</v>
      </c>
      <c r="BT207" s="18">
        <v>2</v>
      </c>
      <c r="BU207" s="71"/>
      <c r="BV207" s="71"/>
      <c r="BW207" s="71">
        <f t="shared" si="90"/>
        <v>102.51956289746849</v>
      </c>
      <c r="BX207" s="85">
        <v>1</v>
      </c>
      <c r="BY207" s="18">
        <v>3</v>
      </c>
      <c r="BZ207" s="71"/>
      <c r="CA207" s="71"/>
      <c r="CB207" s="71">
        <f t="shared" si="91"/>
        <v>110.05345743585116</v>
      </c>
      <c r="CC207" s="18">
        <v>3</v>
      </c>
      <c r="CD207" s="71"/>
      <c r="CE207" s="71"/>
      <c r="CF207" s="71">
        <f t="shared" si="92"/>
        <v>109.36214907383548</v>
      </c>
      <c r="CG207" s="18">
        <v>1</v>
      </c>
      <c r="CH207" s="71"/>
      <c r="CI207" s="71"/>
      <c r="CJ207" s="138">
        <f t="shared" si="93"/>
        <v>103.93736139675698</v>
      </c>
      <c r="CK207" s="18">
        <v>3</v>
      </c>
      <c r="CL207" s="71"/>
      <c r="CM207" s="71"/>
      <c r="CN207" s="71">
        <f t="shared" si="94"/>
        <v>109.82624001207998</v>
      </c>
      <c r="CO207" s="94">
        <v>0</v>
      </c>
      <c r="CP207" s="94">
        <v>1</v>
      </c>
      <c r="CQ207" s="94">
        <v>1</v>
      </c>
      <c r="CR207" s="94">
        <v>0</v>
      </c>
      <c r="CS207" s="102">
        <f t="shared" si="95"/>
        <v>107.24217108329091</v>
      </c>
      <c r="CT207" s="102">
        <f t="shared" si="96"/>
        <v>5.0432846546110754</v>
      </c>
      <c r="CU207" s="102">
        <f t="shared" si="97"/>
        <v>4.7027065972901169E-2</v>
      </c>
      <c r="CV207" s="108">
        <f t="shared" si="98"/>
        <v>107.0050002031184</v>
      </c>
      <c r="CZ207" s="109" t="str">
        <f t="shared" si="99"/>
        <v>Alto</v>
      </c>
    </row>
    <row r="208" spans="1:104" x14ac:dyDescent="0.15">
      <c r="A208" s="84">
        <v>3</v>
      </c>
      <c r="B208" s="84">
        <v>2</v>
      </c>
      <c r="C208" s="84">
        <v>1</v>
      </c>
      <c r="D208" s="84">
        <v>0</v>
      </c>
      <c r="E208" s="84">
        <v>1</v>
      </c>
      <c r="F208" s="17">
        <v>2</v>
      </c>
      <c r="I208" s="64">
        <f t="shared" si="75"/>
        <v>109.85726154139888</v>
      </c>
      <c r="J208" s="17">
        <v>1</v>
      </c>
      <c r="M208" s="64">
        <f t="shared" si="76"/>
        <v>95.705097084683388</v>
      </c>
      <c r="N208" s="17">
        <v>0</v>
      </c>
      <c r="Q208" s="64">
        <f t="shared" si="77"/>
        <v>82.559365058495843</v>
      </c>
      <c r="R208" s="17">
        <v>0</v>
      </c>
      <c r="U208" s="64">
        <f t="shared" si="78"/>
        <v>81.845132506151486</v>
      </c>
      <c r="V208" s="17">
        <v>2</v>
      </c>
      <c r="Y208" s="114">
        <f t="shared" si="79"/>
        <v>97.875621286587162</v>
      </c>
      <c r="Z208" s="17">
        <v>0</v>
      </c>
      <c r="AC208" s="64">
        <f t="shared" si="80"/>
        <v>85.509512691809249</v>
      </c>
      <c r="AD208" s="25">
        <v>0</v>
      </c>
      <c r="AE208" s="71"/>
      <c r="AF208" s="71"/>
      <c r="AG208" s="71">
        <f t="shared" si="81"/>
        <v>84.62281366701329</v>
      </c>
      <c r="AH208" s="17">
        <v>0</v>
      </c>
      <c r="AK208" s="64">
        <f t="shared" si="82"/>
        <v>77.680312752498807</v>
      </c>
      <c r="AL208" s="17">
        <v>3</v>
      </c>
      <c r="AM208" s="71"/>
      <c r="AN208" s="71"/>
      <c r="AO208" s="71">
        <f t="shared" si="83"/>
        <v>100.85056924463234</v>
      </c>
      <c r="AP208" s="17">
        <v>1</v>
      </c>
      <c r="AQ208" s="71"/>
      <c r="AR208" s="71"/>
      <c r="AS208" s="71">
        <f t="shared" si="84"/>
        <v>89.696350934316598</v>
      </c>
      <c r="AT208" s="17">
        <v>0</v>
      </c>
      <c r="AU208" s="71"/>
      <c r="AV208" s="71"/>
      <c r="AW208" s="71">
        <f t="shared" si="85"/>
        <v>89.214252251088965</v>
      </c>
      <c r="AX208" s="17">
        <v>3</v>
      </c>
      <c r="AY208" s="71"/>
      <c r="AZ208" s="71"/>
      <c r="BA208" s="71">
        <f t="shared" si="86"/>
        <v>111.80497096144313</v>
      </c>
      <c r="BB208" s="84">
        <v>0</v>
      </c>
      <c r="BC208" s="84">
        <v>0</v>
      </c>
      <c r="BD208" s="84">
        <v>1</v>
      </c>
      <c r="BE208" s="84">
        <v>1</v>
      </c>
      <c r="BF208" s="84">
        <v>0</v>
      </c>
      <c r="BG208" s="84">
        <v>0</v>
      </c>
      <c r="BH208" s="20">
        <v>0</v>
      </c>
      <c r="BI208" s="71"/>
      <c r="BJ208" s="71"/>
      <c r="BK208" s="71">
        <f t="shared" si="87"/>
        <v>92.176238572378367</v>
      </c>
      <c r="BL208" s="17">
        <v>2</v>
      </c>
      <c r="BM208" s="71"/>
      <c r="BN208" s="71"/>
      <c r="BO208" s="71">
        <f t="shared" si="88"/>
        <v>101.95148996595998</v>
      </c>
      <c r="BP208" s="17">
        <v>2</v>
      </c>
      <c r="BQ208" s="71"/>
      <c r="BR208" s="71"/>
      <c r="BS208" s="138">
        <f t="shared" si="89"/>
        <v>113.86671101544545</v>
      </c>
      <c r="BT208" s="17">
        <v>0</v>
      </c>
      <c r="BU208" s="71"/>
      <c r="BV208" s="71"/>
      <c r="BW208" s="71">
        <f t="shared" si="90"/>
        <v>83.482865449928767</v>
      </c>
      <c r="BX208" s="84">
        <v>2</v>
      </c>
      <c r="BY208" s="17">
        <v>1</v>
      </c>
      <c r="BZ208" s="71"/>
      <c r="CA208" s="71"/>
      <c r="CB208" s="71">
        <f t="shared" si="91"/>
        <v>91.01069683312474</v>
      </c>
      <c r="CC208" s="17">
        <v>2</v>
      </c>
      <c r="CD208" s="71"/>
      <c r="CE208" s="71"/>
      <c r="CF208" s="71">
        <f t="shared" si="92"/>
        <v>100.18886179687853</v>
      </c>
      <c r="CG208" s="17">
        <v>0</v>
      </c>
      <c r="CH208" s="71"/>
      <c r="CI208" s="71"/>
      <c r="CJ208" s="138">
        <f t="shared" si="93"/>
        <v>89.226340793489143</v>
      </c>
      <c r="CK208" s="17">
        <v>0</v>
      </c>
      <c r="CL208" s="71"/>
      <c r="CM208" s="71"/>
      <c r="CN208" s="71">
        <f t="shared" si="94"/>
        <v>81.025191700811078</v>
      </c>
      <c r="CO208" s="93">
        <v>0</v>
      </c>
      <c r="CP208" s="93">
        <v>0</v>
      </c>
      <c r="CQ208" s="93">
        <v>0</v>
      </c>
      <c r="CR208" s="93">
        <v>1</v>
      </c>
      <c r="CS208" s="102">
        <f t="shared" si="95"/>
        <v>91.716528412506662</v>
      </c>
      <c r="CT208" s="102">
        <f t="shared" si="96"/>
        <v>10.212789706804777</v>
      </c>
      <c r="CU208" s="102">
        <f t="shared" si="97"/>
        <v>0.1113516820095007</v>
      </c>
      <c r="CV208" s="108">
        <f t="shared" si="98"/>
        <v>90.57931710064463</v>
      </c>
      <c r="CZ208" s="109" t="str">
        <f t="shared" si="99"/>
        <v>Basso</v>
      </c>
    </row>
    <row r="209" spans="1:104" x14ac:dyDescent="0.15">
      <c r="A209" s="85">
        <v>3</v>
      </c>
      <c r="B209" s="85">
        <v>2</v>
      </c>
      <c r="C209" s="85">
        <v>3</v>
      </c>
      <c r="D209" s="85">
        <v>1</v>
      </c>
      <c r="E209" s="85">
        <v>1</v>
      </c>
      <c r="F209" s="18">
        <v>1</v>
      </c>
      <c r="I209" s="64">
        <f t="shared" si="75"/>
        <v>93.428492305734082</v>
      </c>
      <c r="J209" s="18">
        <v>2</v>
      </c>
      <c r="M209" s="64">
        <f t="shared" si="76"/>
        <v>110.02144013573877</v>
      </c>
      <c r="N209" s="18">
        <v>1</v>
      </c>
      <c r="Q209" s="64">
        <f t="shared" si="77"/>
        <v>98.246708656674187</v>
      </c>
      <c r="R209" s="18">
        <v>2</v>
      </c>
      <c r="U209" s="64">
        <f t="shared" si="78"/>
        <v>101.34799174124942</v>
      </c>
      <c r="V209" s="18">
        <v>2</v>
      </c>
      <c r="Y209" s="114">
        <f t="shared" si="79"/>
        <v>97.875621286587162</v>
      </c>
      <c r="Z209" s="18">
        <v>2</v>
      </c>
      <c r="AC209" s="64">
        <f t="shared" si="80"/>
        <v>101.50550517487696</v>
      </c>
      <c r="AD209" s="24">
        <v>3</v>
      </c>
      <c r="AE209" s="71"/>
      <c r="AF209" s="71"/>
      <c r="AG209" s="71">
        <f t="shared" si="81"/>
        <v>109.20703006144345</v>
      </c>
      <c r="AH209" s="18">
        <v>2</v>
      </c>
      <c r="AK209" s="64">
        <f t="shared" si="82"/>
        <v>99.518280131348902</v>
      </c>
      <c r="AL209" s="18">
        <v>3</v>
      </c>
      <c r="AM209" s="71"/>
      <c r="AN209" s="71"/>
      <c r="AO209" s="71">
        <f t="shared" si="83"/>
        <v>100.85056924463234</v>
      </c>
      <c r="AP209" s="18">
        <v>3</v>
      </c>
      <c r="AQ209" s="71"/>
      <c r="AR209" s="71"/>
      <c r="AS209" s="71">
        <f t="shared" si="84"/>
        <v>110.12341030651692</v>
      </c>
      <c r="AT209" s="18">
        <v>2</v>
      </c>
      <c r="AU209" s="71"/>
      <c r="AV209" s="71"/>
      <c r="AW209" s="71">
        <f t="shared" si="85"/>
        <v>110.91338973410525</v>
      </c>
      <c r="AX209" s="18">
        <v>2</v>
      </c>
      <c r="AY209" s="71"/>
      <c r="AZ209" s="71"/>
      <c r="BA209" s="71">
        <f t="shared" si="86"/>
        <v>100.92776194547928</v>
      </c>
      <c r="BB209" s="85">
        <v>1</v>
      </c>
      <c r="BC209" s="85">
        <v>0</v>
      </c>
      <c r="BD209" s="85">
        <v>0</v>
      </c>
      <c r="BE209" s="85">
        <v>0</v>
      </c>
      <c r="BF209" s="85">
        <v>0</v>
      </c>
      <c r="BG209" s="85">
        <v>1</v>
      </c>
      <c r="BH209" s="19">
        <v>2</v>
      </c>
      <c r="BI209" s="71"/>
      <c r="BJ209" s="71"/>
      <c r="BK209" s="71">
        <f t="shared" si="87"/>
        <v>114.81520780975161</v>
      </c>
      <c r="BL209" s="18">
        <v>3</v>
      </c>
      <c r="BM209" s="71"/>
      <c r="BN209" s="71"/>
      <c r="BO209" s="71">
        <f t="shared" si="88"/>
        <v>111.29665318323313</v>
      </c>
      <c r="BP209" s="18">
        <v>1</v>
      </c>
      <c r="BQ209" s="71"/>
      <c r="BR209" s="71"/>
      <c r="BS209" s="138">
        <f t="shared" si="89"/>
        <v>100.16171091563201</v>
      </c>
      <c r="BT209" s="18">
        <v>3</v>
      </c>
      <c r="BU209" s="71"/>
      <c r="BV209" s="71"/>
      <c r="BW209" s="71">
        <f t="shared" si="90"/>
        <v>112.03791162123835</v>
      </c>
      <c r="BX209" s="85">
        <v>3</v>
      </c>
      <c r="BY209" s="18">
        <v>0</v>
      </c>
      <c r="BZ209" s="71"/>
      <c r="CA209" s="71"/>
      <c r="CB209" s="71">
        <f t="shared" si="91"/>
        <v>81.489316531761531</v>
      </c>
      <c r="CC209" s="19">
        <v>1</v>
      </c>
      <c r="CD209" s="71"/>
      <c r="CE209" s="71"/>
      <c r="CF209" s="71">
        <f t="shared" si="92"/>
        <v>91.015574519921572</v>
      </c>
      <c r="CG209" s="18">
        <v>0</v>
      </c>
      <c r="CH209" s="71"/>
      <c r="CI209" s="71"/>
      <c r="CJ209" s="138">
        <f t="shared" si="93"/>
        <v>89.226340793489143</v>
      </c>
      <c r="CK209" s="18">
        <v>3</v>
      </c>
      <c r="CL209" s="71"/>
      <c r="CM209" s="71"/>
      <c r="CN209" s="71">
        <f t="shared" si="94"/>
        <v>109.82624001207998</v>
      </c>
      <c r="CO209" s="95">
        <v>0</v>
      </c>
      <c r="CP209" s="95">
        <v>1</v>
      </c>
      <c r="CQ209" s="95">
        <v>1</v>
      </c>
      <c r="CR209" s="95">
        <v>0</v>
      </c>
      <c r="CS209" s="102">
        <f t="shared" si="95"/>
        <v>103.32773430092857</v>
      </c>
      <c r="CT209" s="102">
        <f t="shared" si="96"/>
        <v>8.9534361974135717</v>
      </c>
      <c r="CU209" s="102">
        <f t="shared" si="97"/>
        <v>8.6650851854912975E-2</v>
      </c>
      <c r="CV209" s="108">
        <f t="shared" si="98"/>
        <v>102.55191142739407</v>
      </c>
      <c r="CZ209" s="109" t="str">
        <f t="shared" si="99"/>
        <v>Medio-Alto</v>
      </c>
    </row>
    <row r="210" spans="1:104" x14ac:dyDescent="0.15">
      <c r="A210" s="84">
        <v>5</v>
      </c>
      <c r="B210" s="84">
        <v>2</v>
      </c>
      <c r="C210" s="84">
        <v>1</v>
      </c>
      <c r="D210" s="84">
        <v>0</v>
      </c>
      <c r="E210" s="84">
        <v>1</v>
      </c>
      <c r="F210" s="17">
        <v>1</v>
      </c>
      <c r="I210" s="64">
        <f t="shared" si="75"/>
        <v>93.428492305734082</v>
      </c>
      <c r="J210" s="17">
        <v>2</v>
      </c>
      <c r="M210" s="64">
        <f t="shared" si="76"/>
        <v>110.02144013573877</v>
      </c>
      <c r="N210" s="17">
        <v>2</v>
      </c>
      <c r="Q210" s="64">
        <f t="shared" si="77"/>
        <v>113.93405225485253</v>
      </c>
      <c r="R210" s="17">
        <v>2</v>
      </c>
      <c r="U210" s="64">
        <f t="shared" si="78"/>
        <v>101.34799174124942</v>
      </c>
      <c r="V210" s="17">
        <v>1</v>
      </c>
      <c r="Y210" s="114">
        <f t="shared" si="79"/>
        <v>91.426614478012453</v>
      </c>
      <c r="Z210" s="17">
        <v>0</v>
      </c>
      <c r="AC210" s="64">
        <f t="shared" si="80"/>
        <v>85.509512691809249</v>
      </c>
      <c r="AD210" s="25">
        <v>2</v>
      </c>
      <c r="AE210" s="71"/>
      <c r="AF210" s="71"/>
      <c r="AG210" s="71">
        <f t="shared" si="81"/>
        <v>101.01229126330007</v>
      </c>
      <c r="AH210" s="17">
        <v>2</v>
      </c>
      <c r="AK210" s="64">
        <f t="shared" si="82"/>
        <v>99.518280131348902</v>
      </c>
      <c r="AL210" s="17">
        <v>3</v>
      </c>
      <c r="AM210" s="71"/>
      <c r="AN210" s="71"/>
      <c r="AO210" s="71">
        <f t="shared" si="83"/>
        <v>100.85056924463234</v>
      </c>
      <c r="AP210" s="17">
        <v>2</v>
      </c>
      <c r="AQ210" s="71"/>
      <c r="AR210" s="71"/>
      <c r="AS210" s="71">
        <f t="shared" si="84"/>
        <v>99.909880620416757</v>
      </c>
      <c r="AT210" s="17">
        <v>2</v>
      </c>
      <c r="AU210" s="71"/>
      <c r="AV210" s="71"/>
      <c r="AW210" s="71">
        <f t="shared" si="85"/>
        <v>110.91338973410525</v>
      </c>
      <c r="AX210" s="17">
        <v>2</v>
      </c>
      <c r="AY210" s="71"/>
      <c r="AZ210" s="71"/>
      <c r="BA210" s="71">
        <f t="shared" si="86"/>
        <v>100.92776194547928</v>
      </c>
      <c r="BB210" s="84">
        <v>1</v>
      </c>
      <c r="BC210" s="84">
        <v>0</v>
      </c>
      <c r="BD210" s="84">
        <v>1</v>
      </c>
      <c r="BE210" s="84">
        <v>0</v>
      </c>
      <c r="BF210" s="84">
        <v>0</v>
      </c>
      <c r="BG210" s="84">
        <v>0</v>
      </c>
      <c r="BH210" s="20">
        <v>0</v>
      </c>
      <c r="BI210" s="71"/>
      <c r="BJ210" s="71"/>
      <c r="BK210" s="71">
        <f t="shared" si="87"/>
        <v>92.176238572378367</v>
      </c>
      <c r="BL210" s="17">
        <v>3</v>
      </c>
      <c r="BM210" s="71"/>
      <c r="BN210" s="71"/>
      <c r="BO210" s="71">
        <f t="shared" si="88"/>
        <v>111.29665318323313</v>
      </c>
      <c r="BP210" s="17">
        <v>1</v>
      </c>
      <c r="BQ210" s="71"/>
      <c r="BR210" s="71"/>
      <c r="BS210" s="138">
        <f t="shared" si="89"/>
        <v>100.16171091563201</v>
      </c>
      <c r="BT210" s="17">
        <v>1</v>
      </c>
      <c r="BU210" s="71"/>
      <c r="BV210" s="71"/>
      <c r="BW210" s="71">
        <f t="shared" si="90"/>
        <v>93.001214173698628</v>
      </c>
      <c r="BX210" s="84">
        <v>3</v>
      </c>
      <c r="BY210" s="17">
        <v>1</v>
      </c>
      <c r="BZ210" s="71"/>
      <c r="CA210" s="71"/>
      <c r="CB210" s="71">
        <f t="shared" si="91"/>
        <v>91.01069683312474</v>
      </c>
      <c r="CC210" s="17">
        <v>3</v>
      </c>
      <c r="CD210" s="71"/>
      <c r="CE210" s="71"/>
      <c r="CF210" s="71">
        <f t="shared" si="92"/>
        <v>109.36214907383548</v>
      </c>
      <c r="CG210" s="17">
        <v>1</v>
      </c>
      <c r="CH210" s="71"/>
      <c r="CI210" s="71"/>
      <c r="CJ210" s="138">
        <f t="shared" si="93"/>
        <v>103.93736139675698</v>
      </c>
      <c r="CK210" s="17">
        <v>1</v>
      </c>
      <c r="CL210" s="71"/>
      <c r="CM210" s="71"/>
      <c r="CN210" s="71">
        <f t="shared" si="94"/>
        <v>90.625541137900711</v>
      </c>
      <c r="CO210" s="93">
        <v>0</v>
      </c>
      <c r="CP210" s="93">
        <v>0</v>
      </c>
      <c r="CQ210" s="93">
        <v>0</v>
      </c>
      <c r="CR210" s="93">
        <v>1</v>
      </c>
      <c r="CS210" s="102">
        <f t="shared" si="95"/>
        <v>100.28506794369633</v>
      </c>
      <c r="CT210" s="102">
        <f t="shared" si="96"/>
        <v>8.5303843272825173</v>
      </c>
      <c r="CU210" s="102">
        <f t="shared" si="97"/>
        <v>8.5061360601278987E-2</v>
      </c>
      <c r="CV210" s="108">
        <f t="shared" si="98"/>
        <v>99.559461846365863</v>
      </c>
      <c r="CZ210" s="109" t="str">
        <f t="shared" si="99"/>
        <v>Medio-Alto</v>
      </c>
    </row>
    <row r="211" spans="1:104" x14ac:dyDescent="0.15">
      <c r="A211" s="85">
        <v>0</v>
      </c>
      <c r="B211" s="85">
        <v>2</v>
      </c>
      <c r="C211" s="85">
        <v>0</v>
      </c>
      <c r="D211" s="85">
        <v>1</v>
      </c>
      <c r="E211" s="85">
        <v>1</v>
      </c>
      <c r="F211" s="18">
        <v>1</v>
      </c>
      <c r="I211" s="64">
        <f t="shared" si="75"/>
        <v>93.428492305734082</v>
      </c>
      <c r="J211" s="18">
        <v>1</v>
      </c>
      <c r="M211" s="64">
        <f t="shared" si="76"/>
        <v>95.705097084683388</v>
      </c>
      <c r="N211" s="18">
        <v>1</v>
      </c>
      <c r="Q211" s="64">
        <f t="shared" si="77"/>
        <v>98.246708656674187</v>
      </c>
      <c r="R211" s="18">
        <v>0</v>
      </c>
      <c r="U211" s="64">
        <f t="shared" si="78"/>
        <v>81.845132506151486</v>
      </c>
      <c r="V211" s="18">
        <v>2</v>
      </c>
      <c r="Y211" s="114">
        <f t="shared" si="79"/>
        <v>97.875621286587162</v>
      </c>
      <c r="Z211" s="18">
        <v>0</v>
      </c>
      <c r="AC211" s="64">
        <f t="shared" si="80"/>
        <v>85.509512691809249</v>
      </c>
      <c r="AD211" s="24">
        <v>3</v>
      </c>
      <c r="AE211" s="71"/>
      <c r="AF211" s="71"/>
      <c r="AG211" s="71">
        <f t="shared" si="81"/>
        <v>109.20703006144345</v>
      </c>
      <c r="AH211" s="18">
        <v>1</v>
      </c>
      <c r="AK211" s="64">
        <f t="shared" si="82"/>
        <v>88.599296441923855</v>
      </c>
      <c r="AL211" s="18">
        <v>3</v>
      </c>
      <c r="AM211" s="71"/>
      <c r="AN211" s="71"/>
      <c r="AO211" s="71">
        <f t="shared" si="83"/>
        <v>100.85056924463234</v>
      </c>
      <c r="AP211" s="18">
        <v>3</v>
      </c>
      <c r="AQ211" s="71"/>
      <c r="AR211" s="71"/>
      <c r="AS211" s="71">
        <f t="shared" si="84"/>
        <v>110.12341030651692</v>
      </c>
      <c r="AT211" s="18">
        <v>2</v>
      </c>
      <c r="AU211" s="71"/>
      <c r="AV211" s="71"/>
      <c r="AW211" s="71">
        <f t="shared" si="85"/>
        <v>110.91338973410525</v>
      </c>
      <c r="AX211" s="18">
        <v>2</v>
      </c>
      <c r="AY211" s="71"/>
      <c r="AZ211" s="71"/>
      <c r="BA211" s="71">
        <f t="shared" si="86"/>
        <v>100.92776194547928</v>
      </c>
      <c r="BB211" s="85">
        <v>1</v>
      </c>
      <c r="BC211" s="85">
        <v>0</v>
      </c>
      <c r="BD211" s="85">
        <v>1</v>
      </c>
      <c r="BE211" s="85">
        <v>0</v>
      </c>
      <c r="BF211" s="85">
        <v>0</v>
      </c>
      <c r="BG211" s="85">
        <v>0</v>
      </c>
      <c r="BH211" s="19">
        <v>0</v>
      </c>
      <c r="BI211" s="71"/>
      <c r="BJ211" s="71"/>
      <c r="BK211" s="71">
        <f t="shared" si="87"/>
        <v>92.176238572378367</v>
      </c>
      <c r="BL211" s="18">
        <v>3</v>
      </c>
      <c r="BM211" s="71"/>
      <c r="BN211" s="71"/>
      <c r="BO211" s="71">
        <f t="shared" si="88"/>
        <v>111.29665318323313</v>
      </c>
      <c r="BP211" s="18">
        <v>0</v>
      </c>
      <c r="BQ211" s="71"/>
      <c r="BR211" s="71"/>
      <c r="BS211" s="138">
        <f t="shared" si="89"/>
        <v>86.456710815818582</v>
      </c>
      <c r="BT211" s="18">
        <v>2</v>
      </c>
      <c r="BU211" s="71"/>
      <c r="BV211" s="71"/>
      <c r="BW211" s="71">
        <f t="shared" si="90"/>
        <v>102.51956289746849</v>
      </c>
      <c r="BX211" s="85">
        <v>3</v>
      </c>
      <c r="BY211" s="18">
        <v>2</v>
      </c>
      <c r="BZ211" s="71"/>
      <c r="CA211" s="71"/>
      <c r="CB211" s="71">
        <f t="shared" si="91"/>
        <v>100.53207713448795</v>
      </c>
      <c r="CC211" s="18">
        <v>1</v>
      </c>
      <c r="CD211" s="71"/>
      <c r="CE211" s="71"/>
      <c r="CF211" s="71">
        <f t="shared" si="92"/>
        <v>91.015574519921572</v>
      </c>
      <c r="CG211" s="18">
        <v>0</v>
      </c>
      <c r="CH211" s="71"/>
      <c r="CI211" s="71"/>
      <c r="CJ211" s="138">
        <f t="shared" si="93"/>
        <v>89.226340793489143</v>
      </c>
      <c r="CK211" s="18">
        <v>2</v>
      </c>
      <c r="CL211" s="71"/>
      <c r="CM211" s="71"/>
      <c r="CN211" s="71">
        <f t="shared" si="94"/>
        <v>100.22589057499034</v>
      </c>
      <c r="CO211" s="94">
        <v>0</v>
      </c>
      <c r="CP211" s="94">
        <v>1</v>
      </c>
      <c r="CQ211" s="94">
        <v>1</v>
      </c>
      <c r="CR211" s="94">
        <v>0</v>
      </c>
      <c r="CS211" s="102">
        <f t="shared" si="95"/>
        <v>98.418964580096073</v>
      </c>
      <c r="CT211" s="102">
        <f t="shared" si="96"/>
        <v>8.930029896848982</v>
      </c>
      <c r="CU211" s="102">
        <f t="shared" si="97"/>
        <v>9.0734849070490647E-2</v>
      </c>
      <c r="CV211" s="108">
        <f t="shared" si="98"/>
        <v>97.608699665210509</v>
      </c>
      <c r="CZ211" s="109" t="str">
        <f t="shared" si="99"/>
        <v>Medio-Basso</v>
      </c>
    </row>
    <row r="212" spans="1:104" x14ac:dyDescent="0.15">
      <c r="A212" s="84">
        <v>2</v>
      </c>
      <c r="B212" s="84">
        <v>2</v>
      </c>
      <c r="C212" s="84">
        <v>3</v>
      </c>
      <c r="D212" s="84">
        <v>1</v>
      </c>
      <c r="E212" s="84">
        <v>1</v>
      </c>
      <c r="F212" s="17">
        <v>2</v>
      </c>
      <c r="I212" s="64">
        <f t="shared" si="75"/>
        <v>109.85726154139888</v>
      </c>
      <c r="J212" s="17">
        <v>1</v>
      </c>
      <c r="M212" s="64">
        <f t="shared" si="76"/>
        <v>95.705097084683388</v>
      </c>
      <c r="N212" s="17">
        <v>1</v>
      </c>
      <c r="Q212" s="64">
        <f t="shared" si="77"/>
        <v>98.246708656674187</v>
      </c>
      <c r="R212" s="17">
        <v>3</v>
      </c>
      <c r="U212" s="64">
        <f t="shared" si="78"/>
        <v>111.09942135879838</v>
      </c>
      <c r="V212" s="17">
        <v>2</v>
      </c>
      <c r="Y212" s="114">
        <f t="shared" si="79"/>
        <v>97.875621286587162</v>
      </c>
      <c r="Z212" s="17">
        <v>2</v>
      </c>
      <c r="AC212" s="64">
        <f t="shared" si="80"/>
        <v>101.50550517487696</v>
      </c>
      <c r="AD212" s="25">
        <v>3</v>
      </c>
      <c r="AE212" s="71"/>
      <c r="AF212" s="71"/>
      <c r="AG212" s="71">
        <f t="shared" si="81"/>
        <v>109.20703006144345</v>
      </c>
      <c r="AH212" s="17">
        <v>2</v>
      </c>
      <c r="AK212" s="64">
        <f t="shared" si="82"/>
        <v>99.518280131348902</v>
      </c>
      <c r="AL212" s="17">
        <v>3</v>
      </c>
      <c r="AM212" s="71"/>
      <c r="AN212" s="71"/>
      <c r="AO212" s="71">
        <f t="shared" si="83"/>
        <v>100.85056924463234</v>
      </c>
      <c r="AP212" s="17">
        <v>3</v>
      </c>
      <c r="AQ212" s="71"/>
      <c r="AR212" s="71"/>
      <c r="AS212" s="71">
        <f t="shared" si="84"/>
        <v>110.12341030651692</v>
      </c>
      <c r="AT212" s="17">
        <v>0</v>
      </c>
      <c r="AU212" s="71"/>
      <c r="AV212" s="71"/>
      <c r="AW212" s="71">
        <f t="shared" si="85"/>
        <v>89.214252251088965</v>
      </c>
      <c r="AX212" s="17">
        <v>2</v>
      </c>
      <c r="AY212" s="71"/>
      <c r="AZ212" s="71"/>
      <c r="BA212" s="71">
        <f t="shared" si="86"/>
        <v>100.92776194547928</v>
      </c>
      <c r="BB212" s="84">
        <v>1</v>
      </c>
      <c r="BC212" s="84">
        <v>0</v>
      </c>
      <c r="BD212" s="84">
        <v>1</v>
      </c>
      <c r="BE212" s="84">
        <v>0</v>
      </c>
      <c r="BF212" s="84">
        <v>0</v>
      </c>
      <c r="BG212" s="84">
        <v>0</v>
      </c>
      <c r="BH212" s="20">
        <v>0</v>
      </c>
      <c r="BI212" s="71"/>
      <c r="BJ212" s="71"/>
      <c r="BK212" s="71">
        <f t="shared" si="87"/>
        <v>92.176238572378367</v>
      </c>
      <c r="BL212" s="17">
        <v>1</v>
      </c>
      <c r="BM212" s="71"/>
      <c r="BN212" s="71"/>
      <c r="BO212" s="71">
        <f t="shared" si="88"/>
        <v>92.606326748686826</v>
      </c>
      <c r="BP212" s="17">
        <v>1</v>
      </c>
      <c r="BQ212" s="71"/>
      <c r="BR212" s="71"/>
      <c r="BS212" s="138">
        <f t="shared" si="89"/>
        <v>100.16171091563201</v>
      </c>
      <c r="BT212" s="17">
        <v>2</v>
      </c>
      <c r="BU212" s="71"/>
      <c r="BV212" s="71"/>
      <c r="BW212" s="71">
        <f t="shared" si="90"/>
        <v>102.51956289746849</v>
      </c>
      <c r="BX212" s="84">
        <v>2</v>
      </c>
      <c r="BY212" s="17">
        <v>2</v>
      </c>
      <c r="BZ212" s="71"/>
      <c r="CA212" s="71"/>
      <c r="CB212" s="71">
        <f t="shared" si="91"/>
        <v>100.53207713448795</v>
      </c>
      <c r="CC212" s="17">
        <v>2</v>
      </c>
      <c r="CD212" s="71"/>
      <c r="CE212" s="71"/>
      <c r="CF212" s="71">
        <f t="shared" si="92"/>
        <v>100.18886179687853</v>
      </c>
      <c r="CG212" s="17">
        <v>2</v>
      </c>
      <c r="CH212" s="71"/>
      <c r="CI212" s="71"/>
      <c r="CJ212" s="138">
        <f t="shared" si="93"/>
        <v>118.64838200002481</v>
      </c>
      <c r="CK212" s="17">
        <v>2</v>
      </c>
      <c r="CL212" s="71"/>
      <c r="CM212" s="71"/>
      <c r="CN212" s="71">
        <f t="shared" si="94"/>
        <v>100.22589057499034</v>
      </c>
      <c r="CO212" s="93">
        <v>0</v>
      </c>
      <c r="CP212" s="93">
        <v>1</v>
      </c>
      <c r="CQ212" s="93">
        <v>1</v>
      </c>
      <c r="CR212" s="93">
        <v>0</v>
      </c>
      <c r="CS212" s="102">
        <f t="shared" si="95"/>
        <v>100.85319149893131</v>
      </c>
      <c r="CT212" s="102">
        <f t="shared" si="96"/>
        <v>6.4215054832973326</v>
      </c>
      <c r="CU212" s="102">
        <f t="shared" si="97"/>
        <v>6.3671812342848647E-2</v>
      </c>
      <c r="CV212" s="108">
        <f t="shared" si="98"/>
        <v>100.44432260684023</v>
      </c>
      <c r="CZ212" s="109" t="str">
        <f t="shared" si="99"/>
        <v>Medio-Alto</v>
      </c>
    </row>
    <row r="213" spans="1:104" x14ac:dyDescent="0.15">
      <c r="A213" s="85">
        <v>2</v>
      </c>
      <c r="B213" s="85">
        <v>2</v>
      </c>
      <c r="C213" s="85">
        <v>1</v>
      </c>
      <c r="D213" s="85">
        <v>2</v>
      </c>
      <c r="E213" s="85">
        <v>1</v>
      </c>
      <c r="F213" s="18">
        <v>2</v>
      </c>
      <c r="I213" s="64">
        <f t="shared" si="75"/>
        <v>109.85726154139888</v>
      </c>
      <c r="J213" s="18">
        <v>0</v>
      </c>
      <c r="M213" s="64">
        <f t="shared" si="76"/>
        <v>81.388754033628004</v>
      </c>
      <c r="N213" s="18">
        <v>0</v>
      </c>
      <c r="Q213" s="64">
        <f t="shared" si="77"/>
        <v>82.559365058495843</v>
      </c>
      <c r="R213" s="18">
        <v>0</v>
      </c>
      <c r="U213" s="64">
        <f t="shared" si="78"/>
        <v>81.845132506151486</v>
      </c>
      <c r="V213" s="18">
        <v>4</v>
      </c>
      <c r="Y213" s="114">
        <f t="shared" si="79"/>
        <v>110.77363490373656</v>
      </c>
      <c r="Z213" s="18">
        <v>2</v>
      </c>
      <c r="AC213" s="64">
        <f t="shared" si="80"/>
        <v>101.50550517487696</v>
      </c>
      <c r="AD213" s="24">
        <v>0</v>
      </c>
      <c r="AE213" s="71"/>
      <c r="AF213" s="71"/>
      <c r="AG213" s="71">
        <f t="shared" si="81"/>
        <v>84.62281366701329</v>
      </c>
      <c r="AH213" s="18">
        <v>1</v>
      </c>
      <c r="AK213" s="64">
        <f t="shared" si="82"/>
        <v>88.599296441923855</v>
      </c>
      <c r="AL213" s="18">
        <v>3</v>
      </c>
      <c r="AM213" s="71"/>
      <c r="AN213" s="71"/>
      <c r="AO213" s="71">
        <f t="shared" si="83"/>
        <v>100.85056924463234</v>
      </c>
      <c r="AP213" s="18">
        <v>0</v>
      </c>
      <c r="AQ213" s="71"/>
      <c r="AR213" s="71"/>
      <c r="AS213" s="71">
        <f t="shared" si="84"/>
        <v>79.482821248216453</v>
      </c>
      <c r="AT213" s="18">
        <v>0</v>
      </c>
      <c r="AU213" s="71"/>
      <c r="AV213" s="71"/>
      <c r="AW213" s="71">
        <f t="shared" si="85"/>
        <v>89.214252251088965</v>
      </c>
      <c r="AX213" s="18">
        <v>2</v>
      </c>
      <c r="AY213" s="71"/>
      <c r="AZ213" s="71"/>
      <c r="BA213" s="71">
        <f t="shared" si="86"/>
        <v>100.92776194547928</v>
      </c>
      <c r="BB213" s="85">
        <v>1</v>
      </c>
      <c r="BC213" s="85">
        <v>0</v>
      </c>
      <c r="BD213" s="85">
        <v>1</v>
      </c>
      <c r="BE213" s="85">
        <v>0</v>
      </c>
      <c r="BF213" s="85">
        <v>0</v>
      </c>
      <c r="BG213" s="85">
        <v>0</v>
      </c>
      <c r="BH213" s="19">
        <v>0</v>
      </c>
      <c r="BI213" s="71"/>
      <c r="BJ213" s="71"/>
      <c r="BK213" s="71">
        <f t="shared" si="87"/>
        <v>92.176238572378367</v>
      </c>
      <c r="BL213" s="18">
        <v>0</v>
      </c>
      <c r="BM213" s="71"/>
      <c r="BN213" s="71"/>
      <c r="BO213" s="71">
        <f t="shared" si="88"/>
        <v>83.261163531413686</v>
      </c>
      <c r="BP213" s="18">
        <v>0</v>
      </c>
      <c r="BQ213" s="71"/>
      <c r="BR213" s="71"/>
      <c r="BS213" s="138">
        <f t="shared" si="89"/>
        <v>86.456710815818582</v>
      </c>
      <c r="BT213" s="18">
        <v>2</v>
      </c>
      <c r="BU213" s="71"/>
      <c r="BV213" s="71"/>
      <c r="BW213" s="71">
        <f t="shared" si="90"/>
        <v>102.51956289746849</v>
      </c>
      <c r="BX213" s="85">
        <v>2</v>
      </c>
      <c r="BY213" s="18">
        <v>2</v>
      </c>
      <c r="BZ213" s="71"/>
      <c r="CA213" s="71"/>
      <c r="CB213" s="71">
        <f t="shared" si="91"/>
        <v>100.53207713448795</v>
      </c>
      <c r="CC213" s="18">
        <v>0</v>
      </c>
      <c r="CD213" s="71"/>
      <c r="CE213" s="71"/>
      <c r="CF213" s="71">
        <f t="shared" si="92"/>
        <v>81.842287242964616</v>
      </c>
      <c r="CG213" s="18">
        <v>0</v>
      </c>
      <c r="CH213" s="71"/>
      <c r="CI213" s="71"/>
      <c r="CJ213" s="138">
        <f t="shared" si="93"/>
        <v>89.226340793489143</v>
      </c>
      <c r="CK213" s="18">
        <v>2</v>
      </c>
      <c r="CL213" s="71"/>
      <c r="CM213" s="71"/>
      <c r="CN213" s="71">
        <f t="shared" si="94"/>
        <v>100.22589057499034</v>
      </c>
      <c r="CO213" s="94">
        <v>0</v>
      </c>
      <c r="CP213" s="94">
        <v>0</v>
      </c>
      <c r="CQ213" s="94">
        <v>1</v>
      </c>
      <c r="CR213" s="94">
        <v>0</v>
      </c>
      <c r="CS213" s="102">
        <f t="shared" si="95"/>
        <v>91.847691356859357</v>
      </c>
      <c r="CT213" s="102">
        <f t="shared" si="96"/>
        <v>9.7879170218909568</v>
      </c>
      <c r="CU213" s="102">
        <f t="shared" si="97"/>
        <v>0.10656682685535979</v>
      </c>
      <c r="CV213" s="108">
        <f t="shared" si="98"/>
        <v>90.804624098312871</v>
      </c>
      <c r="CZ213" s="109" t="str">
        <f t="shared" si="99"/>
        <v>Basso</v>
      </c>
    </row>
    <row r="214" spans="1:104" x14ac:dyDescent="0.15">
      <c r="A214" s="84">
        <v>3</v>
      </c>
      <c r="B214" s="84">
        <v>1</v>
      </c>
      <c r="C214" s="84">
        <v>3</v>
      </c>
      <c r="D214" s="84">
        <v>1</v>
      </c>
      <c r="E214" s="84">
        <v>1</v>
      </c>
      <c r="F214" s="17">
        <v>2</v>
      </c>
      <c r="I214" s="64">
        <f t="shared" si="75"/>
        <v>109.85726154139888</v>
      </c>
      <c r="J214" s="17">
        <v>2</v>
      </c>
      <c r="M214" s="64">
        <f t="shared" si="76"/>
        <v>110.02144013573877</v>
      </c>
      <c r="N214" s="17">
        <v>2</v>
      </c>
      <c r="Q214" s="64">
        <f t="shared" si="77"/>
        <v>113.93405225485253</v>
      </c>
      <c r="R214" s="17">
        <v>3</v>
      </c>
      <c r="U214" s="64">
        <f t="shared" si="78"/>
        <v>111.09942135879838</v>
      </c>
      <c r="V214" s="17">
        <v>0</v>
      </c>
      <c r="Y214" s="114">
        <f t="shared" si="79"/>
        <v>84.977607669437745</v>
      </c>
      <c r="Z214" s="17">
        <v>3</v>
      </c>
      <c r="AC214" s="64">
        <f t="shared" si="80"/>
        <v>109.50350141641081</v>
      </c>
      <c r="AD214" s="25">
        <v>3</v>
      </c>
      <c r="AE214" s="71"/>
      <c r="AF214" s="71"/>
      <c r="AG214" s="71">
        <f t="shared" si="81"/>
        <v>109.20703006144345</v>
      </c>
      <c r="AH214" s="17">
        <v>3</v>
      </c>
      <c r="AK214" s="64">
        <f t="shared" si="82"/>
        <v>110.43726382077395</v>
      </c>
      <c r="AL214" s="17">
        <v>3</v>
      </c>
      <c r="AM214" s="71"/>
      <c r="AN214" s="71"/>
      <c r="AO214" s="71">
        <f t="shared" si="83"/>
        <v>100.85056924463234</v>
      </c>
      <c r="AP214" s="17">
        <v>3</v>
      </c>
      <c r="AQ214" s="71"/>
      <c r="AR214" s="71"/>
      <c r="AS214" s="71">
        <f t="shared" si="84"/>
        <v>110.12341030651692</v>
      </c>
      <c r="AT214" s="17">
        <v>2</v>
      </c>
      <c r="AU214" s="71"/>
      <c r="AV214" s="71"/>
      <c r="AW214" s="71">
        <f t="shared" si="85"/>
        <v>110.91338973410525</v>
      </c>
      <c r="AX214" s="17">
        <v>0</v>
      </c>
      <c r="AY214" s="71"/>
      <c r="AZ214" s="71"/>
      <c r="BA214" s="71">
        <f t="shared" si="86"/>
        <v>79.173343913551548</v>
      </c>
      <c r="BB214" s="84">
        <v>1</v>
      </c>
      <c r="BC214" s="84">
        <v>0</v>
      </c>
      <c r="BD214" s="84">
        <v>1</v>
      </c>
      <c r="BE214" s="84">
        <v>0</v>
      </c>
      <c r="BF214" s="84">
        <v>0</v>
      </c>
      <c r="BG214" s="84">
        <v>0</v>
      </c>
      <c r="BH214" s="20">
        <v>2</v>
      </c>
      <c r="BI214" s="71"/>
      <c r="BJ214" s="71"/>
      <c r="BK214" s="71">
        <f t="shared" si="87"/>
        <v>114.81520780975161</v>
      </c>
      <c r="BL214" s="17">
        <v>3</v>
      </c>
      <c r="BM214" s="71"/>
      <c r="BN214" s="71"/>
      <c r="BO214" s="71">
        <f t="shared" si="88"/>
        <v>111.29665318323313</v>
      </c>
      <c r="BP214" s="17">
        <v>2</v>
      </c>
      <c r="BQ214" s="71"/>
      <c r="BR214" s="71"/>
      <c r="BS214" s="138">
        <f t="shared" si="89"/>
        <v>113.86671101544545</v>
      </c>
      <c r="BT214" s="17">
        <v>3</v>
      </c>
      <c r="BU214" s="71"/>
      <c r="BV214" s="71"/>
      <c r="BW214" s="71">
        <f t="shared" si="90"/>
        <v>112.03791162123835</v>
      </c>
      <c r="BX214" s="84">
        <v>2</v>
      </c>
      <c r="BY214" s="17">
        <v>2</v>
      </c>
      <c r="BZ214" s="71"/>
      <c r="CA214" s="71"/>
      <c r="CB214" s="71">
        <f t="shared" si="91"/>
        <v>100.53207713448795</v>
      </c>
      <c r="CC214" s="17">
        <v>3</v>
      </c>
      <c r="CD214" s="71"/>
      <c r="CE214" s="71"/>
      <c r="CF214" s="71">
        <f t="shared" si="92"/>
        <v>109.36214907383548</v>
      </c>
      <c r="CG214" s="17">
        <v>2</v>
      </c>
      <c r="CH214" s="71"/>
      <c r="CI214" s="71"/>
      <c r="CJ214" s="138">
        <f t="shared" si="93"/>
        <v>118.64838200002481</v>
      </c>
      <c r="CK214" s="17">
        <v>3</v>
      </c>
      <c r="CL214" s="71"/>
      <c r="CM214" s="71"/>
      <c r="CN214" s="71">
        <f t="shared" si="94"/>
        <v>109.82624001207998</v>
      </c>
      <c r="CO214" s="93">
        <v>1</v>
      </c>
      <c r="CP214" s="93">
        <v>0</v>
      </c>
      <c r="CQ214" s="93">
        <v>1</v>
      </c>
      <c r="CR214" s="93">
        <v>0</v>
      </c>
      <c r="CS214" s="102">
        <f t="shared" si="95"/>
        <v>107.82299544840291</v>
      </c>
      <c r="CT214" s="102">
        <f t="shared" si="96"/>
        <v>8.2581303085559483</v>
      </c>
      <c r="CU214" s="102">
        <f t="shared" si="97"/>
        <v>7.6589694751225443E-2</v>
      </c>
      <c r="CV214" s="108">
        <f t="shared" si="98"/>
        <v>107.19050776885476</v>
      </c>
      <c r="CZ214" s="109" t="str">
        <f t="shared" si="99"/>
        <v>Alto</v>
      </c>
    </row>
    <row r="215" spans="1:104" x14ac:dyDescent="0.15">
      <c r="A215" s="85">
        <v>1</v>
      </c>
      <c r="B215" s="85">
        <v>2</v>
      </c>
      <c r="C215" s="85">
        <v>1</v>
      </c>
      <c r="D215" s="85">
        <v>1</v>
      </c>
      <c r="E215" s="85">
        <v>1</v>
      </c>
      <c r="F215" s="18">
        <v>1</v>
      </c>
      <c r="I215" s="64">
        <f t="shared" si="75"/>
        <v>93.428492305734082</v>
      </c>
      <c r="J215" s="18">
        <v>1</v>
      </c>
      <c r="M215" s="64">
        <f t="shared" si="76"/>
        <v>95.705097084683388</v>
      </c>
      <c r="N215" s="18">
        <v>2</v>
      </c>
      <c r="Q215" s="64">
        <f t="shared" si="77"/>
        <v>113.93405225485253</v>
      </c>
      <c r="R215" s="18">
        <v>3</v>
      </c>
      <c r="U215" s="64">
        <f t="shared" si="78"/>
        <v>111.09942135879838</v>
      </c>
      <c r="V215" s="18">
        <v>3</v>
      </c>
      <c r="Y215" s="114">
        <f t="shared" si="79"/>
        <v>104.32462809516186</v>
      </c>
      <c r="Z215" s="18">
        <v>1</v>
      </c>
      <c r="AC215" s="64">
        <f t="shared" si="80"/>
        <v>93.507508933343104</v>
      </c>
      <c r="AD215" s="24">
        <v>2</v>
      </c>
      <c r="AE215" s="71"/>
      <c r="AF215" s="71"/>
      <c r="AG215" s="71">
        <f t="shared" si="81"/>
        <v>101.01229126330007</v>
      </c>
      <c r="AH215" s="18">
        <v>2</v>
      </c>
      <c r="AK215" s="64">
        <f t="shared" si="82"/>
        <v>99.518280131348902</v>
      </c>
      <c r="AL215" s="18">
        <v>3</v>
      </c>
      <c r="AM215" s="71"/>
      <c r="AN215" s="71"/>
      <c r="AO215" s="71">
        <f t="shared" si="83"/>
        <v>100.85056924463234</v>
      </c>
      <c r="AP215" s="18">
        <v>2</v>
      </c>
      <c r="AQ215" s="71"/>
      <c r="AR215" s="71"/>
      <c r="AS215" s="71">
        <f t="shared" si="84"/>
        <v>99.909880620416757</v>
      </c>
      <c r="AT215" s="18">
        <v>2</v>
      </c>
      <c r="AU215" s="71"/>
      <c r="AV215" s="71"/>
      <c r="AW215" s="71">
        <f t="shared" si="85"/>
        <v>110.91338973410525</v>
      </c>
      <c r="AX215" s="18">
        <v>1</v>
      </c>
      <c r="AY215" s="71"/>
      <c r="AZ215" s="71"/>
      <c r="BA215" s="71">
        <f t="shared" si="86"/>
        <v>90.050552929515405</v>
      </c>
      <c r="BB215" s="85">
        <v>0</v>
      </c>
      <c r="BC215" s="85">
        <v>1</v>
      </c>
      <c r="BD215" s="85">
        <v>1</v>
      </c>
      <c r="BE215" s="85">
        <v>0</v>
      </c>
      <c r="BF215" s="85">
        <v>0</v>
      </c>
      <c r="BG215" s="85">
        <v>0</v>
      </c>
      <c r="BH215" s="19">
        <v>0</v>
      </c>
      <c r="BI215" s="71"/>
      <c r="BJ215" s="71"/>
      <c r="BK215" s="71">
        <f t="shared" si="87"/>
        <v>92.176238572378367</v>
      </c>
      <c r="BL215" s="18">
        <v>3</v>
      </c>
      <c r="BM215" s="71"/>
      <c r="BN215" s="71"/>
      <c r="BO215" s="71">
        <f t="shared" si="88"/>
        <v>111.29665318323313</v>
      </c>
      <c r="BP215" s="18">
        <v>2</v>
      </c>
      <c r="BQ215" s="71"/>
      <c r="BR215" s="71"/>
      <c r="BS215" s="138">
        <f t="shared" si="89"/>
        <v>113.86671101544545</v>
      </c>
      <c r="BT215" s="18">
        <v>3</v>
      </c>
      <c r="BU215" s="71"/>
      <c r="BV215" s="71"/>
      <c r="BW215" s="71">
        <f t="shared" si="90"/>
        <v>112.03791162123835</v>
      </c>
      <c r="BX215" s="85">
        <v>0</v>
      </c>
      <c r="BY215" s="18">
        <v>3</v>
      </c>
      <c r="BZ215" s="71"/>
      <c r="CA215" s="71"/>
      <c r="CB215" s="71">
        <f t="shared" si="91"/>
        <v>110.05345743585116</v>
      </c>
      <c r="CC215" s="18">
        <v>3</v>
      </c>
      <c r="CD215" s="71"/>
      <c r="CE215" s="71"/>
      <c r="CF215" s="71">
        <f t="shared" si="92"/>
        <v>109.36214907383548</v>
      </c>
      <c r="CG215" s="18">
        <v>0</v>
      </c>
      <c r="CH215" s="71"/>
      <c r="CI215" s="71"/>
      <c r="CJ215" s="138">
        <f t="shared" si="93"/>
        <v>89.226340793489143</v>
      </c>
      <c r="CK215" s="18">
        <v>3</v>
      </c>
      <c r="CL215" s="71"/>
      <c r="CM215" s="71"/>
      <c r="CN215" s="71">
        <f t="shared" si="94"/>
        <v>109.82624001207998</v>
      </c>
      <c r="CO215" s="94">
        <v>1</v>
      </c>
      <c r="CP215" s="94">
        <v>1</v>
      </c>
      <c r="CQ215" s="94">
        <v>0</v>
      </c>
      <c r="CR215" s="94">
        <v>0</v>
      </c>
      <c r="CS215" s="102">
        <f t="shared" si="95"/>
        <v>103.21659916231452</v>
      </c>
      <c r="CT215" s="102">
        <f t="shared" si="96"/>
        <v>8.2323422960713106</v>
      </c>
      <c r="CU215" s="102">
        <f t="shared" si="97"/>
        <v>7.9757930050819062E-2</v>
      </c>
      <c r="CV215" s="108">
        <f t="shared" si="98"/>
        <v>102.56000458131007</v>
      </c>
      <c r="CZ215" s="109" t="str">
        <f t="shared" si="99"/>
        <v>Medio-Alto</v>
      </c>
    </row>
    <row r="216" spans="1:104" x14ac:dyDescent="0.15">
      <c r="A216" s="84">
        <v>4</v>
      </c>
      <c r="B216" s="84">
        <v>2</v>
      </c>
      <c r="C216" s="84">
        <v>3</v>
      </c>
      <c r="D216" s="84">
        <v>2</v>
      </c>
      <c r="E216" s="84">
        <v>1</v>
      </c>
      <c r="F216" s="17">
        <v>1</v>
      </c>
      <c r="I216" s="64">
        <f t="shared" si="75"/>
        <v>93.428492305734082</v>
      </c>
      <c r="J216" s="17">
        <v>1</v>
      </c>
      <c r="M216" s="64">
        <f t="shared" si="76"/>
        <v>95.705097084683388</v>
      </c>
      <c r="N216" s="17">
        <v>0</v>
      </c>
      <c r="Q216" s="64">
        <f t="shared" si="77"/>
        <v>82.559365058495843</v>
      </c>
      <c r="R216" s="17">
        <v>0</v>
      </c>
      <c r="U216" s="64">
        <f t="shared" si="78"/>
        <v>81.845132506151486</v>
      </c>
      <c r="V216" s="17">
        <v>2</v>
      </c>
      <c r="Y216" s="114">
        <f t="shared" si="79"/>
        <v>97.875621286587162</v>
      </c>
      <c r="Z216" s="17">
        <v>0</v>
      </c>
      <c r="AC216" s="64">
        <f t="shared" si="80"/>
        <v>85.509512691809249</v>
      </c>
      <c r="AD216" s="25">
        <v>0</v>
      </c>
      <c r="AE216" s="71"/>
      <c r="AF216" s="71"/>
      <c r="AG216" s="71">
        <f t="shared" si="81"/>
        <v>84.62281366701329</v>
      </c>
      <c r="AH216" s="17">
        <v>0</v>
      </c>
      <c r="AK216" s="64">
        <f t="shared" si="82"/>
        <v>77.680312752498807</v>
      </c>
      <c r="AL216" s="17">
        <v>3</v>
      </c>
      <c r="AM216" s="71"/>
      <c r="AN216" s="71"/>
      <c r="AO216" s="71">
        <f t="shared" si="83"/>
        <v>100.85056924463234</v>
      </c>
      <c r="AP216" s="17">
        <v>0</v>
      </c>
      <c r="AQ216" s="71"/>
      <c r="AR216" s="71"/>
      <c r="AS216" s="71">
        <f t="shared" si="84"/>
        <v>79.482821248216453</v>
      </c>
      <c r="AT216" s="17">
        <v>0</v>
      </c>
      <c r="AU216" s="71"/>
      <c r="AV216" s="71"/>
      <c r="AW216" s="71">
        <f t="shared" si="85"/>
        <v>89.214252251088965</v>
      </c>
      <c r="AX216" s="17">
        <v>0</v>
      </c>
      <c r="AY216" s="71"/>
      <c r="AZ216" s="71"/>
      <c r="BA216" s="71">
        <f t="shared" si="86"/>
        <v>79.173343913551548</v>
      </c>
      <c r="BB216" s="84">
        <v>0</v>
      </c>
      <c r="BC216" s="84">
        <v>0</v>
      </c>
      <c r="BD216" s="84">
        <v>0</v>
      </c>
      <c r="BE216" s="84">
        <v>1</v>
      </c>
      <c r="BF216" s="84">
        <v>0</v>
      </c>
      <c r="BG216" s="84">
        <v>0</v>
      </c>
      <c r="BH216" s="20">
        <v>0</v>
      </c>
      <c r="BI216" s="71"/>
      <c r="BJ216" s="71"/>
      <c r="BK216" s="71">
        <f t="shared" si="87"/>
        <v>92.176238572378367</v>
      </c>
      <c r="BL216" s="17">
        <v>3</v>
      </c>
      <c r="BM216" s="71"/>
      <c r="BN216" s="71"/>
      <c r="BO216" s="71">
        <f t="shared" si="88"/>
        <v>111.29665318323313</v>
      </c>
      <c r="BP216" s="17">
        <v>0</v>
      </c>
      <c r="BQ216" s="71"/>
      <c r="BR216" s="71"/>
      <c r="BS216" s="138">
        <f t="shared" si="89"/>
        <v>86.456710815818582</v>
      </c>
      <c r="BT216" s="17">
        <v>1</v>
      </c>
      <c r="BU216" s="71"/>
      <c r="BV216" s="71"/>
      <c r="BW216" s="71">
        <f t="shared" si="90"/>
        <v>93.001214173698628</v>
      </c>
      <c r="BX216" s="84">
        <v>0</v>
      </c>
      <c r="BY216" s="17">
        <v>2</v>
      </c>
      <c r="BZ216" s="71"/>
      <c r="CA216" s="71"/>
      <c r="CB216" s="71">
        <f t="shared" si="91"/>
        <v>100.53207713448795</v>
      </c>
      <c r="CC216" s="17">
        <v>2</v>
      </c>
      <c r="CD216" s="71"/>
      <c r="CE216" s="71"/>
      <c r="CF216" s="71">
        <f t="shared" si="92"/>
        <v>100.18886179687853</v>
      </c>
      <c r="CG216" s="17">
        <v>0</v>
      </c>
      <c r="CH216" s="71"/>
      <c r="CI216" s="71"/>
      <c r="CJ216" s="138">
        <f t="shared" si="93"/>
        <v>89.226340793489143</v>
      </c>
      <c r="CK216" s="17">
        <v>2</v>
      </c>
      <c r="CL216" s="71"/>
      <c r="CM216" s="71"/>
      <c r="CN216" s="71">
        <f t="shared" si="94"/>
        <v>100.22589057499034</v>
      </c>
      <c r="CO216" s="93">
        <v>0</v>
      </c>
      <c r="CP216" s="93">
        <v>0</v>
      </c>
      <c r="CQ216" s="93">
        <v>0</v>
      </c>
      <c r="CR216" s="93">
        <v>1</v>
      </c>
      <c r="CS216" s="102">
        <f t="shared" si="95"/>
        <v>91.028979303502481</v>
      </c>
      <c r="CT216" s="102">
        <f t="shared" si="96"/>
        <v>9.6235331578464578</v>
      </c>
      <c r="CU216" s="102">
        <f t="shared" si="97"/>
        <v>0.10571944485678944</v>
      </c>
      <c r="CV216" s="108">
        <f t="shared" si="98"/>
        <v>90.011584720494042</v>
      </c>
      <c r="CZ216" s="109" t="str">
        <f t="shared" si="99"/>
        <v>Basso</v>
      </c>
    </row>
    <row r="217" spans="1:104" x14ac:dyDescent="0.15">
      <c r="A217" s="85">
        <v>1</v>
      </c>
      <c r="B217" s="85">
        <v>2</v>
      </c>
      <c r="C217" s="85">
        <v>3</v>
      </c>
      <c r="D217" s="85">
        <v>2</v>
      </c>
      <c r="E217" s="85">
        <v>1</v>
      </c>
      <c r="F217" s="18">
        <v>2</v>
      </c>
      <c r="I217" s="64">
        <f t="shared" si="75"/>
        <v>109.85726154139888</v>
      </c>
      <c r="J217" s="18">
        <v>2</v>
      </c>
      <c r="M217" s="64">
        <f t="shared" si="76"/>
        <v>110.02144013573877</v>
      </c>
      <c r="N217" s="18">
        <v>1</v>
      </c>
      <c r="Q217" s="64">
        <f t="shared" si="77"/>
        <v>98.246708656674187</v>
      </c>
      <c r="R217" s="18">
        <v>1</v>
      </c>
      <c r="U217" s="64">
        <f t="shared" si="78"/>
        <v>91.596562123700451</v>
      </c>
      <c r="V217" s="18">
        <v>2</v>
      </c>
      <c r="Y217" s="114">
        <f t="shared" si="79"/>
        <v>97.875621286587162</v>
      </c>
      <c r="Z217" s="18">
        <v>2</v>
      </c>
      <c r="AC217" s="64">
        <f t="shared" si="80"/>
        <v>101.50550517487696</v>
      </c>
      <c r="AD217" s="24">
        <v>3</v>
      </c>
      <c r="AE217" s="71"/>
      <c r="AF217" s="71"/>
      <c r="AG217" s="71">
        <f t="shared" si="81"/>
        <v>109.20703006144345</v>
      </c>
      <c r="AH217" s="18">
        <v>2</v>
      </c>
      <c r="AK217" s="64">
        <f t="shared" si="82"/>
        <v>99.518280131348902</v>
      </c>
      <c r="AL217" s="18">
        <v>3</v>
      </c>
      <c r="AM217" s="71"/>
      <c r="AN217" s="71"/>
      <c r="AO217" s="71">
        <f t="shared" si="83"/>
        <v>100.85056924463234</v>
      </c>
      <c r="AP217" s="18">
        <v>3</v>
      </c>
      <c r="AQ217" s="71"/>
      <c r="AR217" s="71"/>
      <c r="AS217" s="71">
        <f t="shared" si="84"/>
        <v>110.12341030651692</v>
      </c>
      <c r="AT217" s="18">
        <v>0</v>
      </c>
      <c r="AU217" s="71"/>
      <c r="AV217" s="71"/>
      <c r="AW217" s="71">
        <f t="shared" si="85"/>
        <v>89.214252251088965</v>
      </c>
      <c r="AX217" s="18">
        <v>2</v>
      </c>
      <c r="AY217" s="71"/>
      <c r="AZ217" s="71"/>
      <c r="BA217" s="71">
        <f t="shared" si="86"/>
        <v>100.92776194547928</v>
      </c>
      <c r="BB217" s="85">
        <v>1</v>
      </c>
      <c r="BC217" s="85">
        <v>0</v>
      </c>
      <c r="BD217" s="85">
        <v>1</v>
      </c>
      <c r="BE217" s="85">
        <v>0</v>
      </c>
      <c r="BF217" s="85">
        <v>0</v>
      </c>
      <c r="BG217" s="85">
        <v>0</v>
      </c>
      <c r="BH217" s="19">
        <v>2</v>
      </c>
      <c r="BI217" s="71"/>
      <c r="BJ217" s="71"/>
      <c r="BK217" s="71">
        <f t="shared" si="87"/>
        <v>114.81520780975161</v>
      </c>
      <c r="BL217" s="18">
        <v>1</v>
      </c>
      <c r="BM217" s="71"/>
      <c r="BN217" s="71"/>
      <c r="BO217" s="71">
        <f t="shared" si="88"/>
        <v>92.606326748686826</v>
      </c>
      <c r="BP217" s="18">
        <v>1</v>
      </c>
      <c r="BQ217" s="71"/>
      <c r="BR217" s="71"/>
      <c r="BS217" s="138">
        <f t="shared" si="89"/>
        <v>100.16171091563201</v>
      </c>
      <c r="BT217" s="18">
        <v>2</v>
      </c>
      <c r="BU217" s="71"/>
      <c r="BV217" s="71"/>
      <c r="BW217" s="71">
        <f t="shared" si="90"/>
        <v>102.51956289746849</v>
      </c>
      <c r="BX217" s="85">
        <v>3</v>
      </c>
      <c r="BY217" s="18">
        <v>2</v>
      </c>
      <c r="BZ217" s="71"/>
      <c r="CA217" s="71"/>
      <c r="CB217" s="71">
        <f t="shared" si="91"/>
        <v>100.53207713448795</v>
      </c>
      <c r="CC217" s="18">
        <v>2</v>
      </c>
      <c r="CD217" s="71"/>
      <c r="CE217" s="71"/>
      <c r="CF217" s="71">
        <f t="shared" si="92"/>
        <v>100.18886179687853</v>
      </c>
      <c r="CG217" s="18">
        <v>1</v>
      </c>
      <c r="CH217" s="71"/>
      <c r="CI217" s="71"/>
      <c r="CJ217" s="138">
        <f t="shared" si="93"/>
        <v>103.93736139675698</v>
      </c>
      <c r="CK217" s="18">
        <v>3</v>
      </c>
      <c r="CL217" s="71"/>
      <c r="CM217" s="71"/>
      <c r="CN217" s="71">
        <f t="shared" si="94"/>
        <v>109.82624001207998</v>
      </c>
      <c r="CO217" s="94">
        <v>0</v>
      </c>
      <c r="CP217" s="94">
        <v>1</v>
      </c>
      <c r="CQ217" s="94">
        <v>1</v>
      </c>
      <c r="CR217" s="94">
        <v>0</v>
      </c>
      <c r="CS217" s="102">
        <f t="shared" si="95"/>
        <v>102.4445328218972</v>
      </c>
      <c r="CT217" s="102">
        <f t="shared" si="96"/>
        <v>7.3090091189266566</v>
      </c>
      <c r="CU217" s="102">
        <f t="shared" si="97"/>
        <v>7.1346014448946546E-2</v>
      </c>
      <c r="CV217" s="108">
        <f t="shared" si="98"/>
        <v>101.92306415169078</v>
      </c>
      <c r="CZ217" s="109" t="str">
        <f t="shared" si="99"/>
        <v>Medio-Alto</v>
      </c>
    </row>
    <row r="218" spans="1:104" x14ac:dyDescent="0.15">
      <c r="A218" s="84">
        <v>2</v>
      </c>
      <c r="B218" s="84">
        <v>2</v>
      </c>
      <c r="C218" s="84">
        <v>1</v>
      </c>
      <c r="D218" s="84">
        <v>1</v>
      </c>
      <c r="E218" s="84">
        <v>1</v>
      </c>
      <c r="F218" s="17">
        <v>2</v>
      </c>
      <c r="I218" s="64">
        <f t="shared" si="75"/>
        <v>109.85726154139888</v>
      </c>
      <c r="J218" s="17">
        <v>1</v>
      </c>
      <c r="M218" s="64">
        <f t="shared" si="76"/>
        <v>95.705097084683388</v>
      </c>
      <c r="N218" s="17">
        <v>1</v>
      </c>
      <c r="Q218" s="64">
        <f t="shared" si="77"/>
        <v>98.246708656674187</v>
      </c>
      <c r="R218" s="17">
        <v>3</v>
      </c>
      <c r="U218" s="64">
        <f t="shared" si="78"/>
        <v>111.09942135879838</v>
      </c>
      <c r="V218" s="17">
        <v>0</v>
      </c>
      <c r="Y218" s="114">
        <f t="shared" si="79"/>
        <v>84.977607669437745</v>
      </c>
      <c r="Z218" s="17">
        <v>3</v>
      </c>
      <c r="AC218" s="64">
        <f t="shared" si="80"/>
        <v>109.50350141641081</v>
      </c>
      <c r="AD218" s="25">
        <v>3</v>
      </c>
      <c r="AE218" s="71"/>
      <c r="AF218" s="71"/>
      <c r="AG218" s="71">
        <f t="shared" si="81"/>
        <v>109.20703006144345</v>
      </c>
      <c r="AH218" s="17">
        <v>3</v>
      </c>
      <c r="AK218" s="64">
        <f t="shared" si="82"/>
        <v>110.43726382077395</v>
      </c>
      <c r="AL218" s="17">
        <v>4</v>
      </c>
      <c r="AM218" s="71"/>
      <c r="AN218" s="71"/>
      <c r="AO218" s="71">
        <f t="shared" si="83"/>
        <v>111.97339782828605</v>
      </c>
      <c r="AP218" s="17">
        <v>3</v>
      </c>
      <c r="AQ218" s="71"/>
      <c r="AR218" s="71"/>
      <c r="AS218" s="71">
        <f t="shared" si="84"/>
        <v>110.12341030651692</v>
      </c>
      <c r="AT218" s="17">
        <v>1</v>
      </c>
      <c r="AU218" s="71"/>
      <c r="AV218" s="71"/>
      <c r="AW218" s="71">
        <f t="shared" si="85"/>
        <v>100.0638209925971</v>
      </c>
      <c r="AX218" s="17">
        <v>2</v>
      </c>
      <c r="AY218" s="71"/>
      <c r="AZ218" s="71"/>
      <c r="BA218" s="71">
        <f t="shared" si="86"/>
        <v>100.92776194547928</v>
      </c>
      <c r="BB218" s="84">
        <v>1</v>
      </c>
      <c r="BC218" s="84">
        <v>0</v>
      </c>
      <c r="BD218" s="84">
        <v>1</v>
      </c>
      <c r="BE218" s="84">
        <v>0</v>
      </c>
      <c r="BF218" s="84">
        <v>0</v>
      </c>
      <c r="BG218" s="84">
        <v>0</v>
      </c>
      <c r="BH218" s="20">
        <v>0</v>
      </c>
      <c r="BI218" s="71"/>
      <c r="BJ218" s="71"/>
      <c r="BK218" s="71">
        <f t="shared" si="87"/>
        <v>92.176238572378367</v>
      </c>
      <c r="BL218" s="17">
        <v>1</v>
      </c>
      <c r="BM218" s="71"/>
      <c r="BN218" s="71"/>
      <c r="BO218" s="71">
        <f t="shared" si="88"/>
        <v>92.606326748686826</v>
      </c>
      <c r="BP218" s="17">
        <v>1</v>
      </c>
      <c r="BQ218" s="71"/>
      <c r="BR218" s="71"/>
      <c r="BS218" s="138">
        <f t="shared" si="89"/>
        <v>100.16171091563201</v>
      </c>
      <c r="BT218" s="17">
        <v>3</v>
      </c>
      <c r="BU218" s="71"/>
      <c r="BV218" s="71"/>
      <c r="BW218" s="71">
        <f t="shared" si="90"/>
        <v>112.03791162123835</v>
      </c>
      <c r="BX218" s="84">
        <v>1</v>
      </c>
      <c r="BY218" s="17">
        <v>3</v>
      </c>
      <c r="BZ218" s="71"/>
      <c r="CA218" s="71"/>
      <c r="CB218" s="71">
        <f t="shared" si="91"/>
        <v>110.05345743585116</v>
      </c>
      <c r="CC218" s="17">
        <v>3</v>
      </c>
      <c r="CD218" s="71"/>
      <c r="CE218" s="71"/>
      <c r="CF218" s="71">
        <f t="shared" si="92"/>
        <v>109.36214907383548</v>
      </c>
      <c r="CG218" s="17">
        <v>0</v>
      </c>
      <c r="CH218" s="71"/>
      <c r="CI218" s="71"/>
      <c r="CJ218" s="138">
        <f t="shared" si="93"/>
        <v>89.226340793489143</v>
      </c>
      <c r="CK218" s="17">
        <v>2</v>
      </c>
      <c r="CL218" s="71"/>
      <c r="CM218" s="71"/>
      <c r="CN218" s="71">
        <f t="shared" si="94"/>
        <v>100.22589057499034</v>
      </c>
      <c r="CO218" s="93">
        <v>1</v>
      </c>
      <c r="CP218" s="93">
        <v>1</v>
      </c>
      <c r="CQ218" s="93">
        <v>0</v>
      </c>
      <c r="CR218" s="93">
        <v>0</v>
      </c>
      <c r="CS218" s="102">
        <f t="shared" si="95"/>
        <v>104.91803817882608</v>
      </c>
      <c r="CT218" s="102">
        <f t="shared" si="96"/>
        <v>7.1195024650362253</v>
      </c>
      <c r="CU218" s="102">
        <f t="shared" si="97"/>
        <v>6.7857754382535149E-2</v>
      </c>
      <c r="CV218" s="108">
        <f t="shared" si="98"/>
        <v>104.4349247292278</v>
      </c>
      <c r="CZ218" s="109" t="str">
        <f t="shared" si="99"/>
        <v>Alto</v>
      </c>
    </row>
    <row r="219" spans="1:104" x14ac:dyDescent="0.15">
      <c r="A219" s="85">
        <v>1</v>
      </c>
      <c r="B219" s="85">
        <v>1</v>
      </c>
      <c r="C219" s="85">
        <v>2</v>
      </c>
      <c r="D219" s="85">
        <v>1</v>
      </c>
      <c r="E219" s="85">
        <v>1</v>
      </c>
      <c r="F219" s="18">
        <v>2</v>
      </c>
      <c r="I219" s="64">
        <f t="shared" si="75"/>
        <v>109.85726154139888</v>
      </c>
      <c r="J219" s="18">
        <v>1</v>
      </c>
      <c r="M219" s="64">
        <f t="shared" si="76"/>
        <v>95.705097084683388</v>
      </c>
      <c r="N219" s="18">
        <v>1</v>
      </c>
      <c r="Q219" s="64">
        <f t="shared" si="77"/>
        <v>98.246708656674187</v>
      </c>
      <c r="R219" s="18">
        <v>3</v>
      </c>
      <c r="U219" s="64">
        <f t="shared" si="78"/>
        <v>111.09942135879838</v>
      </c>
      <c r="V219" s="18">
        <v>0</v>
      </c>
      <c r="Y219" s="114">
        <f t="shared" si="79"/>
        <v>84.977607669437745</v>
      </c>
      <c r="Z219" s="18">
        <v>2</v>
      </c>
      <c r="AC219" s="64">
        <f t="shared" si="80"/>
        <v>101.50550517487696</v>
      </c>
      <c r="AD219" s="24">
        <v>3</v>
      </c>
      <c r="AE219" s="71"/>
      <c r="AF219" s="71"/>
      <c r="AG219" s="71">
        <f t="shared" si="81"/>
        <v>109.20703006144345</v>
      </c>
      <c r="AH219" s="18">
        <v>2</v>
      </c>
      <c r="AK219" s="64">
        <f t="shared" si="82"/>
        <v>99.518280131348902</v>
      </c>
      <c r="AL219" s="18">
        <v>3</v>
      </c>
      <c r="AM219" s="71"/>
      <c r="AN219" s="71"/>
      <c r="AO219" s="71">
        <f t="shared" si="83"/>
        <v>100.85056924463234</v>
      </c>
      <c r="AP219" s="18">
        <v>3</v>
      </c>
      <c r="AQ219" s="71"/>
      <c r="AR219" s="71"/>
      <c r="AS219" s="71">
        <f t="shared" si="84"/>
        <v>110.12341030651692</v>
      </c>
      <c r="AT219" s="18">
        <v>2</v>
      </c>
      <c r="AU219" s="71"/>
      <c r="AV219" s="71"/>
      <c r="AW219" s="71">
        <f t="shared" si="85"/>
        <v>110.91338973410525</v>
      </c>
      <c r="AX219" s="18">
        <v>1</v>
      </c>
      <c r="AY219" s="71"/>
      <c r="AZ219" s="71"/>
      <c r="BA219" s="71">
        <f t="shared" si="86"/>
        <v>90.050552929515405</v>
      </c>
      <c r="BB219" s="85">
        <v>1</v>
      </c>
      <c r="BC219" s="85">
        <v>0</v>
      </c>
      <c r="BD219" s="85">
        <v>1</v>
      </c>
      <c r="BE219" s="85">
        <v>0</v>
      </c>
      <c r="BF219" s="85">
        <v>0</v>
      </c>
      <c r="BG219" s="85">
        <v>0</v>
      </c>
      <c r="BH219" s="19">
        <v>1</v>
      </c>
      <c r="BI219" s="71"/>
      <c r="BJ219" s="71"/>
      <c r="BK219" s="71">
        <f t="shared" si="87"/>
        <v>103.49572319106498</v>
      </c>
      <c r="BL219" s="18">
        <v>3</v>
      </c>
      <c r="BM219" s="71"/>
      <c r="BN219" s="71"/>
      <c r="BO219" s="71">
        <f t="shared" si="88"/>
        <v>111.29665318323313</v>
      </c>
      <c r="BP219" s="18">
        <v>1</v>
      </c>
      <c r="BQ219" s="71"/>
      <c r="BR219" s="71"/>
      <c r="BS219" s="138">
        <f t="shared" si="89"/>
        <v>100.16171091563201</v>
      </c>
      <c r="BT219" s="18">
        <v>3</v>
      </c>
      <c r="BU219" s="71"/>
      <c r="BV219" s="71"/>
      <c r="BW219" s="71">
        <f t="shared" si="90"/>
        <v>112.03791162123835</v>
      </c>
      <c r="BX219" s="85">
        <v>0</v>
      </c>
      <c r="BY219" s="18">
        <v>2</v>
      </c>
      <c r="BZ219" s="71"/>
      <c r="CA219" s="71"/>
      <c r="CB219" s="71">
        <f t="shared" si="91"/>
        <v>100.53207713448795</v>
      </c>
      <c r="CC219" s="18">
        <v>3</v>
      </c>
      <c r="CD219" s="71"/>
      <c r="CE219" s="71"/>
      <c r="CF219" s="71">
        <f t="shared" si="92"/>
        <v>109.36214907383548</v>
      </c>
      <c r="CG219" s="18">
        <v>0</v>
      </c>
      <c r="CH219" s="71"/>
      <c r="CI219" s="71"/>
      <c r="CJ219" s="138">
        <f t="shared" si="93"/>
        <v>89.226340793489143</v>
      </c>
      <c r="CK219" s="18">
        <v>2</v>
      </c>
      <c r="CL219" s="71"/>
      <c r="CM219" s="71"/>
      <c r="CN219" s="71">
        <f t="shared" si="94"/>
        <v>100.22589057499034</v>
      </c>
      <c r="CO219" s="94">
        <v>0</v>
      </c>
      <c r="CP219" s="94">
        <v>1</v>
      </c>
      <c r="CQ219" s="94">
        <v>1</v>
      </c>
      <c r="CR219" s="94">
        <v>0</v>
      </c>
      <c r="CS219" s="102">
        <f t="shared" si="95"/>
        <v>104.35456652957907</v>
      </c>
      <c r="CT219" s="102">
        <f t="shared" si="96"/>
        <v>6.6182652278610936</v>
      </c>
      <c r="CU219" s="102">
        <f t="shared" si="97"/>
        <v>6.3420945033441936E-2</v>
      </c>
      <c r="CV219" s="108">
        <f t="shared" si="98"/>
        <v>103.93482989434615</v>
      </c>
      <c r="CZ219" s="109" t="str">
        <f t="shared" si="99"/>
        <v>Alto</v>
      </c>
    </row>
    <row r="220" spans="1:104" x14ac:dyDescent="0.15">
      <c r="A220" s="84">
        <v>2</v>
      </c>
      <c r="B220" s="84">
        <v>1</v>
      </c>
      <c r="C220" s="84">
        <v>4</v>
      </c>
      <c r="D220" s="84">
        <v>1</v>
      </c>
      <c r="E220" s="84">
        <v>1</v>
      </c>
      <c r="F220" s="17">
        <v>1</v>
      </c>
      <c r="I220" s="64">
        <f t="shared" si="75"/>
        <v>93.428492305734082</v>
      </c>
      <c r="J220" s="17">
        <v>1</v>
      </c>
      <c r="M220" s="64">
        <f t="shared" si="76"/>
        <v>95.705097084683388</v>
      </c>
      <c r="N220" s="17">
        <v>1</v>
      </c>
      <c r="Q220" s="64">
        <f t="shared" si="77"/>
        <v>98.246708656674187</v>
      </c>
      <c r="R220" s="17">
        <v>3</v>
      </c>
      <c r="U220" s="64">
        <f t="shared" si="78"/>
        <v>111.09942135879838</v>
      </c>
      <c r="V220" s="17">
        <v>5</v>
      </c>
      <c r="Y220" s="114">
        <f t="shared" si="79"/>
        <v>117.22264171231127</v>
      </c>
      <c r="Z220" s="17">
        <v>2</v>
      </c>
      <c r="AC220" s="64">
        <f t="shared" si="80"/>
        <v>101.50550517487696</v>
      </c>
      <c r="AD220" s="25">
        <v>2</v>
      </c>
      <c r="AE220" s="71"/>
      <c r="AF220" s="71"/>
      <c r="AG220" s="71">
        <f t="shared" si="81"/>
        <v>101.01229126330007</v>
      </c>
      <c r="AH220" s="17">
        <v>2</v>
      </c>
      <c r="AK220" s="64">
        <f t="shared" si="82"/>
        <v>99.518280131348902</v>
      </c>
      <c r="AL220" s="17">
        <v>3</v>
      </c>
      <c r="AM220" s="71"/>
      <c r="AN220" s="71"/>
      <c r="AO220" s="71">
        <f t="shared" si="83"/>
        <v>100.85056924463234</v>
      </c>
      <c r="AP220" s="17">
        <v>2</v>
      </c>
      <c r="AQ220" s="71"/>
      <c r="AR220" s="71"/>
      <c r="AS220" s="71">
        <f t="shared" si="84"/>
        <v>99.909880620416757</v>
      </c>
      <c r="AT220" s="17">
        <v>0</v>
      </c>
      <c r="AU220" s="71"/>
      <c r="AV220" s="71"/>
      <c r="AW220" s="71">
        <f t="shared" si="85"/>
        <v>89.214252251088965</v>
      </c>
      <c r="AX220" s="17">
        <v>2</v>
      </c>
      <c r="AY220" s="71"/>
      <c r="AZ220" s="71"/>
      <c r="BA220" s="71">
        <f t="shared" si="86"/>
        <v>100.92776194547928</v>
      </c>
      <c r="BB220" s="84">
        <v>1</v>
      </c>
      <c r="BC220" s="84">
        <v>0</v>
      </c>
      <c r="BD220" s="84">
        <v>1</v>
      </c>
      <c r="BE220" s="84">
        <v>0</v>
      </c>
      <c r="BF220" s="84">
        <v>0</v>
      </c>
      <c r="BG220" s="84">
        <v>0</v>
      </c>
      <c r="BH220" s="20">
        <v>0</v>
      </c>
      <c r="BI220" s="71"/>
      <c r="BJ220" s="71"/>
      <c r="BK220" s="71">
        <f t="shared" si="87"/>
        <v>92.176238572378367</v>
      </c>
      <c r="BL220" s="17">
        <v>2</v>
      </c>
      <c r="BM220" s="71"/>
      <c r="BN220" s="71"/>
      <c r="BO220" s="71">
        <f t="shared" si="88"/>
        <v>101.95148996595998</v>
      </c>
      <c r="BP220" s="17">
        <v>1</v>
      </c>
      <c r="BQ220" s="71"/>
      <c r="BR220" s="71"/>
      <c r="BS220" s="138">
        <f t="shared" si="89"/>
        <v>100.16171091563201</v>
      </c>
      <c r="BT220" s="17">
        <v>3</v>
      </c>
      <c r="BU220" s="71"/>
      <c r="BV220" s="71"/>
      <c r="BW220" s="71">
        <f t="shared" si="90"/>
        <v>112.03791162123835</v>
      </c>
      <c r="BX220" s="84">
        <v>1</v>
      </c>
      <c r="BY220" s="17">
        <v>3</v>
      </c>
      <c r="BZ220" s="71"/>
      <c r="CA220" s="71"/>
      <c r="CB220" s="71">
        <f t="shared" si="91"/>
        <v>110.05345743585116</v>
      </c>
      <c r="CC220" s="17">
        <v>2</v>
      </c>
      <c r="CD220" s="71"/>
      <c r="CE220" s="71"/>
      <c r="CF220" s="71">
        <f t="shared" si="92"/>
        <v>100.18886179687853</v>
      </c>
      <c r="CG220" s="17">
        <v>0</v>
      </c>
      <c r="CH220" s="71"/>
      <c r="CI220" s="71"/>
      <c r="CJ220" s="138">
        <f t="shared" si="93"/>
        <v>89.226340793489143</v>
      </c>
      <c r="CK220" s="17">
        <v>2</v>
      </c>
      <c r="CL220" s="71"/>
      <c r="CM220" s="71"/>
      <c r="CN220" s="71">
        <f t="shared" si="94"/>
        <v>100.22589057499034</v>
      </c>
      <c r="CO220" s="93">
        <v>1</v>
      </c>
      <c r="CP220" s="93">
        <v>1</v>
      </c>
      <c r="CQ220" s="93">
        <v>0</v>
      </c>
      <c r="CR220" s="93">
        <v>0</v>
      </c>
      <c r="CS220" s="102">
        <f t="shared" si="95"/>
        <v>100.47365352966648</v>
      </c>
      <c r="CT220" s="102">
        <f t="shared" si="96"/>
        <v>6.2079876609946796</v>
      </c>
      <c r="CU220" s="102">
        <f t="shared" si="97"/>
        <v>6.1787219265015285E-2</v>
      </c>
      <c r="CV220" s="108">
        <f t="shared" si="98"/>
        <v>100.09007923486209</v>
      </c>
      <c r="CZ220" s="109" t="str">
        <f t="shared" si="99"/>
        <v>Medio-Alto</v>
      </c>
    </row>
    <row r="221" spans="1:104" x14ac:dyDescent="0.15">
      <c r="A221" s="85">
        <v>2</v>
      </c>
      <c r="B221" s="85">
        <v>1</v>
      </c>
      <c r="C221" s="85">
        <v>3</v>
      </c>
      <c r="D221" s="85">
        <v>2</v>
      </c>
      <c r="E221" s="85">
        <v>1</v>
      </c>
      <c r="F221" s="18">
        <v>2</v>
      </c>
      <c r="I221" s="64">
        <f t="shared" si="75"/>
        <v>109.85726154139888</v>
      </c>
      <c r="J221" s="18">
        <v>2</v>
      </c>
      <c r="M221" s="64">
        <f t="shared" si="76"/>
        <v>110.02144013573877</v>
      </c>
      <c r="N221" s="18">
        <v>1</v>
      </c>
      <c r="Q221" s="64">
        <f t="shared" si="77"/>
        <v>98.246708656674187</v>
      </c>
      <c r="R221" s="18">
        <v>2</v>
      </c>
      <c r="U221" s="64">
        <f t="shared" si="78"/>
        <v>101.34799174124942</v>
      </c>
      <c r="V221" s="18">
        <v>2</v>
      </c>
      <c r="Y221" s="114">
        <f t="shared" si="79"/>
        <v>97.875621286587162</v>
      </c>
      <c r="Z221" s="18">
        <v>2</v>
      </c>
      <c r="AC221" s="64">
        <f t="shared" si="80"/>
        <v>101.50550517487696</v>
      </c>
      <c r="AD221" s="24">
        <v>3</v>
      </c>
      <c r="AE221" s="71"/>
      <c r="AF221" s="71"/>
      <c r="AG221" s="71">
        <f t="shared" si="81"/>
        <v>109.20703006144345</v>
      </c>
      <c r="AH221" s="18">
        <v>2</v>
      </c>
      <c r="AK221" s="64">
        <f t="shared" si="82"/>
        <v>99.518280131348902</v>
      </c>
      <c r="AL221" s="18">
        <v>3</v>
      </c>
      <c r="AM221" s="71"/>
      <c r="AN221" s="71"/>
      <c r="AO221" s="71">
        <f t="shared" si="83"/>
        <v>100.85056924463234</v>
      </c>
      <c r="AP221" s="18">
        <v>3</v>
      </c>
      <c r="AQ221" s="71"/>
      <c r="AR221" s="71"/>
      <c r="AS221" s="71">
        <f t="shared" si="84"/>
        <v>110.12341030651692</v>
      </c>
      <c r="AT221" s="18">
        <v>2</v>
      </c>
      <c r="AU221" s="71"/>
      <c r="AV221" s="71"/>
      <c r="AW221" s="71">
        <f t="shared" si="85"/>
        <v>110.91338973410525</v>
      </c>
      <c r="AX221" s="18">
        <v>1</v>
      </c>
      <c r="AY221" s="71"/>
      <c r="AZ221" s="71"/>
      <c r="BA221" s="71">
        <f t="shared" si="86"/>
        <v>90.050552929515405</v>
      </c>
      <c r="BB221" s="85">
        <v>1</v>
      </c>
      <c r="BC221" s="85">
        <v>1</v>
      </c>
      <c r="BD221" s="85">
        <v>0</v>
      </c>
      <c r="BE221" s="85">
        <v>0</v>
      </c>
      <c r="BF221" s="85">
        <v>0</v>
      </c>
      <c r="BG221" s="85">
        <v>0</v>
      </c>
      <c r="BH221" s="19">
        <v>0</v>
      </c>
      <c r="BI221" s="71"/>
      <c r="BJ221" s="71"/>
      <c r="BK221" s="71">
        <f t="shared" si="87"/>
        <v>92.176238572378367</v>
      </c>
      <c r="BL221" s="18">
        <v>3</v>
      </c>
      <c r="BM221" s="71"/>
      <c r="BN221" s="71"/>
      <c r="BO221" s="71">
        <f t="shared" si="88"/>
        <v>111.29665318323313</v>
      </c>
      <c r="BP221" s="18">
        <v>1</v>
      </c>
      <c r="BQ221" s="71"/>
      <c r="BR221" s="71"/>
      <c r="BS221" s="138">
        <f t="shared" si="89"/>
        <v>100.16171091563201</v>
      </c>
      <c r="BT221" s="18">
        <v>2</v>
      </c>
      <c r="BU221" s="71"/>
      <c r="BV221" s="71"/>
      <c r="BW221" s="71">
        <f t="shared" si="90"/>
        <v>102.51956289746849</v>
      </c>
      <c r="BX221" s="85">
        <v>2</v>
      </c>
      <c r="BY221" s="18">
        <v>3</v>
      </c>
      <c r="BZ221" s="71"/>
      <c r="CA221" s="71"/>
      <c r="CB221" s="71">
        <f t="shared" si="91"/>
        <v>110.05345743585116</v>
      </c>
      <c r="CC221" s="18">
        <v>3</v>
      </c>
      <c r="CD221" s="71"/>
      <c r="CE221" s="71"/>
      <c r="CF221" s="71">
        <f t="shared" si="92"/>
        <v>109.36214907383548</v>
      </c>
      <c r="CG221" s="18">
        <v>1</v>
      </c>
      <c r="CH221" s="71"/>
      <c r="CI221" s="71"/>
      <c r="CJ221" s="138">
        <f t="shared" si="93"/>
        <v>103.93736139675698</v>
      </c>
      <c r="CK221" s="18">
        <v>3</v>
      </c>
      <c r="CL221" s="71"/>
      <c r="CM221" s="71"/>
      <c r="CN221" s="71">
        <f t="shared" si="94"/>
        <v>109.82624001207998</v>
      </c>
      <c r="CO221" s="94">
        <v>0</v>
      </c>
      <c r="CP221" s="94">
        <v>1</v>
      </c>
      <c r="CQ221" s="94">
        <v>1</v>
      </c>
      <c r="CR221" s="94">
        <v>0</v>
      </c>
      <c r="CS221" s="102">
        <f t="shared" si="95"/>
        <v>104.52214357837336</v>
      </c>
      <c r="CT221" s="102">
        <f t="shared" si="96"/>
        <v>6.8184437529317012</v>
      </c>
      <c r="CU221" s="102">
        <f t="shared" si="97"/>
        <v>6.523444238224084E-2</v>
      </c>
      <c r="CV221" s="108">
        <f t="shared" si="98"/>
        <v>104.07734620223619</v>
      </c>
      <c r="CZ221" s="109" t="str">
        <f t="shared" si="99"/>
        <v>Alto</v>
      </c>
    </row>
    <row r="222" spans="1:104" x14ac:dyDescent="0.15">
      <c r="A222" s="84">
        <v>2</v>
      </c>
      <c r="B222" s="84">
        <v>1</v>
      </c>
      <c r="C222" s="84">
        <v>3</v>
      </c>
      <c r="D222" s="84">
        <v>1</v>
      </c>
      <c r="E222" s="84">
        <v>1</v>
      </c>
      <c r="F222" s="17">
        <v>2</v>
      </c>
      <c r="I222" s="64">
        <f t="shared" si="75"/>
        <v>109.85726154139888</v>
      </c>
      <c r="J222" s="17">
        <v>2</v>
      </c>
      <c r="M222" s="64">
        <f t="shared" si="76"/>
        <v>110.02144013573877</v>
      </c>
      <c r="N222" s="17">
        <v>2</v>
      </c>
      <c r="Q222" s="64">
        <f t="shared" si="77"/>
        <v>113.93405225485253</v>
      </c>
      <c r="R222" s="17">
        <v>3</v>
      </c>
      <c r="U222" s="64">
        <f t="shared" si="78"/>
        <v>111.09942135879838</v>
      </c>
      <c r="V222" s="17">
        <v>4</v>
      </c>
      <c r="Y222" s="114">
        <f t="shared" si="79"/>
        <v>110.77363490373656</v>
      </c>
      <c r="Z222" s="17">
        <v>1</v>
      </c>
      <c r="AC222" s="64">
        <f t="shared" si="80"/>
        <v>93.507508933343104</v>
      </c>
      <c r="AD222" s="25">
        <v>3</v>
      </c>
      <c r="AE222" s="71"/>
      <c r="AF222" s="71"/>
      <c r="AG222" s="71">
        <f t="shared" si="81"/>
        <v>109.20703006144345</v>
      </c>
      <c r="AH222" s="17">
        <v>3</v>
      </c>
      <c r="AK222" s="64">
        <f t="shared" si="82"/>
        <v>110.43726382077395</v>
      </c>
      <c r="AL222" s="17">
        <v>2</v>
      </c>
      <c r="AM222" s="71"/>
      <c r="AN222" s="71"/>
      <c r="AO222" s="71">
        <f t="shared" si="83"/>
        <v>89.72774066097864</v>
      </c>
      <c r="AP222" s="17">
        <v>3</v>
      </c>
      <c r="AQ222" s="71"/>
      <c r="AR222" s="71"/>
      <c r="AS222" s="71">
        <f t="shared" si="84"/>
        <v>110.12341030651692</v>
      </c>
      <c r="AT222" s="17">
        <v>2</v>
      </c>
      <c r="AU222" s="71"/>
      <c r="AV222" s="71"/>
      <c r="AW222" s="71">
        <f t="shared" si="85"/>
        <v>110.91338973410525</v>
      </c>
      <c r="AX222" s="17">
        <v>3</v>
      </c>
      <c r="AY222" s="71"/>
      <c r="AZ222" s="71"/>
      <c r="BA222" s="71">
        <f t="shared" si="86"/>
        <v>111.80497096144313</v>
      </c>
      <c r="BB222" s="84">
        <v>1</v>
      </c>
      <c r="BC222" s="84">
        <v>1</v>
      </c>
      <c r="BD222" s="84">
        <v>0</v>
      </c>
      <c r="BE222" s="84">
        <v>0</v>
      </c>
      <c r="BF222" s="84">
        <v>0</v>
      </c>
      <c r="BG222" s="84">
        <v>0</v>
      </c>
      <c r="BH222" s="20">
        <v>2</v>
      </c>
      <c r="BI222" s="71"/>
      <c r="BJ222" s="71"/>
      <c r="BK222" s="71">
        <f t="shared" si="87"/>
        <v>114.81520780975161</v>
      </c>
      <c r="BL222" s="17">
        <v>2</v>
      </c>
      <c r="BM222" s="71"/>
      <c r="BN222" s="71"/>
      <c r="BO222" s="71">
        <f t="shared" si="88"/>
        <v>101.95148996595998</v>
      </c>
      <c r="BP222" s="17">
        <v>2</v>
      </c>
      <c r="BQ222" s="71"/>
      <c r="BR222" s="71"/>
      <c r="BS222" s="138">
        <f t="shared" si="89"/>
        <v>113.86671101544545</v>
      </c>
      <c r="BT222" s="17">
        <v>2</v>
      </c>
      <c r="BU222" s="71"/>
      <c r="BV222" s="71"/>
      <c r="BW222" s="71">
        <f t="shared" si="90"/>
        <v>102.51956289746849</v>
      </c>
      <c r="BX222" s="84">
        <v>2</v>
      </c>
      <c r="BY222" s="17">
        <v>3</v>
      </c>
      <c r="BZ222" s="71"/>
      <c r="CA222" s="71"/>
      <c r="CB222" s="71">
        <f t="shared" si="91"/>
        <v>110.05345743585116</v>
      </c>
      <c r="CC222" s="17">
        <v>3</v>
      </c>
      <c r="CD222" s="71"/>
      <c r="CE222" s="71"/>
      <c r="CF222" s="71">
        <f t="shared" si="92"/>
        <v>109.36214907383548</v>
      </c>
      <c r="CG222" s="17">
        <v>2</v>
      </c>
      <c r="CH222" s="71"/>
      <c r="CI222" s="71"/>
      <c r="CJ222" s="138">
        <f t="shared" si="93"/>
        <v>118.64838200002481</v>
      </c>
      <c r="CK222" s="17">
        <v>3</v>
      </c>
      <c r="CL222" s="71"/>
      <c r="CM222" s="71"/>
      <c r="CN222" s="71">
        <f t="shared" si="94"/>
        <v>109.82624001207998</v>
      </c>
      <c r="CO222" s="93">
        <v>0</v>
      </c>
      <c r="CP222" s="93">
        <v>1</v>
      </c>
      <c r="CQ222" s="93">
        <v>1</v>
      </c>
      <c r="CR222" s="93">
        <v>0</v>
      </c>
      <c r="CS222" s="102">
        <f t="shared" si="95"/>
        <v>107.59774099790235</v>
      </c>
      <c r="CT222" s="102">
        <f t="shared" si="96"/>
        <v>6.8504456184286768</v>
      </c>
      <c r="CU222" s="102">
        <f t="shared" si="97"/>
        <v>6.3667188129555879E-2</v>
      </c>
      <c r="CV222" s="108">
        <f t="shared" si="98"/>
        <v>107.16159238794256</v>
      </c>
      <c r="CZ222" s="109" t="str">
        <f t="shared" si="99"/>
        <v>Alto</v>
      </c>
    </row>
    <row r="223" spans="1:104" x14ac:dyDescent="0.15">
      <c r="A223" s="85">
        <v>1</v>
      </c>
      <c r="B223" s="85">
        <v>1</v>
      </c>
      <c r="C223" s="85">
        <v>1</v>
      </c>
      <c r="D223" s="85">
        <v>1</v>
      </c>
      <c r="E223" s="85">
        <v>1</v>
      </c>
      <c r="F223" s="18">
        <v>0</v>
      </c>
      <c r="I223" s="64">
        <f t="shared" si="75"/>
        <v>76.99972307006928</v>
      </c>
      <c r="J223" s="18">
        <v>1</v>
      </c>
      <c r="M223" s="64">
        <f t="shared" si="76"/>
        <v>95.705097084683388</v>
      </c>
      <c r="N223" s="18">
        <v>1</v>
      </c>
      <c r="Q223" s="64">
        <f t="shared" si="77"/>
        <v>98.246708656674187</v>
      </c>
      <c r="R223" s="18">
        <v>1</v>
      </c>
      <c r="U223" s="64">
        <f t="shared" si="78"/>
        <v>91.596562123700451</v>
      </c>
      <c r="V223" s="18">
        <v>2</v>
      </c>
      <c r="Y223" s="114">
        <f t="shared" si="79"/>
        <v>97.875621286587162</v>
      </c>
      <c r="Z223" s="18">
        <v>2</v>
      </c>
      <c r="AC223" s="64">
        <f t="shared" si="80"/>
        <v>101.50550517487696</v>
      </c>
      <c r="AD223" s="24">
        <v>3</v>
      </c>
      <c r="AE223" s="71"/>
      <c r="AF223" s="71"/>
      <c r="AG223" s="71">
        <f t="shared" si="81"/>
        <v>109.20703006144345</v>
      </c>
      <c r="AH223" s="18">
        <v>2</v>
      </c>
      <c r="AK223" s="64">
        <f t="shared" si="82"/>
        <v>99.518280131348902</v>
      </c>
      <c r="AL223" s="18">
        <v>3</v>
      </c>
      <c r="AM223" s="71"/>
      <c r="AN223" s="71"/>
      <c r="AO223" s="71">
        <f t="shared" si="83"/>
        <v>100.85056924463234</v>
      </c>
      <c r="AP223" s="18">
        <v>3</v>
      </c>
      <c r="AQ223" s="71"/>
      <c r="AR223" s="71"/>
      <c r="AS223" s="71">
        <f t="shared" si="84"/>
        <v>110.12341030651692</v>
      </c>
      <c r="AT223" s="18">
        <v>0</v>
      </c>
      <c r="AU223" s="71"/>
      <c r="AV223" s="71"/>
      <c r="AW223" s="71">
        <f t="shared" si="85"/>
        <v>89.214252251088965</v>
      </c>
      <c r="AX223" s="18">
        <v>3</v>
      </c>
      <c r="AY223" s="71"/>
      <c r="AZ223" s="71"/>
      <c r="BA223" s="71">
        <f t="shared" si="86"/>
        <v>111.80497096144313</v>
      </c>
      <c r="BB223" s="85">
        <v>1</v>
      </c>
      <c r="BC223" s="85">
        <v>0</v>
      </c>
      <c r="BD223" s="85">
        <v>1</v>
      </c>
      <c r="BE223" s="85">
        <v>0</v>
      </c>
      <c r="BF223" s="85">
        <v>0</v>
      </c>
      <c r="BG223" s="85">
        <v>0</v>
      </c>
      <c r="BH223" s="19">
        <v>0</v>
      </c>
      <c r="BI223" s="71"/>
      <c r="BJ223" s="71"/>
      <c r="BK223" s="71">
        <f t="shared" si="87"/>
        <v>92.176238572378367</v>
      </c>
      <c r="BL223" s="18">
        <v>1</v>
      </c>
      <c r="BM223" s="71"/>
      <c r="BN223" s="71"/>
      <c r="BO223" s="71">
        <f t="shared" si="88"/>
        <v>92.606326748686826</v>
      </c>
      <c r="BP223" s="18">
        <v>1</v>
      </c>
      <c r="BQ223" s="71"/>
      <c r="BR223" s="71"/>
      <c r="BS223" s="138">
        <f t="shared" si="89"/>
        <v>100.16171091563201</v>
      </c>
      <c r="BT223" s="18">
        <v>0</v>
      </c>
      <c r="BU223" s="71"/>
      <c r="BV223" s="71"/>
      <c r="BW223" s="71">
        <f t="shared" si="90"/>
        <v>83.482865449928767</v>
      </c>
      <c r="BX223" s="85">
        <v>2</v>
      </c>
      <c r="BY223" s="18">
        <v>0</v>
      </c>
      <c r="BZ223" s="71"/>
      <c r="CA223" s="71"/>
      <c r="CB223" s="71">
        <f t="shared" si="91"/>
        <v>81.489316531761531</v>
      </c>
      <c r="CC223" s="18">
        <v>2</v>
      </c>
      <c r="CD223" s="71"/>
      <c r="CE223" s="71"/>
      <c r="CF223" s="71">
        <f t="shared" si="92"/>
        <v>100.18886179687853</v>
      </c>
      <c r="CG223" s="18">
        <v>1</v>
      </c>
      <c r="CH223" s="71"/>
      <c r="CI223" s="71"/>
      <c r="CJ223" s="138">
        <f t="shared" si="93"/>
        <v>103.93736139675698</v>
      </c>
      <c r="CK223" s="18">
        <v>0</v>
      </c>
      <c r="CL223" s="71"/>
      <c r="CM223" s="71"/>
      <c r="CN223" s="71">
        <f t="shared" si="94"/>
        <v>81.025191700811078</v>
      </c>
      <c r="CO223" s="94">
        <v>0</v>
      </c>
      <c r="CP223" s="94">
        <v>1</v>
      </c>
      <c r="CQ223" s="94">
        <v>0</v>
      </c>
      <c r="CR223" s="94">
        <v>0</v>
      </c>
      <c r="CS223" s="102">
        <f t="shared" si="95"/>
        <v>95.043582933348404</v>
      </c>
      <c r="CT223" s="102">
        <f t="shared" si="96"/>
        <v>10.431652370362807</v>
      </c>
      <c r="CU223" s="102">
        <f t="shared" si="97"/>
        <v>0.10975651431068476</v>
      </c>
      <c r="CV223" s="108">
        <f t="shared" si="98"/>
        <v>93.898641130676594</v>
      </c>
      <c r="CZ223" s="109" t="str">
        <f t="shared" si="99"/>
        <v>Basso</v>
      </c>
    </row>
    <row r="224" spans="1:104" x14ac:dyDescent="0.15">
      <c r="A224" s="84">
        <v>3</v>
      </c>
      <c r="B224" s="84">
        <v>2</v>
      </c>
      <c r="C224" s="84">
        <v>3</v>
      </c>
      <c r="D224" s="84">
        <v>1</v>
      </c>
      <c r="E224" s="84">
        <v>1</v>
      </c>
      <c r="F224" s="17">
        <v>1</v>
      </c>
      <c r="I224" s="64">
        <f t="shared" si="75"/>
        <v>93.428492305734082</v>
      </c>
      <c r="J224" s="17">
        <v>1</v>
      </c>
      <c r="M224" s="64">
        <f t="shared" si="76"/>
        <v>95.705097084683388</v>
      </c>
      <c r="N224" s="17">
        <v>1</v>
      </c>
      <c r="Q224" s="64">
        <f t="shared" si="77"/>
        <v>98.246708656674187</v>
      </c>
      <c r="R224" s="17">
        <v>2</v>
      </c>
      <c r="U224" s="64">
        <f t="shared" si="78"/>
        <v>101.34799174124942</v>
      </c>
      <c r="V224" s="17">
        <v>3</v>
      </c>
      <c r="Y224" s="114">
        <f t="shared" si="79"/>
        <v>104.32462809516186</v>
      </c>
      <c r="Z224" s="17">
        <v>0</v>
      </c>
      <c r="AC224" s="64">
        <f t="shared" si="80"/>
        <v>85.509512691809249</v>
      </c>
      <c r="AD224" s="25">
        <v>2</v>
      </c>
      <c r="AE224" s="71"/>
      <c r="AF224" s="71"/>
      <c r="AG224" s="71">
        <f t="shared" si="81"/>
        <v>101.01229126330007</v>
      </c>
      <c r="AH224" s="17">
        <v>2</v>
      </c>
      <c r="AK224" s="64">
        <f t="shared" si="82"/>
        <v>99.518280131348902</v>
      </c>
      <c r="AL224" s="17">
        <v>3</v>
      </c>
      <c r="AM224" s="71"/>
      <c r="AN224" s="71"/>
      <c r="AO224" s="71">
        <f t="shared" si="83"/>
        <v>100.85056924463234</v>
      </c>
      <c r="AP224" s="17">
        <v>2</v>
      </c>
      <c r="AQ224" s="71"/>
      <c r="AR224" s="71"/>
      <c r="AS224" s="71">
        <f t="shared" si="84"/>
        <v>99.909880620416757</v>
      </c>
      <c r="AT224" s="17">
        <v>0</v>
      </c>
      <c r="AU224" s="71"/>
      <c r="AV224" s="71"/>
      <c r="AW224" s="71">
        <f t="shared" si="85"/>
        <v>89.214252251088965</v>
      </c>
      <c r="AX224" s="17">
        <v>1</v>
      </c>
      <c r="AY224" s="71"/>
      <c r="AZ224" s="71"/>
      <c r="BA224" s="71">
        <f t="shared" si="86"/>
        <v>90.050552929515405</v>
      </c>
      <c r="BB224" s="84">
        <v>1</v>
      </c>
      <c r="BC224" s="84">
        <v>0</v>
      </c>
      <c r="BD224" s="84">
        <v>0</v>
      </c>
      <c r="BE224" s="84">
        <v>1</v>
      </c>
      <c r="BF224" s="84">
        <v>0</v>
      </c>
      <c r="BG224" s="84">
        <v>0</v>
      </c>
      <c r="BH224" s="20">
        <v>0</v>
      </c>
      <c r="BI224" s="71"/>
      <c r="BJ224" s="71"/>
      <c r="BK224" s="71">
        <f t="shared" si="87"/>
        <v>92.176238572378367</v>
      </c>
      <c r="BL224" s="17">
        <v>3</v>
      </c>
      <c r="BM224" s="71"/>
      <c r="BN224" s="71"/>
      <c r="BO224" s="71">
        <f t="shared" si="88"/>
        <v>111.29665318323313</v>
      </c>
      <c r="BP224" s="17">
        <v>0</v>
      </c>
      <c r="BQ224" s="71"/>
      <c r="BR224" s="71"/>
      <c r="BS224" s="138">
        <f t="shared" si="89"/>
        <v>86.456710815818582</v>
      </c>
      <c r="BT224" s="17">
        <v>1</v>
      </c>
      <c r="BU224" s="71"/>
      <c r="BV224" s="71"/>
      <c r="BW224" s="71">
        <f t="shared" si="90"/>
        <v>93.001214173698628</v>
      </c>
      <c r="BX224" s="84">
        <v>2</v>
      </c>
      <c r="BY224" s="17">
        <v>2</v>
      </c>
      <c r="BZ224" s="71"/>
      <c r="CA224" s="71"/>
      <c r="CB224" s="71">
        <f t="shared" si="91"/>
        <v>100.53207713448795</v>
      </c>
      <c r="CC224" s="17">
        <v>3</v>
      </c>
      <c r="CD224" s="71"/>
      <c r="CE224" s="71"/>
      <c r="CF224" s="71">
        <f t="shared" si="92"/>
        <v>109.36214907383548</v>
      </c>
      <c r="CG224" s="17">
        <v>0</v>
      </c>
      <c r="CH224" s="71"/>
      <c r="CI224" s="71"/>
      <c r="CJ224" s="138">
        <f t="shared" si="93"/>
        <v>89.226340793489143</v>
      </c>
      <c r="CK224" s="17">
        <v>3</v>
      </c>
      <c r="CL224" s="71"/>
      <c r="CM224" s="71"/>
      <c r="CN224" s="71">
        <f t="shared" si="94"/>
        <v>109.82624001207998</v>
      </c>
      <c r="CO224" s="93">
        <v>1</v>
      </c>
      <c r="CP224" s="93">
        <v>0</v>
      </c>
      <c r="CQ224" s="93">
        <v>1</v>
      </c>
      <c r="CR224" s="93">
        <v>0</v>
      </c>
      <c r="CS224" s="102">
        <f t="shared" si="95"/>
        <v>98.293423592362728</v>
      </c>
      <c r="CT224" s="102">
        <f t="shared" si="96"/>
        <v>7.3594928893331408</v>
      </c>
      <c r="CU224" s="102">
        <f t="shared" si="97"/>
        <v>7.4872688531574999E-2</v>
      </c>
      <c r="CV224" s="108">
        <f t="shared" si="98"/>
        <v>97.742398573509348</v>
      </c>
      <c r="CZ224" s="109" t="str">
        <f t="shared" si="99"/>
        <v>Medio-Basso</v>
      </c>
    </row>
    <row r="225" spans="1:104" x14ac:dyDescent="0.15">
      <c r="A225" s="85">
        <v>2</v>
      </c>
      <c r="B225" s="85">
        <v>1</v>
      </c>
      <c r="C225" s="85">
        <v>3</v>
      </c>
      <c r="D225" s="85">
        <v>0</v>
      </c>
      <c r="E225" s="85">
        <v>1</v>
      </c>
      <c r="F225" s="18">
        <v>2</v>
      </c>
      <c r="I225" s="64">
        <f t="shared" si="75"/>
        <v>109.85726154139888</v>
      </c>
      <c r="J225" s="18">
        <v>2</v>
      </c>
      <c r="M225" s="64">
        <f t="shared" si="76"/>
        <v>110.02144013573877</v>
      </c>
      <c r="N225" s="18">
        <v>1</v>
      </c>
      <c r="Q225" s="64">
        <f t="shared" si="77"/>
        <v>98.246708656674187</v>
      </c>
      <c r="R225" s="17">
        <v>3</v>
      </c>
      <c r="U225" s="64">
        <f t="shared" si="78"/>
        <v>111.09942135879838</v>
      </c>
      <c r="V225" s="18">
        <v>1</v>
      </c>
      <c r="Y225" s="114">
        <f t="shared" si="79"/>
        <v>91.426614478012453</v>
      </c>
      <c r="Z225" s="18">
        <v>2</v>
      </c>
      <c r="AC225" s="64">
        <f t="shared" si="80"/>
        <v>101.50550517487696</v>
      </c>
      <c r="AD225" s="24">
        <v>3</v>
      </c>
      <c r="AE225" s="71"/>
      <c r="AF225" s="71"/>
      <c r="AG225" s="71">
        <f t="shared" si="81"/>
        <v>109.20703006144345</v>
      </c>
      <c r="AH225" s="18">
        <v>2</v>
      </c>
      <c r="AK225" s="64">
        <f t="shared" si="82"/>
        <v>99.518280131348902</v>
      </c>
      <c r="AL225" s="18">
        <v>3</v>
      </c>
      <c r="AM225" s="71"/>
      <c r="AN225" s="71"/>
      <c r="AO225" s="71">
        <f t="shared" si="83"/>
        <v>100.85056924463234</v>
      </c>
      <c r="AP225" s="18">
        <v>3</v>
      </c>
      <c r="AQ225" s="71"/>
      <c r="AR225" s="71"/>
      <c r="AS225" s="71">
        <f t="shared" si="84"/>
        <v>110.12341030651692</v>
      </c>
      <c r="AT225" s="18">
        <v>2</v>
      </c>
      <c r="AU225" s="71"/>
      <c r="AV225" s="71"/>
      <c r="AW225" s="71">
        <f t="shared" si="85"/>
        <v>110.91338973410525</v>
      </c>
      <c r="AX225" s="18">
        <v>2</v>
      </c>
      <c r="AY225" s="71"/>
      <c r="AZ225" s="71"/>
      <c r="BA225" s="71">
        <f t="shared" si="86"/>
        <v>100.92776194547928</v>
      </c>
      <c r="BB225" s="85">
        <v>1</v>
      </c>
      <c r="BC225" s="85">
        <v>0</v>
      </c>
      <c r="BD225" s="85">
        <v>1</v>
      </c>
      <c r="BE225" s="85">
        <v>0</v>
      </c>
      <c r="BF225" s="85">
        <v>0</v>
      </c>
      <c r="BG225" s="85">
        <v>0</v>
      </c>
      <c r="BH225" s="19">
        <v>2</v>
      </c>
      <c r="BI225" s="71"/>
      <c r="BJ225" s="71"/>
      <c r="BK225" s="71">
        <f t="shared" si="87"/>
        <v>114.81520780975161</v>
      </c>
      <c r="BL225" s="18">
        <v>2</v>
      </c>
      <c r="BM225" s="71"/>
      <c r="BN225" s="71"/>
      <c r="BO225" s="71">
        <f t="shared" si="88"/>
        <v>101.95148996595998</v>
      </c>
      <c r="BP225" s="18">
        <v>1</v>
      </c>
      <c r="BQ225" s="71"/>
      <c r="BR225" s="71"/>
      <c r="BS225" s="138">
        <f t="shared" si="89"/>
        <v>100.16171091563201</v>
      </c>
      <c r="BT225" s="18">
        <v>3</v>
      </c>
      <c r="BU225" s="71"/>
      <c r="BV225" s="71"/>
      <c r="BW225" s="71">
        <f t="shared" si="90"/>
        <v>112.03791162123835</v>
      </c>
      <c r="BX225" s="85">
        <v>1</v>
      </c>
      <c r="BY225" s="19">
        <v>0</v>
      </c>
      <c r="BZ225" s="71"/>
      <c r="CA225" s="71"/>
      <c r="CB225" s="71">
        <f t="shared" si="91"/>
        <v>81.489316531761531</v>
      </c>
      <c r="CC225" s="18">
        <v>2</v>
      </c>
      <c r="CD225" s="71"/>
      <c r="CE225" s="71"/>
      <c r="CF225" s="71">
        <f t="shared" si="92"/>
        <v>100.18886179687853</v>
      </c>
      <c r="CG225" s="18">
        <v>2</v>
      </c>
      <c r="CH225" s="71"/>
      <c r="CI225" s="71"/>
      <c r="CJ225" s="138">
        <f t="shared" si="93"/>
        <v>118.64838200002481</v>
      </c>
      <c r="CK225" s="18">
        <v>3</v>
      </c>
      <c r="CL225" s="71"/>
      <c r="CM225" s="71"/>
      <c r="CN225" s="71">
        <f t="shared" si="94"/>
        <v>109.82624001207998</v>
      </c>
      <c r="CO225" s="94">
        <v>1</v>
      </c>
      <c r="CP225" s="94">
        <v>0</v>
      </c>
      <c r="CQ225" s="94">
        <v>1</v>
      </c>
      <c r="CR225" s="94">
        <v>0</v>
      </c>
      <c r="CS225" s="102">
        <f t="shared" si="95"/>
        <v>104.85763564874607</v>
      </c>
      <c r="CT225" s="102">
        <f t="shared" si="96"/>
        <v>8.0646111307655062</v>
      </c>
      <c r="CU225" s="102">
        <f t="shared" si="97"/>
        <v>7.6910098924798193E-2</v>
      </c>
      <c r="CV225" s="108">
        <f t="shared" si="98"/>
        <v>104.23738560888887</v>
      </c>
      <c r="CZ225" s="109" t="str">
        <f t="shared" si="99"/>
        <v>Alto</v>
      </c>
    </row>
    <row r="226" spans="1:104" x14ac:dyDescent="0.15">
      <c r="A226" s="84">
        <v>2</v>
      </c>
      <c r="B226" s="84">
        <v>2</v>
      </c>
      <c r="C226" s="84">
        <v>4</v>
      </c>
      <c r="D226" s="84">
        <v>2</v>
      </c>
      <c r="E226" s="84">
        <v>1</v>
      </c>
      <c r="F226" s="17">
        <v>2</v>
      </c>
      <c r="I226" s="64">
        <f t="shared" si="75"/>
        <v>109.85726154139888</v>
      </c>
      <c r="J226" s="17">
        <v>1</v>
      </c>
      <c r="M226" s="64">
        <f t="shared" si="76"/>
        <v>95.705097084683388</v>
      </c>
      <c r="N226" s="17">
        <v>0</v>
      </c>
      <c r="Q226" s="64">
        <f t="shared" si="77"/>
        <v>82.559365058495843</v>
      </c>
      <c r="R226" s="18">
        <v>3</v>
      </c>
      <c r="U226" s="64">
        <f t="shared" si="78"/>
        <v>111.09942135879838</v>
      </c>
      <c r="V226" s="17">
        <v>4</v>
      </c>
      <c r="Y226" s="114">
        <f t="shared" si="79"/>
        <v>110.77363490373656</v>
      </c>
      <c r="Z226" s="17">
        <v>0</v>
      </c>
      <c r="AC226" s="64">
        <f t="shared" si="80"/>
        <v>85.509512691809249</v>
      </c>
      <c r="AD226" s="25">
        <v>3</v>
      </c>
      <c r="AE226" s="71"/>
      <c r="AF226" s="71"/>
      <c r="AG226" s="71">
        <f t="shared" si="81"/>
        <v>109.20703006144345</v>
      </c>
      <c r="AH226" s="17">
        <v>2</v>
      </c>
      <c r="AK226" s="64">
        <f t="shared" si="82"/>
        <v>99.518280131348902</v>
      </c>
      <c r="AL226" s="17">
        <v>0</v>
      </c>
      <c r="AM226" s="71"/>
      <c r="AN226" s="71"/>
      <c r="AO226" s="71">
        <f t="shared" si="83"/>
        <v>67.482083493671226</v>
      </c>
      <c r="AP226" s="17">
        <v>3</v>
      </c>
      <c r="AQ226" s="71"/>
      <c r="AR226" s="71"/>
      <c r="AS226" s="71">
        <f t="shared" si="84"/>
        <v>110.12341030651692</v>
      </c>
      <c r="AT226" s="17">
        <v>0</v>
      </c>
      <c r="AU226" s="71"/>
      <c r="AV226" s="71"/>
      <c r="AW226" s="71">
        <f t="shared" si="85"/>
        <v>89.214252251088965</v>
      </c>
      <c r="AX226" s="17">
        <v>0</v>
      </c>
      <c r="AY226" s="71"/>
      <c r="AZ226" s="71"/>
      <c r="BA226" s="71">
        <f t="shared" si="86"/>
        <v>79.173343913551548</v>
      </c>
      <c r="BB226" s="84">
        <v>1</v>
      </c>
      <c r="BC226" s="84">
        <v>0</v>
      </c>
      <c r="BD226" s="84">
        <v>1</v>
      </c>
      <c r="BE226" s="84">
        <v>1</v>
      </c>
      <c r="BF226" s="84">
        <v>0</v>
      </c>
      <c r="BG226" s="84">
        <v>0</v>
      </c>
      <c r="BH226" s="20">
        <v>0</v>
      </c>
      <c r="BI226" s="71"/>
      <c r="BJ226" s="71"/>
      <c r="BK226" s="71">
        <f t="shared" si="87"/>
        <v>92.176238572378367</v>
      </c>
      <c r="BL226" s="17">
        <v>2</v>
      </c>
      <c r="BM226" s="71"/>
      <c r="BN226" s="71"/>
      <c r="BO226" s="71">
        <f t="shared" si="88"/>
        <v>101.95148996595998</v>
      </c>
      <c r="BP226" s="17">
        <v>3</v>
      </c>
      <c r="BQ226" s="71"/>
      <c r="BR226" s="71"/>
      <c r="BS226" s="138">
        <f t="shared" si="89"/>
        <v>127.57171111525888</v>
      </c>
      <c r="BT226" s="17">
        <v>2</v>
      </c>
      <c r="BU226" s="71"/>
      <c r="BV226" s="71"/>
      <c r="BW226" s="71">
        <f t="shared" si="90"/>
        <v>102.51956289746849</v>
      </c>
      <c r="BX226" s="84">
        <v>2</v>
      </c>
      <c r="BY226" s="17">
        <v>3</v>
      </c>
      <c r="BZ226" s="71"/>
      <c r="CA226" s="71"/>
      <c r="CB226" s="71">
        <f t="shared" si="91"/>
        <v>110.05345743585116</v>
      </c>
      <c r="CC226" s="17">
        <v>3</v>
      </c>
      <c r="CD226" s="71"/>
      <c r="CE226" s="71"/>
      <c r="CF226" s="71">
        <f t="shared" si="92"/>
        <v>109.36214907383548</v>
      </c>
      <c r="CG226" s="17">
        <v>1</v>
      </c>
      <c r="CH226" s="71"/>
      <c r="CI226" s="71"/>
      <c r="CJ226" s="138">
        <f t="shared" si="93"/>
        <v>103.93736139675698</v>
      </c>
      <c r="CK226" s="17">
        <v>2</v>
      </c>
      <c r="CL226" s="71"/>
      <c r="CM226" s="71"/>
      <c r="CN226" s="71">
        <f t="shared" si="94"/>
        <v>100.22589057499034</v>
      </c>
      <c r="CO226" s="93">
        <v>1</v>
      </c>
      <c r="CP226" s="93">
        <v>1</v>
      </c>
      <c r="CQ226" s="93">
        <v>1</v>
      </c>
      <c r="CR226" s="93">
        <v>0</v>
      </c>
      <c r="CS226" s="102">
        <f t="shared" si="95"/>
        <v>97.396343906664157</v>
      </c>
      <c r="CT226" s="102">
        <f t="shared" si="96"/>
        <v>12.973140186388893</v>
      </c>
      <c r="CU226" s="102">
        <f t="shared" si="97"/>
        <v>0.13319945765953162</v>
      </c>
      <c r="CV226" s="108">
        <f t="shared" si="98"/>
        <v>95.668328669696081</v>
      </c>
      <c r="CZ226" s="109" t="str">
        <f t="shared" si="99"/>
        <v>Basso</v>
      </c>
    </row>
    <row r="227" spans="1:104" x14ac:dyDescent="0.15">
      <c r="A227" s="85">
        <v>3</v>
      </c>
      <c r="B227" s="85">
        <v>1</v>
      </c>
      <c r="C227" s="85">
        <v>1</v>
      </c>
      <c r="D227" s="85">
        <v>0</v>
      </c>
      <c r="E227" s="85">
        <v>1</v>
      </c>
      <c r="F227" s="18">
        <v>1</v>
      </c>
      <c r="I227" s="64">
        <f t="shared" si="75"/>
        <v>93.428492305734082</v>
      </c>
      <c r="J227" s="18">
        <v>2</v>
      </c>
      <c r="M227" s="64">
        <f t="shared" si="76"/>
        <v>110.02144013573877</v>
      </c>
      <c r="N227" s="18">
        <v>1</v>
      </c>
      <c r="Q227" s="64">
        <f t="shared" si="77"/>
        <v>98.246708656674187</v>
      </c>
      <c r="R227" s="18">
        <v>1</v>
      </c>
      <c r="U227" s="64">
        <f t="shared" si="78"/>
        <v>91.596562123700451</v>
      </c>
      <c r="V227" s="18">
        <v>0</v>
      </c>
      <c r="Y227" s="114">
        <f t="shared" si="79"/>
        <v>84.977607669437745</v>
      </c>
      <c r="Z227" s="18">
        <v>2</v>
      </c>
      <c r="AC227" s="64">
        <f t="shared" si="80"/>
        <v>101.50550517487696</v>
      </c>
      <c r="AD227" s="24">
        <v>0</v>
      </c>
      <c r="AE227" s="71"/>
      <c r="AF227" s="71"/>
      <c r="AG227" s="71">
        <f t="shared" si="81"/>
        <v>84.62281366701329</v>
      </c>
      <c r="AH227" s="18">
        <v>1</v>
      </c>
      <c r="AK227" s="64">
        <f t="shared" si="82"/>
        <v>88.599296441923855</v>
      </c>
      <c r="AL227" s="18">
        <v>3</v>
      </c>
      <c r="AM227" s="71"/>
      <c r="AN227" s="71"/>
      <c r="AO227" s="71">
        <f t="shared" si="83"/>
        <v>100.85056924463234</v>
      </c>
      <c r="AP227" s="18">
        <v>2</v>
      </c>
      <c r="AQ227" s="71"/>
      <c r="AR227" s="71"/>
      <c r="AS227" s="71">
        <f t="shared" si="84"/>
        <v>99.909880620416757</v>
      </c>
      <c r="AT227" s="18">
        <v>1</v>
      </c>
      <c r="AU227" s="71"/>
      <c r="AV227" s="71"/>
      <c r="AW227" s="71">
        <f t="shared" si="85"/>
        <v>100.0638209925971</v>
      </c>
      <c r="AX227" s="18">
        <v>2</v>
      </c>
      <c r="AY227" s="71"/>
      <c r="AZ227" s="71"/>
      <c r="BA227" s="71">
        <f t="shared" si="86"/>
        <v>100.92776194547928</v>
      </c>
      <c r="BB227" s="85">
        <v>1</v>
      </c>
      <c r="BC227" s="85">
        <v>0</v>
      </c>
      <c r="BD227" s="85">
        <v>1</v>
      </c>
      <c r="BE227" s="85">
        <v>0</v>
      </c>
      <c r="BF227" s="85">
        <v>0</v>
      </c>
      <c r="BG227" s="85">
        <v>0</v>
      </c>
      <c r="BH227" s="19">
        <v>1</v>
      </c>
      <c r="BI227" s="71"/>
      <c r="BJ227" s="71"/>
      <c r="BK227" s="71">
        <f t="shared" si="87"/>
        <v>103.49572319106498</v>
      </c>
      <c r="BL227" s="18">
        <v>1</v>
      </c>
      <c r="BM227" s="71"/>
      <c r="BN227" s="71"/>
      <c r="BO227" s="71">
        <f t="shared" si="88"/>
        <v>92.606326748686826</v>
      </c>
      <c r="BP227" s="18">
        <v>1</v>
      </c>
      <c r="BQ227" s="71"/>
      <c r="BR227" s="71"/>
      <c r="BS227" s="138">
        <f t="shared" si="89"/>
        <v>100.16171091563201</v>
      </c>
      <c r="BT227" s="18">
        <v>1</v>
      </c>
      <c r="BU227" s="71"/>
      <c r="BV227" s="71"/>
      <c r="BW227" s="71">
        <f t="shared" si="90"/>
        <v>93.001214173698628</v>
      </c>
      <c r="BX227" s="85">
        <v>2</v>
      </c>
      <c r="BY227" s="18">
        <v>1</v>
      </c>
      <c r="BZ227" s="71"/>
      <c r="CA227" s="71"/>
      <c r="CB227" s="71">
        <f t="shared" si="91"/>
        <v>91.01069683312474</v>
      </c>
      <c r="CC227" s="18">
        <v>2</v>
      </c>
      <c r="CD227" s="71"/>
      <c r="CE227" s="71"/>
      <c r="CF227" s="71">
        <f t="shared" si="92"/>
        <v>100.18886179687853</v>
      </c>
      <c r="CG227" s="18">
        <v>0</v>
      </c>
      <c r="CH227" s="71"/>
      <c r="CI227" s="71"/>
      <c r="CJ227" s="138">
        <f t="shared" si="93"/>
        <v>89.226340793489143</v>
      </c>
      <c r="CK227" s="18">
        <v>0</v>
      </c>
      <c r="CL227" s="71"/>
      <c r="CM227" s="71"/>
      <c r="CN227" s="71">
        <f t="shared" si="94"/>
        <v>81.025191700811078</v>
      </c>
      <c r="CO227" s="94">
        <v>1</v>
      </c>
      <c r="CP227" s="94">
        <v>0</v>
      </c>
      <c r="CQ227" s="94">
        <v>0</v>
      </c>
      <c r="CR227" s="94">
        <v>0</v>
      </c>
      <c r="CS227" s="102">
        <f t="shared" si="95"/>
        <v>95.947109750179507</v>
      </c>
      <c r="CT227" s="102">
        <f t="shared" si="96"/>
        <v>7.3532224012142073</v>
      </c>
      <c r="CU227" s="102">
        <f t="shared" si="97"/>
        <v>7.6638289786529507E-2</v>
      </c>
      <c r="CV227" s="108">
        <f t="shared" si="98"/>
        <v>95.383571360930446</v>
      </c>
      <c r="CZ227" s="109" t="str">
        <f t="shared" si="99"/>
        <v>Basso</v>
      </c>
    </row>
    <row r="228" spans="1:104" x14ac:dyDescent="0.15">
      <c r="A228" s="84">
        <v>2</v>
      </c>
      <c r="B228" s="84">
        <v>1</v>
      </c>
      <c r="C228" s="84">
        <v>3</v>
      </c>
      <c r="D228" s="84">
        <v>1</v>
      </c>
      <c r="E228" s="84">
        <v>1</v>
      </c>
      <c r="F228" s="17">
        <v>2</v>
      </c>
      <c r="I228" s="64">
        <f t="shared" si="75"/>
        <v>109.85726154139888</v>
      </c>
      <c r="J228" s="17">
        <v>2</v>
      </c>
      <c r="M228" s="64">
        <f t="shared" si="76"/>
        <v>110.02144013573877</v>
      </c>
      <c r="N228" s="17">
        <v>2</v>
      </c>
      <c r="Q228" s="64">
        <f t="shared" si="77"/>
        <v>113.93405225485253</v>
      </c>
      <c r="R228" s="17">
        <v>3</v>
      </c>
      <c r="U228" s="64">
        <f t="shared" si="78"/>
        <v>111.09942135879838</v>
      </c>
      <c r="V228" s="17">
        <v>2</v>
      </c>
      <c r="Y228" s="114">
        <f t="shared" si="79"/>
        <v>97.875621286587162</v>
      </c>
      <c r="Z228" s="17">
        <v>2</v>
      </c>
      <c r="AC228" s="64">
        <f t="shared" si="80"/>
        <v>101.50550517487696</v>
      </c>
      <c r="AD228" s="25">
        <v>3</v>
      </c>
      <c r="AE228" s="71"/>
      <c r="AF228" s="71"/>
      <c r="AG228" s="71">
        <f t="shared" si="81"/>
        <v>109.20703006144345</v>
      </c>
      <c r="AH228" s="17">
        <v>3</v>
      </c>
      <c r="AK228" s="64">
        <f t="shared" si="82"/>
        <v>110.43726382077395</v>
      </c>
      <c r="AL228" s="17">
        <v>3</v>
      </c>
      <c r="AM228" s="71"/>
      <c r="AN228" s="71"/>
      <c r="AO228" s="71">
        <f t="shared" si="83"/>
        <v>100.85056924463234</v>
      </c>
      <c r="AP228" s="17">
        <v>3</v>
      </c>
      <c r="AQ228" s="71"/>
      <c r="AR228" s="71"/>
      <c r="AS228" s="71">
        <f t="shared" si="84"/>
        <v>110.12341030651692</v>
      </c>
      <c r="AT228" s="17">
        <v>2</v>
      </c>
      <c r="AU228" s="71"/>
      <c r="AV228" s="71"/>
      <c r="AW228" s="71">
        <f t="shared" si="85"/>
        <v>110.91338973410525</v>
      </c>
      <c r="AX228" s="17">
        <v>3</v>
      </c>
      <c r="AY228" s="71"/>
      <c r="AZ228" s="71"/>
      <c r="BA228" s="71">
        <f t="shared" si="86"/>
        <v>111.80497096144313</v>
      </c>
      <c r="BB228" s="84">
        <v>1</v>
      </c>
      <c r="BC228" s="84">
        <v>1</v>
      </c>
      <c r="BD228" s="84">
        <v>0</v>
      </c>
      <c r="BE228" s="84">
        <v>0</v>
      </c>
      <c r="BF228" s="84">
        <v>0</v>
      </c>
      <c r="BG228" s="84">
        <v>0</v>
      </c>
      <c r="BH228" s="20">
        <v>2</v>
      </c>
      <c r="BI228" s="71"/>
      <c r="BJ228" s="71"/>
      <c r="BK228" s="71">
        <f t="shared" si="87"/>
        <v>114.81520780975161</v>
      </c>
      <c r="BL228" s="17">
        <v>1</v>
      </c>
      <c r="BM228" s="71"/>
      <c r="BN228" s="71"/>
      <c r="BO228" s="71">
        <f t="shared" si="88"/>
        <v>92.606326748686826</v>
      </c>
      <c r="BP228" s="17">
        <v>1</v>
      </c>
      <c r="BQ228" s="71"/>
      <c r="BR228" s="71"/>
      <c r="BS228" s="138">
        <f t="shared" si="89"/>
        <v>100.16171091563201</v>
      </c>
      <c r="BT228" s="17">
        <v>3</v>
      </c>
      <c r="BU228" s="71"/>
      <c r="BV228" s="71"/>
      <c r="BW228" s="71">
        <f t="shared" si="90"/>
        <v>112.03791162123835</v>
      </c>
      <c r="BX228" s="84">
        <v>2</v>
      </c>
      <c r="BY228" s="17">
        <v>2</v>
      </c>
      <c r="BZ228" s="71"/>
      <c r="CA228" s="71"/>
      <c r="CB228" s="71">
        <f t="shared" si="91"/>
        <v>100.53207713448795</v>
      </c>
      <c r="CC228" s="20">
        <v>3</v>
      </c>
      <c r="CD228" s="71"/>
      <c r="CE228" s="71"/>
      <c r="CF228" s="71">
        <f t="shared" si="92"/>
        <v>109.36214907383548</v>
      </c>
      <c r="CG228" s="17">
        <v>2</v>
      </c>
      <c r="CH228" s="71"/>
      <c r="CI228" s="71"/>
      <c r="CJ228" s="138">
        <f t="shared" si="93"/>
        <v>118.64838200002481</v>
      </c>
      <c r="CK228" s="17">
        <v>3</v>
      </c>
      <c r="CL228" s="71"/>
      <c r="CM228" s="71"/>
      <c r="CN228" s="71">
        <f t="shared" si="94"/>
        <v>109.82624001207998</v>
      </c>
      <c r="CO228" s="93">
        <v>1</v>
      </c>
      <c r="CP228" s="93">
        <v>1</v>
      </c>
      <c r="CQ228" s="93">
        <v>1</v>
      </c>
      <c r="CR228" s="93">
        <v>0</v>
      </c>
      <c r="CS228" s="102">
        <f t="shared" si="95"/>
        <v>108.17260158792124</v>
      </c>
      <c r="CT228" s="102">
        <f t="shared" si="96"/>
        <v>5.8131882958914733</v>
      </c>
      <c r="CU228" s="102">
        <f t="shared" si="97"/>
        <v>5.3739932390981578E-2</v>
      </c>
      <c r="CV228" s="108">
        <f t="shared" si="98"/>
        <v>107.86020124192399</v>
      </c>
      <c r="CZ228" s="109" t="str">
        <f t="shared" si="99"/>
        <v>Alto</v>
      </c>
    </row>
    <row r="229" spans="1:104" x14ac:dyDescent="0.15">
      <c r="A229" s="85">
        <v>1</v>
      </c>
      <c r="B229" s="85">
        <v>2</v>
      </c>
      <c r="C229" s="85">
        <v>2</v>
      </c>
      <c r="D229" s="85">
        <v>2</v>
      </c>
      <c r="E229" s="85">
        <v>1</v>
      </c>
      <c r="F229" s="18">
        <v>2</v>
      </c>
      <c r="I229" s="64">
        <f t="shared" si="75"/>
        <v>109.85726154139888</v>
      </c>
      <c r="J229" s="18">
        <v>1</v>
      </c>
      <c r="M229" s="64">
        <f t="shared" si="76"/>
        <v>95.705097084683388</v>
      </c>
      <c r="N229" s="18">
        <v>0</v>
      </c>
      <c r="Q229" s="64">
        <f t="shared" si="77"/>
        <v>82.559365058495843</v>
      </c>
      <c r="R229" s="18">
        <v>0</v>
      </c>
      <c r="U229" s="64">
        <f t="shared" si="78"/>
        <v>81.845132506151486</v>
      </c>
      <c r="V229" s="18">
        <v>2</v>
      </c>
      <c r="Y229" s="114">
        <f t="shared" si="79"/>
        <v>97.875621286587162</v>
      </c>
      <c r="Z229" s="18">
        <v>2</v>
      </c>
      <c r="AC229" s="64">
        <f t="shared" si="80"/>
        <v>101.50550517487696</v>
      </c>
      <c r="AD229" s="24">
        <v>3</v>
      </c>
      <c r="AE229" s="71"/>
      <c r="AF229" s="71"/>
      <c r="AG229" s="71">
        <f t="shared" si="81"/>
        <v>109.20703006144345</v>
      </c>
      <c r="AH229" s="18">
        <v>1</v>
      </c>
      <c r="AK229" s="64">
        <f t="shared" si="82"/>
        <v>88.599296441923855</v>
      </c>
      <c r="AL229" s="18">
        <v>3</v>
      </c>
      <c r="AM229" s="71"/>
      <c r="AN229" s="71"/>
      <c r="AO229" s="71">
        <f t="shared" si="83"/>
        <v>100.85056924463234</v>
      </c>
      <c r="AP229" s="18">
        <v>3</v>
      </c>
      <c r="AQ229" s="71"/>
      <c r="AR229" s="71"/>
      <c r="AS229" s="71">
        <f t="shared" si="84"/>
        <v>110.12341030651692</v>
      </c>
      <c r="AT229" s="18">
        <v>1</v>
      </c>
      <c r="AU229" s="71"/>
      <c r="AV229" s="71"/>
      <c r="AW229" s="71">
        <f t="shared" si="85"/>
        <v>100.0638209925971</v>
      </c>
      <c r="AX229" s="18">
        <v>2</v>
      </c>
      <c r="AY229" s="71"/>
      <c r="AZ229" s="71"/>
      <c r="BA229" s="71">
        <f t="shared" si="86"/>
        <v>100.92776194547928</v>
      </c>
      <c r="BB229" s="85">
        <v>1</v>
      </c>
      <c r="BC229" s="85">
        <v>0</v>
      </c>
      <c r="BD229" s="85">
        <v>1</v>
      </c>
      <c r="BE229" s="85">
        <v>0</v>
      </c>
      <c r="BF229" s="85">
        <v>0</v>
      </c>
      <c r="BG229" s="85">
        <v>0</v>
      </c>
      <c r="BH229" s="19">
        <v>1</v>
      </c>
      <c r="BI229" s="71"/>
      <c r="BJ229" s="71"/>
      <c r="BK229" s="71">
        <f t="shared" si="87"/>
        <v>103.49572319106498</v>
      </c>
      <c r="BL229" s="18">
        <v>1</v>
      </c>
      <c r="BM229" s="71"/>
      <c r="BN229" s="71"/>
      <c r="BO229" s="71">
        <f t="shared" si="88"/>
        <v>92.606326748686826</v>
      </c>
      <c r="BP229" s="18">
        <v>1</v>
      </c>
      <c r="BQ229" s="71"/>
      <c r="BR229" s="71"/>
      <c r="BS229" s="138">
        <f t="shared" si="89"/>
        <v>100.16171091563201</v>
      </c>
      <c r="BT229" s="18">
        <v>0</v>
      </c>
      <c r="BU229" s="71"/>
      <c r="BV229" s="71"/>
      <c r="BW229" s="71">
        <f t="shared" si="90"/>
        <v>83.482865449928767</v>
      </c>
      <c r="BX229" s="85">
        <v>2</v>
      </c>
      <c r="BY229" s="18">
        <v>2</v>
      </c>
      <c r="BZ229" s="71"/>
      <c r="CA229" s="71"/>
      <c r="CB229" s="71">
        <f t="shared" si="91"/>
        <v>100.53207713448795</v>
      </c>
      <c r="CC229" s="18">
        <v>2</v>
      </c>
      <c r="CD229" s="71"/>
      <c r="CE229" s="71"/>
      <c r="CF229" s="71">
        <f t="shared" si="92"/>
        <v>100.18886179687853</v>
      </c>
      <c r="CG229" s="18">
        <v>2</v>
      </c>
      <c r="CH229" s="71"/>
      <c r="CI229" s="71"/>
      <c r="CJ229" s="138">
        <f t="shared" si="93"/>
        <v>118.64838200002481</v>
      </c>
      <c r="CK229" s="18">
        <v>2</v>
      </c>
      <c r="CL229" s="71"/>
      <c r="CM229" s="71"/>
      <c r="CN229" s="71">
        <f t="shared" si="94"/>
        <v>100.22589057499034</v>
      </c>
      <c r="CO229" s="94">
        <v>1</v>
      </c>
      <c r="CP229" s="94">
        <v>0</v>
      </c>
      <c r="CQ229" s="94">
        <v>1</v>
      </c>
      <c r="CR229" s="94">
        <v>0</v>
      </c>
      <c r="CS229" s="102">
        <f t="shared" si="95"/>
        <v>97.751529132602172</v>
      </c>
      <c r="CT229" s="102">
        <f t="shared" si="96"/>
        <v>9.0987530927153948</v>
      </c>
      <c r="CU229" s="102">
        <f t="shared" si="97"/>
        <v>9.3080416986344325E-2</v>
      </c>
      <c r="CV229" s="108">
        <f t="shared" si="98"/>
        <v>96.904613400676439</v>
      </c>
      <c r="CZ229" s="109" t="str">
        <f t="shared" si="99"/>
        <v>Medio-Basso</v>
      </c>
    </row>
    <row r="230" spans="1:104" x14ac:dyDescent="0.15">
      <c r="A230" s="84">
        <v>1</v>
      </c>
      <c r="B230" s="84">
        <v>1</v>
      </c>
      <c r="C230" s="84">
        <v>2</v>
      </c>
      <c r="D230" s="84">
        <v>0</v>
      </c>
      <c r="E230" s="84">
        <v>1</v>
      </c>
      <c r="F230" s="17">
        <v>2</v>
      </c>
      <c r="I230" s="64">
        <f t="shared" si="75"/>
        <v>109.85726154139888</v>
      </c>
      <c r="J230" s="17">
        <v>0</v>
      </c>
      <c r="M230" s="64">
        <f t="shared" si="76"/>
        <v>81.388754033628004</v>
      </c>
      <c r="N230" s="17">
        <v>1</v>
      </c>
      <c r="Q230" s="64">
        <f t="shared" si="77"/>
        <v>98.246708656674187</v>
      </c>
      <c r="R230" s="17">
        <v>1</v>
      </c>
      <c r="U230" s="64">
        <f t="shared" si="78"/>
        <v>91.596562123700451</v>
      </c>
      <c r="V230" s="17">
        <v>0</v>
      </c>
      <c r="Y230" s="114">
        <f t="shared" si="79"/>
        <v>84.977607669437745</v>
      </c>
      <c r="Z230" s="17">
        <v>2</v>
      </c>
      <c r="AC230" s="64">
        <f t="shared" si="80"/>
        <v>101.50550517487696</v>
      </c>
      <c r="AD230" s="25">
        <v>2</v>
      </c>
      <c r="AE230" s="71"/>
      <c r="AF230" s="71"/>
      <c r="AG230" s="71">
        <f t="shared" si="81"/>
        <v>101.01229126330007</v>
      </c>
      <c r="AH230" s="17">
        <v>1</v>
      </c>
      <c r="AK230" s="64">
        <f t="shared" si="82"/>
        <v>88.599296441923855</v>
      </c>
      <c r="AL230" s="17">
        <v>3</v>
      </c>
      <c r="AM230" s="71"/>
      <c r="AN230" s="71"/>
      <c r="AO230" s="71">
        <f t="shared" si="83"/>
        <v>100.85056924463234</v>
      </c>
      <c r="AP230" s="17">
        <v>2</v>
      </c>
      <c r="AQ230" s="71"/>
      <c r="AR230" s="71"/>
      <c r="AS230" s="71">
        <f t="shared" si="84"/>
        <v>99.909880620416757</v>
      </c>
      <c r="AT230" s="17">
        <v>2</v>
      </c>
      <c r="AU230" s="71"/>
      <c r="AV230" s="71"/>
      <c r="AW230" s="71">
        <f t="shared" si="85"/>
        <v>110.91338973410525</v>
      </c>
      <c r="AX230" s="17">
        <v>2</v>
      </c>
      <c r="AY230" s="71"/>
      <c r="AZ230" s="71"/>
      <c r="BA230" s="71">
        <f t="shared" si="86"/>
        <v>100.92776194547928</v>
      </c>
      <c r="BB230" s="84">
        <v>1</v>
      </c>
      <c r="BC230" s="84">
        <v>0</v>
      </c>
      <c r="BD230" s="84">
        <v>1</v>
      </c>
      <c r="BE230" s="84">
        <v>0</v>
      </c>
      <c r="BF230" s="84">
        <v>0</v>
      </c>
      <c r="BG230" s="84">
        <v>0</v>
      </c>
      <c r="BH230" s="20">
        <v>0</v>
      </c>
      <c r="BI230" s="71"/>
      <c r="BJ230" s="71"/>
      <c r="BK230" s="71">
        <f t="shared" si="87"/>
        <v>92.176238572378367</v>
      </c>
      <c r="BL230" s="17">
        <v>2</v>
      </c>
      <c r="BM230" s="71"/>
      <c r="BN230" s="71"/>
      <c r="BO230" s="71">
        <f t="shared" si="88"/>
        <v>101.95148996595998</v>
      </c>
      <c r="BP230" s="17">
        <v>0</v>
      </c>
      <c r="BQ230" s="71"/>
      <c r="BR230" s="71"/>
      <c r="BS230" s="138">
        <f t="shared" si="89"/>
        <v>86.456710815818582</v>
      </c>
      <c r="BT230" s="17">
        <v>1</v>
      </c>
      <c r="BU230" s="71"/>
      <c r="BV230" s="71"/>
      <c r="BW230" s="71">
        <f t="shared" si="90"/>
        <v>93.001214173698628</v>
      </c>
      <c r="BX230" s="84">
        <v>2</v>
      </c>
      <c r="BY230" s="17">
        <v>2</v>
      </c>
      <c r="BZ230" s="71"/>
      <c r="CA230" s="71"/>
      <c r="CB230" s="71">
        <f t="shared" si="91"/>
        <v>100.53207713448795</v>
      </c>
      <c r="CC230" s="17">
        <v>0</v>
      </c>
      <c r="CD230" s="71"/>
      <c r="CE230" s="71"/>
      <c r="CF230" s="71">
        <f t="shared" si="92"/>
        <v>81.842287242964616</v>
      </c>
      <c r="CG230" s="17">
        <v>0</v>
      </c>
      <c r="CH230" s="71"/>
      <c r="CI230" s="71"/>
      <c r="CJ230" s="138">
        <f t="shared" si="93"/>
        <v>89.226340793489143</v>
      </c>
      <c r="CK230" s="17">
        <v>2</v>
      </c>
      <c r="CL230" s="71"/>
      <c r="CM230" s="71"/>
      <c r="CN230" s="71">
        <f t="shared" si="94"/>
        <v>100.22589057499034</v>
      </c>
      <c r="CO230" s="93">
        <v>1</v>
      </c>
      <c r="CP230" s="93">
        <v>0</v>
      </c>
      <c r="CQ230" s="93">
        <v>0</v>
      </c>
      <c r="CR230" s="93">
        <v>0</v>
      </c>
      <c r="CS230" s="102">
        <f t="shared" si="95"/>
        <v>97.32571637909507</v>
      </c>
      <c r="CT230" s="102">
        <f t="shared" si="96"/>
        <v>8.2676188896006622</v>
      </c>
      <c r="CU230" s="102">
        <f t="shared" si="97"/>
        <v>8.4947937679670585E-2</v>
      </c>
      <c r="CV230" s="108">
        <f t="shared" si="98"/>
        <v>96.623399204902</v>
      </c>
      <c r="CZ230" s="109" t="str">
        <f t="shared" si="99"/>
        <v>Medio-Basso</v>
      </c>
    </row>
    <row r="231" spans="1:104" x14ac:dyDescent="0.15">
      <c r="A231" s="85">
        <v>5</v>
      </c>
      <c r="B231" s="85">
        <v>2</v>
      </c>
      <c r="C231" s="85">
        <v>3</v>
      </c>
      <c r="D231" s="85">
        <v>2</v>
      </c>
      <c r="E231" s="85">
        <v>1</v>
      </c>
      <c r="F231" s="18">
        <v>1</v>
      </c>
      <c r="I231" s="64">
        <f t="shared" si="75"/>
        <v>93.428492305734082</v>
      </c>
      <c r="J231" s="18">
        <v>2</v>
      </c>
      <c r="M231" s="64">
        <f t="shared" si="76"/>
        <v>110.02144013573877</v>
      </c>
      <c r="N231" s="18">
        <v>1</v>
      </c>
      <c r="Q231" s="64">
        <f t="shared" si="77"/>
        <v>98.246708656674187</v>
      </c>
      <c r="R231" s="18">
        <v>2</v>
      </c>
      <c r="U231" s="64">
        <f t="shared" si="78"/>
        <v>101.34799174124942</v>
      </c>
      <c r="V231" s="18">
        <v>2</v>
      </c>
      <c r="Y231" s="114">
        <f t="shared" si="79"/>
        <v>97.875621286587162</v>
      </c>
      <c r="Z231" s="18">
        <v>2</v>
      </c>
      <c r="AC231" s="64">
        <f t="shared" si="80"/>
        <v>101.50550517487696</v>
      </c>
      <c r="AD231" s="24">
        <v>2</v>
      </c>
      <c r="AE231" s="71"/>
      <c r="AF231" s="71"/>
      <c r="AG231" s="71">
        <f t="shared" si="81"/>
        <v>101.01229126330007</v>
      </c>
      <c r="AH231" s="18">
        <v>2</v>
      </c>
      <c r="AK231" s="64">
        <f t="shared" si="82"/>
        <v>99.518280131348902</v>
      </c>
      <c r="AL231" s="18">
        <v>3</v>
      </c>
      <c r="AM231" s="71"/>
      <c r="AN231" s="71"/>
      <c r="AO231" s="71">
        <f t="shared" si="83"/>
        <v>100.85056924463234</v>
      </c>
      <c r="AP231" s="18">
        <v>2</v>
      </c>
      <c r="AQ231" s="71"/>
      <c r="AR231" s="71"/>
      <c r="AS231" s="71">
        <f t="shared" si="84"/>
        <v>99.909880620416757</v>
      </c>
      <c r="AT231" s="18">
        <v>0</v>
      </c>
      <c r="AU231" s="71"/>
      <c r="AV231" s="71"/>
      <c r="AW231" s="71">
        <f t="shared" si="85"/>
        <v>89.214252251088965</v>
      </c>
      <c r="AX231" s="18">
        <v>1</v>
      </c>
      <c r="AY231" s="71"/>
      <c r="AZ231" s="71"/>
      <c r="BA231" s="71">
        <f t="shared" si="86"/>
        <v>90.050552929515405</v>
      </c>
      <c r="BB231" s="85">
        <v>1</v>
      </c>
      <c r="BC231" s="85">
        <v>0</v>
      </c>
      <c r="BD231" s="85">
        <v>0</v>
      </c>
      <c r="BE231" s="85">
        <v>0</v>
      </c>
      <c r="BF231" s="85">
        <v>0</v>
      </c>
      <c r="BG231" s="85">
        <v>0</v>
      </c>
      <c r="BH231" s="19">
        <v>2</v>
      </c>
      <c r="BI231" s="71"/>
      <c r="BJ231" s="71"/>
      <c r="BK231" s="71">
        <f t="shared" si="87"/>
        <v>114.81520780975161</v>
      </c>
      <c r="BL231" s="18">
        <v>1</v>
      </c>
      <c r="BM231" s="71"/>
      <c r="BN231" s="71"/>
      <c r="BO231" s="71">
        <f t="shared" si="88"/>
        <v>92.606326748686826</v>
      </c>
      <c r="BP231" s="18">
        <v>1</v>
      </c>
      <c r="BQ231" s="71"/>
      <c r="BR231" s="71"/>
      <c r="BS231" s="138">
        <f t="shared" si="89"/>
        <v>100.16171091563201</v>
      </c>
      <c r="BT231" s="18">
        <v>2</v>
      </c>
      <c r="BU231" s="71"/>
      <c r="BV231" s="71"/>
      <c r="BW231" s="71">
        <f t="shared" si="90"/>
        <v>102.51956289746849</v>
      </c>
      <c r="BX231" s="85">
        <v>1</v>
      </c>
      <c r="BY231" s="18">
        <v>2</v>
      </c>
      <c r="BZ231" s="71"/>
      <c r="CA231" s="71"/>
      <c r="CB231" s="71">
        <f t="shared" si="91"/>
        <v>100.53207713448795</v>
      </c>
      <c r="CC231" s="18">
        <v>0</v>
      </c>
      <c r="CD231" s="71"/>
      <c r="CE231" s="71"/>
      <c r="CF231" s="71">
        <f t="shared" si="92"/>
        <v>81.842287242964616</v>
      </c>
      <c r="CG231" s="18">
        <v>2</v>
      </c>
      <c r="CH231" s="71"/>
      <c r="CI231" s="71"/>
      <c r="CJ231" s="138">
        <f t="shared" si="93"/>
        <v>118.64838200002481</v>
      </c>
      <c r="CK231" s="18">
        <v>3</v>
      </c>
      <c r="CL231" s="71"/>
      <c r="CM231" s="71"/>
      <c r="CN231" s="71">
        <f t="shared" si="94"/>
        <v>109.82624001207998</v>
      </c>
      <c r="CO231" s="94">
        <v>1</v>
      </c>
      <c r="CP231" s="94">
        <v>0</v>
      </c>
      <c r="CQ231" s="94">
        <v>1</v>
      </c>
      <c r="CR231" s="94">
        <v>0</v>
      </c>
      <c r="CS231" s="102">
        <f t="shared" si="95"/>
        <v>99.249862723530313</v>
      </c>
      <c r="CT231" s="102">
        <f t="shared" si="96"/>
        <v>8.1607424482034894</v>
      </c>
      <c r="CU231" s="102">
        <f t="shared" si="97"/>
        <v>8.2224218999032705E-2</v>
      </c>
      <c r="CV231" s="108">
        <f t="shared" si="98"/>
        <v>98.578852049274531</v>
      </c>
      <c r="CZ231" s="109" t="str">
        <f t="shared" si="99"/>
        <v>Medio-Basso</v>
      </c>
    </row>
    <row r="232" spans="1:104" x14ac:dyDescent="0.15">
      <c r="A232" s="84">
        <v>3</v>
      </c>
      <c r="B232" s="84">
        <v>2</v>
      </c>
      <c r="C232" s="84">
        <v>0</v>
      </c>
      <c r="D232" s="84">
        <v>2</v>
      </c>
      <c r="E232" s="84">
        <v>1</v>
      </c>
      <c r="F232" s="17">
        <v>1</v>
      </c>
      <c r="I232" s="64">
        <f t="shared" si="75"/>
        <v>93.428492305734082</v>
      </c>
      <c r="J232" s="17">
        <v>2</v>
      </c>
      <c r="M232" s="64">
        <f t="shared" si="76"/>
        <v>110.02144013573877</v>
      </c>
      <c r="N232" s="17">
        <v>2</v>
      </c>
      <c r="Q232" s="64">
        <f t="shared" si="77"/>
        <v>113.93405225485253</v>
      </c>
      <c r="R232" s="17">
        <v>2</v>
      </c>
      <c r="U232" s="64">
        <f t="shared" si="78"/>
        <v>101.34799174124942</v>
      </c>
      <c r="V232" s="17">
        <v>2</v>
      </c>
      <c r="Y232" s="114">
        <f t="shared" si="79"/>
        <v>97.875621286587162</v>
      </c>
      <c r="Z232" s="17">
        <v>0</v>
      </c>
      <c r="AC232" s="64">
        <f t="shared" si="80"/>
        <v>85.509512691809249</v>
      </c>
      <c r="AD232" s="25">
        <v>3</v>
      </c>
      <c r="AE232" s="71"/>
      <c r="AF232" s="71"/>
      <c r="AG232" s="71">
        <f t="shared" si="81"/>
        <v>109.20703006144345</v>
      </c>
      <c r="AH232" s="17">
        <v>3</v>
      </c>
      <c r="AK232" s="64">
        <f t="shared" si="82"/>
        <v>110.43726382077395</v>
      </c>
      <c r="AL232" s="17">
        <v>3</v>
      </c>
      <c r="AM232" s="71"/>
      <c r="AN232" s="71"/>
      <c r="AO232" s="71">
        <f t="shared" si="83"/>
        <v>100.85056924463234</v>
      </c>
      <c r="AP232" s="17">
        <v>2</v>
      </c>
      <c r="AQ232" s="71"/>
      <c r="AR232" s="71"/>
      <c r="AS232" s="71">
        <f t="shared" si="84"/>
        <v>99.909880620416757</v>
      </c>
      <c r="AT232" s="17">
        <v>2</v>
      </c>
      <c r="AU232" s="71"/>
      <c r="AV232" s="71"/>
      <c r="AW232" s="71">
        <f t="shared" si="85"/>
        <v>110.91338973410525</v>
      </c>
      <c r="AX232" s="17">
        <v>2</v>
      </c>
      <c r="AY232" s="71"/>
      <c r="AZ232" s="71"/>
      <c r="BA232" s="71">
        <f t="shared" si="86"/>
        <v>100.92776194547928</v>
      </c>
      <c r="BB232" s="84">
        <v>1</v>
      </c>
      <c r="BC232" s="84">
        <v>1</v>
      </c>
      <c r="BD232" s="84">
        <v>0</v>
      </c>
      <c r="BE232" s="84">
        <v>0</v>
      </c>
      <c r="BF232" s="84">
        <v>0</v>
      </c>
      <c r="BG232" s="84">
        <v>0</v>
      </c>
      <c r="BH232" s="20">
        <v>0</v>
      </c>
      <c r="BI232" s="71"/>
      <c r="BJ232" s="71"/>
      <c r="BK232" s="71">
        <f t="shared" si="87"/>
        <v>92.176238572378367</v>
      </c>
      <c r="BL232" s="17">
        <v>0</v>
      </c>
      <c r="BM232" s="71"/>
      <c r="BN232" s="71"/>
      <c r="BO232" s="71">
        <f t="shared" si="88"/>
        <v>83.261163531413686</v>
      </c>
      <c r="BP232" s="17">
        <v>1</v>
      </c>
      <c r="BQ232" s="71"/>
      <c r="BR232" s="71"/>
      <c r="BS232" s="138">
        <f t="shared" si="89"/>
        <v>100.16171091563201</v>
      </c>
      <c r="BT232" s="17">
        <v>2</v>
      </c>
      <c r="BU232" s="71"/>
      <c r="BV232" s="71"/>
      <c r="BW232" s="71">
        <f t="shared" si="90"/>
        <v>102.51956289746849</v>
      </c>
      <c r="BX232" s="84">
        <v>1</v>
      </c>
      <c r="BY232" s="17">
        <v>3</v>
      </c>
      <c r="BZ232" s="71"/>
      <c r="CA232" s="71"/>
      <c r="CB232" s="71">
        <f t="shared" si="91"/>
        <v>110.05345743585116</v>
      </c>
      <c r="CC232" s="17">
        <v>0</v>
      </c>
      <c r="CD232" s="71"/>
      <c r="CE232" s="71"/>
      <c r="CF232" s="71">
        <f t="shared" si="92"/>
        <v>81.842287242964616</v>
      </c>
      <c r="CG232" s="17">
        <v>0</v>
      </c>
      <c r="CH232" s="71"/>
      <c r="CI232" s="71"/>
      <c r="CJ232" s="138">
        <f t="shared" si="93"/>
        <v>89.226340793489143</v>
      </c>
      <c r="CK232" s="17">
        <v>2</v>
      </c>
      <c r="CL232" s="71"/>
      <c r="CM232" s="71"/>
      <c r="CN232" s="71">
        <f t="shared" si="94"/>
        <v>100.22589057499034</v>
      </c>
      <c r="CO232" s="93">
        <v>0</v>
      </c>
      <c r="CP232" s="93">
        <v>0</v>
      </c>
      <c r="CQ232" s="93">
        <v>1</v>
      </c>
      <c r="CR232" s="93">
        <v>0</v>
      </c>
      <c r="CS232" s="102">
        <f t="shared" si="95"/>
        <v>100.38623440066482</v>
      </c>
      <c r="CT232" s="102">
        <f t="shared" si="96"/>
        <v>10.124231516413865</v>
      </c>
      <c r="CU232" s="102">
        <f t="shared" si="97"/>
        <v>0.10085278700668959</v>
      </c>
      <c r="CV232" s="108">
        <f t="shared" si="98"/>
        <v>99.365177435933518</v>
      </c>
      <c r="CZ232" s="109" t="str">
        <f t="shared" si="99"/>
        <v>Medio-Alto</v>
      </c>
    </row>
    <row r="233" spans="1:104" x14ac:dyDescent="0.15">
      <c r="A233" s="85">
        <v>2</v>
      </c>
      <c r="B233" s="85">
        <v>2</v>
      </c>
      <c r="C233" s="85">
        <v>0</v>
      </c>
      <c r="D233" s="85">
        <v>1</v>
      </c>
      <c r="E233" s="85">
        <v>0</v>
      </c>
      <c r="F233" s="18">
        <v>0</v>
      </c>
      <c r="I233" s="64">
        <f t="shared" si="75"/>
        <v>76.99972307006928</v>
      </c>
      <c r="J233" s="18">
        <v>1</v>
      </c>
      <c r="M233" s="64">
        <f t="shared" si="76"/>
        <v>95.705097084683388</v>
      </c>
      <c r="N233" s="18">
        <v>2</v>
      </c>
      <c r="Q233" s="64">
        <f t="shared" si="77"/>
        <v>113.93405225485253</v>
      </c>
      <c r="R233" s="18">
        <v>2</v>
      </c>
      <c r="U233" s="64">
        <f t="shared" si="78"/>
        <v>101.34799174124942</v>
      </c>
      <c r="V233" s="18">
        <v>1</v>
      </c>
      <c r="Y233" s="114">
        <f t="shared" si="79"/>
        <v>91.426614478012453</v>
      </c>
      <c r="Z233" s="18">
        <v>0</v>
      </c>
      <c r="AC233" s="64">
        <f t="shared" si="80"/>
        <v>85.509512691809249</v>
      </c>
      <c r="AD233" s="24">
        <v>1</v>
      </c>
      <c r="AE233" s="71"/>
      <c r="AF233" s="71"/>
      <c r="AG233" s="71">
        <f t="shared" si="81"/>
        <v>92.81755246515668</v>
      </c>
      <c r="AH233" s="18">
        <v>2</v>
      </c>
      <c r="AK233" s="64">
        <f t="shared" si="82"/>
        <v>99.518280131348902</v>
      </c>
      <c r="AL233" s="18">
        <v>3</v>
      </c>
      <c r="AM233" s="71"/>
      <c r="AN233" s="71"/>
      <c r="AO233" s="71">
        <f t="shared" si="83"/>
        <v>100.85056924463234</v>
      </c>
      <c r="AP233" s="18">
        <v>1</v>
      </c>
      <c r="AQ233" s="71"/>
      <c r="AR233" s="71"/>
      <c r="AS233" s="71">
        <f t="shared" si="84"/>
        <v>89.696350934316598</v>
      </c>
      <c r="AT233" s="18">
        <v>0</v>
      </c>
      <c r="AU233" s="71"/>
      <c r="AV233" s="71"/>
      <c r="AW233" s="71">
        <f t="shared" si="85"/>
        <v>89.214252251088965</v>
      </c>
      <c r="AX233" s="18">
        <v>0</v>
      </c>
      <c r="AY233" s="71"/>
      <c r="AZ233" s="71"/>
      <c r="BA233" s="71">
        <f t="shared" si="86"/>
        <v>79.173343913551548</v>
      </c>
      <c r="BB233" s="85">
        <v>1</v>
      </c>
      <c r="BC233" s="85">
        <v>0</v>
      </c>
      <c r="BD233" s="85">
        <v>0</v>
      </c>
      <c r="BE233" s="85">
        <v>0</v>
      </c>
      <c r="BF233" s="85">
        <v>0</v>
      </c>
      <c r="BG233" s="85">
        <v>0</v>
      </c>
      <c r="BH233" s="19">
        <v>1</v>
      </c>
      <c r="BI233" s="71"/>
      <c r="BJ233" s="71"/>
      <c r="BK233" s="71">
        <f t="shared" si="87"/>
        <v>103.49572319106498</v>
      </c>
      <c r="BL233" s="18">
        <v>2</v>
      </c>
      <c r="BM233" s="71"/>
      <c r="BN233" s="71"/>
      <c r="BO233" s="71">
        <f t="shared" si="88"/>
        <v>101.95148996595998</v>
      </c>
      <c r="BP233" s="18">
        <v>2</v>
      </c>
      <c r="BQ233" s="71"/>
      <c r="BR233" s="71"/>
      <c r="BS233" s="138">
        <f t="shared" si="89"/>
        <v>113.86671101544545</v>
      </c>
      <c r="BT233" s="18">
        <v>2</v>
      </c>
      <c r="BU233" s="71"/>
      <c r="BV233" s="71"/>
      <c r="BW233" s="71">
        <f t="shared" si="90"/>
        <v>102.51956289746849</v>
      </c>
      <c r="BX233" s="85">
        <v>3</v>
      </c>
      <c r="BY233" s="18">
        <v>0</v>
      </c>
      <c r="BZ233" s="71"/>
      <c r="CA233" s="71"/>
      <c r="CB233" s="71">
        <f t="shared" si="91"/>
        <v>81.489316531761531</v>
      </c>
      <c r="CC233" s="18">
        <v>1</v>
      </c>
      <c r="CD233" s="71"/>
      <c r="CE233" s="71"/>
      <c r="CF233" s="71">
        <f t="shared" si="92"/>
        <v>91.015574519921572</v>
      </c>
      <c r="CG233" s="18">
        <v>2</v>
      </c>
      <c r="CH233" s="71"/>
      <c r="CI233" s="71"/>
      <c r="CJ233" s="138">
        <f t="shared" si="93"/>
        <v>118.64838200002481</v>
      </c>
      <c r="CK233" s="18">
        <v>0</v>
      </c>
      <c r="CL233" s="71"/>
      <c r="CM233" s="71"/>
      <c r="CN233" s="71">
        <f t="shared" si="94"/>
        <v>81.025191700811078</v>
      </c>
      <c r="CO233" s="94">
        <v>1</v>
      </c>
      <c r="CP233" s="94">
        <v>0</v>
      </c>
      <c r="CQ233" s="94">
        <v>1</v>
      </c>
      <c r="CR233" s="94">
        <v>0</v>
      </c>
      <c r="CS233" s="102">
        <f t="shared" si="95"/>
        <v>93.309622622926256</v>
      </c>
      <c r="CT233" s="102">
        <f t="shared" si="96"/>
        <v>10.329097150909169</v>
      </c>
      <c r="CU233" s="102">
        <f t="shared" si="97"/>
        <v>0.11069701988454191</v>
      </c>
      <c r="CV233" s="108">
        <f t="shared" si="98"/>
        <v>92.166222350222696</v>
      </c>
      <c r="CZ233" s="109" t="str">
        <f t="shared" si="99"/>
        <v>Basso</v>
      </c>
    </row>
    <row r="234" spans="1:104" x14ac:dyDescent="0.15">
      <c r="A234" s="84">
        <v>2</v>
      </c>
      <c r="B234" s="84">
        <v>1</v>
      </c>
      <c r="C234" s="84">
        <v>3</v>
      </c>
      <c r="D234" s="84">
        <v>1</v>
      </c>
      <c r="E234" s="84">
        <v>0</v>
      </c>
      <c r="F234" s="17">
        <v>0</v>
      </c>
      <c r="I234" s="64">
        <f t="shared" si="75"/>
        <v>76.99972307006928</v>
      </c>
      <c r="J234" s="17">
        <v>0</v>
      </c>
      <c r="M234" s="64">
        <f t="shared" si="76"/>
        <v>81.388754033628004</v>
      </c>
      <c r="N234" s="17">
        <v>2</v>
      </c>
      <c r="Q234" s="64">
        <f t="shared" si="77"/>
        <v>113.93405225485253</v>
      </c>
      <c r="R234" s="17">
        <v>2</v>
      </c>
      <c r="U234" s="64">
        <f t="shared" si="78"/>
        <v>101.34799174124942</v>
      </c>
      <c r="V234" s="17">
        <v>2</v>
      </c>
      <c r="Y234" s="114">
        <f t="shared" si="79"/>
        <v>97.875621286587162</v>
      </c>
      <c r="Z234" s="17">
        <v>2</v>
      </c>
      <c r="AC234" s="64">
        <f t="shared" si="80"/>
        <v>101.50550517487696</v>
      </c>
      <c r="AD234" s="25">
        <v>1</v>
      </c>
      <c r="AE234" s="71"/>
      <c r="AF234" s="71"/>
      <c r="AG234" s="71">
        <f t="shared" si="81"/>
        <v>92.81755246515668</v>
      </c>
      <c r="AH234" s="17">
        <v>2</v>
      </c>
      <c r="AK234" s="64">
        <f t="shared" si="82"/>
        <v>99.518280131348902</v>
      </c>
      <c r="AL234" s="17">
        <v>3</v>
      </c>
      <c r="AM234" s="71"/>
      <c r="AN234" s="71"/>
      <c r="AO234" s="71">
        <f t="shared" si="83"/>
        <v>100.85056924463234</v>
      </c>
      <c r="AP234" s="17">
        <v>2</v>
      </c>
      <c r="AQ234" s="71"/>
      <c r="AR234" s="71"/>
      <c r="AS234" s="71">
        <f t="shared" si="84"/>
        <v>99.909880620416757</v>
      </c>
      <c r="AT234" s="17">
        <v>0</v>
      </c>
      <c r="AU234" s="71"/>
      <c r="AV234" s="71"/>
      <c r="AW234" s="71">
        <f t="shared" si="85"/>
        <v>89.214252251088965</v>
      </c>
      <c r="AX234" s="17">
        <v>0</v>
      </c>
      <c r="AY234" s="71"/>
      <c r="AZ234" s="71"/>
      <c r="BA234" s="71">
        <f t="shared" si="86"/>
        <v>79.173343913551548</v>
      </c>
      <c r="BB234" s="84">
        <v>1</v>
      </c>
      <c r="BC234" s="84">
        <v>0</v>
      </c>
      <c r="BD234" s="84">
        <v>1</v>
      </c>
      <c r="BE234" s="84">
        <v>0</v>
      </c>
      <c r="BF234" s="84">
        <v>0</v>
      </c>
      <c r="BG234" s="84">
        <v>0</v>
      </c>
      <c r="BH234" s="20">
        <v>1</v>
      </c>
      <c r="BI234" s="71"/>
      <c r="BJ234" s="71"/>
      <c r="BK234" s="71">
        <f t="shared" si="87"/>
        <v>103.49572319106498</v>
      </c>
      <c r="BL234" s="17">
        <v>2</v>
      </c>
      <c r="BM234" s="71"/>
      <c r="BN234" s="71"/>
      <c r="BO234" s="71">
        <f t="shared" si="88"/>
        <v>101.95148996595998</v>
      </c>
      <c r="BP234" s="17">
        <v>2</v>
      </c>
      <c r="BQ234" s="71"/>
      <c r="BR234" s="71"/>
      <c r="BS234" s="138">
        <f t="shared" si="89"/>
        <v>113.86671101544545</v>
      </c>
      <c r="BT234" s="17">
        <v>2</v>
      </c>
      <c r="BU234" s="71"/>
      <c r="BV234" s="71"/>
      <c r="BW234" s="71">
        <f t="shared" si="90"/>
        <v>102.51956289746849</v>
      </c>
      <c r="BX234" s="84">
        <v>0</v>
      </c>
      <c r="BY234" s="17">
        <v>0</v>
      </c>
      <c r="BZ234" s="71"/>
      <c r="CA234" s="71"/>
      <c r="CB234" s="71">
        <f t="shared" si="91"/>
        <v>81.489316531761531</v>
      </c>
      <c r="CC234" s="17">
        <v>1</v>
      </c>
      <c r="CD234" s="71"/>
      <c r="CE234" s="71"/>
      <c r="CF234" s="71">
        <f t="shared" si="92"/>
        <v>91.015574519921572</v>
      </c>
      <c r="CG234" s="17">
        <v>0</v>
      </c>
      <c r="CH234" s="71"/>
      <c r="CI234" s="71"/>
      <c r="CJ234" s="138">
        <f t="shared" si="93"/>
        <v>89.226340793489143</v>
      </c>
      <c r="CK234" s="17">
        <v>2</v>
      </c>
      <c r="CL234" s="71"/>
      <c r="CM234" s="71"/>
      <c r="CN234" s="71">
        <f t="shared" si="94"/>
        <v>100.22589057499034</v>
      </c>
      <c r="CO234" s="93">
        <v>0</v>
      </c>
      <c r="CP234" s="93">
        <v>0</v>
      </c>
      <c r="CQ234" s="93">
        <v>0</v>
      </c>
      <c r="CR234" s="93">
        <v>1</v>
      </c>
      <c r="CS234" s="102">
        <f t="shared" si="95"/>
        <v>95.138674269531663</v>
      </c>
      <c r="CT234" s="102">
        <f t="shared" si="96"/>
        <v>10.369144242179589</v>
      </c>
      <c r="CU234" s="102">
        <f t="shared" si="97"/>
        <v>0.10898979118421799</v>
      </c>
      <c r="CV234" s="108">
        <f t="shared" si="98"/>
        <v>94.00854340381747</v>
      </c>
      <c r="CZ234" s="109" t="str">
        <f t="shared" si="99"/>
        <v>Basso</v>
      </c>
    </row>
    <row r="235" spans="1:104" x14ac:dyDescent="0.15">
      <c r="A235" s="85">
        <v>2</v>
      </c>
      <c r="B235" s="85">
        <v>2</v>
      </c>
      <c r="C235" s="85">
        <v>3</v>
      </c>
      <c r="D235" s="85">
        <v>2</v>
      </c>
      <c r="E235" s="85">
        <v>1</v>
      </c>
      <c r="F235" s="18">
        <v>2</v>
      </c>
      <c r="I235" s="64">
        <f t="shared" si="75"/>
        <v>109.85726154139888</v>
      </c>
      <c r="J235" s="18">
        <v>2</v>
      </c>
      <c r="M235" s="64">
        <f t="shared" si="76"/>
        <v>110.02144013573877</v>
      </c>
      <c r="N235" s="18">
        <v>2</v>
      </c>
      <c r="Q235" s="64">
        <f t="shared" si="77"/>
        <v>113.93405225485253</v>
      </c>
      <c r="R235" s="18">
        <v>3</v>
      </c>
      <c r="U235" s="64">
        <f t="shared" si="78"/>
        <v>111.09942135879838</v>
      </c>
      <c r="V235" s="18">
        <v>2</v>
      </c>
      <c r="Y235" s="114">
        <f t="shared" si="79"/>
        <v>97.875621286587162</v>
      </c>
      <c r="Z235" s="18">
        <v>1</v>
      </c>
      <c r="AC235" s="64">
        <f t="shared" si="80"/>
        <v>93.507508933343104</v>
      </c>
      <c r="AD235" s="24">
        <v>3</v>
      </c>
      <c r="AE235" s="71"/>
      <c r="AF235" s="71"/>
      <c r="AG235" s="71">
        <f t="shared" si="81"/>
        <v>109.20703006144345</v>
      </c>
      <c r="AH235" s="18">
        <v>3</v>
      </c>
      <c r="AK235" s="64">
        <f t="shared" si="82"/>
        <v>110.43726382077395</v>
      </c>
      <c r="AL235" s="18">
        <v>2</v>
      </c>
      <c r="AM235" s="71"/>
      <c r="AN235" s="71"/>
      <c r="AO235" s="71">
        <f t="shared" si="83"/>
        <v>89.72774066097864</v>
      </c>
      <c r="AP235" s="18">
        <v>3</v>
      </c>
      <c r="AQ235" s="71"/>
      <c r="AR235" s="71"/>
      <c r="AS235" s="71">
        <f t="shared" si="84"/>
        <v>110.12341030651692</v>
      </c>
      <c r="AT235" s="18">
        <v>2</v>
      </c>
      <c r="AU235" s="71"/>
      <c r="AV235" s="71"/>
      <c r="AW235" s="71">
        <f t="shared" si="85"/>
        <v>110.91338973410525</v>
      </c>
      <c r="AX235" s="18">
        <v>2</v>
      </c>
      <c r="AY235" s="71"/>
      <c r="AZ235" s="71"/>
      <c r="BA235" s="71">
        <f t="shared" si="86"/>
        <v>100.92776194547928</v>
      </c>
      <c r="BB235" s="85">
        <v>1</v>
      </c>
      <c r="BC235" s="85">
        <v>1</v>
      </c>
      <c r="BD235" s="85">
        <v>0</v>
      </c>
      <c r="BE235" s="85">
        <v>0</v>
      </c>
      <c r="BF235" s="85">
        <v>0</v>
      </c>
      <c r="BG235" s="85">
        <v>0</v>
      </c>
      <c r="BH235" s="19">
        <v>2</v>
      </c>
      <c r="BI235" s="71"/>
      <c r="BJ235" s="71"/>
      <c r="BK235" s="71">
        <f t="shared" si="87"/>
        <v>114.81520780975161</v>
      </c>
      <c r="BL235" s="18">
        <v>3</v>
      </c>
      <c r="BM235" s="71"/>
      <c r="BN235" s="71"/>
      <c r="BO235" s="71">
        <f t="shared" si="88"/>
        <v>111.29665318323313</v>
      </c>
      <c r="BP235" s="18">
        <v>1</v>
      </c>
      <c r="BQ235" s="71"/>
      <c r="BR235" s="71"/>
      <c r="BS235" s="138">
        <f t="shared" si="89"/>
        <v>100.16171091563201</v>
      </c>
      <c r="BT235" s="18">
        <v>2</v>
      </c>
      <c r="BU235" s="71"/>
      <c r="BV235" s="71"/>
      <c r="BW235" s="71">
        <f t="shared" si="90"/>
        <v>102.51956289746849</v>
      </c>
      <c r="BX235" s="85">
        <v>2</v>
      </c>
      <c r="BY235" s="18">
        <v>2</v>
      </c>
      <c r="BZ235" s="71"/>
      <c r="CA235" s="71"/>
      <c r="CB235" s="71">
        <f t="shared" si="91"/>
        <v>100.53207713448795</v>
      </c>
      <c r="CC235" s="18">
        <v>3</v>
      </c>
      <c r="CD235" s="71"/>
      <c r="CE235" s="71"/>
      <c r="CF235" s="71">
        <f t="shared" si="92"/>
        <v>109.36214907383548</v>
      </c>
      <c r="CG235" s="18">
        <v>1</v>
      </c>
      <c r="CH235" s="71"/>
      <c r="CI235" s="71"/>
      <c r="CJ235" s="138">
        <f t="shared" si="93"/>
        <v>103.93736139675698</v>
      </c>
      <c r="CK235" s="18">
        <v>3</v>
      </c>
      <c r="CL235" s="71"/>
      <c r="CM235" s="71"/>
      <c r="CN235" s="71">
        <f t="shared" si="94"/>
        <v>109.82624001207998</v>
      </c>
      <c r="CO235" s="94">
        <v>1</v>
      </c>
      <c r="CP235" s="94">
        <v>0</v>
      </c>
      <c r="CQ235" s="94">
        <v>1</v>
      </c>
      <c r="CR235" s="94">
        <v>0</v>
      </c>
      <c r="CS235" s="102">
        <f t="shared" si="95"/>
        <v>106.94753946260505</v>
      </c>
      <c r="CT235" s="102">
        <f t="shared" si="96"/>
        <v>7.0540477207952277</v>
      </c>
      <c r="CU235" s="102">
        <f t="shared" si="97"/>
        <v>6.5958017886533285E-2</v>
      </c>
      <c r="CV235" s="108">
        <f t="shared" si="98"/>
        <v>106.48226845686438</v>
      </c>
      <c r="CZ235" s="109" t="str">
        <f t="shared" si="99"/>
        <v>Alto</v>
      </c>
    </row>
    <row r="236" spans="1:104" x14ac:dyDescent="0.15">
      <c r="A236" s="84">
        <v>5</v>
      </c>
      <c r="B236" s="84">
        <v>1</v>
      </c>
      <c r="C236" s="84">
        <v>3</v>
      </c>
      <c r="D236" s="84">
        <v>1</v>
      </c>
      <c r="E236" s="84">
        <v>1</v>
      </c>
      <c r="F236" s="17">
        <v>2</v>
      </c>
      <c r="I236" s="64">
        <f t="shared" si="75"/>
        <v>109.85726154139888</v>
      </c>
      <c r="J236" s="17">
        <v>2</v>
      </c>
      <c r="M236" s="64">
        <f t="shared" si="76"/>
        <v>110.02144013573877</v>
      </c>
      <c r="N236" s="17">
        <v>1</v>
      </c>
      <c r="Q236" s="64">
        <f t="shared" si="77"/>
        <v>98.246708656674187</v>
      </c>
      <c r="R236" s="17">
        <v>3</v>
      </c>
      <c r="U236" s="64">
        <f t="shared" si="78"/>
        <v>111.09942135879838</v>
      </c>
      <c r="V236" s="17">
        <v>5</v>
      </c>
      <c r="Y236" s="114">
        <f t="shared" si="79"/>
        <v>117.22264171231127</v>
      </c>
      <c r="Z236" s="17">
        <v>2</v>
      </c>
      <c r="AC236" s="64">
        <f t="shared" si="80"/>
        <v>101.50550517487696</v>
      </c>
      <c r="AD236" s="25">
        <v>2</v>
      </c>
      <c r="AE236" s="71"/>
      <c r="AF236" s="71"/>
      <c r="AG236" s="71">
        <f t="shared" si="81"/>
        <v>101.01229126330007</v>
      </c>
      <c r="AH236" s="17">
        <v>3</v>
      </c>
      <c r="AK236" s="64">
        <f t="shared" si="82"/>
        <v>110.43726382077395</v>
      </c>
      <c r="AL236" s="17">
        <v>3</v>
      </c>
      <c r="AM236" s="71"/>
      <c r="AN236" s="71"/>
      <c r="AO236" s="71">
        <f t="shared" si="83"/>
        <v>100.85056924463234</v>
      </c>
      <c r="AP236" s="17">
        <v>2</v>
      </c>
      <c r="AQ236" s="71"/>
      <c r="AR236" s="71"/>
      <c r="AS236" s="71">
        <f t="shared" si="84"/>
        <v>99.909880620416757</v>
      </c>
      <c r="AT236" s="17">
        <v>2</v>
      </c>
      <c r="AU236" s="71"/>
      <c r="AV236" s="71"/>
      <c r="AW236" s="71">
        <f t="shared" si="85"/>
        <v>110.91338973410525</v>
      </c>
      <c r="AX236" s="17">
        <v>3</v>
      </c>
      <c r="AY236" s="71"/>
      <c r="AZ236" s="71"/>
      <c r="BA236" s="71">
        <f t="shared" si="86"/>
        <v>111.80497096144313</v>
      </c>
      <c r="BB236" s="84">
        <v>1</v>
      </c>
      <c r="BC236" s="84">
        <v>0</v>
      </c>
      <c r="BD236" s="84">
        <v>1</v>
      </c>
      <c r="BE236" s="84">
        <v>0</v>
      </c>
      <c r="BF236" s="84">
        <v>0</v>
      </c>
      <c r="BG236" s="84">
        <v>0</v>
      </c>
      <c r="BH236" s="20">
        <v>2</v>
      </c>
      <c r="BI236" s="71"/>
      <c r="BJ236" s="71"/>
      <c r="BK236" s="71">
        <f t="shared" si="87"/>
        <v>114.81520780975161</v>
      </c>
      <c r="BL236" s="17">
        <v>3</v>
      </c>
      <c r="BM236" s="71"/>
      <c r="BN236" s="71"/>
      <c r="BO236" s="71">
        <f t="shared" si="88"/>
        <v>111.29665318323313</v>
      </c>
      <c r="BP236" s="17">
        <v>2</v>
      </c>
      <c r="BQ236" s="71"/>
      <c r="BR236" s="71"/>
      <c r="BS236" s="138">
        <f t="shared" si="89"/>
        <v>113.86671101544545</v>
      </c>
      <c r="BT236" s="17">
        <v>3</v>
      </c>
      <c r="BU236" s="71"/>
      <c r="BV236" s="71"/>
      <c r="BW236" s="71">
        <f t="shared" si="90"/>
        <v>112.03791162123835</v>
      </c>
      <c r="BX236" s="84">
        <v>2</v>
      </c>
      <c r="BY236" s="17">
        <v>3</v>
      </c>
      <c r="BZ236" s="71"/>
      <c r="CA236" s="71"/>
      <c r="CB236" s="71">
        <f t="shared" si="91"/>
        <v>110.05345743585116</v>
      </c>
      <c r="CC236" s="17">
        <v>3</v>
      </c>
      <c r="CD236" s="71"/>
      <c r="CE236" s="71"/>
      <c r="CF236" s="71">
        <f t="shared" si="92"/>
        <v>109.36214907383548</v>
      </c>
      <c r="CG236" s="17">
        <v>1</v>
      </c>
      <c r="CH236" s="71"/>
      <c r="CI236" s="71"/>
      <c r="CJ236" s="138">
        <f t="shared" si="93"/>
        <v>103.93736139675698</v>
      </c>
      <c r="CK236" s="17">
        <v>3</v>
      </c>
      <c r="CL236" s="71"/>
      <c r="CM236" s="71"/>
      <c r="CN236" s="71">
        <f t="shared" si="94"/>
        <v>109.82624001207998</v>
      </c>
      <c r="CO236" s="93">
        <v>1</v>
      </c>
      <c r="CP236" s="93">
        <v>0</v>
      </c>
      <c r="CQ236" s="93">
        <v>1</v>
      </c>
      <c r="CR236" s="93">
        <v>0</v>
      </c>
      <c r="CS236" s="102">
        <f t="shared" si="95"/>
        <v>107.82648950871463</v>
      </c>
      <c r="CT236" s="102">
        <f t="shared" si="96"/>
        <v>5.1917047549594395</v>
      </c>
      <c r="CU236" s="102">
        <f t="shared" si="97"/>
        <v>4.8148694987791861E-2</v>
      </c>
      <c r="CV236" s="108">
        <f t="shared" si="98"/>
        <v>107.57651570000142</v>
      </c>
      <c r="CZ236" s="109" t="str">
        <f t="shared" si="99"/>
        <v>Alto</v>
      </c>
    </row>
    <row r="237" spans="1:104" x14ac:dyDescent="0.15">
      <c r="A237" s="85">
        <v>3</v>
      </c>
      <c r="B237" s="85">
        <v>0</v>
      </c>
      <c r="C237" s="85">
        <v>4</v>
      </c>
      <c r="D237" s="85">
        <v>1</v>
      </c>
      <c r="E237" s="85">
        <v>1</v>
      </c>
      <c r="F237" s="18">
        <v>2</v>
      </c>
      <c r="I237" s="64">
        <f t="shared" si="75"/>
        <v>109.85726154139888</v>
      </c>
      <c r="J237" s="18">
        <v>2</v>
      </c>
      <c r="M237" s="64">
        <f t="shared" si="76"/>
        <v>110.02144013573877</v>
      </c>
      <c r="N237" s="18">
        <v>2</v>
      </c>
      <c r="Q237" s="64">
        <f t="shared" si="77"/>
        <v>113.93405225485253</v>
      </c>
      <c r="R237" s="18">
        <v>3</v>
      </c>
      <c r="U237" s="64">
        <f t="shared" si="78"/>
        <v>111.09942135879838</v>
      </c>
      <c r="V237" s="18">
        <v>4</v>
      </c>
      <c r="Y237" s="114">
        <f t="shared" si="79"/>
        <v>110.77363490373656</v>
      </c>
      <c r="Z237" s="18">
        <v>1</v>
      </c>
      <c r="AC237" s="64">
        <f t="shared" si="80"/>
        <v>93.507508933343104</v>
      </c>
      <c r="AD237" s="24">
        <v>2</v>
      </c>
      <c r="AE237" s="71"/>
      <c r="AF237" s="71"/>
      <c r="AG237" s="71">
        <f t="shared" si="81"/>
        <v>101.01229126330007</v>
      </c>
      <c r="AH237" s="18">
        <v>3</v>
      </c>
      <c r="AK237" s="64">
        <f t="shared" si="82"/>
        <v>110.43726382077395</v>
      </c>
      <c r="AL237" s="18">
        <v>0</v>
      </c>
      <c r="AM237" s="71"/>
      <c r="AN237" s="71"/>
      <c r="AO237" s="71">
        <f t="shared" si="83"/>
        <v>67.482083493671226</v>
      </c>
      <c r="AP237" s="18">
        <v>3</v>
      </c>
      <c r="AQ237" s="71"/>
      <c r="AR237" s="71"/>
      <c r="AS237" s="71">
        <f t="shared" si="84"/>
        <v>110.12341030651692</v>
      </c>
      <c r="AT237" s="18">
        <v>2</v>
      </c>
      <c r="AU237" s="71"/>
      <c r="AV237" s="71"/>
      <c r="AW237" s="71">
        <f t="shared" si="85"/>
        <v>110.91338973410525</v>
      </c>
      <c r="AX237" s="18">
        <v>1</v>
      </c>
      <c r="AY237" s="71"/>
      <c r="AZ237" s="71"/>
      <c r="BA237" s="71">
        <f t="shared" si="86"/>
        <v>90.050552929515405</v>
      </c>
      <c r="BB237" s="85">
        <v>0</v>
      </c>
      <c r="BC237" s="85">
        <v>1</v>
      </c>
      <c r="BD237" s="85">
        <v>1</v>
      </c>
      <c r="BE237" s="85">
        <v>0</v>
      </c>
      <c r="BF237" s="85">
        <v>0</v>
      </c>
      <c r="BG237" s="85">
        <v>0</v>
      </c>
      <c r="BH237" s="19">
        <v>2</v>
      </c>
      <c r="BI237" s="71"/>
      <c r="BJ237" s="71"/>
      <c r="BK237" s="71">
        <f t="shared" si="87"/>
        <v>114.81520780975161</v>
      </c>
      <c r="BL237" s="18">
        <v>3</v>
      </c>
      <c r="BM237" s="71"/>
      <c r="BN237" s="71"/>
      <c r="BO237" s="71">
        <f t="shared" si="88"/>
        <v>111.29665318323313</v>
      </c>
      <c r="BP237" s="18">
        <v>1</v>
      </c>
      <c r="BQ237" s="71"/>
      <c r="BR237" s="71"/>
      <c r="BS237" s="138">
        <f t="shared" si="89"/>
        <v>100.16171091563201</v>
      </c>
      <c r="BT237" s="18">
        <v>3</v>
      </c>
      <c r="BU237" s="71"/>
      <c r="BV237" s="71"/>
      <c r="BW237" s="71">
        <f t="shared" si="90"/>
        <v>112.03791162123835</v>
      </c>
      <c r="BX237" s="85">
        <v>2</v>
      </c>
      <c r="BY237" s="18">
        <v>0</v>
      </c>
      <c r="BZ237" s="71"/>
      <c r="CA237" s="71"/>
      <c r="CB237" s="71">
        <f t="shared" si="91"/>
        <v>81.489316531761531</v>
      </c>
      <c r="CC237" s="18">
        <v>2</v>
      </c>
      <c r="CD237" s="71"/>
      <c r="CE237" s="71"/>
      <c r="CF237" s="71">
        <f t="shared" si="92"/>
        <v>100.18886179687853</v>
      </c>
      <c r="CG237" s="18">
        <v>1</v>
      </c>
      <c r="CH237" s="71"/>
      <c r="CI237" s="71"/>
      <c r="CJ237" s="138">
        <f t="shared" si="93"/>
        <v>103.93736139675698</v>
      </c>
      <c r="CK237" s="18">
        <v>1</v>
      </c>
      <c r="CL237" s="71"/>
      <c r="CM237" s="71"/>
      <c r="CN237" s="71">
        <f t="shared" si="94"/>
        <v>90.625541137900711</v>
      </c>
      <c r="CO237" s="94">
        <v>0</v>
      </c>
      <c r="CP237" s="94">
        <v>1</v>
      </c>
      <c r="CQ237" s="94">
        <v>0</v>
      </c>
      <c r="CR237" s="94">
        <v>0</v>
      </c>
      <c r="CS237" s="102">
        <f t="shared" si="95"/>
        <v>102.28777457957518</v>
      </c>
      <c r="CT237" s="102">
        <f t="shared" si="96"/>
        <v>13.413278159670304</v>
      </c>
      <c r="CU237" s="102">
        <f t="shared" si="97"/>
        <v>0.13113275965580218</v>
      </c>
      <c r="CV237" s="108">
        <f t="shared" si="98"/>
        <v>100.52885439846672</v>
      </c>
      <c r="CZ237" s="109" t="str">
        <f t="shared" si="99"/>
        <v>Medio-Alto</v>
      </c>
    </row>
    <row r="238" spans="1:104" x14ac:dyDescent="0.15">
      <c r="A238" s="84">
        <v>2</v>
      </c>
      <c r="B238" s="84">
        <v>1</v>
      </c>
      <c r="C238" s="84">
        <v>1</v>
      </c>
      <c r="D238" s="84">
        <v>0</v>
      </c>
      <c r="E238" s="84">
        <v>1</v>
      </c>
      <c r="F238" s="17">
        <v>1</v>
      </c>
      <c r="I238" s="64">
        <f t="shared" si="75"/>
        <v>93.428492305734082</v>
      </c>
      <c r="J238" s="17">
        <v>1</v>
      </c>
      <c r="M238" s="64">
        <f t="shared" si="76"/>
        <v>95.705097084683388</v>
      </c>
      <c r="N238" s="17">
        <v>1</v>
      </c>
      <c r="Q238" s="64">
        <f t="shared" si="77"/>
        <v>98.246708656674187</v>
      </c>
      <c r="R238" s="17">
        <v>0</v>
      </c>
      <c r="U238" s="64">
        <f t="shared" si="78"/>
        <v>81.845132506151486</v>
      </c>
      <c r="V238" s="17">
        <v>2</v>
      </c>
      <c r="Y238" s="114">
        <f t="shared" si="79"/>
        <v>97.875621286587162</v>
      </c>
      <c r="Z238" s="17">
        <v>3</v>
      </c>
      <c r="AC238" s="64">
        <f t="shared" si="80"/>
        <v>109.50350141641081</v>
      </c>
      <c r="AD238" s="25">
        <v>2</v>
      </c>
      <c r="AE238" s="71"/>
      <c r="AF238" s="71"/>
      <c r="AG238" s="71">
        <f t="shared" si="81"/>
        <v>101.01229126330007</v>
      </c>
      <c r="AH238" s="17">
        <v>2</v>
      </c>
      <c r="AK238" s="64">
        <f t="shared" si="82"/>
        <v>99.518280131348902</v>
      </c>
      <c r="AL238" s="17">
        <v>3</v>
      </c>
      <c r="AM238" s="71"/>
      <c r="AN238" s="71"/>
      <c r="AO238" s="71">
        <f t="shared" si="83"/>
        <v>100.85056924463234</v>
      </c>
      <c r="AP238" s="17">
        <v>2</v>
      </c>
      <c r="AQ238" s="71"/>
      <c r="AR238" s="71"/>
      <c r="AS238" s="71">
        <f t="shared" si="84"/>
        <v>99.909880620416757</v>
      </c>
      <c r="AT238" s="17">
        <v>0</v>
      </c>
      <c r="AU238" s="71"/>
      <c r="AV238" s="71"/>
      <c r="AW238" s="71">
        <f t="shared" si="85"/>
        <v>89.214252251088965</v>
      </c>
      <c r="AX238" s="17">
        <v>2</v>
      </c>
      <c r="AY238" s="71"/>
      <c r="AZ238" s="71"/>
      <c r="BA238" s="71">
        <f t="shared" si="86"/>
        <v>100.92776194547928</v>
      </c>
      <c r="BB238" s="84">
        <v>1</v>
      </c>
      <c r="BC238" s="84">
        <v>0</v>
      </c>
      <c r="BD238" s="84">
        <v>1</v>
      </c>
      <c r="BE238" s="84">
        <v>0</v>
      </c>
      <c r="BF238" s="84">
        <v>0</v>
      </c>
      <c r="BG238" s="84">
        <v>0</v>
      </c>
      <c r="BH238" s="20">
        <v>0</v>
      </c>
      <c r="BI238" s="71"/>
      <c r="BJ238" s="71"/>
      <c r="BK238" s="71">
        <f t="shared" si="87"/>
        <v>92.176238572378367</v>
      </c>
      <c r="BL238" s="17">
        <v>0</v>
      </c>
      <c r="BM238" s="71"/>
      <c r="BN238" s="71"/>
      <c r="BO238" s="71">
        <f t="shared" si="88"/>
        <v>83.261163531413686</v>
      </c>
      <c r="BP238" s="17">
        <v>0</v>
      </c>
      <c r="BQ238" s="71"/>
      <c r="BR238" s="71"/>
      <c r="BS238" s="138">
        <f t="shared" si="89"/>
        <v>86.456710815818582</v>
      </c>
      <c r="BT238" s="17">
        <v>1</v>
      </c>
      <c r="BU238" s="71"/>
      <c r="BV238" s="71"/>
      <c r="BW238" s="71">
        <f t="shared" si="90"/>
        <v>93.001214173698628</v>
      </c>
      <c r="BX238" s="84">
        <v>0</v>
      </c>
      <c r="BY238" s="17">
        <v>2</v>
      </c>
      <c r="BZ238" s="71"/>
      <c r="CA238" s="71"/>
      <c r="CB238" s="71">
        <f t="shared" si="91"/>
        <v>100.53207713448795</v>
      </c>
      <c r="CC238" s="17">
        <v>0</v>
      </c>
      <c r="CD238" s="71"/>
      <c r="CE238" s="71"/>
      <c r="CF238" s="71">
        <f t="shared" si="92"/>
        <v>81.842287242964616</v>
      </c>
      <c r="CG238" s="17">
        <v>0</v>
      </c>
      <c r="CH238" s="71"/>
      <c r="CI238" s="71"/>
      <c r="CJ238" s="138">
        <f t="shared" si="93"/>
        <v>89.226340793489143</v>
      </c>
      <c r="CK238" s="17">
        <v>0</v>
      </c>
      <c r="CL238" s="71"/>
      <c r="CM238" s="71"/>
      <c r="CN238" s="71">
        <f t="shared" si="94"/>
        <v>81.025191700811078</v>
      </c>
      <c r="CO238" s="93">
        <v>0</v>
      </c>
      <c r="CP238" s="93">
        <v>1</v>
      </c>
      <c r="CQ238" s="93">
        <v>1</v>
      </c>
      <c r="CR238" s="93">
        <v>0</v>
      </c>
      <c r="CS238" s="102">
        <f t="shared" si="95"/>
        <v>94.235302340098514</v>
      </c>
      <c r="CT238" s="102">
        <f t="shared" si="96"/>
        <v>8.363889935926295</v>
      </c>
      <c r="CU238" s="102">
        <f t="shared" si="97"/>
        <v>8.8755378591992229E-2</v>
      </c>
      <c r="CV238" s="108">
        <f t="shared" si="98"/>
        <v>93.492962122333623</v>
      </c>
      <c r="CZ238" s="109" t="str">
        <f t="shared" si="99"/>
        <v>Basso</v>
      </c>
    </row>
    <row r="239" spans="1:104" x14ac:dyDescent="0.15">
      <c r="A239" s="85">
        <v>1</v>
      </c>
      <c r="B239" s="85">
        <v>0</v>
      </c>
      <c r="C239" s="85">
        <v>1</v>
      </c>
      <c r="D239" s="85">
        <v>1</v>
      </c>
      <c r="E239" s="85">
        <v>1</v>
      </c>
      <c r="F239" s="18">
        <v>2</v>
      </c>
      <c r="I239" s="64">
        <f t="shared" si="75"/>
        <v>109.85726154139888</v>
      </c>
      <c r="J239" s="18">
        <v>1</v>
      </c>
      <c r="M239" s="64">
        <f t="shared" si="76"/>
        <v>95.705097084683388</v>
      </c>
      <c r="N239" s="18">
        <v>1</v>
      </c>
      <c r="Q239" s="64">
        <f t="shared" si="77"/>
        <v>98.246708656674187</v>
      </c>
      <c r="R239" s="18">
        <v>3</v>
      </c>
      <c r="U239" s="64">
        <f t="shared" si="78"/>
        <v>111.09942135879838</v>
      </c>
      <c r="V239" s="18">
        <v>2</v>
      </c>
      <c r="Y239" s="114">
        <f t="shared" si="79"/>
        <v>97.875621286587162</v>
      </c>
      <c r="Z239" s="18">
        <v>3</v>
      </c>
      <c r="AC239" s="64">
        <f t="shared" si="80"/>
        <v>109.50350141641081</v>
      </c>
      <c r="AD239" s="24">
        <v>2</v>
      </c>
      <c r="AE239" s="71"/>
      <c r="AF239" s="71"/>
      <c r="AG239" s="71">
        <f t="shared" si="81"/>
        <v>101.01229126330007</v>
      </c>
      <c r="AH239" s="18">
        <v>2</v>
      </c>
      <c r="AK239" s="64">
        <f t="shared" si="82"/>
        <v>99.518280131348902</v>
      </c>
      <c r="AL239" s="18">
        <v>3</v>
      </c>
      <c r="AM239" s="71"/>
      <c r="AN239" s="71"/>
      <c r="AO239" s="71">
        <f t="shared" si="83"/>
        <v>100.85056924463234</v>
      </c>
      <c r="AP239" s="18">
        <v>2</v>
      </c>
      <c r="AQ239" s="71"/>
      <c r="AR239" s="71"/>
      <c r="AS239" s="71">
        <f t="shared" si="84"/>
        <v>99.909880620416757</v>
      </c>
      <c r="AT239" s="18">
        <v>2</v>
      </c>
      <c r="AU239" s="71"/>
      <c r="AV239" s="71"/>
      <c r="AW239" s="71">
        <f t="shared" si="85"/>
        <v>110.91338973410525</v>
      </c>
      <c r="AX239" s="18">
        <v>1</v>
      </c>
      <c r="AY239" s="71"/>
      <c r="AZ239" s="71"/>
      <c r="BA239" s="71">
        <f t="shared" si="86"/>
        <v>90.050552929515405</v>
      </c>
      <c r="BB239" s="85">
        <v>1</v>
      </c>
      <c r="BC239" s="85">
        <v>0</v>
      </c>
      <c r="BD239" s="85">
        <v>1</v>
      </c>
      <c r="BE239" s="85">
        <v>0</v>
      </c>
      <c r="BF239" s="85">
        <v>0</v>
      </c>
      <c r="BG239" s="85">
        <v>0</v>
      </c>
      <c r="BH239" s="19">
        <v>0</v>
      </c>
      <c r="BI239" s="71"/>
      <c r="BJ239" s="71"/>
      <c r="BK239" s="71">
        <f t="shared" si="87"/>
        <v>92.176238572378367</v>
      </c>
      <c r="BL239" s="18">
        <v>2</v>
      </c>
      <c r="BM239" s="71"/>
      <c r="BN239" s="71"/>
      <c r="BO239" s="71">
        <f t="shared" si="88"/>
        <v>101.95148996595998</v>
      </c>
      <c r="BP239" s="18">
        <v>1</v>
      </c>
      <c r="BQ239" s="71"/>
      <c r="BR239" s="71"/>
      <c r="BS239" s="138">
        <f t="shared" si="89"/>
        <v>100.16171091563201</v>
      </c>
      <c r="BT239" s="18">
        <v>3</v>
      </c>
      <c r="BU239" s="71"/>
      <c r="BV239" s="71"/>
      <c r="BW239" s="71">
        <f t="shared" si="90"/>
        <v>112.03791162123835</v>
      </c>
      <c r="BX239" s="85">
        <v>0</v>
      </c>
      <c r="BY239" s="18">
        <v>3</v>
      </c>
      <c r="BZ239" s="71"/>
      <c r="CA239" s="71"/>
      <c r="CB239" s="71">
        <f t="shared" si="91"/>
        <v>110.05345743585116</v>
      </c>
      <c r="CC239" s="18">
        <v>2</v>
      </c>
      <c r="CD239" s="71"/>
      <c r="CE239" s="71"/>
      <c r="CF239" s="71">
        <f t="shared" si="92"/>
        <v>100.18886179687853</v>
      </c>
      <c r="CG239" s="18">
        <v>1</v>
      </c>
      <c r="CH239" s="71"/>
      <c r="CI239" s="71"/>
      <c r="CJ239" s="138">
        <f t="shared" si="93"/>
        <v>103.93736139675698</v>
      </c>
      <c r="CK239" s="18">
        <v>0</v>
      </c>
      <c r="CL239" s="71"/>
      <c r="CM239" s="71"/>
      <c r="CN239" s="71">
        <f t="shared" si="94"/>
        <v>81.025191700811078</v>
      </c>
      <c r="CO239" s="94">
        <v>1</v>
      </c>
      <c r="CP239" s="94">
        <v>1</v>
      </c>
      <c r="CQ239" s="94">
        <v>0</v>
      </c>
      <c r="CR239" s="94">
        <v>0</v>
      </c>
      <c r="CS239" s="102">
        <f t="shared" si="95"/>
        <v>101.4176532396707</v>
      </c>
      <c r="CT239" s="102">
        <f t="shared" si="96"/>
        <v>8.6211867488613976</v>
      </c>
      <c r="CU239" s="102">
        <f t="shared" si="97"/>
        <v>8.5006766312051868E-2</v>
      </c>
      <c r="CV239" s="108">
        <f t="shared" si="98"/>
        <v>100.68479403237768</v>
      </c>
      <c r="CZ239" s="109" t="str">
        <f t="shared" si="99"/>
        <v>Medio-Alto</v>
      </c>
    </row>
    <row r="240" spans="1:104" x14ac:dyDescent="0.15">
      <c r="A240" s="84">
        <v>4</v>
      </c>
      <c r="B240" s="84">
        <v>1</v>
      </c>
      <c r="C240" s="84">
        <v>3</v>
      </c>
      <c r="D240" s="84">
        <v>1</v>
      </c>
      <c r="E240" s="84">
        <v>1</v>
      </c>
      <c r="F240" s="17">
        <v>2</v>
      </c>
      <c r="I240" s="64">
        <f t="shared" si="75"/>
        <v>109.85726154139888</v>
      </c>
      <c r="J240" s="17">
        <v>2</v>
      </c>
      <c r="M240" s="64">
        <f t="shared" si="76"/>
        <v>110.02144013573877</v>
      </c>
      <c r="N240" s="17">
        <v>2</v>
      </c>
      <c r="Q240" s="64">
        <f t="shared" si="77"/>
        <v>113.93405225485253</v>
      </c>
      <c r="R240" s="17">
        <v>3</v>
      </c>
      <c r="U240" s="64">
        <f t="shared" si="78"/>
        <v>111.09942135879838</v>
      </c>
      <c r="V240" s="17">
        <v>0</v>
      </c>
      <c r="Y240" s="114">
        <f t="shared" si="79"/>
        <v>84.977607669437745</v>
      </c>
      <c r="Z240" s="17">
        <v>2</v>
      </c>
      <c r="AC240" s="64">
        <f t="shared" si="80"/>
        <v>101.50550517487696</v>
      </c>
      <c r="AD240" s="25">
        <v>3</v>
      </c>
      <c r="AE240" s="71"/>
      <c r="AF240" s="71"/>
      <c r="AG240" s="71">
        <f t="shared" si="81"/>
        <v>109.20703006144345</v>
      </c>
      <c r="AH240" s="17">
        <v>3</v>
      </c>
      <c r="AK240" s="64">
        <f t="shared" si="82"/>
        <v>110.43726382077395</v>
      </c>
      <c r="AL240" s="17">
        <v>3</v>
      </c>
      <c r="AM240" s="71"/>
      <c r="AN240" s="71"/>
      <c r="AO240" s="71">
        <f t="shared" si="83"/>
        <v>100.85056924463234</v>
      </c>
      <c r="AP240" s="17">
        <v>3</v>
      </c>
      <c r="AQ240" s="71"/>
      <c r="AR240" s="71"/>
      <c r="AS240" s="71">
        <f t="shared" si="84"/>
        <v>110.12341030651692</v>
      </c>
      <c r="AT240" s="17">
        <v>2</v>
      </c>
      <c r="AU240" s="71"/>
      <c r="AV240" s="71"/>
      <c r="AW240" s="71">
        <f t="shared" si="85"/>
        <v>110.91338973410525</v>
      </c>
      <c r="AX240" s="17">
        <v>3</v>
      </c>
      <c r="AY240" s="71"/>
      <c r="AZ240" s="71"/>
      <c r="BA240" s="71">
        <f t="shared" si="86"/>
        <v>111.80497096144313</v>
      </c>
      <c r="BB240" s="84">
        <v>1</v>
      </c>
      <c r="BC240" s="84">
        <v>0</v>
      </c>
      <c r="BD240" s="84">
        <v>1</v>
      </c>
      <c r="BE240" s="84">
        <v>0</v>
      </c>
      <c r="BF240" s="84">
        <v>0</v>
      </c>
      <c r="BG240" s="84">
        <v>0</v>
      </c>
      <c r="BH240" s="20">
        <v>0</v>
      </c>
      <c r="BI240" s="71"/>
      <c r="BJ240" s="71"/>
      <c r="BK240" s="71">
        <f t="shared" si="87"/>
        <v>92.176238572378367</v>
      </c>
      <c r="BL240" s="17">
        <v>3</v>
      </c>
      <c r="BM240" s="71"/>
      <c r="BN240" s="71"/>
      <c r="BO240" s="71">
        <f t="shared" si="88"/>
        <v>111.29665318323313</v>
      </c>
      <c r="BP240" s="17">
        <v>1</v>
      </c>
      <c r="BQ240" s="71"/>
      <c r="BR240" s="71"/>
      <c r="BS240" s="138">
        <f t="shared" si="89"/>
        <v>100.16171091563201</v>
      </c>
      <c r="BT240" s="17">
        <v>3</v>
      </c>
      <c r="BU240" s="71"/>
      <c r="BV240" s="71"/>
      <c r="BW240" s="71">
        <f t="shared" si="90"/>
        <v>112.03791162123835</v>
      </c>
      <c r="BX240" s="84">
        <v>0</v>
      </c>
      <c r="BY240" s="17">
        <v>3</v>
      </c>
      <c r="BZ240" s="71"/>
      <c r="CA240" s="71"/>
      <c r="CB240" s="71">
        <f t="shared" si="91"/>
        <v>110.05345743585116</v>
      </c>
      <c r="CC240" s="17">
        <v>3</v>
      </c>
      <c r="CD240" s="71"/>
      <c r="CE240" s="71"/>
      <c r="CF240" s="71">
        <f t="shared" si="92"/>
        <v>109.36214907383548</v>
      </c>
      <c r="CG240" s="17">
        <v>2</v>
      </c>
      <c r="CH240" s="71"/>
      <c r="CI240" s="71"/>
      <c r="CJ240" s="138">
        <f t="shared" si="93"/>
        <v>118.64838200002481</v>
      </c>
      <c r="CK240" s="17">
        <v>3</v>
      </c>
      <c r="CL240" s="71"/>
      <c r="CM240" s="71"/>
      <c r="CN240" s="71">
        <f t="shared" si="94"/>
        <v>109.82624001207998</v>
      </c>
      <c r="CO240" s="93">
        <v>1</v>
      </c>
      <c r="CP240" s="93">
        <v>0</v>
      </c>
      <c r="CQ240" s="93">
        <v>1</v>
      </c>
      <c r="CR240" s="93">
        <v>0</v>
      </c>
      <c r="CS240" s="102">
        <f t="shared" si="95"/>
        <v>108.50040967607043</v>
      </c>
      <c r="CT240" s="102">
        <f t="shared" si="96"/>
        <v>5.3807175711875219</v>
      </c>
      <c r="CU240" s="102">
        <f t="shared" si="97"/>
        <v>4.9591679766479532E-2</v>
      </c>
      <c r="CV240" s="108">
        <f t="shared" si="98"/>
        <v>108.23357085336623</v>
      </c>
      <c r="CZ240" s="109" t="str">
        <f t="shared" si="99"/>
        <v>Alto</v>
      </c>
    </row>
    <row r="241" spans="1:104" x14ac:dyDescent="0.15">
      <c r="A241" s="85">
        <v>3</v>
      </c>
      <c r="B241" s="85">
        <v>2</v>
      </c>
      <c r="C241" s="85">
        <v>3</v>
      </c>
      <c r="D241" s="85">
        <v>0</v>
      </c>
      <c r="E241" s="85">
        <v>1</v>
      </c>
      <c r="F241" s="18">
        <v>1</v>
      </c>
      <c r="I241" s="64">
        <f t="shared" si="75"/>
        <v>93.428492305734082</v>
      </c>
      <c r="J241" s="18">
        <v>0</v>
      </c>
      <c r="M241" s="64">
        <f t="shared" si="76"/>
        <v>81.388754033628004</v>
      </c>
      <c r="N241" s="18">
        <v>0</v>
      </c>
      <c r="Q241" s="64">
        <f t="shared" si="77"/>
        <v>82.559365058495843</v>
      </c>
      <c r="R241" s="18">
        <v>0</v>
      </c>
      <c r="U241" s="64">
        <f t="shared" si="78"/>
        <v>81.845132506151486</v>
      </c>
      <c r="V241" s="18">
        <v>2</v>
      </c>
      <c r="Y241" s="114">
        <f t="shared" si="79"/>
        <v>97.875621286587162</v>
      </c>
      <c r="Z241" s="18">
        <v>0</v>
      </c>
      <c r="AC241" s="64">
        <f t="shared" si="80"/>
        <v>85.509512691809249</v>
      </c>
      <c r="AD241" s="24">
        <v>0</v>
      </c>
      <c r="AE241" s="71"/>
      <c r="AF241" s="71"/>
      <c r="AG241" s="71">
        <f t="shared" si="81"/>
        <v>84.62281366701329</v>
      </c>
      <c r="AH241" s="18">
        <v>0</v>
      </c>
      <c r="AK241" s="64">
        <f t="shared" si="82"/>
        <v>77.680312752498807</v>
      </c>
      <c r="AL241" s="18">
        <v>3</v>
      </c>
      <c r="AM241" s="71"/>
      <c r="AN241" s="71"/>
      <c r="AO241" s="71">
        <f t="shared" si="83"/>
        <v>100.85056924463234</v>
      </c>
      <c r="AP241" s="18">
        <v>0</v>
      </c>
      <c r="AQ241" s="71"/>
      <c r="AR241" s="71"/>
      <c r="AS241" s="71">
        <f t="shared" si="84"/>
        <v>79.482821248216453</v>
      </c>
      <c r="AT241" s="18">
        <v>0</v>
      </c>
      <c r="AU241" s="71"/>
      <c r="AV241" s="71"/>
      <c r="AW241" s="71">
        <f t="shared" si="85"/>
        <v>89.214252251088965</v>
      </c>
      <c r="AX241" s="18">
        <v>3</v>
      </c>
      <c r="AY241" s="71"/>
      <c r="AZ241" s="71"/>
      <c r="BA241" s="71">
        <f t="shared" si="86"/>
        <v>111.80497096144313</v>
      </c>
      <c r="BB241" s="85">
        <v>1</v>
      </c>
      <c r="BC241" s="85">
        <v>0</v>
      </c>
      <c r="BD241" s="85">
        <v>0</v>
      </c>
      <c r="BE241" s="85">
        <v>1</v>
      </c>
      <c r="BF241" s="85">
        <v>0</v>
      </c>
      <c r="BG241" s="85">
        <v>0</v>
      </c>
      <c r="BH241" s="19">
        <v>0</v>
      </c>
      <c r="BI241" s="71"/>
      <c r="BJ241" s="71"/>
      <c r="BK241" s="71">
        <f t="shared" si="87"/>
        <v>92.176238572378367</v>
      </c>
      <c r="BL241" s="18">
        <v>3</v>
      </c>
      <c r="BM241" s="71"/>
      <c r="BN241" s="71"/>
      <c r="BO241" s="71">
        <f t="shared" si="88"/>
        <v>111.29665318323313</v>
      </c>
      <c r="BP241" s="18">
        <v>0</v>
      </c>
      <c r="BQ241" s="71"/>
      <c r="BR241" s="71"/>
      <c r="BS241" s="138">
        <f t="shared" si="89"/>
        <v>86.456710815818582</v>
      </c>
      <c r="BT241" s="18">
        <v>0</v>
      </c>
      <c r="BU241" s="71"/>
      <c r="BV241" s="71"/>
      <c r="BW241" s="71">
        <f t="shared" si="90"/>
        <v>83.482865449928767</v>
      </c>
      <c r="BX241" s="85">
        <v>2</v>
      </c>
      <c r="BY241" s="18">
        <v>1</v>
      </c>
      <c r="BZ241" s="71"/>
      <c r="CA241" s="71"/>
      <c r="CB241" s="71">
        <f t="shared" si="91"/>
        <v>91.01069683312474</v>
      </c>
      <c r="CC241" s="18">
        <v>0</v>
      </c>
      <c r="CD241" s="71"/>
      <c r="CE241" s="71"/>
      <c r="CF241" s="71">
        <f t="shared" si="92"/>
        <v>81.842287242964616</v>
      </c>
      <c r="CG241" s="18">
        <v>0</v>
      </c>
      <c r="CH241" s="71"/>
      <c r="CI241" s="71"/>
      <c r="CJ241" s="138">
        <f t="shared" si="93"/>
        <v>89.226340793489143</v>
      </c>
      <c r="CK241" s="18">
        <v>2</v>
      </c>
      <c r="CL241" s="71"/>
      <c r="CM241" s="71"/>
      <c r="CN241" s="71">
        <f t="shared" si="94"/>
        <v>100.22589057499034</v>
      </c>
      <c r="CO241" s="94">
        <v>0</v>
      </c>
      <c r="CP241" s="94">
        <v>1</v>
      </c>
      <c r="CQ241" s="94">
        <v>0</v>
      </c>
      <c r="CR241" s="94">
        <v>0</v>
      </c>
      <c r="CS241" s="102">
        <f t="shared" si="95"/>
        <v>89.907154622195975</v>
      </c>
      <c r="CT241" s="102">
        <f t="shared" si="96"/>
        <v>10.564666833049992</v>
      </c>
      <c r="CU241" s="102">
        <f t="shared" si="97"/>
        <v>0.11750640844373716</v>
      </c>
      <c r="CV241" s="108">
        <f t="shared" si="98"/>
        <v>88.665738566239597</v>
      </c>
      <c r="CZ241" s="109" t="str">
        <f t="shared" si="99"/>
        <v>Basso</v>
      </c>
    </row>
    <row r="242" spans="1:104" x14ac:dyDescent="0.15">
      <c r="A242" s="84">
        <v>3</v>
      </c>
      <c r="B242" s="84">
        <v>1</v>
      </c>
      <c r="C242" s="84">
        <v>3</v>
      </c>
      <c r="D242" s="84">
        <v>2</v>
      </c>
      <c r="E242" s="84">
        <v>1</v>
      </c>
      <c r="F242" s="17">
        <v>1</v>
      </c>
      <c r="I242" s="64">
        <f t="shared" si="75"/>
        <v>93.428492305734082</v>
      </c>
      <c r="J242" s="17">
        <v>1</v>
      </c>
      <c r="M242" s="64">
        <f t="shared" si="76"/>
        <v>95.705097084683388</v>
      </c>
      <c r="N242" s="17">
        <v>0</v>
      </c>
      <c r="Q242" s="64">
        <f t="shared" si="77"/>
        <v>82.559365058495843</v>
      </c>
      <c r="R242" s="17">
        <v>0</v>
      </c>
      <c r="U242" s="64">
        <f t="shared" si="78"/>
        <v>81.845132506151486</v>
      </c>
      <c r="V242" s="17">
        <v>2</v>
      </c>
      <c r="Y242" s="114">
        <f t="shared" si="79"/>
        <v>97.875621286587162</v>
      </c>
      <c r="Z242" s="17">
        <v>3</v>
      </c>
      <c r="AC242" s="64">
        <f t="shared" si="80"/>
        <v>109.50350141641081</v>
      </c>
      <c r="AD242" s="25">
        <v>2</v>
      </c>
      <c r="AE242" s="71"/>
      <c r="AF242" s="71"/>
      <c r="AG242" s="71">
        <f t="shared" si="81"/>
        <v>101.01229126330007</v>
      </c>
      <c r="AH242" s="17">
        <v>2</v>
      </c>
      <c r="AK242" s="64">
        <f t="shared" si="82"/>
        <v>99.518280131348902</v>
      </c>
      <c r="AL242" s="17">
        <v>3</v>
      </c>
      <c r="AM242" s="71"/>
      <c r="AN242" s="71"/>
      <c r="AO242" s="71">
        <f t="shared" si="83"/>
        <v>100.85056924463234</v>
      </c>
      <c r="AP242" s="17">
        <v>3</v>
      </c>
      <c r="AQ242" s="71"/>
      <c r="AR242" s="71"/>
      <c r="AS242" s="71">
        <f t="shared" si="84"/>
        <v>110.12341030651692</v>
      </c>
      <c r="AT242" s="17">
        <v>0</v>
      </c>
      <c r="AU242" s="71"/>
      <c r="AV242" s="71"/>
      <c r="AW242" s="71">
        <f t="shared" si="85"/>
        <v>89.214252251088965</v>
      </c>
      <c r="AX242" s="17">
        <v>1</v>
      </c>
      <c r="AY242" s="71"/>
      <c r="AZ242" s="71"/>
      <c r="BA242" s="71">
        <f t="shared" si="86"/>
        <v>90.050552929515405</v>
      </c>
      <c r="BB242" s="84">
        <v>1</v>
      </c>
      <c r="BC242" s="84">
        <v>0</v>
      </c>
      <c r="BD242" s="84">
        <v>1</v>
      </c>
      <c r="BE242" s="84">
        <v>0</v>
      </c>
      <c r="BF242" s="84">
        <v>0</v>
      </c>
      <c r="BG242" s="84">
        <v>0</v>
      </c>
      <c r="BH242" s="20">
        <v>0</v>
      </c>
      <c r="BI242" s="71"/>
      <c r="BJ242" s="71"/>
      <c r="BK242" s="71">
        <f t="shared" si="87"/>
        <v>92.176238572378367</v>
      </c>
      <c r="BL242" s="17">
        <v>3</v>
      </c>
      <c r="BM242" s="71"/>
      <c r="BN242" s="71"/>
      <c r="BO242" s="71">
        <f t="shared" si="88"/>
        <v>111.29665318323313</v>
      </c>
      <c r="BP242" s="17">
        <v>1</v>
      </c>
      <c r="BQ242" s="71"/>
      <c r="BR242" s="71"/>
      <c r="BS242" s="138">
        <f t="shared" si="89"/>
        <v>100.16171091563201</v>
      </c>
      <c r="BT242" s="17">
        <v>3</v>
      </c>
      <c r="BU242" s="71"/>
      <c r="BV242" s="71"/>
      <c r="BW242" s="71">
        <f t="shared" si="90"/>
        <v>112.03791162123835</v>
      </c>
      <c r="BX242" s="84">
        <v>2</v>
      </c>
      <c r="BY242" s="17">
        <v>0</v>
      </c>
      <c r="BZ242" s="71"/>
      <c r="CA242" s="71"/>
      <c r="CB242" s="71">
        <f t="shared" si="91"/>
        <v>81.489316531761531</v>
      </c>
      <c r="CC242" s="17">
        <v>2</v>
      </c>
      <c r="CD242" s="71"/>
      <c r="CE242" s="71"/>
      <c r="CF242" s="71">
        <f t="shared" si="92"/>
        <v>100.18886179687853</v>
      </c>
      <c r="CG242" s="17">
        <v>1</v>
      </c>
      <c r="CH242" s="71"/>
      <c r="CI242" s="71"/>
      <c r="CJ242" s="138">
        <f t="shared" si="93"/>
        <v>103.93736139675698</v>
      </c>
      <c r="CK242" s="17">
        <v>2</v>
      </c>
      <c r="CL242" s="71"/>
      <c r="CM242" s="71"/>
      <c r="CN242" s="71">
        <f t="shared" si="94"/>
        <v>100.22589057499034</v>
      </c>
      <c r="CO242" s="93">
        <v>1</v>
      </c>
      <c r="CP242" s="93">
        <v>1</v>
      </c>
      <c r="CQ242" s="93">
        <v>0</v>
      </c>
      <c r="CR242" s="93">
        <v>0</v>
      </c>
      <c r="CS242" s="102">
        <f t="shared" si="95"/>
        <v>97.13093039872696</v>
      </c>
      <c r="CT242" s="102">
        <f t="shared" si="96"/>
        <v>10.130530747150438</v>
      </c>
      <c r="CU242" s="102">
        <f t="shared" si="97"/>
        <v>0.10429768051808153</v>
      </c>
      <c r="CV242" s="108">
        <f t="shared" si="98"/>
        <v>96.074339539382066</v>
      </c>
      <c r="CZ242" s="109" t="str">
        <f t="shared" si="99"/>
        <v>Medio-Basso</v>
      </c>
    </row>
    <row r="243" spans="1:104" x14ac:dyDescent="0.15">
      <c r="A243" s="85">
        <v>3</v>
      </c>
      <c r="B243" s="85">
        <v>1</v>
      </c>
      <c r="C243" s="85">
        <v>1</v>
      </c>
      <c r="D243" s="85">
        <v>2</v>
      </c>
      <c r="E243" s="85">
        <v>1</v>
      </c>
      <c r="F243" s="18">
        <v>1</v>
      </c>
      <c r="I243" s="64">
        <f t="shared" si="75"/>
        <v>93.428492305734082</v>
      </c>
      <c r="J243" s="18">
        <v>1</v>
      </c>
      <c r="M243" s="64">
        <f t="shared" si="76"/>
        <v>95.705097084683388</v>
      </c>
      <c r="N243" s="18">
        <v>1</v>
      </c>
      <c r="Q243" s="64">
        <f t="shared" si="77"/>
        <v>98.246708656674187</v>
      </c>
      <c r="R243" s="18">
        <v>2</v>
      </c>
      <c r="U243" s="64">
        <f t="shared" si="78"/>
        <v>101.34799174124942</v>
      </c>
      <c r="V243" s="18">
        <v>2</v>
      </c>
      <c r="Y243" s="114">
        <f t="shared" si="79"/>
        <v>97.875621286587162</v>
      </c>
      <c r="Z243" s="18">
        <v>2</v>
      </c>
      <c r="AC243" s="64">
        <f t="shared" si="80"/>
        <v>101.50550517487696</v>
      </c>
      <c r="AD243" s="24">
        <v>3</v>
      </c>
      <c r="AE243" s="71"/>
      <c r="AF243" s="71"/>
      <c r="AG243" s="71">
        <f t="shared" si="81"/>
        <v>109.20703006144345</v>
      </c>
      <c r="AH243" s="18">
        <v>2</v>
      </c>
      <c r="AK243" s="64">
        <f t="shared" si="82"/>
        <v>99.518280131348902</v>
      </c>
      <c r="AL243" s="18">
        <v>3</v>
      </c>
      <c r="AM243" s="71"/>
      <c r="AN243" s="71"/>
      <c r="AO243" s="71">
        <f t="shared" si="83"/>
        <v>100.85056924463234</v>
      </c>
      <c r="AP243" s="18">
        <v>3</v>
      </c>
      <c r="AQ243" s="71"/>
      <c r="AR243" s="71"/>
      <c r="AS243" s="71">
        <f t="shared" si="84"/>
        <v>110.12341030651692</v>
      </c>
      <c r="AT243" s="18">
        <v>2</v>
      </c>
      <c r="AU243" s="71"/>
      <c r="AV243" s="71"/>
      <c r="AW243" s="71">
        <f t="shared" si="85"/>
        <v>110.91338973410525</v>
      </c>
      <c r="AX243" s="18">
        <v>3</v>
      </c>
      <c r="AY243" s="71"/>
      <c r="AZ243" s="71"/>
      <c r="BA243" s="71">
        <f t="shared" si="86"/>
        <v>111.80497096144313</v>
      </c>
      <c r="BB243" s="85">
        <v>1</v>
      </c>
      <c r="BC243" s="85">
        <v>0</v>
      </c>
      <c r="BD243" s="85">
        <v>1</v>
      </c>
      <c r="BE243" s="85">
        <v>0</v>
      </c>
      <c r="BF243" s="85">
        <v>0</v>
      </c>
      <c r="BG243" s="85">
        <v>0</v>
      </c>
      <c r="BH243" s="19">
        <v>2</v>
      </c>
      <c r="BI243" s="71"/>
      <c r="BJ243" s="71"/>
      <c r="BK243" s="71">
        <f t="shared" si="87"/>
        <v>114.81520780975161</v>
      </c>
      <c r="BL243" s="18">
        <v>2</v>
      </c>
      <c r="BM243" s="71"/>
      <c r="BN243" s="71"/>
      <c r="BO243" s="71">
        <f t="shared" si="88"/>
        <v>101.95148996595998</v>
      </c>
      <c r="BP243" s="18">
        <v>2</v>
      </c>
      <c r="BQ243" s="71"/>
      <c r="BR243" s="71"/>
      <c r="BS243" s="138">
        <f t="shared" si="89"/>
        <v>113.86671101544545</v>
      </c>
      <c r="BT243" s="18">
        <v>2</v>
      </c>
      <c r="BU243" s="71"/>
      <c r="BV243" s="71"/>
      <c r="BW243" s="71">
        <f t="shared" si="90"/>
        <v>102.51956289746849</v>
      </c>
      <c r="BX243" s="85">
        <v>1</v>
      </c>
      <c r="BY243" s="18">
        <v>2</v>
      </c>
      <c r="BZ243" s="71"/>
      <c r="CA243" s="71"/>
      <c r="CB243" s="71">
        <f t="shared" si="91"/>
        <v>100.53207713448795</v>
      </c>
      <c r="CC243" s="18">
        <v>1</v>
      </c>
      <c r="CD243" s="71"/>
      <c r="CE243" s="71"/>
      <c r="CF243" s="71">
        <f t="shared" si="92"/>
        <v>91.015574519921572</v>
      </c>
      <c r="CG243" s="17">
        <v>1</v>
      </c>
      <c r="CH243" s="71"/>
      <c r="CI243" s="71"/>
      <c r="CJ243" s="138">
        <f t="shared" si="93"/>
        <v>103.93736139675698</v>
      </c>
      <c r="CK243" s="18">
        <v>3</v>
      </c>
      <c r="CL243" s="71"/>
      <c r="CM243" s="71"/>
      <c r="CN243" s="71">
        <f t="shared" si="94"/>
        <v>109.82624001207998</v>
      </c>
      <c r="CO243" s="94">
        <v>1</v>
      </c>
      <c r="CP243" s="94">
        <v>0</v>
      </c>
      <c r="CQ243" s="94">
        <v>1</v>
      </c>
      <c r="CR243" s="94">
        <v>0</v>
      </c>
      <c r="CS243" s="102">
        <f t="shared" si="95"/>
        <v>103.13597633778691</v>
      </c>
      <c r="CT243" s="102">
        <f t="shared" si="96"/>
        <v>6.8714869297549495</v>
      </c>
      <c r="CU243" s="102">
        <f t="shared" si="97"/>
        <v>6.6625509097327243E-2</v>
      </c>
      <c r="CV243" s="108">
        <f t="shared" si="98"/>
        <v>102.67816002283637</v>
      </c>
      <c r="CZ243" s="109" t="str">
        <f t="shared" si="99"/>
        <v>Medio-Alto</v>
      </c>
    </row>
    <row r="244" spans="1:104" x14ac:dyDescent="0.15">
      <c r="A244" s="84">
        <v>2</v>
      </c>
      <c r="B244" s="84">
        <v>2</v>
      </c>
      <c r="C244" s="84">
        <v>3</v>
      </c>
      <c r="D244" s="84">
        <v>2</v>
      </c>
      <c r="E244" s="84">
        <v>1</v>
      </c>
      <c r="F244" s="17">
        <v>2</v>
      </c>
      <c r="I244" s="64">
        <f t="shared" si="75"/>
        <v>109.85726154139888</v>
      </c>
      <c r="J244" s="17">
        <v>2</v>
      </c>
      <c r="M244" s="64">
        <f t="shared" si="76"/>
        <v>110.02144013573877</v>
      </c>
      <c r="N244" s="17">
        <v>2</v>
      </c>
      <c r="Q244" s="64">
        <f t="shared" si="77"/>
        <v>113.93405225485253</v>
      </c>
      <c r="R244" s="17">
        <v>3</v>
      </c>
      <c r="U244" s="64">
        <f t="shared" si="78"/>
        <v>111.09942135879838</v>
      </c>
      <c r="V244" s="17">
        <v>4</v>
      </c>
      <c r="Y244" s="114">
        <f t="shared" si="79"/>
        <v>110.77363490373656</v>
      </c>
      <c r="Z244" s="17">
        <v>2</v>
      </c>
      <c r="AC244" s="64">
        <f t="shared" si="80"/>
        <v>101.50550517487696</v>
      </c>
      <c r="AD244" s="25">
        <v>3</v>
      </c>
      <c r="AE244" s="71"/>
      <c r="AF244" s="71"/>
      <c r="AG244" s="71">
        <f t="shared" si="81"/>
        <v>109.20703006144345</v>
      </c>
      <c r="AH244" s="17">
        <v>3</v>
      </c>
      <c r="AK244" s="64">
        <f t="shared" si="82"/>
        <v>110.43726382077395</v>
      </c>
      <c r="AL244" s="17">
        <v>0</v>
      </c>
      <c r="AM244" s="71"/>
      <c r="AN244" s="71"/>
      <c r="AO244" s="71">
        <f t="shared" si="83"/>
        <v>67.482083493671226</v>
      </c>
      <c r="AP244" s="17">
        <v>3</v>
      </c>
      <c r="AQ244" s="71"/>
      <c r="AR244" s="71"/>
      <c r="AS244" s="71">
        <f t="shared" si="84"/>
        <v>110.12341030651692</v>
      </c>
      <c r="AT244" s="17">
        <v>2</v>
      </c>
      <c r="AU244" s="71"/>
      <c r="AV244" s="71"/>
      <c r="AW244" s="71">
        <f t="shared" si="85"/>
        <v>110.91338973410525</v>
      </c>
      <c r="AX244" s="17">
        <v>1</v>
      </c>
      <c r="AY244" s="71"/>
      <c r="AZ244" s="71"/>
      <c r="BA244" s="71">
        <f t="shared" si="86"/>
        <v>90.050552929515405</v>
      </c>
      <c r="BB244" s="84">
        <v>1</v>
      </c>
      <c r="BC244" s="84">
        <v>0</v>
      </c>
      <c r="BD244" s="84">
        <v>1</v>
      </c>
      <c r="BE244" s="84">
        <v>0</v>
      </c>
      <c r="BF244" s="84">
        <v>0</v>
      </c>
      <c r="BG244" s="84">
        <v>0</v>
      </c>
      <c r="BH244" s="20">
        <v>2</v>
      </c>
      <c r="BI244" s="71"/>
      <c r="BJ244" s="71"/>
      <c r="BK244" s="71">
        <f t="shared" si="87"/>
        <v>114.81520780975161</v>
      </c>
      <c r="BL244" s="17">
        <v>2</v>
      </c>
      <c r="BM244" s="71"/>
      <c r="BN244" s="71"/>
      <c r="BO244" s="71">
        <f t="shared" si="88"/>
        <v>101.95148996595998</v>
      </c>
      <c r="BP244" s="17">
        <v>1</v>
      </c>
      <c r="BQ244" s="71"/>
      <c r="BR244" s="71"/>
      <c r="BS244" s="138">
        <f t="shared" si="89"/>
        <v>100.16171091563201</v>
      </c>
      <c r="BT244" s="17">
        <v>3</v>
      </c>
      <c r="BU244" s="71"/>
      <c r="BV244" s="71"/>
      <c r="BW244" s="71">
        <f t="shared" si="90"/>
        <v>112.03791162123835</v>
      </c>
      <c r="BX244" s="84">
        <v>2</v>
      </c>
      <c r="BY244" s="17">
        <v>2</v>
      </c>
      <c r="BZ244" s="71"/>
      <c r="CA244" s="71"/>
      <c r="CB244" s="71">
        <f t="shared" si="91"/>
        <v>100.53207713448795</v>
      </c>
      <c r="CC244" s="17">
        <v>2</v>
      </c>
      <c r="CD244" s="71"/>
      <c r="CE244" s="71"/>
      <c r="CF244" s="71">
        <f t="shared" si="92"/>
        <v>100.18886179687853</v>
      </c>
      <c r="CG244" s="17">
        <v>2</v>
      </c>
      <c r="CH244" s="71"/>
      <c r="CI244" s="71"/>
      <c r="CJ244" s="138">
        <f t="shared" si="93"/>
        <v>118.64838200002481</v>
      </c>
      <c r="CK244" s="17">
        <v>3</v>
      </c>
      <c r="CL244" s="71"/>
      <c r="CM244" s="71"/>
      <c r="CN244" s="71">
        <f t="shared" si="94"/>
        <v>109.82624001207998</v>
      </c>
      <c r="CO244" s="93">
        <v>1</v>
      </c>
      <c r="CP244" s="93">
        <v>0</v>
      </c>
      <c r="CQ244" s="93">
        <v>1</v>
      </c>
      <c r="CR244" s="93">
        <v>0</v>
      </c>
      <c r="CS244" s="102">
        <f t="shared" si="95"/>
        <v>104.94018818541696</v>
      </c>
      <c r="CT244" s="102">
        <f t="shared" si="96"/>
        <v>11.562615222297557</v>
      </c>
      <c r="CU244" s="102">
        <f t="shared" si="97"/>
        <v>0.11018290916219607</v>
      </c>
      <c r="CV244" s="108">
        <f t="shared" si="98"/>
        <v>103.66618560270112</v>
      </c>
      <c r="CZ244" s="109" t="str">
        <f t="shared" si="99"/>
        <v>Alto</v>
      </c>
    </row>
    <row r="245" spans="1:104" x14ac:dyDescent="0.15">
      <c r="A245" s="85">
        <v>2</v>
      </c>
      <c r="B245" s="85">
        <v>0</v>
      </c>
      <c r="C245" s="85">
        <v>3</v>
      </c>
      <c r="D245" s="85">
        <v>1</v>
      </c>
      <c r="E245" s="85">
        <v>1</v>
      </c>
      <c r="F245" s="18">
        <v>2</v>
      </c>
      <c r="I245" s="64">
        <f t="shared" si="75"/>
        <v>109.85726154139888</v>
      </c>
      <c r="J245" s="18">
        <v>2</v>
      </c>
      <c r="M245" s="64">
        <f t="shared" si="76"/>
        <v>110.02144013573877</v>
      </c>
      <c r="N245" s="18">
        <v>2</v>
      </c>
      <c r="Q245" s="64">
        <f t="shared" si="77"/>
        <v>113.93405225485253</v>
      </c>
      <c r="R245" s="18">
        <v>3</v>
      </c>
      <c r="U245" s="64">
        <f t="shared" si="78"/>
        <v>111.09942135879838</v>
      </c>
      <c r="V245" s="18">
        <v>1</v>
      </c>
      <c r="Y245" s="114">
        <f t="shared" si="79"/>
        <v>91.426614478012453</v>
      </c>
      <c r="Z245" s="18">
        <v>2</v>
      </c>
      <c r="AC245" s="64">
        <f t="shared" si="80"/>
        <v>101.50550517487696</v>
      </c>
      <c r="AD245" s="24">
        <v>3</v>
      </c>
      <c r="AE245" s="71"/>
      <c r="AF245" s="71"/>
      <c r="AG245" s="71">
        <f t="shared" si="81"/>
        <v>109.20703006144345</v>
      </c>
      <c r="AH245" s="18">
        <v>3</v>
      </c>
      <c r="AK245" s="64">
        <f t="shared" si="82"/>
        <v>110.43726382077395</v>
      </c>
      <c r="AL245" s="18">
        <v>4</v>
      </c>
      <c r="AM245" s="71"/>
      <c r="AN245" s="71"/>
      <c r="AO245" s="71">
        <f t="shared" si="83"/>
        <v>111.97339782828605</v>
      </c>
      <c r="AP245" s="18">
        <v>3</v>
      </c>
      <c r="AQ245" s="71"/>
      <c r="AR245" s="71"/>
      <c r="AS245" s="71">
        <f t="shared" si="84"/>
        <v>110.12341030651692</v>
      </c>
      <c r="AT245" s="18">
        <v>2</v>
      </c>
      <c r="AU245" s="71"/>
      <c r="AV245" s="71"/>
      <c r="AW245" s="71">
        <f t="shared" si="85"/>
        <v>110.91338973410525</v>
      </c>
      <c r="AX245" s="18">
        <v>1</v>
      </c>
      <c r="AY245" s="71"/>
      <c r="AZ245" s="71"/>
      <c r="BA245" s="71">
        <f t="shared" si="86"/>
        <v>90.050552929515405</v>
      </c>
      <c r="BB245" s="85">
        <v>1</v>
      </c>
      <c r="BC245" s="85">
        <v>0</v>
      </c>
      <c r="BD245" s="85">
        <v>1</v>
      </c>
      <c r="BE245" s="85">
        <v>0</v>
      </c>
      <c r="BF245" s="85">
        <v>0</v>
      </c>
      <c r="BG245" s="85">
        <v>0</v>
      </c>
      <c r="BH245" s="19">
        <v>2</v>
      </c>
      <c r="BI245" s="71"/>
      <c r="BJ245" s="71"/>
      <c r="BK245" s="71">
        <f t="shared" si="87"/>
        <v>114.81520780975161</v>
      </c>
      <c r="BL245" s="18">
        <v>2</v>
      </c>
      <c r="BM245" s="71"/>
      <c r="BN245" s="71"/>
      <c r="BO245" s="71">
        <f t="shared" si="88"/>
        <v>101.95148996595998</v>
      </c>
      <c r="BP245" s="18">
        <v>1</v>
      </c>
      <c r="BQ245" s="71"/>
      <c r="BR245" s="71"/>
      <c r="BS245" s="138">
        <f t="shared" si="89"/>
        <v>100.16171091563201</v>
      </c>
      <c r="BT245" s="18">
        <v>3</v>
      </c>
      <c r="BU245" s="71"/>
      <c r="BV245" s="71"/>
      <c r="BW245" s="71">
        <f t="shared" si="90"/>
        <v>112.03791162123835</v>
      </c>
      <c r="BX245" s="85">
        <v>1</v>
      </c>
      <c r="BY245" s="18">
        <v>2</v>
      </c>
      <c r="BZ245" s="71"/>
      <c r="CA245" s="71"/>
      <c r="CB245" s="71">
        <f t="shared" si="91"/>
        <v>100.53207713448795</v>
      </c>
      <c r="CC245" s="18">
        <v>3</v>
      </c>
      <c r="CD245" s="71"/>
      <c r="CE245" s="71"/>
      <c r="CF245" s="71">
        <f t="shared" si="92"/>
        <v>109.36214907383548</v>
      </c>
      <c r="CG245" s="18">
        <v>2</v>
      </c>
      <c r="CH245" s="71"/>
      <c r="CI245" s="71"/>
      <c r="CJ245" s="138">
        <f t="shared" si="93"/>
        <v>118.64838200002481</v>
      </c>
      <c r="CK245" s="18">
        <v>3</v>
      </c>
      <c r="CL245" s="71"/>
      <c r="CM245" s="71"/>
      <c r="CN245" s="71">
        <f t="shared" si="94"/>
        <v>109.82624001207998</v>
      </c>
      <c r="CO245" s="94">
        <v>0</v>
      </c>
      <c r="CP245" s="94">
        <v>1</v>
      </c>
      <c r="CQ245" s="94">
        <v>1</v>
      </c>
      <c r="CR245" s="94">
        <v>0</v>
      </c>
      <c r="CS245" s="102">
        <f t="shared" si="95"/>
        <v>108.09692945668588</v>
      </c>
      <c r="CT245" s="102">
        <f t="shared" si="96"/>
        <v>6.189885581434984</v>
      </c>
      <c r="CU245" s="102">
        <f t="shared" si="97"/>
        <v>5.7262362701201913E-2</v>
      </c>
      <c r="CV245" s="108">
        <f t="shared" si="98"/>
        <v>107.74248198344281</v>
      </c>
      <c r="CZ245" s="109" t="str">
        <f t="shared" si="99"/>
        <v>Alto</v>
      </c>
    </row>
    <row r="246" spans="1:104" x14ac:dyDescent="0.15">
      <c r="A246" s="84">
        <v>3</v>
      </c>
      <c r="B246" s="84">
        <v>2</v>
      </c>
      <c r="C246" s="84">
        <v>3</v>
      </c>
      <c r="D246" s="84">
        <v>2</v>
      </c>
      <c r="E246" s="84">
        <v>1</v>
      </c>
      <c r="F246" s="17">
        <v>1</v>
      </c>
      <c r="I246" s="64">
        <f t="shared" si="75"/>
        <v>93.428492305734082</v>
      </c>
      <c r="J246" s="17">
        <v>0</v>
      </c>
      <c r="M246" s="64">
        <f t="shared" si="76"/>
        <v>81.388754033628004</v>
      </c>
      <c r="N246" s="17">
        <v>1</v>
      </c>
      <c r="Q246" s="64">
        <f t="shared" si="77"/>
        <v>98.246708656674187</v>
      </c>
      <c r="R246" s="17">
        <v>0</v>
      </c>
      <c r="U246" s="64">
        <f t="shared" si="78"/>
        <v>81.845132506151486</v>
      </c>
      <c r="V246" s="17">
        <v>2</v>
      </c>
      <c r="Y246" s="114">
        <f t="shared" si="79"/>
        <v>97.875621286587162</v>
      </c>
      <c r="Z246" s="17">
        <v>0</v>
      </c>
      <c r="AC246" s="64">
        <f t="shared" si="80"/>
        <v>85.509512691809249</v>
      </c>
      <c r="AD246" s="25">
        <v>3</v>
      </c>
      <c r="AE246" s="71"/>
      <c r="AF246" s="71"/>
      <c r="AG246" s="71">
        <f t="shared" si="81"/>
        <v>109.20703006144345</v>
      </c>
      <c r="AH246" s="17">
        <v>1</v>
      </c>
      <c r="AK246" s="64">
        <f t="shared" si="82"/>
        <v>88.599296441923855</v>
      </c>
      <c r="AL246" s="17">
        <v>3</v>
      </c>
      <c r="AM246" s="71"/>
      <c r="AN246" s="71"/>
      <c r="AO246" s="71">
        <f t="shared" si="83"/>
        <v>100.85056924463234</v>
      </c>
      <c r="AP246" s="17">
        <v>2</v>
      </c>
      <c r="AQ246" s="71"/>
      <c r="AR246" s="71"/>
      <c r="AS246" s="71">
        <f t="shared" si="84"/>
        <v>99.909880620416757</v>
      </c>
      <c r="AT246" s="17">
        <v>2</v>
      </c>
      <c r="AU246" s="71"/>
      <c r="AV246" s="71"/>
      <c r="AW246" s="71">
        <f t="shared" si="85"/>
        <v>110.91338973410525</v>
      </c>
      <c r="AX246" s="17">
        <v>1</v>
      </c>
      <c r="AY246" s="71"/>
      <c r="AZ246" s="71"/>
      <c r="BA246" s="71">
        <f t="shared" si="86"/>
        <v>90.050552929515405</v>
      </c>
      <c r="BB246" s="84">
        <v>1</v>
      </c>
      <c r="BC246" s="84">
        <v>0</v>
      </c>
      <c r="BD246" s="84">
        <v>1</v>
      </c>
      <c r="BE246" s="84">
        <v>0</v>
      </c>
      <c r="BF246" s="84">
        <v>0</v>
      </c>
      <c r="BG246" s="84">
        <v>0</v>
      </c>
      <c r="BH246" s="20">
        <v>2</v>
      </c>
      <c r="BI246" s="71"/>
      <c r="BJ246" s="71"/>
      <c r="BK246" s="71">
        <f t="shared" si="87"/>
        <v>114.81520780975161</v>
      </c>
      <c r="BL246" s="17">
        <v>1</v>
      </c>
      <c r="BM246" s="71"/>
      <c r="BN246" s="71"/>
      <c r="BO246" s="71">
        <f t="shared" si="88"/>
        <v>92.606326748686826</v>
      </c>
      <c r="BP246" s="17">
        <v>1</v>
      </c>
      <c r="BQ246" s="71"/>
      <c r="BR246" s="71"/>
      <c r="BS246" s="138">
        <f t="shared" si="89"/>
        <v>100.16171091563201</v>
      </c>
      <c r="BT246" s="17">
        <v>1</v>
      </c>
      <c r="BU246" s="71"/>
      <c r="BV246" s="71"/>
      <c r="BW246" s="71">
        <f t="shared" si="90"/>
        <v>93.001214173698628</v>
      </c>
      <c r="BX246" s="84">
        <v>0</v>
      </c>
      <c r="BY246" s="17">
        <v>2</v>
      </c>
      <c r="BZ246" s="71"/>
      <c r="CA246" s="71"/>
      <c r="CB246" s="71">
        <f t="shared" si="91"/>
        <v>100.53207713448795</v>
      </c>
      <c r="CC246" s="17">
        <v>3</v>
      </c>
      <c r="CD246" s="71"/>
      <c r="CE246" s="71"/>
      <c r="CF246" s="71">
        <f t="shared" si="92"/>
        <v>109.36214907383548</v>
      </c>
      <c r="CG246" s="17">
        <v>1</v>
      </c>
      <c r="CH246" s="71"/>
      <c r="CI246" s="71"/>
      <c r="CJ246" s="138">
        <f t="shared" si="93"/>
        <v>103.93736139675698</v>
      </c>
      <c r="CK246" s="17">
        <v>3</v>
      </c>
      <c r="CL246" s="71"/>
      <c r="CM246" s="71"/>
      <c r="CN246" s="71">
        <f t="shared" si="94"/>
        <v>109.82624001207998</v>
      </c>
      <c r="CO246" s="93">
        <v>1</v>
      </c>
      <c r="CP246" s="93">
        <v>0</v>
      </c>
      <c r="CQ246" s="93">
        <v>1</v>
      </c>
      <c r="CR246" s="93">
        <v>0</v>
      </c>
      <c r="CS246" s="102">
        <f t="shared" si="95"/>
        <v>97.652502010504392</v>
      </c>
      <c r="CT246" s="102">
        <f t="shared" si="96"/>
        <v>10.546700582044693</v>
      </c>
      <c r="CU246" s="102">
        <f t="shared" si="97"/>
        <v>0.10800235902721872</v>
      </c>
      <c r="CV246" s="108">
        <f t="shared" si="98"/>
        <v>96.513433467689822</v>
      </c>
      <c r="CZ246" s="109" t="str">
        <f t="shared" si="99"/>
        <v>Medio-Basso</v>
      </c>
    </row>
    <row r="247" spans="1:104" x14ac:dyDescent="0.15">
      <c r="A247" s="85">
        <v>2</v>
      </c>
      <c r="B247" s="85">
        <v>2</v>
      </c>
      <c r="C247" s="85">
        <v>3</v>
      </c>
      <c r="D247" s="85">
        <v>1</v>
      </c>
      <c r="E247" s="85">
        <v>1</v>
      </c>
      <c r="F247" s="18">
        <v>2</v>
      </c>
      <c r="I247" s="64">
        <f t="shared" si="75"/>
        <v>109.85726154139888</v>
      </c>
      <c r="J247" s="18">
        <v>1</v>
      </c>
      <c r="M247" s="64">
        <f t="shared" si="76"/>
        <v>95.705097084683388</v>
      </c>
      <c r="N247" s="18">
        <v>1</v>
      </c>
      <c r="Q247" s="64">
        <f t="shared" si="77"/>
        <v>98.246708656674187</v>
      </c>
      <c r="R247" s="18">
        <v>3</v>
      </c>
      <c r="U247" s="64">
        <f t="shared" si="78"/>
        <v>111.09942135879838</v>
      </c>
      <c r="V247" s="18">
        <v>0</v>
      </c>
      <c r="Y247" s="114">
        <f t="shared" si="79"/>
        <v>84.977607669437745</v>
      </c>
      <c r="Z247" s="18">
        <v>1</v>
      </c>
      <c r="AC247" s="64">
        <f t="shared" si="80"/>
        <v>93.507508933343104</v>
      </c>
      <c r="AD247" s="24">
        <v>3</v>
      </c>
      <c r="AE247" s="71"/>
      <c r="AF247" s="71"/>
      <c r="AG247" s="71">
        <f t="shared" si="81"/>
        <v>109.20703006144345</v>
      </c>
      <c r="AH247" s="18">
        <v>2</v>
      </c>
      <c r="AK247" s="64">
        <f t="shared" si="82"/>
        <v>99.518280131348902</v>
      </c>
      <c r="AL247" s="18">
        <v>3</v>
      </c>
      <c r="AM247" s="71"/>
      <c r="AN247" s="71"/>
      <c r="AO247" s="71">
        <f t="shared" si="83"/>
        <v>100.85056924463234</v>
      </c>
      <c r="AP247" s="18">
        <v>2</v>
      </c>
      <c r="AQ247" s="71"/>
      <c r="AR247" s="71"/>
      <c r="AS247" s="71">
        <f t="shared" si="84"/>
        <v>99.909880620416757</v>
      </c>
      <c r="AT247" s="18">
        <v>2</v>
      </c>
      <c r="AU247" s="71"/>
      <c r="AV247" s="71"/>
      <c r="AW247" s="71">
        <f t="shared" si="85"/>
        <v>110.91338973410525</v>
      </c>
      <c r="AX247" s="18">
        <v>2</v>
      </c>
      <c r="AY247" s="71"/>
      <c r="AZ247" s="71"/>
      <c r="BA247" s="71">
        <f t="shared" si="86"/>
        <v>100.92776194547928</v>
      </c>
      <c r="BB247" s="85">
        <v>1</v>
      </c>
      <c r="BC247" s="85">
        <v>0</v>
      </c>
      <c r="BD247" s="85">
        <v>0</v>
      </c>
      <c r="BE247" s="85">
        <v>1</v>
      </c>
      <c r="BF247" s="85">
        <v>0</v>
      </c>
      <c r="BG247" s="85">
        <v>0</v>
      </c>
      <c r="BH247" s="19">
        <v>0</v>
      </c>
      <c r="BI247" s="71"/>
      <c r="BJ247" s="71"/>
      <c r="BK247" s="71">
        <f t="shared" si="87"/>
        <v>92.176238572378367</v>
      </c>
      <c r="BL247" s="18">
        <v>2</v>
      </c>
      <c r="BM247" s="71"/>
      <c r="BN247" s="71"/>
      <c r="BO247" s="71">
        <f t="shared" si="88"/>
        <v>101.95148996595998</v>
      </c>
      <c r="BP247" s="18">
        <v>2</v>
      </c>
      <c r="BQ247" s="71"/>
      <c r="BR247" s="71"/>
      <c r="BS247" s="138">
        <f t="shared" si="89"/>
        <v>113.86671101544545</v>
      </c>
      <c r="BT247" s="18">
        <v>3</v>
      </c>
      <c r="BU247" s="71"/>
      <c r="BV247" s="71"/>
      <c r="BW247" s="71">
        <f t="shared" si="90"/>
        <v>112.03791162123835</v>
      </c>
      <c r="BX247" s="85">
        <v>2</v>
      </c>
      <c r="BY247" s="18">
        <v>2</v>
      </c>
      <c r="BZ247" s="71"/>
      <c r="CA247" s="71"/>
      <c r="CB247" s="71">
        <f t="shared" si="91"/>
        <v>100.53207713448795</v>
      </c>
      <c r="CC247" s="18">
        <v>3</v>
      </c>
      <c r="CD247" s="71"/>
      <c r="CE247" s="71"/>
      <c r="CF247" s="71">
        <f t="shared" si="92"/>
        <v>109.36214907383548</v>
      </c>
      <c r="CG247" s="18">
        <v>1</v>
      </c>
      <c r="CH247" s="71"/>
      <c r="CI247" s="71"/>
      <c r="CJ247" s="138">
        <f t="shared" si="93"/>
        <v>103.93736139675698</v>
      </c>
      <c r="CK247" s="18">
        <v>2</v>
      </c>
      <c r="CL247" s="71"/>
      <c r="CM247" s="71"/>
      <c r="CN247" s="71">
        <f t="shared" si="94"/>
        <v>100.22589057499034</v>
      </c>
      <c r="CO247" s="94">
        <v>0</v>
      </c>
      <c r="CP247" s="94">
        <v>1</v>
      </c>
      <c r="CQ247" s="94">
        <v>1</v>
      </c>
      <c r="CR247" s="94">
        <v>0</v>
      </c>
      <c r="CS247" s="102">
        <f t="shared" si="95"/>
        <v>102.70756860324794</v>
      </c>
      <c r="CT247" s="102">
        <f t="shared" si="96"/>
        <v>6.4372954032898884</v>
      </c>
      <c r="CU247" s="102">
        <f t="shared" si="97"/>
        <v>6.2675959433493203E-2</v>
      </c>
      <c r="CV247" s="108">
        <f t="shared" si="98"/>
        <v>102.30410493768993</v>
      </c>
      <c r="CZ247" s="109" t="str">
        <f t="shared" si="99"/>
        <v>Medio-Alto</v>
      </c>
    </row>
    <row r="248" spans="1:104" x14ac:dyDescent="0.15">
      <c r="A248" s="84">
        <v>3</v>
      </c>
      <c r="B248" s="84">
        <v>2</v>
      </c>
      <c r="C248" s="84">
        <v>3</v>
      </c>
      <c r="D248" s="84">
        <v>2</v>
      </c>
      <c r="E248" s="84">
        <v>1</v>
      </c>
      <c r="F248" s="17">
        <v>1</v>
      </c>
      <c r="I248" s="64">
        <f t="shared" si="75"/>
        <v>93.428492305734082</v>
      </c>
      <c r="J248" s="17">
        <v>1</v>
      </c>
      <c r="M248" s="64">
        <f t="shared" si="76"/>
        <v>95.705097084683388</v>
      </c>
      <c r="N248" s="17">
        <v>1</v>
      </c>
      <c r="Q248" s="64">
        <f t="shared" si="77"/>
        <v>98.246708656674187</v>
      </c>
      <c r="R248" s="17">
        <v>0</v>
      </c>
      <c r="U248" s="64">
        <f t="shared" si="78"/>
        <v>81.845132506151486</v>
      </c>
      <c r="V248" s="17">
        <v>2</v>
      </c>
      <c r="Y248" s="114">
        <f t="shared" si="79"/>
        <v>97.875621286587162</v>
      </c>
      <c r="Z248" s="17">
        <v>0</v>
      </c>
      <c r="AC248" s="64">
        <f t="shared" si="80"/>
        <v>85.509512691809249</v>
      </c>
      <c r="AD248" s="25">
        <v>0</v>
      </c>
      <c r="AE248" s="71"/>
      <c r="AF248" s="71"/>
      <c r="AG248" s="71">
        <f t="shared" si="81"/>
        <v>84.62281366701329</v>
      </c>
      <c r="AH248" s="17">
        <v>1</v>
      </c>
      <c r="AK248" s="64">
        <f t="shared" si="82"/>
        <v>88.599296441923855</v>
      </c>
      <c r="AL248" s="17">
        <v>3</v>
      </c>
      <c r="AM248" s="71"/>
      <c r="AN248" s="71"/>
      <c r="AO248" s="71">
        <f t="shared" si="83"/>
        <v>100.85056924463234</v>
      </c>
      <c r="AP248" s="17">
        <v>2</v>
      </c>
      <c r="AQ248" s="71"/>
      <c r="AR248" s="71"/>
      <c r="AS248" s="71">
        <f t="shared" si="84"/>
        <v>99.909880620416757</v>
      </c>
      <c r="AT248" s="17">
        <v>0</v>
      </c>
      <c r="AU248" s="71"/>
      <c r="AV248" s="71"/>
      <c r="AW248" s="71">
        <f t="shared" si="85"/>
        <v>89.214252251088965</v>
      </c>
      <c r="AX248" s="17">
        <v>3</v>
      </c>
      <c r="AY248" s="71"/>
      <c r="AZ248" s="71"/>
      <c r="BA248" s="71">
        <f t="shared" si="86"/>
        <v>111.80497096144313</v>
      </c>
      <c r="BB248" s="84">
        <v>1</v>
      </c>
      <c r="BC248" s="84">
        <v>0</v>
      </c>
      <c r="BD248" s="84">
        <v>0</v>
      </c>
      <c r="BE248" s="84">
        <v>1</v>
      </c>
      <c r="BF248" s="84">
        <v>0</v>
      </c>
      <c r="BG248" s="84">
        <v>0</v>
      </c>
      <c r="BH248" s="20">
        <v>0</v>
      </c>
      <c r="BI248" s="71"/>
      <c r="BJ248" s="71"/>
      <c r="BK248" s="71">
        <f t="shared" si="87"/>
        <v>92.176238572378367</v>
      </c>
      <c r="BL248" s="17">
        <v>2</v>
      </c>
      <c r="BM248" s="71"/>
      <c r="BN248" s="71"/>
      <c r="BO248" s="71">
        <f t="shared" si="88"/>
        <v>101.95148996595998</v>
      </c>
      <c r="BP248" s="17">
        <v>1</v>
      </c>
      <c r="BQ248" s="71"/>
      <c r="BR248" s="71"/>
      <c r="BS248" s="138">
        <f t="shared" si="89"/>
        <v>100.16171091563201</v>
      </c>
      <c r="BT248" s="17">
        <v>0</v>
      </c>
      <c r="BU248" s="71"/>
      <c r="BV248" s="71"/>
      <c r="BW248" s="71">
        <f t="shared" si="90"/>
        <v>83.482865449928767</v>
      </c>
      <c r="BX248" s="84">
        <v>2</v>
      </c>
      <c r="BY248" s="17">
        <v>0</v>
      </c>
      <c r="BZ248" s="71"/>
      <c r="CA248" s="71"/>
      <c r="CB248" s="71">
        <f t="shared" si="91"/>
        <v>81.489316531761531</v>
      </c>
      <c r="CC248" s="17">
        <v>1</v>
      </c>
      <c r="CD248" s="71"/>
      <c r="CE248" s="71"/>
      <c r="CF248" s="71">
        <f t="shared" si="92"/>
        <v>91.015574519921572</v>
      </c>
      <c r="CG248" s="17">
        <v>0</v>
      </c>
      <c r="CH248" s="71"/>
      <c r="CI248" s="71"/>
      <c r="CJ248" s="138">
        <f t="shared" si="93"/>
        <v>89.226340793489143</v>
      </c>
      <c r="CK248" s="17">
        <v>2</v>
      </c>
      <c r="CL248" s="71"/>
      <c r="CM248" s="71"/>
      <c r="CN248" s="71">
        <f t="shared" si="94"/>
        <v>100.22589057499034</v>
      </c>
      <c r="CO248" s="93">
        <v>0</v>
      </c>
      <c r="CP248" s="93">
        <v>0</v>
      </c>
      <c r="CQ248" s="93">
        <v>0</v>
      </c>
      <c r="CR248" s="93">
        <v>1</v>
      </c>
      <c r="CS248" s="102">
        <f t="shared" si="95"/>
        <v>92.945770708618326</v>
      </c>
      <c r="CT248" s="102">
        <f t="shared" si="96"/>
        <v>8.4499578786024827</v>
      </c>
      <c r="CU248" s="102">
        <f t="shared" si="97"/>
        <v>9.0912774343361993E-2</v>
      </c>
      <c r="CV248" s="108">
        <f t="shared" si="98"/>
        <v>92.177561594790021</v>
      </c>
      <c r="CZ248" s="109" t="str">
        <f t="shared" si="99"/>
        <v>Basso</v>
      </c>
    </row>
    <row r="249" spans="1:104" x14ac:dyDescent="0.15">
      <c r="A249" s="85">
        <v>2</v>
      </c>
      <c r="B249" s="85">
        <v>2</v>
      </c>
      <c r="C249" s="85">
        <v>3</v>
      </c>
      <c r="D249" s="85">
        <v>1</v>
      </c>
      <c r="E249" s="85">
        <v>0</v>
      </c>
      <c r="F249" s="18">
        <v>1</v>
      </c>
      <c r="I249" s="64">
        <f t="shared" si="75"/>
        <v>93.428492305734082</v>
      </c>
      <c r="J249" s="18">
        <v>1</v>
      </c>
      <c r="M249" s="64">
        <f t="shared" si="76"/>
        <v>95.705097084683388</v>
      </c>
      <c r="N249" s="18">
        <v>1</v>
      </c>
      <c r="Q249" s="64">
        <f t="shared" si="77"/>
        <v>98.246708656674187</v>
      </c>
      <c r="R249" s="18">
        <v>1</v>
      </c>
      <c r="U249" s="64">
        <f t="shared" si="78"/>
        <v>91.596562123700451</v>
      </c>
      <c r="V249" s="18">
        <v>4</v>
      </c>
      <c r="Y249" s="114">
        <f t="shared" si="79"/>
        <v>110.77363490373656</v>
      </c>
      <c r="Z249" s="18">
        <v>3</v>
      </c>
      <c r="AC249" s="64">
        <f t="shared" si="80"/>
        <v>109.50350141641081</v>
      </c>
      <c r="AD249" s="24">
        <v>1</v>
      </c>
      <c r="AE249" s="71"/>
      <c r="AF249" s="71"/>
      <c r="AG249" s="71">
        <f t="shared" si="81"/>
        <v>92.81755246515668</v>
      </c>
      <c r="AH249" s="18">
        <v>2</v>
      </c>
      <c r="AK249" s="64">
        <f t="shared" si="82"/>
        <v>99.518280131348902</v>
      </c>
      <c r="AL249" s="18">
        <v>3</v>
      </c>
      <c r="AM249" s="71"/>
      <c r="AN249" s="71"/>
      <c r="AO249" s="71">
        <f t="shared" si="83"/>
        <v>100.85056924463234</v>
      </c>
      <c r="AP249" s="18">
        <v>2</v>
      </c>
      <c r="AQ249" s="71"/>
      <c r="AR249" s="71"/>
      <c r="AS249" s="71">
        <f t="shared" si="84"/>
        <v>99.909880620416757</v>
      </c>
      <c r="AT249" s="18">
        <v>0</v>
      </c>
      <c r="AU249" s="71"/>
      <c r="AV249" s="71"/>
      <c r="AW249" s="71">
        <f t="shared" si="85"/>
        <v>89.214252251088965</v>
      </c>
      <c r="AX249" s="18">
        <v>3</v>
      </c>
      <c r="AY249" s="71"/>
      <c r="AZ249" s="71"/>
      <c r="BA249" s="71">
        <f t="shared" si="86"/>
        <v>111.80497096144313</v>
      </c>
      <c r="BB249" s="85">
        <v>1</v>
      </c>
      <c r="BC249" s="85">
        <v>0</v>
      </c>
      <c r="BD249" s="85">
        <v>1</v>
      </c>
      <c r="BE249" s="85">
        <v>0</v>
      </c>
      <c r="BF249" s="85">
        <v>0</v>
      </c>
      <c r="BG249" s="85">
        <v>0</v>
      </c>
      <c r="BH249" s="19">
        <v>0</v>
      </c>
      <c r="BI249" s="71"/>
      <c r="BJ249" s="71"/>
      <c r="BK249" s="71">
        <f t="shared" si="87"/>
        <v>92.176238572378367</v>
      </c>
      <c r="BL249" s="18">
        <v>1</v>
      </c>
      <c r="BM249" s="71"/>
      <c r="BN249" s="71"/>
      <c r="BO249" s="71">
        <f t="shared" si="88"/>
        <v>92.606326748686826</v>
      </c>
      <c r="BP249" s="18">
        <v>2</v>
      </c>
      <c r="BQ249" s="71"/>
      <c r="BR249" s="71"/>
      <c r="BS249" s="138">
        <f t="shared" si="89"/>
        <v>113.86671101544545</v>
      </c>
      <c r="BT249" s="18">
        <v>0</v>
      </c>
      <c r="BU249" s="71"/>
      <c r="BV249" s="71"/>
      <c r="BW249" s="71">
        <f t="shared" si="90"/>
        <v>83.482865449928767</v>
      </c>
      <c r="BX249" s="85">
        <v>1</v>
      </c>
      <c r="BY249" s="18">
        <v>2</v>
      </c>
      <c r="BZ249" s="71"/>
      <c r="CA249" s="71"/>
      <c r="CB249" s="71">
        <f t="shared" si="91"/>
        <v>100.53207713448795</v>
      </c>
      <c r="CC249" s="18">
        <v>2</v>
      </c>
      <c r="CD249" s="71"/>
      <c r="CE249" s="71"/>
      <c r="CF249" s="71">
        <f t="shared" si="92"/>
        <v>100.18886179687853</v>
      </c>
      <c r="CG249" s="18">
        <v>2</v>
      </c>
      <c r="CH249" s="71"/>
      <c r="CI249" s="71"/>
      <c r="CJ249" s="138">
        <f t="shared" si="93"/>
        <v>118.64838200002481</v>
      </c>
      <c r="CK249" s="18">
        <v>3</v>
      </c>
      <c r="CL249" s="71"/>
      <c r="CM249" s="71"/>
      <c r="CN249" s="71">
        <f t="shared" si="94"/>
        <v>109.82624001207998</v>
      </c>
      <c r="CO249" s="94">
        <v>0</v>
      </c>
      <c r="CP249" s="94">
        <v>1</v>
      </c>
      <c r="CQ249" s="94">
        <v>1</v>
      </c>
      <c r="CR249" s="94">
        <v>0</v>
      </c>
      <c r="CS249" s="102">
        <f t="shared" si="95"/>
        <v>97.729910410337069</v>
      </c>
      <c r="CT249" s="102">
        <f t="shared" si="96"/>
        <v>7.6315179767695627</v>
      </c>
      <c r="CU249" s="102">
        <f t="shared" si="97"/>
        <v>7.8087843780140859E-2</v>
      </c>
      <c r="CV249" s="108">
        <f t="shared" si="98"/>
        <v>97.133981626761752</v>
      </c>
      <c r="CZ249" s="109" t="str">
        <f t="shared" si="99"/>
        <v>Medio-Basso</v>
      </c>
    </row>
    <row r="250" spans="1:104" x14ac:dyDescent="0.15">
      <c r="A250" s="84">
        <v>5</v>
      </c>
      <c r="B250" s="84">
        <v>2</v>
      </c>
      <c r="C250" s="84">
        <v>1</v>
      </c>
      <c r="D250" s="84">
        <v>2</v>
      </c>
      <c r="E250" s="84">
        <v>1</v>
      </c>
      <c r="F250" s="17">
        <v>1</v>
      </c>
      <c r="I250" s="64">
        <f t="shared" si="75"/>
        <v>93.428492305734082</v>
      </c>
      <c r="J250" s="17">
        <v>1</v>
      </c>
      <c r="M250" s="64">
        <f t="shared" si="76"/>
        <v>95.705097084683388</v>
      </c>
      <c r="N250" s="17">
        <v>1</v>
      </c>
      <c r="Q250" s="64">
        <f t="shared" si="77"/>
        <v>98.246708656674187</v>
      </c>
      <c r="R250" s="17">
        <v>2</v>
      </c>
      <c r="U250" s="64">
        <f t="shared" si="78"/>
        <v>101.34799174124942</v>
      </c>
      <c r="V250" s="17">
        <v>2</v>
      </c>
      <c r="Y250" s="114">
        <f t="shared" si="79"/>
        <v>97.875621286587162</v>
      </c>
      <c r="Z250" s="17">
        <v>3</v>
      </c>
      <c r="AC250" s="64">
        <f t="shared" si="80"/>
        <v>109.50350141641081</v>
      </c>
      <c r="AD250" s="25">
        <v>2</v>
      </c>
      <c r="AE250" s="71"/>
      <c r="AF250" s="71"/>
      <c r="AG250" s="71">
        <f t="shared" si="81"/>
        <v>101.01229126330007</v>
      </c>
      <c r="AH250" s="17">
        <v>2</v>
      </c>
      <c r="AK250" s="64">
        <f t="shared" si="82"/>
        <v>99.518280131348902</v>
      </c>
      <c r="AL250" s="17">
        <v>3</v>
      </c>
      <c r="AM250" s="71"/>
      <c r="AN250" s="71"/>
      <c r="AO250" s="71">
        <f t="shared" si="83"/>
        <v>100.85056924463234</v>
      </c>
      <c r="AP250" s="17">
        <v>2</v>
      </c>
      <c r="AQ250" s="71"/>
      <c r="AR250" s="71"/>
      <c r="AS250" s="71">
        <f t="shared" si="84"/>
        <v>99.909880620416757</v>
      </c>
      <c r="AT250" s="17">
        <v>0</v>
      </c>
      <c r="AU250" s="71"/>
      <c r="AV250" s="71"/>
      <c r="AW250" s="71">
        <f t="shared" si="85"/>
        <v>89.214252251088965</v>
      </c>
      <c r="AX250" s="17">
        <v>1</v>
      </c>
      <c r="AY250" s="71"/>
      <c r="AZ250" s="71"/>
      <c r="BA250" s="71">
        <f t="shared" si="86"/>
        <v>90.050552929515405</v>
      </c>
      <c r="BB250" s="84">
        <v>1</v>
      </c>
      <c r="BC250" s="84">
        <v>0</v>
      </c>
      <c r="BD250" s="84">
        <v>0</v>
      </c>
      <c r="BE250" s="84">
        <v>1</v>
      </c>
      <c r="BF250" s="84">
        <v>0</v>
      </c>
      <c r="BG250" s="84">
        <v>0</v>
      </c>
      <c r="BH250" s="20">
        <v>0</v>
      </c>
      <c r="BI250" s="71"/>
      <c r="BJ250" s="71"/>
      <c r="BK250" s="71">
        <f t="shared" si="87"/>
        <v>92.176238572378367</v>
      </c>
      <c r="BL250" s="17">
        <v>1</v>
      </c>
      <c r="BM250" s="71"/>
      <c r="BN250" s="71"/>
      <c r="BO250" s="71">
        <f t="shared" si="88"/>
        <v>92.606326748686826</v>
      </c>
      <c r="BP250" s="17">
        <v>1</v>
      </c>
      <c r="BQ250" s="71"/>
      <c r="BR250" s="71"/>
      <c r="BS250" s="138">
        <f t="shared" si="89"/>
        <v>100.16171091563201</v>
      </c>
      <c r="BT250" s="17">
        <v>0</v>
      </c>
      <c r="BU250" s="71"/>
      <c r="BV250" s="71"/>
      <c r="BW250" s="71">
        <f t="shared" si="90"/>
        <v>83.482865449928767</v>
      </c>
      <c r="BX250" s="84">
        <v>2</v>
      </c>
      <c r="BY250" s="17">
        <v>2</v>
      </c>
      <c r="BZ250" s="71"/>
      <c r="CA250" s="71"/>
      <c r="CB250" s="71">
        <f t="shared" si="91"/>
        <v>100.53207713448795</v>
      </c>
      <c r="CC250" s="17">
        <v>0</v>
      </c>
      <c r="CD250" s="71"/>
      <c r="CE250" s="71"/>
      <c r="CF250" s="71">
        <f t="shared" si="92"/>
        <v>81.842287242964616</v>
      </c>
      <c r="CG250" s="17">
        <v>0</v>
      </c>
      <c r="CH250" s="71"/>
      <c r="CI250" s="71"/>
      <c r="CJ250" s="138">
        <f t="shared" si="93"/>
        <v>89.226340793489143</v>
      </c>
      <c r="CK250" s="17">
        <v>2</v>
      </c>
      <c r="CL250" s="71"/>
      <c r="CM250" s="71"/>
      <c r="CN250" s="71">
        <f t="shared" si="94"/>
        <v>100.22589057499034</v>
      </c>
      <c r="CO250" s="93">
        <v>1</v>
      </c>
      <c r="CP250" s="93">
        <v>1</v>
      </c>
      <c r="CQ250" s="93">
        <v>0</v>
      </c>
      <c r="CR250" s="93">
        <v>0</v>
      </c>
      <c r="CS250" s="102">
        <f t="shared" si="95"/>
        <v>95.861959021675958</v>
      </c>
      <c r="CT250" s="102">
        <f t="shared" si="96"/>
        <v>7.0789446475528326</v>
      </c>
      <c r="CU250" s="102">
        <f t="shared" si="97"/>
        <v>7.3845190728390672E-2</v>
      </c>
      <c r="CV250" s="108">
        <f t="shared" si="98"/>
        <v>95.339213004021701</v>
      </c>
      <c r="CZ250" s="109" t="str">
        <f t="shared" si="99"/>
        <v>Basso</v>
      </c>
    </row>
    <row r="251" spans="1:104" x14ac:dyDescent="0.15">
      <c r="A251" s="85">
        <v>2</v>
      </c>
      <c r="B251" s="85">
        <v>2</v>
      </c>
      <c r="C251" s="85">
        <v>2</v>
      </c>
      <c r="D251" s="85">
        <v>2</v>
      </c>
      <c r="E251" s="85">
        <v>1</v>
      </c>
      <c r="F251" s="18">
        <v>1</v>
      </c>
      <c r="I251" s="64">
        <f t="shared" si="75"/>
        <v>93.428492305734082</v>
      </c>
      <c r="J251" s="18">
        <v>1</v>
      </c>
      <c r="M251" s="64">
        <f t="shared" si="76"/>
        <v>95.705097084683388</v>
      </c>
      <c r="N251" s="18">
        <v>1</v>
      </c>
      <c r="Q251" s="64">
        <f t="shared" si="77"/>
        <v>98.246708656674187</v>
      </c>
      <c r="R251" s="18">
        <v>0</v>
      </c>
      <c r="U251" s="64">
        <f t="shared" si="78"/>
        <v>81.845132506151486</v>
      </c>
      <c r="V251" s="18">
        <v>2</v>
      </c>
      <c r="Y251" s="114">
        <f t="shared" si="79"/>
        <v>97.875621286587162</v>
      </c>
      <c r="Z251" s="18">
        <v>2</v>
      </c>
      <c r="AC251" s="64">
        <f t="shared" si="80"/>
        <v>101.50550517487696</v>
      </c>
      <c r="AD251" s="24">
        <v>2</v>
      </c>
      <c r="AE251" s="71"/>
      <c r="AF251" s="71"/>
      <c r="AG251" s="71">
        <f t="shared" si="81"/>
        <v>101.01229126330007</v>
      </c>
      <c r="AH251" s="18">
        <v>2</v>
      </c>
      <c r="AK251" s="64">
        <f t="shared" si="82"/>
        <v>99.518280131348902</v>
      </c>
      <c r="AL251" s="18">
        <v>3</v>
      </c>
      <c r="AM251" s="71"/>
      <c r="AN251" s="71"/>
      <c r="AO251" s="71">
        <f t="shared" si="83"/>
        <v>100.85056924463234</v>
      </c>
      <c r="AP251" s="18">
        <v>2</v>
      </c>
      <c r="AQ251" s="71"/>
      <c r="AR251" s="71"/>
      <c r="AS251" s="71">
        <f t="shared" si="84"/>
        <v>99.909880620416757</v>
      </c>
      <c r="AT251" s="18">
        <v>2</v>
      </c>
      <c r="AU251" s="71"/>
      <c r="AV251" s="71"/>
      <c r="AW251" s="71">
        <f t="shared" si="85"/>
        <v>110.91338973410525</v>
      </c>
      <c r="AX251" s="18">
        <v>3</v>
      </c>
      <c r="AY251" s="71"/>
      <c r="AZ251" s="71"/>
      <c r="BA251" s="71">
        <f t="shared" si="86"/>
        <v>111.80497096144313</v>
      </c>
      <c r="BB251" s="85">
        <v>1</v>
      </c>
      <c r="BC251" s="85">
        <v>0</v>
      </c>
      <c r="BD251" s="85">
        <v>1</v>
      </c>
      <c r="BE251" s="85">
        <v>0</v>
      </c>
      <c r="BF251" s="85">
        <v>0</v>
      </c>
      <c r="BG251" s="85">
        <v>0</v>
      </c>
      <c r="BH251" s="19">
        <v>2</v>
      </c>
      <c r="BI251" s="71"/>
      <c r="BJ251" s="71"/>
      <c r="BK251" s="71">
        <f t="shared" si="87"/>
        <v>114.81520780975161</v>
      </c>
      <c r="BL251" s="18">
        <v>2</v>
      </c>
      <c r="BM251" s="71"/>
      <c r="BN251" s="71"/>
      <c r="BO251" s="71">
        <f t="shared" si="88"/>
        <v>101.95148996595998</v>
      </c>
      <c r="BP251" s="18">
        <v>1</v>
      </c>
      <c r="BQ251" s="71"/>
      <c r="BR251" s="71"/>
      <c r="BS251" s="138">
        <f t="shared" si="89"/>
        <v>100.16171091563201</v>
      </c>
      <c r="BT251" s="18">
        <v>2</v>
      </c>
      <c r="BU251" s="71"/>
      <c r="BV251" s="71"/>
      <c r="BW251" s="71">
        <f t="shared" si="90"/>
        <v>102.51956289746849</v>
      </c>
      <c r="BX251" s="85">
        <v>1</v>
      </c>
      <c r="BY251" s="18">
        <v>3</v>
      </c>
      <c r="BZ251" s="71"/>
      <c r="CA251" s="71"/>
      <c r="CB251" s="71">
        <f t="shared" si="91"/>
        <v>110.05345743585116</v>
      </c>
      <c r="CC251" s="18">
        <v>3</v>
      </c>
      <c r="CD251" s="71"/>
      <c r="CE251" s="71"/>
      <c r="CF251" s="71">
        <f t="shared" si="92"/>
        <v>109.36214907383548</v>
      </c>
      <c r="CG251" s="18">
        <v>1</v>
      </c>
      <c r="CH251" s="71"/>
      <c r="CI251" s="71"/>
      <c r="CJ251" s="138">
        <f t="shared" si="93"/>
        <v>103.93736139675698</v>
      </c>
      <c r="CK251" s="18">
        <v>3</v>
      </c>
      <c r="CL251" s="71"/>
      <c r="CM251" s="71"/>
      <c r="CN251" s="71">
        <f t="shared" si="94"/>
        <v>109.82624001207998</v>
      </c>
      <c r="CO251" s="94">
        <v>0</v>
      </c>
      <c r="CP251" s="94">
        <v>1</v>
      </c>
      <c r="CQ251" s="94">
        <v>1</v>
      </c>
      <c r="CR251" s="94">
        <v>0</v>
      </c>
      <c r="CS251" s="102">
        <f t="shared" si="95"/>
        <v>102.54520146343019</v>
      </c>
      <c r="CT251" s="102">
        <f t="shared" si="96"/>
        <v>8.1463770914418419</v>
      </c>
      <c r="CU251" s="102">
        <f t="shared" si="97"/>
        <v>7.9441816634852627E-2</v>
      </c>
      <c r="CV251" s="108">
        <f t="shared" si="98"/>
        <v>101.89803846829351</v>
      </c>
      <c r="CZ251" s="109" t="str">
        <f t="shared" si="99"/>
        <v>Medio-Alto</v>
      </c>
    </row>
    <row r="252" spans="1:104" x14ac:dyDescent="0.15">
      <c r="A252" s="84">
        <v>4</v>
      </c>
      <c r="B252" s="84">
        <v>1</v>
      </c>
      <c r="C252" s="84">
        <v>3</v>
      </c>
      <c r="D252" s="84">
        <v>2</v>
      </c>
      <c r="E252" s="84">
        <v>1</v>
      </c>
      <c r="F252" s="17">
        <v>2</v>
      </c>
      <c r="I252" s="64">
        <f t="shared" si="75"/>
        <v>109.85726154139888</v>
      </c>
      <c r="J252" s="17">
        <v>2</v>
      </c>
      <c r="M252" s="64">
        <f t="shared" si="76"/>
        <v>110.02144013573877</v>
      </c>
      <c r="N252" s="17">
        <v>1</v>
      </c>
      <c r="Q252" s="64">
        <f t="shared" si="77"/>
        <v>98.246708656674187</v>
      </c>
      <c r="R252" s="17">
        <v>2</v>
      </c>
      <c r="U252" s="64">
        <f t="shared" si="78"/>
        <v>101.34799174124942</v>
      </c>
      <c r="V252" s="17">
        <v>2</v>
      </c>
      <c r="Y252" s="114">
        <f t="shared" si="79"/>
        <v>97.875621286587162</v>
      </c>
      <c r="Z252" s="17">
        <v>3</v>
      </c>
      <c r="AC252" s="64">
        <f t="shared" si="80"/>
        <v>109.50350141641081</v>
      </c>
      <c r="AD252" s="25">
        <v>2</v>
      </c>
      <c r="AE252" s="71"/>
      <c r="AF252" s="71"/>
      <c r="AG252" s="71">
        <f t="shared" si="81"/>
        <v>101.01229126330007</v>
      </c>
      <c r="AH252" s="17">
        <v>2</v>
      </c>
      <c r="AK252" s="64">
        <f t="shared" si="82"/>
        <v>99.518280131348902</v>
      </c>
      <c r="AL252" s="17">
        <v>4</v>
      </c>
      <c r="AM252" s="71"/>
      <c r="AN252" s="71"/>
      <c r="AO252" s="71">
        <f t="shared" si="83"/>
        <v>111.97339782828605</v>
      </c>
      <c r="AP252" s="17">
        <v>2</v>
      </c>
      <c r="AQ252" s="71"/>
      <c r="AR252" s="71"/>
      <c r="AS252" s="71">
        <f t="shared" si="84"/>
        <v>99.909880620416757</v>
      </c>
      <c r="AT252" s="17">
        <v>2</v>
      </c>
      <c r="AU252" s="71"/>
      <c r="AV252" s="71"/>
      <c r="AW252" s="71">
        <f t="shared" si="85"/>
        <v>110.91338973410525</v>
      </c>
      <c r="AX252" s="17">
        <v>2</v>
      </c>
      <c r="AY252" s="71"/>
      <c r="AZ252" s="71"/>
      <c r="BA252" s="71">
        <f t="shared" si="86"/>
        <v>100.92776194547928</v>
      </c>
      <c r="BB252" s="84">
        <v>0</v>
      </c>
      <c r="BC252" s="84">
        <v>1</v>
      </c>
      <c r="BD252" s="84">
        <v>1</v>
      </c>
      <c r="BE252" s="84">
        <v>0</v>
      </c>
      <c r="BF252" s="84">
        <v>0</v>
      </c>
      <c r="BG252" s="84">
        <v>0</v>
      </c>
      <c r="BH252" s="20">
        <v>1</v>
      </c>
      <c r="BI252" s="71"/>
      <c r="BJ252" s="71"/>
      <c r="BK252" s="71">
        <f t="shared" si="87"/>
        <v>103.49572319106498</v>
      </c>
      <c r="BL252" s="17">
        <v>2</v>
      </c>
      <c r="BM252" s="71"/>
      <c r="BN252" s="71"/>
      <c r="BO252" s="71">
        <f t="shared" si="88"/>
        <v>101.95148996595998</v>
      </c>
      <c r="BP252" s="17">
        <v>1</v>
      </c>
      <c r="BQ252" s="71"/>
      <c r="BR252" s="71"/>
      <c r="BS252" s="138">
        <f t="shared" si="89"/>
        <v>100.16171091563201</v>
      </c>
      <c r="BT252" s="17">
        <v>2</v>
      </c>
      <c r="BU252" s="71"/>
      <c r="BV252" s="71"/>
      <c r="BW252" s="71">
        <f t="shared" si="90"/>
        <v>102.51956289746849</v>
      </c>
      <c r="BX252" s="84">
        <v>1</v>
      </c>
      <c r="BY252" s="17">
        <v>3</v>
      </c>
      <c r="BZ252" s="71"/>
      <c r="CA252" s="71"/>
      <c r="CB252" s="71">
        <f t="shared" si="91"/>
        <v>110.05345743585116</v>
      </c>
      <c r="CC252" s="17">
        <v>3</v>
      </c>
      <c r="CD252" s="71"/>
      <c r="CE252" s="71"/>
      <c r="CF252" s="71">
        <f t="shared" si="92"/>
        <v>109.36214907383548</v>
      </c>
      <c r="CG252" s="17">
        <v>1</v>
      </c>
      <c r="CH252" s="71"/>
      <c r="CI252" s="71"/>
      <c r="CJ252" s="138">
        <f t="shared" si="93"/>
        <v>103.93736139675698</v>
      </c>
      <c r="CK252" s="17">
        <v>3</v>
      </c>
      <c r="CL252" s="71"/>
      <c r="CM252" s="71"/>
      <c r="CN252" s="71">
        <f t="shared" si="94"/>
        <v>109.82624001207998</v>
      </c>
      <c r="CO252" s="93">
        <v>0</v>
      </c>
      <c r="CP252" s="93">
        <v>1</v>
      </c>
      <c r="CQ252" s="93">
        <v>1</v>
      </c>
      <c r="CR252" s="93">
        <v>0</v>
      </c>
      <c r="CS252" s="102">
        <f t="shared" si="95"/>
        <v>105.32003103474521</v>
      </c>
      <c r="CT252" s="102">
        <f t="shared" si="96"/>
        <v>4.8983384500273184</v>
      </c>
      <c r="CU252" s="102">
        <f t="shared" si="97"/>
        <v>4.6509086656187464E-2</v>
      </c>
      <c r="CV252" s="108">
        <f t="shared" si="98"/>
        <v>105.09221378730156</v>
      </c>
      <c r="CZ252" s="109" t="str">
        <f t="shared" si="99"/>
        <v>Alto</v>
      </c>
    </row>
    <row r="253" spans="1:104" x14ac:dyDescent="0.15">
      <c r="A253" s="85">
        <v>3</v>
      </c>
      <c r="B253" s="85">
        <v>2</v>
      </c>
      <c r="C253" s="85">
        <v>0</v>
      </c>
      <c r="D253" s="85">
        <v>2</v>
      </c>
      <c r="E253" s="85">
        <v>1</v>
      </c>
      <c r="F253" s="18">
        <v>1</v>
      </c>
      <c r="I253" s="64">
        <f t="shared" si="75"/>
        <v>93.428492305734082</v>
      </c>
      <c r="J253" s="18">
        <v>1</v>
      </c>
      <c r="M253" s="64">
        <f t="shared" si="76"/>
        <v>95.705097084683388</v>
      </c>
      <c r="N253" s="18">
        <v>0</v>
      </c>
      <c r="Q253" s="64">
        <f t="shared" si="77"/>
        <v>82.559365058495843</v>
      </c>
      <c r="R253" s="18">
        <v>0</v>
      </c>
      <c r="U253" s="64">
        <f t="shared" si="78"/>
        <v>81.845132506151486</v>
      </c>
      <c r="V253" s="18">
        <v>4</v>
      </c>
      <c r="Y253" s="114">
        <f t="shared" si="79"/>
        <v>110.77363490373656</v>
      </c>
      <c r="Z253" s="18">
        <v>0</v>
      </c>
      <c r="AC253" s="64">
        <f t="shared" si="80"/>
        <v>85.509512691809249</v>
      </c>
      <c r="AD253" s="24">
        <v>0</v>
      </c>
      <c r="AE253" s="71"/>
      <c r="AF253" s="71"/>
      <c r="AG253" s="71">
        <f t="shared" si="81"/>
        <v>84.62281366701329</v>
      </c>
      <c r="AH253" s="18">
        <v>0</v>
      </c>
      <c r="AK253" s="64">
        <f t="shared" si="82"/>
        <v>77.680312752498807</v>
      </c>
      <c r="AL253" s="18">
        <v>3</v>
      </c>
      <c r="AM253" s="71"/>
      <c r="AN253" s="71"/>
      <c r="AO253" s="71">
        <f t="shared" si="83"/>
        <v>100.85056924463234</v>
      </c>
      <c r="AP253" s="18">
        <v>2</v>
      </c>
      <c r="AQ253" s="71"/>
      <c r="AR253" s="71"/>
      <c r="AS253" s="71">
        <f t="shared" si="84"/>
        <v>99.909880620416757</v>
      </c>
      <c r="AT253" s="18">
        <v>1</v>
      </c>
      <c r="AU253" s="71"/>
      <c r="AV253" s="71"/>
      <c r="AW253" s="71">
        <f t="shared" si="85"/>
        <v>100.0638209925971</v>
      </c>
      <c r="AX253" s="18">
        <v>2</v>
      </c>
      <c r="AY253" s="71"/>
      <c r="AZ253" s="71"/>
      <c r="BA253" s="71">
        <f t="shared" si="86"/>
        <v>100.92776194547928</v>
      </c>
      <c r="BB253" s="85">
        <v>0</v>
      </c>
      <c r="BC253" s="85">
        <v>0</v>
      </c>
      <c r="BD253" s="85">
        <v>1</v>
      </c>
      <c r="BE253" s="85">
        <v>1</v>
      </c>
      <c r="BF253" s="85">
        <v>0</v>
      </c>
      <c r="BG253" s="85">
        <v>0</v>
      </c>
      <c r="BH253" s="19">
        <v>0</v>
      </c>
      <c r="BI253" s="71"/>
      <c r="BJ253" s="71"/>
      <c r="BK253" s="71">
        <f t="shared" si="87"/>
        <v>92.176238572378367</v>
      </c>
      <c r="BL253" s="18">
        <v>0</v>
      </c>
      <c r="BM253" s="71"/>
      <c r="BN253" s="71"/>
      <c r="BO253" s="71">
        <f t="shared" si="88"/>
        <v>83.261163531413686</v>
      </c>
      <c r="BP253" s="18">
        <v>2</v>
      </c>
      <c r="BQ253" s="71"/>
      <c r="BR253" s="71"/>
      <c r="BS253" s="138">
        <f t="shared" si="89"/>
        <v>113.86671101544545</v>
      </c>
      <c r="BT253" s="18">
        <v>0</v>
      </c>
      <c r="BU253" s="71"/>
      <c r="BV253" s="71"/>
      <c r="BW253" s="71">
        <f t="shared" si="90"/>
        <v>83.482865449928767</v>
      </c>
      <c r="BX253" s="85">
        <v>2</v>
      </c>
      <c r="BY253" s="18">
        <v>0</v>
      </c>
      <c r="BZ253" s="71"/>
      <c r="CA253" s="71"/>
      <c r="CB253" s="71">
        <f t="shared" si="91"/>
        <v>81.489316531761531</v>
      </c>
      <c r="CC253" s="18">
        <v>0</v>
      </c>
      <c r="CD253" s="71"/>
      <c r="CE253" s="71"/>
      <c r="CF253" s="71">
        <f t="shared" si="92"/>
        <v>81.842287242964616</v>
      </c>
      <c r="CG253" s="18">
        <v>1</v>
      </c>
      <c r="CH253" s="71"/>
      <c r="CI253" s="71"/>
      <c r="CJ253" s="138">
        <f t="shared" si="93"/>
        <v>103.93736139675698</v>
      </c>
      <c r="CK253" s="18">
        <v>2</v>
      </c>
      <c r="CL253" s="71"/>
      <c r="CM253" s="71"/>
      <c r="CN253" s="71">
        <f t="shared" si="94"/>
        <v>100.22589057499034</v>
      </c>
      <c r="CO253" s="94">
        <v>0</v>
      </c>
      <c r="CP253" s="94">
        <v>0</v>
      </c>
      <c r="CQ253" s="94">
        <v>1</v>
      </c>
      <c r="CR253" s="94">
        <v>0</v>
      </c>
      <c r="CS253" s="102">
        <f t="shared" si="95"/>
        <v>89.740030633702887</v>
      </c>
      <c r="CT253" s="102">
        <f t="shared" si="96"/>
        <v>8.4360789979042217</v>
      </c>
      <c r="CU253" s="102">
        <f t="shared" si="97"/>
        <v>9.4005751260975795E-2</v>
      </c>
      <c r="CV253" s="108">
        <f t="shared" si="98"/>
        <v>88.946990689807961</v>
      </c>
      <c r="CZ253" s="109" t="str">
        <f t="shared" si="99"/>
        <v>Basso</v>
      </c>
    </row>
    <row r="254" spans="1:104" x14ac:dyDescent="0.15">
      <c r="A254" s="88">
        <v>5</v>
      </c>
      <c r="B254" s="88">
        <v>1</v>
      </c>
      <c r="C254" s="88">
        <v>1</v>
      </c>
      <c r="D254" s="88">
        <v>0</v>
      </c>
      <c r="E254" s="88">
        <v>1</v>
      </c>
      <c r="F254" s="21">
        <v>1</v>
      </c>
      <c r="I254" s="64">
        <f t="shared" si="75"/>
        <v>93.428492305734082</v>
      </c>
      <c r="J254" s="21">
        <v>2</v>
      </c>
      <c r="M254" s="64">
        <f t="shared" si="76"/>
        <v>110.02144013573877</v>
      </c>
      <c r="N254" s="21">
        <v>2</v>
      </c>
      <c r="Q254" s="64">
        <f t="shared" si="77"/>
        <v>113.93405225485253</v>
      </c>
      <c r="R254" s="21">
        <v>3</v>
      </c>
      <c r="U254" s="64">
        <f t="shared" si="78"/>
        <v>111.09942135879838</v>
      </c>
      <c r="V254" s="21">
        <v>4</v>
      </c>
      <c r="Y254" s="114">
        <f t="shared" si="79"/>
        <v>110.77363490373656</v>
      </c>
      <c r="Z254" s="21">
        <v>2</v>
      </c>
      <c r="AC254" s="64">
        <f t="shared" si="80"/>
        <v>101.50550517487696</v>
      </c>
      <c r="AD254" s="26">
        <v>3</v>
      </c>
      <c r="AE254" s="71"/>
      <c r="AF254" s="71"/>
      <c r="AG254" s="71">
        <f t="shared" si="81"/>
        <v>109.20703006144345</v>
      </c>
      <c r="AH254" s="21">
        <v>3</v>
      </c>
      <c r="AK254" s="64">
        <f t="shared" si="82"/>
        <v>110.43726382077395</v>
      </c>
      <c r="AL254" s="21">
        <v>4</v>
      </c>
      <c r="AM254" s="71"/>
      <c r="AN254" s="71"/>
      <c r="AO254" s="71">
        <f t="shared" si="83"/>
        <v>111.97339782828605</v>
      </c>
      <c r="AP254" s="21">
        <v>3</v>
      </c>
      <c r="AQ254" s="71"/>
      <c r="AR254" s="71"/>
      <c r="AS254" s="71">
        <f t="shared" si="84"/>
        <v>110.12341030651692</v>
      </c>
      <c r="AT254" s="21">
        <v>2</v>
      </c>
      <c r="AU254" s="71"/>
      <c r="AV254" s="71"/>
      <c r="AW254" s="71">
        <f t="shared" si="85"/>
        <v>110.91338973410525</v>
      </c>
      <c r="AX254" s="21">
        <v>3</v>
      </c>
      <c r="AY254" s="71"/>
      <c r="AZ254" s="71"/>
      <c r="BA254" s="71">
        <f t="shared" si="86"/>
        <v>111.80497096144313</v>
      </c>
      <c r="BB254" s="88">
        <v>1</v>
      </c>
      <c r="BC254" s="88">
        <v>0</v>
      </c>
      <c r="BD254" s="88">
        <v>1</v>
      </c>
      <c r="BE254" s="88">
        <v>0</v>
      </c>
      <c r="BF254" s="88">
        <v>0</v>
      </c>
      <c r="BG254" s="88">
        <v>0</v>
      </c>
      <c r="BH254" s="30">
        <v>2</v>
      </c>
      <c r="BI254" s="71"/>
      <c r="BJ254" s="71"/>
      <c r="BK254" s="71">
        <f t="shared" si="87"/>
        <v>114.81520780975161</v>
      </c>
      <c r="BL254" s="21">
        <v>3</v>
      </c>
      <c r="BM254" s="71"/>
      <c r="BN254" s="71"/>
      <c r="BO254" s="71">
        <f t="shared" si="88"/>
        <v>111.29665318323313</v>
      </c>
      <c r="BP254" s="21">
        <v>0</v>
      </c>
      <c r="BQ254" s="71"/>
      <c r="BR254" s="71"/>
      <c r="BS254" s="138">
        <f t="shared" si="89"/>
        <v>86.456710815818582</v>
      </c>
      <c r="BT254" s="21">
        <v>3</v>
      </c>
      <c r="BU254" s="71"/>
      <c r="BV254" s="71"/>
      <c r="BW254" s="71">
        <f t="shared" si="90"/>
        <v>112.03791162123835</v>
      </c>
      <c r="BX254" s="88">
        <v>2</v>
      </c>
      <c r="BY254" s="21">
        <v>3</v>
      </c>
      <c r="BZ254" s="71"/>
      <c r="CA254" s="71"/>
      <c r="CB254" s="71">
        <f t="shared" si="91"/>
        <v>110.05345743585116</v>
      </c>
      <c r="CC254" s="21">
        <v>3</v>
      </c>
      <c r="CD254" s="71"/>
      <c r="CE254" s="71"/>
      <c r="CF254" s="71">
        <f t="shared" si="92"/>
        <v>109.36214907383548</v>
      </c>
      <c r="CG254" s="21">
        <v>1</v>
      </c>
      <c r="CH254" s="71"/>
      <c r="CI254" s="71"/>
      <c r="CJ254" s="138">
        <f t="shared" si="93"/>
        <v>103.93736139675698</v>
      </c>
      <c r="CK254" s="21">
        <v>3</v>
      </c>
      <c r="CL254" s="71"/>
      <c r="CM254" s="71"/>
      <c r="CN254" s="71">
        <f t="shared" si="94"/>
        <v>109.82624001207998</v>
      </c>
      <c r="CO254" s="97">
        <v>0</v>
      </c>
      <c r="CP254" s="97">
        <v>1</v>
      </c>
      <c r="CQ254" s="97">
        <v>1</v>
      </c>
      <c r="CR254" s="97">
        <v>0</v>
      </c>
      <c r="CS254" s="102">
        <f t="shared" si="95"/>
        <v>109.51999959285644</v>
      </c>
      <c r="CT254" s="102">
        <f t="shared" si="96"/>
        <v>4.9863733795244096</v>
      </c>
      <c r="CU254" s="102">
        <f t="shared" si="97"/>
        <v>4.5529340741977606E-2</v>
      </c>
      <c r="CV254" s="108">
        <f t="shared" si="98"/>
        <v>109.29297330019334</v>
      </c>
      <c r="CZ254" s="109" t="str">
        <f t="shared" si="99"/>
        <v>Alto</v>
      </c>
    </row>
    <row r="255" spans="1:104" x14ac:dyDescent="0.15">
      <c r="A255" s="84">
        <v>4</v>
      </c>
      <c r="B255" s="84">
        <v>1</v>
      </c>
      <c r="C255" s="84">
        <v>2</v>
      </c>
      <c r="D255" s="84">
        <v>0</v>
      </c>
      <c r="E255" s="88">
        <v>1</v>
      </c>
      <c r="F255" s="21">
        <v>1</v>
      </c>
      <c r="I255" s="64">
        <f t="shared" si="75"/>
        <v>93.428492305734082</v>
      </c>
      <c r="J255" s="17">
        <v>2</v>
      </c>
      <c r="M255" s="64">
        <f t="shared" si="76"/>
        <v>110.02144013573877</v>
      </c>
      <c r="N255" s="17">
        <v>2</v>
      </c>
      <c r="Q255" s="64">
        <f t="shared" si="77"/>
        <v>113.93405225485253</v>
      </c>
      <c r="R255" s="17">
        <v>3</v>
      </c>
      <c r="U255" s="64">
        <f t="shared" si="78"/>
        <v>111.09942135879838</v>
      </c>
      <c r="V255" s="17">
        <v>4</v>
      </c>
      <c r="Y255" s="114">
        <f t="shared" si="79"/>
        <v>110.77363490373656</v>
      </c>
      <c r="Z255" s="17">
        <v>3</v>
      </c>
      <c r="AC255" s="64">
        <f t="shared" si="80"/>
        <v>109.50350141641081</v>
      </c>
      <c r="AD255" s="25">
        <v>3</v>
      </c>
      <c r="AE255" s="71"/>
      <c r="AF255" s="71"/>
      <c r="AG255" s="71">
        <f t="shared" si="81"/>
        <v>109.20703006144345</v>
      </c>
      <c r="AH255" s="17">
        <v>3</v>
      </c>
      <c r="AK255" s="64">
        <f t="shared" si="82"/>
        <v>110.43726382077395</v>
      </c>
      <c r="AL255" s="17">
        <v>4</v>
      </c>
      <c r="AM255" s="71"/>
      <c r="AN255" s="71"/>
      <c r="AO255" s="71">
        <f t="shared" si="83"/>
        <v>111.97339782828605</v>
      </c>
      <c r="AP255" s="17">
        <v>3</v>
      </c>
      <c r="AQ255" s="71"/>
      <c r="AR255" s="71"/>
      <c r="AS255" s="71">
        <f t="shared" si="84"/>
        <v>110.12341030651692</v>
      </c>
      <c r="AT255" s="17">
        <v>2</v>
      </c>
      <c r="AU255" s="71"/>
      <c r="AV255" s="71"/>
      <c r="AW255" s="71">
        <f t="shared" si="85"/>
        <v>110.91338973410525</v>
      </c>
      <c r="AX255" s="17">
        <v>3</v>
      </c>
      <c r="AY255" s="71"/>
      <c r="AZ255" s="71"/>
      <c r="BA255" s="71">
        <f t="shared" si="86"/>
        <v>111.80497096144313</v>
      </c>
      <c r="BB255" s="84">
        <v>0</v>
      </c>
      <c r="BC255" s="84">
        <v>1</v>
      </c>
      <c r="BD255" s="84">
        <v>1</v>
      </c>
      <c r="BE255" s="84">
        <v>0</v>
      </c>
      <c r="BF255" s="84">
        <v>0</v>
      </c>
      <c r="BG255" s="84">
        <v>0</v>
      </c>
      <c r="BH255" s="45">
        <v>2</v>
      </c>
      <c r="BI255" s="71"/>
      <c r="BJ255" s="71"/>
      <c r="BK255" s="71">
        <f t="shared" si="87"/>
        <v>114.81520780975161</v>
      </c>
      <c r="BL255" s="17">
        <v>3</v>
      </c>
      <c r="BM255" s="71"/>
      <c r="BN255" s="71"/>
      <c r="BO255" s="71">
        <f t="shared" si="88"/>
        <v>111.29665318323313</v>
      </c>
      <c r="BP255" s="17">
        <v>1</v>
      </c>
      <c r="BQ255" s="71"/>
      <c r="BR255" s="71"/>
      <c r="BS255" s="138">
        <f t="shared" si="89"/>
        <v>100.16171091563201</v>
      </c>
      <c r="BT255" s="17">
        <v>3</v>
      </c>
      <c r="BU255" s="71"/>
      <c r="BV255" s="71"/>
      <c r="BW255" s="71">
        <f t="shared" si="90"/>
        <v>112.03791162123835</v>
      </c>
      <c r="BX255" s="84">
        <v>2</v>
      </c>
      <c r="BY255" s="17">
        <v>3</v>
      </c>
      <c r="BZ255" s="71"/>
      <c r="CA255" s="71"/>
      <c r="CB255" s="71">
        <f t="shared" si="91"/>
        <v>110.05345743585116</v>
      </c>
      <c r="CC255" s="17">
        <v>3</v>
      </c>
      <c r="CD255" s="71"/>
      <c r="CE255" s="71"/>
      <c r="CF255" s="71">
        <f t="shared" si="92"/>
        <v>109.36214907383548</v>
      </c>
      <c r="CG255" s="17">
        <v>1</v>
      </c>
      <c r="CH255" s="71"/>
      <c r="CI255" s="71"/>
      <c r="CJ255" s="138">
        <f t="shared" si="93"/>
        <v>103.93736139675698</v>
      </c>
      <c r="CK255" s="17">
        <v>3</v>
      </c>
      <c r="CL255" s="71"/>
      <c r="CM255" s="71"/>
      <c r="CN255" s="71">
        <f t="shared" si="94"/>
        <v>109.82624001207998</v>
      </c>
      <c r="CO255" s="93">
        <v>1</v>
      </c>
      <c r="CP255" s="98">
        <v>1</v>
      </c>
      <c r="CQ255" s="98">
        <v>0</v>
      </c>
      <c r="CR255" s="98">
        <v>0</v>
      </c>
      <c r="CS255" s="102">
        <f t="shared" si="95"/>
        <v>109.99046996000548</v>
      </c>
      <c r="CT255" s="102">
        <f t="shared" si="96"/>
        <v>4.540292135880863</v>
      </c>
      <c r="CU255" s="102">
        <f t="shared" si="97"/>
        <v>4.1278959327401686E-2</v>
      </c>
      <c r="CV255" s="108">
        <f t="shared" si="98"/>
        <v>109.80305142559394</v>
      </c>
      <c r="CZ255" s="109" t="str">
        <f t="shared" si="99"/>
        <v>Alto</v>
      </c>
    </row>
    <row r="256" spans="1:104" x14ac:dyDescent="0.15">
      <c r="A256" s="84">
        <v>4</v>
      </c>
      <c r="B256" s="88">
        <v>1</v>
      </c>
      <c r="C256" s="84">
        <v>1</v>
      </c>
      <c r="D256" s="89">
        <v>0</v>
      </c>
      <c r="E256" s="88">
        <v>1</v>
      </c>
      <c r="F256" s="17">
        <v>2</v>
      </c>
      <c r="I256" s="64">
        <f t="shared" si="75"/>
        <v>109.85726154139888</v>
      </c>
      <c r="J256" s="17">
        <v>2</v>
      </c>
      <c r="M256" s="64">
        <f t="shared" si="76"/>
        <v>110.02144013573877</v>
      </c>
      <c r="N256" s="17">
        <v>2</v>
      </c>
      <c r="Q256" s="64">
        <f t="shared" si="77"/>
        <v>113.93405225485253</v>
      </c>
      <c r="R256" s="17">
        <v>3</v>
      </c>
      <c r="U256" s="64">
        <f t="shared" si="78"/>
        <v>111.09942135879838</v>
      </c>
      <c r="V256" s="17">
        <v>2</v>
      </c>
      <c r="Y256" s="114">
        <f t="shared" si="79"/>
        <v>97.875621286587162</v>
      </c>
      <c r="Z256" s="17">
        <v>3</v>
      </c>
      <c r="AC256" s="64">
        <f t="shared" si="80"/>
        <v>109.50350141641081</v>
      </c>
      <c r="AD256" s="25">
        <v>3</v>
      </c>
      <c r="AE256" s="71"/>
      <c r="AF256" s="71"/>
      <c r="AG256" s="71">
        <f t="shared" si="81"/>
        <v>109.20703006144345</v>
      </c>
      <c r="AH256" s="17">
        <v>3</v>
      </c>
      <c r="AK256" s="64">
        <f t="shared" si="82"/>
        <v>110.43726382077395</v>
      </c>
      <c r="AL256" s="17">
        <v>4</v>
      </c>
      <c r="AM256" s="71"/>
      <c r="AN256" s="71"/>
      <c r="AO256" s="71">
        <f t="shared" si="83"/>
        <v>111.97339782828605</v>
      </c>
      <c r="AP256" s="17">
        <v>3</v>
      </c>
      <c r="AQ256" s="71"/>
      <c r="AR256" s="71"/>
      <c r="AS256" s="71">
        <f t="shared" si="84"/>
        <v>110.12341030651692</v>
      </c>
      <c r="AT256" s="17">
        <v>2</v>
      </c>
      <c r="AU256" s="71"/>
      <c r="AV256" s="71"/>
      <c r="AW256" s="71">
        <f t="shared" si="85"/>
        <v>110.91338973410525</v>
      </c>
      <c r="AX256" s="17">
        <v>3</v>
      </c>
      <c r="AY256" s="71"/>
      <c r="AZ256" s="71"/>
      <c r="BA256" s="71">
        <f t="shared" si="86"/>
        <v>111.80497096144313</v>
      </c>
      <c r="BB256" s="84">
        <v>0</v>
      </c>
      <c r="BC256" s="84">
        <v>1</v>
      </c>
      <c r="BD256" s="84">
        <v>1</v>
      </c>
      <c r="BE256" s="84">
        <v>0</v>
      </c>
      <c r="BF256" s="84">
        <v>0</v>
      </c>
      <c r="BG256" s="84">
        <v>0</v>
      </c>
      <c r="BH256" s="45">
        <v>2</v>
      </c>
      <c r="BI256" s="71"/>
      <c r="BJ256" s="71"/>
      <c r="BK256" s="71">
        <f t="shared" si="87"/>
        <v>114.81520780975161</v>
      </c>
      <c r="BL256" s="17">
        <v>1</v>
      </c>
      <c r="BM256" s="71"/>
      <c r="BN256" s="71"/>
      <c r="BO256" s="71">
        <f t="shared" si="88"/>
        <v>92.606326748686826</v>
      </c>
      <c r="BP256" s="17">
        <v>2</v>
      </c>
      <c r="BQ256" s="71"/>
      <c r="BR256" s="71"/>
      <c r="BS256" s="138">
        <f t="shared" si="89"/>
        <v>113.86671101544545</v>
      </c>
      <c r="BT256" s="17">
        <v>3</v>
      </c>
      <c r="BU256" s="71"/>
      <c r="BV256" s="71"/>
      <c r="BW256" s="71">
        <f t="shared" si="90"/>
        <v>112.03791162123835</v>
      </c>
      <c r="BX256" s="84">
        <v>1</v>
      </c>
      <c r="BY256" s="17">
        <v>3</v>
      </c>
      <c r="BZ256" s="71"/>
      <c r="CA256" s="71"/>
      <c r="CB256" s="71">
        <f t="shared" si="91"/>
        <v>110.05345743585116</v>
      </c>
      <c r="CC256" s="17">
        <v>3</v>
      </c>
      <c r="CD256" s="71"/>
      <c r="CE256" s="71"/>
      <c r="CF256" s="71">
        <f t="shared" si="92"/>
        <v>109.36214907383548</v>
      </c>
      <c r="CG256" s="17">
        <v>1</v>
      </c>
      <c r="CH256" s="71"/>
      <c r="CI256" s="71"/>
      <c r="CJ256" s="138">
        <f t="shared" si="93"/>
        <v>103.93736139675698</v>
      </c>
      <c r="CK256" s="17">
        <v>3</v>
      </c>
      <c r="CL256" s="71"/>
      <c r="CM256" s="71"/>
      <c r="CN256" s="71">
        <f t="shared" si="94"/>
        <v>109.82624001207998</v>
      </c>
      <c r="CO256" s="93">
        <v>1</v>
      </c>
      <c r="CP256" s="98">
        <v>1</v>
      </c>
      <c r="CQ256" s="98">
        <v>0</v>
      </c>
      <c r="CR256" s="98">
        <v>0</v>
      </c>
      <c r="CS256" s="102">
        <f t="shared" si="95"/>
        <v>109.85743718360069</v>
      </c>
      <c r="CT256" s="102">
        <f t="shared" si="96"/>
        <v>4.7153217206934688</v>
      </c>
      <c r="CU256" s="102">
        <f t="shared" si="97"/>
        <v>4.292218935357945E-2</v>
      </c>
      <c r="CV256" s="108">
        <f t="shared" si="98"/>
        <v>109.65504525184204</v>
      </c>
      <c r="CZ256" s="109" t="str">
        <f t="shared" si="99"/>
        <v>Alto</v>
      </c>
    </row>
    <row r="257" spans="1:104" x14ac:dyDescent="0.15">
      <c r="A257" s="84">
        <v>4</v>
      </c>
      <c r="B257" s="85">
        <v>2</v>
      </c>
      <c r="C257" s="84">
        <v>3</v>
      </c>
      <c r="D257" s="84">
        <v>0</v>
      </c>
      <c r="E257" s="88">
        <v>1</v>
      </c>
      <c r="F257" s="17">
        <v>2</v>
      </c>
      <c r="I257" s="64">
        <f t="shared" si="75"/>
        <v>109.85726154139888</v>
      </c>
      <c r="J257" s="17">
        <v>2</v>
      </c>
      <c r="M257" s="64">
        <f t="shared" si="76"/>
        <v>110.02144013573877</v>
      </c>
      <c r="N257" s="17">
        <v>2</v>
      </c>
      <c r="Q257" s="64">
        <f t="shared" si="77"/>
        <v>113.93405225485253</v>
      </c>
      <c r="R257" s="17">
        <v>3</v>
      </c>
      <c r="U257" s="64">
        <f t="shared" si="78"/>
        <v>111.09942135879838</v>
      </c>
      <c r="V257" s="17">
        <v>4</v>
      </c>
      <c r="Y257" s="114">
        <f t="shared" si="79"/>
        <v>110.77363490373656</v>
      </c>
      <c r="Z257" s="17">
        <v>3</v>
      </c>
      <c r="AC257" s="64">
        <f t="shared" si="80"/>
        <v>109.50350141641081</v>
      </c>
      <c r="AD257" s="25">
        <v>3</v>
      </c>
      <c r="AE257" s="71"/>
      <c r="AF257" s="71"/>
      <c r="AG257" s="71">
        <f t="shared" si="81"/>
        <v>109.20703006144345</v>
      </c>
      <c r="AH257" s="17">
        <v>3</v>
      </c>
      <c r="AK257" s="64">
        <f t="shared" si="82"/>
        <v>110.43726382077395</v>
      </c>
      <c r="AL257" s="17">
        <v>4</v>
      </c>
      <c r="AM257" s="71"/>
      <c r="AN257" s="71"/>
      <c r="AO257" s="71">
        <f t="shared" si="83"/>
        <v>111.97339782828605</v>
      </c>
      <c r="AP257" s="17">
        <v>3</v>
      </c>
      <c r="AQ257" s="71"/>
      <c r="AR257" s="71"/>
      <c r="AS257" s="71">
        <f t="shared" si="84"/>
        <v>110.12341030651692</v>
      </c>
      <c r="AT257" s="17">
        <v>2</v>
      </c>
      <c r="AU257" s="71"/>
      <c r="AV257" s="71"/>
      <c r="AW257" s="71">
        <f t="shared" si="85"/>
        <v>110.91338973410525</v>
      </c>
      <c r="AX257" s="17">
        <v>1</v>
      </c>
      <c r="AY257" s="71"/>
      <c r="AZ257" s="71"/>
      <c r="BA257" s="71">
        <f t="shared" si="86"/>
        <v>90.050552929515405</v>
      </c>
      <c r="BB257" s="84">
        <v>1</v>
      </c>
      <c r="BC257" s="84">
        <v>0</v>
      </c>
      <c r="BD257" s="84">
        <v>1</v>
      </c>
      <c r="BE257" s="84">
        <v>0</v>
      </c>
      <c r="BF257" s="84">
        <v>0</v>
      </c>
      <c r="BG257" s="84">
        <v>0</v>
      </c>
      <c r="BH257" s="45">
        <v>2</v>
      </c>
      <c r="BI257" s="71"/>
      <c r="BJ257" s="71"/>
      <c r="BK257" s="71">
        <f t="shared" si="87"/>
        <v>114.81520780975161</v>
      </c>
      <c r="BL257" s="17">
        <v>1</v>
      </c>
      <c r="BM257" s="71"/>
      <c r="BN257" s="71"/>
      <c r="BO257" s="71">
        <f t="shared" si="88"/>
        <v>92.606326748686826</v>
      </c>
      <c r="BP257" s="17">
        <v>1</v>
      </c>
      <c r="BQ257" s="71"/>
      <c r="BR257" s="71"/>
      <c r="BS257" s="138">
        <f t="shared" si="89"/>
        <v>100.16171091563201</v>
      </c>
      <c r="BT257" s="17">
        <v>3</v>
      </c>
      <c r="BU257" s="71"/>
      <c r="BV257" s="71"/>
      <c r="BW257" s="71">
        <f t="shared" si="90"/>
        <v>112.03791162123835</v>
      </c>
      <c r="BX257" s="84">
        <v>2</v>
      </c>
      <c r="BY257" s="17">
        <v>0</v>
      </c>
      <c r="BZ257" s="71"/>
      <c r="CA257" s="71"/>
      <c r="CB257" s="71">
        <f t="shared" si="91"/>
        <v>81.489316531761531</v>
      </c>
      <c r="CC257" s="17">
        <v>3</v>
      </c>
      <c r="CD257" s="71"/>
      <c r="CE257" s="71"/>
      <c r="CF257" s="71">
        <f t="shared" si="92"/>
        <v>109.36214907383548</v>
      </c>
      <c r="CG257" s="17">
        <v>1</v>
      </c>
      <c r="CH257" s="71"/>
      <c r="CI257" s="71"/>
      <c r="CJ257" s="138">
        <f t="shared" si="93"/>
        <v>103.93736139675698</v>
      </c>
      <c r="CK257" s="17">
        <v>3</v>
      </c>
      <c r="CL257" s="71"/>
      <c r="CM257" s="71"/>
      <c r="CN257" s="71">
        <f t="shared" si="94"/>
        <v>109.82624001207998</v>
      </c>
      <c r="CO257" s="93">
        <v>1</v>
      </c>
      <c r="CP257" s="98">
        <v>1</v>
      </c>
      <c r="CQ257" s="98">
        <v>0</v>
      </c>
      <c r="CR257" s="98">
        <v>0</v>
      </c>
      <c r="CS257" s="102">
        <f t="shared" si="95"/>
        <v>106.89752195207025</v>
      </c>
      <c r="CT257" s="102">
        <f t="shared" si="96"/>
        <v>9.3542807555813141</v>
      </c>
      <c r="CU257" s="102">
        <f t="shared" si="97"/>
        <v>8.7506993471518468E-2</v>
      </c>
      <c r="CV257" s="108">
        <f t="shared" si="98"/>
        <v>106.07895696706085</v>
      </c>
      <c r="CZ257" s="109" t="str">
        <f t="shared" si="99"/>
        <v>Alto</v>
      </c>
    </row>
    <row r="258" spans="1:104" x14ac:dyDescent="0.15">
      <c r="A258" s="84">
        <v>3</v>
      </c>
      <c r="B258" s="88">
        <v>1</v>
      </c>
      <c r="C258" s="84">
        <v>1</v>
      </c>
      <c r="D258" s="84">
        <v>0</v>
      </c>
      <c r="E258" s="88">
        <v>1</v>
      </c>
      <c r="F258" s="21">
        <v>1</v>
      </c>
      <c r="I258" s="64">
        <f t="shared" si="75"/>
        <v>93.428492305734082</v>
      </c>
      <c r="J258" s="17">
        <v>2</v>
      </c>
      <c r="M258" s="64">
        <f t="shared" si="76"/>
        <v>110.02144013573877</v>
      </c>
      <c r="N258" s="17">
        <v>2</v>
      </c>
      <c r="Q258" s="64">
        <f t="shared" si="77"/>
        <v>113.93405225485253</v>
      </c>
      <c r="R258" s="17">
        <v>3</v>
      </c>
      <c r="U258" s="64">
        <f t="shared" si="78"/>
        <v>111.09942135879838</v>
      </c>
      <c r="V258" s="17">
        <v>2</v>
      </c>
      <c r="Y258" s="114">
        <f t="shared" si="79"/>
        <v>97.875621286587162</v>
      </c>
      <c r="Z258" s="17">
        <v>2</v>
      </c>
      <c r="AC258" s="64">
        <f t="shared" si="80"/>
        <v>101.50550517487696</v>
      </c>
      <c r="AD258" s="25">
        <v>3</v>
      </c>
      <c r="AE258" s="71"/>
      <c r="AF258" s="71"/>
      <c r="AG258" s="71">
        <f t="shared" si="81"/>
        <v>109.20703006144345</v>
      </c>
      <c r="AH258" s="17">
        <v>3</v>
      </c>
      <c r="AK258" s="64">
        <f t="shared" si="82"/>
        <v>110.43726382077395</v>
      </c>
      <c r="AL258" s="17">
        <v>3</v>
      </c>
      <c r="AM258" s="71"/>
      <c r="AN258" s="71"/>
      <c r="AO258" s="71">
        <f t="shared" si="83"/>
        <v>100.85056924463234</v>
      </c>
      <c r="AP258" s="17">
        <v>3</v>
      </c>
      <c r="AQ258" s="71"/>
      <c r="AR258" s="71"/>
      <c r="AS258" s="71">
        <f t="shared" si="84"/>
        <v>110.12341030651692</v>
      </c>
      <c r="AT258" s="17">
        <v>2</v>
      </c>
      <c r="AU258" s="71"/>
      <c r="AV258" s="71"/>
      <c r="AW258" s="71">
        <f t="shared" si="85"/>
        <v>110.91338973410525</v>
      </c>
      <c r="AX258" s="17">
        <v>3</v>
      </c>
      <c r="AY258" s="71"/>
      <c r="AZ258" s="71"/>
      <c r="BA258" s="71">
        <f t="shared" si="86"/>
        <v>111.80497096144313</v>
      </c>
      <c r="BB258" s="84">
        <v>0</v>
      </c>
      <c r="BC258" s="84">
        <v>1</v>
      </c>
      <c r="BD258" s="84">
        <v>1</v>
      </c>
      <c r="BE258" s="84">
        <v>0</v>
      </c>
      <c r="BF258" s="84">
        <v>0</v>
      </c>
      <c r="BG258" s="84">
        <v>0</v>
      </c>
      <c r="BH258" s="45">
        <v>2</v>
      </c>
      <c r="BI258" s="71"/>
      <c r="BJ258" s="71"/>
      <c r="BK258" s="71">
        <f t="shared" si="87"/>
        <v>114.81520780975161</v>
      </c>
      <c r="BL258" s="17">
        <v>3</v>
      </c>
      <c r="BM258" s="71"/>
      <c r="BN258" s="71"/>
      <c r="BO258" s="71">
        <f t="shared" si="88"/>
        <v>111.29665318323313</v>
      </c>
      <c r="BP258" s="17">
        <v>2</v>
      </c>
      <c r="BQ258" s="71"/>
      <c r="BR258" s="71"/>
      <c r="BS258" s="138">
        <f t="shared" si="89"/>
        <v>113.86671101544545</v>
      </c>
      <c r="BT258" s="17">
        <v>3</v>
      </c>
      <c r="BU258" s="71"/>
      <c r="BV258" s="71"/>
      <c r="BW258" s="71">
        <f t="shared" si="90"/>
        <v>112.03791162123835</v>
      </c>
      <c r="BX258" s="84">
        <v>2</v>
      </c>
      <c r="BY258" s="17">
        <v>3</v>
      </c>
      <c r="BZ258" s="71"/>
      <c r="CA258" s="71"/>
      <c r="CB258" s="71">
        <f t="shared" si="91"/>
        <v>110.05345743585116</v>
      </c>
      <c r="CC258" s="17">
        <v>3</v>
      </c>
      <c r="CD258" s="71"/>
      <c r="CE258" s="71"/>
      <c r="CF258" s="71">
        <f t="shared" si="92"/>
        <v>109.36214907383548</v>
      </c>
      <c r="CG258" s="17">
        <v>1</v>
      </c>
      <c r="CH258" s="71"/>
      <c r="CI258" s="71"/>
      <c r="CJ258" s="138">
        <f t="shared" si="93"/>
        <v>103.93736139675698</v>
      </c>
      <c r="CK258" s="17">
        <v>3</v>
      </c>
      <c r="CL258" s="71"/>
      <c r="CM258" s="71"/>
      <c r="CN258" s="71">
        <f t="shared" si="94"/>
        <v>109.82624001207998</v>
      </c>
      <c r="CO258" s="93">
        <v>1</v>
      </c>
      <c r="CP258" s="98">
        <v>1</v>
      </c>
      <c r="CQ258" s="98">
        <v>0</v>
      </c>
      <c r="CR258" s="98">
        <v>0</v>
      </c>
      <c r="CS258" s="102">
        <f t="shared" si="95"/>
        <v>108.86571555852387</v>
      </c>
      <c r="CT258" s="102">
        <f t="shared" si="96"/>
        <v>5.3600669432775723</v>
      </c>
      <c r="CU258" s="102">
        <f t="shared" si="97"/>
        <v>4.923558271562653E-2</v>
      </c>
      <c r="CV258" s="108">
        <f t="shared" si="98"/>
        <v>108.60180953917684</v>
      </c>
      <c r="CZ258" s="109" t="str">
        <f t="shared" si="99"/>
        <v>Alto</v>
      </c>
    </row>
    <row r="259" spans="1:104" x14ac:dyDescent="0.15">
      <c r="A259" s="84">
        <v>4</v>
      </c>
      <c r="B259" s="88">
        <v>1</v>
      </c>
      <c r="C259" s="84">
        <v>3</v>
      </c>
      <c r="D259" s="84">
        <v>0</v>
      </c>
      <c r="E259" s="88">
        <v>1</v>
      </c>
      <c r="F259" s="17">
        <v>2</v>
      </c>
      <c r="I259" s="64">
        <f t="shared" ref="I259:I322" si="100">100 + ((F259 - $G$2) / $H$2) * 10</f>
        <v>109.85726154139888</v>
      </c>
      <c r="J259" s="17">
        <v>2</v>
      </c>
      <c r="M259" s="64">
        <f t="shared" ref="M259:M322" si="101">100 + ((J259 - $K$2) / $L$2) * 10</f>
        <v>110.02144013573877</v>
      </c>
      <c r="N259" s="17">
        <v>2</v>
      </c>
      <c r="Q259" s="64">
        <f t="shared" ref="Q259:Q322" si="102">100 + ((N259 - $O$2) / $P$2) * 10</f>
        <v>113.93405225485253</v>
      </c>
      <c r="R259" s="17">
        <v>3</v>
      </c>
      <c r="U259" s="64">
        <f t="shared" ref="U259:U322" si="103">100 + ((R259 - $S$2) / $T$2) * 10</f>
        <v>111.09942135879838</v>
      </c>
      <c r="V259" s="17">
        <v>1</v>
      </c>
      <c r="Y259" s="114">
        <f t="shared" ref="Y259:Y322" si="104">100 + ((V259 - $W$2) / $X$2) * 10</f>
        <v>91.426614478012453</v>
      </c>
      <c r="Z259" s="17">
        <v>2</v>
      </c>
      <c r="AC259" s="64">
        <f t="shared" ref="AC259:AC322" si="105">100 + ((Z259 - $AA$2) / $AB$2) * 10</f>
        <v>101.50550517487696</v>
      </c>
      <c r="AD259" s="25">
        <v>3</v>
      </c>
      <c r="AE259" s="71"/>
      <c r="AF259" s="71"/>
      <c r="AG259" s="71">
        <f t="shared" ref="AG259:AG322" si="106">100 + ((AD259 - $AE$2) / $AF$2) * 10</f>
        <v>109.20703006144345</v>
      </c>
      <c r="AH259" s="17">
        <v>3</v>
      </c>
      <c r="AK259" s="64">
        <f t="shared" ref="AK259:AK322" si="107">100 + ((AH259 - $AI$2) / $AJ$2) * 10</f>
        <v>110.43726382077395</v>
      </c>
      <c r="AL259" s="17">
        <v>4</v>
      </c>
      <c r="AM259" s="71"/>
      <c r="AN259" s="71"/>
      <c r="AO259" s="71">
        <f t="shared" ref="AO259:AO322" si="108">100 + ((AL259 - $AM$2) / $AN$2) * 10</f>
        <v>111.97339782828605</v>
      </c>
      <c r="AP259" s="17">
        <v>3</v>
      </c>
      <c r="AQ259" s="71"/>
      <c r="AR259" s="71"/>
      <c r="AS259" s="71">
        <f t="shared" ref="AS259:AS322" si="109">100 + ((AP259 - $AQ$2) / $AR$2) * 10</f>
        <v>110.12341030651692</v>
      </c>
      <c r="AT259" s="17">
        <v>2</v>
      </c>
      <c r="AU259" s="71"/>
      <c r="AV259" s="71"/>
      <c r="AW259" s="71">
        <f t="shared" ref="AW259:AW322" si="110">100 + ((AT259 - $AU$2) / $AV$2) * 10</f>
        <v>110.91338973410525</v>
      </c>
      <c r="AX259" s="17">
        <v>2</v>
      </c>
      <c r="AY259" s="71"/>
      <c r="AZ259" s="71"/>
      <c r="BA259" s="71">
        <f t="shared" ref="BA259:BA322" si="111">100 + ((AX259 - $AY$2) / $AZ$2) * 10</f>
        <v>100.92776194547928</v>
      </c>
      <c r="BB259" s="84">
        <v>1</v>
      </c>
      <c r="BC259" s="84">
        <v>0</v>
      </c>
      <c r="BD259" s="84">
        <v>1</v>
      </c>
      <c r="BE259" s="84">
        <v>0</v>
      </c>
      <c r="BF259" s="84">
        <v>0</v>
      </c>
      <c r="BG259" s="84">
        <v>0</v>
      </c>
      <c r="BH259" s="45">
        <v>2</v>
      </c>
      <c r="BI259" s="71"/>
      <c r="BJ259" s="71"/>
      <c r="BK259" s="71">
        <f t="shared" ref="BK259:BK322" si="112">100 + ((BH259 - $BI$2) / $BJ$2) * 10</f>
        <v>114.81520780975161</v>
      </c>
      <c r="BL259" s="17">
        <v>3</v>
      </c>
      <c r="BM259" s="71"/>
      <c r="BN259" s="71"/>
      <c r="BO259" s="71">
        <f t="shared" ref="BO259:BO322" si="113">100 + ((BL259 - $BM$2) / $BN$2) * 10</f>
        <v>111.29665318323313</v>
      </c>
      <c r="BP259" s="17">
        <v>2</v>
      </c>
      <c r="BQ259" s="71"/>
      <c r="BR259" s="71"/>
      <c r="BS259" s="138">
        <f t="shared" ref="BS259:BS322" si="114">100 + ((BP259 - $BQ$2) / $BR$2) * 10</f>
        <v>113.86671101544545</v>
      </c>
      <c r="BT259" s="17">
        <v>3</v>
      </c>
      <c r="BU259" s="71"/>
      <c r="BV259" s="71"/>
      <c r="BW259" s="71">
        <f t="shared" ref="BW259:BW322" si="115">100 + ((BT259 - $BU$2) / $BV$2) * 10</f>
        <v>112.03791162123835</v>
      </c>
      <c r="BX259" s="84">
        <v>2</v>
      </c>
      <c r="BY259" s="17">
        <v>2</v>
      </c>
      <c r="BZ259" s="71"/>
      <c r="CA259" s="71"/>
      <c r="CB259" s="71">
        <f t="shared" ref="CB259:CB322" si="116">100 + ((BY259 - $BZ$2) / $CA$2) * 10</f>
        <v>100.53207713448795</v>
      </c>
      <c r="CC259" s="17">
        <v>3</v>
      </c>
      <c r="CD259" s="71"/>
      <c r="CE259" s="71"/>
      <c r="CF259" s="71">
        <f t="shared" ref="CF259:CF322" si="117">100 + ((CC259 - $CD$2) / $CE$2) * 10</f>
        <v>109.36214907383548</v>
      </c>
      <c r="CG259" s="17">
        <v>1</v>
      </c>
      <c r="CH259" s="71"/>
      <c r="CI259" s="71"/>
      <c r="CJ259" s="138">
        <f t="shared" ref="CJ259:CJ322" si="118">100 + ((CG259 - $CH$2) / $CI$2) * 10</f>
        <v>103.93736139675698</v>
      </c>
      <c r="CK259" s="17">
        <v>3</v>
      </c>
      <c r="CL259" s="71"/>
      <c r="CM259" s="71"/>
      <c r="CN259" s="71">
        <f t="shared" ref="CN259:CN322" si="119">100 + ((CK259 - $CL$2) / $CM$2) * 10</f>
        <v>109.82624001207998</v>
      </c>
      <c r="CO259" s="93">
        <v>1</v>
      </c>
      <c r="CP259" s="98">
        <v>1</v>
      </c>
      <c r="CQ259" s="98">
        <v>0</v>
      </c>
      <c r="CR259" s="98">
        <v>0</v>
      </c>
      <c r="CS259" s="102">
        <f t="shared" ref="CS259:CS322" si="120">AVERAGE(I259, M259, Q259, U259, AC259, AG259, AK259, AO259, AS259, AW259, BA259, BK259, BO259, BW259, CB259, CF259, CN259)</f>
        <v>109.28648076452336</v>
      </c>
      <c r="CT259" s="102">
        <f t="shared" ref="CT259:CT322" si="121">STDEV(I259, M259, Q259, U259, AC259, AG259, AK259, AO259, AS259, AW259, BA259, BK259, BO259, BW259, CB259, CF259, CN259)</f>
        <v>4.2365703204203919</v>
      </c>
      <c r="CU259" s="102">
        <f t="shared" ref="CU259:CU296" si="122">IF(CS259=0, 0, CT259 / CS259)</f>
        <v>3.8765731047272135E-2</v>
      </c>
      <c r="CV259" s="108">
        <f t="shared" ref="CV259:CV296" si="123">CS259 - CT259 * CU259</f>
        <v>109.12224701891908</v>
      </c>
      <c r="CZ259" s="109" t="str">
        <f t="shared" ref="CZ259:CZ322" si="124">IF(CV259&lt;95.9069994, "Basso", IF(CV259&lt;99.02062343, "Medio-Basso", IF(CV259&lt;103.58108, "Medio-Alto", "Alto")))</f>
        <v>Alto</v>
      </c>
    </row>
    <row r="260" spans="1:104" x14ac:dyDescent="0.15">
      <c r="A260" s="84">
        <v>3</v>
      </c>
      <c r="B260" s="85">
        <v>2</v>
      </c>
      <c r="C260" s="84">
        <v>3</v>
      </c>
      <c r="D260" s="84">
        <v>0</v>
      </c>
      <c r="E260" s="88">
        <v>1</v>
      </c>
      <c r="F260" s="17">
        <v>2</v>
      </c>
      <c r="I260" s="64">
        <f t="shared" si="100"/>
        <v>109.85726154139888</v>
      </c>
      <c r="J260" s="17">
        <v>1</v>
      </c>
      <c r="M260" s="64">
        <f t="shared" si="101"/>
        <v>95.705097084683388</v>
      </c>
      <c r="N260" s="17">
        <v>1</v>
      </c>
      <c r="Q260" s="64">
        <f t="shared" si="102"/>
        <v>98.246708656674187</v>
      </c>
      <c r="R260" s="17">
        <v>0</v>
      </c>
      <c r="U260" s="64">
        <f t="shared" si="103"/>
        <v>81.845132506151486</v>
      </c>
      <c r="V260" s="17">
        <v>4</v>
      </c>
      <c r="Y260" s="114">
        <f t="shared" si="104"/>
        <v>110.77363490373656</v>
      </c>
      <c r="Z260" s="17">
        <v>3</v>
      </c>
      <c r="AC260" s="64">
        <f t="shared" si="105"/>
        <v>109.50350141641081</v>
      </c>
      <c r="AD260" s="25">
        <v>2</v>
      </c>
      <c r="AE260" s="71"/>
      <c r="AF260" s="71"/>
      <c r="AG260" s="71">
        <f t="shared" si="106"/>
        <v>101.01229126330007</v>
      </c>
      <c r="AH260" s="17">
        <v>2</v>
      </c>
      <c r="AK260" s="64">
        <f t="shared" si="107"/>
        <v>99.518280131348902</v>
      </c>
      <c r="AL260" s="17">
        <v>3</v>
      </c>
      <c r="AM260" s="71"/>
      <c r="AN260" s="71"/>
      <c r="AO260" s="71">
        <f t="shared" si="108"/>
        <v>100.85056924463234</v>
      </c>
      <c r="AP260" s="17">
        <v>2</v>
      </c>
      <c r="AQ260" s="71"/>
      <c r="AR260" s="71"/>
      <c r="AS260" s="71">
        <f t="shared" si="109"/>
        <v>99.909880620416757</v>
      </c>
      <c r="AT260" s="17">
        <v>2</v>
      </c>
      <c r="AU260" s="71"/>
      <c r="AV260" s="71"/>
      <c r="AW260" s="71">
        <f t="shared" si="110"/>
        <v>110.91338973410525</v>
      </c>
      <c r="AX260" s="17">
        <v>2</v>
      </c>
      <c r="AY260" s="71"/>
      <c r="AZ260" s="71"/>
      <c r="BA260" s="71">
        <f t="shared" si="111"/>
        <v>100.92776194547928</v>
      </c>
      <c r="BB260" s="84">
        <v>1</v>
      </c>
      <c r="BC260" s="84">
        <v>0</v>
      </c>
      <c r="BD260" s="84">
        <v>1</v>
      </c>
      <c r="BE260" s="84">
        <v>0</v>
      </c>
      <c r="BF260" s="84">
        <v>0</v>
      </c>
      <c r="BG260" s="84">
        <v>0</v>
      </c>
      <c r="BH260" s="45">
        <v>1</v>
      </c>
      <c r="BI260" s="71"/>
      <c r="BJ260" s="71"/>
      <c r="BK260" s="71">
        <f t="shared" si="112"/>
        <v>103.49572319106498</v>
      </c>
      <c r="BL260" s="17">
        <v>2</v>
      </c>
      <c r="BM260" s="71"/>
      <c r="BN260" s="71"/>
      <c r="BO260" s="71">
        <f t="shared" si="113"/>
        <v>101.95148996595998</v>
      </c>
      <c r="BP260" s="17">
        <v>1</v>
      </c>
      <c r="BQ260" s="71"/>
      <c r="BR260" s="71"/>
      <c r="BS260" s="138">
        <f t="shared" si="114"/>
        <v>100.16171091563201</v>
      </c>
      <c r="BT260" s="17">
        <v>1</v>
      </c>
      <c r="BU260" s="71"/>
      <c r="BV260" s="71"/>
      <c r="BW260" s="71">
        <f t="shared" si="115"/>
        <v>93.001214173698628</v>
      </c>
      <c r="BX260" s="84">
        <v>0</v>
      </c>
      <c r="BY260" s="17">
        <v>3</v>
      </c>
      <c r="BZ260" s="71"/>
      <c r="CA260" s="71"/>
      <c r="CB260" s="71">
        <f t="shared" si="116"/>
        <v>110.05345743585116</v>
      </c>
      <c r="CC260" s="17">
        <v>2</v>
      </c>
      <c r="CD260" s="71"/>
      <c r="CE260" s="71"/>
      <c r="CF260" s="71">
        <f t="shared" si="117"/>
        <v>100.18886179687853</v>
      </c>
      <c r="CG260" s="17">
        <v>0</v>
      </c>
      <c r="CH260" s="71"/>
      <c r="CI260" s="71"/>
      <c r="CJ260" s="138">
        <f t="shared" si="118"/>
        <v>89.226340793489143</v>
      </c>
      <c r="CK260" s="17">
        <v>2</v>
      </c>
      <c r="CL260" s="71"/>
      <c r="CM260" s="71"/>
      <c r="CN260" s="71">
        <f t="shared" si="119"/>
        <v>100.22589057499034</v>
      </c>
      <c r="CO260" s="93">
        <v>1</v>
      </c>
      <c r="CP260" s="98">
        <v>1</v>
      </c>
      <c r="CQ260" s="98">
        <v>0</v>
      </c>
      <c r="CR260" s="98">
        <v>0</v>
      </c>
      <c r="CS260" s="102">
        <f t="shared" si="120"/>
        <v>101.01214772253206</v>
      </c>
      <c r="CT260" s="102">
        <f t="shared" si="121"/>
        <v>7.1120818935110455</v>
      </c>
      <c r="CU260" s="102">
        <f t="shared" si="122"/>
        <v>7.0408184103233393E-2</v>
      </c>
      <c r="CV260" s="108">
        <f t="shared" si="123"/>
        <v>100.51139895121646</v>
      </c>
      <c r="CZ260" s="109" t="str">
        <f t="shared" si="124"/>
        <v>Medio-Alto</v>
      </c>
    </row>
    <row r="261" spans="1:104" x14ac:dyDescent="0.15">
      <c r="A261" s="84">
        <v>2</v>
      </c>
      <c r="B261" s="88">
        <v>1</v>
      </c>
      <c r="C261" s="84">
        <v>3</v>
      </c>
      <c r="D261" s="84">
        <v>0</v>
      </c>
      <c r="E261" s="88">
        <v>1</v>
      </c>
      <c r="F261" s="17">
        <v>2</v>
      </c>
      <c r="I261" s="64">
        <f t="shared" si="100"/>
        <v>109.85726154139888</v>
      </c>
      <c r="J261" s="17">
        <v>2</v>
      </c>
      <c r="M261" s="64">
        <f t="shared" si="101"/>
        <v>110.02144013573877</v>
      </c>
      <c r="N261" s="17">
        <v>1</v>
      </c>
      <c r="Q261" s="64">
        <f t="shared" si="102"/>
        <v>98.246708656674187</v>
      </c>
      <c r="R261" s="17">
        <v>2</v>
      </c>
      <c r="U261" s="64">
        <f t="shared" si="103"/>
        <v>101.34799174124942</v>
      </c>
      <c r="V261" s="17">
        <v>4</v>
      </c>
      <c r="Y261" s="114">
        <f t="shared" si="104"/>
        <v>110.77363490373656</v>
      </c>
      <c r="Z261" s="17">
        <v>3</v>
      </c>
      <c r="AC261" s="64">
        <f t="shared" si="105"/>
        <v>109.50350141641081</v>
      </c>
      <c r="AD261" s="25">
        <v>3</v>
      </c>
      <c r="AE261" s="71"/>
      <c r="AF261" s="71"/>
      <c r="AG261" s="71">
        <f t="shared" si="106"/>
        <v>109.20703006144345</v>
      </c>
      <c r="AH261" s="17">
        <v>2</v>
      </c>
      <c r="AK261" s="64">
        <f t="shared" si="107"/>
        <v>99.518280131348902</v>
      </c>
      <c r="AL261" s="17">
        <v>3</v>
      </c>
      <c r="AM261" s="71"/>
      <c r="AN261" s="71"/>
      <c r="AO261" s="71">
        <f t="shared" si="108"/>
        <v>100.85056924463234</v>
      </c>
      <c r="AP261" s="17">
        <v>3</v>
      </c>
      <c r="AQ261" s="71"/>
      <c r="AR261" s="71"/>
      <c r="AS261" s="71">
        <f t="shared" si="109"/>
        <v>110.12341030651692</v>
      </c>
      <c r="AT261" s="17">
        <v>0</v>
      </c>
      <c r="AU261" s="71"/>
      <c r="AV261" s="71"/>
      <c r="AW261" s="71">
        <f t="shared" si="110"/>
        <v>89.214252251088965</v>
      </c>
      <c r="AX261" s="17">
        <v>2</v>
      </c>
      <c r="AY261" s="71"/>
      <c r="AZ261" s="71"/>
      <c r="BA261" s="71">
        <f t="shared" si="111"/>
        <v>100.92776194547928</v>
      </c>
      <c r="BB261" s="84">
        <v>1</v>
      </c>
      <c r="BC261" s="84">
        <v>0</v>
      </c>
      <c r="BD261" s="84">
        <v>1</v>
      </c>
      <c r="BE261" s="84">
        <v>0</v>
      </c>
      <c r="BF261" s="84">
        <v>0</v>
      </c>
      <c r="BG261" s="84">
        <v>0</v>
      </c>
      <c r="BH261" s="45">
        <v>2</v>
      </c>
      <c r="BI261" s="71"/>
      <c r="BJ261" s="71"/>
      <c r="BK261" s="71">
        <f t="shared" si="112"/>
        <v>114.81520780975161</v>
      </c>
      <c r="BL261" s="17">
        <v>1</v>
      </c>
      <c r="BM261" s="71"/>
      <c r="BN261" s="71"/>
      <c r="BO261" s="71">
        <f t="shared" si="113"/>
        <v>92.606326748686826</v>
      </c>
      <c r="BP261" s="17">
        <v>1</v>
      </c>
      <c r="BQ261" s="71"/>
      <c r="BR261" s="71"/>
      <c r="BS261" s="138">
        <f t="shared" si="114"/>
        <v>100.16171091563201</v>
      </c>
      <c r="BT261" s="17">
        <v>1</v>
      </c>
      <c r="BU261" s="71"/>
      <c r="BV261" s="71"/>
      <c r="BW261" s="71">
        <f t="shared" si="115"/>
        <v>93.001214173698628</v>
      </c>
      <c r="BX261" s="84">
        <v>2</v>
      </c>
      <c r="BY261" s="17">
        <v>3</v>
      </c>
      <c r="BZ261" s="71"/>
      <c r="CA261" s="71"/>
      <c r="CB261" s="71">
        <f t="shared" si="116"/>
        <v>110.05345743585116</v>
      </c>
      <c r="CC261" s="17">
        <v>3</v>
      </c>
      <c r="CD261" s="71"/>
      <c r="CE261" s="71"/>
      <c r="CF261" s="71">
        <f t="shared" si="117"/>
        <v>109.36214907383548</v>
      </c>
      <c r="CG261" s="17">
        <v>1</v>
      </c>
      <c r="CH261" s="71"/>
      <c r="CI261" s="71"/>
      <c r="CJ261" s="138">
        <f t="shared" si="118"/>
        <v>103.93736139675698</v>
      </c>
      <c r="CK261" s="17">
        <v>2</v>
      </c>
      <c r="CL261" s="71"/>
      <c r="CM261" s="71"/>
      <c r="CN261" s="71">
        <f t="shared" si="119"/>
        <v>100.22589057499034</v>
      </c>
      <c r="CO261" s="93">
        <v>1</v>
      </c>
      <c r="CP261" s="98">
        <v>1</v>
      </c>
      <c r="CQ261" s="98">
        <v>0</v>
      </c>
      <c r="CR261" s="98">
        <v>0</v>
      </c>
      <c r="CS261" s="102">
        <f t="shared" si="120"/>
        <v>103.46367372051742</v>
      </c>
      <c r="CT261" s="102">
        <f t="shared" si="121"/>
        <v>7.5256520833939868</v>
      </c>
      <c r="CU261" s="102">
        <f t="shared" si="122"/>
        <v>7.2737143509158123E-2</v>
      </c>
      <c r="CV261" s="108">
        <f t="shared" si="123"/>
        <v>102.9162792849276</v>
      </c>
      <c r="CZ261" s="109" t="str">
        <f t="shared" si="124"/>
        <v>Medio-Alto</v>
      </c>
    </row>
    <row r="262" spans="1:104" x14ac:dyDescent="0.15">
      <c r="A262" s="84">
        <v>4</v>
      </c>
      <c r="B262" s="85">
        <v>2</v>
      </c>
      <c r="C262" s="84">
        <v>1</v>
      </c>
      <c r="D262" s="84">
        <v>1</v>
      </c>
      <c r="E262" s="88">
        <v>1</v>
      </c>
      <c r="F262" s="17">
        <v>2</v>
      </c>
      <c r="I262" s="64">
        <f t="shared" si="100"/>
        <v>109.85726154139888</v>
      </c>
      <c r="J262" s="17">
        <v>1</v>
      </c>
      <c r="M262" s="64">
        <f t="shared" si="101"/>
        <v>95.705097084683388</v>
      </c>
      <c r="N262" s="17">
        <v>1</v>
      </c>
      <c r="Q262" s="64">
        <f t="shared" si="102"/>
        <v>98.246708656674187</v>
      </c>
      <c r="R262" s="17">
        <v>2</v>
      </c>
      <c r="U262" s="64">
        <f t="shared" si="103"/>
        <v>101.34799174124942</v>
      </c>
      <c r="V262" s="17">
        <v>2</v>
      </c>
      <c r="Y262" s="114">
        <f t="shared" si="104"/>
        <v>97.875621286587162</v>
      </c>
      <c r="Z262" s="17">
        <v>3</v>
      </c>
      <c r="AC262" s="64">
        <f t="shared" si="105"/>
        <v>109.50350141641081</v>
      </c>
      <c r="AD262" s="25">
        <v>3</v>
      </c>
      <c r="AE262" s="71"/>
      <c r="AF262" s="71"/>
      <c r="AG262" s="71">
        <f t="shared" si="106"/>
        <v>109.20703006144345</v>
      </c>
      <c r="AH262" s="17">
        <v>3</v>
      </c>
      <c r="AK262" s="64">
        <f t="shared" si="107"/>
        <v>110.43726382077395</v>
      </c>
      <c r="AL262" s="17">
        <v>3</v>
      </c>
      <c r="AM262" s="71"/>
      <c r="AN262" s="71"/>
      <c r="AO262" s="71">
        <f t="shared" si="108"/>
        <v>100.85056924463234</v>
      </c>
      <c r="AP262" s="17">
        <v>3</v>
      </c>
      <c r="AQ262" s="71"/>
      <c r="AR262" s="71"/>
      <c r="AS262" s="71">
        <f t="shared" si="109"/>
        <v>110.12341030651692</v>
      </c>
      <c r="AT262" s="17">
        <v>1</v>
      </c>
      <c r="AU262" s="71"/>
      <c r="AV262" s="71"/>
      <c r="AW262" s="71">
        <f t="shared" si="110"/>
        <v>100.0638209925971</v>
      </c>
      <c r="AX262" s="17">
        <v>2</v>
      </c>
      <c r="AY262" s="71"/>
      <c r="AZ262" s="71"/>
      <c r="BA262" s="71">
        <f t="shared" si="111"/>
        <v>100.92776194547928</v>
      </c>
      <c r="BB262" s="84">
        <v>1</v>
      </c>
      <c r="BC262" s="84">
        <v>0</v>
      </c>
      <c r="BD262" s="84">
        <v>1</v>
      </c>
      <c r="BE262" s="84">
        <v>0</v>
      </c>
      <c r="BF262" s="84">
        <v>0</v>
      </c>
      <c r="BG262" s="84">
        <v>0</v>
      </c>
      <c r="BH262" s="45">
        <v>0</v>
      </c>
      <c r="BI262" s="71"/>
      <c r="BJ262" s="71"/>
      <c r="BK262" s="71">
        <f t="shared" si="112"/>
        <v>92.176238572378367</v>
      </c>
      <c r="BL262" s="17">
        <v>1</v>
      </c>
      <c r="BM262" s="71"/>
      <c r="BN262" s="71"/>
      <c r="BO262" s="71">
        <f t="shared" si="113"/>
        <v>92.606326748686826</v>
      </c>
      <c r="BP262" s="17">
        <v>0</v>
      </c>
      <c r="BQ262" s="71"/>
      <c r="BR262" s="71"/>
      <c r="BS262" s="138">
        <f t="shared" si="114"/>
        <v>86.456710815818582</v>
      </c>
      <c r="BT262" s="17">
        <v>2</v>
      </c>
      <c r="BU262" s="71"/>
      <c r="BV262" s="71"/>
      <c r="BW262" s="71">
        <f t="shared" si="115"/>
        <v>102.51956289746849</v>
      </c>
      <c r="BX262" s="84">
        <v>2</v>
      </c>
      <c r="BY262" s="17">
        <v>2</v>
      </c>
      <c r="BZ262" s="71"/>
      <c r="CA262" s="71"/>
      <c r="CB262" s="71">
        <f t="shared" si="116"/>
        <v>100.53207713448795</v>
      </c>
      <c r="CC262" s="17">
        <v>3</v>
      </c>
      <c r="CD262" s="71"/>
      <c r="CE262" s="71"/>
      <c r="CF262" s="71">
        <f t="shared" si="117"/>
        <v>109.36214907383548</v>
      </c>
      <c r="CG262" s="17">
        <v>0</v>
      </c>
      <c r="CH262" s="71"/>
      <c r="CI262" s="71"/>
      <c r="CJ262" s="138">
        <f t="shared" si="118"/>
        <v>89.226340793489143</v>
      </c>
      <c r="CK262" s="17">
        <v>2</v>
      </c>
      <c r="CL262" s="71"/>
      <c r="CM262" s="71"/>
      <c r="CN262" s="71">
        <f t="shared" si="119"/>
        <v>100.22589057499034</v>
      </c>
      <c r="CO262" s="93">
        <v>0</v>
      </c>
      <c r="CP262" s="98">
        <v>1</v>
      </c>
      <c r="CQ262" s="98">
        <v>1</v>
      </c>
      <c r="CR262" s="98">
        <v>0</v>
      </c>
      <c r="CS262" s="102">
        <f t="shared" si="120"/>
        <v>102.57015657727689</v>
      </c>
      <c r="CT262" s="102">
        <f t="shared" si="121"/>
        <v>6.1568553043227885</v>
      </c>
      <c r="CU262" s="102">
        <f t="shared" si="122"/>
        <v>6.0025796096783587E-2</v>
      </c>
      <c r="CV262" s="108">
        <f t="shared" si="123"/>
        <v>102.20058643618221</v>
      </c>
      <c r="CZ262" s="109" t="str">
        <f t="shared" si="124"/>
        <v>Medio-Alto</v>
      </c>
    </row>
    <row r="263" spans="1:104" x14ac:dyDescent="0.15">
      <c r="A263" s="84">
        <v>4</v>
      </c>
      <c r="B263" s="85">
        <v>2</v>
      </c>
      <c r="C263" s="84">
        <v>1</v>
      </c>
      <c r="D263" s="84">
        <v>0</v>
      </c>
      <c r="E263" s="88">
        <v>1</v>
      </c>
      <c r="F263" s="17">
        <v>1</v>
      </c>
      <c r="I263" s="64">
        <f t="shared" si="100"/>
        <v>93.428492305734082</v>
      </c>
      <c r="J263" s="17">
        <v>2</v>
      </c>
      <c r="M263" s="64">
        <f t="shared" si="101"/>
        <v>110.02144013573877</v>
      </c>
      <c r="N263" s="17">
        <v>1</v>
      </c>
      <c r="Q263" s="64">
        <f t="shared" si="102"/>
        <v>98.246708656674187</v>
      </c>
      <c r="R263" s="17">
        <v>3</v>
      </c>
      <c r="U263" s="64">
        <f t="shared" si="103"/>
        <v>111.09942135879838</v>
      </c>
      <c r="V263" s="17">
        <v>4</v>
      </c>
      <c r="Y263" s="114">
        <f t="shared" si="104"/>
        <v>110.77363490373656</v>
      </c>
      <c r="Z263" s="17">
        <v>3</v>
      </c>
      <c r="AC263" s="64">
        <f t="shared" si="105"/>
        <v>109.50350141641081</v>
      </c>
      <c r="AD263" s="25">
        <v>3</v>
      </c>
      <c r="AE263" s="71"/>
      <c r="AF263" s="71"/>
      <c r="AG263" s="71">
        <f t="shared" si="106"/>
        <v>109.20703006144345</v>
      </c>
      <c r="AH263" s="17">
        <v>3</v>
      </c>
      <c r="AK263" s="64">
        <f t="shared" si="107"/>
        <v>110.43726382077395</v>
      </c>
      <c r="AL263" s="17">
        <v>3</v>
      </c>
      <c r="AM263" s="71"/>
      <c r="AN263" s="71"/>
      <c r="AO263" s="71">
        <f t="shared" si="108"/>
        <v>100.85056924463234</v>
      </c>
      <c r="AP263" s="17">
        <v>3</v>
      </c>
      <c r="AQ263" s="71"/>
      <c r="AR263" s="71"/>
      <c r="AS263" s="71">
        <f t="shared" si="109"/>
        <v>110.12341030651692</v>
      </c>
      <c r="AT263" s="17">
        <v>2</v>
      </c>
      <c r="AU263" s="71"/>
      <c r="AV263" s="71"/>
      <c r="AW263" s="71">
        <f t="shared" si="110"/>
        <v>110.91338973410525</v>
      </c>
      <c r="AX263" s="17">
        <v>3</v>
      </c>
      <c r="AY263" s="71"/>
      <c r="AZ263" s="71"/>
      <c r="BA263" s="71">
        <f t="shared" si="111"/>
        <v>111.80497096144313</v>
      </c>
      <c r="BB263" s="84">
        <v>1</v>
      </c>
      <c r="BC263" s="84">
        <v>0</v>
      </c>
      <c r="BD263" s="84">
        <v>1</v>
      </c>
      <c r="BE263" s="84">
        <v>0</v>
      </c>
      <c r="BF263" s="84">
        <v>0</v>
      </c>
      <c r="BG263" s="84">
        <v>0</v>
      </c>
      <c r="BH263" s="45">
        <v>1</v>
      </c>
      <c r="BI263" s="71"/>
      <c r="BJ263" s="71"/>
      <c r="BK263" s="71">
        <f t="shared" si="112"/>
        <v>103.49572319106498</v>
      </c>
      <c r="BL263" s="17">
        <v>3</v>
      </c>
      <c r="BM263" s="71"/>
      <c r="BN263" s="71"/>
      <c r="BO263" s="71">
        <f t="shared" si="113"/>
        <v>111.29665318323313</v>
      </c>
      <c r="BP263" s="17">
        <v>1</v>
      </c>
      <c r="BQ263" s="71"/>
      <c r="BR263" s="71"/>
      <c r="BS263" s="138">
        <f t="shared" si="114"/>
        <v>100.16171091563201</v>
      </c>
      <c r="BT263" s="17">
        <v>2</v>
      </c>
      <c r="BU263" s="71"/>
      <c r="BV263" s="71"/>
      <c r="BW263" s="71">
        <f t="shared" si="115"/>
        <v>102.51956289746849</v>
      </c>
      <c r="BX263" s="84">
        <v>2</v>
      </c>
      <c r="BY263" s="17">
        <v>3</v>
      </c>
      <c r="BZ263" s="71"/>
      <c r="CA263" s="71"/>
      <c r="CB263" s="71">
        <f t="shared" si="116"/>
        <v>110.05345743585116</v>
      </c>
      <c r="CC263" s="17">
        <v>3</v>
      </c>
      <c r="CD263" s="71"/>
      <c r="CE263" s="71"/>
      <c r="CF263" s="71">
        <f t="shared" si="117"/>
        <v>109.36214907383548</v>
      </c>
      <c r="CG263" s="17">
        <v>0</v>
      </c>
      <c r="CH263" s="71"/>
      <c r="CI263" s="71"/>
      <c r="CJ263" s="138">
        <f t="shared" si="118"/>
        <v>89.226340793489143</v>
      </c>
      <c r="CK263" s="17">
        <v>3</v>
      </c>
      <c r="CL263" s="71"/>
      <c r="CM263" s="71"/>
      <c r="CN263" s="71">
        <f t="shared" si="119"/>
        <v>109.82624001207998</v>
      </c>
      <c r="CO263" s="93">
        <v>1</v>
      </c>
      <c r="CP263" s="98">
        <v>1</v>
      </c>
      <c r="CQ263" s="98">
        <v>0</v>
      </c>
      <c r="CR263" s="98">
        <v>0</v>
      </c>
      <c r="CS263" s="102">
        <f t="shared" si="120"/>
        <v>107.18764610563555</v>
      </c>
      <c r="CT263" s="102">
        <f t="shared" si="121"/>
        <v>5.4128032363895553</v>
      </c>
      <c r="CU263" s="102">
        <f t="shared" si="122"/>
        <v>5.0498387016122456E-2</v>
      </c>
      <c r="CV263" s="108">
        <f t="shared" si="123"/>
        <v>106.91430827296223</v>
      </c>
      <c r="CZ263" s="109" t="str">
        <f t="shared" si="124"/>
        <v>Alto</v>
      </c>
    </row>
    <row r="264" spans="1:104" x14ac:dyDescent="0.15">
      <c r="A264" s="84">
        <v>4</v>
      </c>
      <c r="B264" s="88">
        <v>1</v>
      </c>
      <c r="C264" s="84">
        <v>1</v>
      </c>
      <c r="D264" s="84">
        <v>0</v>
      </c>
      <c r="E264" s="88">
        <v>1</v>
      </c>
      <c r="F264" s="17">
        <v>2</v>
      </c>
      <c r="I264" s="64">
        <f t="shared" si="100"/>
        <v>109.85726154139888</v>
      </c>
      <c r="J264" s="17">
        <v>2</v>
      </c>
      <c r="M264" s="64">
        <f t="shared" si="101"/>
        <v>110.02144013573877</v>
      </c>
      <c r="N264" s="17">
        <v>0</v>
      </c>
      <c r="Q264" s="64">
        <f t="shared" si="102"/>
        <v>82.559365058495843</v>
      </c>
      <c r="R264" s="17">
        <v>2</v>
      </c>
      <c r="U264" s="64">
        <f t="shared" si="103"/>
        <v>101.34799174124942</v>
      </c>
      <c r="V264" s="17">
        <v>2</v>
      </c>
      <c r="Y264" s="114">
        <f t="shared" si="104"/>
        <v>97.875621286587162</v>
      </c>
      <c r="Z264" s="17">
        <v>3</v>
      </c>
      <c r="AC264" s="64">
        <f t="shared" si="105"/>
        <v>109.50350141641081</v>
      </c>
      <c r="AD264" s="25">
        <v>3</v>
      </c>
      <c r="AE264" s="71"/>
      <c r="AF264" s="71"/>
      <c r="AG264" s="71">
        <f t="shared" si="106"/>
        <v>109.20703006144345</v>
      </c>
      <c r="AH264" s="17">
        <v>2</v>
      </c>
      <c r="AK264" s="64">
        <f t="shared" si="107"/>
        <v>99.518280131348902</v>
      </c>
      <c r="AL264" s="17">
        <v>4</v>
      </c>
      <c r="AM264" s="71"/>
      <c r="AN264" s="71"/>
      <c r="AO264" s="71">
        <f t="shared" si="108"/>
        <v>111.97339782828605</v>
      </c>
      <c r="AP264" s="17">
        <v>3</v>
      </c>
      <c r="AQ264" s="71"/>
      <c r="AR264" s="71"/>
      <c r="AS264" s="71">
        <f t="shared" si="109"/>
        <v>110.12341030651692</v>
      </c>
      <c r="AT264" s="17">
        <v>2</v>
      </c>
      <c r="AU264" s="71"/>
      <c r="AV264" s="71"/>
      <c r="AW264" s="71">
        <f t="shared" si="110"/>
        <v>110.91338973410525</v>
      </c>
      <c r="AX264" s="17">
        <v>3</v>
      </c>
      <c r="AY264" s="71"/>
      <c r="AZ264" s="71"/>
      <c r="BA264" s="71">
        <f t="shared" si="111"/>
        <v>111.80497096144313</v>
      </c>
      <c r="BB264" s="84">
        <v>1</v>
      </c>
      <c r="BC264" s="84">
        <v>0</v>
      </c>
      <c r="BD264" s="84">
        <v>1</v>
      </c>
      <c r="BE264" s="84">
        <v>0</v>
      </c>
      <c r="BF264" s="84">
        <v>0</v>
      </c>
      <c r="BG264" s="84">
        <v>0</v>
      </c>
      <c r="BH264" s="46">
        <v>2</v>
      </c>
      <c r="BI264" s="71"/>
      <c r="BJ264" s="71"/>
      <c r="BK264" s="71">
        <f t="shared" si="112"/>
        <v>114.81520780975161</v>
      </c>
      <c r="BL264" s="17">
        <v>3</v>
      </c>
      <c r="BM264" s="71"/>
      <c r="BN264" s="71"/>
      <c r="BO264" s="71">
        <f t="shared" si="113"/>
        <v>111.29665318323313</v>
      </c>
      <c r="BP264" s="17">
        <v>0</v>
      </c>
      <c r="BQ264" s="71"/>
      <c r="BR264" s="71"/>
      <c r="BS264" s="138">
        <f t="shared" si="114"/>
        <v>86.456710815818582</v>
      </c>
      <c r="BT264" s="17">
        <v>3</v>
      </c>
      <c r="BU264" s="71"/>
      <c r="BV264" s="71"/>
      <c r="BW264" s="71">
        <f t="shared" si="115"/>
        <v>112.03791162123835</v>
      </c>
      <c r="BX264" s="84">
        <v>2</v>
      </c>
      <c r="BY264" s="17">
        <v>2</v>
      </c>
      <c r="BZ264" s="71"/>
      <c r="CA264" s="71"/>
      <c r="CB264" s="71">
        <f t="shared" si="116"/>
        <v>100.53207713448795</v>
      </c>
      <c r="CC264" s="17">
        <v>3</v>
      </c>
      <c r="CD264" s="71"/>
      <c r="CE264" s="71"/>
      <c r="CF264" s="71">
        <f t="shared" si="117"/>
        <v>109.36214907383548</v>
      </c>
      <c r="CG264" s="17">
        <v>0</v>
      </c>
      <c r="CH264" s="71"/>
      <c r="CI264" s="71"/>
      <c r="CJ264" s="138">
        <f t="shared" si="118"/>
        <v>89.226340793489143</v>
      </c>
      <c r="CK264" s="17">
        <v>3</v>
      </c>
      <c r="CL264" s="71"/>
      <c r="CM264" s="71"/>
      <c r="CN264" s="71">
        <f t="shared" si="119"/>
        <v>109.82624001207998</v>
      </c>
      <c r="CO264" s="93">
        <v>1</v>
      </c>
      <c r="CP264" s="98">
        <v>1</v>
      </c>
      <c r="CQ264" s="98">
        <v>1</v>
      </c>
      <c r="CR264" s="98">
        <v>0</v>
      </c>
      <c r="CS264" s="102">
        <f t="shared" si="120"/>
        <v>107.33531045594495</v>
      </c>
      <c r="CT264" s="102">
        <f t="shared" si="121"/>
        <v>7.6852112588711803</v>
      </c>
      <c r="CU264" s="102">
        <f t="shared" si="122"/>
        <v>7.1600028231394761E-2</v>
      </c>
      <c r="CV264" s="108">
        <f t="shared" si="123"/>
        <v>106.78504911284554</v>
      </c>
      <c r="CZ264" s="109" t="str">
        <f t="shared" si="124"/>
        <v>Alto</v>
      </c>
    </row>
    <row r="265" spans="1:104" x14ac:dyDescent="0.15">
      <c r="A265" s="84">
        <v>4</v>
      </c>
      <c r="B265" s="88">
        <v>1</v>
      </c>
      <c r="C265" s="84">
        <v>1</v>
      </c>
      <c r="D265" s="84">
        <v>0</v>
      </c>
      <c r="E265" s="88">
        <v>1</v>
      </c>
      <c r="F265" s="17">
        <v>1</v>
      </c>
      <c r="I265" s="64">
        <f t="shared" si="100"/>
        <v>93.428492305734082</v>
      </c>
      <c r="J265" s="17">
        <v>1</v>
      </c>
      <c r="M265" s="64">
        <f t="shared" si="101"/>
        <v>95.705097084683388</v>
      </c>
      <c r="N265" s="17">
        <v>1</v>
      </c>
      <c r="Q265" s="64">
        <f t="shared" si="102"/>
        <v>98.246708656674187</v>
      </c>
      <c r="R265" s="17">
        <v>2</v>
      </c>
      <c r="U265" s="64">
        <f t="shared" si="103"/>
        <v>101.34799174124942</v>
      </c>
      <c r="V265" s="17">
        <v>2</v>
      </c>
      <c r="Y265" s="114">
        <f t="shared" si="104"/>
        <v>97.875621286587162</v>
      </c>
      <c r="Z265" s="17">
        <v>3</v>
      </c>
      <c r="AC265" s="64">
        <f t="shared" si="105"/>
        <v>109.50350141641081</v>
      </c>
      <c r="AD265" s="25">
        <v>0</v>
      </c>
      <c r="AE265" s="71"/>
      <c r="AF265" s="71"/>
      <c r="AG265" s="71">
        <f t="shared" si="106"/>
        <v>84.62281366701329</v>
      </c>
      <c r="AH265" s="17">
        <v>3</v>
      </c>
      <c r="AK265" s="64">
        <f t="shared" si="107"/>
        <v>110.43726382077395</v>
      </c>
      <c r="AL265" s="17">
        <v>4</v>
      </c>
      <c r="AM265" s="71"/>
      <c r="AN265" s="71"/>
      <c r="AO265" s="71">
        <f t="shared" si="108"/>
        <v>111.97339782828605</v>
      </c>
      <c r="AP265" s="17">
        <v>2</v>
      </c>
      <c r="AQ265" s="71"/>
      <c r="AR265" s="71"/>
      <c r="AS265" s="71">
        <f t="shared" si="109"/>
        <v>99.909880620416757</v>
      </c>
      <c r="AT265" s="17">
        <v>2</v>
      </c>
      <c r="AU265" s="71"/>
      <c r="AV265" s="71"/>
      <c r="AW265" s="71">
        <f t="shared" si="110"/>
        <v>110.91338973410525</v>
      </c>
      <c r="AX265" s="17">
        <v>3</v>
      </c>
      <c r="AY265" s="71"/>
      <c r="AZ265" s="71"/>
      <c r="BA265" s="71">
        <f t="shared" si="111"/>
        <v>111.80497096144313</v>
      </c>
      <c r="BB265" s="84"/>
      <c r="BC265" s="84">
        <v>1</v>
      </c>
      <c r="BD265" s="84">
        <v>1</v>
      </c>
      <c r="BE265" s="84">
        <v>0</v>
      </c>
      <c r="BF265" s="84">
        <v>0</v>
      </c>
      <c r="BG265" s="84">
        <v>0</v>
      </c>
      <c r="BH265" s="45">
        <v>2</v>
      </c>
      <c r="BI265" s="71"/>
      <c r="BJ265" s="71"/>
      <c r="BK265" s="71">
        <f t="shared" si="112"/>
        <v>114.81520780975161</v>
      </c>
      <c r="BL265" s="17">
        <v>3</v>
      </c>
      <c r="BM265" s="71"/>
      <c r="BN265" s="71"/>
      <c r="BO265" s="71">
        <f t="shared" si="113"/>
        <v>111.29665318323313</v>
      </c>
      <c r="BP265" s="17">
        <v>1</v>
      </c>
      <c r="BQ265" s="71"/>
      <c r="BR265" s="71"/>
      <c r="BS265" s="138">
        <f t="shared" si="114"/>
        <v>100.16171091563201</v>
      </c>
      <c r="BT265" s="17">
        <v>2</v>
      </c>
      <c r="BU265" s="71"/>
      <c r="BV265" s="71"/>
      <c r="BW265" s="71">
        <f t="shared" si="115"/>
        <v>102.51956289746849</v>
      </c>
      <c r="BX265" s="84">
        <v>2</v>
      </c>
      <c r="BY265" s="17">
        <v>2</v>
      </c>
      <c r="BZ265" s="71"/>
      <c r="CA265" s="71"/>
      <c r="CB265" s="71">
        <f t="shared" si="116"/>
        <v>100.53207713448795</v>
      </c>
      <c r="CC265" s="17">
        <v>3</v>
      </c>
      <c r="CD265" s="71"/>
      <c r="CE265" s="71"/>
      <c r="CF265" s="71">
        <f t="shared" si="117"/>
        <v>109.36214907383548</v>
      </c>
      <c r="CG265" s="17">
        <v>1</v>
      </c>
      <c r="CH265" s="71"/>
      <c r="CI265" s="71"/>
      <c r="CJ265" s="138">
        <f t="shared" si="118"/>
        <v>103.93736139675698</v>
      </c>
      <c r="CK265" s="17">
        <v>3</v>
      </c>
      <c r="CL265" s="71"/>
      <c r="CM265" s="71"/>
      <c r="CN265" s="71">
        <f t="shared" si="119"/>
        <v>109.82624001207998</v>
      </c>
      <c r="CO265" s="93">
        <v>0</v>
      </c>
      <c r="CP265" s="98">
        <v>1</v>
      </c>
      <c r="CQ265" s="98">
        <v>1</v>
      </c>
      <c r="CR265" s="98">
        <v>0</v>
      </c>
      <c r="CS265" s="102">
        <f t="shared" si="120"/>
        <v>104.48502340868512</v>
      </c>
      <c r="CT265" s="102">
        <f t="shared" si="121"/>
        <v>8.2917171612478189</v>
      </c>
      <c r="CU265" s="102">
        <f t="shared" si="122"/>
        <v>7.9357949022180962E-2</v>
      </c>
      <c r="CV265" s="108">
        <f t="shared" si="123"/>
        <v>103.82700974089647</v>
      </c>
      <c r="CZ265" s="109" t="str">
        <f t="shared" si="124"/>
        <v>Alto</v>
      </c>
    </row>
    <row r="266" spans="1:104" x14ac:dyDescent="0.15">
      <c r="A266" s="84">
        <v>5</v>
      </c>
      <c r="B266" s="85">
        <v>2</v>
      </c>
      <c r="C266" s="84">
        <v>3</v>
      </c>
      <c r="D266" s="84">
        <v>0</v>
      </c>
      <c r="E266" s="88">
        <v>1</v>
      </c>
      <c r="F266" s="17">
        <v>0</v>
      </c>
      <c r="I266" s="64">
        <f t="shared" si="100"/>
        <v>76.99972307006928</v>
      </c>
      <c r="J266" s="17">
        <v>0</v>
      </c>
      <c r="M266" s="64">
        <f t="shared" si="101"/>
        <v>81.388754033628004</v>
      </c>
      <c r="N266" s="17">
        <v>1</v>
      </c>
      <c r="Q266" s="64">
        <f t="shared" si="102"/>
        <v>98.246708656674187</v>
      </c>
      <c r="R266" s="17">
        <v>3</v>
      </c>
      <c r="U266" s="64">
        <f t="shared" si="103"/>
        <v>111.09942135879838</v>
      </c>
      <c r="V266" s="17">
        <v>5</v>
      </c>
      <c r="Y266" s="114">
        <f t="shared" si="104"/>
        <v>117.22264171231127</v>
      </c>
      <c r="Z266" s="17">
        <v>0</v>
      </c>
      <c r="AC266" s="64">
        <f t="shared" si="105"/>
        <v>85.509512691809249</v>
      </c>
      <c r="AD266" s="25">
        <v>3</v>
      </c>
      <c r="AE266" s="71"/>
      <c r="AF266" s="71"/>
      <c r="AG266" s="71">
        <f t="shared" si="106"/>
        <v>109.20703006144345</v>
      </c>
      <c r="AH266" s="17">
        <v>2</v>
      </c>
      <c r="AK266" s="64">
        <f t="shared" si="107"/>
        <v>99.518280131348902</v>
      </c>
      <c r="AL266" s="17">
        <v>3</v>
      </c>
      <c r="AM266" s="71"/>
      <c r="AN266" s="71"/>
      <c r="AO266" s="71">
        <f t="shared" si="108"/>
        <v>100.85056924463234</v>
      </c>
      <c r="AP266" s="17">
        <v>3</v>
      </c>
      <c r="AQ266" s="71"/>
      <c r="AR266" s="71"/>
      <c r="AS266" s="71">
        <f t="shared" si="109"/>
        <v>110.12341030651692</v>
      </c>
      <c r="AT266" s="17">
        <v>0</v>
      </c>
      <c r="AU266" s="71"/>
      <c r="AV266" s="71"/>
      <c r="AW266" s="71">
        <f t="shared" si="110"/>
        <v>89.214252251088965</v>
      </c>
      <c r="AX266" s="17">
        <v>3</v>
      </c>
      <c r="AY266" s="71"/>
      <c r="AZ266" s="71"/>
      <c r="BA266" s="71">
        <f t="shared" si="111"/>
        <v>111.80497096144313</v>
      </c>
      <c r="BB266" s="84">
        <v>1</v>
      </c>
      <c r="BC266" s="84">
        <v>0</v>
      </c>
      <c r="BD266" s="84">
        <v>1</v>
      </c>
      <c r="BE266" s="84">
        <v>0</v>
      </c>
      <c r="BF266" s="84">
        <v>0</v>
      </c>
      <c r="BG266" s="84">
        <v>0</v>
      </c>
      <c r="BH266" s="45">
        <v>1</v>
      </c>
      <c r="BI266" s="71"/>
      <c r="BJ266" s="71"/>
      <c r="BK266" s="71">
        <f t="shared" si="112"/>
        <v>103.49572319106498</v>
      </c>
      <c r="BL266" s="17">
        <v>3</v>
      </c>
      <c r="BM266" s="71"/>
      <c r="BN266" s="71"/>
      <c r="BO266" s="71">
        <f t="shared" si="113"/>
        <v>111.29665318323313</v>
      </c>
      <c r="BP266" s="17">
        <v>0</v>
      </c>
      <c r="BQ266" s="71"/>
      <c r="BR266" s="71"/>
      <c r="BS266" s="138">
        <f t="shared" si="114"/>
        <v>86.456710815818582</v>
      </c>
      <c r="BT266" s="17">
        <v>0</v>
      </c>
      <c r="BU266" s="71"/>
      <c r="BV266" s="71"/>
      <c r="BW266" s="71">
        <f t="shared" si="115"/>
        <v>83.482865449928767</v>
      </c>
      <c r="BX266" s="84">
        <v>1</v>
      </c>
      <c r="BY266" s="17">
        <v>0</v>
      </c>
      <c r="BZ266" s="71"/>
      <c r="CA266" s="71"/>
      <c r="CB266" s="71">
        <f t="shared" si="116"/>
        <v>81.489316531761531</v>
      </c>
      <c r="CC266" s="17">
        <v>0</v>
      </c>
      <c r="CD266" s="71"/>
      <c r="CE266" s="71"/>
      <c r="CF266" s="71">
        <f t="shared" si="117"/>
        <v>81.842287242964616</v>
      </c>
      <c r="CG266" s="17">
        <v>1</v>
      </c>
      <c r="CH266" s="71"/>
      <c r="CI266" s="71"/>
      <c r="CJ266" s="138">
        <f t="shared" si="118"/>
        <v>103.93736139675698</v>
      </c>
      <c r="CK266" s="17">
        <v>2</v>
      </c>
      <c r="CL266" s="71"/>
      <c r="CM266" s="71"/>
      <c r="CN266" s="71">
        <f t="shared" si="119"/>
        <v>100.22589057499034</v>
      </c>
      <c r="CO266" s="93">
        <v>0</v>
      </c>
      <c r="CP266" s="98">
        <v>0</v>
      </c>
      <c r="CQ266" s="98">
        <v>0</v>
      </c>
      <c r="CR266" s="98">
        <v>1</v>
      </c>
      <c r="CS266" s="102">
        <f t="shared" si="120"/>
        <v>96.22325699655272</v>
      </c>
      <c r="CT266" s="102">
        <f t="shared" si="121"/>
        <v>12.495247685261083</v>
      </c>
      <c r="CU266" s="102">
        <f t="shared" si="122"/>
        <v>0.12985683581370286</v>
      </c>
      <c r="CV266" s="108">
        <f t="shared" si="123"/>
        <v>94.600663669436216</v>
      </c>
      <c r="CZ266" s="109" t="str">
        <f t="shared" si="124"/>
        <v>Basso</v>
      </c>
    </row>
    <row r="267" spans="1:104" x14ac:dyDescent="0.15">
      <c r="A267" s="84">
        <v>3</v>
      </c>
      <c r="B267" s="88">
        <v>1</v>
      </c>
      <c r="C267" s="84">
        <v>3</v>
      </c>
      <c r="D267" s="84">
        <v>1</v>
      </c>
      <c r="E267" s="88">
        <v>1</v>
      </c>
      <c r="F267" s="17">
        <v>2</v>
      </c>
      <c r="I267" s="64">
        <f t="shared" si="100"/>
        <v>109.85726154139888</v>
      </c>
      <c r="J267" s="17">
        <v>2</v>
      </c>
      <c r="M267" s="64">
        <f t="shared" si="101"/>
        <v>110.02144013573877</v>
      </c>
      <c r="N267" s="17">
        <v>2</v>
      </c>
      <c r="Q267" s="64">
        <f t="shared" si="102"/>
        <v>113.93405225485253</v>
      </c>
      <c r="R267" s="17">
        <v>3</v>
      </c>
      <c r="U267" s="64">
        <f t="shared" si="103"/>
        <v>111.09942135879838</v>
      </c>
      <c r="V267" s="17">
        <v>4</v>
      </c>
      <c r="Y267" s="114">
        <f t="shared" si="104"/>
        <v>110.77363490373656</v>
      </c>
      <c r="Z267" s="17">
        <v>3</v>
      </c>
      <c r="AC267" s="64">
        <f t="shared" si="105"/>
        <v>109.50350141641081</v>
      </c>
      <c r="AD267" s="25">
        <v>3</v>
      </c>
      <c r="AE267" s="71"/>
      <c r="AF267" s="71"/>
      <c r="AG267" s="71">
        <f t="shared" si="106"/>
        <v>109.20703006144345</v>
      </c>
      <c r="AH267" s="17">
        <v>3</v>
      </c>
      <c r="AK267" s="64">
        <f t="shared" si="107"/>
        <v>110.43726382077395</v>
      </c>
      <c r="AL267" s="17">
        <v>3</v>
      </c>
      <c r="AM267" s="71"/>
      <c r="AN267" s="71"/>
      <c r="AO267" s="71">
        <f t="shared" si="108"/>
        <v>100.85056924463234</v>
      </c>
      <c r="AP267" s="17">
        <v>3</v>
      </c>
      <c r="AQ267" s="71"/>
      <c r="AR267" s="71"/>
      <c r="AS267" s="71">
        <f t="shared" si="109"/>
        <v>110.12341030651692</v>
      </c>
      <c r="AT267" s="17">
        <v>0</v>
      </c>
      <c r="AU267" s="71"/>
      <c r="AV267" s="71"/>
      <c r="AW267" s="71">
        <f t="shared" si="110"/>
        <v>89.214252251088965</v>
      </c>
      <c r="AX267" s="17">
        <v>3</v>
      </c>
      <c r="AY267" s="71"/>
      <c r="AZ267" s="71"/>
      <c r="BA267" s="71">
        <f t="shared" si="111"/>
        <v>111.80497096144313</v>
      </c>
      <c r="BB267" s="84">
        <v>1</v>
      </c>
      <c r="BC267" s="84">
        <v>0</v>
      </c>
      <c r="BD267" s="84">
        <v>1</v>
      </c>
      <c r="BE267" s="84">
        <v>0</v>
      </c>
      <c r="BF267" s="84">
        <v>0</v>
      </c>
      <c r="BG267" s="84">
        <v>0</v>
      </c>
      <c r="BH267" s="46">
        <v>2</v>
      </c>
      <c r="BI267" s="71"/>
      <c r="BJ267" s="71"/>
      <c r="BK267" s="71">
        <f t="shared" si="112"/>
        <v>114.81520780975161</v>
      </c>
      <c r="BL267" s="17">
        <v>3</v>
      </c>
      <c r="BM267" s="71"/>
      <c r="BN267" s="71"/>
      <c r="BO267" s="71">
        <f t="shared" si="113"/>
        <v>111.29665318323313</v>
      </c>
      <c r="BP267" s="17">
        <v>2</v>
      </c>
      <c r="BQ267" s="71"/>
      <c r="BR267" s="71"/>
      <c r="BS267" s="138">
        <f t="shared" si="114"/>
        <v>113.86671101544545</v>
      </c>
      <c r="BT267" s="17">
        <v>3</v>
      </c>
      <c r="BU267" s="71"/>
      <c r="BV267" s="71"/>
      <c r="BW267" s="71">
        <f t="shared" si="115"/>
        <v>112.03791162123835</v>
      </c>
      <c r="BX267" s="84">
        <v>2</v>
      </c>
      <c r="BY267" s="17">
        <v>3</v>
      </c>
      <c r="BZ267" s="71"/>
      <c r="CA267" s="71"/>
      <c r="CB267" s="71">
        <f t="shared" si="116"/>
        <v>110.05345743585116</v>
      </c>
      <c r="CC267" s="17">
        <v>3</v>
      </c>
      <c r="CD267" s="71"/>
      <c r="CE267" s="71"/>
      <c r="CF267" s="71">
        <f t="shared" si="117"/>
        <v>109.36214907383548</v>
      </c>
      <c r="CG267" s="17">
        <v>1</v>
      </c>
      <c r="CH267" s="71"/>
      <c r="CI267" s="71"/>
      <c r="CJ267" s="138">
        <f t="shared" si="118"/>
        <v>103.93736139675698</v>
      </c>
      <c r="CK267" s="17">
        <v>3</v>
      </c>
      <c r="CL267" s="71"/>
      <c r="CM267" s="71"/>
      <c r="CN267" s="71">
        <f t="shared" si="119"/>
        <v>109.82624001207998</v>
      </c>
      <c r="CO267" s="93">
        <v>1</v>
      </c>
      <c r="CP267" s="98">
        <v>0</v>
      </c>
      <c r="CQ267" s="98">
        <v>1</v>
      </c>
      <c r="CR267" s="98">
        <v>0</v>
      </c>
      <c r="CS267" s="102">
        <f t="shared" si="120"/>
        <v>109.02616426406401</v>
      </c>
      <c r="CT267" s="102">
        <f t="shared" si="121"/>
        <v>5.8637863939639416</v>
      </c>
      <c r="CU267" s="102">
        <f t="shared" si="122"/>
        <v>5.378329535433081E-2</v>
      </c>
      <c r="CV267" s="108">
        <f t="shared" si="123"/>
        <v>108.71079050854274</v>
      </c>
      <c r="CZ267" s="109" t="str">
        <f t="shared" si="124"/>
        <v>Alto</v>
      </c>
    </row>
    <row r="268" spans="1:104" x14ac:dyDescent="0.15">
      <c r="A268" s="84">
        <v>3</v>
      </c>
      <c r="B268" s="88">
        <v>1</v>
      </c>
      <c r="C268" s="84">
        <v>0</v>
      </c>
      <c r="D268" s="84">
        <v>1</v>
      </c>
      <c r="E268" s="88">
        <v>1</v>
      </c>
      <c r="F268" s="17">
        <v>2</v>
      </c>
      <c r="I268" s="64">
        <f t="shared" si="100"/>
        <v>109.85726154139888</v>
      </c>
      <c r="J268" s="17">
        <v>1</v>
      </c>
      <c r="M268" s="64">
        <f t="shared" si="101"/>
        <v>95.705097084683388</v>
      </c>
      <c r="N268" s="17">
        <v>0</v>
      </c>
      <c r="Q268" s="64">
        <f t="shared" si="102"/>
        <v>82.559365058495843</v>
      </c>
      <c r="R268" s="17">
        <v>0</v>
      </c>
      <c r="U268" s="64">
        <f t="shared" si="103"/>
        <v>81.845132506151486</v>
      </c>
      <c r="V268" s="17">
        <v>4</v>
      </c>
      <c r="Y268" s="114">
        <f t="shared" si="104"/>
        <v>110.77363490373656</v>
      </c>
      <c r="Z268" s="17">
        <v>3</v>
      </c>
      <c r="AC268" s="64">
        <f t="shared" si="105"/>
        <v>109.50350141641081</v>
      </c>
      <c r="AD268" s="25">
        <v>0</v>
      </c>
      <c r="AE268" s="71"/>
      <c r="AF268" s="71"/>
      <c r="AG268" s="71">
        <f t="shared" si="106"/>
        <v>84.62281366701329</v>
      </c>
      <c r="AH268" s="17">
        <v>2</v>
      </c>
      <c r="AK268" s="64">
        <f t="shared" si="107"/>
        <v>99.518280131348902</v>
      </c>
      <c r="AL268" s="17">
        <v>4</v>
      </c>
      <c r="AM268" s="71"/>
      <c r="AN268" s="71"/>
      <c r="AO268" s="71">
        <f t="shared" si="108"/>
        <v>111.97339782828605</v>
      </c>
      <c r="AP268" s="17">
        <v>0</v>
      </c>
      <c r="AQ268" s="71"/>
      <c r="AR268" s="71"/>
      <c r="AS268" s="71">
        <f t="shared" si="109"/>
        <v>79.482821248216453</v>
      </c>
      <c r="AT268" s="17">
        <v>0</v>
      </c>
      <c r="AU268" s="71"/>
      <c r="AV268" s="71"/>
      <c r="AW268" s="71">
        <f t="shared" si="110"/>
        <v>89.214252251088965</v>
      </c>
      <c r="AX268" s="17">
        <v>0</v>
      </c>
      <c r="AY268" s="71"/>
      <c r="AZ268" s="71"/>
      <c r="BA268" s="71">
        <f t="shared" si="111"/>
        <v>79.173343913551548</v>
      </c>
      <c r="BB268" s="84">
        <v>0</v>
      </c>
      <c r="BC268" s="84">
        <v>0</v>
      </c>
      <c r="BD268" s="84">
        <v>1</v>
      </c>
      <c r="BE268" s="84">
        <v>1</v>
      </c>
      <c r="BF268" s="84">
        <v>0</v>
      </c>
      <c r="BG268" s="84">
        <v>0</v>
      </c>
      <c r="BH268" s="45">
        <v>0</v>
      </c>
      <c r="BI268" s="71"/>
      <c r="BJ268" s="71"/>
      <c r="BK268" s="71">
        <f t="shared" si="112"/>
        <v>92.176238572378367</v>
      </c>
      <c r="BL268" s="17">
        <v>0</v>
      </c>
      <c r="BM268" s="71"/>
      <c r="BN268" s="71"/>
      <c r="BO268" s="71">
        <f t="shared" si="113"/>
        <v>83.261163531413686</v>
      </c>
      <c r="BP268" s="17">
        <v>0</v>
      </c>
      <c r="BQ268" s="71"/>
      <c r="BR268" s="71"/>
      <c r="BS268" s="138">
        <f t="shared" si="114"/>
        <v>86.456710815818582</v>
      </c>
      <c r="BT268" s="17">
        <v>3</v>
      </c>
      <c r="BU268" s="71"/>
      <c r="BV268" s="71"/>
      <c r="BW268" s="71">
        <f t="shared" si="115"/>
        <v>112.03791162123835</v>
      </c>
      <c r="BX268" s="84">
        <v>2</v>
      </c>
      <c r="BY268" s="17">
        <v>1</v>
      </c>
      <c r="BZ268" s="71"/>
      <c r="CA268" s="71"/>
      <c r="CB268" s="71">
        <f t="shared" si="116"/>
        <v>91.01069683312474</v>
      </c>
      <c r="CC268" s="17">
        <v>1</v>
      </c>
      <c r="CD268" s="71"/>
      <c r="CE268" s="71"/>
      <c r="CF268" s="71">
        <f t="shared" si="117"/>
        <v>91.015574519921572</v>
      </c>
      <c r="CG268" s="17">
        <v>1</v>
      </c>
      <c r="CH268" s="71"/>
      <c r="CI268" s="71"/>
      <c r="CJ268" s="138">
        <f t="shared" si="118"/>
        <v>103.93736139675698</v>
      </c>
      <c r="CK268" s="17">
        <v>2</v>
      </c>
      <c r="CL268" s="71"/>
      <c r="CM268" s="71"/>
      <c r="CN268" s="71">
        <f t="shared" si="119"/>
        <v>100.22589057499034</v>
      </c>
      <c r="CO268" s="93">
        <v>0</v>
      </c>
      <c r="CP268" s="98">
        <v>0</v>
      </c>
      <c r="CQ268" s="98">
        <v>0</v>
      </c>
      <c r="CR268" s="98">
        <v>1</v>
      </c>
      <c r="CS268" s="102">
        <f t="shared" si="120"/>
        <v>93.716631899983099</v>
      </c>
      <c r="CT268" s="102">
        <f t="shared" si="121"/>
        <v>11.639130128860451</v>
      </c>
      <c r="CU268" s="102">
        <f t="shared" si="122"/>
        <v>0.12419492562731066</v>
      </c>
      <c r="CV268" s="108">
        <f t="shared" si="123"/>
        <v>92.271110999262689</v>
      </c>
      <c r="CZ268" s="109" t="str">
        <f t="shared" si="124"/>
        <v>Basso</v>
      </c>
    </row>
    <row r="269" spans="1:104" x14ac:dyDescent="0.15">
      <c r="A269" s="84">
        <v>5</v>
      </c>
      <c r="B269" s="85">
        <v>2</v>
      </c>
      <c r="C269" s="84">
        <v>4</v>
      </c>
      <c r="D269" s="84">
        <v>0</v>
      </c>
      <c r="E269" s="88">
        <v>1</v>
      </c>
      <c r="F269" s="17">
        <v>2</v>
      </c>
      <c r="I269" s="64">
        <f t="shared" si="100"/>
        <v>109.85726154139888</v>
      </c>
      <c r="J269" s="17">
        <v>0</v>
      </c>
      <c r="M269" s="64">
        <f t="shared" si="101"/>
        <v>81.388754033628004</v>
      </c>
      <c r="N269" s="17">
        <v>0</v>
      </c>
      <c r="Q269" s="64">
        <f t="shared" si="102"/>
        <v>82.559365058495843</v>
      </c>
      <c r="R269" s="17">
        <v>0</v>
      </c>
      <c r="U269" s="64">
        <f t="shared" si="103"/>
        <v>81.845132506151486</v>
      </c>
      <c r="V269" s="17">
        <v>4</v>
      </c>
      <c r="Y269" s="114">
        <f t="shared" si="104"/>
        <v>110.77363490373656</v>
      </c>
      <c r="Z269" s="17">
        <v>0</v>
      </c>
      <c r="AC269" s="64">
        <f t="shared" si="105"/>
        <v>85.509512691809249</v>
      </c>
      <c r="AD269" s="25">
        <v>2</v>
      </c>
      <c r="AE269" s="71"/>
      <c r="AF269" s="71"/>
      <c r="AG269" s="71">
        <f t="shared" si="106"/>
        <v>101.01229126330007</v>
      </c>
      <c r="AH269" s="17">
        <v>0</v>
      </c>
      <c r="AK269" s="64">
        <f t="shared" si="107"/>
        <v>77.680312752498807</v>
      </c>
      <c r="AL269" s="17">
        <v>3</v>
      </c>
      <c r="AM269" s="71"/>
      <c r="AN269" s="71"/>
      <c r="AO269" s="71">
        <f t="shared" si="108"/>
        <v>100.85056924463234</v>
      </c>
      <c r="AP269" s="17">
        <v>2</v>
      </c>
      <c r="AQ269" s="71"/>
      <c r="AR269" s="71"/>
      <c r="AS269" s="71">
        <f t="shared" si="109"/>
        <v>99.909880620416757</v>
      </c>
      <c r="AT269" s="17">
        <v>0</v>
      </c>
      <c r="AU269" s="71"/>
      <c r="AV269" s="71"/>
      <c r="AW269" s="71">
        <f t="shared" si="110"/>
        <v>89.214252251088965</v>
      </c>
      <c r="AX269" s="17">
        <v>0</v>
      </c>
      <c r="AY269" s="71"/>
      <c r="AZ269" s="71"/>
      <c r="BA269" s="71">
        <f t="shared" si="111"/>
        <v>79.173343913551548</v>
      </c>
      <c r="BB269" s="84">
        <v>0</v>
      </c>
      <c r="BC269" s="84">
        <v>0</v>
      </c>
      <c r="BD269" s="84">
        <v>1</v>
      </c>
      <c r="BE269" s="84">
        <v>1</v>
      </c>
      <c r="BF269" s="84">
        <v>0</v>
      </c>
      <c r="BG269" s="84">
        <v>0</v>
      </c>
      <c r="BH269" s="45">
        <v>0</v>
      </c>
      <c r="BI269" s="71"/>
      <c r="BJ269" s="71"/>
      <c r="BK269" s="71">
        <f t="shared" si="112"/>
        <v>92.176238572378367</v>
      </c>
      <c r="BL269" s="17">
        <v>0</v>
      </c>
      <c r="BM269" s="71"/>
      <c r="BN269" s="71"/>
      <c r="BO269" s="71">
        <f t="shared" si="113"/>
        <v>83.261163531413686</v>
      </c>
      <c r="BP269" s="17">
        <v>0</v>
      </c>
      <c r="BQ269" s="71"/>
      <c r="BR269" s="71"/>
      <c r="BS269" s="138">
        <f t="shared" si="114"/>
        <v>86.456710815818582</v>
      </c>
      <c r="BT269" s="17">
        <v>0</v>
      </c>
      <c r="BU269" s="71"/>
      <c r="BV269" s="71"/>
      <c r="BW269" s="71">
        <f t="shared" si="115"/>
        <v>83.482865449928767</v>
      </c>
      <c r="BX269" s="84">
        <v>2</v>
      </c>
      <c r="BY269" s="17">
        <v>1</v>
      </c>
      <c r="BZ269" s="71"/>
      <c r="CA269" s="71"/>
      <c r="CB269" s="71">
        <f t="shared" si="116"/>
        <v>91.01069683312474</v>
      </c>
      <c r="CC269" s="17">
        <v>0</v>
      </c>
      <c r="CD269" s="71"/>
      <c r="CE269" s="71"/>
      <c r="CF269" s="71">
        <f t="shared" si="117"/>
        <v>81.842287242964616</v>
      </c>
      <c r="CG269" s="17">
        <v>0</v>
      </c>
      <c r="CH269" s="71"/>
      <c r="CI269" s="71"/>
      <c r="CJ269" s="138">
        <f t="shared" si="118"/>
        <v>89.226340793489143</v>
      </c>
      <c r="CK269" s="17">
        <v>2</v>
      </c>
      <c r="CL269" s="71"/>
      <c r="CM269" s="71"/>
      <c r="CN269" s="71">
        <f t="shared" si="119"/>
        <v>100.22589057499034</v>
      </c>
      <c r="CO269" s="93">
        <v>0</v>
      </c>
      <c r="CP269" s="98">
        <v>0</v>
      </c>
      <c r="CQ269" s="98">
        <v>0</v>
      </c>
      <c r="CR269" s="98">
        <v>1</v>
      </c>
      <c r="CS269" s="102">
        <f t="shared" si="120"/>
        <v>89.470577534221917</v>
      </c>
      <c r="CT269" s="102">
        <f t="shared" si="121"/>
        <v>9.6089418045912165</v>
      </c>
      <c r="CU269" s="102">
        <f t="shared" si="122"/>
        <v>0.10739778449419149</v>
      </c>
      <c r="CV269" s="108">
        <f t="shared" si="123"/>
        <v>88.438598473075203</v>
      </c>
      <c r="CZ269" s="109" t="str">
        <f t="shared" si="124"/>
        <v>Basso</v>
      </c>
    </row>
    <row r="270" spans="1:104" x14ac:dyDescent="0.15">
      <c r="A270" s="84">
        <v>4</v>
      </c>
      <c r="B270" s="88">
        <v>1</v>
      </c>
      <c r="C270" s="84">
        <v>1</v>
      </c>
      <c r="D270" s="84">
        <v>0</v>
      </c>
      <c r="E270" s="88">
        <v>1</v>
      </c>
      <c r="F270" s="17">
        <v>1</v>
      </c>
      <c r="I270" s="64">
        <f t="shared" si="100"/>
        <v>93.428492305734082</v>
      </c>
      <c r="J270" s="17">
        <v>1</v>
      </c>
      <c r="M270" s="64">
        <f t="shared" si="101"/>
        <v>95.705097084683388</v>
      </c>
      <c r="N270" s="17">
        <v>1</v>
      </c>
      <c r="Q270" s="64">
        <f t="shared" si="102"/>
        <v>98.246708656674187</v>
      </c>
      <c r="R270" s="17">
        <v>2</v>
      </c>
      <c r="U270" s="64">
        <f t="shared" si="103"/>
        <v>101.34799174124942</v>
      </c>
      <c r="V270" s="17">
        <v>1</v>
      </c>
      <c r="Y270" s="114">
        <f t="shared" si="104"/>
        <v>91.426614478012453</v>
      </c>
      <c r="Z270" s="17">
        <v>0</v>
      </c>
      <c r="AC270" s="64">
        <f t="shared" si="105"/>
        <v>85.509512691809249</v>
      </c>
      <c r="AD270" s="25">
        <v>0</v>
      </c>
      <c r="AE270" s="71"/>
      <c r="AF270" s="71"/>
      <c r="AG270" s="71">
        <f t="shared" si="106"/>
        <v>84.62281366701329</v>
      </c>
      <c r="AH270" s="17">
        <v>2</v>
      </c>
      <c r="AK270" s="64">
        <f t="shared" si="107"/>
        <v>99.518280131348902</v>
      </c>
      <c r="AL270" s="17">
        <v>3</v>
      </c>
      <c r="AM270" s="71"/>
      <c r="AN270" s="71"/>
      <c r="AO270" s="71">
        <f t="shared" si="108"/>
        <v>100.85056924463234</v>
      </c>
      <c r="AP270" s="17">
        <v>2</v>
      </c>
      <c r="AQ270" s="71"/>
      <c r="AR270" s="71"/>
      <c r="AS270" s="71">
        <f t="shared" si="109"/>
        <v>99.909880620416757</v>
      </c>
      <c r="AT270" s="17">
        <v>0</v>
      </c>
      <c r="AU270" s="71"/>
      <c r="AV270" s="71"/>
      <c r="AW270" s="71">
        <f t="shared" si="110"/>
        <v>89.214252251088965</v>
      </c>
      <c r="AX270" s="17">
        <v>2</v>
      </c>
      <c r="AY270" s="71"/>
      <c r="AZ270" s="71"/>
      <c r="BA270" s="71">
        <f t="shared" si="111"/>
        <v>100.92776194547928</v>
      </c>
      <c r="BB270" s="84">
        <v>0</v>
      </c>
      <c r="BC270" s="84">
        <v>0</v>
      </c>
      <c r="BD270" s="84">
        <v>1</v>
      </c>
      <c r="BE270" s="84">
        <v>1</v>
      </c>
      <c r="BF270" s="84">
        <v>0</v>
      </c>
      <c r="BG270" s="84">
        <v>0</v>
      </c>
      <c r="BH270" s="45">
        <v>0</v>
      </c>
      <c r="BI270" s="71"/>
      <c r="BJ270" s="71"/>
      <c r="BK270" s="71">
        <f t="shared" si="112"/>
        <v>92.176238572378367</v>
      </c>
      <c r="BL270" s="17">
        <v>3</v>
      </c>
      <c r="BM270" s="71"/>
      <c r="BN270" s="71"/>
      <c r="BO270" s="71">
        <f t="shared" si="113"/>
        <v>111.29665318323313</v>
      </c>
      <c r="BP270" s="17">
        <v>1</v>
      </c>
      <c r="BQ270" s="71"/>
      <c r="BR270" s="71"/>
      <c r="BS270" s="138">
        <f t="shared" si="114"/>
        <v>100.16171091563201</v>
      </c>
      <c r="BT270" s="17">
        <v>3</v>
      </c>
      <c r="BU270" s="71"/>
      <c r="BV270" s="71"/>
      <c r="BW270" s="71">
        <f t="shared" si="115"/>
        <v>112.03791162123835</v>
      </c>
      <c r="BX270" s="84">
        <v>2</v>
      </c>
      <c r="BY270" s="17">
        <v>1</v>
      </c>
      <c r="BZ270" s="71"/>
      <c r="CA270" s="71"/>
      <c r="CB270" s="71">
        <f t="shared" si="116"/>
        <v>91.01069683312474</v>
      </c>
      <c r="CC270" s="17">
        <v>0</v>
      </c>
      <c r="CD270" s="71"/>
      <c r="CE270" s="71"/>
      <c r="CF270" s="71">
        <f t="shared" si="117"/>
        <v>81.842287242964616</v>
      </c>
      <c r="CG270" s="17">
        <v>2</v>
      </c>
      <c r="CH270" s="71"/>
      <c r="CI270" s="71"/>
      <c r="CJ270" s="138">
        <f t="shared" si="118"/>
        <v>118.64838200002481</v>
      </c>
      <c r="CK270" s="17">
        <v>2</v>
      </c>
      <c r="CL270" s="71"/>
      <c r="CM270" s="71"/>
      <c r="CN270" s="71">
        <f t="shared" si="119"/>
        <v>100.22589057499034</v>
      </c>
      <c r="CO270" s="93">
        <v>0</v>
      </c>
      <c r="CP270" s="98">
        <v>0</v>
      </c>
      <c r="CQ270" s="98">
        <v>0</v>
      </c>
      <c r="CR270" s="98">
        <v>1</v>
      </c>
      <c r="CS270" s="102">
        <f t="shared" si="120"/>
        <v>96.345355198121155</v>
      </c>
      <c r="CT270" s="102">
        <f t="shared" si="121"/>
        <v>8.4718268950679452</v>
      </c>
      <c r="CU270" s="102">
        <f t="shared" si="122"/>
        <v>8.7931866332806419E-2</v>
      </c>
      <c r="CV270" s="108">
        <f t="shared" si="123"/>
        <v>95.600411647989361</v>
      </c>
      <c r="CZ270" s="109" t="str">
        <f t="shared" si="124"/>
        <v>Basso</v>
      </c>
    </row>
    <row r="271" spans="1:104" x14ac:dyDescent="0.15">
      <c r="A271" s="84">
        <v>4</v>
      </c>
      <c r="B271" s="85">
        <v>2</v>
      </c>
      <c r="C271" s="84">
        <v>3</v>
      </c>
      <c r="D271" s="84">
        <v>2</v>
      </c>
      <c r="E271" s="88">
        <v>1</v>
      </c>
      <c r="F271" s="17">
        <v>2</v>
      </c>
      <c r="I271" s="64">
        <f t="shared" si="100"/>
        <v>109.85726154139888</v>
      </c>
      <c r="J271" s="17">
        <v>2</v>
      </c>
      <c r="M271" s="64">
        <f t="shared" si="101"/>
        <v>110.02144013573877</v>
      </c>
      <c r="N271" s="17">
        <v>2</v>
      </c>
      <c r="Q271" s="64">
        <f t="shared" si="102"/>
        <v>113.93405225485253</v>
      </c>
      <c r="R271" s="17">
        <v>3</v>
      </c>
      <c r="U271" s="64">
        <f t="shared" si="103"/>
        <v>111.09942135879838</v>
      </c>
      <c r="V271" s="17">
        <v>2</v>
      </c>
      <c r="Y271" s="114">
        <f t="shared" si="104"/>
        <v>97.875621286587162</v>
      </c>
      <c r="Z271" s="17">
        <v>3</v>
      </c>
      <c r="AC271" s="64">
        <f t="shared" si="105"/>
        <v>109.50350141641081</v>
      </c>
      <c r="AD271" s="25">
        <v>2</v>
      </c>
      <c r="AE271" s="71"/>
      <c r="AF271" s="71"/>
      <c r="AG271" s="71">
        <f t="shared" si="106"/>
        <v>101.01229126330007</v>
      </c>
      <c r="AH271" s="17">
        <v>3</v>
      </c>
      <c r="AK271" s="64">
        <f t="shared" si="107"/>
        <v>110.43726382077395</v>
      </c>
      <c r="AL271" s="17">
        <v>0</v>
      </c>
      <c r="AM271" s="71"/>
      <c r="AN271" s="71"/>
      <c r="AO271" s="71">
        <f t="shared" si="108"/>
        <v>67.482083493671226</v>
      </c>
      <c r="AP271" s="17">
        <v>3</v>
      </c>
      <c r="AQ271" s="71"/>
      <c r="AR271" s="71"/>
      <c r="AS271" s="71">
        <f t="shared" si="109"/>
        <v>110.12341030651692</v>
      </c>
      <c r="AT271" s="17">
        <v>2</v>
      </c>
      <c r="AU271" s="71"/>
      <c r="AV271" s="71"/>
      <c r="AW271" s="71">
        <f t="shared" si="110"/>
        <v>110.91338973410525</v>
      </c>
      <c r="AX271" s="17">
        <v>1</v>
      </c>
      <c r="AY271" s="71"/>
      <c r="AZ271" s="71"/>
      <c r="BA271" s="71">
        <f t="shared" si="111"/>
        <v>90.050552929515405</v>
      </c>
      <c r="BB271" s="84">
        <v>1</v>
      </c>
      <c r="BC271" s="84">
        <v>0</v>
      </c>
      <c r="BD271" s="84">
        <v>1</v>
      </c>
      <c r="BE271" s="84">
        <v>0</v>
      </c>
      <c r="BF271" s="84">
        <v>0</v>
      </c>
      <c r="BG271" s="84">
        <v>0</v>
      </c>
      <c r="BH271" s="45">
        <v>2</v>
      </c>
      <c r="BI271" s="71"/>
      <c r="BJ271" s="71"/>
      <c r="BK271" s="71">
        <f t="shared" si="112"/>
        <v>114.81520780975161</v>
      </c>
      <c r="BL271" s="17">
        <v>1</v>
      </c>
      <c r="BM271" s="71"/>
      <c r="BN271" s="71"/>
      <c r="BO271" s="71">
        <f t="shared" si="113"/>
        <v>92.606326748686826</v>
      </c>
      <c r="BP271" s="17">
        <v>1</v>
      </c>
      <c r="BQ271" s="71"/>
      <c r="BR271" s="71"/>
      <c r="BS271" s="138">
        <f t="shared" si="114"/>
        <v>100.16171091563201</v>
      </c>
      <c r="BT271" s="17">
        <v>3</v>
      </c>
      <c r="BU271" s="71"/>
      <c r="BV271" s="71"/>
      <c r="BW271" s="71">
        <f t="shared" si="115"/>
        <v>112.03791162123835</v>
      </c>
      <c r="BX271" s="84">
        <v>2</v>
      </c>
      <c r="BY271" s="17">
        <v>2</v>
      </c>
      <c r="BZ271" s="71"/>
      <c r="CA271" s="71"/>
      <c r="CB271" s="71">
        <f t="shared" si="116"/>
        <v>100.53207713448795</v>
      </c>
      <c r="CC271" s="17">
        <v>3</v>
      </c>
      <c r="CD271" s="71"/>
      <c r="CE271" s="71"/>
      <c r="CF271" s="71">
        <f t="shared" si="117"/>
        <v>109.36214907383548</v>
      </c>
      <c r="CG271" s="17">
        <v>0</v>
      </c>
      <c r="CH271" s="71"/>
      <c r="CI271" s="71"/>
      <c r="CJ271" s="138">
        <f t="shared" si="118"/>
        <v>89.226340793489143</v>
      </c>
      <c r="CK271" s="17">
        <v>1</v>
      </c>
      <c r="CL271" s="71"/>
      <c r="CM271" s="71"/>
      <c r="CN271" s="71">
        <f t="shared" si="119"/>
        <v>90.625541137900711</v>
      </c>
      <c r="CO271" s="93">
        <v>0</v>
      </c>
      <c r="CP271" s="98">
        <v>1</v>
      </c>
      <c r="CQ271" s="98">
        <v>1</v>
      </c>
      <c r="CR271" s="98">
        <v>0</v>
      </c>
      <c r="CS271" s="102">
        <f t="shared" si="120"/>
        <v>103.7890518694696</v>
      </c>
      <c r="CT271" s="102">
        <f t="shared" si="121"/>
        <v>12.359291721310388</v>
      </c>
      <c r="CU271" s="102">
        <f t="shared" si="122"/>
        <v>0.11908088087030666</v>
      </c>
      <c r="CV271" s="108">
        <f t="shared" si="123"/>
        <v>102.31729652436287</v>
      </c>
      <c r="CZ271" s="109" t="str">
        <f t="shared" si="124"/>
        <v>Medio-Alto</v>
      </c>
    </row>
    <row r="272" spans="1:104" x14ac:dyDescent="0.15">
      <c r="A272" s="84">
        <v>4</v>
      </c>
      <c r="B272" s="88">
        <v>1</v>
      </c>
      <c r="C272" s="84">
        <v>3</v>
      </c>
      <c r="D272" s="84">
        <v>0</v>
      </c>
      <c r="E272" s="88">
        <v>1</v>
      </c>
      <c r="F272" s="17">
        <v>2</v>
      </c>
      <c r="I272" s="64">
        <f t="shared" si="100"/>
        <v>109.85726154139888</v>
      </c>
      <c r="J272" s="17">
        <v>2</v>
      </c>
      <c r="M272" s="64">
        <f t="shared" si="101"/>
        <v>110.02144013573877</v>
      </c>
      <c r="N272" s="17">
        <v>2</v>
      </c>
      <c r="Q272" s="64">
        <f t="shared" si="102"/>
        <v>113.93405225485253</v>
      </c>
      <c r="R272" s="17">
        <v>3</v>
      </c>
      <c r="U272" s="64">
        <f t="shared" si="103"/>
        <v>111.09942135879838</v>
      </c>
      <c r="V272" s="17">
        <v>0</v>
      </c>
      <c r="Y272" s="114">
        <f t="shared" si="104"/>
        <v>84.977607669437745</v>
      </c>
      <c r="Z272" s="17">
        <v>2</v>
      </c>
      <c r="AC272" s="64">
        <f t="shared" si="105"/>
        <v>101.50550517487696</v>
      </c>
      <c r="AD272" s="25">
        <v>3</v>
      </c>
      <c r="AE272" s="71"/>
      <c r="AF272" s="71"/>
      <c r="AG272" s="71">
        <f t="shared" si="106"/>
        <v>109.20703006144345</v>
      </c>
      <c r="AH272" s="17">
        <v>3</v>
      </c>
      <c r="AK272" s="64">
        <f t="shared" si="107"/>
        <v>110.43726382077395</v>
      </c>
      <c r="AL272" s="17">
        <v>3</v>
      </c>
      <c r="AM272" s="71"/>
      <c r="AN272" s="71"/>
      <c r="AO272" s="71">
        <f t="shared" si="108"/>
        <v>100.85056924463234</v>
      </c>
      <c r="AP272" s="17">
        <v>3</v>
      </c>
      <c r="AQ272" s="71"/>
      <c r="AR272" s="71"/>
      <c r="AS272" s="71">
        <f t="shared" si="109"/>
        <v>110.12341030651692</v>
      </c>
      <c r="AT272" s="17">
        <v>2</v>
      </c>
      <c r="AU272" s="71"/>
      <c r="AV272" s="71"/>
      <c r="AW272" s="71">
        <f t="shared" si="110"/>
        <v>110.91338973410525</v>
      </c>
      <c r="AX272" s="17">
        <v>2</v>
      </c>
      <c r="AY272" s="71"/>
      <c r="AZ272" s="71"/>
      <c r="BA272" s="71">
        <f t="shared" si="111"/>
        <v>100.92776194547928</v>
      </c>
      <c r="BB272" s="84">
        <v>1</v>
      </c>
      <c r="BC272" s="84">
        <v>1</v>
      </c>
      <c r="BD272" s="84">
        <v>0</v>
      </c>
      <c r="BE272" s="84">
        <v>0</v>
      </c>
      <c r="BF272" s="84">
        <v>0</v>
      </c>
      <c r="BG272" s="84">
        <v>0</v>
      </c>
      <c r="BH272" s="45">
        <v>2</v>
      </c>
      <c r="BI272" s="71"/>
      <c r="BJ272" s="71"/>
      <c r="BK272" s="71">
        <f t="shared" si="112"/>
        <v>114.81520780975161</v>
      </c>
      <c r="BL272" s="17">
        <v>0</v>
      </c>
      <c r="BM272" s="71"/>
      <c r="BN272" s="71"/>
      <c r="BO272" s="71">
        <f t="shared" si="113"/>
        <v>83.261163531413686</v>
      </c>
      <c r="BP272" s="17">
        <v>2</v>
      </c>
      <c r="BQ272" s="71"/>
      <c r="BR272" s="71"/>
      <c r="BS272" s="138">
        <f t="shared" si="114"/>
        <v>113.86671101544545</v>
      </c>
      <c r="BT272" s="17">
        <v>3</v>
      </c>
      <c r="BU272" s="71"/>
      <c r="BV272" s="71"/>
      <c r="BW272" s="71">
        <f t="shared" si="115"/>
        <v>112.03791162123835</v>
      </c>
      <c r="BX272" s="84">
        <v>1</v>
      </c>
      <c r="BY272" s="17">
        <v>2</v>
      </c>
      <c r="BZ272" s="71"/>
      <c r="CA272" s="71"/>
      <c r="CB272" s="71">
        <f t="shared" si="116"/>
        <v>100.53207713448795</v>
      </c>
      <c r="CC272" s="17">
        <v>0</v>
      </c>
      <c r="CD272" s="71"/>
      <c r="CE272" s="71"/>
      <c r="CF272" s="71">
        <f t="shared" si="117"/>
        <v>81.842287242964616</v>
      </c>
      <c r="CG272" s="17">
        <v>0</v>
      </c>
      <c r="CH272" s="71"/>
      <c r="CI272" s="71"/>
      <c r="CJ272" s="138">
        <f t="shared" si="118"/>
        <v>89.226340793489143</v>
      </c>
      <c r="CK272" s="17">
        <v>3</v>
      </c>
      <c r="CL272" s="71"/>
      <c r="CM272" s="71"/>
      <c r="CN272" s="71">
        <f t="shared" si="119"/>
        <v>109.82624001207998</v>
      </c>
      <c r="CO272" s="93">
        <v>1</v>
      </c>
      <c r="CP272" s="98">
        <v>0</v>
      </c>
      <c r="CQ272" s="98">
        <v>0</v>
      </c>
      <c r="CR272" s="98">
        <v>0</v>
      </c>
      <c r="CS272" s="102">
        <f t="shared" si="120"/>
        <v>105.36423487826784</v>
      </c>
      <c r="CT272" s="102">
        <f t="shared" si="121"/>
        <v>9.7341142636359184</v>
      </c>
      <c r="CU272" s="102">
        <f t="shared" si="122"/>
        <v>9.2385374172575641E-2</v>
      </c>
      <c r="CV272" s="108">
        <f t="shared" si="123"/>
        <v>104.46494508978323</v>
      </c>
      <c r="CZ272" s="109" t="str">
        <f t="shared" si="124"/>
        <v>Alto</v>
      </c>
    </row>
    <row r="273" spans="1:104" x14ac:dyDescent="0.15">
      <c r="A273" s="84">
        <v>5</v>
      </c>
      <c r="B273" s="88">
        <v>1</v>
      </c>
      <c r="C273" s="84">
        <v>3</v>
      </c>
      <c r="D273" s="84">
        <v>0</v>
      </c>
      <c r="E273" s="88">
        <v>1</v>
      </c>
      <c r="F273" s="17">
        <v>2</v>
      </c>
      <c r="I273" s="64">
        <f t="shared" si="100"/>
        <v>109.85726154139888</v>
      </c>
      <c r="J273" s="17">
        <v>2</v>
      </c>
      <c r="M273" s="64">
        <f t="shared" si="101"/>
        <v>110.02144013573877</v>
      </c>
      <c r="N273" s="17">
        <v>2</v>
      </c>
      <c r="Q273" s="64">
        <f t="shared" si="102"/>
        <v>113.93405225485253</v>
      </c>
      <c r="R273" s="17">
        <v>3</v>
      </c>
      <c r="U273" s="64">
        <f t="shared" si="103"/>
        <v>111.09942135879838</v>
      </c>
      <c r="V273" s="17">
        <v>0</v>
      </c>
      <c r="Y273" s="114">
        <f t="shared" si="104"/>
        <v>84.977607669437745</v>
      </c>
      <c r="Z273" s="17">
        <v>2</v>
      </c>
      <c r="AC273" s="64">
        <f t="shared" si="105"/>
        <v>101.50550517487696</v>
      </c>
      <c r="AD273" s="25">
        <v>3</v>
      </c>
      <c r="AE273" s="71"/>
      <c r="AF273" s="71"/>
      <c r="AG273" s="71">
        <f t="shared" si="106"/>
        <v>109.20703006144345</v>
      </c>
      <c r="AH273" s="17">
        <v>3</v>
      </c>
      <c r="AK273" s="64">
        <f t="shared" si="107"/>
        <v>110.43726382077395</v>
      </c>
      <c r="AL273" s="17">
        <v>2</v>
      </c>
      <c r="AM273" s="71"/>
      <c r="AN273" s="71"/>
      <c r="AO273" s="71">
        <f t="shared" si="108"/>
        <v>89.72774066097864</v>
      </c>
      <c r="AP273" s="17">
        <v>3</v>
      </c>
      <c r="AQ273" s="71"/>
      <c r="AR273" s="71"/>
      <c r="AS273" s="71">
        <f t="shared" si="109"/>
        <v>110.12341030651692</v>
      </c>
      <c r="AT273" s="17">
        <v>2</v>
      </c>
      <c r="AU273" s="71"/>
      <c r="AV273" s="71"/>
      <c r="AW273" s="71">
        <f t="shared" si="110"/>
        <v>110.91338973410525</v>
      </c>
      <c r="AX273" s="17">
        <v>3</v>
      </c>
      <c r="AY273" s="71"/>
      <c r="AZ273" s="71"/>
      <c r="BA273" s="71">
        <f t="shared" si="111"/>
        <v>111.80497096144313</v>
      </c>
      <c r="BB273" s="84">
        <v>1</v>
      </c>
      <c r="BC273" s="84">
        <v>0</v>
      </c>
      <c r="BD273" s="84">
        <v>1</v>
      </c>
      <c r="BE273" s="84">
        <v>0</v>
      </c>
      <c r="BF273" s="84">
        <v>0</v>
      </c>
      <c r="BG273" s="84">
        <v>0</v>
      </c>
      <c r="BH273" s="45">
        <v>2</v>
      </c>
      <c r="BI273" s="71"/>
      <c r="BJ273" s="71"/>
      <c r="BK273" s="71">
        <f t="shared" si="112"/>
        <v>114.81520780975161</v>
      </c>
      <c r="BL273" s="17">
        <v>3</v>
      </c>
      <c r="BM273" s="71"/>
      <c r="BN273" s="71"/>
      <c r="BO273" s="71">
        <f t="shared" si="113"/>
        <v>111.29665318323313</v>
      </c>
      <c r="BP273" s="17">
        <v>2</v>
      </c>
      <c r="BQ273" s="71"/>
      <c r="BR273" s="71"/>
      <c r="BS273" s="138">
        <f t="shared" si="114"/>
        <v>113.86671101544545</v>
      </c>
      <c r="BT273" s="17">
        <v>3</v>
      </c>
      <c r="BU273" s="71"/>
      <c r="BV273" s="71"/>
      <c r="BW273" s="71">
        <f t="shared" si="115"/>
        <v>112.03791162123835</v>
      </c>
      <c r="BX273" s="84">
        <v>2</v>
      </c>
      <c r="BY273" s="17">
        <v>3</v>
      </c>
      <c r="BZ273" s="71"/>
      <c r="CA273" s="71"/>
      <c r="CB273" s="71">
        <f t="shared" si="116"/>
        <v>110.05345743585116</v>
      </c>
      <c r="CC273" s="17">
        <v>3</v>
      </c>
      <c r="CD273" s="71"/>
      <c r="CE273" s="71"/>
      <c r="CF273" s="71">
        <f t="shared" si="117"/>
        <v>109.36214907383548</v>
      </c>
      <c r="CG273" s="17">
        <v>1</v>
      </c>
      <c r="CH273" s="71"/>
      <c r="CI273" s="71"/>
      <c r="CJ273" s="138">
        <f t="shared" si="118"/>
        <v>103.93736139675698</v>
      </c>
      <c r="CK273" s="17">
        <v>3</v>
      </c>
      <c r="CL273" s="71"/>
      <c r="CM273" s="71"/>
      <c r="CN273" s="71">
        <f t="shared" si="119"/>
        <v>109.82624001207998</v>
      </c>
      <c r="CO273" s="93">
        <v>1</v>
      </c>
      <c r="CP273" s="98">
        <v>1</v>
      </c>
      <c r="CQ273" s="98">
        <v>0</v>
      </c>
      <c r="CR273" s="98">
        <v>0</v>
      </c>
      <c r="CS273" s="102">
        <f t="shared" si="120"/>
        <v>109.17782971452452</v>
      </c>
      <c r="CT273" s="102">
        <f t="shared" si="121"/>
        <v>5.7157886453880113</v>
      </c>
      <c r="CU273" s="102">
        <f t="shared" si="122"/>
        <v>5.2353015812216762E-2</v>
      </c>
      <c r="CV273" s="108">
        <f t="shared" si="123"/>
        <v>108.87859094119324</v>
      </c>
      <c r="CZ273" s="109" t="str">
        <f t="shared" si="124"/>
        <v>Alto</v>
      </c>
    </row>
    <row r="274" spans="1:104" x14ac:dyDescent="0.15">
      <c r="A274" s="84">
        <v>4</v>
      </c>
      <c r="B274" s="88">
        <v>1</v>
      </c>
      <c r="C274" s="84">
        <v>3</v>
      </c>
      <c r="D274" s="84">
        <v>0</v>
      </c>
      <c r="E274" s="88">
        <v>1</v>
      </c>
      <c r="F274" s="17">
        <v>2</v>
      </c>
      <c r="I274" s="64">
        <f t="shared" si="100"/>
        <v>109.85726154139888</v>
      </c>
      <c r="J274" s="17">
        <v>2</v>
      </c>
      <c r="M274" s="64">
        <f t="shared" si="101"/>
        <v>110.02144013573877</v>
      </c>
      <c r="N274" s="17">
        <v>2</v>
      </c>
      <c r="Q274" s="64">
        <f t="shared" si="102"/>
        <v>113.93405225485253</v>
      </c>
      <c r="R274" s="17">
        <v>2</v>
      </c>
      <c r="U274" s="64">
        <f t="shared" si="103"/>
        <v>101.34799174124942</v>
      </c>
      <c r="V274" s="17">
        <v>4</v>
      </c>
      <c r="Y274" s="114">
        <f t="shared" si="104"/>
        <v>110.77363490373656</v>
      </c>
      <c r="Z274" s="17">
        <v>3</v>
      </c>
      <c r="AC274" s="64">
        <f t="shared" si="105"/>
        <v>109.50350141641081</v>
      </c>
      <c r="AD274" s="25">
        <v>3</v>
      </c>
      <c r="AE274" s="71"/>
      <c r="AF274" s="71"/>
      <c r="AG274" s="71">
        <f t="shared" si="106"/>
        <v>109.20703006144345</v>
      </c>
      <c r="AH274" s="17">
        <v>3</v>
      </c>
      <c r="AK274" s="64">
        <f t="shared" si="107"/>
        <v>110.43726382077395</v>
      </c>
      <c r="AL274" s="17">
        <v>4</v>
      </c>
      <c r="AM274" s="71"/>
      <c r="AN274" s="71"/>
      <c r="AO274" s="71">
        <f t="shared" si="108"/>
        <v>111.97339782828605</v>
      </c>
      <c r="AP274" s="17">
        <v>3</v>
      </c>
      <c r="AQ274" s="71"/>
      <c r="AR274" s="71"/>
      <c r="AS274" s="71">
        <f t="shared" si="109"/>
        <v>110.12341030651692</v>
      </c>
      <c r="AT274" s="17">
        <v>2</v>
      </c>
      <c r="AU274" s="71"/>
      <c r="AV274" s="71"/>
      <c r="AW274" s="71">
        <f t="shared" si="110"/>
        <v>110.91338973410525</v>
      </c>
      <c r="AX274" s="17">
        <v>3</v>
      </c>
      <c r="AY274" s="71"/>
      <c r="AZ274" s="71"/>
      <c r="BA274" s="71">
        <f t="shared" si="111"/>
        <v>111.80497096144313</v>
      </c>
      <c r="BB274" s="84">
        <v>1</v>
      </c>
      <c r="BC274" s="84">
        <v>0</v>
      </c>
      <c r="BD274" s="84">
        <v>1</v>
      </c>
      <c r="BE274" s="84">
        <v>0</v>
      </c>
      <c r="BF274" s="84">
        <v>0</v>
      </c>
      <c r="BG274" s="84">
        <v>0</v>
      </c>
      <c r="BH274" s="45">
        <v>2</v>
      </c>
      <c r="BI274" s="71"/>
      <c r="BJ274" s="71"/>
      <c r="BK274" s="71">
        <f t="shared" si="112"/>
        <v>114.81520780975161</v>
      </c>
      <c r="BL274" s="17">
        <v>3</v>
      </c>
      <c r="BM274" s="71"/>
      <c r="BN274" s="71"/>
      <c r="BO274" s="71">
        <f t="shared" si="113"/>
        <v>111.29665318323313</v>
      </c>
      <c r="BP274" s="17">
        <v>2</v>
      </c>
      <c r="BQ274" s="71"/>
      <c r="BR274" s="71"/>
      <c r="BS274" s="138">
        <f t="shared" si="114"/>
        <v>113.86671101544545</v>
      </c>
      <c r="BT274" s="17">
        <v>3</v>
      </c>
      <c r="BU274" s="71"/>
      <c r="BV274" s="71"/>
      <c r="BW274" s="71">
        <f t="shared" si="115"/>
        <v>112.03791162123835</v>
      </c>
      <c r="BX274" s="84">
        <v>0</v>
      </c>
      <c r="BY274" s="17">
        <v>3</v>
      </c>
      <c r="BZ274" s="71"/>
      <c r="CA274" s="71"/>
      <c r="CB274" s="71">
        <f t="shared" si="116"/>
        <v>110.05345743585116</v>
      </c>
      <c r="CC274" s="17">
        <v>3</v>
      </c>
      <c r="CD274" s="71"/>
      <c r="CE274" s="71"/>
      <c r="CF274" s="71">
        <f t="shared" si="117"/>
        <v>109.36214907383548</v>
      </c>
      <c r="CG274" s="17">
        <v>1</v>
      </c>
      <c r="CH274" s="71"/>
      <c r="CI274" s="71"/>
      <c r="CJ274" s="138">
        <f t="shared" si="118"/>
        <v>103.93736139675698</v>
      </c>
      <c r="CK274" s="17">
        <v>3</v>
      </c>
      <c r="CL274" s="71"/>
      <c r="CM274" s="71"/>
      <c r="CN274" s="71">
        <f t="shared" si="119"/>
        <v>109.82624001207998</v>
      </c>
      <c r="CO274" s="93">
        <v>1</v>
      </c>
      <c r="CP274" s="98">
        <v>1</v>
      </c>
      <c r="CQ274" s="98">
        <v>0</v>
      </c>
      <c r="CR274" s="98">
        <v>0</v>
      </c>
      <c r="CS274" s="102">
        <f t="shared" si="120"/>
        <v>110.38325464342405</v>
      </c>
      <c r="CT274" s="102">
        <f t="shared" si="121"/>
        <v>2.8105446909504548</v>
      </c>
      <c r="CU274" s="102">
        <f t="shared" si="122"/>
        <v>2.5461694348744134E-2</v>
      </c>
      <c r="CV274" s="108">
        <f t="shared" si="123"/>
        <v>110.31169341354959</v>
      </c>
      <c r="CZ274" s="109" t="str">
        <f t="shared" si="124"/>
        <v>Alto</v>
      </c>
    </row>
    <row r="275" spans="1:104" x14ac:dyDescent="0.15">
      <c r="A275" s="84">
        <v>4</v>
      </c>
      <c r="B275" s="85">
        <v>2</v>
      </c>
      <c r="C275" s="84">
        <v>3</v>
      </c>
      <c r="D275" s="84">
        <v>0</v>
      </c>
      <c r="E275" s="88">
        <v>1</v>
      </c>
      <c r="F275" s="17">
        <v>2</v>
      </c>
      <c r="I275" s="64">
        <f t="shared" si="100"/>
        <v>109.85726154139888</v>
      </c>
      <c r="J275" s="17">
        <v>1</v>
      </c>
      <c r="M275" s="64">
        <f t="shared" si="101"/>
        <v>95.705097084683388</v>
      </c>
      <c r="N275" s="17">
        <v>1</v>
      </c>
      <c r="Q275" s="64">
        <f t="shared" si="102"/>
        <v>98.246708656674187</v>
      </c>
      <c r="R275" s="17">
        <v>3</v>
      </c>
      <c r="U275" s="64">
        <f t="shared" si="103"/>
        <v>111.09942135879838</v>
      </c>
      <c r="V275" s="17">
        <v>2</v>
      </c>
      <c r="Y275" s="114">
        <f t="shared" si="104"/>
        <v>97.875621286587162</v>
      </c>
      <c r="Z275" s="17">
        <v>3</v>
      </c>
      <c r="AC275" s="64">
        <f t="shared" si="105"/>
        <v>109.50350141641081</v>
      </c>
      <c r="AD275" s="25">
        <v>3</v>
      </c>
      <c r="AE275" s="71"/>
      <c r="AF275" s="71"/>
      <c r="AG275" s="71">
        <f t="shared" si="106"/>
        <v>109.20703006144345</v>
      </c>
      <c r="AH275" s="17">
        <v>3</v>
      </c>
      <c r="AK275" s="64">
        <f t="shared" si="107"/>
        <v>110.43726382077395</v>
      </c>
      <c r="AL275" s="17">
        <v>4</v>
      </c>
      <c r="AM275" s="71"/>
      <c r="AN275" s="71"/>
      <c r="AO275" s="71">
        <f t="shared" si="108"/>
        <v>111.97339782828605</v>
      </c>
      <c r="AP275" s="17">
        <v>3</v>
      </c>
      <c r="AQ275" s="71"/>
      <c r="AR275" s="71"/>
      <c r="AS275" s="71">
        <f t="shared" si="109"/>
        <v>110.12341030651692</v>
      </c>
      <c r="AT275" s="17">
        <v>2</v>
      </c>
      <c r="AU275" s="71"/>
      <c r="AV275" s="71"/>
      <c r="AW275" s="71">
        <f t="shared" si="110"/>
        <v>110.91338973410525</v>
      </c>
      <c r="AX275" s="17">
        <v>1</v>
      </c>
      <c r="AY275" s="71"/>
      <c r="AZ275" s="71"/>
      <c r="BA275" s="71">
        <f t="shared" si="111"/>
        <v>90.050552929515405</v>
      </c>
      <c r="BB275" s="84">
        <v>0</v>
      </c>
      <c r="BC275" s="84">
        <v>1</v>
      </c>
      <c r="BD275" s="84">
        <v>1</v>
      </c>
      <c r="BE275" s="84">
        <v>0</v>
      </c>
      <c r="BF275" s="84">
        <v>0</v>
      </c>
      <c r="BG275" s="84">
        <v>0</v>
      </c>
      <c r="BH275" s="45">
        <v>2</v>
      </c>
      <c r="BI275" s="71"/>
      <c r="BJ275" s="71"/>
      <c r="BK275" s="71">
        <f t="shared" si="112"/>
        <v>114.81520780975161</v>
      </c>
      <c r="BL275" s="17">
        <v>2</v>
      </c>
      <c r="BM275" s="71"/>
      <c r="BN275" s="71"/>
      <c r="BO275" s="71">
        <f t="shared" si="113"/>
        <v>101.95148996595998</v>
      </c>
      <c r="BP275" s="17">
        <v>2</v>
      </c>
      <c r="BQ275" s="71"/>
      <c r="BR275" s="71"/>
      <c r="BS275" s="138">
        <f t="shared" si="114"/>
        <v>113.86671101544545</v>
      </c>
      <c r="BT275" s="17">
        <v>2</v>
      </c>
      <c r="BU275" s="71"/>
      <c r="BV275" s="71"/>
      <c r="BW275" s="71">
        <f t="shared" si="115"/>
        <v>102.51956289746849</v>
      </c>
      <c r="BX275" s="84">
        <v>1</v>
      </c>
      <c r="BY275" s="17">
        <v>2</v>
      </c>
      <c r="BZ275" s="71"/>
      <c r="CA275" s="71"/>
      <c r="CB275" s="71">
        <f t="shared" si="116"/>
        <v>100.53207713448795</v>
      </c>
      <c r="CC275" s="17">
        <v>3</v>
      </c>
      <c r="CD275" s="71"/>
      <c r="CE275" s="71"/>
      <c r="CF275" s="71">
        <f t="shared" si="117"/>
        <v>109.36214907383548</v>
      </c>
      <c r="CG275" s="17">
        <v>1</v>
      </c>
      <c r="CH275" s="71"/>
      <c r="CI275" s="71"/>
      <c r="CJ275" s="138">
        <f t="shared" si="118"/>
        <v>103.93736139675698</v>
      </c>
      <c r="CK275" s="17">
        <v>3</v>
      </c>
      <c r="CL275" s="71"/>
      <c r="CM275" s="71"/>
      <c r="CN275" s="71">
        <f t="shared" si="119"/>
        <v>109.82624001207998</v>
      </c>
      <c r="CO275" s="93">
        <v>1</v>
      </c>
      <c r="CP275" s="98">
        <v>1</v>
      </c>
      <c r="CQ275" s="98">
        <v>0</v>
      </c>
      <c r="CR275" s="98">
        <v>0</v>
      </c>
      <c r="CS275" s="102">
        <f t="shared" si="120"/>
        <v>106.24257421365826</v>
      </c>
      <c r="CT275" s="102">
        <f t="shared" si="121"/>
        <v>6.8075970076406387</v>
      </c>
      <c r="CU275" s="102">
        <f t="shared" si="122"/>
        <v>6.4075979502814726E-2</v>
      </c>
      <c r="CV275" s="108">
        <f t="shared" si="123"/>
        <v>105.80637076733325</v>
      </c>
      <c r="CZ275" s="109" t="str">
        <f t="shared" si="124"/>
        <v>Alto</v>
      </c>
    </row>
    <row r="276" spans="1:104" x14ac:dyDescent="0.15">
      <c r="A276" s="84">
        <v>4</v>
      </c>
      <c r="B276" s="88">
        <v>1</v>
      </c>
      <c r="C276" s="84">
        <v>1</v>
      </c>
      <c r="D276" s="84">
        <v>0</v>
      </c>
      <c r="E276" s="88">
        <v>1</v>
      </c>
      <c r="F276" s="17">
        <v>2</v>
      </c>
      <c r="I276" s="64">
        <f t="shared" si="100"/>
        <v>109.85726154139888</v>
      </c>
      <c r="J276" s="17">
        <v>1</v>
      </c>
      <c r="M276" s="64">
        <f t="shared" si="101"/>
        <v>95.705097084683388</v>
      </c>
      <c r="N276" s="17">
        <v>1</v>
      </c>
      <c r="Q276" s="64">
        <f t="shared" si="102"/>
        <v>98.246708656674187</v>
      </c>
      <c r="R276" s="17">
        <v>1</v>
      </c>
      <c r="U276" s="64">
        <f t="shared" si="103"/>
        <v>91.596562123700451</v>
      </c>
      <c r="V276" s="17">
        <v>2</v>
      </c>
      <c r="Y276" s="114">
        <f t="shared" si="104"/>
        <v>97.875621286587162</v>
      </c>
      <c r="Z276" s="17">
        <v>3</v>
      </c>
      <c r="AC276" s="64">
        <f t="shared" si="105"/>
        <v>109.50350141641081</v>
      </c>
      <c r="AD276" s="25">
        <v>0</v>
      </c>
      <c r="AE276" s="71"/>
      <c r="AF276" s="71"/>
      <c r="AG276" s="71">
        <f t="shared" si="106"/>
        <v>84.62281366701329</v>
      </c>
      <c r="AH276" s="17">
        <v>1</v>
      </c>
      <c r="AK276" s="64">
        <f t="shared" si="107"/>
        <v>88.599296441923855</v>
      </c>
      <c r="AL276" s="17">
        <v>3</v>
      </c>
      <c r="AM276" s="71"/>
      <c r="AN276" s="71"/>
      <c r="AO276" s="71">
        <f t="shared" si="108"/>
        <v>100.85056924463234</v>
      </c>
      <c r="AP276" s="17">
        <v>2</v>
      </c>
      <c r="AQ276" s="71"/>
      <c r="AR276" s="71"/>
      <c r="AS276" s="71">
        <f t="shared" si="109"/>
        <v>99.909880620416757</v>
      </c>
      <c r="AT276" s="17">
        <v>2</v>
      </c>
      <c r="AU276" s="71"/>
      <c r="AV276" s="71"/>
      <c r="AW276" s="71">
        <f t="shared" si="110"/>
        <v>110.91338973410525</v>
      </c>
      <c r="AX276" s="17">
        <v>2</v>
      </c>
      <c r="AY276" s="71"/>
      <c r="AZ276" s="71"/>
      <c r="BA276" s="71">
        <f t="shared" si="111"/>
        <v>100.92776194547928</v>
      </c>
      <c r="BB276" s="84">
        <v>1</v>
      </c>
      <c r="BC276" s="84">
        <v>0</v>
      </c>
      <c r="BD276" s="84">
        <v>1</v>
      </c>
      <c r="BE276" s="84">
        <v>0</v>
      </c>
      <c r="BF276" s="84">
        <v>0</v>
      </c>
      <c r="BG276" s="84">
        <v>0</v>
      </c>
      <c r="BH276" s="45">
        <v>0</v>
      </c>
      <c r="BI276" s="71"/>
      <c r="BJ276" s="71"/>
      <c r="BK276" s="71">
        <f t="shared" si="112"/>
        <v>92.176238572378367</v>
      </c>
      <c r="BL276" s="17">
        <v>1</v>
      </c>
      <c r="BM276" s="71"/>
      <c r="BN276" s="71"/>
      <c r="BO276" s="71">
        <f t="shared" si="113"/>
        <v>92.606326748686826</v>
      </c>
      <c r="BP276" s="17">
        <v>2</v>
      </c>
      <c r="BQ276" s="71"/>
      <c r="BR276" s="71"/>
      <c r="BS276" s="138">
        <f t="shared" si="114"/>
        <v>113.86671101544545</v>
      </c>
      <c r="BT276" s="17">
        <v>3</v>
      </c>
      <c r="BU276" s="71"/>
      <c r="BV276" s="71"/>
      <c r="BW276" s="71">
        <f t="shared" si="115"/>
        <v>112.03791162123835</v>
      </c>
      <c r="BX276" s="84">
        <v>2</v>
      </c>
      <c r="BY276" s="17">
        <v>3</v>
      </c>
      <c r="BZ276" s="71"/>
      <c r="CA276" s="71"/>
      <c r="CB276" s="71">
        <f t="shared" si="116"/>
        <v>110.05345743585116</v>
      </c>
      <c r="CC276" s="17">
        <v>2</v>
      </c>
      <c r="CD276" s="71"/>
      <c r="CE276" s="71"/>
      <c r="CF276" s="71">
        <f t="shared" si="117"/>
        <v>100.18886179687853</v>
      </c>
      <c r="CG276" s="17">
        <v>0</v>
      </c>
      <c r="CH276" s="71"/>
      <c r="CI276" s="71"/>
      <c r="CJ276" s="138">
        <f t="shared" si="118"/>
        <v>89.226340793489143</v>
      </c>
      <c r="CK276" s="17">
        <v>2</v>
      </c>
      <c r="CL276" s="71"/>
      <c r="CM276" s="71"/>
      <c r="CN276" s="71">
        <f t="shared" si="119"/>
        <v>100.22589057499034</v>
      </c>
      <c r="CO276" s="93">
        <v>1</v>
      </c>
      <c r="CP276" s="98">
        <v>1</v>
      </c>
      <c r="CQ276" s="98">
        <v>0</v>
      </c>
      <c r="CR276" s="98">
        <v>0</v>
      </c>
      <c r="CS276" s="102">
        <f t="shared" si="120"/>
        <v>99.883619366262479</v>
      </c>
      <c r="CT276" s="102">
        <f t="shared" si="121"/>
        <v>8.3981614493817478</v>
      </c>
      <c r="CU276" s="102">
        <f t="shared" si="122"/>
        <v>8.4079466710017731E-2</v>
      </c>
      <c r="CV276" s="108">
        <f t="shared" si="123"/>
        <v>99.177506430253828</v>
      </c>
      <c r="CZ276" s="109" t="str">
        <f t="shared" si="124"/>
        <v>Medio-Alto</v>
      </c>
    </row>
    <row r="277" spans="1:104" x14ac:dyDescent="0.15">
      <c r="A277" s="84">
        <v>5</v>
      </c>
      <c r="B277" s="85">
        <v>2</v>
      </c>
      <c r="C277" s="84">
        <v>3</v>
      </c>
      <c r="D277" s="84">
        <v>0</v>
      </c>
      <c r="E277" s="88">
        <v>1</v>
      </c>
      <c r="F277" s="17">
        <v>1</v>
      </c>
      <c r="I277" s="64">
        <f t="shared" si="100"/>
        <v>93.428492305734082</v>
      </c>
      <c r="J277" s="17">
        <v>1</v>
      </c>
      <c r="M277" s="64">
        <f t="shared" si="101"/>
        <v>95.705097084683388</v>
      </c>
      <c r="N277" s="17">
        <v>1</v>
      </c>
      <c r="Q277" s="64">
        <f t="shared" si="102"/>
        <v>98.246708656674187</v>
      </c>
      <c r="R277" s="17">
        <v>2</v>
      </c>
      <c r="U277" s="64">
        <f t="shared" si="103"/>
        <v>101.34799174124942</v>
      </c>
      <c r="V277" s="17">
        <v>4</v>
      </c>
      <c r="Y277" s="114">
        <f t="shared" si="104"/>
        <v>110.77363490373656</v>
      </c>
      <c r="Z277" s="17">
        <v>3</v>
      </c>
      <c r="AC277" s="64">
        <f t="shared" si="105"/>
        <v>109.50350141641081</v>
      </c>
      <c r="AD277" s="25">
        <v>2</v>
      </c>
      <c r="AE277" s="71"/>
      <c r="AF277" s="71"/>
      <c r="AG277" s="71">
        <f t="shared" si="106"/>
        <v>101.01229126330007</v>
      </c>
      <c r="AH277" s="17">
        <v>2</v>
      </c>
      <c r="AK277" s="64">
        <f t="shared" si="107"/>
        <v>99.518280131348902</v>
      </c>
      <c r="AL277" s="17">
        <v>3</v>
      </c>
      <c r="AM277" s="71"/>
      <c r="AN277" s="71"/>
      <c r="AO277" s="71">
        <f t="shared" si="108"/>
        <v>100.85056924463234</v>
      </c>
      <c r="AP277" s="17">
        <v>2</v>
      </c>
      <c r="AQ277" s="71"/>
      <c r="AR277" s="71"/>
      <c r="AS277" s="71">
        <f t="shared" si="109"/>
        <v>99.909880620416757</v>
      </c>
      <c r="AT277" s="17">
        <v>2</v>
      </c>
      <c r="AU277" s="71"/>
      <c r="AV277" s="71"/>
      <c r="AW277" s="71">
        <f t="shared" si="110"/>
        <v>110.91338973410525</v>
      </c>
      <c r="AX277" s="17">
        <v>1</v>
      </c>
      <c r="AY277" s="71"/>
      <c r="AZ277" s="71"/>
      <c r="BA277" s="71">
        <f t="shared" si="111"/>
        <v>90.050552929515405</v>
      </c>
      <c r="BB277" s="84">
        <v>1</v>
      </c>
      <c r="BC277" s="84">
        <v>0</v>
      </c>
      <c r="BD277" s="84">
        <v>1</v>
      </c>
      <c r="BE277" s="84">
        <v>0</v>
      </c>
      <c r="BF277" s="84">
        <v>0</v>
      </c>
      <c r="BG277" s="84">
        <v>0</v>
      </c>
      <c r="BH277" s="45">
        <v>2</v>
      </c>
      <c r="BI277" s="71"/>
      <c r="BJ277" s="71"/>
      <c r="BK277" s="71">
        <f t="shared" si="112"/>
        <v>114.81520780975161</v>
      </c>
      <c r="BL277" s="17">
        <v>1</v>
      </c>
      <c r="BM277" s="71"/>
      <c r="BN277" s="71"/>
      <c r="BO277" s="71">
        <f t="shared" si="113"/>
        <v>92.606326748686826</v>
      </c>
      <c r="BP277" s="17">
        <v>1</v>
      </c>
      <c r="BQ277" s="71"/>
      <c r="BR277" s="71"/>
      <c r="BS277" s="138">
        <f t="shared" si="114"/>
        <v>100.16171091563201</v>
      </c>
      <c r="BT277" s="17">
        <v>1</v>
      </c>
      <c r="BU277" s="71"/>
      <c r="BV277" s="71"/>
      <c r="BW277" s="71">
        <f t="shared" si="115"/>
        <v>93.001214173698628</v>
      </c>
      <c r="BX277" s="84">
        <v>2</v>
      </c>
      <c r="BY277" s="17">
        <v>3</v>
      </c>
      <c r="BZ277" s="71"/>
      <c r="CA277" s="71"/>
      <c r="CB277" s="71">
        <f t="shared" si="116"/>
        <v>110.05345743585116</v>
      </c>
      <c r="CC277" s="17">
        <v>2</v>
      </c>
      <c r="CD277" s="71"/>
      <c r="CE277" s="71"/>
      <c r="CF277" s="71">
        <f t="shared" si="117"/>
        <v>100.18886179687853</v>
      </c>
      <c r="CG277" s="17">
        <v>1</v>
      </c>
      <c r="CH277" s="71"/>
      <c r="CI277" s="71"/>
      <c r="CJ277" s="138">
        <f t="shared" si="118"/>
        <v>103.93736139675698</v>
      </c>
      <c r="CK277" s="17">
        <v>0</v>
      </c>
      <c r="CL277" s="71"/>
      <c r="CM277" s="71"/>
      <c r="CN277" s="71">
        <f t="shared" si="119"/>
        <v>81.025191700811078</v>
      </c>
      <c r="CO277" s="93">
        <v>0</v>
      </c>
      <c r="CP277" s="98">
        <v>0</v>
      </c>
      <c r="CQ277" s="98">
        <v>1</v>
      </c>
      <c r="CR277" s="98">
        <v>0</v>
      </c>
      <c r="CS277" s="102">
        <f t="shared" si="120"/>
        <v>99.539824399632266</v>
      </c>
      <c r="CT277" s="102">
        <f t="shared" si="121"/>
        <v>8.5059221040661903</v>
      </c>
      <c r="CU277" s="102">
        <f t="shared" si="122"/>
        <v>8.5452452376414023E-2</v>
      </c>
      <c r="CV277" s="108">
        <f t="shared" si="123"/>
        <v>98.812972496117069</v>
      </c>
      <c r="CZ277" s="109" t="str">
        <f t="shared" si="124"/>
        <v>Medio-Basso</v>
      </c>
    </row>
    <row r="278" spans="1:104" x14ac:dyDescent="0.15">
      <c r="A278" s="84">
        <v>4</v>
      </c>
      <c r="B278" s="85">
        <v>2</v>
      </c>
      <c r="C278" s="84">
        <v>1</v>
      </c>
      <c r="D278" s="84">
        <v>0</v>
      </c>
      <c r="E278" s="88">
        <v>1</v>
      </c>
      <c r="F278" s="17">
        <v>2</v>
      </c>
      <c r="I278" s="64">
        <f t="shared" si="100"/>
        <v>109.85726154139888</v>
      </c>
      <c r="J278" s="17">
        <v>2</v>
      </c>
      <c r="M278" s="64">
        <f t="shared" si="101"/>
        <v>110.02144013573877</v>
      </c>
      <c r="N278" s="17">
        <v>0</v>
      </c>
      <c r="Q278" s="64">
        <f t="shared" si="102"/>
        <v>82.559365058495843</v>
      </c>
      <c r="R278" s="17">
        <v>2</v>
      </c>
      <c r="U278" s="64">
        <f t="shared" si="103"/>
        <v>101.34799174124942</v>
      </c>
      <c r="V278" s="17">
        <v>4</v>
      </c>
      <c r="Y278" s="114">
        <f t="shared" si="104"/>
        <v>110.77363490373656</v>
      </c>
      <c r="Z278" s="17">
        <v>3</v>
      </c>
      <c r="AC278" s="64">
        <f t="shared" si="105"/>
        <v>109.50350141641081</v>
      </c>
      <c r="AD278" s="25">
        <v>2</v>
      </c>
      <c r="AE278" s="71"/>
      <c r="AF278" s="71"/>
      <c r="AG278" s="71">
        <f t="shared" si="106"/>
        <v>101.01229126330007</v>
      </c>
      <c r="AH278" s="17">
        <v>2</v>
      </c>
      <c r="AK278" s="64">
        <f t="shared" si="107"/>
        <v>99.518280131348902</v>
      </c>
      <c r="AL278" s="17">
        <v>4</v>
      </c>
      <c r="AM278" s="71"/>
      <c r="AN278" s="71"/>
      <c r="AO278" s="71">
        <f t="shared" si="108"/>
        <v>111.97339782828605</v>
      </c>
      <c r="AP278" s="17">
        <v>2</v>
      </c>
      <c r="AQ278" s="71"/>
      <c r="AR278" s="71"/>
      <c r="AS278" s="71">
        <f t="shared" si="109"/>
        <v>99.909880620416757</v>
      </c>
      <c r="AT278" s="17">
        <v>2</v>
      </c>
      <c r="AU278" s="71"/>
      <c r="AV278" s="71"/>
      <c r="AW278" s="71">
        <f t="shared" si="110"/>
        <v>110.91338973410525</v>
      </c>
      <c r="AX278" s="17">
        <v>2</v>
      </c>
      <c r="AY278" s="71"/>
      <c r="AZ278" s="71"/>
      <c r="BA278" s="71">
        <f t="shared" si="111"/>
        <v>100.92776194547928</v>
      </c>
      <c r="BB278" s="84">
        <v>1</v>
      </c>
      <c r="BC278" s="84">
        <v>0</v>
      </c>
      <c r="BD278" s="84">
        <v>1</v>
      </c>
      <c r="BE278" s="84">
        <v>0</v>
      </c>
      <c r="BF278" s="84">
        <v>0</v>
      </c>
      <c r="BG278" s="84">
        <v>0</v>
      </c>
      <c r="BH278" s="45">
        <v>0</v>
      </c>
      <c r="BI278" s="71"/>
      <c r="BJ278" s="71"/>
      <c r="BK278" s="71">
        <f t="shared" si="112"/>
        <v>92.176238572378367</v>
      </c>
      <c r="BL278" s="17">
        <v>0</v>
      </c>
      <c r="BM278" s="71"/>
      <c r="BN278" s="71"/>
      <c r="BO278" s="71">
        <f t="shared" si="113"/>
        <v>83.261163531413686</v>
      </c>
      <c r="BP278" s="17">
        <v>0</v>
      </c>
      <c r="BQ278" s="71"/>
      <c r="BR278" s="71"/>
      <c r="BS278" s="138">
        <f t="shared" si="114"/>
        <v>86.456710815818582</v>
      </c>
      <c r="BT278" s="17">
        <v>2</v>
      </c>
      <c r="BU278" s="71"/>
      <c r="BV278" s="71"/>
      <c r="BW278" s="71">
        <f t="shared" si="115"/>
        <v>102.51956289746849</v>
      </c>
      <c r="BX278" s="84">
        <v>0</v>
      </c>
      <c r="BY278" s="17">
        <v>0</v>
      </c>
      <c r="BZ278" s="71"/>
      <c r="CA278" s="71"/>
      <c r="CB278" s="71">
        <f t="shared" si="116"/>
        <v>81.489316531761531</v>
      </c>
      <c r="CC278" s="17">
        <v>0</v>
      </c>
      <c r="CD278" s="71"/>
      <c r="CE278" s="71"/>
      <c r="CF278" s="71">
        <f t="shared" si="117"/>
        <v>81.842287242964616</v>
      </c>
      <c r="CG278" s="17">
        <v>0</v>
      </c>
      <c r="CH278" s="71"/>
      <c r="CI278" s="71"/>
      <c r="CJ278" s="138">
        <f t="shared" si="118"/>
        <v>89.226340793489143</v>
      </c>
      <c r="CK278" s="17">
        <v>2</v>
      </c>
      <c r="CL278" s="71"/>
      <c r="CM278" s="71"/>
      <c r="CN278" s="71">
        <f t="shared" si="119"/>
        <v>100.22589057499034</v>
      </c>
      <c r="CO278" s="93">
        <v>0</v>
      </c>
      <c r="CP278" s="98">
        <v>1</v>
      </c>
      <c r="CQ278" s="98">
        <v>0</v>
      </c>
      <c r="CR278" s="98">
        <v>0</v>
      </c>
      <c r="CS278" s="102">
        <f t="shared" si="120"/>
        <v>98.768177692188658</v>
      </c>
      <c r="CT278" s="102">
        <f t="shared" si="121"/>
        <v>10.761173555228066</v>
      </c>
      <c r="CU278" s="102">
        <f t="shared" si="122"/>
        <v>0.10895385342397727</v>
      </c>
      <c r="CV278" s="108">
        <f t="shared" si="123"/>
        <v>97.595706365982352</v>
      </c>
      <c r="CZ278" s="109" t="str">
        <f t="shared" si="124"/>
        <v>Medio-Basso</v>
      </c>
    </row>
    <row r="279" spans="1:104" x14ac:dyDescent="0.15">
      <c r="A279" s="84">
        <v>4</v>
      </c>
      <c r="B279" s="88">
        <v>1</v>
      </c>
      <c r="C279" s="84">
        <v>3</v>
      </c>
      <c r="D279" s="84">
        <v>0</v>
      </c>
      <c r="E279" s="88">
        <v>1</v>
      </c>
      <c r="F279" s="17">
        <v>2</v>
      </c>
      <c r="I279" s="64">
        <f t="shared" si="100"/>
        <v>109.85726154139888</v>
      </c>
      <c r="J279" s="17">
        <v>1</v>
      </c>
      <c r="M279" s="64">
        <f t="shared" si="101"/>
        <v>95.705097084683388</v>
      </c>
      <c r="N279" s="17">
        <v>1</v>
      </c>
      <c r="Q279" s="64">
        <f t="shared" si="102"/>
        <v>98.246708656674187</v>
      </c>
      <c r="R279" s="17">
        <v>3</v>
      </c>
      <c r="U279" s="64">
        <f t="shared" si="103"/>
        <v>111.09942135879838</v>
      </c>
      <c r="V279" s="17">
        <v>1</v>
      </c>
      <c r="Y279" s="114">
        <f t="shared" si="104"/>
        <v>91.426614478012453</v>
      </c>
      <c r="Z279" s="17">
        <v>3</v>
      </c>
      <c r="AC279" s="64">
        <f t="shared" si="105"/>
        <v>109.50350141641081</v>
      </c>
      <c r="AD279" s="25">
        <v>2</v>
      </c>
      <c r="AE279" s="71"/>
      <c r="AF279" s="71"/>
      <c r="AG279" s="71">
        <f t="shared" si="106"/>
        <v>101.01229126330007</v>
      </c>
      <c r="AH279" s="17">
        <v>2</v>
      </c>
      <c r="AK279" s="64">
        <f t="shared" si="107"/>
        <v>99.518280131348902</v>
      </c>
      <c r="AL279" s="17">
        <v>3</v>
      </c>
      <c r="AM279" s="71"/>
      <c r="AN279" s="71"/>
      <c r="AO279" s="71">
        <f t="shared" si="108"/>
        <v>100.85056924463234</v>
      </c>
      <c r="AP279" s="17">
        <v>2</v>
      </c>
      <c r="AQ279" s="71"/>
      <c r="AR279" s="71"/>
      <c r="AS279" s="71">
        <f t="shared" si="109"/>
        <v>99.909880620416757</v>
      </c>
      <c r="AT279" s="17">
        <v>0</v>
      </c>
      <c r="AU279" s="71"/>
      <c r="AV279" s="71"/>
      <c r="AW279" s="71">
        <f t="shared" si="110"/>
        <v>89.214252251088965</v>
      </c>
      <c r="AX279" s="17">
        <v>1</v>
      </c>
      <c r="AY279" s="71"/>
      <c r="AZ279" s="71"/>
      <c r="BA279" s="71">
        <f t="shared" si="111"/>
        <v>90.050552929515405</v>
      </c>
      <c r="BB279" s="84">
        <v>1</v>
      </c>
      <c r="BC279" s="84">
        <v>0</v>
      </c>
      <c r="BD279" s="84">
        <v>1</v>
      </c>
      <c r="BE279" s="84">
        <v>0</v>
      </c>
      <c r="BF279" s="84">
        <v>0</v>
      </c>
      <c r="BG279" s="84">
        <v>0</v>
      </c>
      <c r="BH279" s="45">
        <v>0</v>
      </c>
      <c r="BI279" s="71"/>
      <c r="BJ279" s="71"/>
      <c r="BK279" s="71">
        <f t="shared" si="112"/>
        <v>92.176238572378367</v>
      </c>
      <c r="BL279" s="17">
        <v>1</v>
      </c>
      <c r="BM279" s="71"/>
      <c r="BN279" s="71"/>
      <c r="BO279" s="71">
        <f t="shared" si="113"/>
        <v>92.606326748686826</v>
      </c>
      <c r="BP279" s="17">
        <v>0</v>
      </c>
      <c r="BQ279" s="71"/>
      <c r="BR279" s="71"/>
      <c r="BS279" s="138">
        <f t="shared" si="114"/>
        <v>86.456710815818582</v>
      </c>
      <c r="BT279" s="17">
        <v>2</v>
      </c>
      <c r="BU279" s="71"/>
      <c r="BV279" s="71"/>
      <c r="BW279" s="71">
        <f t="shared" si="115"/>
        <v>102.51956289746849</v>
      </c>
      <c r="BX279" s="84">
        <v>1</v>
      </c>
      <c r="BY279" s="17">
        <v>2</v>
      </c>
      <c r="BZ279" s="71"/>
      <c r="CA279" s="71"/>
      <c r="CB279" s="71">
        <f t="shared" si="116"/>
        <v>100.53207713448795</v>
      </c>
      <c r="CC279" s="17">
        <v>0</v>
      </c>
      <c r="CD279" s="71"/>
      <c r="CE279" s="71"/>
      <c r="CF279" s="71">
        <f t="shared" si="117"/>
        <v>81.842287242964616</v>
      </c>
      <c r="CG279" s="17">
        <v>0</v>
      </c>
      <c r="CH279" s="71"/>
      <c r="CI279" s="71"/>
      <c r="CJ279" s="138">
        <f t="shared" si="118"/>
        <v>89.226340793489143</v>
      </c>
      <c r="CK279" s="17">
        <v>2</v>
      </c>
      <c r="CL279" s="71"/>
      <c r="CM279" s="71"/>
      <c r="CN279" s="71">
        <f t="shared" si="119"/>
        <v>100.22589057499034</v>
      </c>
      <c r="CO279" s="93">
        <v>0</v>
      </c>
      <c r="CP279" s="98">
        <v>0</v>
      </c>
      <c r="CQ279" s="98">
        <v>0</v>
      </c>
      <c r="CR279" s="98">
        <v>1</v>
      </c>
      <c r="CS279" s="102">
        <f t="shared" si="120"/>
        <v>98.521776451132041</v>
      </c>
      <c r="CT279" s="102">
        <f t="shared" si="121"/>
        <v>7.7646104048596394</v>
      </c>
      <c r="CU279" s="102">
        <f t="shared" si="122"/>
        <v>7.8811108412270431E-2</v>
      </c>
      <c r="CV279" s="108">
        <f t="shared" si="123"/>
        <v>97.9098388987356</v>
      </c>
      <c r="CZ279" s="109" t="str">
        <f t="shared" si="124"/>
        <v>Medio-Basso</v>
      </c>
    </row>
    <row r="280" spans="1:104" x14ac:dyDescent="0.15">
      <c r="A280" s="84">
        <v>5</v>
      </c>
      <c r="B280" s="88">
        <v>1</v>
      </c>
      <c r="C280" s="84">
        <v>0</v>
      </c>
      <c r="D280" s="84">
        <v>0</v>
      </c>
      <c r="E280" s="88">
        <v>1</v>
      </c>
      <c r="F280" s="17">
        <v>2</v>
      </c>
      <c r="I280" s="64">
        <f t="shared" si="100"/>
        <v>109.85726154139888</v>
      </c>
      <c r="J280" s="17">
        <v>1</v>
      </c>
      <c r="M280" s="64">
        <f t="shared" si="101"/>
        <v>95.705097084683388</v>
      </c>
      <c r="N280" s="17">
        <v>2</v>
      </c>
      <c r="Q280" s="64">
        <f t="shared" si="102"/>
        <v>113.93405225485253</v>
      </c>
      <c r="R280" s="17">
        <v>2</v>
      </c>
      <c r="U280" s="64">
        <f t="shared" si="103"/>
        <v>101.34799174124942</v>
      </c>
      <c r="V280" s="17">
        <v>4</v>
      </c>
      <c r="Y280" s="114">
        <f t="shared" si="104"/>
        <v>110.77363490373656</v>
      </c>
      <c r="Z280" s="17">
        <v>3</v>
      </c>
      <c r="AC280" s="64">
        <f t="shared" si="105"/>
        <v>109.50350141641081</v>
      </c>
      <c r="AD280" s="25">
        <v>2</v>
      </c>
      <c r="AE280" s="71"/>
      <c r="AF280" s="71"/>
      <c r="AG280" s="71">
        <f t="shared" si="106"/>
        <v>101.01229126330007</v>
      </c>
      <c r="AH280" s="17">
        <v>3</v>
      </c>
      <c r="AK280" s="64">
        <f t="shared" si="107"/>
        <v>110.43726382077395</v>
      </c>
      <c r="AL280" s="17">
        <v>3</v>
      </c>
      <c r="AM280" s="71"/>
      <c r="AN280" s="71"/>
      <c r="AO280" s="71">
        <f t="shared" si="108"/>
        <v>100.85056924463234</v>
      </c>
      <c r="AP280" s="17">
        <v>3</v>
      </c>
      <c r="AQ280" s="71"/>
      <c r="AR280" s="71"/>
      <c r="AS280" s="71">
        <f t="shared" si="109"/>
        <v>110.12341030651692</v>
      </c>
      <c r="AT280" s="17">
        <v>2</v>
      </c>
      <c r="AU280" s="71"/>
      <c r="AV280" s="71"/>
      <c r="AW280" s="71">
        <f t="shared" si="110"/>
        <v>110.91338973410525</v>
      </c>
      <c r="AX280" s="17">
        <v>1</v>
      </c>
      <c r="AY280" s="71"/>
      <c r="AZ280" s="71"/>
      <c r="BA280" s="71">
        <f t="shared" si="111"/>
        <v>90.050552929515405</v>
      </c>
      <c r="BB280" s="84">
        <v>1</v>
      </c>
      <c r="BC280" s="84">
        <v>0</v>
      </c>
      <c r="BD280" s="84">
        <v>1</v>
      </c>
      <c r="BE280" s="84">
        <v>0</v>
      </c>
      <c r="BF280" s="84">
        <v>0</v>
      </c>
      <c r="BG280" s="84">
        <v>0</v>
      </c>
      <c r="BH280" s="45">
        <v>1</v>
      </c>
      <c r="BI280" s="71"/>
      <c r="BJ280" s="71"/>
      <c r="BK280" s="71">
        <f t="shared" si="112"/>
        <v>103.49572319106498</v>
      </c>
      <c r="BL280" s="17">
        <v>1</v>
      </c>
      <c r="BM280" s="71"/>
      <c r="BN280" s="71"/>
      <c r="BO280" s="71">
        <f t="shared" si="113"/>
        <v>92.606326748686826</v>
      </c>
      <c r="BP280" s="17">
        <v>1</v>
      </c>
      <c r="BQ280" s="71"/>
      <c r="BR280" s="71"/>
      <c r="BS280" s="138">
        <f t="shared" si="114"/>
        <v>100.16171091563201</v>
      </c>
      <c r="BT280" s="17">
        <v>1</v>
      </c>
      <c r="BU280" s="71"/>
      <c r="BV280" s="71"/>
      <c r="BW280" s="71">
        <f t="shared" si="115"/>
        <v>93.001214173698628</v>
      </c>
      <c r="BX280" s="84">
        <v>2</v>
      </c>
      <c r="BY280" s="17">
        <v>0</v>
      </c>
      <c r="BZ280" s="71"/>
      <c r="CA280" s="71"/>
      <c r="CB280" s="71">
        <f t="shared" si="116"/>
        <v>81.489316531761531</v>
      </c>
      <c r="CC280" s="17">
        <v>3</v>
      </c>
      <c r="CD280" s="71"/>
      <c r="CE280" s="71"/>
      <c r="CF280" s="71">
        <f t="shared" si="117"/>
        <v>109.36214907383548</v>
      </c>
      <c r="CG280" s="17">
        <v>1</v>
      </c>
      <c r="CH280" s="71"/>
      <c r="CI280" s="71"/>
      <c r="CJ280" s="138">
        <f t="shared" si="118"/>
        <v>103.93736139675698</v>
      </c>
      <c r="CK280" s="17">
        <v>3</v>
      </c>
      <c r="CL280" s="71"/>
      <c r="CM280" s="71"/>
      <c r="CN280" s="71">
        <f t="shared" si="119"/>
        <v>109.82624001207998</v>
      </c>
      <c r="CO280" s="93">
        <v>0</v>
      </c>
      <c r="CP280" s="98">
        <v>1</v>
      </c>
      <c r="CQ280" s="98">
        <v>1</v>
      </c>
      <c r="CR280" s="98">
        <v>0</v>
      </c>
      <c r="CS280" s="102">
        <f t="shared" si="120"/>
        <v>102.55978535697449</v>
      </c>
      <c r="CT280" s="102">
        <f t="shared" si="121"/>
        <v>9.2347581039403543</v>
      </c>
      <c r="CU280" s="102">
        <f t="shared" si="122"/>
        <v>9.0042681659262588E-2</v>
      </c>
      <c r="CV280" s="108">
        <f t="shared" si="123"/>
        <v>101.72826297282108</v>
      </c>
      <c r="CZ280" s="109" t="str">
        <f t="shared" si="124"/>
        <v>Medio-Alto</v>
      </c>
    </row>
    <row r="281" spans="1:104" x14ac:dyDescent="0.15">
      <c r="A281" s="84">
        <v>3</v>
      </c>
      <c r="B281" s="88">
        <v>1</v>
      </c>
      <c r="C281" s="84">
        <v>3</v>
      </c>
      <c r="D281" s="84">
        <v>0</v>
      </c>
      <c r="E281" s="88">
        <v>1</v>
      </c>
      <c r="F281" s="17">
        <v>1</v>
      </c>
      <c r="I281" s="64">
        <f t="shared" si="100"/>
        <v>93.428492305734082</v>
      </c>
      <c r="J281" s="17">
        <v>1</v>
      </c>
      <c r="M281" s="64">
        <f t="shared" si="101"/>
        <v>95.705097084683388</v>
      </c>
      <c r="N281" s="17">
        <v>1</v>
      </c>
      <c r="Q281" s="64">
        <f t="shared" si="102"/>
        <v>98.246708656674187</v>
      </c>
      <c r="R281" s="17">
        <v>2</v>
      </c>
      <c r="U281" s="64">
        <f t="shared" si="103"/>
        <v>101.34799174124942</v>
      </c>
      <c r="V281" s="17">
        <v>1</v>
      </c>
      <c r="Y281" s="114">
        <f t="shared" si="104"/>
        <v>91.426614478012453</v>
      </c>
      <c r="Z281" s="17">
        <v>0</v>
      </c>
      <c r="AC281" s="64">
        <f t="shared" si="105"/>
        <v>85.509512691809249</v>
      </c>
      <c r="AD281" s="25">
        <v>0</v>
      </c>
      <c r="AE281" s="71"/>
      <c r="AF281" s="71"/>
      <c r="AG281" s="71">
        <f t="shared" si="106"/>
        <v>84.62281366701329</v>
      </c>
      <c r="AH281" s="17">
        <v>2</v>
      </c>
      <c r="AK281" s="64">
        <f t="shared" si="107"/>
        <v>99.518280131348902</v>
      </c>
      <c r="AL281" s="17">
        <v>3</v>
      </c>
      <c r="AM281" s="71"/>
      <c r="AN281" s="71"/>
      <c r="AO281" s="71">
        <f t="shared" si="108"/>
        <v>100.85056924463234</v>
      </c>
      <c r="AP281" s="17">
        <v>2</v>
      </c>
      <c r="AQ281" s="71"/>
      <c r="AR281" s="71"/>
      <c r="AS281" s="71">
        <f t="shared" si="109"/>
        <v>99.909880620416757</v>
      </c>
      <c r="AT281" s="17">
        <v>0</v>
      </c>
      <c r="AU281" s="71"/>
      <c r="AV281" s="71"/>
      <c r="AW281" s="71">
        <f t="shared" si="110"/>
        <v>89.214252251088965</v>
      </c>
      <c r="AX281" s="17">
        <v>2</v>
      </c>
      <c r="AY281" s="71"/>
      <c r="AZ281" s="71"/>
      <c r="BA281" s="71">
        <f t="shared" si="111"/>
        <v>100.92776194547928</v>
      </c>
      <c r="BB281" s="84">
        <v>1</v>
      </c>
      <c r="BC281" s="84">
        <v>0</v>
      </c>
      <c r="BD281" s="84">
        <v>0</v>
      </c>
      <c r="BE281" s="84">
        <v>1</v>
      </c>
      <c r="BF281" s="84">
        <v>0</v>
      </c>
      <c r="BG281" s="84">
        <v>0</v>
      </c>
      <c r="BH281" s="45">
        <v>0</v>
      </c>
      <c r="BI281" s="71"/>
      <c r="BJ281" s="71"/>
      <c r="BK281" s="71">
        <f t="shared" si="112"/>
        <v>92.176238572378367</v>
      </c>
      <c r="BL281" s="17">
        <v>3</v>
      </c>
      <c r="BM281" s="71"/>
      <c r="BN281" s="71"/>
      <c r="BO281" s="71">
        <f t="shared" si="113"/>
        <v>111.29665318323313</v>
      </c>
      <c r="BP281" s="17">
        <v>1</v>
      </c>
      <c r="BQ281" s="71"/>
      <c r="BR281" s="71"/>
      <c r="BS281" s="138">
        <f t="shared" si="114"/>
        <v>100.16171091563201</v>
      </c>
      <c r="BT281" s="17">
        <v>2</v>
      </c>
      <c r="BU281" s="71"/>
      <c r="BV281" s="71"/>
      <c r="BW281" s="71">
        <f t="shared" si="115"/>
        <v>102.51956289746849</v>
      </c>
      <c r="BX281" s="84">
        <v>2</v>
      </c>
      <c r="BY281" s="17">
        <v>3</v>
      </c>
      <c r="BZ281" s="71"/>
      <c r="CA281" s="71"/>
      <c r="CB281" s="71">
        <f t="shared" si="116"/>
        <v>110.05345743585116</v>
      </c>
      <c r="CC281" s="17">
        <v>2</v>
      </c>
      <c r="CD281" s="71"/>
      <c r="CE281" s="71"/>
      <c r="CF281" s="71">
        <f t="shared" si="117"/>
        <v>100.18886179687853</v>
      </c>
      <c r="CG281" s="17">
        <v>1</v>
      </c>
      <c r="CH281" s="71"/>
      <c r="CI281" s="71"/>
      <c r="CJ281" s="138">
        <f t="shared" si="118"/>
        <v>103.93736139675698</v>
      </c>
      <c r="CK281" s="17">
        <v>2</v>
      </c>
      <c r="CL281" s="71"/>
      <c r="CM281" s="71"/>
      <c r="CN281" s="71">
        <f t="shared" si="119"/>
        <v>100.22589057499034</v>
      </c>
      <c r="CO281" s="93">
        <v>1</v>
      </c>
      <c r="CP281" s="98">
        <v>0</v>
      </c>
      <c r="CQ281" s="98">
        <v>0</v>
      </c>
      <c r="CR281" s="98">
        <v>0</v>
      </c>
      <c r="CS281" s="102">
        <f t="shared" si="120"/>
        <v>97.984824988289986</v>
      </c>
      <c r="CT281" s="102">
        <f t="shared" si="121"/>
        <v>7.3246481926380227</v>
      </c>
      <c r="CU281" s="102">
        <f t="shared" si="122"/>
        <v>7.4752883352227045E-2</v>
      </c>
      <c r="CV281" s="108">
        <f t="shared" si="123"/>
        <v>97.437286416349622</v>
      </c>
      <c r="CZ281" s="109" t="str">
        <f t="shared" si="124"/>
        <v>Medio-Basso</v>
      </c>
    </row>
    <row r="282" spans="1:104" x14ac:dyDescent="0.15">
      <c r="A282" s="84">
        <v>5</v>
      </c>
      <c r="B282" s="85">
        <v>2</v>
      </c>
      <c r="C282" s="84">
        <v>1</v>
      </c>
      <c r="D282" s="84">
        <v>0</v>
      </c>
      <c r="E282" s="88">
        <v>1</v>
      </c>
      <c r="F282" s="17">
        <v>1</v>
      </c>
      <c r="I282" s="64">
        <f t="shared" si="100"/>
        <v>93.428492305734082</v>
      </c>
      <c r="J282" s="17">
        <v>2</v>
      </c>
      <c r="M282" s="64">
        <f t="shared" si="101"/>
        <v>110.02144013573877</v>
      </c>
      <c r="N282" s="17">
        <v>1</v>
      </c>
      <c r="Q282" s="64">
        <f t="shared" si="102"/>
        <v>98.246708656674187</v>
      </c>
      <c r="R282" s="17">
        <v>2</v>
      </c>
      <c r="U282" s="64">
        <f t="shared" si="103"/>
        <v>101.34799174124942</v>
      </c>
      <c r="V282" s="17">
        <v>2</v>
      </c>
      <c r="Y282" s="114">
        <f t="shared" si="104"/>
        <v>97.875621286587162</v>
      </c>
      <c r="Z282" s="17">
        <v>2</v>
      </c>
      <c r="AC282" s="64">
        <f t="shared" si="105"/>
        <v>101.50550517487696</v>
      </c>
      <c r="AD282" s="25">
        <v>3</v>
      </c>
      <c r="AE282" s="71"/>
      <c r="AF282" s="71"/>
      <c r="AG282" s="71">
        <f t="shared" si="106"/>
        <v>109.20703006144345</v>
      </c>
      <c r="AH282" s="17">
        <v>3</v>
      </c>
      <c r="AK282" s="64">
        <f t="shared" si="107"/>
        <v>110.43726382077395</v>
      </c>
      <c r="AL282" s="17">
        <v>3</v>
      </c>
      <c r="AM282" s="71"/>
      <c r="AN282" s="71"/>
      <c r="AO282" s="71">
        <f t="shared" si="108"/>
        <v>100.85056924463234</v>
      </c>
      <c r="AP282" s="17">
        <v>2</v>
      </c>
      <c r="AQ282" s="71"/>
      <c r="AR282" s="71"/>
      <c r="AS282" s="71">
        <f t="shared" si="109"/>
        <v>99.909880620416757</v>
      </c>
      <c r="AT282" s="17">
        <v>2</v>
      </c>
      <c r="AU282" s="71"/>
      <c r="AV282" s="71"/>
      <c r="AW282" s="71">
        <f t="shared" si="110"/>
        <v>110.91338973410525</v>
      </c>
      <c r="AX282" s="17">
        <v>3</v>
      </c>
      <c r="AY282" s="71"/>
      <c r="AZ282" s="71"/>
      <c r="BA282" s="71">
        <f t="shared" si="111"/>
        <v>111.80497096144313</v>
      </c>
      <c r="BB282" s="84">
        <v>1</v>
      </c>
      <c r="BC282" s="84">
        <v>0</v>
      </c>
      <c r="BD282" s="84">
        <v>1</v>
      </c>
      <c r="BE282" s="84">
        <v>0</v>
      </c>
      <c r="BF282" s="84">
        <v>0</v>
      </c>
      <c r="BG282" s="84">
        <v>0</v>
      </c>
      <c r="BH282" s="45">
        <v>0</v>
      </c>
      <c r="BI282" s="71"/>
      <c r="BJ282" s="71"/>
      <c r="BK282" s="71">
        <f t="shared" si="112"/>
        <v>92.176238572378367</v>
      </c>
      <c r="BL282" s="17">
        <v>3</v>
      </c>
      <c r="BM282" s="71"/>
      <c r="BN282" s="71"/>
      <c r="BO282" s="71">
        <f t="shared" si="113"/>
        <v>111.29665318323313</v>
      </c>
      <c r="BP282" s="17">
        <v>0</v>
      </c>
      <c r="BQ282" s="71"/>
      <c r="BR282" s="71"/>
      <c r="BS282" s="138">
        <f t="shared" si="114"/>
        <v>86.456710815818582</v>
      </c>
      <c r="BT282" s="17">
        <v>0</v>
      </c>
      <c r="BU282" s="71"/>
      <c r="BV282" s="71"/>
      <c r="BW282" s="71">
        <f t="shared" si="115"/>
        <v>83.482865449928767</v>
      </c>
      <c r="BX282" s="84">
        <v>1</v>
      </c>
      <c r="BY282" s="17">
        <v>3</v>
      </c>
      <c r="BZ282" s="71"/>
      <c r="CA282" s="71"/>
      <c r="CB282" s="71">
        <f t="shared" si="116"/>
        <v>110.05345743585116</v>
      </c>
      <c r="CC282" s="17">
        <v>3</v>
      </c>
      <c r="CD282" s="71"/>
      <c r="CE282" s="71"/>
      <c r="CF282" s="71">
        <f t="shared" si="117"/>
        <v>109.36214907383548</v>
      </c>
      <c r="CG282" s="17">
        <v>0</v>
      </c>
      <c r="CH282" s="71"/>
      <c r="CI282" s="71"/>
      <c r="CJ282" s="138">
        <f t="shared" si="118"/>
        <v>89.226340793489143</v>
      </c>
      <c r="CK282" s="17">
        <v>3</v>
      </c>
      <c r="CL282" s="71"/>
      <c r="CM282" s="71"/>
      <c r="CN282" s="71">
        <f t="shared" si="119"/>
        <v>109.82624001207998</v>
      </c>
      <c r="CO282" s="93">
        <v>0</v>
      </c>
      <c r="CP282" s="98">
        <v>1</v>
      </c>
      <c r="CQ282" s="98">
        <v>1</v>
      </c>
      <c r="CR282" s="98">
        <v>0</v>
      </c>
      <c r="CS282" s="102">
        <f t="shared" si="120"/>
        <v>103.75710859908207</v>
      </c>
      <c r="CT282" s="102">
        <f t="shared" si="121"/>
        <v>8.3314801945796653</v>
      </c>
      <c r="CU282" s="102">
        <f t="shared" si="122"/>
        <v>8.0297921820205509E-2</v>
      </c>
      <c r="CV282" s="108">
        <f t="shared" si="123"/>
        <v>103.08810805377112</v>
      </c>
      <c r="CZ282" s="109" t="str">
        <f t="shared" si="124"/>
        <v>Medio-Alto</v>
      </c>
    </row>
    <row r="283" spans="1:104" x14ac:dyDescent="0.15">
      <c r="A283" s="84">
        <v>5</v>
      </c>
      <c r="B283" s="85">
        <v>2</v>
      </c>
      <c r="C283" s="84">
        <v>3</v>
      </c>
      <c r="D283" s="84">
        <v>0</v>
      </c>
      <c r="E283" s="88">
        <v>1</v>
      </c>
      <c r="F283" s="17">
        <v>1</v>
      </c>
      <c r="I283" s="64">
        <f t="shared" si="100"/>
        <v>93.428492305734082</v>
      </c>
      <c r="J283" s="17">
        <v>2</v>
      </c>
      <c r="M283" s="64">
        <f t="shared" si="101"/>
        <v>110.02144013573877</v>
      </c>
      <c r="N283" s="17">
        <v>1</v>
      </c>
      <c r="Q283" s="64">
        <f t="shared" si="102"/>
        <v>98.246708656674187</v>
      </c>
      <c r="R283" s="17">
        <v>3</v>
      </c>
      <c r="U283" s="64">
        <f t="shared" si="103"/>
        <v>111.09942135879838</v>
      </c>
      <c r="V283" s="17">
        <v>4</v>
      </c>
      <c r="Y283" s="114">
        <f t="shared" si="104"/>
        <v>110.77363490373656</v>
      </c>
      <c r="Z283" s="17">
        <v>3</v>
      </c>
      <c r="AC283" s="64">
        <f t="shared" si="105"/>
        <v>109.50350141641081</v>
      </c>
      <c r="AD283" s="25">
        <v>0</v>
      </c>
      <c r="AE283" s="71"/>
      <c r="AF283" s="71"/>
      <c r="AG283" s="71">
        <f t="shared" si="106"/>
        <v>84.62281366701329</v>
      </c>
      <c r="AH283" s="17">
        <v>1</v>
      </c>
      <c r="AK283" s="64">
        <f t="shared" si="107"/>
        <v>88.599296441923855</v>
      </c>
      <c r="AL283" s="17">
        <v>3</v>
      </c>
      <c r="AM283" s="71"/>
      <c r="AN283" s="71"/>
      <c r="AO283" s="71">
        <f t="shared" si="108"/>
        <v>100.85056924463234</v>
      </c>
      <c r="AP283" s="17">
        <v>0</v>
      </c>
      <c r="AQ283" s="71"/>
      <c r="AR283" s="71"/>
      <c r="AS283" s="71">
        <f t="shared" si="109"/>
        <v>79.482821248216453</v>
      </c>
      <c r="AT283" s="17">
        <v>0</v>
      </c>
      <c r="AU283" s="71"/>
      <c r="AV283" s="71"/>
      <c r="AW283" s="71">
        <f t="shared" si="110"/>
        <v>89.214252251088965</v>
      </c>
      <c r="AX283" s="17">
        <v>2</v>
      </c>
      <c r="AY283" s="71"/>
      <c r="AZ283" s="71"/>
      <c r="BA283" s="71">
        <f t="shared" si="111"/>
        <v>100.92776194547928</v>
      </c>
      <c r="BB283" s="84">
        <v>1</v>
      </c>
      <c r="BC283" s="84">
        <v>0</v>
      </c>
      <c r="BD283" s="84">
        <v>1</v>
      </c>
      <c r="BE283" s="84">
        <v>0</v>
      </c>
      <c r="BF283" s="84">
        <v>0</v>
      </c>
      <c r="BG283" s="84">
        <v>0</v>
      </c>
      <c r="BH283" s="45">
        <v>1</v>
      </c>
      <c r="BI283" s="71"/>
      <c r="BJ283" s="71"/>
      <c r="BK283" s="71">
        <f t="shared" si="112"/>
        <v>103.49572319106498</v>
      </c>
      <c r="BL283" s="17">
        <v>2</v>
      </c>
      <c r="BM283" s="71"/>
      <c r="BN283" s="71"/>
      <c r="BO283" s="71">
        <f t="shared" si="113"/>
        <v>101.95148996595998</v>
      </c>
      <c r="BP283" s="17">
        <v>0</v>
      </c>
      <c r="BQ283" s="71"/>
      <c r="BR283" s="71"/>
      <c r="BS283" s="138">
        <f t="shared" si="114"/>
        <v>86.456710815818582</v>
      </c>
      <c r="BT283" s="17">
        <v>1</v>
      </c>
      <c r="BU283" s="71"/>
      <c r="BV283" s="71"/>
      <c r="BW283" s="71">
        <f t="shared" si="115"/>
        <v>93.001214173698628</v>
      </c>
      <c r="BX283" s="84">
        <v>2</v>
      </c>
      <c r="BY283" s="17">
        <v>1</v>
      </c>
      <c r="BZ283" s="71"/>
      <c r="CA283" s="71"/>
      <c r="CB283" s="71">
        <f t="shared" si="116"/>
        <v>91.01069683312474</v>
      </c>
      <c r="CC283" s="17">
        <v>2</v>
      </c>
      <c r="CD283" s="71"/>
      <c r="CE283" s="71"/>
      <c r="CF283" s="71">
        <f t="shared" si="117"/>
        <v>100.18886179687853</v>
      </c>
      <c r="CG283" s="17">
        <v>0</v>
      </c>
      <c r="CH283" s="71"/>
      <c r="CI283" s="71"/>
      <c r="CJ283" s="138">
        <f t="shared" si="118"/>
        <v>89.226340793489143</v>
      </c>
      <c r="CK283" s="17">
        <v>2</v>
      </c>
      <c r="CL283" s="71"/>
      <c r="CM283" s="71"/>
      <c r="CN283" s="71">
        <f t="shared" si="119"/>
        <v>100.22589057499034</v>
      </c>
      <c r="CO283" s="93">
        <v>0</v>
      </c>
      <c r="CP283" s="98">
        <v>0</v>
      </c>
      <c r="CQ283" s="98">
        <v>0</v>
      </c>
      <c r="CR283" s="98">
        <v>1</v>
      </c>
      <c r="CS283" s="102">
        <f t="shared" si="120"/>
        <v>97.404173835731044</v>
      </c>
      <c r="CT283" s="102">
        <f t="shared" si="121"/>
        <v>9.0029895182648794</v>
      </c>
      <c r="CU283" s="102">
        <f t="shared" si="122"/>
        <v>9.2429196447455397E-2</v>
      </c>
      <c r="CV283" s="108">
        <f t="shared" si="123"/>
        <v>96.572034748932964</v>
      </c>
      <c r="CZ283" s="109" t="str">
        <f t="shared" si="124"/>
        <v>Medio-Basso</v>
      </c>
    </row>
    <row r="284" spans="1:104" x14ac:dyDescent="0.15">
      <c r="A284" s="84">
        <v>5</v>
      </c>
      <c r="B284" s="85">
        <v>2</v>
      </c>
      <c r="C284" s="84">
        <v>3</v>
      </c>
      <c r="D284" s="84">
        <v>0</v>
      </c>
      <c r="E284" s="88">
        <v>1</v>
      </c>
      <c r="F284" s="17">
        <v>1</v>
      </c>
      <c r="I284" s="64">
        <f t="shared" si="100"/>
        <v>93.428492305734082</v>
      </c>
      <c r="J284" s="17">
        <v>2</v>
      </c>
      <c r="M284" s="64">
        <f t="shared" si="101"/>
        <v>110.02144013573877</v>
      </c>
      <c r="N284" s="17">
        <v>2</v>
      </c>
      <c r="Q284" s="64">
        <f t="shared" si="102"/>
        <v>113.93405225485253</v>
      </c>
      <c r="R284" s="17">
        <v>3</v>
      </c>
      <c r="U284" s="64">
        <f t="shared" si="103"/>
        <v>111.09942135879838</v>
      </c>
      <c r="V284" s="17">
        <v>5</v>
      </c>
      <c r="Y284" s="114">
        <f t="shared" si="104"/>
        <v>117.22264171231127</v>
      </c>
      <c r="Z284" s="17">
        <v>3</v>
      </c>
      <c r="AC284" s="64">
        <f t="shared" si="105"/>
        <v>109.50350141641081</v>
      </c>
      <c r="AD284" s="25">
        <v>3</v>
      </c>
      <c r="AE284" s="71"/>
      <c r="AF284" s="71"/>
      <c r="AG284" s="71">
        <f t="shared" si="106"/>
        <v>109.20703006144345</v>
      </c>
      <c r="AH284" s="17">
        <v>3</v>
      </c>
      <c r="AK284" s="64">
        <f t="shared" si="107"/>
        <v>110.43726382077395</v>
      </c>
      <c r="AL284" s="17">
        <v>0</v>
      </c>
      <c r="AM284" s="71"/>
      <c r="AN284" s="71"/>
      <c r="AO284" s="71">
        <f t="shared" si="108"/>
        <v>67.482083493671226</v>
      </c>
      <c r="AP284" s="17">
        <v>3</v>
      </c>
      <c r="AQ284" s="71"/>
      <c r="AR284" s="71"/>
      <c r="AS284" s="71">
        <f t="shared" si="109"/>
        <v>110.12341030651692</v>
      </c>
      <c r="AT284" s="17">
        <v>2</v>
      </c>
      <c r="AU284" s="71"/>
      <c r="AV284" s="71"/>
      <c r="AW284" s="71">
        <f t="shared" si="110"/>
        <v>110.91338973410525</v>
      </c>
      <c r="AX284" s="17">
        <v>3</v>
      </c>
      <c r="AY284" s="71"/>
      <c r="AZ284" s="71"/>
      <c r="BA284" s="71">
        <f t="shared" si="111"/>
        <v>111.80497096144313</v>
      </c>
      <c r="BB284" s="84">
        <v>1</v>
      </c>
      <c r="BC284" s="84">
        <v>0</v>
      </c>
      <c r="BD284" s="84">
        <v>1</v>
      </c>
      <c r="BE284" s="84">
        <v>0</v>
      </c>
      <c r="BF284" s="84">
        <v>0</v>
      </c>
      <c r="BG284" s="84">
        <v>0</v>
      </c>
      <c r="BH284" s="45">
        <v>2</v>
      </c>
      <c r="BI284" s="71"/>
      <c r="BJ284" s="71"/>
      <c r="BK284" s="71">
        <f t="shared" si="112"/>
        <v>114.81520780975161</v>
      </c>
      <c r="BL284" s="17">
        <v>1</v>
      </c>
      <c r="BM284" s="71"/>
      <c r="BN284" s="71"/>
      <c r="BO284" s="71">
        <f t="shared" si="113"/>
        <v>92.606326748686826</v>
      </c>
      <c r="BP284" s="17">
        <v>0</v>
      </c>
      <c r="BQ284" s="71"/>
      <c r="BR284" s="71"/>
      <c r="BS284" s="138">
        <f t="shared" si="114"/>
        <v>86.456710815818582</v>
      </c>
      <c r="BT284" s="17">
        <v>3</v>
      </c>
      <c r="BU284" s="71"/>
      <c r="BV284" s="71"/>
      <c r="BW284" s="71">
        <f t="shared" si="115"/>
        <v>112.03791162123835</v>
      </c>
      <c r="BX284" s="84">
        <v>1</v>
      </c>
      <c r="BY284" s="17">
        <v>2</v>
      </c>
      <c r="BZ284" s="71"/>
      <c r="CA284" s="71"/>
      <c r="CB284" s="71">
        <f t="shared" si="116"/>
        <v>100.53207713448795</v>
      </c>
      <c r="CC284" s="17">
        <v>3</v>
      </c>
      <c r="CD284" s="71"/>
      <c r="CE284" s="71"/>
      <c r="CF284" s="71">
        <f t="shared" si="117"/>
        <v>109.36214907383548</v>
      </c>
      <c r="CG284" s="17">
        <v>1</v>
      </c>
      <c r="CH284" s="71"/>
      <c r="CI284" s="71"/>
      <c r="CJ284" s="138">
        <f t="shared" si="118"/>
        <v>103.93736139675698</v>
      </c>
      <c r="CK284" s="17">
        <v>3</v>
      </c>
      <c r="CL284" s="71"/>
      <c r="CM284" s="71"/>
      <c r="CN284" s="71">
        <f t="shared" si="119"/>
        <v>109.82624001207998</v>
      </c>
      <c r="CO284" s="93">
        <v>1</v>
      </c>
      <c r="CP284" s="98">
        <v>1</v>
      </c>
      <c r="CQ284" s="98">
        <v>0</v>
      </c>
      <c r="CR284" s="98">
        <v>0</v>
      </c>
      <c r="CS284" s="102">
        <f t="shared" si="120"/>
        <v>105.71382166173935</v>
      </c>
      <c r="CT284" s="102">
        <f t="shared" si="121"/>
        <v>11.757692313346649</v>
      </c>
      <c r="CU284" s="102">
        <f t="shared" si="122"/>
        <v>0.11122190200415459</v>
      </c>
      <c r="CV284" s="108">
        <f t="shared" si="123"/>
        <v>104.4061087594693</v>
      </c>
      <c r="CZ284" s="109" t="str">
        <f t="shared" si="124"/>
        <v>Alto</v>
      </c>
    </row>
    <row r="285" spans="1:104" x14ac:dyDescent="0.15">
      <c r="A285" s="84">
        <v>2</v>
      </c>
      <c r="B285" s="85">
        <v>2</v>
      </c>
      <c r="C285" s="84">
        <v>1</v>
      </c>
      <c r="D285" s="84">
        <v>0</v>
      </c>
      <c r="E285" s="88">
        <v>1</v>
      </c>
      <c r="F285" s="17">
        <v>2</v>
      </c>
      <c r="I285" s="64">
        <f t="shared" si="100"/>
        <v>109.85726154139888</v>
      </c>
      <c r="J285" s="17">
        <v>1</v>
      </c>
      <c r="M285" s="64">
        <f t="shared" si="101"/>
        <v>95.705097084683388</v>
      </c>
      <c r="N285" s="17">
        <v>2</v>
      </c>
      <c r="Q285" s="64">
        <f t="shared" si="102"/>
        <v>113.93405225485253</v>
      </c>
      <c r="R285" s="17">
        <v>2</v>
      </c>
      <c r="U285" s="64">
        <f t="shared" si="103"/>
        <v>101.34799174124942</v>
      </c>
      <c r="V285" s="17">
        <v>4</v>
      </c>
      <c r="Y285" s="114">
        <f t="shared" si="104"/>
        <v>110.77363490373656</v>
      </c>
      <c r="Z285" s="17">
        <v>3</v>
      </c>
      <c r="AC285" s="64">
        <f t="shared" si="105"/>
        <v>109.50350141641081</v>
      </c>
      <c r="AD285" s="25">
        <v>3</v>
      </c>
      <c r="AE285" s="71"/>
      <c r="AF285" s="71"/>
      <c r="AG285" s="71">
        <f t="shared" si="106"/>
        <v>109.20703006144345</v>
      </c>
      <c r="AH285" s="17">
        <v>2</v>
      </c>
      <c r="AK285" s="64">
        <f t="shared" si="107"/>
        <v>99.518280131348902</v>
      </c>
      <c r="AL285" s="17">
        <v>4</v>
      </c>
      <c r="AM285" s="71"/>
      <c r="AN285" s="71"/>
      <c r="AO285" s="71">
        <f t="shared" si="108"/>
        <v>111.97339782828605</v>
      </c>
      <c r="AP285" s="17">
        <v>3</v>
      </c>
      <c r="AQ285" s="71"/>
      <c r="AR285" s="71"/>
      <c r="AS285" s="71">
        <f t="shared" si="109"/>
        <v>110.12341030651692</v>
      </c>
      <c r="AT285" s="17">
        <v>2</v>
      </c>
      <c r="AU285" s="71"/>
      <c r="AV285" s="71"/>
      <c r="AW285" s="71">
        <f t="shared" si="110"/>
        <v>110.91338973410525</v>
      </c>
      <c r="AX285" s="17">
        <v>3</v>
      </c>
      <c r="AY285" s="71"/>
      <c r="AZ285" s="71"/>
      <c r="BA285" s="71">
        <f t="shared" si="111"/>
        <v>111.80497096144313</v>
      </c>
      <c r="BB285" s="84">
        <v>1</v>
      </c>
      <c r="BC285" s="84">
        <v>0</v>
      </c>
      <c r="BD285" s="84">
        <v>1</v>
      </c>
      <c r="BE285" s="84">
        <v>0</v>
      </c>
      <c r="BF285" s="84">
        <v>0</v>
      </c>
      <c r="BG285" s="84">
        <v>0</v>
      </c>
      <c r="BH285" s="45">
        <v>2</v>
      </c>
      <c r="BI285" s="71"/>
      <c r="BJ285" s="71"/>
      <c r="BK285" s="71">
        <f t="shared" si="112"/>
        <v>114.81520780975161</v>
      </c>
      <c r="BL285" s="17">
        <v>3</v>
      </c>
      <c r="BM285" s="71"/>
      <c r="BN285" s="71"/>
      <c r="BO285" s="71">
        <f t="shared" si="113"/>
        <v>111.29665318323313</v>
      </c>
      <c r="BP285" s="17">
        <v>1</v>
      </c>
      <c r="BQ285" s="71"/>
      <c r="BR285" s="71"/>
      <c r="BS285" s="138">
        <f t="shared" si="114"/>
        <v>100.16171091563201</v>
      </c>
      <c r="BT285" s="17">
        <v>3</v>
      </c>
      <c r="BU285" s="71"/>
      <c r="BV285" s="71"/>
      <c r="BW285" s="71">
        <f t="shared" si="115"/>
        <v>112.03791162123835</v>
      </c>
      <c r="BX285" s="84">
        <v>0</v>
      </c>
      <c r="BY285" s="17">
        <v>2</v>
      </c>
      <c r="BZ285" s="71"/>
      <c r="CA285" s="71"/>
      <c r="CB285" s="71">
        <f t="shared" si="116"/>
        <v>100.53207713448795</v>
      </c>
      <c r="CC285" s="17">
        <v>2</v>
      </c>
      <c r="CD285" s="71"/>
      <c r="CE285" s="71"/>
      <c r="CF285" s="71">
        <f t="shared" si="117"/>
        <v>100.18886179687853</v>
      </c>
      <c r="CG285" s="17">
        <v>2</v>
      </c>
      <c r="CH285" s="71"/>
      <c r="CI285" s="71"/>
      <c r="CJ285" s="138">
        <f t="shared" si="118"/>
        <v>118.64838200002481</v>
      </c>
      <c r="CK285" s="17">
        <v>3</v>
      </c>
      <c r="CL285" s="71"/>
      <c r="CM285" s="71"/>
      <c r="CN285" s="71">
        <f t="shared" si="119"/>
        <v>109.82624001207998</v>
      </c>
      <c r="CO285" s="93">
        <v>1</v>
      </c>
      <c r="CP285" s="98">
        <v>0</v>
      </c>
      <c r="CQ285" s="98">
        <v>1</v>
      </c>
      <c r="CR285" s="98">
        <v>0</v>
      </c>
      <c r="CS285" s="102">
        <f t="shared" si="120"/>
        <v>107.79913733055344</v>
      </c>
      <c r="CT285" s="102">
        <f t="shared" si="121"/>
        <v>5.8419196291849573</v>
      </c>
      <c r="CU285" s="102">
        <f t="shared" si="122"/>
        <v>5.4192638028924059E-2</v>
      </c>
      <c r="CV285" s="108">
        <f t="shared" si="123"/>
        <v>107.48254829469495</v>
      </c>
      <c r="CZ285" s="109" t="str">
        <f t="shared" si="124"/>
        <v>Alto</v>
      </c>
    </row>
    <row r="286" spans="1:104" x14ac:dyDescent="0.15">
      <c r="A286" s="84">
        <v>4</v>
      </c>
      <c r="B286" s="88">
        <v>1</v>
      </c>
      <c r="C286" s="84">
        <v>3</v>
      </c>
      <c r="D286" s="84">
        <v>0</v>
      </c>
      <c r="E286" s="88">
        <v>1</v>
      </c>
      <c r="F286" s="17">
        <v>2</v>
      </c>
      <c r="I286" s="64">
        <f t="shared" si="100"/>
        <v>109.85726154139888</v>
      </c>
      <c r="J286" s="17">
        <v>2</v>
      </c>
      <c r="M286" s="64">
        <f t="shared" si="101"/>
        <v>110.02144013573877</v>
      </c>
      <c r="N286" s="17">
        <v>2</v>
      </c>
      <c r="Q286" s="64">
        <f t="shared" si="102"/>
        <v>113.93405225485253</v>
      </c>
      <c r="R286" s="17">
        <v>3</v>
      </c>
      <c r="U286" s="64">
        <f t="shared" si="103"/>
        <v>111.09942135879838</v>
      </c>
      <c r="V286" s="17">
        <v>2</v>
      </c>
      <c r="Y286" s="114">
        <f t="shared" si="104"/>
        <v>97.875621286587162</v>
      </c>
      <c r="Z286" s="17">
        <v>3</v>
      </c>
      <c r="AC286" s="64">
        <f t="shared" si="105"/>
        <v>109.50350141641081</v>
      </c>
      <c r="AD286" s="25">
        <v>2</v>
      </c>
      <c r="AE286" s="71"/>
      <c r="AF286" s="71"/>
      <c r="AG286" s="71">
        <f t="shared" si="106"/>
        <v>101.01229126330007</v>
      </c>
      <c r="AH286" s="17">
        <v>3</v>
      </c>
      <c r="AK286" s="64">
        <f t="shared" si="107"/>
        <v>110.43726382077395</v>
      </c>
      <c r="AL286" s="17">
        <v>3</v>
      </c>
      <c r="AM286" s="71"/>
      <c r="AN286" s="71"/>
      <c r="AO286" s="71">
        <f t="shared" si="108"/>
        <v>100.85056924463234</v>
      </c>
      <c r="AP286" s="17">
        <v>1</v>
      </c>
      <c r="AQ286" s="71"/>
      <c r="AR286" s="71"/>
      <c r="AS286" s="71">
        <f t="shared" si="109"/>
        <v>89.696350934316598</v>
      </c>
      <c r="AT286" s="17">
        <v>2</v>
      </c>
      <c r="AU286" s="71"/>
      <c r="AV286" s="71"/>
      <c r="AW286" s="71">
        <f t="shared" si="110"/>
        <v>110.91338973410525</v>
      </c>
      <c r="AX286" s="17">
        <v>1</v>
      </c>
      <c r="AY286" s="71"/>
      <c r="AZ286" s="71"/>
      <c r="BA286" s="71">
        <f t="shared" si="111"/>
        <v>90.050552929515405</v>
      </c>
      <c r="BB286" s="84">
        <v>1</v>
      </c>
      <c r="BC286" s="84">
        <v>0</v>
      </c>
      <c r="BD286" s="84">
        <v>1</v>
      </c>
      <c r="BE286" s="84">
        <v>0</v>
      </c>
      <c r="BF286" s="84">
        <v>0</v>
      </c>
      <c r="BG286" s="84">
        <v>0</v>
      </c>
      <c r="BH286" s="45">
        <v>2</v>
      </c>
      <c r="BI286" s="71"/>
      <c r="BJ286" s="71"/>
      <c r="BK286" s="71">
        <f t="shared" si="112"/>
        <v>114.81520780975161</v>
      </c>
      <c r="BL286" s="17">
        <v>0</v>
      </c>
      <c r="BM286" s="71"/>
      <c r="BN286" s="71"/>
      <c r="BO286" s="71">
        <f t="shared" si="113"/>
        <v>83.261163531413686</v>
      </c>
      <c r="BP286" s="17">
        <v>1</v>
      </c>
      <c r="BQ286" s="71"/>
      <c r="BR286" s="71"/>
      <c r="BS286" s="138">
        <f t="shared" si="114"/>
        <v>100.16171091563201</v>
      </c>
      <c r="BT286" s="17">
        <v>3</v>
      </c>
      <c r="BU286" s="71"/>
      <c r="BV286" s="71"/>
      <c r="BW286" s="71">
        <f t="shared" si="115"/>
        <v>112.03791162123835</v>
      </c>
      <c r="BX286" s="84">
        <v>0</v>
      </c>
      <c r="BY286" s="17">
        <v>2</v>
      </c>
      <c r="BZ286" s="71"/>
      <c r="CA286" s="71"/>
      <c r="CB286" s="71">
        <f t="shared" si="116"/>
        <v>100.53207713448795</v>
      </c>
      <c r="CC286" s="17">
        <v>3</v>
      </c>
      <c r="CD286" s="71"/>
      <c r="CE286" s="71"/>
      <c r="CF286" s="71">
        <f t="shared" si="117"/>
        <v>109.36214907383548</v>
      </c>
      <c r="CG286" s="17">
        <v>1</v>
      </c>
      <c r="CH286" s="71"/>
      <c r="CI286" s="71"/>
      <c r="CJ286" s="138">
        <f t="shared" si="118"/>
        <v>103.93736139675698</v>
      </c>
      <c r="CK286" s="17">
        <v>3</v>
      </c>
      <c r="CL286" s="71"/>
      <c r="CM286" s="71"/>
      <c r="CN286" s="71">
        <f t="shared" si="119"/>
        <v>109.82624001207998</v>
      </c>
      <c r="CO286" s="93">
        <v>0</v>
      </c>
      <c r="CP286" s="98">
        <v>1</v>
      </c>
      <c r="CQ286" s="98">
        <v>1</v>
      </c>
      <c r="CR286" s="98">
        <v>0</v>
      </c>
      <c r="CS286" s="102">
        <f t="shared" si="120"/>
        <v>105.13004963627355</v>
      </c>
      <c r="CT286" s="102">
        <f t="shared" si="121"/>
        <v>9.426996238116093</v>
      </c>
      <c r="CU286" s="102">
        <f t="shared" si="122"/>
        <v>8.9669854344513203E-2</v>
      </c>
      <c r="CV286" s="108">
        <f t="shared" si="123"/>
        <v>104.28473225669541</v>
      </c>
      <c r="CZ286" s="109" t="str">
        <f t="shared" si="124"/>
        <v>Alto</v>
      </c>
    </row>
    <row r="287" spans="1:104" x14ac:dyDescent="0.15">
      <c r="A287" s="84">
        <v>4</v>
      </c>
      <c r="B287" s="88">
        <v>1</v>
      </c>
      <c r="C287" s="84">
        <v>3</v>
      </c>
      <c r="D287" s="84">
        <v>0</v>
      </c>
      <c r="E287" s="88">
        <v>1</v>
      </c>
      <c r="F287" s="17">
        <v>1</v>
      </c>
      <c r="I287" s="64">
        <f t="shared" si="100"/>
        <v>93.428492305734082</v>
      </c>
      <c r="J287" s="17">
        <v>1</v>
      </c>
      <c r="M287" s="64">
        <f t="shared" si="101"/>
        <v>95.705097084683388</v>
      </c>
      <c r="N287" s="17">
        <v>0</v>
      </c>
      <c r="Q287" s="64">
        <f t="shared" si="102"/>
        <v>82.559365058495843</v>
      </c>
      <c r="R287" s="17">
        <v>0</v>
      </c>
      <c r="U287" s="64">
        <f t="shared" si="103"/>
        <v>81.845132506151486</v>
      </c>
      <c r="V287" s="17">
        <v>5</v>
      </c>
      <c r="Y287" s="114">
        <f t="shared" si="104"/>
        <v>117.22264171231127</v>
      </c>
      <c r="Z287" s="17">
        <v>0</v>
      </c>
      <c r="AC287" s="64">
        <f t="shared" si="105"/>
        <v>85.509512691809249</v>
      </c>
      <c r="AD287" s="25">
        <v>0</v>
      </c>
      <c r="AE287" s="71"/>
      <c r="AF287" s="71"/>
      <c r="AG287" s="71">
        <f t="shared" si="106"/>
        <v>84.62281366701329</v>
      </c>
      <c r="AH287" s="17">
        <v>0</v>
      </c>
      <c r="AK287" s="64">
        <f t="shared" si="107"/>
        <v>77.680312752498807</v>
      </c>
      <c r="AL287" s="17">
        <v>3</v>
      </c>
      <c r="AM287" s="71"/>
      <c r="AN287" s="71"/>
      <c r="AO287" s="71">
        <f t="shared" si="108"/>
        <v>100.85056924463234</v>
      </c>
      <c r="AP287" s="17">
        <v>0</v>
      </c>
      <c r="AQ287" s="71"/>
      <c r="AR287" s="71"/>
      <c r="AS287" s="71">
        <f t="shared" si="109"/>
        <v>79.482821248216453</v>
      </c>
      <c r="AT287" s="17">
        <v>0</v>
      </c>
      <c r="AU287" s="71"/>
      <c r="AV287" s="71"/>
      <c r="AW287" s="71">
        <f t="shared" si="110"/>
        <v>89.214252251088965</v>
      </c>
      <c r="AX287" s="17">
        <v>2</v>
      </c>
      <c r="AY287" s="71"/>
      <c r="AZ287" s="71"/>
      <c r="BA287" s="71">
        <f t="shared" si="111"/>
        <v>100.92776194547928</v>
      </c>
      <c r="BB287" s="84">
        <v>1</v>
      </c>
      <c r="BC287" s="84">
        <v>0</v>
      </c>
      <c r="BD287" s="84">
        <v>0</v>
      </c>
      <c r="BE287" s="84">
        <v>1</v>
      </c>
      <c r="BF287" s="84">
        <v>0</v>
      </c>
      <c r="BG287" s="84">
        <v>0</v>
      </c>
      <c r="BH287" s="45">
        <v>1</v>
      </c>
      <c r="BI287" s="71"/>
      <c r="BJ287" s="71"/>
      <c r="BK287" s="71">
        <f t="shared" si="112"/>
        <v>103.49572319106498</v>
      </c>
      <c r="BL287" s="17">
        <v>1</v>
      </c>
      <c r="BM287" s="71"/>
      <c r="BN287" s="71"/>
      <c r="BO287" s="71">
        <f t="shared" si="113"/>
        <v>92.606326748686826</v>
      </c>
      <c r="BP287" s="17">
        <v>0</v>
      </c>
      <c r="BQ287" s="71"/>
      <c r="BR287" s="71"/>
      <c r="BS287" s="138">
        <f t="shared" si="114"/>
        <v>86.456710815818582</v>
      </c>
      <c r="BT287" s="17">
        <v>0</v>
      </c>
      <c r="BU287" s="71"/>
      <c r="BV287" s="71"/>
      <c r="BW287" s="71">
        <f t="shared" si="115"/>
        <v>83.482865449928767</v>
      </c>
      <c r="BX287" s="84">
        <v>3</v>
      </c>
      <c r="BY287" s="17">
        <v>1</v>
      </c>
      <c r="BZ287" s="71"/>
      <c r="CA287" s="71"/>
      <c r="CB287" s="71">
        <f t="shared" si="116"/>
        <v>91.01069683312474</v>
      </c>
      <c r="CC287" s="17">
        <v>0</v>
      </c>
      <c r="CD287" s="71"/>
      <c r="CE287" s="71"/>
      <c r="CF287" s="71">
        <f t="shared" si="117"/>
        <v>81.842287242964616</v>
      </c>
      <c r="CG287" s="17">
        <v>0</v>
      </c>
      <c r="CH287" s="71"/>
      <c r="CI287" s="71"/>
      <c r="CJ287" s="138">
        <f t="shared" si="118"/>
        <v>89.226340793489143</v>
      </c>
      <c r="CK287" s="17">
        <v>2</v>
      </c>
      <c r="CL287" s="71"/>
      <c r="CM287" s="71"/>
      <c r="CN287" s="71">
        <f t="shared" si="119"/>
        <v>100.22589057499034</v>
      </c>
      <c r="CO287" s="93">
        <v>0</v>
      </c>
      <c r="CP287" s="98">
        <v>0</v>
      </c>
      <c r="CQ287" s="98">
        <v>0</v>
      </c>
      <c r="CR287" s="98">
        <v>1</v>
      </c>
      <c r="CS287" s="102">
        <f t="shared" si="120"/>
        <v>89.675877693915496</v>
      </c>
      <c r="CT287" s="102">
        <f t="shared" si="121"/>
        <v>8.3559611962298188</v>
      </c>
      <c r="CU287" s="102">
        <f t="shared" si="122"/>
        <v>9.3179586429593106E-2</v>
      </c>
      <c r="CV287" s="108">
        <f t="shared" si="123"/>
        <v>88.897272685429073</v>
      </c>
      <c r="CZ287" s="109" t="str">
        <f t="shared" si="124"/>
        <v>Basso</v>
      </c>
    </row>
    <row r="288" spans="1:104" x14ac:dyDescent="0.15">
      <c r="A288" s="84">
        <v>4</v>
      </c>
      <c r="B288" s="88">
        <v>1</v>
      </c>
      <c r="C288" s="84">
        <v>3</v>
      </c>
      <c r="D288" s="84">
        <v>0</v>
      </c>
      <c r="E288" s="88">
        <v>1</v>
      </c>
      <c r="F288" s="17">
        <v>2</v>
      </c>
      <c r="I288" s="64">
        <f t="shared" si="100"/>
        <v>109.85726154139888</v>
      </c>
      <c r="J288" s="17">
        <v>1</v>
      </c>
      <c r="M288" s="64">
        <f t="shared" si="101"/>
        <v>95.705097084683388</v>
      </c>
      <c r="N288" s="17">
        <v>2</v>
      </c>
      <c r="Q288" s="64">
        <f t="shared" si="102"/>
        <v>113.93405225485253</v>
      </c>
      <c r="R288" s="17">
        <v>3</v>
      </c>
      <c r="U288" s="64">
        <f t="shared" si="103"/>
        <v>111.09942135879838</v>
      </c>
      <c r="V288" s="17">
        <v>4</v>
      </c>
      <c r="Y288" s="114">
        <f t="shared" si="104"/>
        <v>110.77363490373656</v>
      </c>
      <c r="Z288" s="17">
        <v>2</v>
      </c>
      <c r="AC288" s="64">
        <f t="shared" si="105"/>
        <v>101.50550517487696</v>
      </c>
      <c r="AD288" s="25">
        <v>0</v>
      </c>
      <c r="AE288" s="71"/>
      <c r="AF288" s="71"/>
      <c r="AG288" s="71">
        <f t="shared" si="106"/>
        <v>84.62281366701329</v>
      </c>
      <c r="AH288" s="17">
        <v>3</v>
      </c>
      <c r="AK288" s="64">
        <f t="shared" si="107"/>
        <v>110.43726382077395</v>
      </c>
      <c r="AL288" s="17">
        <v>3</v>
      </c>
      <c r="AM288" s="71"/>
      <c r="AN288" s="71"/>
      <c r="AO288" s="71">
        <f t="shared" si="108"/>
        <v>100.85056924463234</v>
      </c>
      <c r="AP288" s="17">
        <v>2</v>
      </c>
      <c r="AQ288" s="71"/>
      <c r="AR288" s="71"/>
      <c r="AS288" s="71">
        <f t="shared" si="109"/>
        <v>99.909880620416757</v>
      </c>
      <c r="AT288" s="17">
        <v>2</v>
      </c>
      <c r="AU288" s="71"/>
      <c r="AV288" s="71"/>
      <c r="AW288" s="71">
        <f t="shared" si="110"/>
        <v>110.91338973410525</v>
      </c>
      <c r="AX288" s="17">
        <v>3</v>
      </c>
      <c r="AY288" s="71"/>
      <c r="AZ288" s="71"/>
      <c r="BA288" s="71">
        <f t="shared" si="111"/>
        <v>111.80497096144313</v>
      </c>
      <c r="BB288" s="84">
        <v>1</v>
      </c>
      <c r="BC288" s="84">
        <v>1</v>
      </c>
      <c r="BD288" s="84">
        <v>0</v>
      </c>
      <c r="BE288" s="84">
        <v>0</v>
      </c>
      <c r="BF288" s="84">
        <v>0</v>
      </c>
      <c r="BG288" s="84">
        <v>0</v>
      </c>
      <c r="BH288" s="45">
        <v>2</v>
      </c>
      <c r="BI288" s="71"/>
      <c r="BJ288" s="71"/>
      <c r="BK288" s="71">
        <f t="shared" si="112"/>
        <v>114.81520780975161</v>
      </c>
      <c r="BL288" s="17">
        <v>3</v>
      </c>
      <c r="BM288" s="71"/>
      <c r="BN288" s="71"/>
      <c r="BO288" s="71">
        <f t="shared" si="113"/>
        <v>111.29665318323313</v>
      </c>
      <c r="BP288" s="17">
        <v>1</v>
      </c>
      <c r="BQ288" s="71"/>
      <c r="BR288" s="71"/>
      <c r="BS288" s="138">
        <f t="shared" si="114"/>
        <v>100.16171091563201</v>
      </c>
      <c r="BT288" s="17">
        <v>0</v>
      </c>
      <c r="BU288" s="71"/>
      <c r="BV288" s="71"/>
      <c r="BW288" s="71">
        <f t="shared" si="115"/>
        <v>83.482865449928767</v>
      </c>
      <c r="BX288" s="84">
        <v>3</v>
      </c>
      <c r="BY288" s="17">
        <v>1</v>
      </c>
      <c r="BZ288" s="71"/>
      <c r="CA288" s="71"/>
      <c r="CB288" s="71">
        <f t="shared" si="116"/>
        <v>91.01069683312474</v>
      </c>
      <c r="CC288" s="17">
        <v>2</v>
      </c>
      <c r="CD288" s="71"/>
      <c r="CE288" s="71"/>
      <c r="CF288" s="71">
        <f t="shared" si="117"/>
        <v>100.18886179687853</v>
      </c>
      <c r="CG288" s="17">
        <v>1</v>
      </c>
      <c r="CH288" s="71"/>
      <c r="CI288" s="71"/>
      <c r="CJ288" s="138">
        <f t="shared" si="118"/>
        <v>103.93736139675698</v>
      </c>
      <c r="CK288" s="17">
        <v>3</v>
      </c>
      <c r="CL288" s="71"/>
      <c r="CM288" s="71"/>
      <c r="CN288" s="71">
        <f t="shared" si="119"/>
        <v>109.82624001207998</v>
      </c>
      <c r="CO288" s="93">
        <v>0</v>
      </c>
      <c r="CP288" s="98">
        <v>1</v>
      </c>
      <c r="CQ288" s="98">
        <v>1</v>
      </c>
      <c r="CR288" s="98">
        <v>0</v>
      </c>
      <c r="CS288" s="102">
        <f t="shared" si="120"/>
        <v>103.60357356164656</v>
      </c>
      <c r="CT288" s="102">
        <f t="shared" si="121"/>
        <v>10.051056381069541</v>
      </c>
      <c r="CU288" s="102">
        <f t="shared" si="122"/>
        <v>9.7014572331222987E-2</v>
      </c>
      <c r="CV288" s="108">
        <f t="shared" si="123"/>
        <v>102.62847462536008</v>
      </c>
      <c r="CZ288" s="109" t="str">
        <f t="shared" si="124"/>
        <v>Medio-Alto</v>
      </c>
    </row>
    <row r="289" spans="1:104" x14ac:dyDescent="0.15">
      <c r="A289" s="84">
        <v>4</v>
      </c>
      <c r="B289" s="88">
        <v>1</v>
      </c>
      <c r="C289" s="84">
        <v>3</v>
      </c>
      <c r="D289" s="84">
        <v>0</v>
      </c>
      <c r="E289" s="88">
        <v>1</v>
      </c>
      <c r="F289" s="17">
        <v>1</v>
      </c>
      <c r="I289" s="64">
        <f t="shared" si="100"/>
        <v>93.428492305734082</v>
      </c>
      <c r="J289" s="17">
        <v>1</v>
      </c>
      <c r="M289" s="64">
        <f t="shared" si="101"/>
        <v>95.705097084683388</v>
      </c>
      <c r="N289" s="17">
        <v>1</v>
      </c>
      <c r="Q289" s="64">
        <f t="shared" si="102"/>
        <v>98.246708656674187</v>
      </c>
      <c r="R289" s="17">
        <v>2</v>
      </c>
      <c r="U289" s="64">
        <f t="shared" si="103"/>
        <v>101.34799174124942</v>
      </c>
      <c r="V289" s="17">
        <v>4</v>
      </c>
      <c r="Y289" s="114">
        <f t="shared" si="104"/>
        <v>110.77363490373656</v>
      </c>
      <c r="Z289" s="17">
        <v>0</v>
      </c>
      <c r="AC289" s="64">
        <f t="shared" si="105"/>
        <v>85.509512691809249</v>
      </c>
      <c r="AD289" s="25">
        <v>2</v>
      </c>
      <c r="AE289" s="71"/>
      <c r="AF289" s="71"/>
      <c r="AG289" s="71">
        <f t="shared" si="106"/>
        <v>101.01229126330007</v>
      </c>
      <c r="AH289" s="17">
        <v>3</v>
      </c>
      <c r="AK289" s="64">
        <f t="shared" si="107"/>
        <v>110.43726382077395</v>
      </c>
      <c r="AL289" s="17">
        <v>4</v>
      </c>
      <c r="AM289" s="71"/>
      <c r="AN289" s="71"/>
      <c r="AO289" s="71">
        <f t="shared" si="108"/>
        <v>111.97339782828605</v>
      </c>
      <c r="AP289" s="17">
        <v>2</v>
      </c>
      <c r="AQ289" s="71"/>
      <c r="AR289" s="71"/>
      <c r="AS289" s="71">
        <f t="shared" si="109"/>
        <v>99.909880620416757</v>
      </c>
      <c r="AT289" s="17">
        <v>2</v>
      </c>
      <c r="AU289" s="71"/>
      <c r="AV289" s="71"/>
      <c r="AW289" s="71">
        <f t="shared" si="110"/>
        <v>110.91338973410525</v>
      </c>
      <c r="AX289" s="17">
        <v>2</v>
      </c>
      <c r="AY289" s="71"/>
      <c r="AZ289" s="71"/>
      <c r="BA289" s="71">
        <f t="shared" si="111"/>
        <v>100.92776194547928</v>
      </c>
      <c r="BB289" s="84">
        <v>0</v>
      </c>
      <c r="BC289" s="84">
        <v>0</v>
      </c>
      <c r="BD289" s="84">
        <v>1</v>
      </c>
      <c r="BE289" s="84">
        <v>0</v>
      </c>
      <c r="BF289" s="84">
        <v>0</v>
      </c>
      <c r="BG289" s="84">
        <v>1</v>
      </c>
      <c r="BH289" s="45">
        <v>2</v>
      </c>
      <c r="BI289" s="71"/>
      <c r="BJ289" s="71"/>
      <c r="BK289" s="71">
        <f t="shared" si="112"/>
        <v>114.81520780975161</v>
      </c>
      <c r="BL289" s="17">
        <v>2</v>
      </c>
      <c r="BM289" s="71"/>
      <c r="BN289" s="71"/>
      <c r="BO289" s="71">
        <f t="shared" si="113"/>
        <v>101.95148996595998</v>
      </c>
      <c r="BP289" s="17">
        <v>2</v>
      </c>
      <c r="BQ289" s="71"/>
      <c r="BR289" s="71"/>
      <c r="BS289" s="138">
        <f t="shared" si="114"/>
        <v>113.86671101544545</v>
      </c>
      <c r="BT289" s="17">
        <v>2</v>
      </c>
      <c r="BU289" s="71"/>
      <c r="BV289" s="71"/>
      <c r="BW289" s="71">
        <f t="shared" si="115"/>
        <v>102.51956289746849</v>
      </c>
      <c r="BX289" s="84">
        <v>2</v>
      </c>
      <c r="BY289" s="17">
        <v>2</v>
      </c>
      <c r="BZ289" s="71"/>
      <c r="CA289" s="71"/>
      <c r="CB289" s="71">
        <f t="shared" si="116"/>
        <v>100.53207713448795</v>
      </c>
      <c r="CC289" s="17">
        <v>1</v>
      </c>
      <c r="CD289" s="71"/>
      <c r="CE289" s="71"/>
      <c r="CF289" s="71">
        <f t="shared" si="117"/>
        <v>91.015574519921572</v>
      </c>
      <c r="CG289" s="17">
        <v>1</v>
      </c>
      <c r="CH289" s="71"/>
      <c r="CI289" s="71"/>
      <c r="CJ289" s="138">
        <f t="shared" si="118"/>
        <v>103.93736139675698</v>
      </c>
      <c r="CK289" s="17">
        <v>3</v>
      </c>
      <c r="CL289" s="71"/>
      <c r="CM289" s="71"/>
      <c r="CN289" s="71">
        <f t="shared" si="119"/>
        <v>109.82624001207998</v>
      </c>
      <c r="CO289" s="93">
        <v>0</v>
      </c>
      <c r="CP289" s="98">
        <v>1</v>
      </c>
      <c r="CQ289" s="98">
        <v>1</v>
      </c>
      <c r="CR289" s="98">
        <v>0</v>
      </c>
      <c r="CS289" s="102">
        <f t="shared" si="120"/>
        <v>101.76893764895185</v>
      </c>
      <c r="CT289" s="102">
        <f t="shared" si="121"/>
        <v>7.9207013162174471</v>
      </c>
      <c r="CU289" s="102">
        <f t="shared" si="122"/>
        <v>7.7830244662075679E-2</v>
      </c>
      <c r="CV289" s="108">
        <f t="shared" si="123"/>
        <v>101.15246752761541</v>
      </c>
      <c r="CZ289" s="109" t="str">
        <f t="shared" si="124"/>
        <v>Medio-Alto</v>
      </c>
    </row>
    <row r="290" spans="1:104" x14ac:dyDescent="0.15">
      <c r="A290" s="84">
        <v>5</v>
      </c>
      <c r="B290" s="85">
        <v>2</v>
      </c>
      <c r="C290" s="84">
        <v>3</v>
      </c>
      <c r="D290" s="84">
        <v>0</v>
      </c>
      <c r="E290" s="88">
        <v>1</v>
      </c>
      <c r="F290" s="17">
        <v>2</v>
      </c>
      <c r="I290" s="64">
        <f t="shared" si="100"/>
        <v>109.85726154139888</v>
      </c>
      <c r="J290" s="17">
        <v>2</v>
      </c>
      <c r="M290" s="64">
        <f t="shared" si="101"/>
        <v>110.02144013573877</v>
      </c>
      <c r="N290" s="17">
        <v>2</v>
      </c>
      <c r="Q290" s="64">
        <f t="shared" si="102"/>
        <v>113.93405225485253</v>
      </c>
      <c r="R290" s="17">
        <v>3</v>
      </c>
      <c r="U290" s="64">
        <f t="shared" si="103"/>
        <v>111.09942135879838</v>
      </c>
      <c r="V290" s="17">
        <v>4</v>
      </c>
      <c r="Y290" s="114">
        <f t="shared" si="104"/>
        <v>110.77363490373656</v>
      </c>
      <c r="Z290" s="17">
        <v>2</v>
      </c>
      <c r="AC290" s="64">
        <f t="shared" si="105"/>
        <v>101.50550517487696</v>
      </c>
      <c r="AD290" s="25">
        <v>3</v>
      </c>
      <c r="AE290" s="71"/>
      <c r="AF290" s="71"/>
      <c r="AG290" s="71">
        <f t="shared" si="106"/>
        <v>109.20703006144345</v>
      </c>
      <c r="AH290" s="17">
        <v>3</v>
      </c>
      <c r="AK290" s="64">
        <f t="shared" si="107"/>
        <v>110.43726382077395</v>
      </c>
      <c r="AL290" s="17">
        <v>3</v>
      </c>
      <c r="AM290" s="71"/>
      <c r="AN290" s="71"/>
      <c r="AO290" s="71">
        <f t="shared" si="108"/>
        <v>100.85056924463234</v>
      </c>
      <c r="AP290" s="17">
        <v>3</v>
      </c>
      <c r="AQ290" s="71"/>
      <c r="AR290" s="71"/>
      <c r="AS290" s="71">
        <f t="shared" si="109"/>
        <v>110.12341030651692</v>
      </c>
      <c r="AT290" s="17">
        <v>0</v>
      </c>
      <c r="AU290" s="71"/>
      <c r="AV290" s="71"/>
      <c r="AW290" s="71">
        <f t="shared" si="110"/>
        <v>89.214252251088965</v>
      </c>
      <c r="AX290" s="17">
        <v>3</v>
      </c>
      <c r="AY290" s="71"/>
      <c r="AZ290" s="71"/>
      <c r="BA290" s="71">
        <f t="shared" si="111"/>
        <v>111.80497096144313</v>
      </c>
      <c r="BB290" s="84">
        <v>0</v>
      </c>
      <c r="BC290" s="84">
        <v>0</v>
      </c>
      <c r="BD290" s="84">
        <v>1</v>
      </c>
      <c r="BE290" s="84">
        <v>0</v>
      </c>
      <c r="BF290" s="84">
        <v>0</v>
      </c>
      <c r="BG290" s="84">
        <v>0</v>
      </c>
      <c r="BH290" s="45">
        <v>2</v>
      </c>
      <c r="BI290" s="71"/>
      <c r="BJ290" s="71"/>
      <c r="BK290" s="71">
        <f t="shared" si="112"/>
        <v>114.81520780975161</v>
      </c>
      <c r="BL290" s="17">
        <v>3</v>
      </c>
      <c r="BM290" s="71"/>
      <c r="BN290" s="71"/>
      <c r="BO290" s="71">
        <f t="shared" si="113"/>
        <v>111.29665318323313</v>
      </c>
      <c r="BP290" s="17">
        <v>1</v>
      </c>
      <c r="BQ290" s="71"/>
      <c r="BR290" s="71"/>
      <c r="BS290" s="138">
        <f t="shared" si="114"/>
        <v>100.16171091563201</v>
      </c>
      <c r="BT290" s="17">
        <v>3</v>
      </c>
      <c r="BU290" s="71"/>
      <c r="BV290" s="71"/>
      <c r="BW290" s="71">
        <f t="shared" si="115"/>
        <v>112.03791162123835</v>
      </c>
      <c r="BX290" s="84">
        <v>2</v>
      </c>
      <c r="BY290" s="17">
        <v>2</v>
      </c>
      <c r="BZ290" s="71"/>
      <c r="CA290" s="71"/>
      <c r="CB290" s="71">
        <f t="shared" si="116"/>
        <v>100.53207713448795</v>
      </c>
      <c r="CC290" s="17">
        <v>3</v>
      </c>
      <c r="CD290" s="71"/>
      <c r="CE290" s="71"/>
      <c r="CF290" s="71">
        <f t="shared" si="117"/>
        <v>109.36214907383548</v>
      </c>
      <c r="CG290" s="17">
        <v>1</v>
      </c>
      <c r="CH290" s="71"/>
      <c r="CI290" s="71"/>
      <c r="CJ290" s="138">
        <f t="shared" si="118"/>
        <v>103.93736139675698</v>
      </c>
      <c r="CK290" s="17">
        <v>3</v>
      </c>
      <c r="CL290" s="71"/>
      <c r="CM290" s="71"/>
      <c r="CN290" s="71">
        <f t="shared" si="119"/>
        <v>109.82624001207998</v>
      </c>
      <c r="CO290" s="93">
        <v>0</v>
      </c>
      <c r="CP290" s="98">
        <v>1</v>
      </c>
      <c r="CQ290" s="98">
        <v>1</v>
      </c>
      <c r="CR290" s="98">
        <v>0</v>
      </c>
      <c r="CS290" s="102">
        <f t="shared" si="120"/>
        <v>107.99561270271711</v>
      </c>
      <c r="CT290" s="102">
        <f t="shared" si="121"/>
        <v>6.4202603160681386</v>
      </c>
      <c r="CU290" s="102">
        <f t="shared" si="122"/>
        <v>5.9449269793407158E-2</v>
      </c>
      <c r="CV290" s="108">
        <f t="shared" si="123"/>
        <v>107.61393291504326</v>
      </c>
      <c r="CZ290" s="109" t="str">
        <f t="shared" si="124"/>
        <v>Alto</v>
      </c>
    </row>
    <row r="291" spans="1:104" x14ac:dyDescent="0.15">
      <c r="A291" s="84">
        <v>4</v>
      </c>
      <c r="B291" s="88">
        <v>1</v>
      </c>
      <c r="C291" s="84">
        <v>1</v>
      </c>
      <c r="D291" s="84">
        <v>0</v>
      </c>
      <c r="E291" s="88">
        <v>1</v>
      </c>
      <c r="F291" s="17">
        <v>2</v>
      </c>
      <c r="I291" s="64">
        <f t="shared" si="100"/>
        <v>109.85726154139888</v>
      </c>
      <c r="J291" s="17">
        <v>0</v>
      </c>
      <c r="M291" s="64">
        <f t="shared" si="101"/>
        <v>81.388754033628004</v>
      </c>
      <c r="N291" s="17">
        <v>1</v>
      </c>
      <c r="Q291" s="64">
        <f t="shared" si="102"/>
        <v>98.246708656674187</v>
      </c>
      <c r="R291" s="17">
        <v>2</v>
      </c>
      <c r="U291" s="64">
        <f t="shared" si="103"/>
        <v>101.34799174124942</v>
      </c>
      <c r="V291" s="17">
        <v>4</v>
      </c>
      <c r="Y291" s="114">
        <f t="shared" si="104"/>
        <v>110.77363490373656</v>
      </c>
      <c r="Z291" s="17">
        <v>3</v>
      </c>
      <c r="AC291" s="64">
        <f t="shared" si="105"/>
        <v>109.50350141641081</v>
      </c>
      <c r="AD291" s="25">
        <v>0</v>
      </c>
      <c r="AE291" s="71"/>
      <c r="AF291" s="71"/>
      <c r="AG291" s="71">
        <f t="shared" si="106"/>
        <v>84.62281366701329</v>
      </c>
      <c r="AH291" s="17">
        <v>3</v>
      </c>
      <c r="AK291" s="64">
        <f t="shared" si="107"/>
        <v>110.43726382077395</v>
      </c>
      <c r="AL291" s="17">
        <v>0</v>
      </c>
      <c r="AM291" s="71"/>
      <c r="AN291" s="71"/>
      <c r="AO291" s="71">
        <f t="shared" si="108"/>
        <v>67.482083493671226</v>
      </c>
      <c r="AP291" s="17">
        <v>2</v>
      </c>
      <c r="AQ291" s="71"/>
      <c r="AR291" s="71"/>
      <c r="AS291" s="71">
        <f t="shared" si="109"/>
        <v>99.909880620416757</v>
      </c>
      <c r="AT291" s="17">
        <v>2</v>
      </c>
      <c r="AU291" s="71"/>
      <c r="AV291" s="71"/>
      <c r="AW291" s="71">
        <f t="shared" si="110"/>
        <v>110.91338973410525</v>
      </c>
      <c r="AX291" s="17">
        <v>3</v>
      </c>
      <c r="AY291" s="71"/>
      <c r="AZ291" s="71"/>
      <c r="BA291" s="71">
        <f t="shared" si="111"/>
        <v>111.80497096144313</v>
      </c>
      <c r="BB291" s="84">
        <v>0</v>
      </c>
      <c r="BC291" s="84">
        <v>1</v>
      </c>
      <c r="BD291" s="84">
        <v>1</v>
      </c>
      <c r="BE291" s="84">
        <v>0</v>
      </c>
      <c r="BF291" s="84">
        <v>0</v>
      </c>
      <c r="BG291" s="84">
        <v>0</v>
      </c>
      <c r="BH291" s="45">
        <v>0</v>
      </c>
      <c r="BI291" s="71"/>
      <c r="BJ291" s="71"/>
      <c r="BK291" s="71">
        <f t="shared" si="112"/>
        <v>92.176238572378367</v>
      </c>
      <c r="BL291" s="17">
        <v>2</v>
      </c>
      <c r="BM291" s="71"/>
      <c r="BN291" s="71"/>
      <c r="BO291" s="71">
        <f t="shared" si="113"/>
        <v>101.95148996595998</v>
      </c>
      <c r="BP291" s="17">
        <v>1</v>
      </c>
      <c r="BQ291" s="71"/>
      <c r="BR291" s="71"/>
      <c r="BS291" s="138">
        <f t="shared" si="114"/>
        <v>100.16171091563201</v>
      </c>
      <c r="BT291" s="17">
        <v>2</v>
      </c>
      <c r="BU291" s="71"/>
      <c r="BV291" s="71"/>
      <c r="BW291" s="71">
        <f t="shared" si="115"/>
        <v>102.51956289746849</v>
      </c>
      <c r="BX291" s="84">
        <v>0</v>
      </c>
      <c r="BY291" s="17">
        <v>3</v>
      </c>
      <c r="BZ291" s="71"/>
      <c r="CA291" s="71"/>
      <c r="CB291" s="71">
        <f t="shared" si="116"/>
        <v>110.05345743585116</v>
      </c>
      <c r="CC291" s="17">
        <v>3</v>
      </c>
      <c r="CD291" s="71"/>
      <c r="CE291" s="71"/>
      <c r="CF291" s="71">
        <f t="shared" si="117"/>
        <v>109.36214907383548</v>
      </c>
      <c r="CG291" s="17">
        <v>1</v>
      </c>
      <c r="CH291" s="71"/>
      <c r="CI291" s="71"/>
      <c r="CJ291" s="138">
        <f t="shared" si="118"/>
        <v>103.93736139675698</v>
      </c>
      <c r="CK291" s="17">
        <v>1</v>
      </c>
      <c r="CL291" s="71"/>
      <c r="CM291" s="71"/>
      <c r="CN291" s="71">
        <f t="shared" si="119"/>
        <v>90.625541137900711</v>
      </c>
      <c r="CO291" s="93">
        <v>0</v>
      </c>
      <c r="CP291" s="98">
        <v>0</v>
      </c>
      <c r="CQ291" s="98">
        <v>1</v>
      </c>
      <c r="CR291" s="98">
        <v>0</v>
      </c>
      <c r="CS291" s="102">
        <f t="shared" si="120"/>
        <v>99.541356398245838</v>
      </c>
      <c r="CT291" s="102">
        <f t="shared" si="121"/>
        <v>12.610567382772256</v>
      </c>
      <c r="CU291" s="102">
        <f t="shared" si="122"/>
        <v>0.12668671433730316</v>
      </c>
      <c r="CV291" s="108">
        <f t="shared" si="123"/>
        <v>97.943765050593257</v>
      </c>
      <c r="CZ291" s="109" t="str">
        <f t="shared" si="124"/>
        <v>Medio-Basso</v>
      </c>
    </row>
    <row r="292" spans="1:104" x14ac:dyDescent="0.15">
      <c r="A292" s="90">
        <v>5</v>
      </c>
      <c r="B292" s="88">
        <v>1</v>
      </c>
      <c r="C292" s="90">
        <v>2</v>
      </c>
      <c r="D292" s="90">
        <v>0</v>
      </c>
      <c r="E292" s="88">
        <v>1</v>
      </c>
      <c r="F292" s="39">
        <v>2</v>
      </c>
      <c r="I292" s="64">
        <f t="shared" si="100"/>
        <v>109.85726154139888</v>
      </c>
      <c r="J292" s="39">
        <v>1</v>
      </c>
      <c r="M292" s="64">
        <f t="shared" si="101"/>
        <v>95.705097084683388</v>
      </c>
      <c r="N292" s="39">
        <v>2</v>
      </c>
      <c r="Q292" s="64">
        <f t="shared" si="102"/>
        <v>113.93405225485253</v>
      </c>
      <c r="R292" s="39">
        <v>3</v>
      </c>
      <c r="U292" s="64">
        <f t="shared" si="103"/>
        <v>111.09942135879838</v>
      </c>
      <c r="V292" s="39">
        <v>4</v>
      </c>
      <c r="Y292" s="114">
        <f t="shared" si="104"/>
        <v>110.77363490373656</v>
      </c>
      <c r="Z292" s="39">
        <v>3</v>
      </c>
      <c r="AC292" s="64">
        <f t="shared" si="105"/>
        <v>109.50350141641081</v>
      </c>
      <c r="AD292" s="40">
        <v>3</v>
      </c>
      <c r="AE292" s="71"/>
      <c r="AF292" s="71"/>
      <c r="AG292" s="71">
        <f t="shared" si="106"/>
        <v>109.20703006144345</v>
      </c>
      <c r="AH292" s="39">
        <v>2</v>
      </c>
      <c r="AK292" s="64">
        <f t="shared" si="107"/>
        <v>99.518280131348902</v>
      </c>
      <c r="AL292" s="39">
        <v>2</v>
      </c>
      <c r="AM292" s="71"/>
      <c r="AN292" s="71"/>
      <c r="AO292" s="71">
        <f t="shared" si="108"/>
        <v>89.72774066097864</v>
      </c>
      <c r="AP292" s="39">
        <v>3</v>
      </c>
      <c r="AQ292" s="71"/>
      <c r="AR292" s="71"/>
      <c r="AS292" s="71">
        <f t="shared" si="109"/>
        <v>110.12341030651692</v>
      </c>
      <c r="AT292" s="39">
        <v>2</v>
      </c>
      <c r="AU292" s="71"/>
      <c r="AV292" s="71"/>
      <c r="AW292" s="71">
        <f t="shared" si="110"/>
        <v>110.91338973410525</v>
      </c>
      <c r="AX292" s="39">
        <v>2</v>
      </c>
      <c r="AY292" s="71"/>
      <c r="AZ292" s="71"/>
      <c r="BA292" s="71">
        <f t="shared" si="111"/>
        <v>100.92776194547928</v>
      </c>
      <c r="BB292" s="90">
        <v>0</v>
      </c>
      <c r="BC292" s="90">
        <v>1</v>
      </c>
      <c r="BD292" s="90">
        <v>1</v>
      </c>
      <c r="BE292" s="90">
        <v>0</v>
      </c>
      <c r="BF292" s="90">
        <v>0</v>
      </c>
      <c r="BG292" s="90">
        <v>0</v>
      </c>
      <c r="BH292" s="45">
        <v>2</v>
      </c>
      <c r="BI292" s="71"/>
      <c r="BJ292" s="71"/>
      <c r="BK292" s="71">
        <f t="shared" si="112"/>
        <v>114.81520780975161</v>
      </c>
      <c r="BL292" s="39">
        <v>2</v>
      </c>
      <c r="BM292" s="71"/>
      <c r="BN292" s="71"/>
      <c r="BO292" s="71">
        <f t="shared" si="113"/>
        <v>101.95148996595998</v>
      </c>
      <c r="BP292" s="39">
        <v>2</v>
      </c>
      <c r="BQ292" s="71"/>
      <c r="BR292" s="71"/>
      <c r="BS292" s="138">
        <f t="shared" si="114"/>
        <v>113.86671101544545</v>
      </c>
      <c r="BT292" s="39">
        <v>3</v>
      </c>
      <c r="BU292" s="71"/>
      <c r="BV292" s="71"/>
      <c r="BW292" s="71">
        <f t="shared" si="115"/>
        <v>112.03791162123835</v>
      </c>
      <c r="BX292" s="90">
        <v>2</v>
      </c>
      <c r="BY292" s="39">
        <v>2</v>
      </c>
      <c r="BZ292" s="71"/>
      <c r="CA292" s="71"/>
      <c r="CB292" s="71">
        <f t="shared" si="116"/>
        <v>100.53207713448795</v>
      </c>
      <c r="CC292" s="39">
        <v>3</v>
      </c>
      <c r="CD292" s="71"/>
      <c r="CE292" s="71"/>
      <c r="CF292" s="71">
        <f t="shared" si="117"/>
        <v>109.36214907383548</v>
      </c>
      <c r="CG292" s="39">
        <v>1</v>
      </c>
      <c r="CH292" s="71"/>
      <c r="CI292" s="71"/>
      <c r="CJ292" s="138">
        <f t="shared" si="118"/>
        <v>103.93736139675698</v>
      </c>
      <c r="CK292" s="39">
        <v>3</v>
      </c>
      <c r="CL292" s="71"/>
      <c r="CM292" s="71"/>
      <c r="CN292" s="71">
        <f t="shared" si="119"/>
        <v>109.82624001207998</v>
      </c>
      <c r="CO292" s="99">
        <v>1</v>
      </c>
      <c r="CP292" s="100">
        <v>1</v>
      </c>
      <c r="CQ292" s="100">
        <v>0</v>
      </c>
      <c r="CR292" s="100">
        <v>0</v>
      </c>
      <c r="CS292" s="102">
        <f t="shared" si="120"/>
        <v>106.41423659490411</v>
      </c>
      <c r="CT292" s="102">
        <f t="shared" si="121"/>
        <v>7.0246305141607932</v>
      </c>
      <c r="CU292" s="102">
        <f t="shared" si="122"/>
        <v>6.6012130885287804E-2</v>
      </c>
      <c r="CV292" s="108">
        <f t="shared" si="123"/>
        <v>105.95052576598255</v>
      </c>
      <c r="CZ292" s="109" t="str">
        <f t="shared" si="124"/>
        <v>Alto</v>
      </c>
    </row>
    <row r="293" spans="1:104" x14ac:dyDescent="0.15">
      <c r="A293" s="84">
        <v>2</v>
      </c>
      <c r="B293" s="84">
        <v>2</v>
      </c>
      <c r="C293" s="84">
        <v>1</v>
      </c>
      <c r="D293" s="84">
        <v>2</v>
      </c>
      <c r="E293" s="84">
        <v>1</v>
      </c>
      <c r="F293" s="17">
        <v>1</v>
      </c>
      <c r="I293" s="64">
        <f t="shared" si="100"/>
        <v>93.428492305734082</v>
      </c>
      <c r="J293" s="17">
        <v>2</v>
      </c>
      <c r="M293" s="64">
        <f t="shared" si="101"/>
        <v>110.02144013573877</v>
      </c>
      <c r="N293" s="17">
        <v>0</v>
      </c>
      <c r="Q293" s="64">
        <f t="shared" si="102"/>
        <v>82.559365058495843</v>
      </c>
      <c r="R293" s="17">
        <v>0</v>
      </c>
      <c r="U293" s="64">
        <f t="shared" si="103"/>
        <v>81.845132506151486</v>
      </c>
      <c r="V293" s="17">
        <v>2</v>
      </c>
      <c r="Y293" s="114">
        <f t="shared" si="104"/>
        <v>97.875621286587162</v>
      </c>
      <c r="Z293" s="17">
        <v>0</v>
      </c>
      <c r="AC293" s="64">
        <f t="shared" si="105"/>
        <v>85.509512691809249</v>
      </c>
      <c r="AD293" s="25">
        <v>2</v>
      </c>
      <c r="AE293" s="71"/>
      <c r="AF293" s="71"/>
      <c r="AG293" s="71">
        <f t="shared" si="106"/>
        <v>101.01229126330007</v>
      </c>
      <c r="AH293" s="17">
        <v>0</v>
      </c>
      <c r="AK293" s="64">
        <f t="shared" si="107"/>
        <v>77.680312752498807</v>
      </c>
      <c r="AL293" s="17">
        <v>3</v>
      </c>
      <c r="AM293" s="71"/>
      <c r="AN293" s="71"/>
      <c r="AO293" s="71">
        <f t="shared" si="108"/>
        <v>100.85056924463234</v>
      </c>
      <c r="AP293" s="17">
        <v>2</v>
      </c>
      <c r="AQ293" s="71"/>
      <c r="AR293" s="71"/>
      <c r="AS293" s="71">
        <f t="shared" si="109"/>
        <v>99.909880620416757</v>
      </c>
      <c r="AT293" s="17">
        <v>0</v>
      </c>
      <c r="AU293" s="71"/>
      <c r="AV293" s="71"/>
      <c r="AW293" s="71">
        <f t="shared" si="110"/>
        <v>89.214252251088965</v>
      </c>
      <c r="AX293" s="17">
        <v>2</v>
      </c>
      <c r="AY293" s="71"/>
      <c r="AZ293" s="71"/>
      <c r="BA293" s="71">
        <f t="shared" si="111"/>
        <v>100.92776194547928</v>
      </c>
      <c r="BB293" s="84">
        <v>1</v>
      </c>
      <c r="BC293" s="84">
        <v>0</v>
      </c>
      <c r="BD293" s="84">
        <v>1</v>
      </c>
      <c r="BE293" s="84">
        <v>0</v>
      </c>
      <c r="BF293" s="84">
        <v>0</v>
      </c>
      <c r="BG293" s="84">
        <v>0</v>
      </c>
      <c r="BH293" s="45">
        <v>0</v>
      </c>
      <c r="BI293" s="71"/>
      <c r="BJ293" s="71"/>
      <c r="BK293" s="71">
        <f t="shared" si="112"/>
        <v>92.176238572378367</v>
      </c>
      <c r="BL293" s="17">
        <v>0</v>
      </c>
      <c r="BM293" s="71"/>
      <c r="BN293" s="71"/>
      <c r="BO293" s="71">
        <f t="shared" si="113"/>
        <v>83.261163531413686</v>
      </c>
      <c r="BP293" s="17">
        <v>0</v>
      </c>
      <c r="BQ293" s="71"/>
      <c r="BR293" s="71"/>
      <c r="BS293" s="138">
        <f t="shared" si="114"/>
        <v>86.456710815818582</v>
      </c>
      <c r="BT293" s="17">
        <v>0</v>
      </c>
      <c r="BU293" s="71"/>
      <c r="BV293" s="71"/>
      <c r="BW293" s="71">
        <f t="shared" si="115"/>
        <v>83.482865449928767</v>
      </c>
      <c r="BX293" s="84">
        <v>2</v>
      </c>
      <c r="BY293" s="17">
        <v>0</v>
      </c>
      <c r="BZ293" s="71"/>
      <c r="CA293" s="71"/>
      <c r="CB293" s="71">
        <f t="shared" si="116"/>
        <v>81.489316531761531</v>
      </c>
      <c r="CC293" s="17">
        <v>0</v>
      </c>
      <c r="CD293" s="71"/>
      <c r="CE293" s="71"/>
      <c r="CF293" s="71">
        <f t="shared" si="117"/>
        <v>81.842287242964616</v>
      </c>
      <c r="CG293" s="17">
        <v>0</v>
      </c>
      <c r="CH293" s="71"/>
      <c r="CI293" s="71"/>
      <c r="CJ293" s="138">
        <f t="shared" si="118"/>
        <v>89.226340793489143</v>
      </c>
      <c r="CK293" s="17">
        <v>0</v>
      </c>
      <c r="CL293" s="71"/>
      <c r="CM293" s="71"/>
      <c r="CN293" s="71">
        <f t="shared" si="119"/>
        <v>81.025191700811078</v>
      </c>
      <c r="CO293" s="93">
        <v>0</v>
      </c>
      <c r="CP293" s="98">
        <v>0</v>
      </c>
      <c r="CQ293" s="98">
        <v>0</v>
      </c>
      <c r="CR293" s="98">
        <v>1</v>
      </c>
      <c r="CS293" s="102">
        <f t="shared" si="120"/>
        <v>89.778592576741403</v>
      </c>
      <c r="CT293" s="102">
        <f t="shared" si="121"/>
        <v>9.6013542034334467</v>
      </c>
      <c r="CU293" s="102">
        <f t="shared" si="122"/>
        <v>0.10694480641614372</v>
      </c>
      <c r="CV293" s="108">
        <f t="shared" si="123"/>
        <v>88.751777610122389</v>
      </c>
      <c r="CZ293" s="109" t="str">
        <f t="shared" si="124"/>
        <v>Basso</v>
      </c>
    </row>
    <row r="294" spans="1:104" x14ac:dyDescent="0.15">
      <c r="A294" s="84">
        <v>2</v>
      </c>
      <c r="B294" s="84">
        <v>2</v>
      </c>
      <c r="C294" s="84">
        <v>2</v>
      </c>
      <c r="D294" s="84">
        <v>2</v>
      </c>
      <c r="E294" s="84">
        <v>1</v>
      </c>
      <c r="F294" s="17">
        <v>2</v>
      </c>
      <c r="I294" s="64">
        <f t="shared" si="100"/>
        <v>109.85726154139888</v>
      </c>
      <c r="J294" s="17">
        <v>1</v>
      </c>
      <c r="M294" s="64">
        <f t="shared" si="101"/>
        <v>95.705097084683388</v>
      </c>
      <c r="N294" s="17">
        <v>1</v>
      </c>
      <c r="Q294" s="64">
        <f t="shared" si="102"/>
        <v>98.246708656674187</v>
      </c>
      <c r="R294" s="17">
        <v>1</v>
      </c>
      <c r="U294" s="64">
        <f t="shared" si="103"/>
        <v>91.596562123700451</v>
      </c>
      <c r="V294" s="17">
        <v>2</v>
      </c>
      <c r="Y294" s="114">
        <f t="shared" si="104"/>
        <v>97.875621286587162</v>
      </c>
      <c r="Z294" s="17">
        <v>0</v>
      </c>
      <c r="AC294" s="64">
        <f t="shared" si="105"/>
        <v>85.509512691809249</v>
      </c>
      <c r="AD294" s="25">
        <v>0</v>
      </c>
      <c r="AE294" s="71"/>
      <c r="AF294" s="71"/>
      <c r="AG294" s="71">
        <f t="shared" si="106"/>
        <v>84.62281366701329</v>
      </c>
      <c r="AH294" s="17">
        <v>3</v>
      </c>
      <c r="AK294" s="64">
        <f t="shared" si="107"/>
        <v>110.43726382077395</v>
      </c>
      <c r="AL294" s="17">
        <v>0</v>
      </c>
      <c r="AM294" s="71"/>
      <c r="AN294" s="71"/>
      <c r="AO294" s="71">
        <f t="shared" si="108"/>
        <v>67.482083493671226</v>
      </c>
      <c r="AP294" s="17">
        <v>2</v>
      </c>
      <c r="AQ294" s="71"/>
      <c r="AR294" s="71"/>
      <c r="AS294" s="71">
        <f t="shared" si="109"/>
        <v>99.909880620416757</v>
      </c>
      <c r="AT294" s="17">
        <v>2</v>
      </c>
      <c r="AU294" s="71"/>
      <c r="AV294" s="71"/>
      <c r="AW294" s="71">
        <f t="shared" si="110"/>
        <v>110.91338973410525</v>
      </c>
      <c r="AX294" s="17">
        <v>1</v>
      </c>
      <c r="AY294" s="71"/>
      <c r="AZ294" s="71"/>
      <c r="BA294" s="71">
        <f t="shared" si="111"/>
        <v>90.050552929515405</v>
      </c>
      <c r="BB294" s="84">
        <v>1</v>
      </c>
      <c r="BC294" s="84">
        <v>0</v>
      </c>
      <c r="BD294" s="84">
        <v>1</v>
      </c>
      <c r="BE294" s="84">
        <v>0</v>
      </c>
      <c r="BF294" s="84">
        <v>0</v>
      </c>
      <c r="BG294" s="84">
        <v>0</v>
      </c>
      <c r="BH294" s="45">
        <v>1</v>
      </c>
      <c r="BI294" s="71"/>
      <c r="BJ294" s="71"/>
      <c r="BK294" s="71">
        <f t="shared" si="112"/>
        <v>103.49572319106498</v>
      </c>
      <c r="BL294" s="17">
        <v>1</v>
      </c>
      <c r="BM294" s="71"/>
      <c r="BN294" s="71"/>
      <c r="BO294" s="71">
        <f t="shared" si="113"/>
        <v>92.606326748686826</v>
      </c>
      <c r="BP294" s="17">
        <v>1</v>
      </c>
      <c r="BQ294" s="71"/>
      <c r="BR294" s="71"/>
      <c r="BS294" s="138">
        <f t="shared" si="114"/>
        <v>100.16171091563201</v>
      </c>
      <c r="BT294" s="17">
        <v>2</v>
      </c>
      <c r="BU294" s="71"/>
      <c r="BV294" s="71"/>
      <c r="BW294" s="71">
        <f t="shared" si="115"/>
        <v>102.51956289746849</v>
      </c>
      <c r="BX294" s="84">
        <v>2</v>
      </c>
      <c r="BY294" s="17">
        <v>0</v>
      </c>
      <c r="BZ294" s="71"/>
      <c r="CA294" s="71"/>
      <c r="CB294" s="71">
        <f t="shared" si="116"/>
        <v>81.489316531761531</v>
      </c>
      <c r="CC294" s="17">
        <v>3</v>
      </c>
      <c r="CD294" s="71"/>
      <c r="CE294" s="71"/>
      <c r="CF294" s="71">
        <f t="shared" si="117"/>
        <v>109.36214907383548</v>
      </c>
      <c r="CG294" s="17">
        <v>1</v>
      </c>
      <c r="CH294" s="71"/>
      <c r="CI294" s="71"/>
      <c r="CJ294" s="138">
        <f t="shared" si="118"/>
        <v>103.93736139675698</v>
      </c>
      <c r="CK294" s="17">
        <v>0</v>
      </c>
      <c r="CL294" s="71"/>
      <c r="CM294" s="71"/>
      <c r="CN294" s="71">
        <f t="shared" si="119"/>
        <v>81.025191700811078</v>
      </c>
      <c r="CO294" s="93">
        <v>1</v>
      </c>
      <c r="CP294" s="98">
        <v>1</v>
      </c>
      <c r="CQ294" s="98">
        <v>0</v>
      </c>
      <c r="CR294" s="98">
        <v>0</v>
      </c>
      <c r="CS294" s="102">
        <f t="shared" si="120"/>
        <v>94.989964500434724</v>
      </c>
      <c r="CT294" s="102">
        <f t="shared" si="121"/>
        <v>12.392170571154304</v>
      </c>
      <c r="CU294" s="102">
        <f t="shared" si="122"/>
        <v>0.13045768188593851</v>
      </c>
      <c r="CV294" s="108">
        <f t="shared" si="123"/>
        <v>93.373310654186781</v>
      </c>
      <c r="CZ294" s="109" t="str">
        <f t="shared" si="124"/>
        <v>Basso</v>
      </c>
    </row>
    <row r="295" spans="1:104" x14ac:dyDescent="0.15">
      <c r="A295" s="84">
        <v>4</v>
      </c>
      <c r="B295" s="84">
        <v>1</v>
      </c>
      <c r="C295" s="84">
        <v>2</v>
      </c>
      <c r="D295" s="84">
        <v>0</v>
      </c>
      <c r="E295" s="84">
        <v>1</v>
      </c>
      <c r="F295" s="17">
        <v>1</v>
      </c>
      <c r="I295" s="64">
        <f t="shared" si="100"/>
        <v>93.428492305734082</v>
      </c>
      <c r="J295" s="17">
        <v>1</v>
      </c>
      <c r="M295" s="64">
        <f t="shared" si="101"/>
        <v>95.705097084683388</v>
      </c>
      <c r="N295" s="17">
        <v>1</v>
      </c>
      <c r="Q295" s="64">
        <f t="shared" si="102"/>
        <v>98.246708656674187</v>
      </c>
      <c r="R295" s="17">
        <v>1</v>
      </c>
      <c r="U295" s="64">
        <f t="shared" si="103"/>
        <v>91.596562123700451</v>
      </c>
      <c r="V295" s="17">
        <v>4</v>
      </c>
      <c r="Y295" s="114">
        <f t="shared" si="104"/>
        <v>110.77363490373656</v>
      </c>
      <c r="Z295" s="17">
        <v>3</v>
      </c>
      <c r="AC295" s="64">
        <f t="shared" si="105"/>
        <v>109.50350141641081</v>
      </c>
      <c r="AD295" s="25">
        <v>2</v>
      </c>
      <c r="AE295" s="71"/>
      <c r="AF295" s="71"/>
      <c r="AG295" s="71">
        <f t="shared" si="106"/>
        <v>101.01229126330007</v>
      </c>
      <c r="AH295" s="17">
        <v>3</v>
      </c>
      <c r="AK295" s="64">
        <f t="shared" si="107"/>
        <v>110.43726382077395</v>
      </c>
      <c r="AL295" s="17">
        <v>4</v>
      </c>
      <c r="AM295" s="71"/>
      <c r="AN295" s="71"/>
      <c r="AO295" s="71">
        <f t="shared" si="108"/>
        <v>111.97339782828605</v>
      </c>
      <c r="AP295" s="17">
        <v>2</v>
      </c>
      <c r="AQ295" s="71"/>
      <c r="AR295" s="71"/>
      <c r="AS295" s="71">
        <f t="shared" si="109"/>
        <v>99.909880620416757</v>
      </c>
      <c r="AT295" s="17">
        <v>2</v>
      </c>
      <c r="AU295" s="71"/>
      <c r="AV295" s="71"/>
      <c r="AW295" s="71">
        <f t="shared" si="110"/>
        <v>110.91338973410525</v>
      </c>
      <c r="AX295" s="17">
        <v>3</v>
      </c>
      <c r="AY295" s="71"/>
      <c r="AZ295" s="71"/>
      <c r="BA295" s="71">
        <f t="shared" si="111"/>
        <v>111.80497096144313</v>
      </c>
      <c r="BB295" s="84">
        <v>1</v>
      </c>
      <c r="BC295" s="84">
        <v>0</v>
      </c>
      <c r="BD295" s="84">
        <v>1</v>
      </c>
      <c r="BE295" s="84">
        <v>0</v>
      </c>
      <c r="BF295" s="84">
        <v>0</v>
      </c>
      <c r="BG295" s="84">
        <v>0</v>
      </c>
      <c r="BH295" s="45">
        <v>0</v>
      </c>
      <c r="BI295" s="71"/>
      <c r="BJ295" s="71"/>
      <c r="BK295" s="71">
        <f t="shared" si="112"/>
        <v>92.176238572378367</v>
      </c>
      <c r="BL295" s="17">
        <v>3</v>
      </c>
      <c r="BM295" s="71"/>
      <c r="BN295" s="71"/>
      <c r="BO295" s="71">
        <f t="shared" si="113"/>
        <v>111.29665318323313</v>
      </c>
      <c r="BP295" s="17">
        <v>2</v>
      </c>
      <c r="BQ295" s="71"/>
      <c r="BR295" s="71"/>
      <c r="BS295" s="138">
        <f t="shared" si="114"/>
        <v>113.86671101544545</v>
      </c>
      <c r="BT295" s="17">
        <v>2</v>
      </c>
      <c r="BU295" s="71"/>
      <c r="BV295" s="71"/>
      <c r="BW295" s="71">
        <f t="shared" si="115"/>
        <v>102.51956289746849</v>
      </c>
      <c r="BX295" s="84">
        <v>2</v>
      </c>
      <c r="BY295" s="17">
        <v>3</v>
      </c>
      <c r="BZ295" s="71"/>
      <c r="CA295" s="71"/>
      <c r="CB295" s="71">
        <f t="shared" si="116"/>
        <v>110.05345743585116</v>
      </c>
      <c r="CC295" s="17">
        <v>3</v>
      </c>
      <c r="CD295" s="71"/>
      <c r="CE295" s="71"/>
      <c r="CF295" s="71">
        <f t="shared" si="117"/>
        <v>109.36214907383548</v>
      </c>
      <c r="CG295" s="17">
        <v>1</v>
      </c>
      <c r="CH295" s="71"/>
      <c r="CI295" s="71"/>
      <c r="CJ295" s="138">
        <f t="shared" si="118"/>
        <v>103.93736139675698</v>
      </c>
      <c r="CK295" s="17">
        <v>3</v>
      </c>
      <c r="CL295" s="71"/>
      <c r="CM295" s="71"/>
      <c r="CN295" s="71">
        <f t="shared" si="119"/>
        <v>109.82624001207998</v>
      </c>
      <c r="CO295" s="93">
        <v>1</v>
      </c>
      <c r="CP295" s="98">
        <v>1</v>
      </c>
      <c r="CQ295" s="98">
        <v>0</v>
      </c>
      <c r="CR295" s="98">
        <v>0</v>
      </c>
      <c r="CS295" s="102">
        <f t="shared" si="120"/>
        <v>104.10387394061027</v>
      </c>
      <c r="CT295" s="102">
        <f t="shared" si="121"/>
        <v>7.6304104129587218</v>
      </c>
      <c r="CU295" s="102">
        <f t="shared" si="122"/>
        <v>7.3296123613149675E-2</v>
      </c>
      <c r="CV295" s="108">
        <f t="shared" si="123"/>
        <v>103.54459443576299</v>
      </c>
      <c r="CZ295" s="109" t="str">
        <f t="shared" si="124"/>
        <v>Medio-Alto</v>
      </c>
    </row>
    <row r="296" spans="1:104" x14ac:dyDescent="0.15">
      <c r="A296" s="90">
        <v>4</v>
      </c>
      <c r="B296" s="90">
        <v>2</v>
      </c>
      <c r="C296" s="90">
        <v>1</v>
      </c>
      <c r="D296" s="90">
        <v>0</v>
      </c>
      <c r="E296" s="90">
        <v>1</v>
      </c>
      <c r="F296" s="39">
        <v>0</v>
      </c>
      <c r="I296" s="64">
        <f t="shared" si="100"/>
        <v>76.99972307006928</v>
      </c>
      <c r="J296" s="39">
        <v>2</v>
      </c>
      <c r="M296" s="64">
        <f t="shared" si="101"/>
        <v>110.02144013573877</v>
      </c>
      <c r="N296" s="39">
        <v>2</v>
      </c>
      <c r="Q296" s="64">
        <f t="shared" si="102"/>
        <v>113.93405225485253</v>
      </c>
      <c r="R296" s="39">
        <v>3</v>
      </c>
      <c r="U296" s="64">
        <f t="shared" si="103"/>
        <v>111.09942135879838</v>
      </c>
      <c r="V296" s="39">
        <v>2</v>
      </c>
      <c r="Y296" s="114">
        <f t="shared" si="104"/>
        <v>97.875621286587162</v>
      </c>
      <c r="Z296" s="39">
        <v>3</v>
      </c>
      <c r="AC296" s="64">
        <f t="shared" si="105"/>
        <v>109.50350141641081</v>
      </c>
      <c r="AD296" s="40">
        <v>3</v>
      </c>
      <c r="AE296" s="71"/>
      <c r="AF296" s="71"/>
      <c r="AG296" s="71">
        <f t="shared" si="106"/>
        <v>109.20703006144345</v>
      </c>
      <c r="AH296" s="39">
        <v>3</v>
      </c>
      <c r="AK296" s="64">
        <f t="shared" si="107"/>
        <v>110.43726382077395</v>
      </c>
      <c r="AL296" s="39">
        <v>3</v>
      </c>
      <c r="AM296" s="71"/>
      <c r="AN296" s="71"/>
      <c r="AO296" s="71">
        <f t="shared" si="108"/>
        <v>100.85056924463234</v>
      </c>
      <c r="AP296" s="39">
        <v>3</v>
      </c>
      <c r="AQ296" s="71"/>
      <c r="AR296" s="71"/>
      <c r="AS296" s="71">
        <f t="shared" si="109"/>
        <v>110.12341030651692</v>
      </c>
      <c r="AT296" s="39">
        <v>0</v>
      </c>
      <c r="AU296" s="71"/>
      <c r="AV296" s="71"/>
      <c r="AW296" s="71">
        <f t="shared" si="110"/>
        <v>89.214252251088965</v>
      </c>
      <c r="AX296" s="39">
        <v>3</v>
      </c>
      <c r="AY296" s="71"/>
      <c r="AZ296" s="71"/>
      <c r="BA296" s="71">
        <f t="shared" si="111"/>
        <v>111.80497096144313</v>
      </c>
      <c r="BB296" s="90">
        <v>1</v>
      </c>
      <c r="BC296" s="90">
        <v>1</v>
      </c>
      <c r="BD296" s="90">
        <v>0</v>
      </c>
      <c r="BE296" s="90">
        <v>0</v>
      </c>
      <c r="BF296" s="90">
        <v>0</v>
      </c>
      <c r="BG296" s="90">
        <v>0</v>
      </c>
      <c r="BH296" s="45">
        <v>0</v>
      </c>
      <c r="BI296" s="71"/>
      <c r="BJ296" s="71"/>
      <c r="BK296" s="71">
        <f t="shared" si="112"/>
        <v>92.176238572378367</v>
      </c>
      <c r="BL296" s="39">
        <v>3</v>
      </c>
      <c r="BM296" s="71"/>
      <c r="BN296" s="71"/>
      <c r="BO296" s="71">
        <f t="shared" si="113"/>
        <v>111.29665318323313</v>
      </c>
      <c r="BP296" s="39">
        <v>0</v>
      </c>
      <c r="BQ296" s="71"/>
      <c r="BR296" s="71"/>
      <c r="BS296" s="138">
        <f t="shared" si="114"/>
        <v>86.456710815818582</v>
      </c>
      <c r="BT296" s="39">
        <v>1</v>
      </c>
      <c r="BU296" s="71"/>
      <c r="BV296" s="71"/>
      <c r="BW296" s="71">
        <f t="shared" si="115"/>
        <v>93.001214173698628</v>
      </c>
      <c r="BX296" s="90">
        <v>1</v>
      </c>
      <c r="BY296" s="39">
        <v>2</v>
      </c>
      <c r="BZ296" s="71"/>
      <c r="CA296" s="71"/>
      <c r="CB296" s="71">
        <f t="shared" si="116"/>
        <v>100.53207713448795</v>
      </c>
      <c r="CC296" s="39">
        <v>1</v>
      </c>
      <c r="CD296" s="71"/>
      <c r="CE296" s="71"/>
      <c r="CF296" s="71">
        <f t="shared" si="117"/>
        <v>91.015574519921572</v>
      </c>
      <c r="CG296" s="39">
        <v>1</v>
      </c>
      <c r="CH296" s="71"/>
      <c r="CI296" s="71"/>
      <c r="CJ296" s="138">
        <f t="shared" si="118"/>
        <v>103.93736139675698</v>
      </c>
      <c r="CK296" s="39">
        <v>1</v>
      </c>
      <c r="CL296" s="71"/>
      <c r="CM296" s="71"/>
      <c r="CN296" s="71">
        <f t="shared" si="119"/>
        <v>90.625541137900711</v>
      </c>
      <c r="CO296" s="99">
        <v>1</v>
      </c>
      <c r="CP296" s="100">
        <v>0</v>
      </c>
      <c r="CQ296" s="100">
        <v>0</v>
      </c>
      <c r="CR296" s="100">
        <v>0</v>
      </c>
      <c r="CS296" s="102">
        <f t="shared" si="120"/>
        <v>101.87311374137582</v>
      </c>
      <c r="CT296" s="102">
        <f t="shared" si="121"/>
        <v>11.002166413822552</v>
      </c>
      <c r="CU296" s="102">
        <f t="shared" si="122"/>
        <v>0.10799872517643501</v>
      </c>
      <c r="CV296" s="108">
        <f t="shared" si="123"/>
        <v>100.68489379450399</v>
      </c>
      <c r="CZ296" s="109" t="str">
        <f t="shared" si="124"/>
        <v>Medio-Alto</v>
      </c>
    </row>
    <row r="297" spans="1:104" x14ac:dyDescent="0.15">
      <c r="A297" s="17">
        <v>1</v>
      </c>
      <c r="B297" s="17">
        <v>2</v>
      </c>
      <c r="F297" s="17">
        <v>1</v>
      </c>
      <c r="I297" s="64">
        <f t="shared" si="100"/>
        <v>93.428492305734082</v>
      </c>
      <c r="J297" s="17">
        <v>0</v>
      </c>
      <c r="M297" s="64">
        <f t="shared" si="101"/>
        <v>81.388754033628004</v>
      </c>
      <c r="N297" s="17">
        <v>0</v>
      </c>
      <c r="Q297" s="64">
        <f t="shared" si="102"/>
        <v>82.559365058495843</v>
      </c>
      <c r="R297" s="17">
        <v>0</v>
      </c>
      <c r="U297" s="64">
        <f t="shared" si="103"/>
        <v>81.845132506151486</v>
      </c>
      <c r="V297" s="39">
        <v>5</v>
      </c>
      <c r="Y297" s="114">
        <f t="shared" si="104"/>
        <v>117.22264171231127</v>
      </c>
      <c r="Z297" s="17">
        <v>0</v>
      </c>
      <c r="AC297" s="64">
        <f t="shared" si="105"/>
        <v>85.509512691809249</v>
      </c>
      <c r="AD297" s="25">
        <v>0</v>
      </c>
      <c r="AE297" s="71"/>
      <c r="AF297" s="71"/>
      <c r="AG297" s="71">
        <f t="shared" si="106"/>
        <v>84.62281366701329</v>
      </c>
      <c r="AH297" s="17">
        <v>0</v>
      </c>
      <c r="AK297" s="64">
        <f t="shared" si="107"/>
        <v>77.680312752498807</v>
      </c>
      <c r="AL297" s="39">
        <v>3</v>
      </c>
      <c r="AM297" s="71"/>
      <c r="AN297" s="71"/>
      <c r="AO297" s="71">
        <f t="shared" si="108"/>
        <v>100.85056924463234</v>
      </c>
      <c r="AP297" s="17">
        <v>0</v>
      </c>
      <c r="AQ297" s="71"/>
      <c r="AR297" s="71"/>
      <c r="AS297" s="71">
        <f t="shared" si="109"/>
        <v>79.482821248216453</v>
      </c>
      <c r="AT297" s="17">
        <v>0</v>
      </c>
      <c r="AU297" s="71"/>
      <c r="AV297" s="71"/>
      <c r="AW297" s="71">
        <f t="shared" si="110"/>
        <v>89.214252251088965</v>
      </c>
      <c r="AX297" s="39">
        <v>0</v>
      </c>
      <c r="AY297" s="71"/>
      <c r="AZ297" s="71"/>
      <c r="BA297" s="71">
        <f t="shared" si="111"/>
        <v>79.173343913551548</v>
      </c>
      <c r="BH297" s="17">
        <v>0</v>
      </c>
      <c r="BI297" s="71"/>
      <c r="BJ297" s="71"/>
      <c r="BK297" s="71">
        <f t="shared" si="112"/>
        <v>92.176238572378367</v>
      </c>
      <c r="BL297" s="17">
        <v>0</v>
      </c>
      <c r="BM297" s="71"/>
      <c r="BN297" s="71"/>
      <c r="BO297" s="71">
        <f t="shared" si="113"/>
        <v>83.261163531413686</v>
      </c>
      <c r="BP297" s="17">
        <v>0</v>
      </c>
      <c r="BQ297" s="71"/>
      <c r="BR297" s="71"/>
      <c r="BS297" s="138">
        <f t="shared" si="114"/>
        <v>86.456710815818582</v>
      </c>
      <c r="BT297" s="17">
        <v>0</v>
      </c>
      <c r="BU297" s="71"/>
      <c r="BV297" s="71"/>
      <c r="BW297" s="71">
        <f t="shared" si="115"/>
        <v>83.482865449928767</v>
      </c>
      <c r="BY297" s="17">
        <v>0</v>
      </c>
      <c r="BZ297" s="71"/>
      <c r="CA297" s="71"/>
      <c r="CB297" s="71">
        <f t="shared" si="116"/>
        <v>81.489316531761531</v>
      </c>
      <c r="CC297" s="39">
        <v>0</v>
      </c>
      <c r="CD297" s="71"/>
      <c r="CE297" s="71"/>
      <c r="CF297" s="71">
        <f t="shared" si="117"/>
        <v>81.842287242964616</v>
      </c>
      <c r="CG297" s="17">
        <v>0</v>
      </c>
      <c r="CH297" s="71"/>
      <c r="CI297" s="71"/>
      <c r="CJ297" s="138">
        <f t="shared" si="118"/>
        <v>89.226340793489143</v>
      </c>
      <c r="CK297" s="39">
        <v>2</v>
      </c>
      <c r="CL297" s="71"/>
      <c r="CM297" s="71"/>
      <c r="CN297" s="71">
        <f t="shared" si="119"/>
        <v>100.22589057499034</v>
      </c>
      <c r="CS297" s="102">
        <f t="shared" si="120"/>
        <v>85.778419504485726</v>
      </c>
      <c r="CT297" s="102">
        <f t="shared" si="121"/>
        <v>7.0178625919822366</v>
      </c>
      <c r="CZ297" s="109" t="str">
        <f t="shared" si="124"/>
        <v>Basso</v>
      </c>
    </row>
    <row r="298" spans="1:104" x14ac:dyDescent="0.15">
      <c r="A298" s="17">
        <v>2</v>
      </c>
      <c r="B298" s="17">
        <v>1</v>
      </c>
      <c r="F298" s="17">
        <v>1</v>
      </c>
      <c r="I298" s="64">
        <f t="shared" si="100"/>
        <v>93.428492305734082</v>
      </c>
      <c r="J298" s="17">
        <v>1</v>
      </c>
      <c r="M298" s="64">
        <f t="shared" si="101"/>
        <v>95.705097084683388</v>
      </c>
      <c r="N298" s="17">
        <v>1</v>
      </c>
      <c r="Q298" s="64">
        <f t="shared" si="102"/>
        <v>98.246708656674187</v>
      </c>
      <c r="R298" s="17">
        <v>1</v>
      </c>
      <c r="U298" s="64">
        <f t="shared" si="103"/>
        <v>91.596562123700451</v>
      </c>
      <c r="V298" s="39">
        <v>2</v>
      </c>
      <c r="Y298" s="114">
        <f t="shared" si="104"/>
        <v>97.875621286587162</v>
      </c>
      <c r="Z298" s="17">
        <v>3</v>
      </c>
      <c r="AC298" s="64">
        <f t="shared" si="105"/>
        <v>109.50350141641081</v>
      </c>
      <c r="AD298" s="25">
        <v>3</v>
      </c>
      <c r="AE298" s="71"/>
      <c r="AF298" s="71"/>
      <c r="AG298" s="71">
        <f t="shared" si="106"/>
        <v>109.20703006144345</v>
      </c>
      <c r="AH298" s="17">
        <v>2</v>
      </c>
      <c r="AK298" s="64">
        <f t="shared" si="107"/>
        <v>99.518280131348902</v>
      </c>
      <c r="AL298" s="39">
        <v>4</v>
      </c>
      <c r="AM298" s="71"/>
      <c r="AN298" s="71"/>
      <c r="AO298" s="71">
        <f t="shared" si="108"/>
        <v>111.97339782828605</v>
      </c>
      <c r="AP298" s="17">
        <v>3</v>
      </c>
      <c r="AQ298" s="71"/>
      <c r="AR298" s="71"/>
      <c r="AS298" s="71">
        <f t="shared" si="109"/>
        <v>110.12341030651692</v>
      </c>
      <c r="AT298" s="17">
        <v>2</v>
      </c>
      <c r="AU298" s="71"/>
      <c r="AV298" s="71"/>
      <c r="AW298" s="71">
        <f t="shared" si="110"/>
        <v>110.91338973410525</v>
      </c>
      <c r="AX298" s="39">
        <v>3</v>
      </c>
      <c r="AY298" s="71"/>
      <c r="AZ298" s="71"/>
      <c r="BA298" s="71">
        <f t="shared" si="111"/>
        <v>111.80497096144313</v>
      </c>
      <c r="BH298" s="17">
        <v>1</v>
      </c>
      <c r="BI298" s="71"/>
      <c r="BJ298" s="71"/>
      <c r="BK298" s="71">
        <f t="shared" si="112"/>
        <v>103.49572319106498</v>
      </c>
      <c r="BL298" s="17">
        <v>1</v>
      </c>
      <c r="BM298" s="71"/>
      <c r="BN298" s="71"/>
      <c r="BO298" s="71">
        <f t="shared" si="113"/>
        <v>92.606326748686826</v>
      </c>
      <c r="BP298" s="17">
        <v>2</v>
      </c>
      <c r="BQ298" s="71"/>
      <c r="BR298" s="71"/>
      <c r="BS298" s="138">
        <f t="shared" si="114"/>
        <v>113.86671101544545</v>
      </c>
      <c r="BT298" s="17">
        <v>2</v>
      </c>
      <c r="BU298" s="71"/>
      <c r="BV298" s="71"/>
      <c r="BW298" s="71">
        <f t="shared" si="115"/>
        <v>102.51956289746849</v>
      </c>
      <c r="BY298" s="17">
        <v>3</v>
      </c>
      <c r="BZ298" s="71"/>
      <c r="CA298" s="71"/>
      <c r="CB298" s="71">
        <f t="shared" si="116"/>
        <v>110.05345743585116</v>
      </c>
      <c r="CC298" s="39">
        <v>3</v>
      </c>
      <c r="CD298" s="71"/>
      <c r="CE298" s="71"/>
      <c r="CF298" s="71">
        <f t="shared" si="117"/>
        <v>109.36214907383548</v>
      </c>
      <c r="CG298" s="17">
        <v>1</v>
      </c>
      <c r="CH298" s="71"/>
      <c r="CI298" s="71"/>
      <c r="CJ298" s="138">
        <f t="shared" si="118"/>
        <v>103.93736139675698</v>
      </c>
      <c r="CK298" s="39">
        <v>3</v>
      </c>
      <c r="CL298" s="71"/>
      <c r="CM298" s="71"/>
      <c r="CN298" s="71">
        <f t="shared" si="119"/>
        <v>109.82624001207998</v>
      </c>
      <c r="CS298" s="102">
        <f t="shared" si="120"/>
        <v>104.11084117466669</v>
      </c>
      <c r="CT298" s="102">
        <f t="shared" si="121"/>
        <v>7.442168972316284</v>
      </c>
      <c r="CZ298" s="109" t="str">
        <f t="shared" si="124"/>
        <v>Basso</v>
      </c>
    </row>
    <row r="299" spans="1:104" x14ac:dyDescent="0.15">
      <c r="A299" s="17">
        <v>2</v>
      </c>
      <c r="B299" s="17">
        <v>2</v>
      </c>
      <c r="F299" s="17">
        <v>1</v>
      </c>
      <c r="I299" s="64">
        <f t="shared" si="100"/>
        <v>93.428492305734082</v>
      </c>
      <c r="J299" s="17">
        <v>2</v>
      </c>
      <c r="M299" s="64">
        <f t="shared" si="101"/>
        <v>110.02144013573877</v>
      </c>
      <c r="N299" s="17">
        <v>1</v>
      </c>
      <c r="Q299" s="64">
        <f t="shared" si="102"/>
        <v>98.246708656674187</v>
      </c>
      <c r="R299" s="17">
        <v>3</v>
      </c>
      <c r="U299" s="64">
        <f t="shared" si="103"/>
        <v>111.09942135879838</v>
      </c>
      <c r="V299" s="39">
        <v>1</v>
      </c>
      <c r="Y299" s="114">
        <f t="shared" si="104"/>
        <v>91.426614478012453</v>
      </c>
      <c r="Z299" s="17">
        <v>2</v>
      </c>
      <c r="AC299" s="64">
        <f t="shared" si="105"/>
        <v>101.50550517487696</v>
      </c>
      <c r="AD299" s="25">
        <v>2</v>
      </c>
      <c r="AE299" s="71"/>
      <c r="AF299" s="71"/>
      <c r="AG299" s="71">
        <f t="shared" si="106"/>
        <v>101.01229126330007</v>
      </c>
      <c r="AH299" s="17">
        <v>3</v>
      </c>
      <c r="AK299" s="64">
        <f t="shared" si="107"/>
        <v>110.43726382077395</v>
      </c>
      <c r="AL299" s="39">
        <v>3</v>
      </c>
      <c r="AM299" s="71"/>
      <c r="AN299" s="71"/>
      <c r="AO299" s="71">
        <f t="shared" si="108"/>
        <v>100.85056924463234</v>
      </c>
      <c r="AP299" s="17">
        <v>2</v>
      </c>
      <c r="AQ299" s="71"/>
      <c r="AR299" s="71"/>
      <c r="AS299" s="71">
        <f t="shared" si="109"/>
        <v>99.909880620416757</v>
      </c>
      <c r="AT299" s="17">
        <v>1</v>
      </c>
      <c r="AU299" s="71"/>
      <c r="AV299" s="71"/>
      <c r="AW299" s="71">
        <f t="shared" si="110"/>
        <v>100.0638209925971</v>
      </c>
      <c r="AX299" s="39">
        <v>3</v>
      </c>
      <c r="AY299" s="71"/>
      <c r="AZ299" s="71"/>
      <c r="BA299" s="71">
        <f t="shared" si="111"/>
        <v>111.80497096144313</v>
      </c>
      <c r="BH299" s="17">
        <v>0</v>
      </c>
      <c r="BI299" s="71"/>
      <c r="BJ299" s="71"/>
      <c r="BK299" s="71">
        <f t="shared" si="112"/>
        <v>92.176238572378367</v>
      </c>
      <c r="BL299" s="17">
        <v>3</v>
      </c>
      <c r="BM299" s="71"/>
      <c r="BN299" s="71"/>
      <c r="BO299" s="71">
        <f t="shared" si="113"/>
        <v>111.29665318323313</v>
      </c>
      <c r="BP299" s="17">
        <v>1</v>
      </c>
      <c r="BQ299" s="71"/>
      <c r="BR299" s="71"/>
      <c r="BS299" s="138">
        <f t="shared" si="114"/>
        <v>100.16171091563201</v>
      </c>
      <c r="BT299" s="17">
        <v>2</v>
      </c>
      <c r="BU299" s="71"/>
      <c r="BV299" s="71"/>
      <c r="BW299" s="71">
        <f t="shared" si="115"/>
        <v>102.51956289746849</v>
      </c>
      <c r="BY299" s="17">
        <v>2</v>
      </c>
      <c r="BZ299" s="71"/>
      <c r="CA299" s="71"/>
      <c r="CB299" s="71">
        <f t="shared" si="116"/>
        <v>100.53207713448795</v>
      </c>
      <c r="CC299" s="39">
        <v>2</v>
      </c>
      <c r="CD299" s="71"/>
      <c r="CE299" s="71"/>
      <c r="CF299" s="71">
        <f t="shared" si="117"/>
        <v>100.18886179687853</v>
      </c>
      <c r="CG299" s="17">
        <v>1</v>
      </c>
      <c r="CH299" s="71"/>
      <c r="CI299" s="71"/>
      <c r="CJ299" s="138">
        <f t="shared" si="118"/>
        <v>103.93736139675698</v>
      </c>
      <c r="CK299" s="39">
        <v>2</v>
      </c>
      <c r="CL299" s="71"/>
      <c r="CM299" s="71"/>
      <c r="CN299" s="71">
        <f t="shared" si="119"/>
        <v>100.22589057499034</v>
      </c>
      <c r="CS299" s="102">
        <f t="shared" si="120"/>
        <v>102.66586168790721</v>
      </c>
      <c r="CT299" s="102">
        <f t="shared" si="121"/>
        <v>6.1080562467779389</v>
      </c>
      <c r="CZ299" s="109" t="str">
        <f t="shared" si="124"/>
        <v>Basso</v>
      </c>
    </row>
    <row r="300" spans="1:104" x14ac:dyDescent="0.15">
      <c r="A300" s="17">
        <v>3</v>
      </c>
      <c r="B300" s="17">
        <v>1</v>
      </c>
      <c r="F300" s="17">
        <v>0</v>
      </c>
      <c r="I300" s="64">
        <f t="shared" si="100"/>
        <v>76.99972307006928</v>
      </c>
      <c r="J300" s="17">
        <v>1</v>
      </c>
      <c r="M300" s="64">
        <f t="shared" si="101"/>
        <v>95.705097084683388</v>
      </c>
      <c r="N300" s="17">
        <v>2</v>
      </c>
      <c r="Q300" s="64">
        <f t="shared" si="102"/>
        <v>113.93405225485253</v>
      </c>
      <c r="R300" s="17">
        <v>3</v>
      </c>
      <c r="U300" s="64">
        <f t="shared" si="103"/>
        <v>111.09942135879838</v>
      </c>
      <c r="V300" s="39">
        <v>1</v>
      </c>
      <c r="Y300" s="114">
        <f t="shared" si="104"/>
        <v>91.426614478012453</v>
      </c>
      <c r="Z300" s="17">
        <v>0</v>
      </c>
      <c r="AC300" s="64">
        <f t="shared" si="105"/>
        <v>85.509512691809249</v>
      </c>
      <c r="AD300" s="25">
        <v>1</v>
      </c>
      <c r="AE300" s="71"/>
      <c r="AF300" s="71"/>
      <c r="AG300" s="71">
        <f t="shared" si="106"/>
        <v>92.81755246515668</v>
      </c>
      <c r="AH300" s="17">
        <v>3</v>
      </c>
      <c r="AK300" s="64">
        <f t="shared" si="107"/>
        <v>110.43726382077395</v>
      </c>
      <c r="AL300" s="39">
        <v>3</v>
      </c>
      <c r="AM300" s="71"/>
      <c r="AN300" s="71"/>
      <c r="AO300" s="71">
        <f t="shared" si="108"/>
        <v>100.85056924463234</v>
      </c>
      <c r="AP300" s="17">
        <v>1</v>
      </c>
      <c r="AQ300" s="71"/>
      <c r="AR300" s="71"/>
      <c r="AS300" s="71">
        <f t="shared" si="109"/>
        <v>89.696350934316598</v>
      </c>
      <c r="AT300" s="17">
        <v>0</v>
      </c>
      <c r="AU300" s="71"/>
      <c r="AV300" s="71"/>
      <c r="AW300" s="71">
        <f t="shared" si="110"/>
        <v>89.214252251088965</v>
      </c>
      <c r="AX300" s="39">
        <v>2</v>
      </c>
      <c r="AY300" s="71"/>
      <c r="AZ300" s="71"/>
      <c r="BA300" s="71">
        <f t="shared" si="111"/>
        <v>100.92776194547928</v>
      </c>
      <c r="BH300" s="17">
        <v>0</v>
      </c>
      <c r="BI300" s="71"/>
      <c r="BJ300" s="71"/>
      <c r="BK300" s="71">
        <f t="shared" si="112"/>
        <v>92.176238572378367</v>
      </c>
      <c r="BL300" s="17">
        <v>3</v>
      </c>
      <c r="BM300" s="71"/>
      <c r="BN300" s="71"/>
      <c r="BO300" s="71">
        <f t="shared" si="113"/>
        <v>111.29665318323313</v>
      </c>
      <c r="BP300" s="17">
        <v>0</v>
      </c>
      <c r="BQ300" s="71"/>
      <c r="BR300" s="71"/>
      <c r="BS300" s="138">
        <f t="shared" si="114"/>
        <v>86.456710815818582</v>
      </c>
      <c r="BT300" s="17">
        <v>2</v>
      </c>
      <c r="BU300" s="71"/>
      <c r="BV300" s="71"/>
      <c r="BW300" s="71">
        <f t="shared" si="115"/>
        <v>102.51956289746849</v>
      </c>
      <c r="BY300" s="17">
        <v>3</v>
      </c>
      <c r="BZ300" s="71"/>
      <c r="CA300" s="71"/>
      <c r="CB300" s="71">
        <f t="shared" si="116"/>
        <v>110.05345743585116</v>
      </c>
      <c r="CC300" s="39">
        <v>3</v>
      </c>
      <c r="CD300" s="71"/>
      <c r="CE300" s="71"/>
      <c r="CF300" s="71">
        <f t="shared" si="117"/>
        <v>109.36214907383548</v>
      </c>
      <c r="CG300" s="17">
        <v>0</v>
      </c>
      <c r="CH300" s="71"/>
      <c r="CI300" s="71"/>
      <c r="CJ300" s="138">
        <f t="shared" si="118"/>
        <v>89.226340793489143</v>
      </c>
      <c r="CK300" s="39">
        <v>1</v>
      </c>
      <c r="CL300" s="71"/>
      <c r="CM300" s="71"/>
      <c r="CN300" s="71">
        <f t="shared" si="119"/>
        <v>90.625541137900711</v>
      </c>
      <c r="CS300" s="102">
        <f t="shared" si="120"/>
        <v>99.013244671901646</v>
      </c>
      <c r="CT300" s="102">
        <f t="shared" si="121"/>
        <v>10.939085219744154</v>
      </c>
      <c r="CZ300" s="109" t="str">
        <f t="shared" si="124"/>
        <v>Basso</v>
      </c>
    </row>
    <row r="301" spans="1:104" x14ac:dyDescent="0.15">
      <c r="A301" s="17">
        <v>3</v>
      </c>
      <c r="B301" s="17">
        <v>1</v>
      </c>
      <c r="F301" s="17">
        <v>1</v>
      </c>
      <c r="I301" s="64">
        <f t="shared" si="100"/>
        <v>93.428492305734082</v>
      </c>
      <c r="J301" s="17">
        <v>2</v>
      </c>
      <c r="M301" s="64">
        <f t="shared" si="101"/>
        <v>110.02144013573877</v>
      </c>
      <c r="N301" s="17">
        <v>0</v>
      </c>
      <c r="Q301" s="64">
        <f t="shared" si="102"/>
        <v>82.559365058495843</v>
      </c>
      <c r="R301" s="17">
        <v>2</v>
      </c>
      <c r="U301" s="64">
        <f t="shared" si="103"/>
        <v>101.34799174124942</v>
      </c>
      <c r="V301" s="39">
        <v>2</v>
      </c>
      <c r="Y301" s="114">
        <f t="shared" si="104"/>
        <v>97.875621286587162</v>
      </c>
      <c r="Z301" s="17">
        <v>3</v>
      </c>
      <c r="AC301" s="64">
        <f t="shared" si="105"/>
        <v>109.50350141641081</v>
      </c>
      <c r="AD301" s="25">
        <v>2</v>
      </c>
      <c r="AE301" s="71"/>
      <c r="AF301" s="71"/>
      <c r="AG301" s="71">
        <f t="shared" si="106"/>
        <v>101.01229126330007</v>
      </c>
      <c r="AH301" s="17">
        <v>2</v>
      </c>
      <c r="AK301" s="64">
        <f t="shared" si="107"/>
        <v>99.518280131348902</v>
      </c>
      <c r="AL301" s="39">
        <v>3</v>
      </c>
      <c r="AM301" s="71"/>
      <c r="AN301" s="71"/>
      <c r="AO301" s="71">
        <f t="shared" si="108"/>
        <v>100.85056924463234</v>
      </c>
      <c r="AP301" s="17">
        <v>2</v>
      </c>
      <c r="AQ301" s="71"/>
      <c r="AR301" s="71"/>
      <c r="AS301" s="71">
        <f t="shared" si="109"/>
        <v>99.909880620416757</v>
      </c>
      <c r="AT301" s="17">
        <v>0</v>
      </c>
      <c r="AU301" s="71"/>
      <c r="AV301" s="71"/>
      <c r="AW301" s="71">
        <f t="shared" si="110"/>
        <v>89.214252251088965</v>
      </c>
      <c r="AX301" s="39">
        <v>1</v>
      </c>
      <c r="AY301" s="71"/>
      <c r="AZ301" s="71"/>
      <c r="BA301" s="71">
        <f t="shared" si="111"/>
        <v>90.050552929515405</v>
      </c>
      <c r="BH301" s="17">
        <v>0</v>
      </c>
      <c r="BI301" s="71"/>
      <c r="BJ301" s="71"/>
      <c r="BK301" s="71">
        <f t="shared" si="112"/>
        <v>92.176238572378367</v>
      </c>
      <c r="BL301" s="17">
        <v>3</v>
      </c>
      <c r="BM301" s="71"/>
      <c r="BN301" s="71"/>
      <c r="BO301" s="71">
        <f t="shared" si="113"/>
        <v>111.29665318323313</v>
      </c>
      <c r="BP301" s="17">
        <v>2</v>
      </c>
      <c r="BQ301" s="71"/>
      <c r="BR301" s="71"/>
      <c r="BS301" s="138">
        <f t="shared" si="114"/>
        <v>113.86671101544545</v>
      </c>
      <c r="BT301" s="17">
        <v>2</v>
      </c>
      <c r="BU301" s="71"/>
      <c r="BV301" s="71"/>
      <c r="BW301" s="71">
        <f t="shared" si="115"/>
        <v>102.51956289746849</v>
      </c>
      <c r="BY301" s="17">
        <v>2</v>
      </c>
      <c r="BZ301" s="71"/>
      <c r="CA301" s="71"/>
      <c r="CB301" s="71">
        <f t="shared" si="116"/>
        <v>100.53207713448795</v>
      </c>
      <c r="CC301" s="39">
        <v>3</v>
      </c>
      <c r="CD301" s="71"/>
      <c r="CE301" s="71"/>
      <c r="CF301" s="71">
        <f t="shared" si="117"/>
        <v>109.36214907383548</v>
      </c>
      <c r="CG301" s="17">
        <v>0</v>
      </c>
      <c r="CH301" s="71"/>
      <c r="CI301" s="71"/>
      <c r="CJ301" s="138">
        <f t="shared" si="118"/>
        <v>89.226340793489143</v>
      </c>
      <c r="CK301" s="39">
        <v>3</v>
      </c>
      <c r="CL301" s="71"/>
      <c r="CM301" s="71"/>
      <c r="CN301" s="71">
        <f t="shared" si="119"/>
        <v>109.82624001207998</v>
      </c>
      <c r="CS301" s="102">
        <f t="shared" si="120"/>
        <v>100.18409046890675</v>
      </c>
      <c r="CT301" s="102">
        <f t="shared" si="121"/>
        <v>8.4273409275986015</v>
      </c>
      <c r="CZ301" s="109" t="str">
        <f t="shared" si="124"/>
        <v>Basso</v>
      </c>
    </row>
    <row r="302" spans="1:104" x14ac:dyDescent="0.15">
      <c r="A302" s="17">
        <v>3</v>
      </c>
      <c r="B302" s="17">
        <v>1</v>
      </c>
      <c r="F302" s="17">
        <v>2</v>
      </c>
      <c r="I302" s="64">
        <f t="shared" si="100"/>
        <v>109.85726154139888</v>
      </c>
      <c r="J302" s="17">
        <v>2</v>
      </c>
      <c r="M302" s="64">
        <f t="shared" si="101"/>
        <v>110.02144013573877</v>
      </c>
      <c r="N302" s="17">
        <v>1</v>
      </c>
      <c r="Q302" s="64">
        <f t="shared" si="102"/>
        <v>98.246708656674187</v>
      </c>
      <c r="R302" s="17">
        <v>3</v>
      </c>
      <c r="U302" s="64">
        <f t="shared" si="103"/>
        <v>111.09942135879838</v>
      </c>
      <c r="V302" s="39">
        <v>2</v>
      </c>
      <c r="Y302" s="114">
        <f t="shared" si="104"/>
        <v>97.875621286587162</v>
      </c>
      <c r="Z302" s="17">
        <v>3</v>
      </c>
      <c r="AC302" s="64">
        <f t="shared" si="105"/>
        <v>109.50350141641081</v>
      </c>
      <c r="AD302" s="25">
        <v>3</v>
      </c>
      <c r="AE302" s="71"/>
      <c r="AF302" s="71"/>
      <c r="AG302" s="71">
        <f t="shared" si="106"/>
        <v>109.20703006144345</v>
      </c>
      <c r="AH302" s="17">
        <v>3</v>
      </c>
      <c r="AK302" s="64">
        <f t="shared" si="107"/>
        <v>110.43726382077395</v>
      </c>
      <c r="AL302" s="39">
        <v>3</v>
      </c>
      <c r="AM302" s="71"/>
      <c r="AN302" s="71"/>
      <c r="AO302" s="71">
        <f t="shared" si="108"/>
        <v>100.85056924463234</v>
      </c>
      <c r="AP302" s="17">
        <v>2</v>
      </c>
      <c r="AQ302" s="71"/>
      <c r="AR302" s="71"/>
      <c r="AS302" s="71">
        <f t="shared" si="109"/>
        <v>99.909880620416757</v>
      </c>
      <c r="AT302" s="17">
        <v>2</v>
      </c>
      <c r="AU302" s="71"/>
      <c r="AV302" s="71"/>
      <c r="AW302" s="71">
        <f t="shared" si="110"/>
        <v>110.91338973410525</v>
      </c>
      <c r="AX302" s="39">
        <v>1</v>
      </c>
      <c r="AY302" s="71"/>
      <c r="AZ302" s="71"/>
      <c r="BA302" s="71">
        <f t="shared" si="111"/>
        <v>90.050552929515405</v>
      </c>
      <c r="BH302" s="17">
        <v>2</v>
      </c>
      <c r="BI302" s="71"/>
      <c r="BJ302" s="71"/>
      <c r="BK302" s="71">
        <f t="shared" si="112"/>
        <v>114.81520780975161</v>
      </c>
      <c r="BL302" s="17">
        <v>1</v>
      </c>
      <c r="BM302" s="71"/>
      <c r="BN302" s="71"/>
      <c r="BO302" s="71">
        <f t="shared" si="113"/>
        <v>92.606326748686826</v>
      </c>
      <c r="BP302" s="17">
        <v>2</v>
      </c>
      <c r="BQ302" s="71"/>
      <c r="BR302" s="71"/>
      <c r="BS302" s="138">
        <f t="shared" si="114"/>
        <v>113.86671101544545</v>
      </c>
      <c r="BT302" s="17">
        <v>3</v>
      </c>
      <c r="BU302" s="71"/>
      <c r="BV302" s="71"/>
      <c r="BW302" s="71">
        <f t="shared" si="115"/>
        <v>112.03791162123835</v>
      </c>
      <c r="BY302" s="17">
        <v>3</v>
      </c>
      <c r="BZ302" s="71"/>
      <c r="CA302" s="71"/>
      <c r="CB302" s="71">
        <f t="shared" si="116"/>
        <v>110.05345743585116</v>
      </c>
      <c r="CC302" s="39">
        <v>3</v>
      </c>
      <c r="CD302" s="71"/>
      <c r="CE302" s="71"/>
      <c r="CF302" s="71">
        <f t="shared" si="117"/>
        <v>109.36214907383548</v>
      </c>
      <c r="CG302" s="17">
        <v>0</v>
      </c>
      <c r="CH302" s="71"/>
      <c r="CI302" s="71"/>
      <c r="CJ302" s="138">
        <f t="shared" si="118"/>
        <v>89.226340793489143</v>
      </c>
      <c r="CK302" s="39">
        <v>2</v>
      </c>
      <c r="CL302" s="71"/>
      <c r="CM302" s="71"/>
      <c r="CN302" s="71">
        <f t="shared" si="119"/>
        <v>100.22589057499034</v>
      </c>
      <c r="CS302" s="102">
        <f t="shared" si="120"/>
        <v>105.83517428142719</v>
      </c>
      <c r="CT302" s="102">
        <f t="shared" si="121"/>
        <v>7.3131610905643436</v>
      </c>
      <c r="CZ302" s="109" t="str">
        <f t="shared" si="124"/>
        <v>Basso</v>
      </c>
    </row>
    <row r="303" spans="1:104" x14ac:dyDescent="0.15">
      <c r="A303" s="17">
        <v>2</v>
      </c>
      <c r="B303" s="17">
        <v>1</v>
      </c>
      <c r="F303" s="17">
        <v>2</v>
      </c>
      <c r="I303" s="64">
        <f t="shared" si="100"/>
        <v>109.85726154139888</v>
      </c>
      <c r="J303" s="17">
        <v>2</v>
      </c>
      <c r="M303" s="64">
        <f t="shared" si="101"/>
        <v>110.02144013573877</v>
      </c>
      <c r="N303" s="17">
        <v>2</v>
      </c>
      <c r="Q303" s="64">
        <f t="shared" si="102"/>
        <v>113.93405225485253</v>
      </c>
      <c r="R303" s="17">
        <v>3</v>
      </c>
      <c r="U303" s="64">
        <f t="shared" si="103"/>
        <v>111.09942135879838</v>
      </c>
      <c r="V303" s="39">
        <v>2</v>
      </c>
      <c r="Y303" s="114">
        <f t="shared" si="104"/>
        <v>97.875621286587162</v>
      </c>
      <c r="Z303" s="17">
        <v>2</v>
      </c>
      <c r="AC303" s="64">
        <f t="shared" si="105"/>
        <v>101.50550517487696</v>
      </c>
      <c r="AD303" s="25">
        <v>3</v>
      </c>
      <c r="AE303" s="71"/>
      <c r="AF303" s="71"/>
      <c r="AG303" s="71">
        <f t="shared" si="106"/>
        <v>109.20703006144345</v>
      </c>
      <c r="AH303" s="17">
        <v>3</v>
      </c>
      <c r="AK303" s="64">
        <f t="shared" si="107"/>
        <v>110.43726382077395</v>
      </c>
      <c r="AL303" s="39">
        <v>3</v>
      </c>
      <c r="AM303" s="71"/>
      <c r="AN303" s="71"/>
      <c r="AO303" s="71">
        <f t="shared" si="108"/>
        <v>100.85056924463234</v>
      </c>
      <c r="AP303" s="17">
        <v>3</v>
      </c>
      <c r="AQ303" s="71"/>
      <c r="AR303" s="71"/>
      <c r="AS303" s="71">
        <f t="shared" si="109"/>
        <v>110.12341030651692</v>
      </c>
      <c r="AT303" s="17">
        <v>2</v>
      </c>
      <c r="AU303" s="71"/>
      <c r="AV303" s="71"/>
      <c r="AW303" s="71">
        <f t="shared" si="110"/>
        <v>110.91338973410525</v>
      </c>
      <c r="AX303" s="39">
        <v>1</v>
      </c>
      <c r="AY303" s="71"/>
      <c r="AZ303" s="71"/>
      <c r="BA303" s="71">
        <f t="shared" si="111"/>
        <v>90.050552929515405</v>
      </c>
      <c r="BH303" s="17">
        <v>2</v>
      </c>
      <c r="BI303" s="71"/>
      <c r="BJ303" s="71"/>
      <c r="BK303" s="71">
        <f t="shared" si="112"/>
        <v>114.81520780975161</v>
      </c>
      <c r="BL303" s="17">
        <v>2</v>
      </c>
      <c r="BM303" s="71"/>
      <c r="BN303" s="71"/>
      <c r="BO303" s="71">
        <f t="shared" si="113"/>
        <v>101.95148996595998</v>
      </c>
      <c r="BP303" s="17">
        <v>1</v>
      </c>
      <c r="BQ303" s="71"/>
      <c r="BR303" s="71"/>
      <c r="BS303" s="138">
        <f t="shared" si="114"/>
        <v>100.16171091563201</v>
      </c>
      <c r="BT303" s="17">
        <v>3</v>
      </c>
      <c r="BU303" s="71"/>
      <c r="BV303" s="71"/>
      <c r="BW303" s="71">
        <f t="shared" si="115"/>
        <v>112.03791162123835</v>
      </c>
      <c r="BY303" s="17">
        <v>3</v>
      </c>
      <c r="BZ303" s="71"/>
      <c r="CA303" s="71"/>
      <c r="CB303" s="71">
        <f t="shared" si="116"/>
        <v>110.05345743585116</v>
      </c>
      <c r="CC303" s="39">
        <v>3</v>
      </c>
      <c r="CD303" s="71"/>
      <c r="CE303" s="71"/>
      <c r="CF303" s="71">
        <f t="shared" si="117"/>
        <v>109.36214907383548</v>
      </c>
      <c r="CG303" s="17">
        <v>2</v>
      </c>
      <c r="CH303" s="71"/>
      <c r="CI303" s="71"/>
      <c r="CJ303" s="138">
        <f t="shared" si="118"/>
        <v>118.64838200002481</v>
      </c>
      <c r="CK303" s="39">
        <v>3</v>
      </c>
      <c r="CL303" s="71"/>
      <c r="CM303" s="71"/>
      <c r="CN303" s="71">
        <f t="shared" si="119"/>
        <v>109.82624001207998</v>
      </c>
      <c r="CS303" s="102">
        <f t="shared" si="120"/>
        <v>108.00272661655116</v>
      </c>
      <c r="CT303" s="102">
        <f t="shared" si="121"/>
        <v>6.1082312065717721</v>
      </c>
      <c r="CZ303" s="109" t="str">
        <f t="shared" si="124"/>
        <v>Basso</v>
      </c>
    </row>
    <row r="304" spans="1:104" x14ac:dyDescent="0.15">
      <c r="A304" s="17">
        <v>2</v>
      </c>
      <c r="B304" s="17">
        <v>1</v>
      </c>
      <c r="F304" s="17">
        <v>1</v>
      </c>
      <c r="I304" s="64">
        <f t="shared" si="100"/>
        <v>93.428492305734082</v>
      </c>
      <c r="J304" s="17">
        <v>0</v>
      </c>
      <c r="M304" s="64">
        <f t="shared" si="101"/>
        <v>81.388754033628004</v>
      </c>
      <c r="N304" s="17">
        <v>1</v>
      </c>
      <c r="Q304" s="64">
        <f t="shared" si="102"/>
        <v>98.246708656674187</v>
      </c>
      <c r="R304" s="17">
        <v>1</v>
      </c>
      <c r="U304" s="64">
        <f t="shared" si="103"/>
        <v>91.596562123700451</v>
      </c>
      <c r="V304" s="39">
        <v>4</v>
      </c>
      <c r="Y304" s="114">
        <f t="shared" si="104"/>
        <v>110.77363490373656</v>
      </c>
      <c r="Z304" s="17">
        <v>3</v>
      </c>
      <c r="AC304" s="64">
        <f t="shared" si="105"/>
        <v>109.50350141641081</v>
      </c>
      <c r="AD304" s="25">
        <v>0</v>
      </c>
      <c r="AE304" s="71"/>
      <c r="AF304" s="71"/>
      <c r="AG304" s="71">
        <f t="shared" si="106"/>
        <v>84.62281366701329</v>
      </c>
      <c r="AH304" s="17">
        <v>0</v>
      </c>
      <c r="AK304" s="64">
        <f t="shared" si="107"/>
        <v>77.680312752498807</v>
      </c>
      <c r="AL304" s="39">
        <v>0</v>
      </c>
      <c r="AM304" s="71"/>
      <c r="AN304" s="71"/>
      <c r="AO304" s="71">
        <f t="shared" si="108"/>
        <v>67.482083493671226</v>
      </c>
      <c r="AP304" s="17">
        <v>2</v>
      </c>
      <c r="AQ304" s="71"/>
      <c r="AR304" s="71"/>
      <c r="AS304" s="71">
        <f t="shared" si="109"/>
        <v>99.909880620416757</v>
      </c>
      <c r="AT304" s="17">
        <v>1</v>
      </c>
      <c r="AU304" s="71"/>
      <c r="AV304" s="71"/>
      <c r="AW304" s="71">
        <f t="shared" si="110"/>
        <v>100.0638209925971</v>
      </c>
      <c r="AX304" s="39">
        <v>3</v>
      </c>
      <c r="AY304" s="71"/>
      <c r="AZ304" s="71"/>
      <c r="BA304" s="71">
        <f t="shared" si="111"/>
        <v>111.80497096144313</v>
      </c>
      <c r="BH304" s="17">
        <v>0</v>
      </c>
      <c r="BI304" s="71"/>
      <c r="BJ304" s="71"/>
      <c r="BK304" s="71">
        <f t="shared" si="112"/>
        <v>92.176238572378367</v>
      </c>
      <c r="BL304" s="17">
        <v>2</v>
      </c>
      <c r="BM304" s="71"/>
      <c r="BN304" s="71"/>
      <c r="BO304" s="71">
        <f t="shared" si="113"/>
        <v>101.95148996595998</v>
      </c>
      <c r="BP304" s="17">
        <v>0</v>
      </c>
      <c r="BQ304" s="71"/>
      <c r="BR304" s="71"/>
      <c r="BS304" s="138">
        <f t="shared" si="114"/>
        <v>86.456710815818582</v>
      </c>
      <c r="BT304" s="17">
        <v>0</v>
      </c>
      <c r="BU304" s="71"/>
      <c r="BV304" s="71"/>
      <c r="BW304" s="71">
        <f t="shared" si="115"/>
        <v>83.482865449928767</v>
      </c>
      <c r="BY304" s="17">
        <v>1</v>
      </c>
      <c r="BZ304" s="71"/>
      <c r="CA304" s="71"/>
      <c r="CB304" s="71">
        <f t="shared" si="116"/>
        <v>91.01069683312474</v>
      </c>
      <c r="CC304" s="39">
        <v>2</v>
      </c>
      <c r="CD304" s="71"/>
      <c r="CE304" s="71"/>
      <c r="CF304" s="71">
        <f t="shared" si="117"/>
        <v>100.18886179687853</v>
      </c>
      <c r="CG304" s="17">
        <v>1</v>
      </c>
      <c r="CH304" s="71"/>
      <c r="CI304" s="71"/>
      <c r="CJ304" s="138">
        <f t="shared" si="118"/>
        <v>103.93736139675698</v>
      </c>
      <c r="CK304" s="39">
        <v>0</v>
      </c>
      <c r="CL304" s="71"/>
      <c r="CM304" s="71"/>
      <c r="CN304" s="71">
        <f t="shared" si="119"/>
        <v>81.025191700811078</v>
      </c>
      <c r="CS304" s="102">
        <f t="shared" si="120"/>
        <v>92.091955608404078</v>
      </c>
      <c r="CT304" s="102">
        <f t="shared" si="121"/>
        <v>11.727564512020132</v>
      </c>
      <c r="CZ304" s="109" t="str">
        <f t="shared" si="124"/>
        <v>Basso</v>
      </c>
    </row>
    <row r="305" spans="1:104" x14ac:dyDescent="0.15">
      <c r="A305" s="17">
        <v>3</v>
      </c>
      <c r="B305" s="17">
        <v>1</v>
      </c>
      <c r="F305" s="17">
        <v>1</v>
      </c>
      <c r="I305" s="64">
        <f t="shared" si="100"/>
        <v>93.428492305734082</v>
      </c>
      <c r="J305" s="17">
        <v>1</v>
      </c>
      <c r="M305" s="64">
        <f t="shared" si="101"/>
        <v>95.705097084683388</v>
      </c>
      <c r="N305" s="17">
        <v>1</v>
      </c>
      <c r="Q305" s="64">
        <f t="shared" si="102"/>
        <v>98.246708656674187</v>
      </c>
      <c r="R305" s="17">
        <v>2</v>
      </c>
      <c r="U305" s="64">
        <f t="shared" si="103"/>
        <v>101.34799174124942</v>
      </c>
      <c r="V305" s="39">
        <v>2</v>
      </c>
      <c r="Y305" s="114">
        <f t="shared" si="104"/>
        <v>97.875621286587162</v>
      </c>
      <c r="Z305" s="17">
        <v>3</v>
      </c>
      <c r="AC305" s="64">
        <f t="shared" si="105"/>
        <v>109.50350141641081</v>
      </c>
      <c r="AD305" s="25">
        <v>2</v>
      </c>
      <c r="AE305" s="71"/>
      <c r="AF305" s="71"/>
      <c r="AG305" s="71">
        <f t="shared" si="106"/>
        <v>101.01229126330007</v>
      </c>
      <c r="AH305" s="17">
        <v>3</v>
      </c>
      <c r="AK305" s="64">
        <f t="shared" si="107"/>
        <v>110.43726382077395</v>
      </c>
      <c r="AL305" s="39">
        <v>3</v>
      </c>
      <c r="AM305" s="71"/>
      <c r="AN305" s="71"/>
      <c r="AO305" s="71">
        <f t="shared" si="108"/>
        <v>100.85056924463234</v>
      </c>
      <c r="AP305" s="17">
        <v>2</v>
      </c>
      <c r="AQ305" s="71"/>
      <c r="AR305" s="71"/>
      <c r="AS305" s="71">
        <f t="shared" si="109"/>
        <v>99.909880620416757</v>
      </c>
      <c r="AT305" s="17">
        <v>2</v>
      </c>
      <c r="AU305" s="71"/>
      <c r="AV305" s="71"/>
      <c r="AW305" s="71">
        <f t="shared" si="110"/>
        <v>110.91338973410525</v>
      </c>
      <c r="AX305" s="39">
        <v>3</v>
      </c>
      <c r="AY305" s="71"/>
      <c r="AZ305" s="71"/>
      <c r="BA305" s="71">
        <f t="shared" si="111"/>
        <v>111.80497096144313</v>
      </c>
      <c r="BH305" s="17">
        <v>0</v>
      </c>
      <c r="BI305" s="71"/>
      <c r="BJ305" s="71"/>
      <c r="BK305" s="71">
        <f t="shared" si="112"/>
        <v>92.176238572378367</v>
      </c>
      <c r="BL305" s="17">
        <v>2</v>
      </c>
      <c r="BM305" s="71"/>
      <c r="BN305" s="71"/>
      <c r="BO305" s="71">
        <f t="shared" si="113"/>
        <v>101.95148996595998</v>
      </c>
      <c r="BP305" s="17">
        <v>1</v>
      </c>
      <c r="BQ305" s="71"/>
      <c r="BR305" s="71"/>
      <c r="BS305" s="138">
        <f t="shared" si="114"/>
        <v>100.16171091563201</v>
      </c>
      <c r="BT305" s="17">
        <v>2</v>
      </c>
      <c r="BU305" s="71"/>
      <c r="BV305" s="71"/>
      <c r="BW305" s="71">
        <f t="shared" si="115"/>
        <v>102.51956289746849</v>
      </c>
      <c r="BY305" s="17">
        <v>3</v>
      </c>
      <c r="BZ305" s="71"/>
      <c r="CA305" s="71"/>
      <c r="CB305" s="71">
        <f t="shared" si="116"/>
        <v>110.05345743585116</v>
      </c>
      <c r="CC305" s="39">
        <v>2</v>
      </c>
      <c r="CD305" s="71"/>
      <c r="CE305" s="71"/>
      <c r="CF305" s="71">
        <f t="shared" si="117"/>
        <v>100.18886179687853</v>
      </c>
      <c r="CG305" s="17">
        <v>0</v>
      </c>
      <c r="CH305" s="71"/>
      <c r="CI305" s="71"/>
      <c r="CJ305" s="138">
        <f t="shared" si="118"/>
        <v>89.226340793489143</v>
      </c>
      <c r="CK305" s="39">
        <v>3</v>
      </c>
      <c r="CL305" s="71"/>
      <c r="CM305" s="71"/>
      <c r="CN305" s="71">
        <f t="shared" si="119"/>
        <v>109.82624001207998</v>
      </c>
      <c r="CS305" s="102">
        <f t="shared" si="120"/>
        <v>102.9338827958847</v>
      </c>
      <c r="CT305" s="102">
        <f t="shared" si="121"/>
        <v>6.3673524260093659</v>
      </c>
      <c r="CZ305" s="109" t="str">
        <f t="shared" si="124"/>
        <v>Basso</v>
      </c>
    </row>
    <row r="306" spans="1:104" x14ac:dyDescent="0.15">
      <c r="A306" s="17">
        <v>3</v>
      </c>
      <c r="B306" s="17">
        <v>1</v>
      </c>
      <c r="F306" s="17">
        <v>1</v>
      </c>
      <c r="I306" s="64">
        <f t="shared" si="100"/>
        <v>93.428492305734082</v>
      </c>
      <c r="J306" s="17">
        <v>1</v>
      </c>
      <c r="M306" s="64">
        <f t="shared" si="101"/>
        <v>95.705097084683388</v>
      </c>
      <c r="N306" s="17">
        <v>1</v>
      </c>
      <c r="Q306" s="64">
        <f t="shared" si="102"/>
        <v>98.246708656674187</v>
      </c>
      <c r="R306" s="17">
        <v>1</v>
      </c>
      <c r="U306" s="64">
        <f t="shared" si="103"/>
        <v>91.596562123700451</v>
      </c>
      <c r="V306" s="39">
        <v>2</v>
      </c>
      <c r="Y306" s="114">
        <f t="shared" si="104"/>
        <v>97.875621286587162</v>
      </c>
      <c r="Z306" s="17">
        <v>3</v>
      </c>
      <c r="AC306" s="64">
        <f t="shared" si="105"/>
        <v>109.50350141641081</v>
      </c>
      <c r="AD306" s="25">
        <v>0</v>
      </c>
      <c r="AE306" s="71"/>
      <c r="AF306" s="71"/>
      <c r="AG306" s="71">
        <f t="shared" si="106"/>
        <v>84.62281366701329</v>
      </c>
      <c r="AH306" s="17">
        <v>1</v>
      </c>
      <c r="AK306" s="64">
        <f t="shared" si="107"/>
        <v>88.599296441923855</v>
      </c>
      <c r="AL306" s="39">
        <v>3</v>
      </c>
      <c r="AM306" s="71"/>
      <c r="AN306" s="71"/>
      <c r="AO306" s="71">
        <f t="shared" si="108"/>
        <v>100.85056924463234</v>
      </c>
      <c r="AP306" s="17">
        <v>0</v>
      </c>
      <c r="AQ306" s="71"/>
      <c r="AR306" s="71"/>
      <c r="AS306" s="71">
        <f t="shared" si="109"/>
        <v>79.482821248216453</v>
      </c>
      <c r="AT306" s="17">
        <v>2</v>
      </c>
      <c r="AU306" s="71"/>
      <c r="AV306" s="71"/>
      <c r="AW306" s="71">
        <f t="shared" si="110"/>
        <v>110.91338973410525</v>
      </c>
      <c r="AX306" s="39">
        <v>3</v>
      </c>
      <c r="AY306" s="71"/>
      <c r="AZ306" s="71"/>
      <c r="BA306" s="71">
        <f t="shared" si="111"/>
        <v>111.80497096144313</v>
      </c>
      <c r="BH306" s="17">
        <v>0</v>
      </c>
      <c r="BI306" s="71"/>
      <c r="BJ306" s="71"/>
      <c r="BK306" s="71">
        <f t="shared" si="112"/>
        <v>92.176238572378367</v>
      </c>
      <c r="BL306" s="17">
        <v>2</v>
      </c>
      <c r="BM306" s="71"/>
      <c r="BN306" s="71"/>
      <c r="BO306" s="71">
        <f t="shared" si="113"/>
        <v>101.95148996595998</v>
      </c>
      <c r="BP306" s="17">
        <v>0</v>
      </c>
      <c r="BQ306" s="71"/>
      <c r="BR306" s="71"/>
      <c r="BS306" s="138">
        <f t="shared" si="114"/>
        <v>86.456710815818582</v>
      </c>
      <c r="BT306" s="17">
        <v>1</v>
      </c>
      <c r="BU306" s="71"/>
      <c r="BV306" s="71"/>
      <c r="BW306" s="71">
        <f t="shared" si="115"/>
        <v>93.001214173698628</v>
      </c>
      <c r="BY306" s="17">
        <v>1</v>
      </c>
      <c r="BZ306" s="71"/>
      <c r="CA306" s="71"/>
      <c r="CB306" s="71">
        <f t="shared" si="116"/>
        <v>91.01069683312474</v>
      </c>
      <c r="CC306" s="39">
        <v>0</v>
      </c>
      <c r="CD306" s="71"/>
      <c r="CE306" s="71"/>
      <c r="CF306" s="71">
        <f t="shared" si="117"/>
        <v>81.842287242964616</v>
      </c>
      <c r="CG306" s="17">
        <v>0</v>
      </c>
      <c r="CH306" s="71"/>
      <c r="CI306" s="71"/>
      <c r="CJ306" s="138">
        <f t="shared" si="118"/>
        <v>89.226340793489143</v>
      </c>
      <c r="CK306" s="39">
        <v>1</v>
      </c>
      <c r="CL306" s="71"/>
      <c r="CM306" s="71"/>
      <c r="CN306" s="71">
        <f t="shared" si="119"/>
        <v>90.625541137900711</v>
      </c>
      <c r="CS306" s="102">
        <f t="shared" si="120"/>
        <v>95.021275930033198</v>
      </c>
      <c r="CT306" s="102">
        <f t="shared" si="121"/>
        <v>9.5629918338498427</v>
      </c>
      <c r="CZ306" s="109" t="str">
        <f t="shared" si="124"/>
        <v>Basso</v>
      </c>
    </row>
    <row r="307" spans="1:104" x14ac:dyDescent="0.15">
      <c r="A307" s="17">
        <v>3</v>
      </c>
      <c r="B307" s="17">
        <v>1</v>
      </c>
      <c r="F307" s="17">
        <v>1</v>
      </c>
      <c r="I307" s="64">
        <f t="shared" si="100"/>
        <v>93.428492305734082</v>
      </c>
      <c r="J307" s="17">
        <v>1</v>
      </c>
      <c r="M307" s="64">
        <f t="shared" si="101"/>
        <v>95.705097084683388</v>
      </c>
      <c r="N307" s="17">
        <v>1</v>
      </c>
      <c r="Q307" s="64">
        <f t="shared" si="102"/>
        <v>98.246708656674187</v>
      </c>
      <c r="R307" s="17">
        <v>2</v>
      </c>
      <c r="U307" s="64">
        <f t="shared" si="103"/>
        <v>101.34799174124942</v>
      </c>
      <c r="V307" s="39">
        <v>2</v>
      </c>
      <c r="Y307" s="114">
        <f t="shared" si="104"/>
        <v>97.875621286587162</v>
      </c>
      <c r="Z307" s="17">
        <v>2</v>
      </c>
      <c r="AC307" s="64">
        <f t="shared" si="105"/>
        <v>101.50550517487696</v>
      </c>
      <c r="AD307" s="25">
        <v>3</v>
      </c>
      <c r="AE307" s="71"/>
      <c r="AF307" s="71"/>
      <c r="AG307" s="71">
        <f t="shared" si="106"/>
        <v>109.20703006144345</v>
      </c>
      <c r="AH307" s="17">
        <v>3</v>
      </c>
      <c r="AK307" s="64">
        <f t="shared" si="107"/>
        <v>110.43726382077395</v>
      </c>
      <c r="AL307" s="39">
        <v>3</v>
      </c>
      <c r="AM307" s="71"/>
      <c r="AN307" s="71"/>
      <c r="AO307" s="71">
        <f t="shared" si="108"/>
        <v>100.85056924463234</v>
      </c>
      <c r="AP307" s="17">
        <v>3</v>
      </c>
      <c r="AQ307" s="71"/>
      <c r="AR307" s="71"/>
      <c r="AS307" s="71">
        <f t="shared" si="109"/>
        <v>110.12341030651692</v>
      </c>
      <c r="AT307" s="17">
        <v>2</v>
      </c>
      <c r="AU307" s="71"/>
      <c r="AV307" s="71"/>
      <c r="AW307" s="71">
        <f t="shared" si="110"/>
        <v>110.91338973410525</v>
      </c>
      <c r="AX307" s="39">
        <v>1</v>
      </c>
      <c r="AY307" s="71"/>
      <c r="AZ307" s="71"/>
      <c r="BA307" s="71">
        <f t="shared" si="111"/>
        <v>90.050552929515405</v>
      </c>
      <c r="BH307" s="17">
        <v>2</v>
      </c>
      <c r="BI307" s="71"/>
      <c r="BJ307" s="71"/>
      <c r="BK307" s="71">
        <f t="shared" si="112"/>
        <v>114.81520780975161</v>
      </c>
      <c r="BL307" s="17">
        <v>3</v>
      </c>
      <c r="BM307" s="71"/>
      <c r="BN307" s="71"/>
      <c r="BO307" s="71">
        <f t="shared" si="113"/>
        <v>111.29665318323313</v>
      </c>
      <c r="BP307" s="17">
        <v>2</v>
      </c>
      <c r="BQ307" s="71"/>
      <c r="BR307" s="71"/>
      <c r="BS307" s="138">
        <f t="shared" si="114"/>
        <v>113.86671101544545</v>
      </c>
      <c r="BT307" s="17">
        <v>2</v>
      </c>
      <c r="BU307" s="71"/>
      <c r="BV307" s="71"/>
      <c r="BW307" s="71">
        <f t="shared" si="115"/>
        <v>102.51956289746849</v>
      </c>
      <c r="BY307" s="17">
        <v>2</v>
      </c>
      <c r="BZ307" s="71"/>
      <c r="CA307" s="71"/>
      <c r="CB307" s="71">
        <f t="shared" si="116"/>
        <v>100.53207713448795</v>
      </c>
      <c r="CC307" s="39">
        <v>3</v>
      </c>
      <c r="CD307" s="71"/>
      <c r="CE307" s="71"/>
      <c r="CF307" s="71">
        <f t="shared" si="117"/>
        <v>109.36214907383548</v>
      </c>
      <c r="CG307" s="17">
        <v>0</v>
      </c>
      <c r="CH307" s="71"/>
      <c r="CI307" s="71"/>
      <c r="CJ307" s="138">
        <f t="shared" si="118"/>
        <v>89.226340793489143</v>
      </c>
      <c r="CK307" s="39">
        <v>3</v>
      </c>
      <c r="CL307" s="71"/>
      <c r="CM307" s="71"/>
      <c r="CN307" s="71">
        <f t="shared" si="119"/>
        <v>109.82624001207998</v>
      </c>
      <c r="CS307" s="102">
        <f t="shared" si="120"/>
        <v>104.12752359829776</v>
      </c>
      <c r="CT307" s="102">
        <f t="shared" si="121"/>
        <v>7.2116058237092036</v>
      </c>
      <c r="CZ307" s="109" t="str">
        <f t="shared" si="124"/>
        <v>Basso</v>
      </c>
    </row>
    <row r="308" spans="1:104" x14ac:dyDescent="0.15">
      <c r="A308" s="17">
        <v>3</v>
      </c>
      <c r="B308" s="17">
        <v>1</v>
      </c>
      <c r="F308" s="17">
        <v>1</v>
      </c>
      <c r="I308" s="64">
        <f t="shared" si="100"/>
        <v>93.428492305734082</v>
      </c>
      <c r="J308" s="17">
        <v>1</v>
      </c>
      <c r="M308" s="64">
        <f t="shared" si="101"/>
        <v>95.705097084683388</v>
      </c>
      <c r="N308" s="17">
        <v>0</v>
      </c>
      <c r="Q308" s="64">
        <f t="shared" si="102"/>
        <v>82.559365058495843</v>
      </c>
      <c r="R308" s="17">
        <v>2</v>
      </c>
      <c r="U308" s="64">
        <f t="shared" si="103"/>
        <v>101.34799174124942</v>
      </c>
      <c r="V308" s="39">
        <v>2</v>
      </c>
      <c r="Y308" s="114">
        <f t="shared" si="104"/>
        <v>97.875621286587162</v>
      </c>
      <c r="Z308" s="17">
        <v>0</v>
      </c>
      <c r="AC308" s="64">
        <f t="shared" si="105"/>
        <v>85.509512691809249</v>
      </c>
      <c r="AD308" s="25">
        <v>2</v>
      </c>
      <c r="AE308" s="71"/>
      <c r="AF308" s="71"/>
      <c r="AG308" s="71">
        <f t="shared" si="106"/>
        <v>101.01229126330007</v>
      </c>
      <c r="AH308" s="17">
        <v>2</v>
      </c>
      <c r="AK308" s="64">
        <f t="shared" si="107"/>
        <v>99.518280131348902</v>
      </c>
      <c r="AL308" s="39">
        <v>3</v>
      </c>
      <c r="AM308" s="71"/>
      <c r="AN308" s="71"/>
      <c r="AO308" s="71">
        <f t="shared" si="108"/>
        <v>100.85056924463234</v>
      </c>
      <c r="AP308" s="17">
        <v>2</v>
      </c>
      <c r="AQ308" s="71"/>
      <c r="AR308" s="71"/>
      <c r="AS308" s="71">
        <f t="shared" si="109"/>
        <v>99.909880620416757</v>
      </c>
      <c r="AT308" s="17">
        <v>0</v>
      </c>
      <c r="AU308" s="71"/>
      <c r="AV308" s="71"/>
      <c r="AW308" s="71">
        <f t="shared" si="110"/>
        <v>89.214252251088965</v>
      </c>
      <c r="AX308" s="39">
        <v>3</v>
      </c>
      <c r="AY308" s="71"/>
      <c r="AZ308" s="71"/>
      <c r="BA308" s="71">
        <f t="shared" si="111"/>
        <v>111.80497096144313</v>
      </c>
      <c r="BH308" s="17">
        <v>1</v>
      </c>
      <c r="BI308" s="71"/>
      <c r="BJ308" s="71"/>
      <c r="BK308" s="71">
        <f t="shared" si="112"/>
        <v>103.49572319106498</v>
      </c>
      <c r="BL308" s="17">
        <v>0</v>
      </c>
      <c r="BM308" s="71"/>
      <c r="BN308" s="71"/>
      <c r="BO308" s="71">
        <f t="shared" si="113"/>
        <v>83.261163531413686</v>
      </c>
      <c r="BP308" s="17">
        <v>0</v>
      </c>
      <c r="BQ308" s="71"/>
      <c r="BR308" s="71"/>
      <c r="BS308" s="138">
        <f t="shared" si="114"/>
        <v>86.456710815818582</v>
      </c>
      <c r="BT308" s="17">
        <v>2</v>
      </c>
      <c r="BU308" s="71"/>
      <c r="BV308" s="71"/>
      <c r="BW308" s="71">
        <f t="shared" si="115"/>
        <v>102.51956289746849</v>
      </c>
      <c r="BY308" s="17">
        <v>1</v>
      </c>
      <c r="BZ308" s="71"/>
      <c r="CA308" s="71"/>
      <c r="CB308" s="71">
        <f t="shared" si="116"/>
        <v>91.01069683312474</v>
      </c>
      <c r="CC308" s="39">
        <v>1</v>
      </c>
      <c r="CD308" s="71"/>
      <c r="CE308" s="71"/>
      <c r="CF308" s="71">
        <f t="shared" si="117"/>
        <v>91.015574519921572</v>
      </c>
      <c r="CG308" s="17">
        <v>0</v>
      </c>
      <c r="CH308" s="71"/>
      <c r="CI308" s="71"/>
      <c r="CJ308" s="138">
        <f t="shared" si="118"/>
        <v>89.226340793489143</v>
      </c>
      <c r="CK308" s="39">
        <v>2</v>
      </c>
      <c r="CL308" s="71"/>
      <c r="CM308" s="71"/>
      <c r="CN308" s="71">
        <f t="shared" si="119"/>
        <v>100.22589057499034</v>
      </c>
      <c r="CS308" s="102">
        <f t="shared" si="120"/>
        <v>96.022900876599181</v>
      </c>
      <c r="CT308" s="102">
        <f t="shared" si="121"/>
        <v>8.0106064600647517</v>
      </c>
      <c r="CZ308" s="109" t="str">
        <f t="shared" si="124"/>
        <v>Basso</v>
      </c>
    </row>
    <row r="309" spans="1:104" x14ac:dyDescent="0.15">
      <c r="A309" s="17">
        <v>3</v>
      </c>
      <c r="B309" s="17">
        <v>1</v>
      </c>
      <c r="F309" s="17">
        <v>0</v>
      </c>
      <c r="I309" s="64">
        <f t="shared" si="100"/>
        <v>76.99972307006928</v>
      </c>
      <c r="J309" s="17">
        <v>1</v>
      </c>
      <c r="M309" s="64">
        <f t="shared" si="101"/>
        <v>95.705097084683388</v>
      </c>
      <c r="N309" s="17">
        <v>0</v>
      </c>
      <c r="Q309" s="64">
        <f t="shared" si="102"/>
        <v>82.559365058495843</v>
      </c>
      <c r="R309" s="17">
        <v>1</v>
      </c>
      <c r="U309" s="64">
        <f t="shared" si="103"/>
        <v>91.596562123700451</v>
      </c>
      <c r="V309" s="39">
        <v>2</v>
      </c>
      <c r="Y309" s="114">
        <f t="shared" si="104"/>
        <v>97.875621286587162</v>
      </c>
      <c r="Z309" s="17">
        <v>3</v>
      </c>
      <c r="AC309" s="64">
        <f t="shared" si="105"/>
        <v>109.50350141641081</v>
      </c>
      <c r="AD309" s="25">
        <v>2</v>
      </c>
      <c r="AE309" s="71"/>
      <c r="AF309" s="71"/>
      <c r="AG309" s="71">
        <f t="shared" si="106"/>
        <v>101.01229126330007</v>
      </c>
      <c r="AH309" s="17">
        <v>2</v>
      </c>
      <c r="AK309" s="64">
        <f t="shared" si="107"/>
        <v>99.518280131348902</v>
      </c>
      <c r="AL309" s="39">
        <v>3</v>
      </c>
      <c r="AM309" s="71"/>
      <c r="AN309" s="71"/>
      <c r="AO309" s="71">
        <f t="shared" si="108"/>
        <v>100.85056924463234</v>
      </c>
      <c r="AP309" s="17">
        <v>2</v>
      </c>
      <c r="AQ309" s="71"/>
      <c r="AR309" s="71"/>
      <c r="AS309" s="71">
        <f t="shared" si="109"/>
        <v>99.909880620416757</v>
      </c>
      <c r="AT309" s="17">
        <v>0</v>
      </c>
      <c r="AU309" s="71"/>
      <c r="AV309" s="71"/>
      <c r="AW309" s="71">
        <f t="shared" si="110"/>
        <v>89.214252251088965</v>
      </c>
      <c r="AX309" s="39">
        <v>1</v>
      </c>
      <c r="AY309" s="71"/>
      <c r="AZ309" s="71"/>
      <c r="BA309" s="71">
        <f t="shared" si="111"/>
        <v>90.050552929515405</v>
      </c>
      <c r="BH309" s="17">
        <v>0</v>
      </c>
      <c r="BI309" s="71"/>
      <c r="BJ309" s="71"/>
      <c r="BK309" s="71">
        <f t="shared" si="112"/>
        <v>92.176238572378367</v>
      </c>
      <c r="BL309" s="17">
        <v>3</v>
      </c>
      <c r="BM309" s="71"/>
      <c r="BN309" s="71"/>
      <c r="BO309" s="71">
        <f t="shared" si="113"/>
        <v>111.29665318323313</v>
      </c>
      <c r="BP309" s="17">
        <v>1</v>
      </c>
      <c r="BQ309" s="71"/>
      <c r="BR309" s="71"/>
      <c r="BS309" s="138">
        <f t="shared" si="114"/>
        <v>100.16171091563201</v>
      </c>
      <c r="BT309" s="17">
        <v>0</v>
      </c>
      <c r="BU309" s="71"/>
      <c r="BV309" s="71"/>
      <c r="BW309" s="71">
        <f t="shared" si="115"/>
        <v>83.482865449928767</v>
      </c>
      <c r="BY309" s="17">
        <v>1</v>
      </c>
      <c r="BZ309" s="71"/>
      <c r="CA309" s="71"/>
      <c r="CB309" s="71">
        <f t="shared" si="116"/>
        <v>91.01069683312474</v>
      </c>
      <c r="CC309" s="39">
        <v>2</v>
      </c>
      <c r="CD309" s="71"/>
      <c r="CE309" s="71"/>
      <c r="CF309" s="71">
        <f t="shared" si="117"/>
        <v>100.18886179687853</v>
      </c>
      <c r="CG309" s="17">
        <v>0</v>
      </c>
      <c r="CH309" s="71"/>
      <c r="CI309" s="71"/>
      <c r="CJ309" s="138">
        <f t="shared" si="118"/>
        <v>89.226340793489143</v>
      </c>
      <c r="CK309" s="39">
        <v>1</v>
      </c>
      <c r="CL309" s="71"/>
      <c r="CM309" s="71"/>
      <c r="CN309" s="71">
        <f t="shared" si="119"/>
        <v>90.625541137900711</v>
      </c>
      <c r="CS309" s="102">
        <f t="shared" si="120"/>
        <v>94.452996009829775</v>
      </c>
      <c r="CT309" s="102">
        <f t="shared" si="121"/>
        <v>9.1418302887582943</v>
      </c>
      <c r="CZ309" s="109" t="str">
        <f t="shared" si="124"/>
        <v>Basso</v>
      </c>
    </row>
    <row r="310" spans="1:104" x14ac:dyDescent="0.15">
      <c r="A310" s="17">
        <v>3</v>
      </c>
      <c r="B310" s="17">
        <v>2</v>
      </c>
      <c r="F310" s="17">
        <v>0</v>
      </c>
      <c r="I310" s="64">
        <f t="shared" si="100"/>
        <v>76.99972307006928</v>
      </c>
      <c r="J310" s="17">
        <v>0</v>
      </c>
      <c r="M310" s="64">
        <f t="shared" si="101"/>
        <v>81.388754033628004</v>
      </c>
      <c r="N310" s="17">
        <v>1</v>
      </c>
      <c r="Q310" s="64">
        <f t="shared" si="102"/>
        <v>98.246708656674187</v>
      </c>
      <c r="R310" s="17">
        <v>1</v>
      </c>
      <c r="U310" s="64">
        <f t="shared" si="103"/>
        <v>91.596562123700451</v>
      </c>
      <c r="V310" s="39">
        <v>4</v>
      </c>
      <c r="Y310" s="114">
        <f t="shared" si="104"/>
        <v>110.77363490373656</v>
      </c>
      <c r="Z310" s="17">
        <v>0</v>
      </c>
      <c r="AC310" s="64">
        <f t="shared" si="105"/>
        <v>85.509512691809249</v>
      </c>
      <c r="AD310" s="25">
        <v>2</v>
      </c>
      <c r="AE310" s="71"/>
      <c r="AF310" s="71"/>
      <c r="AG310" s="71">
        <f t="shared" si="106"/>
        <v>101.01229126330007</v>
      </c>
      <c r="AH310" s="17">
        <v>2</v>
      </c>
      <c r="AK310" s="64">
        <f t="shared" si="107"/>
        <v>99.518280131348902</v>
      </c>
      <c r="AL310" s="39">
        <v>3</v>
      </c>
      <c r="AM310" s="71"/>
      <c r="AN310" s="71"/>
      <c r="AO310" s="71">
        <f t="shared" si="108"/>
        <v>100.85056924463234</v>
      </c>
      <c r="AP310" s="17">
        <v>3</v>
      </c>
      <c r="AQ310" s="71"/>
      <c r="AR310" s="71"/>
      <c r="AS310" s="71">
        <f t="shared" si="109"/>
        <v>110.12341030651692</v>
      </c>
      <c r="AT310" s="17">
        <v>2</v>
      </c>
      <c r="AU310" s="71"/>
      <c r="AV310" s="71"/>
      <c r="AW310" s="71">
        <f t="shared" si="110"/>
        <v>110.91338973410525</v>
      </c>
      <c r="AX310" s="39">
        <v>1</v>
      </c>
      <c r="AY310" s="71"/>
      <c r="AZ310" s="71"/>
      <c r="BA310" s="71">
        <f t="shared" si="111"/>
        <v>90.050552929515405</v>
      </c>
      <c r="BH310" s="17">
        <v>0</v>
      </c>
      <c r="BI310" s="71"/>
      <c r="BJ310" s="71"/>
      <c r="BK310" s="71">
        <f t="shared" si="112"/>
        <v>92.176238572378367</v>
      </c>
      <c r="BL310" s="17">
        <v>2</v>
      </c>
      <c r="BM310" s="71"/>
      <c r="BN310" s="71"/>
      <c r="BO310" s="71">
        <f t="shared" si="113"/>
        <v>101.95148996595998</v>
      </c>
      <c r="BP310" s="17">
        <v>2</v>
      </c>
      <c r="BQ310" s="71"/>
      <c r="BR310" s="71"/>
      <c r="BS310" s="138">
        <f t="shared" si="114"/>
        <v>113.86671101544545</v>
      </c>
      <c r="BT310" s="17">
        <v>2</v>
      </c>
      <c r="BU310" s="71"/>
      <c r="BV310" s="71"/>
      <c r="BW310" s="71">
        <f t="shared" si="115"/>
        <v>102.51956289746849</v>
      </c>
      <c r="BY310" s="17">
        <v>3</v>
      </c>
      <c r="BZ310" s="71"/>
      <c r="CA310" s="71"/>
      <c r="CB310" s="71">
        <f t="shared" si="116"/>
        <v>110.05345743585116</v>
      </c>
      <c r="CC310" s="39">
        <v>2</v>
      </c>
      <c r="CD310" s="71"/>
      <c r="CE310" s="71"/>
      <c r="CF310" s="71">
        <f t="shared" si="117"/>
        <v>100.18886179687853</v>
      </c>
      <c r="CG310" s="17">
        <v>0</v>
      </c>
      <c r="CH310" s="71"/>
      <c r="CI310" s="71"/>
      <c r="CJ310" s="138">
        <f t="shared" si="118"/>
        <v>89.226340793489143</v>
      </c>
      <c r="CK310" s="39">
        <v>2</v>
      </c>
      <c r="CL310" s="71"/>
      <c r="CM310" s="71"/>
      <c r="CN310" s="71">
        <f t="shared" si="119"/>
        <v>100.22589057499034</v>
      </c>
      <c r="CS310" s="102">
        <f t="shared" si="120"/>
        <v>97.254426789931003</v>
      </c>
      <c r="CT310" s="102">
        <f t="shared" si="121"/>
        <v>9.7659869809844508</v>
      </c>
      <c r="CZ310" s="109" t="str">
        <f t="shared" si="124"/>
        <v>Basso</v>
      </c>
    </row>
    <row r="311" spans="1:104" x14ac:dyDescent="0.15">
      <c r="A311" s="17">
        <v>3</v>
      </c>
      <c r="B311" s="17">
        <v>1</v>
      </c>
      <c r="F311" s="17">
        <v>1</v>
      </c>
      <c r="I311" s="64">
        <f t="shared" si="100"/>
        <v>93.428492305734082</v>
      </c>
      <c r="J311" s="17">
        <v>2</v>
      </c>
      <c r="M311" s="64">
        <f t="shared" si="101"/>
        <v>110.02144013573877</v>
      </c>
      <c r="N311" s="17">
        <v>1</v>
      </c>
      <c r="Q311" s="64">
        <f t="shared" si="102"/>
        <v>98.246708656674187</v>
      </c>
      <c r="R311" s="17">
        <v>2</v>
      </c>
      <c r="U311" s="64">
        <f t="shared" si="103"/>
        <v>101.34799174124942</v>
      </c>
      <c r="V311" s="39">
        <v>4</v>
      </c>
      <c r="Y311" s="114">
        <f t="shared" si="104"/>
        <v>110.77363490373656</v>
      </c>
      <c r="Z311" s="17">
        <v>3</v>
      </c>
      <c r="AC311" s="64">
        <f t="shared" si="105"/>
        <v>109.50350141641081</v>
      </c>
      <c r="AD311" s="25">
        <v>2</v>
      </c>
      <c r="AE311" s="71"/>
      <c r="AF311" s="71"/>
      <c r="AG311" s="71">
        <f t="shared" si="106"/>
        <v>101.01229126330007</v>
      </c>
      <c r="AH311" s="17">
        <v>2</v>
      </c>
      <c r="AK311" s="64">
        <f t="shared" si="107"/>
        <v>99.518280131348902</v>
      </c>
      <c r="AL311" s="39">
        <v>2</v>
      </c>
      <c r="AM311" s="71"/>
      <c r="AN311" s="71"/>
      <c r="AO311" s="71">
        <f t="shared" si="108"/>
        <v>89.72774066097864</v>
      </c>
      <c r="AP311" s="17">
        <v>3</v>
      </c>
      <c r="AQ311" s="71"/>
      <c r="AR311" s="71"/>
      <c r="AS311" s="71">
        <f t="shared" si="109"/>
        <v>110.12341030651692</v>
      </c>
      <c r="AT311" s="17">
        <v>2</v>
      </c>
      <c r="AU311" s="71"/>
      <c r="AV311" s="71"/>
      <c r="AW311" s="71">
        <f t="shared" si="110"/>
        <v>110.91338973410525</v>
      </c>
      <c r="AX311" s="39">
        <v>3</v>
      </c>
      <c r="AY311" s="71"/>
      <c r="AZ311" s="71"/>
      <c r="BA311" s="71">
        <f t="shared" si="111"/>
        <v>111.80497096144313</v>
      </c>
      <c r="BH311" s="17">
        <v>2</v>
      </c>
      <c r="BI311" s="71"/>
      <c r="BJ311" s="71"/>
      <c r="BK311" s="71">
        <f t="shared" si="112"/>
        <v>114.81520780975161</v>
      </c>
      <c r="BL311" s="17">
        <v>3</v>
      </c>
      <c r="BM311" s="71"/>
      <c r="BN311" s="71"/>
      <c r="BO311" s="71">
        <f t="shared" si="113"/>
        <v>111.29665318323313</v>
      </c>
      <c r="BP311" s="17">
        <v>1</v>
      </c>
      <c r="BQ311" s="71"/>
      <c r="BR311" s="71"/>
      <c r="BS311" s="138">
        <f t="shared" si="114"/>
        <v>100.16171091563201</v>
      </c>
      <c r="BT311" s="17">
        <v>2</v>
      </c>
      <c r="BU311" s="71"/>
      <c r="BV311" s="71"/>
      <c r="BW311" s="71">
        <f t="shared" si="115"/>
        <v>102.51956289746849</v>
      </c>
      <c r="BY311" s="17">
        <v>2</v>
      </c>
      <c r="BZ311" s="71"/>
      <c r="CA311" s="71"/>
      <c r="CB311" s="71">
        <f t="shared" si="116"/>
        <v>100.53207713448795</v>
      </c>
      <c r="CC311" s="39">
        <v>3</v>
      </c>
      <c r="CD311" s="71"/>
      <c r="CE311" s="71"/>
      <c r="CF311" s="71">
        <f t="shared" si="117"/>
        <v>109.36214907383548</v>
      </c>
      <c r="CG311" s="17">
        <v>2</v>
      </c>
      <c r="CH311" s="71"/>
      <c r="CI311" s="71"/>
      <c r="CJ311" s="138">
        <f t="shared" si="118"/>
        <v>118.64838200002481</v>
      </c>
      <c r="CK311" s="39">
        <v>3</v>
      </c>
      <c r="CL311" s="71"/>
      <c r="CM311" s="71"/>
      <c r="CN311" s="71">
        <f t="shared" si="119"/>
        <v>109.82624001207998</v>
      </c>
      <c r="CS311" s="102">
        <f t="shared" si="120"/>
        <v>104.94118278966805</v>
      </c>
      <c r="CT311" s="102">
        <f t="shared" si="121"/>
        <v>7.1999200502310918</v>
      </c>
      <c r="CZ311" s="109" t="str">
        <f t="shared" si="124"/>
        <v>Basso</v>
      </c>
    </row>
    <row r="312" spans="1:104" x14ac:dyDescent="0.15">
      <c r="A312" s="17">
        <v>3</v>
      </c>
      <c r="B312" s="17">
        <v>2</v>
      </c>
      <c r="F312" s="17">
        <v>2</v>
      </c>
      <c r="I312" s="64">
        <f t="shared" si="100"/>
        <v>109.85726154139888</v>
      </c>
      <c r="J312" s="17">
        <v>1</v>
      </c>
      <c r="M312" s="64">
        <f t="shared" si="101"/>
        <v>95.705097084683388</v>
      </c>
      <c r="N312" s="17">
        <v>0</v>
      </c>
      <c r="Q312" s="64">
        <f t="shared" si="102"/>
        <v>82.559365058495843</v>
      </c>
      <c r="R312" s="17">
        <v>2</v>
      </c>
      <c r="U312" s="64">
        <f t="shared" si="103"/>
        <v>101.34799174124942</v>
      </c>
      <c r="V312" s="39">
        <v>0</v>
      </c>
      <c r="Y312" s="114">
        <f t="shared" si="104"/>
        <v>84.977607669437745</v>
      </c>
      <c r="Z312" s="17">
        <v>3</v>
      </c>
      <c r="AC312" s="64">
        <f t="shared" si="105"/>
        <v>109.50350141641081</v>
      </c>
      <c r="AD312" s="25">
        <v>0</v>
      </c>
      <c r="AE312" s="71"/>
      <c r="AF312" s="71"/>
      <c r="AG312" s="71">
        <f t="shared" si="106"/>
        <v>84.62281366701329</v>
      </c>
      <c r="AH312" s="17">
        <v>3</v>
      </c>
      <c r="AK312" s="64">
        <f t="shared" si="107"/>
        <v>110.43726382077395</v>
      </c>
      <c r="AL312" s="39">
        <v>3</v>
      </c>
      <c r="AM312" s="71"/>
      <c r="AN312" s="71"/>
      <c r="AO312" s="71">
        <f t="shared" si="108"/>
        <v>100.85056924463234</v>
      </c>
      <c r="AP312" s="17">
        <v>0</v>
      </c>
      <c r="AQ312" s="71"/>
      <c r="AR312" s="71"/>
      <c r="AS312" s="71">
        <f t="shared" si="109"/>
        <v>79.482821248216453</v>
      </c>
      <c r="AT312" s="17">
        <v>0</v>
      </c>
      <c r="AU312" s="71"/>
      <c r="AV312" s="71"/>
      <c r="AW312" s="71">
        <f t="shared" si="110"/>
        <v>89.214252251088965</v>
      </c>
      <c r="AX312" s="39">
        <v>1</v>
      </c>
      <c r="AY312" s="71"/>
      <c r="AZ312" s="71"/>
      <c r="BA312" s="71">
        <f t="shared" si="111"/>
        <v>90.050552929515405</v>
      </c>
      <c r="BH312" s="17">
        <v>0</v>
      </c>
      <c r="BI312" s="71"/>
      <c r="BJ312" s="71"/>
      <c r="BK312" s="71">
        <f t="shared" si="112"/>
        <v>92.176238572378367</v>
      </c>
      <c r="BL312" s="17">
        <v>1</v>
      </c>
      <c r="BM312" s="71"/>
      <c r="BN312" s="71"/>
      <c r="BO312" s="71">
        <f t="shared" si="113"/>
        <v>92.606326748686826</v>
      </c>
      <c r="BP312" s="17">
        <v>0</v>
      </c>
      <c r="BQ312" s="71"/>
      <c r="BR312" s="71"/>
      <c r="BS312" s="138">
        <f t="shared" si="114"/>
        <v>86.456710815818582</v>
      </c>
      <c r="BT312" s="17">
        <v>2</v>
      </c>
      <c r="BU312" s="71"/>
      <c r="BV312" s="71"/>
      <c r="BW312" s="71">
        <f t="shared" si="115"/>
        <v>102.51956289746849</v>
      </c>
      <c r="BY312" s="17">
        <v>3</v>
      </c>
      <c r="BZ312" s="71"/>
      <c r="CA312" s="71"/>
      <c r="CB312" s="71">
        <f t="shared" si="116"/>
        <v>110.05345743585116</v>
      </c>
      <c r="CC312" s="39">
        <v>3</v>
      </c>
      <c r="CD312" s="71"/>
      <c r="CE312" s="71"/>
      <c r="CF312" s="71">
        <f t="shared" si="117"/>
        <v>109.36214907383548</v>
      </c>
      <c r="CG312" s="17">
        <v>0</v>
      </c>
      <c r="CH312" s="71"/>
      <c r="CI312" s="71"/>
      <c r="CJ312" s="138">
        <f t="shared" si="118"/>
        <v>89.226340793489143</v>
      </c>
      <c r="CK312" s="39">
        <v>0</v>
      </c>
      <c r="CL312" s="71"/>
      <c r="CM312" s="71"/>
      <c r="CN312" s="71">
        <f t="shared" si="119"/>
        <v>81.025191700811078</v>
      </c>
      <c r="CS312" s="102">
        <f t="shared" si="120"/>
        <v>96.551436260735883</v>
      </c>
      <c r="CT312" s="102">
        <f t="shared" si="121"/>
        <v>11.076818184570257</v>
      </c>
      <c r="CZ312" s="109" t="str">
        <f t="shared" si="124"/>
        <v>Basso</v>
      </c>
    </row>
    <row r="313" spans="1:104" x14ac:dyDescent="0.15">
      <c r="A313" s="17">
        <v>3</v>
      </c>
      <c r="B313" s="17">
        <v>1</v>
      </c>
      <c r="F313" s="17">
        <v>1</v>
      </c>
      <c r="I313" s="64">
        <f t="shared" si="100"/>
        <v>93.428492305734082</v>
      </c>
      <c r="J313" s="17">
        <v>1</v>
      </c>
      <c r="M313" s="64">
        <f t="shared" si="101"/>
        <v>95.705097084683388</v>
      </c>
      <c r="N313" s="17">
        <v>1</v>
      </c>
      <c r="Q313" s="64">
        <f t="shared" si="102"/>
        <v>98.246708656674187</v>
      </c>
      <c r="R313" s="17">
        <v>2</v>
      </c>
      <c r="U313" s="64">
        <f t="shared" si="103"/>
        <v>101.34799174124942</v>
      </c>
      <c r="V313" s="39">
        <v>1</v>
      </c>
      <c r="Y313" s="114">
        <f t="shared" si="104"/>
        <v>91.426614478012453</v>
      </c>
      <c r="Z313" s="17">
        <v>0</v>
      </c>
      <c r="AC313" s="64">
        <f t="shared" si="105"/>
        <v>85.509512691809249</v>
      </c>
      <c r="AD313" s="25">
        <v>2</v>
      </c>
      <c r="AE313" s="71"/>
      <c r="AF313" s="71"/>
      <c r="AG313" s="71">
        <f t="shared" si="106"/>
        <v>101.01229126330007</v>
      </c>
      <c r="AH313" s="17">
        <v>1</v>
      </c>
      <c r="AK313" s="64">
        <f t="shared" si="107"/>
        <v>88.599296441923855</v>
      </c>
      <c r="AL313" s="39">
        <v>4</v>
      </c>
      <c r="AM313" s="71"/>
      <c r="AN313" s="71"/>
      <c r="AO313" s="71">
        <f t="shared" si="108"/>
        <v>111.97339782828605</v>
      </c>
      <c r="AP313" s="17">
        <v>2</v>
      </c>
      <c r="AQ313" s="71"/>
      <c r="AR313" s="71"/>
      <c r="AS313" s="71">
        <f t="shared" si="109"/>
        <v>99.909880620416757</v>
      </c>
      <c r="AT313" s="17">
        <v>0</v>
      </c>
      <c r="AU313" s="71"/>
      <c r="AV313" s="71"/>
      <c r="AW313" s="71">
        <f t="shared" si="110"/>
        <v>89.214252251088965</v>
      </c>
      <c r="AX313" s="39">
        <v>2</v>
      </c>
      <c r="AY313" s="71"/>
      <c r="AZ313" s="71"/>
      <c r="BA313" s="71">
        <f t="shared" si="111"/>
        <v>100.92776194547928</v>
      </c>
      <c r="BH313" s="17">
        <v>0</v>
      </c>
      <c r="BI313" s="71"/>
      <c r="BJ313" s="71"/>
      <c r="BK313" s="71">
        <f t="shared" si="112"/>
        <v>92.176238572378367</v>
      </c>
      <c r="BL313" s="17">
        <v>1</v>
      </c>
      <c r="BM313" s="71"/>
      <c r="BN313" s="71"/>
      <c r="BO313" s="71">
        <f t="shared" si="113"/>
        <v>92.606326748686826</v>
      </c>
      <c r="BP313" s="17">
        <v>1</v>
      </c>
      <c r="BQ313" s="71"/>
      <c r="BR313" s="71"/>
      <c r="BS313" s="138">
        <f t="shared" si="114"/>
        <v>100.16171091563201</v>
      </c>
      <c r="BT313" s="17">
        <v>2</v>
      </c>
      <c r="BU313" s="71"/>
      <c r="BV313" s="71"/>
      <c r="BW313" s="71">
        <f t="shared" si="115"/>
        <v>102.51956289746849</v>
      </c>
      <c r="BY313" s="17">
        <v>2</v>
      </c>
      <c r="BZ313" s="71"/>
      <c r="CA313" s="71"/>
      <c r="CB313" s="71">
        <f t="shared" si="116"/>
        <v>100.53207713448795</v>
      </c>
      <c r="CC313" s="39">
        <v>2</v>
      </c>
      <c r="CD313" s="71"/>
      <c r="CE313" s="71"/>
      <c r="CF313" s="71">
        <f t="shared" si="117"/>
        <v>100.18886179687853</v>
      </c>
      <c r="CG313" s="17">
        <v>0</v>
      </c>
      <c r="CH313" s="71"/>
      <c r="CI313" s="71"/>
      <c r="CJ313" s="138">
        <f t="shared" si="118"/>
        <v>89.226340793489143</v>
      </c>
      <c r="CK313" s="39">
        <v>0</v>
      </c>
      <c r="CL313" s="71"/>
      <c r="CM313" s="71"/>
      <c r="CN313" s="71">
        <f t="shared" si="119"/>
        <v>81.025191700811078</v>
      </c>
      <c r="CS313" s="102">
        <f t="shared" si="120"/>
        <v>96.17193774596214</v>
      </c>
      <c r="CT313" s="102">
        <f t="shared" si="121"/>
        <v>7.5063699059736484</v>
      </c>
      <c r="CZ313" s="109" t="str">
        <f t="shared" si="124"/>
        <v>Basso</v>
      </c>
    </row>
    <row r="314" spans="1:104" x14ac:dyDescent="0.15">
      <c r="A314" s="17">
        <v>2</v>
      </c>
      <c r="B314" s="17">
        <v>1</v>
      </c>
      <c r="F314" s="17">
        <v>1</v>
      </c>
      <c r="I314" s="64">
        <f t="shared" si="100"/>
        <v>93.428492305734082</v>
      </c>
      <c r="J314" s="17">
        <v>1</v>
      </c>
      <c r="M314" s="64">
        <f t="shared" si="101"/>
        <v>95.705097084683388</v>
      </c>
      <c r="N314" s="17">
        <v>0</v>
      </c>
      <c r="Q314" s="64">
        <f t="shared" si="102"/>
        <v>82.559365058495843</v>
      </c>
      <c r="R314" s="17">
        <v>0</v>
      </c>
      <c r="U314" s="64">
        <f t="shared" si="103"/>
        <v>81.845132506151486</v>
      </c>
      <c r="V314" s="39">
        <v>2</v>
      </c>
      <c r="Y314" s="114">
        <f t="shared" si="104"/>
        <v>97.875621286587162</v>
      </c>
      <c r="Z314" s="17">
        <v>0</v>
      </c>
      <c r="AC314" s="64">
        <f t="shared" si="105"/>
        <v>85.509512691809249</v>
      </c>
      <c r="AD314" s="25">
        <v>2</v>
      </c>
      <c r="AE314" s="71"/>
      <c r="AF314" s="71"/>
      <c r="AG314" s="71">
        <f t="shared" si="106"/>
        <v>101.01229126330007</v>
      </c>
      <c r="AH314" s="17">
        <v>2</v>
      </c>
      <c r="AK314" s="64">
        <f t="shared" si="107"/>
        <v>99.518280131348902</v>
      </c>
      <c r="AL314" s="39">
        <v>3</v>
      </c>
      <c r="AM314" s="71"/>
      <c r="AN314" s="71"/>
      <c r="AO314" s="71">
        <f t="shared" si="108"/>
        <v>100.85056924463234</v>
      </c>
      <c r="AP314" s="17">
        <v>1</v>
      </c>
      <c r="AQ314" s="71"/>
      <c r="AR314" s="71"/>
      <c r="AS314" s="71">
        <f t="shared" si="109"/>
        <v>89.696350934316598</v>
      </c>
      <c r="AT314" s="17">
        <v>0</v>
      </c>
      <c r="AU314" s="71"/>
      <c r="AV314" s="71"/>
      <c r="AW314" s="71">
        <f t="shared" si="110"/>
        <v>89.214252251088965</v>
      </c>
      <c r="AX314" s="39">
        <v>3</v>
      </c>
      <c r="AY314" s="71"/>
      <c r="AZ314" s="71"/>
      <c r="BA314" s="71">
        <f t="shared" si="111"/>
        <v>111.80497096144313</v>
      </c>
      <c r="BH314" s="17">
        <v>0</v>
      </c>
      <c r="BI314" s="71"/>
      <c r="BJ314" s="71"/>
      <c r="BK314" s="71">
        <f t="shared" si="112"/>
        <v>92.176238572378367</v>
      </c>
      <c r="BL314" s="17">
        <v>1</v>
      </c>
      <c r="BM314" s="71"/>
      <c r="BN314" s="71"/>
      <c r="BO314" s="71">
        <f t="shared" si="113"/>
        <v>92.606326748686826</v>
      </c>
      <c r="BP314" s="17">
        <v>0</v>
      </c>
      <c r="BQ314" s="71"/>
      <c r="BR314" s="71"/>
      <c r="BS314" s="138">
        <f t="shared" si="114"/>
        <v>86.456710815818582</v>
      </c>
      <c r="BT314" s="17">
        <v>0</v>
      </c>
      <c r="BU314" s="71"/>
      <c r="BV314" s="71"/>
      <c r="BW314" s="71">
        <f t="shared" si="115"/>
        <v>83.482865449928767</v>
      </c>
      <c r="BY314" s="17">
        <v>3</v>
      </c>
      <c r="BZ314" s="71"/>
      <c r="CA314" s="71"/>
      <c r="CB314" s="71">
        <f t="shared" si="116"/>
        <v>110.05345743585116</v>
      </c>
      <c r="CC314" s="39">
        <v>1</v>
      </c>
      <c r="CD314" s="71"/>
      <c r="CE314" s="71"/>
      <c r="CF314" s="71">
        <f t="shared" si="117"/>
        <v>91.015574519921572</v>
      </c>
      <c r="CG314" s="17">
        <v>1</v>
      </c>
      <c r="CH314" s="71"/>
      <c r="CI314" s="71"/>
      <c r="CJ314" s="138">
        <f t="shared" si="118"/>
        <v>103.93736139675698</v>
      </c>
      <c r="CK314" s="39">
        <v>2</v>
      </c>
      <c r="CL314" s="71"/>
      <c r="CM314" s="71"/>
      <c r="CN314" s="71">
        <f t="shared" si="119"/>
        <v>100.22589057499034</v>
      </c>
      <c r="CS314" s="102">
        <f t="shared" si="120"/>
        <v>94.15909810204478</v>
      </c>
      <c r="CT314" s="102">
        <f t="shared" si="121"/>
        <v>8.8733352017454212</v>
      </c>
      <c r="CZ314" s="109" t="str">
        <f t="shared" si="124"/>
        <v>Basso</v>
      </c>
    </row>
    <row r="315" spans="1:104" x14ac:dyDescent="0.15">
      <c r="A315" s="17">
        <v>1</v>
      </c>
      <c r="B315" s="17">
        <v>1</v>
      </c>
      <c r="F315" s="17">
        <v>2</v>
      </c>
      <c r="I315" s="64">
        <f t="shared" si="100"/>
        <v>109.85726154139888</v>
      </c>
      <c r="J315" s="17">
        <v>2</v>
      </c>
      <c r="M315" s="64">
        <f t="shared" si="101"/>
        <v>110.02144013573877</v>
      </c>
      <c r="N315" s="17">
        <v>2</v>
      </c>
      <c r="Q315" s="64">
        <f t="shared" si="102"/>
        <v>113.93405225485253</v>
      </c>
      <c r="R315" s="17">
        <v>3</v>
      </c>
      <c r="U315" s="64">
        <f t="shared" si="103"/>
        <v>111.09942135879838</v>
      </c>
      <c r="V315" s="39">
        <v>4</v>
      </c>
      <c r="Y315" s="114">
        <f t="shared" si="104"/>
        <v>110.77363490373656</v>
      </c>
      <c r="Z315" s="17">
        <v>3</v>
      </c>
      <c r="AC315" s="64">
        <f t="shared" si="105"/>
        <v>109.50350141641081</v>
      </c>
      <c r="AD315" s="25">
        <v>3</v>
      </c>
      <c r="AE315" s="71"/>
      <c r="AF315" s="71"/>
      <c r="AG315" s="71">
        <f t="shared" si="106"/>
        <v>109.20703006144345</v>
      </c>
      <c r="AH315" s="17">
        <v>3</v>
      </c>
      <c r="AK315" s="64">
        <f t="shared" si="107"/>
        <v>110.43726382077395</v>
      </c>
      <c r="AL315" s="39">
        <v>4</v>
      </c>
      <c r="AM315" s="71"/>
      <c r="AN315" s="71"/>
      <c r="AO315" s="71">
        <f t="shared" si="108"/>
        <v>111.97339782828605</v>
      </c>
      <c r="AP315" s="17">
        <v>3</v>
      </c>
      <c r="AQ315" s="71"/>
      <c r="AR315" s="71"/>
      <c r="AS315" s="71">
        <f t="shared" si="109"/>
        <v>110.12341030651692</v>
      </c>
      <c r="AT315" s="17">
        <v>2</v>
      </c>
      <c r="AU315" s="71"/>
      <c r="AV315" s="71"/>
      <c r="AW315" s="71">
        <f t="shared" si="110"/>
        <v>110.91338973410525</v>
      </c>
      <c r="AX315" s="39">
        <v>3</v>
      </c>
      <c r="AY315" s="71"/>
      <c r="AZ315" s="71"/>
      <c r="BA315" s="71">
        <f t="shared" si="111"/>
        <v>111.80497096144313</v>
      </c>
      <c r="BH315" s="17">
        <v>2</v>
      </c>
      <c r="BI315" s="71"/>
      <c r="BJ315" s="71"/>
      <c r="BK315" s="71">
        <f t="shared" si="112"/>
        <v>114.81520780975161</v>
      </c>
      <c r="BL315" s="17">
        <v>2</v>
      </c>
      <c r="BM315" s="71"/>
      <c r="BN315" s="71"/>
      <c r="BO315" s="71">
        <f t="shared" si="113"/>
        <v>101.95148996595998</v>
      </c>
      <c r="BP315" s="17">
        <v>2</v>
      </c>
      <c r="BQ315" s="71"/>
      <c r="BR315" s="71"/>
      <c r="BS315" s="138">
        <f t="shared" si="114"/>
        <v>113.86671101544545</v>
      </c>
      <c r="BT315" s="17">
        <v>3</v>
      </c>
      <c r="BU315" s="71"/>
      <c r="BV315" s="71"/>
      <c r="BW315" s="71">
        <f t="shared" si="115"/>
        <v>112.03791162123835</v>
      </c>
      <c r="BY315" s="17">
        <v>2</v>
      </c>
      <c r="BZ315" s="71"/>
      <c r="CA315" s="71"/>
      <c r="CB315" s="71">
        <f t="shared" si="116"/>
        <v>100.53207713448795</v>
      </c>
      <c r="CC315" s="39">
        <v>1</v>
      </c>
      <c r="CD315" s="71"/>
      <c r="CE315" s="71"/>
      <c r="CF315" s="71">
        <f t="shared" si="117"/>
        <v>91.015574519921572</v>
      </c>
      <c r="CG315" s="17">
        <v>1</v>
      </c>
      <c r="CH315" s="71"/>
      <c r="CI315" s="71"/>
      <c r="CJ315" s="138">
        <f t="shared" si="118"/>
        <v>103.93736139675698</v>
      </c>
      <c r="CK315" s="39">
        <v>1</v>
      </c>
      <c r="CL315" s="71"/>
      <c r="CM315" s="71"/>
      <c r="CN315" s="71">
        <f t="shared" si="119"/>
        <v>90.625541137900711</v>
      </c>
      <c r="CS315" s="102">
        <f t="shared" si="120"/>
        <v>107.63840832994285</v>
      </c>
      <c r="CT315" s="102">
        <f t="shared" si="121"/>
        <v>7.2822604055088345</v>
      </c>
      <c r="CZ315" s="109" t="str">
        <f t="shared" si="124"/>
        <v>Basso</v>
      </c>
    </row>
    <row r="316" spans="1:104" x14ac:dyDescent="0.15">
      <c r="A316" s="17">
        <v>2</v>
      </c>
      <c r="B316" s="17">
        <v>1</v>
      </c>
      <c r="F316" s="17">
        <v>1</v>
      </c>
      <c r="I316" s="64">
        <f t="shared" si="100"/>
        <v>93.428492305734082</v>
      </c>
      <c r="J316" s="17">
        <v>2</v>
      </c>
      <c r="M316" s="64">
        <f t="shared" si="101"/>
        <v>110.02144013573877</v>
      </c>
      <c r="N316" s="17">
        <v>1</v>
      </c>
      <c r="Q316" s="64">
        <f t="shared" si="102"/>
        <v>98.246708656674187</v>
      </c>
      <c r="R316" s="17">
        <v>3</v>
      </c>
      <c r="U316" s="64">
        <f t="shared" si="103"/>
        <v>111.09942135879838</v>
      </c>
      <c r="V316" s="39">
        <v>2</v>
      </c>
      <c r="Y316" s="114">
        <f t="shared" si="104"/>
        <v>97.875621286587162</v>
      </c>
      <c r="Z316" s="17">
        <v>3</v>
      </c>
      <c r="AC316" s="64">
        <f t="shared" si="105"/>
        <v>109.50350141641081</v>
      </c>
      <c r="AD316" s="25">
        <v>2</v>
      </c>
      <c r="AE316" s="71"/>
      <c r="AF316" s="71"/>
      <c r="AG316" s="71">
        <f t="shared" si="106"/>
        <v>101.01229126330007</v>
      </c>
      <c r="AH316" s="17">
        <v>3</v>
      </c>
      <c r="AK316" s="64">
        <f t="shared" si="107"/>
        <v>110.43726382077395</v>
      </c>
      <c r="AL316" s="39">
        <v>4</v>
      </c>
      <c r="AM316" s="71"/>
      <c r="AN316" s="71"/>
      <c r="AO316" s="71">
        <f t="shared" si="108"/>
        <v>111.97339782828605</v>
      </c>
      <c r="AP316" s="17">
        <v>1</v>
      </c>
      <c r="AQ316" s="71"/>
      <c r="AR316" s="71"/>
      <c r="AS316" s="71">
        <f t="shared" si="109"/>
        <v>89.696350934316598</v>
      </c>
      <c r="AT316" s="17">
        <v>0</v>
      </c>
      <c r="AU316" s="71"/>
      <c r="AV316" s="71"/>
      <c r="AW316" s="71">
        <f t="shared" si="110"/>
        <v>89.214252251088965</v>
      </c>
      <c r="AX316" s="39">
        <v>3</v>
      </c>
      <c r="AY316" s="71"/>
      <c r="AZ316" s="71"/>
      <c r="BA316" s="71">
        <f t="shared" si="111"/>
        <v>111.80497096144313</v>
      </c>
      <c r="BH316" s="17">
        <v>0</v>
      </c>
      <c r="BI316" s="71"/>
      <c r="BJ316" s="71"/>
      <c r="BK316" s="71">
        <f t="shared" si="112"/>
        <v>92.176238572378367</v>
      </c>
      <c r="BL316" s="17">
        <v>2</v>
      </c>
      <c r="BM316" s="71"/>
      <c r="BN316" s="71"/>
      <c r="BO316" s="71">
        <f t="shared" si="113"/>
        <v>101.95148996595998</v>
      </c>
      <c r="BP316" s="17">
        <v>1</v>
      </c>
      <c r="BQ316" s="71"/>
      <c r="BR316" s="71"/>
      <c r="BS316" s="138">
        <f t="shared" si="114"/>
        <v>100.16171091563201</v>
      </c>
      <c r="BT316" s="17">
        <v>2</v>
      </c>
      <c r="BU316" s="71"/>
      <c r="BV316" s="71"/>
      <c r="BW316" s="71">
        <f t="shared" si="115"/>
        <v>102.51956289746849</v>
      </c>
      <c r="BY316" s="17">
        <v>3</v>
      </c>
      <c r="BZ316" s="71"/>
      <c r="CA316" s="71"/>
      <c r="CB316" s="71">
        <f t="shared" si="116"/>
        <v>110.05345743585116</v>
      </c>
      <c r="CC316" s="39">
        <v>3</v>
      </c>
      <c r="CD316" s="71"/>
      <c r="CE316" s="71"/>
      <c r="CF316" s="71">
        <f t="shared" si="117"/>
        <v>109.36214907383548</v>
      </c>
      <c r="CG316" s="17">
        <v>1</v>
      </c>
      <c r="CH316" s="71"/>
      <c r="CI316" s="71"/>
      <c r="CJ316" s="138">
        <f t="shared" si="118"/>
        <v>103.93736139675698</v>
      </c>
      <c r="CK316" s="39">
        <v>1</v>
      </c>
      <c r="CL316" s="71"/>
      <c r="CM316" s="71"/>
      <c r="CN316" s="71">
        <f t="shared" si="119"/>
        <v>90.625541137900711</v>
      </c>
      <c r="CS316" s="102">
        <f t="shared" si="120"/>
        <v>102.53685470682113</v>
      </c>
      <c r="CT316" s="102">
        <f t="shared" si="121"/>
        <v>8.7104261388287902</v>
      </c>
      <c r="CZ316" s="109" t="str">
        <f t="shared" si="124"/>
        <v>Basso</v>
      </c>
    </row>
    <row r="317" spans="1:104" x14ac:dyDescent="0.15">
      <c r="A317" s="17">
        <v>3</v>
      </c>
      <c r="B317" s="17">
        <v>1</v>
      </c>
      <c r="F317" s="17">
        <v>1</v>
      </c>
      <c r="I317" s="64">
        <f t="shared" si="100"/>
        <v>93.428492305734082</v>
      </c>
      <c r="J317" s="17">
        <v>2</v>
      </c>
      <c r="M317" s="64">
        <f t="shared" si="101"/>
        <v>110.02144013573877</v>
      </c>
      <c r="N317" s="17">
        <v>1</v>
      </c>
      <c r="Q317" s="64">
        <f t="shared" si="102"/>
        <v>98.246708656674187</v>
      </c>
      <c r="R317" s="17">
        <v>3</v>
      </c>
      <c r="U317" s="64">
        <f t="shared" si="103"/>
        <v>111.09942135879838</v>
      </c>
      <c r="V317" s="39">
        <v>2</v>
      </c>
      <c r="Y317" s="114">
        <f t="shared" si="104"/>
        <v>97.875621286587162</v>
      </c>
      <c r="Z317" s="17">
        <v>3</v>
      </c>
      <c r="AC317" s="64">
        <f t="shared" si="105"/>
        <v>109.50350141641081</v>
      </c>
      <c r="AD317" s="25">
        <v>0</v>
      </c>
      <c r="AE317" s="71"/>
      <c r="AF317" s="71"/>
      <c r="AG317" s="71">
        <f t="shared" si="106"/>
        <v>84.62281366701329</v>
      </c>
      <c r="AH317" s="17">
        <v>2</v>
      </c>
      <c r="AK317" s="64">
        <f t="shared" si="107"/>
        <v>99.518280131348902</v>
      </c>
      <c r="AL317" s="39">
        <v>3</v>
      </c>
      <c r="AM317" s="71"/>
      <c r="AN317" s="71"/>
      <c r="AO317" s="71">
        <f t="shared" si="108"/>
        <v>100.85056924463234</v>
      </c>
      <c r="AP317" s="17">
        <v>2</v>
      </c>
      <c r="AQ317" s="71"/>
      <c r="AR317" s="71"/>
      <c r="AS317" s="71">
        <f t="shared" si="109"/>
        <v>99.909880620416757</v>
      </c>
      <c r="AT317" s="17">
        <v>0</v>
      </c>
      <c r="AU317" s="71"/>
      <c r="AV317" s="71"/>
      <c r="AW317" s="71">
        <f t="shared" si="110"/>
        <v>89.214252251088965</v>
      </c>
      <c r="AX317" s="39">
        <v>2</v>
      </c>
      <c r="AY317" s="71"/>
      <c r="AZ317" s="71"/>
      <c r="BA317" s="71">
        <f t="shared" si="111"/>
        <v>100.92776194547928</v>
      </c>
      <c r="BH317" s="17">
        <v>0</v>
      </c>
      <c r="BI317" s="71"/>
      <c r="BJ317" s="71"/>
      <c r="BK317" s="71">
        <f t="shared" si="112"/>
        <v>92.176238572378367</v>
      </c>
      <c r="BL317" s="17">
        <v>3</v>
      </c>
      <c r="BM317" s="71"/>
      <c r="BN317" s="71"/>
      <c r="BO317" s="71">
        <f t="shared" si="113"/>
        <v>111.29665318323313</v>
      </c>
      <c r="BP317" s="17">
        <v>1</v>
      </c>
      <c r="BQ317" s="71"/>
      <c r="BR317" s="71"/>
      <c r="BS317" s="138">
        <f t="shared" si="114"/>
        <v>100.16171091563201</v>
      </c>
      <c r="BT317" s="17">
        <v>1</v>
      </c>
      <c r="BU317" s="71"/>
      <c r="BV317" s="71"/>
      <c r="BW317" s="71">
        <f t="shared" si="115"/>
        <v>93.001214173698628</v>
      </c>
      <c r="BY317" s="17">
        <v>3</v>
      </c>
      <c r="BZ317" s="71"/>
      <c r="CA317" s="71"/>
      <c r="CB317" s="71">
        <f t="shared" si="116"/>
        <v>110.05345743585116</v>
      </c>
      <c r="CC317" s="39">
        <v>0</v>
      </c>
      <c r="CD317" s="71"/>
      <c r="CE317" s="71"/>
      <c r="CF317" s="71">
        <f t="shared" si="117"/>
        <v>81.842287242964616</v>
      </c>
      <c r="CG317" s="17">
        <v>0</v>
      </c>
      <c r="CH317" s="71"/>
      <c r="CI317" s="71"/>
      <c r="CJ317" s="138">
        <f t="shared" si="118"/>
        <v>89.226340793489143</v>
      </c>
      <c r="CK317" s="39">
        <v>2</v>
      </c>
      <c r="CL317" s="71"/>
      <c r="CM317" s="71"/>
      <c r="CN317" s="71">
        <f t="shared" si="119"/>
        <v>100.22589057499034</v>
      </c>
      <c r="CS317" s="102">
        <f t="shared" si="120"/>
        <v>99.172874289203065</v>
      </c>
      <c r="CT317" s="102">
        <f t="shared" si="121"/>
        <v>9.2595226537006656</v>
      </c>
      <c r="CZ317" s="109" t="str">
        <f t="shared" si="124"/>
        <v>Basso</v>
      </c>
    </row>
    <row r="318" spans="1:104" x14ac:dyDescent="0.15">
      <c r="A318" s="17">
        <v>4</v>
      </c>
      <c r="B318" s="17">
        <v>2</v>
      </c>
      <c r="F318" s="17">
        <v>0</v>
      </c>
      <c r="I318" s="64">
        <f t="shared" si="100"/>
        <v>76.99972307006928</v>
      </c>
      <c r="J318" s="17">
        <v>0</v>
      </c>
      <c r="M318" s="64">
        <f t="shared" si="101"/>
        <v>81.388754033628004</v>
      </c>
      <c r="N318" s="17">
        <v>0</v>
      </c>
      <c r="Q318" s="64">
        <f t="shared" si="102"/>
        <v>82.559365058495843</v>
      </c>
      <c r="R318" s="17">
        <v>0</v>
      </c>
      <c r="U318" s="64">
        <f t="shared" si="103"/>
        <v>81.845132506151486</v>
      </c>
      <c r="V318" s="39">
        <v>5</v>
      </c>
      <c r="Y318" s="114">
        <f t="shared" si="104"/>
        <v>117.22264171231127</v>
      </c>
      <c r="Z318" s="17">
        <v>0</v>
      </c>
      <c r="AC318" s="64">
        <f t="shared" si="105"/>
        <v>85.509512691809249</v>
      </c>
      <c r="AD318" s="25">
        <v>0</v>
      </c>
      <c r="AE318" s="71"/>
      <c r="AF318" s="71"/>
      <c r="AG318" s="71">
        <f t="shared" si="106"/>
        <v>84.62281366701329</v>
      </c>
      <c r="AH318" s="17">
        <v>0</v>
      </c>
      <c r="AK318" s="64">
        <f t="shared" si="107"/>
        <v>77.680312752498807</v>
      </c>
      <c r="AL318" s="39">
        <v>3</v>
      </c>
      <c r="AM318" s="71"/>
      <c r="AN318" s="71"/>
      <c r="AO318" s="71">
        <f t="shared" si="108"/>
        <v>100.85056924463234</v>
      </c>
      <c r="AP318" s="17">
        <v>0</v>
      </c>
      <c r="AQ318" s="71"/>
      <c r="AR318" s="71"/>
      <c r="AS318" s="71">
        <f t="shared" si="109"/>
        <v>79.482821248216453</v>
      </c>
      <c r="AT318" s="17">
        <v>0</v>
      </c>
      <c r="AU318" s="71"/>
      <c r="AV318" s="71"/>
      <c r="AW318" s="71">
        <f t="shared" si="110"/>
        <v>89.214252251088965</v>
      </c>
      <c r="AX318" s="39">
        <v>0</v>
      </c>
      <c r="AY318" s="71"/>
      <c r="AZ318" s="71"/>
      <c r="BA318" s="71">
        <f t="shared" si="111"/>
        <v>79.173343913551548</v>
      </c>
      <c r="BH318" s="17">
        <v>0</v>
      </c>
      <c r="BI318" s="71"/>
      <c r="BJ318" s="71"/>
      <c r="BK318" s="71">
        <f t="shared" si="112"/>
        <v>92.176238572378367</v>
      </c>
      <c r="BL318" s="17">
        <v>0</v>
      </c>
      <c r="BM318" s="71"/>
      <c r="BN318" s="71"/>
      <c r="BO318" s="71">
        <f t="shared" si="113"/>
        <v>83.261163531413686</v>
      </c>
      <c r="BP318" s="17"/>
      <c r="BQ318" s="71"/>
      <c r="BR318" s="71"/>
      <c r="BS318" s="138">
        <f t="shared" si="114"/>
        <v>86.456710815818582</v>
      </c>
      <c r="BT318" s="17">
        <v>0</v>
      </c>
      <c r="BU318" s="71"/>
      <c r="BV318" s="71"/>
      <c r="BW318" s="71">
        <f t="shared" si="115"/>
        <v>83.482865449928767</v>
      </c>
      <c r="BY318" s="17">
        <v>0</v>
      </c>
      <c r="BZ318" s="71"/>
      <c r="CA318" s="71"/>
      <c r="CB318" s="71">
        <f t="shared" si="116"/>
        <v>81.489316531761531</v>
      </c>
      <c r="CC318" s="39">
        <v>0</v>
      </c>
      <c r="CD318" s="71"/>
      <c r="CE318" s="71"/>
      <c r="CF318" s="71">
        <f t="shared" si="117"/>
        <v>81.842287242964616</v>
      </c>
      <c r="CG318" s="17">
        <v>0</v>
      </c>
      <c r="CH318" s="71"/>
      <c r="CI318" s="71"/>
      <c r="CJ318" s="138">
        <f t="shared" si="118"/>
        <v>89.226340793489143</v>
      </c>
      <c r="CK318" s="39">
        <v>2</v>
      </c>
      <c r="CL318" s="71"/>
      <c r="CM318" s="71"/>
      <c r="CN318" s="71">
        <f t="shared" si="119"/>
        <v>100.22589057499034</v>
      </c>
      <c r="CS318" s="102">
        <f t="shared" si="120"/>
        <v>84.812021314152503</v>
      </c>
      <c r="CT318" s="102">
        <f t="shared" si="121"/>
        <v>7.0297203452715049</v>
      </c>
      <c r="CZ318" s="109" t="str">
        <f t="shared" si="124"/>
        <v>Basso</v>
      </c>
    </row>
    <row r="319" spans="1:104" x14ac:dyDescent="0.15">
      <c r="A319" s="17">
        <v>3</v>
      </c>
      <c r="B319" s="17">
        <v>1</v>
      </c>
      <c r="F319" s="17">
        <v>2</v>
      </c>
      <c r="I319" s="64">
        <f t="shared" si="100"/>
        <v>109.85726154139888</v>
      </c>
      <c r="J319" s="17">
        <v>1</v>
      </c>
      <c r="M319" s="64">
        <f t="shared" si="101"/>
        <v>95.705097084683388</v>
      </c>
      <c r="N319" s="17">
        <v>1</v>
      </c>
      <c r="Q319" s="64">
        <f t="shared" si="102"/>
        <v>98.246708656674187</v>
      </c>
      <c r="R319" s="17">
        <v>2</v>
      </c>
      <c r="U319" s="64">
        <f t="shared" si="103"/>
        <v>101.34799174124942</v>
      </c>
      <c r="V319" s="39">
        <v>4</v>
      </c>
      <c r="Y319" s="114">
        <f t="shared" si="104"/>
        <v>110.77363490373656</v>
      </c>
      <c r="Z319" s="17">
        <v>0</v>
      </c>
      <c r="AC319" s="64">
        <f t="shared" si="105"/>
        <v>85.509512691809249</v>
      </c>
      <c r="AD319" s="25">
        <v>3</v>
      </c>
      <c r="AE319" s="71"/>
      <c r="AF319" s="71"/>
      <c r="AG319" s="71">
        <f t="shared" si="106"/>
        <v>109.20703006144345</v>
      </c>
      <c r="AH319" s="17">
        <v>1</v>
      </c>
      <c r="AK319" s="64">
        <f t="shared" si="107"/>
        <v>88.599296441923855</v>
      </c>
      <c r="AL319" s="39">
        <v>3</v>
      </c>
      <c r="AM319" s="71"/>
      <c r="AN319" s="71"/>
      <c r="AO319" s="71">
        <f t="shared" si="108"/>
        <v>100.85056924463234</v>
      </c>
      <c r="AP319" s="17">
        <v>2</v>
      </c>
      <c r="AQ319" s="71"/>
      <c r="AR319" s="71"/>
      <c r="AS319" s="71">
        <f t="shared" si="109"/>
        <v>99.909880620416757</v>
      </c>
      <c r="AT319" s="17">
        <v>1</v>
      </c>
      <c r="AU319" s="71"/>
      <c r="AV319" s="71"/>
      <c r="AW319" s="71">
        <f t="shared" si="110"/>
        <v>100.0638209925971</v>
      </c>
      <c r="AX319" s="39">
        <v>3</v>
      </c>
      <c r="AY319" s="71"/>
      <c r="AZ319" s="71"/>
      <c r="BA319" s="71">
        <f t="shared" si="111"/>
        <v>111.80497096144313</v>
      </c>
      <c r="BH319" s="17">
        <v>1</v>
      </c>
      <c r="BI319" s="71"/>
      <c r="BJ319" s="71"/>
      <c r="BK319" s="71">
        <f t="shared" si="112"/>
        <v>103.49572319106498</v>
      </c>
      <c r="BL319" s="17">
        <v>2</v>
      </c>
      <c r="BM319" s="71"/>
      <c r="BN319" s="71"/>
      <c r="BO319" s="71">
        <f t="shared" si="113"/>
        <v>101.95148996595998</v>
      </c>
      <c r="BP319" s="17">
        <v>2</v>
      </c>
      <c r="BQ319" s="71"/>
      <c r="BR319" s="71"/>
      <c r="BS319" s="138">
        <f t="shared" si="114"/>
        <v>113.86671101544545</v>
      </c>
      <c r="BT319" s="17">
        <v>2</v>
      </c>
      <c r="BU319" s="71"/>
      <c r="BV319" s="71"/>
      <c r="BW319" s="71">
        <f t="shared" si="115"/>
        <v>102.51956289746849</v>
      </c>
      <c r="BY319" s="17">
        <v>0</v>
      </c>
      <c r="BZ319" s="71"/>
      <c r="CA319" s="71"/>
      <c r="CB319" s="71">
        <f t="shared" si="116"/>
        <v>81.489316531761531</v>
      </c>
      <c r="CC319" s="39">
        <v>3</v>
      </c>
      <c r="CD319" s="71"/>
      <c r="CE319" s="71"/>
      <c r="CF319" s="71">
        <f t="shared" si="117"/>
        <v>109.36214907383548</v>
      </c>
      <c r="CG319" s="17">
        <v>0</v>
      </c>
      <c r="CH319" s="71"/>
      <c r="CI319" s="71"/>
      <c r="CJ319" s="138">
        <f t="shared" si="118"/>
        <v>89.226340793489143</v>
      </c>
      <c r="CK319" s="39">
        <v>3</v>
      </c>
      <c r="CL319" s="71"/>
      <c r="CM319" s="71"/>
      <c r="CN319" s="71">
        <f t="shared" si="119"/>
        <v>109.82624001207998</v>
      </c>
      <c r="CS319" s="102">
        <f t="shared" si="120"/>
        <v>100.57333068884955</v>
      </c>
      <c r="CT319" s="102">
        <f t="shared" si="121"/>
        <v>8.7641113396015253</v>
      </c>
      <c r="CZ319" s="109" t="str">
        <f t="shared" si="124"/>
        <v>Basso</v>
      </c>
    </row>
    <row r="320" spans="1:104" x14ac:dyDescent="0.15">
      <c r="A320" s="17">
        <v>3</v>
      </c>
      <c r="B320" s="17">
        <v>2</v>
      </c>
      <c r="F320" s="17">
        <v>2</v>
      </c>
      <c r="I320" s="64">
        <f t="shared" si="100"/>
        <v>109.85726154139888</v>
      </c>
      <c r="J320" s="17">
        <v>2</v>
      </c>
      <c r="M320" s="64">
        <f t="shared" si="101"/>
        <v>110.02144013573877</v>
      </c>
      <c r="N320" s="17">
        <v>2</v>
      </c>
      <c r="Q320" s="64">
        <f t="shared" si="102"/>
        <v>113.93405225485253</v>
      </c>
      <c r="R320" s="17">
        <v>3</v>
      </c>
      <c r="U320" s="64">
        <f t="shared" si="103"/>
        <v>111.09942135879838</v>
      </c>
      <c r="V320" s="148">
        <v>1</v>
      </c>
      <c r="Y320" s="114">
        <f t="shared" si="104"/>
        <v>91.426614478012453</v>
      </c>
      <c r="Z320" s="17">
        <v>0</v>
      </c>
      <c r="AC320" s="64">
        <f t="shared" si="105"/>
        <v>85.509512691809249</v>
      </c>
      <c r="AD320" s="25">
        <v>0</v>
      </c>
      <c r="AE320" s="71"/>
      <c r="AF320" s="71"/>
      <c r="AG320" s="71">
        <f t="shared" si="106"/>
        <v>84.62281366701329</v>
      </c>
      <c r="AH320" s="17">
        <v>3</v>
      </c>
      <c r="AK320" s="64">
        <f t="shared" si="107"/>
        <v>110.43726382077395</v>
      </c>
      <c r="AL320" s="39">
        <v>3</v>
      </c>
      <c r="AM320" s="71"/>
      <c r="AN320" s="71"/>
      <c r="AO320" s="71">
        <f t="shared" si="108"/>
        <v>100.85056924463234</v>
      </c>
      <c r="AP320" s="17">
        <v>0</v>
      </c>
      <c r="AQ320" s="71"/>
      <c r="AR320" s="71"/>
      <c r="AS320" s="71">
        <f t="shared" si="109"/>
        <v>79.482821248216453</v>
      </c>
      <c r="AT320" s="17">
        <v>1</v>
      </c>
      <c r="AU320" s="71"/>
      <c r="AV320" s="71"/>
      <c r="AW320" s="71">
        <f t="shared" si="110"/>
        <v>100.0638209925971</v>
      </c>
      <c r="AX320" s="39">
        <v>1</v>
      </c>
      <c r="AY320" s="71"/>
      <c r="AZ320" s="71"/>
      <c r="BA320" s="71">
        <f t="shared" si="111"/>
        <v>90.050552929515405</v>
      </c>
      <c r="BH320" s="17">
        <v>0</v>
      </c>
      <c r="BI320" s="71"/>
      <c r="BJ320" s="71"/>
      <c r="BK320" s="71">
        <f t="shared" si="112"/>
        <v>92.176238572378367</v>
      </c>
      <c r="BL320" s="17">
        <v>1</v>
      </c>
      <c r="BM320" s="71"/>
      <c r="BN320" s="71"/>
      <c r="BO320" s="71">
        <f t="shared" si="113"/>
        <v>92.606326748686826</v>
      </c>
      <c r="BP320" s="17">
        <v>0</v>
      </c>
      <c r="BQ320" s="71"/>
      <c r="BR320" s="71"/>
      <c r="BS320" s="138">
        <f t="shared" si="114"/>
        <v>86.456710815818582</v>
      </c>
      <c r="BT320" s="17">
        <v>1</v>
      </c>
      <c r="BU320" s="71"/>
      <c r="BV320" s="71"/>
      <c r="BW320" s="71">
        <f t="shared" si="115"/>
        <v>93.001214173698628</v>
      </c>
      <c r="BY320" s="17">
        <v>3</v>
      </c>
      <c r="BZ320" s="71"/>
      <c r="CA320" s="71"/>
      <c r="CB320" s="71">
        <f t="shared" si="116"/>
        <v>110.05345743585116</v>
      </c>
      <c r="CC320" s="39">
        <v>3</v>
      </c>
      <c r="CD320" s="71"/>
      <c r="CE320" s="71"/>
      <c r="CF320" s="71">
        <f t="shared" si="117"/>
        <v>109.36214907383548</v>
      </c>
      <c r="CG320" s="17">
        <v>0</v>
      </c>
      <c r="CH320" s="71"/>
      <c r="CI320" s="71"/>
      <c r="CJ320" s="138">
        <f t="shared" si="118"/>
        <v>89.226340793489143</v>
      </c>
      <c r="CK320" s="39">
        <v>3</v>
      </c>
      <c r="CL320" s="71"/>
      <c r="CM320" s="71"/>
      <c r="CN320" s="71">
        <f t="shared" si="119"/>
        <v>109.82624001207998</v>
      </c>
      <c r="CS320" s="102">
        <f t="shared" si="120"/>
        <v>100.17383270011041</v>
      </c>
      <c r="CT320" s="102">
        <f t="shared" si="121"/>
        <v>11.293294017219864</v>
      </c>
      <c r="CZ320" s="109" t="str">
        <f t="shared" si="124"/>
        <v>Basso</v>
      </c>
    </row>
    <row r="321" spans="1:104" x14ac:dyDescent="0.15">
      <c r="A321" s="17">
        <v>0</v>
      </c>
      <c r="B321" s="17">
        <v>0</v>
      </c>
      <c r="F321" s="17">
        <v>2</v>
      </c>
      <c r="I321" s="64">
        <f t="shared" si="100"/>
        <v>109.85726154139888</v>
      </c>
      <c r="J321" s="17">
        <v>0</v>
      </c>
      <c r="M321" s="64">
        <f t="shared" si="101"/>
        <v>81.388754033628004</v>
      </c>
      <c r="N321" s="17">
        <v>1</v>
      </c>
      <c r="Q321" s="64">
        <f t="shared" si="102"/>
        <v>98.246708656674187</v>
      </c>
      <c r="R321" s="17">
        <v>3</v>
      </c>
      <c r="U321" s="64">
        <f t="shared" si="103"/>
        <v>111.09942135879838</v>
      </c>
      <c r="V321" s="39">
        <v>2</v>
      </c>
      <c r="Y321" s="114">
        <f t="shared" si="104"/>
        <v>97.875621286587162</v>
      </c>
      <c r="Z321" s="17">
        <v>3</v>
      </c>
      <c r="AC321" s="64">
        <f t="shared" si="105"/>
        <v>109.50350141641081</v>
      </c>
      <c r="AD321" s="25">
        <v>3</v>
      </c>
      <c r="AE321" s="71"/>
      <c r="AF321" s="71"/>
      <c r="AG321" s="71">
        <f t="shared" si="106"/>
        <v>109.20703006144345</v>
      </c>
      <c r="AH321" s="17">
        <v>2</v>
      </c>
      <c r="AK321" s="64">
        <f t="shared" si="107"/>
        <v>99.518280131348902</v>
      </c>
      <c r="AL321" s="39">
        <v>4</v>
      </c>
      <c r="AM321" s="71"/>
      <c r="AN321" s="71"/>
      <c r="AO321" s="71">
        <f t="shared" si="108"/>
        <v>111.97339782828605</v>
      </c>
      <c r="AP321" s="17">
        <v>3</v>
      </c>
      <c r="AQ321" s="71"/>
      <c r="AR321" s="71"/>
      <c r="AS321" s="71">
        <f t="shared" si="109"/>
        <v>110.12341030651692</v>
      </c>
      <c r="AT321" s="17">
        <v>0</v>
      </c>
      <c r="AU321" s="71"/>
      <c r="AV321" s="71"/>
      <c r="AW321" s="71">
        <f t="shared" si="110"/>
        <v>89.214252251088965</v>
      </c>
      <c r="AX321" s="39">
        <v>2</v>
      </c>
      <c r="AY321" s="71"/>
      <c r="AZ321" s="71"/>
      <c r="BA321" s="71">
        <f t="shared" si="111"/>
        <v>100.92776194547928</v>
      </c>
      <c r="BH321" s="17">
        <v>0</v>
      </c>
      <c r="BI321" s="71"/>
      <c r="BJ321" s="71"/>
      <c r="BK321" s="71">
        <f t="shared" si="112"/>
        <v>92.176238572378367</v>
      </c>
      <c r="BL321" s="17">
        <v>2</v>
      </c>
      <c r="BM321" s="71"/>
      <c r="BN321" s="71"/>
      <c r="BO321" s="71">
        <f t="shared" si="113"/>
        <v>101.95148996595998</v>
      </c>
      <c r="BP321" s="17">
        <v>1</v>
      </c>
      <c r="BQ321" s="71"/>
      <c r="BR321" s="71"/>
      <c r="BS321" s="138">
        <f t="shared" si="114"/>
        <v>100.16171091563201</v>
      </c>
      <c r="BT321" s="17">
        <v>3</v>
      </c>
      <c r="BU321" s="71"/>
      <c r="BV321" s="71"/>
      <c r="BW321" s="71">
        <f t="shared" si="115"/>
        <v>112.03791162123835</v>
      </c>
      <c r="BY321" s="17">
        <v>3</v>
      </c>
      <c r="BZ321" s="71"/>
      <c r="CA321" s="71"/>
      <c r="CB321" s="71">
        <f t="shared" si="116"/>
        <v>110.05345743585116</v>
      </c>
      <c r="CC321" s="39">
        <v>3</v>
      </c>
      <c r="CD321" s="71"/>
      <c r="CE321" s="71"/>
      <c r="CF321" s="71">
        <f t="shared" si="117"/>
        <v>109.36214907383548</v>
      </c>
      <c r="CG321" s="17">
        <v>1</v>
      </c>
      <c r="CH321" s="71"/>
      <c r="CI321" s="71"/>
      <c r="CJ321" s="138">
        <f t="shared" si="118"/>
        <v>103.93736139675698</v>
      </c>
      <c r="CK321" s="39">
        <v>3</v>
      </c>
      <c r="CL321" s="71"/>
      <c r="CM321" s="71"/>
      <c r="CN321" s="71">
        <f t="shared" si="119"/>
        <v>109.82624001207998</v>
      </c>
      <c r="CS321" s="102">
        <f t="shared" si="120"/>
        <v>103.90983918896573</v>
      </c>
      <c r="CT321" s="102">
        <f t="shared" si="121"/>
        <v>9.1634581192087357</v>
      </c>
      <c r="CZ321" s="109" t="str">
        <f t="shared" si="124"/>
        <v>Basso</v>
      </c>
    </row>
    <row r="322" spans="1:104" x14ac:dyDescent="0.15">
      <c r="A322" s="17">
        <v>2</v>
      </c>
      <c r="B322" s="17">
        <v>1</v>
      </c>
      <c r="F322" s="17">
        <v>2</v>
      </c>
      <c r="I322" s="64">
        <f t="shared" si="100"/>
        <v>109.85726154139888</v>
      </c>
      <c r="J322" s="17">
        <v>2</v>
      </c>
      <c r="M322" s="64">
        <f t="shared" si="101"/>
        <v>110.02144013573877</v>
      </c>
      <c r="N322" s="17">
        <v>1</v>
      </c>
      <c r="Q322" s="64">
        <f t="shared" si="102"/>
        <v>98.246708656674187</v>
      </c>
      <c r="R322" s="17">
        <v>2</v>
      </c>
      <c r="U322" s="64">
        <f t="shared" si="103"/>
        <v>101.34799174124942</v>
      </c>
      <c r="V322" s="39">
        <v>4</v>
      </c>
      <c r="Y322" s="114">
        <f t="shared" si="104"/>
        <v>110.77363490373656</v>
      </c>
      <c r="Z322" s="17">
        <v>3</v>
      </c>
      <c r="AC322" s="64">
        <f t="shared" si="105"/>
        <v>109.50350141641081</v>
      </c>
      <c r="AD322" s="25">
        <v>2</v>
      </c>
      <c r="AE322" s="71"/>
      <c r="AF322" s="71"/>
      <c r="AG322" s="71">
        <f t="shared" si="106"/>
        <v>101.01229126330007</v>
      </c>
      <c r="AH322" s="17">
        <v>3</v>
      </c>
      <c r="AK322" s="64">
        <f t="shared" si="107"/>
        <v>110.43726382077395</v>
      </c>
      <c r="AL322" s="39">
        <v>3</v>
      </c>
      <c r="AM322" s="71"/>
      <c r="AN322" s="71"/>
      <c r="AO322" s="71">
        <f t="shared" si="108"/>
        <v>100.85056924463234</v>
      </c>
      <c r="AP322" s="17">
        <v>2</v>
      </c>
      <c r="AQ322" s="71"/>
      <c r="AR322" s="71"/>
      <c r="AS322" s="71">
        <f t="shared" si="109"/>
        <v>99.909880620416757</v>
      </c>
      <c r="AT322" s="17">
        <v>2</v>
      </c>
      <c r="AU322" s="71"/>
      <c r="AV322" s="71"/>
      <c r="AW322" s="71">
        <f t="shared" si="110"/>
        <v>110.91338973410525</v>
      </c>
      <c r="AX322" s="39">
        <v>1</v>
      </c>
      <c r="AY322" s="71"/>
      <c r="AZ322" s="71"/>
      <c r="BA322" s="71">
        <f t="shared" si="111"/>
        <v>90.050552929515405</v>
      </c>
      <c r="BH322" s="17">
        <v>0</v>
      </c>
      <c r="BI322" s="71"/>
      <c r="BJ322" s="71"/>
      <c r="BK322" s="71">
        <f t="shared" si="112"/>
        <v>92.176238572378367</v>
      </c>
      <c r="BL322" s="17">
        <v>1</v>
      </c>
      <c r="BM322" s="71"/>
      <c r="BN322" s="71"/>
      <c r="BO322" s="71">
        <f t="shared" si="113"/>
        <v>92.606326748686826</v>
      </c>
      <c r="BP322" s="17">
        <v>2</v>
      </c>
      <c r="BQ322" s="71"/>
      <c r="BR322" s="71"/>
      <c r="BS322" s="138">
        <f t="shared" si="114"/>
        <v>113.86671101544545</v>
      </c>
      <c r="BT322" s="17">
        <v>2</v>
      </c>
      <c r="BU322" s="71"/>
      <c r="BV322" s="71"/>
      <c r="BW322" s="71">
        <f t="shared" si="115"/>
        <v>102.51956289746849</v>
      </c>
      <c r="BY322" s="17">
        <v>3</v>
      </c>
      <c r="BZ322" s="71"/>
      <c r="CA322" s="71"/>
      <c r="CB322" s="71">
        <f t="shared" si="116"/>
        <v>110.05345743585116</v>
      </c>
      <c r="CC322" s="39">
        <v>2</v>
      </c>
      <c r="CD322" s="71"/>
      <c r="CE322" s="71"/>
      <c r="CF322" s="71">
        <f t="shared" si="117"/>
        <v>100.18886179687853</v>
      </c>
      <c r="CG322" s="17">
        <v>0</v>
      </c>
      <c r="CH322" s="71"/>
      <c r="CI322" s="71"/>
      <c r="CJ322" s="138">
        <f t="shared" si="118"/>
        <v>89.226340793489143</v>
      </c>
      <c r="CK322" s="39">
        <v>2</v>
      </c>
      <c r="CL322" s="71"/>
      <c r="CM322" s="71"/>
      <c r="CN322" s="71">
        <f t="shared" si="119"/>
        <v>100.22589057499034</v>
      </c>
      <c r="CS322" s="102">
        <f t="shared" si="120"/>
        <v>102.34830524296879</v>
      </c>
      <c r="CT322" s="102">
        <f t="shared" si="121"/>
        <v>6.8521269456000899</v>
      </c>
      <c r="CZ322" s="109" t="str">
        <f t="shared" si="124"/>
        <v>Basso</v>
      </c>
    </row>
    <row r="323" spans="1:104" x14ac:dyDescent="0.15">
      <c r="A323" s="17">
        <v>3</v>
      </c>
      <c r="B323" s="17">
        <v>1</v>
      </c>
      <c r="F323" s="17">
        <v>2</v>
      </c>
      <c r="I323" s="64">
        <f t="shared" ref="I323:I341" si="125">100 + ((F323 - $G$2) / $H$2) * 10</f>
        <v>109.85726154139888</v>
      </c>
      <c r="J323" s="17">
        <v>2</v>
      </c>
      <c r="M323" s="64">
        <f t="shared" ref="M323:M341" si="126">100 + ((J323 - $K$2) / $L$2) * 10</f>
        <v>110.02144013573877</v>
      </c>
      <c r="N323" s="17">
        <v>1</v>
      </c>
      <c r="Q323" s="64">
        <f t="shared" ref="Q323:Q341" si="127">100 + ((N323 - $O$2) / $P$2) * 10</f>
        <v>98.246708656674187</v>
      </c>
      <c r="R323" s="17">
        <v>2</v>
      </c>
      <c r="U323" s="64">
        <f t="shared" ref="U323:U341" si="128">100 + ((R323 - $S$2) / $T$2) * 10</f>
        <v>101.34799174124942</v>
      </c>
      <c r="V323" s="39">
        <v>2</v>
      </c>
      <c r="Y323" s="114">
        <f t="shared" ref="Y323:Y341" si="129">100 + ((V323 - $W$2) / $X$2) * 10</f>
        <v>97.875621286587162</v>
      </c>
      <c r="Z323" s="17">
        <v>0</v>
      </c>
      <c r="AC323" s="64">
        <f t="shared" ref="AC323:AC341" si="130">100 + ((Z323 - $AA$2) / $AB$2) * 10</f>
        <v>85.509512691809249</v>
      </c>
      <c r="AD323" s="25">
        <v>0</v>
      </c>
      <c r="AE323" s="71"/>
      <c r="AF323" s="71"/>
      <c r="AG323" s="71">
        <f t="shared" ref="AG323:AG341" si="131">100 + ((AD323 - $AE$2) / $AF$2) * 10</f>
        <v>84.62281366701329</v>
      </c>
      <c r="AH323" s="17">
        <v>2</v>
      </c>
      <c r="AK323" s="64">
        <f t="shared" ref="AK323:AK341" si="132">100 + ((AH323 - $AI$2) / $AJ$2) * 10</f>
        <v>99.518280131348902</v>
      </c>
      <c r="AL323" s="39">
        <v>3</v>
      </c>
      <c r="AM323" s="71"/>
      <c r="AN323" s="71"/>
      <c r="AO323" s="71">
        <f t="shared" ref="AO323:AO340" si="133">100 + ((AL323 - $AM$2) / $AN$2) * 10</f>
        <v>100.85056924463234</v>
      </c>
      <c r="AP323" s="17">
        <v>2</v>
      </c>
      <c r="AQ323" s="71"/>
      <c r="AR323" s="71"/>
      <c r="AS323" s="71">
        <f t="shared" ref="AS323:AS341" si="134">100 + ((AP323 - $AQ$2) / $AR$2) * 10</f>
        <v>99.909880620416757</v>
      </c>
      <c r="AT323" s="17">
        <v>2</v>
      </c>
      <c r="AU323" s="71"/>
      <c r="AV323" s="71"/>
      <c r="AW323" s="71">
        <f t="shared" ref="AW323:AW341" si="135">100 + ((AT323 - $AU$2) / $AV$2) * 10</f>
        <v>110.91338973410525</v>
      </c>
      <c r="AX323" s="39">
        <v>3</v>
      </c>
      <c r="AY323" s="71"/>
      <c r="AZ323" s="71"/>
      <c r="BA323" s="71">
        <f t="shared" ref="BA323:BA341" si="136">100 + ((AX323 - $AY$2) / $AZ$2) * 10</f>
        <v>111.80497096144313</v>
      </c>
      <c r="BH323" s="17">
        <v>1</v>
      </c>
      <c r="BI323" s="71"/>
      <c r="BJ323" s="71"/>
      <c r="BK323" s="71">
        <f t="shared" ref="BK323:BK341" si="137">100 + ((BH323 - $BI$2) / $BJ$2) * 10</f>
        <v>103.49572319106498</v>
      </c>
      <c r="BL323" s="17">
        <v>1</v>
      </c>
      <c r="BM323" s="71"/>
      <c r="BN323" s="71"/>
      <c r="BO323" s="71">
        <f t="shared" ref="BO323:BO341" si="138">100 + ((BL323 - $BM$2) / $BN$2) * 10</f>
        <v>92.606326748686826</v>
      </c>
      <c r="BP323" s="17">
        <v>0</v>
      </c>
      <c r="BQ323" s="71"/>
      <c r="BR323" s="71"/>
      <c r="BS323" s="138">
        <f t="shared" ref="BS323:BS341" si="139">100 + ((BP323 - $BQ$2) / $BR$2) * 10</f>
        <v>86.456710815818582</v>
      </c>
      <c r="BT323" s="17">
        <v>2</v>
      </c>
      <c r="BU323" s="71"/>
      <c r="BV323" s="71"/>
      <c r="BW323" s="71">
        <f t="shared" ref="BW323:BW341" si="140">100 + ((BT323 - $BU$2) / $BV$2) * 10</f>
        <v>102.51956289746849</v>
      </c>
      <c r="BY323" s="17">
        <v>2</v>
      </c>
      <c r="BZ323" s="71"/>
      <c r="CA323" s="71"/>
      <c r="CB323" s="71">
        <f t="shared" ref="CB323:CB341" si="141">100 + ((BY323 - $BZ$2) / $CA$2) * 10</f>
        <v>100.53207713448795</v>
      </c>
      <c r="CC323" s="39">
        <v>0</v>
      </c>
      <c r="CD323" s="71"/>
      <c r="CE323" s="71"/>
      <c r="CF323" s="71">
        <f t="shared" ref="CF323:CF341" si="142">100 + ((CC323 - $CD$2) / $CE$2) * 10</f>
        <v>81.842287242964616</v>
      </c>
      <c r="CG323" s="17">
        <v>1</v>
      </c>
      <c r="CH323" s="71"/>
      <c r="CI323" s="71"/>
      <c r="CJ323" s="138">
        <f t="shared" ref="CJ323:CJ341" si="143">100 + ((CG323 - $CH$2) / $CI$2) * 10</f>
        <v>103.93736139675698</v>
      </c>
      <c r="CK323" s="39">
        <v>0</v>
      </c>
      <c r="CL323" s="71"/>
      <c r="CM323" s="71"/>
      <c r="CN323" s="71">
        <f t="shared" ref="CN323:CN341" si="144">100 + ((CK323 - $CL$2) / $CM$2) * 10</f>
        <v>81.025191700811078</v>
      </c>
      <c r="CS323" s="102">
        <f t="shared" ref="CS323:CS386" si="145">AVERAGE(I323, M323, Q323, U323, AC323, AG323, AK323, AO323, AS323, AW323, BA323, BK323, BO323, BW323, CB323, CF323, CN323)</f>
        <v>98.507293414194947</v>
      </c>
      <c r="CT323" s="102">
        <f t="shared" ref="CT323:CT386" si="146">STDEV(I323, M323, Q323, U323, AC323, AG323, AK323, AO323, AS323, AW323, BA323, BK323, BO323, BW323, CB323, CF323, CN323)</f>
        <v>10.104843673343041</v>
      </c>
      <c r="CZ323" s="109" t="str">
        <f t="shared" ref="CZ323:CZ386" si="147">IF(CV323&lt;95.9069994, "Basso", IF(CV323&lt;99.02062343, "Medio-Basso", IF(CV323&lt;103.58108, "Medio-Alto", "Alto")))</f>
        <v>Basso</v>
      </c>
    </row>
    <row r="324" spans="1:104" x14ac:dyDescent="0.15">
      <c r="A324" s="17">
        <v>2</v>
      </c>
      <c r="B324" s="17">
        <v>2</v>
      </c>
      <c r="F324" s="17">
        <v>2</v>
      </c>
      <c r="I324" s="64">
        <f t="shared" si="125"/>
        <v>109.85726154139888</v>
      </c>
      <c r="J324" s="17">
        <v>1</v>
      </c>
      <c r="M324" s="64">
        <f t="shared" si="126"/>
        <v>95.705097084683388</v>
      </c>
      <c r="N324" s="17">
        <v>1</v>
      </c>
      <c r="Q324" s="64">
        <f t="shared" si="127"/>
        <v>98.246708656674187</v>
      </c>
      <c r="R324" s="17">
        <v>3</v>
      </c>
      <c r="U324" s="64">
        <f t="shared" si="128"/>
        <v>111.09942135879838</v>
      </c>
      <c r="V324" s="148">
        <v>2</v>
      </c>
      <c r="Y324" s="114">
        <f t="shared" si="129"/>
        <v>97.875621286587162</v>
      </c>
      <c r="Z324" s="17">
        <v>2</v>
      </c>
      <c r="AC324" s="64">
        <f t="shared" si="130"/>
        <v>101.50550517487696</v>
      </c>
      <c r="AD324" s="25">
        <v>3</v>
      </c>
      <c r="AE324" s="71"/>
      <c r="AF324" s="71"/>
      <c r="AG324" s="71">
        <f t="shared" si="131"/>
        <v>109.20703006144345</v>
      </c>
      <c r="AH324" s="17">
        <v>3</v>
      </c>
      <c r="AK324" s="64">
        <f t="shared" si="132"/>
        <v>110.43726382077395</v>
      </c>
      <c r="AL324" s="39">
        <v>3</v>
      </c>
      <c r="AM324" s="71"/>
      <c r="AN324" s="71"/>
      <c r="AO324" s="71">
        <f t="shared" si="133"/>
        <v>100.85056924463234</v>
      </c>
      <c r="AP324" s="17">
        <v>3</v>
      </c>
      <c r="AQ324" s="71"/>
      <c r="AR324" s="71"/>
      <c r="AS324" s="71">
        <f t="shared" si="134"/>
        <v>110.12341030651692</v>
      </c>
      <c r="AT324" s="17">
        <v>1</v>
      </c>
      <c r="AU324" s="71"/>
      <c r="AV324" s="71"/>
      <c r="AW324" s="71">
        <f t="shared" si="135"/>
        <v>100.0638209925971</v>
      </c>
      <c r="AX324" s="39">
        <v>2</v>
      </c>
      <c r="AY324" s="71"/>
      <c r="AZ324" s="71"/>
      <c r="BA324" s="71">
        <f t="shared" si="136"/>
        <v>100.92776194547928</v>
      </c>
      <c r="BH324" s="17">
        <v>2</v>
      </c>
      <c r="BI324" s="71"/>
      <c r="BJ324" s="71"/>
      <c r="BK324" s="71">
        <f t="shared" si="137"/>
        <v>114.81520780975161</v>
      </c>
      <c r="BL324" s="17">
        <v>2</v>
      </c>
      <c r="BM324" s="71"/>
      <c r="BN324" s="71"/>
      <c r="BO324" s="71">
        <f t="shared" si="138"/>
        <v>101.95148996595998</v>
      </c>
      <c r="BP324" s="17">
        <v>2</v>
      </c>
      <c r="BQ324" s="71"/>
      <c r="BR324" s="71"/>
      <c r="BS324" s="138">
        <f t="shared" si="139"/>
        <v>113.86671101544545</v>
      </c>
      <c r="BT324" s="17">
        <v>3</v>
      </c>
      <c r="BU324" s="71"/>
      <c r="BV324" s="71"/>
      <c r="BW324" s="71">
        <f t="shared" si="140"/>
        <v>112.03791162123835</v>
      </c>
      <c r="BY324" s="17">
        <v>2</v>
      </c>
      <c r="BZ324" s="71"/>
      <c r="CA324" s="71"/>
      <c r="CB324" s="71">
        <f t="shared" si="141"/>
        <v>100.53207713448795</v>
      </c>
      <c r="CC324" s="39">
        <v>3</v>
      </c>
      <c r="CD324" s="71"/>
      <c r="CE324" s="71"/>
      <c r="CF324" s="71">
        <f t="shared" si="142"/>
        <v>109.36214907383548</v>
      </c>
      <c r="CG324" s="17">
        <v>0</v>
      </c>
      <c r="CH324" s="71"/>
      <c r="CI324" s="71"/>
      <c r="CJ324" s="138">
        <f t="shared" si="143"/>
        <v>89.226340793489143</v>
      </c>
      <c r="CK324" s="39">
        <v>3</v>
      </c>
      <c r="CL324" s="71"/>
      <c r="CM324" s="71"/>
      <c r="CN324" s="71">
        <f t="shared" si="144"/>
        <v>109.82624001207998</v>
      </c>
      <c r="CS324" s="102">
        <f t="shared" si="145"/>
        <v>105.67934857677814</v>
      </c>
      <c r="CT324" s="102">
        <f t="shared" si="146"/>
        <v>5.8432122306393373</v>
      </c>
      <c r="CZ324" s="109" t="str">
        <f t="shared" si="147"/>
        <v>Basso</v>
      </c>
    </row>
    <row r="325" spans="1:104" x14ac:dyDescent="0.15">
      <c r="A325" s="17">
        <v>2</v>
      </c>
      <c r="B325" s="17">
        <v>1</v>
      </c>
      <c r="F325" s="17">
        <v>0</v>
      </c>
      <c r="I325" s="64">
        <f t="shared" si="125"/>
        <v>76.99972307006928</v>
      </c>
      <c r="J325" s="17">
        <v>2</v>
      </c>
      <c r="M325" s="64">
        <f t="shared" si="126"/>
        <v>110.02144013573877</v>
      </c>
      <c r="N325" s="17">
        <v>1</v>
      </c>
      <c r="Q325" s="64">
        <f t="shared" si="127"/>
        <v>98.246708656674187</v>
      </c>
      <c r="R325" s="17">
        <v>2</v>
      </c>
      <c r="U325" s="64">
        <f t="shared" si="128"/>
        <v>101.34799174124942</v>
      </c>
      <c r="V325" s="39">
        <v>2</v>
      </c>
      <c r="Y325" s="114">
        <f t="shared" si="129"/>
        <v>97.875621286587162</v>
      </c>
      <c r="Z325" s="17">
        <v>0</v>
      </c>
      <c r="AC325" s="64">
        <f t="shared" si="130"/>
        <v>85.509512691809249</v>
      </c>
      <c r="AD325" s="25">
        <v>1</v>
      </c>
      <c r="AE325" s="71"/>
      <c r="AF325" s="71"/>
      <c r="AG325" s="71">
        <f t="shared" si="131"/>
        <v>92.81755246515668</v>
      </c>
      <c r="AH325" s="17">
        <v>2</v>
      </c>
      <c r="AK325" s="64">
        <f t="shared" si="132"/>
        <v>99.518280131348902</v>
      </c>
      <c r="AL325" s="39">
        <v>3</v>
      </c>
      <c r="AM325" s="71"/>
      <c r="AN325" s="71"/>
      <c r="AO325" s="71">
        <f t="shared" si="133"/>
        <v>100.85056924463234</v>
      </c>
      <c r="AP325" s="17">
        <v>2</v>
      </c>
      <c r="AQ325" s="71"/>
      <c r="AR325" s="71"/>
      <c r="AS325" s="71">
        <f t="shared" si="134"/>
        <v>99.909880620416757</v>
      </c>
      <c r="AT325" s="17">
        <v>1</v>
      </c>
      <c r="AU325" s="71"/>
      <c r="AV325" s="71"/>
      <c r="AW325" s="71">
        <f t="shared" si="135"/>
        <v>100.0638209925971</v>
      </c>
      <c r="AX325" s="39">
        <v>2</v>
      </c>
      <c r="AY325" s="71"/>
      <c r="AZ325" s="71"/>
      <c r="BA325" s="71">
        <f t="shared" si="136"/>
        <v>100.92776194547928</v>
      </c>
      <c r="BH325" s="17">
        <v>0</v>
      </c>
      <c r="BI325" s="71"/>
      <c r="BJ325" s="71"/>
      <c r="BK325" s="71">
        <f t="shared" si="137"/>
        <v>92.176238572378367</v>
      </c>
      <c r="BL325" s="17">
        <v>1</v>
      </c>
      <c r="BM325" s="71"/>
      <c r="BN325" s="71"/>
      <c r="BO325" s="71">
        <f t="shared" si="138"/>
        <v>92.606326748686826</v>
      </c>
      <c r="BP325" s="17">
        <v>1</v>
      </c>
      <c r="BQ325" s="71"/>
      <c r="BR325" s="71"/>
      <c r="BS325" s="138">
        <f t="shared" si="139"/>
        <v>100.16171091563201</v>
      </c>
      <c r="BT325" s="17">
        <v>3</v>
      </c>
      <c r="BU325" s="71"/>
      <c r="BV325" s="71"/>
      <c r="BW325" s="71">
        <f t="shared" si="140"/>
        <v>112.03791162123835</v>
      </c>
      <c r="BY325" s="17">
        <v>3</v>
      </c>
      <c r="BZ325" s="71"/>
      <c r="CA325" s="71"/>
      <c r="CB325" s="71">
        <f t="shared" si="141"/>
        <v>110.05345743585116</v>
      </c>
      <c r="CC325" s="39">
        <v>0</v>
      </c>
      <c r="CD325" s="71"/>
      <c r="CE325" s="71"/>
      <c r="CF325" s="71">
        <f t="shared" si="142"/>
        <v>81.842287242964616</v>
      </c>
      <c r="CG325" s="17">
        <v>0</v>
      </c>
      <c r="CH325" s="71"/>
      <c r="CI325" s="71"/>
      <c r="CJ325" s="138">
        <f t="shared" si="143"/>
        <v>89.226340793489143</v>
      </c>
      <c r="CK325" s="39">
        <v>3</v>
      </c>
      <c r="CL325" s="71"/>
      <c r="CM325" s="71"/>
      <c r="CN325" s="71">
        <f t="shared" si="144"/>
        <v>109.82624001207998</v>
      </c>
      <c r="CS325" s="102">
        <f t="shared" si="145"/>
        <v>97.926806078139506</v>
      </c>
      <c r="CT325" s="102">
        <f t="shared" si="146"/>
        <v>10.039838086338124</v>
      </c>
      <c r="CZ325" s="109" t="str">
        <f t="shared" si="147"/>
        <v>Basso</v>
      </c>
    </row>
    <row r="326" spans="1:104" x14ac:dyDescent="0.15">
      <c r="A326" s="17">
        <v>2</v>
      </c>
      <c r="B326" s="17">
        <v>1</v>
      </c>
      <c r="F326" s="17">
        <v>2</v>
      </c>
      <c r="I326" s="64">
        <f t="shared" si="125"/>
        <v>109.85726154139888</v>
      </c>
      <c r="J326" s="17">
        <v>2</v>
      </c>
      <c r="M326" s="64">
        <f t="shared" si="126"/>
        <v>110.02144013573877</v>
      </c>
      <c r="N326" s="17">
        <v>2</v>
      </c>
      <c r="Q326" s="64">
        <f t="shared" si="127"/>
        <v>113.93405225485253</v>
      </c>
      <c r="R326" s="17">
        <v>3</v>
      </c>
      <c r="U326" s="64">
        <f t="shared" si="128"/>
        <v>111.09942135879838</v>
      </c>
      <c r="V326" s="39">
        <v>1</v>
      </c>
      <c r="Y326" s="114">
        <f t="shared" si="129"/>
        <v>91.426614478012453</v>
      </c>
      <c r="Z326" s="17">
        <v>3</v>
      </c>
      <c r="AC326" s="64">
        <f t="shared" si="130"/>
        <v>109.50350141641081</v>
      </c>
      <c r="AD326" s="25">
        <v>3</v>
      </c>
      <c r="AE326" s="71"/>
      <c r="AF326" s="71"/>
      <c r="AG326" s="71">
        <f t="shared" si="131"/>
        <v>109.20703006144345</v>
      </c>
      <c r="AH326" s="17">
        <v>3</v>
      </c>
      <c r="AK326" s="64">
        <f t="shared" si="132"/>
        <v>110.43726382077395</v>
      </c>
      <c r="AL326" s="39">
        <v>3</v>
      </c>
      <c r="AM326" s="71"/>
      <c r="AN326" s="71"/>
      <c r="AO326" s="71">
        <f t="shared" si="133"/>
        <v>100.85056924463234</v>
      </c>
      <c r="AP326" s="17">
        <v>3</v>
      </c>
      <c r="AQ326" s="71"/>
      <c r="AR326" s="71"/>
      <c r="AS326" s="71">
        <f t="shared" si="134"/>
        <v>110.12341030651692</v>
      </c>
      <c r="AT326" s="17">
        <v>2</v>
      </c>
      <c r="AU326" s="71"/>
      <c r="AV326" s="71"/>
      <c r="AW326" s="71">
        <f t="shared" si="135"/>
        <v>110.91338973410525</v>
      </c>
      <c r="AX326" s="39">
        <v>3</v>
      </c>
      <c r="AY326" s="71"/>
      <c r="AZ326" s="71"/>
      <c r="BA326" s="71">
        <f t="shared" si="136"/>
        <v>111.80497096144313</v>
      </c>
      <c r="BH326" s="17">
        <v>2</v>
      </c>
      <c r="BI326" s="71"/>
      <c r="BJ326" s="71"/>
      <c r="BK326" s="71">
        <f t="shared" si="137"/>
        <v>114.81520780975161</v>
      </c>
      <c r="BL326" s="17">
        <v>3</v>
      </c>
      <c r="BM326" s="71"/>
      <c r="BN326" s="71"/>
      <c r="BO326" s="71">
        <f t="shared" si="138"/>
        <v>111.29665318323313</v>
      </c>
      <c r="BP326" s="17">
        <v>2</v>
      </c>
      <c r="BQ326" s="71"/>
      <c r="BR326" s="71"/>
      <c r="BS326" s="138">
        <f t="shared" si="139"/>
        <v>113.86671101544545</v>
      </c>
      <c r="BT326" s="17">
        <v>3</v>
      </c>
      <c r="BU326" s="71"/>
      <c r="BV326" s="71"/>
      <c r="BW326" s="71">
        <f t="shared" si="140"/>
        <v>112.03791162123835</v>
      </c>
      <c r="BY326" s="17">
        <v>2</v>
      </c>
      <c r="BZ326" s="71"/>
      <c r="CA326" s="71"/>
      <c r="CB326" s="71">
        <f t="shared" si="141"/>
        <v>100.53207713448795</v>
      </c>
      <c r="CC326" s="39">
        <v>3</v>
      </c>
      <c r="CD326" s="71"/>
      <c r="CE326" s="71"/>
      <c r="CF326" s="71">
        <f t="shared" si="142"/>
        <v>109.36214907383548</v>
      </c>
      <c r="CG326" s="17">
        <v>0</v>
      </c>
      <c r="CH326" s="71"/>
      <c r="CI326" s="71"/>
      <c r="CJ326" s="138">
        <f t="shared" si="143"/>
        <v>89.226340793489143</v>
      </c>
      <c r="CK326" s="39">
        <v>3</v>
      </c>
      <c r="CL326" s="71"/>
      <c r="CM326" s="71"/>
      <c r="CN326" s="71">
        <f t="shared" si="144"/>
        <v>109.82624001207998</v>
      </c>
      <c r="CS326" s="102">
        <f t="shared" si="145"/>
        <v>109.7425029218083</v>
      </c>
      <c r="CT326" s="102">
        <f t="shared" si="146"/>
        <v>3.7380175479430453</v>
      </c>
      <c r="CZ326" s="109" t="str">
        <f t="shared" si="147"/>
        <v>Basso</v>
      </c>
    </row>
    <row r="327" spans="1:104" x14ac:dyDescent="0.15">
      <c r="A327" s="17">
        <v>3</v>
      </c>
      <c r="B327" s="17">
        <v>1</v>
      </c>
      <c r="F327" s="17">
        <v>1</v>
      </c>
      <c r="I327" s="64">
        <f t="shared" si="125"/>
        <v>93.428492305734082</v>
      </c>
      <c r="J327" s="17">
        <v>1</v>
      </c>
      <c r="M327" s="64">
        <f t="shared" si="126"/>
        <v>95.705097084683388</v>
      </c>
      <c r="N327" s="17">
        <v>1</v>
      </c>
      <c r="Q327" s="64">
        <f t="shared" si="127"/>
        <v>98.246708656674187</v>
      </c>
      <c r="R327" s="17">
        <v>2</v>
      </c>
      <c r="U327" s="64">
        <f t="shared" si="128"/>
        <v>101.34799174124942</v>
      </c>
      <c r="V327" s="39">
        <v>2</v>
      </c>
      <c r="Y327" s="114">
        <f t="shared" si="129"/>
        <v>97.875621286587162</v>
      </c>
      <c r="Z327" s="17">
        <v>1</v>
      </c>
      <c r="AC327" s="64">
        <f t="shared" si="130"/>
        <v>93.507508933343104</v>
      </c>
      <c r="AD327" s="25">
        <v>1</v>
      </c>
      <c r="AE327" s="71"/>
      <c r="AF327" s="71"/>
      <c r="AG327" s="71">
        <f t="shared" si="131"/>
        <v>92.81755246515668</v>
      </c>
      <c r="AH327" s="17">
        <v>2</v>
      </c>
      <c r="AK327" s="64">
        <f t="shared" si="132"/>
        <v>99.518280131348902</v>
      </c>
      <c r="AL327" s="39">
        <v>3</v>
      </c>
      <c r="AM327" s="71"/>
      <c r="AN327" s="71"/>
      <c r="AO327" s="71">
        <f t="shared" si="133"/>
        <v>100.85056924463234</v>
      </c>
      <c r="AP327" s="17">
        <v>2</v>
      </c>
      <c r="AQ327" s="71"/>
      <c r="AR327" s="71"/>
      <c r="AS327" s="71">
        <f t="shared" si="134"/>
        <v>99.909880620416757</v>
      </c>
      <c r="AT327" s="17">
        <v>2</v>
      </c>
      <c r="AU327" s="71"/>
      <c r="AV327" s="71"/>
      <c r="AW327" s="71">
        <f t="shared" si="135"/>
        <v>110.91338973410525</v>
      </c>
      <c r="AX327" s="39">
        <v>2</v>
      </c>
      <c r="AY327" s="71"/>
      <c r="AZ327" s="71"/>
      <c r="BA327" s="71">
        <f t="shared" si="136"/>
        <v>100.92776194547928</v>
      </c>
      <c r="BH327" s="17">
        <v>0</v>
      </c>
      <c r="BI327" s="71"/>
      <c r="BJ327" s="71"/>
      <c r="BK327" s="71">
        <f t="shared" si="137"/>
        <v>92.176238572378367</v>
      </c>
      <c r="BL327" s="17">
        <v>3</v>
      </c>
      <c r="BM327" s="71"/>
      <c r="BN327" s="71"/>
      <c r="BO327" s="71">
        <f t="shared" si="138"/>
        <v>111.29665318323313</v>
      </c>
      <c r="BP327" s="17">
        <v>2</v>
      </c>
      <c r="BQ327" s="71"/>
      <c r="BR327" s="71"/>
      <c r="BS327" s="138">
        <f t="shared" si="139"/>
        <v>113.86671101544545</v>
      </c>
      <c r="BT327" s="17">
        <v>2</v>
      </c>
      <c r="BU327" s="71"/>
      <c r="BV327" s="71"/>
      <c r="BW327" s="71">
        <f t="shared" si="140"/>
        <v>102.51956289746849</v>
      </c>
      <c r="BY327" s="17">
        <v>3</v>
      </c>
      <c r="BZ327" s="71"/>
      <c r="CA327" s="71"/>
      <c r="CB327" s="71">
        <f t="shared" si="141"/>
        <v>110.05345743585116</v>
      </c>
      <c r="CC327" s="39">
        <v>1</v>
      </c>
      <c r="CD327" s="71"/>
      <c r="CE327" s="71"/>
      <c r="CF327" s="71">
        <f t="shared" si="142"/>
        <v>91.015574519921572</v>
      </c>
      <c r="CG327" s="17">
        <v>0</v>
      </c>
      <c r="CH327" s="71"/>
      <c r="CI327" s="71"/>
      <c r="CJ327" s="138">
        <f t="shared" si="143"/>
        <v>89.226340793489143</v>
      </c>
      <c r="CK327" s="39">
        <v>1</v>
      </c>
      <c r="CL327" s="71"/>
      <c r="CM327" s="71"/>
      <c r="CN327" s="71">
        <f t="shared" si="144"/>
        <v>90.625541137900711</v>
      </c>
      <c r="CS327" s="102">
        <f t="shared" si="145"/>
        <v>99.109427094680981</v>
      </c>
      <c r="CT327" s="102">
        <f t="shared" si="146"/>
        <v>6.7664227482357591</v>
      </c>
      <c r="CZ327" s="109" t="str">
        <f t="shared" si="147"/>
        <v>Basso</v>
      </c>
    </row>
    <row r="328" spans="1:104" x14ac:dyDescent="0.15">
      <c r="A328" s="17">
        <v>3</v>
      </c>
      <c r="B328" s="17">
        <v>1</v>
      </c>
      <c r="F328" s="17">
        <v>1</v>
      </c>
      <c r="I328" s="64">
        <f t="shared" si="125"/>
        <v>93.428492305734082</v>
      </c>
      <c r="J328" s="17">
        <v>2</v>
      </c>
      <c r="M328" s="64">
        <f t="shared" si="126"/>
        <v>110.02144013573877</v>
      </c>
      <c r="N328" s="17">
        <v>1</v>
      </c>
      <c r="Q328" s="64">
        <f t="shared" si="127"/>
        <v>98.246708656674187</v>
      </c>
      <c r="R328" s="17">
        <v>3</v>
      </c>
      <c r="U328" s="64">
        <f t="shared" si="128"/>
        <v>111.09942135879838</v>
      </c>
      <c r="V328" s="39">
        <v>2</v>
      </c>
      <c r="Y328" s="114">
        <f t="shared" si="129"/>
        <v>97.875621286587162</v>
      </c>
      <c r="Z328" s="17">
        <v>3</v>
      </c>
      <c r="AC328" s="64">
        <f t="shared" si="130"/>
        <v>109.50350141641081</v>
      </c>
      <c r="AD328" s="25">
        <v>3</v>
      </c>
      <c r="AE328" s="71"/>
      <c r="AF328" s="71"/>
      <c r="AG328" s="71">
        <f t="shared" si="131"/>
        <v>109.20703006144345</v>
      </c>
      <c r="AH328" s="17">
        <v>2</v>
      </c>
      <c r="AK328" s="64">
        <f t="shared" si="132"/>
        <v>99.518280131348902</v>
      </c>
      <c r="AL328" s="39">
        <v>3</v>
      </c>
      <c r="AM328" s="71"/>
      <c r="AN328" s="71"/>
      <c r="AO328" s="71">
        <f t="shared" si="133"/>
        <v>100.85056924463234</v>
      </c>
      <c r="AP328" s="17">
        <v>1</v>
      </c>
      <c r="AQ328" s="71"/>
      <c r="AR328" s="71"/>
      <c r="AS328" s="71">
        <f t="shared" si="134"/>
        <v>89.696350934316598</v>
      </c>
      <c r="AT328" s="17">
        <v>0</v>
      </c>
      <c r="AU328" s="71"/>
      <c r="AV328" s="71"/>
      <c r="AW328" s="71">
        <f t="shared" si="135"/>
        <v>89.214252251088965</v>
      </c>
      <c r="AX328" s="39">
        <v>1</v>
      </c>
      <c r="AY328" s="71"/>
      <c r="AZ328" s="71"/>
      <c r="BA328" s="71">
        <f t="shared" si="136"/>
        <v>90.050552929515405</v>
      </c>
      <c r="BH328" s="17">
        <v>0</v>
      </c>
      <c r="BI328" s="71"/>
      <c r="BJ328" s="71"/>
      <c r="BK328" s="71">
        <f t="shared" si="137"/>
        <v>92.176238572378367</v>
      </c>
      <c r="BL328" s="17">
        <v>2</v>
      </c>
      <c r="BM328" s="71"/>
      <c r="BN328" s="71"/>
      <c r="BO328" s="71">
        <f t="shared" si="138"/>
        <v>101.95148996595998</v>
      </c>
      <c r="BP328" s="17">
        <v>0</v>
      </c>
      <c r="BQ328" s="71"/>
      <c r="BR328" s="71"/>
      <c r="BS328" s="138">
        <f t="shared" si="139"/>
        <v>86.456710815818582</v>
      </c>
      <c r="BT328" s="17">
        <v>1</v>
      </c>
      <c r="BU328" s="71"/>
      <c r="BV328" s="71"/>
      <c r="BW328" s="71">
        <f t="shared" si="140"/>
        <v>93.001214173698628</v>
      </c>
      <c r="BY328" s="17">
        <v>0</v>
      </c>
      <c r="BZ328" s="71"/>
      <c r="CA328" s="71"/>
      <c r="CB328" s="71">
        <f t="shared" si="141"/>
        <v>81.489316531761531</v>
      </c>
      <c r="CC328" s="39">
        <v>2</v>
      </c>
      <c r="CD328" s="71"/>
      <c r="CE328" s="71"/>
      <c r="CF328" s="71">
        <f t="shared" si="142"/>
        <v>100.18886179687853</v>
      </c>
      <c r="CG328" s="17">
        <v>0</v>
      </c>
      <c r="CH328" s="71"/>
      <c r="CI328" s="71"/>
      <c r="CJ328" s="138">
        <f t="shared" si="143"/>
        <v>89.226340793489143</v>
      </c>
      <c r="CK328" s="39">
        <v>2</v>
      </c>
      <c r="CL328" s="71"/>
      <c r="CM328" s="71"/>
      <c r="CN328" s="71">
        <f t="shared" si="144"/>
        <v>100.22589057499034</v>
      </c>
      <c r="CS328" s="102">
        <f t="shared" si="145"/>
        <v>98.227624178904065</v>
      </c>
      <c r="CT328" s="102">
        <f t="shared" si="146"/>
        <v>8.5540485447967924</v>
      </c>
      <c r="CZ328" s="109" t="str">
        <f t="shared" si="147"/>
        <v>Basso</v>
      </c>
    </row>
    <row r="329" spans="1:104" x14ac:dyDescent="0.15">
      <c r="A329" s="17">
        <v>3</v>
      </c>
      <c r="B329" s="17">
        <v>2</v>
      </c>
      <c r="F329" s="17">
        <v>1</v>
      </c>
      <c r="I329" s="64">
        <f t="shared" si="125"/>
        <v>93.428492305734082</v>
      </c>
      <c r="J329" s="17">
        <v>0</v>
      </c>
      <c r="M329" s="64">
        <f t="shared" si="126"/>
        <v>81.388754033628004</v>
      </c>
      <c r="N329" s="17">
        <v>1</v>
      </c>
      <c r="Q329" s="64">
        <f t="shared" si="127"/>
        <v>98.246708656674187</v>
      </c>
      <c r="R329" s="17">
        <v>1</v>
      </c>
      <c r="U329" s="64">
        <f t="shared" si="128"/>
        <v>91.596562123700451</v>
      </c>
      <c r="V329" s="39">
        <v>2</v>
      </c>
      <c r="Y329" s="114">
        <f t="shared" si="129"/>
        <v>97.875621286587162</v>
      </c>
      <c r="Z329" s="17">
        <v>2</v>
      </c>
      <c r="AC329" s="64">
        <f t="shared" si="130"/>
        <v>101.50550517487696</v>
      </c>
      <c r="AD329" s="25">
        <v>3</v>
      </c>
      <c r="AE329" s="71"/>
      <c r="AF329" s="71"/>
      <c r="AG329" s="71">
        <f t="shared" si="131"/>
        <v>109.20703006144345</v>
      </c>
      <c r="AH329" s="17">
        <v>3</v>
      </c>
      <c r="AK329" s="64">
        <f t="shared" si="132"/>
        <v>110.43726382077395</v>
      </c>
      <c r="AL329" s="39">
        <v>3</v>
      </c>
      <c r="AM329" s="71"/>
      <c r="AN329" s="71"/>
      <c r="AO329" s="71">
        <f t="shared" si="133"/>
        <v>100.85056924463234</v>
      </c>
      <c r="AP329" s="17">
        <v>2</v>
      </c>
      <c r="AQ329" s="71"/>
      <c r="AR329" s="71"/>
      <c r="AS329" s="71">
        <f t="shared" si="134"/>
        <v>99.909880620416757</v>
      </c>
      <c r="AT329" s="17">
        <v>2</v>
      </c>
      <c r="AU329" s="71"/>
      <c r="AV329" s="71"/>
      <c r="AW329" s="71">
        <f t="shared" si="135"/>
        <v>110.91338973410525</v>
      </c>
      <c r="AX329" s="39">
        <v>2</v>
      </c>
      <c r="AY329" s="71"/>
      <c r="AZ329" s="71"/>
      <c r="BA329" s="71">
        <f t="shared" si="136"/>
        <v>100.92776194547928</v>
      </c>
      <c r="BH329" s="17">
        <v>2</v>
      </c>
      <c r="BI329" s="71"/>
      <c r="BJ329" s="71"/>
      <c r="BK329" s="71">
        <f t="shared" si="137"/>
        <v>114.81520780975161</v>
      </c>
      <c r="BL329" s="17">
        <v>3</v>
      </c>
      <c r="BM329" s="71"/>
      <c r="BN329" s="71"/>
      <c r="BO329" s="71">
        <f t="shared" si="138"/>
        <v>111.29665318323313</v>
      </c>
      <c r="BP329" s="17">
        <v>1</v>
      </c>
      <c r="BQ329" s="71"/>
      <c r="BR329" s="71"/>
      <c r="BS329" s="138">
        <f t="shared" si="139"/>
        <v>100.16171091563201</v>
      </c>
      <c r="BT329" s="17">
        <v>2</v>
      </c>
      <c r="BU329" s="71"/>
      <c r="BV329" s="71"/>
      <c r="BW329" s="71">
        <f t="shared" si="140"/>
        <v>102.51956289746849</v>
      </c>
      <c r="BY329" s="17">
        <v>3</v>
      </c>
      <c r="BZ329" s="71"/>
      <c r="CA329" s="71"/>
      <c r="CB329" s="71">
        <f t="shared" si="141"/>
        <v>110.05345743585116</v>
      </c>
      <c r="CC329" s="39">
        <v>3</v>
      </c>
      <c r="CD329" s="71"/>
      <c r="CE329" s="71"/>
      <c r="CF329" s="71">
        <f t="shared" si="142"/>
        <v>109.36214907383548</v>
      </c>
      <c r="CG329" s="17">
        <v>1</v>
      </c>
      <c r="CH329" s="71"/>
      <c r="CI329" s="71"/>
      <c r="CJ329" s="138">
        <f t="shared" si="143"/>
        <v>103.93736139675698</v>
      </c>
      <c r="CK329" s="39">
        <v>2</v>
      </c>
      <c r="CL329" s="71"/>
      <c r="CM329" s="71"/>
      <c r="CN329" s="71">
        <f t="shared" si="144"/>
        <v>100.22589057499034</v>
      </c>
      <c r="CS329" s="102">
        <f t="shared" si="145"/>
        <v>102.74616698215266</v>
      </c>
      <c r="CT329" s="102">
        <f t="shared" si="146"/>
        <v>8.6383710798564728</v>
      </c>
      <c r="CZ329" s="109" t="str">
        <f t="shared" si="147"/>
        <v>Basso</v>
      </c>
    </row>
    <row r="330" spans="1:104" x14ac:dyDescent="0.15">
      <c r="A330" s="17">
        <v>3</v>
      </c>
      <c r="B330" s="17">
        <v>1</v>
      </c>
      <c r="F330" s="17">
        <v>1</v>
      </c>
      <c r="I330" s="64">
        <f t="shared" si="125"/>
        <v>93.428492305734082</v>
      </c>
      <c r="J330" s="17">
        <v>2</v>
      </c>
      <c r="M330" s="64">
        <f t="shared" si="126"/>
        <v>110.02144013573877</v>
      </c>
      <c r="N330" s="17">
        <v>1</v>
      </c>
      <c r="Q330" s="64">
        <f t="shared" si="127"/>
        <v>98.246708656674187</v>
      </c>
      <c r="R330" s="17">
        <v>2</v>
      </c>
      <c r="U330" s="64">
        <f t="shared" si="128"/>
        <v>101.34799174124942</v>
      </c>
      <c r="V330" s="39">
        <v>5</v>
      </c>
      <c r="Y330" s="114">
        <f t="shared" si="129"/>
        <v>117.22264171231127</v>
      </c>
      <c r="Z330" s="17">
        <v>2</v>
      </c>
      <c r="AC330" s="64">
        <f t="shared" si="130"/>
        <v>101.50550517487696</v>
      </c>
      <c r="AD330" s="25">
        <v>0</v>
      </c>
      <c r="AE330" s="71"/>
      <c r="AF330" s="71"/>
      <c r="AG330" s="71">
        <f t="shared" si="131"/>
        <v>84.62281366701329</v>
      </c>
      <c r="AH330" s="17">
        <v>2</v>
      </c>
      <c r="AK330" s="64">
        <f t="shared" si="132"/>
        <v>99.518280131348902</v>
      </c>
      <c r="AL330" s="39">
        <v>3</v>
      </c>
      <c r="AM330" s="71"/>
      <c r="AN330" s="71"/>
      <c r="AO330" s="71">
        <f t="shared" si="133"/>
        <v>100.85056924463234</v>
      </c>
      <c r="AP330" s="17">
        <v>2</v>
      </c>
      <c r="AQ330" s="71"/>
      <c r="AR330" s="71"/>
      <c r="AS330" s="71">
        <f t="shared" si="134"/>
        <v>99.909880620416757</v>
      </c>
      <c r="AT330" s="17">
        <v>1</v>
      </c>
      <c r="AU330" s="71"/>
      <c r="AV330" s="71"/>
      <c r="AW330" s="71">
        <f t="shared" si="135"/>
        <v>100.0638209925971</v>
      </c>
      <c r="AX330" s="39">
        <v>2</v>
      </c>
      <c r="AY330" s="71"/>
      <c r="AZ330" s="71"/>
      <c r="BA330" s="71">
        <f t="shared" si="136"/>
        <v>100.92776194547928</v>
      </c>
      <c r="BH330" s="17">
        <v>0</v>
      </c>
      <c r="BI330" s="71"/>
      <c r="BJ330" s="71"/>
      <c r="BK330" s="71">
        <f t="shared" si="137"/>
        <v>92.176238572378367</v>
      </c>
      <c r="BL330" s="17">
        <v>1</v>
      </c>
      <c r="BM330" s="71"/>
      <c r="BN330" s="71"/>
      <c r="BO330" s="71">
        <f t="shared" si="138"/>
        <v>92.606326748686826</v>
      </c>
      <c r="BP330" s="17">
        <v>1</v>
      </c>
      <c r="BQ330" s="71"/>
      <c r="BR330" s="71"/>
      <c r="BS330" s="138">
        <f t="shared" si="139"/>
        <v>100.16171091563201</v>
      </c>
      <c r="BT330" s="17">
        <v>1</v>
      </c>
      <c r="BU330" s="71"/>
      <c r="BV330" s="71"/>
      <c r="BW330" s="71">
        <f t="shared" si="140"/>
        <v>93.001214173698628</v>
      </c>
      <c r="BY330" s="17">
        <v>3</v>
      </c>
      <c r="BZ330" s="71"/>
      <c r="CA330" s="71"/>
      <c r="CB330" s="71">
        <f t="shared" si="141"/>
        <v>110.05345743585116</v>
      </c>
      <c r="CC330" s="39">
        <v>2</v>
      </c>
      <c r="CD330" s="71"/>
      <c r="CE330" s="71"/>
      <c r="CF330" s="71">
        <f t="shared" si="142"/>
        <v>100.18886179687853</v>
      </c>
      <c r="CG330" s="17">
        <v>0</v>
      </c>
      <c r="CH330" s="71"/>
      <c r="CI330" s="71"/>
      <c r="CJ330" s="138">
        <f t="shared" si="143"/>
        <v>89.226340793489143</v>
      </c>
      <c r="CK330" s="39">
        <v>2</v>
      </c>
      <c r="CL330" s="71"/>
      <c r="CM330" s="71"/>
      <c r="CN330" s="71">
        <f t="shared" si="144"/>
        <v>100.22589057499034</v>
      </c>
      <c r="CS330" s="102">
        <f t="shared" si="145"/>
        <v>98.746779642249706</v>
      </c>
      <c r="CT330" s="102">
        <f t="shared" si="146"/>
        <v>6.2668660559685332</v>
      </c>
      <c r="CZ330" s="109" t="str">
        <f t="shared" si="147"/>
        <v>Basso</v>
      </c>
    </row>
    <row r="331" spans="1:104" x14ac:dyDescent="0.15">
      <c r="A331" s="17">
        <v>3</v>
      </c>
      <c r="B331" s="17">
        <v>2</v>
      </c>
      <c r="F331" s="17">
        <v>1</v>
      </c>
      <c r="I331" s="64">
        <f t="shared" si="125"/>
        <v>93.428492305734082</v>
      </c>
      <c r="J331" s="17">
        <v>2</v>
      </c>
      <c r="M331" s="64">
        <f t="shared" si="126"/>
        <v>110.02144013573877</v>
      </c>
      <c r="N331" s="17">
        <v>1</v>
      </c>
      <c r="Q331" s="64">
        <f t="shared" si="127"/>
        <v>98.246708656674187</v>
      </c>
      <c r="R331" s="17">
        <v>0</v>
      </c>
      <c r="U331" s="64">
        <f t="shared" si="128"/>
        <v>81.845132506151486</v>
      </c>
      <c r="V331" s="39">
        <v>4</v>
      </c>
      <c r="Y331" s="114">
        <f t="shared" si="129"/>
        <v>110.77363490373656</v>
      </c>
      <c r="Z331" s="17">
        <v>3</v>
      </c>
      <c r="AC331" s="64">
        <f t="shared" si="130"/>
        <v>109.50350141641081</v>
      </c>
      <c r="AD331" s="25">
        <v>3</v>
      </c>
      <c r="AE331" s="71"/>
      <c r="AF331" s="71"/>
      <c r="AG331" s="71">
        <f t="shared" si="131"/>
        <v>109.20703006144345</v>
      </c>
      <c r="AH331" s="17">
        <v>2</v>
      </c>
      <c r="AK331" s="64">
        <f t="shared" si="132"/>
        <v>99.518280131348902</v>
      </c>
      <c r="AL331" s="39">
        <v>4</v>
      </c>
      <c r="AM331" s="71"/>
      <c r="AN331" s="71"/>
      <c r="AO331" s="71">
        <f t="shared" si="133"/>
        <v>111.97339782828605</v>
      </c>
      <c r="AP331" s="17">
        <v>2</v>
      </c>
      <c r="AQ331" s="71"/>
      <c r="AR331" s="71"/>
      <c r="AS331" s="71">
        <f t="shared" si="134"/>
        <v>99.909880620416757</v>
      </c>
      <c r="AT331" s="17">
        <v>2</v>
      </c>
      <c r="AU331" s="71"/>
      <c r="AV331" s="71"/>
      <c r="AW331" s="71">
        <f t="shared" si="135"/>
        <v>110.91338973410525</v>
      </c>
      <c r="AX331" s="39">
        <v>3</v>
      </c>
      <c r="AY331" s="71"/>
      <c r="AZ331" s="71"/>
      <c r="BA331" s="71">
        <f t="shared" si="136"/>
        <v>111.80497096144313</v>
      </c>
      <c r="BH331" s="17">
        <v>0</v>
      </c>
      <c r="BI331" s="71"/>
      <c r="BJ331" s="71"/>
      <c r="BK331" s="71">
        <f t="shared" si="137"/>
        <v>92.176238572378367</v>
      </c>
      <c r="BL331" s="17">
        <v>2</v>
      </c>
      <c r="BM331" s="71"/>
      <c r="BN331" s="71"/>
      <c r="BO331" s="71">
        <f t="shared" si="138"/>
        <v>101.95148996595998</v>
      </c>
      <c r="BP331" s="17">
        <v>1</v>
      </c>
      <c r="BQ331" s="71"/>
      <c r="BR331" s="71"/>
      <c r="BS331" s="138">
        <f t="shared" si="139"/>
        <v>100.16171091563201</v>
      </c>
      <c r="BT331" s="17">
        <v>0</v>
      </c>
      <c r="BU331" s="71"/>
      <c r="BV331" s="71"/>
      <c r="BW331" s="71">
        <f t="shared" si="140"/>
        <v>83.482865449928767</v>
      </c>
      <c r="BY331" s="17">
        <v>3</v>
      </c>
      <c r="BZ331" s="71"/>
      <c r="CA331" s="71"/>
      <c r="CB331" s="71">
        <f t="shared" si="141"/>
        <v>110.05345743585116</v>
      </c>
      <c r="CC331" s="39">
        <v>3</v>
      </c>
      <c r="CD331" s="71"/>
      <c r="CE331" s="71"/>
      <c r="CF331" s="71">
        <f t="shared" si="142"/>
        <v>109.36214907383548</v>
      </c>
      <c r="CG331" s="17">
        <v>1</v>
      </c>
      <c r="CH331" s="71"/>
      <c r="CI331" s="71"/>
      <c r="CJ331" s="138">
        <f t="shared" si="143"/>
        <v>103.93736139675698</v>
      </c>
      <c r="CK331" s="39">
        <v>2</v>
      </c>
      <c r="CL331" s="71"/>
      <c r="CM331" s="71"/>
      <c r="CN331" s="71">
        <f t="shared" si="144"/>
        <v>100.22589057499034</v>
      </c>
      <c r="CS331" s="102">
        <f t="shared" si="145"/>
        <v>101.97790090768808</v>
      </c>
      <c r="CT331" s="102">
        <f t="shared" si="146"/>
        <v>9.7260526476272542</v>
      </c>
      <c r="CZ331" s="109" t="str">
        <f t="shared" si="147"/>
        <v>Basso</v>
      </c>
    </row>
    <row r="332" spans="1:104" x14ac:dyDescent="0.15">
      <c r="A332" s="17">
        <v>3</v>
      </c>
      <c r="B332" s="17">
        <v>1</v>
      </c>
      <c r="F332" s="17">
        <v>1</v>
      </c>
      <c r="I332" s="64">
        <f t="shared" si="125"/>
        <v>93.428492305734082</v>
      </c>
      <c r="J332" s="17">
        <v>1</v>
      </c>
      <c r="M332" s="64">
        <f t="shared" si="126"/>
        <v>95.705097084683388</v>
      </c>
      <c r="N332" s="17">
        <v>1</v>
      </c>
      <c r="Q332" s="64">
        <f t="shared" si="127"/>
        <v>98.246708656674187</v>
      </c>
      <c r="R332" s="17">
        <v>2</v>
      </c>
      <c r="U332" s="64">
        <f t="shared" si="128"/>
        <v>101.34799174124942</v>
      </c>
      <c r="V332" s="39">
        <v>2</v>
      </c>
      <c r="Y332" s="114">
        <f t="shared" si="129"/>
        <v>97.875621286587162</v>
      </c>
      <c r="Z332" s="17">
        <v>2</v>
      </c>
      <c r="AC332" s="64">
        <f t="shared" si="130"/>
        <v>101.50550517487696</v>
      </c>
      <c r="AD332" s="25">
        <v>0</v>
      </c>
      <c r="AE332" s="71"/>
      <c r="AF332" s="71"/>
      <c r="AG332" s="71">
        <f t="shared" si="131"/>
        <v>84.62281366701329</v>
      </c>
      <c r="AH332" s="17">
        <v>2</v>
      </c>
      <c r="AK332" s="64">
        <f t="shared" si="132"/>
        <v>99.518280131348902</v>
      </c>
      <c r="AL332" s="39">
        <v>3</v>
      </c>
      <c r="AM332" s="71"/>
      <c r="AN332" s="71"/>
      <c r="AO332" s="71">
        <f t="shared" si="133"/>
        <v>100.85056924463234</v>
      </c>
      <c r="AP332" s="17">
        <v>1</v>
      </c>
      <c r="AQ332" s="71"/>
      <c r="AR332" s="71"/>
      <c r="AS332" s="71">
        <f t="shared" si="134"/>
        <v>89.696350934316598</v>
      </c>
      <c r="AT332" s="17">
        <v>0</v>
      </c>
      <c r="AU332" s="71"/>
      <c r="AV332" s="71"/>
      <c r="AW332" s="71">
        <f t="shared" si="135"/>
        <v>89.214252251088965</v>
      </c>
      <c r="AX332" s="39">
        <v>1</v>
      </c>
      <c r="AY332" s="71"/>
      <c r="AZ332" s="71"/>
      <c r="BA332" s="71">
        <f t="shared" si="136"/>
        <v>90.050552929515405</v>
      </c>
      <c r="BH332" s="17">
        <v>0</v>
      </c>
      <c r="BI332" s="71"/>
      <c r="BJ332" s="71"/>
      <c r="BK332" s="71">
        <f t="shared" si="137"/>
        <v>92.176238572378367</v>
      </c>
      <c r="BL332" s="17">
        <v>2</v>
      </c>
      <c r="BM332" s="71"/>
      <c r="BN332" s="71"/>
      <c r="BO332" s="71">
        <f t="shared" si="138"/>
        <v>101.95148996595998</v>
      </c>
      <c r="BP332" s="17">
        <v>0</v>
      </c>
      <c r="BQ332" s="71"/>
      <c r="BR332" s="71"/>
      <c r="BS332" s="138">
        <f t="shared" si="139"/>
        <v>86.456710815818582</v>
      </c>
      <c r="BT332" s="17">
        <v>2</v>
      </c>
      <c r="BU332" s="71"/>
      <c r="BV332" s="71"/>
      <c r="BW332" s="71">
        <f t="shared" si="140"/>
        <v>102.51956289746849</v>
      </c>
      <c r="BY332" s="17">
        <v>1</v>
      </c>
      <c r="BZ332" s="71"/>
      <c r="CA332" s="71"/>
      <c r="CB332" s="71">
        <f t="shared" si="141"/>
        <v>91.01069683312474</v>
      </c>
      <c r="CC332" s="39">
        <v>2</v>
      </c>
      <c r="CD332" s="71"/>
      <c r="CE332" s="71"/>
      <c r="CF332" s="71">
        <f t="shared" si="142"/>
        <v>100.18886179687853</v>
      </c>
      <c r="CG332" s="17">
        <v>1</v>
      </c>
      <c r="CH332" s="71"/>
      <c r="CI332" s="71"/>
      <c r="CJ332" s="138">
        <f t="shared" si="143"/>
        <v>103.93736139675698</v>
      </c>
      <c r="CK332" s="39">
        <v>0</v>
      </c>
      <c r="CL332" s="71"/>
      <c r="CM332" s="71"/>
      <c r="CN332" s="71">
        <f t="shared" si="144"/>
        <v>81.025191700811078</v>
      </c>
      <c r="CS332" s="102">
        <f t="shared" si="145"/>
        <v>94.88580328751496</v>
      </c>
      <c r="CT332" s="102">
        <f t="shared" si="146"/>
        <v>6.5921837562333785</v>
      </c>
      <c r="CZ332" s="109" t="str">
        <f t="shared" si="147"/>
        <v>Basso</v>
      </c>
    </row>
    <row r="333" spans="1:104" x14ac:dyDescent="0.15">
      <c r="A333" s="39">
        <v>2</v>
      </c>
      <c r="B333" s="39">
        <v>1</v>
      </c>
      <c r="F333" s="39">
        <v>2</v>
      </c>
      <c r="I333" s="64">
        <f t="shared" si="125"/>
        <v>109.85726154139888</v>
      </c>
      <c r="J333" s="39">
        <v>2</v>
      </c>
      <c r="M333" s="64">
        <f t="shared" si="126"/>
        <v>110.02144013573877</v>
      </c>
      <c r="N333" s="39">
        <v>2</v>
      </c>
      <c r="Q333" s="64">
        <f t="shared" si="127"/>
        <v>113.93405225485253</v>
      </c>
      <c r="R333" s="39">
        <v>3</v>
      </c>
      <c r="U333" s="64">
        <f t="shared" si="128"/>
        <v>111.09942135879838</v>
      </c>
      <c r="V333" s="39">
        <v>2</v>
      </c>
      <c r="Y333" s="114">
        <f t="shared" si="129"/>
        <v>97.875621286587162</v>
      </c>
      <c r="Z333" s="39">
        <v>3</v>
      </c>
      <c r="AC333" s="64">
        <f t="shared" si="130"/>
        <v>109.50350141641081</v>
      </c>
      <c r="AD333" s="40">
        <v>3</v>
      </c>
      <c r="AE333" s="71"/>
      <c r="AF333" s="71"/>
      <c r="AG333" s="71">
        <f t="shared" si="131"/>
        <v>109.20703006144345</v>
      </c>
      <c r="AH333" s="39">
        <v>3</v>
      </c>
      <c r="AK333" s="64">
        <f t="shared" si="132"/>
        <v>110.43726382077395</v>
      </c>
      <c r="AL333" s="39">
        <v>4</v>
      </c>
      <c r="AM333" s="71"/>
      <c r="AN333" s="71"/>
      <c r="AO333" s="71">
        <f t="shared" si="133"/>
        <v>111.97339782828605</v>
      </c>
      <c r="AP333" s="39">
        <v>3</v>
      </c>
      <c r="AQ333" s="71"/>
      <c r="AR333" s="71"/>
      <c r="AS333" s="71">
        <f t="shared" si="134"/>
        <v>110.12341030651692</v>
      </c>
      <c r="AT333" s="39">
        <v>2</v>
      </c>
      <c r="AU333" s="71"/>
      <c r="AV333" s="71"/>
      <c r="AW333" s="71">
        <f t="shared" si="135"/>
        <v>110.91338973410525</v>
      </c>
      <c r="AX333" s="39">
        <v>3</v>
      </c>
      <c r="AY333" s="71"/>
      <c r="AZ333" s="71"/>
      <c r="BA333" s="71">
        <f t="shared" si="136"/>
        <v>111.80497096144313</v>
      </c>
      <c r="BH333" s="39">
        <v>2</v>
      </c>
      <c r="BI333" s="71"/>
      <c r="BJ333" s="71"/>
      <c r="BK333" s="71">
        <f t="shared" si="137"/>
        <v>114.81520780975161</v>
      </c>
      <c r="BL333" s="39">
        <v>3</v>
      </c>
      <c r="BM333" s="71"/>
      <c r="BN333" s="71"/>
      <c r="BO333" s="71">
        <f t="shared" si="138"/>
        <v>111.29665318323313</v>
      </c>
      <c r="BP333" s="39">
        <v>2</v>
      </c>
      <c r="BQ333" s="71"/>
      <c r="BR333" s="71"/>
      <c r="BS333" s="138">
        <f t="shared" si="139"/>
        <v>113.86671101544545</v>
      </c>
      <c r="BT333" s="39">
        <v>3</v>
      </c>
      <c r="BU333" s="71"/>
      <c r="BV333" s="71"/>
      <c r="BW333" s="71">
        <f t="shared" si="140"/>
        <v>112.03791162123835</v>
      </c>
      <c r="BY333" s="39">
        <v>2</v>
      </c>
      <c r="BZ333" s="71"/>
      <c r="CA333" s="71"/>
      <c r="CB333" s="71">
        <f t="shared" si="141"/>
        <v>100.53207713448795</v>
      </c>
      <c r="CC333" s="39">
        <v>3</v>
      </c>
      <c r="CD333" s="71"/>
      <c r="CE333" s="71"/>
      <c r="CF333" s="71">
        <f t="shared" si="142"/>
        <v>109.36214907383548</v>
      </c>
      <c r="CG333" s="39">
        <v>2</v>
      </c>
      <c r="CH333" s="71"/>
      <c r="CI333" s="71"/>
      <c r="CJ333" s="138">
        <f t="shared" si="143"/>
        <v>118.64838200002481</v>
      </c>
      <c r="CK333" s="39">
        <v>3</v>
      </c>
      <c r="CL333" s="71"/>
      <c r="CM333" s="71"/>
      <c r="CN333" s="71">
        <f t="shared" si="144"/>
        <v>109.82624001207998</v>
      </c>
      <c r="CS333" s="102">
        <f t="shared" si="145"/>
        <v>110.39678695614087</v>
      </c>
      <c r="CT333" s="102">
        <f t="shared" si="146"/>
        <v>2.9811629591615771</v>
      </c>
      <c r="CZ333" s="109" t="str">
        <f t="shared" si="147"/>
        <v>Basso</v>
      </c>
    </row>
    <row r="334" spans="1:104" x14ac:dyDescent="0.15">
      <c r="A334" s="39">
        <v>2</v>
      </c>
      <c r="B334" s="39">
        <v>1</v>
      </c>
      <c r="F334" s="39">
        <v>2</v>
      </c>
      <c r="I334" s="64">
        <f t="shared" si="125"/>
        <v>109.85726154139888</v>
      </c>
      <c r="J334" s="39">
        <v>2</v>
      </c>
      <c r="M334" s="64">
        <f t="shared" si="126"/>
        <v>110.02144013573877</v>
      </c>
      <c r="N334" s="39">
        <v>2</v>
      </c>
      <c r="Q334" s="64">
        <f t="shared" si="127"/>
        <v>113.93405225485253</v>
      </c>
      <c r="R334" s="39">
        <v>3</v>
      </c>
      <c r="U334" s="64">
        <f t="shared" si="128"/>
        <v>111.09942135879838</v>
      </c>
      <c r="V334" s="39">
        <v>1</v>
      </c>
      <c r="Y334" s="114">
        <f t="shared" si="129"/>
        <v>91.426614478012453</v>
      </c>
      <c r="Z334" s="39">
        <v>3</v>
      </c>
      <c r="AC334" s="64">
        <f t="shared" si="130"/>
        <v>109.50350141641081</v>
      </c>
      <c r="AD334" s="40">
        <v>3</v>
      </c>
      <c r="AE334" s="71"/>
      <c r="AF334" s="71"/>
      <c r="AG334" s="71">
        <f t="shared" si="131"/>
        <v>109.20703006144345</v>
      </c>
      <c r="AH334" s="39">
        <v>3</v>
      </c>
      <c r="AK334" s="64">
        <f t="shared" si="132"/>
        <v>110.43726382077395</v>
      </c>
      <c r="AL334" s="39">
        <v>4</v>
      </c>
      <c r="AM334" s="71"/>
      <c r="AN334" s="71"/>
      <c r="AO334" s="71">
        <f t="shared" si="133"/>
        <v>111.97339782828605</v>
      </c>
      <c r="AP334" s="39">
        <v>2</v>
      </c>
      <c r="AQ334" s="71"/>
      <c r="AR334" s="71"/>
      <c r="AS334" s="71">
        <f t="shared" si="134"/>
        <v>99.909880620416757</v>
      </c>
      <c r="AT334" s="39">
        <v>2</v>
      </c>
      <c r="AU334" s="71"/>
      <c r="AV334" s="71"/>
      <c r="AW334" s="71">
        <f t="shared" si="135"/>
        <v>110.91338973410525</v>
      </c>
      <c r="AX334" s="39">
        <v>3</v>
      </c>
      <c r="AY334" s="71"/>
      <c r="AZ334" s="71"/>
      <c r="BA334" s="71">
        <f t="shared" si="136"/>
        <v>111.80497096144313</v>
      </c>
      <c r="BH334" s="39">
        <v>2</v>
      </c>
      <c r="BI334" s="71"/>
      <c r="BJ334" s="71"/>
      <c r="BK334" s="71">
        <f t="shared" si="137"/>
        <v>114.81520780975161</v>
      </c>
      <c r="BL334" s="39">
        <v>2</v>
      </c>
      <c r="BM334" s="71"/>
      <c r="BN334" s="71"/>
      <c r="BO334" s="71">
        <f t="shared" si="138"/>
        <v>101.95148996595998</v>
      </c>
      <c r="BP334" s="39">
        <v>2</v>
      </c>
      <c r="BQ334" s="71"/>
      <c r="BR334" s="71"/>
      <c r="BS334" s="138">
        <f t="shared" si="139"/>
        <v>113.86671101544545</v>
      </c>
      <c r="BT334" s="39">
        <v>3</v>
      </c>
      <c r="BU334" s="71"/>
      <c r="BV334" s="71"/>
      <c r="BW334" s="71">
        <f t="shared" si="140"/>
        <v>112.03791162123835</v>
      </c>
      <c r="BY334" s="39">
        <v>2</v>
      </c>
      <c r="BZ334" s="71"/>
      <c r="CA334" s="71"/>
      <c r="CB334" s="71">
        <f t="shared" si="141"/>
        <v>100.53207713448795</v>
      </c>
      <c r="CC334" s="39">
        <v>3</v>
      </c>
      <c r="CD334" s="71"/>
      <c r="CE334" s="71"/>
      <c r="CF334" s="71">
        <f t="shared" si="142"/>
        <v>109.36214907383548</v>
      </c>
      <c r="CG334" s="39">
        <v>1</v>
      </c>
      <c r="CH334" s="71"/>
      <c r="CI334" s="71"/>
      <c r="CJ334" s="138">
        <f t="shared" si="143"/>
        <v>103.93736139675698</v>
      </c>
      <c r="CK334" s="39">
        <v>3</v>
      </c>
      <c r="CL334" s="71"/>
      <c r="CM334" s="71"/>
      <c r="CN334" s="71">
        <f t="shared" si="144"/>
        <v>109.82624001207998</v>
      </c>
      <c r="CS334" s="102">
        <f t="shared" si="145"/>
        <v>109.24627560888362</v>
      </c>
      <c r="CT334" s="102">
        <f t="shared" si="146"/>
        <v>4.330910520821293</v>
      </c>
      <c r="CZ334" s="109" t="str">
        <f t="shared" si="147"/>
        <v>Basso</v>
      </c>
    </row>
    <row r="335" spans="1:104" x14ac:dyDescent="0.15">
      <c r="A335" s="22">
        <v>3</v>
      </c>
      <c r="B335" s="39">
        <v>1</v>
      </c>
      <c r="F335" s="17">
        <v>1</v>
      </c>
      <c r="I335" s="64">
        <f t="shared" si="125"/>
        <v>93.428492305734082</v>
      </c>
      <c r="J335" s="17">
        <v>1</v>
      </c>
      <c r="M335" s="64">
        <f t="shared" si="126"/>
        <v>95.705097084683388</v>
      </c>
      <c r="N335" s="17">
        <v>1</v>
      </c>
      <c r="Q335" s="64">
        <f t="shared" si="127"/>
        <v>98.246708656674187</v>
      </c>
      <c r="R335" s="17">
        <v>2</v>
      </c>
      <c r="U335" s="64">
        <f t="shared" si="128"/>
        <v>101.34799174124942</v>
      </c>
      <c r="V335" s="39">
        <v>2</v>
      </c>
      <c r="Y335" s="114">
        <f t="shared" si="129"/>
        <v>97.875621286587162</v>
      </c>
      <c r="Z335" s="39">
        <v>3</v>
      </c>
      <c r="AC335" s="64">
        <f t="shared" si="130"/>
        <v>109.50350141641081</v>
      </c>
      <c r="AD335" s="22">
        <v>2</v>
      </c>
      <c r="AE335" s="71"/>
      <c r="AF335" s="71"/>
      <c r="AG335" s="71">
        <f t="shared" si="131"/>
        <v>101.01229126330007</v>
      </c>
      <c r="AH335" s="22">
        <v>2</v>
      </c>
      <c r="AK335" s="64">
        <f t="shared" si="132"/>
        <v>99.518280131348902</v>
      </c>
      <c r="AL335" s="39">
        <v>4</v>
      </c>
      <c r="AM335" s="71"/>
      <c r="AN335" s="71"/>
      <c r="AO335" s="71">
        <f t="shared" si="133"/>
        <v>111.97339782828605</v>
      </c>
      <c r="AP335" s="22">
        <v>3</v>
      </c>
      <c r="AQ335" s="71"/>
      <c r="AR335" s="71"/>
      <c r="AS335" s="71">
        <f t="shared" si="134"/>
        <v>110.12341030651692</v>
      </c>
      <c r="AT335" s="39">
        <v>2</v>
      </c>
      <c r="AU335" s="71"/>
      <c r="AV335" s="71"/>
      <c r="AW335" s="71">
        <f t="shared" si="135"/>
        <v>110.91338973410525</v>
      </c>
      <c r="AX335" s="39">
        <v>3</v>
      </c>
      <c r="AY335" s="71"/>
      <c r="AZ335" s="71"/>
      <c r="BA335" s="71">
        <f t="shared" si="136"/>
        <v>111.80497096144313</v>
      </c>
      <c r="BH335" s="31">
        <v>2</v>
      </c>
      <c r="BI335" s="71"/>
      <c r="BJ335" s="71"/>
      <c r="BK335" s="71">
        <f t="shared" si="137"/>
        <v>114.81520780975161</v>
      </c>
      <c r="BL335" s="31">
        <v>3</v>
      </c>
      <c r="BM335" s="71"/>
      <c r="BN335" s="71"/>
      <c r="BO335" s="71">
        <f t="shared" si="138"/>
        <v>111.29665318323313</v>
      </c>
      <c r="BP335" s="22">
        <v>2</v>
      </c>
      <c r="BQ335" s="71"/>
      <c r="BR335" s="71"/>
      <c r="BS335" s="138">
        <f t="shared" si="139"/>
        <v>113.86671101544545</v>
      </c>
      <c r="BT335" s="22">
        <v>3</v>
      </c>
      <c r="BU335" s="71"/>
      <c r="BV335" s="71"/>
      <c r="BW335" s="71">
        <f t="shared" si="140"/>
        <v>112.03791162123835</v>
      </c>
      <c r="BY335" s="22">
        <v>3</v>
      </c>
      <c r="BZ335" s="71"/>
      <c r="CA335" s="71"/>
      <c r="CB335" s="71">
        <f t="shared" si="141"/>
        <v>110.05345743585116</v>
      </c>
      <c r="CC335" s="39">
        <v>3</v>
      </c>
      <c r="CD335" s="71"/>
      <c r="CE335" s="71"/>
      <c r="CF335" s="71">
        <f t="shared" si="142"/>
        <v>109.36214907383548</v>
      </c>
      <c r="CG335" s="39">
        <v>1</v>
      </c>
      <c r="CH335" s="71"/>
      <c r="CI335" s="71"/>
      <c r="CJ335" s="138">
        <f t="shared" si="143"/>
        <v>103.93736139675698</v>
      </c>
      <c r="CK335" s="39">
        <v>3</v>
      </c>
      <c r="CL335" s="71"/>
      <c r="CM335" s="71"/>
      <c r="CN335" s="71">
        <f t="shared" si="144"/>
        <v>109.82624001207998</v>
      </c>
      <c r="CS335" s="102">
        <f t="shared" si="145"/>
        <v>106.52759709210247</v>
      </c>
      <c r="CT335" s="102">
        <f t="shared" si="146"/>
        <v>6.6864202487811113</v>
      </c>
      <c r="CZ335" s="109" t="str">
        <f t="shared" si="147"/>
        <v>Basso</v>
      </c>
    </row>
    <row r="336" spans="1:104" x14ac:dyDescent="0.15">
      <c r="A336" s="22">
        <v>2</v>
      </c>
      <c r="B336" s="39">
        <v>1</v>
      </c>
      <c r="F336" s="22">
        <v>2</v>
      </c>
      <c r="I336" s="64">
        <f t="shared" si="125"/>
        <v>109.85726154139888</v>
      </c>
      <c r="J336" s="22">
        <v>2</v>
      </c>
      <c r="M336" s="64">
        <f t="shared" si="126"/>
        <v>110.02144013573877</v>
      </c>
      <c r="N336" s="22">
        <v>2</v>
      </c>
      <c r="Q336" s="64">
        <f t="shared" si="127"/>
        <v>113.93405225485253</v>
      </c>
      <c r="R336" s="22">
        <v>3</v>
      </c>
      <c r="U336" s="64">
        <f t="shared" si="128"/>
        <v>111.09942135879838</v>
      </c>
      <c r="V336" s="22">
        <v>2</v>
      </c>
      <c r="Y336" s="114">
        <f t="shared" si="129"/>
        <v>97.875621286587162</v>
      </c>
      <c r="Z336" s="27">
        <v>3</v>
      </c>
      <c r="AC336" s="64">
        <f t="shared" si="130"/>
        <v>109.50350141641081</v>
      </c>
      <c r="AD336" s="22">
        <v>3</v>
      </c>
      <c r="AE336" s="71"/>
      <c r="AF336" s="71"/>
      <c r="AG336" s="71">
        <f t="shared" si="131"/>
        <v>109.20703006144345</v>
      </c>
      <c r="AH336" s="22">
        <v>3</v>
      </c>
      <c r="AK336" s="64">
        <f t="shared" si="132"/>
        <v>110.43726382077395</v>
      </c>
      <c r="AL336" s="39">
        <v>4</v>
      </c>
      <c r="AM336" s="71"/>
      <c r="AN336" s="71"/>
      <c r="AO336" s="71">
        <f t="shared" si="133"/>
        <v>111.97339782828605</v>
      </c>
      <c r="AP336" s="22">
        <v>3</v>
      </c>
      <c r="AQ336" s="71"/>
      <c r="AR336" s="71"/>
      <c r="AS336" s="71">
        <f t="shared" si="134"/>
        <v>110.12341030651692</v>
      </c>
      <c r="AT336" s="39">
        <v>2</v>
      </c>
      <c r="AU336" s="71"/>
      <c r="AV336" s="71"/>
      <c r="AW336" s="71">
        <f t="shared" si="135"/>
        <v>110.91338973410525</v>
      </c>
      <c r="AX336" s="39">
        <v>3</v>
      </c>
      <c r="AY336" s="71"/>
      <c r="AZ336" s="71"/>
      <c r="BA336" s="71">
        <f t="shared" si="136"/>
        <v>111.80497096144313</v>
      </c>
      <c r="BH336" s="31">
        <v>2</v>
      </c>
      <c r="BI336" s="71"/>
      <c r="BJ336" s="71"/>
      <c r="BK336" s="71">
        <f t="shared" si="137"/>
        <v>114.81520780975161</v>
      </c>
      <c r="BL336" s="31">
        <v>3</v>
      </c>
      <c r="BM336" s="71"/>
      <c r="BN336" s="71"/>
      <c r="BO336" s="71">
        <f t="shared" si="138"/>
        <v>111.29665318323313</v>
      </c>
      <c r="BP336" s="22">
        <v>2</v>
      </c>
      <c r="BQ336" s="71"/>
      <c r="BR336" s="71"/>
      <c r="BS336" s="138">
        <f t="shared" si="139"/>
        <v>113.86671101544545</v>
      </c>
      <c r="BT336" s="22">
        <v>3</v>
      </c>
      <c r="BU336" s="71"/>
      <c r="BV336" s="71"/>
      <c r="BW336" s="71">
        <f t="shared" si="140"/>
        <v>112.03791162123835</v>
      </c>
      <c r="BY336" s="22">
        <v>3</v>
      </c>
      <c r="BZ336" s="71"/>
      <c r="CA336" s="71"/>
      <c r="CB336" s="71">
        <f t="shared" si="141"/>
        <v>110.05345743585116</v>
      </c>
      <c r="CC336" s="39">
        <v>3</v>
      </c>
      <c r="CD336" s="71"/>
      <c r="CE336" s="71"/>
      <c r="CF336" s="71">
        <f t="shared" si="142"/>
        <v>109.36214907383548</v>
      </c>
      <c r="CG336" s="39">
        <v>1</v>
      </c>
      <c r="CH336" s="71"/>
      <c r="CI336" s="71"/>
      <c r="CJ336" s="138">
        <f t="shared" si="143"/>
        <v>103.93736139675698</v>
      </c>
      <c r="CK336" s="39">
        <v>3</v>
      </c>
      <c r="CL336" s="71"/>
      <c r="CM336" s="71"/>
      <c r="CN336" s="71">
        <f t="shared" si="144"/>
        <v>109.82624001207998</v>
      </c>
      <c r="CS336" s="102">
        <f t="shared" si="145"/>
        <v>110.95686815033871</v>
      </c>
      <c r="CT336" s="102">
        <f t="shared" si="146"/>
        <v>1.5746021455775712</v>
      </c>
      <c r="CZ336" s="109" t="str">
        <f t="shared" si="147"/>
        <v>Basso</v>
      </c>
    </row>
    <row r="337" spans="1:104" x14ac:dyDescent="0.15">
      <c r="A337" s="22">
        <v>2</v>
      </c>
      <c r="B337" s="39">
        <v>1</v>
      </c>
      <c r="F337" s="22">
        <v>2</v>
      </c>
      <c r="I337" s="64">
        <f t="shared" si="125"/>
        <v>109.85726154139888</v>
      </c>
      <c r="J337" s="22">
        <v>2</v>
      </c>
      <c r="M337" s="64">
        <f t="shared" si="126"/>
        <v>110.02144013573877</v>
      </c>
      <c r="N337" s="22">
        <v>1</v>
      </c>
      <c r="Q337" s="64">
        <f t="shared" si="127"/>
        <v>98.246708656674187</v>
      </c>
      <c r="R337" s="22">
        <v>3</v>
      </c>
      <c r="U337" s="64">
        <f t="shared" si="128"/>
        <v>111.09942135879838</v>
      </c>
      <c r="V337" s="22">
        <v>2</v>
      </c>
      <c r="Y337" s="114">
        <f t="shared" si="129"/>
        <v>97.875621286587162</v>
      </c>
      <c r="Z337" s="27">
        <v>3</v>
      </c>
      <c r="AC337" s="64">
        <f t="shared" si="130"/>
        <v>109.50350141641081</v>
      </c>
      <c r="AD337" s="22">
        <v>3</v>
      </c>
      <c r="AE337" s="71"/>
      <c r="AF337" s="71"/>
      <c r="AG337" s="71">
        <f t="shared" si="131"/>
        <v>109.20703006144345</v>
      </c>
      <c r="AH337" s="22">
        <v>3</v>
      </c>
      <c r="AK337" s="64">
        <f t="shared" si="132"/>
        <v>110.43726382077395</v>
      </c>
      <c r="AL337" s="39">
        <v>4</v>
      </c>
      <c r="AM337" s="71"/>
      <c r="AN337" s="71"/>
      <c r="AO337" s="71">
        <f t="shared" si="133"/>
        <v>111.97339782828605</v>
      </c>
      <c r="AP337" s="22">
        <v>3</v>
      </c>
      <c r="AQ337" s="71"/>
      <c r="AR337" s="71"/>
      <c r="AS337" s="71">
        <f t="shared" si="134"/>
        <v>110.12341030651692</v>
      </c>
      <c r="AT337" s="39">
        <v>2</v>
      </c>
      <c r="AU337" s="71"/>
      <c r="AV337" s="71"/>
      <c r="AW337" s="71">
        <f t="shared" si="135"/>
        <v>110.91338973410525</v>
      </c>
      <c r="AX337" s="39">
        <v>2</v>
      </c>
      <c r="AY337" s="71"/>
      <c r="AZ337" s="71"/>
      <c r="BA337" s="71">
        <f t="shared" si="136"/>
        <v>100.92776194547928</v>
      </c>
      <c r="BH337" s="31">
        <v>0</v>
      </c>
      <c r="BI337" s="71"/>
      <c r="BJ337" s="71"/>
      <c r="BK337" s="71">
        <f t="shared" si="137"/>
        <v>92.176238572378367</v>
      </c>
      <c r="BL337" s="31">
        <v>2</v>
      </c>
      <c r="BM337" s="71"/>
      <c r="BN337" s="71"/>
      <c r="BO337" s="71">
        <f t="shared" si="138"/>
        <v>101.95148996595998</v>
      </c>
      <c r="BP337" s="22">
        <v>2</v>
      </c>
      <c r="BQ337" s="71"/>
      <c r="BR337" s="71"/>
      <c r="BS337" s="138">
        <f t="shared" si="139"/>
        <v>113.86671101544545</v>
      </c>
      <c r="BT337" s="22">
        <v>3</v>
      </c>
      <c r="BU337" s="71"/>
      <c r="BV337" s="71"/>
      <c r="BW337" s="71">
        <f t="shared" si="140"/>
        <v>112.03791162123835</v>
      </c>
      <c r="BY337" s="22">
        <v>2</v>
      </c>
      <c r="BZ337" s="71"/>
      <c r="CA337" s="71"/>
      <c r="CB337" s="71">
        <f t="shared" si="141"/>
        <v>100.53207713448795</v>
      </c>
      <c r="CC337" s="39">
        <v>1</v>
      </c>
      <c r="CD337" s="71"/>
      <c r="CE337" s="71"/>
      <c r="CF337" s="71">
        <f t="shared" si="142"/>
        <v>91.015574519921572</v>
      </c>
      <c r="CG337" s="39">
        <v>1</v>
      </c>
      <c r="CH337" s="71"/>
      <c r="CI337" s="71"/>
      <c r="CJ337" s="138">
        <f t="shared" si="143"/>
        <v>103.93736139675698</v>
      </c>
      <c r="CK337" s="39">
        <v>3</v>
      </c>
      <c r="CL337" s="71"/>
      <c r="CM337" s="71"/>
      <c r="CN337" s="71">
        <f t="shared" si="144"/>
        <v>109.82624001207998</v>
      </c>
      <c r="CS337" s="102">
        <f t="shared" si="145"/>
        <v>105.87353639009955</v>
      </c>
      <c r="CT337" s="102">
        <f t="shared" si="146"/>
        <v>6.9584146304216619</v>
      </c>
      <c r="CZ337" s="109" t="str">
        <f t="shared" si="147"/>
        <v>Basso</v>
      </c>
    </row>
    <row r="338" spans="1:104" x14ac:dyDescent="0.15">
      <c r="A338" s="22">
        <v>3</v>
      </c>
      <c r="B338" s="39">
        <v>1</v>
      </c>
      <c r="F338" s="22">
        <v>1</v>
      </c>
      <c r="I338" s="64">
        <f t="shared" si="125"/>
        <v>93.428492305734082</v>
      </c>
      <c r="J338" s="22">
        <v>1</v>
      </c>
      <c r="M338" s="64">
        <f t="shared" si="126"/>
        <v>95.705097084683388</v>
      </c>
      <c r="N338" s="22">
        <v>1</v>
      </c>
      <c r="Q338" s="64">
        <f t="shared" si="127"/>
        <v>98.246708656674187</v>
      </c>
      <c r="R338" s="22">
        <v>1</v>
      </c>
      <c r="U338" s="64">
        <f t="shared" si="128"/>
        <v>91.596562123700451</v>
      </c>
      <c r="V338" s="22">
        <v>2</v>
      </c>
      <c r="Y338" s="114">
        <f t="shared" si="129"/>
        <v>97.875621286587162</v>
      </c>
      <c r="Z338" s="27">
        <v>2</v>
      </c>
      <c r="AC338" s="64">
        <f t="shared" si="130"/>
        <v>101.50550517487696</v>
      </c>
      <c r="AD338" s="22">
        <v>3</v>
      </c>
      <c r="AE338" s="71"/>
      <c r="AF338" s="71"/>
      <c r="AG338" s="71">
        <f t="shared" si="131"/>
        <v>109.20703006144345</v>
      </c>
      <c r="AH338" s="22">
        <v>2</v>
      </c>
      <c r="AK338" s="64">
        <f t="shared" si="132"/>
        <v>99.518280131348902</v>
      </c>
      <c r="AL338" s="39">
        <v>3</v>
      </c>
      <c r="AM338" s="71"/>
      <c r="AN338" s="71"/>
      <c r="AO338" s="71">
        <f t="shared" si="133"/>
        <v>100.85056924463234</v>
      </c>
      <c r="AP338" s="22">
        <v>2</v>
      </c>
      <c r="AQ338" s="71"/>
      <c r="AR338" s="71"/>
      <c r="AS338" s="71">
        <f t="shared" si="134"/>
        <v>99.909880620416757</v>
      </c>
      <c r="AT338" s="39">
        <v>0</v>
      </c>
      <c r="AU338" s="71"/>
      <c r="AV338" s="71"/>
      <c r="AW338" s="71">
        <f t="shared" si="135"/>
        <v>89.214252251088965</v>
      </c>
      <c r="AX338" s="39">
        <v>2</v>
      </c>
      <c r="AY338" s="71"/>
      <c r="AZ338" s="71"/>
      <c r="BA338" s="71">
        <f t="shared" si="136"/>
        <v>100.92776194547928</v>
      </c>
      <c r="BH338" s="31">
        <v>0</v>
      </c>
      <c r="BI338" s="71"/>
      <c r="BJ338" s="71"/>
      <c r="BK338" s="71">
        <f t="shared" si="137"/>
        <v>92.176238572378367</v>
      </c>
      <c r="BL338" s="31">
        <v>2</v>
      </c>
      <c r="BM338" s="71"/>
      <c r="BN338" s="71"/>
      <c r="BO338" s="71">
        <f t="shared" si="138"/>
        <v>101.95148996595998</v>
      </c>
      <c r="BP338" s="22">
        <v>2</v>
      </c>
      <c r="BQ338" s="71"/>
      <c r="BR338" s="71"/>
      <c r="BS338" s="138">
        <f t="shared" si="139"/>
        <v>113.86671101544545</v>
      </c>
      <c r="BT338" s="22">
        <v>1</v>
      </c>
      <c r="BU338" s="71"/>
      <c r="BV338" s="71"/>
      <c r="BW338" s="71">
        <f t="shared" si="140"/>
        <v>93.001214173698628</v>
      </c>
      <c r="BY338" s="22">
        <v>3</v>
      </c>
      <c r="BZ338" s="71"/>
      <c r="CA338" s="71"/>
      <c r="CB338" s="71">
        <f t="shared" si="141"/>
        <v>110.05345743585116</v>
      </c>
      <c r="CC338" s="39">
        <v>2</v>
      </c>
      <c r="CD338" s="71"/>
      <c r="CE338" s="71"/>
      <c r="CF338" s="71">
        <f t="shared" si="142"/>
        <v>100.18886179687853</v>
      </c>
      <c r="CG338" s="39">
        <v>1</v>
      </c>
      <c r="CH338" s="71"/>
      <c r="CI338" s="71"/>
      <c r="CJ338" s="138">
        <f t="shared" si="143"/>
        <v>103.93736139675698</v>
      </c>
      <c r="CK338" s="39">
        <v>2</v>
      </c>
      <c r="CL338" s="71"/>
      <c r="CM338" s="71"/>
      <c r="CN338" s="71">
        <f t="shared" si="144"/>
        <v>100.22589057499034</v>
      </c>
      <c r="CS338" s="102">
        <f t="shared" si="145"/>
        <v>98.688664242343279</v>
      </c>
      <c r="CT338" s="102">
        <f t="shared" si="146"/>
        <v>5.7360887565291998</v>
      </c>
      <c r="CZ338" s="109" t="str">
        <f t="shared" si="147"/>
        <v>Basso</v>
      </c>
    </row>
    <row r="339" spans="1:104" x14ac:dyDescent="0.15">
      <c r="A339" s="22">
        <v>2</v>
      </c>
      <c r="B339" s="39">
        <v>1</v>
      </c>
      <c r="F339" s="22">
        <v>2</v>
      </c>
      <c r="I339" s="64">
        <f t="shared" si="125"/>
        <v>109.85726154139888</v>
      </c>
      <c r="J339" s="22">
        <v>2</v>
      </c>
      <c r="M339" s="64">
        <f t="shared" si="126"/>
        <v>110.02144013573877</v>
      </c>
      <c r="N339" s="22">
        <v>2</v>
      </c>
      <c r="Q339" s="64">
        <f t="shared" si="127"/>
        <v>113.93405225485253</v>
      </c>
      <c r="R339" s="22">
        <v>3</v>
      </c>
      <c r="U339" s="64">
        <f t="shared" si="128"/>
        <v>111.09942135879838</v>
      </c>
      <c r="V339" s="39">
        <v>4</v>
      </c>
      <c r="Y339" s="114">
        <f t="shared" si="129"/>
        <v>110.77363490373656</v>
      </c>
      <c r="Z339" s="27">
        <v>3</v>
      </c>
      <c r="AC339" s="64">
        <f t="shared" si="130"/>
        <v>109.50350141641081</v>
      </c>
      <c r="AD339" s="22">
        <v>3</v>
      </c>
      <c r="AE339" s="71"/>
      <c r="AF339" s="71"/>
      <c r="AG339" s="71">
        <f t="shared" si="131"/>
        <v>109.20703006144345</v>
      </c>
      <c r="AH339" s="22">
        <v>3</v>
      </c>
      <c r="AK339" s="64">
        <f t="shared" si="132"/>
        <v>110.43726382077395</v>
      </c>
      <c r="AL339" s="39">
        <v>1</v>
      </c>
      <c r="AM339" s="71"/>
      <c r="AN339" s="71"/>
      <c r="AO339" s="71">
        <f t="shared" si="133"/>
        <v>78.60491207732494</v>
      </c>
      <c r="AP339" s="22">
        <v>3</v>
      </c>
      <c r="AQ339" s="71"/>
      <c r="AR339" s="71"/>
      <c r="AS339" s="71">
        <f t="shared" si="134"/>
        <v>110.12341030651692</v>
      </c>
      <c r="AT339" s="39">
        <v>2</v>
      </c>
      <c r="AU339" s="71"/>
      <c r="AV339" s="71"/>
      <c r="AW339" s="71">
        <f t="shared" si="135"/>
        <v>110.91338973410525</v>
      </c>
      <c r="AX339" s="39">
        <v>3</v>
      </c>
      <c r="AY339" s="71"/>
      <c r="AZ339" s="71"/>
      <c r="BA339" s="71">
        <f t="shared" si="136"/>
        <v>111.80497096144313</v>
      </c>
      <c r="BH339" s="31">
        <v>2</v>
      </c>
      <c r="BI339" s="71"/>
      <c r="BJ339" s="71"/>
      <c r="BK339" s="71">
        <f t="shared" si="137"/>
        <v>114.81520780975161</v>
      </c>
      <c r="BL339" s="31">
        <v>3</v>
      </c>
      <c r="BM339" s="71"/>
      <c r="BN339" s="71"/>
      <c r="BO339" s="71">
        <f t="shared" si="138"/>
        <v>111.29665318323313</v>
      </c>
      <c r="BP339" s="22">
        <v>2</v>
      </c>
      <c r="BQ339" s="71"/>
      <c r="BR339" s="71"/>
      <c r="BS339" s="138">
        <f t="shared" si="139"/>
        <v>113.86671101544545</v>
      </c>
      <c r="BT339" s="22">
        <v>3</v>
      </c>
      <c r="BU339" s="71"/>
      <c r="BV339" s="71"/>
      <c r="BW339" s="71">
        <f t="shared" si="140"/>
        <v>112.03791162123835</v>
      </c>
      <c r="BY339" s="22">
        <v>2</v>
      </c>
      <c r="BZ339" s="71"/>
      <c r="CA339" s="71"/>
      <c r="CB339" s="71">
        <f t="shared" si="141"/>
        <v>100.53207713448795</v>
      </c>
      <c r="CC339" s="39">
        <v>1</v>
      </c>
      <c r="CD339" s="71"/>
      <c r="CE339" s="71"/>
      <c r="CF339" s="71">
        <f t="shared" si="142"/>
        <v>91.015574519921572</v>
      </c>
      <c r="CG339" s="39">
        <v>1</v>
      </c>
      <c r="CH339" s="71"/>
      <c r="CI339" s="71"/>
      <c r="CJ339" s="138">
        <f t="shared" si="143"/>
        <v>103.93736139675698</v>
      </c>
      <c r="CK339" s="39">
        <v>2</v>
      </c>
      <c r="CL339" s="71"/>
      <c r="CM339" s="71"/>
      <c r="CN339" s="71">
        <f t="shared" si="144"/>
        <v>100.22589057499034</v>
      </c>
      <c r="CS339" s="102">
        <f t="shared" si="145"/>
        <v>106.78999814779002</v>
      </c>
      <c r="CT339" s="102">
        <f t="shared" si="146"/>
        <v>9.377385441807828</v>
      </c>
      <c r="CZ339" s="109" t="str">
        <f t="shared" si="147"/>
        <v>Basso</v>
      </c>
    </row>
    <row r="340" spans="1:104" x14ac:dyDescent="0.15">
      <c r="A340" s="22">
        <v>2</v>
      </c>
      <c r="B340" s="39">
        <v>1</v>
      </c>
      <c r="F340" s="22">
        <v>2</v>
      </c>
      <c r="I340" s="64">
        <f t="shared" si="125"/>
        <v>109.85726154139888</v>
      </c>
      <c r="J340" s="22">
        <v>2</v>
      </c>
      <c r="M340" s="64">
        <f t="shared" si="126"/>
        <v>110.02144013573877</v>
      </c>
      <c r="N340" s="22">
        <v>1</v>
      </c>
      <c r="Q340" s="64">
        <f t="shared" si="127"/>
        <v>98.246708656674187</v>
      </c>
      <c r="R340" s="22">
        <v>2</v>
      </c>
      <c r="U340" s="64">
        <f t="shared" si="128"/>
        <v>101.34799174124942</v>
      </c>
      <c r="V340" s="22">
        <v>0</v>
      </c>
      <c r="Y340" s="114">
        <f t="shared" si="129"/>
        <v>84.977607669437745</v>
      </c>
      <c r="Z340" s="27">
        <v>2</v>
      </c>
      <c r="AC340" s="64">
        <f t="shared" si="130"/>
        <v>101.50550517487696</v>
      </c>
      <c r="AD340" s="22">
        <v>3</v>
      </c>
      <c r="AE340" s="71"/>
      <c r="AF340" s="71"/>
      <c r="AG340" s="71">
        <f t="shared" si="131"/>
        <v>109.20703006144345</v>
      </c>
      <c r="AH340" s="22">
        <v>3</v>
      </c>
      <c r="AK340" s="64">
        <f t="shared" si="132"/>
        <v>110.43726382077395</v>
      </c>
      <c r="AL340" s="22">
        <v>3</v>
      </c>
      <c r="AM340" s="71"/>
      <c r="AN340" s="71"/>
      <c r="AO340" s="71">
        <f t="shared" si="133"/>
        <v>100.85056924463234</v>
      </c>
      <c r="AP340" s="22">
        <v>2</v>
      </c>
      <c r="AQ340" s="71"/>
      <c r="AR340" s="71"/>
      <c r="AS340" s="71">
        <f t="shared" si="134"/>
        <v>99.909880620416757</v>
      </c>
      <c r="AT340" s="39">
        <v>1</v>
      </c>
      <c r="AU340" s="71"/>
      <c r="AV340" s="71"/>
      <c r="AW340" s="71">
        <f t="shared" si="135"/>
        <v>100.0638209925971</v>
      </c>
      <c r="AX340" s="39">
        <v>1</v>
      </c>
      <c r="AY340" s="71"/>
      <c r="AZ340" s="71"/>
      <c r="BA340" s="71">
        <f t="shared" si="136"/>
        <v>90.050552929515405</v>
      </c>
      <c r="BH340" s="31">
        <v>0</v>
      </c>
      <c r="BI340" s="71"/>
      <c r="BJ340" s="71"/>
      <c r="BK340" s="71">
        <f t="shared" si="137"/>
        <v>92.176238572378367</v>
      </c>
      <c r="BL340" s="31">
        <v>2</v>
      </c>
      <c r="BM340" s="71"/>
      <c r="BN340" s="71"/>
      <c r="BO340" s="71">
        <f t="shared" si="138"/>
        <v>101.95148996595998</v>
      </c>
      <c r="BP340" s="22">
        <v>1</v>
      </c>
      <c r="BQ340" s="71"/>
      <c r="BR340" s="71"/>
      <c r="BS340" s="138">
        <f t="shared" si="139"/>
        <v>100.16171091563201</v>
      </c>
      <c r="BT340" s="22">
        <v>2</v>
      </c>
      <c r="BU340" s="71"/>
      <c r="BV340" s="71"/>
      <c r="BW340" s="71">
        <f t="shared" si="140"/>
        <v>102.51956289746849</v>
      </c>
      <c r="BY340" s="22">
        <v>3</v>
      </c>
      <c r="BZ340" s="71"/>
      <c r="CA340" s="71"/>
      <c r="CB340" s="71">
        <f t="shared" si="141"/>
        <v>110.05345743585116</v>
      </c>
      <c r="CC340" s="39">
        <v>3</v>
      </c>
      <c r="CD340" s="71"/>
      <c r="CE340" s="71"/>
      <c r="CF340" s="71">
        <f t="shared" si="142"/>
        <v>109.36214907383548</v>
      </c>
      <c r="CG340" s="39">
        <v>1</v>
      </c>
      <c r="CH340" s="71"/>
      <c r="CI340" s="71"/>
      <c r="CJ340" s="138">
        <f t="shared" si="143"/>
        <v>103.93736139675698</v>
      </c>
      <c r="CK340" s="39">
        <v>2</v>
      </c>
      <c r="CL340" s="71"/>
      <c r="CM340" s="71"/>
      <c r="CN340" s="71">
        <f t="shared" si="144"/>
        <v>100.22589057499034</v>
      </c>
      <c r="CS340" s="102">
        <f t="shared" si="145"/>
        <v>102.81098902587065</v>
      </c>
      <c r="CT340" s="102">
        <f t="shared" si="146"/>
        <v>6.2449878758961113</v>
      </c>
      <c r="CZ340" s="109" t="str">
        <f t="shared" si="147"/>
        <v>Basso</v>
      </c>
    </row>
    <row r="341" spans="1:104" x14ac:dyDescent="0.15">
      <c r="A341" s="22">
        <v>3</v>
      </c>
      <c r="B341" s="39">
        <v>2</v>
      </c>
      <c r="F341" s="22">
        <v>2</v>
      </c>
      <c r="I341" s="64">
        <f t="shared" si="125"/>
        <v>109.85726154139888</v>
      </c>
      <c r="J341" s="22">
        <v>0</v>
      </c>
      <c r="M341" s="64">
        <f t="shared" si="126"/>
        <v>81.388754033628004</v>
      </c>
      <c r="N341" s="22">
        <v>1</v>
      </c>
      <c r="Q341" s="64">
        <f t="shared" si="127"/>
        <v>98.246708656674187</v>
      </c>
      <c r="R341" s="22">
        <v>2</v>
      </c>
      <c r="U341" s="64">
        <f t="shared" si="128"/>
        <v>101.34799174124942</v>
      </c>
      <c r="V341" s="22">
        <v>1</v>
      </c>
      <c r="Y341" s="114">
        <f t="shared" si="129"/>
        <v>91.426614478012453</v>
      </c>
      <c r="Z341" s="27">
        <v>3</v>
      </c>
      <c r="AC341" s="64">
        <f t="shared" si="130"/>
        <v>109.50350141641081</v>
      </c>
      <c r="AD341" s="22">
        <v>1</v>
      </c>
      <c r="AE341" s="71"/>
      <c r="AF341" s="71"/>
      <c r="AG341" s="71">
        <f t="shared" si="131"/>
        <v>92.81755246515668</v>
      </c>
      <c r="AH341" s="22">
        <v>1</v>
      </c>
      <c r="AK341" s="64">
        <f t="shared" si="132"/>
        <v>88.599296441923855</v>
      </c>
      <c r="AL341" s="22">
        <v>0</v>
      </c>
      <c r="AM341" s="71"/>
      <c r="AN341" s="71"/>
      <c r="AO341" s="71">
        <f t="shared" ref="AO341:AO386" si="148">AL341/4</f>
        <v>0</v>
      </c>
      <c r="AP341" s="22">
        <v>1</v>
      </c>
      <c r="AQ341" s="71"/>
      <c r="AR341" s="71"/>
      <c r="AS341" s="71">
        <f t="shared" si="134"/>
        <v>89.696350934316598</v>
      </c>
      <c r="AT341" s="39">
        <v>2</v>
      </c>
      <c r="AU341" s="71"/>
      <c r="AV341" s="71"/>
      <c r="AW341" s="71">
        <f t="shared" si="135"/>
        <v>110.91338973410525</v>
      </c>
      <c r="AX341" s="39">
        <v>3</v>
      </c>
      <c r="AY341" s="71"/>
      <c r="AZ341" s="71"/>
      <c r="BA341" s="71">
        <f t="shared" si="136"/>
        <v>111.80497096144313</v>
      </c>
      <c r="BH341" s="31">
        <v>0</v>
      </c>
      <c r="BI341" s="71"/>
      <c r="BJ341" s="71"/>
      <c r="BK341" s="71">
        <f t="shared" si="137"/>
        <v>92.176238572378367</v>
      </c>
      <c r="BL341" s="31">
        <v>3</v>
      </c>
      <c r="BM341" s="71"/>
      <c r="BN341" s="71"/>
      <c r="BO341" s="71">
        <f t="shared" si="138"/>
        <v>111.29665318323313</v>
      </c>
      <c r="BP341" s="22">
        <v>1</v>
      </c>
      <c r="BQ341" s="71"/>
      <c r="BR341" s="71"/>
      <c r="BS341" s="138">
        <f t="shared" si="139"/>
        <v>100.16171091563201</v>
      </c>
      <c r="BT341" s="22">
        <v>1</v>
      </c>
      <c r="BU341" s="71"/>
      <c r="BV341" s="71"/>
      <c r="BW341" s="71">
        <f t="shared" si="140"/>
        <v>93.001214173698628</v>
      </c>
      <c r="BY341" s="22">
        <v>3</v>
      </c>
      <c r="BZ341" s="71"/>
      <c r="CA341" s="71"/>
      <c r="CB341" s="71">
        <f t="shared" si="141"/>
        <v>110.05345743585116</v>
      </c>
      <c r="CC341" s="22">
        <v>2</v>
      </c>
      <c r="CD341" s="71"/>
      <c r="CE341" s="71"/>
      <c r="CF341" s="71">
        <f t="shared" si="142"/>
        <v>100.18886179687853</v>
      </c>
      <c r="CG341" s="22">
        <v>1</v>
      </c>
      <c r="CH341" s="71"/>
      <c r="CI341" s="71"/>
      <c r="CJ341" s="138">
        <f t="shared" si="143"/>
        <v>103.93736139675698</v>
      </c>
      <c r="CK341" s="22">
        <v>0</v>
      </c>
      <c r="CL341" s="71"/>
      <c r="CM341" s="71"/>
      <c r="CN341" s="71">
        <f t="shared" si="144"/>
        <v>81.025191700811078</v>
      </c>
      <c r="CS341" s="102">
        <f t="shared" si="145"/>
        <v>93.053964399362215</v>
      </c>
      <c r="CT341" s="102">
        <f t="shared" si="146"/>
        <v>26.176914436625989</v>
      </c>
      <c r="CZ341" s="109" t="str">
        <f t="shared" si="147"/>
        <v>Basso</v>
      </c>
    </row>
    <row r="342" spans="1:104" x14ac:dyDescent="0.15">
      <c r="I342" s="64">
        <f t="shared" ref="I342:I386" si="149">100 + ((F342 - AVERAGE(F:F)) / STDEV(F:F)) * 10</f>
        <v>76.99972307006928</v>
      </c>
      <c r="M342" s="64">
        <f t="shared" ref="M342:M386" si="150">J342/2</f>
        <v>0</v>
      </c>
      <c r="Q342" s="64">
        <f t="shared" ref="Q342:Q386" si="151">N342/2</f>
        <v>0</v>
      </c>
      <c r="U342" s="64">
        <f t="shared" ref="U342:U386" si="152">R342/3</f>
        <v>0</v>
      </c>
      <c r="Y342" s="114">
        <f t="shared" ref="Y342:Y386" si="153">V342/5</f>
        <v>0</v>
      </c>
      <c r="AC342" s="64">
        <f t="shared" ref="AC342:AC386" si="154">Z342/3</f>
        <v>0</v>
      </c>
      <c r="AE342" s="71"/>
      <c r="AF342" s="71"/>
      <c r="AG342" s="71">
        <f t="shared" ref="AG342:AG386" si="155">AD342/3</f>
        <v>0</v>
      </c>
      <c r="AK342" s="64">
        <f t="shared" ref="AK342:AK386" si="156">AH342/3</f>
        <v>0</v>
      </c>
      <c r="AM342" s="71"/>
      <c r="AN342" s="71"/>
      <c r="AO342" s="71">
        <f t="shared" si="148"/>
        <v>0</v>
      </c>
      <c r="AQ342" s="71"/>
      <c r="AR342" s="71"/>
      <c r="AS342" s="71">
        <f t="shared" ref="AS342:AS386" si="157">AP342/3</f>
        <v>0</v>
      </c>
      <c r="AU342" s="71"/>
      <c r="AV342" s="71"/>
      <c r="AW342" s="71">
        <f t="shared" ref="AW342:AW386" si="158">AT342/3</f>
        <v>0</v>
      </c>
      <c r="AY342" s="71"/>
      <c r="AZ342" s="71"/>
      <c r="BA342" s="71">
        <f t="shared" ref="BA342:BA386" si="159">AX342/2</f>
        <v>0</v>
      </c>
      <c r="BI342" s="71"/>
      <c r="BJ342" s="71"/>
      <c r="BK342" s="71">
        <f t="shared" ref="BK342:BK386" si="160">BH342/2</f>
        <v>0</v>
      </c>
      <c r="BM342" s="71"/>
      <c r="BN342" s="71"/>
      <c r="BO342" s="71">
        <f t="shared" ref="BO342:BO386" si="161">BL342/3</f>
        <v>0</v>
      </c>
      <c r="BQ342" s="71"/>
      <c r="BR342" s="71"/>
      <c r="BS342" s="138">
        <f t="shared" ref="BS342:BS386" si="162">BP342/3</f>
        <v>0</v>
      </c>
      <c r="BU342" s="71"/>
      <c r="BV342" s="71"/>
      <c r="BW342" s="71">
        <f t="shared" ref="BW342:BW386" si="163">BT342/3</f>
        <v>0</v>
      </c>
      <c r="BZ342" s="71"/>
      <c r="CA342" s="71"/>
      <c r="CB342" s="71">
        <f t="shared" ref="CB342:CB386" si="164">BY342/3</f>
        <v>0</v>
      </c>
      <c r="CD342" s="71"/>
      <c r="CE342" s="71"/>
      <c r="CF342" s="71">
        <f t="shared" ref="CF342:CF386" si="165">CC342/3</f>
        <v>0</v>
      </c>
      <c r="CH342" s="71"/>
      <c r="CI342" s="71"/>
      <c r="CJ342" s="138">
        <f t="shared" ref="CJ342:CJ386" si="166">CG342/2</f>
        <v>0</v>
      </c>
      <c r="CL342" s="71"/>
      <c r="CM342" s="71"/>
      <c r="CN342" s="71">
        <f t="shared" ref="CN342:CN386" si="167">CK342/3</f>
        <v>0</v>
      </c>
      <c r="CS342" s="102">
        <f t="shared" si="145"/>
        <v>4.5293954747099576</v>
      </c>
      <c r="CT342" s="102">
        <f t="shared" si="146"/>
        <v>18.675175962423801</v>
      </c>
      <c r="CZ342" s="109" t="str">
        <f t="shared" si="147"/>
        <v>Basso</v>
      </c>
    </row>
    <row r="343" spans="1:104" x14ac:dyDescent="0.15">
      <c r="I343" s="64">
        <f t="shared" si="149"/>
        <v>76.99972307006928</v>
      </c>
      <c r="M343" s="64">
        <f t="shared" si="150"/>
        <v>0</v>
      </c>
      <c r="Q343" s="64">
        <f t="shared" si="151"/>
        <v>0</v>
      </c>
      <c r="U343" s="64">
        <f t="shared" si="152"/>
        <v>0</v>
      </c>
      <c r="Y343" s="114">
        <f t="shared" si="153"/>
        <v>0</v>
      </c>
      <c r="AC343" s="64">
        <f t="shared" si="154"/>
        <v>0</v>
      </c>
      <c r="AE343" s="71"/>
      <c r="AF343" s="71"/>
      <c r="AG343" s="71">
        <f t="shared" si="155"/>
        <v>0</v>
      </c>
      <c r="AK343" s="64">
        <f t="shared" si="156"/>
        <v>0</v>
      </c>
      <c r="AM343" s="71"/>
      <c r="AN343" s="71"/>
      <c r="AO343" s="71">
        <f t="shared" si="148"/>
        <v>0</v>
      </c>
      <c r="AQ343" s="71"/>
      <c r="AR343" s="71"/>
      <c r="AS343" s="71">
        <f t="shared" si="157"/>
        <v>0</v>
      </c>
      <c r="AU343" s="71"/>
      <c r="AV343" s="71"/>
      <c r="AW343" s="71">
        <f t="shared" si="158"/>
        <v>0</v>
      </c>
      <c r="AY343" s="71"/>
      <c r="AZ343" s="71"/>
      <c r="BA343" s="71">
        <f t="shared" si="159"/>
        <v>0</v>
      </c>
      <c r="BI343" s="71"/>
      <c r="BJ343" s="71"/>
      <c r="BK343" s="71">
        <f t="shared" si="160"/>
        <v>0</v>
      </c>
      <c r="BM343" s="71"/>
      <c r="BN343" s="71"/>
      <c r="BO343" s="71">
        <f t="shared" si="161"/>
        <v>0</v>
      </c>
      <c r="BQ343" s="71"/>
      <c r="BR343" s="71"/>
      <c r="BS343" s="138">
        <f t="shared" si="162"/>
        <v>0</v>
      </c>
      <c r="BU343" s="71"/>
      <c r="BV343" s="71"/>
      <c r="BW343" s="71">
        <f t="shared" si="163"/>
        <v>0</v>
      </c>
      <c r="BZ343" s="71"/>
      <c r="CA343" s="71"/>
      <c r="CB343" s="71">
        <f t="shared" si="164"/>
        <v>0</v>
      </c>
      <c r="CD343" s="71"/>
      <c r="CE343" s="71"/>
      <c r="CF343" s="71">
        <f t="shared" si="165"/>
        <v>0</v>
      </c>
      <c r="CH343" s="71"/>
      <c r="CI343" s="71"/>
      <c r="CJ343" s="138">
        <f t="shared" si="166"/>
        <v>0</v>
      </c>
      <c r="CL343" s="71"/>
      <c r="CM343" s="71"/>
      <c r="CN343" s="71">
        <f t="shared" si="167"/>
        <v>0</v>
      </c>
      <c r="CS343" s="102">
        <f t="shared" si="145"/>
        <v>4.5293954747099576</v>
      </c>
      <c r="CT343" s="102">
        <f t="shared" si="146"/>
        <v>18.675175962423801</v>
      </c>
      <c r="CZ343" s="109" t="str">
        <f t="shared" si="147"/>
        <v>Basso</v>
      </c>
    </row>
    <row r="344" spans="1:104" x14ac:dyDescent="0.15">
      <c r="I344" s="64">
        <f t="shared" si="149"/>
        <v>76.99972307006928</v>
      </c>
      <c r="M344" s="64">
        <f t="shared" si="150"/>
        <v>0</v>
      </c>
      <c r="Q344" s="64">
        <f t="shared" si="151"/>
        <v>0</v>
      </c>
      <c r="U344" s="64">
        <f t="shared" si="152"/>
        <v>0</v>
      </c>
      <c r="Y344" s="114">
        <f t="shared" si="153"/>
        <v>0</v>
      </c>
      <c r="AC344" s="64">
        <f t="shared" si="154"/>
        <v>0</v>
      </c>
      <c r="AE344" s="71"/>
      <c r="AF344" s="71"/>
      <c r="AG344" s="71">
        <f t="shared" si="155"/>
        <v>0</v>
      </c>
      <c r="AK344" s="64">
        <f t="shared" si="156"/>
        <v>0</v>
      </c>
      <c r="AM344" s="71"/>
      <c r="AN344" s="71"/>
      <c r="AO344" s="71">
        <f t="shared" si="148"/>
        <v>0</v>
      </c>
      <c r="AQ344" s="71"/>
      <c r="AR344" s="71"/>
      <c r="AS344" s="71">
        <f t="shared" si="157"/>
        <v>0</v>
      </c>
      <c r="AU344" s="71"/>
      <c r="AV344" s="71"/>
      <c r="AW344" s="71">
        <f t="shared" si="158"/>
        <v>0</v>
      </c>
      <c r="AY344" s="71"/>
      <c r="AZ344" s="71"/>
      <c r="BA344" s="71">
        <f t="shared" si="159"/>
        <v>0</v>
      </c>
      <c r="BI344" s="71"/>
      <c r="BJ344" s="71"/>
      <c r="BK344" s="71">
        <f t="shared" si="160"/>
        <v>0</v>
      </c>
      <c r="BM344" s="71"/>
      <c r="BN344" s="71"/>
      <c r="BO344" s="71">
        <f t="shared" si="161"/>
        <v>0</v>
      </c>
      <c r="BQ344" s="71"/>
      <c r="BR344" s="71"/>
      <c r="BS344" s="138">
        <f t="shared" si="162"/>
        <v>0</v>
      </c>
      <c r="BU344" s="71"/>
      <c r="BV344" s="71"/>
      <c r="BW344" s="71">
        <f t="shared" si="163"/>
        <v>0</v>
      </c>
      <c r="BZ344" s="71"/>
      <c r="CA344" s="71"/>
      <c r="CB344" s="71">
        <f t="shared" si="164"/>
        <v>0</v>
      </c>
      <c r="CD344" s="71"/>
      <c r="CE344" s="71"/>
      <c r="CF344" s="71">
        <f t="shared" si="165"/>
        <v>0</v>
      </c>
      <c r="CH344" s="71"/>
      <c r="CI344" s="71"/>
      <c r="CJ344" s="138">
        <f t="shared" si="166"/>
        <v>0</v>
      </c>
      <c r="CL344" s="71"/>
      <c r="CM344" s="71"/>
      <c r="CN344" s="71">
        <f t="shared" si="167"/>
        <v>0</v>
      </c>
      <c r="CS344" s="102">
        <f t="shared" si="145"/>
        <v>4.5293954747099576</v>
      </c>
      <c r="CT344" s="102">
        <f t="shared" si="146"/>
        <v>18.675175962423801</v>
      </c>
      <c r="CZ344" s="109" t="str">
        <f t="shared" si="147"/>
        <v>Basso</v>
      </c>
    </row>
    <row r="345" spans="1:104" x14ac:dyDescent="0.15">
      <c r="I345" s="64">
        <f t="shared" si="149"/>
        <v>76.99972307006928</v>
      </c>
      <c r="M345" s="64">
        <f t="shared" si="150"/>
        <v>0</v>
      </c>
      <c r="Q345" s="64">
        <f t="shared" si="151"/>
        <v>0</v>
      </c>
      <c r="U345" s="64">
        <f t="shared" si="152"/>
        <v>0</v>
      </c>
      <c r="Y345" s="114">
        <f t="shared" si="153"/>
        <v>0</v>
      </c>
      <c r="AC345" s="64">
        <f t="shared" si="154"/>
        <v>0</v>
      </c>
      <c r="AE345" s="71"/>
      <c r="AF345" s="71"/>
      <c r="AG345" s="71">
        <f t="shared" si="155"/>
        <v>0</v>
      </c>
      <c r="AK345" s="64">
        <f t="shared" si="156"/>
        <v>0</v>
      </c>
      <c r="AM345" s="71"/>
      <c r="AN345" s="71"/>
      <c r="AO345" s="71">
        <f t="shared" si="148"/>
        <v>0</v>
      </c>
      <c r="AQ345" s="71"/>
      <c r="AR345" s="71"/>
      <c r="AS345" s="71">
        <f t="shared" si="157"/>
        <v>0</v>
      </c>
      <c r="AU345" s="71"/>
      <c r="AV345" s="71"/>
      <c r="AW345" s="71">
        <f t="shared" si="158"/>
        <v>0</v>
      </c>
      <c r="AY345" s="71"/>
      <c r="AZ345" s="71"/>
      <c r="BA345" s="71">
        <f t="shared" si="159"/>
        <v>0</v>
      </c>
      <c r="BI345" s="71"/>
      <c r="BJ345" s="71"/>
      <c r="BK345" s="71">
        <f t="shared" si="160"/>
        <v>0</v>
      </c>
      <c r="BM345" s="71"/>
      <c r="BN345" s="71"/>
      <c r="BO345" s="71">
        <f t="shared" si="161"/>
        <v>0</v>
      </c>
      <c r="BQ345" s="71"/>
      <c r="BR345" s="71"/>
      <c r="BS345" s="138">
        <f t="shared" si="162"/>
        <v>0</v>
      </c>
      <c r="BU345" s="71"/>
      <c r="BV345" s="71"/>
      <c r="BW345" s="71">
        <f t="shared" si="163"/>
        <v>0</v>
      </c>
      <c r="BZ345" s="71"/>
      <c r="CA345" s="71"/>
      <c r="CB345" s="71">
        <f t="shared" si="164"/>
        <v>0</v>
      </c>
      <c r="CD345" s="71"/>
      <c r="CE345" s="71"/>
      <c r="CF345" s="71">
        <f t="shared" si="165"/>
        <v>0</v>
      </c>
      <c r="CH345" s="71"/>
      <c r="CI345" s="71"/>
      <c r="CJ345" s="138">
        <f t="shared" si="166"/>
        <v>0</v>
      </c>
      <c r="CL345" s="71"/>
      <c r="CM345" s="71"/>
      <c r="CN345" s="71">
        <f t="shared" si="167"/>
        <v>0</v>
      </c>
      <c r="CS345" s="102">
        <f t="shared" si="145"/>
        <v>4.5293954747099576</v>
      </c>
      <c r="CT345" s="102">
        <f t="shared" si="146"/>
        <v>18.675175962423801</v>
      </c>
      <c r="CZ345" s="109" t="str">
        <f t="shared" si="147"/>
        <v>Basso</v>
      </c>
    </row>
    <row r="346" spans="1:104" x14ac:dyDescent="0.15">
      <c r="I346" s="64">
        <f t="shared" si="149"/>
        <v>76.99972307006928</v>
      </c>
      <c r="M346" s="64">
        <f t="shared" si="150"/>
        <v>0</v>
      </c>
      <c r="Q346" s="64">
        <f t="shared" si="151"/>
        <v>0</v>
      </c>
      <c r="U346" s="64">
        <f t="shared" si="152"/>
        <v>0</v>
      </c>
      <c r="Y346" s="114">
        <f t="shared" si="153"/>
        <v>0</v>
      </c>
      <c r="AC346" s="64">
        <f t="shared" si="154"/>
        <v>0</v>
      </c>
      <c r="AE346" s="71"/>
      <c r="AF346" s="71"/>
      <c r="AG346" s="71">
        <f t="shared" si="155"/>
        <v>0</v>
      </c>
      <c r="AK346" s="64">
        <f t="shared" si="156"/>
        <v>0</v>
      </c>
      <c r="AM346" s="71"/>
      <c r="AN346" s="71"/>
      <c r="AO346" s="71">
        <f t="shared" si="148"/>
        <v>0</v>
      </c>
      <c r="AQ346" s="71"/>
      <c r="AR346" s="71"/>
      <c r="AS346" s="71">
        <f t="shared" si="157"/>
        <v>0</v>
      </c>
      <c r="AU346" s="71"/>
      <c r="AV346" s="71"/>
      <c r="AW346" s="71">
        <f t="shared" si="158"/>
        <v>0</v>
      </c>
      <c r="AY346" s="71"/>
      <c r="AZ346" s="71"/>
      <c r="BA346" s="71">
        <f t="shared" si="159"/>
        <v>0</v>
      </c>
      <c r="BI346" s="71"/>
      <c r="BJ346" s="71"/>
      <c r="BK346" s="71">
        <f t="shared" si="160"/>
        <v>0</v>
      </c>
      <c r="BM346" s="71"/>
      <c r="BN346" s="71"/>
      <c r="BO346" s="71">
        <f t="shared" si="161"/>
        <v>0</v>
      </c>
      <c r="BQ346" s="71"/>
      <c r="BR346" s="71"/>
      <c r="BS346" s="138">
        <f t="shared" si="162"/>
        <v>0</v>
      </c>
      <c r="BU346" s="71"/>
      <c r="BV346" s="71"/>
      <c r="BW346" s="71">
        <f t="shared" si="163"/>
        <v>0</v>
      </c>
      <c r="BZ346" s="71"/>
      <c r="CA346" s="71"/>
      <c r="CB346" s="71">
        <f t="shared" si="164"/>
        <v>0</v>
      </c>
      <c r="CD346" s="71"/>
      <c r="CE346" s="71"/>
      <c r="CF346" s="71">
        <f t="shared" si="165"/>
        <v>0</v>
      </c>
      <c r="CH346" s="71"/>
      <c r="CI346" s="71"/>
      <c r="CJ346" s="138">
        <f t="shared" si="166"/>
        <v>0</v>
      </c>
      <c r="CL346" s="71"/>
      <c r="CM346" s="71"/>
      <c r="CN346" s="71">
        <f t="shared" si="167"/>
        <v>0</v>
      </c>
      <c r="CS346" s="102">
        <f t="shared" si="145"/>
        <v>4.5293954747099576</v>
      </c>
      <c r="CT346" s="102">
        <f t="shared" si="146"/>
        <v>18.675175962423801</v>
      </c>
      <c r="CZ346" s="109" t="str">
        <f t="shared" si="147"/>
        <v>Basso</v>
      </c>
    </row>
    <row r="347" spans="1:104" x14ac:dyDescent="0.15">
      <c r="I347" s="64">
        <f t="shared" si="149"/>
        <v>76.99972307006928</v>
      </c>
      <c r="M347" s="64">
        <f t="shared" si="150"/>
        <v>0</v>
      </c>
      <c r="Q347" s="64">
        <f t="shared" si="151"/>
        <v>0</v>
      </c>
      <c r="U347" s="64">
        <f t="shared" si="152"/>
        <v>0</v>
      </c>
      <c r="Y347" s="114">
        <f t="shared" si="153"/>
        <v>0</v>
      </c>
      <c r="AC347" s="64">
        <f t="shared" si="154"/>
        <v>0</v>
      </c>
      <c r="AE347" s="71"/>
      <c r="AF347" s="71"/>
      <c r="AG347" s="71">
        <f t="shared" si="155"/>
        <v>0</v>
      </c>
      <c r="AK347" s="64">
        <f t="shared" si="156"/>
        <v>0</v>
      </c>
      <c r="AM347" s="71"/>
      <c r="AN347" s="71"/>
      <c r="AO347" s="71">
        <f t="shared" si="148"/>
        <v>0</v>
      </c>
      <c r="AQ347" s="71"/>
      <c r="AR347" s="71"/>
      <c r="AS347" s="71">
        <f t="shared" si="157"/>
        <v>0</v>
      </c>
      <c r="AU347" s="71"/>
      <c r="AV347" s="71"/>
      <c r="AW347" s="71">
        <f t="shared" si="158"/>
        <v>0</v>
      </c>
      <c r="AY347" s="71"/>
      <c r="AZ347" s="71"/>
      <c r="BA347" s="71">
        <f t="shared" si="159"/>
        <v>0</v>
      </c>
      <c r="BI347" s="71"/>
      <c r="BJ347" s="71"/>
      <c r="BK347" s="71">
        <f t="shared" si="160"/>
        <v>0</v>
      </c>
      <c r="BM347" s="71"/>
      <c r="BN347" s="71"/>
      <c r="BO347" s="71">
        <f t="shared" si="161"/>
        <v>0</v>
      </c>
      <c r="BQ347" s="71"/>
      <c r="BR347" s="71"/>
      <c r="BS347" s="138">
        <f t="shared" si="162"/>
        <v>0</v>
      </c>
      <c r="BU347" s="71"/>
      <c r="BV347" s="71"/>
      <c r="BW347" s="71">
        <f t="shared" si="163"/>
        <v>0</v>
      </c>
      <c r="BZ347" s="71"/>
      <c r="CA347" s="71"/>
      <c r="CB347" s="71">
        <f t="shared" si="164"/>
        <v>0</v>
      </c>
      <c r="CD347" s="71"/>
      <c r="CE347" s="71"/>
      <c r="CF347" s="71">
        <f t="shared" si="165"/>
        <v>0</v>
      </c>
      <c r="CH347" s="71"/>
      <c r="CI347" s="71"/>
      <c r="CJ347" s="138">
        <f t="shared" si="166"/>
        <v>0</v>
      </c>
      <c r="CL347" s="71"/>
      <c r="CM347" s="71"/>
      <c r="CN347" s="71">
        <f t="shared" si="167"/>
        <v>0</v>
      </c>
      <c r="CS347" s="102">
        <f t="shared" si="145"/>
        <v>4.5293954747099576</v>
      </c>
      <c r="CT347" s="102">
        <f t="shared" si="146"/>
        <v>18.675175962423801</v>
      </c>
      <c r="CZ347" s="109" t="str">
        <f t="shared" si="147"/>
        <v>Basso</v>
      </c>
    </row>
    <row r="348" spans="1:104" x14ac:dyDescent="0.15">
      <c r="I348" s="64">
        <f t="shared" si="149"/>
        <v>76.99972307006928</v>
      </c>
      <c r="M348" s="64">
        <f t="shared" si="150"/>
        <v>0</v>
      </c>
      <c r="Q348" s="64">
        <f t="shared" si="151"/>
        <v>0</v>
      </c>
      <c r="U348" s="64">
        <f t="shared" si="152"/>
        <v>0</v>
      </c>
      <c r="Y348" s="114">
        <f t="shared" si="153"/>
        <v>0</v>
      </c>
      <c r="AC348" s="64">
        <f t="shared" si="154"/>
        <v>0</v>
      </c>
      <c r="AE348" s="71"/>
      <c r="AF348" s="71"/>
      <c r="AG348" s="71">
        <f t="shared" si="155"/>
        <v>0</v>
      </c>
      <c r="AK348" s="64">
        <f t="shared" si="156"/>
        <v>0</v>
      </c>
      <c r="AM348" s="71"/>
      <c r="AN348" s="71"/>
      <c r="AO348" s="71">
        <f t="shared" si="148"/>
        <v>0</v>
      </c>
      <c r="AQ348" s="71"/>
      <c r="AR348" s="71"/>
      <c r="AS348" s="71">
        <f t="shared" si="157"/>
        <v>0</v>
      </c>
      <c r="AU348" s="71"/>
      <c r="AV348" s="71"/>
      <c r="AW348" s="71">
        <f t="shared" si="158"/>
        <v>0</v>
      </c>
      <c r="AY348" s="71"/>
      <c r="AZ348" s="71"/>
      <c r="BA348" s="71">
        <f t="shared" si="159"/>
        <v>0</v>
      </c>
      <c r="BI348" s="71"/>
      <c r="BJ348" s="71"/>
      <c r="BK348" s="71">
        <f t="shared" si="160"/>
        <v>0</v>
      </c>
      <c r="BM348" s="71"/>
      <c r="BN348" s="71"/>
      <c r="BO348" s="71">
        <f t="shared" si="161"/>
        <v>0</v>
      </c>
      <c r="BQ348" s="71"/>
      <c r="BR348" s="71"/>
      <c r="BS348" s="138">
        <f t="shared" si="162"/>
        <v>0</v>
      </c>
      <c r="BU348" s="71"/>
      <c r="BV348" s="71"/>
      <c r="BW348" s="71">
        <f t="shared" si="163"/>
        <v>0</v>
      </c>
      <c r="BZ348" s="71"/>
      <c r="CA348" s="71"/>
      <c r="CB348" s="71">
        <f t="shared" si="164"/>
        <v>0</v>
      </c>
      <c r="CD348" s="71"/>
      <c r="CE348" s="71"/>
      <c r="CF348" s="71">
        <f t="shared" si="165"/>
        <v>0</v>
      </c>
      <c r="CH348" s="71"/>
      <c r="CI348" s="71"/>
      <c r="CJ348" s="138">
        <f t="shared" si="166"/>
        <v>0</v>
      </c>
      <c r="CL348" s="71"/>
      <c r="CM348" s="71"/>
      <c r="CN348" s="71">
        <f t="shared" si="167"/>
        <v>0</v>
      </c>
      <c r="CS348" s="102">
        <f t="shared" si="145"/>
        <v>4.5293954747099576</v>
      </c>
      <c r="CT348" s="102">
        <f t="shared" si="146"/>
        <v>18.675175962423801</v>
      </c>
      <c r="CZ348" s="109" t="str">
        <f t="shared" si="147"/>
        <v>Basso</v>
      </c>
    </row>
    <row r="349" spans="1:104" x14ac:dyDescent="0.15">
      <c r="I349" s="64">
        <f t="shared" si="149"/>
        <v>76.99972307006928</v>
      </c>
      <c r="M349" s="64">
        <f t="shared" si="150"/>
        <v>0</v>
      </c>
      <c r="Q349" s="64">
        <f t="shared" si="151"/>
        <v>0</v>
      </c>
      <c r="U349" s="64">
        <f t="shared" si="152"/>
        <v>0</v>
      </c>
      <c r="Y349" s="114">
        <f t="shared" si="153"/>
        <v>0</v>
      </c>
      <c r="AC349" s="64">
        <f t="shared" si="154"/>
        <v>0</v>
      </c>
      <c r="AE349" s="71"/>
      <c r="AF349" s="71"/>
      <c r="AG349" s="71">
        <f t="shared" si="155"/>
        <v>0</v>
      </c>
      <c r="AK349" s="64">
        <f t="shared" si="156"/>
        <v>0</v>
      </c>
      <c r="AM349" s="71"/>
      <c r="AN349" s="71"/>
      <c r="AO349" s="71">
        <f t="shared" si="148"/>
        <v>0</v>
      </c>
      <c r="AQ349" s="71"/>
      <c r="AR349" s="71"/>
      <c r="AS349" s="71">
        <f t="shared" si="157"/>
        <v>0</v>
      </c>
      <c r="AU349" s="71"/>
      <c r="AV349" s="71"/>
      <c r="AW349" s="71">
        <f t="shared" si="158"/>
        <v>0</v>
      </c>
      <c r="AY349" s="71"/>
      <c r="AZ349" s="71"/>
      <c r="BA349" s="71">
        <f t="shared" si="159"/>
        <v>0</v>
      </c>
      <c r="BI349" s="71"/>
      <c r="BJ349" s="71"/>
      <c r="BK349" s="71">
        <f t="shared" si="160"/>
        <v>0</v>
      </c>
      <c r="BM349" s="71"/>
      <c r="BN349" s="71"/>
      <c r="BO349" s="71">
        <f t="shared" si="161"/>
        <v>0</v>
      </c>
      <c r="BQ349" s="71"/>
      <c r="BR349" s="71"/>
      <c r="BS349" s="138">
        <f t="shared" si="162"/>
        <v>0</v>
      </c>
      <c r="BU349" s="71"/>
      <c r="BV349" s="71"/>
      <c r="BW349" s="71">
        <f t="shared" si="163"/>
        <v>0</v>
      </c>
      <c r="BZ349" s="71"/>
      <c r="CA349" s="71"/>
      <c r="CB349" s="71">
        <f t="shared" si="164"/>
        <v>0</v>
      </c>
      <c r="CD349" s="71"/>
      <c r="CE349" s="71"/>
      <c r="CF349" s="71">
        <f t="shared" si="165"/>
        <v>0</v>
      </c>
      <c r="CH349" s="71"/>
      <c r="CI349" s="71"/>
      <c r="CJ349" s="138">
        <f t="shared" si="166"/>
        <v>0</v>
      </c>
      <c r="CL349" s="71"/>
      <c r="CM349" s="71"/>
      <c r="CN349" s="71">
        <f t="shared" si="167"/>
        <v>0</v>
      </c>
      <c r="CS349" s="102">
        <f t="shared" si="145"/>
        <v>4.5293954747099576</v>
      </c>
      <c r="CT349" s="102">
        <f t="shared" si="146"/>
        <v>18.675175962423801</v>
      </c>
      <c r="CZ349" s="109" t="str">
        <f t="shared" si="147"/>
        <v>Basso</v>
      </c>
    </row>
    <row r="350" spans="1:104" x14ac:dyDescent="0.15">
      <c r="I350" s="64">
        <f t="shared" si="149"/>
        <v>76.99972307006928</v>
      </c>
      <c r="M350" s="64">
        <f t="shared" si="150"/>
        <v>0</v>
      </c>
      <c r="Q350" s="64">
        <f t="shared" si="151"/>
        <v>0</v>
      </c>
      <c r="U350" s="64">
        <f t="shared" si="152"/>
        <v>0</v>
      </c>
      <c r="Y350" s="114">
        <f t="shared" si="153"/>
        <v>0</v>
      </c>
      <c r="AC350" s="64">
        <f t="shared" si="154"/>
        <v>0</v>
      </c>
      <c r="AE350" s="71"/>
      <c r="AF350" s="71"/>
      <c r="AG350" s="71">
        <f t="shared" si="155"/>
        <v>0</v>
      </c>
      <c r="AK350" s="64">
        <f t="shared" si="156"/>
        <v>0</v>
      </c>
      <c r="AM350" s="71"/>
      <c r="AN350" s="71"/>
      <c r="AO350" s="71">
        <f t="shared" si="148"/>
        <v>0</v>
      </c>
      <c r="AQ350" s="71"/>
      <c r="AR350" s="71"/>
      <c r="AS350" s="71">
        <f t="shared" si="157"/>
        <v>0</v>
      </c>
      <c r="AU350" s="71"/>
      <c r="AV350" s="71"/>
      <c r="AW350" s="71">
        <f t="shared" si="158"/>
        <v>0</v>
      </c>
      <c r="AY350" s="71"/>
      <c r="AZ350" s="71"/>
      <c r="BA350" s="71">
        <f t="shared" si="159"/>
        <v>0</v>
      </c>
      <c r="BI350" s="71"/>
      <c r="BJ350" s="71"/>
      <c r="BK350" s="71">
        <f t="shared" si="160"/>
        <v>0</v>
      </c>
      <c r="BM350" s="71"/>
      <c r="BN350" s="71"/>
      <c r="BO350" s="71">
        <f t="shared" si="161"/>
        <v>0</v>
      </c>
      <c r="BQ350" s="71"/>
      <c r="BR350" s="71"/>
      <c r="BS350" s="138">
        <f t="shared" si="162"/>
        <v>0</v>
      </c>
      <c r="BU350" s="71"/>
      <c r="BV350" s="71"/>
      <c r="BW350" s="71">
        <f t="shared" si="163"/>
        <v>0</v>
      </c>
      <c r="BZ350" s="71"/>
      <c r="CA350" s="71"/>
      <c r="CB350" s="71">
        <f t="shared" si="164"/>
        <v>0</v>
      </c>
      <c r="CD350" s="71"/>
      <c r="CE350" s="71"/>
      <c r="CF350" s="71">
        <f t="shared" si="165"/>
        <v>0</v>
      </c>
      <c r="CH350" s="71"/>
      <c r="CI350" s="71"/>
      <c r="CJ350" s="138">
        <f t="shared" si="166"/>
        <v>0</v>
      </c>
      <c r="CL350" s="71"/>
      <c r="CM350" s="71"/>
      <c r="CN350" s="71">
        <f t="shared" si="167"/>
        <v>0</v>
      </c>
      <c r="CS350" s="102">
        <f t="shared" si="145"/>
        <v>4.5293954747099576</v>
      </c>
      <c r="CT350" s="102">
        <f t="shared" si="146"/>
        <v>18.675175962423801</v>
      </c>
      <c r="CZ350" s="109" t="str">
        <f t="shared" si="147"/>
        <v>Basso</v>
      </c>
    </row>
    <row r="351" spans="1:104" x14ac:dyDescent="0.15">
      <c r="I351" s="64">
        <f t="shared" si="149"/>
        <v>76.99972307006928</v>
      </c>
      <c r="M351" s="64">
        <f t="shared" si="150"/>
        <v>0</v>
      </c>
      <c r="Q351" s="64">
        <f t="shared" si="151"/>
        <v>0</v>
      </c>
      <c r="U351" s="64">
        <f t="shared" si="152"/>
        <v>0</v>
      </c>
      <c r="Y351" s="114">
        <f t="shared" si="153"/>
        <v>0</v>
      </c>
      <c r="AC351" s="64">
        <f t="shared" si="154"/>
        <v>0</v>
      </c>
      <c r="AE351" s="71"/>
      <c r="AF351" s="71"/>
      <c r="AG351" s="71">
        <f t="shared" si="155"/>
        <v>0</v>
      </c>
      <c r="AK351" s="64">
        <f t="shared" si="156"/>
        <v>0</v>
      </c>
      <c r="AM351" s="71"/>
      <c r="AN351" s="71"/>
      <c r="AO351" s="71">
        <f t="shared" si="148"/>
        <v>0</v>
      </c>
      <c r="AQ351" s="71"/>
      <c r="AR351" s="71"/>
      <c r="AS351" s="71">
        <f t="shared" si="157"/>
        <v>0</v>
      </c>
      <c r="AU351" s="71"/>
      <c r="AV351" s="71"/>
      <c r="AW351" s="71">
        <f t="shared" si="158"/>
        <v>0</v>
      </c>
      <c r="AY351" s="71"/>
      <c r="AZ351" s="71"/>
      <c r="BA351" s="71">
        <f t="shared" si="159"/>
        <v>0</v>
      </c>
      <c r="BI351" s="71"/>
      <c r="BJ351" s="71"/>
      <c r="BK351" s="71">
        <f t="shared" si="160"/>
        <v>0</v>
      </c>
      <c r="BM351" s="71"/>
      <c r="BN351" s="71"/>
      <c r="BO351" s="71">
        <f t="shared" si="161"/>
        <v>0</v>
      </c>
      <c r="BQ351" s="71"/>
      <c r="BR351" s="71"/>
      <c r="BS351" s="138">
        <f t="shared" si="162"/>
        <v>0</v>
      </c>
      <c r="BU351" s="71"/>
      <c r="BV351" s="71"/>
      <c r="BW351" s="71">
        <f t="shared" si="163"/>
        <v>0</v>
      </c>
      <c r="BZ351" s="71"/>
      <c r="CA351" s="71"/>
      <c r="CB351" s="71">
        <f t="shared" si="164"/>
        <v>0</v>
      </c>
      <c r="CD351" s="71"/>
      <c r="CE351" s="71"/>
      <c r="CF351" s="71">
        <f t="shared" si="165"/>
        <v>0</v>
      </c>
      <c r="CH351" s="71"/>
      <c r="CI351" s="71"/>
      <c r="CJ351" s="138">
        <f t="shared" si="166"/>
        <v>0</v>
      </c>
      <c r="CL351" s="71"/>
      <c r="CM351" s="71"/>
      <c r="CN351" s="71">
        <f t="shared" si="167"/>
        <v>0</v>
      </c>
      <c r="CS351" s="102">
        <f t="shared" si="145"/>
        <v>4.5293954747099576</v>
      </c>
      <c r="CT351" s="102">
        <f t="shared" si="146"/>
        <v>18.675175962423801</v>
      </c>
      <c r="CZ351" s="109" t="str">
        <f t="shared" si="147"/>
        <v>Basso</v>
      </c>
    </row>
    <row r="352" spans="1:104" x14ac:dyDescent="0.15">
      <c r="I352" s="64">
        <f t="shared" si="149"/>
        <v>76.99972307006928</v>
      </c>
      <c r="M352" s="64">
        <f t="shared" si="150"/>
        <v>0</v>
      </c>
      <c r="Q352" s="64">
        <f t="shared" si="151"/>
        <v>0</v>
      </c>
      <c r="U352" s="64">
        <f t="shared" si="152"/>
        <v>0</v>
      </c>
      <c r="Y352" s="114">
        <f t="shared" si="153"/>
        <v>0</v>
      </c>
      <c r="AC352" s="64">
        <f t="shared" si="154"/>
        <v>0</v>
      </c>
      <c r="AE352" s="71"/>
      <c r="AF352" s="71"/>
      <c r="AG352" s="71">
        <f t="shared" si="155"/>
        <v>0</v>
      </c>
      <c r="AK352" s="64">
        <f t="shared" si="156"/>
        <v>0</v>
      </c>
      <c r="AM352" s="71"/>
      <c r="AN352" s="71"/>
      <c r="AO352" s="71">
        <f t="shared" si="148"/>
        <v>0</v>
      </c>
      <c r="AQ352" s="71"/>
      <c r="AR352" s="71"/>
      <c r="AS352" s="71">
        <f t="shared" si="157"/>
        <v>0</v>
      </c>
      <c r="AU352" s="71"/>
      <c r="AV352" s="71"/>
      <c r="AW352" s="71">
        <f t="shared" si="158"/>
        <v>0</v>
      </c>
      <c r="AY352" s="71"/>
      <c r="AZ352" s="71"/>
      <c r="BA352" s="71">
        <f t="shared" si="159"/>
        <v>0</v>
      </c>
      <c r="BI352" s="71"/>
      <c r="BJ352" s="71"/>
      <c r="BK352" s="71">
        <f t="shared" si="160"/>
        <v>0</v>
      </c>
      <c r="BM352" s="71"/>
      <c r="BN352" s="71"/>
      <c r="BO352" s="71">
        <f t="shared" si="161"/>
        <v>0</v>
      </c>
      <c r="BQ352" s="71"/>
      <c r="BR352" s="71"/>
      <c r="BS352" s="138">
        <f t="shared" si="162"/>
        <v>0</v>
      </c>
      <c r="BU352" s="71"/>
      <c r="BV352" s="71"/>
      <c r="BW352" s="71">
        <f t="shared" si="163"/>
        <v>0</v>
      </c>
      <c r="BZ352" s="71"/>
      <c r="CA352" s="71"/>
      <c r="CB352" s="71">
        <f t="shared" si="164"/>
        <v>0</v>
      </c>
      <c r="CD352" s="71"/>
      <c r="CE352" s="71"/>
      <c r="CF352" s="71">
        <f t="shared" si="165"/>
        <v>0</v>
      </c>
      <c r="CH352" s="71"/>
      <c r="CI352" s="71"/>
      <c r="CJ352" s="138">
        <f t="shared" si="166"/>
        <v>0</v>
      </c>
      <c r="CL352" s="71"/>
      <c r="CM352" s="71"/>
      <c r="CN352" s="71">
        <f t="shared" si="167"/>
        <v>0</v>
      </c>
      <c r="CS352" s="102">
        <f t="shared" si="145"/>
        <v>4.5293954747099576</v>
      </c>
      <c r="CT352" s="102">
        <f t="shared" si="146"/>
        <v>18.675175962423801</v>
      </c>
      <c r="CZ352" s="109" t="str">
        <f t="shared" si="147"/>
        <v>Basso</v>
      </c>
    </row>
    <row r="353" spans="9:104" x14ac:dyDescent="0.15">
      <c r="I353" s="64">
        <f t="shared" si="149"/>
        <v>76.99972307006928</v>
      </c>
      <c r="M353" s="64">
        <f t="shared" si="150"/>
        <v>0</v>
      </c>
      <c r="Q353" s="64">
        <f t="shared" si="151"/>
        <v>0</v>
      </c>
      <c r="U353" s="64">
        <f t="shared" si="152"/>
        <v>0</v>
      </c>
      <c r="Y353" s="114">
        <f t="shared" si="153"/>
        <v>0</v>
      </c>
      <c r="AC353" s="64">
        <f t="shared" si="154"/>
        <v>0</v>
      </c>
      <c r="AE353" s="71"/>
      <c r="AF353" s="71"/>
      <c r="AG353" s="71">
        <f t="shared" si="155"/>
        <v>0</v>
      </c>
      <c r="AK353" s="64">
        <f t="shared" si="156"/>
        <v>0</v>
      </c>
      <c r="AM353" s="71"/>
      <c r="AN353" s="71"/>
      <c r="AO353" s="71">
        <f t="shared" si="148"/>
        <v>0</v>
      </c>
      <c r="AQ353" s="71"/>
      <c r="AR353" s="71"/>
      <c r="AS353" s="71">
        <f t="shared" si="157"/>
        <v>0</v>
      </c>
      <c r="AU353" s="71"/>
      <c r="AV353" s="71"/>
      <c r="AW353" s="71">
        <f t="shared" si="158"/>
        <v>0</v>
      </c>
      <c r="AY353" s="71"/>
      <c r="AZ353" s="71"/>
      <c r="BA353" s="71">
        <f t="shared" si="159"/>
        <v>0</v>
      </c>
      <c r="BI353" s="71"/>
      <c r="BJ353" s="71"/>
      <c r="BK353" s="71">
        <f t="shared" si="160"/>
        <v>0</v>
      </c>
      <c r="BM353" s="71"/>
      <c r="BN353" s="71"/>
      <c r="BO353" s="71">
        <f t="shared" si="161"/>
        <v>0</v>
      </c>
      <c r="BQ353" s="71"/>
      <c r="BR353" s="71"/>
      <c r="BS353" s="138">
        <f t="shared" si="162"/>
        <v>0</v>
      </c>
      <c r="BU353" s="71"/>
      <c r="BV353" s="71"/>
      <c r="BW353" s="71">
        <f t="shared" si="163"/>
        <v>0</v>
      </c>
      <c r="BZ353" s="71"/>
      <c r="CA353" s="71"/>
      <c r="CB353" s="71">
        <f t="shared" si="164"/>
        <v>0</v>
      </c>
      <c r="CD353" s="71"/>
      <c r="CE353" s="71"/>
      <c r="CF353" s="71">
        <f t="shared" si="165"/>
        <v>0</v>
      </c>
      <c r="CH353" s="71"/>
      <c r="CI353" s="71"/>
      <c r="CJ353" s="138">
        <f t="shared" si="166"/>
        <v>0</v>
      </c>
      <c r="CL353" s="71"/>
      <c r="CM353" s="71"/>
      <c r="CN353" s="71">
        <f t="shared" si="167"/>
        <v>0</v>
      </c>
      <c r="CS353" s="102">
        <f t="shared" si="145"/>
        <v>4.5293954747099576</v>
      </c>
      <c r="CT353" s="102">
        <f t="shared" si="146"/>
        <v>18.675175962423801</v>
      </c>
      <c r="CZ353" s="109" t="str">
        <f t="shared" si="147"/>
        <v>Basso</v>
      </c>
    </row>
    <row r="354" spans="9:104" x14ac:dyDescent="0.15">
      <c r="I354" s="64">
        <f t="shared" si="149"/>
        <v>76.99972307006928</v>
      </c>
      <c r="M354" s="64">
        <f t="shared" si="150"/>
        <v>0</v>
      </c>
      <c r="Q354" s="64">
        <f t="shared" si="151"/>
        <v>0</v>
      </c>
      <c r="U354" s="64">
        <f t="shared" si="152"/>
        <v>0</v>
      </c>
      <c r="Y354" s="114">
        <f t="shared" si="153"/>
        <v>0</v>
      </c>
      <c r="AC354" s="64">
        <f t="shared" si="154"/>
        <v>0</v>
      </c>
      <c r="AE354" s="71"/>
      <c r="AF354" s="71"/>
      <c r="AG354" s="71">
        <f t="shared" si="155"/>
        <v>0</v>
      </c>
      <c r="AK354" s="64">
        <f t="shared" si="156"/>
        <v>0</v>
      </c>
      <c r="AM354" s="71"/>
      <c r="AN354" s="71"/>
      <c r="AO354" s="71">
        <f t="shared" si="148"/>
        <v>0</v>
      </c>
      <c r="AQ354" s="71"/>
      <c r="AR354" s="71"/>
      <c r="AS354" s="71">
        <f t="shared" si="157"/>
        <v>0</v>
      </c>
      <c r="AU354" s="71"/>
      <c r="AV354" s="71"/>
      <c r="AW354" s="71">
        <f t="shared" si="158"/>
        <v>0</v>
      </c>
      <c r="AY354" s="71"/>
      <c r="AZ354" s="71"/>
      <c r="BA354" s="71">
        <f t="shared" si="159"/>
        <v>0</v>
      </c>
      <c r="BI354" s="71"/>
      <c r="BJ354" s="71"/>
      <c r="BK354" s="71">
        <f t="shared" si="160"/>
        <v>0</v>
      </c>
      <c r="BM354" s="71"/>
      <c r="BN354" s="71"/>
      <c r="BO354" s="71">
        <f t="shared" si="161"/>
        <v>0</v>
      </c>
      <c r="BQ354" s="71"/>
      <c r="BR354" s="71"/>
      <c r="BS354" s="138">
        <f t="shared" si="162"/>
        <v>0</v>
      </c>
      <c r="BU354" s="71"/>
      <c r="BV354" s="71"/>
      <c r="BW354" s="71">
        <f t="shared" si="163"/>
        <v>0</v>
      </c>
      <c r="BZ354" s="71"/>
      <c r="CA354" s="71"/>
      <c r="CB354" s="71">
        <f t="shared" si="164"/>
        <v>0</v>
      </c>
      <c r="CD354" s="71"/>
      <c r="CE354" s="71"/>
      <c r="CF354" s="71">
        <f t="shared" si="165"/>
        <v>0</v>
      </c>
      <c r="CH354" s="71"/>
      <c r="CI354" s="71"/>
      <c r="CJ354" s="138">
        <f t="shared" si="166"/>
        <v>0</v>
      </c>
      <c r="CL354" s="71"/>
      <c r="CM354" s="71"/>
      <c r="CN354" s="71">
        <f t="shared" si="167"/>
        <v>0</v>
      </c>
      <c r="CS354" s="102">
        <f t="shared" si="145"/>
        <v>4.5293954747099576</v>
      </c>
      <c r="CT354" s="102">
        <f t="shared" si="146"/>
        <v>18.675175962423801</v>
      </c>
      <c r="CZ354" s="109" t="str">
        <f t="shared" si="147"/>
        <v>Basso</v>
      </c>
    </row>
    <row r="355" spans="9:104" x14ac:dyDescent="0.15">
      <c r="I355" s="64">
        <f t="shared" si="149"/>
        <v>76.99972307006928</v>
      </c>
      <c r="M355" s="64">
        <f t="shared" si="150"/>
        <v>0</v>
      </c>
      <c r="Q355" s="64">
        <f t="shared" si="151"/>
        <v>0</v>
      </c>
      <c r="U355" s="64">
        <f t="shared" si="152"/>
        <v>0</v>
      </c>
      <c r="Y355" s="114">
        <f t="shared" si="153"/>
        <v>0</v>
      </c>
      <c r="AC355" s="64">
        <f t="shared" si="154"/>
        <v>0</v>
      </c>
      <c r="AE355" s="71"/>
      <c r="AF355" s="71"/>
      <c r="AG355" s="71">
        <f t="shared" si="155"/>
        <v>0</v>
      </c>
      <c r="AK355" s="64">
        <f t="shared" si="156"/>
        <v>0</v>
      </c>
      <c r="AM355" s="71"/>
      <c r="AN355" s="71"/>
      <c r="AO355" s="71">
        <f t="shared" si="148"/>
        <v>0</v>
      </c>
      <c r="AQ355" s="71"/>
      <c r="AR355" s="71"/>
      <c r="AS355" s="71">
        <f t="shared" si="157"/>
        <v>0</v>
      </c>
      <c r="AU355" s="71"/>
      <c r="AV355" s="71"/>
      <c r="AW355" s="71">
        <f t="shared" si="158"/>
        <v>0</v>
      </c>
      <c r="AY355" s="71"/>
      <c r="AZ355" s="71"/>
      <c r="BA355" s="71">
        <f t="shared" si="159"/>
        <v>0</v>
      </c>
      <c r="BI355" s="71"/>
      <c r="BJ355" s="71"/>
      <c r="BK355" s="71">
        <f t="shared" si="160"/>
        <v>0</v>
      </c>
      <c r="BM355" s="71"/>
      <c r="BN355" s="71"/>
      <c r="BO355" s="71">
        <f t="shared" si="161"/>
        <v>0</v>
      </c>
      <c r="BQ355" s="71"/>
      <c r="BR355" s="71"/>
      <c r="BS355" s="138">
        <f t="shared" si="162"/>
        <v>0</v>
      </c>
      <c r="BU355" s="71"/>
      <c r="BV355" s="71"/>
      <c r="BW355" s="71">
        <f t="shared" si="163"/>
        <v>0</v>
      </c>
      <c r="BZ355" s="71"/>
      <c r="CA355" s="71"/>
      <c r="CB355" s="71">
        <f t="shared" si="164"/>
        <v>0</v>
      </c>
      <c r="CD355" s="71"/>
      <c r="CE355" s="71"/>
      <c r="CF355" s="71">
        <f t="shared" si="165"/>
        <v>0</v>
      </c>
      <c r="CH355" s="71"/>
      <c r="CI355" s="71"/>
      <c r="CJ355" s="138">
        <f t="shared" si="166"/>
        <v>0</v>
      </c>
      <c r="CL355" s="71"/>
      <c r="CM355" s="71"/>
      <c r="CN355" s="71">
        <f t="shared" si="167"/>
        <v>0</v>
      </c>
      <c r="CS355" s="102">
        <f t="shared" si="145"/>
        <v>4.5293954747099576</v>
      </c>
      <c r="CT355" s="102">
        <f t="shared" si="146"/>
        <v>18.675175962423801</v>
      </c>
      <c r="CZ355" s="109" t="str">
        <f t="shared" si="147"/>
        <v>Basso</v>
      </c>
    </row>
    <row r="356" spans="9:104" x14ac:dyDescent="0.15">
      <c r="I356" s="64">
        <f t="shared" si="149"/>
        <v>76.99972307006928</v>
      </c>
      <c r="M356" s="64">
        <f t="shared" si="150"/>
        <v>0</v>
      </c>
      <c r="Q356" s="64">
        <f t="shared" si="151"/>
        <v>0</v>
      </c>
      <c r="U356" s="64">
        <f t="shared" si="152"/>
        <v>0</v>
      </c>
      <c r="Y356" s="114">
        <f t="shared" si="153"/>
        <v>0</v>
      </c>
      <c r="AC356" s="64">
        <f t="shared" si="154"/>
        <v>0</v>
      </c>
      <c r="AE356" s="71"/>
      <c r="AF356" s="71"/>
      <c r="AG356" s="71">
        <f t="shared" si="155"/>
        <v>0</v>
      </c>
      <c r="AK356" s="64">
        <f t="shared" si="156"/>
        <v>0</v>
      </c>
      <c r="AM356" s="71"/>
      <c r="AN356" s="71"/>
      <c r="AO356" s="71">
        <f t="shared" si="148"/>
        <v>0</v>
      </c>
      <c r="AQ356" s="71"/>
      <c r="AR356" s="71"/>
      <c r="AS356" s="71">
        <f t="shared" si="157"/>
        <v>0</v>
      </c>
      <c r="AU356" s="71"/>
      <c r="AV356" s="71"/>
      <c r="AW356" s="71">
        <f t="shared" si="158"/>
        <v>0</v>
      </c>
      <c r="AY356" s="71"/>
      <c r="AZ356" s="71"/>
      <c r="BA356" s="71">
        <f t="shared" si="159"/>
        <v>0</v>
      </c>
      <c r="BI356" s="71"/>
      <c r="BJ356" s="71"/>
      <c r="BK356" s="71">
        <f t="shared" si="160"/>
        <v>0</v>
      </c>
      <c r="BM356" s="71"/>
      <c r="BN356" s="71"/>
      <c r="BO356" s="71">
        <f t="shared" si="161"/>
        <v>0</v>
      </c>
      <c r="BQ356" s="71"/>
      <c r="BR356" s="71"/>
      <c r="BS356" s="138">
        <f t="shared" si="162"/>
        <v>0</v>
      </c>
      <c r="BU356" s="71"/>
      <c r="BV356" s="71"/>
      <c r="BW356" s="71">
        <f t="shared" si="163"/>
        <v>0</v>
      </c>
      <c r="BZ356" s="71"/>
      <c r="CA356" s="71"/>
      <c r="CB356" s="71">
        <f t="shared" si="164"/>
        <v>0</v>
      </c>
      <c r="CD356" s="71"/>
      <c r="CE356" s="71"/>
      <c r="CF356" s="71">
        <f t="shared" si="165"/>
        <v>0</v>
      </c>
      <c r="CH356" s="71"/>
      <c r="CI356" s="71"/>
      <c r="CJ356" s="138">
        <f t="shared" si="166"/>
        <v>0</v>
      </c>
      <c r="CL356" s="71"/>
      <c r="CM356" s="71"/>
      <c r="CN356" s="71">
        <f t="shared" si="167"/>
        <v>0</v>
      </c>
      <c r="CS356" s="102">
        <f t="shared" si="145"/>
        <v>4.5293954747099576</v>
      </c>
      <c r="CT356" s="102">
        <f t="shared" si="146"/>
        <v>18.675175962423801</v>
      </c>
      <c r="CZ356" s="109" t="str">
        <f t="shared" si="147"/>
        <v>Basso</v>
      </c>
    </row>
    <row r="357" spans="9:104" x14ac:dyDescent="0.15">
      <c r="I357" s="64">
        <f t="shared" si="149"/>
        <v>76.99972307006928</v>
      </c>
      <c r="M357" s="64">
        <f t="shared" si="150"/>
        <v>0</v>
      </c>
      <c r="Q357" s="64">
        <f t="shared" si="151"/>
        <v>0</v>
      </c>
      <c r="U357" s="64">
        <f t="shared" si="152"/>
        <v>0</v>
      </c>
      <c r="Y357" s="114">
        <f t="shared" si="153"/>
        <v>0</v>
      </c>
      <c r="AC357" s="64">
        <f t="shared" si="154"/>
        <v>0</v>
      </c>
      <c r="AE357" s="71"/>
      <c r="AF357" s="71"/>
      <c r="AG357" s="71">
        <f t="shared" si="155"/>
        <v>0</v>
      </c>
      <c r="AK357" s="64">
        <f t="shared" si="156"/>
        <v>0</v>
      </c>
      <c r="AM357" s="71"/>
      <c r="AN357" s="71"/>
      <c r="AO357" s="71">
        <f t="shared" si="148"/>
        <v>0</v>
      </c>
      <c r="AQ357" s="71"/>
      <c r="AR357" s="71"/>
      <c r="AS357" s="71">
        <f t="shared" si="157"/>
        <v>0</v>
      </c>
      <c r="AU357" s="71"/>
      <c r="AV357" s="71"/>
      <c r="AW357" s="71">
        <f t="shared" si="158"/>
        <v>0</v>
      </c>
      <c r="AY357" s="71"/>
      <c r="AZ357" s="71"/>
      <c r="BA357" s="71">
        <f t="shared" si="159"/>
        <v>0</v>
      </c>
      <c r="BI357" s="71"/>
      <c r="BJ357" s="71"/>
      <c r="BK357" s="71">
        <f t="shared" si="160"/>
        <v>0</v>
      </c>
      <c r="BM357" s="71"/>
      <c r="BN357" s="71"/>
      <c r="BO357" s="71">
        <f t="shared" si="161"/>
        <v>0</v>
      </c>
      <c r="BQ357" s="71"/>
      <c r="BR357" s="71"/>
      <c r="BS357" s="138">
        <f t="shared" si="162"/>
        <v>0</v>
      </c>
      <c r="BU357" s="71"/>
      <c r="BV357" s="71"/>
      <c r="BW357" s="71">
        <f t="shared" si="163"/>
        <v>0</v>
      </c>
      <c r="BZ357" s="71"/>
      <c r="CA357" s="71"/>
      <c r="CB357" s="71">
        <f t="shared" si="164"/>
        <v>0</v>
      </c>
      <c r="CD357" s="71"/>
      <c r="CE357" s="71"/>
      <c r="CF357" s="71">
        <f t="shared" si="165"/>
        <v>0</v>
      </c>
      <c r="CH357" s="71"/>
      <c r="CI357" s="71"/>
      <c r="CJ357" s="138">
        <f t="shared" si="166"/>
        <v>0</v>
      </c>
      <c r="CL357" s="71"/>
      <c r="CM357" s="71"/>
      <c r="CN357" s="71">
        <f t="shared" si="167"/>
        <v>0</v>
      </c>
      <c r="CS357" s="102">
        <f t="shared" si="145"/>
        <v>4.5293954747099576</v>
      </c>
      <c r="CT357" s="102">
        <f t="shared" si="146"/>
        <v>18.675175962423801</v>
      </c>
      <c r="CZ357" s="109" t="str">
        <f t="shared" si="147"/>
        <v>Basso</v>
      </c>
    </row>
    <row r="358" spans="9:104" x14ac:dyDescent="0.15">
      <c r="I358" s="64">
        <f t="shared" si="149"/>
        <v>76.99972307006928</v>
      </c>
      <c r="M358" s="64">
        <f t="shared" si="150"/>
        <v>0</v>
      </c>
      <c r="Q358" s="64">
        <f t="shared" si="151"/>
        <v>0</v>
      </c>
      <c r="U358" s="64">
        <f t="shared" si="152"/>
        <v>0</v>
      </c>
      <c r="Y358" s="114">
        <f t="shared" si="153"/>
        <v>0</v>
      </c>
      <c r="AC358" s="64">
        <f t="shared" si="154"/>
        <v>0</v>
      </c>
      <c r="AE358" s="71"/>
      <c r="AF358" s="71"/>
      <c r="AG358" s="71">
        <f t="shared" si="155"/>
        <v>0</v>
      </c>
      <c r="AK358" s="64">
        <f t="shared" si="156"/>
        <v>0</v>
      </c>
      <c r="AM358" s="71"/>
      <c r="AN358" s="71"/>
      <c r="AO358" s="71">
        <f t="shared" si="148"/>
        <v>0</v>
      </c>
      <c r="AQ358" s="71"/>
      <c r="AR358" s="71"/>
      <c r="AS358" s="71">
        <f t="shared" si="157"/>
        <v>0</v>
      </c>
      <c r="AU358" s="71"/>
      <c r="AV358" s="71"/>
      <c r="AW358" s="71">
        <f t="shared" si="158"/>
        <v>0</v>
      </c>
      <c r="AY358" s="71"/>
      <c r="AZ358" s="71"/>
      <c r="BA358" s="71">
        <f t="shared" si="159"/>
        <v>0</v>
      </c>
      <c r="BI358" s="71"/>
      <c r="BJ358" s="71"/>
      <c r="BK358" s="71">
        <f t="shared" si="160"/>
        <v>0</v>
      </c>
      <c r="BM358" s="71"/>
      <c r="BN358" s="71"/>
      <c r="BO358" s="71">
        <f t="shared" si="161"/>
        <v>0</v>
      </c>
      <c r="BQ358" s="71"/>
      <c r="BR358" s="71"/>
      <c r="BS358" s="138">
        <f t="shared" si="162"/>
        <v>0</v>
      </c>
      <c r="BU358" s="71"/>
      <c r="BV358" s="71"/>
      <c r="BW358" s="71">
        <f t="shared" si="163"/>
        <v>0</v>
      </c>
      <c r="BZ358" s="71"/>
      <c r="CA358" s="71"/>
      <c r="CB358" s="71">
        <f t="shared" si="164"/>
        <v>0</v>
      </c>
      <c r="CD358" s="71"/>
      <c r="CE358" s="71"/>
      <c r="CF358" s="71">
        <f t="shared" si="165"/>
        <v>0</v>
      </c>
      <c r="CH358" s="71"/>
      <c r="CI358" s="71"/>
      <c r="CJ358" s="138">
        <f t="shared" si="166"/>
        <v>0</v>
      </c>
      <c r="CL358" s="71"/>
      <c r="CM358" s="71"/>
      <c r="CN358" s="71">
        <f t="shared" si="167"/>
        <v>0</v>
      </c>
      <c r="CS358" s="102">
        <f t="shared" si="145"/>
        <v>4.5293954747099576</v>
      </c>
      <c r="CT358" s="102">
        <f t="shared" si="146"/>
        <v>18.675175962423801</v>
      </c>
      <c r="CZ358" s="109" t="str">
        <f t="shared" si="147"/>
        <v>Basso</v>
      </c>
    </row>
    <row r="359" spans="9:104" x14ac:dyDescent="0.15">
      <c r="I359" s="64">
        <f t="shared" si="149"/>
        <v>76.99972307006928</v>
      </c>
      <c r="M359" s="64">
        <f t="shared" si="150"/>
        <v>0</v>
      </c>
      <c r="Q359" s="64">
        <f t="shared" si="151"/>
        <v>0</v>
      </c>
      <c r="U359" s="64">
        <f t="shared" si="152"/>
        <v>0</v>
      </c>
      <c r="Y359" s="114">
        <f t="shared" si="153"/>
        <v>0</v>
      </c>
      <c r="AC359" s="64">
        <f t="shared" si="154"/>
        <v>0</v>
      </c>
      <c r="AE359" s="71"/>
      <c r="AF359" s="71"/>
      <c r="AG359" s="71">
        <f t="shared" si="155"/>
        <v>0</v>
      </c>
      <c r="AK359" s="64">
        <f t="shared" si="156"/>
        <v>0</v>
      </c>
      <c r="AM359" s="71"/>
      <c r="AN359" s="71"/>
      <c r="AO359" s="71">
        <f t="shared" si="148"/>
        <v>0</v>
      </c>
      <c r="AQ359" s="71"/>
      <c r="AR359" s="71"/>
      <c r="AS359" s="71">
        <f t="shared" si="157"/>
        <v>0</v>
      </c>
      <c r="AU359" s="71"/>
      <c r="AV359" s="71"/>
      <c r="AW359" s="71">
        <f t="shared" si="158"/>
        <v>0</v>
      </c>
      <c r="AY359" s="71"/>
      <c r="AZ359" s="71"/>
      <c r="BA359" s="71">
        <f t="shared" si="159"/>
        <v>0</v>
      </c>
      <c r="BI359" s="71"/>
      <c r="BJ359" s="71"/>
      <c r="BK359" s="71">
        <f t="shared" si="160"/>
        <v>0</v>
      </c>
      <c r="BM359" s="71"/>
      <c r="BN359" s="71"/>
      <c r="BO359" s="71">
        <f t="shared" si="161"/>
        <v>0</v>
      </c>
      <c r="BQ359" s="71"/>
      <c r="BR359" s="71"/>
      <c r="BS359" s="138">
        <f t="shared" si="162"/>
        <v>0</v>
      </c>
      <c r="BU359" s="71"/>
      <c r="BV359" s="71"/>
      <c r="BW359" s="71">
        <f t="shared" si="163"/>
        <v>0</v>
      </c>
      <c r="BZ359" s="71"/>
      <c r="CA359" s="71"/>
      <c r="CB359" s="71">
        <f t="shared" si="164"/>
        <v>0</v>
      </c>
      <c r="CD359" s="71"/>
      <c r="CE359" s="71"/>
      <c r="CF359" s="71">
        <f t="shared" si="165"/>
        <v>0</v>
      </c>
      <c r="CH359" s="71"/>
      <c r="CI359" s="71"/>
      <c r="CJ359" s="138">
        <f t="shared" si="166"/>
        <v>0</v>
      </c>
      <c r="CL359" s="71"/>
      <c r="CM359" s="71"/>
      <c r="CN359" s="71">
        <f t="shared" si="167"/>
        <v>0</v>
      </c>
      <c r="CS359" s="102">
        <f t="shared" si="145"/>
        <v>4.5293954747099576</v>
      </c>
      <c r="CT359" s="102">
        <f t="shared" si="146"/>
        <v>18.675175962423801</v>
      </c>
      <c r="CZ359" s="109" t="str">
        <f t="shared" si="147"/>
        <v>Basso</v>
      </c>
    </row>
    <row r="360" spans="9:104" x14ac:dyDescent="0.15">
      <c r="I360" s="64">
        <f t="shared" si="149"/>
        <v>76.99972307006928</v>
      </c>
      <c r="M360" s="64">
        <f t="shared" si="150"/>
        <v>0</v>
      </c>
      <c r="Q360" s="64">
        <f t="shared" si="151"/>
        <v>0</v>
      </c>
      <c r="U360" s="64">
        <f t="shared" si="152"/>
        <v>0</v>
      </c>
      <c r="Y360" s="114">
        <f t="shared" si="153"/>
        <v>0</v>
      </c>
      <c r="AC360" s="64">
        <f t="shared" si="154"/>
        <v>0</v>
      </c>
      <c r="AE360" s="71"/>
      <c r="AF360" s="71"/>
      <c r="AG360" s="71">
        <f t="shared" si="155"/>
        <v>0</v>
      </c>
      <c r="AK360" s="64">
        <f t="shared" si="156"/>
        <v>0</v>
      </c>
      <c r="AM360" s="71"/>
      <c r="AN360" s="71"/>
      <c r="AO360" s="71">
        <f t="shared" si="148"/>
        <v>0</v>
      </c>
      <c r="AQ360" s="71"/>
      <c r="AR360" s="71"/>
      <c r="AS360" s="71">
        <f t="shared" si="157"/>
        <v>0</v>
      </c>
      <c r="AU360" s="71"/>
      <c r="AV360" s="71"/>
      <c r="AW360" s="71">
        <f t="shared" si="158"/>
        <v>0</v>
      </c>
      <c r="AY360" s="71"/>
      <c r="AZ360" s="71"/>
      <c r="BA360" s="71">
        <f t="shared" si="159"/>
        <v>0</v>
      </c>
      <c r="BI360" s="71"/>
      <c r="BJ360" s="71"/>
      <c r="BK360" s="71">
        <f t="shared" si="160"/>
        <v>0</v>
      </c>
      <c r="BM360" s="71"/>
      <c r="BN360" s="71"/>
      <c r="BO360" s="71">
        <f t="shared" si="161"/>
        <v>0</v>
      </c>
      <c r="BQ360" s="71"/>
      <c r="BR360" s="71"/>
      <c r="BS360" s="138">
        <f t="shared" si="162"/>
        <v>0</v>
      </c>
      <c r="BU360" s="71"/>
      <c r="BV360" s="71"/>
      <c r="BW360" s="71">
        <f t="shared" si="163"/>
        <v>0</v>
      </c>
      <c r="BZ360" s="71"/>
      <c r="CA360" s="71"/>
      <c r="CB360" s="71">
        <f t="shared" si="164"/>
        <v>0</v>
      </c>
      <c r="CD360" s="71"/>
      <c r="CE360" s="71"/>
      <c r="CF360" s="71">
        <f t="shared" si="165"/>
        <v>0</v>
      </c>
      <c r="CH360" s="71"/>
      <c r="CI360" s="71"/>
      <c r="CJ360" s="138">
        <f t="shared" si="166"/>
        <v>0</v>
      </c>
      <c r="CL360" s="71"/>
      <c r="CM360" s="71"/>
      <c r="CN360" s="71">
        <f t="shared" si="167"/>
        <v>0</v>
      </c>
      <c r="CS360" s="102">
        <f t="shared" si="145"/>
        <v>4.5293954747099576</v>
      </c>
      <c r="CT360" s="102">
        <f t="shared" si="146"/>
        <v>18.675175962423801</v>
      </c>
      <c r="CZ360" s="109" t="str">
        <f t="shared" si="147"/>
        <v>Basso</v>
      </c>
    </row>
    <row r="361" spans="9:104" x14ac:dyDescent="0.15">
      <c r="I361" s="64">
        <f t="shared" si="149"/>
        <v>76.99972307006928</v>
      </c>
      <c r="M361" s="64">
        <f t="shared" si="150"/>
        <v>0</v>
      </c>
      <c r="Q361" s="64">
        <f t="shared" si="151"/>
        <v>0</v>
      </c>
      <c r="U361" s="64">
        <f t="shared" si="152"/>
        <v>0</v>
      </c>
      <c r="Y361" s="114">
        <f t="shared" si="153"/>
        <v>0</v>
      </c>
      <c r="AC361" s="64">
        <f t="shared" si="154"/>
        <v>0</v>
      </c>
      <c r="AE361" s="71"/>
      <c r="AF361" s="71"/>
      <c r="AG361" s="71">
        <f t="shared" si="155"/>
        <v>0</v>
      </c>
      <c r="AK361" s="64">
        <f t="shared" si="156"/>
        <v>0</v>
      </c>
      <c r="AM361" s="71"/>
      <c r="AN361" s="71"/>
      <c r="AO361" s="71">
        <f t="shared" si="148"/>
        <v>0</v>
      </c>
      <c r="AQ361" s="71"/>
      <c r="AR361" s="71"/>
      <c r="AS361" s="71">
        <f t="shared" si="157"/>
        <v>0</v>
      </c>
      <c r="AU361" s="71"/>
      <c r="AV361" s="71"/>
      <c r="AW361" s="71">
        <f t="shared" si="158"/>
        <v>0</v>
      </c>
      <c r="AY361" s="71"/>
      <c r="AZ361" s="71"/>
      <c r="BA361" s="71">
        <f t="shared" si="159"/>
        <v>0</v>
      </c>
      <c r="BI361" s="71"/>
      <c r="BJ361" s="71"/>
      <c r="BK361" s="71">
        <f t="shared" si="160"/>
        <v>0</v>
      </c>
      <c r="BM361" s="71"/>
      <c r="BN361" s="71"/>
      <c r="BO361" s="71">
        <f t="shared" si="161"/>
        <v>0</v>
      </c>
      <c r="BQ361" s="71"/>
      <c r="BR361" s="71"/>
      <c r="BS361" s="138">
        <f t="shared" si="162"/>
        <v>0</v>
      </c>
      <c r="BU361" s="71"/>
      <c r="BV361" s="71"/>
      <c r="BW361" s="71">
        <f t="shared" si="163"/>
        <v>0</v>
      </c>
      <c r="BZ361" s="71"/>
      <c r="CA361" s="71"/>
      <c r="CB361" s="71">
        <f t="shared" si="164"/>
        <v>0</v>
      </c>
      <c r="CD361" s="71"/>
      <c r="CE361" s="71"/>
      <c r="CF361" s="71">
        <f t="shared" si="165"/>
        <v>0</v>
      </c>
      <c r="CH361" s="71"/>
      <c r="CI361" s="71"/>
      <c r="CJ361" s="138">
        <f t="shared" si="166"/>
        <v>0</v>
      </c>
      <c r="CL361" s="71"/>
      <c r="CM361" s="71"/>
      <c r="CN361" s="71">
        <f t="shared" si="167"/>
        <v>0</v>
      </c>
      <c r="CS361" s="102">
        <f t="shared" si="145"/>
        <v>4.5293954747099576</v>
      </c>
      <c r="CT361" s="102">
        <f t="shared" si="146"/>
        <v>18.675175962423801</v>
      </c>
      <c r="CZ361" s="109" t="str">
        <f t="shared" si="147"/>
        <v>Basso</v>
      </c>
    </row>
    <row r="362" spans="9:104" x14ac:dyDescent="0.15">
      <c r="I362" s="64">
        <f t="shared" si="149"/>
        <v>76.99972307006928</v>
      </c>
      <c r="M362" s="64">
        <f t="shared" si="150"/>
        <v>0</v>
      </c>
      <c r="Q362" s="64">
        <f t="shared" si="151"/>
        <v>0</v>
      </c>
      <c r="U362" s="64">
        <f t="shared" si="152"/>
        <v>0</v>
      </c>
      <c r="Y362" s="114">
        <f t="shared" si="153"/>
        <v>0</v>
      </c>
      <c r="AC362" s="64">
        <f t="shared" si="154"/>
        <v>0</v>
      </c>
      <c r="AE362" s="71"/>
      <c r="AF362" s="71"/>
      <c r="AG362" s="71">
        <f t="shared" si="155"/>
        <v>0</v>
      </c>
      <c r="AK362" s="64">
        <f t="shared" si="156"/>
        <v>0</v>
      </c>
      <c r="AM362" s="71"/>
      <c r="AN362" s="71"/>
      <c r="AO362" s="71">
        <f t="shared" si="148"/>
        <v>0</v>
      </c>
      <c r="AQ362" s="71"/>
      <c r="AR362" s="71"/>
      <c r="AS362" s="71">
        <f t="shared" si="157"/>
        <v>0</v>
      </c>
      <c r="AU362" s="71"/>
      <c r="AV362" s="71"/>
      <c r="AW362" s="71">
        <f t="shared" si="158"/>
        <v>0</v>
      </c>
      <c r="AY362" s="71"/>
      <c r="AZ362" s="71"/>
      <c r="BA362" s="71">
        <f t="shared" si="159"/>
        <v>0</v>
      </c>
      <c r="BI362" s="71"/>
      <c r="BJ362" s="71"/>
      <c r="BK362" s="71">
        <f t="shared" si="160"/>
        <v>0</v>
      </c>
      <c r="BM362" s="71"/>
      <c r="BN362" s="71"/>
      <c r="BO362" s="71">
        <f t="shared" si="161"/>
        <v>0</v>
      </c>
      <c r="BQ362" s="71"/>
      <c r="BR362" s="71"/>
      <c r="BS362" s="138">
        <f t="shared" si="162"/>
        <v>0</v>
      </c>
      <c r="BU362" s="71"/>
      <c r="BV362" s="71"/>
      <c r="BW362" s="71">
        <f t="shared" si="163"/>
        <v>0</v>
      </c>
      <c r="BZ362" s="71"/>
      <c r="CA362" s="71"/>
      <c r="CB362" s="71">
        <f t="shared" si="164"/>
        <v>0</v>
      </c>
      <c r="CD362" s="71"/>
      <c r="CE362" s="71"/>
      <c r="CF362" s="71">
        <f t="shared" si="165"/>
        <v>0</v>
      </c>
      <c r="CH362" s="71"/>
      <c r="CI362" s="71"/>
      <c r="CJ362" s="138">
        <f t="shared" si="166"/>
        <v>0</v>
      </c>
      <c r="CL362" s="71"/>
      <c r="CM362" s="71"/>
      <c r="CN362" s="71">
        <f t="shared" si="167"/>
        <v>0</v>
      </c>
      <c r="CS362" s="102">
        <f t="shared" si="145"/>
        <v>4.5293954747099576</v>
      </c>
      <c r="CT362" s="102">
        <f t="shared" si="146"/>
        <v>18.675175962423801</v>
      </c>
      <c r="CZ362" s="109" t="str">
        <f t="shared" si="147"/>
        <v>Basso</v>
      </c>
    </row>
    <row r="363" spans="9:104" x14ac:dyDescent="0.15">
      <c r="I363" s="64">
        <f t="shared" si="149"/>
        <v>76.99972307006928</v>
      </c>
      <c r="M363" s="64">
        <f t="shared" si="150"/>
        <v>0</v>
      </c>
      <c r="Q363" s="64">
        <f t="shared" si="151"/>
        <v>0</v>
      </c>
      <c r="U363" s="64">
        <f t="shared" si="152"/>
        <v>0</v>
      </c>
      <c r="Y363" s="114">
        <f t="shared" si="153"/>
        <v>0</v>
      </c>
      <c r="AC363" s="64">
        <f t="shared" si="154"/>
        <v>0</v>
      </c>
      <c r="AE363" s="71"/>
      <c r="AF363" s="71"/>
      <c r="AG363" s="71">
        <f t="shared" si="155"/>
        <v>0</v>
      </c>
      <c r="AK363" s="64">
        <f t="shared" si="156"/>
        <v>0</v>
      </c>
      <c r="AM363" s="71"/>
      <c r="AN363" s="71"/>
      <c r="AO363" s="71">
        <f t="shared" si="148"/>
        <v>0</v>
      </c>
      <c r="AQ363" s="71"/>
      <c r="AR363" s="71"/>
      <c r="AS363" s="71">
        <f t="shared" si="157"/>
        <v>0</v>
      </c>
      <c r="AU363" s="71"/>
      <c r="AV363" s="71"/>
      <c r="AW363" s="71">
        <f t="shared" si="158"/>
        <v>0</v>
      </c>
      <c r="AY363" s="71"/>
      <c r="AZ363" s="71"/>
      <c r="BA363" s="71">
        <f t="shared" si="159"/>
        <v>0</v>
      </c>
      <c r="BI363" s="71"/>
      <c r="BJ363" s="71"/>
      <c r="BK363" s="71">
        <f t="shared" si="160"/>
        <v>0</v>
      </c>
      <c r="BM363" s="71"/>
      <c r="BN363" s="71"/>
      <c r="BO363" s="71">
        <f t="shared" si="161"/>
        <v>0</v>
      </c>
      <c r="BQ363" s="71"/>
      <c r="BR363" s="71"/>
      <c r="BS363" s="138">
        <f t="shared" si="162"/>
        <v>0</v>
      </c>
      <c r="BU363" s="71"/>
      <c r="BV363" s="71"/>
      <c r="BW363" s="71">
        <f t="shared" si="163"/>
        <v>0</v>
      </c>
      <c r="BZ363" s="71"/>
      <c r="CA363" s="71"/>
      <c r="CB363" s="71">
        <f t="shared" si="164"/>
        <v>0</v>
      </c>
      <c r="CD363" s="71"/>
      <c r="CE363" s="71"/>
      <c r="CF363" s="71">
        <f t="shared" si="165"/>
        <v>0</v>
      </c>
      <c r="CH363" s="71"/>
      <c r="CI363" s="71"/>
      <c r="CJ363" s="138">
        <f t="shared" si="166"/>
        <v>0</v>
      </c>
      <c r="CL363" s="71"/>
      <c r="CM363" s="71"/>
      <c r="CN363" s="71">
        <f t="shared" si="167"/>
        <v>0</v>
      </c>
      <c r="CS363" s="102">
        <f t="shared" si="145"/>
        <v>4.5293954747099576</v>
      </c>
      <c r="CT363" s="102">
        <f t="shared" si="146"/>
        <v>18.675175962423801</v>
      </c>
      <c r="CZ363" s="109" t="str">
        <f t="shared" si="147"/>
        <v>Basso</v>
      </c>
    </row>
    <row r="364" spans="9:104" x14ac:dyDescent="0.15">
      <c r="I364" s="64">
        <f t="shared" si="149"/>
        <v>76.99972307006928</v>
      </c>
      <c r="M364" s="64">
        <f t="shared" si="150"/>
        <v>0</v>
      </c>
      <c r="Q364" s="64">
        <f t="shared" si="151"/>
        <v>0</v>
      </c>
      <c r="U364" s="64">
        <f t="shared" si="152"/>
        <v>0</v>
      </c>
      <c r="Y364" s="114">
        <f t="shared" si="153"/>
        <v>0</v>
      </c>
      <c r="AC364" s="64">
        <f t="shared" si="154"/>
        <v>0</v>
      </c>
      <c r="AE364" s="71"/>
      <c r="AF364" s="71"/>
      <c r="AG364" s="71">
        <f t="shared" si="155"/>
        <v>0</v>
      </c>
      <c r="AK364" s="64">
        <f t="shared" si="156"/>
        <v>0</v>
      </c>
      <c r="AM364" s="71"/>
      <c r="AN364" s="71"/>
      <c r="AO364" s="71">
        <f t="shared" si="148"/>
        <v>0</v>
      </c>
      <c r="AQ364" s="71"/>
      <c r="AR364" s="71"/>
      <c r="AS364" s="71">
        <f t="shared" si="157"/>
        <v>0</v>
      </c>
      <c r="AU364" s="71"/>
      <c r="AV364" s="71"/>
      <c r="AW364" s="71">
        <f t="shared" si="158"/>
        <v>0</v>
      </c>
      <c r="AY364" s="71"/>
      <c r="AZ364" s="71"/>
      <c r="BA364" s="71">
        <f t="shared" si="159"/>
        <v>0</v>
      </c>
      <c r="BI364" s="71"/>
      <c r="BJ364" s="71"/>
      <c r="BK364" s="71">
        <f t="shared" si="160"/>
        <v>0</v>
      </c>
      <c r="BM364" s="71"/>
      <c r="BN364" s="71"/>
      <c r="BO364" s="71">
        <f t="shared" si="161"/>
        <v>0</v>
      </c>
      <c r="BQ364" s="71"/>
      <c r="BR364" s="71"/>
      <c r="BS364" s="138">
        <f t="shared" si="162"/>
        <v>0</v>
      </c>
      <c r="BU364" s="71"/>
      <c r="BV364" s="71"/>
      <c r="BW364" s="71">
        <f t="shared" si="163"/>
        <v>0</v>
      </c>
      <c r="BZ364" s="71"/>
      <c r="CA364" s="71"/>
      <c r="CB364" s="71">
        <f t="shared" si="164"/>
        <v>0</v>
      </c>
      <c r="CD364" s="71"/>
      <c r="CE364" s="71"/>
      <c r="CF364" s="71">
        <f t="shared" si="165"/>
        <v>0</v>
      </c>
      <c r="CH364" s="71"/>
      <c r="CI364" s="71"/>
      <c r="CJ364" s="138">
        <f t="shared" si="166"/>
        <v>0</v>
      </c>
      <c r="CL364" s="71"/>
      <c r="CM364" s="71"/>
      <c r="CN364" s="71">
        <f t="shared" si="167"/>
        <v>0</v>
      </c>
      <c r="CS364" s="102">
        <f t="shared" si="145"/>
        <v>4.5293954747099576</v>
      </c>
      <c r="CT364" s="102">
        <f t="shared" si="146"/>
        <v>18.675175962423801</v>
      </c>
      <c r="CZ364" s="109" t="str">
        <f t="shared" si="147"/>
        <v>Basso</v>
      </c>
    </row>
    <row r="365" spans="9:104" x14ac:dyDescent="0.15">
      <c r="I365" s="64">
        <f t="shared" si="149"/>
        <v>76.99972307006928</v>
      </c>
      <c r="M365" s="64">
        <f t="shared" si="150"/>
        <v>0</v>
      </c>
      <c r="Q365" s="64">
        <f t="shared" si="151"/>
        <v>0</v>
      </c>
      <c r="U365" s="64">
        <f t="shared" si="152"/>
        <v>0</v>
      </c>
      <c r="Y365" s="114">
        <f t="shared" si="153"/>
        <v>0</v>
      </c>
      <c r="AC365" s="64">
        <f t="shared" si="154"/>
        <v>0</v>
      </c>
      <c r="AE365" s="71"/>
      <c r="AF365" s="71"/>
      <c r="AG365" s="71">
        <f t="shared" si="155"/>
        <v>0</v>
      </c>
      <c r="AK365" s="64">
        <f t="shared" si="156"/>
        <v>0</v>
      </c>
      <c r="AM365" s="71"/>
      <c r="AN365" s="71"/>
      <c r="AO365" s="71">
        <f t="shared" si="148"/>
        <v>0</v>
      </c>
      <c r="AQ365" s="71"/>
      <c r="AR365" s="71"/>
      <c r="AS365" s="71">
        <f t="shared" si="157"/>
        <v>0</v>
      </c>
      <c r="AU365" s="71"/>
      <c r="AV365" s="71"/>
      <c r="AW365" s="71">
        <f t="shared" si="158"/>
        <v>0</v>
      </c>
      <c r="AY365" s="71"/>
      <c r="AZ365" s="71"/>
      <c r="BA365" s="71">
        <f t="shared" si="159"/>
        <v>0</v>
      </c>
      <c r="BI365" s="71"/>
      <c r="BJ365" s="71"/>
      <c r="BK365" s="71">
        <f t="shared" si="160"/>
        <v>0</v>
      </c>
      <c r="BM365" s="71"/>
      <c r="BN365" s="71"/>
      <c r="BO365" s="71">
        <f t="shared" si="161"/>
        <v>0</v>
      </c>
      <c r="BQ365" s="71"/>
      <c r="BR365" s="71"/>
      <c r="BS365" s="138">
        <f t="shared" si="162"/>
        <v>0</v>
      </c>
      <c r="BU365" s="71"/>
      <c r="BV365" s="71"/>
      <c r="BW365" s="71">
        <f t="shared" si="163"/>
        <v>0</v>
      </c>
      <c r="BZ365" s="71"/>
      <c r="CA365" s="71"/>
      <c r="CB365" s="71">
        <f t="shared" si="164"/>
        <v>0</v>
      </c>
      <c r="CD365" s="71"/>
      <c r="CE365" s="71"/>
      <c r="CF365" s="71">
        <f t="shared" si="165"/>
        <v>0</v>
      </c>
      <c r="CH365" s="71"/>
      <c r="CI365" s="71"/>
      <c r="CJ365" s="138">
        <f t="shared" si="166"/>
        <v>0</v>
      </c>
      <c r="CL365" s="71"/>
      <c r="CM365" s="71"/>
      <c r="CN365" s="71">
        <f t="shared" si="167"/>
        <v>0</v>
      </c>
      <c r="CS365" s="102">
        <f t="shared" si="145"/>
        <v>4.5293954747099576</v>
      </c>
      <c r="CT365" s="102">
        <f t="shared" si="146"/>
        <v>18.675175962423801</v>
      </c>
      <c r="CZ365" s="109" t="str">
        <f t="shared" si="147"/>
        <v>Basso</v>
      </c>
    </row>
    <row r="366" spans="9:104" x14ac:dyDescent="0.15">
      <c r="I366" s="64">
        <f t="shared" si="149"/>
        <v>76.99972307006928</v>
      </c>
      <c r="M366" s="64">
        <f t="shared" si="150"/>
        <v>0</v>
      </c>
      <c r="Q366" s="64">
        <f t="shared" si="151"/>
        <v>0</v>
      </c>
      <c r="U366" s="64">
        <f t="shared" si="152"/>
        <v>0</v>
      </c>
      <c r="Y366" s="114">
        <f t="shared" si="153"/>
        <v>0</v>
      </c>
      <c r="AC366" s="64">
        <f t="shared" si="154"/>
        <v>0</v>
      </c>
      <c r="AE366" s="71"/>
      <c r="AF366" s="71"/>
      <c r="AG366" s="71">
        <f t="shared" si="155"/>
        <v>0</v>
      </c>
      <c r="AK366" s="64">
        <f t="shared" si="156"/>
        <v>0</v>
      </c>
      <c r="AM366" s="71"/>
      <c r="AN366" s="71"/>
      <c r="AO366" s="71">
        <f t="shared" si="148"/>
        <v>0</v>
      </c>
      <c r="AQ366" s="71"/>
      <c r="AR366" s="71"/>
      <c r="AS366" s="71">
        <f t="shared" si="157"/>
        <v>0</v>
      </c>
      <c r="AU366" s="71"/>
      <c r="AV366" s="71"/>
      <c r="AW366" s="71">
        <f t="shared" si="158"/>
        <v>0</v>
      </c>
      <c r="AY366" s="71"/>
      <c r="AZ366" s="71"/>
      <c r="BA366" s="71">
        <f t="shared" si="159"/>
        <v>0</v>
      </c>
      <c r="BI366" s="71"/>
      <c r="BJ366" s="71"/>
      <c r="BK366" s="71">
        <f t="shared" si="160"/>
        <v>0</v>
      </c>
      <c r="BM366" s="71"/>
      <c r="BN366" s="71"/>
      <c r="BO366" s="71">
        <f t="shared" si="161"/>
        <v>0</v>
      </c>
      <c r="BQ366" s="71"/>
      <c r="BR366" s="71"/>
      <c r="BS366" s="138">
        <f t="shared" si="162"/>
        <v>0</v>
      </c>
      <c r="BU366" s="71"/>
      <c r="BV366" s="71"/>
      <c r="BW366" s="71">
        <f t="shared" si="163"/>
        <v>0</v>
      </c>
      <c r="BZ366" s="71"/>
      <c r="CA366" s="71"/>
      <c r="CB366" s="71">
        <f t="shared" si="164"/>
        <v>0</v>
      </c>
      <c r="CD366" s="71"/>
      <c r="CE366" s="71"/>
      <c r="CF366" s="71">
        <f t="shared" si="165"/>
        <v>0</v>
      </c>
      <c r="CH366" s="71"/>
      <c r="CI366" s="71"/>
      <c r="CJ366" s="138">
        <f t="shared" si="166"/>
        <v>0</v>
      </c>
      <c r="CL366" s="71"/>
      <c r="CM366" s="71"/>
      <c r="CN366" s="71">
        <f t="shared" si="167"/>
        <v>0</v>
      </c>
      <c r="CS366" s="102">
        <f t="shared" si="145"/>
        <v>4.5293954747099576</v>
      </c>
      <c r="CT366" s="102">
        <f t="shared" si="146"/>
        <v>18.675175962423801</v>
      </c>
      <c r="CZ366" s="109" t="str">
        <f t="shared" si="147"/>
        <v>Basso</v>
      </c>
    </row>
    <row r="367" spans="9:104" x14ac:dyDescent="0.15">
      <c r="I367" s="64">
        <f t="shared" si="149"/>
        <v>76.99972307006928</v>
      </c>
      <c r="M367" s="64">
        <f t="shared" si="150"/>
        <v>0</v>
      </c>
      <c r="Q367" s="64">
        <f t="shared" si="151"/>
        <v>0</v>
      </c>
      <c r="U367" s="64">
        <f t="shared" si="152"/>
        <v>0</v>
      </c>
      <c r="Y367" s="114">
        <f t="shared" si="153"/>
        <v>0</v>
      </c>
      <c r="AC367" s="64">
        <f t="shared" si="154"/>
        <v>0</v>
      </c>
      <c r="AE367" s="71"/>
      <c r="AF367" s="71"/>
      <c r="AG367" s="71">
        <f t="shared" si="155"/>
        <v>0</v>
      </c>
      <c r="AK367" s="64">
        <f t="shared" si="156"/>
        <v>0</v>
      </c>
      <c r="AM367" s="71"/>
      <c r="AN367" s="71"/>
      <c r="AO367" s="71">
        <f t="shared" si="148"/>
        <v>0</v>
      </c>
      <c r="AQ367" s="71"/>
      <c r="AR367" s="71"/>
      <c r="AS367" s="71">
        <f t="shared" si="157"/>
        <v>0</v>
      </c>
      <c r="AU367" s="71"/>
      <c r="AV367" s="71"/>
      <c r="AW367" s="71">
        <f t="shared" si="158"/>
        <v>0</v>
      </c>
      <c r="AY367" s="71"/>
      <c r="AZ367" s="71"/>
      <c r="BA367" s="71">
        <f t="shared" si="159"/>
        <v>0</v>
      </c>
      <c r="BI367" s="71"/>
      <c r="BJ367" s="71"/>
      <c r="BK367" s="71">
        <f t="shared" si="160"/>
        <v>0</v>
      </c>
      <c r="BM367" s="71"/>
      <c r="BN367" s="71"/>
      <c r="BO367" s="71">
        <f t="shared" si="161"/>
        <v>0</v>
      </c>
      <c r="BQ367" s="71"/>
      <c r="BR367" s="71"/>
      <c r="BS367" s="138">
        <f t="shared" si="162"/>
        <v>0</v>
      </c>
      <c r="BU367" s="71"/>
      <c r="BV367" s="71"/>
      <c r="BW367" s="71">
        <f t="shared" si="163"/>
        <v>0</v>
      </c>
      <c r="BZ367" s="71"/>
      <c r="CA367" s="71"/>
      <c r="CB367" s="71">
        <f t="shared" si="164"/>
        <v>0</v>
      </c>
      <c r="CD367" s="71"/>
      <c r="CE367" s="71"/>
      <c r="CF367" s="71">
        <f t="shared" si="165"/>
        <v>0</v>
      </c>
      <c r="CH367" s="71"/>
      <c r="CI367" s="71"/>
      <c r="CJ367" s="138">
        <f t="shared" si="166"/>
        <v>0</v>
      </c>
      <c r="CL367" s="71"/>
      <c r="CM367" s="71"/>
      <c r="CN367" s="71">
        <f t="shared" si="167"/>
        <v>0</v>
      </c>
      <c r="CS367" s="102">
        <f t="shared" si="145"/>
        <v>4.5293954747099576</v>
      </c>
      <c r="CT367" s="102">
        <f t="shared" si="146"/>
        <v>18.675175962423801</v>
      </c>
      <c r="CZ367" s="109" t="str">
        <f t="shared" si="147"/>
        <v>Basso</v>
      </c>
    </row>
    <row r="368" spans="9:104" x14ac:dyDescent="0.15">
      <c r="I368" s="64">
        <f t="shared" si="149"/>
        <v>76.99972307006928</v>
      </c>
      <c r="M368" s="64">
        <f t="shared" si="150"/>
        <v>0</v>
      </c>
      <c r="Q368" s="64">
        <f t="shared" si="151"/>
        <v>0</v>
      </c>
      <c r="U368" s="64">
        <f t="shared" si="152"/>
        <v>0</v>
      </c>
      <c r="Y368" s="114">
        <f t="shared" si="153"/>
        <v>0</v>
      </c>
      <c r="AC368" s="64">
        <f t="shared" si="154"/>
        <v>0</v>
      </c>
      <c r="AE368" s="71"/>
      <c r="AF368" s="71"/>
      <c r="AG368" s="71">
        <f t="shared" si="155"/>
        <v>0</v>
      </c>
      <c r="AK368" s="64">
        <f t="shared" si="156"/>
        <v>0</v>
      </c>
      <c r="AM368" s="71"/>
      <c r="AN368" s="71"/>
      <c r="AO368" s="71">
        <f t="shared" si="148"/>
        <v>0</v>
      </c>
      <c r="AQ368" s="71"/>
      <c r="AR368" s="71"/>
      <c r="AS368" s="71">
        <f t="shared" si="157"/>
        <v>0</v>
      </c>
      <c r="AU368" s="71"/>
      <c r="AV368" s="71"/>
      <c r="AW368" s="71">
        <f t="shared" si="158"/>
        <v>0</v>
      </c>
      <c r="AY368" s="71"/>
      <c r="AZ368" s="71"/>
      <c r="BA368" s="71">
        <f t="shared" si="159"/>
        <v>0</v>
      </c>
      <c r="BI368" s="71"/>
      <c r="BJ368" s="71"/>
      <c r="BK368" s="71">
        <f t="shared" si="160"/>
        <v>0</v>
      </c>
      <c r="BM368" s="71"/>
      <c r="BN368" s="71"/>
      <c r="BO368" s="71">
        <f t="shared" si="161"/>
        <v>0</v>
      </c>
      <c r="BQ368" s="71"/>
      <c r="BR368" s="71"/>
      <c r="BS368" s="138">
        <f t="shared" si="162"/>
        <v>0</v>
      </c>
      <c r="BU368" s="71"/>
      <c r="BV368" s="71"/>
      <c r="BW368" s="71">
        <f t="shared" si="163"/>
        <v>0</v>
      </c>
      <c r="BZ368" s="71"/>
      <c r="CA368" s="71"/>
      <c r="CB368" s="71">
        <f t="shared" si="164"/>
        <v>0</v>
      </c>
      <c r="CD368" s="71"/>
      <c r="CE368" s="71"/>
      <c r="CF368" s="71">
        <f t="shared" si="165"/>
        <v>0</v>
      </c>
      <c r="CH368" s="71"/>
      <c r="CI368" s="71"/>
      <c r="CJ368" s="138">
        <f t="shared" si="166"/>
        <v>0</v>
      </c>
      <c r="CL368" s="71"/>
      <c r="CM368" s="71"/>
      <c r="CN368" s="71">
        <f t="shared" si="167"/>
        <v>0</v>
      </c>
      <c r="CS368" s="102">
        <f t="shared" si="145"/>
        <v>4.5293954747099576</v>
      </c>
      <c r="CT368" s="102">
        <f t="shared" si="146"/>
        <v>18.675175962423801</v>
      </c>
      <c r="CZ368" s="109" t="str">
        <f t="shared" si="147"/>
        <v>Basso</v>
      </c>
    </row>
    <row r="369" spans="9:104" x14ac:dyDescent="0.15">
      <c r="I369" s="64">
        <f t="shared" si="149"/>
        <v>76.99972307006928</v>
      </c>
      <c r="M369" s="64">
        <f t="shared" si="150"/>
        <v>0</v>
      </c>
      <c r="Q369" s="64">
        <f t="shared" si="151"/>
        <v>0</v>
      </c>
      <c r="U369" s="64">
        <f t="shared" si="152"/>
        <v>0</v>
      </c>
      <c r="Y369" s="114">
        <f t="shared" si="153"/>
        <v>0</v>
      </c>
      <c r="AC369" s="64">
        <f t="shared" si="154"/>
        <v>0</v>
      </c>
      <c r="AE369" s="71"/>
      <c r="AF369" s="71"/>
      <c r="AG369" s="71">
        <f t="shared" si="155"/>
        <v>0</v>
      </c>
      <c r="AK369" s="64">
        <f t="shared" si="156"/>
        <v>0</v>
      </c>
      <c r="AM369" s="71"/>
      <c r="AN369" s="71"/>
      <c r="AO369" s="71">
        <f t="shared" si="148"/>
        <v>0</v>
      </c>
      <c r="AQ369" s="71"/>
      <c r="AR369" s="71"/>
      <c r="AS369" s="71">
        <f t="shared" si="157"/>
        <v>0</v>
      </c>
      <c r="AU369" s="71"/>
      <c r="AV369" s="71"/>
      <c r="AW369" s="71">
        <f t="shared" si="158"/>
        <v>0</v>
      </c>
      <c r="AY369" s="71"/>
      <c r="AZ369" s="71"/>
      <c r="BA369" s="71">
        <f t="shared" si="159"/>
        <v>0</v>
      </c>
      <c r="BI369" s="71"/>
      <c r="BJ369" s="71"/>
      <c r="BK369" s="71">
        <f t="shared" si="160"/>
        <v>0</v>
      </c>
      <c r="BM369" s="71"/>
      <c r="BN369" s="71"/>
      <c r="BO369" s="71">
        <f t="shared" si="161"/>
        <v>0</v>
      </c>
      <c r="BQ369" s="71"/>
      <c r="BR369" s="71"/>
      <c r="BS369" s="138">
        <f t="shared" si="162"/>
        <v>0</v>
      </c>
      <c r="BU369" s="71"/>
      <c r="BV369" s="71"/>
      <c r="BW369" s="71">
        <f t="shared" si="163"/>
        <v>0</v>
      </c>
      <c r="BZ369" s="71"/>
      <c r="CA369" s="71"/>
      <c r="CB369" s="71">
        <f t="shared" si="164"/>
        <v>0</v>
      </c>
      <c r="CD369" s="71"/>
      <c r="CE369" s="71"/>
      <c r="CF369" s="71">
        <f t="shared" si="165"/>
        <v>0</v>
      </c>
      <c r="CH369" s="71"/>
      <c r="CI369" s="71"/>
      <c r="CJ369" s="138">
        <f t="shared" si="166"/>
        <v>0</v>
      </c>
      <c r="CL369" s="71"/>
      <c r="CM369" s="71"/>
      <c r="CN369" s="71">
        <f t="shared" si="167"/>
        <v>0</v>
      </c>
      <c r="CS369" s="102">
        <f t="shared" si="145"/>
        <v>4.5293954747099576</v>
      </c>
      <c r="CT369" s="102">
        <f t="shared" si="146"/>
        <v>18.675175962423801</v>
      </c>
      <c r="CZ369" s="109" t="str">
        <f t="shared" si="147"/>
        <v>Basso</v>
      </c>
    </row>
    <row r="370" spans="9:104" x14ac:dyDescent="0.15">
      <c r="I370" s="64">
        <f t="shared" si="149"/>
        <v>76.99972307006928</v>
      </c>
      <c r="M370" s="64">
        <f t="shared" si="150"/>
        <v>0</v>
      </c>
      <c r="Q370" s="64">
        <f t="shared" si="151"/>
        <v>0</v>
      </c>
      <c r="U370" s="64">
        <f t="shared" si="152"/>
        <v>0</v>
      </c>
      <c r="Y370" s="114">
        <f t="shared" si="153"/>
        <v>0</v>
      </c>
      <c r="AC370" s="64">
        <f t="shared" si="154"/>
        <v>0</v>
      </c>
      <c r="AE370" s="71"/>
      <c r="AF370" s="71"/>
      <c r="AG370" s="71">
        <f t="shared" si="155"/>
        <v>0</v>
      </c>
      <c r="AK370" s="64">
        <f t="shared" si="156"/>
        <v>0</v>
      </c>
      <c r="AM370" s="71"/>
      <c r="AN370" s="71"/>
      <c r="AO370" s="71">
        <f t="shared" si="148"/>
        <v>0</v>
      </c>
      <c r="AQ370" s="71"/>
      <c r="AR370" s="71"/>
      <c r="AS370" s="71">
        <f t="shared" si="157"/>
        <v>0</v>
      </c>
      <c r="AU370" s="71"/>
      <c r="AV370" s="71"/>
      <c r="AW370" s="71">
        <f t="shared" si="158"/>
        <v>0</v>
      </c>
      <c r="AY370" s="71"/>
      <c r="AZ370" s="71"/>
      <c r="BA370" s="71">
        <f t="shared" si="159"/>
        <v>0</v>
      </c>
      <c r="BI370" s="71"/>
      <c r="BJ370" s="71"/>
      <c r="BK370" s="71">
        <f t="shared" si="160"/>
        <v>0</v>
      </c>
      <c r="BM370" s="71"/>
      <c r="BN370" s="71"/>
      <c r="BO370" s="71">
        <f t="shared" si="161"/>
        <v>0</v>
      </c>
      <c r="BQ370" s="71"/>
      <c r="BR370" s="71"/>
      <c r="BS370" s="138">
        <f t="shared" si="162"/>
        <v>0</v>
      </c>
      <c r="BU370" s="71"/>
      <c r="BV370" s="71"/>
      <c r="BW370" s="71">
        <f t="shared" si="163"/>
        <v>0</v>
      </c>
      <c r="BZ370" s="71"/>
      <c r="CA370" s="71"/>
      <c r="CB370" s="71">
        <f t="shared" si="164"/>
        <v>0</v>
      </c>
      <c r="CD370" s="71"/>
      <c r="CE370" s="71"/>
      <c r="CF370" s="71">
        <f t="shared" si="165"/>
        <v>0</v>
      </c>
      <c r="CH370" s="71"/>
      <c r="CI370" s="71"/>
      <c r="CJ370" s="138">
        <f t="shared" si="166"/>
        <v>0</v>
      </c>
      <c r="CL370" s="71"/>
      <c r="CM370" s="71"/>
      <c r="CN370" s="71">
        <f t="shared" si="167"/>
        <v>0</v>
      </c>
      <c r="CS370" s="102">
        <f t="shared" si="145"/>
        <v>4.5293954747099576</v>
      </c>
      <c r="CT370" s="102">
        <f t="shared" si="146"/>
        <v>18.675175962423801</v>
      </c>
      <c r="CZ370" s="109" t="str">
        <f t="shared" si="147"/>
        <v>Basso</v>
      </c>
    </row>
    <row r="371" spans="9:104" x14ac:dyDescent="0.15">
      <c r="I371" s="64">
        <f t="shared" si="149"/>
        <v>76.99972307006928</v>
      </c>
      <c r="M371" s="64">
        <f t="shared" si="150"/>
        <v>0</v>
      </c>
      <c r="Q371" s="64">
        <f t="shared" si="151"/>
        <v>0</v>
      </c>
      <c r="U371" s="64">
        <f t="shared" si="152"/>
        <v>0</v>
      </c>
      <c r="Y371" s="114">
        <f t="shared" si="153"/>
        <v>0</v>
      </c>
      <c r="AC371" s="64">
        <f t="shared" si="154"/>
        <v>0</v>
      </c>
      <c r="AE371" s="71"/>
      <c r="AF371" s="71"/>
      <c r="AG371" s="71">
        <f t="shared" si="155"/>
        <v>0</v>
      </c>
      <c r="AK371" s="64">
        <f t="shared" si="156"/>
        <v>0</v>
      </c>
      <c r="AM371" s="71"/>
      <c r="AN371" s="71"/>
      <c r="AO371" s="71">
        <f t="shared" si="148"/>
        <v>0</v>
      </c>
      <c r="AQ371" s="71"/>
      <c r="AR371" s="71"/>
      <c r="AS371" s="71">
        <f t="shared" si="157"/>
        <v>0</v>
      </c>
      <c r="AU371" s="71"/>
      <c r="AV371" s="71"/>
      <c r="AW371" s="71">
        <f t="shared" si="158"/>
        <v>0</v>
      </c>
      <c r="AY371" s="71"/>
      <c r="AZ371" s="71"/>
      <c r="BA371" s="71">
        <f t="shared" si="159"/>
        <v>0</v>
      </c>
      <c r="BI371" s="71"/>
      <c r="BJ371" s="71"/>
      <c r="BK371" s="71">
        <f t="shared" si="160"/>
        <v>0</v>
      </c>
      <c r="BM371" s="71"/>
      <c r="BN371" s="71"/>
      <c r="BO371" s="71">
        <f t="shared" si="161"/>
        <v>0</v>
      </c>
      <c r="BQ371" s="71"/>
      <c r="BR371" s="71"/>
      <c r="BS371" s="138">
        <f t="shared" si="162"/>
        <v>0</v>
      </c>
      <c r="BU371" s="71"/>
      <c r="BV371" s="71"/>
      <c r="BW371" s="71">
        <f t="shared" si="163"/>
        <v>0</v>
      </c>
      <c r="BZ371" s="71"/>
      <c r="CA371" s="71"/>
      <c r="CB371" s="71">
        <f t="shared" si="164"/>
        <v>0</v>
      </c>
      <c r="CD371" s="71"/>
      <c r="CE371" s="71"/>
      <c r="CF371" s="71">
        <f t="shared" si="165"/>
        <v>0</v>
      </c>
      <c r="CH371" s="71"/>
      <c r="CI371" s="71"/>
      <c r="CJ371" s="138">
        <f t="shared" si="166"/>
        <v>0</v>
      </c>
      <c r="CL371" s="71"/>
      <c r="CM371" s="71"/>
      <c r="CN371" s="71">
        <f t="shared" si="167"/>
        <v>0</v>
      </c>
      <c r="CS371" s="102">
        <f t="shared" si="145"/>
        <v>4.5293954747099576</v>
      </c>
      <c r="CT371" s="102">
        <f t="shared" si="146"/>
        <v>18.675175962423801</v>
      </c>
      <c r="CZ371" s="109" t="str">
        <f t="shared" si="147"/>
        <v>Basso</v>
      </c>
    </row>
    <row r="372" spans="9:104" x14ac:dyDescent="0.15">
      <c r="I372" s="64">
        <f t="shared" si="149"/>
        <v>76.99972307006928</v>
      </c>
      <c r="M372" s="64">
        <f t="shared" si="150"/>
        <v>0</v>
      </c>
      <c r="Q372" s="64">
        <f t="shared" si="151"/>
        <v>0</v>
      </c>
      <c r="U372" s="64">
        <f t="shared" si="152"/>
        <v>0</v>
      </c>
      <c r="Y372" s="114">
        <f t="shared" si="153"/>
        <v>0</v>
      </c>
      <c r="AC372" s="64">
        <f t="shared" si="154"/>
        <v>0</v>
      </c>
      <c r="AE372" s="71"/>
      <c r="AF372" s="71"/>
      <c r="AG372" s="71">
        <f t="shared" si="155"/>
        <v>0</v>
      </c>
      <c r="AK372" s="64">
        <f t="shared" si="156"/>
        <v>0</v>
      </c>
      <c r="AM372" s="71"/>
      <c r="AN372" s="71"/>
      <c r="AO372" s="71">
        <f t="shared" si="148"/>
        <v>0</v>
      </c>
      <c r="AQ372" s="71"/>
      <c r="AR372" s="71"/>
      <c r="AS372" s="71">
        <f t="shared" si="157"/>
        <v>0</v>
      </c>
      <c r="AU372" s="71"/>
      <c r="AV372" s="71"/>
      <c r="AW372" s="71">
        <f t="shared" si="158"/>
        <v>0</v>
      </c>
      <c r="AY372" s="71"/>
      <c r="AZ372" s="71"/>
      <c r="BA372" s="71">
        <f t="shared" si="159"/>
        <v>0</v>
      </c>
      <c r="BI372" s="71"/>
      <c r="BJ372" s="71"/>
      <c r="BK372" s="71">
        <f t="shared" si="160"/>
        <v>0</v>
      </c>
      <c r="BM372" s="71"/>
      <c r="BN372" s="71"/>
      <c r="BO372" s="71">
        <f t="shared" si="161"/>
        <v>0</v>
      </c>
      <c r="BQ372" s="71"/>
      <c r="BR372" s="71"/>
      <c r="BS372" s="138">
        <f t="shared" si="162"/>
        <v>0</v>
      </c>
      <c r="BU372" s="71"/>
      <c r="BV372" s="71"/>
      <c r="BW372" s="71">
        <f t="shared" si="163"/>
        <v>0</v>
      </c>
      <c r="BZ372" s="71"/>
      <c r="CA372" s="71"/>
      <c r="CB372" s="71">
        <f t="shared" si="164"/>
        <v>0</v>
      </c>
      <c r="CD372" s="71"/>
      <c r="CE372" s="71"/>
      <c r="CF372" s="71">
        <f t="shared" si="165"/>
        <v>0</v>
      </c>
      <c r="CH372" s="71"/>
      <c r="CI372" s="71"/>
      <c r="CJ372" s="138">
        <f t="shared" si="166"/>
        <v>0</v>
      </c>
      <c r="CL372" s="71"/>
      <c r="CM372" s="71"/>
      <c r="CN372" s="71">
        <f t="shared" si="167"/>
        <v>0</v>
      </c>
      <c r="CS372" s="102">
        <f t="shared" si="145"/>
        <v>4.5293954747099576</v>
      </c>
      <c r="CT372" s="102">
        <f t="shared" si="146"/>
        <v>18.675175962423801</v>
      </c>
      <c r="CZ372" s="109" t="str">
        <f t="shared" si="147"/>
        <v>Basso</v>
      </c>
    </row>
    <row r="373" spans="9:104" x14ac:dyDescent="0.15">
      <c r="I373" s="64">
        <f t="shared" si="149"/>
        <v>76.99972307006928</v>
      </c>
      <c r="M373" s="64">
        <f t="shared" si="150"/>
        <v>0</v>
      </c>
      <c r="Q373" s="64">
        <f t="shared" si="151"/>
        <v>0</v>
      </c>
      <c r="U373" s="64">
        <f t="shared" si="152"/>
        <v>0</v>
      </c>
      <c r="Y373" s="114">
        <f t="shared" si="153"/>
        <v>0</v>
      </c>
      <c r="AC373" s="64">
        <f t="shared" si="154"/>
        <v>0</v>
      </c>
      <c r="AE373" s="71"/>
      <c r="AF373" s="71"/>
      <c r="AG373" s="71">
        <f t="shared" si="155"/>
        <v>0</v>
      </c>
      <c r="AK373" s="64">
        <f t="shared" si="156"/>
        <v>0</v>
      </c>
      <c r="AM373" s="71"/>
      <c r="AN373" s="71"/>
      <c r="AO373" s="71">
        <f t="shared" si="148"/>
        <v>0</v>
      </c>
      <c r="AQ373" s="71"/>
      <c r="AR373" s="71"/>
      <c r="AS373" s="71">
        <f t="shared" si="157"/>
        <v>0</v>
      </c>
      <c r="AU373" s="71"/>
      <c r="AV373" s="71"/>
      <c r="AW373" s="71">
        <f t="shared" si="158"/>
        <v>0</v>
      </c>
      <c r="AY373" s="71"/>
      <c r="AZ373" s="71"/>
      <c r="BA373" s="71">
        <f t="shared" si="159"/>
        <v>0</v>
      </c>
      <c r="BI373" s="71"/>
      <c r="BJ373" s="71"/>
      <c r="BK373" s="71">
        <f t="shared" si="160"/>
        <v>0</v>
      </c>
      <c r="BM373" s="71"/>
      <c r="BN373" s="71"/>
      <c r="BO373" s="71">
        <f t="shared" si="161"/>
        <v>0</v>
      </c>
      <c r="BQ373" s="71"/>
      <c r="BR373" s="71"/>
      <c r="BS373" s="138">
        <f t="shared" si="162"/>
        <v>0</v>
      </c>
      <c r="BU373" s="71"/>
      <c r="BV373" s="71"/>
      <c r="BW373" s="71">
        <f t="shared" si="163"/>
        <v>0</v>
      </c>
      <c r="BZ373" s="71"/>
      <c r="CA373" s="71"/>
      <c r="CB373" s="71">
        <f t="shared" si="164"/>
        <v>0</v>
      </c>
      <c r="CD373" s="71"/>
      <c r="CE373" s="71"/>
      <c r="CF373" s="71">
        <f t="shared" si="165"/>
        <v>0</v>
      </c>
      <c r="CH373" s="71"/>
      <c r="CI373" s="71"/>
      <c r="CJ373" s="138">
        <f t="shared" si="166"/>
        <v>0</v>
      </c>
      <c r="CL373" s="71"/>
      <c r="CM373" s="71"/>
      <c r="CN373" s="71">
        <f t="shared" si="167"/>
        <v>0</v>
      </c>
      <c r="CS373" s="102">
        <f t="shared" si="145"/>
        <v>4.5293954747099576</v>
      </c>
      <c r="CT373" s="102">
        <f t="shared" si="146"/>
        <v>18.675175962423801</v>
      </c>
      <c r="CZ373" s="109" t="str">
        <f t="shared" si="147"/>
        <v>Basso</v>
      </c>
    </row>
    <row r="374" spans="9:104" x14ac:dyDescent="0.15">
      <c r="I374" s="64">
        <f t="shared" si="149"/>
        <v>76.99972307006928</v>
      </c>
      <c r="M374" s="64">
        <f t="shared" si="150"/>
        <v>0</v>
      </c>
      <c r="Q374" s="64">
        <f t="shared" si="151"/>
        <v>0</v>
      </c>
      <c r="U374" s="64">
        <f t="shared" si="152"/>
        <v>0</v>
      </c>
      <c r="Y374" s="114">
        <f t="shared" si="153"/>
        <v>0</v>
      </c>
      <c r="AC374" s="64">
        <f t="shared" si="154"/>
        <v>0</v>
      </c>
      <c r="AE374" s="71"/>
      <c r="AF374" s="71"/>
      <c r="AG374" s="71">
        <f t="shared" si="155"/>
        <v>0</v>
      </c>
      <c r="AK374" s="64">
        <f t="shared" si="156"/>
        <v>0</v>
      </c>
      <c r="AM374" s="71"/>
      <c r="AN374" s="71"/>
      <c r="AO374" s="71">
        <f t="shared" si="148"/>
        <v>0</v>
      </c>
      <c r="AQ374" s="71"/>
      <c r="AR374" s="71"/>
      <c r="AS374" s="71">
        <f t="shared" si="157"/>
        <v>0</v>
      </c>
      <c r="AU374" s="71"/>
      <c r="AV374" s="71"/>
      <c r="AW374" s="71">
        <f t="shared" si="158"/>
        <v>0</v>
      </c>
      <c r="AY374" s="71"/>
      <c r="AZ374" s="71"/>
      <c r="BA374" s="71">
        <f t="shared" si="159"/>
        <v>0</v>
      </c>
      <c r="BI374" s="71"/>
      <c r="BJ374" s="71"/>
      <c r="BK374" s="71">
        <f t="shared" si="160"/>
        <v>0</v>
      </c>
      <c r="BM374" s="71"/>
      <c r="BN374" s="71"/>
      <c r="BO374" s="71">
        <f t="shared" si="161"/>
        <v>0</v>
      </c>
      <c r="BQ374" s="71"/>
      <c r="BR374" s="71"/>
      <c r="BS374" s="138">
        <f t="shared" si="162"/>
        <v>0</v>
      </c>
      <c r="BU374" s="71"/>
      <c r="BV374" s="71"/>
      <c r="BW374" s="71">
        <f t="shared" si="163"/>
        <v>0</v>
      </c>
      <c r="BZ374" s="71"/>
      <c r="CA374" s="71"/>
      <c r="CB374" s="71">
        <f t="shared" si="164"/>
        <v>0</v>
      </c>
      <c r="CD374" s="71"/>
      <c r="CE374" s="71"/>
      <c r="CF374" s="71">
        <f t="shared" si="165"/>
        <v>0</v>
      </c>
      <c r="CH374" s="71"/>
      <c r="CI374" s="71"/>
      <c r="CJ374" s="138">
        <f t="shared" si="166"/>
        <v>0</v>
      </c>
      <c r="CL374" s="71"/>
      <c r="CM374" s="71"/>
      <c r="CN374" s="71">
        <f t="shared" si="167"/>
        <v>0</v>
      </c>
      <c r="CS374" s="102">
        <f t="shared" si="145"/>
        <v>4.5293954747099576</v>
      </c>
      <c r="CT374" s="102">
        <f t="shared" si="146"/>
        <v>18.675175962423801</v>
      </c>
      <c r="CZ374" s="109" t="str">
        <f t="shared" si="147"/>
        <v>Basso</v>
      </c>
    </row>
    <row r="375" spans="9:104" x14ac:dyDescent="0.15">
      <c r="I375" s="64">
        <f t="shared" si="149"/>
        <v>76.99972307006928</v>
      </c>
      <c r="M375" s="64">
        <f t="shared" si="150"/>
        <v>0</v>
      </c>
      <c r="Q375" s="64">
        <f t="shared" si="151"/>
        <v>0</v>
      </c>
      <c r="U375" s="64">
        <f t="shared" si="152"/>
        <v>0</v>
      </c>
      <c r="Y375" s="114">
        <f t="shared" si="153"/>
        <v>0</v>
      </c>
      <c r="AC375" s="64">
        <f t="shared" si="154"/>
        <v>0</v>
      </c>
      <c r="AE375" s="71"/>
      <c r="AF375" s="71"/>
      <c r="AG375" s="71">
        <f t="shared" si="155"/>
        <v>0</v>
      </c>
      <c r="AK375" s="64">
        <f t="shared" si="156"/>
        <v>0</v>
      </c>
      <c r="AM375" s="71"/>
      <c r="AN375" s="71"/>
      <c r="AO375" s="71">
        <f t="shared" si="148"/>
        <v>0</v>
      </c>
      <c r="AQ375" s="71"/>
      <c r="AR375" s="71"/>
      <c r="AS375" s="71">
        <f t="shared" si="157"/>
        <v>0</v>
      </c>
      <c r="AU375" s="71"/>
      <c r="AV375" s="71"/>
      <c r="AW375" s="71">
        <f t="shared" si="158"/>
        <v>0</v>
      </c>
      <c r="AY375" s="71"/>
      <c r="AZ375" s="71"/>
      <c r="BA375" s="71">
        <f t="shared" si="159"/>
        <v>0</v>
      </c>
      <c r="BI375" s="71"/>
      <c r="BJ375" s="71"/>
      <c r="BK375" s="71">
        <f t="shared" si="160"/>
        <v>0</v>
      </c>
      <c r="BM375" s="71"/>
      <c r="BN375" s="71"/>
      <c r="BO375" s="71">
        <f t="shared" si="161"/>
        <v>0</v>
      </c>
      <c r="BQ375" s="71"/>
      <c r="BR375" s="71"/>
      <c r="BS375" s="138">
        <f t="shared" si="162"/>
        <v>0</v>
      </c>
      <c r="BU375" s="71"/>
      <c r="BV375" s="71"/>
      <c r="BW375" s="71">
        <f t="shared" si="163"/>
        <v>0</v>
      </c>
      <c r="BZ375" s="71"/>
      <c r="CA375" s="71"/>
      <c r="CB375" s="71">
        <f t="shared" si="164"/>
        <v>0</v>
      </c>
      <c r="CD375" s="71"/>
      <c r="CE375" s="71"/>
      <c r="CF375" s="71">
        <f t="shared" si="165"/>
        <v>0</v>
      </c>
      <c r="CH375" s="71"/>
      <c r="CI375" s="71"/>
      <c r="CJ375" s="138">
        <f t="shared" si="166"/>
        <v>0</v>
      </c>
      <c r="CL375" s="71"/>
      <c r="CM375" s="71"/>
      <c r="CN375" s="71">
        <f t="shared" si="167"/>
        <v>0</v>
      </c>
      <c r="CS375" s="102">
        <f t="shared" si="145"/>
        <v>4.5293954747099576</v>
      </c>
      <c r="CT375" s="102">
        <f t="shared" si="146"/>
        <v>18.675175962423801</v>
      </c>
      <c r="CZ375" s="109" t="str">
        <f t="shared" si="147"/>
        <v>Basso</v>
      </c>
    </row>
    <row r="376" spans="9:104" x14ac:dyDescent="0.15">
      <c r="I376" s="64">
        <f t="shared" si="149"/>
        <v>76.99972307006928</v>
      </c>
      <c r="M376" s="64">
        <f t="shared" si="150"/>
        <v>0</v>
      </c>
      <c r="Q376" s="64">
        <f t="shared" si="151"/>
        <v>0</v>
      </c>
      <c r="U376" s="64">
        <f t="shared" si="152"/>
        <v>0</v>
      </c>
      <c r="Y376" s="114">
        <f t="shared" si="153"/>
        <v>0</v>
      </c>
      <c r="AC376" s="64">
        <f t="shared" si="154"/>
        <v>0</v>
      </c>
      <c r="AE376" s="71"/>
      <c r="AF376" s="71"/>
      <c r="AG376" s="71">
        <f t="shared" si="155"/>
        <v>0</v>
      </c>
      <c r="AK376" s="64">
        <f t="shared" si="156"/>
        <v>0</v>
      </c>
      <c r="AM376" s="71"/>
      <c r="AN376" s="71"/>
      <c r="AO376" s="71">
        <f t="shared" si="148"/>
        <v>0</v>
      </c>
      <c r="AQ376" s="71"/>
      <c r="AR376" s="71"/>
      <c r="AS376" s="71">
        <f t="shared" si="157"/>
        <v>0</v>
      </c>
      <c r="AU376" s="71"/>
      <c r="AV376" s="71"/>
      <c r="AW376" s="71">
        <f t="shared" si="158"/>
        <v>0</v>
      </c>
      <c r="AY376" s="71"/>
      <c r="AZ376" s="71"/>
      <c r="BA376" s="71">
        <f t="shared" si="159"/>
        <v>0</v>
      </c>
      <c r="BI376" s="71"/>
      <c r="BJ376" s="71"/>
      <c r="BK376" s="71">
        <f t="shared" si="160"/>
        <v>0</v>
      </c>
      <c r="BM376" s="71"/>
      <c r="BN376" s="71"/>
      <c r="BO376" s="71">
        <f t="shared" si="161"/>
        <v>0</v>
      </c>
      <c r="BQ376" s="71"/>
      <c r="BR376" s="71"/>
      <c r="BS376" s="138">
        <f t="shared" si="162"/>
        <v>0</v>
      </c>
      <c r="BU376" s="71"/>
      <c r="BV376" s="71"/>
      <c r="BW376" s="71">
        <f t="shared" si="163"/>
        <v>0</v>
      </c>
      <c r="BZ376" s="71"/>
      <c r="CA376" s="71"/>
      <c r="CB376" s="71">
        <f t="shared" si="164"/>
        <v>0</v>
      </c>
      <c r="CD376" s="71"/>
      <c r="CE376" s="71"/>
      <c r="CF376" s="71">
        <f t="shared" si="165"/>
        <v>0</v>
      </c>
      <c r="CH376" s="71"/>
      <c r="CI376" s="71"/>
      <c r="CJ376" s="138">
        <f t="shared" si="166"/>
        <v>0</v>
      </c>
      <c r="CL376" s="71"/>
      <c r="CM376" s="71"/>
      <c r="CN376" s="71">
        <f t="shared" si="167"/>
        <v>0</v>
      </c>
      <c r="CS376" s="102">
        <f t="shared" si="145"/>
        <v>4.5293954747099576</v>
      </c>
      <c r="CT376" s="102">
        <f t="shared" si="146"/>
        <v>18.675175962423801</v>
      </c>
      <c r="CZ376" s="109" t="str">
        <f t="shared" si="147"/>
        <v>Basso</v>
      </c>
    </row>
    <row r="377" spans="9:104" x14ac:dyDescent="0.15">
      <c r="I377" s="64">
        <f t="shared" si="149"/>
        <v>76.99972307006928</v>
      </c>
      <c r="M377" s="64">
        <f t="shared" si="150"/>
        <v>0</v>
      </c>
      <c r="Q377" s="64">
        <f t="shared" si="151"/>
        <v>0</v>
      </c>
      <c r="U377" s="64">
        <f t="shared" si="152"/>
        <v>0</v>
      </c>
      <c r="Y377" s="114">
        <f t="shared" si="153"/>
        <v>0</v>
      </c>
      <c r="AC377" s="64">
        <f t="shared" si="154"/>
        <v>0</v>
      </c>
      <c r="AE377" s="71"/>
      <c r="AF377" s="71"/>
      <c r="AG377" s="71">
        <f t="shared" si="155"/>
        <v>0</v>
      </c>
      <c r="AK377" s="64">
        <f t="shared" si="156"/>
        <v>0</v>
      </c>
      <c r="AM377" s="71"/>
      <c r="AN377" s="71"/>
      <c r="AO377" s="71">
        <f t="shared" si="148"/>
        <v>0</v>
      </c>
      <c r="AQ377" s="71"/>
      <c r="AR377" s="71"/>
      <c r="AS377" s="71">
        <f t="shared" si="157"/>
        <v>0</v>
      </c>
      <c r="AU377" s="71"/>
      <c r="AV377" s="71"/>
      <c r="AW377" s="71">
        <f t="shared" si="158"/>
        <v>0</v>
      </c>
      <c r="AY377" s="71"/>
      <c r="AZ377" s="71"/>
      <c r="BA377" s="71">
        <f t="shared" si="159"/>
        <v>0</v>
      </c>
      <c r="BI377" s="71"/>
      <c r="BJ377" s="71"/>
      <c r="BK377" s="71">
        <f t="shared" si="160"/>
        <v>0</v>
      </c>
      <c r="BM377" s="71"/>
      <c r="BN377" s="71"/>
      <c r="BO377" s="71">
        <f t="shared" si="161"/>
        <v>0</v>
      </c>
      <c r="BQ377" s="71"/>
      <c r="BR377" s="71"/>
      <c r="BS377" s="138">
        <f t="shared" si="162"/>
        <v>0</v>
      </c>
      <c r="BU377" s="71"/>
      <c r="BV377" s="71"/>
      <c r="BW377" s="71">
        <f t="shared" si="163"/>
        <v>0</v>
      </c>
      <c r="BZ377" s="71"/>
      <c r="CA377" s="71"/>
      <c r="CB377" s="71">
        <f t="shared" si="164"/>
        <v>0</v>
      </c>
      <c r="CD377" s="71"/>
      <c r="CE377" s="71"/>
      <c r="CF377" s="71">
        <f t="shared" si="165"/>
        <v>0</v>
      </c>
      <c r="CH377" s="71"/>
      <c r="CI377" s="71"/>
      <c r="CJ377" s="138">
        <f t="shared" si="166"/>
        <v>0</v>
      </c>
      <c r="CL377" s="71"/>
      <c r="CM377" s="71"/>
      <c r="CN377" s="71">
        <f t="shared" si="167"/>
        <v>0</v>
      </c>
      <c r="CS377" s="102">
        <f t="shared" si="145"/>
        <v>4.5293954747099576</v>
      </c>
      <c r="CT377" s="102">
        <f t="shared" si="146"/>
        <v>18.675175962423801</v>
      </c>
      <c r="CZ377" s="109" t="str">
        <f t="shared" si="147"/>
        <v>Basso</v>
      </c>
    </row>
    <row r="378" spans="9:104" x14ac:dyDescent="0.15">
      <c r="I378" s="64">
        <f t="shared" si="149"/>
        <v>76.99972307006928</v>
      </c>
      <c r="M378" s="64">
        <f t="shared" si="150"/>
        <v>0</v>
      </c>
      <c r="Q378" s="64">
        <f t="shared" si="151"/>
        <v>0</v>
      </c>
      <c r="U378" s="64">
        <f t="shared" si="152"/>
        <v>0</v>
      </c>
      <c r="Y378" s="114">
        <f t="shared" si="153"/>
        <v>0</v>
      </c>
      <c r="AC378" s="64">
        <f t="shared" si="154"/>
        <v>0</v>
      </c>
      <c r="AE378" s="71"/>
      <c r="AF378" s="71"/>
      <c r="AG378" s="71">
        <f t="shared" si="155"/>
        <v>0</v>
      </c>
      <c r="AK378" s="64">
        <f t="shared" si="156"/>
        <v>0</v>
      </c>
      <c r="AM378" s="71"/>
      <c r="AN378" s="71"/>
      <c r="AO378" s="71">
        <f t="shared" si="148"/>
        <v>0</v>
      </c>
      <c r="AQ378" s="71"/>
      <c r="AR378" s="71"/>
      <c r="AS378" s="71">
        <f t="shared" si="157"/>
        <v>0</v>
      </c>
      <c r="AU378" s="71"/>
      <c r="AV378" s="71"/>
      <c r="AW378" s="71">
        <f t="shared" si="158"/>
        <v>0</v>
      </c>
      <c r="AY378" s="71"/>
      <c r="AZ378" s="71"/>
      <c r="BA378" s="71">
        <f t="shared" si="159"/>
        <v>0</v>
      </c>
      <c r="BI378" s="71"/>
      <c r="BJ378" s="71"/>
      <c r="BK378" s="71">
        <f t="shared" si="160"/>
        <v>0</v>
      </c>
      <c r="BM378" s="71"/>
      <c r="BN378" s="71"/>
      <c r="BO378" s="71">
        <f t="shared" si="161"/>
        <v>0</v>
      </c>
      <c r="BQ378" s="71"/>
      <c r="BR378" s="71"/>
      <c r="BS378" s="138">
        <f t="shared" si="162"/>
        <v>0</v>
      </c>
      <c r="BU378" s="71"/>
      <c r="BV378" s="71"/>
      <c r="BW378" s="71">
        <f t="shared" si="163"/>
        <v>0</v>
      </c>
      <c r="BZ378" s="71"/>
      <c r="CA378" s="71"/>
      <c r="CB378" s="71">
        <f t="shared" si="164"/>
        <v>0</v>
      </c>
      <c r="CD378" s="71"/>
      <c r="CE378" s="71"/>
      <c r="CF378" s="71">
        <f t="shared" si="165"/>
        <v>0</v>
      </c>
      <c r="CH378" s="71"/>
      <c r="CI378" s="71"/>
      <c r="CJ378" s="138">
        <f t="shared" si="166"/>
        <v>0</v>
      </c>
      <c r="CL378" s="71"/>
      <c r="CM378" s="71"/>
      <c r="CN378" s="71">
        <f t="shared" si="167"/>
        <v>0</v>
      </c>
      <c r="CS378" s="102">
        <f t="shared" si="145"/>
        <v>4.5293954747099576</v>
      </c>
      <c r="CT378" s="102">
        <f t="shared" si="146"/>
        <v>18.675175962423801</v>
      </c>
      <c r="CZ378" s="109" t="str">
        <f t="shared" si="147"/>
        <v>Basso</v>
      </c>
    </row>
    <row r="379" spans="9:104" x14ac:dyDescent="0.15">
      <c r="I379" s="64">
        <f t="shared" si="149"/>
        <v>76.99972307006928</v>
      </c>
      <c r="M379" s="64">
        <f t="shared" si="150"/>
        <v>0</v>
      </c>
      <c r="Q379" s="64">
        <f t="shared" si="151"/>
        <v>0</v>
      </c>
      <c r="U379" s="64">
        <f t="shared" si="152"/>
        <v>0</v>
      </c>
      <c r="Y379" s="114">
        <f t="shared" si="153"/>
        <v>0</v>
      </c>
      <c r="AC379" s="64">
        <f t="shared" si="154"/>
        <v>0</v>
      </c>
      <c r="AE379" s="71"/>
      <c r="AF379" s="71"/>
      <c r="AG379" s="71">
        <f t="shared" si="155"/>
        <v>0</v>
      </c>
      <c r="AK379" s="64">
        <f t="shared" si="156"/>
        <v>0</v>
      </c>
      <c r="AM379" s="71"/>
      <c r="AN379" s="71"/>
      <c r="AO379" s="71">
        <f t="shared" si="148"/>
        <v>0</v>
      </c>
      <c r="AQ379" s="71"/>
      <c r="AR379" s="71"/>
      <c r="AS379" s="71">
        <f t="shared" si="157"/>
        <v>0</v>
      </c>
      <c r="AU379" s="71"/>
      <c r="AV379" s="71"/>
      <c r="AW379" s="71">
        <f t="shared" si="158"/>
        <v>0</v>
      </c>
      <c r="AY379" s="71"/>
      <c r="AZ379" s="71"/>
      <c r="BA379" s="71">
        <f t="shared" si="159"/>
        <v>0</v>
      </c>
      <c r="BI379" s="71"/>
      <c r="BJ379" s="71"/>
      <c r="BK379" s="71">
        <f t="shared" si="160"/>
        <v>0</v>
      </c>
      <c r="BM379" s="71"/>
      <c r="BN379" s="71"/>
      <c r="BO379" s="71">
        <f t="shared" si="161"/>
        <v>0</v>
      </c>
      <c r="BQ379" s="71"/>
      <c r="BR379" s="71"/>
      <c r="BS379" s="138">
        <f t="shared" si="162"/>
        <v>0</v>
      </c>
      <c r="BU379" s="71"/>
      <c r="BV379" s="71"/>
      <c r="BW379" s="71">
        <f t="shared" si="163"/>
        <v>0</v>
      </c>
      <c r="BZ379" s="71"/>
      <c r="CA379" s="71"/>
      <c r="CB379" s="71">
        <f t="shared" si="164"/>
        <v>0</v>
      </c>
      <c r="CD379" s="71"/>
      <c r="CE379" s="71"/>
      <c r="CF379" s="71">
        <f t="shared" si="165"/>
        <v>0</v>
      </c>
      <c r="CH379" s="71"/>
      <c r="CI379" s="71"/>
      <c r="CJ379" s="138">
        <f t="shared" si="166"/>
        <v>0</v>
      </c>
      <c r="CL379" s="71"/>
      <c r="CM379" s="71"/>
      <c r="CN379" s="71">
        <f t="shared" si="167"/>
        <v>0</v>
      </c>
      <c r="CS379" s="102">
        <f t="shared" si="145"/>
        <v>4.5293954747099576</v>
      </c>
      <c r="CT379" s="102">
        <f t="shared" si="146"/>
        <v>18.675175962423801</v>
      </c>
      <c r="CZ379" s="109" t="str">
        <f t="shared" si="147"/>
        <v>Basso</v>
      </c>
    </row>
    <row r="380" spans="9:104" x14ac:dyDescent="0.15">
      <c r="I380" s="64">
        <f t="shared" si="149"/>
        <v>76.99972307006928</v>
      </c>
      <c r="M380" s="64">
        <f t="shared" si="150"/>
        <v>0</v>
      </c>
      <c r="Q380" s="64">
        <f t="shared" si="151"/>
        <v>0</v>
      </c>
      <c r="U380" s="64">
        <f t="shared" si="152"/>
        <v>0</v>
      </c>
      <c r="Y380" s="114">
        <f t="shared" si="153"/>
        <v>0</v>
      </c>
      <c r="AC380" s="64">
        <f t="shared" si="154"/>
        <v>0</v>
      </c>
      <c r="AE380" s="71"/>
      <c r="AF380" s="71"/>
      <c r="AG380" s="71">
        <f t="shared" si="155"/>
        <v>0</v>
      </c>
      <c r="AK380" s="64">
        <f t="shared" si="156"/>
        <v>0</v>
      </c>
      <c r="AM380" s="71"/>
      <c r="AN380" s="71"/>
      <c r="AO380" s="71">
        <f t="shared" si="148"/>
        <v>0</v>
      </c>
      <c r="AQ380" s="71"/>
      <c r="AR380" s="71"/>
      <c r="AS380" s="71">
        <f t="shared" si="157"/>
        <v>0</v>
      </c>
      <c r="AU380" s="71"/>
      <c r="AV380" s="71"/>
      <c r="AW380" s="71">
        <f t="shared" si="158"/>
        <v>0</v>
      </c>
      <c r="AY380" s="71"/>
      <c r="AZ380" s="71"/>
      <c r="BA380" s="71">
        <f t="shared" si="159"/>
        <v>0</v>
      </c>
      <c r="BI380" s="71"/>
      <c r="BJ380" s="71"/>
      <c r="BK380" s="71">
        <f t="shared" si="160"/>
        <v>0</v>
      </c>
      <c r="BM380" s="71"/>
      <c r="BN380" s="71"/>
      <c r="BO380" s="71">
        <f t="shared" si="161"/>
        <v>0</v>
      </c>
      <c r="BQ380" s="71"/>
      <c r="BR380" s="71"/>
      <c r="BS380" s="138">
        <f t="shared" si="162"/>
        <v>0</v>
      </c>
      <c r="BU380" s="71"/>
      <c r="BV380" s="71"/>
      <c r="BW380" s="71">
        <f t="shared" si="163"/>
        <v>0</v>
      </c>
      <c r="BZ380" s="71"/>
      <c r="CA380" s="71"/>
      <c r="CB380" s="71">
        <f t="shared" si="164"/>
        <v>0</v>
      </c>
      <c r="CD380" s="71"/>
      <c r="CE380" s="71"/>
      <c r="CF380" s="71">
        <f t="shared" si="165"/>
        <v>0</v>
      </c>
      <c r="CH380" s="71"/>
      <c r="CI380" s="71"/>
      <c r="CJ380" s="138">
        <f t="shared" si="166"/>
        <v>0</v>
      </c>
      <c r="CL380" s="71"/>
      <c r="CM380" s="71"/>
      <c r="CN380" s="71">
        <f t="shared" si="167"/>
        <v>0</v>
      </c>
      <c r="CS380" s="102">
        <f t="shared" si="145"/>
        <v>4.5293954747099576</v>
      </c>
      <c r="CT380" s="102">
        <f t="shared" si="146"/>
        <v>18.675175962423801</v>
      </c>
      <c r="CZ380" s="109" t="str">
        <f t="shared" si="147"/>
        <v>Basso</v>
      </c>
    </row>
    <row r="381" spans="9:104" x14ac:dyDescent="0.15">
      <c r="I381" s="64">
        <f t="shared" si="149"/>
        <v>76.99972307006928</v>
      </c>
      <c r="M381" s="64">
        <f t="shared" si="150"/>
        <v>0</v>
      </c>
      <c r="Q381" s="64">
        <f t="shared" si="151"/>
        <v>0</v>
      </c>
      <c r="U381" s="64">
        <f t="shared" si="152"/>
        <v>0</v>
      </c>
      <c r="Y381" s="114">
        <f t="shared" si="153"/>
        <v>0</v>
      </c>
      <c r="AC381" s="64">
        <f t="shared" si="154"/>
        <v>0</v>
      </c>
      <c r="AE381" s="71"/>
      <c r="AF381" s="71"/>
      <c r="AG381" s="71">
        <f t="shared" si="155"/>
        <v>0</v>
      </c>
      <c r="AK381" s="64">
        <f t="shared" si="156"/>
        <v>0</v>
      </c>
      <c r="AM381" s="71"/>
      <c r="AN381" s="71"/>
      <c r="AO381" s="71">
        <f t="shared" si="148"/>
        <v>0</v>
      </c>
      <c r="AQ381" s="71"/>
      <c r="AR381" s="71"/>
      <c r="AS381" s="71">
        <f t="shared" si="157"/>
        <v>0</v>
      </c>
      <c r="AU381" s="71"/>
      <c r="AV381" s="71"/>
      <c r="AW381" s="71">
        <f t="shared" si="158"/>
        <v>0</v>
      </c>
      <c r="AY381" s="71"/>
      <c r="AZ381" s="71"/>
      <c r="BA381" s="71">
        <f t="shared" si="159"/>
        <v>0</v>
      </c>
      <c r="BI381" s="71"/>
      <c r="BJ381" s="71"/>
      <c r="BK381" s="71">
        <f t="shared" si="160"/>
        <v>0</v>
      </c>
      <c r="BM381" s="71"/>
      <c r="BN381" s="71"/>
      <c r="BO381" s="71">
        <f t="shared" si="161"/>
        <v>0</v>
      </c>
      <c r="BQ381" s="71"/>
      <c r="BR381" s="71"/>
      <c r="BS381" s="138">
        <f t="shared" si="162"/>
        <v>0</v>
      </c>
      <c r="BU381" s="71"/>
      <c r="BV381" s="71"/>
      <c r="BW381" s="71">
        <f t="shared" si="163"/>
        <v>0</v>
      </c>
      <c r="BZ381" s="71"/>
      <c r="CA381" s="71"/>
      <c r="CB381" s="71">
        <f t="shared" si="164"/>
        <v>0</v>
      </c>
      <c r="CD381" s="71"/>
      <c r="CE381" s="71"/>
      <c r="CF381" s="71">
        <f t="shared" si="165"/>
        <v>0</v>
      </c>
      <c r="CH381" s="71"/>
      <c r="CI381" s="71"/>
      <c r="CJ381" s="138">
        <f t="shared" si="166"/>
        <v>0</v>
      </c>
      <c r="CL381" s="71"/>
      <c r="CM381" s="71"/>
      <c r="CN381" s="71">
        <f t="shared" si="167"/>
        <v>0</v>
      </c>
      <c r="CS381" s="102">
        <f t="shared" si="145"/>
        <v>4.5293954747099576</v>
      </c>
      <c r="CT381" s="102">
        <f t="shared" si="146"/>
        <v>18.675175962423801</v>
      </c>
      <c r="CZ381" s="109" t="str">
        <f t="shared" si="147"/>
        <v>Basso</v>
      </c>
    </row>
    <row r="382" spans="9:104" x14ac:dyDescent="0.15">
      <c r="I382" s="64">
        <f t="shared" si="149"/>
        <v>76.99972307006928</v>
      </c>
      <c r="M382" s="64">
        <f t="shared" si="150"/>
        <v>0</v>
      </c>
      <c r="Q382" s="64">
        <f t="shared" si="151"/>
        <v>0</v>
      </c>
      <c r="U382" s="64">
        <f t="shared" si="152"/>
        <v>0</v>
      </c>
      <c r="Y382" s="114">
        <f t="shared" si="153"/>
        <v>0</v>
      </c>
      <c r="AC382" s="64">
        <f t="shared" si="154"/>
        <v>0</v>
      </c>
      <c r="AE382" s="71"/>
      <c r="AF382" s="71"/>
      <c r="AG382" s="71">
        <f t="shared" si="155"/>
        <v>0</v>
      </c>
      <c r="AK382" s="64">
        <f t="shared" si="156"/>
        <v>0</v>
      </c>
      <c r="AM382" s="71"/>
      <c r="AN382" s="71"/>
      <c r="AO382" s="71">
        <f t="shared" si="148"/>
        <v>0</v>
      </c>
      <c r="AQ382" s="71"/>
      <c r="AR382" s="71"/>
      <c r="AS382" s="71">
        <f t="shared" si="157"/>
        <v>0</v>
      </c>
      <c r="AU382" s="71"/>
      <c r="AV382" s="71"/>
      <c r="AW382" s="71">
        <f t="shared" si="158"/>
        <v>0</v>
      </c>
      <c r="AY382" s="71"/>
      <c r="AZ382" s="71"/>
      <c r="BA382" s="71">
        <f t="shared" si="159"/>
        <v>0</v>
      </c>
      <c r="BI382" s="71"/>
      <c r="BJ382" s="71"/>
      <c r="BK382" s="71">
        <f t="shared" si="160"/>
        <v>0</v>
      </c>
      <c r="BM382" s="71"/>
      <c r="BN382" s="71"/>
      <c r="BO382" s="71">
        <f t="shared" si="161"/>
        <v>0</v>
      </c>
      <c r="BQ382" s="71"/>
      <c r="BR382" s="71"/>
      <c r="BS382" s="138">
        <f t="shared" si="162"/>
        <v>0</v>
      </c>
      <c r="BU382" s="71"/>
      <c r="BV382" s="71"/>
      <c r="BW382" s="71">
        <f t="shared" si="163"/>
        <v>0</v>
      </c>
      <c r="BZ382" s="71"/>
      <c r="CA382" s="71"/>
      <c r="CB382" s="71">
        <f t="shared" si="164"/>
        <v>0</v>
      </c>
      <c r="CD382" s="71"/>
      <c r="CE382" s="71"/>
      <c r="CF382" s="71">
        <f t="shared" si="165"/>
        <v>0</v>
      </c>
      <c r="CH382" s="71"/>
      <c r="CI382" s="71"/>
      <c r="CJ382" s="138">
        <f t="shared" si="166"/>
        <v>0</v>
      </c>
      <c r="CL382" s="71"/>
      <c r="CM382" s="71"/>
      <c r="CN382" s="71">
        <f t="shared" si="167"/>
        <v>0</v>
      </c>
      <c r="CS382" s="102">
        <f t="shared" si="145"/>
        <v>4.5293954747099576</v>
      </c>
      <c r="CT382" s="102">
        <f t="shared" si="146"/>
        <v>18.675175962423801</v>
      </c>
      <c r="CZ382" s="109" t="str">
        <f t="shared" si="147"/>
        <v>Basso</v>
      </c>
    </row>
    <row r="383" spans="9:104" x14ac:dyDescent="0.15">
      <c r="I383" s="64">
        <f t="shared" si="149"/>
        <v>76.99972307006928</v>
      </c>
      <c r="M383" s="64">
        <f t="shared" si="150"/>
        <v>0</v>
      </c>
      <c r="Q383" s="64">
        <f t="shared" si="151"/>
        <v>0</v>
      </c>
      <c r="U383" s="64">
        <f t="shared" si="152"/>
        <v>0</v>
      </c>
      <c r="Y383" s="114">
        <f t="shared" si="153"/>
        <v>0</v>
      </c>
      <c r="AC383" s="64">
        <f t="shared" si="154"/>
        <v>0</v>
      </c>
      <c r="AE383" s="71"/>
      <c r="AF383" s="71"/>
      <c r="AG383" s="71">
        <f t="shared" si="155"/>
        <v>0</v>
      </c>
      <c r="AK383" s="64">
        <f t="shared" si="156"/>
        <v>0</v>
      </c>
      <c r="AM383" s="71"/>
      <c r="AN383" s="71"/>
      <c r="AO383" s="71">
        <f t="shared" si="148"/>
        <v>0</v>
      </c>
      <c r="AQ383" s="71"/>
      <c r="AR383" s="71"/>
      <c r="AS383" s="71">
        <f t="shared" si="157"/>
        <v>0</v>
      </c>
      <c r="AU383" s="71"/>
      <c r="AV383" s="71"/>
      <c r="AW383" s="71">
        <f t="shared" si="158"/>
        <v>0</v>
      </c>
      <c r="AY383" s="71"/>
      <c r="AZ383" s="71"/>
      <c r="BA383" s="71">
        <f t="shared" si="159"/>
        <v>0</v>
      </c>
      <c r="BI383" s="71"/>
      <c r="BJ383" s="71"/>
      <c r="BK383" s="71">
        <f t="shared" si="160"/>
        <v>0</v>
      </c>
      <c r="BM383" s="71"/>
      <c r="BN383" s="71"/>
      <c r="BO383" s="71">
        <f t="shared" si="161"/>
        <v>0</v>
      </c>
      <c r="BQ383" s="71"/>
      <c r="BR383" s="71"/>
      <c r="BS383" s="138">
        <f t="shared" si="162"/>
        <v>0</v>
      </c>
      <c r="BU383" s="71"/>
      <c r="BV383" s="71"/>
      <c r="BW383" s="71">
        <f t="shared" si="163"/>
        <v>0</v>
      </c>
      <c r="BZ383" s="71"/>
      <c r="CA383" s="71"/>
      <c r="CB383" s="71">
        <f t="shared" si="164"/>
        <v>0</v>
      </c>
      <c r="CD383" s="71"/>
      <c r="CE383" s="71"/>
      <c r="CF383" s="71">
        <f t="shared" si="165"/>
        <v>0</v>
      </c>
      <c r="CH383" s="71"/>
      <c r="CI383" s="71"/>
      <c r="CJ383" s="138">
        <f t="shared" si="166"/>
        <v>0</v>
      </c>
      <c r="CL383" s="71"/>
      <c r="CM383" s="71"/>
      <c r="CN383" s="71">
        <f t="shared" si="167"/>
        <v>0</v>
      </c>
      <c r="CS383" s="102">
        <f t="shared" si="145"/>
        <v>4.5293954747099576</v>
      </c>
      <c r="CT383" s="102">
        <f t="shared" si="146"/>
        <v>18.675175962423801</v>
      </c>
      <c r="CZ383" s="109" t="str">
        <f t="shared" si="147"/>
        <v>Basso</v>
      </c>
    </row>
    <row r="384" spans="9:104" x14ac:dyDescent="0.15">
      <c r="I384" s="64">
        <f t="shared" si="149"/>
        <v>76.99972307006928</v>
      </c>
      <c r="M384" s="64">
        <f t="shared" si="150"/>
        <v>0</v>
      </c>
      <c r="Q384" s="64">
        <f t="shared" si="151"/>
        <v>0</v>
      </c>
      <c r="U384" s="64">
        <f t="shared" si="152"/>
        <v>0</v>
      </c>
      <c r="Y384" s="114">
        <f t="shared" si="153"/>
        <v>0</v>
      </c>
      <c r="AC384" s="64">
        <f t="shared" si="154"/>
        <v>0</v>
      </c>
      <c r="AE384" s="71"/>
      <c r="AF384" s="71"/>
      <c r="AG384" s="71">
        <f t="shared" si="155"/>
        <v>0</v>
      </c>
      <c r="AK384" s="64">
        <f t="shared" si="156"/>
        <v>0</v>
      </c>
      <c r="AM384" s="71"/>
      <c r="AN384" s="71"/>
      <c r="AO384" s="71">
        <f t="shared" si="148"/>
        <v>0</v>
      </c>
      <c r="AQ384" s="71"/>
      <c r="AR384" s="71"/>
      <c r="AS384" s="71">
        <f t="shared" si="157"/>
        <v>0</v>
      </c>
      <c r="AU384" s="71"/>
      <c r="AV384" s="71"/>
      <c r="AW384" s="71">
        <f t="shared" si="158"/>
        <v>0</v>
      </c>
      <c r="AY384" s="71"/>
      <c r="AZ384" s="71"/>
      <c r="BA384" s="71">
        <f t="shared" si="159"/>
        <v>0</v>
      </c>
      <c r="BI384" s="71"/>
      <c r="BJ384" s="71"/>
      <c r="BK384" s="71">
        <f t="shared" si="160"/>
        <v>0</v>
      </c>
      <c r="BM384" s="71"/>
      <c r="BN384" s="71"/>
      <c r="BO384" s="71">
        <f t="shared" si="161"/>
        <v>0</v>
      </c>
      <c r="BQ384" s="71"/>
      <c r="BR384" s="71"/>
      <c r="BS384" s="138">
        <f t="shared" si="162"/>
        <v>0</v>
      </c>
      <c r="BU384" s="71"/>
      <c r="BV384" s="71"/>
      <c r="BW384" s="71">
        <f t="shared" si="163"/>
        <v>0</v>
      </c>
      <c r="BZ384" s="71"/>
      <c r="CA384" s="71"/>
      <c r="CB384" s="71">
        <f t="shared" si="164"/>
        <v>0</v>
      </c>
      <c r="CD384" s="71"/>
      <c r="CE384" s="71"/>
      <c r="CF384" s="71">
        <f t="shared" si="165"/>
        <v>0</v>
      </c>
      <c r="CH384" s="71"/>
      <c r="CI384" s="71"/>
      <c r="CJ384" s="138">
        <f t="shared" si="166"/>
        <v>0</v>
      </c>
      <c r="CL384" s="71"/>
      <c r="CM384" s="71"/>
      <c r="CN384" s="71">
        <f t="shared" si="167"/>
        <v>0</v>
      </c>
      <c r="CS384" s="102">
        <f t="shared" si="145"/>
        <v>4.5293954747099576</v>
      </c>
      <c r="CT384" s="102">
        <f t="shared" si="146"/>
        <v>18.675175962423801</v>
      </c>
      <c r="CZ384" s="109" t="str">
        <f t="shared" si="147"/>
        <v>Basso</v>
      </c>
    </row>
    <row r="385" spans="9:104" x14ac:dyDescent="0.15">
      <c r="I385" s="64">
        <f t="shared" si="149"/>
        <v>76.99972307006928</v>
      </c>
      <c r="M385" s="64">
        <f t="shared" si="150"/>
        <v>0</v>
      </c>
      <c r="Q385" s="64">
        <f t="shared" si="151"/>
        <v>0</v>
      </c>
      <c r="U385" s="64">
        <f t="shared" si="152"/>
        <v>0</v>
      </c>
      <c r="Y385" s="114">
        <f t="shared" si="153"/>
        <v>0</v>
      </c>
      <c r="AC385" s="64">
        <f t="shared" si="154"/>
        <v>0</v>
      </c>
      <c r="AE385" s="71"/>
      <c r="AF385" s="71"/>
      <c r="AG385" s="71">
        <f t="shared" si="155"/>
        <v>0</v>
      </c>
      <c r="AK385" s="64">
        <f t="shared" si="156"/>
        <v>0</v>
      </c>
      <c r="AM385" s="71"/>
      <c r="AN385" s="71"/>
      <c r="AO385" s="71">
        <f t="shared" si="148"/>
        <v>0</v>
      </c>
      <c r="AQ385" s="71"/>
      <c r="AR385" s="71"/>
      <c r="AS385" s="71">
        <f t="shared" si="157"/>
        <v>0</v>
      </c>
      <c r="AU385" s="71"/>
      <c r="AV385" s="71"/>
      <c r="AW385" s="71">
        <f t="shared" si="158"/>
        <v>0</v>
      </c>
      <c r="AY385" s="71"/>
      <c r="AZ385" s="71"/>
      <c r="BA385" s="71">
        <f t="shared" si="159"/>
        <v>0</v>
      </c>
      <c r="BI385" s="71"/>
      <c r="BJ385" s="71"/>
      <c r="BK385" s="71">
        <f t="shared" si="160"/>
        <v>0</v>
      </c>
      <c r="BM385" s="71"/>
      <c r="BN385" s="71"/>
      <c r="BO385" s="71">
        <f t="shared" si="161"/>
        <v>0</v>
      </c>
      <c r="BQ385" s="71"/>
      <c r="BR385" s="71"/>
      <c r="BS385" s="138">
        <f t="shared" si="162"/>
        <v>0</v>
      </c>
      <c r="BU385" s="71"/>
      <c r="BV385" s="71"/>
      <c r="BW385" s="71">
        <f t="shared" si="163"/>
        <v>0</v>
      </c>
      <c r="BZ385" s="71"/>
      <c r="CA385" s="71"/>
      <c r="CB385" s="71">
        <f t="shared" si="164"/>
        <v>0</v>
      </c>
      <c r="CD385" s="71"/>
      <c r="CE385" s="71"/>
      <c r="CF385" s="71">
        <f t="shared" si="165"/>
        <v>0</v>
      </c>
      <c r="CH385" s="71"/>
      <c r="CI385" s="71"/>
      <c r="CJ385" s="138">
        <f t="shared" si="166"/>
        <v>0</v>
      </c>
      <c r="CL385" s="71"/>
      <c r="CM385" s="71"/>
      <c r="CN385" s="71">
        <f t="shared" si="167"/>
        <v>0</v>
      </c>
      <c r="CS385" s="102">
        <f t="shared" si="145"/>
        <v>4.5293954747099576</v>
      </c>
      <c r="CT385" s="102">
        <f t="shared" si="146"/>
        <v>18.675175962423801</v>
      </c>
      <c r="CZ385" s="109" t="str">
        <f t="shared" si="147"/>
        <v>Basso</v>
      </c>
    </row>
    <row r="386" spans="9:104" x14ac:dyDescent="0.15">
      <c r="I386" s="64">
        <f t="shared" si="149"/>
        <v>76.99972307006928</v>
      </c>
      <c r="M386" s="64">
        <f t="shared" si="150"/>
        <v>0</v>
      </c>
      <c r="Q386" s="64">
        <f t="shared" si="151"/>
        <v>0</v>
      </c>
      <c r="U386" s="64">
        <f t="shared" si="152"/>
        <v>0</v>
      </c>
      <c r="Y386" s="114">
        <f t="shared" si="153"/>
        <v>0</v>
      </c>
      <c r="AC386" s="64">
        <f t="shared" si="154"/>
        <v>0</v>
      </c>
      <c r="AE386" s="71"/>
      <c r="AF386" s="71"/>
      <c r="AG386" s="71">
        <f t="shared" si="155"/>
        <v>0</v>
      </c>
      <c r="AK386" s="64">
        <f t="shared" si="156"/>
        <v>0</v>
      </c>
      <c r="AM386" s="71"/>
      <c r="AN386" s="71"/>
      <c r="AO386" s="71">
        <f t="shared" si="148"/>
        <v>0</v>
      </c>
      <c r="AQ386" s="71"/>
      <c r="AR386" s="71"/>
      <c r="AS386" s="71">
        <f t="shared" si="157"/>
        <v>0</v>
      </c>
      <c r="AU386" s="71"/>
      <c r="AV386" s="71"/>
      <c r="AW386" s="71">
        <f t="shared" si="158"/>
        <v>0</v>
      </c>
      <c r="AY386" s="71"/>
      <c r="AZ386" s="71"/>
      <c r="BA386" s="71">
        <f t="shared" si="159"/>
        <v>0</v>
      </c>
      <c r="BI386" s="71"/>
      <c r="BJ386" s="71"/>
      <c r="BK386" s="71">
        <f t="shared" si="160"/>
        <v>0</v>
      </c>
      <c r="BM386" s="71"/>
      <c r="BN386" s="71"/>
      <c r="BO386" s="71">
        <f t="shared" si="161"/>
        <v>0</v>
      </c>
      <c r="BQ386" s="71"/>
      <c r="BR386" s="71"/>
      <c r="BS386" s="138">
        <f t="shared" si="162"/>
        <v>0</v>
      </c>
      <c r="BU386" s="71"/>
      <c r="BV386" s="71"/>
      <c r="BW386" s="71">
        <f t="shared" si="163"/>
        <v>0</v>
      </c>
      <c r="BZ386" s="71"/>
      <c r="CA386" s="71"/>
      <c r="CB386" s="71">
        <f t="shared" si="164"/>
        <v>0</v>
      </c>
      <c r="CD386" s="71"/>
      <c r="CE386" s="71"/>
      <c r="CF386" s="71">
        <f t="shared" si="165"/>
        <v>0</v>
      </c>
      <c r="CH386" s="71"/>
      <c r="CI386" s="71"/>
      <c r="CJ386" s="138">
        <f t="shared" si="166"/>
        <v>0</v>
      </c>
      <c r="CL386" s="71"/>
      <c r="CM386" s="71"/>
      <c r="CN386" s="71">
        <f t="shared" si="167"/>
        <v>0</v>
      </c>
      <c r="CS386" s="102">
        <f t="shared" si="145"/>
        <v>4.5293954747099576</v>
      </c>
      <c r="CT386" s="102">
        <f t="shared" si="146"/>
        <v>18.675175962423801</v>
      </c>
      <c r="CZ386" s="109" t="str">
        <f t="shared" si="147"/>
        <v>Basso</v>
      </c>
    </row>
    <row r="387" spans="9:104" x14ac:dyDescent="0.15">
      <c r="I387" s="64">
        <f t="shared" ref="I387:I450" si="168">100 + ((F387 - AVERAGE(F:F)) / STDEV(F:F)) * 10</f>
        <v>76.99972307006928</v>
      </c>
      <c r="M387" s="64">
        <f t="shared" ref="M387:M450" si="169">J387/2</f>
        <v>0</v>
      </c>
      <c r="Q387" s="64">
        <f t="shared" ref="Q387:Q450" si="170">N387/2</f>
        <v>0</v>
      </c>
      <c r="U387" s="64">
        <f t="shared" ref="U387:U450" si="171">R387/3</f>
        <v>0</v>
      </c>
      <c r="Y387" s="114">
        <f t="shared" ref="Y387:Y450" si="172">V387/5</f>
        <v>0</v>
      </c>
      <c r="AC387" s="64">
        <f t="shared" ref="AC387:AC450" si="173">Z387/3</f>
        <v>0</v>
      </c>
      <c r="AE387" s="71"/>
      <c r="AF387" s="71"/>
      <c r="AG387" s="71">
        <f t="shared" ref="AG387:AG450" si="174">AD387/3</f>
        <v>0</v>
      </c>
      <c r="AK387" s="64">
        <f t="shared" ref="AK387:AK450" si="175">AH387/3</f>
        <v>0</v>
      </c>
      <c r="AM387" s="71"/>
      <c r="AN387" s="71"/>
      <c r="AO387" s="71">
        <f t="shared" ref="AO387:AO450" si="176">AL387/4</f>
        <v>0</v>
      </c>
      <c r="AQ387" s="71"/>
      <c r="AR387" s="71"/>
      <c r="AS387" s="71">
        <f t="shared" ref="AS387:AS450" si="177">AP387/3</f>
        <v>0</v>
      </c>
      <c r="AU387" s="71"/>
      <c r="AV387" s="71"/>
      <c r="AW387" s="71">
        <f t="shared" ref="AW387:AW450" si="178">AT387/3</f>
        <v>0</v>
      </c>
      <c r="AY387" s="71"/>
      <c r="AZ387" s="71"/>
      <c r="BA387" s="71">
        <f t="shared" ref="BA387:BA450" si="179">AX387/2</f>
        <v>0</v>
      </c>
      <c r="BI387" s="71"/>
      <c r="BJ387" s="71"/>
      <c r="BK387" s="71">
        <f t="shared" ref="BK387:BK450" si="180">BH387/2</f>
        <v>0</v>
      </c>
      <c r="BM387" s="71"/>
      <c r="BN387" s="71"/>
      <c r="BO387" s="71">
        <f t="shared" ref="BO387:BO450" si="181">BL387/3</f>
        <v>0</v>
      </c>
      <c r="BQ387" s="71"/>
      <c r="BR387" s="71"/>
      <c r="BS387" s="138">
        <f t="shared" ref="BS387:BS450" si="182">BP387/3</f>
        <v>0</v>
      </c>
      <c r="BU387" s="71"/>
      <c r="BV387" s="71"/>
      <c r="BW387" s="71">
        <f t="shared" ref="BW387:BW450" si="183">BT387/3</f>
        <v>0</v>
      </c>
      <c r="BZ387" s="71"/>
      <c r="CA387" s="71"/>
      <c r="CB387" s="71">
        <f t="shared" ref="CB387:CB450" si="184">BY387/3</f>
        <v>0</v>
      </c>
      <c r="CD387" s="71"/>
      <c r="CE387" s="71"/>
      <c r="CF387" s="71">
        <f t="shared" ref="CF387:CF450" si="185">CC387/3</f>
        <v>0</v>
      </c>
      <c r="CH387" s="71"/>
      <c r="CI387" s="71"/>
      <c r="CJ387" s="138">
        <f t="shared" ref="CJ387:CJ450" si="186">CG387/2</f>
        <v>0</v>
      </c>
      <c r="CL387" s="71"/>
      <c r="CM387" s="71"/>
      <c r="CN387" s="71">
        <f t="shared" ref="CN387:CN450" si="187">CK387/3</f>
        <v>0</v>
      </c>
      <c r="CS387" s="102">
        <f t="shared" ref="CS387:CS450" si="188">AVERAGE(I387, M387, Q387, U387, AC387, AG387, AK387, AO387, AS387, AW387, BA387, BK387, BO387, BW387, CB387, CF387, CN387)</f>
        <v>4.5293954747099576</v>
      </c>
      <c r="CT387" s="102">
        <f t="shared" ref="CT387:CT450" si="189">STDEV(I387, M387, Q387, U387, AC387, AG387, AK387, AO387, AS387, AW387, BA387, BK387, BO387, BW387, CB387, CF387, CN387)</f>
        <v>18.675175962423801</v>
      </c>
      <c r="CZ387" s="109" t="str">
        <f t="shared" ref="CZ387:CZ450" si="190">IF(CV387&lt;95.9069994, "Basso", IF(CV387&lt;99.02062343, "Medio-Basso", IF(CV387&lt;103.58108, "Medio-Alto", "Alto")))</f>
        <v>Basso</v>
      </c>
    </row>
    <row r="388" spans="9:104" x14ac:dyDescent="0.15">
      <c r="I388" s="64">
        <f t="shared" si="168"/>
        <v>76.99972307006928</v>
      </c>
      <c r="M388" s="64">
        <f t="shared" si="169"/>
        <v>0</v>
      </c>
      <c r="Q388" s="64">
        <f t="shared" si="170"/>
        <v>0</v>
      </c>
      <c r="U388" s="64">
        <f t="shared" si="171"/>
        <v>0</v>
      </c>
      <c r="Y388" s="114">
        <f t="shared" si="172"/>
        <v>0</v>
      </c>
      <c r="AC388" s="64">
        <f t="shared" si="173"/>
        <v>0</v>
      </c>
      <c r="AE388" s="71"/>
      <c r="AF388" s="71"/>
      <c r="AG388" s="71">
        <f t="shared" si="174"/>
        <v>0</v>
      </c>
      <c r="AK388" s="64">
        <f t="shared" si="175"/>
        <v>0</v>
      </c>
      <c r="AM388" s="71"/>
      <c r="AN388" s="71"/>
      <c r="AO388" s="71">
        <f t="shared" si="176"/>
        <v>0</v>
      </c>
      <c r="AQ388" s="71"/>
      <c r="AR388" s="71"/>
      <c r="AS388" s="71">
        <f t="shared" si="177"/>
        <v>0</v>
      </c>
      <c r="AU388" s="71"/>
      <c r="AV388" s="71"/>
      <c r="AW388" s="71">
        <f t="shared" si="178"/>
        <v>0</v>
      </c>
      <c r="AY388" s="71"/>
      <c r="AZ388" s="71"/>
      <c r="BA388" s="71">
        <f t="shared" si="179"/>
        <v>0</v>
      </c>
      <c r="BI388" s="71"/>
      <c r="BJ388" s="71"/>
      <c r="BK388" s="71">
        <f t="shared" si="180"/>
        <v>0</v>
      </c>
      <c r="BM388" s="71"/>
      <c r="BN388" s="71"/>
      <c r="BO388" s="71">
        <f t="shared" si="181"/>
        <v>0</v>
      </c>
      <c r="BQ388" s="71"/>
      <c r="BR388" s="71"/>
      <c r="BS388" s="138">
        <f t="shared" si="182"/>
        <v>0</v>
      </c>
      <c r="BU388" s="71"/>
      <c r="BV388" s="71"/>
      <c r="BW388" s="71">
        <f t="shared" si="183"/>
        <v>0</v>
      </c>
      <c r="BZ388" s="71"/>
      <c r="CA388" s="71"/>
      <c r="CB388" s="71">
        <f t="shared" si="184"/>
        <v>0</v>
      </c>
      <c r="CD388" s="71"/>
      <c r="CE388" s="71"/>
      <c r="CF388" s="71">
        <f t="shared" si="185"/>
        <v>0</v>
      </c>
      <c r="CH388" s="71"/>
      <c r="CI388" s="71"/>
      <c r="CJ388" s="138">
        <f t="shared" si="186"/>
        <v>0</v>
      </c>
      <c r="CL388" s="71"/>
      <c r="CM388" s="71"/>
      <c r="CN388" s="71">
        <f t="shared" si="187"/>
        <v>0</v>
      </c>
      <c r="CS388" s="102">
        <f t="shared" si="188"/>
        <v>4.5293954747099576</v>
      </c>
      <c r="CT388" s="102">
        <f t="shared" si="189"/>
        <v>18.675175962423801</v>
      </c>
      <c r="CZ388" s="109" t="str">
        <f t="shared" si="190"/>
        <v>Basso</v>
      </c>
    </row>
    <row r="389" spans="9:104" x14ac:dyDescent="0.15">
      <c r="I389" s="64">
        <f t="shared" si="168"/>
        <v>76.99972307006928</v>
      </c>
      <c r="M389" s="64">
        <f t="shared" si="169"/>
        <v>0</v>
      </c>
      <c r="Q389" s="64">
        <f t="shared" si="170"/>
        <v>0</v>
      </c>
      <c r="U389" s="64">
        <f t="shared" si="171"/>
        <v>0</v>
      </c>
      <c r="Y389" s="114">
        <f t="shared" si="172"/>
        <v>0</v>
      </c>
      <c r="AC389" s="64">
        <f t="shared" si="173"/>
        <v>0</v>
      </c>
      <c r="AE389" s="71"/>
      <c r="AF389" s="71"/>
      <c r="AG389" s="71">
        <f t="shared" si="174"/>
        <v>0</v>
      </c>
      <c r="AK389" s="64">
        <f t="shared" si="175"/>
        <v>0</v>
      </c>
      <c r="AM389" s="71"/>
      <c r="AN389" s="71"/>
      <c r="AO389" s="71">
        <f t="shared" si="176"/>
        <v>0</v>
      </c>
      <c r="AQ389" s="71"/>
      <c r="AR389" s="71"/>
      <c r="AS389" s="71">
        <f t="shared" si="177"/>
        <v>0</v>
      </c>
      <c r="AU389" s="71"/>
      <c r="AV389" s="71"/>
      <c r="AW389" s="71">
        <f t="shared" si="178"/>
        <v>0</v>
      </c>
      <c r="AY389" s="71"/>
      <c r="AZ389" s="71"/>
      <c r="BA389" s="71">
        <f t="shared" si="179"/>
        <v>0</v>
      </c>
      <c r="BI389" s="71"/>
      <c r="BJ389" s="71"/>
      <c r="BK389" s="71">
        <f t="shared" si="180"/>
        <v>0</v>
      </c>
      <c r="BM389" s="71"/>
      <c r="BN389" s="71"/>
      <c r="BO389" s="71">
        <f t="shared" si="181"/>
        <v>0</v>
      </c>
      <c r="BQ389" s="71"/>
      <c r="BR389" s="71"/>
      <c r="BS389" s="138">
        <f t="shared" si="182"/>
        <v>0</v>
      </c>
      <c r="BU389" s="71"/>
      <c r="BV389" s="71"/>
      <c r="BW389" s="71">
        <f t="shared" si="183"/>
        <v>0</v>
      </c>
      <c r="BZ389" s="71"/>
      <c r="CA389" s="71"/>
      <c r="CB389" s="71">
        <f t="shared" si="184"/>
        <v>0</v>
      </c>
      <c r="CD389" s="71"/>
      <c r="CE389" s="71"/>
      <c r="CF389" s="71">
        <f t="shared" si="185"/>
        <v>0</v>
      </c>
      <c r="CH389" s="71"/>
      <c r="CI389" s="71"/>
      <c r="CJ389" s="138">
        <f t="shared" si="186"/>
        <v>0</v>
      </c>
      <c r="CL389" s="71"/>
      <c r="CM389" s="71"/>
      <c r="CN389" s="71">
        <f t="shared" si="187"/>
        <v>0</v>
      </c>
      <c r="CS389" s="102">
        <f t="shared" si="188"/>
        <v>4.5293954747099576</v>
      </c>
      <c r="CT389" s="102">
        <f t="shared" si="189"/>
        <v>18.675175962423801</v>
      </c>
      <c r="CZ389" s="109" t="str">
        <f t="shared" si="190"/>
        <v>Basso</v>
      </c>
    </row>
    <row r="390" spans="9:104" x14ac:dyDescent="0.15">
      <c r="I390" s="64">
        <f t="shared" si="168"/>
        <v>76.99972307006928</v>
      </c>
      <c r="M390" s="64">
        <f t="shared" si="169"/>
        <v>0</v>
      </c>
      <c r="Q390" s="64">
        <f t="shared" si="170"/>
        <v>0</v>
      </c>
      <c r="U390" s="64">
        <f t="shared" si="171"/>
        <v>0</v>
      </c>
      <c r="Y390" s="114">
        <f t="shared" si="172"/>
        <v>0</v>
      </c>
      <c r="AC390" s="64">
        <f t="shared" si="173"/>
        <v>0</v>
      </c>
      <c r="AE390" s="71"/>
      <c r="AF390" s="71"/>
      <c r="AG390" s="71">
        <f t="shared" si="174"/>
        <v>0</v>
      </c>
      <c r="AK390" s="64">
        <f t="shared" si="175"/>
        <v>0</v>
      </c>
      <c r="AM390" s="71"/>
      <c r="AN390" s="71"/>
      <c r="AO390" s="71">
        <f t="shared" si="176"/>
        <v>0</v>
      </c>
      <c r="AQ390" s="71"/>
      <c r="AR390" s="71"/>
      <c r="AS390" s="71">
        <f t="shared" si="177"/>
        <v>0</v>
      </c>
      <c r="AU390" s="71"/>
      <c r="AV390" s="71"/>
      <c r="AW390" s="71">
        <f t="shared" si="178"/>
        <v>0</v>
      </c>
      <c r="AY390" s="71"/>
      <c r="AZ390" s="71"/>
      <c r="BA390" s="71">
        <f t="shared" si="179"/>
        <v>0</v>
      </c>
      <c r="BI390" s="71"/>
      <c r="BJ390" s="71"/>
      <c r="BK390" s="71">
        <f t="shared" si="180"/>
        <v>0</v>
      </c>
      <c r="BM390" s="71"/>
      <c r="BN390" s="71"/>
      <c r="BO390" s="71">
        <f t="shared" si="181"/>
        <v>0</v>
      </c>
      <c r="BQ390" s="71"/>
      <c r="BR390" s="71"/>
      <c r="BS390" s="138">
        <f t="shared" si="182"/>
        <v>0</v>
      </c>
      <c r="BU390" s="71"/>
      <c r="BV390" s="71"/>
      <c r="BW390" s="71">
        <f t="shared" si="183"/>
        <v>0</v>
      </c>
      <c r="BZ390" s="71"/>
      <c r="CA390" s="71"/>
      <c r="CB390" s="71">
        <f t="shared" si="184"/>
        <v>0</v>
      </c>
      <c r="CD390" s="71"/>
      <c r="CE390" s="71"/>
      <c r="CF390" s="71">
        <f t="shared" si="185"/>
        <v>0</v>
      </c>
      <c r="CH390" s="71"/>
      <c r="CI390" s="71"/>
      <c r="CJ390" s="138">
        <f t="shared" si="186"/>
        <v>0</v>
      </c>
      <c r="CL390" s="71"/>
      <c r="CM390" s="71"/>
      <c r="CN390" s="71">
        <f t="shared" si="187"/>
        <v>0</v>
      </c>
      <c r="CS390" s="102">
        <f t="shared" si="188"/>
        <v>4.5293954747099576</v>
      </c>
      <c r="CT390" s="102">
        <f t="shared" si="189"/>
        <v>18.675175962423801</v>
      </c>
      <c r="CZ390" s="109" t="str">
        <f t="shared" si="190"/>
        <v>Basso</v>
      </c>
    </row>
    <row r="391" spans="9:104" x14ac:dyDescent="0.15">
      <c r="I391" s="64">
        <f t="shared" si="168"/>
        <v>76.99972307006928</v>
      </c>
      <c r="M391" s="64">
        <f t="shared" si="169"/>
        <v>0</v>
      </c>
      <c r="Q391" s="64">
        <f t="shared" si="170"/>
        <v>0</v>
      </c>
      <c r="U391" s="64">
        <f t="shared" si="171"/>
        <v>0</v>
      </c>
      <c r="Y391" s="114">
        <f t="shared" si="172"/>
        <v>0</v>
      </c>
      <c r="AC391" s="64">
        <f t="shared" si="173"/>
        <v>0</v>
      </c>
      <c r="AE391" s="71"/>
      <c r="AF391" s="71"/>
      <c r="AG391" s="71">
        <f t="shared" si="174"/>
        <v>0</v>
      </c>
      <c r="AK391" s="64">
        <f t="shared" si="175"/>
        <v>0</v>
      </c>
      <c r="AM391" s="71"/>
      <c r="AN391" s="71"/>
      <c r="AO391" s="71">
        <f t="shared" si="176"/>
        <v>0</v>
      </c>
      <c r="AQ391" s="71"/>
      <c r="AR391" s="71"/>
      <c r="AS391" s="71">
        <f t="shared" si="177"/>
        <v>0</v>
      </c>
      <c r="AU391" s="71"/>
      <c r="AV391" s="71"/>
      <c r="AW391" s="71">
        <f t="shared" si="178"/>
        <v>0</v>
      </c>
      <c r="AY391" s="71"/>
      <c r="AZ391" s="71"/>
      <c r="BA391" s="71">
        <f t="shared" si="179"/>
        <v>0</v>
      </c>
      <c r="BI391" s="71"/>
      <c r="BJ391" s="71"/>
      <c r="BK391" s="71">
        <f t="shared" si="180"/>
        <v>0</v>
      </c>
      <c r="BM391" s="71"/>
      <c r="BN391" s="71"/>
      <c r="BO391" s="71">
        <f t="shared" si="181"/>
        <v>0</v>
      </c>
      <c r="BQ391" s="71"/>
      <c r="BR391" s="71"/>
      <c r="BS391" s="138">
        <f t="shared" si="182"/>
        <v>0</v>
      </c>
      <c r="BU391" s="71"/>
      <c r="BV391" s="71"/>
      <c r="BW391" s="71">
        <f t="shared" si="183"/>
        <v>0</v>
      </c>
      <c r="BZ391" s="71"/>
      <c r="CA391" s="71"/>
      <c r="CB391" s="71">
        <f t="shared" si="184"/>
        <v>0</v>
      </c>
      <c r="CD391" s="71"/>
      <c r="CE391" s="71"/>
      <c r="CF391" s="71">
        <f t="shared" si="185"/>
        <v>0</v>
      </c>
      <c r="CH391" s="71"/>
      <c r="CI391" s="71"/>
      <c r="CJ391" s="138">
        <f t="shared" si="186"/>
        <v>0</v>
      </c>
      <c r="CL391" s="71"/>
      <c r="CM391" s="71"/>
      <c r="CN391" s="71">
        <f t="shared" si="187"/>
        <v>0</v>
      </c>
      <c r="CS391" s="102">
        <f t="shared" si="188"/>
        <v>4.5293954747099576</v>
      </c>
      <c r="CT391" s="102">
        <f t="shared" si="189"/>
        <v>18.675175962423801</v>
      </c>
      <c r="CZ391" s="109" t="str">
        <f t="shared" si="190"/>
        <v>Basso</v>
      </c>
    </row>
    <row r="392" spans="9:104" x14ac:dyDescent="0.15">
      <c r="I392" s="64">
        <f t="shared" si="168"/>
        <v>76.99972307006928</v>
      </c>
      <c r="M392" s="64">
        <f t="shared" si="169"/>
        <v>0</v>
      </c>
      <c r="Q392" s="64">
        <f t="shared" si="170"/>
        <v>0</v>
      </c>
      <c r="U392" s="64">
        <f t="shared" si="171"/>
        <v>0</v>
      </c>
      <c r="Y392" s="114">
        <f t="shared" si="172"/>
        <v>0</v>
      </c>
      <c r="AC392" s="64">
        <f t="shared" si="173"/>
        <v>0</v>
      </c>
      <c r="AE392" s="71"/>
      <c r="AF392" s="71"/>
      <c r="AG392" s="71">
        <f t="shared" si="174"/>
        <v>0</v>
      </c>
      <c r="AK392" s="64">
        <f t="shared" si="175"/>
        <v>0</v>
      </c>
      <c r="AM392" s="71"/>
      <c r="AN392" s="71"/>
      <c r="AO392" s="71">
        <f t="shared" si="176"/>
        <v>0</v>
      </c>
      <c r="AQ392" s="71"/>
      <c r="AR392" s="71"/>
      <c r="AS392" s="71">
        <f t="shared" si="177"/>
        <v>0</v>
      </c>
      <c r="AU392" s="71"/>
      <c r="AV392" s="71"/>
      <c r="AW392" s="71">
        <f t="shared" si="178"/>
        <v>0</v>
      </c>
      <c r="AY392" s="71"/>
      <c r="AZ392" s="71"/>
      <c r="BA392" s="71">
        <f t="shared" si="179"/>
        <v>0</v>
      </c>
      <c r="BI392" s="71"/>
      <c r="BJ392" s="71"/>
      <c r="BK392" s="71">
        <f t="shared" si="180"/>
        <v>0</v>
      </c>
      <c r="BM392" s="71"/>
      <c r="BN392" s="71"/>
      <c r="BO392" s="71">
        <f t="shared" si="181"/>
        <v>0</v>
      </c>
      <c r="BQ392" s="71"/>
      <c r="BR392" s="71"/>
      <c r="BS392" s="138">
        <f t="shared" si="182"/>
        <v>0</v>
      </c>
      <c r="BU392" s="71"/>
      <c r="BV392" s="71"/>
      <c r="BW392" s="71">
        <f t="shared" si="183"/>
        <v>0</v>
      </c>
      <c r="BZ392" s="71"/>
      <c r="CA392" s="71"/>
      <c r="CB392" s="71">
        <f t="shared" si="184"/>
        <v>0</v>
      </c>
      <c r="CD392" s="71"/>
      <c r="CE392" s="71"/>
      <c r="CF392" s="71">
        <f t="shared" si="185"/>
        <v>0</v>
      </c>
      <c r="CH392" s="71"/>
      <c r="CI392" s="71"/>
      <c r="CJ392" s="138">
        <f t="shared" si="186"/>
        <v>0</v>
      </c>
      <c r="CL392" s="71"/>
      <c r="CM392" s="71"/>
      <c r="CN392" s="71">
        <f t="shared" si="187"/>
        <v>0</v>
      </c>
      <c r="CS392" s="102">
        <f t="shared" si="188"/>
        <v>4.5293954747099576</v>
      </c>
      <c r="CT392" s="102">
        <f t="shared" si="189"/>
        <v>18.675175962423801</v>
      </c>
      <c r="CZ392" s="109" t="str">
        <f t="shared" si="190"/>
        <v>Basso</v>
      </c>
    </row>
    <row r="393" spans="9:104" x14ac:dyDescent="0.15">
      <c r="I393" s="64">
        <f t="shared" si="168"/>
        <v>76.99972307006928</v>
      </c>
      <c r="M393" s="64">
        <f t="shared" si="169"/>
        <v>0</v>
      </c>
      <c r="Q393" s="64">
        <f t="shared" si="170"/>
        <v>0</v>
      </c>
      <c r="U393" s="64">
        <f t="shared" si="171"/>
        <v>0</v>
      </c>
      <c r="Y393" s="114">
        <f t="shared" si="172"/>
        <v>0</v>
      </c>
      <c r="AC393" s="64">
        <f t="shared" si="173"/>
        <v>0</v>
      </c>
      <c r="AE393" s="71"/>
      <c r="AF393" s="71"/>
      <c r="AG393" s="71">
        <f t="shared" si="174"/>
        <v>0</v>
      </c>
      <c r="AK393" s="64">
        <f t="shared" si="175"/>
        <v>0</v>
      </c>
      <c r="AM393" s="71"/>
      <c r="AN393" s="71"/>
      <c r="AO393" s="71">
        <f t="shared" si="176"/>
        <v>0</v>
      </c>
      <c r="AQ393" s="71"/>
      <c r="AR393" s="71"/>
      <c r="AS393" s="71">
        <f t="shared" si="177"/>
        <v>0</v>
      </c>
      <c r="AU393" s="71"/>
      <c r="AV393" s="71"/>
      <c r="AW393" s="71">
        <f t="shared" si="178"/>
        <v>0</v>
      </c>
      <c r="AY393" s="71"/>
      <c r="AZ393" s="71"/>
      <c r="BA393" s="71">
        <f t="shared" si="179"/>
        <v>0</v>
      </c>
      <c r="BI393" s="71"/>
      <c r="BJ393" s="71"/>
      <c r="BK393" s="71">
        <f t="shared" si="180"/>
        <v>0</v>
      </c>
      <c r="BM393" s="71"/>
      <c r="BN393" s="71"/>
      <c r="BO393" s="71">
        <f t="shared" si="181"/>
        <v>0</v>
      </c>
      <c r="BQ393" s="71"/>
      <c r="BR393" s="71"/>
      <c r="BS393" s="138">
        <f t="shared" si="182"/>
        <v>0</v>
      </c>
      <c r="BU393" s="71"/>
      <c r="BV393" s="71"/>
      <c r="BW393" s="71">
        <f t="shared" si="183"/>
        <v>0</v>
      </c>
      <c r="BZ393" s="71"/>
      <c r="CA393" s="71"/>
      <c r="CB393" s="71">
        <f t="shared" si="184"/>
        <v>0</v>
      </c>
      <c r="CD393" s="71"/>
      <c r="CE393" s="71"/>
      <c r="CF393" s="71">
        <f t="shared" si="185"/>
        <v>0</v>
      </c>
      <c r="CH393" s="71"/>
      <c r="CI393" s="71"/>
      <c r="CJ393" s="138">
        <f t="shared" si="186"/>
        <v>0</v>
      </c>
      <c r="CL393" s="71"/>
      <c r="CM393" s="71"/>
      <c r="CN393" s="71">
        <f t="shared" si="187"/>
        <v>0</v>
      </c>
      <c r="CS393" s="102">
        <f t="shared" si="188"/>
        <v>4.5293954747099576</v>
      </c>
      <c r="CT393" s="102">
        <f t="shared" si="189"/>
        <v>18.675175962423801</v>
      </c>
      <c r="CZ393" s="109" t="str">
        <f t="shared" si="190"/>
        <v>Basso</v>
      </c>
    </row>
    <row r="394" spans="9:104" x14ac:dyDescent="0.15">
      <c r="I394" s="64">
        <f t="shared" si="168"/>
        <v>76.99972307006928</v>
      </c>
      <c r="M394" s="64">
        <f t="shared" si="169"/>
        <v>0</v>
      </c>
      <c r="Q394" s="64">
        <f t="shared" si="170"/>
        <v>0</v>
      </c>
      <c r="U394" s="64">
        <f t="shared" si="171"/>
        <v>0</v>
      </c>
      <c r="Y394" s="114">
        <f t="shared" si="172"/>
        <v>0</v>
      </c>
      <c r="AC394" s="64">
        <f t="shared" si="173"/>
        <v>0</v>
      </c>
      <c r="AE394" s="71"/>
      <c r="AF394" s="71"/>
      <c r="AG394" s="71">
        <f t="shared" si="174"/>
        <v>0</v>
      </c>
      <c r="AK394" s="64">
        <f t="shared" si="175"/>
        <v>0</v>
      </c>
      <c r="AM394" s="71"/>
      <c r="AN394" s="71"/>
      <c r="AO394" s="71">
        <f t="shared" si="176"/>
        <v>0</v>
      </c>
      <c r="AQ394" s="71"/>
      <c r="AR394" s="71"/>
      <c r="AS394" s="71">
        <f t="shared" si="177"/>
        <v>0</v>
      </c>
      <c r="AU394" s="71"/>
      <c r="AV394" s="71"/>
      <c r="AW394" s="71">
        <f t="shared" si="178"/>
        <v>0</v>
      </c>
      <c r="AY394" s="71"/>
      <c r="AZ394" s="71"/>
      <c r="BA394" s="71">
        <f t="shared" si="179"/>
        <v>0</v>
      </c>
      <c r="BI394" s="71"/>
      <c r="BJ394" s="71"/>
      <c r="BK394" s="71">
        <f t="shared" si="180"/>
        <v>0</v>
      </c>
      <c r="BM394" s="71"/>
      <c r="BN394" s="71"/>
      <c r="BO394" s="71">
        <f t="shared" si="181"/>
        <v>0</v>
      </c>
      <c r="BQ394" s="71"/>
      <c r="BR394" s="71"/>
      <c r="BS394" s="138">
        <f t="shared" si="182"/>
        <v>0</v>
      </c>
      <c r="BU394" s="71"/>
      <c r="BV394" s="71"/>
      <c r="BW394" s="71">
        <f t="shared" si="183"/>
        <v>0</v>
      </c>
      <c r="BZ394" s="71"/>
      <c r="CA394" s="71"/>
      <c r="CB394" s="71">
        <f t="shared" si="184"/>
        <v>0</v>
      </c>
      <c r="CD394" s="71"/>
      <c r="CE394" s="71"/>
      <c r="CF394" s="71">
        <f t="shared" si="185"/>
        <v>0</v>
      </c>
      <c r="CH394" s="71"/>
      <c r="CI394" s="71"/>
      <c r="CJ394" s="138">
        <f t="shared" si="186"/>
        <v>0</v>
      </c>
      <c r="CL394" s="71"/>
      <c r="CM394" s="71"/>
      <c r="CN394" s="71">
        <f t="shared" si="187"/>
        <v>0</v>
      </c>
      <c r="CS394" s="102">
        <f t="shared" si="188"/>
        <v>4.5293954747099576</v>
      </c>
      <c r="CT394" s="102">
        <f t="shared" si="189"/>
        <v>18.675175962423801</v>
      </c>
      <c r="CZ394" s="109" t="str">
        <f t="shared" si="190"/>
        <v>Basso</v>
      </c>
    </row>
    <row r="395" spans="9:104" x14ac:dyDescent="0.15">
      <c r="I395" s="64">
        <f t="shared" si="168"/>
        <v>76.99972307006928</v>
      </c>
      <c r="M395" s="64">
        <f t="shared" si="169"/>
        <v>0</v>
      </c>
      <c r="Q395" s="64">
        <f t="shared" si="170"/>
        <v>0</v>
      </c>
      <c r="U395" s="64">
        <f t="shared" si="171"/>
        <v>0</v>
      </c>
      <c r="Y395" s="114">
        <f t="shared" si="172"/>
        <v>0</v>
      </c>
      <c r="AC395" s="64">
        <f t="shared" si="173"/>
        <v>0</v>
      </c>
      <c r="AE395" s="71"/>
      <c r="AF395" s="71"/>
      <c r="AG395" s="71">
        <f t="shared" si="174"/>
        <v>0</v>
      </c>
      <c r="AK395" s="64">
        <f t="shared" si="175"/>
        <v>0</v>
      </c>
      <c r="AM395" s="71"/>
      <c r="AN395" s="71"/>
      <c r="AO395" s="71">
        <f t="shared" si="176"/>
        <v>0</v>
      </c>
      <c r="AQ395" s="71"/>
      <c r="AR395" s="71"/>
      <c r="AS395" s="71">
        <f t="shared" si="177"/>
        <v>0</v>
      </c>
      <c r="AU395" s="71"/>
      <c r="AV395" s="71"/>
      <c r="AW395" s="71">
        <f t="shared" si="178"/>
        <v>0</v>
      </c>
      <c r="AY395" s="71"/>
      <c r="AZ395" s="71"/>
      <c r="BA395" s="71">
        <f t="shared" si="179"/>
        <v>0</v>
      </c>
      <c r="BI395" s="71"/>
      <c r="BJ395" s="71"/>
      <c r="BK395" s="71">
        <f t="shared" si="180"/>
        <v>0</v>
      </c>
      <c r="BM395" s="71"/>
      <c r="BN395" s="71"/>
      <c r="BO395" s="71">
        <f t="shared" si="181"/>
        <v>0</v>
      </c>
      <c r="BQ395" s="71"/>
      <c r="BR395" s="71"/>
      <c r="BS395" s="138">
        <f t="shared" si="182"/>
        <v>0</v>
      </c>
      <c r="BU395" s="71"/>
      <c r="BV395" s="71"/>
      <c r="BW395" s="71">
        <f t="shared" si="183"/>
        <v>0</v>
      </c>
      <c r="BZ395" s="71"/>
      <c r="CA395" s="71"/>
      <c r="CB395" s="71">
        <f t="shared" si="184"/>
        <v>0</v>
      </c>
      <c r="CD395" s="71"/>
      <c r="CE395" s="71"/>
      <c r="CF395" s="71">
        <f t="shared" si="185"/>
        <v>0</v>
      </c>
      <c r="CH395" s="71"/>
      <c r="CI395" s="71"/>
      <c r="CJ395" s="138">
        <f t="shared" si="186"/>
        <v>0</v>
      </c>
      <c r="CL395" s="71"/>
      <c r="CM395" s="71"/>
      <c r="CN395" s="71">
        <f t="shared" si="187"/>
        <v>0</v>
      </c>
      <c r="CS395" s="102">
        <f t="shared" si="188"/>
        <v>4.5293954747099576</v>
      </c>
      <c r="CT395" s="102">
        <f t="shared" si="189"/>
        <v>18.675175962423801</v>
      </c>
      <c r="CZ395" s="109" t="str">
        <f t="shared" si="190"/>
        <v>Basso</v>
      </c>
    </row>
    <row r="396" spans="9:104" x14ac:dyDescent="0.15">
      <c r="I396" s="64">
        <f t="shared" si="168"/>
        <v>76.99972307006928</v>
      </c>
      <c r="M396" s="64">
        <f t="shared" si="169"/>
        <v>0</v>
      </c>
      <c r="Q396" s="64">
        <f t="shared" si="170"/>
        <v>0</v>
      </c>
      <c r="U396" s="64">
        <f t="shared" si="171"/>
        <v>0</v>
      </c>
      <c r="Y396" s="114">
        <f t="shared" si="172"/>
        <v>0</v>
      </c>
      <c r="AC396" s="64">
        <f t="shared" si="173"/>
        <v>0</v>
      </c>
      <c r="AE396" s="71"/>
      <c r="AF396" s="71"/>
      <c r="AG396" s="71">
        <f t="shared" si="174"/>
        <v>0</v>
      </c>
      <c r="AK396" s="64">
        <f t="shared" si="175"/>
        <v>0</v>
      </c>
      <c r="AM396" s="71"/>
      <c r="AN396" s="71"/>
      <c r="AO396" s="71">
        <f t="shared" si="176"/>
        <v>0</v>
      </c>
      <c r="AQ396" s="71"/>
      <c r="AR396" s="71"/>
      <c r="AS396" s="71">
        <f t="shared" si="177"/>
        <v>0</v>
      </c>
      <c r="AU396" s="71"/>
      <c r="AV396" s="71"/>
      <c r="AW396" s="71">
        <f t="shared" si="178"/>
        <v>0</v>
      </c>
      <c r="AY396" s="71"/>
      <c r="AZ396" s="71"/>
      <c r="BA396" s="71">
        <f t="shared" si="179"/>
        <v>0</v>
      </c>
      <c r="BI396" s="71"/>
      <c r="BJ396" s="71"/>
      <c r="BK396" s="71">
        <f t="shared" si="180"/>
        <v>0</v>
      </c>
      <c r="BM396" s="71"/>
      <c r="BN396" s="71"/>
      <c r="BO396" s="71">
        <f t="shared" si="181"/>
        <v>0</v>
      </c>
      <c r="BQ396" s="71"/>
      <c r="BR396" s="71"/>
      <c r="BS396" s="138">
        <f t="shared" si="182"/>
        <v>0</v>
      </c>
      <c r="BU396" s="71"/>
      <c r="BV396" s="71"/>
      <c r="BW396" s="71">
        <f t="shared" si="183"/>
        <v>0</v>
      </c>
      <c r="BZ396" s="71"/>
      <c r="CA396" s="71"/>
      <c r="CB396" s="71">
        <f t="shared" si="184"/>
        <v>0</v>
      </c>
      <c r="CD396" s="71"/>
      <c r="CE396" s="71"/>
      <c r="CF396" s="71">
        <f t="shared" si="185"/>
        <v>0</v>
      </c>
      <c r="CH396" s="71"/>
      <c r="CI396" s="71"/>
      <c r="CJ396" s="138">
        <f t="shared" si="186"/>
        <v>0</v>
      </c>
      <c r="CL396" s="71"/>
      <c r="CM396" s="71"/>
      <c r="CN396" s="71">
        <f t="shared" si="187"/>
        <v>0</v>
      </c>
      <c r="CS396" s="102">
        <f t="shared" si="188"/>
        <v>4.5293954747099576</v>
      </c>
      <c r="CT396" s="102">
        <f t="shared" si="189"/>
        <v>18.675175962423801</v>
      </c>
      <c r="CZ396" s="109" t="str">
        <f t="shared" si="190"/>
        <v>Basso</v>
      </c>
    </row>
    <row r="397" spans="9:104" x14ac:dyDescent="0.15">
      <c r="I397" s="64">
        <f t="shared" si="168"/>
        <v>76.99972307006928</v>
      </c>
      <c r="M397" s="64">
        <f t="shared" si="169"/>
        <v>0</v>
      </c>
      <c r="Q397" s="64">
        <f t="shared" si="170"/>
        <v>0</v>
      </c>
      <c r="U397" s="64">
        <f t="shared" si="171"/>
        <v>0</v>
      </c>
      <c r="Y397" s="114">
        <f t="shared" si="172"/>
        <v>0</v>
      </c>
      <c r="AC397" s="64">
        <f t="shared" si="173"/>
        <v>0</v>
      </c>
      <c r="AE397" s="71"/>
      <c r="AF397" s="71"/>
      <c r="AG397" s="71">
        <f t="shared" si="174"/>
        <v>0</v>
      </c>
      <c r="AK397" s="64">
        <f t="shared" si="175"/>
        <v>0</v>
      </c>
      <c r="AM397" s="71"/>
      <c r="AN397" s="71"/>
      <c r="AO397" s="71">
        <f t="shared" si="176"/>
        <v>0</v>
      </c>
      <c r="AQ397" s="71"/>
      <c r="AR397" s="71"/>
      <c r="AS397" s="71">
        <f t="shared" si="177"/>
        <v>0</v>
      </c>
      <c r="AU397" s="71"/>
      <c r="AV397" s="71"/>
      <c r="AW397" s="71">
        <f t="shared" si="178"/>
        <v>0</v>
      </c>
      <c r="AY397" s="71"/>
      <c r="AZ397" s="71"/>
      <c r="BA397" s="71">
        <f t="shared" si="179"/>
        <v>0</v>
      </c>
      <c r="BI397" s="71"/>
      <c r="BJ397" s="71"/>
      <c r="BK397" s="71">
        <f t="shared" si="180"/>
        <v>0</v>
      </c>
      <c r="BM397" s="71"/>
      <c r="BN397" s="71"/>
      <c r="BO397" s="71">
        <f t="shared" si="181"/>
        <v>0</v>
      </c>
      <c r="BQ397" s="71"/>
      <c r="BR397" s="71"/>
      <c r="BS397" s="138">
        <f t="shared" si="182"/>
        <v>0</v>
      </c>
      <c r="BU397" s="71"/>
      <c r="BV397" s="71"/>
      <c r="BW397" s="71">
        <f t="shared" si="183"/>
        <v>0</v>
      </c>
      <c r="BZ397" s="71"/>
      <c r="CA397" s="71"/>
      <c r="CB397" s="71">
        <f t="shared" si="184"/>
        <v>0</v>
      </c>
      <c r="CD397" s="71"/>
      <c r="CE397" s="71"/>
      <c r="CF397" s="71">
        <f t="shared" si="185"/>
        <v>0</v>
      </c>
      <c r="CH397" s="71"/>
      <c r="CI397" s="71"/>
      <c r="CJ397" s="138">
        <f t="shared" si="186"/>
        <v>0</v>
      </c>
      <c r="CL397" s="71"/>
      <c r="CM397" s="71"/>
      <c r="CN397" s="71">
        <f t="shared" si="187"/>
        <v>0</v>
      </c>
      <c r="CS397" s="102">
        <f t="shared" si="188"/>
        <v>4.5293954747099576</v>
      </c>
      <c r="CT397" s="102">
        <f t="shared" si="189"/>
        <v>18.675175962423801</v>
      </c>
      <c r="CZ397" s="109" t="str">
        <f t="shared" si="190"/>
        <v>Basso</v>
      </c>
    </row>
    <row r="398" spans="9:104" x14ac:dyDescent="0.15">
      <c r="I398" s="64">
        <f t="shared" si="168"/>
        <v>76.99972307006928</v>
      </c>
      <c r="M398" s="64">
        <f t="shared" si="169"/>
        <v>0</v>
      </c>
      <c r="Q398" s="64">
        <f t="shared" si="170"/>
        <v>0</v>
      </c>
      <c r="U398" s="64">
        <f t="shared" si="171"/>
        <v>0</v>
      </c>
      <c r="Y398" s="114">
        <f t="shared" si="172"/>
        <v>0</v>
      </c>
      <c r="AC398" s="64">
        <f t="shared" si="173"/>
        <v>0</v>
      </c>
      <c r="AE398" s="71"/>
      <c r="AF398" s="71"/>
      <c r="AG398" s="71">
        <f t="shared" si="174"/>
        <v>0</v>
      </c>
      <c r="AK398" s="64">
        <f t="shared" si="175"/>
        <v>0</v>
      </c>
      <c r="AM398" s="71"/>
      <c r="AN398" s="71"/>
      <c r="AO398" s="71">
        <f t="shared" si="176"/>
        <v>0</v>
      </c>
      <c r="AQ398" s="71"/>
      <c r="AR398" s="71"/>
      <c r="AS398" s="71">
        <f t="shared" si="177"/>
        <v>0</v>
      </c>
      <c r="AU398" s="71"/>
      <c r="AV398" s="71"/>
      <c r="AW398" s="71">
        <f t="shared" si="178"/>
        <v>0</v>
      </c>
      <c r="AY398" s="71"/>
      <c r="AZ398" s="71"/>
      <c r="BA398" s="71">
        <f t="shared" si="179"/>
        <v>0</v>
      </c>
      <c r="BI398" s="71"/>
      <c r="BJ398" s="71"/>
      <c r="BK398" s="71">
        <f t="shared" si="180"/>
        <v>0</v>
      </c>
      <c r="BM398" s="71"/>
      <c r="BN398" s="71"/>
      <c r="BO398" s="71">
        <f t="shared" si="181"/>
        <v>0</v>
      </c>
      <c r="BQ398" s="71"/>
      <c r="BR398" s="71"/>
      <c r="BS398" s="138">
        <f t="shared" si="182"/>
        <v>0</v>
      </c>
      <c r="BU398" s="71"/>
      <c r="BV398" s="71"/>
      <c r="BW398" s="71">
        <f t="shared" si="183"/>
        <v>0</v>
      </c>
      <c r="BZ398" s="71"/>
      <c r="CA398" s="71"/>
      <c r="CB398" s="71">
        <f t="shared" si="184"/>
        <v>0</v>
      </c>
      <c r="CD398" s="71"/>
      <c r="CE398" s="71"/>
      <c r="CF398" s="71">
        <f t="shared" si="185"/>
        <v>0</v>
      </c>
      <c r="CH398" s="71"/>
      <c r="CI398" s="71"/>
      <c r="CJ398" s="138">
        <f t="shared" si="186"/>
        <v>0</v>
      </c>
      <c r="CL398" s="71"/>
      <c r="CM398" s="71"/>
      <c r="CN398" s="71">
        <f t="shared" si="187"/>
        <v>0</v>
      </c>
      <c r="CS398" s="102">
        <f t="shared" si="188"/>
        <v>4.5293954747099576</v>
      </c>
      <c r="CT398" s="102">
        <f t="shared" si="189"/>
        <v>18.675175962423801</v>
      </c>
      <c r="CZ398" s="109" t="str">
        <f t="shared" si="190"/>
        <v>Basso</v>
      </c>
    </row>
    <row r="399" spans="9:104" x14ac:dyDescent="0.15">
      <c r="I399" s="64">
        <f t="shared" si="168"/>
        <v>76.99972307006928</v>
      </c>
      <c r="M399" s="64">
        <f t="shared" si="169"/>
        <v>0</v>
      </c>
      <c r="Q399" s="64">
        <f t="shared" si="170"/>
        <v>0</v>
      </c>
      <c r="U399" s="64">
        <f t="shared" si="171"/>
        <v>0</v>
      </c>
      <c r="Y399" s="114">
        <f t="shared" si="172"/>
        <v>0</v>
      </c>
      <c r="AC399" s="64">
        <f t="shared" si="173"/>
        <v>0</v>
      </c>
      <c r="AE399" s="71"/>
      <c r="AF399" s="71"/>
      <c r="AG399" s="71">
        <f t="shared" si="174"/>
        <v>0</v>
      </c>
      <c r="AK399" s="64">
        <f t="shared" si="175"/>
        <v>0</v>
      </c>
      <c r="AM399" s="71"/>
      <c r="AN399" s="71"/>
      <c r="AO399" s="71">
        <f t="shared" si="176"/>
        <v>0</v>
      </c>
      <c r="AQ399" s="71"/>
      <c r="AR399" s="71"/>
      <c r="AS399" s="71">
        <f t="shared" si="177"/>
        <v>0</v>
      </c>
      <c r="AU399" s="71"/>
      <c r="AV399" s="71"/>
      <c r="AW399" s="71">
        <f t="shared" si="178"/>
        <v>0</v>
      </c>
      <c r="AY399" s="71"/>
      <c r="AZ399" s="71"/>
      <c r="BA399" s="71">
        <f t="shared" si="179"/>
        <v>0</v>
      </c>
      <c r="BI399" s="71"/>
      <c r="BJ399" s="71"/>
      <c r="BK399" s="71">
        <f t="shared" si="180"/>
        <v>0</v>
      </c>
      <c r="BM399" s="71"/>
      <c r="BN399" s="71"/>
      <c r="BO399" s="71">
        <f t="shared" si="181"/>
        <v>0</v>
      </c>
      <c r="BQ399" s="71"/>
      <c r="BR399" s="71"/>
      <c r="BS399" s="138">
        <f t="shared" si="182"/>
        <v>0</v>
      </c>
      <c r="BU399" s="71"/>
      <c r="BV399" s="71"/>
      <c r="BW399" s="71">
        <f t="shared" si="183"/>
        <v>0</v>
      </c>
      <c r="BZ399" s="71"/>
      <c r="CA399" s="71"/>
      <c r="CB399" s="71">
        <f t="shared" si="184"/>
        <v>0</v>
      </c>
      <c r="CD399" s="71"/>
      <c r="CE399" s="71"/>
      <c r="CF399" s="71">
        <f t="shared" si="185"/>
        <v>0</v>
      </c>
      <c r="CH399" s="71"/>
      <c r="CI399" s="71"/>
      <c r="CJ399" s="138">
        <f t="shared" si="186"/>
        <v>0</v>
      </c>
      <c r="CL399" s="71"/>
      <c r="CM399" s="71"/>
      <c r="CN399" s="71">
        <f t="shared" si="187"/>
        <v>0</v>
      </c>
      <c r="CS399" s="102">
        <f t="shared" si="188"/>
        <v>4.5293954747099576</v>
      </c>
      <c r="CT399" s="102">
        <f t="shared" si="189"/>
        <v>18.675175962423801</v>
      </c>
      <c r="CZ399" s="109" t="str">
        <f t="shared" si="190"/>
        <v>Basso</v>
      </c>
    </row>
    <row r="400" spans="9:104" x14ac:dyDescent="0.15">
      <c r="I400" s="64">
        <f t="shared" si="168"/>
        <v>76.99972307006928</v>
      </c>
      <c r="M400" s="64">
        <f t="shared" si="169"/>
        <v>0</v>
      </c>
      <c r="Q400" s="64">
        <f t="shared" si="170"/>
        <v>0</v>
      </c>
      <c r="U400" s="64">
        <f t="shared" si="171"/>
        <v>0</v>
      </c>
      <c r="Y400" s="114">
        <f t="shared" si="172"/>
        <v>0</v>
      </c>
      <c r="AC400" s="64">
        <f t="shared" si="173"/>
        <v>0</v>
      </c>
      <c r="AE400" s="71"/>
      <c r="AF400" s="71"/>
      <c r="AG400" s="71">
        <f t="shared" si="174"/>
        <v>0</v>
      </c>
      <c r="AK400" s="64">
        <f t="shared" si="175"/>
        <v>0</v>
      </c>
      <c r="AM400" s="71"/>
      <c r="AN400" s="71"/>
      <c r="AO400" s="71">
        <f t="shared" si="176"/>
        <v>0</v>
      </c>
      <c r="AQ400" s="71"/>
      <c r="AR400" s="71"/>
      <c r="AS400" s="71">
        <f t="shared" si="177"/>
        <v>0</v>
      </c>
      <c r="AU400" s="71"/>
      <c r="AV400" s="71"/>
      <c r="AW400" s="71">
        <f t="shared" si="178"/>
        <v>0</v>
      </c>
      <c r="AY400" s="71"/>
      <c r="AZ400" s="71"/>
      <c r="BA400" s="71">
        <f t="shared" si="179"/>
        <v>0</v>
      </c>
      <c r="BI400" s="71"/>
      <c r="BJ400" s="71"/>
      <c r="BK400" s="71">
        <f t="shared" si="180"/>
        <v>0</v>
      </c>
      <c r="BM400" s="71"/>
      <c r="BN400" s="71"/>
      <c r="BO400" s="71">
        <f t="shared" si="181"/>
        <v>0</v>
      </c>
      <c r="BQ400" s="71"/>
      <c r="BR400" s="71"/>
      <c r="BS400" s="138">
        <f t="shared" si="182"/>
        <v>0</v>
      </c>
      <c r="BU400" s="71"/>
      <c r="BV400" s="71"/>
      <c r="BW400" s="71">
        <f t="shared" si="183"/>
        <v>0</v>
      </c>
      <c r="BZ400" s="71"/>
      <c r="CA400" s="71"/>
      <c r="CB400" s="71">
        <f t="shared" si="184"/>
        <v>0</v>
      </c>
      <c r="CD400" s="71"/>
      <c r="CE400" s="71"/>
      <c r="CF400" s="71">
        <f t="shared" si="185"/>
        <v>0</v>
      </c>
      <c r="CH400" s="71"/>
      <c r="CI400" s="71"/>
      <c r="CJ400" s="138">
        <f t="shared" si="186"/>
        <v>0</v>
      </c>
      <c r="CL400" s="71"/>
      <c r="CM400" s="71"/>
      <c r="CN400" s="71">
        <f t="shared" si="187"/>
        <v>0</v>
      </c>
      <c r="CS400" s="102">
        <f t="shared" si="188"/>
        <v>4.5293954747099576</v>
      </c>
      <c r="CT400" s="102">
        <f t="shared" si="189"/>
        <v>18.675175962423801</v>
      </c>
      <c r="CZ400" s="109" t="str">
        <f t="shared" si="190"/>
        <v>Basso</v>
      </c>
    </row>
    <row r="401" spans="9:104" x14ac:dyDescent="0.15">
      <c r="I401" s="64">
        <f t="shared" si="168"/>
        <v>76.99972307006928</v>
      </c>
      <c r="M401" s="64">
        <f t="shared" si="169"/>
        <v>0</v>
      </c>
      <c r="Q401" s="64">
        <f t="shared" si="170"/>
        <v>0</v>
      </c>
      <c r="U401" s="64">
        <f t="shared" si="171"/>
        <v>0</v>
      </c>
      <c r="Y401" s="114">
        <f t="shared" si="172"/>
        <v>0</v>
      </c>
      <c r="AC401" s="64">
        <f t="shared" si="173"/>
        <v>0</v>
      </c>
      <c r="AE401" s="71"/>
      <c r="AF401" s="71"/>
      <c r="AG401" s="71">
        <f t="shared" si="174"/>
        <v>0</v>
      </c>
      <c r="AK401" s="64">
        <f t="shared" si="175"/>
        <v>0</v>
      </c>
      <c r="AM401" s="71"/>
      <c r="AN401" s="71"/>
      <c r="AO401" s="71">
        <f t="shared" si="176"/>
        <v>0</v>
      </c>
      <c r="AQ401" s="71"/>
      <c r="AR401" s="71"/>
      <c r="AS401" s="71">
        <f t="shared" si="177"/>
        <v>0</v>
      </c>
      <c r="AU401" s="71"/>
      <c r="AV401" s="71"/>
      <c r="AW401" s="71">
        <f t="shared" si="178"/>
        <v>0</v>
      </c>
      <c r="AY401" s="71"/>
      <c r="AZ401" s="71"/>
      <c r="BA401" s="71">
        <f t="shared" si="179"/>
        <v>0</v>
      </c>
      <c r="BI401" s="71"/>
      <c r="BJ401" s="71"/>
      <c r="BK401" s="71">
        <f t="shared" si="180"/>
        <v>0</v>
      </c>
      <c r="BM401" s="71"/>
      <c r="BN401" s="71"/>
      <c r="BO401" s="71">
        <f t="shared" si="181"/>
        <v>0</v>
      </c>
      <c r="BQ401" s="71"/>
      <c r="BR401" s="71"/>
      <c r="BS401" s="138">
        <f t="shared" si="182"/>
        <v>0</v>
      </c>
      <c r="BU401" s="71"/>
      <c r="BV401" s="71"/>
      <c r="BW401" s="71">
        <f t="shared" si="183"/>
        <v>0</v>
      </c>
      <c r="BZ401" s="71"/>
      <c r="CA401" s="71"/>
      <c r="CB401" s="71">
        <f t="shared" si="184"/>
        <v>0</v>
      </c>
      <c r="CD401" s="71"/>
      <c r="CE401" s="71"/>
      <c r="CF401" s="71">
        <f t="shared" si="185"/>
        <v>0</v>
      </c>
      <c r="CH401" s="71"/>
      <c r="CI401" s="71"/>
      <c r="CJ401" s="138">
        <f t="shared" si="186"/>
        <v>0</v>
      </c>
      <c r="CL401" s="71"/>
      <c r="CM401" s="71"/>
      <c r="CN401" s="71">
        <f t="shared" si="187"/>
        <v>0</v>
      </c>
      <c r="CS401" s="102">
        <f t="shared" si="188"/>
        <v>4.5293954747099576</v>
      </c>
      <c r="CT401" s="102">
        <f t="shared" si="189"/>
        <v>18.675175962423801</v>
      </c>
      <c r="CZ401" s="109" t="str">
        <f t="shared" si="190"/>
        <v>Basso</v>
      </c>
    </row>
    <row r="402" spans="9:104" x14ac:dyDescent="0.15">
      <c r="I402" s="64">
        <f t="shared" si="168"/>
        <v>76.99972307006928</v>
      </c>
      <c r="M402" s="64">
        <f t="shared" si="169"/>
        <v>0</v>
      </c>
      <c r="Q402" s="64">
        <f t="shared" si="170"/>
        <v>0</v>
      </c>
      <c r="U402" s="64">
        <f t="shared" si="171"/>
        <v>0</v>
      </c>
      <c r="Y402" s="114">
        <f t="shared" si="172"/>
        <v>0</v>
      </c>
      <c r="AC402" s="64">
        <f t="shared" si="173"/>
        <v>0</v>
      </c>
      <c r="AE402" s="71"/>
      <c r="AF402" s="71"/>
      <c r="AG402" s="71">
        <f t="shared" si="174"/>
        <v>0</v>
      </c>
      <c r="AK402" s="64">
        <f t="shared" si="175"/>
        <v>0</v>
      </c>
      <c r="AM402" s="71"/>
      <c r="AN402" s="71"/>
      <c r="AO402" s="71">
        <f t="shared" si="176"/>
        <v>0</v>
      </c>
      <c r="AQ402" s="71"/>
      <c r="AR402" s="71"/>
      <c r="AS402" s="71">
        <f t="shared" si="177"/>
        <v>0</v>
      </c>
      <c r="AU402" s="71"/>
      <c r="AV402" s="71"/>
      <c r="AW402" s="71">
        <f t="shared" si="178"/>
        <v>0</v>
      </c>
      <c r="AY402" s="71"/>
      <c r="AZ402" s="71"/>
      <c r="BA402" s="71">
        <f t="shared" si="179"/>
        <v>0</v>
      </c>
      <c r="BI402" s="71"/>
      <c r="BJ402" s="71"/>
      <c r="BK402" s="71">
        <f t="shared" si="180"/>
        <v>0</v>
      </c>
      <c r="BM402" s="71"/>
      <c r="BN402" s="71"/>
      <c r="BO402" s="71">
        <f t="shared" si="181"/>
        <v>0</v>
      </c>
      <c r="BQ402" s="71"/>
      <c r="BR402" s="71"/>
      <c r="BS402" s="138">
        <f t="shared" si="182"/>
        <v>0</v>
      </c>
      <c r="BU402" s="71"/>
      <c r="BV402" s="71"/>
      <c r="BW402" s="71">
        <f t="shared" si="183"/>
        <v>0</v>
      </c>
      <c r="BZ402" s="71"/>
      <c r="CA402" s="71"/>
      <c r="CB402" s="71">
        <f t="shared" si="184"/>
        <v>0</v>
      </c>
      <c r="CD402" s="71"/>
      <c r="CE402" s="71"/>
      <c r="CF402" s="71">
        <f t="shared" si="185"/>
        <v>0</v>
      </c>
      <c r="CH402" s="71"/>
      <c r="CI402" s="71"/>
      <c r="CJ402" s="138">
        <f t="shared" si="186"/>
        <v>0</v>
      </c>
      <c r="CL402" s="71"/>
      <c r="CM402" s="71"/>
      <c r="CN402" s="71">
        <f t="shared" si="187"/>
        <v>0</v>
      </c>
      <c r="CS402" s="102">
        <f t="shared" si="188"/>
        <v>4.5293954747099576</v>
      </c>
      <c r="CT402" s="102">
        <f t="shared" si="189"/>
        <v>18.675175962423801</v>
      </c>
      <c r="CZ402" s="109" t="str">
        <f t="shared" si="190"/>
        <v>Basso</v>
      </c>
    </row>
    <row r="403" spans="9:104" x14ac:dyDescent="0.15">
      <c r="I403" s="64">
        <f t="shared" si="168"/>
        <v>76.99972307006928</v>
      </c>
      <c r="M403" s="64">
        <f t="shared" si="169"/>
        <v>0</v>
      </c>
      <c r="Q403" s="64">
        <f t="shared" si="170"/>
        <v>0</v>
      </c>
      <c r="U403" s="64">
        <f t="shared" si="171"/>
        <v>0</v>
      </c>
      <c r="Y403" s="114">
        <f t="shared" si="172"/>
        <v>0</v>
      </c>
      <c r="AC403" s="64">
        <f t="shared" si="173"/>
        <v>0</v>
      </c>
      <c r="AE403" s="71"/>
      <c r="AF403" s="71"/>
      <c r="AG403" s="71">
        <f t="shared" si="174"/>
        <v>0</v>
      </c>
      <c r="AK403" s="64">
        <f t="shared" si="175"/>
        <v>0</v>
      </c>
      <c r="AM403" s="71"/>
      <c r="AN403" s="71"/>
      <c r="AO403" s="71">
        <f t="shared" si="176"/>
        <v>0</v>
      </c>
      <c r="AQ403" s="71"/>
      <c r="AR403" s="71"/>
      <c r="AS403" s="71">
        <f t="shared" si="177"/>
        <v>0</v>
      </c>
      <c r="AU403" s="71"/>
      <c r="AV403" s="71"/>
      <c r="AW403" s="71">
        <f t="shared" si="178"/>
        <v>0</v>
      </c>
      <c r="AY403" s="71"/>
      <c r="AZ403" s="71"/>
      <c r="BA403" s="71">
        <f t="shared" si="179"/>
        <v>0</v>
      </c>
      <c r="BI403" s="71"/>
      <c r="BJ403" s="71"/>
      <c r="BK403" s="71">
        <f t="shared" si="180"/>
        <v>0</v>
      </c>
      <c r="BM403" s="71"/>
      <c r="BN403" s="71"/>
      <c r="BO403" s="71">
        <f t="shared" si="181"/>
        <v>0</v>
      </c>
      <c r="BQ403" s="71"/>
      <c r="BR403" s="71"/>
      <c r="BS403" s="138">
        <f t="shared" si="182"/>
        <v>0</v>
      </c>
      <c r="BU403" s="71"/>
      <c r="BV403" s="71"/>
      <c r="BW403" s="71">
        <f t="shared" si="183"/>
        <v>0</v>
      </c>
      <c r="BZ403" s="71"/>
      <c r="CA403" s="71"/>
      <c r="CB403" s="71">
        <f t="shared" si="184"/>
        <v>0</v>
      </c>
      <c r="CD403" s="71"/>
      <c r="CE403" s="71"/>
      <c r="CF403" s="71">
        <f t="shared" si="185"/>
        <v>0</v>
      </c>
      <c r="CH403" s="71"/>
      <c r="CI403" s="71"/>
      <c r="CJ403" s="138">
        <f t="shared" si="186"/>
        <v>0</v>
      </c>
      <c r="CL403" s="71"/>
      <c r="CM403" s="71"/>
      <c r="CN403" s="71">
        <f t="shared" si="187"/>
        <v>0</v>
      </c>
      <c r="CS403" s="102">
        <f t="shared" si="188"/>
        <v>4.5293954747099576</v>
      </c>
      <c r="CT403" s="102">
        <f t="shared" si="189"/>
        <v>18.675175962423801</v>
      </c>
      <c r="CZ403" s="109" t="str">
        <f t="shared" si="190"/>
        <v>Basso</v>
      </c>
    </row>
    <row r="404" spans="9:104" x14ac:dyDescent="0.15">
      <c r="I404" s="64">
        <f t="shared" si="168"/>
        <v>76.99972307006928</v>
      </c>
      <c r="M404" s="64">
        <f t="shared" si="169"/>
        <v>0</v>
      </c>
      <c r="Q404" s="64">
        <f t="shared" si="170"/>
        <v>0</v>
      </c>
      <c r="U404" s="64">
        <f t="shared" si="171"/>
        <v>0</v>
      </c>
      <c r="Y404" s="114">
        <f t="shared" si="172"/>
        <v>0</v>
      </c>
      <c r="AC404" s="64">
        <f t="shared" si="173"/>
        <v>0</v>
      </c>
      <c r="AE404" s="71"/>
      <c r="AF404" s="71"/>
      <c r="AG404" s="71">
        <f t="shared" si="174"/>
        <v>0</v>
      </c>
      <c r="AK404" s="64">
        <f t="shared" si="175"/>
        <v>0</v>
      </c>
      <c r="AM404" s="71"/>
      <c r="AN404" s="71"/>
      <c r="AO404" s="71">
        <f t="shared" si="176"/>
        <v>0</v>
      </c>
      <c r="AQ404" s="71"/>
      <c r="AR404" s="71"/>
      <c r="AS404" s="71">
        <f t="shared" si="177"/>
        <v>0</v>
      </c>
      <c r="AU404" s="71"/>
      <c r="AV404" s="71"/>
      <c r="AW404" s="71">
        <f t="shared" si="178"/>
        <v>0</v>
      </c>
      <c r="AY404" s="71"/>
      <c r="AZ404" s="71"/>
      <c r="BA404" s="71">
        <f t="shared" si="179"/>
        <v>0</v>
      </c>
      <c r="BI404" s="71"/>
      <c r="BJ404" s="71"/>
      <c r="BK404" s="71">
        <f t="shared" si="180"/>
        <v>0</v>
      </c>
      <c r="BM404" s="71"/>
      <c r="BN404" s="71"/>
      <c r="BO404" s="71">
        <f t="shared" si="181"/>
        <v>0</v>
      </c>
      <c r="BQ404" s="71"/>
      <c r="BR404" s="71"/>
      <c r="BS404" s="138">
        <f t="shared" si="182"/>
        <v>0</v>
      </c>
      <c r="BU404" s="71"/>
      <c r="BV404" s="71"/>
      <c r="BW404" s="71">
        <f t="shared" si="183"/>
        <v>0</v>
      </c>
      <c r="BZ404" s="71"/>
      <c r="CA404" s="71"/>
      <c r="CB404" s="71">
        <f t="shared" si="184"/>
        <v>0</v>
      </c>
      <c r="CD404" s="71"/>
      <c r="CE404" s="71"/>
      <c r="CF404" s="71">
        <f t="shared" si="185"/>
        <v>0</v>
      </c>
      <c r="CH404" s="71"/>
      <c r="CI404" s="71"/>
      <c r="CJ404" s="138">
        <f t="shared" si="186"/>
        <v>0</v>
      </c>
      <c r="CL404" s="71"/>
      <c r="CM404" s="71"/>
      <c r="CN404" s="71">
        <f t="shared" si="187"/>
        <v>0</v>
      </c>
      <c r="CS404" s="102">
        <f t="shared" si="188"/>
        <v>4.5293954747099576</v>
      </c>
      <c r="CT404" s="102">
        <f t="shared" si="189"/>
        <v>18.675175962423801</v>
      </c>
      <c r="CZ404" s="109" t="str">
        <f t="shared" si="190"/>
        <v>Basso</v>
      </c>
    </row>
    <row r="405" spans="9:104" x14ac:dyDescent="0.15">
      <c r="I405" s="64">
        <f t="shared" si="168"/>
        <v>76.99972307006928</v>
      </c>
      <c r="M405" s="64">
        <f t="shared" si="169"/>
        <v>0</v>
      </c>
      <c r="Q405" s="64">
        <f t="shared" si="170"/>
        <v>0</v>
      </c>
      <c r="U405" s="64">
        <f t="shared" si="171"/>
        <v>0</v>
      </c>
      <c r="Y405" s="114">
        <f t="shared" si="172"/>
        <v>0</v>
      </c>
      <c r="AC405" s="64">
        <f t="shared" si="173"/>
        <v>0</v>
      </c>
      <c r="AE405" s="71"/>
      <c r="AF405" s="71"/>
      <c r="AG405" s="71">
        <f t="shared" si="174"/>
        <v>0</v>
      </c>
      <c r="AK405" s="64">
        <f t="shared" si="175"/>
        <v>0</v>
      </c>
      <c r="AM405" s="71"/>
      <c r="AN405" s="71"/>
      <c r="AO405" s="71">
        <f t="shared" si="176"/>
        <v>0</v>
      </c>
      <c r="AQ405" s="71"/>
      <c r="AR405" s="71"/>
      <c r="AS405" s="71">
        <f t="shared" si="177"/>
        <v>0</v>
      </c>
      <c r="AU405" s="71"/>
      <c r="AV405" s="71"/>
      <c r="AW405" s="71">
        <f t="shared" si="178"/>
        <v>0</v>
      </c>
      <c r="AY405" s="71"/>
      <c r="AZ405" s="71"/>
      <c r="BA405" s="71">
        <f t="shared" si="179"/>
        <v>0</v>
      </c>
      <c r="BI405" s="71"/>
      <c r="BJ405" s="71"/>
      <c r="BK405" s="71">
        <f t="shared" si="180"/>
        <v>0</v>
      </c>
      <c r="BM405" s="71"/>
      <c r="BN405" s="71"/>
      <c r="BO405" s="71">
        <f t="shared" si="181"/>
        <v>0</v>
      </c>
      <c r="BQ405" s="71"/>
      <c r="BR405" s="71"/>
      <c r="BS405" s="138">
        <f t="shared" si="182"/>
        <v>0</v>
      </c>
      <c r="BU405" s="71"/>
      <c r="BV405" s="71"/>
      <c r="BW405" s="71">
        <f t="shared" si="183"/>
        <v>0</v>
      </c>
      <c r="BZ405" s="71"/>
      <c r="CA405" s="71"/>
      <c r="CB405" s="71">
        <f t="shared" si="184"/>
        <v>0</v>
      </c>
      <c r="CD405" s="71"/>
      <c r="CE405" s="71"/>
      <c r="CF405" s="71">
        <f t="shared" si="185"/>
        <v>0</v>
      </c>
      <c r="CH405" s="71"/>
      <c r="CI405" s="71"/>
      <c r="CJ405" s="138">
        <f t="shared" si="186"/>
        <v>0</v>
      </c>
      <c r="CL405" s="71"/>
      <c r="CM405" s="71"/>
      <c r="CN405" s="71">
        <f t="shared" si="187"/>
        <v>0</v>
      </c>
      <c r="CS405" s="102">
        <f t="shared" si="188"/>
        <v>4.5293954747099576</v>
      </c>
      <c r="CT405" s="102">
        <f t="shared" si="189"/>
        <v>18.675175962423801</v>
      </c>
      <c r="CZ405" s="109" t="str">
        <f t="shared" si="190"/>
        <v>Basso</v>
      </c>
    </row>
    <row r="406" spans="9:104" x14ac:dyDescent="0.15">
      <c r="I406" s="64">
        <f t="shared" si="168"/>
        <v>76.99972307006928</v>
      </c>
      <c r="M406" s="64">
        <f t="shared" si="169"/>
        <v>0</v>
      </c>
      <c r="Q406" s="64">
        <f t="shared" si="170"/>
        <v>0</v>
      </c>
      <c r="U406" s="64">
        <f t="shared" si="171"/>
        <v>0</v>
      </c>
      <c r="Y406" s="114">
        <f t="shared" si="172"/>
        <v>0</v>
      </c>
      <c r="AC406" s="64">
        <f t="shared" si="173"/>
        <v>0</v>
      </c>
      <c r="AE406" s="71"/>
      <c r="AF406" s="71"/>
      <c r="AG406" s="71">
        <f t="shared" si="174"/>
        <v>0</v>
      </c>
      <c r="AK406" s="64">
        <f t="shared" si="175"/>
        <v>0</v>
      </c>
      <c r="AM406" s="71"/>
      <c r="AN406" s="71"/>
      <c r="AO406" s="71">
        <f t="shared" si="176"/>
        <v>0</v>
      </c>
      <c r="AQ406" s="71"/>
      <c r="AR406" s="71"/>
      <c r="AS406" s="71">
        <f t="shared" si="177"/>
        <v>0</v>
      </c>
      <c r="AU406" s="71"/>
      <c r="AV406" s="71"/>
      <c r="AW406" s="71">
        <f t="shared" si="178"/>
        <v>0</v>
      </c>
      <c r="AY406" s="71"/>
      <c r="AZ406" s="71"/>
      <c r="BA406" s="71">
        <f t="shared" si="179"/>
        <v>0</v>
      </c>
      <c r="BI406" s="71"/>
      <c r="BJ406" s="71"/>
      <c r="BK406" s="71">
        <f t="shared" si="180"/>
        <v>0</v>
      </c>
      <c r="BM406" s="71"/>
      <c r="BN406" s="71"/>
      <c r="BO406" s="71">
        <f t="shared" si="181"/>
        <v>0</v>
      </c>
      <c r="BQ406" s="71"/>
      <c r="BR406" s="71"/>
      <c r="BS406" s="138">
        <f t="shared" si="182"/>
        <v>0</v>
      </c>
      <c r="BU406" s="71"/>
      <c r="BV406" s="71"/>
      <c r="BW406" s="71">
        <f t="shared" si="183"/>
        <v>0</v>
      </c>
      <c r="BZ406" s="71"/>
      <c r="CA406" s="71"/>
      <c r="CB406" s="71">
        <f t="shared" si="184"/>
        <v>0</v>
      </c>
      <c r="CD406" s="71"/>
      <c r="CE406" s="71"/>
      <c r="CF406" s="71">
        <f t="shared" si="185"/>
        <v>0</v>
      </c>
      <c r="CH406" s="71"/>
      <c r="CI406" s="71"/>
      <c r="CJ406" s="138">
        <f t="shared" si="186"/>
        <v>0</v>
      </c>
      <c r="CL406" s="71"/>
      <c r="CM406" s="71"/>
      <c r="CN406" s="71">
        <f t="shared" si="187"/>
        <v>0</v>
      </c>
      <c r="CS406" s="102">
        <f t="shared" si="188"/>
        <v>4.5293954747099576</v>
      </c>
      <c r="CT406" s="102">
        <f t="shared" si="189"/>
        <v>18.675175962423801</v>
      </c>
      <c r="CZ406" s="109" t="str">
        <f t="shared" si="190"/>
        <v>Basso</v>
      </c>
    </row>
    <row r="407" spans="9:104" x14ac:dyDescent="0.15">
      <c r="I407" s="64">
        <f t="shared" si="168"/>
        <v>76.99972307006928</v>
      </c>
      <c r="M407" s="64">
        <f t="shared" si="169"/>
        <v>0</v>
      </c>
      <c r="Q407" s="64">
        <f t="shared" si="170"/>
        <v>0</v>
      </c>
      <c r="U407" s="64">
        <f t="shared" si="171"/>
        <v>0</v>
      </c>
      <c r="Y407" s="114">
        <f t="shared" si="172"/>
        <v>0</v>
      </c>
      <c r="AC407" s="64">
        <f t="shared" si="173"/>
        <v>0</v>
      </c>
      <c r="AE407" s="71"/>
      <c r="AF407" s="71"/>
      <c r="AG407" s="71">
        <f t="shared" si="174"/>
        <v>0</v>
      </c>
      <c r="AK407" s="64">
        <f t="shared" si="175"/>
        <v>0</v>
      </c>
      <c r="AM407" s="71"/>
      <c r="AN407" s="71"/>
      <c r="AO407" s="71">
        <f t="shared" si="176"/>
        <v>0</v>
      </c>
      <c r="AQ407" s="71"/>
      <c r="AR407" s="71"/>
      <c r="AS407" s="71">
        <f t="shared" si="177"/>
        <v>0</v>
      </c>
      <c r="AU407" s="71"/>
      <c r="AV407" s="71"/>
      <c r="AW407" s="71">
        <f t="shared" si="178"/>
        <v>0</v>
      </c>
      <c r="AY407" s="71"/>
      <c r="AZ407" s="71"/>
      <c r="BA407" s="71">
        <f t="shared" si="179"/>
        <v>0</v>
      </c>
      <c r="BI407" s="71"/>
      <c r="BJ407" s="71"/>
      <c r="BK407" s="71">
        <f t="shared" si="180"/>
        <v>0</v>
      </c>
      <c r="BM407" s="71"/>
      <c r="BN407" s="71"/>
      <c r="BO407" s="71">
        <f t="shared" si="181"/>
        <v>0</v>
      </c>
      <c r="BQ407" s="71"/>
      <c r="BR407" s="71"/>
      <c r="BS407" s="138">
        <f t="shared" si="182"/>
        <v>0</v>
      </c>
      <c r="BU407" s="71"/>
      <c r="BV407" s="71"/>
      <c r="BW407" s="71">
        <f t="shared" si="183"/>
        <v>0</v>
      </c>
      <c r="BZ407" s="71"/>
      <c r="CA407" s="71"/>
      <c r="CB407" s="71">
        <f t="shared" si="184"/>
        <v>0</v>
      </c>
      <c r="CD407" s="71"/>
      <c r="CE407" s="71"/>
      <c r="CF407" s="71">
        <f t="shared" si="185"/>
        <v>0</v>
      </c>
      <c r="CH407" s="71"/>
      <c r="CI407" s="71"/>
      <c r="CJ407" s="138">
        <f t="shared" si="186"/>
        <v>0</v>
      </c>
      <c r="CL407" s="71"/>
      <c r="CM407" s="71"/>
      <c r="CN407" s="71">
        <f t="shared" si="187"/>
        <v>0</v>
      </c>
      <c r="CS407" s="102">
        <f t="shared" si="188"/>
        <v>4.5293954747099576</v>
      </c>
      <c r="CT407" s="102">
        <f t="shared" si="189"/>
        <v>18.675175962423801</v>
      </c>
      <c r="CZ407" s="109" t="str">
        <f t="shared" si="190"/>
        <v>Basso</v>
      </c>
    </row>
    <row r="408" spans="9:104" x14ac:dyDescent="0.15">
      <c r="I408" s="64">
        <f t="shared" si="168"/>
        <v>76.99972307006928</v>
      </c>
      <c r="M408" s="64">
        <f t="shared" si="169"/>
        <v>0</v>
      </c>
      <c r="Q408" s="64">
        <f t="shared" si="170"/>
        <v>0</v>
      </c>
      <c r="U408" s="64">
        <f t="shared" si="171"/>
        <v>0</v>
      </c>
      <c r="Y408" s="114">
        <f t="shared" si="172"/>
        <v>0</v>
      </c>
      <c r="AC408" s="64">
        <f t="shared" si="173"/>
        <v>0</v>
      </c>
      <c r="AE408" s="71"/>
      <c r="AF408" s="71"/>
      <c r="AG408" s="71">
        <f t="shared" si="174"/>
        <v>0</v>
      </c>
      <c r="AK408" s="64">
        <f t="shared" si="175"/>
        <v>0</v>
      </c>
      <c r="AM408" s="71"/>
      <c r="AN408" s="71"/>
      <c r="AO408" s="71">
        <f t="shared" si="176"/>
        <v>0</v>
      </c>
      <c r="AQ408" s="71"/>
      <c r="AR408" s="71"/>
      <c r="AS408" s="71">
        <f t="shared" si="177"/>
        <v>0</v>
      </c>
      <c r="AU408" s="71"/>
      <c r="AV408" s="71"/>
      <c r="AW408" s="71">
        <f t="shared" si="178"/>
        <v>0</v>
      </c>
      <c r="AY408" s="71"/>
      <c r="AZ408" s="71"/>
      <c r="BA408" s="71">
        <f t="shared" si="179"/>
        <v>0</v>
      </c>
      <c r="BI408" s="71"/>
      <c r="BJ408" s="71"/>
      <c r="BK408" s="71">
        <f t="shared" si="180"/>
        <v>0</v>
      </c>
      <c r="BM408" s="71"/>
      <c r="BN408" s="71"/>
      <c r="BO408" s="71">
        <f t="shared" si="181"/>
        <v>0</v>
      </c>
      <c r="BQ408" s="71"/>
      <c r="BR408" s="71"/>
      <c r="BS408" s="138">
        <f t="shared" si="182"/>
        <v>0</v>
      </c>
      <c r="BU408" s="71"/>
      <c r="BV408" s="71"/>
      <c r="BW408" s="71">
        <f t="shared" si="183"/>
        <v>0</v>
      </c>
      <c r="BZ408" s="71"/>
      <c r="CA408" s="71"/>
      <c r="CB408" s="71">
        <f t="shared" si="184"/>
        <v>0</v>
      </c>
      <c r="CD408" s="71"/>
      <c r="CE408" s="71"/>
      <c r="CF408" s="71">
        <f t="shared" si="185"/>
        <v>0</v>
      </c>
      <c r="CH408" s="71"/>
      <c r="CI408" s="71"/>
      <c r="CJ408" s="138">
        <f t="shared" si="186"/>
        <v>0</v>
      </c>
      <c r="CL408" s="71"/>
      <c r="CM408" s="71"/>
      <c r="CN408" s="71">
        <f t="shared" si="187"/>
        <v>0</v>
      </c>
      <c r="CS408" s="102">
        <f t="shared" si="188"/>
        <v>4.5293954747099576</v>
      </c>
      <c r="CT408" s="102">
        <f t="shared" si="189"/>
        <v>18.675175962423801</v>
      </c>
      <c r="CZ408" s="109" t="str">
        <f t="shared" si="190"/>
        <v>Basso</v>
      </c>
    </row>
    <row r="409" spans="9:104" x14ac:dyDescent="0.15">
      <c r="I409" s="64">
        <f t="shared" si="168"/>
        <v>76.99972307006928</v>
      </c>
      <c r="M409" s="64">
        <f t="shared" si="169"/>
        <v>0</v>
      </c>
      <c r="Q409" s="64">
        <f t="shared" si="170"/>
        <v>0</v>
      </c>
      <c r="U409" s="64">
        <f t="shared" si="171"/>
        <v>0</v>
      </c>
      <c r="Y409" s="114">
        <f t="shared" si="172"/>
        <v>0</v>
      </c>
      <c r="AC409" s="64">
        <f t="shared" si="173"/>
        <v>0</v>
      </c>
      <c r="AE409" s="71"/>
      <c r="AF409" s="71"/>
      <c r="AG409" s="71">
        <f t="shared" si="174"/>
        <v>0</v>
      </c>
      <c r="AK409" s="64">
        <f t="shared" si="175"/>
        <v>0</v>
      </c>
      <c r="AM409" s="71"/>
      <c r="AN409" s="71"/>
      <c r="AO409" s="71">
        <f t="shared" si="176"/>
        <v>0</v>
      </c>
      <c r="AQ409" s="71"/>
      <c r="AR409" s="71"/>
      <c r="AS409" s="71">
        <f t="shared" si="177"/>
        <v>0</v>
      </c>
      <c r="AU409" s="71"/>
      <c r="AV409" s="71"/>
      <c r="AW409" s="71">
        <f t="shared" si="178"/>
        <v>0</v>
      </c>
      <c r="AY409" s="71"/>
      <c r="AZ409" s="71"/>
      <c r="BA409" s="71">
        <f t="shared" si="179"/>
        <v>0</v>
      </c>
      <c r="BI409" s="71"/>
      <c r="BJ409" s="71"/>
      <c r="BK409" s="71">
        <f t="shared" si="180"/>
        <v>0</v>
      </c>
      <c r="BM409" s="71"/>
      <c r="BN409" s="71"/>
      <c r="BO409" s="71">
        <f t="shared" si="181"/>
        <v>0</v>
      </c>
      <c r="BQ409" s="71"/>
      <c r="BR409" s="71"/>
      <c r="BS409" s="138">
        <f t="shared" si="182"/>
        <v>0</v>
      </c>
      <c r="BU409" s="71"/>
      <c r="BV409" s="71"/>
      <c r="BW409" s="71">
        <f t="shared" si="183"/>
        <v>0</v>
      </c>
      <c r="BZ409" s="71"/>
      <c r="CA409" s="71"/>
      <c r="CB409" s="71">
        <f t="shared" si="184"/>
        <v>0</v>
      </c>
      <c r="CD409" s="71"/>
      <c r="CE409" s="71"/>
      <c r="CF409" s="71">
        <f t="shared" si="185"/>
        <v>0</v>
      </c>
      <c r="CH409" s="71"/>
      <c r="CI409" s="71"/>
      <c r="CJ409" s="138">
        <f t="shared" si="186"/>
        <v>0</v>
      </c>
      <c r="CL409" s="71"/>
      <c r="CM409" s="71"/>
      <c r="CN409" s="71">
        <f t="shared" si="187"/>
        <v>0</v>
      </c>
      <c r="CS409" s="102">
        <f t="shared" si="188"/>
        <v>4.5293954747099576</v>
      </c>
      <c r="CT409" s="102">
        <f t="shared" si="189"/>
        <v>18.675175962423801</v>
      </c>
      <c r="CZ409" s="109" t="str">
        <f t="shared" si="190"/>
        <v>Basso</v>
      </c>
    </row>
    <row r="410" spans="9:104" x14ac:dyDescent="0.15">
      <c r="I410" s="64">
        <f t="shared" si="168"/>
        <v>76.99972307006928</v>
      </c>
      <c r="M410" s="64">
        <f t="shared" si="169"/>
        <v>0</v>
      </c>
      <c r="Q410" s="64">
        <f t="shared" si="170"/>
        <v>0</v>
      </c>
      <c r="U410" s="64">
        <f t="shared" si="171"/>
        <v>0</v>
      </c>
      <c r="Y410" s="114">
        <f t="shared" si="172"/>
        <v>0</v>
      </c>
      <c r="AC410" s="64">
        <f t="shared" si="173"/>
        <v>0</v>
      </c>
      <c r="AE410" s="71"/>
      <c r="AF410" s="71"/>
      <c r="AG410" s="71">
        <f t="shared" si="174"/>
        <v>0</v>
      </c>
      <c r="AK410" s="64">
        <f t="shared" si="175"/>
        <v>0</v>
      </c>
      <c r="AM410" s="71"/>
      <c r="AN410" s="71"/>
      <c r="AO410" s="71">
        <f t="shared" si="176"/>
        <v>0</v>
      </c>
      <c r="AQ410" s="71"/>
      <c r="AR410" s="71"/>
      <c r="AS410" s="71">
        <f t="shared" si="177"/>
        <v>0</v>
      </c>
      <c r="AU410" s="71"/>
      <c r="AV410" s="71"/>
      <c r="AW410" s="71">
        <f t="shared" si="178"/>
        <v>0</v>
      </c>
      <c r="AY410" s="71"/>
      <c r="AZ410" s="71"/>
      <c r="BA410" s="71">
        <f t="shared" si="179"/>
        <v>0</v>
      </c>
      <c r="BI410" s="71"/>
      <c r="BJ410" s="71"/>
      <c r="BK410" s="71">
        <f t="shared" si="180"/>
        <v>0</v>
      </c>
      <c r="BM410" s="71"/>
      <c r="BN410" s="71"/>
      <c r="BO410" s="71">
        <f t="shared" si="181"/>
        <v>0</v>
      </c>
      <c r="BQ410" s="71"/>
      <c r="BR410" s="71"/>
      <c r="BS410" s="138">
        <f t="shared" si="182"/>
        <v>0</v>
      </c>
      <c r="BU410" s="71"/>
      <c r="BV410" s="71"/>
      <c r="BW410" s="71">
        <f t="shared" si="183"/>
        <v>0</v>
      </c>
      <c r="BZ410" s="71"/>
      <c r="CA410" s="71"/>
      <c r="CB410" s="71">
        <f t="shared" si="184"/>
        <v>0</v>
      </c>
      <c r="CD410" s="71"/>
      <c r="CE410" s="71"/>
      <c r="CF410" s="71">
        <f t="shared" si="185"/>
        <v>0</v>
      </c>
      <c r="CH410" s="71"/>
      <c r="CI410" s="71"/>
      <c r="CJ410" s="138">
        <f t="shared" si="186"/>
        <v>0</v>
      </c>
      <c r="CL410" s="71"/>
      <c r="CM410" s="71"/>
      <c r="CN410" s="71">
        <f t="shared" si="187"/>
        <v>0</v>
      </c>
      <c r="CS410" s="102">
        <f t="shared" si="188"/>
        <v>4.5293954747099576</v>
      </c>
      <c r="CT410" s="102">
        <f t="shared" si="189"/>
        <v>18.675175962423801</v>
      </c>
      <c r="CZ410" s="109" t="str">
        <f t="shared" si="190"/>
        <v>Basso</v>
      </c>
    </row>
    <row r="411" spans="9:104" x14ac:dyDescent="0.15">
      <c r="I411" s="64">
        <f t="shared" si="168"/>
        <v>76.99972307006928</v>
      </c>
      <c r="M411" s="64">
        <f t="shared" si="169"/>
        <v>0</v>
      </c>
      <c r="Q411" s="64">
        <f t="shared" si="170"/>
        <v>0</v>
      </c>
      <c r="U411" s="64">
        <f t="shared" si="171"/>
        <v>0</v>
      </c>
      <c r="Y411" s="114">
        <f t="shared" si="172"/>
        <v>0</v>
      </c>
      <c r="AC411" s="64">
        <f t="shared" si="173"/>
        <v>0</v>
      </c>
      <c r="AE411" s="71"/>
      <c r="AF411" s="71"/>
      <c r="AG411" s="71">
        <f t="shared" si="174"/>
        <v>0</v>
      </c>
      <c r="AK411" s="64">
        <f t="shared" si="175"/>
        <v>0</v>
      </c>
      <c r="AM411" s="71"/>
      <c r="AN411" s="71"/>
      <c r="AO411" s="71">
        <f t="shared" si="176"/>
        <v>0</v>
      </c>
      <c r="AQ411" s="71"/>
      <c r="AR411" s="71"/>
      <c r="AS411" s="71">
        <f t="shared" si="177"/>
        <v>0</v>
      </c>
      <c r="AU411" s="71"/>
      <c r="AV411" s="71"/>
      <c r="AW411" s="71">
        <f t="shared" si="178"/>
        <v>0</v>
      </c>
      <c r="AY411" s="71"/>
      <c r="AZ411" s="71"/>
      <c r="BA411" s="71">
        <f t="shared" si="179"/>
        <v>0</v>
      </c>
      <c r="BI411" s="71"/>
      <c r="BJ411" s="71"/>
      <c r="BK411" s="71">
        <f t="shared" si="180"/>
        <v>0</v>
      </c>
      <c r="BM411" s="71"/>
      <c r="BN411" s="71"/>
      <c r="BO411" s="71">
        <f t="shared" si="181"/>
        <v>0</v>
      </c>
      <c r="BQ411" s="71"/>
      <c r="BR411" s="71"/>
      <c r="BS411" s="138">
        <f t="shared" si="182"/>
        <v>0</v>
      </c>
      <c r="BU411" s="71"/>
      <c r="BV411" s="71"/>
      <c r="BW411" s="71">
        <f t="shared" si="183"/>
        <v>0</v>
      </c>
      <c r="BZ411" s="71"/>
      <c r="CA411" s="71"/>
      <c r="CB411" s="71">
        <f t="shared" si="184"/>
        <v>0</v>
      </c>
      <c r="CD411" s="71"/>
      <c r="CE411" s="71"/>
      <c r="CF411" s="71">
        <f t="shared" si="185"/>
        <v>0</v>
      </c>
      <c r="CH411" s="71"/>
      <c r="CI411" s="71"/>
      <c r="CJ411" s="138">
        <f t="shared" si="186"/>
        <v>0</v>
      </c>
      <c r="CL411" s="71"/>
      <c r="CM411" s="71"/>
      <c r="CN411" s="71">
        <f t="shared" si="187"/>
        <v>0</v>
      </c>
      <c r="CS411" s="102">
        <f t="shared" si="188"/>
        <v>4.5293954747099576</v>
      </c>
      <c r="CT411" s="102">
        <f t="shared" si="189"/>
        <v>18.675175962423801</v>
      </c>
      <c r="CZ411" s="109" t="str">
        <f t="shared" si="190"/>
        <v>Basso</v>
      </c>
    </row>
    <row r="412" spans="9:104" x14ac:dyDescent="0.15">
      <c r="I412" s="64">
        <f t="shared" si="168"/>
        <v>76.99972307006928</v>
      </c>
      <c r="M412" s="64">
        <f t="shared" si="169"/>
        <v>0</v>
      </c>
      <c r="Q412" s="64">
        <f t="shared" si="170"/>
        <v>0</v>
      </c>
      <c r="U412" s="64">
        <f t="shared" si="171"/>
        <v>0</v>
      </c>
      <c r="Y412" s="114">
        <f t="shared" si="172"/>
        <v>0</v>
      </c>
      <c r="AC412" s="64">
        <f t="shared" si="173"/>
        <v>0</v>
      </c>
      <c r="AE412" s="71"/>
      <c r="AF412" s="71"/>
      <c r="AG412" s="71">
        <f t="shared" si="174"/>
        <v>0</v>
      </c>
      <c r="AK412" s="64">
        <f t="shared" si="175"/>
        <v>0</v>
      </c>
      <c r="AM412" s="71"/>
      <c r="AN412" s="71"/>
      <c r="AO412" s="71">
        <f t="shared" si="176"/>
        <v>0</v>
      </c>
      <c r="AQ412" s="71"/>
      <c r="AR412" s="71"/>
      <c r="AS412" s="71">
        <f t="shared" si="177"/>
        <v>0</v>
      </c>
      <c r="AU412" s="71"/>
      <c r="AV412" s="71"/>
      <c r="AW412" s="71">
        <f t="shared" si="178"/>
        <v>0</v>
      </c>
      <c r="AY412" s="71"/>
      <c r="AZ412" s="71"/>
      <c r="BA412" s="71">
        <f t="shared" si="179"/>
        <v>0</v>
      </c>
      <c r="BI412" s="71"/>
      <c r="BJ412" s="71"/>
      <c r="BK412" s="71">
        <f t="shared" si="180"/>
        <v>0</v>
      </c>
      <c r="BM412" s="71"/>
      <c r="BN412" s="71"/>
      <c r="BO412" s="71">
        <f t="shared" si="181"/>
        <v>0</v>
      </c>
      <c r="BQ412" s="71"/>
      <c r="BR412" s="71"/>
      <c r="BS412" s="138">
        <f t="shared" si="182"/>
        <v>0</v>
      </c>
      <c r="BU412" s="71"/>
      <c r="BV412" s="71"/>
      <c r="BW412" s="71">
        <f t="shared" si="183"/>
        <v>0</v>
      </c>
      <c r="BZ412" s="71"/>
      <c r="CA412" s="71"/>
      <c r="CB412" s="71">
        <f t="shared" si="184"/>
        <v>0</v>
      </c>
      <c r="CD412" s="71"/>
      <c r="CE412" s="71"/>
      <c r="CF412" s="71">
        <f t="shared" si="185"/>
        <v>0</v>
      </c>
      <c r="CH412" s="71"/>
      <c r="CI412" s="71"/>
      <c r="CJ412" s="138">
        <f t="shared" si="186"/>
        <v>0</v>
      </c>
      <c r="CL412" s="71"/>
      <c r="CM412" s="71"/>
      <c r="CN412" s="71">
        <f t="shared" si="187"/>
        <v>0</v>
      </c>
      <c r="CS412" s="102">
        <f t="shared" si="188"/>
        <v>4.5293954747099576</v>
      </c>
      <c r="CT412" s="102">
        <f t="shared" si="189"/>
        <v>18.675175962423801</v>
      </c>
      <c r="CZ412" s="109" t="str">
        <f t="shared" si="190"/>
        <v>Basso</v>
      </c>
    </row>
    <row r="413" spans="9:104" x14ac:dyDescent="0.15">
      <c r="I413" s="64">
        <f t="shared" si="168"/>
        <v>76.99972307006928</v>
      </c>
      <c r="M413" s="64">
        <f t="shared" si="169"/>
        <v>0</v>
      </c>
      <c r="Q413" s="64">
        <f t="shared" si="170"/>
        <v>0</v>
      </c>
      <c r="U413" s="64">
        <f t="shared" si="171"/>
        <v>0</v>
      </c>
      <c r="Y413" s="114">
        <f t="shared" si="172"/>
        <v>0</v>
      </c>
      <c r="AC413" s="64">
        <f t="shared" si="173"/>
        <v>0</v>
      </c>
      <c r="AE413" s="71"/>
      <c r="AF413" s="71"/>
      <c r="AG413" s="71">
        <f t="shared" si="174"/>
        <v>0</v>
      </c>
      <c r="AK413" s="64">
        <f t="shared" si="175"/>
        <v>0</v>
      </c>
      <c r="AM413" s="71"/>
      <c r="AN413" s="71"/>
      <c r="AO413" s="71">
        <f t="shared" si="176"/>
        <v>0</v>
      </c>
      <c r="AQ413" s="71"/>
      <c r="AR413" s="71"/>
      <c r="AS413" s="71">
        <f t="shared" si="177"/>
        <v>0</v>
      </c>
      <c r="AU413" s="71"/>
      <c r="AV413" s="71"/>
      <c r="AW413" s="71">
        <f t="shared" si="178"/>
        <v>0</v>
      </c>
      <c r="AY413" s="71"/>
      <c r="AZ413" s="71"/>
      <c r="BA413" s="71">
        <f t="shared" si="179"/>
        <v>0</v>
      </c>
      <c r="BI413" s="71"/>
      <c r="BJ413" s="71"/>
      <c r="BK413" s="71">
        <f t="shared" si="180"/>
        <v>0</v>
      </c>
      <c r="BM413" s="71"/>
      <c r="BN413" s="71"/>
      <c r="BO413" s="71">
        <f t="shared" si="181"/>
        <v>0</v>
      </c>
      <c r="BQ413" s="71"/>
      <c r="BR413" s="71"/>
      <c r="BS413" s="138">
        <f t="shared" si="182"/>
        <v>0</v>
      </c>
      <c r="BU413" s="71"/>
      <c r="BV413" s="71"/>
      <c r="BW413" s="71">
        <f t="shared" si="183"/>
        <v>0</v>
      </c>
      <c r="BZ413" s="71"/>
      <c r="CA413" s="71"/>
      <c r="CB413" s="71">
        <f t="shared" si="184"/>
        <v>0</v>
      </c>
      <c r="CD413" s="71"/>
      <c r="CE413" s="71"/>
      <c r="CF413" s="71">
        <f t="shared" si="185"/>
        <v>0</v>
      </c>
      <c r="CH413" s="71"/>
      <c r="CI413" s="71"/>
      <c r="CJ413" s="138">
        <f t="shared" si="186"/>
        <v>0</v>
      </c>
      <c r="CL413" s="71"/>
      <c r="CM413" s="71"/>
      <c r="CN413" s="71">
        <f t="shared" si="187"/>
        <v>0</v>
      </c>
      <c r="CS413" s="102">
        <f t="shared" si="188"/>
        <v>4.5293954747099576</v>
      </c>
      <c r="CT413" s="102">
        <f t="shared" si="189"/>
        <v>18.675175962423801</v>
      </c>
      <c r="CZ413" s="109" t="str">
        <f t="shared" si="190"/>
        <v>Basso</v>
      </c>
    </row>
    <row r="414" spans="9:104" x14ac:dyDescent="0.15">
      <c r="I414" s="64">
        <f t="shared" si="168"/>
        <v>76.99972307006928</v>
      </c>
      <c r="M414" s="64">
        <f t="shared" si="169"/>
        <v>0</v>
      </c>
      <c r="Q414" s="64">
        <f t="shared" si="170"/>
        <v>0</v>
      </c>
      <c r="U414" s="64">
        <f t="shared" si="171"/>
        <v>0</v>
      </c>
      <c r="Y414" s="114">
        <f t="shared" si="172"/>
        <v>0</v>
      </c>
      <c r="AC414" s="64">
        <f t="shared" si="173"/>
        <v>0</v>
      </c>
      <c r="AE414" s="71"/>
      <c r="AF414" s="71"/>
      <c r="AG414" s="71">
        <f t="shared" si="174"/>
        <v>0</v>
      </c>
      <c r="AK414" s="64">
        <f t="shared" si="175"/>
        <v>0</v>
      </c>
      <c r="AM414" s="71"/>
      <c r="AN414" s="71"/>
      <c r="AO414" s="71">
        <f t="shared" si="176"/>
        <v>0</v>
      </c>
      <c r="AQ414" s="71"/>
      <c r="AR414" s="71"/>
      <c r="AS414" s="71">
        <f t="shared" si="177"/>
        <v>0</v>
      </c>
      <c r="AU414" s="71"/>
      <c r="AV414" s="71"/>
      <c r="AW414" s="71">
        <f t="shared" si="178"/>
        <v>0</v>
      </c>
      <c r="AY414" s="71"/>
      <c r="AZ414" s="71"/>
      <c r="BA414" s="71">
        <f t="shared" si="179"/>
        <v>0</v>
      </c>
      <c r="BI414" s="71"/>
      <c r="BJ414" s="71"/>
      <c r="BK414" s="71">
        <f t="shared" si="180"/>
        <v>0</v>
      </c>
      <c r="BM414" s="71"/>
      <c r="BN414" s="71"/>
      <c r="BO414" s="71">
        <f t="shared" si="181"/>
        <v>0</v>
      </c>
      <c r="BQ414" s="71"/>
      <c r="BR414" s="71"/>
      <c r="BS414" s="138">
        <f t="shared" si="182"/>
        <v>0</v>
      </c>
      <c r="BU414" s="71"/>
      <c r="BV414" s="71"/>
      <c r="BW414" s="71">
        <f t="shared" si="183"/>
        <v>0</v>
      </c>
      <c r="BZ414" s="71"/>
      <c r="CA414" s="71"/>
      <c r="CB414" s="71">
        <f t="shared" si="184"/>
        <v>0</v>
      </c>
      <c r="CD414" s="71"/>
      <c r="CE414" s="71"/>
      <c r="CF414" s="71">
        <f t="shared" si="185"/>
        <v>0</v>
      </c>
      <c r="CH414" s="71"/>
      <c r="CI414" s="71"/>
      <c r="CJ414" s="138">
        <f t="shared" si="186"/>
        <v>0</v>
      </c>
      <c r="CL414" s="71"/>
      <c r="CM414" s="71"/>
      <c r="CN414" s="71">
        <f t="shared" si="187"/>
        <v>0</v>
      </c>
      <c r="CS414" s="102">
        <f t="shared" si="188"/>
        <v>4.5293954747099576</v>
      </c>
      <c r="CT414" s="102">
        <f t="shared" si="189"/>
        <v>18.675175962423801</v>
      </c>
      <c r="CZ414" s="109" t="str">
        <f t="shared" si="190"/>
        <v>Basso</v>
      </c>
    </row>
    <row r="415" spans="9:104" x14ac:dyDescent="0.15">
      <c r="I415" s="64">
        <f t="shared" si="168"/>
        <v>76.99972307006928</v>
      </c>
      <c r="M415" s="64">
        <f t="shared" si="169"/>
        <v>0</v>
      </c>
      <c r="Q415" s="64">
        <f t="shared" si="170"/>
        <v>0</v>
      </c>
      <c r="U415" s="64">
        <f t="shared" si="171"/>
        <v>0</v>
      </c>
      <c r="Y415" s="114">
        <f t="shared" si="172"/>
        <v>0</v>
      </c>
      <c r="AC415" s="64">
        <f t="shared" si="173"/>
        <v>0</v>
      </c>
      <c r="AE415" s="71"/>
      <c r="AF415" s="71"/>
      <c r="AG415" s="71">
        <f t="shared" si="174"/>
        <v>0</v>
      </c>
      <c r="AK415" s="64">
        <f t="shared" si="175"/>
        <v>0</v>
      </c>
      <c r="AM415" s="71"/>
      <c r="AN415" s="71"/>
      <c r="AO415" s="71">
        <f t="shared" si="176"/>
        <v>0</v>
      </c>
      <c r="AQ415" s="71"/>
      <c r="AR415" s="71"/>
      <c r="AS415" s="71">
        <f t="shared" si="177"/>
        <v>0</v>
      </c>
      <c r="AU415" s="71"/>
      <c r="AV415" s="71"/>
      <c r="AW415" s="71">
        <f t="shared" si="178"/>
        <v>0</v>
      </c>
      <c r="AY415" s="71"/>
      <c r="AZ415" s="71"/>
      <c r="BA415" s="71">
        <f t="shared" si="179"/>
        <v>0</v>
      </c>
      <c r="BI415" s="71"/>
      <c r="BJ415" s="71"/>
      <c r="BK415" s="71">
        <f t="shared" si="180"/>
        <v>0</v>
      </c>
      <c r="BM415" s="71"/>
      <c r="BN415" s="71"/>
      <c r="BO415" s="71">
        <f t="shared" si="181"/>
        <v>0</v>
      </c>
      <c r="BQ415" s="71"/>
      <c r="BR415" s="71"/>
      <c r="BS415" s="138">
        <f t="shared" si="182"/>
        <v>0</v>
      </c>
      <c r="BU415" s="71"/>
      <c r="BV415" s="71"/>
      <c r="BW415" s="71">
        <f t="shared" si="183"/>
        <v>0</v>
      </c>
      <c r="BZ415" s="71"/>
      <c r="CA415" s="71"/>
      <c r="CB415" s="71">
        <f t="shared" si="184"/>
        <v>0</v>
      </c>
      <c r="CD415" s="71"/>
      <c r="CE415" s="71"/>
      <c r="CF415" s="71">
        <f t="shared" si="185"/>
        <v>0</v>
      </c>
      <c r="CH415" s="71"/>
      <c r="CI415" s="71"/>
      <c r="CJ415" s="138">
        <f t="shared" si="186"/>
        <v>0</v>
      </c>
      <c r="CL415" s="71"/>
      <c r="CM415" s="71"/>
      <c r="CN415" s="71">
        <f t="shared" si="187"/>
        <v>0</v>
      </c>
      <c r="CS415" s="102">
        <f t="shared" si="188"/>
        <v>4.5293954747099576</v>
      </c>
      <c r="CT415" s="102">
        <f t="shared" si="189"/>
        <v>18.675175962423801</v>
      </c>
      <c r="CZ415" s="109" t="str">
        <f t="shared" si="190"/>
        <v>Basso</v>
      </c>
    </row>
    <row r="416" spans="9:104" x14ac:dyDescent="0.15">
      <c r="I416" s="64">
        <f t="shared" si="168"/>
        <v>76.99972307006928</v>
      </c>
      <c r="M416" s="64">
        <f t="shared" si="169"/>
        <v>0</v>
      </c>
      <c r="Q416" s="64">
        <f t="shared" si="170"/>
        <v>0</v>
      </c>
      <c r="U416" s="64">
        <f t="shared" si="171"/>
        <v>0</v>
      </c>
      <c r="Y416" s="114">
        <f t="shared" si="172"/>
        <v>0</v>
      </c>
      <c r="AC416" s="64">
        <f t="shared" si="173"/>
        <v>0</v>
      </c>
      <c r="AE416" s="71"/>
      <c r="AF416" s="71"/>
      <c r="AG416" s="71">
        <f t="shared" si="174"/>
        <v>0</v>
      </c>
      <c r="AK416" s="64">
        <f t="shared" si="175"/>
        <v>0</v>
      </c>
      <c r="AM416" s="71"/>
      <c r="AN416" s="71"/>
      <c r="AO416" s="71">
        <f t="shared" si="176"/>
        <v>0</v>
      </c>
      <c r="AQ416" s="71"/>
      <c r="AR416" s="71"/>
      <c r="AS416" s="71">
        <f t="shared" si="177"/>
        <v>0</v>
      </c>
      <c r="AU416" s="71"/>
      <c r="AV416" s="71"/>
      <c r="AW416" s="71">
        <f t="shared" si="178"/>
        <v>0</v>
      </c>
      <c r="AY416" s="71"/>
      <c r="AZ416" s="71"/>
      <c r="BA416" s="71">
        <f t="shared" si="179"/>
        <v>0</v>
      </c>
      <c r="BI416" s="71"/>
      <c r="BJ416" s="71"/>
      <c r="BK416" s="71">
        <f t="shared" si="180"/>
        <v>0</v>
      </c>
      <c r="BM416" s="71"/>
      <c r="BN416" s="71"/>
      <c r="BO416" s="71">
        <f t="shared" si="181"/>
        <v>0</v>
      </c>
      <c r="BQ416" s="71"/>
      <c r="BR416" s="71"/>
      <c r="BS416" s="138">
        <f t="shared" si="182"/>
        <v>0</v>
      </c>
      <c r="BU416" s="71"/>
      <c r="BV416" s="71"/>
      <c r="BW416" s="71">
        <f t="shared" si="183"/>
        <v>0</v>
      </c>
      <c r="BZ416" s="71"/>
      <c r="CA416" s="71"/>
      <c r="CB416" s="71">
        <f t="shared" si="184"/>
        <v>0</v>
      </c>
      <c r="CD416" s="71"/>
      <c r="CE416" s="71"/>
      <c r="CF416" s="71">
        <f t="shared" si="185"/>
        <v>0</v>
      </c>
      <c r="CH416" s="71"/>
      <c r="CI416" s="71"/>
      <c r="CJ416" s="138">
        <f t="shared" si="186"/>
        <v>0</v>
      </c>
      <c r="CL416" s="71"/>
      <c r="CM416" s="71"/>
      <c r="CN416" s="71">
        <f t="shared" si="187"/>
        <v>0</v>
      </c>
      <c r="CS416" s="102">
        <f t="shared" si="188"/>
        <v>4.5293954747099576</v>
      </c>
      <c r="CT416" s="102">
        <f t="shared" si="189"/>
        <v>18.675175962423801</v>
      </c>
      <c r="CZ416" s="109" t="str">
        <f t="shared" si="190"/>
        <v>Basso</v>
      </c>
    </row>
    <row r="417" spans="9:104" x14ac:dyDescent="0.15">
      <c r="I417" s="64">
        <f t="shared" si="168"/>
        <v>76.99972307006928</v>
      </c>
      <c r="M417" s="64">
        <f t="shared" si="169"/>
        <v>0</v>
      </c>
      <c r="Q417" s="64">
        <f t="shared" si="170"/>
        <v>0</v>
      </c>
      <c r="U417" s="64">
        <f t="shared" si="171"/>
        <v>0</v>
      </c>
      <c r="Y417" s="114">
        <f t="shared" si="172"/>
        <v>0</v>
      </c>
      <c r="AC417" s="64">
        <f t="shared" si="173"/>
        <v>0</v>
      </c>
      <c r="AE417" s="71"/>
      <c r="AF417" s="71"/>
      <c r="AG417" s="71">
        <f t="shared" si="174"/>
        <v>0</v>
      </c>
      <c r="AK417" s="64">
        <f t="shared" si="175"/>
        <v>0</v>
      </c>
      <c r="AM417" s="71"/>
      <c r="AN417" s="71"/>
      <c r="AO417" s="71">
        <f t="shared" si="176"/>
        <v>0</v>
      </c>
      <c r="AQ417" s="71"/>
      <c r="AR417" s="71"/>
      <c r="AS417" s="71">
        <f t="shared" si="177"/>
        <v>0</v>
      </c>
      <c r="AU417" s="71"/>
      <c r="AV417" s="71"/>
      <c r="AW417" s="71">
        <f t="shared" si="178"/>
        <v>0</v>
      </c>
      <c r="AY417" s="71"/>
      <c r="AZ417" s="71"/>
      <c r="BA417" s="71">
        <f t="shared" si="179"/>
        <v>0</v>
      </c>
      <c r="BI417" s="71"/>
      <c r="BJ417" s="71"/>
      <c r="BK417" s="71">
        <f t="shared" si="180"/>
        <v>0</v>
      </c>
      <c r="BM417" s="71"/>
      <c r="BN417" s="71"/>
      <c r="BO417" s="71">
        <f t="shared" si="181"/>
        <v>0</v>
      </c>
      <c r="BQ417" s="71"/>
      <c r="BR417" s="71"/>
      <c r="BS417" s="138">
        <f t="shared" si="182"/>
        <v>0</v>
      </c>
      <c r="BU417" s="71"/>
      <c r="BV417" s="71"/>
      <c r="BW417" s="71">
        <f t="shared" si="183"/>
        <v>0</v>
      </c>
      <c r="BZ417" s="71"/>
      <c r="CA417" s="71"/>
      <c r="CB417" s="71">
        <f t="shared" si="184"/>
        <v>0</v>
      </c>
      <c r="CD417" s="71"/>
      <c r="CE417" s="71"/>
      <c r="CF417" s="71">
        <f t="shared" si="185"/>
        <v>0</v>
      </c>
      <c r="CH417" s="71"/>
      <c r="CI417" s="71"/>
      <c r="CJ417" s="138">
        <f t="shared" si="186"/>
        <v>0</v>
      </c>
      <c r="CL417" s="71"/>
      <c r="CM417" s="71"/>
      <c r="CN417" s="71">
        <f t="shared" si="187"/>
        <v>0</v>
      </c>
      <c r="CS417" s="102">
        <f t="shared" si="188"/>
        <v>4.5293954747099576</v>
      </c>
      <c r="CT417" s="102">
        <f t="shared" si="189"/>
        <v>18.675175962423801</v>
      </c>
      <c r="CZ417" s="109" t="str">
        <f t="shared" si="190"/>
        <v>Basso</v>
      </c>
    </row>
    <row r="418" spans="9:104" x14ac:dyDescent="0.15">
      <c r="I418" s="64">
        <f t="shared" si="168"/>
        <v>76.99972307006928</v>
      </c>
      <c r="M418" s="64">
        <f t="shared" si="169"/>
        <v>0</v>
      </c>
      <c r="Q418" s="64">
        <f t="shared" si="170"/>
        <v>0</v>
      </c>
      <c r="U418" s="64">
        <f t="shared" si="171"/>
        <v>0</v>
      </c>
      <c r="Y418" s="114">
        <f t="shared" si="172"/>
        <v>0</v>
      </c>
      <c r="AC418" s="64">
        <f t="shared" si="173"/>
        <v>0</v>
      </c>
      <c r="AE418" s="71"/>
      <c r="AF418" s="71"/>
      <c r="AG418" s="71">
        <f t="shared" si="174"/>
        <v>0</v>
      </c>
      <c r="AK418" s="64">
        <f t="shared" si="175"/>
        <v>0</v>
      </c>
      <c r="AM418" s="71"/>
      <c r="AN418" s="71"/>
      <c r="AO418" s="71">
        <f t="shared" si="176"/>
        <v>0</v>
      </c>
      <c r="AQ418" s="71"/>
      <c r="AR418" s="71"/>
      <c r="AS418" s="71">
        <f t="shared" si="177"/>
        <v>0</v>
      </c>
      <c r="AU418" s="71"/>
      <c r="AV418" s="71"/>
      <c r="AW418" s="71">
        <f t="shared" si="178"/>
        <v>0</v>
      </c>
      <c r="AY418" s="71"/>
      <c r="AZ418" s="71"/>
      <c r="BA418" s="71">
        <f t="shared" si="179"/>
        <v>0</v>
      </c>
      <c r="BI418" s="71"/>
      <c r="BJ418" s="71"/>
      <c r="BK418" s="71">
        <f t="shared" si="180"/>
        <v>0</v>
      </c>
      <c r="BM418" s="71"/>
      <c r="BN418" s="71"/>
      <c r="BO418" s="71">
        <f t="shared" si="181"/>
        <v>0</v>
      </c>
      <c r="BQ418" s="71"/>
      <c r="BR418" s="71"/>
      <c r="BS418" s="138">
        <f t="shared" si="182"/>
        <v>0</v>
      </c>
      <c r="BU418" s="71"/>
      <c r="BV418" s="71"/>
      <c r="BW418" s="71">
        <f t="shared" si="183"/>
        <v>0</v>
      </c>
      <c r="BZ418" s="71"/>
      <c r="CA418" s="71"/>
      <c r="CB418" s="71">
        <f t="shared" si="184"/>
        <v>0</v>
      </c>
      <c r="CD418" s="71"/>
      <c r="CE418" s="71"/>
      <c r="CF418" s="71">
        <f t="shared" si="185"/>
        <v>0</v>
      </c>
      <c r="CH418" s="71"/>
      <c r="CI418" s="71"/>
      <c r="CJ418" s="138">
        <f t="shared" si="186"/>
        <v>0</v>
      </c>
      <c r="CL418" s="71"/>
      <c r="CM418" s="71"/>
      <c r="CN418" s="71">
        <f t="shared" si="187"/>
        <v>0</v>
      </c>
      <c r="CS418" s="102">
        <f t="shared" si="188"/>
        <v>4.5293954747099576</v>
      </c>
      <c r="CT418" s="102">
        <f t="shared" si="189"/>
        <v>18.675175962423801</v>
      </c>
      <c r="CZ418" s="109" t="str">
        <f t="shared" si="190"/>
        <v>Basso</v>
      </c>
    </row>
    <row r="419" spans="9:104" x14ac:dyDescent="0.15">
      <c r="I419" s="64">
        <f t="shared" si="168"/>
        <v>76.99972307006928</v>
      </c>
      <c r="M419" s="64">
        <f t="shared" si="169"/>
        <v>0</v>
      </c>
      <c r="Q419" s="64">
        <f t="shared" si="170"/>
        <v>0</v>
      </c>
      <c r="U419" s="64">
        <f t="shared" si="171"/>
        <v>0</v>
      </c>
      <c r="Y419" s="114">
        <f t="shared" si="172"/>
        <v>0</v>
      </c>
      <c r="AC419" s="64">
        <f t="shared" si="173"/>
        <v>0</v>
      </c>
      <c r="AE419" s="71"/>
      <c r="AF419" s="71"/>
      <c r="AG419" s="71">
        <f t="shared" si="174"/>
        <v>0</v>
      </c>
      <c r="AK419" s="64">
        <f t="shared" si="175"/>
        <v>0</v>
      </c>
      <c r="AM419" s="71"/>
      <c r="AN419" s="71"/>
      <c r="AO419" s="71">
        <f t="shared" si="176"/>
        <v>0</v>
      </c>
      <c r="AQ419" s="71"/>
      <c r="AR419" s="71"/>
      <c r="AS419" s="71">
        <f t="shared" si="177"/>
        <v>0</v>
      </c>
      <c r="AU419" s="71"/>
      <c r="AV419" s="71"/>
      <c r="AW419" s="71">
        <f t="shared" si="178"/>
        <v>0</v>
      </c>
      <c r="AY419" s="71"/>
      <c r="AZ419" s="71"/>
      <c r="BA419" s="71">
        <f t="shared" si="179"/>
        <v>0</v>
      </c>
      <c r="BI419" s="71"/>
      <c r="BJ419" s="71"/>
      <c r="BK419" s="71">
        <f t="shared" si="180"/>
        <v>0</v>
      </c>
      <c r="BM419" s="71"/>
      <c r="BN419" s="71"/>
      <c r="BO419" s="71">
        <f t="shared" si="181"/>
        <v>0</v>
      </c>
      <c r="BQ419" s="71"/>
      <c r="BR419" s="71"/>
      <c r="BS419" s="138">
        <f t="shared" si="182"/>
        <v>0</v>
      </c>
      <c r="BU419" s="71"/>
      <c r="BV419" s="71"/>
      <c r="BW419" s="71">
        <f t="shared" si="183"/>
        <v>0</v>
      </c>
      <c r="BZ419" s="71"/>
      <c r="CA419" s="71"/>
      <c r="CB419" s="71">
        <f t="shared" si="184"/>
        <v>0</v>
      </c>
      <c r="CD419" s="71"/>
      <c r="CE419" s="71"/>
      <c r="CF419" s="71">
        <f t="shared" si="185"/>
        <v>0</v>
      </c>
      <c r="CH419" s="71"/>
      <c r="CI419" s="71"/>
      <c r="CJ419" s="138">
        <f t="shared" si="186"/>
        <v>0</v>
      </c>
      <c r="CL419" s="71"/>
      <c r="CM419" s="71"/>
      <c r="CN419" s="71">
        <f t="shared" si="187"/>
        <v>0</v>
      </c>
      <c r="CS419" s="102">
        <f t="shared" si="188"/>
        <v>4.5293954747099576</v>
      </c>
      <c r="CT419" s="102">
        <f t="shared" si="189"/>
        <v>18.675175962423801</v>
      </c>
      <c r="CZ419" s="109" t="str">
        <f t="shared" si="190"/>
        <v>Basso</v>
      </c>
    </row>
    <row r="420" spans="9:104" x14ac:dyDescent="0.15">
      <c r="I420" s="64">
        <f t="shared" si="168"/>
        <v>76.99972307006928</v>
      </c>
      <c r="M420" s="64">
        <f t="shared" si="169"/>
        <v>0</v>
      </c>
      <c r="Q420" s="64">
        <f t="shared" si="170"/>
        <v>0</v>
      </c>
      <c r="U420" s="64">
        <f t="shared" si="171"/>
        <v>0</v>
      </c>
      <c r="Y420" s="114">
        <f t="shared" si="172"/>
        <v>0</v>
      </c>
      <c r="AC420" s="64">
        <f t="shared" si="173"/>
        <v>0</v>
      </c>
      <c r="AE420" s="71"/>
      <c r="AF420" s="71"/>
      <c r="AG420" s="71">
        <f t="shared" si="174"/>
        <v>0</v>
      </c>
      <c r="AK420" s="64">
        <f t="shared" si="175"/>
        <v>0</v>
      </c>
      <c r="AM420" s="71"/>
      <c r="AN420" s="71"/>
      <c r="AO420" s="71">
        <f t="shared" si="176"/>
        <v>0</v>
      </c>
      <c r="AQ420" s="71"/>
      <c r="AR420" s="71"/>
      <c r="AS420" s="71">
        <f t="shared" si="177"/>
        <v>0</v>
      </c>
      <c r="AU420" s="71"/>
      <c r="AV420" s="71"/>
      <c r="AW420" s="71">
        <f t="shared" si="178"/>
        <v>0</v>
      </c>
      <c r="AY420" s="71"/>
      <c r="AZ420" s="71"/>
      <c r="BA420" s="71">
        <f t="shared" si="179"/>
        <v>0</v>
      </c>
      <c r="BI420" s="71"/>
      <c r="BJ420" s="71"/>
      <c r="BK420" s="71">
        <f t="shared" si="180"/>
        <v>0</v>
      </c>
      <c r="BM420" s="71"/>
      <c r="BN420" s="71"/>
      <c r="BO420" s="71">
        <f t="shared" si="181"/>
        <v>0</v>
      </c>
      <c r="BQ420" s="71"/>
      <c r="BR420" s="71"/>
      <c r="BS420" s="138">
        <f t="shared" si="182"/>
        <v>0</v>
      </c>
      <c r="BU420" s="71"/>
      <c r="BV420" s="71"/>
      <c r="BW420" s="71">
        <f t="shared" si="183"/>
        <v>0</v>
      </c>
      <c r="BZ420" s="71"/>
      <c r="CA420" s="71"/>
      <c r="CB420" s="71">
        <f t="shared" si="184"/>
        <v>0</v>
      </c>
      <c r="CD420" s="71"/>
      <c r="CE420" s="71"/>
      <c r="CF420" s="71">
        <f t="shared" si="185"/>
        <v>0</v>
      </c>
      <c r="CH420" s="71"/>
      <c r="CI420" s="71"/>
      <c r="CJ420" s="138">
        <f t="shared" si="186"/>
        <v>0</v>
      </c>
      <c r="CL420" s="71"/>
      <c r="CM420" s="71"/>
      <c r="CN420" s="71">
        <f t="shared" si="187"/>
        <v>0</v>
      </c>
      <c r="CS420" s="102">
        <f t="shared" si="188"/>
        <v>4.5293954747099576</v>
      </c>
      <c r="CT420" s="102">
        <f t="shared" si="189"/>
        <v>18.675175962423801</v>
      </c>
      <c r="CZ420" s="109" t="str">
        <f t="shared" si="190"/>
        <v>Basso</v>
      </c>
    </row>
    <row r="421" spans="9:104" x14ac:dyDescent="0.15">
      <c r="I421" s="64">
        <f t="shared" si="168"/>
        <v>76.99972307006928</v>
      </c>
      <c r="M421" s="64">
        <f t="shared" si="169"/>
        <v>0</v>
      </c>
      <c r="Q421" s="64">
        <f t="shared" si="170"/>
        <v>0</v>
      </c>
      <c r="U421" s="64">
        <f t="shared" si="171"/>
        <v>0</v>
      </c>
      <c r="Y421" s="114">
        <f t="shared" si="172"/>
        <v>0</v>
      </c>
      <c r="AC421" s="64">
        <f t="shared" si="173"/>
        <v>0</v>
      </c>
      <c r="AE421" s="71"/>
      <c r="AF421" s="71"/>
      <c r="AG421" s="71">
        <f t="shared" si="174"/>
        <v>0</v>
      </c>
      <c r="AK421" s="64">
        <f t="shared" si="175"/>
        <v>0</v>
      </c>
      <c r="AM421" s="71"/>
      <c r="AN421" s="71"/>
      <c r="AO421" s="71">
        <f t="shared" si="176"/>
        <v>0</v>
      </c>
      <c r="AQ421" s="71"/>
      <c r="AR421" s="71"/>
      <c r="AS421" s="71">
        <f t="shared" si="177"/>
        <v>0</v>
      </c>
      <c r="AU421" s="71"/>
      <c r="AV421" s="71"/>
      <c r="AW421" s="71">
        <f t="shared" si="178"/>
        <v>0</v>
      </c>
      <c r="AY421" s="71"/>
      <c r="AZ421" s="71"/>
      <c r="BA421" s="71">
        <f t="shared" si="179"/>
        <v>0</v>
      </c>
      <c r="BI421" s="71"/>
      <c r="BJ421" s="71"/>
      <c r="BK421" s="71">
        <f t="shared" si="180"/>
        <v>0</v>
      </c>
      <c r="BM421" s="71"/>
      <c r="BN421" s="71"/>
      <c r="BO421" s="71">
        <f t="shared" si="181"/>
        <v>0</v>
      </c>
      <c r="BQ421" s="71"/>
      <c r="BR421" s="71"/>
      <c r="BS421" s="138">
        <f t="shared" si="182"/>
        <v>0</v>
      </c>
      <c r="BU421" s="71"/>
      <c r="BV421" s="71"/>
      <c r="BW421" s="71">
        <f t="shared" si="183"/>
        <v>0</v>
      </c>
      <c r="BZ421" s="71"/>
      <c r="CA421" s="71"/>
      <c r="CB421" s="71">
        <f t="shared" si="184"/>
        <v>0</v>
      </c>
      <c r="CD421" s="71"/>
      <c r="CE421" s="71"/>
      <c r="CF421" s="71">
        <f t="shared" si="185"/>
        <v>0</v>
      </c>
      <c r="CH421" s="71"/>
      <c r="CI421" s="71"/>
      <c r="CJ421" s="138">
        <f t="shared" si="186"/>
        <v>0</v>
      </c>
      <c r="CL421" s="71"/>
      <c r="CM421" s="71"/>
      <c r="CN421" s="71">
        <f t="shared" si="187"/>
        <v>0</v>
      </c>
      <c r="CS421" s="102">
        <f t="shared" si="188"/>
        <v>4.5293954747099576</v>
      </c>
      <c r="CT421" s="102">
        <f t="shared" si="189"/>
        <v>18.675175962423801</v>
      </c>
      <c r="CZ421" s="109" t="str">
        <f t="shared" si="190"/>
        <v>Basso</v>
      </c>
    </row>
    <row r="422" spans="9:104" x14ac:dyDescent="0.15">
      <c r="I422" s="64">
        <f t="shared" si="168"/>
        <v>76.99972307006928</v>
      </c>
      <c r="M422" s="64">
        <f t="shared" si="169"/>
        <v>0</v>
      </c>
      <c r="Q422" s="64">
        <f t="shared" si="170"/>
        <v>0</v>
      </c>
      <c r="U422" s="64">
        <f t="shared" si="171"/>
        <v>0</v>
      </c>
      <c r="Y422" s="114">
        <f t="shared" si="172"/>
        <v>0</v>
      </c>
      <c r="AC422" s="64">
        <f t="shared" si="173"/>
        <v>0</v>
      </c>
      <c r="AE422" s="71"/>
      <c r="AF422" s="71"/>
      <c r="AG422" s="71">
        <f t="shared" si="174"/>
        <v>0</v>
      </c>
      <c r="AK422" s="64">
        <f t="shared" si="175"/>
        <v>0</v>
      </c>
      <c r="AM422" s="71"/>
      <c r="AN422" s="71"/>
      <c r="AO422" s="71">
        <f t="shared" si="176"/>
        <v>0</v>
      </c>
      <c r="AQ422" s="71"/>
      <c r="AR422" s="71"/>
      <c r="AS422" s="71">
        <f t="shared" si="177"/>
        <v>0</v>
      </c>
      <c r="AU422" s="71"/>
      <c r="AV422" s="71"/>
      <c r="AW422" s="71">
        <f t="shared" si="178"/>
        <v>0</v>
      </c>
      <c r="AY422" s="71"/>
      <c r="AZ422" s="71"/>
      <c r="BA422" s="71">
        <f t="shared" si="179"/>
        <v>0</v>
      </c>
      <c r="BI422" s="71"/>
      <c r="BJ422" s="71"/>
      <c r="BK422" s="71">
        <f t="shared" si="180"/>
        <v>0</v>
      </c>
      <c r="BM422" s="71"/>
      <c r="BN422" s="71"/>
      <c r="BO422" s="71">
        <f t="shared" si="181"/>
        <v>0</v>
      </c>
      <c r="BQ422" s="71"/>
      <c r="BR422" s="71"/>
      <c r="BS422" s="138">
        <f t="shared" si="182"/>
        <v>0</v>
      </c>
      <c r="BU422" s="71"/>
      <c r="BV422" s="71"/>
      <c r="BW422" s="71">
        <f t="shared" si="183"/>
        <v>0</v>
      </c>
      <c r="BZ422" s="71"/>
      <c r="CA422" s="71"/>
      <c r="CB422" s="71">
        <f t="shared" si="184"/>
        <v>0</v>
      </c>
      <c r="CD422" s="71"/>
      <c r="CE422" s="71"/>
      <c r="CF422" s="71">
        <f t="shared" si="185"/>
        <v>0</v>
      </c>
      <c r="CH422" s="71"/>
      <c r="CI422" s="71"/>
      <c r="CJ422" s="138">
        <f t="shared" si="186"/>
        <v>0</v>
      </c>
      <c r="CL422" s="71"/>
      <c r="CM422" s="71"/>
      <c r="CN422" s="71">
        <f t="shared" si="187"/>
        <v>0</v>
      </c>
      <c r="CS422" s="102">
        <f t="shared" si="188"/>
        <v>4.5293954747099576</v>
      </c>
      <c r="CT422" s="102">
        <f t="shared" si="189"/>
        <v>18.675175962423801</v>
      </c>
      <c r="CZ422" s="109" t="str">
        <f t="shared" si="190"/>
        <v>Basso</v>
      </c>
    </row>
    <row r="423" spans="9:104" x14ac:dyDescent="0.15">
      <c r="I423" s="64">
        <f t="shared" si="168"/>
        <v>76.99972307006928</v>
      </c>
      <c r="M423" s="64">
        <f t="shared" si="169"/>
        <v>0</v>
      </c>
      <c r="Q423" s="64">
        <f t="shared" si="170"/>
        <v>0</v>
      </c>
      <c r="U423" s="64">
        <f t="shared" si="171"/>
        <v>0</v>
      </c>
      <c r="Y423" s="114">
        <f t="shared" si="172"/>
        <v>0</v>
      </c>
      <c r="AC423" s="64">
        <f t="shared" si="173"/>
        <v>0</v>
      </c>
      <c r="AE423" s="71"/>
      <c r="AF423" s="71"/>
      <c r="AG423" s="71">
        <f t="shared" si="174"/>
        <v>0</v>
      </c>
      <c r="AK423" s="64">
        <f t="shared" si="175"/>
        <v>0</v>
      </c>
      <c r="AM423" s="71"/>
      <c r="AN423" s="71"/>
      <c r="AO423" s="71">
        <f t="shared" si="176"/>
        <v>0</v>
      </c>
      <c r="AQ423" s="71"/>
      <c r="AR423" s="71"/>
      <c r="AS423" s="71">
        <f t="shared" si="177"/>
        <v>0</v>
      </c>
      <c r="AU423" s="71"/>
      <c r="AV423" s="71"/>
      <c r="AW423" s="71">
        <f t="shared" si="178"/>
        <v>0</v>
      </c>
      <c r="AY423" s="71"/>
      <c r="AZ423" s="71"/>
      <c r="BA423" s="71">
        <f t="shared" si="179"/>
        <v>0</v>
      </c>
      <c r="BI423" s="71"/>
      <c r="BJ423" s="71"/>
      <c r="BK423" s="71">
        <f t="shared" si="180"/>
        <v>0</v>
      </c>
      <c r="BM423" s="71"/>
      <c r="BN423" s="71"/>
      <c r="BO423" s="71">
        <f t="shared" si="181"/>
        <v>0</v>
      </c>
      <c r="BQ423" s="71"/>
      <c r="BR423" s="71"/>
      <c r="BS423" s="138">
        <f t="shared" si="182"/>
        <v>0</v>
      </c>
      <c r="BU423" s="71"/>
      <c r="BV423" s="71"/>
      <c r="BW423" s="71">
        <f t="shared" si="183"/>
        <v>0</v>
      </c>
      <c r="BZ423" s="71"/>
      <c r="CA423" s="71"/>
      <c r="CB423" s="71">
        <f t="shared" si="184"/>
        <v>0</v>
      </c>
      <c r="CD423" s="71"/>
      <c r="CE423" s="71"/>
      <c r="CF423" s="71">
        <f t="shared" si="185"/>
        <v>0</v>
      </c>
      <c r="CH423" s="71"/>
      <c r="CI423" s="71"/>
      <c r="CJ423" s="138">
        <f t="shared" si="186"/>
        <v>0</v>
      </c>
      <c r="CL423" s="71"/>
      <c r="CM423" s="71"/>
      <c r="CN423" s="71">
        <f t="shared" si="187"/>
        <v>0</v>
      </c>
      <c r="CS423" s="102">
        <f t="shared" si="188"/>
        <v>4.5293954747099576</v>
      </c>
      <c r="CT423" s="102">
        <f t="shared" si="189"/>
        <v>18.675175962423801</v>
      </c>
      <c r="CZ423" s="109" t="str">
        <f t="shared" si="190"/>
        <v>Basso</v>
      </c>
    </row>
    <row r="424" spans="9:104" x14ac:dyDescent="0.15">
      <c r="I424" s="64">
        <f t="shared" si="168"/>
        <v>76.99972307006928</v>
      </c>
      <c r="M424" s="64">
        <f t="shared" si="169"/>
        <v>0</v>
      </c>
      <c r="Q424" s="64">
        <f t="shared" si="170"/>
        <v>0</v>
      </c>
      <c r="U424" s="64">
        <f t="shared" si="171"/>
        <v>0</v>
      </c>
      <c r="Y424" s="114">
        <f t="shared" si="172"/>
        <v>0</v>
      </c>
      <c r="AC424" s="64">
        <f t="shared" si="173"/>
        <v>0</v>
      </c>
      <c r="AE424" s="71"/>
      <c r="AF424" s="71"/>
      <c r="AG424" s="71">
        <f t="shared" si="174"/>
        <v>0</v>
      </c>
      <c r="AK424" s="64">
        <f t="shared" si="175"/>
        <v>0</v>
      </c>
      <c r="AM424" s="71"/>
      <c r="AN424" s="71"/>
      <c r="AO424" s="71">
        <f t="shared" si="176"/>
        <v>0</v>
      </c>
      <c r="AQ424" s="71"/>
      <c r="AR424" s="71"/>
      <c r="AS424" s="71">
        <f t="shared" si="177"/>
        <v>0</v>
      </c>
      <c r="AU424" s="71"/>
      <c r="AV424" s="71"/>
      <c r="AW424" s="71">
        <f t="shared" si="178"/>
        <v>0</v>
      </c>
      <c r="AY424" s="71"/>
      <c r="AZ424" s="71"/>
      <c r="BA424" s="71">
        <f t="shared" si="179"/>
        <v>0</v>
      </c>
      <c r="BI424" s="71"/>
      <c r="BJ424" s="71"/>
      <c r="BK424" s="71">
        <f t="shared" si="180"/>
        <v>0</v>
      </c>
      <c r="BM424" s="71"/>
      <c r="BN424" s="71"/>
      <c r="BO424" s="71">
        <f t="shared" si="181"/>
        <v>0</v>
      </c>
      <c r="BQ424" s="71"/>
      <c r="BR424" s="71"/>
      <c r="BS424" s="138">
        <f t="shared" si="182"/>
        <v>0</v>
      </c>
      <c r="BU424" s="71"/>
      <c r="BV424" s="71"/>
      <c r="BW424" s="71">
        <f t="shared" si="183"/>
        <v>0</v>
      </c>
      <c r="BZ424" s="71"/>
      <c r="CA424" s="71"/>
      <c r="CB424" s="71">
        <f t="shared" si="184"/>
        <v>0</v>
      </c>
      <c r="CD424" s="71"/>
      <c r="CE424" s="71"/>
      <c r="CF424" s="71">
        <f t="shared" si="185"/>
        <v>0</v>
      </c>
      <c r="CH424" s="71"/>
      <c r="CI424" s="71"/>
      <c r="CJ424" s="138">
        <f t="shared" si="186"/>
        <v>0</v>
      </c>
      <c r="CL424" s="71"/>
      <c r="CM424" s="71"/>
      <c r="CN424" s="71">
        <f t="shared" si="187"/>
        <v>0</v>
      </c>
      <c r="CS424" s="102">
        <f t="shared" si="188"/>
        <v>4.5293954747099576</v>
      </c>
      <c r="CT424" s="102">
        <f t="shared" si="189"/>
        <v>18.675175962423801</v>
      </c>
      <c r="CZ424" s="109" t="str">
        <f t="shared" si="190"/>
        <v>Basso</v>
      </c>
    </row>
    <row r="425" spans="9:104" x14ac:dyDescent="0.15">
      <c r="I425" s="64">
        <f t="shared" si="168"/>
        <v>76.99972307006928</v>
      </c>
      <c r="M425" s="64">
        <f t="shared" si="169"/>
        <v>0</v>
      </c>
      <c r="Q425" s="64">
        <f t="shared" si="170"/>
        <v>0</v>
      </c>
      <c r="U425" s="64">
        <f t="shared" si="171"/>
        <v>0</v>
      </c>
      <c r="Y425" s="114">
        <f t="shared" si="172"/>
        <v>0</v>
      </c>
      <c r="AC425" s="64">
        <f t="shared" si="173"/>
        <v>0</v>
      </c>
      <c r="AE425" s="71"/>
      <c r="AF425" s="71"/>
      <c r="AG425" s="71">
        <f t="shared" si="174"/>
        <v>0</v>
      </c>
      <c r="AK425" s="64">
        <f t="shared" si="175"/>
        <v>0</v>
      </c>
      <c r="AM425" s="71"/>
      <c r="AN425" s="71"/>
      <c r="AO425" s="71">
        <f t="shared" si="176"/>
        <v>0</v>
      </c>
      <c r="AQ425" s="71"/>
      <c r="AR425" s="71"/>
      <c r="AS425" s="71">
        <f t="shared" si="177"/>
        <v>0</v>
      </c>
      <c r="AU425" s="71"/>
      <c r="AV425" s="71"/>
      <c r="AW425" s="71">
        <f t="shared" si="178"/>
        <v>0</v>
      </c>
      <c r="AY425" s="71"/>
      <c r="AZ425" s="71"/>
      <c r="BA425" s="71">
        <f t="shared" si="179"/>
        <v>0</v>
      </c>
      <c r="BI425" s="71"/>
      <c r="BJ425" s="71"/>
      <c r="BK425" s="71">
        <f t="shared" si="180"/>
        <v>0</v>
      </c>
      <c r="BM425" s="71"/>
      <c r="BN425" s="71"/>
      <c r="BO425" s="71">
        <f t="shared" si="181"/>
        <v>0</v>
      </c>
      <c r="BQ425" s="71"/>
      <c r="BR425" s="71"/>
      <c r="BS425" s="138">
        <f t="shared" si="182"/>
        <v>0</v>
      </c>
      <c r="BU425" s="71"/>
      <c r="BV425" s="71"/>
      <c r="BW425" s="71">
        <f t="shared" si="183"/>
        <v>0</v>
      </c>
      <c r="BZ425" s="71"/>
      <c r="CA425" s="71"/>
      <c r="CB425" s="71">
        <f t="shared" si="184"/>
        <v>0</v>
      </c>
      <c r="CD425" s="71"/>
      <c r="CE425" s="71"/>
      <c r="CF425" s="71">
        <f t="shared" si="185"/>
        <v>0</v>
      </c>
      <c r="CH425" s="71"/>
      <c r="CI425" s="71"/>
      <c r="CJ425" s="138">
        <f t="shared" si="186"/>
        <v>0</v>
      </c>
      <c r="CL425" s="71"/>
      <c r="CM425" s="71"/>
      <c r="CN425" s="71">
        <f t="shared" si="187"/>
        <v>0</v>
      </c>
      <c r="CS425" s="102">
        <f t="shared" si="188"/>
        <v>4.5293954747099576</v>
      </c>
      <c r="CT425" s="102">
        <f t="shared" si="189"/>
        <v>18.675175962423801</v>
      </c>
      <c r="CZ425" s="109" t="str">
        <f t="shared" si="190"/>
        <v>Basso</v>
      </c>
    </row>
    <row r="426" spans="9:104" x14ac:dyDescent="0.15">
      <c r="I426" s="64">
        <f t="shared" si="168"/>
        <v>76.99972307006928</v>
      </c>
      <c r="M426" s="64">
        <f t="shared" si="169"/>
        <v>0</v>
      </c>
      <c r="Q426" s="64">
        <f t="shared" si="170"/>
        <v>0</v>
      </c>
      <c r="U426" s="64">
        <f t="shared" si="171"/>
        <v>0</v>
      </c>
      <c r="Y426" s="114">
        <f t="shared" si="172"/>
        <v>0</v>
      </c>
      <c r="AC426" s="64">
        <f t="shared" si="173"/>
        <v>0</v>
      </c>
      <c r="AE426" s="71"/>
      <c r="AF426" s="71"/>
      <c r="AG426" s="71">
        <f t="shared" si="174"/>
        <v>0</v>
      </c>
      <c r="AK426" s="64">
        <f t="shared" si="175"/>
        <v>0</v>
      </c>
      <c r="AM426" s="71"/>
      <c r="AN426" s="71"/>
      <c r="AO426" s="71">
        <f t="shared" si="176"/>
        <v>0</v>
      </c>
      <c r="AQ426" s="71"/>
      <c r="AR426" s="71"/>
      <c r="AS426" s="71">
        <f t="shared" si="177"/>
        <v>0</v>
      </c>
      <c r="AU426" s="71"/>
      <c r="AV426" s="71"/>
      <c r="AW426" s="71">
        <f t="shared" si="178"/>
        <v>0</v>
      </c>
      <c r="AY426" s="71"/>
      <c r="AZ426" s="71"/>
      <c r="BA426" s="71">
        <f t="shared" si="179"/>
        <v>0</v>
      </c>
      <c r="BI426" s="71"/>
      <c r="BJ426" s="71"/>
      <c r="BK426" s="71">
        <f t="shared" si="180"/>
        <v>0</v>
      </c>
      <c r="BM426" s="71"/>
      <c r="BN426" s="71"/>
      <c r="BO426" s="71">
        <f t="shared" si="181"/>
        <v>0</v>
      </c>
      <c r="BQ426" s="71"/>
      <c r="BR426" s="71"/>
      <c r="BS426" s="138">
        <f t="shared" si="182"/>
        <v>0</v>
      </c>
      <c r="BU426" s="71"/>
      <c r="BV426" s="71"/>
      <c r="BW426" s="71">
        <f t="shared" si="183"/>
        <v>0</v>
      </c>
      <c r="BZ426" s="71"/>
      <c r="CA426" s="71"/>
      <c r="CB426" s="71">
        <f t="shared" si="184"/>
        <v>0</v>
      </c>
      <c r="CD426" s="71"/>
      <c r="CE426" s="71"/>
      <c r="CF426" s="71">
        <f t="shared" si="185"/>
        <v>0</v>
      </c>
      <c r="CH426" s="71"/>
      <c r="CI426" s="71"/>
      <c r="CJ426" s="138">
        <f t="shared" si="186"/>
        <v>0</v>
      </c>
      <c r="CL426" s="71"/>
      <c r="CM426" s="71"/>
      <c r="CN426" s="71">
        <f t="shared" si="187"/>
        <v>0</v>
      </c>
      <c r="CS426" s="102">
        <f t="shared" si="188"/>
        <v>4.5293954747099576</v>
      </c>
      <c r="CT426" s="102">
        <f t="shared" si="189"/>
        <v>18.675175962423801</v>
      </c>
      <c r="CZ426" s="109" t="str">
        <f t="shared" si="190"/>
        <v>Basso</v>
      </c>
    </row>
    <row r="427" spans="9:104" x14ac:dyDescent="0.15">
      <c r="I427" s="64">
        <f t="shared" si="168"/>
        <v>76.99972307006928</v>
      </c>
      <c r="M427" s="64">
        <f t="shared" si="169"/>
        <v>0</v>
      </c>
      <c r="Q427" s="64">
        <f t="shared" si="170"/>
        <v>0</v>
      </c>
      <c r="U427" s="64">
        <f t="shared" si="171"/>
        <v>0</v>
      </c>
      <c r="Y427" s="114">
        <f t="shared" si="172"/>
        <v>0</v>
      </c>
      <c r="AC427" s="64">
        <f t="shared" si="173"/>
        <v>0</v>
      </c>
      <c r="AE427" s="71"/>
      <c r="AF427" s="71"/>
      <c r="AG427" s="71">
        <f t="shared" si="174"/>
        <v>0</v>
      </c>
      <c r="AK427" s="64">
        <f t="shared" si="175"/>
        <v>0</v>
      </c>
      <c r="AM427" s="71"/>
      <c r="AN427" s="71"/>
      <c r="AO427" s="71">
        <f t="shared" si="176"/>
        <v>0</v>
      </c>
      <c r="AQ427" s="71"/>
      <c r="AR427" s="71"/>
      <c r="AS427" s="71">
        <f t="shared" si="177"/>
        <v>0</v>
      </c>
      <c r="AU427" s="71"/>
      <c r="AV427" s="71"/>
      <c r="AW427" s="71">
        <f t="shared" si="178"/>
        <v>0</v>
      </c>
      <c r="AY427" s="71"/>
      <c r="AZ427" s="71"/>
      <c r="BA427" s="71">
        <f t="shared" si="179"/>
        <v>0</v>
      </c>
      <c r="BI427" s="71"/>
      <c r="BJ427" s="71"/>
      <c r="BK427" s="71">
        <f t="shared" si="180"/>
        <v>0</v>
      </c>
      <c r="BM427" s="71"/>
      <c r="BN427" s="71"/>
      <c r="BO427" s="71">
        <f t="shared" si="181"/>
        <v>0</v>
      </c>
      <c r="BQ427" s="71"/>
      <c r="BR427" s="71"/>
      <c r="BS427" s="138">
        <f t="shared" si="182"/>
        <v>0</v>
      </c>
      <c r="BU427" s="71"/>
      <c r="BV427" s="71"/>
      <c r="BW427" s="71">
        <f t="shared" si="183"/>
        <v>0</v>
      </c>
      <c r="BZ427" s="71"/>
      <c r="CA427" s="71"/>
      <c r="CB427" s="71">
        <f t="shared" si="184"/>
        <v>0</v>
      </c>
      <c r="CD427" s="71"/>
      <c r="CE427" s="71"/>
      <c r="CF427" s="71">
        <f t="shared" si="185"/>
        <v>0</v>
      </c>
      <c r="CH427" s="71"/>
      <c r="CI427" s="71"/>
      <c r="CJ427" s="138">
        <f t="shared" si="186"/>
        <v>0</v>
      </c>
      <c r="CL427" s="71"/>
      <c r="CM427" s="71"/>
      <c r="CN427" s="71">
        <f t="shared" si="187"/>
        <v>0</v>
      </c>
      <c r="CS427" s="102">
        <f t="shared" si="188"/>
        <v>4.5293954747099576</v>
      </c>
      <c r="CT427" s="102">
        <f t="shared" si="189"/>
        <v>18.675175962423801</v>
      </c>
      <c r="CZ427" s="109" t="str">
        <f t="shared" si="190"/>
        <v>Basso</v>
      </c>
    </row>
    <row r="428" spans="9:104" x14ac:dyDescent="0.15">
      <c r="I428" s="64">
        <f t="shared" si="168"/>
        <v>76.99972307006928</v>
      </c>
      <c r="M428" s="64">
        <f t="shared" si="169"/>
        <v>0</v>
      </c>
      <c r="Q428" s="64">
        <f t="shared" si="170"/>
        <v>0</v>
      </c>
      <c r="U428" s="64">
        <f t="shared" si="171"/>
        <v>0</v>
      </c>
      <c r="Y428" s="114">
        <f t="shared" si="172"/>
        <v>0</v>
      </c>
      <c r="AC428" s="64">
        <f t="shared" si="173"/>
        <v>0</v>
      </c>
      <c r="AE428" s="71"/>
      <c r="AF428" s="71"/>
      <c r="AG428" s="71">
        <f t="shared" si="174"/>
        <v>0</v>
      </c>
      <c r="AK428" s="64">
        <f t="shared" si="175"/>
        <v>0</v>
      </c>
      <c r="AM428" s="71"/>
      <c r="AN428" s="71"/>
      <c r="AO428" s="71">
        <f t="shared" si="176"/>
        <v>0</v>
      </c>
      <c r="AQ428" s="71"/>
      <c r="AR428" s="71"/>
      <c r="AS428" s="71">
        <f t="shared" si="177"/>
        <v>0</v>
      </c>
      <c r="AU428" s="71"/>
      <c r="AV428" s="71"/>
      <c r="AW428" s="71">
        <f t="shared" si="178"/>
        <v>0</v>
      </c>
      <c r="AY428" s="71"/>
      <c r="AZ428" s="71"/>
      <c r="BA428" s="71">
        <f t="shared" si="179"/>
        <v>0</v>
      </c>
      <c r="BI428" s="71"/>
      <c r="BJ428" s="71"/>
      <c r="BK428" s="71">
        <f t="shared" si="180"/>
        <v>0</v>
      </c>
      <c r="BM428" s="71"/>
      <c r="BN428" s="71"/>
      <c r="BO428" s="71">
        <f t="shared" si="181"/>
        <v>0</v>
      </c>
      <c r="BQ428" s="71"/>
      <c r="BR428" s="71"/>
      <c r="BS428" s="138">
        <f t="shared" si="182"/>
        <v>0</v>
      </c>
      <c r="BU428" s="71"/>
      <c r="BV428" s="71"/>
      <c r="BW428" s="71">
        <f t="shared" si="183"/>
        <v>0</v>
      </c>
      <c r="BZ428" s="71"/>
      <c r="CA428" s="71"/>
      <c r="CB428" s="71">
        <f t="shared" si="184"/>
        <v>0</v>
      </c>
      <c r="CD428" s="71"/>
      <c r="CE428" s="71"/>
      <c r="CF428" s="71">
        <f t="shared" si="185"/>
        <v>0</v>
      </c>
      <c r="CH428" s="71"/>
      <c r="CI428" s="71"/>
      <c r="CJ428" s="138">
        <f t="shared" si="186"/>
        <v>0</v>
      </c>
      <c r="CL428" s="71"/>
      <c r="CM428" s="71"/>
      <c r="CN428" s="71">
        <f t="shared" si="187"/>
        <v>0</v>
      </c>
      <c r="CS428" s="102">
        <f t="shared" si="188"/>
        <v>4.5293954747099576</v>
      </c>
      <c r="CT428" s="102">
        <f t="shared" si="189"/>
        <v>18.675175962423801</v>
      </c>
      <c r="CZ428" s="109" t="str">
        <f t="shared" si="190"/>
        <v>Basso</v>
      </c>
    </row>
    <row r="429" spans="9:104" x14ac:dyDescent="0.15">
      <c r="I429" s="64">
        <f t="shared" si="168"/>
        <v>76.99972307006928</v>
      </c>
      <c r="M429" s="64">
        <f t="shared" si="169"/>
        <v>0</v>
      </c>
      <c r="Q429" s="64">
        <f t="shared" si="170"/>
        <v>0</v>
      </c>
      <c r="U429" s="64">
        <f t="shared" si="171"/>
        <v>0</v>
      </c>
      <c r="Y429" s="114">
        <f t="shared" si="172"/>
        <v>0</v>
      </c>
      <c r="AC429" s="64">
        <f t="shared" si="173"/>
        <v>0</v>
      </c>
      <c r="AE429" s="71"/>
      <c r="AF429" s="71"/>
      <c r="AG429" s="71">
        <f t="shared" si="174"/>
        <v>0</v>
      </c>
      <c r="AK429" s="64">
        <f t="shared" si="175"/>
        <v>0</v>
      </c>
      <c r="AM429" s="71"/>
      <c r="AN429" s="71"/>
      <c r="AO429" s="71">
        <f t="shared" si="176"/>
        <v>0</v>
      </c>
      <c r="AQ429" s="71"/>
      <c r="AR429" s="71"/>
      <c r="AS429" s="71">
        <f t="shared" si="177"/>
        <v>0</v>
      </c>
      <c r="AU429" s="71"/>
      <c r="AV429" s="71"/>
      <c r="AW429" s="71">
        <f t="shared" si="178"/>
        <v>0</v>
      </c>
      <c r="AY429" s="71"/>
      <c r="AZ429" s="71"/>
      <c r="BA429" s="71">
        <f t="shared" si="179"/>
        <v>0</v>
      </c>
      <c r="BI429" s="71"/>
      <c r="BJ429" s="71"/>
      <c r="BK429" s="71">
        <f t="shared" si="180"/>
        <v>0</v>
      </c>
      <c r="BM429" s="71"/>
      <c r="BN429" s="71"/>
      <c r="BO429" s="71">
        <f t="shared" si="181"/>
        <v>0</v>
      </c>
      <c r="BQ429" s="71"/>
      <c r="BR429" s="71"/>
      <c r="BS429" s="138">
        <f t="shared" si="182"/>
        <v>0</v>
      </c>
      <c r="BU429" s="71"/>
      <c r="BV429" s="71"/>
      <c r="BW429" s="71">
        <f t="shared" si="183"/>
        <v>0</v>
      </c>
      <c r="BZ429" s="71"/>
      <c r="CA429" s="71"/>
      <c r="CB429" s="71">
        <f t="shared" si="184"/>
        <v>0</v>
      </c>
      <c r="CD429" s="71"/>
      <c r="CE429" s="71"/>
      <c r="CF429" s="71">
        <f t="shared" si="185"/>
        <v>0</v>
      </c>
      <c r="CH429" s="71"/>
      <c r="CI429" s="71"/>
      <c r="CJ429" s="138">
        <f t="shared" si="186"/>
        <v>0</v>
      </c>
      <c r="CL429" s="71"/>
      <c r="CM429" s="71"/>
      <c r="CN429" s="71">
        <f t="shared" si="187"/>
        <v>0</v>
      </c>
      <c r="CS429" s="102">
        <f t="shared" si="188"/>
        <v>4.5293954747099576</v>
      </c>
      <c r="CT429" s="102">
        <f t="shared" si="189"/>
        <v>18.675175962423801</v>
      </c>
      <c r="CZ429" s="109" t="str">
        <f t="shared" si="190"/>
        <v>Basso</v>
      </c>
    </row>
    <row r="430" spans="9:104" x14ac:dyDescent="0.15">
      <c r="I430" s="64">
        <f t="shared" si="168"/>
        <v>76.99972307006928</v>
      </c>
      <c r="M430" s="64">
        <f t="shared" si="169"/>
        <v>0</v>
      </c>
      <c r="Q430" s="64">
        <f t="shared" si="170"/>
        <v>0</v>
      </c>
      <c r="U430" s="64">
        <f t="shared" si="171"/>
        <v>0</v>
      </c>
      <c r="Y430" s="114">
        <f t="shared" si="172"/>
        <v>0</v>
      </c>
      <c r="AC430" s="64">
        <f t="shared" si="173"/>
        <v>0</v>
      </c>
      <c r="AE430" s="71"/>
      <c r="AF430" s="71"/>
      <c r="AG430" s="71">
        <f t="shared" si="174"/>
        <v>0</v>
      </c>
      <c r="AK430" s="64">
        <f t="shared" si="175"/>
        <v>0</v>
      </c>
      <c r="AM430" s="71"/>
      <c r="AN430" s="71"/>
      <c r="AO430" s="71">
        <f t="shared" si="176"/>
        <v>0</v>
      </c>
      <c r="AQ430" s="71"/>
      <c r="AR430" s="71"/>
      <c r="AS430" s="71">
        <f t="shared" si="177"/>
        <v>0</v>
      </c>
      <c r="AU430" s="71"/>
      <c r="AV430" s="71"/>
      <c r="AW430" s="71">
        <f t="shared" si="178"/>
        <v>0</v>
      </c>
      <c r="AY430" s="71"/>
      <c r="AZ430" s="71"/>
      <c r="BA430" s="71">
        <f t="shared" si="179"/>
        <v>0</v>
      </c>
      <c r="BI430" s="71"/>
      <c r="BJ430" s="71"/>
      <c r="BK430" s="71">
        <f t="shared" si="180"/>
        <v>0</v>
      </c>
      <c r="BM430" s="71"/>
      <c r="BN430" s="71"/>
      <c r="BO430" s="71">
        <f t="shared" si="181"/>
        <v>0</v>
      </c>
      <c r="BQ430" s="71"/>
      <c r="BR430" s="71"/>
      <c r="BS430" s="138">
        <f t="shared" si="182"/>
        <v>0</v>
      </c>
      <c r="BU430" s="71"/>
      <c r="BV430" s="71"/>
      <c r="BW430" s="71">
        <f t="shared" si="183"/>
        <v>0</v>
      </c>
      <c r="BZ430" s="71"/>
      <c r="CA430" s="71"/>
      <c r="CB430" s="71">
        <f t="shared" si="184"/>
        <v>0</v>
      </c>
      <c r="CD430" s="71"/>
      <c r="CE430" s="71"/>
      <c r="CF430" s="71">
        <f t="shared" si="185"/>
        <v>0</v>
      </c>
      <c r="CH430" s="71"/>
      <c r="CI430" s="71"/>
      <c r="CJ430" s="138">
        <f t="shared" si="186"/>
        <v>0</v>
      </c>
      <c r="CL430" s="71"/>
      <c r="CM430" s="71"/>
      <c r="CN430" s="71">
        <f t="shared" si="187"/>
        <v>0</v>
      </c>
      <c r="CS430" s="102">
        <f t="shared" si="188"/>
        <v>4.5293954747099576</v>
      </c>
      <c r="CT430" s="102">
        <f t="shared" si="189"/>
        <v>18.675175962423801</v>
      </c>
      <c r="CZ430" s="109" t="str">
        <f t="shared" si="190"/>
        <v>Basso</v>
      </c>
    </row>
    <row r="431" spans="9:104" x14ac:dyDescent="0.15">
      <c r="I431" s="64">
        <f t="shared" si="168"/>
        <v>76.99972307006928</v>
      </c>
      <c r="M431" s="64">
        <f t="shared" si="169"/>
        <v>0</v>
      </c>
      <c r="Q431" s="64">
        <f t="shared" si="170"/>
        <v>0</v>
      </c>
      <c r="U431" s="64">
        <f t="shared" si="171"/>
        <v>0</v>
      </c>
      <c r="Y431" s="114">
        <f t="shared" si="172"/>
        <v>0</v>
      </c>
      <c r="AC431" s="64">
        <f t="shared" si="173"/>
        <v>0</v>
      </c>
      <c r="AE431" s="71"/>
      <c r="AF431" s="71"/>
      <c r="AG431" s="71">
        <f t="shared" si="174"/>
        <v>0</v>
      </c>
      <c r="AK431" s="64">
        <f t="shared" si="175"/>
        <v>0</v>
      </c>
      <c r="AM431" s="71"/>
      <c r="AN431" s="71"/>
      <c r="AO431" s="71">
        <f t="shared" si="176"/>
        <v>0</v>
      </c>
      <c r="AQ431" s="71"/>
      <c r="AR431" s="71"/>
      <c r="AS431" s="71">
        <f t="shared" si="177"/>
        <v>0</v>
      </c>
      <c r="AU431" s="71"/>
      <c r="AV431" s="71"/>
      <c r="AW431" s="71">
        <f t="shared" si="178"/>
        <v>0</v>
      </c>
      <c r="AY431" s="71"/>
      <c r="AZ431" s="71"/>
      <c r="BA431" s="71">
        <f t="shared" si="179"/>
        <v>0</v>
      </c>
      <c r="BI431" s="71"/>
      <c r="BJ431" s="71"/>
      <c r="BK431" s="71">
        <f t="shared" si="180"/>
        <v>0</v>
      </c>
      <c r="BM431" s="71"/>
      <c r="BN431" s="71"/>
      <c r="BO431" s="71">
        <f t="shared" si="181"/>
        <v>0</v>
      </c>
      <c r="BQ431" s="71"/>
      <c r="BR431" s="71"/>
      <c r="BS431" s="138">
        <f t="shared" si="182"/>
        <v>0</v>
      </c>
      <c r="BU431" s="71"/>
      <c r="BV431" s="71"/>
      <c r="BW431" s="71">
        <f t="shared" si="183"/>
        <v>0</v>
      </c>
      <c r="BZ431" s="71"/>
      <c r="CA431" s="71"/>
      <c r="CB431" s="71">
        <f t="shared" si="184"/>
        <v>0</v>
      </c>
      <c r="CD431" s="71"/>
      <c r="CE431" s="71"/>
      <c r="CF431" s="71">
        <f t="shared" si="185"/>
        <v>0</v>
      </c>
      <c r="CH431" s="71"/>
      <c r="CI431" s="71"/>
      <c r="CJ431" s="138">
        <f t="shared" si="186"/>
        <v>0</v>
      </c>
      <c r="CL431" s="71"/>
      <c r="CM431" s="71"/>
      <c r="CN431" s="71">
        <f t="shared" si="187"/>
        <v>0</v>
      </c>
      <c r="CS431" s="102">
        <f t="shared" si="188"/>
        <v>4.5293954747099576</v>
      </c>
      <c r="CT431" s="102">
        <f t="shared" si="189"/>
        <v>18.675175962423801</v>
      </c>
      <c r="CZ431" s="109" t="str">
        <f t="shared" si="190"/>
        <v>Basso</v>
      </c>
    </row>
    <row r="432" spans="9:104" x14ac:dyDescent="0.15">
      <c r="I432" s="64">
        <f t="shared" si="168"/>
        <v>76.99972307006928</v>
      </c>
      <c r="M432" s="64">
        <f t="shared" si="169"/>
        <v>0</v>
      </c>
      <c r="Q432" s="64">
        <f t="shared" si="170"/>
        <v>0</v>
      </c>
      <c r="U432" s="64">
        <f t="shared" si="171"/>
        <v>0</v>
      </c>
      <c r="Y432" s="114">
        <f t="shared" si="172"/>
        <v>0</v>
      </c>
      <c r="AC432" s="64">
        <f t="shared" si="173"/>
        <v>0</v>
      </c>
      <c r="AE432" s="71"/>
      <c r="AF432" s="71"/>
      <c r="AG432" s="71">
        <f t="shared" si="174"/>
        <v>0</v>
      </c>
      <c r="AK432" s="64">
        <f t="shared" si="175"/>
        <v>0</v>
      </c>
      <c r="AM432" s="71"/>
      <c r="AN432" s="71"/>
      <c r="AO432" s="71">
        <f t="shared" si="176"/>
        <v>0</v>
      </c>
      <c r="AQ432" s="71"/>
      <c r="AR432" s="71"/>
      <c r="AS432" s="71">
        <f t="shared" si="177"/>
        <v>0</v>
      </c>
      <c r="AU432" s="71"/>
      <c r="AV432" s="71"/>
      <c r="AW432" s="71">
        <f t="shared" si="178"/>
        <v>0</v>
      </c>
      <c r="AY432" s="71"/>
      <c r="AZ432" s="71"/>
      <c r="BA432" s="71">
        <f t="shared" si="179"/>
        <v>0</v>
      </c>
      <c r="BI432" s="71"/>
      <c r="BJ432" s="71"/>
      <c r="BK432" s="71">
        <f t="shared" si="180"/>
        <v>0</v>
      </c>
      <c r="BM432" s="71"/>
      <c r="BN432" s="71"/>
      <c r="BO432" s="71">
        <f t="shared" si="181"/>
        <v>0</v>
      </c>
      <c r="BQ432" s="71"/>
      <c r="BR432" s="71"/>
      <c r="BS432" s="138">
        <f t="shared" si="182"/>
        <v>0</v>
      </c>
      <c r="BU432" s="71"/>
      <c r="BV432" s="71"/>
      <c r="BW432" s="71">
        <f t="shared" si="183"/>
        <v>0</v>
      </c>
      <c r="BZ432" s="71"/>
      <c r="CA432" s="71"/>
      <c r="CB432" s="71">
        <f t="shared" si="184"/>
        <v>0</v>
      </c>
      <c r="CD432" s="71"/>
      <c r="CE432" s="71"/>
      <c r="CF432" s="71">
        <f t="shared" si="185"/>
        <v>0</v>
      </c>
      <c r="CH432" s="71"/>
      <c r="CI432" s="71"/>
      <c r="CJ432" s="138">
        <f t="shared" si="186"/>
        <v>0</v>
      </c>
      <c r="CL432" s="71"/>
      <c r="CM432" s="71"/>
      <c r="CN432" s="71">
        <f t="shared" si="187"/>
        <v>0</v>
      </c>
      <c r="CS432" s="102">
        <f t="shared" si="188"/>
        <v>4.5293954747099576</v>
      </c>
      <c r="CT432" s="102">
        <f t="shared" si="189"/>
        <v>18.675175962423801</v>
      </c>
      <c r="CZ432" s="109" t="str">
        <f t="shared" si="190"/>
        <v>Basso</v>
      </c>
    </row>
    <row r="433" spans="9:104" x14ac:dyDescent="0.15">
      <c r="I433" s="64">
        <f t="shared" si="168"/>
        <v>76.99972307006928</v>
      </c>
      <c r="M433" s="64">
        <f t="shared" si="169"/>
        <v>0</v>
      </c>
      <c r="Q433" s="64">
        <f t="shared" si="170"/>
        <v>0</v>
      </c>
      <c r="U433" s="64">
        <f t="shared" si="171"/>
        <v>0</v>
      </c>
      <c r="Y433" s="114">
        <f t="shared" si="172"/>
        <v>0</v>
      </c>
      <c r="AC433" s="64">
        <f t="shared" si="173"/>
        <v>0</v>
      </c>
      <c r="AE433" s="71"/>
      <c r="AF433" s="71"/>
      <c r="AG433" s="71">
        <f t="shared" si="174"/>
        <v>0</v>
      </c>
      <c r="AK433" s="64">
        <f t="shared" si="175"/>
        <v>0</v>
      </c>
      <c r="AM433" s="71"/>
      <c r="AN433" s="71"/>
      <c r="AO433" s="71">
        <f t="shared" si="176"/>
        <v>0</v>
      </c>
      <c r="AQ433" s="71"/>
      <c r="AR433" s="71"/>
      <c r="AS433" s="71">
        <f t="shared" si="177"/>
        <v>0</v>
      </c>
      <c r="AU433" s="71"/>
      <c r="AV433" s="71"/>
      <c r="AW433" s="71">
        <f t="shared" si="178"/>
        <v>0</v>
      </c>
      <c r="AY433" s="71"/>
      <c r="AZ433" s="71"/>
      <c r="BA433" s="71">
        <f t="shared" si="179"/>
        <v>0</v>
      </c>
      <c r="BI433" s="71"/>
      <c r="BJ433" s="71"/>
      <c r="BK433" s="71">
        <f t="shared" si="180"/>
        <v>0</v>
      </c>
      <c r="BM433" s="71"/>
      <c r="BN433" s="71"/>
      <c r="BO433" s="71">
        <f t="shared" si="181"/>
        <v>0</v>
      </c>
      <c r="BQ433" s="71"/>
      <c r="BR433" s="71"/>
      <c r="BS433" s="138">
        <f t="shared" si="182"/>
        <v>0</v>
      </c>
      <c r="BU433" s="71"/>
      <c r="BV433" s="71"/>
      <c r="BW433" s="71">
        <f t="shared" si="183"/>
        <v>0</v>
      </c>
      <c r="BZ433" s="71"/>
      <c r="CA433" s="71"/>
      <c r="CB433" s="71">
        <f t="shared" si="184"/>
        <v>0</v>
      </c>
      <c r="CD433" s="71"/>
      <c r="CE433" s="71"/>
      <c r="CF433" s="71">
        <f t="shared" si="185"/>
        <v>0</v>
      </c>
      <c r="CH433" s="71"/>
      <c r="CI433" s="71"/>
      <c r="CJ433" s="138">
        <f t="shared" si="186"/>
        <v>0</v>
      </c>
      <c r="CL433" s="71"/>
      <c r="CM433" s="71"/>
      <c r="CN433" s="71">
        <f t="shared" si="187"/>
        <v>0</v>
      </c>
      <c r="CS433" s="102">
        <f t="shared" si="188"/>
        <v>4.5293954747099576</v>
      </c>
      <c r="CT433" s="102">
        <f t="shared" si="189"/>
        <v>18.675175962423801</v>
      </c>
      <c r="CZ433" s="109" t="str">
        <f t="shared" si="190"/>
        <v>Basso</v>
      </c>
    </row>
    <row r="434" spans="9:104" x14ac:dyDescent="0.15">
      <c r="I434" s="64">
        <f t="shared" si="168"/>
        <v>76.99972307006928</v>
      </c>
      <c r="M434" s="64">
        <f t="shared" si="169"/>
        <v>0</v>
      </c>
      <c r="Q434" s="64">
        <f t="shared" si="170"/>
        <v>0</v>
      </c>
      <c r="U434" s="64">
        <f t="shared" si="171"/>
        <v>0</v>
      </c>
      <c r="Y434" s="114">
        <f t="shared" si="172"/>
        <v>0</v>
      </c>
      <c r="AC434" s="64">
        <f t="shared" si="173"/>
        <v>0</v>
      </c>
      <c r="AE434" s="71"/>
      <c r="AF434" s="71"/>
      <c r="AG434" s="71">
        <f t="shared" si="174"/>
        <v>0</v>
      </c>
      <c r="AK434" s="64">
        <f t="shared" si="175"/>
        <v>0</v>
      </c>
      <c r="AM434" s="71"/>
      <c r="AN434" s="71"/>
      <c r="AO434" s="71">
        <f t="shared" si="176"/>
        <v>0</v>
      </c>
      <c r="AQ434" s="71"/>
      <c r="AR434" s="71"/>
      <c r="AS434" s="71">
        <f t="shared" si="177"/>
        <v>0</v>
      </c>
      <c r="AU434" s="71"/>
      <c r="AV434" s="71"/>
      <c r="AW434" s="71">
        <f t="shared" si="178"/>
        <v>0</v>
      </c>
      <c r="AY434" s="71"/>
      <c r="AZ434" s="71"/>
      <c r="BA434" s="71">
        <f t="shared" si="179"/>
        <v>0</v>
      </c>
      <c r="BI434" s="71"/>
      <c r="BJ434" s="71"/>
      <c r="BK434" s="71">
        <f t="shared" si="180"/>
        <v>0</v>
      </c>
      <c r="BM434" s="71"/>
      <c r="BN434" s="71"/>
      <c r="BO434" s="71">
        <f t="shared" si="181"/>
        <v>0</v>
      </c>
      <c r="BQ434" s="71"/>
      <c r="BR434" s="71"/>
      <c r="BS434" s="138">
        <f t="shared" si="182"/>
        <v>0</v>
      </c>
      <c r="BU434" s="71"/>
      <c r="BV434" s="71"/>
      <c r="BW434" s="71">
        <f t="shared" si="183"/>
        <v>0</v>
      </c>
      <c r="BZ434" s="71"/>
      <c r="CA434" s="71"/>
      <c r="CB434" s="71">
        <f t="shared" si="184"/>
        <v>0</v>
      </c>
      <c r="CD434" s="71"/>
      <c r="CE434" s="71"/>
      <c r="CF434" s="71">
        <f t="shared" si="185"/>
        <v>0</v>
      </c>
      <c r="CH434" s="71"/>
      <c r="CI434" s="71"/>
      <c r="CJ434" s="138">
        <f t="shared" si="186"/>
        <v>0</v>
      </c>
      <c r="CL434" s="71"/>
      <c r="CM434" s="71"/>
      <c r="CN434" s="71">
        <f t="shared" si="187"/>
        <v>0</v>
      </c>
      <c r="CS434" s="102">
        <f t="shared" si="188"/>
        <v>4.5293954747099576</v>
      </c>
      <c r="CT434" s="102">
        <f t="shared" si="189"/>
        <v>18.675175962423801</v>
      </c>
      <c r="CZ434" s="109" t="str">
        <f t="shared" si="190"/>
        <v>Basso</v>
      </c>
    </row>
    <row r="435" spans="9:104" x14ac:dyDescent="0.15">
      <c r="I435" s="64">
        <f t="shared" si="168"/>
        <v>76.99972307006928</v>
      </c>
      <c r="M435" s="64">
        <f t="shared" si="169"/>
        <v>0</v>
      </c>
      <c r="Q435" s="64">
        <f t="shared" si="170"/>
        <v>0</v>
      </c>
      <c r="U435" s="64">
        <f t="shared" si="171"/>
        <v>0</v>
      </c>
      <c r="Y435" s="114">
        <f t="shared" si="172"/>
        <v>0</v>
      </c>
      <c r="AC435" s="64">
        <f t="shared" si="173"/>
        <v>0</v>
      </c>
      <c r="AE435" s="71"/>
      <c r="AF435" s="71"/>
      <c r="AG435" s="71">
        <f t="shared" si="174"/>
        <v>0</v>
      </c>
      <c r="AK435" s="64">
        <f t="shared" si="175"/>
        <v>0</v>
      </c>
      <c r="AM435" s="71"/>
      <c r="AN435" s="71"/>
      <c r="AO435" s="71">
        <f t="shared" si="176"/>
        <v>0</v>
      </c>
      <c r="AQ435" s="71"/>
      <c r="AR435" s="71"/>
      <c r="AS435" s="71">
        <f t="shared" si="177"/>
        <v>0</v>
      </c>
      <c r="AU435" s="71"/>
      <c r="AV435" s="71"/>
      <c r="AW435" s="71">
        <f t="shared" si="178"/>
        <v>0</v>
      </c>
      <c r="AY435" s="71"/>
      <c r="AZ435" s="71"/>
      <c r="BA435" s="71">
        <f t="shared" si="179"/>
        <v>0</v>
      </c>
      <c r="BI435" s="71"/>
      <c r="BJ435" s="71"/>
      <c r="BK435" s="71">
        <f t="shared" si="180"/>
        <v>0</v>
      </c>
      <c r="BM435" s="71"/>
      <c r="BN435" s="71"/>
      <c r="BO435" s="71">
        <f t="shared" si="181"/>
        <v>0</v>
      </c>
      <c r="BQ435" s="71"/>
      <c r="BR435" s="71"/>
      <c r="BS435" s="138">
        <f t="shared" si="182"/>
        <v>0</v>
      </c>
      <c r="BU435" s="71"/>
      <c r="BV435" s="71"/>
      <c r="BW435" s="71">
        <f t="shared" si="183"/>
        <v>0</v>
      </c>
      <c r="BZ435" s="71"/>
      <c r="CA435" s="71"/>
      <c r="CB435" s="71">
        <f t="shared" si="184"/>
        <v>0</v>
      </c>
      <c r="CD435" s="71"/>
      <c r="CE435" s="71"/>
      <c r="CF435" s="71">
        <f t="shared" si="185"/>
        <v>0</v>
      </c>
      <c r="CH435" s="71"/>
      <c r="CI435" s="71"/>
      <c r="CJ435" s="138">
        <f t="shared" si="186"/>
        <v>0</v>
      </c>
      <c r="CL435" s="71"/>
      <c r="CM435" s="71"/>
      <c r="CN435" s="71">
        <f t="shared" si="187"/>
        <v>0</v>
      </c>
      <c r="CS435" s="102">
        <f t="shared" si="188"/>
        <v>4.5293954747099576</v>
      </c>
      <c r="CT435" s="102">
        <f t="shared" si="189"/>
        <v>18.675175962423801</v>
      </c>
      <c r="CZ435" s="109" t="str">
        <f t="shared" si="190"/>
        <v>Basso</v>
      </c>
    </row>
    <row r="436" spans="9:104" x14ac:dyDescent="0.15">
      <c r="I436" s="64">
        <f t="shared" si="168"/>
        <v>76.99972307006928</v>
      </c>
      <c r="M436" s="64">
        <f t="shared" si="169"/>
        <v>0</v>
      </c>
      <c r="Q436" s="64">
        <f t="shared" si="170"/>
        <v>0</v>
      </c>
      <c r="U436" s="64">
        <f t="shared" si="171"/>
        <v>0</v>
      </c>
      <c r="Y436" s="114">
        <f t="shared" si="172"/>
        <v>0</v>
      </c>
      <c r="AC436" s="64">
        <f t="shared" si="173"/>
        <v>0</v>
      </c>
      <c r="AE436" s="71"/>
      <c r="AF436" s="71"/>
      <c r="AG436" s="71">
        <f t="shared" si="174"/>
        <v>0</v>
      </c>
      <c r="AK436" s="64">
        <f t="shared" si="175"/>
        <v>0</v>
      </c>
      <c r="AM436" s="71"/>
      <c r="AN436" s="71"/>
      <c r="AO436" s="71">
        <f t="shared" si="176"/>
        <v>0</v>
      </c>
      <c r="AQ436" s="71"/>
      <c r="AR436" s="71"/>
      <c r="AS436" s="71">
        <f t="shared" si="177"/>
        <v>0</v>
      </c>
      <c r="AU436" s="71"/>
      <c r="AV436" s="71"/>
      <c r="AW436" s="71">
        <f t="shared" si="178"/>
        <v>0</v>
      </c>
      <c r="AY436" s="71"/>
      <c r="AZ436" s="71"/>
      <c r="BA436" s="71">
        <f t="shared" si="179"/>
        <v>0</v>
      </c>
      <c r="BI436" s="71"/>
      <c r="BJ436" s="71"/>
      <c r="BK436" s="71">
        <f t="shared" si="180"/>
        <v>0</v>
      </c>
      <c r="BM436" s="71"/>
      <c r="BN436" s="71"/>
      <c r="BO436" s="71">
        <f t="shared" si="181"/>
        <v>0</v>
      </c>
      <c r="BQ436" s="71"/>
      <c r="BR436" s="71"/>
      <c r="BS436" s="138">
        <f t="shared" si="182"/>
        <v>0</v>
      </c>
      <c r="BU436" s="71"/>
      <c r="BV436" s="71"/>
      <c r="BW436" s="71">
        <f t="shared" si="183"/>
        <v>0</v>
      </c>
      <c r="BZ436" s="71"/>
      <c r="CA436" s="71"/>
      <c r="CB436" s="71">
        <f t="shared" si="184"/>
        <v>0</v>
      </c>
      <c r="CD436" s="71"/>
      <c r="CE436" s="71"/>
      <c r="CF436" s="71">
        <f t="shared" si="185"/>
        <v>0</v>
      </c>
      <c r="CH436" s="71"/>
      <c r="CI436" s="71"/>
      <c r="CJ436" s="138">
        <f t="shared" si="186"/>
        <v>0</v>
      </c>
      <c r="CL436" s="71"/>
      <c r="CM436" s="71"/>
      <c r="CN436" s="71">
        <f t="shared" si="187"/>
        <v>0</v>
      </c>
      <c r="CS436" s="102">
        <f t="shared" si="188"/>
        <v>4.5293954747099576</v>
      </c>
      <c r="CT436" s="102">
        <f t="shared" si="189"/>
        <v>18.675175962423801</v>
      </c>
      <c r="CZ436" s="109" t="str">
        <f t="shared" si="190"/>
        <v>Basso</v>
      </c>
    </row>
    <row r="437" spans="9:104" x14ac:dyDescent="0.15">
      <c r="I437" s="64">
        <f t="shared" si="168"/>
        <v>76.99972307006928</v>
      </c>
      <c r="M437" s="64">
        <f t="shared" si="169"/>
        <v>0</v>
      </c>
      <c r="Q437" s="64">
        <f t="shared" si="170"/>
        <v>0</v>
      </c>
      <c r="U437" s="64">
        <f t="shared" si="171"/>
        <v>0</v>
      </c>
      <c r="Y437" s="114">
        <f t="shared" si="172"/>
        <v>0</v>
      </c>
      <c r="AC437" s="64">
        <f t="shared" si="173"/>
        <v>0</v>
      </c>
      <c r="AE437" s="71"/>
      <c r="AF437" s="71"/>
      <c r="AG437" s="71">
        <f t="shared" si="174"/>
        <v>0</v>
      </c>
      <c r="AK437" s="64">
        <f t="shared" si="175"/>
        <v>0</v>
      </c>
      <c r="AM437" s="71"/>
      <c r="AN437" s="71"/>
      <c r="AO437" s="71">
        <f t="shared" si="176"/>
        <v>0</v>
      </c>
      <c r="AQ437" s="71"/>
      <c r="AR437" s="71"/>
      <c r="AS437" s="71">
        <f t="shared" si="177"/>
        <v>0</v>
      </c>
      <c r="AU437" s="71"/>
      <c r="AV437" s="71"/>
      <c r="AW437" s="71">
        <f t="shared" si="178"/>
        <v>0</v>
      </c>
      <c r="AY437" s="71"/>
      <c r="AZ437" s="71"/>
      <c r="BA437" s="71">
        <f t="shared" si="179"/>
        <v>0</v>
      </c>
      <c r="BI437" s="71"/>
      <c r="BJ437" s="71"/>
      <c r="BK437" s="71">
        <f t="shared" si="180"/>
        <v>0</v>
      </c>
      <c r="BM437" s="71"/>
      <c r="BN437" s="71"/>
      <c r="BO437" s="71">
        <f t="shared" si="181"/>
        <v>0</v>
      </c>
      <c r="BQ437" s="71"/>
      <c r="BR437" s="71"/>
      <c r="BS437" s="138">
        <f t="shared" si="182"/>
        <v>0</v>
      </c>
      <c r="BU437" s="71"/>
      <c r="BV437" s="71"/>
      <c r="BW437" s="71">
        <f t="shared" si="183"/>
        <v>0</v>
      </c>
      <c r="BZ437" s="71"/>
      <c r="CA437" s="71"/>
      <c r="CB437" s="71">
        <f t="shared" si="184"/>
        <v>0</v>
      </c>
      <c r="CD437" s="71"/>
      <c r="CE437" s="71"/>
      <c r="CF437" s="71">
        <f t="shared" si="185"/>
        <v>0</v>
      </c>
      <c r="CH437" s="71"/>
      <c r="CI437" s="71"/>
      <c r="CJ437" s="138">
        <f t="shared" si="186"/>
        <v>0</v>
      </c>
      <c r="CL437" s="71"/>
      <c r="CM437" s="71"/>
      <c r="CN437" s="71">
        <f t="shared" si="187"/>
        <v>0</v>
      </c>
      <c r="CS437" s="102">
        <f t="shared" si="188"/>
        <v>4.5293954747099576</v>
      </c>
      <c r="CT437" s="102">
        <f t="shared" si="189"/>
        <v>18.675175962423801</v>
      </c>
      <c r="CZ437" s="109" t="str">
        <f t="shared" si="190"/>
        <v>Basso</v>
      </c>
    </row>
    <row r="438" spans="9:104" x14ac:dyDescent="0.15">
      <c r="I438" s="64">
        <f t="shared" si="168"/>
        <v>76.99972307006928</v>
      </c>
      <c r="M438" s="64">
        <f t="shared" si="169"/>
        <v>0</v>
      </c>
      <c r="Q438" s="64">
        <f t="shared" si="170"/>
        <v>0</v>
      </c>
      <c r="U438" s="64">
        <f t="shared" si="171"/>
        <v>0</v>
      </c>
      <c r="Y438" s="114">
        <f t="shared" si="172"/>
        <v>0</v>
      </c>
      <c r="AC438" s="64">
        <f t="shared" si="173"/>
        <v>0</v>
      </c>
      <c r="AE438" s="71"/>
      <c r="AF438" s="71"/>
      <c r="AG438" s="71">
        <f t="shared" si="174"/>
        <v>0</v>
      </c>
      <c r="AK438" s="64">
        <f t="shared" si="175"/>
        <v>0</v>
      </c>
      <c r="AM438" s="71"/>
      <c r="AN438" s="71"/>
      <c r="AO438" s="71">
        <f t="shared" si="176"/>
        <v>0</v>
      </c>
      <c r="AQ438" s="71"/>
      <c r="AR438" s="71"/>
      <c r="AS438" s="71">
        <f t="shared" si="177"/>
        <v>0</v>
      </c>
      <c r="AU438" s="71"/>
      <c r="AV438" s="71"/>
      <c r="AW438" s="71">
        <f t="shared" si="178"/>
        <v>0</v>
      </c>
      <c r="AY438" s="71"/>
      <c r="AZ438" s="71"/>
      <c r="BA438" s="71">
        <f t="shared" si="179"/>
        <v>0</v>
      </c>
      <c r="BI438" s="71"/>
      <c r="BJ438" s="71"/>
      <c r="BK438" s="71">
        <f t="shared" si="180"/>
        <v>0</v>
      </c>
      <c r="BM438" s="71"/>
      <c r="BN438" s="71"/>
      <c r="BO438" s="71">
        <f t="shared" si="181"/>
        <v>0</v>
      </c>
      <c r="BQ438" s="71"/>
      <c r="BR438" s="71"/>
      <c r="BS438" s="138">
        <f t="shared" si="182"/>
        <v>0</v>
      </c>
      <c r="BU438" s="71"/>
      <c r="BV438" s="71"/>
      <c r="BW438" s="71">
        <f t="shared" si="183"/>
        <v>0</v>
      </c>
      <c r="BZ438" s="71"/>
      <c r="CA438" s="71"/>
      <c r="CB438" s="71">
        <f t="shared" si="184"/>
        <v>0</v>
      </c>
      <c r="CD438" s="71"/>
      <c r="CE438" s="71"/>
      <c r="CF438" s="71">
        <f t="shared" si="185"/>
        <v>0</v>
      </c>
      <c r="CH438" s="71"/>
      <c r="CI438" s="71"/>
      <c r="CJ438" s="138">
        <f t="shared" si="186"/>
        <v>0</v>
      </c>
      <c r="CL438" s="71"/>
      <c r="CM438" s="71"/>
      <c r="CN438" s="71">
        <f t="shared" si="187"/>
        <v>0</v>
      </c>
      <c r="CS438" s="102">
        <f t="shared" si="188"/>
        <v>4.5293954747099576</v>
      </c>
      <c r="CT438" s="102">
        <f t="shared" si="189"/>
        <v>18.675175962423801</v>
      </c>
      <c r="CZ438" s="109" t="str">
        <f t="shared" si="190"/>
        <v>Basso</v>
      </c>
    </row>
    <row r="439" spans="9:104" x14ac:dyDescent="0.15">
      <c r="I439" s="64">
        <f t="shared" si="168"/>
        <v>76.99972307006928</v>
      </c>
      <c r="M439" s="64">
        <f t="shared" si="169"/>
        <v>0</v>
      </c>
      <c r="Q439" s="64">
        <f t="shared" si="170"/>
        <v>0</v>
      </c>
      <c r="U439" s="64">
        <f t="shared" si="171"/>
        <v>0</v>
      </c>
      <c r="Y439" s="114">
        <f t="shared" si="172"/>
        <v>0</v>
      </c>
      <c r="AC439" s="64">
        <f t="shared" si="173"/>
        <v>0</v>
      </c>
      <c r="AE439" s="71"/>
      <c r="AF439" s="71"/>
      <c r="AG439" s="71">
        <f t="shared" si="174"/>
        <v>0</v>
      </c>
      <c r="AK439" s="64">
        <f t="shared" si="175"/>
        <v>0</v>
      </c>
      <c r="AM439" s="71"/>
      <c r="AN439" s="71"/>
      <c r="AO439" s="71">
        <f t="shared" si="176"/>
        <v>0</v>
      </c>
      <c r="AQ439" s="71"/>
      <c r="AR439" s="71"/>
      <c r="AS439" s="71">
        <f t="shared" si="177"/>
        <v>0</v>
      </c>
      <c r="AU439" s="71"/>
      <c r="AV439" s="71"/>
      <c r="AW439" s="71">
        <f t="shared" si="178"/>
        <v>0</v>
      </c>
      <c r="AY439" s="71"/>
      <c r="AZ439" s="71"/>
      <c r="BA439" s="71">
        <f t="shared" si="179"/>
        <v>0</v>
      </c>
      <c r="BI439" s="71"/>
      <c r="BJ439" s="71"/>
      <c r="BK439" s="71">
        <f t="shared" si="180"/>
        <v>0</v>
      </c>
      <c r="BM439" s="71"/>
      <c r="BN439" s="71"/>
      <c r="BO439" s="71">
        <f t="shared" si="181"/>
        <v>0</v>
      </c>
      <c r="BQ439" s="71"/>
      <c r="BR439" s="71"/>
      <c r="BS439" s="138">
        <f t="shared" si="182"/>
        <v>0</v>
      </c>
      <c r="BU439" s="71"/>
      <c r="BV439" s="71"/>
      <c r="BW439" s="71">
        <f t="shared" si="183"/>
        <v>0</v>
      </c>
      <c r="BZ439" s="71"/>
      <c r="CA439" s="71"/>
      <c r="CB439" s="71">
        <f t="shared" si="184"/>
        <v>0</v>
      </c>
      <c r="CD439" s="71"/>
      <c r="CE439" s="71"/>
      <c r="CF439" s="71">
        <f t="shared" si="185"/>
        <v>0</v>
      </c>
      <c r="CH439" s="71"/>
      <c r="CI439" s="71"/>
      <c r="CJ439" s="138">
        <f t="shared" si="186"/>
        <v>0</v>
      </c>
      <c r="CL439" s="71"/>
      <c r="CM439" s="71"/>
      <c r="CN439" s="71">
        <f t="shared" si="187"/>
        <v>0</v>
      </c>
      <c r="CS439" s="102">
        <f t="shared" si="188"/>
        <v>4.5293954747099576</v>
      </c>
      <c r="CT439" s="102">
        <f t="shared" si="189"/>
        <v>18.675175962423801</v>
      </c>
      <c r="CZ439" s="109" t="str">
        <f t="shared" si="190"/>
        <v>Basso</v>
      </c>
    </row>
    <row r="440" spans="9:104" x14ac:dyDescent="0.15">
      <c r="I440" s="64">
        <f t="shared" si="168"/>
        <v>76.99972307006928</v>
      </c>
      <c r="M440" s="64">
        <f t="shared" si="169"/>
        <v>0</v>
      </c>
      <c r="Q440" s="64">
        <f t="shared" si="170"/>
        <v>0</v>
      </c>
      <c r="U440" s="64">
        <f t="shared" si="171"/>
        <v>0</v>
      </c>
      <c r="Y440" s="114">
        <f t="shared" si="172"/>
        <v>0</v>
      </c>
      <c r="AC440" s="64">
        <f t="shared" si="173"/>
        <v>0</v>
      </c>
      <c r="AE440" s="71"/>
      <c r="AF440" s="71"/>
      <c r="AG440" s="71">
        <f t="shared" si="174"/>
        <v>0</v>
      </c>
      <c r="AK440" s="64">
        <f t="shared" si="175"/>
        <v>0</v>
      </c>
      <c r="AM440" s="71"/>
      <c r="AN440" s="71"/>
      <c r="AO440" s="71">
        <f t="shared" si="176"/>
        <v>0</v>
      </c>
      <c r="AQ440" s="71"/>
      <c r="AR440" s="71"/>
      <c r="AS440" s="71">
        <f t="shared" si="177"/>
        <v>0</v>
      </c>
      <c r="AU440" s="71"/>
      <c r="AV440" s="71"/>
      <c r="AW440" s="71">
        <f t="shared" si="178"/>
        <v>0</v>
      </c>
      <c r="AY440" s="71"/>
      <c r="AZ440" s="71"/>
      <c r="BA440" s="71">
        <f t="shared" si="179"/>
        <v>0</v>
      </c>
      <c r="BI440" s="71"/>
      <c r="BJ440" s="71"/>
      <c r="BK440" s="71">
        <f t="shared" si="180"/>
        <v>0</v>
      </c>
      <c r="BM440" s="71"/>
      <c r="BN440" s="71"/>
      <c r="BO440" s="71">
        <f t="shared" si="181"/>
        <v>0</v>
      </c>
      <c r="BQ440" s="71"/>
      <c r="BR440" s="71"/>
      <c r="BS440" s="138">
        <f t="shared" si="182"/>
        <v>0</v>
      </c>
      <c r="BU440" s="71"/>
      <c r="BV440" s="71"/>
      <c r="BW440" s="71">
        <f t="shared" si="183"/>
        <v>0</v>
      </c>
      <c r="BZ440" s="71"/>
      <c r="CA440" s="71"/>
      <c r="CB440" s="71">
        <f t="shared" si="184"/>
        <v>0</v>
      </c>
      <c r="CD440" s="71"/>
      <c r="CE440" s="71"/>
      <c r="CF440" s="71">
        <f t="shared" si="185"/>
        <v>0</v>
      </c>
      <c r="CH440" s="71"/>
      <c r="CI440" s="71"/>
      <c r="CJ440" s="138">
        <f t="shared" si="186"/>
        <v>0</v>
      </c>
      <c r="CL440" s="71"/>
      <c r="CM440" s="71"/>
      <c r="CN440" s="71">
        <f t="shared" si="187"/>
        <v>0</v>
      </c>
      <c r="CS440" s="102">
        <f t="shared" si="188"/>
        <v>4.5293954747099576</v>
      </c>
      <c r="CT440" s="102">
        <f t="shared" si="189"/>
        <v>18.675175962423801</v>
      </c>
      <c r="CZ440" s="109" t="str">
        <f t="shared" si="190"/>
        <v>Basso</v>
      </c>
    </row>
    <row r="441" spans="9:104" x14ac:dyDescent="0.15">
      <c r="I441" s="64">
        <f t="shared" si="168"/>
        <v>76.99972307006928</v>
      </c>
      <c r="M441" s="64">
        <f t="shared" si="169"/>
        <v>0</v>
      </c>
      <c r="Q441" s="64">
        <f t="shared" si="170"/>
        <v>0</v>
      </c>
      <c r="U441" s="64">
        <f t="shared" si="171"/>
        <v>0</v>
      </c>
      <c r="Y441" s="114">
        <f t="shared" si="172"/>
        <v>0</v>
      </c>
      <c r="AC441" s="64">
        <f t="shared" si="173"/>
        <v>0</v>
      </c>
      <c r="AE441" s="71"/>
      <c r="AF441" s="71"/>
      <c r="AG441" s="71">
        <f t="shared" si="174"/>
        <v>0</v>
      </c>
      <c r="AK441" s="64">
        <f t="shared" si="175"/>
        <v>0</v>
      </c>
      <c r="AM441" s="71"/>
      <c r="AN441" s="71"/>
      <c r="AO441" s="71">
        <f t="shared" si="176"/>
        <v>0</v>
      </c>
      <c r="AQ441" s="71"/>
      <c r="AR441" s="71"/>
      <c r="AS441" s="71">
        <f t="shared" si="177"/>
        <v>0</v>
      </c>
      <c r="AU441" s="71"/>
      <c r="AV441" s="71"/>
      <c r="AW441" s="71">
        <f t="shared" si="178"/>
        <v>0</v>
      </c>
      <c r="AY441" s="71"/>
      <c r="AZ441" s="71"/>
      <c r="BA441" s="71">
        <f t="shared" si="179"/>
        <v>0</v>
      </c>
      <c r="BI441" s="71"/>
      <c r="BJ441" s="71"/>
      <c r="BK441" s="71">
        <f t="shared" si="180"/>
        <v>0</v>
      </c>
      <c r="BM441" s="71"/>
      <c r="BN441" s="71"/>
      <c r="BO441" s="71">
        <f t="shared" si="181"/>
        <v>0</v>
      </c>
      <c r="BQ441" s="71"/>
      <c r="BR441" s="71"/>
      <c r="BS441" s="138">
        <f t="shared" si="182"/>
        <v>0</v>
      </c>
      <c r="BU441" s="71"/>
      <c r="BV441" s="71"/>
      <c r="BW441" s="71">
        <f t="shared" si="183"/>
        <v>0</v>
      </c>
      <c r="BZ441" s="71"/>
      <c r="CA441" s="71"/>
      <c r="CB441" s="71">
        <f t="shared" si="184"/>
        <v>0</v>
      </c>
      <c r="CD441" s="71"/>
      <c r="CE441" s="71"/>
      <c r="CF441" s="71">
        <f t="shared" si="185"/>
        <v>0</v>
      </c>
      <c r="CH441" s="71"/>
      <c r="CI441" s="71"/>
      <c r="CJ441" s="138">
        <f t="shared" si="186"/>
        <v>0</v>
      </c>
      <c r="CL441" s="71"/>
      <c r="CM441" s="71"/>
      <c r="CN441" s="71">
        <f t="shared" si="187"/>
        <v>0</v>
      </c>
      <c r="CS441" s="102">
        <f t="shared" si="188"/>
        <v>4.5293954747099576</v>
      </c>
      <c r="CT441" s="102">
        <f t="shared" si="189"/>
        <v>18.675175962423801</v>
      </c>
      <c r="CZ441" s="109" t="str">
        <f t="shared" si="190"/>
        <v>Basso</v>
      </c>
    </row>
    <row r="442" spans="9:104" x14ac:dyDescent="0.15">
      <c r="I442" s="64">
        <f t="shared" si="168"/>
        <v>76.99972307006928</v>
      </c>
      <c r="M442" s="64">
        <f t="shared" si="169"/>
        <v>0</v>
      </c>
      <c r="Q442" s="64">
        <f t="shared" si="170"/>
        <v>0</v>
      </c>
      <c r="U442" s="64">
        <f t="shared" si="171"/>
        <v>0</v>
      </c>
      <c r="Y442" s="114">
        <f t="shared" si="172"/>
        <v>0</v>
      </c>
      <c r="AC442" s="64">
        <f t="shared" si="173"/>
        <v>0</v>
      </c>
      <c r="AE442" s="71"/>
      <c r="AF442" s="71"/>
      <c r="AG442" s="71">
        <f t="shared" si="174"/>
        <v>0</v>
      </c>
      <c r="AK442" s="64">
        <f t="shared" si="175"/>
        <v>0</v>
      </c>
      <c r="AM442" s="71"/>
      <c r="AN442" s="71"/>
      <c r="AO442" s="71">
        <f t="shared" si="176"/>
        <v>0</v>
      </c>
      <c r="AQ442" s="71"/>
      <c r="AR442" s="71"/>
      <c r="AS442" s="71">
        <f t="shared" si="177"/>
        <v>0</v>
      </c>
      <c r="AU442" s="71"/>
      <c r="AV442" s="71"/>
      <c r="AW442" s="71">
        <f t="shared" si="178"/>
        <v>0</v>
      </c>
      <c r="AY442" s="71"/>
      <c r="AZ442" s="71"/>
      <c r="BA442" s="71">
        <f t="shared" si="179"/>
        <v>0</v>
      </c>
      <c r="BI442" s="71"/>
      <c r="BJ442" s="71"/>
      <c r="BK442" s="71">
        <f t="shared" si="180"/>
        <v>0</v>
      </c>
      <c r="BM442" s="71"/>
      <c r="BN442" s="71"/>
      <c r="BO442" s="71">
        <f t="shared" si="181"/>
        <v>0</v>
      </c>
      <c r="BQ442" s="71"/>
      <c r="BR442" s="71"/>
      <c r="BS442" s="138">
        <f t="shared" si="182"/>
        <v>0</v>
      </c>
      <c r="BU442" s="71"/>
      <c r="BV442" s="71"/>
      <c r="BW442" s="71">
        <f t="shared" si="183"/>
        <v>0</v>
      </c>
      <c r="BZ442" s="71"/>
      <c r="CA442" s="71"/>
      <c r="CB442" s="71">
        <f t="shared" si="184"/>
        <v>0</v>
      </c>
      <c r="CD442" s="71"/>
      <c r="CE442" s="71"/>
      <c r="CF442" s="71">
        <f t="shared" si="185"/>
        <v>0</v>
      </c>
      <c r="CH442" s="71"/>
      <c r="CI442" s="71"/>
      <c r="CJ442" s="138">
        <f t="shared" si="186"/>
        <v>0</v>
      </c>
      <c r="CL442" s="71"/>
      <c r="CM442" s="71"/>
      <c r="CN442" s="71">
        <f t="shared" si="187"/>
        <v>0</v>
      </c>
      <c r="CS442" s="102">
        <f t="shared" si="188"/>
        <v>4.5293954747099576</v>
      </c>
      <c r="CT442" s="102">
        <f t="shared" si="189"/>
        <v>18.675175962423801</v>
      </c>
      <c r="CZ442" s="109" t="str">
        <f t="shared" si="190"/>
        <v>Basso</v>
      </c>
    </row>
    <row r="443" spans="9:104" x14ac:dyDescent="0.15">
      <c r="I443" s="64">
        <f t="shared" si="168"/>
        <v>76.99972307006928</v>
      </c>
      <c r="M443" s="64">
        <f t="shared" si="169"/>
        <v>0</v>
      </c>
      <c r="Q443" s="64">
        <f t="shared" si="170"/>
        <v>0</v>
      </c>
      <c r="U443" s="64">
        <f t="shared" si="171"/>
        <v>0</v>
      </c>
      <c r="Y443" s="114">
        <f t="shared" si="172"/>
        <v>0</v>
      </c>
      <c r="AC443" s="64">
        <f t="shared" si="173"/>
        <v>0</v>
      </c>
      <c r="AE443" s="71"/>
      <c r="AF443" s="71"/>
      <c r="AG443" s="71">
        <f t="shared" si="174"/>
        <v>0</v>
      </c>
      <c r="AK443" s="64">
        <f t="shared" si="175"/>
        <v>0</v>
      </c>
      <c r="AM443" s="71"/>
      <c r="AN443" s="71"/>
      <c r="AO443" s="71">
        <f t="shared" si="176"/>
        <v>0</v>
      </c>
      <c r="AQ443" s="71"/>
      <c r="AR443" s="71"/>
      <c r="AS443" s="71">
        <f t="shared" si="177"/>
        <v>0</v>
      </c>
      <c r="AU443" s="71"/>
      <c r="AV443" s="71"/>
      <c r="AW443" s="71">
        <f t="shared" si="178"/>
        <v>0</v>
      </c>
      <c r="AY443" s="71"/>
      <c r="AZ443" s="71"/>
      <c r="BA443" s="71">
        <f t="shared" si="179"/>
        <v>0</v>
      </c>
      <c r="BI443" s="71"/>
      <c r="BJ443" s="71"/>
      <c r="BK443" s="71">
        <f t="shared" si="180"/>
        <v>0</v>
      </c>
      <c r="BM443" s="71"/>
      <c r="BN443" s="71"/>
      <c r="BO443" s="71">
        <f t="shared" si="181"/>
        <v>0</v>
      </c>
      <c r="BQ443" s="71"/>
      <c r="BR443" s="71"/>
      <c r="BS443" s="138">
        <f t="shared" si="182"/>
        <v>0</v>
      </c>
      <c r="BU443" s="71"/>
      <c r="BV443" s="71"/>
      <c r="BW443" s="71">
        <f t="shared" si="183"/>
        <v>0</v>
      </c>
      <c r="BZ443" s="71"/>
      <c r="CA443" s="71"/>
      <c r="CB443" s="71">
        <f t="shared" si="184"/>
        <v>0</v>
      </c>
      <c r="CD443" s="71"/>
      <c r="CE443" s="71"/>
      <c r="CF443" s="71">
        <f t="shared" si="185"/>
        <v>0</v>
      </c>
      <c r="CH443" s="71"/>
      <c r="CI443" s="71"/>
      <c r="CJ443" s="138">
        <f t="shared" si="186"/>
        <v>0</v>
      </c>
      <c r="CL443" s="71"/>
      <c r="CM443" s="71"/>
      <c r="CN443" s="71">
        <f t="shared" si="187"/>
        <v>0</v>
      </c>
      <c r="CS443" s="102">
        <f t="shared" si="188"/>
        <v>4.5293954747099576</v>
      </c>
      <c r="CT443" s="102">
        <f t="shared" si="189"/>
        <v>18.675175962423801</v>
      </c>
      <c r="CZ443" s="109" t="str">
        <f t="shared" si="190"/>
        <v>Basso</v>
      </c>
    </row>
    <row r="444" spans="9:104" x14ac:dyDescent="0.15">
      <c r="I444" s="64">
        <f t="shared" si="168"/>
        <v>76.99972307006928</v>
      </c>
      <c r="M444" s="64">
        <f t="shared" si="169"/>
        <v>0</v>
      </c>
      <c r="Q444" s="64">
        <f t="shared" si="170"/>
        <v>0</v>
      </c>
      <c r="U444" s="64">
        <f t="shared" si="171"/>
        <v>0</v>
      </c>
      <c r="Y444" s="114">
        <f t="shared" si="172"/>
        <v>0</v>
      </c>
      <c r="AC444" s="64">
        <f t="shared" si="173"/>
        <v>0</v>
      </c>
      <c r="AE444" s="71"/>
      <c r="AF444" s="71"/>
      <c r="AG444" s="71">
        <f t="shared" si="174"/>
        <v>0</v>
      </c>
      <c r="AK444" s="64">
        <f t="shared" si="175"/>
        <v>0</v>
      </c>
      <c r="AM444" s="71"/>
      <c r="AN444" s="71"/>
      <c r="AO444" s="71">
        <f t="shared" si="176"/>
        <v>0</v>
      </c>
      <c r="AQ444" s="71"/>
      <c r="AR444" s="71"/>
      <c r="AS444" s="71">
        <f t="shared" si="177"/>
        <v>0</v>
      </c>
      <c r="AU444" s="71"/>
      <c r="AV444" s="71"/>
      <c r="AW444" s="71">
        <f t="shared" si="178"/>
        <v>0</v>
      </c>
      <c r="AY444" s="71"/>
      <c r="AZ444" s="71"/>
      <c r="BA444" s="71">
        <f t="shared" si="179"/>
        <v>0</v>
      </c>
      <c r="BI444" s="71"/>
      <c r="BJ444" s="71"/>
      <c r="BK444" s="71">
        <f t="shared" si="180"/>
        <v>0</v>
      </c>
      <c r="BM444" s="71"/>
      <c r="BN444" s="71"/>
      <c r="BO444" s="71">
        <f t="shared" si="181"/>
        <v>0</v>
      </c>
      <c r="BQ444" s="71"/>
      <c r="BR444" s="71"/>
      <c r="BS444" s="138">
        <f t="shared" si="182"/>
        <v>0</v>
      </c>
      <c r="BU444" s="71"/>
      <c r="BV444" s="71"/>
      <c r="BW444" s="71">
        <f t="shared" si="183"/>
        <v>0</v>
      </c>
      <c r="BZ444" s="71"/>
      <c r="CA444" s="71"/>
      <c r="CB444" s="71">
        <f t="shared" si="184"/>
        <v>0</v>
      </c>
      <c r="CD444" s="71"/>
      <c r="CE444" s="71"/>
      <c r="CF444" s="71">
        <f t="shared" si="185"/>
        <v>0</v>
      </c>
      <c r="CH444" s="71"/>
      <c r="CI444" s="71"/>
      <c r="CJ444" s="138">
        <f t="shared" si="186"/>
        <v>0</v>
      </c>
      <c r="CL444" s="71"/>
      <c r="CM444" s="71"/>
      <c r="CN444" s="71">
        <f t="shared" si="187"/>
        <v>0</v>
      </c>
      <c r="CS444" s="102">
        <f t="shared" si="188"/>
        <v>4.5293954747099576</v>
      </c>
      <c r="CT444" s="102">
        <f t="shared" si="189"/>
        <v>18.675175962423801</v>
      </c>
      <c r="CZ444" s="109" t="str">
        <f t="shared" si="190"/>
        <v>Basso</v>
      </c>
    </row>
    <row r="445" spans="9:104" x14ac:dyDescent="0.15">
      <c r="I445" s="64">
        <f t="shared" si="168"/>
        <v>76.99972307006928</v>
      </c>
      <c r="M445" s="64">
        <f t="shared" si="169"/>
        <v>0</v>
      </c>
      <c r="Q445" s="64">
        <f t="shared" si="170"/>
        <v>0</v>
      </c>
      <c r="U445" s="64">
        <f t="shared" si="171"/>
        <v>0</v>
      </c>
      <c r="Y445" s="114">
        <f t="shared" si="172"/>
        <v>0</v>
      </c>
      <c r="AC445" s="64">
        <f t="shared" si="173"/>
        <v>0</v>
      </c>
      <c r="AE445" s="71"/>
      <c r="AF445" s="71"/>
      <c r="AG445" s="71">
        <f t="shared" si="174"/>
        <v>0</v>
      </c>
      <c r="AK445" s="64">
        <f t="shared" si="175"/>
        <v>0</v>
      </c>
      <c r="AM445" s="71"/>
      <c r="AN445" s="71"/>
      <c r="AO445" s="71">
        <f t="shared" si="176"/>
        <v>0</v>
      </c>
      <c r="AQ445" s="71"/>
      <c r="AR445" s="71"/>
      <c r="AS445" s="71">
        <f t="shared" si="177"/>
        <v>0</v>
      </c>
      <c r="AU445" s="71"/>
      <c r="AV445" s="71"/>
      <c r="AW445" s="71">
        <f t="shared" si="178"/>
        <v>0</v>
      </c>
      <c r="AY445" s="71"/>
      <c r="AZ445" s="71"/>
      <c r="BA445" s="71">
        <f t="shared" si="179"/>
        <v>0</v>
      </c>
      <c r="BI445" s="71"/>
      <c r="BJ445" s="71"/>
      <c r="BK445" s="71">
        <f t="shared" si="180"/>
        <v>0</v>
      </c>
      <c r="BM445" s="71"/>
      <c r="BN445" s="71"/>
      <c r="BO445" s="71">
        <f t="shared" si="181"/>
        <v>0</v>
      </c>
      <c r="BQ445" s="71"/>
      <c r="BR445" s="71"/>
      <c r="BS445" s="138">
        <f t="shared" si="182"/>
        <v>0</v>
      </c>
      <c r="BU445" s="71"/>
      <c r="BV445" s="71"/>
      <c r="BW445" s="71">
        <f t="shared" si="183"/>
        <v>0</v>
      </c>
      <c r="BZ445" s="71"/>
      <c r="CA445" s="71"/>
      <c r="CB445" s="71">
        <f t="shared" si="184"/>
        <v>0</v>
      </c>
      <c r="CD445" s="71"/>
      <c r="CE445" s="71"/>
      <c r="CF445" s="71">
        <f t="shared" si="185"/>
        <v>0</v>
      </c>
      <c r="CH445" s="71"/>
      <c r="CI445" s="71"/>
      <c r="CJ445" s="138">
        <f t="shared" si="186"/>
        <v>0</v>
      </c>
      <c r="CL445" s="71"/>
      <c r="CM445" s="71"/>
      <c r="CN445" s="71">
        <f t="shared" si="187"/>
        <v>0</v>
      </c>
      <c r="CS445" s="102">
        <f t="shared" si="188"/>
        <v>4.5293954747099576</v>
      </c>
      <c r="CT445" s="102">
        <f t="shared" si="189"/>
        <v>18.675175962423801</v>
      </c>
      <c r="CZ445" s="109" t="str">
        <f t="shared" si="190"/>
        <v>Basso</v>
      </c>
    </row>
    <row r="446" spans="9:104" x14ac:dyDescent="0.15">
      <c r="I446" s="64">
        <f t="shared" si="168"/>
        <v>76.99972307006928</v>
      </c>
      <c r="M446" s="64">
        <f t="shared" si="169"/>
        <v>0</v>
      </c>
      <c r="Q446" s="64">
        <f t="shared" si="170"/>
        <v>0</v>
      </c>
      <c r="U446" s="64">
        <f t="shared" si="171"/>
        <v>0</v>
      </c>
      <c r="Y446" s="114">
        <f t="shared" si="172"/>
        <v>0</v>
      </c>
      <c r="AC446" s="64">
        <f t="shared" si="173"/>
        <v>0</v>
      </c>
      <c r="AE446" s="71"/>
      <c r="AF446" s="71"/>
      <c r="AG446" s="71">
        <f t="shared" si="174"/>
        <v>0</v>
      </c>
      <c r="AK446" s="64">
        <f t="shared" si="175"/>
        <v>0</v>
      </c>
      <c r="AM446" s="71"/>
      <c r="AN446" s="71"/>
      <c r="AO446" s="71">
        <f t="shared" si="176"/>
        <v>0</v>
      </c>
      <c r="AQ446" s="71"/>
      <c r="AR446" s="71"/>
      <c r="AS446" s="71">
        <f t="shared" si="177"/>
        <v>0</v>
      </c>
      <c r="AU446" s="71"/>
      <c r="AV446" s="71"/>
      <c r="AW446" s="71">
        <f t="shared" si="178"/>
        <v>0</v>
      </c>
      <c r="AY446" s="71"/>
      <c r="AZ446" s="71"/>
      <c r="BA446" s="71">
        <f t="shared" si="179"/>
        <v>0</v>
      </c>
      <c r="BI446" s="71"/>
      <c r="BJ446" s="71"/>
      <c r="BK446" s="71">
        <f t="shared" si="180"/>
        <v>0</v>
      </c>
      <c r="BM446" s="71"/>
      <c r="BN446" s="71"/>
      <c r="BO446" s="71">
        <f t="shared" si="181"/>
        <v>0</v>
      </c>
      <c r="BQ446" s="71"/>
      <c r="BR446" s="71"/>
      <c r="BS446" s="138">
        <f t="shared" si="182"/>
        <v>0</v>
      </c>
      <c r="BU446" s="71"/>
      <c r="BV446" s="71"/>
      <c r="BW446" s="71">
        <f t="shared" si="183"/>
        <v>0</v>
      </c>
      <c r="BZ446" s="71"/>
      <c r="CA446" s="71"/>
      <c r="CB446" s="71">
        <f t="shared" si="184"/>
        <v>0</v>
      </c>
      <c r="CD446" s="71"/>
      <c r="CE446" s="71"/>
      <c r="CF446" s="71">
        <f t="shared" si="185"/>
        <v>0</v>
      </c>
      <c r="CH446" s="71"/>
      <c r="CI446" s="71"/>
      <c r="CJ446" s="138">
        <f t="shared" si="186"/>
        <v>0</v>
      </c>
      <c r="CL446" s="71"/>
      <c r="CM446" s="71"/>
      <c r="CN446" s="71">
        <f t="shared" si="187"/>
        <v>0</v>
      </c>
      <c r="CS446" s="102">
        <f t="shared" si="188"/>
        <v>4.5293954747099576</v>
      </c>
      <c r="CT446" s="102">
        <f t="shared" si="189"/>
        <v>18.675175962423801</v>
      </c>
      <c r="CZ446" s="109" t="str">
        <f t="shared" si="190"/>
        <v>Basso</v>
      </c>
    </row>
    <row r="447" spans="9:104" x14ac:dyDescent="0.15">
      <c r="I447" s="64">
        <f t="shared" si="168"/>
        <v>76.99972307006928</v>
      </c>
      <c r="M447" s="64">
        <f t="shared" si="169"/>
        <v>0</v>
      </c>
      <c r="Q447" s="64">
        <f t="shared" si="170"/>
        <v>0</v>
      </c>
      <c r="U447" s="64">
        <f t="shared" si="171"/>
        <v>0</v>
      </c>
      <c r="Y447" s="114">
        <f t="shared" si="172"/>
        <v>0</v>
      </c>
      <c r="AC447" s="64">
        <f t="shared" si="173"/>
        <v>0</v>
      </c>
      <c r="AE447" s="71"/>
      <c r="AF447" s="71"/>
      <c r="AG447" s="71">
        <f t="shared" si="174"/>
        <v>0</v>
      </c>
      <c r="AK447" s="64">
        <f t="shared" si="175"/>
        <v>0</v>
      </c>
      <c r="AM447" s="71"/>
      <c r="AN447" s="71"/>
      <c r="AO447" s="71">
        <f t="shared" si="176"/>
        <v>0</v>
      </c>
      <c r="AQ447" s="71"/>
      <c r="AR447" s="71"/>
      <c r="AS447" s="71">
        <f t="shared" si="177"/>
        <v>0</v>
      </c>
      <c r="AU447" s="71"/>
      <c r="AV447" s="71"/>
      <c r="AW447" s="71">
        <f t="shared" si="178"/>
        <v>0</v>
      </c>
      <c r="AY447" s="71"/>
      <c r="AZ447" s="71"/>
      <c r="BA447" s="71">
        <f t="shared" si="179"/>
        <v>0</v>
      </c>
      <c r="BI447" s="71"/>
      <c r="BJ447" s="71"/>
      <c r="BK447" s="71">
        <f t="shared" si="180"/>
        <v>0</v>
      </c>
      <c r="BM447" s="71"/>
      <c r="BN447" s="71"/>
      <c r="BO447" s="71">
        <f t="shared" si="181"/>
        <v>0</v>
      </c>
      <c r="BQ447" s="71"/>
      <c r="BR447" s="71"/>
      <c r="BS447" s="138">
        <f t="shared" si="182"/>
        <v>0</v>
      </c>
      <c r="BU447" s="71"/>
      <c r="BV447" s="71"/>
      <c r="BW447" s="71">
        <f t="shared" si="183"/>
        <v>0</v>
      </c>
      <c r="BZ447" s="71"/>
      <c r="CA447" s="71"/>
      <c r="CB447" s="71">
        <f t="shared" si="184"/>
        <v>0</v>
      </c>
      <c r="CD447" s="71"/>
      <c r="CE447" s="71"/>
      <c r="CF447" s="71">
        <f t="shared" si="185"/>
        <v>0</v>
      </c>
      <c r="CH447" s="71"/>
      <c r="CI447" s="71"/>
      <c r="CJ447" s="138">
        <f t="shared" si="186"/>
        <v>0</v>
      </c>
      <c r="CL447" s="71"/>
      <c r="CM447" s="71"/>
      <c r="CN447" s="71">
        <f t="shared" si="187"/>
        <v>0</v>
      </c>
      <c r="CS447" s="102">
        <f t="shared" si="188"/>
        <v>4.5293954747099576</v>
      </c>
      <c r="CT447" s="102">
        <f t="shared" si="189"/>
        <v>18.675175962423801</v>
      </c>
      <c r="CZ447" s="109" t="str">
        <f t="shared" si="190"/>
        <v>Basso</v>
      </c>
    </row>
    <row r="448" spans="9:104" x14ac:dyDescent="0.15">
      <c r="I448" s="64">
        <f t="shared" si="168"/>
        <v>76.99972307006928</v>
      </c>
      <c r="M448" s="64">
        <f t="shared" si="169"/>
        <v>0</v>
      </c>
      <c r="Q448" s="64">
        <f t="shared" si="170"/>
        <v>0</v>
      </c>
      <c r="U448" s="64">
        <f t="shared" si="171"/>
        <v>0</v>
      </c>
      <c r="Y448" s="114">
        <f t="shared" si="172"/>
        <v>0</v>
      </c>
      <c r="AC448" s="64">
        <f t="shared" si="173"/>
        <v>0</v>
      </c>
      <c r="AE448" s="71"/>
      <c r="AF448" s="71"/>
      <c r="AG448" s="71">
        <f t="shared" si="174"/>
        <v>0</v>
      </c>
      <c r="AK448" s="64">
        <f t="shared" si="175"/>
        <v>0</v>
      </c>
      <c r="AM448" s="71"/>
      <c r="AN448" s="71"/>
      <c r="AO448" s="71">
        <f t="shared" si="176"/>
        <v>0</v>
      </c>
      <c r="AQ448" s="71"/>
      <c r="AR448" s="71"/>
      <c r="AS448" s="71">
        <f t="shared" si="177"/>
        <v>0</v>
      </c>
      <c r="AU448" s="71"/>
      <c r="AV448" s="71"/>
      <c r="AW448" s="71">
        <f t="shared" si="178"/>
        <v>0</v>
      </c>
      <c r="AY448" s="71"/>
      <c r="AZ448" s="71"/>
      <c r="BA448" s="71">
        <f t="shared" si="179"/>
        <v>0</v>
      </c>
      <c r="BI448" s="71"/>
      <c r="BJ448" s="71"/>
      <c r="BK448" s="71">
        <f t="shared" si="180"/>
        <v>0</v>
      </c>
      <c r="BM448" s="71"/>
      <c r="BN448" s="71"/>
      <c r="BO448" s="71">
        <f t="shared" si="181"/>
        <v>0</v>
      </c>
      <c r="BQ448" s="71"/>
      <c r="BR448" s="71"/>
      <c r="BS448" s="138">
        <f t="shared" si="182"/>
        <v>0</v>
      </c>
      <c r="BU448" s="71"/>
      <c r="BV448" s="71"/>
      <c r="BW448" s="71">
        <f t="shared" si="183"/>
        <v>0</v>
      </c>
      <c r="BZ448" s="71"/>
      <c r="CA448" s="71"/>
      <c r="CB448" s="71">
        <f t="shared" si="184"/>
        <v>0</v>
      </c>
      <c r="CD448" s="71"/>
      <c r="CE448" s="71"/>
      <c r="CF448" s="71">
        <f t="shared" si="185"/>
        <v>0</v>
      </c>
      <c r="CH448" s="71"/>
      <c r="CI448" s="71"/>
      <c r="CJ448" s="138">
        <f t="shared" si="186"/>
        <v>0</v>
      </c>
      <c r="CL448" s="71"/>
      <c r="CM448" s="71"/>
      <c r="CN448" s="71">
        <f t="shared" si="187"/>
        <v>0</v>
      </c>
      <c r="CS448" s="102">
        <f t="shared" si="188"/>
        <v>4.5293954747099576</v>
      </c>
      <c r="CT448" s="102">
        <f t="shared" si="189"/>
        <v>18.675175962423801</v>
      </c>
      <c r="CZ448" s="109" t="str">
        <f t="shared" si="190"/>
        <v>Basso</v>
      </c>
    </row>
    <row r="449" spans="9:104" x14ac:dyDescent="0.15">
      <c r="I449" s="64">
        <f t="shared" si="168"/>
        <v>76.99972307006928</v>
      </c>
      <c r="M449" s="64">
        <f t="shared" si="169"/>
        <v>0</v>
      </c>
      <c r="Q449" s="64">
        <f t="shared" si="170"/>
        <v>0</v>
      </c>
      <c r="U449" s="64">
        <f t="shared" si="171"/>
        <v>0</v>
      </c>
      <c r="Y449" s="114">
        <f t="shared" si="172"/>
        <v>0</v>
      </c>
      <c r="AC449" s="64">
        <f t="shared" si="173"/>
        <v>0</v>
      </c>
      <c r="AE449" s="71"/>
      <c r="AF449" s="71"/>
      <c r="AG449" s="71">
        <f t="shared" si="174"/>
        <v>0</v>
      </c>
      <c r="AK449" s="64">
        <f t="shared" si="175"/>
        <v>0</v>
      </c>
      <c r="AM449" s="71"/>
      <c r="AN449" s="71"/>
      <c r="AO449" s="71">
        <f t="shared" si="176"/>
        <v>0</v>
      </c>
      <c r="AQ449" s="71"/>
      <c r="AR449" s="71"/>
      <c r="AS449" s="71">
        <f t="shared" si="177"/>
        <v>0</v>
      </c>
      <c r="AU449" s="71"/>
      <c r="AV449" s="71"/>
      <c r="AW449" s="71">
        <f t="shared" si="178"/>
        <v>0</v>
      </c>
      <c r="AY449" s="71"/>
      <c r="AZ449" s="71"/>
      <c r="BA449" s="71">
        <f t="shared" si="179"/>
        <v>0</v>
      </c>
      <c r="BI449" s="71"/>
      <c r="BJ449" s="71"/>
      <c r="BK449" s="71">
        <f t="shared" si="180"/>
        <v>0</v>
      </c>
      <c r="BM449" s="71"/>
      <c r="BN449" s="71"/>
      <c r="BO449" s="71">
        <f t="shared" si="181"/>
        <v>0</v>
      </c>
      <c r="BQ449" s="71"/>
      <c r="BR449" s="71"/>
      <c r="BS449" s="138">
        <f t="shared" si="182"/>
        <v>0</v>
      </c>
      <c r="BU449" s="71"/>
      <c r="BV449" s="71"/>
      <c r="BW449" s="71">
        <f t="shared" si="183"/>
        <v>0</v>
      </c>
      <c r="BZ449" s="71"/>
      <c r="CA449" s="71"/>
      <c r="CB449" s="71">
        <f t="shared" si="184"/>
        <v>0</v>
      </c>
      <c r="CD449" s="71"/>
      <c r="CE449" s="71"/>
      <c r="CF449" s="71">
        <f t="shared" si="185"/>
        <v>0</v>
      </c>
      <c r="CH449" s="71"/>
      <c r="CI449" s="71"/>
      <c r="CJ449" s="138">
        <f t="shared" si="186"/>
        <v>0</v>
      </c>
      <c r="CL449" s="71"/>
      <c r="CM449" s="71"/>
      <c r="CN449" s="71">
        <f t="shared" si="187"/>
        <v>0</v>
      </c>
      <c r="CS449" s="102">
        <f t="shared" si="188"/>
        <v>4.5293954747099576</v>
      </c>
      <c r="CT449" s="102">
        <f t="shared" si="189"/>
        <v>18.675175962423801</v>
      </c>
      <c r="CZ449" s="109" t="str">
        <f t="shared" si="190"/>
        <v>Basso</v>
      </c>
    </row>
    <row r="450" spans="9:104" x14ac:dyDescent="0.15">
      <c r="I450" s="64">
        <f t="shared" si="168"/>
        <v>76.99972307006928</v>
      </c>
      <c r="M450" s="64">
        <f t="shared" si="169"/>
        <v>0</v>
      </c>
      <c r="Q450" s="64">
        <f t="shared" si="170"/>
        <v>0</v>
      </c>
      <c r="U450" s="64">
        <f t="shared" si="171"/>
        <v>0</v>
      </c>
      <c r="Y450" s="114">
        <f t="shared" si="172"/>
        <v>0</v>
      </c>
      <c r="AC450" s="64">
        <f t="shared" si="173"/>
        <v>0</v>
      </c>
      <c r="AE450" s="71"/>
      <c r="AF450" s="71"/>
      <c r="AG450" s="71">
        <f t="shared" si="174"/>
        <v>0</v>
      </c>
      <c r="AK450" s="64">
        <f t="shared" si="175"/>
        <v>0</v>
      </c>
      <c r="AM450" s="71"/>
      <c r="AN450" s="71"/>
      <c r="AO450" s="71">
        <f t="shared" si="176"/>
        <v>0</v>
      </c>
      <c r="AQ450" s="71"/>
      <c r="AR450" s="71"/>
      <c r="AS450" s="71">
        <f t="shared" si="177"/>
        <v>0</v>
      </c>
      <c r="AU450" s="71"/>
      <c r="AV450" s="71"/>
      <c r="AW450" s="71">
        <f t="shared" si="178"/>
        <v>0</v>
      </c>
      <c r="AY450" s="71"/>
      <c r="AZ450" s="71"/>
      <c r="BA450" s="71">
        <f t="shared" si="179"/>
        <v>0</v>
      </c>
      <c r="BI450" s="71"/>
      <c r="BJ450" s="71"/>
      <c r="BK450" s="71">
        <f t="shared" si="180"/>
        <v>0</v>
      </c>
      <c r="BM450" s="71"/>
      <c r="BN450" s="71"/>
      <c r="BO450" s="71">
        <f t="shared" si="181"/>
        <v>0</v>
      </c>
      <c r="BQ450" s="71"/>
      <c r="BR450" s="71"/>
      <c r="BS450" s="138">
        <f t="shared" si="182"/>
        <v>0</v>
      </c>
      <c r="BU450" s="71"/>
      <c r="BV450" s="71"/>
      <c r="BW450" s="71">
        <f t="shared" si="183"/>
        <v>0</v>
      </c>
      <c r="BZ450" s="71"/>
      <c r="CA450" s="71"/>
      <c r="CB450" s="71">
        <f t="shared" si="184"/>
        <v>0</v>
      </c>
      <c r="CD450" s="71"/>
      <c r="CE450" s="71"/>
      <c r="CF450" s="71">
        <f t="shared" si="185"/>
        <v>0</v>
      </c>
      <c r="CH450" s="71"/>
      <c r="CI450" s="71"/>
      <c r="CJ450" s="138">
        <f t="shared" si="186"/>
        <v>0</v>
      </c>
      <c r="CL450" s="71"/>
      <c r="CM450" s="71"/>
      <c r="CN450" s="71">
        <f t="shared" si="187"/>
        <v>0</v>
      </c>
      <c r="CS450" s="102">
        <f t="shared" si="188"/>
        <v>4.5293954747099576</v>
      </c>
      <c r="CT450" s="102">
        <f t="shared" si="189"/>
        <v>18.675175962423801</v>
      </c>
      <c r="CZ450" s="109" t="str">
        <f t="shared" si="190"/>
        <v>Basso</v>
      </c>
    </row>
    <row r="451" spans="9:104" x14ac:dyDescent="0.15">
      <c r="I451" s="64">
        <f t="shared" ref="I451:I514" si="191">100 + ((F451 - AVERAGE(F:F)) / STDEV(F:F)) * 10</f>
        <v>76.99972307006928</v>
      </c>
      <c r="M451" s="64">
        <f t="shared" ref="M451:M514" si="192">J451/2</f>
        <v>0</v>
      </c>
      <c r="Q451" s="64">
        <f t="shared" ref="Q451:Q514" si="193">N451/2</f>
        <v>0</v>
      </c>
      <c r="U451" s="64">
        <f t="shared" ref="U451:U514" si="194">R451/3</f>
        <v>0</v>
      </c>
      <c r="Y451" s="114">
        <f t="shared" ref="Y451:Y514" si="195">V451/5</f>
        <v>0</v>
      </c>
      <c r="AC451" s="64">
        <f t="shared" ref="AC451:AC514" si="196">Z451/3</f>
        <v>0</v>
      </c>
      <c r="AE451" s="71"/>
      <c r="AF451" s="71"/>
      <c r="AG451" s="71">
        <f t="shared" ref="AG451:AG514" si="197">AD451/3</f>
        <v>0</v>
      </c>
      <c r="AK451" s="64">
        <f t="shared" ref="AK451:AK514" si="198">AH451/3</f>
        <v>0</v>
      </c>
      <c r="AM451" s="71"/>
      <c r="AN451" s="71"/>
      <c r="AO451" s="71">
        <f t="shared" ref="AO451:AO514" si="199">AL451/4</f>
        <v>0</v>
      </c>
      <c r="AQ451" s="71"/>
      <c r="AR451" s="71"/>
      <c r="AS451" s="71">
        <f t="shared" ref="AS451:AS514" si="200">AP451/3</f>
        <v>0</v>
      </c>
      <c r="AU451" s="71"/>
      <c r="AV451" s="71"/>
      <c r="AW451" s="71">
        <f t="shared" ref="AW451:AW514" si="201">AT451/3</f>
        <v>0</v>
      </c>
      <c r="AY451" s="71"/>
      <c r="AZ451" s="71"/>
      <c r="BA451" s="71">
        <f t="shared" ref="BA451:BA514" si="202">AX451/2</f>
        <v>0</v>
      </c>
      <c r="BI451" s="71"/>
      <c r="BJ451" s="71"/>
      <c r="BK451" s="71">
        <f t="shared" ref="BK451:BK514" si="203">BH451/2</f>
        <v>0</v>
      </c>
      <c r="BM451" s="71"/>
      <c r="BN451" s="71"/>
      <c r="BO451" s="71">
        <f t="shared" ref="BO451:BO514" si="204">BL451/3</f>
        <v>0</v>
      </c>
      <c r="BQ451" s="71"/>
      <c r="BR451" s="71"/>
      <c r="BS451" s="138">
        <f t="shared" ref="BS451:BS514" si="205">BP451/3</f>
        <v>0</v>
      </c>
      <c r="BU451" s="71"/>
      <c r="BV451" s="71"/>
      <c r="BW451" s="71">
        <f t="shared" ref="BW451:BW514" si="206">BT451/3</f>
        <v>0</v>
      </c>
      <c r="BZ451" s="71"/>
      <c r="CA451" s="71"/>
      <c r="CB451" s="71">
        <f t="shared" ref="CB451:CB514" si="207">BY451/3</f>
        <v>0</v>
      </c>
      <c r="CD451" s="71"/>
      <c r="CE451" s="71"/>
      <c r="CF451" s="71">
        <f t="shared" ref="CF451:CF514" si="208">CC451/3</f>
        <v>0</v>
      </c>
      <c r="CH451" s="71"/>
      <c r="CI451" s="71"/>
      <c r="CJ451" s="138">
        <f t="shared" ref="CJ451:CJ514" si="209">CG451/2</f>
        <v>0</v>
      </c>
      <c r="CL451" s="71"/>
      <c r="CM451" s="71"/>
      <c r="CN451" s="71">
        <f t="shared" ref="CN451:CN514" si="210">CK451/3</f>
        <v>0</v>
      </c>
      <c r="CS451" s="102">
        <f t="shared" ref="CS451:CS514" si="211">AVERAGE(I451, M451, Q451, U451, AC451, AG451, AK451, AO451, AS451, AW451, BA451, BK451, BO451, BW451, CB451, CF451, CN451)</f>
        <v>4.5293954747099576</v>
      </c>
      <c r="CT451" s="102">
        <f t="shared" ref="CT451:CT514" si="212">STDEV(I451, M451, Q451, U451, AC451, AG451, AK451, AO451, AS451, AW451, BA451, BK451, BO451, BW451, CB451, CF451, CN451)</f>
        <v>18.675175962423801</v>
      </c>
      <c r="CZ451" s="109" t="str">
        <f t="shared" ref="CZ451:CZ514" si="213">IF(CV451&lt;95.9069994, "Basso", IF(CV451&lt;99.02062343, "Medio-Basso", IF(CV451&lt;103.58108, "Medio-Alto", "Alto")))</f>
        <v>Basso</v>
      </c>
    </row>
    <row r="452" spans="9:104" x14ac:dyDescent="0.15">
      <c r="I452" s="64">
        <f t="shared" si="191"/>
        <v>76.99972307006928</v>
      </c>
      <c r="M452" s="64">
        <f t="shared" si="192"/>
        <v>0</v>
      </c>
      <c r="Q452" s="64">
        <f t="shared" si="193"/>
        <v>0</v>
      </c>
      <c r="U452" s="64">
        <f t="shared" si="194"/>
        <v>0</v>
      </c>
      <c r="Y452" s="114">
        <f t="shared" si="195"/>
        <v>0</v>
      </c>
      <c r="AC452" s="64">
        <f t="shared" si="196"/>
        <v>0</v>
      </c>
      <c r="AE452" s="71"/>
      <c r="AF452" s="71"/>
      <c r="AG452" s="71">
        <f t="shared" si="197"/>
        <v>0</v>
      </c>
      <c r="AK452" s="64">
        <f t="shared" si="198"/>
        <v>0</v>
      </c>
      <c r="AM452" s="71"/>
      <c r="AN452" s="71"/>
      <c r="AO452" s="71">
        <f t="shared" si="199"/>
        <v>0</v>
      </c>
      <c r="AQ452" s="71"/>
      <c r="AR452" s="71"/>
      <c r="AS452" s="71">
        <f t="shared" si="200"/>
        <v>0</v>
      </c>
      <c r="AU452" s="71"/>
      <c r="AV452" s="71"/>
      <c r="AW452" s="71">
        <f t="shared" si="201"/>
        <v>0</v>
      </c>
      <c r="AY452" s="71"/>
      <c r="AZ452" s="71"/>
      <c r="BA452" s="71">
        <f t="shared" si="202"/>
        <v>0</v>
      </c>
      <c r="BI452" s="71"/>
      <c r="BJ452" s="71"/>
      <c r="BK452" s="71">
        <f t="shared" si="203"/>
        <v>0</v>
      </c>
      <c r="BM452" s="71"/>
      <c r="BN452" s="71"/>
      <c r="BO452" s="71">
        <f t="shared" si="204"/>
        <v>0</v>
      </c>
      <c r="BQ452" s="71"/>
      <c r="BR452" s="71"/>
      <c r="BS452" s="138">
        <f t="shared" si="205"/>
        <v>0</v>
      </c>
      <c r="BU452" s="71"/>
      <c r="BV452" s="71"/>
      <c r="BW452" s="71">
        <f t="shared" si="206"/>
        <v>0</v>
      </c>
      <c r="BZ452" s="71"/>
      <c r="CA452" s="71"/>
      <c r="CB452" s="71">
        <f t="shared" si="207"/>
        <v>0</v>
      </c>
      <c r="CD452" s="71"/>
      <c r="CE452" s="71"/>
      <c r="CF452" s="71">
        <f t="shared" si="208"/>
        <v>0</v>
      </c>
      <c r="CH452" s="71"/>
      <c r="CI452" s="71"/>
      <c r="CJ452" s="138">
        <f t="shared" si="209"/>
        <v>0</v>
      </c>
      <c r="CL452" s="71"/>
      <c r="CM452" s="71"/>
      <c r="CN452" s="71">
        <f t="shared" si="210"/>
        <v>0</v>
      </c>
      <c r="CS452" s="102">
        <f t="shared" si="211"/>
        <v>4.5293954747099576</v>
      </c>
      <c r="CT452" s="102">
        <f t="shared" si="212"/>
        <v>18.675175962423801</v>
      </c>
      <c r="CZ452" s="109" t="str">
        <f t="shared" si="213"/>
        <v>Basso</v>
      </c>
    </row>
    <row r="453" spans="9:104" x14ac:dyDescent="0.15">
      <c r="I453" s="64">
        <f t="shared" si="191"/>
        <v>76.99972307006928</v>
      </c>
      <c r="M453" s="64">
        <f t="shared" si="192"/>
        <v>0</v>
      </c>
      <c r="Q453" s="64">
        <f t="shared" si="193"/>
        <v>0</v>
      </c>
      <c r="U453" s="64">
        <f t="shared" si="194"/>
        <v>0</v>
      </c>
      <c r="Y453" s="114">
        <f t="shared" si="195"/>
        <v>0</v>
      </c>
      <c r="AC453" s="64">
        <f t="shared" si="196"/>
        <v>0</v>
      </c>
      <c r="AE453" s="71"/>
      <c r="AF453" s="71"/>
      <c r="AG453" s="71">
        <f t="shared" si="197"/>
        <v>0</v>
      </c>
      <c r="AK453" s="64">
        <f t="shared" si="198"/>
        <v>0</v>
      </c>
      <c r="AM453" s="71"/>
      <c r="AN453" s="71"/>
      <c r="AO453" s="71">
        <f t="shared" si="199"/>
        <v>0</v>
      </c>
      <c r="AQ453" s="71"/>
      <c r="AR453" s="71"/>
      <c r="AS453" s="71">
        <f t="shared" si="200"/>
        <v>0</v>
      </c>
      <c r="AU453" s="71"/>
      <c r="AV453" s="71"/>
      <c r="AW453" s="71">
        <f t="shared" si="201"/>
        <v>0</v>
      </c>
      <c r="AY453" s="71"/>
      <c r="AZ453" s="71"/>
      <c r="BA453" s="71">
        <f t="shared" si="202"/>
        <v>0</v>
      </c>
      <c r="BI453" s="71"/>
      <c r="BJ453" s="71"/>
      <c r="BK453" s="71">
        <f t="shared" si="203"/>
        <v>0</v>
      </c>
      <c r="BM453" s="71"/>
      <c r="BN453" s="71"/>
      <c r="BO453" s="71">
        <f t="shared" si="204"/>
        <v>0</v>
      </c>
      <c r="BQ453" s="71"/>
      <c r="BR453" s="71"/>
      <c r="BS453" s="138">
        <f t="shared" si="205"/>
        <v>0</v>
      </c>
      <c r="BU453" s="71"/>
      <c r="BV453" s="71"/>
      <c r="BW453" s="71">
        <f t="shared" si="206"/>
        <v>0</v>
      </c>
      <c r="BZ453" s="71"/>
      <c r="CA453" s="71"/>
      <c r="CB453" s="71">
        <f t="shared" si="207"/>
        <v>0</v>
      </c>
      <c r="CD453" s="71"/>
      <c r="CE453" s="71"/>
      <c r="CF453" s="71">
        <f t="shared" si="208"/>
        <v>0</v>
      </c>
      <c r="CH453" s="71"/>
      <c r="CI453" s="71"/>
      <c r="CJ453" s="138">
        <f t="shared" si="209"/>
        <v>0</v>
      </c>
      <c r="CL453" s="71"/>
      <c r="CM453" s="71"/>
      <c r="CN453" s="71">
        <f t="shared" si="210"/>
        <v>0</v>
      </c>
      <c r="CS453" s="102">
        <f t="shared" si="211"/>
        <v>4.5293954747099576</v>
      </c>
      <c r="CT453" s="102">
        <f t="shared" si="212"/>
        <v>18.675175962423801</v>
      </c>
      <c r="CZ453" s="109" t="str">
        <f t="shared" si="213"/>
        <v>Basso</v>
      </c>
    </row>
    <row r="454" spans="9:104" x14ac:dyDescent="0.15">
      <c r="I454" s="64">
        <f t="shared" si="191"/>
        <v>76.99972307006928</v>
      </c>
      <c r="M454" s="64">
        <f t="shared" si="192"/>
        <v>0</v>
      </c>
      <c r="Q454" s="64">
        <f t="shared" si="193"/>
        <v>0</v>
      </c>
      <c r="U454" s="64">
        <f t="shared" si="194"/>
        <v>0</v>
      </c>
      <c r="Y454" s="114">
        <f t="shared" si="195"/>
        <v>0</v>
      </c>
      <c r="AC454" s="64">
        <f t="shared" si="196"/>
        <v>0</v>
      </c>
      <c r="AE454" s="71"/>
      <c r="AF454" s="71"/>
      <c r="AG454" s="71">
        <f t="shared" si="197"/>
        <v>0</v>
      </c>
      <c r="AK454" s="64">
        <f t="shared" si="198"/>
        <v>0</v>
      </c>
      <c r="AM454" s="71"/>
      <c r="AN454" s="71"/>
      <c r="AO454" s="71">
        <f t="shared" si="199"/>
        <v>0</v>
      </c>
      <c r="AQ454" s="71"/>
      <c r="AR454" s="71"/>
      <c r="AS454" s="71">
        <f t="shared" si="200"/>
        <v>0</v>
      </c>
      <c r="AU454" s="71"/>
      <c r="AV454" s="71"/>
      <c r="AW454" s="71">
        <f t="shared" si="201"/>
        <v>0</v>
      </c>
      <c r="AY454" s="71"/>
      <c r="AZ454" s="71"/>
      <c r="BA454" s="71">
        <f t="shared" si="202"/>
        <v>0</v>
      </c>
      <c r="BI454" s="71"/>
      <c r="BJ454" s="71"/>
      <c r="BK454" s="71">
        <f t="shared" si="203"/>
        <v>0</v>
      </c>
      <c r="BM454" s="71"/>
      <c r="BN454" s="71"/>
      <c r="BO454" s="71">
        <f t="shared" si="204"/>
        <v>0</v>
      </c>
      <c r="BQ454" s="71"/>
      <c r="BR454" s="71"/>
      <c r="BS454" s="138">
        <f t="shared" si="205"/>
        <v>0</v>
      </c>
      <c r="BU454" s="71"/>
      <c r="BV454" s="71"/>
      <c r="BW454" s="71">
        <f t="shared" si="206"/>
        <v>0</v>
      </c>
      <c r="BZ454" s="71"/>
      <c r="CA454" s="71"/>
      <c r="CB454" s="71">
        <f t="shared" si="207"/>
        <v>0</v>
      </c>
      <c r="CD454" s="71"/>
      <c r="CE454" s="71"/>
      <c r="CF454" s="71">
        <f t="shared" si="208"/>
        <v>0</v>
      </c>
      <c r="CH454" s="71"/>
      <c r="CI454" s="71"/>
      <c r="CJ454" s="138">
        <f t="shared" si="209"/>
        <v>0</v>
      </c>
      <c r="CL454" s="71"/>
      <c r="CM454" s="71"/>
      <c r="CN454" s="71">
        <f t="shared" si="210"/>
        <v>0</v>
      </c>
      <c r="CS454" s="102">
        <f t="shared" si="211"/>
        <v>4.5293954747099576</v>
      </c>
      <c r="CT454" s="102">
        <f t="shared" si="212"/>
        <v>18.675175962423801</v>
      </c>
      <c r="CZ454" s="109" t="str">
        <f t="shared" si="213"/>
        <v>Basso</v>
      </c>
    </row>
    <row r="455" spans="9:104" x14ac:dyDescent="0.15">
      <c r="I455" s="64">
        <f t="shared" si="191"/>
        <v>76.99972307006928</v>
      </c>
      <c r="M455" s="64">
        <f t="shared" si="192"/>
        <v>0</v>
      </c>
      <c r="Q455" s="64">
        <f t="shared" si="193"/>
        <v>0</v>
      </c>
      <c r="U455" s="64">
        <f t="shared" si="194"/>
        <v>0</v>
      </c>
      <c r="Y455" s="114">
        <f t="shared" si="195"/>
        <v>0</v>
      </c>
      <c r="AC455" s="64">
        <f t="shared" si="196"/>
        <v>0</v>
      </c>
      <c r="AE455" s="71"/>
      <c r="AF455" s="71"/>
      <c r="AG455" s="71">
        <f t="shared" si="197"/>
        <v>0</v>
      </c>
      <c r="AK455" s="64">
        <f t="shared" si="198"/>
        <v>0</v>
      </c>
      <c r="AM455" s="71"/>
      <c r="AN455" s="71"/>
      <c r="AO455" s="71">
        <f t="shared" si="199"/>
        <v>0</v>
      </c>
      <c r="AQ455" s="71"/>
      <c r="AR455" s="71"/>
      <c r="AS455" s="71">
        <f t="shared" si="200"/>
        <v>0</v>
      </c>
      <c r="AU455" s="71"/>
      <c r="AV455" s="71"/>
      <c r="AW455" s="71">
        <f t="shared" si="201"/>
        <v>0</v>
      </c>
      <c r="AY455" s="71"/>
      <c r="AZ455" s="71"/>
      <c r="BA455" s="71">
        <f t="shared" si="202"/>
        <v>0</v>
      </c>
      <c r="BI455" s="71"/>
      <c r="BJ455" s="71"/>
      <c r="BK455" s="71">
        <f t="shared" si="203"/>
        <v>0</v>
      </c>
      <c r="BM455" s="71"/>
      <c r="BN455" s="71"/>
      <c r="BO455" s="71">
        <f t="shared" si="204"/>
        <v>0</v>
      </c>
      <c r="BQ455" s="71"/>
      <c r="BR455" s="71"/>
      <c r="BS455" s="138">
        <f t="shared" si="205"/>
        <v>0</v>
      </c>
      <c r="BU455" s="71"/>
      <c r="BV455" s="71"/>
      <c r="BW455" s="71">
        <f t="shared" si="206"/>
        <v>0</v>
      </c>
      <c r="BZ455" s="71"/>
      <c r="CA455" s="71"/>
      <c r="CB455" s="71">
        <f t="shared" si="207"/>
        <v>0</v>
      </c>
      <c r="CD455" s="71"/>
      <c r="CE455" s="71"/>
      <c r="CF455" s="71">
        <f t="shared" si="208"/>
        <v>0</v>
      </c>
      <c r="CH455" s="71"/>
      <c r="CI455" s="71"/>
      <c r="CJ455" s="138">
        <f t="shared" si="209"/>
        <v>0</v>
      </c>
      <c r="CL455" s="71"/>
      <c r="CM455" s="71"/>
      <c r="CN455" s="71">
        <f t="shared" si="210"/>
        <v>0</v>
      </c>
      <c r="CS455" s="102">
        <f t="shared" si="211"/>
        <v>4.5293954747099576</v>
      </c>
      <c r="CT455" s="102">
        <f t="shared" si="212"/>
        <v>18.675175962423801</v>
      </c>
      <c r="CZ455" s="109" t="str">
        <f t="shared" si="213"/>
        <v>Basso</v>
      </c>
    </row>
    <row r="456" spans="9:104" x14ac:dyDescent="0.15">
      <c r="I456" s="64">
        <f t="shared" si="191"/>
        <v>76.99972307006928</v>
      </c>
      <c r="M456" s="64">
        <f t="shared" si="192"/>
        <v>0</v>
      </c>
      <c r="Q456" s="64">
        <f t="shared" si="193"/>
        <v>0</v>
      </c>
      <c r="U456" s="64">
        <f t="shared" si="194"/>
        <v>0</v>
      </c>
      <c r="Y456" s="114">
        <f t="shared" si="195"/>
        <v>0</v>
      </c>
      <c r="AC456" s="64">
        <f t="shared" si="196"/>
        <v>0</v>
      </c>
      <c r="AE456" s="71"/>
      <c r="AF456" s="71"/>
      <c r="AG456" s="71">
        <f t="shared" si="197"/>
        <v>0</v>
      </c>
      <c r="AK456" s="64">
        <f t="shared" si="198"/>
        <v>0</v>
      </c>
      <c r="AM456" s="71"/>
      <c r="AN456" s="71"/>
      <c r="AO456" s="71">
        <f t="shared" si="199"/>
        <v>0</v>
      </c>
      <c r="AQ456" s="71"/>
      <c r="AR456" s="71"/>
      <c r="AS456" s="71">
        <f t="shared" si="200"/>
        <v>0</v>
      </c>
      <c r="AU456" s="71"/>
      <c r="AV456" s="71"/>
      <c r="AW456" s="71">
        <f t="shared" si="201"/>
        <v>0</v>
      </c>
      <c r="AY456" s="71"/>
      <c r="AZ456" s="71"/>
      <c r="BA456" s="71">
        <f t="shared" si="202"/>
        <v>0</v>
      </c>
      <c r="BI456" s="71"/>
      <c r="BJ456" s="71"/>
      <c r="BK456" s="71">
        <f t="shared" si="203"/>
        <v>0</v>
      </c>
      <c r="BM456" s="71"/>
      <c r="BN456" s="71"/>
      <c r="BO456" s="71">
        <f t="shared" si="204"/>
        <v>0</v>
      </c>
      <c r="BQ456" s="71"/>
      <c r="BR456" s="71"/>
      <c r="BS456" s="138">
        <f t="shared" si="205"/>
        <v>0</v>
      </c>
      <c r="BU456" s="71"/>
      <c r="BV456" s="71"/>
      <c r="BW456" s="71">
        <f t="shared" si="206"/>
        <v>0</v>
      </c>
      <c r="BZ456" s="71"/>
      <c r="CA456" s="71"/>
      <c r="CB456" s="71">
        <f t="shared" si="207"/>
        <v>0</v>
      </c>
      <c r="CD456" s="71"/>
      <c r="CE456" s="71"/>
      <c r="CF456" s="71">
        <f t="shared" si="208"/>
        <v>0</v>
      </c>
      <c r="CH456" s="71"/>
      <c r="CI456" s="71"/>
      <c r="CJ456" s="138">
        <f t="shared" si="209"/>
        <v>0</v>
      </c>
      <c r="CL456" s="71"/>
      <c r="CM456" s="71"/>
      <c r="CN456" s="71">
        <f t="shared" si="210"/>
        <v>0</v>
      </c>
      <c r="CS456" s="102">
        <f t="shared" si="211"/>
        <v>4.5293954747099576</v>
      </c>
      <c r="CT456" s="102">
        <f t="shared" si="212"/>
        <v>18.675175962423801</v>
      </c>
      <c r="CZ456" s="109" t="str">
        <f t="shared" si="213"/>
        <v>Basso</v>
      </c>
    </row>
    <row r="457" spans="9:104" x14ac:dyDescent="0.15">
      <c r="I457" s="64">
        <f t="shared" si="191"/>
        <v>76.99972307006928</v>
      </c>
      <c r="M457" s="64">
        <f t="shared" si="192"/>
        <v>0</v>
      </c>
      <c r="Q457" s="64">
        <f t="shared" si="193"/>
        <v>0</v>
      </c>
      <c r="U457" s="64">
        <f t="shared" si="194"/>
        <v>0</v>
      </c>
      <c r="Y457" s="114">
        <f t="shared" si="195"/>
        <v>0</v>
      </c>
      <c r="AC457" s="64">
        <f t="shared" si="196"/>
        <v>0</v>
      </c>
      <c r="AE457" s="71"/>
      <c r="AF457" s="71"/>
      <c r="AG457" s="71">
        <f t="shared" si="197"/>
        <v>0</v>
      </c>
      <c r="AK457" s="64">
        <f t="shared" si="198"/>
        <v>0</v>
      </c>
      <c r="AM457" s="71"/>
      <c r="AN457" s="71"/>
      <c r="AO457" s="71">
        <f t="shared" si="199"/>
        <v>0</v>
      </c>
      <c r="AQ457" s="71"/>
      <c r="AR457" s="71"/>
      <c r="AS457" s="71">
        <f t="shared" si="200"/>
        <v>0</v>
      </c>
      <c r="AU457" s="71"/>
      <c r="AV457" s="71"/>
      <c r="AW457" s="71">
        <f t="shared" si="201"/>
        <v>0</v>
      </c>
      <c r="AY457" s="71"/>
      <c r="AZ457" s="71"/>
      <c r="BA457" s="71">
        <f t="shared" si="202"/>
        <v>0</v>
      </c>
      <c r="BI457" s="71"/>
      <c r="BJ457" s="71"/>
      <c r="BK457" s="71">
        <f t="shared" si="203"/>
        <v>0</v>
      </c>
      <c r="BM457" s="71"/>
      <c r="BN457" s="71"/>
      <c r="BO457" s="71">
        <f t="shared" si="204"/>
        <v>0</v>
      </c>
      <c r="BQ457" s="71"/>
      <c r="BR457" s="71"/>
      <c r="BS457" s="138">
        <f t="shared" si="205"/>
        <v>0</v>
      </c>
      <c r="BU457" s="71"/>
      <c r="BV457" s="71"/>
      <c r="BW457" s="71">
        <f t="shared" si="206"/>
        <v>0</v>
      </c>
      <c r="BZ457" s="71"/>
      <c r="CA457" s="71"/>
      <c r="CB457" s="71">
        <f t="shared" si="207"/>
        <v>0</v>
      </c>
      <c r="CD457" s="71"/>
      <c r="CE457" s="71"/>
      <c r="CF457" s="71">
        <f t="shared" si="208"/>
        <v>0</v>
      </c>
      <c r="CH457" s="71"/>
      <c r="CI457" s="71"/>
      <c r="CJ457" s="138">
        <f t="shared" si="209"/>
        <v>0</v>
      </c>
      <c r="CL457" s="71"/>
      <c r="CM457" s="71"/>
      <c r="CN457" s="71">
        <f t="shared" si="210"/>
        <v>0</v>
      </c>
      <c r="CS457" s="102">
        <f t="shared" si="211"/>
        <v>4.5293954747099576</v>
      </c>
      <c r="CT457" s="102">
        <f t="shared" si="212"/>
        <v>18.675175962423801</v>
      </c>
      <c r="CZ457" s="109" t="str">
        <f t="shared" si="213"/>
        <v>Basso</v>
      </c>
    </row>
    <row r="458" spans="9:104" x14ac:dyDescent="0.15">
      <c r="I458" s="64">
        <f t="shared" si="191"/>
        <v>76.99972307006928</v>
      </c>
      <c r="M458" s="64">
        <f t="shared" si="192"/>
        <v>0</v>
      </c>
      <c r="Q458" s="64">
        <f t="shared" si="193"/>
        <v>0</v>
      </c>
      <c r="U458" s="64">
        <f t="shared" si="194"/>
        <v>0</v>
      </c>
      <c r="Y458" s="114">
        <f t="shared" si="195"/>
        <v>0</v>
      </c>
      <c r="AC458" s="64">
        <f t="shared" si="196"/>
        <v>0</v>
      </c>
      <c r="AE458" s="71"/>
      <c r="AF458" s="71"/>
      <c r="AG458" s="71">
        <f t="shared" si="197"/>
        <v>0</v>
      </c>
      <c r="AK458" s="64">
        <f t="shared" si="198"/>
        <v>0</v>
      </c>
      <c r="AM458" s="71"/>
      <c r="AN458" s="71"/>
      <c r="AO458" s="71">
        <f t="shared" si="199"/>
        <v>0</v>
      </c>
      <c r="AQ458" s="71"/>
      <c r="AR458" s="71"/>
      <c r="AS458" s="71">
        <f t="shared" si="200"/>
        <v>0</v>
      </c>
      <c r="AU458" s="71"/>
      <c r="AV458" s="71"/>
      <c r="AW458" s="71">
        <f t="shared" si="201"/>
        <v>0</v>
      </c>
      <c r="AY458" s="71"/>
      <c r="AZ458" s="71"/>
      <c r="BA458" s="71">
        <f t="shared" si="202"/>
        <v>0</v>
      </c>
      <c r="BI458" s="71"/>
      <c r="BJ458" s="71"/>
      <c r="BK458" s="71">
        <f t="shared" si="203"/>
        <v>0</v>
      </c>
      <c r="BM458" s="71"/>
      <c r="BN458" s="71"/>
      <c r="BO458" s="71">
        <f t="shared" si="204"/>
        <v>0</v>
      </c>
      <c r="BQ458" s="71"/>
      <c r="BR458" s="71"/>
      <c r="BS458" s="138">
        <f t="shared" si="205"/>
        <v>0</v>
      </c>
      <c r="BU458" s="71"/>
      <c r="BV458" s="71"/>
      <c r="BW458" s="71">
        <f t="shared" si="206"/>
        <v>0</v>
      </c>
      <c r="BZ458" s="71"/>
      <c r="CA458" s="71"/>
      <c r="CB458" s="71">
        <f t="shared" si="207"/>
        <v>0</v>
      </c>
      <c r="CD458" s="71"/>
      <c r="CE458" s="71"/>
      <c r="CF458" s="71">
        <f t="shared" si="208"/>
        <v>0</v>
      </c>
      <c r="CH458" s="71"/>
      <c r="CI458" s="71"/>
      <c r="CJ458" s="138">
        <f t="shared" si="209"/>
        <v>0</v>
      </c>
      <c r="CL458" s="71"/>
      <c r="CM458" s="71"/>
      <c r="CN458" s="71">
        <f t="shared" si="210"/>
        <v>0</v>
      </c>
      <c r="CS458" s="102">
        <f t="shared" si="211"/>
        <v>4.5293954747099576</v>
      </c>
      <c r="CT458" s="102">
        <f t="shared" si="212"/>
        <v>18.675175962423801</v>
      </c>
      <c r="CZ458" s="109" t="str">
        <f t="shared" si="213"/>
        <v>Basso</v>
      </c>
    </row>
    <row r="459" spans="9:104" x14ac:dyDescent="0.15">
      <c r="I459" s="64">
        <f t="shared" si="191"/>
        <v>76.99972307006928</v>
      </c>
      <c r="M459" s="64">
        <f t="shared" si="192"/>
        <v>0</v>
      </c>
      <c r="Q459" s="64">
        <f t="shared" si="193"/>
        <v>0</v>
      </c>
      <c r="U459" s="64">
        <f t="shared" si="194"/>
        <v>0</v>
      </c>
      <c r="Y459" s="114">
        <f t="shared" si="195"/>
        <v>0</v>
      </c>
      <c r="AC459" s="64">
        <f t="shared" si="196"/>
        <v>0</v>
      </c>
      <c r="AE459" s="71"/>
      <c r="AF459" s="71"/>
      <c r="AG459" s="71">
        <f t="shared" si="197"/>
        <v>0</v>
      </c>
      <c r="AK459" s="64">
        <f t="shared" si="198"/>
        <v>0</v>
      </c>
      <c r="AM459" s="71"/>
      <c r="AN459" s="71"/>
      <c r="AO459" s="71">
        <f t="shared" si="199"/>
        <v>0</v>
      </c>
      <c r="AQ459" s="71"/>
      <c r="AR459" s="71"/>
      <c r="AS459" s="71">
        <f t="shared" si="200"/>
        <v>0</v>
      </c>
      <c r="AU459" s="71"/>
      <c r="AV459" s="71"/>
      <c r="AW459" s="71">
        <f t="shared" si="201"/>
        <v>0</v>
      </c>
      <c r="AY459" s="71"/>
      <c r="AZ459" s="71"/>
      <c r="BA459" s="71">
        <f t="shared" si="202"/>
        <v>0</v>
      </c>
      <c r="BI459" s="71"/>
      <c r="BJ459" s="71"/>
      <c r="BK459" s="71">
        <f t="shared" si="203"/>
        <v>0</v>
      </c>
      <c r="BM459" s="71"/>
      <c r="BN459" s="71"/>
      <c r="BO459" s="71">
        <f t="shared" si="204"/>
        <v>0</v>
      </c>
      <c r="BQ459" s="71"/>
      <c r="BR459" s="71"/>
      <c r="BS459" s="138">
        <f t="shared" si="205"/>
        <v>0</v>
      </c>
      <c r="BU459" s="71"/>
      <c r="BV459" s="71"/>
      <c r="BW459" s="71">
        <f t="shared" si="206"/>
        <v>0</v>
      </c>
      <c r="BZ459" s="71"/>
      <c r="CA459" s="71"/>
      <c r="CB459" s="71">
        <f t="shared" si="207"/>
        <v>0</v>
      </c>
      <c r="CD459" s="71"/>
      <c r="CE459" s="71"/>
      <c r="CF459" s="71">
        <f t="shared" si="208"/>
        <v>0</v>
      </c>
      <c r="CH459" s="71"/>
      <c r="CI459" s="71"/>
      <c r="CJ459" s="138">
        <f t="shared" si="209"/>
        <v>0</v>
      </c>
      <c r="CL459" s="71"/>
      <c r="CM459" s="71"/>
      <c r="CN459" s="71">
        <f t="shared" si="210"/>
        <v>0</v>
      </c>
      <c r="CS459" s="102">
        <f t="shared" si="211"/>
        <v>4.5293954747099576</v>
      </c>
      <c r="CT459" s="102">
        <f t="shared" si="212"/>
        <v>18.675175962423801</v>
      </c>
      <c r="CZ459" s="109" t="str">
        <f t="shared" si="213"/>
        <v>Basso</v>
      </c>
    </row>
    <row r="460" spans="9:104" x14ac:dyDescent="0.15">
      <c r="I460" s="64">
        <f t="shared" si="191"/>
        <v>76.99972307006928</v>
      </c>
      <c r="M460" s="64">
        <f t="shared" si="192"/>
        <v>0</v>
      </c>
      <c r="Q460" s="64">
        <f t="shared" si="193"/>
        <v>0</v>
      </c>
      <c r="U460" s="64">
        <f t="shared" si="194"/>
        <v>0</v>
      </c>
      <c r="Y460" s="114">
        <f t="shared" si="195"/>
        <v>0</v>
      </c>
      <c r="AC460" s="64">
        <f t="shared" si="196"/>
        <v>0</v>
      </c>
      <c r="AE460" s="71"/>
      <c r="AF460" s="71"/>
      <c r="AG460" s="71">
        <f t="shared" si="197"/>
        <v>0</v>
      </c>
      <c r="AK460" s="64">
        <f t="shared" si="198"/>
        <v>0</v>
      </c>
      <c r="AM460" s="71"/>
      <c r="AN460" s="71"/>
      <c r="AO460" s="71">
        <f t="shared" si="199"/>
        <v>0</v>
      </c>
      <c r="AQ460" s="71"/>
      <c r="AR460" s="71"/>
      <c r="AS460" s="71">
        <f t="shared" si="200"/>
        <v>0</v>
      </c>
      <c r="AU460" s="71"/>
      <c r="AV460" s="71"/>
      <c r="AW460" s="71">
        <f t="shared" si="201"/>
        <v>0</v>
      </c>
      <c r="AY460" s="71"/>
      <c r="AZ460" s="71"/>
      <c r="BA460" s="71">
        <f t="shared" si="202"/>
        <v>0</v>
      </c>
      <c r="BI460" s="71"/>
      <c r="BJ460" s="71"/>
      <c r="BK460" s="71">
        <f t="shared" si="203"/>
        <v>0</v>
      </c>
      <c r="BM460" s="71"/>
      <c r="BN460" s="71"/>
      <c r="BO460" s="71">
        <f t="shared" si="204"/>
        <v>0</v>
      </c>
      <c r="BQ460" s="71"/>
      <c r="BR460" s="71"/>
      <c r="BS460" s="138">
        <f t="shared" si="205"/>
        <v>0</v>
      </c>
      <c r="BU460" s="71"/>
      <c r="BV460" s="71"/>
      <c r="BW460" s="71">
        <f t="shared" si="206"/>
        <v>0</v>
      </c>
      <c r="BZ460" s="71"/>
      <c r="CA460" s="71"/>
      <c r="CB460" s="71">
        <f t="shared" si="207"/>
        <v>0</v>
      </c>
      <c r="CD460" s="71"/>
      <c r="CE460" s="71"/>
      <c r="CF460" s="71">
        <f t="shared" si="208"/>
        <v>0</v>
      </c>
      <c r="CH460" s="71"/>
      <c r="CI460" s="71"/>
      <c r="CJ460" s="138">
        <f t="shared" si="209"/>
        <v>0</v>
      </c>
      <c r="CL460" s="71"/>
      <c r="CM460" s="71"/>
      <c r="CN460" s="71">
        <f t="shared" si="210"/>
        <v>0</v>
      </c>
      <c r="CS460" s="102">
        <f t="shared" si="211"/>
        <v>4.5293954747099576</v>
      </c>
      <c r="CT460" s="102">
        <f t="shared" si="212"/>
        <v>18.675175962423801</v>
      </c>
      <c r="CZ460" s="109" t="str">
        <f t="shared" si="213"/>
        <v>Basso</v>
      </c>
    </row>
    <row r="461" spans="9:104" x14ac:dyDescent="0.15">
      <c r="I461" s="64">
        <f t="shared" si="191"/>
        <v>76.99972307006928</v>
      </c>
      <c r="M461" s="64">
        <f t="shared" si="192"/>
        <v>0</v>
      </c>
      <c r="Q461" s="64">
        <f t="shared" si="193"/>
        <v>0</v>
      </c>
      <c r="U461" s="64">
        <f t="shared" si="194"/>
        <v>0</v>
      </c>
      <c r="Y461" s="114">
        <f t="shared" si="195"/>
        <v>0</v>
      </c>
      <c r="AC461" s="64">
        <f t="shared" si="196"/>
        <v>0</v>
      </c>
      <c r="AE461" s="71"/>
      <c r="AF461" s="71"/>
      <c r="AG461" s="71">
        <f t="shared" si="197"/>
        <v>0</v>
      </c>
      <c r="AK461" s="64">
        <f t="shared" si="198"/>
        <v>0</v>
      </c>
      <c r="AM461" s="71"/>
      <c r="AN461" s="71"/>
      <c r="AO461" s="71">
        <f t="shared" si="199"/>
        <v>0</v>
      </c>
      <c r="AQ461" s="71"/>
      <c r="AR461" s="71"/>
      <c r="AS461" s="71">
        <f t="shared" si="200"/>
        <v>0</v>
      </c>
      <c r="AU461" s="71"/>
      <c r="AV461" s="71"/>
      <c r="AW461" s="71">
        <f t="shared" si="201"/>
        <v>0</v>
      </c>
      <c r="AY461" s="71"/>
      <c r="AZ461" s="71"/>
      <c r="BA461" s="71">
        <f t="shared" si="202"/>
        <v>0</v>
      </c>
      <c r="BI461" s="71"/>
      <c r="BJ461" s="71"/>
      <c r="BK461" s="71">
        <f t="shared" si="203"/>
        <v>0</v>
      </c>
      <c r="BM461" s="71"/>
      <c r="BN461" s="71"/>
      <c r="BO461" s="71">
        <f t="shared" si="204"/>
        <v>0</v>
      </c>
      <c r="BQ461" s="71"/>
      <c r="BR461" s="71"/>
      <c r="BS461" s="138">
        <f t="shared" si="205"/>
        <v>0</v>
      </c>
      <c r="BU461" s="71"/>
      <c r="BV461" s="71"/>
      <c r="BW461" s="71">
        <f t="shared" si="206"/>
        <v>0</v>
      </c>
      <c r="BZ461" s="71"/>
      <c r="CA461" s="71"/>
      <c r="CB461" s="71">
        <f t="shared" si="207"/>
        <v>0</v>
      </c>
      <c r="CD461" s="71"/>
      <c r="CE461" s="71"/>
      <c r="CF461" s="71">
        <f t="shared" si="208"/>
        <v>0</v>
      </c>
      <c r="CH461" s="71"/>
      <c r="CI461" s="71"/>
      <c r="CJ461" s="138">
        <f t="shared" si="209"/>
        <v>0</v>
      </c>
      <c r="CL461" s="71"/>
      <c r="CM461" s="71"/>
      <c r="CN461" s="71">
        <f t="shared" si="210"/>
        <v>0</v>
      </c>
      <c r="CS461" s="102">
        <f t="shared" si="211"/>
        <v>4.5293954747099576</v>
      </c>
      <c r="CT461" s="102">
        <f t="shared" si="212"/>
        <v>18.675175962423801</v>
      </c>
      <c r="CZ461" s="109" t="str">
        <f t="shared" si="213"/>
        <v>Basso</v>
      </c>
    </row>
    <row r="462" spans="9:104" x14ac:dyDescent="0.15">
      <c r="I462" s="64">
        <f t="shared" si="191"/>
        <v>76.99972307006928</v>
      </c>
      <c r="M462" s="64">
        <f t="shared" si="192"/>
        <v>0</v>
      </c>
      <c r="Q462" s="64">
        <f t="shared" si="193"/>
        <v>0</v>
      </c>
      <c r="U462" s="64">
        <f t="shared" si="194"/>
        <v>0</v>
      </c>
      <c r="Y462" s="114">
        <f t="shared" si="195"/>
        <v>0</v>
      </c>
      <c r="AC462" s="64">
        <f t="shared" si="196"/>
        <v>0</v>
      </c>
      <c r="AE462" s="71"/>
      <c r="AF462" s="71"/>
      <c r="AG462" s="71">
        <f t="shared" si="197"/>
        <v>0</v>
      </c>
      <c r="AK462" s="64">
        <f t="shared" si="198"/>
        <v>0</v>
      </c>
      <c r="AM462" s="71"/>
      <c r="AN462" s="71"/>
      <c r="AO462" s="71">
        <f t="shared" si="199"/>
        <v>0</v>
      </c>
      <c r="AQ462" s="71"/>
      <c r="AR462" s="71"/>
      <c r="AS462" s="71">
        <f t="shared" si="200"/>
        <v>0</v>
      </c>
      <c r="AU462" s="71"/>
      <c r="AV462" s="71"/>
      <c r="AW462" s="71">
        <f t="shared" si="201"/>
        <v>0</v>
      </c>
      <c r="AY462" s="71"/>
      <c r="AZ462" s="71"/>
      <c r="BA462" s="71">
        <f t="shared" si="202"/>
        <v>0</v>
      </c>
      <c r="BI462" s="71"/>
      <c r="BJ462" s="71"/>
      <c r="BK462" s="71">
        <f t="shared" si="203"/>
        <v>0</v>
      </c>
      <c r="BM462" s="71"/>
      <c r="BN462" s="71"/>
      <c r="BO462" s="71">
        <f t="shared" si="204"/>
        <v>0</v>
      </c>
      <c r="BQ462" s="71"/>
      <c r="BR462" s="71"/>
      <c r="BS462" s="138">
        <f t="shared" si="205"/>
        <v>0</v>
      </c>
      <c r="BU462" s="71"/>
      <c r="BV462" s="71"/>
      <c r="BW462" s="71">
        <f t="shared" si="206"/>
        <v>0</v>
      </c>
      <c r="BZ462" s="71"/>
      <c r="CA462" s="71"/>
      <c r="CB462" s="71">
        <f t="shared" si="207"/>
        <v>0</v>
      </c>
      <c r="CD462" s="71"/>
      <c r="CE462" s="71"/>
      <c r="CF462" s="71">
        <f t="shared" si="208"/>
        <v>0</v>
      </c>
      <c r="CH462" s="71"/>
      <c r="CI462" s="71"/>
      <c r="CJ462" s="138">
        <f t="shared" si="209"/>
        <v>0</v>
      </c>
      <c r="CL462" s="71"/>
      <c r="CM462" s="71"/>
      <c r="CN462" s="71">
        <f t="shared" si="210"/>
        <v>0</v>
      </c>
      <c r="CS462" s="102">
        <f t="shared" si="211"/>
        <v>4.5293954747099576</v>
      </c>
      <c r="CT462" s="102">
        <f t="shared" si="212"/>
        <v>18.675175962423801</v>
      </c>
      <c r="CZ462" s="109" t="str">
        <f t="shared" si="213"/>
        <v>Basso</v>
      </c>
    </row>
    <row r="463" spans="9:104" x14ac:dyDescent="0.15">
      <c r="I463" s="64">
        <f t="shared" si="191"/>
        <v>76.99972307006928</v>
      </c>
      <c r="M463" s="64">
        <f t="shared" si="192"/>
        <v>0</v>
      </c>
      <c r="Q463" s="64">
        <f t="shared" si="193"/>
        <v>0</v>
      </c>
      <c r="U463" s="64">
        <f t="shared" si="194"/>
        <v>0</v>
      </c>
      <c r="Y463" s="114">
        <f t="shared" si="195"/>
        <v>0</v>
      </c>
      <c r="AC463" s="64">
        <f t="shared" si="196"/>
        <v>0</v>
      </c>
      <c r="AE463" s="71"/>
      <c r="AF463" s="71"/>
      <c r="AG463" s="71">
        <f t="shared" si="197"/>
        <v>0</v>
      </c>
      <c r="AK463" s="64">
        <f t="shared" si="198"/>
        <v>0</v>
      </c>
      <c r="AM463" s="71"/>
      <c r="AN463" s="71"/>
      <c r="AO463" s="71">
        <f t="shared" si="199"/>
        <v>0</v>
      </c>
      <c r="AQ463" s="71"/>
      <c r="AR463" s="71"/>
      <c r="AS463" s="71">
        <f t="shared" si="200"/>
        <v>0</v>
      </c>
      <c r="AU463" s="71"/>
      <c r="AV463" s="71"/>
      <c r="AW463" s="71">
        <f t="shared" si="201"/>
        <v>0</v>
      </c>
      <c r="AY463" s="71"/>
      <c r="AZ463" s="71"/>
      <c r="BA463" s="71">
        <f t="shared" si="202"/>
        <v>0</v>
      </c>
      <c r="BI463" s="71"/>
      <c r="BJ463" s="71"/>
      <c r="BK463" s="71">
        <f t="shared" si="203"/>
        <v>0</v>
      </c>
      <c r="BM463" s="71"/>
      <c r="BN463" s="71"/>
      <c r="BO463" s="71">
        <f t="shared" si="204"/>
        <v>0</v>
      </c>
      <c r="BQ463" s="71"/>
      <c r="BR463" s="71"/>
      <c r="BS463" s="138">
        <f t="shared" si="205"/>
        <v>0</v>
      </c>
      <c r="BU463" s="71"/>
      <c r="BV463" s="71"/>
      <c r="BW463" s="71">
        <f t="shared" si="206"/>
        <v>0</v>
      </c>
      <c r="BZ463" s="71"/>
      <c r="CA463" s="71"/>
      <c r="CB463" s="71">
        <f t="shared" si="207"/>
        <v>0</v>
      </c>
      <c r="CD463" s="71"/>
      <c r="CE463" s="71"/>
      <c r="CF463" s="71">
        <f t="shared" si="208"/>
        <v>0</v>
      </c>
      <c r="CH463" s="71"/>
      <c r="CI463" s="71"/>
      <c r="CJ463" s="138">
        <f t="shared" si="209"/>
        <v>0</v>
      </c>
      <c r="CL463" s="71"/>
      <c r="CM463" s="71"/>
      <c r="CN463" s="71">
        <f t="shared" si="210"/>
        <v>0</v>
      </c>
      <c r="CS463" s="102">
        <f t="shared" si="211"/>
        <v>4.5293954747099576</v>
      </c>
      <c r="CT463" s="102">
        <f t="shared" si="212"/>
        <v>18.675175962423801</v>
      </c>
      <c r="CZ463" s="109" t="str">
        <f t="shared" si="213"/>
        <v>Basso</v>
      </c>
    </row>
    <row r="464" spans="9:104" x14ac:dyDescent="0.15">
      <c r="I464" s="64">
        <f t="shared" si="191"/>
        <v>76.99972307006928</v>
      </c>
      <c r="M464" s="64">
        <f t="shared" si="192"/>
        <v>0</v>
      </c>
      <c r="Q464" s="64">
        <f t="shared" si="193"/>
        <v>0</v>
      </c>
      <c r="U464" s="64">
        <f t="shared" si="194"/>
        <v>0</v>
      </c>
      <c r="Y464" s="114">
        <f t="shared" si="195"/>
        <v>0</v>
      </c>
      <c r="AC464" s="64">
        <f t="shared" si="196"/>
        <v>0</v>
      </c>
      <c r="AE464" s="71"/>
      <c r="AF464" s="71"/>
      <c r="AG464" s="71">
        <f t="shared" si="197"/>
        <v>0</v>
      </c>
      <c r="AK464" s="64">
        <f t="shared" si="198"/>
        <v>0</v>
      </c>
      <c r="AM464" s="71"/>
      <c r="AN464" s="71"/>
      <c r="AO464" s="71">
        <f t="shared" si="199"/>
        <v>0</v>
      </c>
      <c r="AQ464" s="71"/>
      <c r="AR464" s="71"/>
      <c r="AS464" s="71">
        <f t="shared" si="200"/>
        <v>0</v>
      </c>
      <c r="AU464" s="71"/>
      <c r="AV464" s="71"/>
      <c r="AW464" s="71">
        <f t="shared" si="201"/>
        <v>0</v>
      </c>
      <c r="AY464" s="71"/>
      <c r="AZ464" s="71"/>
      <c r="BA464" s="71">
        <f t="shared" si="202"/>
        <v>0</v>
      </c>
      <c r="BI464" s="71"/>
      <c r="BJ464" s="71"/>
      <c r="BK464" s="71">
        <f t="shared" si="203"/>
        <v>0</v>
      </c>
      <c r="BM464" s="71"/>
      <c r="BN464" s="71"/>
      <c r="BO464" s="71">
        <f t="shared" si="204"/>
        <v>0</v>
      </c>
      <c r="BQ464" s="71"/>
      <c r="BR464" s="71"/>
      <c r="BS464" s="138">
        <f t="shared" si="205"/>
        <v>0</v>
      </c>
      <c r="BU464" s="71"/>
      <c r="BV464" s="71"/>
      <c r="BW464" s="71">
        <f t="shared" si="206"/>
        <v>0</v>
      </c>
      <c r="BZ464" s="71"/>
      <c r="CA464" s="71"/>
      <c r="CB464" s="71">
        <f t="shared" si="207"/>
        <v>0</v>
      </c>
      <c r="CD464" s="71"/>
      <c r="CE464" s="71"/>
      <c r="CF464" s="71">
        <f t="shared" si="208"/>
        <v>0</v>
      </c>
      <c r="CH464" s="71"/>
      <c r="CI464" s="71"/>
      <c r="CJ464" s="138">
        <f t="shared" si="209"/>
        <v>0</v>
      </c>
      <c r="CL464" s="71"/>
      <c r="CM464" s="71"/>
      <c r="CN464" s="71">
        <f t="shared" si="210"/>
        <v>0</v>
      </c>
      <c r="CS464" s="102">
        <f t="shared" si="211"/>
        <v>4.5293954747099576</v>
      </c>
      <c r="CT464" s="102">
        <f t="shared" si="212"/>
        <v>18.675175962423801</v>
      </c>
      <c r="CZ464" s="109" t="str">
        <f t="shared" si="213"/>
        <v>Basso</v>
      </c>
    </row>
    <row r="465" spans="9:104" x14ac:dyDescent="0.15">
      <c r="I465" s="64">
        <f t="shared" si="191"/>
        <v>76.99972307006928</v>
      </c>
      <c r="M465" s="64">
        <f t="shared" si="192"/>
        <v>0</v>
      </c>
      <c r="Q465" s="64">
        <f t="shared" si="193"/>
        <v>0</v>
      </c>
      <c r="U465" s="64">
        <f t="shared" si="194"/>
        <v>0</v>
      </c>
      <c r="Y465" s="114">
        <f t="shared" si="195"/>
        <v>0</v>
      </c>
      <c r="AC465" s="64">
        <f t="shared" si="196"/>
        <v>0</v>
      </c>
      <c r="AE465" s="71"/>
      <c r="AF465" s="71"/>
      <c r="AG465" s="71">
        <f t="shared" si="197"/>
        <v>0</v>
      </c>
      <c r="AK465" s="64">
        <f t="shared" si="198"/>
        <v>0</v>
      </c>
      <c r="AM465" s="71"/>
      <c r="AN465" s="71"/>
      <c r="AO465" s="71">
        <f t="shared" si="199"/>
        <v>0</v>
      </c>
      <c r="AQ465" s="71"/>
      <c r="AR465" s="71"/>
      <c r="AS465" s="71">
        <f t="shared" si="200"/>
        <v>0</v>
      </c>
      <c r="AU465" s="71"/>
      <c r="AV465" s="71"/>
      <c r="AW465" s="71">
        <f t="shared" si="201"/>
        <v>0</v>
      </c>
      <c r="AY465" s="71"/>
      <c r="AZ465" s="71"/>
      <c r="BA465" s="71">
        <f t="shared" si="202"/>
        <v>0</v>
      </c>
      <c r="BI465" s="71"/>
      <c r="BJ465" s="71"/>
      <c r="BK465" s="71">
        <f t="shared" si="203"/>
        <v>0</v>
      </c>
      <c r="BM465" s="71"/>
      <c r="BN465" s="71"/>
      <c r="BO465" s="71">
        <f t="shared" si="204"/>
        <v>0</v>
      </c>
      <c r="BQ465" s="71"/>
      <c r="BR465" s="71"/>
      <c r="BS465" s="138">
        <f t="shared" si="205"/>
        <v>0</v>
      </c>
      <c r="BU465" s="71"/>
      <c r="BV465" s="71"/>
      <c r="BW465" s="71">
        <f t="shared" si="206"/>
        <v>0</v>
      </c>
      <c r="BZ465" s="71"/>
      <c r="CA465" s="71"/>
      <c r="CB465" s="71">
        <f t="shared" si="207"/>
        <v>0</v>
      </c>
      <c r="CD465" s="71"/>
      <c r="CE465" s="71"/>
      <c r="CF465" s="71">
        <f t="shared" si="208"/>
        <v>0</v>
      </c>
      <c r="CH465" s="71"/>
      <c r="CI465" s="71"/>
      <c r="CJ465" s="138">
        <f t="shared" si="209"/>
        <v>0</v>
      </c>
      <c r="CL465" s="71"/>
      <c r="CM465" s="71"/>
      <c r="CN465" s="71">
        <f t="shared" si="210"/>
        <v>0</v>
      </c>
      <c r="CS465" s="102">
        <f t="shared" si="211"/>
        <v>4.5293954747099576</v>
      </c>
      <c r="CT465" s="102">
        <f t="shared" si="212"/>
        <v>18.675175962423801</v>
      </c>
      <c r="CZ465" s="109" t="str">
        <f t="shared" si="213"/>
        <v>Basso</v>
      </c>
    </row>
    <row r="466" spans="9:104" x14ac:dyDescent="0.15">
      <c r="I466" s="64">
        <f t="shared" si="191"/>
        <v>76.99972307006928</v>
      </c>
      <c r="M466" s="64">
        <f t="shared" si="192"/>
        <v>0</v>
      </c>
      <c r="Q466" s="64">
        <f t="shared" si="193"/>
        <v>0</v>
      </c>
      <c r="U466" s="64">
        <f t="shared" si="194"/>
        <v>0</v>
      </c>
      <c r="Y466" s="114">
        <f t="shared" si="195"/>
        <v>0</v>
      </c>
      <c r="AC466" s="64">
        <f t="shared" si="196"/>
        <v>0</v>
      </c>
      <c r="AE466" s="71"/>
      <c r="AF466" s="71"/>
      <c r="AG466" s="71">
        <f t="shared" si="197"/>
        <v>0</v>
      </c>
      <c r="AK466" s="64">
        <f t="shared" si="198"/>
        <v>0</v>
      </c>
      <c r="AM466" s="71"/>
      <c r="AN466" s="71"/>
      <c r="AO466" s="71">
        <f t="shared" si="199"/>
        <v>0</v>
      </c>
      <c r="AQ466" s="71"/>
      <c r="AR466" s="71"/>
      <c r="AS466" s="71">
        <f t="shared" si="200"/>
        <v>0</v>
      </c>
      <c r="AU466" s="71"/>
      <c r="AV466" s="71"/>
      <c r="AW466" s="71">
        <f t="shared" si="201"/>
        <v>0</v>
      </c>
      <c r="AY466" s="71"/>
      <c r="AZ466" s="71"/>
      <c r="BA466" s="71">
        <f t="shared" si="202"/>
        <v>0</v>
      </c>
      <c r="BI466" s="71"/>
      <c r="BJ466" s="71"/>
      <c r="BK466" s="71">
        <f t="shared" si="203"/>
        <v>0</v>
      </c>
      <c r="BM466" s="71"/>
      <c r="BN466" s="71"/>
      <c r="BO466" s="71">
        <f t="shared" si="204"/>
        <v>0</v>
      </c>
      <c r="BQ466" s="71"/>
      <c r="BR466" s="71"/>
      <c r="BS466" s="138">
        <f t="shared" si="205"/>
        <v>0</v>
      </c>
      <c r="BU466" s="71"/>
      <c r="BV466" s="71"/>
      <c r="BW466" s="71">
        <f t="shared" si="206"/>
        <v>0</v>
      </c>
      <c r="BZ466" s="71"/>
      <c r="CA466" s="71"/>
      <c r="CB466" s="71">
        <f t="shared" si="207"/>
        <v>0</v>
      </c>
      <c r="CD466" s="71"/>
      <c r="CE466" s="71"/>
      <c r="CF466" s="71">
        <f t="shared" si="208"/>
        <v>0</v>
      </c>
      <c r="CH466" s="71"/>
      <c r="CI466" s="71"/>
      <c r="CJ466" s="138">
        <f t="shared" si="209"/>
        <v>0</v>
      </c>
      <c r="CL466" s="71"/>
      <c r="CM466" s="71"/>
      <c r="CN466" s="71">
        <f t="shared" si="210"/>
        <v>0</v>
      </c>
      <c r="CS466" s="102">
        <f t="shared" si="211"/>
        <v>4.5293954747099576</v>
      </c>
      <c r="CT466" s="102">
        <f t="shared" si="212"/>
        <v>18.675175962423801</v>
      </c>
      <c r="CZ466" s="109" t="str">
        <f t="shared" si="213"/>
        <v>Basso</v>
      </c>
    </row>
    <row r="467" spans="9:104" x14ac:dyDescent="0.15">
      <c r="I467" s="64">
        <f t="shared" si="191"/>
        <v>76.99972307006928</v>
      </c>
      <c r="M467" s="64">
        <f t="shared" si="192"/>
        <v>0</v>
      </c>
      <c r="Q467" s="64">
        <f t="shared" si="193"/>
        <v>0</v>
      </c>
      <c r="U467" s="64">
        <f t="shared" si="194"/>
        <v>0</v>
      </c>
      <c r="Y467" s="114">
        <f t="shared" si="195"/>
        <v>0</v>
      </c>
      <c r="AC467" s="64">
        <f t="shared" si="196"/>
        <v>0</v>
      </c>
      <c r="AE467" s="71"/>
      <c r="AF467" s="71"/>
      <c r="AG467" s="71">
        <f t="shared" si="197"/>
        <v>0</v>
      </c>
      <c r="AK467" s="64">
        <f t="shared" si="198"/>
        <v>0</v>
      </c>
      <c r="AM467" s="71"/>
      <c r="AN467" s="71"/>
      <c r="AO467" s="71">
        <f t="shared" si="199"/>
        <v>0</v>
      </c>
      <c r="AQ467" s="71"/>
      <c r="AR467" s="71"/>
      <c r="AS467" s="71">
        <f t="shared" si="200"/>
        <v>0</v>
      </c>
      <c r="AU467" s="71"/>
      <c r="AV467" s="71"/>
      <c r="AW467" s="71">
        <f t="shared" si="201"/>
        <v>0</v>
      </c>
      <c r="AY467" s="71"/>
      <c r="AZ467" s="71"/>
      <c r="BA467" s="71">
        <f t="shared" si="202"/>
        <v>0</v>
      </c>
      <c r="BI467" s="71"/>
      <c r="BJ467" s="71"/>
      <c r="BK467" s="71">
        <f t="shared" si="203"/>
        <v>0</v>
      </c>
      <c r="BM467" s="71"/>
      <c r="BN467" s="71"/>
      <c r="BO467" s="71">
        <f t="shared" si="204"/>
        <v>0</v>
      </c>
      <c r="BQ467" s="71"/>
      <c r="BR467" s="71"/>
      <c r="BS467" s="138">
        <f t="shared" si="205"/>
        <v>0</v>
      </c>
      <c r="BU467" s="71"/>
      <c r="BV467" s="71"/>
      <c r="BW467" s="71">
        <f t="shared" si="206"/>
        <v>0</v>
      </c>
      <c r="BZ467" s="71"/>
      <c r="CA467" s="71"/>
      <c r="CB467" s="71">
        <f t="shared" si="207"/>
        <v>0</v>
      </c>
      <c r="CD467" s="71"/>
      <c r="CE467" s="71"/>
      <c r="CF467" s="71">
        <f t="shared" si="208"/>
        <v>0</v>
      </c>
      <c r="CH467" s="71"/>
      <c r="CI467" s="71"/>
      <c r="CJ467" s="138">
        <f t="shared" si="209"/>
        <v>0</v>
      </c>
      <c r="CL467" s="71"/>
      <c r="CM467" s="71"/>
      <c r="CN467" s="71">
        <f t="shared" si="210"/>
        <v>0</v>
      </c>
      <c r="CS467" s="102">
        <f t="shared" si="211"/>
        <v>4.5293954747099576</v>
      </c>
      <c r="CT467" s="102">
        <f t="shared" si="212"/>
        <v>18.675175962423801</v>
      </c>
      <c r="CZ467" s="109" t="str">
        <f t="shared" si="213"/>
        <v>Basso</v>
      </c>
    </row>
    <row r="468" spans="9:104" x14ac:dyDescent="0.15">
      <c r="I468" s="64">
        <f t="shared" si="191"/>
        <v>76.99972307006928</v>
      </c>
      <c r="M468" s="64">
        <f t="shared" si="192"/>
        <v>0</v>
      </c>
      <c r="Q468" s="64">
        <f t="shared" si="193"/>
        <v>0</v>
      </c>
      <c r="U468" s="64">
        <f t="shared" si="194"/>
        <v>0</v>
      </c>
      <c r="Y468" s="114">
        <f t="shared" si="195"/>
        <v>0</v>
      </c>
      <c r="AC468" s="64">
        <f t="shared" si="196"/>
        <v>0</v>
      </c>
      <c r="AE468" s="71"/>
      <c r="AF468" s="71"/>
      <c r="AG468" s="71">
        <f t="shared" si="197"/>
        <v>0</v>
      </c>
      <c r="AK468" s="64">
        <f t="shared" si="198"/>
        <v>0</v>
      </c>
      <c r="AM468" s="71"/>
      <c r="AN468" s="71"/>
      <c r="AO468" s="71">
        <f t="shared" si="199"/>
        <v>0</v>
      </c>
      <c r="AQ468" s="71"/>
      <c r="AR468" s="71"/>
      <c r="AS468" s="71">
        <f t="shared" si="200"/>
        <v>0</v>
      </c>
      <c r="AU468" s="71"/>
      <c r="AV468" s="71"/>
      <c r="AW468" s="71">
        <f t="shared" si="201"/>
        <v>0</v>
      </c>
      <c r="AY468" s="71"/>
      <c r="AZ468" s="71"/>
      <c r="BA468" s="71">
        <f t="shared" si="202"/>
        <v>0</v>
      </c>
      <c r="BI468" s="71"/>
      <c r="BJ468" s="71"/>
      <c r="BK468" s="71">
        <f t="shared" si="203"/>
        <v>0</v>
      </c>
      <c r="BM468" s="71"/>
      <c r="BN468" s="71"/>
      <c r="BO468" s="71">
        <f t="shared" si="204"/>
        <v>0</v>
      </c>
      <c r="BQ468" s="71"/>
      <c r="BR468" s="71"/>
      <c r="BS468" s="138">
        <f t="shared" si="205"/>
        <v>0</v>
      </c>
      <c r="BU468" s="71"/>
      <c r="BV468" s="71"/>
      <c r="BW468" s="71">
        <f t="shared" si="206"/>
        <v>0</v>
      </c>
      <c r="BZ468" s="71"/>
      <c r="CA468" s="71"/>
      <c r="CB468" s="71">
        <f t="shared" si="207"/>
        <v>0</v>
      </c>
      <c r="CD468" s="71"/>
      <c r="CE468" s="71"/>
      <c r="CF468" s="71">
        <f t="shared" si="208"/>
        <v>0</v>
      </c>
      <c r="CH468" s="71"/>
      <c r="CI468" s="71"/>
      <c r="CJ468" s="138">
        <f t="shared" si="209"/>
        <v>0</v>
      </c>
      <c r="CL468" s="71"/>
      <c r="CM468" s="71"/>
      <c r="CN468" s="71">
        <f t="shared" si="210"/>
        <v>0</v>
      </c>
      <c r="CS468" s="102">
        <f t="shared" si="211"/>
        <v>4.5293954747099576</v>
      </c>
      <c r="CT468" s="102">
        <f t="shared" si="212"/>
        <v>18.675175962423801</v>
      </c>
      <c r="CZ468" s="109" t="str">
        <f t="shared" si="213"/>
        <v>Basso</v>
      </c>
    </row>
    <row r="469" spans="9:104" x14ac:dyDescent="0.15">
      <c r="I469" s="64">
        <f t="shared" si="191"/>
        <v>76.99972307006928</v>
      </c>
      <c r="M469" s="64">
        <f t="shared" si="192"/>
        <v>0</v>
      </c>
      <c r="Q469" s="64">
        <f t="shared" si="193"/>
        <v>0</v>
      </c>
      <c r="U469" s="64">
        <f t="shared" si="194"/>
        <v>0</v>
      </c>
      <c r="Y469" s="114">
        <f t="shared" si="195"/>
        <v>0</v>
      </c>
      <c r="AC469" s="64">
        <f t="shared" si="196"/>
        <v>0</v>
      </c>
      <c r="AE469" s="71"/>
      <c r="AF469" s="71"/>
      <c r="AG469" s="71">
        <f t="shared" si="197"/>
        <v>0</v>
      </c>
      <c r="AK469" s="64">
        <f t="shared" si="198"/>
        <v>0</v>
      </c>
      <c r="AM469" s="71"/>
      <c r="AN469" s="71"/>
      <c r="AO469" s="71">
        <f t="shared" si="199"/>
        <v>0</v>
      </c>
      <c r="AQ469" s="71"/>
      <c r="AR469" s="71"/>
      <c r="AS469" s="71">
        <f t="shared" si="200"/>
        <v>0</v>
      </c>
      <c r="AU469" s="71"/>
      <c r="AV469" s="71"/>
      <c r="AW469" s="71">
        <f t="shared" si="201"/>
        <v>0</v>
      </c>
      <c r="AY469" s="71"/>
      <c r="AZ469" s="71"/>
      <c r="BA469" s="71">
        <f t="shared" si="202"/>
        <v>0</v>
      </c>
      <c r="BI469" s="71"/>
      <c r="BJ469" s="71"/>
      <c r="BK469" s="71">
        <f t="shared" si="203"/>
        <v>0</v>
      </c>
      <c r="BM469" s="71"/>
      <c r="BN469" s="71"/>
      <c r="BO469" s="71">
        <f t="shared" si="204"/>
        <v>0</v>
      </c>
      <c r="BQ469" s="71"/>
      <c r="BR469" s="71"/>
      <c r="BS469" s="138">
        <f t="shared" si="205"/>
        <v>0</v>
      </c>
      <c r="BU469" s="71"/>
      <c r="BV469" s="71"/>
      <c r="BW469" s="71">
        <f t="shared" si="206"/>
        <v>0</v>
      </c>
      <c r="BZ469" s="71"/>
      <c r="CA469" s="71"/>
      <c r="CB469" s="71">
        <f t="shared" si="207"/>
        <v>0</v>
      </c>
      <c r="CD469" s="71"/>
      <c r="CE469" s="71"/>
      <c r="CF469" s="71">
        <f t="shared" si="208"/>
        <v>0</v>
      </c>
      <c r="CH469" s="71"/>
      <c r="CI469" s="71"/>
      <c r="CJ469" s="138">
        <f t="shared" si="209"/>
        <v>0</v>
      </c>
      <c r="CL469" s="71"/>
      <c r="CM469" s="71"/>
      <c r="CN469" s="71">
        <f t="shared" si="210"/>
        <v>0</v>
      </c>
      <c r="CS469" s="102">
        <f t="shared" si="211"/>
        <v>4.5293954747099576</v>
      </c>
      <c r="CT469" s="102">
        <f t="shared" si="212"/>
        <v>18.675175962423801</v>
      </c>
      <c r="CZ469" s="109" t="str">
        <f t="shared" si="213"/>
        <v>Basso</v>
      </c>
    </row>
    <row r="470" spans="9:104" x14ac:dyDescent="0.15">
      <c r="I470" s="64">
        <f t="shared" si="191"/>
        <v>76.99972307006928</v>
      </c>
      <c r="M470" s="64">
        <f t="shared" si="192"/>
        <v>0</v>
      </c>
      <c r="Q470" s="64">
        <f t="shared" si="193"/>
        <v>0</v>
      </c>
      <c r="U470" s="64">
        <f t="shared" si="194"/>
        <v>0</v>
      </c>
      <c r="Y470" s="114">
        <f t="shared" si="195"/>
        <v>0</v>
      </c>
      <c r="AC470" s="64">
        <f t="shared" si="196"/>
        <v>0</v>
      </c>
      <c r="AE470" s="71"/>
      <c r="AF470" s="71"/>
      <c r="AG470" s="71">
        <f t="shared" si="197"/>
        <v>0</v>
      </c>
      <c r="AK470" s="64">
        <f t="shared" si="198"/>
        <v>0</v>
      </c>
      <c r="AM470" s="71"/>
      <c r="AN470" s="71"/>
      <c r="AO470" s="71">
        <f t="shared" si="199"/>
        <v>0</v>
      </c>
      <c r="AQ470" s="71"/>
      <c r="AR470" s="71"/>
      <c r="AS470" s="71">
        <f t="shared" si="200"/>
        <v>0</v>
      </c>
      <c r="AU470" s="71"/>
      <c r="AV470" s="71"/>
      <c r="AW470" s="71">
        <f t="shared" si="201"/>
        <v>0</v>
      </c>
      <c r="AY470" s="71"/>
      <c r="AZ470" s="71"/>
      <c r="BA470" s="71">
        <f t="shared" si="202"/>
        <v>0</v>
      </c>
      <c r="BI470" s="71"/>
      <c r="BJ470" s="71"/>
      <c r="BK470" s="71">
        <f t="shared" si="203"/>
        <v>0</v>
      </c>
      <c r="BM470" s="71"/>
      <c r="BN470" s="71"/>
      <c r="BO470" s="71">
        <f t="shared" si="204"/>
        <v>0</v>
      </c>
      <c r="BQ470" s="71"/>
      <c r="BR470" s="71"/>
      <c r="BS470" s="138">
        <f t="shared" si="205"/>
        <v>0</v>
      </c>
      <c r="BU470" s="71"/>
      <c r="BV470" s="71"/>
      <c r="BW470" s="71">
        <f t="shared" si="206"/>
        <v>0</v>
      </c>
      <c r="BZ470" s="71"/>
      <c r="CA470" s="71"/>
      <c r="CB470" s="71">
        <f t="shared" si="207"/>
        <v>0</v>
      </c>
      <c r="CD470" s="71"/>
      <c r="CE470" s="71"/>
      <c r="CF470" s="71">
        <f t="shared" si="208"/>
        <v>0</v>
      </c>
      <c r="CH470" s="71"/>
      <c r="CI470" s="71"/>
      <c r="CJ470" s="138">
        <f t="shared" si="209"/>
        <v>0</v>
      </c>
      <c r="CL470" s="71"/>
      <c r="CM470" s="71"/>
      <c r="CN470" s="71">
        <f t="shared" si="210"/>
        <v>0</v>
      </c>
      <c r="CS470" s="102">
        <f t="shared" si="211"/>
        <v>4.5293954747099576</v>
      </c>
      <c r="CT470" s="102">
        <f t="shared" si="212"/>
        <v>18.675175962423801</v>
      </c>
      <c r="CZ470" s="109" t="str">
        <f t="shared" si="213"/>
        <v>Basso</v>
      </c>
    </row>
    <row r="471" spans="9:104" x14ac:dyDescent="0.15">
      <c r="I471" s="64">
        <f t="shared" si="191"/>
        <v>76.99972307006928</v>
      </c>
      <c r="M471" s="64">
        <f t="shared" si="192"/>
        <v>0</v>
      </c>
      <c r="Q471" s="64">
        <f t="shared" si="193"/>
        <v>0</v>
      </c>
      <c r="U471" s="64">
        <f t="shared" si="194"/>
        <v>0</v>
      </c>
      <c r="Y471" s="114">
        <f t="shared" si="195"/>
        <v>0</v>
      </c>
      <c r="AC471" s="64">
        <f t="shared" si="196"/>
        <v>0</v>
      </c>
      <c r="AE471" s="71"/>
      <c r="AF471" s="71"/>
      <c r="AG471" s="71">
        <f t="shared" si="197"/>
        <v>0</v>
      </c>
      <c r="AK471" s="64">
        <f t="shared" si="198"/>
        <v>0</v>
      </c>
      <c r="AM471" s="71"/>
      <c r="AN471" s="71"/>
      <c r="AO471" s="71">
        <f t="shared" si="199"/>
        <v>0</v>
      </c>
      <c r="AQ471" s="71"/>
      <c r="AR471" s="71"/>
      <c r="AS471" s="71">
        <f t="shared" si="200"/>
        <v>0</v>
      </c>
      <c r="AU471" s="71"/>
      <c r="AV471" s="71"/>
      <c r="AW471" s="71">
        <f t="shared" si="201"/>
        <v>0</v>
      </c>
      <c r="AY471" s="71"/>
      <c r="AZ471" s="71"/>
      <c r="BA471" s="71">
        <f t="shared" si="202"/>
        <v>0</v>
      </c>
      <c r="BI471" s="71"/>
      <c r="BJ471" s="71"/>
      <c r="BK471" s="71">
        <f t="shared" si="203"/>
        <v>0</v>
      </c>
      <c r="BM471" s="71"/>
      <c r="BN471" s="71"/>
      <c r="BO471" s="71">
        <f t="shared" si="204"/>
        <v>0</v>
      </c>
      <c r="BQ471" s="71"/>
      <c r="BR471" s="71"/>
      <c r="BS471" s="138">
        <f t="shared" si="205"/>
        <v>0</v>
      </c>
      <c r="BU471" s="71"/>
      <c r="BV471" s="71"/>
      <c r="BW471" s="71">
        <f t="shared" si="206"/>
        <v>0</v>
      </c>
      <c r="BZ471" s="71"/>
      <c r="CA471" s="71"/>
      <c r="CB471" s="71">
        <f t="shared" si="207"/>
        <v>0</v>
      </c>
      <c r="CD471" s="71"/>
      <c r="CE471" s="71"/>
      <c r="CF471" s="71">
        <f t="shared" si="208"/>
        <v>0</v>
      </c>
      <c r="CH471" s="71"/>
      <c r="CI471" s="71"/>
      <c r="CJ471" s="138">
        <f t="shared" si="209"/>
        <v>0</v>
      </c>
      <c r="CL471" s="71"/>
      <c r="CM471" s="71"/>
      <c r="CN471" s="71">
        <f t="shared" si="210"/>
        <v>0</v>
      </c>
      <c r="CS471" s="102">
        <f t="shared" si="211"/>
        <v>4.5293954747099576</v>
      </c>
      <c r="CT471" s="102">
        <f t="shared" si="212"/>
        <v>18.675175962423801</v>
      </c>
      <c r="CZ471" s="109" t="str">
        <f t="shared" si="213"/>
        <v>Basso</v>
      </c>
    </row>
    <row r="472" spans="9:104" x14ac:dyDescent="0.15">
      <c r="I472" s="64">
        <f t="shared" si="191"/>
        <v>76.99972307006928</v>
      </c>
      <c r="M472" s="64">
        <f t="shared" si="192"/>
        <v>0</v>
      </c>
      <c r="Q472" s="64">
        <f t="shared" si="193"/>
        <v>0</v>
      </c>
      <c r="U472" s="64">
        <f t="shared" si="194"/>
        <v>0</v>
      </c>
      <c r="Y472" s="114">
        <f t="shared" si="195"/>
        <v>0</v>
      </c>
      <c r="AC472" s="64">
        <f t="shared" si="196"/>
        <v>0</v>
      </c>
      <c r="AE472" s="71"/>
      <c r="AF472" s="71"/>
      <c r="AG472" s="71">
        <f t="shared" si="197"/>
        <v>0</v>
      </c>
      <c r="AK472" s="64">
        <f t="shared" si="198"/>
        <v>0</v>
      </c>
      <c r="AM472" s="71"/>
      <c r="AN472" s="71"/>
      <c r="AO472" s="71">
        <f t="shared" si="199"/>
        <v>0</v>
      </c>
      <c r="AQ472" s="71"/>
      <c r="AR472" s="71"/>
      <c r="AS472" s="71">
        <f t="shared" si="200"/>
        <v>0</v>
      </c>
      <c r="AU472" s="71"/>
      <c r="AV472" s="71"/>
      <c r="AW472" s="71">
        <f t="shared" si="201"/>
        <v>0</v>
      </c>
      <c r="AY472" s="71"/>
      <c r="AZ472" s="71"/>
      <c r="BA472" s="71">
        <f t="shared" si="202"/>
        <v>0</v>
      </c>
      <c r="BI472" s="71"/>
      <c r="BJ472" s="71"/>
      <c r="BK472" s="71">
        <f t="shared" si="203"/>
        <v>0</v>
      </c>
      <c r="BM472" s="71"/>
      <c r="BN472" s="71"/>
      <c r="BO472" s="71">
        <f t="shared" si="204"/>
        <v>0</v>
      </c>
      <c r="BQ472" s="71"/>
      <c r="BR472" s="71"/>
      <c r="BS472" s="138">
        <f t="shared" si="205"/>
        <v>0</v>
      </c>
      <c r="BU472" s="71"/>
      <c r="BV472" s="71"/>
      <c r="BW472" s="71">
        <f t="shared" si="206"/>
        <v>0</v>
      </c>
      <c r="BZ472" s="71"/>
      <c r="CA472" s="71"/>
      <c r="CB472" s="71">
        <f t="shared" si="207"/>
        <v>0</v>
      </c>
      <c r="CD472" s="71"/>
      <c r="CE472" s="71"/>
      <c r="CF472" s="71">
        <f t="shared" si="208"/>
        <v>0</v>
      </c>
      <c r="CH472" s="71"/>
      <c r="CI472" s="71"/>
      <c r="CJ472" s="138">
        <f t="shared" si="209"/>
        <v>0</v>
      </c>
      <c r="CL472" s="71"/>
      <c r="CM472" s="71"/>
      <c r="CN472" s="71">
        <f t="shared" si="210"/>
        <v>0</v>
      </c>
      <c r="CS472" s="102">
        <f t="shared" si="211"/>
        <v>4.5293954747099576</v>
      </c>
      <c r="CT472" s="102">
        <f t="shared" si="212"/>
        <v>18.675175962423801</v>
      </c>
      <c r="CZ472" s="109" t="str">
        <f t="shared" si="213"/>
        <v>Basso</v>
      </c>
    </row>
    <row r="473" spans="9:104" x14ac:dyDescent="0.15">
      <c r="I473" s="64">
        <f t="shared" si="191"/>
        <v>76.99972307006928</v>
      </c>
      <c r="M473" s="64">
        <f t="shared" si="192"/>
        <v>0</v>
      </c>
      <c r="Q473" s="64">
        <f t="shared" si="193"/>
        <v>0</v>
      </c>
      <c r="U473" s="64">
        <f t="shared" si="194"/>
        <v>0</v>
      </c>
      <c r="Y473" s="114">
        <f t="shared" si="195"/>
        <v>0</v>
      </c>
      <c r="AC473" s="64">
        <f t="shared" si="196"/>
        <v>0</v>
      </c>
      <c r="AE473" s="71"/>
      <c r="AF473" s="71"/>
      <c r="AG473" s="71">
        <f t="shared" si="197"/>
        <v>0</v>
      </c>
      <c r="AK473" s="64">
        <f t="shared" si="198"/>
        <v>0</v>
      </c>
      <c r="AM473" s="71"/>
      <c r="AN473" s="71"/>
      <c r="AO473" s="71">
        <f t="shared" si="199"/>
        <v>0</v>
      </c>
      <c r="AQ473" s="71"/>
      <c r="AR473" s="71"/>
      <c r="AS473" s="71">
        <f t="shared" si="200"/>
        <v>0</v>
      </c>
      <c r="AU473" s="71"/>
      <c r="AV473" s="71"/>
      <c r="AW473" s="71">
        <f t="shared" si="201"/>
        <v>0</v>
      </c>
      <c r="AY473" s="71"/>
      <c r="AZ473" s="71"/>
      <c r="BA473" s="71">
        <f t="shared" si="202"/>
        <v>0</v>
      </c>
      <c r="BI473" s="71"/>
      <c r="BJ473" s="71"/>
      <c r="BK473" s="71">
        <f t="shared" si="203"/>
        <v>0</v>
      </c>
      <c r="BM473" s="71"/>
      <c r="BN473" s="71"/>
      <c r="BO473" s="71">
        <f t="shared" si="204"/>
        <v>0</v>
      </c>
      <c r="BQ473" s="71"/>
      <c r="BR473" s="71"/>
      <c r="BS473" s="138">
        <f t="shared" si="205"/>
        <v>0</v>
      </c>
      <c r="BU473" s="71"/>
      <c r="BV473" s="71"/>
      <c r="BW473" s="71">
        <f t="shared" si="206"/>
        <v>0</v>
      </c>
      <c r="BZ473" s="71"/>
      <c r="CA473" s="71"/>
      <c r="CB473" s="71">
        <f t="shared" si="207"/>
        <v>0</v>
      </c>
      <c r="CD473" s="71"/>
      <c r="CE473" s="71"/>
      <c r="CF473" s="71">
        <f t="shared" si="208"/>
        <v>0</v>
      </c>
      <c r="CH473" s="71"/>
      <c r="CI473" s="71"/>
      <c r="CJ473" s="138">
        <f t="shared" si="209"/>
        <v>0</v>
      </c>
      <c r="CL473" s="71"/>
      <c r="CM473" s="71"/>
      <c r="CN473" s="71">
        <f t="shared" si="210"/>
        <v>0</v>
      </c>
      <c r="CS473" s="102">
        <f t="shared" si="211"/>
        <v>4.5293954747099576</v>
      </c>
      <c r="CT473" s="102">
        <f t="shared" si="212"/>
        <v>18.675175962423801</v>
      </c>
      <c r="CZ473" s="109" t="str">
        <f t="shared" si="213"/>
        <v>Basso</v>
      </c>
    </row>
    <row r="474" spans="9:104" x14ac:dyDescent="0.15">
      <c r="I474" s="64">
        <f t="shared" si="191"/>
        <v>76.99972307006928</v>
      </c>
      <c r="M474" s="64">
        <f t="shared" si="192"/>
        <v>0</v>
      </c>
      <c r="Q474" s="64">
        <f t="shared" si="193"/>
        <v>0</v>
      </c>
      <c r="U474" s="64">
        <f t="shared" si="194"/>
        <v>0</v>
      </c>
      <c r="Y474" s="114">
        <f t="shared" si="195"/>
        <v>0</v>
      </c>
      <c r="AC474" s="64">
        <f t="shared" si="196"/>
        <v>0</v>
      </c>
      <c r="AE474" s="71"/>
      <c r="AF474" s="71"/>
      <c r="AG474" s="71">
        <f t="shared" si="197"/>
        <v>0</v>
      </c>
      <c r="AK474" s="64">
        <f t="shared" si="198"/>
        <v>0</v>
      </c>
      <c r="AM474" s="71"/>
      <c r="AN474" s="71"/>
      <c r="AO474" s="71">
        <f t="shared" si="199"/>
        <v>0</v>
      </c>
      <c r="AQ474" s="71"/>
      <c r="AR474" s="71"/>
      <c r="AS474" s="71">
        <f t="shared" si="200"/>
        <v>0</v>
      </c>
      <c r="AU474" s="71"/>
      <c r="AV474" s="71"/>
      <c r="AW474" s="71">
        <f t="shared" si="201"/>
        <v>0</v>
      </c>
      <c r="AY474" s="71"/>
      <c r="AZ474" s="71"/>
      <c r="BA474" s="71">
        <f t="shared" si="202"/>
        <v>0</v>
      </c>
      <c r="BI474" s="71"/>
      <c r="BJ474" s="71"/>
      <c r="BK474" s="71">
        <f t="shared" si="203"/>
        <v>0</v>
      </c>
      <c r="BM474" s="71"/>
      <c r="BN474" s="71"/>
      <c r="BO474" s="71">
        <f t="shared" si="204"/>
        <v>0</v>
      </c>
      <c r="BQ474" s="71"/>
      <c r="BR474" s="71"/>
      <c r="BS474" s="138">
        <f t="shared" si="205"/>
        <v>0</v>
      </c>
      <c r="BU474" s="71"/>
      <c r="BV474" s="71"/>
      <c r="BW474" s="71">
        <f t="shared" si="206"/>
        <v>0</v>
      </c>
      <c r="BZ474" s="71"/>
      <c r="CA474" s="71"/>
      <c r="CB474" s="71">
        <f t="shared" si="207"/>
        <v>0</v>
      </c>
      <c r="CD474" s="71"/>
      <c r="CE474" s="71"/>
      <c r="CF474" s="71">
        <f t="shared" si="208"/>
        <v>0</v>
      </c>
      <c r="CH474" s="71"/>
      <c r="CI474" s="71"/>
      <c r="CJ474" s="138">
        <f t="shared" si="209"/>
        <v>0</v>
      </c>
      <c r="CL474" s="71"/>
      <c r="CM474" s="71"/>
      <c r="CN474" s="71">
        <f t="shared" si="210"/>
        <v>0</v>
      </c>
      <c r="CS474" s="102">
        <f t="shared" si="211"/>
        <v>4.5293954747099576</v>
      </c>
      <c r="CT474" s="102">
        <f t="shared" si="212"/>
        <v>18.675175962423801</v>
      </c>
      <c r="CZ474" s="109" t="str">
        <f t="shared" si="213"/>
        <v>Basso</v>
      </c>
    </row>
    <row r="475" spans="9:104" x14ac:dyDescent="0.15">
      <c r="I475" s="64">
        <f t="shared" si="191"/>
        <v>76.99972307006928</v>
      </c>
      <c r="M475" s="64">
        <f t="shared" si="192"/>
        <v>0</v>
      </c>
      <c r="Q475" s="64">
        <f t="shared" si="193"/>
        <v>0</v>
      </c>
      <c r="U475" s="64">
        <f t="shared" si="194"/>
        <v>0</v>
      </c>
      <c r="Y475" s="114">
        <f t="shared" si="195"/>
        <v>0</v>
      </c>
      <c r="AC475" s="64">
        <f t="shared" si="196"/>
        <v>0</v>
      </c>
      <c r="AE475" s="71"/>
      <c r="AF475" s="71"/>
      <c r="AG475" s="71">
        <f t="shared" si="197"/>
        <v>0</v>
      </c>
      <c r="AK475" s="64">
        <f t="shared" si="198"/>
        <v>0</v>
      </c>
      <c r="AM475" s="71"/>
      <c r="AN475" s="71"/>
      <c r="AO475" s="71">
        <f t="shared" si="199"/>
        <v>0</v>
      </c>
      <c r="AQ475" s="71"/>
      <c r="AR475" s="71"/>
      <c r="AS475" s="71">
        <f t="shared" si="200"/>
        <v>0</v>
      </c>
      <c r="AU475" s="71"/>
      <c r="AV475" s="71"/>
      <c r="AW475" s="71">
        <f t="shared" si="201"/>
        <v>0</v>
      </c>
      <c r="AY475" s="71"/>
      <c r="AZ475" s="71"/>
      <c r="BA475" s="71">
        <f t="shared" si="202"/>
        <v>0</v>
      </c>
      <c r="BI475" s="71"/>
      <c r="BJ475" s="71"/>
      <c r="BK475" s="71">
        <f t="shared" si="203"/>
        <v>0</v>
      </c>
      <c r="BM475" s="71"/>
      <c r="BN475" s="71"/>
      <c r="BO475" s="71">
        <f t="shared" si="204"/>
        <v>0</v>
      </c>
      <c r="BQ475" s="71"/>
      <c r="BR475" s="71"/>
      <c r="BS475" s="138">
        <f t="shared" si="205"/>
        <v>0</v>
      </c>
      <c r="BU475" s="71"/>
      <c r="BV475" s="71"/>
      <c r="BW475" s="71">
        <f t="shared" si="206"/>
        <v>0</v>
      </c>
      <c r="BZ475" s="71"/>
      <c r="CA475" s="71"/>
      <c r="CB475" s="71">
        <f t="shared" si="207"/>
        <v>0</v>
      </c>
      <c r="CD475" s="71"/>
      <c r="CE475" s="71"/>
      <c r="CF475" s="71">
        <f t="shared" si="208"/>
        <v>0</v>
      </c>
      <c r="CH475" s="71"/>
      <c r="CI475" s="71"/>
      <c r="CJ475" s="138">
        <f t="shared" si="209"/>
        <v>0</v>
      </c>
      <c r="CL475" s="71"/>
      <c r="CM475" s="71"/>
      <c r="CN475" s="71">
        <f t="shared" si="210"/>
        <v>0</v>
      </c>
      <c r="CS475" s="102">
        <f t="shared" si="211"/>
        <v>4.5293954747099576</v>
      </c>
      <c r="CT475" s="102">
        <f t="shared" si="212"/>
        <v>18.675175962423801</v>
      </c>
      <c r="CZ475" s="109" t="str">
        <f t="shared" si="213"/>
        <v>Basso</v>
      </c>
    </row>
    <row r="476" spans="9:104" x14ac:dyDescent="0.15">
      <c r="I476" s="64">
        <f t="shared" si="191"/>
        <v>76.99972307006928</v>
      </c>
      <c r="M476" s="64">
        <f t="shared" si="192"/>
        <v>0</v>
      </c>
      <c r="Q476" s="64">
        <f t="shared" si="193"/>
        <v>0</v>
      </c>
      <c r="U476" s="64">
        <f t="shared" si="194"/>
        <v>0</v>
      </c>
      <c r="Y476" s="114">
        <f t="shared" si="195"/>
        <v>0</v>
      </c>
      <c r="AC476" s="64">
        <f t="shared" si="196"/>
        <v>0</v>
      </c>
      <c r="AE476" s="71"/>
      <c r="AF476" s="71"/>
      <c r="AG476" s="71">
        <f t="shared" si="197"/>
        <v>0</v>
      </c>
      <c r="AK476" s="64">
        <f t="shared" si="198"/>
        <v>0</v>
      </c>
      <c r="AM476" s="71"/>
      <c r="AN476" s="71"/>
      <c r="AO476" s="71">
        <f t="shared" si="199"/>
        <v>0</v>
      </c>
      <c r="AQ476" s="71"/>
      <c r="AR476" s="71"/>
      <c r="AS476" s="71">
        <f t="shared" si="200"/>
        <v>0</v>
      </c>
      <c r="AU476" s="71"/>
      <c r="AV476" s="71"/>
      <c r="AW476" s="71">
        <f t="shared" si="201"/>
        <v>0</v>
      </c>
      <c r="AY476" s="71"/>
      <c r="AZ476" s="71"/>
      <c r="BA476" s="71">
        <f t="shared" si="202"/>
        <v>0</v>
      </c>
      <c r="BI476" s="71"/>
      <c r="BJ476" s="71"/>
      <c r="BK476" s="71">
        <f t="shared" si="203"/>
        <v>0</v>
      </c>
      <c r="BM476" s="71"/>
      <c r="BN476" s="71"/>
      <c r="BO476" s="71">
        <f t="shared" si="204"/>
        <v>0</v>
      </c>
      <c r="BQ476" s="71"/>
      <c r="BR476" s="71"/>
      <c r="BS476" s="138">
        <f t="shared" si="205"/>
        <v>0</v>
      </c>
      <c r="BU476" s="71"/>
      <c r="BV476" s="71"/>
      <c r="BW476" s="71">
        <f t="shared" si="206"/>
        <v>0</v>
      </c>
      <c r="BZ476" s="71"/>
      <c r="CA476" s="71"/>
      <c r="CB476" s="71">
        <f t="shared" si="207"/>
        <v>0</v>
      </c>
      <c r="CD476" s="71"/>
      <c r="CE476" s="71"/>
      <c r="CF476" s="71">
        <f t="shared" si="208"/>
        <v>0</v>
      </c>
      <c r="CH476" s="71"/>
      <c r="CI476" s="71"/>
      <c r="CJ476" s="138">
        <f t="shared" si="209"/>
        <v>0</v>
      </c>
      <c r="CL476" s="71"/>
      <c r="CM476" s="71"/>
      <c r="CN476" s="71">
        <f t="shared" si="210"/>
        <v>0</v>
      </c>
      <c r="CS476" s="102">
        <f t="shared" si="211"/>
        <v>4.5293954747099576</v>
      </c>
      <c r="CT476" s="102">
        <f t="shared" si="212"/>
        <v>18.675175962423801</v>
      </c>
      <c r="CZ476" s="109" t="str">
        <f t="shared" si="213"/>
        <v>Basso</v>
      </c>
    </row>
    <row r="477" spans="9:104" x14ac:dyDescent="0.15">
      <c r="I477" s="64">
        <f t="shared" si="191"/>
        <v>76.99972307006928</v>
      </c>
      <c r="M477" s="64">
        <f t="shared" si="192"/>
        <v>0</v>
      </c>
      <c r="Q477" s="64">
        <f t="shared" si="193"/>
        <v>0</v>
      </c>
      <c r="U477" s="64">
        <f t="shared" si="194"/>
        <v>0</v>
      </c>
      <c r="Y477" s="114">
        <f t="shared" si="195"/>
        <v>0</v>
      </c>
      <c r="AC477" s="64">
        <f t="shared" si="196"/>
        <v>0</v>
      </c>
      <c r="AE477" s="71"/>
      <c r="AF477" s="71"/>
      <c r="AG477" s="71">
        <f t="shared" si="197"/>
        <v>0</v>
      </c>
      <c r="AK477" s="64">
        <f t="shared" si="198"/>
        <v>0</v>
      </c>
      <c r="AM477" s="71"/>
      <c r="AN477" s="71"/>
      <c r="AO477" s="71">
        <f t="shared" si="199"/>
        <v>0</v>
      </c>
      <c r="AQ477" s="71"/>
      <c r="AR477" s="71"/>
      <c r="AS477" s="71">
        <f t="shared" si="200"/>
        <v>0</v>
      </c>
      <c r="AU477" s="71"/>
      <c r="AV477" s="71"/>
      <c r="AW477" s="71">
        <f t="shared" si="201"/>
        <v>0</v>
      </c>
      <c r="AY477" s="71"/>
      <c r="AZ477" s="71"/>
      <c r="BA477" s="71">
        <f t="shared" si="202"/>
        <v>0</v>
      </c>
      <c r="BI477" s="71"/>
      <c r="BJ477" s="71"/>
      <c r="BK477" s="71">
        <f t="shared" si="203"/>
        <v>0</v>
      </c>
      <c r="BM477" s="71"/>
      <c r="BN477" s="71"/>
      <c r="BO477" s="71">
        <f t="shared" si="204"/>
        <v>0</v>
      </c>
      <c r="BQ477" s="71"/>
      <c r="BR477" s="71"/>
      <c r="BS477" s="138">
        <f t="shared" si="205"/>
        <v>0</v>
      </c>
      <c r="BU477" s="71"/>
      <c r="BV477" s="71"/>
      <c r="BW477" s="71">
        <f t="shared" si="206"/>
        <v>0</v>
      </c>
      <c r="BZ477" s="71"/>
      <c r="CA477" s="71"/>
      <c r="CB477" s="71">
        <f t="shared" si="207"/>
        <v>0</v>
      </c>
      <c r="CD477" s="71"/>
      <c r="CE477" s="71"/>
      <c r="CF477" s="71">
        <f t="shared" si="208"/>
        <v>0</v>
      </c>
      <c r="CH477" s="71"/>
      <c r="CI477" s="71"/>
      <c r="CJ477" s="138">
        <f t="shared" si="209"/>
        <v>0</v>
      </c>
      <c r="CL477" s="71"/>
      <c r="CM477" s="71"/>
      <c r="CN477" s="71">
        <f t="shared" si="210"/>
        <v>0</v>
      </c>
      <c r="CS477" s="102">
        <f t="shared" si="211"/>
        <v>4.5293954747099576</v>
      </c>
      <c r="CT477" s="102">
        <f t="shared" si="212"/>
        <v>18.675175962423801</v>
      </c>
      <c r="CZ477" s="109" t="str">
        <f t="shared" si="213"/>
        <v>Basso</v>
      </c>
    </row>
    <row r="478" spans="9:104" x14ac:dyDescent="0.15">
      <c r="I478" s="64">
        <f t="shared" si="191"/>
        <v>76.99972307006928</v>
      </c>
      <c r="M478" s="64">
        <f t="shared" si="192"/>
        <v>0</v>
      </c>
      <c r="Q478" s="64">
        <f t="shared" si="193"/>
        <v>0</v>
      </c>
      <c r="U478" s="64">
        <f t="shared" si="194"/>
        <v>0</v>
      </c>
      <c r="Y478" s="114">
        <f t="shared" si="195"/>
        <v>0</v>
      </c>
      <c r="AC478" s="64">
        <f t="shared" si="196"/>
        <v>0</v>
      </c>
      <c r="AE478" s="71"/>
      <c r="AF478" s="71"/>
      <c r="AG478" s="71">
        <f t="shared" si="197"/>
        <v>0</v>
      </c>
      <c r="AK478" s="64">
        <f t="shared" si="198"/>
        <v>0</v>
      </c>
      <c r="AM478" s="71"/>
      <c r="AN478" s="71"/>
      <c r="AO478" s="71">
        <f t="shared" si="199"/>
        <v>0</v>
      </c>
      <c r="AQ478" s="71"/>
      <c r="AR478" s="71"/>
      <c r="AS478" s="71">
        <f t="shared" si="200"/>
        <v>0</v>
      </c>
      <c r="AU478" s="71"/>
      <c r="AV478" s="71"/>
      <c r="AW478" s="71">
        <f t="shared" si="201"/>
        <v>0</v>
      </c>
      <c r="AY478" s="71"/>
      <c r="AZ478" s="71"/>
      <c r="BA478" s="71">
        <f t="shared" si="202"/>
        <v>0</v>
      </c>
      <c r="BI478" s="71"/>
      <c r="BJ478" s="71"/>
      <c r="BK478" s="71">
        <f t="shared" si="203"/>
        <v>0</v>
      </c>
      <c r="BM478" s="71"/>
      <c r="BN478" s="71"/>
      <c r="BO478" s="71">
        <f t="shared" si="204"/>
        <v>0</v>
      </c>
      <c r="BQ478" s="71"/>
      <c r="BR478" s="71"/>
      <c r="BS478" s="138">
        <f t="shared" si="205"/>
        <v>0</v>
      </c>
      <c r="BU478" s="71"/>
      <c r="BV478" s="71"/>
      <c r="BW478" s="71">
        <f t="shared" si="206"/>
        <v>0</v>
      </c>
      <c r="BZ478" s="71"/>
      <c r="CA478" s="71"/>
      <c r="CB478" s="71">
        <f t="shared" si="207"/>
        <v>0</v>
      </c>
      <c r="CD478" s="71"/>
      <c r="CE478" s="71"/>
      <c r="CF478" s="71">
        <f t="shared" si="208"/>
        <v>0</v>
      </c>
      <c r="CH478" s="71"/>
      <c r="CI478" s="71"/>
      <c r="CJ478" s="138">
        <f t="shared" si="209"/>
        <v>0</v>
      </c>
      <c r="CL478" s="71"/>
      <c r="CM478" s="71"/>
      <c r="CN478" s="71">
        <f t="shared" si="210"/>
        <v>0</v>
      </c>
      <c r="CS478" s="102">
        <f t="shared" si="211"/>
        <v>4.5293954747099576</v>
      </c>
      <c r="CT478" s="102">
        <f t="shared" si="212"/>
        <v>18.675175962423801</v>
      </c>
      <c r="CZ478" s="109" t="str">
        <f t="shared" si="213"/>
        <v>Basso</v>
      </c>
    </row>
    <row r="479" spans="9:104" x14ac:dyDescent="0.15">
      <c r="I479" s="64">
        <f t="shared" si="191"/>
        <v>76.99972307006928</v>
      </c>
      <c r="M479" s="64">
        <f t="shared" si="192"/>
        <v>0</v>
      </c>
      <c r="Q479" s="64">
        <f t="shared" si="193"/>
        <v>0</v>
      </c>
      <c r="U479" s="64">
        <f t="shared" si="194"/>
        <v>0</v>
      </c>
      <c r="Y479" s="114">
        <f t="shared" si="195"/>
        <v>0</v>
      </c>
      <c r="AC479" s="64">
        <f t="shared" si="196"/>
        <v>0</v>
      </c>
      <c r="AE479" s="71"/>
      <c r="AF479" s="71"/>
      <c r="AG479" s="71">
        <f t="shared" si="197"/>
        <v>0</v>
      </c>
      <c r="AK479" s="64">
        <f t="shared" si="198"/>
        <v>0</v>
      </c>
      <c r="AM479" s="71"/>
      <c r="AN479" s="71"/>
      <c r="AO479" s="71">
        <f t="shared" si="199"/>
        <v>0</v>
      </c>
      <c r="AQ479" s="71"/>
      <c r="AR479" s="71"/>
      <c r="AS479" s="71">
        <f t="shared" si="200"/>
        <v>0</v>
      </c>
      <c r="AU479" s="71"/>
      <c r="AV479" s="71"/>
      <c r="AW479" s="71">
        <f t="shared" si="201"/>
        <v>0</v>
      </c>
      <c r="AY479" s="71"/>
      <c r="AZ479" s="71"/>
      <c r="BA479" s="71">
        <f t="shared" si="202"/>
        <v>0</v>
      </c>
      <c r="BI479" s="71"/>
      <c r="BJ479" s="71"/>
      <c r="BK479" s="71">
        <f t="shared" si="203"/>
        <v>0</v>
      </c>
      <c r="BM479" s="71"/>
      <c r="BN479" s="71"/>
      <c r="BO479" s="71">
        <f t="shared" si="204"/>
        <v>0</v>
      </c>
      <c r="BQ479" s="71"/>
      <c r="BR479" s="71"/>
      <c r="BS479" s="138">
        <f t="shared" si="205"/>
        <v>0</v>
      </c>
      <c r="BU479" s="71"/>
      <c r="BV479" s="71"/>
      <c r="BW479" s="71">
        <f t="shared" si="206"/>
        <v>0</v>
      </c>
      <c r="BZ479" s="71"/>
      <c r="CA479" s="71"/>
      <c r="CB479" s="71">
        <f t="shared" si="207"/>
        <v>0</v>
      </c>
      <c r="CD479" s="71"/>
      <c r="CE479" s="71"/>
      <c r="CF479" s="71">
        <f t="shared" si="208"/>
        <v>0</v>
      </c>
      <c r="CH479" s="71"/>
      <c r="CI479" s="71"/>
      <c r="CJ479" s="138">
        <f t="shared" si="209"/>
        <v>0</v>
      </c>
      <c r="CL479" s="71"/>
      <c r="CM479" s="71"/>
      <c r="CN479" s="71">
        <f t="shared" si="210"/>
        <v>0</v>
      </c>
      <c r="CS479" s="102">
        <f t="shared" si="211"/>
        <v>4.5293954747099576</v>
      </c>
      <c r="CT479" s="102">
        <f t="shared" si="212"/>
        <v>18.675175962423801</v>
      </c>
      <c r="CZ479" s="109" t="str">
        <f t="shared" si="213"/>
        <v>Basso</v>
      </c>
    </row>
    <row r="480" spans="9:104" x14ac:dyDescent="0.15">
      <c r="I480" s="64">
        <f t="shared" si="191"/>
        <v>76.99972307006928</v>
      </c>
      <c r="M480" s="64">
        <f t="shared" si="192"/>
        <v>0</v>
      </c>
      <c r="Q480" s="64">
        <f t="shared" si="193"/>
        <v>0</v>
      </c>
      <c r="U480" s="64">
        <f t="shared" si="194"/>
        <v>0</v>
      </c>
      <c r="Y480" s="114">
        <f t="shared" si="195"/>
        <v>0</v>
      </c>
      <c r="AC480" s="64">
        <f t="shared" si="196"/>
        <v>0</v>
      </c>
      <c r="AE480" s="71"/>
      <c r="AF480" s="71"/>
      <c r="AG480" s="71">
        <f t="shared" si="197"/>
        <v>0</v>
      </c>
      <c r="AK480" s="64">
        <f t="shared" si="198"/>
        <v>0</v>
      </c>
      <c r="AM480" s="71"/>
      <c r="AN480" s="71"/>
      <c r="AO480" s="71">
        <f t="shared" si="199"/>
        <v>0</v>
      </c>
      <c r="AQ480" s="71"/>
      <c r="AR480" s="71"/>
      <c r="AS480" s="71">
        <f t="shared" si="200"/>
        <v>0</v>
      </c>
      <c r="AU480" s="71"/>
      <c r="AV480" s="71"/>
      <c r="AW480" s="71">
        <f t="shared" si="201"/>
        <v>0</v>
      </c>
      <c r="AY480" s="71"/>
      <c r="AZ480" s="71"/>
      <c r="BA480" s="71">
        <f t="shared" si="202"/>
        <v>0</v>
      </c>
      <c r="BI480" s="71"/>
      <c r="BJ480" s="71"/>
      <c r="BK480" s="71">
        <f t="shared" si="203"/>
        <v>0</v>
      </c>
      <c r="BM480" s="71"/>
      <c r="BN480" s="71"/>
      <c r="BO480" s="71">
        <f t="shared" si="204"/>
        <v>0</v>
      </c>
      <c r="BQ480" s="71"/>
      <c r="BR480" s="71"/>
      <c r="BS480" s="138">
        <f t="shared" si="205"/>
        <v>0</v>
      </c>
      <c r="BU480" s="71"/>
      <c r="BV480" s="71"/>
      <c r="BW480" s="71">
        <f t="shared" si="206"/>
        <v>0</v>
      </c>
      <c r="BZ480" s="71"/>
      <c r="CA480" s="71"/>
      <c r="CB480" s="71">
        <f t="shared" si="207"/>
        <v>0</v>
      </c>
      <c r="CD480" s="71"/>
      <c r="CE480" s="71"/>
      <c r="CF480" s="71">
        <f t="shared" si="208"/>
        <v>0</v>
      </c>
      <c r="CH480" s="71"/>
      <c r="CI480" s="71"/>
      <c r="CJ480" s="138">
        <f t="shared" si="209"/>
        <v>0</v>
      </c>
      <c r="CL480" s="71"/>
      <c r="CM480" s="71"/>
      <c r="CN480" s="71">
        <f t="shared" si="210"/>
        <v>0</v>
      </c>
      <c r="CS480" s="102">
        <f t="shared" si="211"/>
        <v>4.5293954747099576</v>
      </c>
      <c r="CT480" s="102">
        <f t="shared" si="212"/>
        <v>18.675175962423801</v>
      </c>
      <c r="CZ480" s="109" t="str">
        <f t="shared" si="213"/>
        <v>Basso</v>
      </c>
    </row>
    <row r="481" spans="9:104" x14ac:dyDescent="0.15">
      <c r="I481" s="64">
        <f t="shared" si="191"/>
        <v>76.99972307006928</v>
      </c>
      <c r="M481" s="64">
        <f t="shared" si="192"/>
        <v>0</v>
      </c>
      <c r="Q481" s="64">
        <f t="shared" si="193"/>
        <v>0</v>
      </c>
      <c r="U481" s="64">
        <f t="shared" si="194"/>
        <v>0</v>
      </c>
      <c r="Y481" s="114">
        <f t="shared" si="195"/>
        <v>0</v>
      </c>
      <c r="AC481" s="64">
        <f t="shared" si="196"/>
        <v>0</v>
      </c>
      <c r="AE481" s="71"/>
      <c r="AF481" s="71"/>
      <c r="AG481" s="71">
        <f t="shared" si="197"/>
        <v>0</v>
      </c>
      <c r="AK481" s="64">
        <f t="shared" si="198"/>
        <v>0</v>
      </c>
      <c r="AM481" s="71"/>
      <c r="AN481" s="71"/>
      <c r="AO481" s="71">
        <f t="shared" si="199"/>
        <v>0</v>
      </c>
      <c r="AQ481" s="71"/>
      <c r="AR481" s="71"/>
      <c r="AS481" s="71">
        <f t="shared" si="200"/>
        <v>0</v>
      </c>
      <c r="AU481" s="71"/>
      <c r="AV481" s="71"/>
      <c r="AW481" s="71">
        <f t="shared" si="201"/>
        <v>0</v>
      </c>
      <c r="AY481" s="71"/>
      <c r="AZ481" s="71"/>
      <c r="BA481" s="71">
        <f t="shared" si="202"/>
        <v>0</v>
      </c>
      <c r="BI481" s="71"/>
      <c r="BJ481" s="71"/>
      <c r="BK481" s="71">
        <f t="shared" si="203"/>
        <v>0</v>
      </c>
      <c r="BM481" s="71"/>
      <c r="BN481" s="71"/>
      <c r="BO481" s="71">
        <f t="shared" si="204"/>
        <v>0</v>
      </c>
      <c r="BQ481" s="71"/>
      <c r="BR481" s="71"/>
      <c r="BS481" s="138">
        <f t="shared" si="205"/>
        <v>0</v>
      </c>
      <c r="BU481" s="71"/>
      <c r="BV481" s="71"/>
      <c r="BW481" s="71">
        <f t="shared" si="206"/>
        <v>0</v>
      </c>
      <c r="BZ481" s="71"/>
      <c r="CA481" s="71"/>
      <c r="CB481" s="71">
        <f t="shared" si="207"/>
        <v>0</v>
      </c>
      <c r="CD481" s="71"/>
      <c r="CE481" s="71"/>
      <c r="CF481" s="71">
        <f t="shared" si="208"/>
        <v>0</v>
      </c>
      <c r="CH481" s="71"/>
      <c r="CI481" s="71"/>
      <c r="CJ481" s="138">
        <f t="shared" si="209"/>
        <v>0</v>
      </c>
      <c r="CL481" s="71"/>
      <c r="CM481" s="71"/>
      <c r="CN481" s="71">
        <f t="shared" si="210"/>
        <v>0</v>
      </c>
      <c r="CS481" s="102">
        <f t="shared" si="211"/>
        <v>4.5293954747099576</v>
      </c>
      <c r="CT481" s="102">
        <f t="shared" si="212"/>
        <v>18.675175962423801</v>
      </c>
      <c r="CZ481" s="109" t="str">
        <f t="shared" si="213"/>
        <v>Basso</v>
      </c>
    </row>
    <row r="482" spans="9:104" x14ac:dyDescent="0.15">
      <c r="I482" s="64">
        <f t="shared" si="191"/>
        <v>76.99972307006928</v>
      </c>
      <c r="M482" s="64">
        <f t="shared" si="192"/>
        <v>0</v>
      </c>
      <c r="Q482" s="64">
        <f t="shared" si="193"/>
        <v>0</v>
      </c>
      <c r="U482" s="64">
        <f t="shared" si="194"/>
        <v>0</v>
      </c>
      <c r="Y482" s="114">
        <f t="shared" si="195"/>
        <v>0</v>
      </c>
      <c r="AC482" s="64">
        <f t="shared" si="196"/>
        <v>0</v>
      </c>
      <c r="AE482" s="71"/>
      <c r="AF482" s="71"/>
      <c r="AG482" s="71">
        <f t="shared" si="197"/>
        <v>0</v>
      </c>
      <c r="AK482" s="64">
        <f t="shared" si="198"/>
        <v>0</v>
      </c>
      <c r="AM482" s="71"/>
      <c r="AN482" s="71"/>
      <c r="AO482" s="71">
        <f t="shared" si="199"/>
        <v>0</v>
      </c>
      <c r="AQ482" s="71"/>
      <c r="AR482" s="71"/>
      <c r="AS482" s="71">
        <f t="shared" si="200"/>
        <v>0</v>
      </c>
      <c r="AU482" s="71"/>
      <c r="AV482" s="71"/>
      <c r="AW482" s="71">
        <f t="shared" si="201"/>
        <v>0</v>
      </c>
      <c r="AY482" s="71"/>
      <c r="AZ482" s="71"/>
      <c r="BA482" s="71">
        <f t="shared" si="202"/>
        <v>0</v>
      </c>
      <c r="BI482" s="71"/>
      <c r="BJ482" s="71"/>
      <c r="BK482" s="71">
        <f t="shared" si="203"/>
        <v>0</v>
      </c>
      <c r="BM482" s="71"/>
      <c r="BN482" s="71"/>
      <c r="BO482" s="71">
        <f t="shared" si="204"/>
        <v>0</v>
      </c>
      <c r="BQ482" s="71"/>
      <c r="BR482" s="71"/>
      <c r="BS482" s="138">
        <f t="shared" si="205"/>
        <v>0</v>
      </c>
      <c r="BU482" s="71"/>
      <c r="BV482" s="71"/>
      <c r="BW482" s="71">
        <f t="shared" si="206"/>
        <v>0</v>
      </c>
      <c r="BZ482" s="71"/>
      <c r="CA482" s="71"/>
      <c r="CB482" s="71">
        <f t="shared" si="207"/>
        <v>0</v>
      </c>
      <c r="CD482" s="71"/>
      <c r="CE482" s="71"/>
      <c r="CF482" s="71">
        <f t="shared" si="208"/>
        <v>0</v>
      </c>
      <c r="CH482" s="71"/>
      <c r="CI482" s="71"/>
      <c r="CJ482" s="138">
        <f t="shared" si="209"/>
        <v>0</v>
      </c>
      <c r="CL482" s="71"/>
      <c r="CM482" s="71"/>
      <c r="CN482" s="71">
        <f t="shared" si="210"/>
        <v>0</v>
      </c>
      <c r="CS482" s="102">
        <f t="shared" si="211"/>
        <v>4.5293954747099576</v>
      </c>
      <c r="CT482" s="102">
        <f t="shared" si="212"/>
        <v>18.675175962423801</v>
      </c>
      <c r="CZ482" s="109" t="str">
        <f t="shared" si="213"/>
        <v>Basso</v>
      </c>
    </row>
    <row r="483" spans="9:104" x14ac:dyDescent="0.15">
      <c r="I483" s="64">
        <f t="shared" si="191"/>
        <v>76.99972307006928</v>
      </c>
      <c r="M483" s="64">
        <f t="shared" si="192"/>
        <v>0</v>
      </c>
      <c r="Q483" s="64">
        <f t="shared" si="193"/>
        <v>0</v>
      </c>
      <c r="U483" s="64">
        <f t="shared" si="194"/>
        <v>0</v>
      </c>
      <c r="Y483" s="114">
        <f t="shared" si="195"/>
        <v>0</v>
      </c>
      <c r="AC483" s="64">
        <f t="shared" si="196"/>
        <v>0</v>
      </c>
      <c r="AE483" s="71"/>
      <c r="AF483" s="71"/>
      <c r="AG483" s="71">
        <f t="shared" si="197"/>
        <v>0</v>
      </c>
      <c r="AK483" s="64">
        <f t="shared" si="198"/>
        <v>0</v>
      </c>
      <c r="AM483" s="71"/>
      <c r="AN483" s="71"/>
      <c r="AO483" s="71">
        <f t="shared" si="199"/>
        <v>0</v>
      </c>
      <c r="AQ483" s="71"/>
      <c r="AR483" s="71"/>
      <c r="AS483" s="71">
        <f t="shared" si="200"/>
        <v>0</v>
      </c>
      <c r="AU483" s="71"/>
      <c r="AV483" s="71"/>
      <c r="AW483" s="71">
        <f t="shared" si="201"/>
        <v>0</v>
      </c>
      <c r="AY483" s="71"/>
      <c r="AZ483" s="71"/>
      <c r="BA483" s="71">
        <f t="shared" si="202"/>
        <v>0</v>
      </c>
      <c r="BI483" s="71"/>
      <c r="BJ483" s="71"/>
      <c r="BK483" s="71">
        <f t="shared" si="203"/>
        <v>0</v>
      </c>
      <c r="BM483" s="71"/>
      <c r="BN483" s="71"/>
      <c r="BO483" s="71">
        <f t="shared" si="204"/>
        <v>0</v>
      </c>
      <c r="BQ483" s="71"/>
      <c r="BR483" s="71"/>
      <c r="BS483" s="138">
        <f t="shared" si="205"/>
        <v>0</v>
      </c>
      <c r="BU483" s="71"/>
      <c r="BV483" s="71"/>
      <c r="BW483" s="71">
        <f t="shared" si="206"/>
        <v>0</v>
      </c>
      <c r="BZ483" s="71"/>
      <c r="CA483" s="71"/>
      <c r="CB483" s="71">
        <f t="shared" si="207"/>
        <v>0</v>
      </c>
      <c r="CD483" s="71"/>
      <c r="CE483" s="71"/>
      <c r="CF483" s="71">
        <f t="shared" si="208"/>
        <v>0</v>
      </c>
      <c r="CH483" s="71"/>
      <c r="CI483" s="71"/>
      <c r="CJ483" s="138">
        <f t="shared" si="209"/>
        <v>0</v>
      </c>
      <c r="CL483" s="71"/>
      <c r="CM483" s="71"/>
      <c r="CN483" s="71">
        <f t="shared" si="210"/>
        <v>0</v>
      </c>
      <c r="CS483" s="102">
        <f t="shared" si="211"/>
        <v>4.5293954747099576</v>
      </c>
      <c r="CT483" s="102">
        <f t="shared" si="212"/>
        <v>18.675175962423801</v>
      </c>
      <c r="CZ483" s="109" t="str">
        <f t="shared" si="213"/>
        <v>Basso</v>
      </c>
    </row>
    <row r="484" spans="9:104" x14ac:dyDescent="0.15">
      <c r="I484" s="64">
        <f t="shared" si="191"/>
        <v>76.99972307006928</v>
      </c>
      <c r="M484" s="64">
        <f t="shared" si="192"/>
        <v>0</v>
      </c>
      <c r="Q484" s="64">
        <f t="shared" si="193"/>
        <v>0</v>
      </c>
      <c r="U484" s="64">
        <f t="shared" si="194"/>
        <v>0</v>
      </c>
      <c r="Y484" s="114">
        <f t="shared" si="195"/>
        <v>0</v>
      </c>
      <c r="AC484" s="64">
        <f t="shared" si="196"/>
        <v>0</v>
      </c>
      <c r="AE484" s="71"/>
      <c r="AF484" s="71"/>
      <c r="AG484" s="71">
        <f t="shared" si="197"/>
        <v>0</v>
      </c>
      <c r="AK484" s="64">
        <f t="shared" si="198"/>
        <v>0</v>
      </c>
      <c r="AM484" s="71"/>
      <c r="AN484" s="71"/>
      <c r="AO484" s="71">
        <f t="shared" si="199"/>
        <v>0</v>
      </c>
      <c r="AQ484" s="71"/>
      <c r="AR484" s="71"/>
      <c r="AS484" s="71">
        <f t="shared" si="200"/>
        <v>0</v>
      </c>
      <c r="AU484" s="71"/>
      <c r="AV484" s="71"/>
      <c r="AW484" s="71">
        <f t="shared" si="201"/>
        <v>0</v>
      </c>
      <c r="AY484" s="71"/>
      <c r="AZ484" s="71"/>
      <c r="BA484" s="71">
        <f t="shared" si="202"/>
        <v>0</v>
      </c>
      <c r="BI484" s="71"/>
      <c r="BJ484" s="71"/>
      <c r="BK484" s="71">
        <f t="shared" si="203"/>
        <v>0</v>
      </c>
      <c r="BM484" s="71"/>
      <c r="BN484" s="71"/>
      <c r="BO484" s="71">
        <f t="shared" si="204"/>
        <v>0</v>
      </c>
      <c r="BQ484" s="71"/>
      <c r="BR484" s="71"/>
      <c r="BS484" s="138">
        <f t="shared" si="205"/>
        <v>0</v>
      </c>
      <c r="BU484" s="71"/>
      <c r="BV484" s="71"/>
      <c r="BW484" s="71">
        <f t="shared" si="206"/>
        <v>0</v>
      </c>
      <c r="BZ484" s="71"/>
      <c r="CA484" s="71"/>
      <c r="CB484" s="71">
        <f t="shared" si="207"/>
        <v>0</v>
      </c>
      <c r="CD484" s="71"/>
      <c r="CE484" s="71"/>
      <c r="CF484" s="71">
        <f t="shared" si="208"/>
        <v>0</v>
      </c>
      <c r="CH484" s="71"/>
      <c r="CI484" s="71"/>
      <c r="CJ484" s="138">
        <f t="shared" si="209"/>
        <v>0</v>
      </c>
      <c r="CL484" s="71"/>
      <c r="CM484" s="71"/>
      <c r="CN484" s="71">
        <f t="shared" si="210"/>
        <v>0</v>
      </c>
      <c r="CS484" s="102">
        <f t="shared" si="211"/>
        <v>4.5293954747099576</v>
      </c>
      <c r="CT484" s="102">
        <f t="shared" si="212"/>
        <v>18.675175962423801</v>
      </c>
      <c r="CZ484" s="109" t="str">
        <f t="shared" si="213"/>
        <v>Basso</v>
      </c>
    </row>
    <row r="485" spans="9:104" x14ac:dyDescent="0.15">
      <c r="I485" s="64">
        <f t="shared" si="191"/>
        <v>76.99972307006928</v>
      </c>
      <c r="M485" s="64">
        <f t="shared" si="192"/>
        <v>0</v>
      </c>
      <c r="Q485" s="64">
        <f t="shared" si="193"/>
        <v>0</v>
      </c>
      <c r="U485" s="64">
        <f t="shared" si="194"/>
        <v>0</v>
      </c>
      <c r="Y485" s="114">
        <f t="shared" si="195"/>
        <v>0</v>
      </c>
      <c r="AC485" s="64">
        <f t="shared" si="196"/>
        <v>0</v>
      </c>
      <c r="AE485" s="71"/>
      <c r="AF485" s="71"/>
      <c r="AG485" s="71">
        <f t="shared" si="197"/>
        <v>0</v>
      </c>
      <c r="AK485" s="64">
        <f t="shared" si="198"/>
        <v>0</v>
      </c>
      <c r="AM485" s="71"/>
      <c r="AN485" s="71"/>
      <c r="AO485" s="71">
        <f t="shared" si="199"/>
        <v>0</v>
      </c>
      <c r="AQ485" s="71"/>
      <c r="AR485" s="71"/>
      <c r="AS485" s="71">
        <f t="shared" si="200"/>
        <v>0</v>
      </c>
      <c r="AU485" s="71"/>
      <c r="AV485" s="71"/>
      <c r="AW485" s="71">
        <f t="shared" si="201"/>
        <v>0</v>
      </c>
      <c r="AY485" s="71"/>
      <c r="AZ485" s="71"/>
      <c r="BA485" s="71">
        <f t="shared" si="202"/>
        <v>0</v>
      </c>
      <c r="BI485" s="71"/>
      <c r="BJ485" s="71"/>
      <c r="BK485" s="71">
        <f t="shared" si="203"/>
        <v>0</v>
      </c>
      <c r="BM485" s="71"/>
      <c r="BN485" s="71"/>
      <c r="BO485" s="71">
        <f t="shared" si="204"/>
        <v>0</v>
      </c>
      <c r="BQ485" s="71"/>
      <c r="BR485" s="71"/>
      <c r="BS485" s="138">
        <f t="shared" si="205"/>
        <v>0</v>
      </c>
      <c r="BU485" s="71"/>
      <c r="BV485" s="71"/>
      <c r="BW485" s="71">
        <f t="shared" si="206"/>
        <v>0</v>
      </c>
      <c r="BZ485" s="71"/>
      <c r="CA485" s="71"/>
      <c r="CB485" s="71">
        <f t="shared" si="207"/>
        <v>0</v>
      </c>
      <c r="CD485" s="71"/>
      <c r="CE485" s="71"/>
      <c r="CF485" s="71">
        <f t="shared" si="208"/>
        <v>0</v>
      </c>
      <c r="CH485" s="71"/>
      <c r="CI485" s="71"/>
      <c r="CJ485" s="138">
        <f t="shared" si="209"/>
        <v>0</v>
      </c>
      <c r="CL485" s="71"/>
      <c r="CM485" s="71"/>
      <c r="CN485" s="71">
        <f t="shared" si="210"/>
        <v>0</v>
      </c>
      <c r="CS485" s="102">
        <f t="shared" si="211"/>
        <v>4.5293954747099576</v>
      </c>
      <c r="CT485" s="102">
        <f t="shared" si="212"/>
        <v>18.675175962423801</v>
      </c>
      <c r="CZ485" s="109" t="str">
        <f t="shared" si="213"/>
        <v>Basso</v>
      </c>
    </row>
    <row r="486" spans="9:104" x14ac:dyDescent="0.15">
      <c r="I486" s="64">
        <f t="shared" si="191"/>
        <v>76.99972307006928</v>
      </c>
      <c r="M486" s="64">
        <f t="shared" si="192"/>
        <v>0</v>
      </c>
      <c r="Q486" s="64">
        <f t="shared" si="193"/>
        <v>0</v>
      </c>
      <c r="U486" s="64">
        <f t="shared" si="194"/>
        <v>0</v>
      </c>
      <c r="Y486" s="114">
        <f t="shared" si="195"/>
        <v>0</v>
      </c>
      <c r="AC486" s="64">
        <f t="shared" si="196"/>
        <v>0</v>
      </c>
      <c r="AE486" s="71"/>
      <c r="AF486" s="71"/>
      <c r="AG486" s="71">
        <f t="shared" si="197"/>
        <v>0</v>
      </c>
      <c r="AK486" s="64">
        <f t="shared" si="198"/>
        <v>0</v>
      </c>
      <c r="AM486" s="71"/>
      <c r="AN486" s="71"/>
      <c r="AO486" s="71">
        <f t="shared" si="199"/>
        <v>0</v>
      </c>
      <c r="AQ486" s="71"/>
      <c r="AR486" s="71"/>
      <c r="AS486" s="71">
        <f t="shared" si="200"/>
        <v>0</v>
      </c>
      <c r="AU486" s="71"/>
      <c r="AV486" s="71"/>
      <c r="AW486" s="71">
        <f t="shared" si="201"/>
        <v>0</v>
      </c>
      <c r="AY486" s="71"/>
      <c r="AZ486" s="71"/>
      <c r="BA486" s="71">
        <f t="shared" si="202"/>
        <v>0</v>
      </c>
      <c r="BI486" s="71"/>
      <c r="BJ486" s="71"/>
      <c r="BK486" s="71">
        <f t="shared" si="203"/>
        <v>0</v>
      </c>
      <c r="BM486" s="71"/>
      <c r="BN486" s="71"/>
      <c r="BO486" s="71">
        <f t="shared" si="204"/>
        <v>0</v>
      </c>
      <c r="BQ486" s="71"/>
      <c r="BR486" s="71"/>
      <c r="BS486" s="138">
        <f t="shared" si="205"/>
        <v>0</v>
      </c>
      <c r="BU486" s="71"/>
      <c r="BV486" s="71"/>
      <c r="BW486" s="71">
        <f t="shared" si="206"/>
        <v>0</v>
      </c>
      <c r="BZ486" s="71"/>
      <c r="CA486" s="71"/>
      <c r="CB486" s="71">
        <f t="shared" si="207"/>
        <v>0</v>
      </c>
      <c r="CD486" s="71"/>
      <c r="CE486" s="71"/>
      <c r="CF486" s="71">
        <f t="shared" si="208"/>
        <v>0</v>
      </c>
      <c r="CH486" s="71"/>
      <c r="CI486" s="71"/>
      <c r="CJ486" s="138">
        <f t="shared" si="209"/>
        <v>0</v>
      </c>
      <c r="CL486" s="71"/>
      <c r="CM486" s="71"/>
      <c r="CN486" s="71">
        <f t="shared" si="210"/>
        <v>0</v>
      </c>
      <c r="CS486" s="102">
        <f t="shared" si="211"/>
        <v>4.5293954747099576</v>
      </c>
      <c r="CT486" s="102">
        <f t="shared" si="212"/>
        <v>18.675175962423801</v>
      </c>
      <c r="CZ486" s="109" t="str">
        <f t="shared" si="213"/>
        <v>Basso</v>
      </c>
    </row>
    <row r="487" spans="9:104" x14ac:dyDescent="0.15">
      <c r="I487" s="64">
        <f t="shared" si="191"/>
        <v>76.99972307006928</v>
      </c>
      <c r="M487" s="64">
        <f t="shared" si="192"/>
        <v>0</v>
      </c>
      <c r="Q487" s="64">
        <f t="shared" si="193"/>
        <v>0</v>
      </c>
      <c r="U487" s="64">
        <f t="shared" si="194"/>
        <v>0</v>
      </c>
      <c r="Y487" s="114">
        <f t="shared" si="195"/>
        <v>0</v>
      </c>
      <c r="AC487" s="64">
        <f t="shared" si="196"/>
        <v>0</v>
      </c>
      <c r="AE487" s="71"/>
      <c r="AF487" s="71"/>
      <c r="AG487" s="71">
        <f t="shared" si="197"/>
        <v>0</v>
      </c>
      <c r="AK487" s="64">
        <f t="shared" si="198"/>
        <v>0</v>
      </c>
      <c r="AM487" s="71"/>
      <c r="AN487" s="71"/>
      <c r="AO487" s="71">
        <f t="shared" si="199"/>
        <v>0</v>
      </c>
      <c r="AQ487" s="71"/>
      <c r="AR487" s="71"/>
      <c r="AS487" s="71">
        <f t="shared" si="200"/>
        <v>0</v>
      </c>
      <c r="AU487" s="71"/>
      <c r="AV487" s="71"/>
      <c r="AW487" s="71">
        <f t="shared" si="201"/>
        <v>0</v>
      </c>
      <c r="AY487" s="71"/>
      <c r="AZ487" s="71"/>
      <c r="BA487" s="71">
        <f t="shared" si="202"/>
        <v>0</v>
      </c>
      <c r="BI487" s="71"/>
      <c r="BJ487" s="71"/>
      <c r="BK487" s="71">
        <f t="shared" si="203"/>
        <v>0</v>
      </c>
      <c r="BM487" s="71"/>
      <c r="BN487" s="71"/>
      <c r="BO487" s="71">
        <f t="shared" si="204"/>
        <v>0</v>
      </c>
      <c r="BQ487" s="71"/>
      <c r="BR487" s="71"/>
      <c r="BS487" s="138">
        <f t="shared" si="205"/>
        <v>0</v>
      </c>
      <c r="BU487" s="71"/>
      <c r="BV487" s="71"/>
      <c r="BW487" s="71">
        <f t="shared" si="206"/>
        <v>0</v>
      </c>
      <c r="BZ487" s="71"/>
      <c r="CA487" s="71"/>
      <c r="CB487" s="71">
        <f t="shared" si="207"/>
        <v>0</v>
      </c>
      <c r="CD487" s="71"/>
      <c r="CE487" s="71"/>
      <c r="CF487" s="71">
        <f t="shared" si="208"/>
        <v>0</v>
      </c>
      <c r="CH487" s="71"/>
      <c r="CI487" s="71"/>
      <c r="CJ487" s="138">
        <f t="shared" si="209"/>
        <v>0</v>
      </c>
      <c r="CL487" s="71"/>
      <c r="CM487" s="71"/>
      <c r="CN487" s="71">
        <f t="shared" si="210"/>
        <v>0</v>
      </c>
      <c r="CS487" s="102">
        <f t="shared" si="211"/>
        <v>4.5293954747099576</v>
      </c>
      <c r="CT487" s="102">
        <f t="shared" si="212"/>
        <v>18.675175962423801</v>
      </c>
      <c r="CZ487" s="109" t="str">
        <f t="shared" si="213"/>
        <v>Basso</v>
      </c>
    </row>
    <row r="488" spans="9:104" x14ac:dyDescent="0.15">
      <c r="I488" s="64">
        <f t="shared" si="191"/>
        <v>76.99972307006928</v>
      </c>
      <c r="M488" s="64">
        <f t="shared" si="192"/>
        <v>0</v>
      </c>
      <c r="Q488" s="64">
        <f t="shared" si="193"/>
        <v>0</v>
      </c>
      <c r="U488" s="64">
        <f t="shared" si="194"/>
        <v>0</v>
      </c>
      <c r="Y488" s="114">
        <f t="shared" si="195"/>
        <v>0</v>
      </c>
      <c r="AC488" s="64">
        <f t="shared" si="196"/>
        <v>0</v>
      </c>
      <c r="AE488" s="71"/>
      <c r="AF488" s="71"/>
      <c r="AG488" s="71">
        <f t="shared" si="197"/>
        <v>0</v>
      </c>
      <c r="AK488" s="64">
        <f t="shared" si="198"/>
        <v>0</v>
      </c>
      <c r="AM488" s="71"/>
      <c r="AN488" s="71"/>
      <c r="AO488" s="71">
        <f t="shared" si="199"/>
        <v>0</v>
      </c>
      <c r="AQ488" s="71"/>
      <c r="AR488" s="71"/>
      <c r="AS488" s="71">
        <f t="shared" si="200"/>
        <v>0</v>
      </c>
      <c r="AU488" s="71"/>
      <c r="AV488" s="71"/>
      <c r="AW488" s="71">
        <f t="shared" si="201"/>
        <v>0</v>
      </c>
      <c r="AY488" s="71"/>
      <c r="AZ488" s="71"/>
      <c r="BA488" s="71">
        <f t="shared" si="202"/>
        <v>0</v>
      </c>
      <c r="BI488" s="71"/>
      <c r="BJ488" s="71"/>
      <c r="BK488" s="71">
        <f t="shared" si="203"/>
        <v>0</v>
      </c>
      <c r="BM488" s="71"/>
      <c r="BN488" s="71"/>
      <c r="BO488" s="71">
        <f t="shared" si="204"/>
        <v>0</v>
      </c>
      <c r="BQ488" s="71"/>
      <c r="BR488" s="71"/>
      <c r="BS488" s="138">
        <f t="shared" si="205"/>
        <v>0</v>
      </c>
      <c r="BU488" s="71"/>
      <c r="BV488" s="71"/>
      <c r="BW488" s="71">
        <f t="shared" si="206"/>
        <v>0</v>
      </c>
      <c r="BZ488" s="71"/>
      <c r="CA488" s="71"/>
      <c r="CB488" s="71">
        <f t="shared" si="207"/>
        <v>0</v>
      </c>
      <c r="CD488" s="71"/>
      <c r="CE488" s="71"/>
      <c r="CF488" s="71">
        <f t="shared" si="208"/>
        <v>0</v>
      </c>
      <c r="CH488" s="71"/>
      <c r="CI488" s="71"/>
      <c r="CJ488" s="138">
        <f t="shared" si="209"/>
        <v>0</v>
      </c>
      <c r="CL488" s="71"/>
      <c r="CM488" s="71"/>
      <c r="CN488" s="71">
        <f t="shared" si="210"/>
        <v>0</v>
      </c>
      <c r="CS488" s="102">
        <f t="shared" si="211"/>
        <v>4.5293954747099576</v>
      </c>
      <c r="CT488" s="102">
        <f t="shared" si="212"/>
        <v>18.675175962423801</v>
      </c>
      <c r="CZ488" s="109" t="str">
        <f t="shared" si="213"/>
        <v>Basso</v>
      </c>
    </row>
    <row r="489" spans="9:104" x14ac:dyDescent="0.15">
      <c r="I489" s="64">
        <f t="shared" si="191"/>
        <v>76.99972307006928</v>
      </c>
      <c r="M489" s="64">
        <f t="shared" si="192"/>
        <v>0</v>
      </c>
      <c r="Q489" s="64">
        <f t="shared" si="193"/>
        <v>0</v>
      </c>
      <c r="U489" s="64">
        <f t="shared" si="194"/>
        <v>0</v>
      </c>
      <c r="Y489" s="114">
        <f t="shared" si="195"/>
        <v>0</v>
      </c>
      <c r="AC489" s="64">
        <f t="shared" si="196"/>
        <v>0</v>
      </c>
      <c r="AE489" s="71"/>
      <c r="AF489" s="71"/>
      <c r="AG489" s="71">
        <f t="shared" si="197"/>
        <v>0</v>
      </c>
      <c r="AK489" s="64">
        <f t="shared" si="198"/>
        <v>0</v>
      </c>
      <c r="AM489" s="71"/>
      <c r="AN489" s="71"/>
      <c r="AO489" s="71">
        <f t="shared" si="199"/>
        <v>0</v>
      </c>
      <c r="AQ489" s="71"/>
      <c r="AR489" s="71"/>
      <c r="AS489" s="71">
        <f t="shared" si="200"/>
        <v>0</v>
      </c>
      <c r="AU489" s="71"/>
      <c r="AV489" s="71"/>
      <c r="AW489" s="71">
        <f t="shared" si="201"/>
        <v>0</v>
      </c>
      <c r="AY489" s="71"/>
      <c r="AZ489" s="71"/>
      <c r="BA489" s="71">
        <f t="shared" si="202"/>
        <v>0</v>
      </c>
      <c r="BI489" s="71"/>
      <c r="BJ489" s="71"/>
      <c r="BK489" s="71">
        <f t="shared" si="203"/>
        <v>0</v>
      </c>
      <c r="BM489" s="71"/>
      <c r="BN489" s="71"/>
      <c r="BO489" s="71">
        <f t="shared" si="204"/>
        <v>0</v>
      </c>
      <c r="BQ489" s="71"/>
      <c r="BR489" s="71"/>
      <c r="BS489" s="138">
        <f t="shared" si="205"/>
        <v>0</v>
      </c>
      <c r="BU489" s="71"/>
      <c r="BV489" s="71"/>
      <c r="BW489" s="71">
        <f t="shared" si="206"/>
        <v>0</v>
      </c>
      <c r="BZ489" s="71"/>
      <c r="CA489" s="71"/>
      <c r="CB489" s="71">
        <f t="shared" si="207"/>
        <v>0</v>
      </c>
      <c r="CD489" s="71"/>
      <c r="CE489" s="71"/>
      <c r="CF489" s="71">
        <f t="shared" si="208"/>
        <v>0</v>
      </c>
      <c r="CH489" s="71"/>
      <c r="CI489" s="71"/>
      <c r="CJ489" s="138">
        <f t="shared" si="209"/>
        <v>0</v>
      </c>
      <c r="CL489" s="71"/>
      <c r="CM489" s="71"/>
      <c r="CN489" s="71">
        <f t="shared" si="210"/>
        <v>0</v>
      </c>
      <c r="CS489" s="102">
        <f t="shared" si="211"/>
        <v>4.5293954747099576</v>
      </c>
      <c r="CT489" s="102">
        <f t="shared" si="212"/>
        <v>18.675175962423801</v>
      </c>
      <c r="CZ489" s="109" t="str">
        <f t="shared" si="213"/>
        <v>Basso</v>
      </c>
    </row>
    <row r="490" spans="9:104" x14ac:dyDescent="0.15">
      <c r="I490" s="64">
        <f t="shared" si="191"/>
        <v>76.99972307006928</v>
      </c>
      <c r="M490" s="64">
        <f t="shared" si="192"/>
        <v>0</v>
      </c>
      <c r="Q490" s="64">
        <f t="shared" si="193"/>
        <v>0</v>
      </c>
      <c r="U490" s="64">
        <f t="shared" si="194"/>
        <v>0</v>
      </c>
      <c r="Y490" s="114">
        <f t="shared" si="195"/>
        <v>0</v>
      </c>
      <c r="AC490" s="64">
        <f t="shared" si="196"/>
        <v>0</v>
      </c>
      <c r="AE490" s="71"/>
      <c r="AF490" s="71"/>
      <c r="AG490" s="71">
        <f t="shared" si="197"/>
        <v>0</v>
      </c>
      <c r="AK490" s="64">
        <f t="shared" si="198"/>
        <v>0</v>
      </c>
      <c r="AM490" s="71"/>
      <c r="AN490" s="71"/>
      <c r="AO490" s="71">
        <f t="shared" si="199"/>
        <v>0</v>
      </c>
      <c r="AQ490" s="71"/>
      <c r="AR490" s="71"/>
      <c r="AS490" s="71">
        <f t="shared" si="200"/>
        <v>0</v>
      </c>
      <c r="AU490" s="71"/>
      <c r="AV490" s="71"/>
      <c r="AW490" s="71">
        <f t="shared" si="201"/>
        <v>0</v>
      </c>
      <c r="AY490" s="71"/>
      <c r="AZ490" s="71"/>
      <c r="BA490" s="71">
        <f t="shared" si="202"/>
        <v>0</v>
      </c>
      <c r="BI490" s="71"/>
      <c r="BJ490" s="71"/>
      <c r="BK490" s="71">
        <f t="shared" si="203"/>
        <v>0</v>
      </c>
      <c r="BM490" s="71"/>
      <c r="BN490" s="71"/>
      <c r="BO490" s="71">
        <f t="shared" si="204"/>
        <v>0</v>
      </c>
      <c r="BQ490" s="71"/>
      <c r="BR490" s="71"/>
      <c r="BS490" s="138">
        <f t="shared" si="205"/>
        <v>0</v>
      </c>
      <c r="BU490" s="71"/>
      <c r="BV490" s="71"/>
      <c r="BW490" s="71">
        <f t="shared" si="206"/>
        <v>0</v>
      </c>
      <c r="BZ490" s="71"/>
      <c r="CA490" s="71"/>
      <c r="CB490" s="71">
        <f t="shared" si="207"/>
        <v>0</v>
      </c>
      <c r="CD490" s="71"/>
      <c r="CE490" s="71"/>
      <c r="CF490" s="71">
        <f t="shared" si="208"/>
        <v>0</v>
      </c>
      <c r="CH490" s="71"/>
      <c r="CI490" s="71"/>
      <c r="CJ490" s="138">
        <f t="shared" si="209"/>
        <v>0</v>
      </c>
      <c r="CL490" s="71"/>
      <c r="CM490" s="71"/>
      <c r="CN490" s="71">
        <f t="shared" si="210"/>
        <v>0</v>
      </c>
      <c r="CS490" s="102">
        <f t="shared" si="211"/>
        <v>4.5293954747099576</v>
      </c>
      <c r="CT490" s="102">
        <f t="shared" si="212"/>
        <v>18.675175962423801</v>
      </c>
      <c r="CZ490" s="109" t="str">
        <f t="shared" si="213"/>
        <v>Basso</v>
      </c>
    </row>
    <row r="491" spans="9:104" x14ac:dyDescent="0.15">
      <c r="I491" s="64">
        <f t="shared" si="191"/>
        <v>76.99972307006928</v>
      </c>
      <c r="M491" s="64">
        <f t="shared" si="192"/>
        <v>0</v>
      </c>
      <c r="Q491" s="64">
        <f t="shared" si="193"/>
        <v>0</v>
      </c>
      <c r="U491" s="64">
        <f t="shared" si="194"/>
        <v>0</v>
      </c>
      <c r="Y491" s="114">
        <f t="shared" si="195"/>
        <v>0</v>
      </c>
      <c r="AC491" s="64">
        <f t="shared" si="196"/>
        <v>0</v>
      </c>
      <c r="AE491" s="71"/>
      <c r="AF491" s="71"/>
      <c r="AG491" s="71">
        <f t="shared" si="197"/>
        <v>0</v>
      </c>
      <c r="AK491" s="64">
        <f t="shared" si="198"/>
        <v>0</v>
      </c>
      <c r="AM491" s="71"/>
      <c r="AN491" s="71"/>
      <c r="AO491" s="71">
        <f t="shared" si="199"/>
        <v>0</v>
      </c>
      <c r="AQ491" s="71"/>
      <c r="AR491" s="71"/>
      <c r="AS491" s="71">
        <f t="shared" si="200"/>
        <v>0</v>
      </c>
      <c r="AU491" s="71"/>
      <c r="AV491" s="71"/>
      <c r="AW491" s="71">
        <f t="shared" si="201"/>
        <v>0</v>
      </c>
      <c r="AY491" s="71"/>
      <c r="AZ491" s="71"/>
      <c r="BA491" s="71">
        <f t="shared" si="202"/>
        <v>0</v>
      </c>
      <c r="BI491" s="71"/>
      <c r="BJ491" s="71"/>
      <c r="BK491" s="71">
        <f t="shared" si="203"/>
        <v>0</v>
      </c>
      <c r="BM491" s="71"/>
      <c r="BN491" s="71"/>
      <c r="BO491" s="71">
        <f t="shared" si="204"/>
        <v>0</v>
      </c>
      <c r="BQ491" s="71"/>
      <c r="BR491" s="71"/>
      <c r="BS491" s="138">
        <f t="shared" si="205"/>
        <v>0</v>
      </c>
      <c r="BU491" s="71"/>
      <c r="BV491" s="71"/>
      <c r="BW491" s="71">
        <f t="shared" si="206"/>
        <v>0</v>
      </c>
      <c r="BZ491" s="71"/>
      <c r="CA491" s="71"/>
      <c r="CB491" s="71">
        <f t="shared" si="207"/>
        <v>0</v>
      </c>
      <c r="CD491" s="71"/>
      <c r="CE491" s="71"/>
      <c r="CF491" s="71">
        <f t="shared" si="208"/>
        <v>0</v>
      </c>
      <c r="CH491" s="71"/>
      <c r="CI491" s="71"/>
      <c r="CJ491" s="138">
        <f t="shared" si="209"/>
        <v>0</v>
      </c>
      <c r="CL491" s="71"/>
      <c r="CM491" s="71"/>
      <c r="CN491" s="71">
        <f t="shared" si="210"/>
        <v>0</v>
      </c>
      <c r="CS491" s="102">
        <f t="shared" si="211"/>
        <v>4.5293954747099576</v>
      </c>
      <c r="CT491" s="102">
        <f t="shared" si="212"/>
        <v>18.675175962423801</v>
      </c>
      <c r="CZ491" s="109" t="str">
        <f t="shared" si="213"/>
        <v>Basso</v>
      </c>
    </row>
    <row r="492" spans="9:104" x14ac:dyDescent="0.15">
      <c r="I492" s="64">
        <f t="shared" si="191"/>
        <v>76.99972307006928</v>
      </c>
      <c r="M492" s="64">
        <f t="shared" si="192"/>
        <v>0</v>
      </c>
      <c r="Q492" s="64">
        <f t="shared" si="193"/>
        <v>0</v>
      </c>
      <c r="U492" s="64">
        <f t="shared" si="194"/>
        <v>0</v>
      </c>
      <c r="Y492" s="114">
        <f t="shared" si="195"/>
        <v>0</v>
      </c>
      <c r="AC492" s="64">
        <f t="shared" si="196"/>
        <v>0</v>
      </c>
      <c r="AE492" s="71"/>
      <c r="AF492" s="71"/>
      <c r="AG492" s="71">
        <f t="shared" si="197"/>
        <v>0</v>
      </c>
      <c r="AK492" s="64">
        <f t="shared" si="198"/>
        <v>0</v>
      </c>
      <c r="AM492" s="71"/>
      <c r="AN492" s="71"/>
      <c r="AO492" s="71">
        <f t="shared" si="199"/>
        <v>0</v>
      </c>
      <c r="AQ492" s="71"/>
      <c r="AR492" s="71"/>
      <c r="AS492" s="71">
        <f t="shared" si="200"/>
        <v>0</v>
      </c>
      <c r="AU492" s="71"/>
      <c r="AV492" s="71"/>
      <c r="AW492" s="71">
        <f t="shared" si="201"/>
        <v>0</v>
      </c>
      <c r="AY492" s="71"/>
      <c r="AZ492" s="71"/>
      <c r="BA492" s="71">
        <f t="shared" si="202"/>
        <v>0</v>
      </c>
      <c r="BI492" s="71"/>
      <c r="BJ492" s="71"/>
      <c r="BK492" s="71">
        <f t="shared" si="203"/>
        <v>0</v>
      </c>
      <c r="BM492" s="71"/>
      <c r="BN492" s="71"/>
      <c r="BO492" s="71">
        <f t="shared" si="204"/>
        <v>0</v>
      </c>
      <c r="BQ492" s="71"/>
      <c r="BR492" s="71"/>
      <c r="BS492" s="138">
        <f t="shared" si="205"/>
        <v>0</v>
      </c>
      <c r="BU492" s="71"/>
      <c r="BV492" s="71"/>
      <c r="BW492" s="71">
        <f t="shared" si="206"/>
        <v>0</v>
      </c>
      <c r="BZ492" s="71"/>
      <c r="CA492" s="71"/>
      <c r="CB492" s="71">
        <f t="shared" si="207"/>
        <v>0</v>
      </c>
      <c r="CD492" s="71"/>
      <c r="CE492" s="71"/>
      <c r="CF492" s="71">
        <f t="shared" si="208"/>
        <v>0</v>
      </c>
      <c r="CH492" s="71"/>
      <c r="CI492" s="71"/>
      <c r="CJ492" s="138">
        <f t="shared" si="209"/>
        <v>0</v>
      </c>
      <c r="CL492" s="71"/>
      <c r="CM492" s="71"/>
      <c r="CN492" s="71">
        <f t="shared" si="210"/>
        <v>0</v>
      </c>
      <c r="CS492" s="102">
        <f t="shared" si="211"/>
        <v>4.5293954747099576</v>
      </c>
      <c r="CT492" s="102">
        <f t="shared" si="212"/>
        <v>18.675175962423801</v>
      </c>
      <c r="CZ492" s="109" t="str">
        <f t="shared" si="213"/>
        <v>Basso</v>
      </c>
    </row>
    <row r="493" spans="9:104" x14ac:dyDescent="0.15">
      <c r="I493" s="64">
        <f t="shared" si="191"/>
        <v>76.99972307006928</v>
      </c>
      <c r="M493" s="64">
        <f t="shared" si="192"/>
        <v>0</v>
      </c>
      <c r="Q493" s="64">
        <f t="shared" si="193"/>
        <v>0</v>
      </c>
      <c r="U493" s="64">
        <f t="shared" si="194"/>
        <v>0</v>
      </c>
      <c r="Y493" s="114">
        <f t="shared" si="195"/>
        <v>0</v>
      </c>
      <c r="AC493" s="64">
        <f t="shared" si="196"/>
        <v>0</v>
      </c>
      <c r="AE493" s="71"/>
      <c r="AF493" s="71"/>
      <c r="AG493" s="71">
        <f t="shared" si="197"/>
        <v>0</v>
      </c>
      <c r="AK493" s="64">
        <f t="shared" si="198"/>
        <v>0</v>
      </c>
      <c r="AM493" s="71"/>
      <c r="AN493" s="71"/>
      <c r="AO493" s="71">
        <f t="shared" si="199"/>
        <v>0</v>
      </c>
      <c r="AQ493" s="71"/>
      <c r="AR493" s="71"/>
      <c r="AS493" s="71">
        <f t="shared" si="200"/>
        <v>0</v>
      </c>
      <c r="AU493" s="71"/>
      <c r="AV493" s="71"/>
      <c r="AW493" s="71">
        <f t="shared" si="201"/>
        <v>0</v>
      </c>
      <c r="AY493" s="71"/>
      <c r="AZ493" s="71"/>
      <c r="BA493" s="71">
        <f t="shared" si="202"/>
        <v>0</v>
      </c>
      <c r="BI493" s="71"/>
      <c r="BJ493" s="71"/>
      <c r="BK493" s="71">
        <f t="shared" si="203"/>
        <v>0</v>
      </c>
      <c r="BM493" s="71"/>
      <c r="BN493" s="71"/>
      <c r="BO493" s="71">
        <f t="shared" si="204"/>
        <v>0</v>
      </c>
      <c r="BQ493" s="71"/>
      <c r="BR493" s="71"/>
      <c r="BS493" s="138">
        <f t="shared" si="205"/>
        <v>0</v>
      </c>
      <c r="BU493" s="71"/>
      <c r="BV493" s="71"/>
      <c r="BW493" s="71">
        <f t="shared" si="206"/>
        <v>0</v>
      </c>
      <c r="BZ493" s="71"/>
      <c r="CA493" s="71"/>
      <c r="CB493" s="71">
        <f t="shared" si="207"/>
        <v>0</v>
      </c>
      <c r="CD493" s="71"/>
      <c r="CE493" s="71"/>
      <c r="CF493" s="71">
        <f t="shared" si="208"/>
        <v>0</v>
      </c>
      <c r="CH493" s="71"/>
      <c r="CI493" s="71"/>
      <c r="CJ493" s="138">
        <f t="shared" si="209"/>
        <v>0</v>
      </c>
      <c r="CL493" s="71"/>
      <c r="CM493" s="71"/>
      <c r="CN493" s="71">
        <f t="shared" si="210"/>
        <v>0</v>
      </c>
      <c r="CS493" s="102">
        <f t="shared" si="211"/>
        <v>4.5293954747099576</v>
      </c>
      <c r="CT493" s="102">
        <f t="shared" si="212"/>
        <v>18.675175962423801</v>
      </c>
      <c r="CZ493" s="109" t="str">
        <f t="shared" si="213"/>
        <v>Basso</v>
      </c>
    </row>
    <row r="494" spans="9:104" x14ac:dyDescent="0.15">
      <c r="I494" s="64">
        <f t="shared" si="191"/>
        <v>76.99972307006928</v>
      </c>
      <c r="M494" s="64">
        <f t="shared" si="192"/>
        <v>0</v>
      </c>
      <c r="Q494" s="64">
        <f t="shared" si="193"/>
        <v>0</v>
      </c>
      <c r="U494" s="64">
        <f t="shared" si="194"/>
        <v>0</v>
      </c>
      <c r="Y494" s="114">
        <f t="shared" si="195"/>
        <v>0</v>
      </c>
      <c r="AC494" s="64">
        <f t="shared" si="196"/>
        <v>0</v>
      </c>
      <c r="AE494" s="71"/>
      <c r="AF494" s="71"/>
      <c r="AG494" s="71">
        <f t="shared" si="197"/>
        <v>0</v>
      </c>
      <c r="AK494" s="64">
        <f t="shared" si="198"/>
        <v>0</v>
      </c>
      <c r="AM494" s="71"/>
      <c r="AN494" s="71"/>
      <c r="AO494" s="71">
        <f t="shared" si="199"/>
        <v>0</v>
      </c>
      <c r="AQ494" s="71"/>
      <c r="AR494" s="71"/>
      <c r="AS494" s="71">
        <f t="shared" si="200"/>
        <v>0</v>
      </c>
      <c r="AU494" s="71"/>
      <c r="AV494" s="71"/>
      <c r="AW494" s="71">
        <f t="shared" si="201"/>
        <v>0</v>
      </c>
      <c r="AY494" s="71"/>
      <c r="AZ494" s="71"/>
      <c r="BA494" s="71">
        <f t="shared" si="202"/>
        <v>0</v>
      </c>
      <c r="BI494" s="71"/>
      <c r="BJ494" s="71"/>
      <c r="BK494" s="71">
        <f t="shared" si="203"/>
        <v>0</v>
      </c>
      <c r="BM494" s="71"/>
      <c r="BN494" s="71"/>
      <c r="BO494" s="71">
        <f t="shared" si="204"/>
        <v>0</v>
      </c>
      <c r="BQ494" s="71"/>
      <c r="BR494" s="71"/>
      <c r="BS494" s="138">
        <f t="shared" si="205"/>
        <v>0</v>
      </c>
      <c r="BU494" s="71"/>
      <c r="BV494" s="71"/>
      <c r="BW494" s="71">
        <f t="shared" si="206"/>
        <v>0</v>
      </c>
      <c r="BZ494" s="71"/>
      <c r="CA494" s="71"/>
      <c r="CB494" s="71">
        <f t="shared" si="207"/>
        <v>0</v>
      </c>
      <c r="CD494" s="71"/>
      <c r="CE494" s="71"/>
      <c r="CF494" s="71">
        <f t="shared" si="208"/>
        <v>0</v>
      </c>
      <c r="CH494" s="71"/>
      <c r="CI494" s="71"/>
      <c r="CJ494" s="138">
        <f t="shared" si="209"/>
        <v>0</v>
      </c>
      <c r="CL494" s="71"/>
      <c r="CM494" s="71"/>
      <c r="CN494" s="71">
        <f t="shared" si="210"/>
        <v>0</v>
      </c>
      <c r="CS494" s="102">
        <f t="shared" si="211"/>
        <v>4.5293954747099576</v>
      </c>
      <c r="CT494" s="102">
        <f t="shared" si="212"/>
        <v>18.675175962423801</v>
      </c>
      <c r="CZ494" s="109" t="str">
        <f t="shared" si="213"/>
        <v>Basso</v>
      </c>
    </row>
    <row r="495" spans="9:104" x14ac:dyDescent="0.15">
      <c r="I495" s="64">
        <f t="shared" si="191"/>
        <v>76.99972307006928</v>
      </c>
      <c r="M495" s="64">
        <f t="shared" si="192"/>
        <v>0</v>
      </c>
      <c r="Q495" s="64">
        <f t="shared" si="193"/>
        <v>0</v>
      </c>
      <c r="U495" s="64">
        <f t="shared" si="194"/>
        <v>0</v>
      </c>
      <c r="Y495" s="114">
        <f t="shared" si="195"/>
        <v>0</v>
      </c>
      <c r="AC495" s="64">
        <f t="shared" si="196"/>
        <v>0</v>
      </c>
      <c r="AE495" s="71"/>
      <c r="AF495" s="71"/>
      <c r="AG495" s="71">
        <f t="shared" si="197"/>
        <v>0</v>
      </c>
      <c r="AK495" s="64">
        <f t="shared" si="198"/>
        <v>0</v>
      </c>
      <c r="AM495" s="71"/>
      <c r="AN495" s="71"/>
      <c r="AO495" s="71">
        <f t="shared" si="199"/>
        <v>0</v>
      </c>
      <c r="AQ495" s="71"/>
      <c r="AR495" s="71"/>
      <c r="AS495" s="71">
        <f t="shared" si="200"/>
        <v>0</v>
      </c>
      <c r="AU495" s="71"/>
      <c r="AV495" s="71"/>
      <c r="AW495" s="71">
        <f t="shared" si="201"/>
        <v>0</v>
      </c>
      <c r="AY495" s="71"/>
      <c r="AZ495" s="71"/>
      <c r="BA495" s="71">
        <f t="shared" si="202"/>
        <v>0</v>
      </c>
      <c r="BI495" s="71"/>
      <c r="BJ495" s="71"/>
      <c r="BK495" s="71">
        <f t="shared" si="203"/>
        <v>0</v>
      </c>
      <c r="BM495" s="71"/>
      <c r="BN495" s="71"/>
      <c r="BO495" s="71">
        <f t="shared" si="204"/>
        <v>0</v>
      </c>
      <c r="BQ495" s="71"/>
      <c r="BR495" s="71"/>
      <c r="BS495" s="138">
        <f t="shared" si="205"/>
        <v>0</v>
      </c>
      <c r="BU495" s="71"/>
      <c r="BV495" s="71"/>
      <c r="BW495" s="71">
        <f t="shared" si="206"/>
        <v>0</v>
      </c>
      <c r="BZ495" s="71"/>
      <c r="CA495" s="71"/>
      <c r="CB495" s="71">
        <f t="shared" si="207"/>
        <v>0</v>
      </c>
      <c r="CD495" s="71"/>
      <c r="CE495" s="71"/>
      <c r="CF495" s="71">
        <f t="shared" si="208"/>
        <v>0</v>
      </c>
      <c r="CH495" s="71"/>
      <c r="CI495" s="71"/>
      <c r="CJ495" s="138">
        <f t="shared" si="209"/>
        <v>0</v>
      </c>
      <c r="CL495" s="71"/>
      <c r="CM495" s="71"/>
      <c r="CN495" s="71">
        <f t="shared" si="210"/>
        <v>0</v>
      </c>
      <c r="CS495" s="102">
        <f t="shared" si="211"/>
        <v>4.5293954747099576</v>
      </c>
      <c r="CT495" s="102">
        <f t="shared" si="212"/>
        <v>18.675175962423801</v>
      </c>
      <c r="CZ495" s="109" t="str">
        <f t="shared" si="213"/>
        <v>Basso</v>
      </c>
    </row>
    <row r="496" spans="9:104" x14ac:dyDescent="0.15">
      <c r="I496" s="64">
        <f t="shared" si="191"/>
        <v>76.99972307006928</v>
      </c>
      <c r="M496" s="64">
        <f t="shared" si="192"/>
        <v>0</v>
      </c>
      <c r="Q496" s="64">
        <f t="shared" si="193"/>
        <v>0</v>
      </c>
      <c r="U496" s="64">
        <f t="shared" si="194"/>
        <v>0</v>
      </c>
      <c r="Y496" s="114">
        <f t="shared" si="195"/>
        <v>0</v>
      </c>
      <c r="AC496" s="64">
        <f t="shared" si="196"/>
        <v>0</v>
      </c>
      <c r="AE496" s="71"/>
      <c r="AF496" s="71"/>
      <c r="AG496" s="71">
        <f t="shared" si="197"/>
        <v>0</v>
      </c>
      <c r="AK496" s="64">
        <f t="shared" si="198"/>
        <v>0</v>
      </c>
      <c r="AM496" s="71"/>
      <c r="AN496" s="71"/>
      <c r="AO496" s="71">
        <f t="shared" si="199"/>
        <v>0</v>
      </c>
      <c r="AQ496" s="71"/>
      <c r="AR496" s="71"/>
      <c r="AS496" s="71">
        <f t="shared" si="200"/>
        <v>0</v>
      </c>
      <c r="AU496" s="71"/>
      <c r="AV496" s="71"/>
      <c r="AW496" s="71">
        <f t="shared" si="201"/>
        <v>0</v>
      </c>
      <c r="AY496" s="71"/>
      <c r="AZ496" s="71"/>
      <c r="BA496" s="71">
        <f t="shared" si="202"/>
        <v>0</v>
      </c>
      <c r="BI496" s="71"/>
      <c r="BJ496" s="71"/>
      <c r="BK496" s="71">
        <f t="shared" si="203"/>
        <v>0</v>
      </c>
      <c r="BM496" s="71"/>
      <c r="BN496" s="71"/>
      <c r="BO496" s="71">
        <f t="shared" si="204"/>
        <v>0</v>
      </c>
      <c r="BQ496" s="71"/>
      <c r="BR496" s="71"/>
      <c r="BS496" s="138">
        <f t="shared" si="205"/>
        <v>0</v>
      </c>
      <c r="BU496" s="71"/>
      <c r="BV496" s="71"/>
      <c r="BW496" s="71">
        <f t="shared" si="206"/>
        <v>0</v>
      </c>
      <c r="BZ496" s="71"/>
      <c r="CA496" s="71"/>
      <c r="CB496" s="71">
        <f t="shared" si="207"/>
        <v>0</v>
      </c>
      <c r="CD496" s="71"/>
      <c r="CE496" s="71"/>
      <c r="CF496" s="71">
        <f t="shared" si="208"/>
        <v>0</v>
      </c>
      <c r="CH496" s="71"/>
      <c r="CI496" s="71"/>
      <c r="CJ496" s="138">
        <f t="shared" si="209"/>
        <v>0</v>
      </c>
      <c r="CL496" s="71"/>
      <c r="CM496" s="71"/>
      <c r="CN496" s="71">
        <f t="shared" si="210"/>
        <v>0</v>
      </c>
      <c r="CS496" s="102">
        <f t="shared" si="211"/>
        <v>4.5293954747099576</v>
      </c>
      <c r="CT496" s="102">
        <f t="shared" si="212"/>
        <v>18.675175962423801</v>
      </c>
      <c r="CZ496" s="109" t="str">
        <f t="shared" si="213"/>
        <v>Basso</v>
      </c>
    </row>
    <row r="497" spans="9:104" x14ac:dyDescent="0.15">
      <c r="I497" s="64">
        <f t="shared" si="191"/>
        <v>76.99972307006928</v>
      </c>
      <c r="M497" s="64">
        <f t="shared" si="192"/>
        <v>0</v>
      </c>
      <c r="Q497" s="64">
        <f t="shared" si="193"/>
        <v>0</v>
      </c>
      <c r="U497" s="64">
        <f t="shared" si="194"/>
        <v>0</v>
      </c>
      <c r="Y497" s="114">
        <f t="shared" si="195"/>
        <v>0</v>
      </c>
      <c r="AC497" s="64">
        <f t="shared" si="196"/>
        <v>0</v>
      </c>
      <c r="AE497" s="71"/>
      <c r="AF497" s="71"/>
      <c r="AG497" s="71">
        <f t="shared" si="197"/>
        <v>0</v>
      </c>
      <c r="AK497" s="64">
        <f t="shared" si="198"/>
        <v>0</v>
      </c>
      <c r="AM497" s="71"/>
      <c r="AN497" s="71"/>
      <c r="AO497" s="71">
        <f t="shared" si="199"/>
        <v>0</v>
      </c>
      <c r="AQ497" s="71"/>
      <c r="AR497" s="71"/>
      <c r="AS497" s="71">
        <f t="shared" si="200"/>
        <v>0</v>
      </c>
      <c r="AU497" s="71"/>
      <c r="AV497" s="71"/>
      <c r="AW497" s="71">
        <f t="shared" si="201"/>
        <v>0</v>
      </c>
      <c r="AY497" s="71"/>
      <c r="AZ497" s="71"/>
      <c r="BA497" s="71">
        <f t="shared" si="202"/>
        <v>0</v>
      </c>
      <c r="BI497" s="71"/>
      <c r="BJ497" s="71"/>
      <c r="BK497" s="71">
        <f t="shared" si="203"/>
        <v>0</v>
      </c>
      <c r="BM497" s="71"/>
      <c r="BN497" s="71"/>
      <c r="BO497" s="71">
        <f t="shared" si="204"/>
        <v>0</v>
      </c>
      <c r="BQ497" s="71"/>
      <c r="BR497" s="71"/>
      <c r="BS497" s="138">
        <f t="shared" si="205"/>
        <v>0</v>
      </c>
      <c r="BU497" s="71"/>
      <c r="BV497" s="71"/>
      <c r="BW497" s="71">
        <f t="shared" si="206"/>
        <v>0</v>
      </c>
      <c r="BZ497" s="71"/>
      <c r="CA497" s="71"/>
      <c r="CB497" s="71">
        <f t="shared" si="207"/>
        <v>0</v>
      </c>
      <c r="CD497" s="71"/>
      <c r="CE497" s="71"/>
      <c r="CF497" s="71">
        <f t="shared" si="208"/>
        <v>0</v>
      </c>
      <c r="CH497" s="71"/>
      <c r="CI497" s="71"/>
      <c r="CJ497" s="138">
        <f t="shared" si="209"/>
        <v>0</v>
      </c>
      <c r="CL497" s="71"/>
      <c r="CM497" s="71"/>
      <c r="CN497" s="71">
        <f t="shared" si="210"/>
        <v>0</v>
      </c>
      <c r="CS497" s="102">
        <f t="shared" si="211"/>
        <v>4.5293954747099576</v>
      </c>
      <c r="CT497" s="102">
        <f t="shared" si="212"/>
        <v>18.675175962423801</v>
      </c>
      <c r="CZ497" s="109" t="str">
        <f t="shared" si="213"/>
        <v>Basso</v>
      </c>
    </row>
    <row r="498" spans="9:104" x14ac:dyDescent="0.15">
      <c r="I498" s="64">
        <f t="shared" si="191"/>
        <v>76.99972307006928</v>
      </c>
      <c r="M498" s="64">
        <f t="shared" si="192"/>
        <v>0</v>
      </c>
      <c r="Q498" s="64">
        <f t="shared" si="193"/>
        <v>0</v>
      </c>
      <c r="U498" s="64">
        <f t="shared" si="194"/>
        <v>0</v>
      </c>
      <c r="Y498" s="114">
        <f t="shared" si="195"/>
        <v>0</v>
      </c>
      <c r="AC498" s="64">
        <f t="shared" si="196"/>
        <v>0</v>
      </c>
      <c r="AE498" s="71"/>
      <c r="AF498" s="71"/>
      <c r="AG498" s="71">
        <f t="shared" si="197"/>
        <v>0</v>
      </c>
      <c r="AK498" s="64">
        <f t="shared" si="198"/>
        <v>0</v>
      </c>
      <c r="AM498" s="71"/>
      <c r="AN498" s="71"/>
      <c r="AO498" s="71">
        <f t="shared" si="199"/>
        <v>0</v>
      </c>
      <c r="AQ498" s="71"/>
      <c r="AR498" s="71"/>
      <c r="AS498" s="71">
        <f t="shared" si="200"/>
        <v>0</v>
      </c>
      <c r="AU498" s="71"/>
      <c r="AV498" s="71"/>
      <c r="AW498" s="71">
        <f t="shared" si="201"/>
        <v>0</v>
      </c>
      <c r="AY498" s="71"/>
      <c r="AZ498" s="71"/>
      <c r="BA498" s="71">
        <f t="shared" si="202"/>
        <v>0</v>
      </c>
      <c r="BI498" s="71"/>
      <c r="BJ498" s="71"/>
      <c r="BK498" s="71">
        <f t="shared" si="203"/>
        <v>0</v>
      </c>
      <c r="BM498" s="71"/>
      <c r="BN498" s="71"/>
      <c r="BO498" s="71">
        <f t="shared" si="204"/>
        <v>0</v>
      </c>
      <c r="BQ498" s="71"/>
      <c r="BR498" s="71"/>
      <c r="BS498" s="138">
        <f t="shared" si="205"/>
        <v>0</v>
      </c>
      <c r="BU498" s="71"/>
      <c r="BV498" s="71"/>
      <c r="BW498" s="71">
        <f t="shared" si="206"/>
        <v>0</v>
      </c>
      <c r="BZ498" s="71"/>
      <c r="CA498" s="71"/>
      <c r="CB498" s="71">
        <f t="shared" si="207"/>
        <v>0</v>
      </c>
      <c r="CD498" s="71"/>
      <c r="CE498" s="71"/>
      <c r="CF498" s="71">
        <f t="shared" si="208"/>
        <v>0</v>
      </c>
      <c r="CH498" s="71"/>
      <c r="CI498" s="71"/>
      <c r="CJ498" s="138">
        <f t="shared" si="209"/>
        <v>0</v>
      </c>
      <c r="CL498" s="71"/>
      <c r="CM498" s="71"/>
      <c r="CN498" s="71">
        <f t="shared" si="210"/>
        <v>0</v>
      </c>
      <c r="CS498" s="102">
        <f t="shared" si="211"/>
        <v>4.5293954747099576</v>
      </c>
      <c r="CT498" s="102">
        <f t="shared" si="212"/>
        <v>18.675175962423801</v>
      </c>
      <c r="CZ498" s="109" t="str">
        <f t="shared" si="213"/>
        <v>Basso</v>
      </c>
    </row>
    <row r="499" spans="9:104" x14ac:dyDescent="0.15">
      <c r="I499" s="64">
        <f t="shared" si="191"/>
        <v>76.99972307006928</v>
      </c>
      <c r="M499" s="64">
        <f t="shared" si="192"/>
        <v>0</v>
      </c>
      <c r="Q499" s="64">
        <f t="shared" si="193"/>
        <v>0</v>
      </c>
      <c r="U499" s="64">
        <f t="shared" si="194"/>
        <v>0</v>
      </c>
      <c r="Y499" s="114">
        <f t="shared" si="195"/>
        <v>0</v>
      </c>
      <c r="AC499" s="64">
        <f t="shared" si="196"/>
        <v>0</v>
      </c>
      <c r="AE499" s="71"/>
      <c r="AF499" s="71"/>
      <c r="AG499" s="71">
        <f t="shared" si="197"/>
        <v>0</v>
      </c>
      <c r="AK499" s="64">
        <f t="shared" si="198"/>
        <v>0</v>
      </c>
      <c r="AM499" s="71"/>
      <c r="AN499" s="71"/>
      <c r="AO499" s="71">
        <f t="shared" si="199"/>
        <v>0</v>
      </c>
      <c r="AQ499" s="71"/>
      <c r="AR499" s="71"/>
      <c r="AS499" s="71">
        <f t="shared" si="200"/>
        <v>0</v>
      </c>
      <c r="AU499" s="71"/>
      <c r="AV499" s="71"/>
      <c r="AW499" s="71">
        <f t="shared" si="201"/>
        <v>0</v>
      </c>
      <c r="AY499" s="71"/>
      <c r="AZ499" s="71"/>
      <c r="BA499" s="71">
        <f t="shared" si="202"/>
        <v>0</v>
      </c>
      <c r="BI499" s="71"/>
      <c r="BJ499" s="71"/>
      <c r="BK499" s="71">
        <f t="shared" si="203"/>
        <v>0</v>
      </c>
      <c r="BM499" s="71"/>
      <c r="BN499" s="71"/>
      <c r="BO499" s="71">
        <f t="shared" si="204"/>
        <v>0</v>
      </c>
      <c r="BQ499" s="71"/>
      <c r="BR499" s="71"/>
      <c r="BS499" s="138">
        <f t="shared" si="205"/>
        <v>0</v>
      </c>
      <c r="BU499" s="71"/>
      <c r="BV499" s="71"/>
      <c r="BW499" s="71">
        <f t="shared" si="206"/>
        <v>0</v>
      </c>
      <c r="BZ499" s="71"/>
      <c r="CA499" s="71"/>
      <c r="CB499" s="71">
        <f t="shared" si="207"/>
        <v>0</v>
      </c>
      <c r="CD499" s="71"/>
      <c r="CE499" s="71"/>
      <c r="CF499" s="71">
        <f t="shared" si="208"/>
        <v>0</v>
      </c>
      <c r="CH499" s="71"/>
      <c r="CI499" s="71"/>
      <c r="CJ499" s="138">
        <f t="shared" si="209"/>
        <v>0</v>
      </c>
      <c r="CL499" s="71"/>
      <c r="CM499" s="71"/>
      <c r="CN499" s="71">
        <f t="shared" si="210"/>
        <v>0</v>
      </c>
      <c r="CS499" s="102">
        <f t="shared" si="211"/>
        <v>4.5293954747099576</v>
      </c>
      <c r="CT499" s="102">
        <f t="shared" si="212"/>
        <v>18.675175962423801</v>
      </c>
      <c r="CZ499" s="109" t="str">
        <f t="shared" si="213"/>
        <v>Basso</v>
      </c>
    </row>
    <row r="500" spans="9:104" x14ac:dyDescent="0.15">
      <c r="I500" s="64">
        <f t="shared" si="191"/>
        <v>76.99972307006928</v>
      </c>
      <c r="M500" s="64">
        <f t="shared" si="192"/>
        <v>0</v>
      </c>
      <c r="Q500" s="64">
        <f t="shared" si="193"/>
        <v>0</v>
      </c>
      <c r="U500" s="64">
        <f t="shared" si="194"/>
        <v>0</v>
      </c>
      <c r="Y500" s="114">
        <f t="shared" si="195"/>
        <v>0</v>
      </c>
      <c r="AC500" s="64">
        <f t="shared" si="196"/>
        <v>0</v>
      </c>
      <c r="AE500" s="71"/>
      <c r="AF500" s="71"/>
      <c r="AG500" s="71">
        <f t="shared" si="197"/>
        <v>0</v>
      </c>
      <c r="AK500" s="64">
        <f t="shared" si="198"/>
        <v>0</v>
      </c>
      <c r="AM500" s="71"/>
      <c r="AN500" s="71"/>
      <c r="AO500" s="71">
        <f t="shared" si="199"/>
        <v>0</v>
      </c>
      <c r="AQ500" s="71"/>
      <c r="AR500" s="71"/>
      <c r="AS500" s="71">
        <f t="shared" si="200"/>
        <v>0</v>
      </c>
      <c r="AU500" s="71"/>
      <c r="AV500" s="71"/>
      <c r="AW500" s="71">
        <f t="shared" si="201"/>
        <v>0</v>
      </c>
      <c r="AY500" s="71"/>
      <c r="AZ500" s="71"/>
      <c r="BA500" s="71">
        <f t="shared" si="202"/>
        <v>0</v>
      </c>
      <c r="BI500" s="71"/>
      <c r="BJ500" s="71"/>
      <c r="BK500" s="71">
        <f t="shared" si="203"/>
        <v>0</v>
      </c>
      <c r="BM500" s="71"/>
      <c r="BN500" s="71"/>
      <c r="BO500" s="71">
        <f t="shared" si="204"/>
        <v>0</v>
      </c>
      <c r="BQ500" s="71"/>
      <c r="BR500" s="71"/>
      <c r="BS500" s="138">
        <f t="shared" si="205"/>
        <v>0</v>
      </c>
      <c r="BU500" s="71"/>
      <c r="BV500" s="71"/>
      <c r="BW500" s="71">
        <f t="shared" si="206"/>
        <v>0</v>
      </c>
      <c r="BZ500" s="71"/>
      <c r="CA500" s="71"/>
      <c r="CB500" s="71">
        <f t="shared" si="207"/>
        <v>0</v>
      </c>
      <c r="CD500" s="71"/>
      <c r="CE500" s="71"/>
      <c r="CF500" s="71">
        <f t="shared" si="208"/>
        <v>0</v>
      </c>
      <c r="CH500" s="71"/>
      <c r="CI500" s="71"/>
      <c r="CJ500" s="138">
        <f t="shared" si="209"/>
        <v>0</v>
      </c>
      <c r="CL500" s="71"/>
      <c r="CM500" s="71"/>
      <c r="CN500" s="71">
        <f t="shared" si="210"/>
        <v>0</v>
      </c>
      <c r="CS500" s="102">
        <f t="shared" si="211"/>
        <v>4.5293954747099576</v>
      </c>
      <c r="CT500" s="102">
        <f t="shared" si="212"/>
        <v>18.675175962423801</v>
      </c>
      <c r="CZ500" s="109" t="str">
        <f t="shared" si="213"/>
        <v>Basso</v>
      </c>
    </row>
    <row r="501" spans="9:104" x14ac:dyDescent="0.15">
      <c r="I501" s="64">
        <f t="shared" si="191"/>
        <v>76.99972307006928</v>
      </c>
      <c r="M501" s="64">
        <f t="shared" si="192"/>
        <v>0</v>
      </c>
      <c r="Q501" s="64">
        <f t="shared" si="193"/>
        <v>0</v>
      </c>
      <c r="U501" s="64">
        <f t="shared" si="194"/>
        <v>0</v>
      </c>
      <c r="Y501" s="114">
        <f t="shared" si="195"/>
        <v>0</v>
      </c>
      <c r="AC501" s="64">
        <f t="shared" si="196"/>
        <v>0</v>
      </c>
      <c r="AE501" s="71"/>
      <c r="AF501" s="71"/>
      <c r="AG501" s="71">
        <f t="shared" si="197"/>
        <v>0</v>
      </c>
      <c r="AK501" s="64">
        <f t="shared" si="198"/>
        <v>0</v>
      </c>
      <c r="AM501" s="71"/>
      <c r="AN501" s="71"/>
      <c r="AO501" s="71">
        <f t="shared" si="199"/>
        <v>0</v>
      </c>
      <c r="AQ501" s="71"/>
      <c r="AR501" s="71"/>
      <c r="AS501" s="71">
        <f t="shared" si="200"/>
        <v>0</v>
      </c>
      <c r="AU501" s="71"/>
      <c r="AV501" s="71"/>
      <c r="AW501" s="71">
        <f t="shared" si="201"/>
        <v>0</v>
      </c>
      <c r="AY501" s="71"/>
      <c r="AZ501" s="71"/>
      <c r="BA501" s="71">
        <f t="shared" si="202"/>
        <v>0</v>
      </c>
      <c r="BI501" s="71"/>
      <c r="BJ501" s="71"/>
      <c r="BK501" s="71">
        <f t="shared" si="203"/>
        <v>0</v>
      </c>
      <c r="BM501" s="71"/>
      <c r="BN501" s="71"/>
      <c r="BO501" s="71">
        <f t="shared" si="204"/>
        <v>0</v>
      </c>
      <c r="BQ501" s="71"/>
      <c r="BR501" s="71"/>
      <c r="BS501" s="138">
        <f t="shared" si="205"/>
        <v>0</v>
      </c>
      <c r="BU501" s="71"/>
      <c r="BV501" s="71"/>
      <c r="BW501" s="71">
        <f t="shared" si="206"/>
        <v>0</v>
      </c>
      <c r="BZ501" s="71"/>
      <c r="CA501" s="71"/>
      <c r="CB501" s="71">
        <f t="shared" si="207"/>
        <v>0</v>
      </c>
      <c r="CD501" s="71"/>
      <c r="CE501" s="71"/>
      <c r="CF501" s="71">
        <f t="shared" si="208"/>
        <v>0</v>
      </c>
      <c r="CH501" s="71"/>
      <c r="CI501" s="71"/>
      <c r="CJ501" s="138">
        <f t="shared" si="209"/>
        <v>0</v>
      </c>
      <c r="CL501" s="71"/>
      <c r="CM501" s="71"/>
      <c r="CN501" s="71">
        <f t="shared" si="210"/>
        <v>0</v>
      </c>
      <c r="CS501" s="102">
        <f t="shared" si="211"/>
        <v>4.5293954747099576</v>
      </c>
      <c r="CT501" s="102">
        <f t="shared" si="212"/>
        <v>18.675175962423801</v>
      </c>
      <c r="CZ501" s="109" t="str">
        <f t="shared" si="213"/>
        <v>Basso</v>
      </c>
    </row>
    <row r="502" spans="9:104" x14ac:dyDescent="0.15">
      <c r="I502" s="64">
        <f t="shared" si="191"/>
        <v>76.99972307006928</v>
      </c>
      <c r="M502" s="64">
        <f t="shared" si="192"/>
        <v>0</v>
      </c>
      <c r="Q502" s="64">
        <f t="shared" si="193"/>
        <v>0</v>
      </c>
      <c r="U502" s="64">
        <f t="shared" si="194"/>
        <v>0</v>
      </c>
      <c r="Y502" s="114">
        <f t="shared" si="195"/>
        <v>0</v>
      </c>
      <c r="AC502" s="64">
        <f t="shared" si="196"/>
        <v>0</v>
      </c>
      <c r="AE502" s="71"/>
      <c r="AF502" s="71"/>
      <c r="AG502" s="71">
        <f t="shared" si="197"/>
        <v>0</v>
      </c>
      <c r="AK502" s="64">
        <f t="shared" si="198"/>
        <v>0</v>
      </c>
      <c r="AM502" s="71"/>
      <c r="AN502" s="71"/>
      <c r="AO502" s="71">
        <f t="shared" si="199"/>
        <v>0</v>
      </c>
      <c r="AQ502" s="71"/>
      <c r="AR502" s="71"/>
      <c r="AS502" s="71">
        <f t="shared" si="200"/>
        <v>0</v>
      </c>
      <c r="AU502" s="71"/>
      <c r="AV502" s="71"/>
      <c r="AW502" s="71">
        <f t="shared" si="201"/>
        <v>0</v>
      </c>
      <c r="AY502" s="71"/>
      <c r="AZ502" s="71"/>
      <c r="BA502" s="71">
        <f t="shared" si="202"/>
        <v>0</v>
      </c>
      <c r="BI502" s="71"/>
      <c r="BJ502" s="71"/>
      <c r="BK502" s="71">
        <f t="shared" si="203"/>
        <v>0</v>
      </c>
      <c r="BM502" s="71"/>
      <c r="BN502" s="71"/>
      <c r="BO502" s="71">
        <f t="shared" si="204"/>
        <v>0</v>
      </c>
      <c r="BQ502" s="71"/>
      <c r="BR502" s="71"/>
      <c r="BS502" s="138">
        <f t="shared" si="205"/>
        <v>0</v>
      </c>
      <c r="BU502" s="71"/>
      <c r="BV502" s="71"/>
      <c r="BW502" s="71">
        <f t="shared" si="206"/>
        <v>0</v>
      </c>
      <c r="BZ502" s="71"/>
      <c r="CA502" s="71"/>
      <c r="CB502" s="71">
        <f t="shared" si="207"/>
        <v>0</v>
      </c>
      <c r="CD502" s="71"/>
      <c r="CE502" s="71"/>
      <c r="CF502" s="71">
        <f t="shared" si="208"/>
        <v>0</v>
      </c>
      <c r="CH502" s="71"/>
      <c r="CI502" s="71"/>
      <c r="CJ502" s="138">
        <f t="shared" si="209"/>
        <v>0</v>
      </c>
      <c r="CL502" s="71"/>
      <c r="CM502" s="71"/>
      <c r="CN502" s="71">
        <f t="shared" si="210"/>
        <v>0</v>
      </c>
      <c r="CS502" s="102">
        <f t="shared" si="211"/>
        <v>4.5293954747099576</v>
      </c>
      <c r="CT502" s="102">
        <f t="shared" si="212"/>
        <v>18.675175962423801</v>
      </c>
      <c r="CZ502" s="109" t="str">
        <f t="shared" si="213"/>
        <v>Basso</v>
      </c>
    </row>
    <row r="503" spans="9:104" x14ac:dyDescent="0.15">
      <c r="I503" s="64">
        <f t="shared" si="191"/>
        <v>76.99972307006928</v>
      </c>
      <c r="M503" s="64">
        <f t="shared" si="192"/>
        <v>0</v>
      </c>
      <c r="Q503" s="64">
        <f t="shared" si="193"/>
        <v>0</v>
      </c>
      <c r="U503" s="64">
        <f t="shared" si="194"/>
        <v>0</v>
      </c>
      <c r="Y503" s="114">
        <f t="shared" si="195"/>
        <v>0</v>
      </c>
      <c r="AC503" s="64">
        <f t="shared" si="196"/>
        <v>0</v>
      </c>
      <c r="AE503" s="71"/>
      <c r="AF503" s="71"/>
      <c r="AG503" s="71">
        <f t="shared" si="197"/>
        <v>0</v>
      </c>
      <c r="AK503" s="64">
        <f t="shared" si="198"/>
        <v>0</v>
      </c>
      <c r="AM503" s="71"/>
      <c r="AN503" s="71"/>
      <c r="AO503" s="71">
        <f t="shared" si="199"/>
        <v>0</v>
      </c>
      <c r="AQ503" s="71"/>
      <c r="AR503" s="71"/>
      <c r="AS503" s="71">
        <f t="shared" si="200"/>
        <v>0</v>
      </c>
      <c r="AU503" s="71"/>
      <c r="AV503" s="71"/>
      <c r="AW503" s="71">
        <f t="shared" si="201"/>
        <v>0</v>
      </c>
      <c r="AY503" s="71"/>
      <c r="AZ503" s="71"/>
      <c r="BA503" s="71">
        <f t="shared" si="202"/>
        <v>0</v>
      </c>
      <c r="BI503" s="71"/>
      <c r="BJ503" s="71"/>
      <c r="BK503" s="71">
        <f t="shared" si="203"/>
        <v>0</v>
      </c>
      <c r="BM503" s="71"/>
      <c r="BN503" s="71"/>
      <c r="BO503" s="71">
        <f t="shared" si="204"/>
        <v>0</v>
      </c>
      <c r="BQ503" s="71"/>
      <c r="BR503" s="71"/>
      <c r="BS503" s="138">
        <f t="shared" si="205"/>
        <v>0</v>
      </c>
      <c r="BU503" s="71"/>
      <c r="BV503" s="71"/>
      <c r="BW503" s="71">
        <f t="shared" si="206"/>
        <v>0</v>
      </c>
      <c r="BZ503" s="71"/>
      <c r="CA503" s="71"/>
      <c r="CB503" s="71">
        <f t="shared" si="207"/>
        <v>0</v>
      </c>
      <c r="CD503" s="71"/>
      <c r="CE503" s="71"/>
      <c r="CF503" s="71">
        <f t="shared" si="208"/>
        <v>0</v>
      </c>
      <c r="CH503" s="71"/>
      <c r="CI503" s="71"/>
      <c r="CJ503" s="138">
        <f t="shared" si="209"/>
        <v>0</v>
      </c>
      <c r="CL503" s="71"/>
      <c r="CM503" s="71"/>
      <c r="CN503" s="71">
        <f t="shared" si="210"/>
        <v>0</v>
      </c>
      <c r="CS503" s="102">
        <f t="shared" si="211"/>
        <v>4.5293954747099576</v>
      </c>
      <c r="CT503" s="102">
        <f t="shared" si="212"/>
        <v>18.675175962423801</v>
      </c>
      <c r="CZ503" s="109" t="str">
        <f t="shared" si="213"/>
        <v>Basso</v>
      </c>
    </row>
    <row r="504" spans="9:104" x14ac:dyDescent="0.15">
      <c r="I504" s="64">
        <f t="shared" si="191"/>
        <v>76.99972307006928</v>
      </c>
      <c r="M504" s="64">
        <f t="shared" si="192"/>
        <v>0</v>
      </c>
      <c r="Q504" s="64">
        <f t="shared" si="193"/>
        <v>0</v>
      </c>
      <c r="U504" s="64">
        <f t="shared" si="194"/>
        <v>0</v>
      </c>
      <c r="Y504" s="114">
        <f t="shared" si="195"/>
        <v>0</v>
      </c>
      <c r="AC504" s="64">
        <f t="shared" si="196"/>
        <v>0</v>
      </c>
      <c r="AE504" s="71"/>
      <c r="AF504" s="71"/>
      <c r="AG504" s="71">
        <f t="shared" si="197"/>
        <v>0</v>
      </c>
      <c r="AK504" s="64">
        <f t="shared" si="198"/>
        <v>0</v>
      </c>
      <c r="AM504" s="71"/>
      <c r="AN504" s="71"/>
      <c r="AO504" s="71">
        <f t="shared" si="199"/>
        <v>0</v>
      </c>
      <c r="AQ504" s="71"/>
      <c r="AR504" s="71"/>
      <c r="AS504" s="71">
        <f t="shared" si="200"/>
        <v>0</v>
      </c>
      <c r="AU504" s="71"/>
      <c r="AV504" s="71"/>
      <c r="AW504" s="71">
        <f t="shared" si="201"/>
        <v>0</v>
      </c>
      <c r="AY504" s="71"/>
      <c r="AZ504" s="71"/>
      <c r="BA504" s="71">
        <f t="shared" si="202"/>
        <v>0</v>
      </c>
      <c r="BI504" s="71"/>
      <c r="BJ504" s="71"/>
      <c r="BK504" s="71">
        <f t="shared" si="203"/>
        <v>0</v>
      </c>
      <c r="BM504" s="71"/>
      <c r="BN504" s="71"/>
      <c r="BO504" s="71">
        <f t="shared" si="204"/>
        <v>0</v>
      </c>
      <c r="BQ504" s="71"/>
      <c r="BR504" s="71"/>
      <c r="BS504" s="138">
        <f t="shared" si="205"/>
        <v>0</v>
      </c>
      <c r="BU504" s="71"/>
      <c r="BV504" s="71"/>
      <c r="BW504" s="71">
        <f t="shared" si="206"/>
        <v>0</v>
      </c>
      <c r="BZ504" s="71"/>
      <c r="CA504" s="71"/>
      <c r="CB504" s="71">
        <f t="shared" si="207"/>
        <v>0</v>
      </c>
      <c r="CD504" s="71"/>
      <c r="CE504" s="71"/>
      <c r="CF504" s="71">
        <f t="shared" si="208"/>
        <v>0</v>
      </c>
      <c r="CH504" s="71"/>
      <c r="CI504" s="71"/>
      <c r="CJ504" s="138">
        <f t="shared" si="209"/>
        <v>0</v>
      </c>
      <c r="CL504" s="71"/>
      <c r="CM504" s="71"/>
      <c r="CN504" s="71">
        <f t="shared" si="210"/>
        <v>0</v>
      </c>
      <c r="CS504" s="102">
        <f t="shared" si="211"/>
        <v>4.5293954747099576</v>
      </c>
      <c r="CT504" s="102">
        <f t="shared" si="212"/>
        <v>18.675175962423801</v>
      </c>
      <c r="CZ504" s="109" t="str">
        <f t="shared" si="213"/>
        <v>Basso</v>
      </c>
    </row>
    <row r="505" spans="9:104" x14ac:dyDescent="0.15">
      <c r="I505" s="64">
        <f t="shared" si="191"/>
        <v>76.99972307006928</v>
      </c>
      <c r="M505" s="64">
        <f t="shared" si="192"/>
        <v>0</v>
      </c>
      <c r="Q505" s="64">
        <f t="shared" si="193"/>
        <v>0</v>
      </c>
      <c r="U505" s="64">
        <f t="shared" si="194"/>
        <v>0</v>
      </c>
      <c r="Y505" s="114">
        <f t="shared" si="195"/>
        <v>0</v>
      </c>
      <c r="AC505" s="64">
        <f t="shared" si="196"/>
        <v>0</v>
      </c>
      <c r="AE505" s="71"/>
      <c r="AF505" s="71"/>
      <c r="AG505" s="71">
        <f t="shared" si="197"/>
        <v>0</v>
      </c>
      <c r="AK505" s="64">
        <f t="shared" si="198"/>
        <v>0</v>
      </c>
      <c r="AM505" s="71"/>
      <c r="AN505" s="71"/>
      <c r="AO505" s="71">
        <f t="shared" si="199"/>
        <v>0</v>
      </c>
      <c r="AQ505" s="71"/>
      <c r="AR505" s="71"/>
      <c r="AS505" s="71">
        <f t="shared" si="200"/>
        <v>0</v>
      </c>
      <c r="AU505" s="71"/>
      <c r="AV505" s="71"/>
      <c r="AW505" s="71">
        <f t="shared" si="201"/>
        <v>0</v>
      </c>
      <c r="AY505" s="71"/>
      <c r="AZ505" s="71"/>
      <c r="BA505" s="71">
        <f t="shared" si="202"/>
        <v>0</v>
      </c>
      <c r="BI505" s="71"/>
      <c r="BJ505" s="71"/>
      <c r="BK505" s="71">
        <f t="shared" si="203"/>
        <v>0</v>
      </c>
      <c r="BM505" s="71"/>
      <c r="BN505" s="71"/>
      <c r="BO505" s="71">
        <f t="shared" si="204"/>
        <v>0</v>
      </c>
      <c r="BQ505" s="71"/>
      <c r="BR505" s="71"/>
      <c r="BS505" s="138">
        <f t="shared" si="205"/>
        <v>0</v>
      </c>
      <c r="BU505" s="71"/>
      <c r="BV505" s="71"/>
      <c r="BW505" s="71">
        <f t="shared" si="206"/>
        <v>0</v>
      </c>
      <c r="BZ505" s="71"/>
      <c r="CA505" s="71"/>
      <c r="CB505" s="71">
        <f t="shared" si="207"/>
        <v>0</v>
      </c>
      <c r="CD505" s="71"/>
      <c r="CE505" s="71"/>
      <c r="CF505" s="71">
        <f t="shared" si="208"/>
        <v>0</v>
      </c>
      <c r="CH505" s="71"/>
      <c r="CI505" s="71"/>
      <c r="CJ505" s="138">
        <f t="shared" si="209"/>
        <v>0</v>
      </c>
      <c r="CL505" s="71"/>
      <c r="CM505" s="71"/>
      <c r="CN505" s="71">
        <f t="shared" si="210"/>
        <v>0</v>
      </c>
      <c r="CS505" s="102">
        <f t="shared" si="211"/>
        <v>4.5293954747099576</v>
      </c>
      <c r="CT505" s="102">
        <f t="shared" si="212"/>
        <v>18.675175962423801</v>
      </c>
      <c r="CZ505" s="109" t="str">
        <f t="shared" si="213"/>
        <v>Basso</v>
      </c>
    </row>
    <row r="506" spans="9:104" x14ac:dyDescent="0.15">
      <c r="I506" s="64">
        <f t="shared" si="191"/>
        <v>76.99972307006928</v>
      </c>
      <c r="M506" s="64">
        <f t="shared" si="192"/>
        <v>0</v>
      </c>
      <c r="Q506" s="64">
        <f t="shared" si="193"/>
        <v>0</v>
      </c>
      <c r="U506" s="64">
        <f t="shared" si="194"/>
        <v>0</v>
      </c>
      <c r="Y506" s="114">
        <f t="shared" si="195"/>
        <v>0</v>
      </c>
      <c r="AC506" s="64">
        <f t="shared" si="196"/>
        <v>0</v>
      </c>
      <c r="AE506" s="71"/>
      <c r="AF506" s="71"/>
      <c r="AG506" s="71">
        <f t="shared" si="197"/>
        <v>0</v>
      </c>
      <c r="AK506" s="64">
        <f t="shared" si="198"/>
        <v>0</v>
      </c>
      <c r="AM506" s="71"/>
      <c r="AN506" s="71"/>
      <c r="AO506" s="71">
        <f t="shared" si="199"/>
        <v>0</v>
      </c>
      <c r="AQ506" s="71"/>
      <c r="AR506" s="71"/>
      <c r="AS506" s="71">
        <f t="shared" si="200"/>
        <v>0</v>
      </c>
      <c r="AU506" s="71"/>
      <c r="AV506" s="71"/>
      <c r="AW506" s="71">
        <f t="shared" si="201"/>
        <v>0</v>
      </c>
      <c r="AY506" s="71"/>
      <c r="AZ506" s="71"/>
      <c r="BA506" s="71">
        <f t="shared" si="202"/>
        <v>0</v>
      </c>
      <c r="BI506" s="71"/>
      <c r="BJ506" s="71"/>
      <c r="BK506" s="71">
        <f t="shared" si="203"/>
        <v>0</v>
      </c>
      <c r="BM506" s="71"/>
      <c r="BN506" s="71"/>
      <c r="BO506" s="71">
        <f t="shared" si="204"/>
        <v>0</v>
      </c>
      <c r="BQ506" s="71"/>
      <c r="BR506" s="71"/>
      <c r="BS506" s="138">
        <f t="shared" si="205"/>
        <v>0</v>
      </c>
      <c r="BU506" s="71"/>
      <c r="BV506" s="71"/>
      <c r="BW506" s="71">
        <f t="shared" si="206"/>
        <v>0</v>
      </c>
      <c r="BZ506" s="71"/>
      <c r="CA506" s="71"/>
      <c r="CB506" s="71">
        <f t="shared" si="207"/>
        <v>0</v>
      </c>
      <c r="CD506" s="71"/>
      <c r="CE506" s="71"/>
      <c r="CF506" s="71">
        <f t="shared" si="208"/>
        <v>0</v>
      </c>
      <c r="CH506" s="71"/>
      <c r="CI506" s="71"/>
      <c r="CJ506" s="138">
        <f t="shared" si="209"/>
        <v>0</v>
      </c>
      <c r="CL506" s="71"/>
      <c r="CM506" s="71"/>
      <c r="CN506" s="71">
        <f t="shared" si="210"/>
        <v>0</v>
      </c>
      <c r="CS506" s="102">
        <f t="shared" si="211"/>
        <v>4.5293954747099576</v>
      </c>
      <c r="CT506" s="102">
        <f t="shared" si="212"/>
        <v>18.675175962423801</v>
      </c>
      <c r="CZ506" s="109" t="str">
        <f t="shared" si="213"/>
        <v>Basso</v>
      </c>
    </row>
    <row r="507" spans="9:104" x14ac:dyDescent="0.15">
      <c r="I507" s="64">
        <f t="shared" si="191"/>
        <v>76.99972307006928</v>
      </c>
      <c r="M507" s="64">
        <f t="shared" si="192"/>
        <v>0</v>
      </c>
      <c r="Q507" s="64">
        <f t="shared" si="193"/>
        <v>0</v>
      </c>
      <c r="U507" s="64">
        <f t="shared" si="194"/>
        <v>0</v>
      </c>
      <c r="Y507" s="114">
        <f t="shared" si="195"/>
        <v>0</v>
      </c>
      <c r="AC507" s="64">
        <f t="shared" si="196"/>
        <v>0</v>
      </c>
      <c r="AE507" s="71"/>
      <c r="AF507" s="71"/>
      <c r="AG507" s="71">
        <f t="shared" si="197"/>
        <v>0</v>
      </c>
      <c r="AK507" s="64">
        <f t="shared" si="198"/>
        <v>0</v>
      </c>
      <c r="AM507" s="71"/>
      <c r="AN507" s="71"/>
      <c r="AO507" s="71">
        <f t="shared" si="199"/>
        <v>0</v>
      </c>
      <c r="AQ507" s="71"/>
      <c r="AR507" s="71"/>
      <c r="AS507" s="71">
        <f t="shared" si="200"/>
        <v>0</v>
      </c>
      <c r="AU507" s="71"/>
      <c r="AV507" s="71"/>
      <c r="AW507" s="71">
        <f t="shared" si="201"/>
        <v>0</v>
      </c>
      <c r="AY507" s="71"/>
      <c r="AZ507" s="71"/>
      <c r="BA507" s="71">
        <f t="shared" si="202"/>
        <v>0</v>
      </c>
      <c r="BI507" s="71"/>
      <c r="BJ507" s="71"/>
      <c r="BK507" s="71">
        <f t="shared" si="203"/>
        <v>0</v>
      </c>
      <c r="BM507" s="71"/>
      <c r="BN507" s="71"/>
      <c r="BO507" s="71">
        <f t="shared" si="204"/>
        <v>0</v>
      </c>
      <c r="BQ507" s="71"/>
      <c r="BR507" s="71"/>
      <c r="BS507" s="138">
        <f t="shared" si="205"/>
        <v>0</v>
      </c>
      <c r="BU507" s="71"/>
      <c r="BV507" s="71"/>
      <c r="BW507" s="71">
        <f t="shared" si="206"/>
        <v>0</v>
      </c>
      <c r="BZ507" s="71"/>
      <c r="CA507" s="71"/>
      <c r="CB507" s="71">
        <f t="shared" si="207"/>
        <v>0</v>
      </c>
      <c r="CD507" s="71"/>
      <c r="CE507" s="71"/>
      <c r="CF507" s="71">
        <f t="shared" si="208"/>
        <v>0</v>
      </c>
      <c r="CH507" s="71"/>
      <c r="CI507" s="71"/>
      <c r="CJ507" s="138">
        <f t="shared" si="209"/>
        <v>0</v>
      </c>
      <c r="CL507" s="71"/>
      <c r="CM507" s="71"/>
      <c r="CN507" s="71">
        <f t="shared" si="210"/>
        <v>0</v>
      </c>
      <c r="CS507" s="102">
        <f t="shared" si="211"/>
        <v>4.5293954747099576</v>
      </c>
      <c r="CT507" s="102">
        <f t="shared" si="212"/>
        <v>18.675175962423801</v>
      </c>
      <c r="CZ507" s="109" t="str">
        <f t="shared" si="213"/>
        <v>Basso</v>
      </c>
    </row>
    <row r="508" spans="9:104" x14ac:dyDescent="0.15">
      <c r="I508" s="64">
        <f t="shared" si="191"/>
        <v>76.99972307006928</v>
      </c>
      <c r="M508" s="64">
        <f t="shared" si="192"/>
        <v>0</v>
      </c>
      <c r="Q508" s="64">
        <f t="shared" si="193"/>
        <v>0</v>
      </c>
      <c r="U508" s="64">
        <f t="shared" si="194"/>
        <v>0</v>
      </c>
      <c r="Y508" s="114">
        <f t="shared" si="195"/>
        <v>0</v>
      </c>
      <c r="AC508" s="64">
        <f t="shared" si="196"/>
        <v>0</v>
      </c>
      <c r="AE508" s="71"/>
      <c r="AF508" s="71"/>
      <c r="AG508" s="71">
        <f t="shared" si="197"/>
        <v>0</v>
      </c>
      <c r="AK508" s="64">
        <f t="shared" si="198"/>
        <v>0</v>
      </c>
      <c r="AM508" s="71"/>
      <c r="AN508" s="71"/>
      <c r="AO508" s="71">
        <f t="shared" si="199"/>
        <v>0</v>
      </c>
      <c r="AQ508" s="71"/>
      <c r="AR508" s="71"/>
      <c r="AS508" s="71">
        <f t="shared" si="200"/>
        <v>0</v>
      </c>
      <c r="AU508" s="71"/>
      <c r="AV508" s="71"/>
      <c r="AW508" s="71">
        <f t="shared" si="201"/>
        <v>0</v>
      </c>
      <c r="AY508" s="71"/>
      <c r="AZ508" s="71"/>
      <c r="BA508" s="71">
        <f t="shared" si="202"/>
        <v>0</v>
      </c>
      <c r="BI508" s="71"/>
      <c r="BJ508" s="71"/>
      <c r="BK508" s="71">
        <f t="shared" si="203"/>
        <v>0</v>
      </c>
      <c r="BM508" s="71"/>
      <c r="BN508" s="71"/>
      <c r="BO508" s="71">
        <f t="shared" si="204"/>
        <v>0</v>
      </c>
      <c r="BQ508" s="71"/>
      <c r="BR508" s="71"/>
      <c r="BS508" s="138">
        <f t="shared" si="205"/>
        <v>0</v>
      </c>
      <c r="BU508" s="71"/>
      <c r="BV508" s="71"/>
      <c r="BW508" s="71">
        <f t="shared" si="206"/>
        <v>0</v>
      </c>
      <c r="BZ508" s="71"/>
      <c r="CA508" s="71"/>
      <c r="CB508" s="71">
        <f t="shared" si="207"/>
        <v>0</v>
      </c>
      <c r="CD508" s="71"/>
      <c r="CE508" s="71"/>
      <c r="CF508" s="71">
        <f t="shared" si="208"/>
        <v>0</v>
      </c>
      <c r="CH508" s="71"/>
      <c r="CI508" s="71"/>
      <c r="CJ508" s="138">
        <f t="shared" si="209"/>
        <v>0</v>
      </c>
      <c r="CL508" s="71"/>
      <c r="CM508" s="71"/>
      <c r="CN508" s="71">
        <f t="shared" si="210"/>
        <v>0</v>
      </c>
      <c r="CS508" s="102">
        <f t="shared" si="211"/>
        <v>4.5293954747099576</v>
      </c>
      <c r="CT508" s="102">
        <f t="shared" si="212"/>
        <v>18.675175962423801</v>
      </c>
      <c r="CZ508" s="109" t="str">
        <f t="shared" si="213"/>
        <v>Basso</v>
      </c>
    </row>
    <row r="509" spans="9:104" x14ac:dyDescent="0.15">
      <c r="I509" s="64">
        <f t="shared" si="191"/>
        <v>76.99972307006928</v>
      </c>
      <c r="M509" s="64">
        <f t="shared" si="192"/>
        <v>0</v>
      </c>
      <c r="Q509" s="64">
        <f t="shared" si="193"/>
        <v>0</v>
      </c>
      <c r="U509" s="64">
        <f t="shared" si="194"/>
        <v>0</v>
      </c>
      <c r="Y509" s="114">
        <f t="shared" si="195"/>
        <v>0</v>
      </c>
      <c r="AC509" s="64">
        <f t="shared" si="196"/>
        <v>0</v>
      </c>
      <c r="AE509" s="71"/>
      <c r="AF509" s="71"/>
      <c r="AG509" s="71">
        <f t="shared" si="197"/>
        <v>0</v>
      </c>
      <c r="AK509" s="64">
        <f t="shared" si="198"/>
        <v>0</v>
      </c>
      <c r="AM509" s="71"/>
      <c r="AN509" s="71"/>
      <c r="AO509" s="71">
        <f t="shared" si="199"/>
        <v>0</v>
      </c>
      <c r="AQ509" s="71"/>
      <c r="AR509" s="71"/>
      <c r="AS509" s="71">
        <f t="shared" si="200"/>
        <v>0</v>
      </c>
      <c r="AU509" s="71"/>
      <c r="AV509" s="71"/>
      <c r="AW509" s="71">
        <f t="shared" si="201"/>
        <v>0</v>
      </c>
      <c r="AY509" s="71"/>
      <c r="AZ509" s="71"/>
      <c r="BA509" s="71">
        <f t="shared" si="202"/>
        <v>0</v>
      </c>
      <c r="BI509" s="71"/>
      <c r="BJ509" s="71"/>
      <c r="BK509" s="71">
        <f t="shared" si="203"/>
        <v>0</v>
      </c>
      <c r="BM509" s="71"/>
      <c r="BN509" s="71"/>
      <c r="BO509" s="71">
        <f t="shared" si="204"/>
        <v>0</v>
      </c>
      <c r="BQ509" s="71"/>
      <c r="BR509" s="71"/>
      <c r="BS509" s="138">
        <f t="shared" si="205"/>
        <v>0</v>
      </c>
      <c r="BU509" s="71"/>
      <c r="BV509" s="71"/>
      <c r="BW509" s="71">
        <f t="shared" si="206"/>
        <v>0</v>
      </c>
      <c r="BZ509" s="71"/>
      <c r="CA509" s="71"/>
      <c r="CB509" s="71">
        <f t="shared" si="207"/>
        <v>0</v>
      </c>
      <c r="CD509" s="71"/>
      <c r="CE509" s="71"/>
      <c r="CF509" s="71">
        <f t="shared" si="208"/>
        <v>0</v>
      </c>
      <c r="CH509" s="71"/>
      <c r="CI509" s="71"/>
      <c r="CJ509" s="138">
        <f t="shared" si="209"/>
        <v>0</v>
      </c>
      <c r="CL509" s="71"/>
      <c r="CM509" s="71"/>
      <c r="CN509" s="71">
        <f t="shared" si="210"/>
        <v>0</v>
      </c>
      <c r="CS509" s="102">
        <f t="shared" si="211"/>
        <v>4.5293954747099576</v>
      </c>
      <c r="CT509" s="102">
        <f t="shared" si="212"/>
        <v>18.675175962423801</v>
      </c>
      <c r="CZ509" s="109" t="str">
        <f t="shared" si="213"/>
        <v>Basso</v>
      </c>
    </row>
    <row r="510" spans="9:104" x14ac:dyDescent="0.15">
      <c r="I510" s="64">
        <f t="shared" si="191"/>
        <v>76.99972307006928</v>
      </c>
      <c r="M510" s="64">
        <f t="shared" si="192"/>
        <v>0</v>
      </c>
      <c r="Q510" s="64">
        <f t="shared" si="193"/>
        <v>0</v>
      </c>
      <c r="U510" s="64">
        <f t="shared" si="194"/>
        <v>0</v>
      </c>
      <c r="Y510" s="114">
        <f t="shared" si="195"/>
        <v>0</v>
      </c>
      <c r="AC510" s="64">
        <f t="shared" si="196"/>
        <v>0</v>
      </c>
      <c r="AE510" s="71"/>
      <c r="AF510" s="71"/>
      <c r="AG510" s="71">
        <f t="shared" si="197"/>
        <v>0</v>
      </c>
      <c r="AK510" s="64">
        <f t="shared" si="198"/>
        <v>0</v>
      </c>
      <c r="AM510" s="71"/>
      <c r="AN510" s="71"/>
      <c r="AO510" s="71">
        <f t="shared" si="199"/>
        <v>0</v>
      </c>
      <c r="AQ510" s="71"/>
      <c r="AR510" s="71"/>
      <c r="AS510" s="71">
        <f t="shared" si="200"/>
        <v>0</v>
      </c>
      <c r="AU510" s="71"/>
      <c r="AV510" s="71"/>
      <c r="AW510" s="71">
        <f t="shared" si="201"/>
        <v>0</v>
      </c>
      <c r="AY510" s="71"/>
      <c r="AZ510" s="71"/>
      <c r="BA510" s="71">
        <f t="shared" si="202"/>
        <v>0</v>
      </c>
      <c r="BI510" s="71"/>
      <c r="BJ510" s="71"/>
      <c r="BK510" s="71">
        <f t="shared" si="203"/>
        <v>0</v>
      </c>
      <c r="BM510" s="71"/>
      <c r="BN510" s="71"/>
      <c r="BO510" s="71">
        <f t="shared" si="204"/>
        <v>0</v>
      </c>
      <c r="BQ510" s="71"/>
      <c r="BR510" s="71"/>
      <c r="BS510" s="138">
        <f t="shared" si="205"/>
        <v>0</v>
      </c>
      <c r="BU510" s="71"/>
      <c r="BV510" s="71"/>
      <c r="BW510" s="71">
        <f t="shared" si="206"/>
        <v>0</v>
      </c>
      <c r="BZ510" s="71"/>
      <c r="CA510" s="71"/>
      <c r="CB510" s="71">
        <f t="shared" si="207"/>
        <v>0</v>
      </c>
      <c r="CD510" s="71"/>
      <c r="CE510" s="71"/>
      <c r="CF510" s="71">
        <f t="shared" si="208"/>
        <v>0</v>
      </c>
      <c r="CH510" s="71"/>
      <c r="CI510" s="71"/>
      <c r="CJ510" s="138">
        <f t="shared" si="209"/>
        <v>0</v>
      </c>
      <c r="CL510" s="71"/>
      <c r="CM510" s="71"/>
      <c r="CN510" s="71">
        <f t="shared" si="210"/>
        <v>0</v>
      </c>
      <c r="CS510" s="102">
        <f t="shared" si="211"/>
        <v>4.5293954747099576</v>
      </c>
      <c r="CT510" s="102">
        <f t="shared" si="212"/>
        <v>18.675175962423801</v>
      </c>
      <c r="CZ510" s="109" t="str">
        <f t="shared" si="213"/>
        <v>Basso</v>
      </c>
    </row>
    <row r="511" spans="9:104" x14ac:dyDescent="0.15">
      <c r="I511" s="64">
        <f t="shared" si="191"/>
        <v>76.99972307006928</v>
      </c>
      <c r="M511" s="64">
        <f t="shared" si="192"/>
        <v>0</v>
      </c>
      <c r="Q511" s="64">
        <f t="shared" si="193"/>
        <v>0</v>
      </c>
      <c r="U511" s="64">
        <f t="shared" si="194"/>
        <v>0</v>
      </c>
      <c r="Y511" s="114">
        <f t="shared" si="195"/>
        <v>0</v>
      </c>
      <c r="AC511" s="64">
        <f t="shared" si="196"/>
        <v>0</v>
      </c>
      <c r="AE511" s="71"/>
      <c r="AF511" s="71"/>
      <c r="AG511" s="71">
        <f t="shared" si="197"/>
        <v>0</v>
      </c>
      <c r="AK511" s="64">
        <f t="shared" si="198"/>
        <v>0</v>
      </c>
      <c r="AM511" s="71"/>
      <c r="AN511" s="71"/>
      <c r="AO511" s="71">
        <f t="shared" si="199"/>
        <v>0</v>
      </c>
      <c r="AQ511" s="71"/>
      <c r="AR511" s="71"/>
      <c r="AS511" s="71">
        <f t="shared" si="200"/>
        <v>0</v>
      </c>
      <c r="AU511" s="71"/>
      <c r="AV511" s="71"/>
      <c r="AW511" s="71">
        <f t="shared" si="201"/>
        <v>0</v>
      </c>
      <c r="AY511" s="71"/>
      <c r="AZ511" s="71"/>
      <c r="BA511" s="71">
        <f t="shared" si="202"/>
        <v>0</v>
      </c>
      <c r="BI511" s="71"/>
      <c r="BJ511" s="71"/>
      <c r="BK511" s="71">
        <f t="shared" si="203"/>
        <v>0</v>
      </c>
      <c r="BM511" s="71"/>
      <c r="BN511" s="71"/>
      <c r="BO511" s="71">
        <f t="shared" si="204"/>
        <v>0</v>
      </c>
      <c r="BQ511" s="71"/>
      <c r="BR511" s="71"/>
      <c r="BS511" s="138">
        <f t="shared" si="205"/>
        <v>0</v>
      </c>
      <c r="BU511" s="71"/>
      <c r="BV511" s="71"/>
      <c r="BW511" s="71">
        <f t="shared" si="206"/>
        <v>0</v>
      </c>
      <c r="BZ511" s="71"/>
      <c r="CA511" s="71"/>
      <c r="CB511" s="71">
        <f t="shared" si="207"/>
        <v>0</v>
      </c>
      <c r="CD511" s="71"/>
      <c r="CE511" s="71"/>
      <c r="CF511" s="71">
        <f t="shared" si="208"/>
        <v>0</v>
      </c>
      <c r="CH511" s="71"/>
      <c r="CI511" s="71"/>
      <c r="CJ511" s="138">
        <f t="shared" si="209"/>
        <v>0</v>
      </c>
      <c r="CL511" s="71"/>
      <c r="CM511" s="71"/>
      <c r="CN511" s="71">
        <f t="shared" si="210"/>
        <v>0</v>
      </c>
      <c r="CS511" s="102">
        <f t="shared" si="211"/>
        <v>4.5293954747099576</v>
      </c>
      <c r="CT511" s="102">
        <f t="shared" si="212"/>
        <v>18.675175962423801</v>
      </c>
      <c r="CZ511" s="109" t="str">
        <f t="shared" si="213"/>
        <v>Basso</v>
      </c>
    </row>
    <row r="512" spans="9:104" x14ac:dyDescent="0.15">
      <c r="I512" s="64">
        <f t="shared" si="191"/>
        <v>76.99972307006928</v>
      </c>
      <c r="K512" s="64">
        <f t="shared" ref="K512:K552" si="214">AVERAGE($J$2:$J$296)</f>
        <v>1.2949152542372881</v>
      </c>
      <c r="L512" s="64">
        <f t="shared" ref="L512:L552" si="215">STDEV($J$2:$J$296)</f>
        <v>0.69336597143553846</v>
      </c>
      <c r="M512" s="64">
        <f t="shared" si="192"/>
        <v>0</v>
      </c>
      <c r="Q512" s="64">
        <f t="shared" si="193"/>
        <v>0</v>
      </c>
      <c r="U512" s="64">
        <f t="shared" si="194"/>
        <v>0</v>
      </c>
      <c r="Y512" s="114">
        <f t="shared" si="195"/>
        <v>0</v>
      </c>
      <c r="AC512" s="64">
        <f t="shared" si="196"/>
        <v>0</v>
      </c>
      <c r="AE512" s="71"/>
      <c r="AF512" s="71"/>
      <c r="AG512" s="71">
        <f t="shared" si="197"/>
        <v>0</v>
      </c>
      <c r="AK512" s="64">
        <f t="shared" si="198"/>
        <v>0</v>
      </c>
      <c r="AM512" s="71"/>
      <c r="AN512" s="71"/>
      <c r="AO512" s="71">
        <f t="shared" si="199"/>
        <v>0</v>
      </c>
      <c r="AQ512" s="71"/>
      <c r="AR512" s="71"/>
      <c r="AS512" s="71">
        <f t="shared" si="200"/>
        <v>0</v>
      </c>
      <c r="AU512" s="71"/>
      <c r="AV512" s="71"/>
      <c r="AW512" s="71">
        <f t="shared" si="201"/>
        <v>0</v>
      </c>
      <c r="AY512" s="71"/>
      <c r="AZ512" s="71"/>
      <c r="BA512" s="71">
        <f t="shared" si="202"/>
        <v>0</v>
      </c>
      <c r="BI512" s="71"/>
      <c r="BJ512" s="71"/>
      <c r="BK512" s="71">
        <f t="shared" si="203"/>
        <v>0</v>
      </c>
      <c r="BM512" s="71"/>
      <c r="BN512" s="71"/>
      <c r="BO512" s="71">
        <f t="shared" si="204"/>
        <v>0</v>
      </c>
      <c r="BQ512" s="71"/>
      <c r="BR512" s="71"/>
      <c r="BS512" s="138">
        <f t="shared" si="205"/>
        <v>0</v>
      </c>
      <c r="BU512" s="71"/>
      <c r="BV512" s="71"/>
      <c r="BW512" s="71">
        <f t="shared" si="206"/>
        <v>0</v>
      </c>
      <c r="BZ512" s="71"/>
      <c r="CA512" s="71"/>
      <c r="CB512" s="71">
        <f t="shared" si="207"/>
        <v>0</v>
      </c>
      <c r="CD512" s="71"/>
      <c r="CE512" s="71"/>
      <c r="CF512" s="71">
        <f t="shared" si="208"/>
        <v>0</v>
      </c>
      <c r="CH512" s="71"/>
      <c r="CI512" s="71"/>
      <c r="CJ512" s="138">
        <f t="shared" si="209"/>
        <v>0</v>
      </c>
      <c r="CL512" s="71"/>
      <c r="CM512" s="71"/>
      <c r="CN512" s="71">
        <f t="shared" si="210"/>
        <v>0</v>
      </c>
      <c r="CS512" s="102">
        <f t="shared" si="211"/>
        <v>4.5293954747099576</v>
      </c>
      <c r="CT512" s="102">
        <f t="shared" si="212"/>
        <v>18.675175962423801</v>
      </c>
      <c r="CZ512" s="109" t="str">
        <f t="shared" si="213"/>
        <v>Basso</v>
      </c>
    </row>
    <row r="513" spans="9:104" x14ac:dyDescent="0.15">
      <c r="I513" s="64">
        <f t="shared" si="191"/>
        <v>76.99972307006928</v>
      </c>
      <c r="K513" s="64">
        <f t="shared" si="214"/>
        <v>1.2949152542372881</v>
      </c>
      <c r="L513" s="64">
        <f t="shared" si="215"/>
        <v>0.69336597143553846</v>
      </c>
      <c r="M513" s="64">
        <f t="shared" si="192"/>
        <v>0</v>
      </c>
      <c r="Q513" s="64">
        <f t="shared" si="193"/>
        <v>0</v>
      </c>
      <c r="U513" s="64">
        <f t="shared" si="194"/>
        <v>0</v>
      </c>
      <c r="Y513" s="114">
        <f t="shared" si="195"/>
        <v>0</v>
      </c>
      <c r="AC513" s="64">
        <f t="shared" si="196"/>
        <v>0</v>
      </c>
      <c r="AE513" s="71"/>
      <c r="AF513" s="71"/>
      <c r="AG513" s="71">
        <f t="shared" si="197"/>
        <v>0</v>
      </c>
      <c r="AK513" s="64">
        <f t="shared" si="198"/>
        <v>0</v>
      </c>
      <c r="AM513" s="71"/>
      <c r="AN513" s="71"/>
      <c r="AO513" s="71">
        <f t="shared" si="199"/>
        <v>0</v>
      </c>
      <c r="AQ513" s="71"/>
      <c r="AR513" s="71"/>
      <c r="AS513" s="71">
        <f t="shared" si="200"/>
        <v>0</v>
      </c>
      <c r="AU513" s="71"/>
      <c r="AV513" s="71"/>
      <c r="AW513" s="71">
        <f t="shared" si="201"/>
        <v>0</v>
      </c>
      <c r="AY513" s="71"/>
      <c r="AZ513" s="71"/>
      <c r="BA513" s="71">
        <f t="shared" si="202"/>
        <v>0</v>
      </c>
      <c r="BI513" s="71"/>
      <c r="BJ513" s="71"/>
      <c r="BK513" s="71">
        <f t="shared" si="203"/>
        <v>0</v>
      </c>
      <c r="BM513" s="71"/>
      <c r="BN513" s="71"/>
      <c r="BO513" s="71">
        <f t="shared" si="204"/>
        <v>0</v>
      </c>
      <c r="BQ513" s="71"/>
      <c r="BR513" s="71"/>
      <c r="BS513" s="138">
        <f t="shared" si="205"/>
        <v>0</v>
      </c>
      <c r="BU513" s="71"/>
      <c r="BV513" s="71"/>
      <c r="BW513" s="71">
        <f t="shared" si="206"/>
        <v>0</v>
      </c>
      <c r="BZ513" s="71"/>
      <c r="CA513" s="71"/>
      <c r="CB513" s="71">
        <f t="shared" si="207"/>
        <v>0</v>
      </c>
      <c r="CD513" s="71"/>
      <c r="CE513" s="71"/>
      <c r="CF513" s="71">
        <f t="shared" si="208"/>
        <v>0</v>
      </c>
      <c r="CH513" s="71"/>
      <c r="CI513" s="71"/>
      <c r="CJ513" s="138">
        <f t="shared" si="209"/>
        <v>0</v>
      </c>
      <c r="CL513" s="71"/>
      <c r="CM513" s="71"/>
      <c r="CN513" s="71">
        <f t="shared" si="210"/>
        <v>0</v>
      </c>
      <c r="CS513" s="102">
        <f t="shared" si="211"/>
        <v>4.5293954747099576</v>
      </c>
      <c r="CT513" s="102">
        <f t="shared" si="212"/>
        <v>18.675175962423801</v>
      </c>
      <c r="CZ513" s="109" t="str">
        <f t="shared" si="213"/>
        <v>Basso</v>
      </c>
    </row>
    <row r="514" spans="9:104" x14ac:dyDescent="0.15">
      <c r="I514" s="64">
        <f t="shared" si="191"/>
        <v>76.99972307006928</v>
      </c>
      <c r="K514" s="64">
        <f t="shared" si="214"/>
        <v>1.2949152542372881</v>
      </c>
      <c r="L514" s="64">
        <f t="shared" si="215"/>
        <v>0.69336597143553846</v>
      </c>
      <c r="M514" s="64">
        <f t="shared" si="192"/>
        <v>0</v>
      </c>
      <c r="Q514" s="64">
        <f t="shared" si="193"/>
        <v>0</v>
      </c>
      <c r="U514" s="64">
        <f t="shared" si="194"/>
        <v>0</v>
      </c>
      <c r="Y514" s="114">
        <f t="shared" si="195"/>
        <v>0</v>
      </c>
      <c r="AC514" s="64">
        <f t="shared" si="196"/>
        <v>0</v>
      </c>
      <c r="AE514" s="71"/>
      <c r="AF514" s="71"/>
      <c r="AG514" s="71">
        <f t="shared" si="197"/>
        <v>0</v>
      </c>
      <c r="AK514" s="64">
        <f t="shared" si="198"/>
        <v>0</v>
      </c>
      <c r="AM514" s="71"/>
      <c r="AN514" s="71"/>
      <c r="AO514" s="71">
        <f t="shared" si="199"/>
        <v>0</v>
      </c>
      <c r="AQ514" s="71"/>
      <c r="AR514" s="71"/>
      <c r="AS514" s="71">
        <f t="shared" si="200"/>
        <v>0</v>
      </c>
      <c r="AU514" s="71"/>
      <c r="AV514" s="71"/>
      <c r="AW514" s="71">
        <f t="shared" si="201"/>
        <v>0</v>
      </c>
      <c r="AY514" s="71"/>
      <c r="AZ514" s="71"/>
      <c r="BA514" s="71">
        <f t="shared" si="202"/>
        <v>0</v>
      </c>
      <c r="BI514" s="71"/>
      <c r="BJ514" s="71"/>
      <c r="BK514" s="71">
        <f t="shared" si="203"/>
        <v>0</v>
      </c>
      <c r="BM514" s="71"/>
      <c r="BN514" s="71"/>
      <c r="BO514" s="71">
        <f t="shared" si="204"/>
        <v>0</v>
      </c>
      <c r="BQ514" s="71"/>
      <c r="BR514" s="71"/>
      <c r="BS514" s="138">
        <f t="shared" si="205"/>
        <v>0</v>
      </c>
      <c r="BU514" s="71"/>
      <c r="BV514" s="71"/>
      <c r="BW514" s="71">
        <f t="shared" si="206"/>
        <v>0</v>
      </c>
      <c r="BZ514" s="71"/>
      <c r="CA514" s="71"/>
      <c r="CB514" s="71">
        <f t="shared" si="207"/>
        <v>0</v>
      </c>
      <c r="CD514" s="71"/>
      <c r="CE514" s="71"/>
      <c r="CF514" s="71">
        <f t="shared" si="208"/>
        <v>0</v>
      </c>
      <c r="CH514" s="71"/>
      <c r="CI514" s="71"/>
      <c r="CJ514" s="138">
        <f t="shared" si="209"/>
        <v>0</v>
      </c>
      <c r="CL514" s="71"/>
      <c r="CM514" s="71"/>
      <c r="CN514" s="71">
        <f t="shared" si="210"/>
        <v>0</v>
      </c>
      <c r="CS514" s="102">
        <f t="shared" si="211"/>
        <v>4.5293954747099576</v>
      </c>
      <c r="CT514" s="102">
        <f t="shared" si="212"/>
        <v>18.675175962423801</v>
      </c>
      <c r="CZ514" s="109" t="str">
        <f t="shared" si="213"/>
        <v>Basso</v>
      </c>
    </row>
    <row r="515" spans="9:104" x14ac:dyDescent="0.15">
      <c r="I515" s="64">
        <f t="shared" ref="I515:I578" si="216">100 + ((F515 - AVERAGE(F:F)) / STDEV(F:F)) * 10</f>
        <v>76.99972307006928</v>
      </c>
      <c r="K515" s="64">
        <f t="shared" si="214"/>
        <v>1.2949152542372881</v>
      </c>
      <c r="L515" s="64">
        <f t="shared" si="215"/>
        <v>0.69336597143553846</v>
      </c>
      <c r="M515" s="64">
        <f t="shared" ref="M515:M578" si="217">J515/2</f>
        <v>0</v>
      </c>
      <c r="Q515" s="64">
        <f t="shared" ref="Q515:Q578" si="218">N515/2</f>
        <v>0</v>
      </c>
      <c r="U515" s="64">
        <f t="shared" ref="U515:U578" si="219">R515/3</f>
        <v>0</v>
      </c>
      <c r="Y515" s="114">
        <f t="shared" ref="Y515:Y578" si="220">V515/5</f>
        <v>0</v>
      </c>
      <c r="AC515" s="64">
        <f t="shared" ref="AC515:AC578" si="221">Z515/3</f>
        <v>0</v>
      </c>
      <c r="AE515" s="71"/>
      <c r="AF515" s="71"/>
      <c r="AG515" s="71">
        <f t="shared" ref="AG515:AG578" si="222">AD515/3</f>
        <v>0</v>
      </c>
      <c r="AK515" s="64">
        <f t="shared" ref="AK515:AK578" si="223">AH515/3</f>
        <v>0</v>
      </c>
      <c r="AM515" s="71"/>
      <c r="AN515" s="71"/>
      <c r="AO515" s="71">
        <f t="shared" ref="AO515:AO578" si="224">AL515/4</f>
        <v>0</v>
      </c>
      <c r="AQ515" s="71"/>
      <c r="AR515" s="71"/>
      <c r="AS515" s="71">
        <f t="shared" ref="AS515:AS578" si="225">AP515/3</f>
        <v>0</v>
      </c>
      <c r="AU515" s="71"/>
      <c r="AV515" s="71"/>
      <c r="AW515" s="71">
        <f t="shared" ref="AW515:AW578" si="226">AT515/3</f>
        <v>0</v>
      </c>
      <c r="AY515" s="71"/>
      <c r="AZ515" s="71"/>
      <c r="BA515" s="71">
        <f t="shared" ref="BA515:BA578" si="227">AX515/2</f>
        <v>0</v>
      </c>
      <c r="BI515" s="71"/>
      <c r="BJ515" s="71"/>
      <c r="BK515" s="71">
        <f t="shared" ref="BK515:BK578" si="228">BH515/2</f>
        <v>0</v>
      </c>
      <c r="BM515" s="71"/>
      <c r="BN515" s="71"/>
      <c r="BO515" s="71">
        <f t="shared" ref="BO515:BO578" si="229">BL515/3</f>
        <v>0</v>
      </c>
      <c r="BQ515" s="71"/>
      <c r="BR515" s="71"/>
      <c r="BS515" s="138">
        <f t="shared" ref="BS515:BS578" si="230">BP515/3</f>
        <v>0</v>
      </c>
      <c r="BU515" s="71"/>
      <c r="BV515" s="71"/>
      <c r="BW515" s="71">
        <f t="shared" ref="BW515:BW578" si="231">BT515/3</f>
        <v>0</v>
      </c>
      <c r="BZ515" s="71"/>
      <c r="CA515" s="71"/>
      <c r="CB515" s="71">
        <f t="shared" ref="CB515:CB578" si="232">BY515/3</f>
        <v>0</v>
      </c>
      <c r="CD515" s="71"/>
      <c r="CE515" s="71"/>
      <c r="CF515" s="71">
        <f t="shared" ref="CF515:CF578" si="233">CC515/3</f>
        <v>0</v>
      </c>
      <c r="CH515" s="71"/>
      <c r="CI515" s="71"/>
      <c r="CJ515" s="138">
        <f t="shared" ref="CJ515:CJ578" si="234">CG515/2</f>
        <v>0</v>
      </c>
      <c r="CL515" s="71"/>
      <c r="CM515" s="71"/>
      <c r="CN515" s="71">
        <f t="shared" ref="CN515:CN578" si="235">CK515/3</f>
        <v>0</v>
      </c>
      <c r="CS515" s="102">
        <f t="shared" ref="CS515:CS578" si="236">AVERAGE(I515, M515, Q515, U515, AC515, AG515, AK515, AO515, AS515, AW515, BA515, BK515, BO515, BW515, CB515, CF515, CN515)</f>
        <v>4.5293954747099576</v>
      </c>
      <c r="CT515" s="102">
        <f t="shared" ref="CT515:CT578" si="237">STDEV(I515, M515, Q515, U515, AC515, AG515, AK515, AO515, AS515, AW515, BA515, BK515, BO515, BW515, CB515, CF515, CN515)</f>
        <v>18.675175962423801</v>
      </c>
      <c r="CZ515" s="109" t="str">
        <f t="shared" ref="CZ515:CZ578" si="238">IF(CV515&lt;95.9069994, "Basso", IF(CV515&lt;99.02062343, "Medio-Basso", IF(CV515&lt;103.58108, "Medio-Alto", "Alto")))</f>
        <v>Basso</v>
      </c>
    </row>
    <row r="516" spans="9:104" x14ac:dyDescent="0.15">
      <c r="I516" s="64">
        <f t="shared" si="216"/>
        <v>76.99972307006928</v>
      </c>
      <c r="K516" s="64">
        <f t="shared" si="214"/>
        <v>1.2949152542372881</v>
      </c>
      <c r="L516" s="64">
        <f t="shared" si="215"/>
        <v>0.69336597143553846</v>
      </c>
      <c r="M516" s="64">
        <f t="shared" si="217"/>
        <v>0</v>
      </c>
      <c r="Q516" s="64">
        <f t="shared" si="218"/>
        <v>0</v>
      </c>
      <c r="U516" s="64">
        <f t="shared" si="219"/>
        <v>0</v>
      </c>
      <c r="Y516" s="114">
        <f t="shared" si="220"/>
        <v>0</v>
      </c>
      <c r="AC516" s="64">
        <f t="shared" si="221"/>
        <v>0</v>
      </c>
      <c r="AE516" s="71"/>
      <c r="AF516" s="71"/>
      <c r="AG516" s="71">
        <f t="shared" si="222"/>
        <v>0</v>
      </c>
      <c r="AK516" s="64">
        <f t="shared" si="223"/>
        <v>0</v>
      </c>
      <c r="AM516" s="71"/>
      <c r="AN516" s="71"/>
      <c r="AO516" s="71">
        <f t="shared" si="224"/>
        <v>0</v>
      </c>
      <c r="AQ516" s="71"/>
      <c r="AR516" s="71"/>
      <c r="AS516" s="71">
        <f t="shared" si="225"/>
        <v>0</v>
      </c>
      <c r="AU516" s="71"/>
      <c r="AV516" s="71"/>
      <c r="AW516" s="71">
        <f t="shared" si="226"/>
        <v>0</v>
      </c>
      <c r="AY516" s="71"/>
      <c r="AZ516" s="71"/>
      <c r="BA516" s="71">
        <f t="shared" si="227"/>
        <v>0</v>
      </c>
      <c r="BI516" s="71"/>
      <c r="BJ516" s="71"/>
      <c r="BK516" s="71">
        <f t="shared" si="228"/>
        <v>0</v>
      </c>
      <c r="BM516" s="71"/>
      <c r="BN516" s="71"/>
      <c r="BO516" s="71">
        <f t="shared" si="229"/>
        <v>0</v>
      </c>
      <c r="BQ516" s="71"/>
      <c r="BR516" s="71"/>
      <c r="BS516" s="138">
        <f t="shared" si="230"/>
        <v>0</v>
      </c>
      <c r="BU516" s="71"/>
      <c r="BV516" s="71"/>
      <c r="BW516" s="71">
        <f t="shared" si="231"/>
        <v>0</v>
      </c>
      <c r="BZ516" s="71"/>
      <c r="CA516" s="71"/>
      <c r="CB516" s="71">
        <f t="shared" si="232"/>
        <v>0</v>
      </c>
      <c r="CD516" s="71"/>
      <c r="CE516" s="71"/>
      <c r="CF516" s="71">
        <f t="shared" si="233"/>
        <v>0</v>
      </c>
      <c r="CH516" s="71"/>
      <c r="CI516" s="71"/>
      <c r="CJ516" s="138">
        <f t="shared" si="234"/>
        <v>0</v>
      </c>
      <c r="CL516" s="71"/>
      <c r="CM516" s="71"/>
      <c r="CN516" s="71">
        <f t="shared" si="235"/>
        <v>0</v>
      </c>
      <c r="CS516" s="102">
        <f t="shared" si="236"/>
        <v>4.5293954747099576</v>
      </c>
      <c r="CT516" s="102">
        <f t="shared" si="237"/>
        <v>18.675175962423801</v>
      </c>
      <c r="CZ516" s="109" t="str">
        <f t="shared" si="238"/>
        <v>Basso</v>
      </c>
    </row>
    <row r="517" spans="9:104" x14ac:dyDescent="0.15">
      <c r="I517" s="64">
        <f t="shared" si="216"/>
        <v>76.99972307006928</v>
      </c>
      <c r="K517" s="64">
        <f t="shared" si="214"/>
        <v>1.2949152542372881</v>
      </c>
      <c r="L517" s="64">
        <f t="shared" si="215"/>
        <v>0.69336597143553846</v>
      </c>
      <c r="M517" s="64">
        <f t="shared" si="217"/>
        <v>0</v>
      </c>
      <c r="Q517" s="64">
        <f t="shared" si="218"/>
        <v>0</v>
      </c>
      <c r="U517" s="64">
        <f t="shared" si="219"/>
        <v>0</v>
      </c>
      <c r="Y517" s="114">
        <f t="shared" si="220"/>
        <v>0</v>
      </c>
      <c r="AC517" s="64">
        <f t="shared" si="221"/>
        <v>0</v>
      </c>
      <c r="AE517" s="71"/>
      <c r="AF517" s="71"/>
      <c r="AG517" s="71">
        <f t="shared" si="222"/>
        <v>0</v>
      </c>
      <c r="AK517" s="64">
        <f t="shared" si="223"/>
        <v>0</v>
      </c>
      <c r="AM517" s="71"/>
      <c r="AN517" s="71"/>
      <c r="AO517" s="71">
        <f t="shared" si="224"/>
        <v>0</v>
      </c>
      <c r="AQ517" s="71"/>
      <c r="AR517" s="71"/>
      <c r="AS517" s="71">
        <f t="shared" si="225"/>
        <v>0</v>
      </c>
      <c r="AU517" s="71"/>
      <c r="AV517" s="71"/>
      <c r="AW517" s="71">
        <f t="shared" si="226"/>
        <v>0</v>
      </c>
      <c r="AY517" s="71"/>
      <c r="AZ517" s="71"/>
      <c r="BA517" s="71">
        <f t="shared" si="227"/>
        <v>0</v>
      </c>
      <c r="BI517" s="71"/>
      <c r="BJ517" s="71"/>
      <c r="BK517" s="71">
        <f t="shared" si="228"/>
        <v>0</v>
      </c>
      <c r="BM517" s="71"/>
      <c r="BN517" s="71"/>
      <c r="BO517" s="71">
        <f t="shared" si="229"/>
        <v>0</v>
      </c>
      <c r="BQ517" s="71"/>
      <c r="BR517" s="71"/>
      <c r="BS517" s="138">
        <f t="shared" si="230"/>
        <v>0</v>
      </c>
      <c r="BU517" s="71"/>
      <c r="BV517" s="71"/>
      <c r="BW517" s="71">
        <f t="shared" si="231"/>
        <v>0</v>
      </c>
      <c r="BZ517" s="71"/>
      <c r="CA517" s="71"/>
      <c r="CB517" s="71">
        <f t="shared" si="232"/>
        <v>0</v>
      </c>
      <c r="CD517" s="71"/>
      <c r="CE517" s="71"/>
      <c r="CF517" s="71">
        <f t="shared" si="233"/>
        <v>0</v>
      </c>
      <c r="CH517" s="71"/>
      <c r="CI517" s="71"/>
      <c r="CJ517" s="138">
        <f t="shared" si="234"/>
        <v>0</v>
      </c>
      <c r="CL517" s="71"/>
      <c r="CM517" s="71"/>
      <c r="CN517" s="71">
        <f t="shared" si="235"/>
        <v>0</v>
      </c>
      <c r="CS517" s="102">
        <f t="shared" si="236"/>
        <v>4.5293954747099576</v>
      </c>
      <c r="CT517" s="102">
        <f t="shared" si="237"/>
        <v>18.675175962423801</v>
      </c>
      <c r="CZ517" s="109" t="str">
        <f t="shared" si="238"/>
        <v>Basso</v>
      </c>
    </row>
    <row r="518" spans="9:104" x14ac:dyDescent="0.15">
      <c r="I518" s="64">
        <f t="shared" si="216"/>
        <v>76.99972307006928</v>
      </c>
      <c r="K518" s="64">
        <f t="shared" si="214"/>
        <v>1.2949152542372881</v>
      </c>
      <c r="L518" s="64">
        <f t="shared" si="215"/>
        <v>0.69336597143553846</v>
      </c>
      <c r="M518" s="64">
        <f t="shared" si="217"/>
        <v>0</v>
      </c>
      <c r="Q518" s="64">
        <f t="shared" si="218"/>
        <v>0</v>
      </c>
      <c r="U518" s="64">
        <f t="shared" si="219"/>
        <v>0</v>
      </c>
      <c r="Y518" s="114">
        <f t="shared" si="220"/>
        <v>0</v>
      </c>
      <c r="AC518" s="64">
        <f t="shared" si="221"/>
        <v>0</v>
      </c>
      <c r="AE518" s="71"/>
      <c r="AF518" s="71"/>
      <c r="AG518" s="71">
        <f t="shared" si="222"/>
        <v>0</v>
      </c>
      <c r="AK518" s="64">
        <f t="shared" si="223"/>
        <v>0</v>
      </c>
      <c r="AM518" s="71"/>
      <c r="AN518" s="71"/>
      <c r="AO518" s="71">
        <f t="shared" si="224"/>
        <v>0</v>
      </c>
      <c r="AQ518" s="71"/>
      <c r="AR518" s="71"/>
      <c r="AS518" s="71">
        <f t="shared" si="225"/>
        <v>0</v>
      </c>
      <c r="AU518" s="71"/>
      <c r="AV518" s="71"/>
      <c r="AW518" s="71">
        <f t="shared" si="226"/>
        <v>0</v>
      </c>
      <c r="AY518" s="71"/>
      <c r="AZ518" s="71"/>
      <c r="BA518" s="71">
        <f t="shared" si="227"/>
        <v>0</v>
      </c>
      <c r="BI518" s="71"/>
      <c r="BJ518" s="71"/>
      <c r="BK518" s="71">
        <f t="shared" si="228"/>
        <v>0</v>
      </c>
      <c r="BM518" s="71"/>
      <c r="BN518" s="71"/>
      <c r="BO518" s="71">
        <f t="shared" si="229"/>
        <v>0</v>
      </c>
      <c r="BQ518" s="71"/>
      <c r="BR518" s="71"/>
      <c r="BS518" s="138">
        <f t="shared" si="230"/>
        <v>0</v>
      </c>
      <c r="BU518" s="71"/>
      <c r="BV518" s="71"/>
      <c r="BW518" s="71">
        <f t="shared" si="231"/>
        <v>0</v>
      </c>
      <c r="BZ518" s="71"/>
      <c r="CA518" s="71"/>
      <c r="CB518" s="71">
        <f t="shared" si="232"/>
        <v>0</v>
      </c>
      <c r="CD518" s="71"/>
      <c r="CE518" s="71"/>
      <c r="CF518" s="71">
        <f t="shared" si="233"/>
        <v>0</v>
      </c>
      <c r="CH518" s="71"/>
      <c r="CI518" s="71"/>
      <c r="CJ518" s="138">
        <f t="shared" si="234"/>
        <v>0</v>
      </c>
      <c r="CL518" s="71"/>
      <c r="CM518" s="71"/>
      <c r="CN518" s="71">
        <f t="shared" si="235"/>
        <v>0</v>
      </c>
      <c r="CS518" s="102">
        <f t="shared" si="236"/>
        <v>4.5293954747099576</v>
      </c>
      <c r="CT518" s="102">
        <f t="shared" si="237"/>
        <v>18.675175962423801</v>
      </c>
      <c r="CZ518" s="109" t="str">
        <f t="shared" si="238"/>
        <v>Basso</v>
      </c>
    </row>
    <row r="519" spans="9:104" x14ac:dyDescent="0.15">
      <c r="I519" s="64">
        <f t="shared" si="216"/>
        <v>76.99972307006928</v>
      </c>
      <c r="K519" s="64">
        <f t="shared" si="214"/>
        <v>1.2949152542372881</v>
      </c>
      <c r="L519" s="64">
        <f t="shared" si="215"/>
        <v>0.69336597143553846</v>
      </c>
      <c r="M519" s="64">
        <f t="shared" si="217"/>
        <v>0</v>
      </c>
      <c r="Q519" s="64">
        <f t="shared" si="218"/>
        <v>0</v>
      </c>
      <c r="U519" s="64">
        <f t="shared" si="219"/>
        <v>0</v>
      </c>
      <c r="Y519" s="114">
        <f t="shared" si="220"/>
        <v>0</v>
      </c>
      <c r="AC519" s="64">
        <f t="shared" si="221"/>
        <v>0</v>
      </c>
      <c r="AE519" s="71"/>
      <c r="AF519" s="71"/>
      <c r="AG519" s="71">
        <f t="shared" si="222"/>
        <v>0</v>
      </c>
      <c r="AK519" s="64">
        <f t="shared" si="223"/>
        <v>0</v>
      </c>
      <c r="AM519" s="71"/>
      <c r="AN519" s="71"/>
      <c r="AO519" s="71">
        <f t="shared" si="224"/>
        <v>0</v>
      </c>
      <c r="AQ519" s="71"/>
      <c r="AR519" s="71"/>
      <c r="AS519" s="71">
        <f t="shared" si="225"/>
        <v>0</v>
      </c>
      <c r="AU519" s="71"/>
      <c r="AV519" s="71"/>
      <c r="AW519" s="71">
        <f t="shared" si="226"/>
        <v>0</v>
      </c>
      <c r="AY519" s="71"/>
      <c r="AZ519" s="71"/>
      <c r="BA519" s="71">
        <f t="shared" si="227"/>
        <v>0</v>
      </c>
      <c r="BI519" s="71"/>
      <c r="BJ519" s="71"/>
      <c r="BK519" s="71">
        <f t="shared" si="228"/>
        <v>0</v>
      </c>
      <c r="BM519" s="71"/>
      <c r="BN519" s="71"/>
      <c r="BO519" s="71">
        <f t="shared" si="229"/>
        <v>0</v>
      </c>
      <c r="BQ519" s="71"/>
      <c r="BR519" s="71"/>
      <c r="BS519" s="138">
        <f t="shared" si="230"/>
        <v>0</v>
      </c>
      <c r="BU519" s="71"/>
      <c r="BV519" s="71"/>
      <c r="BW519" s="71">
        <f t="shared" si="231"/>
        <v>0</v>
      </c>
      <c r="BZ519" s="71"/>
      <c r="CA519" s="71"/>
      <c r="CB519" s="71">
        <f t="shared" si="232"/>
        <v>0</v>
      </c>
      <c r="CD519" s="71"/>
      <c r="CE519" s="71"/>
      <c r="CF519" s="71">
        <f t="shared" si="233"/>
        <v>0</v>
      </c>
      <c r="CH519" s="71"/>
      <c r="CI519" s="71"/>
      <c r="CJ519" s="138">
        <f t="shared" si="234"/>
        <v>0</v>
      </c>
      <c r="CL519" s="71"/>
      <c r="CM519" s="71"/>
      <c r="CN519" s="71">
        <f t="shared" si="235"/>
        <v>0</v>
      </c>
      <c r="CS519" s="102">
        <f t="shared" si="236"/>
        <v>4.5293954747099576</v>
      </c>
      <c r="CT519" s="102">
        <f t="shared" si="237"/>
        <v>18.675175962423801</v>
      </c>
      <c r="CZ519" s="109" t="str">
        <f t="shared" si="238"/>
        <v>Basso</v>
      </c>
    </row>
    <row r="520" spans="9:104" x14ac:dyDescent="0.15">
      <c r="I520" s="64">
        <f t="shared" si="216"/>
        <v>76.99972307006928</v>
      </c>
      <c r="K520" s="64">
        <f t="shared" si="214"/>
        <v>1.2949152542372881</v>
      </c>
      <c r="L520" s="64">
        <f t="shared" si="215"/>
        <v>0.69336597143553846</v>
      </c>
      <c r="M520" s="64">
        <f t="shared" si="217"/>
        <v>0</v>
      </c>
      <c r="Q520" s="64">
        <f t="shared" si="218"/>
        <v>0</v>
      </c>
      <c r="U520" s="64">
        <f t="shared" si="219"/>
        <v>0</v>
      </c>
      <c r="Y520" s="114">
        <f t="shared" si="220"/>
        <v>0</v>
      </c>
      <c r="AC520" s="64">
        <f t="shared" si="221"/>
        <v>0</v>
      </c>
      <c r="AE520" s="71"/>
      <c r="AF520" s="71"/>
      <c r="AG520" s="71">
        <f t="shared" si="222"/>
        <v>0</v>
      </c>
      <c r="AK520" s="64">
        <f t="shared" si="223"/>
        <v>0</v>
      </c>
      <c r="AM520" s="71"/>
      <c r="AN520" s="71"/>
      <c r="AO520" s="71">
        <f t="shared" si="224"/>
        <v>0</v>
      </c>
      <c r="AQ520" s="71"/>
      <c r="AR520" s="71"/>
      <c r="AS520" s="71">
        <f t="shared" si="225"/>
        <v>0</v>
      </c>
      <c r="AU520" s="71"/>
      <c r="AV520" s="71"/>
      <c r="AW520" s="71">
        <f t="shared" si="226"/>
        <v>0</v>
      </c>
      <c r="AY520" s="71"/>
      <c r="AZ520" s="71"/>
      <c r="BA520" s="71">
        <f t="shared" si="227"/>
        <v>0</v>
      </c>
      <c r="BI520" s="71"/>
      <c r="BJ520" s="71"/>
      <c r="BK520" s="71">
        <f t="shared" si="228"/>
        <v>0</v>
      </c>
      <c r="BM520" s="71"/>
      <c r="BN520" s="71"/>
      <c r="BO520" s="71">
        <f t="shared" si="229"/>
        <v>0</v>
      </c>
      <c r="BQ520" s="71"/>
      <c r="BR520" s="71"/>
      <c r="BS520" s="138">
        <f t="shared" si="230"/>
        <v>0</v>
      </c>
      <c r="BU520" s="71"/>
      <c r="BV520" s="71"/>
      <c r="BW520" s="71">
        <f t="shared" si="231"/>
        <v>0</v>
      </c>
      <c r="BZ520" s="71"/>
      <c r="CA520" s="71"/>
      <c r="CB520" s="71">
        <f t="shared" si="232"/>
        <v>0</v>
      </c>
      <c r="CD520" s="71"/>
      <c r="CE520" s="71"/>
      <c r="CF520" s="71">
        <f t="shared" si="233"/>
        <v>0</v>
      </c>
      <c r="CH520" s="71"/>
      <c r="CI520" s="71"/>
      <c r="CJ520" s="138">
        <f t="shared" si="234"/>
        <v>0</v>
      </c>
      <c r="CL520" s="71"/>
      <c r="CM520" s="71"/>
      <c r="CN520" s="71">
        <f t="shared" si="235"/>
        <v>0</v>
      </c>
      <c r="CS520" s="102">
        <f t="shared" si="236"/>
        <v>4.5293954747099576</v>
      </c>
      <c r="CT520" s="102">
        <f t="shared" si="237"/>
        <v>18.675175962423801</v>
      </c>
      <c r="CZ520" s="109" t="str">
        <f t="shared" si="238"/>
        <v>Basso</v>
      </c>
    </row>
    <row r="521" spans="9:104" x14ac:dyDescent="0.15">
      <c r="I521" s="64">
        <f t="shared" si="216"/>
        <v>76.99972307006928</v>
      </c>
      <c r="K521" s="64">
        <f t="shared" si="214"/>
        <v>1.2949152542372881</v>
      </c>
      <c r="L521" s="64">
        <f t="shared" si="215"/>
        <v>0.69336597143553846</v>
      </c>
      <c r="M521" s="64">
        <f t="shared" si="217"/>
        <v>0</v>
      </c>
      <c r="Q521" s="64">
        <f t="shared" si="218"/>
        <v>0</v>
      </c>
      <c r="U521" s="64">
        <f t="shared" si="219"/>
        <v>0</v>
      </c>
      <c r="Y521" s="114">
        <f t="shared" si="220"/>
        <v>0</v>
      </c>
      <c r="AC521" s="64">
        <f t="shared" si="221"/>
        <v>0</v>
      </c>
      <c r="AE521" s="71"/>
      <c r="AF521" s="71"/>
      <c r="AG521" s="71">
        <f t="shared" si="222"/>
        <v>0</v>
      </c>
      <c r="AK521" s="64">
        <f t="shared" si="223"/>
        <v>0</v>
      </c>
      <c r="AM521" s="71"/>
      <c r="AN521" s="71"/>
      <c r="AO521" s="71">
        <f t="shared" si="224"/>
        <v>0</v>
      </c>
      <c r="AQ521" s="71"/>
      <c r="AR521" s="71"/>
      <c r="AS521" s="71">
        <f t="shared" si="225"/>
        <v>0</v>
      </c>
      <c r="AU521" s="71"/>
      <c r="AV521" s="71"/>
      <c r="AW521" s="71">
        <f t="shared" si="226"/>
        <v>0</v>
      </c>
      <c r="AY521" s="71"/>
      <c r="AZ521" s="71"/>
      <c r="BA521" s="71">
        <f t="shared" si="227"/>
        <v>0</v>
      </c>
      <c r="BI521" s="71"/>
      <c r="BJ521" s="71"/>
      <c r="BK521" s="71">
        <f t="shared" si="228"/>
        <v>0</v>
      </c>
      <c r="BM521" s="71"/>
      <c r="BN521" s="71"/>
      <c r="BO521" s="71">
        <f t="shared" si="229"/>
        <v>0</v>
      </c>
      <c r="BQ521" s="71"/>
      <c r="BR521" s="71"/>
      <c r="BS521" s="138">
        <f t="shared" si="230"/>
        <v>0</v>
      </c>
      <c r="BU521" s="71"/>
      <c r="BV521" s="71"/>
      <c r="BW521" s="71">
        <f t="shared" si="231"/>
        <v>0</v>
      </c>
      <c r="BZ521" s="71"/>
      <c r="CA521" s="71"/>
      <c r="CB521" s="71">
        <f t="shared" si="232"/>
        <v>0</v>
      </c>
      <c r="CD521" s="71"/>
      <c r="CE521" s="71"/>
      <c r="CF521" s="71">
        <f t="shared" si="233"/>
        <v>0</v>
      </c>
      <c r="CH521" s="71"/>
      <c r="CI521" s="71"/>
      <c r="CJ521" s="138">
        <f t="shared" si="234"/>
        <v>0</v>
      </c>
      <c r="CL521" s="71"/>
      <c r="CM521" s="71"/>
      <c r="CN521" s="71">
        <f t="shared" si="235"/>
        <v>0</v>
      </c>
      <c r="CS521" s="102">
        <f t="shared" si="236"/>
        <v>4.5293954747099576</v>
      </c>
      <c r="CT521" s="102">
        <f t="shared" si="237"/>
        <v>18.675175962423801</v>
      </c>
      <c r="CZ521" s="109" t="str">
        <f t="shared" si="238"/>
        <v>Basso</v>
      </c>
    </row>
    <row r="522" spans="9:104" x14ac:dyDescent="0.15">
      <c r="I522" s="64">
        <f t="shared" si="216"/>
        <v>76.99972307006928</v>
      </c>
      <c r="K522" s="64">
        <f t="shared" si="214"/>
        <v>1.2949152542372881</v>
      </c>
      <c r="L522" s="64">
        <f t="shared" si="215"/>
        <v>0.69336597143553846</v>
      </c>
      <c r="M522" s="64">
        <f t="shared" si="217"/>
        <v>0</v>
      </c>
      <c r="Q522" s="64">
        <f t="shared" si="218"/>
        <v>0</v>
      </c>
      <c r="U522" s="64">
        <f t="shared" si="219"/>
        <v>0</v>
      </c>
      <c r="Y522" s="114">
        <f t="shared" si="220"/>
        <v>0</v>
      </c>
      <c r="AC522" s="64">
        <f t="shared" si="221"/>
        <v>0</v>
      </c>
      <c r="AE522" s="71"/>
      <c r="AF522" s="71"/>
      <c r="AG522" s="71">
        <f t="shared" si="222"/>
        <v>0</v>
      </c>
      <c r="AK522" s="64">
        <f t="shared" si="223"/>
        <v>0</v>
      </c>
      <c r="AM522" s="71"/>
      <c r="AN522" s="71"/>
      <c r="AO522" s="71">
        <f t="shared" si="224"/>
        <v>0</v>
      </c>
      <c r="AQ522" s="71"/>
      <c r="AR522" s="71"/>
      <c r="AS522" s="71">
        <f t="shared" si="225"/>
        <v>0</v>
      </c>
      <c r="AU522" s="71"/>
      <c r="AV522" s="71"/>
      <c r="AW522" s="71">
        <f t="shared" si="226"/>
        <v>0</v>
      </c>
      <c r="AY522" s="71"/>
      <c r="AZ522" s="71"/>
      <c r="BA522" s="71">
        <f t="shared" si="227"/>
        <v>0</v>
      </c>
      <c r="BI522" s="71"/>
      <c r="BJ522" s="71"/>
      <c r="BK522" s="71">
        <f t="shared" si="228"/>
        <v>0</v>
      </c>
      <c r="BM522" s="71"/>
      <c r="BN522" s="71"/>
      <c r="BO522" s="71">
        <f t="shared" si="229"/>
        <v>0</v>
      </c>
      <c r="BQ522" s="71"/>
      <c r="BR522" s="71"/>
      <c r="BS522" s="138">
        <f t="shared" si="230"/>
        <v>0</v>
      </c>
      <c r="BU522" s="71"/>
      <c r="BV522" s="71"/>
      <c r="BW522" s="71">
        <f t="shared" si="231"/>
        <v>0</v>
      </c>
      <c r="BZ522" s="71"/>
      <c r="CA522" s="71"/>
      <c r="CB522" s="71">
        <f t="shared" si="232"/>
        <v>0</v>
      </c>
      <c r="CD522" s="71"/>
      <c r="CE522" s="71"/>
      <c r="CF522" s="71">
        <f t="shared" si="233"/>
        <v>0</v>
      </c>
      <c r="CH522" s="71"/>
      <c r="CI522" s="71"/>
      <c r="CJ522" s="138">
        <f t="shared" si="234"/>
        <v>0</v>
      </c>
      <c r="CL522" s="71"/>
      <c r="CM522" s="71"/>
      <c r="CN522" s="71">
        <f t="shared" si="235"/>
        <v>0</v>
      </c>
      <c r="CS522" s="102">
        <f t="shared" si="236"/>
        <v>4.5293954747099576</v>
      </c>
      <c r="CT522" s="102">
        <f t="shared" si="237"/>
        <v>18.675175962423801</v>
      </c>
      <c r="CZ522" s="109" t="str">
        <f t="shared" si="238"/>
        <v>Basso</v>
      </c>
    </row>
    <row r="523" spans="9:104" x14ac:dyDescent="0.15">
      <c r="I523" s="64">
        <f t="shared" si="216"/>
        <v>76.99972307006928</v>
      </c>
      <c r="K523" s="64">
        <f t="shared" si="214"/>
        <v>1.2949152542372881</v>
      </c>
      <c r="L523" s="64">
        <f t="shared" si="215"/>
        <v>0.69336597143553846</v>
      </c>
      <c r="M523" s="64">
        <f t="shared" si="217"/>
        <v>0</v>
      </c>
      <c r="Q523" s="64">
        <f t="shared" si="218"/>
        <v>0</v>
      </c>
      <c r="U523" s="64">
        <f t="shared" si="219"/>
        <v>0</v>
      </c>
      <c r="Y523" s="114">
        <f t="shared" si="220"/>
        <v>0</v>
      </c>
      <c r="AC523" s="64">
        <f t="shared" si="221"/>
        <v>0</v>
      </c>
      <c r="AE523" s="71"/>
      <c r="AF523" s="71"/>
      <c r="AG523" s="71">
        <f t="shared" si="222"/>
        <v>0</v>
      </c>
      <c r="AK523" s="64">
        <f t="shared" si="223"/>
        <v>0</v>
      </c>
      <c r="AM523" s="71"/>
      <c r="AN523" s="71"/>
      <c r="AO523" s="71">
        <f t="shared" si="224"/>
        <v>0</v>
      </c>
      <c r="AQ523" s="71"/>
      <c r="AR523" s="71"/>
      <c r="AS523" s="71">
        <f t="shared" si="225"/>
        <v>0</v>
      </c>
      <c r="AU523" s="71"/>
      <c r="AV523" s="71"/>
      <c r="AW523" s="71">
        <f t="shared" si="226"/>
        <v>0</v>
      </c>
      <c r="AY523" s="71"/>
      <c r="AZ523" s="71"/>
      <c r="BA523" s="71">
        <f t="shared" si="227"/>
        <v>0</v>
      </c>
      <c r="BI523" s="71"/>
      <c r="BJ523" s="71"/>
      <c r="BK523" s="71">
        <f t="shared" si="228"/>
        <v>0</v>
      </c>
      <c r="BM523" s="71"/>
      <c r="BN523" s="71"/>
      <c r="BO523" s="71">
        <f t="shared" si="229"/>
        <v>0</v>
      </c>
      <c r="BQ523" s="71"/>
      <c r="BR523" s="71"/>
      <c r="BS523" s="138">
        <f t="shared" si="230"/>
        <v>0</v>
      </c>
      <c r="BU523" s="71"/>
      <c r="BV523" s="71"/>
      <c r="BW523" s="71">
        <f t="shared" si="231"/>
        <v>0</v>
      </c>
      <c r="BZ523" s="71"/>
      <c r="CA523" s="71"/>
      <c r="CB523" s="71">
        <f t="shared" si="232"/>
        <v>0</v>
      </c>
      <c r="CD523" s="71"/>
      <c r="CE523" s="71"/>
      <c r="CF523" s="71">
        <f t="shared" si="233"/>
        <v>0</v>
      </c>
      <c r="CH523" s="71"/>
      <c r="CI523" s="71"/>
      <c r="CJ523" s="138">
        <f t="shared" si="234"/>
        <v>0</v>
      </c>
      <c r="CL523" s="71"/>
      <c r="CM523" s="71"/>
      <c r="CN523" s="71">
        <f t="shared" si="235"/>
        <v>0</v>
      </c>
      <c r="CS523" s="102">
        <f t="shared" si="236"/>
        <v>4.5293954747099576</v>
      </c>
      <c r="CT523" s="102">
        <f t="shared" si="237"/>
        <v>18.675175962423801</v>
      </c>
      <c r="CZ523" s="109" t="str">
        <f t="shared" si="238"/>
        <v>Basso</v>
      </c>
    </row>
    <row r="524" spans="9:104" x14ac:dyDescent="0.15">
      <c r="I524" s="64">
        <f t="shared" si="216"/>
        <v>76.99972307006928</v>
      </c>
      <c r="K524" s="64">
        <f t="shared" si="214"/>
        <v>1.2949152542372881</v>
      </c>
      <c r="L524" s="64">
        <f t="shared" si="215"/>
        <v>0.69336597143553846</v>
      </c>
      <c r="M524" s="64">
        <f t="shared" si="217"/>
        <v>0</v>
      </c>
      <c r="Q524" s="64">
        <f t="shared" si="218"/>
        <v>0</v>
      </c>
      <c r="U524" s="64">
        <f t="shared" si="219"/>
        <v>0</v>
      </c>
      <c r="Y524" s="114">
        <f t="shared" si="220"/>
        <v>0</v>
      </c>
      <c r="AC524" s="64">
        <f t="shared" si="221"/>
        <v>0</v>
      </c>
      <c r="AE524" s="71"/>
      <c r="AF524" s="71"/>
      <c r="AG524" s="71">
        <f t="shared" si="222"/>
        <v>0</v>
      </c>
      <c r="AK524" s="64">
        <f t="shared" si="223"/>
        <v>0</v>
      </c>
      <c r="AM524" s="71"/>
      <c r="AN524" s="71"/>
      <c r="AO524" s="71">
        <f t="shared" si="224"/>
        <v>0</v>
      </c>
      <c r="AQ524" s="71"/>
      <c r="AR524" s="71"/>
      <c r="AS524" s="71">
        <f t="shared" si="225"/>
        <v>0</v>
      </c>
      <c r="AU524" s="71"/>
      <c r="AV524" s="71"/>
      <c r="AW524" s="71">
        <f t="shared" si="226"/>
        <v>0</v>
      </c>
      <c r="AY524" s="71"/>
      <c r="AZ524" s="71"/>
      <c r="BA524" s="71">
        <f t="shared" si="227"/>
        <v>0</v>
      </c>
      <c r="BI524" s="71"/>
      <c r="BJ524" s="71"/>
      <c r="BK524" s="71">
        <f t="shared" si="228"/>
        <v>0</v>
      </c>
      <c r="BM524" s="71"/>
      <c r="BN524" s="71"/>
      <c r="BO524" s="71">
        <f t="shared" si="229"/>
        <v>0</v>
      </c>
      <c r="BQ524" s="71"/>
      <c r="BR524" s="71"/>
      <c r="BS524" s="138">
        <f t="shared" si="230"/>
        <v>0</v>
      </c>
      <c r="BU524" s="71"/>
      <c r="BV524" s="71"/>
      <c r="BW524" s="71">
        <f t="shared" si="231"/>
        <v>0</v>
      </c>
      <c r="BZ524" s="71"/>
      <c r="CA524" s="71"/>
      <c r="CB524" s="71">
        <f t="shared" si="232"/>
        <v>0</v>
      </c>
      <c r="CD524" s="71"/>
      <c r="CE524" s="71"/>
      <c r="CF524" s="71">
        <f t="shared" si="233"/>
        <v>0</v>
      </c>
      <c r="CH524" s="71"/>
      <c r="CI524" s="71"/>
      <c r="CJ524" s="138">
        <f t="shared" si="234"/>
        <v>0</v>
      </c>
      <c r="CL524" s="71"/>
      <c r="CM524" s="71"/>
      <c r="CN524" s="71">
        <f t="shared" si="235"/>
        <v>0</v>
      </c>
      <c r="CS524" s="102">
        <f t="shared" si="236"/>
        <v>4.5293954747099576</v>
      </c>
      <c r="CT524" s="102">
        <f t="shared" si="237"/>
        <v>18.675175962423801</v>
      </c>
      <c r="CZ524" s="109" t="str">
        <f t="shared" si="238"/>
        <v>Basso</v>
      </c>
    </row>
    <row r="525" spans="9:104" x14ac:dyDescent="0.15">
      <c r="I525" s="64">
        <f t="shared" si="216"/>
        <v>76.99972307006928</v>
      </c>
      <c r="K525" s="64">
        <f t="shared" si="214"/>
        <v>1.2949152542372881</v>
      </c>
      <c r="L525" s="64">
        <f t="shared" si="215"/>
        <v>0.69336597143553846</v>
      </c>
      <c r="M525" s="64">
        <f t="shared" si="217"/>
        <v>0</v>
      </c>
      <c r="Q525" s="64">
        <f t="shared" si="218"/>
        <v>0</v>
      </c>
      <c r="U525" s="64">
        <f t="shared" si="219"/>
        <v>0</v>
      </c>
      <c r="Y525" s="114">
        <f t="shared" si="220"/>
        <v>0</v>
      </c>
      <c r="AC525" s="64">
        <f t="shared" si="221"/>
        <v>0</v>
      </c>
      <c r="AE525" s="71"/>
      <c r="AF525" s="71"/>
      <c r="AG525" s="71">
        <f t="shared" si="222"/>
        <v>0</v>
      </c>
      <c r="AK525" s="64">
        <f t="shared" si="223"/>
        <v>0</v>
      </c>
      <c r="AM525" s="71"/>
      <c r="AN525" s="71"/>
      <c r="AO525" s="71">
        <f t="shared" si="224"/>
        <v>0</v>
      </c>
      <c r="AQ525" s="71"/>
      <c r="AR525" s="71"/>
      <c r="AS525" s="71">
        <f t="shared" si="225"/>
        <v>0</v>
      </c>
      <c r="AU525" s="71"/>
      <c r="AV525" s="71"/>
      <c r="AW525" s="71">
        <f t="shared" si="226"/>
        <v>0</v>
      </c>
      <c r="AY525" s="71"/>
      <c r="AZ525" s="71"/>
      <c r="BA525" s="71">
        <f t="shared" si="227"/>
        <v>0</v>
      </c>
      <c r="BI525" s="71"/>
      <c r="BJ525" s="71"/>
      <c r="BK525" s="71">
        <f t="shared" si="228"/>
        <v>0</v>
      </c>
      <c r="BM525" s="71"/>
      <c r="BN525" s="71"/>
      <c r="BO525" s="71">
        <f t="shared" si="229"/>
        <v>0</v>
      </c>
      <c r="BQ525" s="71"/>
      <c r="BR525" s="71"/>
      <c r="BS525" s="138">
        <f t="shared" si="230"/>
        <v>0</v>
      </c>
      <c r="BU525" s="71"/>
      <c r="BV525" s="71"/>
      <c r="BW525" s="71">
        <f t="shared" si="231"/>
        <v>0</v>
      </c>
      <c r="BZ525" s="71"/>
      <c r="CA525" s="71"/>
      <c r="CB525" s="71">
        <f t="shared" si="232"/>
        <v>0</v>
      </c>
      <c r="CD525" s="71"/>
      <c r="CE525" s="71"/>
      <c r="CF525" s="71">
        <f t="shared" si="233"/>
        <v>0</v>
      </c>
      <c r="CH525" s="71"/>
      <c r="CI525" s="71"/>
      <c r="CJ525" s="138">
        <f t="shared" si="234"/>
        <v>0</v>
      </c>
      <c r="CL525" s="71"/>
      <c r="CM525" s="71"/>
      <c r="CN525" s="71">
        <f t="shared" si="235"/>
        <v>0</v>
      </c>
      <c r="CS525" s="102">
        <f t="shared" si="236"/>
        <v>4.5293954747099576</v>
      </c>
      <c r="CT525" s="102">
        <f t="shared" si="237"/>
        <v>18.675175962423801</v>
      </c>
      <c r="CZ525" s="109" t="str">
        <f t="shared" si="238"/>
        <v>Basso</v>
      </c>
    </row>
    <row r="526" spans="9:104" x14ac:dyDescent="0.15">
      <c r="I526" s="64">
        <f t="shared" si="216"/>
        <v>76.99972307006928</v>
      </c>
      <c r="K526" s="64">
        <f t="shared" si="214"/>
        <v>1.2949152542372881</v>
      </c>
      <c r="L526" s="64">
        <f t="shared" si="215"/>
        <v>0.69336597143553846</v>
      </c>
      <c r="M526" s="64">
        <f t="shared" si="217"/>
        <v>0</v>
      </c>
      <c r="Q526" s="64">
        <f t="shared" si="218"/>
        <v>0</v>
      </c>
      <c r="U526" s="64">
        <f t="shared" si="219"/>
        <v>0</v>
      </c>
      <c r="Y526" s="114">
        <f t="shared" si="220"/>
        <v>0</v>
      </c>
      <c r="AC526" s="64">
        <f t="shared" si="221"/>
        <v>0</v>
      </c>
      <c r="AE526" s="71"/>
      <c r="AF526" s="71"/>
      <c r="AG526" s="71">
        <f t="shared" si="222"/>
        <v>0</v>
      </c>
      <c r="AK526" s="64">
        <f t="shared" si="223"/>
        <v>0</v>
      </c>
      <c r="AM526" s="71"/>
      <c r="AN526" s="71"/>
      <c r="AO526" s="71">
        <f t="shared" si="224"/>
        <v>0</v>
      </c>
      <c r="AQ526" s="71"/>
      <c r="AR526" s="71"/>
      <c r="AS526" s="71">
        <f t="shared" si="225"/>
        <v>0</v>
      </c>
      <c r="AU526" s="71"/>
      <c r="AV526" s="71"/>
      <c r="AW526" s="71">
        <f t="shared" si="226"/>
        <v>0</v>
      </c>
      <c r="AY526" s="71"/>
      <c r="AZ526" s="71"/>
      <c r="BA526" s="71">
        <f t="shared" si="227"/>
        <v>0</v>
      </c>
      <c r="BI526" s="71"/>
      <c r="BJ526" s="71"/>
      <c r="BK526" s="71">
        <f t="shared" si="228"/>
        <v>0</v>
      </c>
      <c r="BM526" s="71"/>
      <c r="BN526" s="71"/>
      <c r="BO526" s="71">
        <f t="shared" si="229"/>
        <v>0</v>
      </c>
      <c r="BQ526" s="71"/>
      <c r="BR526" s="71"/>
      <c r="BS526" s="138">
        <f t="shared" si="230"/>
        <v>0</v>
      </c>
      <c r="BU526" s="71"/>
      <c r="BV526" s="71"/>
      <c r="BW526" s="71">
        <f t="shared" si="231"/>
        <v>0</v>
      </c>
      <c r="BZ526" s="71"/>
      <c r="CA526" s="71"/>
      <c r="CB526" s="71">
        <f t="shared" si="232"/>
        <v>0</v>
      </c>
      <c r="CD526" s="71"/>
      <c r="CE526" s="71"/>
      <c r="CF526" s="71">
        <f t="shared" si="233"/>
        <v>0</v>
      </c>
      <c r="CH526" s="71"/>
      <c r="CI526" s="71"/>
      <c r="CJ526" s="138">
        <f t="shared" si="234"/>
        <v>0</v>
      </c>
      <c r="CL526" s="71"/>
      <c r="CM526" s="71"/>
      <c r="CN526" s="71">
        <f t="shared" si="235"/>
        <v>0</v>
      </c>
      <c r="CS526" s="102">
        <f t="shared" si="236"/>
        <v>4.5293954747099576</v>
      </c>
      <c r="CT526" s="102">
        <f t="shared" si="237"/>
        <v>18.675175962423801</v>
      </c>
      <c r="CZ526" s="109" t="str">
        <f t="shared" si="238"/>
        <v>Basso</v>
      </c>
    </row>
    <row r="527" spans="9:104" x14ac:dyDescent="0.15">
      <c r="I527" s="64">
        <f t="shared" si="216"/>
        <v>76.99972307006928</v>
      </c>
      <c r="K527" s="64">
        <f t="shared" si="214"/>
        <v>1.2949152542372881</v>
      </c>
      <c r="L527" s="64">
        <f t="shared" si="215"/>
        <v>0.69336597143553846</v>
      </c>
      <c r="M527" s="64">
        <f t="shared" si="217"/>
        <v>0</v>
      </c>
      <c r="Q527" s="64">
        <f t="shared" si="218"/>
        <v>0</v>
      </c>
      <c r="U527" s="64">
        <f t="shared" si="219"/>
        <v>0</v>
      </c>
      <c r="Y527" s="114">
        <f t="shared" si="220"/>
        <v>0</v>
      </c>
      <c r="AC527" s="64">
        <f t="shared" si="221"/>
        <v>0</v>
      </c>
      <c r="AE527" s="71"/>
      <c r="AF527" s="71"/>
      <c r="AG527" s="71">
        <f t="shared" si="222"/>
        <v>0</v>
      </c>
      <c r="AK527" s="64">
        <f t="shared" si="223"/>
        <v>0</v>
      </c>
      <c r="AM527" s="71"/>
      <c r="AN527" s="71"/>
      <c r="AO527" s="71">
        <f t="shared" si="224"/>
        <v>0</v>
      </c>
      <c r="AQ527" s="71"/>
      <c r="AR527" s="71"/>
      <c r="AS527" s="71">
        <f t="shared" si="225"/>
        <v>0</v>
      </c>
      <c r="AU527" s="71"/>
      <c r="AV527" s="71"/>
      <c r="AW527" s="71">
        <f t="shared" si="226"/>
        <v>0</v>
      </c>
      <c r="AY527" s="71"/>
      <c r="AZ527" s="71"/>
      <c r="BA527" s="71">
        <f t="shared" si="227"/>
        <v>0</v>
      </c>
      <c r="BI527" s="71"/>
      <c r="BJ527" s="71"/>
      <c r="BK527" s="71">
        <f t="shared" si="228"/>
        <v>0</v>
      </c>
      <c r="BM527" s="71"/>
      <c r="BN527" s="71"/>
      <c r="BO527" s="71">
        <f t="shared" si="229"/>
        <v>0</v>
      </c>
      <c r="BQ527" s="71"/>
      <c r="BR527" s="71"/>
      <c r="BS527" s="138">
        <f t="shared" si="230"/>
        <v>0</v>
      </c>
      <c r="BU527" s="71"/>
      <c r="BV527" s="71"/>
      <c r="BW527" s="71">
        <f t="shared" si="231"/>
        <v>0</v>
      </c>
      <c r="BZ527" s="71"/>
      <c r="CA527" s="71"/>
      <c r="CB527" s="71">
        <f t="shared" si="232"/>
        <v>0</v>
      </c>
      <c r="CD527" s="71"/>
      <c r="CE527" s="71"/>
      <c r="CF527" s="71">
        <f t="shared" si="233"/>
        <v>0</v>
      </c>
      <c r="CH527" s="71"/>
      <c r="CI527" s="71"/>
      <c r="CJ527" s="138">
        <f t="shared" si="234"/>
        <v>0</v>
      </c>
      <c r="CL527" s="71"/>
      <c r="CM527" s="71"/>
      <c r="CN527" s="71">
        <f t="shared" si="235"/>
        <v>0</v>
      </c>
      <c r="CS527" s="102">
        <f t="shared" si="236"/>
        <v>4.5293954747099576</v>
      </c>
      <c r="CT527" s="102">
        <f t="shared" si="237"/>
        <v>18.675175962423801</v>
      </c>
      <c r="CZ527" s="109" t="str">
        <f t="shared" si="238"/>
        <v>Basso</v>
      </c>
    </row>
    <row r="528" spans="9:104" x14ac:dyDescent="0.15">
      <c r="I528" s="64">
        <f t="shared" si="216"/>
        <v>76.99972307006928</v>
      </c>
      <c r="K528" s="64">
        <f t="shared" si="214"/>
        <v>1.2949152542372881</v>
      </c>
      <c r="L528" s="64">
        <f t="shared" si="215"/>
        <v>0.69336597143553846</v>
      </c>
      <c r="M528" s="64">
        <f t="shared" si="217"/>
        <v>0</v>
      </c>
      <c r="Q528" s="64">
        <f t="shared" si="218"/>
        <v>0</v>
      </c>
      <c r="U528" s="64">
        <f t="shared" si="219"/>
        <v>0</v>
      </c>
      <c r="Y528" s="114">
        <f t="shared" si="220"/>
        <v>0</v>
      </c>
      <c r="AC528" s="64">
        <f t="shared" si="221"/>
        <v>0</v>
      </c>
      <c r="AE528" s="71"/>
      <c r="AF528" s="71"/>
      <c r="AG528" s="71">
        <f t="shared" si="222"/>
        <v>0</v>
      </c>
      <c r="AK528" s="64">
        <f t="shared" si="223"/>
        <v>0</v>
      </c>
      <c r="AM528" s="71"/>
      <c r="AN528" s="71"/>
      <c r="AO528" s="71">
        <f t="shared" si="224"/>
        <v>0</v>
      </c>
      <c r="AQ528" s="71"/>
      <c r="AR528" s="71"/>
      <c r="AS528" s="71">
        <f t="shared" si="225"/>
        <v>0</v>
      </c>
      <c r="AU528" s="71"/>
      <c r="AV528" s="71"/>
      <c r="AW528" s="71">
        <f t="shared" si="226"/>
        <v>0</v>
      </c>
      <c r="AY528" s="71"/>
      <c r="AZ528" s="71"/>
      <c r="BA528" s="71">
        <f t="shared" si="227"/>
        <v>0</v>
      </c>
      <c r="BI528" s="71"/>
      <c r="BJ528" s="71"/>
      <c r="BK528" s="71">
        <f t="shared" si="228"/>
        <v>0</v>
      </c>
      <c r="BM528" s="71"/>
      <c r="BN528" s="71"/>
      <c r="BO528" s="71">
        <f t="shared" si="229"/>
        <v>0</v>
      </c>
      <c r="BQ528" s="71"/>
      <c r="BR528" s="71"/>
      <c r="BS528" s="138">
        <f t="shared" si="230"/>
        <v>0</v>
      </c>
      <c r="BU528" s="71"/>
      <c r="BV528" s="71"/>
      <c r="BW528" s="71">
        <f t="shared" si="231"/>
        <v>0</v>
      </c>
      <c r="BZ528" s="71"/>
      <c r="CA528" s="71"/>
      <c r="CB528" s="71">
        <f t="shared" si="232"/>
        <v>0</v>
      </c>
      <c r="CD528" s="71"/>
      <c r="CE528" s="71"/>
      <c r="CF528" s="71">
        <f t="shared" si="233"/>
        <v>0</v>
      </c>
      <c r="CH528" s="71"/>
      <c r="CI528" s="71"/>
      <c r="CJ528" s="138">
        <f t="shared" si="234"/>
        <v>0</v>
      </c>
      <c r="CL528" s="71"/>
      <c r="CM528" s="71"/>
      <c r="CN528" s="71">
        <f t="shared" si="235"/>
        <v>0</v>
      </c>
      <c r="CS528" s="102">
        <f t="shared" si="236"/>
        <v>4.5293954747099576</v>
      </c>
      <c r="CT528" s="102">
        <f t="shared" si="237"/>
        <v>18.675175962423801</v>
      </c>
      <c r="CZ528" s="109" t="str">
        <f t="shared" si="238"/>
        <v>Basso</v>
      </c>
    </row>
    <row r="529" spans="9:104" x14ac:dyDescent="0.15">
      <c r="I529" s="64">
        <f t="shared" si="216"/>
        <v>76.99972307006928</v>
      </c>
      <c r="K529" s="64">
        <f t="shared" si="214"/>
        <v>1.2949152542372881</v>
      </c>
      <c r="L529" s="64">
        <f t="shared" si="215"/>
        <v>0.69336597143553846</v>
      </c>
      <c r="M529" s="64">
        <f t="shared" si="217"/>
        <v>0</v>
      </c>
      <c r="Q529" s="64">
        <f t="shared" si="218"/>
        <v>0</v>
      </c>
      <c r="U529" s="64">
        <f t="shared" si="219"/>
        <v>0</v>
      </c>
      <c r="Y529" s="114">
        <f t="shared" si="220"/>
        <v>0</v>
      </c>
      <c r="AC529" s="64">
        <f t="shared" si="221"/>
        <v>0</v>
      </c>
      <c r="AE529" s="71"/>
      <c r="AF529" s="71"/>
      <c r="AG529" s="71">
        <f t="shared" si="222"/>
        <v>0</v>
      </c>
      <c r="AK529" s="64">
        <f t="shared" si="223"/>
        <v>0</v>
      </c>
      <c r="AM529" s="71"/>
      <c r="AN529" s="71"/>
      <c r="AO529" s="71">
        <f t="shared" si="224"/>
        <v>0</v>
      </c>
      <c r="AQ529" s="71"/>
      <c r="AR529" s="71"/>
      <c r="AS529" s="71">
        <f t="shared" si="225"/>
        <v>0</v>
      </c>
      <c r="AU529" s="71"/>
      <c r="AV529" s="71"/>
      <c r="AW529" s="71">
        <f t="shared" si="226"/>
        <v>0</v>
      </c>
      <c r="AY529" s="71"/>
      <c r="AZ529" s="71"/>
      <c r="BA529" s="71">
        <f t="shared" si="227"/>
        <v>0</v>
      </c>
      <c r="BI529" s="71"/>
      <c r="BJ529" s="71"/>
      <c r="BK529" s="71">
        <f t="shared" si="228"/>
        <v>0</v>
      </c>
      <c r="BM529" s="71"/>
      <c r="BN529" s="71"/>
      <c r="BO529" s="71">
        <f t="shared" si="229"/>
        <v>0</v>
      </c>
      <c r="BQ529" s="71"/>
      <c r="BR529" s="71"/>
      <c r="BS529" s="138">
        <f t="shared" si="230"/>
        <v>0</v>
      </c>
      <c r="BU529" s="71"/>
      <c r="BV529" s="71"/>
      <c r="BW529" s="71">
        <f t="shared" si="231"/>
        <v>0</v>
      </c>
      <c r="BZ529" s="71"/>
      <c r="CA529" s="71"/>
      <c r="CB529" s="71">
        <f t="shared" si="232"/>
        <v>0</v>
      </c>
      <c r="CD529" s="71"/>
      <c r="CE529" s="71"/>
      <c r="CF529" s="71">
        <f t="shared" si="233"/>
        <v>0</v>
      </c>
      <c r="CH529" s="71"/>
      <c r="CI529" s="71"/>
      <c r="CJ529" s="138">
        <f t="shared" si="234"/>
        <v>0</v>
      </c>
      <c r="CL529" s="71"/>
      <c r="CM529" s="71"/>
      <c r="CN529" s="71">
        <f t="shared" si="235"/>
        <v>0</v>
      </c>
      <c r="CS529" s="102">
        <f t="shared" si="236"/>
        <v>4.5293954747099576</v>
      </c>
      <c r="CT529" s="102">
        <f t="shared" si="237"/>
        <v>18.675175962423801</v>
      </c>
      <c r="CZ529" s="109" t="str">
        <f t="shared" si="238"/>
        <v>Basso</v>
      </c>
    </row>
    <row r="530" spans="9:104" x14ac:dyDescent="0.15">
      <c r="I530" s="64">
        <f t="shared" si="216"/>
        <v>76.99972307006928</v>
      </c>
      <c r="K530" s="64">
        <f t="shared" si="214"/>
        <v>1.2949152542372881</v>
      </c>
      <c r="L530" s="64">
        <f t="shared" si="215"/>
        <v>0.69336597143553846</v>
      </c>
      <c r="M530" s="64">
        <f t="shared" si="217"/>
        <v>0</v>
      </c>
      <c r="Q530" s="64">
        <f t="shared" si="218"/>
        <v>0</v>
      </c>
      <c r="U530" s="64">
        <f t="shared" si="219"/>
        <v>0</v>
      </c>
      <c r="Y530" s="114">
        <f t="shared" si="220"/>
        <v>0</v>
      </c>
      <c r="AC530" s="64">
        <f t="shared" si="221"/>
        <v>0</v>
      </c>
      <c r="AE530" s="71"/>
      <c r="AF530" s="71"/>
      <c r="AG530" s="71">
        <f t="shared" si="222"/>
        <v>0</v>
      </c>
      <c r="AK530" s="64">
        <f t="shared" si="223"/>
        <v>0</v>
      </c>
      <c r="AM530" s="71"/>
      <c r="AN530" s="71"/>
      <c r="AO530" s="71">
        <f t="shared" si="224"/>
        <v>0</v>
      </c>
      <c r="AQ530" s="71"/>
      <c r="AR530" s="71"/>
      <c r="AS530" s="71">
        <f t="shared" si="225"/>
        <v>0</v>
      </c>
      <c r="AU530" s="71"/>
      <c r="AV530" s="71"/>
      <c r="AW530" s="71">
        <f t="shared" si="226"/>
        <v>0</v>
      </c>
      <c r="AY530" s="71"/>
      <c r="AZ530" s="71"/>
      <c r="BA530" s="71">
        <f t="shared" si="227"/>
        <v>0</v>
      </c>
      <c r="BI530" s="71"/>
      <c r="BJ530" s="71"/>
      <c r="BK530" s="71">
        <f t="shared" si="228"/>
        <v>0</v>
      </c>
      <c r="BM530" s="71"/>
      <c r="BN530" s="71"/>
      <c r="BO530" s="71">
        <f t="shared" si="229"/>
        <v>0</v>
      </c>
      <c r="BQ530" s="71"/>
      <c r="BR530" s="71"/>
      <c r="BS530" s="138">
        <f t="shared" si="230"/>
        <v>0</v>
      </c>
      <c r="BU530" s="71"/>
      <c r="BV530" s="71"/>
      <c r="BW530" s="71">
        <f t="shared" si="231"/>
        <v>0</v>
      </c>
      <c r="BZ530" s="71"/>
      <c r="CA530" s="71"/>
      <c r="CB530" s="71">
        <f t="shared" si="232"/>
        <v>0</v>
      </c>
      <c r="CD530" s="71"/>
      <c r="CE530" s="71"/>
      <c r="CF530" s="71">
        <f t="shared" si="233"/>
        <v>0</v>
      </c>
      <c r="CH530" s="71"/>
      <c r="CI530" s="71"/>
      <c r="CJ530" s="138">
        <f t="shared" si="234"/>
        <v>0</v>
      </c>
      <c r="CL530" s="71"/>
      <c r="CM530" s="71"/>
      <c r="CN530" s="71">
        <f t="shared" si="235"/>
        <v>0</v>
      </c>
      <c r="CS530" s="102">
        <f t="shared" si="236"/>
        <v>4.5293954747099576</v>
      </c>
      <c r="CT530" s="102">
        <f t="shared" si="237"/>
        <v>18.675175962423801</v>
      </c>
      <c r="CZ530" s="109" t="str">
        <f t="shared" si="238"/>
        <v>Basso</v>
      </c>
    </row>
    <row r="531" spans="9:104" x14ac:dyDescent="0.15">
      <c r="I531" s="64">
        <f t="shared" si="216"/>
        <v>76.99972307006928</v>
      </c>
      <c r="K531" s="64">
        <f t="shared" si="214"/>
        <v>1.2949152542372881</v>
      </c>
      <c r="L531" s="64">
        <f t="shared" si="215"/>
        <v>0.69336597143553846</v>
      </c>
      <c r="M531" s="64">
        <f t="shared" si="217"/>
        <v>0</v>
      </c>
      <c r="Q531" s="64">
        <f t="shared" si="218"/>
        <v>0</v>
      </c>
      <c r="U531" s="64">
        <f t="shared" si="219"/>
        <v>0</v>
      </c>
      <c r="Y531" s="114">
        <f t="shared" si="220"/>
        <v>0</v>
      </c>
      <c r="AC531" s="64">
        <f t="shared" si="221"/>
        <v>0</v>
      </c>
      <c r="AE531" s="71"/>
      <c r="AF531" s="71"/>
      <c r="AG531" s="71">
        <f t="shared" si="222"/>
        <v>0</v>
      </c>
      <c r="AK531" s="64">
        <f t="shared" si="223"/>
        <v>0</v>
      </c>
      <c r="AM531" s="71"/>
      <c r="AN531" s="71"/>
      <c r="AO531" s="71">
        <f t="shared" si="224"/>
        <v>0</v>
      </c>
      <c r="AQ531" s="71"/>
      <c r="AR531" s="71"/>
      <c r="AS531" s="71">
        <f t="shared" si="225"/>
        <v>0</v>
      </c>
      <c r="AU531" s="71"/>
      <c r="AV531" s="71"/>
      <c r="AW531" s="71">
        <f t="shared" si="226"/>
        <v>0</v>
      </c>
      <c r="AY531" s="71"/>
      <c r="AZ531" s="71"/>
      <c r="BA531" s="71">
        <f t="shared" si="227"/>
        <v>0</v>
      </c>
      <c r="BI531" s="71"/>
      <c r="BJ531" s="71"/>
      <c r="BK531" s="71">
        <f t="shared" si="228"/>
        <v>0</v>
      </c>
      <c r="BM531" s="71"/>
      <c r="BN531" s="71"/>
      <c r="BO531" s="71">
        <f t="shared" si="229"/>
        <v>0</v>
      </c>
      <c r="BQ531" s="71"/>
      <c r="BR531" s="71"/>
      <c r="BS531" s="138">
        <f t="shared" si="230"/>
        <v>0</v>
      </c>
      <c r="BU531" s="71"/>
      <c r="BV531" s="71"/>
      <c r="BW531" s="71">
        <f t="shared" si="231"/>
        <v>0</v>
      </c>
      <c r="BZ531" s="71"/>
      <c r="CA531" s="71"/>
      <c r="CB531" s="71">
        <f t="shared" si="232"/>
        <v>0</v>
      </c>
      <c r="CD531" s="71"/>
      <c r="CE531" s="71"/>
      <c r="CF531" s="71">
        <f t="shared" si="233"/>
        <v>0</v>
      </c>
      <c r="CH531" s="71"/>
      <c r="CI531" s="71"/>
      <c r="CJ531" s="138">
        <f t="shared" si="234"/>
        <v>0</v>
      </c>
      <c r="CL531" s="71"/>
      <c r="CM531" s="71"/>
      <c r="CN531" s="71">
        <f t="shared" si="235"/>
        <v>0</v>
      </c>
      <c r="CS531" s="102">
        <f t="shared" si="236"/>
        <v>4.5293954747099576</v>
      </c>
      <c r="CT531" s="102">
        <f t="shared" si="237"/>
        <v>18.675175962423801</v>
      </c>
      <c r="CZ531" s="109" t="str">
        <f t="shared" si="238"/>
        <v>Basso</v>
      </c>
    </row>
    <row r="532" spans="9:104" x14ac:dyDescent="0.15">
      <c r="I532" s="64">
        <f t="shared" si="216"/>
        <v>76.99972307006928</v>
      </c>
      <c r="K532" s="64">
        <f t="shared" si="214"/>
        <v>1.2949152542372881</v>
      </c>
      <c r="L532" s="64">
        <f t="shared" si="215"/>
        <v>0.69336597143553846</v>
      </c>
      <c r="M532" s="64">
        <f t="shared" si="217"/>
        <v>0</v>
      </c>
      <c r="Q532" s="64">
        <f t="shared" si="218"/>
        <v>0</v>
      </c>
      <c r="U532" s="64">
        <f t="shared" si="219"/>
        <v>0</v>
      </c>
      <c r="Y532" s="114">
        <f t="shared" si="220"/>
        <v>0</v>
      </c>
      <c r="AC532" s="64">
        <f t="shared" si="221"/>
        <v>0</v>
      </c>
      <c r="AE532" s="71"/>
      <c r="AF532" s="71"/>
      <c r="AG532" s="71">
        <f t="shared" si="222"/>
        <v>0</v>
      </c>
      <c r="AK532" s="64">
        <f t="shared" si="223"/>
        <v>0</v>
      </c>
      <c r="AM532" s="71"/>
      <c r="AN532" s="71"/>
      <c r="AO532" s="71">
        <f t="shared" si="224"/>
        <v>0</v>
      </c>
      <c r="AQ532" s="71"/>
      <c r="AR532" s="71"/>
      <c r="AS532" s="71">
        <f t="shared" si="225"/>
        <v>0</v>
      </c>
      <c r="AU532" s="71"/>
      <c r="AV532" s="71"/>
      <c r="AW532" s="71">
        <f t="shared" si="226"/>
        <v>0</v>
      </c>
      <c r="AY532" s="71"/>
      <c r="AZ532" s="71"/>
      <c r="BA532" s="71">
        <f t="shared" si="227"/>
        <v>0</v>
      </c>
      <c r="BI532" s="71"/>
      <c r="BJ532" s="71"/>
      <c r="BK532" s="71">
        <f t="shared" si="228"/>
        <v>0</v>
      </c>
      <c r="BM532" s="71"/>
      <c r="BN532" s="71"/>
      <c r="BO532" s="71">
        <f t="shared" si="229"/>
        <v>0</v>
      </c>
      <c r="BQ532" s="71"/>
      <c r="BR532" s="71"/>
      <c r="BS532" s="138">
        <f t="shared" si="230"/>
        <v>0</v>
      </c>
      <c r="BU532" s="71"/>
      <c r="BV532" s="71"/>
      <c r="BW532" s="71">
        <f t="shared" si="231"/>
        <v>0</v>
      </c>
      <c r="BZ532" s="71"/>
      <c r="CA532" s="71"/>
      <c r="CB532" s="71">
        <f t="shared" si="232"/>
        <v>0</v>
      </c>
      <c r="CD532" s="71"/>
      <c r="CE532" s="71"/>
      <c r="CF532" s="71">
        <f t="shared" si="233"/>
        <v>0</v>
      </c>
      <c r="CH532" s="71"/>
      <c r="CI532" s="71"/>
      <c r="CJ532" s="138">
        <f t="shared" si="234"/>
        <v>0</v>
      </c>
      <c r="CL532" s="71"/>
      <c r="CM532" s="71"/>
      <c r="CN532" s="71">
        <f t="shared" si="235"/>
        <v>0</v>
      </c>
      <c r="CS532" s="102">
        <f t="shared" si="236"/>
        <v>4.5293954747099576</v>
      </c>
      <c r="CT532" s="102">
        <f t="shared" si="237"/>
        <v>18.675175962423801</v>
      </c>
      <c r="CZ532" s="109" t="str">
        <f t="shared" si="238"/>
        <v>Basso</v>
      </c>
    </row>
    <row r="533" spans="9:104" x14ac:dyDescent="0.15">
      <c r="I533" s="64">
        <f t="shared" si="216"/>
        <v>76.99972307006928</v>
      </c>
      <c r="K533" s="64">
        <f t="shared" si="214"/>
        <v>1.2949152542372881</v>
      </c>
      <c r="L533" s="64">
        <f t="shared" si="215"/>
        <v>0.69336597143553846</v>
      </c>
      <c r="M533" s="64">
        <f t="shared" si="217"/>
        <v>0</v>
      </c>
      <c r="Q533" s="64">
        <f t="shared" si="218"/>
        <v>0</v>
      </c>
      <c r="U533" s="64">
        <f t="shared" si="219"/>
        <v>0</v>
      </c>
      <c r="Y533" s="114">
        <f t="shared" si="220"/>
        <v>0</v>
      </c>
      <c r="AC533" s="64">
        <f t="shared" si="221"/>
        <v>0</v>
      </c>
      <c r="AE533" s="71"/>
      <c r="AF533" s="71"/>
      <c r="AG533" s="71">
        <f t="shared" si="222"/>
        <v>0</v>
      </c>
      <c r="AK533" s="64">
        <f t="shared" si="223"/>
        <v>0</v>
      </c>
      <c r="AM533" s="71"/>
      <c r="AN533" s="71"/>
      <c r="AO533" s="71">
        <f t="shared" si="224"/>
        <v>0</v>
      </c>
      <c r="AQ533" s="71"/>
      <c r="AR533" s="71"/>
      <c r="AS533" s="71">
        <f t="shared" si="225"/>
        <v>0</v>
      </c>
      <c r="AU533" s="71"/>
      <c r="AV533" s="71"/>
      <c r="AW533" s="71">
        <f t="shared" si="226"/>
        <v>0</v>
      </c>
      <c r="AY533" s="71"/>
      <c r="AZ533" s="71"/>
      <c r="BA533" s="71">
        <f t="shared" si="227"/>
        <v>0</v>
      </c>
      <c r="BI533" s="71"/>
      <c r="BJ533" s="71"/>
      <c r="BK533" s="71">
        <f t="shared" si="228"/>
        <v>0</v>
      </c>
      <c r="BM533" s="71"/>
      <c r="BN533" s="71"/>
      <c r="BO533" s="71">
        <f t="shared" si="229"/>
        <v>0</v>
      </c>
      <c r="BQ533" s="71"/>
      <c r="BR533" s="71"/>
      <c r="BS533" s="138">
        <f t="shared" si="230"/>
        <v>0</v>
      </c>
      <c r="BU533" s="71"/>
      <c r="BV533" s="71"/>
      <c r="BW533" s="71">
        <f t="shared" si="231"/>
        <v>0</v>
      </c>
      <c r="BZ533" s="71"/>
      <c r="CA533" s="71"/>
      <c r="CB533" s="71">
        <f t="shared" si="232"/>
        <v>0</v>
      </c>
      <c r="CD533" s="71"/>
      <c r="CE533" s="71"/>
      <c r="CF533" s="71">
        <f t="shared" si="233"/>
        <v>0</v>
      </c>
      <c r="CH533" s="71"/>
      <c r="CI533" s="71"/>
      <c r="CJ533" s="138">
        <f t="shared" si="234"/>
        <v>0</v>
      </c>
      <c r="CL533" s="71"/>
      <c r="CM533" s="71"/>
      <c r="CN533" s="71">
        <f t="shared" si="235"/>
        <v>0</v>
      </c>
      <c r="CS533" s="102">
        <f t="shared" si="236"/>
        <v>4.5293954747099576</v>
      </c>
      <c r="CT533" s="102">
        <f t="shared" si="237"/>
        <v>18.675175962423801</v>
      </c>
      <c r="CZ533" s="109" t="str">
        <f t="shared" si="238"/>
        <v>Basso</v>
      </c>
    </row>
    <row r="534" spans="9:104" x14ac:dyDescent="0.15">
      <c r="I534" s="64">
        <f t="shared" si="216"/>
        <v>76.99972307006928</v>
      </c>
      <c r="K534" s="64">
        <f t="shared" si="214"/>
        <v>1.2949152542372881</v>
      </c>
      <c r="L534" s="64">
        <f t="shared" si="215"/>
        <v>0.69336597143553846</v>
      </c>
      <c r="M534" s="64">
        <f t="shared" si="217"/>
        <v>0</v>
      </c>
      <c r="Q534" s="64">
        <f t="shared" si="218"/>
        <v>0</v>
      </c>
      <c r="U534" s="64">
        <f t="shared" si="219"/>
        <v>0</v>
      </c>
      <c r="Y534" s="114">
        <f t="shared" si="220"/>
        <v>0</v>
      </c>
      <c r="AC534" s="64">
        <f t="shared" si="221"/>
        <v>0</v>
      </c>
      <c r="AE534" s="71"/>
      <c r="AF534" s="71"/>
      <c r="AG534" s="71">
        <f t="shared" si="222"/>
        <v>0</v>
      </c>
      <c r="AK534" s="64">
        <f t="shared" si="223"/>
        <v>0</v>
      </c>
      <c r="AM534" s="71"/>
      <c r="AN534" s="71"/>
      <c r="AO534" s="71">
        <f t="shared" si="224"/>
        <v>0</v>
      </c>
      <c r="AQ534" s="71"/>
      <c r="AR534" s="71"/>
      <c r="AS534" s="71">
        <f t="shared" si="225"/>
        <v>0</v>
      </c>
      <c r="AU534" s="71"/>
      <c r="AV534" s="71"/>
      <c r="AW534" s="71">
        <f t="shared" si="226"/>
        <v>0</v>
      </c>
      <c r="AY534" s="71"/>
      <c r="AZ534" s="71"/>
      <c r="BA534" s="71">
        <f t="shared" si="227"/>
        <v>0</v>
      </c>
      <c r="BI534" s="71"/>
      <c r="BJ534" s="71"/>
      <c r="BK534" s="71">
        <f t="shared" si="228"/>
        <v>0</v>
      </c>
      <c r="BM534" s="71"/>
      <c r="BN534" s="71"/>
      <c r="BO534" s="71">
        <f t="shared" si="229"/>
        <v>0</v>
      </c>
      <c r="BQ534" s="71"/>
      <c r="BR534" s="71"/>
      <c r="BS534" s="138">
        <f t="shared" si="230"/>
        <v>0</v>
      </c>
      <c r="BU534" s="71"/>
      <c r="BV534" s="71"/>
      <c r="BW534" s="71">
        <f t="shared" si="231"/>
        <v>0</v>
      </c>
      <c r="BZ534" s="71"/>
      <c r="CA534" s="71"/>
      <c r="CB534" s="71">
        <f t="shared" si="232"/>
        <v>0</v>
      </c>
      <c r="CD534" s="71"/>
      <c r="CE534" s="71"/>
      <c r="CF534" s="71">
        <f t="shared" si="233"/>
        <v>0</v>
      </c>
      <c r="CH534" s="71"/>
      <c r="CI534" s="71"/>
      <c r="CJ534" s="138">
        <f t="shared" si="234"/>
        <v>0</v>
      </c>
      <c r="CL534" s="71"/>
      <c r="CM534" s="71"/>
      <c r="CN534" s="71">
        <f t="shared" si="235"/>
        <v>0</v>
      </c>
      <c r="CS534" s="102">
        <f t="shared" si="236"/>
        <v>4.5293954747099576</v>
      </c>
      <c r="CT534" s="102">
        <f t="shared" si="237"/>
        <v>18.675175962423801</v>
      </c>
      <c r="CZ534" s="109" t="str">
        <f t="shared" si="238"/>
        <v>Basso</v>
      </c>
    </row>
    <row r="535" spans="9:104" x14ac:dyDescent="0.15">
      <c r="I535" s="64">
        <f t="shared" si="216"/>
        <v>76.99972307006928</v>
      </c>
      <c r="K535" s="64">
        <f t="shared" si="214"/>
        <v>1.2949152542372881</v>
      </c>
      <c r="L535" s="64">
        <f t="shared" si="215"/>
        <v>0.69336597143553846</v>
      </c>
      <c r="M535" s="64">
        <f t="shared" si="217"/>
        <v>0</v>
      </c>
      <c r="Q535" s="64">
        <f t="shared" si="218"/>
        <v>0</v>
      </c>
      <c r="U535" s="64">
        <f t="shared" si="219"/>
        <v>0</v>
      </c>
      <c r="Y535" s="114">
        <f t="shared" si="220"/>
        <v>0</v>
      </c>
      <c r="AC535" s="64">
        <f t="shared" si="221"/>
        <v>0</v>
      </c>
      <c r="AE535" s="71"/>
      <c r="AF535" s="71"/>
      <c r="AG535" s="71">
        <f t="shared" si="222"/>
        <v>0</v>
      </c>
      <c r="AK535" s="64">
        <f t="shared" si="223"/>
        <v>0</v>
      </c>
      <c r="AM535" s="71"/>
      <c r="AN535" s="71"/>
      <c r="AO535" s="71">
        <f t="shared" si="224"/>
        <v>0</v>
      </c>
      <c r="AQ535" s="71"/>
      <c r="AR535" s="71"/>
      <c r="AS535" s="71">
        <f t="shared" si="225"/>
        <v>0</v>
      </c>
      <c r="AU535" s="71"/>
      <c r="AV535" s="71"/>
      <c r="AW535" s="71">
        <f t="shared" si="226"/>
        <v>0</v>
      </c>
      <c r="AY535" s="71"/>
      <c r="AZ535" s="71"/>
      <c r="BA535" s="71">
        <f t="shared" si="227"/>
        <v>0</v>
      </c>
      <c r="BI535" s="71"/>
      <c r="BJ535" s="71"/>
      <c r="BK535" s="71">
        <f t="shared" si="228"/>
        <v>0</v>
      </c>
      <c r="BM535" s="71"/>
      <c r="BN535" s="71"/>
      <c r="BO535" s="71">
        <f t="shared" si="229"/>
        <v>0</v>
      </c>
      <c r="BQ535" s="71"/>
      <c r="BR535" s="71"/>
      <c r="BS535" s="138">
        <f t="shared" si="230"/>
        <v>0</v>
      </c>
      <c r="BU535" s="71"/>
      <c r="BV535" s="71"/>
      <c r="BW535" s="71">
        <f t="shared" si="231"/>
        <v>0</v>
      </c>
      <c r="BZ535" s="71"/>
      <c r="CA535" s="71"/>
      <c r="CB535" s="71">
        <f t="shared" si="232"/>
        <v>0</v>
      </c>
      <c r="CD535" s="71"/>
      <c r="CE535" s="71"/>
      <c r="CF535" s="71">
        <f t="shared" si="233"/>
        <v>0</v>
      </c>
      <c r="CH535" s="71"/>
      <c r="CI535" s="71"/>
      <c r="CJ535" s="138">
        <f t="shared" si="234"/>
        <v>0</v>
      </c>
      <c r="CL535" s="71"/>
      <c r="CM535" s="71"/>
      <c r="CN535" s="71">
        <f t="shared" si="235"/>
        <v>0</v>
      </c>
      <c r="CS535" s="102">
        <f t="shared" si="236"/>
        <v>4.5293954747099576</v>
      </c>
      <c r="CT535" s="102">
        <f t="shared" si="237"/>
        <v>18.675175962423801</v>
      </c>
      <c r="CZ535" s="109" t="str">
        <f t="shared" si="238"/>
        <v>Basso</v>
      </c>
    </row>
    <row r="536" spans="9:104" x14ac:dyDescent="0.15">
      <c r="I536" s="64">
        <f t="shared" si="216"/>
        <v>76.99972307006928</v>
      </c>
      <c r="K536" s="64">
        <f t="shared" si="214"/>
        <v>1.2949152542372881</v>
      </c>
      <c r="L536" s="64">
        <f t="shared" si="215"/>
        <v>0.69336597143553846</v>
      </c>
      <c r="M536" s="64">
        <f t="shared" si="217"/>
        <v>0</v>
      </c>
      <c r="Q536" s="64">
        <f t="shared" si="218"/>
        <v>0</v>
      </c>
      <c r="U536" s="64">
        <f t="shared" si="219"/>
        <v>0</v>
      </c>
      <c r="Y536" s="114">
        <f t="shared" si="220"/>
        <v>0</v>
      </c>
      <c r="AC536" s="64">
        <f t="shared" si="221"/>
        <v>0</v>
      </c>
      <c r="AE536" s="71"/>
      <c r="AF536" s="71"/>
      <c r="AG536" s="71">
        <f t="shared" si="222"/>
        <v>0</v>
      </c>
      <c r="AK536" s="64">
        <f t="shared" si="223"/>
        <v>0</v>
      </c>
      <c r="AM536" s="71"/>
      <c r="AN536" s="71"/>
      <c r="AO536" s="71">
        <f t="shared" si="224"/>
        <v>0</v>
      </c>
      <c r="AQ536" s="71"/>
      <c r="AR536" s="71"/>
      <c r="AS536" s="71">
        <f t="shared" si="225"/>
        <v>0</v>
      </c>
      <c r="AU536" s="71"/>
      <c r="AV536" s="71"/>
      <c r="AW536" s="71">
        <f t="shared" si="226"/>
        <v>0</v>
      </c>
      <c r="AY536" s="71"/>
      <c r="AZ536" s="71"/>
      <c r="BA536" s="71">
        <f t="shared" si="227"/>
        <v>0</v>
      </c>
      <c r="BI536" s="71"/>
      <c r="BJ536" s="71"/>
      <c r="BK536" s="71">
        <f t="shared" si="228"/>
        <v>0</v>
      </c>
      <c r="BM536" s="71"/>
      <c r="BN536" s="71"/>
      <c r="BO536" s="71">
        <f t="shared" si="229"/>
        <v>0</v>
      </c>
      <c r="BQ536" s="71"/>
      <c r="BR536" s="71"/>
      <c r="BS536" s="138">
        <f t="shared" si="230"/>
        <v>0</v>
      </c>
      <c r="BU536" s="71"/>
      <c r="BV536" s="71"/>
      <c r="BW536" s="71">
        <f t="shared" si="231"/>
        <v>0</v>
      </c>
      <c r="BZ536" s="71"/>
      <c r="CA536" s="71"/>
      <c r="CB536" s="71">
        <f t="shared" si="232"/>
        <v>0</v>
      </c>
      <c r="CD536" s="71"/>
      <c r="CE536" s="71"/>
      <c r="CF536" s="71">
        <f t="shared" si="233"/>
        <v>0</v>
      </c>
      <c r="CH536" s="71"/>
      <c r="CI536" s="71"/>
      <c r="CJ536" s="138">
        <f t="shared" si="234"/>
        <v>0</v>
      </c>
      <c r="CL536" s="71"/>
      <c r="CM536" s="71"/>
      <c r="CN536" s="71">
        <f t="shared" si="235"/>
        <v>0</v>
      </c>
      <c r="CS536" s="102">
        <f t="shared" si="236"/>
        <v>4.5293954747099576</v>
      </c>
      <c r="CT536" s="102">
        <f t="shared" si="237"/>
        <v>18.675175962423801</v>
      </c>
      <c r="CZ536" s="109" t="str">
        <f t="shared" si="238"/>
        <v>Basso</v>
      </c>
    </row>
    <row r="537" spans="9:104" x14ac:dyDescent="0.15">
      <c r="I537" s="64">
        <f t="shared" si="216"/>
        <v>76.99972307006928</v>
      </c>
      <c r="K537" s="64">
        <f t="shared" si="214"/>
        <v>1.2949152542372881</v>
      </c>
      <c r="L537" s="64">
        <f t="shared" si="215"/>
        <v>0.69336597143553846</v>
      </c>
      <c r="M537" s="64">
        <f t="shared" si="217"/>
        <v>0</v>
      </c>
      <c r="Q537" s="64">
        <f t="shared" si="218"/>
        <v>0</v>
      </c>
      <c r="U537" s="64">
        <f t="shared" si="219"/>
        <v>0</v>
      </c>
      <c r="Y537" s="114">
        <f t="shared" si="220"/>
        <v>0</v>
      </c>
      <c r="AC537" s="64">
        <f t="shared" si="221"/>
        <v>0</v>
      </c>
      <c r="AE537" s="71"/>
      <c r="AF537" s="71"/>
      <c r="AG537" s="71">
        <f t="shared" si="222"/>
        <v>0</v>
      </c>
      <c r="AK537" s="64">
        <f t="shared" si="223"/>
        <v>0</v>
      </c>
      <c r="AM537" s="71"/>
      <c r="AN537" s="71"/>
      <c r="AO537" s="71">
        <f t="shared" si="224"/>
        <v>0</v>
      </c>
      <c r="AQ537" s="71"/>
      <c r="AR537" s="71"/>
      <c r="AS537" s="71">
        <f t="shared" si="225"/>
        <v>0</v>
      </c>
      <c r="AU537" s="71"/>
      <c r="AV537" s="71"/>
      <c r="AW537" s="71">
        <f t="shared" si="226"/>
        <v>0</v>
      </c>
      <c r="AY537" s="71"/>
      <c r="AZ537" s="71"/>
      <c r="BA537" s="71">
        <f t="shared" si="227"/>
        <v>0</v>
      </c>
      <c r="BI537" s="71"/>
      <c r="BJ537" s="71"/>
      <c r="BK537" s="71">
        <f t="shared" si="228"/>
        <v>0</v>
      </c>
      <c r="BM537" s="71"/>
      <c r="BN537" s="71"/>
      <c r="BO537" s="71">
        <f t="shared" si="229"/>
        <v>0</v>
      </c>
      <c r="BQ537" s="71"/>
      <c r="BR537" s="71"/>
      <c r="BS537" s="138">
        <f t="shared" si="230"/>
        <v>0</v>
      </c>
      <c r="BU537" s="71"/>
      <c r="BV537" s="71"/>
      <c r="BW537" s="71">
        <f t="shared" si="231"/>
        <v>0</v>
      </c>
      <c r="BZ537" s="71"/>
      <c r="CA537" s="71"/>
      <c r="CB537" s="71">
        <f t="shared" si="232"/>
        <v>0</v>
      </c>
      <c r="CD537" s="71"/>
      <c r="CE537" s="71"/>
      <c r="CF537" s="71">
        <f t="shared" si="233"/>
        <v>0</v>
      </c>
      <c r="CH537" s="71"/>
      <c r="CI537" s="71"/>
      <c r="CJ537" s="138">
        <f t="shared" si="234"/>
        <v>0</v>
      </c>
      <c r="CL537" s="71"/>
      <c r="CM537" s="71"/>
      <c r="CN537" s="71">
        <f t="shared" si="235"/>
        <v>0</v>
      </c>
      <c r="CS537" s="102">
        <f t="shared" si="236"/>
        <v>4.5293954747099576</v>
      </c>
      <c r="CT537" s="102">
        <f t="shared" si="237"/>
        <v>18.675175962423801</v>
      </c>
      <c r="CZ537" s="109" t="str">
        <f t="shared" si="238"/>
        <v>Basso</v>
      </c>
    </row>
    <row r="538" spans="9:104" x14ac:dyDescent="0.15">
      <c r="I538" s="64">
        <f t="shared" si="216"/>
        <v>76.99972307006928</v>
      </c>
      <c r="K538" s="64">
        <f t="shared" si="214"/>
        <v>1.2949152542372881</v>
      </c>
      <c r="L538" s="64">
        <f t="shared" si="215"/>
        <v>0.69336597143553846</v>
      </c>
      <c r="M538" s="64">
        <f t="shared" si="217"/>
        <v>0</v>
      </c>
      <c r="Q538" s="64">
        <f t="shared" si="218"/>
        <v>0</v>
      </c>
      <c r="U538" s="64">
        <f t="shared" si="219"/>
        <v>0</v>
      </c>
      <c r="Y538" s="114">
        <f t="shared" si="220"/>
        <v>0</v>
      </c>
      <c r="AC538" s="64">
        <f t="shared" si="221"/>
        <v>0</v>
      </c>
      <c r="AE538" s="71"/>
      <c r="AF538" s="71"/>
      <c r="AG538" s="71">
        <f t="shared" si="222"/>
        <v>0</v>
      </c>
      <c r="AK538" s="64">
        <f t="shared" si="223"/>
        <v>0</v>
      </c>
      <c r="AM538" s="71"/>
      <c r="AN538" s="71"/>
      <c r="AO538" s="71">
        <f t="shared" si="224"/>
        <v>0</v>
      </c>
      <c r="AQ538" s="71"/>
      <c r="AR538" s="71"/>
      <c r="AS538" s="71">
        <f t="shared" si="225"/>
        <v>0</v>
      </c>
      <c r="AU538" s="71"/>
      <c r="AV538" s="71"/>
      <c r="AW538" s="71">
        <f t="shared" si="226"/>
        <v>0</v>
      </c>
      <c r="AY538" s="71"/>
      <c r="AZ538" s="71"/>
      <c r="BA538" s="71">
        <f t="shared" si="227"/>
        <v>0</v>
      </c>
      <c r="BI538" s="71"/>
      <c r="BJ538" s="71"/>
      <c r="BK538" s="71">
        <f t="shared" si="228"/>
        <v>0</v>
      </c>
      <c r="BM538" s="71"/>
      <c r="BN538" s="71"/>
      <c r="BO538" s="71">
        <f t="shared" si="229"/>
        <v>0</v>
      </c>
      <c r="BQ538" s="71"/>
      <c r="BR538" s="71"/>
      <c r="BS538" s="138">
        <f t="shared" si="230"/>
        <v>0</v>
      </c>
      <c r="BU538" s="71"/>
      <c r="BV538" s="71"/>
      <c r="BW538" s="71">
        <f t="shared" si="231"/>
        <v>0</v>
      </c>
      <c r="BZ538" s="71"/>
      <c r="CA538" s="71"/>
      <c r="CB538" s="71">
        <f t="shared" si="232"/>
        <v>0</v>
      </c>
      <c r="CD538" s="71"/>
      <c r="CE538" s="71"/>
      <c r="CF538" s="71">
        <f t="shared" si="233"/>
        <v>0</v>
      </c>
      <c r="CH538" s="71"/>
      <c r="CI538" s="71"/>
      <c r="CJ538" s="138">
        <f t="shared" si="234"/>
        <v>0</v>
      </c>
      <c r="CL538" s="71"/>
      <c r="CM538" s="71"/>
      <c r="CN538" s="71">
        <f t="shared" si="235"/>
        <v>0</v>
      </c>
      <c r="CS538" s="102">
        <f t="shared" si="236"/>
        <v>4.5293954747099576</v>
      </c>
      <c r="CT538" s="102">
        <f t="shared" si="237"/>
        <v>18.675175962423801</v>
      </c>
      <c r="CZ538" s="109" t="str">
        <f t="shared" si="238"/>
        <v>Basso</v>
      </c>
    </row>
    <row r="539" spans="9:104" x14ac:dyDescent="0.15">
      <c r="I539" s="64">
        <f t="shared" si="216"/>
        <v>76.99972307006928</v>
      </c>
      <c r="K539" s="64">
        <f t="shared" si="214"/>
        <v>1.2949152542372881</v>
      </c>
      <c r="L539" s="64">
        <f t="shared" si="215"/>
        <v>0.69336597143553846</v>
      </c>
      <c r="M539" s="64">
        <f t="shared" si="217"/>
        <v>0</v>
      </c>
      <c r="Q539" s="64">
        <f t="shared" si="218"/>
        <v>0</v>
      </c>
      <c r="U539" s="64">
        <f t="shared" si="219"/>
        <v>0</v>
      </c>
      <c r="Y539" s="114">
        <f t="shared" si="220"/>
        <v>0</v>
      </c>
      <c r="AC539" s="64">
        <f t="shared" si="221"/>
        <v>0</v>
      </c>
      <c r="AE539" s="71"/>
      <c r="AF539" s="71"/>
      <c r="AG539" s="71">
        <f t="shared" si="222"/>
        <v>0</v>
      </c>
      <c r="AK539" s="64">
        <f t="shared" si="223"/>
        <v>0</v>
      </c>
      <c r="AM539" s="71"/>
      <c r="AN539" s="71"/>
      <c r="AO539" s="71">
        <f t="shared" si="224"/>
        <v>0</v>
      </c>
      <c r="AQ539" s="71"/>
      <c r="AR539" s="71"/>
      <c r="AS539" s="71">
        <f t="shared" si="225"/>
        <v>0</v>
      </c>
      <c r="AU539" s="71"/>
      <c r="AV539" s="71"/>
      <c r="AW539" s="71">
        <f t="shared" si="226"/>
        <v>0</v>
      </c>
      <c r="AY539" s="71"/>
      <c r="AZ539" s="71"/>
      <c r="BA539" s="71">
        <f t="shared" si="227"/>
        <v>0</v>
      </c>
      <c r="BI539" s="71"/>
      <c r="BJ539" s="71"/>
      <c r="BK539" s="71">
        <f t="shared" si="228"/>
        <v>0</v>
      </c>
      <c r="BM539" s="71"/>
      <c r="BN539" s="71"/>
      <c r="BO539" s="71">
        <f t="shared" si="229"/>
        <v>0</v>
      </c>
      <c r="BQ539" s="71"/>
      <c r="BR539" s="71"/>
      <c r="BS539" s="138">
        <f t="shared" si="230"/>
        <v>0</v>
      </c>
      <c r="BU539" s="71"/>
      <c r="BV539" s="71"/>
      <c r="BW539" s="71">
        <f t="shared" si="231"/>
        <v>0</v>
      </c>
      <c r="BZ539" s="71"/>
      <c r="CA539" s="71"/>
      <c r="CB539" s="71">
        <f t="shared" si="232"/>
        <v>0</v>
      </c>
      <c r="CD539" s="71"/>
      <c r="CE539" s="71"/>
      <c r="CF539" s="71">
        <f t="shared" si="233"/>
        <v>0</v>
      </c>
      <c r="CH539" s="71"/>
      <c r="CI539" s="71"/>
      <c r="CJ539" s="138">
        <f t="shared" si="234"/>
        <v>0</v>
      </c>
      <c r="CL539" s="71"/>
      <c r="CM539" s="71"/>
      <c r="CN539" s="71">
        <f t="shared" si="235"/>
        <v>0</v>
      </c>
      <c r="CS539" s="102">
        <f t="shared" si="236"/>
        <v>4.5293954747099576</v>
      </c>
      <c r="CT539" s="102">
        <f t="shared" si="237"/>
        <v>18.675175962423801</v>
      </c>
      <c r="CZ539" s="109" t="str">
        <f t="shared" si="238"/>
        <v>Basso</v>
      </c>
    </row>
    <row r="540" spans="9:104" x14ac:dyDescent="0.15">
      <c r="I540" s="64">
        <f t="shared" si="216"/>
        <v>76.99972307006928</v>
      </c>
      <c r="K540" s="64">
        <f t="shared" si="214"/>
        <v>1.2949152542372881</v>
      </c>
      <c r="L540" s="64">
        <f t="shared" si="215"/>
        <v>0.69336597143553846</v>
      </c>
      <c r="M540" s="64">
        <f t="shared" si="217"/>
        <v>0</v>
      </c>
      <c r="Q540" s="64">
        <f t="shared" si="218"/>
        <v>0</v>
      </c>
      <c r="U540" s="64">
        <f t="shared" si="219"/>
        <v>0</v>
      </c>
      <c r="Y540" s="114">
        <f t="shared" si="220"/>
        <v>0</v>
      </c>
      <c r="AC540" s="64">
        <f t="shared" si="221"/>
        <v>0</v>
      </c>
      <c r="AE540" s="71"/>
      <c r="AF540" s="71"/>
      <c r="AG540" s="71">
        <f t="shared" si="222"/>
        <v>0</v>
      </c>
      <c r="AK540" s="64">
        <f t="shared" si="223"/>
        <v>0</v>
      </c>
      <c r="AM540" s="71"/>
      <c r="AN540" s="71"/>
      <c r="AO540" s="71">
        <f t="shared" si="224"/>
        <v>0</v>
      </c>
      <c r="AQ540" s="71"/>
      <c r="AR540" s="71"/>
      <c r="AS540" s="71">
        <f t="shared" si="225"/>
        <v>0</v>
      </c>
      <c r="AU540" s="71"/>
      <c r="AV540" s="71"/>
      <c r="AW540" s="71">
        <f t="shared" si="226"/>
        <v>0</v>
      </c>
      <c r="AY540" s="71"/>
      <c r="AZ540" s="71"/>
      <c r="BA540" s="71">
        <f t="shared" si="227"/>
        <v>0</v>
      </c>
      <c r="BI540" s="71"/>
      <c r="BJ540" s="71"/>
      <c r="BK540" s="71">
        <f t="shared" si="228"/>
        <v>0</v>
      </c>
      <c r="BM540" s="71"/>
      <c r="BN540" s="71"/>
      <c r="BO540" s="71">
        <f t="shared" si="229"/>
        <v>0</v>
      </c>
      <c r="BQ540" s="71"/>
      <c r="BR540" s="71"/>
      <c r="BS540" s="138">
        <f t="shared" si="230"/>
        <v>0</v>
      </c>
      <c r="BU540" s="71"/>
      <c r="BV540" s="71"/>
      <c r="BW540" s="71">
        <f t="shared" si="231"/>
        <v>0</v>
      </c>
      <c r="BZ540" s="71"/>
      <c r="CA540" s="71"/>
      <c r="CB540" s="71">
        <f t="shared" si="232"/>
        <v>0</v>
      </c>
      <c r="CD540" s="71"/>
      <c r="CE540" s="71"/>
      <c r="CF540" s="71">
        <f t="shared" si="233"/>
        <v>0</v>
      </c>
      <c r="CH540" s="71"/>
      <c r="CI540" s="71"/>
      <c r="CJ540" s="138">
        <f t="shared" si="234"/>
        <v>0</v>
      </c>
      <c r="CL540" s="71"/>
      <c r="CM540" s="71"/>
      <c r="CN540" s="71">
        <f t="shared" si="235"/>
        <v>0</v>
      </c>
      <c r="CS540" s="102">
        <f t="shared" si="236"/>
        <v>4.5293954747099576</v>
      </c>
      <c r="CT540" s="102">
        <f t="shared" si="237"/>
        <v>18.675175962423801</v>
      </c>
      <c r="CZ540" s="109" t="str">
        <f t="shared" si="238"/>
        <v>Basso</v>
      </c>
    </row>
    <row r="541" spans="9:104" x14ac:dyDescent="0.15">
      <c r="I541" s="64">
        <f t="shared" si="216"/>
        <v>76.99972307006928</v>
      </c>
      <c r="K541" s="64">
        <f t="shared" si="214"/>
        <v>1.2949152542372881</v>
      </c>
      <c r="L541" s="64">
        <f t="shared" si="215"/>
        <v>0.69336597143553846</v>
      </c>
      <c r="M541" s="64">
        <f t="shared" si="217"/>
        <v>0</v>
      </c>
      <c r="Q541" s="64">
        <f t="shared" si="218"/>
        <v>0</v>
      </c>
      <c r="U541" s="64">
        <f t="shared" si="219"/>
        <v>0</v>
      </c>
      <c r="Y541" s="114">
        <f t="shared" si="220"/>
        <v>0</v>
      </c>
      <c r="AC541" s="64">
        <f t="shared" si="221"/>
        <v>0</v>
      </c>
      <c r="AE541" s="71"/>
      <c r="AF541" s="71"/>
      <c r="AG541" s="71">
        <f t="shared" si="222"/>
        <v>0</v>
      </c>
      <c r="AK541" s="64">
        <f t="shared" si="223"/>
        <v>0</v>
      </c>
      <c r="AM541" s="71"/>
      <c r="AN541" s="71"/>
      <c r="AO541" s="71">
        <f t="shared" si="224"/>
        <v>0</v>
      </c>
      <c r="AQ541" s="71"/>
      <c r="AR541" s="71"/>
      <c r="AS541" s="71">
        <f t="shared" si="225"/>
        <v>0</v>
      </c>
      <c r="AU541" s="71"/>
      <c r="AV541" s="71"/>
      <c r="AW541" s="71">
        <f t="shared" si="226"/>
        <v>0</v>
      </c>
      <c r="AY541" s="71"/>
      <c r="AZ541" s="71"/>
      <c r="BA541" s="71">
        <f t="shared" si="227"/>
        <v>0</v>
      </c>
      <c r="BI541" s="71"/>
      <c r="BJ541" s="71"/>
      <c r="BK541" s="71">
        <f t="shared" si="228"/>
        <v>0</v>
      </c>
      <c r="BM541" s="71"/>
      <c r="BN541" s="71"/>
      <c r="BO541" s="71">
        <f t="shared" si="229"/>
        <v>0</v>
      </c>
      <c r="BQ541" s="71"/>
      <c r="BR541" s="71"/>
      <c r="BS541" s="138">
        <f t="shared" si="230"/>
        <v>0</v>
      </c>
      <c r="BU541" s="71"/>
      <c r="BV541" s="71"/>
      <c r="BW541" s="71">
        <f t="shared" si="231"/>
        <v>0</v>
      </c>
      <c r="BZ541" s="71"/>
      <c r="CA541" s="71"/>
      <c r="CB541" s="71">
        <f t="shared" si="232"/>
        <v>0</v>
      </c>
      <c r="CD541" s="71"/>
      <c r="CE541" s="71"/>
      <c r="CF541" s="71">
        <f t="shared" si="233"/>
        <v>0</v>
      </c>
      <c r="CH541" s="71"/>
      <c r="CI541" s="71"/>
      <c r="CJ541" s="138">
        <f t="shared" si="234"/>
        <v>0</v>
      </c>
      <c r="CL541" s="71"/>
      <c r="CM541" s="71"/>
      <c r="CN541" s="71">
        <f t="shared" si="235"/>
        <v>0</v>
      </c>
      <c r="CS541" s="102">
        <f t="shared" si="236"/>
        <v>4.5293954747099576</v>
      </c>
      <c r="CT541" s="102">
        <f t="shared" si="237"/>
        <v>18.675175962423801</v>
      </c>
      <c r="CZ541" s="109" t="str">
        <f t="shared" si="238"/>
        <v>Basso</v>
      </c>
    </row>
    <row r="542" spans="9:104" x14ac:dyDescent="0.15">
      <c r="I542" s="64">
        <f t="shared" si="216"/>
        <v>76.99972307006928</v>
      </c>
      <c r="K542" s="64">
        <f t="shared" si="214"/>
        <v>1.2949152542372881</v>
      </c>
      <c r="L542" s="64">
        <f t="shared" si="215"/>
        <v>0.69336597143553846</v>
      </c>
      <c r="M542" s="64">
        <f t="shared" si="217"/>
        <v>0</v>
      </c>
      <c r="Q542" s="64">
        <f t="shared" si="218"/>
        <v>0</v>
      </c>
      <c r="U542" s="64">
        <f t="shared" si="219"/>
        <v>0</v>
      </c>
      <c r="Y542" s="114">
        <f t="shared" si="220"/>
        <v>0</v>
      </c>
      <c r="AC542" s="64">
        <f t="shared" si="221"/>
        <v>0</v>
      </c>
      <c r="AE542" s="71"/>
      <c r="AF542" s="71"/>
      <c r="AG542" s="71">
        <f t="shared" si="222"/>
        <v>0</v>
      </c>
      <c r="AK542" s="64">
        <f t="shared" si="223"/>
        <v>0</v>
      </c>
      <c r="AM542" s="71"/>
      <c r="AN542" s="71"/>
      <c r="AO542" s="71">
        <f t="shared" si="224"/>
        <v>0</v>
      </c>
      <c r="AQ542" s="71"/>
      <c r="AR542" s="71"/>
      <c r="AS542" s="71">
        <f t="shared" si="225"/>
        <v>0</v>
      </c>
      <c r="AU542" s="71"/>
      <c r="AV542" s="71"/>
      <c r="AW542" s="71">
        <f t="shared" si="226"/>
        <v>0</v>
      </c>
      <c r="AY542" s="71"/>
      <c r="AZ542" s="71"/>
      <c r="BA542" s="71">
        <f t="shared" si="227"/>
        <v>0</v>
      </c>
      <c r="BI542" s="71"/>
      <c r="BJ542" s="71"/>
      <c r="BK542" s="71">
        <f t="shared" si="228"/>
        <v>0</v>
      </c>
      <c r="BM542" s="71"/>
      <c r="BN542" s="71"/>
      <c r="BO542" s="71">
        <f t="shared" si="229"/>
        <v>0</v>
      </c>
      <c r="BQ542" s="71"/>
      <c r="BR542" s="71"/>
      <c r="BS542" s="138">
        <f t="shared" si="230"/>
        <v>0</v>
      </c>
      <c r="BU542" s="71"/>
      <c r="BV542" s="71"/>
      <c r="BW542" s="71">
        <f t="shared" si="231"/>
        <v>0</v>
      </c>
      <c r="BZ542" s="71"/>
      <c r="CA542" s="71"/>
      <c r="CB542" s="71">
        <f t="shared" si="232"/>
        <v>0</v>
      </c>
      <c r="CD542" s="71"/>
      <c r="CE542" s="71"/>
      <c r="CF542" s="71">
        <f t="shared" si="233"/>
        <v>0</v>
      </c>
      <c r="CH542" s="71"/>
      <c r="CI542" s="71"/>
      <c r="CJ542" s="138">
        <f t="shared" si="234"/>
        <v>0</v>
      </c>
      <c r="CL542" s="71"/>
      <c r="CM542" s="71"/>
      <c r="CN542" s="71">
        <f t="shared" si="235"/>
        <v>0</v>
      </c>
      <c r="CS542" s="102">
        <f t="shared" si="236"/>
        <v>4.5293954747099576</v>
      </c>
      <c r="CT542" s="102">
        <f t="shared" si="237"/>
        <v>18.675175962423801</v>
      </c>
      <c r="CZ542" s="109" t="str">
        <f t="shared" si="238"/>
        <v>Basso</v>
      </c>
    </row>
    <row r="543" spans="9:104" x14ac:dyDescent="0.15">
      <c r="I543" s="64">
        <f t="shared" si="216"/>
        <v>76.99972307006928</v>
      </c>
      <c r="K543" s="64">
        <f t="shared" si="214"/>
        <v>1.2949152542372881</v>
      </c>
      <c r="L543" s="64">
        <f t="shared" si="215"/>
        <v>0.69336597143553846</v>
      </c>
      <c r="M543" s="64">
        <f t="shared" si="217"/>
        <v>0</v>
      </c>
      <c r="Q543" s="64">
        <f t="shared" si="218"/>
        <v>0</v>
      </c>
      <c r="U543" s="64">
        <f t="shared" si="219"/>
        <v>0</v>
      </c>
      <c r="Y543" s="114">
        <f t="shared" si="220"/>
        <v>0</v>
      </c>
      <c r="AC543" s="64">
        <f t="shared" si="221"/>
        <v>0</v>
      </c>
      <c r="AE543" s="71"/>
      <c r="AF543" s="71"/>
      <c r="AG543" s="71">
        <f t="shared" si="222"/>
        <v>0</v>
      </c>
      <c r="AK543" s="64">
        <f t="shared" si="223"/>
        <v>0</v>
      </c>
      <c r="AM543" s="71"/>
      <c r="AN543" s="71"/>
      <c r="AO543" s="71">
        <f t="shared" si="224"/>
        <v>0</v>
      </c>
      <c r="AQ543" s="71"/>
      <c r="AR543" s="71"/>
      <c r="AS543" s="71">
        <f t="shared" si="225"/>
        <v>0</v>
      </c>
      <c r="AU543" s="71"/>
      <c r="AV543" s="71"/>
      <c r="AW543" s="71">
        <f t="shared" si="226"/>
        <v>0</v>
      </c>
      <c r="AY543" s="71"/>
      <c r="AZ543" s="71"/>
      <c r="BA543" s="71">
        <f t="shared" si="227"/>
        <v>0</v>
      </c>
      <c r="BI543" s="71"/>
      <c r="BJ543" s="71"/>
      <c r="BK543" s="71">
        <f t="shared" si="228"/>
        <v>0</v>
      </c>
      <c r="BM543" s="71"/>
      <c r="BN543" s="71"/>
      <c r="BO543" s="71">
        <f t="shared" si="229"/>
        <v>0</v>
      </c>
      <c r="BQ543" s="71"/>
      <c r="BR543" s="71"/>
      <c r="BS543" s="138">
        <f t="shared" si="230"/>
        <v>0</v>
      </c>
      <c r="BU543" s="71"/>
      <c r="BV543" s="71"/>
      <c r="BW543" s="71">
        <f t="shared" si="231"/>
        <v>0</v>
      </c>
      <c r="BZ543" s="71"/>
      <c r="CA543" s="71"/>
      <c r="CB543" s="71">
        <f t="shared" si="232"/>
        <v>0</v>
      </c>
      <c r="CD543" s="71"/>
      <c r="CE543" s="71"/>
      <c r="CF543" s="71">
        <f t="shared" si="233"/>
        <v>0</v>
      </c>
      <c r="CH543" s="71"/>
      <c r="CI543" s="71"/>
      <c r="CJ543" s="138">
        <f t="shared" si="234"/>
        <v>0</v>
      </c>
      <c r="CL543" s="71"/>
      <c r="CM543" s="71"/>
      <c r="CN543" s="71">
        <f t="shared" si="235"/>
        <v>0</v>
      </c>
      <c r="CS543" s="102">
        <f t="shared" si="236"/>
        <v>4.5293954747099576</v>
      </c>
      <c r="CT543" s="102">
        <f t="shared" si="237"/>
        <v>18.675175962423801</v>
      </c>
      <c r="CZ543" s="109" t="str">
        <f t="shared" si="238"/>
        <v>Basso</v>
      </c>
    </row>
    <row r="544" spans="9:104" x14ac:dyDescent="0.15">
      <c r="I544" s="64">
        <f t="shared" si="216"/>
        <v>76.99972307006928</v>
      </c>
      <c r="K544" s="64">
        <f t="shared" si="214"/>
        <v>1.2949152542372881</v>
      </c>
      <c r="L544" s="64">
        <f t="shared" si="215"/>
        <v>0.69336597143553846</v>
      </c>
      <c r="M544" s="64">
        <f t="shared" si="217"/>
        <v>0</v>
      </c>
      <c r="Q544" s="64">
        <f t="shared" si="218"/>
        <v>0</v>
      </c>
      <c r="U544" s="64">
        <f t="shared" si="219"/>
        <v>0</v>
      </c>
      <c r="Y544" s="114">
        <f t="shared" si="220"/>
        <v>0</v>
      </c>
      <c r="AC544" s="64">
        <f t="shared" si="221"/>
        <v>0</v>
      </c>
      <c r="AE544" s="71"/>
      <c r="AF544" s="71"/>
      <c r="AG544" s="71">
        <f t="shared" si="222"/>
        <v>0</v>
      </c>
      <c r="AK544" s="64">
        <f t="shared" si="223"/>
        <v>0</v>
      </c>
      <c r="AM544" s="71"/>
      <c r="AN544" s="71"/>
      <c r="AO544" s="71">
        <f t="shared" si="224"/>
        <v>0</v>
      </c>
      <c r="AQ544" s="71"/>
      <c r="AR544" s="71"/>
      <c r="AS544" s="71">
        <f t="shared" si="225"/>
        <v>0</v>
      </c>
      <c r="AU544" s="71"/>
      <c r="AV544" s="71"/>
      <c r="AW544" s="71">
        <f t="shared" si="226"/>
        <v>0</v>
      </c>
      <c r="AY544" s="71"/>
      <c r="AZ544" s="71"/>
      <c r="BA544" s="71">
        <f t="shared" si="227"/>
        <v>0</v>
      </c>
      <c r="BI544" s="71"/>
      <c r="BJ544" s="71"/>
      <c r="BK544" s="71">
        <f t="shared" si="228"/>
        <v>0</v>
      </c>
      <c r="BM544" s="71"/>
      <c r="BN544" s="71"/>
      <c r="BO544" s="71">
        <f t="shared" si="229"/>
        <v>0</v>
      </c>
      <c r="BQ544" s="71"/>
      <c r="BR544" s="71"/>
      <c r="BS544" s="138">
        <f t="shared" si="230"/>
        <v>0</v>
      </c>
      <c r="BU544" s="71"/>
      <c r="BV544" s="71"/>
      <c r="BW544" s="71">
        <f t="shared" si="231"/>
        <v>0</v>
      </c>
      <c r="BZ544" s="71"/>
      <c r="CA544" s="71"/>
      <c r="CB544" s="71">
        <f t="shared" si="232"/>
        <v>0</v>
      </c>
      <c r="CD544" s="71"/>
      <c r="CE544" s="71"/>
      <c r="CF544" s="71">
        <f t="shared" si="233"/>
        <v>0</v>
      </c>
      <c r="CH544" s="71"/>
      <c r="CI544" s="71"/>
      <c r="CJ544" s="138">
        <f t="shared" si="234"/>
        <v>0</v>
      </c>
      <c r="CL544" s="71"/>
      <c r="CM544" s="71"/>
      <c r="CN544" s="71">
        <f t="shared" si="235"/>
        <v>0</v>
      </c>
      <c r="CS544" s="102">
        <f t="shared" si="236"/>
        <v>4.5293954747099576</v>
      </c>
      <c r="CT544" s="102">
        <f t="shared" si="237"/>
        <v>18.675175962423801</v>
      </c>
      <c r="CZ544" s="109" t="str">
        <f t="shared" si="238"/>
        <v>Basso</v>
      </c>
    </row>
    <row r="545" spans="9:104" x14ac:dyDescent="0.15">
      <c r="I545" s="64">
        <f t="shared" si="216"/>
        <v>76.99972307006928</v>
      </c>
      <c r="K545" s="64">
        <f t="shared" si="214"/>
        <v>1.2949152542372881</v>
      </c>
      <c r="L545" s="64">
        <f t="shared" si="215"/>
        <v>0.69336597143553846</v>
      </c>
      <c r="M545" s="64">
        <f t="shared" si="217"/>
        <v>0</v>
      </c>
      <c r="Q545" s="64">
        <f t="shared" si="218"/>
        <v>0</v>
      </c>
      <c r="U545" s="64">
        <f t="shared" si="219"/>
        <v>0</v>
      </c>
      <c r="Y545" s="114">
        <f t="shared" si="220"/>
        <v>0</v>
      </c>
      <c r="AC545" s="64">
        <f t="shared" si="221"/>
        <v>0</v>
      </c>
      <c r="AE545" s="71"/>
      <c r="AF545" s="71"/>
      <c r="AG545" s="71">
        <f t="shared" si="222"/>
        <v>0</v>
      </c>
      <c r="AK545" s="64">
        <f t="shared" si="223"/>
        <v>0</v>
      </c>
      <c r="AM545" s="71"/>
      <c r="AN545" s="71"/>
      <c r="AO545" s="71">
        <f t="shared" si="224"/>
        <v>0</v>
      </c>
      <c r="AQ545" s="71"/>
      <c r="AR545" s="71"/>
      <c r="AS545" s="71">
        <f t="shared" si="225"/>
        <v>0</v>
      </c>
      <c r="AU545" s="71"/>
      <c r="AV545" s="71"/>
      <c r="AW545" s="71">
        <f t="shared" si="226"/>
        <v>0</v>
      </c>
      <c r="AY545" s="71"/>
      <c r="AZ545" s="71"/>
      <c r="BA545" s="71">
        <f t="shared" si="227"/>
        <v>0</v>
      </c>
      <c r="BI545" s="71"/>
      <c r="BJ545" s="71"/>
      <c r="BK545" s="71">
        <f t="shared" si="228"/>
        <v>0</v>
      </c>
      <c r="BM545" s="71"/>
      <c r="BN545" s="71"/>
      <c r="BO545" s="71">
        <f t="shared" si="229"/>
        <v>0</v>
      </c>
      <c r="BQ545" s="71"/>
      <c r="BR545" s="71"/>
      <c r="BS545" s="138">
        <f t="shared" si="230"/>
        <v>0</v>
      </c>
      <c r="BU545" s="71"/>
      <c r="BV545" s="71"/>
      <c r="BW545" s="71">
        <f t="shared" si="231"/>
        <v>0</v>
      </c>
      <c r="BZ545" s="71"/>
      <c r="CA545" s="71"/>
      <c r="CB545" s="71">
        <f t="shared" si="232"/>
        <v>0</v>
      </c>
      <c r="CD545" s="71"/>
      <c r="CE545" s="71"/>
      <c r="CF545" s="71">
        <f t="shared" si="233"/>
        <v>0</v>
      </c>
      <c r="CH545" s="71"/>
      <c r="CI545" s="71"/>
      <c r="CJ545" s="138">
        <f t="shared" si="234"/>
        <v>0</v>
      </c>
      <c r="CL545" s="71"/>
      <c r="CM545" s="71"/>
      <c r="CN545" s="71">
        <f t="shared" si="235"/>
        <v>0</v>
      </c>
      <c r="CS545" s="102">
        <f t="shared" si="236"/>
        <v>4.5293954747099576</v>
      </c>
      <c r="CT545" s="102">
        <f t="shared" si="237"/>
        <v>18.675175962423801</v>
      </c>
      <c r="CZ545" s="109" t="str">
        <f t="shared" si="238"/>
        <v>Basso</v>
      </c>
    </row>
    <row r="546" spans="9:104" x14ac:dyDescent="0.15">
      <c r="I546" s="64">
        <f t="shared" si="216"/>
        <v>76.99972307006928</v>
      </c>
      <c r="K546" s="64">
        <f t="shared" si="214"/>
        <v>1.2949152542372881</v>
      </c>
      <c r="L546" s="64">
        <f t="shared" si="215"/>
        <v>0.69336597143553846</v>
      </c>
      <c r="M546" s="64">
        <f t="shared" si="217"/>
        <v>0</v>
      </c>
      <c r="Q546" s="64">
        <f t="shared" si="218"/>
        <v>0</v>
      </c>
      <c r="U546" s="64">
        <f t="shared" si="219"/>
        <v>0</v>
      </c>
      <c r="Y546" s="114">
        <f t="shared" si="220"/>
        <v>0</v>
      </c>
      <c r="AC546" s="64">
        <f t="shared" si="221"/>
        <v>0</v>
      </c>
      <c r="AE546" s="71"/>
      <c r="AF546" s="71"/>
      <c r="AG546" s="71">
        <f t="shared" si="222"/>
        <v>0</v>
      </c>
      <c r="AK546" s="64">
        <f t="shared" si="223"/>
        <v>0</v>
      </c>
      <c r="AM546" s="71"/>
      <c r="AN546" s="71"/>
      <c r="AO546" s="71">
        <f t="shared" si="224"/>
        <v>0</v>
      </c>
      <c r="AQ546" s="71"/>
      <c r="AR546" s="71"/>
      <c r="AS546" s="71">
        <f t="shared" si="225"/>
        <v>0</v>
      </c>
      <c r="AU546" s="71"/>
      <c r="AV546" s="71"/>
      <c r="AW546" s="71">
        <f t="shared" si="226"/>
        <v>0</v>
      </c>
      <c r="AY546" s="71"/>
      <c r="AZ546" s="71"/>
      <c r="BA546" s="71">
        <f t="shared" si="227"/>
        <v>0</v>
      </c>
      <c r="BI546" s="71"/>
      <c r="BJ546" s="71"/>
      <c r="BK546" s="71">
        <f t="shared" si="228"/>
        <v>0</v>
      </c>
      <c r="BM546" s="71"/>
      <c r="BN546" s="71"/>
      <c r="BO546" s="71">
        <f t="shared" si="229"/>
        <v>0</v>
      </c>
      <c r="BQ546" s="71"/>
      <c r="BR546" s="71"/>
      <c r="BS546" s="138">
        <f t="shared" si="230"/>
        <v>0</v>
      </c>
      <c r="BU546" s="71"/>
      <c r="BV546" s="71"/>
      <c r="BW546" s="71">
        <f t="shared" si="231"/>
        <v>0</v>
      </c>
      <c r="BZ546" s="71"/>
      <c r="CA546" s="71"/>
      <c r="CB546" s="71">
        <f t="shared" si="232"/>
        <v>0</v>
      </c>
      <c r="CD546" s="71"/>
      <c r="CE546" s="71"/>
      <c r="CF546" s="71">
        <f t="shared" si="233"/>
        <v>0</v>
      </c>
      <c r="CH546" s="71"/>
      <c r="CI546" s="71"/>
      <c r="CJ546" s="138">
        <f t="shared" si="234"/>
        <v>0</v>
      </c>
      <c r="CL546" s="71"/>
      <c r="CM546" s="71"/>
      <c r="CN546" s="71">
        <f t="shared" si="235"/>
        <v>0</v>
      </c>
      <c r="CS546" s="102">
        <f t="shared" si="236"/>
        <v>4.5293954747099576</v>
      </c>
      <c r="CT546" s="102">
        <f t="shared" si="237"/>
        <v>18.675175962423801</v>
      </c>
      <c r="CZ546" s="109" t="str">
        <f t="shared" si="238"/>
        <v>Basso</v>
      </c>
    </row>
    <row r="547" spans="9:104" x14ac:dyDescent="0.15">
      <c r="I547" s="64">
        <f t="shared" si="216"/>
        <v>76.99972307006928</v>
      </c>
      <c r="K547" s="64">
        <f t="shared" si="214"/>
        <v>1.2949152542372881</v>
      </c>
      <c r="L547" s="64">
        <f t="shared" si="215"/>
        <v>0.69336597143553846</v>
      </c>
      <c r="M547" s="64">
        <f t="shared" si="217"/>
        <v>0</v>
      </c>
      <c r="Q547" s="64">
        <f t="shared" si="218"/>
        <v>0</v>
      </c>
      <c r="U547" s="64">
        <f t="shared" si="219"/>
        <v>0</v>
      </c>
      <c r="Y547" s="114">
        <f t="shared" si="220"/>
        <v>0</v>
      </c>
      <c r="AC547" s="64">
        <f t="shared" si="221"/>
        <v>0</v>
      </c>
      <c r="AE547" s="71"/>
      <c r="AF547" s="71"/>
      <c r="AG547" s="71">
        <f t="shared" si="222"/>
        <v>0</v>
      </c>
      <c r="AK547" s="64">
        <f t="shared" si="223"/>
        <v>0</v>
      </c>
      <c r="AM547" s="71"/>
      <c r="AN547" s="71"/>
      <c r="AO547" s="71">
        <f t="shared" si="224"/>
        <v>0</v>
      </c>
      <c r="AQ547" s="71"/>
      <c r="AR547" s="71"/>
      <c r="AS547" s="71">
        <f t="shared" si="225"/>
        <v>0</v>
      </c>
      <c r="AU547" s="71"/>
      <c r="AV547" s="71"/>
      <c r="AW547" s="71">
        <f t="shared" si="226"/>
        <v>0</v>
      </c>
      <c r="AY547" s="71"/>
      <c r="AZ547" s="71"/>
      <c r="BA547" s="71">
        <f t="shared" si="227"/>
        <v>0</v>
      </c>
      <c r="BI547" s="71"/>
      <c r="BJ547" s="71"/>
      <c r="BK547" s="71">
        <f t="shared" si="228"/>
        <v>0</v>
      </c>
      <c r="BM547" s="71"/>
      <c r="BN547" s="71"/>
      <c r="BO547" s="71">
        <f t="shared" si="229"/>
        <v>0</v>
      </c>
      <c r="BQ547" s="71"/>
      <c r="BR547" s="71"/>
      <c r="BS547" s="138">
        <f t="shared" si="230"/>
        <v>0</v>
      </c>
      <c r="BU547" s="71"/>
      <c r="BV547" s="71"/>
      <c r="BW547" s="71">
        <f t="shared" si="231"/>
        <v>0</v>
      </c>
      <c r="BZ547" s="71"/>
      <c r="CA547" s="71"/>
      <c r="CB547" s="71">
        <f t="shared" si="232"/>
        <v>0</v>
      </c>
      <c r="CD547" s="71"/>
      <c r="CE547" s="71"/>
      <c r="CF547" s="71">
        <f t="shared" si="233"/>
        <v>0</v>
      </c>
      <c r="CH547" s="71"/>
      <c r="CI547" s="71"/>
      <c r="CJ547" s="138">
        <f t="shared" si="234"/>
        <v>0</v>
      </c>
      <c r="CL547" s="71"/>
      <c r="CM547" s="71"/>
      <c r="CN547" s="71">
        <f t="shared" si="235"/>
        <v>0</v>
      </c>
      <c r="CS547" s="102">
        <f t="shared" si="236"/>
        <v>4.5293954747099576</v>
      </c>
      <c r="CT547" s="102">
        <f t="shared" si="237"/>
        <v>18.675175962423801</v>
      </c>
      <c r="CZ547" s="109" t="str">
        <f t="shared" si="238"/>
        <v>Basso</v>
      </c>
    </row>
    <row r="548" spans="9:104" x14ac:dyDescent="0.15">
      <c r="I548" s="64">
        <f t="shared" si="216"/>
        <v>76.99972307006928</v>
      </c>
      <c r="K548" s="64">
        <f t="shared" si="214"/>
        <v>1.2949152542372881</v>
      </c>
      <c r="L548" s="64">
        <f t="shared" si="215"/>
        <v>0.69336597143553846</v>
      </c>
      <c r="M548" s="64">
        <f t="shared" si="217"/>
        <v>0</v>
      </c>
      <c r="Q548" s="64">
        <f t="shared" si="218"/>
        <v>0</v>
      </c>
      <c r="U548" s="64">
        <f t="shared" si="219"/>
        <v>0</v>
      </c>
      <c r="Y548" s="114">
        <f t="shared" si="220"/>
        <v>0</v>
      </c>
      <c r="AC548" s="64">
        <f t="shared" si="221"/>
        <v>0</v>
      </c>
      <c r="AE548" s="71"/>
      <c r="AF548" s="71"/>
      <c r="AG548" s="71">
        <f t="shared" si="222"/>
        <v>0</v>
      </c>
      <c r="AK548" s="64">
        <f t="shared" si="223"/>
        <v>0</v>
      </c>
      <c r="AM548" s="71"/>
      <c r="AN548" s="71"/>
      <c r="AO548" s="71">
        <f t="shared" si="224"/>
        <v>0</v>
      </c>
      <c r="AQ548" s="71"/>
      <c r="AR548" s="71"/>
      <c r="AS548" s="71">
        <f t="shared" si="225"/>
        <v>0</v>
      </c>
      <c r="AU548" s="71"/>
      <c r="AV548" s="71"/>
      <c r="AW548" s="71">
        <f t="shared" si="226"/>
        <v>0</v>
      </c>
      <c r="AY548" s="71"/>
      <c r="AZ548" s="71"/>
      <c r="BA548" s="71">
        <f t="shared" si="227"/>
        <v>0</v>
      </c>
      <c r="BI548" s="71"/>
      <c r="BJ548" s="71"/>
      <c r="BK548" s="71">
        <f t="shared" si="228"/>
        <v>0</v>
      </c>
      <c r="BM548" s="71"/>
      <c r="BN548" s="71"/>
      <c r="BO548" s="71">
        <f t="shared" si="229"/>
        <v>0</v>
      </c>
      <c r="BQ548" s="71"/>
      <c r="BR548" s="71"/>
      <c r="BS548" s="138">
        <f t="shared" si="230"/>
        <v>0</v>
      </c>
      <c r="BU548" s="71"/>
      <c r="BV548" s="71"/>
      <c r="BW548" s="71">
        <f t="shared" si="231"/>
        <v>0</v>
      </c>
      <c r="BZ548" s="71"/>
      <c r="CA548" s="71"/>
      <c r="CB548" s="71">
        <f t="shared" si="232"/>
        <v>0</v>
      </c>
      <c r="CD548" s="71"/>
      <c r="CE548" s="71"/>
      <c r="CF548" s="71">
        <f t="shared" si="233"/>
        <v>0</v>
      </c>
      <c r="CH548" s="71"/>
      <c r="CI548" s="71"/>
      <c r="CJ548" s="138">
        <f t="shared" si="234"/>
        <v>0</v>
      </c>
      <c r="CL548" s="71"/>
      <c r="CM548" s="71"/>
      <c r="CN548" s="71">
        <f t="shared" si="235"/>
        <v>0</v>
      </c>
      <c r="CS548" s="102">
        <f t="shared" si="236"/>
        <v>4.5293954747099576</v>
      </c>
      <c r="CT548" s="102">
        <f t="shared" si="237"/>
        <v>18.675175962423801</v>
      </c>
      <c r="CZ548" s="109" t="str">
        <f t="shared" si="238"/>
        <v>Basso</v>
      </c>
    </row>
    <row r="549" spans="9:104" x14ac:dyDescent="0.15">
      <c r="I549" s="64">
        <f t="shared" si="216"/>
        <v>76.99972307006928</v>
      </c>
      <c r="K549" s="64">
        <f t="shared" si="214"/>
        <v>1.2949152542372881</v>
      </c>
      <c r="L549" s="64">
        <f t="shared" si="215"/>
        <v>0.69336597143553846</v>
      </c>
      <c r="M549" s="64">
        <f t="shared" si="217"/>
        <v>0</v>
      </c>
      <c r="Q549" s="64">
        <f t="shared" si="218"/>
        <v>0</v>
      </c>
      <c r="U549" s="64">
        <f t="shared" si="219"/>
        <v>0</v>
      </c>
      <c r="Y549" s="114">
        <f t="shared" si="220"/>
        <v>0</v>
      </c>
      <c r="AC549" s="64">
        <f t="shared" si="221"/>
        <v>0</v>
      </c>
      <c r="AE549" s="71"/>
      <c r="AF549" s="71"/>
      <c r="AG549" s="71">
        <f t="shared" si="222"/>
        <v>0</v>
      </c>
      <c r="AK549" s="64">
        <f t="shared" si="223"/>
        <v>0</v>
      </c>
      <c r="AM549" s="71"/>
      <c r="AN549" s="71"/>
      <c r="AO549" s="71">
        <f t="shared" si="224"/>
        <v>0</v>
      </c>
      <c r="AQ549" s="71"/>
      <c r="AR549" s="71"/>
      <c r="AS549" s="71">
        <f t="shared" si="225"/>
        <v>0</v>
      </c>
      <c r="AU549" s="71"/>
      <c r="AV549" s="71"/>
      <c r="AW549" s="71">
        <f t="shared" si="226"/>
        <v>0</v>
      </c>
      <c r="AY549" s="71"/>
      <c r="AZ549" s="71"/>
      <c r="BA549" s="71">
        <f t="shared" si="227"/>
        <v>0</v>
      </c>
      <c r="BI549" s="71"/>
      <c r="BJ549" s="71"/>
      <c r="BK549" s="71">
        <f t="shared" si="228"/>
        <v>0</v>
      </c>
      <c r="BM549" s="71"/>
      <c r="BN549" s="71"/>
      <c r="BO549" s="71">
        <f t="shared" si="229"/>
        <v>0</v>
      </c>
      <c r="BQ549" s="71"/>
      <c r="BR549" s="71"/>
      <c r="BS549" s="138">
        <f t="shared" si="230"/>
        <v>0</v>
      </c>
      <c r="BU549" s="71"/>
      <c r="BV549" s="71"/>
      <c r="BW549" s="71">
        <f t="shared" si="231"/>
        <v>0</v>
      </c>
      <c r="BZ549" s="71"/>
      <c r="CA549" s="71"/>
      <c r="CB549" s="71">
        <f t="shared" si="232"/>
        <v>0</v>
      </c>
      <c r="CD549" s="71"/>
      <c r="CE549" s="71"/>
      <c r="CF549" s="71">
        <f t="shared" si="233"/>
        <v>0</v>
      </c>
      <c r="CH549" s="71"/>
      <c r="CI549" s="71"/>
      <c r="CJ549" s="138">
        <f t="shared" si="234"/>
        <v>0</v>
      </c>
      <c r="CL549" s="71"/>
      <c r="CM549" s="71"/>
      <c r="CN549" s="71">
        <f t="shared" si="235"/>
        <v>0</v>
      </c>
      <c r="CS549" s="102">
        <f t="shared" si="236"/>
        <v>4.5293954747099576</v>
      </c>
      <c r="CT549" s="102">
        <f t="shared" si="237"/>
        <v>18.675175962423801</v>
      </c>
      <c r="CZ549" s="109" t="str">
        <f t="shared" si="238"/>
        <v>Basso</v>
      </c>
    </row>
    <row r="550" spans="9:104" x14ac:dyDescent="0.15">
      <c r="I550" s="64">
        <f t="shared" si="216"/>
        <v>76.99972307006928</v>
      </c>
      <c r="K550" s="64">
        <f t="shared" si="214"/>
        <v>1.2949152542372881</v>
      </c>
      <c r="L550" s="64">
        <f t="shared" si="215"/>
        <v>0.69336597143553846</v>
      </c>
      <c r="M550" s="64">
        <f t="shared" si="217"/>
        <v>0</v>
      </c>
      <c r="Q550" s="64">
        <f t="shared" si="218"/>
        <v>0</v>
      </c>
      <c r="U550" s="64">
        <f t="shared" si="219"/>
        <v>0</v>
      </c>
      <c r="Y550" s="114">
        <f t="shared" si="220"/>
        <v>0</v>
      </c>
      <c r="AC550" s="64">
        <f t="shared" si="221"/>
        <v>0</v>
      </c>
      <c r="AE550" s="71"/>
      <c r="AF550" s="71"/>
      <c r="AG550" s="71">
        <f t="shared" si="222"/>
        <v>0</v>
      </c>
      <c r="AK550" s="64">
        <f t="shared" si="223"/>
        <v>0</v>
      </c>
      <c r="AM550" s="71"/>
      <c r="AN550" s="71"/>
      <c r="AO550" s="71">
        <f t="shared" si="224"/>
        <v>0</v>
      </c>
      <c r="AQ550" s="71"/>
      <c r="AR550" s="71"/>
      <c r="AS550" s="71">
        <f t="shared" si="225"/>
        <v>0</v>
      </c>
      <c r="AU550" s="71"/>
      <c r="AV550" s="71"/>
      <c r="AW550" s="71">
        <f t="shared" si="226"/>
        <v>0</v>
      </c>
      <c r="AY550" s="71"/>
      <c r="AZ550" s="71"/>
      <c r="BA550" s="71">
        <f t="shared" si="227"/>
        <v>0</v>
      </c>
      <c r="BI550" s="71"/>
      <c r="BJ550" s="71"/>
      <c r="BK550" s="71">
        <f t="shared" si="228"/>
        <v>0</v>
      </c>
      <c r="BM550" s="71"/>
      <c r="BN550" s="71"/>
      <c r="BO550" s="71">
        <f t="shared" si="229"/>
        <v>0</v>
      </c>
      <c r="BQ550" s="71"/>
      <c r="BR550" s="71"/>
      <c r="BS550" s="138">
        <f t="shared" si="230"/>
        <v>0</v>
      </c>
      <c r="BU550" s="71"/>
      <c r="BV550" s="71"/>
      <c r="BW550" s="71">
        <f t="shared" si="231"/>
        <v>0</v>
      </c>
      <c r="BZ550" s="71"/>
      <c r="CA550" s="71"/>
      <c r="CB550" s="71">
        <f t="shared" si="232"/>
        <v>0</v>
      </c>
      <c r="CD550" s="71"/>
      <c r="CE550" s="71"/>
      <c r="CF550" s="71">
        <f t="shared" si="233"/>
        <v>0</v>
      </c>
      <c r="CH550" s="71"/>
      <c r="CI550" s="71"/>
      <c r="CJ550" s="138">
        <f t="shared" si="234"/>
        <v>0</v>
      </c>
      <c r="CL550" s="71"/>
      <c r="CM550" s="71"/>
      <c r="CN550" s="71">
        <f t="shared" si="235"/>
        <v>0</v>
      </c>
      <c r="CS550" s="102">
        <f t="shared" si="236"/>
        <v>4.5293954747099576</v>
      </c>
      <c r="CT550" s="102">
        <f t="shared" si="237"/>
        <v>18.675175962423801</v>
      </c>
      <c r="CZ550" s="109" t="str">
        <f t="shared" si="238"/>
        <v>Basso</v>
      </c>
    </row>
    <row r="551" spans="9:104" x14ac:dyDescent="0.15">
      <c r="I551" s="64">
        <f t="shared" si="216"/>
        <v>76.99972307006928</v>
      </c>
      <c r="K551" s="64">
        <f t="shared" si="214"/>
        <v>1.2949152542372881</v>
      </c>
      <c r="L551" s="64">
        <f t="shared" si="215"/>
        <v>0.69336597143553846</v>
      </c>
      <c r="M551" s="64">
        <f t="shared" si="217"/>
        <v>0</v>
      </c>
      <c r="Q551" s="64">
        <f t="shared" si="218"/>
        <v>0</v>
      </c>
      <c r="U551" s="64">
        <f t="shared" si="219"/>
        <v>0</v>
      </c>
      <c r="Y551" s="114">
        <f t="shared" si="220"/>
        <v>0</v>
      </c>
      <c r="AC551" s="64">
        <f t="shared" si="221"/>
        <v>0</v>
      </c>
      <c r="AE551" s="71"/>
      <c r="AF551" s="71"/>
      <c r="AG551" s="71">
        <f t="shared" si="222"/>
        <v>0</v>
      </c>
      <c r="AK551" s="64">
        <f t="shared" si="223"/>
        <v>0</v>
      </c>
      <c r="AM551" s="71"/>
      <c r="AN551" s="71"/>
      <c r="AO551" s="71">
        <f t="shared" si="224"/>
        <v>0</v>
      </c>
      <c r="AQ551" s="71"/>
      <c r="AR551" s="71"/>
      <c r="AS551" s="71">
        <f t="shared" si="225"/>
        <v>0</v>
      </c>
      <c r="AU551" s="71"/>
      <c r="AV551" s="71"/>
      <c r="AW551" s="71">
        <f t="shared" si="226"/>
        <v>0</v>
      </c>
      <c r="AY551" s="71"/>
      <c r="AZ551" s="71"/>
      <c r="BA551" s="71">
        <f t="shared" si="227"/>
        <v>0</v>
      </c>
      <c r="BI551" s="71"/>
      <c r="BJ551" s="71"/>
      <c r="BK551" s="71">
        <f t="shared" si="228"/>
        <v>0</v>
      </c>
      <c r="BM551" s="71"/>
      <c r="BN551" s="71"/>
      <c r="BO551" s="71">
        <f t="shared" si="229"/>
        <v>0</v>
      </c>
      <c r="BQ551" s="71"/>
      <c r="BR551" s="71"/>
      <c r="BS551" s="138">
        <f t="shared" si="230"/>
        <v>0</v>
      </c>
      <c r="BU551" s="71"/>
      <c r="BV551" s="71"/>
      <c r="BW551" s="71">
        <f t="shared" si="231"/>
        <v>0</v>
      </c>
      <c r="BZ551" s="71"/>
      <c r="CA551" s="71"/>
      <c r="CB551" s="71">
        <f t="shared" si="232"/>
        <v>0</v>
      </c>
      <c r="CD551" s="71"/>
      <c r="CE551" s="71"/>
      <c r="CF551" s="71">
        <f t="shared" si="233"/>
        <v>0</v>
      </c>
      <c r="CH551" s="71"/>
      <c r="CI551" s="71"/>
      <c r="CJ551" s="138">
        <f t="shared" si="234"/>
        <v>0</v>
      </c>
      <c r="CL551" s="71"/>
      <c r="CM551" s="71"/>
      <c r="CN551" s="71">
        <f t="shared" si="235"/>
        <v>0</v>
      </c>
      <c r="CS551" s="102">
        <f t="shared" si="236"/>
        <v>4.5293954747099576</v>
      </c>
      <c r="CT551" s="102">
        <f t="shared" si="237"/>
        <v>18.675175962423801</v>
      </c>
      <c r="CZ551" s="109" t="str">
        <f t="shared" si="238"/>
        <v>Basso</v>
      </c>
    </row>
    <row r="552" spans="9:104" x14ac:dyDescent="0.15">
      <c r="I552" s="64">
        <f t="shared" si="216"/>
        <v>76.99972307006928</v>
      </c>
      <c r="K552" s="64">
        <f t="shared" si="214"/>
        <v>1.2949152542372881</v>
      </c>
      <c r="L552" s="64">
        <f t="shared" si="215"/>
        <v>0.69336597143553846</v>
      </c>
      <c r="M552" s="64">
        <f t="shared" si="217"/>
        <v>0</v>
      </c>
      <c r="Q552" s="64">
        <f t="shared" si="218"/>
        <v>0</v>
      </c>
      <c r="U552" s="64">
        <f t="shared" si="219"/>
        <v>0</v>
      </c>
      <c r="Y552" s="114">
        <f t="shared" si="220"/>
        <v>0</v>
      </c>
      <c r="AC552" s="64">
        <f t="shared" si="221"/>
        <v>0</v>
      </c>
      <c r="AE552" s="71"/>
      <c r="AF552" s="71"/>
      <c r="AG552" s="71">
        <f t="shared" si="222"/>
        <v>0</v>
      </c>
      <c r="AK552" s="64">
        <f t="shared" si="223"/>
        <v>0</v>
      </c>
      <c r="AM552" s="71"/>
      <c r="AN552" s="71"/>
      <c r="AO552" s="71">
        <f t="shared" si="224"/>
        <v>0</v>
      </c>
      <c r="AQ552" s="71"/>
      <c r="AR552" s="71"/>
      <c r="AS552" s="71">
        <f t="shared" si="225"/>
        <v>0</v>
      </c>
      <c r="AU552" s="71"/>
      <c r="AV552" s="71"/>
      <c r="AW552" s="71">
        <f t="shared" si="226"/>
        <v>0</v>
      </c>
      <c r="AY552" s="71"/>
      <c r="AZ552" s="71"/>
      <c r="BA552" s="71">
        <f t="shared" si="227"/>
        <v>0</v>
      </c>
      <c r="BI552" s="71"/>
      <c r="BJ552" s="71"/>
      <c r="BK552" s="71">
        <f t="shared" si="228"/>
        <v>0</v>
      </c>
      <c r="BM552" s="71"/>
      <c r="BN552" s="71"/>
      <c r="BO552" s="71">
        <f t="shared" si="229"/>
        <v>0</v>
      </c>
      <c r="BQ552" s="71"/>
      <c r="BR552" s="71"/>
      <c r="BS552" s="138">
        <f t="shared" si="230"/>
        <v>0</v>
      </c>
      <c r="BU552" s="71"/>
      <c r="BV552" s="71"/>
      <c r="BW552" s="71">
        <f t="shared" si="231"/>
        <v>0</v>
      </c>
      <c r="BZ552" s="71"/>
      <c r="CA552" s="71"/>
      <c r="CB552" s="71">
        <f t="shared" si="232"/>
        <v>0</v>
      </c>
      <c r="CD552" s="71"/>
      <c r="CE552" s="71"/>
      <c r="CF552" s="71">
        <f t="shared" si="233"/>
        <v>0</v>
      </c>
      <c r="CH552" s="71"/>
      <c r="CI552" s="71"/>
      <c r="CJ552" s="138">
        <f t="shared" si="234"/>
        <v>0</v>
      </c>
      <c r="CL552" s="71"/>
      <c r="CM552" s="71"/>
      <c r="CN552" s="71">
        <f t="shared" si="235"/>
        <v>0</v>
      </c>
      <c r="CS552" s="102">
        <f t="shared" si="236"/>
        <v>4.5293954747099576</v>
      </c>
      <c r="CT552" s="102">
        <f t="shared" si="237"/>
        <v>18.675175962423801</v>
      </c>
      <c r="CZ552" s="109" t="str">
        <f t="shared" si="238"/>
        <v>Basso</v>
      </c>
    </row>
    <row r="553" spans="9:104" x14ac:dyDescent="0.15">
      <c r="I553" s="64">
        <f t="shared" si="216"/>
        <v>76.99972307006928</v>
      </c>
      <c r="K553" s="64">
        <f t="shared" ref="K553:K591" si="239">AVERAGE($J$2:$J$296)</f>
        <v>1.2949152542372881</v>
      </c>
      <c r="L553" s="64">
        <f t="shared" ref="L553:L591" si="240">STDEV($J$2:$J$296)</f>
        <v>0.69336597143553846</v>
      </c>
      <c r="M553" s="64">
        <f t="shared" si="217"/>
        <v>0</v>
      </c>
      <c r="Q553" s="64">
        <f t="shared" si="218"/>
        <v>0</v>
      </c>
      <c r="U553" s="64">
        <f t="shared" si="219"/>
        <v>0</v>
      </c>
      <c r="Y553" s="114">
        <f t="shared" si="220"/>
        <v>0</v>
      </c>
      <c r="AC553" s="64">
        <f t="shared" si="221"/>
        <v>0</v>
      </c>
      <c r="AE553" s="71"/>
      <c r="AF553" s="71"/>
      <c r="AG553" s="71">
        <f t="shared" si="222"/>
        <v>0</v>
      </c>
      <c r="AK553" s="64">
        <f t="shared" si="223"/>
        <v>0</v>
      </c>
      <c r="AM553" s="71"/>
      <c r="AN553" s="71"/>
      <c r="AO553" s="71">
        <f t="shared" si="224"/>
        <v>0</v>
      </c>
      <c r="AQ553" s="71"/>
      <c r="AR553" s="71"/>
      <c r="AS553" s="71">
        <f t="shared" si="225"/>
        <v>0</v>
      </c>
      <c r="AU553" s="71"/>
      <c r="AV553" s="71"/>
      <c r="AW553" s="71">
        <f t="shared" si="226"/>
        <v>0</v>
      </c>
      <c r="AY553" s="71"/>
      <c r="AZ553" s="71"/>
      <c r="BA553" s="71">
        <f t="shared" si="227"/>
        <v>0</v>
      </c>
      <c r="BI553" s="71"/>
      <c r="BJ553" s="71"/>
      <c r="BK553" s="71">
        <f t="shared" si="228"/>
        <v>0</v>
      </c>
      <c r="BM553" s="71"/>
      <c r="BN553" s="71"/>
      <c r="BO553" s="71">
        <f t="shared" si="229"/>
        <v>0</v>
      </c>
      <c r="BQ553" s="71"/>
      <c r="BR553" s="71"/>
      <c r="BS553" s="138">
        <f t="shared" si="230"/>
        <v>0</v>
      </c>
      <c r="BU553" s="71"/>
      <c r="BV553" s="71"/>
      <c r="BW553" s="71">
        <f t="shared" si="231"/>
        <v>0</v>
      </c>
      <c r="BZ553" s="71"/>
      <c r="CA553" s="71"/>
      <c r="CB553" s="71">
        <f t="shared" si="232"/>
        <v>0</v>
      </c>
      <c r="CD553" s="71"/>
      <c r="CE553" s="71"/>
      <c r="CF553" s="71">
        <f t="shared" si="233"/>
        <v>0</v>
      </c>
      <c r="CH553" s="71"/>
      <c r="CI553" s="71"/>
      <c r="CJ553" s="138">
        <f t="shared" si="234"/>
        <v>0</v>
      </c>
      <c r="CL553" s="71"/>
      <c r="CM553" s="71"/>
      <c r="CN553" s="71">
        <f t="shared" si="235"/>
        <v>0</v>
      </c>
      <c r="CS553" s="102">
        <f t="shared" si="236"/>
        <v>4.5293954747099576</v>
      </c>
      <c r="CT553" s="102">
        <f t="shared" si="237"/>
        <v>18.675175962423801</v>
      </c>
      <c r="CZ553" s="109" t="str">
        <f t="shared" si="238"/>
        <v>Basso</v>
      </c>
    </row>
    <row r="554" spans="9:104" x14ac:dyDescent="0.15">
      <c r="I554" s="64">
        <f t="shared" si="216"/>
        <v>76.99972307006928</v>
      </c>
      <c r="K554" s="64">
        <f t="shared" si="239"/>
        <v>1.2949152542372881</v>
      </c>
      <c r="L554" s="64">
        <f t="shared" si="240"/>
        <v>0.69336597143553846</v>
      </c>
      <c r="M554" s="64">
        <f t="shared" si="217"/>
        <v>0</v>
      </c>
      <c r="Q554" s="64">
        <f t="shared" si="218"/>
        <v>0</v>
      </c>
      <c r="U554" s="64">
        <f t="shared" si="219"/>
        <v>0</v>
      </c>
      <c r="Y554" s="114">
        <f t="shared" si="220"/>
        <v>0</v>
      </c>
      <c r="AC554" s="64">
        <f t="shared" si="221"/>
        <v>0</v>
      </c>
      <c r="AE554" s="71"/>
      <c r="AF554" s="71"/>
      <c r="AG554" s="71">
        <f t="shared" si="222"/>
        <v>0</v>
      </c>
      <c r="AK554" s="64">
        <f t="shared" si="223"/>
        <v>0</v>
      </c>
      <c r="AM554" s="71"/>
      <c r="AN554" s="71"/>
      <c r="AO554" s="71">
        <f t="shared" si="224"/>
        <v>0</v>
      </c>
      <c r="AQ554" s="71"/>
      <c r="AR554" s="71"/>
      <c r="AS554" s="71">
        <f t="shared" si="225"/>
        <v>0</v>
      </c>
      <c r="AU554" s="71"/>
      <c r="AV554" s="71"/>
      <c r="AW554" s="71">
        <f t="shared" si="226"/>
        <v>0</v>
      </c>
      <c r="AY554" s="71"/>
      <c r="AZ554" s="71"/>
      <c r="BA554" s="71">
        <f t="shared" si="227"/>
        <v>0</v>
      </c>
      <c r="BI554" s="71"/>
      <c r="BJ554" s="71"/>
      <c r="BK554" s="71">
        <f t="shared" si="228"/>
        <v>0</v>
      </c>
      <c r="BM554" s="71"/>
      <c r="BN554" s="71"/>
      <c r="BO554" s="71">
        <f t="shared" si="229"/>
        <v>0</v>
      </c>
      <c r="BQ554" s="71"/>
      <c r="BR554" s="71"/>
      <c r="BS554" s="138">
        <f t="shared" si="230"/>
        <v>0</v>
      </c>
      <c r="BU554" s="71"/>
      <c r="BV554" s="71"/>
      <c r="BW554" s="71">
        <f t="shared" si="231"/>
        <v>0</v>
      </c>
      <c r="BZ554" s="71"/>
      <c r="CA554" s="71"/>
      <c r="CB554" s="71">
        <f t="shared" si="232"/>
        <v>0</v>
      </c>
      <c r="CD554" s="71"/>
      <c r="CE554" s="71"/>
      <c r="CF554" s="71">
        <f t="shared" si="233"/>
        <v>0</v>
      </c>
      <c r="CH554" s="71"/>
      <c r="CI554" s="71"/>
      <c r="CJ554" s="138">
        <f t="shared" si="234"/>
        <v>0</v>
      </c>
      <c r="CL554" s="71"/>
      <c r="CM554" s="71"/>
      <c r="CN554" s="71">
        <f t="shared" si="235"/>
        <v>0</v>
      </c>
      <c r="CS554" s="102">
        <f t="shared" si="236"/>
        <v>4.5293954747099576</v>
      </c>
      <c r="CT554" s="102">
        <f t="shared" si="237"/>
        <v>18.675175962423801</v>
      </c>
      <c r="CZ554" s="109" t="str">
        <f t="shared" si="238"/>
        <v>Basso</v>
      </c>
    </row>
    <row r="555" spans="9:104" x14ac:dyDescent="0.15">
      <c r="I555" s="64">
        <f t="shared" si="216"/>
        <v>76.99972307006928</v>
      </c>
      <c r="K555" s="64">
        <f t="shared" si="239"/>
        <v>1.2949152542372881</v>
      </c>
      <c r="L555" s="64">
        <f t="shared" si="240"/>
        <v>0.69336597143553846</v>
      </c>
      <c r="M555" s="64">
        <f t="shared" si="217"/>
        <v>0</v>
      </c>
      <c r="Q555" s="64">
        <f t="shared" si="218"/>
        <v>0</v>
      </c>
      <c r="U555" s="64">
        <f t="shared" si="219"/>
        <v>0</v>
      </c>
      <c r="Y555" s="114">
        <f t="shared" si="220"/>
        <v>0</v>
      </c>
      <c r="AC555" s="64">
        <f t="shared" si="221"/>
        <v>0</v>
      </c>
      <c r="AE555" s="71"/>
      <c r="AF555" s="71"/>
      <c r="AG555" s="71">
        <f t="shared" si="222"/>
        <v>0</v>
      </c>
      <c r="AK555" s="64">
        <f t="shared" si="223"/>
        <v>0</v>
      </c>
      <c r="AM555" s="71"/>
      <c r="AN555" s="71"/>
      <c r="AO555" s="71">
        <f t="shared" si="224"/>
        <v>0</v>
      </c>
      <c r="AQ555" s="71"/>
      <c r="AR555" s="71"/>
      <c r="AS555" s="71">
        <f t="shared" si="225"/>
        <v>0</v>
      </c>
      <c r="AU555" s="71"/>
      <c r="AV555" s="71"/>
      <c r="AW555" s="71">
        <f t="shared" si="226"/>
        <v>0</v>
      </c>
      <c r="AY555" s="71"/>
      <c r="AZ555" s="71"/>
      <c r="BA555" s="71">
        <f t="shared" si="227"/>
        <v>0</v>
      </c>
      <c r="BI555" s="71"/>
      <c r="BJ555" s="71"/>
      <c r="BK555" s="71">
        <f t="shared" si="228"/>
        <v>0</v>
      </c>
      <c r="BM555" s="71"/>
      <c r="BN555" s="71"/>
      <c r="BO555" s="71">
        <f t="shared" si="229"/>
        <v>0</v>
      </c>
      <c r="BQ555" s="71"/>
      <c r="BR555" s="71"/>
      <c r="BS555" s="138">
        <f t="shared" si="230"/>
        <v>0</v>
      </c>
      <c r="BU555" s="71"/>
      <c r="BV555" s="71"/>
      <c r="BW555" s="71">
        <f t="shared" si="231"/>
        <v>0</v>
      </c>
      <c r="BZ555" s="71"/>
      <c r="CA555" s="71"/>
      <c r="CB555" s="71">
        <f t="shared" si="232"/>
        <v>0</v>
      </c>
      <c r="CD555" s="71"/>
      <c r="CE555" s="71"/>
      <c r="CF555" s="71">
        <f t="shared" si="233"/>
        <v>0</v>
      </c>
      <c r="CH555" s="71"/>
      <c r="CI555" s="71"/>
      <c r="CJ555" s="138">
        <f t="shared" si="234"/>
        <v>0</v>
      </c>
      <c r="CL555" s="71"/>
      <c r="CM555" s="71"/>
      <c r="CN555" s="71">
        <f t="shared" si="235"/>
        <v>0</v>
      </c>
      <c r="CS555" s="102">
        <f t="shared" si="236"/>
        <v>4.5293954747099576</v>
      </c>
      <c r="CT555" s="102">
        <f t="shared" si="237"/>
        <v>18.675175962423801</v>
      </c>
      <c r="CZ555" s="109" t="str">
        <f t="shared" si="238"/>
        <v>Basso</v>
      </c>
    </row>
    <row r="556" spans="9:104" x14ac:dyDescent="0.15">
      <c r="I556" s="64">
        <f t="shared" si="216"/>
        <v>76.99972307006928</v>
      </c>
      <c r="K556" s="64">
        <f t="shared" si="239"/>
        <v>1.2949152542372881</v>
      </c>
      <c r="L556" s="64">
        <f t="shared" si="240"/>
        <v>0.69336597143553846</v>
      </c>
      <c r="M556" s="64">
        <f t="shared" si="217"/>
        <v>0</v>
      </c>
      <c r="Q556" s="64">
        <f t="shared" si="218"/>
        <v>0</v>
      </c>
      <c r="U556" s="64">
        <f t="shared" si="219"/>
        <v>0</v>
      </c>
      <c r="Y556" s="114">
        <f t="shared" si="220"/>
        <v>0</v>
      </c>
      <c r="AC556" s="64">
        <f t="shared" si="221"/>
        <v>0</v>
      </c>
      <c r="AE556" s="71"/>
      <c r="AF556" s="71"/>
      <c r="AG556" s="71">
        <f t="shared" si="222"/>
        <v>0</v>
      </c>
      <c r="AK556" s="64">
        <f t="shared" si="223"/>
        <v>0</v>
      </c>
      <c r="AM556" s="71"/>
      <c r="AN556" s="71"/>
      <c r="AO556" s="71">
        <f t="shared" si="224"/>
        <v>0</v>
      </c>
      <c r="AQ556" s="71"/>
      <c r="AR556" s="71"/>
      <c r="AS556" s="71">
        <f t="shared" si="225"/>
        <v>0</v>
      </c>
      <c r="AU556" s="71"/>
      <c r="AV556" s="71"/>
      <c r="AW556" s="71">
        <f t="shared" si="226"/>
        <v>0</v>
      </c>
      <c r="AY556" s="71"/>
      <c r="AZ556" s="71"/>
      <c r="BA556" s="71">
        <f t="shared" si="227"/>
        <v>0</v>
      </c>
      <c r="BI556" s="71"/>
      <c r="BJ556" s="71"/>
      <c r="BK556" s="71">
        <f t="shared" si="228"/>
        <v>0</v>
      </c>
      <c r="BM556" s="71"/>
      <c r="BN556" s="71"/>
      <c r="BO556" s="71">
        <f t="shared" si="229"/>
        <v>0</v>
      </c>
      <c r="BQ556" s="71"/>
      <c r="BR556" s="71"/>
      <c r="BS556" s="138">
        <f t="shared" si="230"/>
        <v>0</v>
      </c>
      <c r="BU556" s="71"/>
      <c r="BV556" s="71"/>
      <c r="BW556" s="71">
        <f t="shared" si="231"/>
        <v>0</v>
      </c>
      <c r="BZ556" s="71"/>
      <c r="CA556" s="71"/>
      <c r="CB556" s="71">
        <f t="shared" si="232"/>
        <v>0</v>
      </c>
      <c r="CD556" s="71"/>
      <c r="CE556" s="71"/>
      <c r="CF556" s="71">
        <f t="shared" si="233"/>
        <v>0</v>
      </c>
      <c r="CH556" s="71"/>
      <c r="CI556" s="71"/>
      <c r="CJ556" s="138">
        <f t="shared" si="234"/>
        <v>0</v>
      </c>
      <c r="CL556" s="71"/>
      <c r="CM556" s="71"/>
      <c r="CN556" s="71">
        <f t="shared" si="235"/>
        <v>0</v>
      </c>
      <c r="CS556" s="102">
        <f t="shared" si="236"/>
        <v>4.5293954747099576</v>
      </c>
      <c r="CT556" s="102">
        <f t="shared" si="237"/>
        <v>18.675175962423801</v>
      </c>
      <c r="CZ556" s="109" t="str">
        <f t="shared" si="238"/>
        <v>Basso</v>
      </c>
    </row>
    <row r="557" spans="9:104" x14ac:dyDescent="0.15">
      <c r="I557" s="64">
        <f t="shared" si="216"/>
        <v>76.99972307006928</v>
      </c>
      <c r="K557" s="64">
        <f t="shared" si="239"/>
        <v>1.2949152542372881</v>
      </c>
      <c r="L557" s="64">
        <f t="shared" si="240"/>
        <v>0.69336597143553846</v>
      </c>
      <c r="M557" s="64">
        <f t="shared" si="217"/>
        <v>0</v>
      </c>
      <c r="Q557" s="64">
        <f t="shared" si="218"/>
        <v>0</v>
      </c>
      <c r="U557" s="64">
        <f t="shared" si="219"/>
        <v>0</v>
      </c>
      <c r="Y557" s="114">
        <f t="shared" si="220"/>
        <v>0</v>
      </c>
      <c r="AC557" s="64">
        <f t="shared" si="221"/>
        <v>0</v>
      </c>
      <c r="AE557" s="71"/>
      <c r="AF557" s="71"/>
      <c r="AG557" s="71">
        <f t="shared" si="222"/>
        <v>0</v>
      </c>
      <c r="AK557" s="64">
        <f t="shared" si="223"/>
        <v>0</v>
      </c>
      <c r="AM557" s="71"/>
      <c r="AN557" s="71"/>
      <c r="AO557" s="71">
        <f t="shared" si="224"/>
        <v>0</v>
      </c>
      <c r="AQ557" s="71"/>
      <c r="AR557" s="71"/>
      <c r="AS557" s="71">
        <f t="shared" si="225"/>
        <v>0</v>
      </c>
      <c r="AU557" s="71"/>
      <c r="AV557" s="71"/>
      <c r="AW557" s="71">
        <f t="shared" si="226"/>
        <v>0</v>
      </c>
      <c r="AY557" s="71"/>
      <c r="AZ557" s="71"/>
      <c r="BA557" s="71">
        <f t="shared" si="227"/>
        <v>0</v>
      </c>
      <c r="BI557" s="71"/>
      <c r="BJ557" s="71"/>
      <c r="BK557" s="71">
        <f t="shared" si="228"/>
        <v>0</v>
      </c>
      <c r="BM557" s="71"/>
      <c r="BN557" s="71"/>
      <c r="BO557" s="71">
        <f t="shared" si="229"/>
        <v>0</v>
      </c>
      <c r="BQ557" s="71"/>
      <c r="BR557" s="71"/>
      <c r="BS557" s="138">
        <f t="shared" si="230"/>
        <v>0</v>
      </c>
      <c r="BU557" s="71"/>
      <c r="BV557" s="71"/>
      <c r="BW557" s="71">
        <f t="shared" si="231"/>
        <v>0</v>
      </c>
      <c r="BZ557" s="71"/>
      <c r="CA557" s="71"/>
      <c r="CB557" s="71">
        <f t="shared" si="232"/>
        <v>0</v>
      </c>
      <c r="CD557" s="71"/>
      <c r="CE557" s="71"/>
      <c r="CF557" s="71">
        <f t="shared" si="233"/>
        <v>0</v>
      </c>
      <c r="CH557" s="71"/>
      <c r="CI557" s="71"/>
      <c r="CJ557" s="138">
        <f t="shared" si="234"/>
        <v>0</v>
      </c>
      <c r="CL557" s="71"/>
      <c r="CM557" s="71"/>
      <c r="CN557" s="71">
        <f t="shared" si="235"/>
        <v>0</v>
      </c>
      <c r="CS557" s="102">
        <f t="shared" si="236"/>
        <v>4.5293954747099576</v>
      </c>
      <c r="CT557" s="102">
        <f t="shared" si="237"/>
        <v>18.675175962423801</v>
      </c>
      <c r="CZ557" s="109" t="str">
        <f t="shared" si="238"/>
        <v>Basso</v>
      </c>
    </row>
    <row r="558" spans="9:104" x14ac:dyDescent="0.15">
      <c r="I558" s="64">
        <f t="shared" si="216"/>
        <v>76.99972307006928</v>
      </c>
      <c r="K558" s="64">
        <f t="shared" si="239"/>
        <v>1.2949152542372881</v>
      </c>
      <c r="L558" s="64">
        <f t="shared" si="240"/>
        <v>0.69336597143553846</v>
      </c>
      <c r="M558" s="64">
        <f t="shared" si="217"/>
        <v>0</v>
      </c>
      <c r="Q558" s="64">
        <f t="shared" si="218"/>
        <v>0</v>
      </c>
      <c r="U558" s="64">
        <f t="shared" si="219"/>
        <v>0</v>
      </c>
      <c r="Y558" s="114">
        <f t="shared" si="220"/>
        <v>0</v>
      </c>
      <c r="AC558" s="64">
        <f t="shared" si="221"/>
        <v>0</v>
      </c>
      <c r="AE558" s="71"/>
      <c r="AF558" s="71"/>
      <c r="AG558" s="71">
        <f t="shared" si="222"/>
        <v>0</v>
      </c>
      <c r="AK558" s="64">
        <f t="shared" si="223"/>
        <v>0</v>
      </c>
      <c r="AM558" s="71"/>
      <c r="AN558" s="71"/>
      <c r="AO558" s="71">
        <f t="shared" si="224"/>
        <v>0</v>
      </c>
      <c r="AQ558" s="71"/>
      <c r="AR558" s="71"/>
      <c r="AS558" s="71">
        <f t="shared" si="225"/>
        <v>0</v>
      </c>
      <c r="AU558" s="71"/>
      <c r="AV558" s="71"/>
      <c r="AW558" s="71">
        <f t="shared" si="226"/>
        <v>0</v>
      </c>
      <c r="AY558" s="71"/>
      <c r="AZ558" s="71"/>
      <c r="BA558" s="71">
        <f t="shared" si="227"/>
        <v>0</v>
      </c>
      <c r="BI558" s="71"/>
      <c r="BJ558" s="71"/>
      <c r="BK558" s="71">
        <f t="shared" si="228"/>
        <v>0</v>
      </c>
      <c r="BM558" s="71"/>
      <c r="BN558" s="71"/>
      <c r="BO558" s="71">
        <f t="shared" si="229"/>
        <v>0</v>
      </c>
      <c r="BQ558" s="71"/>
      <c r="BR558" s="71"/>
      <c r="BS558" s="138">
        <f t="shared" si="230"/>
        <v>0</v>
      </c>
      <c r="BU558" s="71"/>
      <c r="BV558" s="71"/>
      <c r="BW558" s="71">
        <f t="shared" si="231"/>
        <v>0</v>
      </c>
      <c r="BZ558" s="71"/>
      <c r="CA558" s="71"/>
      <c r="CB558" s="71">
        <f t="shared" si="232"/>
        <v>0</v>
      </c>
      <c r="CD558" s="71"/>
      <c r="CE558" s="71"/>
      <c r="CF558" s="71">
        <f t="shared" si="233"/>
        <v>0</v>
      </c>
      <c r="CH558" s="71"/>
      <c r="CI558" s="71"/>
      <c r="CJ558" s="138">
        <f t="shared" si="234"/>
        <v>0</v>
      </c>
      <c r="CL558" s="71"/>
      <c r="CM558" s="71"/>
      <c r="CN558" s="71">
        <f t="shared" si="235"/>
        <v>0</v>
      </c>
      <c r="CS558" s="102">
        <f t="shared" si="236"/>
        <v>4.5293954747099576</v>
      </c>
      <c r="CT558" s="102">
        <f t="shared" si="237"/>
        <v>18.675175962423801</v>
      </c>
      <c r="CZ558" s="109" t="str">
        <f t="shared" si="238"/>
        <v>Basso</v>
      </c>
    </row>
    <row r="559" spans="9:104" x14ac:dyDescent="0.15">
      <c r="I559" s="64">
        <f t="shared" si="216"/>
        <v>76.99972307006928</v>
      </c>
      <c r="K559" s="64">
        <f t="shared" si="239"/>
        <v>1.2949152542372881</v>
      </c>
      <c r="L559" s="64">
        <f t="shared" si="240"/>
        <v>0.69336597143553846</v>
      </c>
      <c r="M559" s="64">
        <f t="shared" si="217"/>
        <v>0</v>
      </c>
      <c r="Q559" s="64">
        <f t="shared" si="218"/>
        <v>0</v>
      </c>
      <c r="U559" s="64">
        <f t="shared" si="219"/>
        <v>0</v>
      </c>
      <c r="Y559" s="114">
        <f t="shared" si="220"/>
        <v>0</v>
      </c>
      <c r="AC559" s="64">
        <f t="shared" si="221"/>
        <v>0</v>
      </c>
      <c r="AE559" s="71"/>
      <c r="AF559" s="71"/>
      <c r="AG559" s="71">
        <f t="shared" si="222"/>
        <v>0</v>
      </c>
      <c r="AK559" s="64">
        <f t="shared" si="223"/>
        <v>0</v>
      </c>
      <c r="AM559" s="71"/>
      <c r="AN559" s="71"/>
      <c r="AO559" s="71">
        <f t="shared" si="224"/>
        <v>0</v>
      </c>
      <c r="AQ559" s="71"/>
      <c r="AR559" s="71"/>
      <c r="AS559" s="71">
        <f t="shared" si="225"/>
        <v>0</v>
      </c>
      <c r="AU559" s="71"/>
      <c r="AV559" s="71"/>
      <c r="AW559" s="71">
        <f t="shared" si="226"/>
        <v>0</v>
      </c>
      <c r="AY559" s="71"/>
      <c r="AZ559" s="71"/>
      <c r="BA559" s="71">
        <f t="shared" si="227"/>
        <v>0</v>
      </c>
      <c r="BI559" s="71"/>
      <c r="BJ559" s="71"/>
      <c r="BK559" s="71">
        <f t="shared" si="228"/>
        <v>0</v>
      </c>
      <c r="BM559" s="71"/>
      <c r="BN559" s="71"/>
      <c r="BO559" s="71">
        <f t="shared" si="229"/>
        <v>0</v>
      </c>
      <c r="BQ559" s="71"/>
      <c r="BR559" s="71"/>
      <c r="BS559" s="138">
        <f t="shared" si="230"/>
        <v>0</v>
      </c>
      <c r="BU559" s="71"/>
      <c r="BV559" s="71"/>
      <c r="BW559" s="71">
        <f t="shared" si="231"/>
        <v>0</v>
      </c>
      <c r="BZ559" s="71"/>
      <c r="CA559" s="71"/>
      <c r="CB559" s="71">
        <f t="shared" si="232"/>
        <v>0</v>
      </c>
      <c r="CD559" s="71"/>
      <c r="CE559" s="71"/>
      <c r="CF559" s="71">
        <f t="shared" si="233"/>
        <v>0</v>
      </c>
      <c r="CH559" s="71"/>
      <c r="CI559" s="71"/>
      <c r="CJ559" s="138">
        <f t="shared" si="234"/>
        <v>0</v>
      </c>
      <c r="CL559" s="71"/>
      <c r="CM559" s="71"/>
      <c r="CN559" s="71">
        <f t="shared" si="235"/>
        <v>0</v>
      </c>
      <c r="CS559" s="102">
        <f t="shared" si="236"/>
        <v>4.5293954747099576</v>
      </c>
      <c r="CT559" s="102">
        <f t="shared" si="237"/>
        <v>18.675175962423801</v>
      </c>
      <c r="CZ559" s="109" t="str">
        <f t="shared" si="238"/>
        <v>Basso</v>
      </c>
    </row>
    <row r="560" spans="9:104" x14ac:dyDescent="0.15">
      <c r="I560" s="64">
        <f t="shared" si="216"/>
        <v>76.99972307006928</v>
      </c>
      <c r="K560" s="64">
        <f t="shared" si="239"/>
        <v>1.2949152542372881</v>
      </c>
      <c r="L560" s="64">
        <f t="shared" si="240"/>
        <v>0.69336597143553846</v>
      </c>
      <c r="M560" s="64">
        <f t="shared" si="217"/>
        <v>0</v>
      </c>
      <c r="Q560" s="64">
        <f t="shared" si="218"/>
        <v>0</v>
      </c>
      <c r="U560" s="64">
        <f t="shared" si="219"/>
        <v>0</v>
      </c>
      <c r="Y560" s="114">
        <f t="shared" si="220"/>
        <v>0</v>
      </c>
      <c r="AC560" s="64">
        <f t="shared" si="221"/>
        <v>0</v>
      </c>
      <c r="AE560" s="71"/>
      <c r="AF560" s="71"/>
      <c r="AG560" s="71">
        <f t="shared" si="222"/>
        <v>0</v>
      </c>
      <c r="AK560" s="64">
        <f t="shared" si="223"/>
        <v>0</v>
      </c>
      <c r="AM560" s="71"/>
      <c r="AN560" s="71"/>
      <c r="AO560" s="71">
        <f t="shared" si="224"/>
        <v>0</v>
      </c>
      <c r="AQ560" s="71"/>
      <c r="AR560" s="71"/>
      <c r="AS560" s="71">
        <f t="shared" si="225"/>
        <v>0</v>
      </c>
      <c r="AU560" s="71"/>
      <c r="AV560" s="71"/>
      <c r="AW560" s="71">
        <f t="shared" si="226"/>
        <v>0</v>
      </c>
      <c r="AY560" s="71"/>
      <c r="AZ560" s="71"/>
      <c r="BA560" s="71">
        <f t="shared" si="227"/>
        <v>0</v>
      </c>
      <c r="BI560" s="71"/>
      <c r="BJ560" s="71"/>
      <c r="BK560" s="71">
        <f t="shared" si="228"/>
        <v>0</v>
      </c>
      <c r="BM560" s="71"/>
      <c r="BN560" s="71"/>
      <c r="BO560" s="71">
        <f t="shared" si="229"/>
        <v>0</v>
      </c>
      <c r="BQ560" s="71"/>
      <c r="BR560" s="71"/>
      <c r="BS560" s="138">
        <f t="shared" si="230"/>
        <v>0</v>
      </c>
      <c r="BU560" s="71"/>
      <c r="BV560" s="71"/>
      <c r="BW560" s="71">
        <f t="shared" si="231"/>
        <v>0</v>
      </c>
      <c r="BZ560" s="71"/>
      <c r="CA560" s="71"/>
      <c r="CB560" s="71">
        <f t="shared" si="232"/>
        <v>0</v>
      </c>
      <c r="CD560" s="71"/>
      <c r="CE560" s="71"/>
      <c r="CF560" s="71">
        <f t="shared" si="233"/>
        <v>0</v>
      </c>
      <c r="CH560" s="71"/>
      <c r="CI560" s="71"/>
      <c r="CJ560" s="138">
        <f t="shared" si="234"/>
        <v>0</v>
      </c>
      <c r="CL560" s="71"/>
      <c r="CM560" s="71"/>
      <c r="CN560" s="71">
        <f t="shared" si="235"/>
        <v>0</v>
      </c>
      <c r="CS560" s="102">
        <f t="shared" si="236"/>
        <v>4.5293954747099576</v>
      </c>
      <c r="CT560" s="102">
        <f t="shared" si="237"/>
        <v>18.675175962423801</v>
      </c>
      <c r="CZ560" s="109" t="str">
        <f t="shared" si="238"/>
        <v>Basso</v>
      </c>
    </row>
    <row r="561" spans="9:104" x14ac:dyDescent="0.15">
      <c r="I561" s="64">
        <f t="shared" si="216"/>
        <v>76.99972307006928</v>
      </c>
      <c r="K561" s="64">
        <f t="shared" si="239"/>
        <v>1.2949152542372881</v>
      </c>
      <c r="L561" s="64">
        <f t="shared" si="240"/>
        <v>0.69336597143553846</v>
      </c>
      <c r="M561" s="64">
        <f t="shared" si="217"/>
        <v>0</v>
      </c>
      <c r="Q561" s="64">
        <f t="shared" si="218"/>
        <v>0</v>
      </c>
      <c r="U561" s="64">
        <f t="shared" si="219"/>
        <v>0</v>
      </c>
      <c r="Y561" s="114">
        <f t="shared" si="220"/>
        <v>0</v>
      </c>
      <c r="AC561" s="64">
        <f t="shared" si="221"/>
        <v>0</v>
      </c>
      <c r="AE561" s="71"/>
      <c r="AF561" s="71"/>
      <c r="AG561" s="71">
        <f t="shared" si="222"/>
        <v>0</v>
      </c>
      <c r="AK561" s="64">
        <f t="shared" si="223"/>
        <v>0</v>
      </c>
      <c r="AM561" s="71"/>
      <c r="AN561" s="71"/>
      <c r="AO561" s="71">
        <f t="shared" si="224"/>
        <v>0</v>
      </c>
      <c r="AQ561" s="71"/>
      <c r="AR561" s="71"/>
      <c r="AS561" s="71">
        <f t="shared" si="225"/>
        <v>0</v>
      </c>
      <c r="AU561" s="71"/>
      <c r="AV561" s="71"/>
      <c r="AW561" s="71">
        <f t="shared" si="226"/>
        <v>0</v>
      </c>
      <c r="AY561" s="71"/>
      <c r="AZ561" s="71"/>
      <c r="BA561" s="71">
        <f t="shared" si="227"/>
        <v>0</v>
      </c>
      <c r="BI561" s="71"/>
      <c r="BJ561" s="71"/>
      <c r="BK561" s="71">
        <f t="shared" si="228"/>
        <v>0</v>
      </c>
      <c r="BM561" s="71"/>
      <c r="BN561" s="71"/>
      <c r="BO561" s="71">
        <f t="shared" si="229"/>
        <v>0</v>
      </c>
      <c r="BQ561" s="71"/>
      <c r="BR561" s="71"/>
      <c r="BS561" s="138">
        <f t="shared" si="230"/>
        <v>0</v>
      </c>
      <c r="BU561" s="71"/>
      <c r="BV561" s="71"/>
      <c r="BW561" s="71">
        <f t="shared" si="231"/>
        <v>0</v>
      </c>
      <c r="BZ561" s="71"/>
      <c r="CA561" s="71"/>
      <c r="CB561" s="71">
        <f t="shared" si="232"/>
        <v>0</v>
      </c>
      <c r="CD561" s="71"/>
      <c r="CE561" s="71"/>
      <c r="CF561" s="71">
        <f t="shared" si="233"/>
        <v>0</v>
      </c>
      <c r="CH561" s="71"/>
      <c r="CI561" s="71"/>
      <c r="CJ561" s="138">
        <f t="shared" si="234"/>
        <v>0</v>
      </c>
      <c r="CL561" s="71"/>
      <c r="CM561" s="71"/>
      <c r="CN561" s="71">
        <f t="shared" si="235"/>
        <v>0</v>
      </c>
      <c r="CS561" s="102">
        <f t="shared" si="236"/>
        <v>4.5293954747099576</v>
      </c>
      <c r="CT561" s="102">
        <f t="shared" si="237"/>
        <v>18.675175962423801</v>
      </c>
      <c r="CZ561" s="109" t="str">
        <f t="shared" si="238"/>
        <v>Basso</v>
      </c>
    </row>
    <row r="562" spans="9:104" x14ac:dyDescent="0.15">
      <c r="I562" s="64">
        <f t="shared" si="216"/>
        <v>76.99972307006928</v>
      </c>
      <c r="K562" s="64">
        <f t="shared" si="239"/>
        <v>1.2949152542372881</v>
      </c>
      <c r="L562" s="64">
        <f t="shared" si="240"/>
        <v>0.69336597143553846</v>
      </c>
      <c r="M562" s="64">
        <f t="shared" si="217"/>
        <v>0</v>
      </c>
      <c r="Q562" s="64">
        <f t="shared" si="218"/>
        <v>0</v>
      </c>
      <c r="U562" s="64">
        <f t="shared" si="219"/>
        <v>0</v>
      </c>
      <c r="Y562" s="114">
        <f t="shared" si="220"/>
        <v>0</v>
      </c>
      <c r="AC562" s="64">
        <f t="shared" si="221"/>
        <v>0</v>
      </c>
      <c r="AE562" s="71"/>
      <c r="AF562" s="71"/>
      <c r="AG562" s="71">
        <f t="shared" si="222"/>
        <v>0</v>
      </c>
      <c r="AK562" s="64">
        <f t="shared" si="223"/>
        <v>0</v>
      </c>
      <c r="AM562" s="71"/>
      <c r="AN562" s="71"/>
      <c r="AO562" s="71">
        <f t="shared" si="224"/>
        <v>0</v>
      </c>
      <c r="AQ562" s="71"/>
      <c r="AR562" s="71"/>
      <c r="AS562" s="71">
        <f t="shared" si="225"/>
        <v>0</v>
      </c>
      <c r="AU562" s="71"/>
      <c r="AV562" s="71"/>
      <c r="AW562" s="71">
        <f t="shared" si="226"/>
        <v>0</v>
      </c>
      <c r="AY562" s="71"/>
      <c r="AZ562" s="71"/>
      <c r="BA562" s="71">
        <f t="shared" si="227"/>
        <v>0</v>
      </c>
      <c r="BI562" s="71"/>
      <c r="BJ562" s="71"/>
      <c r="BK562" s="71">
        <f t="shared" si="228"/>
        <v>0</v>
      </c>
      <c r="BM562" s="71"/>
      <c r="BN562" s="71"/>
      <c r="BO562" s="71">
        <f t="shared" si="229"/>
        <v>0</v>
      </c>
      <c r="BQ562" s="71"/>
      <c r="BR562" s="71"/>
      <c r="BS562" s="138">
        <f t="shared" si="230"/>
        <v>0</v>
      </c>
      <c r="BU562" s="71"/>
      <c r="BV562" s="71"/>
      <c r="BW562" s="71">
        <f t="shared" si="231"/>
        <v>0</v>
      </c>
      <c r="BZ562" s="71"/>
      <c r="CA562" s="71"/>
      <c r="CB562" s="71">
        <f t="shared" si="232"/>
        <v>0</v>
      </c>
      <c r="CD562" s="71"/>
      <c r="CE562" s="71"/>
      <c r="CF562" s="71">
        <f t="shared" si="233"/>
        <v>0</v>
      </c>
      <c r="CH562" s="71"/>
      <c r="CI562" s="71"/>
      <c r="CJ562" s="138">
        <f t="shared" si="234"/>
        <v>0</v>
      </c>
      <c r="CL562" s="71"/>
      <c r="CM562" s="71"/>
      <c r="CN562" s="71">
        <f t="shared" si="235"/>
        <v>0</v>
      </c>
      <c r="CS562" s="102">
        <f t="shared" si="236"/>
        <v>4.5293954747099576</v>
      </c>
      <c r="CT562" s="102">
        <f t="shared" si="237"/>
        <v>18.675175962423801</v>
      </c>
      <c r="CZ562" s="109" t="str">
        <f t="shared" si="238"/>
        <v>Basso</v>
      </c>
    </row>
    <row r="563" spans="9:104" x14ac:dyDescent="0.15">
      <c r="I563" s="64">
        <f t="shared" si="216"/>
        <v>76.99972307006928</v>
      </c>
      <c r="K563" s="64">
        <f t="shared" si="239"/>
        <v>1.2949152542372881</v>
      </c>
      <c r="L563" s="64">
        <f t="shared" si="240"/>
        <v>0.69336597143553846</v>
      </c>
      <c r="M563" s="64">
        <f t="shared" si="217"/>
        <v>0</v>
      </c>
      <c r="Q563" s="64">
        <f t="shared" si="218"/>
        <v>0</v>
      </c>
      <c r="U563" s="64">
        <f t="shared" si="219"/>
        <v>0</v>
      </c>
      <c r="Y563" s="114">
        <f t="shared" si="220"/>
        <v>0</v>
      </c>
      <c r="AC563" s="64">
        <f t="shared" si="221"/>
        <v>0</v>
      </c>
      <c r="AE563" s="71"/>
      <c r="AF563" s="71"/>
      <c r="AG563" s="71">
        <f t="shared" si="222"/>
        <v>0</v>
      </c>
      <c r="AK563" s="64">
        <f t="shared" si="223"/>
        <v>0</v>
      </c>
      <c r="AM563" s="71"/>
      <c r="AN563" s="71"/>
      <c r="AO563" s="71">
        <f t="shared" si="224"/>
        <v>0</v>
      </c>
      <c r="AQ563" s="71"/>
      <c r="AR563" s="71"/>
      <c r="AS563" s="71">
        <f t="shared" si="225"/>
        <v>0</v>
      </c>
      <c r="AU563" s="71"/>
      <c r="AV563" s="71"/>
      <c r="AW563" s="71">
        <f t="shared" si="226"/>
        <v>0</v>
      </c>
      <c r="AY563" s="71"/>
      <c r="AZ563" s="71"/>
      <c r="BA563" s="71">
        <f t="shared" si="227"/>
        <v>0</v>
      </c>
      <c r="BI563" s="71"/>
      <c r="BJ563" s="71"/>
      <c r="BK563" s="71">
        <f t="shared" si="228"/>
        <v>0</v>
      </c>
      <c r="BM563" s="71"/>
      <c r="BN563" s="71"/>
      <c r="BO563" s="71">
        <f t="shared" si="229"/>
        <v>0</v>
      </c>
      <c r="BQ563" s="71"/>
      <c r="BR563" s="71"/>
      <c r="BS563" s="138">
        <f t="shared" si="230"/>
        <v>0</v>
      </c>
      <c r="BU563" s="71"/>
      <c r="BV563" s="71"/>
      <c r="BW563" s="71">
        <f t="shared" si="231"/>
        <v>0</v>
      </c>
      <c r="BZ563" s="71"/>
      <c r="CA563" s="71"/>
      <c r="CB563" s="71">
        <f t="shared" si="232"/>
        <v>0</v>
      </c>
      <c r="CD563" s="71"/>
      <c r="CE563" s="71"/>
      <c r="CF563" s="71">
        <f t="shared" si="233"/>
        <v>0</v>
      </c>
      <c r="CH563" s="71"/>
      <c r="CI563" s="71"/>
      <c r="CJ563" s="138">
        <f t="shared" si="234"/>
        <v>0</v>
      </c>
      <c r="CL563" s="71"/>
      <c r="CM563" s="71"/>
      <c r="CN563" s="71">
        <f t="shared" si="235"/>
        <v>0</v>
      </c>
      <c r="CS563" s="102">
        <f t="shared" si="236"/>
        <v>4.5293954747099576</v>
      </c>
      <c r="CT563" s="102">
        <f t="shared" si="237"/>
        <v>18.675175962423801</v>
      </c>
      <c r="CZ563" s="109" t="str">
        <f t="shared" si="238"/>
        <v>Basso</v>
      </c>
    </row>
    <row r="564" spans="9:104" x14ac:dyDescent="0.15">
      <c r="I564" s="64">
        <f t="shared" si="216"/>
        <v>76.99972307006928</v>
      </c>
      <c r="K564" s="64">
        <f t="shared" si="239"/>
        <v>1.2949152542372881</v>
      </c>
      <c r="L564" s="64">
        <f t="shared" si="240"/>
        <v>0.69336597143553846</v>
      </c>
      <c r="M564" s="64">
        <f t="shared" si="217"/>
        <v>0</v>
      </c>
      <c r="Q564" s="64">
        <f t="shared" si="218"/>
        <v>0</v>
      </c>
      <c r="U564" s="64">
        <f t="shared" si="219"/>
        <v>0</v>
      </c>
      <c r="Y564" s="114">
        <f t="shared" si="220"/>
        <v>0</v>
      </c>
      <c r="AC564" s="64">
        <f t="shared" si="221"/>
        <v>0</v>
      </c>
      <c r="AE564" s="71"/>
      <c r="AF564" s="71"/>
      <c r="AG564" s="71">
        <f t="shared" si="222"/>
        <v>0</v>
      </c>
      <c r="AK564" s="64">
        <f t="shared" si="223"/>
        <v>0</v>
      </c>
      <c r="AM564" s="71"/>
      <c r="AN564" s="71"/>
      <c r="AO564" s="71">
        <f t="shared" si="224"/>
        <v>0</v>
      </c>
      <c r="AQ564" s="71"/>
      <c r="AR564" s="71"/>
      <c r="AS564" s="71">
        <f t="shared" si="225"/>
        <v>0</v>
      </c>
      <c r="AU564" s="71"/>
      <c r="AV564" s="71"/>
      <c r="AW564" s="71">
        <f t="shared" si="226"/>
        <v>0</v>
      </c>
      <c r="AY564" s="71"/>
      <c r="AZ564" s="71"/>
      <c r="BA564" s="71">
        <f t="shared" si="227"/>
        <v>0</v>
      </c>
      <c r="BI564" s="71"/>
      <c r="BJ564" s="71"/>
      <c r="BK564" s="71">
        <f t="shared" si="228"/>
        <v>0</v>
      </c>
      <c r="BM564" s="71"/>
      <c r="BN564" s="71"/>
      <c r="BO564" s="71">
        <f t="shared" si="229"/>
        <v>0</v>
      </c>
      <c r="BQ564" s="71"/>
      <c r="BR564" s="71"/>
      <c r="BS564" s="138">
        <f t="shared" si="230"/>
        <v>0</v>
      </c>
      <c r="BU564" s="71"/>
      <c r="BV564" s="71"/>
      <c r="BW564" s="71">
        <f t="shared" si="231"/>
        <v>0</v>
      </c>
      <c r="BZ564" s="71"/>
      <c r="CA564" s="71"/>
      <c r="CB564" s="71">
        <f t="shared" si="232"/>
        <v>0</v>
      </c>
      <c r="CD564" s="71"/>
      <c r="CE564" s="71"/>
      <c r="CF564" s="71">
        <f t="shared" si="233"/>
        <v>0</v>
      </c>
      <c r="CH564" s="71"/>
      <c r="CI564" s="71"/>
      <c r="CJ564" s="138">
        <f t="shared" si="234"/>
        <v>0</v>
      </c>
      <c r="CL564" s="71"/>
      <c r="CM564" s="71"/>
      <c r="CN564" s="71">
        <f t="shared" si="235"/>
        <v>0</v>
      </c>
      <c r="CS564" s="102">
        <f t="shared" si="236"/>
        <v>4.5293954747099576</v>
      </c>
      <c r="CT564" s="102">
        <f t="shared" si="237"/>
        <v>18.675175962423801</v>
      </c>
      <c r="CZ564" s="109" t="str">
        <f t="shared" si="238"/>
        <v>Basso</v>
      </c>
    </row>
    <row r="565" spans="9:104" x14ac:dyDescent="0.15">
      <c r="I565" s="64">
        <f t="shared" si="216"/>
        <v>76.99972307006928</v>
      </c>
      <c r="K565" s="64">
        <f t="shared" si="239"/>
        <v>1.2949152542372881</v>
      </c>
      <c r="L565" s="64">
        <f t="shared" si="240"/>
        <v>0.69336597143553846</v>
      </c>
      <c r="M565" s="64">
        <f t="shared" si="217"/>
        <v>0</v>
      </c>
      <c r="Q565" s="64">
        <f t="shared" si="218"/>
        <v>0</v>
      </c>
      <c r="U565" s="64">
        <f t="shared" si="219"/>
        <v>0</v>
      </c>
      <c r="Y565" s="114">
        <f t="shared" si="220"/>
        <v>0</v>
      </c>
      <c r="AC565" s="64">
        <f t="shared" si="221"/>
        <v>0</v>
      </c>
      <c r="AE565" s="71"/>
      <c r="AF565" s="71"/>
      <c r="AG565" s="71">
        <f t="shared" si="222"/>
        <v>0</v>
      </c>
      <c r="AK565" s="64">
        <f t="shared" si="223"/>
        <v>0</v>
      </c>
      <c r="AM565" s="71"/>
      <c r="AN565" s="71"/>
      <c r="AO565" s="71">
        <f t="shared" si="224"/>
        <v>0</v>
      </c>
      <c r="AQ565" s="71"/>
      <c r="AR565" s="71"/>
      <c r="AS565" s="71">
        <f t="shared" si="225"/>
        <v>0</v>
      </c>
      <c r="AU565" s="71"/>
      <c r="AV565" s="71"/>
      <c r="AW565" s="71">
        <f t="shared" si="226"/>
        <v>0</v>
      </c>
      <c r="AY565" s="71"/>
      <c r="AZ565" s="71"/>
      <c r="BA565" s="71">
        <f t="shared" si="227"/>
        <v>0</v>
      </c>
      <c r="BI565" s="71"/>
      <c r="BJ565" s="71"/>
      <c r="BK565" s="71">
        <f t="shared" si="228"/>
        <v>0</v>
      </c>
      <c r="BM565" s="71"/>
      <c r="BN565" s="71"/>
      <c r="BO565" s="71">
        <f t="shared" si="229"/>
        <v>0</v>
      </c>
      <c r="BQ565" s="71"/>
      <c r="BR565" s="71"/>
      <c r="BS565" s="138">
        <f t="shared" si="230"/>
        <v>0</v>
      </c>
      <c r="BU565" s="71"/>
      <c r="BV565" s="71"/>
      <c r="BW565" s="71">
        <f t="shared" si="231"/>
        <v>0</v>
      </c>
      <c r="BZ565" s="71"/>
      <c r="CA565" s="71"/>
      <c r="CB565" s="71">
        <f t="shared" si="232"/>
        <v>0</v>
      </c>
      <c r="CD565" s="71"/>
      <c r="CE565" s="71"/>
      <c r="CF565" s="71">
        <f t="shared" si="233"/>
        <v>0</v>
      </c>
      <c r="CH565" s="71"/>
      <c r="CI565" s="71"/>
      <c r="CJ565" s="138">
        <f t="shared" si="234"/>
        <v>0</v>
      </c>
      <c r="CL565" s="71"/>
      <c r="CM565" s="71"/>
      <c r="CN565" s="71">
        <f t="shared" si="235"/>
        <v>0</v>
      </c>
      <c r="CS565" s="102">
        <f t="shared" si="236"/>
        <v>4.5293954747099576</v>
      </c>
      <c r="CT565" s="102">
        <f t="shared" si="237"/>
        <v>18.675175962423801</v>
      </c>
      <c r="CZ565" s="109" t="str">
        <f t="shared" si="238"/>
        <v>Basso</v>
      </c>
    </row>
    <row r="566" spans="9:104" x14ac:dyDescent="0.15">
      <c r="I566" s="64">
        <f t="shared" si="216"/>
        <v>76.99972307006928</v>
      </c>
      <c r="K566" s="64">
        <f t="shared" si="239"/>
        <v>1.2949152542372881</v>
      </c>
      <c r="L566" s="64">
        <f t="shared" si="240"/>
        <v>0.69336597143553846</v>
      </c>
      <c r="M566" s="64">
        <f t="shared" si="217"/>
        <v>0</v>
      </c>
      <c r="Q566" s="64">
        <f t="shared" si="218"/>
        <v>0</v>
      </c>
      <c r="U566" s="64">
        <f t="shared" si="219"/>
        <v>0</v>
      </c>
      <c r="Y566" s="114">
        <f t="shared" si="220"/>
        <v>0</v>
      </c>
      <c r="AC566" s="64">
        <f t="shared" si="221"/>
        <v>0</v>
      </c>
      <c r="AE566" s="71"/>
      <c r="AF566" s="71"/>
      <c r="AG566" s="71">
        <f t="shared" si="222"/>
        <v>0</v>
      </c>
      <c r="AK566" s="64">
        <f t="shared" si="223"/>
        <v>0</v>
      </c>
      <c r="AM566" s="71"/>
      <c r="AN566" s="71"/>
      <c r="AO566" s="71">
        <f t="shared" si="224"/>
        <v>0</v>
      </c>
      <c r="AQ566" s="71"/>
      <c r="AR566" s="71"/>
      <c r="AS566" s="71">
        <f t="shared" si="225"/>
        <v>0</v>
      </c>
      <c r="AU566" s="71"/>
      <c r="AV566" s="71"/>
      <c r="AW566" s="71">
        <f t="shared" si="226"/>
        <v>0</v>
      </c>
      <c r="AY566" s="71"/>
      <c r="AZ566" s="71"/>
      <c r="BA566" s="71">
        <f t="shared" si="227"/>
        <v>0</v>
      </c>
      <c r="BI566" s="71"/>
      <c r="BJ566" s="71"/>
      <c r="BK566" s="71">
        <f t="shared" si="228"/>
        <v>0</v>
      </c>
      <c r="BM566" s="71"/>
      <c r="BN566" s="71"/>
      <c r="BO566" s="71">
        <f t="shared" si="229"/>
        <v>0</v>
      </c>
      <c r="BQ566" s="71"/>
      <c r="BR566" s="71"/>
      <c r="BS566" s="138">
        <f t="shared" si="230"/>
        <v>0</v>
      </c>
      <c r="BU566" s="71"/>
      <c r="BV566" s="71"/>
      <c r="BW566" s="71">
        <f t="shared" si="231"/>
        <v>0</v>
      </c>
      <c r="BZ566" s="71"/>
      <c r="CA566" s="71"/>
      <c r="CB566" s="71">
        <f t="shared" si="232"/>
        <v>0</v>
      </c>
      <c r="CD566" s="71"/>
      <c r="CE566" s="71"/>
      <c r="CF566" s="71">
        <f t="shared" si="233"/>
        <v>0</v>
      </c>
      <c r="CH566" s="71"/>
      <c r="CI566" s="71"/>
      <c r="CJ566" s="138">
        <f t="shared" si="234"/>
        <v>0</v>
      </c>
      <c r="CL566" s="71"/>
      <c r="CM566" s="71"/>
      <c r="CN566" s="71">
        <f t="shared" si="235"/>
        <v>0</v>
      </c>
      <c r="CS566" s="102">
        <f t="shared" si="236"/>
        <v>4.5293954747099576</v>
      </c>
      <c r="CT566" s="102">
        <f t="shared" si="237"/>
        <v>18.675175962423801</v>
      </c>
      <c r="CZ566" s="109" t="str">
        <f t="shared" si="238"/>
        <v>Basso</v>
      </c>
    </row>
    <row r="567" spans="9:104" x14ac:dyDescent="0.15">
      <c r="I567" s="64">
        <f t="shared" si="216"/>
        <v>76.99972307006928</v>
      </c>
      <c r="K567" s="64">
        <f t="shared" si="239"/>
        <v>1.2949152542372881</v>
      </c>
      <c r="L567" s="64">
        <f t="shared" si="240"/>
        <v>0.69336597143553846</v>
      </c>
      <c r="M567" s="64">
        <f t="shared" si="217"/>
        <v>0</v>
      </c>
      <c r="Q567" s="64">
        <f t="shared" si="218"/>
        <v>0</v>
      </c>
      <c r="U567" s="64">
        <f t="shared" si="219"/>
        <v>0</v>
      </c>
      <c r="Y567" s="114">
        <f t="shared" si="220"/>
        <v>0</v>
      </c>
      <c r="AC567" s="64">
        <f t="shared" si="221"/>
        <v>0</v>
      </c>
      <c r="AE567" s="71"/>
      <c r="AF567" s="71"/>
      <c r="AG567" s="71">
        <f t="shared" si="222"/>
        <v>0</v>
      </c>
      <c r="AK567" s="64">
        <f t="shared" si="223"/>
        <v>0</v>
      </c>
      <c r="AM567" s="71"/>
      <c r="AN567" s="71"/>
      <c r="AO567" s="71">
        <f t="shared" si="224"/>
        <v>0</v>
      </c>
      <c r="AQ567" s="71"/>
      <c r="AR567" s="71"/>
      <c r="AS567" s="71">
        <f t="shared" si="225"/>
        <v>0</v>
      </c>
      <c r="AU567" s="71"/>
      <c r="AV567" s="71"/>
      <c r="AW567" s="71">
        <f t="shared" si="226"/>
        <v>0</v>
      </c>
      <c r="AY567" s="71"/>
      <c r="AZ567" s="71"/>
      <c r="BA567" s="71">
        <f t="shared" si="227"/>
        <v>0</v>
      </c>
      <c r="BI567" s="71"/>
      <c r="BJ567" s="71"/>
      <c r="BK567" s="71">
        <f t="shared" si="228"/>
        <v>0</v>
      </c>
      <c r="BM567" s="71"/>
      <c r="BN567" s="71"/>
      <c r="BO567" s="71">
        <f t="shared" si="229"/>
        <v>0</v>
      </c>
      <c r="BQ567" s="71"/>
      <c r="BR567" s="71"/>
      <c r="BS567" s="138">
        <f t="shared" si="230"/>
        <v>0</v>
      </c>
      <c r="BU567" s="71"/>
      <c r="BV567" s="71"/>
      <c r="BW567" s="71">
        <f t="shared" si="231"/>
        <v>0</v>
      </c>
      <c r="BZ567" s="71"/>
      <c r="CA567" s="71"/>
      <c r="CB567" s="71">
        <f t="shared" si="232"/>
        <v>0</v>
      </c>
      <c r="CD567" s="71"/>
      <c r="CE567" s="71"/>
      <c r="CF567" s="71">
        <f t="shared" si="233"/>
        <v>0</v>
      </c>
      <c r="CH567" s="71"/>
      <c r="CI567" s="71"/>
      <c r="CJ567" s="138">
        <f t="shared" si="234"/>
        <v>0</v>
      </c>
      <c r="CL567" s="71"/>
      <c r="CM567" s="71"/>
      <c r="CN567" s="71">
        <f t="shared" si="235"/>
        <v>0</v>
      </c>
      <c r="CS567" s="102">
        <f t="shared" si="236"/>
        <v>4.5293954747099576</v>
      </c>
      <c r="CT567" s="102">
        <f t="shared" si="237"/>
        <v>18.675175962423801</v>
      </c>
      <c r="CZ567" s="109" t="str">
        <f t="shared" si="238"/>
        <v>Basso</v>
      </c>
    </row>
    <row r="568" spans="9:104" x14ac:dyDescent="0.15">
      <c r="I568" s="64">
        <f t="shared" si="216"/>
        <v>76.99972307006928</v>
      </c>
      <c r="K568" s="64">
        <f t="shared" si="239"/>
        <v>1.2949152542372881</v>
      </c>
      <c r="L568" s="64">
        <f t="shared" si="240"/>
        <v>0.69336597143553846</v>
      </c>
      <c r="M568" s="64">
        <f t="shared" si="217"/>
        <v>0</v>
      </c>
      <c r="Q568" s="64">
        <f t="shared" si="218"/>
        <v>0</v>
      </c>
      <c r="U568" s="64">
        <f t="shared" si="219"/>
        <v>0</v>
      </c>
      <c r="Y568" s="114">
        <f t="shared" si="220"/>
        <v>0</v>
      </c>
      <c r="AC568" s="64">
        <f t="shared" si="221"/>
        <v>0</v>
      </c>
      <c r="AE568" s="71"/>
      <c r="AF568" s="71"/>
      <c r="AG568" s="71">
        <f t="shared" si="222"/>
        <v>0</v>
      </c>
      <c r="AK568" s="64">
        <f t="shared" si="223"/>
        <v>0</v>
      </c>
      <c r="AM568" s="71"/>
      <c r="AN568" s="71"/>
      <c r="AO568" s="71">
        <f t="shared" si="224"/>
        <v>0</v>
      </c>
      <c r="AQ568" s="71"/>
      <c r="AR568" s="71"/>
      <c r="AS568" s="71">
        <f t="shared" si="225"/>
        <v>0</v>
      </c>
      <c r="AU568" s="71"/>
      <c r="AV568" s="71"/>
      <c r="AW568" s="71">
        <f t="shared" si="226"/>
        <v>0</v>
      </c>
      <c r="AY568" s="71"/>
      <c r="AZ568" s="71"/>
      <c r="BA568" s="71">
        <f t="shared" si="227"/>
        <v>0</v>
      </c>
      <c r="BI568" s="71"/>
      <c r="BJ568" s="71"/>
      <c r="BK568" s="71">
        <f t="shared" si="228"/>
        <v>0</v>
      </c>
      <c r="BM568" s="71"/>
      <c r="BN568" s="71"/>
      <c r="BO568" s="71">
        <f t="shared" si="229"/>
        <v>0</v>
      </c>
      <c r="BQ568" s="71"/>
      <c r="BR568" s="71"/>
      <c r="BS568" s="138">
        <f t="shared" si="230"/>
        <v>0</v>
      </c>
      <c r="BU568" s="71"/>
      <c r="BV568" s="71"/>
      <c r="BW568" s="71">
        <f t="shared" si="231"/>
        <v>0</v>
      </c>
      <c r="BZ568" s="71"/>
      <c r="CA568" s="71"/>
      <c r="CB568" s="71">
        <f t="shared" si="232"/>
        <v>0</v>
      </c>
      <c r="CD568" s="71"/>
      <c r="CE568" s="71"/>
      <c r="CF568" s="71">
        <f t="shared" si="233"/>
        <v>0</v>
      </c>
      <c r="CH568" s="71"/>
      <c r="CI568" s="71"/>
      <c r="CJ568" s="138">
        <f t="shared" si="234"/>
        <v>0</v>
      </c>
      <c r="CL568" s="71"/>
      <c r="CM568" s="71"/>
      <c r="CN568" s="71">
        <f t="shared" si="235"/>
        <v>0</v>
      </c>
      <c r="CS568" s="102">
        <f t="shared" si="236"/>
        <v>4.5293954747099576</v>
      </c>
      <c r="CT568" s="102">
        <f t="shared" si="237"/>
        <v>18.675175962423801</v>
      </c>
      <c r="CZ568" s="109" t="str">
        <f t="shared" si="238"/>
        <v>Basso</v>
      </c>
    </row>
    <row r="569" spans="9:104" x14ac:dyDescent="0.15">
      <c r="I569" s="64">
        <f t="shared" si="216"/>
        <v>76.99972307006928</v>
      </c>
      <c r="K569" s="64">
        <f t="shared" si="239"/>
        <v>1.2949152542372881</v>
      </c>
      <c r="L569" s="64">
        <f t="shared" si="240"/>
        <v>0.69336597143553846</v>
      </c>
      <c r="M569" s="64">
        <f t="shared" si="217"/>
        <v>0</v>
      </c>
      <c r="Q569" s="64">
        <f t="shared" si="218"/>
        <v>0</v>
      </c>
      <c r="U569" s="64">
        <f t="shared" si="219"/>
        <v>0</v>
      </c>
      <c r="Y569" s="114">
        <f t="shared" si="220"/>
        <v>0</v>
      </c>
      <c r="AC569" s="64">
        <f t="shared" si="221"/>
        <v>0</v>
      </c>
      <c r="AE569" s="71"/>
      <c r="AF569" s="71"/>
      <c r="AG569" s="71">
        <f t="shared" si="222"/>
        <v>0</v>
      </c>
      <c r="AK569" s="64">
        <f t="shared" si="223"/>
        <v>0</v>
      </c>
      <c r="AM569" s="71"/>
      <c r="AN569" s="71"/>
      <c r="AO569" s="71">
        <f t="shared" si="224"/>
        <v>0</v>
      </c>
      <c r="AQ569" s="71"/>
      <c r="AR569" s="71"/>
      <c r="AS569" s="71">
        <f t="shared" si="225"/>
        <v>0</v>
      </c>
      <c r="AU569" s="71"/>
      <c r="AV569" s="71"/>
      <c r="AW569" s="71">
        <f t="shared" si="226"/>
        <v>0</v>
      </c>
      <c r="AY569" s="71"/>
      <c r="AZ569" s="71"/>
      <c r="BA569" s="71">
        <f t="shared" si="227"/>
        <v>0</v>
      </c>
      <c r="BI569" s="71"/>
      <c r="BJ569" s="71"/>
      <c r="BK569" s="71">
        <f t="shared" si="228"/>
        <v>0</v>
      </c>
      <c r="BM569" s="71"/>
      <c r="BN569" s="71"/>
      <c r="BO569" s="71">
        <f t="shared" si="229"/>
        <v>0</v>
      </c>
      <c r="BQ569" s="71"/>
      <c r="BR569" s="71"/>
      <c r="BS569" s="138">
        <f t="shared" si="230"/>
        <v>0</v>
      </c>
      <c r="BU569" s="71"/>
      <c r="BV569" s="71"/>
      <c r="BW569" s="71">
        <f t="shared" si="231"/>
        <v>0</v>
      </c>
      <c r="BZ569" s="71"/>
      <c r="CA569" s="71"/>
      <c r="CB569" s="71">
        <f t="shared" si="232"/>
        <v>0</v>
      </c>
      <c r="CD569" s="71"/>
      <c r="CE569" s="71"/>
      <c r="CF569" s="71">
        <f t="shared" si="233"/>
        <v>0</v>
      </c>
      <c r="CH569" s="71"/>
      <c r="CI569" s="71"/>
      <c r="CJ569" s="138">
        <f t="shared" si="234"/>
        <v>0</v>
      </c>
      <c r="CL569" s="71"/>
      <c r="CM569" s="71"/>
      <c r="CN569" s="71">
        <f t="shared" si="235"/>
        <v>0</v>
      </c>
      <c r="CS569" s="102">
        <f t="shared" si="236"/>
        <v>4.5293954747099576</v>
      </c>
      <c r="CT569" s="102">
        <f t="shared" si="237"/>
        <v>18.675175962423801</v>
      </c>
      <c r="CZ569" s="109" t="str">
        <f t="shared" si="238"/>
        <v>Basso</v>
      </c>
    </row>
    <row r="570" spans="9:104" x14ac:dyDescent="0.15">
      <c r="I570" s="64">
        <f t="shared" si="216"/>
        <v>76.99972307006928</v>
      </c>
      <c r="K570" s="64">
        <f t="shared" si="239"/>
        <v>1.2949152542372881</v>
      </c>
      <c r="L570" s="64">
        <f t="shared" si="240"/>
        <v>0.69336597143553846</v>
      </c>
      <c r="M570" s="64">
        <f t="shared" si="217"/>
        <v>0</v>
      </c>
      <c r="Q570" s="64">
        <f t="shared" si="218"/>
        <v>0</v>
      </c>
      <c r="U570" s="64">
        <f t="shared" si="219"/>
        <v>0</v>
      </c>
      <c r="Y570" s="114">
        <f t="shared" si="220"/>
        <v>0</v>
      </c>
      <c r="AC570" s="64">
        <f t="shared" si="221"/>
        <v>0</v>
      </c>
      <c r="AE570" s="71"/>
      <c r="AF570" s="71"/>
      <c r="AG570" s="71">
        <f t="shared" si="222"/>
        <v>0</v>
      </c>
      <c r="AK570" s="64">
        <f t="shared" si="223"/>
        <v>0</v>
      </c>
      <c r="AM570" s="71"/>
      <c r="AN570" s="71"/>
      <c r="AO570" s="71">
        <f t="shared" si="224"/>
        <v>0</v>
      </c>
      <c r="AQ570" s="71"/>
      <c r="AR570" s="71"/>
      <c r="AS570" s="71">
        <f t="shared" si="225"/>
        <v>0</v>
      </c>
      <c r="AU570" s="71"/>
      <c r="AV570" s="71"/>
      <c r="AW570" s="71">
        <f t="shared" si="226"/>
        <v>0</v>
      </c>
      <c r="AY570" s="71"/>
      <c r="AZ570" s="71"/>
      <c r="BA570" s="71">
        <f t="shared" si="227"/>
        <v>0</v>
      </c>
      <c r="BI570" s="71"/>
      <c r="BJ570" s="71"/>
      <c r="BK570" s="71">
        <f t="shared" si="228"/>
        <v>0</v>
      </c>
      <c r="BM570" s="71"/>
      <c r="BN570" s="71"/>
      <c r="BO570" s="71">
        <f t="shared" si="229"/>
        <v>0</v>
      </c>
      <c r="BQ570" s="71"/>
      <c r="BR570" s="71"/>
      <c r="BS570" s="138">
        <f t="shared" si="230"/>
        <v>0</v>
      </c>
      <c r="BU570" s="71"/>
      <c r="BV570" s="71"/>
      <c r="BW570" s="71">
        <f t="shared" si="231"/>
        <v>0</v>
      </c>
      <c r="BZ570" s="71"/>
      <c r="CA570" s="71"/>
      <c r="CB570" s="71">
        <f t="shared" si="232"/>
        <v>0</v>
      </c>
      <c r="CD570" s="71"/>
      <c r="CE570" s="71"/>
      <c r="CF570" s="71">
        <f t="shared" si="233"/>
        <v>0</v>
      </c>
      <c r="CH570" s="71"/>
      <c r="CI570" s="71"/>
      <c r="CJ570" s="138">
        <f t="shared" si="234"/>
        <v>0</v>
      </c>
      <c r="CL570" s="71"/>
      <c r="CM570" s="71"/>
      <c r="CN570" s="71">
        <f t="shared" si="235"/>
        <v>0</v>
      </c>
      <c r="CS570" s="102">
        <f t="shared" si="236"/>
        <v>4.5293954747099576</v>
      </c>
      <c r="CT570" s="102">
        <f t="shared" si="237"/>
        <v>18.675175962423801</v>
      </c>
      <c r="CZ570" s="109" t="str">
        <f t="shared" si="238"/>
        <v>Basso</v>
      </c>
    </row>
    <row r="571" spans="9:104" x14ac:dyDescent="0.15">
      <c r="I571" s="64">
        <f t="shared" si="216"/>
        <v>76.99972307006928</v>
      </c>
      <c r="K571" s="64">
        <f t="shared" si="239"/>
        <v>1.2949152542372881</v>
      </c>
      <c r="L571" s="64">
        <f t="shared" si="240"/>
        <v>0.69336597143553846</v>
      </c>
      <c r="M571" s="64">
        <f t="shared" si="217"/>
        <v>0</v>
      </c>
      <c r="Q571" s="64">
        <f t="shared" si="218"/>
        <v>0</v>
      </c>
      <c r="U571" s="64">
        <f t="shared" si="219"/>
        <v>0</v>
      </c>
      <c r="Y571" s="114">
        <f t="shared" si="220"/>
        <v>0</v>
      </c>
      <c r="AC571" s="64">
        <f t="shared" si="221"/>
        <v>0</v>
      </c>
      <c r="AE571" s="71"/>
      <c r="AF571" s="71"/>
      <c r="AG571" s="71">
        <f t="shared" si="222"/>
        <v>0</v>
      </c>
      <c r="AK571" s="64">
        <f t="shared" si="223"/>
        <v>0</v>
      </c>
      <c r="AM571" s="71"/>
      <c r="AN571" s="71"/>
      <c r="AO571" s="71">
        <f t="shared" si="224"/>
        <v>0</v>
      </c>
      <c r="AQ571" s="71"/>
      <c r="AR571" s="71"/>
      <c r="AS571" s="71">
        <f t="shared" si="225"/>
        <v>0</v>
      </c>
      <c r="AU571" s="71"/>
      <c r="AV571" s="71"/>
      <c r="AW571" s="71">
        <f t="shared" si="226"/>
        <v>0</v>
      </c>
      <c r="AY571" s="71"/>
      <c r="AZ571" s="71"/>
      <c r="BA571" s="71">
        <f t="shared" si="227"/>
        <v>0</v>
      </c>
      <c r="BI571" s="71"/>
      <c r="BJ571" s="71"/>
      <c r="BK571" s="71">
        <f t="shared" si="228"/>
        <v>0</v>
      </c>
      <c r="BM571" s="71"/>
      <c r="BN571" s="71"/>
      <c r="BO571" s="71">
        <f t="shared" si="229"/>
        <v>0</v>
      </c>
      <c r="BQ571" s="71"/>
      <c r="BR571" s="71"/>
      <c r="BS571" s="138">
        <f t="shared" si="230"/>
        <v>0</v>
      </c>
      <c r="BU571" s="71"/>
      <c r="BV571" s="71"/>
      <c r="BW571" s="71">
        <f t="shared" si="231"/>
        <v>0</v>
      </c>
      <c r="BZ571" s="71"/>
      <c r="CA571" s="71"/>
      <c r="CB571" s="71">
        <f t="shared" si="232"/>
        <v>0</v>
      </c>
      <c r="CD571" s="71"/>
      <c r="CE571" s="71"/>
      <c r="CF571" s="71">
        <f t="shared" si="233"/>
        <v>0</v>
      </c>
      <c r="CH571" s="71"/>
      <c r="CI571" s="71"/>
      <c r="CJ571" s="138">
        <f t="shared" si="234"/>
        <v>0</v>
      </c>
      <c r="CL571" s="71"/>
      <c r="CM571" s="71"/>
      <c r="CN571" s="71">
        <f t="shared" si="235"/>
        <v>0</v>
      </c>
      <c r="CS571" s="102">
        <f t="shared" si="236"/>
        <v>4.5293954747099576</v>
      </c>
      <c r="CT571" s="102">
        <f t="shared" si="237"/>
        <v>18.675175962423801</v>
      </c>
      <c r="CZ571" s="109" t="str">
        <f t="shared" si="238"/>
        <v>Basso</v>
      </c>
    </row>
    <row r="572" spans="9:104" x14ac:dyDescent="0.15">
      <c r="I572" s="64">
        <f t="shared" si="216"/>
        <v>76.99972307006928</v>
      </c>
      <c r="K572" s="64">
        <f t="shared" si="239"/>
        <v>1.2949152542372881</v>
      </c>
      <c r="L572" s="64">
        <f t="shared" si="240"/>
        <v>0.69336597143553846</v>
      </c>
      <c r="M572" s="64">
        <f t="shared" si="217"/>
        <v>0</v>
      </c>
      <c r="Q572" s="64">
        <f t="shared" si="218"/>
        <v>0</v>
      </c>
      <c r="U572" s="64">
        <f t="shared" si="219"/>
        <v>0</v>
      </c>
      <c r="Y572" s="114">
        <f t="shared" si="220"/>
        <v>0</v>
      </c>
      <c r="AC572" s="64">
        <f t="shared" si="221"/>
        <v>0</v>
      </c>
      <c r="AE572" s="71"/>
      <c r="AF572" s="71"/>
      <c r="AG572" s="71">
        <f t="shared" si="222"/>
        <v>0</v>
      </c>
      <c r="AK572" s="64">
        <f t="shared" si="223"/>
        <v>0</v>
      </c>
      <c r="AM572" s="71"/>
      <c r="AN572" s="71"/>
      <c r="AO572" s="71">
        <f t="shared" si="224"/>
        <v>0</v>
      </c>
      <c r="AQ572" s="71"/>
      <c r="AR572" s="71"/>
      <c r="AS572" s="71">
        <f t="shared" si="225"/>
        <v>0</v>
      </c>
      <c r="AU572" s="71"/>
      <c r="AV572" s="71"/>
      <c r="AW572" s="71">
        <f t="shared" si="226"/>
        <v>0</v>
      </c>
      <c r="AY572" s="71"/>
      <c r="AZ572" s="71"/>
      <c r="BA572" s="71">
        <f t="shared" si="227"/>
        <v>0</v>
      </c>
      <c r="BI572" s="71"/>
      <c r="BJ572" s="71"/>
      <c r="BK572" s="71">
        <f t="shared" si="228"/>
        <v>0</v>
      </c>
      <c r="BM572" s="71"/>
      <c r="BN572" s="71"/>
      <c r="BO572" s="71">
        <f t="shared" si="229"/>
        <v>0</v>
      </c>
      <c r="BQ572" s="71"/>
      <c r="BR572" s="71"/>
      <c r="BS572" s="138">
        <f t="shared" si="230"/>
        <v>0</v>
      </c>
      <c r="BU572" s="71"/>
      <c r="BV572" s="71"/>
      <c r="BW572" s="71">
        <f t="shared" si="231"/>
        <v>0</v>
      </c>
      <c r="BZ572" s="71"/>
      <c r="CA572" s="71"/>
      <c r="CB572" s="71">
        <f t="shared" si="232"/>
        <v>0</v>
      </c>
      <c r="CD572" s="71"/>
      <c r="CE572" s="71"/>
      <c r="CF572" s="71">
        <f t="shared" si="233"/>
        <v>0</v>
      </c>
      <c r="CH572" s="71"/>
      <c r="CI572" s="71"/>
      <c r="CJ572" s="138">
        <f t="shared" si="234"/>
        <v>0</v>
      </c>
      <c r="CL572" s="71"/>
      <c r="CM572" s="71"/>
      <c r="CN572" s="71">
        <f t="shared" si="235"/>
        <v>0</v>
      </c>
      <c r="CS572" s="102">
        <f t="shared" si="236"/>
        <v>4.5293954747099576</v>
      </c>
      <c r="CT572" s="102">
        <f t="shared" si="237"/>
        <v>18.675175962423801</v>
      </c>
      <c r="CZ572" s="109" t="str">
        <f t="shared" si="238"/>
        <v>Basso</v>
      </c>
    </row>
    <row r="573" spans="9:104" x14ac:dyDescent="0.15">
      <c r="I573" s="64">
        <f t="shared" si="216"/>
        <v>76.99972307006928</v>
      </c>
      <c r="K573" s="64">
        <f t="shared" si="239"/>
        <v>1.2949152542372881</v>
      </c>
      <c r="L573" s="64">
        <f t="shared" si="240"/>
        <v>0.69336597143553846</v>
      </c>
      <c r="M573" s="64">
        <f t="shared" si="217"/>
        <v>0</v>
      </c>
      <c r="Q573" s="64">
        <f t="shared" si="218"/>
        <v>0</v>
      </c>
      <c r="U573" s="64">
        <f t="shared" si="219"/>
        <v>0</v>
      </c>
      <c r="Y573" s="114">
        <f t="shared" si="220"/>
        <v>0</v>
      </c>
      <c r="AC573" s="64">
        <f t="shared" si="221"/>
        <v>0</v>
      </c>
      <c r="AE573" s="71"/>
      <c r="AF573" s="71"/>
      <c r="AG573" s="71">
        <f t="shared" si="222"/>
        <v>0</v>
      </c>
      <c r="AK573" s="64">
        <f t="shared" si="223"/>
        <v>0</v>
      </c>
      <c r="AM573" s="71"/>
      <c r="AN573" s="71"/>
      <c r="AO573" s="71">
        <f t="shared" si="224"/>
        <v>0</v>
      </c>
      <c r="AQ573" s="71"/>
      <c r="AR573" s="71"/>
      <c r="AS573" s="71">
        <f t="shared" si="225"/>
        <v>0</v>
      </c>
      <c r="AU573" s="71"/>
      <c r="AV573" s="71"/>
      <c r="AW573" s="71">
        <f t="shared" si="226"/>
        <v>0</v>
      </c>
      <c r="AY573" s="71"/>
      <c r="AZ573" s="71"/>
      <c r="BA573" s="71">
        <f t="shared" si="227"/>
        <v>0</v>
      </c>
      <c r="BI573" s="71"/>
      <c r="BJ573" s="71"/>
      <c r="BK573" s="71">
        <f t="shared" si="228"/>
        <v>0</v>
      </c>
      <c r="BM573" s="71"/>
      <c r="BN573" s="71"/>
      <c r="BO573" s="71">
        <f t="shared" si="229"/>
        <v>0</v>
      </c>
      <c r="BQ573" s="71"/>
      <c r="BR573" s="71"/>
      <c r="BS573" s="138">
        <f t="shared" si="230"/>
        <v>0</v>
      </c>
      <c r="BU573" s="71"/>
      <c r="BV573" s="71"/>
      <c r="BW573" s="71">
        <f t="shared" si="231"/>
        <v>0</v>
      </c>
      <c r="BZ573" s="71"/>
      <c r="CA573" s="71"/>
      <c r="CB573" s="71">
        <f t="shared" si="232"/>
        <v>0</v>
      </c>
      <c r="CD573" s="71"/>
      <c r="CE573" s="71"/>
      <c r="CF573" s="71">
        <f t="shared" si="233"/>
        <v>0</v>
      </c>
      <c r="CH573" s="71"/>
      <c r="CI573" s="71"/>
      <c r="CJ573" s="138">
        <f t="shared" si="234"/>
        <v>0</v>
      </c>
      <c r="CL573" s="71"/>
      <c r="CM573" s="71"/>
      <c r="CN573" s="71">
        <f t="shared" si="235"/>
        <v>0</v>
      </c>
      <c r="CS573" s="102">
        <f t="shared" si="236"/>
        <v>4.5293954747099576</v>
      </c>
      <c r="CT573" s="102">
        <f t="shared" si="237"/>
        <v>18.675175962423801</v>
      </c>
      <c r="CZ573" s="109" t="str">
        <f t="shared" si="238"/>
        <v>Basso</v>
      </c>
    </row>
    <row r="574" spans="9:104" x14ac:dyDescent="0.15">
      <c r="I574" s="64">
        <f t="shared" si="216"/>
        <v>76.99972307006928</v>
      </c>
      <c r="K574" s="64">
        <f t="shared" si="239"/>
        <v>1.2949152542372881</v>
      </c>
      <c r="L574" s="64">
        <f t="shared" si="240"/>
        <v>0.69336597143553846</v>
      </c>
      <c r="M574" s="64">
        <f t="shared" si="217"/>
        <v>0</v>
      </c>
      <c r="Q574" s="64">
        <f t="shared" si="218"/>
        <v>0</v>
      </c>
      <c r="U574" s="64">
        <f t="shared" si="219"/>
        <v>0</v>
      </c>
      <c r="Y574" s="114">
        <f t="shared" si="220"/>
        <v>0</v>
      </c>
      <c r="AC574" s="64">
        <f t="shared" si="221"/>
        <v>0</v>
      </c>
      <c r="AE574" s="71"/>
      <c r="AF574" s="71"/>
      <c r="AG574" s="71">
        <f t="shared" si="222"/>
        <v>0</v>
      </c>
      <c r="AK574" s="64">
        <f t="shared" si="223"/>
        <v>0</v>
      </c>
      <c r="AM574" s="71"/>
      <c r="AN574" s="71"/>
      <c r="AO574" s="71">
        <f t="shared" si="224"/>
        <v>0</v>
      </c>
      <c r="AQ574" s="71"/>
      <c r="AR574" s="71"/>
      <c r="AS574" s="71">
        <f t="shared" si="225"/>
        <v>0</v>
      </c>
      <c r="AU574" s="71"/>
      <c r="AV574" s="71"/>
      <c r="AW574" s="71">
        <f t="shared" si="226"/>
        <v>0</v>
      </c>
      <c r="AY574" s="71"/>
      <c r="AZ574" s="71"/>
      <c r="BA574" s="71">
        <f t="shared" si="227"/>
        <v>0</v>
      </c>
      <c r="BI574" s="71"/>
      <c r="BJ574" s="71"/>
      <c r="BK574" s="71">
        <f t="shared" si="228"/>
        <v>0</v>
      </c>
      <c r="BM574" s="71"/>
      <c r="BN574" s="71"/>
      <c r="BO574" s="71">
        <f t="shared" si="229"/>
        <v>0</v>
      </c>
      <c r="BQ574" s="71"/>
      <c r="BR574" s="71"/>
      <c r="BS574" s="138">
        <f t="shared" si="230"/>
        <v>0</v>
      </c>
      <c r="BU574" s="71"/>
      <c r="BV574" s="71"/>
      <c r="BW574" s="71">
        <f t="shared" si="231"/>
        <v>0</v>
      </c>
      <c r="BZ574" s="71"/>
      <c r="CA574" s="71"/>
      <c r="CB574" s="71">
        <f t="shared" si="232"/>
        <v>0</v>
      </c>
      <c r="CD574" s="71"/>
      <c r="CE574" s="71"/>
      <c r="CF574" s="71">
        <f t="shared" si="233"/>
        <v>0</v>
      </c>
      <c r="CH574" s="71"/>
      <c r="CI574" s="71"/>
      <c r="CJ574" s="138">
        <f t="shared" si="234"/>
        <v>0</v>
      </c>
      <c r="CL574" s="71"/>
      <c r="CM574" s="71"/>
      <c r="CN574" s="71">
        <f t="shared" si="235"/>
        <v>0</v>
      </c>
      <c r="CS574" s="102">
        <f t="shared" si="236"/>
        <v>4.5293954747099576</v>
      </c>
      <c r="CT574" s="102">
        <f t="shared" si="237"/>
        <v>18.675175962423801</v>
      </c>
      <c r="CZ574" s="109" t="str">
        <f t="shared" si="238"/>
        <v>Basso</v>
      </c>
    </row>
    <row r="575" spans="9:104" x14ac:dyDescent="0.15">
      <c r="I575" s="64">
        <f t="shared" si="216"/>
        <v>76.99972307006928</v>
      </c>
      <c r="K575" s="64">
        <f t="shared" si="239"/>
        <v>1.2949152542372881</v>
      </c>
      <c r="L575" s="64">
        <f t="shared" si="240"/>
        <v>0.69336597143553846</v>
      </c>
      <c r="M575" s="64">
        <f t="shared" si="217"/>
        <v>0</v>
      </c>
      <c r="Q575" s="64">
        <f t="shared" si="218"/>
        <v>0</v>
      </c>
      <c r="U575" s="64">
        <f t="shared" si="219"/>
        <v>0</v>
      </c>
      <c r="Y575" s="114">
        <f t="shared" si="220"/>
        <v>0</v>
      </c>
      <c r="AC575" s="64">
        <f t="shared" si="221"/>
        <v>0</v>
      </c>
      <c r="AE575" s="71"/>
      <c r="AF575" s="71"/>
      <c r="AG575" s="71">
        <f t="shared" si="222"/>
        <v>0</v>
      </c>
      <c r="AK575" s="64">
        <f t="shared" si="223"/>
        <v>0</v>
      </c>
      <c r="AM575" s="71"/>
      <c r="AN575" s="71"/>
      <c r="AO575" s="71">
        <f t="shared" si="224"/>
        <v>0</v>
      </c>
      <c r="AQ575" s="71"/>
      <c r="AR575" s="71"/>
      <c r="AS575" s="71">
        <f t="shared" si="225"/>
        <v>0</v>
      </c>
      <c r="AU575" s="71"/>
      <c r="AV575" s="71"/>
      <c r="AW575" s="71">
        <f t="shared" si="226"/>
        <v>0</v>
      </c>
      <c r="AY575" s="71"/>
      <c r="AZ575" s="71"/>
      <c r="BA575" s="71">
        <f t="shared" si="227"/>
        <v>0</v>
      </c>
      <c r="BI575" s="71"/>
      <c r="BJ575" s="71"/>
      <c r="BK575" s="71">
        <f t="shared" si="228"/>
        <v>0</v>
      </c>
      <c r="BM575" s="71"/>
      <c r="BN575" s="71"/>
      <c r="BO575" s="71">
        <f t="shared" si="229"/>
        <v>0</v>
      </c>
      <c r="BQ575" s="71"/>
      <c r="BR575" s="71"/>
      <c r="BS575" s="138">
        <f t="shared" si="230"/>
        <v>0</v>
      </c>
      <c r="BU575" s="71"/>
      <c r="BV575" s="71"/>
      <c r="BW575" s="71">
        <f t="shared" si="231"/>
        <v>0</v>
      </c>
      <c r="BZ575" s="71"/>
      <c r="CA575" s="71"/>
      <c r="CB575" s="71">
        <f t="shared" si="232"/>
        <v>0</v>
      </c>
      <c r="CD575" s="71"/>
      <c r="CE575" s="71"/>
      <c r="CF575" s="71">
        <f t="shared" si="233"/>
        <v>0</v>
      </c>
      <c r="CH575" s="71"/>
      <c r="CI575" s="71"/>
      <c r="CJ575" s="138">
        <f t="shared" si="234"/>
        <v>0</v>
      </c>
      <c r="CL575" s="71"/>
      <c r="CM575" s="71"/>
      <c r="CN575" s="71">
        <f t="shared" si="235"/>
        <v>0</v>
      </c>
      <c r="CS575" s="102">
        <f t="shared" si="236"/>
        <v>4.5293954747099576</v>
      </c>
      <c r="CT575" s="102">
        <f t="shared" si="237"/>
        <v>18.675175962423801</v>
      </c>
      <c r="CZ575" s="109" t="str">
        <f t="shared" si="238"/>
        <v>Basso</v>
      </c>
    </row>
    <row r="576" spans="9:104" x14ac:dyDescent="0.15">
      <c r="I576" s="64">
        <f t="shared" si="216"/>
        <v>76.99972307006928</v>
      </c>
      <c r="K576" s="64">
        <f t="shared" si="239"/>
        <v>1.2949152542372881</v>
      </c>
      <c r="L576" s="64">
        <f t="shared" si="240"/>
        <v>0.69336597143553846</v>
      </c>
      <c r="M576" s="64">
        <f t="shared" si="217"/>
        <v>0</v>
      </c>
      <c r="Q576" s="64">
        <f t="shared" si="218"/>
        <v>0</v>
      </c>
      <c r="U576" s="64">
        <f t="shared" si="219"/>
        <v>0</v>
      </c>
      <c r="Y576" s="114">
        <f t="shared" si="220"/>
        <v>0</v>
      </c>
      <c r="AC576" s="64">
        <f t="shared" si="221"/>
        <v>0</v>
      </c>
      <c r="AE576" s="71"/>
      <c r="AF576" s="71"/>
      <c r="AG576" s="71">
        <f t="shared" si="222"/>
        <v>0</v>
      </c>
      <c r="AK576" s="64">
        <f t="shared" si="223"/>
        <v>0</v>
      </c>
      <c r="AM576" s="71"/>
      <c r="AN576" s="71"/>
      <c r="AO576" s="71">
        <f t="shared" si="224"/>
        <v>0</v>
      </c>
      <c r="AQ576" s="71"/>
      <c r="AR576" s="71"/>
      <c r="AS576" s="71">
        <f t="shared" si="225"/>
        <v>0</v>
      </c>
      <c r="AU576" s="71"/>
      <c r="AV576" s="71"/>
      <c r="AW576" s="71">
        <f t="shared" si="226"/>
        <v>0</v>
      </c>
      <c r="AY576" s="71"/>
      <c r="AZ576" s="71"/>
      <c r="BA576" s="71">
        <f t="shared" si="227"/>
        <v>0</v>
      </c>
      <c r="BI576" s="71"/>
      <c r="BJ576" s="71"/>
      <c r="BK576" s="71">
        <f t="shared" si="228"/>
        <v>0</v>
      </c>
      <c r="BM576" s="71"/>
      <c r="BN576" s="71"/>
      <c r="BO576" s="71">
        <f t="shared" si="229"/>
        <v>0</v>
      </c>
      <c r="BQ576" s="71"/>
      <c r="BR576" s="71"/>
      <c r="BS576" s="138">
        <f t="shared" si="230"/>
        <v>0</v>
      </c>
      <c r="BU576" s="71"/>
      <c r="BV576" s="71"/>
      <c r="BW576" s="71">
        <f t="shared" si="231"/>
        <v>0</v>
      </c>
      <c r="BZ576" s="71"/>
      <c r="CA576" s="71"/>
      <c r="CB576" s="71">
        <f t="shared" si="232"/>
        <v>0</v>
      </c>
      <c r="CD576" s="71"/>
      <c r="CE576" s="71"/>
      <c r="CF576" s="71">
        <f t="shared" si="233"/>
        <v>0</v>
      </c>
      <c r="CH576" s="71"/>
      <c r="CI576" s="71"/>
      <c r="CJ576" s="138">
        <f t="shared" si="234"/>
        <v>0</v>
      </c>
      <c r="CL576" s="71"/>
      <c r="CM576" s="71"/>
      <c r="CN576" s="71">
        <f t="shared" si="235"/>
        <v>0</v>
      </c>
      <c r="CS576" s="102">
        <f t="shared" si="236"/>
        <v>4.5293954747099576</v>
      </c>
      <c r="CT576" s="102">
        <f t="shared" si="237"/>
        <v>18.675175962423801</v>
      </c>
      <c r="CZ576" s="109" t="str">
        <f t="shared" si="238"/>
        <v>Basso</v>
      </c>
    </row>
    <row r="577" spans="9:104" x14ac:dyDescent="0.15">
      <c r="I577" s="64">
        <f t="shared" si="216"/>
        <v>76.99972307006928</v>
      </c>
      <c r="K577" s="64">
        <f t="shared" si="239"/>
        <v>1.2949152542372881</v>
      </c>
      <c r="L577" s="64">
        <f t="shared" si="240"/>
        <v>0.69336597143553846</v>
      </c>
      <c r="M577" s="64">
        <f t="shared" si="217"/>
        <v>0</v>
      </c>
      <c r="Q577" s="64">
        <f t="shared" si="218"/>
        <v>0</v>
      </c>
      <c r="U577" s="64">
        <f t="shared" si="219"/>
        <v>0</v>
      </c>
      <c r="Y577" s="114">
        <f t="shared" si="220"/>
        <v>0</v>
      </c>
      <c r="AC577" s="64">
        <f t="shared" si="221"/>
        <v>0</v>
      </c>
      <c r="AE577" s="71"/>
      <c r="AF577" s="71"/>
      <c r="AG577" s="71">
        <f t="shared" si="222"/>
        <v>0</v>
      </c>
      <c r="AK577" s="64">
        <f t="shared" si="223"/>
        <v>0</v>
      </c>
      <c r="AM577" s="71"/>
      <c r="AN577" s="71"/>
      <c r="AO577" s="71">
        <f t="shared" si="224"/>
        <v>0</v>
      </c>
      <c r="AQ577" s="71"/>
      <c r="AR577" s="71"/>
      <c r="AS577" s="71">
        <f t="shared" si="225"/>
        <v>0</v>
      </c>
      <c r="AU577" s="71"/>
      <c r="AV577" s="71"/>
      <c r="AW577" s="71">
        <f t="shared" si="226"/>
        <v>0</v>
      </c>
      <c r="AY577" s="71"/>
      <c r="AZ577" s="71"/>
      <c r="BA577" s="71">
        <f t="shared" si="227"/>
        <v>0</v>
      </c>
      <c r="BI577" s="71"/>
      <c r="BJ577" s="71"/>
      <c r="BK577" s="71">
        <f t="shared" si="228"/>
        <v>0</v>
      </c>
      <c r="BM577" s="71"/>
      <c r="BN577" s="71"/>
      <c r="BO577" s="71">
        <f t="shared" si="229"/>
        <v>0</v>
      </c>
      <c r="BQ577" s="71"/>
      <c r="BR577" s="71"/>
      <c r="BS577" s="138">
        <f t="shared" si="230"/>
        <v>0</v>
      </c>
      <c r="BU577" s="71"/>
      <c r="BV577" s="71"/>
      <c r="BW577" s="71">
        <f t="shared" si="231"/>
        <v>0</v>
      </c>
      <c r="BZ577" s="71"/>
      <c r="CA577" s="71"/>
      <c r="CB577" s="71">
        <f t="shared" si="232"/>
        <v>0</v>
      </c>
      <c r="CD577" s="71"/>
      <c r="CE577" s="71"/>
      <c r="CF577" s="71">
        <f t="shared" si="233"/>
        <v>0</v>
      </c>
      <c r="CH577" s="71"/>
      <c r="CI577" s="71"/>
      <c r="CJ577" s="138">
        <f t="shared" si="234"/>
        <v>0</v>
      </c>
      <c r="CL577" s="71"/>
      <c r="CM577" s="71"/>
      <c r="CN577" s="71">
        <f t="shared" si="235"/>
        <v>0</v>
      </c>
      <c r="CS577" s="102">
        <f t="shared" si="236"/>
        <v>4.5293954747099576</v>
      </c>
      <c r="CT577" s="102">
        <f t="shared" si="237"/>
        <v>18.675175962423801</v>
      </c>
      <c r="CZ577" s="109" t="str">
        <f t="shared" si="238"/>
        <v>Basso</v>
      </c>
    </row>
    <row r="578" spans="9:104" x14ac:dyDescent="0.15">
      <c r="I578" s="64">
        <f t="shared" si="216"/>
        <v>76.99972307006928</v>
      </c>
      <c r="K578" s="64">
        <f t="shared" si="239"/>
        <v>1.2949152542372881</v>
      </c>
      <c r="L578" s="64">
        <f t="shared" si="240"/>
        <v>0.69336597143553846</v>
      </c>
      <c r="M578" s="64">
        <f t="shared" si="217"/>
        <v>0</v>
      </c>
      <c r="Q578" s="64">
        <f t="shared" si="218"/>
        <v>0</v>
      </c>
      <c r="U578" s="64">
        <f t="shared" si="219"/>
        <v>0</v>
      </c>
      <c r="Y578" s="114">
        <f t="shared" si="220"/>
        <v>0</v>
      </c>
      <c r="AC578" s="64">
        <f t="shared" si="221"/>
        <v>0</v>
      </c>
      <c r="AE578" s="71"/>
      <c r="AF578" s="71"/>
      <c r="AG578" s="71">
        <f t="shared" si="222"/>
        <v>0</v>
      </c>
      <c r="AK578" s="64">
        <f t="shared" si="223"/>
        <v>0</v>
      </c>
      <c r="AM578" s="71"/>
      <c r="AN578" s="71"/>
      <c r="AO578" s="71">
        <f t="shared" si="224"/>
        <v>0</v>
      </c>
      <c r="AQ578" s="71"/>
      <c r="AR578" s="71"/>
      <c r="AS578" s="71">
        <f t="shared" si="225"/>
        <v>0</v>
      </c>
      <c r="AU578" s="71"/>
      <c r="AV578" s="71"/>
      <c r="AW578" s="71">
        <f t="shared" si="226"/>
        <v>0</v>
      </c>
      <c r="AY578" s="71"/>
      <c r="AZ578" s="71"/>
      <c r="BA578" s="71">
        <f t="shared" si="227"/>
        <v>0</v>
      </c>
      <c r="BI578" s="71"/>
      <c r="BJ578" s="71"/>
      <c r="BK578" s="71">
        <f t="shared" si="228"/>
        <v>0</v>
      </c>
      <c r="BM578" s="71"/>
      <c r="BN578" s="71"/>
      <c r="BO578" s="71">
        <f t="shared" si="229"/>
        <v>0</v>
      </c>
      <c r="BQ578" s="71"/>
      <c r="BR578" s="71"/>
      <c r="BS578" s="138">
        <f t="shared" si="230"/>
        <v>0</v>
      </c>
      <c r="BU578" s="71"/>
      <c r="BV578" s="71"/>
      <c r="BW578" s="71">
        <f t="shared" si="231"/>
        <v>0</v>
      </c>
      <c r="BZ578" s="71"/>
      <c r="CA578" s="71"/>
      <c r="CB578" s="71">
        <f t="shared" si="232"/>
        <v>0</v>
      </c>
      <c r="CD578" s="71"/>
      <c r="CE578" s="71"/>
      <c r="CF578" s="71">
        <f t="shared" si="233"/>
        <v>0</v>
      </c>
      <c r="CH578" s="71"/>
      <c r="CI578" s="71"/>
      <c r="CJ578" s="138">
        <f t="shared" si="234"/>
        <v>0</v>
      </c>
      <c r="CL578" s="71"/>
      <c r="CM578" s="71"/>
      <c r="CN578" s="71">
        <f t="shared" si="235"/>
        <v>0</v>
      </c>
      <c r="CS578" s="102">
        <f t="shared" si="236"/>
        <v>4.5293954747099576</v>
      </c>
      <c r="CT578" s="102">
        <f t="shared" si="237"/>
        <v>18.675175962423801</v>
      </c>
      <c r="CZ578" s="109" t="str">
        <f t="shared" si="238"/>
        <v>Basso</v>
      </c>
    </row>
    <row r="579" spans="9:104" x14ac:dyDescent="0.15">
      <c r="I579" s="64">
        <f t="shared" ref="I579:I642" si="241">100 + ((F579 - AVERAGE(F:F)) / STDEV(F:F)) * 10</f>
        <v>76.99972307006928</v>
      </c>
      <c r="K579" s="64">
        <f t="shared" si="239"/>
        <v>1.2949152542372881</v>
      </c>
      <c r="L579" s="64">
        <f t="shared" si="240"/>
        <v>0.69336597143553846</v>
      </c>
      <c r="M579" s="64">
        <f t="shared" ref="M579:M642" si="242">J579/2</f>
        <v>0</v>
      </c>
      <c r="Q579" s="64">
        <f t="shared" ref="Q579:Q642" si="243">N579/2</f>
        <v>0</v>
      </c>
      <c r="U579" s="64">
        <f t="shared" ref="U579:U642" si="244">R579/3</f>
        <v>0</v>
      </c>
      <c r="Y579" s="114">
        <f t="shared" ref="Y579:Y642" si="245">V579/5</f>
        <v>0</v>
      </c>
      <c r="AC579" s="64">
        <f t="shared" ref="AC579:AC642" si="246">Z579/3</f>
        <v>0</v>
      </c>
      <c r="AE579" s="71"/>
      <c r="AF579" s="71"/>
      <c r="AG579" s="71">
        <f t="shared" ref="AG579:AG642" si="247">AD579/3</f>
        <v>0</v>
      </c>
      <c r="AK579" s="64">
        <f t="shared" ref="AK579:AK642" si="248">AH579/3</f>
        <v>0</v>
      </c>
      <c r="AM579" s="71"/>
      <c r="AN579" s="71"/>
      <c r="AO579" s="71">
        <f t="shared" ref="AO579:AO642" si="249">AL579/4</f>
        <v>0</v>
      </c>
      <c r="AQ579" s="71"/>
      <c r="AR579" s="71"/>
      <c r="AS579" s="71">
        <f t="shared" ref="AS579:AS642" si="250">AP579/3</f>
        <v>0</v>
      </c>
      <c r="AU579" s="71"/>
      <c r="AV579" s="71"/>
      <c r="AW579" s="71">
        <f t="shared" ref="AW579:AW642" si="251">AT579/3</f>
        <v>0</v>
      </c>
      <c r="AY579" s="71"/>
      <c r="AZ579" s="71"/>
      <c r="BA579" s="71">
        <f t="shared" ref="BA579:BA642" si="252">AX579/2</f>
        <v>0</v>
      </c>
      <c r="BI579" s="71"/>
      <c r="BJ579" s="71"/>
      <c r="BK579" s="71">
        <f t="shared" ref="BK579:BK642" si="253">BH579/2</f>
        <v>0</v>
      </c>
      <c r="BM579" s="71"/>
      <c r="BN579" s="71"/>
      <c r="BO579" s="71">
        <f t="shared" ref="BO579:BO642" si="254">BL579/3</f>
        <v>0</v>
      </c>
      <c r="BQ579" s="71"/>
      <c r="BR579" s="71"/>
      <c r="BS579" s="138">
        <f t="shared" ref="BS579:BS642" si="255">BP579/3</f>
        <v>0</v>
      </c>
      <c r="BU579" s="71"/>
      <c r="BV579" s="71"/>
      <c r="BW579" s="71">
        <f t="shared" ref="BW579:BW642" si="256">BT579/3</f>
        <v>0</v>
      </c>
      <c r="BZ579" s="71"/>
      <c r="CA579" s="71"/>
      <c r="CB579" s="71">
        <f t="shared" ref="CB579:CB642" si="257">BY579/3</f>
        <v>0</v>
      </c>
      <c r="CD579" s="71"/>
      <c r="CE579" s="71"/>
      <c r="CF579" s="71">
        <f t="shared" ref="CF579:CF642" si="258">CC579/3</f>
        <v>0</v>
      </c>
      <c r="CH579" s="71"/>
      <c r="CI579" s="71"/>
      <c r="CJ579" s="138">
        <f t="shared" ref="CJ579:CJ642" si="259">CG579/2</f>
        <v>0</v>
      </c>
      <c r="CL579" s="71"/>
      <c r="CM579" s="71"/>
      <c r="CN579" s="71">
        <f t="shared" ref="CN579:CN642" si="260">CK579/3</f>
        <v>0</v>
      </c>
      <c r="CS579" s="102">
        <f t="shared" ref="CS579:CS642" si="261">AVERAGE(I579, M579, Q579, U579, AC579, AG579, AK579, AO579, AS579, AW579, BA579, BK579, BO579, BW579, CB579, CF579, CN579)</f>
        <v>4.5293954747099576</v>
      </c>
      <c r="CT579" s="102">
        <f t="shared" ref="CT579:CT642" si="262">STDEV(I579, M579, Q579, U579, AC579, AG579, AK579, AO579, AS579, AW579, BA579, BK579, BO579, BW579, CB579, CF579, CN579)</f>
        <v>18.675175962423801</v>
      </c>
      <c r="CZ579" s="109" t="str">
        <f t="shared" ref="CZ579:CZ642" si="263">IF(CV579&lt;95.9069994, "Basso", IF(CV579&lt;99.02062343, "Medio-Basso", IF(CV579&lt;103.58108, "Medio-Alto", "Alto")))</f>
        <v>Basso</v>
      </c>
    </row>
    <row r="580" spans="9:104" x14ac:dyDescent="0.15">
      <c r="I580" s="64">
        <f t="shared" si="241"/>
        <v>76.99972307006928</v>
      </c>
      <c r="K580" s="64">
        <f t="shared" si="239"/>
        <v>1.2949152542372881</v>
      </c>
      <c r="L580" s="64">
        <f t="shared" si="240"/>
        <v>0.69336597143553846</v>
      </c>
      <c r="M580" s="64">
        <f t="shared" si="242"/>
        <v>0</v>
      </c>
      <c r="Q580" s="64">
        <f t="shared" si="243"/>
        <v>0</v>
      </c>
      <c r="U580" s="64">
        <f t="shared" si="244"/>
        <v>0</v>
      </c>
      <c r="Y580" s="114">
        <f t="shared" si="245"/>
        <v>0</v>
      </c>
      <c r="AC580" s="64">
        <f t="shared" si="246"/>
        <v>0</v>
      </c>
      <c r="AE580" s="71"/>
      <c r="AF580" s="71"/>
      <c r="AG580" s="71">
        <f t="shared" si="247"/>
        <v>0</v>
      </c>
      <c r="AK580" s="64">
        <f t="shared" si="248"/>
        <v>0</v>
      </c>
      <c r="AM580" s="71"/>
      <c r="AN580" s="71"/>
      <c r="AO580" s="71">
        <f t="shared" si="249"/>
        <v>0</v>
      </c>
      <c r="AQ580" s="71"/>
      <c r="AR580" s="71"/>
      <c r="AS580" s="71">
        <f t="shared" si="250"/>
        <v>0</v>
      </c>
      <c r="AU580" s="71"/>
      <c r="AV580" s="71"/>
      <c r="AW580" s="71">
        <f t="shared" si="251"/>
        <v>0</v>
      </c>
      <c r="AY580" s="71"/>
      <c r="AZ580" s="71"/>
      <c r="BA580" s="71">
        <f t="shared" si="252"/>
        <v>0</v>
      </c>
      <c r="BI580" s="71"/>
      <c r="BJ580" s="71"/>
      <c r="BK580" s="71">
        <f t="shared" si="253"/>
        <v>0</v>
      </c>
      <c r="BM580" s="71"/>
      <c r="BN580" s="71"/>
      <c r="BO580" s="71">
        <f t="shared" si="254"/>
        <v>0</v>
      </c>
      <c r="BQ580" s="71"/>
      <c r="BR580" s="71"/>
      <c r="BS580" s="138">
        <f t="shared" si="255"/>
        <v>0</v>
      </c>
      <c r="BU580" s="71"/>
      <c r="BV580" s="71"/>
      <c r="BW580" s="71">
        <f t="shared" si="256"/>
        <v>0</v>
      </c>
      <c r="BZ580" s="71"/>
      <c r="CA580" s="71"/>
      <c r="CB580" s="71">
        <f t="shared" si="257"/>
        <v>0</v>
      </c>
      <c r="CD580" s="71"/>
      <c r="CE580" s="71"/>
      <c r="CF580" s="71">
        <f t="shared" si="258"/>
        <v>0</v>
      </c>
      <c r="CH580" s="71"/>
      <c r="CI580" s="71"/>
      <c r="CJ580" s="138">
        <f t="shared" si="259"/>
        <v>0</v>
      </c>
      <c r="CL580" s="71"/>
      <c r="CM580" s="71"/>
      <c r="CN580" s="71">
        <f t="shared" si="260"/>
        <v>0</v>
      </c>
      <c r="CS580" s="102">
        <f t="shared" si="261"/>
        <v>4.5293954747099576</v>
      </c>
      <c r="CT580" s="102">
        <f t="shared" si="262"/>
        <v>18.675175962423801</v>
      </c>
      <c r="CZ580" s="109" t="str">
        <f t="shared" si="263"/>
        <v>Basso</v>
      </c>
    </row>
    <row r="581" spans="9:104" x14ac:dyDescent="0.15">
      <c r="I581" s="64">
        <f t="shared" si="241"/>
        <v>76.99972307006928</v>
      </c>
      <c r="K581" s="64">
        <f t="shared" si="239"/>
        <v>1.2949152542372881</v>
      </c>
      <c r="L581" s="64">
        <f t="shared" si="240"/>
        <v>0.69336597143553846</v>
      </c>
      <c r="M581" s="64">
        <f t="shared" si="242"/>
        <v>0</v>
      </c>
      <c r="Q581" s="64">
        <f t="shared" si="243"/>
        <v>0</v>
      </c>
      <c r="U581" s="64">
        <f t="shared" si="244"/>
        <v>0</v>
      </c>
      <c r="Y581" s="114">
        <f t="shared" si="245"/>
        <v>0</v>
      </c>
      <c r="AC581" s="64">
        <f t="shared" si="246"/>
        <v>0</v>
      </c>
      <c r="AE581" s="71"/>
      <c r="AF581" s="71"/>
      <c r="AG581" s="71">
        <f t="shared" si="247"/>
        <v>0</v>
      </c>
      <c r="AK581" s="64">
        <f t="shared" si="248"/>
        <v>0</v>
      </c>
      <c r="AM581" s="71"/>
      <c r="AN581" s="71"/>
      <c r="AO581" s="71">
        <f t="shared" si="249"/>
        <v>0</v>
      </c>
      <c r="AQ581" s="71"/>
      <c r="AR581" s="71"/>
      <c r="AS581" s="71">
        <f t="shared" si="250"/>
        <v>0</v>
      </c>
      <c r="AU581" s="71"/>
      <c r="AV581" s="71"/>
      <c r="AW581" s="71">
        <f t="shared" si="251"/>
        <v>0</v>
      </c>
      <c r="AY581" s="71"/>
      <c r="AZ581" s="71"/>
      <c r="BA581" s="71">
        <f t="shared" si="252"/>
        <v>0</v>
      </c>
      <c r="BI581" s="71"/>
      <c r="BJ581" s="71"/>
      <c r="BK581" s="71">
        <f t="shared" si="253"/>
        <v>0</v>
      </c>
      <c r="BM581" s="71"/>
      <c r="BN581" s="71"/>
      <c r="BO581" s="71">
        <f t="shared" si="254"/>
        <v>0</v>
      </c>
      <c r="BQ581" s="71"/>
      <c r="BR581" s="71"/>
      <c r="BS581" s="138">
        <f t="shared" si="255"/>
        <v>0</v>
      </c>
      <c r="BU581" s="71"/>
      <c r="BV581" s="71"/>
      <c r="BW581" s="71">
        <f t="shared" si="256"/>
        <v>0</v>
      </c>
      <c r="BZ581" s="71"/>
      <c r="CA581" s="71"/>
      <c r="CB581" s="71">
        <f t="shared" si="257"/>
        <v>0</v>
      </c>
      <c r="CD581" s="71"/>
      <c r="CE581" s="71"/>
      <c r="CF581" s="71">
        <f t="shared" si="258"/>
        <v>0</v>
      </c>
      <c r="CH581" s="71"/>
      <c r="CI581" s="71"/>
      <c r="CJ581" s="138">
        <f t="shared" si="259"/>
        <v>0</v>
      </c>
      <c r="CL581" s="71"/>
      <c r="CM581" s="71"/>
      <c r="CN581" s="71">
        <f t="shared" si="260"/>
        <v>0</v>
      </c>
      <c r="CS581" s="102">
        <f t="shared" si="261"/>
        <v>4.5293954747099576</v>
      </c>
      <c r="CT581" s="102">
        <f t="shared" si="262"/>
        <v>18.675175962423801</v>
      </c>
      <c r="CZ581" s="109" t="str">
        <f t="shared" si="263"/>
        <v>Basso</v>
      </c>
    </row>
    <row r="582" spans="9:104" x14ac:dyDescent="0.15">
      <c r="I582" s="64">
        <f t="shared" si="241"/>
        <v>76.99972307006928</v>
      </c>
      <c r="K582" s="64">
        <f t="shared" si="239"/>
        <v>1.2949152542372881</v>
      </c>
      <c r="L582" s="64">
        <f t="shared" si="240"/>
        <v>0.69336597143553846</v>
      </c>
      <c r="M582" s="64">
        <f t="shared" si="242"/>
        <v>0</v>
      </c>
      <c r="Q582" s="64">
        <f t="shared" si="243"/>
        <v>0</v>
      </c>
      <c r="U582" s="64">
        <f t="shared" si="244"/>
        <v>0</v>
      </c>
      <c r="Y582" s="114">
        <f t="shared" si="245"/>
        <v>0</v>
      </c>
      <c r="AC582" s="64">
        <f t="shared" si="246"/>
        <v>0</v>
      </c>
      <c r="AE582" s="71"/>
      <c r="AF582" s="71"/>
      <c r="AG582" s="71">
        <f t="shared" si="247"/>
        <v>0</v>
      </c>
      <c r="AK582" s="64">
        <f t="shared" si="248"/>
        <v>0</v>
      </c>
      <c r="AM582" s="71"/>
      <c r="AN582" s="71"/>
      <c r="AO582" s="71">
        <f t="shared" si="249"/>
        <v>0</v>
      </c>
      <c r="AQ582" s="71"/>
      <c r="AR582" s="71"/>
      <c r="AS582" s="71">
        <f t="shared" si="250"/>
        <v>0</v>
      </c>
      <c r="AU582" s="71"/>
      <c r="AV582" s="71"/>
      <c r="AW582" s="71">
        <f t="shared" si="251"/>
        <v>0</v>
      </c>
      <c r="AY582" s="71"/>
      <c r="AZ582" s="71"/>
      <c r="BA582" s="71">
        <f t="shared" si="252"/>
        <v>0</v>
      </c>
      <c r="BI582" s="71"/>
      <c r="BJ582" s="71"/>
      <c r="BK582" s="71">
        <f t="shared" si="253"/>
        <v>0</v>
      </c>
      <c r="BM582" s="71"/>
      <c r="BN582" s="71"/>
      <c r="BO582" s="71">
        <f t="shared" si="254"/>
        <v>0</v>
      </c>
      <c r="BQ582" s="71"/>
      <c r="BR582" s="71"/>
      <c r="BS582" s="138">
        <f t="shared" si="255"/>
        <v>0</v>
      </c>
      <c r="BU582" s="71"/>
      <c r="BV582" s="71"/>
      <c r="BW582" s="71">
        <f t="shared" si="256"/>
        <v>0</v>
      </c>
      <c r="BZ582" s="71"/>
      <c r="CA582" s="71"/>
      <c r="CB582" s="71">
        <f t="shared" si="257"/>
        <v>0</v>
      </c>
      <c r="CD582" s="71"/>
      <c r="CE582" s="71"/>
      <c r="CF582" s="71">
        <f t="shared" si="258"/>
        <v>0</v>
      </c>
      <c r="CH582" s="71"/>
      <c r="CI582" s="71"/>
      <c r="CJ582" s="138">
        <f t="shared" si="259"/>
        <v>0</v>
      </c>
      <c r="CL582" s="71"/>
      <c r="CM582" s="71"/>
      <c r="CN582" s="71">
        <f t="shared" si="260"/>
        <v>0</v>
      </c>
      <c r="CS582" s="102">
        <f t="shared" si="261"/>
        <v>4.5293954747099576</v>
      </c>
      <c r="CT582" s="102">
        <f t="shared" si="262"/>
        <v>18.675175962423801</v>
      </c>
      <c r="CZ582" s="109" t="str">
        <f t="shared" si="263"/>
        <v>Basso</v>
      </c>
    </row>
    <row r="583" spans="9:104" x14ac:dyDescent="0.15">
      <c r="I583" s="64">
        <f t="shared" si="241"/>
        <v>76.99972307006928</v>
      </c>
      <c r="K583" s="64">
        <f t="shared" si="239"/>
        <v>1.2949152542372881</v>
      </c>
      <c r="L583" s="64">
        <f t="shared" si="240"/>
        <v>0.69336597143553846</v>
      </c>
      <c r="M583" s="64">
        <f t="shared" si="242"/>
        <v>0</v>
      </c>
      <c r="Q583" s="64">
        <f t="shared" si="243"/>
        <v>0</v>
      </c>
      <c r="U583" s="64">
        <f t="shared" si="244"/>
        <v>0</v>
      </c>
      <c r="Y583" s="114">
        <f t="shared" si="245"/>
        <v>0</v>
      </c>
      <c r="AC583" s="64">
        <f t="shared" si="246"/>
        <v>0</v>
      </c>
      <c r="AE583" s="71"/>
      <c r="AF583" s="71"/>
      <c r="AG583" s="71">
        <f t="shared" si="247"/>
        <v>0</v>
      </c>
      <c r="AK583" s="64">
        <f t="shared" si="248"/>
        <v>0</v>
      </c>
      <c r="AM583" s="71"/>
      <c r="AN583" s="71"/>
      <c r="AO583" s="71">
        <f t="shared" si="249"/>
        <v>0</v>
      </c>
      <c r="AQ583" s="71"/>
      <c r="AR583" s="71"/>
      <c r="AS583" s="71">
        <f t="shared" si="250"/>
        <v>0</v>
      </c>
      <c r="AU583" s="71"/>
      <c r="AV583" s="71"/>
      <c r="AW583" s="71">
        <f t="shared" si="251"/>
        <v>0</v>
      </c>
      <c r="AY583" s="71"/>
      <c r="AZ583" s="71"/>
      <c r="BA583" s="71">
        <f t="shared" si="252"/>
        <v>0</v>
      </c>
      <c r="BI583" s="71"/>
      <c r="BJ583" s="71"/>
      <c r="BK583" s="71">
        <f t="shared" si="253"/>
        <v>0</v>
      </c>
      <c r="BM583" s="71"/>
      <c r="BN583" s="71"/>
      <c r="BO583" s="71">
        <f t="shared" si="254"/>
        <v>0</v>
      </c>
      <c r="BQ583" s="71"/>
      <c r="BR583" s="71"/>
      <c r="BS583" s="138">
        <f t="shared" si="255"/>
        <v>0</v>
      </c>
      <c r="BU583" s="71"/>
      <c r="BV583" s="71"/>
      <c r="BW583" s="71">
        <f t="shared" si="256"/>
        <v>0</v>
      </c>
      <c r="BZ583" s="71"/>
      <c r="CA583" s="71"/>
      <c r="CB583" s="71">
        <f t="shared" si="257"/>
        <v>0</v>
      </c>
      <c r="CD583" s="71"/>
      <c r="CE583" s="71"/>
      <c r="CF583" s="71">
        <f t="shared" si="258"/>
        <v>0</v>
      </c>
      <c r="CH583" s="71"/>
      <c r="CI583" s="71"/>
      <c r="CJ583" s="138">
        <f t="shared" si="259"/>
        <v>0</v>
      </c>
      <c r="CL583" s="71"/>
      <c r="CM583" s="71"/>
      <c r="CN583" s="71">
        <f t="shared" si="260"/>
        <v>0</v>
      </c>
      <c r="CS583" s="102">
        <f t="shared" si="261"/>
        <v>4.5293954747099576</v>
      </c>
      <c r="CT583" s="102">
        <f t="shared" si="262"/>
        <v>18.675175962423801</v>
      </c>
      <c r="CZ583" s="109" t="str">
        <f t="shared" si="263"/>
        <v>Basso</v>
      </c>
    </row>
    <row r="584" spans="9:104" x14ac:dyDescent="0.15">
      <c r="I584" s="64">
        <f t="shared" si="241"/>
        <v>76.99972307006928</v>
      </c>
      <c r="K584" s="64">
        <f t="shared" si="239"/>
        <v>1.2949152542372881</v>
      </c>
      <c r="L584" s="64">
        <f t="shared" si="240"/>
        <v>0.69336597143553846</v>
      </c>
      <c r="M584" s="64">
        <f t="shared" si="242"/>
        <v>0</v>
      </c>
      <c r="Q584" s="64">
        <f t="shared" si="243"/>
        <v>0</v>
      </c>
      <c r="U584" s="64">
        <f t="shared" si="244"/>
        <v>0</v>
      </c>
      <c r="Y584" s="114">
        <f t="shared" si="245"/>
        <v>0</v>
      </c>
      <c r="AC584" s="64">
        <f t="shared" si="246"/>
        <v>0</v>
      </c>
      <c r="AE584" s="71"/>
      <c r="AF584" s="71"/>
      <c r="AG584" s="71">
        <f t="shared" si="247"/>
        <v>0</v>
      </c>
      <c r="AK584" s="64">
        <f t="shared" si="248"/>
        <v>0</v>
      </c>
      <c r="AM584" s="71"/>
      <c r="AN584" s="71"/>
      <c r="AO584" s="71">
        <f t="shared" si="249"/>
        <v>0</v>
      </c>
      <c r="AQ584" s="71"/>
      <c r="AR584" s="71"/>
      <c r="AS584" s="71">
        <f t="shared" si="250"/>
        <v>0</v>
      </c>
      <c r="AU584" s="71"/>
      <c r="AV584" s="71"/>
      <c r="AW584" s="71">
        <f t="shared" si="251"/>
        <v>0</v>
      </c>
      <c r="AY584" s="71"/>
      <c r="AZ584" s="71"/>
      <c r="BA584" s="71">
        <f t="shared" si="252"/>
        <v>0</v>
      </c>
      <c r="BI584" s="71"/>
      <c r="BJ584" s="71"/>
      <c r="BK584" s="71">
        <f t="shared" si="253"/>
        <v>0</v>
      </c>
      <c r="BM584" s="71"/>
      <c r="BN584" s="71"/>
      <c r="BO584" s="71">
        <f t="shared" si="254"/>
        <v>0</v>
      </c>
      <c r="BQ584" s="71"/>
      <c r="BR584" s="71"/>
      <c r="BS584" s="138">
        <f t="shared" si="255"/>
        <v>0</v>
      </c>
      <c r="BU584" s="71"/>
      <c r="BV584" s="71"/>
      <c r="BW584" s="71">
        <f t="shared" si="256"/>
        <v>0</v>
      </c>
      <c r="BZ584" s="71"/>
      <c r="CA584" s="71"/>
      <c r="CB584" s="71">
        <f t="shared" si="257"/>
        <v>0</v>
      </c>
      <c r="CD584" s="71"/>
      <c r="CE584" s="71"/>
      <c r="CF584" s="71">
        <f t="shared" si="258"/>
        <v>0</v>
      </c>
      <c r="CH584" s="71"/>
      <c r="CI584" s="71"/>
      <c r="CJ584" s="138">
        <f t="shared" si="259"/>
        <v>0</v>
      </c>
      <c r="CL584" s="71"/>
      <c r="CM584" s="71"/>
      <c r="CN584" s="71">
        <f t="shared" si="260"/>
        <v>0</v>
      </c>
      <c r="CS584" s="102">
        <f t="shared" si="261"/>
        <v>4.5293954747099576</v>
      </c>
      <c r="CT584" s="102">
        <f t="shared" si="262"/>
        <v>18.675175962423801</v>
      </c>
      <c r="CZ584" s="109" t="str">
        <f t="shared" si="263"/>
        <v>Basso</v>
      </c>
    </row>
    <row r="585" spans="9:104" x14ac:dyDescent="0.15">
      <c r="I585" s="64">
        <f t="shared" si="241"/>
        <v>76.99972307006928</v>
      </c>
      <c r="K585" s="64">
        <f t="shared" si="239"/>
        <v>1.2949152542372881</v>
      </c>
      <c r="L585" s="64">
        <f t="shared" si="240"/>
        <v>0.69336597143553846</v>
      </c>
      <c r="M585" s="64">
        <f t="shared" si="242"/>
        <v>0</v>
      </c>
      <c r="Q585" s="64">
        <f t="shared" si="243"/>
        <v>0</v>
      </c>
      <c r="U585" s="64">
        <f t="shared" si="244"/>
        <v>0</v>
      </c>
      <c r="Y585" s="114">
        <f t="shared" si="245"/>
        <v>0</v>
      </c>
      <c r="AC585" s="64">
        <f t="shared" si="246"/>
        <v>0</v>
      </c>
      <c r="AE585" s="71"/>
      <c r="AF585" s="71"/>
      <c r="AG585" s="71">
        <f t="shared" si="247"/>
        <v>0</v>
      </c>
      <c r="AK585" s="64">
        <f t="shared" si="248"/>
        <v>0</v>
      </c>
      <c r="AM585" s="71"/>
      <c r="AN585" s="71"/>
      <c r="AO585" s="71">
        <f t="shared" si="249"/>
        <v>0</v>
      </c>
      <c r="AQ585" s="71"/>
      <c r="AR585" s="71"/>
      <c r="AS585" s="71">
        <f t="shared" si="250"/>
        <v>0</v>
      </c>
      <c r="AU585" s="71"/>
      <c r="AV585" s="71"/>
      <c r="AW585" s="71">
        <f t="shared" si="251"/>
        <v>0</v>
      </c>
      <c r="AY585" s="71"/>
      <c r="AZ585" s="71"/>
      <c r="BA585" s="71">
        <f t="shared" si="252"/>
        <v>0</v>
      </c>
      <c r="BI585" s="71"/>
      <c r="BJ585" s="71"/>
      <c r="BK585" s="71">
        <f t="shared" si="253"/>
        <v>0</v>
      </c>
      <c r="BM585" s="71"/>
      <c r="BN585" s="71"/>
      <c r="BO585" s="71">
        <f t="shared" si="254"/>
        <v>0</v>
      </c>
      <c r="BQ585" s="71"/>
      <c r="BR585" s="71"/>
      <c r="BS585" s="138">
        <f t="shared" si="255"/>
        <v>0</v>
      </c>
      <c r="BU585" s="71"/>
      <c r="BV585" s="71"/>
      <c r="BW585" s="71">
        <f t="shared" si="256"/>
        <v>0</v>
      </c>
      <c r="BZ585" s="71"/>
      <c r="CA585" s="71"/>
      <c r="CB585" s="71">
        <f t="shared" si="257"/>
        <v>0</v>
      </c>
      <c r="CD585" s="71"/>
      <c r="CE585" s="71"/>
      <c r="CF585" s="71">
        <f t="shared" si="258"/>
        <v>0</v>
      </c>
      <c r="CH585" s="71"/>
      <c r="CI585" s="71"/>
      <c r="CJ585" s="138">
        <f t="shared" si="259"/>
        <v>0</v>
      </c>
      <c r="CL585" s="71"/>
      <c r="CM585" s="71"/>
      <c r="CN585" s="71">
        <f t="shared" si="260"/>
        <v>0</v>
      </c>
      <c r="CS585" s="102">
        <f t="shared" si="261"/>
        <v>4.5293954747099576</v>
      </c>
      <c r="CT585" s="102">
        <f t="shared" si="262"/>
        <v>18.675175962423801</v>
      </c>
      <c r="CZ585" s="109" t="str">
        <f t="shared" si="263"/>
        <v>Basso</v>
      </c>
    </row>
    <row r="586" spans="9:104" x14ac:dyDescent="0.15">
      <c r="I586" s="64">
        <f t="shared" si="241"/>
        <v>76.99972307006928</v>
      </c>
      <c r="K586" s="64">
        <f t="shared" si="239"/>
        <v>1.2949152542372881</v>
      </c>
      <c r="L586" s="64">
        <f t="shared" si="240"/>
        <v>0.69336597143553846</v>
      </c>
      <c r="M586" s="64">
        <f t="shared" si="242"/>
        <v>0</v>
      </c>
      <c r="Q586" s="64">
        <f t="shared" si="243"/>
        <v>0</v>
      </c>
      <c r="U586" s="64">
        <f t="shared" si="244"/>
        <v>0</v>
      </c>
      <c r="Y586" s="114">
        <f t="shared" si="245"/>
        <v>0</v>
      </c>
      <c r="AC586" s="64">
        <f t="shared" si="246"/>
        <v>0</v>
      </c>
      <c r="AE586" s="71"/>
      <c r="AF586" s="71"/>
      <c r="AG586" s="71">
        <f t="shared" si="247"/>
        <v>0</v>
      </c>
      <c r="AK586" s="64">
        <f t="shared" si="248"/>
        <v>0</v>
      </c>
      <c r="AM586" s="71"/>
      <c r="AN586" s="71"/>
      <c r="AO586" s="71">
        <f t="shared" si="249"/>
        <v>0</v>
      </c>
      <c r="AQ586" s="71"/>
      <c r="AR586" s="71"/>
      <c r="AS586" s="71">
        <f t="shared" si="250"/>
        <v>0</v>
      </c>
      <c r="AU586" s="71"/>
      <c r="AV586" s="71"/>
      <c r="AW586" s="71">
        <f t="shared" si="251"/>
        <v>0</v>
      </c>
      <c r="AY586" s="71"/>
      <c r="AZ586" s="71"/>
      <c r="BA586" s="71">
        <f t="shared" si="252"/>
        <v>0</v>
      </c>
      <c r="BI586" s="71"/>
      <c r="BJ586" s="71"/>
      <c r="BK586" s="71">
        <f t="shared" si="253"/>
        <v>0</v>
      </c>
      <c r="BM586" s="71"/>
      <c r="BN586" s="71"/>
      <c r="BO586" s="71">
        <f t="shared" si="254"/>
        <v>0</v>
      </c>
      <c r="BQ586" s="71"/>
      <c r="BR586" s="71"/>
      <c r="BS586" s="138">
        <f t="shared" si="255"/>
        <v>0</v>
      </c>
      <c r="BU586" s="71"/>
      <c r="BV586" s="71"/>
      <c r="BW586" s="71">
        <f t="shared" si="256"/>
        <v>0</v>
      </c>
      <c r="BZ586" s="71"/>
      <c r="CA586" s="71"/>
      <c r="CB586" s="71">
        <f t="shared" si="257"/>
        <v>0</v>
      </c>
      <c r="CD586" s="71"/>
      <c r="CE586" s="71"/>
      <c r="CF586" s="71">
        <f t="shared" si="258"/>
        <v>0</v>
      </c>
      <c r="CH586" s="71"/>
      <c r="CI586" s="71"/>
      <c r="CJ586" s="138">
        <f t="shared" si="259"/>
        <v>0</v>
      </c>
      <c r="CL586" s="71"/>
      <c r="CM586" s="71"/>
      <c r="CN586" s="71">
        <f t="shared" si="260"/>
        <v>0</v>
      </c>
      <c r="CS586" s="102">
        <f t="shared" si="261"/>
        <v>4.5293954747099576</v>
      </c>
      <c r="CT586" s="102">
        <f t="shared" si="262"/>
        <v>18.675175962423801</v>
      </c>
      <c r="CZ586" s="109" t="str">
        <f t="shared" si="263"/>
        <v>Basso</v>
      </c>
    </row>
    <row r="587" spans="9:104" x14ac:dyDescent="0.15">
      <c r="I587" s="64">
        <f t="shared" si="241"/>
        <v>76.99972307006928</v>
      </c>
      <c r="K587" s="64">
        <f t="shared" si="239"/>
        <v>1.2949152542372881</v>
      </c>
      <c r="L587" s="64">
        <f t="shared" si="240"/>
        <v>0.69336597143553846</v>
      </c>
      <c r="M587" s="64">
        <f t="shared" si="242"/>
        <v>0</v>
      </c>
      <c r="Q587" s="64">
        <f t="shared" si="243"/>
        <v>0</v>
      </c>
      <c r="U587" s="64">
        <f t="shared" si="244"/>
        <v>0</v>
      </c>
      <c r="Y587" s="114">
        <f t="shared" si="245"/>
        <v>0</v>
      </c>
      <c r="AC587" s="64">
        <f t="shared" si="246"/>
        <v>0</v>
      </c>
      <c r="AE587" s="71"/>
      <c r="AF587" s="71"/>
      <c r="AG587" s="71">
        <f t="shared" si="247"/>
        <v>0</v>
      </c>
      <c r="AK587" s="64">
        <f t="shared" si="248"/>
        <v>0</v>
      </c>
      <c r="AM587" s="71"/>
      <c r="AN587" s="71"/>
      <c r="AO587" s="71">
        <f t="shared" si="249"/>
        <v>0</v>
      </c>
      <c r="AQ587" s="71"/>
      <c r="AR587" s="71"/>
      <c r="AS587" s="71">
        <f t="shared" si="250"/>
        <v>0</v>
      </c>
      <c r="AU587" s="71"/>
      <c r="AV587" s="71"/>
      <c r="AW587" s="71">
        <f t="shared" si="251"/>
        <v>0</v>
      </c>
      <c r="AY587" s="71"/>
      <c r="AZ587" s="71"/>
      <c r="BA587" s="71">
        <f t="shared" si="252"/>
        <v>0</v>
      </c>
      <c r="BI587" s="71"/>
      <c r="BJ587" s="71"/>
      <c r="BK587" s="71">
        <f t="shared" si="253"/>
        <v>0</v>
      </c>
      <c r="BM587" s="71"/>
      <c r="BN587" s="71"/>
      <c r="BO587" s="71">
        <f t="shared" si="254"/>
        <v>0</v>
      </c>
      <c r="BQ587" s="71"/>
      <c r="BR587" s="71"/>
      <c r="BS587" s="138">
        <f t="shared" si="255"/>
        <v>0</v>
      </c>
      <c r="BU587" s="71"/>
      <c r="BV587" s="71"/>
      <c r="BW587" s="71">
        <f t="shared" si="256"/>
        <v>0</v>
      </c>
      <c r="BZ587" s="71"/>
      <c r="CA587" s="71"/>
      <c r="CB587" s="71">
        <f t="shared" si="257"/>
        <v>0</v>
      </c>
      <c r="CD587" s="71"/>
      <c r="CE587" s="71"/>
      <c r="CF587" s="71">
        <f t="shared" si="258"/>
        <v>0</v>
      </c>
      <c r="CH587" s="71"/>
      <c r="CI587" s="71"/>
      <c r="CJ587" s="138">
        <f t="shared" si="259"/>
        <v>0</v>
      </c>
      <c r="CL587" s="71"/>
      <c r="CM587" s="71"/>
      <c r="CN587" s="71">
        <f t="shared" si="260"/>
        <v>0</v>
      </c>
      <c r="CS587" s="102">
        <f t="shared" si="261"/>
        <v>4.5293954747099576</v>
      </c>
      <c r="CT587" s="102">
        <f t="shared" si="262"/>
        <v>18.675175962423801</v>
      </c>
      <c r="CZ587" s="109" t="str">
        <f t="shared" si="263"/>
        <v>Basso</v>
      </c>
    </row>
    <row r="588" spans="9:104" x14ac:dyDescent="0.15">
      <c r="I588" s="64">
        <f t="shared" si="241"/>
        <v>76.99972307006928</v>
      </c>
      <c r="K588" s="64">
        <f t="shared" si="239"/>
        <v>1.2949152542372881</v>
      </c>
      <c r="L588" s="64">
        <f t="shared" si="240"/>
        <v>0.69336597143553846</v>
      </c>
      <c r="M588" s="64">
        <f t="shared" si="242"/>
        <v>0</v>
      </c>
      <c r="Q588" s="64">
        <f t="shared" si="243"/>
        <v>0</v>
      </c>
      <c r="U588" s="64">
        <f t="shared" si="244"/>
        <v>0</v>
      </c>
      <c r="Y588" s="114">
        <f t="shared" si="245"/>
        <v>0</v>
      </c>
      <c r="AC588" s="64">
        <f t="shared" si="246"/>
        <v>0</v>
      </c>
      <c r="AE588" s="71"/>
      <c r="AF588" s="71"/>
      <c r="AG588" s="71">
        <f t="shared" si="247"/>
        <v>0</v>
      </c>
      <c r="AK588" s="64">
        <f t="shared" si="248"/>
        <v>0</v>
      </c>
      <c r="AM588" s="71"/>
      <c r="AN588" s="71"/>
      <c r="AO588" s="71">
        <f t="shared" si="249"/>
        <v>0</v>
      </c>
      <c r="AQ588" s="71"/>
      <c r="AR588" s="71"/>
      <c r="AS588" s="71">
        <f t="shared" si="250"/>
        <v>0</v>
      </c>
      <c r="AU588" s="71"/>
      <c r="AV588" s="71"/>
      <c r="AW588" s="71">
        <f t="shared" si="251"/>
        <v>0</v>
      </c>
      <c r="AY588" s="71"/>
      <c r="AZ588" s="71"/>
      <c r="BA588" s="71">
        <f t="shared" si="252"/>
        <v>0</v>
      </c>
      <c r="BI588" s="71"/>
      <c r="BJ588" s="71"/>
      <c r="BK588" s="71">
        <f t="shared" si="253"/>
        <v>0</v>
      </c>
      <c r="BM588" s="71"/>
      <c r="BN588" s="71"/>
      <c r="BO588" s="71">
        <f t="shared" si="254"/>
        <v>0</v>
      </c>
      <c r="BQ588" s="71"/>
      <c r="BR588" s="71"/>
      <c r="BS588" s="138">
        <f t="shared" si="255"/>
        <v>0</v>
      </c>
      <c r="BU588" s="71"/>
      <c r="BV588" s="71"/>
      <c r="BW588" s="71">
        <f t="shared" si="256"/>
        <v>0</v>
      </c>
      <c r="BZ588" s="71"/>
      <c r="CA588" s="71"/>
      <c r="CB588" s="71">
        <f t="shared" si="257"/>
        <v>0</v>
      </c>
      <c r="CD588" s="71"/>
      <c r="CE588" s="71"/>
      <c r="CF588" s="71">
        <f t="shared" si="258"/>
        <v>0</v>
      </c>
      <c r="CH588" s="71"/>
      <c r="CI588" s="71"/>
      <c r="CJ588" s="138">
        <f t="shared" si="259"/>
        <v>0</v>
      </c>
      <c r="CL588" s="71"/>
      <c r="CM588" s="71"/>
      <c r="CN588" s="71">
        <f t="shared" si="260"/>
        <v>0</v>
      </c>
      <c r="CS588" s="102">
        <f t="shared" si="261"/>
        <v>4.5293954747099576</v>
      </c>
      <c r="CT588" s="102">
        <f t="shared" si="262"/>
        <v>18.675175962423801</v>
      </c>
      <c r="CZ588" s="109" t="str">
        <f t="shared" si="263"/>
        <v>Basso</v>
      </c>
    </row>
    <row r="589" spans="9:104" x14ac:dyDescent="0.15">
      <c r="I589" s="64">
        <f t="shared" si="241"/>
        <v>76.99972307006928</v>
      </c>
      <c r="K589" s="64">
        <f t="shared" si="239"/>
        <v>1.2949152542372881</v>
      </c>
      <c r="L589" s="64">
        <f t="shared" si="240"/>
        <v>0.69336597143553846</v>
      </c>
      <c r="M589" s="64">
        <f t="shared" si="242"/>
        <v>0</v>
      </c>
      <c r="Q589" s="64">
        <f t="shared" si="243"/>
        <v>0</v>
      </c>
      <c r="U589" s="64">
        <f t="shared" si="244"/>
        <v>0</v>
      </c>
      <c r="Y589" s="114">
        <f t="shared" si="245"/>
        <v>0</v>
      </c>
      <c r="AC589" s="64">
        <f t="shared" si="246"/>
        <v>0</v>
      </c>
      <c r="AE589" s="71"/>
      <c r="AF589" s="71"/>
      <c r="AG589" s="71">
        <f t="shared" si="247"/>
        <v>0</v>
      </c>
      <c r="AK589" s="64">
        <f t="shared" si="248"/>
        <v>0</v>
      </c>
      <c r="AM589" s="71"/>
      <c r="AN589" s="71"/>
      <c r="AO589" s="71">
        <f t="shared" si="249"/>
        <v>0</v>
      </c>
      <c r="AQ589" s="71"/>
      <c r="AR589" s="71"/>
      <c r="AS589" s="71">
        <f t="shared" si="250"/>
        <v>0</v>
      </c>
      <c r="AU589" s="71"/>
      <c r="AV589" s="71"/>
      <c r="AW589" s="71">
        <f t="shared" si="251"/>
        <v>0</v>
      </c>
      <c r="AY589" s="71"/>
      <c r="AZ589" s="71"/>
      <c r="BA589" s="71">
        <f t="shared" si="252"/>
        <v>0</v>
      </c>
      <c r="BI589" s="71"/>
      <c r="BJ589" s="71"/>
      <c r="BK589" s="71">
        <f t="shared" si="253"/>
        <v>0</v>
      </c>
      <c r="BM589" s="71"/>
      <c r="BN589" s="71"/>
      <c r="BO589" s="71">
        <f t="shared" si="254"/>
        <v>0</v>
      </c>
      <c r="BQ589" s="71"/>
      <c r="BR589" s="71"/>
      <c r="BS589" s="138">
        <f t="shared" si="255"/>
        <v>0</v>
      </c>
      <c r="BU589" s="71"/>
      <c r="BV589" s="71"/>
      <c r="BW589" s="71">
        <f t="shared" si="256"/>
        <v>0</v>
      </c>
      <c r="BZ589" s="71"/>
      <c r="CA589" s="71"/>
      <c r="CB589" s="71">
        <f t="shared" si="257"/>
        <v>0</v>
      </c>
      <c r="CD589" s="71"/>
      <c r="CE589" s="71"/>
      <c r="CF589" s="71">
        <f t="shared" si="258"/>
        <v>0</v>
      </c>
      <c r="CH589" s="71"/>
      <c r="CI589" s="71"/>
      <c r="CJ589" s="138">
        <f t="shared" si="259"/>
        <v>0</v>
      </c>
      <c r="CL589" s="71"/>
      <c r="CM589" s="71"/>
      <c r="CN589" s="71">
        <f t="shared" si="260"/>
        <v>0</v>
      </c>
      <c r="CS589" s="102">
        <f t="shared" si="261"/>
        <v>4.5293954747099576</v>
      </c>
      <c r="CT589" s="102">
        <f t="shared" si="262"/>
        <v>18.675175962423801</v>
      </c>
      <c r="CZ589" s="109" t="str">
        <f t="shared" si="263"/>
        <v>Basso</v>
      </c>
    </row>
    <row r="590" spans="9:104" x14ac:dyDescent="0.15">
      <c r="I590" s="64">
        <f t="shared" si="241"/>
        <v>76.99972307006928</v>
      </c>
      <c r="K590" s="64">
        <f t="shared" si="239"/>
        <v>1.2949152542372881</v>
      </c>
      <c r="L590" s="64">
        <f t="shared" si="240"/>
        <v>0.69336597143553846</v>
      </c>
      <c r="M590" s="64">
        <f t="shared" si="242"/>
        <v>0</v>
      </c>
      <c r="Q590" s="64">
        <f t="shared" si="243"/>
        <v>0</v>
      </c>
      <c r="U590" s="64">
        <f t="shared" si="244"/>
        <v>0</v>
      </c>
      <c r="Y590" s="114">
        <f t="shared" si="245"/>
        <v>0</v>
      </c>
      <c r="AC590" s="64">
        <f t="shared" si="246"/>
        <v>0</v>
      </c>
      <c r="AE590" s="71"/>
      <c r="AF590" s="71"/>
      <c r="AG590" s="71">
        <f t="shared" si="247"/>
        <v>0</v>
      </c>
      <c r="AK590" s="64">
        <f t="shared" si="248"/>
        <v>0</v>
      </c>
      <c r="AM590" s="71"/>
      <c r="AN590" s="71"/>
      <c r="AO590" s="71">
        <f t="shared" si="249"/>
        <v>0</v>
      </c>
      <c r="AQ590" s="71"/>
      <c r="AR590" s="71"/>
      <c r="AS590" s="71">
        <f t="shared" si="250"/>
        <v>0</v>
      </c>
      <c r="AU590" s="71"/>
      <c r="AV590" s="71"/>
      <c r="AW590" s="71">
        <f t="shared" si="251"/>
        <v>0</v>
      </c>
      <c r="AY590" s="71"/>
      <c r="AZ590" s="71"/>
      <c r="BA590" s="71">
        <f t="shared" si="252"/>
        <v>0</v>
      </c>
      <c r="BI590" s="71"/>
      <c r="BJ590" s="71"/>
      <c r="BK590" s="71">
        <f t="shared" si="253"/>
        <v>0</v>
      </c>
      <c r="BM590" s="71"/>
      <c r="BN590" s="71"/>
      <c r="BO590" s="71">
        <f t="shared" si="254"/>
        <v>0</v>
      </c>
      <c r="BQ590" s="71"/>
      <c r="BR590" s="71"/>
      <c r="BS590" s="138">
        <f t="shared" si="255"/>
        <v>0</v>
      </c>
      <c r="BU590" s="71"/>
      <c r="BV590" s="71"/>
      <c r="BW590" s="71">
        <f t="shared" si="256"/>
        <v>0</v>
      </c>
      <c r="BZ590" s="71"/>
      <c r="CA590" s="71"/>
      <c r="CB590" s="71">
        <f t="shared" si="257"/>
        <v>0</v>
      </c>
      <c r="CD590" s="71"/>
      <c r="CE590" s="71"/>
      <c r="CF590" s="71">
        <f t="shared" si="258"/>
        <v>0</v>
      </c>
      <c r="CH590" s="71"/>
      <c r="CI590" s="71"/>
      <c r="CJ590" s="138">
        <f t="shared" si="259"/>
        <v>0</v>
      </c>
      <c r="CL590" s="71"/>
      <c r="CM590" s="71"/>
      <c r="CN590" s="71">
        <f t="shared" si="260"/>
        <v>0</v>
      </c>
      <c r="CS590" s="102">
        <f t="shared" si="261"/>
        <v>4.5293954747099576</v>
      </c>
      <c r="CT590" s="102">
        <f t="shared" si="262"/>
        <v>18.675175962423801</v>
      </c>
      <c r="CZ590" s="109" t="str">
        <f t="shared" si="263"/>
        <v>Basso</v>
      </c>
    </row>
    <row r="591" spans="9:104" x14ac:dyDescent="0.15">
      <c r="I591" s="64">
        <f t="shared" si="241"/>
        <v>76.99972307006928</v>
      </c>
      <c r="K591" s="64">
        <f t="shared" si="239"/>
        <v>1.2949152542372881</v>
      </c>
      <c r="L591" s="64">
        <f t="shared" si="240"/>
        <v>0.69336597143553846</v>
      </c>
      <c r="M591" s="64">
        <f t="shared" si="242"/>
        <v>0</v>
      </c>
      <c r="Q591" s="64">
        <f t="shared" si="243"/>
        <v>0</v>
      </c>
      <c r="U591" s="64">
        <f t="shared" si="244"/>
        <v>0</v>
      </c>
      <c r="Y591" s="114">
        <f t="shared" si="245"/>
        <v>0</v>
      </c>
      <c r="AC591" s="64">
        <f t="shared" si="246"/>
        <v>0</v>
      </c>
      <c r="AE591" s="71"/>
      <c r="AF591" s="71"/>
      <c r="AG591" s="71">
        <f t="shared" si="247"/>
        <v>0</v>
      </c>
      <c r="AK591" s="64">
        <f t="shared" si="248"/>
        <v>0</v>
      </c>
      <c r="AM591" s="71"/>
      <c r="AN591" s="71"/>
      <c r="AO591" s="71">
        <f t="shared" si="249"/>
        <v>0</v>
      </c>
      <c r="AQ591" s="71"/>
      <c r="AR591" s="71"/>
      <c r="AS591" s="71">
        <f t="shared" si="250"/>
        <v>0</v>
      </c>
      <c r="AU591" s="71"/>
      <c r="AV591" s="71"/>
      <c r="AW591" s="71">
        <f t="shared" si="251"/>
        <v>0</v>
      </c>
      <c r="AY591" s="71"/>
      <c r="AZ591" s="71"/>
      <c r="BA591" s="71">
        <f t="shared" si="252"/>
        <v>0</v>
      </c>
      <c r="BI591" s="71"/>
      <c r="BJ591" s="71"/>
      <c r="BK591" s="71">
        <f t="shared" si="253"/>
        <v>0</v>
      </c>
      <c r="BM591" s="71"/>
      <c r="BN591" s="71"/>
      <c r="BO591" s="71">
        <f t="shared" si="254"/>
        <v>0</v>
      </c>
      <c r="BQ591" s="71"/>
      <c r="BR591" s="71"/>
      <c r="BS591" s="138">
        <f t="shared" si="255"/>
        <v>0</v>
      </c>
      <c r="BU591" s="71"/>
      <c r="BV591" s="71"/>
      <c r="BW591" s="71">
        <f t="shared" si="256"/>
        <v>0</v>
      </c>
      <c r="BZ591" s="71"/>
      <c r="CA591" s="71"/>
      <c r="CB591" s="71">
        <f t="shared" si="257"/>
        <v>0</v>
      </c>
      <c r="CD591" s="71"/>
      <c r="CE591" s="71"/>
      <c r="CF591" s="71">
        <f t="shared" si="258"/>
        <v>0</v>
      </c>
      <c r="CH591" s="71"/>
      <c r="CI591" s="71"/>
      <c r="CJ591" s="138">
        <f t="shared" si="259"/>
        <v>0</v>
      </c>
      <c r="CL591" s="71"/>
      <c r="CM591" s="71"/>
      <c r="CN591" s="71">
        <f t="shared" si="260"/>
        <v>0</v>
      </c>
      <c r="CS591" s="102">
        <f t="shared" si="261"/>
        <v>4.5293954747099576</v>
      </c>
      <c r="CT591" s="102">
        <f t="shared" si="262"/>
        <v>18.675175962423801</v>
      </c>
      <c r="CZ591" s="109" t="str">
        <f t="shared" si="263"/>
        <v>Basso</v>
      </c>
    </row>
    <row r="592" spans="9:104" x14ac:dyDescent="0.15">
      <c r="I592" s="64">
        <f t="shared" si="241"/>
        <v>76.99972307006928</v>
      </c>
      <c r="M592" s="64">
        <f t="shared" si="242"/>
        <v>0</v>
      </c>
      <c r="Q592" s="64">
        <f t="shared" si="243"/>
        <v>0</v>
      </c>
      <c r="U592" s="64">
        <f t="shared" si="244"/>
        <v>0</v>
      </c>
      <c r="Y592" s="114">
        <f t="shared" si="245"/>
        <v>0</v>
      </c>
      <c r="AC592" s="64">
        <f t="shared" si="246"/>
        <v>0</v>
      </c>
      <c r="AE592" s="71"/>
      <c r="AF592" s="71"/>
      <c r="AG592" s="71">
        <f t="shared" si="247"/>
        <v>0</v>
      </c>
      <c r="AK592" s="64">
        <f t="shared" si="248"/>
        <v>0</v>
      </c>
      <c r="AM592" s="71"/>
      <c r="AN592" s="71"/>
      <c r="AO592" s="71">
        <f t="shared" si="249"/>
        <v>0</v>
      </c>
      <c r="AQ592" s="71"/>
      <c r="AR592" s="71"/>
      <c r="AS592" s="71">
        <f t="shared" si="250"/>
        <v>0</v>
      </c>
      <c r="AU592" s="71"/>
      <c r="AV592" s="71"/>
      <c r="AW592" s="71">
        <f t="shared" si="251"/>
        <v>0</v>
      </c>
      <c r="AY592" s="71"/>
      <c r="AZ592" s="71"/>
      <c r="BA592" s="71">
        <f t="shared" si="252"/>
        <v>0</v>
      </c>
      <c r="BI592" s="71"/>
      <c r="BJ592" s="71"/>
      <c r="BK592" s="71">
        <f t="shared" si="253"/>
        <v>0</v>
      </c>
      <c r="BM592" s="71"/>
      <c r="BN592" s="71"/>
      <c r="BO592" s="71">
        <f t="shared" si="254"/>
        <v>0</v>
      </c>
      <c r="BQ592" s="71"/>
      <c r="BR592" s="71"/>
      <c r="BS592" s="138">
        <f t="shared" si="255"/>
        <v>0</v>
      </c>
      <c r="BU592" s="71"/>
      <c r="BV592" s="71"/>
      <c r="BW592" s="71">
        <f t="shared" si="256"/>
        <v>0</v>
      </c>
      <c r="BZ592" s="71"/>
      <c r="CA592" s="71"/>
      <c r="CB592" s="71">
        <f t="shared" si="257"/>
        <v>0</v>
      </c>
      <c r="CD592" s="71"/>
      <c r="CE592" s="71"/>
      <c r="CF592" s="71">
        <f t="shared" si="258"/>
        <v>0</v>
      </c>
      <c r="CH592" s="71"/>
      <c r="CI592" s="71"/>
      <c r="CJ592" s="138">
        <f t="shared" si="259"/>
        <v>0</v>
      </c>
      <c r="CL592" s="71"/>
      <c r="CM592" s="71"/>
      <c r="CN592" s="71">
        <f t="shared" si="260"/>
        <v>0</v>
      </c>
      <c r="CS592" s="102">
        <f t="shared" si="261"/>
        <v>4.5293954747099576</v>
      </c>
      <c r="CT592" s="102">
        <f t="shared" si="262"/>
        <v>18.675175962423801</v>
      </c>
      <c r="CZ592" s="109" t="str">
        <f t="shared" si="263"/>
        <v>Basso</v>
      </c>
    </row>
    <row r="593" spans="9:104" x14ac:dyDescent="0.15">
      <c r="I593" s="64">
        <f t="shared" si="241"/>
        <v>76.99972307006928</v>
      </c>
      <c r="M593" s="64">
        <f t="shared" si="242"/>
        <v>0</v>
      </c>
      <c r="Q593" s="64">
        <f t="shared" si="243"/>
        <v>0</v>
      </c>
      <c r="U593" s="64">
        <f t="shared" si="244"/>
        <v>0</v>
      </c>
      <c r="Y593" s="114">
        <f t="shared" si="245"/>
        <v>0</v>
      </c>
      <c r="AC593" s="64">
        <f t="shared" si="246"/>
        <v>0</v>
      </c>
      <c r="AE593" s="71"/>
      <c r="AF593" s="71"/>
      <c r="AG593" s="71">
        <f t="shared" si="247"/>
        <v>0</v>
      </c>
      <c r="AK593" s="64">
        <f t="shared" si="248"/>
        <v>0</v>
      </c>
      <c r="AM593" s="71"/>
      <c r="AN593" s="71"/>
      <c r="AO593" s="71">
        <f t="shared" si="249"/>
        <v>0</v>
      </c>
      <c r="AQ593" s="71"/>
      <c r="AR593" s="71"/>
      <c r="AS593" s="71">
        <f t="shared" si="250"/>
        <v>0</v>
      </c>
      <c r="AU593" s="71"/>
      <c r="AV593" s="71"/>
      <c r="AW593" s="71">
        <f t="shared" si="251"/>
        <v>0</v>
      </c>
      <c r="AY593" s="71"/>
      <c r="AZ593" s="71"/>
      <c r="BA593" s="71">
        <f t="shared" si="252"/>
        <v>0</v>
      </c>
      <c r="BI593" s="71"/>
      <c r="BJ593" s="71"/>
      <c r="BK593" s="71">
        <f t="shared" si="253"/>
        <v>0</v>
      </c>
      <c r="BM593" s="71"/>
      <c r="BN593" s="71"/>
      <c r="BO593" s="71">
        <f t="shared" si="254"/>
        <v>0</v>
      </c>
      <c r="BQ593" s="71"/>
      <c r="BR593" s="71"/>
      <c r="BS593" s="138">
        <f t="shared" si="255"/>
        <v>0</v>
      </c>
      <c r="BU593" s="71"/>
      <c r="BV593" s="71"/>
      <c r="BW593" s="71">
        <f t="shared" si="256"/>
        <v>0</v>
      </c>
      <c r="BZ593" s="71"/>
      <c r="CA593" s="71"/>
      <c r="CB593" s="71">
        <f t="shared" si="257"/>
        <v>0</v>
      </c>
      <c r="CD593" s="71"/>
      <c r="CE593" s="71"/>
      <c r="CF593" s="71">
        <f t="shared" si="258"/>
        <v>0</v>
      </c>
      <c r="CH593" s="71"/>
      <c r="CI593" s="71"/>
      <c r="CJ593" s="138">
        <f t="shared" si="259"/>
        <v>0</v>
      </c>
      <c r="CL593" s="71"/>
      <c r="CM593" s="71"/>
      <c r="CN593" s="71">
        <f t="shared" si="260"/>
        <v>0</v>
      </c>
      <c r="CS593" s="102">
        <f t="shared" si="261"/>
        <v>4.5293954747099576</v>
      </c>
      <c r="CT593" s="102">
        <f t="shared" si="262"/>
        <v>18.675175962423801</v>
      </c>
      <c r="CZ593" s="109" t="str">
        <f t="shared" si="263"/>
        <v>Basso</v>
      </c>
    </row>
    <row r="594" spans="9:104" x14ac:dyDescent="0.15">
      <c r="I594" s="64">
        <f t="shared" si="241"/>
        <v>76.99972307006928</v>
      </c>
      <c r="M594" s="64">
        <f t="shared" si="242"/>
        <v>0</v>
      </c>
      <c r="Q594" s="64">
        <f t="shared" si="243"/>
        <v>0</v>
      </c>
      <c r="U594" s="64">
        <f t="shared" si="244"/>
        <v>0</v>
      </c>
      <c r="Y594" s="114">
        <f t="shared" si="245"/>
        <v>0</v>
      </c>
      <c r="AC594" s="64">
        <f t="shared" si="246"/>
        <v>0</v>
      </c>
      <c r="AE594" s="71"/>
      <c r="AF594" s="71"/>
      <c r="AG594" s="71">
        <f t="shared" si="247"/>
        <v>0</v>
      </c>
      <c r="AK594" s="64">
        <f t="shared" si="248"/>
        <v>0</v>
      </c>
      <c r="AM594" s="71"/>
      <c r="AN594" s="71"/>
      <c r="AO594" s="71">
        <f t="shared" si="249"/>
        <v>0</v>
      </c>
      <c r="AQ594" s="71"/>
      <c r="AR594" s="71"/>
      <c r="AS594" s="71">
        <f t="shared" si="250"/>
        <v>0</v>
      </c>
      <c r="AU594" s="71"/>
      <c r="AV594" s="71"/>
      <c r="AW594" s="71">
        <f t="shared" si="251"/>
        <v>0</v>
      </c>
      <c r="AY594" s="71"/>
      <c r="AZ594" s="71"/>
      <c r="BA594" s="71">
        <f t="shared" si="252"/>
        <v>0</v>
      </c>
      <c r="BI594" s="71"/>
      <c r="BJ594" s="71"/>
      <c r="BK594" s="71">
        <f t="shared" si="253"/>
        <v>0</v>
      </c>
      <c r="BM594" s="71"/>
      <c r="BN594" s="71"/>
      <c r="BO594" s="71">
        <f t="shared" si="254"/>
        <v>0</v>
      </c>
      <c r="BQ594" s="71"/>
      <c r="BR594" s="71"/>
      <c r="BS594" s="138">
        <f t="shared" si="255"/>
        <v>0</v>
      </c>
      <c r="BU594" s="71"/>
      <c r="BV594" s="71"/>
      <c r="BW594" s="71">
        <f t="shared" si="256"/>
        <v>0</v>
      </c>
      <c r="BZ594" s="71"/>
      <c r="CA594" s="71"/>
      <c r="CB594" s="71">
        <f t="shared" si="257"/>
        <v>0</v>
      </c>
      <c r="CD594" s="71"/>
      <c r="CE594" s="71"/>
      <c r="CF594" s="71">
        <f t="shared" si="258"/>
        <v>0</v>
      </c>
      <c r="CH594" s="71"/>
      <c r="CI594" s="71"/>
      <c r="CJ594" s="138">
        <f t="shared" si="259"/>
        <v>0</v>
      </c>
      <c r="CL594" s="71"/>
      <c r="CM594" s="71"/>
      <c r="CN594" s="71">
        <f t="shared" si="260"/>
        <v>0</v>
      </c>
      <c r="CS594" s="102">
        <f t="shared" si="261"/>
        <v>4.5293954747099576</v>
      </c>
      <c r="CT594" s="102">
        <f t="shared" si="262"/>
        <v>18.675175962423801</v>
      </c>
      <c r="CZ594" s="109" t="str">
        <f t="shared" si="263"/>
        <v>Basso</v>
      </c>
    </row>
    <row r="595" spans="9:104" x14ac:dyDescent="0.15">
      <c r="I595" s="64">
        <f t="shared" si="241"/>
        <v>76.99972307006928</v>
      </c>
      <c r="M595" s="64">
        <f t="shared" si="242"/>
        <v>0</v>
      </c>
      <c r="Q595" s="64">
        <f t="shared" si="243"/>
        <v>0</v>
      </c>
      <c r="U595" s="64">
        <f t="shared" si="244"/>
        <v>0</v>
      </c>
      <c r="Y595" s="114">
        <f t="shared" si="245"/>
        <v>0</v>
      </c>
      <c r="AC595" s="64">
        <f t="shared" si="246"/>
        <v>0</v>
      </c>
      <c r="AE595" s="71"/>
      <c r="AF595" s="71"/>
      <c r="AG595" s="71">
        <f t="shared" si="247"/>
        <v>0</v>
      </c>
      <c r="AK595" s="64">
        <f t="shared" si="248"/>
        <v>0</v>
      </c>
      <c r="AM595" s="71"/>
      <c r="AN595" s="71"/>
      <c r="AO595" s="71">
        <f t="shared" si="249"/>
        <v>0</v>
      </c>
      <c r="AQ595" s="71"/>
      <c r="AR595" s="71"/>
      <c r="AS595" s="71">
        <f t="shared" si="250"/>
        <v>0</v>
      </c>
      <c r="AU595" s="71"/>
      <c r="AV595" s="71"/>
      <c r="AW595" s="71">
        <f t="shared" si="251"/>
        <v>0</v>
      </c>
      <c r="AY595" s="71"/>
      <c r="AZ595" s="71"/>
      <c r="BA595" s="71">
        <f t="shared" si="252"/>
        <v>0</v>
      </c>
      <c r="BI595" s="71"/>
      <c r="BJ595" s="71"/>
      <c r="BK595" s="71">
        <f t="shared" si="253"/>
        <v>0</v>
      </c>
      <c r="BM595" s="71"/>
      <c r="BN595" s="71"/>
      <c r="BO595" s="71">
        <f t="shared" si="254"/>
        <v>0</v>
      </c>
      <c r="BQ595" s="71"/>
      <c r="BR595" s="71"/>
      <c r="BS595" s="138">
        <f t="shared" si="255"/>
        <v>0</v>
      </c>
      <c r="BU595" s="71"/>
      <c r="BV595" s="71"/>
      <c r="BW595" s="71">
        <f t="shared" si="256"/>
        <v>0</v>
      </c>
      <c r="BZ595" s="71"/>
      <c r="CA595" s="71"/>
      <c r="CB595" s="71">
        <f t="shared" si="257"/>
        <v>0</v>
      </c>
      <c r="CD595" s="71"/>
      <c r="CE595" s="71"/>
      <c r="CF595" s="71">
        <f t="shared" si="258"/>
        <v>0</v>
      </c>
      <c r="CH595" s="71"/>
      <c r="CI595" s="71"/>
      <c r="CJ595" s="138">
        <f t="shared" si="259"/>
        <v>0</v>
      </c>
      <c r="CL595" s="71"/>
      <c r="CM595" s="71"/>
      <c r="CN595" s="71">
        <f t="shared" si="260"/>
        <v>0</v>
      </c>
      <c r="CS595" s="102">
        <f t="shared" si="261"/>
        <v>4.5293954747099576</v>
      </c>
      <c r="CT595" s="102">
        <f t="shared" si="262"/>
        <v>18.675175962423801</v>
      </c>
      <c r="CZ595" s="109" t="str">
        <f t="shared" si="263"/>
        <v>Basso</v>
      </c>
    </row>
    <row r="596" spans="9:104" x14ac:dyDescent="0.15">
      <c r="I596" s="64">
        <f t="shared" si="241"/>
        <v>76.99972307006928</v>
      </c>
      <c r="M596" s="64">
        <f t="shared" si="242"/>
        <v>0</v>
      </c>
      <c r="Q596" s="64">
        <f t="shared" si="243"/>
        <v>0</v>
      </c>
      <c r="U596" s="64">
        <f t="shared" si="244"/>
        <v>0</v>
      </c>
      <c r="Y596" s="114">
        <f t="shared" si="245"/>
        <v>0</v>
      </c>
      <c r="AC596" s="64">
        <f t="shared" si="246"/>
        <v>0</v>
      </c>
      <c r="AE596" s="71"/>
      <c r="AF596" s="71"/>
      <c r="AG596" s="71">
        <f t="shared" si="247"/>
        <v>0</v>
      </c>
      <c r="AK596" s="64">
        <f t="shared" si="248"/>
        <v>0</v>
      </c>
      <c r="AM596" s="71"/>
      <c r="AN596" s="71"/>
      <c r="AO596" s="71">
        <f t="shared" si="249"/>
        <v>0</v>
      </c>
      <c r="AQ596" s="71"/>
      <c r="AR596" s="71"/>
      <c r="AS596" s="71">
        <f t="shared" si="250"/>
        <v>0</v>
      </c>
      <c r="AU596" s="71"/>
      <c r="AV596" s="71"/>
      <c r="AW596" s="71">
        <f t="shared" si="251"/>
        <v>0</v>
      </c>
      <c r="AY596" s="71"/>
      <c r="AZ596" s="71"/>
      <c r="BA596" s="71">
        <f t="shared" si="252"/>
        <v>0</v>
      </c>
      <c r="BI596" s="71"/>
      <c r="BJ596" s="71"/>
      <c r="BK596" s="71">
        <f t="shared" si="253"/>
        <v>0</v>
      </c>
      <c r="BM596" s="71"/>
      <c r="BN596" s="71"/>
      <c r="BO596" s="71">
        <f t="shared" si="254"/>
        <v>0</v>
      </c>
      <c r="BQ596" s="71"/>
      <c r="BR596" s="71"/>
      <c r="BS596" s="138">
        <f t="shared" si="255"/>
        <v>0</v>
      </c>
      <c r="BU596" s="71"/>
      <c r="BV596" s="71"/>
      <c r="BW596" s="71">
        <f t="shared" si="256"/>
        <v>0</v>
      </c>
      <c r="BZ596" s="71"/>
      <c r="CA596" s="71"/>
      <c r="CB596" s="71">
        <f t="shared" si="257"/>
        <v>0</v>
      </c>
      <c r="CD596" s="71"/>
      <c r="CE596" s="71"/>
      <c r="CF596" s="71">
        <f t="shared" si="258"/>
        <v>0</v>
      </c>
      <c r="CH596" s="71"/>
      <c r="CI596" s="71"/>
      <c r="CJ596" s="138">
        <f t="shared" si="259"/>
        <v>0</v>
      </c>
      <c r="CL596" s="71"/>
      <c r="CM596" s="71"/>
      <c r="CN596" s="71">
        <f t="shared" si="260"/>
        <v>0</v>
      </c>
      <c r="CS596" s="102">
        <f t="shared" si="261"/>
        <v>4.5293954747099576</v>
      </c>
      <c r="CT596" s="102">
        <f t="shared" si="262"/>
        <v>18.675175962423801</v>
      </c>
      <c r="CZ596" s="109" t="str">
        <f t="shared" si="263"/>
        <v>Basso</v>
      </c>
    </row>
    <row r="597" spans="9:104" x14ac:dyDescent="0.15">
      <c r="I597" s="64">
        <f t="shared" si="241"/>
        <v>76.99972307006928</v>
      </c>
      <c r="M597" s="64">
        <f t="shared" si="242"/>
        <v>0</v>
      </c>
      <c r="Q597" s="64">
        <f t="shared" si="243"/>
        <v>0</v>
      </c>
      <c r="U597" s="64">
        <f t="shared" si="244"/>
        <v>0</v>
      </c>
      <c r="Y597" s="114">
        <f t="shared" si="245"/>
        <v>0</v>
      </c>
      <c r="AC597" s="64">
        <f t="shared" si="246"/>
        <v>0</v>
      </c>
      <c r="AE597" s="71"/>
      <c r="AF597" s="71"/>
      <c r="AG597" s="71">
        <f t="shared" si="247"/>
        <v>0</v>
      </c>
      <c r="AK597" s="64">
        <f t="shared" si="248"/>
        <v>0</v>
      </c>
      <c r="AM597" s="71"/>
      <c r="AN597" s="71"/>
      <c r="AO597" s="71">
        <f t="shared" si="249"/>
        <v>0</v>
      </c>
      <c r="AQ597" s="71"/>
      <c r="AR597" s="71"/>
      <c r="AS597" s="71">
        <f t="shared" si="250"/>
        <v>0</v>
      </c>
      <c r="AU597" s="71"/>
      <c r="AV597" s="71"/>
      <c r="AW597" s="71">
        <f t="shared" si="251"/>
        <v>0</v>
      </c>
      <c r="AY597" s="71"/>
      <c r="AZ597" s="71"/>
      <c r="BA597" s="71">
        <f t="shared" si="252"/>
        <v>0</v>
      </c>
      <c r="BI597" s="71"/>
      <c r="BJ597" s="71"/>
      <c r="BK597" s="71">
        <f t="shared" si="253"/>
        <v>0</v>
      </c>
      <c r="BM597" s="71"/>
      <c r="BN597" s="71"/>
      <c r="BO597" s="71">
        <f t="shared" si="254"/>
        <v>0</v>
      </c>
      <c r="BQ597" s="71"/>
      <c r="BR597" s="71"/>
      <c r="BS597" s="138">
        <f t="shared" si="255"/>
        <v>0</v>
      </c>
      <c r="BU597" s="71"/>
      <c r="BV597" s="71"/>
      <c r="BW597" s="71">
        <f t="shared" si="256"/>
        <v>0</v>
      </c>
      <c r="BZ597" s="71"/>
      <c r="CA597" s="71"/>
      <c r="CB597" s="71">
        <f t="shared" si="257"/>
        <v>0</v>
      </c>
      <c r="CD597" s="71"/>
      <c r="CE597" s="71"/>
      <c r="CF597" s="71">
        <f t="shared" si="258"/>
        <v>0</v>
      </c>
      <c r="CH597" s="71"/>
      <c r="CI597" s="71"/>
      <c r="CJ597" s="138">
        <f t="shared" si="259"/>
        <v>0</v>
      </c>
      <c r="CL597" s="71"/>
      <c r="CM597" s="71"/>
      <c r="CN597" s="71">
        <f t="shared" si="260"/>
        <v>0</v>
      </c>
      <c r="CS597" s="102">
        <f t="shared" si="261"/>
        <v>4.5293954747099576</v>
      </c>
      <c r="CT597" s="102">
        <f t="shared" si="262"/>
        <v>18.675175962423801</v>
      </c>
      <c r="CZ597" s="109" t="str">
        <f t="shared" si="263"/>
        <v>Basso</v>
      </c>
    </row>
    <row r="598" spans="9:104" x14ac:dyDescent="0.15">
      <c r="I598" s="64">
        <f t="shared" si="241"/>
        <v>76.99972307006928</v>
      </c>
      <c r="M598" s="64">
        <f t="shared" si="242"/>
        <v>0</v>
      </c>
      <c r="Q598" s="64">
        <f t="shared" si="243"/>
        <v>0</v>
      </c>
      <c r="U598" s="64">
        <f t="shared" si="244"/>
        <v>0</v>
      </c>
      <c r="Y598" s="114">
        <f t="shared" si="245"/>
        <v>0</v>
      </c>
      <c r="AC598" s="64">
        <f t="shared" si="246"/>
        <v>0</v>
      </c>
      <c r="AE598" s="71"/>
      <c r="AF598" s="71"/>
      <c r="AG598" s="71">
        <f t="shared" si="247"/>
        <v>0</v>
      </c>
      <c r="AK598" s="64">
        <f t="shared" si="248"/>
        <v>0</v>
      </c>
      <c r="AM598" s="71"/>
      <c r="AN598" s="71"/>
      <c r="AO598" s="71">
        <f t="shared" si="249"/>
        <v>0</v>
      </c>
      <c r="AQ598" s="71"/>
      <c r="AR598" s="71"/>
      <c r="AS598" s="71">
        <f t="shared" si="250"/>
        <v>0</v>
      </c>
      <c r="AU598" s="71"/>
      <c r="AV598" s="71"/>
      <c r="AW598" s="71">
        <f t="shared" si="251"/>
        <v>0</v>
      </c>
      <c r="AY598" s="71"/>
      <c r="AZ598" s="71"/>
      <c r="BA598" s="71">
        <f t="shared" si="252"/>
        <v>0</v>
      </c>
      <c r="BI598" s="71"/>
      <c r="BJ598" s="71"/>
      <c r="BK598" s="71">
        <f t="shared" si="253"/>
        <v>0</v>
      </c>
      <c r="BM598" s="71"/>
      <c r="BN598" s="71"/>
      <c r="BO598" s="71">
        <f t="shared" si="254"/>
        <v>0</v>
      </c>
      <c r="BQ598" s="71"/>
      <c r="BR598" s="71"/>
      <c r="BS598" s="138">
        <f t="shared" si="255"/>
        <v>0</v>
      </c>
      <c r="BU598" s="71"/>
      <c r="BV598" s="71"/>
      <c r="BW598" s="71">
        <f t="shared" si="256"/>
        <v>0</v>
      </c>
      <c r="BZ598" s="71"/>
      <c r="CA598" s="71"/>
      <c r="CB598" s="71">
        <f t="shared" si="257"/>
        <v>0</v>
      </c>
      <c r="CD598" s="71"/>
      <c r="CE598" s="71"/>
      <c r="CF598" s="71">
        <f t="shared" si="258"/>
        <v>0</v>
      </c>
      <c r="CH598" s="71"/>
      <c r="CI598" s="71"/>
      <c r="CJ598" s="138">
        <f t="shared" si="259"/>
        <v>0</v>
      </c>
      <c r="CL598" s="71"/>
      <c r="CM598" s="71"/>
      <c r="CN598" s="71">
        <f t="shared" si="260"/>
        <v>0</v>
      </c>
      <c r="CS598" s="102">
        <f t="shared" si="261"/>
        <v>4.5293954747099576</v>
      </c>
      <c r="CT598" s="102">
        <f t="shared" si="262"/>
        <v>18.675175962423801</v>
      </c>
      <c r="CZ598" s="109" t="str">
        <f t="shared" si="263"/>
        <v>Basso</v>
      </c>
    </row>
    <row r="599" spans="9:104" x14ac:dyDescent="0.15">
      <c r="I599" s="64">
        <f t="shared" si="241"/>
        <v>76.99972307006928</v>
      </c>
      <c r="M599" s="64">
        <f t="shared" si="242"/>
        <v>0</v>
      </c>
      <c r="Q599" s="64">
        <f t="shared" si="243"/>
        <v>0</v>
      </c>
      <c r="U599" s="64">
        <f t="shared" si="244"/>
        <v>0</v>
      </c>
      <c r="Y599" s="114">
        <f t="shared" si="245"/>
        <v>0</v>
      </c>
      <c r="AC599" s="64">
        <f t="shared" si="246"/>
        <v>0</v>
      </c>
      <c r="AE599" s="71"/>
      <c r="AF599" s="71"/>
      <c r="AG599" s="71">
        <f t="shared" si="247"/>
        <v>0</v>
      </c>
      <c r="AK599" s="64">
        <f t="shared" si="248"/>
        <v>0</v>
      </c>
      <c r="AM599" s="71"/>
      <c r="AN599" s="71"/>
      <c r="AO599" s="71">
        <f t="shared" si="249"/>
        <v>0</v>
      </c>
      <c r="AQ599" s="71"/>
      <c r="AR599" s="71"/>
      <c r="AS599" s="71">
        <f t="shared" si="250"/>
        <v>0</v>
      </c>
      <c r="AU599" s="71"/>
      <c r="AV599" s="71"/>
      <c r="AW599" s="71">
        <f t="shared" si="251"/>
        <v>0</v>
      </c>
      <c r="AY599" s="71"/>
      <c r="AZ599" s="71"/>
      <c r="BA599" s="71">
        <f t="shared" si="252"/>
        <v>0</v>
      </c>
      <c r="BI599" s="71"/>
      <c r="BJ599" s="71"/>
      <c r="BK599" s="71">
        <f t="shared" si="253"/>
        <v>0</v>
      </c>
      <c r="BM599" s="71"/>
      <c r="BN599" s="71"/>
      <c r="BO599" s="71">
        <f t="shared" si="254"/>
        <v>0</v>
      </c>
      <c r="BQ599" s="71"/>
      <c r="BR599" s="71"/>
      <c r="BS599" s="138">
        <f t="shared" si="255"/>
        <v>0</v>
      </c>
      <c r="BU599" s="71"/>
      <c r="BV599" s="71"/>
      <c r="BW599" s="71">
        <f t="shared" si="256"/>
        <v>0</v>
      </c>
      <c r="BZ599" s="71"/>
      <c r="CA599" s="71"/>
      <c r="CB599" s="71">
        <f t="shared" si="257"/>
        <v>0</v>
      </c>
      <c r="CD599" s="71"/>
      <c r="CE599" s="71"/>
      <c r="CF599" s="71">
        <f t="shared" si="258"/>
        <v>0</v>
      </c>
      <c r="CH599" s="71"/>
      <c r="CI599" s="71"/>
      <c r="CJ599" s="138">
        <f t="shared" si="259"/>
        <v>0</v>
      </c>
      <c r="CL599" s="71"/>
      <c r="CM599" s="71"/>
      <c r="CN599" s="71">
        <f t="shared" si="260"/>
        <v>0</v>
      </c>
      <c r="CS599" s="102">
        <f t="shared" si="261"/>
        <v>4.5293954747099576</v>
      </c>
      <c r="CT599" s="102">
        <f t="shared" si="262"/>
        <v>18.675175962423801</v>
      </c>
      <c r="CZ599" s="109" t="str">
        <f t="shared" si="263"/>
        <v>Basso</v>
      </c>
    </row>
    <row r="600" spans="9:104" x14ac:dyDescent="0.15">
      <c r="I600" s="64">
        <f t="shared" si="241"/>
        <v>76.99972307006928</v>
      </c>
      <c r="M600" s="64">
        <f t="shared" si="242"/>
        <v>0</v>
      </c>
      <c r="Q600" s="64">
        <f t="shared" si="243"/>
        <v>0</v>
      </c>
      <c r="U600" s="64">
        <f t="shared" si="244"/>
        <v>0</v>
      </c>
      <c r="Y600" s="114">
        <f t="shared" si="245"/>
        <v>0</v>
      </c>
      <c r="AC600" s="64">
        <f t="shared" si="246"/>
        <v>0</v>
      </c>
      <c r="AE600" s="71"/>
      <c r="AF600" s="71"/>
      <c r="AG600" s="71">
        <f t="shared" si="247"/>
        <v>0</v>
      </c>
      <c r="AK600" s="64">
        <f t="shared" si="248"/>
        <v>0</v>
      </c>
      <c r="AM600" s="71"/>
      <c r="AN600" s="71"/>
      <c r="AO600" s="71">
        <f t="shared" si="249"/>
        <v>0</v>
      </c>
      <c r="AQ600" s="71"/>
      <c r="AR600" s="71"/>
      <c r="AS600" s="71">
        <f t="shared" si="250"/>
        <v>0</v>
      </c>
      <c r="AU600" s="71"/>
      <c r="AV600" s="71"/>
      <c r="AW600" s="71">
        <f t="shared" si="251"/>
        <v>0</v>
      </c>
      <c r="AY600" s="71"/>
      <c r="AZ600" s="71"/>
      <c r="BA600" s="71">
        <f t="shared" si="252"/>
        <v>0</v>
      </c>
      <c r="BI600" s="71"/>
      <c r="BJ600" s="71"/>
      <c r="BK600" s="71">
        <f t="shared" si="253"/>
        <v>0</v>
      </c>
      <c r="BM600" s="71"/>
      <c r="BN600" s="71"/>
      <c r="BO600" s="71">
        <f t="shared" si="254"/>
        <v>0</v>
      </c>
      <c r="BQ600" s="71"/>
      <c r="BR600" s="71"/>
      <c r="BS600" s="138">
        <f t="shared" si="255"/>
        <v>0</v>
      </c>
      <c r="BU600" s="71"/>
      <c r="BV600" s="71"/>
      <c r="BW600" s="71">
        <f t="shared" si="256"/>
        <v>0</v>
      </c>
      <c r="BZ600" s="71"/>
      <c r="CA600" s="71"/>
      <c r="CB600" s="71">
        <f t="shared" si="257"/>
        <v>0</v>
      </c>
      <c r="CD600" s="71"/>
      <c r="CE600" s="71"/>
      <c r="CF600" s="71">
        <f t="shared" si="258"/>
        <v>0</v>
      </c>
      <c r="CH600" s="71"/>
      <c r="CI600" s="71"/>
      <c r="CJ600" s="138">
        <f t="shared" si="259"/>
        <v>0</v>
      </c>
      <c r="CL600" s="71"/>
      <c r="CM600" s="71"/>
      <c r="CN600" s="71">
        <f t="shared" si="260"/>
        <v>0</v>
      </c>
      <c r="CS600" s="102">
        <f t="shared" si="261"/>
        <v>4.5293954747099576</v>
      </c>
      <c r="CT600" s="102">
        <f t="shared" si="262"/>
        <v>18.675175962423801</v>
      </c>
      <c r="CZ600" s="109" t="str">
        <f t="shared" si="263"/>
        <v>Basso</v>
      </c>
    </row>
    <row r="601" spans="9:104" x14ac:dyDescent="0.15">
      <c r="I601" s="64">
        <f t="shared" si="241"/>
        <v>76.99972307006928</v>
      </c>
      <c r="M601" s="64">
        <f t="shared" si="242"/>
        <v>0</v>
      </c>
      <c r="Q601" s="64">
        <f t="shared" si="243"/>
        <v>0</v>
      </c>
      <c r="U601" s="64">
        <f t="shared" si="244"/>
        <v>0</v>
      </c>
      <c r="Y601" s="114">
        <f t="shared" si="245"/>
        <v>0</v>
      </c>
      <c r="AC601" s="64">
        <f t="shared" si="246"/>
        <v>0</v>
      </c>
      <c r="AE601" s="71"/>
      <c r="AF601" s="71"/>
      <c r="AG601" s="71">
        <f t="shared" si="247"/>
        <v>0</v>
      </c>
      <c r="AK601" s="64">
        <f t="shared" si="248"/>
        <v>0</v>
      </c>
      <c r="AM601" s="71"/>
      <c r="AN601" s="71"/>
      <c r="AO601" s="71">
        <f t="shared" si="249"/>
        <v>0</v>
      </c>
      <c r="AQ601" s="71"/>
      <c r="AR601" s="71"/>
      <c r="AS601" s="71">
        <f t="shared" si="250"/>
        <v>0</v>
      </c>
      <c r="AU601" s="71"/>
      <c r="AV601" s="71"/>
      <c r="AW601" s="71">
        <f t="shared" si="251"/>
        <v>0</v>
      </c>
      <c r="AY601" s="71"/>
      <c r="AZ601" s="71"/>
      <c r="BA601" s="71">
        <f t="shared" si="252"/>
        <v>0</v>
      </c>
      <c r="BI601" s="71"/>
      <c r="BJ601" s="71"/>
      <c r="BK601" s="71">
        <f t="shared" si="253"/>
        <v>0</v>
      </c>
      <c r="BM601" s="71"/>
      <c r="BN601" s="71"/>
      <c r="BO601" s="71">
        <f t="shared" si="254"/>
        <v>0</v>
      </c>
      <c r="BQ601" s="71"/>
      <c r="BR601" s="71"/>
      <c r="BS601" s="138">
        <f t="shared" si="255"/>
        <v>0</v>
      </c>
      <c r="BU601" s="71"/>
      <c r="BV601" s="71"/>
      <c r="BW601" s="71">
        <f t="shared" si="256"/>
        <v>0</v>
      </c>
      <c r="BZ601" s="71"/>
      <c r="CA601" s="71"/>
      <c r="CB601" s="71">
        <f t="shared" si="257"/>
        <v>0</v>
      </c>
      <c r="CD601" s="71"/>
      <c r="CE601" s="71"/>
      <c r="CF601" s="71">
        <f t="shared" si="258"/>
        <v>0</v>
      </c>
      <c r="CH601" s="71"/>
      <c r="CI601" s="71"/>
      <c r="CJ601" s="138">
        <f t="shared" si="259"/>
        <v>0</v>
      </c>
      <c r="CL601" s="71"/>
      <c r="CM601" s="71"/>
      <c r="CN601" s="71">
        <f t="shared" si="260"/>
        <v>0</v>
      </c>
      <c r="CS601" s="102">
        <f t="shared" si="261"/>
        <v>4.5293954747099576</v>
      </c>
      <c r="CT601" s="102">
        <f t="shared" si="262"/>
        <v>18.675175962423801</v>
      </c>
      <c r="CZ601" s="109" t="str">
        <f t="shared" si="263"/>
        <v>Basso</v>
      </c>
    </row>
    <row r="602" spans="9:104" x14ac:dyDescent="0.15">
      <c r="I602" s="64">
        <f t="shared" si="241"/>
        <v>76.99972307006928</v>
      </c>
      <c r="M602" s="64">
        <f t="shared" si="242"/>
        <v>0</v>
      </c>
      <c r="Q602" s="64">
        <f t="shared" si="243"/>
        <v>0</v>
      </c>
      <c r="U602" s="64">
        <f t="shared" si="244"/>
        <v>0</v>
      </c>
      <c r="Y602" s="114">
        <f t="shared" si="245"/>
        <v>0</v>
      </c>
      <c r="AC602" s="64">
        <f t="shared" si="246"/>
        <v>0</v>
      </c>
      <c r="AE602" s="71"/>
      <c r="AF602" s="71"/>
      <c r="AG602" s="71">
        <f t="shared" si="247"/>
        <v>0</v>
      </c>
      <c r="AK602" s="64">
        <f t="shared" si="248"/>
        <v>0</v>
      </c>
      <c r="AM602" s="71"/>
      <c r="AN602" s="71"/>
      <c r="AO602" s="71">
        <f t="shared" si="249"/>
        <v>0</v>
      </c>
      <c r="AQ602" s="71"/>
      <c r="AR602" s="71"/>
      <c r="AS602" s="71">
        <f t="shared" si="250"/>
        <v>0</v>
      </c>
      <c r="AU602" s="71"/>
      <c r="AV602" s="71"/>
      <c r="AW602" s="71">
        <f t="shared" si="251"/>
        <v>0</v>
      </c>
      <c r="AY602" s="71"/>
      <c r="AZ602" s="71"/>
      <c r="BA602" s="71">
        <f t="shared" si="252"/>
        <v>0</v>
      </c>
      <c r="BI602" s="71"/>
      <c r="BJ602" s="71"/>
      <c r="BK602" s="71">
        <f t="shared" si="253"/>
        <v>0</v>
      </c>
      <c r="BM602" s="71"/>
      <c r="BN602" s="71"/>
      <c r="BO602" s="71">
        <f t="shared" si="254"/>
        <v>0</v>
      </c>
      <c r="BQ602" s="71"/>
      <c r="BR602" s="71"/>
      <c r="BS602" s="138">
        <f t="shared" si="255"/>
        <v>0</v>
      </c>
      <c r="BU602" s="71"/>
      <c r="BV602" s="71"/>
      <c r="BW602" s="71">
        <f t="shared" si="256"/>
        <v>0</v>
      </c>
      <c r="BZ602" s="71"/>
      <c r="CA602" s="71"/>
      <c r="CB602" s="71">
        <f t="shared" si="257"/>
        <v>0</v>
      </c>
      <c r="CD602" s="71"/>
      <c r="CE602" s="71"/>
      <c r="CF602" s="71">
        <f t="shared" si="258"/>
        <v>0</v>
      </c>
      <c r="CH602" s="71"/>
      <c r="CI602" s="71"/>
      <c r="CJ602" s="138">
        <f t="shared" si="259"/>
        <v>0</v>
      </c>
      <c r="CL602" s="71"/>
      <c r="CM602" s="71"/>
      <c r="CN602" s="71">
        <f t="shared" si="260"/>
        <v>0</v>
      </c>
      <c r="CS602" s="102">
        <f t="shared" si="261"/>
        <v>4.5293954747099576</v>
      </c>
      <c r="CT602" s="102">
        <f t="shared" si="262"/>
        <v>18.675175962423801</v>
      </c>
      <c r="CZ602" s="109" t="str">
        <f t="shared" si="263"/>
        <v>Basso</v>
      </c>
    </row>
    <row r="603" spans="9:104" x14ac:dyDescent="0.15">
      <c r="I603" s="64">
        <f t="shared" si="241"/>
        <v>76.99972307006928</v>
      </c>
      <c r="M603" s="64">
        <f t="shared" si="242"/>
        <v>0</v>
      </c>
      <c r="Q603" s="64">
        <f t="shared" si="243"/>
        <v>0</v>
      </c>
      <c r="U603" s="64">
        <f t="shared" si="244"/>
        <v>0</v>
      </c>
      <c r="Y603" s="114">
        <f t="shared" si="245"/>
        <v>0</v>
      </c>
      <c r="AC603" s="64">
        <f t="shared" si="246"/>
        <v>0</v>
      </c>
      <c r="AE603" s="71"/>
      <c r="AF603" s="71"/>
      <c r="AG603" s="71">
        <f t="shared" si="247"/>
        <v>0</v>
      </c>
      <c r="AK603" s="64">
        <f t="shared" si="248"/>
        <v>0</v>
      </c>
      <c r="AM603" s="71"/>
      <c r="AN603" s="71"/>
      <c r="AO603" s="71">
        <f t="shared" si="249"/>
        <v>0</v>
      </c>
      <c r="AQ603" s="71"/>
      <c r="AR603" s="71"/>
      <c r="AS603" s="71">
        <f t="shared" si="250"/>
        <v>0</v>
      </c>
      <c r="AU603" s="71"/>
      <c r="AV603" s="71"/>
      <c r="AW603" s="71">
        <f t="shared" si="251"/>
        <v>0</v>
      </c>
      <c r="AY603" s="71"/>
      <c r="AZ603" s="71"/>
      <c r="BA603" s="71">
        <f t="shared" si="252"/>
        <v>0</v>
      </c>
      <c r="BI603" s="71"/>
      <c r="BJ603" s="71"/>
      <c r="BK603" s="71">
        <f t="shared" si="253"/>
        <v>0</v>
      </c>
      <c r="BM603" s="71"/>
      <c r="BN603" s="71"/>
      <c r="BO603" s="71">
        <f t="shared" si="254"/>
        <v>0</v>
      </c>
      <c r="BQ603" s="71"/>
      <c r="BR603" s="71"/>
      <c r="BS603" s="138">
        <f t="shared" si="255"/>
        <v>0</v>
      </c>
      <c r="BU603" s="71"/>
      <c r="BV603" s="71"/>
      <c r="BW603" s="71">
        <f t="shared" si="256"/>
        <v>0</v>
      </c>
      <c r="BZ603" s="71"/>
      <c r="CA603" s="71"/>
      <c r="CB603" s="71">
        <f t="shared" si="257"/>
        <v>0</v>
      </c>
      <c r="CD603" s="71"/>
      <c r="CE603" s="71"/>
      <c r="CF603" s="71">
        <f t="shared" si="258"/>
        <v>0</v>
      </c>
      <c r="CH603" s="71"/>
      <c r="CI603" s="71"/>
      <c r="CJ603" s="138">
        <f t="shared" si="259"/>
        <v>0</v>
      </c>
      <c r="CL603" s="71"/>
      <c r="CM603" s="71"/>
      <c r="CN603" s="71">
        <f t="shared" si="260"/>
        <v>0</v>
      </c>
      <c r="CS603" s="102">
        <f t="shared" si="261"/>
        <v>4.5293954747099576</v>
      </c>
      <c r="CT603" s="102">
        <f t="shared" si="262"/>
        <v>18.675175962423801</v>
      </c>
      <c r="CZ603" s="109" t="str">
        <f t="shared" si="263"/>
        <v>Basso</v>
      </c>
    </row>
    <row r="604" spans="9:104" x14ac:dyDescent="0.15">
      <c r="I604" s="64">
        <f t="shared" si="241"/>
        <v>76.99972307006928</v>
      </c>
      <c r="M604" s="64">
        <f t="shared" si="242"/>
        <v>0</v>
      </c>
      <c r="Q604" s="64">
        <f t="shared" si="243"/>
        <v>0</v>
      </c>
      <c r="U604" s="64">
        <f t="shared" si="244"/>
        <v>0</v>
      </c>
      <c r="Y604" s="114">
        <f t="shared" si="245"/>
        <v>0</v>
      </c>
      <c r="AC604" s="64">
        <f t="shared" si="246"/>
        <v>0</v>
      </c>
      <c r="AE604" s="71"/>
      <c r="AF604" s="71"/>
      <c r="AG604" s="71">
        <f t="shared" si="247"/>
        <v>0</v>
      </c>
      <c r="AK604" s="64">
        <f t="shared" si="248"/>
        <v>0</v>
      </c>
      <c r="AM604" s="71"/>
      <c r="AN604" s="71"/>
      <c r="AO604" s="71">
        <f t="shared" si="249"/>
        <v>0</v>
      </c>
      <c r="AQ604" s="71"/>
      <c r="AR604" s="71"/>
      <c r="AS604" s="71">
        <f t="shared" si="250"/>
        <v>0</v>
      </c>
      <c r="AU604" s="71"/>
      <c r="AV604" s="71"/>
      <c r="AW604" s="71">
        <f t="shared" si="251"/>
        <v>0</v>
      </c>
      <c r="AY604" s="71"/>
      <c r="AZ604" s="71"/>
      <c r="BA604" s="71">
        <f t="shared" si="252"/>
        <v>0</v>
      </c>
      <c r="BI604" s="71"/>
      <c r="BJ604" s="71"/>
      <c r="BK604" s="71">
        <f t="shared" si="253"/>
        <v>0</v>
      </c>
      <c r="BM604" s="71"/>
      <c r="BN604" s="71"/>
      <c r="BO604" s="71">
        <f t="shared" si="254"/>
        <v>0</v>
      </c>
      <c r="BQ604" s="71"/>
      <c r="BR604" s="71"/>
      <c r="BS604" s="138">
        <f t="shared" si="255"/>
        <v>0</v>
      </c>
      <c r="BU604" s="71"/>
      <c r="BV604" s="71"/>
      <c r="BW604" s="71">
        <f t="shared" si="256"/>
        <v>0</v>
      </c>
      <c r="BZ604" s="71"/>
      <c r="CA604" s="71"/>
      <c r="CB604" s="71">
        <f t="shared" si="257"/>
        <v>0</v>
      </c>
      <c r="CD604" s="71"/>
      <c r="CE604" s="71"/>
      <c r="CF604" s="71">
        <f t="shared" si="258"/>
        <v>0</v>
      </c>
      <c r="CH604" s="71"/>
      <c r="CI604" s="71"/>
      <c r="CJ604" s="138">
        <f t="shared" si="259"/>
        <v>0</v>
      </c>
      <c r="CL604" s="71"/>
      <c r="CM604" s="71"/>
      <c r="CN604" s="71">
        <f t="shared" si="260"/>
        <v>0</v>
      </c>
      <c r="CS604" s="102">
        <f t="shared" si="261"/>
        <v>4.5293954747099576</v>
      </c>
      <c r="CT604" s="102">
        <f t="shared" si="262"/>
        <v>18.675175962423801</v>
      </c>
      <c r="CZ604" s="109" t="str">
        <f t="shared" si="263"/>
        <v>Basso</v>
      </c>
    </row>
    <row r="605" spans="9:104" x14ac:dyDescent="0.15">
      <c r="I605" s="64">
        <f t="shared" si="241"/>
        <v>76.99972307006928</v>
      </c>
      <c r="M605" s="64">
        <f t="shared" si="242"/>
        <v>0</v>
      </c>
      <c r="Q605" s="64">
        <f t="shared" si="243"/>
        <v>0</v>
      </c>
      <c r="U605" s="64">
        <f t="shared" si="244"/>
        <v>0</v>
      </c>
      <c r="Y605" s="114">
        <f t="shared" si="245"/>
        <v>0</v>
      </c>
      <c r="AC605" s="64">
        <f t="shared" si="246"/>
        <v>0</v>
      </c>
      <c r="AE605" s="71"/>
      <c r="AF605" s="71"/>
      <c r="AG605" s="71">
        <f t="shared" si="247"/>
        <v>0</v>
      </c>
      <c r="AK605" s="64">
        <f t="shared" si="248"/>
        <v>0</v>
      </c>
      <c r="AM605" s="71"/>
      <c r="AN605" s="71"/>
      <c r="AO605" s="71">
        <f t="shared" si="249"/>
        <v>0</v>
      </c>
      <c r="AQ605" s="71"/>
      <c r="AR605" s="71"/>
      <c r="AS605" s="71">
        <f t="shared" si="250"/>
        <v>0</v>
      </c>
      <c r="AU605" s="71"/>
      <c r="AV605" s="71"/>
      <c r="AW605" s="71">
        <f t="shared" si="251"/>
        <v>0</v>
      </c>
      <c r="AY605" s="71"/>
      <c r="AZ605" s="71"/>
      <c r="BA605" s="71">
        <f t="shared" si="252"/>
        <v>0</v>
      </c>
      <c r="BI605" s="71"/>
      <c r="BJ605" s="71"/>
      <c r="BK605" s="71">
        <f t="shared" si="253"/>
        <v>0</v>
      </c>
      <c r="BM605" s="71"/>
      <c r="BN605" s="71"/>
      <c r="BO605" s="71">
        <f t="shared" si="254"/>
        <v>0</v>
      </c>
      <c r="BQ605" s="71"/>
      <c r="BR605" s="71"/>
      <c r="BS605" s="138">
        <f t="shared" si="255"/>
        <v>0</v>
      </c>
      <c r="BU605" s="71"/>
      <c r="BV605" s="71"/>
      <c r="BW605" s="71">
        <f t="shared" si="256"/>
        <v>0</v>
      </c>
      <c r="BZ605" s="71"/>
      <c r="CA605" s="71"/>
      <c r="CB605" s="71">
        <f t="shared" si="257"/>
        <v>0</v>
      </c>
      <c r="CD605" s="71"/>
      <c r="CE605" s="71"/>
      <c r="CF605" s="71">
        <f t="shared" si="258"/>
        <v>0</v>
      </c>
      <c r="CH605" s="71"/>
      <c r="CI605" s="71"/>
      <c r="CJ605" s="138">
        <f t="shared" si="259"/>
        <v>0</v>
      </c>
      <c r="CL605" s="71"/>
      <c r="CM605" s="71"/>
      <c r="CN605" s="71">
        <f t="shared" si="260"/>
        <v>0</v>
      </c>
      <c r="CS605" s="102">
        <f t="shared" si="261"/>
        <v>4.5293954747099576</v>
      </c>
      <c r="CT605" s="102">
        <f t="shared" si="262"/>
        <v>18.675175962423801</v>
      </c>
      <c r="CZ605" s="109" t="str">
        <f t="shared" si="263"/>
        <v>Basso</v>
      </c>
    </row>
    <row r="606" spans="9:104" x14ac:dyDescent="0.15">
      <c r="I606" s="64">
        <f t="shared" si="241"/>
        <v>76.99972307006928</v>
      </c>
      <c r="M606" s="64">
        <f t="shared" si="242"/>
        <v>0</v>
      </c>
      <c r="Q606" s="64">
        <f t="shared" si="243"/>
        <v>0</v>
      </c>
      <c r="U606" s="64">
        <f t="shared" si="244"/>
        <v>0</v>
      </c>
      <c r="Y606" s="114">
        <f t="shared" si="245"/>
        <v>0</v>
      </c>
      <c r="AC606" s="64">
        <f t="shared" si="246"/>
        <v>0</v>
      </c>
      <c r="AE606" s="71"/>
      <c r="AF606" s="71"/>
      <c r="AG606" s="71">
        <f t="shared" si="247"/>
        <v>0</v>
      </c>
      <c r="AK606" s="64">
        <f t="shared" si="248"/>
        <v>0</v>
      </c>
      <c r="AM606" s="71"/>
      <c r="AN606" s="71"/>
      <c r="AO606" s="71">
        <f t="shared" si="249"/>
        <v>0</v>
      </c>
      <c r="AQ606" s="71"/>
      <c r="AR606" s="71"/>
      <c r="AS606" s="71">
        <f t="shared" si="250"/>
        <v>0</v>
      </c>
      <c r="AU606" s="71"/>
      <c r="AV606" s="71"/>
      <c r="AW606" s="71">
        <f t="shared" si="251"/>
        <v>0</v>
      </c>
      <c r="AY606" s="71"/>
      <c r="AZ606" s="71"/>
      <c r="BA606" s="71">
        <f t="shared" si="252"/>
        <v>0</v>
      </c>
      <c r="BI606" s="71"/>
      <c r="BJ606" s="71"/>
      <c r="BK606" s="71">
        <f t="shared" si="253"/>
        <v>0</v>
      </c>
      <c r="BM606" s="71"/>
      <c r="BN606" s="71"/>
      <c r="BO606" s="71">
        <f t="shared" si="254"/>
        <v>0</v>
      </c>
      <c r="BQ606" s="71"/>
      <c r="BR606" s="71"/>
      <c r="BS606" s="138">
        <f t="shared" si="255"/>
        <v>0</v>
      </c>
      <c r="BU606" s="71"/>
      <c r="BV606" s="71"/>
      <c r="BW606" s="71">
        <f t="shared" si="256"/>
        <v>0</v>
      </c>
      <c r="BZ606" s="71"/>
      <c r="CA606" s="71"/>
      <c r="CB606" s="71">
        <f t="shared" si="257"/>
        <v>0</v>
      </c>
      <c r="CD606" s="71"/>
      <c r="CE606" s="71"/>
      <c r="CF606" s="71">
        <f t="shared" si="258"/>
        <v>0</v>
      </c>
      <c r="CH606" s="71"/>
      <c r="CI606" s="71"/>
      <c r="CJ606" s="138">
        <f t="shared" si="259"/>
        <v>0</v>
      </c>
      <c r="CL606" s="71"/>
      <c r="CM606" s="71"/>
      <c r="CN606" s="71">
        <f t="shared" si="260"/>
        <v>0</v>
      </c>
      <c r="CS606" s="102">
        <f t="shared" si="261"/>
        <v>4.5293954747099576</v>
      </c>
      <c r="CT606" s="102">
        <f t="shared" si="262"/>
        <v>18.675175962423801</v>
      </c>
      <c r="CZ606" s="109" t="str">
        <f t="shared" si="263"/>
        <v>Basso</v>
      </c>
    </row>
    <row r="607" spans="9:104" x14ac:dyDescent="0.15">
      <c r="I607" s="64">
        <f t="shared" si="241"/>
        <v>76.99972307006928</v>
      </c>
      <c r="M607" s="64">
        <f t="shared" si="242"/>
        <v>0</v>
      </c>
      <c r="Q607" s="64">
        <f t="shared" si="243"/>
        <v>0</v>
      </c>
      <c r="U607" s="64">
        <f t="shared" si="244"/>
        <v>0</v>
      </c>
      <c r="Y607" s="114">
        <f t="shared" si="245"/>
        <v>0</v>
      </c>
      <c r="AC607" s="64">
        <f t="shared" si="246"/>
        <v>0</v>
      </c>
      <c r="AE607" s="71"/>
      <c r="AF607" s="71"/>
      <c r="AG607" s="71">
        <f t="shared" si="247"/>
        <v>0</v>
      </c>
      <c r="AK607" s="64">
        <f t="shared" si="248"/>
        <v>0</v>
      </c>
      <c r="AM607" s="71"/>
      <c r="AN607" s="71"/>
      <c r="AO607" s="71">
        <f t="shared" si="249"/>
        <v>0</v>
      </c>
      <c r="AQ607" s="71"/>
      <c r="AR607" s="71"/>
      <c r="AS607" s="71">
        <f t="shared" si="250"/>
        <v>0</v>
      </c>
      <c r="AU607" s="71"/>
      <c r="AV607" s="71"/>
      <c r="AW607" s="71">
        <f t="shared" si="251"/>
        <v>0</v>
      </c>
      <c r="AY607" s="71"/>
      <c r="AZ607" s="71"/>
      <c r="BA607" s="71">
        <f t="shared" si="252"/>
        <v>0</v>
      </c>
      <c r="BI607" s="71"/>
      <c r="BJ607" s="71"/>
      <c r="BK607" s="71">
        <f t="shared" si="253"/>
        <v>0</v>
      </c>
      <c r="BM607" s="71"/>
      <c r="BN607" s="71"/>
      <c r="BO607" s="71">
        <f t="shared" si="254"/>
        <v>0</v>
      </c>
      <c r="BQ607" s="71"/>
      <c r="BR607" s="71"/>
      <c r="BS607" s="138">
        <f t="shared" si="255"/>
        <v>0</v>
      </c>
      <c r="BU607" s="71"/>
      <c r="BV607" s="71"/>
      <c r="BW607" s="71">
        <f t="shared" si="256"/>
        <v>0</v>
      </c>
      <c r="BZ607" s="71"/>
      <c r="CA607" s="71"/>
      <c r="CB607" s="71">
        <f t="shared" si="257"/>
        <v>0</v>
      </c>
      <c r="CD607" s="71"/>
      <c r="CE607" s="71"/>
      <c r="CF607" s="71">
        <f t="shared" si="258"/>
        <v>0</v>
      </c>
      <c r="CH607" s="71"/>
      <c r="CI607" s="71"/>
      <c r="CJ607" s="138">
        <f t="shared" si="259"/>
        <v>0</v>
      </c>
      <c r="CL607" s="71"/>
      <c r="CM607" s="71"/>
      <c r="CN607" s="71">
        <f t="shared" si="260"/>
        <v>0</v>
      </c>
      <c r="CS607" s="102">
        <f t="shared" si="261"/>
        <v>4.5293954747099576</v>
      </c>
      <c r="CT607" s="102">
        <f t="shared" si="262"/>
        <v>18.675175962423801</v>
      </c>
      <c r="CZ607" s="109" t="str">
        <f t="shared" si="263"/>
        <v>Basso</v>
      </c>
    </row>
    <row r="608" spans="9:104" x14ac:dyDescent="0.15">
      <c r="I608" s="64">
        <f t="shared" si="241"/>
        <v>76.99972307006928</v>
      </c>
      <c r="M608" s="64">
        <f t="shared" si="242"/>
        <v>0</v>
      </c>
      <c r="Q608" s="64">
        <f t="shared" si="243"/>
        <v>0</v>
      </c>
      <c r="U608" s="64">
        <f t="shared" si="244"/>
        <v>0</v>
      </c>
      <c r="Y608" s="114">
        <f t="shared" si="245"/>
        <v>0</v>
      </c>
      <c r="AC608" s="64">
        <f t="shared" si="246"/>
        <v>0</v>
      </c>
      <c r="AE608" s="71"/>
      <c r="AF608" s="71"/>
      <c r="AG608" s="71">
        <f t="shared" si="247"/>
        <v>0</v>
      </c>
      <c r="AK608" s="64">
        <f t="shared" si="248"/>
        <v>0</v>
      </c>
      <c r="AM608" s="71"/>
      <c r="AN608" s="71"/>
      <c r="AO608" s="71">
        <f t="shared" si="249"/>
        <v>0</v>
      </c>
      <c r="AQ608" s="71"/>
      <c r="AR608" s="71"/>
      <c r="AS608" s="71">
        <f t="shared" si="250"/>
        <v>0</v>
      </c>
      <c r="AU608" s="71"/>
      <c r="AV608" s="71"/>
      <c r="AW608" s="71">
        <f t="shared" si="251"/>
        <v>0</v>
      </c>
      <c r="AY608" s="71"/>
      <c r="AZ608" s="71"/>
      <c r="BA608" s="71">
        <f t="shared" si="252"/>
        <v>0</v>
      </c>
      <c r="BI608" s="71"/>
      <c r="BJ608" s="71"/>
      <c r="BK608" s="71">
        <f t="shared" si="253"/>
        <v>0</v>
      </c>
      <c r="BM608" s="71"/>
      <c r="BN608" s="71"/>
      <c r="BO608" s="71">
        <f t="shared" si="254"/>
        <v>0</v>
      </c>
      <c r="BQ608" s="71"/>
      <c r="BR608" s="71"/>
      <c r="BS608" s="138">
        <f t="shared" si="255"/>
        <v>0</v>
      </c>
      <c r="BU608" s="71"/>
      <c r="BV608" s="71"/>
      <c r="BW608" s="71">
        <f t="shared" si="256"/>
        <v>0</v>
      </c>
      <c r="BZ608" s="71"/>
      <c r="CA608" s="71"/>
      <c r="CB608" s="71">
        <f t="shared" si="257"/>
        <v>0</v>
      </c>
      <c r="CD608" s="71"/>
      <c r="CE608" s="71"/>
      <c r="CF608" s="71">
        <f t="shared" si="258"/>
        <v>0</v>
      </c>
      <c r="CH608" s="71"/>
      <c r="CI608" s="71"/>
      <c r="CJ608" s="138">
        <f t="shared" si="259"/>
        <v>0</v>
      </c>
      <c r="CL608" s="71"/>
      <c r="CM608" s="71"/>
      <c r="CN608" s="71">
        <f t="shared" si="260"/>
        <v>0</v>
      </c>
      <c r="CS608" s="102">
        <f t="shared" si="261"/>
        <v>4.5293954747099576</v>
      </c>
      <c r="CT608" s="102">
        <f t="shared" si="262"/>
        <v>18.675175962423801</v>
      </c>
      <c r="CZ608" s="109" t="str">
        <f t="shared" si="263"/>
        <v>Basso</v>
      </c>
    </row>
    <row r="609" spans="9:104" x14ac:dyDescent="0.15">
      <c r="I609" s="64">
        <f t="shared" si="241"/>
        <v>76.99972307006928</v>
      </c>
      <c r="M609" s="64">
        <f t="shared" si="242"/>
        <v>0</v>
      </c>
      <c r="Q609" s="64">
        <f t="shared" si="243"/>
        <v>0</v>
      </c>
      <c r="U609" s="64">
        <f t="shared" si="244"/>
        <v>0</v>
      </c>
      <c r="Y609" s="114">
        <f t="shared" si="245"/>
        <v>0</v>
      </c>
      <c r="AC609" s="64">
        <f t="shared" si="246"/>
        <v>0</v>
      </c>
      <c r="AE609" s="71"/>
      <c r="AF609" s="71"/>
      <c r="AG609" s="71">
        <f t="shared" si="247"/>
        <v>0</v>
      </c>
      <c r="AK609" s="64">
        <f t="shared" si="248"/>
        <v>0</v>
      </c>
      <c r="AM609" s="71"/>
      <c r="AN609" s="71"/>
      <c r="AO609" s="71">
        <f t="shared" si="249"/>
        <v>0</v>
      </c>
      <c r="AQ609" s="71"/>
      <c r="AR609" s="71"/>
      <c r="AS609" s="71">
        <f t="shared" si="250"/>
        <v>0</v>
      </c>
      <c r="AU609" s="71"/>
      <c r="AV609" s="71"/>
      <c r="AW609" s="71">
        <f t="shared" si="251"/>
        <v>0</v>
      </c>
      <c r="AY609" s="71"/>
      <c r="AZ609" s="71"/>
      <c r="BA609" s="71">
        <f t="shared" si="252"/>
        <v>0</v>
      </c>
      <c r="BI609" s="71"/>
      <c r="BJ609" s="71"/>
      <c r="BK609" s="71">
        <f t="shared" si="253"/>
        <v>0</v>
      </c>
      <c r="BM609" s="71"/>
      <c r="BN609" s="71"/>
      <c r="BO609" s="71">
        <f t="shared" si="254"/>
        <v>0</v>
      </c>
      <c r="BQ609" s="71"/>
      <c r="BR609" s="71"/>
      <c r="BS609" s="138">
        <f t="shared" si="255"/>
        <v>0</v>
      </c>
      <c r="BU609" s="71"/>
      <c r="BV609" s="71"/>
      <c r="BW609" s="71">
        <f t="shared" si="256"/>
        <v>0</v>
      </c>
      <c r="BZ609" s="71"/>
      <c r="CA609" s="71"/>
      <c r="CB609" s="71">
        <f t="shared" si="257"/>
        <v>0</v>
      </c>
      <c r="CD609" s="71"/>
      <c r="CE609" s="71"/>
      <c r="CF609" s="71">
        <f t="shared" si="258"/>
        <v>0</v>
      </c>
      <c r="CH609" s="71"/>
      <c r="CI609" s="71"/>
      <c r="CJ609" s="138">
        <f t="shared" si="259"/>
        <v>0</v>
      </c>
      <c r="CL609" s="71"/>
      <c r="CM609" s="71"/>
      <c r="CN609" s="71">
        <f t="shared" si="260"/>
        <v>0</v>
      </c>
      <c r="CS609" s="102">
        <f t="shared" si="261"/>
        <v>4.5293954747099576</v>
      </c>
      <c r="CT609" s="102">
        <f t="shared" si="262"/>
        <v>18.675175962423801</v>
      </c>
      <c r="CZ609" s="109" t="str">
        <f t="shared" si="263"/>
        <v>Basso</v>
      </c>
    </row>
    <row r="610" spans="9:104" x14ac:dyDescent="0.15">
      <c r="I610" s="64">
        <f t="shared" si="241"/>
        <v>76.99972307006928</v>
      </c>
      <c r="M610" s="64">
        <f t="shared" si="242"/>
        <v>0</v>
      </c>
      <c r="Q610" s="64">
        <f t="shared" si="243"/>
        <v>0</v>
      </c>
      <c r="U610" s="64">
        <f t="shared" si="244"/>
        <v>0</v>
      </c>
      <c r="Y610" s="114">
        <f t="shared" si="245"/>
        <v>0</v>
      </c>
      <c r="AC610" s="64">
        <f t="shared" si="246"/>
        <v>0</v>
      </c>
      <c r="AE610" s="71"/>
      <c r="AF610" s="71"/>
      <c r="AG610" s="71">
        <f t="shared" si="247"/>
        <v>0</v>
      </c>
      <c r="AK610" s="64">
        <f t="shared" si="248"/>
        <v>0</v>
      </c>
      <c r="AM610" s="71"/>
      <c r="AN610" s="71"/>
      <c r="AO610" s="71">
        <f t="shared" si="249"/>
        <v>0</v>
      </c>
      <c r="AQ610" s="71"/>
      <c r="AR610" s="71"/>
      <c r="AS610" s="71">
        <f t="shared" si="250"/>
        <v>0</v>
      </c>
      <c r="AU610" s="71"/>
      <c r="AV610" s="71"/>
      <c r="AW610" s="71">
        <f t="shared" si="251"/>
        <v>0</v>
      </c>
      <c r="AY610" s="71"/>
      <c r="AZ610" s="71"/>
      <c r="BA610" s="71">
        <f t="shared" si="252"/>
        <v>0</v>
      </c>
      <c r="BI610" s="71"/>
      <c r="BJ610" s="71"/>
      <c r="BK610" s="71">
        <f t="shared" si="253"/>
        <v>0</v>
      </c>
      <c r="BM610" s="71"/>
      <c r="BN610" s="71"/>
      <c r="BO610" s="71">
        <f t="shared" si="254"/>
        <v>0</v>
      </c>
      <c r="BQ610" s="71"/>
      <c r="BR610" s="71"/>
      <c r="BS610" s="138">
        <f t="shared" si="255"/>
        <v>0</v>
      </c>
      <c r="BU610" s="71"/>
      <c r="BV610" s="71"/>
      <c r="BW610" s="71">
        <f t="shared" si="256"/>
        <v>0</v>
      </c>
      <c r="BZ610" s="71"/>
      <c r="CA610" s="71"/>
      <c r="CB610" s="71">
        <f t="shared" si="257"/>
        <v>0</v>
      </c>
      <c r="CD610" s="71"/>
      <c r="CE610" s="71"/>
      <c r="CF610" s="71">
        <f t="shared" si="258"/>
        <v>0</v>
      </c>
      <c r="CH610" s="71"/>
      <c r="CI610" s="71"/>
      <c r="CJ610" s="138">
        <f t="shared" si="259"/>
        <v>0</v>
      </c>
      <c r="CL610" s="71"/>
      <c r="CM610" s="71"/>
      <c r="CN610" s="71">
        <f t="shared" si="260"/>
        <v>0</v>
      </c>
      <c r="CS610" s="102">
        <f t="shared" si="261"/>
        <v>4.5293954747099576</v>
      </c>
      <c r="CT610" s="102">
        <f t="shared" si="262"/>
        <v>18.675175962423801</v>
      </c>
      <c r="CZ610" s="109" t="str">
        <f t="shared" si="263"/>
        <v>Basso</v>
      </c>
    </row>
    <row r="611" spans="9:104" x14ac:dyDescent="0.15">
      <c r="I611" s="64">
        <f t="shared" si="241"/>
        <v>76.99972307006928</v>
      </c>
      <c r="M611" s="64">
        <f t="shared" si="242"/>
        <v>0</v>
      </c>
      <c r="Q611" s="64">
        <f t="shared" si="243"/>
        <v>0</v>
      </c>
      <c r="U611" s="64">
        <f t="shared" si="244"/>
        <v>0</v>
      </c>
      <c r="Y611" s="114">
        <f t="shared" si="245"/>
        <v>0</v>
      </c>
      <c r="AC611" s="64">
        <f t="shared" si="246"/>
        <v>0</v>
      </c>
      <c r="AE611" s="71"/>
      <c r="AF611" s="71"/>
      <c r="AG611" s="71">
        <f t="shared" si="247"/>
        <v>0</v>
      </c>
      <c r="AK611" s="64">
        <f t="shared" si="248"/>
        <v>0</v>
      </c>
      <c r="AM611" s="71"/>
      <c r="AN611" s="71"/>
      <c r="AO611" s="71">
        <f t="shared" si="249"/>
        <v>0</v>
      </c>
      <c r="AQ611" s="71"/>
      <c r="AR611" s="71"/>
      <c r="AS611" s="71">
        <f t="shared" si="250"/>
        <v>0</v>
      </c>
      <c r="AU611" s="71"/>
      <c r="AV611" s="71"/>
      <c r="AW611" s="71">
        <f t="shared" si="251"/>
        <v>0</v>
      </c>
      <c r="AY611" s="71"/>
      <c r="AZ611" s="71"/>
      <c r="BA611" s="71">
        <f t="shared" si="252"/>
        <v>0</v>
      </c>
      <c r="BI611" s="71"/>
      <c r="BJ611" s="71"/>
      <c r="BK611" s="71">
        <f t="shared" si="253"/>
        <v>0</v>
      </c>
      <c r="BM611" s="71"/>
      <c r="BN611" s="71"/>
      <c r="BO611" s="71">
        <f t="shared" si="254"/>
        <v>0</v>
      </c>
      <c r="BQ611" s="71"/>
      <c r="BR611" s="71"/>
      <c r="BS611" s="138">
        <f t="shared" si="255"/>
        <v>0</v>
      </c>
      <c r="BU611" s="71"/>
      <c r="BV611" s="71"/>
      <c r="BW611" s="71">
        <f t="shared" si="256"/>
        <v>0</v>
      </c>
      <c r="BZ611" s="71"/>
      <c r="CA611" s="71"/>
      <c r="CB611" s="71">
        <f t="shared" si="257"/>
        <v>0</v>
      </c>
      <c r="CD611" s="71"/>
      <c r="CE611" s="71"/>
      <c r="CF611" s="71">
        <f t="shared" si="258"/>
        <v>0</v>
      </c>
      <c r="CH611" s="71"/>
      <c r="CI611" s="71"/>
      <c r="CJ611" s="138">
        <f t="shared" si="259"/>
        <v>0</v>
      </c>
      <c r="CL611" s="71"/>
      <c r="CM611" s="71"/>
      <c r="CN611" s="71">
        <f t="shared" si="260"/>
        <v>0</v>
      </c>
      <c r="CS611" s="102">
        <f t="shared" si="261"/>
        <v>4.5293954747099576</v>
      </c>
      <c r="CT611" s="102">
        <f t="shared" si="262"/>
        <v>18.675175962423801</v>
      </c>
      <c r="CZ611" s="109" t="str">
        <f t="shared" si="263"/>
        <v>Basso</v>
      </c>
    </row>
    <row r="612" spans="9:104" x14ac:dyDescent="0.15">
      <c r="I612" s="64">
        <f t="shared" si="241"/>
        <v>76.99972307006928</v>
      </c>
      <c r="M612" s="64">
        <f t="shared" si="242"/>
        <v>0</v>
      </c>
      <c r="Q612" s="64">
        <f t="shared" si="243"/>
        <v>0</v>
      </c>
      <c r="U612" s="64">
        <f t="shared" si="244"/>
        <v>0</v>
      </c>
      <c r="Y612" s="114">
        <f t="shared" si="245"/>
        <v>0</v>
      </c>
      <c r="AC612" s="64">
        <f t="shared" si="246"/>
        <v>0</v>
      </c>
      <c r="AE612" s="71"/>
      <c r="AF612" s="71"/>
      <c r="AG612" s="71">
        <f t="shared" si="247"/>
        <v>0</v>
      </c>
      <c r="AK612" s="64">
        <f t="shared" si="248"/>
        <v>0</v>
      </c>
      <c r="AM612" s="71"/>
      <c r="AN612" s="71"/>
      <c r="AO612" s="71">
        <f t="shared" si="249"/>
        <v>0</v>
      </c>
      <c r="AQ612" s="71"/>
      <c r="AR612" s="71"/>
      <c r="AS612" s="71">
        <f t="shared" si="250"/>
        <v>0</v>
      </c>
      <c r="AU612" s="71"/>
      <c r="AV612" s="71"/>
      <c r="AW612" s="71">
        <f t="shared" si="251"/>
        <v>0</v>
      </c>
      <c r="AY612" s="71"/>
      <c r="AZ612" s="71"/>
      <c r="BA612" s="71">
        <f t="shared" si="252"/>
        <v>0</v>
      </c>
      <c r="BI612" s="71"/>
      <c r="BJ612" s="71"/>
      <c r="BK612" s="71">
        <f t="shared" si="253"/>
        <v>0</v>
      </c>
      <c r="BM612" s="71"/>
      <c r="BN612" s="71"/>
      <c r="BO612" s="71">
        <f t="shared" si="254"/>
        <v>0</v>
      </c>
      <c r="BQ612" s="71"/>
      <c r="BR612" s="71"/>
      <c r="BS612" s="138">
        <f t="shared" si="255"/>
        <v>0</v>
      </c>
      <c r="BU612" s="71"/>
      <c r="BV612" s="71"/>
      <c r="BW612" s="71">
        <f t="shared" si="256"/>
        <v>0</v>
      </c>
      <c r="BZ612" s="71"/>
      <c r="CA612" s="71"/>
      <c r="CB612" s="71">
        <f t="shared" si="257"/>
        <v>0</v>
      </c>
      <c r="CD612" s="71"/>
      <c r="CE612" s="71"/>
      <c r="CF612" s="71">
        <f t="shared" si="258"/>
        <v>0</v>
      </c>
      <c r="CH612" s="71"/>
      <c r="CI612" s="71"/>
      <c r="CJ612" s="138">
        <f t="shared" si="259"/>
        <v>0</v>
      </c>
      <c r="CL612" s="71"/>
      <c r="CM612" s="71"/>
      <c r="CN612" s="71">
        <f t="shared" si="260"/>
        <v>0</v>
      </c>
      <c r="CS612" s="102">
        <f t="shared" si="261"/>
        <v>4.5293954747099576</v>
      </c>
      <c r="CT612" s="102">
        <f t="shared" si="262"/>
        <v>18.675175962423801</v>
      </c>
      <c r="CZ612" s="109" t="str">
        <f t="shared" si="263"/>
        <v>Basso</v>
      </c>
    </row>
    <row r="613" spans="9:104" x14ac:dyDescent="0.15">
      <c r="I613" s="64">
        <f t="shared" si="241"/>
        <v>76.99972307006928</v>
      </c>
      <c r="M613" s="64">
        <f t="shared" si="242"/>
        <v>0</v>
      </c>
      <c r="Q613" s="64">
        <f t="shared" si="243"/>
        <v>0</v>
      </c>
      <c r="U613" s="64">
        <f t="shared" si="244"/>
        <v>0</v>
      </c>
      <c r="Y613" s="114">
        <f t="shared" si="245"/>
        <v>0</v>
      </c>
      <c r="AC613" s="64">
        <f t="shared" si="246"/>
        <v>0</v>
      </c>
      <c r="AE613" s="71"/>
      <c r="AF613" s="71"/>
      <c r="AG613" s="71">
        <f t="shared" si="247"/>
        <v>0</v>
      </c>
      <c r="AK613" s="64">
        <f t="shared" si="248"/>
        <v>0</v>
      </c>
      <c r="AM613" s="71"/>
      <c r="AN613" s="71"/>
      <c r="AO613" s="71">
        <f t="shared" si="249"/>
        <v>0</v>
      </c>
      <c r="AQ613" s="71"/>
      <c r="AR613" s="71"/>
      <c r="AS613" s="71">
        <f t="shared" si="250"/>
        <v>0</v>
      </c>
      <c r="AU613" s="71"/>
      <c r="AV613" s="71"/>
      <c r="AW613" s="71">
        <f t="shared" si="251"/>
        <v>0</v>
      </c>
      <c r="AY613" s="71"/>
      <c r="AZ613" s="71"/>
      <c r="BA613" s="71">
        <f t="shared" si="252"/>
        <v>0</v>
      </c>
      <c r="BI613" s="71"/>
      <c r="BJ613" s="71"/>
      <c r="BK613" s="71">
        <f t="shared" si="253"/>
        <v>0</v>
      </c>
      <c r="BM613" s="71"/>
      <c r="BN613" s="71"/>
      <c r="BO613" s="71">
        <f t="shared" si="254"/>
        <v>0</v>
      </c>
      <c r="BQ613" s="71"/>
      <c r="BR613" s="71"/>
      <c r="BS613" s="138">
        <f t="shared" si="255"/>
        <v>0</v>
      </c>
      <c r="BU613" s="71"/>
      <c r="BV613" s="71"/>
      <c r="BW613" s="71">
        <f t="shared" si="256"/>
        <v>0</v>
      </c>
      <c r="BZ613" s="71"/>
      <c r="CA613" s="71"/>
      <c r="CB613" s="71">
        <f t="shared" si="257"/>
        <v>0</v>
      </c>
      <c r="CD613" s="71"/>
      <c r="CE613" s="71"/>
      <c r="CF613" s="71">
        <f t="shared" si="258"/>
        <v>0</v>
      </c>
      <c r="CH613" s="71"/>
      <c r="CI613" s="71"/>
      <c r="CJ613" s="138">
        <f t="shared" si="259"/>
        <v>0</v>
      </c>
      <c r="CL613" s="71"/>
      <c r="CM613" s="71"/>
      <c r="CN613" s="71">
        <f t="shared" si="260"/>
        <v>0</v>
      </c>
      <c r="CS613" s="102">
        <f t="shared" si="261"/>
        <v>4.5293954747099576</v>
      </c>
      <c r="CT613" s="102">
        <f t="shared" si="262"/>
        <v>18.675175962423801</v>
      </c>
      <c r="CZ613" s="109" t="str">
        <f t="shared" si="263"/>
        <v>Basso</v>
      </c>
    </row>
    <row r="614" spans="9:104" x14ac:dyDescent="0.15">
      <c r="I614" s="64">
        <f t="shared" si="241"/>
        <v>76.99972307006928</v>
      </c>
      <c r="M614" s="64">
        <f t="shared" si="242"/>
        <v>0</v>
      </c>
      <c r="Q614" s="64">
        <f t="shared" si="243"/>
        <v>0</v>
      </c>
      <c r="U614" s="64">
        <f t="shared" si="244"/>
        <v>0</v>
      </c>
      <c r="Y614" s="114">
        <f t="shared" si="245"/>
        <v>0</v>
      </c>
      <c r="AC614" s="64">
        <f t="shared" si="246"/>
        <v>0</v>
      </c>
      <c r="AE614" s="71"/>
      <c r="AF614" s="71"/>
      <c r="AG614" s="71">
        <f t="shared" si="247"/>
        <v>0</v>
      </c>
      <c r="AK614" s="64">
        <f t="shared" si="248"/>
        <v>0</v>
      </c>
      <c r="AM614" s="71"/>
      <c r="AN614" s="71"/>
      <c r="AO614" s="71">
        <f t="shared" si="249"/>
        <v>0</v>
      </c>
      <c r="AQ614" s="71"/>
      <c r="AR614" s="71"/>
      <c r="AS614" s="71">
        <f t="shared" si="250"/>
        <v>0</v>
      </c>
      <c r="AU614" s="71"/>
      <c r="AV614" s="71"/>
      <c r="AW614" s="71">
        <f t="shared" si="251"/>
        <v>0</v>
      </c>
      <c r="AY614" s="71"/>
      <c r="AZ614" s="71"/>
      <c r="BA614" s="71">
        <f t="shared" si="252"/>
        <v>0</v>
      </c>
      <c r="BI614" s="71"/>
      <c r="BJ614" s="71"/>
      <c r="BK614" s="71">
        <f t="shared" si="253"/>
        <v>0</v>
      </c>
      <c r="BM614" s="71"/>
      <c r="BN614" s="71"/>
      <c r="BO614" s="71">
        <f t="shared" si="254"/>
        <v>0</v>
      </c>
      <c r="BQ614" s="71"/>
      <c r="BR614" s="71"/>
      <c r="BS614" s="138">
        <f t="shared" si="255"/>
        <v>0</v>
      </c>
      <c r="BU614" s="71"/>
      <c r="BV614" s="71"/>
      <c r="BW614" s="71">
        <f t="shared" si="256"/>
        <v>0</v>
      </c>
      <c r="BZ614" s="71"/>
      <c r="CA614" s="71"/>
      <c r="CB614" s="71">
        <f t="shared" si="257"/>
        <v>0</v>
      </c>
      <c r="CD614" s="71"/>
      <c r="CE614" s="71"/>
      <c r="CF614" s="71">
        <f t="shared" si="258"/>
        <v>0</v>
      </c>
      <c r="CH614" s="71"/>
      <c r="CI614" s="71"/>
      <c r="CJ614" s="138">
        <f t="shared" si="259"/>
        <v>0</v>
      </c>
      <c r="CL614" s="71"/>
      <c r="CM614" s="71"/>
      <c r="CN614" s="71">
        <f t="shared" si="260"/>
        <v>0</v>
      </c>
      <c r="CS614" s="102">
        <f t="shared" si="261"/>
        <v>4.5293954747099576</v>
      </c>
      <c r="CT614" s="102">
        <f t="shared" si="262"/>
        <v>18.675175962423801</v>
      </c>
      <c r="CZ614" s="109" t="str">
        <f t="shared" si="263"/>
        <v>Basso</v>
      </c>
    </row>
    <row r="615" spans="9:104" x14ac:dyDescent="0.15">
      <c r="I615" s="64">
        <f t="shared" si="241"/>
        <v>76.99972307006928</v>
      </c>
      <c r="M615" s="64">
        <f t="shared" si="242"/>
        <v>0</v>
      </c>
      <c r="Q615" s="64">
        <f t="shared" si="243"/>
        <v>0</v>
      </c>
      <c r="U615" s="64">
        <f t="shared" si="244"/>
        <v>0</v>
      </c>
      <c r="Y615" s="114">
        <f t="shared" si="245"/>
        <v>0</v>
      </c>
      <c r="AC615" s="64">
        <f t="shared" si="246"/>
        <v>0</v>
      </c>
      <c r="AE615" s="71"/>
      <c r="AF615" s="71"/>
      <c r="AG615" s="71">
        <f t="shared" si="247"/>
        <v>0</v>
      </c>
      <c r="AK615" s="64">
        <f t="shared" si="248"/>
        <v>0</v>
      </c>
      <c r="AM615" s="71"/>
      <c r="AN615" s="71"/>
      <c r="AO615" s="71">
        <f t="shared" si="249"/>
        <v>0</v>
      </c>
      <c r="AQ615" s="71"/>
      <c r="AR615" s="71"/>
      <c r="AS615" s="71">
        <f t="shared" si="250"/>
        <v>0</v>
      </c>
      <c r="AU615" s="71"/>
      <c r="AV615" s="71"/>
      <c r="AW615" s="71">
        <f t="shared" si="251"/>
        <v>0</v>
      </c>
      <c r="AY615" s="71"/>
      <c r="AZ615" s="71"/>
      <c r="BA615" s="71">
        <f t="shared" si="252"/>
        <v>0</v>
      </c>
      <c r="BI615" s="71"/>
      <c r="BJ615" s="71"/>
      <c r="BK615" s="71">
        <f t="shared" si="253"/>
        <v>0</v>
      </c>
      <c r="BM615" s="71"/>
      <c r="BN615" s="71"/>
      <c r="BO615" s="71">
        <f t="shared" si="254"/>
        <v>0</v>
      </c>
      <c r="BQ615" s="71"/>
      <c r="BR615" s="71"/>
      <c r="BS615" s="138">
        <f t="shared" si="255"/>
        <v>0</v>
      </c>
      <c r="BU615" s="71"/>
      <c r="BV615" s="71"/>
      <c r="BW615" s="71">
        <f t="shared" si="256"/>
        <v>0</v>
      </c>
      <c r="BZ615" s="71"/>
      <c r="CA615" s="71"/>
      <c r="CB615" s="71">
        <f t="shared" si="257"/>
        <v>0</v>
      </c>
      <c r="CD615" s="71"/>
      <c r="CE615" s="71"/>
      <c r="CF615" s="71">
        <f t="shared" si="258"/>
        <v>0</v>
      </c>
      <c r="CH615" s="71"/>
      <c r="CI615" s="71"/>
      <c r="CJ615" s="138">
        <f t="shared" si="259"/>
        <v>0</v>
      </c>
      <c r="CL615" s="71"/>
      <c r="CM615" s="71"/>
      <c r="CN615" s="71">
        <f t="shared" si="260"/>
        <v>0</v>
      </c>
      <c r="CS615" s="102">
        <f t="shared" si="261"/>
        <v>4.5293954747099576</v>
      </c>
      <c r="CT615" s="102">
        <f t="shared" si="262"/>
        <v>18.675175962423801</v>
      </c>
      <c r="CZ615" s="109" t="str">
        <f t="shared" si="263"/>
        <v>Basso</v>
      </c>
    </row>
    <row r="616" spans="9:104" x14ac:dyDescent="0.15">
      <c r="I616" s="64">
        <f t="shared" si="241"/>
        <v>76.99972307006928</v>
      </c>
      <c r="M616" s="64">
        <f t="shared" si="242"/>
        <v>0</v>
      </c>
      <c r="Q616" s="64">
        <f t="shared" si="243"/>
        <v>0</v>
      </c>
      <c r="U616" s="64">
        <f t="shared" si="244"/>
        <v>0</v>
      </c>
      <c r="Y616" s="114">
        <f t="shared" si="245"/>
        <v>0</v>
      </c>
      <c r="AC616" s="64">
        <f t="shared" si="246"/>
        <v>0</v>
      </c>
      <c r="AE616" s="71"/>
      <c r="AF616" s="71"/>
      <c r="AG616" s="71">
        <f t="shared" si="247"/>
        <v>0</v>
      </c>
      <c r="AK616" s="64">
        <f t="shared" si="248"/>
        <v>0</v>
      </c>
      <c r="AM616" s="71"/>
      <c r="AN616" s="71"/>
      <c r="AO616" s="71">
        <f t="shared" si="249"/>
        <v>0</v>
      </c>
      <c r="AQ616" s="71"/>
      <c r="AR616" s="71"/>
      <c r="AS616" s="71">
        <f t="shared" si="250"/>
        <v>0</v>
      </c>
      <c r="AU616" s="71"/>
      <c r="AV616" s="71"/>
      <c r="AW616" s="71">
        <f t="shared" si="251"/>
        <v>0</v>
      </c>
      <c r="AY616" s="71"/>
      <c r="AZ616" s="71"/>
      <c r="BA616" s="71">
        <f t="shared" si="252"/>
        <v>0</v>
      </c>
      <c r="BI616" s="71"/>
      <c r="BJ616" s="71"/>
      <c r="BK616" s="71">
        <f t="shared" si="253"/>
        <v>0</v>
      </c>
      <c r="BM616" s="71"/>
      <c r="BN616" s="71"/>
      <c r="BO616" s="71">
        <f t="shared" si="254"/>
        <v>0</v>
      </c>
      <c r="BQ616" s="71"/>
      <c r="BR616" s="71"/>
      <c r="BS616" s="138">
        <f t="shared" si="255"/>
        <v>0</v>
      </c>
      <c r="BU616" s="71"/>
      <c r="BV616" s="71"/>
      <c r="BW616" s="71">
        <f t="shared" si="256"/>
        <v>0</v>
      </c>
      <c r="BZ616" s="71"/>
      <c r="CA616" s="71"/>
      <c r="CB616" s="71">
        <f t="shared" si="257"/>
        <v>0</v>
      </c>
      <c r="CD616" s="71"/>
      <c r="CE616" s="71"/>
      <c r="CF616" s="71">
        <f t="shared" si="258"/>
        <v>0</v>
      </c>
      <c r="CH616" s="71"/>
      <c r="CI616" s="71"/>
      <c r="CJ616" s="138">
        <f t="shared" si="259"/>
        <v>0</v>
      </c>
      <c r="CL616" s="71"/>
      <c r="CM616" s="71"/>
      <c r="CN616" s="71">
        <f t="shared" si="260"/>
        <v>0</v>
      </c>
      <c r="CS616" s="102">
        <f t="shared" si="261"/>
        <v>4.5293954747099576</v>
      </c>
      <c r="CT616" s="102">
        <f t="shared" si="262"/>
        <v>18.675175962423801</v>
      </c>
      <c r="CZ616" s="109" t="str">
        <f t="shared" si="263"/>
        <v>Basso</v>
      </c>
    </row>
    <row r="617" spans="9:104" x14ac:dyDescent="0.15">
      <c r="I617" s="64">
        <f t="shared" si="241"/>
        <v>76.99972307006928</v>
      </c>
      <c r="M617" s="64">
        <f t="shared" si="242"/>
        <v>0</v>
      </c>
      <c r="Q617" s="64">
        <f t="shared" si="243"/>
        <v>0</v>
      </c>
      <c r="U617" s="64">
        <f t="shared" si="244"/>
        <v>0</v>
      </c>
      <c r="Y617" s="114">
        <f t="shared" si="245"/>
        <v>0</v>
      </c>
      <c r="AC617" s="64">
        <f t="shared" si="246"/>
        <v>0</v>
      </c>
      <c r="AE617" s="71"/>
      <c r="AF617" s="71"/>
      <c r="AG617" s="71">
        <f t="shared" si="247"/>
        <v>0</v>
      </c>
      <c r="AK617" s="64">
        <f t="shared" si="248"/>
        <v>0</v>
      </c>
      <c r="AM617" s="71"/>
      <c r="AN617" s="71"/>
      <c r="AO617" s="71">
        <f t="shared" si="249"/>
        <v>0</v>
      </c>
      <c r="AQ617" s="71"/>
      <c r="AR617" s="71"/>
      <c r="AS617" s="71">
        <f t="shared" si="250"/>
        <v>0</v>
      </c>
      <c r="AU617" s="71"/>
      <c r="AV617" s="71"/>
      <c r="AW617" s="71">
        <f t="shared" si="251"/>
        <v>0</v>
      </c>
      <c r="AY617" s="71"/>
      <c r="AZ617" s="71"/>
      <c r="BA617" s="71">
        <f t="shared" si="252"/>
        <v>0</v>
      </c>
      <c r="BI617" s="71"/>
      <c r="BJ617" s="71"/>
      <c r="BK617" s="71">
        <f t="shared" si="253"/>
        <v>0</v>
      </c>
      <c r="BM617" s="71"/>
      <c r="BN617" s="71"/>
      <c r="BO617" s="71">
        <f t="shared" si="254"/>
        <v>0</v>
      </c>
      <c r="BQ617" s="71"/>
      <c r="BR617" s="71"/>
      <c r="BS617" s="138">
        <f t="shared" si="255"/>
        <v>0</v>
      </c>
      <c r="BU617" s="71"/>
      <c r="BV617" s="71"/>
      <c r="BW617" s="71">
        <f t="shared" si="256"/>
        <v>0</v>
      </c>
      <c r="BZ617" s="71"/>
      <c r="CA617" s="71"/>
      <c r="CB617" s="71">
        <f t="shared" si="257"/>
        <v>0</v>
      </c>
      <c r="CD617" s="71"/>
      <c r="CE617" s="71"/>
      <c r="CF617" s="71">
        <f t="shared" si="258"/>
        <v>0</v>
      </c>
      <c r="CH617" s="71"/>
      <c r="CI617" s="71"/>
      <c r="CJ617" s="138">
        <f t="shared" si="259"/>
        <v>0</v>
      </c>
      <c r="CL617" s="71"/>
      <c r="CM617" s="71"/>
      <c r="CN617" s="71">
        <f t="shared" si="260"/>
        <v>0</v>
      </c>
      <c r="CS617" s="102">
        <f t="shared" si="261"/>
        <v>4.5293954747099576</v>
      </c>
      <c r="CT617" s="102">
        <f t="shared" si="262"/>
        <v>18.675175962423801</v>
      </c>
      <c r="CZ617" s="109" t="str">
        <f t="shared" si="263"/>
        <v>Basso</v>
      </c>
    </row>
    <row r="618" spans="9:104" x14ac:dyDescent="0.15">
      <c r="I618" s="64">
        <f t="shared" si="241"/>
        <v>76.99972307006928</v>
      </c>
      <c r="M618" s="64">
        <f t="shared" si="242"/>
        <v>0</v>
      </c>
      <c r="Q618" s="64">
        <f t="shared" si="243"/>
        <v>0</v>
      </c>
      <c r="U618" s="64">
        <f t="shared" si="244"/>
        <v>0</v>
      </c>
      <c r="Y618" s="114">
        <f t="shared" si="245"/>
        <v>0</v>
      </c>
      <c r="AC618" s="64">
        <f t="shared" si="246"/>
        <v>0</v>
      </c>
      <c r="AE618" s="71"/>
      <c r="AF618" s="71"/>
      <c r="AG618" s="71">
        <f t="shared" si="247"/>
        <v>0</v>
      </c>
      <c r="AK618" s="64">
        <f t="shared" si="248"/>
        <v>0</v>
      </c>
      <c r="AM618" s="71"/>
      <c r="AN618" s="71"/>
      <c r="AO618" s="71">
        <f t="shared" si="249"/>
        <v>0</v>
      </c>
      <c r="AQ618" s="71"/>
      <c r="AR618" s="71"/>
      <c r="AS618" s="71">
        <f t="shared" si="250"/>
        <v>0</v>
      </c>
      <c r="AU618" s="71"/>
      <c r="AV618" s="71"/>
      <c r="AW618" s="71">
        <f t="shared" si="251"/>
        <v>0</v>
      </c>
      <c r="AY618" s="71"/>
      <c r="AZ618" s="71"/>
      <c r="BA618" s="71">
        <f t="shared" si="252"/>
        <v>0</v>
      </c>
      <c r="BI618" s="71"/>
      <c r="BJ618" s="71"/>
      <c r="BK618" s="71">
        <f t="shared" si="253"/>
        <v>0</v>
      </c>
      <c r="BM618" s="71"/>
      <c r="BN618" s="71"/>
      <c r="BO618" s="71">
        <f t="shared" si="254"/>
        <v>0</v>
      </c>
      <c r="BQ618" s="71"/>
      <c r="BR618" s="71"/>
      <c r="BS618" s="138">
        <f t="shared" si="255"/>
        <v>0</v>
      </c>
      <c r="BU618" s="71"/>
      <c r="BV618" s="71"/>
      <c r="BW618" s="71">
        <f t="shared" si="256"/>
        <v>0</v>
      </c>
      <c r="BZ618" s="71"/>
      <c r="CA618" s="71"/>
      <c r="CB618" s="71">
        <f t="shared" si="257"/>
        <v>0</v>
      </c>
      <c r="CD618" s="71"/>
      <c r="CE618" s="71"/>
      <c r="CF618" s="71">
        <f t="shared" si="258"/>
        <v>0</v>
      </c>
      <c r="CH618" s="71"/>
      <c r="CI618" s="71"/>
      <c r="CJ618" s="138">
        <f t="shared" si="259"/>
        <v>0</v>
      </c>
      <c r="CL618" s="71"/>
      <c r="CM618" s="71"/>
      <c r="CN618" s="71">
        <f t="shared" si="260"/>
        <v>0</v>
      </c>
      <c r="CS618" s="102">
        <f t="shared" si="261"/>
        <v>4.5293954747099576</v>
      </c>
      <c r="CT618" s="102">
        <f t="shared" si="262"/>
        <v>18.675175962423801</v>
      </c>
      <c r="CZ618" s="109" t="str">
        <f t="shared" si="263"/>
        <v>Basso</v>
      </c>
    </row>
    <row r="619" spans="9:104" x14ac:dyDescent="0.15">
      <c r="I619" s="64">
        <f t="shared" si="241"/>
        <v>76.99972307006928</v>
      </c>
      <c r="M619" s="64">
        <f t="shared" si="242"/>
        <v>0</v>
      </c>
      <c r="Q619" s="64">
        <f t="shared" si="243"/>
        <v>0</v>
      </c>
      <c r="U619" s="64">
        <f t="shared" si="244"/>
        <v>0</v>
      </c>
      <c r="Y619" s="114">
        <f t="shared" si="245"/>
        <v>0</v>
      </c>
      <c r="AC619" s="64">
        <f t="shared" si="246"/>
        <v>0</v>
      </c>
      <c r="AE619" s="71"/>
      <c r="AF619" s="71"/>
      <c r="AG619" s="71">
        <f t="shared" si="247"/>
        <v>0</v>
      </c>
      <c r="AK619" s="64">
        <f t="shared" si="248"/>
        <v>0</v>
      </c>
      <c r="AM619" s="71"/>
      <c r="AN619" s="71"/>
      <c r="AO619" s="71">
        <f t="shared" si="249"/>
        <v>0</v>
      </c>
      <c r="AQ619" s="71"/>
      <c r="AR619" s="71"/>
      <c r="AS619" s="71">
        <f t="shared" si="250"/>
        <v>0</v>
      </c>
      <c r="AU619" s="71"/>
      <c r="AV619" s="71"/>
      <c r="AW619" s="71">
        <f t="shared" si="251"/>
        <v>0</v>
      </c>
      <c r="AY619" s="71"/>
      <c r="AZ619" s="71"/>
      <c r="BA619" s="71">
        <f t="shared" si="252"/>
        <v>0</v>
      </c>
      <c r="BI619" s="71"/>
      <c r="BJ619" s="71"/>
      <c r="BK619" s="71">
        <f t="shared" si="253"/>
        <v>0</v>
      </c>
      <c r="BM619" s="71"/>
      <c r="BN619" s="71"/>
      <c r="BO619" s="71">
        <f t="shared" si="254"/>
        <v>0</v>
      </c>
      <c r="BQ619" s="71"/>
      <c r="BR619" s="71"/>
      <c r="BS619" s="138">
        <f t="shared" si="255"/>
        <v>0</v>
      </c>
      <c r="BU619" s="71"/>
      <c r="BV619" s="71"/>
      <c r="BW619" s="71">
        <f t="shared" si="256"/>
        <v>0</v>
      </c>
      <c r="BZ619" s="71"/>
      <c r="CA619" s="71"/>
      <c r="CB619" s="71">
        <f t="shared" si="257"/>
        <v>0</v>
      </c>
      <c r="CD619" s="71"/>
      <c r="CE619" s="71"/>
      <c r="CF619" s="71">
        <f t="shared" si="258"/>
        <v>0</v>
      </c>
      <c r="CH619" s="71"/>
      <c r="CI619" s="71"/>
      <c r="CJ619" s="138">
        <f t="shared" si="259"/>
        <v>0</v>
      </c>
      <c r="CL619" s="71"/>
      <c r="CM619" s="71"/>
      <c r="CN619" s="71">
        <f t="shared" si="260"/>
        <v>0</v>
      </c>
      <c r="CS619" s="102">
        <f t="shared" si="261"/>
        <v>4.5293954747099576</v>
      </c>
      <c r="CT619" s="102">
        <f t="shared" si="262"/>
        <v>18.675175962423801</v>
      </c>
      <c r="CZ619" s="109" t="str">
        <f t="shared" si="263"/>
        <v>Basso</v>
      </c>
    </row>
    <row r="620" spans="9:104" x14ac:dyDescent="0.15">
      <c r="I620" s="64">
        <f t="shared" si="241"/>
        <v>76.99972307006928</v>
      </c>
      <c r="M620" s="64">
        <f t="shared" si="242"/>
        <v>0</v>
      </c>
      <c r="Q620" s="64">
        <f t="shared" si="243"/>
        <v>0</v>
      </c>
      <c r="U620" s="64">
        <f t="shared" si="244"/>
        <v>0</v>
      </c>
      <c r="Y620" s="114">
        <f t="shared" si="245"/>
        <v>0</v>
      </c>
      <c r="AC620" s="64">
        <f t="shared" si="246"/>
        <v>0</v>
      </c>
      <c r="AE620" s="71"/>
      <c r="AF620" s="71"/>
      <c r="AG620" s="71">
        <f t="shared" si="247"/>
        <v>0</v>
      </c>
      <c r="AK620" s="64">
        <f t="shared" si="248"/>
        <v>0</v>
      </c>
      <c r="AM620" s="71"/>
      <c r="AN620" s="71"/>
      <c r="AO620" s="71">
        <f t="shared" si="249"/>
        <v>0</v>
      </c>
      <c r="AQ620" s="71"/>
      <c r="AR620" s="71"/>
      <c r="AS620" s="71">
        <f t="shared" si="250"/>
        <v>0</v>
      </c>
      <c r="AU620" s="71"/>
      <c r="AV620" s="71"/>
      <c r="AW620" s="71">
        <f t="shared" si="251"/>
        <v>0</v>
      </c>
      <c r="AY620" s="71"/>
      <c r="AZ620" s="71"/>
      <c r="BA620" s="71">
        <f t="shared" si="252"/>
        <v>0</v>
      </c>
      <c r="BI620" s="71"/>
      <c r="BJ620" s="71"/>
      <c r="BK620" s="71">
        <f t="shared" si="253"/>
        <v>0</v>
      </c>
      <c r="BM620" s="71"/>
      <c r="BN620" s="71"/>
      <c r="BO620" s="71">
        <f t="shared" si="254"/>
        <v>0</v>
      </c>
      <c r="BQ620" s="71"/>
      <c r="BR620" s="71"/>
      <c r="BS620" s="138">
        <f t="shared" si="255"/>
        <v>0</v>
      </c>
      <c r="BU620" s="71"/>
      <c r="BV620" s="71"/>
      <c r="BW620" s="71">
        <f t="shared" si="256"/>
        <v>0</v>
      </c>
      <c r="BZ620" s="71"/>
      <c r="CA620" s="71"/>
      <c r="CB620" s="71">
        <f t="shared" si="257"/>
        <v>0</v>
      </c>
      <c r="CD620" s="71"/>
      <c r="CE620" s="71"/>
      <c r="CF620" s="71">
        <f t="shared" si="258"/>
        <v>0</v>
      </c>
      <c r="CH620" s="71"/>
      <c r="CI620" s="71"/>
      <c r="CJ620" s="138">
        <f t="shared" si="259"/>
        <v>0</v>
      </c>
      <c r="CL620" s="71"/>
      <c r="CM620" s="71"/>
      <c r="CN620" s="71">
        <f t="shared" si="260"/>
        <v>0</v>
      </c>
      <c r="CS620" s="102">
        <f t="shared" si="261"/>
        <v>4.5293954747099576</v>
      </c>
      <c r="CT620" s="102">
        <f t="shared" si="262"/>
        <v>18.675175962423801</v>
      </c>
      <c r="CZ620" s="109" t="str">
        <f t="shared" si="263"/>
        <v>Basso</v>
      </c>
    </row>
    <row r="621" spans="9:104" x14ac:dyDescent="0.15">
      <c r="I621" s="64">
        <f t="shared" si="241"/>
        <v>76.99972307006928</v>
      </c>
      <c r="M621" s="64">
        <f t="shared" si="242"/>
        <v>0</v>
      </c>
      <c r="Q621" s="64">
        <f t="shared" si="243"/>
        <v>0</v>
      </c>
      <c r="U621" s="64">
        <f t="shared" si="244"/>
        <v>0</v>
      </c>
      <c r="Y621" s="114">
        <f t="shared" si="245"/>
        <v>0</v>
      </c>
      <c r="AC621" s="64">
        <f t="shared" si="246"/>
        <v>0</v>
      </c>
      <c r="AE621" s="71"/>
      <c r="AF621" s="71"/>
      <c r="AG621" s="71">
        <f t="shared" si="247"/>
        <v>0</v>
      </c>
      <c r="AK621" s="64">
        <f t="shared" si="248"/>
        <v>0</v>
      </c>
      <c r="AM621" s="71"/>
      <c r="AN621" s="71"/>
      <c r="AO621" s="71">
        <f t="shared" si="249"/>
        <v>0</v>
      </c>
      <c r="AQ621" s="71"/>
      <c r="AR621" s="71"/>
      <c r="AS621" s="71">
        <f t="shared" si="250"/>
        <v>0</v>
      </c>
      <c r="AU621" s="71"/>
      <c r="AV621" s="71"/>
      <c r="AW621" s="71">
        <f t="shared" si="251"/>
        <v>0</v>
      </c>
      <c r="AY621" s="71"/>
      <c r="AZ621" s="71"/>
      <c r="BA621" s="71">
        <f t="shared" si="252"/>
        <v>0</v>
      </c>
      <c r="BI621" s="71"/>
      <c r="BJ621" s="71"/>
      <c r="BK621" s="71">
        <f t="shared" si="253"/>
        <v>0</v>
      </c>
      <c r="BM621" s="71"/>
      <c r="BN621" s="71"/>
      <c r="BO621" s="71">
        <f t="shared" si="254"/>
        <v>0</v>
      </c>
      <c r="BQ621" s="71"/>
      <c r="BR621" s="71"/>
      <c r="BS621" s="138">
        <f t="shared" si="255"/>
        <v>0</v>
      </c>
      <c r="BU621" s="71"/>
      <c r="BV621" s="71"/>
      <c r="BW621" s="71">
        <f t="shared" si="256"/>
        <v>0</v>
      </c>
      <c r="BZ621" s="71"/>
      <c r="CA621" s="71"/>
      <c r="CB621" s="71">
        <f t="shared" si="257"/>
        <v>0</v>
      </c>
      <c r="CD621" s="71"/>
      <c r="CE621" s="71"/>
      <c r="CF621" s="71">
        <f t="shared" si="258"/>
        <v>0</v>
      </c>
      <c r="CH621" s="71"/>
      <c r="CI621" s="71"/>
      <c r="CJ621" s="138">
        <f t="shared" si="259"/>
        <v>0</v>
      </c>
      <c r="CL621" s="71"/>
      <c r="CM621" s="71"/>
      <c r="CN621" s="71">
        <f t="shared" si="260"/>
        <v>0</v>
      </c>
      <c r="CS621" s="102">
        <f t="shared" si="261"/>
        <v>4.5293954747099576</v>
      </c>
      <c r="CT621" s="102">
        <f t="shared" si="262"/>
        <v>18.675175962423801</v>
      </c>
      <c r="CZ621" s="109" t="str">
        <f t="shared" si="263"/>
        <v>Basso</v>
      </c>
    </row>
    <row r="622" spans="9:104" x14ac:dyDescent="0.15">
      <c r="I622" s="64">
        <f t="shared" si="241"/>
        <v>76.99972307006928</v>
      </c>
      <c r="M622" s="64">
        <f t="shared" si="242"/>
        <v>0</v>
      </c>
      <c r="Q622" s="64">
        <f t="shared" si="243"/>
        <v>0</v>
      </c>
      <c r="U622" s="64">
        <f t="shared" si="244"/>
        <v>0</v>
      </c>
      <c r="Y622" s="114">
        <f t="shared" si="245"/>
        <v>0</v>
      </c>
      <c r="AC622" s="64">
        <f t="shared" si="246"/>
        <v>0</v>
      </c>
      <c r="AE622" s="71"/>
      <c r="AF622" s="71"/>
      <c r="AG622" s="71">
        <f t="shared" si="247"/>
        <v>0</v>
      </c>
      <c r="AK622" s="64">
        <f t="shared" si="248"/>
        <v>0</v>
      </c>
      <c r="AM622" s="71"/>
      <c r="AN622" s="71"/>
      <c r="AO622" s="71">
        <f t="shared" si="249"/>
        <v>0</v>
      </c>
      <c r="AQ622" s="71"/>
      <c r="AR622" s="71"/>
      <c r="AS622" s="71">
        <f t="shared" si="250"/>
        <v>0</v>
      </c>
      <c r="AU622" s="71"/>
      <c r="AV622" s="71"/>
      <c r="AW622" s="71">
        <f t="shared" si="251"/>
        <v>0</v>
      </c>
      <c r="AY622" s="71"/>
      <c r="AZ622" s="71"/>
      <c r="BA622" s="71">
        <f t="shared" si="252"/>
        <v>0</v>
      </c>
      <c r="BI622" s="71"/>
      <c r="BJ622" s="71"/>
      <c r="BK622" s="71">
        <f t="shared" si="253"/>
        <v>0</v>
      </c>
      <c r="BM622" s="71"/>
      <c r="BN622" s="71"/>
      <c r="BO622" s="71">
        <f t="shared" si="254"/>
        <v>0</v>
      </c>
      <c r="BQ622" s="71"/>
      <c r="BR622" s="71"/>
      <c r="BS622" s="138">
        <f t="shared" si="255"/>
        <v>0</v>
      </c>
      <c r="BU622" s="71"/>
      <c r="BV622" s="71"/>
      <c r="BW622" s="71">
        <f t="shared" si="256"/>
        <v>0</v>
      </c>
      <c r="BZ622" s="71"/>
      <c r="CA622" s="71"/>
      <c r="CB622" s="71">
        <f t="shared" si="257"/>
        <v>0</v>
      </c>
      <c r="CD622" s="71"/>
      <c r="CE622" s="71"/>
      <c r="CF622" s="71">
        <f t="shared" si="258"/>
        <v>0</v>
      </c>
      <c r="CH622" s="71"/>
      <c r="CI622" s="71"/>
      <c r="CJ622" s="138">
        <f t="shared" si="259"/>
        <v>0</v>
      </c>
      <c r="CL622" s="71"/>
      <c r="CM622" s="71"/>
      <c r="CN622" s="71">
        <f t="shared" si="260"/>
        <v>0</v>
      </c>
      <c r="CS622" s="102">
        <f t="shared" si="261"/>
        <v>4.5293954747099576</v>
      </c>
      <c r="CT622" s="102">
        <f t="shared" si="262"/>
        <v>18.675175962423801</v>
      </c>
      <c r="CZ622" s="109" t="str">
        <f t="shared" si="263"/>
        <v>Basso</v>
      </c>
    </row>
    <row r="623" spans="9:104" x14ac:dyDescent="0.15">
      <c r="I623" s="64">
        <f t="shared" si="241"/>
        <v>76.99972307006928</v>
      </c>
      <c r="M623" s="64">
        <f t="shared" si="242"/>
        <v>0</v>
      </c>
      <c r="Q623" s="64">
        <f t="shared" si="243"/>
        <v>0</v>
      </c>
      <c r="U623" s="64">
        <f t="shared" si="244"/>
        <v>0</v>
      </c>
      <c r="Y623" s="114">
        <f t="shared" si="245"/>
        <v>0</v>
      </c>
      <c r="AC623" s="64">
        <f t="shared" si="246"/>
        <v>0</v>
      </c>
      <c r="AE623" s="71"/>
      <c r="AF623" s="71"/>
      <c r="AG623" s="71">
        <f t="shared" si="247"/>
        <v>0</v>
      </c>
      <c r="AK623" s="64">
        <f t="shared" si="248"/>
        <v>0</v>
      </c>
      <c r="AM623" s="71"/>
      <c r="AN623" s="71"/>
      <c r="AO623" s="71">
        <f t="shared" si="249"/>
        <v>0</v>
      </c>
      <c r="AQ623" s="71"/>
      <c r="AR623" s="71"/>
      <c r="AS623" s="71">
        <f t="shared" si="250"/>
        <v>0</v>
      </c>
      <c r="AU623" s="71"/>
      <c r="AV623" s="71"/>
      <c r="AW623" s="71">
        <f t="shared" si="251"/>
        <v>0</v>
      </c>
      <c r="AY623" s="71"/>
      <c r="AZ623" s="71"/>
      <c r="BA623" s="71">
        <f t="shared" si="252"/>
        <v>0</v>
      </c>
      <c r="BI623" s="71"/>
      <c r="BJ623" s="71"/>
      <c r="BK623" s="71">
        <f t="shared" si="253"/>
        <v>0</v>
      </c>
      <c r="BM623" s="71"/>
      <c r="BN623" s="71"/>
      <c r="BO623" s="71">
        <f t="shared" si="254"/>
        <v>0</v>
      </c>
      <c r="BQ623" s="71"/>
      <c r="BR623" s="71"/>
      <c r="BS623" s="138">
        <f t="shared" si="255"/>
        <v>0</v>
      </c>
      <c r="BU623" s="71"/>
      <c r="BV623" s="71"/>
      <c r="BW623" s="71">
        <f t="shared" si="256"/>
        <v>0</v>
      </c>
      <c r="BZ623" s="71"/>
      <c r="CA623" s="71"/>
      <c r="CB623" s="71">
        <f t="shared" si="257"/>
        <v>0</v>
      </c>
      <c r="CD623" s="71"/>
      <c r="CE623" s="71"/>
      <c r="CF623" s="71">
        <f t="shared" si="258"/>
        <v>0</v>
      </c>
      <c r="CH623" s="71"/>
      <c r="CI623" s="71"/>
      <c r="CJ623" s="138">
        <f t="shared" si="259"/>
        <v>0</v>
      </c>
      <c r="CL623" s="71"/>
      <c r="CM623" s="71"/>
      <c r="CN623" s="71">
        <f t="shared" si="260"/>
        <v>0</v>
      </c>
      <c r="CS623" s="102">
        <f t="shared" si="261"/>
        <v>4.5293954747099576</v>
      </c>
      <c r="CT623" s="102">
        <f t="shared" si="262"/>
        <v>18.675175962423801</v>
      </c>
      <c r="CZ623" s="109" t="str">
        <f t="shared" si="263"/>
        <v>Basso</v>
      </c>
    </row>
    <row r="624" spans="9:104" x14ac:dyDescent="0.15">
      <c r="I624" s="64">
        <f t="shared" si="241"/>
        <v>76.99972307006928</v>
      </c>
      <c r="M624" s="64">
        <f t="shared" si="242"/>
        <v>0</v>
      </c>
      <c r="Q624" s="64">
        <f t="shared" si="243"/>
        <v>0</v>
      </c>
      <c r="U624" s="64">
        <f t="shared" si="244"/>
        <v>0</v>
      </c>
      <c r="Y624" s="114">
        <f t="shared" si="245"/>
        <v>0</v>
      </c>
      <c r="AC624" s="64">
        <f t="shared" si="246"/>
        <v>0</v>
      </c>
      <c r="AE624" s="71"/>
      <c r="AF624" s="71"/>
      <c r="AG624" s="71">
        <f t="shared" si="247"/>
        <v>0</v>
      </c>
      <c r="AK624" s="64">
        <f t="shared" si="248"/>
        <v>0</v>
      </c>
      <c r="AM624" s="71"/>
      <c r="AN624" s="71"/>
      <c r="AO624" s="71">
        <f t="shared" si="249"/>
        <v>0</v>
      </c>
      <c r="AQ624" s="71"/>
      <c r="AR624" s="71"/>
      <c r="AS624" s="71">
        <f t="shared" si="250"/>
        <v>0</v>
      </c>
      <c r="AU624" s="71"/>
      <c r="AV624" s="71"/>
      <c r="AW624" s="71">
        <f t="shared" si="251"/>
        <v>0</v>
      </c>
      <c r="AY624" s="71"/>
      <c r="AZ624" s="71"/>
      <c r="BA624" s="71">
        <f t="shared" si="252"/>
        <v>0</v>
      </c>
      <c r="BI624" s="71"/>
      <c r="BJ624" s="71"/>
      <c r="BK624" s="71">
        <f t="shared" si="253"/>
        <v>0</v>
      </c>
      <c r="BM624" s="71"/>
      <c r="BN624" s="71"/>
      <c r="BO624" s="71">
        <f t="shared" si="254"/>
        <v>0</v>
      </c>
      <c r="BQ624" s="71"/>
      <c r="BR624" s="71"/>
      <c r="BS624" s="138">
        <f t="shared" si="255"/>
        <v>0</v>
      </c>
      <c r="BU624" s="71"/>
      <c r="BV624" s="71"/>
      <c r="BW624" s="71">
        <f t="shared" si="256"/>
        <v>0</v>
      </c>
      <c r="BZ624" s="71"/>
      <c r="CA624" s="71"/>
      <c r="CB624" s="71">
        <f t="shared" si="257"/>
        <v>0</v>
      </c>
      <c r="CD624" s="71"/>
      <c r="CE624" s="71"/>
      <c r="CF624" s="71">
        <f t="shared" si="258"/>
        <v>0</v>
      </c>
      <c r="CH624" s="71"/>
      <c r="CI624" s="71"/>
      <c r="CJ624" s="138">
        <f t="shared" si="259"/>
        <v>0</v>
      </c>
      <c r="CL624" s="71"/>
      <c r="CM624" s="71"/>
      <c r="CN624" s="71">
        <f t="shared" si="260"/>
        <v>0</v>
      </c>
      <c r="CS624" s="102">
        <f t="shared" si="261"/>
        <v>4.5293954747099576</v>
      </c>
      <c r="CT624" s="102">
        <f t="shared" si="262"/>
        <v>18.675175962423801</v>
      </c>
      <c r="CZ624" s="109" t="str">
        <f t="shared" si="263"/>
        <v>Basso</v>
      </c>
    </row>
    <row r="625" spans="9:104" x14ac:dyDescent="0.15">
      <c r="I625" s="64">
        <f t="shared" si="241"/>
        <v>76.99972307006928</v>
      </c>
      <c r="M625" s="64">
        <f t="shared" si="242"/>
        <v>0</v>
      </c>
      <c r="Q625" s="64">
        <f t="shared" si="243"/>
        <v>0</v>
      </c>
      <c r="U625" s="64">
        <f t="shared" si="244"/>
        <v>0</v>
      </c>
      <c r="Y625" s="114">
        <f t="shared" si="245"/>
        <v>0</v>
      </c>
      <c r="AC625" s="64">
        <f t="shared" si="246"/>
        <v>0</v>
      </c>
      <c r="AE625" s="71"/>
      <c r="AF625" s="71"/>
      <c r="AG625" s="71">
        <f t="shared" si="247"/>
        <v>0</v>
      </c>
      <c r="AK625" s="64">
        <f t="shared" si="248"/>
        <v>0</v>
      </c>
      <c r="AM625" s="71"/>
      <c r="AN625" s="71"/>
      <c r="AO625" s="71">
        <f t="shared" si="249"/>
        <v>0</v>
      </c>
      <c r="AQ625" s="71"/>
      <c r="AR625" s="71"/>
      <c r="AS625" s="71">
        <f t="shared" si="250"/>
        <v>0</v>
      </c>
      <c r="AU625" s="71"/>
      <c r="AV625" s="71"/>
      <c r="AW625" s="71">
        <f t="shared" si="251"/>
        <v>0</v>
      </c>
      <c r="AY625" s="71"/>
      <c r="AZ625" s="71"/>
      <c r="BA625" s="71">
        <f t="shared" si="252"/>
        <v>0</v>
      </c>
      <c r="BI625" s="71"/>
      <c r="BJ625" s="71"/>
      <c r="BK625" s="71">
        <f t="shared" si="253"/>
        <v>0</v>
      </c>
      <c r="BM625" s="71"/>
      <c r="BN625" s="71"/>
      <c r="BO625" s="71">
        <f t="shared" si="254"/>
        <v>0</v>
      </c>
      <c r="BQ625" s="71"/>
      <c r="BR625" s="71"/>
      <c r="BS625" s="138">
        <f t="shared" si="255"/>
        <v>0</v>
      </c>
      <c r="BU625" s="71"/>
      <c r="BV625" s="71"/>
      <c r="BW625" s="71">
        <f t="shared" si="256"/>
        <v>0</v>
      </c>
      <c r="BZ625" s="71"/>
      <c r="CA625" s="71"/>
      <c r="CB625" s="71">
        <f t="shared" si="257"/>
        <v>0</v>
      </c>
      <c r="CD625" s="71"/>
      <c r="CE625" s="71"/>
      <c r="CF625" s="71">
        <f t="shared" si="258"/>
        <v>0</v>
      </c>
      <c r="CH625" s="71"/>
      <c r="CI625" s="71"/>
      <c r="CJ625" s="138">
        <f t="shared" si="259"/>
        <v>0</v>
      </c>
      <c r="CL625" s="71"/>
      <c r="CM625" s="71"/>
      <c r="CN625" s="71">
        <f t="shared" si="260"/>
        <v>0</v>
      </c>
      <c r="CS625" s="102">
        <f t="shared" si="261"/>
        <v>4.5293954747099576</v>
      </c>
      <c r="CT625" s="102">
        <f t="shared" si="262"/>
        <v>18.675175962423801</v>
      </c>
      <c r="CZ625" s="109" t="str">
        <f t="shared" si="263"/>
        <v>Basso</v>
      </c>
    </row>
    <row r="626" spans="9:104" x14ac:dyDescent="0.15">
      <c r="I626" s="64">
        <f t="shared" si="241"/>
        <v>76.99972307006928</v>
      </c>
      <c r="M626" s="64">
        <f t="shared" si="242"/>
        <v>0</v>
      </c>
      <c r="Q626" s="64">
        <f t="shared" si="243"/>
        <v>0</v>
      </c>
      <c r="U626" s="64">
        <f t="shared" si="244"/>
        <v>0</v>
      </c>
      <c r="Y626" s="114">
        <f t="shared" si="245"/>
        <v>0</v>
      </c>
      <c r="AC626" s="64">
        <f t="shared" si="246"/>
        <v>0</v>
      </c>
      <c r="AE626" s="71"/>
      <c r="AF626" s="71"/>
      <c r="AG626" s="71">
        <f t="shared" si="247"/>
        <v>0</v>
      </c>
      <c r="AK626" s="64">
        <f t="shared" si="248"/>
        <v>0</v>
      </c>
      <c r="AM626" s="71"/>
      <c r="AN626" s="71"/>
      <c r="AO626" s="71">
        <f t="shared" si="249"/>
        <v>0</v>
      </c>
      <c r="AQ626" s="71"/>
      <c r="AR626" s="71"/>
      <c r="AS626" s="71">
        <f t="shared" si="250"/>
        <v>0</v>
      </c>
      <c r="AU626" s="71"/>
      <c r="AV626" s="71"/>
      <c r="AW626" s="71">
        <f t="shared" si="251"/>
        <v>0</v>
      </c>
      <c r="AY626" s="71"/>
      <c r="AZ626" s="71"/>
      <c r="BA626" s="71">
        <f t="shared" si="252"/>
        <v>0</v>
      </c>
      <c r="BI626" s="71"/>
      <c r="BJ626" s="71"/>
      <c r="BK626" s="71">
        <f t="shared" si="253"/>
        <v>0</v>
      </c>
      <c r="BM626" s="71"/>
      <c r="BN626" s="71"/>
      <c r="BO626" s="71">
        <f t="shared" si="254"/>
        <v>0</v>
      </c>
      <c r="BQ626" s="71"/>
      <c r="BR626" s="71"/>
      <c r="BS626" s="138">
        <f t="shared" si="255"/>
        <v>0</v>
      </c>
      <c r="BU626" s="71"/>
      <c r="BV626" s="71"/>
      <c r="BW626" s="71">
        <f t="shared" si="256"/>
        <v>0</v>
      </c>
      <c r="BZ626" s="71"/>
      <c r="CA626" s="71"/>
      <c r="CB626" s="71">
        <f t="shared" si="257"/>
        <v>0</v>
      </c>
      <c r="CD626" s="71"/>
      <c r="CE626" s="71"/>
      <c r="CF626" s="71">
        <f t="shared" si="258"/>
        <v>0</v>
      </c>
      <c r="CH626" s="71"/>
      <c r="CI626" s="71"/>
      <c r="CJ626" s="138">
        <f t="shared" si="259"/>
        <v>0</v>
      </c>
      <c r="CL626" s="71"/>
      <c r="CM626" s="71"/>
      <c r="CN626" s="71">
        <f t="shared" si="260"/>
        <v>0</v>
      </c>
      <c r="CS626" s="102">
        <f t="shared" si="261"/>
        <v>4.5293954747099576</v>
      </c>
      <c r="CT626" s="102">
        <f t="shared" si="262"/>
        <v>18.675175962423801</v>
      </c>
      <c r="CZ626" s="109" t="str">
        <f t="shared" si="263"/>
        <v>Basso</v>
      </c>
    </row>
    <row r="627" spans="9:104" x14ac:dyDescent="0.15">
      <c r="I627" s="64">
        <f t="shared" si="241"/>
        <v>76.99972307006928</v>
      </c>
      <c r="M627" s="64">
        <f t="shared" si="242"/>
        <v>0</v>
      </c>
      <c r="Q627" s="64">
        <f t="shared" si="243"/>
        <v>0</v>
      </c>
      <c r="U627" s="64">
        <f t="shared" si="244"/>
        <v>0</v>
      </c>
      <c r="Y627" s="114">
        <f t="shared" si="245"/>
        <v>0</v>
      </c>
      <c r="AC627" s="64">
        <f t="shared" si="246"/>
        <v>0</v>
      </c>
      <c r="AE627" s="71"/>
      <c r="AF627" s="71"/>
      <c r="AG627" s="71">
        <f t="shared" si="247"/>
        <v>0</v>
      </c>
      <c r="AK627" s="64">
        <f t="shared" si="248"/>
        <v>0</v>
      </c>
      <c r="AM627" s="71"/>
      <c r="AN627" s="71"/>
      <c r="AO627" s="71">
        <f t="shared" si="249"/>
        <v>0</v>
      </c>
      <c r="AQ627" s="71"/>
      <c r="AR627" s="71"/>
      <c r="AS627" s="71">
        <f t="shared" si="250"/>
        <v>0</v>
      </c>
      <c r="AU627" s="71"/>
      <c r="AV627" s="71"/>
      <c r="AW627" s="71">
        <f t="shared" si="251"/>
        <v>0</v>
      </c>
      <c r="AY627" s="71"/>
      <c r="AZ627" s="71"/>
      <c r="BA627" s="71">
        <f t="shared" si="252"/>
        <v>0</v>
      </c>
      <c r="BI627" s="71"/>
      <c r="BJ627" s="71"/>
      <c r="BK627" s="71">
        <f t="shared" si="253"/>
        <v>0</v>
      </c>
      <c r="BM627" s="71"/>
      <c r="BN627" s="71"/>
      <c r="BO627" s="71">
        <f t="shared" si="254"/>
        <v>0</v>
      </c>
      <c r="BQ627" s="71"/>
      <c r="BR627" s="71"/>
      <c r="BS627" s="138">
        <f t="shared" si="255"/>
        <v>0</v>
      </c>
      <c r="BU627" s="71"/>
      <c r="BV627" s="71"/>
      <c r="BW627" s="71">
        <f t="shared" si="256"/>
        <v>0</v>
      </c>
      <c r="BZ627" s="71"/>
      <c r="CA627" s="71"/>
      <c r="CB627" s="71">
        <f t="shared" si="257"/>
        <v>0</v>
      </c>
      <c r="CD627" s="71"/>
      <c r="CE627" s="71"/>
      <c r="CF627" s="71">
        <f t="shared" si="258"/>
        <v>0</v>
      </c>
      <c r="CH627" s="71"/>
      <c r="CI627" s="71"/>
      <c r="CJ627" s="138">
        <f t="shared" si="259"/>
        <v>0</v>
      </c>
      <c r="CL627" s="71"/>
      <c r="CM627" s="71"/>
      <c r="CN627" s="71">
        <f t="shared" si="260"/>
        <v>0</v>
      </c>
      <c r="CS627" s="102">
        <f t="shared" si="261"/>
        <v>4.5293954747099576</v>
      </c>
      <c r="CT627" s="102">
        <f t="shared" si="262"/>
        <v>18.675175962423801</v>
      </c>
      <c r="CZ627" s="109" t="str">
        <f t="shared" si="263"/>
        <v>Basso</v>
      </c>
    </row>
    <row r="628" spans="9:104" x14ac:dyDescent="0.15">
      <c r="I628" s="64">
        <f t="shared" si="241"/>
        <v>76.99972307006928</v>
      </c>
      <c r="M628" s="64">
        <f t="shared" si="242"/>
        <v>0</v>
      </c>
      <c r="Q628" s="64">
        <f t="shared" si="243"/>
        <v>0</v>
      </c>
      <c r="U628" s="64">
        <f t="shared" si="244"/>
        <v>0</v>
      </c>
      <c r="Y628" s="114">
        <f t="shared" si="245"/>
        <v>0</v>
      </c>
      <c r="AC628" s="64">
        <f t="shared" si="246"/>
        <v>0</v>
      </c>
      <c r="AE628" s="71"/>
      <c r="AF628" s="71"/>
      <c r="AG628" s="71">
        <f t="shared" si="247"/>
        <v>0</v>
      </c>
      <c r="AK628" s="64">
        <f t="shared" si="248"/>
        <v>0</v>
      </c>
      <c r="AM628" s="71"/>
      <c r="AN628" s="71"/>
      <c r="AO628" s="71">
        <f t="shared" si="249"/>
        <v>0</v>
      </c>
      <c r="AQ628" s="71"/>
      <c r="AR628" s="71"/>
      <c r="AS628" s="71">
        <f t="shared" si="250"/>
        <v>0</v>
      </c>
      <c r="AU628" s="71"/>
      <c r="AV628" s="71"/>
      <c r="AW628" s="71">
        <f t="shared" si="251"/>
        <v>0</v>
      </c>
      <c r="AY628" s="71"/>
      <c r="AZ628" s="71"/>
      <c r="BA628" s="71">
        <f t="shared" si="252"/>
        <v>0</v>
      </c>
      <c r="BI628" s="71"/>
      <c r="BJ628" s="71"/>
      <c r="BK628" s="71">
        <f t="shared" si="253"/>
        <v>0</v>
      </c>
      <c r="BM628" s="71"/>
      <c r="BN628" s="71"/>
      <c r="BO628" s="71">
        <f t="shared" si="254"/>
        <v>0</v>
      </c>
      <c r="BQ628" s="71"/>
      <c r="BR628" s="71"/>
      <c r="BS628" s="138">
        <f t="shared" si="255"/>
        <v>0</v>
      </c>
      <c r="BU628" s="71"/>
      <c r="BV628" s="71"/>
      <c r="BW628" s="71">
        <f t="shared" si="256"/>
        <v>0</v>
      </c>
      <c r="BZ628" s="71"/>
      <c r="CA628" s="71"/>
      <c r="CB628" s="71">
        <f t="shared" si="257"/>
        <v>0</v>
      </c>
      <c r="CD628" s="71"/>
      <c r="CE628" s="71"/>
      <c r="CF628" s="71">
        <f t="shared" si="258"/>
        <v>0</v>
      </c>
      <c r="CH628" s="71"/>
      <c r="CI628" s="71"/>
      <c r="CJ628" s="138">
        <f t="shared" si="259"/>
        <v>0</v>
      </c>
      <c r="CL628" s="71"/>
      <c r="CM628" s="71"/>
      <c r="CN628" s="71">
        <f t="shared" si="260"/>
        <v>0</v>
      </c>
      <c r="CS628" s="102">
        <f t="shared" si="261"/>
        <v>4.5293954747099576</v>
      </c>
      <c r="CT628" s="102">
        <f t="shared" si="262"/>
        <v>18.675175962423801</v>
      </c>
      <c r="CZ628" s="109" t="str">
        <f t="shared" si="263"/>
        <v>Basso</v>
      </c>
    </row>
    <row r="629" spans="9:104" x14ac:dyDescent="0.15">
      <c r="I629" s="64">
        <f t="shared" si="241"/>
        <v>76.99972307006928</v>
      </c>
      <c r="M629" s="64">
        <f t="shared" si="242"/>
        <v>0</v>
      </c>
      <c r="Q629" s="64">
        <f t="shared" si="243"/>
        <v>0</v>
      </c>
      <c r="U629" s="64">
        <f t="shared" si="244"/>
        <v>0</v>
      </c>
      <c r="Y629" s="114">
        <f t="shared" si="245"/>
        <v>0</v>
      </c>
      <c r="AC629" s="64">
        <f t="shared" si="246"/>
        <v>0</v>
      </c>
      <c r="AE629" s="71"/>
      <c r="AF629" s="71"/>
      <c r="AG629" s="71">
        <f t="shared" si="247"/>
        <v>0</v>
      </c>
      <c r="AK629" s="64">
        <f t="shared" si="248"/>
        <v>0</v>
      </c>
      <c r="AM629" s="71"/>
      <c r="AN629" s="71"/>
      <c r="AO629" s="71">
        <f t="shared" si="249"/>
        <v>0</v>
      </c>
      <c r="AQ629" s="71"/>
      <c r="AR629" s="71"/>
      <c r="AS629" s="71">
        <f t="shared" si="250"/>
        <v>0</v>
      </c>
      <c r="AU629" s="71"/>
      <c r="AV629" s="71"/>
      <c r="AW629" s="71">
        <f t="shared" si="251"/>
        <v>0</v>
      </c>
      <c r="AY629" s="71"/>
      <c r="AZ629" s="71"/>
      <c r="BA629" s="71">
        <f t="shared" si="252"/>
        <v>0</v>
      </c>
      <c r="BI629" s="71"/>
      <c r="BJ629" s="71"/>
      <c r="BK629" s="71">
        <f t="shared" si="253"/>
        <v>0</v>
      </c>
      <c r="BM629" s="71"/>
      <c r="BN629" s="71"/>
      <c r="BO629" s="71">
        <f t="shared" si="254"/>
        <v>0</v>
      </c>
      <c r="BQ629" s="71"/>
      <c r="BR629" s="71"/>
      <c r="BS629" s="138">
        <f t="shared" si="255"/>
        <v>0</v>
      </c>
      <c r="BU629" s="71"/>
      <c r="BV629" s="71"/>
      <c r="BW629" s="71">
        <f t="shared" si="256"/>
        <v>0</v>
      </c>
      <c r="BZ629" s="71"/>
      <c r="CA629" s="71"/>
      <c r="CB629" s="71">
        <f t="shared" si="257"/>
        <v>0</v>
      </c>
      <c r="CD629" s="71"/>
      <c r="CE629" s="71"/>
      <c r="CF629" s="71">
        <f t="shared" si="258"/>
        <v>0</v>
      </c>
      <c r="CH629" s="71"/>
      <c r="CI629" s="71"/>
      <c r="CJ629" s="138">
        <f t="shared" si="259"/>
        <v>0</v>
      </c>
      <c r="CL629" s="71"/>
      <c r="CM629" s="71"/>
      <c r="CN629" s="71">
        <f t="shared" si="260"/>
        <v>0</v>
      </c>
      <c r="CS629" s="102">
        <f t="shared" si="261"/>
        <v>4.5293954747099576</v>
      </c>
      <c r="CT629" s="102">
        <f t="shared" si="262"/>
        <v>18.675175962423801</v>
      </c>
      <c r="CZ629" s="109" t="str">
        <f t="shared" si="263"/>
        <v>Basso</v>
      </c>
    </row>
    <row r="630" spans="9:104" x14ac:dyDescent="0.15">
      <c r="I630" s="64">
        <f t="shared" si="241"/>
        <v>76.99972307006928</v>
      </c>
      <c r="M630" s="64">
        <f t="shared" si="242"/>
        <v>0</v>
      </c>
      <c r="Q630" s="64">
        <f t="shared" si="243"/>
        <v>0</v>
      </c>
      <c r="U630" s="64">
        <f t="shared" si="244"/>
        <v>0</v>
      </c>
      <c r="Y630" s="114">
        <f t="shared" si="245"/>
        <v>0</v>
      </c>
      <c r="AC630" s="64">
        <f t="shared" si="246"/>
        <v>0</v>
      </c>
      <c r="AE630" s="71"/>
      <c r="AF630" s="71"/>
      <c r="AG630" s="71">
        <f t="shared" si="247"/>
        <v>0</v>
      </c>
      <c r="AK630" s="64">
        <f t="shared" si="248"/>
        <v>0</v>
      </c>
      <c r="AM630" s="71"/>
      <c r="AN630" s="71"/>
      <c r="AO630" s="71">
        <f t="shared" si="249"/>
        <v>0</v>
      </c>
      <c r="AQ630" s="71"/>
      <c r="AR630" s="71"/>
      <c r="AS630" s="71">
        <f t="shared" si="250"/>
        <v>0</v>
      </c>
      <c r="AU630" s="71"/>
      <c r="AV630" s="71"/>
      <c r="AW630" s="71">
        <f t="shared" si="251"/>
        <v>0</v>
      </c>
      <c r="AY630" s="71"/>
      <c r="AZ630" s="71"/>
      <c r="BA630" s="71">
        <f t="shared" si="252"/>
        <v>0</v>
      </c>
      <c r="BI630" s="71"/>
      <c r="BJ630" s="71"/>
      <c r="BK630" s="71">
        <f t="shared" si="253"/>
        <v>0</v>
      </c>
      <c r="BM630" s="71"/>
      <c r="BN630" s="71"/>
      <c r="BO630" s="71">
        <f t="shared" si="254"/>
        <v>0</v>
      </c>
      <c r="BQ630" s="71"/>
      <c r="BR630" s="71"/>
      <c r="BS630" s="138">
        <f t="shared" si="255"/>
        <v>0</v>
      </c>
      <c r="BU630" s="71"/>
      <c r="BV630" s="71"/>
      <c r="BW630" s="71">
        <f t="shared" si="256"/>
        <v>0</v>
      </c>
      <c r="BZ630" s="71"/>
      <c r="CA630" s="71"/>
      <c r="CB630" s="71">
        <f t="shared" si="257"/>
        <v>0</v>
      </c>
      <c r="CD630" s="71"/>
      <c r="CE630" s="71"/>
      <c r="CF630" s="71">
        <f t="shared" si="258"/>
        <v>0</v>
      </c>
      <c r="CH630" s="71"/>
      <c r="CI630" s="71"/>
      <c r="CJ630" s="138">
        <f t="shared" si="259"/>
        <v>0</v>
      </c>
      <c r="CL630" s="71"/>
      <c r="CM630" s="71"/>
      <c r="CN630" s="71">
        <f t="shared" si="260"/>
        <v>0</v>
      </c>
      <c r="CS630" s="102">
        <f t="shared" si="261"/>
        <v>4.5293954747099576</v>
      </c>
      <c r="CT630" s="102">
        <f t="shared" si="262"/>
        <v>18.675175962423801</v>
      </c>
      <c r="CZ630" s="109" t="str">
        <f t="shared" si="263"/>
        <v>Basso</v>
      </c>
    </row>
    <row r="631" spans="9:104" x14ac:dyDescent="0.15">
      <c r="I631" s="64">
        <f t="shared" si="241"/>
        <v>76.99972307006928</v>
      </c>
      <c r="M631" s="64">
        <f t="shared" si="242"/>
        <v>0</v>
      </c>
      <c r="Q631" s="64">
        <f t="shared" si="243"/>
        <v>0</v>
      </c>
      <c r="U631" s="64">
        <f t="shared" si="244"/>
        <v>0</v>
      </c>
      <c r="Y631" s="114">
        <f t="shared" si="245"/>
        <v>0</v>
      </c>
      <c r="AC631" s="64">
        <f t="shared" si="246"/>
        <v>0</v>
      </c>
      <c r="AE631" s="71"/>
      <c r="AF631" s="71"/>
      <c r="AG631" s="71">
        <f t="shared" si="247"/>
        <v>0</v>
      </c>
      <c r="AK631" s="64">
        <f t="shared" si="248"/>
        <v>0</v>
      </c>
      <c r="AM631" s="71"/>
      <c r="AN631" s="71"/>
      <c r="AO631" s="71">
        <f t="shared" si="249"/>
        <v>0</v>
      </c>
      <c r="AQ631" s="71"/>
      <c r="AR631" s="71"/>
      <c r="AS631" s="71">
        <f t="shared" si="250"/>
        <v>0</v>
      </c>
      <c r="AU631" s="71"/>
      <c r="AV631" s="71"/>
      <c r="AW631" s="71">
        <f t="shared" si="251"/>
        <v>0</v>
      </c>
      <c r="AY631" s="71"/>
      <c r="AZ631" s="71"/>
      <c r="BA631" s="71">
        <f t="shared" si="252"/>
        <v>0</v>
      </c>
      <c r="BI631" s="71"/>
      <c r="BJ631" s="71"/>
      <c r="BK631" s="71">
        <f t="shared" si="253"/>
        <v>0</v>
      </c>
      <c r="BM631" s="71"/>
      <c r="BN631" s="71"/>
      <c r="BO631" s="71">
        <f t="shared" si="254"/>
        <v>0</v>
      </c>
      <c r="BQ631" s="71"/>
      <c r="BR631" s="71"/>
      <c r="BS631" s="138">
        <f t="shared" si="255"/>
        <v>0</v>
      </c>
      <c r="BU631" s="71"/>
      <c r="BV631" s="71"/>
      <c r="BW631" s="71">
        <f t="shared" si="256"/>
        <v>0</v>
      </c>
      <c r="BZ631" s="71"/>
      <c r="CA631" s="71"/>
      <c r="CB631" s="71">
        <f t="shared" si="257"/>
        <v>0</v>
      </c>
      <c r="CD631" s="71"/>
      <c r="CE631" s="71"/>
      <c r="CF631" s="71">
        <f t="shared" si="258"/>
        <v>0</v>
      </c>
      <c r="CH631" s="71"/>
      <c r="CI631" s="71"/>
      <c r="CJ631" s="138">
        <f t="shared" si="259"/>
        <v>0</v>
      </c>
      <c r="CL631" s="71"/>
      <c r="CM631" s="71"/>
      <c r="CN631" s="71">
        <f t="shared" si="260"/>
        <v>0</v>
      </c>
      <c r="CS631" s="102">
        <f t="shared" si="261"/>
        <v>4.5293954747099576</v>
      </c>
      <c r="CT631" s="102">
        <f t="shared" si="262"/>
        <v>18.675175962423801</v>
      </c>
      <c r="CZ631" s="109" t="str">
        <f t="shared" si="263"/>
        <v>Basso</v>
      </c>
    </row>
    <row r="632" spans="9:104" x14ac:dyDescent="0.15">
      <c r="I632" s="64">
        <f t="shared" si="241"/>
        <v>76.99972307006928</v>
      </c>
      <c r="M632" s="64">
        <f t="shared" si="242"/>
        <v>0</v>
      </c>
      <c r="Q632" s="64">
        <f t="shared" si="243"/>
        <v>0</v>
      </c>
      <c r="U632" s="64">
        <f t="shared" si="244"/>
        <v>0</v>
      </c>
      <c r="Y632" s="114">
        <f t="shared" si="245"/>
        <v>0</v>
      </c>
      <c r="AC632" s="64">
        <f t="shared" si="246"/>
        <v>0</v>
      </c>
      <c r="AE632" s="71"/>
      <c r="AF632" s="71"/>
      <c r="AG632" s="71">
        <f t="shared" si="247"/>
        <v>0</v>
      </c>
      <c r="AK632" s="64">
        <f t="shared" si="248"/>
        <v>0</v>
      </c>
      <c r="AM632" s="71"/>
      <c r="AN632" s="71"/>
      <c r="AO632" s="71">
        <f t="shared" si="249"/>
        <v>0</v>
      </c>
      <c r="AQ632" s="71"/>
      <c r="AR632" s="71"/>
      <c r="AS632" s="71">
        <f t="shared" si="250"/>
        <v>0</v>
      </c>
      <c r="AU632" s="71"/>
      <c r="AV632" s="71"/>
      <c r="AW632" s="71">
        <f t="shared" si="251"/>
        <v>0</v>
      </c>
      <c r="AY632" s="71"/>
      <c r="AZ632" s="71"/>
      <c r="BA632" s="71">
        <f t="shared" si="252"/>
        <v>0</v>
      </c>
      <c r="BI632" s="71"/>
      <c r="BJ632" s="71"/>
      <c r="BK632" s="71">
        <f t="shared" si="253"/>
        <v>0</v>
      </c>
      <c r="BM632" s="71"/>
      <c r="BN632" s="71"/>
      <c r="BO632" s="71">
        <f t="shared" si="254"/>
        <v>0</v>
      </c>
      <c r="BQ632" s="71"/>
      <c r="BR632" s="71"/>
      <c r="BS632" s="138">
        <f t="shared" si="255"/>
        <v>0</v>
      </c>
      <c r="BU632" s="71"/>
      <c r="BV632" s="71"/>
      <c r="BW632" s="71">
        <f t="shared" si="256"/>
        <v>0</v>
      </c>
      <c r="BZ632" s="71"/>
      <c r="CA632" s="71"/>
      <c r="CB632" s="71">
        <f t="shared" si="257"/>
        <v>0</v>
      </c>
      <c r="CD632" s="71"/>
      <c r="CE632" s="71"/>
      <c r="CF632" s="71">
        <f t="shared" si="258"/>
        <v>0</v>
      </c>
      <c r="CH632" s="71"/>
      <c r="CI632" s="71"/>
      <c r="CJ632" s="138">
        <f t="shared" si="259"/>
        <v>0</v>
      </c>
      <c r="CL632" s="71"/>
      <c r="CM632" s="71"/>
      <c r="CN632" s="71">
        <f t="shared" si="260"/>
        <v>0</v>
      </c>
      <c r="CS632" s="102">
        <f t="shared" si="261"/>
        <v>4.5293954747099576</v>
      </c>
      <c r="CT632" s="102">
        <f t="shared" si="262"/>
        <v>18.675175962423801</v>
      </c>
      <c r="CZ632" s="109" t="str">
        <f t="shared" si="263"/>
        <v>Basso</v>
      </c>
    </row>
    <row r="633" spans="9:104" x14ac:dyDescent="0.15">
      <c r="I633" s="64">
        <f t="shared" si="241"/>
        <v>76.99972307006928</v>
      </c>
      <c r="M633" s="64">
        <f t="shared" si="242"/>
        <v>0</v>
      </c>
      <c r="Q633" s="64">
        <f t="shared" si="243"/>
        <v>0</v>
      </c>
      <c r="U633" s="64">
        <f t="shared" si="244"/>
        <v>0</v>
      </c>
      <c r="Y633" s="114">
        <f t="shared" si="245"/>
        <v>0</v>
      </c>
      <c r="AC633" s="64">
        <f t="shared" si="246"/>
        <v>0</v>
      </c>
      <c r="AE633" s="71"/>
      <c r="AF633" s="71"/>
      <c r="AG633" s="71">
        <f t="shared" si="247"/>
        <v>0</v>
      </c>
      <c r="AK633" s="64">
        <f t="shared" si="248"/>
        <v>0</v>
      </c>
      <c r="AM633" s="71"/>
      <c r="AN633" s="71"/>
      <c r="AO633" s="71">
        <f t="shared" si="249"/>
        <v>0</v>
      </c>
      <c r="AQ633" s="71"/>
      <c r="AR633" s="71"/>
      <c r="AS633" s="71">
        <f t="shared" si="250"/>
        <v>0</v>
      </c>
      <c r="AU633" s="71"/>
      <c r="AV633" s="71"/>
      <c r="AW633" s="71">
        <f t="shared" si="251"/>
        <v>0</v>
      </c>
      <c r="AY633" s="71"/>
      <c r="AZ633" s="71"/>
      <c r="BA633" s="71">
        <f t="shared" si="252"/>
        <v>0</v>
      </c>
      <c r="BI633" s="71"/>
      <c r="BJ633" s="71"/>
      <c r="BK633" s="71">
        <f t="shared" si="253"/>
        <v>0</v>
      </c>
      <c r="BM633" s="71"/>
      <c r="BN633" s="71"/>
      <c r="BO633" s="71">
        <f t="shared" si="254"/>
        <v>0</v>
      </c>
      <c r="BQ633" s="71"/>
      <c r="BR633" s="71"/>
      <c r="BS633" s="138">
        <f t="shared" si="255"/>
        <v>0</v>
      </c>
      <c r="BU633" s="71"/>
      <c r="BV633" s="71"/>
      <c r="BW633" s="71">
        <f t="shared" si="256"/>
        <v>0</v>
      </c>
      <c r="BZ633" s="71"/>
      <c r="CA633" s="71"/>
      <c r="CB633" s="71">
        <f t="shared" si="257"/>
        <v>0</v>
      </c>
      <c r="CD633" s="71"/>
      <c r="CE633" s="71"/>
      <c r="CF633" s="71">
        <f t="shared" si="258"/>
        <v>0</v>
      </c>
      <c r="CH633" s="71"/>
      <c r="CI633" s="71"/>
      <c r="CJ633" s="138">
        <f t="shared" si="259"/>
        <v>0</v>
      </c>
      <c r="CL633" s="71"/>
      <c r="CM633" s="71"/>
      <c r="CN633" s="71">
        <f t="shared" si="260"/>
        <v>0</v>
      </c>
      <c r="CS633" s="102">
        <f t="shared" si="261"/>
        <v>4.5293954747099576</v>
      </c>
      <c r="CT633" s="102">
        <f t="shared" si="262"/>
        <v>18.675175962423801</v>
      </c>
      <c r="CZ633" s="109" t="str">
        <f t="shared" si="263"/>
        <v>Basso</v>
      </c>
    </row>
    <row r="634" spans="9:104" x14ac:dyDescent="0.15">
      <c r="I634" s="64">
        <f t="shared" si="241"/>
        <v>76.99972307006928</v>
      </c>
      <c r="M634" s="64">
        <f t="shared" si="242"/>
        <v>0</v>
      </c>
      <c r="Q634" s="64">
        <f t="shared" si="243"/>
        <v>0</v>
      </c>
      <c r="U634" s="64">
        <f t="shared" si="244"/>
        <v>0</v>
      </c>
      <c r="Y634" s="114">
        <f t="shared" si="245"/>
        <v>0</v>
      </c>
      <c r="AC634" s="64">
        <f t="shared" si="246"/>
        <v>0</v>
      </c>
      <c r="AE634" s="71"/>
      <c r="AF634" s="71"/>
      <c r="AG634" s="71">
        <f t="shared" si="247"/>
        <v>0</v>
      </c>
      <c r="AK634" s="64">
        <f t="shared" si="248"/>
        <v>0</v>
      </c>
      <c r="AM634" s="71"/>
      <c r="AN634" s="71"/>
      <c r="AO634" s="71">
        <f t="shared" si="249"/>
        <v>0</v>
      </c>
      <c r="AQ634" s="71"/>
      <c r="AR634" s="71"/>
      <c r="AS634" s="71">
        <f t="shared" si="250"/>
        <v>0</v>
      </c>
      <c r="AU634" s="71"/>
      <c r="AV634" s="71"/>
      <c r="AW634" s="71">
        <f t="shared" si="251"/>
        <v>0</v>
      </c>
      <c r="AY634" s="71"/>
      <c r="AZ634" s="71"/>
      <c r="BA634" s="71">
        <f t="shared" si="252"/>
        <v>0</v>
      </c>
      <c r="BI634" s="71"/>
      <c r="BJ634" s="71"/>
      <c r="BK634" s="71">
        <f t="shared" si="253"/>
        <v>0</v>
      </c>
      <c r="BM634" s="71"/>
      <c r="BN634" s="71"/>
      <c r="BO634" s="71">
        <f t="shared" si="254"/>
        <v>0</v>
      </c>
      <c r="BQ634" s="71"/>
      <c r="BR634" s="71"/>
      <c r="BS634" s="138">
        <f t="shared" si="255"/>
        <v>0</v>
      </c>
      <c r="BU634" s="71"/>
      <c r="BV634" s="71"/>
      <c r="BW634" s="71">
        <f t="shared" si="256"/>
        <v>0</v>
      </c>
      <c r="BZ634" s="71"/>
      <c r="CA634" s="71"/>
      <c r="CB634" s="71">
        <f t="shared" si="257"/>
        <v>0</v>
      </c>
      <c r="CD634" s="71"/>
      <c r="CE634" s="71"/>
      <c r="CF634" s="71">
        <f t="shared" si="258"/>
        <v>0</v>
      </c>
      <c r="CH634" s="71"/>
      <c r="CI634" s="71"/>
      <c r="CJ634" s="138">
        <f t="shared" si="259"/>
        <v>0</v>
      </c>
      <c r="CL634" s="71"/>
      <c r="CM634" s="71"/>
      <c r="CN634" s="71">
        <f t="shared" si="260"/>
        <v>0</v>
      </c>
      <c r="CS634" s="102">
        <f t="shared" si="261"/>
        <v>4.5293954747099576</v>
      </c>
      <c r="CT634" s="102">
        <f t="shared" si="262"/>
        <v>18.675175962423801</v>
      </c>
      <c r="CZ634" s="109" t="str">
        <f t="shared" si="263"/>
        <v>Basso</v>
      </c>
    </row>
    <row r="635" spans="9:104" x14ac:dyDescent="0.15">
      <c r="I635" s="64">
        <f t="shared" si="241"/>
        <v>76.99972307006928</v>
      </c>
      <c r="M635" s="64">
        <f t="shared" si="242"/>
        <v>0</v>
      </c>
      <c r="Q635" s="64">
        <f t="shared" si="243"/>
        <v>0</v>
      </c>
      <c r="U635" s="64">
        <f t="shared" si="244"/>
        <v>0</v>
      </c>
      <c r="Y635" s="114">
        <f t="shared" si="245"/>
        <v>0</v>
      </c>
      <c r="AC635" s="64">
        <f t="shared" si="246"/>
        <v>0</v>
      </c>
      <c r="AE635" s="71"/>
      <c r="AF635" s="71"/>
      <c r="AG635" s="71">
        <f t="shared" si="247"/>
        <v>0</v>
      </c>
      <c r="AK635" s="64">
        <f t="shared" si="248"/>
        <v>0</v>
      </c>
      <c r="AM635" s="71"/>
      <c r="AN635" s="71"/>
      <c r="AO635" s="71">
        <f t="shared" si="249"/>
        <v>0</v>
      </c>
      <c r="AQ635" s="71"/>
      <c r="AR635" s="71"/>
      <c r="AS635" s="71">
        <f t="shared" si="250"/>
        <v>0</v>
      </c>
      <c r="AU635" s="71"/>
      <c r="AV635" s="71"/>
      <c r="AW635" s="71">
        <f t="shared" si="251"/>
        <v>0</v>
      </c>
      <c r="AY635" s="71"/>
      <c r="AZ635" s="71"/>
      <c r="BA635" s="71">
        <f t="shared" si="252"/>
        <v>0</v>
      </c>
      <c r="BI635" s="71"/>
      <c r="BJ635" s="71"/>
      <c r="BK635" s="71">
        <f t="shared" si="253"/>
        <v>0</v>
      </c>
      <c r="BM635" s="71"/>
      <c r="BN635" s="71"/>
      <c r="BO635" s="71">
        <f t="shared" si="254"/>
        <v>0</v>
      </c>
      <c r="BQ635" s="71"/>
      <c r="BR635" s="71"/>
      <c r="BS635" s="138">
        <f t="shared" si="255"/>
        <v>0</v>
      </c>
      <c r="BU635" s="71"/>
      <c r="BV635" s="71"/>
      <c r="BW635" s="71">
        <f t="shared" si="256"/>
        <v>0</v>
      </c>
      <c r="BZ635" s="71"/>
      <c r="CA635" s="71"/>
      <c r="CB635" s="71">
        <f t="shared" si="257"/>
        <v>0</v>
      </c>
      <c r="CD635" s="71"/>
      <c r="CE635" s="71"/>
      <c r="CF635" s="71">
        <f t="shared" si="258"/>
        <v>0</v>
      </c>
      <c r="CH635" s="71"/>
      <c r="CI635" s="71"/>
      <c r="CJ635" s="138">
        <f t="shared" si="259"/>
        <v>0</v>
      </c>
      <c r="CL635" s="71"/>
      <c r="CM635" s="71"/>
      <c r="CN635" s="71">
        <f t="shared" si="260"/>
        <v>0</v>
      </c>
      <c r="CS635" s="102">
        <f t="shared" si="261"/>
        <v>4.5293954747099576</v>
      </c>
      <c r="CT635" s="102">
        <f t="shared" si="262"/>
        <v>18.675175962423801</v>
      </c>
      <c r="CZ635" s="109" t="str">
        <f t="shared" si="263"/>
        <v>Basso</v>
      </c>
    </row>
    <row r="636" spans="9:104" x14ac:dyDescent="0.15">
      <c r="I636" s="64">
        <f t="shared" si="241"/>
        <v>76.99972307006928</v>
      </c>
      <c r="M636" s="64">
        <f t="shared" si="242"/>
        <v>0</v>
      </c>
      <c r="Q636" s="64">
        <f t="shared" si="243"/>
        <v>0</v>
      </c>
      <c r="U636" s="64">
        <f t="shared" si="244"/>
        <v>0</v>
      </c>
      <c r="Y636" s="114">
        <f t="shared" si="245"/>
        <v>0</v>
      </c>
      <c r="AC636" s="64">
        <f t="shared" si="246"/>
        <v>0</v>
      </c>
      <c r="AE636" s="71"/>
      <c r="AF636" s="71"/>
      <c r="AG636" s="71">
        <f t="shared" si="247"/>
        <v>0</v>
      </c>
      <c r="AK636" s="64">
        <f t="shared" si="248"/>
        <v>0</v>
      </c>
      <c r="AM636" s="71"/>
      <c r="AN636" s="71"/>
      <c r="AO636" s="71">
        <f t="shared" si="249"/>
        <v>0</v>
      </c>
      <c r="AQ636" s="71"/>
      <c r="AR636" s="71"/>
      <c r="AS636" s="71">
        <f t="shared" si="250"/>
        <v>0</v>
      </c>
      <c r="AU636" s="71"/>
      <c r="AV636" s="71"/>
      <c r="AW636" s="71">
        <f t="shared" si="251"/>
        <v>0</v>
      </c>
      <c r="AY636" s="71"/>
      <c r="AZ636" s="71"/>
      <c r="BA636" s="71">
        <f t="shared" si="252"/>
        <v>0</v>
      </c>
      <c r="BI636" s="71"/>
      <c r="BJ636" s="71"/>
      <c r="BK636" s="71">
        <f t="shared" si="253"/>
        <v>0</v>
      </c>
      <c r="BM636" s="71"/>
      <c r="BN636" s="71"/>
      <c r="BO636" s="71">
        <f t="shared" si="254"/>
        <v>0</v>
      </c>
      <c r="BQ636" s="71"/>
      <c r="BR636" s="71"/>
      <c r="BS636" s="138">
        <f t="shared" si="255"/>
        <v>0</v>
      </c>
      <c r="BU636" s="71"/>
      <c r="BV636" s="71"/>
      <c r="BW636" s="71">
        <f t="shared" si="256"/>
        <v>0</v>
      </c>
      <c r="BZ636" s="71"/>
      <c r="CA636" s="71"/>
      <c r="CB636" s="71">
        <f t="shared" si="257"/>
        <v>0</v>
      </c>
      <c r="CD636" s="71"/>
      <c r="CE636" s="71"/>
      <c r="CF636" s="71">
        <f t="shared" si="258"/>
        <v>0</v>
      </c>
      <c r="CH636" s="71"/>
      <c r="CI636" s="71"/>
      <c r="CJ636" s="138">
        <f t="shared" si="259"/>
        <v>0</v>
      </c>
      <c r="CL636" s="71"/>
      <c r="CM636" s="71"/>
      <c r="CN636" s="71">
        <f t="shared" si="260"/>
        <v>0</v>
      </c>
      <c r="CS636" s="102">
        <f t="shared" si="261"/>
        <v>4.5293954747099576</v>
      </c>
      <c r="CT636" s="102">
        <f t="shared" si="262"/>
        <v>18.675175962423801</v>
      </c>
      <c r="CZ636" s="109" t="str">
        <f t="shared" si="263"/>
        <v>Basso</v>
      </c>
    </row>
    <row r="637" spans="9:104" x14ac:dyDescent="0.15">
      <c r="I637" s="64">
        <f t="shared" si="241"/>
        <v>76.99972307006928</v>
      </c>
      <c r="M637" s="64">
        <f t="shared" si="242"/>
        <v>0</v>
      </c>
      <c r="Q637" s="64">
        <f t="shared" si="243"/>
        <v>0</v>
      </c>
      <c r="U637" s="64">
        <f t="shared" si="244"/>
        <v>0</v>
      </c>
      <c r="Y637" s="114">
        <f t="shared" si="245"/>
        <v>0</v>
      </c>
      <c r="AC637" s="64">
        <f t="shared" si="246"/>
        <v>0</v>
      </c>
      <c r="AE637" s="71"/>
      <c r="AF637" s="71"/>
      <c r="AG637" s="71">
        <f t="shared" si="247"/>
        <v>0</v>
      </c>
      <c r="AK637" s="64">
        <f t="shared" si="248"/>
        <v>0</v>
      </c>
      <c r="AM637" s="71"/>
      <c r="AN637" s="71"/>
      <c r="AO637" s="71">
        <f t="shared" si="249"/>
        <v>0</v>
      </c>
      <c r="AQ637" s="71"/>
      <c r="AR637" s="71"/>
      <c r="AS637" s="71">
        <f t="shared" si="250"/>
        <v>0</v>
      </c>
      <c r="AU637" s="71"/>
      <c r="AV637" s="71"/>
      <c r="AW637" s="71">
        <f t="shared" si="251"/>
        <v>0</v>
      </c>
      <c r="AY637" s="71"/>
      <c r="AZ637" s="71"/>
      <c r="BA637" s="71">
        <f t="shared" si="252"/>
        <v>0</v>
      </c>
      <c r="BI637" s="71"/>
      <c r="BJ637" s="71"/>
      <c r="BK637" s="71">
        <f t="shared" si="253"/>
        <v>0</v>
      </c>
      <c r="BM637" s="71"/>
      <c r="BN637" s="71"/>
      <c r="BO637" s="71">
        <f t="shared" si="254"/>
        <v>0</v>
      </c>
      <c r="BQ637" s="71"/>
      <c r="BR637" s="71"/>
      <c r="BS637" s="138">
        <f t="shared" si="255"/>
        <v>0</v>
      </c>
      <c r="BU637" s="71"/>
      <c r="BV637" s="71"/>
      <c r="BW637" s="71">
        <f t="shared" si="256"/>
        <v>0</v>
      </c>
      <c r="BZ637" s="71"/>
      <c r="CA637" s="71"/>
      <c r="CB637" s="71">
        <f t="shared" si="257"/>
        <v>0</v>
      </c>
      <c r="CD637" s="71"/>
      <c r="CE637" s="71"/>
      <c r="CF637" s="71">
        <f t="shared" si="258"/>
        <v>0</v>
      </c>
      <c r="CH637" s="71"/>
      <c r="CI637" s="71"/>
      <c r="CJ637" s="138">
        <f t="shared" si="259"/>
        <v>0</v>
      </c>
      <c r="CL637" s="71"/>
      <c r="CM637" s="71"/>
      <c r="CN637" s="71">
        <f t="shared" si="260"/>
        <v>0</v>
      </c>
      <c r="CS637" s="102">
        <f t="shared" si="261"/>
        <v>4.5293954747099576</v>
      </c>
      <c r="CT637" s="102">
        <f t="shared" si="262"/>
        <v>18.675175962423801</v>
      </c>
      <c r="CZ637" s="109" t="str">
        <f t="shared" si="263"/>
        <v>Basso</v>
      </c>
    </row>
    <row r="638" spans="9:104" x14ac:dyDescent="0.15">
      <c r="I638" s="64">
        <f t="shared" si="241"/>
        <v>76.99972307006928</v>
      </c>
      <c r="M638" s="64">
        <f t="shared" si="242"/>
        <v>0</v>
      </c>
      <c r="Q638" s="64">
        <f t="shared" si="243"/>
        <v>0</v>
      </c>
      <c r="U638" s="64">
        <f t="shared" si="244"/>
        <v>0</v>
      </c>
      <c r="Y638" s="114">
        <f t="shared" si="245"/>
        <v>0</v>
      </c>
      <c r="AC638" s="64">
        <f t="shared" si="246"/>
        <v>0</v>
      </c>
      <c r="AE638" s="71"/>
      <c r="AF638" s="71"/>
      <c r="AG638" s="71">
        <f t="shared" si="247"/>
        <v>0</v>
      </c>
      <c r="AK638" s="64">
        <f t="shared" si="248"/>
        <v>0</v>
      </c>
      <c r="AM638" s="71"/>
      <c r="AN638" s="71"/>
      <c r="AO638" s="71">
        <f t="shared" si="249"/>
        <v>0</v>
      </c>
      <c r="AQ638" s="71"/>
      <c r="AR638" s="71"/>
      <c r="AS638" s="71">
        <f t="shared" si="250"/>
        <v>0</v>
      </c>
      <c r="AU638" s="71"/>
      <c r="AV638" s="71"/>
      <c r="AW638" s="71">
        <f t="shared" si="251"/>
        <v>0</v>
      </c>
      <c r="AY638" s="71"/>
      <c r="AZ638" s="71"/>
      <c r="BA638" s="71">
        <f t="shared" si="252"/>
        <v>0</v>
      </c>
      <c r="BI638" s="71"/>
      <c r="BJ638" s="71"/>
      <c r="BK638" s="71">
        <f t="shared" si="253"/>
        <v>0</v>
      </c>
      <c r="BM638" s="71"/>
      <c r="BN638" s="71"/>
      <c r="BO638" s="71">
        <f t="shared" si="254"/>
        <v>0</v>
      </c>
      <c r="BQ638" s="71"/>
      <c r="BR638" s="71"/>
      <c r="BS638" s="138">
        <f t="shared" si="255"/>
        <v>0</v>
      </c>
      <c r="BU638" s="71"/>
      <c r="BV638" s="71"/>
      <c r="BW638" s="71">
        <f t="shared" si="256"/>
        <v>0</v>
      </c>
      <c r="BZ638" s="71"/>
      <c r="CA638" s="71"/>
      <c r="CB638" s="71">
        <f t="shared" si="257"/>
        <v>0</v>
      </c>
      <c r="CD638" s="71"/>
      <c r="CE638" s="71"/>
      <c r="CF638" s="71">
        <f t="shared" si="258"/>
        <v>0</v>
      </c>
      <c r="CH638" s="71"/>
      <c r="CI638" s="71"/>
      <c r="CJ638" s="138">
        <f t="shared" si="259"/>
        <v>0</v>
      </c>
      <c r="CL638" s="71"/>
      <c r="CM638" s="71"/>
      <c r="CN638" s="71">
        <f t="shared" si="260"/>
        <v>0</v>
      </c>
      <c r="CS638" s="102">
        <f t="shared" si="261"/>
        <v>4.5293954747099576</v>
      </c>
      <c r="CT638" s="102">
        <f t="shared" si="262"/>
        <v>18.675175962423801</v>
      </c>
      <c r="CZ638" s="109" t="str">
        <f t="shared" si="263"/>
        <v>Basso</v>
      </c>
    </row>
    <row r="639" spans="9:104" x14ac:dyDescent="0.15">
      <c r="I639" s="64">
        <f t="shared" si="241"/>
        <v>76.99972307006928</v>
      </c>
      <c r="M639" s="64">
        <f t="shared" si="242"/>
        <v>0</v>
      </c>
      <c r="Q639" s="64">
        <f t="shared" si="243"/>
        <v>0</v>
      </c>
      <c r="U639" s="64">
        <f t="shared" si="244"/>
        <v>0</v>
      </c>
      <c r="Y639" s="114">
        <f t="shared" si="245"/>
        <v>0</v>
      </c>
      <c r="AC639" s="64">
        <f t="shared" si="246"/>
        <v>0</v>
      </c>
      <c r="AE639" s="71"/>
      <c r="AF639" s="71"/>
      <c r="AG639" s="71">
        <f t="shared" si="247"/>
        <v>0</v>
      </c>
      <c r="AK639" s="64">
        <f t="shared" si="248"/>
        <v>0</v>
      </c>
      <c r="AM639" s="71"/>
      <c r="AN639" s="71"/>
      <c r="AO639" s="71">
        <f t="shared" si="249"/>
        <v>0</v>
      </c>
      <c r="AQ639" s="71"/>
      <c r="AR639" s="71"/>
      <c r="AS639" s="71">
        <f t="shared" si="250"/>
        <v>0</v>
      </c>
      <c r="AU639" s="71"/>
      <c r="AV639" s="71"/>
      <c r="AW639" s="71">
        <f t="shared" si="251"/>
        <v>0</v>
      </c>
      <c r="AY639" s="71"/>
      <c r="AZ639" s="71"/>
      <c r="BA639" s="71">
        <f t="shared" si="252"/>
        <v>0</v>
      </c>
      <c r="BI639" s="71"/>
      <c r="BJ639" s="71"/>
      <c r="BK639" s="71">
        <f t="shared" si="253"/>
        <v>0</v>
      </c>
      <c r="BM639" s="71"/>
      <c r="BN639" s="71"/>
      <c r="BO639" s="71">
        <f t="shared" si="254"/>
        <v>0</v>
      </c>
      <c r="BQ639" s="71"/>
      <c r="BR639" s="71"/>
      <c r="BS639" s="138">
        <f t="shared" si="255"/>
        <v>0</v>
      </c>
      <c r="BU639" s="71"/>
      <c r="BV639" s="71"/>
      <c r="BW639" s="71">
        <f t="shared" si="256"/>
        <v>0</v>
      </c>
      <c r="BZ639" s="71"/>
      <c r="CA639" s="71"/>
      <c r="CB639" s="71">
        <f t="shared" si="257"/>
        <v>0</v>
      </c>
      <c r="CD639" s="71"/>
      <c r="CE639" s="71"/>
      <c r="CF639" s="71">
        <f t="shared" si="258"/>
        <v>0</v>
      </c>
      <c r="CH639" s="71"/>
      <c r="CI639" s="71"/>
      <c r="CJ639" s="138">
        <f t="shared" si="259"/>
        <v>0</v>
      </c>
      <c r="CL639" s="71"/>
      <c r="CM639" s="71"/>
      <c r="CN639" s="71">
        <f t="shared" si="260"/>
        <v>0</v>
      </c>
      <c r="CS639" s="102">
        <f t="shared" si="261"/>
        <v>4.5293954747099576</v>
      </c>
      <c r="CT639" s="102">
        <f t="shared" si="262"/>
        <v>18.675175962423801</v>
      </c>
      <c r="CZ639" s="109" t="str">
        <f t="shared" si="263"/>
        <v>Basso</v>
      </c>
    </row>
    <row r="640" spans="9:104" x14ac:dyDescent="0.15">
      <c r="I640" s="64">
        <f t="shared" si="241"/>
        <v>76.99972307006928</v>
      </c>
      <c r="M640" s="64">
        <f t="shared" si="242"/>
        <v>0</v>
      </c>
      <c r="Q640" s="64">
        <f t="shared" si="243"/>
        <v>0</v>
      </c>
      <c r="U640" s="64">
        <f t="shared" si="244"/>
        <v>0</v>
      </c>
      <c r="Y640" s="114">
        <f t="shared" si="245"/>
        <v>0</v>
      </c>
      <c r="AC640" s="64">
        <f t="shared" si="246"/>
        <v>0</v>
      </c>
      <c r="AE640" s="71"/>
      <c r="AF640" s="71"/>
      <c r="AG640" s="71">
        <f t="shared" si="247"/>
        <v>0</v>
      </c>
      <c r="AK640" s="64">
        <f t="shared" si="248"/>
        <v>0</v>
      </c>
      <c r="AM640" s="71"/>
      <c r="AN640" s="71"/>
      <c r="AO640" s="71">
        <f t="shared" si="249"/>
        <v>0</v>
      </c>
      <c r="AQ640" s="71"/>
      <c r="AR640" s="71"/>
      <c r="AS640" s="71">
        <f t="shared" si="250"/>
        <v>0</v>
      </c>
      <c r="AU640" s="71"/>
      <c r="AV640" s="71"/>
      <c r="AW640" s="71">
        <f t="shared" si="251"/>
        <v>0</v>
      </c>
      <c r="AY640" s="71"/>
      <c r="AZ640" s="71"/>
      <c r="BA640" s="71">
        <f t="shared" si="252"/>
        <v>0</v>
      </c>
      <c r="BI640" s="71"/>
      <c r="BJ640" s="71"/>
      <c r="BK640" s="71">
        <f t="shared" si="253"/>
        <v>0</v>
      </c>
      <c r="BM640" s="71"/>
      <c r="BN640" s="71"/>
      <c r="BO640" s="71">
        <f t="shared" si="254"/>
        <v>0</v>
      </c>
      <c r="BQ640" s="71"/>
      <c r="BR640" s="71"/>
      <c r="BS640" s="138">
        <f t="shared" si="255"/>
        <v>0</v>
      </c>
      <c r="BU640" s="71"/>
      <c r="BV640" s="71"/>
      <c r="BW640" s="71">
        <f t="shared" si="256"/>
        <v>0</v>
      </c>
      <c r="BZ640" s="71"/>
      <c r="CA640" s="71"/>
      <c r="CB640" s="71">
        <f t="shared" si="257"/>
        <v>0</v>
      </c>
      <c r="CD640" s="71"/>
      <c r="CE640" s="71"/>
      <c r="CF640" s="71">
        <f t="shared" si="258"/>
        <v>0</v>
      </c>
      <c r="CH640" s="71"/>
      <c r="CI640" s="71"/>
      <c r="CJ640" s="138">
        <f t="shared" si="259"/>
        <v>0</v>
      </c>
      <c r="CL640" s="71"/>
      <c r="CM640" s="71"/>
      <c r="CN640" s="71">
        <f t="shared" si="260"/>
        <v>0</v>
      </c>
      <c r="CS640" s="102">
        <f t="shared" si="261"/>
        <v>4.5293954747099576</v>
      </c>
      <c r="CT640" s="102">
        <f t="shared" si="262"/>
        <v>18.675175962423801</v>
      </c>
      <c r="CZ640" s="109" t="str">
        <f t="shared" si="263"/>
        <v>Basso</v>
      </c>
    </row>
    <row r="641" spans="9:104" x14ac:dyDescent="0.15">
      <c r="I641" s="64">
        <f t="shared" si="241"/>
        <v>76.99972307006928</v>
      </c>
      <c r="M641" s="64">
        <f t="shared" si="242"/>
        <v>0</v>
      </c>
      <c r="Q641" s="64">
        <f t="shared" si="243"/>
        <v>0</v>
      </c>
      <c r="U641" s="64">
        <f t="shared" si="244"/>
        <v>0</v>
      </c>
      <c r="Y641" s="114">
        <f t="shared" si="245"/>
        <v>0</v>
      </c>
      <c r="AC641" s="64">
        <f t="shared" si="246"/>
        <v>0</v>
      </c>
      <c r="AE641" s="71"/>
      <c r="AF641" s="71"/>
      <c r="AG641" s="71">
        <f t="shared" si="247"/>
        <v>0</v>
      </c>
      <c r="AK641" s="64">
        <f t="shared" si="248"/>
        <v>0</v>
      </c>
      <c r="AM641" s="71"/>
      <c r="AN641" s="71"/>
      <c r="AO641" s="71">
        <f t="shared" si="249"/>
        <v>0</v>
      </c>
      <c r="AQ641" s="71"/>
      <c r="AR641" s="71"/>
      <c r="AS641" s="71">
        <f t="shared" si="250"/>
        <v>0</v>
      </c>
      <c r="AU641" s="71"/>
      <c r="AV641" s="71"/>
      <c r="AW641" s="71">
        <f t="shared" si="251"/>
        <v>0</v>
      </c>
      <c r="AY641" s="71"/>
      <c r="AZ641" s="71"/>
      <c r="BA641" s="71">
        <f t="shared" si="252"/>
        <v>0</v>
      </c>
      <c r="BI641" s="71"/>
      <c r="BJ641" s="71"/>
      <c r="BK641" s="71">
        <f t="shared" si="253"/>
        <v>0</v>
      </c>
      <c r="BM641" s="71"/>
      <c r="BN641" s="71"/>
      <c r="BO641" s="71">
        <f t="shared" si="254"/>
        <v>0</v>
      </c>
      <c r="BQ641" s="71"/>
      <c r="BR641" s="71"/>
      <c r="BS641" s="138">
        <f t="shared" si="255"/>
        <v>0</v>
      </c>
      <c r="BU641" s="71"/>
      <c r="BV641" s="71"/>
      <c r="BW641" s="71">
        <f t="shared" si="256"/>
        <v>0</v>
      </c>
      <c r="BZ641" s="71"/>
      <c r="CA641" s="71"/>
      <c r="CB641" s="71">
        <f t="shared" si="257"/>
        <v>0</v>
      </c>
      <c r="CD641" s="71"/>
      <c r="CE641" s="71"/>
      <c r="CF641" s="71">
        <f t="shared" si="258"/>
        <v>0</v>
      </c>
      <c r="CH641" s="71"/>
      <c r="CI641" s="71"/>
      <c r="CJ641" s="138">
        <f t="shared" si="259"/>
        <v>0</v>
      </c>
      <c r="CL641" s="71"/>
      <c r="CM641" s="71"/>
      <c r="CN641" s="71">
        <f t="shared" si="260"/>
        <v>0</v>
      </c>
      <c r="CS641" s="102">
        <f t="shared" si="261"/>
        <v>4.5293954747099576</v>
      </c>
      <c r="CT641" s="102">
        <f t="shared" si="262"/>
        <v>18.675175962423801</v>
      </c>
      <c r="CZ641" s="109" t="str">
        <f t="shared" si="263"/>
        <v>Basso</v>
      </c>
    </row>
    <row r="642" spans="9:104" x14ac:dyDescent="0.15">
      <c r="I642" s="64">
        <f t="shared" si="241"/>
        <v>76.99972307006928</v>
      </c>
      <c r="M642" s="64">
        <f t="shared" si="242"/>
        <v>0</v>
      </c>
      <c r="Q642" s="64">
        <f t="shared" si="243"/>
        <v>0</v>
      </c>
      <c r="U642" s="64">
        <f t="shared" si="244"/>
        <v>0</v>
      </c>
      <c r="Y642" s="114">
        <f t="shared" si="245"/>
        <v>0</v>
      </c>
      <c r="AC642" s="64">
        <f t="shared" si="246"/>
        <v>0</v>
      </c>
      <c r="AE642" s="71"/>
      <c r="AF642" s="71"/>
      <c r="AG642" s="71">
        <f t="shared" si="247"/>
        <v>0</v>
      </c>
      <c r="AK642" s="64">
        <f t="shared" si="248"/>
        <v>0</v>
      </c>
      <c r="AM642" s="71"/>
      <c r="AN642" s="71"/>
      <c r="AO642" s="71">
        <f t="shared" si="249"/>
        <v>0</v>
      </c>
      <c r="AQ642" s="71"/>
      <c r="AR642" s="71"/>
      <c r="AS642" s="71">
        <f t="shared" si="250"/>
        <v>0</v>
      </c>
      <c r="AU642" s="71"/>
      <c r="AV642" s="71"/>
      <c r="AW642" s="71">
        <f t="shared" si="251"/>
        <v>0</v>
      </c>
      <c r="AY642" s="71"/>
      <c r="AZ642" s="71"/>
      <c r="BA642" s="71">
        <f t="shared" si="252"/>
        <v>0</v>
      </c>
      <c r="BI642" s="71"/>
      <c r="BJ642" s="71"/>
      <c r="BK642" s="71">
        <f t="shared" si="253"/>
        <v>0</v>
      </c>
      <c r="BM642" s="71"/>
      <c r="BN642" s="71"/>
      <c r="BO642" s="71">
        <f t="shared" si="254"/>
        <v>0</v>
      </c>
      <c r="BQ642" s="71"/>
      <c r="BR642" s="71"/>
      <c r="BS642" s="138">
        <f t="shared" si="255"/>
        <v>0</v>
      </c>
      <c r="BU642" s="71"/>
      <c r="BV642" s="71"/>
      <c r="BW642" s="71">
        <f t="shared" si="256"/>
        <v>0</v>
      </c>
      <c r="BZ642" s="71"/>
      <c r="CA642" s="71"/>
      <c r="CB642" s="71">
        <f t="shared" si="257"/>
        <v>0</v>
      </c>
      <c r="CD642" s="71"/>
      <c r="CE642" s="71"/>
      <c r="CF642" s="71">
        <f t="shared" si="258"/>
        <v>0</v>
      </c>
      <c r="CH642" s="71"/>
      <c r="CI642" s="71"/>
      <c r="CJ642" s="138">
        <f t="shared" si="259"/>
        <v>0</v>
      </c>
      <c r="CL642" s="71"/>
      <c r="CM642" s="71"/>
      <c r="CN642" s="71">
        <f t="shared" si="260"/>
        <v>0</v>
      </c>
      <c r="CS642" s="102">
        <f t="shared" si="261"/>
        <v>4.5293954747099576</v>
      </c>
      <c r="CT642" s="102">
        <f t="shared" si="262"/>
        <v>18.675175962423801</v>
      </c>
      <c r="CZ642" s="109" t="str">
        <f t="shared" si="263"/>
        <v>Basso</v>
      </c>
    </row>
    <row r="643" spans="9:104" x14ac:dyDescent="0.15">
      <c r="I643" s="64">
        <f t="shared" ref="I643:I706" si="264">100 + ((F643 - AVERAGE(F:F)) / STDEV(F:F)) * 10</f>
        <v>76.99972307006928</v>
      </c>
      <c r="M643" s="64">
        <f t="shared" ref="M643:M706" si="265">J643/2</f>
        <v>0</v>
      </c>
      <c r="Q643" s="64">
        <f t="shared" ref="Q643:Q706" si="266">N643/2</f>
        <v>0</v>
      </c>
      <c r="U643" s="64">
        <f t="shared" ref="U643:U706" si="267">R643/3</f>
        <v>0</v>
      </c>
      <c r="Y643" s="114">
        <f t="shared" ref="Y643:Y706" si="268">V643/5</f>
        <v>0</v>
      </c>
      <c r="AC643" s="64">
        <f t="shared" ref="AC643:AC706" si="269">Z643/3</f>
        <v>0</v>
      </c>
      <c r="AE643" s="71"/>
      <c r="AF643" s="71"/>
      <c r="AG643" s="71">
        <f t="shared" ref="AG643:AG706" si="270">AD643/3</f>
        <v>0</v>
      </c>
      <c r="AK643" s="64">
        <f t="shared" ref="AK643:AK706" si="271">AH643/3</f>
        <v>0</v>
      </c>
      <c r="AM643" s="71"/>
      <c r="AN643" s="71"/>
      <c r="AO643" s="71">
        <f t="shared" ref="AO643:AO706" si="272">AL643/4</f>
        <v>0</v>
      </c>
      <c r="AQ643" s="71"/>
      <c r="AR643" s="71"/>
      <c r="AS643" s="71">
        <f t="shared" ref="AS643:AS706" si="273">AP643/3</f>
        <v>0</v>
      </c>
      <c r="AU643" s="71"/>
      <c r="AV643" s="71"/>
      <c r="AW643" s="71">
        <f t="shared" ref="AW643:AW706" si="274">AT643/3</f>
        <v>0</v>
      </c>
      <c r="AY643" s="71"/>
      <c r="AZ643" s="71"/>
      <c r="BA643" s="71">
        <f t="shared" ref="BA643:BA706" si="275">AX643/2</f>
        <v>0</v>
      </c>
      <c r="BI643" s="71"/>
      <c r="BJ643" s="71"/>
      <c r="BK643" s="71">
        <f t="shared" ref="BK643:BK706" si="276">BH643/2</f>
        <v>0</v>
      </c>
      <c r="BM643" s="71"/>
      <c r="BN643" s="71"/>
      <c r="BO643" s="71">
        <f t="shared" ref="BO643:BO706" si="277">BL643/3</f>
        <v>0</v>
      </c>
      <c r="BQ643" s="71"/>
      <c r="BR643" s="71"/>
      <c r="BS643" s="138">
        <f t="shared" ref="BS643:BS706" si="278">BP643/3</f>
        <v>0</v>
      </c>
      <c r="BU643" s="71"/>
      <c r="BV643" s="71"/>
      <c r="BW643" s="71">
        <f t="shared" ref="BW643:BW706" si="279">BT643/3</f>
        <v>0</v>
      </c>
      <c r="BZ643" s="71"/>
      <c r="CA643" s="71"/>
      <c r="CB643" s="71">
        <f t="shared" ref="CB643:CB706" si="280">BY643/3</f>
        <v>0</v>
      </c>
      <c r="CD643" s="71"/>
      <c r="CE643" s="71"/>
      <c r="CF643" s="71">
        <f t="shared" ref="CF643:CF706" si="281">CC643/3</f>
        <v>0</v>
      </c>
      <c r="CH643" s="71"/>
      <c r="CI643" s="71"/>
      <c r="CJ643" s="138">
        <f t="shared" ref="CJ643:CJ706" si="282">CG643/2</f>
        <v>0</v>
      </c>
      <c r="CL643" s="71"/>
      <c r="CM643" s="71"/>
      <c r="CN643" s="71">
        <f t="shared" ref="CN643:CN706" si="283">CK643/3</f>
        <v>0</v>
      </c>
      <c r="CS643" s="102">
        <f t="shared" ref="CS643:CS706" si="284">AVERAGE(I643, M643, Q643, U643, AC643, AG643, AK643, AO643, AS643, AW643, BA643, BK643, BO643, BW643, CB643, CF643, CN643)</f>
        <v>4.5293954747099576</v>
      </c>
      <c r="CT643" s="102">
        <f t="shared" ref="CT643:CT706" si="285">STDEV(I643, M643, Q643, U643, AC643, AG643, AK643, AO643, AS643, AW643, BA643, BK643, BO643, BW643, CB643, CF643, CN643)</f>
        <v>18.675175962423801</v>
      </c>
      <c r="CZ643" s="109" t="str">
        <f t="shared" ref="CZ643:CZ706" si="286">IF(CV643&lt;95.9069994, "Basso", IF(CV643&lt;99.02062343, "Medio-Basso", IF(CV643&lt;103.58108, "Medio-Alto", "Alto")))</f>
        <v>Basso</v>
      </c>
    </row>
    <row r="644" spans="9:104" x14ac:dyDescent="0.15">
      <c r="I644" s="64">
        <f t="shared" si="264"/>
        <v>76.99972307006928</v>
      </c>
      <c r="M644" s="64">
        <f t="shared" si="265"/>
        <v>0</v>
      </c>
      <c r="Q644" s="64">
        <f t="shared" si="266"/>
        <v>0</v>
      </c>
      <c r="U644" s="64">
        <f t="shared" si="267"/>
        <v>0</v>
      </c>
      <c r="Y644" s="114">
        <f t="shared" si="268"/>
        <v>0</v>
      </c>
      <c r="AC644" s="64">
        <f t="shared" si="269"/>
        <v>0</v>
      </c>
      <c r="AE644" s="71"/>
      <c r="AF644" s="71"/>
      <c r="AG644" s="71">
        <f t="shared" si="270"/>
        <v>0</v>
      </c>
      <c r="AK644" s="64">
        <f t="shared" si="271"/>
        <v>0</v>
      </c>
      <c r="AM644" s="71"/>
      <c r="AN644" s="71"/>
      <c r="AO644" s="71">
        <f t="shared" si="272"/>
        <v>0</v>
      </c>
      <c r="AQ644" s="71"/>
      <c r="AR644" s="71"/>
      <c r="AS644" s="71">
        <f t="shared" si="273"/>
        <v>0</v>
      </c>
      <c r="AU644" s="71"/>
      <c r="AV644" s="71"/>
      <c r="AW644" s="71">
        <f t="shared" si="274"/>
        <v>0</v>
      </c>
      <c r="AY644" s="71"/>
      <c r="AZ644" s="71"/>
      <c r="BA644" s="71">
        <f t="shared" si="275"/>
        <v>0</v>
      </c>
      <c r="BI644" s="71"/>
      <c r="BJ644" s="71"/>
      <c r="BK644" s="71">
        <f t="shared" si="276"/>
        <v>0</v>
      </c>
      <c r="BM644" s="71"/>
      <c r="BN644" s="71"/>
      <c r="BO644" s="71">
        <f t="shared" si="277"/>
        <v>0</v>
      </c>
      <c r="BQ644" s="71"/>
      <c r="BR644" s="71"/>
      <c r="BS644" s="138">
        <f t="shared" si="278"/>
        <v>0</v>
      </c>
      <c r="BU644" s="71"/>
      <c r="BV644" s="71"/>
      <c r="BW644" s="71">
        <f t="shared" si="279"/>
        <v>0</v>
      </c>
      <c r="BZ644" s="71"/>
      <c r="CA644" s="71"/>
      <c r="CB644" s="71">
        <f t="shared" si="280"/>
        <v>0</v>
      </c>
      <c r="CD644" s="71"/>
      <c r="CE644" s="71"/>
      <c r="CF644" s="71">
        <f t="shared" si="281"/>
        <v>0</v>
      </c>
      <c r="CH644" s="71"/>
      <c r="CI644" s="71"/>
      <c r="CJ644" s="138">
        <f t="shared" si="282"/>
        <v>0</v>
      </c>
      <c r="CL644" s="71"/>
      <c r="CM644" s="71"/>
      <c r="CN644" s="71">
        <f t="shared" si="283"/>
        <v>0</v>
      </c>
      <c r="CS644" s="102">
        <f t="shared" si="284"/>
        <v>4.5293954747099576</v>
      </c>
      <c r="CT644" s="102">
        <f t="shared" si="285"/>
        <v>18.675175962423801</v>
      </c>
      <c r="CZ644" s="109" t="str">
        <f t="shared" si="286"/>
        <v>Basso</v>
      </c>
    </row>
    <row r="645" spans="9:104" x14ac:dyDescent="0.15">
      <c r="I645" s="64">
        <f t="shared" si="264"/>
        <v>76.99972307006928</v>
      </c>
      <c r="M645" s="64">
        <f t="shared" si="265"/>
        <v>0</v>
      </c>
      <c r="Q645" s="64">
        <f t="shared" si="266"/>
        <v>0</v>
      </c>
      <c r="U645" s="64">
        <f t="shared" si="267"/>
        <v>0</v>
      </c>
      <c r="Y645" s="114">
        <f t="shared" si="268"/>
        <v>0</v>
      </c>
      <c r="AC645" s="64">
        <f t="shared" si="269"/>
        <v>0</v>
      </c>
      <c r="AE645" s="71"/>
      <c r="AF645" s="71"/>
      <c r="AG645" s="71">
        <f t="shared" si="270"/>
        <v>0</v>
      </c>
      <c r="AK645" s="64">
        <f t="shared" si="271"/>
        <v>0</v>
      </c>
      <c r="AM645" s="71"/>
      <c r="AN645" s="71"/>
      <c r="AO645" s="71">
        <f t="shared" si="272"/>
        <v>0</v>
      </c>
      <c r="AQ645" s="71"/>
      <c r="AR645" s="71"/>
      <c r="AS645" s="71">
        <f t="shared" si="273"/>
        <v>0</v>
      </c>
      <c r="AU645" s="71"/>
      <c r="AV645" s="71"/>
      <c r="AW645" s="71">
        <f t="shared" si="274"/>
        <v>0</v>
      </c>
      <c r="AY645" s="71"/>
      <c r="AZ645" s="71"/>
      <c r="BA645" s="71">
        <f t="shared" si="275"/>
        <v>0</v>
      </c>
      <c r="BI645" s="71"/>
      <c r="BJ645" s="71"/>
      <c r="BK645" s="71">
        <f t="shared" si="276"/>
        <v>0</v>
      </c>
      <c r="BM645" s="71"/>
      <c r="BN645" s="71"/>
      <c r="BO645" s="71">
        <f t="shared" si="277"/>
        <v>0</v>
      </c>
      <c r="BQ645" s="71"/>
      <c r="BR645" s="71"/>
      <c r="BS645" s="138">
        <f t="shared" si="278"/>
        <v>0</v>
      </c>
      <c r="BU645" s="71"/>
      <c r="BV645" s="71"/>
      <c r="BW645" s="71">
        <f t="shared" si="279"/>
        <v>0</v>
      </c>
      <c r="BZ645" s="71"/>
      <c r="CA645" s="71"/>
      <c r="CB645" s="71">
        <f t="shared" si="280"/>
        <v>0</v>
      </c>
      <c r="CD645" s="71"/>
      <c r="CE645" s="71"/>
      <c r="CF645" s="71">
        <f t="shared" si="281"/>
        <v>0</v>
      </c>
      <c r="CH645" s="71"/>
      <c r="CI645" s="71"/>
      <c r="CJ645" s="138">
        <f t="shared" si="282"/>
        <v>0</v>
      </c>
      <c r="CL645" s="71"/>
      <c r="CM645" s="71"/>
      <c r="CN645" s="71">
        <f t="shared" si="283"/>
        <v>0</v>
      </c>
      <c r="CS645" s="102">
        <f t="shared" si="284"/>
        <v>4.5293954747099576</v>
      </c>
      <c r="CT645" s="102">
        <f t="shared" si="285"/>
        <v>18.675175962423801</v>
      </c>
      <c r="CZ645" s="109" t="str">
        <f t="shared" si="286"/>
        <v>Basso</v>
      </c>
    </row>
    <row r="646" spans="9:104" x14ac:dyDescent="0.15">
      <c r="I646" s="64">
        <f t="shared" si="264"/>
        <v>76.99972307006928</v>
      </c>
      <c r="M646" s="64">
        <f t="shared" si="265"/>
        <v>0</v>
      </c>
      <c r="Q646" s="64">
        <f t="shared" si="266"/>
        <v>0</v>
      </c>
      <c r="U646" s="64">
        <f t="shared" si="267"/>
        <v>0</v>
      </c>
      <c r="Y646" s="114">
        <f t="shared" si="268"/>
        <v>0</v>
      </c>
      <c r="AC646" s="64">
        <f t="shared" si="269"/>
        <v>0</v>
      </c>
      <c r="AE646" s="71"/>
      <c r="AF646" s="71"/>
      <c r="AG646" s="71">
        <f t="shared" si="270"/>
        <v>0</v>
      </c>
      <c r="AK646" s="64">
        <f t="shared" si="271"/>
        <v>0</v>
      </c>
      <c r="AM646" s="71"/>
      <c r="AN646" s="71"/>
      <c r="AO646" s="71">
        <f t="shared" si="272"/>
        <v>0</v>
      </c>
      <c r="AQ646" s="71"/>
      <c r="AR646" s="71"/>
      <c r="AS646" s="71">
        <f t="shared" si="273"/>
        <v>0</v>
      </c>
      <c r="AU646" s="71"/>
      <c r="AV646" s="71"/>
      <c r="AW646" s="71">
        <f t="shared" si="274"/>
        <v>0</v>
      </c>
      <c r="AY646" s="71"/>
      <c r="AZ646" s="71"/>
      <c r="BA646" s="71">
        <f t="shared" si="275"/>
        <v>0</v>
      </c>
      <c r="BI646" s="71"/>
      <c r="BJ646" s="71"/>
      <c r="BK646" s="71">
        <f t="shared" si="276"/>
        <v>0</v>
      </c>
      <c r="BM646" s="71"/>
      <c r="BN646" s="71"/>
      <c r="BO646" s="71">
        <f t="shared" si="277"/>
        <v>0</v>
      </c>
      <c r="BQ646" s="71"/>
      <c r="BR646" s="71"/>
      <c r="BS646" s="138">
        <f t="shared" si="278"/>
        <v>0</v>
      </c>
      <c r="BU646" s="71"/>
      <c r="BV646" s="71"/>
      <c r="BW646" s="71">
        <f t="shared" si="279"/>
        <v>0</v>
      </c>
      <c r="BZ646" s="71"/>
      <c r="CA646" s="71"/>
      <c r="CB646" s="71">
        <f t="shared" si="280"/>
        <v>0</v>
      </c>
      <c r="CD646" s="71"/>
      <c r="CE646" s="71"/>
      <c r="CF646" s="71">
        <f t="shared" si="281"/>
        <v>0</v>
      </c>
      <c r="CH646" s="71"/>
      <c r="CI646" s="71"/>
      <c r="CJ646" s="138">
        <f t="shared" si="282"/>
        <v>0</v>
      </c>
      <c r="CL646" s="71"/>
      <c r="CM646" s="71"/>
      <c r="CN646" s="71">
        <f t="shared" si="283"/>
        <v>0</v>
      </c>
      <c r="CS646" s="102">
        <f t="shared" si="284"/>
        <v>4.5293954747099576</v>
      </c>
      <c r="CT646" s="102">
        <f t="shared" si="285"/>
        <v>18.675175962423801</v>
      </c>
      <c r="CZ646" s="109" t="str">
        <f t="shared" si="286"/>
        <v>Basso</v>
      </c>
    </row>
    <row r="647" spans="9:104" x14ac:dyDescent="0.15">
      <c r="I647" s="64">
        <f t="shared" si="264"/>
        <v>76.99972307006928</v>
      </c>
      <c r="M647" s="64">
        <f t="shared" si="265"/>
        <v>0</v>
      </c>
      <c r="Q647" s="64">
        <f t="shared" si="266"/>
        <v>0</v>
      </c>
      <c r="U647" s="64">
        <f t="shared" si="267"/>
        <v>0</v>
      </c>
      <c r="Y647" s="114">
        <f t="shared" si="268"/>
        <v>0</v>
      </c>
      <c r="AC647" s="64">
        <f t="shared" si="269"/>
        <v>0</v>
      </c>
      <c r="AE647" s="71"/>
      <c r="AF647" s="71"/>
      <c r="AG647" s="71">
        <f t="shared" si="270"/>
        <v>0</v>
      </c>
      <c r="AK647" s="64">
        <f t="shared" si="271"/>
        <v>0</v>
      </c>
      <c r="AM647" s="71"/>
      <c r="AN647" s="71"/>
      <c r="AO647" s="71">
        <f t="shared" si="272"/>
        <v>0</v>
      </c>
      <c r="AQ647" s="71"/>
      <c r="AR647" s="71"/>
      <c r="AS647" s="71">
        <f t="shared" si="273"/>
        <v>0</v>
      </c>
      <c r="AU647" s="71"/>
      <c r="AV647" s="71"/>
      <c r="AW647" s="71">
        <f t="shared" si="274"/>
        <v>0</v>
      </c>
      <c r="AY647" s="71"/>
      <c r="AZ647" s="71"/>
      <c r="BA647" s="71">
        <f t="shared" si="275"/>
        <v>0</v>
      </c>
      <c r="BI647" s="71"/>
      <c r="BJ647" s="71"/>
      <c r="BK647" s="71">
        <f t="shared" si="276"/>
        <v>0</v>
      </c>
      <c r="BM647" s="71"/>
      <c r="BN647" s="71"/>
      <c r="BO647" s="71">
        <f t="shared" si="277"/>
        <v>0</v>
      </c>
      <c r="BQ647" s="71"/>
      <c r="BR647" s="71"/>
      <c r="BS647" s="138">
        <f t="shared" si="278"/>
        <v>0</v>
      </c>
      <c r="BU647" s="71"/>
      <c r="BV647" s="71"/>
      <c r="BW647" s="71">
        <f t="shared" si="279"/>
        <v>0</v>
      </c>
      <c r="BZ647" s="71"/>
      <c r="CA647" s="71"/>
      <c r="CB647" s="71">
        <f t="shared" si="280"/>
        <v>0</v>
      </c>
      <c r="CD647" s="71"/>
      <c r="CE647" s="71"/>
      <c r="CF647" s="71">
        <f t="shared" si="281"/>
        <v>0</v>
      </c>
      <c r="CH647" s="71"/>
      <c r="CI647" s="71"/>
      <c r="CJ647" s="138">
        <f t="shared" si="282"/>
        <v>0</v>
      </c>
      <c r="CL647" s="71"/>
      <c r="CM647" s="71"/>
      <c r="CN647" s="71">
        <f t="shared" si="283"/>
        <v>0</v>
      </c>
      <c r="CS647" s="102">
        <f t="shared" si="284"/>
        <v>4.5293954747099576</v>
      </c>
      <c r="CT647" s="102">
        <f t="shared" si="285"/>
        <v>18.675175962423801</v>
      </c>
      <c r="CZ647" s="109" t="str">
        <f t="shared" si="286"/>
        <v>Basso</v>
      </c>
    </row>
    <row r="648" spans="9:104" x14ac:dyDescent="0.15">
      <c r="I648" s="64">
        <f t="shared" si="264"/>
        <v>76.99972307006928</v>
      </c>
      <c r="M648" s="64">
        <f t="shared" si="265"/>
        <v>0</v>
      </c>
      <c r="Q648" s="64">
        <f t="shared" si="266"/>
        <v>0</v>
      </c>
      <c r="U648" s="64">
        <f t="shared" si="267"/>
        <v>0</v>
      </c>
      <c r="Y648" s="114">
        <f t="shared" si="268"/>
        <v>0</v>
      </c>
      <c r="AC648" s="64">
        <f t="shared" si="269"/>
        <v>0</v>
      </c>
      <c r="AE648" s="71"/>
      <c r="AF648" s="71"/>
      <c r="AG648" s="71">
        <f t="shared" si="270"/>
        <v>0</v>
      </c>
      <c r="AK648" s="64">
        <f t="shared" si="271"/>
        <v>0</v>
      </c>
      <c r="AM648" s="71"/>
      <c r="AN648" s="71"/>
      <c r="AO648" s="71">
        <f t="shared" si="272"/>
        <v>0</v>
      </c>
      <c r="AQ648" s="71"/>
      <c r="AR648" s="71"/>
      <c r="AS648" s="71">
        <f t="shared" si="273"/>
        <v>0</v>
      </c>
      <c r="AU648" s="71"/>
      <c r="AV648" s="71"/>
      <c r="AW648" s="71">
        <f t="shared" si="274"/>
        <v>0</v>
      </c>
      <c r="AY648" s="71"/>
      <c r="AZ648" s="71"/>
      <c r="BA648" s="71">
        <f t="shared" si="275"/>
        <v>0</v>
      </c>
      <c r="BI648" s="71"/>
      <c r="BJ648" s="71"/>
      <c r="BK648" s="71">
        <f t="shared" si="276"/>
        <v>0</v>
      </c>
      <c r="BM648" s="71"/>
      <c r="BN648" s="71"/>
      <c r="BO648" s="71">
        <f t="shared" si="277"/>
        <v>0</v>
      </c>
      <c r="BQ648" s="71"/>
      <c r="BR648" s="71"/>
      <c r="BS648" s="138">
        <f t="shared" si="278"/>
        <v>0</v>
      </c>
      <c r="BU648" s="71"/>
      <c r="BV648" s="71"/>
      <c r="BW648" s="71">
        <f t="shared" si="279"/>
        <v>0</v>
      </c>
      <c r="BZ648" s="71"/>
      <c r="CA648" s="71"/>
      <c r="CB648" s="71">
        <f t="shared" si="280"/>
        <v>0</v>
      </c>
      <c r="CD648" s="71"/>
      <c r="CE648" s="71"/>
      <c r="CF648" s="71">
        <f t="shared" si="281"/>
        <v>0</v>
      </c>
      <c r="CH648" s="71"/>
      <c r="CI648" s="71"/>
      <c r="CJ648" s="138">
        <f t="shared" si="282"/>
        <v>0</v>
      </c>
      <c r="CL648" s="71"/>
      <c r="CM648" s="71"/>
      <c r="CN648" s="71">
        <f t="shared" si="283"/>
        <v>0</v>
      </c>
      <c r="CS648" s="102">
        <f t="shared" si="284"/>
        <v>4.5293954747099576</v>
      </c>
      <c r="CT648" s="102">
        <f t="shared" si="285"/>
        <v>18.675175962423801</v>
      </c>
      <c r="CZ648" s="109" t="str">
        <f t="shared" si="286"/>
        <v>Basso</v>
      </c>
    </row>
    <row r="649" spans="9:104" x14ac:dyDescent="0.15">
      <c r="I649" s="64">
        <f t="shared" si="264"/>
        <v>76.99972307006928</v>
      </c>
      <c r="M649" s="64">
        <f t="shared" si="265"/>
        <v>0</v>
      </c>
      <c r="Q649" s="64">
        <f t="shared" si="266"/>
        <v>0</v>
      </c>
      <c r="U649" s="64">
        <f t="shared" si="267"/>
        <v>0</v>
      </c>
      <c r="Y649" s="114">
        <f t="shared" si="268"/>
        <v>0</v>
      </c>
      <c r="AC649" s="64">
        <f t="shared" si="269"/>
        <v>0</v>
      </c>
      <c r="AE649" s="71"/>
      <c r="AF649" s="71"/>
      <c r="AG649" s="71">
        <f t="shared" si="270"/>
        <v>0</v>
      </c>
      <c r="AK649" s="64">
        <f t="shared" si="271"/>
        <v>0</v>
      </c>
      <c r="AM649" s="71"/>
      <c r="AN649" s="71"/>
      <c r="AO649" s="71">
        <f t="shared" si="272"/>
        <v>0</v>
      </c>
      <c r="AQ649" s="71"/>
      <c r="AR649" s="71"/>
      <c r="AS649" s="71">
        <f t="shared" si="273"/>
        <v>0</v>
      </c>
      <c r="AU649" s="71"/>
      <c r="AV649" s="71"/>
      <c r="AW649" s="71">
        <f t="shared" si="274"/>
        <v>0</v>
      </c>
      <c r="AY649" s="71"/>
      <c r="AZ649" s="71"/>
      <c r="BA649" s="71">
        <f t="shared" si="275"/>
        <v>0</v>
      </c>
      <c r="BI649" s="71"/>
      <c r="BJ649" s="71"/>
      <c r="BK649" s="71">
        <f t="shared" si="276"/>
        <v>0</v>
      </c>
      <c r="BM649" s="71"/>
      <c r="BN649" s="71"/>
      <c r="BO649" s="71">
        <f t="shared" si="277"/>
        <v>0</v>
      </c>
      <c r="BQ649" s="71"/>
      <c r="BR649" s="71"/>
      <c r="BS649" s="138">
        <f t="shared" si="278"/>
        <v>0</v>
      </c>
      <c r="BU649" s="71"/>
      <c r="BV649" s="71"/>
      <c r="BW649" s="71">
        <f t="shared" si="279"/>
        <v>0</v>
      </c>
      <c r="BZ649" s="71"/>
      <c r="CA649" s="71"/>
      <c r="CB649" s="71">
        <f t="shared" si="280"/>
        <v>0</v>
      </c>
      <c r="CD649" s="71"/>
      <c r="CE649" s="71"/>
      <c r="CF649" s="71">
        <f t="shared" si="281"/>
        <v>0</v>
      </c>
      <c r="CH649" s="71"/>
      <c r="CI649" s="71"/>
      <c r="CJ649" s="138">
        <f t="shared" si="282"/>
        <v>0</v>
      </c>
      <c r="CL649" s="71"/>
      <c r="CM649" s="71"/>
      <c r="CN649" s="71">
        <f t="shared" si="283"/>
        <v>0</v>
      </c>
      <c r="CS649" s="102">
        <f t="shared" si="284"/>
        <v>4.5293954747099576</v>
      </c>
      <c r="CT649" s="102">
        <f t="shared" si="285"/>
        <v>18.675175962423801</v>
      </c>
      <c r="CZ649" s="109" t="str">
        <f t="shared" si="286"/>
        <v>Basso</v>
      </c>
    </row>
    <row r="650" spans="9:104" x14ac:dyDescent="0.15">
      <c r="I650" s="64">
        <f t="shared" si="264"/>
        <v>76.99972307006928</v>
      </c>
      <c r="M650" s="64">
        <f t="shared" si="265"/>
        <v>0</v>
      </c>
      <c r="Q650" s="64">
        <f t="shared" si="266"/>
        <v>0</v>
      </c>
      <c r="U650" s="64">
        <f t="shared" si="267"/>
        <v>0</v>
      </c>
      <c r="Y650" s="114">
        <f t="shared" si="268"/>
        <v>0</v>
      </c>
      <c r="AC650" s="64">
        <f t="shared" si="269"/>
        <v>0</v>
      </c>
      <c r="AE650" s="71"/>
      <c r="AF650" s="71"/>
      <c r="AG650" s="71">
        <f t="shared" si="270"/>
        <v>0</v>
      </c>
      <c r="AK650" s="64">
        <f t="shared" si="271"/>
        <v>0</v>
      </c>
      <c r="AM650" s="71"/>
      <c r="AN650" s="71"/>
      <c r="AO650" s="71">
        <f t="shared" si="272"/>
        <v>0</v>
      </c>
      <c r="AQ650" s="71"/>
      <c r="AR650" s="71"/>
      <c r="AS650" s="71">
        <f t="shared" si="273"/>
        <v>0</v>
      </c>
      <c r="AU650" s="71"/>
      <c r="AV650" s="71"/>
      <c r="AW650" s="71">
        <f t="shared" si="274"/>
        <v>0</v>
      </c>
      <c r="AY650" s="71"/>
      <c r="AZ650" s="71"/>
      <c r="BA650" s="71">
        <f t="shared" si="275"/>
        <v>0</v>
      </c>
      <c r="BI650" s="71"/>
      <c r="BJ650" s="71"/>
      <c r="BK650" s="71">
        <f t="shared" si="276"/>
        <v>0</v>
      </c>
      <c r="BM650" s="71"/>
      <c r="BN650" s="71"/>
      <c r="BO650" s="71">
        <f t="shared" si="277"/>
        <v>0</v>
      </c>
      <c r="BQ650" s="71"/>
      <c r="BR650" s="71"/>
      <c r="BS650" s="138">
        <f t="shared" si="278"/>
        <v>0</v>
      </c>
      <c r="BU650" s="71"/>
      <c r="BV650" s="71"/>
      <c r="BW650" s="71">
        <f t="shared" si="279"/>
        <v>0</v>
      </c>
      <c r="BZ650" s="71"/>
      <c r="CA650" s="71"/>
      <c r="CB650" s="71">
        <f t="shared" si="280"/>
        <v>0</v>
      </c>
      <c r="CD650" s="71"/>
      <c r="CE650" s="71"/>
      <c r="CF650" s="71">
        <f t="shared" si="281"/>
        <v>0</v>
      </c>
      <c r="CH650" s="71"/>
      <c r="CI650" s="71"/>
      <c r="CJ650" s="138">
        <f t="shared" si="282"/>
        <v>0</v>
      </c>
      <c r="CL650" s="71"/>
      <c r="CM650" s="71"/>
      <c r="CN650" s="71">
        <f t="shared" si="283"/>
        <v>0</v>
      </c>
      <c r="CS650" s="102">
        <f t="shared" si="284"/>
        <v>4.5293954747099576</v>
      </c>
      <c r="CT650" s="102">
        <f t="shared" si="285"/>
        <v>18.675175962423801</v>
      </c>
      <c r="CZ650" s="109" t="str">
        <f t="shared" si="286"/>
        <v>Basso</v>
      </c>
    </row>
    <row r="651" spans="9:104" x14ac:dyDescent="0.15">
      <c r="I651" s="64">
        <f t="shared" si="264"/>
        <v>76.99972307006928</v>
      </c>
      <c r="M651" s="64">
        <f t="shared" si="265"/>
        <v>0</v>
      </c>
      <c r="Q651" s="64">
        <f t="shared" si="266"/>
        <v>0</v>
      </c>
      <c r="U651" s="64">
        <f t="shared" si="267"/>
        <v>0</v>
      </c>
      <c r="Y651" s="114">
        <f t="shared" si="268"/>
        <v>0</v>
      </c>
      <c r="AC651" s="64">
        <f t="shared" si="269"/>
        <v>0</v>
      </c>
      <c r="AE651" s="71"/>
      <c r="AF651" s="71"/>
      <c r="AG651" s="71">
        <f t="shared" si="270"/>
        <v>0</v>
      </c>
      <c r="AK651" s="64">
        <f t="shared" si="271"/>
        <v>0</v>
      </c>
      <c r="AM651" s="71"/>
      <c r="AN651" s="71"/>
      <c r="AO651" s="71">
        <f t="shared" si="272"/>
        <v>0</v>
      </c>
      <c r="AQ651" s="71"/>
      <c r="AR651" s="71"/>
      <c r="AS651" s="71">
        <f t="shared" si="273"/>
        <v>0</v>
      </c>
      <c r="AU651" s="71"/>
      <c r="AV651" s="71"/>
      <c r="AW651" s="71">
        <f t="shared" si="274"/>
        <v>0</v>
      </c>
      <c r="AY651" s="71"/>
      <c r="AZ651" s="71"/>
      <c r="BA651" s="71">
        <f t="shared" si="275"/>
        <v>0</v>
      </c>
      <c r="BI651" s="71"/>
      <c r="BJ651" s="71"/>
      <c r="BK651" s="71">
        <f t="shared" si="276"/>
        <v>0</v>
      </c>
      <c r="BM651" s="71"/>
      <c r="BN651" s="71"/>
      <c r="BO651" s="71">
        <f t="shared" si="277"/>
        <v>0</v>
      </c>
      <c r="BQ651" s="71"/>
      <c r="BR651" s="71"/>
      <c r="BS651" s="138">
        <f t="shared" si="278"/>
        <v>0</v>
      </c>
      <c r="BU651" s="71"/>
      <c r="BV651" s="71"/>
      <c r="BW651" s="71">
        <f t="shared" si="279"/>
        <v>0</v>
      </c>
      <c r="BZ651" s="71"/>
      <c r="CA651" s="71"/>
      <c r="CB651" s="71">
        <f t="shared" si="280"/>
        <v>0</v>
      </c>
      <c r="CD651" s="71"/>
      <c r="CE651" s="71"/>
      <c r="CF651" s="71">
        <f t="shared" si="281"/>
        <v>0</v>
      </c>
      <c r="CH651" s="71"/>
      <c r="CI651" s="71"/>
      <c r="CJ651" s="138">
        <f t="shared" si="282"/>
        <v>0</v>
      </c>
      <c r="CL651" s="71"/>
      <c r="CM651" s="71"/>
      <c r="CN651" s="71">
        <f t="shared" si="283"/>
        <v>0</v>
      </c>
      <c r="CS651" s="102">
        <f t="shared" si="284"/>
        <v>4.5293954747099576</v>
      </c>
      <c r="CT651" s="102">
        <f t="shared" si="285"/>
        <v>18.675175962423801</v>
      </c>
      <c r="CZ651" s="109" t="str">
        <f t="shared" si="286"/>
        <v>Basso</v>
      </c>
    </row>
    <row r="652" spans="9:104" x14ac:dyDescent="0.15">
      <c r="I652" s="64">
        <f t="shared" si="264"/>
        <v>76.99972307006928</v>
      </c>
      <c r="M652" s="64">
        <f t="shared" si="265"/>
        <v>0</v>
      </c>
      <c r="Q652" s="64">
        <f t="shared" si="266"/>
        <v>0</v>
      </c>
      <c r="U652" s="64">
        <f t="shared" si="267"/>
        <v>0</v>
      </c>
      <c r="Y652" s="114">
        <f t="shared" si="268"/>
        <v>0</v>
      </c>
      <c r="AC652" s="64">
        <f t="shared" si="269"/>
        <v>0</v>
      </c>
      <c r="AE652" s="71"/>
      <c r="AF652" s="71"/>
      <c r="AG652" s="71">
        <f t="shared" si="270"/>
        <v>0</v>
      </c>
      <c r="AK652" s="64">
        <f t="shared" si="271"/>
        <v>0</v>
      </c>
      <c r="AM652" s="71"/>
      <c r="AN652" s="71"/>
      <c r="AO652" s="71">
        <f t="shared" si="272"/>
        <v>0</v>
      </c>
      <c r="AQ652" s="71"/>
      <c r="AR652" s="71"/>
      <c r="AS652" s="71">
        <f t="shared" si="273"/>
        <v>0</v>
      </c>
      <c r="AU652" s="71"/>
      <c r="AV652" s="71"/>
      <c r="AW652" s="71">
        <f t="shared" si="274"/>
        <v>0</v>
      </c>
      <c r="AY652" s="71"/>
      <c r="AZ652" s="71"/>
      <c r="BA652" s="71">
        <f t="shared" si="275"/>
        <v>0</v>
      </c>
      <c r="BI652" s="71"/>
      <c r="BJ652" s="71"/>
      <c r="BK652" s="71">
        <f t="shared" si="276"/>
        <v>0</v>
      </c>
      <c r="BM652" s="71"/>
      <c r="BN652" s="71"/>
      <c r="BO652" s="71">
        <f t="shared" si="277"/>
        <v>0</v>
      </c>
      <c r="BQ652" s="71"/>
      <c r="BR652" s="71"/>
      <c r="BS652" s="138">
        <f t="shared" si="278"/>
        <v>0</v>
      </c>
      <c r="BU652" s="71"/>
      <c r="BV652" s="71"/>
      <c r="BW652" s="71">
        <f t="shared" si="279"/>
        <v>0</v>
      </c>
      <c r="BZ652" s="71"/>
      <c r="CA652" s="71"/>
      <c r="CB652" s="71">
        <f t="shared" si="280"/>
        <v>0</v>
      </c>
      <c r="CD652" s="71"/>
      <c r="CE652" s="71"/>
      <c r="CF652" s="71">
        <f t="shared" si="281"/>
        <v>0</v>
      </c>
      <c r="CH652" s="71"/>
      <c r="CI652" s="71"/>
      <c r="CJ652" s="138">
        <f t="shared" si="282"/>
        <v>0</v>
      </c>
      <c r="CL652" s="71"/>
      <c r="CM652" s="71"/>
      <c r="CN652" s="71">
        <f t="shared" si="283"/>
        <v>0</v>
      </c>
      <c r="CS652" s="102">
        <f t="shared" si="284"/>
        <v>4.5293954747099576</v>
      </c>
      <c r="CT652" s="102">
        <f t="shared" si="285"/>
        <v>18.675175962423801</v>
      </c>
      <c r="CZ652" s="109" t="str">
        <f t="shared" si="286"/>
        <v>Basso</v>
      </c>
    </row>
    <row r="653" spans="9:104" x14ac:dyDescent="0.15">
      <c r="I653" s="64">
        <f t="shared" si="264"/>
        <v>76.99972307006928</v>
      </c>
      <c r="M653" s="64">
        <f t="shared" si="265"/>
        <v>0</v>
      </c>
      <c r="Q653" s="64">
        <f t="shared" si="266"/>
        <v>0</v>
      </c>
      <c r="U653" s="64">
        <f t="shared" si="267"/>
        <v>0</v>
      </c>
      <c r="Y653" s="114">
        <f t="shared" si="268"/>
        <v>0</v>
      </c>
      <c r="AC653" s="64">
        <f t="shared" si="269"/>
        <v>0</v>
      </c>
      <c r="AE653" s="71"/>
      <c r="AF653" s="71"/>
      <c r="AG653" s="71">
        <f t="shared" si="270"/>
        <v>0</v>
      </c>
      <c r="AK653" s="64">
        <f t="shared" si="271"/>
        <v>0</v>
      </c>
      <c r="AM653" s="71"/>
      <c r="AN653" s="71"/>
      <c r="AO653" s="71">
        <f t="shared" si="272"/>
        <v>0</v>
      </c>
      <c r="AQ653" s="71"/>
      <c r="AR653" s="71"/>
      <c r="AS653" s="71">
        <f t="shared" si="273"/>
        <v>0</v>
      </c>
      <c r="AU653" s="71"/>
      <c r="AV653" s="71"/>
      <c r="AW653" s="71">
        <f t="shared" si="274"/>
        <v>0</v>
      </c>
      <c r="AY653" s="71"/>
      <c r="AZ653" s="71"/>
      <c r="BA653" s="71">
        <f t="shared" si="275"/>
        <v>0</v>
      </c>
      <c r="BI653" s="71"/>
      <c r="BJ653" s="71"/>
      <c r="BK653" s="71">
        <f t="shared" si="276"/>
        <v>0</v>
      </c>
      <c r="BM653" s="71"/>
      <c r="BN653" s="71"/>
      <c r="BO653" s="71">
        <f t="shared" si="277"/>
        <v>0</v>
      </c>
      <c r="BQ653" s="71"/>
      <c r="BR653" s="71"/>
      <c r="BS653" s="138">
        <f t="shared" si="278"/>
        <v>0</v>
      </c>
      <c r="BU653" s="71"/>
      <c r="BV653" s="71"/>
      <c r="BW653" s="71">
        <f t="shared" si="279"/>
        <v>0</v>
      </c>
      <c r="BZ653" s="71"/>
      <c r="CA653" s="71"/>
      <c r="CB653" s="71">
        <f t="shared" si="280"/>
        <v>0</v>
      </c>
      <c r="CD653" s="71"/>
      <c r="CE653" s="71"/>
      <c r="CF653" s="71">
        <f t="shared" si="281"/>
        <v>0</v>
      </c>
      <c r="CH653" s="71"/>
      <c r="CI653" s="71"/>
      <c r="CJ653" s="138">
        <f t="shared" si="282"/>
        <v>0</v>
      </c>
      <c r="CL653" s="71"/>
      <c r="CM653" s="71"/>
      <c r="CN653" s="71">
        <f t="shared" si="283"/>
        <v>0</v>
      </c>
      <c r="CS653" s="102">
        <f t="shared" si="284"/>
        <v>4.5293954747099576</v>
      </c>
      <c r="CT653" s="102">
        <f t="shared" si="285"/>
        <v>18.675175962423801</v>
      </c>
      <c r="CZ653" s="109" t="str">
        <f t="shared" si="286"/>
        <v>Basso</v>
      </c>
    </row>
    <row r="654" spans="9:104" x14ac:dyDescent="0.15">
      <c r="I654" s="64">
        <f t="shared" si="264"/>
        <v>76.99972307006928</v>
      </c>
      <c r="M654" s="64">
        <f t="shared" si="265"/>
        <v>0</v>
      </c>
      <c r="Q654" s="64">
        <f t="shared" si="266"/>
        <v>0</v>
      </c>
      <c r="U654" s="64">
        <f t="shared" si="267"/>
        <v>0</v>
      </c>
      <c r="Y654" s="114">
        <f t="shared" si="268"/>
        <v>0</v>
      </c>
      <c r="AC654" s="64">
        <f t="shared" si="269"/>
        <v>0</v>
      </c>
      <c r="AE654" s="71"/>
      <c r="AF654" s="71"/>
      <c r="AG654" s="71">
        <f t="shared" si="270"/>
        <v>0</v>
      </c>
      <c r="AK654" s="64">
        <f t="shared" si="271"/>
        <v>0</v>
      </c>
      <c r="AM654" s="71"/>
      <c r="AN654" s="71"/>
      <c r="AO654" s="71">
        <f t="shared" si="272"/>
        <v>0</v>
      </c>
      <c r="AQ654" s="71"/>
      <c r="AR654" s="71"/>
      <c r="AS654" s="71">
        <f t="shared" si="273"/>
        <v>0</v>
      </c>
      <c r="AU654" s="71"/>
      <c r="AV654" s="71"/>
      <c r="AW654" s="71">
        <f t="shared" si="274"/>
        <v>0</v>
      </c>
      <c r="AY654" s="71"/>
      <c r="AZ654" s="71"/>
      <c r="BA654" s="71">
        <f t="shared" si="275"/>
        <v>0</v>
      </c>
      <c r="BI654" s="71"/>
      <c r="BJ654" s="71"/>
      <c r="BK654" s="71">
        <f t="shared" si="276"/>
        <v>0</v>
      </c>
      <c r="BM654" s="71"/>
      <c r="BN654" s="71"/>
      <c r="BO654" s="71">
        <f t="shared" si="277"/>
        <v>0</v>
      </c>
      <c r="BQ654" s="71"/>
      <c r="BR654" s="71"/>
      <c r="BS654" s="138">
        <f t="shared" si="278"/>
        <v>0</v>
      </c>
      <c r="BU654" s="71"/>
      <c r="BV654" s="71"/>
      <c r="BW654" s="71">
        <f t="shared" si="279"/>
        <v>0</v>
      </c>
      <c r="BZ654" s="71"/>
      <c r="CA654" s="71"/>
      <c r="CB654" s="71">
        <f t="shared" si="280"/>
        <v>0</v>
      </c>
      <c r="CD654" s="71"/>
      <c r="CE654" s="71"/>
      <c r="CF654" s="71">
        <f t="shared" si="281"/>
        <v>0</v>
      </c>
      <c r="CH654" s="71"/>
      <c r="CI654" s="71"/>
      <c r="CJ654" s="138">
        <f t="shared" si="282"/>
        <v>0</v>
      </c>
      <c r="CL654" s="71"/>
      <c r="CM654" s="71"/>
      <c r="CN654" s="71">
        <f t="shared" si="283"/>
        <v>0</v>
      </c>
      <c r="CS654" s="102">
        <f t="shared" si="284"/>
        <v>4.5293954747099576</v>
      </c>
      <c r="CT654" s="102">
        <f t="shared" si="285"/>
        <v>18.675175962423801</v>
      </c>
      <c r="CZ654" s="109" t="str">
        <f t="shared" si="286"/>
        <v>Basso</v>
      </c>
    </row>
    <row r="655" spans="9:104" x14ac:dyDescent="0.15">
      <c r="I655" s="64">
        <f t="shared" si="264"/>
        <v>76.99972307006928</v>
      </c>
      <c r="M655" s="64">
        <f t="shared" si="265"/>
        <v>0</v>
      </c>
      <c r="Q655" s="64">
        <f t="shared" si="266"/>
        <v>0</v>
      </c>
      <c r="U655" s="64">
        <f t="shared" si="267"/>
        <v>0</v>
      </c>
      <c r="Y655" s="114">
        <f t="shared" si="268"/>
        <v>0</v>
      </c>
      <c r="AC655" s="64">
        <f t="shared" si="269"/>
        <v>0</v>
      </c>
      <c r="AE655" s="71"/>
      <c r="AF655" s="71"/>
      <c r="AG655" s="71">
        <f t="shared" si="270"/>
        <v>0</v>
      </c>
      <c r="AK655" s="64">
        <f t="shared" si="271"/>
        <v>0</v>
      </c>
      <c r="AM655" s="71"/>
      <c r="AN655" s="71"/>
      <c r="AO655" s="71">
        <f t="shared" si="272"/>
        <v>0</v>
      </c>
      <c r="AQ655" s="71"/>
      <c r="AR655" s="71"/>
      <c r="AS655" s="71">
        <f t="shared" si="273"/>
        <v>0</v>
      </c>
      <c r="AU655" s="71"/>
      <c r="AV655" s="71"/>
      <c r="AW655" s="71">
        <f t="shared" si="274"/>
        <v>0</v>
      </c>
      <c r="AY655" s="71"/>
      <c r="AZ655" s="71"/>
      <c r="BA655" s="71">
        <f t="shared" si="275"/>
        <v>0</v>
      </c>
      <c r="BI655" s="71"/>
      <c r="BJ655" s="71"/>
      <c r="BK655" s="71">
        <f t="shared" si="276"/>
        <v>0</v>
      </c>
      <c r="BM655" s="71"/>
      <c r="BN655" s="71"/>
      <c r="BO655" s="71">
        <f t="shared" si="277"/>
        <v>0</v>
      </c>
      <c r="BQ655" s="71"/>
      <c r="BR655" s="71"/>
      <c r="BS655" s="138">
        <f t="shared" si="278"/>
        <v>0</v>
      </c>
      <c r="BU655" s="71"/>
      <c r="BV655" s="71"/>
      <c r="BW655" s="71">
        <f t="shared" si="279"/>
        <v>0</v>
      </c>
      <c r="BZ655" s="71"/>
      <c r="CA655" s="71"/>
      <c r="CB655" s="71">
        <f t="shared" si="280"/>
        <v>0</v>
      </c>
      <c r="CD655" s="71"/>
      <c r="CE655" s="71"/>
      <c r="CF655" s="71">
        <f t="shared" si="281"/>
        <v>0</v>
      </c>
      <c r="CH655" s="71"/>
      <c r="CI655" s="71"/>
      <c r="CJ655" s="138">
        <f t="shared" si="282"/>
        <v>0</v>
      </c>
      <c r="CL655" s="71"/>
      <c r="CM655" s="71"/>
      <c r="CN655" s="71">
        <f t="shared" si="283"/>
        <v>0</v>
      </c>
      <c r="CS655" s="102">
        <f t="shared" si="284"/>
        <v>4.5293954747099576</v>
      </c>
      <c r="CT655" s="102">
        <f t="shared" si="285"/>
        <v>18.675175962423801</v>
      </c>
      <c r="CZ655" s="109" t="str">
        <f t="shared" si="286"/>
        <v>Basso</v>
      </c>
    </row>
    <row r="656" spans="9:104" x14ac:dyDescent="0.15">
      <c r="I656" s="64">
        <f t="shared" si="264"/>
        <v>76.99972307006928</v>
      </c>
      <c r="M656" s="64">
        <f t="shared" si="265"/>
        <v>0</v>
      </c>
      <c r="Q656" s="64">
        <f t="shared" si="266"/>
        <v>0</v>
      </c>
      <c r="U656" s="64">
        <f t="shared" si="267"/>
        <v>0</v>
      </c>
      <c r="Y656" s="114">
        <f t="shared" si="268"/>
        <v>0</v>
      </c>
      <c r="AC656" s="64">
        <f t="shared" si="269"/>
        <v>0</v>
      </c>
      <c r="AE656" s="71"/>
      <c r="AF656" s="71"/>
      <c r="AG656" s="71">
        <f t="shared" si="270"/>
        <v>0</v>
      </c>
      <c r="AK656" s="64">
        <f t="shared" si="271"/>
        <v>0</v>
      </c>
      <c r="AM656" s="71"/>
      <c r="AN656" s="71"/>
      <c r="AO656" s="71">
        <f t="shared" si="272"/>
        <v>0</v>
      </c>
      <c r="AQ656" s="71"/>
      <c r="AR656" s="71"/>
      <c r="AS656" s="71">
        <f t="shared" si="273"/>
        <v>0</v>
      </c>
      <c r="AU656" s="71"/>
      <c r="AV656" s="71"/>
      <c r="AW656" s="71">
        <f t="shared" si="274"/>
        <v>0</v>
      </c>
      <c r="AY656" s="71"/>
      <c r="AZ656" s="71"/>
      <c r="BA656" s="71">
        <f t="shared" si="275"/>
        <v>0</v>
      </c>
      <c r="BI656" s="71"/>
      <c r="BJ656" s="71"/>
      <c r="BK656" s="71">
        <f t="shared" si="276"/>
        <v>0</v>
      </c>
      <c r="BM656" s="71"/>
      <c r="BN656" s="71"/>
      <c r="BO656" s="71">
        <f t="shared" si="277"/>
        <v>0</v>
      </c>
      <c r="BQ656" s="71"/>
      <c r="BR656" s="71"/>
      <c r="BS656" s="138">
        <f t="shared" si="278"/>
        <v>0</v>
      </c>
      <c r="BU656" s="71"/>
      <c r="BV656" s="71"/>
      <c r="BW656" s="71">
        <f t="shared" si="279"/>
        <v>0</v>
      </c>
      <c r="BZ656" s="71"/>
      <c r="CA656" s="71"/>
      <c r="CB656" s="71">
        <f t="shared" si="280"/>
        <v>0</v>
      </c>
      <c r="CD656" s="71"/>
      <c r="CE656" s="71"/>
      <c r="CF656" s="71">
        <f t="shared" si="281"/>
        <v>0</v>
      </c>
      <c r="CH656" s="71"/>
      <c r="CI656" s="71"/>
      <c r="CJ656" s="138">
        <f t="shared" si="282"/>
        <v>0</v>
      </c>
      <c r="CL656" s="71"/>
      <c r="CM656" s="71"/>
      <c r="CN656" s="71">
        <f t="shared" si="283"/>
        <v>0</v>
      </c>
      <c r="CS656" s="102">
        <f t="shared" si="284"/>
        <v>4.5293954747099576</v>
      </c>
      <c r="CT656" s="102">
        <f t="shared" si="285"/>
        <v>18.675175962423801</v>
      </c>
      <c r="CZ656" s="109" t="str">
        <f t="shared" si="286"/>
        <v>Basso</v>
      </c>
    </row>
    <row r="657" spans="9:104" x14ac:dyDescent="0.15">
      <c r="I657" s="64">
        <f t="shared" si="264"/>
        <v>76.99972307006928</v>
      </c>
      <c r="M657" s="64">
        <f t="shared" si="265"/>
        <v>0</v>
      </c>
      <c r="Q657" s="64">
        <f t="shared" si="266"/>
        <v>0</v>
      </c>
      <c r="U657" s="64">
        <f t="shared" si="267"/>
        <v>0</v>
      </c>
      <c r="Y657" s="114">
        <f t="shared" si="268"/>
        <v>0</v>
      </c>
      <c r="AC657" s="64">
        <f t="shared" si="269"/>
        <v>0</v>
      </c>
      <c r="AE657" s="71"/>
      <c r="AF657" s="71"/>
      <c r="AG657" s="71">
        <f t="shared" si="270"/>
        <v>0</v>
      </c>
      <c r="AK657" s="64">
        <f t="shared" si="271"/>
        <v>0</v>
      </c>
      <c r="AM657" s="71"/>
      <c r="AN657" s="71"/>
      <c r="AO657" s="71">
        <f t="shared" si="272"/>
        <v>0</v>
      </c>
      <c r="AQ657" s="71"/>
      <c r="AR657" s="71"/>
      <c r="AS657" s="71">
        <f t="shared" si="273"/>
        <v>0</v>
      </c>
      <c r="AU657" s="71"/>
      <c r="AV657" s="71"/>
      <c r="AW657" s="71">
        <f t="shared" si="274"/>
        <v>0</v>
      </c>
      <c r="AY657" s="71"/>
      <c r="AZ657" s="71"/>
      <c r="BA657" s="71">
        <f t="shared" si="275"/>
        <v>0</v>
      </c>
      <c r="BI657" s="71"/>
      <c r="BJ657" s="71"/>
      <c r="BK657" s="71">
        <f t="shared" si="276"/>
        <v>0</v>
      </c>
      <c r="BM657" s="71"/>
      <c r="BN657" s="71"/>
      <c r="BO657" s="71">
        <f t="shared" si="277"/>
        <v>0</v>
      </c>
      <c r="BQ657" s="71"/>
      <c r="BR657" s="71"/>
      <c r="BS657" s="138">
        <f t="shared" si="278"/>
        <v>0</v>
      </c>
      <c r="BU657" s="71"/>
      <c r="BV657" s="71"/>
      <c r="BW657" s="71">
        <f t="shared" si="279"/>
        <v>0</v>
      </c>
      <c r="BZ657" s="71"/>
      <c r="CA657" s="71"/>
      <c r="CB657" s="71">
        <f t="shared" si="280"/>
        <v>0</v>
      </c>
      <c r="CD657" s="71"/>
      <c r="CE657" s="71"/>
      <c r="CF657" s="71">
        <f t="shared" si="281"/>
        <v>0</v>
      </c>
      <c r="CH657" s="71"/>
      <c r="CI657" s="71"/>
      <c r="CJ657" s="138">
        <f t="shared" si="282"/>
        <v>0</v>
      </c>
      <c r="CL657" s="71"/>
      <c r="CM657" s="71"/>
      <c r="CN657" s="71">
        <f t="shared" si="283"/>
        <v>0</v>
      </c>
      <c r="CS657" s="102">
        <f t="shared" si="284"/>
        <v>4.5293954747099576</v>
      </c>
      <c r="CT657" s="102">
        <f t="shared" si="285"/>
        <v>18.675175962423801</v>
      </c>
      <c r="CZ657" s="109" t="str">
        <f t="shared" si="286"/>
        <v>Basso</v>
      </c>
    </row>
    <row r="658" spans="9:104" x14ac:dyDescent="0.15">
      <c r="I658" s="64">
        <f t="shared" si="264"/>
        <v>76.99972307006928</v>
      </c>
      <c r="M658" s="64">
        <f t="shared" si="265"/>
        <v>0</v>
      </c>
      <c r="Q658" s="64">
        <f t="shared" si="266"/>
        <v>0</v>
      </c>
      <c r="U658" s="64">
        <f t="shared" si="267"/>
        <v>0</v>
      </c>
      <c r="Y658" s="114">
        <f t="shared" si="268"/>
        <v>0</v>
      </c>
      <c r="AC658" s="64">
        <f t="shared" si="269"/>
        <v>0</v>
      </c>
      <c r="AE658" s="71"/>
      <c r="AF658" s="71"/>
      <c r="AG658" s="71">
        <f t="shared" si="270"/>
        <v>0</v>
      </c>
      <c r="AK658" s="64">
        <f t="shared" si="271"/>
        <v>0</v>
      </c>
      <c r="AM658" s="71"/>
      <c r="AN658" s="71"/>
      <c r="AO658" s="71">
        <f t="shared" si="272"/>
        <v>0</v>
      </c>
      <c r="AQ658" s="71"/>
      <c r="AR658" s="71"/>
      <c r="AS658" s="71">
        <f t="shared" si="273"/>
        <v>0</v>
      </c>
      <c r="AU658" s="71"/>
      <c r="AV658" s="71"/>
      <c r="AW658" s="71">
        <f t="shared" si="274"/>
        <v>0</v>
      </c>
      <c r="AY658" s="71"/>
      <c r="AZ658" s="71"/>
      <c r="BA658" s="71">
        <f t="shared" si="275"/>
        <v>0</v>
      </c>
      <c r="BI658" s="71"/>
      <c r="BJ658" s="71"/>
      <c r="BK658" s="71">
        <f t="shared" si="276"/>
        <v>0</v>
      </c>
      <c r="BM658" s="71"/>
      <c r="BN658" s="71"/>
      <c r="BO658" s="71">
        <f t="shared" si="277"/>
        <v>0</v>
      </c>
      <c r="BQ658" s="71"/>
      <c r="BR658" s="71"/>
      <c r="BS658" s="138">
        <f t="shared" si="278"/>
        <v>0</v>
      </c>
      <c r="BU658" s="71"/>
      <c r="BV658" s="71"/>
      <c r="BW658" s="71">
        <f t="shared" si="279"/>
        <v>0</v>
      </c>
      <c r="BZ658" s="71"/>
      <c r="CA658" s="71"/>
      <c r="CB658" s="71">
        <f t="shared" si="280"/>
        <v>0</v>
      </c>
      <c r="CD658" s="71"/>
      <c r="CE658" s="71"/>
      <c r="CF658" s="71">
        <f t="shared" si="281"/>
        <v>0</v>
      </c>
      <c r="CH658" s="71"/>
      <c r="CI658" s="71"/>
      <c r="CJ658" s="138">
        <f t="shared" si="282"/>
        <v>0</v>
      </c>
      <c r="CL658" s="71"/>
      <c r="CM658" s="71"/>
      <c r="CN658" s="71">
        <f t="shared" si="283"/>
        <v>0</v>
      </c>
      <c r="CS658" s="102">
        <f t="shared" si="284"/>
        <v>4.5293954747099576</v>
      </c>
      <c r="CT658" s="102">
        <f t="shared" si="285"/>
        <v>18.675175962423801</v>
      </c>
      <c r="CZ658" s="109" t="str">
        <f t="shared" si="286"/>
        <v>Basso</v>
      </c>
    </row>
    <row r="659" spans="9:104" x14ac:dyDescent="0.15">
      <c r="I659" s="64">
        <f t="shared" si="264"/>
        <v>76.99972307006928</v>
      </c>
      <c r="M659" s="64">
        <f t="shared" si="265"/>
        <v>0</v>
      </c>
      <c r="Q659" s="64">
        <f t="shared" si="266"/>
        <v>0</v>
      </c>
      <c r="U659" s="64">
        <f t="shared" si="267"/>
        <v>0</v>
      </c>
      <c r="Y659" s="114">
        <f t="shared" si="268"/>
        <v>0</v>
      </c>
      <c r="AC659" s="64">
        <f t="shared" si="269"/>
        <v>0</v>
      </c>
      <c r="AE659" s="71"/>
      <c r="AF659" s="71"/>
      <c r="AG659" s="71">
        <f t="shared" si="270"/>
        <v>0</v>
      </c>
      <c r="AK659" s="64">
        <f t="shared" si="271"/>
        <v>0</v>
      </c>
      <c r="AM659" s="71"/>
      <c r="AN659" s="71"/>
      <c r="AO659" s="71">
        <f t="shared" si="272"/>
        <v>0</v>
      </c>
      <c r="AQ659" s="71"/>
      <c r="AR659" s="71"/>
      <c r="AS659" s="71">
        <f t="shared" si="273"/>
        <v>0</v>
      </c>
      <c r="AU659" s="71"/>
      <c r="AV659" s="71"/>
      <c r="AW659" s="71">
        <f t="shared" si="274"/>
        <v>0</v>
      </c>
      <c r="AY659" s="71"/>
      <c r="AZ659" s="71"/>
      <c r="BA659" s="71">
        <f t="shared" si="275"/>
        <v>0</v>
      </c>
      <c r="BI659" s="71"/>
      <c r="BJ659" s="71"/>
      <c r="BK659" s="71">
        <f t="shared" si="276"/>
        <v>0</v>
      </c>
      <c r="BM659" s="71"/>
      <c r="BN659" s="71"/>
      <c r="BO659" s="71">
        <f t="shared" si="277"/>
        <v>0</v>
      </c>
      <c r="BQ659" s="71"/>
      <c r="BR659" s="71"/>
      <c r="BS659" s="138">
        <f t="shared" si="278"/>
        <v>0</v>
      </c>
      <c r="BU659" s="71"/>
      <c r="BV659" s="71"/>
      <c r="BW659" s="71">
        <f t="shared" si="279"/>
        <v>0</v>
      </c>
      <c r="BZ659" s="71"/>
      <c r="CA659" s="71"/>
      <c r="CB659" s="71">
        <f t="shared" si="280"/>
        <v>0</v>
      </c>
      <c r="CD659" s="71"/>
      <c r="CE659" s="71"/>
      <c r="CF659" s="71">
        <f t="shared" si="281"/>
        <v>0</v>
      </c>
      <c r="CH659" s="71"/>
      <c r="CI659" s="71"/>
      <c r="CJ659" s="138">
        <f t="shared" si="282"/>
        <v>0</v>
      </c>
      <c r="CL659" s="71"/>
      <c r="CM659" s="71"/>
      <c r="CN659" s="71">
        <f t="shared" si="283"/>
        <v>0</v>
      </c>
      <c r="CS659" s="102">
        <f t="shared" si="284"/>
        <v>4.5293954747099576</v>
      </c>
      <c r="CT659" s="102">
        <f t="shared" si="285"/>
        <v>18.675175962423801</v>
      </c>
      <c r="CZ659" s="109" t="str">
        <f t="shared" si="286"/>
        <v>Basso</v>
      </c>
    </row>
    <row r="660" spans="9:104" x14ac:dyDescent="0.15">
      <c r="I660" s="64">
        <f t="shared" si="264"/>
        <v>76.99972307006928</v>
      </c>
      <c r="M660" s="64">
        <f t="shared" si="265"/>
        <v>0</v>
      </c>
      <c r="Q660" s="64">
        <f t="shared" si="266"/>
        <v>0</v>
      </c>
      <c r="U660" s="64">
        <f t="shared" si="267"/>
        <v>0</v>
      </c>
      <c r="Y660" s="114">
        <f t="shared" si="268"/>
        <v>0</v>
      </c>
      <c r="AC660" s="64">
        <f t="shared" si="269"/>
        <v>0</v>
      </c>
      <c r="AE660" s="71"/>
      <c r="AF660" s="71"/>
      <c r="AG660" s="71">
        <f t="shared" si="270"/>
        <v>0</v>
      </c>
      <c r="AK660" s="64">
        <f t="shared" si="271"/>
        <v>0</v>
      </c>
      <c r="AM660" s="71"/>
      <c r="AN660" s="71"/>
      <c r="AO660" s="71">
        <f t="shared" si="272"/>
        <v>0</v>
      </c>
      <c r="AQ660" s="71"/>
      <c r="AR660" s="71"/>
      <c r="AS660" s="71">
        <f t="shared" si="273"/>
        <v>0</v>
      </c>
      <c r="AU660" s="71"/>
      <c r="AV660" s="71"/>
      <c r="AW660" s="71">
        <f t="shared" si="274"/>
        <v>0</v>
      </c>
      <c r="AY660" s="71"/>
      <c r="AZ660" s="71"/>
      <c r="BA660" s="71">
        <f t="shared" si="275"/>
        <v>0</v>
      </c>
      <c r="BI660" s="71"/>
      <c r="BJ660" s="71"/>
      <c r="BK660" s="71">
        <f t="shared" si="276"/>
        <v>0</v>
      </c>
      <c r="BM660" s="71"/>
      <c r="BN660" s="71"/>
      <c r="BO660" s="71">
        <f t="shared" si="277"/>
        <v>0</v>
      </c>
      <c r="BQ660" s="71"/>
      <c r="BR660" s="71"/>
      <c r="BS660" s="138">
        <f t="shared" si="278"/>
        <v>0</v>
      </c>
      <c r="BU660" s="71"/>
      <c r="BV660" s="71"/>
      <c r="BW660" s="71">
        <f t="shared" si="279"/>
        <v>0</v>
      </c>
      <c r="BZ660" s="71"/>
      <c r="CA660" s="71"/>
      <c r="CB660" s="71">
        <f t="shared" si="280"/>
        <v>0</v>
      </c>
      <c r="CD660" s="71"/>
      <c r="CE660" s="71"/>
      <c r="CF660" s="71">
        <f t="shared" si="281"/>
        <v>0</v>
      </c>
      <c r="CH660" s="71"/>
      <c r="CI660" s="71"/>
      <c r="CJ660" s="138">
        <f t="shared" si="282"/>
        <v>0</v>
      </c>
      <c r="CL660" s="71"/>
      <c r="CM660" s="71"/>
      <c r="CN660" s="71">
        <f t="shared" si="283"/>
        <v>0</v>
      </c>
      <c r="CS660" s="102">
        <f t="shared" si="284"/>
        <v>4.5293954747099576</v>
      </c>
      <c r="CT660" s="102">
        <f t="shared" si="285"/>
        <v>18.675175962423801</v>
      </c>
      <c r="CZ660" s="109" t="str">
        <f t="shared" si="286"/>
        <v>Basso</v>
      </c>
    </row>
    <row r="661" spans="9:104" x14ac:dyDescent="0.15">
      <c r="I661" s="64">
        <f t="shared" si="264"/>
        <v>76.99972307006928</v>
      </c>
      <c r="M661" s="64">
        <f t="shared" si="265"/>
        <v>0</v>
      </c>
      <c r="Q661" s="64">
        <f t="shared" si="266"/>
        <v>0</v>
      </c>
      <c r="U661" s="64">
        <f t="shared" si="267"/>
        <v>0</v>
      </c>
      <c r="Y661" s="114">
        <f t="shared" si="268"/>
        <v>0</v>
      </c>
      <c r="AC661" s="64">
        <f t="shared" si="269"/>
        <v>0</v>
      </c>
      <c r="AE661" s="71"/>
      <c r="AF661" s="71"/>
      <c r="AG661" s="71">
        <f t="shared" si="270"/>
        <v>0</v>
      </c>
      <c r="AK661" s="64">
        <f t="shared" si="271"/>
        <v>0</v>
      </c>
      <c r="AM661" s="71"/>
      <c r="AN661" s="71"/>
      <c r="AO661" s="71">
        <f t="shared" si="272"/>
        <v>0</v>
      </c>
      <c r="AQ661" s="71"/>
      <c r="AR661" s="71"/>
      <c r="AS661" s="71">
        <f t="shared" si="273"/>
        <v>0</v>
      </c>
      <c r="AU661" s="71"/>
      <c r="AV661" s="71"/>
      <c r="AW661" s="71">
        <f t="shared" si="274"/>
        <v>0</v>
      </c>
      <c r="AY661" s="71"/>
      <c r="AZ661" s="71"/>
      <c r="BA661" s="71">
        <f t="shared" si="275"/>
        <v>0</v>
      </c>
      <c r="BI661" s="71"/>
      <c r="BJ661" s="71"/>
      <c r="BK661" s="71">
        <f t="shared" si="276"/>
        <v>0</v>
      </c>
      <c r="BM661" s="71"/>
      <c r="BN661" s="71"/>
      <c r="BO661" s="71">
        <f t="shared" si="277"/>
        <v>0</v>
      </c>
      <c r="BQ661" s="71"/>
      <c r="BR661" s="71"/>
      <c r="BS661" s="138">
        <f t="shared" si="278"/>
        <v>0</v>
      </c>
      <c r="BU661" s="71"/>
      <c r="BV661" s="71"/>
      <c r="BW661" s="71">
        <f t="shared" si="279"/>
        <v>0</v>
      </c>
      <c r="BZ661" s="71"/>
      <c r="CA661" s="71"/>
      <c r="CB661" s="71">
        <f t="shared" si="280"/>
        <v>0</v>
      </c>
      <c r="CD661" s="71"/>
      <c r="CE661" s="71"/>
      <c r="CF661" s="71">
        <f t="shared" si="281"/>
        <v>0</v>
      </c>
      <c r="CH661" s="71"/>
      <c r="CI661" s="71"/>
      <c r="CJ661" s="138">
        <f t="shared" si="282"/>
        <v>0</v>
      </c>
      <c r="CL661" s="71"/>
      <c r="CM661" s="71"/>
      <c r="CN661" s="71">
        <f t="shared" si="283"/>
        <v>0</v>
      </c>
      <c r="CS661" s="102">
        <f t="shared" si="284"/>
        <v>4.5293954747099576</v>
      </c>
      <c r="CT661" s="102">
        <f t="shared" si="285"/>
        <v>18.675175962423801</v>
      </c>
      <c r="CZ661" s="109" t="str">
        <f t="shared" si="286"/>
        <v>Basso</v>
      </c>
    </row>
    <row r="662" spans="9:104" x14ac:dyDescent="0.15">
      <c r="I662" s="64">
        <f t="shared" si="264"/>
        <v>76.99972307006928</v>
      </c>
      <c r="M662" s="64">
        <f t="shared" si="265"/>
        <v>0</v>
      </c>
      <c r="Q662" s="64">
        <f t="shared" si="266"/>
        <v>0</v>
      </c>
      <c r="U662" s="64">
        <f t="shared" si="267"/>
        <v>0</v>
      </c>
      <c r="Y662" s="114">
        <f t="shared" si="268"/>
        <v>0</v>
      </c>
      <c r="AC662" s="64">
        <f t="shared" si="269"/>
        <v>0</v>
      </c>
      <c r="AE662" s="71"/>
      <c r="AF662" s="71"/>
      <c r="AG662" s="71">
        <f t="shared" si="270"/>
        <v>0</v>
      </c>
      <c r="AK662" s="64">
        <f t="shared" si="271"/>
        <v>0</v>
      </c>
      <c r="AM662" s="71"/>
      <c r="AN662" s="71"/>
      <c r="AO662" s="71">
        <f t="shared" si="272"/>
        <v>0</v>
      </c>
      <c r="AQ662" s="71"/>
      <c r="AR662" s="71"/>
      <c r="AS662" s="71">
        <f t="shared" si="273"/>
        <v>0</v>
      </c>
      <c r="AU662" s="71"/>
      <c r="AV662" s="71"/>
      <c r="AW662" s="71">
        <f t="shared" si="274"/>
        <v>0</v>
      </c>
      <c r="AY662" s="71"/>
      <c r="AZ662" s="71"/>
      <c r="BA662" s="71">
        <f t="shared" si="275"/>
        <v>0</v>
      </c>
      <c r="BI662" s="71"/>
      <c r="BJ662" s="71"/>
      <c r="BK662" s="71">
        <f t="shared" si="276"/>
        <v>0</v>
      </c>
      <c r="BM662" s="71"/>
      <c r="BN662" s="71"/>
      <c r="BO662" s="71">
        <f t="shared" si="277"/>
        <v>0</v>
      </c>
      <c r="BQ662" s="71"/>
      <c r="BR662" s="71"/>
      <c r="BS662" s="138">
        <f t="shared" si="278"/>
        <v>0</v>
      </c>
      <c r="BU662" s="71"/>
      <c r="BV662" s="71"/>
      <c r="BW662" s="71">
        <f t="shared" si="279"/>
        <v>0</v>
      </c>
      <c r="BZ662" s="71"/>
      <c r="CA662" s="71"/>
      <c r="CB662" s="71">
        <f t="shared" si="280"/>
        <v>0</v>
      </c>
      <c r="CD662" s="71"/>
      <c r="CE662" s="71"/>
      <c r="CF662" s="71">
        <f t="shared" si="281"/>
        <v>0</v>
      </c>
      <c r="CH662" s="71"/>
      <c r="CI662" s="71"/>
      <c r="CJ662" s="138">
        <f t="shared" si="282"/>
        <v>0</v>
      </c>
      <c r="CL662" s="71"/>
      <c r="CM662" s="71"/>
      <c r="CN662" s="71">
        <f t="shared" si="283"/>
        <v>0</v>
      </c>
      <c r="CS662" s="102">
        <f t="shared" si="284"/>
        <v>4.5293954747099576</v>
      </c>
      <c r="CT662" s="102">
        <f t="shared" si="285"/>
        <v>18.675175962423801</v>
      </c>
      <c r="CZ662" s="109" t="str">
        <f t="shared" si="286"/>
        <v>Basso</v>
      </c>
    </row>
    <row r="663" spans="9:104" x14ac:dyDescent="0.15">
      <c r="I663" s="64">
        <f t="shared" si="264"/>
        <v>76.99972307006928</v>
      </c>
      <c r="M663" s="64">
        <f t="shared" si="265"/>
        <v>0</v>
      </c>
      <c r="Q663" s="64">
        <f t="shared" si="266"/>
        <v>0</v>
      </c>
      <c r="U663" s="64">
        <f t="shared" si="267"/>
        <v>0</v>
      </c>
      <c r="Y663" s="114">
        <f t="shared" si="268"/>
        <v>0</v>
      </c>
      <c r="AC663" s="64">
        <f t="shared" si="269"/>
        <v>0</v>
      </c>
      <c r="AE663" s="71"/>
      <c r="AF663" s="71"/>
      <c r="AG663" s="71">
        <f t="shared" si="270"/>
        <v>0</v>
      </c>
      <c r="AK663" s="64">
        <f t="shared" si="271"/>
        <v>0</v>
      </c>
      <c r="AM663" s="71"/>
      <c r="AN663" s="71"/>
      <c r="AO663" s="71">
        <f t="shared" si="272"/>
        <v>0</v>
      </c>
      <c r="AQ663" s="71"/>
      <c r="AR663" s="71"/>
      <c r="AS663" s="71">
        <f t="shared" si="273"/>
        <v>0</v>
      </c>
      <c r="AU663" s="71"/>
      <c r="AV663" s="71"/>
      <c r="AW663" s="71">
        <f t="shared" si="274"/>
        <v>0</v>
      </c>
      <c r="AY663" s="71"/>
      <c r="AZ663" s="71"/>
      <c r="BA663" s="71">
        <f t="shared" si="275"/>
        <v>0</v>
      </c>
      <c r="BI663" s="71"/>
      <c r="BJ663" s="71"/>
      <c r="BK663" s="71">
        <f t="shared" si="276"/>
        <v>0</v>
      </c>
      <c r="BM663" s="71"/>
      <c r="BN663" s="71"/>
      <c r="BO663" s="71">
        <f t="shared" si="277"/>
        <v>0</v>
      </c>
      <c r="BQ663" s="71"/>
      <c r="BR663" s="71"/>
      <c r="BS663" s="138">
        <f t="shared" si="278"/>
        <v>0</v>
      </c>
      <c r="BU663" s="71"/>
      <c r="BV663" s="71"/>
      <c r="BW663" s="71">
        <f t="shared" si="279"/>
        <v>0</v>
      </c>
      <c r="BZ663" s="71"/>
      <c r="CA663" s="71"/>
      <c r="CB663" s="71">
        <f t="shared" si="280"/>
        <v>0</v>
      </c>
      <c r="CD663" s="71"/>
      <c r="CE663" s="71"/>
      <c r="CF663" s="71">
        <f t="shared" si="281"/>
        <v>0</v>
      </c>
      <c r="CH663" s="71"/>
      <c r="CI663" s="71"/>
      <c r="CJ663" s="138">
        <f t="shared" si="282"/>
        <v>0</v>
      </c>
      <c r="CL663" s="71"/>
      <c r="CM663" s="71"/>
      <c r="CN663" s="71">
        <f t="shared" si="283"/>
        <v>0</v>
      </c>
      <c r="CS663" s="102">
        <f t="shared" si="284"/>
        <v>4.5293954747099576</v>
      </c>
      <c r="CT663" s="102">
        <f t="shared" si="285"/>
        <v>18.675175962423801</v>
      </c>
      <c r="CZ663" s="109" t="str">
        <f t="shared" si="286"/>
        <v>Basso</v>
      </c>
    </row>
    <row r="664" spans="9:104" x14ac:dyDescent="0.15">
      <c r="I664" s="64">
        <f t="shared" si="264"/>
        <v>76.99972307006928</v>
      </c>
      <c r="M664" s="64">
        <f t="shared" si="265"/>
        <v>0</v>
      </c>
      <c r="Q664" s="64">
        <f t="shared" si="266"/>
        <v>0</v>
      </c>
      <c r="U664" s="64">
        <f t="shared" si="267"/>
        <v>0</v>
      </c>
      <c r="Y664" s="114">
        <f t="shared" si="268"/>
        <v>0</v>
      </c>
      <c r="AC664" s="64">
        <f t="shared" si="269"/>
        <v>0</v>
      </c>
      <c r="AE664" s="71"/>
      <c r="AF664" s="71"/>
      <c r="AG664" s="71">
        <f t="shared" si="270"/>
        <v>0</v>
      </c>
      <c r="AK664" s="64">
        <f t="shared" si="271"/>
        <v>0</v>
      </c>
      <c r="AM664" s="71"/>
      <c r="AN664" s="71"/>
      <c r="AO664" s="71">
        <f t="shared" si="272"/>
        <v>0</v>
      </c>
      <c r="AQ664" s="71"/>
      <c r="AR664" s="71"/>
      <c r="AS664" s="71">
        <f t="shared" si="273"/>
        <v>0</v>
      </c>
      <c r="AU664" s="71"/>
      <c r="AV664" s="71"/>
      <c r="AW664" s="71">
        <f t="shared" si="274"/>
        <v>0</v>
      </c>
      <c r="AY664" s="71"/>
      <c r="AZ664" s="71"/>
      <c r="BA664" s="71">
        <f t="shared" si="275"/>
        <v>0</v>
      </c>
      <c r="BI664" s="71"/>
      <c r="BJ664" s="71"/>
      <c r="BK664" s="71">
        <f t="shared" si="276"/>
        <v>0</v>
      </c>
      <c r="BM664" s="71"/>
      <c r="BN664" s="71"/>
      <c r="BO664" s="71">
        <f t="shared" si="277"/>
        <v>0</v>
      </c>
      <c r="BQ664" s="71"/>
      <c r="BR664" s="71"/>
      <c r="BS664" s="138">
        <f t="shared" si="278"/>
        <v>0</v>
      </c>
      <c r="BU664" s="71"/>
      <c r="BV664" s="71"/>
      <c r="BW664" s="71">
        <f t="shared" si="279"/>
        <v>0</v>
      </c>
      <c r="BZ664" s="71"/>
      <c r="CA664" s="71"/>
      <c r="CB664" s="71">
        <f t="shared" si="280"/>
        <v>0</v>
      </c>
      <c r="CD664" s="71"/>
      <c r="CE664" s="71"/>
      <c r="CF664" s="71">
        <f t="shared" si="281"/>
        <v>0</v>
      </c>
      <c r="CH664" s="71"/>
      <c r="CI664" s="71"/>
      <c r="CJ664" s="138">
        <f t="shared" si="282"/>
        <v>0</v>
      </c>
      <c r="CL664" s="71"/>
      <c r="CM664" s="71"/>
      <c r="CN664" s="71">
        <f t="shared" si="283"/>
        <v>0</v>
      </c>
      <c r="CS664" s="102">
        <f t="shared" si="284"/>
        <v>4.5293954747099576</v>
      </c>
      <c r="CT664" s="102">
        <f t="shared" si="285"/>
        <v>18.675175962423801</v>
      </c>
      <c r="CZ664" s="109" t="str">
        <f t="shared" si="286"/>
        <v>Basso</v>
      </c>
    </row>
    <row r="665" spans="9:104" x14ac:dyDescent="0.15">
      <c r="I665" s="64">
        <f t="shared" si="264"/>
        <v>76.99972307006928</v>
      </c>
      <c r="M665" s="64">
        <f t="shared" si="265"/>
        <v>0</v>
      </c>
      <c r="Q665" s="64">
        <f t="shared" si="266"/>
        <v>0</v>
      </c>
      <c r="U665" s="64">
        <f t="shared" si="267"/>
        <v>0</v>
      </c>
      <c r="Y665" s="114">
        <f t="shared" si="268"/>
        <v>0</v>
      </c>
      <c r="AC665" s="64">
        <f t="shared" si="269"/>
        <v>0</v>
      </c>
      <c r="AE665" s="71"/>
      <c r="AF665" s="71"/>
      <c r="AG665" s="71">
        <f t="shared" si="270"/>
        <v>0</v>
      </c>
      <c r="AK665" s="64">
        <f t="shared" si="271"/>
        <v>0</v>
      </c>
      <c r="AM665" s="71"/>
      <c r="AN665" s="71"/>
      <c r="AO665" s="71">
        <f t="shared" si="272"/>
        <v>0</v>
      </c>
      <c r="AQ665" s="71"/>
      <c r="AR665" s="71"/>
      <c r="AS665" s="71">
        <f t="shared" si="273"/>
        <v>0</v>
      </c>
      <c r="AU665" s="71"/>
      <c r="AV665" s="71"/>
      <c r="AW665" s="71">
        <f t="shared" si="274"/>
        <v>0</v>
      </c>
      <c r="AY665" s="71"/>
      <c r="AZ665" s="71"/>
      <c r="BA665" s="71">
        <f t="shared" si="275"/>
        <v>0</v>
      </c>
      <c r="BI665" s="71"/>
      <c r="BJ665" s="71"/>
      <c r="BK665" s="71">
        <f t="shared" si="276"/>
        <v>0</v>
      </c>
      <c r="BM665" s="71"/>
      <c r="BN665" s="71"/>
      <c r="BO665" s="71">
        <f t="shared" si="277"/>
        <v>0</v>
      </c>
      <c r="BQ665" s="71"/>
      <c r="BR665" s="71"/>
      <c r="BS665" s="138">
        <f t="shared" si="278"/>
        <v>0</v>
      </c>
      <c r="BU665" s="71"/>
      <c r="BV665" s="71"/>
      <c r="BW665" s="71">
        <f t="shared" si="279"/>
        <v>0</v>
      </c>
      <c r="BZ665" s="71"/>
      <c r="CA665" s="71"/>
      <c r="CB665" s="71">
        <f t="shared" si="280"/>
        <v>0</v>
      </c>
      <c r="CD665" s="71"/>
      <c r="CE665" s="71"/>
      <c r="CF665" s="71">
        <f t="shared" si="281"/>
        <v>0</v>
      </c>
      <c r="CH665" s="71"/>
      <c r="CI665" s="71"/>
      <c r="CJ665" s="138">
        <f t="shared" si="282"/>
        <v>0</v>
      </c>
      <c r="CL665" s="71"/>
      <c r="CM665" s="71"/>
      <c r="CN665" s="71">
        <f t="shared" si="283"/>
        <v>0</v>
      </c>
      <c r="CS665" s="102">
        <f t="shared" si="284"/>
        <v>4.5293954747099576</v>
      </c>
      <c r="CT665" s="102">
        <f t="shared" si="285"/>
        <v>18.675175962423801</v>
      </c>
      <c r="CZ665" s="109" t="str">
        <f t="shared" si="286"/>
        <v>Basso</v>
      </c>
    </row>
    <row r="666" spans="9:104" x14ac:dyDescent="0.15">
      <c r="I666" s="64">
        <f t="shared" si="264"/>
        <v>76.99972307006928</v>
      </c>
      <c r="M666" s="64">
        <f t="shared" si="265"/>
        <v>0</v>
      </c>
      <c r="Q666" s="64">
        <f t="shared" si="266"/>
        <v>0</v>
      </c>
      <c r="U666" s="64">
        <f t="shared" si="267"/>
        <v>0</v>
      </c>
      <c r="Y666" s="114">
        <f t="shared" si="268"/>
        <v>0</v>
      </c>
      <c r="AC666" s="64">
        <f t="shared" si="269"/>
        <v>0</v>
      </c>
      <c r="AE666" s="71"/>
      <c r="AF666" s="71"/>
      <c r="AG666" s="71">
        <f t="shared" si="270"/>
        <v>0</v>
      </c>
      <c r="AK666" s="64">
        <f t="shared" si="271"/>
        <v>0</v>
      </c>
      <c r="AM666" s="71"/>
      <c r="AN666" s="71"/>
      <c r="AO666" s="71">
        <f t="shared" si="272"/>
        <v>0</v>
      </c>
      <c r="AQ666" s="71"/>
      <c r="AR666" s="71"/>
      <c r="AS666" s="71">
        <f t="shared" si="273"/>
        <v>0</v>
      </c>
      <c r="AU666" s="71"/>
      <c r="AV666" s="71"/>
      <c r="AW666" s="71">
        <f t="shared" si="274"/>
        <v>0</v>
      </c>
      <c r="AY666" s="71"/>
      <c r="AZ666" s="71"/>
      <c r="BA666" s="71">
        <f t="shared" si="275"/>
        <v>0</v>
      </c>
      <c r="BI666" s="71"/>
      <c r="BJ666" s="71"/>
      <c r="BK666" s="71">
        <f t="shared" si="276"/>
        <v>0</v>
      </c>
      <c r="BM666" s="71"/>
      <c r="BN666" s="71"/>
      <c r="BO666" s="71">
        <f t="shared" si="277"/>
        <v>0</v>
      </c>
      <c r="BQ666" s="71"/>
      <c r="BR666" s="71"/>
      <c r="BS666" s="138">
        <f t="shared" si="278"/>
        <v>0</v>
      </c>
      <c r="BU666" s="71"/>
      <c r="BV666" s="71"/>
      <c r="BW666" s="71">
        <f t="shared" si="279"/>
        <v>0</v>
      </c>
      <c r="BZ666" s="71"/>
      <c r="CA666" s="71"/>
      <c r="CB666" s="71">
        <f t="shared" si="280"/>
        <v>0</v>
      </c>
      <c r="CD666" s="71"/>
      <c r="CE666" s="71"/>
      <c r="CF666" s="71">
        <f t="shared" si="281"/>
        <v>0</v>
      </c>
      <c r="CH666" s="71"/>
      <c r="CI666" s="71"/>
      <c r="CJ666" s="138">
        <f t="shared" si="282"/>
        <v>0</v>
      </c>
      <c r="CL666" s="71"/>
      <c r="CM666" s="71"/>
      <c r="CN666" s="71">
        <f t="shared" si="283"/>
        <v>0</v>
      </c>
      <c r="CS666" s="102">
        <f t="shared" si="284"/>
        <v>4.5293954747099576</v>
      </c>
      <c r="CT666" s="102">
        <f t="shared" si="285"/>
        <v>18.675175962423801</v>
      </c>
      <c r="CZ666" s="109" t="str">
        <f t="shared" si="286"/>
        <v>Basso</v>
      </c>
    </row>
    <row r="667" spans="9:104" x14ac:dyDescent="0.15">
      <c r="I667" s="64">
        <f t="shared" si="264"/>
        <v>76.99972307006928</v>
      </c>
      <c r="M667" s="64">
        <f t="shared" si="265"/>
        <v>0</v>
      </c>
      <c r="Q667" s="64">
        <f t="shared" si="266"/>
        <v>0</v>
      </c>
      <c r="U667" s="64">
        <f t="shared" si="267"/>
        <v>0</v>
      </c>
      <c r="Y667" s="114">
        <f t="shared" si="268"/>
        <v>0</v>
      </c>
      <c r="AC667" s="64">
        <f t="shared" si="269"/>
        <v>0</v>
      </c>
      <c r="AE667" s="71"/>
      <c r="AF667" s="71"/>
      <c r="AG667" s="71">
        <f t="shared" si="270"/>
        <v>0</v>
      </c>
      <c r="AK667" s="64">
        <f t="shared" si="271"/>
        <v>0</v>
      </c>
      <c r="AM667" s="71"/>
      <c r="AN667" s="71"/>
      <c r="AO667" s="71">
        <f t="shared" si="272"/>
        <v>0</v>
      </c>
      <c r="AQ667" s="71"/>
      <c r="AR667" s="71"/>
      <c r="AS667" s="71">
        <f t="shared" si="273"/>
        <v>0</v>
      </c>
      <c r="AU667" s="71"/>
      <c r="AV667" s="71"/>
      <c r="AW667" s="71">
        <f t="shared" si="274"/>
        <v>0</v>
      </c>
      <c r="AY667" s="71"/>
      <c r="AZ667" s="71"/>
      <c r="BA667" s="71">
        <f t="shared" si="275"/>
        <v>0</v>
      </c>
      <c r="BI667" s="71"/>
      <c r="BJ667" s="71"/>
      <c r="BK667" s="71">
        <f t="shared" si="276"/>
        <v>0</v>
      </c>
      <c r="BM667" s="71"/>
      <c r="BN667" s="71"/>
      <c r="BO667" s="71">
        <f t="shared" si="277"/>
        <v>0</v>
      </c>
      <c r="BQ667" s="71"/>
      <c r="BR667" s="71"/>
      <c r="BS667" s="138">
        <f t="shared" si="278"/>
        <v>0</v>
      </c>
      <c r="BU667" s="71"/>
      <c r="BV667" s="71"/>
      <c r="BW667" s="71">
        <f t="shared" si="279"/>
        <v>0</v>
      </c>
      <c r="BZ667" s="71"/>
      <c r="CA667" s="71"/>
      <c r="CB667" s="71">
        <f t="shared" si="280"/>
        <v>0</v>
      </c>
      <c r="CD667" s="71"/>
      <c r="CE667" s="71"/>
      <c r="CF667" s="71">
        <f t="shared" si="281"/>
        <v>0</v>
      </c>
      <c r="CH667" s="71"/>
      <c r="CI667" s="71"/>
      <c r="CJ667" s="138">
        <f t="shared" si="282"/>
        <v>0</v>
      </c>
      <c r="CL667" s="71"/>
      <c r="CM667" s="71"/>
      <c r="CN667" s="71">
        <f t="shared" si="283"/>
        <v>0</v>
      </c>
      <c r="CS667" s="102">
        <f t="shared" si="284"/>
        <v>4.5293954747099576</v>
      </c>
      <c r="CT667" s="102">
        <f t="shared" si="285"/>
        <v>18.675175962423801</v>
      </c>
      <c r="CZ667" s="109" t="str">
        <f t="shared" si="286"/>
        <v>Basso</v>
      </c>
    </row>
    <row r="668" spans="9:104" x14ac:dyDescent="0.15">
      <c r="I668" s="64">
        <f t="shared" si="264"/>
        <v>76.99972307006928</v>
      </c>
      <c r="M668" s="64">
        <f t="shared" si="265"/>
        <v>0</v>
      </c>
      <c r="Q668" s="64">
        <f t="shared" si="266"/>
        <v>0</v>
      </c>
      <c r="U668" s="64">
        <f t="shared" si="267"/>
        <v>0</v>
      </c>
      <c r="Y668" s="114">
        <f t="shared" si="268"/>
        <v>0</v>
      </c>
      <c r="AC668" s="64">
        <f t="shared" si="269"/>
        <v>0</v>
      </c>
      <c r="AE668" s="71"/>
      <c r="AF668" s="71"/>
      <c r="AG668" s="71">
        <f t="shared" si="270"/>
        <v>0</v>
      </c>
      <c r="AK668" s="64">
        <f t="shared" si="271"/>
        <v>0</v>
      </c>
      <c r="AM668" s="71"/>
      <c r="AN668" s="71"/>
      <c r="AO668" s="71">
        <f t="shared" si="272"/>
        <v>0</v>
      </c>
      <c r="AQ668" s="71"/>
      <c r="AR668" s="71"/>
      <c r="AS668" s="71">
        <f t="shared" si="273"/>
        <v>0</v>
      </c>
      <c r="AU668" s="71"/>
      <c r="AV668" s="71"/>
      <c r="AW668" s="71">
        <f t="shared" si="274"/>
        <v>0</v>
      </c>
      <c r="AY668" s="71"/>
      <c r="AZ668" s="71"/>
      <c r="BA668" s="71">
        <f t="shared" si="275"/>
        <v>0</v>
      </c>
      <c r="BI668" s="71"/>
      <c r="BJ668" s="71"/>
      <c r="BK668" s="71">
        <f t="shared" si="276"/>
        <v>0</v>
      </c>
      <c r="BM668" s="71"/>
      <c r="BN668" s="71"/>
      <c r="BO668" s="71">
        <f t="shared" si="277"/>
        <v>0</v>
      </c>
      <c r="BQ668" s="71"/>
      <c r="BR668" s="71"/>
      <c r="BS668" s="138">
        <f t="shared" si="278"/>
        <v>0</v>
      </c>
      <c r="BU668" s="71"/>
      <c r="BV668" s="71"/>
      <c r="BW668" s="71">
        <f t="shared" si="279"/>
        <v>0</v>
      </c>
      <c r="BZ668" s="71"/>
      <c r="CA668" s="71"/>
      <c r="CB668" s="71">
        <f t="shared" si="280"/>
        <v>0</v>
      </c>
      <c r="CD668" s="71"/>
      <c r="CE668" s="71"/>
      <c r="CF668" s="71">
        <f t="shared" si="281"/>
        <v>0</v>
      </c>
      <c r="CH668" s="71"/>
      <c r="CI668" s="71"/>
      <c r="CJ668" s="138">
        <f t="shared" si="282"/>
        <v>0</v>
      </c>
      <c r="CL668" s="71"/>
      <c r="CM668" s="71"/>
      <c r="CN668" s="71">
        <f t="shared" si="283"/>
        <v>0</v>
      </c>
      <c r="CS668" s="102">
        <f t="shared" si="284"/>
        <v>4.5293954747099576</v>
      </c>
      <c r="CT668" s="102">
        <f t="shared" si="285"/>
        <v>18.675175962423801</v>
      </c>
      <c r="CZ668" s="109" t="str">
        <f t="shared" si="286"/>
        <v>Basso</v>
      </c>
    </row>
    <row r="669" spans="9:104" x14ac:dyDescent="0.15">
      <c r="I669" s="64">
        <f t="shared" si="264"/>
        <v>76.99972307006928</v>
      </c>
      <c r="M669" s="64">
        <f t="shared" si="265"/>
        <v>0</v>
      </c>
      <c r="Q669" s="64">
        <f t="shared" si="266"/>
        <v>0</v>
      </c>
      <c r="U669" s="64">
        <f t="shared" si="267"/>
        <v>0</v>
      </c>
      <c r="Y669" s="114">
        <f t="shared" si="268"/>
        <v>0</v>
      </c>
      <c r="AC669" s="64">
        <f t="shared" si="269"/>
        <v>0</v>
      </c>
      <c r="AE669" s="71"/>
      <c r="AF669" s="71"/>
      <c r="AG669" s="71">
        <f t="shared" si="270"/>
        <v>0</v>
      </c>
      <c r="AK669" s="64">
        <f t="shared" si="271"/>
        <v>0</v>
      </c>
      <c r="AM669" s="71"/>
      <c r="AN669" s="71"/>
      <c r="AO669" s="71">
        <f t="shared" si="272"/>
        <v>0</v>
      </c>
      <c r="AQ669" s="71"/>
      <c r="AR669" s="71"/>
      <c r="AS669" s="71">
        <f t="shared" si="273"/>
        <v>0</v>
      </c>
      <c r="AU669" s="71"/>
      <c r="AV669" s="71"/>
      <c r="AW669" s="71">
        <f t="shared" si="274"/>
        <v>0</v>
      </c>
      <c r="AY669" s="71"/>
      <c r="AZ669" s="71"/>
      <c r="BA669" s="71">
        <f t="shared" si="275"/>
        <v>0</v>
      </c>
      <c r="BI669" s="71"/>
      <c r="BJ669" s="71"/>
      <c r="BK669" s="71">
        <f t="shared" si="276"/>
        <v>0</v>
      </c>
      <c r="BM669" s="71"/>
      <c r="BN669" s="71"/>
      <c r="BO669" s="71">
        <f t="shared" si="277"/>
        <v>0</v>
      </c>
      <c r="BQ669" s="71"/>
      <c r="BR669" s="71"/>
      <c r="BS669" s="138">
        <f t="shared" si="278"/>
        <v>0</v>
      </c>
      <c r="BU669" s="71"/>
      <c r="BV669" s="71"/>
      <c r="BW669" s="71">
        <f t="shared" si="279"/>
        <v>0</v>
      </c>
      <c r="BZ669" s="71"/>
      <c r="CA669" s="71"/>
      <c r="CB669" s="71">
        <f t="shared" si="280"/>
        <v>0</v>
      </c>
      <c r="CD669" s="71"/>
      <c r="CE669" s="71"/>
      <c r="CF669" s="71">
        <f t="shared" si="281"/>
        <v>0</v>
      </c>
      <c r="CH669" s="71"/>
      <c r="CI669" s="71"/>
      <c r="CJ669" s="138">
        <f t="shared" si="282"/>
        <v>0</v>
      </c>
      <c r="CL669" s="71"/>
      <c r="CM669" s="71"/>
      <c r="CN669" s="71">
        <f t="shared" si="283"/>
        <v>0</v>
      </c>
      <c r="CS669" s="102">
        <f t="shared" si="284"/>
        <v>4.5293954747099576</v>
      </c>
      <c r="CT669" s="102">
        <f t="shared" si="285"/>
        <v>18.675175962423801</v>
      </c>
      <c r="CZ669" s="109" t="str">
        <f t="shared" si="286"/>
        <v>Basso</v>
      </c>
    </row>
    <row r="670" spans="9:104" x14ac:dyDescent="0.15">
      <c r="I670" s="64">
        <f t="shared" si="264"/>
        <v>76.99972307006928</v>
      </c>
      <c r="M670" s="64">
        <f t="shared" si="265"/>
        <v>0</v>
      </c>
      <c r="Q670" s="64">
        <f t="shared" si="266"/>
        <v>0</v>
      </c>
      <c r="U670" s="64">
        <f t="shared" si="267"/>
        <v>0</v>
      </c>
      <c r="Y670" s="114">
        <f t="shared" si="268"/>
        <v>0</v>
      </c>
      <c r="AC670" s="64">
        <f t="shared" si="269"/>
        <v>0</v>
      </c>
      <c r="AE670" s="71"/>
      <c r="AF670" s="71"/>
      <c r="AG670" s="71">
        <f t="shared" si="270"/>
        <v>0</v>
      </c>
      <c r="AK670" s="64">
        <f t="shared" si="271"/>
        <v>0</v>
      </c>
      <c r="AM670" s="71"/>
      <c r="AN670" s="71"/>
      <c r="AO670" s="71">
        <f t="shared" si="272"/>
        <v>0</v>
      </c>
      <c r="AQ670" s="71"/>
      <c r="AR670" s="71"/>
      <c r="AS670" s="71">
        <f t="shared" si="273"/>
        <v>0</v>
      </c>
      <c r="AU670" s="71"/>
      <c r="AV670" s="71"/>
      <c r="AW670" s="71">
        <f t="shared" si="274"/>
        <v>0</v>
      </c>
      <c r="AY670" s="71"/>
      <c r="AZ670" s="71"/>
      <c r="BA670" s="71">
        <f t="shared" si="275"/>
        <v>0</v>
      </c>
      <c r="BI670" s="71"/>
      <c r="BJ670" s="71"/>
      <c r="BK670" s="71">
        <f t="shared" si="276"/>
        <v>0</v>
      </c>
      <c r="BM670" s="71"/>
      <c r="BN670" s="71"/>
      <c r="BO670" s="71">
        <f t="shared" si="277"/>
        <v>0</v>
      </c>
      <c r="BQ670" s="71"/>
      <c r="BR670" s="71"/>
      <c r="BS670" s="138">
        <f t="shared" si="278"/>
        <v>0</v>
      </c>
      <c r="BU670" s="71"/>
      <c r="BV670" s="71"/>
      <c r="BW670" s="71">
        <f t="shared" si="279"/>
        <v>0</v>
      </c>
      <c r="BZ670" s="71"/>
      <c r="CA670" s="71"/>
      <c r="CB670" s="71">
        <f t="shared" si="280"/>
        <v>0</v>
      </c>
      <c r="CD670" s="71"/>
      <c r="CE670" s="71"/>
      <c r="CF670" s="71">
        <f t="shared" si="281"/>
        <v>0</v>
      </c>
      <c r="CH670" s="71"/>
      <c r="CI670" s="71"/>
      <c r="CJ670" s="138">
        <f t="shared" si="282"/>
        <v>0</v>
      </c>
      <c r="CL670" s="71"/>
      <c r="CM670" s="71"/>
      <c r="CN670" s="71">
        <f t="shared" si="283"/>
        <v>0</v>
      </c>
      <c r="CS670" s="102">
        <f t="shared" si="284"/>
        <v>4.5293954747099576</v>
      </c>
      <c r="CT670" s="102">
        <f t="shared" si="285"/>
        <v>18.675175962423801</v>
      </c>
      <c r="CZ670" s="109" t="str">
        <f t="shared" si="286"/>
        <v>Basso</v>
      </c>
    </row>
    <row r="671" spans="9:104" x14ac:dyDescent="0.15">
      <c r="I671" s="64">
        <f t="shared" si="264"/>
        <v>76.99972307006928</v>
      </c>
      <c r="M671" s="64">
        <f t="shared" si="265"/>
        <v>0</v>
      </c>
      <c r="Q671" s="64">
        <f t="shared" si="266"/>
        <v>0</v>
      </c>
      <c r="U671" s="64">
        <f t="shared" si="267"/>
        <v>0</v>
      </c>
      <c r="Y671" s="114">
        <f t="shared" si="268"/>
        <v>0</v>
      </c>
      <c r="AC671" s="64">
        <f t="shared" si="269"/>
        <v>0</v>
      </c>
      <c r="AE671" s="71"/>
      <c r="AF671" s="71"/>
      <c r="AG671" s="71">
        <f t="shared" si="270"/>
        <v>0</v>
      </c>
      <c r="AK671" s="64">
        <f t="shared" si="271"/>
        <v>0</v>
      </c>
      <c r="AM671" s="71"/>
      <c r="AN671" s="71"/>
      <c r="AO671" s="71">
        <f t="shared" si="272"/>
        <v>0</v>
      </c>
      <c r="AQ671" s="71"/>
      <c r="AR671" s="71"/>
      <c r="AS671" s="71">
        <f t="shared" si="273"/>
        <v>0</v>
      </c>
      <c r="AU671" s="71"/>
      <c r="AV671" s="71"/>
      <c r="AW671" s="71">
        <f t="shared" si="274"/>
        <v>0</v>
      </c>
      <c r="AY671" s="71"/>
      <c r="AZ671" s="71"/>
      <c r="BA671" s="71">
        <f t="shared" si="275"/>
        <v>0</v>
      </c>
      <c r="BI671" s="71"/>
      <c r="BJ671" s="71"/>
      <c r="BK671" s="71">
        <f t="shared" si="276"/>
        <v>0</v>
      </c>
      <c r="BM671" s="71"/>
      <c r="BN671" s="71"/>
      <c r="BO671" s="71">
        <f t="shared" si="277"/>
        <v>0</v>
      </c>
      <c r="BQ671" s="71"/>
      <c r="BR671" s="71"/>
      <c r="BS671" s="138">
        <f t="shared" si="278"/>
        <v>0</v>
      </c>
      <c r="BU671" s="71"/>
      <c r="BV671" s="71"/>
      <c r="BW671" s="71">
        <f t="shared" si="279"/>
        <v>0</v>
      </c>
      <c r="BZ671" s="71"/>
      <c r="CA671" s="71"/>
      <c r="CB671" s="71">
        <f t="shared" si="280"/>
        <v>0</v>
      </c>
      <c r="CD671" s="71"/>
      <c r="CE671" s="71"/>
      <c r="CF671" s="71">
        <f t="shared" si="281"/>
        <v>0</v>
      </c>
      <c r="CH671" s="71"/>
      <c r="CI671" s="71"/>
      <c r="CJ671" s="138">
        <f t="shared" si="282"/>
        <v>0</v>
      </c>
      <c r="CL671" s="71"/>
      <c r="CM671" s="71"/>
      <c r="CN671" s="71">
        <f t="shared" si="283"/>
        <v>0</v>
      </c>
      <c r="CS671" s="102">
        <f t="shared" si="284"/>
        <v>4.5293954747099576</v>
      </c>
      <c r="CT671" s="102">
        <f t="shared" si="285"/>
        <v>18.675175962423801</v>
      </c>
      <c r="CZ671" s="109" t="str">
        <f t="shared" si="286"/>
        <v>Basso</v>
      </c>
    </row>
    <row r="672" spans="9:104" x14ac:dyDescent="0.15">
      <c r="I672" s="64">
        <f t="shared" si="264"/>
        <v>76.99972307006928</v>
      </c>
      <c r="M672" s="64">
        <f t="shared" si="265"/>
        <v>0</v>
      </c>
      <c r="Q672" s="64">
        <f t="shared" si="266"/>
        <v>0</v>
      </c>
      <c r="U672" s="64">
        <f t="shared" si="267"/>
        <v>0</v>
      </c>
      <c r="Y672" s="114">
        <f t="shared" si="268"/>
        <v>0</v>
      </c>
      <c r="AC672" s="64">
        <f t="shared" si="269"/>
        <v>0</v>
      </c>
      <c r="AE672" s="71"/>
      <c r="AF672" s="71"/>
      <c r="AG672" s="71">
        <f t="shared" si="270"/>
        <v>0</v>
      </c>
      <c r="AK672" s="64">
        <f t="shared" si="271"/>
        <v>0</v>
      </c>
      <c r="AM672" s="71"/>
      <c r="AN672" s="71"/>
      <c r="AO672" s="71">
        <f t="shared" si="272"/>
        <v>0</v>
      </c>
      <c r="AQ672" s="71"/>
      <c r="AR672" s="71"/>
      <c r="AS672" s="71">
        <f t="shared" si="273"/>
        <v>0</v>
      </c>
      <c r="AU672" s="71"/>
      <c r="AV672" s="71"/>
      <c r="AW672" s="71">
        <f t="shared" si="274"/>
        <v>0</v>
      </c>
      <c r="AY672" s="71"/>
      <c r="AZ672" s="71"/>
      <c r="BA672" s="71">
        <f t="shared" si="275"/>
        <v>0</v>
      </c>
      <c r="BI672" s="71"/>
      <c r="BJ672" s="71"/>
      <c r="BK672" s="71">
        <f t="shared" si="276"/>
        <v>0</v>
      </c>
      <c r="BM672" s="71"/>
      <c r="BN672" s="71"/>
      <c r="BO672" s="71">
        <f t="shared" si="277"/>
        <v>0</v>
      </c>
      <c r="BQ672" s="71"/>
      <c r="BR672" s="71"/>
      <c r="BS672" s="138">
        <f t="shared" si="278"/>
        <v>0</v>
      </c>
      <c r="BU672" s="71"/>
      <c r="BV672" s="71"/>
      <c r="BW672" s="71">
        <f t="shared" si="279"/>
        <v>0</v>
      </c>
      <c r="BZ672" s="71"/>
      <c r="CA672" s="71"/>
      <c r="CB672" s="71">
        <f t="shared" si="280"/>
        <v>0</v>
      </c>
      <c r="CD672" s="71"/>
      <c r="CE672" s="71"/>
      <c r="CF672" s="71">
        <f t="shared" si="281"/>
        <v>0</v>
      </c>
      <c r="CH672" s="71"/>
      <c r="CI672" s="71"/>
      <c r="CJ672" s="138">
        <f t="shared" si="282"/>
        <v>0</v>
      </c>
      <c r="CL672" s="71"/>
      <c r="CM672" s="71"/>
      <c r="CN672" s="71">
        <f t="shared" si="283"/>
        <v>0</v>
      </c>
      <c r="CS672" s="102">
        <f t="shared" si="284"/>
        <v>4.5293954747099576</v>
      </c>
      <c r="CT672" s="102">
        <f t="shared" si="285"/>
        <v>18.675175962423801</v>
      </c>
      <c r="CZ672" s="109" t="str">
        <f t="shared" si="286"/>
        <v>Basso</v>
      </c>
    </row>
    <row r="673" spans="9:104" x14ac:dyDescent="0.15">
      <c r="I673" s="64">
        <f t="shared" si="264"/>
        <v>76.99972307006928</v>
      </c>
      <c r="M673" s="64">
        <f t="shared" si="265"/>
        <v>0</v>
      </c>
      <c r="Q673" s="64">
        <f t="shared" si="266"/>
        <v>0</v>
      </c>
      <c r="U673" s="64">
        <f t="shared" si="267"/>
        <v>0</v>
      </c>
      <c r="Y673" s="114">
        <f t="shared" si="268"/>
        <v>0</v>
      </c>
      <c r="AC673" s="64">
        <f t="shared" si="269"/>
        <v>0</v>
      </c>
      <c r="AE673" s="71"/>
      <c r="AF673" s="71"/>
      <c r="AG673" s="71">
        <f t="shared" si="270"/>
        <v>0</v>
      </c>
      <c r="AK673" s="64">
        <f t="shared" si="271"/>
        <v>0</v>
      </c>
      <c r="AM673" s="71"/>
      <c r="AN673" s="71"/>
      <c r="AO673" s="71">
        <f t="shared" si="272"/>
        <v>0</v>
      </c>
      <c r="AQ673" s="71"/>
      <c r="AR673" s="71"/>
      <c r="AS673" s="71">
        <f t="shared" si="273"/>
        <v>0</v>
      </c>
      <c r="AU673" s="71"/>
      <c r="AV673" s="71"/>
      <c r="AW673" s="71">
        <f t="shared" si="274"/>
        <v>0</v>
      </c>
      <c r="AY673" s="71"/>
      <c r="AZ673" s="71"/>
      <c r="BA673" s="71">
        <f t="shared" si="275"/>
        <v>0</v>
      </c>
      <c r="BI673" s="71"/>
      <c r="BJ673" s="71"/>
      <c r="BK673" s="71">
        <f t="shared" si="276"/>
        <v>0</v>
      </c>
      <c r="BM673" s="71"/>
      <c r="BN673" s="71"/>
      <c r="BO673" s="71">
        <f t="shared" si="277"/>
        <v>0</v>
      </c>
      <c r="BQ673" s="71"/>
      <c r="BR673" s="71"/>
      <c r="BS673" s="138">
        <f t="shared" si="278"/>
        <v>0</v>
      </c>
      <c r="BU673" s="71"/>
      <c r="BV673" s="71"/>
      <c r="BW673" s="71">
        <f t="shared" si="279"/>
        <v>0</v>
      </c>
      <c r="BZ673" s="71"/>
      <c r="CA673" s="71"/>
      <c r="CB673" s="71">
        <f t="shared" si="280"/>
        <v>0</v>
      </c>
      <c r="CD673" s="71"/>
      <c r="CE673" s="71"/>
      <c r="CF673" s="71">
        <f t="shared" si="281"/>
        <v>0</v>
      </c>
      <c r="CH673" s="71"/>
      <c r="CI673" s="71"/>
      <c r="CJ673" s="138">
        <f t="shared" si="282"/>
        <v>0</v>
      </c>
      <c r="CL673" s="71"/>
      <c r="CM673" s="71"/>
      <c r="CN673" s="71">
        <f t="shared" si="283"/>
        <v>0</v>
      </c>
      <c r="CS673" s="102">
        <f t="shared" si="284"/>
        <v>4.5293954747099576</v>
      </c>
      <c r="CT673" s="102">
        <f t="shared" si="285"/>
        <v>18.675175962423801</v>
      </c>
      <c r="CZ673" s="109" t="str">
        <f t="shared" si="286"/>
        <v>Basso</v>
      </c>
    </row>
    <row r="674" spans="9:104" x14ac:dyDescent="0.15">
      <c r="I674" s="64">
        <f t="shared" si="264"/>
        <v>76.99972307006928</v>
      </c>
      <c r="M674" s="64">
        <f t="shared" si="265"/>
        <v>0</v>
      </c>
      <c r="Q674" s="64">
        <f t="shared" si="266"/>
        <v>0</v>
      </c>
      <c r="U674" s="64">
        <f t="shared" si="267"/>
        <v>0</v>
      </c>
      <c r="Y674" s="114">
        <f t="shared" si="268"/>
        <v>0</v>
      </c>
      <c r="AC674" s="64">
        <f t="shared" si="269"/>
        <v>0</v>
      </c>
      <c r="AE674" s="71"/>
      <c r="AF674" s="71"/>
      <c r="AG674" s="71">
        <f t="shared" si="270"/>
        <v>0</v>
      </c>
      <c r="AK674" s="64">
        <f t="shared" si="271"/>
        <v>0</v>
      </c>
      <c r="AM674" s="71"/>
      <c r="AN674" s="71"/>
      <c r="AO674" s="71">
        <f t="shared" si="272"/>
        <v>0</v>
      </c>
      <c r="AQ674" s="71"/>
      <c r="AR674" s="71"/>
      <c r="AS674" s="71">
        <f t="shared" si="273"/>
        <v>0</v>
      </c>
      <c r="AU674" s="71"/>
      <c r="AV674" s="71"/>
      <c r="AW674" s="71">
        <f t="shared" si="274"/>
        <v>0</v>
      </c>
      <c r="AY674" s="71"/>
      <c r="AZ674" s="71"/>
      <c r="BA674" s="71">
        <f t="shared" si="275"/>
        <v>0</v>
      </c>
      <c r="BI674" s="71"/>
      <c r="BJ674" s="71"/>
      <c r="BK674" s="71">
        <f t="shared" si="276"/>
        <v>0</v>
      </c>
      <c r="BM674" s="71"/>
      <c r="BN674" s="71"/>
      <c r="BO674" s="71">
        <f t="shared" si="277"/>
        <v>0</v>
      </c>
      <c r="BQ674" s="71"/>
      <c r="BR674" s="71"/>
      <c r="BS674" s="138">
        <f t="shared" si="278"/>
        <v>0</v>
      </c>
      <c r="BU674" s="71"/>
      <c r="BV674" s="71"/>
      <c r="BW674" s="71">
        <f t="shared" si="279"/>
        <v>0</v>
      </c>
      <c r="BZ674" s="71"/>
      <c r="CA674" s="71"/>
      <c r="CB674" s="71">
        <f t="shared" si="280"/>
        <v>0</v>
      </c>
      <c r="CD674" s="71"/>
      <c r="CE674" s="71"/>
      <c r="CF674" s="71">
        <f t="shared" si="281"/>
        <v>0</v>
      </c>
      <c r="CH674" s="71"/>
      <c r="CI674" s="71"/>
      <c r="CJ674" s="138">
        <f t="shared" si="282"/>
        <v>0</v>
      </c>
      <c r="CL674" s="71"/>
      <c r="CM674" s="71"/>
      <c r="CN674" s="71">
        <f t="shared" si="283"/>
        <v>0</v>
      </c>
      <c r="CS674" s="102">
        <f t="shared" si="284"/>
        <v>4.5293954747099576</v>
      </c>
      <c r="CT674" s="102">
        <f t="shared" si="285"/>
        <v>18.675175962423801</v>
      </c>
      <c r="CZ674" s="109" t="str">
        <f t="shared" si="286"/>
        <v>Basso</v>
      </c>
    </row>
    <row r="675" spans="9:104" x14ac:dyDescent="0.15">
      <c r="I675" s="64">
        <f t="shared" si="264"/>
        <v>76.99972307006928</v>
      </c>
      <c r="M675" s="64">
        <f t="shared" si="265"/>
        <v>0</v>
      </c>
      <c r="Q675" s="64">
        <f t="shared" si="266"/>
        <v>0</v>
      </c>
      <c r="U675" s="64">
        <f t="shared" si="267"/>
        <v>0</v>
      </c>
      <c r="Y675" s="114">
        <f t="shared" si="268"/>
        <v>0</v>
      </c>
      <c r="AC675" s="64">
        <f t="shared" si="269"/>
        <v>0</v>
      </c>
      <c r="AE675" s="71"/>
      <c r="AF675" s="71"/>
      <c r="AG675" s="71">
        <f t="shared" si="270"/>
        <v>0</v>
      </c>
      <c r="AK675" s="64">
        <f t="shared" si="271"/>
        <v>0</v>
      </c>
      <c r="AM675" s="71"/>
      <c r="AN675" s="71"/>
      <c r="AO675" s="71">
        <f t="shared" si="272"/>
        <v>0</v>
      </c>
      <c r="AQ675" s="71"/>
      <c r="AR675" s="71"/>
      <c r="AS675" s="71">
        <f t="shared" si="273"/>
        <v>0</v>
      </c>
      <c r="AU675" s="71"/>
      <c r="AV675" s="71"/>
      <c r="AW675" s="71">
        <f t="shared" si="274"/>
        <v>0</v>
      </c>
      <c r="AY675" s="71"/>
      <c r="AZ675" s="71"/>
      <c r="BA675" s="71">
        <f t="shared" si="275"/>
        <v>0</v>
      </c>
      <c r="BI675" s="71"/>
      <c r="BJ675" s="71"/>
      <c r="BK675" s="71">
        <f t="shared" si="276"/>
        <v>0</v>
      </c>
      <c r="BM675" s="71"/>
      <c r="BN675" s="71"/>
      <c r="BO675" s="71">
        <f t="shared" si="277"/>
        <v>0</v>
      </c>
      <c r="BQ675" s="71"/>
      <c r="BR675" s="71"/>
      <c r="BS675" s="138">
        <f t="shared" si="278"/>
        <v>0</v>
      </c>
      <c r="BU675" s="71"/>
      <c r="BV675" s="71"/>
      <c r="BW675" s="71">
        <f t="shared" si="279"/>
        <v>0</v>
      </c>
      <c r="BZ675" s="71"/>
      <c r="CA675" s="71"/>
      <c r="CB675" s="71">
        <f t="shared" si="280"/>
        <v>0</v>
      </c>
      <c r="CD675" s="71"/>
      <c r="CE675" s="71"/>
      <c r="CF675" s="71">
        <f t="shared" si="281"/>
        <v>0</v>
      </c>
      <c r="CH675" s="71"/>
      <c r="CI675" s="71"/>
      <c r="CJ675" s="138">
        <f t="shared" si="282"/>
        <v>0</v>
      </c>
      <c r="CL675" s="71"/>
      <c r="CM675" s="71"/>
      <c r="CN675" s="71">
        <f t="shared" si="283"/>
        <v>0</v>
      </c>
      <c r="CS675" s="102">
        <f t="shared" si="284"/>
        <v>4.5293954747099576</v>
      </c>
      <c r="CT675" s="102">
        <f t="shared" si="285"/>
        <v>18.675175962423801</v>
      </c>
      <c r="CZ675" s="109" t="str">
        <f t="shared" si="286"/>
        <v>Basso</v>
      </c>
    </row>
    <row r="676" spans="9:104" x14ac:dyDescent="0.15">
      <c r="I676" s="64">
        <f t="shared" si="264"/>
        <v>76.99972307006928</v>
      </c>
      <c r="M676" s="64">
        <f t="shared" si="265"/>
        <v>0</v>
      </c>
      <c r="Q676" s="64">
        <f t="shared" si="266"/>
        <v>0</v>
      </c>
      <c r="U676" s="64">
        <f t="shared" si="267"/>
        <v>0</v>
      </c>
      <c r="Y676" s="114">
        <f t="shared" si="268"/>
        <v>0</v>
      </c>
      <c r="AC676" s="64">
        <f t="shared" si="269"/>
        <v>0</v>
      </c>
      <c r="AE676" s="71"/>
      <c r="AF676" s="71"/>
      <c r="AG676" s="71">
        <f t="shared" si="270"/>
        <v>0</v>
      </c>
      <c r="AK676" s="64">
        <f t="shared" si="271"/>
        <v>0</v>
      </c>
      <c r="AM676" s="71"/>
      <c r="AN676" s="71"/>
      <c r="AO676" s="71">
        <f t="shared" si="272"/>
        <v>0</v>
      </c>
      <c r="AQ676" s="71"/>
      <c r="AR676" s="71"/>
      <c r="AS676" s="71">
        <f t="shared" si="273"/>
        <v>0</v>
      </c>
      <c r="AU676" s="71"/>
      <c r="AV676" s="71"/>
      <c r="AW676" s="71">
        <f t="shared" si="274"/>
        <v>0</v>
      </c>
      <c r="AY676" s="71"/>
      <c r="AZ676" s="71"/>
      <c r="BA676" s="71">
        <f t="shared" si="275"/>
        <v>0</v>
      </c>
      <c r="BI676" s="71"/>
      <c r="BJ676" s="71"/>
      <c r="BK676" s="71">
        <f t="shared" si="276"/>
        <v>0</v>
      </c>
      <c r="BM676" s="71"/>
      <c r="BN676" s="71"/>
      <c r="BO676" s="71">
        <f t="shared" si="277"/>
        <v>0</v>
      </c>
      <c r="BQ676" s="71"/>
      <c r="BR676" s="71"/>
      <c r="BS676" s="138">
        <f t="shared" si="278"/>
        <v>0</v>
      </c>
      <c r="BU676" s="71"/>
      <c r="BV676" s="71"/>
      <c r="BW676" s="71">
        <f t="shared" si="279"/>
        <v>0</v>
      </c>
      <c r="BZ676" s="71"/>
      <c r="CA676" s="71"/>
      <c r="CB676" s="71">
        <f t="shared" si="280"/>
        <v>0</v>
      </c>
      <c r="CD676" s="71"/>
      <c r="CE676" s="71"/>
      <c r="CF676" s="71">
        <f t="shared" si="281"/>
        <v>0</v>
      </c>
      <c r="CH676" s="71"/>
      <c r="CI676" s="71"/>
      <c r="CJ676" s="138">
        <f t="shared" si="282"/>
        <v>0</v>
      </c>
      <c r="CL676" s="71"/>
      <c r="CM676" s="71"/>
      <c r="CN676" s="71">
        <f t="shared" si="283"/>
        <v>0</v>
      </c>
      <c r="CS676" s="102">
        <f t="shared" si="284"/>
        <v>4.5293954747099576</v>
      </c>
      <c r="CT676" s="102">
        <f t="shared" si="285"/>
        <v>18.675175962423801</v>
      </c>
      <c r="CZ676" s="109" t="str">
        <f t="shared" si="286"/>
        <v>Basso</v>
      </c>
    </row>
    <row r="677" spans="9:104" x14ac:dyDescent="0.15">
      <c r="I677" s="64">
        <f t="shared" si="264"/>
        <v>76.99972307006928</v>
      </c>
      <c r="M677" s="64">
        <f t="shared" si="265"/>
        <v>0</v>
      </c>
      <c r="Q677" s="64">
        <f t="shared" si="266"/>
        <v>0</v>
      </c>
      <c r="U677" s="64">
        <f t="shared" si="267"/>
        <v>0</v>
      </c>
      <c r="Y677" s="114">
        <f t="shared" si="268"/>
        <v>0</v>
      </c>
      <c r="AC677" s="64">
        <f t="shared" si="269"/>
        <v>0</v>
      </c>
      <c r="AE677" s="71"/>
      <c r="AF677" s="71"/>
      <c r="AG677" s="71">
        <f t="shared" si="270"/>
        <v>0</v>
      </c>
      <c r="AK677" s="64">
        <f t="shared" si="271"/>
        <v>0</v>
      </c>
      <c r="AM677" s="71"/>
      <c r="AN677" s="71"/>
      <c r="AO677" s="71">
        <f t="shared" si="272"/>
        <v>0</v>
      </c>
      <c r="AQ677" s="71"/>
      <c r="AR677" s="71"/>
      <c r="AS677" s="71">
        <f t="shared" si="273"/>
        <v>0</v>
      </c>
      <c r="AU677" s="71"/>
      <c r="AV677" s="71"/>
      <c r="AW677" s="71">
        <f t="shared" si="274"/>
        <v>0</v>
      </c>
      <c r="AY677" s="71"/>
      <c r="AZ677" s="71"/>
      <c r="BA677" s="71">
        <f t="shared" si="275"/>
        <v>0</v>
      </c>
      <c r="BI677" s="71"/>
      <c r="BJ677" s="71"/>
      <c r="BK677" s="71">
        <f t="shared" si="276"/>
        <v>0</v>
      </c>
      <c r="BM677" s="71"/>
      <c r="BN677" s="71"/>
      <c r="BO677" s="71">
        <f t="shared" si="277"/>
        <v>0</v>
      </c>
      <c r="BQ677" s="71"/>
      <c r="BR677" s="71"/>
      <c r="BS677" s="138">
        <f t="shared" si="278"/>
        <v>0</v>
      </c>
      <c r="BU677" s="71"/>
      <c r="BV677" s="71"/>
      <c r="BW677" s="71">
        <f t="shared" si="279"/>
        <v>0</v>
      </c>
      <c r="BZ677" s="71"/>
      <c r="CA677" s="71"/>
      <c r="CB677" s="71">
        <f t="shared" si="280"/>
        <v>0</v>
      </c>
      <c r="CD677" s="71"/>
      <c r="CE677" s="71"/>
      <c r="CF677" s="71">
        <f t="shared" si="281"/>
        <v>0</v>
      </c>
      <c r="CH677" s="71"/>
      <c r="CI677" s="71"/>
      <c r="CJ677" s="138">
        <f t="shared" si="282"/>
        <v>0</v>
      </c>
      <c r="CL677" s="71"/>
      <c r="CM677" s="71"/>
      <c r="CN677" s="71">
        <f t="shared" si="283"/>
        <v>0</v>
      </c>
      <c r="CS677" s="102">
        <f t="shared" si="284"/>
        <v>4.5293954747099576</v>
      </c>
      <c r="CT677" s="102">
        <f t="shared" si="285"/>
        <v>18.675175962423801</v>
      </c>
      <c r="CZ677" s="109" t="str">
        <f t="shared" si="286"/>
        <v>Basso</v>
      </c>
    </row>
    <row r="678" spans="9:104" x14ac:dyDescent="0.15">
      <c r="I678" s="64">
        <f t="shared" si="264"/>
        <v>76.99972307006928</v>
      </c>
      <c r="M678" s="64">
        <f t="shared" si="265"/>
        <v>0</v>
      </c>
      <c r="Q678" s="64">
        <f t="shared" si="266"/>
        <v>0</v>
      </c>
      <c r="U678" s="64">
        <f t="shared" si="267"/>
        <v>0</v>
      </c>
      <c r="Y678" s="114">
        <f t="shared" si="268"/>
        <v>0</v>
      </c>
      <c r="AC678" s="64">
        <f t="shared" si="269"/>
        <v>0</v>
      </c>
      <c r="AE678" s="71"/>
      <c r="AF678" s="71"/>
      <c r="AG678" s="71">
        <f t="shared" si="270"/>
        <v>0</v>
      </c>
      <c r="AK678" s="64">
        <f t="shared" si="271"/>
        <v>0</v>
      </c>
      <c r="AM678" s="71"/>
      <c r="AN678" s="71"/>
      <c r="AO678" s="71">
        <f t="shared" si="272"/>
        <v>0</v>
      </c>
      <c r="AQ678" s="71"/>
      <c r="AR678" s="71"/>
      <c r="AS678" s="71">
        <f t="shared" si="273"/>
        <v>0</v>
      </c>
      <c r="AU678" s="71"/>
      <c r="AV678" s="71"/>
      <c r="AW678" s="71">
        <f t="shared" si="274"/>
        <v>0</v>
      </c>
      <c r="AY678" s="71"/>
      <c r="AZ678" s="71"/>
      <c r="BA678" s="71">
        <f t="shared" si="275"/>
        <v>0</v>
      </c>
      <c r="BI678" s="71"/>
      <c r="BJ678" s="71"/>
      <c r="BK678" s="71">
        <f t="shared" si="276"/>
        <v>0</v>
      </c>
      <c r="BM678" s="71"/>
      <c r="BN678" s="71"/>
      <c r="BO678" s="71">
        <f t="shared" si="277"/>
        <v>0</v>
      </c>
      <c r="BQ678" s="71"/>
      <c r="BR678" s="71"/>
      <c r="BS678" s="138">
        <f t="shared" si="278"/>
        <v>0</v>
      </c>
      <c r="BU678" s="71"/>
      <c r="BV678" s="71"/>
      <c r="BW678" s="71">
        <f t="shared" si="279"/>
        <v>0</v>
      </c>
      <c r="BZ678" s="71"/>
      <c r="CA678" s="71"/>
      <c r="CB678" s="71">
        <f t="shared" si="280"/>
        <v>0</v>
      </c>
      <c r="CD678" s="71"/>
      <c r="CE678" s="71"/>
      <c r="CF678" s="71">
        <f t="shared" si="281"/>
        <v>0</v>
      </c>
      <c r="CH678" s="71"/>
      <c r="CI678" s="71"/>
      <c r="CJ678" s="138">
        <f t="shared" si="282"/>
        <v>0</v>
      </c>
      <c r="CL678" s="71"/>
      <c r="CM678" s="71"/>
      <c r="CN678" s="71">
        <f t="shared" si="283"/>
        <v>0</v>
      </c>
      <c r="CS678" s="102">
        <f t="shared" si="284"/>
        <v>4.5293954747099576</v>
      </c>
      <c r="CT678" s="102">
        <f t="shared" si="285"/>
        <v>18.675175962423801</v>
      </c>
      <c r="CZ678" s="109" t="str">
        <f t="shared" si="286"/>
        <v>Basso</v>
      </c>
    </row>
    <row r="679" spans="9:104" x14ac:dyDescent="0.15">
      <c r="I679" s="64">
        <f t="shared" si="264"/>
        <v>76.99972307006928</v>
      </c>
      <c r="M679" s="64">
        <f t="shared" si="265"/>
        <v>0</v>
      </c>
      <c r="Q679" s="64">
        <f t="shared" si="266"/>
        <v>0</v>
      </c>
      <c r="U679" s="64">
        <f t="shared" si="267"/>
        <v>0</v>
      </c>
      <c r="Y679" s="114">
        <f t="shared" si="268"/>
        <v>0</v>
      </c>
      <c r="AC679" s="64">
        <f t="shared" si="269"/>
        <v>0</v>
      </c>
      <c r="AE679" s="71"/>
      <c r="AF679" s="71"/>
      <c r="AG679" s="71">
        <f t="shared" si="270"/>
        <v>0</v>
      </c>
      <c r="AK679" s="64">
        <f t="shared" si="271"/>
        <v>0</v>
      </c>
      <c r="AM679" s="71"/>
      <c r="AN679" s="71"/>
      <c r="AO679" s="71">
        <f t="shared" si="272"/>
        <v>0</v>
      </c>
      <c r="AQ679" s="71"/>
      <c r="AR679" s="71"/>
      <c r="AS679" s="71">
        <f t="shared" si="273"/>
        <v>0</v>
      </c>
      <c r="AU679" s="71"/>
      <c r="AV679" s="71"/>
      <c r="AW679" s="71">
        <f t="shared" si="274"/>
        <v>0</v>
      </c>
      <c r="AY679" s="71"/>
      <c r="AZ679" s="71"/>
      <c r="BA679" s="71">
        <f t="shared" si="275"/>
        <v>0</v>
      </c>
      <c r="BI679" s="71"/>
      <c r="BJ679" s="71"/>
      <c r="BK679" s="71">
        <f t="shared" si="276"/>
        <v>0</v>
      </c>
      <c r="BM679" s="71"/>
      <c r="BN679" s="71"/>
      <c r="BO679" s="71">
        <f t="shared" si="277"/>
        <v>0</v>
      </c>
      <c r="BQ679" s="71"/>
      <c r="BR679" s="71"/>
      <c r="BS679" s="138">
        <f t="shared" si="278"/>
        <v>0</v>
      </c>
      <c r="BU679" s="71"/>
      <c r="BV679" s="71"/>
      <c r="BW679" s="71">
        <f t="shared" si="279"/>
        <v>0</v>
      </c>
      <c r="BZ679" s="71"/>
      <c r="CA679" s="71"/>
      <c r="CB679" s="71">
        <f t="shared" si="280"/>
        <v>0</v>
      </c>
      <c r="CD679" s="71"/>
      <c r="CE679" s="71"/>
      <c r="CF679" s="71">
        <f t="shared" si="281"/>
        <v>0</v>
      </c>
      <c r="CH679" s="71"/>
      <c r="CI679" s="71"/>
      <c r="CJ679" s="138">
        <f t="shared" si="282"/>
        <v>0</v>
      </c>
      <c r="CL679" s="71"/>
      <c r="CM679" s="71"/>
      <c r="CN679" s="71">
        <f t="shared" si="283"/>
        <v>0</v>
      </c>
      <c r="CS679" s="102">
        <f t="shared" si="284"/>
        <v>4.5293954747099576</v>
      </c>
      <c r="CT679" s="102">
        <f t="shared" si="285"/>
        <v>18.675175962423801</v>
      </c>
      <c r="CZ679" s="109" t="str">
        <f t="shared" si="286"/>
        <v>Basso</v>
      </c>
    </row>
    <row r="680" spans="9:104" x14ac:dyDescent="0.15">
      <c r="I680" s="64">
        <f t="shared" si="264"/>
        <v>76.99972307006928</v>
      </c>
      <c r="M680" s="64">
        <f t="shared" si="265"/>
        <v>0</v>
      </c>
      <c r="Q680" s="64">
        <f t="shared" si="266"/>
        <v>0</v>
      </c>
      <c r="U680" s="64">
        <f t="shared" si="267"/>
        <v>0</v>
      </c>
      <c r="Y680" s="114">
        <f t="shared" si="268"/>
        <v>0</v>
      </c>
      <c r="AC680" s="64">
        <f t="shared" si="269"/>
        <v>0</v>
      </c>
      <c r="AE680" s="71"/>
      <c r="AF680" s="71"/>
      <c r="AG680" s="71">
        <f t="shared" si="270"/>
        <v>0</v>
      </c>
      <c r="AK680" s="64">
        <f t="shared" si="271"/>
        <v>0</v>
      </c>
      <c r="AM680" s="71"/>
      <c r="AN680" s="71"/>
      <c r="AO680" s="71">
        <f t="shared" si="272"/>
        <v>0</v>
      </c>
      <c r="AQ680" s="71"/>
      <c r="AR680" s="71"/>
      <c r="AS680" s="71">
        <f t="shared" si="273"/>
        <v>0</v>
      </c>
      <c r="AU680" s="71"/>
      <c r="AV680" s="71"/>
      <c r="AW680" s="71">
        <f t="shared" si="274"/>
        <v>0</v>
      </c>
      <c r="AY680" s="71"/>
      <c r="AZ680" s="71"/>
      <c r="BA680" s="71">
        <f t="shared" si="275"/>
        <v>0</v>
      </c>
      <c r="BI680" s="71"/>
      <c r="BJ680" s="71"/>
      <c r="BK680" s="71">
        <f t="shared" si="276"/>
        <v>0</v>
      </c>
      <c r="BM680" s="71"/>
      <c r="BN680" s="71"/>
      <c r="BO680" s="71">
        <f t="shared" si="277"/>
        <v>0</v>
      </c>
      <c r="BQ680" s="71"/>
      <c r="BR680" s="71"/>
      <c r="BS680" s="138">
        <f t="shared" si="278"/>
        <v>0</v>
      </c>
      <c r="BU680" s="71"/>
      <c r="BV680" s="71"/>
      <c r="BW680" s="71">
        <f t="shared" si="279"/>
        <v>0</v>
      </c>
      <c r="BZ680" s="71"/>
      <c r="CA680" s="71"/>
      <c r="CB680" s="71">
        <f t="shared" si="280"/>
        <v>0</v>
      </c>
      <c r="CD680" s="71"/>
      <c r="CE680" s="71"/>
      <c r="CF680" s="71">
        <f t="shared" si="281"/>
        <v>0</v>
      </c>
      <c r="CH680" s="71"/>
      <c r="CI680" s="71"/>
      <c r="CJ680" s="138">
        <f t="shared" si="282"/>
        <v>0</v>
      </c>
      <c r="CL680" s="71"/>
      <c r="CM680" s="71"/>
      <c r="CN680" s="71">
        <f t="shared" si="283"/>
        <v>0</v>
      </c>
      <c r="CS680" s="102">
        <f t="shared" si="284"/>
        <v>4.5293954747099576</v>
      </c>
      <c r="CT680" s="102">
        <f t="shared" si="285"/>
        <v>18.675175962423801</v>
      </c>
      <c r="CZ680" s="109" t="str">
        <f t="shared" si="286"/>
        <v>Basso</v>
      </c>
    </row>
    <row r="681" spans="9:104" x14ac:dyDescent="0.15">
      <c r="I681" s="64">
        <f t="shared" si="264"/>
        <v>76.99972307006928</v>
      </c>
      <c r="M681" s="64">
        <f t="shared" si="265"/>
        <v>0</v>
      </c>
      <c r="Q681" s="64">
        <f t="shared" si="266"/>
        <v>0</v>
      </c>
      <c r="U681" s="64">
        <f t="shared" si="267"/>
        <v>0</v>
      </c>
      <c r="Y681" s="114">
        <f t="shared" si="268"/>
        <v>0</v>
      </c>
      <c r="AC681" s="64">
        <f t="shared" si="269"/>
        <v>0</v>
      </c>
      <c r="AE681" s="71"/>
      <c r="AF681" s="71"/>
      <c r="AG681" s="71">
        <f t="shared" si="270"/>
        <v>0</v>
      </c>
      <c r="AK681" s="64">
        <f t="shared" si="271"/>
        <v>0</v>
      </c>
      <c r="AM681" s="71"/>
      <c r="AN681" s="71"/>
      <c r="AO681" s="71">
        <f t="shared" si="272"/>
        <v>0</v>
      </c>
      <c r="AQ681" s="71"/>
      <c r="AR681" s="71"/>
      <c r="AS681" s="71">
        <f t="shared" si="273"/>
        <v>0</v>
      </c>
      <c r="AU681" s="71"/>
      <c r="AV681" s="71"/>
      <c r="AW681" s="71">
        <f t="shared" si="274"/>
        <v>0</v>
      </c>
      <c r="AY681" s="71"/>
      <c r="AZ681" s="71"/>
      <c r="BA681" s="71">
        <f t="shared" si="275"/>
        <v>0</v>
      </c>
      <c r="BI681" s="71"/>
      <c r="BJ681" s="71"/>
      <c r="BK681" s="71">
        <f t="shared" si="276"/>
        <v>0</v>
      </c>
      <c r="BM681" s="71"/>
      <c r="BN681" s="71"/>
      <c r="BO681" s="71">
        <f t="shared" si="277"/>
        <v>0</v>
      </c>
      <c r="BQ681" s="71"/>
      <c r="BR681" s="71"/>
      <c r="BS681" s="138">
        <f t="shared" si="278"/>
        <v>0</v>
      </c>
      <c r="BU681" s="71"/>
      <c r="BV681" s="71"/>
      <c r="BW681" s="71">
        <f t="shared" si="279"/>
        <v>0</v>
      </c>
      <c r="BZ681" s="71"/>
      <c r="CA681" s="71"/>
      <c r="CB681" s="71">
        <f t="shared" si="280"/>
        <v>0</v>
      </c>
      <c r="CD681" s="71"/>
      <c r="CE681" s="71"/>
      <c r="CF681" s="71">
        <f t="shared" si="281"/>
        <v>0</v>
      </c>
      <c r="CH681" s="71"/>
      <c r="CI681" s="71"/>
      <c r="CJ681" s="138">
        <f t="shared" si="282"/>
        <v>0</v>
      </c>
      <c r="CL681" s="71"/>
      <c r="CM681" s="71"/>
      <c r="CN681" s="71">
        <f t="shared" si="283"/>
        <v>0</v>
      </c>
      <c r="CS681" s="102">
        <f t="shared" si="284"/>
        <v>4.5293954747099576</v>
      </c>
      <c r="CT681" s="102">
        <f t="shared" si="285"/>
        <v>18.675175962423801</v>
      </c>
      <c r="CZ681" s="109" t="str">
        <f t="shared" si="286"/>
        <v>Basso</v>
      </c>
    </row>
    <row r="682" spans="9:104" x14ac:dyDescent="0.15">
      <c r="I682" s="64">
        <f t="shared" si="264"/>
        <v>76.99972307006928</v>
      </c>
      <c r="M682" s="64">
        <f t="shared" si="265"/>
        <v>0</v>
      </c>
      <c r="Q682" s="64">
        <f t="shared" si="266"/>
        <v>0</v>
      </c>
      <c r="U682" s="64">
        <f t="shared" si="267"/>
        <v>0</v>
      </c>
      <c r="Y682" s="114">
        <f t="shared" si="268"/>
        <v>0</v>
      </c>
      <c r="AC682" s="64">
        <f t="shared" si="269"/>
        <v>0</v>
      </c>
      <c r="AE682" s="71"/>
      <c r="AF682" s="71"/>
      <c r="AG682" s="71">
        <f t="shared" si="270"/>
        <v>0</v>
      </c>
      <c r="AK682" s="64">
        <f t="shared" si="271"/>
        <v>0</v>
      </c>
      <c r="AM682" s="71"/>
      <c r="AN682" s="71"/>
      <c r="AO682" s="71">
        <f t="shared" si="272"/>
        <v>0</v>
      </c>
      <c r="AQ682" s="71"/>
      <c r="AR682" s="71"/>
      <c r="AS682" s="71">
        <f t="shared" si="273"/>
        <v>0</v>
      </c>
      <c r="AU682" s="71"/>
      <c r="AV682" s="71"/>
      <c r="AW682" s="71">
        <f t="shared" si="274"/>
        <v>0</v>
      </c>
      <c r="AY682" s="71"/>
      <c r="AZ682" s="71"/>
      <c r="BA682" s="71">
        <f t="shared" si="275"/>
        <v>0</v>
      </c>
      <c r="BI682" s="71"/>
      <c r="BJ682" s="71"/>
      <c r="BK682" s="71">
        <f t="shared" si="276"/>
        <v>0</v>
      </c>
      <c r="BM682" s="71"/>
      <c r="BN682" s="71"/>
      <c r="BO682" s="71">
        <f t="shared" si="277"/>
        <v>0</v>
      </c>
      <c r="BQ682" s="71"/>
      <c r="BR682" s="71"/>
      <c r="BS682" s="138">
        <f t="shared" si="278"/>
        <v>0</v>
      </c>
      <c r="BU682" s="71"/>
      <c r="BV682" s="71"/>
      <c r="BW682" s="71">
        <f t="shared" si="279"/>
        <v>0</v>
      </c>
      <c r="BZ682" s="71"/>
      <c r="CA682" s="71"/>
      <c r="CB682" s="71">
        <f t="shared" si="280"/>
        <v>0</v>
      </c>
      <c r="CD682" s="71"/>
      <c r="CE682" s="71"/>
      <c r="CF682" s="71">
        <f t="shared" si="281"/>
        <v>0</v>
      </c>
      <c r="CH682" s="71"/>
      <c r="CI682" s="71"/>
      <c r="CJ682" s="138">
        <f t="shared" si="282"/>
        <v>0</v>
      </c>
      <c r="CL682" s="71"/>
      <c r="CM682" s="71"/>
      <c r="CN682" s="71">
        <f t="shared" si="283"/>
        <v>0</v>
      </c>
      <c r="CS682" s="102">
        <f t="shared" si="284"/>
        <v>4.5293954747099576</v>
      </c>
      <c r="CT682" s="102">
        <f t="shared" si="285"/>
        <v>18.675175962423801</v>
      </c>
      <c r="CZ682" s="109" t="str">
        <f t="shared" si="286"/>
        <v>Basso</v>
      </c>
    </row>
    <row r="683" spans="9:104" x14ac:dyDescent="0.15">
      <c r="I683" s="64">
        <f t="shared" si="264"/>
        <v>76.99972307006928</v>
      </c>
      <c r="M683" s="64">
        <f t="shared" si="265"/>
        <v>0</v>
      </c>
      <c r="Q683" s="64">
        <f t="shared" si="266"/>
        <v>0</v>
      </c>
      <c r="U683" s="64">
        <f t="shared" si="267"/>
        <v>0</v>
      </c>
      <c r="Y683" s="114">
        <f t="shared" si="268"/>
        <v>0</v>
      </c>
      <c r="AC683" s="64">
        <f t="shared" si="269"/>
        <v>0</v>
      </c>
      <c r="AE683" s="71"/>
      <c r="AF683" s="71"/>
      <c r="AG683" s="71">
        <f t="shared" si="270"/>
        <v>0</v>
      </c>
      <c r="AK683" s="64">
        <f t="shared" si="271"/>
        <v>0</v>
      </c>
      <c r="AM683" s="71"/>
      <c r="AN683" s="71"/>
      <c r="AO683" s="71">
        <f t="shared" si="272"/>
        <v>0</v>
      </c>
      <c r="AQ683" s="71"/>
      <c r="AR683" s="71"/>
      <c r="AS683" s="71">
        <f t="shared" si="273"/>
        <v>0</v>
      </c>
      <c r="AU683" s="71"/>
      <c r="AV683" s="71"/>
      <c r="AW683" s="71">
        <f t="shared" si="274"/>
        <v>0</v>
      </c>
      <c r="AY683" s="71"/>
      <c r="AZ683" s="71"/>
      <c r="BA683" s="71">
        <f t="shared" si="275"/>
        <v>0</v>
      </c>
      <c r="BI683" s="71"/>
      <c r="BJ683" s="71"/>
      <c r="BK683" s="71">
        <f t="shared" si="276"/>
        <v>0</v>
      </c>
      <c r="BM683" s="71"/>
      <c r="BN683" s="71"/>
      <c r="BO683" s="71">
        <f t="shared" si="277"/>
        <v>0</v>
      </c>
      <c r="BQ683" s="71"/>
      <c r="BR683" s="71"/>
      <c r="BS683" s="138">
        <f t="shared" si="278"/>
        <v>0</v>
      </c>
      <c r="BU683" s="71"/>
      <c r="BV683" s="71"/>
      <c r="BW683" s="71">
        <f t="shared" si="279"/>
        <v>0</v>
      </c>
      <c r="BZ683" s="71"/>
      <c r="CA683" s="71"/>
      <c r="CB683" s="71">
        <f t="shared" si="280"/>
        <v>0</v>
      </c>
      <c r="CD683" s="71"/>
      <c r="CE683" s="71"/>
      <c r="CF683" s="71">
        <f t="shared" si="281"/>
        <v>0</v>
      </c>
      <c r="CH683" s="71"/>
      <c r="CI683" s="71"/>
      <c r="CJ683" s="138">
        <f t="shared" si="282"/>
        <v>0</v>
      </c>
      <c r="CL683" s="71"/>
      <c r="CM683" s="71"/>
      <c r="CN683" s="71">
        <f t="shared" si="283"/>
        <v>0</v>
      </c>
      <c r="CS683" s="102">
        <f t="shared" si="284"/>
        <v>4.5293954747099576</v>
      </c>
      <c r="CT683" s="102">
        <f t="shared" si="285"/>
        <v>18.675175962423801</v>
      </c>
      <c r="CZ683" s="109" t="str">
        <f t="shared" si="286"/>
        <v>Basso</v>
      </c>
    </row>
    <row r="684" spans="9:104" x14ac:dyDescent="0.15">
      <c r="I684" s="64">
        <f t="shared" si="264"/>
        <v>76.99972307006928</v>
      </c>
      <c r="M684" s="64">
        <f t="shared" si="265"/>
        <v>0</v>
      </c>
      <c r="Q684" s="64">
        <f t="shared" si="266"/>
        <v>0</v>
      </c>
      <c r="U684" s="64">
        <f t="shared" si="267"/>
        <v>0</v>
      </c>
      <c r="Y684" s="114">
        <f t="shared" si="268"/>
        <v>0</v>
      </c>
      <c r="AC684" s="64">
        <f t="shared" si="269"/>
        <v>0</v>
      </c>
      <c r="AE684" s="71"/>
      <c r="AF684" s="71"/>
      <c r="AG684" s="71">
        <f t="shared" si="270"/>
        <v>0</v>
      </c>
      <c r="AK684" s="64">
        <f t="shared" si="271"/>
        <v>0</v>
      </c>
      <c r="AM684" s="71"/>
      <c r="AN684" s="71"/>
      <c r="AO684" s="71">
        <f t="shared" si="272"/>
        <v>0</v>
      </c>
      <c r="AQ684" s="71"/>
      <c r="AR684" s="71"/>
      <c r="AS684" s="71">
        <f t="shared" si="273"/>
        <v>0</v>
      </c>
      <c r="AU684" s="71"/>
      <c r="AV684" s="71"/>
      <c r="AW684" s="71">
        <f t="shared" si="274"/>
        <v>0</v>
      </c>
      <c r="AY684" s="71"/>
      <c r="AZ684" s="71"/>
      <c r="BA684" s="71">
        <f t="shared" si="275"/>
        <v>0</v>
      </c>
      <c r="BI684" s="71"/>
      <c r="BJ684" s="71"/>
      <c r="BK684" s="71">
        <f t="shared" si="276"/>
        <v>0</v>
      </c>
      <c r="BM684" s="71"/>
      <c r="BN684" s="71"/>
      <c r="BO684" s="71">
        <f t="shared" si="277"/>
        <v>0</v>
      </c>
      <c r="BQ684" s="71"/>
      <c r="BR684" s="71"/>
      <c r="BS684" s="138">
        <f t="shared" si="278"/>
        <v>0</v>
      </c>
      <c r="BU684" s="71"/>
      <c r="BV684" s="71"/>
      <c r="BW684" s="71">
        <f t="shared" si="279"/>
        <v>0</v>
      </c>
      <c r="BZ684" s="71"/>
      <c r="CA684" s="71"/>
      <c r="CB684" s="71">
        <f t="shared" si="280"/>
        <v>0</v>
      </c>
      <c r="CD684" s="71"/>
      <c r="CE684" s="71"/>
      <c r="CF684" s="71">
        <f t="shared" si="281"/>
        <v>0</v>
      </c>
      <c r="CH684" s="71"/>
      <c r="CI684" s="71"/>
      <c r="CJ684" s="138">
        <f t="shared" si="282"/>
        <v>0</v>
      </c>
      <c r="CL684" s="71"/>
      <c r="CM684" s="71"/>
      <c r="CN684" s="71">
        <f t="shared" si="283"/>
        <v>0</v>
      </c>
      <c r="CS684" s="102">
        <f t="shared" si="284"/>
        <v>4.5293954747099576</v>
      </c>
      <c r="CT684" s="102">
        <f t="shared" si="285"/>
        <v>18.675175962423801</v>
      </c>
      <c r="CZ684" s="109" t="str">
        <f t="shared" si="286"/>
        <v>Basso</v>
      </c>
    </row>
    <row r="685" spans="9:104" x14ac:dyDescent="0.15">
      <c r="I685" s="64">
        <f t="shared" si="264"/>
        <v>76.99972307006928</v>
      </c>
      <c r="M685" s="64">
        <f t="shared" si="265"/>
        <v>0</v>
      </c>
      <c r="Q685" s="64">
        <f t="shared" si="266"/>
        <v>0</v>
      </c>
      <c r="U685" s="64">
        <f t="shared" si="267"/>
        <v>0</v>
      </c>
      <c r="Y685" s="114">
        <f t="shared" si="268"/>
        <v>0</v>
      </c>
      <c r="AC685" s="64">
        <f t="shared" si="269"/>
        <v>0</v>
      </c>
      <c r="AE685" s="71"/>
      <c r="AF685" s="71"/>
      <c r="AG685" s="71">
        <f t="shared" si="270"/>
        <v>0</v>
      </c>
      <c r="AK685" s="64">
        <f t="shared" si="271"/>
        <v>0</v>
      </c>
      <c r="AM685" s="71"/>
      <c r="AN685" s="71"/>
      <c r="AO685" s="71">
        <f t="shared" si="272"/>
        <v>0</v>
      </c>
      <c r="AQ685" s="71"/>
      <c r="AR685" s="71"/>
      <c r="AS685" s="71">
        <f t="shared" si="273"/>
        <v>0</v>
      </c>
      <c r="AU685" s="71"/>
      <c r="AV685" s="71"/>
      <c r="AW685" s="71">
        <f t="shared" si="274"/>
        <v>0</v>
      </c>
      <c r="AY685" s="71"/>
      <c r="AZ685" s="71"/>
      <c r="BA685" s="71">
        <f t="shared" si="275"/>
        <v>0</v>
      </c>
      <c r="BI685" s="71"/>
      <c r="BJ685" s="71"/>
      <c r="BK685" s="71">
        <f t="shared" si="276"/>
        <v>0</v>
      </c>
      <c r="BM685" s="71"/>
      <c r="BN685" s="71"/>
      <c r="BO685" s="71">
        <f t="shared" si="277"/>
        <v>0</v>
      </c>
      <c r="BQ685" s="71"/>
      <c r="BR685" s="71"/>
      <c r="BS685" s="138">
        <f t="shared" si="278"/>
        <v>0</v>
      </c>
      <c r="BU685" s="71"/>
      <c r="BV685" s="71"/>
      <c r="BW685" s="71">
        <f t="shared" si="279"/>
        <v>0</v>
      </c>
      <c r="BZ685" s="71"/>
      <c r="CA685" s="71"/>
      <c r="CB685" s="71">
        <f t="shared" si="280"/>
        <v>0</v>
      </c>
      <c r="CD685" s="71"/>
      <c r="CE685" s="71"/>
      <c r="CF685" s="71">
        <f t="shared" si="281"/>
        <v>0</v>
      </c>
      <c r="CH685" s="71"/>
      <c r="CI685" s="71"/>
      <c r="CJ685" s="138">
        <f t="shared" si="282"/>
        <v>0</v>
      </c>
      <c r="CL685" s="71"/>
      <c r="CM685" s="71"/>
      <c r="CN685" s="71">
        <f t="shared" si="283"/>
        <v>0</v>
      </c>
      <c r="CS685" s="102">
        <f t="shared" si="284"/>
        <v>4.5293954747099576</v>
      </c>
      <c r="CT685" s="102">
        <f t="shared" si="285"/>
        <v>18.675175962423801</v>
      </c>
      <c r="CZ685" s="109" t="str">
        <f t="shared" si="286"/>
        <v>Basso</v>
      </c>
    </row>
    <row r="686" spans="9:104" x14ac:dyDescent="0.15">
      <c r="I686" s="64">
        <f t="shared" si="264"/>
        <v>76.99972307006928</v>
      </c>
      <c r="M686" s="64">
        <f t="shared" si="265"/>
        <v>0</v>
      </c>
      <c r="Q686" s="64">
        <f t="shared" si="266"/>
        <v>0</v>
      </c>
      <c r="U686" s="64">
        <f t="shared" si="267"/>
        <v>0</v>
      </c>
      <c r="Y686" s="114">
        <f t="shared" si="268"/>
        <v>0</v>
      </c>
      <c r="AC686" s="64">
        <f t="shared" si="269"/>
        <v>0</v>
      </c>
      <c r="AE686" s="71"/>
      <c r="AF686" s="71"/>
      <c r="AG686" s="71">
        <f t="shared" si="270"/>
        <v>0</v>
      </c>
      <c r="AK686" s="64">
        <f t="shared" si="271"/>
        <v>0</v>
      </c>
      <c r="AM686" s="71"/>
      <c r="AN686" s="71"/>
      <c r="AO686" s="71">
        <f t="shared" si="272"/>
        <v>0</v>
      </c>
      <c r="AQ686" s="71"/>
      <c r="AR686" s="71"/>
      <c r="AS686" s="71">
        <f t="shared" si="273"/>
        <v>0</v>
      </c>
      <c r="AU686" s="71"/>
      <c r="AV686" s="71"/>
      <c r="AW686" s="71">
        <f t="shared" si="274"/>
        <v>0</v>
      </c>
      <c r="AY686" s="71"/>
      <c r="AZ686" s="71"/>
      <c r="BA686" s="71">
        <f t="shared" si="275"/>
        <v>0</v>
      </c>
      <c r="BI686" s="71"/>
      <c r="BJ686" s="71"/>
      <c r="BK686" s="71">
        <f t="shared" si="276"/>
        <v>0</v>
      </c>
      <c r="BM686" s="71"/>
      <c r="BN686" s="71"/>
      <c r="BO686" s="71">
        <f t="shared" si="277"/>
        <v>0</v>
      </c>
      <c r="BQ686" s="71"/>
      <c r="BR686" s="71"/>
      <c r="BS686" s="138">
        <f t="shared" si="278"/>
        <v>0</v>
      </c>
      <c r="BU686" s="71"/>
      <c r="BV686" s="71"/>
      <c r="BW686" s="71">
        <f t="shared" si="279"/>
        <v>0</v>
      </c>
      <c r="BZ686" s="71"/>
      <c r="CA686" s="71"/>
      <c r="CB686" s="71">
        <f t="shared" si="280"/>
        <v>0</v>
      </c>
      <c r="CD686" s="71"/>
      <c r="CE686" s="71"/>
      <c r="CF686" s="71">
        <f t="shared" si="281"/>
        <v>0</v>
      </c>
      <c r="CH686" s="71"/>
      <c r="CI686" s="71"/>
      <c r="CJ686" s="138">
        <f t="shared" si="282"/>
        <v>0</v>
      </c>
      <c r="CL686" s="71"/>
      <c r="CM686" s="71"/>
      <c r="CN686" s="71">
        <f t="shared" si="283"/>
        <v>0</v>
      </c>
      <c r="CS686" s="102">
        <f t="shared" si="284"/>
        <v>4.5293954747099576</v>
      </c>
      <c r="CT686" s="102">
        <f t="shared" si="285"/>
        <v>18.675175962423801</v>
      </c>
      <c r="CZ686" s="109" t="str">
        <f t="shared" si="286"/>
        <v>Basso</v>
      </c>
    </row>
    <row r="687" spans="9:104" x14ac:dyDescent="0.15">
      <c r="I687" s="64">
        <f t="shared" si="264"/>
        <v>76.99972307006928</v>
      </c>
      <c r="M687" s="64">
        <f t="shared" si="265"/>
        <v>0</v>
      </c>
      <c r="Q687" s="64">
        <f t="shared" si="266"/>
        <v>0</v>
      </c>
      <c r="U687" s="64">
        <f t="shared" si="267"/>
        <v>0</v>
      </c>
      <c r="Y687" s="114">
        <f t="shared" si="268"/>
        <v>0</v>
      </c>
      <c r="AC687" s="64">
        <f t="shared" si="269"/>
        <v>0</v>
      </c>
      <c r="AE687" s="71"/>
      <c r="AF687" s="71"/>
      <c r="AG687" s="71">
        <f t="shared" si="270"/>
        <v>0</v>
      </c>
      <c r="AK687" s="64">
        <f t="shared" si="271"/>
        <v>0</v>
      </c>
      <c r="AM687" s="71"/>
      <c r="AN687" s="71"/>
      <c r="AO687" s="71">
        <f t="shared" si="272"/>
        <v>0</v>
      </c>
      <c r="AQ687" s="71"/>
      <c r="AR687" s="71"/>
      <c r="AS687" s="71">
        <f t="shared" si="273"/>
        <v>0</v>
      </c>
      <c r="AU687" s="71"/>
      <c r="AV687" s="71"/>
      <c r="AW687" s="71">
        <f t="shared" si="274"/>
        <v>0</v>
      </c>
      <c r="AY687" s="71"/>
      <c r="AZ687" s="71"/>
      <c r="BA687" s="71">
        <f t="shared" si="275"/>
        <v>0</v>
      </c>
      <c r="BI687" s="71"/>
      <c r="BJ687" s="71"/>
      <c r="BK687" s="71">
        <f t="shared" si="276"/>
        <v>0</v>
      </c>
      <c r="BM687" s="71"/>
      <c r="BN687" s="71"/>
      <c r="BO687" s="71">
        <f t="shared" si="277"/>
        <v>0</v>
      </c>
      <c r="BQ687" s="71"/>
      <c r="BR687" s="71"/>
      <c r="BS687" s="138">
        <f t="shared" si="278"/>
        <v>0</v>
      </c>
      <c r="BU687" s="71"/>
      <c r="BV687" s="71"/>
      <c r="BW687" s="71">
        <f t="shared" si="279"/>
        <v>0</v>
      </c>
      <c r="BZ687" s="71"/>
      <c r="CA687" s="71"/>
      <c r="CB687" s="71">
        <f t="shared" si="280"/>
        <v>0</v>
      </c>
      <c r="CD687" s="71"/>
      <c r="CE687" s="71"/>
      <c r="CF687" s="71">
        <f t="shared" si="281"/>
        <v>0</v>
      </c>
      <c r="CH687" s="71"/>
      <c r="CI687" s="71"/>
      <c r="CJ687" s="138">
        <f t="shared" si="282"/>
        <v>0</v>
      </c>
      <c r="CL687" s="71"/>
      <c r="CM687" s="71"/>
      <c r="CN687" s="71">
        <f t="shared" si="283"/>
        <v>0</v>
      </c>
      <c r="CS687" s="102">
        <f t="shared" si="284"/>
        <v>4.5293954747099576</v>
      </c>
      <c r="CT687" s="102">
        <f t="shared" si="285"/>
        <v>18.675175962423801</v>
      </c>
      <c r="CZ687" s="109" t="str">
        <f t="shared" si="286"/>
        <v>Basso</v>
      </c>
    </row>
    <row r="688" spans="9:104" x14ac:dyDescent="0.15">
      <c r="I688" s="64">
        <f t="shared" si="264"/>
        <v>76.99972307006928</v>
      </c>
      <c r="M688" s="64">
        <f t="shared" si="265"/>
        <v>0</v>
      </c>
      <c r="Q688" s="64">
        <f t="shared" si="266"/>
        <v>0</v>
      </c>
      <c r="U688" s="64">
        <f t="shared" si="267"/>
        <v>0</v>
      </c>
      <c r="Y688" s="114">
        <f t="shared" si="268"/>
        <v>0</v>
      </c>
      <c r="AC688" s="64">
        <f t="shared" si="269"/>
        <v>0</v>
      </c>
      <c r="AE688" s="71"/>
      <c r="AF688" s="71"/>
      <c r="AG688" s="71">
        <f t="shared" si="270"/>
        <v>0</v>
      </c>
      <c r="AK688" s="64">
        <f t="shared" si="271"/>
        <v>0</v>
      </c>
      <c r="AM688" s="71"/>
      <c r="AN688" s="71"/>
      <c r="AO688" s="71">
        <f t="shared" si="272"/>
        <v>0</v>
      </c>
      <c r="AQ688" s="71"/>
      <c r="AR688" s="71"/>
      <c r="AS688" s="71">
        <f t="shared" si="273"/>
        <v>0</v>
      </c>
      <c r="AU688" s="71"/>
      <c r="AV688" s="71"/>
      <c r="AW688" s="71">
        <f t="shared" si="274"/>
        <v>0</v>
      </c>
      <c r="AY688" s="71"/>
      <c r="AZ688" s="71"/>
      <c r="BA688" s="71">
        <f t="shared" si="275"/>
        <v>0</v>
      </c>
      <c r="BI688" s="71"/>
      <c r="BJ688" s="71"/>
      <c r="BK688" s="71">
        <f t="shared" si="276"/>
        <v>0</v>
      </c>
      <c r="BM688" s="71"/>
      <c r="BN688" s="71"/>
      <c r="BO688" s="71">
        <f t="shared" si="277"/>
        <v>0</v>
      </c>
      <c r="BQ688" s="71"/>
      <c r="BR688" s="71"/>
      <c r="BS688" s="138">
        <f t="shared" si="278"/>
        <v>0</v>
      </c>
      <c r="BU688" s="71"/>
      <c r="BV688" s="71"/>
      <c r="BW688" s="71">
        <f t="shared" si="279"/>
        <v>0</v>
      </c>
      <c r="BZ688" s="71"/>
      <c r="CA688" s="71"/>
      <c r="CB688" s="71">
        <f t="shared" si="280"/>
        <v>0</v>
      </c>
      <c r="CD688" s="71"/>
      <c r="CE688" s="71"/>
      <c r="CF688" s="71">
        <f t="shared" si="281"/>
        <v>0</v>
      </c>
      <c r="CH688" s="71"/>
      <c r="CI688" s="71"/>
      <c r="CJ688" s="138">
        <f t="shared" si="282"/>
        <v>0</v>
      </c>
      <c r="CL688" s="71"/>
      <c r="CM688" s="71"/>
      <c r="CN688" s="71">
        <f t="shared" si="283"/>
        <v>0</v>
      </c>
      <c r="CS688" s="102">
        <f t="shared" si="284"/>
        <v>4.5293954747099576</v>
      </c>
      <c r="CT688" s="102">
        <f t="shared" si="285"/>
        <v>18.675175962423801</v>
      </c>
      <c r="CZ688" s="109" t="str">
        <f t="shared" si="286"/>
        <v>Basso</v>
      </c>
    </row>
    <row r="689" spans="9:104" x14ac:dyDescent="0.15">
      <c r="I689" s="64">
        <f t="shared" si="264"/>
        <v>76.99972307006928</v>
      </c>
      <c r="M689" s="64">
        <f t="shared" si="265"/>
        <v>0</v>
      </c>
      <c r="Q689" s="64">
        <f t="shared" si="266"/>
        <v>0</v>
      </c>
      <c r="U689" s="64">
        <f t="shared" si="267"/>
        <v>0</v>
      </c>
      <c r="Y689" s="114">
        <f t="shared" si="268"/>
        <v>0</v>
      </c>
      <c r="AC689" s="64">
        <f t="shared" si="269"/>
        <v>0</v>
      </c>
      <c r="AE689" s="71"/>
      <c r="AF689" s="71"/>
      <c r="AG689" s="71">
        <f t="shared" si="270"/>
        <v>0</v>
      </c>
      <c r="AK689" s="64">
        <f t="shared" si="271"/>
        <v>0</v>
      </c>
      <c r="AM689" s="71"/>
      <c r="AN689" s="71"/>
      <c r="AO689" s="71">
        <f t="shared" si="272"/>
        <v>0</v>
      </c>
      <c r="AQ689" s="71"/>
      <c r="AR689" s="71"/>
      <c r="AS689" s="71">
        <f t="shared" si="273"/>
        <v>0</v>
      </c>
      <c r="AU689" s="71"/>
      <c r="AV689" s="71"/>
      <c r="AW689" s="71">
        <f t="shared" si="274"/>
        <v>0</v>
      </c>
      <c r="AY689" s="71"/>
      <c r="AZ689" s="71"/>
      <c r="BA689" s="71">
        <f t="shared" si="275"/>
        <v>0</v>
      </c>
      <c r="BI689" s="71"/>
      <c r="BJ689" s="71"/>
      <c r="BK689" s="71">
        <f t="shared" si="276"/>
        <v>0</v>
      </c>
      <c r="BM689" s="71"/>
      <c r="BN689" s="71"/>
      <c r="BO689" s="71">
        <f t="shared" si="277"/>
        <v>0</v>
      </c>
      <c r="BQ689" s="71"/>
      <c r="BR689" s="71"/>
      <c r="BS689" s="138">
        <f t="shared" si="278"/>
        <v>0</v>
      </c>
      <c r="BU689" s="71"/>
      <c r="BV689" s="71"/>
      <c r="BW689" s="71">
        <f t="shared" si="279"/>
        <v>0</v>
      </c>
      <c r="BZ689" s="71"/>
      <c r="CA689" s="71"/>
      <c r="CB689" s="71">
        <f t="shared" si="280"/>
        <v>0</v>
      </c>
      <c r="CD689" s="71"/>
      <c r="CE689" s="71"/>
      <c r="CF689" s="71">
        <f t="shared" si="281"/>
        <v>0</v>
      </c>
      <c r="CH689" s="71"/>
      <c r="CI689" s="71"/>
      <c r="CJ689" s="138">
        <f t="shared" si="282"/>
        <v>0</v>
      </c>
      <c r="CL689" s="71"/>
      <c r="CM689" s="71"/>
      <c r="CN689" s="71">
        <f t="shared" si="283"/>
        <v>0</v>
      </c>
      <c r="CS689" s="102">
        <f t="shared" si="284"/>
        <v>4.5293954747099576</v>
      </c>
      <c r="CT689" s="102">
        <f t="shared" si="285"/>
        <v>18.675175962423801</v>
      </c>
      <c r="CZ689" s="109" t="str">
        <f t="shared" si="286"/>
        <v>Basso</v>
      </c>
    </row>
    <row r="690" spans="9:104" x14ac:dyDescent="0.15">
      <c r="I690" s="64">
        <f t="shared" si="264"/>
        <v>76.99972307006928</v>
      </c>
      <c r="M690" s="64">
        <f t="shared" si="265"/>
        <v>0</v>
      </c>
      <c r="Q690" s="64">
        <f t="shared" si="266"/>
        <v>0</v>
      </c>
      <c r="U690" s="64">
        <f t="shared" si="267"/>
        <v>0</v>
      </c>
      <c r="Y690" s="114">
        <f t="shared" si="268"/>
        <v>0</v>
      </c>
      <c r="AC690" s="64">
        <f t="shared" si="269"/>
        <v>0</v>
      </c>
      <c r="AE690" s="71"/>
      <c r="AF690" s="71"/>
      <c r="AG690" s="71">
        <f t="shared" si="270"/>
        <v>0</v>
      </c>
      <c r="AK690" s="64">
        <f t="shared" si="271"/>
        <v>0</v>
      </c>
      <c r="AM690" s="71"/>
      <c r="AN690" s="71"/>
      <c r="AO690" s="71">
        <f t="shared" si="272"/>
        <v>0</v>
      </c>
      <c r="AQ690" s="71"/>
      <c r="AR690" s="71"/>
      <c r="AS690" s="71">
        <f t="shared" si="273"/>
        <v>0</v>
      </c>
      <c r="AU690" s="71"/>
      <c r="AV690" s="71"/>
      <c r="AW690" s="71">
        <f t="shared" si="274"/>
        <v>0</v>
      </c>
      <c r="AY690" s="71"/>
      <c r="AZ690" s="71"/>
      <c r="BA690" s="71">
        <f t="shared" si="275"/>
        <v>0</v>
      </c>
      <c r="BI690" s="71"/>
      <c r="BJ690" s="71"/>
      <c r="BK690" s="71">
        <f t="shared" si="276"/>
        <v>0</v>
      </c>
      <c r="BM690" s="71"/>
      <c r="BN690" s="71"/>
      <c r="BO690" s="71">
        <f t="shared" si="277"/>
        <v>0</v>
      </c>
      <c r="BQ690" s="71"/>
      <c r="BR690" s="71"/>
      <c r="BS690" s="138">
        <f t="shared" si="278"/>
        <v>0</v>
      </c>
      <c r="BU690" s="71"/>
      <c r="BV690" s="71"/>
      <c r="BW690" s="71">
        <f t="shared" si="279"/>
        <v>0</v>
      </c>
      <c r="BZ690" s="71"/>
      <c r="CA690" s="71"/>
      <c r="CB690" s="71">
        <f t="shared" si="280"/>
        <v>0</v>
      </c>
      <c r="CD690" s="71"/>
      <c r="CE690" s="71"/>
      <c r="CF690" s="71">
        <f t="shared" si="281"/>
        <v>0</v>
      </c>
      <c r="CH690" s="71"/>
      <c r="CI690" s="71"/>
      <c r="CJ690" s="138">
        <f t="shared" si="282"/>
        <v>0</v>
      </c>
      <c r="CL690" s="71"/>
      <c r="CM690" s="71"/>
      <c r="CN690" s="71">
        <f t="shared" si="283"/>
        <v>0</v>
      </c>
      <c r="CS690" s="102">
        <f t="shared" si="284"/>
        <v>4.5293954747099576</v>
      </c>
      <c r="CT690" s="102">
        <f t="shared" si="285"/>
        <v>18.675175962423801</v>
      </c>
      <c r="CZ690" s="109" t="str">
        <f t="shared" si="286"/>
        <v>Basso</v>
      </c>
    </row>
    <row r="691" spans="9:104" x14ac:dyDescent="0.15">
      <c r="I691" s="64">
        <f t="shared" si="264"/>
        <v>76.99972307006928</v>
      </c>
      <c r="M691" s="64">
        <f t="shared" si="265"/>
        <v>0</v>
      </c>
      <c r="Q691" s="64">
        <f t="shared" si="266"/>
        <v>0</v>
      </c>
      <c r="U691" s="64">
        <f t="shared" si="267"/>
        <v>0</v>
      </c>
      <c r="Y691" s="114">
        <f t="shared" si="268"/>
        <v>0</v>
      </c>
      <c r="AC691" s="64">
        <f t="shared" si="269"/>
        <v>0</v>
      </c>
      <c r="AE691" s="71"/>
      <c r="AF691" s="71"/>
      <c r="AG691" s="71">
        <f t="shared" si="270"/>
        <v>0</v>
      </c>
      <c r="AK691" s="64">
        <f t="shared" si="271"/>
        <v>0</v>
      </c>
      <c r="AM691" s="71"/>
      <c r="AN691" s="71"/>
      <c r="AO691" s="71">
        <f t="shared" si="272"/>
        <v>0</v>
      </c>
      <c r="AQ691" s="71"/>
      <c r="AR691" s="71"/>
      <c r="AS691" s="71">
        <f t="shared" si="273"/>
        <v>0</v>
      </c>
      <c r="AU691" s="71"/>
      <c r="AV691" s="71"/>
      <c r="AW691" s="71">
        <f t="shared" si="274"/>
        <v>0</v>
      </c>
      <c r="AY691" s="71"/>
      <c r="AZ691" s="71"/>
      <c r="BA691" s="71">
        <f t="shared" si="275"/>
        <v>0</v>
      </c>
      <c r="BI691" s="71"/>
      <c r="BJ691" s="71"/>
      <c r="BK691" s="71">
        <f t="shared" si="276"/>
        <v>0</v>
      </c>
      <c r="BM691" s="71"/>
      <c r="BN691" s="71"/>
      <c r="BO691" s="71">
        <f t="shared" si="277"/>
        <v>0</v>
      </c>
      <c r="BQ691" s="71"/>
      <c r="BR691" s="71"/>
      <c r="BS691" s="138">
        <f t="shared" si="278"/>
        <v>0</v>
      </c>
      <c r="BU691" s="71"/>
      <c r="BV691" s="71"/>
      <c r="BW691" s="71">
        <f t="shared" si="279"/>
        <v>0</v>
      </c>
      <c r="BZ691" s="71"/>
      <c r="CA691" s="71"/>
      <c r="CB691" s="71">
        <f t="shared" si="280"/>
        <v>0</v>
      </c>
      <c r="CD691" s="71"/>
      <c r="CE691" s="71"/>
      <c r="CF691" s="71">
        <f t="shared" si="281"/>
        <v>0</v>
      </c>
      <c r="CH691" s="71"/>
      <c r="CI691" s="71"/>
      <c r="CJ691" s="138">
        <f t="shared" si="282"/>
        <v>0</v>
      </c>
      <c r="CL691" s="71"/>
      <c r="CM691" s="71"/>
      <c r="CN691" s="71">
        <f t="shared" si="283"/>
        <v>0</v>
      </c>
      <c r="CS691" s="102">
        <f t="shared" si="284"/>
        <v>4.5293954747099576</v>
      </c>
      <c r="CT691" s="102">
        <f t="shared" si="285"/>
        <v>18.675175962423801</v>
      </c>
      <c r="CZ691" s="109" t="str">
        <f t="shared" si="286"/>
        <v>Basso</v>
      </c>
    </row>
    <row r="692" spans="9:104" x14ac:dyDescent="0.15">
      <c r="I692" s="64">
        <f t="shared" si="264"/>
        <v>76.99972307006928</v>
      </c>
      <c r="M692" s="64">
        <f t="shared" si="265"/>
        <v>0</v>
      </c>
      <c r="Q692" s="64">
        <f t="shared" si="266"/>
        <v>0</v>
      </c>
      <c r="U692" s="64">
        <f t="shared" si="267"/>
        <v>0</v>
      </c>
      <c r="Y692" s="114">
        <f t="shared" si="268"/>
        <v>0</v>
      </c>
      <c r="AC692" s="64">
        <f t="shared" si="269"/>
        <v>0</v>
      </c>
      <c r="AE692" s="71"/>
      <c r="AF692" s="71"/>
      <c r="AG692" s="71">
        <f t="shared" si="270"/>
        <v>0</v>
      </c>
      <c r="AK692" s="64">
        <f t="shared" si="271"/>
        <v>0</v>
      </c>
      <c r="AM692" s="71"/>
      <c r="AN692" s="71"/>
      <c r="AO692" s="71">
        <f t="shared" si="272"/>
        <v>0</v>
      </c>
      <c r="AQ692" s="71"/>
      <c r="AR692" s="71"/>
      <c r="AS692" s="71">
        <f t="shared" si="273"/>
        <v>0</v>
      </c>
      <c r="AU692" s="71"/>
      <c r="AV692" s="71"/>
      <c r="AW692" s="71">
        <f t="shared" si="274"/>
        <v>0</v>
      </c>
      <c r="AY692" s="71"/>
      <c r="AZ692" s="71"/>
      <c r="BA692" s="71">
        <f t="shared" si="275"/>
        <v>0</v>
      </c>
      <c r="BI692" s="71"/>
      <c r="BJ692" s="71"/>
      <c r="BK692" s="71">
        <f t="shared" si="276"/>
        <v>0</v>
      </c>
      <c r="BM692" s="71"/>
      <c r="BN692" s="71"/>
      <c r="BO692" s="71">
        <f t="shared" si="277"/>
        <v>0</v>
      </c>
      <c r="BQ692" s="71"/>
      <c r="BR692" s="71"/>
      <c r="BS692" s="138">
        <f t="shared" si="278"/>
        <v>0</v>
      </c>
      <c r="BU692" s="71"/>
      <c r="BV692" s="71"/>
      <c r="BW692" s="71">
        <f t="shared" si="279"/>
        <v>0</v>
      </c>
      <c r="BZ692" s="71"/>
      <c r="CA692" s="71"/>
      <c r="CB692" s="71">
        <f t="shared" si="280"/>
        <v>0</v>
      </c>
      <c r="CD692" s="71"/>
      <c r="CE692" s="71"/>
      <c r="CF692" s="71">
        <f t="shared" si="281"/>
        <v>0</v>
      </c>
      <c r="CH692" s="71"/>
      <c r="CI692" s="71"/>
      <c r="CJ692" s="138">
        <f t="shared" si="282"/>
        <v>0</v>
      </c>
      <c r="CL692" s="71"/>
      <c r="CM692" s="71"/>
      <c r="CN692" s="71">
        <f t="shared" si="283"/>
        <v>0</v>
      </c>
      <c r="CS692" s="102">
        <f t="shared" si="284"/>
        <v>4.5293954747099576</v>
      </c>
      <c r="CT692" s="102">
        <f t="shared" si="285"/>
        <v>18.675175962423801</v>
      </c>
      <c r="CZ692" s="109" t="str">
        <f t="shared" si="286"/>
        <v>Basso</v>
      </c>
    </row>
    <row r="693" spans="9:104" x14ac:dyDescent="0.15">
      <c r="I693" s="64">
        <f t="shared" si="264"/>
        <v>76.99972307006928</v>
      </c>
      <c r="M693" s="64">
        <f t="shared" si="265"/>
        <v>0</v>
      </c>
      <c r="Q693" s="64">
        <f t="shared" si="266"/>
        <v>0</v>
      </c>
      <c r="U693" s="64">
        <f t="shared" si="267"/>
        <v>0</v>
      </c>
      <c r="Y693" s="114">
        <f t="shared" si="268"/>
        <v>0</v>
      </c>
      <c r="AC693" s="64">
        <f t="shared" si="269"/>
        <v>0</v>
      </c>
      <c r="AE693" s="71"/>
      <c r="AF693" s="71"/>
      <c r="AG693" s="71">
        <f t="shared" si="270"/>
        <v>0</v>
      </c>
      <c r="AK693" s="64">
        <f t="shared" si="271"/>
        <v>0</v>
      </c>
      <c r="AM693" s="71"/>
      <c r="AN693" s="71"/>
      <c r="AO693" s="71">
        <f t="shared" si="272"/>
        <v>0</v>
      </c>
      <c r="AQ693" s="71"/>
      <c r="AR693" s="71"/>
      <c r="AS693" s="71">
        <f t="shared" si="273"/>
        <v>0</v>
      </c>
      <c r="AU693" s="71"/>
      <c r="AV693" s="71"/>
      <c r="AW693" s="71">
        <f t="shared" si="274"/>
        <v>0</v>
      </c>
      <c r="AY693" s="71"/>
      <c r="AZ693" s="71"/>
      <c r="BA693" s="71">
        <f t="shared" si="275"/>
        <v>0</v>
      </c>
      <c r="BI693" s="71"/>
      <c r="BJ693" s="71"/>
      <c r="BK693" s="71">
        <f t="shared" si="276"/>
        <v>0</v>
      </c>
      <c r="BM693" s="71"/>
      <c r="BN693" s="71"/>
      <c r="BO693" s="71">
        <f t="shared" si="277"/>
        <v>0</v>
      </c>
      <c r="BQ693" s="71"/>
      <c r="BR693" s="71"/>
      <c r="BS693" s="138">
        <f t="shared" si="278"/>
        <v>0</v>
      </c>
      <c r="BU693" s="71"/>
      <c r="BV693" s="71"/>
      <c r="BW693" s="71">
        <f t="shared" si="279"/>
        <v>0</v>
      </c>
      <c r="BZ693" s="71"/>
      <c r="CA693" s="71"/>
      <c r="CB693" s="71">
        <f t="shared" si="280"/>
        <v>0</v>
      </c>
      <c r="CD693" s="71"/>
      <c r="CE693" s="71"/>
      <c r="CF693" s="71">
        <f t="shared" si="281"/>
        <v>0</v>
      </c>
      <c r="CH693" s="71"/>
      <c r="CI693" s="71"/>
      <c r="CJ693" s="138">
        <f t="shared" si="282"/>
        <v>0</v>
      </c>
      <c r="CL693" s="71"/>
      <c r="CM693" s="71"/>
      <c r="CN693" s="71">
        <f t="shared" si="283"/>
        <v>0</v>
      </c>
      <c r="CS693" s="102">
        <f t="shared" si="284"/>
        <v>4.5293954747099576</v>
      </c>
      <c r="CT693" s="102">
        <f t="shared" si="285"/>
        <v>18.675175962423801</v>
      </c>
      <c r="CZ693" s="109" t="str">
        <f t="shared" si="286"/>
        <v>Basso</v>
      </c>
    </row>
    <row r="694" spans="9:104" x14ac:dyDescent="0.15">
      <c r="I694" s="64">
        <f t="shared" si="264"/>
        <v>76.99972307006928</v>
      </c>
      <c r="M694" s="64">
        <f t="shared" si="265"/>
        <v>0</v>
      </c>
      <c r="Q694" s="64">
        <f t="shared" si="266"/>
        <v>0</v>
      </c>
      <c r="U694" s="64">
        <f t="shared" si="267"/>
        <v>0</v>
      </c>
      <c r="Y694" s="114">
        <f t="shared" si="268"/>
        <v>0</v>
      </c>
      <c r="AC694" s="64">
        <f t="shared" si="269"/>
        <v>0</v>
      </c>
      <c r="AE694" s="71"/>
      <c r="AF694" s="71"/>
      <c r="AG694" s="71">
        <f t="shared" si="270"/>
        <v>0</v>
      </c>
      <c r="AK694" s="64">
        <f t="shared" si="271"/>
        <v>0</v>
      </c>
      <c r="AM694" s="71"/>
      <c r="AN694" s="71"/>
      <c r="AO694" s="71">
        <f t="shared" si="272"/>
        <v>0</v>
      </c>
      <c r="AQ694" s="71"/>
      <c r="AR694" s="71"/>
      <c r="AS694" s="71">
        <f t="shared" si="273"/>
        <v>0</v>
      </c>
      <c r="AU694" s="71"/>
      <c r="AV694" s="71"/>
      <c r="AW694" s="71">
        <f t="shared" si="274"/>
        <v>0</v>
      </c>
      <c r="AY694" s="71"/>
      <c r="AZ694" s="71"/>
      <c r="BA694" s="71">
        <f t="shared" si="275"/>
        <v>0</v>
      </c>
      <c r="BI694" s="71"/>
      <c r="BJ694" s="71"/>
      <c r="BK694" s="71">
        <f t="shared" si="276"/>
        <v>0</v>
      </c>
      <c r="BM694" s="71"/>
      <c r="BN694" s="71"/>
      <c r="BO694" s="71">
        <f t="shared" si="277"/>
        <v>0</v>
      </c>
      <c r="BQ694" s="71"/>
      <c r="BR694" s="71"/>
      <c r="BS694" s="138">
        <f t="shared" si="278"/>
        <v>0</v>
      </c>
      <c r="BU694" s="71"/>
      <c r="BV694" s="71"/>
      <c r="BW694" s="71">
        <f t="shared" si="279"/>
        <v>0</v>
      </c>
      <c r="BZ694" s="71"/>
      <c r="CA694" s="71"/>
      <c r="CB694" s="71">
        <f t="shared" si="280"/>
        <v>0</v>
      </c>
      <c r="CD694" s="71"/>
      <c r="CE694" s="71"/>
      <c r="CF694" s="71">
        <f t="shared" si="281"/>
        <v>0</v>
      </c>
      <c r="CH694" s="71"/>
      <c r="CI694" s="71"/>
      <c r="CJ694" s="138">
        <f t="shared" si="282"/>
        <v>0</v>
      </c>
      <c r="CL694" s="71"/>
      <c r="CM694" s="71"/>
      <c r="CN694" s="71">
        <f t="shared" si="283"/>
        <v>0</v>
      </c>
      <c r="CS694" s="102">
        <f t="shared" si="284"/>
        <v>4.5293954747099576</v>
      </c>
      <c r="CT694" s="102">
        <f t="shared" si="285"/>
        <v>18.675175962423801</v>
      </c>
      <c r="CZ694" s="109" t="str">
        <f t="shared" si="286"/>
        <v>Basso</v>
      </c>
    </row>
    <row r="695" spans="9:104" x14ac:dyDescent="0.15">
      <c r="I695" s="64">
        <f t="shared" si="264"/>
        <v>76.99972307006928</v>
      </c>
      <c r="M695" s="64">
        <f t="shared" si="265"/>
        <v>0</v>
      </c>
      <c r="Q695" s="64">
        <f t="shared" si="266"/>
        <v>0</v>
      </c>
      <c r="U695" s="64">
        <f t="shared" si="267"/>
        <v>0</v>
      </c>
      <c r="Y695" s="114">
        <f t="shared" si="268"/>
        <v>0</v>
      </c>
      <c r="AC695" s="64">
        <f t="shared" si="269"/>
        <v>0</v>
      </c>
      <c r="AE695" s="71"/>
      <c r="AF695" s="71"/>
      <c r="AG695" s="71">
        <f t="shared" si="270"/>
        <v>0</v>
      </c>
      <c r="AK695" s="64">
        <f t="shared" si="271"/>
        <v>0</v>
      </c>
      <c r="AM695" s="71"/>
      <c r="AN695" s="71"/>
      <c r="AO695" s="71">
        <f t="shared" si="272"/>
        <v>0</v>
      </c>
      <c r="AQ695" s="71"/>
      <c r="AR695" s="71"/>
      <c r="AS695" s="71">
        <f t="shared" si="273"/>
        <v>0</v>
      </c>
      <c r="AU695" s="71"/>
      <c r="AV695" s="71"/>
      <c r="AW695" s="71">
        <f t="shared" si="274"/>
        <v>0</v>
      </c>
      <c r="AY695" s="71"/>
      <c r="AZ695" s="71"/>
      <c r="BA695" s="71">
        <f t="shared" si="275"/>
        <v>0</v>
      </c>
      <c r="BI695" s="71"/>
      <c r="BJ695" s="71"/>
      <c r="BK695" s="71">
        <f t="shared" si="276"/>
        <v>0</v>
      </c>
      <c r="BM695" s="71"/>
      <c r="BN695" s="71"/>
      <c r="BO695" s="71">
        <f t="shared" si="277"/>
        <v>0</v>
      </c>
      <c r="BQ695" s="71"/>
      <c r="BR695" s="71"/>
      <c r="BS695" s="138">
        <f t="shared" si="278"/>
        <v>0</v>
      </c>
      <c r="BU695" s="71"/>
      <c r="BV695" s="71"/>
      <c r="BW695" s="71">
        <f t="shared" si="279"/>
        <v>0</v>
      </c>
      <c r="BZ695" s="71"/>
      <c r="CA695" s="71"/>
      <c r="CB695" s="71">
        <f t="shared" si="280"/>
        <v>0</v>
      </c>
      <c r="CD695" s="71"/>
      <c r="CE695" s="71"/>
      <c r="CF695" s="71">
        <f t="shared" si="281"/>
        <v>0</v>
      </c>
      <c r="CH695" s="71"/>
      <c r="CI695" s="71"/>
      <c r="CJ695" s="138">
        <f t="shared" si="282"/>
        <v>0</v>
      </c>
      <c r="CL695" s="71"/>
      <c r="CM695" s="71"/>
      <c r="CN695" s="71">
        <f t="shared" si="283"/>
        <v>0</v>
      </c>
      <c r="CS695" s="102">
        <f t="shared" si="284"/>
        <v>4.5293954747099576</v>
      </c>
      <c r="CT695" s="102">
        <f t="shared" si="285"/>
        <v>18.675175962423801</v>
      </c>
      <c r="CZ695" s="109" t="str">
        <f t="shared" si="286"/>
        <v>Basso</v>
      </c>
    </row>
    <row r="696" spans="9:104" x14ac:dyDescent="0.15">
      <c r="I696" s="64">
        <f t="shared" si="264"/>
        <v>76.99972307006928</v>
      </c>
      <c r="M696" s="64">
        <f t="shared" si="265"/>
        <v>0</v>
      </c>
      <c r="Q696" s="64">
        <f t="shared" si="266"/>
        <v>0</v>
      </c>
      <c r="U696" s="64">
        <f t="shared" si="267"/>
        <v>0</v>
      </c>
      <c r="Y696" s="114">
        <f t="shared" si="268"/>
        <v>0</v>
      </c>
      <c r="AC696" s="64">
        <f t="shared" si="269"/>
        <v>0</v>
      </c>
      <c r="AE696" s="71"/>
      <c r="AF696" s="71"/>
      <c r="AG696" s="71">
        <f t="shared" si="270"/>
        <v>0</v>
      </c>
      <c r="AK696" s="64">
        <f t="shared" si="271"/>
        <v>0</v>
      </c>
      <c r="AM696" s="71"/>
      <c r="AN696" s="71"/>
      <c r="AO696" s="71">
        <f t="shared" si="272"/>
        <v>0</v>
      </c>
      <c r="AQ696" s="71"/>
      <c r="AR696" s="71"/>
      <c r="AS696" s="71">
        <f t="shared" si="273"/>
        <v>0</v>
      </c>
      <c r="AU696" s="71"/>
      <c r="AV696" s="71"/>
      <c r="AW696" s="71">
        <f t="shared" si="274"/>
        <v>0</v>
      </c>
      <c r="AY696" s="71"/>
      <c r="AZ696" s="71"/>
      <c r="BA696" s="71">
        <f t="shared" si="275"/>
        <v>0</v>
      </c>
      <c r="BI696" s="71"/>
      <c r="BJ696" s="71"/>
      <c r="BK696" s="71">
        <f t="shared" si="276"/>
        <v>0</v>
      </c>
      <c r="BM696" s="71"/>
      <c r="BN696" s="71"/>
      <c r="BO696" s="71">
        <f t="shared" si="277"/>
        <v>0</v>
      </c>
      <c r="BQ696" s="71"/>
      <c r="BR696" s="71"/>
      <c r="BS696" s="138">
        <f t="shared" si="278"/>
        <v>0</v>
      </c>
      <c r="BU696" s="71"/>
      <c r="BV696" s="71"/>
      <c r="BW696" s="71">
        <f t="shared" si="279"/>
        <v>0</v>
      </c>
      <c r="BZ696" s="71"/>
      <c r="CA696" s="71"/>
      <c r="CB696" s="71">
        <f t="shared" si="280"/>
        <v>0</v>
      </c>
      <c r="CD696" s="71"/>
      <c r="CE696" s="71"/>
      <c r="CF696" s="71">
        <f t="shared" si="281"/>
        <v>0</v>
      </c>
      <c r="CH696" s="71"/>
      <c r="CI696" s="71"/>
      <c r="CJ696" s="138">
        <f t="shared" si="282"/>
        <v>0</v>
      </c>
      <c r="CL696" s="71"/>
      <c r="CM696" s="71"/>
      <c r="CN696" s="71">
        <f t="shared" si="283"/>
        <v>0</v>
      </c>
      <c r="CS696" s="102">
        <f t="shared" si="284"/>
        <v>4.5293954747099576</v>
      </c>
      <c r="CT696" s="102">
        <f t="shared" si="285"/>
        <v>18.675175962423801</v>
      </c>
      <c r="CZ696" s="109" t="str">
        <f t="shared" si="286"/>
        <v>Basso</v>
      </c>
    </row>
    <row r="697" spans="9:104" x14ac:dyDescent="0.15">
      <c r="I697" s="64">
        <f t="shared" si="264"/>
        <v>76.99972307006928</v>
      </c>
      <c r="M697" s="64">
        <f t="shared" si="265"/>
        <v>0</v>
      </c>
      <c r="Q697" s="64">
        <f t="shared" si="266"/>
        <v>0</v>
      </c>
      <c r="U697" s="64">
        <f t="shared" si="267"/>
        <v>0</v>
      </c>
      <c r="Y697" s="114">
        <f t="shared" si="268"/>
        <v>0</v>
      </c>
      <c r="AC697" s="64">
        <f t="shared" si="269"/>
        <v>0</v>
      </c>
      <c r="AE697" s="71"/>
      <c r="AF697" s="71"/>
      <c r="AG697" s="71">
        <f t="shared" si="270"/>
        <v>0</v>
      </c>
      <c r="AK697" s="64">
        <f t="shared" si="271"/>
        <v>0</v>
      </c>
      <c r="AM697" s="71"/>
      <c r="AN697" s="71"/>
      <c r="AO697" s="71">
        <f t="shared" si="272"/>
        <v>0</v>
      </c>
      <c r="AQ697" s="71"/>
      <c r="AR697" s="71"/>
      <c r="AS697" s="71">
        <f t="shared" si="273"/>
        <v>0</v>
      </c>
      <c r="AU697" s="71"/>
      <c r="AV697" s="71"/>
      <c r="AW697" s="71">
        <f t="shared" si="274"/>
        <v>0</v>
      </c>
      <c r="AY697" s="71"/>
      <c r="AZ697" s="71"/>
      <c r="BA697" s="71">
        <f t="shared" si="275"/>
        <v>0</v>
      </c>
      <c r="BI697" s="71"/>
      <c r="BJ697" s="71"/>
      <c r="BK697" s="71">
        <f t="shared" si="276"/>
        <v>0</v>
      </c>
      <c r="BM697" s="71"/>
      <c r="BN697" s="71"/>
      <c r="BO697" s="71">
        <f t="shared" si="277"/>
        <v>0</v>
      </c>
      <c r="BQ697" s="71"/>
      <c r="BR697" s="71"/>
      <c r="BS697" s="138">
        <f t="shared" si="278"/>
        <v>0</v>
      </c>
      <c r="BU697" s="71"/>
      <c r="BV697" s="71"/>
      <c r="BW697" s="71">
        <f t="shared" si="279"/>
        <v>0</v>
      </c>
      <c r="BZ697" s="71"/>
      <c r="CA697" s="71"/>
      <c r="CB697" s="71">
        <f t="shared" si="280"/>
        <v>0</v>
      </c>
      <c r="CD697" s="71"/>
      <c r="CE697" s="71"/>
      <c r="CF697" s="71">
        <f t="shared" si="281"/>
        <v>0</v>
      </c>
      <c r="CH697" s="71"/>
      <c r="CI697" s="71"/>
      <c r="CJ697" s="138">
        <f t="shared" si="282"/>
        <v>0</v>
      </c>
      <c r="CL697" s="71"/>
      <c r="CM697" s="71"/>
      <c r="CN697" s="71">
        <f t="shared" si="283"/>
        <v>0</v>
      </c>
      <c r="CS697" s="102">
        <f t="shared" si="284"/>
        <v>4.5293954747099576</v>
      </c>
      <c r="CT697" s="102">
        <f t="shared" si="285"/>
        <v>18.675175962423801</v>
      </c>
      <c r="CZ697" s="109" t="str">
        <f t="shared" si="286"/>
        <v>Basso</v>
      </c>
    </row>
    <row r="698" spans="9:104" x14ac:dyDescent="0.15">
      <c r="I698" s="64">
        <f t="shared" si="264"/>
        <v>76.99972307006928</v>
      </c>
      <c r="M698" s="64">
        <f t="shared" si="265"/>
        <v>0</v>
      </c>
      <c r="Q698" s="64">
        <f t="shared" si="266"/>
        <v>0</v>
      </c>
      <c r="U698" s="64">
        <f t="shared" si="267"/>
        <v>0</v>
      </c>
      <c r="Y698" s="114">
        <f t="shared" si="268"/>
        <v>0</v>
      </c>
      <c r="AC698" s="64">
        <f t="shared" si="269"/>
        <v>0</v>
      </c>
      <c r="AE698" s="71"/>
      <c r="AF698" s="71"/>
      <c r="AG698" s="71">
        <f t="shared" si="270"/>
        <v>0</v>
      </c>
      <c r="AK698" s="64">
        <f t="shared" si="271"/>
        <v>0</v>
      </c>
      <c r="AM698" s="71"/>
      <c r="AN698" s="71"/>
      <c r="AO698" s="71">
        <f t="shared" si="272"/>
        <v>0</v>
      </c>
      <c r="AQ698" s="71"/>
      <c r="AR698" s="71"/>
      <c r="AS698" s="71">
        <f t="shared" si="273"/>
        <v>0</v>
      </c>
      <c r="AU698" s="71"/>
      <c r="AV698" s="71"/>
      <c r="AW698" s="71">
        <f t="shared" si="274"/>
        <v>0</v>
      </c>
      <c r="AY698" s="71"/>
      <c r="AZ698" s="71"/>
      <c r="BA698" s="71">
        <f t="shared" si="275"/>
        <v>0</v>
      </c>
      <c r="BI698" s="71"/>
      <c r="BJ698" s="71"/>
      <c r="BK698" s="71">
        <f t="shared" si="276"/>
        <v>0</v>
      </c>
      <c r="BM698" s="71"/>
      <c r="BN698" s="71"/>
      <c r="BO698" s="71">
        <f t="shared" si="277"/>
        <v>0</v>
      </c>
      <c r="BQ698" s="71"/>
      <c r="BR698" s="71"/>
      <c r="BS698" s="138">
        <f t="shared" si="278"/>
        <v>0</v>
      </c>
      <c r="BU698" s="71"/>
      <c r="BV698" s="71"/>
      <c r="BW698" s="71">
        <f t="shared" si="279"/>
        <v>0</v>
      </c>
      <c r="BZ698" s="71"/>
      <c r="CA698" s="71"/>
      <c r="CB698" s="71">
        <f t="shared" si="280"/>
        <v>0</v>
      </c>
      <c r="CD698" s="71"/>
      <c r="CE698" s="71"/>
      <c r="CF698" s="71">
        <f t="shared" si="281"/>
        <v>0</v>
      </c>
      <c r="CH698" s="71"/>
      <c r="CI698" s="71"/>
      <c r="CJ698" s="138">
        <f t="shared" si="282"/>
        <v>0</v>
      </c>
      <c r="CL698" s="71"/>
      <c r="CM698" s="71"/>
      <c r="CN698" s="71">
        <f t="shared" si="283"/>
        <v>0</v>
      </c>
      <c r="CS698" s="102">
        <f t="shared" si="284"/>
        <v>4.5293954747099576</v>
      </c>
      <c r="CT698" s="102">
        <f t="shared" si="285"/>
        <v>18.675175962423801</v>
      </c>
      <c r="CZ698" s="109" t="str">
        <f t="shared" si="286"/>
        <v>Basso</v>
      </c>
    </row>
    <row r="699" spans="9:104" x14ac:dyDescent="0.15">
      <c r="I699" s="64">
        <f t="shared" si="264"/>
        <v>76.99972307006928</v>
      </c>
      <c r="M699" s="64">
        <f t="shared" si="265"/>
        <v>0</v>
      </c>
      <c r="Q699" s="64">
        <f t="shared" si="266"/>
        <v>0</v>
      </c>
      <c r="U699" s="64">
        <f t="shared" si="267"/>
        <v>0</v>
      </c>
      <c r="Y699" s="114">
        <f t="shared" si="268"/>
        <v>0</v>
      </c>
      <c r="AC699" s="64">
        <f t="shared" si="269"/>
        <v>0</v>
      </c>
      <c r="AE699" s="71"/>
      <c r="AF699" s="71"/>
      <c r="AG699" s="71">
        <f t="shared" si="270"/>
        <v>0</v>
      </c>
      <c r="AK699" s="64">
        <f t="shared" si="271"/>
        <v>0</v>
      </c>
      <c r="AM699" s="71"/>
      <c r="AN699" s="71"/>
      <c r="AO699" s="71">
        <f t="shared" si="272"/>
        <v>0</v>
      </c>
      <c r="AQ699" s="71"/>
      <c r="AR699" s="71"/>
      <c r="AS699" s="71">
        <f t="shared" si="273"/>
        <v>0</v>
      </c>
      <c r="AU699" s="71"/>
      <c r="AV699" s="71"/>
      <c r="AW699" s="71">
        <f t="shared" si="274"/>
        <v>0</v>
      </c>
      <c r="AY699" s="71"/>
      <c r="AZ699" s="71"/>
      <c r="BA699" s="71">
        <f t="shared" si="275"/>
        <v>0</v>
      </c>
      <c r="BI699" s="71"/>
      <c r="BJ699" s="71"/>
      <c r="BK699" s="71">
        <f t="shared" si="276"/>
        <v>0</v>
      </c>
      <c r="BM699" s="71"/>
      <c r="BN699" s="71"/>
      <c r="BO699" s="71">
        <f t="shared" si="277"/>
        <v>0</v>
      </c>
      <c r="BQ699" s="71"/>
      <c r="BR699" s="71"/>
      <c r="BS699" s="138">
        <f t="shared" si="278"/>
        <v>0</v>
      </c>
      <c r="BU699" s="71"/>
      <c r="BV699" s="71"/>
      <c r="BW699" s="71">
        <f t="shared" si="279"/>
        <v>0</v>
      </c>
      <c r="BZ699" s="71"/>
      <c r="CA699" s="71"/>
      <c r="CB699" s="71">
        <f t="shared" si="280"/>
        <v>0</v>
      </c>
      <c r="CD699" s="71"/>
      <c r="CE699" s="71"/>
      <c r="CF699" s="71">
        <f t="shared" si="281"/>
        <v>0</v>
      </c>
      <c r="CH699" s="71"/>
      <c r="CI699" s="71"/>
      <c r="CJ699" s="138">
        <f t="shared" si="282"/>
        <v>0</v>
      </c>
      <c r="CL699" s="71"/>
      <c r="CM699" s="71"/>
      <c r="CN699" s="71">
        <f t="shared" si="283"/>
        <v>0</v>
      </c>
      <c r="CS699" s="102">
        <f t="shared" si="284"/>
        <v>4.5293954747099576</v>
      </c>
      <c r="CT699" s="102">
        <f t="shared" si="285"/>
        <v>18.675175962423801</v>
      </c>
      <c r="CZ699" s="109" t="str">
        <f t="shared" si="286"/>
        <v>Basso</v>
      </c>
    </row>
    <row r="700" spans="9:104" x14ac:dyDescent="0.15">
      <c r="I700" s="64">
        <f t="shared" si="264"/>
        <v>76.99972307006928</v>
      </c>
      <c r="M700" s="64">
        <f t="shared" si="265"/>
        <v>0</v>
      </c>
      <c r="Q700" s="64">
        <f t="shared" si="266"/>
        <v>0</v>
      </c>
      <c r="U700" s="64">
        <f t="shared" si="267"/>
        <v>0</v>
      </c>
      <c r="Y700" s="114">
        <f t="shared" si="268"/>
        <v>0</v>
      </c>
      <c r="AC700" s="64">
        <f t="shared" si="269"/>
        <v>0</v>
      </c>
      <c r="AE700" s="71"/>
      <c r="AF700" s="71"/>
      <c r="AG700" s="71">
        <f t="shared" si="270"/>
        <v>0</v>
      </c>
      <c r="AK700" s="64">
        <f t="shared" si="271"/>
        <v>0</v>
      </c>
      <c r="AM700" s="71"/>
      <c r="AN700" s="71"/>
      <c r="AO700" s="71">
        <f t="shared" si="272"/>
        <v>0</v>
      </c>
      <c r="AQ700" s="71"/>
      <c r="AR700" s="71"/>
      <c r="AS700" s="71">
        <f t="shared" si="273"/>
        <v>0</v>
      </c>
      <c r="AU700" s="71"/>
      <c r="AV700" s="71"/>
      <c r="AW700" s="71">
        <f t="shared" si="274"/>
        <v>0</v>
      </c>
      <c r="AY700" s="71"/>
      <c r="AZ700" s="71"/>
      <c r="BA700" s="71">
        <f t="shared" si="275"/>
        <v>0</v>
      </c>
      <c r="BI700" s="71"/>
      <c r="BJ700" s="71"/>
      <c r="BK700" s="71">
        <f t="shared" si="276"/>
        <v>0</v>
      </c>
      <c r="BM700" s="71"/>
      <c r="BN700" s="71"/>
      <c r="BO700" s="71">
        <f t="shared" si="277"/>
        <v>0</v>
      </c>
      <c r="BQ700" s="71"/>
      <c r="BR700" s="71"/>
      <c r="BS700" s="138">
        <f t="shared" si="278"/>
        <v>0</v>
      </c>
      <c r="BU700" s="71"/>
      <c r="BV700" s="71"/>
      <c r="BW700" s="71">
        <f t="shared" si="279"/>
        <v>0</v>
      </c>
      <c r="BZ700" s="71"/>
      <c r="CA700" s="71"/>
      <c r="CB700" s="71">
        <f t="shared" si="280"/>
        <v>0</v>
      </c>
      <c r="CD700" s="71"/>
      <c r="CE700" s="71"/>
      <c r="CF700" s="71">
        <f t="shared" si="281"/>
        <v>0</v>
      </c>
      <c r="CH700" s="71"/>
      <c r="CI700" s="71"/>
      <c r="CJ700" s="138">
        <f t="shared" si="282"/>
        <v>0</v>
      </c>
      <c r="CL700" s="71"/>
      <c r="CM700" s="71"/>
      <c r="CN700" s="71">
        <f t="shared" si="283"/>
        <v>0</v>
      </c>
      <c r="CS700" s="102">
        <f t="shared" si="284"/>
        <v>4.5293954747099576</v>
      </c>
      <c r="CT700" s="102">
        <f t="shared" si="285"/>
        <v>18.675175962423801</v>
      </c>
      <c r="CZ700" s="109" t="str">
        <f t="shared" si="286"/>
        <v>Basso</v>
      </c>
    </row>
    <row r="701" spans="9:104" x14ac:dyDescent="0.15">
      <c r="I701" s="64">
        <f t="shared" si="264"/>
        <v>76.99972307006928</v>
      </c>
      <c r="M701" s="64">
        <f t="shared" si="265"/>
        <v>0</v>
      </c>
      <c r="Q701" s="64">
        <f t="shared" si="266"/>
        <v>0</v>
      </c>
      <c r="U701" s="64">
        <f t="shared" si="267"/>
        <v>0</v>
      </c>
      <c r="Y701" s="114">
        <f t="shared" si="268"/>
        <v>0</v>
      </c>
      <c r="AC701" s="64">
        <f t="shared" si="269"/>
        <v>0</v>
      </c>
      <c r="AE701" s="71"/>
      <c r="AF701" s="71"/>
      <c r="AG701" s="71">
        <f t="shared" si="270"/>
        <v>0</v>
      </c>
      <c r="AK701" s="64">
        <f t="shared" si="271"/>
        <v>0</v>
      </c>
      <c r="AM701" s="71"/>
      <c r="AN701" s="71"/>
      <c r="AO701" s="71">
        <f t="shared" si="272"/>
        <v>0</v>
      </c>
      <c r="AQ701" s="71"/>
      <c r="AR701" s="71"/>
      <c r="AS701" s="71">
        <f t="shared" si="273"/>
        <v>0</v>
      </c>
      <c r="AU701" s="71"/>
      <c r="AV701" s="71"/>
      <c r="AW701" s="71">
        <f t="shared" si="274"/>
        <v>0</v>
      </c>
      <c r="AY701" s="71"/>
      <c r="AZ701" s="71"/>
      <c r="BA701" s="71">
        <f t="shared" si="275"/>
        <v>0</v>
      </c>
      <c r="BI701" s="71"/>
      <c r="BJ701" s="71"/>
      <c r="BK701" s="71">
        <f t="shared" si="276"/>
        <v>0</v>
      </c>
      <c r="BM701" s="71"/>
      <c r="BN701" s="71"/>
      <c r="BO701" s="71">
        <f t="shared" si="277"/>
        <v>0</v>
      </c>
      <c r="BQ701" s="71"/>
      <c r="BR701" s="71"/>
      <c r="BS701" s="138">
        <f t="shared" si="278"/>
        <v>0</v>
      </c>
      <c r="BU701" s="71"/>
      <c r="BV701" s="71"/>
      <c r="BW701" s="71">
        <f t="shared" si="279"/>
        <v>0</v>
      </c>
      <c r="BZ701" s="71"/>
      <c r="CA701" s="71"/>
      <c r="CB701" s="71">
        <f t="shared" si="280"/>
        <v>0</v>
      </c>
      <c r="CD701" s="71"/>
      <c r="CE701" s="71"/>
      <c r="CF701" s="71">
        <f t="shared" si="281"/>
        <v>0</v>
      </c>
      <c r="CH701" s="71"/>
      <c r="CI701" s="71"/>
      <c r="CJ701" s="138">
        <f t="shared" si="282"/>
        <v>0</v>
      </c>
      <c r="CL701" s="71"/>
      <c r="CM701" s="71"/>
      <c r="CN701" s="71">
        <f t="shared" si="283"/>
        <v>0</v>
      </c>
      <c r="CS701" s="102">
        <f t="shared" si="284"/>
        <v>4.5293954747099576</v>
      </c>
      <c r="CT701" s="102">
        <f t="shared" si="285"/>
        <v>18.675175962423801</v>
      </c>
      <c r="CZ701" s="109" t="str">
        <f t="shared" si="286"/>
        <v>Basso</v>
      </c>
    </row>
    <row r="702" spans="9:104" x14ac:dyDescent="0.15">
      <c r="I702" s="64">
        <f t="shared" si="264"/>
        <v>76.99972307006928</v>
      </c>
      <c r="M702" s="64">
        <f t="shared" si="265"/>
        <v>0</v>
      </c>
      <c r="Q702" s="64">
        <f t="shared" si="266"/>
        <v>0</v>
      </c>
      <c r="U702" s="64">
        <f t="shared" si="267"/>
        <v>0</v>
      </c>
      <c r="Y702" s="114">
        <f t="shared" si="268"/>
        <v>0</v>
      </c>
      <c r="AC702" s="64">
        <f t="shared" si="269"/>
        <v>0</v>
      </c>
      <c r="AE702" s="71"/>
      <c r="AF702" s="71"/>
      <c r="AG702" s="71">
        <f t="shared" si="270"/>
        <v>0</v>
      </c>
      <c r="AK702" s="64">
        <f t="shared" si="271"/>
        <v>0</v>
      </c>
      <c r="AM702" s="71"/>
      <c r="AN702" s="71"/>
      <c r="AO702" s="71">
        <f t="shared" si="272"/>
        <v>0</v>
      </c>
      <c r="AQ702" s="71"/>
      <c r="AR702" s="71"/>
      <c r="AS702" s="71">
        <f t="shared" si="273"/>
        <v>0</v>
      </c>
      <c r="AU702" s="71"/>
      <c r="AV702" s="71"/>
      <c r="AW702" s="71">
        <f t="shared" si="274"/>
        <v>0</v>
      </c>
      <c r="AY702" s="71"/>
      <c r="AZ702" s="71"/>
      <c r="BA702" s="71">
        <f t="shared" si="275"/>
        <v>0</v>
      </c>
      <c r="BI702" s="71"/>
      <c r="BJ702" s="71"/>
      <c r="BK702" s="71">
        <f t="shared" si="276"/>
        <v>0</v>
      </c>
      <c r="BM702" s="71"/>
      <c r="BN702" s="71"/>
      <c r="BO702" s="71">
        <f t="shared" si="277"/>
        <v>0</v>
      </c>
      <c r="BQ702" s="71"/>
      <c r="BR702" s="71"/>
      <c r="BS702" s="138">
        <f t="shared" si="278"/>
        <v>0</v>
      </c>
      <c r="BU702" s="71"/>
      <c r="BV702" s="71"/>
      <c r="BW702" s="71">
        <f t="shared" si="279"/>
        <v>0</v>
      </c>
      <c r="BZ702" s="71"/>
      <c r="CA702" s="71"/>
      <c r="CB702" s="71">
        <f t="shared" si="280"/>
        <v>0</v>
      </c>
      <c r="CD702" s="71"/>
      <c r="CE702" s="71"/>
      <c r="CF702" s="71">
        <f t="shared" si="281"/>
        <v>0</v>
      </c>
      <c r="CH702" s="71"/>
      <c r="CI702" s="71"/>
      <c r="CJ702" s="138">
        <f t="shared" si="282"/>
        <v>0</v>
      </c>
      <c r="CL702" s="71"/>
      <c r="CM702" s="71"/>
      <c r="CN702" s="71">
        <f t="shared" si="283"/>
        <v>0</v>
      </c>
      <c r="CS702" s="102">
        <f t="shared" si="284"/>
        <v>4.5293954747099576</v>
      </c>
      <c r="CT702" s="102">
        <f t="shared" si="285"/>
        <v>18.675175962423801</v>
      </c>
      <c r="CZ702" s="109" t="str">
        <f t="shared" si="286"/>
        <v>Basso</v>
      </c>
    </row>
    <row r="703" spans="9:104" x14ac:dyDescent="0.15">
      <c r="I703" s="64">
        <f t="shared" si="264"/>
        <v>76.99972307006928</v>
      </c>
      <c r="M703" s="64">
        <f t="shared" si="265"/>
        <v>0</v>
      </c>
      <c r="Q703" s="64">
        <f t="shared" si="266"/>
        <v>0</v>
      </c>
      <c r="U703" s="64">
        <f t="shared" si="267"/>
        <v>0</v>
      </c>
      <c r="Y703" s="114">
        <f t="shared" si="268"/>
        <v>0</v>
      </c>
      <c r="AC703" s="64">
        <f t="shared" si="269"/>
        <v>0</v>
      </c>
      <c r="AE703" s="71"/>
      <c r="AF703" s="71"/>
      <c r="AG703" s="71">
        <f t="shared" si="270"/>
        <v>0</v>
      </c>
      <c r="AK703" s="64">
        <f t="shared" si="271"/>
        <v>0</v>
      </c>
      <c r="AM703" s="71"/>
      <c r="AN703" s="71"/>
      <c r="AO703" s="71">
        <f t="shared" si="272"/>
        <v>0</v>
      </c>
      <c r="AQ703" s="71"/>
      <c r="AR703" s="71"/>
      <c r="AS703" s="71">
        <f t="shared" si="273"/>
        <v>0</v>
      </c>
      <c r="AU703" s="71"/>
      <c r="AV703" s="71"/>
      <c r="AW703" s="71">
        <f t="shared" si="274"/>
        <v>0</v>
      </c>
      <c r="AY703" s="71"/>
      <c r="AZ703" s="71"/>
      <c r="BA703" s="71">
        <f t="shared" si="275"/>
        <v>0</v>
      </c>
      <c r="BI703" s="71"/>
      <c r="BJ703" s="71"/>
      <c r="BK703" s="71">
        <f t="shared" si="276"/>
        <v>0</v>
      </c>
      <c r="BM703" s="71"/>
      <c r="BN703" s="71"/>
      <c r="BO703" s="71">
        <f t="shared" si="277"/>
        <v>0</v>
      </c>
      <c r="BQ703" s="71"/>
      <c r="BR703" s="71"/>
      <c r="BS703" s="138">
        <f t="shared" si="278"/>
        <v>0</v>
      </c>
      <c r="BU703" s="71"/>
      <c r="BV703" s="71"/>
      <c r="BW703" s="71">
        <f t="shared" si="279"/>
        <v>0</v>
      </c>
      <c r="BZ703" s="71"/>
      <c r="CA703" s="71"/>
      <c r="CB703" s="71">
        <f t="shared" si="280"/>
        <v>0</v>
      </c>
      <c r="CD703" s="71"/>
      <c r="CE703" s="71"/>
      <c r="CF703" s="71">
        <f t="shared" si="281"/>
        <v>0</v>
      </c>
      <c r="CH703" s="71"/>
      <c r="CI703" s="71"/>
      <c r="CJ703" s="138">
        <f t="shared" si="282"/>
        <v>0</v>
      </c>
      <c r="CL703" s="71"/>
      <c r="CM703" s="71"/>
      <c r="CN703" s="71">
        <f t="shared" si="283"/>
        <v>0</v>
      </c>
      <c r="CS703" s="102">
        <f t="shared" si="284"/>
        <v>4.5293954747099576</v>
      </c>
      <c r="CT703" s="102">
        <f t="shared" si="285"/>
        <v>18.675175962423801</v>
      </c>
      <c r="CZ703" s="109" t="str">
        <f t="shared" si="286"/>
        <v>Basso</v>
      </c>
    </row>
    <row r="704" spans="9:104" x14ac:dyDescent="0.15">
      <c r="I704" s="64">
        <f t="shared" si="264"/>
        <v>76.99972307006928</v>
      </c>
      <c r="M704" s="64">
        <f t="shared" si="265"/>
        <v>0</v>
      </c>
      <c r="Q704" s="64">
        <f t="shared" si="266"/>
        <v>0</v>
      </c>
      <c r="U704" s="64">
        <f t="shared" si="267"/>
        <v>0</v>
      </c>
      <c r="Y704" s="114">
        <f t="shared" si="268"/>
        <v>0</v>
      </c>
      <c r="AC704" s="64">
        <f t="shared" si="269"/>
        <v>0</v>
      </c>
      <c r="AE704" s="71"/>
      <c r="AF704" s="71"/>
      <c r="AG704" s="71">
        <f t="shared" si="270"/>
        <v>0</v>
      </c>
      <c r="AK704" s="64">
        <f t="shared" si="271"/>
        <v>0</v>
      </c>
      <c r="AM704" s="71"/>
      <c r="AN704" s="71"/>
      <c r="AO704" s="71">
        <f t="shared" si="272"/>
        <v>0</v>
      </c>
      <c r="AQ704" s="71"/>
      <c r="AR704" s="71"/>
      <c r="AS704" s="71">
        <f t="shared" si="273"/>
        <v>0</v>
      </c>
      <c r="AU704" s="71"/>
      <c r="AV704" s="71"/>
      <c r="AW704" s="71">
        <f t="shared" si="274"/>
        <v>0</v>
      </c>
      <c r="AY704" s="71"/>
      <c r="AZ704" s="71"/>
      <c r="BA704" s="71">
        <f t="shared" si="275"/>
        <v>0</v>
      </c>
      <c r="BI704" s="71"/>
      <c r="BJ704" s="71"/>
      <c r="BK704" s="71">
        <f t="shared" si="276"/>
        <v>0</v>
      </c>
      <c r="BM704" s="71"/>
      <c r="BN704" s="71"/>
      <c r="BO704" s="71">
        <f t="shared" si="277"/>
        <v>0</v>
      </c>
      <c r="BQ704" s="71"/>
      <c r="BR704" s="71"/>
      <c r="BS704" s="138">
        <f t="shared" si="278"/>
        <v>0</v>
      </c>
      <c r="BU704" s="71"/>
      <c r="BV704" s="71"/>
      <c r="BW704" s="71">
        <f t="shared" si="279"/>
        <v>0</v>
      </c>
      <c r="BZ704" s="71"/>
      <c r="CA704" s="71"/>
      <c r="CB704" s="71">
        <f t="shared" si="280"/>
        <v>0</v>
      </c>
      <c r="CD704" s="71"/>
      <c r="CE704" s="71"/>
      <c r="CF704" s="71">
        <f t="shared" si="281"/>
        <v>0</v>
      </c>
      <c r="CH704" s="71"/>
      <c r="CI704" s="71"/>
      <c r="CJ704" s="138">
        <f t="shared" si="282"/>
        <v>0</v>
      </c>
      <c r="CL704" s="71"/>
      <c r="CM704" s="71"/>
      <c r="CN704" s="71">
        <f t="shared" si="283"/>
        <v>0</v>
      </c>
      <c r="CS704" s="102">
        <f t="shared" si="284"/>
        <v>4.5293954747099576</v>
      </c>
      <c r="CT704" s="102">
        <f t="shared" si="285"/>
        <v>18.675175962423801</v>
      </c>
      <c r="CZ704" s="109" t="str">
        <f t="shared" si="286"/>
        <v>Basso</v>
      </c>
    </row>
    <row r="705" spans="9:104" x14ac:dyDescent="0.15">
      <c r="I705" s="64">
        <f t="shared" si="264"/>
        <v>76.99972307006928</v>
      </c>
      <c r="M705" s="64">
        <f t="shared" si="265"/>
        <v>0</v>
      </c>
      <c r="Q705" s="64">
        <f t="shared" si="266"/>
        <v>0</v>
      </c>
      <c r="U705" s="64">
        <f t="shared" si="267"/>
        <v>0</v>
      </c>
      <c r="Y705" s="114">
        <f t="shared" si="268"/>
        <v>0</v>
      </c>
      <c r="AC705" s="64">
        <f t="shared" si="269"/>
        <v>0</v>
      </c>
      <c r="AE705" s="71"/>
      <c r="AF705" s="71"/>
      <c r="AG705" s="71">
        <f t="shared" si="270"/>
        <v>0</v>
      </c>
      <c r="AK705" s="64">
        <f t="shared" si="271"/>
        <v>0</v>
      </c>
      <c r="AM705" s="71"/>
      <c r="AN705" s="71"/>
      <c r="AO705" s="71">
        <f t="shared" si="272"/>
        <v>0</v>
      </c>
      <c r="AQ705" s="71"/>
      <c r="AR705" s="71"/>
      <c r="AS705" s="71">
        <f t="shared" si="273"/>
        <v>0</v>
      </c>
      <c r="AU705" s="71"/>
      <c r="AV705" s="71"/>
      <c r="AW705" s="71">
        <f t="shared" si="274"/>
        <v>0</v>
      </c>
      <c r="AY705" s="71"/>
      <c r="AZ705" s="71"/>
      <c r="BA705" s="71">
        <f t="shared" si="275"/>
        <v>0</v>
      </c>
      <c r="BI705" s="71"/>
      <c r="BJ705" s="71"/>
      <c r="BK705" s="71">
        <f t="shared" si="276"/>
        <v>0</v>
      </c>
      <c r="BM705" s="71"/>
      <c r="BN705" s="71"/>
      <c r="BO705" s="71">
        <f t="shared" si="277"/>
        <v>0</v>
      </c>
      <c r="BQ705" s="71"/>
      <c r="BR705" s="71"/>
      <c r="BS705" s="138">
        <f t="shared" si="278"/>
        <v>0</v>
      </c>
      <c r="BU705" s="71"/>
      <c r="BV705" s="71"/>
      <c r="BW705" s="71">
        <f t="shared" si="279"/>
        <v>0</v>
      </c>
      <c r="BZ705" s="71"/>
      <c r="CA705" s="71"/>
      <c r="CB705" s="71">
        <f t="shared" si="280"/>
        <v>0</v>
      </c>
      <c r="CD705" s="71"/>
      <c r="CE705" s="71"/>
      <c r="CF705" s="71">
        <f t="shared" si="281"/>
        <v>0</v>
      </c>
      <c r="CH705" s="71"/>
      <c r="CI705" s="71"/>
      <c r="CJ705" s="138">
        <f t="shared" si="282"/>
        <v>0</v>
      </c>
      <c r="CL705" s="71"/>
      <c r="CM705" s="71"/>
      <c r="CN705" s="71">
        <f t="shared" si="283"/>
        <v>0</v>
      </c>
      <c r="CS705" s="102">
        <f t="shared" si="284"/>
        <v>4.5293954747099576</v>
      </c>
      <c r="CT705" s="102">
        <f t="shared" si="285"/>
        <v>18.675175962423801</v>
      </c>
      <c r="CZ705" s="109" t="str">
        <f t="shared" si="286"/>
        <v>Basso</v>
      </c>
    </row>
    <row r="706" spans="9:104" x14ac:dyDescent="0.15">
      <c r="I706" s="64">
        <f t="shared" si="264"/>
        <v>76.99972307006928</v>
      </c>
      <c r="M706" s="64">
        <f t="shared" si="265"/>
        <v>0</v>
      </c>
      <c r="Q706" s="64">
        <f t="shared" si="266"/>
        <v>0</v>
      </c>
      <c r="U706" s="64">
        <f t="shared" si="267"/>
        <v>0</v>
      </c>
      <c r="Y706" s="114">
        <f t="shared" si="268"/>
        <v>0</v>
      </c>
      <c r="AC706" s="64">
        <f t="shared" si="269"/>
        <v>0</v>
      </c>
      <c r="AE706" s="71"/>
      <c r="AF706" s="71"/>
      <c r="AG706" s="71">
        <f t="shared" si="270"/>
        <v>0</v>
      </c>
      <c r="AK706" s="64">
        <f t="shared" si="271"/>
        <v>0</v>
      </c>
      <c r="AM706" s="71"/>
      <c r="AN706" s="71"/>
      <c r="AO706" s="71">
        <f t="shared" si="272"/>
        <v>0</v>
      </c>
      <c r="AQ706" s="71"/>
      <c r="AR706" s="71"/>
      <c r="AS706" s="71">
        <f t="shared" si="273"/>
        <v>0</v>
      </c>
      <c r="AU706" s="71"/>
      <c r="AV706" s="71"/>
      <c r="AW706" s="71">
        <f t="shared" si="274"/>
        <v>0</v>
      </c>
      <c r="AY706" s="71"/>
      <c r="AZ706" s="71"/>
      <c r="BA706" s="71">
        <f t="shared" si="275"/>
        <v>0</v>
      </c>
      <c r="BI706" s="71"/>
      <c r="BJ706" s="71"/>
      <c r="BK706" s="71">
        <f t="shared" si="276"/>
        <v>0</v>
      </c>
      <c r="BM706" s="71"/>
      <c r="BN706" s="71"/>
      <c r="BO706" s="71">
        <f t="shared" si="277"/>
        <v>0</v>
      </c>
      <c r="BQ706" s="71"/>
      <c r="BR706" s="71"/>
      <c r="BS706" s="138">
        <f t="shared" si="278"/>
        <v>0</v>
      </c>
      <c r="BU706" s="71"/>
      <c r="BV706" s="71"/>
      <c r="BW706" s="71">
        <f t="shared" si="279"/>
        <v>0</v>
      </c>
      <c r="BZ706" s="71"/>
      <c r="CA706" s="71"/>
      <c r="CB706" s="71">
        <f t="shared" si="280"/>
        <v>0</v>
      </c>
      <c r="CD706" s="71"/>
      <c r="CE706" s="71"/>
      <c r="CF706" s="71">
        <f t="shared" si="281"/>
        <v>0</v>
      </c>
      <c r="CH706" s="71"/>
      <c r="CI706" s="71"/>
      <c r="CJ706" s="138">
        <f t="shared" si="282"/>
        <v>0</v>
      </c>
      <c r="CL706" s="71"/>
      <c r="CM706" s="71"/>
      <c r="CN706" s="71">
        <f t="shared" si="283"/>
        <v>0</v>
      </c>
      <c r="CS706" s="102">
        <f t="shared" si="284"/>
        <v>4.5293954747099576</v>
      </c>
      <c r="CT706" s="102">
        <f t="shared" si="285"/>
        <v>18.675175962423801</v>
      </c>
      <c r="CZ706" s="109" t="str">
        <f t="shared" si="286"/>
        <v>Basso</v>
      </c>
    </row>
    <row r="707" spans="9:104" x14ac:dyDescent="0.15">
      <c r="I707" s="64">
        <f t="shared" ref="I707:I770" si="287">100 + ((F707 - AVERAGE(F:F)) / STDEV(F:F)) * 10</f>
        <v>76.99972307006928</v>
      </c>
      <c r="M707" s="64">
        <f t="shared" ref="M707:M770" si="288">J707/2</f>
        <v>0</v>
      </c>
      <c r="Q707" s="64">
        <f t="shared" ref="Q707:Q770" si="289">N707/2</f>
        <v>0</v>
      </c>
      <c r="U707" s="64">
        <f t="shared" ref="U707:U770" si="290">R707/3</f>
        <v>0</v>
      </c>
      <c r="Y707" s="114">
        <f t="shared" ref="Y707:Y770" si="291">V707/5</f>
        <v>0</v>
      </c>
      <c r="AC707" s="64">
        <f t="shared" ref="AC707:AC770" si="292">Z707/3</f>
        <v>0</v>
      </c>
      <c r="AE707" s="71"/>
      <c r="AF707" s="71"/>
      <c r="AG707" s="71">
        <f t="shared" ref="AG707:AG770" si="293">AD707/3</f>
        <v>0</v>
      </c>
      <c r="AK707" s="64">
        <f t="shared" ref="AK707:AK770" si="294">AH707/3</f>
        <v>0</v>
      </c>
      <c r="AM707" s="71"/>
      <c r="AN707" s="71"/>
      <c r="AO707" s="71">
        <f t="shared" ref="AO707:AO770" si="295">AL707/4</f>
        <v>0</v>
      </c>
      <c r="AQ707" s="71"/>
      <c r="AR707" s="71"/>
      <c r="AS707" s="71">
        <f t="shared" ref="AS707:AS770" si="296">AP707/3</f>
        <v>0</v>
      </c>
      <c r="AU707" s="71"/>
      <c r="AV707" s="71"/>
      <c r="AW707" s="71">
        <f t="shared" ref="AW707:AW770" si="297">AT707/3</f>
        <v>0</v>
      </c>
      <c r="AY707" s="71"/>
      <c r="AZ707" s="71"/>
      <c r="BA707" s="71">
        <f t="shared" ref="BA707:BA770" si="298">AX707/2</f>
        <v>0</v>
      </c>
      <c r="BI707" s="71"/>
      <c r="BJ707" s="71"/>
      <c r="BK707" s="71">
        <f t="shared" ref="BK707:BK770" si="299">BH707/2</f>
        <v>0</v>
      </c>
      <c r="BM707" s="71"/>
      <c r="BN707" s="71"/>
      <c r="BO707" s="71">
        <f t="shared" ref="BO707:BO770" si="300">BL707/3</f>
        <v>0</v>
      </c>
      <c r="BQ707" s="71"/>
      <c r="BR707" s="71"/>
      <c r="BS707" s="138">
        <f t="shared" ref="BS707:BS770" si="301">BP707/3</f>
        <v>0</v>
      </c>
      <c r="BU707" s="71"/>
      <c r="BV707" s="71"/>
      <c r="BW707" s="71">
        <f t="shared" ref="BW707:BW770" si="302">BT707/3</f>
        <v>0</v>
      </c>
      <c r="BZ707" s="71"/>
      <c r="CA707" s="71"/>
      <c r="CB707" s="71">
        <f t="shared" ref="CB707:CB770" si="303">BY707/3</f>
        <v>0</v>
      </c>
      <c r="CD707" s="71"/>
      <c r="CE707" s="71"/>
      <c r="CF707" s="71">
        <f t="shared" ref="CF707:CF770" si="304">CC707/3</f>
        <v>0</v>
      </c>
      <c r="CH707" s="71"/>
      <c r="CI707" s="71"/>
      <c r="CJ707" s="138">
        <f t="shared" ref="CJ707:CJ770" si="305">CG707/2</f>
        <v>0</v>
      </c>
      <c r="CL707" s="71"/>
      <c r="CM707" s="71"/>
      <c r="CN707" s="71">
        <f t="shared" ref="CN707:CN770" si="306">CK707/3</f>
        <v>0</v>
      </c>
      <c r="CS707" s="102">
        <f t="shared" ref="CS707:CS770" si="307">AVERAGE(I707, M707, Q707, U707, AC707, AG707, AK707, AO707, AS707, AW707, BA707, BK707, BO707, BW707, CB707, CF707, CN707)</f>
        <v>4.5293954747099576</v>
      </c>
      <c r="CT707" s="102">
        <f t="shared" ref="CT707:CT770" si="308">STDEV(I707, M707, Q707, U707, AC707, AG707, AK707, AO707, AS707, AW707, BA707, BK707, BO707, BW707, CB707, CF707, CN707)</f>
        <v>18.675175962423801</v>
      </c>
      <c r="CZ707" s="109" t="str">
        <f t="shared" ref="CZ707:CZ770" si="309">IF(CV707&lt;95.9069994, "Basso", IF(CV707&lt;99.02062343, "Medio-Basso", IF(CV707&lt;103.58108, "Medio-Alto", "Alto")))</f>
        <v>Basso</v>
      </c>
    </row>
    <row r="708" spans="9:104" x14ac:dyDescent="0.15">
      <c r="I708" s="64">
        <f t="shared" si="287"/>
        <v>76.99972307006928</v>
      </c>
      <c r="M708" s="64">
        <f t="shared" si="288"/>
        <v>0</v>
      </c>
      <c r="Q708" s="64">
        <f t="shared" si="289"/>
        <v>0</v>
      </c>
      <c r="U708" s="64">
        <f t="shared" si="290"/>
        <v>0</v>
      </c>
      <c r="Y708" s="114">
        <f t="shared" si="291"/>
        <v>0</v>
      </c>
      <c r="AC708" s="64">
        <f t="shared" si="292"/>
        <v>0</v>
      </c>
      <c r="AE708" s="71"/>
      <c r="AF708" s="71"/>
      <c r="AG708" s="71">
        <f t="shared" si="293"/>
        <v>0</v>
      </c>
      <c r="AK708" s="64">
        <f t="shared" si="294"/>
        <v>0</v>
      </c>
      <c r="AM708" s="71"/>
      <c r="AN708" s="71"/>
      <c r="AO708" s="71">
        <f t="shared" si="295"/>
        <v>0</v>
      </c>
      <c r="AQ708" s="71"/>
      <c r="AR708" s="71"/>
      <c r="AS708" s="71">
        <f t="shared" si="296"/>
        <v>0</v>
      </c>
      <c r="AU708" s="71"/>
      <c r="AV708" s="71"/>
      <c r="AW708" s="71">
        <f t="shared" si="297"/>
        <v>0</v>
      </c>
      <c r="AY708" s="71"/>
      <c r="AZ708" s="71"/>
      <c r="BA708" s="71">
        <f t="shared" si="298"/>
        <v>0</v>
      </c>
      <c r="BI708" s="71"/>
      <c r="BJ708" s="71"/>
      <c r="BK708" s="71">
        <f t="shared" si="299"/>
        <v>0</v>
      </c>
      <c r="BM708" s="71"/>
      <c r="BN708" s="71"/>
      <c r="BO708" s="71">
        <f t="shared" si="300"/>
        <v>0</v>
      </c>
      <c r="BQ708" s="71"/>
      <c r="BR708" s="71"/>
      <c r="BS708" s="138">
        <f t="shared" si="301"/>
        <v>0</v>
      </c>
      <c r="BU708" s="71"/>
      <c r="BV708" s="71"/>
      <c r="BW708" s="71">
        <f t="shared" si="302"/>
        <v>0</v>
      </c>
      <c r="BZ708" s="71"/>
      <c r="CA708" s="71"/>
      <c r="CB708" s="71">
        <f t="shared" si="303"/>
        <v>0</v>
      </c>
      <c r="CD708" s="71"/>
      <c r="CE708" s="71"/>
      <c r="CF708" s="71">
        <f t="shared" si="304"/>
        <v>0</v>
      </c>
      <c r="CH708" s="71"/>
      <c r="CI708" s="71"/>
      <c r="CJ708" s="138">
        <f t="shared" si="305"/>
        <v>0</v>
      </c>
      <c r="CL708" s="71"/>
      <c r="CM708" s="71"/>
      <c r="CN708" s="71">
        <f t="shared" si="306"/>
        <v>0</v>
      </c>
      <c r="CS708" s="102">
        <f t="shared" si="307"/>
        <v>4.5293954747099576</v>
      </c>
      <c r="CT708" s="102">
        <f t="shared" si="308"/>
        <v>18.675175962423801</v>
      </c>
      <c r="CZ708" s="109" t="str">
        <f t="shared" si="309"/>
        <v>Basso</v>
      </c>
    </row>
    <row r="709" spans="9:104" x14ac:dyDescent="0.15">
      <c r="I709" s="64">
        <f t="shared" si="287"/>
        <v>76.99972307006928</v>
      </c>
      <c r="M709" s="64">
        <f t="shared" si="288"/>
        <v>0</v>
      </c>
      <c r="Q709" s="64">
        <f t="shared" si="289"/>
        <v>0</v>
      </c>
      <c r="U709" s="64">
        <f t="shared" si="290"/>
        <v>0</v>
      </c>
      <c r="Y709" s="114">
        <f t="shared" si="291"/>
        <v>0</v>
      </c>
      <c r="AC709" s="64">
        <f t="shared" si="292"/>
        <v>0</v>
      </c>
      <c r="AE709" s="71"/>
      <c r="AF709" s="71"/>
      <c r="AG709" s="71">
        <f t="shared" si="293"/>
        <v>0</v>
      </c>
      <c r="AK709" s="64">
        <f t="shared" si="294"/>
        <v>0</v>
      </c>
      <c r="AM709" s="71"/>
      <c r="AN709" s="71"/>
      <c r="AO709" s="71">
        <f t="shared" si="295"/>
        <v>0</v>
      </c>
      <c r="AQ709" s="71"/>
      <c r="AR709" s="71"/>
      <c r="AS709" s="71">
        <f t="shared" si="296"/>
        <v>0</v>
      </c>
      <c r="AU709" s="71"/>
      <c r="AV709" s="71"/>
      <c r="AW709" s="71">
        <f t="shared" si="297"/>
        <v>0</v>
      </c>
      <c r="AY709" s="71"/>
      <c r="AZ709" s="71"/>
      <c r="BA709" s="71">
        <f t="shared" si="298"/>
        <v>0</v>
      </c>
      <c r="BI709" s="71"/>
      <c r="BJ709" s="71"/>
      <c r="BK709" s="71">
        <f t="shared" si="299"/>
        <v>0</v>
      </c>
      <c r="BM709" s="71"/>
      <c r="BN709" s="71"/>
      <c r="BO709" s="71">
        <f t="shared" si="300"/>
        <v>0</v>
      </c>
      <c r="BQ709" s="71"/>
      <c r="BR709" s="71"/>
      <c r="BS709" s="138">
        <f t="shared" si="301"/>
        <v>0</v>
      </c>
      <c r="BU709" s="71"/>
      <c r="BV709" s="71"/>
      <c r="BW709" s="71">
        <f t="shared" si="302"/>
        <v>0</v>
      </c>
      <c r="BZ709" s="71"/>
      <c r="CA709" s="71"/>
      <c r="CB709" s="71">
        <f t="shared" si="303"/>
        <v>0</v>
      </c>
      <c r="CD709" s="71"/>
      <c r="CE709" s="71"/>
      <c r="CF709" s="71">
        <f t="shared" si="304"/>
        <v>0</v>
      </c>
      <c r="CH709" s="71"/>
      <c r="CI709" s="71"/>
      <c r="CJ709" s="138">
        <f t="shared" si="305"/>
        <v>0</v>
      </c>
      <c r="CL709" s="71"/>
      <c r="CM709" s="71"/>
      <c r="CN709" s="71">
        <f t="shared" si="306"/>
        <v>0</v>
      </c>
      <c r="CS709" s="102">
        <f t="shared" si="307"/>
        <v>4.5293954747099576</v>
      </c>
      <c r="CT709" s="102">
        <f t="shared" si="308"/>
        <v>18.675175962423801</v>
      </c>
      <c r="CZ709" s="109" t="str">
        <f t="shared" si="309"/>
        <v>Basso</v>
      </c>
    </row>
    <row r="710" spans="9:104" x14ac:dyDescent="0.15">
      <c r="I710" s="64">
        <f t="shared" si="287"/>
        <v>76.99972307006928</v>
      </c>
      <c r="M710" s="64">
        <f t="shared" si="288"/>
        <v>0</v>
      </c>
      <c r="Q710" s="64">
        <f t="shared" si="289"/>
        <v>0</v>
      </c>
      <c r="U710" s="64">
        <f t="shared" si="290"/>
        <v>0</v>
      </c>
      <c r="Y710" s="114">
        <f t="shared" si="291"/>
        <v>0</v>
      </c>
      <c r="AC710" s="64">
        <f t="shared" si="292"/>
        <v>0</v>
      </c>
      <c r="AE710" s="71"/>
      <c r="AF710" s="71"/>
      <c r="AG710" s="71">
        <f t="shared" si="293"/>
        <v>0</v>
      </c>
      <c r="AK710" s="64">
        <f t="shared" si="294"/>
        <v>0</v>
      </c>
      <c r="AM710" s="71"/>
      <c r="AN710" s="71"/>
      <c r="AO710" s="71">
        <f t="shared" si="295"/>
        <v>0</v>
      </c>
      <c r="AQ710" s="71"/>
      <c r="AR710" s="71"/>
      <c r="AS710" s="71">
        <f t="shared" si="296"/>
        <v>0</v>
      </c>
      <c r="AU710" s="71"/>
      <c r="AV710" s="71"/>
      <c r="AW710" s="71">
        <f t="shared" si="297"/>
        <v>0</v>
      </c>
      <c r="AY710" s="71"/>
      <c r="AZ710" s="71"/>
      <c r="BA710" s="71">
        <f t="shared" si="298"/>
        <v>0</v>
      </c>
      <c r="BI710" s="71"/>
      <c r="BJ710" s="71"/>
      <c r="BK710" s="71">
        <f t="shared" si="299"/>
        <v>0</v>
      </c>
      <c r="BM710" s="71"/>
      <c r="BN710" s="71"/>
      <c r="BO710" s="71">
        <f t="shared" si="300"/>
        <v>0</v>
      </c>
      <c r="BQ710" s="71"/>
      <c r="BR710" s="71"/>
      <c r="BS710" s="138">
        <f t="shared" si="301"/>
        <v>0</v>
      </c>
      <c r="BU710" s="71"/>
      <c r="BV710" s="71"/>
      <c r="BW710" s="71">
        <f t="shared" si="302"/>
        <v>0</v>
      </c>
      <c r="BZ710" s="71"/>
      <c r="CA710" s="71"/>
      <c r="CB710" s="71">
        <f t="shared" si="303"/>
        <v>0</v>
      </c>
      <c r="CD710" s="71"/>
      <c r="CE710" s="71"/>
      <c r="CF710" s="71">
        <f t="shared" si="304"/>
        <v>0</v>
      </c>
      <c r="CH710" s="71"/>
      <c r="CI710" s="71"/>
      <c r="CJ710" s="138">
        <f t="shared" si="305"/>
        <v>0</v>
      </c>
      <c r="CL710" s="71"/>
      <c r="CM710" s="71"/>
      <c r="CN710" s="71">
        <f t="shared" si="306"/>
        <v>0</v>
      </c>
      <c r="CS710" s="102">
        <f t="shared" si="307"/>
        <v>4.5293954747099576</v>
      </c>
      <c r="CT710" s="102">
        <f t="shared" si="308"/>
        <v>18.675175962423801</v>
      </c>
      <c r="CZ710" s="109" t="str">
        <f t="shared" si="309"/>
        <v>Basso</v>
      </c>
    </row>
    <row r="711" spans="9:104" x14ac:dyDescent="0.15">
      <c r="I711" s="64">
        <f t="shared" si="287"/>
        <v>76.99972307006928</v>
      </c>
      <c r="M711" s="64">
        <f t="shared" si="288"/>
        <v>0</v>
      </c>
      <c r="Q711" s="64">
        <f t="shared" si="289"/>
        <v>0</v>
      </c>
      <c r="U711" s="64">
        <f t="shared" si="290"/>
        <v>0</v>
      </c>
      <c r="Y711" s="114">
        <f t="shared" si="291"/>
        <v>0</v>
      </c>
      <c r="AC711" s="64">
        <f t="shared" si="292"/>
        <v>0</v>
      </c>
      <c r="AE711" s="71"/>
      <c r="AF711" s="71"/>
      <c r="AG711" s="71">
        <f t="shared" si="293"/>
        <v>0</v>
      </c>
      <c r="AK711" s="64">
        <f t="shared" si="294"/>
        <v>0</v>
      </c>
      <c r="AM711" s="71"/>
      <c r="AN711" s="71"/>
      <c r="AO711" s="71">
        <f t="shared" si="295"/>
        <v>0</v>
      </c>
      <c r="AQ711" s="71"/>
      <c r="AR711" s="71"/>
      <c r="AS711" s="71">
        <f t="shared" si="296"/>
        <v>0</v>
      </c>
      <c r="AU711" s="71"/>
      <c r="AV711" s="71"/>
      <c r="AW711" s="71">
        <f t="shared" si="297"/>
        <v>0</v>
      </c>
      <c r="AY711" s="71"/>
      <c r="AZ711" s="71"/>
      <c r="BA711" s="71">
        <f t="shared" si="298"/>
        <v>0</v>
      </c>
      <c r="BI711" s="71"/>
      <c r="BJ711" s="71"/>
      <c r="BK711" s="71">
        <f t="shared" si="299"/>
        <v>0</v>
      </c>
      <c r="BM711" s="71"/>
      <c r="BN711" s="71"/>
      <c r="BO711" s="71">
        <f t="shared" si="300"/>
        <v>0</v>
      </c>
      <c r="BQ711" s="71"/>
      <c r="BR711" s="71"/>
      <c r="BS711" s="138">
        <f t="shared" si="301"/>
        <v>0</v>
      </c>
      <c r="BU711" s="71"/>
      <c r="BV711" s="71"/>
      <c r="BW711" s="71">
        <f t="shared" si="302"/>
        <v>0</v>
      </c>
      <c r="BZ711" s="71"/>
      <c r="CA711" s="71"/>
      <c r="CB711" s="71">
        <f t="shared" si="303"/>
        <v>0</v>
      </c>
      <c r="CD711" s="71"/>
      <c r="CE711" s="71"/>
      <c r="CF711" s="71">
        <f t="shared" si="304"/>
        <v>0</v>
      </c>
      <c r="CH711" s="71"/>
      <c r="CI711" s="71"/>
      <c r="CJ711" s="138">
        <f t="shared" si="305"/>
        <v>0</v>
      </c>
      <c r="CL711" s="71"/>
      <c r="CM711" s="71"/>
      <c r="CN711" s="71">
        <f t="shared" si="306"/>
        <v>0</v>
      </c>
      <c r="CS711" s="102">
        <f t="shared" si="307"/>
        <v>4.5293954747099576</v>
      </c>
      <c r="CT711" s="102">
        <f t="shared" si="308"/>
        <v>18.675175962423801</v>
      </c>
      <c r="CZ711" s="109" t="str">
        <f t="shared" si="309"/>
        <v>Basso</v>
      </c>
    </row>
    <row r="712" spans="9:104" x14ac:dyDescent="0.15">
      <c r="I712" s="64">
        <f t="shared" si="287"/>
        <v>76.99972307006928</v>
      </c>
      <c r="M712" s="64">
        <f t="shared" si="288"/>
        <v>0</v>
      </c>
      <c r="Q712" s="64">
        <f t="shared" si="289"/>
        <v>0</v>
      </c>
      <c r="U712" s="64">
        <f t="shared" si="290"/>
        <v>0</v>
      </c>
      <c r="Y712" s="114">
        <f t="shared" si="291"/>
        <v>0</v>
      </c>
      <c r="AC712" s="64">
        <f t="shared" si="292"/>
        <v>0</v>
      </c>
      <c r="AE712" s="71"/>
      <c r="AF712" s="71"/>
      <c r="AG712" s="71">
        <f t="shared" si="293"/>
        <v>0</v>
      </c>
      <c r="AK712" s="64">
        <f t="shared" si="294"/>
        <v>0</v>
      </c>
      <c r="AM712" s="71"/>
      <c r="AN712" s="71"/>
      <c r="AO712" s="71">
        <f t="shared" si="295"/>
        <v>0</v>
      </c>
      <c r="AQ712" s="71"/>
      <c r="AR712" s="71"/>
      <c r="AS712" s="71">
        <f t="shared" si="296"/>
        <v>0</v>
      </c>
      <c r="AU712" s="71"/>
      <c r="AV712" s="71"/>
      <c r="AW712" s="71">
        <f t="shared" si="297"/>
        <v>0</v>
      </c>
      <c r="AY712" s="71"/>
      <c r="AZ712" s="71"/>
      <c r="BA712" s="71">
        <f t="shared" si="298"/>
        <v>0</v>
      </c>
      <c r="BI712" s="71"/>
      <c r="BJ712" s="71"/>
      <c r="BK712" s="71">
        <f t="shared" si="299"/>
        <v>0</v>
      </c>
      <c r="BM712" s="71"/>
      <c r="BN712" s="71"/>
      <c r="BO712" s="71">
        <f t="shared" si="300"/>
        <v>0</v>
      </c>
      <c r="BQ712" s="71"/>
      <c r="BR712" s="71"/>
      <c r="BS712" s="138">
        <f t="shared" si="301"/>
        <v>0</v>
      </c>
      <c r="BU712" s="71"/>
      <c r="BV712" s="71"/>
      <c r="BW712" s="71">
        <f t="shared" si="302"/>
        <v>0</v>
      </c>
      <c r="BZ712" s="71"/>
      <c r="CA712" s="71"/>
      <c r="CB712" s="71">
        <f t="shared" si="303"/>
        <v>0</v>
      </c>
      <c r="CD712" s="71"/>
      <c r="CE712" s="71"/>
      <c r="CF712" s="71">
        <f t="shared" si="304"/>
        <v>0</v>
      </c>
      <c r="CH712" s="71"/>
      <c r="CI712" s="71"/>
      <c r="CJ712" s="138">
        <f t="shared" si="305"/>
        <v>0</v>
      </c>
      <c r="CL712" s="71"/>
      <c r="CM712" s="71"/>
      <c r="CN712" s="71">
        <f t="shared" si="306"/>
        <v>0</v>
      </c>
      <c r="CS712" s="102">
        <f t="shared" si="307"/>
        <v>4.5293954747099576</v>
      </c>
      <c r="CT712" s="102">
        <f t="shared" si="308"/>
        <v>18.675175962423801</v>
      </c>
      <c r="CZ712" s="109" t="str">
        <f t="shared" si="309"/>
        <v>Basso</v>
      </c>
    </row>
    <row r="713" spans="9:104" x14ac:dyDescent="0.15">
      <c r="I713" s="64">
        <f t="shared" si="287"/>
        <v>76.99972307006928</v>
      </c>
      <c r="M713" s="64">
        <f t="shared" si="288"/>
        <v>0</v>
      </c>
      <c r="Q713" s="64">
        <f t="shared" si="289"/>
        <v>0</v>
      </c>
      <c r="U713" s="64">
        <f t="shared" si="290"/>
        <v>0</v>
      </c>
      <c r="Y713" s="114">
        <f t="shared" si="291"/>
        <v>0</v>
      </c>
      <c r="AC713" s="64">
        <f t="shared" si="292"/>
        <v>0</v>
      </c>
      <c r="AE713" s="71"/>
      <c r="AF713" s="71"/>
      <c r="AG713" s="71">
        <f t="shared" si="293"/>
        <v>0</v>
      </c>
      <c r="AK713" s="64">
        <f t="shared" si="294"/>
        <v>0</v>
      </c>
      <c r="AM713" s="71"/>
      <c r="AN713" s="71"/>
      <c r="AO713" s="71">
        <f t="shared" si="295"/>
        <v>0</v>
      </c>
      <c r="AQ713" s="71"/>
      <c r="AR713" s="71"/>
      <c r="AS713" s="71">
        <f t="shared" si="296"/>
        <v>0</v>
      </c>
      <c r="AU713" s="71"/>
      <c r="AV713" s="71"/>
      <c r="AW713" s="71">
        <f t="shared" si="297"/>
        <v>0</v>
      </c>
      <c r="AY713" s="71"/>
      <c r="AZ713" s="71"/>
      <c r="BA713" s="71">
        <f t="shared" si="298"/>
        <v>0</v>
      </c>
      <c r="BI713" s="71"/>
      <c r="BJ713" s="71"/>
      <c r="BK713" s="71">
        <f t="shared" si="299"/>
        <v>0</v>
      </c>
      <c r="BM713" s="71"/>
      <c r="BN713" s="71"/>
      <c r="BO713" s="71">
        <f t="shared" si="300"/>
        <v>0</v>
      </c>
      <c r="BQ713" s="71"/>
      <c r="BR713" s="71"/>
      <c r="BS713" s="138">
        <f t="shared" si="301"/>
        <v>0</v>
      </c>
      <c r="BU713" s="71"/>
      <c r="BV713" s="71"/>
      <c r="BW713" s="71">
        <f t="shared" si="302"/>
        <v>0</v>
      </c>
      <c r="BZ713" s="71"/>
      <c r="CA713" s="71"/>
      <c r="CB713" s="71">
        <f t="shared" si="303"/>
        <v>0</v>
      </c>
      <c r="CD713" s="71"/>
      <c r="CE713" s="71"/>
      <c r="CF713" s="71">
        <f t="shared" si="304"/>
        <v>0</v>
      </c>
      <c r="CH713" s="71"/>
      <c r="CI713" s="71"/>
      <c r="CJ713" s="138">
        <f t="shared" si="305"/>
        <v>0</v>
      </c>
      <c r="CL713" s="71"/>
      <c r="CM713" s="71"/>
      <c r="CN713" s="71">
        <f t="shared" si="306"/>
        <v>0</v>
      </c>
      <c r="CS713" s="102">
        <f t="shared" si="307"/>
        <v>4.5293954747099576</v>
      </c>
      <c r="CT713" s="102">
        <f t="shared" si="308"/>
        <v>18.675175962423801</v>
      </c>
      <c r="CZ713" s="109" t="str">
        <f t="shared" si="309"/>
        <v>Basso</v>
      </c>
    </row>
    <row r="714" spans="9:104" x14ac:dyDescent="0.15">
      <c r="I714" s="64">
        <f t="shared" si="287"/>
        <v>76.99972307006928</v>
      </c>
      <c r="M714" s="64">
        <f t="shared" si="288"/>
        <v>0</v>
      </c>
      <c r="Q714" s="64">
        <f t="shared" si="289"/>
        <v>0</v>
      </c>
      <c r="U714" s="64">
        <f t="shared" si="290"/>
        <v>0</v>
      </c>
      <c r="Y714" s="114">
        <f t="shared" si="291"/>
        <v>0</v>
      </c>
      <c r="AC714" s="64">
        <f t="shared" si="292"/>
        <v>0</v>
      </c>
      <c r="AE714" s="71"/>
      <c r="AF714" s="71"/>
      <c r="AG714" s="71">
        <f t="shared" si="293"/>
        <v>0</v>
      </c>
      <c r="AK714" s="64">
        <f t="shared" si="294"/>
        <v>0</v>
      </c>
      <c r="AM714" s="71"/>
      <c r="AN714" s="71"/>
      <c r="AO714" s="71">
        <f t="shared" si="295"/>
        <v>0</v>
      </c>
      <c r="AQ714" s="71"/>
      <c r="AR714" s="71"/>
      <c r="AS714" s="71">
        <f t="shared" si="296"/>
        <v>0</v>
      </c>
      <c r="AU714" s="71"/>
      <c r="AV714" s="71"/>
      <c r="AW714" s="71">
        <f t="shared" si="297"/>
        <v>0</v>
      </c>
      <c r="AY714" s="71"/>
      <c r="AZ714" s="71"/>
      <c r="BA714" s="71">
        <f t="shared" si="298"/>
        <v>0</v>
      </c>
      <c r="BI714" s="71"/>
      <c r="BJ714" s="71"/>
      <c r="BK714" s="71">
        <f t="shared" si="299"/>
        <v>0</v>
      </c>
      <c r="BM714" s="71"/>
      <c r="BN714" s="71"/>
      <c r="BO714" s="71">
        <f t="shared" si="300"/>
        <v>0</v>
      </c>
      <c r="BQ714" s="71"/>
      <c r="BR714" s="71"/>
      <c r="BS714" s="138">
        <f t="shared" si="301"/>
        <v>0</v>
      </c>
      <c r="BU714" s="71"/>
      <c r="BV714" s="71"/>
      <c r="BW714" s="71">
        <f t="shared" si="302"/>
        <v>0</v>
      </c>
      <c r="BZ714" s="71"/>
      <c r="CA714" s="71"/>
      <c r="CB714" s="71">
        <f t="shared" si="303"/>
        <v>0</v>
      </c>
      <c r="CD714" s="71"/>
      <c r="CE714" s="71"/>
      <c r="CF714" s="71">
        <f t="shared" si="304"/>
        <v>0</v>
      </c>
      <c r="CH714" s="71"/>
      <c r="CI714" s="71"/>
      <c r="CJ714" s="138">
        <f t="shared" si="305"/>
        <v>0</v>
      </c>
      <c r="CL714" s="71"/>
      <c r="CM714" s="71"/>
      <c r="CN714" s="71">
        <f t="shared" si="306"/>
        <v>0</v>
      </c>
      <c r="CS714" s="102">
        <f t="shared" si="307"/>
        <v>4.5293954747099576</v>
      </c>
      <c r="CT714" s="102">
        <f t="shared" si="308"/>
        <v>18.675175962423801</v>
      </c>
      <c r="CZ714" s="109" t="str">
        <f t="shared" si="309"/>
        <v>Basso</v>
      </c>
    </row>
    <row r="715" spans="9:104" x14ac:dyDescent="0.15">
      <c r="I715" s="64">
        <f t="shared" si="287"/>
        <v>76.99972307006928</v>
      </c>
      <c r="M715" s="64">
        <f t="shared" si="288"/>
        <v>0</v>
      </c>
      <c r="Q715" s="64">
        <f t="shared" si="289"/>
        <v>0</v>
      </c>
      <c r="U715" s="64">
        <f t="shared" si="290"/>
        <v>0</v>
      </c>
      <c r="Y715" s="114">
        <f t="shared" si="291"/>
        <v>0</v>
      </c>
      <c r="AC715" s="64">
        <f t="shared" si="292"/>
        <v>0</v>
      </c>
      <c r="AE715" s="71"/>
      <c r="AF715" s="71"/>
      <c r="AG715" s="71">
        <f t="shared" si="293"/>
        <v>0</v>
      </c>
      <c r="AK715" s="64">
        <f t="shared" si="294"/>
        <v>0</v>
      </c>
      <c r="AM715" s="71"/>
      <c r="AN715" s="71"/>
      <c r="AO715" s="71">
        <f t="shared" si="295"/>
        <v>0</v>
      </c>
      <c r="AQ715" s="71"/>
      <c r="AR715" s="71"/>
      <c r="AS715" s="71">
        <f t="shared" si="296"/>
        <v>0</v>
      </c>
      <c r="AU715" s="71"/>
      <c r="AV715" s="71"/>
      <c r="AW715" s="71">
        <f t="shared" si="297"/>
        <v>0</v>
      </c>
      <c r="AY715" s="71"/>
      <c r="AZ715" s="71"/>
      <c r="BA715" s="71">
        <f t="shared" si="298"/>
        <v>0</v>
      </c>
      <c r="BI715" s="71"/>
      <c r="BJ715" s="71"/>
      <c r="BK715" s="71">
        <f t="shared" si="299"/>
        <v>0</v>
      </c>
      <c r="BM715" s="71"/>
      <c r="BN715" s="71"/>
      <c r="BO715" s="71">
        <f t="shared" si="300"/>
        <v>0</v>
      </c>
      <c r="BQ715" s="71"/>
      <c r="BR715" s="71"/>
      <c r="BS715" s="138">
        <f t="shared" si="301"/>
        <v>0</v>
      </c>
      <c r="BU715" s="71"/>
      <c r="BV715" s="71"/>
      <c r="BW715" s="71">
        <f t="shared" si="302"/>
        <v>0</v>
      </c>
      <c r="BZ715" s="71"/>
      <c r="CA715" s="71"/>
      <c r="CB715" s="71">
        <f t="shared" si="303"/>
        <v>0</v>
      </c>
      <c r="CD715" s="71"/>
      <c r="CE715" s="71"/>
      <c r="CF715" s="71">
        <f t="shared" si="304"/>
        <v>0</v>
      </c>
      <c r="CH715" s="71"/>
      <c r="CI715" s="71"/>
      <c r="CJ715" s="138">
        <f t="shared" si="305"/>
        <v>0</v>
      </c>
      <c r="CL715" s="71"/>
      <c r="CM715" s="71"/>
      <c r="CN715" s="71">
        <f t="shared" si="306"/>
        <v>0</v>
      </c>
      <c r="CS715" s="102">
        <f t="shared" si="307"/>
        <v>4.5293954747099576</v>
      </c>
      <c r="CT715" s="102">
        <f t="shared" si="308"/>
        <v>18.675175962423801</v>
      </c>
      <c r="CZ715" s="109" t="str">
        <f t="shared" si="309"/>
        <v>Basso</v>
      </c>
    </row>
    <row r="716" spans="9:104" x14ac:dyDescent="0.15">
      <c r="I716" s="64">
        <f t="shared" si="287"/>
        <v>76.99972307006928</v>
      </c>
      <c r="M716" s="64">
        <f t="shared" si="288"/>
        <v>0</v>
      </c>
      <c r="Q716" s="64">
        <f t="shared" si="289"/>
        <v>0</v>
      </c>
      <c r="U716" s="64">
        <f t="shared" si="290"/>
        <v>0</v>
      </c>
      <c r="Y716" s="114">
        <f t="shared" si="291"/>
        <v>0</v>
      </c>
      <c r="AC716" s="64">
        <f t="shared" si="292"/>
        <v>0</v>
      </c>
      <c r="AE716" s="71"/>
      <c r="AF716" s="71"/>
      <c r="AG716" s="71">
        <f t="shared" si="293"/>
        <v>0</v>
      </c>
      <c r="AK716" s="64">
        <f t="shared" si="294"/>
        <v>0</v>
      </c>
      <c r="AM716" s="71"/>
      <c r="AN716" s="71"/>
      <c r="AO716" s="71">
        <f t="shared" si="295"/>
        <v>0</v>
      </c>
      <c r="AQ716" s="71"/>
      <c r="AR716" s="71"/>
      <c r="AS716" s="71">
        <f t="shared" si="296"/>
        <v>0</v>
      </c>
      <c r="AU716" s="71"/>
      <c r="AV716" s="71"/>
      <c r="AW716" s="71">
        <f t="shared" si="297"/>
        <v>0</v>
      </c>
      <c r="AY716" s="71"/>
      <c r="AZ716" s="71"/>
      <c r="BA716" s="71">
        <f t="shared" si="298"/>
        <v>0</v>
      </c>
      <c r="BI716" s="71"/>
      <c r="BJ716" s="71"/>
      <c r="BK716" s="71">
        <f t="shared" si="299"/>
        <v>0</v>
      </c>
      <c r="BM716" s="71"/>
      <c r="BN716" s="71"/>
      <c r="BO716" s="71">
        <f t="shared" si="300"/>
        <v>0</v>
      </c>
      <c r="BQ716" s="71"/>
      <c r="BR716" s="71"/>
      <c r="BS716" s="138">
        <f t="shared" si="301"/>
        <v>0</v>
      </c>
      <c r="BU716" s="71"/>
      <c r="BV716" s="71"/>
      <c r="BW716" s="71">
        <f t="shared" si="302"/>
        <v>0</v>
      </c>
      <c r="BZ716" s="71"/>
      <c r="CA716" s="71"/>
      <c r="CB716" s="71">
        <f t="shared" si="303"/>
        <v>0</v>
      </c>
      <c r="CD716" s="71"/>
      <c r="CE716" s="71"/>
      <c r="CF716" s="71">
        <f t="shared" si="304"/>
        <v>0</v>
      </c>
      <c r="CH716" s="71"/>
      <c r="CI716" s="71"/>
      <c r="CJ716" s="138">
        <f t="shared" si="305"/>
        <v>0</v>
      </c>
      <c r="CL716" s="71"/>
      <c r="CM716" s="71"/>
      <c r="CN716" s="71">
        <f t="shared" si="306"/>
        <v>0</v>
      </c>
      <c r="CS716" s="102">
        <f t="shared" si="307"/>
        <v>4.5293954747099576</v>
      </c>
      <c r="CT716" s="102">
        <f t="shared" si="308"/>
        <v>18.675175962423801</v>
      </c>
      <c r="CZ716" s="109" t="str">
        <f t="shared" si="309"/>
        <v>Basso</v>
      </c>
    </row>
    <row r="717" spans="9:104" x14ac:dyDescent="0.15">
      <c r="I717" s="64">
        <f t="shared" si="287"/>
        <v>76.99972307006928</v>
      </c>
      <c r="M717" s="64">
        <f t="shared" si="288"/>
        <v>0</v>
      </c>
      <c r="Q717" s="64">
        <f t="shared" si="289"/>
        <v>0</v>
      </c>
      <c r="U717" s="64">
        <f t="shared" si="290"/>
        <v>0</v>
      </c>
      <c r="Y717" s="114">
        <f t="shared" si="291"/>
        <v>0</v>
      </c>
      <c r="AC717" s="64">
        <f t="shared" si="292"/>
        <v>0</v>
      </c>
      <c r="AE717" s="71"/>
      <c r="AF717" s="71"/>
      <c r="AG717" s="71">
        <f t="shared" si="293"/>
        <v>0</v>
      </c>
      <c r="AK717" s="64">
        <f t="shared" si="294"/>
        <v>0</v>
      </c>
      <c r="AM717" s="71"/>
      <c r="AN717" s="71"/>
      <c r="AO717" s="71">
        <f t="shared" si="295"/>
        <v>0</v>
      </c>
      <c r="AQ717" s="71"/>
      <c r="AR717" s="71"/>
      <c r="AS717" s="71">
        <f t="shared" si="296"/>
        <v>0</v>
      </c>
      <c r="AU717" s="71"/>
      <c r="AV717" s="71"/>
      <c r="AW717" s="71">
        <f t="shared" si="297"/>
        <v>0</v>
      </c>
      <c r="AY717" s="71"/>
      <c r="AZ717" s="71"/>
      <c r="BA717" s="71">
        <f t="shared" si="298"/>
        <v>0</v>
      </c>
      <c r="BI717" s="71"/>
      <c r="BJ717" s="71"/>
      <c r="BK717" s="71">
        <f t="shared" si="299"/>
        <v>0</v>
      </c>
      <c r="BM717" s="71"/>
      <c r="BN717" s="71"/>
      <c r="BO717" s="71">
        <f t="shared" si="300"/>
        <v>0</v>
      </c>
      <c r="BQ717" s="71"/>
      <c r="BR717" s="71"/>
      <c r="BS717" s="138">
        <f t="shared" si="301"/>
        <v>0</v>
      </c>
      <c r="BU717" s="71"/>
      <c r="BV717" s="71"/>
      <c r="BW717" s="71">
        <f t="shared" si="302"/>
        <v>0</v>
      </c>
      <c r="BZ717" s="71"/>
      <c r="CA717" s="71"/>
      <c r="CB717" s="71">
        <f t="shared" si="303"/>
        <v>0</v>
      </c>
      <c r="CD717" s="71"/>
      <c r="CE717" s="71"/>
      <c r="CF717" s="71">
        <f t="shared" si="304"/>
        <v>0</v>
      </c>
      <c r="CH717" s="71"/>
      <c r="CI717" s="71"/>
      <c r="CJ717" s="138">
        <f t="shared" si="305"/>
        <v>0</v>
      </c>
      <c r="CL717" s="71"/>
      <c r="CM717" s="71"/>
      <c r="CN717" s="71">
        <f t="shared" si="306"/>
        <v>0</v>
      </c>
      <c r="CS717" s="102">
        <f t="shared" si="307"/>
        <v>4.5293954747099576</v>
      </c>
      <c r="CT717" s="102">
        <f t="shared" si="308"/>
        <v>18.675175962423801</v>
      </c>
      <c r="CZ717" s="109" t="str">
        <f t="shared" si="309"/>
        <v>Basso</v>
      </c>
    </row>
    <row r="718" spans="9:104" x14ac:dyDescent="0.15">
      <c r="I718" s="64">
        <f t="shared" si="287"/>
        <v>76.99972307006928</v>
      </c>
      <c r="M718" s="64">
        <f t="shared" si="288"/>
        <v>0</v>
      </c>
      <c r="Q718" s="64">
        <f t="shared" si="289"/>
        <v>0</v>
      </c>
      <c r="U718" s="64">
        <f t="shared" si="290"/>
        <v>0</v>
      </c>
      <c r="Y718" s="114">
        <f t="shared" si="291"/>
        <v>0</v>
      </c>
      <c r="AC718" s="64">
        <f t="shared" si="292"/>
        <v>0</v>
      </c>
      <c r="AE718" s="71"/>
      <c r="AF718" s="71"/>
      <c r="AG718" s="71">
        <f t="shared" si="293"/>
        <v>0</v>
      </c>
      <c r="AK718" s="64">
        <f t="shared" si="294"/>
        <v>0</v>
      </c>
      <c r="AM718" s="71"/>
      <c r="AN718" s="71"/>
      <c r="AO718" s="71">
        <f t="shared" si="295"/>
        <v>0</v>
      </c>
      <c r="AQ718" s="71"/>
      <c r="AR718" s="71"/>
      <c r="AS718" s="71">
        <f t="shared" si="296"/>
        <v>0</v>
      </c>
      <c r="AU718" s="71"/>
      <c r="AV718" s="71"/>
      <c r="AW718" s="71">
        <f t="shared" si="297"/>
        <v>0</v>
      </c>
      <c r="AY718" s="71"/>
      <c r="AZ718" s="71"/>
      <c r="BA718" s="71">
        <f t="shared" si="298"/>
        <v>0</v>
      </c>
      <c r="BI718" s="71"/>
      <c r="BJ718" s="71"/>
      <c r="BK718" s="71">
        <f t="shared" si="299"/>
        <v>0</v>
      </c>
      <c r="BM718" s="71"/>
      <c r="BN718" s="71"/>
      <c r="BO718" s="71">
        <f t="shared" si="300"/>
        <v>0</v>
      </c>
      <c r="BQ718" s="71"/>
      <c r="BR718" s="71"/>
      <c r="BS718" s="138">
        <f t="shared" si="301"/>
        <v>0</v>
      </c>
      <c r="BU718" s="71"/>
      <c r="BV718" s="71"/>
      <c r="BW718" s="71">
        <f t="shared" si="302"/>
        <v>0</v>
      </c>
      <c r="BZ718" s="71"/>
      <c r="CA718" s="71"/>
      <c r="CB718" s="71">
        <f t="shared" si="303"/>
        <v>0</v>
      </c>
      <c r="CD718" s="71"/>
      <c r="CE718" s="71"/>
      <c r="CF718" s="71">
        <f t="shared" si="304"/>
        <v>0</v>
      </c>
      <c r="CH718" s="71"/>
      <c r="CI718" s="71"/>
      <c r="CJ718" s="138">
        <f t="shared" si="305"/>
        <v>0</v>
      </c>
      <c r="CL718" s="71"/>
      <c r="CM718" s="71"/>
      <c r="CN718" s="71">
        <f t="shared" si="306"/>
        <v>0</v>
      </c>
      <c r="CS718" s="102">
        <f t="shared" si="307"/>
        <v>4.5293954747099576</v>
      </c>
      <c r="CT718" s="102">
        <f t="shared" si="308"/>
        <v>18.675175962423801</v>
      </c>
      <c r="CZ718" s="109" t="str">
        <f t="shared" si="309"/>
        <v>Basso</v>
      </c>
    </row>
    <row r="719" spans="9:104" x14ac:dyDescent="0.15">
      <c r="I719" s="64">
        <f t="shared" si="287"/>
        <v>76.99972307006928</v>
      </c>
      <c r="M719" s="64">
        <f t="shared" si="288"/>
        <v>0</v>
      </c>
      <c r="Q719" s="64">
        <f t="shared" si="289"/>
        <v>0</v>
      </c>
      <c r="U719" s="64">
        <f t="shared" si="290"/>
        <v>0</v>
      </c>
      <c r="Y719" s="114">
        <f t="shared" si="291"/>
        <v>0</v>
      </c>
      <c r="AC719" s="64">
        <f t="shared" si="292"/>
        <v>0</v>
      </c>
      <c r="AE719" s="71"/>
      <c r="AF719" s="71"/>
      <c r="AG719" s="71">
        <f t="shared" si="293"/>
        <v>0</v>
      </c>
      <c r="AK719" s="64">
        <f t="shared" si="294"/>
        <v>0</v>
      </c>
      <c r="AM719" s="71"/>
      <c r="AN719" s="71"/>
      <c r="AO719" s="71">
        <f t="shared" si="295"/>
        <v>0</v>
      </c>
      <c r="AQ719" s="71"/>
      <c r="AR719" s="71"/>
      <c r="AS719" s="71">
        <f t="shared" si="296"/>
        <v>0</v>
      </c>
      <c r="AU719" s="71"/>
      <c r="AV719" s="71"/>
      <c r="AW719" s="71">
        <f t="shared" si="297"/>
        <v>0</v>
      </c>
      <c r="AY719" s="71"/>
      <c r="AZ719" s="71"/>
      <c r="BA719" s="71">
        <f t="shared" si="298"/>
        <v>0</v>
      </c>
      <c r="BI719" s="71"/>
      <c r="BJ719" s="71"/>
      <c r="BK719" s="71">
        <f t="shared" si="299"/>
        <v>0</v>
      </c>
      <c r="BM719" s="71"/>
      <c r="BN719" s="71"/>
      <c r="BO719" s="71">
        <f t="shared" si="300"/>
        <v>0</v>
      </c>
      <c r="BQ719" s="71"/>
      <c r="BR719" s="71"/>
      <c r="BS719" s="138">
        <f t="shared" si="301"/>
        <v>0</v>
      </c>
      <c r="BU719" s="71"/>
      <c r="BV719" s="71"/>
      <c r="BW719" s="71">
        <f t="shared" si="302"/>
        <v>0</v>
      </c>
      <c r="BZ719" s="71"/>
      <c r="CA719" s="71"/>
      <c r="CB719" s="71">
        <f t="shared" si="303"/>
        <v>0</v>
      </c>
      <c r="CD719" s="71"/>
      <c r="CE719" s="71"/>
      <c r="CF719" s="71">
        <f t="shared" si="304"/>
        <v>0</v>
      </c>
      <c r="CH719" s="71"/>
      <c r="CI719" s="71"/>
      <c r="CJ719" s="138">
        <f t="shared" si="305"/>
        <v>0</v>
      </c>
      <c r="CL719" s="71"/>
      <c r="CM719" s="71"/>
      <c r="CN719" s="71">
        <f t="shared" si="306"/>
        <v>0</v>
      </c>
      <c r="CS719" s="102">
        <f t="shared" si="307"/>
        <v>4.5293954747099576</v>
      </c>
      <c r="CT719" s="102">
        <f t="shared" si="308"/>
        <v>18.675175962423801</v>
      </c>
      <c r="CZ719" s="109" t="str">
        <f t="shared" si="309"/>
        <v>Basso</v>
      </c>
    </row>
    <row r="720" spans="9:104" x14ac:dyDescent="0.15">
      <c r="I720" s="64">
        <f t="shared" si="287"/>
        <v>76.99972307006928</v>
      </c>
      <c r="M720" s="64">
        <f t="shared" si="288"/>
        <v>0</v>
      </c>
      <c r="Q720" s="64">
        <f t="shared" si="289"/>
        <v>0</v>
      </c>
      <c r="U720" s="64">
        <f t="shared" si="290"/>
        <v>0</v>
      </c>
      <c r="Y720" s="114">
        <f t="shared" si="291"/>
        <v>0</v>
      </c>
      <c r="AC720" s="64">
        <f t="shared" si="292"/>
        <v>0</v>
      </c>
      <c r="AE720" s="71"/>
      <c r="AF720" s="71"/>
      <c r="AG720" s="71">
        <f t="shared" si="293"/>
        <v>0</v>
      </c>
      <c r="AK720" s="64">
        <f t="shared" si="294"/>
        <v>0</v>
      </c>
      <c r="AM720" s="71"/>
      <c r="AN720" s="71"/>
      <c r="AO720" s="71">
        <f t="shared" si="295"/>
        <v>0</v>
      </c>
      <c r="AQ720" s="71"/>
      <c r="AR720" s="71"/>
      <c r="AS720" s="71">
        <f t="shared" si="296"/>
        <v>0</v>
      </c>
      <c r="AU720" s="71"/>
      <c r="AV720" s="71"/>
      <c r="AW720" s="71">
        <f t="shared" si="297"/>
        <v>0</v>
      </c>
      <c r="AY720" s="71"/>
      <c r="AZ720" s="71"/>
      <c r="BA720" s="71">
        <f t="shared" si="298"/>
        <v>0</v>
      </c>
      <c r="BI720" s="71"/>
      <c r="BJ720" s="71"/>
      <c r="BK720" s="71">
        <f t="shared" si="299"/>
        <v>0</v>
      </c>
      <c r="BM720" s="71"/>
      <c r="BN720" s="71"/>
      <c r="BO720" s="71">
        <f t="shared" si="300"/>
        <v>0</v>
      </c>
      <c r="BQ720" s="71"/>
      <c r="BR720" s="71"/>
      <c r="BS720" s="138">
        <f t="shared" si="301"/>
        <v>0</v>
      </c>
      <c r="BU720" s="71"/>
      <c r="BV720" s="71"/>
      <c r="BW720" s="71">
        <f t="shared" si="302"/>
        <v>0</v>
      </c>
      <c r="BZ720" s="71"/>
      <c r="CA720" s="71"/>
      <c r="CB720" s="71">
        <f t="shared" si="303"/>
        <v>0</v>
      </c>
      <c r="CD720" s="71"/>
      <c r="CE720" s="71"/>
      <c r="CF720" s="71">
        <f t="shared" si="304"/>
        <v>0</v>
      </c>
      <c r="CH720" s="71"/>
      <c r="CI720" s="71"/>
      <c r="CJ720" s="138">
        <f t="shared" si="305"/>
        <v>0</v>
      </c>
      <c r="CL720" s="71"/>
      <c r="CM720" s="71"/>
      <c r="CN720" s="71">
        <f t="shared" si="306"/>
        <v>0</v>
      </c>
      <c r="CS720" s="102">
        <f t="shared" si="307"/>
        <v>4.5293954747099576</v>
      </c>
      <c r="CT720" s="102">
        <f t="shared" si="308"/>
        <v>18.675175962423801</v>
      </c>
      <c r="CZ720" s="109" t="str">
        <f t="shared" si="309"/>
        <v>Basso</v>
      </c>
    </row>
    <row r="721" spans="9:104" x14ac:dyDescent="0.15">
      <c r="I721" s="64">
        <f t="shared" si="287"/>
        <v>76.99972307006928</v>
      </c>
      <c r="M721" s="64">
        <f t="shared" si="288"/>
        <v>0</v>
      </c>
      <c r="Q721" s="64">
        <f t="shared" si="289"/>
        <v>0</v>
      </c>
      <c r="U721" s="64">
        <f t="shared" si="290"/>
        <v>0</v>
      </c>
      <c r="Y721" s="114">
        <f t="shared" si="291"/>
        <v>0</v>
      </c>
      <c r="AC721" s="64">
        <f t="shared" si="292"/>
        <v>0</v>
      </c>
      <c r="AE721" s="71"/>
      <c r="AF721" s="71"/>
      <c r="AG721" s="71">
        <f t="shared" si="293"/>
        <v>0</v>
      </c>
      <c r="AK721" s="64">
        <f t="shared" si="294"/>
        <v>0</v>
      </c>
      <c r="AM721" s="71"/>
      <c r="AN721" s="71"/>
      <c r="AO721" s="71">
        <f t="shared" si="295"/>
        <v>0</v>
      </c>
      <c r="AQ721" s="71"/>
      <c r="AR721" s="71"/>
      <c r="AS721" s="71">
        <f t="shared" si="296"/>
        <v>0</v>
      </c>
      <c r="AU721" s="71"/>
      <c r="AV721" s="71"/>
      <c r="AW721" s="71">
        <f t="shared" si="297"/>
        <v>0</v>
      </c>
      <c r="AY721" s="71"/>
      <c r="AZ721" s="71"/>
      <c r="BA721" s="71">
        <f t="shared" si="298"/>
        <v>0</v>
      </c>
      <c r="BI721" s="71"/>
      <c r="BJ721" s="71"/>
      <c r="BK721" s="71">
        <f t="shared" si="299"/>
        <v>0</v>
      </c>
      <c r="BM721" s="71"/>
      <c r="BN721" s="71"/>
      <c r="BO721" s="71">
        <f t="shared" si="300"/>
        <v>0</v>
      </c>
      <c r="BQ721" s="71"/>
      <c r="BR721" s="71"/>
      <c r="BS721" s="138">
        <f t="shared" si="301"/>
        <v>0</v>
      </c>
      <c r="BU721" s="71"/>
      <c r="BV721" s="71"/>
      <c r="BW721" s="71">
        <f t="shared" si="302"/>
        <v>0</v>
      </c>
      <c r="BZ721" s="71"/>
      <c r="CA721" s="71"/>
      <c r="CB721" s="71">
        <f t="shared" si="303"/>
        <v>0</v>
      </c>
      <c r="CD721" s="71"/>
      <c r="CE721" s="71"/>
      <c r="CF721" s="71">
        <f t="shared" si="304"/>
        <v>0</v>
      </c>
      <c r="CH721" s="71"/>
      <c r="CI721" s="71"/>
      <c r="CJ721" s="138">
        <f t="shared" si="305"/>
        <v>0</v>
      </c>
      <c r="CL721" s="71"/>
      <c r="CM721" s="71"/>
      <c r="CN721" s="71">
        <f t="shared" si="306"/>
        <v>0</v>
      </c>
      <c r="CS721" s="102">
        <f t="shared" si="307"/>
        <v>4.5293954747099576</v>
      </c>
      <c r="CT721" s="102">
        <f t="shared" si="308"/>
        <v>18.675175962423801</v>
      </c>
      <c r="CZ721" s="109" t="str">
        <f t="shared" si="309"/>
        <v>Basso</v>
      </c>
    </row>
    <row r="722" spans="9:104" x14ac:dyDescent="0.15">
      <c r="I722" s="64">
        <f t="shared" si="287"/>
        <v>76.99972307006928</v>
      </c>
      <c r="M722" s="64">
        <f t="shared" si="288"/>
        <v>0</v>
      </c>
      <c r="Q722" s="64">
        <f t="shared" si="289"/>
        <v>0</v>
      </c>
      <c r="U722" s="64">
        <f t="shared" si="290"/>
        <v>0</v>
      </c>
      <c r="Y722" s="114">
        <f t="shared" si="291"/>
        <v>0</v>
      </c>
      <c r="AC722" s="64">
        <f t="shared" si="292"/>
        <v>0</v>
      </c>
      <c r="AE722" s="71"/>
      <c r="AF722" s="71"/>
      <c r="AG722" s="71">
        <f t="shared" si="293"/>
        <v>0</v>
      </c>
      <c r="AK722" s="64">
        <f t="shared" si="294"/>
        <v>0</v>
      </c>
      <c r="AM722" s="71"/>
      <c r="AN722" s="71"/>
      <c r="AO722" s="71">
        <f t="shared" si="295"/>
        <v>0</v>
      </c>
      <c r="AQ722" s="71"/>
      <c r="AR722" s="71"/>
      <c r="AS722" s="71">
        <f t="shared" si="296"/>
        <v>0</v>
      </c>
      <c r="AU722" s="71"/>
      <c r="AV722" s="71"/>
      <c r="AW722" s="71">
        <f t="shared" si="297"/>
        <v>0</v>
      </c>
      <c r="AY722" s="71"/>
      <c r="AZ722" s="71"/>
      <c r="BA722" s="71">
        <f t="shared" si="298"/>
        <v>0</v>
      </c>
      <c r="BI722" s="71"/>
      <c r="BJ722" s="71"/>
      <c r="BK722" s="71">
        <f t="shared" si="299"/>
        <v>0</v>
      </c>
      <c r="BM722" s="71"/>
      <c r="BN722" s="71"/>
      <c r="BO722" s="71">
        <f t="shared" si="300"/>
        <v>0</v>
      </c>
      <c r="BQ722" s="71"/>
      <c r="BR722" s="71"/>
      <c r="BS722" s="138">
        <f t="shared" si="301"/>
        <v>0</v>
      </c>
      <c r="BU722" s="71"/>
      <c r="BV722" s="71"/>
      <c r="BW722" s="71">
        <f t="shared" si="302"/>
        <v>0</v>
      </c>
      <c r="BZ722" s="71"/>
      <c r="CA722" s="71"/>
      <c r="CB722" s="71">
        <f t="shared" si="303"/>
        <v>0</v>
      </c>
      <c r="CD722" s="71"/>
      <c r="CE722" s="71"/>
      <c r="CF722" s="71">
        <f t="shared" si="304"/>
        <v>0</v>
      </c>
      <c r="CH722" s="71"/>
      <c r="CI722" s="71"/>
      <c r="CJ722" s="138">
        <f t="shared" si="305"/>
        <v>0</v>
      </c>
      <c r="CL722" s="71"/>
      <c r="CM722" s="71"/>
      <c r="CN722" s="71">
        <f t="shared" si="306"/>
        <v>0</v>
      </c>
      <c r="CS722" s="102">
        <f t="shared" si="307"/>
        <v>4.5293954747099576</v>
      </c>
      <c r="CT722" s="102">
        <f t="shared" si="308"/>
        <v>18.675175962423801</v>
      </c>
      <c r="CZ722" s="109" t="str">
        <f t="shared" si="309"/>
        <v>Basso</v>
      </c>
    </row>
    <row r="723" spans="9:104" x14ac:dyDescent="0.15">
      <c r="I723" s="64">
        <f t="shared" si="287"/>
        <v>76.99972307006928</v>
      </c>
      <c r="M723" s="64">
        <f t="shared" si="288"/>
        <v>0</v>
      </c>
      <c r="Q723" s="64">
        <f t="shared" si="289"/>
        <v>0</v>
      </c>
      <c r="U723" s="64">
        <f t="shared" si="290"/>
        <v>0</v>
      </c>
      <c r="Y723" s="114">
        <f t="shared" si="291"/>
        <v>0</v>
      </c>
      <c r="AC723" s="64">
        <f t="shared" si="292"/>
        <v>0</v>
      </c>
      <c r="AE723" s="71"/>
      <c r="AF723" s="71"/>
      <c r="AG723" s="71">
        <f t="shared" si="293"/>
        <v>0</v>
      </c>
      <c r="AK723" s="64">
        <f t="shared" si="294"/>
        <v>0</v>
      </c>
      <c r="AM723" s="71"/>
      <c r="AN723" s="71"/>
      <c r="AO723" s="71">
        <f t="shared" si="295"/>
        <v>0</v>
      </c>
      <c r="AQ723" s="71"/>
      <c r="AR723" s="71"/>
      <c r="AS723" s="71">
        <f t="shared" si="296"/>
        <v>0</v>
      </c>
      <c r="AU723" s="71"/>
      <c r="AV723" s="71"/>
      <c r="AW723" s="71">
        <f t="shared" si="297"/>
        <v>0</v>
      </c>
      <c r="AY723" s="71"/>
      <c r="AZ723" s="71"/>
      <c r="BA723" s="71">
        <f t="shared" si="298"/>
        <v>0</v>
      </c>
      <c r="BI723" s="71"/>
      <c r="BJ723" s="71"/>
      <c r="BK723" s="71">
        <f t="shared" si="299"/>
        <v>0</v>
      </c>
      <c r="BM723" s="71"/>
      <c r="BN723" s="71"/>
      <c r="BO723" s="71">
        <f t="shared" si="300"/>
        <v>0</v>
      </c>
      <c r="BQ723" s="71"/>
      <c r="BR723" s="71"/>
      <c r="BS723" s="138">
        <f t="shared" si="301"/>
        <v>0</v>
      </c>
      <c r="BU723" s="71"/>
      <c r="BV723" s="71"/>
      <c r="BW723" s="71">
        <f t="shared" si="302"/>
        <v>0</v>
      </c>
      <c r="BZ723" s="71"/>
      <c r="CA723" s="71"/>
      <c r="CB723" s="71">
        <f t="shared" si="303"/>
        <v>0</v>
      </c>
      <c r="CD723" s="71"/>
      <c r="CE723" s="71"/>
      <c r="CF723" s="71">
        <f t="shared" si="304"/>
        <v>0</v>
      </c>
      <c r="CH723" s="71"/>
      <c r="CI723" s="71"/>
      <c r="CJ723" s="138">
        <f t="shared" si="305"/>
        <v>0</v>
      </c>
      <c r="CL723" s="71"/>
      <c r="CM723" s="71"/>
      <c r="CN723" s="71">
        <f t="shared" si="306"/>
        <v>0</v>
      </c>
      <c r="CS723" s="102">
        <f t="shared" si="307"/>
        <v>4.5293954747099576</v>
      </c>
      <c r="CT723" s="102">
        <f t="shared" si="308"/>
        <v>18.675175962423801</v>
      </c>
      <c r="CZ723" s="109" t="str">
        <f t="shared" si="309"/>
        <v>Basso</v>
      </c>
    </row>
    <row r="724" spans="9:104" x14ac:dyDescent="0.15">
      <c r="I724" s="64">
        <f t="shared" si="287"/>
        <v>76.99972307006928</v>
      </c>
      <c r="M724" s="64">
        <f t="shared" si="288"/>
        <v>0</v>
      </c>
      <c r="Q724" s="64">
        <f t="shared" si="289"/>
        <v>0</v>
      </c>
      <c r="U724" s="64">
        <f t="shared" si="290"/>
        <v>0</v>
      </c>
      <c r="Y724" s="114">
        <f t="shared" si="291"/>
        <v>0</v>
      </c>
      <c r="AC724" s="64">
        <f t="shared" si="292"/>
        <v>0</v>
      </c>
      <c r="AE724" s="71"/>
      <c r="AF724" s="71"/>
      <c r="AG724" s="71">
        <f t="shared" si="293"/>
        <v>0</v>
      </c>
      <c r="AK724" s="64">
        <f t="shared" si="294"/>
        <v>0</v>
      </c>
      <c r="AM724" s="71"/>
      <c r="AN724" s="71"/>
      <c r="AO724" s="71">
        <f t="shared" si="295"/>
        <v>0</v>
      </c>
      <c r="AQ724" s="71"/>
      <c r="AR724" s="71"/>
      <c r="AS724" s="71">
        <f t="shared" si="296"/>
        <v>0</v>
      </c>
      <c r="AU724" s="71"/>
      <c r="AV724" s="71"/>
      <c r="AW724" s="71">
        <f t="shared" si="297"/>
        <v>0</v>
      </c>
      <c r="AY724" s="71"/>
      <c r="AZ724" s="71"/>
      <c r="BA724" s="71">
        <f t="shared" si="298"/>
        <v>0</v>
      </c>
      <c r="BI724" s="71"/>
      <c r="BJ724" s="71"/>
      <c r="BK724" s="71">
        <f t="shared" si="299"/>
        <v>0</v>
      </c>
      <c r="BM724" s="71"/>
      <c r="BN724" s="71"/>
      <c r="BO724" s="71">
        <f t="shared" si="300"/>
        <v>0</v>
      </c>
      <c r="BQ724" s="71"/>
      <c r="BR724" s="71"/>
      <c r="BS724" s="138">
        <f t="shared" si="301"/>
        <v>0</v>
      </c>
      <c r="BU724" s="71"/>
      <c r="BV724" s="71"/>
      <c r="BW724" s="71">
        <f t="shared" si="302"/>
        <v>0</v>
      </c>
      <c r="BZ724" s="71"/>
      <c r="CA724" s="71"/>
      <c r="CB724" s="71">
        <f t="shared" si="303"/>
        <v>0</v>
      </c>
      <c r="CD724" s="71"/>
      <c r="CE724" s="71"/>
      <c r="CF724" s="71">
        <f t="shared" si="304"/>
        <v>0</v>
      </c>
      <c r="CH724" s="71"/>
      <c r="CI724" s="71"/>
      <c r="CJ724" s="138">
        <f t="shared" si="305"/>
        <v>0</v>
      </c>
      <c r="CL724" s="71"/>
      <c r="CM724" s="71"/>
      <c r="CN724" s="71">
        <f t="shared" si="306"/>
        <v>0</v>
      </c>
      <c r="CS724" s="102">
        <f t="shared" si="307"/>
        <v>4.5293954747099576</v>
      </c>
      <c r="CT724" s="102">
        <f t="shared" si="308"/>
        <v>18.675175962423801</v>
      </c>
      <c r="CZ724" s="109" t="str">
        <f t="shared" si="309"/>
        <v>Basso</v>
      </c>
    </row>
    <row r="725" spans="9:104" x14ac:dyDescent="0.15">
      <c r="I725" s="64">
        <f t="shared" si="287"/>
        <v>76.99972307006928</v>
      </c>
      <c r="M725" s="64">
        <f t="shared" si="288"/>
        <v>0</v>
      </c>
      <c r="Q725" s="64">
        <f t="shared" si="289"/>
        <v>0</v>
      </c>
      <c r="U725" s="64">
        <f t="shared" si="290"/>
        <v>0</v>
      </c>
      <c r="Y725" s="114">
        <f t="shared" si="291"/>
        <v>0</v>
      </c>
      <c r="AC725" s="64">
        <f t="shared" si="292"/>
        <v>0</v>
      </c>
      <c r="AE725" s="71"/>
      <c r="AF725" s="71"/>
      <c r="AG725" s="71">
        <f t="shared" si="293"/>
        <v>0</v>
      </c>
      <c r="AK725" s="64">
        <f t="shared" si="294"/>
        <v>0</v>
      </c>
      <c r="AM725" s="71"/>
      <c r="AN725" s="71"/>
      <c r="AO725" s="71">
        <f t="shared" si="295"/>
        <v>0</v>
      </c>
      <c r="AQ725" s="71"/>
      <c r="AR725" s="71"/>
      <c r="AS725" s="71">
        <f t="shared" si="296"/>
        <v>0</v>
      </c>
      <c r="AU725" s="71"/>
      <c r="AV725" s="71"/>
      <c r="AW725" s="71">
        <f t="shared" si="297"/>
        <v>0</v>
      </c>
      <c r="AY725" s="71"/>
      <c r="AZ725" s="71"/>
      <c r="BA725" s="71">
        <f t="shared" si="298"/>
        <v>0</v>
      </c>
      <c r="BI725" s="71"/>
      <c r="BJ725" s="71"/>
      <c r="BK725" s="71">
        <f t="shared" si="299"/>
        <v>0</v>
      </c>
      <c r="BM725" s="71"/>
      <c r="BN725" s="71"/>
      <c r="BO725" s="71">
        <f t="shared" si="300"/>
        <v>0</v>
      </c>
      <c r="BQ725" s="71"/>
      <c r="BR725" s="71"/>
      <c r="BS725" s="138">
        <f t="shared" si="301"/>
        <v>0</v>
      </c>
      <c r="BU725" s="71"/>
      <c r="BV725" s="71"/>
      <c r="BW725" s="71">
        <f t="shared" si="302"/>
        <v>0</v>
      </c>
      <c r="BZ725" s="71"/>
      <c r="CA725" s="71"/>
      <c r="CB725" s="71">
        <f t="shared" si="303"/>
        <v>0</v>
      </c>
      <c r="CD725" s="71"/>
      <c r="CE725" s="71"/>
      <c r="CF725" s="71">
        <f t="shared" si="304"/>
        <v>0</v>
      </c>
      <c r="CH725" s="71"/>
      <c r="CI725" s="71"/>
      <c r="CJ725" s="138">
        <f t="shared" si="305"/>
        <v>0</v>
      </c>
      <c r="CL725" s="71"/>
      <c r="CM725" s="71"/>
      <c r="CN725" s="71">
        <f t="shared" si="306"/>
        <v>0</v>
      </c>
      <c r="CS725" s="102">
        <f t="shared" si="307"/>
        <v>4.5293954747099576</v>
      </c>
      <c r="CT725" s="102">
        <f t="shared" si="308"/>
        <v>18.675175962423801</v>
      </c>
      <c r="CZ725" s="109" t="str">
        <f t="shared" si="309"/>
        <v>Basso</v>
      </c>
    </row>
    <row r="726" spans="9:104" x14ac:dyDescent="0.15">
      <c r="I726" s="64">
        <f t="shared" si="287"/>
        <v>76.99972307006928</v>
      </c>
      <c r="M726" s="64">
        <f t="shared" si="288"/>
        <v>0</v>
      </c>
      <c r="Q726" s="64">
        <f t="shared" si="289"/>
        <v>0</v>
      </c>
      <c r="U726" s="64">
        <f t="shared" si="290"/>
        <v>0</v>
      </c>
      <c r="Y726" s="114">
        <f t="shared" si="291"/>
        <v>0</v>
      </c>
      <c r="AC726" s="64">
        <f t="shared" si="292"/>
        <v>0</v>
      </c>
      <c r="AE726" s="71"/>
      <c r="AF726" s="71"/>
      <c r="AG726" s="71">
        <f t="shared" si="293"/>
        <v>0</v>
      </c>
      <c r="AK726" s="64">
        <f t="shared" si="294"/>
        <v>0</v>
      </c>
      <c r="AM726" s="71"/>
      <c r="AN726" s="71"/>
      <c r="AO726" s="71">
        <f t="shared" si="295"/>
        <v>0</v>
      </c>
      <c r="AQ726" s="71"/>
      <c r="AR726" s="71"/>
      <c r="AS726" s="71">
        <f t="shared" si="296"/>
        <v>0</v>
      </c>
      <c r="AU726" s="71"/>
      <c r="AV726" s="71"/>
      <c r="AW726" s="71">
        <f t="shared" si="297"/>
        <v>0</v>
      </c>
      <c r="AY726" s="71"/>
      <c r="AZ726" s="71"/>
      <c r="BA726" s="71">
        <f t="shared" si="298"/>
        <v>0</v>
      </c>
      <c r="BI726" s="71"/>
      <c r="BJ726" s="71"/>
      <c r="BK726" s="71">
        <f t="shared" si="299"/>
        <v>0</v>
      </c>
      <c r="BM726" s="71"/>
      <c r="BN726" s="71"/>
      <c r="BO726" s="71">
        <f t="shared" si="300"/>
        <v>0</v>
      </c>
      <c r="BQ726" s="71"/>
      <c r="BR726" s="71"/>
      <c r="BS726" s="138">
        <f t="shared" si="301"/>
        <v>0</v>
      </c>
      <c r="BU726" s="71"/>
      <c r="BV726" s="71"/>
      <c r="BW726" s="71">
        <f t="shared" si="302"/>
        <v>0</v>
      </c>
      <c r="BZ726" s="71"/>
      <c r="CA726" s="71"/>
      <c r="CB726" s="71">
        <f t="shared" si="303"/>
        <v>0</v>
      </c>
      <c r="CD726" s="71"/>
      <c r="CE726" s="71"/>
      <c r="CF726" s="71">
        <f t="shared" si="304"/>
        <v>0</v>
      </c>
      <c r="CH726" s="71"/>
      <c r="CI726" s="71"/>
      <c r="CJ726" s="138">
        <f t="shared" si="305"/>
        <v>0</v>
      </c>
      <c r="CL726" s="71"/>
      <c r="CM726" s="71"/>
      <c r="CN726" s="71">
        <f t="shared" si="306"/>
        <v>0</v>
      </c>
      <c r="CS726" s="102">
        <f t="shared" si="307"/>
        <v>4.5293954747099576</v>
      </c>
      <c r="CT726" s="102">
        <f t="shared" si="308"/>
        <v>18.675175962423801</v>
      </c>
      <c r="CZ726" s="109" t="str">
        <f t="shared" si="309"/>
        <v>Basso</v>
      </c>
    </row>
    <row r="727" spans="9:104" x14ac:dyDescent="0.15">
      <c r="I727" s="64">
        <f t="shared" si="287"/>
        <v>76.99972307006928</v>
      </c>
      <c r="M727" s="64">
        <f t="shared" si="288"/>
        <v>0</v>
      </c>
      <c r="Q727" s="64">
        <f t="shared" si="289"/>
        <v>0</v>
      </c>
      <c r="U727" s="64">
        <f t="shared" si="290"/>
        <v>0</v>
      </c>
      <c r="Y727" s="114">
        <f t="shared" si="291"/>
        <v>0</v>
      </c>
      <c r="AC727" s="64">
        <f t="shared" si="292"/>
        <v>0</v>
      </c>
      <c r="AE727" s="71"/>
      <c r="AF727" s="71"/>
      <c r="AG727" s="71">
        <f t="shared" si="293"/>
        <v>0</v>
      </c>
      <c r="AK727" s="64">
        <f t="shared" si="294"/>
        <v>0</v>
      </c>
      <c r="AM727" s="71"/>
      <c r="AN727" s="71"/>
      <c r="AO727" s="71">
        <f t="shared" si="295"/>
        <v>0</v>
      </c>
      <c r="AQ727" s="71"/>
      <c r="AR727" s="71"/>
      <c r="AS727" s="71">
        <f t="shared" si="296"/>
        <v>0</v>
      </c>
      <c r="AU727" s="71"/>
      <c r="AV727" s="71"/>
      <c r="AW727" s="71">
        <f t="shared" si="297"/>
        <v>0</v>
      </c>
      <c r="AY727" s="71"/>
      <c r="AZ727" s="71"/>
      <c r="BA727" s="71">
        <f t="shared" si="298"/>
        <v>0</v>
      </c>
      <c r="BI727" s="71"/>
      <c r="BJ727" s="71"/>
      <c r="BK727" s="71">
        <f t="shared" si="299"/>
        <v>0</v>
      </c>
      <c r="BM727" s="71"/>
      <c r="BN727" s="71"/>
      <c r="BO727" s="71">
        <f t="shared" si="300"/>
        <v>0</v>
      </c>
      <c r="BQ727" s="71"/>
      <c r="BR727" s="71"/>
      <c r="BS727" s="138">
        <f t="shared" si="301"/>
        <v>0</v>
      </c>
      <c r="BU727" s="71"/>
      <c r="BV727" s="71"/>
      <c r="BW727" s="71">
        <f t="shared" si="302"/>
        <v>0</v>
      </c>
      <c r="BZ727" s="71"/>
      <c r="CA727" s="71"/>
      <c r="CB727" s="71">
        <f t="shared" si="303"/>
        <v>0</v>
      </c>
      <c r="CD727" s="71"/>
      <c r="CE727" s="71"/>
      <c r="CF727" s="71">
        <f t="shared" si="304"/>
        <v>0</v>
      </c>
      <c r="CH727" s="71"/>
      <c r="CI727" s="71"/>
      <c r="CJ727" s="138">
        <f t="shared" si="305"/>
        <v>0</v>
      </c>
      <c r="CL727" s="71"/>
      <c r="CM727" s="71"/>
      <c r="CN727" s="71">
        <f t="shared" si="306"/>
        <v>0</v>
      </c>
      <c r="CS727" s="102">
        <f t="shared" si="307"/>
        <v>4.5293954747099576</v>
      </c>
      <c r="CT727" s="102">
        <f t="shared" si="308"/>
        <v>18.675175962423801</v>
      </c>
      <c r="CZ727" s="109" t="str">
        <f t="shared" si="309"/>
        <v>Basso</v>
      </c>
    </row>
    <row r="728" spans="9:104" x14ac:dyDescent="0.15">
      <c r="I728" s="64">
        <f t="shared" si="287"/>
        <v>76.99972307006928</v>
      </c>
      <c r="M728" s="64">
        <f t="shared" si="288"/>
        <v>0</v>
      </c>
      <c r="Q728" s="64">
        <f t="shared" si="289"/>
        <v>0</v>
      </c>
      <c r="U728" s="64">
        <f t="shared" si="290"/>
        <v>0</v>
      </c>
      <c r="Y728" s="114">
        <f t="shared" si="291"/>
        <v>0</v>
      </c>
      <c r="AC728" s="64">
        <f t="shared" si="292"/>
        <v>0</v>
      </c>
      <c r="AE728" s="71"/>
      <c r="AF728" s="71"/>
      <c r="AG728" s="71">
        <f t="shared" si="293"/>
        <v>0</v>
      </c>
      <c r="AK728" s="64">
        <f t="shared" si="294"/>
        <v>0</v>
      </c>
      <c r="AM728" s="71"/>
      <c r="AN728" s="71"/>
      <c r="AO728" s="71">
        <f t="shared" si="295"/>
        <v>0</v>
      </c>
      <c r="AQ728" s="71"/>
      <c r="AR728" s="71"/>
      <c r="AS728" s="71">
        <f t="shared" si="296"/>
        <v>0</v>
      </c>
      <c r="AU728" s="71"/>
      <c r="AV728" s="71"/>
      <c r="AW728" s="71">
        <f t="shared" si="297"/>
        <v>0</v>
      </c>
      <c r="AY728" s="71"/>
      <c r="AZ728" s="71"/>
      <c r="BA728" s="71">
        <f t="shared" si="298"/>
        <v>0</v>
      </c>
      <c r="BI728" s="71"/>
      <c r="BJ728" s="71"/>
      <c r="BK728" s="71">
        <f t="shared" si="299"/>
        <v>0</v>
      </c>
      <c r="BM728" s="71"/>
      <c r="BN728" s="71"/>
      <c r="BO728" s="71">
        <f t="shared" si="300"/>
        <v>0</v>
      </c>
      <c r="BQ728" s="71"/>
      <c r="BR728" s="71"/>
      <c r="BS728" s="138">
        <f t="shared" si="301"/>
        <v>0</v>
      </c>
      <c r="BU728" s="71"/>
      <c r="BV728" s="71"/>
      <c r="BW728" s="71">
        <f t="shared" si="302"/>
        <v>0</v>
      </c>
      <c r="BZ728" s="71"/>
      <c r="CA728" s="71"/>
      <c r="CB728" s="71">
        <f t="shared" si="303"/>
        <v>0</v>
      </c>
      <c r="CD728" s="71"/>
      <c r="CE728" s="71"/>
      <c r="CF728" s="71">
        <f t="shared" si="304"/>
        <v>0</v>
      </c>
      <c r="CH728" s="71"/>
      <c r="CI728" s="71"/>
      <c r="CJ728" s="138">
        <f t="shared" si="305"/>
        <v>0</v>
      </c>
      <c r="CL728" s="71"/>
      <c r="CM728" s="71"/>
      <c r="CN728" s="71">
        <f t="shared" si="306"/>
        <v>0</v>
      </c>
      <c r="CS728" s="102">
        <f t="shared" si="307"/>
        <v>4.5293954747099576</v>
      </c>
      <c r="CT728" s="102">
        <f t="shared" si="308"/>
        <v>18.675175962423801</v>
      </c>
      <c r="CZ728" s="109" t="str">
        <f t="shared" si="309"/>
        <v>Basso</v>
      </c>
    </row>
    <row r="729" spans="9:104" x14ac:dyDescent="0.15">
      <c r="I729" s="64">
        <f t="shared" si="287"/>
        <v>76.99972307006928</v>
      </c>
      <c r="M729" s="64">
        <f t="shared" si="288"/>
        <v>0</v>
      </c>
      <c r="Q729" s="64">
        <f t="shared" si="289"/>
        <v>0</v>
      </c>
      <c r="U729" s="64">
        <f t="shared" si="290"/>
        <v>0</v>
      </c>
      <c r="Y729" s="114">
        <f t="shared" si="291"/>
        <v>0</v>
      </c>
      <c r="AC729" s="64">
        <f t="shared" si="292"/>
        <v>0</v>
      </c>
      <c r="AE729" s="71"/>
      <c r="AF729" s="71"/>
      <c r="AG729" s="71">
        <f t="shared" si="293"/>
        <v>0</v>
      </c>
      <c r="AK729" s="64">
        <f t="shared" si="294"/>
        <v>0</v>
      </c>
      <c r="AM729" s="71"/>
      <c r="AN729" s="71"/>
      <c r="AO729" s="71">
        <f t="shared" si="295"/>
        <v>0</v>
      </c>
      <c r="AQ729" s="71"/>
      <c r="AR729" s="71"/>
      <c r="AS729" s="71">
        <f t="shared" si="296"/>
        <v>0</v>
      </c>
      <c r="AU729" s="71"/>
      <c r="AV729" s="71"/>
      <c r="AW729" s="71">
        <f t="shared" si="297"/>
        <v>0</v>
      </c>
      <c r="AY729" s="71"/>
      <c r="AZ729" s="71"/>
      <c r="BA729" s="71">
        <f t="shared" si="298"/>
        <v>0</v>
      </c>
      <c r="BI729" s="71"/>
      <c r="BJ729" s="71"/>
      <c r="BK729" s="71">
        <f t="shared" si="299"/>
        <v>0</v>
      </c>
      <c r="BM729" s="71"/>
      <c r="BN729" s="71"/>
      <c r="BO729" s="71">
        <f t="shared" si="300"/>
        <v>0</v>
      </c>
      <c r="BQ729" s="71"/>
      <c r="BR729" s="71"/>
      <c r="BS729" s="138">
        <f t="shared" si="301"/>
        <v>0</v>
      </c>
      <c r="BU729" s="71"/>
      <c r="BV729" s="71"/>
      <c r="BW729" s="71">
        <f t="shared" si="302"/>
        <v>0</v>
      </c>
      <c r="BZ729" s="71"/>
      <c r="CA729" s="71"/>
      <c r="CB729" s="71">
        <f t="shared" si="303"/>
        <v>0</v>
      </c>
      <c r="CD729" s="71"/>
      <c r="CE729" s="71"/>
      <c r="CF729" s="71">
        <f t="shared" si="304"/>
        <v>0</v>
      </c>
      <c r="CH729" s="71"/>
      <c r="CI729" s="71"/>
      <c r="CJ729" s="138">
        <f t="shared" si="305"/>
        <v>0</v>
      </c>
      <c r="CL729" s="71"/>
      <c r="CM729" s="71"/>
      <c r="CN729" s="71">
        <f t="shared" si="306"/>
        <v>0</v>
      </c>
      <c r="CS729" s="102">
        <f t="shared" si="307"/>
        <v>4.5293954747099576</v>
      </c>
      <c r="CT729" s="102">
        <f t="shared" si="308"/>
        <v>18.675175962423801</v>
      </c>
      <c r="CZ729" s="109" t="str">
        <f t="shared" si="309"/>
        <v>Basso</v>
      </c>
    </row>
    <row r="730" spans="9:104" x14ac:dyDescent="0.15">
      <c r="I730" s="64">
        <f t="shared" si="287"/>
        <v>76.99972307006928</v>
      </c>
      <c r="M730" s="64">
        <f t="shared" si="288"/>
        <v>0</v>
      </c>
      <c r="Q730" s="64">
        <f t="shared" si="289"/>
        <v>0</v>
      </c>
      <c r="U730" s="64">
        <f t="shared" si="290"/>
        <v>0</v>
      </c>
      <c r="Y730" s="114">
        <f t="shared" si="291"/>
        <v>0</v>
      </c>
      <c r="AC730" s="64">
        <f t="shared" si="292"/>
        <v>0</v>
      </c>
      <c r="AE730" s="71"/>
      <c r="AF730" s="71"/>
      <c r="AG730" s="71">
        <f t="shared" si="293"/>
        <v>0</v>
      </c>
      <c r="AK730" s="64">
        <f t="shared" si="294"/>
        <v>0</v>
      </c>
      <c r="AM730" s="71"/>
      <c r="AN730" s="71"/>
      <c r="AO730" s="71">
        <f t="shared" si="295"/>
        <v>0</v>
      </c>
      <c r="AQ730" s="71"/>
      <c r="AR730" s="71"/>
      <c r="AS730" s="71">
        <f t="shared" si="296"/>
        <v>0</v>
      </c>
      <c r="AU730" s="71"/>
      <c r="AV730" s="71"/>
      <c r="AW730" s="71">
        <f t="shared" si="297"/>
        <v>0</v>
      </c>
      <c r="AY730" s="71"/>
      <c r="AZ730" s="71"/>
      <c r="BA730" s="71">
        <f t="shared" si="298"/>
        <v>0</v>
      </c>
      <c r="BI730" s="71"/>
      <c r="BJ730" s="71"/>
      <c r="BK730" s="71">
        <f t="shared" si="299"/>
        <v>0</v>
      </c>
      <c r="BM730" s="71"/>
      <c r="BN730" s="71"/>
      <c r="BO730" s="71">
        <f t="shared" si="300"/>
        <v>0</v>
      </c>
      <c r="BQ730" s="71"/>
      <c r="BR730" s="71"/>
      <c r="BS730" s="138">
        <f t="shared" si="301"/>
        <v>0</v>
      </c>
      <c r="BU730" s="71"/>
      <c r="BV730" s="71"/>
      <c r="BW730" s="71">
        <f t="shared" si="302"/>
        <v>0</v>
      </c>
      <c r="BZ730" s="71"/>
      <c r="CA730" s="71"/>
      <c r="CB730" s="71">
        <f t="shared" si="303"/>
        <v>0</v>
      </c>
      <c r="CD730" s="71"/>
      <c r="CE730" s="71"/>
      <c r="CF730" s="71">
        <f t="shared" si="304"/>
        <v>0</v>
      </c>
      <c r="CH730" s="71"/>
      <c r="CI730" s="71"/>
      <c r="CJ730" s="138">
        <f t="shared" si="305"/>
        <v>0</v>
      </c>
      <c r="CL730" s="71"/>
      <c r="CM730" s="71"/>
      <c r="CN730" s="71">
        <f t="shared" si="306"/>
        <v>0</v>
      </c>
      <c r="CS730" s="102">
        <f t="shared" si="307"/>
        <v>4.5293954747099576</v>
      </c>
      <c r="CT730" s="102">
        <f t="shared" si="308"/>
        <v>18.675175962423801</v>
      </c>
      <c r="CZ730" s="109" t="str">
        <f t="shared" si="309"/>
        <v>Basso</v>
      </c>
    </row>
    <row r="731" spans="9:104" x14ac:dyDescent="0.15">
      <c r="I731" s="64">
        <f t="shared" si="287"/>
        <v>76.99972307006928</v>
      </c>
      <c r="M731" s="64">
        <f t="shared" si="288"/>
        <v>0</v>
      </c>
      <c r="Q731" s="64">
        <f t="shared" si="289"/>
        <v>0</v>
      </c>
      <c r="U731" s="64">
        <f t="shared" si="290"/>
        <v>0</v>
      </c>
      <c r="Y731" s="114">
        <f t="shared" si="291"/>
        <v>0</v>
      </c>
      <c r="AC731" s="64">
        <f t="shared" si="292"/>
        <v>0</v>
      </c>
      <c r="AE731" s="71"/>
      <c r="AF731" s="71"/>
      <c r="AG731" s="71">
        <f t="shared" si="293"/>
        <v>0</v>
      </c>
      <c r="AK731" s="64">
        <f t="shared" si="294"/>
        <v>0</v>
      </c>
      <c r="AM731" s="71"/>
      <c r="AN731" s="71"/>
      <c r="AO731" s="71">
        <f t="shared" si="295"/>
        <v>0</v>
      </c>
      <c r="AQ731" s="71"/>
      <c r="AR731" s="71"/>
      <c r="AS731" s="71">
        <f t="shared" si="296"/>
        <v>0</v>
      </c>
      <c r="AU731" s="71"/>
      <c r="AV731" s="71"/>
      <c r="AW731" s="71">
        <f t="shared" si="297"/>
        <v>0</v>
      </c>
      <c r="AY731" s="71"/>
      <c r="AZ731" s="71"/>
      <c r="BA731" s="71">
        <f t="shared" si="298"/>
        <v>0</v>
      </c>
      <c r="BI731" s="71"/>
      <c r="BJ731" s="71"/>
      <c r="BK731" s="71">
        <f t="shared" si="299"/>
        <v>0</v>
      </c>
      <c r="BM731" s="71"/>
      <c r="BN731" s="71"/>
      <c r="BO731" s="71">
        <f t="shared" si="300"/>
        <v>0</v>
      </c>
      <c r="BQ731" s="71"/>
      <c r="BR731" s="71"/>
      <c r="BS731" s="138">
        <f t="shared" si="301"/>
        <v>0</v>
      </c>
      <c r="BU731" s="71"/>
      <c r="BV731" s="71"/>
      <c r="BW731" s="71">
        <f t="shared" si="302"/>
        <v>0</v>
      </c>
      <c r="BZ731" s="71"/>
      <c r="CA731" s="71"/>
      <c r="CB731" s="71">
        <f t="shared" si="303"/>
        <v>0</v>
      </c>
      <c r="CD731" s="71"/>
      <c r="CE731" s="71"/>
      <c r="CF731" s="71">
        <f t="shared" si="304"/>
        <v>0</v>
      </c>
      <c r="CH731" s="71"/>
      <c r="CI731" s="71"/>
      <c r="CJ731" s="138">
        <f t="shared" si="305"/>
        <v>0</v>
      </c>
      <c r="CL731" s="71"/>
      <c r="CM731" s="71"/>
      <c r="CN731" s="71">
        <f t="shared" si="306"/>
        <v>0</v>
      </c>
      <c r="CS731" s="102">
        <f t="shared" si="307"/>
        <v>4.5293954747099576</v>
      </c>
      <c r="CT731" s="102">
        <f t="shared" si="308"/>
        <v>18.675175962423801</v>
      </c>
      <c r="CZ731" s="109" t="str">
        <f t="shared" si="309"/>
        <v>Basso</v>
      </c>
    </row>
    <row r="732" spans="9:104" x14ac:dyDescent="0.15">
      <c r="I732" s="64">
        <f t="shared" si="287"/>
        <v>76.99972307006928</v>
      </c>
      <c r="M732" s="64">
        <f t="shared" si="288"/>
        <v>0</v>
      </c>
      <c r="Q732" s="64">
        <f t="shared" si="289"/>
        <v>0</v>
      </c>
      <c r="U732" s="64">
        <f t="shared" si="290"/>
        <v>0</v>
      </c>
      <c r="Y732" s="114">
        <f t="shared" si="291"/>
        <v>0</v>
      </c>
      <c r="AC732" s="64">
        <f t="shared" si="292"/>
        <v>0</v>
      </c>
      <c r="AE732" s="71"/>
      <c r="AF732" s="71"/>
      <c r="AG732" s="71">
        <f t="shared" si="293"/>
        <v>0</v>
      </c>
      <c r="AK732" s="64">
        <f t="shared" si="294"/>
        <v>0</v>
      </c>
      <c r="AM732" s="71"/>
      <c r="AN732" s="71"/>
      <c r="AO732" s="71">
        <f t="shared" si="295"/>
        <v>0</v>
      </c>
      <c r="AQ732" s="71"/>
      <c r="AR732" s="71"/>
      <c r="AS732" s="71">
        <f t="shared" si="296"/>
        <v>0</v>
      </c>
      <c r="AU732" s="71"/>
      <c r="AV732" s="71"/>
      <c r="AW732" s="71">
        <f t="shared" si="297"/>
        <v>0</v>
      </c>
      <c r="AY732" s="71"/>
      <c r="AZ732" s="71"/>
      <c r="BA732" s="71">
        <f t="shared" si="298"/>
        <v>0</v>
      </c>
      <c r="BI732" s="71"/>
      <c r="BJ732" s="71"/>
      <c r="BK732" s="71">
        <f t="shared" si="299"/>
        <v>0</v>
      </c>
      <c r="BM732" s="71"/>
      <c r="BN732" s="71"/>
      <c r="BO732" s="71">
        <f t="shared" si="300"/>
        <v>0</v>
      </c>
      <c r="BQ732" s="71"/>
      <c r="BR732" s="71"/>
      <c r="BS732" s="138">
        <f t="shared" si="301"/>
        <v>0</v>
      </c>
      <c r="BU732" s="71"/>
      <c r="BV732" s="71"/>
      <c r="BW732" s="71">
        <f t="shared" si="302"/>
        <v>0</v>
      </c>
      <c r="BZ732" s="71"/>
      <c r="CA732" s="71"/>
      <c r="CB732" s="71">
        <f t="shared" si="303"/>
        <v>0</v>
      </c>
      <c r="CD732" s="71"/>
      <c r="CE732" s="71"/>
      <c r="CF732" s="71">
        <f t="shared" si="304"/>
        <v>0</v>
      </c>
      <c r="CH732" s="71"/>
      <c r="CI732" s="71"/>
      <c r="CJ732" s="138">
        <f t="shared" si="305"/>
        <v>0</v>
      </c>
      <c r="CL732" s="71"/>
      <c r="CM732" s="71"/>
      <c r="CN732" s="71">
        <f t="shared" si="306"/>
        <v>0</v>
      </c>
      <c r="CS732" s="102">
        <f t="shared" si="307"/>
        <v>4.5293954747099576</v>
      </c>
      <c r="CT732" s="102">
        <f t="shared" si="308"/>
        <v>18.675175962423801</v>
      </c>
      <c r="CZ732" s="109" t="str">
        <f t="shared" si="309"/>
        <v>Basso</v>
      </c>
    </row>
    <row r="733" spans="9:104" x14ac:dyDescent="0.15">
      <c r="I733" s="64">
        <f t="shared" si="287"/>
        <v>76.99972307006928</v>
      </c>
      <c r="M733" s="64">
        <f t="shared" si="288"/>
        <v>0</v>
      </c>
      <c r="Q733" s="64">
        <f t="shared" si="289"/>
        <v>0</v>
      </c>
      <c r="U733" s="64">
        <f t="shared" si="290"/>
        <v>0</v>
      </c>
      <c r="Y733" s="114">
        <f t="shared" si="291"/>
        <v>0</v>
      </c>
      <c r="AC733" s="64">
        <f t="shared" si="292"/>
        <v>0</v>
      </c>
      <c r="AE733" s="71"/>
      <c r="AF733" s="71"/>
      <c r="AG733" s="71">
        <f t="shared" si="293"/>
        <v>0</v>
      </c>
      <c r="AK733" s="64">
        <f t="shared" si="294"/>
        <v>0</v>
      </c>
      <c r="AM733" s="71"/>
      <c r="AN733" s="71"/>
      <c r="AO733" s="71">
        <f t="shared" si="295"/>
        <v>0</v>
      </c>
      <c r="AQ733" s="71"/>
      <c r="AR733" s="71"/>
      <c r="AS733" s="71">
        <f t="shared" si="296"/>
        <v>0</v>
      </c>
      <c r="AU733" s="71"/>
      <c r="AV733" s="71"/>
      <c r="AW733" s="71">
        <f t="shared" si="297"/>
        <v>0</v>
      </c>
      <c r="AY733" s="71"/>
      <c r="AZ733" s="71"/>
      <c r="BA733" s="71">
        <f t="shared" si="298"/>
        <v>0</v>
      </c>
      <c r="BI733" s="71"/>
      <c r="BJ733" s="71"/>
      <c r="BK733" s="71">
        <f t="shared" si="299"/>
        <v>0</v>
      </c>
      <c r="BM733" s="71"/>
      <c r="BN733" s="71"/>
      <c r="BO733" s="71">
        <f t="shared" si="300"/>
        <v>0</v>
      </c>
      <c r="BQ733" s="71"/>
      <c r="BR733" s="71"/>
      <c r="BS733" s="138">
        <f t="shared" si="301"/>
        <v>0</v>
      </c>
      <c r="BU733" s="71"/>
      <c r="BV733" s="71"/>
      <c r="BW733" s="71">
        <f t="shared" si="302"/>
        <v>0</v>
      </c>
      <c r="BZ733" s="71"/>
      <c r="CA733" s="71"/>
      <c r="CB733" s="71">
        <f t="shared" si="303"/>
        <v>0</v>
      </c>
      <c r="CD733" s="71"/>
      <c r="CE733" s="71"/>
      <c r="CF733" s="71">
        <f t="shared" si="304"/>
        <v>0</v>
      </c>
      <c r="CH733" s="71"/>
      <c r="CI733" s="71"/>
      <c r="CJ733" s="138">
        <f t="shared" si="305"/>
        <v>0</v>
      </c>
      <c r="CL733" s="71"/>
      <c r="CM733" s="71"/>
      <c r="CN733" s="71">
        <f t="shared" si="306"/>
        <v>0</v>
      </c>
      <c r="CS733" s="102">
        <f t="shared" si="307"/>
        <v>4.5293954747099576</v>
      </c>
      <c r="CT733" s="102">
        <f t="shared" si="308"/>
        <v>18.675175962423801</v>
      </c>
      <c r="CZ733" s="109" t="str">
        <f t="shared" si="309"/>
        <v>Basso</v>
      </c>
    </row>
    <row r="734" spans="9:104" x14ac:dyDescent="0.15">
      <c r="I734" s="64">
        <f t="shared" si="287"/>
        <v>76.99972307006928</v>
      </c>
      <c r="M734" s="64">
        <f t="shared" si="288"/>
        <v>0</v>
      </c>
      <c r="Q734" s="64">
        <f t="shared" si="289"/>
        <v>0</v>
      </c>
      <c r="U734" s="64">
        <f t="shared" si="290"/>
        <v>0</v>
      </c>
      <c r="Y734" s="114">
        <f t="shared" si="291"/>
        <v>0</v>
      </c>
      <c r="AC734" s="64">
        <f t="shared" si="292"/>
        <v>0</v>
      </c>
      <c r="AE734" s="71"/>
      <c r="AF734" s="71"/>
      <c r="AG734" s="71">
        <f t="shared" si="293"/>
        <v>0</v>
      </c>
      <c r="AK734" s="64">
        <f t="shared" si="294"/>
        <v>0</v>
      </c>
      <c r="AM734" s="71"/>
      <c r="AN734" s="71"/>
      <c r="AO734" s="71">
        <f t="shared" si="295"/>
        <v>0</v>
      </c>
      <c r="AQ734" s="71"/>
      <c r="AR734" s="71"/>
      <c r="AS734" s="71">
        <f t="shared" si="296"/>
        <v>0</v>
      </c>
      <c r="AU734" s="71"/>
      <c r="AV734" s="71"/>
      <c r="AW734" s="71">
        <f t="shared" si="297"/>
        <v>0</v>
      </c>
      <c r="AY734" s="71"/>
      <c r="AZ734" s="71"/>
      <c r="BA734" s="71">
        <f t="shared" si="298"/>
        <v>0</v>
      </c>
      <c r="BI734" s="71"/>
      <c r="BJ734" s="71"/>
      <c r="BK734" s="71">
        <f t="shared" si="299"/>
        <v>0</v>
      </c>
      <c r="BM734" s="71"/>
      <c r="BN734" s="71"/>
      <c r="BO734" s="71">
        <f t="shared" si="300"/>
        <v>0</v>
      </c>
      <c r="BQ734" s="71"/>
      <c r="BR734" s="71"/>
      <c r="BS734" s="138">
        <f t="shared" si="301"/>
        <v>0</v>
      </c>
      <c r="BU734" s="71"/>
      <c r="BV734" s="71"/>
      <c r="BW734" s="71">
        <f t="shared" si="302"/>
        <v>0</v>
      </c>
      <c r="BZ734" s="71"/>
      <c r="CA734" s="71"/>
      <c r="CB734" s="71">
        <f t="shared" si="303"/>
        <v>0</v>
      </c>
      <c r="CD734" s="71"/>
      <c r="CE734" s="71"/>
      <c r="CF734" s="71">
        <f t="shared" si="304"/>
        <v>0</v>
      </c>
      <c r="CH734" s="71"/>
      <c r="CI734" s="71"/>
      <c r="CJ734" s="138">
        <f t="shared" si="305"/>
        <v>0</v>
      </c>
      <c r="CL734" s="71"/>
      <c r="CM734" s="71"/>
      <c r="CN734" s="71">
        <f t="shared" si="306"/>
        <v>0</v>
      </c>
      <c r="CS734" s="102">
        <f t="shared" si="307"/>
        <v>4.5293954747099576</v>
      </c>
      <c r="CT734" s="102">
        <f t="shared" si="308"/>
        <v>18.675175962423801</v>
      </c>
      <c r="CZ734" s="109" t="str">
        <f t="shared" si="309"/>
        <v>Basso</v>
      </c>
    </row>
    <row r="735" spans="9:104" x14ac:dyDescent="0.15">
      <c r="I735" s="64">
        <f t="shared" si="287"/>
        <v>76.99972307006928</v>
      </c>
      <c r="M735" s="64">
        <f t="shared" si="288"/>
        <v>0</v>
      </c>
      <c r="Q735" s="64">
        <f t="shared" si="289"/>
        <v>0</v>
      </c>
      <c r="U735" s="64">
        <f t="shared" si="290"/>
        <v>0</v>
      </c>
      <c r="Y735" s="114">
        <f t="shared" si="291"/>
        <v>0</v>
      </c>
      <c r="AC735" s="64">
        <f t="shared" si="292"/>
        <v>0</v>
      </c>
      <c r="AE735" s="71"/>
      <c r="AF735" s="71"/>
      <c r="AG735" s="71">
        <f t="shared" si="293"/>
        <v>0</v>
      </c>
      <c r="AK735" s="64">
        <f t="shared" si="294"/>
        <v>0</v>
      </c>
      <c r="AM735" s="71"/>
      <c r="AN735" s="71"/>
      <c r="AO735" s="71">
        <f t="shared" si="295"/>
        <v>0</v>
      </c>
      <c r="AQ735" s="71"/>
      <c r="AR735" s="71"/>
      <c r="AS735" s="71">
        <f t="shared" si="296"/>
        <v>0</v>
      </c>
      <c r="AU735" s="71"/>
      <c r="AV735" s="71"/>
      <c r="AW735" s="71">
        <f t="shared" si="297"/>
        <v>0</v>
      </c>
      <c r="AY735" s="71"/>
      <c r="AZ735" s="71"/>
      <c r="BA735" s="71">
        <f t="shared" si="298"/>
        <v>0</v>
      </c>
      <c r="BI735" s="71"/>
      <c r="BJ735" s="71"/>
      <c r="BK735" s="71">
        <f t="shared" si="299"/>
        <v>0</v>
      </c>
      <c r="BM735" s="71"/>
      <c r="BN735" s="71"/>
      <c r="BO735" s="71">
        <f t="shared" si="300"/>
        <v>0</v>
      </c>
      <c r="BQ735" s="71"/>
      <c r="BR735" s="71"/>
      <c r="BS735" s="138">
        <f t="shared" si="301"/>
        <v>0</v>
      </c>
      <c r="BU735" s="71"/>
      <c r="BV735" s="71"/>
      <c r="BW735" s="71">
        <f t="shared" si="302"/>
        <v>0</v>
      </c>
      <c r="BZ735" s="71"/>
      <c r="CA735" s="71"/>
      <c r="CB735" s="71">
        <f t="shared" si="303"/>
        <v>0</v>
      </c>
      <c r="CD735" s="71"/>
      <c r="CE735" s="71"/>
      <c r="CF735" s="71">
        <f t="shared" si="304"/>
        <v>0</v>
      </c>
      <c r="CH735" s="71"/>
      <c r="CI735" s="71"/>
      <c r="CJ735" s="138">
        <f t="shared" si="305"/>
        <v>0</v>
      </c>
      <c r="CL735" s="71"/>
      <c r="CM735" s="71"/>
      <c r="CN735" s="71">
        <f t="shared" si="306"/>
        <v>0</v>
      </c>
      <c r="CS735" s="102">
        <f t="shared" si="307"/>
        <v>4.5293954747099576</v>
      </c>
      <c r="CT735" s="102">
        <f t="shared" si="308"/>
        <v>18.675175962423801</v>
      </c>
      <c r="CZ735" s="109" t="str">
        <f t="shared" si="309"/>
        <v>Basso</v>
      </c>
    </row>
    <row r="736" spans="9:104" x14ac:dyDescent="0.15">
      <c r="I736" s="64">
        <f t="shared" si="287"/>
        <v>76.99972307006928</v>
      </c>
      <c r="M736" s="64">
        <f t="shared" si="288"/>
        <v>0</v>
      </c>
      <c r="Q736" s="64">
        <f t="shared" si="289"/>
        <v>0</v>
      </c>
      <c r="U736" s="64">
        <f t="shared" si="290"/>
        <v>0</v>
      </c>
      <c r="Y736" s="114">
        <f t="shared" si="291"/>
        <v>0</v>
      </c>
      <c r="AC736" s="64">
        <f t="shared" si="292"/>
        <v>0</v>
      </c>
      <c r="AE736" s="71"/>
      <c r="AF736" s="71"/>
      <c r="AG736" s="71">
        <f t="shared" si="293"/>
        <v>0</v>
      </c>
      <c r="AK736" s="64">
        <f t="shared" si="294"/>
        <v>0</v>
      </c>
      <c r="AM736" s="71"/>
      <c r="AN736" s="71"/>
      <c r="AO736" s="71">
        <f t="shared" si="295"/>
        <v>0</v>
      </c>
      <c r="AQ736" s="71"/>
      <c r="AR736" s="71"/>
      <c r="AS736" s="71">
        <f t="shared" si="296"/>
        <v>0</v>
      </c>
      <c r="AU736" s="71"/>
      <c r="AV736" s="71"/>
      <c r="AW736" s="71">
        <f t="shared" si="297"/>
        <v>0</v>
      </c>
      <c r="AY736" s="71"/>
      <c r="AZ736" s="71"/>
      <c r="BA736" s="71">
        <f t="shared" si="298"/>
        <v>0</v>
      </c>
      <c r="BI736" s="71"/>
      <c r="BJ736" s="71"/>
      <c r="BK736" s="71">
        <f t="shared" si="299"/>
        <v>0</v>
      </c>
      <c r="BM736" s="71"/>
      <c r="BN736" s="71"/>
      <c r="BO736" s="71">
        <f t="shared" si="300"/>
        <v>0</v>
      </c>
      <c r="BQ736" s="71"/>
      <c r="BR736" s="71"/>
      <c r="BS736" s="138">
        <f t="shared" si="301"/>
        <v>0</v>
      </c>
      <c r="BU736" s="71"/>
      <c r="BV736" s="71"/>
      <c r="BW736" s="71">
        <f t="shared" si="302"/>
        <v>0</v>
      </c>
      <c r="BZ736" s="71"/>
      <c r="CA736" s="71"/>
      <c r="CB736" s="71">
        <f t="shared" si="303"/>
        <v>0</v>
      </c>
      <c r="CD736" s="71"/>
      <c r="CE736" s="71"/>
      <c r="CF736" s="71">
        <f t="shared" si="304"/>
        <v>0</v>
      </c>
      <c r="CH736" s="71"/>
      <c r="CI736" s="71"/>
      <c r="CJ736" s="138">
        <f t="shared" si="305"/>
        <v>0</v>
      </c>
      <c r="CL736" s="71"/>
      <c r="CM736" s="71"/>
      <c r="CN736" s="71">
        <f t="shared" si="306"/>
        <v>0</v>
      </c>
      <c r="CS736" s="102">
        <f t="shared" si="307"/>
        <v>4.5293954747099576</v>
      </c>
      <c r="CT736" s="102">
        <f t="shared" si="308"/>
        <v>18.675175962423801</v>
      </c>
      <c r="CZ736" s="109" t="str">
        <f t="shared" si="309"/>
        <v>Basso</v>
      </c>
    </row>
    <row r="737" spans="9:104" x14ac:dyDescent="0.15">
      <c r="I737" s="64">
        <f t="shared" si="287"/>
        <v>76.99972307006928</v>
      </c>
      <c r="M737" s="64">
        <f t="shared" si="288"/>
        <v>0</v>
      </c>
      <c r="Q737" s="64">
        <f t="shared" si="289"/>
        <v>0</v>
      </c>
      <c r="U737" s="64">
        <f t="shared" si="290"/>
        <v>0</v>
      </c>
      <c r="Y737" s="114">
        <f t="shared" si="291"/>
        <v>0</v>
      </c>
      <c r="AC737" s="64">
        <f t="shared" si="292"/>
        <v>0</v>
      </c>
      <c r="AE737" s="71"/>
      <c r="AF737" s="71"/>
      <c r="AG737" s="71">
        <f t="shared" si="293"/>
        <v>0</v>
      </c>
      <c r="AK737" s="64">
        <f t="shared" si="294"/>
        <v>0</v>
      </c>
      <c r="AM737" s="71"/>
      <c r="AN737" s="71"/>
      <c r="AO737" s="71">
        <f t="shared" si="295"/>
        <v>0</v>
      </c>
      <c r="AQ737" s="71"/>
      <c r="AR737" s="71"/>
      <c r="AS737" s="71">
        <f t="shared" si="296"/>
        <v>0</v>
      </c>
      <c r="AU737" s="71"/>
      <c r="AV737" s="71"/>
      <c r="AW737" s="71">
        <f t="shared" si="297"/>
        <v>0</v>
      </c>
      <c r="AY737" s="71"/>
      <c r="AZ737" s="71"/>
      <c r="BA737" s="71">
        <f t="shared" si="298"/>
        <v>0</v>
      </c>
      <c r="BI737" s="71"/>
      <c r="BJ737" s="71"/>
      <c r="BK737" s="71">
        <f t="shared" si="299"/>
        <v>0</v>
      </c>
      <c r="BM737" s="71"/>
      <c r="BN737" s="71"/>
      <c r="BO737" s="71">
        <f t="shared" si="300"/>
        <v>0</v>
      </c>
      <c r="BQ737" s="71"/>
      <c r="BR737" s="71"/>
      <c r="BS737" s="138">
        <f t="shared" si="301"/>
        <v>0</v>
      </c>
      <c r="BU737" s="71"/>
      <c r="BV737" s="71"/>
      <c r="BW737" s="71">
        <f t="shared" si="302"/>
        <v>0</v>
      </c>
      <c r="BZ737" s="71"/>
      <c r="CA737" s="71"/>
      <c r="CB737" s="71">
        <f t="shared" si="303"/>
        <v>0</v>
      </c>
      <c r="CD737" s="71"/>
      <c r="CE737" s="71"/>
      <c r="CF737" s="71">
        <f t="shared" si="304"/>
        <v>0</v>
      </c>
      <c r="CH737" s="71"/>
      <c r="CI737" s="71"/>
      <c r="CJ737" s="138">
        <f t="shared" si="305"/>
        <v>0</v>
      </c>
      <c r="CL737" s="71"/>
      <c r="CM737" s="71"/>
      <c r="CN737" s="71">
        <f t="shared" si="306"/>
        <v>0</v>
      </c>
      <c r="CS737" s="102">
        <f t="shared" si="307"/>
        <v>4.5293954747099576</v>
      </c>
      <c r="CT737" s="102">
        <f t="shared" si="308"/>
        <v>18.675175962423801</v>
      </c>
      <c r="CZ737" s="109" t="str">
        <f t="shared" si="309"/>
        <v>Basso</v>
      </c>
    </row>
    <row r="738" spans="9:104" x14ac:dyDescent="0.15">
      <c r="I738" s="64">
        <f t="shared" si="287"/>
        <v>76.99972307006928</v>
      </c>
      <c r="M738" s="64">
        <f t="shared" si="288"/>
        <v>0</v>
      </c>
      <c r="Q738" s="64">
        <f t="shared" si="289"/>
        <v>0</v>
      </c>
      <c r="U738" s="64">
        <f t="shared" si="290"/>
        <v>0</v>
      </c>
      <c r="Y738" s="114">
        <f t="shared" si="291"/>
        <v>0</v>
      </c>
      <c r="AC738" s="64">
        <f t="shared" si="292"/>
        <v>0</v>
      </c>
      <c r="AE738" s="71"/>
      <c r="AF738" s="71"/>
      <c r="AG738" s="71">
        <f t="shared" si="293"/>
        <v>0</v>
      </c>
      <c r="AK738" s="64">
        <f t="shared" si="294"/>
        <v>0</v>
      </c>
      <c r="AM738" s="71"/>
      <c r="AN738" s="71"/>
      <c r="AO738" s="71">
        <f t="shared" si="295"/>
        <v>0</v>
      </c>
      <c r="AQ738" s="71"/>
      <c r="AR738" s="71"/>
      <c r="AS738" s="71">
        <f t="shared" si="296"/>
        <v>0</v>
      </c>
      <c r="AU738" s="71"/>
      <c r="AV738" s="71"/>
      <c r="AW738" s="71">
        <f t="shared" si="297"/>
        <v>0</v>
      </c>
      <c r="AY738" s="71"/>
      <c r="AZ738" s="71"/>
      <c r="BA738" s="71">
        <f t="shared" si="298"/>
        <v>0</v>
      </c>
      <c r="BI738" s="71"/>
      <c r="BJ738" s="71"/>
      <c r="BK738" s="71">
        <f t="shared" si="299"/>
        <v>0</v>
      </c>
      <c r="BM738" s="71"/>
      <c r="BN738" s="71"/>
      <c r="BO738" s="71">
        <f t="shared" si="300"/>
        <v>0</v>
      </c>
      <c r="BQ738" s="71"/>
      <c r="BR738" s="71"/>
      <c r="BS738" s="138">
        <f t="shared" si="301"/>
        <v>0</v>
      </c>
      <c r="BU738" s="71"/>
      <c r="BV738" s="71"/>
      <c r="BW738" s="71">
        <f t="shared" si="302"/>
        <v>0</v>
      </c>
      <c r="BZ738" s="71"/>
      <c r="CA738" s="71"/>
      <c r="CB738" s="71">
        <f t="shared" si="303"/>
        <v>0</v>
      </c>
      <c r="CD738" s="71"/>
      <c r="CE738" s="71"/>
      <c r="CF738" s="71">
        <f t="shared" si="304"/>
        <v>0</v>
      </c>
      <c r="CH738" s="71"/>
      <c r="CI738" s="71"/>
      <c r="CJ738" s="138">
        <f t="shared" si="305"/>
        <v>0</v>
      </c>
      <c r="CL738" s="71"/>
      <c r="CM738" s="71"/>
      <c r="CN738" s="71">
        <f t="shared" si="306"/>
        <v>0</v>
      </c>
      <c r="CS738" s="102">
        <f t="shared" si="307"/>
        <v>4.5293954747099576</v>
      </c>
      <c r="CT738" s="102">
        <f t="shared" si="308"/>
        <v>18.675175962423801</v>
      </c>
      <c r="CZ738" s="109" t="str">
        <f t="shared" si="309"/>
        <v>Basso</v>
      </c>
    </row>
    <row r="739" spans="9:104" x14ac:dyDescent="0.15">
      <c r="I739" s="64">
        <f t="shared" si="287"/>
        <v>76.99972307006928</v>
      </c>
      <c r="M739" s="64">
        <f t="shared" si="288"/>
        <v>0</v>
      </c>
      <c r="Q739" s="64">
        <f t="shared" si="289"/>
        <v>0</v>
      </c>
      <c r="U739" s="64">
        <f t="shared" si="290"/>
        <v>0</v>
      </c>
      <c r="Y739" s="114">
        <f t="shared" si="291"/>
        <v>0</v>
      </c>
      <c r="AC739" s="64">
        <f t="shared" si="292"/>
        <v>0</v>
      </c>
      <c r="AE739" s="71"/>
      <c r="AF739" s="71"/>
      <c r="AG739" s="71">
        <f t="shared" si="293"/>
        <v>0</v>
      </c>
      <c r="AK739" s="64">
        <f t="shared" si="294"/>
        <v>0</v>
      </c>
      <c r="AM739" s="71"/>
      <c r="AN739" s="71"/>
      <c r="AO739" s="71">
        <f t="shared" si="295"/>
        <v>0</v>
      </c>
      <c r="AQ739" s="71"/>
      <c r="AR739" s="71"/>
      <c r="AS739" s="71">
        <f t="shared" si="296"/>
        <v>0</v>
      </c>
      <c r="AU739" s="71"/>
      <c r="AV739" s="71"/>
      <c r="AW739" s="71">
        <f t="shared" si="297"/>
        <v>0</v>
      </c>
      <c r="AY739" s="71"/>
      <c r="AZ739" s="71"/>
      <c r="BA739" s="71">
        <f t="shared" si="298"/>
        <v>0</v>
      </c>
      <c r="BI739" s="71"/>
      <c r="BJ739" s="71"/>
      <c r="BK739" s="71">
        <f t="shared" si="299"/>
        <v>0</v>
      </c>
      <c r="BM739" s="71"/>
      <c r="BN739" s="71"/>
      <c r="BO739" s="71">
        <f t="shared" si="300"/>
        <v>0</v>
      </c>
      <c r="BQ739" s="71"/>
      <c r="BR739" s="71"/>
      <c r="BS739" s="138">
        <f t="shared" si="301"/>
        <v>0</v>
      </c>
      <c r="BU739" s="71"/>
      <c r="BV739" s="71"/>
      <c r="BW739" s="71">
        <f t="shared" si="302"/>
        <v>0</v>
      </c>
      <c r="BZ739" s="71"/>
      <c r="CA739" s="71"/>
      <c r="CB739" s="71">
        <f t="shared" si="303"/>
        <v>0</v>
      </c>
      <c r="CD739" s="71"/>
      <c r="CE739" s="71"/>
      <c r="CF739" s="71">
        <f t="shared" si="304"/>
        <v>0</v>
      </c>
      <c r="CH739" s="71"/>
      <c r="CI739" s="71"/>
      <c r="CJ739" s="138">
        <f t="shared" si="305"/>
        <v>0</v>
      </c>
      <c r="CL739" s="71"/>
      <c r="CM739" s="71"/>
      <c r="CN739" s="71">
        <f t="shared" si="306"/>
        <v>0</v>
      </c>
      <c r="CS739" s="102">
        <f t="shared" si="307"/>
        <v>4.5293954747099576</v>
      </c>
      <c r="CT739" s="102">
        <f t="shared" si="308"/>
        <v>18.675175962423801</v>
      </c>
      <c r="CZ739" s="109" t="str">
        <f t="shared" si="309"/>
        <v>Basso</v>
      </c>
    </row>
    <row r="740" spans="9:104" x14ac:dyDescent="0.15">
      <c r="I740" s="64">
        <f t="shared" si="287"/>
        <v>76.99972307006928</v>
      </c>
      <c r="M740" s="64">
        <f t="shared" si="288"/>
        <v>0</v>
      </c>
      <c r="Q740" s="64">
        <f t="shared" si="289"/>
        <v>0</v>
      </c>
      <c r="U740" s="64">
        <f t="shared" si="290"/>
        <v>0</v>
      </c>
      <c r="Y740" s="114">
        <f t="shared" si="291"/>
        <v>0</v>
      </c>
      <c r="AC740" s="64">
        <f t="shared" si="292"/>
        <v>0</v>
      </c>
      <c r="AE740" s="71"/>
      <c r="AF740" s="71"/>
      <c r="AG740" s="71">
        <f t="shared" si="293"/>
        <v>0</v>
      </c>
      <c r="AK740" s="64">
        <f t="shared" si="294"/>
        <v>0</v>
      </c>
      <c r="AM740" s="71"/>
      <c r="AN740" s="71"/>
      <c r="AO740" s="71">
        <f t="shared" si="295"/>
        <v>0</v>
      </c>
      <c r="AQ740" s="71"/>
      <c r="AR740" s="71"/>
      <c r="AS740" s="71">
        <f t="shared" si="296"/>
        <v>0</v>
      </c>
      <c r="AU740" s="71"/>
      <c r="AV740" s="71"/>
      <c r="AW740" s="71">
        <f t="shared" si="297"/>
        <v>0</v>
      </c>
      <c r="AY740" s="71"/>
      <c r="AZ740" s="71"/>
      <c r="BA740" s="71">
        <f t="shared" si="298"/>
        <v>0</v>
      </c>
      <c r="BI740" s="71"/>
      <c r="BJ740" s="71"/>
      <c r="BK740" s="71">
        <f t="shared" si="299"/>
        <v>0</v>
      </c>
      <c r="BM740" s="71"/>
      <c r="BN740" s="71"/>
      <c r="BO740" s="71">
        <f t="shared" si="300"/>
        <v>0</v>
      </c>
      <c r="BQ740" s="71"/>
      <c r="BR740" s="71"/>
      <c r="BS740" s="138">
        <f t="shared" si="301"/>
        <v>0</v>
      </c>
      <c r="BU740" s="71"/>
      <c r="BV740" s="71"/>
      <c r="BW740" s="71">
        <f t="shared" si="302"/>
        <v>0</v>
      </c>
      <c r="BZ740" s="71"/>
      <c r="CA740" s="71"/>
      <c r="CB740" s="71">
        <f t="shared" si="303"/>
        <v>0</v>
      </c>
      <c r="CD740" s="71"/>
      <c r="CE740" s="71"/>
      <c r="CF740" s="71">
        <f t="shared" si="304"/>
        <v>0</v>
      </c>
      <c r="CH740" s="71"/>
      <c r="CI740" s="71"/>
      <c r="CJ740" s="138">
        <f t="shared" si="305"/>
        <v>0</v>
      </c>
      <c r="CL740" s="71"/>
      <c r="CM740" s="71"/>
      <c r="CN740" s="71">
        <f t="shared" si="306"/>
        <v>0</v>
      </c>
      <c r="CS740" s="102">
        <f t="shared" si="307"/>
        <v>4.5293954747099576</v>
      </c>
      <c r="CT740" s="102">
        <f t="shared" si="308"/>
        <v>18.675175962423801</v>
      </c>
      <c r="CZ740" s="109" t="str">
        <f t="shared" si="309"/>
        <v>Basso</v>
      </c>
    </row>
    <row r="741" spans="9:104" x14ac:dyDescent="0.15">
      <c r="I741" s="64">
        <f t="shared" si="287"/>
        <v>76.99972307006928</v>
      </c>
      <c r="M741" s="64">
        <f t="shared" si="288"/>
        <v>0</v>
      </c>
      <c r="Q741" s="64">
        <f t="shared" si="289"/>
        <v>0</v>
      </c>
      <c r="U741" s="64">
        <f t="shared" si="290"/>
        <v>0</v>
      </c>
      <c r="Y741" s="114">
        <f t="shared" si="291"/>
        <v>0</v>
      </c>
      <c r="AC741" s="64">
        <f t="shared" si="292"/>
        <v>0</v>
      </c>
      <c r="AE741" s="71"/>
      <c r="AF741" s="71"/>
      <c r="AG741" s="71">
        <f t="shared" si="293"/>
        <v>0</v>
      </c>
      <c r="AK741" s="64">
        <f t="shared" si="294"/>
        <v>0</v>
      </c>
      <c r="AM741" s="71"/>
      <c r="AN741" s="71"/>
      <c r="AO741" s="71">
        <f t="shared" si="295"/>
        <v>0</v>
      </c>
      <c r="AQ741" s="71"/>
      <c r="AR741" s="71"/>
      <c r="AS741" s="71">
        <f t="shared" si="296"/>
        <v>0</v>
      </c>
      <c r="AU741" s="71"/>
      <c r="AV741" s="71"/>
      <c r="AW741" s="71">
        <f t="shared" si="297"/>
        <v>0</v>
      </c>
      <c r="AY741" s="71"/>
      <c r="AZ741" s="71"/>
      <c r="BA741" s="71">
        <f t="shared" si="298"/>
        <v>0</v>
      </c>
      <c r="BI741" s="71"/>
      <c r="BJ741" s="71"/>
      <c r="BK741" s="71">
        <f t="shared" si="299"/>
        <v>0</v>
      </c>
      <c r="BM741" s="71"/>
      <c r="BN741" s="71"/>
      <c r="BO741" s="71">
        <f t="shared" si="300"/>
        <v>0</v>
      </c>
      <c r="BQ741" s="71"/>
      <c r="BR741" s="71"/>
      <c r="BS741" s="138">
        <f t="shared" si="301"/>
        <v>0</v>
      </c>
      <c r="BU741" s="71"/>
      <c r="BV741" s="71"/>
      <c r="BW741" s="71">
        <f t="shared" si="302"/>
        <v>0</v>
      </c>
      <c r="BZ741" s="71"/>
      <c r="CA741" s="71"/>
      <c r="CB741" s="71">
        <f t="shared" si="303"/>
        <v>0</v>
      </c>
      <c r="CD741" s="71"/>
      <c r="CE741" s="71"/>
      <c r="CF741" s="71">
        <f t="shared" si="304"/>
        <v>0</v>
      </c>
      <c r="CH741" s="71"/>
      <c r="CI741" s="71"/>
      <c r="CJ741" s="138">
        <f t="shared" si="305"/>
        <v>0</v>
      </c>
      <c r="CL741" s="71"/>
      <c r="CM741" s="71"/>
      <c r="CN741" s="71">
        <f t="shared" si="306"/>
        <v>0</v>
      </c>
      <c r="CS741" s="102">
        <f t="shared" si="307"/>
        <v>4.5293954747099576</v>
      </c>
      <c r="CT741" s="102">
        <f t="shared" si="308"/>
        <v>18.675175962423801</v>
      </c>
      <c r="CZ741" s="109" t="str">
        <f t="shared" si="309"/>
        <v>Basso</v>
      </c>
    </row>
    <row r="742" spans="9:104" x14ac:dyDescent="0.15">
      <c r="I742" s="64">
        <f t="shared" si="287"/>
        <v>76.99972307006928</v>
      </c>
      <c r="M742" s="64">
        <f t="shared" si="288"/>
        <v>0</v>
      </c>
      <c r="Q742" s="64">
        <f t="shared" si="289"/>
        <v>0</v>
      </c>
      <c r="U742" s="64">
        <f t="shared" si="290"/>
        <v>0</v>
      </c>
      <c r="Y742" s="114">
        <f t="shared" si="291"/>
        <v>0</v>
      </c>
      <c r="AC742" s="64">
        <f t="shared" si="292"/>
        <v>0</v>
      </c>
      <c r="AE742" s="71"/>
      <c r="AF742" s="71"/>
      <c r="AG742" s="71">
        <f t="shared" si="293"/>
        <v>0</v>
      </c>
      <c r="AK742" s="64">
        <f t="shared" si="294"/>
        <v>0</v>
      </c>
      <c r="AM742" s="71"/>
      <c r="AN742" s="71"/>
      <c r="AO742" s="71">
        <f t="shared" si="295"/>
        <v>0</v>
      </c>
      <c r="AQ742" s="71"/>
      <c r="AR742" s="71"/>
      <c r="AS742" s="71">
        <f t="shared" si="296"/>
        <v>0</v>
      </c>
      <c r="AU742" s="71"/>
      <c r="AV742" s="71"/>
      <c r="AW742" s="71">
        <f t="shared" si="297"/>
        <v>0</v>
      </c>
      <c r="AY742" s="71"/>
      <c r="AZ742" s="71"/>
      <c r="BA742" s="71">
        <f t="shared" si="298"/>
        <v>0</v>
      </c>
      <c r="BI742" s="71"/>
      <c r="BJ742" s="71"/>
      <c r="BK742" s="71">
        <f t="shared" si="299"/>
        <v>0</v>
      </c>
      <c r="BM742" s="71"/>
      <c r="BN742" s="71"/>
      <c r="BO742" s="71">
        <f t="shared" si="300"/>
        <v>0</v>
      </c>
      <c r="BQ742" s="71"/>
      <c r="BR742" s="71"/>
      <c r="BS742" s="138">
        <f t="shared" si="301"/>
        <v>0</v>
      </c>
      <c r="BU742" s="71"/>
      <c r="BV742" s="71"/>
      <c r="BW742" s="71">
        <f t="shared" si="302"/>
        <v>0</v>
      </c>
      <c r="BZ742" s="71"/>
      <c r="CA742" s="71"/>
      <c r="CB742" s="71">
        <f t="shared" si="303"/>
        <v>0</v>
      </c>
      <c r="CD742" s="71"/>
      <c r="CE742" s="71"/>
      <c r="CF742" s="71">
        <f t="shared" si="304"/>
        <v>0</v>
      </c>
      <c r="CH742" s="71"/>
      <c r="CI742" s="71"/>
      <c r="CJ742" s="138">
        <f t="shared" si="305"/>
        <v>0</v>
      </c>
      <c r="CL742" s="71"/>
      <c r="CM742" s="71"/>
      <c r="CN742" s="71">
        <f t="shared" si="306"/>
        <v>0</v>
      </c>
      <c r="CS742" s="102">
        <f t="shared" si="307"/>
        <v>4.5293954747099576</v>
      </c>
      <c r="CT742" s="102">
        <f t="shared" si="308"/>
        <v>18.675175962423801</v>
      </c>
      <c r="CZ742" s="109" t="str">
        <f t="shared" si="309"/>
        <v>Basso</v>
      </c>
    </row>
    <row r="743" spans="9:104" x14ac:dyDescent="0.15">
      <c r="I743" s="64">
        <f t="shared" si="287"/>
        <v>76.99972307006928</v>
      </c>
      <c r="M743" s="64">
        <f t="shared" si="288"/>
        <v>0</v>
      </c>
      <c r="Q743" s="64">
        <f t="shared" si="289"/>
        <v>0</v>
      </c>
      <c r="U743" s="64">
        <f t="shared" si="290"/>
        <v>0</v>
      </c>
      <c r="Y743" s="114">
        <f t="shared" si="291"/>
        <v>0</v>
      </c>
      <c r="AC743" s="64">
        <f t="shared" si="292"/>
        <v>0</v>
      </c>
      <c r="AE743" s="71"/>
      <c r="AF743" s="71"/>
      <c r="AG743" s="71">
        <f t="shared" si="293"/>
        <v>0</v>
      </c>
      <c r="AK743" s="64">
        <f t="shared" si="294"/>
        <v>0</v>
      </c>
      <c r="AM743" s="71"/>
      <c r="AN743" s="71"/>
      <c r="AO743" s="71">
        <f t="shared" si="295"/>
        <v>0</v>
      </c>
      <c r="AQ743" s="71"/>
      <c r="AR743" s="71"/>
      <c r="AS743" s="71">
        <f t="shared" si="296"/>
        <v>0</v>
      </c>
      <c r="AU743" s="71"/>
      <c r="AV743" s="71"/>
      <c r="AW743" s="71">
        <f t="shared" si="297"/>
        <v>0</v>
      </c>
      <c r="AY743" s="71"/>
      <c r="AZ743" s="71"/>
      <c r="BA743" s="71">
        <f t="shared" si="298"/>
        <v>0</v>
      </c>
      <c r="BI743" s="71"/>
      <c r="BJ743" s="71"/>
      <c r="BK743" s="71">
        <f t="shared" si="299"/>
        <v>0</v>
      </c>
      <c r="BM743" s="71"/>
      <c r="BN743" s="71"/>
      <c r="BO743" s="71">
        <f t="shared" si="300"/>
        <v>0</v>
      </c>
      <c r="BQ743" s="71"/>
      <c r="BR743" s="71"/>
      <c r="BS743" s="138">
        <f t="shared" si="301"/>
        <v>0</v>
      </c>
      <c r="BU743" s="71"/>
      <c r="BV743" s="71"/>
      <c r="BW743" s="71">
        <f t="shared" si="302"/>
        <v>0</v>
      </c>
      <c r="BZ743" s="71"/>
      <c r="CA743" s="71"/>
      <c r="CB743" s="71">
        <f t="shared" si="303"/>
        <v>0</v>
      </c>
      <c r="CD743" s="71"/>
      <c r="CE743" s="71"/>
      <c r="CF743" s="71">
        <f t="shared" si="304"/>
        <v>0</v>
      </c>
      <c r="CH743" s="71"/>
      <c r="CI743" s="71"/>
      <c r="CJ743" s="138">
        <f t="shared" si="305"/>
        <v>0</v>
      </c>
      <c r="CL743" s="71"/>
      <c r="CM743" s="71"/>
      <c r="CN743" s="71">
        <f t="shared" si="306"/>
        <v>0</v>
      </c>
      <c r="CS743" s="102">
        <f t="shared" si="307"/>
        <v>4.5293954747099576</v>
      </c>
      <c r="CT743" s="102">
        <f t="shared" si="308"/>
        <v>18.675175962423801</v>
      </c>
      <c r="CZ743" s="109" t="str">
        <f t="shared" si="309"/>
        <v>Basso</v>
      </c>
    </row>
    <row r="744" spans="9:104" x14ac:dyDescent="0.15">
      <c r="I744" s="64">
        <f t="shared" si="287"/>
        <v>76.99972307006928</v>
      </c>
      <c r="M744" s="64">
        <f t="shared" si="288"/>
        <v>0</v>
      </c>
      <c r="Q744" s="64">
        <f t="shared" si="289"/>
        <v>0</v>
      </c>
      <c r="U744" s="64">
        <f t="shared" si="290"/>
        <v>0</v>
      </c>
      <c r="Y744" s="114">
        <f t="shared" si="291"/>
        <v>0</v>
      </c>
      <c r="AC744" s="64">
        <f t="shared" si="292"/>
        <v>0</v>
      </c>
      <c r="AE744" s="71"/>
      <c r="AF744" s="71"/>
      <c r="AG744" s="71">
        <f t="shared" si="293"/>
        <v>0</v>
      </c>
      <c r="AK744" s="64">
        <f t="shared" si="294"/>
        <v>0</v>
      </c>
      <c r="AM744" s="71"/>
      <c r="AN744" s="71"/>
      <c r="AO744" s="71">
        <f t="shared" si="295"/>
        <v>0</v>
      </c>
      <c r="AQ744" s="71"/>
      <c r="AR744" s="71"/>
      <c r="AS744" s="71">
        <f t="shared" si="296"/>
        <v>0</v>
      </c>
      <c r="AU744" s="71"/>
      <c r="AV744" s="71"/>
      <c r="AW744" s="71">
        <f t="shared" si="297"/>
        <v>0</v>
      </c>
      <c r="AY744" s="71"/>
      <c r="AZ744" s="71"/>
      <c r="BA744" s="71">
        <f t="shared" si="298"/>
        <v>0</v>
      </c>
      <c r="BI744" s="71"/>
      <c r="BJ744" s="71"/>
      <c r="BK744" s="71">
        <f t="shared" si="299"/>
        <v>0</v>
      </c>
      <c r="BM744" s="71"/>
      <c r="BN744" s="71"/>
      <c r="BO744" s="71">
        <f t="shared" si="300"/>
        <v>0</v>
      </c>
      <c r="BQ744" s="71"/>
      <c r="BR744" s="71"/>
      <c r="BS744" s="138">
        <f t="shared" si="301"/>
        <v>0</v>
      </c>
      <c r="BU744" s="71"/>
      <c r="BV744" s="71"/>
      <c r="BW744" s="71">
        <f t="shared" si="302"/>
        <v>0</v>
      </c>
      <c r="BZ744" s="71"/>
      <c r="CA744" s="71"/>
      <c r="CB744" s="71">
        <f t="shared" si="303"/>
        <v>0</v>
      </c>
      <c r="CD744" s="71"/>
      <c r="CE744" s="71"/>
      <c r="CF744" s="71">
        <f t="shared" si="304"/>
        <v>0</v>
      </c>
      <c r="CH744" s="71"/>
      <c r="CI744" s="71"/>
      <c r="CJ744" s="138">
        <f t="shared" si="305"/>
        <v>0</v>
      </c>
      <c r="CL744" s="71"/>
      <c r="CM744" s="71"/>
      <c r="CN744" s="71">
        <f t="shared" si="306"/>
        <v>0</v>
      </c>
      <c r="CS744" s="102">
        <f t="shared" si="307"/>
        <v>4.5293954747099576</v>
      </c>
      <c r="CT744" s="102">
        <f t="shared" si="308"/>
        <v>18.675175962423801</v>
      </c>
      <c r="CZ744" s="109" t="str">
        <f t="shared" si="309"/>
        <v>Basso</v>
      </c>
    </row>
    <row r="745" spans="9:104" x14ac:dyDescent="0.15">
      <c r="I745" s="64">
        <f t="shared" si="287"/>
        <v>76.99972307006928</v>
      </c>
      <c r="M745" s="64">
        <f t="shared" si="288"/>
        <v>0</v>
      </c>
      <c r="Q745" s="64">
        <f t="shared" si="289"/>
        <v>0</v>
      </c>
      <c r="U745" s="64">
        <f t="shared" si="290"/>
        <v>0</v>
      </c>
      <c r="Y745" s="114">
        <f t="shared" si="291"/>
        <v>0</v>
      </c>
      <c r="AC745" s="64">
        <f t="shared" si="292"/>
        <v>0</v>
      </c>
      <c r="AE745" s="71"/>
      <c r="AF745" s="71"/>
      <c r="AG745" s="71">
        <f t="shared" si="293"/>
        <v>0</v>
      </c>
      <c r="AK745" s="64">
        <f t="shared" si="294"/>
        <v>0</v>
      </c>
      <c r="AM745" s="71"/>
      <c r="AN745" s="71"/>
      <c r="AO745" s="71">
        <f t="shared" si="295"/>
        <v>0</v>
      </c>
      <c r="AQ745" s="71"/>
      <c r="AR745" s="71"/>
      <c r="AS745" s="71">
        <f t="shared" si="296"/>
        <v>0</v>
      </c>
      <c r="AU745" s="71"/>
      <c r="AV745" s="71"/>
      <c r="AW745" s="71">
        <f t="shared" si="297"/>
        <v>0</v>
      </c>
      <c r="AY745" s="71"/>
      <c r="AZ745" s="71"/>
      <c r="BA745" s="71">
        <f t="shared" si="298"/>
        <v>0</v>
      </c>
      <c r="BI745" s="71"/>
      <c r="BJ745" s="71"/>
      <c r="BK745" s="71">
        <f t="shared" si="299"/>
        <v>0</v>
      </c>
      <c r="BM745" s="71"/>
      <c r="BN745" s="71"/>
      <c r="BO745" s="71">
        <f t="shared" si="300"/>
        <v>0</v>
      </c>
      <c r="BQ745" s="71"/>
      <c r="BR745" s="71"/>
      <c r="BS745" s="138">
        <f t="shared" si="301"/>
        <v>0</v>
      </c>
      <c r="BU745" s="71"/>
      <c r="BV745" s="71"/>
      <c r="BW745" s="71">
        <f t="shared" si="302"/>
        <v>0</v>
      </c>
      <c r="BZ745" s="71"/>
      <c r="CA745" s="71"/>
      <c r="CB745" s="71">
        <f t="shared" si="303"/>
        <v>0</v>
      </c>
      <c r="CD745" s="71"/>
      <c r="CE745" s="71"/>
      <c r="CF745" s="71">
        <f t="shared" si="304"/>
        <v>0</v>
      </c>
      <c r="CH745" s="71"/>
      <c r="CI745" s="71"/>
      <c r="CJ745" s="138">
        <f t="shared" si="305"/>
        <v>0</v>
      </c>
      <c r="CL745" s="71"/>
      <c r="CM745" s="71"/>
      <c r="CN745" s="71">
        <f t="shared" si="306"/>
        <v>0</v>
      </c>
      <c r="CS745" s="102">
        <f t="shared" si="307"/>
        <v>4.5293954747099576</v>
      </c>
      <c r="CT745" s="102">
        <f t="shared" si="308"/>
        <v>18.675175962423801</v>
      </c>
      <c r="CZ745" s="109" t="str">
        <f t="shared" si="309"/>
        <v>Basso</v>
      </c>
    </row>
    <row r="746" spans="9:104" x14ac:dyDescent="0.15">
      <c r="I746" s="64">
        <f t="shared" si="287"/>
        <v>76.99972307006928</v>
      </c>
      <c r="M746" s="64">
        <f t="shared" si="288"/>
        <v>0</v>
      </c>
      <c r="Q746" s="64">
        <f t="shared" si="289"/>
        <v>0</v>
      </c>
      <c r="U746" s="64">
        <f t="shared" si="290"/>
        <v>0</v>
      </c>
      <c r="Y746" s="114">
        <f t="shared" si="291"/>
        <v>0</v>
      </c>
      <c r="AC746" s="64">
        <f t="shared" si="292"/>
        <v>0</v>
      </c>
      <c r="AE746" s="71"/>
      <c r="AF746" s="71"/>
      <c r="AG746" s="71">
        <f t="shared" si="293"/>
        <v>0</v>
      </c>
      <c r="AK746" s="64">
        <f t="shared" si="294"/>
        <v>0</v>
      </c>
      <c r="AM746" s="71"/>
      <c r="AN746" s="71"/>
      <c r="AO746" s="71">
        <f t="shared" si="295"/>
        <v>0</v>
      </c>
      <c r="AQ746" s="71"/>
      <c r="AR746" s="71"/>
      <c r="AS746" s="71">
        <f t="shared" si="296"/>
        <v>0</v>
      </c>
      <c r="AU746" s="71"/>
      <c r="AV746" s="71"/>
      <c r="AW746" s="71">
        <f t="shared" si="297"/>
        <v>0</v>
      </c>
      <c r="AY746" s="71"/>
      <c r="AZ746" s="71"/>
      <c r="BA746" s="71">
        <f t="shared" si="298"/>
        <v>0</v>
      </c>
      <c r="BI746" s="71"/>
      <c r="BJ746" s="71"/>
      <c r="BK746" s="71">
        <f t="shared" si="299"/>
        <v>0</v>
      </c>
      <c r="BM746" s="71"/>
      <c r="BN746" s="71"/>
      <c r="BO746" s="71">
        <f t="shared" si="300"/>
        <v>0</v>
      </c>
      <c r="BQ746" s="71"/>
      <c r="BR746" s="71"/>
      <c r="BS746" s="138">
        <f t="shared" si="301"/>
        <v>0</v>
      </c>
      <c r="BU746" s="71"/>
      <c r="BV746" s="71"/>
      <c r="BW746" s="71">
        <f t="shared" si="302"/>
        <v>0</v>
      </c>
      <c r="BZ746" s="71"/>
      <c r="CA746" s="71"/>
      <c r="CB746" s="71">
        <f t="shared" si="303"/>
        <v>0</v>
      </c>
      <c r="CD746" s="71"/>
      <c r="CE746" s="71"/>
      <c r="CF746" s="71">
        <f t="shared" si="304"/>
        <v>0</v>
      </c>
      <c r="CH746" s="71"/>
      <c r="CI746" s="71"/>
      <c r="CJ746" s="138">
        <f t="shared" si="305"/>
        <v>0</v>
      </c>
      <c r="CL746" s="71"/>
      <c r="CM746" s="71"/>
      <c r="CN746" s="71">
        <f t="shared" si="306"/>
        <v>0</v>
      </c>
      <c r="CS746" s="102">
        <f t="shared" si="307"/>
        <v>4.5293954747099576</v>
      </c>
      <c r="CT746" s="102">
        <f t="shared" si="308"/>
        <v>18.675175962423801</v>
      </c>
      <c r="CZ746" s="109" t="str">
        <f t="shared" si="309"/>
        <v>Basso</v>
      </c>
    </row>
    <row r="747" spans="9:104" x14ac:dyDescent="0.15">
      <c r="I747" s="64">
        <f t="shared" si="287"/>
        <v>76.99972307006928</v>
      </c>
      <c r="M747" s="64">
        <f t="shared" si="288"/>
        <v>0</v>
      </c>
      <c r="Q747" s="64">
        <f t="shared" si="289"/>
        <v>0</v>
      </c>
      <c r="U747" s="64">
        <f t="shared" si="290"/>
        <v>0</v>
      </c>
      <c r="Y747" s="114">
        <f t="shared" si="291"/>
        <v>0</v>
      </c>
      <c r="AC747" s="64">
        <f t="shared" si="292"/>
        <v>0</v>
      </c>
      <c r="AE747" s="71"/>
      <c r="AF747" s="71"/>
      <c r="AG747" s="71">
        <f t="shared" si="293"/>
        <v>0</v>
      </c>
      <c r="AK747" s="64">
        <f t="shared" si="294"/>
        <v>0</v>
      </c>
      <c r="AM747" s="71"/>
      <c r="AN747" s="71"/>
      <c r="AO747" s="71">
        <f t="shared" si="295"/>
        <v>0</v>
      </c>
      <c r="AQ747" s="71"/>
      <c r="AR747" s="71"/>
      <c r="AS747" s="71">
        <f t="shared" si="296"/>
        <v>0</v>
      </c>
      <c r="AU747" s="71"/>
      <c r="AV747" s="71"/>
      <c r="AW747" s="71">
        <f t="shared" si="297"/>
        <v>0</v>
      </c>
      <c r="AY747" s="71"/>
      <c r="AZ747" s="71"/>
      <c r="BA747" s="71">
        <f t="shared" si="298"/>
        <v>0</v>
      </c>
      <c r="BI747" s="71"/>
      <c r="BJ747" s="71"/>
      <c r="BK747" s="71">
        <f t="shared" si="299"/>
        <v>0</v>
      </c>
      <c r="BM747" s="71"/>
      <c r="BN747" s="71"/>
      <c r="BO747" s="71">
        <f t="shared" si="300"/>
        <v>0</v>
      </c>
      <c r="BQ747" s="71"/>
      <c r="BR747" s="71"/>
      <c r="BS747" s="138">
        <f t="shared" si="301"/>
        <v>0</v>
      </c>
      <c r="BU747" s="71"/>
      <c r="BV747" s="71"/>
      <c r="BW747" s="71">
        <f t="shared" si="302"/>
        <v>0</v>
      </c>
      <c r="BZ747" s="71"/>
      <c r="CA747" s="71"/>
      <c r="CB747" s="71">
        <f t="shared" si="303"/>
        <v>0</v>
      </c>
      <c r="CD747" s="71"/>
      <c r="CE747" s="71"/>
      <c r="CF747" s="71">
        <f t="shared" si="304"/>
        <v>0</v>
      </c>
      <c r="CH747" s="71"/>
      <c r="CI747" s="71"/>
      <c r="CJ747" s="138">
        <f t="shared" si="305"/>
        <v>0</v>
      </c>
      <c r="CL747" s="71"/>
      <c r="CM747" s="71"/>
      <c r="CN747" s="71">
        <f t="shared" si="306"/>
        <v>0</v>
      </c>
      <c r="CS747" s="102">
        <f t="shared" si="307"/>
        <v>4.5293954747099576</v>
      </c>
      <c r="CT747" s="102">
        <f t="shared" si="308"/>
        <v>18.675175962423801</v>
      </c>
      <c r="CZ747" s="109" t="str">
        <f t="shared" si="309"/>
        <v>Basso</v>
      </c>
    </row>
    <row r="748" spans="9:104" x14ac:dyDescent="0.15">
      <c r="I748" s="64">
        <f t="shared" si="287"/>
        <v>76.99972307006928</v>
      </c>
      <c r="M748" s="64">
        <f t="shared" si="288"/>
        <v>0</v>
      </c>
      <c r="Q748" s="64">
        <f t="shared" si="289"/>
        <v>0</v>
      </c>
      <c r="U748" s="64">
        <f t="shared" si="290"/>
        <v>0</v>
      </c>
      <c r="Y748" s="114">
        <f t="shared" si="291"/>
        <v>0</v>
      </c>
      <c r="AC748" s="64">
        <f t="shared" si="292"/>
        <v>0</v>
      </c>
      <c r="AE748" s="71"/>
      <c r="AF748" s="71"/>
      <c r="AG748" s="71">
        <f t="shared" si="293"/>
        <v>0</v>
      </c>
      <c r="AK748" s="64">
        <f t="shared" si="294"/>
        <v>0</v>
      </c>
      <c r="AM748" s="71"/>
      <c r="AN748" s="71"/>
      <c r="AO748" s="71">
        <f t="shared" si="295"/>
        <v>0</v>
      </c>
      <c r="AQ748" s="71"/>
      <c r="AR748" s="71"/>
      <c r="AS748" s="71">
        <f t="shared" si="296"/>
        <v>0</v>
      </c>
      <c r="AU748" s="71"/>
      <c r="AV748" s="71"/>
      <c r="AW748" s="71">
        <f t="shared" si="297"/>
        <v>0</v>
      </c>
      <c r="AY748" s="71"/>
      <c r="AZ748" s="71"/>
      <c r="BA748" s="71">
        <f t="shared" si="298"/>
        <v>0</v>
      </c>
      <c r="BI748" s="71"/>
      <c r="BJ748" s="71"/>
      <c r="BK748" s="71">
        <f t="shared" si="299"/>
        <v>0</v>
      </c>
      <c r="BM748" s="71"/>
      <c r="BN748" s="71"/>
      <c r="BO748" s="71">
        <f t="shared" si="300"/>
        <v>0</v>
      </c>
      <c r="BQ748" s="71"/>
      <c r="BR748" s="71"/>
      <c r="BS748" s="138">
        <f t="shared" si="301"/>
        <v>0</v>
      </c>
      <c r="BU748" s="71"/>
      <c r="BV748" s="71"/>
      <c r="BW748" s="71">
        <f t="shared" si="302"/>
        <v>0</v>
      </c>
      <c r="BZ748" s="71"/>
      <c r="CA748" s="71"/>
      <c r="CB748" s="71">
        <f t="shared" si="303"/>
        <v>0</v>
      </c>
      <c r="CD748" s="71"/>
      <c r="CE748" s="71"/>
      <c r="CF748" s="71">
        <f t="shared" si="304"/>
        <v>0</v>
      </c>
      <c r="CH748" s="71"/>
      <c r="CI748" s="71"/>
      <c r="CJ748" s="138">
        <f t="shared" si="305"/>
        <v>0</v>
      </c>
      <c r="CL748" s="71"/>
      <c r="CM748" s="71"/>
      <c r="CN748" s="71">
        <f t="shared" si="306"/>
        <v>0</v>
      </c>
      <c r="CS748" s="102">
        <f t="shared" si="307"/>
        <v>4.5293954747099576</v>
      </c>
      <c r="CT748" s="102">
        <f t="shared" si="308"/>
        <v>18.675175962423801</v>
      </c>
      <c r="CZ748" s="109" t="str">
        <f t="shared" si="309"/>
        <v>Basso</v>
      </c>
    </row>
    <row r="749" spans="9:104" x14ac:dyDescent="0.15">
      <c r="I749" s="64">
        <f t="shared" si="287"/>
        <v>76.99972307006928</v>
      </c>
      <c r="M749" s="64">
        <f t="shared" si="288"/>
        <v>0</v>
      </c>
      <c r="Q749" s="64">
        <f t="shared" si="289"/>
        <v>0</v>
      </c>
      <c r="U749" s="64">
        <f t="shared" si="290"/>
        <v>0</v>
      </c>
      <c r="Y749" s="114">
        <f t="shared" si="291"/>
        <v>0</v>
      </c>
      <c r="AC749" s="64">
        <f t="shared" si="292"/>
        <v>0</v>
      </c>
      <c r="AE749" s="71"/>
      <c r="AF749" s="71"/>
      <c r="AG749" s="71">
        <f t="shared" si="293"/>
        <v>0</v>
      </c>
      <c r="AK749" s="64">
        <f t="shared" si="294"/>
        <v>0</v>
      </c>
      <c r="AM749" s="71"/>
      <c r="AN749" s="71"/>
      <c r="AO749" s="71">
        <f t="shared" si="295"/>
        <v>0</v>
      </c>
      <c r="AQ749" s="71"/>
      <c r="AR749" s="71"/>
      <c r="AS749" s="71">
        <f t="shared" si="296"/>
        <v>0</v>
      </c>
      <c r="AU749" s="71"/>
      <c r="AV749" s="71"/>
      <c r="AW749" s="71">
        <f t="shared" si="297"/>
        <v>0</v>
      </c>
      <c r="AY749" s="71"/>
      <c r="AZ749" s="71"/>
      <c r="BA749" s="71">
        <f t="shared" si="298"/>
        <v>0</v>
      </c>
      <c r="BI749" s="71"/>
      <c r="BJ749" s="71"/>
      <c r="BK749" s="71">
        <f t="shared" si="299"/>
        <v>0</v>
      </c>
      <c r="BM749" s="71"/>
      <c r="BN749" s="71"/>
      <c r="BO749" s="71">
        <f t="shared" si="300"/>
        <v>0</v>
      </c>
      <c r="BQ749" s="71"/>
      <c r="BR749" s="71"/>
      <c r="BS749" s="138">
        <f t="shared" si="301"/>
        <v>0</v>
      </c>
      <c r="BU749" s="71"/>
      <c r="BV749" s="71"/>
      <c r="BW749" s="71">
        <f t="shared" si="302"/>
        <v>0</v>
      </c>
      <c r="BZ749" s="71"/>
      <c r="CA749" s="71"/>
      <c r="CB749" s="71">
        <f t="shared" si="303"/>
        <v>0</v>
      </c>
      <c r="CD749" s="71"/>
      <c r="CE749" s="71"/>
      <c r="CF749" s="71">
        <f t="shared" si="304"/>
        <v>0</v>
      </c>
      <c r="CH749" s="71"/>
      <c r="CI749" s="71"/>
      <c r="CJ749" s="138">
        <f t="shared" si="305"/>
        <v>0</v>
      </c>
      <c r="CL749" s="71"/>
      <c r="CM749" s="71"/>
      <c r="CN749" s="71">
        <f t="shared" si="306"/>
        <v>0</v>
      </c>
      <c r="CS749" s="102">
        <f t="shared" si="307"/>
        <v>4.5293954747099576</v>
      </c>
      <c r="CT749" s="102">
        <f t="shared" si="308"/>
        <v>18.675175962423801</v>
      </c>
      <c r="CZ749" s="109" t="str">
        <f t="shared" si="309"/>
        <v>Basso</v>
      </c>
    </row>
    <row r="750" spans="9:104" x14ac:dyDescent="0.15">
      <c r="I750" s="64">
        <f t="shared" si="287"/>
        <v>76.99972307006928</v>
      </c>
      <c r="M750" s="64">
        <f t="shared" si="288"/>
        <v>0</v>
      </c>
      <c r="Q750" s="64">
        <f t="shared" si="289"/>
        <v>0</v>
      </c>
      <c r="U750" s="64">
        <f t="shared" si="290"/>
        <v>0</v>
      </c>
      <c r="Y750" s="114">
        <f t="shared" si="291"/>
        <v>0</v>
      </c>
      <c r="AC750" s="64">
        <f t="shared" si="292"/>
        <v>0</v>
      </c>
      <c r="AE750" s="71"/>
      <c r="AF750" s="71"/>
      <c r="AG750" s="71">
        <f t="shared" si="293"/>
        <v>0</v>
      </c>
      <c r="AK750" s="64">
        <f t="shared" si="294"/>
        <v>0</v>
      </c>
      <c r="AM750" s="71"/>
      <c r="AN750" s="71"/>
      <c r="AO750" s="71">
        <f t="shared" si="295"/>
        <v>0</v>
      </c>
      <c r="AQ750" s="71"/>
      <c r="AR750" s="71"/>
      <c r="AS750" s="71">
        <f t="shared" si="296"/>
        <v>0</v>
      </c>
      <c r="AU750" s="71"/>
      <c r="AV750" s="71"/>
      <c r="AW750" s="71">
        <f t="shared" si="297"/>
        <v>0</v>
      </c>
      <c r="AY750" s="71"/>
      <c r="AZ750" s="71"/>
      <c r="BA750" s="71">
        <f t="shared" si="298"/>
        <v>0</v>
      </c>
      <c r="BI750" s="71"/>
      <c r="BJ750" s="71"/>
      <c r="BK750" s="71">
        <f t="shared" si="299"/>
        <v>0</v>
      </c>
      <c r="BM750" s="71"/>
      <c r="BN750" s="71"/>
      <c r="BO750" s="71">
        <f t="shared" si="300"/>
        <v>0</v>
      </c>
      <c r="BQ750" s="71"/>
      <c r="BR750" s="71"/>
      <c r="BS750" s="138">
        <f t="shared" si="301"/>
        <v>0</v>
      </c>
      <c r="BU750" s="71"/>
      <c r="BV750" s="71"/>
      <c r="BW750" s="71">
        <f t="shared" si="302"/>
        <v>0</v>
      </c>
      <c r="BZ750" s="71"/>
      <c r="CA750" s="71"/>
      <c r="CB750" s="71">
        <f t="shared" si="303"/>
        <v>0</v>
      </c>
      <c r="CD750" s="71"/>
      <c r="CE750" s="71"/>
      <c r="CF750" s="71">
        <f t="shared" si="304"/>
        <v>0</v>
      </c>
      <c r="CH750" s="71"/>
      <c r="CI750" s="71"/>
      <c r="CJ750" s="138">
        <f t="shared" si="305"/>
        <v>0</v>
      </c>
      <c r="CL750" s="71"/>
      <c r="CM750" s="71"/>
      <c r="CN750" s="71">
        <f t="shared" si="306"/>
        <v>0</v>
      </c>
      <c r="CS750" s="102">
        <f t="shared" si="307"/>
        <v>4.5293954747099576</v>
      </c>
      <c r="CT750" s="102">
        <f t="shared" si="308"/>
        <v>18.675175962423801</v>
      </c>
      <c r="CZ750" s="109" t="str">
        <f t="shared" si="309"/>
        <v>Basso</v>
      </c>
    </row>
    <row r="751" spans="9:104" x14ac:dyDescent="0.15">
      <c r="I751" s="64">
        <f t="shared" si="287"/>
        <v>76.99972307006928</v>
      </c>
      <c r="M751" s="64">
        <f t="shared" si="288"/>
        <v>0</v>
      </c>
      <c r="Q751" s="64">
        <f t="shared" si="289"/>
        <v>0</v>
      </c>
      <c r="U751" s="64">
        <f t="shared" si="290"/>
        <v>0</v>
      </c>
      <c r="Y751" s="114">
        <f t="shared" si="291"/>
        <v>0</v>
      </c>
      <c r="AC751" s="64">
        <f t="shared" si="292"/>
        <v>0</v>
      </c>
      <c r="AE751" s="71"/>
      <c r="AF751" s="71"/>
      <c r="AG751" s="71">
        <f t="shared" si="293"/>
        <v>0</v>
      </c>
      <c r="AK751" s="64">
        <f t="shared" si="294"/>
        <v>0</v>
      </c>
      <c r="AM751" s="71"/>
      <c r="AN751" s="71"/>
      <c r="AO751" s="71">
        <f t="shared" si="295"/>
        <v>0</v>
      </c>
      <c r="AQ751" s="71"/>
      <c r="AR751" s="71"/>
      <c r="AS751" s="71">
        <f t="shared" si="296"/>
        <v>0</v>
      </c>
      <c r="AU751" s="71"/>
      <c r="AV751" s="71"/>
      <c r="AW751" s="71">
        <f t="shared" si="297"/>
        <v>0</v>
      </c>
      <c r="AY751" s="71"/>
      <c r="AZ751" s="71"/>
      <c r="BA751" s="71">
        <f t="shared" si="298"/>
        <v>0</v>
      </c>
      <c r="BI751" s="71"/>
      <c r="BJ751" s="71"/>
      <c r="BK751" s="71">
        <f t="shared" si="299"/>
        <v>0</v>
      </c>
      <c r="BM751" s="71"/>
      <c r="BN751" s="71"/>
      <c r="BO751" s="71">
        <f t="shared" si="300"/>
        <v>0</v>
      </c>
      <c r="BQ751" s="71"/>
      <c r="BR751" s="71"/>
      <c r="BS751" s="138">
        <f t="shared" si="301"/>
        <v>0</v>
      </c>
      <c r="BU751" s="71"/>
      <c r="BV751" s="71"/>
      <c r="BW751" s="71">
        <f t="shared" si="302"/>
        <v>0</v>
      </c>
      <c r="BZ751" s="71"/>
      <c r="CA751" s="71"/>
      <c r="CB751" s="71">
        <f t="shared" si="303"/>
        <v>0</v>
      </c>
      <c r="CD751" s="71"/>
      <c r="CE751" s="71"/>
      <c r="CF751" s="71">
        <f t="shared" si="304"/>
        <v>0</v>
      </c>
      <c r="CH751" s="71"/>
      <c r="CI751" s="71"/>
      <c r="CJ751" s="138">
        <f t="shared" si="305"/>
        <v>0</v>
      </c>
      <c r="CL751" s="71"/>
      <c r="CM751" s="71"/>
      <c r="CN751" s="71">
        <f t="shared" si="306"/>
        <v>0</v>
      </c>
      <c r="CS751" s="102">
        <f t="shared" si="307"/>
        <v>4.5293954747099576</v>
      </c>
      <c r="CT751" s="102">
        <f t="shared" si="308"/>
        <v>18.675175962423801</v>
      </c>
      <c r="CZ751" s="109" t="str">
        <f t="shared" si="309"/>
        <v>Basso</v>
      </c>
    </row>
    <row r="752" spans="9:104" x14ac:dyDescent="0.15">
      <c r="I752" s="64">
        <f t="shared" si="287"/>
        <v>76.99972307006928</v>
      </c>
      <c r="M752" s="64">
        <f t="shared" si="288"/>
        <v>0</v>
      </c>
      <c r="Q752" s="64">
        <f t="shared" si="289"/>
        <v>0</v>
      </c>
      <c r="U752" s="64">
        <f t="shared" si="290"/>
        <v>0</v>
      </c>
      <c r="Y752" s="114">
        <f t="shared" si="291"/>
        <v>0</v>
      </c>
      <c r="AC752" s="64">
        <f t="shared" si="292"/>
        <v>0</v>
      </c>
      <c r="AE752" s="71"/>
      <c r="AF752" s="71"/>
      <c r="AG752" s="71">
        <f t="shared" si="293"/>
        <v>0</v>
      </c>
      <c r="AK752" s="64">
        <f t="shared" si="294"/>
        <v>0</v>
      </c>
      <c r="AM752" s="71"/>
      <c r="AN752" s="71"/>
      <c r="AO752" s="71">
        <f t="shared" si="295"/>
        <v>0</v>
      </c>
      <c r="AQ752" s="71"/>
      <c r="AR752" s="71"/>
      <c r="AS752" s="71">
        <f t="shared" si="296"/>
        <v>0</v>
      </c>
      <c r="AU752" s="71"/>
      <c r="AV752" s="71"/>
      <c r="AW752" s="71">
        <f t="shared" si="297"/>
        <v>0</v>
      </c>
      <c r="AY752" s="71"/>
      <c r="AZ752" s="71"/>
      <c r="BA752" s="71">
        <f t="shared" si="298"/>
        <v>0</v>
      </c>
      <c r="BI752" s="71"/>
      <c r="BJ752" s="71"/>
      <c r="BK752" s="71">
        <f t="shared" si="299"/>
        <v>0</v>
      </c>
      <c r="BM752" s="71"/>
      <c r="BN752" s="71"/>
      <c r="BO752" s="71">
        <f t="shared" si="300"/>
        <v>0</v>
      </c>
      <c r="BQ752" s="71"/>
      <c r="BR752" s="71"/>
      <c r="BS752" s="138">
        <f t="shared" si="301"/>
        <v>0</v>
      </c>
      <c r="BU752" s="71"/>
      <c r="BV752" s="71"/>
      <c r="BW752" s="71">
        <f t="shared" si="302"/>
        <v>0</v>
      </c>
      <c r="BZ752" s="71"/>
      <c r="CA752" s="71"/>
      <c r="CB752" s="71">
        <f t="shared" si="303"/>
        <v>0</v>
      </c>
      <c r="CD752" s="71"/>
      <c r="CE752" s="71"/>
      <c r="CF752" s="71">
        <f t="shared" si="304"/>
        <v>0</v>
      </c>
      <c r="CH752" s="71"/>
      <c r="CI752" s="71"/>
      <c r="CJ752" s="138">
        <f t="shared" si="305"/>
        <v>0</v>
      </c>
      <c r="CL752" s="71"/>
      <c r="CM752" s="71"/>
      <c r="CN752" s="71">
        <f t="shared" si="306"/>
        <v>0</v>
      </c>
      <c r="CS752" s="102">
        <f t="shared" si="307"/>
        <v>4.5293954747099576</v>
      </c>
      <c r="CT752" s="102">
        <f t="shared" si="308"/>
        <v>18.675175962423801</v>
      </c>
      <c r="CZ752" s="109" t="str">
        <f t="shared" si="309"/>
        <v>Basso</v>
      </c>
    </row>
    <row r="753" spans="9:104" x14ac:dyDescent="0.15">
      <c r="I753" s="64">
        <f t="shared" si="287"/>
        <v>76.99972307006928</v>
      </c>
      <c r="M753" s="64">
        <f t="shared" si="288"/>
        <v>0</v>
      </c>
      <c r="Q753" s="64">
        <f t="shared" si="289"/>
        <v>0</v>
      </c>
      <c r="U753" s="64">
        <f t="shared" si="290"/>
        <v>0</v>
      </c>
      <c r="Y753" s="114">
        <f t="shared" si="291"/>
        <v>0</v>
      </c>
      <c r="AC753" s="64">
        <f t="shared" si="292"/>
        <v>0</v>
      </c>
      <c r="AE753" s="71"/>
      <c r="AF753" s="71"/>
      <c r="AG753" s="71">
        <f t="shared" si="293"/>
        <v>0</v>
      </c>
      <c r="AK753" s="64">
        <f t="shared" si="294"/>
        <v>0</v>
      </c>
      <c r="AM753" s="71"/>
      <c r="AN753" s="71"/>
      <c r="AO753" s="71">
        <f t="shared" si="295"/>
        <v>0</v>
      </c>
      <c r="AQ753" s="71"/>
      <c r="AR753" s="71"/>
      <c r="AS753" s="71">
        <f t="shared" si="296"/>
        <v>0</v>
      </c>
      <c r="AU753" s="71"/>
      <c r="AV753" s="71"/>
      <c r="AW753" s="71">
        <f t="shared" si="297"/>
        <v>0</v>
      </c>
      <c r="AY753" s="71"/>
      <c r="AZ753" s="71"/>
      <c r="BA753" s="71">
        <f t="shared" si="298"/>
        <v>0</v>
      </c>
      <c r="BI753" s="71"/>
      <c r="BJ753" s="71"/>
      <c r="BK753" s="71">
        <f t="shared" si="299"/>
        <v>0</v>
      </c>
      <c r="BM753" s="71"/>
      <c r="BN753" s="71"/>
      <c r="BO753" s="71">
        <f t="shared" si="300"/>
        <v>0</v>
      </c>
      <c r="BQ753" s="71"/>
      <c r="BR753" s="71"/>
      <c r="BS753" s="138">
        <f t="shared" si="301"/>
        <v>0</v>
      </c>
      <c r="BU753" s="71"/>
      <c r="BV753" s="71"/>
      <c r="BW753" s="71">
        <f t="shared" si="302"/>
        <v>0</v>
      </c>
      <c r="BZ753" s="71"/>
      <c r="CA753" s="71"/>
      <c r="CB753" s="71">
        <f t="shared" si="303"/>
        <v>0</v>
      </c>
      <c r="CD753" s="71"/>
      <c r="CE753" s="71"/>
      <c r="CF753" s="71">
        <f t="shared" si="304"/>
        <v>0</v>
      </c>
      <c r="CH753" s="71"/>
      <c r="CI753" s="71"/>
      <c r="CJ753" s="138">
        <f t="shared" si="305"/>
        <v>0</v>
      </c>
      <c r="CL753" s="71"/>
      <c r="CM753" s="71"/>
      <c r="CN753" s="71">
        <f t="shared" si="306"/>
        <v>0</v>
      </c>
      <c r="CS753" s="102">
        <f t="shared" si="307"/>
        <v>4.5293954747099576</v>
      </c>
      <c r="CT753" s="102">
        <f t="shared" si="308"/>
        <v>18.675175962423801</v>
      </c>
      <c r="CZ753" s="109" t="str">
        <f t="shared" si="309"/>
        <v>Basso</v>
      </c>
    </row>
    <row r="754" spans="9:104" x14ac:dyDescent="0.15">
      <c r="I754" s="64">
        <f t="shared" si="287"/>
        <v>76.99972307006928</v>
      </c>
      <c r="M754" s="64">
        <f t="shared" si="288"/>
        <v>0</v>
      </c>
      <c r="Q754" s="64">
        <f t="shared" si="289"/>
        <v>0</v>
      </c>
      <c r="U754" s="64">
        <f t="shared" si="290"/>
        <v>0</v>
      </c>
      <c r="Y754" s="114">
        <f t="shared" si="291"/>
        <v>0</v>
      </c>
      <c r="AC754" s="64">
        <f t="shared" si="292"/>
        <v>0</v>
      </c>
      <c r="AE754" s="71"/>
      <c r="AF754" s="71"/>
      <c r="AG754" s="71">
        <f t="shared" si="293"/>
        <v>0</v>
      </c>
      <c r="AK754" s="64">
        <f t="shared" si="294"/>
        <v>0</v>
      </c>
      <c r="AM754" s="71"/>
      <c r="AN754" s="71"/>
      <c r="AO754" s="71">
        <f t="shared" si="295"/>
        <v>0</v>
      </c>
      <c r="AQ754" s="71"/>
      <c r="AR754" s="71"/>
      <c r="AS754" s="71">
        <f t="shared" si="296"/>
        <v>0</v>
      </c>
      <c r="AU754" s="71"/>
      <c r="AV754" s="71"/>
      <c r="AW754" s="71">
        <f t="shared" si="297"/>
        <v>0</v>
      </c>
      <c r="AY754" s="71"/>
      <c r="AZ754" s="71"/>
      <c r="BA754" s="71">
        <f t="shared" si="298"/>
        <v>0</v>
      </c>
      <c r="BI754" s="71"/>
      <c r="BJ754" s="71"/>
      <c r="BK754" s="71">
        <f t="shared" si="299"/>
        <v>0</v>
      </c>
      <c r="BM754" s="71"/>
      <c r="BN754" s="71"/>
      <c r="BO754" s="71">
        <f t="shared" si="300"/>
        <v>0</v>
      </c>
      <c r="BQ754" s="71"/>
      <c r="BR754" s="71"/>
      <c r="BS754" s="138">
        <f t="shared" si="301"/>
        <v>0</v>
      </c>
      <c r="BU754" s="71"/>
      <c r="BV754" s="71"/>
      <c r="BW754" s="71">
        <f t="shared" si="302"/>
        <v>0</v>
      </c>
      <c r="BZ754" s="71"/>
      <c r="CA754" s="71"/>
      <c r="CB754" s="71">
        <f t="shared" si="303"/>
        <v>0</v>
      </c>
      <c r="CD754" s="71"/>
      <c r="CE754" s="71"/>
      <c r="CF754" s="71">
        <f t="shared" si="304"/>
        <v>0</v>
      </c>
      <c r="CH754" s="71"/>
      <c r="CI754" s="71"/>
      <c r="CJ754" s="138">
        <f t="shared" si="305"/>
        <v>0</v>
      </c>
      <c r="CL754" s="71"/>
      <c r="CM754" s="71"/>
      <c r="CN754" s="71">
        <f t="shared" si="306"/>
        <v>0</v>
      </c>
      <c r="CS754" s="102">
        <f t="shared" si="307"/>
        <v>4.5293954747099576</v>
      </c>
      <c r="CT754" s="102">
        <f t="shared" si="308"/>
        <v>18.675175962423801</v>
      </c>
      <c r="CZ754" s="109" t="str">
        <f t="shared" si="309"/>
        <v>Basso</v>
      </c>
    </row>
    <row r="755" spans="9:104" x14ac:dyDescent="0.15">
      <c r="I755" s="64">
        <f t="shared" si="287"/>
        <v>76.99972307006928</v>
      </c>
      <c r="M755" s="64">
        <f t="shared" si="288"/>
        <v>0</v>
      </c>
      <c r="Q755" s="64">
        <f t="shared" si="289"/>
        <v>0</v>
      </c>
      <c r="U755" s="64">
        <f t="shared" si="290"/>
        <v>0</v>
      </c>
      <c r="Y755" s="114">
        <f t="shared" si="291"/>
        <v>0</v>
      </c>
      <c r="AC755" s="64">
        <f t="shared" si="292"/>
        <v>0</v>
      </c>
      <c r="AE755" s="71"/>
      <c r="AF755" s="71"/>
      <c r="AG755" s="71">
        <f t="shared" si="293"/>
        <v>0</v>
      </c>
      <c r="AK755" s="64">
        <f t="shared" si="294"/>
        <v>0</v>
      </c>
      <c r="AM755" s="71"/>
      <c r="AN755" s="71"/>
      <c r="AO755" s="71">
        <f t="shared" si="295"/>
        <v>0</v>
      </c>
      <c r="AQ755" s="71"/>
      <c r="AR755" s="71"/>
      <c r="AS755" s="71">
        <f t="shared" si="296"/>
        <v>0</v>
      </c>
      <c r="AU755" s="71"/>
      <c r="AV755" s="71"/>
      <c r="AW755" s="71">
        <f t="shared" si="297"/>
        <v>0</v>
      </c>
      <c r="AY755" s="71"/>
      <c r="AZ755" s="71"/>
      <c r="BA755" s="71">
        <f t="shared" si="298"/>
        <v>0</v>
      </c>
      <c r="BI755" s="71"/>
      <c r="BJ755" s="71"/>
      <c r="BK755" s="71">
        <f t="shared" si="299"/>
        <v>0</v>
      </c>
      <c r="BM755" s="71"/>
      <c r="BN755" s="71"/>
      <c r="BO755" s="71">
        <f t="shared" si="300"/>
        <v>0</v>
      </c>
      <c r="BQ755" s="71"/>
      <c r="BR755" s="71"/>
      <c r="BS755" s="138">
        <f t="shared" si="301"/>
        <v>0</v>
      </c>
      <c r="BU755" s="71"/>
      <c r="BV755" s="71"/>
      <c r="BW755" s="71">
        <f t="shared" si="302"/>
        <v>0</v>
      </c>
      <c r="BZ755" s="71"/>
      <c r="CA755" s="71"/>
      <c r="CB755" s="71">
        <f t="shared" si="303"/>
        <v>0</v>
      </c>
      <c r="CD755" s="71"/>
      <c r="CE755" s="71"/>
      <c r="CF755" s="71">
        <f t="shared" si="304"/>
        <v>0</v>
      </c>
      <c r="CH755" s="71"/>
      <c r="CI755" s="71"/>
      <c r="CJ755" s="138">
        <f t="shared" si="305"/>
        <v>0</v>
      </c>
      <c r="CL755" s="71"/>
      <c r="CM755" s="71"/>
      <c r="CN755" s="71">
        <f t="shared" si="306"/>
        <v>0</v>
      </c>
      <c r="CS755" s="102">
        <f t="shared" si="307"/>
        <v>4.5293954747099576</v>
      </c>
      <c r="CT755" s="102">
        <f t="shared" si="308"/>
        <v>18.675175962423801</v>
      </c>
      <c r="CZ755" s="109" t="str">
        <f t="shared" si="309"/>
        <v>Basso</v>
      </c>
    </row>
    <row r="756" spans="9:104" x14ac:dyDescent="0.15">
      <c r="I756" s="64">
        <f t="shared" si="287"/>
        <v>76.99972307006928</v>
      </c>
      <c r="M756" s="64">
        <f t="shared" si="288"/>
        <v>0</v>
      </c>
      <c r="Q756" s="64">
        <f t="shared" si="289"/>
        <v>0</v>
      </c>
      <c r="U756" s="64">
        <f t="shared" si="290"/>
        <v>0</v>
      </c>
      <c r="Y756" s="114">
        <f t="shared" si="291"/>
        <v>0</v>
      </c>
      <c r="AC756" s="64">
        <f t="shared" si="292"/>
        <v>0</v>
      </c>
      <c r="AE756" s="71"/>
      <c r="AF756" s="71"/>
      <c r="AG756" s="71">
        <f t="shared" si="293"/>
        <v>0</v>
      </c>
      <c r="AK756" s="64">
        <f t="shared" si="294"/>
        <v>0</v>
      </c>
      <c r="AM756" s="71"/>
      <c r="AN756" s="71"/>
      <c r="AO756" s="71">
        <f t="shared" si="295"/>
        <v>0</v>
      </c>
      <c r="AQ756" s="71"/>
      <c r="AR756" s="71"/>
      <c r="AS756" s="71">
        <f t="shared" si="296"/>
        <v>0</v>
      </c>
      <c r="AU756" s="71"/>
      <c r="AV756" s="71"/>
      <c r="AW756" s="71">
        <f t="shared" si="297"/>
        <v>0</v>
      </c>
      <c r="AY756" s="71"/>
      <c r="AZ756" s="71"/>
      <c r="BA756" s="71">
        <f t="shared" si="298"/>
        <v>0</v>
      </c>
      <c r="BI756" s="71"/>
      <c r="BJ756" s="71"/>
      <c r="BK756" s="71">
        <f t="shared" si="299"/>
        <v>0</v>
      </c>
      <c r="BM756" s="71"/>
      <c r="BN756" s="71"/>
      <c r="BO756" s="71">
        <f t="shared" si="300"/>
        <v>0</v>
      </c>
      <c r="BQ756" s="71"/>
      <c r="BR756" s="71"/>
      <c r="BS756" s="138">
        <f t="shared" si="301"/>
        <v>0</v>
      </c>
      <c r="BU756" s="71"/>
      <c r="BV756" s="71"/>
      <c r="BW756" s="71">
        <f t="shared" si="302"/>
        <v>0</v>
      </c>
      <c r="BZ756" s="71"/>
      <c r="CA756" s="71"/>
      <c r="CB756" s="71">
        <f t="shared" si="303"/>
        <v>0</v>
      </c>
      <c r="CD756" s="71"/>
      <c r="CE756" s="71"/>
      <c r="CF756" s="71">
        <f t="shared" si="304"/>
        <v>0</v>
      </c>
      <c r="CH756" s="71"/>
      <c r="CI756" s="71"/>
      <c r="CJ756" s="138">
        <f t="shared" si="305"/>
        <v>0</v>
      </c>
      <c r="CL756" s="71"/>
      <c r="CM756" s="71"/>
      <c r="CN756" s="71">
        <f t="shared" si="306"/>
        <v>0</v>
      </c>
      <c r="CS756" s="102">
        <f t="shared" si="307"/>
        <v>4.5293954747099576</v>
      </c>
      <c r="CT756" s="102">
        <f t="shared" si="308"/>
        <v>18.675175962423801</v>
      </c>
      <c r="CZ756" s="109" t="str">
        <f t="shared" si="309"/>
        <v>Basso</v>
      </c>
    </row>
    <row r="757" spans="9:104" x14ac:dyDescent="0.15">
      <c r="I757" s="64">
        <f t="shared" si="287"/>
        <v>76.99972307006928</v>
      </c>
      <c r="M757" s="64">
        <f t="shared" si="288"/>
        <v>0</v>
      </c>
      <c r="Q757" s="64">
        <f t="shared" si="289"/>
        <v>0</v>
      </c>
      <c r="U757" s="64">
        <f t="shared" si="290"/>
        <v>0</v>
      </c>
      <c r="Y757" s="114">
        <f t="shared" si="291"/>
        <v>0</v>
      </c>
      <c r="AC757" s="64">
        <f t="shared" si="292"/>
        <v>0</v>
      </c>
      <c r="AE757" s="71"/>
      <c r="AF757" s="71"/>
      <c r="AG757" s="71">
        <f t="shared" si="293"/>
        <v>0</v>
      </c>
      <c r="AK757" s="64">
        <f t="shared" si="294"/>
        <v>0</v>
      </c>
      <c r="AM757" s="71"/>
      <c r="AN757" s="71"/>
      <c r="AO757" s="71">
        <f t="shared" si="295"/>
        <v>0</v>
      </c>
      <c r="AQ757" s="71"/>
      <c r="AR757" s="71"/>
      <c r="AS757" s="71">
        <f t="shared" si="296"/>
        <v>0</v>
      </c>
      <c r="AU757" s="71"/>
      <c r="AV757" s="71"/>
      <c r="AW757" s="71">
        <f t="shared" si="297"/>
        <v>0</v>
      </c>
      <c r="AY757" s="71"/>
      <c r="AZ757" s="71"/>
      <c r="BA757" s="71">
        <f t="shared" si="298"/>
        <v>0</v>
      </c>
      <c r="BI757" s="71"/>
      <c r="BJ757" s="71"/>
      <c r="BK757" s="71">
        <f t="shared" si="299"/>
        <v>0</v>
      </c>
      <c r="BM757" s="71"/>
      <c r="BN757" s="71"/>
      <c r="BO757" s="71">
        <f t="shared" si="300"/>
        <v>0</v>
      </c>
      <c r="BQ757" s="71"/>
      <c r="BR757" s="71"/>
      <c r="BS757" s="138">
        <f t="shared" si="301"/>
        <v>0</v>
      </c>
      <c r="BU757" s="71"/>
      <c r="BV757" s="71"/>
      <c r="BW757" s="71">
        <f t="shared" si="302"/>
        <v>0</v>
      </c>
      <c r="BZ757" s="71"/>
      <c r="CA757" s="71"/>
      <c r="CB757" s="71">
        <f t="shared" si="303"/>
        <v>0</v>
      </c>
      <c r="CD757" s="71"/>
      <c r="CE757" s="71"/>
      <c r="CF757" s="71">
        <f t="shared" si="304"/>
        <v>0</v>
      </c>
      <c r="CH757" s="71"/>
      <c r="CI757" s="71"/>
      <c r="CJ757" s="138">
        <f t="shared" si="305"/>
        <v>0</v>
      </c>
      <c r="CL757" s="71"/>
      <c r="CM757" s="71"/>
      <c r="CN757" s="71">
        <f t="shared" si="306"/>
        <v>0</v>
      </c>
      <c r="CS757" s="102">
        <f t="shared" si="307"/>
        <v>4.5293954747099576</v>
      </c>
      <c r="CT757" s="102">
        <f t="shared" si="308"/>
        <v>18.675175962423801</v>
      </c>
      <c r="CZ757" s="109" t="str">
        <f t="shared" si="309"/>
        <v>Basso</v>
      </c>
    </row>
    <row r="758" spans="9:104" x14ac:dyDescent="0.15">
      <c r="I758" s="64">
        <f t="shared" si="287"/>
        <v>76.99972307006928</v>
      </c>
      <c r="M758" s="64">
        <f t="shared" si="288"/>
        <v>0</v>
      </c>
      <c r="Q758" s="64">
        <f t="shared" si="289"/>
        <v>0</v>
      </c>
      <c r="U758" s="64">
        <f t="shared" si="290"/>
        <v>0</v>
      </c>
      <c r="Y758" s="114">
        <f t="shared" si="291"/>
        <v>0</v>
      </c>
      <c r="AC758" s="64">
        <f t="shared" si="292"/>
        <v>0</v>
      </c>
      <c r="AE758" s="71"/>
      <c r="AF758" s="71"/>
      <c r="AG758" s="71">
        <f t="shared" si="293"/>
        <v>0</v>
      </c>
      <c r="AK758" s="64">
        <f t="shared" si="294"/>
        <v>0</v>
      </c>
      <c r="AM758" s="71"/>
      <c r="AN758" s="71"/>
      <c r="AO758" s="71">
        <f t="shared" si="295"/>
        <v>0</v>
      </c>
      <c r="AQ758" s="71"/>
      <c r="AR758" s="71"/>
      <c r="AS758" s="71">
        <f t="shared" si="296"/>
        <v>0</v>
      </c>
      <c r="AU758" s="71"/>
      <c r="AV758" s="71"/>
      <c r="AW758" s="71">
        <f t="shared" si="297"/>
        <v>0</v>
      </c>
      <c r="AY758" s="71"/>
      <c r="AZ758" s="71"/>
      <c r="BA758" s="71">
        <f t="shared" si="298"/>
        <v>0</v>
      </c>
      <c r="BI758" s="71"/>
      <c r="BJ758" s="71"/>
      <c r="BK758" s="71">
        <f t="shared" si="299"/>
        <v>0</v>
      </c>
      <c r="BM758" s="71"/>
      <c r="BN758" s="71"/>
      <c r="BO758" s="71">
        <f t="shared" si="300"/>
        <v>0</v>
      </c>
      <c r="BQ758" s="71"/>
      <c r="BR758" s="71"/>
      <c r="BS758" s="138">
        <f t="shared" si="301"/>
        <v>0</v>
      </c>
      <c r="BU758" s="71"/>
      <c r="BV758" s="71"/>
      <c r="BW758" s="71">
        <f t="shared" si="302"/>
        <v>0</v>
      </c>
      <c r="BZ758" s="71"/>
      <c r="CA758" s="71"/>
      <c r="CB758" s="71">
        <f t="shared" si="303"/>
        <v>0</v>
      </c>
      <c r="CD758" s="71"/>
      <c r="CE758" s="71"/>
      <c r="CF758" s="71">
        <f t="shared" si="304"/>
        <v>0</v>
      </c>
      <c r="CH758" s="71"/>
      <c r="CI758" s="71"/>
      <c r="CJ758" s="138">
        <f t="shared" si="305"/>
        <v>0</v>
      </c>
      <c r="CL758" s="71"/>
      <c r="CM758" s="71"/>
      <c r="CN758" s="71">
        <f t="shared" si="306"/>
        <v>0</v>
      </c>
      <c r="CS758" s="102">
        <f t="shared" si="307"/>
        <v>4.5293954747099576</v>
      </c>
      <c r="CT758" s="102">
        <f t="shared" si="308"/>
        <v>18.675175962423801</v>
      </c>
      <c r="CZ758" s="109" t="str">
        <f t="shared" si="309"/>
        <v>Basso</v>
      </c>
    </row>
    <row r="759" spans="9:104" x14ac:dyDescent="0.15">
      <c r="I759" s="64">
        <f t="shared" si="287"/>
        <v>76.99972307006928</v>
      </c>
      <c r="M759" s="64">
        <f t="shared" si="288"/>
        <v>0</v>
      </c>
      <c r="Q759" s="64">
        <f t="shared" si="289"/>
        <v>0</v>
      </c>
      <c r="U759" s="64">
        <f t="shared" si="290"/>
        <v>0</v>
      </c>
      <c r="Y759" s="114">
        <f t="shared" si="291"/>
        <v>0</v>
      </c>
      <c r="AC759" s="64">
        <f t="shared" si="292"/>
        <v>0</v>
      </c>
      <c r="AE759" s="71"/>
      <c r="AF759" s="71"/>
      <c r="AG759" s="71">
        <f t="shared" si="293"/>
        <v>0</v>
      </c>
      <c r="AK759" s="64">
        <f t="shared" si="294"/>
        <v>0</v>
      </c>
      <c r="AM759" s="71"/>
      <c r="AN759" s="71"/>
      <c r="AO759" s="71">
        <f t="shared" si="295"/>
        <v>0</v>
      </c>
      <c r="AQ759" s="71"/>
      <c r="AR759" s="71"/>
      <c r="AS759" s="71">
        <f t="shared" si="296"/>
        <v>0</v>
      </c>
      <c r="AU759" s="71"/>
      <c r="AV759" s="71"/>
      <c r="AW759" s="71">
        <f t="shared" si="297"/>
        <v>0</v>
      </c>
      <c r="AY759" s="71"/>
      <c r="AZ759" s="71"/>
      <c r="BA759" s="71">
        <f t="shared" si="298"/>
        <v>0</v>
      </c>
      <c r="BI759" s="71"/>
      <c r="BJ759" s="71"/>
      <c r="BK759" s="71">
        <f t="shared" si="299"/>
        <v>0</v>
      </c>
      <c r="BM759" s="71"/>
      <c r="BN759" s="71"/>
      <c r="BO759" s="71">
        <f t="shared" si="300"/>
        <v>0</v>
      </c>
      <c r="BQ759" s="71"/>
      <c r="BR759" s="71"/>
      <c r="BS759" s="138">
        <f t="shared" si="301"/>
        <v>0</v>
      </c>
      <c r="BU759" s="71"/>
      <c r="BV759" s="71"/>
      <c r="BW759" s="71">
        <f t="shared" si="302"/>
        <v>0</v>
      </c>
      <c r="BZ759" s="71"/>
      <c r="CA759" s="71"/>
      <c r="CB759" s="71">
        <f t="shared" si="303"/>
        <v>0</v>
      </c>
      <c r="CD759" s="71"/>
      <c r="CE759" s="71"/>
      <c r="CF759" s="71">
        <f t="shared" si="304"/>
        <v>0</v>
      </c>
      <c r="CH759" s="71"/>
      <c r="CI759" s="71"/>
      <c r="CJ759" s="138">
        <f t="shared" si="305"/>
        <v>0</v>
      </c>
      <c r="CL759" s="71"/>
      <c r="CM759" s="71"/>
      <c r="CN759" s="71">
        <f t="shared" si="306"/>
        <v>0</v>
      </c>
      <c r="CS759" s="102">
        <f t="shared" si="307"/>
        <v>4.5293954747099576</v>
      </c>
      <c r="CT759" s="102">
        <f t="shared" si="308"/>
        <v>18.675175962423801</v>
      </c>
      <c r="CZ759" s="109" t="str">
        <f t="shared" si="309"/>
        <v>Basso</v>
      </c>
    </row>
    <row r="760" spans="9:104" x14ac:dyDescent="0.15">
      <c r="I760" s="64">
        <f t="shared" si="287"/>
        <v>76.99972307006928</v>
      </c>
      <c r="M760" s="64">
        <f t="shared" si="288"/>
        <v>0</v>
      </c>
      <c r="Q760" s="64">
        <f t="shared" si="289"/>
        <v>0</v>
      </c>
      <c r="U760" s="64">
        <f t="shared" si="290"/>
        <v>0</v>
      </c>
      <c r="Y760" s="114">
        <f t="shared" si="291"/>
        <v>0</v>
      </c>
      <c r="AC760" s="64">
        <f t="shared" si="292"/>
        <v>0</v>
      </c>
      <c r="AE760" s="71"/>
      <c r="AF760" s="71"/>
      <c r="AG760" s="71">
        <f t="shared" si="293"/>
        <v>0</v>
      </c>
      <c r="AK760" s="64">
        <f t="shared" si="294"/>
        <v>0</v>
      </c>
      <c r="AM760" s="71"/>
      <c r="AN760" s="71"/>
      <c r="AO760" s="71">
        <f t="shared" si="295"/>
        <v>0</v>
      </c>
      <c r="AQ760" s="71"/>
      <c r="AR760" s="71"/>
      <c r="AS760" s="71">
        <f t="shared" si="296"/>
        <v>0</v>
      </c>
      <c r="AU760" s="71"/>
      <c r="AV760" s="71"/>
      <c r="AW760" s="71">
        <f t="shared" si="297"/>
        <v>0</v>
      </c>
      <c r="AY760" s="71"/>
      <c r="AZ760" s="71"/>
      <c r="BA760" s="71">
        <f t="shared" si="298"/>
        <v>0</v>
      </c>
      <c r="BI760" s="71"/>
      <c r="BJ760" s="71"/>
      <c r="BK760" s="71">
        <f t="shared" si="299"/>
        <v>0</v>
      </c>
      <c r="BM760" s="71"/>
      <c r="BN760" s="71"/>
      <c r="BO760" s="71">
        <f t="shared" si="300"/>
        <v>0</v>
      </c>
      <c r="BQ760" s="71"/>
      <c r="BR760" s="71"/>
      <c r="BS760" s="138">
        <f t="shared" si="301"/>
        <v>0</v>
      </c>
      <c r="BU760" s="71"/>
      <c r="BV760" s="71"/>
      <c r="BW760" s="71">
        <f t="shared" si="302"/>
        <v>0</v>
      </c>
      <c r="BZ760" s="71"/>
      <c r="CA760" s="71"/>
      <c r="CB760" s="71">
        <f t="shared" si="303"/>
        <v>0</v>
      </c>
      <c r="CD760" s="71"/>
      <c r="CE760" s="71"/>
      <c r="CF760" s="71">
        <f t="shared" si="304"/>
        <v>0</v>
      </c>
      <c r="CH760" s="71"/>
      <c r="CI760" s="71"/>
      <c r="CJ760" s="138">
        <f t="shared" si="305"/>
        <v>0</v>
      </c>
      <c r="CL760" s="71"/>
      <c r="CM760" s="71"/>
      <c r="CN760" s="71">
        <f t="shared" si="306"/>
        <v>0</v>
      </c>
      <c r="CS760" s="102">
        <f t="shared" si="307"/>
        <v>4.5293954747099576</v>
      </c>
      <c r="CT760" s="102">
        <f t="shared" si="308"/>
        <v>18.675175962423801</v>
      </c>
      <c r="CZ760" s="109" t="str">
        <f t="shared" si="309"/>
        <v>Basso</v>
      </c>
    </row>
    <row r="761" spans="9:104" x14ac:dyDescent="0.15">
      <c r="I761" s="64">
        <f t="shared" si="287"/>
        <v>76.99972307006928</v>
      </c>
      <c r="M761" s="64">
        <f t="shared" si="288"/>
        <v>0</v>
      </c>
      <c r="Q761" s="64">
        <f t="shared" si="289"/>
        <v>0</v>
      </c>
      <c r="U761" s="64">
        <f t="shared" si="290"/>
        <v>0</v>
      </c>
      <c r="Y761" s="114">
        <f t="shared" si="291"/>
        <v>0</v>
      </c>
      <c r="AC761" s="64">
        <f t="shared" si="292"/>
        <v>0</v>
      </c>
      <c r="AE761" s="71"/>
      <c r="AF761" s="71"/>
      <c r="AG761" s="71">
        <f t="shared" si="293"/>
        <v>0</v>
      </c>
      <c r="AK761" s="64">
        <f t="shared" si="294"/>
        <v>0</v>
      </c>
      <c r="AM761" s="71"/>
      <c r="AN761" s="71"/>
      <c r="AO761" s="71">
        <f t="shared" si="295"/>
        <v>0</v>
      </c>
      <c r="AQ761" s="71"/>
      <c r="AR761" s="71"/>
      <c r="AS761" s="71">
        <f t="shared" si="296"/>
        <v>0</v>
      </c>
      <c r="AU761" s="71"/>
      <c r="AV761" s="71"/>
      <c r="AW761" s="71">
        <f t="shared" si="297"/>
        <v>0</v>
      </c>
      <c r="AY761" s="71"/>
      <c r="AZ761" s="71"/>
      <c r="BA761" s="71">
        <f t="shared" si="298"/>
        <v>0</v>
      </c>
      <c r="BI761" s="71"/>
      <c r="BJ761" s="71"/>
      <c r="BK761" s="71">
        <f t="shared" si="299"/>
        <v>0</v>
      </c>
      <c r="BM761" s="71"/>
      <c r="BN761" s="71"/>
      <c r="BO761" s="71">
        <f t="shared" si="300"/>
        <v>0</v>
      </c>
      <c r="BQ761" s="71"/>
      <c r="BR761" s="71"/>
      <c r="BS761" s="138">
        <f t="shared" si="301"/>
        <v>0</v>
      </c>
      <c r="BU761" s="71"/>
      <c r="BV761" s="71"/>
      <c r="BW761" s="71">
        <f t="shared" si="302"/>
        <v>0</v>
      </c>
      <c r="BZ761" s="71"/>
      <c r="CA761" s="71"/>
      <c r="CB761" s="71">
        <f t="shared" si="303"/>
        <v>0</v>
      </c>
      <c r="CD761" s="71"/>
      <c r="CE761" s="71"/>
      <c r="CF761" s="71">
        <f t="shared" si="304"/>
        <v>0</v>
      </c>
      <c r="CH761" s="71"/>
      <c r="CI761" s="71"/>
      <c r="CJ761" s="138">
        <f t="shared" si="305"/>
        <v>0</v>
      </c>
      <c r="CL761" s="71"/>
      <c r="CM761" s="71"/>
      <c r="CN761" s="71">
        <f t="shared" si="306"/>
        <v>0</v>
      </c>
      <c r="CS761" s="102">
        <f t="shared" si="307"/>
        <v>4.5293954747099576</v>
      </c>
      <c r="CT761" s="102">
        <f t="shared" si="308"/>
        <v>18.675175962423801</v>
      </c>
      <c r="CZ761" s="109" t="str">
        <f t="shared" si="309"/>
        <v>Basso</v>
      </c>
    </row>
    <row r="762" spans="9:104" x14ac:dyDescent="0.15">
      <c r="I762" s="64">
        <f t="shared" si="287"/>
        <v>76.99972307006928</v>
      </c>
      <c r="M762" s="64">
        <f t="shared" si="288"/>
        <v>0</v>
      </c>
      <c r="Q762" s="64">
        <f t="shared" si="289"/>
        <v>0</v>
      </c>
      <c r="U762" s="64">
        <f t="shared" si="290"/>
        <v>0</v>
      </c>
      <c r="Y762" s="114">
        <f t="shared" si="291"/>
        <v>0</v>
      </c>
      <c r="AC762" s="64">
        <f t="shared" si="292"/>
        <v>0</v>
      </c>
      <c r="AE762" s="71"/>
      <c r="AF762" s="71"/>
      <c r="AG762" s="71">
        <f t="shared" si="293"/>
        <v>0</v>
      </c>
      <c r="AK762" s="64">
        <f t="shared" si="294"/>
        <v>0</v>
      </c>
      <c r="AM762" s="71"/>
      <c r="AN762" s="71"/>
      <c r="AO762" s="71">
        <f t="shared" si="295"/>
        <v>0</v>
      </c>
      <c r="AQ762" s="71"/>
      <c r="AR762" s="71"/>
      <c r="AS762" s="71">
        <f t="shared" si="296"/>
        <v>0</v>
      </c>
      <c r="AU762" s="71"/>
      <c r="AV762" s="71"/>
      <c r="AW762" s="71">
        <f t="shared" si="297"/>
        <v>0</v>
      </c>
      <c r="AY762" s="71"/>
      <c r="AZ762" s="71"/>
      <c r="BA762" s="71">
        <f t="shared" si="298"/>
        <v>0</v>
      </c>
      <c r="BI762" s="71"/>
      <c r="BJ762" s="71"/>
      <c r="BK762" s="71">
        <f t="shared" si="299"/>
        <v>0</v>
      </c>
      <c r="BM762" s="71"/>
      <c r="BN762" s="71"/>
      <c r="BO762" s="71">
        <f t="shared" si="300"/>
        <v>0</v>
      </c>
      <c r="BQ762" s="71"/>
      <c r="BR762" s="71"/>
      <c r="BS762" s="138">
        <f t="shared" si="301"/>
        <v>0</v>
      </c>
      <c r="BU762" s="71"/>
      <c r="BV762" s="71"/>
      <c r="BW762" s="71">
        <f t="shared" si="302"/>
        <v>0</v>
      </c>
      <c r="BZ762" s="71"/>
      <c r="CA762" s="71"/>
      <c r="CB762" s="71">
        <f t="shared" si="303"/>
        <v>0</v>
      </c>
      <c r="CD762" s="71"/>
      <c r="CE762" s="71"/>
      <c r="CF762" s="71">
        <f t="shared" si="304"/>
        <v>0</v>
      </c>
      <c r="CH762" s="71"/>
      <c r="CI762" s="71"/>
      <c r="CJ762" s="138">
        <f t="shared" si="305"/>
        <v>0</v>
      </c>
      <c r="CL762" s="71"/>
      <c r="CM762" s="71"/>
      <c r="CN762" s="71">
        <f t="shared" si="306"/>
        <v>0</v>
      </c>
      <c r="CS762" s="102">
        <f t="shared" si="307"/>
        <v>4.5293954747099576</v>
      </c>
      <c r="CT762" s="102">
        <f t="shared" si="308"/>
        <v>18.675175962423801</v>
      </c>
      <c r="CZ762" s="109" t="str">
        <f t="shared" si="309"/>
        <v>Basso</v>
      </c>
    </row>
    <row r="763" spans="9:104" x14ac:dyDescent="0.15">
      <c r="I763" s="64">
        <f t="shared" si="287"/>
        <v>76.99972307006928</v>
      </c>
      <c r="M763" s="64">
        <f t="shared" si="288"/>
        <v>0</v>
      </c>
      <c r="Q763" s="64">
        <f t="shared" si="289"/>
        <v>0</v>
      </c>
      <c r="U763" s="64">
        <f t="shared" si="290"/>
        <v>0</v>
      </c>
      <c r="Y763" s="114">
        <f t="shared" si="291"/>
        <v>0</v>
      </c>
      <c r="AC763" s="64">
        <f t="shared" si="292"/>
        <v>0</v>
      </c>
      <c r="AE763" s="71"/>
      <c r="AF763" s="71"/>
      <c r="AG763" s="71">
        <f t="shared" si="293"/>
        <v>0</v>
      </c>
      <c r="AK763" s="64">
        <f t="shared" si="294"/>
        <v>0</v>
      </c>
      <c r="AM763" s="71"/>
      <c r="AN763" s="71"/>
      <c r="AO763" s="71">
        <f t="shared" si="295"/>
        <v>0</v>
      </c>
      <c r="AQ763" s="71"/>
      <c r="AR763" s="71"/>
      <c r="AS763" s="71">
        <f t="shared" si="296"/>
        <v>0</v>
      </c>
      <c r="AU763" s="71"/>
      <c r="AV763" s="71"/>
      <c r="AW763" s="71">
        <f t="shared" si="297"/>
        <v>0</v>
      </c>
      <c r="AY763" s="71"/>
      <c r="AZ763" s="71"/>
      <c r="BA763" s="71">
        <f t="shared" si="298"/>
        <v>0</v>
      </c>
      <c r="BI763" s="71"/>
      <c r="BJ763" s="71"/>
      <c r="BK763" s="71">
        <f t="shared" si="299"/>
        <v>0</v>
      </c>
      <c r="BM763" s="71"/>
      <c r="BN763" s="71"/>
      <c r="BO763" s="71">
        <f t="shared" si="300"/>
        <v>0</v>
      </c>
      <c r="BQ763" s="71"/>
      <c r="BR763" s="71"/>
      <c r="BS763" s="138">
        <f t="shared" si="301"/>
        <v>0</v>
      </c>
      <c r="BU763" s="71"/>
      <c r="BV763" s="71"/>
      <c r="BW763" s="71">
        <f t="shared" si="302"/>
        <v>0</v>
      </c>
      <c r="BZ763" s="71"/>
      <c r="CA763" s="71"/>
      <c r="CB763" s="71">
        <f t="shared" si="303"/>
        <v>0</v>
      </c>
      <c r="CD763" s="71"/>
      <c r="CE763" s="71"/>
      <c r="CF763" s="71">
        <f t="shared" si="304"/>
        <v>0</v>
      </c>
      <c r="CH763" s="71"/>
      <c r="CI763" s="71"/>
      <c r="CJ763" s="138">
        <f t="shared" si="305"/>
        <v>0</v>
      </c>
      <c r="CL763" s="71"/>
      <c r="CM763" s="71"/>
      <c r="CN763" s="71">
        <f t="shared" si="306"/>
        <v>0</v>
      </c>
      <c r="CS763" s="102">
        <f t="shared" si="307"/>
        <v>4.5293954747099576</v>
      </c>
      <c r="CT763" s="102">
        <f t="shared" si="308"/>
        <v>18.675175962423801</v>
      </c>
      <c r="CZ763" s="109" t="str">
        <f t="shared" si="309"/>
        <v>Basso</v>
      </c>
    </row>
    <row r="764" spans="9:104" x14ac:dyDescent="0.15">
      <c r="I764" s="64">
        <f t="shared" si="287"/>
        <v>76.99972307006928</v>
      </c>
      <c r="M764" s="64">
        <f t="shared" si="288"/>
        <v>0</v>
      </c>
      <c r="Q764" s="64">
        <f t="shared" si="289"/>
        <v>0</v>
      </c>
      <c r="U764" s="64">
        <f t="shared" si="290"/>
        <v>0</v>
      </c>
      <c r="Y764" s="114">
        <f t="shared" si="291"/>
        <v>0</v>
      </c>
      <c r="AC764" s="64">
        <f t="shared" si="292"/>
        <v>0</v>
      </c>
      <c r="AE764" s="71"/>
      <c r="AF764" s="71"/>
      <c r="AG764" s="71">
        <f t="shared" si="293"/>
        <v>0</v>
      </c>
      <c r="AK764" s="64">
        <f t="shared" si="294"/>
        <v>0</v>
      </c>
      <c r="AM764" s="71"/>
      <c r="AN764" s="71"/>
      <c r="AO764" s="71">
        <f t="shared" si="295"/>
        <v>0</v>
      </c>
      <c r="AQ764" s="71"/>
      <c r="AR764" s="71"/>
      <c r="AS764" s="71">
        <f t="shared" si="296"/>
        <v>0</v>
      </c>
      <c r="AU764" s="71"/>
      <c r="AV764" s="71"/>
      <c r="AW764" s="71">
        <f t="shared" si="297"/>
        <v>0</v>
      </c>
      <c r="AY764" s="71"/>
      <c r="AZ764" s="71"/>
      <c r="BA764" s="71">
        <f t="shared" si="298"/>
        <v>0</v>
      </c>
      <c r="BI764" s="71"/>
      <c r="BJ764" s="71"/>
      <c r="BK764" s="71">
        <f t="shared" si="299"/>
        <v>0</v>
      </c>
      <c r="BM764" s="71"/>
      <c r="BN764" s="71"/>
      <c r="BO764" s="71">
        <f t="shared" si="300"/>
        <v>0</v>
      </c>
      <c r="BQ764" s="71"/>
      <c r="BR764" s="71"/>
      <c r="BS764" s="138">
        <f t="shared" si="301"/>
        <v>0</v>
      </c>
      <c r="BU764" s="71"/>
      <c r="BV764" s="71"/>
      <c r="BW764" s="71">
        <f t="shared" si="302"/>
        <v>0</v>
      </c>
      <c r="BZ764" s="71"/>
      <c r="CA764" s="71"/>
      <c r="CB764" s="71">
        <f t="shared" si="303"/>
        <v>0</v>
      </c>
      <c r="CD764" s="71"/>
      <c r="CE764" s="71"/>
      <c r="CF764" s="71">
        <f t="shared" si="304"/>
        <v>0</v>
      </c>
      <c r="CH764" s="71"/>
      <c r="CI764" s="71"/>
      <c r="CJ764" s="138">
        <f t="shared" si="305"/>
        <v>0</v>
      </c>
      <c r="CL764" s="71"/>
      <c r="CM764" s="71"/>
      <c r="CN764" s="71">
        <f t="shared" si="306"/>
        <v>0</v>
      </c>
      <c r="CS764" s="102">
        <f t="shared" si="307"/>
        <v>4.5293954747099576</v>
      </c>
      <c r="CT764" s="102">
        <f t="shared" si="308"/>
        <v>18.675175962423801</v>
      </c>
      <c r="CZ764" s="109" t="str">
        <f t="shared" si="309"/>
        <v>Basso</v>
      </c>
    </row>
    <row r="765" spans="9:104" x14ac:dyDescent="0.15">
      <c r="I765" s="64">
        <f t="shared" si="287"/>
        <v>76.99972307006928</v>
      </c>
      <c r="M765" s="64">
        <f t="shared" si="288"/>
        <v>0</v>
      </c>
      <c r="Q765" s="64">
        <f t="shared" si="289"/>
        <v>0</v>
      </c>
      <c r="U765" s="64">
        <f t="shared" si="290"/>
        <v>0</v>
      </c>
      <c r="Y765" s="114">
        <f t="shared" si="291"/>
        <v>0</v>
      </c>
      <c r="AC765" s="64">
        <f t="shared" si="292"/>
        <v>0</v>
      </c>
      <c r="AE765" s="71"/>
      <c r="AF765" s="71"/>
      <c r="AG765" s="71">
        <f t="shared" si="293"/>
        <v>0</v>
      </c>
      <c r="AK765" s="64">
        <f t="shared" si="294"/>
        <v>0</v>
      </c>
      <c r="AM765" s="71"/>
      <c r="AN765" s="71"/>
      <c r="AO765" s="71">
        <f t="shared" si="295"/>
        <v>0</v>
      </c>
      <c r="AQ765" s="71"/>
      <c r="AR765" s="71"/>
      <c r="AS765" s="71">
        <f t="shared" si="296"/>
        <v>0</v>
      </c>
      <c r="AU765" s="71"/>
      <c r="AV765" s="71"/>
      <c r="AW765" s="71">
        <f t="shared" si="297"/>
        <v>0</v>
      </c>
      <c r="AY765" s="71"/>
      <c r="AZ765" s="71"/>
      <c r="BA765" s="71">
        <f t="shared" si="298"/>
        <v>0</v>
      </c>
      <c r="BI765" s="71"/>
      <c r="BJ765" s="71"/>
      <c r="BK765" s="71">
        <f t="shared" si="299"/>
        <v>0</v>
      </c>
      <c r="BM765" s="71"/>
      <c r="BN765" s="71"/>
      <c r="BO765" s="71">
        <f t="shared" si="300"/>
        <v>0</v>
      </c>
      <c r="BQ765" s="71"/>
      <c r="BR765" s="71"/>
      <c r="BS765" s="138">
        <f t="shared" si="301"/>
        <v>0</v>
      </c>
      <c r="BU765" s="71"/>
      <c r="BV765" s="71"/>
      <c r="BW765" s="71">
        <f t="shared" si="302"/>
        <v>0</v>
      </c>
      <c r="BZ765" s="71"/>
      <c r="CA765" s="71"/>
      <c r="CB765" s="71">
        <f t="shared" si="303"/>
        <v>0</v>
      </c>
      <c r="CD765" s="71"/>
      <c r="CE765" s="71"/>
      <c r="CF765" s="71">
        <f t="shared" si="304"/>
        <v>0</v>
      </c>
      <c r="CH765" s="71"/>
      <c r="CI765" s="71"/>
      <c r="CJ765" s="138">
        <f t="shared" si="305"/>
        <v>0</v>
      </c>
      <c r="CL765" s="71"/>
      <c r="CM765" s="71"/>
      <c r="CN765" s="71">
        <f t="shared" si="306"/>
        <v>0</v>
      </c>
      <c r="CS765" s="102">
        <f t="shared" si="307"/>
        <v>4.5293954747099576</v>
      </c>
      <c r="CT765" s="102">
        <f t="shared" si="308"/>
        <v>18.675175962423801</v>
      </c>
      <c r="CZ765" s="109" t="str">
        <f t="shared" si="309"/>
        <v>Basso</v>
      </c>
    </row>
    <row r="766" spans="9:104" x14ac:dyDescent="0.15">
      <c r="I766" s="64">
        <f t="shared" si="287"/>
        <v>76.99972307006928</v>
      </c>
      <c r="M766" s="64">
        <f t="shared" si="288"/>
        <v>0</v>
      </c>
      <c r="Q766" s="64">
        <f t="shared" si="289"/>
        <v>0</v>
      </c>
      <c r="U766" s="64">
        <f t="shared" si="290"/>
        <v>0</v>
      </c>
      <c r="Y766" s="114">
        <f t="shared" si="291"/>
        <v>0</v>
      </c>
      <c r="AC766" s="64">
        <f t="shared" si="292"/>
        <v>0</v>
      </c>
      <c r="AE766" s="71"/>
      <c r="AF766" s="71"/>
      <c r="AG766" s="71">
        <f t="shared" si="293"/>
        <v>0</v>
      </c>
      <c r="AK766" s="64">
        <f t="shared" si="294"/>
        <v>0</v>
      </c>
      <c r="AM766" s="71"/>
      <c r="AN766" s="71"/>
      <c r="AO766" s="71">
        <f t="shared" si="295"/>
        <v>0</v>
      </c>
      <c r="AQ766" s="71"/>
      <c r="AR766" s="71"/>
      <c r="AS766" s="71">
        <f t="shared" si="296"/>
        <v>0</v>
      </c>
      <c r="AU766" s="71"/>
      <c r="AV766" s="71"/>
      <c r="AW766" s="71">
        <f t="shared" si="297"/>
        <v>0</v>
      </c>
      <c r="AY766" s="71"/>
      <c r="AZ766" s="71"/>
      <c r="BA766" s="71">
        <f t="shared" si="298"/>
        <v>0</v>
      </c>
      <c r="BI766" s="71"/>
      <c r="BJ766" s="71"/>
      <c r="BK766" s="71">
        <f t="shared" si="299"/>
        <v>0</v>
      </c>
      <c r="BM766" s="71"/>
      <c r="BN766" s="71"/>
      <c r="BO766" s="71">
        <f t="shared" si="300"/>
        <v>0</v>
      </c>
      <c r="BQ766" s="71"/>
      <c r="BR766" s="71"/>
      <c r="BS766" s="138">
        <f t="shared" si="301"/>
        <v>0</v>
      </c>
      <c r="BU766" s="71"/>
      <c r="BV766" s="71"/>
      <c r="BW766" s="71">
        <f t="shared" si="302"/>
        <v>0</v>
      </c>
      <c r="BZ766" s="71"/>
      <c r="CA766" s="71"/>
      <c r="CB766" s="71">
        <f t="shared" si="303"/>
        <v>0</v>
      </c>
      <c r="CD766" s="71"/>
      <c r="CE766" s="71"/>
      <c r="CF766" s="71">
        <f t="shared" si="304"/>
        <v>0</v>
      </c>
      <c r="CH766" s="71"/>
      <c r="CI766" s="71"/>
      <c r="CJ766" s="138">
        <f t="shared" si="305"/>
        <v>0</v>
      </c>
      <c r="CL766" s="71"/>
      <c r="CM766" s="71"/>
      <c r="CN766" s="71">
        <f t="shared" si="306"/>
        <v>0</v>
      </c>
      <c r="CS766" s="102">
        <f t="shared" si="307"/>
        <v>4.5293954747099576</v>
      </c>
      <c r="CT766" s="102">
        <f t="shared" si="308"/>
        <v>18.675175962423801</v>
      </c>
      <c r="CZ766" s="109" t="str">
        <f t="shared" si="309"/>
        <v>Basso</v>
      </c>
    </row>
    <row r="767" spans="9:104" x14ac:dyDescent="0.15">
      <c r="I767" s="64">
        <f t="shared" si="287"/>
        <v>76.99972307006928</v>
      </c>
      <c r="M767" s="64">
        <f t="shared" si="288"/>
        <v>0</v>
      </c>
      <c r="Q767" s="64">
        <f t="shared" si="289"/>
        <v>0</v>
      </c>
      <c r="U767" s="64">
        <f t="shared" si="290"/>
        <v>0</v>
      </c>
      <c r="Y767" s="114">
        <f t="shared" si="291"/>
        <v>0</v>
      </c>
      <c r="AC767" s="64">
        <f t="shared" si="292"/>
        <v>0</v>
      </c>
      <c r="AE767" s="71"/>
      <c r="AF767" s="71"/>
      <c r="AG767" s="71">
        <f t="shared" si="293"/>
        <v>0</v>
      </c>
      <c r="AK767" s="64">
        <f t="shared" si="294"/>
        <v>0</v>
      </c>
      <c r="AM767" s="71"/>
      <c r="AN767" s="71"/>
      <c r="AO767" s="71">
        <f t="shared" si="295"/>
        <v>0</v>
      </c>
      <c r="AQ767" s="71"/>
      <c r="AR767" s="71"/>
      <c r="AS767" s="71">
        <f t="shared" si="296"/>
        <v>0</v>
      </c>
      <c r="AU767" s="71"/>
      <c r="AV767" s="71"/>
      <c r="AW767" s="71">
        <f t="shared" si="297"/>
        <v>0</v>
      </c>
      <c r="AY767" s="71"/>
      <c r="AZ767" s="71"/>
      <c r="BA767" s="71">
        <f t="shared" si="298"/>
        <v>0</v>
      </c>
      <c r="BI767" s="71"/>
      <c r="BJ767" s="71"/>
      <c r="BK767" s="71">
        <f t="shared" si="299"/>
        <v>0</v>
      </c>
      <c r="BM767" s="71"/>
      <c r="BN767" s="71"/>
      <c r="BO767" s="71">
        <f t="shared" si="300"/>
        <v>0</v>
      </c>
      <c r="BQ767" s="71"/>
      <c r="BR767" s="71"/>
      <c r="BS767" s="138">
        <f t="shared" si="301"/>
        <v>0</v>
      </c>
      <c r="BU767" s="71"/>
      <c r="BV767" s="71"/>
      <c r="BW767" s="71">
        <f t="shared" si="302"/>
        <v>0</v>
      </c>
      <c r="BZ767" s="71"/>
      <c r="CA767" s="71"/>
      <c r="CB767" s="71">
        <f t="shared" si="303"/>
        <v>0</v>
      </c>
      <c r="CD767" s="71"/>
      <c r="CE767" s="71"/>
      <c r="CF767" s="71">
        <f t="shared" si="304"/>
        <v>0</v>
      </c>
      <c r="CH767" s="71"/>
      <c r="CI767" s="71"/>
      <c r="CJ767" s="138">
        <f t="shared" si="305"/>
        <v>0</v>
      </c>
      <c r="CL767" s="71"/>
      <c r="CM767" s="71"/>
      <c r="CN767" s="71">
        <f t="shared" si="306"/>
        <v>0</v>
      </c>
      <c r="CS767" s="102">
        <f t="shared" si="307"/>
        <v>4.5293954747099576</v>
      </c>
      <c r="CT767" s="102">
        <f t="shared" si="308"/>
        <v>18.675175962423801</v>
      </c>
      <c r="CZ767" s="109" t="str">
        <f t="shared" si="309"/>
        <v>Basso</v>
      </c>
    </row>
    <row r="768" spans="9:104" x14ac:dyDescent="0.15">
      <c r="I768" s="64">
        <f t="shared" si="287"/>
        <v>76.99972307006928</v>
      </c>
      <c r="M768" s="64">
        <f t="shared" si="288"/>
        <v>0</v>
      </c>
      <c r="Q768" s="64">
        <f t="shared" si="289"/>
        <v>0</v>
      </c>
      <c r="U768" s="64">
        <f t="shared" si="290"/>
        <v>0</v>
      </c>
      <c r="Y768" s="114">
        <f t="shared" si="291"/>
        <v>0</v>
      </c>
      <c r="AC768" s="64">
        <f t="shared" si="292"/>
        <v>0</v>
      </c>
      <c r="AE768" s="71"/>
      <c r="AF768" s="71"/>
      <c r="AG768" s="71">
        <f t="shared" si="293"/>
        <v>0</v>
      </c>
      <c r="AK768" s="64">
        <f t="shared" si="294"/>
        <v>0</v>
      </c>
      <c r="AM768" s="71"/>
      <c r="AN768" s="71"/>
      <c r="AO768" s="71">
        <f t="shared" si="295"/>
        <v>0</v>
      </c>
      <c r="AQ768" s="71"/>
      <c r="AR768" s="71"/>
      <c r="AS768" s="71">
        <f t="shared" si="296"/>
        <v>0</v>
      </c>
      <c r="AU768" s="71"/>
      <c r="AV768" s="71"/>
      <c r="AW768" s="71">
        <f t="shared" si="297"/>
        <v>0</v>
      </c>
      <c r="AY768" s="71"/>
      <c r="AZ768" s="71"/>
      <c r="BA768" s="71">
        <f t="shared" si="298"/>
        <v>0</v>
      </c>
      <c r="BI768" s="71"/>
      <c r="BJ768" s="71"/>
      <c r="BK768" s="71">
        <f t="shared" si="299"/>
        <v>0</v>
      </c>
      <c r="BM768" s="71"/>
      <c r="BN768" s="71"/>
      <c r="BO768" s="71">
        <f t="shared" si="300"/>
        <v>0</v>
      </c>
      <c r="BQ768" s="71"/>
      <c r="BR768" s="71"/>
      <c r="BS768" s="138">
        <f t="shared" si="301"/>
        <v>0</v>
      </c>
      <c r="BU768" s="71"/>
      <c r="BV768" s="71"/>
      <c r="BW768" s="71">
        <f t="shared" si="302"/>
        <v>0</v>
      </c>
      <c r="BZ768" s="71"/>
      <c r="CA768" s="71"/>
      <c r="CB768" s="71">
        <f t="shared" si="303"/>
        <v>0</v>
      </c>
      <c r="CD768" s="71"/>
      <c r="CE768" s="71"/>
      <c r="CF768" s="71">
        <f t="shared" si="304"/>
        <v>0</v>
      </c>
      <c r="CH768" s="71"/>
      <c r="CI768" s="71"/>
      <c r="CJ768" s="138">
        <f t="shared" si="305"/>
        <v>0</v>
      </c>
      <c r="CL768" s="71"/>
      <c r="CM768" s="71"/>
      <c r="CN768" s="71">
        <f t="shared" si="306"/>
        <v>0</v>
      </c>
      <c r="CS768" s="102">
        <f t="shared" si="307"/>
        <v>4.5293954747099576</v>
      </c>
      <c r="CT768" s="102">
        <f t="shared" si="308"/>
        <v>18.675175962423801</v>
      </c>
      <c r="CZ768" s="109" t="str">
        <f t="shared" si="309"/>
        <v>Basso</v>
      </c>
    </row>
    <row r="769" spans="9:104" x14ac:dyDescent="0.15">
      <c r="I769" s="64">
        <f t="shared" si="287"/>
        <v>76.99972307006928</v>
      </c>
      <c r="M769" s="64">
        <f t="shared" si="288"/>
        <v>0</v>
      </c>
      <c r="Q769" s="64">
        <f t="shared" si="289"/>
        <v>0</v>
      </c>
      <c r="U769" s="64">
        <f t="shared" si="290"/>
        <v>0</v>
      </c>
      <c r="Y769" s="114">
        <f t="shared" si="291"/>
        <v>0</v>
      </c>
      <c r="AC769" s="64">
        <f t="shared" si="292"/>
        <v>0</v>
      </c>
      <c r="AE769" s="71"/>
      <c r="AF769" s="71"/>
      <c r="AG769" s="71">
        <f t="shared" si="293"/>
        <v>0</v>
      </c>
      <c r="AK769" s="64">
        <f t="shared" si="294"/>
        <v>0</v>
      </c>
      <c r="AM769" s="71"/>
      <c r="AN769" s="71"/>
      <c r="AO769" s="71">
        <f t="shared" si="295"/>
        <v>0</v>
      </c>
      <c r="AQ769" s="71"/>
      <c r="AR769" s="71"/>
      <c r="AS769" s="71">
        <f t="shared" si="296"/>
        <v>0</v>
      </c>
      <c r="AU769" s="71"/>
      <c r="AV769" s="71"/>
      <c r="AW769" s="71">
        <f t="shared" si="297"/>
        <v>0</v>
      </c>
      <c r="AY769" s="71"/>
      <c r="AZ769" s="71"/>
      <c r="BA769" s="71">
        <f t="shared" si="298"/>
        <v>0</v>
      </c>
      <c r="BI769" s="71"/>
      <c r="BJ769" s="71"/>
      <c r="BK769" s="71">
        <f t="shared" si="299"/>
        <v>0</v>
      </c>
      <c r="BM769" s="71"/>
      <c r="BN769" s="71"/>
      <c r="BO769" s="71">
        <f t="shared" si="300"/>
        <v>0</v>
      </c>
      <c r="BQ769" s="71"/>
      <c r="BR769" s="71"/>
      <c r="BS769" s="138">
        <f t="shared" si="301"/>
        <v>0</v>
      </c>
      <c r="BU769" s="71"/>
      <c r="BV769" s="71"/>
      <c r="BW769" s="71">
        <f t="shared" si="302"/>
        <v>0</v>
      </c>
      <c r="BZ769" s="71"/>
      <c r="CA769" s="71"/>
      <c r="CB769" s="71">
        <f t="shared" si="303"/>
        <v>0</v>
      </c>
      <c r="CD769" s="71"/>
      <c r="CE769" s="71"/>
      <c r="CF769" s="71">
        <f t="shared" si="304"/>
        <v>0</v>
      </c>
      <c r="CH769" s="71"/>
      <c r="CI769" s="71"/>
      <c r="CJ769" s="138">
        <f t="shared" si="305"/>
        <v>0</v>
      </c>
      <c r="CL769" s="71"/>
      <c r="CM769" s="71"/>
      <c r="CN769" s="71">
        <f t="shared" si="306"/>
        <v>0</v>
      </c>
      <c r="CS769" s="102">
        <f t="shared" si="307"/>
        <v>4.5293954747099576</v>
      </c>
      <c r="CT769" s="102">
        <f t="shared" si="308"/>
        <v>18.675175962423801</v>
      </c>
      <c r="CZ769" s="109" t="str">
        <f t="shared" si="309"/>
        <v>Basso</v>
      </c>
    </row>
    <row r="770" spans="9:104" x14ac:dyDescent="0.15">
      <c r="I770" s="64">
        <f t="shared" si="287"/>
        <v>76.99972307006928</v>
      </c>
      <c r="M770" s="64">
        <f t="shared" si="288"/>
        <v>0</v>
      </c>
      <c r="Q770" s="64">
        <f t="shared" si="289"/>
        <v>0</v>
      </c>
      <c r="U770" s="64">
        <f t="shared" si="290"/>
        <v>0</v>
      </c>
      <c r="Y770" s="114">
        <f t="shared" si="291"/>
        <v>0</v>
      </c>
      <c r="AC770" s="64">
        <f t="shared" si="292"/>
        <v>0</v>
      </c>
      <c r="AE770" s="71"/>
      <c r="AF770" s="71"/>
      <c r="AG770" s="71">
        <f t="shared" si="293"/>
        <v>0</v>
      </c>
      <c r="AK770" s="64">
        <f t="shared" si="294"/>
        <v>0</v>
      </c>
      <c r="AM770" s="71"/>
      <c r="AN770" s="71"/>
      <c r="AO770" s="71">
        <f t="shared" si="295"/>
        <v>0</v>
      </c>
      <c r="AQ770" s="71"/>
      <c r="AR770" s="71"/>
      <c r="AS770" s="71">
        <f t="shared" si="296"/>
        <v>0</v>
      </c>
      <c r="AU770" s="71"/>
      <c r="AV770" s="71"/>
      <c r="AW770" s="71">
        <f t="shared" si="297"/>
        <v>0</v>
      </c>
      <c r="AY770" s="71"/>
      <c r="AZ770" s="71"/>
      <c r="BA770" s="71">
        <f t="shared" si="298"/>
        <v>0</v>
      </c>
      <c r="BI770" s="71"/>
      <c r="BJ770" s="71"/>
      <c r="BK770" s="71">
        <f t="shared" si="299"/>
        <v>0</v>
      </c>
      <c r="BM770" s="71"/>
      <c r="BN770" s="71"/>
      <c r="BO770" s="71">
        <f t="shared" si="300"/>
        <v>0</v>
      </c>
      <c r="BQ770" s="71"/>
      <c r="BR770" s="71"/>
      <c r="BS770" s="138">
        <f t="shared" si="301"/>
        <v>0</v>
      </c>
      <c r="BU770" s="71"/>
      <c r="BV770" s="71"/>
      <c r="BW770" s="71">
        <f t="shared" si="302"/>
        <v>0</v>
      </c>
      <c r="BZ770" s="71"/>
      <c r="CA770" s="71"/>
      <c r="CB770" s="71">
        <f t="shared" si="303"/>
        <v>0</v>
      </c>
      <c r="CD770" s="71"/>
      <c r="CE770" s="71"/>
      <c r="CF770" s="71">
        <f t="shared" si="304"/>
        <v>0</v>
      </c>
      <c r="CH770" s="71"/>
      <c r="CI770" s="71"/>
      <c r="CJ770" s="138">
        <f t="shared" si="305"/>
        <v>0</v>
      </c>
      <c r="CL770" s="71"/>
      <c r="CM770" s="71"/>
      <c r="CN770" s="71">
        <f t="shared" si="306"/>
        <v>0</v>
      </c>
      <c r="CS770" s="102">
        <f t="shared" si="307"/>
        <v>4.5293954747099576</v>
      </c>
      <c r="CT770" s="102">
        <f t="shared" si="308"/>
        <v>18.675175962423801</v>
      </c>
      <c r="CZ770" s="109" t="str">
        <f t="shared" si="309"/>
        <v>Basso</v>
      </c>
    </row>
    <row r="771" spans="9:104" x14ac:dyDescent="0.15">
      <c r="I771" s="64">
        <f t="shared" ref="I771:I834" si="310">100 + ((F771 - AVERAGE(F:F)) / STDEV(F:F)) * 10</f>
        <v>76.99972307006928</v>
      </c>
      <c r="M771" s="64">
        <f t="shared" ref="M771:M834" si="311">J771/2</f>
        <v>0</v>
      </c>
      <c r="Q771" s="64">
        <f t="shared" ref="Q771:Q834" si="312">N771/2</f>
        <v>0</v>
      </c>
      <c r="U771" s="64">
        <f t="shared" ref="U771:U834" si="313">R771/3</f>
        <v>0</v>
      </c>
      <c r="Y771" s="114">
        <f t="shared" ref="Y771:Y834" si="314">V771/5</f>
        <v>0</v>
      </c>
      <c r="AC771" s="64">
        <f t="shared" ref="AC771:AC834" si="315">Z771/3</f>
        <v>0</v>
      </c>
      <c r="AE771" s="71"/>
      <c r="AF771" s="71"/>
      <c r="AG771" s="71">
        <f t="shared" ref="AG771:AG834" si="316">AD771/3</f>
        <v>0</v>
      </c>
      <c r="AK771" s="64">
        <f t="shared" ref="AK771:AK834" si="317">AH771/3</f>
        <v>0</v>
      </c>
      <c r="AM771" s="71"/>
      <c r="AN771" s="71"/>
      <c r="AO771" s="71">
        <f t="shared" ref="AO771:AO834" si="318">AL771/4</f>
        <v>0</v>
      </c>
      <c r="AQ771" s="71"/>
      <c r="AR771" s="71"/>
      <c r="AS771" s="71">
        <f t="shared" ref="AS771:AS834" si="319">AP771/3</f>
        <v>0</v>
      </c>
      <c r="AU771" s="71"/>
      <c r="AV771" s="71"/>
      <c r="AW771" s="71">
        <f t="shared" ref="AW771:AW834" si="320">AT771/3</f>
        <v>0</v>
      </c>
      <c r="AY771" s="71"/>
      <c r="AZ771" s="71"/>
      <c r="BA771" s="71">
        <f t="shared" ref="BA771:BA834" si="321">AX771/2</f>
        <v>0</v>
      </c>
      <c r="BI771" s="71"/>
      <c r="BJ771" s="71"/>
      <c r="BK771" s="71">
        <f t="shared" ref="BK771:BK834" si="322">BH771/2</f>
        <v>0</v>
      </c>
      <c r="BM771" s="71"/>
      <c r="BN771" s="71"/>
      <c r="BO771" s="71">
        <f t="shared" ref="BO771:BO834" si="323">BL771/3</f>
        <v>0</v>
      </c>
      <c r="BQ771" s="71"/>
      <c r="BR771" s="71"/>
      <c r="BS771" s="138">
        <f t="shared" ref="BS771:BS834" si="324">BP771/3</f>
        <v>0</v>
      </c>
      <c r="BU771" s="71"/>
      <c r="BV771" s="71"/>
      <c r="BW771" s="71">
        <f t="shared" ref="BW771:BW834" si="325">BT771/3</f>
        <v>0</v>
      </c>
      <c r="BZ771" s="71"/>
      <c r="CA771" s="71"/>
      <c r="CB771" s="71">
        <f t="shared" ref="CB771:CB834" si="326">BY771/3</f>
        <v>0</v>
      </c>
      <c r="CD771" s="71"/>
      <c r="CE771" s="71"/>
      <c r="CF771" s="71">
        <f t="shared" ref="CF771:CF834" si="327">CC771/3</f>
        <v>0</v>
      </c>
      <c r="CH771" s="71"/>
      <c r="CI771" s="71"/>
      <c r="CJ771" s="138">
        <f t="shared" ref="CJ771:CJ834" si="328">CG771/2</f>
        <v>0</v>
      </c>
      <c r="CL771" s="71"/>
      <c r="CM771" s="71"/>
      <c r="CN771" s="71">
        <f t="shared" ref="CN771:CN834" si="329">CK771/3</f>
        <v>0</v>
      </c>
      <c r="CS771" s="102">
        <f t="shared" ref="CS771:CS834" si="330">AVERAGE(I771, M771, Q771, U771, AC771, AG771, AK771, AO771, AS771, AW771, BA771, BK771, BO771, BW771, CB771, CF771, CN771)</f>
        <v>4.5293954747099576</v>
      </c>
      <c r="CT771" s="102">
        <f t="shared" ref="CT771:CT834" si="331">STDEV(I771, M771, Q771, U771, AC771, AG771, AK771, AO771, AS771, AW771, BA771, BK771, BO771, BW771, CB771, CF771, CN771)</f>
        <v>18.675175962423801</v>
      </c>
      <c r="CZ771" s="109" t="str">
        <f t="shared" ref="CZ771:CZ834" si="332">IF(CV771&lt;95.9069994, "Basso", IF(CV771&lt;99.02062343, "Medio-Basso", IF(CV771&lt;103.58108, "Medio-Alto", "Alto")))</f>
        <v>Basso</v>
      </c>
    </row>
    <row r="772" spans="9:104" x14ac:dyDescent="0.15">
      <c r="I772" s="64">
        <f t="shared" si="310"/>
        <v>76.99972307006928</v>
      </c>
      <c r="M772" s="64">
        <f t="shared" si="311"/>
        <v>0</v>
      </c>
      <c r="Q772" s="64">
        <f t="shared" si="312"/>
        <v>0</v>
      </c>
      <c r="U772" s="64">
        <f t="shared" si="313"/>
        <v>0</v>
      </c>
      <c r="Y772" s="114">
        <f t="shared" si="314"/>
        <v>0</v>
      </c>
      <c r="AC772" s="64">
        <f t="shared" si="315"/>
        <v>0</v>
      </c>
      <c r="AE772" s="71"/>
      <c r="AF772" s="71"/>
      <c r="AG772" s="71">
        <f t="shared" si="316"/>
        <v>0</v>
      </c>
      <c r="AK772" s="64">
        <f t="shared" si="317"/>
        <v>0</v>
      </c>
      <c r="AM772" s="71"/>
      <c r="AN772" s="71"/>
      <c r="AO772" s="71">
        <f t="shared" si="318"/>
        <v>0</v>
      </c>
      <c r="AQ772" s="71"/>
      <c r="AR772" s="71"/>
      <c r="AS772" s="71">
        <f t="shared" si="319"/>
        <v>0</v>
      </c>
      <c r="AU772" s="71"/>
      <c r="AV772" s="71"/>
      <c r="AW772" s="71">
        <f t="shared" si="320"/>
        <v>0</v>
      </c>
      <c r="AY772" s="71"/>
      <c r="AZ772" s="71"/>
      <c r="BA772" s="71">
        <f t="shared" si="321"/>
        <v>0</v>
      </c>
      <c r="BI772" s="71"/>
      <c r="BJ772" s="71"/>
      <c r="BK772" s="71">
        <f t="shared" si="322"/>
        <v>0</v>
      </c>
      <c r="BM772" s="71"/>
      <c r="BN772" s="71"/>
      <c r="BO772" s="71">
        <f t="shared" si="323"/>
        <v>0</v>
      </c>
      <c r="BQ772" s="71"/>
      <c r="BR772" s="71"/>
      <c r="BS772" s="138">
        <f t="shared" si="324"/>
        <v>0</v>
      </c>
      <c r="BU772" s="71"/>
      <c r="BV772" s="71"/>
      <c r="BW772" s="71">
        <f t="shared" si="325"/>
        <v>0</v>
      </c>
      <c r="BZ772" s="71"/>
      <c r="CA772" s="71"/>
      <c r="CB772" s="71">
        <f t="shared" si="326"/>
        <v>0</v>
      </c>
      <c r="CD772" s="71"/>
      <c r="CE772" s="71"/>
      <c r="CF772" s="71">
        <f t="shared" si="327"/>
        <v>0</v>
      </c>
      <c r="CH772" s="71"/>
      <c r="CI772" s="71"/>
      <c r="CJ772" s="138">
        <f t="shared" si="328"/>
        <v>0</v>
      </c>
      <c r="CL772" s="71"/>
      <c r="CM772" s="71"/>
      <c r="CN772" s="71">
        <f t="shared" si="329"/>
        <v>0</v>
      </c>
      <c r="CS772" s="102">
        <f t="shared" si="330"/>
        <v>4.5293954747099576</v>
      </c>
      <c r="CT772" s="102">
        <f t="shared" si="331"/>
        <v>18.675175962423801</v>
      </c>
      <c r="CZ772" s="109" t="str">
        <f t="shared" si="332"/>
        <v>Basso</v>
      </c>
    </row>
    <row r="773" spans="9:104" x14ac:dyDescent="0.15">
      <c r="I773" s="64">
        <f t="shared" si="310"/>
        <v>76.99972307006928</v>
      </c>
      <c r="M773" s="64">
        <f t="shared" si="311"/>
        <v>0</v>
      </c>
      <c r="Q773" s="64">
        <f t="shared" si="312"/>
        <v>0</v>
      </c>
      <c r="U773" s="64">
        <f t="shared" si="313"/>
        <v>0</v>
      </c>
      <c r="Y773" s="114">
        <f t="shared" si="314"/>
        <v>0</v>
      </c>
      <c r="AC773" s="64">
        <f t="shared" si="315"/>
        <v>0</v>
      </c>
      <c r="AE773" s="71"/>
      <c r="AF773" s="71"/>
      <c r="AG773" s="71">
        <f t="shared" si="316"/>
        <v>0</v>
      </c>
      <c r="AK773" s="64">
        <f t="shared" si="317"/>
        <v>0</v>
      </c>
      <c r="AM773" s="71"/>
      <c r="AN773" s="71"/>
      <c r="AO773" s="71">
        <f t="shared" si="318"/>
        <v>0</v>
      </c>
      <c r="AQ773" s="71"/>
      <c r="AR773" s="71"/>
      <c r="AS773" s="71">
        <f t="shared" si="319"/>
        <v>0</v>
      </c>
      <c r="AU773" s="71"/>
      <c r="AV773" s="71"/>
      <c r="AW773" s="71">
        <f t="shared" si="320"/>
        <v>0</v>
      </c>
      <c r="AY773" s="71"/>
      <c r="AZ773" s="71"/>
      <c r="BA773" s="71">
        <f t="shared" si="321"/>
        <v>0</v>
      </c>
      <c r="BI773" s="71"/>
      <c r="BJ773" s="71"/>
      <c r="BK773" s="71">
        <f t="shared" si="322"/>
        <v>0</v>
      </c>
      <c r="BM773" s="71"/>
      <c r="BN773" s="71"/>
      <c r="BO773" s="71">
        <f t="shared" si="323"/>
        <v>0</v>
      </c>
      <c r="BQ773" s="71"/>
      <c r="BR773" s="71"/>
      <c r="BS773" s="138">
        <f t="shared" si="324"/>
        <v>0</v>
      </c>
      <c r="BU773" s="71"/>
      <c r="BV773" s="71"/>
      <c r="BW773" s="71">
        <f t="shared" si="325"/>
        <v>0</v>
      </c>
      <c r="BZ773" s="71"/>
      <c r="CA773" s="71"/>
      <c r="CB773" s="71">
        <f t="shared" si="326"/>
        <v>0</v>
      </c>
      <c r="CD773" s="71"/>
      <c r="CE773" s="71"/>
      <c r="CF773" s="71">
        <f t="shared" si="327"/>
        <v>0</v>
      </c>
      <c r="CH773" s="71"/>
      <c r="CI773" s="71"/>
      <c r="CJ773" s="138">
        <f t="shared" si="328"/>
        <v>0</v>
      </c>
      <c r="CL773" s="71"/>
      <c r="CM773" s="71"/>
      <c r="CN773" s="71">
        <f t="shared" si="329"/>
        <v>0</v>
      </c>
      <c r="CS773" s="102">
        <f t="shared" si="330"/>
        <v>4.5293954747099576</v>
      </c>
      <c r="CT773" s="102">
        <f t="shared" si="331"/>
        <v>18.675175962423801</v>
      </c>
      <c r="CZ773" s="109" t="str">
        <f t="shared" si="332"/>
        <v>Basso</v>
      </c>
    </row>
    <row r="774" spans="9:104" x14ac:dyDescent="0.15">
      <c r="I774" s="64">
        <f t="shared" si="310"/>
        <v>76.99972307006928</v>
      </c>
      <c r="M774" s="64">
        <f t="shared" si="311"/>
        <v>0</v>
      </c>
      <c r="Q774" s="64">
        <f t="shared" si="312"/>
        <v>0</v>
      </c>
      <c r="U774" s="64">
        <f t="shared" si="313"/>
        <v>0</v>
      </c>
      <c r="Y774" s="114">
        <f t="shared" si="314"/>
        <v>0</v>
      </c>
      <c r="AC774" s="64">
        <f t="shared" si="315"/>
        <v>0</v>
      </c>
      <c r="AE774" s="71"/>
      <c r="AF774" s="71"/>
      <c r="AG774" s="71">
        <f t="shared" si="316"/>
        <v>0</v>
      </c>
      <c r="AK774" s="64">
        <f t="shared" si="317"/>
        <v>0</v>
      </c>
      <c r="AM774" s="71"/>
      <c r="AN774" s="71"/>
      <c r="AO774" s="71">
        <f t="shared" si="318"/>
        <v>0</v>
      </c>
      <c r="AQ774" s="71"/>
      <c r="AR774" s="71"/>
      <c r="AS774" s="71">
        <f t="shared" si="319"/>
        <v>0</v>
      </c>
      <c r="AU774" s="71"/>
      <c r="AV774" s="71"/>
      <c r="AW774" s="71">
        <f t="shared" si="320"/>
        <v>0</v>
      </c>
      <c r="AY774" s="71"/>
      <c r="AZ774" s="71"/>
      <c r="BA774" s="71">
        <f t="shared" si="321"/>
        <v>0</v>
      </c>
      <c r="BI774" s="71"/>
      <c r="BJ774" s="71"/>
      <c r="BK774" s="71">
        <f t="shared" si="322"/>
        <v>0</v>
      </c>
      <c r="BM774" s="71"/>
      <c r="BN774" s="71"/>
      <c r="BO774" s="71">
        <f t="shared" si="323"/>
        <v>0</v>
      </c>
      <c r="BQ774" s="71"/>
      <c r="BR774" s="71"/>
      <c r="BS774" s="138">
        <f t="shared" si="324"/>
        <v>0</v>
      </c>
      <c r="BU774" s="71"/>
      <c r="BV774" s="71"/>
      <c r="BW774" s="71">
        <f t="shared" si="325"/>
        <v>0</v>
      </c>
      <c r="BZ774" s="71"/>
      <c r="CA774" s="71"/>
      <c r="CB774" s="71">
        <f t="shared" si="326"/>
        <v>0</v>
      </c>
      <c r="CD774" s="71"/>
      <c r="CE774" s="71"/>
      <c r="CF774" s="71">
        <f t="shared" si="327"/>
        <v>0</v>
      </c>
      <c r="CH774" s="71"/>
      <c r="CI774" s="71"/>
      <c r="CJ774" s="138">
        <f t="shared" si="328"/>
        <v>0</v>
      </c>
      <c r="CL774" s="71"/>
      <c r="CM774" s="71"/>
      <c r="CN774" s="71">
        <f t="shared" si="329"/>
        <v>0</v>
      </c>
      <c r="CS774" s="102">
        <f t="shared" si="330"/>
        <v>4.5293954747099576</v>
      </c>
      <c r="CT774" s="102">
        <f t="shared" si="331"/>
        <v>18.675175962423801</v>
      </c>
      <c r="CZ774" s="109" t="str">
        <f t="shared" si="332"/>
        <v>Basso</v>
      </c>
    </row>
    <row r="775" spans="9:104" x14ac:dyDescent="0.15">
      <c r="I775" s="64">
        <f t="shared" si="310"/>
        <v>76.99972307006928</v>
      </c>
      <c r="M775" s="64">
        <f t="shared" si="311"/>
        <v>0</v>
      </c>
      <c r="Q775" s="64">
        <f t="shared" si="312"/>
        <v>0</v>
      </c>
      <c r="U775" s="64">
        <f t="shared" si="313"/>
        <v>0</v>
      </c>
      <c r="Y775" s="114">
        <f t="shared" si="314"/>
        <v>0</v>
      </c>
      <c r="AC775" s="64">
        <f t="shared" si="315"/>
        <v>0</v>
      </c>
      <c r="AE775" s="71"/>
      <c r="AF775" s="71"/>
      <c r="AG775" s="71">
        <f t="shared" si="316"/>
        <v>0</v>
      </c>
      <c r="AK775" s="64">
        <f t="shared" si="317"/>
        <v>0</v>
      </c>
      <c r="AM775" s="71"/>
      <c r="AN775" s="71"/>
      <c r="AO775" s="71">
        <f t="shared" si="318"/>
        <v>0</v>
      </c>
      <c r="AQ775" s="71"/>
      <c r="AR775" s="71"/>
      <c r="AS775" s="71">
        <f t="shared" si="319"/>
        <v>0</v>
      </c>
      <c r="AU775" s="71"/>
      <c r="AV775" s="71"/>
      <c r="AW775" s="71">
        <f t="shared" si="320"/>
        <v>0</v>
      </c>
      <c r="AY775" s="71"/>
      <c r="AZ775" s="71"/>
      <c r="BA775" s="71">
        <f t="shared" si="321"/>
        <v>0</v>
      </c>
      <c r="BI775" s="71"/>
      <c r="BJ775" s="71"/>
      <c r="BK775" s="71">
        <f t="shared" si="322"/>
        <v>0</v>
      </c>
      <c r="BM775" s="71"/>
      <c r="BN775" s="71"/>
      <c r="BO775" s="71">
        <f t="shared" si="323"/>
        <v>0</v>
      </c>
      <c r="BQ775" s="71"/>
      <c r="BR775" s="71"/>
      <c r="BS775" s="138">
        <f t="shared" si="324"/>
        <v>0</v>
      </c>
      <c r="BU775" s="71"/>
      <c r="BV775" s="71"/>
      <c r="BW775" s="71">
        <f t="shared" si="325"/>
        <v>0</v>
      </c>
      <c r="BZ775" s="71"/>
      <c r="CA775" s="71"/>
      <c r="CB775" s="71">
        <f t="shared" si="326"/>
        <v>0</v>
      </c>
      <c r="CD775" s="71"/>
      <c r="CE775" s="71"/>
      <c r="CF775" s="71">
        <f t="shared" si="327"/>
        <v>0</v>
      </c>
      <c r="CH775" s="71"/>
      <c r="CI775" s="71"/>
      <c r="CJ775" s="138">
        <f t="shared" si="328"/>
        <v>0</v>
      </c>
      <c r="CL775" s="71"/>
      <c r="CM775" s="71"/>
      <c r="CN775" s="71">
        <f t="shared" si="329"/>
        <v>0</v>
      </c>
      <c r="CS775" s="102">
        <f t="shared" si="330"/>
        <v>4.5293954747099576</v>
      </c>
      <c r="CT775" s="102">
        <f t="shared" si="331"/>
        <v>18.675175962423801</v>
      </c>
      <c r="CZ775" s="109" t="str">
        <f t="shared" si="332"/>
        <v>Basso</v>
      </c>
    </row>
    <row r="776" spans="9:104" x14ac:dyDescent="0.15">
      <c r="I776" s="64">
        <f t="shared" si="310"/>
        <v>76.99972307006928</v>
      </c>
      <c r="M776" s="64">
        <f t="shared" si="311"/>
        <v>0</v>
      </c>
      <c r="Q776" s="64">
        <f t="shared" si="312"/>
        <v>0</v>
      </c>
      <c r="U776" s="64">
        <f t="shared" si="313"/>
        <v>0</v>
      </c>
      <c r="Y776" s="114">
        <f t="shared" si="314"/>
        <v>0</v>
      </c>
      <c r="AC776" s="64">
        <f t="shared" si="315"/>
        <v>0</v>
      </c>
      <c r="AE776" s="71"/>
      <c r="AF776" s="71"/>
      <c r="AG776" s="71">
        <f t="shared" si="316"/>
        <v>0</v>
      </c>
      <c r="AK776" s="64">
        <f t="shared" si="317"/>
        <v>0</v>
      </c>
      <c r="AM776" s="71"/>
      <c r="AN776" s="71"/>
      <c r="AO776" s="71">
        <f t="shared" si="318"/>
        <v>0</v>
      </c>
      <c r="AQ776" s="71"/>
      <c r="AR776" s="71"/>
      <c r="AS776" s="71">
        <f t="shared" si="319"/>
        <v>0</v>
      </c>
      <c r="AU776" s="71"/>
      <c r="AV776" s="71"/>
      <c r="AW776" s="71">
        <f t="shared" si="320"/>
        <v>0</v>
      </c>
      <c r="AY776" s="71"/>
      <c r="AZ776" s="71"/>
      <c r="BA776" s="71">
        <f t="shared" si="321"/>
        <v>0</v>
      </c>
      <c r="BI776" s="71"/>
      <c r="BJ776" s="71"/>
      <c r="BK776" s="71">
        <f t="shared" si="322"/>
        <v>0</v>
      </c>
      <c r="BM776" s="71"/>
      <c r="BN776" s="71"/>
      <c r="BO776" s="71">
        <f t="shared" si="323"/>
        <v>0</v>
      </c>
      <c r="BQ776" s="71"/>
      <c r="BR776" s="71"/>
      <c r="BS776" s="138">
        <f t="shared" si="324"/>
        <v>0</v>
      </c>
      <c r="BU776" s="71"/>
      <c r="BV776" s="71"/>
      <c r="BW776" s="71">
        <f t="shared" si="325"/>
        <v>0</v>
      </c>
      <c r="BZ776" s="71"/>
      <c r="CA776" s="71"/>
      <c r="CB776" s="71">
        <f t="shared" si="326"/>
        <v>0</v>
      </c>
      <c r="CD776" s="71"/>
      <c r="CE776" s="71"/>
      <c r="CF776" s="71">
        <f t="shared" si="327"/>
        <v>0</v>
      </c>
      <c r="CH776" s="71"/>
      <c r="CI776" s="71"/>
      <c r="CJ776" s="138">
        <f t="shared" si="328"/>
        <v>0</v>
      </c>
      <c r="CL776" s="71"/>
      <c r="CM776" s="71"/>
      <c r="CN776" s="71">
        <f t="shared" si="329"/>
        <v>0</v>
      </c>
      <c r="CS776" s="102">
        <f t="shared" si="330"/>
        <v>4.5293954747099576</v>
      </c>
      <c r="CT776" s="102">
        <f t="shared" si="331"/>
        <v>18.675175962423801</v>
      </c>
      <c r="CZ776" s="109" t="str">
        <f t="shared" si="332"/>
        <v>Basso</v>
      </c>
    </row>
    <row r="777" spans="9:104" x14ac:dyDescent="0.15">
      <c r="I777" s="64">
        <f t="shared" si="310"/>
        <v>76.99972307006928</v>
      </c>
      <c r="M777" s="64">
        <f t="shared" si="311"/>
        <v>0</v>
      </c>
      <c r="Q777" s="64">
        <f t="shared" si="312"/>
        <v>0</v>
      </c>
      <c r="U777" s="64">
        <f t="shared" si="313"/>
        <v>0</v>
      </c>
      <c r="Y777" s="114">
        <f t="shared" si="314"/>
        <v>0</v>
      </c>
      <c r="AC777" s="64">
        <f t="shared" si="315"/>
        <v>0</v>
      </c>
      <c r="AE777" s="71"/>
      <c r="AF777" s="71"/>
      <c r="AG777" s="71">
        <f t="shared" si="316"/>
        <v>0</v>
      </c>
      <c r="AK777" s="64">
        <f t="shared" si="317"/>
        <v>0</v>
      </c>
      <c r="AM777" s="71"/>
      <c r="AN777" s="71"/>
      <c r="AO777" s="71">
        <f t="shared" si="318"/>
        <v>0</v>
      </c>
      <c r="AQ777" s="71"/>
      <c r="AR777" s="71"/>
      <c r="AS777" s="71">
        <f t="shared" si="319"/>
        <v>0</v>
      </c>
      <c r="AU777" s="71"/>
      <c r="AV777" s="71"/>
      <c r="AW777" s="71">
        <f t="shared" si="320"/>
        <v>0</v>
      </c>
      <c r="AY777" s="71"/>
      <c r="AZ777" s="71"/>
      <c r="BA777" s="71">
        <f t="shared" si="321"/>
        <v>0</v>
      </c>
      <c r="BI777" s="71"/>
      <c r="BJ777" s="71"/>
      <c r="BK777" s="71">
        <f t="shared" si="322"/>
        <v>0</v>
      </c>
      <c r="BM777" s="71"/>
      <c r="BN777" s="71"/>
      <c r="BO777" s="71">
        <f t="shared" si="323"/>
        <v>0</v>
      </c>
      <c r="BQ777" s="71"/>
      <c r="BR777" s="71"/>
      <c r="BS777" s="138">
        <f t="shared" si="324"/>
        <v>0</v>
      </c>
      <c r="BU777" s="71"/>
      <c r="BV777" s="71"/>
      <c r="BW777" s="71">
        <f t="shared" si="325"/>
        <v>0</v>
      </c>
      <c r="BZ777" s="71"/>
      <c r="CA777" s="71"/>
      <c r="CB777" s="71">
        <f t="shared" si="326"/>
        <v>0</v>
      </c>
      <c r="CD777" s="71"/>
      <c r="CE777" s="71"/>
      <c r="CF777" s="71">
        <f t="shared" si="327"/>
        <v>0</v>
      </c>
      <c r="CH777" s="71"/>
      <c r="CI777" s="71"/>
      <c r="CJ777" s="138">
        <f t="shared" si="328"/>
        <v>0</v>
      </c>
      <c r="CL777" s="71"/>
      <c r="CM777" s="71"/>
      <c r="CN777" s="71">
        <f t="shared" si="329"/>
        <v>0</v>
      </c>
      <c r="CS777" s="102">
        <f t="shared" si="330"/>
        <v>4.5293954747099576</v>
      </c>
      <c r="CT777" s="102">
        <f t="shared" si="331"/>
        <v>18.675175962423801</v>
      </c>
      <c r="CZ777" s="109" t="str">
        <f t="shared" si="332"/>
        <v>Basso</v>
      </c>
    </row>
    <row r="778" spans="9:104" x14ac:dyDescent="0.15">
      <c r="I778" s="64">
        <f t="shared" si="310"/>
        <v>76.99972307006928</v>
      </c>
      <c r="M778" s="64">
        <f t="shared" si="311"/>
        <v>0</v>
      </c>
      <c r="Q778" s="64">
        <f t="shared" si="312"/>
        <v>0</v>
      </c>
      <c r="U778" s="64">
        <f t="shared" si="313"/>
        <v>0</v>
      </c>
      <c r="Y778" s="114">
        <f t="shared" si="314"/>
        <v>0</v>
      </c>
      <c r="AC778" s="64">
        <f t="shared" si="315"/>
        <v>0</v>
      </c>
      <c r="AE778" s="71"/>
      <c r="AF778" s="71"/>
      <c r="AG778" s="71">
        <f t="shared" si="316"/>
        <v>0</v>
      </c>
      <c r="AK778" s="64">
        <f t="shared" si="317"/>
        <v>0</v>
      </c>
      <c r="AM778" s="71"/>
      <c r="AN778" s="71"/>
      <c r="AO778" s="71">
        <f t="shared" si="318"/>
        <v>0</v>
      </c>
      <c r="AQ778" s="71"/>
      <c r="AR778" s="71"/>
      <c r="AS778" s="71">
        <f t="shared" si="319"/>
        <v>0</v>
      </c>
      <c r="AU778" s="71"/>
      <c r="AV778" s="71"/>
      <c r="AW778" s="71">
        <f t="shared" si="320"/>
        <v>0</v>
      </c>
      <c r="AY778" s="71"/>
      <c r="AZ778" s="71"/>
      <c r="BA778" s="71">
        <f t="shared" si="321"/>
        <v>0</v>
      </c>
      <c r="BI778" s="71"/>
      <c r="BJ778" s="71"/>
      <c r="BK778" s="71">
        <f t="shared" si="322"/>
        <v>0</v>
      </c>
      <c r="BM778" s="71"/>
      <c r="BN778" s="71"/>
      <c r="BO778" s="71">
        <f t="shared" si="323"/>
        <v>0</v>
      </c>
      <c r="BQ778" s="71"/>
      <c r="BR778" s="71"/>
      <c r="BS778" s="138">
        <f t="shared" si="324"/>
        <v>0</v>
      </c>
      <c r="BU778" s="71"/>
      <c r="BV778" s="71"/>
      <c r="BW778" s="71">
        <f t="shared" si="325"/>
        <v>0</v>
      </c>
      <c r="BZ778" s="71"/>
      <c r="CA778" s="71"/>
      <c r="CB778" s="71">
        <f t="shared" si="326"/>
        <v>0</v>
      </c>
      <c r="CD778" s="71"/>
      <c r="CE778" s="71"/>
      <c r="CF778" s="71">
        <f t="shared" si="327"/>
        <v>0</v>
      </c>
      <c r="CH778" s="71"/>
      <c r="CI778" s="71"/>
      <c r="CJ778" s="138">
        <f t="shared" si="328"/>
        <v>0</v>
      </c>
      <c r="CL778" s="71"/>
      <c r="CM778" s="71"/>
      <c r="CN778" s="71">
        <f t="shared" si="329"/>
        <v>0</v>
      </c>
      <c r="CS778" s="102">
        <f t="shared" si="330"/>
        <v>4.5293954747099576</v>
      </c>
      <c r="CT778" s="102">
        <f t="shared" si="331"/>
        <v>18.675175962423801</v>
      </c>
      <c r="CZ778" s="109" t="str">
        <f t="shared" si="332"/>
        <v>Basso</v>
      </c>
    </row>
    <row r="779" spans="9:104" x14ac:dyDescent="0.15">
      <c r="I779" s="64">
        <f t="shared" si="310"/>
        <v>76.99972307006928</v>
      </c>
      <c r="M779" s="64">
        <f t="shared" si="311"/>
        <v>0</v>
      </c>
      <c r="Q779" s="64">
        <f t="shared" si="312"/>
        <v>0</v>
      </c>
      <c r="U779" s="64">
        <f t="shared" si="313"/>
        <v>0</v>
      </c>
      <c r="Y779" s="114">
        <f t="shared" si="314"/>
        <v>0</v>
      </c>
      <c r="AC779" s="64">
        <f t="shared" si="315"/>
        <v>0</v>
      </c>
      <c r="AE779" s="71"/>
      <c r="AF779" s="71"/>
      <c r="AG779" s="71">
        <f t="shared" si="316"/>
        <v>0</v>
      </c>
      <c r="AK779" s="64">
        <f t="shared" si="317"/>
        <v>0</v>
      </c>
      <c r="AM779" s="71"/>
      <c r="AN779" s="71"/>
      <c r="AO779" s="71">
        <f t="shared" si="318"/>
        <v>0</v>
      </c>
      <c r="AQ779" s="71"/>
      <c r="AR779" s="71"/>
      <c r="AS779" s="71">
        <f t="shared" si="319"/>
        <v>0</v>
      </c>
      <c r="AU779" s="71"/>
      <c r="AV779" s="71"/>
      <c r="AW779" s="71">
        <f t="shared" si="320"/>
        <v>0</v>
      </c>
      <c r="AY779" s="71"/>
      <c r="AZ779" s="71"/>
      <c r="BA779" s="71">
        <f t="shared" si="321"/>
        <v>0</v>
      </c>
      <c r="BI779" s="71"/>
      <c r="BJ779" s="71"/>
      <c r="BK779" s="71">
        <f t="shared" si="322"/>
        <v>0</v>
      </c>
      <c r="BM779" s="71"/>
      <c r="BN779" s="71"/>
      <c r="BO779" s="71">
        <f t="shared" si="323"/>
        <v>0</v>
      </c>
      <c r="BQ779" s="71"/>
      <c r="BR779" s="71"/>
      <c r="BS779" s="138">
        <f t="shared" si="324"/>
        <v>0</v>
      </c>
      <c r="BU779" s="71"/>
      <c r="BV779" s="71"/>
      <c r="BW779" s="71">
        <f t="shared" si="325"/>
        <v>0</v>
      </c>
      <c r="BZ779" s="71"/>
      <c r="CA779" s="71"/>
      <c r="CB779" s="71">
        <f t="shared" si="326"/>
        <v>0</v>
      </c>
      <c r="CD779" s="71"/>
      <c r="CE779" s="71"/>
      <c r="CF779" s="71">
        <f t="shared" si="327"/>
        <v>0</v>
      </c>
      <c r="CH779" s="71"/>
      <c r="CI779" s="71"/>
      <c r="CJ779" s="138">
        <f t="shared" si="328"/>
        <v>0</v>
      </c>
      <c r="CL779" s="71"/>
      <c r="CM779" s="71"/>
      <c r="CN779" s="71">
        <f t="shared" si="329"/>
        <v>0</v>
      </c>
      <c r="CS779" s="102">
        <f t="shared" si="330"/>
        <v>4.5293954747099576</v>
      </c>
      <c r="CT779" s="102">
        <f t="shared" si="331"/>
        <v>18.675175962423801</v>
      </c>
      <c r="CZ779" s="109" t="str">
        <f t="shared" si="332"/>
        <v>Basso</v>
      </c>
    </row>
    <row r="780" spans="9:104" x14ac:dyDescent="0.15">
      <c r="I780" s="64">
        <f t="shared" si="310"/>
        <v>76.99972307006928</v>
      </c>
      <c r="M780" s="64">
        <f t="shared" si="311"/>
        <v>0</v>
      </c>
      <c r="Q780" s="64">
        <f t="shared" si="312"/>
        <v>0</v>
      </c>
      <c r="U780" s="64">
        <f t="shared" si="313"/>
        <v>0</v>
      </c>
      <c r="Y780" s="114">
        <f t="shared" si="314"/>
        <v>0</v>
      </c>
      <c r="AC780" s="64">
        <f t="shared" si="315"/>
        <v>0</v>
      </c>
      <c r="AE780" s="71"/>
      <c r="AF780" s="71"/>
      <c r="AG780" s="71">
        <f t="shared" si="316"/>
        <v>0</v>
      </c>
      <c r="AK780" s="64">
        <f t="shared" si="317"/>
        <v>0</v>
      </c>
      <c r="AM780" s="71"/>
      <c r="AN780" s="71"/>
      <c r="AO780" s="71">
        <f t="shared" si="318"/>
        <v>0</v>
      </c>
      <c r="AQ780" s="71"/>
      <c r="AR780" s="71"/>
      <c r="AS780" s="71">
        <f t="shared" si="319"/>
        <v>0</v>
      </c>
      <c r="AU780" s="71"/>
      <c r="AV780" s="71"/>
      <c r="AW780" s="71">
        <f t="shared" si="320"/>
        <v>0</v>
      </c>
      <c r="AY780" s="71"/>
      <c r="AZ780" s="71"/>
      <c r="BA780" s="71">
        <f t="shared" si="321"/>
        <v>0</v>
      </c>
      <c r="BI780" s="71"/>
      <c r="BJ780" s="71"/>
      <c r="BK780" s="71">
        <f t="shared" si="322"/>
        <v>0</v>
      </c>
      <c r="BM780" s="71"/>
      <c r="BN780" s="71"/>
      <c r="BO780" s="71">
        <f t="shared" si="323"/>
        <v>0</v>
      </c>
      <c r="BQ780" s="71"/>
      <c r="BR780" s="71"/>
      <c r="BS780" s="138">
        <f t="shared" si="324"/>
        <v>0</v>
      </c>
      <c r="BU780" s="71"/>
      <c r="BV780" s="71"/>
      <c r="BW780" s="71">
        <f t="shared" si="325"/>
        <v>0</v>
      </c>
      <c r="BZ780" s="71"/>
      <c r="CA780" s="71"/>
      <c r="CB780" s="71">
        <f t="shared" si="326"/>
        <v>0</v>
      </c>
      <c r="CD780" s="71"/>
      <c r="CE780" s="71"/>
      <c r="CF780" s="71">
        <f t="shared" si="327"/>
        <v>0</v>
      </c>
      <c r="CH780" s="71"/>
      <c r="CI780" s="71"/>
      <c r="CJ780" s="138">
        <f t="shared" si="328"/>
        <v>0</v>
      </c>
      <c r="CL780" s="71"/>
      <c r="CM780" s="71"/>
      <c r="CN780" s="71">
        <f t="shared" si="329"/>
        <v>0</v>
      </c>
      <c r="CS780" s="102">
        <f t="shared" si="330"/>
        <v>4.5293954747099576</v>
      </c>
      <c r="CT780" s="102">
        <f t="shared" si="331"/>
        <v>18.675175962423801</v>
      </c>
      <c r="CZ780" s="109" t="str">
        <f t="shared" si="332"/>
        <v>Basso</v>
      </c>
    </row>
    <row r="781" spans="9:104" x14ac:dyDescent="0.15">
      <c r="I781" s="64">
        <f t="shared" si="310"/>
        <v>76.99972307006928</v>
      </c>
      <c r="M781" s="64">
        <f t="shared" si="311"/>
        <v>0</v>
      </c>
      <c r="Q781" s="64">
        <f t="shared" si="312"/>
        <v>0</v>
      </c>
      <c r="U781" s="64">
        <f t="shared" si="313"/>
        <v>0</v>
      </c>
      <c r="Y781" s="114">
        <f t="shared" si="314"/>
        <v>0</v>
      </c>
      <c r="AC781" s="64">
        <f t="shared" si="315"/>
        <v>0</v>
      </c>
      <c r="AE781" s="71"/>
      <c r="AF781" s="71"/>
      <c r="AG781" s="71">
        <f t="shared" si="316"/>
        <v>0</v>
      </c>
      <c r="AK781" s="64">
        <f t="shared" si="317"/>
        <v>0</v>
      </c>
      <c r="AM781" s="71"/>
      <c r="AN781" s="71"/>
      <c r="AO781" s="71">
        <f t="shared" si="318"/>
        <v>0</v>
      </c>
      <c r="AQ781" s="71"/>
      <c r="AR781" s="71"/>
      <c r="AS781" s="71">
        <f t="shared" si="319"/>
        <v>0</v>
      </c>
      <c r="AU781" s="71"/>
      <c r="AV781" s="71"/>
      <c r="AW781" s="71">
        <f t="shared" si="320"/>
        <v>0</v>
      </c>
      <c r="AY781" s="71"/>
      <c r="AZ781" s="71"/>
      <c r="BA781" s="71">
        <f t="shared" si="321"/>
        <v>0</v>
      </c>
      <c r="BI781" s="71"/>
      <c r="BJ781" s="71"/>
      <c r="BK781" s="71">
        <f t="shared" si="322"/>
        <v>0</v>
      </c>
      <c r="BM781" s="71"/>
      <c r="BN781" s="71"/>
      <c r="BO781" s="71">
        <f t="shared" si="323"/>
        <v>0</v>
      </c>
      <c r="BQ781" s="71"/>
      <c r="BR781" s="71"/>
      <c r="BS781" s="138">
        <f t="shared" si="324"/>
        <v>0</v>
      </c>
      <c r="BU781" s="71"/>
      <c r="BV781" s="71"/>
      <c r="BW781" s="71">
        <f t="shared" si="325"/>
        <v>0</v>
      </c>
      <c r="BZ781" s="71"/>
      <c r="CA781" s="71"/>
      <c r="CB781" s="71">
        <f t="shared" si="326"/>
        <v>0</v>
      </c>
      <c r="CD781" s="71"/>
      <c r="CE781" s="71"/>
      <c r="CF781" s="71">
        <f t="shared" si="327"/>
        <v>0</v>
      </c>
      <c r="CH781" s="71"/>
      <c r="CI781" s="71"/>
      <c r="CJ781" s="138">
        <f t="shared" si="328"/>
        <v>0</v>
      </c>
      <c r="CL781" s="71"/>
      <c r="CM781" s="71"/>
      <c r="CN781" s="71">
        <f t="shared" si="329"/>
        <v>0</v>
      </c>
      <c r="CS781" s="102">
        <f t="shared" si="330"/>
        <v>4.5293954747099576</v>
      </c>
      <c r="CT781" s="102">
        <f t="shared" si="331"/>
        <v>18.675175962423801</v>
      </c>
      <c r="CZ781" s="109" t="str">
        <f t="shared" si="332"/>
        <v>Basso</v>
      </c>
    </row>
    <row r="782" spans="9:104" x14ac:dyDescent="0.15">
      <c r="I782" s="64">
        <f t="shared" si="310"/>
        <v>76.99972307006928</v>
      </c>
      <c r="M782" s="64">
        <f t="shared" si="311"/>
        <v>0</v>
      </c>
      <c r="Q782" s="64">
        <f t="shared" si="312"/>
        <v>0</v>
      </c>
      <c r="U782" s="64">
        <f t="shared" si="313"/>
        <v>0</v>
      </c>
      <c r="Y782" s="114">
        <f t="shared" si="314"/>
        <v>0</v>
      </c>
      <c r="AC782" s="64">
        <f t="shared" si="315"/>
        <v>0</v>
      </c>
      <c r="AE782" s="71"/>
      <c r="AF782" s="71"/>
      <c r="AG782" s="71">
        <f t="shared" si="316"/>
        <v>0</v>
      </c>
      <c r="AK782" s="64">
        <f t="shared" si="317"/>
        <v>0</v>
      </c>
      <c r="AM782" s="71"/>
      <c r="AN782" s="71"/>
      <c r="AO782" s="71">
        <f t="shared" si="318"/>
        <v>0</v>
      </c>
      <c r="AQ782" s="71"/>
      <c r="AR782" s="71"/>
      <c r="AS782" s="71">
        <f t="shared" si="319"/>
        <v>0</v>
      </c>
      <c r="AU782" s="71"/>
      <c r="AV782" s="71"/>
      <c r="AW782" s="71">
        <f t="shared" si="320"/>
        <v>0</v>
      </c>
      <c r="AY782" s="71"/>
      <c r="AZ782" s="71"/>
      <c r="BA782" s="71">
        <f t="shared" si="321"/>
        <v>0</v>
      </c>
      <c r="BI782" s="71"/>
      <c r="BJ782" s="71"/>
      <c r="BK782" s="71">
        <f t="shared" si="322"/>
        <v>0</v>
      </c>
      <c r="BM782" s="71"/>
      <c r="BN782" s="71"/>
      <c r="BO782" s="71">
        <f t="shared" si="323"/>
        <v>0</v>
      </c>
      <c r="BQ782" s="71"/>
      <c r="BR782" s="71"/>
      <c r="BS782" s="138">
        <f t="shared" si="324"/>
        <v>0</v>
      </c>
      <c r="BU782" s="71"/>
      <c r="BV782" s="71"/>
      <c r="BW782" s="71">
        <f t="shared" si="325"/>
        <v>0</v>
      </c>
      <c r="BZ782" s="71"/>
      <c r="CA782" s="71"/>
      <c r="CB782" s="71">
        <f t="shared" si="326"/>
        <v>0</v>
      </c>
      <c r="CD782" s="71"/>
      <c r="CE782" s="71"/>
      <c r="CF782" s="71">
        <f t="shared" si="327"/>
        <v>0</v>
      </c>
      <c r="CH782" s="71"/>
      <c r="CI782" s="71"/>
      <c r="CJ782" s="138">
        <f t="shared" si="328"/>
        <v>0</v>
      </c>
      <c r="CL782" s="71"/>
      <c r="CM782" s="71"/>
      <c r="CN782" s="71">
        <f t="shared" si="329"/>
        <v>0</v>
      </c>
      <c r="CS782" s="102">
        <f t="shared" si="330"/>
        <v>4.5293954747099576</v>
      </c>
      <c r="CT782" s="102">
        <f t="shared" si="331"/>
        <v>18.675175962423801</v>
      </c>
      <c r="CZ782" s="109" t="str">
        <f t="shared" si="332"/>
        <v>Basso</v>
      </c>
    </row>
    <row r="783" spans="9:104" x14ac:dyDescent="0.15">
      <c r="I783" s="64">
        <f t="shared" si="310"/>
        <v>76.99972307006928</v>
      </c>
      <c r="M783" s="64">
        <f t="shared" si="311"/>
        <v>0</v>
      </c>
      <c r="Q783" s="64">
        <f t="shared" si="312"/>
        <v>0</v>
      </c>
      <c r="U783" s="64">
        <f t="shared" si="313"/>
        <v>0</v>
      </c>
      <c r="Y783" s="114">
        <f t="shared" si="314"/>
        <v>0</v>
      </c>
      <c r="AC783" s="64">
        <f t="shared" si="315"/>
        <v>0</v>
      </c>
      <c r="AE783" s="71"/>
      <c r="AF783" s="71"/>
      <c r="AG783" s="71">
        <f t="shared" si="316"/>
        <v>0</v>
      </c>
      <c r="AK783" s="64">
        <f t="shared" si="317"/>
        <v>0</v>
      </c>
      <c r="AM783" s="71"/>
      <c r="AN783" s="71"/>
      <c r="AO783" s="71">
        <f t="shared" si="318"/>
        <v>0</v>
      </c>
      <c r="AQ783" s="71"/>
      <c r="AR783" s="71"/>
      <c r="AS783" s="71">
        <f t="shared" si="319"/>
        <v>0</v>
      </c>
      <c r="AU783" s="71"/>
      <c r="AV783" s="71"/>
      <c r="AW783" s="71">
        <f t="shared" si="320"/>
        <v>0</v>
      </c>
      <c r="AY783" s="71"/>
      <c r="AZ783" s="71"/>
      <c r="BA783" s="71">
        <f t="shared" si="321"/>
        <v>0</v>
      </c>
      <c r="BI783" s="71"/>
      <c r="BJ783" s="71"/>
      <c r="BK783" s="71">
        <f t="shared" si="322"/>
        <v>0</v>
      </c>
      <c r="BM783" s="71"/>
      <c r="BN783" s="71"/>
      <c r="BO783" s="71">
        <f t="shared" si="323"/>
        <v>0</v>
      </c>
      <c r="BQ783" s="71"/>
      <c r="BR783" s="71"/>
      <c r="BS783" s="138">
        <f t="shared" si="324"/>
        <v>0</v>
      </c>
      <c r="BU783" s="71"/>
      <c r="BV783" s="71"/>
      <c r="BW783" s="71">
        <f t="shared" si="325"/>
        <v>0</v>
      </c>
      <c r="BZ783" s="71"/>
      <c r="CA783" s="71"/>
      <c r="CB783" s="71">
        <f t="shared" si="326"/>
        <v>0</v>
      </c>
      <c r="CD783" s="71"/>
      <c r="CE783" s="71"/>
      <c r="CF783" s="71">
        <f t="shared" si="327"/>
        <v>0</v>
      </c>
      <c r="CH783" s="71"/>
      <c r="CI783" s="71"/>
      <c r="CJ783" s="138">
        <f t="shared" si="328"/>
        <v>0</v>
      </c>
      <c r="CL783" s="71"/>
      <c r="CM783" s="71"/>
      <c r="CN783" s="71">
        <f t="shared" si="329"/>
        <v>0</v>
      </c>
      <c r="CS783" s="102">
        <f t="shared" si="330"/>
        <v>4.5293954747099576</v>
      </c>
      <c r="CT783" s="102">
        <f t="shared" si="331"/>
        <v>18.675175962423801</v>
      </c>
      <c r="CZ783" s="109" t="str">
        <f t="shared" si="332"/>
        <v>Basso</v>
      </c>
    </row>
    <row r="784" spans="9:104" x14ac:dyDescent="0.15">
      <c r="I784" s="64">
        <f t="shared" si="310"/>
        <v>76.99972307006928</v>
      </c>
      <c r="M784" s="64">
        <f t="shared" si="311"/>
        <v>0</v>
      </c>
      <c r="Q784" s="64">
        <f t="shared" si="312"/>
        <v>0</v>
      </c>
      <c r="U784" s="64">
        <f t="shared" si="313"/>
        <v>0</v>
      </c>
      <c r="Y784" s="114">
        <f t="shared" si="314"/>
        <v>0</v>
      </c>
      <c r="AC784" s="64">
        <f t="shared" si="315"/>
        <v>0</v>
      </c>
      <c r="AE784" s="71"/>
      <c r="AF784" s="71"/>
      <c r="AG784" s="71">
        <f t="shared" si="316"/>
        <v>0</v>
      </c>
      <c r="AK784" s="64">
        <f t="shared" si="317"/>
        <v>0</v>
      </c>
      <c r="AM784" s="71"/>
      <c r="AN784" s="71"/>
      <c r="AO784" s="71">
        <f t="shared" si="318"/>
        <v>0</v>
      </c>
      <c r="AQ784" s="71"/>
      <c r="AR784" s="71"/>
      <c r="AS784" s="71">
        <f t="shared" si="319"/>
        <v>0</v>
      </c>
      <c r="AU784" s="71"/>
      <c r="AV784" s="71"/>
      <c r="AW784" s="71">
        <f t="shared" si="320"/>
        <v>0</v>
      </c>
      <c r="AY784" s="71"/>
      <c r="AZ784" s="71"/>
      <c r="BA784" s="71">
        <f t="shared" si="321"/>
        <v>0</v>
      </c>
      <c r="BI784" s="71"/>
      <c r="BJ784" s="71"/>
      <c r="BK784" s="71">
        <f t="shared" si="322"/>
        <v>0</v>
      </c>
      <c r="BM784" s="71"/>
      <c r="BN784" s="71"/>
      <c r="BO784" s="71">
        <f t="shared" si="323"/>
        <v>0</v>
      </c>
      <c r="BQ784" s="71"/>
      <c r="BR784" s="71"/>
      <c r="BS784" s="138">
        <f t="shared" si="324"/>
        <v>0</v>
      </c>
      <c r="BU784" s="71"/>
      <c r="BV784" s="71"/>
      <c r="BW784" s="71">
        <f t="shared" si="325"/>
        <v>0</v>
      </c>
      <c r="BZ784" s="71"/>
      <c r="CA784" s="71"/>
      <c r="CB784" s="71">
        <f t="shared" si="326"/>
        <v>0</v>
      </c>
      <c r="CD784" s="71"/>
      <c r="CE784" s="71"/>
      <c r="CF784" s="71">
        <f t="shared" si="327"/>
        <v>0</v>
      </c>
      <c r="CH784" s="71"/>
      <c r="CI784" s="71"/>
      <c r="CJ784" s="138">
        <f t="shared" si="328"/>
        <v>0</v>
      </c>
      <c r="CL784" s="71"/>
      <c r="CM784" s="71"/>
      <c r="CN784" s="71">
        <f t="shared" si="329"/>
        <v>0</v>
      </c>
      <c r="CS784" s="102">
        <f t="shared" si="330"/>
        <v>4.5293954747099576</v>
      </c>
      <c r="CT784" s="102">
        <f t="shared" si="331"/>
        <v>18.675175962423801</v>
      </c>
      <c r="CZ784" s="109" t="str">
        <f t="shared" si="332"/>
        <v>Basso</v>
      </c>
    </row>
    <row r="785" spans="9:104" x14ac:dyDescent="0.15">
      <c r="I785" s="64">
        <f t="shared" si="310"/>
        <v>76.99972307006928</v>
      </c>
      <c r="M785" s="64">
        <f t="shared" si="311"/>
        <v>0</v>
      </c>
      <c r="Q785" s="64">
        <f t="shared" si="312"/>
        <v>0</v>
      </c>
      <c r="U785" s="64">
        <f t="shared" si="313"/>
        <v>0</v>
      </c>
      <c r="Y785" s="114">
        <f t="shared" si="314"/>
        <v>0</v>
      </c>
      <c r="AC785" s="64">
        <f t="shared" si="315"/>
        <v>0</v>
      </c>
      <c r="AE785" s="71"/>
      <c r="AF785" s="71"/>
      <c r="AG785" s="71">
        <f t="shared" si="316"/>
        <v>0</v>
      </c>
      <c r="AK785" s="64">
        <f t="shared" si="317"/>
        <v>0</v>
      </c>
      <c r="AM785" s="71"/>
      <c r="AN785" s="71"/>
      <c r="AO785" s="71">
        <f t="shared" si="318"/>
        <v>0</v>
      </c>
      <c r="AQ785" s="71"/>
      <c r="AR785" s="71"/>
      <c r="AS785" s="71">
        <f t="shared" si="319"/>
        <v>0</v>
      </c>
      <c r="AU785" s="71"/>
      <c r="AV785" s="71"/>
      <c r="AW785" s="71">
        <f t="shared" si="320"/>
        <v>0</v>
      </c>
      <c r="AY785" s="71"/>
      <c r="AZ785" s="71"/>
      <c r="BA785" s="71">
        <f t="shared" si="321"/>
        <v>0</v>
      </c>
      <c r="BI785" s="71"/>
      <c r="BJ785" s="71"/>
      <c r="BK785" s="71">
        <f t="shared" si="322"/>
        <v>0</v>
      </c>
      <c r="BM785" s="71"/>
      <c r="BN785" s="71"/>
      <c r="BO785" s="71">
        <f t="shared" si="323"/>
        <v>0</v>
      </c>
      <c r="BQ785" s="71"/>
      <c r="BR785" s="71"/>
      <c r="BS785" s="138">
        <f t="shared" si="324"/>
        <v>0</v>
      </c>
      <c r="BU785" s="71"/>
      <c r="BV785" s="71"/>
      <c r="BW785" s="71">
        <f t="shared" si="325"/>
        <v>0</v>
      </c>
      <c r="BZ785" s="71"/>
      <c r="CA785" s="71"/>
      <c r="CB785" s="71">
        <f t="shared" si="326"/>
        <v>0</v>
      </c>
      <c r="CD785" s="71"/>
      <c r="CE785" s="71"/>
      <c r="CF785" s="71">
        <f t="shared" si="327"/>
        <v>0</v>
      </c>
      <c r="CH785" s="71"/>
      <c r="CI785" s="71"/>
      <c r="CJ785" s="138">
        <f t="shared" si="328"/>
        <v>0</v>
      </c>
      <c r="CL785" s="71"/>
      <c r="CM785" s="71"/>
      <c r="CN785" s="71">
        <f t="shared" si="329"/>
        <v>0</v>
      </c>
      <c r="CS785" s="102">
        <f t="shared" si="330"/>
        <v>4.5293954747099576</v>
      </c>
      <c r="CT785" s="102">
        <f t="shared" si="331"/>
        <v>18.675175962423801</v>
      </c>
      <c r="CZ785" s="109" t="str">
        <f t="shared" si="332"/>
        <v>Basso</v>
      </c>
    </row>
    <row r="786" spans="9:104" x14ac:dyDescent="0.15">
      <c r="I786" s="64">
        <f t="shared" si="310"/>
        <v>76.99972307006928</v>
      </c>
      <c r="M786" s="64">
        <f t="shared" si="311"/>
        <v>0</v>
      </c>
      <c r="Q786" s="64">
        <f t="shared" si="312"/>
        <v>0</v>
      </c>
      <c r="U786" s="64">
        <f t="shared" si="313"/>
        <v>0</v>
      </c>
      <c r="Y786" s="114">
        <f t="shared" si="314"/>
        <v>0</v>
      </c>
      <c r="AC786" s="64">
        <f t="shared" si="315"/>
        <v>0</v>
      </c>
      <c r="AE786" s="71"/>
      <c r="AF786" s="71"/>
      <c r="AG786" s="71">
        <f t="shared" si="316"/>
        <v>0</v>
      </c>
      <c r="AK786" s="64">
        <f t="shared" si="317"/>
        <v>0</v>
      </c>
      <c r="AM786" s="71"/>
      <c r="AN786" s="71"/>
      <c r="AO786" s="71">
        <f t="shared" si="318"/>
        <v>0</v>
      </c>
      <c r="AQ786" s="71"/>
      <c r="AR786" s="71"/>
      <c r="AS786" s="71">
        <f t="shared" si="319"/>
        <v>0</v>
      </c>
      <c r="AU786" s="71"/>
      <c r="AV786" s="71"/>
      <c r="AW786" s="71">
        <f t="shared" si="320"/>
        <v>0</v>
      </c>
      <c r="AY786" s="71"/>
      <c r="AZ786" s="71"/>
      <c r="BA786" s="71">
        <f t="shared" si="321"/>
        <v>0</v>
      </c>
      <c r="BI786" s="71"/>
      <c r="BJ786" s="71"/>
      <c r="BK786" s="71">
        <f t="shared" si="322"/>
        <v>0</v>
      </c>
      <c r="BM786" s="71"/>
      <c r="BN786" s="71"/>
      <c r="BO786" s="71">
        <f t="shared" si="323"/>
        <v>0</v>
      </c>
      <c r="BQ786" s="71"/>
      <c r="BR786" s="71"/>
      <c r="BS786" s="138">
        <f t="shared" si="324"/>
        <v>0</v>
      </c>
      <c r="BU786" s="71"/>
      <c r="BV786" s="71"/>
      <c r="BW786" s="71">
        <f t="shared" si="325"/>
        <v>0</v>
      </c>
      <c r="BZ786" s="71"/>
      <c r="CA786" s="71"/>
      <c r="CB786" s="71">
        <f t="shared" si="326"/>
        <v>0</v>
      </c>
      <c r="CD786" s="71"/>
      <c r="CE786" s="71"/>
      <c r="CF786" s="71">
        <f t="shared" si="327"/>
        <v>0</v>
      </c>
      <c r="CH786" s="71"/>
      <c r="CI786" s="71"/>
      <c r="CJ786" s="138">
        <f t="shared" si="328"/>
        <v>0</v>
      </c>
      <c r="CL786" s="71"/>
      <c r="CM786" s="71"/>
      <c r="CN786" s="71">
        <f t="shared" si="329"/>
        <v>0</v>
      </c>
      <c r="CS786" s="102">
        <f t="shared" si="330"/>
        <v>4.5293954747099576</v>
      </c>
      <c r="CT786" s="102">
        <f t="shared" si="331"/>
        <v>18.675175962423801</v>
      </c>
      <c r="CZ786" s="109" t="str">
        <f t="shared" si="332"/>
        <v>Basso</v>
      </c>
    </row>
    <row r="787" spans="9:104" x14ac:dyDescent="0.15">
      <c r="I787" s="64">
        <f t="shared" si="310"/>
        <v>76.99972307006928</v>
      </c>
      <c r="M787" s="64">
        <f t="shared" si="311"/>
        <v>0</v>
      </c>
      <c r="Q787" s="64">
        <f t="shared" si="312"/>
        <v>0</v>
      </c>
      <c r="U787" s="64">
        <f t="shared" si="313"/>
        <v>0</v>
      </c>
      <c r="Y787" s="114">
        <f t="shared" si="314"/>
        <v>0</v>
      </c>
      <c r="AC787" s="64">
        <f t="shared" si="315"/>
        <v>0</v>
      </c>
      <c r="AE787" s="71"/>
      <c r="AF787" s="71"/>
      <c r="AG787" s="71">
        <f t="shared" si="316"/>
        <v>0</v>
      </c>
      <c r="AK787" s="64">
        <f t="shared" si="317"/>
        <v>0</v>
      </c>
      <c r="AM787" s="71"/>
      <c r="AN787" s="71"/>
      <c r="AO787" s="71">
        <f t="shared" si="318"/>
        <v>0</v>
      </c>
      <c r="AQ787" s="71"/>
      <c r="AR787" s="71"/>
      <c r="AS787" s="71">
        <f t="shared" si="319"/>
        <v>0</v>
      </c>
      <c r="AU787" s="71"/>
      <c r="AV787" s="71"/>
      <c r="AW787" s="71">
        <f t="shared" si="320"/>
        <v>0</v>
      </c>
      <c r="AY787" s="71"/>
      <c r="AZ787" s="71"/>
      <c r="BA787" s="71">
        <f t="shared" si="321"/>
        <v>0</v>
      </c>
      <c r="BI787" s="71"/>
      <c r="BJ787" s="71"/>
      <c r="BK787" s="71">
        <f t="shared" si="322"/>
        <v>0</v>
      </c>
      <c r="BM787" s="71"/>
      <c r="BN787" s="71"/>
      <c r="BO787" s="71">
        <f t="shared" si="323"/>
        <v>0</v>
      </c>
      <c r="BQ787" s="71"/>
      <c r="BR787" s="71"/>
      <c r="BS787" s="138">
        <f t="shared" si="324"/>
        <v>0</v>
      </c>
      <c r="BU787" s="71"/>
      <c r="BV787" s="71"/>
      <c r="BW787" s="71">
        <f t="shared" si="325"/>
        <v>0</v>
      </c>
      <c r="BZ787" s="71"/>
      <c r="CA787" s="71"/>
      <c r="CB787" s="71">
        <f t="shared" si="326"/>
        <v>0</v>
      </c>
      <c r="CD787" s="71"/>
      <c r="CE787" s="71"/>
      <c r="CF787" s="71">
        <f t="shared" si="327"/>
        <v>0</v>
      </c>
      <c r="CH787" s="71"/>
      <c r="CI787" s="71"/>
      <c r="CJ787" s="138">
        <f t="shared" si="328"/>
        <v>0</v>
      </c>
      <c r="CL787" s="71"/>
      <c r="CM787" s="71"/>
      <c r="CN787" s="71">
        <f t="shared" si="329"/>
        <v>0</v>
      </c>
      <c r="CS787" s="102">
        <f t="shared" si="330"/>
        <v>4.5293954747099576</v>
      </c>
      <c r="CT787" s="102">
        <f t="shared" si="331"/>
        <v>18.675175962423801</v>
      </c>
      <c r="CZ787" s="109" t="str">
        <f t="shared" si="332"/>
        <v>Basso</v>
      </c>
    </row>
    <row r="788" spans="9:104" x14ac:dyDescent="0.15">
      <c r="I788" s="64">
        <f t="shared" si="310"/>
        <v>76.99972307006928</v>
      </c>
      <c r="M788" s="64">
        <f t="shared" si="311"/>
        <v>0</v>
      </c>
      <c r="Q788" s="64">
        <f t="shared" si="312"/>
        <v>0</v>
      </c>
      <c r="U788" s="64">
        <f t="shared" si="313"/>
        <v>0</v>
      </c>
      <c r="Y788" s="114">
        <f t="shared" si="314"/>
        <v>0</v>
      </c>
      <c r="AC788" s="64">
        <f t="shared" si="315"/>
        <v>0</v>
      </c>
      <c r="AE788" s="71"/>
      <c r="AF788" s="71"/>
      <c r="AG788" s="71">
        <f t="shared" si="316"/>
        <v>0</v>
      </c>
      <c r="AK788" s="64">
        <f t="shared" si="317"/>
        <v>0</v>
      </c>
      <c r="AM788" s="71"/>
      <c r="AN788" s="71"/>
      <c r="AO788" s="71">
        <f t="shared" si="318"/>
        <v>0</v>
      </c>
      <c r="AQ788" s="71"/>
      <c r="AR788" s="71"/>
      <c r="AS788" s="71">
        <f t="shared" si="319"/>
        <v>0</v>
      </c>
      <c r="AU788" s="71"/>
      <c r="AV788" s="71"/>
      <c r="AW788" s="71">
        <f t="shared" si="320"/>
        <v>0</v>
      </c>
      <c r="AY788" s="71"/>
      <c r="AZ788" s="71"/>
      <c r="BA788" s="71">
        <f t="shared" si="321"/>
        <v>0</v>
      </c>
      <c r="BI788" s="71"/>
      <c r="BJ788" s="71"/>
      <c r="BK788" s="71">
        <f t="shared" si="322"/>
        <v>0</v>
      </c>
      <c r="BM788" s="71"/>
      <c r="BN788" s="71"/>
      <c r="BO788" s="71">
        <f t="shared" si="323"/>
        <v>0</v>
      </c>
      <c r="BQ788" s="71"/>
      <c r="BR788" s="71"/>
      <c r="BS788" s="138">
        <f t="shared" si="324"/>
        <v>0</v>
      </c>
      <c r="BU788" s="71"/>
      <c r="BV788" s="71"/>
      <c r="BW788" s="71">
        <f t="shared" si="325"/>
        <v>0</v>
      </c>
      <c r="BZ788" s="71"/>
      <c r="CA788" s="71"/>
      <c r="CB788" s="71">
        <f t="shared" si="326"/>
        <v>0</v>
      </c>
      <c r="CD788" s="71"/>
      <c r="CE788" s="71"/>
      <c r="CF788" s="71">
        <f t="shared" si="327"/>
        <v>0</v>
      </c>
      <c r="CH788" s="71"/>
      <c r="CI788" s="71"/>
      <c r="CJ788" s="138">
        <f t="shared" si="328"/>
        <v>0</v>
      </c>
      <c r="CL788" s="71"/>
      <c r="CM788" s="71"/>
      <c r="CN788" s="71">
        <f t="shared" si="329"/>
        <v>0</v>
      </c>
      <c r="CS788" s="102">
        <f t="shared" si="330"/>
        <v>4.5293954747099576</v>
      </c>
      <c r="CT788" s="102">
        <f t="shared" si="331"/>
        <v>18.675175962423801</v>
      </c>
      <c r="CZ788" s="109" t="str">
        <f t="shared" si="332"/>
        <v>Basso</v>
      </c>
    </row>
    <row r="789" spans="9:104" x14ac:dyDescent="0.15">
      <c r="I789" s="64">
        <f t="shared" si="310"/>
        <v>76.99972307006928</v>
      </c>
      <c r="M789" s="64">
        <f t="shared" si="311"/>
        <v>0</v>
      </c>
      <c r="Q789" s="64">
        <f t="shared" si="312"/>
        <v>0</v>
      </c>
      <c r="U789" s="64">
        <f t="shared" si="313"/>
        <v>0</v>
      </c>
      <c r="Y789" s="114">
        <f t="shared" si="314"/>
        <v>0</v>
      </c>
      <c r="AC789" s="64">
        <f t="shared" si="315"/>
        <v>0</v>
      </c>
      <c r="AE789" s="71"/>
      <c r="AF789" s="71"/>
      <c r="AG789" s="71">
        <f t="shared" si="316"/>
        <v>0</v>
      </c>
      <c r="AK789" s="64">
        <f t="shared" si="317"/>
        <v>0</v>
      </c>
      <c r="AM789" s="71"/>
      <c r="AN789" s="71"/>
      <c r="AO789" s="71">
        <f t="shared" si="318"/>
        <v>0</v>
      </c>
      <c r="AQ789" s="71"/>
      <c r="AR789" s="71"/>
      <c r="AS789" s="71">
        <f t="shared" si="319"/>
        <v>0</v>
      </c>
      <c r="AU789" s="71"/>
      <c r="AV789" s="71"/>
      <c r="AW789" s="71">
        <f t="shared" si="320"/>
        <v>0</v>
      </c>
      <c r="AY789" s="71"/>
      <c r="AZ789" s="71"/>
      <c r="BA789" s="71">
        <f t="shared" si="321"/>
        <v>0</v>
      </c>
      <c r="BI789" s="71"/>
      <c r="BJ789" s="71"/>
      <c r="BK789" s="71">
        <f t="shared" si="322"/>
        <v>0</v>
      </c>
      <c r="BM789" s="71"/>
      <c r="BN789" s="71"/>
      <c r="BO789" s="71">
        <f t="shared" si="323"/>
        <v>0</v>
      </c>
      <c r="BQ789" s="71"/>
      <c r="BR789" s="71"/>
      <c r="BS789" s="138">
        <f t="shared" si="324"/>
        <v>0</v>
      </c>
      <c r="BU789" s="71"/>
      <c r="BV789" s="71"/>
      <c r="BW789" s="71">
        <f t="shared" si="325"/>
        <v>0</v>
      </c>
      <c r="BZ789" s="71"/>
      <c r="CA789" s="71"/>
      <c r="CB789" s="71">
        <f t="shared" si="326"/>
        <v>0</v>
      </c>
      <c r="CD789" s="71"/>
      <c r="CE789" s="71"/>
      <c r="CF789" s="71">
        <f t="shared" si="327"/>
        <v>0</v>
      </c>
      <c r="CH789" s="71"/>
      <c r="CI789" s="71"/>
      <c r="CJ789" s="138">
        <f t="shared" si="328"/>
        <v>0</v>
      </c>
      <c r="CL789" s="71"/>
      <c r="CM789" s="71"/>
      <c r="CN789" s="71">
        <f t="shared" si="329"/>
        <v>0</v>
      </c>
      <c r="CS789" s="102">
        <f t="shared" si="330"/>
        <v>4.5293954747099576</v>
      </c>
      <c r="CT789" s="102">
        <f t="shared" si="331"/>
        <v>18.675175962423801</v>
      </c>
      <c r="CZ789" s="109" t="str">
        <f t="shared" si="332"/>
        <v>Basso</v>
      </c>
    </row>
    <row r="790" spans="9:104" x14ac:dyDescent="0.15">
      <c r="I790" s="64">
        <f t="shared" si="310"/>
        <v>76.99972307006928</v>
      </c>
      <c r="M790" s="64">
        <f t="shared" si="311"/>
        <v>0</v>
      </c>
      <c r="Q790" s="64">
        <f t="shared" si="312"/>
        <v>0</v>
      </c>
      <c r="U790" s="64">
        <f t="shared" si="313"/>
        <v>0</v>
      </c>
      <c r="Y790" s="114">
        <f t="shared" si="314"/>
        <v>0</v>
      </c>
      <c r="AC790" s="64">
        <f t="shared" si="315"/>
        <v>0</v>
      </c>
      <c r="AE790" s="71"/>
      <c r="AF790" s="71"/>
      <c r="AG790" s="71">
        <f t="shared" si="316"/>
        <v>0</v>
      </c>
      <c r="AK790" s="64">
        <f t="shared" si="317"/>
        <v>0</v>
      </c>
      <c r="AM790" s="71"/>
      <c r="AN790" s="71"/>
      <c r="AO790" s="71">
        <f t="shared" si="318"/>
        <v>0</v>
      </c>
      <c r="AQ790" s="71"/>
      <c r="AR790" s="71"/>
      <c r="AS790" s="71">
        <f t="shared" si="319"/>
        <v>0</v>
      </c>
      <c r="AU790" s="71"/>
      <c r="AV790" s="71"/>
      <c r="AW790" s="71">
        <f t="shared" si="320"/>
        <v>0</v>
      </c>
      <c r="AY790" s="71"/>
      <c r="AZ790" s="71"/>
      <c r="BA790" s="71">
        <f t="shared" si="321"/>
        <v>0</v>
      </c>
      <c r="BI790" s="71"/>
      <c r="BJ790" s="71"/>
      <c r="BK790" s="71">
        <f t="shared" si="322"/>
        <v>0</v>
      </c>
      <c r="BM790" s="71"/>
      <c r="BN790" s="71"/>
      <c r="BO790" s="71">
        <f t="shared" si="323"/>
        <v>0</v>
      </c>
      <c r="BQ790" s="71"/>
      <c r="BR790" s="71"/>
      <c r="BS790" s="138">
        <f t="shared" si="324"/>
        <v>0</v>
      </c>
      <c r="BU790" s="71"/>
      <c r="BV790" s="71"/>
      <c r="BW790" s="71">
        <f t="shared" si="325"/>
        <v>0</v>
      </c>
      <c r="BZ790" s="71"/>
      <c r="CA790" s="71"/>
      <c r="CB790" s="71">
        <f t="shared" si="326"/>
        <v>0</v>
      </c>
      <c r="CD790" s="71"/>
      <c r="CE790" s="71"/>
      <c r="CF790" s="71">
        <f t="shared" si="327"/>
        <v>0</v>
      </c>
      <c r="CH790" s="71"/>
      <c r="CI790" s="71"/>
      <c r="CJ790" s="138">
        <f t="shared" si="328"/>
        <v>0</v>
      </c>
      <c r="CL790" s="71"/>
      <c r="CM790" s="71"/>
      <c r="CN790" s="71">
        <f t="shared" si="329"/>
        <v>0</v>
      </c>
      <c r="CS790" s="102">
        <f t="shared" si="330"/>
        <v>4.5293954747099576</v>
      </c>
      <c r="CT790" s="102">
        <f t="shared" si="331"/>
        <v>18.675175962423801</v>
      </c>
      <c r="CZ790" s="109" t="str">
        <f t="shared" si="332"/>
        <v>Basso</v>
      </c>
    </row>
    <row r="791" spans="9:104" x14ac:dyDescent="0.15">
      <c r="I791" s="64">
        <f t="shared" si="310"/>
        <v>76.99972307006928</v>
      </c>
      <c r="M791" s="64">
        <f t="shared" si="311"/>
        <v>0</v>
      </c>
      <c r="Q791" s="64">
        <f t="shared" si="312"/>
        <v>0</v>
      </c>
      <c r="U791" s="64">
        <f t="shared" si="313"/>
        <v>0</v>
      </c>
      <c r="Y791" s="114">
        <f t="shared" si="314"/>
        <v>0</v>
      </c>
      <c r="AC791" s="64">
        <f t="shared" si="315"/>
        <v>0</v>
      </c>
      <c r="AE791" s="71"/>
      <c r="AF791" s="71"/>
      <c r="AG791" s="71">
        <f t="shared" si="316"/>
        <v>0</v>
      </c>
      <c r="AK791" s="64">
        <f t="shared" si="317"/>
        <v>0</v>
      </c>
      <c r="AM791" s="71"/>
      <c r="AN791" s="71"/>
      <c r="AO791" s="71">
        <f t="shared" si="318"/>
        <v>0</v>
      </c>
      <c r="AQ791" s="71"/>
      <c r="AR791" s="71"/>
      <c r="AS791" s="71">
        <f t="shared" si="319"/>
        <v>0</v>
      </c>
      <c r="AU791" s="71"/>
      <c r="AV791" s="71"/>
      <c r="AW791" s="71">
        <f t="shared" si="320"/>
        <v>0</v>
      </c>
      <c r="AY791" s="71"/>
      <c r="AZ791" s="71"/>
      <c r="BA791" s="71">
        <f t="shared" si="321"/>
        <v>0</v>
      </c>
      <c r="BI791" s="71"/>
      <c r="BJ791" s="71"/>
      <c r="BK791" s="71">
        <f t="shared" si="322"/>
        <v>0</v>
      </c>
      <c r="BM791" s="71"/>
      <c r="BN791" s="71"/>
      <c r="BO791" s="71">
        <f t="shared" si="323"/>
        <v>0</v>
      </c>
      <c r="BQ791" s="71"/>
      <c r="BR791" s="71"/>
      <c r="BS791" s="138">
        <f t="shared" si="324"/>
        <v>0</v>
      </c>
      <c r="BU791" s="71"/>
      <c r="BV791" s="71"/>
      <c r="BW791" s="71">
        <f t="shared" si="325"/>
        <v>0</v>
      </c>
      <c r="BZ791" s="71"/>
      <c r="CA791" s="71"/>
      <c r="CB791" s="71">
        <f t="shared" si="326"/>
        <v>0</v>
      </c>
      <c r="CD791" s="71"/>
      <c r="CE791" s="71"/>
      <c r="CF791" s="71">
        <f t="shared" si="327"/>
        <v>0</v>
      </c>
      <c r="CH791" s="71"/>
      <c r="CI791" s="71"/>
      <c r="CJ791" s="138">
        <f t="shared" si="328"/>
        <v>0</v>
      </c>
      <c r="CL791" s="71"/>
      <c r="CM791" s="71"/>
      <c r="CN791" s="71">
        <f t="shared" si="329"/>
        <v>0</v>
      </c>
      <c r="CS791" s="102">
        <f t="shared" si="330"/>
        <v>4.5293954747099576</v>
      </c>
      <c r="CT791" s="102">
        <f t="shared" si="331"/>
        <v>18.675175962423801</v>
      </c>
      <c r="CZ791" s="109" t="str">
        <f t="shared" si="332"/>
        <v>Basso</v>
      </c>
    </row>
    <row r="792" spans="9:104" x14ac:dyDescent="0.15">
      <c r="I792" s="64">
        <f t="shared" si="310"/>
        <v>76.99972307006928</v>
      </c>
      <c r="M792" s="64">
        <f t="shared" si="311"/>
        <v>0</v>
      </c>
      <c r="Q792" s="64">
        <f t="shared" si="312"/>
        <v>0</v>
      </c>
      <c r="U792" s="64">
        <f t="shared" si="313"/>
        <v>0</v>
      </c>
      <c r="Y792" s="114">
        <f t="shared" si="314"/>
        <v>0</v>
      </c>
      <c r="AC792" s="64">
        <f t="shared" si="315"/>
        <v>0</v>
      </c>
      <c r="AE792" s="71"/>
      <c r="AF792" s="71"/>
      <c r="AG792" s="71">
        <f t="shared" si="316"/>
        <v>0</v>
      </c>
      <c r="AK792" s="64">
        <f t="shared" si="317"/>
        <v>0</v>
      </c>
      <c r="AM792" s="71"/>
      <c r="AN792" s="71"/>
      <c r="AO792" s="71">
        <f t="shared" si="318"/>
        <v>0</v>
      </c>
      <c r="AQ792" s="71"/>
      <c r="AR792" s="71"/>
      <c r="AS792" s="71">
        <f t="shared" si="319"/>
        <v>0</v>
      </c>
      <c r="AU792" s="71"/>
      <c r="AV792" s="71"/>
      <c r="AW792" s="71">
        <f t="shared" si="320"/>
        <v>0</v>
      </c>
      <c r="AY792" s="71"/>
      <c r="AZ792" s="71"/>
      <c r="BA792" s="71">
        <f t="shared" si="321"/>
        <v>0</v>
      </c>
      <c r="BI792" s="71"/>
      <c r="BJ792" s="71"/>
      <c r="BK792" s="71">
        <f t="shared" si="322"/>
        <v>0</v>
      </c>
      <c r="BM792" s="71"/>
      <c r="BN792" s="71"/>
      <c r="BO792" s="71">
        <f t="shared" si="323"/>
        <v>0</v>
      </c>
      <c r="BQ792" s="71"/>
      <c r="BR792" s="71"/>
      <c r="BS792" s="138">
        <f t="shared" si="324"/>
        <v>0</v>
      </c>
      <c r="BU792" s="71"/>
      <c r="BV792" s="71"/>
      <c r="BW792" s="71">
        <f t="shared" si="325"/>
        <v>0</v>
      </c>
      <c r="BZ792" s="71"/>
      <c r="CA792" s="71"/>
      <c r="CB792" s="71">
        <f t="shared" si="326"/>
        <v>0</v>
      </c>
      <c r="CD792" s="71"/>
      <c r="CE792" s="71"/>
      <c r="CF792" s="71">
        <f t="shared" si="327"/>
        <v>0</v>
      </c>
      <c r="CH792" s="71"/>
      <c r="CI792" s="71"/>
      <c r="CJ792" s="138">
        <f t="shared" si="328"/>
        <v>0</v>
      </c>
      <c r="CL792" s="71"/>
      <c r="CM792" s="71"/>
      <c r="CN792" s="71">
        <f t="shared" si="329"/>
        <v>0</v>
      </c>
      <c r="CS792" s="102">
        <f t="shared" si="330"/>
        <v>4.5293954747099576</v>
      </c>
      <c r="CT792" s="102">
        <f t="shared" si="331"/>
        <v>18.675175962423801</v>
      </c>
      <c r="CZ792" s="109" t="str">
        <f t="shared" si="332"/>
        <v>Basso</v>
      </c>
    </row>
    <row r="793" spans="9:104" x14ac:dyDescent="0.15">
      <c r="I793" s="64">
        <f t="shared" si="310"/>
        <v>76.99972307006928</v>
      </c>
      <c r="M793" s="64">
        <f t="shared" si="311"/>
        <v>0</v>
      </c>
      <c r="Q793" s="64">
        <f t="shared" si="312"/>
        <v>0</v>
      </c>
      <c r="U793" s="64">
        <f t="shared" si="313"/>
        <v>0</v>
      </c>
      <c r="Y793" s="114">
        <f t="shared" si="314"/>
        <v>0</v>
      </c>
      <c r="AC793" s="64">
        <f t="shared" si="315"/>
        <v>0</v>
      </c>
      <c r="AE793" s="71"/>
      <c r="AF793" s="71"/>
      <c r="AG793" s="71">
        <f t="shared" si="316"/>
        <v>0</v>
      </c>
      <c r="AK793" s="64">
        <f t="shared" si="317"/>
        <v>0</v>
      </c>
      <c r="AM793" s="71"/>
      <c r="AN793" s="71"/>
      <c r="AO793" s="71">
        <f t="shared" si="318"/>
        <v>0</v>
      </c>
      <c r="AQ793" s="71"/>
      <c r="AR793" s="71"/>
      <c r="AS793" s="71">
        <f t="shared" si="319"/>
        <v>0</v>
      </c>
      <c r="AU793" s="71"/>
      <c r="AV793" s="71"/>
      <c r="AW793" s="71">
        <f t="shared" si="320"/>
        <v>0</v>
      </c>
      <c r="AY793" s="71"/>
      <c r="AZ793" s="71"/>
      <c r="BA793" s="71">
        <f t="shared" si="321"/>
        <v>0</v>
      </c>
      <c r="BI793" s="71"/>
      <c r="BJ793" s="71"/>
      <c r="BK793" s="71">
        <f t="shared" si="322"/>
        <v>0</v>
      </c>
      <c r="BM793" s="71"/>
      <c r="BN793" s="71"/>
      <c r="BO793" s="71">
        <f t="shared" si="323"/>
        <v>0</v>
      </c>
      <c r="BQ793" s="71"/>
      <c r="BR793" s="71"/>
      <c r="BS793" s="138">
        <f t="shared" si="324"/>
        <v>0</v>
      </c>
      <c r="BU793" s="71"/>
      <c r="BV793" s="71"/>
      <c r="BW793" s="71">
        <f t="shared" si="325"/>
        <v>0</v>
      </c>
      <c r="BZ793" s="71"/>
      <c r="CA793" s="71"/>
      <c r="CB793" s="71">
        <f t="shared" si="326"/>
        <v>0</v>
      </c>
      <c r="CD793" s="71"/>
      <c r="CE793" s="71"/>
      <c r="CF793" s="71">
        <f t="shared" si="327"/>
        <v>0</v>
      </c>
      <c r="CH793" s="71"/>
      <c r="CI793" s="71"/>
      <c r="CJ793" s="138">
        <f t="shared" si="328"/>
        <v>0</v>
      </c>
      <c r="CL793" s="71"/>
      <c r="CM793" s="71"/>
      <c r="CN793" s="71">
        <f t="shared" si="329"/>
        <v>0</v>
      </c>
      <c r="CS793" s="102">
        <f t="shared" si="330"/>
        <v>4.5293954747099576</v>
      </c>
      <c r="CT793" s="102">
        <f t="shared" si="331"/>
        <v>18.675175962423801</v>
      </c>
      <c r="CZ793" s="109" t="str">
        <f t="shared" si="332"/>
        <v>Basso</v>
      </c>
    </row>
    <row r="794" spans="9:104" x14ac:dyDescent="0.15">
      <c r="I794" s="64">
        <f t="shared" si="310"/>
        <v>76.99972307006928</v>
      </c>
      <c r="M794" s="64">
        <f t="shared" si="311"/>
        <v>0</v>
      </c>
      <c r="Q794" s="64">
        <f t="shared" si="312"/>
        <v>0</v>
      </c>
      <c r="U794" s="64">
        <f t="shared" si="313"/>
        <v>0</v>
      </c>
      <c r="Y794" s="114">
        <f t="shared" si="314"/>
        <v>0</v>
      </c>
      <c r="AC794" s="64">
        <f t="shared" si="315"/>
        <v>0</v>
      </c>
      <c r="AE794" s="71"/>
      <c r="AF794" s="71"/>
      <c r="AG794" s="71">
        <f t="shared" si="316"/>
        <v>0</v>
      </c>
      <c r="AK794" s="64">
        <f t="shared" si="317"/>
        <v>0</v>
      </c>
      <c r="AM794" s="71"/>
      <c r="AN794" s="71"/>
      <c r="AO794" s="71">
        <f t="shared" si="318"/>
        <v>0</v>
      </c>
      <c r="AQ794" s="71"/>
      <c r="AR794" s="71"/>
      <c r="AS794" s="71">
        <f t="shared" si="319"/>
        <v>0</v>
      </c>
      <c r="AU794" s="71"/>
      <c r="AV794" s="71"/>
      <c r="AW794" s="71">
        <f t="shared" si="320"/>
        <v>0</v>
      </c>
      <c r="AY794" s="71"/>
      <c r="AZ794" s="71"/>
      <c r="BA794" s="71">
        <f t="shared" si="321"/>
        <v>0</v>
      </c>
      <c r="BI794" s="71"/>
      <c r="BJ794" s="71"/>
      <c r="BK794" s="71">
        <f t="shared" si="322"/>
        <v>0</v>
      </c>
      <c r="BM794" s="71"/>
      <c r="BN794" s="71"/>
      <c r="BO794" s="71">
        <f t="shared" si="323"/>
        <v>0</v>
      </c>
      <c r="BQ794" s="71"/>
      <c r="BR794" s="71"/>
      <c r="BS794" s="138">
        <f t="shared" si="324"/>
        <v>0</v>
      </c>
      <c r="BU794" s="71"/>
      <c r="BV794" s="71"/>
      <c r="BW794" s="71">
        <f t="shared" si="325"/>
        <v>0</v>
      </c>
      <c r="BZ794" s="71"/>
      <c r="CA794" s="71"/>
      <c r="CB794" s="71">
        <f t="shared" si="326"/>
        <v>0</v>
      </c>
      <c r="CD794" s="71"/>
      <c r="CE794" s="71"/>
      <c r="CF794" s="71">
        <f t="shared" si="327"/>
        <v>0</v>
      </c>
      <c r="CH794" s="71"/>
      <c r="CI794" s="71"/>
      <c r="CJ794" s="138">
        <f t="shared" si="328"/>
        <v>0</v>
      </c>
      <c r="CL794" s="71"/>
      <c r="CM794" s="71"/>
      <c r="CN794" s="71">
        <f t="shared" si="329"/>
        <v>0</v>
      </c>
      <c r="CS794" s="102">
        <f t="shared" si="330"/>
        <v>4.5293954747099576</v>
      </c>
      <c r="CT794" s="102">
        <f t="shared" si="331"/>
        <v>18.675175962423801</v>
      </c>
      <c r="CZ794" s="109" t="str">
        <f t="shared" si="332"/>
        <v>Basso</v>
      </c>
    </row>
    <row r="795" spans="9:104" x14ac:dyDescent="0.15">
      <c r="I795" s="64">
        <f t="shared" si="310"/>
        <v>76.99972307006928</v>
      </c>
      <c r="M795" s="64">
        <f t="shared" si="311"/>
        <v>0</v>
      </c>
      <c r="Q795" s="64">
        <f t="shared" si="312"/>
        <v>0</v>
      </c>
      <c r="U795" s="64">
        <f t="shared" si="313"/>
        <v>0</v>
      </c>
      <c r="Y795" s="114">
        <f t="shared" si="314"/>
        <v>0</v>
      </c>
      <c r="AC795" s="64">
        <f t="shared" si="315"/>
        <v>0</v>
      </c>
      <c r="AE795" s="71"/>
      <c r="AF795" s="71"/>
      <c r="AG795" s="71">
        <f t="shared" si="316"/>
        <v>0</v>
      </c>
      <c r="AK795" s="64">
        <f t="shared" si="317"/>
        <v>0</v>
      </c>
      <c r="AM795" s="71"/>
      <c r="AN795" s="71"/>
      <c r="AO795" s="71">
        <f t="shared" si="318"/>
        <v>0</v>
      </c>
      <c r="AQ795" s="71"/>
      <c r="AR795" s="71"/>
      <c r="AS795" s="71">
        <f t="shared" si="319"/>
        <v>0</v>
      </c>
      <c r="AU795" s="71"/>
      <c r="AV795" s="71"/>
      <c r="AW795" s="71">
        <f t="shared" si="320"/>
        <v>0</v>
      </c>
      <c r="AY795" s="71"/>
      <c r="AZ795" s="71"/>
      <c r="BA795" s="71">
        <f t="shared" si="321"/>
        <v>0</v>
      </c>
      <c r="BI795" s="71"/>
      <c r="BJ795" s="71"/>
      <c r="BK795" s="71">
        <f t="shared" si="322"/>
        <v>0</v>
      </c>
      <c r="BM795" s="71"/>
      <c r="BN795" s="71"/>
      <c r="BO795" s="71">
        <f t="shared" si="323"/>
        <v>0</v>
      </c>
      <c r="BQ795" s="71"/>
      <c r="BR795" s="71"/>
      <c r="BS795" s="138">
        <f t="shared" si="324"/>
        <v>0</v>
      </c>
      <c r="BU795" s="71"/>
      <c r="BV795" s="71"/>
      <c r="BW795" s="71">
        <f t="shared" si="325"/>
        <v>0</v>
      </c>
      <c r="BZ795" s="71"/>
      <c r="CA795" s="71"/>
      <c r="CB795" s="71">
        <f t="shared" si="326"/>
        <v>0</v>
      </c>
      <c r="CD795" s="71"/>
      <c r="CE795" s="71"/>
      <c r="CF795" s="71">
        <f t="shared" si="327"/>
        <v>0</v>
      </c>
      <c r="CH795" s="71"/>
      <c r="CI795" s="71"/>
      <c r="CJ795" s="138">
        <f t="shared" si="328"/>
        <v>0</v>
      </c>
      <c r="CL795" s="71"/>
      <c r="CM795" s="71"/>
      <c r="CN795" s="71">
        <f t="shared" si="329"/>
        <v>0</v>
      </c>
      <c r="CS795" s="102">
        <f t="shared" si="330"/>
        <v>4.5293954747099576</v>
      </c>
      <c r="CT795" s="102">
        <f t="shared" si="331"/>
        <v>18.675175962423801</v>
      </c>
      <c r="CZ795" s="109" t="str">
        <f t="shared" si="332"/>
        <v>Basso</v>
      </c>
    </row>
    <row r="796" spans="9:104" x14ac:dyDescent="0.15">
      <c r="I796" s="64">
        <f t="shared" si="310"/>
        <v>76.99972307006928</v>
      </c>
      <c r="M796" s="64">
        <f t="shared" si="311"/>
        <v>0</v>
      </c>
      <c r="Q796" s="64">
        <f t="shared" si="312"/>
        <v>0</v>
      </c>
      <c r="U796" s="64">
        <f t="shared" si="313"/>
        <v>0</v>
      </c>
      <c r="Y796" s="114">
        <f t="shared" si="314"/>
        <v>0</v>
      </c>
      <c r="AC796" s="64">
        <f t="shared" si="315"/>
        <v>0</v>
      </c>
      <c r="AE796" s="71"/>
      <c r="AF796" s="71"/>
      <c r="AG796" s="71">
        <f t="shared" si="316"/>
        <v>0</v>
      </c>
      <c r="AK796" s="64">
        <f t="shared" si="317"/>
        <v>0</v>
      </c>
      <c r="AM796" s="71"/>
      <c r="AN796" s="71"/>
      <c r="AO796" s="71">
        <f t="shared" si="318"/>
        <v>0</v>
      </c>
      <c r="AQ796" s="71"/>
      <c r="AR796" s="71"/>
      <c r="AS796" s="71">
        <f t="shared" si="319"/>
        <v>0</v>
      </c>
      <c r="AU796" s="71"/>
      <c r="AV796" s="71"/>
      <c r="AW796" s="71">
        <f t="shared" si="320"/>
        <v>0</v>
      </c>
      <c r="AY796" s="71"/>
      <c r="AZ796" s="71"/>
      <c r="BA796" s="71">
        <f t="shared" si="321"/>
        <v>0</v>
      </c>
      <c r="BI796" s="71"/>
      <c r="BJ796" s="71"/>
      <c r="BK796" s="71">
        <f t="shared" si="322"/>
        <v>0</v>
      </c>
      <c r="BM796" s="71"/>
      <c r="BN796" s="71"/>
      <c r="BO796" s="71">
        <f t="shared" si="323"/>
        <v>0</v>
      </c>
      <c r="BQ796" s="71"/>
      <c r="BR796" s="71"/>
      <c r="BS796" s="138">
        <f t="shared" si="324"/>
        <v>0</v>
      </c>
      <c r="BU796" s="71"/>
      <c r="BV796" s="71"/>
      <c r="BW796" s="71">
        <f t="shared" si="325"/>
        <v>0</v>
      </c>
      <c r="BZ796" s="71"/>
      <c r="CA796" s="71"/>
      <c r="CB796" s="71">
        <f t="shared" si="326"/>
        <v>0</v>
      </c>
      <c r="CD796" s="71"/>
      <c r="CE796" s="71"/>
      <c r="CF796" s="71">
        <f t="shared" si="327"/>
        <v>0</v>
      </c>
      <c r="CH796" s="71"/>
      <c r="CI796" s="71"/>
      <c r="CJ796" s="138">
        <f t="shared" si="328"/>
        <v>0</v>
      </c>
      <c r="CL796" s="71"/>
      <c r="CM796" s="71"/>
      <c r="CN796" s="71">
        <f t="shared" si="329"/>
        <v>0</v>
      </c>
      <c r="CS796" s="102">
        <f t="shared" si="330"/>
        <v>4.5293954747099576</v>
      </c>
      <c r="CT796" s="102">
        <f t="shared" si="331"/>
        <v>18.675175962423801</v>
      </c>
      <c r="CZ796" s="109" t="str">
        <f t="shared" si="332"/>
        <v>Basso</v>
      </c>
    </row>
    <row r="797" spans="9:104" x14ac:dyDescent="0.15">
      <c r="I797" s="64">
        <f t="shared" si="310"/>
        <v>76.99972307006928</v>
      </c>
      <c r="M797" s="64">
        <f t="shared" si="311"/>
        <v>0</v>
      </c>
      <c r="Q797" s="64">
        <f t="shared" si="312"/>
        <v>0</v>
      </c>
      <c r="U797" s="64">
        <f t="shared" si="313"/>
        <v>0</v>
      </c>
      <c r="Y797" s="114">
        <f t="shared" si="314"/>
        <v>0</v>
      </c>
      <c r="AC797" s="64">
        <f t="shared" si="315"/>
        <v>0</v>
      </c>
      <c r="AE797" s="71"/>
      <c r="AF797" s="71"/>
      <c r="AG797" s="71">
        <f t="shared" si="316"/>
        <v>0</v>
      </c>
      <c r="AK797" s="64">
        <f t="shared" si="317"/>
        <v>0</v>
      </c>
      <c r="AM797" s="71"/>
      <c r="AN797" s="71"/>
      <c r="AO797" s="71">
        <f t="shared" si="318"/>
        <v>0</v>
      </c>
      <c r="AQ797" s="71"/>
      <c r="AR797" s="71"/>
      <c r="AS797" s="71">
        <f t="shared" si="319"/>
        <v>0</v>
      </c>
      <c r="AU797" s="71"/>
      <c r="AV797" s="71"/>
      <c r="AW797" s="71">
        <f t="shared" si="320"/>
        <v>0</v>
      </c>
      <c r="AY797" s="71"/>
      <c r="AZ797" s="71"/>
      <c r="BA797" s="71">
        <f t="shared" si="321"/>
        <v>0</v>
      </c>
      <c r="BI797" s="71"/>
      <c r="BJ797" s="71"/>
      <c r="BK797" s="71">
        <f t="shared" si="322"/>
        <v>0</v>
      </c>
      <c r="BM797" s="71"/>
      <c r="BN797" s="71"/>
      <c r="BO797" s="71">
        <f t="shared" si="323"/>
        <v>0</v>
      </c>
      <c r="BQ797" s="71"/>
      <c r="BR797" s="71"/>
      <c r="BS797" s="138">
        <f t="shared" si="324"/>
        <v>0</v>
      </c>
      <c r="BU797" s="71"/>
      <c r="BV797" s="71"/>
      <c r="BW797" s="71">
        <f t="shared" si="325"/>
        <v>0</v>
      </c>
      <c r="BZ797" s="71"/>
      <c r="CA797" s="71"/>
      <c r="CB797" s="71">
        <f t="shared" si="326"/>
        <v>0</v>
      </c>
      <c r="CD797" s="71"/>
      <c r="CE797" s="71"/>
      <c r="CF797" s="71">
        <f t="shared" si="327"/>
        <v>0</v>
      </c>
      <c r="CH797" s="71"/>
      <c r="CI797" s="71"/>
      <c r="CJ797" s="138">
        <f t="shared" si="328"/>
        <v>0</v>
      </c>
      <c r="CL797" s="71"/>
      <c r="CM797" s="71"/>
      <c r="CN797" s="71">
        <f t="shared" si="329"/>
        <v>0</v>
      </c>
      <c r="CS797" s="102">
        <f t="shared" si="330"/>
        <v>4.5293954747099576</v>
      </c>
      <c r="CT797" s="102">
        <f t="shared" si="331"/>
        <v>18.675175962423801</v>
      </c>
      <c r="CZ797" s="109" t="str">
        <f t="shared" si="332"/>
        <v>Basso</v>
      </c>
    </row>
    <row r="798" spans="9:104" x14ac:dyDescent="0.15">
      <c r="I798" s="64">
        <f t="shared" si="310"/>
        <v>76.99972307006928</v>
      </c>
      <c r="M798" s="64">
        <f t="shared" si="311"/>
        <v>0</v>
      </c>
      <c r="Q798" s="64">
        <f t="shared" si="312"/>
        <v>0</v>
      </c>
      <c r="U798" s="64">
        <f t="shared" si="313"/>
        <v>0</v>
      </c>
      <c r="Y798" s="114">
        <f t="shared" si="314"/>
        <v>0</v>
      </c>
      <c r="AC798" s="64">
        <f t="shared" si="315"/>
        <v>0</v>
      </c>
      <c r="AE798" s="71"/>
      <c r="AF798" s="71"/>
      <c r="AG798" s="71">
        <f t="shared" si="316"/>
        <v>0</v>
      </c>
      <c r="AK798" s="64">
        <f t="shared" si="317"/>
        <v>0</v>
      </c>
      <c r="AM798" s="71"/>
      <c r="AN798" s="71"/>
      <c r="AO798" s="71">
        <f t="shared" si="318"/>
        <v>0</v>
      </c>
      <c r="AQ798" s="71"/>
      <c r="AR798" s="71"/>
      <c r="AS798" s="71">
        <f t="shared" si="319"/>
        <v>0</v>
      </c>
      <c r="AU798" s="71"/>
      <c r="AV798" s="71"/>
      <c r="AW798" s="71">
        <f t="shared" si="320"/>
        <v>0</v>
      </c>
      <c r="AY798" s="71"/>
      <c r="AZ798" s="71"/>
      <c r="BA798" s="71">
        <f t="shared" si="321"/>
        <v>0</v>
      </c>
      <c r="BI798" s="71"/>
      <c r="BJ798" s="71"/>
      <c r="BK798" s="71">
        <f t="shared" si="322"/>
        <v>0</v>
      </c>
      <c r="BM798" s="71"/>
      <c r="BN798" s="71"/>
      <c r="BO798" s="71">
        <f t="shared" si="323"/>
        <v>0</v>
      </c>
      <c r="BQ798" s="71"/>
      <c r="BR798" s="71"/>
      <c r="BS798" s="138">
        <f t="shared" si="324"/>
        <v>0</v>
      </c>
      <c r="BU798" s="71"/>
      <c r="BV798" s="71"/>
      <c r="BW798" s="71">
        <f t="shared" si="325"/>
        <v>0</v>
      </c>
      <c r="BZ798" s="71"/>
      <c r="CA798" s="71"/>
      <c r="CB798" s="71">
        <f t="shared" si="326"/>
        <v>0</v>
      </c>
      <c r="CD798" s="71"/>
      <c r="CE798" s="71"/>
      <c r="CF798" s="71">
        <f t="shared" si="327"/>
        <v>0</v>
      </c>
      <c r="CH798" s="71"/>
      <c r="CI798" s="71"/>
      <c r="CJ798" s="138">
        <f t="shared" si="328"/>
        <v>0</v>
      </c>
      <c r="CL798" s="71"/>
      <c r="CM798" s="71"/>
      <c r="CN798" s="71">
        <f t="shared" si="329"/>
        <v>0</v>
      </c>
      <c r="CS798" s="102">
        <f t="shared" si="330"/>
        <v>4.5293954747099576</v>
      </c>
      <c r="CT798" s="102">
        <f t="shared" si="331"/>
        <v>18.675175962423801</v>
      </c>
      <c r="CZ798" s="109" t="str">
        <f t="shared" si="332"/>
        <v>Basso</v>
      </c>
    </row>
    <row r="799" spans="9:104" x14ac:dyDescent="0.15">
      <c r="I799" s="64">
        <f t="shared" si="310"/>
        <v>76.99972307006928</v>
      </c>
      <c r="M799" s="64">
        <f t="shared" si="311"/>
        <v>0</v>
      </c>
      <c r="Q799" s="64">
        <f t="shared" si="312"/>
        <v>0</v>
      </c>
      <c r="U799" s="64">
        <f t="shared" si="313"/>
        <v>0</v>
      </c>
      <c r="Y799" s="114">
        <f t="shared" si="314"/>
        <v>0</v>
      </c>
      <c r="AC799" s="64">
        <f t="shared" si="315"/>
        <v>0</v>
      </c>
      <c r="AE799" s="71"/>
      <c r="AF799" s="71"/>
      <c r="AG799" s="71">
        <f t="shared" si="316"/>
        <v>0</v>
      </c>
      <c r="AK799" s="64">
        <f t="shared" si="317"/>
        <v>0</v>
      </c>
      <c r="AM799" s="71"/>
      <c r="AN799" s="71"/>
      <c r="AO799" s="71">
        <f t="shared" si="318"/>
        <v>0</v>
      </c>
      <c r="AQ799" s="71"/>
      <c r="AR799" s="71"/>
      <c r="AS799" s="71">
        <f t="shared" si="319"/>
        <v>0</v>
      </c>
      <c r="AU799" s="71"/>
      <c r="AV799" s="71"/>
      <c r="AW799" s="71">
        <f t="shared" si="320"/>
        <v>0</v>
      </c>
      <c r="AY799" s="71"/>
      <c r="AZ799" s="71"/>
      <c r="BA799" s="71">
        <f t="shared" si="321"/>
        <v>0</v>
      </c>
      <c r="BI799" s="71"/>
      <c r="BJ799" s="71"/>
      <c r="BK799" s="71">
        <f t="shared" si="322"/>
        <v>0</v>
      </c>
      <c r="BM799" s="71"/>
      <c r="BN799" s="71"/>
      <c r="BO799" s="71">
        <f t="shared" si="323"/>
        <v>0</v>
      </c>
      <c r="BQ799" s="71"/>
      <c r="BR799" s="71"/>
      <c r="BS799" s="138">
        <f t="shared" si="324"/>
        <v>0</v>
      </c>
      <c r="BU799" s="71"/>
      <c r="BV799" s="71"/>
      <c r="BW799" s="71">
        <f t="shared" si="325"/>
        <v>0</v>
      </c>
      <c r="BZ799" s="71"/>
      <c r="CA799" s="71"/>
      <c r="CB799" s="71">
        <f t="shared" si="326"/>
        <v>0</v>
      </c>
      <c r="CD799" s="71"/>
      <c r="CE799" s="71"/>
      <c r="CF799" s="71">
        <f t="shared" si="327"/>
        <v>0</v>
      </c>
      <c r="CH799" s="71"/>
      <c r="CI799" s="71"/>
      <c r="CJ799" s="138">
        <f t="shared" si="328"/>
        <v>0</v>
      </c>
      <c r="CL799" s="71"/>
      <c r="CM799" s="71"/>
      <c r="CN799" s="71">
        <f t="shared" si="329"/>
        <v>0</v>
      </c>
      <c r="CS799" s="102">
        <f t="shared" si="330"/>
        <v>4.5293954747099576</v>
      </c>
      <c r="CT799" s="102">
        <f t="shared" si="331"/>
        <v>18.675175962423801</v>
      </c>
      <c r="CZ799" s="109" t="str">
        <f t="shared" si="332"/>
        <v>Basso</v>
      </c>
    </row>
    <row r="800" spans="9:104" x14ac:dyDescent="0.15">
      <c r="I800" s="64">
        <f t="shared" si="310"/>
        <v>76.99972307006928</v>
      </c>
      <c r="M800" s="64">
        <f t="shared" si="311"/>
        <v>0</v>
      </c>
      <c r="Q800" s="64">
        <f t="shared" si="312"/>
        <v>0</v>
      </c>
      <c r="U800" s="64">
        <f t="shared" si="313"/>
        <v>0</v>
      </c>
      <c r="Y800" s="114">
        <f t="shared" si="314"/>
        <v>0</v>
      </c>
      <c r="AC800" s="64">
        <f t="shared" si="315"/>
        <v>0</v>
      </c>
      <c r="AE800" s="71"/>
      <c r="AF800" s="71"/>
      <c r="AG800" s="71">
        <f t="shared" si="316"/>
        <v>0</v>
      </c>
      <c r="AK800" s="64">
        <f t="shared" si="317"/>
        <v>0</v>
      </c>
      <c r="AM800" s="71"/>
      <c r="AN800" s="71"/>
      <c r="AO800" s="71">
        <f t="shared" si="318"/>
        <v>0</v>
      </c>
      <c r="AQ800" s="71"/>
      <c r="AR800" s="71"/>
      <c r="AS800" s="71">
        <f t="shared" si="319"/>
        <v>0</v>
      </c>
      <c r="AU800" s="71"/>
      <c r="AV800" s="71"/>
      <c r="AW800" s="71">
        <f t="shared" si="320"/>
        <v>0</v>
      </c>
      <c r="AY800" s="71"/>
      <c r="AZ800" s="71"/>
      <c r="BA800" s="71">
        <f t="shared" si="321"/>
        <v>0</v>
      </c>
      <c r="BI800" s="71"/>
      <c r="BJ800" s="71"/>
      <c r="BK800" s="71">
        <f t="shared" si="322"/>
        <v>0</v>
      </c>
      <c r="BM800" s="71"/>
      <c r="BN800" s="71"/>
      <c r="BO800" s="71">
        <f t="shared" si="323"/>
        <v>0</v>
      </c>
      <c r="BQ800" s="71"/>
      <c r="BR800" s="71"/>
      <c r="BS800" s="138">
        <f t="shared" si="324"/>
        <v>0</v>
      </c>
      <c r="BU800" s="71"/>
      <c r="BV800" s="71"/>
      <c r="BW800" s="71">
        <f t="shared" si="325"/>
        <v>0</v>
      </c>
      <c r="BZ800" s="71"/>
      <c r="CA800" s="71"/>
      <c r="CB800" s="71">
        <f t="shared" si="326"/>
        <v>0</v>
      </c>
      <c r="CD800" s="71"/>
      <c r="CE800" s="71"/>
      <c r="CF800" s="71">
        <f t="shared" si="327"/>
        <v>0</v>
      </c>
      <c r="CH800" s="71"/>
      <c r="CI800" s="71"/>
      <c r="CJ800" s="138">
        <f t="shared" si="328"/>
        <v>0</v>
      </c>
      <c r="CL800" s="71"/>
      <c r="CM800" s="71"/>
      <c r="CN800" s="71">
        <f t="shared" si="329"/>
        <v>0</v>
      </c>
      <c r="CS800" s="102">
        <f t="shared" si="330"/>
        <v>4.5293954747099576</v>
      </c>
      <c r="CT800" s="102">
        <f t="shared" si="331"/>
        <v>18.675175962423801</v>
      </c>
      <c r="CZ800" s="109" t="str">
        <f t="shared" si="332"/>
        <v>Basso</v>
      </c>
    </row>
    <row r="801" spans="9:104" x14ac:dyDescent="0.15">
      <c r="I801" s="64">
        <f t="shared" si="310"/>
        <v>76.99972307006928</v>
      </c>
      <c r="M801" s="64">
        <f t="shared" si="311"/>
        <v>0</v>
      </c>
      <c r="Q801" s="64">
        <f t="shared" si="312"/>
        <v>0</v>
      </c>
      <c r="U801" s="64">
        <f t="shared" si="313"/>
        <v>0</v>
      </c>
      <c r="Y801" s="114">
        <f t="shared" si="314"/>
        <v>0</v>
      </c>
      <c r="AC801" s="64">
        <f t="shared" si="315"/>
        <v>0</v>
      </c>
      <c r="AE801" s="71"/>
      <c r="AF801" s="71"/>
      <c r="AG801" s="71">
        <f t="shared" si="316"/>
        <v>0</v>
      </c>
      <c r="AK801" s="64">
        <f t="shared" si="317"/>
        <v>0</v>
      </c>
      <c r="AM801" s="71"/>
      <c r="AN801" s="71"/>
      <c r="AO801" s="71">
        <f t="shared" si="318"/>
        <v>0</v>
      </c>
      <c r="AQ801" s="71"/>
      <c r="AR801" s="71"/>
      <c r="AS801" s="71">
        <f t="shared" si="319"/>
        <v>0</v>
      </c>
      <c r="AU801" s="71"/>
      <c r="AV801" s="71"/>
      <c r="AW801" s="71">
        <f t="shared" si="320"/>
        <v>0</v>
      </c>
      <c r="AY801" s="71"/>
      <c r="AZ801" s="71"/>
      <c r="BA801" s="71">
        <f t="shared" si="321"/>
        <v>0</v>
      </c>
      <c r="BI801" s="71"/>
      <c r="BJ801" s="71"/>
      <c r="BK801" s="71">
        <f t="shared" si="322"/>
        <v>0</v>
      </c>
      <c r="BM801" s="71"/>
      <c r="BN801" s="71"/>
      <c r="BO801" s="71">
        <f t="shared" si="323"/>
        <v>0</v>
      </c>
      <c r="BQ801" s="71"/>
      <c r="BR801" s="71"/>
      <c r="BS801" s="138">
        <f t="shared" si="324"/>
        <v>0</v>
      </c>
      <c r="BU801" s="71"/>
      <c r="BV801" s="71"/>
      <c r="BW801" s="71">
        <f t="shared" si="325"/>
        <v>0</v>
      </c>
      <c r="BZ801" s="71"/>
      <c r="CA801" s="71"/>
      <c r="CB801" s="71">
        <f t="shared" si="326"/>
        <v>0</v>
      </c>
      <c r="CD801" s="71"/>
      <c r="CE801" s="71"/>
      <c r="CF801" s="71">
        <f t="shared" si="327"/>
        <v>0</v>
      </c>
      <c r="CH801" s="71"/>
      <c r="CI801" s="71"/>
      <c r="CJ801" s="138">
        <f t="shared" si="328"/>
        <v>0</v>
      </c>
      <c r="CL801" s="71"/>
      <c r="CM801" s="71"/>
      <c r="CN801" s="71">
        <f t="shared" si="329"/>
        <v>0</v>
      </c>
      <c r="CS801" s="102">
        <f t="shared" si="330"/>
        <v>4.5293954747099576</v>
      </c>
      <c r="CT801" s="102">
        <f t="shared" si="331"/>
        <v>18.675175962423801</v>
      </c>
      <c r="CZ801" s="109" t="str">
        <f t="shared" si="332"/>
        <v>Basso</v>
      </c>
    </row>
    <row r="802" spans="9:104" x14ac:dyDescent="0.15">
      <c r="I802" s="64">
        <f t="shared" si="310"/>
        <v>76.99972307006928</v>
      </c>
      <c r="M802" s="64">
        <f t="shared" si="311"/>
        <v>0</v>
      </c>
      <c r="Q802" s="64">
        <f t="shared" si="312"/>
        <v>0</v>
      </c>
      <c r="U802" s="64">
        <f t="shared" si="313"/>
        <v>0</v>
      </c>
      <c r="Y802" s="114">
        <f t="shared" si="314"/>
        <v>0</v>
      </c>
      <c r="AC802" s="64">
        <f t="shared" si="315"/>
        <v>0</v>
      </c>
      <c r="AE802" s="71"/>
      <c r="AF802" s="71"/>
      <c r="AG802" s="71">
        <f t="shared" si="316"/>
        <v>0</v>
      </c>
      <c r="AK802" s="64">
        <f t="shared" si="317"/>
        <v>0</v>
      </c>
      <c r="AM802" s="71"/>
      <c r="AN802" s="71"/>
      <c r="AO802" s="71">
        <f t="shared" si="318"/>
        <v>0</v>
      </c>
      <c r="AQ802" s="71"/>
      <c r="AR802" s="71"/>
      <c r="AS802" s="71">
        <f t="shared" si="319"/>
        <v>0</v>
      </c>
      <c r="AU802" s="71"/>
      <c r="AV802" s="71"/>
      <c r="AW802" s="71">
        <f t="shared" si="320"/>
        <v>0</v>
      </c>
      <c r="AY802" s="71"/>
      <c r="AZ802" s="71"/>
      <c r="BA802" s="71">
        <f t="shared" si="321"/>
        <v>0</v>
      </c>
      <c r="BI802" s="71"/>
      <c r="BJ802" s="71"/>
      <c r="BK802" s="71">
        <f t="shared" si="322"/>
        <v>0</v>
      </c>
      <c r="BM802" s="71"/>
      <c r="BN802" s="71"/>
      <c r="BO802" s="71">
        <f t="shared" si="323"/>
        <v>0</v>
      </c>
      <c r="BQ802" s="71"/>
      <c r="BR802" s="71"/>
      <c r="BS802" s="138">
        <f t="shared" si="324"/>
        <v>0</v>
      </c>
      <c r="BU802" s="71"/>
      <c r="BV802" s="71"/>
      <c r="BW802" s="71">
        <f t="shared" si="325"/>
        <v>0</v>
      </c>
      <c r="BZ802" s="71"/>
      <c r="CA802" s="71"/>
      <c r="CB802" s="71">
        <f t="shared" si="326"/>
        <v>0</v>
      </c>
      <c r="CD802" s="71"/>
      <c r="CE802" s="71"/>
      <c r="CF802" s="71">
        <f t="shared" si="327"/>
        <v>0</v>
      </c>
      <c r="CH802" s="71"/>
      <c r="CI802" s="71"/>
      <c r="CJ802" s="138">
        <f t="shared" si="328"/>
        <v>0</v>
      </c>
      <c r="CL802" s="71"/>
      <c r="CM802" s="71"/>
      <c r="CN802" s="71">
        <f t="shared" si="329"/>
        <v>0</v>
      </c>
      <c r="CS802" s="102">
        <f t="shared" si="330"/>
        <v>4.5293954747099576</v>
      </c>
      <c r="CT802" s="102">
        <f t="shared" si="331"/>
        <v>18.675175962423801</v>
      </c>
      <c r="CZ802" s="109" t="str">
        <f t="shared" si="332"/>
        <v>Basso</v>
      </c>
    </row>
    <row r="803" spans="9:104" x14ac:dyDescent="0.15">
      <c r="I803" s="64">
        <f t="shared" si="310"/>
        <v>76.99972307006928</v>
      </c>
      <c r="M803" s="64">
        <f t="shared" si="311"/>
        <v>0</v>
      </c>
      <c r="Q803" s="64">
        <f t="shared" si="312"/>
        <v>0</v>
      </c>
      <c r="U803" s="64">
        <f t="shared" si="313"/>
        <v>0</v>
      </c>
      <c r="Y803" s="114">
        <f t="shared" si="314"/>
        <v>0</v>
      </c>
      <c r="AC803" s="64">
        <f t="shared" si="315"/>
        <v>0</v>
      </c>
      <c r="AE803" s="71"/>
      <c r="AF803" s="71"/>
      <c r="AG803" s="71">
        <f t="shared" si="316"/>
        <v>0</v>
      </c>
      <c r="AK803" s="64">
        <f t="shared" si="317"/>
        <v>0</v>
      </c>
      <c r="AM803" s="71"/>
      <c r="AN803" s="71"/>
      <c r="AO803" s="71">
        <f t="shared" si="318"/>
        <v>0</v>
      </c>
      <c r="AQ803" s="71"/>
      <c r="AR803" s="71"/>
      <c r="AS803" s="71">
        <f t="shared" si="319"/>
        <v>0</v>
      </c>
      <c r="AU803" s="71"/>
      <c r="AV803" s="71"/>
      <c r="AW803" s="71">
        <f t="shared" si="320"/>
        <v>0</v>
      </c>
      <c r="AY803" s="71"/>
      <c r="AZ803" s="71"/>
      <c r="BA803" s="71">
        <f t="shared" si="321"/>
        <v>0</v>
      </c>
      <c r="BI803" s="71"/>
      <c r="BJ803" s="71"/>
      <c r="BK803" s="71">
        <f t="shared" si="322"/>
        <v>0</v>
      </c>
      <c r="BM803" s="71"/>
      <c r="BN803" s="71"/>
      <c r="BO803" s="71">
        <f t="shared" si="323"/>
        <v>0</v>
      </c>
      <c r="BQ803" s="71"/>
      <c r="BR803" s="71"/>
      <c r="BS803" s="138">
        <f t="shared" si="324"/>
        <v>0</v>
      </c>
      <c r="BU803" s="71"/>
      <c r="BV803" s="71"/>
      <c r="BW803" s="71">
        <f t="shared" si="325"/>
        <v>0</v>
      </c>
      <c r="BZ803" s="71"/>
      <c r="CA803" s="71"/>
      <c r="CB803" s="71">
        <f t="shared" si="326"/>
        <v>0</v>
      </c>
      <c r="CD803" s="71"/>
      <c r="CE803" s="71"/>
      <c r="CF803" s="71">
        <f t="shared" si="327"/>
        <v>0</v>
      </c>
      <c r="CH803" s="71"/>
      <c r="CI803" s="71"/>
      <c r="CJ803" s="138">
        <f t="shared" si="328"/>
        <v>0</v>
      </c>
      <c r="CL803" s="71"/>
      <c r="CM803" s="71"/>
      <c r="CN803" s="71">
        <f t="shared" si="329"/>
        <v>0</v>
      </c>
      <c r="CS803" s="102">
        <f t="shared" si="330"/>
        <v>4.5293954747099576</v>
      </c>
      <c r="CT803" s="102">
        <f t="shared" si="331"/>
        <v>18.675175962423801</v>
      </c>
      <c r="CZ803" s="109" t="str">
        <f t="shared" si="332"/>
        <v>Basso</v>
      </c>
    </row>
    <row r="804" spans="9:104" x14ac:dyDescent="0.15">
      <c r="I804" s="64">
        <f t="shared" si="310"/>
        <v>76.99972307006928</v>
      </c>
      <c r="M804" s="64">
        <f t="shared" si="311"/>
        <v>0</v>
      </c>
      <c r="Q804" s="64">
        <f t="shared" si="312"/>
        <v>0</v>
      </c>
      <c r="U804" s="64">
        <f t="shared" si="313"/>
        <v>0</v>
      </c>
      <c r="Y804" s="114">
        <f t="shared" si="314"/>
        <v>0</v>
      </c>
      <c r="AC804" s="64">
        <f t="shared" si="315"/>
        <v>0</v>
      </c>
      <c r="AE804" s="71"/>
      <c r="AF804" s="71"/>
      <c r="AG804" s="71">
        <f t="shared" si="316"/>
        <v>0</v>
      </c>
      <c r="AK804" s="64">
        <f t="shared" si="317"/>
        <v>0</v>
      </c>
      <c r="AM804" s="71"/>
      <c r="AN804" s="71"/>
      <c r="AO804" s="71">
        <f t="shared" si="318"/>
        <v>0</v>
      </c>
      <c r="AQ804" s="71"/>
      <c r="AR804" s="71"/>
      <c r="AS804" s="71">
        <f t="shared" si="319"/>
        <v>0</v>
      </c>
      <c r="AU804" s="71"/>
      <c r="AV804" s="71"/>
      <c r="AW804" s="71">
        <f t="shared" si="320"/>
        <v>0</v>
      </c>
      <c r="AY804" s="71"/>
      <c r="AZ804" s="71"/>
      <c r="BA804" s="71">
        <f t="shared" si="321"/>
        <v>0</v>
      </c>
      <c r="BI804" s="71"/>
      <c r="BJ804" s="71"/>
      <c r="BK804" s="71">
        <f t="shared" si="322"/>
        <v>0</v>
      </c>
      <c r="BM804" s="71"/>
      <c r="BN804" s="71"/>
      <c r="BO804" s="71">
        <f t="shared" si="323"/>
        <v>0</v>
      </c>
      <c r="BQ804" s="71"/>
      <c r="BR804" s="71"/>
      <c r="BS804" s="138">
        <f t="shared" si="324"/>
        <v>0</v>
      </c>
      <c r="BU804" s="71"/>
      <c r="BV804" s="71"/>
      <c r="BW804" s="71">
        <f t="shared" si="325"/>
        <v>0</v>
      </c>
      <c r="BZ804" s="71"/>
      <c r="CA804" s="71"/>
      <c r="CB804" s="71">
        <f t="shared" si="326"/>
        <v>0</v>
      </c>
      <c r="CD804" s="71"/>
      <c r="CE804" s="71"/>
      <c r="CF804" s="71">
        <f t="shared" si="327"/>
        <v>0</v>
      </c>
      <c r="CH804" s="71"/>
      <c r="CI804" s="71"/>
      <c r="CJ804" s="138">
        <f t="shared" si="328"/>
        <v>0</v>
      </c>
      <c r="CL804" s="71"/>
      <c r="CM804" s="71"/>
      <c r="CN804" s="71">
        <f t="shared" si="329"/>
        <v>0</v>
      </c>
      <c r="CS804" s="102">
        <f t="shared" si="330"/>
        <v>4.5293954747099576</v>
      </c>
      <c r="CT804" s="102">
        <f t="shared" si="331"/>
        <v>18.675175962423801</v>
      </c>
      <c r="CZ804" s="109" t="str">
        <f t="shared" si="332"/>
        <v>Basso</v>
      </c>
    </row>
    <row r="805" spans="9:104" x14ac:dyDescent="0.15">
      <c r="I805" s="64">
        <f t="shared" si="310"/>
        <v>76.99972307006928</v>
      </c>
      <c r="M805" s="64">
        <f t="shared" si="311"/>
        <v>0</v>
      </c>
      <c r="Q805" s="64">
        <f t="shared" si="312"/>
        <v>0</v>
      </c>
      <c r="U805" s="64">
        <f t="shared" si="313"/>
        <v>0</v>
      </c>
      <c r="Y805" s="114">
        <f t="shared" si="314"/>
        <v>0</v>
      </c>
      <c r="AC805" s="64">
        <f t="shared" si="315"/>
        <v>0</v>
      </c>
      <c r="AE805" s="71"/>
      <c r="AF805" s="71"/>
      <c r="AG805" s="71">
        <f t="shared" si="316"/>
        <v>0</v>
      </c>
      <c r="AK805" s="64">
        <f t="shared" si="317"/>
        <v>0</v>
      </c>
      <c r="AM805" s="71"/>
      <c r="AN805" s="71"/>
      <c r="AO805" s="71">
        <f t="shared" si="318"/>
        <v>0</v>
      </c>
      <c r="AQ805" s="71"/>
      <c r="AR805" s="71"/>
      <c r="AS805" s="71">
        <f t="shared" si="319"/>
        <v>0</v>
      </c>
      <c r="AU805" s="71"/>
      <c r="AV805" s="71"/>
      <c r="AW805" s="71">
        <f t="shared" si="320"/>
        <v>0</v>
      </c>
      <c r="AY805" s="71"/>
      <c r="AZ805" s="71"/>
      <c r="BA805" s="71">
        <f t="shared" si="321"/>
        <v>0</v>
      </c>
      <c r="BI805" s="71"/>
      <c r="BJ805" s="71"/>
      <c r="BK805" s="71">
        <f t="shared" si="322"/>
        <v>0</v>
      </c>
      <c r="BM805" s="71"/>
      <c r="BN805" s="71"/>
      <c r="BO805" s="71">
        <f t="shared" si="323"/>
        <v>0</v>
      </c>
      <c r="BQ805" s="71"/>
      <c r="BR805" s="71"/>
      <c r="BS805" s="138">
        <f t="shared" si="324"/>
        <v>0</v>
      </c>
      <c r="BU805" s="71"/>
      <c r="BV805" s="71"/>
      <c r="BW805" s="71">
        <f t="shared" si="325"/>
        <v>0</v>
      </c>
      <c r="BZ805" s="71"/>
      <c r="CA805" s="71"/>
      <c r="CB805" s="71">
        <f t="shared" si="326"/>
        <v>0</v>
      </c>
      <c r="CD805" s="71"/>
      <c r="CE805" s="71"/>
      <c r="CF805" s="71">
        <f t="shared" si="327"/>
        <v>0</v>
      </c>
      <c r="CH805" s="71"/>
      <c r="CI805" s="71"/>
      <c r="CJ805" s="138">
        <f t="shared" si="328"/>
        <v>0</v>
      </c>
      <c r="CL805" s="71"/>
      <c r="CM805" s="71"/>
      <c r="CN805" s="71">
        <f t="shared" si="329"/>
        <v>0</v>
      </c>
      <c r="CS805" s="102">
        <f t="shared" si="330"/>
        <v>4.5293954747099576</v>
      </c>
      <c r="CT805" s="102">
        <f t="shared" si="331"/>
        <v>18.675175962423801</v>
      </c>
      <c r="CZ805" s="109" t="str">
        <f t="shared" si="332"/>
        <v>Basso</v>
      </c>
    </row>
    <row r="806" spans="9:104" x14ac:dyDescent="0.15">
      <c r="I806" s="64">
        <f t="shared" si="310"/>
        <v>76.99972307006928</v>
      </c>
      <c r="M806" s="64">
        <f t="shared" si="311"/>
        <v>0</v>
      </c>
      <c r="Q806" s="64">
        <f t="shared" si="312"/>
        <v>0</v>
      </c>
      <c r="U806" s="64">
        <f t="shared" si="313"/>
        <v>0</v>
      </c>
      <c r="Y806" s="114">
        <f t="shared" si="314"/>
        <v>0</v>
      </c>
      <c r="AC806" s="64">
        <f t="shared" si="315"/>
        <v>0</v>
      </c>
      <c r="AE806" s="71"/>
      <c r="AF806" s="71"/>
      <c r="AG806" s="71">
        <f t="shared" si="316"/>
        <v>0</v>
      </c>
      <c r="AK806" s="64">
        <f t="shared" si="317"/>
        <v>0</v>
      </c>
      <c r="AM806" s="71"/>
      <c r="AN806" s="71"/>
      <c r="AO806" s="71">
        <f t="shared" si="318"/>
        <v>0</v>
      </c>
      <c r="AQ806" s="71"/>
      <c r="AR806" s="71"/>
      <c r="AS806" s="71">
        <f t="shared" si="319"/>
        <v>0</v>
      </c>
      <c r="AU806" s="71"/>
      <c r="AV806" s="71"/>
      <c r="AW806" s="71">
        <f t="shared" si="320"/>
        <v>0</v>
      </c>
      <c r="AY806" s="71"/>
      <c r="AZ806" s="71"/>
      <c r="BA806" s="71">
        <f t="shared" si="321"/>
        <v>0</v>
      </c>
      <c r="BI806" s="71"/>
      <c r="BJ806" s="71"/>
      <c r="BK806" s="71">
        <f t="shared" si="322"/>
        <v>0</v>
      </c>
      <c r="BM806" s="71"/>
      <c r="BN806" s="71"/>
      <c r="BO806" s="71">
        <f t="shared" si="323"/>
        <v>0</v>
      </c>
      <c r="BQ806" s="71"/>
      <c r="BR806" s="71"/>
      <c r="BS806" s="138">
        <f t="shared" si="324"/>
        <v>0</v>
      </c>
      <c r="BU806" s="71"/>
      <c r="BV806" s="71"/>
      <c r="BW806" s="71">
        <f t="shared" si="325"/>
        <v>0</v>
      </c>
      <c r="BZ806" s="71"/>
      <c r="CA806" s="71"/>
      <c r="CB806" s="71">
        <f t="shared" si="326"/>
        <v>0</v>
      </c>
      <c r="CD806" s="71"/>
      <c r="CE806" s="71"/>
      <c r="CF806" s="71">
        <f t="shared" si="327"/>
        <v>0</v>
      </c>
      <c r="CH806" s="71"/>
      <c r="CI806" s="71"/>
      <c r="CJ806" s="138">
        <f t="shared" si="328"/>
        <v>0</v>
      </c>
      <c r="CL806" s="71"/>
      <c r="CM806" s="71"/>
      <c r="CN806" s="71">
        <f t="shared" si="329"/>
        <v>0</v>
      </c>
      <c r="CS806" s="102">
        <f t="shared" si="330"/>
        <v>4.5293954747099576</v>
      </c>
      <c r="CT806" s="102">
        <f t="shared" si="331"/>
        <v>18.675175962423801</v>
      </c>
      <c r="CZ806" s="109" t="str">
        <f t="shared" si="332"/>
        <v>Basso</v>
      </c>
    </row>
    <row r="807" spans="9:104" x14ac:dyDescent="0.15">
      <c r="I807" s="64">
        <f t="shared" si="310"/>
        <v>76.99972307006928</v>
      </c>
      <c r="M807" s="64">
        <f t="shared" si="311"/>
        <v>0</v>
      </c>
      <c r="Q807" s="64">
        <f t="shared" si="312"/>
        <v>0</v>
      </c>
      <c r="U807" s="64">
        <f t="shared" si="313"/>
        <v>0</v>
      </c>
      <c r="Y807" s="114">
        <f t="shared" si="314"/>
        <v>0</v>
      </c>
      <c r="AC807" s="64">
        <f t="shared" si="315"/>
        <v>0</v>
      </c>
      <c r="AE807" s="71"/>
      <c r="AF807" s="71"/>
      <c r="AG807" s="71">
        <f t="shared" si="316"/>
        <v>0</v>
      </c>
      <c r="AK807" s="64">
        <f t="shared" si="317"/>
        <v>0</v>
      </c>
      <c r="AM807" s="71"/>
      <c r="AN807" s="71"/>
      <c r="AO807" s="71">
        <f t="shared" si="318"/>
        <v>0</v>
      </c>
      <c r="AQ807" s="71"/>
      <c r="AR807" s="71"/>
      <c r="AS807" s="71">
        <f t="shared" si="319"/>
        <v>0</v>
      </c>
      <c r="AU807" s="71"/>
      <c r="AV807" s="71"/>
      <c r="AW807" s="71">
        <f t="shared" si="320"/>
        <v>0</v>
      </c>
      <c r="AY807" s="71"/>
      <c r="AZ807" s="71"/>
      <c r="BA807" s="71">
        <f t="shared" si="321"/>
        <v>0</v>
      </c>
      <c r="BI807" s="71"/>
      <c r="BJ807" s="71"/>
      <c r="BK807" s="71">
        <f t="shared" si="322"/>
        <v>0</v>
      </c>
      <c r="BM807" s="71"/>
      <c r="BN807" s="71"/>
      <c r="BO807" s="71">
        <f t="shared" si="323"/>
        <v>0</v>
      </c>
      <c r="BQ807" s="71"/>
      <c r="BR807" s="71"/>
      <c r="BS807" s="138">
        <f t="shared" si="324"/>
        <v>0</v>
      </c>
      <c r="BU807" s="71"/>
      <c r="BV807" s="71"/>
      <c r="BW807" s="71">
        <f t="shared" si="325"/>
        <v>0</v>
      </c>
      <c r="BZ807" s="71"/>
      <c r="CA807" s="71"/>
      <c r="CB807" s="71">
        <f t="shared" si="326"/>
        <v>0</v>
      </c>
      <c r="CD807" s="71"/>
      <c r="CE807" s="71"/>
      <c r="CF807" s="71">
        <f t="shared" si="327"/>
        <v>0</v>
      </c>
      <c r="CH807" s="71"/>
      <c r="CI807" s="71"/>
      <c r="CJ807" s="138">
        <f t="shared" si="328"/>
        <v>0</v>
      </c>
      <c r="CL807" s="71"/>
      <c r="CM807" s="71"/>
      <c r="CN807" s="71">
        <f t="shared" si="329"/>
        <v>0</v>
      </c>
      <c r="CS807" s="102">
        <f t="shared" si="330"/>
        <v>4.5293954747099576</v>
      </c>
      <c r="CT807" s="102">
        <f t="shared" si="331"/>
        <v>18.675175962423801</v>
      </c>
      <c r="CZ807" s="109" t="str">
        <f t="shared" si="332"/>
        <v>Basso</v>
      </c>
    </row>
    <row r="808" spans="9:104" x14ac:dyDescent="0.15">
      <c r="I808" s="64">
        <f t="shared" si="310"/>
        <v>76.99972307006928</v>
      </c>
      <c r="M808" s="64">
        <f t="shared" si="311"/>
        <v>0</v>
      </c>
      <c r="Q808" s="64">
        <f t="shared" si="312"/>
        <v>0</v>
      </c>
      <c r="U808" s="64">
        <f t="shared" si="313"/>
        <v>0</v>
      </c>
      <c r="Y808" s="114">
        <f t="shared" si="314"/>
        <v>0</v>
      </c>
      <c r="AC808" s="64">
        <f t="shared" si="315"/>
        <v>0</v>
      </c>
      <c r="AE808" s="71"/>
      <c r="AF808" s="71"/>
      <c r="AG808" s="71">
        <f t="shared" si="316"/>
        <v>0</v>
      </c>
      <c r="AK808" s="64">
        <f t="shared" si="317"/>
        <v>0</v>
      </c>
      <c r="AM808" s="71"/>
      <c r="AN808" s="71"/>
      <c r="AO808" s="71">
        <f t="shared" si="318"/>
        <v>0</v>
      </c>
      <c r="AQ808" s="71"/>
      <c r="AR808" s="71"/>
      <c r="AS808" s="71">
        <f t="shared" si="319"/>
        <v>0</v>
      </c>
      <c r="AU808" s="71"/>
      <c r="AV808" s="71"/>
      <c r="AW808" s="71">
        <f t="shared" si="320"/>
        <v>0</v>
      </c>
      <c r="AY808" s="71"/>
      <c r="AZ808" s="71"/>
      <c r="BA808" s="71">
        <f t="shared" si="321"/>
        <v>0</v>
      </c>
      <c r="BI808" s="71"/>
      <c r="BJ808" s="71"/>
      <c r="BK808" s="71">
        <f t="shared" si="322"/>
        <v>0</v>
      </c>
      <c r="BM808" s="71"/>
      <c r="BN808" s="71"/>
      <c r="BO808" s="71">
        <f t="shared" si="323"/>
        <v>0</v>
      </c>
      <c r="BQ808" s="71"/>
      <c r="BR808" s="71"/>
      <c r="BS808" s="138">
        <f t="shared" si="324"/>
        <v>0</v>
      </c>
      <c r="BU808" s="71"/>
      <c r="BV808" s="71"/>
      <c r="BW808" s="71">
        <f t="shared" si="325"/>
        <v>0</v>
      </c>
      <c r="BZ808" s="71"/>
      <c r="CA808" s="71"/>
      <c r="CB808" s="71">
        <f t="shared" si="326"/>
        <v>0</v>
      </c>
      <c r="CD808" s="71"/>
      <c r="CE808" s="71"/>
      <c r="CF808" s="71">
        <f t="shared" si="327"/>
        <v>0</v>
      </c>
      <c r="CH808" s="71"/>
      <c r="CI808" s="71"/>
      <c r="CJ808" s="138">
        <f t="shared" si="328"/>
        <v>0</v>
      </c>
      <c r="CL808" s="71"/>
      <c r="CM808" s="71"/>
      <c r="CN808" s="71">
        <f t="shared" si="329"/>
        <v>0</v>
      </c>
      <c r="CS808" s="102">
        <f t="shared" si="330"/>
        <v>4.5293954747099576</v>
      </c>
      <c r="CT808" s="102">
        <f t="shared" si="331"/>
        <v>18.675175962423801</v>
      </c>
      <c r="CZ808" s="109" t="str">
        <f t="shared" si="332"/>
        <v>Basso</v>
      </c>
    </row>
    <row r="809" spans="9:104" x14ac:dyDescent="0.15">
      <c r="I809" s="64">
        <f t="shared" si="310"/>
        <v>76.99972307006928</v>
      </c>
      <c r="M809" s="64">
        <f t="shared" si="311"/>
        <v>0</v>
      </c>
      <c r="Q809" s="64">
        <f t="shared" si="312"/>
        <v>0</v>
      </c>
      <c r="U809" s="64">
        <f t="shared" si="313"/>
        <v>0</v>
      </c>
      <c r="Y809" s="114">
        <f t="shared" si="314"/>
        <v>0</v>
      </c>
      <c r="AC809" s="64">
        <f t="shared" si="315"/>
        <v>0</v>
      </c>
      <c r="AE809" s="71"/>
      <c r="AF809" s="71"/>
      <c r="AG809" s="71">
        <f t="shared" si="316"/>
        <v>0</v>
      </c>
      <c r="AK809" s="64">
        <f t="shared" si="317"/>
        <v>0</v>
      </c>
      <c r="AM809" s="71"/>
      <c r="AN809" s="71"/>
      <c r="AO809" s="71">
        <f t="shared" si="318"/>
        <v>0</v>
      </c>
      <c r="AQ809" s="71"/>
      <c r="AR809" s="71"/>
      <c r="AS809" s="71">
        <f t="shared" si="319"/>
        <v>0</v>
      </c>
      <c r="AU809" s="71"/>
      <c r="AV809" s="71"/>
      <c r="AW809" s="71">
        <f t="shared" si="320"/>
        <v>0</v>
      </c>
      <c r="AY809" s="71"/>
      <c r="AZ809" s="71"/>
      <c r="BA809" s="71">
        <f t="shared" si="321"/>
        <v>0</v>
      </c>
      <c r="BI809" s="71"/>
      <c r="BJ809" s="71"/>
      <c r="BK809" s="71">
        <f t="shared" si="322"/>
        <v>0</v>
      </c>
      <c r="BM809" s="71"/>
      <c r="BN809" s="71"/>
      <c r="BO809" s="71">
        <f t="shared" si="323"/>
        <v>0</v>
      </c>
      <c r="BQ809" s="71"/>
      <c r="BR809" s="71"/>
      <c r="BS809" s="138">
        <f t="shared" si="324"/>
        <v>0</v>
      </c>
      <c r="BU809" s="71"/>
      <c r="BV809" s="71"/>
      <c r="BW809" s="71">
        <f t="shared" si="325"/>
        <v>0</v>
      </c>
      <c r="BZ809" s="71"/>
      <c r="CA809" s="71"/>
      <c r="CB809" s="71">
        <f t="shared" si="326"/>
        <v>0</v>
      </c>
      <c r="CD809" s="71"/>
      <c r="CE809" s="71"/>
      <c r="CF809" s="71">
        <f t="shared" si="327"/>
        <v>0</v>
      </c>
      <c r="CH809" s="71"/>
      <c r="CI809" s="71"/>
      <c r="CJ809" s="138">
        <f t="shared" si="328"/>
        <v>0</v>
      </c>
      <c r="CL809" s="71"/>
      <c r="CM809" s="71"/>
      <c r="CN809" s="71">
        <f t="shared" si="329"/>
        <v>0</v>
      </c>
      <c r="CS809" s="102">
        <f t="shared" si="330"/>
        <v>4.5293954747099576</v>
      </c>
      <c r="CT809" s="102">
        <f t="shared" si="331"/>
        <v>18.675175962423801</v>
      </c>
      <c r="CZ809" s="109" t="str">
        <f t="shared" si="332"/>
        <v>Basso</v>
      </c>
    </row>
    <row r="810" spans="9:104" x14ac:dyDescent="0.15">
      <c r="I810" s="64">
        <f t="shared" si="310"/>
        <v>76.99972307006928</v>
      </c>
      <c r="M810" s="64">
        <f t="shared" si="311"/>
        <v>0</v>
      </c>
      <c r="Q810" s="64">
        <f t="shared" si="312"/>
        <v>0</v>
      </c>
      <c r="U810" s="64">
        <f t="shared" si="313"/>
        <v>0</v>
      </c>
      <c r="Y810" s="114">
        <f t="shared" si="314"/>
        <v>0</v>
      </c>
      <c r="AC810" s="64">
        <f t="shared" si="315"/>
        <v>0</v>
      </c>
      <c r="AE810" s="71"/>
      <c r="AF810" s="71"/>
      <c r="AG810" s="71">
        <f t="shared" si="316"/>
        <v>0</v>
      </c>
      <c r="AK810" s="64">
        <f t="shared" si="317"/>
        <v>0</v>
      </c>
      <c r="AM810" s="71"/>
      <c r="AN810" s="71"/>
      <c r="AO810" s="71">
        <f t="shared" si="318"/>
        <v>0</v>
      </c>
      <c r="AQ810" s="71"/>
      <c r="AR810" s="71"/>
      <c r="AS810" s="71">
        <f t="shared" si="319"/>
        <v>0</v>
      </c>
      <c r="AU810" s="71"/>
      <c r="AV810" s="71"/>
      <c r="AW810" s="71">
        <f t="shared" si="320"/>
        <v>0</v>
      </c>
      <c r="AY810" s="71"/>
      <c r="AZ810" s="71"/>
      <c r="BA810" s="71">
        <f t="shared" si="321"/>
        <v>0</v>
      </c>
      <c r="BI810" s="71"/>
      <c r="BJ810" s="71"/>
      <c r="BK810" s="71">
        <f t="shared" si="322"/>
        <v>0</v>
      </c>
      <c r="BM810" s="71"/>
      <c r="BN810" s="71"/>
      <c r="BO810" s="71">
        <f t="shared" si="323"/>
        <v>0</v>
      </c>
      <c r="BQ810" s="71"/>
      <c r="BR810" s="71"/>
      <c r="BS810" s="138">
        <f t="shared" si="324"/>
        <v>0</v>
      </c>
      <c r="BU810" s="71"/>
      <c r="BV810" s="71"/>
      <c r="BW810" s="71">
        <f t="shared" si="325"/>
        <v>0</v>
      </c>
      <c r="BZ810" s="71"/>
      <c r="CA810" s="71"/>
      <c r="CB810" s="71">
        <f t="shared" si="326"/>
        <v>0</v>
      </c>
      <c r="CD810" s="71"/>
      <c r="CE810" s="71"/>
      <c r="CF810" s="71">
        <f t="shared" si="327"/>
        <v>0</v>
      </c>
      <c r="CH810" s="71"/>
      <c r="CI810" s="71"/>
      <c r="CJ810" s="138">
        <f t="shared" si="328"/>
        <v>0</v>
      </c>
      <c r="CL810" s="71"/>
      <c r="CM810" s="71"/>
      <c r="CN810" s="71">
        <f t="shared" si="329"/>
        <v>0</v>
      </c>
      <c r="CS810" s="102">
        <f t="shared" si="330"/>
        <v>4.5293954747099576</v>
      </c>
      <c r="CT810" s="102">
        <f t="shared" si="331"/>
        <v>18.675175962423801</v>
      </c>
      <c r="CZ810" s="109" t="str">
        <f t="shared" si="332"/>
        <v>Basso</v>
      </c>
    </row>
    <row r="811" spans="9:104" x14ac:dyDescent="0.15">
      <c r="I811" s="64">
        <f t="shared" si="310"/>
        <v>76.99972307006928</v>
      </c>
      <c r="M811" s="64">
        <f t="shared" si="311"/>
        <v>0</v>
      </c>
      <c r="Q811" s="64">
        <f t="shared" si="312"/>
        <v>0</v>
      </c>
      <c r="U811" s="64">
        <f t="shared" si="313"/>
        <v>0</v>
      </c>
      <c r="Y811" s="114">
        <f t="shared" si="314"/>
        <v>0</v>
      </c>
      <c r="AC811" s="64">
        <f t="shared" si="315"/>
        <v>0</v>
      </c>
      <c r="AE811" s="71"/>
      <c r="AF811" s="71"/>
      <c r="AG811" s="71">
        <f t="shared" si="316"/>
        <v>0</v>
      </c>
      <c r="AK811" s="64">
        <f t="shared" si="317"/>
        <v>0</v>
      </c>
      <c r="AM811" s="71"/>
      <c r="AN811" s="71"/>
      <c r="AO811" s="71">
        <f t="shared" si="318"/>
        <v>0</v>
      </c>
      <c r="AQ811" s="71"/>
      <c r="AR811" s="71"/>
      <c r="AS811" s="71">
        <f t="shared" si="319"/>
        <v>0</v>
      </c>
      <c r="AU811" s="71"/>
      <c r="AV811" s="71"/>
      <c r="AW811" s="71">
        <f t="shared" si="320"/>
        <v>0</v>
      </c>
      <c r="AY811" s="71"/>
      <c r="AZ811" s="71"/>
      <c r="BA811" s="71">
        <f t="shared" si="321"/>
        <v>0</v>
      </c>
      <c r="BI811" s="71"/>
      <c r="BJ811" s="71"/>
      <c r="BK811" s="71">
        <f t="shared" si="322"/>
        <v>0</v>
      </c>
      <c r="BM811" s="71"/>
      <c r="BN811" s="71"/>
      <c r="BO811" s="71">
        <f t="shared" si="323"/>
        <v>0</v>
      </c>
      <c r="BQ811" s="71"/>
      <c r="BR811" s="71"/>
      <c r="BS811" s="138">
        <f t="shared" si="324"/>
        <v>0</v>
      </c>
      <c r="BU811" s="71"/>
      <c r="BV811" s="71"/>
      <c r="BW811" s="71">
        <f t="shared" si="325"/>
        <v>0</v>
      </c>
      <c r="BZ811" s="71"/>
      <c r="CA811" s="71"/>
      <c r="CB811" s="71">
        <f t="shared" si="326"/>
        <v>0</v>
      </c>
      <c r="CD811" s="71"/>
      <c r="CE811" s="71"/>
      <c r="CF811" s="71">
        <f t="shared" si="327"/>
        <v>0</v>
      </c>
      <c r="CH811" s="71"/>
      <c r="CI811" s="71"/>
      <c r="CJ811" s="138">
        <f t="shared" si="328"/>
        <v>0</v>
      </c>
      <c r="CL811" s="71"/>
      <c r="CM811" s="71"/>
      <c r="CN811" s="71">
        <f t="shared" si="329"/>
        <v>0</v>
      </c>
      <c r="CS811" s="102">
        <f t="shared" si="330"/>
        <v>4.5293954747099576</v>
      </c>
      <c r="CT811" s="102">
        <f t="shared" si="331"/>
        <v>18.675175962423801</v>
      </c>
      <c r="CZ811" s="109" t="str">
        <f t="shared" si="332"/>
        <v>Basso</v>
      </c>
    </row>
    <row r="812" spans="9:104" x14ac:dyDescent="0.15">
      <c r="I812" s="64">
        <f t="shared" si="310"/>
        <v>76.99972307006928</v>
      </c>
      <c r="M812" s="64">
        <f t="shared" si="311"/>
        <v>0</v>
      </c>
      <c r="Q812" s="64">
        <f t="shared" si="312"/>
        <v>0</v>
      </c>
      <c r="U812" s="64">
        <f t="shared" si="313"/>
        <v>0</v>
      </c>
      <c r="Y812" s="114">
        <f t="shared" si="314"/>
        <v>0</v>
      </c>
      <c r="AC812" s="64">
        <f t="shared" si="315"/>
        <v>0</v>
      </c>
      <c r="AE812" s="71"/>
      <c r="AF812" s="71"/>
      <c r="AG812" s="71">
        <f t="shared" si="316"/>
        <v>0</v>
      </c>
      <c r="AK812" s="64">
        <f t="shared" si="317"/>
        <v>0</v>
      </c>
      <c r="AM812" s="71"/>
      <c r="AN812" s="71"/>
      <c r="AO812" s="71">
        <f t="shared" si="318"/>
        <v>0</v>
      </c>
      <c r="AQ812" s="71"/>
      <c r="AR812" s="71"/>
      <c r="AS812" s="71">
        <f t="shared" si="319"/>
        <v>0</v>
      </c>
      <c r="AU812" s="71"/>
      <c r="AV812" s="71"/>
      <c r="AW812" s="71">
        <f t="shared" si="320"/>
        <v>0</v>
      </c>
      <c r="AY812" s="71"/>
      <c r="AZ812" s="71"/>
      <c r="BA812" s="71">
        <f t="shared" si="321"/>
        <v>0</v>
      </c>
      <c r="BI812" s="71"/>
      <c r="BJ812" s="71"/>
      <c r="BK812" s="71">
        <f t="shared" si="322"/>
        <v>0</v>
      </c>
      <c r="BM812" s="71"/>
      <c r="BN812" s="71"/>
      <c r="BO812" s="71">
        <f t="shared" si="323"/>
        <v>0</v>
      </c>
      <c r="BQ812" s="71"/>
      <c r="BR812" s="71"/>
      <c r="BS812" s="138">
        <f t="shared" si="324"/>
        <v>0</v>
      </c>
      <c r="BU812" s="71"/>
      <c r="BV812" s="71"/>
      <c r="BW812" s="71">
        <f t="shared" si="325"/>
        <v>0</v>
      </c>
      <c r="BZ812" s="71"/>
      <c r="CA812" s="71"/>
      <c r="CB812" s="71">
        <f t="shared" si="326"/>
        <v>0</v>
      </c>
      <c r="CD812" s="71"/>
      <c r="CE812" s="71"/>
      <c r="CF812" s="71">
        <f t="shared" si="327"/>
        <v>0</v>
      </c>
      <c r="CH812" s="71"/>
      <c r="CI812" s="71"/>
      <c r="CJ812" s="138">
        <f t="shared" si="328"/>
        <v>0</v>
      </c>
      <c r="CL812" s="71"/>
      <c r="CM812" s="71"/>
      <c r="CN812" s="71">
        <f t="shared" si="329"/>
        <v>0</v>
      </c>
      <c r="CS812" s="102">
        <f t="shared" si="330"/>
        <v>4.5293954747099576</v>
      </c>
      <c r="CT812" s="102">
        <f t="shared" si="331"/>
        <v>18.675175962423801</v>
      </c>
      <c r="CZ812" s="109" t="str">
        <f t="shared" si="332"/>
        <v>Basso</v>
      </c>
    </row>
    <row r="813" spans="9:104" x14ac:dyDescent="0.15">
      <c r="I813" s="64">
        <f t="shared" si="310"/>
        <v>76.99972307006928</v>
      </c>
      <c r="M813" s="64">
        <f t="shared" si="311"/>
        <v>0</v>
      </c>
      <c r="Q813" s="64">
        <f t="shared" si="312"/>
        <v>0</v>
      </c>
      <c r="U813" s="64">
        <f t="shared" si="313"/>
        <v>0</v>
      </c>
      <c r="Y813" s="114">
        <f t="shared" si="314"/>
        <v>0</v>
      </c>
      <c r="AC813" s="64">
        <f t="shared" si="315"/>
        <v>0</v>
      </c>
      <c r="AE813" s="71"/>
      <c r="AF813" s="71"/>
      <c r="AG813" s="71">
        <f t="shared" si="316"/>
        <v>0</v>
      </c>
      <c r="AK813" s="64">
        <f t="shared" si="317"/>
        <v>0</v>
      </c>
      <c r="AM813" s="71"/>
      <c r="AN813" s="71"/>
      <c r="AO813" s="71">
        <f t="shared" si="318"/>
        <v>0</v>
      </c>
      <c r="AQ813" s="71"/>
      <c r="AR813" s="71"/>
      <c r="AS813" s="71">
        <f t="shared" si="319"/>
        <v>0</v>
      </c>
      <c r="AU813" s="71"/>
      <c r="AV813" s="71"/>
      <c r="AW813" s="71">
        <f t="shared" si="320"/>
        <v>0</v>
      </c>
      <c r="AY813" s="71"/>
      <c r="AZ813" s="71"/>
      <c r="BA813" s="71">
        <f t="shared" si="321"/>
        <v>0</v>
      </c>
      <c r="BI813" s="71"/>
      <c r="BJ813" s="71"/>
      <c r="BK813" s="71">
        <f t="shared" si="322"/>
        <v>0</v>
      </c>
      <c r="BM813" s="71"/>
      <c r="BN813" s="71"/>
      <c r="BO813" s="71">
        <f t="shared" si="323"/>
        <v>0</v>
      </c>
      <c r="BQ813" s="71"/>
      <c r="BR813" s="71"/>
      <c r="BS813" s="138">
        <f t="shared" si="324"/>
        <v>0</v>
      </c>
      <c r="BU813" s="71"/>
      <c r="BV813" s="71"/>
      <c r="BW813" s="71">
        <f t="shared" si="325"/>
        <v>0</v>
      </c>
      <c r="BZ813" s="71"/>
      <c r="CA813" s="71"/>
      <c r="CB813" s="71">
        <f t="shared" si="326"/>
        <v>0</v>
      </c>
      <c r="CD813" s="71"/>
      <c r="CE813" s="71"/>
      <c r="CF813" s="71">
        <f t="shared" si="327"/>
        <v>0</v>
      </c>
      <c r="CH813" s="71"/>
      <c r="CI813" s="71"/>
      <c r="CJ813" s="138">
        <f t="shared" si="328"/>
        <v>0</v>
      </c>
      <c r="CL813" s="71"/>
      <c r="CM813" s="71"/>
      <c r="CN813" s="71">
        <f t="shared" si="329"/>
        <v>0</v>
      </c>
      <c r="CS813" s="102">
        <f t="shared" si="330"/>
        <v>4.5293954747099576</v>
      </c>
      <c r="CT813" s="102">
        <f t="shared" si="331"/>
        <v>18.675175962423801</v>
      </c>
      <c r="CZ813" s="109" t="str">
        <f t="shared" si="332"/>
        <v>Basso</v>
      </c>
    </row>
    <row r="814" spans="9:104" x14ac:dyDescent="0.15">
      <c r="I814" s="64">
        <f t="shared" si="310"/>
        <v>76.99972307006928</v>
      </c>
      <c r="M814" s="64">
        <f t="shared" si="311"/>
        <v>0</v>
      </c>
      <c r="Q814" s="64">
        <f t="shared" si="312"/>
        <v>0</v>
      </c>
      <c r="U814" s="64">
        <f t="shared" si="313"/>
        <v>0</v>
      </c>
      <c r="Y814" s="114">
        <f t="shared" si="314"/>
        <v>0</v>
      </c>
      <c r="AC814" s="64">
        <f t="shared" si="315"/>
        <v>0</v>
      </c>
      <c r="AE814" s="71"/>
      <c r="AF814" s="71"/>
      <c r="AG814" s="71">
        <f t="shared" si="316"/>
        <v>0</v>
      </c>
      <c r="AK814" s="64">
        <f t="shared" si="317"/>
        <v>0</v>
      </c>
      <c r="AM814" s="71"/>
      <c r="AN814" s="71"/>
      <c r="AO814" s="71">
        <f t="shared" si="318"/>
        <v>0</v>
      </c>
      <c r="AQ814" s="71"/>
      <c r="AR814" s="71"/>
      <c r="AS814" s="71">
        <f t="shared" si="319"/>
        <v>0</v>
      </c>
      <c r="AU814" s="71"/>
      <c r="AV814" s="71"/>
      <c r="AW814" s="71">
        <f t="shared" si="320"/>
        <v>0</v>
      </c>
      <c r="AY814" s="71"/>
      <c r="AZ814" s="71"/>
      <c r="BA814" s="71">
        <f t="shared" si="321"/>
        <v>0</v>
      </c>
      <c r="BI814" s="71"/>
      <c r="BJ814" s="71"/>
      <c r="BK814" s="71">
        <f t="shared" si="322"/>
        <v>0</v>
      </c>
      <c r="BM814" s="71"/>
      <c r="BN814" s="71"/>
      <c r="BO814" s="71">
        <f t="shared" si="323"/>
        <v>0</v>
      </c>
      <c r="BQ814" s="71"/>
      <c r="BR814" s="71"/>
      <c r="BS814" s="138">
        <f t="shared" si="324"/>
        <v>0</v>
      </c>
      <c r="BU814" s="71"/>
      <c r="BV814" s="71"/>
      <c r="BW814" s="71">
        <f t="shared" si="325"/>
        <v>0</v>
      </c>
      <c r="BZ814" s="71"/>
      <c r="CA814" s="71"/>
      <c r="CB814" s="71">
        <f t="shared" si="326"/>
        <v>0</v>
      </c>
      <c r="CD814" s="71"/>
      <c r="CE814" s="71"/>
      <c r="CF814" s="71">
        <f t="shared" si="327"/>
        <v>0</v>
      </c>
      <c r="CH814" s="71"/>
      <c r="CI814" s="71"/>
      <c r="CJ814" s="138">
        <f t="shared" si="328"/>
        <v>0</v>
      </c>
      <c r="CL814" s="71"/>
      <c r="CM814" s="71"/>
      <c r="CN814" s="71">
        <f t="shared" si="329"/>
        <v>0</v>
      </c>
      <c r="CS814" s="102">
        <f t="shared" si="330"/>
        <v>4.5293954747099576</v>
      </c>
      <c r="CT814" s="102">
        <f t="shared" si="331"/>
        <v>18.675175962423801</v>
      </c>
      <c r="CZ814" s="109" t="str">
        <f t="shared" si="332"/>
        <v>Basso</v>
      </c>
    </row>
    <row r="815" spans="9:104" x14ac:dyDescent="0.15">
      <c r="I815" s="64">
        <f t="shared" si="310"/>
        <v>76.99972307006928</v>
      </c>
      <c r="M815" s="64">
        <f t="shared" si="311"/>
        <v>0</v>
      </c>
      <c r="Q815" s="64">
        <f t="shared" si="312"/>
        <v>0</v>
      </c>
      <c r="U815" s="64">
        <f t="shared" si="313"/>
        <v>0</v>
      </c>
      <c r="Y815" s="114">
        <f t="shared" si="314"/>
        <v>0</v>
      </c>
      <c r="AC815" s="64">
        <f t="shared" si="315"/>
        <v>0</v>
      </c>
      <c r="AE815" s="71"/>
      <c r="AF815" s="71"/>
      <c r="AG815" s="71">
        <f t="shared" si="316"/>
        <v>0</v>
      </c>
      <c r="AK815" s="64">
        <f t="shared" si="317"/>
        <v>0</v>
      </c>
      <c r="AM815" s="71"/>
      <c r="AN815" s="71"/>
      <c r="AO815" s="71">
        <f t="shared" si="318"/>
        <v>0</v>
      </c>
      <c r="AQ815" s="71"/>
      <c r="AR815" s="71"/>
      <c r="AS815" s="71">
        <f t="shared" si="319"/>
        <v>0</v>
      </c>
      <c r="AU815" s="71"/>
      <c r="AV815" s="71"/>
      <c r="AW815" s="71">
        <f t="shared" si="320"/>
        <v>0</v>
      </c>
      <c r="AY815" s="71"/>
      <c r="AZ815" s="71"/>
      <c r="BA815" s="71">
        <f t="shared" si="321"/>
        <v>0</v>
      </c>
      <c r="BI815" s="71"/>
      <c r="BJ815" s="71"/>
      <c r="BK815" s="71">
        <f t="shared" si="322"/>
        <v>0</v>
      </c>
      <c r="BM815" s="71"/>
      <c r="BN815" s="71"/>
      <c r="BO815" s="71">
        <f t="shared" si="323"/>
        <v>0</v>
      </c>
      <c r="BQ815" s="71"/>
      <c r="BR815" s="71"/>
      <c r="BS815" s="138">
        <f t="shared" si="324"/>
        <v>0</v>
      </c>
      <c r="BU815" s="71"/>
      <c r="BV815" s="71"/>
      <c r="BW815" s="71">
        <f t="shared" si="325"/>
        <v>0</v>
      </c>
      <c r="BZ815" s="71"/>
      <c r="CA815" s="71"/>
      <c r="CB815" s="71">
        <f t="shared" si="326"/>
        <v>0</v>
      </c>
      <c r="CD815" s="71"/>
      <c r="CE815" s="71"/>
      <c r="CF815" s="71">
        <f t="shared" si="327"/>
        <v>0</v>
      </c>
      <c r="CH815" s="71"/>
      <c r="CI815" s="71"/>
      <c r="CJ815" s="138">
        <f t="shared" si="328"/>
        <v>0</v>
      </c>
      <c r="CL815" s="71"/>
      <c r="CM815" s="71"/>
      <c r="CN815" s="71">
        <f t="shared" si="329"/>
        <v>0</v>
      </c>
      <c r="CS815" s="102">
        <f t="shared" si="330"/>
        <v>4.5293954747099576</v>
      </c>
      <c r="CT815" s="102">
        <f t="shared" si="331"/>
        <v>18.675175962423801</v>
      </c>
      <c r="CZ815" s="109" t="str">
        <f t="shared" si="332"/>
        <v>Basso</v>
      </c>
    </row>
    <row r="816" spans="9:104" x14ac:dyDescent="0.15">
      <c r="I816" s="64">
        <f t="shared" si="310"/>
        <v>76.99972307006928</v>
      </c>
      <c r="M816" s="64">
        <f t="shared" si="311"/>
        <v>0</v>
      </c>
      <c r="Q816" s="64">
        <f t="shared" si="312"/>
        <v>0</v>
      </c>
      <c r="U816" s="64">
        <f t="shared" si="313"/>
        <v>0</v>
      </c>
      <c r="Y816" s="114">
        <f t="shared" si="314"/>
        <v>0</v>
      </c>
      <c r="AC816" s="64">
        <f t="shared" si="315"/>
        <v>0</v>
      </c>
      <c r="AE816" s="71"/>
      <c r="AF816" s="71"/>
      <c r="AG816" s="71">
        <f t="shared" si="316"/>
        <v>0</v>
      </c>
      <c r="AK816" s="64">
        <f t="shared" si="317"/>
        <v>0</v>
      </c>
      <c r="AM816" s="71"/>
      <c r="AN816" s="71"/>
      <c r="AO816" s="71">
        <f t="shared" si="318"/>
        <v>0</v>
      </c>
      <c r="AQ816" s="71"/>
      <c r="AR816" s="71"/>
      <c r="AS816" s="71">
        <f t="shared" si="319"/>
        <v>0</v>
      </c>
      <c r="AU816" s="71"/>
      <c r="AV816" s="71"/>
      <c r="AW816" s="71">
        <f t="shared" si="320"/>
        <v>0</v>
      </c>
      <c r="AY816" s="71"/>
      <c r="AZ816" s="71"/>
      <c r="BA816" s="71">
        <f t="shared" si="321"/>
        <v>0</v>
      </c>
      <c r="BI816" s="71"/>
      <c r="BJ816" s="71"/>
      <c r="BK816" s="71">
        <f t="shared" si="322"/>
        <v>0</v>
      </c>
      <c r="BM816" s="71"/>
      <c r="BN816" s="71"/>
      <c r="BO816" s="71">
        <f t="shared" si="323"/>
        <v>0</v>
      </c>
      <c r="BQ816" s="71"/>
      <c r="BR816" s="71"/>
      <c r="BS816" s="138">
        <f t="shared" si="324"/>
        <v>0</v>
      </c>
      <c r="BU816" s="71"/>
      <c r="BV816" s="71"/>
      <c r="BW816" s="71">
        <f t="shared" si="325"/>
        <v>0</v>
      </c>
      <c r="BZ816" s="71"/>
      <c r="CA816" s="71"/>
      <c r="CB816" s="71">
        <f t="shared" si="326"/>
        <v>0</v>
      </c>
      <c r="CD816" s="71"/>
      <c r="CE816" s="71"/>
      <c r="CF816" s="71">
        <f t="shared" si="327"/>
        <v>0</v>
      </c>
      <c r="CH816" s="71"/>
      <c r="CI816" s="71"/>
      <c r="CJ816" s="138">
        <f t="shared" si="328"/>
        <v>0</v>
      </c>
      <c r="CL816" s="71"/>
      <c r="CM816" s="71"/>
      <c r="CN816" s="71">
        <f t="shared" si="329"/>
        <v>0</v>
      </c>
      <c r="CS816" s="102">
        <f t="shared" si="330"/>
        <v>4.5293954747099576</v>
      </c>
      <c r="CT816" s="102">
        <f t="shared" si="331"/>
        <v>18.675175962423801</v>
      </c>
      <c r="CZ816" s="109" t="str">
        <f t="shared" si="332"/>
        <v>Basso</v>
      </c>
    </row>
    <row r="817" spans="9:104" x14ac:dyDescent="0.15">
      <c r="I817" s="64">
        <f t="shared" si="310"/>
        <v>76.99972307006928</v>
      </c>
      <c r="M817" s="64">
        <f t="shared" si="311"/>
        <v>0</v>
      </c>
      <c r="Q817" s="64">
        <f t="shared" si="312"/>
        <v>0</v>
      </c>
      <c r="U817" s="64">
        <f t="shared" si="313"/>
        <v>0</v>
      </c>
      <c r="Y817" s="114">
        <f t="shared" si="314"/>
        <v>0</v>
      </c>
      <c r="AC817" s="64">
        <f t="shared" si="315"/>
        <v>0</v>
      </c>
      <c r="AE817" s="71"/>
      <c r="AF817" s="71"/>
      <c r="AG817" s="71">
        <f t="shared" si="316"/>
        <v>0</v>
      </c>
      <c r="AK817" s="64">
        <f t="shared" si="317"/>
        <v>0</v>
      </c>
      <c r="AM817" s="71"/>
      <c r="AN817" s="71"/>
      <c r="AO817" s="71">
        <f t="shared" si="318"/>
        <v>0</v>
      </c>
      <c r="AQ817" s="71"/>
      <c r="AR817" s="71"/>
      <c r="AS817" s="71">
        <f t="shared" si="319"/>
        <v>0</v>
      </c>
      <c r="AU817" s="71"/>
      <c r="AV817" s="71"/>
      <c r="AW817" s="71">
        <f t="shared" si="320"/>
        <v>0</v>
      </c>
      <c r="AY817" s="71"/>
      <c r="AZ817" s="71"/>
      <c r="BA817" s="71">
        <f t="shared" si="321"/>
        <v>0</v>
      </c>
      <c r="BI817" s="71"/>
      <c r="BJ817" s="71"/>
      <c r="BK817" s="71">
        <f t="shared" si="322"/>
        <v>0</v>
      </c>
      <c r="BM817" s="71"/>
      <c r="BN817" s="71"/>
      <c r="BO817" s="71">
        <f t="shared" si="323"/>
        <v>0</v>
      </c>
      <c r="BQ817" s="71"/>
      <c r="BR817" s="71"/>
      <c r="BS817" s="138">
        <f t="shared" si="324"/>
        <v>0</v>
      </c>
      <c r="BU817" s="71"/>
      <c r="BV817" s="71"/>
      <c r="BW817" s="71">
        <f t="shared" si="325"/>
        <v>0</v>
      </c>
      <c r="BZ817" s="71"/>
      <c r="CA817" s="71"/>
      <c r="CB817" s="71">
        <f t="shared" si="326"/>
        <v>0</v>
      </c>
      <c r="CD817" s="71"/>
      <c r="CE817" s="71"/>
      <c r="CF817" s="71">
        <f t="shared" si="327"/>
        <v>0</v>
      </c>
      <c r="CH817" s="71"/>
      <c r="CI817" s="71"/>
      <c r="CJ817" s="138">
        <f t="shared" si="328"/>
        <v>0</v>
      </c>
      <c r="CL817" s="71"/>
      <c r="CM817" s="71"/>
      <c r="CN817" s="71">
        <f t="shared" si="329"/>
        <v>0</v>
      </c>
      <c r="CS817" s="102">
        <f t="shared" si="330"/>
        <v>4.5293954747099576</v>
      </c>
      <c r="CT817" s="102">
        <f t="shared" si="331"/>
        <v>18.675175962423801</v>
      </c>
      <c r="CZ817" s="109" t="str">
        <f t="shared" si="332"/>
        <v>Basso</v>
      </c>
    </row>
    <row r="818" spans="9:104" x14ac:dyDescent="0.15">
      <c r="I818" s="64">
        <f t="shared" si="310"/>
        <v>76.99972307006928</v>
      </c>
      <c r="M818" s="64">
        <f t="shared" si="311"/>
        <v>0</v>
      </c>
      <c r="Q818" s="64">
        <f t="shared" si="312"/>
        <v>0</v>
      </c>
      <c r="U818" s="64">
        <f t="shared" si="313"/>
        <v>0</v>
      </c>
      <c r="Y818" s="114">
        <f t="shared" si="314"/>
        <v>0</v>
      </c>
      <c r="AC818" s="64">
        <f t="shared" si="315"/>
        <v>0</v>
      </c>
      <c r="AE818" s="71"/>
      <c r="AF818" s="71"/>
      <c r="AG818" s="71">
        <f t="shared" si="316"/>
        <v>0</v>
      </c>
      <c r="AK818" s="64">
        <f t="shared" si="317"/>
        <v>0</v>
      </c>
      <c r="AM818" s="71"/>
      <c r="AN818" s="71"/>
      <c r="AO818" s="71">
        <f t="shared" si="318"/>
        <v>0</v>
      </c>
      <c r="AQ818" s="71"/>
      <c r="AR818" s="71"/>
      <c r="AS818" s="71">
        <f t="shared" si="319"/>
        <v>0</v>
      </c>
      <c r="AU818" s="71"/>
      <c r="AV818" s="71"/>
      <c r="AW818" s="71">
        <f t="shared" si="320"/>
        <v>0</v>
      </c>
      <c r="AY818" s="71"/>
      <c r="AZ818" s="71"/>
      <c r="BA818" s="71">
        <f t="shared" si="321"/>
        <v>0</v>
      </c>
      <c r="BI818" s="71"/>
      <c r="BJ818" s="71"/>
      <c r="BK818" s="71">
        <f t="shared" si="322"/>
        <v>0</v>
      </c>
      <c r="BM818" s="71"/>
      <c r="BN818" s="71"/>
      <c r="BO818" s="71">
        <f t="shared" si="323"/>
        <v>0</v>
      </c>
      <c r="BQ818" s="71"/>
      <c r="BR818" s="71"/>
      <c r="BS818" s="138">
        <f t="shared" si="324"/>
        <v>0</v>
      </c>
      <c r="BU818" s="71"/>
      <c r="BV818" s="71"/>
      <c r="BW818" s="71">
        <f t="shared" si="325"/>
        <v>0</v>
      </c>
      <c r="BZ818" s="71"/>
      <c r="CA818" s="71"/>
      <c r="CB818" s="71">
        <f t="shared" si="326"/>
        <v>0</v>
      </c>
      <c r="CD818" s="71"/>
      <c r="CE818" s="71"/>
      <c r="CF818" s="71">
        <f t="shared" si="327"/>
        <v>0</v>
      </c>
      <c r="CH818" s="71"/>
      <c r="CI818" s="71"/>
      <c r="CJ818" s="138">
        <f t="shared" si="328"/>
        <v>0</v>
      </c>
      <c r="CL818" s="71"/>
      <c r="CM818" s="71"/>
      <c r="CN818" s="71">
        <f t="shared" si="329"/>
        <v>0</v>
      </c>
      <c r="CS818" s="102">
        <f t="shared" si="330"/>
        <v>4.5293954747099576</v>
      </c>
      <c r="CT818" s="102">
        <f t="shared" si="331"/>
        <v>18.675175962423801</v>
      </c>
      <c r="CZ818" s="109" t="str">
        <f t="shared" si="332"/>
        <v>Basso</v>
      </c>
    </row>
    <row r="819" spans="9:104" x14ac:dyDescent="0.15">
      <c r="I819" s="64">
        <f t="shared" si="310"/>
        <v>76.99972307006928</v>
      </c>
      <c r="M819" s="64">
        <f t="shared" si="311"/>
        <v>0</v>
      </c>
      <c r="Q819" s="64">
        <f t="shared" si="312"/>
        <v>0</v>
      </c>
      <c r="U819" s="64">
        <f t="shared" si="313"/>
        <v>0</v>
      </c>
      <c r="Y819" s="114">
        <f t="shared" si="314"/>
        <v>0</v>
      </c>
      <c r="AC819" s="64">
        <f t="shared" si="315"/>
        <v>0</v>
      </c>
      <c r="AE819" s="71"/>
      <c r="AF819" s="71"/>
      <c r="AG819" s="71">
        <f t="shared" si="316"/>
        <v>0</v>
      </c>
      <c r="AK819" s="64">
        <f t="shared" si="317"/>
        <v>0</v>
      </c>
      <c r="AM819" s="71"/>
      <c r="AN819" s="71"/>
      <c r="AO819" s="71">
        <f t="shared" si="318"/>
        <v>0</v>
      </c>
      <c r="AQ819" s="71"/>
      <c r="AR819" s="71"/>
      <c r="AS819" s="71">
        <f t="shared" si="319"/>
        <v>0</v>
      </c>
      <c r="AU819" s="71"/>
      <c r="AV819" s="71"/>
      <c r="AW819" s="71">
        <f t="shared" si="320"/>
        <v>0</v>
      </c>
      <c r="AY819" s="71"/>
      <c r="AZ819" s="71"/>
      <c r="BA819" s="71">
        <f t="shared" si="321"/>
        <v>0</v>
      </c>
      <c r="BI819" s="71"/>
      <c r="BJ819" s="71"/>
      <c r="BK819" s="71">
        <f t="shared" si="322"/>
        <v>0</v>
      </c>
      <c r="BM819" s="71"/>
      <c r="BN819" s="71"/>
      <c r="BO819" s="71">
        <f t="shared" si="323"/>
        <v>0</v>
      </c>
      <c r="BQ819" s="71"/>
      <c r="BR819" s="71"/>
      <c r="BS819" s="138">
        <f t="shared" si="324"/>
        <v>0</v>
      </c>
      <c r="BU819" s="71"/>
      <c r="BV819" s="71"/>
      <c r="BW819" s="71">
        <f t="shared" si="325"/>
        <v>0</v>
      </c>
      <c r="BZ819" s="71"/>
      <c r="CA819" s="71"/>
      <c r="CB819" s="71">
        <f t="shared" si="326"/>
        <v>0</v>
      </c>
      <c r="CD819" s="71"/>
      <c r="CE819" s="71"/>
      <c r="CF819" s="71">
        <f t="shared" si="327"/>
        <v>0</v>
      </c>
      <c r="CH819" s="71"/>
      <c r="CI819" s="71"/>
      <c r="CJ819" s="138">
        <f t="shared" si="328"/>
        <v>0</v>
      </c>
      <c r="CL819" s="71"/>
      <c r="CM819" s="71"/>
      <c r="CN819" s="71">
        <f t="shared" si="329"/>
        <v>0</v>
      </c>
      <c r="CS819" s="102">
        <f t="shared" si="330"/>
        <v>4.5293954747099576</v>
      </c>
      <c r="CT819" s="102">
        <f t="shared" si="331"/>
        <v>18.675175962423801</v>
      </c>
      <c r="CZ819" s="109" t="str">
        <f t="shared" si="332"/>
        <v>Basso</v>
      </c>
    </row>
    <row r="820" spans="9:104" x14ac:dyDescent="0.15">
      <c r="I820" s="64">
        <f t="shared" si="310"/>
        <v>76.99972307006928</v>
      </c>
      <c r="M820" s="64">
        <f t="shared" si="311"/>
        <v>0</v>
      </c>
      <c r="Q820" s="64">
        <f t="shared" si="312"/>
        <v>0</v>
      </c>
      <c r="U820" s="64">
        <f t="shared" si="313"/>
        <v>0</v>
      </c>
      <c r="Y820" s="114">
        <f t="shared" si="314"/>
        <v>0</v>
      </c>
      <c r="AC820" s="64">
        <f t="shared" si="315"/>
        <v>0</v>
      </c>
      <c r="AE820" s="71"/>
      <c r="AF820" s="71"/>
      <c r="AG820" s="71">
        <f t="shared" si="316"/>
        <v>0</v>
      </c>
      <c r="AK820" s="64">
        <f t="shared" si="317"/>
        <v>0</v>
      </c>
      <c r="AM820" s="71"/>
      <c r="AN820" s="71"/>
      <c r="AO820" s="71">
        <f t="shared" si="318"/>
        <v>0</v>
      </c>
      <c r="AQ820" s="71"/>
      <c r="AR820" s="71"/>
      <c r="AS820" s="71">
        <f t="shared" si="319"/>
        <v>0</v>
      </c>
      <c r="AU820" s="71"/>
      <c r="AV820" s="71"/>
      <c r="AW820" s="71">
        <f t="shared" si="320"/>
        <v>0</v>
      </c>
      <c r="AY820" s="71"/>
      <c r="AZ820" s="71"/>
      <c r="BA820" s="71">
        <f t="shared" si="321"/>
        <v>0</v>
      </c>
      <c r="BI820" s="71"/>
      <c r="BJ820" s="71"/>
      <c r="BK820" s="71">
        <f t="shared" si="322"/>
        <v>0</v>
      </c>
      <c r="BM820" s="71"/>
      <c r="BN820" s="71"/>
      <c r="BO820" s="71">
        <f t="shared" si="323"/>
        <v>0</v>
      </c>
      <c r="BQ820" s="71"/>
      <c r="BR820" s="71"/>
      <c r="BS820" s="138">
        <f t="shared" si="324"/>
        <v>0</v>
      </c>
      <c r="BU820" s="71"/>
      <c r="BV820" s="71"/>
      <c r="BW820" s="71">
        <f t="shared" si="325"/>
        <v>0</v>
      </c>
      <c r="BZ820" s="71"/>
      <c r="CA820" s="71"/>
      <c r="CB820" s="71">
        <f t="shared" si="326"/>
        <v>0</v>
      </c>
      <c r="CD820" s="71"/>
      <c r="CE820" s="71"/>
      <c r="CF820" s="71">
        <f t="shared" si="327"/>
        <v>0</v>
      </c>
      <c r="CH820" s="71"/>
      <c r="CI820" s="71"/>
      <c r="CJ820" s="138">
        <f t="shared" si="328"/>
        <v>0</v>
      </c>
      <c r="CL820" s="71"/>
      <c r="CM820" s="71"/>
      <c r="CN820" s="71">
        <f t="shared" si="329"/>
        <v>0</v>
      </c>
      <c r="CS820" s="102">
        <f t="shared" si="330"/>
        <v>4.5293954747099576</v>
      </c>
      <c r="CT820" s="102">
        <f t="shared" si="331"/>
        <v>18.675175962423801</v>
      </c>
      <c r="CZ820" s="109" t="str">
        <f t="shared" si="332"/>
        <v>Basso</v>
      </c>
    </row>
    <row r="821" spans="9:104" x14ac:dyDescent="0.15">
      <c r="I821" s="64">
        <f t="shared" si="310"/>
        <v>76.99972307006928</v>
      </c>
      <c r="M821" s="64">
        <f t="shared" si="311"/>
        <v>0</v>
      </c>
      <c r="Q821" s="64">
        <f t="shared" si="312"/>
        <v>0</v>
      </c>
      <c r="U821" s="64">
        <f t="shared" si="313"/>
        <v>0</v>
      </c>
      <c r="Y821" s="114">
        <f t="shared" si="314"/>
        <v>0</v>
      </c>
      <c r="AC821" s="64">
        <f t="shared" si="315"/>
        <v>0</v>
      </c>
      <c r="AE821" s="71"/>
      <c r="AF821" s="71"/>
      <c r="AG821" s="71">
        <f t="shared" si="316"/>
        <v>0</v>
      </c>
      <c r="AK821" s="64">
        <f t="shared" si="317"/>
        <v>0</v>
      </c>
      <c r="AM821" s="71"/>
      <c r="AN821" s="71"/>
      <c r="AO821" s="71">
        <f t="shared" si="318"/>
        <v>0</v>
      </c>
      <c r="AQ821" s="71"/>
      <c r="AR821" s="71"/>
      <c r="AS821" s="71">
        <f t="shared" si="319"/>
        <v>0</v>
      </c>
      <c r="AU821" s="71"/>
      <c r="AV821" s="71"/>
      <c r="AW821" s="71">
        <f t="shared" si="320"/>
        <v>0</v>
      </c>
      <c r="AY821" s="71"/>
      <c r="AZ821" s="71"/>
      <c r="BA821" s="71">
        <f t="shared" si="321"/>
        <v>0</v>
      </c>
      <c r="BI821" s="71"/>
      <c r="BJ821" s="71"/>
      <c r="BK821" s="71">
        <f t="shared" si="322"/>
        <v>0</v>
      </c>
      <c r="BM821" s="71"/>
      <c r="BN821" s="71"/>
      <c r="BO821" s="71">
        <f t="shared" si="323"/>
        <v>0</v>
      </c>
      <c r="BQ821" s="71"/>
      <c r="BR821" s="71"/>
      <c r="BS821" s="138">
        <f t="shared" si="324"/>
        <v>0</v>
      </c>
      <c r="BU821" s="71"/>
      <c r="BV821" s="71"/>
      <c r="BW821" s="71">
        <f t="shared" si="325"/>
        <v>0</v>
      </c>
      <c r="BZ821" s="71"/>
      <c r="CA821" s="71"/>
      <c r="CB821" s="71">
        <f t="shared" si="326"/>
        <v>0</v>
      </c>
      <c r="CD821" s="71"/>
      <c r="CE821" s="71"/>
      <c r="CF821" s="71">
        <f t="shared" si="327"/>
        <v>0</v>
      </c>
      <c r="CH821" s="71"/>
      <c r="CI821" s="71"/>
      <c r="CJ821" s="138">
        <f t="shared" si="328"/>
        <v>0</v>
      </c>
      <c r="CL821" s="71"/>
      <c r="CM821" s="71"/>
      <c r="CN821" s="71">
        <f t="shared" si="329"/>
        <v>0</v>
      </c>
      <c r="CS821" s="102">
        <f t="shared" si="330"/>
        <v>4.5293954747099576</v>
      </c>
      <c r="CT821" s="102">
        <f t="shared" si="331"/>
        <v>18.675175962423801</v>
      </c>
      <c r="CZ821" s="109" t="str">
        <f t="shared" si="332"/>
        <v>Basso</v>
      </c>
    </row>
    <row r="822" spans="9:104" x14ac:dyDescent="0.15">
      <c r="I822" s="64">
        <f t="shared" si="310"/>
        <v>76.99972307006928</v>
      </c>
      <c r="M822" s="64">
        <f t="shared" si="311"/>
        <v>0</v>
      </c>
      <c r="Q822" s="64">
        <f t="shared" si="312"/>
        <v>0</v>
      </c>
      <c r="U822" s="64">
        <f t="shared" si="313"/>
        <v>0</v>
      </c>
      <c r="Y822" s="114">
        <f t="shared" si="314"/>
        <v>0</v>
      </c>
      <c r="AC822" s="64">
        <f t="shared" si="315"/>
        <v>0</v>
      </c>
      <c r="AE822" s="71"/>
      <c r="AF822" s="71"/>
      <c r="AG822" s="71">
        <f t="shared" si="316"/>
        <v>0</v>
      </c>
      <c r="AK822" s="64">
        <f t="shared" si="317"/>
        <v>0</v>
      </c>
      <c r="AM822" s="71"/>
      <c r="AN822" s="71"/>
      <c r="AO822" s="71">
        <f t="shared" si="318"/>
        <v>0</v>
      </c>
      <c r="AQ822" s="71"/>
      <c r="AR822" s="71"/>
      <c r="AS822" s="71">
        <f t="shared" si="319"/>
        <v>0</v>
      </c>
      <c r="AU822" s="71"/>
      <c r="AV822" s="71"/>
      <c r="AW822" s="71">
        <f t="shared" si="320"/>
        <v>0</v>
      </c>
      <c r="AY822" s="71"/>
      <c r="AZ822" s="71"/>
      <c r="BA822" s="71">
        <f t="shared" si="321"/>
        <v>0</v>
      </c>
      <c r="BI822" s="71"/>
      <c r="BJ822" s="71"/>
      <c r="BK822" s="71">
        <f t="shared" si="322"/>
        <v>0</v>
      </c>
      <c r="BM822" s="71"/>
      <c r="BN822" s="71"/>
      <c r="BO822" s="71">
        <f t="shared" si="323"/>
        <v>0</v>
      </c>
      <c r="BQ822" s="71"/>
      <c r="BR822" s="71"/>
      <c r="BS822" s="138">
        <f t="shared" si="324"/>
        <v>0</v>
      </c>
      <c r="BU822" s="71"/>
      <c r="BV822" s="71"/>
      <c r="BW822" s="71">
        <f t="shared" si="325"/>
        <v>0</v>
      </c>
      <c r="BZ822" s="71"/>
      <c r="CA822" s="71"/>
      <c r="CB822" s="71">
        <f t="shared" si="326"/>
        <v>0</v>
      </c>
      <c r="CD822" s="71"/>
      <c r="CE822" s="71"/>
      <c r="CF822" s="71">
        <f t="shared" si="327"/>
        <v>0</v>
      </c>
      <c r="CH822" s="71"/>
      <c r="CI822" s="71"/>
      <c r="CJ822" s="138">
        <f t="shared" si="328"/>
        <v>0</v>
      </c>
      <c r="CL822" s="71"/>
      <c r="CM822" s="71"/>
      <c r="CN822" s="71">
        <f t="shared" si="329"/>
        <v>0</v>
      </c>
      <c r="CS822" s="102">
        <f t="shared" si="330"/>
        <v>4.5293954747099576</v>
      </c>
      <c r="CT822" s="102">
        <f t="shared" si="331"/>
        <v>18.675175962423801</v>
      </c>
      <c r="CZ822" s="109" t="str">
        <f t="shared" si="332"/>
        <v>Basso</v>
      </c>
    </row>
    <row r="823" spans="9:104" x14ac:dyDescent="0.15">
      <c r="I823" s="64">
        <f t="shared" si="310"/>
        <v>76.99972307006928</v>
      </c>
      <c r="M823" s="64">
        <f t="shared" si="311"/>
        <v>0</v>
      </c>
      <c r="Q823" s="64">
        <f t="shared" si="312"/>
        <v>0</v>
      </c>
      <c r="U823" s="64">
        <f t="shared" si="313"/>
        <v>0</v>
      </c>
      <c r="Y823" s="114">
        <f t="shared" si="314"/>
        <v>0</v>
      </c>
      <c r="AC823" s="64">
        <f t="shared" si="315"/>
        <v>0</v>
      </c>
      <c r="AE823" s="71"/>
      <c r="AF823" s="71"/>
      <c r="AG823" s="71">
        <f t="shared" si="316"/>
        <v>0</v>
      </c>
      <c r="AK823" s="64">
        <f t="shared" si="317"/>
        <v>0</v>
      </c>
      <c r="AM823" s="71"/>
      <c r="AN823" s="71"/>
      <c r="AO823" s="71">
        <f t="shared" si="318"/>
        <v>0</v>
      </c>
      <c r="AQ823" s="71"/>
      <c r="AR823" s="71"/>
      <c r="AS823" s="71">
        <f t="shared" si="319"/>
        <v>0</v>
      </c>
      <c r="AU823" s="71"/>
      <c r="AV823" s="71"/>
      <c r="AW823" s="71">
        <f t="shared" si="320"/>
        <v>0</v>
      </c>
      <c r="AY823" s="71"/>
      <c r="AZ823" s="71"/>
      <c r="BA823" s="71">
        <f t="shared" si="321"/>
        <v>0</v>
      </c>
      <c r="BI823" s="71"/>
      <c r="BJ823" s="71"/>
      <c r="BK823" s="71">
        <f t="shared" si="322"/>
        <v>0</v>
      </c>
      <c r="BM823" s="71"/>
      <c r="BN823" s="71"/>
      <c r="BO823" s="71">
        <f t="shared" si="323"/>
        <v>0</v>
      </c>
      <c r="BQ823" s="71"/>
      <c r="BR823" s="71"/>
      <c r="BS823" s="138">
        <f t="shared" si="324"/>
        <v>0</v>
      </c>
      <c r="BU823" s="71"/>
      <c r="BV823" s="71"/>
      <c r="BW823" s="71">
        <f t="shared" si="325"/>
        <v>0</v>
      </c>
      <c r="BZ823" s="71"/>
      <c r="CA823" s="71"/>
      <c r="CB823" s="71">
        <f t="shared" si="326"/>
        <v>0</v>
      </c>
      <c r="CD823" s="71"/>
      <c r="CE823" s="71"/>
      <c r="CF823" s="71">
        <f t="shared" si="327"/>
        <v>0</v>
      </c>
      <c r="CH823" s="71"/>
      <c r="CI823" s="71"/>
      <c r="CJ823" s="138">
        <f t="shared" si="328"/>
        <v>0</v>
      </c>
      <c r="CL823" s="71"/>
      <c r="CM823" s="71"/>
      <c r="CN823" s="71">
        <f t="shared" si="329"/>
        <v>0</v>
      </c>
      <c r="CS823" s="102">
        <f t="shared" si="330"/>
        <v>4.5293954747099576</v>
      </c>
      <c r="CT823" s="102">
        <f t="shared" si="331"/>
        <v>18.675175962423801</v>
      </c>
      <c r="CZ823" s="109" t="str">
        <f t="shared" si="332"/>
        <v>Basso</v>
      </c>
    </row>
    <row r="824" spans="9:104" x14ac:dyDescent="0.15">
      <c r="I824" s="64">
        <f t="shared" si="310"/>
        <v>76.99972307006928</v>
      </c>
      <c r="M824" s="64">
        <f t="shared" si="311"/>
        <v>0</v>
      </c>
      <c r="Q824" s="64">
        <f t="shared" si="312"/>
        <v>0</v>
      </c>
      <c r="U824" s="64">
        <f t="shared" si="313"/>
        <v>0</v>
      </c>
      <c r="Y824" s="114">
        <f t="shared" si="314"/>
        <v>0</v>
      </c>
      <c r="AC824" s="64">
        <f t="shared" si="315"/>
        <v>0</v>
      </c>
      <c r="AE824" s="71"/>
      <c r="AF824" s="71"/>
      <c r="AG824" s="71">
        <f t="shared" si="316"/>
        <v>0</v>
      </c>
      <c r="AK824" s="64">
        <f t="shared" si="317"/>
        <v>0</v>
      </c>
      <c r="AM824" s="71"/>
      <c r="AN824" s="71"/>
      <c r="AO824" s="71">
        <f t="shared" si="318"/>
        <v>0</v>
      </c>
      <c r="AQ824" s="71"/>
      <c r="AR824" s="71"/>
      <c r="AS824" s="71">
        <f t="shared" si="319"/>
        <v>0</v>
      </c>
      <c r="AU824" s="71"/>
      <c r="AV824" s="71"/>
      <c r="AW824" s="71">
        <f t="shared" si="320"/>
        <v>0</v>
      </c>
      <c r="AY824" s="71"/>
      <c r="AZ824" s="71"/>
      <c r="BA824" s="71">
        <f t="shared" si="321"/>
        <v>0</v>
      </c>
      <c r="BI824" s="71"/>
      <c r="BJ824" s="71"/>
      <c r="BK824" s="71">
        <f t="shared" si="322"/>
        <v>0</v>
      </c>
      <c r="BM824" s="71"/>
      <c r="BN824" s="71"/>
      <c r="BO824" s="71">
        <f t="shared" si="323"/>
        <v>0</v>
      </c>
      <c r="BQ824" s="71"/>
      <c r="BR824" s="71"/>
      <c r="BS824" s="138">
        <f t="shared" si="324"/>
        <v>0</v>
      </c>
      <c r="BU824" s="71"/>
      <c r="BV824" s="71"/>
      <c r="BW824" s="71">
        <f t="shared" si="325"/>
        <v>0</v>
      </c>
      <c r="BZ824" s="71"/>
      <c r="CA824" s="71"/>
      <c r="CB824" s="71">
        <f t="shared" si="326"/>
        <v>0</v>
      </c>
      <c r="CD824" s="71"/>
      <c r="CE824" s="71"/>
      <c r="CF824" s="71">
        <f t="shared" si="327"/>
        <v>0</v>
      </c>
      <c r="CH824" s="71"/>
      <c r="CI824" s="71"/>
      <c r="CJ824" s="138">
        <f t="shared" si="328"/>
        <v>0</v>
      </c>
      <c r="CL824" s="71"/>
      <c r="CM824" s="71"/>
      <c r="CN824" s="71">
        <f t="shared" si="329"/>
        <v>0</v>
      </c>
      <c r="CS824" s="102">
        <f t="shared" si="330"/>
        <v>4.5293954747099576</v>
      </c>
      <c r="CT824" s="102">
        <f t="shared" si="331"/>
        <v>18.675175962423801</v>
      </c>
      <c r="CZ824" s="109" t="str">
        <f t="shared" si="332"/>
        <v>Basso</v>
      </c>
    </row>
    <row r="825" spans="9:104" x14ac:dyDescent="0.15">
      <c r="I825" s="64">
        <f t="shared" si="310"/>
        <v>76.99972307006928</v>
      </c>
      <c r="M825" s="64">
        <f t="shared" si="311"/>
        <v>0</v>
      </c>
      <c r="Q825" s="64">
        <f t="shared" si="312"/>
        <v>0</v>
      </c>
      <c r="U825" s="64">
        <f t="shared" si="313"/>
        <v>0</v>
      </c>
      <c r="Y825" s="114">
        <f t="shared" si="314"/>
        <v>0</v>
      </c>
      <c r="AC825" s="64">
        <f t="shared" si="315"/>
        <v>0</v>
      </c>
      <c r="AE825" s="71"/>
      <c r="AF825" s="71"/>
      <c r="AG825" s="71">
        <f t="shared" si="316"/>
        <v>0</v>
      </c>
      <c r="AK825" s="64">
        <f t="shared" si="317"/>
        <v>0</v>
      </c>
      <c r="AM825" s="71"/>
      <c r="AN825" s="71"/>
      <c r="AO825" s="71">
        <f t="shared" si="318"/>
        <v>0</v>
      </c>
      <c r="AQ825" s="71"/>
      <c r="AR825" s="71"/>
      <c r="AS825" s="71">
        <f t="shared" si="319"/>
        <v>0</v>
      </c>
      <c r="AU825" s="71"/>
      <c r="AV825" s="71"/>
      <c r="AW825" s="71">
        <f t="shared" si="320"/>
        <v>0</v>
      </c>
      <c r="AY825" s="71"/>
      <c r="AZ825" s="71"/>
      <c r="BA825" s="71">
        <f t="shared" si="321"/>
        <v>0</v>
      </c>
      <c r="BI825" s="71"/>
      <c r="BJ825" s="71"/>
      <c r="BK825" s="71">
        <f t="shared" si="322"/>
        <v>0</v>
      </c>
      <c r="BM825" s="71"/>
      <c r="BN825" s="71"/>
      <c r="BO825" s="71">
        <f t="shared" si="323"/>
        <v>0</v>
      </c>
      <c r="BQ825" s="71"/>
      <c r="BR825" s="71"/>
      <c r="BS825" s="138">
        <f t="shared" si="324"/>
        <v>0</v>
      </c>
      <c r="BU825" s="71"/>
      <c r="BV825" s="71"/>
      <c r="BW825" s="71">
        <f t="shared" si="325"/>
        <v>0</v>
      </c>
      <c r="BZ825" s="71"/>
      <c r="CA825" s="71"/>
      <c r="CB825" s="71">
        <f t="shared" si="326"/>
        <v>0</v>
      </c>
      <c r="CD825" s="71"/>
      <c r="CE825" s="71"/>
      <c r="CF825" s="71">
        <f t="shared" si="327"/>
        <v>0</v>
      </c>
      <c r="CH825" s="71"/>
      <c r="CI825" s="71"/>
      <c r="CJ825" s="138">
        <f t="shared" si="328"/>
        <v>0</v>
      </c>
      <c r="CL825" s="71"/>
      <c r="CM825" s="71"/>
      <c r="CN825" s="71">
        <f t="shared" si="329"/>
        <v>0</v>
      </c>
      <c r="CS825" s="102">
        <f t="shared" si="330"/>
        <v>4.5293954747099576</v>
      </c>
      <c r="CT825" s="102">
        <f t="shared" si="331"/>
        <v>18.675175962423801</v>
      </c>
      <c r="CZ825" s="109" t="str">
        <f t="shared" si="332"/>
        <v>Basso</v>
      </c>
    </row>
    <row r="826" spans="9:104" x14ac:dyDescent="0.15">
      <c r="I826" s="64">
        <f t="shared" si="310"/>
        <v>76.99972307006928</v>
      </c>
      <c r="M826" s="64">
        <f t="shared" si="311"/>
        <v>0</v>
      </c>
      <c r="Q826" s="64">
        <f t="shared" si="312"/>
        <v>0</v>
      </c>
      <c r="U826" s="64">
        <f t="shared" si="313"/>
        <v>0</v>
      </c>
      <c r="Y826" s="114">
        <f t="shared" si="314"/>
        <v>0</v>
      </c>
      <c r="AC826" s="64">
        <f t="shared" si="315"/>
        <v>0</v>
      </c>
      <c r="AE826" s="71"/>
      <c r="AF826" s="71"/>
      <c r="AG826" s="71">
        <f t="shared" si="316"/>
        <v>0</v>
      </c>
      <c r="AK826" s="64">
        <f t="shared" si="317"/>
        <v>0</v>
      </c>
      <c r="AM826" s="71"/>
      <c r="AN826" s="71"/>
      <c r="AO826" s="71">
        <f t="shared" si="318"/>
        <v>0</v>
      </c>
      <c r="AQ826" s="71"/>
      <c r="AR826" s="71"/>
      <c r="AS826" s="71">
        <f t="shared" si="319"/>
        <v>0</v>
      </c>
      <c r="AU826" s="71"/>
      <c r="AV826" s="71"/>
      <c r="AW826" s="71">
        <f t="shared" si="320"/>
        <v>0</v>
      </c>
      <c r="AY826" s="71"/>
      <c r="AZ826" s="71"/>
      <c r="BA826" s="71">
        <f t="shared" si="321"/>
        <v>0</v>
      </c>
      <c r="BI826" s="71"/>
      <c r="BJ826" s="71"/>
      <c r="BK826" s="71">
        <f t="shared" si="322"/>
        <v>0</v>
      </c>
      <c r="BM826" s="71"/>
      <c r="BN826" s="71"/>
      <c r="BO826" s="71">
        <f t="shared" si="323"/>
        <v>0</v>
      </c>
      <c r="BQ826" s="71"/>
      <c r="BR826" s="71"/>
      <c r="BS826" s="138">
        <f t="shared" si="324"/>
        <v>0</v>
      </c>
      <c r="BU826" s="71"/>
      <c r="BV826" s="71"/>
      <c r="BW826" s="71">
        <f t="shared" si="325"/>
        <v>0</v>
      </c>
      <c r="BZ826" s="71"/>
      <c r="CA826" s="71"/>
      <c r="CB826" s="71">
        <f t="shared" si="326"/>
        <v>0</v>
      </c>
      <c r="CD826" s="71"/>
      <c r="CE826" s="71"/>
      <c r="CF826" s="71">
        <f t="shared" si="327"/>
        <v>0</v>
      </c>
      <c r="CH826" s="71"/>
      <c r="CI826" s="71"/>
      <c r="CJ826" s="138">
        <f t="shared" si="328"/>
        <v>0</v>
      </c>
      <c r="CL826" s="71"/>
      <c r="CM826" s="71"/>
      <c r="CN826" s="71">
        <f t="shared" si="329"/>
        <v>0</v>
      </c>
      <c r="CS826" s="102">
        <f t="shared" si="330"/>
        <v>4.5293954747099576</v>
      </c>
      <c r="CT826" s="102">
        <f t="shared" si="331"/>
        <v>18.675175962423801</v>
      </c>
      <c r="CZ826" s="109" t="str">
        <f t="shared" si="332"/>
        <v>Basso</v>
      </c>
    </row>
    <row r="827" spans="9:104" x14ac:dyDescent="0.15">
      <c r="I827" s="64">
        <f t="shared" si="310"/>
        <v>76.99972307006928</v>
      </c>
      <c r="M827" s="64">
        <f t="shared" si="311"/>
        <v>0</v>
      </c>
      <c r="Q827" s="64">
        <f t="shared" si="312"/>
        <v>0</v>
      </c>
      <c r="U827" s="64">
        <f t="shared" si="313"/>
        <v>0</v>
      </c>
      <c r="Y827" s="114">
        <f t="shared" si="314"/>
        <v>0</v>
      </c>
      <c r="AC827" s="64">
        <f t="shared" si="315"/>
        <v>0</v>
      </c>
      <c r="AE827" s="71"/>
      <c r="AF827" s="71"/>
      <c r="AG827" s="71">
        <f t="shared" si="316"/>
        <v>0</v>
      </c>
      <c r="AK827" s="64">
        <f t="shared" si="317"/>
        <v>0</v>
      </c>
      <c r="AM827" s="71"/>
      <c r="AN827" s="71"/>
      <c r="AO827" s="71">
        <f t="shared" si="318"/>
        <v>0</v>
      </c>
      <c r="AQ827" s="71"/>
      <c r="AR827" s="71"/>
      <c r="AS827" s="71">
        <f t="shared" si="319"/>
        <v>0</v>
      </c>
      <c r="AU827" s="71"/>
      <c r="AV827" s="71"/>
      <c r="AW827" s="71">
        <f t="shared" si="320"/>
        <v>0</v>
      </c>
      <c r="AY827" s="71"/>
      <c r="AZ827" s="71"/>
      <c r="BA827" s="71">
        <f t="shared" si="321"/>
        <v>0</v>
      </c>
      <c r="BI827" s="71"/>
      <c r="BJ827" s="71"/>
      <c r="BK827" s="71">
        <f t="shared" si="322"/>
        <v>0</v>
      </c>
      <c r="BM827" s="71"/>
      <c r="BN827" s="71"/>
      <c r="BO827" s="71">
        <f t="shared" si="323"/>
        <v>0</v>
      </c>
      <c r="BQ827" s="71"/>
      <c r="BR827" s="71"/>
      <c r="BS827" s="138">
        <f t="shared" si="324"/>
        <v>0</v>
      </c>
      <c r="BU827" s="71"/>
      <c r="BV827" s="71"/>
      <c r="BW827" s="71">
        <f t="shared" si="325"/>
        <v>0</v>
      </c>
      <c r="BZ827" s="71"/>
      <c r="CA827" s="71"/>
      <c r="CB827" s="71">
        <f t="shared" si="326"/>
        <v>0</v>
      </c>
      <c r="CD827" s="71"/>
      <c r="CE827" s="71"/>
      <c r="CF827" s="71">
        <f t="shared" si="327"/>
        <v>0</v>
      </c>
      <c r="CH827" s="71"/>
      <c r="CI827" s="71"/>
      <c r="CJ827" s="138">
        <f t="shared" si="328"/>
        <v>0</v>
      </c>
      <c r="CL827" s="71"/>
      <c r="CM827" s="71"/>
      <c r="CN827" s="71">
        <f t="shared" si="329"/>
        <v>0</v>
      </c>
      <c r="CS827" s="102">
        <f t="shared" si="330"/>
        <v>4.5293954747099576</v>
      </c>
      <c r="CT827" s="102">
        <f t="shared" si="331"/>
        <v>18.675175962423801</v>
      </c>
      <c r="CZ827" s="109" t="str">
        <f t="shared" si="332"/>
        <v>Basso</v>
      </c>
    </row>
    <row r="828" spans="9:104" x14ac:dyDescent="0.15">
      <c r="I828" s="64">
        <f t="shared" si="310"/>
        <v>76.99972307006928</v>
      </c>
      <c r="M828" s="64">
        <f t="shared" si="311"/>
        <v>0</v>
      </c>
      <c r="Q828" s="64">
        <f t="shared" si="312"/>
        <v>0</v>
      </c>
      <c r="U828" s="64">
        <f t="shared" si="313"/>
        <v>0</v>
      </c>
      <c r="Y828" s="114">
        <f t="shared" si="314"/>
        <v>0</v>
      </c>
      <c r="AC828" s="64">
        <f t="shared" si="315"/>
        <v>0</v>
      </c>
      <c r="AE828" s="71"/>
      <c r="AF828" s="71"/>
      <c r="AG828" s="71">
        <f t="shared" si="316"/>
        <v>0</v>
      </c>
      <c r="AK828" s="64">
        <f t="shared" si="317"/>
        <v>0</v>
      </c>
      <c r="AM828" s="71"/>
      <c r="AN828" s="71"/>
      <c r="AO828" s="71">
        <f t="shared" si="318"/>
        <v>0</v>
      </c>
      <c r="AQ828" s="71"/>
      <c r="AR828" s="71"/>
      <c r="AS828" s="71">
        <f t="shared" si="319"/>
        <v>0</v>
      </c>
      <c r="AU828" s="71"/>
      <c r="AV828" s="71"/>
      <c r="AW828" s="71">
        <f t="shared" si="320"/>
        <v>0</v>
      </c>
      <c r="AY828" s="71"/>
      <c r="AZ828" s="71"/>
      <c r="BA828" s="71">
        <f t="shared" si="321"/>
        <v>0</v>
      </c>
      <c r="BI828" s="71"/>
      <c r="BJ828" s="71"/>
      <c r="BK828" s="71">
        <f t="shared" si="322"/>
        <v>0</v>
      </c>
      <c r="BM828" s="71"/>
      <c r="BN828" s="71"/>
      <c r="BO828" s="71">
        <f t="shared" si="323"/>
        <v>0</v>
      </c>
      <c r="BQ828" s="71"/>
      <c r="BR828" s="71"/>
      <c r="BS828" s="138">
        <f t="shared" si="324"/>
        <v>0</v>
      </c>
      <c r="BU828" s="71"/>
      <c r="BV828" s="71"/>
      <c r="BW828" s="71">
        <f t="shared" si="325"/>
        <v>0</v>
      </c>
      <c r="BZ828" s="71"/>
      <c r="CA828" s="71"/>
      <c r="CB828" s="71">
        <f t="shared" si="326"/>
        <v>0</v>
      </c>
      <c r="CD828" s="71"/>
      <c r="CE828" s="71"/>
      <c r="CF828" s="71">
        <f t="shared" si="327"/>
        <v>0</v>
      </c>
      <c r="CH828" s="71"/>
      <c r="CI828" s="71"/>
      <c r="CJ828" s="138">
        <f t="shared" si="328"/>
        <v>0</v>
      </c>
      <c r="CL828" s="71"/>
      <c r="CM828" s="71"/>
      <c r="CN828" s="71">
        <f t="shared" si="329"/>
        <v>0</v>
      </c>
      <c r="CS828" s="102">
        <f t="shared" si="330"/>
        <v>4.5293954747099576</v>
      </c>
      <c r="CT828" s="102">
        <f t="shared" si="331"/>
        <v>18.675175962423801</v>
      </c>
      <c r="CZ828" s="109" t="str">
        <f t="shared" si="332"/>
        <v>Basso</v>
      </c>
    </row>
    <row r="829" spans="9:104" x14ac:dyDescent="0.15">
      <c r="I829" s="64">
        <f t="shared" si="310"/>
        <v>76.99972307006928</v>
      </c>
      <c r="M829" s="64">
        <f t="shared" si="311"/>
        <v>0</v>
      </c>
      <c r="Q829" s="64">
        <f t="shared" si="312"/>
        <v>0</v>
      </c>
      <c r="U829" s="64">
        <f t="shared" si="313"/>
        <v>0</v>
      </c>
      <c r="Y829" s="114">
        <f t="shared" si="314"/>
        <v>0</v>
      </c>
      <c r="AC829" s="64">
        <f t="shared" si="315"/>
        <v>0</v>
      </c>
      <c r="AE829" s="71"/>
      <c r="AF829" s="71"/>
      <c r="AG829" s="71">
        <f t="shared" si="316"/>
        <v>0</v>
      </c>
      <c r="AK829" s="64">
        <f t="shared" si="317"/>
        <v>0</v>
      </c>
      <c r="AM829" s="71"/>
      <c r="AN829" s="71"/>
      <c r="AO829" s="71">
        <f t="shared" si="318"/>
        <v>0</v>
      </c>
      <c r="AQ829" s="71"/>
      <c r="AR829" s="71"/>
      <c r="AS829" s="71">
        <f t="shared" si="319"/>
        <v>0</v>
      </c>
      <c r="AU829" s="71"/>
      <c r="AV829" s="71"/>
      <c r="AW829" s="71">
        <f t="shared" si="320"/>
        <v>0</v>
      </c>
      <c r="AY829" s="71"/>
      <c r="AZ829" s="71"/>
      <c r="BA829" s="71">
        <f t="shared" si="321"/>
        <v>0</v>
      </c>
      <c r="BI829" s="71"/>
      <c r="BJ829" s="71"/>
      <c r="BK829" s="71">
        <f t="shared" si="322"/>
        <v>0</v>
      </c>
      <c r="BM829" s="71"/>
      <c r="BN829" s="71"/>
      <c r="BO829" s="71">
        <f t="shared" si="323"/>
        <v>0</v>
      </c>
      <c r="BQ829" s="71"/>
      <c r="BR829" s="71"/>
      <c r="BS829" s="138">
        <f t="shared" si="324"/>
        <v>0</v>
      </c>
      <c r="BU829" s="71"/>
      <c r="BV829" s="71"/>
      <c r="BW829" s="71">
        <f t="shared" si="325"/>
        <v>0</v>
      </c>
      <c r="BZ829" s="71"/>
      <c r="CA829" s="71"/>
      <c r="CB829" s="71">
        <f t="shared" si="326"/>
        <v>0</v>
      </c>
      <c r="CD829" s="71"/>
      <c r="CE829" s="71"/>
      <c r="CF829" s="71">
        <f t="shared" si="327"/>
        <v>0</v>
      </c>
      <c r="CH829" s="71"/>
      <c r="CI829" s="71"/>
      <c r="CJ829" s="138">
        <f t="shared" si="328"/>
        <v>0</v>
      </c>
      <c r="CL829" s="71"/>
      <c r="CM829" s="71"/>
      <c r="CN829" s="71">
        <f t="shared" si="329"/>
        <v>0</v>
      </c>
      <c r="CS829" s="102">
        <f t="shared" si="330"/>
        <v>4.5293954747099576</v>
      </c>
      <c r="CT829" s="102">
        <f t="shared" si="331"/>
        <v>18.675175962423801</v>
      </c>
      <c r="CZ829" s="109" t="str">
        <f t="shared" si="332"/>
        <v>Basso</v>
      </c>
    </row>
    <row r="830" spans="9:104" x14ac:dyDescent="0.15">
      <c r="I830" s="64">
        <f t="shared" si="310"/>
        <v>76.99972307006928</v>
      </c>
      <c r="M830" s="64">
        <f t="shared" si="311"/>
        <v>0</v>
      </c>
      <c r="Q830" s="64">
        <f t="shared" si="312"/>
        <v>0</v>
      </c>
      <c r="U830" s="64">
        <f t="shared" si="313"/>
        <v>0</v>
      </c>
      <c r="Y830" s="114">
        <f t="shared" si="314"/>
        <v>0</v>
      </c>
      <c r="AC830" s="64">
        <f t="shared" si="315"/>
        <v>0</v>
      </c>
      <c r="AE830" s="71"/>
      <c r="AF830" s="71"/>
      <c r="AG830" s="71">
        <f t="shared" si="316"/>
        <v>0</v>
      </c>
      <c r="AK830" s="64">
        <f t="shared" si="317"/>
        <v>0</v>
      </c>
      <c r="AM830" s="71"/>
      <c r="AN830" s="71"/>
      <c r="AO830" s="71">
        <f t="shared" si="318"/>
        <v>0</v>
      </c>
      <c r="AQ830" s="71"/>
      <c r="AR830" s="71"/>
      <c r="AS830" s="71">
        <f t="shared" si="319"/>
        <v>0</v>
      </c>
      <c r="AU830" s="71"/>
      <c r="AV830" s="71"/>
      <c r="AW830" s="71">
        <f t="shared" si="320"/>
        <v>0</v>
      </c>
      <c r="AY830" s="71"/>
      <c r="AZ830" s="71"/>
      <c r="BA830" s="71">
        <f t="shared" si="321"/>
        <v>0</v>
      </c>
      <c r="BI830" s="71"/>
      <c r="BJ830" s="71"/>
      <c r="BK830" s="71">
        <f t="shared" si="322"/>
        <v>0</v>
      </c>
      <c r="BM830" s="71"/>
      <c r="BN830" s="71"/>
      <c r="BO830" s="71">
        <f t="shared" si="323"/>
        <v>0</v>
      </c>
      <c r="BQ830" s="71"/>
      <c r="BR830" s="71"/>
      <c r="BS830" s="138">
        <f t="shared" si="324"/>
        <v>0</v>
      </c>
      <c r="BU830" s="71"/>
      <c r="BV830" s="71"/>
      <c r="BW830" s="71">
        <f t="shared" si="325"/>
        <v>0</v>
      </c>
      <c r="BZ830" s="71"/>
      <c r="CA830" s="71"/>
      <c r="CB830" s="71">
        <f t="shared" si="326"/>
        <v>0</v>
      </c>
      <c r="CD830" s="71"/>
      <c r="CE830" s="71"/>
      <c r="CF830" s="71">
        <f t="shared" si="327"/>
        <v>0</v>
      </c>
      <c r="CH830" s="71"/>
      <c r="CI830" s="71"/>
      <c r="CJ830" s="138">
        <f t="shared" si="328"/>
        <v>0</v>
      </c>
      <c r="CL830" s="71"/>
      <c r="CM830" s="71"/>
      <c r="CN830" s="71">
        <f t="shared" si="329"/>
        <v>0</v>
      </c>
      <c r="CS830" s="102">
        <f t="shared" si="330"/>
        <v>4.5293954747099576</v>
      </c>
      <c r="CT830" s="102">
        <f t="shared" si="331"/>
        <v>18.675175962423801</v>
      </c>
      <c r="CZ830" s="109" t="str">
        <f t="shared" si="332"/>
        <v>Basso</v>
      </c>
    </row>
    <row r="831" spans="9:104" x14ac:dyDescent="0.15">
      <c r="I831" s="64">
        <f t="shared" si="310"/>
        <v>76.99972307006928</v>
      </c>
      <c r="M831" s="64">
        <f t="shared" si="311"/>
        <v>0</v>
      </c>
      <c r="Q831" s="64">
        <f t="shared" si="312"/>
        <v>0</v>
      </c>
      <c r="U831" s="64">
        <f t="shared" si="313"/>
        <v>0</v>
      </c>
      <c r="Y831" s="114">
        <f t="shared" si="314"/>
        <v>0</v>
      </c>
      <c r="AC831" s="64">
        <f t="shared" si="315"/>
        <v>0</v>
      </c>
      <c r="AE831" s="71"/>
      <c r="AF831" s="71"/>
      <c r="AG831" s="71">
        <f t="shared" si="316"/>
        <v>0</v>
      </c>
      <c r="AK831" s="64">
        <f t="shared" si="317"/>
        <v>0</v>
      </c>
      <c r="AM831" s="71"/>
      <c r="AN831" s="71"/>
      <c r="AO831" s="71">
        <f t="shared" si="318"/>
        <v>0</v>
      </c>
      <c r="AQ831" s="71"/>
      <c r="AR831" s="71"/>
      <c r="AS831" s="71">
        <f t="shared" si="319"/>
        <v>0</v>
      </c>
      <c r="AU831" s="71"/>
      <c r="AV831" s="71"/>
      <c r="AW831" s="71">
        <f t="shared" si="320"/>
        <v>0</v>
      </c>
      <c r="AY831" s="71"/>
      <c r="AZ831" s="71"/>
      <c r="BA831" s="71">
        <f t="shared" si="321"/>
        <v>0</v>
      </c>
      <c r="BI831" s="71"/>
      <c r="BJ831" s="71"/>
      <c r="BK831" s="71">
        <f t="shared" si="322"/>
        <v>0</v>
      </c>
      <c r="BM831" s="71"/>
      <c r="BN831" s="71"/>
      <c r="BO831" s="71">
        <f t="shared" si="323"/>
        <v>0</v>
      </c>
      <c r="BQ831" s="71"/>
      <c r="BR831" s="71"/>
      <c r="BS831" s="138">
        <f t="shared" si="324"/>
        <v>0</v>
      </c>
      <c r="BU831" s="71"/>
      <c r="BV831" s="71"/>
      <c r="BW831" s="71">
        <f t="shared" si="325"/>
        <v>0</v>
      </c>
      <c r="BZ831" s="71"/>
      <c r="CA831" s="71"/>
      <c r="CB831" s="71">
        <f t="shared" si="326"/>
        <v>0</v>
      </c>
      <c r="CD831" s="71"/>
      <c r="CE831" s="71"/>
      <c r="CF831" s="71">
        <f t="shared" si="327"/>
        <v>0</v>
      </c>
      <c r="CH831" s="71"/>
      <c r="CI831" s="71"/>
      <c r="CJ831" s="138">
        <f t="shared" si="328"/>
        <v>0</v>
      </c>
      <c r="CL831" s="71"/>
      <c r="CM831" s="71"/>
      <c r="CN831" s="71">
        <f t="shared" si="329"/>
        <v>0</v>
      </c>
      <c r="CS831" s="102">
        <f t="shared" si="330"/>
        <v>4.5293954747099576</v>
      </c>
      <c r="CT831" s="102">
        <f t="shared" si="331"/>
        <v>18.675175962423801</v>
      </c>
      <c r="CZ831" s="109" t="str">
        <f t="shared" si="332"/>
        <v>Basso</v>
      </c>
    </row>
    <row r="832" spans="9:104" x14ac:dyDescent="0.15">
      <c r="I832" s="64">
        <f t="shared" si="310"/>
        <v>76.99972307006928</v>
      </c>
      <c r="M832" s="64">
        <f t="shared" si="311"/>
        <v>0</v>
      </c>
      <c r="Q832" s="64">
        <f t="shared" si="312"/>
        <v>0</v>
      </c>
      <c r="U832" s="64">
        <f t="shared" si="313"/>
        <v>0</v>
      </c>
      <c r="Y832" s="114">
        <f t="shared" si="314"/>
        <v>0</v>
      </c>
      <c r="AC832" s="64">
        <f t="shared" si="315"/>
        <v>0</v>
      </c>
      <c r="AE832" s="71"/>
      <c r="AF832" s="71"/>
      <c r="AG832" s="71">
        <f t="shared" si="316"/>
        <v>0</v>
      </c>
      <c r="AK832" s="64">
        <f t="shared" si="317"/>
        <v>0</v>
      </c>
      <c r="AM832" s="71"/>
      <c r="AN832" s="71"/>
      <c r="AO832" s="71">
        <f t="shared" si="318"/>
        <v>0</v>
      </c>
      <c r="AQ832" s="71"/>
      <c r="AR832" s="71"/>
      <c r="AS832" s="71">
        <f t="shared" si="319"/>
        <v>0</v>
      </c>
      <c r="AU832" s="71"/>
      <c r="AV832" s="71"/>
      <c r="AW832" s="71">
        <f t="shared" si="320"/>
        <v>0</v>
      </c>
      <c r="AY832" s="71"/>
      <c r="AZ832" s="71"/>
      <c r="BA832" s="71">
        <f t="shared" si="321"/>
        <v>0</v>
      </c>
      <c r="BI832" s="71"/>
      <c r="BJ832" s="71"/>
      <c r="BK832" s="71">
        <f t="shared" si="322"/>
        <v>0</v>
      </c>
      <c r="BM832" s="71"/>
      <c r="BN832" s="71"/>
      <c r="BO832" s="71">
        <f t="shared" si="323"/>
        <v>0</v>
      </c>
      <c r="BQ832" s="71"/>
      <c r="BR832" s="71"/>
      <c r="BS832" s="138">
        <f t="shared" si="324"/>
        <v>0</v>
      </c>
      <c r="BU832" s="71"/>
      <c r="BV832" s="71"/>
      <c r="BW832" s="71">
        <f t="shared" si="325"/>
        <v>0</v>
      </c>
      <c r="BZ832" s="71"/>
      <c r="CA832" s="71"/>
      <c r="CB832" s="71">
        <f t="shared" si="326"/>
        <v>0</v>
      </c>
      <c r="CD832" s="71"/>
      <c r="CE832" s="71"/>
      <c r="CF832" s="71">
        <f t="shared" si="327"/>
        <v>0</v>
      </c>
      <c r="CH832" s="71"/>
      <c r="CI832" s="71"/>
      <c r="CJ832" s="138">
        <f t="shared" si="328"/>
        <v>0</v>
      </c>
      <c r="CL832" s="71"/>
      <c r="CM832" s="71"/>
      <c r="CN832" s="71">
        <f t="shared" si="329"/>
        <v>0</v>
      </c>
      <c r="CS832" s="102">
        <f t="shared" si="330"/>
        <v>4.5293954747099576</v>
      </c>
      <c r="CT832" s="102">
        <f t="shared" si="331"/>
        <v>18.675175962423801</v>
      </c>
      <c r="CZ832" s="109" t="str">
        <f t="shared" si="332"/>
        <v>Basso</v>
      </c>
    </row>
    <row r="833" spans="9:104" x14ac:dyDescent="0.15">
      <c r="I833" s="64">
        <f t="shared" si="310"/>
        <v>76.99972307006928</v>
      </c>
      <c r="M833" s="64">
        <f t="shared" si="311"/>
        <v>0</v>
      </c>
      <c r="Q833" s="64">
        <f t="shared" si="312"/>
        <v>0</v>
      </c>
      <c r="U833" s="64">
        <f t="shared" si="313"/>
        <v>0</v>
      </c>
      <c r="Y833" s="114">
        <f t="shared" si="314"/>
        <v>0</v>
      </c>
      <c r="AC833" s="64">
        <f t="shared" si="315"/>
        <v>0</v>
      </c>
      <c r="AE833" s="71"/>
      <c r="AF833" s="71"/>
      <c r="AG833" s="71">
        <f t="shared" si="316"/>
        <v>0</v>
      </c>
      <c r="AK833" s="64">
        <f t="shared" si="317"/>
        <v>0</v>
      </c>
      <c r="AM833" s="71"/>
      <c r="AN833" s="71"/>
      <c r="AO833" s="71">
        <f t="shared" si="318"/>
        <v>0</v>
      </c>
      <c r="AQ833" s="71"/>
      <c r="AR833" s="71"/>
      <c r="AS833" s="71">
        <f t="shared" si="319"/>
        <v>0</v>
      </c>
      <c r="AU833" s="71"/>
      <c r="AV833" s="71"/>
      <c r="AW833" s="71">
        <f t="shared" si="320"/>
        <v>0</v>
      </c>
      <c r="AY833" s="71"/>
      <c r="AZ833" s="71"/>
      <c r="BA833" s="71">
        <f t="shared" si="321"/>
        <v>0</v>
      </c>
      <c r="BI833" s="71"/>
      <c r="BJ833" s="71"/>
      <c r="BK833" s="71">
        <f t="shared" si="322"/>
        <v>0</v>
      </c>
      <c r="BM833" s="71"/>
      <c r="BN833" s="71"/>
      <c r="BO833" s="71">
        <f t="shared" si="323"/>
        <v>0</v>
      </c>
      <c r="BQ833" s="71"/>
      <c r="BR833" s="71"/>
      <c r="BS833" s="138">
        <f t="shared" si="324"/>
        <v>0</v>
      </c>
      <c r="BU833" s="71"/>
      <c r="BV833" s="71"/>
      <c r="BW833" s="71">
        <f t="shared" si="325"/>
        <v>0</v>
      </c>
      <c r="BZ833" s="71"/>
      <c r="CA833" s="71"/>
      <c r="CB833" s="71">
        <f t="shared" si="326"/>
        <v>0</v>
      </c>
      <c r="CD833" s="71"/>
      <c r="CE833" s="71"/>
      <c r="CF833" s="71">
        <f t="shared" si="327"/>
        <v>0</v>
      </c>
      <c r="CH833" s="71"/>
      <c r="CI833" s="71"/>
      <c r="CJ833" s="138">
        <f t="shared" si="328"/>
        <v>0</v>
      </c>
      <c r="CL833" s="71"/>
      <c r="CM833" s="71"/>
      <c r="CN833" s="71">
        <f t="shared" si="329"/>
        <v>0</v>
      </c>
      <c r="CS833" s="102">
        <f t="shared" si="330"/>
        <v>4.5293954747099576</v>
      </c>
      <c r="CT833" s="102">
        <f t="shared" si="331"/>
        <v>18.675175962423801</v>
      </c>
      <c r="CZ833" s="109" t="str">
        <f t="shared" si="332"/>
        <v>Basso</v>
      </c>
    </row>
    <row r="834" spans="9:104" x14ac:dyDescent="0.15">
      <c r="I834" s="64">
        <f t="shared" si="310"/>
        <v>76.99972307006928</v>
      </c>
      <c r="M834" s="64">
        <f t="shared" si="311"/>
        <v>0</v>
      </c>
      <c r="Q834" s="64">
        <f t="shared" si="312"/>
        <v>0</v>
      </c>
      <c r="U834" s="64">
        <f t="shared" si="313"/>
        <v>0</v>
      </c>
      <c r="Y834" s="114">
        <f t="shared" si="314"/>
        <v>0</v>
      </c>
      <c r="AC834" s="64">
        <f t="shared" si="315"/>
        <v>0</v>
      </c>
      <c r="AE834" s="71"/>
      <c r="AF834" s="71"/>
      <c r="AG834" s="71">
        <f t="shared" si="316"/>
        <v>0</v>
      </c>
      <c r="AK834" s="64">
        <f t="shared" si="317"/>
        <v>0</v>
      </c>
      <c r="AM834" s="71"/>
      <c r="AN834" s="71"/>
      <c r="AO834" s="71">
        <f t="shared" si="318"/>
        <v>0</v>
      </c>
      <c r="AQ834" s="71"/>
      <c r="AR834" s="71"/>
      <c r="AS834" s="71">
        <f t="shared" si="319"/>
        <v>0</v>
      </c>
      <c r="AU834" s="71"/>
      <c r="AV834" s="71"/>
      <c r="AW834" s="71">
        <f t="shared" si="320"/>
        <v>0</v>
      </c>
      <c r="AY834" s="71"/>
      <c r="AZ834" s="71"/>
      <c r="BA834" s="71">
        <f t="shared" si="321"/>
        <v>0</v>
      </c>
      <c r="BI834" s="71"/>
      <c r="BJ834" s="71"/>
      <c r="BK834" s="71">
        <f t="shared" si="322"/>
        <v>0</v>
      </c>
      <c r="BM834" s="71"/>
      <c r="BN834" s="71"/>
      <c r="BO834" s="71">
        <f t="shared" si="323"/>
        <v>0</v>
      </c>
      <c r="BQ834" s="71"/>
      <c r="BR834" s="71"/>
      <c r="BS834" s="138">
        <f t="shared" si="324"/>
        <v>0</v>
      </c>
      <c r="BU834" s="71"/>
      <c r="BV834" s="71"/>
      <c r="BW834" s="71">
        <f t="shared" si="325"/>
        <v>0</v>
      </c>
      <c r="BZ834" s="71"/>
      <c r="CA834" s="71"/>
      <c r="CB834" s="71">
        <f t="shared" si="326"/>
        <v>0</v>
      </c>
      <c r="CD834" s="71"/>
      <c r="CE834" s="71"/>
      <c r="CF834" s="71">
        <f t="shared" si="327"/>
        <v>0</v>
      </c>
      <c r="CH834" s="71"/>
      <c r="CI834" s="71"/>
      <c r="CJ834" s="138">
        <f t="shared" si="328"/>
        <v>0</v>
      </c>
      <c r="CL834" s="71"/>
      <c r="CM834" s="71"/>
      <c r="CN834" s="71">
        <f t="shared" si="329"/>
        <v>0</v>
      </c>
      <c r="CS834" s="102">
        <f t="shared" si="330"/>
        <v>4.5293954747099576</v>
      </c>
      <c r="CT834" s="102">
        <f t="shared" si="331"/>
        <v>18.675175962423801</v>
      </c>
      <c r="CZ834" s="109" t="str">
        <f t="shared" si="332"/>
        <v>Basso</v>
      </c>
    </row>
    <row r="835" spans="9:104" x14ac:dyDescent="0.15">
      <c r="I835" s="64">
        <f t="shared" ref="I835:I898" si="333">100 + ((F835 - AVERAGE(F:F)) / STDEV(F:F)) * 10</f>
        <v>76.99972307006928</v>
      </c>
      <c r="M835" s="64">
        <f t="shared" ref="M835:M898" si="334">J835/2</f>
        <v>0</v>
      </c>
      <c r="Q835" s="64">
        <f t="shared" ref="Q835:Q898" si="335">N835/2</f>
        <v>0</v>
      </c>
      <c r="U835" s="64">
        <f t="shared" ref="U835:U898" si="336">R835/3</f>
        <v>0</v>
      </c>
      <c r="Y835" s="114">
        <f t="shared" ref="Y835:Y898" si="337">V835/5</f>
        <v>0</v>
      </c>
      <c r="AC835" s="64">
        <f t="shared" ref="AC835:AC898" si="338">Z835/3</f>
        <v>0</v>
      </c>
      <c r="AE835" s="71"/>
      <c r="AF835" s="71"/>
      <c r="AG835" s="71">
        <f t="shared" ref="AG835:AG898" si="339">AD835/3</f>
        <v>0</v>
      </c>
      <c r="AK835" s="64">
        <f t="shared" ref="AK835:AK898" si="340">AH835/3</f>
        <v>0</v>
      </c>
      <c r="AM835" s="71"/>
      <c r="AN835" s="71"/>
      <c r="AO835" s="71">
        <f t="shared" ref="AO835:AO898" si="341">AL835/4</f>
        <v>0</v>
      </c>
      <c r="AQ835" s="71"/>
      <c r="AR835" s="71"/>
      <c r="AS835" s="71">
        <f t="shared" ref="AS835:AS898" si="342">AP835/3</f>
        <v>0</v>
      </c>
      <c r="AU835" s="71"/>
      <c r="AV835" s="71"/>
      <c r="AW835" s="71">
        <f t="shared" ref="AW835:AW898" si="343">AT835/3</f>
        <v>0</v>
      </c>
      <c r="AY835" s="71"/>
      <c r="AZ835" s="71"/>
      <c r="BA835" s="71">
        <f t="shared" ref="BA835:BA898" si="344">AX835/2</f>
        <v>0</v>
      </c>
      <c r="BI835" s="71"/>
      <c r="BJ835" s="71"/>
      <c r="BK835" s="71">
        <f t="shared" ref="BK835:BK898" si="345">BH835/2</f>
        <v>0</v>
      </c>
      <c r="BM835" s="71"/>
      <c r="BN835" s="71"/>
      <c r="BO835" s="71">
        <f t="shared" ref="BO835:BO898" si="346">BL835/3</f>
        <v>0</v>
      </c>
      <c r="BQ835" s="71"/>
      <c r="BR835" s="71"/>
      <c r="BS835" s="138">
        <f t="shared" ref="BS835:BS898" si="347">BP835/3</f>
        <v>0</v>
      </c>
      <c r="BU835" s="71"/>
      <c r="BV835" s="71"/>
      <c r="BW835" s="71">
        <f t="shared" ref="BW835:BW898" si="348">BT835/3</f>
        <v>0</v>
      </c>
      <c r="BZ835" s="71"/>
      <c r="CA835" s="71"/>
      <c r="CB835" s="71">
        <f t="shared" ref="CB835:CB898" si="349">BY835/3</f>
        <v>0</v>
      </c>
      <c r="CD835" s="71"/>
      <c r="CE835" s="71"/>
      <c r="CF835" s="71">
        <f t="shared" ref="CF835:CF898" si="350">CC835/3</f>
        <v>0</v>
      </c>
      <c r="CH835" s="71"/>
      <c r="CI835" s="71"/>
      <c r="CJ835" s="138">
        <f t="shared" ref="CJ835:CJ898" si="351">CG835/2</f>
        <v>0</v>
      </c>
      <c r="CL835" s="71"/>
      <c r="CM835" s="71"/>
      <c r="CN835" s="71">
        <f t="shared" ref="CN835:CN898" si="352">CK835/3</f>
        <v>0</v>
      </c>
      <c r="CS835" s="102">
        <f t="shared" ref="CS835:CS898" si="353">AVERAGE(I835, M835, Q835, U835, AC835, AG835, AK835, AO835, AS835, AW835, BA835, BK835, BO835, BW835, CB835, CF835, CN835)</f>
        <v>4.5293954747099576</v>
      </c>
      <c r="CT835" s="102">
        <f t="shared" ref="CT835:CT898" si="354">STDEV(I835, M835, Q835, U835, AC835, AG835, AK835, AO835, AS835, AW835, BA835, BK835, BO835, BW835, CB835, CF835, CN835)</f>
        <v>18.675175962423801</v>
      </c>
      <c r="CZ835" s="109" t="str">
        <f t="shared" ref="CZ835:CZ898" si="355">IF(CV835&lt;95.9069994, "Basso", IF(CV835&lt;99.02062343, "Medio-Basso", IF(CV835&lt;103.58108, "Medio-Alto", "Alto")))</f>
        <v>Basso</v>
      </c>
    </row>
    <row r="836" spans="9:104" x14ac:dyDescent="0.15">
      <c r="I836" s="64">
        <f t="shared" si="333"/>
        <v>76.99972307006928</v>
      </c>
      <c r="M836" s="64">
        <f t="shared" si="334"/>
        <v>0</v>
      </c>
      <c r="Q836" s="64">
        <f t="shared" si="335"/>
        <v>0</v>
      </c>
      <c r="U836" s="64">
        <f t="shared" si="336"/>
        <v>0</v>
      </c>
      <c r="Y836" s="114">
        <f t="shared" si="337"/>
        <v>0</v>
      </c>
      <c r="AC836" s="64">
        <f t="shared" si="338"/>
        <v>0</v>
      </c>
      <c r="AE836" s="71"/>
      <c r="AF836" s="71"/>
      <c r="AG836" s="71">
        <f t="shared" si="339"/>
        <v>0</v>
      </c>
      <c r="AK836" s="64">
        <f t="shared" si="340"/>
        <v>0</v>
      </c>
      <c r="AM836" s="71"/>
      <c r="AN836" s="71"/>
      <c r="AO836" s="71">
        <f t="shared" si="341"/>
        <v>0</v>
      </c>
      <c r="AQ836" s="71"/>
      <c r="AR836" s="71"/>
      <c r="AS836" s="71">
        <f t="shared" si="342"/>
        <v>0</v>
      </c>
      <c r="AU836" s="71"/>
      <c r="AV836" s="71"/>
      <c r="AW836" s="71">
        <f t="shared" si="343"/>
        <v>0</v>
      </c>
      <c r="AY836" s="71"/>
      <c r="AZ836" s="71"/>
      <c r="BA836" s="71">
        <f t="shared" si="344"/>
        <v>0</v>
      </c>
      <c r="BI836" s="71"/>
      <c r="BJ836" s="71"/>
      <c r="BK836" s="71">
        <f t="shared" si="345"/>
        <v>0</v>
      </c>
      <c r="BM836" s="71"/>
      <c r="BN836" s="71"/>
      <c r="BO836" s="71">
        <f t="shared" si="346"/>
        <v>0</v>
      </c>
      <c r="BQ836" s="71"/>
      <c r="BR836" s="71"/>
      <c r="BS836" s="138">
        <f t="shared" si="347"/>
        <v>0</v>
      </c>
      <c r="BU836" s="71"/>
      <c r="BV836" s="71"/>
      <c r="BW836" s="71">
        <f t="shared" si="348"/>
        <v>0</v>
      </c>
      <c r="BZ836" s="71"/>
      <c r="CA836" s="71"/>
      <c r="CB836" s="71">
        <f t="shared" si="349"/>
        <v>0</v>
      </c>
      <c r="CD836" s="71"/>
      <c r="CE836" s="71"/>
      <c r="CF836" s="71">
        <f t="shared" si="350"/>
        <v>0</v>
      </c>
      <c r="CH836" s="71"/>
      <c r="CI836" s="71"/>
      <c r="CJ836" s="138">
        <f t="shared" si="351"/>
        <v>0</v>
      </c>
      <c r="CL836" s="71"/>
      <c r="CM836" s="71"/>
      <c r="CN836" s="71">
        <f t="shared" si="352"/>
        <v>0</v>
      </c>
      <c r="CS836" s="102">
        <f t="shared" si="353"/>
        <v>4.5293954747099576</v>
      </c>
      <c r="CT836" s="102">
        <f t="shared" si="354"/>
        <v>18.675175962423801</v>
      </c>
      <c r="CZ836" s="109" t="str">
        <f t="shared" si="355"/>
        <v>Basso</v>
      </c>
    </row>
    <row r="837" spans="9:104" x14ac:dyDescent="0.15">
      <c r="I837" s="64">
        <f t="shared" si="333"/>
        <v>76.99972307006928</v>
      </c>
      <c r="M837" s="64">
        <f t="shared" si="334"/>
        <v>0</v>
      </c>
      <c r="Q837" s="64">
        <f t="shared" si="335"/>
        <v>0</v>
      </c>
      <c r="U837" s="64">
        <f t="shared" si="336"/>
        <v>0</v>
      </c>
      <c r="Y837" s="114">
        <f t="shared" si="337"/>
        <v>0</v>
      </c>
      <c r="AC837" s="64">
        <f t="shared" si="338"/>
        <v>0</v>
      </c>
      <c r="AE837" s="71"/>
      <c r="AF837" s="71"/>
      <c r="AG837" s="71">
        <f t="shared" si="339"/>
        <v>0</v>
      </c>
      <c r="AK837" s="64">
        <f t="shared" si="340"/>
        <v>0</v>
      </c>
      <c r="AM837" s="71"/>
      <c r="AN837" s="71"/>
      <c r="AO837" s="71">
        <f t="shared" si="341"/>
        <v>0</v>
      </c>
      <c r="AQ837" s="71"/>
      <c r="AR837" s="71"/>
      <c r="AS837" s="71">
        <f t="shared" si="342"/>
        <v>0</v>
      </c>
      <c r="AU837" s="71"/>
      <c r="AV837" s="71"/>
      <c r="AW837" s="71">
        <f t="shared" si="343"/>
        <v>0</v>
      </c>
      <c r="AY837" s="71"/>
      <c r="AZ837" s="71"/>
      <c r="BA837" s="71">
        <f t="shared" si="344"/>
        <v>0</v>
      </c>
      <c r="BI837" s="71"/>
      <c r="BJ837" s="71"/>
      <c r="BK837" s="71">
        <f t="shared" si="345"/>
        <v>0</v>
      </c>
      <c r="BM837" s="71"/>
      <c r="BN837" s="71"/>
      <c r="BO837" s="71">
        <f t="shared" si="346"/>
        <v>0</v>
      </c>
      <c r="BQ837" s="71"/>
      <c r="BR837" s="71"/>
      <c r="BS837" s="138">
        <f t="shared" si="347"/>
        <v>0</v>
      </c>
      <c r="BU837" s="71"/>
      <c r="BV837" s="71"/>
      <c r="BW837" s="71">
        <f t="shared" si="348"/>
        <v>0</v>
      </c>
      <c r="BZ837" s="71"/>
      <c r="CA837" s="71"/>
      <c r="CB837" s="71">
        <f t="shared" si="349"/>
        <v>0</v>
      </c>
      <c r="CD837" s="71"/>
      <c r="CE837" s="71"/>
      <c r="CF837" s="71">
        <f t="shared" si="350"/>
        <v>0</v>
      </c>
      <c r="CH837" s="71"/>
      <c r="CI837" s="71"/>
      <c r="CJ837" s="138">
        <f t="shared" si="351"/>
        <v>0</v>
      </c>
      <c r="CL837" s="71"/>
      <c r="CM837" s="71"/>
      <c r="CN837" s="71">
        <f t="shared" si="352"/>
        <v>0</v>
      </c>
      <c r="CS837" s="102">
        <f t="shared" si="353"/>
        <v>4.5293954747099576</v>
      </c>
      <c r="CT837" s="102">
        <f t="shared" si="354"/>
        <v>18.675175962423801</v>
      </c>
      <c r="CZ837" s="109" t="str">
        <f t="shared" si="355"/>
        <v>Basso</v>
      </c>
    </row>
    <row r="838" spans="9:104" x14ac:dyDescent="0.15">
      <c r="I838" s="64">
        <f t="shared" si="333"/>
        <v>76.99972307006928</v>
      </c>
      <c r="M838" s="64">
        <f t="shared" si="334"/>
        <v>0</v>
      </c>
      <c r="Q838" s="64">
        <f t="shared" si="335"/>
        <v>0</v>
      </c>
      <c r="U838" s="64">
        <f t="shared" si="336"/>
        <v>0</v>
      </c>
      <c r="Y838" s="114">
        <f t="shared" si="337"/>
        <v>0</v>
      </c>
      <c r="AC838" s="64">
        <f t="shared" si="338"/>
        <v>0</v>
      </c>
      <c r="AE838" s="71"/>
      <c r="AF838" s="71"/>
      <c r="AG838" s="71">
        <f t="shared" si="339"/>
        <v>0</v>
      </c>
      <c r="AK838" s="64">
        <f t="shared" si="340"/>
        <v>0</v>
      </c>
      <c r="AM838" s="71"/>
      <c r="AN838" s="71"/>
      <c r="AO838" s="71">
        <f t="shared" si="341"/>
        <v>0</v>
      </c>
      <c r="AQ838" s="71"/>
      <c r="AR838" s="71"/>
      <c r="AS838" s="71">
        <f t="shared" si="342"/>
        <v>0</v>
      </c>
      <c r="AU838" s="71"/>
      <c r="AV838" s="71"/>
      <c r="AW838" s="71">
        <f t="shared" si="343"/>
        <v>0</v>
      </c>
      <c r="AY838" s="71"/>
      <c r="AZ838" s="71"/>
      <c r="BA838" s="71">
        <f t="shared" si="344"/>
        <v>0</v>
      </c>
      <c r="BI838" s="71"/>
      <c r="BJ838" s="71"/>
      <c r="BK838" s="71">
        <f t="shared" si="345"/>
        <v>0</v>
      </c>
      <c r="BM838" s="71"/>
      <c r="BN838" s="71"/>
      <c r="BO838" s="71">
        <f t="shared" si="346"/>
        <v>0</v>
      </c>
      <c r="BQ838" s="71"/>
      <c r="BR838" s="71"/>
      <c r="BS838" s="138">
        <f t="shared" si="347"/>
        <v>0</v>
      </c>
      <c r="BU838" s="71"/>
      <c r="BV838" s="71"/>
      <c r="BW838" s="71">
        <f t="shared" si="348"/>
        <v>0</v>
      </c>
      <c r="BZ838" s="71"/>
      <c r="CA838" s="71"/>
      <c r="CB838" s="71">
        <f t="shared" si="349"/>
        <v>0</v>
      </c>
      <c r="CD838" s="71"/>
      <c r="CE838" s="71"/>
      <c r="CF838" s="71">
        <f t="shared" si="350"/>
        <v>0</v>
      </c>
      <c r="CH838" s="71"/>
      <c r="CI838" s="71"/>
      <c r="CJ838" s="138">
        <f t="shared" si="351"/>
        <v>0</v>
      </c>
      <c r="CL838" s="71"/>
      <c r="CM838" s="71"/>
      <c r="CN838" s="71">
        <f t="shared" si="352"/>
        <v>0</v>
      </c>
      <c r="CS838" s="102">
        <f t="shared" si="353"/>
        <v>4.5293954747099576</v>
      </c>
      <c r="CT838" s="102">
        <f t="shared" si="354"/>
        <v>18.675175962423801</v>
      </c>
      <c r="CZ838" s="109" t="str">
        <f t="shared" si="355"/>
        <v>Basso</v>
      </c>
    </row>
    <row r="839" spans="9:104" x14ac:dyDescent="0.15">
      <c r="I839" s="64">
        <f t="shared" si="333"/>
        <v>76.99972307006928</v>
      </c>
      <c r="M839" s="64">
        <f t="shared" si="334"/>
        <v>0</v>
      </c>
      <c r="Q839" s="64">
        <f t="shared" si="335"/>
        <v>0</v>
      </c>
      <c r="U839" s="64">
        <f t="shared" si="336"/>
        <v>0</v>
      </c>
      <c r="Y839" s="114">
        <f t="shared" si="337"/>
        <v>0</v>
      </c>
      <c r="AC839" s="64">
        <f t="shared" si="338"/>
        <v>0</v>
      </c>
      <c r="AE839" s="71"/>
      <c r="AF839" s="71"/>
      <c r="AG839" s="71">
        <f t="shared" si="339"/>
        <v>0</v>
      </c>
      <c r="AK839" s="64">
        <f t="shared" si="340"/>
        <v>0</v>
      </c>
      <c r="AM839" s="71"/>
      <c r="AN839" s="71"/>
      <c r="AO839" s="71">
        <f t="shared" si="341"/>
        <v>0</v>
      </c>
      <c r="AQ839" s="71"/>
      <c r="AR839" s="71"/>
      <c r="AS839" s="71">
        <f t="shared" si="342"/>
        <v>0</v>
      </c>
      <c r="AU839" s="71"/>
      <c r="AV839" s="71"/>
      <c r="AW839" s="71">
        <f t="shared" si="343"/>
        <v>0</v>
      </c>
      <c r="AY839" s="71"/>
      <c r="AZ839" s="71"/>
      <c r="BA839" s="71">
        <f t="shared" si="344"/>
        <v>0</v>
      </c>
      <c r="BI839" s="71"/>
      <c r="BJ839" s="71"/>
      <c r="BK839" s="71">
        <f t="shared" si="345"/>
        <v>0</v>
      </c>
      <c r="BM839" s="71"/>
      <c r="BN839" s="71"/>
      <c r="BO839" s="71">
        <f t="shared" si="346"/>
        <v>0</v>
      </c>
      <c r="BQ839" s="71"/>
      <c r="BR839" s="71"/>
      <c r="BS839" s="138">
        <f t="shared" si="347"/>
        <v>0</v>
      </c>
      <c r="BU839" s="71"/>
      <c r="BV839" s="71"/>
      <c r="BW839" s="71">
        <f t="shared" si="348"/>
        <v>0</v>
      </c>
      <c r="BZ839" s="71"/>
      <c r="CA839" s="71"/>
      <c r="CB839" s="71">
        <f t="shared" si="349"/>
        <v>0</v>
      </c>
      <c r="CD839" s="71"/>
      <c r="CE839" s="71"/>
      <c r="CF839" s="71">
        <f t="shared" si="350"/>
        <v>0</v>
      </c>
      <c r="CH839" s="71"/>
      <c r="CI839" s="71"/>
      <c r="CJ839" s="138">
        <f t="shared" si="351"/>
        <v>0</v>
      </c>
      <c r="CL839" s="71"/>
      <c r="CM839" s="71"/>
      <c r="CN839" s="71">
        <f t="shared" si="352"/>
        <v>0</v>
      </c>
      <c r="CS839" s="102">
        <f t="shared" si="353"/>
        <v>4.5293954747099576</v>
      </c>
      <c r="CT839" s="102">
        <f t="shared" si="354"/>
        <v>18.675175962423801</v>
      </c>
      <c r="CZ839" s="109" t="str">
        <f t="shared" si="355"/>
        <v>Basso</v>
      </c>
    </row>
    <row r="840" spans="9:104" x14ac:dyDescent="0.15">
      <c r="I840" s="64">
        <f t="shared" si="333"/>
        <v>76.99972307006928</v>
      </c>
      <c r="M840" s="64">
        <f t="shared" si="334"/>
        <v>0</v>
      </c>
      <c r="Q840" s="64">
        <f t="shared" si="335"/>
        <v>0</v>
      </c>
      <c r="U840" s="64">
        <f t="shared" si="336"/>
        <v>0</v>
      </c>
      <c r="Y840" s="114">
        <f t="shared" si="337"/>
        <v>0</v>
      </c>
      <c r="AC840" s="64">
        <f t="shared" si="338"/>
        <v>0</v>
      </c>
      <c r="AE840" s="71"/>
      <c r="AF840" s="71"/>
      <c r="AG840" s="71">
        <f t="shared" si="339"/>
        <v>0</v>
      </c>
      <c r="AK840" s="64">
        <f t="shared" si="340"/>
        <v>0</v>
      </c>
      <c r="AM840" s="71"/>
      <c r="AN840" s="71"/>
      <c r="AO840" s="71">
        <f t="shared" si="341"/>
        <v>0</v>
      </c>
      <c r="AQ840" s="71"/>
      <c r="AR840" s="71"/>
      <c r="AS840" s="71">
        <f t="shared" si="342"/>
        <v>0</v>
      </c>
      <c r="AU840" s="71"/>
      <c r="AV840" s="71"/>
      <c r="AW840" s="71">
        <f t="shared" si="343"/>
        <v>0</v>
      </c>
      <c r="AY840" s="71"/>
      <c r="AZ840" s="71"/>
      <c r="BA840" s="71">
        <f t="shared" si="344"/>
        <v>0</v>
      </c>
      <c r="BI840" s="71"/>
      <c r="BJ840" s="71"/>
      <c r="BK840" s="71">
        <f t="shared" si="345"/>
        <v>0</v>
      </c>
      <c r="BM840" s="71"/>
      <c r="BN840" s="71"/>
      <c r="BO840" s="71">
        <f t="shared" si="346"/>
        <v>0</v>
      </c>
      <c r="BQ840" s="71"/>
      <c r="BR840" s="71"/>
      <c r="BS840" s="138">
        <f t="shared" si="347"/>
        <v>0</v>
      </c>
      <c r="BU840" s="71"/>
      <c r="BV840" s="71"/>
      <c r="BW840" s="71">
        <f t="shared" si="348"/>
        <v>0</v>
      </c>
      <c r="BZ840" s="71"/>
      <c r="CA840" s="71"/>
      <c r="CB840" s="71">
        <f t="shared" si="349"/>
        <v>0</v>
      </c>
      <c r="CD840" s="71"/>
      <c r="CE840" s="71"/>
      <c r="CF840" s="71">
        <f t="shared" si="350"/>
        <v>0</v>
      </c>
      <c r="CH840" s="71"/>
      <c r="CI840" s="71"/>
      <c r="CJ840" s="138">
        <f t="shared" si="351"/>
        <v>0</v>
      </c>
      <c r="CL840" s="71"/>
      <c r="CM840" s="71"/>
      <c r="CN840" s="71">
        <f t="shared" si="352"/>
        <v>0</v>
      </c>
      <c r="CS840" s="102">
        <f t="shared" si="353"/>
        <v>4.5293954747099576</v>
      </c>
      <c r="CT840" s="102">
        <f t="shared" si="354"/>
        <v>18.675175962423801</v>
      </c>
      <c r="CZ840" s="109" t="str">
        <f t="shared" si="355"/>
        <v>Basso</v>
      </c>
    </row>
    <row r="841" spans="9:104" x14ac:dyDescent="0.15">
      <c r="I841" s="64">
        <f t="shared" si="333"/>
        <v>76.99972307006928</v>
      </c>
      <c r="M841" s="64">
        <f t="shared" si="334"/>
        <v>0</v>
      </c>
      <c r="Q841" s="64">
        <f t="shared" si="335"/>
        <v>0</v>
      </c>
      <c r="U841" s="64">
        <f t="shared" si="336"/>
        <v>0</v>
      </c>
      <c r="Y841" s="114">
        <f t="shared" si="337"/>
        <v>0</v>
      </c>
      <c r="AC841" s="64">
        <f t="shared" si="338"/>
        <v>0</v>
      </c>
      <c r="AE841" s="71"/>
      <c r="AF841" s="71"/>
      <c r="AG841" s="71">
        <f t="shared" si="339"/>
        <v>0</v>
      </c>
      <c r="AK841" s="64">
        <f t="shared" si="340"/>
        <v>0</v>
      </c>
      <c r="AM841" s="71"/>
      <c r="AN841" s="71"/>
      <c r="AO841" s="71">
        <f t="shared" si="341"/>
        <v>0</v>
      </c>
      <c r="AQ841" s="71"/>
      <c r="AR841" s="71"/>
      <c r="AS841" s="71">
        <f t="shared" si="342"/>
        <v>0</v>
      </c>
      <c r="AU841" s="71"/>
      <c r="AV841" s="71"/>
      <c r="AW841" s="71">
        <f t="shared" si="343"/>
        <v>0</v>
      </c>
      <c r="AY841" s="71"/>
      <c r="AZ841" s="71"/>
      <c r="BA841" s="71">
        <f t="shared" si="344"/>
        <v>0</v>
      </c>
      <c r="BI841" s="71"/>
      <c r="BJ841" s="71"/>
      <c r="BK841" s="71">
        <f t="shared" si="345"/>
        <v>0</v>
      </c>
      <c r="BM841" s="71"/>
      <c r="BN841" s="71"/>
      <c r="BO841" s="71">
        <f t="shared" si="346"/>
        <v>0</v>
      </c>
      <c r="BQ841" s="71"/>
      <c r="BR841" s="71"/>
      <c r="BS841" s="138">
        <f t="shared" si="347"/>
        <v>0</v>
      </c>
      <c r="BU841" s="71"/>
      <c r="BV841" s="71"/>
      <c r="BW841" s="71">
        <f t="shared" si="348"/>
        <v>0</v>
      </c>
      <c r="BZ841" s="71"/>
      <c r="CA841" s="71"/>
      <c r="CB841" s="71">
        <f t="shared" si="349"/>
        <v>0</v>
      </c>
      <c r="CD841" s="71"/>
      <c r="CE841" s="71"/>
      <c r="CF841" s="71">
        <f t="shared" si="350"/>
        <v>0</v>
      </c>
      <c r="CH841" s="71"/>
      <c r="CI841" s="71"/>
      <c r="CJ841" s="138">
        <f t="shared" si="351"/>
        <v>0</v>
      </c>
      <c r="CL841" s="71"/>
      <c r="CM841" s="71"/>
      <c r="CN841" s="71">
        <f t="shared" si="352"/>
        <v>0</v>
      </c>
      <c r="CS841" s="102">
        <f t="shared" si="353"/>
        <v>4.5293954747099576</v>
      </c>
      <c r="CT841" s="102">
        <f t="shared" si="354"/>
        <v>18.675175962423801</v>
      </c>
      <c r="CZ841" s="109" t="str">
        <f t="shared" si="355"/>
        <v>Basso</v>
      </c>
    </row>
    <row r="842" spans="9:104" x14ac:dyDescent="0.15">
      <c r="I842" s="64">
        <f t="shared" si="333"/>
        <v>76.99972307006928</v>
      </c>
      <c r="M842" s="64">
        <f t="shared" si="334"/>
        <v>0</v>
      </c>
      <c r="Q842" s="64">
        <f t="shared" si="335"/>
        <v>0</v>
      </c>
      <c r="U842" s="64">
        <f t="shared" si="336"/>
        <v>0</v>
      </c>
      <c r="Y842" s="114">
        <f t="shared" si="337"/>
        <v>0</v>
      </c>
      <c r="AC842" s="64">
        <f t="shared" si="338"/>
        <v>0</v>
      </c>
      <c r="AE842" s="71"/>
      <c r="AF842" s="71"/>
      <c r="AG842" s="71">
        <f t="shared" si="339"/>
        <v>0</v>
      </c>
      <c r="AK842" s="64">
        <f t="shared" si="340"/>
        <v>0</v>
      </c>
      <c r="AM842" s="71"/>
      <c r="AN842" s="71"/>
      <c r="AO842" s="71">
        <f t="shared" si="341"/>
        <v>0</v>
      </c>
      <c r="AQ842" s="71"/>
      <c r="AR842" s="71"/>
      <c r="AS842" s="71">
        <f t="shared" si="342"/>
        <v>0</v>
      </c>
      <c r="AU842" s="71"/>
      <c r="AV842" s="71"/>
      <c r="AW842" s="71">
        <f t="shared" si="343"/>
        <v>0</v>
      </c>
      <c r="AY842" s="71"/>
      <c r="AZ842" s="71"/>
      <c r="BA842" s="71">
        <f t="shared" si="344"/>
        <v>0</v>
      </c>
      <c r="BI842" s="71"/>
      <c r="BJ842" s="71"/>
      <c r="BK842" s="71">
        <f t="shared" si="345"/>
        <v>0</v>
      </c>
      <c r="BM842" s="71"/>
      <c r="BN842" s="71"/>
      <c r="BO842" s="71">
        <f t="shared" si="346"/>
        <v>0</v>
      </c>
      <c r="BQ842" s="71"/>
      <c r="BR842" s="71"/>
      <c r="BS842" s="138">
        <f t="shared" si="347"/>
        <v>0</v>
      </c>
      <c r="BU842" s="71"/>
      <c r="BV842" s="71"/>
      <c r="BW842" s="71">
        <f t="shared" si="348"/>
        <v>0</v>
      </c>
      <c r="BZ842" s="71"/>
      <c r="CA842" s="71"/>
      <c r="CB842" s="71">
        <f t="shared" si="349"/>
        <v>0</v>
      </c>
      <c r="CD842" s="71"/>
      <c r="CE842" s="71"/>
      <c r="CF842" s="71">
        <f t="shared" si="350"/>
        <v>0</v>
      </c>
      <c r="CH842" s="71"/>
      <c r="CI842" s="71"/>
      <c r="CJ842" s="138">
        <f t="shared" si="351"/>
        <v>0</v>
      </c>
      <c r="CL842" s="71"/>
      <c r="CM842" s="71"/>
      <c r="CN842" s="71">
        <f t="shared" si="352"/>
        <v>0</v>
      </c>
      <c r="CS842" s="102">
        <f t="shared" si="353"/>
        <v>4.5293954747099576</v>
      </c>
      <c r="CT842" s="102">
        <f t="shared" si="354"/>
        <v>18.675175962423801</v>
      </c>
      <c r="CZ842" s="109" t="str">
        <f t="shared" si="355"/>
        <v>Basso</v>
      </c>
    </row>
    <row r="843" spans="9:104" x14ac:dyDescent="0.15">
      <c r="I843" s="64">
        <f t="shared" si="333"/>
        <v>76.99972307006928</v>
      </c>
      <c r="M843" s="64">
        <f t="shared" si="334"/>
        <v>0</v>
      </c>
      <c r="Q843" s="64">
        <f t="shared" si="335"/>
        <v>0</v>
      </c>
      <c r="U843" s="64">
        <f t="shared" si="336"/>
        <v>0</v>
      </c>
      <c r="Y843" s="114">
        <f t="shared" si="337"/>
        <v>0</v>
      </c>
      <c r="AC843" s="64">
        <f t="shared" si="338"/>
        <v>0</v>
      </c>
      <c r="AE843" s="71"/>
      <c r="AF843" s="71"/>
      <c r="AG843" s="71">
        <f t="shared" si="339"/>
        <v>0</v>
      </c>
      <c r="AK843" s="64">
        <f t="shared" si="340"/>
        <v>0</v>
      </c>
      <c r="AM843" s="71"/>
      <c r="AN843" s="71"/>
      <c r="AO843" s="71">
        <f t="shared" si="341"/>
        <v>0</v>
      </c>
      <c r="AQ843" s="71"/>
      <c r="AR843" s="71"/>
      <c r="AS843" s="71">
        <f t="shared" si="342"/>
        <v>0</v>
      </c>
      <c r="AU843" s="71"/>
      <c r="AV843" s="71"/>
      <c r="AW843" s="71">
        <f t="shared" si="343"/>
        <v>0</v>
      </c>
      <c r="AY843" s="71"/>
      <c r="AZ843" s="71"/>
      <c r="BA843" s="71">
        <f t="shared" si="344"/>
        <v>0</v>
      </c>
      <c r="BI843" s="71"/>
      <c r="BJ843" s="71"/>
      <c r="BK843" s="71">
        <f t="shared" si="345"/>
        <v>0</v>
      </c>
      <c r="BM843" s="71"/>
      <c r="BN843" s="71"/>
      <c r="BO843" s="71">
        <f t="shared" si="346"/>
        <v>0</v>
      </c>
      <c r="BQ843" s="71"/>
      <c r="BR843" s="71"/>
      <c r="BS843" s="138">
        <f t="shared" si="347"/>
        <v>0</v>
      </c>
      <c r="BU843" s="71"/>
      <c r="BV843" s="71"/>
      <c r="BW843" s="71">
        <f t="shared" si="348"/>
        <v>0</v>
      </c>
      <c r="BZ843" s="71"/>
      <c r="CA843" s="71"/>
      <c r="CB843" s="71">
        <f t="shared" si="349"/>
        <v>0</v>
      </c>
      <c r="CD843" s="71"/>
      <c r="CE843" s="71"/>
      <c r="CF843" s="71">
        <f t="shared" si="350"/>
        <v>0</v>
      </c>
      <c r="CH843" s="71"/>
      <c r="CI843" s="71"/>
      <c r="CJ843" s="138">
        <f t="shared" si="351"/>
        <v>0</v>
      </c>
      <c r="CL843" s="71"/>
      <c r="CM843" s="71"/>
      <c r="CN843" s="71">
        <f t="shared" si="352"/>
        <v>0</v>
      </c>
      <c r="CS843" s="102">
        <f t="shared" si="353"/>
        <v>4.5293954747099576</v>
      </c>
      <c r="CT843" s="102">
        <f t="shared" si="354"/>
        <v>18.675175962423801</v>
      </c>
      <c r="CZ843" s="109" t="str">
        <f t="shared" si="355"/>
        <v>Basso</v>
      </c>
    </row>
    <row r="844" spans="9:104" x14ac:dyDescent="0.15">
      <c r="I844" s="64">
        <f t="shared" si="333"/>
        <v>76.99972307006928</v>
      </c>
      <c r="M844" s="64">
        <f t="shared" si="334"/>
        <v>0</v>
      </c>
      <c r="Q844" s="64">
        <f t="shared" si="335"/>
        <v>0</v>
      </c>
      <c r="U844" s="64">
        <f t="shared" si="336"/>
        <v>0</v>
      </c>
      <c r="Y844" s="114">
        <f t="shared" si="337"/>
        <v>0</v>
      </c>
      <c r="AC844" s="64">
        <f t="shared" si="338"/>
        <v>0</v>
      </c>
      <c r="AE844" s="71"/>
      <c r="AF844" s="71"/>
      <c r="AG844" s="71">
        <f t="shared" si="339"/>
        <v>0</v>
      </c>
      <c r="AK844" s="64">
        <f t="shared" si="340"/>
        <v>0</v>
      </c>
      <c r="AM844" s="71"/>
      <c r="AN844" s="71"/>
      <c r="AO844" s="71">
        <f t="shared" si="341"/>
        <v>0</v>
      </c>
      <c r="AQ844" s="71"/>
      <c r="AR844" s="71"/>
      <c r="AS844" s="71">
        <f t="shared" si="342"/>
        <v>0</v>
      </c>
      <c r="AU844" s="71"/>
      <c r="AV844" s="71"/>
      <c r="AW844" s="71">
        <f t="shared" si="343"/>
        <v>0</v>
      </c>
      <c r="AY844" s="71"/>
      <c r="AZ844" s="71"/>
      <c r="BA844" s="71">
        <f t="shared" si="344"/>
        <v>0</v>
      </c>
      <c r="BI844" s="71"/>
      <c r="BJ844" s="71"/>
      <c r="BK844" s="71">
        <f t="shared" si="345"/>
        <v>0</v>
      </c>
      <c r="BM844" s="71"/>
      <c r="BN844" s="71"/>
      <c r="BO844" s="71">
        <f t="shared" si="346"/>
        <v>0</v>
      </c>
      <c r="BQ844" s="71"/>
      <c r="BR844" s="71"/>
      <c r="BS844" s="138">
        <f t="shared" si="347"/>
        <v>0</v>
      </c>
      <c r="BU844" s="71"/>
      <c r="BV844" s="71"/>
      <c r="BW844" s="71">
        <f t="shared" si="348"/>
        <v>0</v>
      </c>
      <c r="BZ844" s="71"/>
      <c r="CA844" s="71"/>
      <c r="CB844" s="71">
        <f t="shared" si="349"/>
        <v>0</v>
      </c>
      <c r="CD844" s="71"/>
      <c r="CE844" s="71"/>
      <c r="CF844" s="71">
        <f t="shared" si="350"/>
        <v>0</v>
      </c>
      <c r="CH844" s="71"/>
      <c r="CI844" s="71"/>
      <c r="CJ844" s="138">
        <f t="shared" si="351"/>
        <v>0</v>
      </c>
      <c r="CL844" s="71"/>
      <c r="CM844" s="71"/>
      <c r="CN844" s="71">
        <f t="shared" si="352"/>
        <v>0</v>
      </c>
      <c r="CS844" s="102">
        <f t="shared" si="353"/>
        <v>4.5293954747099576</v>
      </c>
      <c r="CT844" s="102">
        <f t="shared" si="354"/>
        <v>18.675175962423801</v>
      </c>
      <c r="CZ844" s="109" t="str">
        <f t="shared" si="355"/>
        <v>Basso</v>
      </c>
    </row>
    <row r="845" spans="9:104" x14ac:dyDescent="0.15">
      <c r="I845" s="64">
        <f t="shared" si="333"/>
        <v>76.99972307006928</v>
      </c>
      <c r="M845" s="64">
        <f t="shared" si="334"/>
        <v>0</v>
      </c>
      <c r="Q845" s="64">
        <f t="shared" si="335"/>
        <v>0</v>
      </c>
      <c r="U845" s="64">
        <f t="shared" si="336"/>
        <v>0</v>
      </c>
      <c r="Y845" s="114">
        <f t="shared" si="337"/>
        <v>0</v>
      </c>
      <c r="AC845" s="64">
        <f t="shared" si="338"/>
        <v>0</v>
      </c>
      <c r="AE845" s="71"/>
      <c r="AF845" s="71"/>
      <c r="AG845" s="71">
        <f t="shared" si="339"/>
        <v>0</v>
      </c>
      <c r="AK845" s="64">
        <f t="shared" si="340"/>
        <v>0</v>
      </c>
      <c r="AM845" s="71"/>
      <c r="AN845" s="71"/>
      <c r="AO845" s="71">
        <f t="shared" si="341"/>
        <v>0</v>
      </c>
      <c r="AQ845" s="71"/>
      <c r="AR845" s="71"/>
      <c r="AS845" s="71">
        <f t="shared" si="342"/>
        <v>0</v>
      </c>
      <c r="AU845" s="71"/>
      <c r="AV845" s="71"/>
      <c r="AW845" s="71">
        <f t="shared" si="343"/>
        <v>0</v>
      </c>
      <c r="AY845" s="71"/>
      <c r="AZ845" s="71"/>
      <c r="BA845" s="71">
        <f t="shared" si="344"/>
        <v>0</v>
      </c>
      <c r="BI845" s="71"/>
      <c r="BJ845" s="71"/>
      <c r="BK845" s="71">
        <f t="shared" si="345"/>
        <v>0</v>
      </c>
      <c r="BM845" s="71"/>
      <c r="BN845" s="71"/>
      <c r="BO845" s="71">
        <f t="shared" si="346"/>
        <v>0</v>
      </c>
      <c r="BQ845" s="71"/>
      <c r="BR845" s="71"/>
      <c r="BS845" s="138">
        <f t="shared" si="347"/>
        <v>0</v>
      </c>
      <c r="BU845" s="71"/>
      <c r="BV845" s="71"/>
      <c r="BW845" s="71">
        <f t="shared" si="348"/>
        <v>0</v>
      </c>
      <c r="BZ845" s="71"/>
      <c r="CA845" s="71"/>
      <c r="CB845" s="71">
        <f t="shared" si="349"/>
        <v>0</v>
      </c>
      <c r="CD845" s="71"/>
      <c r="CE845" s="71"/>
      <c r="CF845" s="71">
        <f t="shared" si="350"/>
        <v>0</v>
      </c>
      <c r="CH845" s="71"/>
      <c r="CI845" s="71"/>
      <c r="CJ845" s="138">
        <f t="shared" si="351"/>
        <v>0</v>
      </c>
      <c r="CL845" s="71"/>
      <c r="CM845" s="71"/>
      <c r="CN845" s="71">
        <f t="shared" si="352"/>
        <v>0</v>
      </c>
      <c r="CS845" s="102">
        <f t="shared" si="353"/>
        <v>4.5293954747099576</v>
      </c>
      <c r="CT845" s="102">
        <f t="shared" si="354"/>
        <v>18.675175962423801</v>
      </c>
      <c r="CZ845" s="109" t="str">
        <f t="shared" si="355"/>
        <v>Basso</v>
      </c>
    </row>
    <row r="846" spans="9:104" x14ac:dyDescent="0.15">
      <c r="I846" s="64">
        <f t="shared" si="333"/>
        <v>76.99972307006928</v>
      </c>
      <c r="M846" s="64">
        <f t="shared" si="334"/>
        <v>0</v>
      </c>
      <c r="Q846" s="64">
        <f t="shared" si="335"/>
        <v>0</v>
      </c>
      <c r="U846" s="64">
        <f t="shared" si="336"/>
        <v>0</v>
      </c>
      <c r="Y846" s="114">
        <f t="shared" si="337"/>
        <v>0</v>
      </c>
      <c r="AC846" s="64">
        <f t="shared" si="338"/>
        <v>0</v>
      </c>
      <c r="AE846" s="71"/>
      <c r="AF846" s="71"/>
      <c r="AG846" s="71">
        <f t="shared" si="339"/>
        <v>0</v>
      </c>
      <c r="AK846" s="64">
        <f t="shared" si="340"/>
        <v>0</v>
      </c>
      <c r="AM846" s="71"/>
      <c r="AN846" s="71"/>
      <c r="AO846" s="71">
        <f t="shared" si="341"/>
        <v>0</v>
      </c>
      <c r="AQ846" s="71"/>
      <c r="AR846" s="71"/>
      <c r="AS846" s="71">
        <f t="shared" si="342"/>
        <v>0</v>
      </c>
      <c r="AU846" s="71"/>
      <c r="AV846" s="71"/>
      <c r="AW846" s="71">
        <f t="shared" si="343"/>
        <v>0</v>
      </c>
      <c r="AY846" s="71"/>
      <c r="AZ846" s="71"/>
      <c r="BA846" s="71">
        <f t="shared" si="344"/>
        <v>0</v>
      </c>
      <c r="BI846" s="71"/>
      <c r="BJ846" s="71"/>
      <c r="BK846" s="71">
        <f t="shared" si="345"/>
        <v>0</v>
      </c>
      <c r="BM846" s="71"/>
      <c r="BN846" s="71"/>
      <c r="BO846" s="71">
        <f t="shared" si="346"/>
        <v>0</v>
      </c>
      <c r="BQ846" s="71"/>
      <c r="BR846" s="71"/>
      <c r="BS846" s="138">
        <f t="shared" si="347"/>
        <v>0</v>
      </c>
      <c r="BU846" s="71"/>
      <c r="BV846" s="71"/>
      <c r="BW846" s="71">
        <f t="shared" si="348"/>
        <v>0</v>
      </c>
      <c r="BZ846" s="71"/>
      <c r="CA846" s="71"/>
      <c r="CB846" s="71">
        <f t="shared" si="349"/>
        <v>0</v>
      </c>
      <c r="CD846" s="71"/>
      <c r="CE846" s="71"/>
      <c r="CF846" s="71">
        <f t="shared" si="350"/>
        <v>0</v>
      </c>
      <c r="CH846" s="71"/>
      <c r="CI846" s="71"/>
      <c r="CJ846" s="138">
        <f t="shared" si="351"/>
        <v>0</v>
      </c>
      <c r="CL846" s="71"/>
      <c r="CM846" s="71"/>
      <c r="CN846" s="71">
        <f t="shared" si="352"/>
        <v>0</v>
      </c>
      <c r="CS846" s="102">
        <f t="shared" si="353"/>
        <v>4.5293954747099576</v>
      </c>
      <c r="CT846" s="102">
        <f t="shared" si="354"/>
        <v>18.675175962423801</v>
      </c>
      <c r="CZ846" s="109" t="str">
        <f t="shared" si="355"/>
        <v>Basso</v>
      </c>
    </row>
    <row r="847" spans="9:104" x14ac:dyDescent="0.15">
      <c r="I847" s="64">
        <f t="shared" si="333"/>
        <v>76.99972307006928</v>
      </c>
      <c r="M847" s="64">
        <f t="shared" si="334"/>
        <v>0</v>
      </c>
      <c r="Q847" s="64">
        <f t="shared" si="335"/>
        <v>0</v>
      </c>
      <c r="U847" s="64">
        <f t="shared" si="336"/>
        <v>0</v>
      </c>
      <c r="Y847" s="114">
        <f t="shared" si="337"/>
        <v>0</v>
      </c>
      <c r="AC847" s="64">
        <f t="shared" si="338"/>
        <v>0</v>
      </c>
      <c r="AE847" s="71"/>
      <c r="AF847" s="71"/>
      <c r="AG847" s="71">
        <f t="shared" si="339"/>
        <v>0</v>
      </c>
      <c r="AK847" s="64">
        <f t="shared" si="340"/>
        <v>0</v>
      </c>
      <c r="AM847" s="71"/>
      <c r="AN847" s="71"/>
      <c r="AO847" s="71">
        <f t="shared" si="341"/>
        <v>0</v>
      </c>
      <c r="AQ847" s="71"/>
      <c r="AR847" s="71"/>
      <c r="AS847" s="71">
        <f t="shared" si="342"/>
        <v>0</v>
      </c>
      <c r="AU847" s="71"/>
      <c r="AV847" s="71"/>
      <c r="AW847" s="71">
        <f t="shared" si="343"/>
        <v>0</v>
      </c>
      <c r="AY847" s="71"/>
      <c r="AZ847" s="71"/>
      <c r="BA847" s="71">
        <f t="shared" si="344"/>
        <v>0</v>
      </c>
      <c r="BI847" s="71"/>
      <c r="BJ847" s="71"/>
      <c r="BK847" s="71">
        <f t="shared" si="345"/>
        <v>0</v>
      </c>
      <c r="BM847" s="71"/>
      <c r="BN847" s="71"/>
      <c r="BO847" s="71">
        <f t="shared" si="346"/>
        <v>0</v>
      </c>
      <c r="BQ847" s="71"/>
      <c r="BR847" s="71"/>
      <c r="BS847" s="138">
        <f t="shared" si="347"/>
        <v>0</v>
      </c>
      <c r="BU847" s="71"/>
      <c r="BV847" s="71"/>
      <c r="BW847" s="71">
        <f t="shared" si="348"/>
        <v>0</v>
      </c>
      <c r="BZ847" s="71"/>
      <c r="CA847" s="71"/>
      <c r="CB847" s="71">
        <f t="shared" si="349"/>
        <v>0</v>
      </c>
      <c r="CD847" s="71"/>
      <c r="CE847" s="71"/>
      <c r="CF847" s="71">
        <f t="shared" si="350"/>
        <v>0</v>
      </c>
      <c r="CH847" s="71"/>
      <c r="CI847" s="71"/>
      <c r="CJ847" s="138">
        <f t="shared" si="351"/>
        <v>0</v>
      </c>
      <c r="CL847" s="71"/>
      <c r="CM847" s="71"/>
      <c r="CN847" s="71">
        <f t="shared" si="352"/>
        <v>0</v>
      </c>
      <c r="CS847" s="102">
        <f t="shared" si="353"/>
        <v>4.5293954747099576</v>
      </c>
      <c r="CT847" s="102">
        <f t="shared" si="354"/>
        <v>18.675175962423801</v>
      </c>
      <c r="CZ847" s="109" t="str">
        <f t="shared" si="355"/>
        <v>Basso</v>
      </c>
    </row>
    <row r="848" spans="9:104" x14ac:dyDescent="0.15">
      <c r="I848" s="64">
        <f t="shared" si="333"/>
        <v>76.99972307006928</v>
      </c>
      <c r="M848" s="64">
        <f t="shared" si="334"/>
        <v>0</v>
      </c>
      <c r="Q848" s="64">
        <f t="shared" si="335"/>
        <v>0</v>
      </c>
      <c r="U848" s="64">
        <f t="shared" si="336"/>
        <v>0</v>
      </c>
      <c r="Y848" s="114">
        <f t="shared" si="337"/>
        <v>0</v>
      </c>
      <c r="AC848" s="64">
        <f t="shared" si="338"/>
        <v>0</v>
      </c>
      <c r="AE848" s="71"/>
      <c r="AF848" s="71"/>
      <c r="AG848" s="71">
        <f t="shared" si="339"/>
        <v>0</v>
      </c>
      <c r="AK848" s="64">
        <f t="shared" si="340"/>
        <v>0</v>
      </c>
      <c r="AM848" s="71"/>
      <c r="AN848" s="71"/>
      <c r="AO848" s="71">
        <f t="shared" si="341"/>
        <v>0</v>
      </c>
      <c r="AQ848" s="71"/>
      <c r="AR848" s="71"/>
      <c r="AS848" s="71">
        <f t="shared" si="342"/>
        <v>0</v>
      </c>
      <c r="AU848" s="71"/>
      <c r="AV848" s="71"/>
      <c r="AW848" s="71">
        <f t="shared" si="343"/>
        <v>0</v>
      </c>
      <c r="AY848" s="71"/>
      <c r="AZ848" s="71"/>
      <c r="BA848" s="71">
        <f t="shared" si="344"/>
        <v>0</v>
      </c>
      <c r="BI848" s="71"/>
      <c r="BJ848" s="71"/>
      <c r="BK848" s="71">
        <f t="shared" si="345"/>
        <v>0</v>
      </c>
      <c r="BM848" s="71"/>
      <c r="BN848" s="71"/>
      <c r="BO848" s="71">
        <f t="shared" si="346"/>
        <v>0</v>
      </c>
      <c r="BQ848" s="71"/>
      <c r="BR848" s="71"/>
      <c r="BS848" s="138">
        <f t="shared" si="347"/>
        <v>0</v>
      </c>
      <c r="BU848" s="71"/>
      <c r="BV848" s="71"/>
      <c r="BW848" s="71">
        <f t="shared" si="348"/>
        <v>0</v>
      </c>
      <c r="BZ848" s="71"/>
      <c r="CA848" s="71"/>
      <c r="CB848" s="71">
        <f t="shared" si="349"/>
        <v>0</v>
      </c>
      <c r="CD848" s="71"/>
      <c r="CE848" s="71"/>
      <c r="CF848" s="71">
        <f t="shared" si="350"/>
        <v>0</v>
      </c>
      <c r="CH848" s="71"/>
      <c r="CI848" s="71"/>
      <c r="CJ848" s="138">
        <f t="shared" si="351"/>
        <v>0</v>
      </c>
      <c r="CL848" s="71"/>
      <c r="CM848" s="71"/>
      <c r="CN848" s="71">
        <f t="shared" si="352"/>
        <v>0</v>
      </c>
      <c r="CS848" s="102">
        <f t="shared" si="353"/>
        <v>4.5293954747099576</v>
      </c>
      <c r="CT848" s="102">
        <f t="shared" si="354"/>
        <v>18.675175962423801</v>
      </c>
      <c r="CZ848" s="109" t="str">
        <f t="shared" si="355"/>
        <v>Basso</v>
      </c>
    </row>
    <row r="849" spans="9:104" x14ac:dyDescent="0.15">
      <c r="I849" s="64">
        <f t="shared" si="333"/>
        <v>76.99972307006928</v>
      </c>
      <c r="M849" s="64">
        <f t="shared" si="334"/>
        <v>0</v>
      </c>
      <c r="Q849" s="64">
        <f t="shared" si="335"/>
        <v>0</v>
      </c>
      <c r="U849" s="64">
        <f t="shared" si="336"/>
        <v>0</v>
      </c>
      <c r="Y849" s="114">
        <f t="shared" si="337"/>
        <v>0</v>
      </c>
      <c r="AC849" s="64">
        <f t="shared" si="338"/>
        <v>0</v>
      </c>
      <c r="AE849" s="71"/>
      <c r="AF849" s="71"/>
      <c r="AG849" s="71">
        <f t="shared" si="339"/>
        <v>0</v>
      </c>
      <c r="AK849" s="64">
        <f t="shared" si="340"/>
        <v>0</v>
      </c>
      <c r="AM849" s="71"/>
      <c r="AN849" s="71"/>
      <c r="AO849" s="71">
        <f t="shared" si="341"/>
        <v>0</v>
      </c>
      <c r="AQ849" s="71"/>
      <c r="AR849" s="71"/>
      <c r="AS849" s="71">
        <f t="shared" si="342"/>
        <v>0</v>
      </c>
      <c r="AU849" s="71"/>
      <c r="AV849" s="71"/>
      <c r="AW849" s="71">
        <f t="shared" si="343"/>
        <v>0</v>
      </c>
      <c r="AY849" s="71"/>
      <c r="AZ849" s="71"/>
      <c r="BA849" s="71">
        <f t="shared" si="344"/>
        <v>0</v>
      </c>
      <c r="BI849" s="71"/>
      <c r="BJ849" s="71"/>
      <c r="BK849" s="71">
        <f t="shared" si="345"/>
        <v>0</v>
      </c>
      <c r="BM849" s="71"/>
      <c r="BN849" s="71"/>
      <c r="BO849" s="71">
        <f t="shared" si="346"/>
        <v>0</v>
      </c>
      <c r="BQ849" s="71"/>
      <c r="BR849" s="71"/>
      <c r="BS849" s="138">
        <f t="shared" si="347"/>
        <v>0</v>
      </c>
      <c r="BU849" s="71"/>
      <c r="BV849" s="71"/>
      <c r="BW849" s="71">
        <f t="shared" si="348"/>
        <v>0</v>
      </c>
      <c r="BZ849" s="71"/>
      <c r="CA849" s="71"/>
      <c r="CB849" s="71">
        <f t="shared" si="349"/>
        <v>0</v>
      </c>
      <c r="CD849" s="71"/>
      <c r="CE849" s="71"/>
      <c r="CF849" s="71">
        <f t="shared" si="350"/>
        <v>0</v>
      </c>
      <c r="CH849" s="71"/>
      <c r="CI849" s="71"/>
      <c r="CJ849" s="138">
        <f t="shared" si="351"/>
        <v>0</v>
      </c>
      <c r="CL849" s="71"/>
      <c r="CM849" s="71"/>
      <c r="CN849" s="71">
        <f t="shared" si="352"/>
        <v>0</v>
      </c>
      <c r="CS849" s="102">
        <f t="shared" si="353"/>
        <v>4.5293954747099576</v>
      </c>
      <c r="CT849" s="102">
        <f t="shared" si="354"/>
        <v>18.675175962423801</v>
      </c>
      <c r="CZ849" s="109" t="str">
        <f t="shared" si="355"/>
        <v>Basso</v>
      </c>
    </row>
    <row r="850" spans="9:104" x14ac:dyDescent="0.15">
      <c r="I850" s="64">
        <f t="shared" si="333"/>
        <v>76.99972307006928</v>
      </c>
      <c r="M850" s="64">
        <f t="shared" si="334"/>
        <v>0</v>
      </c>
      <c r="Q850" s="64">
        <f t="shared" si="335"/>
        <v>0</v>
      </c>
      <c r="U850" s="64">
        <f t="shared" si="336"/>
        <v>0</v>
      </c>
      <c r="Y850" s="114">
        <f t="shared" si="337"/>
        <v>0</v>
      </c>
      <c r="AC850" s="64">
        <f t="shared" si="338"/>
        <v>0</v>
      </c>
      <c r="AE850" s="71"/>
      <c r="AF850" s="71"/>
      <c r="AG850" s="71">
        <f t="shared" si="339"/>
        <v>0</v>
      </c>
      <c r="AK850" s="64">
        <f t="shared" si="340"/>
        <v>0</v>
      </c>
      <c r="AM850" s="71"/>
      <c r="AN850" s="71"/>
      <c r="AO850" s="71">
        <f t="shared" si="341"/>
        <v>0</v>
      </c>
      <c r="AQ850" s="71"/>
      <c r="AR850" s="71"/>
      <c r="AS850" s="71">
        <f t="shared" si="342"/>
        <v>0</v>
      </c>
      <c r="AU850" s="71"/>
      <c r="AV850" s="71"/>
      <c r="AW850" s="71">
        <f t="shared" si="343"/>
        <v>0</v>
      </c>
      <c r="AY850" s="71"/>
      <c r="AZ850" s="71"/>
      <c r="BA850" s="71">
        <f t="shared" si="344"/>
        <v>0</v>
      </c>
      <c r="BI850" s="71"/>
      <c r="BJ850" s="71"/>
      <c r="BK850" s="71">
        <f t="shared" si="345"/>
        <v>0</v>
      </c>
      <c r="BM850" s="71"/>
      <c r="BN850" s="71"/>
      <c r="BO850" s="71">
        <f t="shared" si="346"/>
        <v>0</v>
      </c>
      <c r="BQ850" s="71"/>
      <c r="BR850" s="71"/>
      <c r="BS850" s="138">
        <f t="shared" si="347"/>
        <v>0</v>
      </c>
      <c r="BU850" s="71"/>
      <c r="BV850" s="71"/>
      <c r="BW850" s="71">
        <f t="shared" si="348"/>
        <v>0</v>
      </c>
      <c r="BZ850" s="71"/>
      <c r="CA850" s="71"/>
      <c r="CB850" s="71">
        <f t="shared" si="349"/>
        <v>0</v>
      </c>
      <c r="CD850" s="71"/>
      <c r="CE850" s="71"/>
      <c r="CF850" s="71">
        <f t="shared" si="350"/>
        <v>0</v>
      </c>
      <c r="CH850" s="71"/>
      <c r="CI850" s="71"/>
      <c r="CJ850" s="138">
        <f t="shared" si="351"/>
        <v>0</v>
      </c>
      <c r="CL850" s="71"/>
      <c r="CM850" s="71"/>
      <c r="CN850" s="71">
        <f t="shared" si="352"/>
        <v>0</v>
      </c>
      <c r="CS850" s="102">
        <f t="shared" si="353"/>
        <v>4.5293954747099576</v>
      </c>
      <c r="CT850" s="102">
        <f t="shared" si="354"/>
        <v>18.675175962423801</v>
      </c>
      <c r="CZ850" s="109" t="str">
        <f t="shared" si="355"/>
        <v>Basso</v>
      </c>
    </row>
    <row r="851" spans="9:104" x14ac:dyDescent="0.15">
      <c r="I851" s="64">
        <f t="shared" si="333"/>
        <v>76.99972307006928</v>
      </c>
      <c r="M851" s="64">
        <f t="shared" si="334"/>
        <v>0</v>
      </c>
      <c r="Q851" s="64">
        <f t="shared" si="335"/>
        <v>0</v>
      </c>
      <c r="U851" s="64">
        <f t="shared" si="336"/>
        <v>0</v>
      </c>
      <c r="Y851" s="114">
        <f t="shared" si="337"/>
        <v>0</v>
      </c>
      <c r="AC851" s="64">
        <f t="shared" si="338"/>
        <v>0</v>
      </c>
      <c r="AE851" s="71"/>
      <c r="AF851" s="71"/>
      <c r="AG851" s="71">
        <f t="shared" si="339"/>
        <v>0</v>
      </c>
      <c r="AK851" s="64">
        <f t="shared" si="340"/>
        <v>0</v>
      </c>
      <c r="AM851" s="71"/>
      <c r="AN851" s="71"/>
      <c r="AO851" s="71">
        <f t="shared" si="341"/>
        <v>0</v>
      </c>
      <c r="AQ851" s="71"/>
      <c r="AR851" s="71"/>
      <c r="AS851" s="71">
        <f t="shared" si="342"/>
        <v>0</v>
      </c>
      <c r="AU851" s="71"/>
      <c r="AV851" s="71"/>
      <c r="AW851" s="71">
        <f t="shared" si="343"/>
        <v>0</v>
      </c>
      <c r="AY851" s="71"/>
      <c r="AZ851" s="71"/>
      <c r="BA851" s="71">
        <f t="shared" si="344"/>
        <v>0</v>
      </c>
      <c r="BI851" s="71"/>
      <c r="BJ851" s="71"/>
      <c r="BK851" s="71">
        <f t="shared" si="345"/>
        <v>0</v>
      </c>
      <c r="BM851" s="71"/>
      <c r="BN851" s="71"/>
      <c r="BO851" s="71">
        <f t="shared" si="346"/>
        <v>0</v>
      </c>
      <c r="BQ851" s="71"/>
      <c r="BR851" s="71"/>
      <c r="BS851" s="138">
        <f t="shared" si="347"/>
        <v>0</v>
      </c>
      <c r="BU851" s="71"/>
      <c r="BV851" s="71"/>
      <c r="BW851" s="71">
        <f t="shared" si="348"/>
        <v>0</v>
      </c>
      <c r="BZ851" s="71"/>
      <c r="CA851" s="71"/>
      <c r="CB851" s="71">
        <f t="shared" si="349"/>
        <v>0</v>
      </c>
      <c r="CD851" s="71"/>
      <c r="CE851" s="71"/>
      <c r="CF851" s="71">
        <f t="shared" si="350"/>
        <v>0</v>
      </c>
      <c r="CH851" s="71"/>
      <c r="CI851" s="71"/>
      <c r="CJ851" s="138">
        <f t="shared" si="351"/>
        <v>0</v>
      </c>
      <c r="CL851" s="71"/>
      <c r="CM851" s="71"/>
      <c r="CN851" s="71">
        <f t="shared" si="352"/>
        <v>0</v>
      </c>
      <c r="CS851" s="102">
        <f t="shared" si="353"/>
        <v>4.5293954747099576</v>
      </c>
      <c r="CT851" s="102">
        <f t="shared" si="354"/>
        <v>18.675175962423801</v>
      </c>
      <c r="CZ851" s="109" t="str">
        <f t="shared" si="355"/>
        <v>Basso</v>
      </c>
    </row>
    <row r="852" spans="9:104" x14ac:dyDescent="0.15">
      <c r="I852" s="64">
        <f t="shared" si="333"/>
        <v>76.99972307006928</v>
      </c>
      <c r="M852" s="64">
        <f t="shared" si="334"/>
        <v>0</v>
      </c>
      <c r="Q852" s="64">
        <f t="shared" si="335"/>
        <v>0</v>
      </c>
      <c r="U852" s="64">
        <f t="shared" si="336"/>
        <v>0</v>
      </c>
      <c r="Y852" s="114">
        <f t="shared" si="337"/>
        <v>0</v>
      </c>
      <c r="AC852" s="64">
        <f t="shared" si="338"/>
        <v>0</v>
      </c>
      <c r="AE852" s="71"/>
      <c r="AF852" s="71"/>
      <c r="AG852" s="71">
        <f t="shared" si="339"/>
        <v>0</v>
      </c>
      <c r="AK852" s="64">
        <f t="shared" si="340"/>
        <v>0</v>
      </c>
      <c r="AM852" s="71"/>
      <c r="AN852" s="71"/>
      <c r="AO852" s="71">
        <f t="shared" si="341"/>
        <v>0</v>
      </c>
      <c r="AQ852" s="71"/>
      <c r="AR852" s="71"/>
      <c r="AS852" s="71">
        <f t="shared" si="342"/>
        <v>0</v>
      </c>
      <c r="AU852" s="71"/>
      <c r="AV852" s="71"/>
      <c r="AW852" s="71">
        <f t="shared" si="343"/>
        <v>0</v>
      </c>
      <c r="AY852" s="71"/>
      <c r="AZ852" s="71"/>
      <c r="BA852" s="71">
        <f t="shared" si="344"/>
        <v>0</v>
      </c>
      <c r="BI852" s="71"/>
      <c r="BJ852" s="71"/>
      <c r="BK852" s="71">
        <f t="shared" si="345"/>
        <v>0</v>
      </c>
      <c r="BM852" s="71"/>
      <c r="BN852" s="71"/>
      <c r="BO852" s="71">
        <f t="shared" si="346"/>
        <v>0</v>
      </c>
      <c r="BQ852" s="71"/>
      <c r="BR852" s="71"/>
      <c r="BS852" s="138">
        <f t="shared" si="347"/>
        <v>0</v>
      </c>
      <c r="BU852" s="71"/>
      <c r="BV852" s="71"/>
      <c r="BW852" s="71">
        <f t="shared" si="348"/>
        <v>0</v>
      </c>
      <c r="BZ852" s="71"/>
      <c r="CA852" s="71"/>
      <c r="CB852" s="71">
        <f t="shared" si="349"/>
        <v>0</v>
      </c>
      <c r="CD852" s="71"/>
      <c r="CE852" s="71"/>
      <c r="CF852" s="71">
        <f t="shared" si="350"/>
        <v>0</v>
      </c>
      <c r="CH852" s="71"/>
      <c r="CI852" s="71"/>
      <c r="CJ852" s="138">
        <f t="shared" si="351"/>
        <v>0</v>
      </c>
      <c r="CL852" s="71"/>
      <c r="CM852" s="71"/>
      <c r="CN852" s="71">
        <f t="shared" si="352"/>
        <v>0</v>
      </c>
      <c r="CS852" s="102">
        <f t="shared" si="353"/>
        <v>4.5293954747099576</v>
      </c>
      <c r="CT852" s="102">
        <f t="shared" si="354"/>
        <v>18.675175962423801</v>
      </c>
      <c r="CZ852" s="109" t="str">
        <f t="shared" si="355"/>
        <v>Basso</v>
      </c>
    </row>
    <row r="853" spans="9:104" x14ac:dyDescent="0.15">
      <c r="I853" s="64">
        <f t="shared" si="333"/>
        <v>76.99972307006928</v>
      </c>
      <c r="M853" s="64">
        <f t="shared" si="334"/>
        <v>0</v>
      </c>
      <c r="Q853" s="64">
        <f t="shared" si="335"/>
        <v>0</v>
      </c>
      <c r="U853" s="64">
        <f t="shared" si="336"/>
        <v>0</v>
      </c>
      <c r="Y853" s="114">
        <f t="shared" si="337"/>
        <v>0</v>
      </c>
      <c r="AC853" s="64">
        <f t="shared" si="338"/>
        <v>0</v>
      </c>
      <c r="AE853" s="71"/>
      <c r="AF853" s="71"/>
      <c r="AG853" s="71">
        <f t="shared" si="339"/>
        <v>0</v>
      </c>
      <c r="AK853" s="64">
        <f t="shared" si="340"/>
        <v>0</v>
      </c>
      <c r="AM853" s="71"/>
      <c r="AN853" s="71"/>
      <c r="AO853" s="71">
        <f t="shared" si="341"/>
        <v>0</v>
      </c>
      <c r="AQ853" s="71"/>
      <c r="AR853" s="71"/>
      <c r="AS853" s="71">
        <f t="shared" si="342"/>
        <v>0</v>
      </c>
      <c r="AU853" s="71"/>
      <c r="AV853" s="71"/>
      <c r="AW853" s="71">
        <f t="shared" si="343"/>
        <v>0</v>
      </c>
      <c r="AY853" s="71"/>
      <c r="AZ853" s="71"/>
      <c r="BA853" s="71">
        <f t="shared" si="344"/>
        <v>0</v>
      </c>
      <c r="BI853" s="71"/>
      <c r="BJ853" s="71"/>
      <c r="BK853" s="71">
        <f t="shared" si="345"/>
        <v>0</v>
      </c>
      <c r="BM853" s="71"/>
      <c r="BN853" s="71"/>
      <c r="BO853" s="71">
        <f t="shared" si="346"/>
        <v>0</v>
      </c>
      <c r="BQ853" s="71"/>
      <c r="BR853" s="71"/>
      <c r="BS853" s="138">
        <f t="shared" si="347"/>
        <v>0</v>
      </c>
      <c r="BU853" s="71"/>
      <c r="BV853" s="71"/>
      <c r="BW853" s="71">
        <f t="shared" si="348"/>
        <v>0</v>
      </c>
      <c r="BZ853" s="71"/>
      <c r="CA853" s="71"/>
      <c r="CB853" s="71">
        <f t="shared" si="349"/>
        <v>0</v>
      </c>
      <c r="CD853" s="71"/>
      <c r="CE853" s="71"/>
      <c r="CF853" s="71">
        <f t="shared" si="350"/>
        <v>0</v>
      </c>
      <c r="CH853" s="71"/>
      <c r="CI853" s="71"/>
      <c r="CJ853" s="138">
        <f t="shared" si="351"/>
        <v>0</v>
      </c>
      <c r="CL853" s="71"/>
      <c r="CM853" s="71"/>
      <c r="CN853" s="71">
        <f t="shared" si="352"/>
        <v>0</v>
      </c>
      <c r="CS853" s="102">
        <f t="shared" si="353"/>
        <v>4.5293954747099576</v>
      </c>
      <c r="CT853" s="102">
        <f t="shared" si="354"/>
        <v>18.675175962423801</v>
      </c>
      <c r="CZ853" s="109" t="str">
        <f t="shared" si="355"/>
        <v>Basso</v>
      </c>
    </row>
    <row r="854" spans="9:104" x14ac:dyDescent="0.15">
      <c r="I854" s="64">
        <f t="shared" si="333"/>
        <v>76.99972307006928</v>
      </c>
      <c r="M854" s="64">
        <f t="shared" si="334"/>
        <v>0</v>
      </c>
      <c r="Q854" s="64">
        <f t="shared" si="335"/>
        <v>0</v>
      </c>
      <c r="U854" s="64">
        <f t="shared" si="336"/>
        <v>0</v>
      </c>
      <c r="Y854" s="114">
        <f t="shared" si="337"/>
        <v>0</v>
      </c>
      <c r="AC854" s="64">
        <f t="shared" si="338"/>
        <v>0</v>
      </c>
      <c r="AE854" s="71"/>
      <c r="AF854" s="71"/>
      <c r="AG854" s="71">
        <f t="shared" si="339"/>
        <v>0</v>
      </c>
      <c r="AK854" s="64">
        <f t="shared" si="340"/>
        <v>0</v>
      </c>
      <c r="AM854" s="71"/>
      <c r="AN854" s="71"/>
      <c r="AO854" s="71">
        <f t="shared" si="341"/>
        <v>0</v>
      </c>
      <c r="AQ854" s="71"/>
      <c r="AR854" s="71"/>
      <c r="AS854" s="71">
        <f t="shared" si="342"/>
        <v>0</v>
      </c>
      <c r="AU854" s="71"/>
      <c r="AV854" s="71"/>
      <c r="AW854" s="71">
        <f t="shared" si="343"/>
        <v>0</v>
      </c>
      <c r="AY854" s="71"/>
      <c r="AZ854" s="71"/>
      <c r="BA854" s="71">
        <f t="shared" si="344"/>
        <v>0</v>
      </c>
      <c r="BI854" s="71"/>
      <c r="BJ854" s="71"/>
      <c r="BK854" s="71">
        <f t="shared" si="345"/>
        <v>0</v>
      </c>
      <c r="BM854" s="71"/>
      <c r="BN854" s="71"/>
      <c r="BO854" s="71">
        <f t="shared" si="346"/>
        <v>0</v>
      </c>
      <c r="BQ854" s="71"/>
      <c r="BR854" s="71"/>
      <c r="BS854" s="138">
        <f t="shared" si="347"/>
        <v>0</v>
      </c>
      <c r="BU854" s="71"/>
      <c r="BV854" s="71"/>
      <c r="BW854" s="71">
        <f t="shared" si="348"/>
        <v>0</v>
      </c>
      <c r="BZ854" s="71"/>
      <c r="CA854" s="71"/>
      <c r="CB854" s="71">
        <f t="shared" si="349"/>
        <v>0</v>
      </c>
      <c r="CD854" s="71"/>
      <c r="CE854" s="71"/>
      <c r="CF854" s="71">
        <f t="shared" si="350"/>
        <v>0</v>
      </c>
      <c r="CH854" s="71"/>
      <c r="CI854" s="71"/>
      <c r="CJ854" s="138">
        <f t="shared" si="351"/>
        <v>0</v>
      </c>
      <c r="CL854" s="71"/>
      <c r="CM854" s="71"/>
      <c r="CN854" s="71">
        <f t="shared" si="352"/>
        <v>0</v>
      </c>
      <c r="CS854" s="102">
        <f t="shared" si="353"/>
        <v>4.5293954747099576</v>
      </c>
      <c r="CT854" s="102">
        <f t="shared" si="354"/>
        <v>18.675175962423801</v>
      </c>
      <c r="CZ854" s="109" t="str">
        <f t="shared" si="355"/>
        <v>Basso</v>
      </c>
    </row>
    <row r="855" spans="9:104" x14ac:dyDescent="0.15">
      <c r="I855" s="64">
        <f t="shared" si="333"/>
        <v>76.99972307006928</v>
      </c>
      <c r="M855" s="64">
        <f t="shared" si="334"/>
        <v>0</v>
      </c>
      <c r="Q855" s="64">
        <f t="shared" si="335"/>
        <v>0</v>
      </c>
      <c r="U855" s="64">
        <f t="shared" si="336"/>
        <v>0</v>
      </c>
      <c r="Y855" s="114">
        <f t="shared" si="337"/>
        <v>0</v>
      </c>
      <c r="AC855" s="64">
        <f t="shared" si="338"/>
        <v>0</v>
      </c>
      <c r="AE855" s="71"/>
      <c r="AF855" s="71"/>
      <c r="AG855" s="71">
        <f t="shared" si="339"/>
        <v>0</v>
      </c>
      <c r="AK855" s="64">
        <f t="shared" si="340"/>
        <v>0</v>
      </c>
      <c r="AM855" s="71"/>
      <c r="AN855" s="71"/>
      <c r="AO855" s="71">
        <f t="shared" si="341"/>
        <v>0</v>
      </c>
      <c r="AQ855" s="71"/>
      <c r="AR855" s="71"/>
      <c r="AS855" s="71">
        <f t="shared" si="342"/>
        <v>0</v>
      </c>
      <c r="AU855" s="71"/>
      <c r="AV855" s="71"/>
      <c r="AW855" s="71">
        <f t="shared" si="343"/>
        <v>0</v>
      </c>
      <c r="AY855" s="71"/>
      <c r="AZ855" s="71"/>
      <c r="BA855" s="71">
        <f t="shared" si="344"/>
        <v>0</v>
      </c>
      <c r="BI855" s="71"/>
      <c r="BJ855" s="71"/>
      <c r="BK855" s="71">
        <f t="shared" si="345"/>
        <v>0</v>
      </c>
      <c r="BM855" s="71"/>
      <c r="BN855" s="71"/>
      <c r="BO855" s="71">
        <f t="shared" si="346"/>
        <v>0</v>
      </c>
      <c r="BQ855" s="71"/>
      <c r="BR855" s="71"/>
      <c r="BS855" s="138">
        <f t="shared" si="347"/>
        <v>0</v>
      </c>
      <c r="BU855" s="71"/>
      <c r="BV855" s="71"/>
      <c r="BW855" s="71">
        <f t="shared" si="348"/>
        <v>0</v>
      </c>
      <c r="BZ855" s="71"/>
      <c r="CA855" s="71"/>
      <c r="CB855" s="71">
        <f t="shared" si="349"/>
        <v>0</v>
      </c>
      <c r="CD855" s="71"/>
      <c r="CE855" s="71"/>
      <c r="CF855" s="71">
        <f t="shared" si="350"/>
        <v>0</v>
      </c>
      <c r="CH855" s="71"/>
      <c r="CI855" s="71"/>
      <c r="CJ855" s="138">
        <f t="shared" si="351"/>
        <v>0</v>
      </c>
      <c r="CL855" s="71"/>
      <c r="CM855" s="71"/>
      <c r="CN855" s="71">
        <f t="shared" si="352"/>
        <v>0</v>
      </c>
      <c r="CS855" s="102">
        <f t="shared" si="353"/>
        <v>4.5293954747099576</v>
      </c>
      <c r="CT855" s="102">
        <f t="shared" si="354"/>
        <v>18.675175962423801</v>
      </c>
      <c r="CZ855" s="109" t="str">
        <f t="shared" si="355"/>
        <v>Basso</v>
      </c>
    </row>
    <row r="856" spans="9:104" x14ac:dyDescent="0.15">
      <c r="I856" s="64">
        <f t="shared" si="333"/>
        <v>76.99972307006928</v>
      </c>
      <c r="M856" s="64">
        <f t="shared" si="334"/>
        <v>0</v>
      </c>
      <c r="Q856" s="64">
        <f t="shared" si="335"/>
        <v>0</v>
      </c>
      <c r="U856" s="64">
        <f t="shared" si="336"/>
        <v>0</v>
      </c>
      <c r="Y856" s="114">
        <f t="shared" si="337"/>
        <v>0</v>
      </c>
      <c r="AC856" s="64">
        <f t="shared" si="338"/>
        <v>0</v>
      </c>
      <c r="AE856" s="71"/>
      <c r="AF856" s="71"/>
      <c r="AG856" s="71">
        <f t="shared" si="339"/>
        <v>0</v>
      </c>
      <c r="AK856" s="64">
        <f t="shared" si="340"/>
        <v>0</v>
      </c>
      <c r="AM856" s="71"/>
      <c r="AN856" s="71"/>
      <c r="AO856" s="71">
        <f t="shared" si="341"/>
        <v>0</v>
      </c>
      <c r="AQ856" s="71"/>
      <c r="AR856" s="71"/>
      <c r="AS856" s="71">
        <f t="shared" si="342"/>
        <v>0</v>
      </c>
      <c r="AU856" s="71"/>
      <c r="AV856" s="71"/>
      <c r="AW856" s="71">
        <f t="shared" si="343"/>
        <v>0</v>
      </c>
      <c r="AY856" s="71"/>
      <c r="AZ856" s="71"/>
      <c r="BA856" s="71">
        <f t="shared" si="344"/>
        <v>0</v>
      </c>
      <c r="BI856" s="71"/>
      <c r="BJ856" s="71"/>
      <c r="BK856" s="71">
        <f t="shared" si="345"/>
        <v>0</v>
      </c>
      <c r="BM856" s="71"/>
      <c r="BN856" s="71"/>
      <c r="BO856" s="71">
        <f t="shared" si="346"/>
        <v>0</v>
      </c>
      <c r="BQ856" s="71"/>
      <c r="BR856" s="71"/>
      <c r="BS856" s="138">
        <f t="shared" si="347"/>
        <v>0</v>
      </c>
      <c r="BU856" s="71"/>
      <c r="BV856" s="71"/>
      <c r="BW856" s="71">
        <f t="shared" si="348"/>
        <v>0</v>
      </c>
      <c r="BZ856" s="71"/>
      <c r="CA856" s="71"/>
      <c r="CB856" s="71">
        <f t="shared" si="349"/>
        <v>0</v>
      </c>
      <c r="CD856" s="71"/>
      <c r="CE856" s="71"/>
      <c r="CF856" s="71">
        <f t="shared" si="350"/>
        <v>0</v>
      </c>
      <c r="CH856" s="71"/>
      <c r="CI856" s="71"/>
      <c r="CJ856" s="138">
        <f t="shared" si="351"/>
        <v>0</v>
      </c>
      <c r="CL856" s="71"/>
      <c r="CM856" s="71"/>
      <c r="CN856" s="71">
        <f t="shared" si="352"/>
        <v>0</v>
      </c>
      <c r="CS856" s="102">
        <f t="shared" si="353"/>
        <v>4.5293954747099576</v>
      </c>
      <c r="CT856" s="102">
        <f t="shared" si="354"/>
        <v>18.675175962423801</v>
      </c>
      <c r="CZ856" s="109" t="str">
        <f t="shared" si="355"/>
        <v>Basso</v>
      </c>
    </row>
    <row r="857" spans="9:104" x14ac:dyDescent="0.15">
      <c r="I857" s="64">
        <f t="shared" si="333"/>
        <v>76.99972307006928</v>
      </c>
      <c r="M857" s="64">
        <f t="shared" si="334"/>
        <v>0</v>
      </c>
      <c r="Q857" s="64">
        <f t="shared" si="335"/>
        <v>0</v>
      </c>
      <c r="U857" s="64">
        <f t="shared" si="336"/>
        <v>0</v>
      </c>
      <c r="Y857" s="114">
        <f t="shared" si="337"/>
        <v>0</v>
      </c>
      <c r="AC857" s="64">
        <f t="shared" si="338"/>
        <v>0</v>
      </c>
      <c r="AE857" s="71"/>
      <c r="AF857" s="71"/>
      <c r="AG857" s="71">
        <f t="shared" si="339"/>
        <v>0</v>
      </c>
      <c r="AK857" s="64">
        <f t="shared" si="340"/>
        <v>0</v>
      </c>
      <c r="AM857" s="71"/>
      <c r="AN857" s="71"/>
      <c r="AO857" s="71">
        <f t="shared" si="341"/>
        <v>0</v>
      </c>
      <c r="AQ857" s="71"/>
      <c r="AR857" s="71"/>
      <c r="AS857" s="71">
        <f t="shared" si="342"/>
        <v>0</v>
      </c>
      <c r="AU857" s="71"/>
      <c r="AV857" s="71"/>
      <c r="AW857" s="71">
        <f t="shared" si="343"/>
        <v>0</v>
      </c>
      <c r="AY857" s="71"/>
      <c r="AZ857" s="71"/>
      <c r="BA857" s="71">
        <f t="shared" si="344"/>
        <v>0</v>
      </c>
      <c r="BI857" s="71"/>
      <c r="BJ857" s="71"/>
      <c r="BK857" s="71">
        <f t="shared" si="345"/>
        <v>0</v>
      </c>
      <c r="BM857" s="71"/>
      <c r="BN857" s="71"/>
      <c r="BO857" s="71">
        <f t="shared" si="346"/>
        <v>0</v>
      </c>
      <c r="BQ857" s="71"/>
      <c r="BR857" s="71"/>
      <c r="BS857" s="138">
        <f t="shared" si="347"/>
        <v>0</v>
      </c>
      <c r="BU857" s="71"/>
      <c r="BV857" s="71"/>
      <c r="BW857" s="71">
        <f t="shared" si="348"/>
        <v>0</v>
      </c>
      <c r="BZ857" s="71"/>
      <c r="CA857" s="71"/>
      <c r="CB857" s="71">
        <f t="shared" si="349"/>
        <v>0</v>
      </c>
      <c r="CD857" s="71"/>
      <c r="CE857" s="71"/>
      <c r="CF857" s="71">
        <f t="shared" si="350"/>
        <v>0</v>
      </c>
      <c r="CH857" s="71"/>
      <c r="CI857" s="71"/>
      <c r="CJ857" s="138">
        <f t="shared" si="351"/>
        <v>0</v>
      </c>
      <c r="CL857" s="71"/>
      <c r="CM857" s="71"/>
      <c r="CN857" s="71">
        <f t="shared" si="352"/>
        <v>0</v>
      </c>
      <c r="CS857" s="102">
        <f t="shared" si="353"/>
        <v>4.5293954747099576</v>
      </c>
      <c r="CT857" s="102">
        <f t="shared" si="354"/>
        <v>18.675175962423801</v>
      </c>
      <c r="CZ857" s="109" t="str">
        <f t="shared" si="355"/>
        <v>Basso</v>
      </c>
    </row>
    <row r="858" spans="9:104" x14ac:dyDescent="0.15">
      <c r="I858" s="64">
        <f t="shared" si="333"/>
        <v>76.99972307006928</v>
      </c>
      <c r="M858" s="64">
        <f t="shared" si="334"/>
        <v>0</v>
      </c>
      <c r="Q858" s="64">
        <f t="shared" si="335"/>
        <v>0</v>
      </c>
      <c r="U858" s="64">
        <f t="shared" si="336"/>
        <v>0</v>
      </c>
      <c r="Y858" s="114">
        <f t="shared" si="337"/>
        <v>0</v>
      </c>
      <c r="AC858" s="64">
        <f t="shared" si="338"/>
        <v>0</v>
      </c>
      <c r="AE858" s="71"/>
      <c r="AF858" s="71"/>
      <c r="AG858" s="71">
        <f t="shared" si="339"/>
        <v>0</v>
      </c>
      <c r="AK858" s="64">
        <f t="shared" si="340"/>
        <v>0</v>
      </c>
      <c r="AM858" s="71"/>
      <c r="AN858" s="71"/>
      <c r="AO858" s="71">
        <f t="shared" si="341"/>
        <v>0</v>
      </c>
      <c r="AQ858" s="71"/>
      <c r="AR858" s="71"/>
      <c r="AS858" s="71">
        <f t="shared" si="342"/>
        <v>0</v>
      </c>
      <c r="AU858" s="71"/>
      <c r="AV858" s="71"/>
      <c r="AW858" s="71">
        <f t="shared" si="343"/>
        <v>0</v>
      </c>
      <c r="AY858" s="71"/>
      <c r="AZ858" s="71"/>
      <c r="BA858" s="71">
        <f t="shared" si="344"/>
        <v>0</v>
      </c>
      <c r="BI858" s="71"/>
      <c r="BJ858" s="71"/>
      <c r="BK858" s="71">
        <f t="shared" si="345"/>
        <v>0</v>
      </c>
      <c r="BM858" s="71"/>
      <c r="BN858" s="71"/>
      <c r="BO858" s="71">
        <f t="shared" si="346"/>
        <v>0</v>
      </c>
      <c r="BQ858" s="71"/>
      <c r="BR858" s="71"/>
      <c r="BS858" s="138">
        <f t="shared" si="347"/>
        <v>0</v>
      </c>
      <c r="BU858" s="71"/>
      <c r="BV858" s="71"/>
      <c r="BW858" s="71">
        <f t="shared" si="348"/>
        <v>0</v>
      </c>
      <c r="BZ858" s="71"/>
      <c r="CA858" s="71"/>
      <c r="CB858" s="71">
        <f t="shared" si="349"/>
        <v>0</v>
      </c>
      <c r="CD858" s="71"/>
      <c r="CE858" s="71"/>
      <c r="CF858" s="71">
        <f t="shared" si="350"/>
        <v>0</v>
      </c>
      <c r="CH858" s="71"/>
      <c r="CI858" s="71"/>
      <c r="CJ858" s="138">
        <f t="shared" si="351"/>
        <v>0</v>
      </c>
      <c r="CL858" s="71"/>
      <c r="CM858" s="71"/>
      <c r="CN858" s="71">
        <f t="shared" si="352"/>
        <v>0</v>
      </c>
      <c r="CS858" s="102">
        <f t="shared" si="353"/>
        <v>4.5293954747099576</v>
      </c>
      <c r="CT858" s="102">
        <f t="shared" si="354"/>
        <v>18.675175962423801</v>
      </c>
      <c r="CZ858" s="109" t="str">
        <f t="shared" si="355"/>
        <v>Basso</v>
      </c>
    </row>
    <row r="859" spans="9:104" x14ac:dyDescent="0.15">
      <c r="I859" s="64">
        <f t="shared" si="333"/>
        <v>76.99972307006928</v>
      </c>
      <c r="M859" s="64">
        <f t="shared" si="334"/>
        <v>0</v>
      </c>
      <c r="Q859" s="64">
        <f t="shared" si="335"/>
        <v>0</v>
      </c>
      <c r="U859" s="64">
        <f t="shared" si="336"/>
        <v>0</v>
      </c>
      <c r="Y859" s="114">
        <f t="shared" si="337"/>
        <v>0</v>
      </c>
      <c r="AC859" s="64">
        <f t="shared" si="338"/>
        <v>0</v>
      </c>
      <c r="AE859" s="71"/>
      <c r="AF859" s="71"/>
      <c r="AG859" s="71">
        <f t="shared" si="339"/>
        <v>0</v>
      </c>
      <c r="AK859" s="64">
        <f t="shared" si="340"/>
        <v>0</v>
      </c>
      <c r="AM859" s="71"/>
      <c r="AN859" s="71"/>
      <c r="AO859" s="71">
        <f t="shared" si="341"/>
        <v>0</v>
      </c>
      <c r="AQ859" s="71"/>
      <c r="AR859" s="71"/>
      <c r="AS859" s="71">
        <f t="shared" si="342"/>
        <v>0</v>
      </c>
      <c r="AU859" s="71"/>
      <c r="AV859" s="71"/>
      <c r="AW859" s="71">
        <f t="shared" si="343"/>
        <v>0</v>
      </c>
      <c r="AY859" s="71"/>
      <c r="AZ859" s="71"/>
      <c r="BA859" s="71">
        <f t="shared" si="344"/>
        <v>0</v>
      </c>
      <c r="BI859" s="71"/>
      <c r="BJ859" s="71"/>
      <c r="BK859" s="71">
        <f t="shared" si="345"/>
        <v>0</v>
      </c>
      <c r="BM859" s="71"/>
      <c r="BN859" s="71"/>
      <c r="BO859" s="71">
        <f t="shared" si="346"/>
        <v>0</v>
      </c>
      <c r="BQ859" s="71"/>
      <c r="BR859" s="71"/>
      <c r="BS859" s="138">
        <f t="shared" si="347"/>
        <v>0</v>
      </c>
      <c r="BU859" s="71"/>
      <c r="BV859" s="71"/>
      <c r="BW859" s="71">
        <f t="shared" si="348"/>
        <v>0</v>
      </c>
      <c r="BZ859" s="71"/>
      <c r="CA859" s="71"/>
      <c r="CB859" s="71">
        <f t="shared" si="349"/>
        <v>0</v>
      </c>
      <c r="CD859" s="71"/>
      <c r="CE859" s="71"/>
      <c r="CF859" s="71">
        <f t="shared" si="350"/>
        <v>0</v>
      </c>
      <c r="CH859" s="71"/>
      <c r="CI859" s="71"/>
      <c r="CJ859" s="138">
        <f t="shared" si="351"/>
        <v>0</v>
      </c>
      <c r="CL859" s="71"/>
      <c r="CM859" s="71"/>
      <c r="CN859" s="71">
        <f t="shared" si="352"/>
        <v>0</v>
      </c>
      <c r="CS859" s="102">
        <f t="shared" si="353"/>
        <v>4.5293954747099576</v>
      </c>
      <c r="CT859" s="102">
        <f t="shared" si="354"/>
        <v>18.675175962423801</v>
      </c>
      <c r="CZ859" s="109" t="str">
        <f t="shared" si="355"/>
        <v>Basso</v>
      </c>
    </row>
    <row r="860" spans="9:104" x14ac:dyDescent="0.15">
      <c r="I860" s="64">
        <f t="shared" si="333"/>
        <v>76.99972307006928</v>
      </c>
      <c r="M860" s="64">
        <f t="shared" si="334"/>
        <v>0</v>
      </c>
      <c r="Q860" s="64">
        <f t="shared" si="335"/>
        <v>0</v>
      </c>
      <c r="U860" s="64">
        <f t="shared" si="336"/>
        <v>0</v>
      </c>
      <c r="Y860" s="114">
        <f t="shared" si="337"/>
        <v>0</v>
      </c>
      <c r="AC860" s="64">
        <f t="shared" si="338"/>
        <v>0</v>
      </c>
      <c r="AE860" s="71"/>
      <c r="AF860" s="71"/>
      <c r="AG860" s="71">
        <f t="shared" si="339"/>
        <v>0</v>
      </c>
      <c r="AK860" s="64">
        <f t="shared" si="340"/>
        <v>0</v>
      </c>
      <c r="AM860" s="71"/>
      <c r="AN860" s="71"/>
      <c r="AO860" s="71">
        <f t="shared" si="341"/>
        <v>0</v>
      </c>
      <c r="AQ860" s="71"/>
      <c r="AR860" s="71"/>
      <c r="AS860" s="71">
        <f t="shared" si="342"/>
        <v>0</v>
      </c>
      <c r="AU860" s="71"/>
      <c r="AV860" s="71"/>
      <c r="AW860" s="71">
        <f t="shared" si="343"/>
        <v>0</v>
      </c>
      <c r="AY860" s="71"/>
      <c r="AZ860" s="71"/>
      <c r="BA860" s="71">
        <f t="shared" si="344"/>
        <v>0</v>
      </c>
      <c r="BI860" s="71"/>
      <c r="BJ860" s="71"/>
      <c r="BK860" s="71">
        <f t="shared" si="345"/>
        <v>0</v>
      </c>
      <c r="BM860" s="71"/>
      <c r="BN860" s="71"/>
      <c r="BO860" s="71">
        <f t="shared" si="346"/>
        <v>0</v>
      </c>
      <c r="BQ860" s="71"/>
      <c r="BR860" s="71"/>
      <c r="BS860" s="138">
        <f t="shared" si="347"/>
        <v>0</v>
      </c>
      <c r="BU860" s="71"/>
      <c r="BV860" s="71"/>
      <c r="BW860" s="71">
        <f t="shared" si="348"/>
        <v>0</v>
      </c>
      <c r="BZ860" s="71"/>
      <c r="CA860" s="71"/>
      <c r="CB860" s="71">
        <f t="shared" si="349"/>
        <v>0</v>
      </c>
      <c r="CD860" s="71"/>
      <c r="CE860" s="71"/>
      <c r="CF860" s="71">
        <f t="shared" si="350"/>
        <v>0</v>
      </c>
      <c r="CH860" s="71"/>
      <c r="CI860" s="71"/>
      <c r="CJ860" s="138">
        <f t="shared" si="351"/>
        <v>0</v>
      </c>
      <c r="CL860" s="71"/>
      <c r="CM860" s="71"/>
      <c r="CN860" s="71">
        <f t="shared" si="352"/>
        <v>0</v>
      </c>
      <c r="CS860" s="102">
        <f t="shared" si="353"/>
        <v>4.5293954747099576</v>
      </c>
      <c r="CT860" s="102">
        <f t="shared" si="354"/>
        <v>18.675175962423801</v>
      </c>
      <c r="CZ860" s="109" t="str">
        <f t="shared" si="355"/>
        <v>Basso</v>
      </c>
    </row>
    <row r="861" spans="9:104" x14ac:dyDescent="0.15">
      <c r="I861" s="64">
        <f t="shared" si="333"/>
        <v>76.99972307006928</v>
      </c>
      <c r="M861" s="64">
        <f t="shared" si="334"/>
        <v>0</v>
      </c>
      <c r="Q861" s="64">
        <f t="shared" si="335"/>
        <v>0</v>
      </c>
      <c r="U861" s="64">
        <f t="shared" si="336"/>
        <v>0</v>
      </c>
      <c r="Y861" s="114">
        <f t="shared" si="337"/>
        <v>0</v>
      </c>
      <c r="AC861" s="64">
        <f t="shared" si="338"/>
        <v>0</v>
      </c>
      <c r="AE861" s="71"/>
      <c r="AF861" s="71"/>
      <c r="AG861" s="71">
        <f t="shared" si="339"/>
        <v>0</v>
      </c>
      <c r="AK861" s="64">
        <f t="shared" si="340"/>
        <v>0</v>
      </c>
      <c r="AM861" s="71"/>
      <c r="AN861" s="71"/>
      <c r="AO861" s="71">
        <f t="shared" si="341"/>
        <v>0</v>
      </c>
      <c r="AQ861" s="71"/>
      <c r="AR861" s="71"/>
      <c r="AS861" s="71">
        <f t="shared" si="342"/>
        <v>0</v>
      </c>
      <c r="AU861" s="71"/>
      <c r="AV861" s="71"/>
      <c r="AW861" s="71">
        <f t="shared" si="343"/>
        <v>0</v>
      </c>
      <c r="AY861" s="71"/>
      <c r="AZ861" s="71"/>
      <c r="BA861" s="71">
        <f t="shared" si="344"/>
        <v>0</v>
      </c>
      <c r="BI861" s="71"/>
      <c r="BJ861" s="71"/>
      <c r="BK861" s="71">
        <f t="shared" si="345"/>
        <v>0</v>
      </c>
      <c r="BM861" s="71"/>
      <c r="BN861" s="71"/>
      <c r="BO861" s="71">
        <f t="shared" si="346"/>
        <v>0</v>
      </c>
      <c r="BQ861" s="71"/>
      <c r="BR861" s="71"/>
      <c r="BS861" s="138">
        <f t="shared" si="347"/>
        <v>0</v>
      </c>
      <c r="BU861" s="71"/>
      <c r="BV861" s="71"/>
      <c r="BW861" s="71">
        <f t="shared" si="348"/>
        <v>0</v>
      </c>
      <c r="BZ861" s="71"/>
      <c r="CA861" s="71"/>
      <c r="CB861" s="71">
        <f t="shared" si="349"/>
        <v>0</v>
      </c>
      <c r="CD861" s="71"/>
      <c r="CE861" s="71"/>
      <c r="CF861" s="71">
        <f t="shared" si="350"/>
        <v>0</v>
      </c>
      <c r="CH861" s="71"/>
      <c r="CI861" s="71"/>
      <c r="CJ861" s="138">
        <f t="shared" si="351"/>
        <v>0</v>
      </c>
      <c r="CL861" s="71"/>
      <c r="CM861" s="71"/>
      <c r="CN861" s="71">
        <f t="shared" si="352"/>
        <v>0</v>
      </c>
      <c r="CS861" s="102">
        <f t="shared" si="353"/>
        <v>4.5293954747099576</v>
      </c>
      <c r="CT861" s="102">
        <f t="shared" si="354"/>
        <v>18.675175962423801</v>
      </c>
      <c r="CZ861" s="109" t="str">
        <f t="shared" si="355"/>
        <v>Basso</v>
      </c>
    </row>
    <row r="862" spans="9:104" x14ac:dyDescent="0.15">
      <c r="I862" s="64">
        <f t="shared" si="333"/>
        <v>76.99972307006928</v>
      </c>
      <c r="M862" s="64">
        <f t="shared" si="334"/>
        <v>0</v>
      </c>
      <c r="Q862" s="64">
        <f t="shared" si="335"/>
        <v>0</v>
      </c>
      <c r="U862" s="64">
        <f t="shared" si="336"/>
        <v>0</v>
      </c>
      <c r="Y862" s="114">
        <f t="shared" si="337"/>
        <v>0</v>
      </c>
      <c r="AC862" s="64">
        <f t="shared" si="338"/>
        <v>0</v>
      </c>
      <c r="AE862" s="71"/>
      <c r="AF862" s="71"/>
      <c r="AG862" s="71">
        <f t="shared" si="339"/>
        <v>0</v>
      </c>
      <c r="AK862" s="64">
        <f t="shared" si="340"/>
        <v>0</v>
      </c>
      <c r="AM862" s="71"/>
      <c r="AN862" s="71"/>
      <c r="AO862" s="71">
        <f t="shared" si="341"/>
        <v>0</v>
      </c>
      <c r="AQ862" s="71"/>
      <c r="AR862" s="71"/>
      <c r="AS862" s="71">
        <f t="shared" si="342"/>
        <v>0</v>
      </c>
      <c r="AU862" s="71"/>
      <c r="AV862" s="71"/>
      <c r="AW862" s="71">
        <f t="shared" si="343"/>
        <v>0</v>
      </c>
      <c r="AY862" s="71"/>
      <c r="AZ862" s="71"/>
      <c r="BA862" s="71">
        <f t="shared" si="344"/>
        <v>0</v>
      </c>
      <c r="BI862" s="71"/>
      <c r="BJ862" s="71"/>
      <c r="BK862" s="71">
        <f t="shared" si="345"/>
        <v>0</v>
      </c>
      <c r="BM862" s="71"/>
      <c r="BN862" s="71"/>
      <c r="BO862" s="71">
        <f t="shared" si="346"/>
        <v>0</v>
      </c>
      <c r="BQ862" s="71"/>
      <c r="BR862" s="71"/>
      <c r="BS862" s="138">
        <f t="shared" si="347"/>
        <v>0</v>
      </c>
      <c r="BU862" s="71"/>
      <c r="BV862" s="71"/>
      <c r="BW862" s="71">
        <f t="shared" si="348"/>
        <v>0</v>
      </c>
      <c r="BZ862" s="71"/>
      <c r="CA862" s="71"/>
      <c r="CB862" s="71">
        <f t="shared" si="349"/>
        <v>0</v>
      </c>
      <c r="CD862" s="71"/>
      <c r="CE862" s="71"/>
      <c r="CF862" s="71">
        <f t="shared" si="350"/>
        <v>0</v>
      </c>
      <c r="CH862" s="71"/>
      <c r="CI862" s="71"/>
      <c r="CJ862" s="138">
        <f t="shared" si="351"/>
        <v>0</v>
      </c>
      <c r="CL862" s="71"/>
      <c r="CM862" s="71"/>
      <c r="CN862" s="71">
        <f t="shared" si="352"/>
        <v>0</v>
      </c>
      <c r="CS862" s="102">
        <f t="shared" si="353"/>
        <v>4.5293954747099576</v>
      </c>
      <c r="CT862" s="102">
        <f t="shared" si="354"/>
        <v>18.675175962423801</v>
      </c>
      <c r="CZ862" s="109" t="str">
        <f t="shared" si="355"/>
        <v>Basso</v>
      </c>
    </row>
    <row r="863" spans="9:104" x14ac:dyDescent="0.15">
      <c r="I863" s="64">
        <f t="shared" si="333"/>
        <v>76.99972307006928</v>
      </c>
      <c r="M863" s="64">
        <f t="shared" si="334"/>
        <v>0</v>
      </c>
      <c r="Q863" s="64">
        <f t="shared" si="335"/>
        <v>0</v>
      </c>
      <c r="U863" s="64">
        <f t="shared" si="336"/>
        <v>0</v>
      </c>
      <c r="Y863" s="114">
        <f t="shared" si="337"/>
        <v>0</v>
      </c>
      <c r="AC863" s="64">
        <f t="shared" si="338"/>
        <v>0</v>
      </c>
      <c r="AE863" s="71"/>
      <c r="AF863" s="71"/>
      <c r="AG863" s="71">
        <f t="shared" si="339"/>
        <v>0</v>
      </c>
      <c r="AK863" s="64">
        <f t="shared" si="340"/>
        <v>0</v>
      </c>
      <c r="AM863" s="71"/>
      <c r="AN863" s="71"/>
      <c r="AO863" s="71">
        <f t="shared" si="341"/>
        <v>0</v>
      </c>
      <c r="AQ863" s="71"/>
      <c r="AR863" s="71"/>
      <c r="AS863" s="71">
        <f t="shared" si="342"/>
        <v>0</v>
      </c>
      <c r="AU863" s="71"/>
      <c r="AV863" s="71"/>
      <c r="AW863" s="71">
        <f t="shared" si="343"/>
        <v>0</v>
      </c>
      <c r="AY863" s="71"/>
      <c r="AZ863" s="71"/>
      <c r="BA863" s="71">
        <f t="shared" si="344"/>
        <v>0</v>
      </c>
      <c r="BI863" s="71"/>
      <c r="BJ863" s="71"/>
      <c r="BK863" s="71">
        <f t="shared" si="345"/>
        <v>0</v>
      </c>
      <c r="BM863" s="71"/>
      <c r="BN863" s="71"/>
      <c r="BO863" s="71">
        <f t="shared" si="346"/>
        <v>0</v>
      </c>
      <c r="BQ863" s="71"/>
      <c r="BR863" s="71"/>
      <c r="BS863" s="138">
        <f t="shared" si="347"/>
        <v>0</v>
      </c>
      <c r="BU863" s="71"/>
      <c r="BV863" s="71"/>
      <c r="BW863" s="71">
        <f t="shared" si="348"/>
        <v>0</v>
      </c>
      <c r="BZ863" s="71"/>
      <c r="CA863" s="71"/>
      <c r="CB863" s="71">
        <f t="shared" si="349"/>
        <v>0</v>
      </c>
      <c r="CD863" s="71"/>
      <c r="CE863" s="71"/>
      <c r="CF863" s="71">
        <f t="shared" si="350"/>
        <v>0</v>
      </c>
      <c r="CH863" s="71"/>
      <c r="CI863" s="71"/>
      <c r="CJ863" s="138">
        <f t="shared" si="351"/>
        <v>0</v>
      </c>
      <c r="CL863" s="71"/>
      <c r="CM863" s="71"/>
      <c r="CN863" s="71">
        <f t="shared" si="352"/>
        <v>0</v>
      </c>
      <c r="CS863" s="102">
        <f t="shared" si="353"/>
        <v>4.5293954747099576</v>
      </c>
      <c r="CT863" s="102">
        <f t="shared" si="354"/>
        <v>18.675175962423801</v>
      </c>
      <c r="CZ863" s="109" t="str">
        <f t="shared" si="355"/>
        <v>Basso</v>
      </c>
    </row>
    <row r="864" spans="9:104" x14ac:dyDescent="0.15">
      <c r="I864" s="64">
        <f t="shared" si="333"/>
        <v>76.99972307006928</v>
      </c>
      <c r="M864" s="64">
        <f t="shared" si="334"/>
        <v>0</v>
      </c>
      <c r="Q864" s="64">
        <f t="shared" si="335"/>
        <v>0</v>
      </c>
      <c r="U864" s="64">
        <f t="shared" si="336"/>
        <v>0</v>
      </c>
      <c r="Y864" s="114">
        <f t="shared" si="337"/>
        <v>0</v>
      </c>
      <c r="AC864" s="64">
        <f t="shared" si="338"/>
        <v>0</v>
      </c>
      <c r="AE864" s="71"/>
      <c r="AF864" s="71"/>
      <c r="AG864" s="71">
        <f t="shared" si="339"/>
        <v>0</v>
      </c>
      <c r="AK864" s="64">
        <f t="shared" si="340"/>
        <v>0</v>
      </c>
      <c r="AM864" s="71"/>
      <c r="AN864" s="71"/>
      <c r="AO864" s="71">
        <f t="shared" si="341"/>
        <v>0</v>
      </c>
      <c r="AQ864" s="71"/>
      <c r="AR864" s="71"/>
      <c r="AS864" s="71">
        <f t="shared" si="342"/>
        <v>0</v>
      </c>
      <c r="AU864" s="71"/>
      <c r="AV864" s="71"/>
      <c r="AW864" s="71">
        <f t="shared" si="343"/>
        <v>0</v>
      </c>
      <c r="AY864" s="71"/>
      <c r="AZ864" s="71"/>
      <c r="BA864" s="71">
        <f t="shared" si="344"/>
        <v>0</v>
      </c>
      <c r="BI864" s="71"/>
      <c r="BJ864" s="71"/>
      <c r="BK864" s="71">
        <f t="shared" si="345"/>
        <v>0</v>
      </c>
      <c r="BM864" s="71"/>
      <c r="BN864" s="71"/>
      <c r="BO864" s="71">
        <f t="shared" si="346"/>
        <v>0</v>
      </c>
      <c r="BQ864" s="71"/>
      <c r="BR864" s="71"/>
      <c r="BS864" s="138">
        <f t="shared" si="347"/>
        <v>0</v>
      </c>
      <c r="BU864" s="71"/>
      <c r="BV864" s="71"/>
      <c r="BW864" s="71">
        <f t="shared" si="348"/>
        <v>0</v>
      </c>
      <c r="BZ864" s="71"/>
      <c r="CA864" s="71"/>
      <c r="CB864" s="71">
        <f t="shared" si="349"/>
        <v>0</v>
      </c>
      <c r="CD864" s="71"/>
      <c r="CE864" s="71"/>
      <c r="CF864" s="71">
        <f t="shared" si="350"/>
        <v>0</v>
      </c>
      <c r="CH864" s="71"/>
      <c r="CI864" s="71"/>
      <c r="CJ864" s="138">
        <f t="shared" si="351"/>
        <v>0</v>
      </c>
      <c r="CL864" s="71"/>
      <c r="CM864" s="71"/>
      <c r="CN864" s="71">
        <f t="shared" si="352"/>
        <v>0</v>
      </c>
      <c r="CS864" s="102">
        <f t="shared" si="353"/>
        <v>4.5293954747099576</v>
      </c>
      <c r="CT864" s="102">
        <f t="shared" si="354"/>
        <v>18.675175962423801</v>
      </c>
      <c r="CZ864" s="109" t="str">
        <f t="shared" si="355"/>
        <v>Basso</v>
      </c>
    </row>
    <row r="865" spans="9:104" x14ac:dyDescent="0.15">
      <c r="I865" s="64">
        <f t="shared" si="333"/>
        <v>76.99972307006928</v>
      </c>
      <c r="M865" s="64">
        <f t="shared" si="334"/>
        <v>0</v>
      </c>
      <c r="Q865" s="64">
        <f t="shared" si="335"/>
        <v>0</v>
      </c>
      <c r="U865" s="64">
        <f t="shared" si="336"/>
        <v>0</v>
      </c>
      <c r="Y865" s="114">
        <f t="shared" si="337"/>
        <v>0</v>
      </c>
      <c r="AC865" s="64">
        <f t="shared" si="338"/>
        <v>0</v>
      </c>
      <c r="AE865" s="71"/>
      <c r="AF865" s="71"/>
      <c r="AG865" s="71">
        <f t="shared" si="339"/>
        <v>0</v>
      </c>
      <c r="AK865" s="64">
        <f t="shared" si="340"/>
        <v>0</v>
      </c>
      <c r="AM865" s="71"/>
      <c r="AN865" s="71"/>
      <c r="AO865" s="71">
        <f t="shared" si="341"/>
        <v>0</v>
      </c>
      <c r="AQ865" s="71"/>
      <c r="AR865" s="71"/>
      <c r="AS865" s="71">
        <f t="shared" si="342"/>
        <v>0</v>
      </c>
      <c r="AU865" s="71"/>
      <c r="AV865" s="71"/>
      <c r="AW865" s="71">
        <f t="shared" si="343"/>
        <v>0</v>
      </c>
      <c r="AY865" s="71"/>
      <c r="AZ865" s="71"/>
      <c r="BA865" s="71">
        <f t="shared" si="344"/>
        <v>0</v>
      </c>
      <c r="BI865" s="71"/>
      <c r="BJ865" s="71"/>
      <c r="BK865" s="71">
        <f t="shared" si="345"/>
        <v>0</v>
      </c>
      <c r="BM865" s="71"/>
      <c r="BN865" s="71"/>
      <c r="BO865" s="71">
        <f t="shared" si="346"/>
        <v>0</v>
      </c>
      <c r="BQ865" s="71"/>
      <c r="BR865" s="71"/>
      <c r="BS865" s="138">
        <f t="shared" si="347"/>
        <v>0</v>
      </c>
      <c r="BU865" s="71"/>
      <c r="BV865" s="71"/>
      <c r="BW865" s="71">
        <f t="shared" si="348"/>
        <v>0</v>
      </c>
      <c r="BZ865" s="71"/>
      <c r="CA865" s="71"/>
      <c r="CB865" s="71">
        <f t="shared" si="349"/>
        <v>0</v>
      </c>
      <c r="CD865" s="71"/>
      <c r="CE865" s="71"/>
      <c r="CF865" s="71">
        <f t="shared" si="350"/>
        <v>0</v>
      </c>
      <c r="CH865" s="71"/>
      <c r="CI865" s="71"/>
      <c r="CJ865" s="138">
        <f t="shared" si="351"/>
        <v>0</v>
      </c>
      <c r="CL865" s="71"/>
      <c r="CM865" s="71"/>
      <c r="CN865" s="71">
        <f t="shared" si="352"/>
        <v>0</v>
      </c>
      <c r="CS865" s="102">
        <f t="shared" si="353"/>
        <v>4.5293954747099576</v>
      </c>
      <c r="CT865" s="102">
        <f t="shared" si="354"/>
        <v>18.675175962423801</v>
      </c>
      <c r="CZ865" s="109" t="str">
        <f t="shared" si="355"/>
        <v>Basso</v>
      </c>
    </row>
    <row r="866" spans="9:104" x14ac:dyDescent="0.15">
      <c r="I866" s="64">
        <f t="shared" si="333"/>
        <v>76.99972307006928</v>
      </c>
      <c r="M866" s="64">
        <f t="shared" si="334"/>
        <v>0</v>
      </c>
      <c r="Q866" s="64">
        <f t="shared" si="335"/>
        <v>0</v>
      </c>
      <c r="U866" s="64">
        <f t="shared" si="336"/>
        <v>0</v>
      </c>
      <c r="Y866" s="114">
        <f t="shared" si="337"/>
        <v>0</v>
      </c>
      <c r="AC866" s="64">
        <f t="shared" si="338"/>
        <v>0</v>
      </c>
      <c r="AE866" s="71"/>
      <c r="AF866" s="71"/>
      <c r="AG866" s="71">
        <f t="shared" si="339"/>
        <v>0</v>
      </c>
      <c r="AK866" s="64">
        <f t="shared" si="340"/>
        <v>0</v>
      </c>
      <c r="AM866" s="71"/>
      <c r="AN866" s="71"/>
      <c r="AO866" s="71">
        <f t="shared" si="341"/>
        <v>0</v>
      </c>
      <c r="AQ866" s="71"/>
      <c r="AR866" s="71"/>
      <c r="AS866" s="71">
        <f t="shared" si="342"/>
        <v>0</v>
      </c>
      <c r="AU866" s="71"/>
      <c r="AV866" s="71"/>
      <c r="AW866" s="71">
        <f t="shared" si="343"/>
        <v>0</v>
      </c>
      <c r="AY866" s="71"/>
      <c r="AZ866" s="71"/>
      <c r="BA866" s="71">
        <f t="shared" si="344"/>
        <v>0</v>
      </c>
      <c r="BI866" s="71"/>
      <c r="BJ866" s="71"/>
      <c r="BK866" s="71">
        <f t="shared" si="345"/>
        <v>0</v>
      </c>
      <c r="BM866" s="71"/>
      <c r="BN866" s="71"/>
      <c r="BO866" s="71">
        <f t="shared" si="346"/>
        <v>0</v>
      </c>
      <c r="BQ866" s="71"/>
      <c r="BR866" s="71"/>
      <c r="BS866" s="138">
        <f t="shared" si="347"/>
        <v>0</v>
      </c>
      <c r="BU866" s="71"/>
      <c r="BV866" s="71"/>
      <c r="BW866" s="71">
        <f t="shared" si="348"/>
        <v>0</v>
      </c>
      <c r="BZ866" s="71"/>
      <c r="CA866" s="71"/>
      <c r="CB866" s="71">
        <f t="shared" si="349"/>
        <v>0</v>
      </c>
      <c r="CD866" s="71"/>
      <c r="CE866" s="71"/>
      <c r="CF866" s="71">
        <f t="shared" si="350"/>
        <v>0</v>
      </c>
      <c r="CH866" s="71"/>
      <c r="CI866" s="71"/>
      <c r="CJ866" s="138">
        <f t="shared" si="351"/>
        <v>0</v>
      </c>
      <c r="CL866" s="71"/>
      <c r="CM866" s="71"/>
      <c r="CN866" s="71">
        <f t="shared" si="352"/>
        <v>0</v>
      </c>
      <c r="CS866" s="102">
        <f t="shared" si="353"/>
        <v>4.5293954747099576</v>
      </c>
      <c r="CT866" s="102">
        <f t="shared" si="354"/>
        <v>18.675175962423801</v>
      </c>
      <c r="CZ866" s="109" t="str">
        <f t="shared" si="355"/>
        <v>Basso</v>
      </c>
    </row>
    <row r="867" spans="9:104" x14ac:dyDescent="0.15">
      <c r="I867" s="64">
        <f t="shared" si="333"/>
        <v>76.99972307006928</v>
      </c>
      <c r="M867" s="64">
        <f t="shared" si="334"/>
        <v>0</v>
      </c>
      <c r="Q867" s="64">
        <f t="shared" si="335"/>
        <v>0</v>
      </c>
      <c r="U867" s="64">
        <f t="shared" si="336"/>
        <v>0</v>
      </c>
      <c r="Y867" s="114">
        <f t="shared" si="337"/>
        <v>0</v>
      </c>
      <c r="AC867" s="64">
        <f t="shared" si="338"/>
        <v>0</v>
      </c>
      <c r="AE867" s="71"/>
      <c r="AF867" s="71"/>
      <c r="AG867" s="71">
        <f t="shared" si="339"/>
        <v>0</v>
      </c>
      <c r="AK867" s="64">
        <f t="shared" si="340"/>
        <v>0</v>
      </c>
      <c r="AM867" s="71"/>
      <c r="AN867" s="71"/>
      <c r="AO867" s="71">
        <f t="shared" si="341"/>
        <v>0</v>
      </c>
      <c r="AQ867" s="71"/>
      <c r="AR867" s="71"/>
      <c r="AS867" s="71">
        <f t="shared" si="342"/>
        <v>0</v>
      </c>
      <c r="AU867" s="71"/>
      <c r="AV867" s="71"/>
      <c r="AW867" s="71">
        <f t="shared" si="343"/>
        <v>0</v>
      </c>
      <c r="AY867" s="71"/>
      <c r="AZ867" s="71"/>
      <c r="BA867" s="71">
        <f t="shared" si="344"/>
        <v>0</v>
      </c>
      <c r="BI867" s="71"/>
      <c r="BJ867" s="71"/>
      <c r="BK867" s="71">
        <f t="shared" si="345"/>
        <v>0</v>
      </c>
      <c r="BM867" s="71"/>
      <c r="BN867" s="71"/>
      <c r="BO867" s="71">
        <f t="shared" si="346"/>
        <v>0</v>
      </c>
      <c r="BQ867" s="71"/>
      <c r="BR867" s="71"/>
      <c r="BS867" s="138">
        <f t="shared" si="347"/>
        <v>0</v>
      </c>
      <c r="BU867" s="71"/>
      <c r="BV867" s="71"/>
      <c r="BW867" s="71">
        <f t="shared" si="348"/>
        <v>0</v>
      </c>
      <c r="BZ867" s="71"/>
      <c r="CA867" s="71"/>
      <c r="CB867" s="71">
        <f t="shared" si="349"/>
        <v>0</v>
      </c>
      <c r="CD867" s="71"/>
      <c r="CE867" s="71"/>
      <c r="CF867" s="71">
        <f t="shared" si="350"/>
        <v>0</v>
      </c>
      <c r="CH867" s="71"/>
      <c r="CI867" s="71"/>
      <c r="CJ867" s="138">
        <f t="shared" si="351"/>
        <v>0</v>
      </c>
      <c r="CL867" s="71"/>
      <c r="CM867" s="71"/>
      <c r="CN867" s="71">
        <f t="shared" si="352"/>
        <v>0</v>
      </c>
      <c r="CS867" s="102">
        <f t="shared" si="353"/>
        <v>4.5293954747099576</v>
      </c>
      <c r="CT867" s="102">
        <f t="shared" si="354"/>
        <v>18.675175962423801</v>
      </c>
      <c r="CZ867" s="109" t="str">
        <f t="shared" si="355"/>
        <v>Basso</v>
      </c>
    </row>
    <row r="868" spans="9:104" x14ac:dyDescent="0.15">
      <c r="I868" s="64">
        <f t="shared" si="333"/>
        <v>76.99972307006928</v>
      </c>
      <c r="M868" s="64">
        <f t="shared" si="334"/>
        <v>0</v>
      </c>
      <c r="Q868" s="64">
        <f t="shared" si="335"/>
        <v>0</v>
      </c>
      <c r="U868" s="64">
        <f t="shared" si="336"/>
        <v>0</v>
      </c>
      <c r="Y868" s="114">
        <f t="shared" si="337"/>
        <v>0</v>
      </c>
      <c r="AC868" s="64">
        <f t="shared" si="338"/>
        <v>0</v>
      </c>
      <c r="AE868" s="71"/>
      <c r="AF868" s="71"/>
      <c r="AG868" s="71">
        <f t="shared" si="339"/>
        <v>0</v>
      </c>
      <c r="AK868" s="64">
        <f t="shared" si="340"/>
        <v>0</v>
      </c>
      <c r="AM868" s="71"/>
      <c r="AN868" s="71"/>
      <c r="AO868" s="71">
        <f t="shared" si="341"/>
        <v>0</v>
      </c>
      <c r="AQ868" s="71"/>
      <c r="AR868" s="71"/>
      <c r="AS868" s="71">
        <f t="shared" si="342"/>
        <v>0</v>
      </c>
      <c r="AU868" s="71"/>
      <c r="AV868" s="71"/>
      <c r="AW868" s="71">
        <f t="shared" si="343"/>
        <v>0</v>
      </c>
      <c r="AY868" s="71"/>
      <c r="AZ868" s="71"/>
      <c r="BA868" s="71">
        <f t="shared" si="344"/>
        <v>0</v>
      </c>
      <c r="BI868" s="71"/>
      <c r="BJ868" s="71"/>
      <c r="BK868" s="71">
        <f t="shared" si="345"/>
        <v>0</v>
      </c>
      <c r="BM868" s="71"/>
      <c r="BN868" s="71"/>
      <c r="BO868" s="71">
        <f t="shared" si="346"/>
        <v>0</v>
      </c>
      <c r="BQ868" s="71"/>
      <c r="BR868" s="71"/>
      <c r="BS868" s="138">
        <f t="shared" si="347"/>
        <v>0</v>
      </c>
      <c r="BU868" s="71"/>
      <c r="BV868" s="71"/>
      <c r="BW868" s="71">
        <f t="shared" si="348"/>
        <v>0</v>
      </c>
      <c r="BZ868" s="71"/>
      <c r="CA868" s="71"/>
      <c r="CB868" s="71">
        <f t="shared" si="349"/>
        <v>0</v>
      </c>
      <c r="CD868" s="71"/>
      <c r="CE868" s="71"/>
      <c r="CF868" s="71">
        <f t="shared" si="350"/>
        <v>0</v>
      </c>
      <c r="CH868" s="71"/>
      <c r="CI868" s="71"/>
      <c r="CJ868" s="138">
        <f t="shared" si="351"/>
        <v>0</v>
      </c>
      <c r="CL868" s="71"/>
      <c r="CM868" s="71"/>
      <c r="CN868" s="71">
        <f t="shared" si="352"/>
        <v>0</v>
      </c>
      <c r="CS868" s="102">
        <f t="shared" si="353"/>
        <v>4.5293954747099576</v>
      </c>
      <c r="CT868" s="102">
        <f t="shared" si="354"/>
        <v>18.675175962423801</v>
      </c>
      <c r="CZ868" s="109" t="str">
        <f t="shared" si="355"/>
        <v>Basso</v>
      </c>
    </row>
    <row r="869" spans="9:104" x14ac:dyDescent="0.15">
      <c r="I869" s="64">
        <f t="shared" si="333"/>
        <v>76.99972307006928</v>
      </c>
      <c r="M869" s="64">
        <f t="shared" si="334"/>
        <v>0</v>
      </c>
      <c r="Q869" s="64">
        <f t="shared" si="335"/>
        <v>0</v>
      </c>
      <c r="U869" s="64">
        <f t="shared" si="336"/>
        <v>0</v>
      </c>
      <c r="Y869" s="114">
        <f t="shared" si="337"/>
        <v>0</v>
      </c>
      <c r="AC869" s="64">
        <f t="shared" si="338"/>
        <v>0</v>
      </c>
      <c r="AE869" s="71"/>
      <c r="AF869" s="71"/>
      <c r="AG869" s="71">
        <f t="shared" si="339"/>
        <v>0</v>
      </c>
      <c r="AK869" s="64">
        <f t="shared" si="340"/>
        <v>0</v>
      </c>
      <c r="AM869" s="71"/>
      <c r="AN869" s="71"/>
      <c r="AO869" s="71">
        <f t="shared" si="341"/>
        <v>0</v>
      </c>
      <c r="AQ869" s="71"/>
      <c r="AR869" s="71"/>
      <c r="AS869" s="71">
        <f t="shared" si="342"/>
        <v>0</v>
      </c>
      <c r="AU869" s="71"/>
      <c r="AV869" s="71"/>
      <c r="AW869" s="71">
        <f t="shared" si="343"/>
        <v>0</v>
      </c>
      <c r="AY869" s="71"/>
      <c r="AZ869" s="71"/>
      <c r="BA869" s="71">
        <f t="shared" si="344"/>
        <v>0</v>
      </c>
      <c r="BI869" s="71"/>
      <c r="BJ869" s="71"/>
      <c r="BK869" s="71">
        <f t="shared" si="345"/>
        <v>0</v>
      </c>
      <c r="BM869" s="71"/>
      <c r="BN869" s="71"/>
      <c r="BO869" s="71">
        <f t="shared" si="346"/>
        <v>0</v>
      </c>
      <c r="BQ869" s="71"/>
      <c r="BR869" s="71"/>
      <c r="BS869" s="138">
        <f t="shared" si="347"/>
        <v>0</v>
      </c>
      <c r="BU869" s="71"/>
      <c r="BV869" s="71"/>
      <c r="BW869" s="71">
        <f t="shared" si="348"/>
        <v>0</v>
      </c>
      <c r="BZ869" s="71"/>
      <c r="CA869" s="71"/>
      <c r="CB869" s="71">
        <f t="shared" si="349"/>
        <v>0</v>
      </c>
      <c r="CD869" s="71"/>
      <c r="CE869" s="71"/>
      <c r="CF869" s="71">
        <f t="shared" si="350"/>
        <v>0</v>
      </c>
      <c r="CH869" s="71"/>
      <c r="CI869" s="71"/>
      <c r="CJ869" s="138">
        <f t="shared" si="351"/>
        <v>0</v>
      </c>
      <c r="CL869" s="71"/>
      <c r="CM869" s="71"/>
      <c r="CN869" s="71">
        <f t="shared" si="352"/>
        <v>0</v>
      </c>
      <c r="CS869" s="102">
        <f t="shared" si="353"/>
        <v>4.5293954747099576</v>
      </c>
      <c r="CT869" s="102">
        <f t="shared" si="354"/>
        <v>18.675175962423801</v>
      </c>
      <c r="CZ869" s="109" t="str">
        <f t="shared" si="355"/>
        <v>Basso</v>
      </c>
    </row>
    <row r="870" spans="9:104" x14ac:dyDescent="0.15">
      <c r="I870" s="64">
        <f t="shared" si="333"/>
        <v>76.99972307006928</v>
      </c>
      <c r="M870" s="64">
        <f t="shared" si="334"/>
        <v>0</v>
      </c>
      <c r="Q870" s="64">
        <f t="shared" si="335"/>
        <v>0</v>
      </c>
      <c r="U870" s="64">
        <f t="shared" si="336"/>
        <v>0</v>
      </c>
      <c r="Y870" s="114">
        <f t="shared" si="337"/>
        <v>0</v>
      </c>
      <c r="AC870" s="64">
        <f t="shared" si="338"/>
        <v>0</v>
      </c>
      <c r="AE870" s="71"/>
      <c r="AF870" s="71"/>
      <c r="AG870" s="71">
        <f t="shared" si="339"/>
        <v>0</v>
      </c>
      <c r="AK870" s="64">
        <f t="shared" si="340"/>
        <v>0</v>
      </c>
      <c r="AM870" s="71"/>
      <c r="AN870" s="71"/>
      <c r="AO870" s="71">
        <f t="shared" si="341"/>
        <v>0</v>
      </c>
      <c r="AQ870" s="71"/>
      <c r="AR870" s="71"/>
      <c r="AS870" s="71">
        <f t="shared" si="342"/>
        <v>0</v>
      </c>
      <c r="AU870" s="71"/>
      <c r="AV870" s="71"/>
      <c r="AW870" s="71">
        <f t="shared" si="343"/>
        <v>0</v>
      </c>
      <c r="AY870" s="71"/>
      <c r="AZ870" s="71"/>
      <c r="BA870" s="71">
        <f t="shared" si="344"/>
        <v>0</v>
      </c>
      <c r="BI870" s="71"/>
      <c r="BJ870" s="71"/>
      <c r="BK870" s="71">
        <f t="shared" si="345"/>
        <v>0</v>
      </c>
      <c r="BM870" s="71"/>
      <c r="BN870" s="71"/>
      <c r="BO870" s="71">
        <f t="shared" si="346"/>
        <v>0</v>
      </c>
      <c r="BQ870" s="71"/>
      <c r="BR870" s="71"/>
      <c r="BS870" s="138">
        <f t="shared" si="347"/>
        <v>0</v>
      </c>
      <c r="BU870" s="71"/>
      <c r="BV870" s="71"/>
      <c r="BW870" s="71">
        <f t="shared" si="348"/>
        <v>0</v>
      </c>
      <c r="BZ870" s="71"/>
      <c r="CA870" s="71"/>
      <c r="CB870" s="71">
        <f t="shared" si="349"/>
        <v>0</v>
      </c>
      <c r="CD870" s="71"/>
      <c r="CE870" s="71"/>
      <c r="CF870" s="71">
        <f t="shared" si="350"/>
        <v>0</v>
      </c>
      <c r="CH870" s="71"/>
      <c r="CI870" s="71"/>
      <c r="CJ870" s="138">
        <f t="shared" si="351"/>
        <v>0</v>
      </c>
      <c r="CL870" s="71"/>
      <c r="CM870" s="71"/>
      <c r="CN870" s="71">
        <f t="shared" si="352"/>
        <v>0</v>
      </c>
      <c r="CS870" s="102">
        <f t="shared" si="353"/>
        <v>4.5293954747099576</v>
      </c>
      <c r="CT870" s="102">
        <f t="shared" si="354"/>
        <v>18.675175962423801</v>
      </c>
      <c r="CZ870" s="109" t="str">
        <f t="shared" si="355"/>
        <v>Basso</v>
      </c>
    </row>
    <row r="871" spans="9:104" x14ac:dyDescent="0.15">
      <c r="I871" s="64">
        <f t="shared" si="333"/>
        <v>76.99972307006928</v>
      </c>
      <c r="M871" s="64">
        <f t="shared" si="334"/>
        <v>0</v>
      </c>
      <c r="Q871" s="64">
        <f t="shared" si="335"/>
        <v>0</v>
      </c>
      <c r="U871" s="64">
        <f t="shared" si="336"/>
        <v>0</v>
      </c>
      <c r="Y871" s="114">
        <f t="shared" si="337"/>
        <v>0</v>
      </c>
      <c r="AC871" s="64">
        <f t="shared" si="338"/>
        <v>0</v>
      </c>
      <c r="AE871" s="71"/>
      <c r="AF871" s="71"/>
      <c r="AG871" s="71">
        <f t="shared" si="339"/>
        <v>0</v>
      </c>
      <c r="AK871" s="64">
        <f t="shared" si="340"/>
        <v>0</v>
      </c>
      <c r="AM871" s="71"/>
      <c r="AN871" s="71"/>
      <c r="AO871" s="71">
        <f t="shared" si="341"/>
        <v>0</v>
      </c>
      <c r="AQ871" s="71"/>
      <c r="AR871" s="71"/>
      <c r="AS871" s="71">
        <f t="shared" si="342"/>
        <v>0</v>
      </c>
      <c r="AU871" s="71"/>
      <c r="AV871" s="71"/>
      <c r="AW871" s="71">
        <f t="shared" si="343"/>
        <v>0</v>
      </c>
      <c r="AY871" s="71"/>
      <c r="AZ871" s="71"/>
      <c r="BA871" s="71">
        <f t="shared" si="344"/>
        <v>0</v>
      </c>
      <c r="BI871" s="71"/>
      <c r="BJ871" s="71"/>
      <c r="BK871" s="71">
        <f t="shared" si="345"/>
        <v>0</v>
      </c>
      <c r="BM871" s="71"/>
      <c r="BN871" s="71"/>
      <c r="BO871" s="71">
        <f t="shared" si="346"/>
        <v>0</v>
      </c>
      <c r="BQ871" s="71"/>
      <c r="BR871" s="71"/>
      <c r="BS871" s="138">
        <f t="shared" si="347"/>
        <v>0</v>
      </c>
      <c r="BU871" s="71"/>
      <c r="BV871" s="71"/>
      <c r="BW871" s="71">
        <f t="shared" si="348"/>
        <v>0</v>
      </c>
      <c r="BZ871" s="71"/>
      <c r="CA871" s="71"/>
      <c r="CB871" s="71">
        <f t="shared" si="349"/>
        <v>0</v>
      </c>
      <c r="CD871" s="71"/>
      <c r="CE871" s="71"/>
      <c r="CF871" s="71">
        <f t="shared" si="350"/>
        <v>0</v>
      </c>
      <c r="CH871" s="71"/>
      <c r="CI871" s="71"/>
      <c r="CJ871" s="138">
        <f t="shared" si="351"/>
        <v>0</v>
      </c>
      <c r="CL871" s="71"/>
      <c r="CM871" s="71"/>
      <c r="CN871" s="71">
        <f t="shared" si="352"/>
        <v>0</v>
      </c>
      <c r="CS871" s="102">
        <f t="shared" si="353"/>
        <v>4.5293954747099576</v>
      </c>
      <c r="CT871" s="102">
        <f t="shared" si="354"/>
        <v>18.675175962423801</v>
      </c>
      <c r="CZ871" s="109" t="str">
        <f t="shared" si="355"/>
        <v>Basso</v>
      </c>
    </row>
    <row r="872" spans="9:104" x14ac:dyDescent="0.15">
      <c r="I872" s="64">
        <f t="shared" si="333"/>
        <v>76.99972307006928</v>
      </c>
      <c r="M872" s="64">
        <f t="shared" si="334"/>
        <v>0</v>
      </c>
      <c r="Q872" s="64">
        <f t="shared" si="335"/>
        <v>0</v>
      </c>
      <c r="U872" s="64">
        <f t="shared" si="336"/>
        <v>0</v>
      </c>
      <c r="Y872" s="114">
        <f t="shared" si="337"/>
        <v>0</v>
      </c>
      <c r="AC872" s="64">
        <f t="shared" si="338"/>
        <v>0</v>
      </c>
      <c r="AE872" s="71"/>
      <c r="AF872" s="71"/>
      <c r="AG872" s="71">
        <f t="shared" si="339"/>
        <v>0</v>
      </c>
      <c r="AK872" s="64">
        <f t="shared" si="340"/>
        <v>0</v>
      </c>
      <c r="AM872" s="71"/>
      <c r="AN872" s="71"/>
      <c r="AO872" s="71">
        <f t="shared" si="341"/>
        <v>0</v>
      </c>
      <c r="AQ872" s="71"/>
      <c r="AR872" s="71"/>
      <c r="AS872" s="71">
        <f t="shared" si="342"/>
        <v>0</v>
      </c>
      <c r="AU872" s="71"/>
      <c r="AV872" s="71"/>
      <c r="AW872" s="71">
        <f t="shared" si="343"/>
        <v>0</v>
      </c>
      <c r="AY872" s="71"/>
      <c r="AZ872" s="71"/>
      <c r="BA872" s="71">
        <f t="shared" si="344"/>
        <v>0</v>
      </c>
      <c r="BI872" s="71"/>
      <c r="BJ872" s="71"/>
      <c r="BK872" s="71">
        <f t="shared" si="345"/>
        <v>0</v>
      </c>
      <c r="BM872" s="71"/>
      <c r="BN872" s="71"/>
      <c r="BO872" s="71">
        <f t="shared" si="346"/>
        <v>0</v>
      </c>
      <c r="BQ872" s="71"/>
      <c r="BR872" s="71"/>
      <c r="BS872" s="138">
        <f t="shared" si="347"/>
        <v>0</v>
      </c>
      <c r="BU872" s="71"/>
      <c r="BV872" s="71"/>
      <c r="BW872" s="71">
        <f t="shared" si="348"/>
        <v>0</v>
      </c>
      <c r="BZ872" s="71"/>
      <c r="CA872" s="71"/>
      <c r="CB872" s="71">
        <f t="shared" si="349"/>
        <v>0</v>
      </c>
      <c r="CD872" s="71"/>
      <c r="CE872" s="71"/>
      <c r="CF872" s="71">
        <f t="shared" si="350"/>
        <v>0</v>
      </c>
      <c r="CH872" s="71"/>
      <c r="CI872" s="71"/>
      <c r="CJ872" s="138">
        <f t="shared" si="351"/>
        <v>0</v>
      </c>
      <c r="CL872" s="71"/>
      <c r="CM872" s="71"/>
      <c r="CN872" s="71">
        <f t="shared" si="352"/>
        <v>0</v>
      </c>
      <c r="CS872" s="102">
        <f t="shared" si="353"/>
        <v>4.5293954747099576</v>
      </c>
      <c r="CT872" s="102">
        <f t="shared" si="354"/>
        <v>18.675175962423801</v>
      </c>
      <c r="CZ872" s="109" t="str">
        <f t="shared" si="355"/>
        <v>Basso</v>
      </c>
    </row>
    <row r="873" spans="9:104" x14ac:dyDescent="0.15">
      <c r="I873" s="64">
        <f t="shared" si="333"/>
        <v>76.99972307006928</v>
      </c>
      <c r="M873" s="64">
        <f t="shared" si="334"/>
        <v>0</v>
      </c>
      <c r="Q873" s="64">
        <f t="shared" si="335"/>
        <v>0</v>
      </c>
      <c r="U873" s="64">
        <f t="shared" si="336"/>
        <v>0</v>
      </c>
      <c r="Y873" s="114">
        <f t="shared" si="337"/>
        <v>0</v>
      </c>
      <c r="AC873" s="64">
        <f t="shared" si="338"/>
        <v>0</v>
      </c>
      <c r="AE873" s="71"/>
      <c r="AF873" s="71"/>
      <c r="AG873" s="71">
        <f t="shared" si="339"/>
        <v>0</v>
      </c>
      <c r="AK873" s="64">
        <f t="shared" si="340"/>
        <v>0</v>
      </c>
      <c r="AM873" s="71"/>
      <c r="AN873" s="71"/>
      <c r="AO873" s="71">
        <f t="shared" si="341"/>
        <v>0</v>
      </c>
      <c r="AQ873" s="71"/>
      <c r="AR873" s="71"/>
      <c r="AS873" s="71">
        <f t="shared" si="342"/>
        <v>0</v>
      </c>
      <c r="AU873" s="71"/>
      <c r="AV873" s="71"/>
      <c r="AW873" s="71">
        <f t="shared" si="343"/>
        <v>0</v>
      </c>
      <c r="AY873" s="71"/>
      <c r="AZ873" s="71"/>
      <c r="BA873" s="71">
        <f t="shared" si="344"/>
        <v>0</v>
      </c>
      <c r="BI873" s="71"/>
      <c r="BJ873" s="71"/>
      <c r="BK873" s="71">
        <f t="shared" si="345"/>
        <v>0</v>
      </c>
      <c r="BM873" s="71"/>
      <c r="BN873" s="71"/>
      <c r="BO873" s="71">
        <f t="shared" si="346"/>
        <v>0</v>
      </c>
      <c r="BQ873" s="71"/>
      <c r="BR873" s="71"/>
      <c r="BS873" s="138">
        <f t="shared" si="347"/>
        <v>0</v>
      </c>
      <c r="BU873" s="71"/>
      <c r="BV873" s="71"/>
      <c r="BW873" s="71">
        <f t="shared" si="348"/>
        <v>0</v>
      </c>
      <c r="BZ873" s="71"/>
      <c r="CA873" s="71"/>
      <c r="CB873" s="71">
        <f t="shared" si="349"/>
        <v>0</v>
      </c>
      <c r="CD873" s="71"/>
      <c r="CE873" s="71"/>
      <c r="CF873" s="71">
        <f t="shared" si="350"/>
        <v>0</v>
      </c>
      <c r="CH873" s="71"/>
      <c r="CI873" s="71"/>
      <c r="CJ873" s="138">
        <f t="shared" si="351"/>
        <v>0</v>
      </c>
      <c r="CL873" s="71"/>
      <c r="CM873" s="71"/>
      <c r="CN873" s="71">
        <f t="shared" si="352"/>
        <v>0</v>
      </c>
      <c r="CS873" s="102">
        <f t="shared" si="353"/>
        <v>4.5293954747099576</v>
      </c>
      <c r="CT873" s="102">
        <f t="shared" si="354"/>
        <v>18.675175962423801</v>
      </c>
      <c r="CZ873" s="109" t="str">
        <f t="shared" si="355"/>
        <v>Basso</v>
      </c>
    </row>
    <row r="874" spans="9:104" x14ac:dyDescent="0.15">
      <c r="I874" s="64">
        <f t="shared" si="333"/>
        <v>76.99972307006928</v>
      </c>
      <c r="M874" s="64">
        <f t="shared" si="334"/>
        <v>0</v>
      </c>
      <c r="Q874" s="64">
        <f t="shared" si="335"/>
        <v>0</v>
      </c>
      <c r="U874" s="64">
        <f t="shared" si="336"/>
        <v>0</v>
      </c>
      <c r="Y874" s="114">
        <f t="shared" si="337"/>
        <v>0</v>
      </c>
      <c r="AC874" s="64">
        <f t="shared" si="338"/>
        <v>0</v>
      </c>
      <c r="AE874" s="71"/>
      <c r="AF874" s="71"/>
      <c r="AG874" s="71">
        <f t="shared" si="339"/>
        <v>0</v>
      </c>
      <c r="AK874" s="64">
        <f t="shared" si="340"/>
        <v>0</v>
      </c>
      <c r="AM874" s="71"/>
      <c r="AN874" s="71"/>
      <c r="AO874" s="71">
        <f t="shared" si="341"/>
        <v>0</v>
      </c>
      <c r="AQ874" s="71"/>
      <c r="AR874" s="71"/>
      <c r="AS874" s="71">
        <f t="shared" si="342"/>
        <v>0</v>
      </c>
      <c r="AU874" s="71"/>
      <c r="AV874" s="71"/>
      <c r="AW874" s="71">
        <f t="shared" si="343"/>
        <v>0</v>
      </c>
      <c r="AY874" s="71"/>
      <c r="AZ874" s="71"/>
      <c r="BA874" s="71">
        <f t="shared" si="344"/>
        <v>0</v>
      </c>
      <c r="BI874" s="71"/>
      <c r="BJ874" s="71"/>
      <c r="BK874" s="71">
        <f t="shared" si="345"/>
        <v>0</v>
      </c>
      <c r="BM874" s="71"/>
      <c r="BN874" s="71"/>
      <c r="BO874" s="71">
        <f t="shared" si="346"/>
        <v>0</v>
      </c>
      <c r="BQ874" s="71"/>
      <c r="BR874" s="71"/>
      <c r="BS874" s="138">
        <f t="shared" si="347"/>
        <v>0</v>
      </c>
      <c r="BU874" s="71"/>
      <c r="BV874" s="71"/>
      <c r="BW874" s="71">
        <f t="shared" si="348"/>
        <v>0</v>
      </c>
      <c r="BZ874" s="71"/>
      <c r="CA874" s="71"/>
      <c r="CB874" s="71">
        <f t="shared" si="349"/>
        <v>0</v>
      </c>
      <c r="CD874" s="71"/>
      <c r="CE874" s="71"/>
      <c r="CF874" s="71">
        <f t="shared" si="350"/>
        <v>0</v>
      </c>
      <c r="CH874" s="71"/>
      <c r="CI874" s="71"/>
      <c r="CJ874" s="138">
        <f t="shared" si="351"/>
        <v>0</v>
      </c>
      <c r="CL874" s="71"/>
      <c r="CM874" s="71"/>
      <c r="CN874" s="71">
        <f t="shared" si="352"/>
        <v>0</v>
      </c>
      <c r="CS874" s="102">
        <f t="shared" si="353"/>
        <v>4.5293954747099576</v>
      </c>
      <c r="CT874" s="102">
        <f t="shared" si="354"/>
        <v>18.675175962423801</v>
      </c>
      <c r="CZ874" s="109" t="str">
        <f t="shared" si="355"/>
        <v>Basso</v>
      </c>
    </row>
    <row r="875" spans="9:104" x14ac:dyDescent="0.15">
      <c r="I875" s="64">
        <f t="shared" si="333"/>
        <v>76.99972307006928</v>
      </c>
      <c r="M875" s="64">
        <f t="shared" si="334"/>
        <v>0</v>
      </c>
      <c r="Q875" s="64">
        <f t="shared" si="335"/>
        <v>0</v>
      </c>
      <c r="U875" s="64">
        <f t="shared" si="336"/>
        <v>0</v>
      </c>
      <c r="Y875" s="114">
        <f t="shared" si="337"/>
        <v>0</v>
      </c>
      <c r="AC875" s="64">
        <f t="shared" si="338"/>
        <v>0</v>
      </c>
      <c r="AE875" s="71"/>
      <c r="AF875" s="71"/>
      <c r="AG875" s="71">
        <f t="shared" si="339"/>
        <v>0</v>
      </c>
      <c r="AK875" s="64">
        <f t="shared" si="340"/>
        <v>0</v>
      </c>
      <c r="AM875" s="71"/>
      <c r="AN875" s="71"/>
      <c r="AO875" s="71">
        <f t="shared" si="341"/>
        <v>0</v>
      </c>
      <c r="AQ875" s="71"/>
      <c r="AR875" s="71"/>
      <c r="AS875" s="71">
        <f t="shared" si="342"/>
        <v>0</v>
      </c>
      <c r="AU875" s="71"/>
      <c r="AV875" s="71"/>
      <c r="AW875" s="71">
        <f t="shared" si="343"/>
        <v>0</v>
      </c>
      <c r="AY875" s="71"/>
      <c r="AZ875" s="71"/>
      <c r="BA875" s="71">
        <f t="shared" si="344"/>
        <v>0</v>
      </c>
      <c r="BI875" s="71"/>
      <c r="BJ875" s="71"/>
      <c r="BK875" s="71">
        <f t="shared" si="345"/>
        <v>0</v>
      </c>
      <c r="BM875" s="71"/>
      <c r="BN875" s="71"/>
      <c r="BO875" s="71">
        <f t="shared" si="346"/>
        <v>0</v>
      </c>
      <c r="BQ875" s="71"/>
      <c r="BR875" s="71"/>
      <c r="BS875" s="138">
        <f t="shared" si="347"/>
        <v>0</v>
      </c>
      <c r="BU875" s="71"/>
      <c r="BV875" s="71"/>
      <c r="BW875" s="71">
        <f t="shared" si="348"/>
        <v>0</v>
      </c>
      <c r="BZ875" s="71"/>
      <c r="CA875" s="71"/>
      <c r="CB875" s="71">
        <f t="shared" si="349"/>
        <v>0</v>
      </c>
      <c r="CD875" s="71"/>
      <c r="CE875" s="71"/>
      <c r="CF875" s="71">
        <f t="shared" si="350"/>
        <v>0</v>
      </c>
      <c r="CH875" s="71"/>
      <c r="CI875" s="71"/>
      <c r="CJ875" s="138">
        <f t="shared" si="351"/>
        <v>0</v>
      </c>
      <c r="CL875" s="71"/>
      <c r="CM875" s="71"/>
      <c r="CN875" s="71">
        <f t="shared" si="352"/>
        <v>0</v>
      </c>
      <c r="CS875" s="102">
        <f t="shared" si="353"/>
        <v>4.5293954747099576</v>
      </c>
      <c r="CT875" s="102">
        <f t="shared" si="354"/>
        <v>18.675175962423801</v>
      </c>
      <c r="CZ875" s="109" t="str">
        <f t="shared" si="355"/>
        <v>Basso</v>
      </c>
    </row>
    <row r="876" spans="9:104" x14ac:dyDescent="0.15">
      <c r="I876" s="64">
        <f t="shared" si="333"/>
        <v>76.99972307006928</v>
      </c>
      <c r="M876" s="64">
        <f t="shared" si="334"/>
        <v>0</v>
      </c>
      <c r="Q876" s="64">
        <f t="shared" si="335"/>
        <v>0</v>
      </c>
      <c r="U876" s="64">
        <f t="shared" si="336"/>
        <v>0</v>
      </c>
      <c r="Y876" s="114">
        <f t="shared" si="337"/>
        <v>0</v>
      </c>
      <c r="AC876" s="64">
        <f t="shared" si="338"/>
        <v>0</v>
      </c>
      <c r="AE876" s="71"/>
      <c r="AF876" s="71"/>
      <c r="AG876" s="71">
        <f t="shared" si="339"/>
        <v>0</v>
      </c>
      <c r="AK876" s="64">
        <f t="shared" si="340"/>
        <v>0</v>
      </c>
      <c r="AM876" s="71"/>
      <c r="AN876" s="71"/>
      <c r="AO876" s="71">
        <f t="shared" si="341"/>
        <v>0</v>
      </c>
      <c r="AQ876" s="71"/>
      <c r="AR876" s="71"/>
      <c r="AS876" s="71">
        <f t="shared" si="342"/>
        <v>0</v>
      </c>
      <c r="AU876" s="71"/>
      <c r="AV876" s="71"/>
      <c r="AW876" s="71">
        <f t="shared" si="343"/>
        <v>0</v>
      </c>
      <c r="AY876" s="71"/>
      <c r="AZ876" s="71"/>
      <c r="BA876" s="71">
        <f t="shared" si="344"/>
        <v>0</v>
      </c>
      <c r="BI876" s="71"/>
      <c r="BJ876" s="71"/>
      <c r="BK876" s="71">
        <f t="shared" si="345"/>
        <v>0</v>
      </c>
      <c r="BM876" s="71"/>
      <c r="BN876" s="71"/>
      <c r="BO876" s="71">
        <f t="shared" si="346"/>
        <v>0</v>
      </c>
      <c r="BQ876" s="71"/>
      <c r="BR876" s="71"/>
      <c r="BS876" s="138">
        <f t="shared" si="347"/>
        <v>0</v>
      </c>
      <c r="BU876" s="71"/>
      <c r="BV876" s="71"/>
      <c r="BW876" s="71">
        <f t="shared" si="348"/>
        <v>0</v>
      </c>
      <c r="BZ876" s="71"/>
      <c r="CA876" s="71"/>
      <c r="CB876" s="71">
        <f t="shared" si="349"/>
        <v>0</v>
      </c>
      <c r="CD876" s="71"/>
      <c r="CE876" s="71"/>
      <c r="CF876" s="71">
        <f t="shared" si="350"/>
        <v>0</v>
      </c>
      <c r="CH876" s="71"/>
      <c r="CI876" s="71"/>
      <c r="CJ876" s="138">
        <f t="shared" si="351"/>
        <v>0</v>
      </c>
      <c r="CL876" s="71"/>
      <c r="CM876" s="71"/>
      <c r="CN876" s="71">
        <f t="shared" si="352"/>
        <v>0</v>
      </c>
      <c r="CS876" s="102">
        <f t="shared" si="353"/>
        <v>4.5293954747099576</v>
      </c>
      <c r="CT876" s="102">
        <f t="shared" si="354"/>
        <v>18.675175962423801</v>
      </c>
      <c r="CZ876" s="109" t="str">
        <f t="shared" si="355"/>
        <v>Basso</v>
      </c>
    </row>
    <row r="877" spans="9:104" x14ac:dyDescent="0.15">
      <c r="I877" s="64">
        <f t="shared" si="333"/>
        <v>76.99972307006928</v>
      </c>
      <c r="M877" s="64">
        <f t="shared" si="334"/>
        <v>0</v>
      </c>
      <c r="Q877" s="64">
        <f t="shared" si="335"/>
        <v>0</v>
      </c>
      <c r="U877" s="64">
        <f t="shared" si="336"/>
        <v>0</v>
      </c>
      <c r="Y877" s="114">
        <f t="shared" si="337"/>
        <v>0</v>
      </c>
      <c r="AC877" s="64">
        <f t="shared" si="338"/>
        <v>0</v>
      </c>
      <c r="AE877" s="71"/>
      <c r="AF877" s="71"/>
      <c r="AG877" s="71">
        <f t="shared" si="339"/>
        <v>0</v>
      </c>
      <c r="AK877" s="64">
        <f t="shared" si="340"/>
        <v>0</v>
      </c>
      <c r="AM877" s="71"/>
      <c r="AN877" s="71"/>
      <c r="AO877" s="71">
        <f t="shared" si="341"/>
        <v>0</v>
      </c>
      <c r="AQ877" s="71"/>
      <c r="AR877" s="71"/>
      <c r="AS877" s="71">
        <f t="shared" si="342"/>
        <v>0</v>
      </c>
      <c r="AU877" s="71"/>
      <c r="AV877" s="71"/>
      <c r="AW877" s="71">
        <f t="shared" si="343"/>
        <v>0</v>
      </c>
      <c r="AY877" s="71"/>
      <c r="AZ877" s="71"/>
      <c r="BA877" s="71">
        <f t="shared" si="344"/>
        <v>0</v>
      </c>
      <c r="BI877" s="71"/>
      <c r="BJ877" s="71"/>
      <c r="BK877" s="71">
        <f t="shared" si="345"/>
        <v>0</v>
      </c>
      <c r="BM877" s="71"/>
      <c r="BN877" s="71"/>
      <c r="BO877" s="71">
        <f t="shared" si="346"/>
        <v>0</v>
      </c>
      <c r="BQ877" s="71"/>
      <c r="BR877" s="71"/>
      <c r="BS877" s="138">
        <f t="shared" si="347"/>
        <v>0</v>
      </c>
      <c r="BU877" s="71"/>
      <c r="BV877" s="71"/>
      <c r="BW877" s="71">
        <f t="shared" si="348"/>
        <v>0</v>
      </c>
      <c r="BZ877" s="71"/>
      <c r="CA877" s="71"/>
      <c r="CB877" s="71">
        <f t="shared" si="349"/>
        <v>0</v>
      </c>
      <c r="CD877" s="71"/>
      <c r="CE877" s="71"/>
      <c r="CF877" s="71">
        <f t="shared" si="350"/>
        <v>0</v>
      </c>
      <c r="CH877" s="71"/>
      <c r="CI877" s="71"/>
      <c r="CJ877" s="138">
        <f t="shared" si="351"/>
        <v>0</v>
      </c>
      <c r="CL877" s="71"/>
      <c r="CM877" s="71"/>
      <c r="CN877" s="71">
        <f t="shared" si="352"/>
        <v>0</v>
      </c>
      <c r="CS877" s="102">
        <f t="shared" si="353"/>
        <v>4.5293954747099576</v>
      </c>
      <c r="CT877" s="102">
        <f t="shared" si="354"/>
        <v>18.675175962423801</v>
      </c>
      <c r="CZ877" s="109" t="str">
        <f t="shared" si="355"/>
        <v>Basso</v>
      </c>
    </row>
    <row r="878" spans="9:104" x14ac:dyDescent="0.15">
      <c r="I878" s="64">
        <f t="shared" si="333"/>
        <v>76.99972307006928</v>
      </c>
      <c r="M878" s="64">
        <f t="shared" si="334"/>
        <v>0</v>
      </c>
      <c r="Q878" s="64">
        <f t="shared" si="335"/>
        <v>0</v>
      </c>
      <c r="U878" s="64">
        <f t="shared" si="336"/>
        <v>0</v>
      </c>
      <c r="Y878" s="114">
        <f t="shared" si="337"/>
        <v>0</v>
      </c>
      <c r="AC878" s="64">
        <f t="shared" si="338"/>
        <v>0</v>
      </c>
      <c r="AE878" s="71"/>
      <c r="AF878" s="71"/>
      <c r="AG878" s="71">
        <f t="shared" si="339"/>
        <v>0</v>
      </c>
      <c r="AK878" s="64">
        <f t="shared" si="340"/>
        <v>0</v>
      </c>
      <c r="AM878" s="71"/>
      <c r="AN878" s="71"/>
      <c r="AO878" s="71">
        <f t="shared" si="341"/>
        <v>0</v>
      </c>
      <c r="AQ878" s="71"/>
      <c r="AR878" s="71"/>
      <c r="AS878" s="71">
        <f t="shared" si="342"/>
        <v>0</v>
      </c>
      <c r="AU878" s="71"/>
      <c r="AV878" s="71"/>
      <c r="AW878" s="71">
        <f t="shared" si="343"/>
        <v>0</v>
      </c>
      <c r="AY878" s="71"/>
      <c r="AZ878" s="71"/>
      <c r="BA878" s="71">
        <f t="shared" si="344"/>
        <v>0</v>
      </c>
      <c r="BI878" s="71"/>
      <c r="BJ878" s="71"/>
      <c r="BK878" s="71">
        <f t="shared" si="345"/>
        <v>0</v>
      </c>
      <c r="BM878" s="71"/>
      <c r="BN878" s="71"/>
      <c r="BO878" s="71">
        <f t="shared" si="346"/>
        <v>0</v>
      </c>
      <c r="BQ878" s="71"/>
      <c r="BR878" s="71"/>
      <c r="BS878" s="138">
        <f t="shared" si="347"/>
        <v>0</v>
      </c>
      <c r="BU878" s="71"/>
      <c r="BV878" s="71"/>
      <c r="BW878" s="71">
        <f t="shared" si="348"/>
        <v>0</v>
      </c>
      <c r="BZ878" s="71"/>
      <c r="CA878" s="71"/>
      <c r="CB878" s="71">
        <f t="shared" si="349"/>
        <v>0</v>
      </c>
      <c r="CD878" s="71"/>
      <c r="CE878" s="71"/>
      <c r="CF878" s="71">
        <f t="shared" si="350"/>
        <v>0</v>
      </c>
      <c r="CH878" s="71"/>
      <c r="CI878" s="71"/>
      <c r="CJ878" s="138">
        <f t="shared" si="351"/>
        <v>0</v>
      </c>
      <c r="CL878" s="71"/>
      <c r="CM878" s="71"/>
      <c r="CN878" s="71">
        <f t="shared" si="352"/>
        <v>0</v>
      </c>
      <c r="CS878" s="102">
        <f t="shared" si="353"/>
        <v>4.5293954747099576</v>
      </c>
      <c r="CT878" s="102">
        <f t="shared" si="354"/>
        <v>18.675175962423801</v>
      </c>
      <c r="CZ878" s="109" t="str">
        <f t="shared" si="355"/>
        <v>Basso</v>
      </c>
    </row>
    <row r="879" spans="9:104" x14ac:dyDescent="0.15">
      <c r="I879" s="64">
        <f t="shared" si="333"/>
        <v>76.99972307006928</v>
      </c>
      <c r="M879" s="64">
        <f t="shared" si="334"/>
        <v>0</v>
      </c>
      <c r="Q879" s="64">
        <f t="shared" si="335"/>
        <v>0</v>
      </c>
      <c r="U879" s="64">
        <f t="shared" si="336"/>
        <v>0</v>
      </c>
      <c r="Y879" s="114">
        <f t="shared" si="337"/>
        <v>0</v>
      </c>
      <c r="AC879" s="64">
        <f t="shared" si="338"/>
        <v>0</v>
      </c>
      <c r="AE879" s="71"/>
      <c r="AF879" s="71"/>
      <c r="AG879" s="71">
        <f t="shared" si="339"/>
        <v>0</v>
      </c>
      <c r="AK879" s="64">
        <f t="shared" si="340"/>
        <v>0</v>
      </c>
      <c r="AM879" s="71"/>
      <c r="AN879" s="71"/>
      <c r="AO879" s="71">
        <f t="shared" si="341"/>
        <v>0</v>
      </c>
      <c r="AQ879" s="71"/>
      <c r="AR879" s="71"/>
      <c r="AS879" s="71">
        <f t="shared" si="342"/>
        <v>0</v>
      </c>
      <c r="AU879" s="71"/>
      <c r="AV879" s="71"/>
      <c r="AW879" s="71">
        <f t="shared" si="343"/>
        <v>0</v>
      </c>
      <c r="AY879" s="71"/>
      <c r="AZ879" s="71"/>
      <c r="BA879" s="71">
        <f t="shared" si="344"/>
        <v>0</v>
      </c>
      <c r="BI879" s="71"/>
      <c r="BJ879" s="71"/>
      <c r="BK879" s="71">
        <f t="shared" si="345"/>
        <v>0</v>
      </c>
      <c r="BM879" s="71"/>
      <c r="BN879" s="71"/>
      <c r="BO879" s="71">
        <f t="shared" si="346"/>
        <v>0</v>
      </c>
      <c r="BQ879" s="71"/>
      <c r="BR879" s="71"/>
      <c r="BS879" s="138">
        <f t="shared" si="347"/>
        <v>0</v>
      </c>
      <c r="BU879" s="71"/>
      <c r="BV879" s="71"/>
      <c r="BW879" s="71">
        <f t="shared" si="348"/>
        <v>0</v>
      </c>
      <c r="BZ879" s="71"/>
      <c r="CA879" s="71"/>
      <c r="CB879" s="71">
        <f t="shared" si="349"/>
        <v>0</v>
      </c>
      <c r="CD879" s="71"/>
      <c r="CE879" s="71"/>
      <c r="CF879" s="71">
        <f t="shared" si="350"/>
        <v>0</v>
      </c>
      <c r="CH879" s="71"/>
      <c r="CI879" s="71"/>
      <c r="CJ879" s="138">
        <f t="shared" si="351"/>
        <v>0</v>
      </c>
      <c r="CL879" s="71"/>
      <c r="CM879" s="71"/>
      <c r="CN879" s="71">
        <f t="shared" si="352"/>
        <v>0</v>
      </c>
      <c r="CS879" s="102">
        <f t="shared" si="353"/>
        <v>4.5293954747099576</v>
      </c>
      <c r="CT879" s="102">
        <f t="shared" si="354"/>
        <v>18.675175962423801</v>
      </c>
      <c r="CZ879" s="109" t="str">
        <f t="shared" si="355"/>
        <v>Basso</v>
      </c>
    </row>
    <row r="880" spans="9:104" x14ac:dyDescent="0.15">
      <c r="I880" s="64">
        <f t="shared" si="333"/>
        <v>76.99972307006928</v>
      </c>
      <c r="M880" s="64">
        <f t="shared" si="334"/>
        <v>0</v>
      </c>
      <c r="Q880" s="64">
        <f t="shared" si="335"/>
        <v>0</v>
      </c>
      <c r="U880" s="64">
        <f t="shared" si="336"/>
        <v>0</v>
      </c>
      <c r="Y880" s="114">
        <f t="shared" si="337"/>
        <v>0</v>
      </c>
      <c r="AC880" s="64">
        <f t="shared" si="338"/>
        <v>0</v>
      </c>
      <c r="AE880" s="71"/>
      <c r="AF880" s="71"/>
      <c r="AG880" s="71">
        <f t="shared" si="339"/>
        <v>0</v>
      </c>
      <c r="AK880" s="64">
        <f t="shared" si="340"/>
        <v>0</v>
      </c>
      <c r="AM880" s="71"/>
      <c r="AN880" s="71"/>
      <c r="AO880" s="71">
        <f t="shared" si="341"/>
        <v>0</v>
      </c>
      <c r="AQ880" s="71"/>
      <c r="AR880" s="71"/>
      <c r="AS880" s="71">
        <f t="shared" si="342"/>
        <v>0</v>
      </c>
      <c r="AU880" s="71"/>
      <c r="AV880" s="71"/>
      <c r="AW880" s="71">
        <f t="shared" si="343"/>
        <v>0</v>
      </c>
      <c r="AY880" s="71"/>
      <c r="AZ880" s="71"/>
      <c r="BA880" s="71">
        <f t="shared" si="344"/>
        <v>0</v>
      </c>
      <c r="BI880" s="71"/>
      <c r="BJ880" s="71"/>
      <c r="BK880" s="71">
        <f t="shared" si="345"/>
        <v>0</v>
      </c>
      <c r="BM880" s="71"/>
      <c r="BN880" s="71"/>
      <c r="BO880" s="71">
        <f t="shared" si="346"/>
        <v>0</v>
      </c>
      <c r="BQ880" s="71"/>
      <c r="BR880" s="71"/>
      <c r="BS880" s="138">
        <f t="shared" si="347"/>
        <v>0</v>
      </c>
      <c r="BU880" s="71"/>
      <c r="BV880" s="71"/>
      <c r="BW880" s="71">
        <f t="shared" si="348"/>
        <v>0</v>
      </c>
      <c r="BZ880" s="71"/>
      <c r="CA880" s="71"/>
      <c r="CB880" s="71">
        <f t="shared" si="349"/>
        <v>0</v>
      </c>
      <c r="CD880" s="71"/>
      <c r="CE880" s="71"/>
      <c r="CF880" s="71">
        <f t="shared" si="350"/>
        <v>0</v>
      </c>
      <c r="CH880" s="71"/>
      <c r="CI880" s="71"/>
      <c r="CJ880" s="138">
        <f t="shared" si="351"/>
        <v>0</v>
      </c>
      <c r="CL880" s="71"/>
      <c r="CM880" s="71"/>
      <c r="CN880" s="71">
        <f t="shared" si="352"/>
        <v>0</v>
      </c>
      <c r="CS880" s="102">
        <f t="shared" si="353"/>
        <v>4.5293954747099576</v>
      </c>
      <c r="CT880" s="102">
        <f t="shared" si="354"/>
        <v>18.675175962423801</v>
      </c>
      <c r="CZ880" s="109" t="str">
        <f t="shared" si="355"/>
        <v>Basso</v>
      </c>
    </row>
    <row r="881" spans="9:104" x14ac:dyDescent="0.15">
      <c r="I881" s="64">
        <f t="shared" si="333"/>
        <v>76.99972307006928</v>
      </c>
      <c r="M881" s="64">
        <f t="shared" si="334"/>
        <v>0</v>
      </c>
      <c r="Q881" s="64">
        <f t="shared" si="335"/>
        <v>0</v>
      </c>
      <c r="U881" s="64">
        <f t="shared" si="336"/>
        <v>0</v>
      </c>
      <c r="Y881" s="114">
        <f t="shared" si="337"/>
        <v>0</v>
      </c>
      <c r="AC881" s="64">
        <f t="shared" si="338"/>
        <v>0</v>
      </c>
      <c r="AE881" s="71"/>
      <c r="AF881" s="71"/>
      <c r="AG881" s="71">
        <f t="shared" si="339"/>
        <v>0</v>
      </c>
      <c r="AK881" s="64">
        <f t="shared" si="340"/>
        <v>0</v>
      </c>
      <c r="AM881" s="71"/>
      <c r="AN881" s="71"/>
      <c r="AO881" s="71">
        <f t="shared" si="341"/>
        <v>0</v>
      </c>
      <c r="AQ881" s="71"/>
      <c r="AR881" s="71"/>
      <c r="AS881" s="71">
        <f t="shared" si="342"/>
        <v>0</v>
      </c>
      <c r="AU881" s="71"/>
      <c r="AV881" s="71"/>
      <c r="AW881" s="71">
        <f t="shared" si="343"/>
        <v>0</v>
      </c>
      <c r="AY881" s="71"/>
      <c r="AZ881" s="71"/>
      <c r="BA881" s="71">
        <f t="shared" si="344"/>
        <v>0</v>
      </c>
      <c r="BI881" s="71"/>
      <c r="BJ881" s="71"/>
      <c r="BK881" s="71">
        <f t="shared" si="345"/>
        <v>0</v>
      </c>
      <c r="BM881" s="71"/>
      <c r="BN881" s="71"/>
      <c r="BO881" s="71">
        <f t="shared" si="346"/>
        <v>0</v>
      </c>
      <c r="BQ881" s="71"/>
      <c r="BR881" s="71"/>
      <c r="BS881" s="138">
        <f t="shared" si="347"/>
        <v>0</v>
      </c>
      <c r="BU881" s="71"/>
      <c r="BV881" s="71"/>
      <c r="BW881" s="71">
        <f t="shared" si="348"/>
        <v>0</v>
      </c>
      <c r="BZ881" s="71"/>
      <c r="CA881" s="71"/>
      <c r="CB881" s="71">
        <f t="shared" si="349"/>
        <v>0</v>
      </c>
      <c r="CD881" s="71"/>
      <c r="CE881" s="71"/>
      <c r="CF881" s="71">
        <f t="shared" si="350"/>
        <v>0</v>
      </c>
      <c r="CH881" s="71"/>
      <c r="CI881" s="71"/>
      <c r="CJ881" s="138">
        <f t="shared" si="351"/>
        <v>0</v>
      </c>
      <c r="CL881" s="71"/>
      <c r="CM881" s="71"/>
      <c r="CN881" s="71">
        <f t="shared" si="352"/>
        <v>0</v>
      </c>
      <c r="CS881" s="102">
        <f t="shared" si="353"/>
        <v>4.5293954747099576</v>
      </c>
      <c r="CT881" s="102">
        <f t="shared" si="354"/>
        <v>18.675175962423801</v>
      </c>
      <c r="CZ881" s="109" t="str">
        <f t="shared" si="355"/>
        <v>Basso</v>
      </c>
    </row>
    <row r="882" spans="9:104" x14ac:dyDescent="0.15">
      <c r="I882" s="64">
        <f t="shared" si="333"/>
        <v>76.99972307006928</v>
      </c>
      <c r="M882" s="64">
        <f t="shared" si="334"/>
        <v>0</v>
      </c>
      <c r="Q882" s="64">
        <f t="shared" si="335"/>
        <v>0</v>
      </c>
      <c r="U882" s="64">
        <f t="shared" si="336"/>
        <v>0</v>
      </c>
      <c r="Y882" s="114">
        <f t="shared" si="337"/>
        <v>0</v>
      </c>
      <c r="AC882" s="64">
        <f t="shared" si="338"/>
        <v>0</v>
      </c>
      <c r="AE882" s="71"/>
      <c r="AF882" s="71"/>
      <c r="AG882" s="71">
        <f t="shared" si="339"/>
        <v>0</v>
      </c>
      <c r="AK882" s="64">
        <f t="shared" si="340"/>
        <v>0</v>
      </c>
      <c r="AM882" s="71"/>
      <c r="AN882" s="71"/>
      <c r="AO882" s="71">
        <f t="shared" si="341"/>
        <v>0</v>
      </c>
      <c r="AQ882" s="71"/>
      <c r="AR882" s="71"/>
      <c r="AS882" s="71">
        <f t="shared" si="342"/>
        <v>0</v>
      </c>
      <c r="AU882" s="71"/>
      <c r="AV882" s="71"/>
      <c r="AW882" s="71">
        <f t="shared" si="343"/>
        <v>0</v>
      </c>
      <c r="AY882" s="71"/>
      <c r="AZ882" s="71"/>
      <c r="BA882" s="71">
        <f t="shared" si="344"/>
        <v>0</v>
      </c>
      <c r="BI882" s="71"/>
      <c r="BJ882" s="71"/>
      <c r="BK882" s="71">
        <f t="shared" si="345"/>
        <v>0</v>
      </c>
      <c r="BM882" s="71"/>
      <c r="BN882" s="71"/>
      <c r="BO882" s="71">
        <f t="shared" si="346"/>
        <v>0</v>
      </c>
      <c r="BQ882" s="71"/>
      <c r="BR882" s="71"/>
      <c r="BS882" s="138">
        <f t="shared" si="347"/>
        <v>0</v>
      </c>
      <c r="BU882" s="71"/>
      <c r="BV882" s="71"/>
      <c r="BW882" s="71">
        <f t="shared" si="348"/>
        <v>0</v>
      </c>
      <c r="BZ882" s="71"/>
      <c r="CA882" s="71"/>
      <c r="CB882" s="71">
        <f t="shared" si="349"/>
        <v>0</v>
      </c>
      <c r="CD882" s="71"/>
      <c r="CE882" s="71"/>
      <c r="CF882" s="71">
        <f t="shared" si="350"/>
        <v>0</v>
      </c>
      <c r="CH882" s="71"/>
      <c r="CI882" s="71"/>
      <c r="CJ882" s="138">
        <f t="shared" si="351"/>
        <v>0</v>
      </c>
      <c r="CL882" s="71"/>
      <c r="CM882" s="71"/>
      <c r="CN882" s="71">
        <f t="shared" si="352"/>
        <v>0</v>
      </c>
      <c r="CS882" s="102">
        <f t="shared" si="353"/>
        <v>4.5293954747099576</v>
      </c>
      <c r="CT882" s="102">
        <f t="shared" si="354"/>
        <v>18.675175962423801</v>
      </c>
      <c r="CZ882" s="109" t="str">
        <f t="shared" si="355"/>
        <v>Basso</v>
      </c>
    </row>
    <row r="883" spans="9:104" x14ac:dyDescent="0.15">
      <c r="I883" s="64">
        <f t="shared" si="333"/>
        <v>76.99972307006928</v>
      </c>
      <c r="M883" s="64">
        <f t="shared" si="334"/>
        <v>0</v>
      </c>
      <c r="Q883" s="64">
        <f t="shared" si="335"/>
        <v>0</v>
      </c>
      <c r="U883" s="64">
        <f t="shared" si="336"/>
        <v>0</v>
      </c>
      <c r="Y883" s="114">
        <f t="shared" si="337"/>
        <v>0</v>
      </c>
      <c r="AC883" s="64">
        <f t="shared" si="338"/>
        <v>0</v>
      </c>
      <c r="AE883" s="71"/>
      <c r="AF883" s="71"/>
      <c r="AG883" s="71">
        <f t="shared" si="339"/>
        <v>0</v>
      </c>
      <c r="AK883" s="64">
        <f t="shared" si="340"/>
        <v>0</v>
      </c>
      <c r="AM883" s="71"/>
      <c r="AN883" s="71"/>
      <c r="AO883" s="71">
        <f t="shared" si="341"/>
        <v>0</v>
      </c>
      <c r="AQ883" s="71"/>
      <c r="AR883" s="71"/>
      <c r="AS883" s="71">
        <f t="shared" si="342"/>
        <v>0</v>
      </c>
      <c r="AU883" s="71"/>
      <c r="AV883" s="71"/>
      <c r="AW883" s="71">
        <f t="shared" si="343"/>
        <v>0</v>
      </c>
      <c r="AY883" s="71"/>
      <c r="AZ883" s="71"/>
      <c r="BA883" s="71">
        <f t="shared" si="344"/>
        <v>0</v>
      </c>
      <c r="BI883" s="71"/>
      <c r="BJ883" s="71"/>
      <c r="BK883" s="71">
        <f t="shared" si="345"/>
        <v>0</v>
      </c>
      <c r="BM883" s="71"/>
      <c r="BN883" s="71"/>
      <c r="BO883" s="71">
        <f t="shared" si="346"/>
        <v>0</v>
      </c>
      <c r="BQ883" s="71"/>
      <c r="BR883" s="71"/>
      <c r="BS883" s="138">
        <f t="shared" si="347"/>
        <v>0</v>
      </c>
      <c r="BU883" s="71"/>
      <c r="BV883" s="71"/>
      <c r="BW883" s="71">
        <f t="shared" si="348"/>
        <v>0</v>
      </c>
      <c r="BZ883" s="71"/>
      <c r="CA883" s="71"/>
      <c r="CB883" s="71">
        <f t="shared" si="349"/>
        <v>0</v>
      </c>
      <c r="CD883" s="71"/>
      <c r="CE883" s="71"/>
      <c r="CF883" s="71">
        <f t="shared" si="350"/>
        <v>0</v>
      </c>
      <c r="CH883" s="71"/>
      <c r="CI883" s="71"/>
      <c r="CJ883" s="138">
        <f t="shared" si="351"/>
        <v>0</v>
      </c>
      <c r="CL883" s="71"/>
      <c r="CM883" s="71"/>
      <c r="CN883" s="71">
        <f t="shared" si="352"/>
        <v>0</v>
      </c>
      <c r="CS883" s="102">
        <f t="shared" si="353"/>
        <v>4.5293954747099576</v>
      </c>
      <c r="CT883" s="102">
        <f t="shared" si="354"/>
        <v>18.675175962423801</v>
      </c>
      <c r="CZ883" s="109" t="str">
        <f t="shared" si="355"/>
        <v>Basso</v>
      </c>
    </row>
    <row r="884" spans="9:104" x14ac:dyDescent="0.15">
      <c r="I884" s="64">
        <f t="shared" si="333"/>
        <v>76.99972307006928</v>
      </c>
      <c r="M884" s="64">
        <f t="shared" si="334"/>
        <v>0</v>
      </c>
      <c r="Q884" s="64">
        <f t="shared" si="335"/>
        <v>0</v>
      </c>
      <c r="U884" s="64">
        <f t="shared" si="336"/>
        <v>0</v>
      </c>
      <c r="Y884" s="114">
        <f t="shared" si="337"/>
        <v>0</v>
      </c>
      <c r="AC884" s="64">
        <f t="shared" si="338"/>
        <v>0</v>
      </c>
      <c r="AE884" s="71"/>
      <c r="AF884" s="71"/>
      <c r="AG884" s="71">
        <f t="shared" si="339"/>
        <v>0</v>
      </c>
      <c r="AK884" s="64">
        <f t="shared" si="340"/>
        <v>0</v>
      </c>
      <c r="AM884" s="71"/>
      <c r="AN884" s="71"/>
      <c r="AO884" s="71">
        <f t="shared" si="341"/>
        <v>0</v>
      </c>
      <c r="AQ884" s="71"/>
      <c r="AR884" s="71"/>
      <c r="AS884" s="71">
        <f t="shared" si="342"/>
        <v>0</v>
      </c>
      <c r="AU884" s="71"/>
      <c r="AV884" s="71"/>
      <c r="AW884" s="71">
        <f t="shared" si="343"/>
        <v>0</v>
      </c>
      <c r="AY884" s="71"/>
      <c r="AZ884" s="71"/>
      <c r="BA884" s="71">
        <f t="shared" si="344"/>
        <v>0</v>
      </c>
      <c r="BI884" s="71"/>
      <c r="BJ884" s="71"/>
      <c r="BK884" s="71">
        <f t="shared" si="345"/>
        <v>0</v>
      </c>
      <c r="BM884" s="71"/>
      <c r="BN884" s="71"/>
      <c r="BO884" s="71">
        <f t="shared" si="346"/>
        <v>0</v>
      </c>
      <c r="BQ884" s="71"/>
      <c r="BR884" s="71"/>
      <c r="BS884" s="138">
        <f t="shared" si="347"/>
        <v>0</v>
      </c>
      <c r="BU884" s="71"/>
      <c r="BV884" s="71"/>
      <c r="BW884" s="71">
        <f t="shared" si="348"/>
        <v>0</v>
      </c>
      <c r="BZ884" s="71"/>
      <c r="CA884" s="71"/>
      <c r="CB884" s="71">
        <f t="shared" si="349"/>
        <v>0</v>
      </c>
      <c r="CD884" s="71"/>
      <c r="CE884" s="71"/>
      <c r="CF884" s="71">
        <f t="shared" si="350"/>
        <v>0</v>
      </c>
      <c r="CH884" s="71"/>
      <c r="CI884" s="71"/>
      <c r="CJ884" s="138">
        <f t="shared" si="351"/>
        <v>0</v>
      </c>
      <c r="CL884" s="71"/>
      <c r="CM884" s="71"/>
      <c r="CN884" s="71">
        <f t="shared" si="352"/>
        <v>0</v>
      </c>
      <c r="CS884" s="102">
        <f t="shared" si="353"/>
        <v>4.5293954747099576</v>
      </c>
      <c r="CT884" s="102">
        <f t="shared" si="354"/>
        <v>18.675175962423801</v>
      </c>
      <c r="CZ884" s="109" t="str">
        <f t="shared" si="355"/>
        <v>Basso</v>
      </c>
    </row>
    <row r="885" spans="9:104" x14ac:dyDescent="0.15">
      <c r="I885" s="64">
        <f t="shared" si="333"/>
        <v>76.99972307006928</v>
      </c>
      <c r="M885" s="64">
        <f t="shared" si="334"/>
        <v>0</v>
      </c>
      <c r="Q885" s="64">
        <f t="shared" si="335"/>
        <v>0</v>
      </c>
      <c r="U885" s="64">
        <f t="shared" si="336"/>
        <v>0</v>
      </c>
      <c r="Y885" s="114">
        <f t="shared" si="337"/>
        <v>0</v>
      </c>
      <c r="AC885" s="64">
        <f t="shared" si="338"/>
        <v>0</v>
      </c>
      <c r="AE885" s="71"/>
      <c r="AF885" s="71"/>
      <c r="AG885" s="71">
        <f t="shared" si="339"/>
        <v>0</v>
      </c>
      <c r="AK885" s="64">
        <f t="shared" si="340"/>
        <v>0</v>
      </c>
      <c r="AM885" s="71"/>
      <c r="AN885" s="71"/>
      <c r="AO885" s="71">
        <f t="shared" si="341"/>
        <v>0</v>
      </c>
      <c r="AQ885" s="71"/>
      <c r="AR885" s="71"/>
      <c r="AS885" s="71">
        <f t="shared" si="342"/>
        <v>0</v>
      </c>
      <c r="AU885" s="71"/>
      <c r="AV885" s="71"/>
      <c r="AW885" s="71">
        <f t="shared" si="343"/>
        <v>0</v>
      </c>
      <c r="AY885" s="71"/>
      <c r="AZ885" s="71"/>
      <c r="BA885" s="71">
        <f t="shared" si="344"/>
        <v>0</v>
      </c>
      <c r="BI885" s="71"/>
      <c r="BJ885" s="71"/>
      <c r="BK885" s="71">
        <f t="shared" si="345"/>
        <v>0</v>
      </c>
      <c r="BM885" s="71"/>
      <c r="BN885" s="71"/>
      <c r="BO885" s="71">
        <f t="shared" si="346"/>
        <v>0</v>
      </c>
      <c r="BQ885" s="71"/>
      <c r="BR885" s="71"/>
      <c r="BS885" s="138">
        <f t="shared" si="347"/>
        <v>0</v>
      </c>
      <c r="BU885" s="71"/>
      <c r="BV885" s="71"/>
      <c r="BW885" s="71">
        <f t="shared" si="348"/>
        <v>0</v>
      </c>
      <c r="BZ885" s="71"/>
      <c r="CA885" s="71"/>
      <c r="CB885" s="71">
        <f t="shared" si="349"/>
        <v>0</v>
      </c>
      <c r="CD885" s="71"/>
      <c r="CE885" s="71"/>
      <c r="CF885" s="71">
        <f t="shared" si="350"/>
        <v>0</v>
      </c>
      <c r="CH885" s="71"/>
      <c r="CI885" s="71"/>
      <c r="CJ885" s="138">
        <f t="shared" si="351"/>
        <v>0</v>
      </c>
      <c r="CL885" s="71"/>
      <c r="CM885" s="71"/>
      <c r="CN885" s="71">
        <f t="shared" si="352"/>
        <v>0</v>
      </c>
      <c r="CS885" s="102">
        <f t="shared" si="353"/>
        <v>4.5293954747099576</v>
      </c>
      <c r="CT885" s="102">
        <f t="shared" si="354"/>
        <v>18.675175962423801</v>
      </c>
      <c r="CZ885" s="109" t="str">
        <f t="shared" si="355"/>
        <v>Basso</v>
      </c>
    </row>
    <row r="886" spans="9:104" x14ac:dyDescent="0.15">
      <c r="I886" s="64">
        <f t="shared" si="333"/>
        <v>76.99972307006928</v>
      </c>
      <c r="M886" s="64">
        <f t="shared" si="334"/>
        <v>0</v>
      </c>
      <c r="Q886" s="64">
        <f t="shared" si="335"/>
        <v>0</v>
      </c>
      <c r="U886" s="64">
        <f t="shared" si="336"/>
        <v>0</v>
      </c>
      <c r="Y886" s="114">
        <f t="shared" si="337"/>
        <v>0</v>
      </c>
      <c r="AC886" s="64">
        <f t="shared" si="338"/>
        <v>0</v>
      </c>
      <c r="AE886" s="71"/>
      <c r="AF886" s="71"/>
      <c r="AG886" s="71">
        <f t="shared" si="339"/>
        <v>0</v>
      </c>
      <c r="AK886" s="64">
        <f t="shared" si="340"/>
        <v>0</v>
      </c>
      <c r="AM886" s="71"/>
      <c r="AN886" s="71"/>
      <c r="AO886" s="71">
        <f t="shared" si="341"/>
        <v>0</v>
      </c>
      <c r="AQ886" s="71"/>
      <c r="AR886" s="71"/>
      <c r="AS886" s="71">
        <f t="shared" si="342"/>
        <v>0</v>
      </c>
      <c r="AU886" s="71"/>
      <c r="AV886" s="71"/>
      <c r="AW886" s="71">
        <f t="shared" si="343"/>
        <v>0</v>
      </c>
      <c r="AY886" s="71"/>
      <c r="AZ886" s="71"/>
      <c r="BA886" s="71">
        <f t="shared" si="344"/>
        <v>0</v>
      </c>
      <c r="BI886" s="71"/>
      <c r="BJ886" s="71"/>
      <c r="BK886" s="71">
        <f t="shared" si="345"/>
        <v>0</v>
      </c>
      <c r="BM886" s="71"/>
      <c r="BN886" s="71"/>
      <c r="BO886" s="71">
        <f t="shared" si="346"/>
        <v>0</v>
      </c>
      <c r="BQ886" s="71"/>
      <c r="BR886" s="71"/>
      <c r="BS886" s="138">
        <f t="shared" si="347"/>
        <v>0</v>
      </c>
      <c r="BU886" s="71"/>
      <c r="BV886" s="71"/>
      <c r="BW886" s="71">
        <f t="shared" si="348"/>
        <v>0</v>
      </c>
      <c r="BZ886" s="71"/>
      <c r="CA886" s="71"/>
      <c r="CB886" s="71">
        <f t="shared" si="349"/>
        <v>0</v>
      </c>
      <c r="CD886" s="71"/>
      <c r="CE886" s="71"/>
      <c r="CF886" s="71">
        <f t="shared" si="350"/>
        <v>0</v>
      </c>
      <c r="CH886" s="71"/>
      <c r="CI886" s="71"/>
      <c r="CJ886" s="138">
        <f t="shared" si="351"/>
        <v>0</v>
      </c>
      <c r="CL886" s="71"/>
      <c r="CM886" s="71"/>
      <c r="CN886" s="71">
        <f t="shared" si="352"/>
        <v>0</v>
      </c>
      <c r="CS886" s="102">
        <f t="shared" si="353"/>
        <v>4.5293954747099576</v>
      </c>
      <c r="CT886" s="102">
        <f t="shared" si="354"/>
        <v>18.675175962423801</v>
      </c>
      <c r="CZ886" s="109" t="str">
        <f t="shared" si="355"/>
        <v>Basso</v>
      </c>
    </row>
    <row r="887" spans="9:104" x14ac:dyDescent="0.15">
      <c r="I887" s="64">
        <f t="shared" si="333"/>
        <v>76.99972307006928</v>
      </c>
      <c r="M887" s="64">
        <f t="shared" si="334"/>
        <v>0</v>
      </c>
      <c r="Q887" s="64">
        <f t="shared" si="335"/>
        <v>0</v>
      </c>
      <c r="U887" s="64">
        <f t="shared" si="336"/>
        <v>0</v>
      </c>
      <c r="Y887" s="114">
        <f t="shared" si="337"/>
        <v>0</v>
      </c>
      <c r="AC887" s="64">
        <f t="shared" si="338"/>
        <v>0</v>
      </c>
      <c r="AE887" s="71"/>
      <c r="AF887" s="71"/>
      <c r="AG887" s="71">
        <f t="shared" si="339"/>
        <v>0</v>
      </c>
      <c r="AK887" s="64">
        <f t="shared" si="340"/>
        <v>0</v>
      </c>
      <c r="AM887" s="71"/>
      <c r="AN887" s="71"/>
      <c r="AO887" s="71">
        <f t="shared" si="341"/>
        <v>0</v>
      </c>
      <c r="AQ887" s="71"/>
      <c r="AR887" s="71"/>
      <c r="AS887" s="71">
        <f t="shared" si="342"/>
        <v>0</v>
      </c>
      <c r="AU887" s="71"/>
      <c r="AV887" s="71"/>
      <c r="AW887" s="71">
        <f t="shared" si="343"/>
        <v>0</v>
      </c>
      <c r="AY887" s="71"/>
      <c r="AZ887" s="71"/>
      <c r="BA887" s="71">
        <f t="shared" si="344"/>
        <v>0</v>
      </c>
      <c r="BI887" s="71"/>
      <c r="BJ887" s="71"/>
      <c r="BK887" s="71">
        <f t="shared" si="345"/>
        <v>0</v>
      </c>
      <c r="BM887" s="71"/>
      <c r="BN887" s="71"/>
      <c r="BO887" s="71">
        <f t="shared" si="346"/>
        <v>0</v>
      </c>
      <c r="BQ887" s="71"/>
      <c r="BR887" s="71"/>
      <c r="BS887" s="138">
        <f t="shared" si="347"/>
        <v>0</v>
      </c>
      <c r="BU887" s="71"/>
      <c r="BV887" s="71"/>
      <c r="BW887" s="71">
        <f t="shared" si="348"/>
        <v>0</v>
      </c>
      <c r="BZ887" s="71"/>
      <c r="CA887" s="71"/>
      <c r="CB887" s="71">
        <f t="shared" si="349"/>
        <v>0</v>
      </c>
      <c r="CD887" s="71"/>
      <c r="CE887" s="71"/>
      <c r="CF887" s="71">
        <f t="shared" si="350"/>
        <v>0</v>
      </c>
      <c r="CH887" s="71"/>
      <c r="CI887" s="71"/>
      <c r="CJ887" s="138">
        <f t="shared" si="351"/>
        <v>0</v>
      </c>
      <c r="CL887" s="71"/>
      <c r="CM887" s="71"/>
      <c r="CN887" s="71">
        <f t="shared" si="352"/>
        <v>0</v>
      </c>
      <c r="CS887" s="102">
        <f t="shared" si="353"/>
        <v>4.5293954747099576</v>
      </c>
      <c r="CT887" s="102">
        <f t="shared" si="354"/>
        <v>18.675175962423801</v>
      </c>
      <c r="CZ887" s="109" t="str">
        <f t="shared" si="355"/>
        <v>Basso</v>
      </c>
    </row>
    <row r="888" spans="9:104" x14ac:dyDescent="0.15">
      <c r="I888" s="64">
        <f t="shared" si="333"/>
        <v>76.99972307006928</v>
      </c>
      <c r="M888" s="64">
        <f t="shared" si="334"/>
        <v>0</v>
      </c>
      <c r="Q888" s="64">
        <f t="shared" si="335"/>
        <v>0</v>
      </c>
      <c r="U888" s="64">
        <f t="shared" si="336"/>
        <v>0</v>
      </c>
      <c r="Y888" s="114">
        <f t="shared" si="337"/>
        <v>0</v>
      </c>
      <c r="AC888" s="64">
        <f t="shared" si="338"/>
        <v>0</v>
      </c>
      <c r="AE888" s="71"/>
      <c r="AF888" s="71"/>
      <c r="AG888" s="71">
        <f t="shared" si="339"/>
        <v>0</v>
      </c>
      <c r="AK888" s="64">
        <f t="shared" si="340"/>
        <v>0</v>
      </c>
      <c r="AM888" s="71"/>
      <c r="AN888" s="71"/>
      <c r="AO888" s="71">
        <f t="shared" si="341"/>
        <v>0</v>
      </c>
      <c r="AQ888" s="71"/>
      <c r="AR888" s="71"/>
      <c r="AS888" s="71">
        <f t="shared" si="342"/>
        <v>0</v>
      </c>
      <c r="AU888" s="71"/>
      <c r="AV888" s="71"/>
      <c r="AW888" s="71">
        <f t="shared" si="343"/>
        <v>0</v>
      </c>
      <c r="AY888" s="71"/>
      <c r="AZ888" s="71"/>
      <c r="BA888" s="71">
        <f t="shared" si="344"/>
        <v>0</v>
      </c>
      <c r="BI888" s="71"/>
      <c r="BJ888" s="71"/>
      <c r="BK888" s="71">
        <f t="shared" si="345"/>
        <v>0</v>
      </c>
      <c r="BM888" s="71"/>
      <c r="BN888" s="71"/>
      <c r="BO888" s="71">
        <f t="shared" si="346"/>
        <v>0</v>
      </c>
      <c r="BQ888" s="71"/>
      <c r="BR888" s="71"/>
      <c r="BS888" s="138">
        <f t="shared" si="347"/>
        <v>0</v>
      </c>
      <c r="BU888" s="71"/>
      <c r="BV888" s="71"/>
      <c r="BW888" s="71">
        <f t="shared" si="348"/>
        <v>0</v>
      </c>
      <c r="BZ888" s="71"/>
      <c r="CA888" s="71"/>
      <c r="CB888" s="71">
        <f t="shared" si="349"/>
        <v>0</v>
      </c>
      <c r="CD888" s="71"/>
      <c r="CE888" s="71"/>
      <c r="CF888" s="71">
        <f t="shared" si="350"/>
        <v>0</v>
      </c>
      <c r="CH888" s="71"/>
      <c r="CI888" s="71"/>
      <c r="CJ888" s="138">
        <f t="shared" si="351"/>
        <v>0</v>
      </c>
      <c r="CL888" s="71"/>
      <c r="CM888" s="71"/>
      <c r="CN888" s="71">
        <f t="shared" si="352"/>
        <v>0</v>
      </c>
      <c r="CS888" s="102">
        <f t="shared" si="353"/>
        <v>4.5293954747099576</v>
      </c>
      <c r="CT888" s="102">
        <f t="shared" si="354"/>
        <v>18.675175962423801</v>
      </c>
      <c r="CZ888" s="109" t="str">
        <f t="shared" si="355"/>
        <v>Basso</v>
      </c>
    </row>
    <row r="889" spans="9:104" x14ac:dyDescent="0.15">
      <c r="I889" s="64">
        <f t="shared" si="333"/>
        <v>76.99972307006928</v>
      </c>
      <c r="M889" s="64">
        <f t="shared" si="334"/>
        <v>0</v>
      </c>
      <c r="Q889" s="64">
        <f t="shared" si="335"/>
        <v>0</v>
      </c>
      <c r="U889" s="64">
        <f t="shared" si="336"/>
        <v>0</v>
      </c>
      <c r="Y889" s="114">
        <f t="shared" si="337"/>
        <v>0</v>
      </c>
      <c r="AC889" s="64">
        <f t="shared" si="338"/>
        <v>0</v>
      </c>
      <c r="AE889" s="71"/>
      <c r="AF889" s="71"/>
      <c r="AG889" s="71">
        <f t="shared" si="339"/>
        <v>0</v>
      </c>
      <c r="AK889" s="64">
        <f t="shared" si="340"/>
        <v>0</v>
      </c>
      <c r="AM889" s="71"/>
      <c r="AN889" s="71"/>
      <c r="AO889" s="71">
        <f t="shared" si="341"/>
        <v>0</v>
      </c>
      <c r="AQ889" s="71"/>
      <c r="AR889" s="71"/>
      <c r="AS889" s="71">
        <f t="shared" si="342"/>
        <v>0</v>
      </c>
      <c r="AU889" s="71"/>
      <c r="AV889" s="71"/>
      <c r="AW889" s="71">
        <f t="shared" si="343"/>
        <v>0</v>
      </c>
      <c r="AY889" s="71"/>
      <c r="AZ889" s="71"/>
      <c r="BA889" s="71">
        <f t="shared" si="344"/>
        <v>0</v>
      </c>
      <c r="BI889" s="71"/>
      <c r="BJ889" s="71"/>
      <c r="BK889" s="71">
        <f t="shared" si="345"/>
        <v>0</v>
      </c>
      <c r="BM889" s="71"/>
      <c r="BN889" s="71"/>
      <c r="BO889" s="71">
        <f t="shared" si="346"/>
        <v>0</v>
      </c>
      <c r="BQ889" s="71"/>
      <c r="BR889" s="71"/>
      <c r="BS889" s="138">
        <f t="shared" si="347"/>
        <v>0</v>
      </c>
      <c r="BU889" s="71"/>
      <c r="BV889" s="71"/>
      <c r="BW889" s="71">
        <f t="shared" si="348"/>
        <v>0</v>
      </c>
      <c r="BZ889" s="71"/>
      <c r="CA889" s="71"/>
      <c r="CB889" s="71">
        <f t="shared" si="349"/>
        <v>0</v>
      </c>
      <c r="CD889" s="71"/>
      <c r="CE889" s="71"/>
      <c r="CF889" s="71">
        <f t="shared" si="350"/>
        <v>0</v>
      </c>
      <c r="CH889" s="71"/>
      <c r="CI889" s="71"/>
      <c r="CJ889" s="138">
        <f t="shared" si="351"/>
        <v>0</v>
      </c>
      <c r="CL889" s="71"/>
      <c r="CM889" s="71"/>
      <c r="CN889" s="71">
        <f t="shared" si="352"/>
        <v>0</v>
      </c>
      <c r="CS889" s="102">
        <f t="shared" si="353"/>
        <v>4.5293954747099576</v>
      </c>
      <c r="CT889" s="102">
        <f t="shared" si="354"/>
        <v>18.675175962423801</v>
      </c>
      <c r="CZ889" s="109" t="str">
        <f t="shared" si="355"/>
        <v>Basso</v>
      </c>
    </row>
    <row r="890" spans="9:104" x14ac:dyDescent="0.15">
      <c r="I890" s="64">
        <f t="shared" si="333"/>
        <v>76.99972307006928</v>
      </c>
      <c r="M890" s="64">
        <f t="shared" si="334"/>
        <v>0</v>
      </c>
      <c r="Q890" s="64">
        <f t="shared" si="335"/>
        <v>0</v>
      </c>
      <c r="U890" s="64">
        <f t="shared" si="336"/>
        <v>0</v>
      </c>
      <c r="Y890" s="114">
        <f t="shared" si="337"/>
        <v>0</v>
      </c>
      <c r="AC890" s="64">
        <f t="shared" si="338"/>
        <v>0</v>
      </c>
      <c r="AE890" s="71"/>
      <c r="AF890" s="71"/>
      <c r="AG890" s="71">
        <f t="shared" si="339"/>
        <v>0</v>
      </c>
      <c r="AK890" s="64">
        <f t="shared" si="340"/>
        <v>0</v>
      </c>
      <c r="AM890" s="71"/>
      <c r="AN890" s="71"/>
      <c r="AO890" s="71">
        <f t="shared" si="341"/>
        <v>0</v>
      </c>
      <c r="AQ890" s="71"/>
      <c r="AR890" s="71"/>
      <c r="AS890" s="71">
        <f t="shared" si="342"/>
        <v>0</v>
      </c>
      <c r="AU890" s="71"/>
      <c r="AV890" s="71"/>
      <c r="AW890" s="71">
        <f t="shared" si="343"/>
        <v>0</v>
      </c>
      <c r="AY890" s="71"/>
      <c r="AZ890" s="71"/>
      <c r="BA890" s="71">
        <f t="shared" si="344"/>
        <v>0</v>
      </c>
      <c r="BI890" s="71"/>
      <c r="BJ890" s="71"/>
      <c r="BK890" s="71">
        <f t="shared" si="345"/>
        <v>0</v>
      </c>
      <c r="BM890" s="71"/>
      <c r="BN890" s="71"/>
      <c r="BO890" s="71">
        <f t="shared" si="346"/>
        <v>0</v>
      </c>
      <c r="BQ890" s="71"/>
      <c r="BR890" s="71"/>
      <c r="BS890" s="138">
        <f t="shared" si="347"/>
        <v>0</v>
      </c>
      <c r="BU890" s="71"/>
      <c r="BV890" s="71"/>
      <c r="BW890" s="71">
        <f t="shared" si="348"/>
        <v>0</v>
      </c>
      <c r="BZ890" s="71"/>
      <c r="CA890" s="71"/>
      <c r="CB890" s="71">
        <f t="shared" si="349"/>
        <v>0</v>
      </c>
      <c r="CD890" s="71"/>
      <c r="CE890" s="71"/>
      <c r="CF890" s="71">
        <f t="shared" si="350"/>
        <v>0</v>
      </c>
      <c r="CH890" s="71"/>
      <c r="CI890" s="71"/>
      <c r="CJ890" s="138">
        <f t="shared" si="351"/>
        <v>0</v>
      </c>
      <c r="CL890" s="71"/>
      <c r="CM890" s="71"/>
      <c r="CN890" s="71">
        <f t="shared" si="352"/>
        <v>0</v>
      </c>
      <c r="CS890" s="102">
        <f t="shared" si="353"/>
        <v>4.5293954747099576</v>
      </c>
      <c r="CT890" s="102">
        <f t="shared" si="354"/>
        <v>18.675175962423801</v>
      </c>
      <c r="CZ890" s="109" t="str">
        <f t="shared" si="355"/>
        <v>Basso</v>
      </c>
    </row>
    <row r="891" spans="9:104" x14ac:dyDescent="0.15">
      <c r="I891" s="64">
        <f t="shared" si="333"/>
        <v>76.99972307006928</v>
      </c>
      <c r="M891" s="64">
        <f t="shared" si="334"/>
        <v>0</v>
      </c>
      <c r="Q891" s="64">
        <f t="shared" si="335"/>
        <v>0</v>
      </c>
      <c r="U891" s="64">
        <f t="shared" si="336"/>
        <v>0</v>
      </c>
      <c r="Y891" s="114">
        <f t="shared" si="337"/>
        <v>0</v>
      </c>
      <c r="AC891" s="64">
        <f t="shared" si="338"/>
        <v>0</v>
      </c>
      <c r="AE891" s="71"/>
      <c r="AF891" s="71"/>
      <c r="AG891" s="71">
        <f t="shared" si="339"/>
        <v>0</v>
      </c>
      <c r="AK891" s="64">
        <f t="shared" si="340"/>
        <v>0</v>
      </c>
      <c r="AM891" s="71"/>
      <c r="AN891" s="71"/>
      <c r="AO891" s="71">
        <f t="shared" si="341"/>
        <v>0</v>
      </c>
      <c r="AQ891" s="71"/>
      <c r="AR891" s="71"/>
      <c r="AS891" s="71">
        <f t="shared" si="342"/>
        <v>0</v>
      </c>
      <c r="AU891" s="71"/>
      <c r="AV891" s="71"/>
      <c r="AW891" s="71">
        <f t="shared" si="343"/>
        <v>0</v>
      </c>
      <c r="AY891" s="71"/>
      <c r="AZ891" s="71"/>
      <c r="BA891" s="71">
        <f t="shared" si="344"/>
        <v>0</v>
      </c>
      <c r="BI891" s="71"/>
      <c r="BJ891" s="71"/>
      <c r="BK891" s="71">
        <f t="shared" si="345"/>
        <v>0</v>
      </c>
      <c r="BM891" s="71"/>
      <c r="BN891" s="71"/>
      <c r="BO891" s="71">
        <f t="shared" si="346"/>
        <v>0</v>
      </c>
      <c r="BQ891" s="71"/>
      <c r="BR891" s="71"/>
      <c r="BS891" s="138">
        <f t="shared" si="347"/>
        <v>0</v>
      </c>
      <c r="BU891" s="71"/>
      <c r="BV891" s="71"/>
      <c r="BW891" s="71">
        <f t="shared" si="348"/>
        <v>0</v>
      </c>
      <c r="BZ891" s="71"/>
      <c r="CA891" s="71"/>
      <c r="CB891" s="71">
        <f t="shared" si="349"/>
        <v>0</v>
      </c>
      <c r="CD891" s="71"/>
      <c r="CE891" s="71"/>
      <c r="CF891" s="71">
        <f t="shared" si="350"/>
        <v>0</v>
      </c>
      <c r="CH891" s="71"/>
      <c r="CI891" s="71"/>
      <c r="CJ891" s="138">
        <f t="shared" si="351"/>
        <v>0</v>
      </c>
      <c r="CL891" s="71"/>
      <c r="CM891" s="71"/>
      <c r="CN891" s="71">
        <f t="shared" si="352"/>
        <v>0</v>
      </c>
      <c r="CS891" s="102">
        <f t="shared" si="353"/>
        <v>4.5293954747099576</v>
      </c>
      <c r="CT891" s="102">
        <f t="shared" si="354"/>
        <v>18.675175962423801</v>
      </c>
      <c r="CZ891" s="109" t="str">
        <f t="shared" si="355"/>
        <v>Basso</v>
      </c>
    </row>
    <row r="892" spans="9:104" x14ac:dyDescent="0.15">
      <c r="I892" s="64">
        <f t="shared" si="333"/>
        <v>76.99972307006928</v>
      </c>
      <c r="M892" s="64">
        <f t="shared" si="334"/>
        <v>0</v>
      </c>
      <c r="Q892" s="64">
        <f t="shared" si="335"/>
        <v>0</v>
      </c>
      <c r="U892" s="64">
        <f t="shared" si="336"/>
        <v>0</v>
      </c>
      <c r="Y892" s="114">
        <f t="shared" si="337"/>
        <v>0</v>
      </c>
      <c r="AC892" s="64">
        <f t="shared" si="338"/>
        <v>0</v>
      </c>
      <c r="AE892" s="71"/>
      <c r="AF892" s="71"/>
      <c r="AG892" s="71">
        <f t="shared" si="339"/>
        <v>0</v>
      </c>
      <c r="AK892" s="64">
        <f t="shared" si="340"/>
        <v>0</v>
      </c>
      <c r="AM892" s="71"/>
      <c r="AN892" s="71"/>
      <c r="AO892" s="71">
        <f t="shared" si="341"/>
        <v>0</v>
      </c>
      <c r="AQ892" s="71"/>
      <c r="AR892" s="71"/>
      <c r="AS892" s="71">
        <f t="shared" si="342"/>
        <v>0</v>
      </c>
      <c r="AU892" s="71"/>
      <c r="AV892" s="71"/>
      <c r="AW892" s="71">
        <f t="shared" si="343"/>
        <v>0</v>
      </c>
      <c r="AY892" s="71"/>
      <c r="AZ892" s="71"/>
      <c r="BA892" s="71">
        <f t="shared" si="344"/>
        <v>0</v>
      </c>
      <c r="BI892" s="71"/>
      <c r="BJ892" s="71"/>
      <c r="BK892" s="71">
        <f t="shared" si="345"/>
        <v>0</v>
      </c>
      <c r="BM892" s="71"/>
      <c r="BN892" s="71"/>
      <c r="BO892" s="71">
        <f t="shared" si="346"/>
        <v>0</v>
      </c>
      <c r="BQ892" s="71"/>
      <c r="BR892" s="71"/>
      <c r="BS892" s="138">
        <f t="shared" si="347"/>
        <v>0</v>
      </c>
      <c r="BU892" s="71"/>
      <c r="BV892" s="71"/>
      <c r="BW892" s="71">
        <f t="shared" si="348"/>
        <v>0</v>
      </c>
      <c r="BZ892" s="71"/>
      <c r="CA892" s="71"/>
      <c r="CB892" s="71">
        <f t="shared" si="349"/>
        <v>0</v>
      </c>
      <c r="CD892" s="71"/>
      <c r="CE892" s="71"/>
      <c r="CF892" s="71">
        <f t="shared" si="350"/>
        <v>0</v>
      </c>
      <c r="CH892" s="71"/>
      <c r="CI892" s="71"/>
      <c r="CJ892" s="138">
        <f t="shared" si="351"/>
        <v>0</v>
      </c>
      <c r="CL892" s="71"/>
      <c r="CM892" s="71"/>
      <c r="CN892" s="71">
        <f t="shared" si="352"/>
        <v>0</v>
      </c>
      <c r="CS892" s="102">
        <f t="shared" si="353"/>
        <v>4.5293954747099576</v>
      </c>
      <c r="CT892" s="102">
        <f t="shared" si="354"/>
        <v>18.675175962423801</v>
      </c>
      <c r="CZ892" s="109" t="str">
        <f t="shared" si="355"/>
        <v>Basso</v>
      </c>
    </row>
    <row r="893" spans="9:104" x14ac:dyDescent="0.15">
      <c r="I893" s="64">
        <f t="shared" si="333"/>
        <v>76.99972307006928</v>
      </c>
      <c r="M893" s="64">
        <f t="shared" si="334"/>
        <v>0</v>
      </c>
      <c r="Q893" s="64">
        <f t="shared" si="335"/>
        <v>0</v>
      </c>
      <c r="U893" s="64">
        <f t="shared" si="336"/>
        <v>0</v>
      </c>
      <c r="Y893" s="114">
        <f t="shared" si="337"/>
        <v>0</v>
      </c>
      <c r="AC893" s="64">
        <f t="shared" si="338"/>
        <v>0</v>
      </c>
      <c r="AE893" s="71"/>
      <c r="AF893" s="71"/>
      <c r="AG893" s="71">
        <f t="shared" si="339"/>
        <v>0</v>
      </c>
      <c r="AK893" s="64">
        <f t="shared" si="340"/>
        <v>0</v>
      </c>
      <c r="AM893" s="71"/>
      <c r="AN893" s="71"/>
      <c r="AO893" s="71">
        <f t="shared" si="341"/>
        <v>0</v>
      </c>
      <c r="AQ893" s="71"/>
      <c r="AR893" s="71"/>
      <c r="AS893" s="71">
        <f t="shared" si="342"/>
        <v>0</v>
      </c>
      <c r="AU893" s="71"/>
      <c r="AV893" s="71"/>
      <c r="AW893" s="71">
        <f t="shared" si="343"/>
        <v>0</v>
      </c>
      <c r="AY893" s="71"/>
      <c r="AZ893" s="71"/>
      <c r="BA893" s="71">
        <f t="shared" si="344"/>
        <v>0</v>
      </c>
      <c r="BI893" s="71"/>
      <c r="BJ893" s="71"/>
      <c r="BK893" s="71">
        <f t="shared" si="345"/>
        <v>0</v>
      </c>
      <c r="BM893" s="71"/>
      <c r="BN893" s="71"/>
      <c r="BO893" s="71">
        <f t="shared" si="346"/>
        <v>0</v>
      </c>
      <c r="BQ893" s="71"/>
      <c r="BR893" s="71"/>
      <c r="BS893" s="138">
        <f t="shared" si="347"/>
        <v>0</v>
      </c>
      <c r="BU893" s="71"/>
      <c r="BV893" s="71"/>
      <c r="BW893" s="71">
        <f t="shared" si="348"/>
        <v>0</v>
      </c>
      <c r="BZ893" s="71"/>
      <c r="CA893" s="71"/>
      <c r="CB893" s="71">
        <f t="shared" si="349"/>
        <v>0</v>
      </c>
      <c r="CD893" s="71"/>
      <c r="CE893" s="71"/>
      <c r="CF893" s="71">
        <f t="shared" si="350"/>
        <v>0</v>
      </c>
      <c r="CH893" s="71"/>
      <c r="CI893" s="71"/>
      <c r="CJ893" s="138">
        <f t="shared" si="351"/>
        <v>0</v>
      </c>
      <c r="CL893" s="71"/>
      <c r="CM893" s="71"/>
      <c r="CN893" s="71">
        <f t="shared" si="352"/>
        <v>0</v>
      </c>
      <c r="CS893" s="102">
        <f t="shared" si="353"/>
        <v>4.5293954747099576</v>
      </c>
      <c r="CT893" s="102">
        <f t="shared" si="354"/>
        <v>18.675175962423801</v>
      </c>
      <c r="CZ893" s="109" t="str">
        <f t="shared" si="355"/>
        <v>Basso</v>
      </c>
    </row>
    <row r="894" spans="9:104" x14ac:dyDescent="0.15">
      <c r="I894" s="64">
        <f t="shared" si="333"/>
        <v>76.99972307006928</v>
      </c>
      <c r="M894" s="64">
        <f t="shared" si="334"/>
        <v>0</v>
      </c>
      <c r="Q894" s="64">
        <f t="shared" si="335"/>
        <v>0</v>
      </c>
      <c r="U894" s="64">
        <f t="shared" si="336"/>
        <v>0</v>
      </c>
      <c r="Y894" s="114">
        <f t="shared" si="337"/>
        <v>0</v>
      </c>
      <c r="AC894" s="64">
        <f t="shared" si="338"/>
        <v>0</v>
      </c>
      <c r="AE894" s="71"/>
      <c r="AF894" s="71"/>
      <c r="AG894" s="71">
        <f t="shared" si="339"/>
        <v>0</v>
      </c>
      <c r="AK894" s="64">
        <f t="shared" si="340"/>
        <v>0</v>
      </c>
      <c r="AM894" s="71"/>
      <c r="AN894" s="71"/>
      <c r="AO894" s="71">
        <f t="shared" si="341"/>
        <v>0</v>
      </c>
      <c r="AQ894" s="71"/>
      <c r="AR894" s="71"/>
      <c r="AS894" s="71">
        <f t="shared" si="342"/>
        <v>0</v>
      </c>
      <c r="AU894" s="71"/>
      <c r="AV894" s="71"/>
      <c r="AW894" s="71">
        <f t="shared" si="343"/>
        <v>0</v>
      </c>
      <c r="AY894" s="71"/>
      <c r="AZ894" s="71"/>
      <c r="BA894" s="71">
        <f t="shared" si="344"/>
        <v>0</v>
      </c>
      <c r="BI894" s="71"/>
      <c r="BJ894" s="71"/>
      <c r="BK894" s="71">
        <f t="shared" si="345"/>
        <v>0</v>
      </c>
      <c r="BM894" s="71"/>
      <c r="BN894" s="71"/>
      <c r="BO894" s="71">
        <f t="shared" si="346"/>
        <v>0</v>
      </c>
      <c r="BQ894" s="71"/>
      <c r="BR894" s="71"/>
      <c r="BS894" s="138">
        <f t="shared" si="347"/>
        <v>0</v>
      </c>
      <c r="BU894" s="71"/>
      <c r="BV894" s="71"/>
      <c r="BW894" s="71">
        <f t="shared" si="348"/>
        <v>0</v>
      </c>
      <c r="BZ894" s="71"/>
      <c r="CA894" s="71"/>
      <c r="CB894" s="71">
        <f t="shared" si="349"/>
        <v>0</v>
      </c>
      <c r="CD894" s="71"/>
      <c r="CE894" s="71"/>
      <c r="CF894" s="71">
        <f t="shared" si="350"/>
        <v>0</v>
      </c>
      <c r="CH894" s="71"/>
      <c r="CI894" s="71"/>
      <c r="CJ894" s="138">
        <f t="shared" si="351"/>
        <v>0</v>
      </c>
      <c r="CL894" s="71"/>
      <c r="CM894" s="71"/>
      <c r="CN894" s="71">
        <f t="shared" si="352"/>
        <v>0</v>
      </c>
      <c r="CS894" s="102">
        <f t="shared" si="353"/>
        <v>4.5293954747099576</v>
      </c>
      <c r="CT894" s="102">
        <f t="shared" si="354"/>
        <v>18.675175962423801</v>
      </c>
      <c r="CZ894" s="109" t="str">
        <f t="shared" si="355"/>
        <v>Basso</v>
      </c>
    </row>
    <row r="895" spans="9:104" x14ac:dyDescent="0.15">
      <c r="I895" s="64">
        <f t="shared" si="333"/>
        <v>76.99972307006928</v>
      </c>
      <c r="M895" s="64">
        <f t="shared" si="334"/>
        <v>0</v>
      </c>
      <c r="Q895" s="64">
        <f t="shared" si="335"/>
        <v>0</v>
      </c>
      <c r="U895" s="64">
        <f t="shared" si="336"/>
        <v>0</v>
      </c>
      <c r="Y895" s="114">
        <f t="shared" si="337"/>
        <v>0</v>
      </c>
      <c r="AC895" s="64">
        <f t="shared" si="338"/>
        <v>0</v>
      </c>
      <c r="AE895" s="71"/>
      <c r="AF895" s="71"/>
      <c r="AG895" s="71">
        <f t="shared" si="339"/>
        <v>0</v>
      </c>
      <c r="AK895" s="64">
        <f t="shared" si="340"/>
        <v>0</v>
      </c>
      <c r="AM895" s="71"/>
      <c r="AN895" s="71"/>
      <c r="AO895" s="71">
        <f t="shared" si="341"/>
        <v>0</v>
      </c>
      <c r="AQ895" s="71"/>
      <c r="AR895" s="71"/>
      <c r="AS895" s="71">
        <f t="shared" si="342"/>
        <v>0</v>
      </c>
      <c r="AU895" s="71"/>
      <c r="AV895" s="71"/>
      <c r="AW895" s="71">
        <f t="shared" si="343"/>
        <v>0</v>
      </c>
      <c r="AY895" s="71"/>
      <c r="AZ895" s="71"/>
      <c r="BA895" s="71">
        <f t="shared" si="344"/>
        <v>0</v>
      </c>
      <c r="BI895" s="71"/>
      <c r="BJ895" s="71"/>
      <c r="BK895" s="71">
        <f t="shared" si="345"/>
        <v>0</v>
      </c>
      <c r="BM895" s="71"/>
      <c r="BN895" s="71"/>
      <c r="BO895" s="71">
        <f t="shared" si="346"/>
        <v>0</v>
      </c>
      <c r="BQ895" s="71"/>
      <c r="BR895" s="71"/>
      <c r="BS895" s="138">
        <f t="shared" si="347"/>
        <v>0</v>
      </c>
      <c r="BU895" s="71"/>
      <c r="BV895" s="71"/>
      <c r="BW895" s="71">
        <f t="shared" si="348"/>
        <v>0</v>
      </c>
      <c r="BZ895" s="71"/>
      <c r="CA895" s="71"/>
      <c r="CB895" s="71">
        <f t="shared" si="349"/>
        <v>0</v>
      </c>
      <c r="CD895" s="71"/>
      <c r="CE895" s="71"/>
      <c r="CF895" s="71">
        <f t="shared" si="350"/>
        <v>0</v>
      </c>
      <c r="CH895" s="71"/>
      <c r="CI895" s="71"/>
      <c r="CJ895" s="138">
        <f t="shared" si="351"/>
        <v>0</v>
      </c>
      <c r="CL895" s="71"/>
      <c r="CM895" s="71"/>
      <c r="CN895" s="71">
        <f t="shared" si="352"/>
        <v>0</v>
      </c>
      <c r="CS895" s="102">
        <f t="shared" si="353"/>
        <v>4.5293954747099576</v>
      </c>
      <c r="CT895" s="102">
        <f t="shared" si="354"/>
        <v>18.675175962423801</v>
      </c>
      <c r="CZ895" s="109" t="str">
        <f t="shared" si="355"/>
        <v>Basso</v>
      </c>
    </row>
    <row r="896" spans="9:104" x14ac:dyDescent="0.15">
      <c r="I896" s="64">
        <f t="shared" si="333"/>
        <v>76.99972307006928</v>
      </c>
      <c r="M896" s="64">
        <f t="shared" si="334"/>
        <v>0</v>
      </c>
      <c r="Q896" s="64">
        <f t="shared" si="335"/>
        <v>0</v>
      </c>
      <c r="U896" s="64">
        <f t="shared" si="336"/>
        <v>0</v>
      </c>
      <c r="Y896" s="114">
        <f t="shared" si="337"/>
        <v>0</v>
      </c>
      <c r="AC896" s="64">
        <f t="shared" si="338"/>
        <v>0</v>
      </c>
      <c r="AE896" s="71"/>
      <c r="AF896" s="71"/>
      <c r="AG896" s="71">
        <f t="shared" si="339"/>
        <v>0</v>
      </c>
      <c r="AK896" s="64">
        <f t="shared" si="340"/>
        <v>0</v>
      </c>
      <c r="AM896" s="71"/>
      <c r="AN896" s="71"/>
      <c r="AO896" s="71">
        <f t="shared" si="341"/>
        <v>0</v>
      </c>
      <c r="AQ896" s="71"/>
      <c r="AR896" s="71"/>
      <c r="AS896" s="71">
        <f t="shared" si="342"/>
        <v>0</v>
      </c>
      <c r="AU896" s="71"/>
      <c r="AV896" s="71"/>
      <c r="AW896" s="71">
        <f t="shared" si="343"/>
        <v>0</v>
      </c>
      <c r="AY896" s="71"/>
      <c r="AZ896" s="71"/>
      <c r="BA896" s="71">
        <f t="shared" si="344"/>
        <v>0</v>
      </c>
      <c r="BI896" s="71"/>
      <c r="BJ896" s="71"/>
      <c r="BK896" s="71">
        <f t="shared" si="345"/>
        <v>0</v>
      </c>
      <c r="BM896" s="71"/>
      <c r="BN896" s="71"/>
      <c r="BO896" s="71">
        <f t="shared" si="346"/>
        <v>0</v>
      </c>
      <c r="BQ896" s="71"/>
      <c r="BR896" s="71"/>
      <c r="BS896" s="138">
        <f t="shared" si="347"/>
        <v>0</v>
      </c>
      <c r="BU896" s="71"/>
      <c r="BV896" s="71"/>
      <c r="BW896" s="71">
        <f t="shared" si="348"/>
        <v>0</v>
      </c>
      <c r="BZ896" s="71"/>
      <c r="CA896" s="71"/>
      <c r="CB896" s="71">
        <f t="shared" si="349"/>
        <v>0</v>
      </c>
      <c r="CD896" s="71"/>
      <c r="CE896" s="71"/>
      <c r="CF896" s="71">
        <f t="shared" si="350"/>
        <v>0</v>
      </c>
      <c r="CH896" s="71"/>
      <c r="CI896" s="71"/>
      <c r="CJ896" s="138">
        <f t="shared" si="351"/>
        <v>0</v>
      </c>
      <c r="CL896" s="71"/>
      <c r="CM896" s="71"/>
      <c r="CN896" s="71">
        <f t="shared" si="352"/>
        <v>0</v>
      </c>
      <c r="CS896" s="102">
        <f t="shared" si="353"/>
        <v>4.5293954747099576</v>
      </c>
      <c r="CT896" s="102">
        <f t="shared" si="354"/>
        <v>18.675175962423801</v>
      </c>
      <c r="CZ896" s="109" t="str">
        <f t="shared" si="355"/>
        <v>Basso</v>
      </c>
    </row>
    <row r="897" spans="9:104" x14ac:dyDescent="0.15">
      <c r="I897" s="64">
        <f t="shared" si="333"/>
        <v>76.99972307006928</v>
      </c>
      <c r="M897" s="64">
        <f t="shared" si="334"/>
        <v>0</v>
      </c>
      <c r="Q897" s="64">
        <f t="shared" si="335"/>
        <v>0</v>
      </c>
      <c r="U897" s="64">
        <f t="shared" si="336"/>
        <v>0</v>
      </c>
      <c r="Y897" s="114">
        <f t="shared" si="337"/>
        <v>0</v>
      </c>
      <c r="AC897" s="64">
        <f t="shared" si="338"/>
        <v>0</v>
      </c>
      <c r="AE897" s="71"/>
      <c r="AF897" s="71"/>
      <c r="AG897" s="71">
        <f t="shared" si="339"/>
        <v>0</v>
      </c>
      <c r="AK897" s="64">
        <f t="shared" si="340"/>
        <v>0</v>
      </c>
      <c r="AM897" s="71"/>
      <c r="AN897" s="71"/>
      <c r="AO897" s="71">
        <f t="shared" si="341"/>
        <v>0</v>
      </c>
      <c r="AQ897" s="71"/>
      <c r="AR897" s="71"/>
      <c r="AS897" s="71">
        <f t="shared" si="342"/>
        <v>0</v>
      </c>
      <c r="AU897" s="71"/>
      <c r="AV897" s="71"/>
      <c r="AW897" s="71">
        <f t="shared" si="343"/>
        <v>0</v>
      </c>
      <c r="AY897" s="71"/>
      <c r="AZ897" s="71"/>
      <c r="BA897" s="71">
        <f t="shared" si="344"/>
        <v>0</v>
      </c>
      <c r="BI897" s="71"/>
      <c r="BJ897" s="71"/>
      <c r="BK897" s="71">
        <f t="shared" si="345"/>
        <v>0</v>
      </c>
      <c r="BM897" s="71"/>
      <c r="BN897" s="71"/>
      <c r="BO897" s="71">
        <f t="shared" si="346"/>
        <v>0</v>
      </c>
      <c r="BQ897" s="71"/>
      <c r="BR897" s="71"/>
      <c r="BS897" s="138">
        <f t="shared" si="347"/>
        <v>0</v>
      </c>
      <c r="BU897" s="71"/>
      <c r="BV897" s="71"/>
      <c r="BW897" s="71">
        <f t="shared" si="348"/>
        <v>0</v>
      </c>
      <c r="BZ897" s="71"/>
      <c r="CA897" s="71"/>
      <c r="CB897" s="71">
        <f t="shared" si="349"/>
        <v>0</v>
      </c>
      <c r="CD897" s="71"/>
      <c r="CE897" s="71"/>
      <c r="CF897" s="71">
        <f t="shared" si="350"/>
        <v>0</v>
      </c>
      <c r="CH897" s="71"/>
      <c r="CI897" s="71"/>
      <c r="CJ897" s="138">
        <f t="shared" si="351"/>
        <v>0</v>
      </c>
      <c r="CL897" s="71"/>
      <c r="CM897" s="71"/>
      <c r="CN897" s="71">
        <f t="shared" si="352"/>
        <v>0</v>
      </c>
      <c r="CS897" s="102">
        <f t="shared" si="353"/>
        <v>4.5293954747099576</v>
      </c>
      <c r="CT897" s="102">
        <f t="shared" si="354"/>
        <v>18.675175962423801</v>
      </c>
      <c r="CZ897" s="109" t="str">
        <f t="shared" si="355"/>
        <v>Basso</v>
      </c>
    </row>
    <row r="898" spans="9:104" x14ac:dyDescent="0.15">
      <c r="I898" s="64">
        <f t="shared" si="333"/>
        <v>76.99972307006928</v>
      </c>
      <c r="M898" s="64">
        <f t="shared" si="334"/>
        <v>0</v>
      </c>
      <c r="Q898" s="64">
        <f t="shared" si="335"/>
        <v>0</v>
      </c>
      <c r="U898" s="64">
        <f t="shared" si="336"/>
        <v>0</v>
      </c>
      <c r="Y898" s="114">
        <f t="shared" si="337"/>
        <v>0</v>
      </c>
      <c r="AC898" s="64">
        <f t="shared" si="338"/>
        <v>0</v>
      </c>
      <c r="AE898" s="71"/>
      <c r="AF898" s="71"/>
      <c r="AG898" s="71">
        <f t="shared" si="339"/>
        <v>0</v>
      </c>
      <c r="AK898" s="64">
        <f t="shared" si="340"/>
        <v>0</v>
      </c>
      <c r="AM898" s="71"/>
      <c r="AN898" s="71"/>
      <c r="AO898" s="71">
        <f t="shared" si="341"/>
        <v>0</v>
      </c>
      <c r="AQ898" s="71"/>
      <c r="AR898" s="71"/>
      <c r="AS898" s="71">
        <f t="shared" si="342"/>
        <v>0</v>
      </c>
      <c r="AU898" s="71"/>
      <c r="AV898" s="71"/>
      <c r="AW898" s="71">
        <f t="shared" si="343"/>
        <v>0</v>
      </c>
      <c r="AY898" s="71"/>
      <c r="AZ898" s="71"/>
      <c r="BA898" s="71">
        <f t="shared" si="344"/>
        <v>0</v>
      </c>
      <c r="BI898" s="71"/>
      <c r="BJ898" s="71"/>
      <c r="BK898" s="71">
        <f t="shared" si="345"/>
        <v>0</v>
      </c>
      <c r="BM898" s="71"/>
      <c r="BN898" s="71"/>
      <c r="BO898" s="71">
        <f t="shared" si="346"/>
        <v>0</v>
      </c>
      <c r="BQ898" s="71"/>
      <c r="BR898" s="71"/>
      <c r="BS898" s="138">
        <f t="shared" si="347"/>
        <v>0</v>
      </c>
      <c r="BU898" s="71"/>
      <c r="BV898" s="71"/>
      <c r="BW898" s="71">
        <f t="shared" si="348"/>
        <v>0</v>
      </c>
      <c r="BZ898" s="71"/>
      <c r="CA898" s="71"/>
      <c r="CB898" s="71">
        <f t="shared" si="349"/>
        <v>0</v>
      </c>
      <c r="CD898" s="71"/>
      <c r="CE898" s="71"/>
      <c r="CF898" s="71">
        <f t="shared" si="350"/>
        <v>0</v>
      </c>
      <c r="CH898" s="71"/>
      <c r="CI898" s="71"/>
      <c r="CJ898" s="138">
        <f t="shared" si="351"/>
        <v>0</v>
      </c>
      <c r="CL898" s="71"/>
      <c r="CM898" s="71"/>
      <c r="CN898" s="71">
        <f t="shared" si="352"/>
        <v>0</v>
      </c>
      <c r="CS898" s="102">
        <f t="shared" si="353"/>
        <v>4.5293954747099576</v>
      </c>
      <c r="CT898" s="102">
        <f t="shared" si="354"/>
        <v>18.675175962423801</v>
      </c>
      <c r="CZ898" s="109" t="str">
        <f t="shared" si="355"/>
        <v>Basso</v>
      </c>
    </row>
    <row r="899" spans="9:104" x14ac:dyDescent="0.15">
      <c r="I899" s="64">
        <f t="shared" ref="I899:I962" si="356">100 + ((F899 - AVERAGE(F:F)) / STDEV(F:F)) * 10</f>
        <v>76.99972307006928</v>
      </c>
      <c r="M899" s="64">
        <f t="shared" ref="M899:M962" si="357">J899/2</f>
        <v>0</v>
      </c>
      <c r="Q899" s="64">
        <f t="shared" ref="Q899:Q962" si="358">N899/2</f>
        <v>0</v>
      </c>
      <c r="U899" s="64">
        <f t="shared" ref="U899:U962" si="359">R899/3</f>
        <v>0</v>
      </c>
      <c r="Y899" s="114">
        <f t="shared" ref="Y899:Y962" si="360">V899/5</f>
        <v>0</v>
      </c>
      <c r="AC899" s="64">
        <f t="shared" ref="AC899:AC962" si="361">Z899/3</f>
        <v>0</v>
      </c>
      <c r="AE899" s="71"/>
      <c r="AF899" s="71"/>
      <c r="AG899" s="71">
        <f t="shared" ref="AG899:AG962" si="362">AD899/3</f>
        <v>0</v>
      </c>
      <c r="AK899" s="64">
        <f t="shared" ref="AK899:AK962" si="363">AH899/3</f>
        <v>0</v>
      </c>
      <c r="AM899" s="71"/>
      <c r="AN899" s="71"/>
      <c r="AO899" s="71">
        <f t="shared" ref="AO899:AO962" si="364">AL899/4</f>
        <v>0</v>
      </c>
      <c r="AQ899" s="71"/>
      <c r="AR899" s="71"/>
      <c r="AS899" s="71">
        <f t="shared" ref="AS899:AS962" si="365">AP899/3</f>
        <v>0</v>
      </c>
      <c r="AU899" s="71"/>
      <c r="AV899" s="71"/>
      <c r="AW899" s="71">
        <f t="shared" ref="AW899:AW962" si="366">AT899/3</f>
        <v>0</v>
      </c>
      <c r="AY899" s="71"/>
      <c r="AZ899" s="71"/>
      <c r="BA899" s="71">
        <f t="shared" ref="BA899:BA962" si="367">AX899/2</f>
        <v>0</v>
      </c>
      <c r="BI899" s="71"/>
      <c r="BJ899" s="71"/>
      <c r="BK899" s="71">
        <f t="shared" ref="BK899:BK962" si="368">BH899/2</f>
        <v>0</v>
      </c>
      <c r="BM899" s="71"/>
      <c r="BN899" s="71"/>
      <c r="BO899" s="71">
        <f t="shared" ref="BO899:BO962" si="369">BL899/3</f>
        <v>0</v>
      </c>
      <c r="BQ899" s="71"/>
      <c r="BR899" s="71"/>
      <c r="BS899" s="138">
        <f t="shared" ref="BS899:BS962" si="370">BP899/3</f>
        <v>0</v>
      </c>
      <c r="BU899" s="71"/>
      <c r="BV899" s="71"/>
      <c r="BW899" s="71">
        <f t="shared" ref="BW899:BW962" si="371">BT899/3</f>
        <v>0</v>
      </c>
      <c r="BZ899" s="71"/>
      <c r="CA899" s="71"/>
      <c r="CB899" s="71">
        <f t="shared" ref="CB899:CB962" si="372">BY899/3</f>
        <v>0</v>
      </c>
      <c r="CD899" s="71"/>
      <c r="CE899" s="71"/>
      <c r="CF899" s="71">
        <f t="shared" ref="CF899:CF962" si="373">CC899/3</f>
        <v>0</v>
      </c>
      <c r="CH899" s="71"/>
      <c r="CI899" s="71"/>
      <c r="CJ899" s="138">
        <f t="shared" ref="CJ899:CJ962" si="374">CG899/2</f>
        <v>0</v>
      </c>
      <c r="CL899" s="71"/>
      <c r="CM899" s="71"/>
      <c r="CN899" s="71">
        <f t="shared" ref="CN899:CN962" si="375">CK899/3</f>
        <v>0</v>
      </c>
      <c r="CS899" s="102">
        <f t="shared" ref="CS899:CS962" si="376">AVERAGE(I899, M899, Q899, U899, AC899, AG899, AK899, AO899, AS899, AW899, BA899, BK899, BO899, BW899, CB899, CF899, CN899)</f>
        <v>4.5293954747099576</v>
      </c>
      <c r="CT899" s="102">
        <f t="shared" ref="CT899:CT962" si="377">STDEV(I899, M899, Q899, U899, AC899, AG899, AK899, AO899, AS899, AW899, BA899, BK899, BO899, BW899, CB899, CF899, CN899)</f>
        <v>18.675175962423801</v>
      </c>
      <c r="CZ899" s="109" t="str">
        <f t="shared" ref="CZ899:CZ962" si="378">IF(CV899&lt;95.9069994, "Basso", IF(CV899&lt;99.02062343, "Medio-Basso", IF(CV899&lt;103.58108, "Medio-Alto", "Alto")))</f>
        <v>Basso</v>
      </c>
    </row>
    <row r="900" spans="9:104" x14ac:dyDescent="0.15">
      <c r="I900" s="64">
        <f t="shared" si="356"/>
        <v>76.99972307006928</v>
      </c>
      <c r="M900" s="64">
        <f t="shared" si="357"/>
        <v>0</v>
      </c>
      <c r="Q900" s="64">
        <f t="shared" si="358"/>
        <v>0</v>
      </c>
      <c r="U900" s="64">
        <f t="shared" si="359"/>
        <v>0</v>
      </c>
      <c r="Y900" s="114">
        <f t="shared" si="360"/>
        <v>0</v>
      </c>
      <c r="AC900" s="64">
        <f t="shared" si="361"/>
        <v>0</v>
      </c>
      <c r="AE900" s="71"/>
      <c r="AF900" s="71"/>
      <c r="AG900" s="71">
        <f t="shared" si="362"/>
        <v>0</v>
      </c>
      <c r="AK900" s="64">
        <f t="shared" si="363"/>
        <v>0</v>
      </c>
      <c r="AM900" s="71"/>
      <c r="AN900" s="71"/>
      <c r="AO900" s="71">
        <f t="shared" si="364"/>
        <v>0</v>
      </c>
      <c r="AQ900" s="71"/>
      <c r="AR900" s="71"/>
      <c r="AS900" s="71">
        <f t="shared" si="365"/>
        <v>0</v>
      </c>
      <c r="AU900" s="71"/>
      <c r="AV900" s="71"/>
      <c r="AW900" s="71">
        <f t="shared" si="366"/>
        <v>0</v>
      </c>
      <c r="AY900" s="71"/>
      <c r="AZ900" s="71"/>
      <c r="BA900" s="71">
        <f t="shared" si="367"/>
        <v>0</v>
      </c>
      <c r="BI900" s="71"/>
      <c r="BJ900" s="71"/>
      <c r="BK900" s="71">
        <f t="shared" si="368"/>
        <v>0</v>
      </c>
      <c r="BM900" s="71"/>
      <c r="BN900" s="71"/>
      <c r="BO900" s="71">
        <f t="shared" si="369"/>
        <v>0</v>
      </c>
      <c r="BQ900" s="71"/>
      <c r="BR900" s="71"/>
      <c r="BS900" s="138">
        <f t="shared" si="370"/>
        <v>0</v>
      </c>
      <c r="BU900" s="71"/>
      <c r="BV900" s="71"/>
      <c r="BW900" s="71">
        <f t="shared" si="371"/>
        <v>0</v>
      </c>
      <c r="BZ900" s="71"/>
      <c r="CA900" s="71"/>
      <c r="CB900" s="71">
        <f t="shared" si="372"/>
        <v>0</v>
      </c>
      <c r="CD900" s="71"/>
      <c r="CE900" s="71"/>
      <c r="CF900" s="71">
        <f t="shared" si="373"/>
        <v>0</v>
      </c>
      <c r="CH900" s="71"/>
      <c r="CI900" s="71"/>
      <c r="CJ900" s="138">
        <f t="shared" si="374"/>
        <v>0</v>
      </c>
      <c r="CL900" s="71"/>
      <c r="CM900" s="71"/>
      <c r="CN900" s="71">
        <f t="shared" si="375"/>
        <v>0</v>
      </c>
      <c r="CS900" s="102">
        <f t="shared" si="376"/>
        <v>4.5293954747099576</v>
      </c>
      <c r="CT900" s="102">
        <f t="shared" si="377"/>
        <v>18.675175962423801</v>
      </c>
      <c r="CZ900" s="109" t="str">
        <f t="shared" si="378"/>
        <v>Basso</v>
      </c>
    </row>
    <row r="901" spans="9:104" x14ac:dyDescent="0.15">
      <c r="I901" s="64">
        <f t="shared" si="356"/>
        <v>76.99972307006928</v>
      </c>
      <c r="M901" s="64">
        <f t="shared" si="357"/>
        <v>0</v>
      </c>
      <c r="Q901" s="64">
        <f t="shared" si="358"/>
        <v>0</v>
      </c>
      <c r="U901" s="64">
        <f t="shared" si="359"/>
        <v>0</v>
      </c>
      <c r="Y901" s="114">
        <f t="shared" si="360"/>
        <v>0</v>
      </c>
      <c r="AC901" s="64">
        <f t="shared" si="361"/>
        <v>0</v>
      </c>
      <c r="AE901" s="71"/>
      <c r="AF901" s="71"/>
      <c r="AG901" s="71">
        <f t="shared" si="362"/>
        <v>0</v>
      </c>
      <c r="AK901" s="64">
        <f t="shared" si="363"/>
        <v>0</v>
      </c>
      <c r="AM901" s="71"/>
      <c r="AN901" s="71"/>
      <c r="AO901" s="71">
        <f t="shared" si="364"/>
        <v>0</v>
      </c>
      <c r="AQ901" s="71"/>
      <c r="AR901" s="71"/>
      <c r="AS901" s="71">
        <f t="shared" si="365"/>
        <v>0</v>
      </c>
      <c r="AU901" s="71"/>
      <c r="AV901" s="71"/>
      <c r="AW901" s="71">
        <f t="shared" si="366"/>
        <v>0</v>
      </c>
      <c r="AY901" s="71"/>
      <c r="AZ901" s="71"/>
      <c r="BA901" s="71">
        <f t="shared" si="367"/>
        <v>0</v>
      </c>
      <c r="BI901" s="71"/>
      <c r="BJ901" s="71"/>
      <c r="BK901" s="71">
        <f t="shared" si="368"/>
        <v>0</v>
      </c>
      <c r="BM901" s="71"/>
      <c r="BN901" s="71"/>
      <c r="BO901" s="71">
        <f t="shared" si="369"/>
        <v>0</v>
      </c>
      <c r="BQ901" s="71"/>
      <c r="BR901" s="71"/>
      <c r="BS901" s="138">
        <f t="shared" si="370"/>
        <v>0</v>
      </c>
      <c r="BU901" s="71"/>
      <c r="BV901" s="71"/>
      <c r="BW901" s="71">
        <f t="shared" si="371"/>
        <v>0</v>
      </c>
      <c r="BZ901" s="71"/>
      <c r="CA901" s="71"/>
      <c r="CB901" s="71">
        <f t="shared" si="372"/>
        <v>0</v>
      </c>
      <c r="CD901" s="71"/>
      <c r="CE901" s="71"/>
      <c r="CF901" s="71">
        <f t="shared" si="373"/>
        <v>0</v>
      </c>
      <c r="CH901" s="71"/>
      <c r="CI901" s="71"/>
      <c r="CJ901" s="138">
        <f t="shared" si="374"/>
        <v>0</v>
      </c>
      <c r="CL901" s="71"/>
      <c r="CM901" s="71"/>
      <c r="CN901" s="71">
        <f t="shared" si="375"/>
        <v>0</v>
      </c>
      <c r="CS901" s="102">
        <f t="shared" si="376"/>
        <v>4.5293954747099576</v>
      </c>
      <c r="CT901" s="102">
        <f t="shared" si="377"/>
        <v>18.675175962423801</v>
      </c>
      <c r="CZ901" s="109" t="str">
        <f t="shared" si="378"/>
        <v>Basso</v>
      </c>
    </row>
    <row r="902" spans="9:104" x14ac:dyDescent="0.15">
      <c r="I902" s="64">
        <f t="shared" si="356"/>
        <v>76.99972307006928</v>
      </c>
      <c r="M902" s="64">
        <f t="shared" si="357"/>
        <v>0</v>
      </c>
      <c r="Q902" s="64">
        <f t="shared" si="358"/>
        <v>0</v>
      </c>
      <c r="U902" s="64">
        <f t="shared" si="359"/>
        <v>0</v>
      </c>
      <c r="Y902" s="114">
        <f t="shared" si="360"/>
        <v>0</v>
      </c>
      <c r="AC902" s="64">
        <f t="shared" si="361"/>
        <v>0</v>
      </c>
      <c r="AE902" s="71"/>
      <c r="AF902" s="71"/>
      <c r="AG902" s="71">
        <f t="shared" si="362"/>
        <v>0</v>
      </c>
      <c r="AK902" s="64">
        <f t="shared" si="363"/>
        <v>0</v>
      </c>
      <c r="AM902" s="71"/>
      <c r="AN902" s="71"/>
      <c r="AO902" s="71">
        <f t="shared" si="364"/>
        <v>0</v>
      </c>
      <c r="AQ902" s="71"/>
      <c r="AR902" s="71"/>
      <c r="AS902" s="71">
        <f t="shared" si="365"/>
        <v>0</v>
      </c>
      <c r="AU902" s="71"/>
      <c r="AV902" s="71"/>
      <c r="AW902" s="71">
        <f t="shared" si="366"/>
        <v>0</v>
      </c>
      <c r="AY902" s="71"/>
      <c r="AZ902" s="71"/>
      <c r="BA902" s="71">
        <f t="shared" si="367"/>
        <v>0</v>
      </c>
      <c r="BI902" s="71"/>
      <c r="BJ902" s="71"/>
      <c r="BK902" s="71">
        <f t="shared" si="368"/>
        <v>0</v>
      </c>
      <c r="BM902" s="71"/>
      <c r="BN902" s="71"/>
      <c r="BO902" s="71">
        <f t="shared" si="369"/>
        <v>0</v>
      </c>
      <c r="BQ902" s="71"/>
      <c r="BR902" s="71"/>
      <c r="BS902" s="138">
        <f t="shared" si="370"/>
        <v>0</v>
      </c>
      <c r="BU902" s="71"/>
      <c r="BV902" s="71"/>
      <c r="BW902" s="71">
        <f t="shared" si="371"/>
        <v>0</v>
      </c>
      <c r="BZ902" s="71"/>
      <c r="CA902" s="71"/>
      <c r="CB902" s="71">
        <f t="shared" si="372"/>
        <v>0</v>
      </c>
      <c r="CD902" s="71"/>
      <c r="CE902" s="71"/>
      <c r="CF902" s="71">
        <f t="shared" si="373"/>
        <v>0</v>
      </c>
      <c r="CH902" s="71"/>
      <c r="CI902" s="71"/>
      <c r="CJ902" s="138">
        <f t="shared" si="374"/>
        <v>0</v>
      </c>
      <c r="CL902" s="71"/>
      <c r="CM902" s="71"/>
      <c r="CN902" s="71">
        <f t="shared" si="375"/>
        <v>0</v>
      </c>
      <c r="CS902" s="102">
        <f t="shared" si="376"/>
        <v>4.5293954747099576</v>
      </c>
      <c r="CT902" s="102">
        <f t="shared" si="377"/>
        <v>18.675175962423801</v>
      </c>
      <c r="CZ902" s="109" t="str">
        <f t="shared" si="378"/>
        <v>Basso</v>
      </c>
    </row>
    <row r="903" spans="9:104" x14ac:dyDescent="0.15">
      <c r="I903" s="64">
        <f t="shared" si="356"/>
        <v>76.99972307006928</v>
      </c>
      <c r="M903" s="64">
        <f t="shared" si="357"/>
        <v>0</v>
      </c>
      <c r="Q903" s="64">
        <f t="shared" si="358"/>
        <v>0</v>
      </c>
      <c r="U903" s="64">
        <f t="shared" si="359"/>
        <v>0</v>
      </c>
      <c r="Y903" s="114">
        <f t="shared" si="360"/>
        <v>0</v>
      </c>
      <c r="AC903" s="64">
        <f t="shared" si="361"/>
        <v>0</v>
      </c>
      <c r="AE903" s="71"/>
      <c r="AF903" s="71"/>
      <c r="AG903" s="71">
        <f t="shared" si="362"/>
        <v>0</v>
      </c>
      <c r="AK903" s="64">
        <f t="shared" si="363"/>
        <v>0</v>
      </c>
      <c r="AM903" s="71"/>
      <c r="AN903" s="71"/>
      <c r="AO903" s="71">
        <f t="shared" si="364"/>
        <v>0</v>
      </c>
      <c r="AQ903" s="71"/>
      <c r="AR903" s="71"/>
      <c r="AS903" s="71">
        <f t="shared" si="365"/>
        <v>0</v>
      </c>
      <c r="AU903" s="71"/>
      <c r="AV903" s="71"/>
      <c r="AW903" s="71">
        <f t="shared" si="366"/>
        <v>0</v>
      </c>
      <c r="AY903" s="71"/>
      <c r="AZ903" s="71"/>
      <c r="BA903" s="71">
        <f t="shared" si="367"/>
        <v>0</v>
      </c>
      <c r="BI903" s="71"/>
      <c r="BJ903" s="71"/>
      <c r="BK903" s="71">
        <f t="shared" si="368"/>
        <v>0</v>
      </c>
      <c r="BM903" s="71"/>
      <c r="BN903" s="71"/>
      <c r="BO903" s="71">
        <f t="shared" si="369"/>
        <v>0</v>
      </c>
      <c r="BQ903" s="71"/>
      <c r="BR903" s="71"/>
      <c r="BS903" s="138">
        <f t="shared" si="370"/>
        <v>0</v>
      </c>
      <c r="BU903" s="71"/>
      <c r="BV903" s="71"/>
      <c r="BW903" s="71">
        <f t="shared" si="371"/>
        <v>0</v>
      </c>
      <c r="BZ903" s="71"/>
      <c r="CA903" s="71"/>
      <c r="CB903" s="71">
        <f t="shared" si="372"/>
        <v>0</v>
      </c>
      <c r="CD903" s="71"/>
      <c r="CE903" s="71"/>
      <c r="CF903" s="71">
        <f t="shared" si="373"/>
        <v>0</v>
      </c>
      <c r="CH903" s="71"/>
      <c r="CI903" s="71"/>
      <c r="CJ903" s="138">
        <f t="shared" si="374"/>
        <v>0</v>
      </c>
      <c r="CL903" s="71"/>
      <c r="CM903" s="71"/>
      <c r="CN903" s="71">
        <f t="shared" si="375"/>
        <v>0</v>
      </c>
      <c r="CS903" s="102">
        <f t="shared" si="376"/>
        <v>4.5293954747099576</v>
      </c>
      <c r="CT903" s="102">
        <f t="shared" si="377"/>
        <v>18.675175962423801</v>
      </c>
      <c r="CZ903" s="109" t="str">
        <f t="shared" si="378"/>
        <v>Basso</v>
      </c>
    </row>
    <row r="904" spans="9:104" x14ac:dyDescent="0.15">
      <c r="I904" s="64">
        <f t="shared" si="356"/>
        <v>76.99972307006928</v>
      </c>
      <c r="M904" s="64">
        <f t="shared" si="357"/>
        <v>0</v>
      </c>
      <c r="Q904" s="64">
        <f t="shared" si="358"/>
        <v>0</v>
      </c>
      <c r="U904" s="64">
        <f t="shared" si="359"/>
        <v>0</v>
      </c>
      <c r="Y904" s="114">
        <f t="shared" si="360"/>
        <v>0</v>
      </c>
      <c r="AC904" s="64">
        <f t="shared" si="361"/>
        <v>0</v>
      </c>
      <c r="AE904" s="71"/>
      <c r="AF904" s="71"/>
      <c r="AG904" s="71">
        <f t="shared" si="362"/>
        <v>0</v>
      </c>
      <c r="AK904" s="64">
        <f t="shared" si="363"/>
        <v>0</v>
      </c>
      <c r="AM904" s="71"/>
      <c r="AN904" s="71"/>
      <c r="AO904" s="71">
        <f t="shared" si="364"/>
        <v>0</v>
      </c>
      <c r="AQ904" s="71"/>
      <c r="AR904" s="71"/>
      <c r="AS904" s="71">
        <f t="shared" si="365"/>
        <v>0</v>
      </c>
      <c r="AU904" s="71"/>
      <c r="AV904" s="71"/>
      <c r="AW904" s="71">
        <f t="shared" si="366"/>
        <v>0</v>
      </c>
      <c r="AY904" s="71"/>
      <c r="AZ904" s="71"/>
      <c r="BA904" s="71">
        <f t="shared" si="367"/>
        <v>0</v>
      </c>
      <c r="BI904" s="71"/>
      <c r="BJ904" s="71"/>
      <c r="BK904" s="71">
        <f t="shared" si="368"/>
        <v>0</v>
      </c>
      <c r="BM904" s="71"/>
      <c r="BN904" s="71"/>
      <c r="BO904" s="71">
        <f t="shared" si="369"/>
        <v>0</v>
      </c>
      <c r="BQ904" s="71"/>
      <c r="BR904" s="71"/>
      <c r="BS904" s="138">
        <f t="shared" si="370"/>
        <v>0</v>
      </c>
      <c r="BU904" s="71"/>
      <c r="BV904" s="71"/>
      <c r="BW904" s="71">
        <f t="shared" si="371"/>
        <v>0</v>
      </c>
      <c r="BZ904" s="71"/>
      <c r="CA904" s="71"/>
      <c r="CB904" s="71">
        <f t="shared" si="372"/>
        <v>0</v>
      </c>
      <c r="CD904" s="71"/>
      <c r="CE904" s="71"/>
      <c r="CF904" s="71">
        <f t="shared" si="373"/>
        <v>0</v>
      </c>
      <c r="CH904" s="71"/>
      <c r="CI904" s="71"/>
      <c r="CJ904" s="138">
        <f t="shared" si="374"/>
        <v>0</v>
      </c>
      <c r="CL904" s="71"/>
      <c r="CM904" s="71"/>
      <c r="CN904" s="71">
        <f t="shared" si="375"/>
        <v>0</v>
      </c>
      <c r="CS904" s="102">
        <f t="shared" si="376"/>
        <v>4.5293954747099576</v>
      </c>
      <c r="CT904" s="102">
        <f t="shared" si="377"/>
        <v>18.675175962423801</v>
      </c>
      <c r="CZ904" s="109" t="str">
        <f t="shared" si="378"/>
        <v>Basso</v>
      </c>
    </row>
    <row r="905" spans="9:104" x14ac:dyDescent="0.15">
      <c r="I905" s="64">
        <f t="shared" si="356"/>
        <v>76.99972307006928</v>
      </c>
      <c r="M905" s="64">
        <f t="shared" si="357"/>
        <v>0</v>
      </c>
      <c r="Q905" s="64">
        <f t="shared" si="358"/>
        <v>0</v>
      </c>
      <c r="U905" s="64">
        <f t="shared" si="359"/>
        <v>0</v>
      </c>
      <c r="Y905" s="114">
        <f t="shared" si="360"/>
        <v>0</v>
      </c>
      <c r="AC905" s="64">
        <f t="shared" si="361"/>
        <v>0</v>
      </c>
      <c r="AE905" s="71"/>
      <c r="AF905" s="71"/>
      <c r="AG905" s="71">
        <f t="shared" si="362"/>
        <v>0</v>
      </c>
      <c r="AK905" s="64">
        <f t="shared" si="363"/>
        <v>0</v>
      </c>
      <c r="AM905" s="71"/>
      <c r="AN905" s="71"/>
      <c r="AO905" s="71">
        <f t="shared" si="364"/>
        <v>0</v>
      </c>
      <c r="AQ905" s="71"/>
      <c r="AR905" s="71"/>
      <c r="AS905" s="71">
        <f t="shared" si="365"/>
        <v>0</v>
      </c>
      <c r="AU905" s="71"/>
      <c r="AV905" s="71"/>
      <c r="AW905" s="71">
        <f t="shared" si="366"/>
        <v>0</v>
      </c>
      <c r="AY905" s="71"/>
      <c r="AZ905" s="71"/>
      <c r="BA905" s="71">
        <f t="shared" si="367"/>
        <v>0</v>
      </c>
      <c r="BI905" s="71"/>
      <c r="BJ905" s="71"/>
      <c r="BK905" s="71">
        <f t="shared" si="368"/>
        <v>0</v>
      </c>
      <c r="BM905" s="71"/>
      <c r="BN905" s="71"/>
      <c r="BO905" s="71">
        <f t="shared" si="369"/>
        <v>0</v>
      </c>
      <c r="BQ905" s="71"/>
      <c r="BR905" s="71"/>
      <c r="BS905" s="138">
        <f t="shared" si="370"/>
        <v>0</v>
      </c>
      <c r="BU905" s="71"/>
      <c r="BV905" s="71"/>
      <c r="BW905" s="71">
        <f t="shared" si="371"/>
        <v>0</v>
      </c>
      <c r="BZ905" s="71"/>
      <c r="CA905" s="71"/>
      <c r="CB905" s="71">
        <f t="shared" si="372"/>
        <v>0</v>
      </c>
      <c r="CD905" s="71"/>
      <c r="CE905" s="71"/>
      <c r="CF905" s="71">
        <f t="shared" si="373"/>
        <v>0</v>
      </c>
      <c r="CH905" s="71"/>
      <c r="CI905" s="71"/>
      <c r="CJ905" s="138">
        <f t="shared" si="374"/>
        <v>0</v>
      </c>
      <c r="CL905" s="71"/>
      <c r="CM905" s="71"/>
      <c r="CN905" s="71">
        <f t="shared" si="375"/>
        <v>0</v>
      </c>
      <c r="CS905" s="102">
        <f t="shared" si="376"/>
        <v>4.5293954747099576</v>
      </c>
      <c r="CT905" s="102">
        <f t="shared" si="377"/>
        <v>18.675175962423801</v>
      </c>
      <c r="CZ905" s="109" t="str">
        <f t="shared" si="378"/>
        <v>Basso</v>
      </c>
    </row>
    <row r="906" spans="9:104" x14ac:dyDescent="0.15">
      <c r="I906" s="64">
        <f t="shared" si="356"/>
        <v>76.99972307006928</v>
      </c>
      <c r="M906" s="64">
        <f t="shared" si="357"/>
        <v>0</v>
      </c>
      <c r="Q906" s="64">
        <f t="shared" si="358"/>
        <v>0</v>
      </c>
      <c r="U906" s="64">
        <f t="shared" si="359"/>
        <v>0</v>
      </c>
      <c r="Y906" s="114">
        <f t="shared" si="360"/>
        <v>0</v>
      </c>
      <c r="AC906" s="64">
        <f t="shared" si="361"/>
        <v>0</v>
      </c>
      <c r="AE906" s="71"/>
      <c r="AF906" s="71"/>
      <c r="AG906" s="71">
        <f t="shared" si="362"/>
        <v>0</v>
      </c>
      <c r="AK906" s="64">
        <f t="shared" si="363"/>
        <v>0</v>
      </c>
      <c r="AM906" s="71"/>
      <c r="AN906" s="71"/>
      <c r="AO906" s="71">
        <f t="shared" si="364"/>
        <v>0</v>
      </c>
      <c r="AQ906" s="71"/>
      <c r="AR906" s="71"/>
      <c r="AS906" s="71">
        <f t="shared" si="365"/>
        <v>0</v>
      </c>
      <c r="AU906" s="71"/>
      <c r="AV906" s="71"/>
      <c r="AW906" s="71">
        <f t="shared" si="366"/>
        <v>0</v>
      </c>
      <c r="AY906" s="71"/>
      <c r="AZ906" s="71"/>
      <c r="BA906" s="71">
        <f t="shared" si="367"/>
        <v>0</v>
      </c>
      <c r="BI906" s="71"/>
      <c r="BJ906" s="71"/>
      <c r="BK906" s="71">
        <f t="shared" si="368"/>
        <v>0</v>
      </c>
      <c r="BM906" s="71"/>
      <c r="BN906" s="71"/>
      <c r="BO906" s="71">
        <f t="shared" si="369"/>
        <v>0</v>
      </c>
      <c r="BQ906" s="71"/>
      <c r="BR906" s="71"/>
      <c r="BS906" s="138">
        <f t="shared" si="370"/>
        <v>0</v>
      </c>
      <c r="BU906" s="71"/>
      <c r="BV906" s="71"/>
      <c r="BW906" s="71">
        <f t="shared" si="371"/>
        <v>0</v>
      </c>
      <c r="BZ906" s="71"/>
      <c r="CA906" s="71"/>
      <c r="CB906" s="71">
        <f t="shared" si="372"/>
        <v>0</v>
      </c>
      <c r="CD906" s="71"/>
      <c r="CE906" s="71"/>
      <c r="CF906" s="71">
        <f t="shared" si="373"/>
        <v>0</v>
      </c>
      <c r="CH906" s="71"/>
      <c r="CI906" s="71"/>
      <c r="CJ906" s="138">
        <f t="shared" si="374"/>
        <v>0</v>
      </c>
      <c r="CL906" s="71"/>
      <c r="CM906" s="71"/>
      <c r="CN906" s="71">
        <f t="shared" si="375"/>
        <v>0</v>
      </c>
      <c r="CS906" s="102">
        <f t="shared" si="376"/>
        <v>4.5293954747099576</v>
      </c>
      <c r="CT906" s="102">
        <f t="shared" si="377"/>
        <v>18.675175962423801</v>
      </c>
      <c r="CZ906" s="109" t="str">
        <f t="shared" si="378"/>
        <v>Basso</v>
      </c>
    </row>
    <row r="907" spans="9:104" x14ac:dyDescent="0.15">
      <c r="I907" s="64">
        <f t="shared" si="356"/>
        <v>76.99972307006928</v>
      </c>
      <c r="M907" s="64">
        <f t="shared" si="357"/>
        <v>0</v>
      </c>
      <c r="Q907" s="64">
        <f t="shared" si="358"/>
        <v>0</v>
      </c>
      <c r="U907" s="64">
        <f t="shared" si="359"/>
        <v>0</v>
      </c>
      <c r="Y907" s="114">
        <f t="shared" si="360"/>
        <v>0</v>
      </c>
      <c r="AC907" s="64">
        <f t="shared" si="361"/>
        <v>0</v>
      </c>
      <c r="AE907" s="71"/>
      <c r="AF907" s="71"/>
      <c r="AG907" s="71">
        <f t="shared" si="362"/>
        <v>0</v>
      </c>
      <c r="AK907" s="64">
        <f t="shared" si="363"/>
        <v>0</v>
      </c>
      <c r="AM907" s="71"/>
      <c r="AN907" s="71"/>
      <c r="AO907" s="71">
        <f t="shared" si="364"/>
        <v>0</v>
      </c>
      <c r="AQ907" s="71"/>
      <c r="AR907" s="71"/>
      <c r="AS907" s="71">
        <f t="shared" si="365"/>
        <v>0</v>
      </c>
      <c r="AU907" s="71"/>
      <c r="AV907" s="71"/>
      <c r="AW907" s="71">
        <f t="shared" si="366"/>
        <v>0</v>
      </c>
      <c r="AY907" s="71"/>
      <c r="AZ907" s="71"/>
      <c r="BA907" s="71">
        <f t="shared" si="367"/>
        <v>0</v>
      </c>
      <c r="BI907" s="71"/>
      <c r="BJ907" s="71"/>
      <c r="BK907" s="71">
        <f t="shared" si="368"/>
        <v>0</v>
      </c>
      <c r="BM907" s="71"/>
      <c r="BN907" s="71"/>
      <c r="BO907" s="71">
        <f t="shared" si="369"/>
        <v>0</v>
      </c>
      <c r="BQ907" s="71"/>
      <c r="BR907" s="71"/>
      <c r="BS907" s="138">
        <f t="shared" si="370"/>
        <v>0</v>
      </c>
      <c r="BU907" s="71"/>
      <c r="BV907" s="71"/>
      <c r="BW907" s="71">
        <f t="shared" si="371"/>
        <v>0</v>
      </c>
      <c r="BZ907" s="71"/>
      <c r="CA907" s="71"/>
      <c r="CB907" s="71">
        <f t="shared" si="372"/>
        <v>0</v>
      </c>
      <c r="CD907" s="71"/>
      <c r="CE907" s="71"/>
      <c r="CF907" s="71">
        <f t="shared" si="373"/>
        <v>0</v>
      </c>
      <c r="CH907" s="71"/>
      <c r="CI907" s="71"/>
      <c r="CJ907" s="138">
        <f t="shared" si="374"/>
        <v>0</v>
      </c>
      <c r="CL907" s="71"/>
      <c r="CM907" s="71"/>
      <c r="CN907" s="71">
        <f t="shared" si="375"/>
        <v>0</v>
      </c>
      <c r="CS907" s="102">
        <f t="shared" si="376"/>
        <v>4.5293954747099576</v>
      </c>
      <c r="CT907" s="102">
        <f t="shared" si="377"/>
        <v>18.675175962423801</v>
      </c>
      <c r="CZ907" s="109" t="str">
        <f t="shared" si="378"/>
        <v>Basso</v>
      </c>
    </row>
    <row r="908" spans="9:104" x14ac:dyDescent="0.15">
      <c r="I908" s="64">
        <f t="shared" si="356"/>
        <v>76.99972307006928</v>
      </c>
      <c r="M908" s="64">
        <f t="shared" si="357"/>
        <v>0</v>
      </c>
      <c r="Q908" s="64">
        <f t="shared" si="358"/>
        <v>0</v>
      </c>
      <c r="U908" s="64">
        <f t="shared" si="359"/>
        <v>0</v>
      </c>
      <c r="Y908" s="114">
        <f t="shared" si="360"/>
        <v>0</v>
      </c>
      <c r="AC908" s="64">
        <f t="shared" si="361"/>
        <v>0</v>
      </c>
      <c r="AE908" s="71"/>
      <c r="AF908" s="71"/>
      <c r="AG908" s="71">
        <f t="shared" si="362"/>
        <v>0</v>
      </c>
      <c r="AK908" s="64">
        <f t="shared" si="363"/>
        <v>0</v>
      </c>
      <c r="AM908" s="71"/>
      <c r="AN908" s="71"/>
      <c r="AO908" s="71">
        <f t="shared" si="364"/>
        <v>0</v>
      </c>
      <c r="AQ908" s="71"/>
      <c r="AR908" s="71"/>
      <c r="AS908" s="71">
        <f t="shared" si="365"/>
        <v>0</v>
      </c>
      <c r="AU908" s="71"/>
      <c r="AV908" s="71"/>
      <c r="AW908" s="71">
        <f t="shared" si="366"/>
        <v>0</v>
      </c>
      <c r="AY908" s="71"/>
      <c r="AZ908" s="71"/>
      <c r="BA908" s="71">
        <f t="shared" si="367"/>
        <v>0</v>
      </c>
      <c r="BI908" s="71"/>
      <c r="BJ908" s="71"/>
      <c r="BK908" s="71">
        <f t="shared" si="368"/>
        <v>0</v>
      </c>
      <c r="BM908" s="71"/>
      <c r="BN908" s="71"/>
      <c r="BO908" s="71">
        <f t="shared" si="369"/>
        <v>0</v>
      </c>
      <c r="BQ908" s="71"/>
      <c r="BR908" s="71"/>
      <c r="BS908" s="138">
        <f t="shared" si="370"/>
        <v>0</v>
      </c>
      <c r="BU908" s="71"/>
      <c r="BV908" s="71"/>
      <c r="BW908" s="71">
        <f t="shared" si="371"/>
        <v>0</v>
      </c>
      <c r="BZ908" s="71"/>
      <c r="CA908" s="71"/>
      <c r="CB908" s="71">
        <f t="shared" si="372"/>
        <v>0</v>
      </c>
      <c r="CD908" s="71"/>
      <c r="CE908" s="71"/>
      <c r="CF908" s="71">
        <f t="shared" si="373"/>
        <v>0</v>
      </c>
      <c r="CH908" s="71"/>
      <c r="CI908" s="71"/>
      <c r="CJ908" s="138">
        <f t="shared" si="374"/>
        <v>0</v>
      </c>
      <c r="CL908" s="71"/>
      <c r="CM908" s="71"/>
      <c r="CN908" s="71">
        <f t="shared" si="375"/>
        <v>0</v>
      </c>
      <c r="CS908" s="102">
        <f t="shared" si="376"/>
        <v>4.5293954747099576</v>
      </c>
      <c r="CT908" s="102">
        <f t="shared" si="377"/>
        <v>18.675175962423801</v>
      </c>
      <c r="CZ908" s="109" t="str">
        <f t="shared" si="378"/>
        <v>Basso</v>
      </c>
    </row>
    <row r="909" spans="9:104" x14ac:dyDescent="0.15">
      <c r="I909" s="64">
        <f t="shared" si="356"/>
        <v>76.99972307006928</v>
      </c>
      <c r="M909" s="64">
        <f t="shared" si="357"/>
        <v>0</v>
      </c>
      <c r="Q909" s="64">
        <f t="shared" si="358"/>
        <v>0</v>
      </c>
      <c r="U909" s="64">
        <f t="shared" si="359"/>
        <v>0</v>
      </c>
      <c r="Y909" s="114">
        <f t="shared" si="360"/>
        <v>0</v>
      </c>
      <c r="AC909" s="64">
        <f t="shared" si="361"/>
        <v>0</v>
      </c>
      <c r="AE909" s="71"/>
      <c r="AF909" s="71"/>
      <c r="AG909" s="71">
        <f t="shared" si="362"/>
        <v>0</v>
      </c>
      <c r="AK909" s="64">
        <f t="shared" si="363"/>
        <v>0</v>
      </c>
      <c r="AM909" s="71"/>
      <c r="AN909" s="71"/>
      <c r="AO909" s="71">
        <f t="shared" si="364"/>
        <v>0</v>
      </c>
      <c r="AQ909" s="71"/>
      <c r="AR909" s="71"/>
      <c r="AS909" s="71">
        <f t="shared" si="365"/>
        <v>0</v>
      </c>
      <c r="AU909" s="71"/>
      <c r="AV909" s="71"/>
      <c r="AW909" s="71">
        <f t="shared" si="366"/>
        <v>0</v>
      </c>
      <c r="AY909" s="71"/>
      <c r="AZ909" s="71"/>
      <c r="BA909" s="71">
        <f t="shared" si="367"/>
        <v>0</v>
      </c>
      <c r="BI909" s="71"/>
      <c r="BJ909" s="71"/>
      <c r="BK909" s="71">
        <f t="shared" si="368"/>
        <v>0</v>
      </c>
      <c r="BM909" s="71"/>
      <c r="BN909" s="71"/>
      <c r="BO909" s="71">
        <f t="shared" si="369"/>
        <v>0</v>
      </c>
      <c r="BQ909" s="71"/>
      <c r="BR909" s="71"/>
      <c r="BS909" s="138">
        <f t="shared" si="370"/>
        <v>0</v>
      </c>
      <c r="BU909" s="71"/>
      <c r="BV909" s="71"/>
      <c r="BW909" s="71">
        <f t="shared" si="371"/>
        <v>0</v>
      </c>
      <c r="BZ909" s="71"/>
      <c r="CA909" s="71"/>
      <c r="CB909" s="71">
        <f t="shared" si="372"/>
        <v>0</v>
      </c>
      <c r="CD909" s="71"/>
      <c r="CE909" s="71"/>
      <c r="CF909" s="71">
        <f t="shared" si="373"/>
        <v>0</v>
      </c>
      <c r="CH909" s="71"/>
      <c r="CI909" s="71"/>
      <c r="CJ909" s="138">
        <f t="shared" si="374"/>
        <v>0</v>
      </c>
      <c r="CL909" s="71"/>
      <c r="CM909" s="71"/>
      <c r="CN909" s="71">
        <f t="shared" si="375"/>
        <v>0</v>
      </c>
      <c r="CS909" s="102">
        <f t="shared" si="376"/>
        <v>4.5293954747099576</v>
      </c>
      <c r="CT909" s="102">
        <f t="shared" si="377"/>
        <v>18.675175962423801</v>
      </c>
      <c r="CZ909" s="109" t="str">
        <f t="shared" si="378"/>
        <v>Basso</v>
      </c>
    </row>
    <row r="910" spans="9:104" x14ac:dyDescent="0.15">
      <c r="I910" s="64">
        <f t="shared" si="356"/>
        <v>76.99972307006928</v>
      </c>
      <c r="M910" s="64">
        <f t="shared" si="357"/>
        <v>0</v>
      </c>
      <c r="Q910" s="64">
        <f t="shared" si="358"/>
        <v>0</v>
      </c>
      <c r="U910" s="64">
        <f t="shared" si="359"/>
        <v>0</v>
      </c>
      <c r="Y910" s="114">
        <f t="shared" si="360"/>
        <v>0</v>
      </c>
      <c r="AC910" s="64">
        <f t="shared" si="361"/>
        <v>0</v>
      </c>
      <c r="AE910" s="71"/>
      <c r="AF910" s="71"/>
      <c r="AG910" s="71">
        <f t="shared" si="362"/>
        <v>0</v>
      </c>
      <c r="AK910" s="64">
        <f t="shared" si="363"/>
        <v>0</v>
      </c>
      <c r="AM910" s="71"/>
      <c r="AN910" s="71"/>
      <c r="AO910" s="71">
        <f t="shared" si="364"/>
        <v>0</v>
      </c>
      <c r="AQ910" s="71"/>
      <c r="AR910" s="71"/>
      <c r="AS910" s="71">
        <f t="shared" si="365"/>
        <v>0</v>
      </c>
      <c r="AU910" s="71"/>
      <c r="AV910" s="71"/>
      <c r="AW910" s="71">
        <f t="shared" si="366"/>
        <v>0</v>
      </c>
      <c r="AY910" s="71"/>
      <c r="AZ910" s="71"/>
      <c r="BA910" s="71">
        <f t="shared" si="367"/>
        <v>0</v>
      </c>
      <c r="BI910" s="71"/>
      <c r="BJ910" s="71"/>
      <c r="BK910" s="71">
        <f t="shared" si="368"/>
        <v>0</v>
      </c>
      <c r="BM910" s="71"/>
      <c r="BN910" s="71"/>
      <c r="BO910" s="71">
        <f t="shared" si="369"/>
        <v>0</v>
      </c>
      <c r="BQ910" s="71"/>
      <c r="BR910" s="71"/>
      <c r="BS910" s="138">
        <f t="shared" si="370"/>
        <v>0</v>
      </c>
      <c r="BU910" s="71"/>
      <c r="BV910" s="71"/>
      <c r="BW910" s="71">
        <f t="shared" si="371"/>
        <v>0</v>
      </c>
      <c r="BZ910" s="71"/>
      <c r="CA910" s="71"/>
      <c r="CB910" s="71">
        <f t="shared" si="372"/>
        <v>0</v>
      </c>
      <c r="CD910" s="71"/>
      <c r="CE910" s="71"/>
      <c r="CF910" s="71">
        <f t="shared" si="373"/>
        <v>0</v>
      </c>
      <c r="CH910" s="71"/>
      <c r="CI910" s="71"/>
      <c r="CJ910" s="138">
        <f t="shared" si="374"/>
        <v>0</v>
      </c>
      <c r="CL910" s="71"/>
      <c r="CM910" s="71"/>
      <c r="CN910" s="71">
        <f t="shared" si="375"/>
        <v>0</v>
      </c>
      <c r="CS910" s="102">
        <f t="shared" si="376"/>
        <v>4.5293954747099576</v>
      </c>
      <c r="CT910" s="102">
        <f t="shared" si="377"/>
        <v>18.675175962423801</v>
      </c>
      <c r="CZ910" s="109" t="str">
        <f t="shared" si="378"/>
        <v>Basso</v>
      </c>
    </row>
    <row r="911" spans="9:104" x14ac:dyDescent="0.15">
      <c r="I911" s="64">
        <f t="shared" si="356"/>
        <v>76.99972307006928</v>
      </c>
      <c r="M911" s="64">
        <f t="shared" si="357"/>
        <v>0</v>
      </c>
      <c r="Q911" s="64">
        <f t="shared" si="358"/>
        <v>0</v>
      </c>
      <c r="U911" s="64">
        <f t="shared" si="359"/>
        <v>0</v>
      </c>
      <c r="Y911" s="114">
        <f t="shared" si="360"/>
        <v>0</v>
      </c>
      <c r="AC911" s="64">
        <f t="shared" si="361"/>
        <v>0</v>
      </c>
      <c r="AE911" s="71"/>
      <c r="AF911" s="71"/>
      <c r="AG911" s="71">
        <f t="shared" si="362"/>
        <v>0</v>
      </c>
      <c r="AK911" s="64">
        <f t="shared" si="363"/>
        <v>0</v>
      </c>
      <c r="AM911" s="71"/>
      <c r="AN911" s="71"/>
      <c r="AO911" s="71">
        <f t="shared" si="364"/>
        <v>0</v>
      </c>
      <c r="AQ911" s="71"/>
      <c r="AR911" s="71"/>
      <c r="AS911" s="71">
        <f t="shared" si="365"/>
        <v>0</v>
      </c>
      <c r="AU911" s="71"/>
      <c r="AV911" s="71"/>
      <c r="AW911" s="71">
        <f t="shared" si="366"/>
        <v>0</v>
      </c>
      <c r="AY911" s="71"/>
      <c r="AZ911" s="71"/>
      <c r="BA911" s="71">
        <f t="shared" si="367"/>
        <v>0</v>
      </c>
      <c r="BI911" s="71"/>
      <c r="BJ911" s="71"/>
      <c r="BK911" s="71">
        <f t="shared" si="368"/>
        <v>0</v>
      </c>
      <c r="BM911" s="71"/>
      <c r="BN911" s="71"/>
      <c r="BO911" s="71">
        <f t="shared" si="369"/>
        <v>0</v>
      </c>
      <c r="BQ911" s="71"/>
      <c r="BR911" s="71"/>
      <c r="BS911" s="138">
        <f t="shared" si="370"/>
        <v>0</v>
      </c>
      <c r="BU911" s="71"/>
      <c r="BV911" s="71"/>
      <c r="BW911" s="71">
        <f t="shared" si="371"/>
        <v>0</v>
      </c>
      <c r="BZ911" s="71"/>
      <c r="CA911" s="71"/>
      <c r="CB911" s="71">
        <f t="shared" si="372"/>
        <v>0</v>
      </c>
      <c r="CD911" s="71"/>
      <c r="CE911" s="71"/>
      <c r="CF911" s="71">
        <f t="shared" si="373"/>
        <v>0</v>
      </c>
      <c r="CH911" s="71"/>
      <c r="CI911" s="71"/>
      <c r="CJ911" s="138">
        <f t="shared" si="374"/>
        <v>0</v>
      </c>
      <c r="CL911" s="71"/>
      <c r="CM911" s="71"/>
      <c r="CN911" s="71">
        <f t="shared" si="375"/>
        <v>0</v>
      </c>
      <c r="CS911" s="102">
        <f t="shared" si="376"/>
        <v>4.5293954747099576</v>
      </c>
      <c r="CT911" s="102">
        <f t="shared" si="377"/>
        <v>18.675175962423801</v>
      </c>
      <c r="CZ911" s="109" t="str">
        <f t="shared" si="378"/>
        <v>Basso</v>
      </c>
    </row>
    <row r="912" spans="9:104" x14ac:dyDescent="0.15">
      <c r="I912" s="64">
        <f t="shared" si="356"/>
        <v>76.99972307006928</v>
      </c>
      <c r="M912" s="64">
        <f t="shared" si="357"/>
        <v>0</v>
      </c>
      <c r="Q912" s="64">
        <f t="shared" si="358"/>
        <v>0</v>
      </c>
      <c r="U912" s="64">
        <f t="shared" si="359"/>
        <v>0</v>
      </c>
      <c r="Y912" s="114">
        <f t="shared" si="360"/>
        <v>0</v>
      </c>
      <c r="AC912" s="64">
        <f t="shared" si="361"/>
        <v>0</v>
      </c>
      <c r="AE912" s="71"/>
      <c r="AF912" s="71"/>
      <c r="AG912" s="71">
        <f t="shared" si="362"/>
        <v>0</v>
      </c>
      <c r="AK912" s="64">
        <f t="shared" si="363"/>
        <v>0</v>
      </c>
      <c r="AM912" s="71"/>
      <c r="AN912" s="71"/>
      <c r="AO912" s="71">
        <f t="shared" si="364"/>
        <v>0</v>
      </c>
      <c r="AQ912" s="71"/>
      <c r="AR912" s="71"/>
      <c r="AS912" s="71">
        <f t="shared" si="365"/>
        <v>0</v>
      </c>
      <c r="AU912" s="71"/>
      <c r="AV912" s="71"/>
      <c r="AW912" s="71">
        <f t="shared" si="366"/>
        <v>0</v>
      </c>
      <c r="AY912" s="71"/>
      <c r="AZ912" s="71"/>
      <c r="BA912" s="71">
        <f t="shared" si="367"/>
        <v>0</v>
      </c>
      <c r="BI912" s="71"/>
      <c r="BJ912" s="71"/>
      <c r="BK912" s="71">
        <f t="shared" si="368"/>
        <v>0</v>
      </c>
      <c r="BM912" s="71"/>
      <c r="BN912" s="71"/>
      <c r="BO912" s="71">
        <f t="shared" si="369"/>
        <v>0</v>
      </c>
      <c r="BQ912" s="71"/>
      <c r="BR912" s="71"/>
      <c r="BS912" s="138">
        <f t="shared" si="370"/>
        <v>0</v>
      </c>
      <c r="BU912" s="71"/>
      <c r="BV912" s="71"/>
      <c r="BW912" s="71">
        <f t="shared" si="371"/>
        <v>0</v>
      </c>
      <c r="BZ912" s="71"/>
      <c r="CA912" s="71"/>
      <c r="CB912" s="71">
        <f t="shared" si="372"/>
        <v>0</v>
      </c>
      <c r="CD912" s="71"/>
      <c r="CE912" s="71"/>
      <c r="CF912" s="71">
        <f t="shared" si="373"/>
        <v>0</v>
      </c>
      <c r="CH912" s="71"/>
      <c r="CI912" s="71"/>
      <c r="CJ912" s="138">
        <f t="shared" si="374"/>
        <v>0</v>
      </c>
      <c r="CL912" s="71"/>
      <c r="CM912" s="71"/>
      <c r="CN912" s="71">
        <f t="shared" si="375"/>
        <v>0</v>
      </c>
      <c r="CS912" s="102">
        <f t="shared" si="376"/>
        <v>4.5293954747099576</v>
      </c>
      <c r="CT912" s="102">
        <f t="shared" si="377"/>
        <v>18.675175962423801</v>
      </c>
      <c r="CZ912" s="109" t="str">
        <f t="shared" si="378"/>
        <v>Basso</v>
      </c>
    </row>
    <row r="913" spans="9:104" x14ac:dyDescent="0.15">
      <c r="I913" s="64">
        <f t="shared" si="356"/>
        <v>76.99972307006928</v>
      </c>
      <c r="M913" s="64">
        <f t="shared" si="357"/>
        <v>0</v>
      </c>
      <c r="Q913" s="64">
        <f t="shared" si="358"/>
        <v>0</v>
      </c>
      <c r="U913" s="64">
        <f t="shared" si="359"/>
        <v>0</v>
      </c>
      <c r="Y913" s="114">
        <f t="shared" si="360"/>
        <v>0</v>
      </c>
      <c r="AC913" s="64">
        <f t="shared" si="361"/>
        <v>0</v>
      </c>
      <c r="AE913" s="71"/>
      <c r="AF913" s="71"/>
      <c r="AG913" s="71">
        <f t="shared" si="362"/>
        <v>0</v>
      </c>
      <c r="AK913" s="64">
        <f t="shared" si="363"/>
        <v>0</v>
      </c>
      <c r="AM913" s="71"/>
      <c r="AN913" s="71"/>
      <c r="AO913" s="71">
        <f t="shared" si="364"/>
        <v>0</v>
      </c>
      <c r="AQ913" s="71"/>
      <c r="AR913" s="71"/>
      <c r="AS913" s="71">
        <f t="shared" si="365"/>
        <v>0</v>
      </c>
      <c r="AU913" s="71"/>
      <c r="AV913" s="71"/>
      <c r="AW913" s="71">
        <f t="shared" si="366"/>
        <v>0</v>
      </c>
      <c r="AY913" s="71"/>
      <c r="AZ913" s="71"/>
      <c r="BA913" s="71">
        <f t="shared" si="367"/>
        <v>0</v>
      </c>
      <c r="BI913" s="71"/>
      <c r="BJ913" s="71"/>
      <c r="BK913" s="71">
        <f t="shared" si="368"/>
        <v>0</v>
      </c>
      <c r="BM913" s="71"/>
      <c r="BN913" s="71"/>
      <c r="BO913" s="71">
        <f t="shared" si="369"/>
        <v>0</v>
      </c>
      <c r="BQ913" s="71"/>
      <c r="BR913" s="71"/>
      <c r="BS913" s="138">
        <f t="shared" si="370"/>
        <v>0</v>
      </c>
      <c r="BU913" s="71"/>
      <c r="BV913" s="71"/>
      <c r="BW913" s="71">
        <f t="shared" si="371"/>
        <v>0</v>
      </c>
      <c r="BZ913" s="71"/>
      <c r="CA913" s="71"/>
      <c r="CB913" s="71">
        <f t="shared" si="372"/>
        <v>0</v>
      </c>
      <c r="CD913" s="71"/>
      <c r="CE913" s="71"/>
      <c r="CF913" s="71">
        <f t="shared" si="373"/>
        <v>0</v>
      </c>
      <c r="CH913" s="71"/>
      <c r="CI913" s="71"/>
      <c r="CJ913" s="138">
        <f t="shared" si="374"/>
        <v>0</v>
      </c>
      <c r="CL913" s="71"/>
      <c r="CM913" s="71"/>
      <c r="CN913" s="71">
        <f t="shared" si="375"/>
        <v>0</v>
      </c>
      <c r="CS913" s="102">
        <f t="shared" si="376"/>
        <v>4.5293954747099576</v>
      </c>
      <c r="CT913" s="102">
        <f t="shared" si="377"/>
        <v>18.675175962423801</v>
      </c>
      <c r="CZ913" s="109" t="str">
        <f t="shared" si="378"/>
        <v>Basso</v>
      </c>
    </row>
    <row r="914" spans="9:104" x14ac:dyDescent="0.15">
      <c r="I914" s="64">
        <f t="shared" si="356"/>
        <v>76.99972307006928</v>
      </c>
      <c r="M914" s="64">
        <f t="shared" si="357"/>
        <v>0</v>
      </c>
      <c r="Q914" s="64">
        <f t="shared" si="358"/>
        <v>0</v>
      </c>
      <c r="U914" s="64">
        <f t="shared" si="359"/>
        <v>0</v>
      </c>
      <c r="Y914" s="114">
        <f t="shared" si="360"/>
        <v>0</v>
      </c>
      <c r="AC914" s="64">
        <f t="shared" si="361"/>
        <v>0</v>
      </c>
      <c r="AE914" s="71"/>
      <c r="AF914" s="71"/>
      <c r="AG914" s="71">
        <f t="shared" si="362"/>
        <v>0</v>
      </c>
      <c r="AK914" s="64">
        <f t="shared" si="363"/>
        <v>0</v>
      </c>
      <c r="AM914" s="71"/>
      <c r="AN914" s="71"/>
      <c r="AO914" s="71">
        <f t="shared" si="364"/>
        <v>0</v>
      </c>
      <c r="AQ914" s="71"/>
      <c r="AR914" s="71"/>
      <c r="AS914" s="71">
        <f t="shared" si="365"/>
        <v>0</v>
      </c>
      <c r="AU914" s="71"/>
      <c r="AV914" s="71"/>
      <c r="AW914" s="71">
        <f t="shared" si="366"/>
        <v>0</v>
      </c>
      <c r="AY914" s="71"/>
      <c r="AZ914" s="71"/>
      <c r="BA914" s="71">
        <f t="shared" si="367"/>
        <v>0</v>
      </c>
      <c r="BI914" s="71"/>
      <c r="BJ914" s="71"/>
      <c r="BK914" s="71">
        <f t="shared" si="368"/>
        <v>0</v>
      </c>
      <c r="BM914" s="71"/>
      <c r="BN914" s="71"/>
      <c r="BO914" s="71">
        <f t="shared" si="369"/>
        <v>0</v>
      </c>
      <c r="BQ914" s="71"/>
      <c r="BR914" s="71"/>
      <c r="BS914" s="138">
        <f t="shared" si="370"/>
        <v>0</v>
      </c>
      <c r="BU914" s="71"/>
      <c r="BV914" s="71"/>
      <c r="BW914" s="71">
        <f t="shared" si="371"/>
        <v>0</v>
      </c>
      <c r="BZ914" s="71"/>
      <c r="CA914" s="71"/>
      <c r="CB914" s="71">
        <f t="shared" si="372"/>
        <v>0</v>
      </c>
      <c r="CD914" s="71"/>
      <c r="CE914" s="71"/>
      <c r="CF914" s="71">
        <f t="shared" si="373"/>
        <v>0</v>
      </c>
      <c r="CH914" s="71"/>
      <c r="CI914" s="71"/>
      <c r="CJ914" s="138">
        <f t="shared" si="374"/>
        <v>0</v>
      </c>
      <c r="CL914" s="71"/>
      <c r="CM914" s="71"/>
      <c r="CN914" s="71">
        <f t="shared" si="375"/>
        <v>0</v>
      </c>
      <c r="CS914" s="102">
        <f t="shared" si="376"/>
        <v>4.5293954747099576</v>
      </c>
      <c r="CT914" s="102">
        <f t="shared" si="377"/>
        <v>18.675175962423801</v>
      </c>
      <c r="CZ914" s="109" t="str">
        <f t="shared" si="378"/>
        <v>Basso</v>
      </c>
    </row>
    <row r="915" spans="9:104" x14ac:dyDescent="0.15">
      <c r="I915" s="64">
        <f t="shared" si="356"/>
        <v>76.99972307006928</v>
      </c>
      <c r="M915" s="64">
        <f t="shared" si="357"/>
        <v>0</v>
      </c>
      <c r="Q915" s="64">
        <f t="shared" si="358"/>
        <v>0</v>
      </c>
      <c r="U915" s="64">
        <f t="shared" si="359"/>
        <v>0</v>
      </c>
      <c r="Y915" s="114">
        <f t="shared" si="360"/>
        <v>0</v>
      </c>
      <c r="AC915" s="64">
        <f t="shared" si="361"/>
        <v>0</v>
      </c>
      <c r="AE915" s="71"/>
      <c r="AF915" s="71"/>
      <c r="AG915" s="71">
        <f t="shared" si="362"/>
        <v>0</v>
      </c>
      <c r="AK915" s="64">
        <f t="shared" si="363"/>
        <v>0</v>
      </c>
      <c r="AM915" s="71"/>
      <c r="AN915" s="71"/>
      <c r="AO915" s="71">
        <f t="shared" si="364"/>
        <v>0</v>
      </c>
      <c r="AQ915" s="71"/>
      <c r="AR915" s="71"/>
      <c r="AS915" s="71">
        <f t="shared" si="365"/>
        <v>0</v>
      </c>
      <c r="AU915" s="71"/>
      <c r="AV915" s="71"/>
      <c r="AW915" s="71">
        <f t="shared" si="366"/>
        <v>0</v>
      </c>
      <c r="AY915" s="71"/>
      <c r="AZ915" s="71"/>
      <c r="BA915" s="71">
        <f t="shared" si="367"/>
        <v>0</v>
      </c>
      <c r="BI915" s="71"/>
      <c r="BJ915" s="71"/>
      <c r="BK915" s="71">
        <f t="shared" si="368"/>
        <v>0</v>
      </c>
      <c r="BM915" s="71"/>
      <c r="BN915" s="71"/>
      <c r="BO915" s="71">
        <f t="shared" si="369"/>
        <v>0</v>
      </c>
      <c r="BQ915" s="71"/>
      <c r="BR915" s="71"/>
      <c r="BS915" s="138">
        <f t="shared" si="370"/>
        <v>0</v>
      </c>
      <c r="BU915" s="71"/>
      <c r="BV915" s="71"/>
      <c r="BW915" s="71">
        <f t="shared" si="371"/>
        <v>0</v>
      </c>
      <c r="BZ915" s="71"/>
      <c r="CA915" s="71"/>
      <c r="CB915" s="71">
        <f t="shared" si="372"/>
        <v>0</v>
      </c>
      <c r="CD915" s="71"/>
      <c r="CE915" s="71"/>
      <c r="CF915" s="71">
        <f t="shared" si="373"/>
        <v>0</v>
      </c>
      <c r="CH915" s="71"/>
      <c r="CI915" s="71"/>
      <c r="CJ915" s="138">
        <f t="shared" si="374"/>
        <v>0</v>
      </c>
      <c r="CL915" s="71"/>
      <c r="CM915" s="71"/>
      <c r="CN915" s="71">
        <f t="shared" si="375"/>
        <v>0</v>
      </c>
      <c r="CS915" s="102">
        <f t="shared" si="376"/>
        <v>4.5293954747099576</v>
      </c>
      <c r="CT915" s="102">
        <f t="shared" si="377"/>
        <v>18.675175962423801</v>
      </c>
      <c r="CZ915" s="109" t="str">
        <f t="shared" si="378"/>
        <v>Basso</v>
      </c>
    </row>
    <row r="916" spans="9:104" x14ac:dyDescent="0.15">
      <c r="I916" s="64">
        <f t="shared" si="356"/>
        <v>76.99972307006928</v>
      </c>
      <c r="M916" s="64">
        <f t="shared" si="357"/>
        <v>0</v>
      </c>
      <c r="Q916" s="64">
        <f t="shared" si="358"/>
        <v>0</v>
      </c>
      <c r="U916" s="64">
        <f t="shared" si="359"/>
        <v>0</v>
      </c>
      <c r="Y916" s="114">
        <f t="shared" si="360"/>
        <v>0</v>
      </c>
      <c r="AC916" s="64">
        <f t="shared" si="361"/>
        <v>0</v>
      </c>
      <c r="AE916" s="71"/>
      <c r="AF916" s="71"/>
      <c r="AG916" s="71">
        <f t="shared" si="362"/>
        <v>0</v>
      </c>
      <c r="AK916" s="64">
        <f t="shared" si="363"/>
        <v>0</v>
      </c>
      <c r="AM916" s="71"/>
      <c r="AN916" s="71"/>
      <c r="AO916" s="71">
        <f t="shared" si="364"/>
        <v>0</v>
      </c>
      <c r="AQ916" s="71"/>
      <c r="AR916" s="71"/>
      <c r="AS916" s="71">
        <f t="shared" si="365"/>
        <v>0</v>
      </c>
      <c r="AU916" s="71"/>
      <c r="AV916" s="71"/>
      <c r="AW916" s="71">
        <f t="shared" si="366"/>
        <v>0</v>
      </c>
      <c r="AY916" s="71"/>
      <c r="AZ916" s="71"/>
      <c r="BA916" s="71">
        <f t="shared" si="367"/>
        <v>0</v>
      </c>
      <c r="BI916" s="71"/>
      <c r="BJ916" s="71"/>
      <c r="BK916" s="71">
        <f t="shared" si="368"/>
        <v>0</v>
      </c>
      <c r="BM916" s="71"/>
      <c r="BN916" s="71"/>
      <c r="BO916" s="71">
        <f t="shared" si="369"/>
        <v>0</v>
      </c>
      <c r="BQ916" s="71"/>
      <c r="BR916" s="71"/>
      <c r="BS916" s="138">
        <f t="shared" si="370"/>
        <v>0</v>
      </c>
      <c r="BU916" s="71"/>
      <c r="BV916" s="71"/>
      <c r="BW916" s="71">
        <f t="shared" si="371"/>
        <v>0</v>
      </c>
      <c r="BZ916" s="71"/>
      <c r="CA916" s="71"/>
      <c r="CB916" s="71">
        <f t="shared" si="372"/>
        <v>0</v>
      </c>
      <c r="CD916" s="71"/>
      <c r="CE916" s="71"/>
      <c r="CF916" s="71">
        <f t="shared" si="373"/>
        <v>0</v>
      </c>
      <c r="CH916" s="71"/>
      <c r="CI916" s="71"/>
      <c r="CJ916" s="138">
        <f t="shared" si="374"/>
        <v>0</v>
      </c>
      <c r="CL916" s="71"/>
      <c r="CM916" s="71"/>
      <c r="CN916" s="71">
        <f t="shared" si="375"/>
        <v>0</v>
      </c>
      <c r="CS916" s="102">
        <f t="shared" si="376"/>
        <v>4.5293954747099576</v>
      </c>
      <c r="CT916" s="102">
        <f t="shared" si="377"/>
        <v>18.675175962423801</v>
      </c>
      <c r="CZ916" s="109" t="str">
        <f t="shared" si="378"/>
        <v>Basso</v>
      </c>
    </row>
    <row r="917" spans="9:104" x14ac:dyDescent="0.15">
      <c r="I917" s="64">
        <f t="shared" si="356"/>
        <v>76.99972307006928</v>
      </c>
      <c r="M917" s="64">
        <f t="shared" si="357"/>
        <v>0</v>
      </c>
      <c r="Q917" s="64">
        <f t="shared" si="358"/>
        <v>0</v>
      </c>
      <c r="U917" s="64">
        <f t="shared" si="359"/>
        <v>0</v>
      </c>
      <c r="Y917" s="114">
        <f t="shared" si="360"/>
        <v>0</v>
      </c>
      <c r="AC917" s="64">
        <f t="shared" si="361"/>
        <v>0</v>
      </c>
      <c r="AE917" s="71"/>
      <c r="AF917" s="71"/>
      <c r="AG917" s="71">
        <f t="shared" si="362"/>
        <v>0</v>
      </c>
      <c r="AK917" s="64">
        <f t="shared" si="363"/>
        <v>0</v>
      </c>
      <c r="AM917" s="71"/>
      <c r="AN917" s="71"/>
      <c r="AO917" s="71">
        <f t="shared" si="364"/>
        <v>0</v>
      </c>
      <c r="AQ917" s="71"/>
      <c r="AR917" s="71"/>
      <c r="AS917" s="71">
        <f t="shared" si="365"/>
        <v>0</v>
      </c>
      <c r="AU917" s="71"/>
      <c r="AV917" s="71"/>
      <c r="AW917" s="71">
        <f t="shared" si="366"/>
        <v>0</v>
      </c>
      <c r="AY917" s="71"/>
      <c r="AZ917" s="71"/>
      <c r="BA917" s="71">
        <f t="shared" si="367"/>
        <v>0</v>
      </c>
      <c r="BI917" s="71"/>
      <c r="BJ917" s="71"/>
      <c r="BK917" s="71">
        <f t="shared" si="368"/>
        <v>0</v>
      </c>
      <c r="BM917" s="71"/>
      <c r="BN917" s="71"/>
      <c r="BO917" s="71">
        <f t="shared" si="369"/>
        <v>0</v>
      </c>
      <c r="BQ917" s="71"/>
      <c r="BR917" s="71"/>
      <c r="BS917" s="138">
        <f t="shared" si="370"/>
        <v>0</v>
      </c>
      <c r="BU917" s="71"/>
      <c r="BV917" s="71"/>
      <c r="BW917" s="71">
        <f t="shared" si="371"/>
        <v>0</v>
      </c>
      <c r="BZ917" s="71"/>
      <c r="CA917" s="71"/>
      <c r="CB917" s="71">
        <f t="shared" si="372"/>
        <v>0</v>
      </c>
      <c r="CD917" s="71"/>
      <c r="CE917" s="71"/>
      <c r="CF917" s="71">
        <f t="shared" si="373"/>
        <v>0</v>
      </c>
      <c r="CH917" s="71"/>
      <c r="CI917" s="71"/>
      <c r="CJ917" s="138">
        <f t="shared" si="374"/>
        <v>0</v>
      </c>
      <c r="CL917" s="71"/>
      <c r="CM917" s="71"/>
      <c r="CN917" s="71">
        <f t="shared" si="375"/>
        <v>0</v>
      </c>
      <c r="CS917" s="102">
        <f t="shared" si="376"/>
        <v>4.5293954747099576</v>
      </c>
      <c r="CT917" s="102">
        <f t="shared" si="377"/>
        <v>18.675175962423801</v>
      </c>
      <c r="CZ917" s="109" t="str">
        <f t="shared" si="378"/>
        <v>Basso</v>
      </c>
    </row>
    <row r="918" spans="9:104" x14ac:dyDescent="0.15">
      <c r="I918" s="64">
        <f t="shared" si="356"/>
        <v>76.99972307006928</v>
      </c>
      <c r="M918" s="64">
        <f t="shared" si="357"/>
        <v>0</v>
      </c>
      <c r="Q918" s="64">
        <f t="shared" si="358"/>
        <v>0</v>
      </c>
      <c r="U918" s="64">
        <f t="shared" si="359"/>
        <v>0</v>
      </c>
      <c r="Y918" s="114">
        <f t="shared" si="360"/>
        <v>0</v>
      </c>
      <c r="AC918" s="64">
        <f t="shared" si="361"/>
        <v>0</v>
      </c>
      <c r="AE918" s="71"/>
      <c r="AF918" s="71"/>
      <c r="AG918" s="71">
        <f t="shared" si="362"/>
        <v>0</v>
      </c>
      <c r="AK918" s="64">
        <f t="shared" si="363"/>
        <v>0</v>
      </c>
      <c r="AM918" s="71"/>
      <c r="AN918" s="71"/>
      <c r="AO918" s="71">
        <f t="shared" si="364"/>
        <v>0</v>
      </c>
      <c r="AQ918" s="71"/>
      <c r="AR918" s="71"/>
      <c r="AS918" s="71">
        <f t="shared" si="365"/>
        <v>0</v>
      </c>
      <c r="AU918" s="71"/>
      <c r="AV918" s="71"/>
      <c r="AW918" s="71">
        <f t="shared" si="366"/>
        <v>0</v>
      </c>
      <c r="AY918" s="71"/>
      <c r="AZ918" s="71"/>
      <c r="BA918" s="71">
        <f t="shared" si="367"/>
        <v>0</v>
      </c>
      <c r="BI918" s="71"/>
      <c r="BJ918" s="71"/>
      <c r="BK918" s="71">
        <f t="shared" si="368"/>
        <v>0</v>
      </c>
      <c r="BM918" s="71"/>
      <c r="BN918" s="71"/>
      <c r="BO918" s="71">
        <f t="shared" si="369"/>
        <v>0</v>
      </c>
      <c r="BQ918" s="71"/>
      <c r="BR918" s="71"/>
      <c r="BS918" s="138">
        <f t="shared" si="370"/>
        <v>0</v>
      </c>
      <c r="BU918" s="71"/>
      <c r="BV918" s="71"/>
      <c r="BW918" s="71">
        <f t="shared" si="371"/>
        <v>0</v>
      </c>
      <c r="BZ918" s="71"/>
      <c r="CA918" s="71"/>
      <c r="CB918" s="71">
        <f t="shared" si="372"/>
        <v>0</v>
      </c>
      <c r="CD918" s="71"/>
      <c r="CE918" s="71"/>
      <c r="CF918" s="71">
        <f t="shared" si="373"/>
        <v>0</v>
      </c>
      <c r="CH918" s="71"/>
      <c r="CI918" s="71"/>
      <c r="CJ918" s="138">
        <f t="shared" si="374"/>
        <v>0</v>
      </c>
      <c r="CL918" s="71"/>
      <c r="CM918" s="71"/>
      <c r="CN918" s="71">
        <f t="shared" si="375"/>
        <v>0</v>
      </c>
      <c r="CS918" s="102">
        <f t="shared" si="376"/>
        <v>4.5293954747099576</v>
      </c>
      <c r="CT918" s="102">
        <f t="shared" si="377"/>
        <v>18.675175962423801</v>
      </c>
      <c r="CZ918" s="109" t="str">
        <f t="shared" si="378"/>
        <v>Basso</v>
      </c>
    </row>
    <row r="919" spans="9:104" x14ac:dyDescent="0.15">
      <c r="I919" s="64">
        <f t="shared" si="356"/>
        <v>76.99972307006928</v>
      </c>
      <c r="M919" s="64">
        <f t="shared" si="357"/>
        <v>0</v>
      </c>
      <c r="Q919" s="64">
        <f t="shared" si="358"/>
        <v>0</v>
      </c>
      <c r="U919" s="64">
        <f t="shared" si="359"/>
        <v>0</v>
      </c>
      <c r="Y919" s="114">
        <f t="shared" si="360"/>
        <v>0</v>
      </c>
      <c r="AC919" s="64">
        <f t="shared" si="361"/>
        <v>0</v>
      </c>
      <c r="AE919" s="71"/>
      <c r="AF919" s="71"/>
      <c r="AG919" s="71">
        <f t="shared" si="362"/>
        <v>0</v>
      </c>
      <c r="AK919" s="64">
        <f t="shared" si="363"/>
        <v>0</v>
      </c>
      <c r="AM919" s="71"/>
      <c r="AN919" s="71"/>
      <c r="AO919" s="71">
        <f t="shared" si="364"/>
        <v>0</v>
      </c>
      <c r="AQ919" s="71"/>
      <c r="AR919" s="71"/>
      <c r="AS919" s="71">
        <f t="shared" si="365"/>
        <v>0</v>
      </c>
      <c r="AU919" s="71"/>
      <c r="AV919" s="71"/>
      <c r="AW919" s="71">
        <f t="shared" si="366"/>
        <v>0</v>
      </c>
      <c r="AY919" s="71"/>
      <c r="AZ919" s="71"/>
      <c r="BA919" s="71">
        <f t="shared" si="367"/>
        <v>0</v>
      </c>
      <c r="BI919" s="71"/>
      <c r="BJ919" s="71"/>
      <c r="BK919" s="71">
        <f t="shared" si="368"/>
        <v>0</v>
      </c>
      <c r="BM919" s="71"/>
      <c r="BN919" s="71"/>
      <c r="BO919" s="71">
        <f t="shared" si="369"/>
        <v>0</v>
      </c>
      <c r="BQ919" s="71"/>
      <c r="BR919" s="71"/>
      <c r="BS919" s="138">
        <f t="shared" si="370"/>
        <v>0</v>
      </c>
      <c r="BU919" s="71"/>
      <c r="BV919" s="71"/>
      <c r="BW919" s="71">
        <f t="shared" si="371"/>
        <v>0</v>
      </c>
      <c r="BZ919" s="71"/>
      <c r="CA919" s="71"/>
      <c r="CB919" s="71">
        <f t="shared" si="372"/>
        <v>0</v>
      </c>
      <c r="CD919" s="71"/>
      <c r="CE919" s="71"/>
      <c r="CF919" s="71">
        <f t="shared" si="373"/>
        <v>0</v>
      </c>
      <c r="CH919" s="71"/>
      <c r="CI919" s="71"/>
      <c r="CJ919" s="138">
        <f t="shared" si="374"/>
        <v>0</v>
      </c>
      <c r="CL919" s="71"/>
      <c r="CM919" s="71"/>
      <c r="CN919" s="71">
        <f t="shared" si="375"/>
        <v>0</v>
      </c>
      <c r="CS919" s="102">
        <f t="shared" si="376"/>
        <v>4.5293954747099576</v>
      </c>
      <c r="CT919" s="102">
        <f t="shared" si="377"/>
        <v>18.675175962423801</v>
      </c>
      <c r="CZ919" s="109" t="str">
        <f t="shared" si="378"/>
        <v>Basso</v>
      </c>
    </row>
    <row r="920" spans="9:104" x14ac:dyDescent="0.15">
      <c r="I920" s="64">
        <f t="shared" si="356"/>
        <v>76.99972307006928</v>
      </c>
      <c r="M920" s="64">
        <f t="shared" si="357"/>
        <v>0</v>
      </c>
      <c r="Q920" s="64">
        <f t="shared" si="358"/>
        <v>0</v>
      </c>
      <c r="U920" s="64">
        <f t="shared" si="359"/>
        <v>0</v>
      </c>
      <c r="Y920" s="114">
        <f t="shared" si="360"/>
        <v>0</v>
      </c>
      <c r="AC920" s="64">
        <f t="shared" si="361"/>
        <v>0</v>
      </c>
      <c r="AE920" s="71"/>
      <c r="AF920" s="71"/>
      <c r="AG920" s="71">
        <f t="shared" si="362"/>
        <v>0</v>
      </c>
      <c r="AK920" s="64">
        <f t="shared" si="363"/>
        <v>0</v>
      </c>
      <c r="AM920" s="71"/>
      <c r="AN920" s="71"/>
      <c r="AO920" s="71">
        <f t="shared" si="364"/>
        <v>0</v>
      </c>
      <c r="AQ920" s="71"/>
      <c r="AR920" s="71"/>
      <c r="AS920" s="71">
        <f t="shared" si="365"/>
        <v>0</v>
      </c>
      <c r="AU920" s="71"/>
      <c r="AV920" s="71"/>
      <c r="AW920" s="71">
        <f t="shared" si="366"/>
        <v>0</v>
      </c>
      <c r="AY920" s="71"/>
      <c r="AZ920" s="71"/>
      <c r="BA920" s="71">
        <f t="shared" si="367"/>
        <v>0</v>
      </c>
      <c r="BI920" s="71"/>
      <c r="BJ920" s="71"/>
      <c r="BK920" s="71">
        <f t="shared" si="368"/>
        <v>0</v>
      </c>
      <c r="BM920" s="71"/>
      <c r="BN920" s="71"/>
      <c r="BO920" s="71">
        <f t="shared" si="369"/>
        <v>0</v>
      </c>
      <c r="BQ920" s="71"/>
      <c r="BR920" s="71"/>
      <c r="BS920" s="138">
        <f t="shared" si="370"/>
        <v>0</v>
      </c>
      <c r="BU920" s="71"/>
      <c r="BV920" s="71"/>
      <c r="BW920" s="71">
        <f t="shared" si="371"/>
        <v>0</v>
      </c>
      <c r="BZ920" s="71"/>
      <c r="CA920" s="71"/>
      <c r="CB920" s="71">
        <f t="shared" si="372"/>
        <v>0</v>
      </c>
      <c r="CD920" s="71"/>
      <c r="CE920" s="71"/>
      <c r="CF920" s="71">
        <f t="shared" si="373"/>
        <v>0</v>
      </c>
      <c r="CH920" s="71"/>
      <c r="CI920" s="71"/>
      <c r="CJ920" s="138">
        <f t="shared" si="374"/>
        <v>0</v>
      </c>
      <c r="CL920" s="71"/>
      <c r="CM920" s="71"/>
      <c r="CN920" s="71">
        <f t="shared" si="375"/>
        <v>0</v>
      </c>
      <c r="CS920" s="102">
        <f t="shared" si="376"/>
        <v>4.5293954747099576</v>
      </c>
      <c r="CT920" s="102">
        <f t="shared" si="377"/>
        <v>18.675175962423801</v>
      </c>
      <c r="CZ920" s="109" t="str">
        <f t="shared" si="378"/>
        <v>Basso</v>
      </c>
    </row>
    <row r="921" spans="9:104" x14ac:dyDescent="0.15">
      <c r="I921" s="64">
        <f t="shared" si="356"/>
        <v>76.99972307006928</v>
      </c>
      <c r="M921" s="64">
        <f t="shared" si="357"/>
        <v>0</v>
      </c>
      <c r="Q921" s="64">
        <f t="shared" si="358"/>
        <v>0</v>
      </c>
      <c r="U921" s="64">
        <f t="shared" si="359"/>
        <v>0</v>
      </c>
      <c r="Y921" s="114">
        <f t="shared" si="360"/>
        <v>0</v>
      </c>
      <c r="AC921" s="64">
        <f t="shared" si="361"/>
        <v>0</v>
      </c>
      <c r="AE921" s="71"/>
      <c r="AF921" s="71"/>
      <c r="AG921" s="71">
        <f t="shared" si="362"/>
        <v>0</v>
      </c>
      <c r="AK921" s="64">
        <f t="shared" si="363"/>
        <v>0</v>
      </c>
      <c r="AM921" s="71"/>
      <c r="AN921" s="71"/>
      <c r="AO921" s="71">
        <f t="shared" si="364"/>
        <v>0</v>
      </c>
      <c r="AQ921" s="71"/>
      <c r="AR921" s="71"/>
      <c r="AS921" s="71">
        <f t="shared" si="365"/>
        <v>0</v>
      </c>
      <c r="AU921" s="71"/>
      <c r="AV921" s="71"/>
      <c r="AW921" s="71">
        <f t="shared" si="366"/>
        <v>0</v>
      </c>
      <c r="AY921" s="71"/>
      <c r="AZ921" s="71"/>
      <c r="BA921" s="71">
        <f t="shared" si="367"/>
        <v>0</v>
      </c>
      <c r="BI921" s="71"/>
      <c r="BJ921" s="71"/>
      <c r="BK921" s="71">
        <f t="shared" si="368"/>
        <v>0</v>
      </c>
      <c r="BM921" s="71"/>
      <c r="BN921" s="71"/>
      <c r="BO921" s="71">
        <f t="shared" si="369"/>
        <v>0</v>
      </c>
      <c r="BQ921" s="71"/>
      <c r="BR921" s="71"/>
      <c r="BS921" s="138">
        <f t="shared" si="370"/>
        <v>0</v>
      </c>
      <c r="BU921" s="71"/>
      <c r="BV921" s="71"/>
      <c r="BW921" s="71">
        <f t="shared" si="371"/>
        <v>0</v>
      </c>
      <c r="BZ921" s="71"/>
      <c r="CA921" s="71"/>
      <c r="CB921" s="71">
        <f t="shared" si="372"/>
        <v>0</v>
      </c>
      <c r="CD921" s="71"/>
      <c r="CE921" s="71"/>
      <c r="CF921" s="71">
        <f t="shared" si="373"/>
        <v>0</v>
      </c>
      <c r="CH921" s="71"/>
      <c r="CI921" s="71"/>
      <c r="CJ921" s="138">
        <f t="shared" si="374"/>
        <v>0</v>
      </c>
      <c r="CL921" s="71"/>
      <c r="CM921" s="71"/>
      <c r="CN921" s="71">
        <f t="shared" si="375"/>
        <v>0</v>
      </c>
      <c r="CS921" s="102">
        <f t="shared" si="376"/>
        <v>4.5293954747099576</v>
      </c>
      <c r="CT921" s="102">
        <f t="shared" si="377"/>
        <v>18.675175962423801</v>
      </c>
      <c r="CZ921" s="109" t="str">
        <f t="shared" si="378"/>
        <v>Basso</v>
      </c>
    </row>
    <row r="922" spans="9:104" x14ac:dyDescent="0.15">
      <c r="I922" s="64">
        <f t="shared" si="356"/>
        <v>76.99972307006928</v>
      </c>
      <c r="M922" s="64">
        <f t="shared" si="357"/>
        <v>0</v>
      </c>
      <c r="Q922" s="64">
        <f t="shared" si="358"/>
        <v>0</v>
      </c>
      <c r="U922" s="64">
        <f t="shared" si="359"/>
        <v>0</v>
      </c>
      <c r="Y922" s="114">
        <f t="shared" si="360"/>
        <v>0</v>
      </c>
      <c r="AC922" s="64">
        <f t="shared" si="361"/>
        <v>0</v>
      </c>
      <c r="AE922" s="71"/>
      <c r="AF922" s="71"/>
      <c r="AG922" s="71">
        <f t="shared" si="362"/>
        <v>0</v>
      </c>
      <c r="AK922" s="64">
        <f t="shared" si="363"/>
        <v>0</v>
      </c>
      <c r="AM922" s="71"/>
      <c r="AN922" s="71"/>
      <c r="AO922" s="71">
        <f t="shared" si="364"/>
        <v>0</v>
      </c>
      <c r="AQ922" s="71"/>
      <c r="AR922" s="71"/>
      <c r="AS922" s="71">
        <f t="shared" si="365"/>
        <v>0</v>
      </c>
      <c r="AU922" s="71"/>
      <c r="AV922" s="71"/>
      <c r="AW922" s="71">
        <f t="shared" si="366"/>
        <v>0</v>
      </c>
      <c r="AY922" s="71"/>
      <c r="AZ922" s="71"/>
      <c r="BA922" s="71">
        <f t="shared" si="367"/>
        <v>0</v>
      </c>
      <c r="BI922" s="71"/>
      <c r="BJ922" s="71"/>
      <c r="BK922" s="71">
        <f t="shared" si="368"/>
        <v>0</v>
      </c>
      <c r="BM922" s="71"/>
      <c r="BN922" s="71"/>
      <c r="BO922" s="71">
        <f t="shared" si="369"/>
        <v>0</v>
      </c>
      <c r="BQ922" s="71"/>
      <c r="BR922" s="71"/>
      <c r="BS922" s="138">
        <f t="shared" si="370"/>
        <v>0</v>
      </c>
      <c r="BU922" s="71"/>
      <c r="BV922" s="71"/>
      <c r="BW922" s="71">
        <f t="shared" si="371"/>
        <v>0</v>
      </c>
      <c r="BZ922" s="71"/>
      <c r="CA922" s="71"/>
      <c r="CB922" s="71">
        <f t="shared" si="372"/>
        <v>0</v>
      </c>
      <c r="CD922" s="71"/>
      <c r="CE922" s="71"/>
      <c r="CF922" s="71">
        <f t="shared" si="373"/>
        <v>0</v>
      </c>
      <c r="CH922" s="71"/>
      <c r="CI922" s="71"/>
      <c r="CJ922" s="138">
        <f t="shared" si="374"/>
        <v>0</v>
      </c>
      <c r="CL922" s="71"/>
      <c r="CM922" s="71"/>
      <c r="CN922" s="71">
        <f t="shared" si="375"/>
        <v>0</v>
      </c>
      <c r="CS922" s="102">
        <f t="shared" si="376"/>
        <v>4.5293954747099576</v>
      </c>
      <c r="CT922" s="102">
        <f t="shared" si="377"/>
        <v>18.675175962423801</v>
      </c>
      <c r="CZ922" s="109" t="str">
        <f t="shared" si="378"/>
        <v>Basso</v>
      </c>
    </row>
    <row r="923" spans="9:104" x14ac:dyDescent="0.15">
      <c r="I923" s="64">
        <f t="shared" si="356"/>
        <v>76.99972307006928</v>
      </c>
      <c r="M923" s="64">
        <f t="shared" si="357"/>
        <v>0</v>
      </c>
      <c r="Q923" s="64">
        <f t="shared" si="358"/>
        <v>0</v>
      </c>
      <c r="U923" s="64">
        <f t="shared" si="359"/>
        <v>0</v>
      </c>
      <c r="Y923" s="114">
        <f t="shared" si="360"/>
        <v>0</v>
      </c>
      <c r="AC923" s="64">
        <f t="shared" si="361"/>
        <v>0</v>
      </c>
      <c r="AE923" s="71"/>
      <c r="AF923" s="71"/>
      <c r="AG923" s="71">
        <f t="shared" si="362"/>
        <v>0</v>
      </c>
      <c r="AK923" s="64">
        <f t="shared" si="363"/>
        <v>0</v>
      </c>
      <c r="AM923" s="71"/>
      <c r="AN923" s="71"/>
      <c r="AO923" s="71">
        <f t="shared" si="364"/>
        <v>0</v>
      </c>
      <c r="AQ923" s="71"/>
      <c r="AR923" s="71"/>
      <c r="AS923" s="71">
        <f t="shared" si="365"/>
        <v>0</v>
      </c>
      <c r="AU923" s="71"/>
      <c r="AV923" s="71"/>
      <c r="AW923" s="71">
        <f t="shared" si="366"/>
        <v>0</v>
      </c>
      <c r="AY923" s="71"/>
      <c r="AZ923" s="71"/>
      <c r="BA923" s="71">
        <f t="shared" si="367"/>
        <v>0</v>
      </c>
      <c r="BI923" s="71"/>
      <c r="BJ923" s="71"/>
      <c r="BK923" s="71">
        <f t="shared" si="368"/>
        <v>0</v>
      </c>
      <c r="BM923" s="71"/>
      <c r="BN923" s="71"/>
      <c r="BO923" s="71">
        <f t="shared" si="369"/>
        <v>0</v>
      </c>
      <c r="BQ923" s="71"/>
      <c r="BR923" s="71"/>
      <c r="BS923" s="138">
        <f t="shared" si="370"/>
        <v>0</v>
      </c>
      <c r="BU923" s="71"/>
      <c r="BV923" s="71"/>
      <c r="BW923" s="71">
        <f t="shared" si="371"/>
        <v>0</v>
      </c>
      <c r="BZ923" s="71"/>
      <c r="CA923" s="71"/>
      <c r="CB923" s="71">
        <f t="shared" si="372"/>
        <v>0</v>
      </c>
      <c r="CD923" s="71"/>
      <c r="CE923" s="71"/>
      <c r="CF923" s="71">
        <f t="shared" si="373"/>
        <v>0</v>
      </c>
      <c r="CH923" s="71"/>
      <c r="CI923" s="71"/>
      <c r="CJ923" s="138">
        <f t="shared" si="374"/>
        <v>0</v>
      </c>
      <c r="CL923" s="71"/>
      <c r="CM923" s="71"/>
      <c r="CN923" s="71">
        <f t="shared" si="375"/>
        <v>0</v>
      </c>
      <c r="CS923" s="102">
        <f t="shared" si="376"/>
        <v>4.5293954747099576</v>
      </c>
      <c r="CT923" s="102">
        <f t="shared" si="377"/>
        <v>18.675175962423801</v>
      </c>
      <c r="CZ923" s="109" t="str">
        <f t="shared" si="378"/>
        <v>Basso</v>
      </c>
    </row>
    <row r="924" spans="9:104" x14ac:dyDescent="0.15">
      <c r="I924" s="64">
        <f t="shared" si="356"/>
        <v>76.99972307006928</v>
      </c>
      <c r="M924" s="64">
        <f t="shared" si="357"/>
        <v>0</v>
      </c>
      <c r="Q924" s="64">
        <f t="shared" si="358"/>
        <v>0</v>
      </c>
      <c r="U924" s="64">
        <f t="shared" si="359"/>
        <v>0</v>
      </c>
      <c r="Y924" s="114">
        <f t="shared" si="360"/>
        <v>0</v>
      </c>
      <c r="AC924" s="64">
        <f t="shared" si="361"/>
        <v>0</v>
      </c>
      <c r="AE924" s="71"/>
      <c r="AF924" s="71"/>
      <c r="AG924" s="71">
        <f t="shared" si="362"/>
        <v>0</v>
      </c>
      <c r="AK924" s="64">
        <f t="shared" si="363"/>
        <v>0</v>
      </c>
      <c r="AM924" s="71"/>
      <c r="AN924" s="71"/>
      <c r="AO924" s="71">
        <f t="shared" si="364"/>
        <v>0</v>
      </c>
      <c r="AQ924" s="71"/>
      <c r="AR924" s="71"/>
      <c r="AS924" s="71">
        <f t="shared" si="365"/>
        <v>0</v>
      </c>
      <c r="AU924" s="71"/>
      <c r="AV924" s="71"/>
      <c r="AW924" s="71">
        <f t="shared" si="366"/>
        <v>0</v>
      </c>
      <c r="AY924" s="71"/>
      <c r="AZ924" s="71"/>
      <c r="BA924" s="71">
        <f t="shared" si="367"/>
        <v>0</v>
      </c>
      <c r="BI924" s="71"/>
      <c r="BJ924" s="71"/>
      <c r="BK924" s="71">
        <f t="shared" si="368"/>
        <v>0</v>
      </c>
      <c r="BM924" s="71"/>
      <c r="BN924" s="71"/>
      <c r="BO924" s="71">
        <f t="shared" si="369"/>
        <v>0</v>
      </c>
      <c r="BQ924" s="71"/>
      <c r="BR924" s="71"/>
      <c r="BS924" s="138">
        <f t="shared" si="370"/>
        <v>0</v>
      </c>
      <c r="BU924" s="71"/>
      <c r="BV924" s="71"/>
      <c r="BW924" s="71">
        <f t="shared" si="371"/>
        <v>0</v>
      </c>
      <c r="BZ924" s="71"/>
      <c r="CA924" s="71"/>
      <c r="CB924" s="71">
        <f t="shared" si="372"/>
        <v>0</v>
      </c>
      <c r="CD924" s="71"/>
      <c r="CE924" s="71"/>
      <c r="CF924" s="71">
        <f t="shared" si="373"/>
        <v>0</v>
      </c>
      <c r="CH924" s="71"/>
      <c r="CI924" s="71"/>
      <c r="CJ924" s="138">
        <f t="shared" si="374"/>
        <v>0</v>
      </c>
      <c r="CL924" s="71"/>
      <c r="CM924" s="71"/>
      <c r="CN924" s="71">
        <f t="shared" si="375"/>
        <v>0</v>
      </c>
      <c r="CS924" s="102">
        <f t="shared" si="376"/>
        <v>4.5293954747099576</v>
      </c>
      <c r="CT924" s="102">
        <f t="shared" si="377"/>
        <v>18.675175962423801</v>
      </c>
      <c r="CZ924" s="109" t="str">
        <f t="shared" si="378"/>
        <v>Basso</v>
      </c>
    </row>
    <row r="925" spans="9:104" x14ac:dyDescent="0.15">
      <c r="I925" s="64">
        <f t="shared" si="356"/>
        <v>76.99972307006928</v>
      </c>
      <c r="M925" s="64">
        <f t="shared" si="357"/>
        <v>0</v>
      </c>
      <c r="Q925" s="64">
        <f t="shared" si="358"/>
        <v>0</v>
      </c>
      <c r="U925" s="64">
        <f t="shared" si="359"/>
        <v>0</v>
      </c>
      <c r="Y925" s="114">
        <f t="shared" si="360"/>
        <v>0</v>
      </c>
      <c r="AC925" s="64">
        <f t="shared" si="361"/>
        <v>0</v>
      </c>
      <c r="AE925" s="71"/>
      <c r="AF925" s="71"/>
      <c r="AG925" s="71">
        <f t="shared" si="362"/>
        <v>0</v>
      </c>
      <c r="AK925" s="64">
        <f t="shared" si="363"/>
        <v>0</v>
      </c>
      <c r="AM925" s="71"/>
      <c r="AN925" s="71"/>
      <c r="AO925" s="71">
        <f t="shared" si="364"/>
        <v>0</v>
      </c>
      <c r="AQ925" s="71"/>
      <c r="AR925" s="71"/>
      <c r="AS925" s="71">
        <f t="shared" si="365"/>
        <v>0</v>
      </c>
      <c r="AU925" s="71"/>
      <c r="AV925" s="71"/>
      <c r="AW925" s="71">
        <f t="shared" si="366"/>
        <v>0</v>
      </c>
      <c r="AY925" s="71"/>
      <c r="AZ925" s="71"/>
      <c r="BA925" s="71">
        <f t="shared" si="367"/>
        <v>0</v>
      </c>
      <c r="BI925" s="71"/>
      <c r="BJ925" s="71"/>
      <c r="BK925" s="71">
        <f t="shared" si="368"/>
        <v>0</v>
      </c>
      <c r="BM925" s="71"/>
      <c r="BN925" s="71"/>
      <c r="BO925" s="71">
        <f t="shared" si="369"/>
        <v>0</v>
      </c>
      <c r="BQ925" s="71"/>
      <c r="BR925" s="71"/>
      <c r="BS925" s="138">
        <f t="shared" si="370"/>
        <v>0</v>
      </c>
      <c r="BU925" s="71"/>
      <c r="BV925" s="71"/>
      <c r="BW925" s="71">
        <f t="shared" si="371"/>
        <v>0</v>
      </c>
      <c r="BZ925" s="71"/>
      <c r="CA925" s="71"/>
      <c r="CB925" s="71">
        <f t="shared" si="372"/>
        <v>0</v>
      </c>
      <c r="CD925" s="71"/>
      <c r="CE925" s="71"/>
      <c r="CF925" s="71">
        <f t="shared" si="373"/>
        <v>0</v>
      </c>
      <c r="CH925" s="71"/>
      <c r="CI925" s="71"/>
      <c r="CJ925" s="138">
        <f t="shared" si="374"/>
        <v>0</v>
      </c>
      <c r="CL925" s="71"/>
      <c r="CM925" s="71"/>
      <c r="CN925" s="71">
        <f t="shared" si="375"/>
        <v>0</v>
      </c>
      <c r="CS925" s="102">
        <f t="shared" si="376"/>
        <v>4.5293954747099576</v>
      </c>
      <c r="CT925" s="102">
        <f t="shared" si="377"/>
        <v>18.675175962423801</v>
      </c>
      <c r="CZ925" s="109" t="str">
        <f t="shared" si="378"/>
        <v>Basso</v>
      </c>
    </row>
    <row r="926" spans="9:104" x14ac:dyDescent="0.15">
      <c r="I926" s="64">
        <f t="shared" si="356"/>
        <v>76.99972307006928</v>
      </c>
      <c r="M926" s="64">
        <f t="shared" si="357"/>
        <v>0</v>
      </c>
      <c r="Q926" s="64">
        <f t="shared" si="358"/>
        <v>0</v>
      </c>
      <c r="U926" s="64">
        <f t="shared" si="359"/>
        <v>0</v>
      </c>
      <c r="Y926" s="114">
        <f t="shared" si="360"/>
        <v>0</v>
      </c>
      <c r="AC926" s="64">
        <f t="shared" si="361"/>
        <v>0</v>
      </c>
      <c r="AE926" s="71"/>
      <c r="AF926" s="71"/>
      <c r="AG926" s="71">
        <f t="shared" si="362"/>
        <v>0</v>
      </c>
      <c r="AK926" s="64">
        <f t="shared" si="363"/>
        <v>0</v>
      </c>
      <c r="AM926" s="71"/>
      <c r="AN926" s="71"/>
      <c r="AO926" s="71">
        <f t="shared" si="364"/>
        <v>0</v>
      </c>
      <c r="AQ926" s="71"/>
      <c r="AR926" s="71"/>
      <c r="AS926" s="71">
        <f t="shared" si="365"/>
        <v>0</v>
      </c>
      <c r="AU926" s="71"/>
      <c r="AV926" s="71"/>
      <c r="AW926" s="71">
        <f t="shared" si="366"/>
        <v>0</v>
      </c>
      <c r="AY926" s="71"/>
      <c r="AZ926" s="71"/>
      <c r="BA926" s="71">
        <f t="shared" si="367"/>
        <v>0</v>
      </c>
      <c r="BI926" s="71"/>
      <c r="BJ926" s="71"/>
      <c r="BK926" s="71">
        <f t="shared" si="368"/>
        <v>0</v>
      </c>
      <c r="BM926" s="71"/>
      <c r="BN926" s="71"/>
      <c r="BO926" s="71">
        <f t="shared" si="369"/>
        <v>0</v>
      </c>
      <c r="BQ926" s="71"/>
      <c r="BR926" s="71"/>
      <c r="BS926" s="138">
        <f t="shared" si="370"/>
        <v>0</v>
      </c>
      <c r="BU926" s="71"/>
      <c r="BV926" s="71"/>
      <c r="BW926" s="71">
        <f t="shared" si="371"/>
        <v>0</v>
      </c>
      <c r="BZ926" s="71"/>
      <c r="CA926" s="71"/>
      <c r="CB926" s="71">
        <f t="shared" si="372"/>
        <v>0</v>
      </c>
      <c r="CD926" s="71"/>
      <c r="CE926" s="71"/>
      <c r="CF926" s="71">
        <f t="shared" si="373"/>
        <v>0</v>
      </c>
      <c r="CH926" s="71"/>
      <c r="CI926" s="71"/>
      <c r="CJ926" s="138">
        <f t="shared" si="374"/>
        <v>0</v>
      </c>
      <c r="CL926" s="71"/>
      <c r="CM926" s="71"/>
      <c r="CN926" s="71">
        <f t="shared" si="375"/>
        <v>0</v>
      </c>
      <c r="CS926" s="102">
        <f t="shared" si="376"/>
        <v>4.5293954747099576</v>
      </c>
      <c r="CT926" s="102">
        <f t="shared" si="377"/>
        <v>18.675175962423801</v>
      </c>
      <c r="CZ926" s="109" t="str">
        <f t="shared" si="378"/>
        <v>Basso</v>
      </c>
    </row>
    <row r="927" spans="9:104" x14ac:dyDescent="0.15">
      <c r="I927" s="64">
        <f t="shared" si="356"/>
        <v>76.99972307006928</v>
      </c>
      <c r="M927" s="64">
        <f t="shared" si="357"/>
        <v>0</v>
      </c>
      <c r="Q927" s="64">
        <f t="shared" si="358"/>
        <v>0</v>
      </c>
      <c r="U927" s="64">
        <f t="shared" si="359"/>
        <v>0</v>
      </c>
      <c r="Y927" s="114">
        <f t="shared" si="360"/>
        <v>0</v>
      </c>
      <c r="AC927" s="64">
        <f t="shared" si="361"/>
        <v>0</v>
      </c>
      <c r="AE927" s="71"/>
      <c r="AF927" s="71"/>
      <c r="AG927" s="71">
        <f t="shared" si="362"/>
        <v>0</v>
      </c>
      <c r="AK927" s="64">
        <f t="shared" si="363"/>
        <v>0</v>
      </c>
      <c r="AM927" s="71"/>
      <c r="AN927" s="71"/>
      <c r="AO927" s="71">
        <f t="shared" si="364"/>
        <v>0</v>
      </c>
      <c r="AQ927" s="71"/>
      <c r="AR927" s="71"/>
      <c r="AS927" s="71">
        <f t="shared" si="365"/>
        <v>0</v>
      </c>
      <c r="AU927" s="71"/>
      <c r="AV927" s="71"/>
      <c r="AW927" s="71">
        <f t="shared" si="366"/>
        <v>0</v>
      </c>
      <c r="AY927" s="71"/>
      <c r="AZ927" s="71"/>
      <c r="BA927" s="71">
        <f t="shared" si="367"/>
        <v>0</v>
      </c>
      <c r="BI927" s="71"/>
      <c r="BJ927" s="71"/>
      <c r="BK927" s="71">
        <f t="shared" si="368"/>
        <v>0</v>
      </c>
      <c r="BM927" s="71"/>
      <c r="BN927" s="71"/>
      <c r="BO927" s="71">
        <f t="shared" si="369"/>
        <v>0</v>
      </c>
      <c r="BQ927" s="71"/>
      <c r="BR927" s="71"/>
      <c r="BS927" s="138">
        <f t="shared" si="370"/>
        <v>0</v>
      </c>
      <c r="BU927" s="71"/>
      <c r="BV927" s="71"/>
      <c r="BW927" s="71">
        <f t="shared" si="371"/>
        <v>0</v>
      </c>
      <c r="BZ927" s="71"/>
      <c r="CA927" s="71"/>
      <c r="CB927" s="71">
        <f t="shared" si="372"/>
        <v>0</v>
      </c>
      <c r="CD927" s="71"/>
      <c r="CE927" s="71"/>
      <c r="CF927" s="71">
        <f t="shared" si="373"/>
        <v>0</v>
      </c>
      <c r="CH927" s="71"/>
      <c r="CI927" s="71"/>
      <c r="CJ927" s="138">
        <f t="shared" si="374"/>
        <v>0</v>
      </c>
      <c r="CL927" s="71"/>
      <c r="CM927" s="71"/>
      <c r="CN927" s="71">
        <f t="shared" si="375"/>
        <v>0</v>
      </c>
      <c r="CS927" s="102">
        <f t="shared" si="376"/>
        <v>4.5293954747099576</v>
      </c>
      <c r="CT927" s="102">
        <f t="shared" si="377"/>
        <v>18.675175962423801</v>
      </c>
      <c r="CZ927" s="109" t="str">
        <f t="shared" si="378"/>
        <v>Basso</v>
      </c>
    </row>
    <row r="928" spans="9:104" x14ac:dyDescent="0.15">
      <c r="I928" s="64">
        <f t="shared" si="356"/>
        <v>76.99972307006928</v>
      </c>
      <c r="M928" s="64">
        <f t="shared" si="357"/>
        <v>0</v>
      </c>
      <c r="Q928" s="64">
        <f t="shared" si="358"/>
        <v>0</v>
      </c>
      <c r="U928" s="64">
        <f t="shared" si="359"/>
        <v>0</v>
      </c>
      <c r="Y928" s="114">
        <f t="shared" si="360"/>
        <v>0</v>
      </c>
      <c r="AC928" s="64">
        <f t="shared" si="361"/>
        <v>0</v>
      </c>
      <c r="AE928" s="71"/>
      <c r="AF928" s="71"/>
      <c r="AG928" s="71">
        <f t="shared" si="362"/>
        <v>0</v>
      </c>
      <c r="AK928" s="64">
        <f t="shared" si="363"/>
        <v>0</v>
      </c>
      <c r="AM928" s="71"/>
      <c r="AN928" s="71"/>
      <c r="AO928" s="71">
        <f t="shared" si="364"/>
        <v>0</v>
      </c>
      <c r="AQ928" s="71"/>
      <c r="AR928" s="71"/>
      <c r="AS928" s="71">
        <f t="shared" si="365"/>
        <v>0</v>
      </c>
      <c r="AU928" s="71"/>
      <c r="AV928" s="71"/>
      <c r="AW928" s="71">
        <f t="shared" si="366"/>
        <v>0</v>
      </c>
      <c r="AY928" s="71"/>
      <c r="AZ928" s="71"/>
      <c r="BA928" s="71">
        <f t="shared" si="367"/>
        <v>0</v>
      </c>
      <c r="BI928" s="71"/>
      <c r="BJ928" s="71"/>
      <c r="BK928" s="71">
        <f t="shared" si="368"/>
        <v>0</v>
      </c>
      <c r="BM928" s="71"/>
      <c r="BN928" s="71"/>
      <c r="BO928" s="71">
        <f t="shared" si="369"/>
        <v>0</v>
      </c>
      <c r="BQ928" s="71"/>
      <c r="BR928" s="71"/>
      <c r="BS928" s="138">
        <f t="shared" si="370"/>
        <v>0</v>
      </c>
      <c r="BU928" s="71"/>
      <c r="BV928" s="71"/>
      <c r="BW928" s="71">
        <f t="shared" si="371"/>
        <v>0</v>
      </c>
      <c r="BZ928" s="71"/>
      <c r="CA928" s="71"/>
      <c r="CB928" s="71">
        <f t="shared" si="372"/>
        <v>0</v>
      </c>
      <c r="CD928" s="71"/>
      <c r="CE928" s="71"/>
      <c r="CF928" s="71">
        <f t="shared" si="373"/>
        <v>0</v>
      </c>
      <c r="CH928" s="71"/>
      <c r="CI928" s="71"/>
      <c r="CJ928" s="138">
        <f t="shared" si="374"/>
        <v>0</v>
      </c>
      <c r="CL928" s="71"/>
      <c r="CM928" s="71"/>
      <c r="CN928" s="71">
        <f t="shared" si="375"/>
        <v>0</v>
      </c>
      <c r="CS928" s="102">
        <f t="shared" si="376"/>
        <v>4.5293954747099576</v>
      </c>
      <c r="CT928" s="102">
        <f t="shared" si="377"/>
        <v>18.675175962423801</v>
      </c>
      <c r="CZ928" s="109" t="str">
        <f t="shared" si="378"/>
        <v>Basso</v>
      </c>
    </row>
    <row r="929" spans="9:104" x14ac:dyDescent="0.15">
      <c r="I929" s="64">
        <f t="shared" si="356"/>
        <v>76.99972307006928</v>
      </c>
      <c r="M929" s="64">
        <f t="shared" si="357"/>
        <v>0</v>
      </c>
      <c r="Q929" s="64">
        <f t="shared" si="358"/>
        <v>0</v>
      </c>
      <c r="U929" s="64">
        <f t="shared" si="359"/>
        <v>0</v>
      </c>
      <c r="Y929" s="114">
        <f t="shared" si="360"/>
        <v>0</v>
      </c>
      <c r="AC929" s="64">
        <f t="shared" si="361"/>
        <v>0</v>
      </c>
      <c r="AE929" s="71"/>
      <c r="AF929" s="71"/>
      <c r="AG929" s="71">
        <f t="shared" si="362"/>
        <v>0</v>
      </c>
      <c r="AK929" s="64">
        <f t="shared" si="363"/>
        <v>0</v>
      </c>
      <c r="AM929" s="71"/>
      <c r="AN929" s="71"/>
      <c r="AO929" s="71">
        <f t="shared" si="364"/>
        <v>0</v>
      </c>
      <c r="AQ929" s="71"/>
      <c r="AR929" s="71"/>
      <c r="AS929" s="71">
        <f t="shared" si="365"/>
        <v>0</v>
      </c>
      <c r="AU929" s="71"/>
      <c r="AV929" s="71"/>
      <c r="AW929" s="71">
        <f t="shared" si="366"/>
        <v>0</v>
      </c>
      <c r="AY929" s="71"/>
      <c r="AZ929" s="71"/>
      <c r="BA929" s="71">
        <f t="shared" si="367"/>
        <v>0</v>
      </c>
      <c r="BI929" s="71"/>
      <c r="BJ929" s="71"/>
      <c r="BK929" s="71">
        <f t="shared" si="368"/>
        <v>0</v>
      </c>
      <c r="BM929" s="71"/>
      <c r="BN929" s="71"/>
      <c r="BO929" s="71">
        <f t="shared" si="369"/>
        <v>0</v>
      </c>
      <c r="BQ929" s="71"/>
      <c r="BR929" s="71"/>
      <c r="BS929" s="138">
        <f t="shared" si="370"/>
        <v>0</v>
      </c>
      <c r="BU929" s="71"/>
      <c r="BV929" s="71"/>
      <c r="BW929" s="71">
        <f t="shared" si="371"/>
        <v>0</v>
      </c>
      <c r="BZ929" s="71"/>
      <c r="CA929" s="71"/>
      <c r="CB929" s="71">
        <f t="shared" si="372"/>
        <v>0</v>
      </c>
      <c r="CD929" s="71"/>
      <c r="CE929" s="71"/>
      <c r="CF929" s="71">
        <f t="shared" si="373"/>
        <v>0</v>
      </c>
      <c r="CH929" s="71"/>
      <c r="CI929" s="71"/>
      <c r="CJ929" s="138">
        <f t="shared" si="374"/>
        <v>0</v>
      </c>
      <c r="CL929" s="71"/>
      <c r="CM929" s="71"/>
      <c r="CN929" s="71">
        <f t="shared" si="375"/>
        <v>0</v>
      </c>
      <c r="CS929" s="102">
        <f t="shared" si="376"/>
        <v>4.5293954747099576</v>
      </c>
      <c r="CT929" s="102">
        <f t="shared" si="377"/>
        <v>18.675175962423801</v>
      </c>
      <c r="CZ929" s="109" t="str">
        <f t="shared" si="378"/>
        <v>Basso</v>
      </c>
    </row>
    <row r="930" spans="9:104" x14ac:dyDescent="0.15">
      <c r="I930" s="64">
        <f t="shared" si="356"/>
        <v>76.99972307006928</v>
      </c>
      <c r="M930" s="64">
        <f t="shared" si="357"/>
        <v>0</v>
      </c>
      <c r="Q930" s="64">
        <f t="shared" si="358"/>
        <v>0</v>
      </c>
      <c r="U930" s="64">
        <f t="shared" si="359"/>
        <v>0</v>
      </c>
      <c r="Y930" s="114">
        <f t="shared" si="360"/>
        <v>0</v>
      </c>
      <c r="AC930" s="64">
        <f t="shared" si="361"/>
        <v>0</v>
      </c>
      <c r="AE930" s="71"/>
      <c r="AF930" s="71"/>
      <c r="AG930" s="71">
        <f t="shared" si="362"/>
        <v>0</v>
      </c>
      <c r="AK930" s="64">
        <f t="shared" si="363"/>
        <v>0</v>
      </c>
      <c r="AM930" s="71"/>
      <c r="AN930" s="71"/>
      <c r="AO930" s="71">
        <f t="shared" si="364"/>
        <v>0</v>
      </c>
      <c r="AQ930" s="71"/>
      <c r="AR930" s="71"/>
      <c r="AS930" s="71">
        <f t="shared" si="365"/>
        <v>0</v>
      </c>
      <c r="AU930" s="71"/>
      <c r="AV930" s="71"/>
      <c r="AW930" s="71">
        <f t="shared" si="366"/>
        <v>0</v>
      </c>
      <c r="AY930" s="71"/>
      <c r="AZ930" s="71"/>
      <c r="BA930" s="71">
        <f t="shared" si="367"/>
        <v>0</v>
      </c>
      <c r="BI930" s="71"/>
      <c r="BJ930" s="71"/>
      <c r="BK930" s="71">
        <f t="shared" si="368"/>
        <v>0</v>
      </c>
      <c r="BM930" s="71"/>
      <c r="BN930" s="71"/>
      <c r="BO930" s="71">
        <f t="shared" si="369"/>
        <v>0</v>
      </c>
      <c r="BQ930" s="71"/>
      <c r="BR930" s="71"/>
      <c r="BS930" s="138">
        <f t="shared" si="370"/>
        <v>0</v>
      </c>
      <c r="BU930" s="71"/>
      <c r="BV930" s="71"/>
      <c r="BW930" s="71">
        <f t="shared" si="371"/>
        <v>0</v>
      </c>
      <c r="BZ930" s="71"/>
      <c r="CA930" s="71"/>
      <c r="CB930" s="71">
        <f t="shared" si="372"/>
        <v>0</v>
      </c>
      <c r="CD930" s="71"/>
      <c r="CE930" s="71"/>
      <c r="CF930" s="71">
        <f t="shared" si="373"/>
        <v>0</v>
      </c>
      <c r="CH930" s="71"/>
      <c r="CI930" s="71"/>
      <c r="CJ930" s="138">
        <f t="shared" si="374"/>
        <v>0</v>
      </c>
      <c r="CL930" s="71"/>
      <c r="CM930" s="71"/>
      <c r="CN930" s="71">
        <f t="shared" si="375"/>
        <v>0</v>
      </c>
      <c r="CS930" s="102">
        <f t="shared" si="376"/>
        <v>4.5293954747099576</v>
      </c>
      <c r="CT930" s="102">
        <f t="shared" si="377"/>
        <v>18.675175962423801</v>
      </c>
      <c r="CZ930" s="109" t="str">
        <f t="shared" si="378"/>
        <v>Basso</v>
      </c>
    </row>
    <row r="931" spans="9:104" x14ac:dyDescent="0.15">
      <c r="I931" s="64">
        <f t="shared" si="356"/>
        <v>76.99972307006928</v>
      </c>
      <c r="M931" s="64">
        <f t="shared" si="357"/>
        <v>0</v>
      </c>
      <c r="Q931" s="64">
        <f t="shared" si="358"/>
        <v>0</v>
      </c>
      <c r="U931" s="64">
        <f t="shared" si="359"/>
        <v>0</v>
      </c>
      <c r="Y931" s="114">
        <f t="shared" si="360"/>
        <v>0</v>
      </c>
      <c r="AC931" s="64">
        <f t="shared" si="361"/>
        <v>0</v>
      </c>
      <c r="AE931" s="71"/>
      <c r="AF931" s="71"/>
      <c r="AG931" s="71">
        <f t="shared" si="362"/>
        <v>0</v>
      </c>
      <c r="AK931" s="64">
        <f t="shared" si="363"/>
        <v>0</v>
      </c>
      <c r="AM931" s="71"/>
      <c r="AN931" s="71"/>
      <c r="AO931" s="71">
        <f t="shared" si="364"/>
        <v>0</v>
      </c>
      <c r="AQ931" s="71"/>
      <c r="AR931" s="71"/>
      <c r="AS931" s="71">
        <f t="shared" si="365"/>
        <v>0</v>
      </c>
      <c r="AU931" s="71"/>
      <c r="AV931" s="71"/>
      <c r="AW931" s="71">
        <f t="shared" si="366"/>
        <v>0</v>
      </c>
      <c r="AY931" s="71"/>
      <c r="AZ931" s="71"/>
      <c r="BA931" s="71">
        <f t="shared" si="367"/>
        <v>0</v>
      </c>
      <c r="BI931" s="71"/>
      <c r="BJ931" s="71"/>
      <c r="BK931" s="71">
        <f t="shared" si="368"/>
        <v>0</v>
      </c>
      <c r="BM931" s="71"/>
      <c r="BN931" s="71"/>
      <c r="BO931" s="71">
        <f t="shared" si="369"/>
        <v>0</v>
      </c>
      <c r="BQ931" s="71"/>
      <c r="BR931" s="71"/>
      <c r="BS931" s="138">
        <f t="shared" si="370"/>
        <v>0</v>
      </c>
      <c r="BU931" s="71"/>
      <c r="BV931" s="71"/>
      <c r="BW931" s="71">
        <f t="shared" si="371"/>
        <v>0</v>
      </c>
      <c r="BZ931" s="71"/>
      <c r="CA931" s="71"/>
      <c r="CB931" s="71">
        <f t="shared" si="372"/>
        <v>0</v>
      </c>
      <c r="CD931" s="71"/>
      <c r="CE931" s="71"/>
      <c r="CF931" s="71">
        <f t="shared" si="373"/>
        <v>0</v>
      </c>
      <c r="CH931" s="71"/>
      <c r="CI931" s="71"/>
      <c r="CJ931" s="138">
        <f t="shared" si="374"/>
        <v>0</v>
      </c>
      <c r="CL931" s="71"/>
      <c r="CM931" s="71"/>
      <c r="CN931" s="71">
        <f t="shared" si="375"/>
        <v>0</v>
      </c>
      <c r="CS931" s="102">
        <f t="shared" si="376"/>
        <v>4.5293954747099576</v>
      </c>
      <c r="CT931" s="102">
        <f t="shared" si="377"/>
        <v>18.675175962423801</v>
      </c>
      <c r="CZ931" s="109" t="str">
        <f t="shared" si="378"/>
        <v>Basso</v>
      </c>
    </row>
    <row r="932" spans="9:104" x14ac:dyDescent="0.15">
      <c r="I932" s="64">
        <f t="shared" si="356"/>
        <v>76.99972307006928</v>
      </c>
      <c r="M932" s="64">
        <f t="shared" si="357"/>
        <v>0</v>
      </c>
      <c r="Q932" s="64">
        <f t="shared" si="358"/>
        <v>0</v>
      </c>
      <c r="U932" s="64">
        <f t="shared" si="359"/>
        <v>0</v>
      </c>
      <c r="Y932" s="114">
        <f t="shared" si="360"/>
        <v>0</v>
      </c>
      <c r="AC932" s="64">
        <f t="shared" si="361"/>
        <v>0</v>
      </c>
      <c r="AE932" s="71"/>
      <c r="AF932" s="71"/>
      <c r="AG932" s="71">
        <f t="shared" si="362"/>
        <v>0</v>
      </c>
      <c r="AK932" s="64">
        <f t="shared" si="363"/>
        <v>0</v>
      </c>
      <c r="AM932" s="71"/>
      <c r="AN932" s="71"/>
      <c r="AO932" s="71">
        <f t="shared" si="364"/>
        <v>0</v>
      </c>
      <c r="AQ932" s="71"/>
      <c r="AR932" s="71"/>
      <c r="AS932" s="71">
        <f t="shared" si="365"/>
        <v>0</v>
      </c>
      <c r="AU932" s="71"/>
      <c r="AV932" s="71"/>
      <c r="AW932" s="71">
        <f t="shared" si="366"/>
        <v>0</v>
      </c>
      <c r="AY932" s="71"/>
      <c r="AZ932" s="71"/>
      <c r="BA932" s="71">
        <f t="shared" si="367"/>
        <v>0</v>
      </c>
      <c r="BI932" s="71"/>
      <c r="BJ932" s="71"/>
      <c r="BK932" s="71">
        <f t="shared" si="368"/>
        <v>0</v>
      </c>
      <c r="BM932" s="71"/>
      <c r="BN932" s="71"/>
      <c r="BO932" s="71">
        <f t="shared" si="369"/>
        <v>0</v>
      </c>
      <c r="BQ932" s="71"/>
      <c r="BR932" s="71"/>
      <c r="BS932" s="138">
        <f t="shared" si="370"/>
        <v>0</v>
      </c>
      <c r="BU932" s="71"/>
      <c r="BV932" s="71"/>
      <c r="BW932" s="71">
        <f t="shared" si="371"/>
        <v>0</v>
      </c>
      <c r="BZ932" s="71"/>
      <c r="CA932" s="71"/>
      <c r="CB932" s="71">
        <f t="shared" si="372"/>
        <v>0</v>
      </c>
      <c r="CD932" s="71"/>
      <c r="CE932" s="71"/>
      <c r="CF932" s="71">
        <f t="shared" si="373"/>
        <v>0</v>
      </c>
      <c r="CH932" s="71"/>
      <c r="CI932" s="71"/>
      <c r="CJ932" s="138">
        <f t="shared" si="374"/>
        <v>0</v>
      </c>
      <c r="CL932" s="71"/>
      <c r="CM932" s="71"/>
      <c r="CN932" s="71">
        <f t="shared" si="375"/>
        <v>0</v>
      </c>
      <c r="CS932" s="102">
        <f t="shared" si="376"/>
        <v>4.5293954747099576</v>
      </c>
      <c r="CT932" s="102">
        <f t="shared" si="377"/>
        <v>18.675175962423801</v>
      </c>
      <c r="CZ932" s="109" t="str">
        <f t="shared" si="378"/>
        <v>Basso</v>
      </c>
    </row>
    <row r="933" spans="9:104" x14ac:dyDescent="0.15">
      <c r="I933" s="64">
        <f t="shared" si="356"/>
        <v>76.99972307006928</v>
      </c>
      <c r="M933" s="64">
        <f t="shared" si="357"/>
        <v>0</v>
      </c>
      <c r="Q933" s="64">
        <f t="shared" si="358"/>
        <v>0</v>
      </c>
      <c r="U933" s="64">
        <f t="shared" si="359"/>
        <v>0</v>
      </c>
      <c r="Y933" s="114">
        <f t="shared" si="360"/>
        <v>0</v>
      </c>
      <c r="AC933" s="64">
        <f t="shared" si="361"/>
        <v>0</v>
      </c>
      <c r="AE933" s="71"/>
      <c r="AF933" s="71"/>
      <c r="AG933" s="71">
        <f t="shared" si="362"/>
        <v>0</v>
      </c>
      <c r="AK933" s="64">
        <f t="shared" si="363"/>
        <v>0</v>
      </c>
      <c r="AM933" s="71"/>
      <c r="AN933" s="71"/>
      <c r="AO933" s="71">
        <f t="shared" si="364"/>
        <v>0</v>
      </c>
      <c r="AQ933" s="71"/>
      <c r="AR933" s="71"/>
      <c r="AS933" s="71">
        <f t="shared" si="365"/>
        <v>0</v>
      </c>
      <c r="AU933" s="71"/>
      <c r="AV933" s="71"/>
      <c r="AW933" s="71">
        <f t="shared" si="366"/>
        <v>0</v>
      </c>
      <c r="AY933" s="71"/>
      <c r="AZ933" s="71"/>
      <c r="BA933" s="71">
        <f t="shared" si="367"/>
        <v>0</v>
      </c>
      <c r="BI933" s="71"/>
      <c r="BJ933" s="71"/>
      <c r="BK933" s="71">
        <f t="shared" si="368"/>
        <v>0</v>
      </c>
      <c r="BM933" s="71"/>
      <c r="BN933" s="71"/>
      <c r="BO933" s="71">
        <f t="shared" si="369"/>
        <v>0</v>
      </c>
      <c r="BQ933" s="71"/>
      <c r="BR933" s="71"/>
      <c r="BS933" s="138">
        <f t="shared" si="370"/>
        <v>0</v>
      </c>
      <c r="BU933" s="71"/>
      <c r="BV933" s="71"/>
      <c r="BW933" s="71">
        <f t="shared" si="371"/>
        <v>0</v>
      </c>
      <c r="BZ933" s="71"/>
      <c r="CA933" s="71"/>
      <c r="CB933" s="71">
        <f t="shared" si="372"/>
        <v>0</v>
      </c>
      <c r="CD933" s="71"/>
      <c r="CE933" s="71"/>
      <c r="CF933" s="71">
        <f t="shared" si="373"/>
        <v>0</v>
      </c>
      <c r="CH933" s="71"/>
      <c r="CI933" s="71"/>
      <c r="CJ933" s="138">
        <f t="shared" si="374"/>
        <v>0</v>
      </c>
      <c r="CL933" s="71"/>
      <c r="CM933" s="71"/>
      <c r="CN933" s="71">
        <f t="shared" si="375"/>
        <v>0</v>
      </c>
      <c r="CS933" s="102">
        <f t="shared" si="376"/>
        <v>4.5293954747099576</v>
      </c>
      <c r="CT933" s="102">
        <f t="shared" si="377"/>
        <v>18.675175962423801</v>
      </c>
      <c r="CZ933" s="109" t="str">
        <f t="shared" si="378"/>
        <v>Basso</v>
      </c>
    </row>
    <row r="934" spans="9:104" x14ac:dyDescent="0.15">
      <c r="I934" s="64">
        <f t="shared" si="356"/>
        <v>76.99972307006928</v>
      </c>
      <c r="M934" s="64">
        <f t="shared" si="357"/>
        <v>0</v>
      </c>
      <c r="Q934" s="64">
        <f t="shared" si="358"/>
        <v>0</v>
      </c>
      <c r="U934" s="64">
        <f t="shared" si="359"/>
        <v>0</v>
      </c>
      <c r="Y934" s="114">
        <f t="shared" si="360"/>
        <v>0</v>
      </c>
      <c r="AC934" s="64">
        <f t="shared" si="361"/>
        <v>0</v>
      </c>
      <c r="AE934" s="71"/>
      <c r="AF934" s="71"/>
      <c r="AG934" s="71">
        <f t="shared" si="362"/>
        <v>0</v>
      </c>
      <c r="AK934" s="64">
        <f t="shared" si="363"/>
        <v>0</v>
      </c>
      <c r="AM934" s="71"/>
      <c r="AN934" s="71"/>
      <c r="AO934" s="71">
        <f t="shared" si="364"/>
        <v>0</v>
      </c>
      <c r="AQ934" s="71"/>
      <c r="AR934" s="71"/>
      <c r="AS934" s="71">
        <f t="shared" si="365"/>
        <v>0</v>
      </c>
      <c r="AU934" s="71"/>
      <c r="AV934" s="71"/>
      <c r="AW934" s="71">
        <f t="shared" si="366"/>
        <v>0</v>
      </c>
      <c r="AY934" s="71"/>
      <c r="AZ934" s="71"/>
      <c r="BA934" s="71">
        <f t="shared" si="367"/>
        <v>0</v>
      </c>
      <c r="BI934" s="71"/>
      <c r="BJ934" s="71"/>
      <c r="BK934" s="71">
        <f t="shared" si="368"/>
        <v>0</v>
      </c>
      <c r="BM934" s="71"/>
      <c r="BN934" s="71"/>
      <c r="BO934" s="71">
        <f t="shared" si="369"/>
        <v>0</v>
      </c>
      <c r="BQ934" s="71"/>
      <c r="BR934" s="71"/>
      <c r="BS934" s="138">
        <f t="shared" si="370"/>
        <v>0</v>
      </c>
      <c r="BU934" s="71"/>
      <c r="BV934" s="71"/>
      <c r="BW934" s="71">
        <f t="shared" si="371"/>
        <v>0</v>
      </c>
      <c r="BZ934" s="71"/>
      <c r="CA934" s="71"/>
      <c r="CB934" s="71">
        <f t="shared" si="372"/>
        <v>0</v>
      </c>
      <c r="CD934" s="71"/>
      <c r="CE934" s="71"/>
      <c r="CF934" s="71">
        <f t="shared" si="373"/>
        <v>0</v>
      </c>
      <c r="CH934" s="71"/>
      <c r="CI934" s="71"/>
      <c r="CJ934" s="138">
        <f t="shared" si="374"/>
        <v>0</v>
      </c>
      <c r="CL934" s="71"/>
      <c r="CM934" s="71"/>
      <c r="CN934" s="71">
        <f t="shared" si="375"/>
        <v>0</v>
      </c>
      <c r="CS934" s="102">
        <f t="shared" si="376"/>
        <v>4.5293954747099576</v>
      </c>
      <c r="CT934" s="102">
        <f t="shared" si="377"/>
        <v>18.675175962423801</v>
      </c>
      <c r="CZ934" s="109" t="str">
        <f t="shared" si="378"/>
        <v>Basso</v>
      </c>
    </row>
    <row r="935" spans="9:104" x14ac:dyDescent="0.15">
      <c r="I935" s="64">
        <f t="shared" si="356"/>
        <v>76.99972307006928</v>
      </c>
      <c r="M935" s="64">
        <f t="shared" si="357"/>
        <v>0</v>
      </c>
      <c r="Q935" s="64">
        <f t="shared" si="358"/>
        <v>0</v>
      </c>
      <c r="U935" s="64">
        <f t="shared" si="359"/>
        <v>0</v>
      </c>
      <c r="Y935" s="114">
        <f t="shared" si="360"/>
        <v>0</v>
      </c>
      <c r="AC935" s="64">
        <f t="shared" si="361"/>
        <v>0</v>
      </c>
      <c r="AE935" s="71"/>
      <c r="AF935" s="71"/>
      <c r="AG935" s="71">
        <f t="shared" si="362"/>
        <v>0</v>
      </c>
      <c r="AK935" s="64">
        <f t="shared" si="363"/>
        <v>0</v>
      </c>
      <c r="AM935" s="71"/>
      <c r="AN935" s="71"/>
      <c r="AO935" s="71">
        <f t="shared" si="364"/>
        <v>0</v>
      </c>
      <c r="AQ935" s="71"/>
      <c r="AR935" s="71"/>
      <c r="AS935" s="71">
        <f t="shared" si="365"/>
        <v>0</v>
      </c>
      <c r="AU935" s="71"/>
      <c r="AV935" s="71"/>
      <c r="AW935" s="71">
        <f t="shared" si="366"/>
        <v>0</v>
      </c>
      <c r="AY935" s="71"/>
      <c r="AZ935" s="71"/>
      <c r="BA935" s="71">
        <f t="shared" si="367"/>
        <v>0</v>
      </c>
      <c r="BI935" s="71"/>
      <c r="BJ935" s="71"/>
      <c r="BK935" s="71">
        <f t="shared" si="368"/>
        <v>0</v>
      </c>
      <c r="BM935" s="71"/>
      <c r="BN935" s="71"/>
      <c r="BO935" s="71">
        <f t="shared" si="369"/>
        <v>0</v>
      </c>
      <c r="BQ935" s="71"/>
      <c r="BR935" s="71"/>
      <c r="BS935" s="138">
        <f t="shared" si="370"/>
        <v>0</v>
      </c>
      <c r="BU935" s="71"/>
      <c r="BV935" s="71"/>
      <c r="BW935" s="71">
        <f t="shared" si="371"/>
        <v>0</v>
      </c>
      <c r="BZ935" s="71"/>
      <c r="CA935" s="71"/>
      <c r="CB935" s="71">
        <f t="shared" si="372"/>
        <v>0</v>
      </c>
      <c r="CD935" s="71"/>
      <c r="CE935" s="71"/>
      <c r="CF935" s="71">
        <f t="shared" si="373"/>
        <v>0</v>
      </c>
      <c r="CH935" s="71"/>
      <c r="CI935" s="71"/>
      <c r="CJ935" s="138">
        <f t="shared" si="374"/>
        <v>0</v>
      </c>
      <c r="CL935" s="71"/>
      <c r="CM935" s="71"/>
      <c r="CN935" s="71">
        <f t="shared" si="375"/>
        <v>0</v>
      </c>
      <c r="CS935" s="102">
        <f t="shared" si="376"/>
        <v>4.5293954747099576</v>
      </c>
      <c r="CT935" s="102">
        <f t="shared" si="377"/>
        <v>18.675175962423801</v>
      </c>
      <c r="CZ935" s="109" t="str">
        <f t="shared" si="378"/>
        <v>Basso</v>
      </c>
    </row>
    <row r="936" spans="9:104" x14ac:dyDescent="0.15">
      <c r="I936" s="64">
        <f t="shared" si="356"/>
        <v>76.99972307006928</v>
      </c>
      <c r="M936" s="64">
        <f t="shared" si="357"/>
        <v>0</v>
      </c>
      <c r="Q936" s="64">
        <f t="shared" si="358"/>
        <v>0</v>
      </c>
      <c r="U936" s="64">
        <f t="shared" si="359"/>
        <v>0</v>
      </c>
      <c r="Y936" s="114">
        <f t="shared" si="360"/>
        <v>0</v>
      </c>
      <c r="AC936" s="64">
        <f t="shared" si="361"/>
        <v>0</v>
      </c>
      <c r="AE936" s="71"/>
      <c r="AF936" s="71"/>
      <c r="AG936" s="71">
        <f t="shared" si="362"/>
        <v>0</v>
      </c>
      <c r="AK936" s="64">
        <f t="shared" si="363"/>
        <v>0</v>
      </c>
      <c r="AM936" s="71"/>
      <c r="AN936" s="71"/>
      <c r="AO936" s="71">
        <f t="shared" si="364"/>
        <v>0</v>
      </c>
      <c r="AQ936" s="71"/>
      <c r="AR936" s="71"/>
      <c r="AS936" s="71">
        <f t="shared" si="365"/>
        <v>0</v>
      </c>
      <c r="AU936" s="71"/>
      <c r="AV936" s="71"/>
      <c r="AW936" s="71">
        <f t="shared" si="366"/>
        <v>0</v>
      </c>
      <c r="AY936" s="71"/>
      <c r="AZ936" s="71"/>
      <c r="BA936" s="71">
        <f t="shared" si="367"/>
        <v>0</v>
      </c>
      <c r="BI936" s="71"/>
      <c r="BJ936" s="71"/>
      <c r="BK936" s="71">
        <f t="shared" si="368"/>
        <v>0</v>
      </c>
      <c r="BM936" s="71"/>
      <c r="BN936" s="71"/>
      <c r="BO936" s="71">
        <f t="shared" si="369"/>
        <v>0</v>
      </c>
      <c r="BQ936" s="71"/>
      <c r="BR936" s="71"/>
      <c r="BS936" s="138">
        <f t="shared" si="370"/>
        <v>0</v>
      </c>
      <c r="BU936" s="71"/>
      <c r="BV936" s="71"/>
      <c r="BW936" s="71">
        <f t="shared" si="371"/>
        <v>0</v>
      </c>
      <c r="BZ936" s="71"/>
      <c r="CA936" s="71"/>
      <c r="CB936" s="71">
        <f t="shared" si="372"/>
        <v>0</v>
      </c>
      <c r="CD936" s="71"/>
      <c r="CE936" s="71"/>
      <c r="CF936" s="71">
        <f t="shared" si="373"/>
        <v>0</v>
      </c>
      <c r="CH936" s="71"/>
      <c r="CI936" s="71"/>
      <c r="CJ936" s="138">
        <f t="shared" si="374"/>
        <v>0</v>
      </c>
      <c r="CL936" s="71"/>
      <c r="CM936" s="71"/>
      <c r="CN936" s="71">
        <f t="shared" si="375"/>
        <v>0</v>
      </c>
      <c r="CS936" s="102">
        <f t="shared" si="376"/>
        <v>4.5293954747099576</v>
      </c>
      <c r="CT936" s="102">
        <f t="shared" si="377"/>
        <v>18.675175962423801</v>
      </c>
      <c r="CZ936" s="109" t="str">
        <f t="shared" si="378"/>
        <v>Basso</v>
      </c>
    </row>
    <row r="937" spans="9:104" x14ac:dyDescent="0.15">
      <c r="I937" s="64">
        <f t="shared" si="356"/>
        <v>76.99972307006928</v>
      </c>
      <c r="M937" s="64">
        <f t="shared" si="357"/>
        <v>0</v>
      </c>
      <c r="Q937" s="64">
        <f t="shared" si="358"/>
        <v>0</v>
      </c>
      <c r="U937" s="64">
        <f t="shared" si="359"/>
        <v>0</v>
      </c>
      <c r="Y937" s="114">
        <f t="shared" si="360"/>
        <v>0</v>
      </c>
      <c r="AC937" s="64">
        <f t="shared" si="361"/>
        <v>0</v>
      </c>
      <c r="AE937" s="71"/>
      <c r="AF937" s="71"/>
      <c r="AG937" s="71">
        <f t="shared" si="362"/>
        <v>0</v>
      </c>
      <c r="AK937" s="64">
        <f t="shared" si="363"/>
        <v>0</v>
      </c>
      <c r="AM937" s="71"/>
      <c r="AN937" s="71"/>
      <c r="AO937" s="71">
        <f t="shared" si="364"/>
        <v>0</v>
      </c>
      <c r="AQ937" s="71"/>
      <c r="AR937" s="71"/>
      <c r="AS937" s="71">
        <f t="shared" si="365"/>
        <v>0</v>
      </c>
      <c r="AU937" s="71"/>
      <c r="AV937" s="71"/>
      <c r="AW937" s="71">
        <f t="shared" si="366"/>
        <v>0</v>
      </c>
      <c r="AY937" s="71"/>
      <c r="AZ937" s="71"/>
      <c r="BA937" s="71">
        <f t="shared" si="367"/>
        <v>0</v>
      </c>
      <c r="BI937" s="71"/>
      <c r="BJ937" s="71"/>
      <c r="BK937" s="71">
        <f t="shared" si="368"/>
        <v>0</v>
      </c>
      <c r="BM937" s="71"/>
      <c r="BN937" s="71"/>
      <c r="BO937" s="71">
        <f t="shared" si="369"/>
        <v>0</v>
      </c>
      <c r="BQ937" s="71"/>
      <c r="BR937" s="71"/>
      <c r="BS937" s="138">
        <f t="shared" si="370"/>
        <v>0</v>
      </c>
      <c r="BU937" s="71"/>
      <c r="BV937" s="71"/>
      <c r="BW937" s="71">
        <f t="shared" si="371"/>
        <v>0</v>
      </c>
      <c r="BZ937" s="71"/>
      <c r="CA937" s="71"/>
      <c r="CB937" s="71">
        <f t="shared" si="372"/>
        <v>0</v>
      </c>
      <c r="CD937" s="71"/>
      <c r="CE937" s="71"/>
      <c r="CF937" s="71">
        <f t="shared" si="373"/>
        <v>0</v>
      </c>
      <c r="CH937" s="71"/>
      <c r="CI937" s="71"/>
      <c r="CJ937" s="138">
        <f t="shared" si="374"/>
        <v>0</v>
      </c>
      <c r="CL937" s="71"/>
      <c r="CM937" s="71"/>
      <c r="CN937" s="71">
        <f t="shared" si="375"/>
        <v>0</v>
      </c>
      <c r="CS937" s="102">
        <f t="shared" si="376"/>
        <v>4.5293954747099576</v>
      </c>
      <c r="CT937" s="102">
        <f t="shared" si="377"/>
        <v>18.675175962423801</v>
      </c>
      <c r="CZ937" s="109" t="str">
        <f t="shared" si="378"/>
        <v>Basso</v>
      </c>
    </row>
    <row r="938" spans="9:104" x14ac:dyDescent="0.15">
      <c r="I938" s="64">
        <f t="shared" si="356"/>
        <v>76.99972307006928</v>
      </c>
      <c r="M938" s="64">
        <f t="shared" si="357"/>
        <v>0</v>
      </c>
      <c r="Q938" s="64">
        <f t="shared" si="358"/>
        <v>0</v>
      </c>
      <c r="U938" s="64">
        <f t="shared" si="359"/>
        <v>0</v>
      </c>
      <c r="Y938" s="114">
        <f t="shared" si="360"/>
        <v>0</v>
      </c>
      <c r="AC938" s="64">
        <f t="shared" si="361"/>
        <v>0</v>
      </c>
      <c r="AE938" s="71"/>
      <c r="AF938" s="71"/>
      <c r="AG938" s="71">
        <f t="shared" si="362"/>
        <v>0</v>
      </c>
      <c r="AK938" s="64">
        <f t="shared" si="363"/>
        <v>0</v>
      </c>
      <c r="AM938" s="71"/>
      <c r="AN938" s="71"/>
      <c r="AO938" s="71">
        <f t="shared" si="364"/>
        <v>0</v>
      </c>
      <c r="AQ938" s="71"/>
      <c r="AR938" s="71"/>
      <c r="AS938" s="71">
        <f t="shared" si="365"/>
        <v>0</v>
      </c>
      <c r="AU938" s="71"/>
      <c r="AV938" s="71"/>
      <c r="AW938" s="71">
        <f t="shared" si="366"/>
        <v>0</v>
      </c>
      <c r="AY938" s="71"/>
      <c r="AZ938" s="71"/>
      <c r="BA938" s="71">
        <f t="shared" si="367"/>
        <v>0</v>
      </c>
      <c r="BI938" s="71"/>
      <c r="BJ938" s="71"/>
      <c r="BK938" s="71">
        <f t="shared" si="368"/>
        <v>0</v>
      </c>
      <c r="BM938" s="71"/>
      <c r="BN938" s="71"/>
      <c r="BO938" s="71">
        <f t="shared" si="369"/>
        <v>0</v>
      </c>
      <c r="BQ938" s="71"/>
      <c r="BR938" s="71"/>
      <c r="BS938" s="138">
        <f t="shared" si="370"/>
        <v>0</v>
      </c>
      <c r="BU938" s="71"/>
      <c r="BV938" s="71"/>
      <c r="BW938" s="71">
        <f t="shared" si="371"/>
        <v>0</v>
      </c>
      <c r="BZ938" s="71"/>
      <c r="CA938" s="71"/>
      <c r="CB938" s="71">
        <f t="shared" si="372"/>
        <v>0</v>
      </c>
      <c r="CD938" s="71"/>
      <c r="CE938" s="71"/>
      <c r="CF938" s="71">
        <f t="shared" si="373"/>
        <v>0</v>
      </c>
      <c r="CH938" s="71"/>
      <c r="CI938" s="71"/>
      <c r="CJ938" s="138">
        <f t="shared" si="374"/>
        <v>0</v>
      </c>
      <c r="CL938" s="71"/>
      <c r="CM938" s="71"/>
      <c r="CN938" s="71">
        <f t="shared" si="375"/>
        <v>0</v>
      </c>
      <c r="CS938" s="102">
        <f t="shared" si="376"/>
        <v>4.5293954747099576</v>
      </c>
      <c r="CT938" s="102">
        <f t="shared" si="377"/>
        <v>18.675175962423801</v>
      </c>
      <c r="CZ938" s="109" t="str">
        <f t="shared" si="378"/>
        <v>Basso</v>
      </c>
    </row>
    <row r="939" spans="9:104" x14ac:dyDescent="0.15">
      <c r="I939" s="64">
        <f t="shared" si="356"/>
        <v>76.99972307006928</v>
      </c>
      <c r="M939" s="64">
        <f t="shared" si="357"/>
        <v>0</v>
      </c>
      <c r="Q939" s="64">
        <f t="shared" si="358"/>
        <v>0</v>
      </c>
      <c r="U939" s="64">
        <f t="shared" si="359"/>
        <v>0</v>
      </c>
      <c r="Y939" s="114">
        <f t="shared" si="360"/>
        <v>0</v>
      </c>
      <c r="AC939" s="64">
        <f t="shared" si="361"/>
        <v>0</v>
      </c>
      <c r="AE939" s="71"/>
      <c r="AF939" s="71"/>
      <c r="AG939" s="71">
        <f t="shared" si="362"/>
        <v>0</v>
      </c>
      <c r="AK939" s="64">
        <f t="shared" si="363"/>
        <v>0</v>
      </c>
      <c r="AM939" s="71"/>
      <c r="AN939" s="71"/>
      <c r="AO939" s="71">
        <f t="shared" si="364"/>
        <v>0</v>
      </c>
      <c r="AQ939" s="71"/>
      <c r="AR939" s="71"/>
      <c r="AS939" s="71">
        <f t="shared" si="365"/>
        <v>0</v>
      </c>
      <c r="AU939" s="71"/>
      <c r="AV939" s="71"/>
      <c r="AW939" s="71">
        <f t="shared" si="366"/>
        <v>0</v>
      </c>
      <c r="AY939" s="71"/>
      <c r="AZ939" s="71"/>
      <c r="BA939" s="71">
        <f t="shared" si="367"/>
        <v>0</v>
      </c>
      <c r="BI939" s="71"/>
      <c r="BJ939" s="71"/>
      <c r="BK939" s="71">
        <f t="shared" si="368"/>
        <v>0</v>
      </c>
      <c r="BM939" s="71"/>
      <c r="BN939" s="71"/>
      <c r="BO939" s="71">
        <f t="shared" si="369"/>
        <v>0</v>
      </c>
      <c r="BQ939" s="71"/>
      <c r="BR939" s="71"/>
      <c r="BS939" s="138">
        <f t="shared" si="370"/>
        <v>0</v>
      </c>
      <c r="BU939" s="71"/>
      <c r="BV939" s="71"/>
      <c r="BW939" s="71">
        <f t="shared" si="371"/>
        <v>0</v>
      </c>
      <c r="BZ939" s="71"/>
      <c r="CA939" s="71"/>
      <c r="CB939" s="71">
        <f t="shared" si="372"/>
        <v>0</v>
      </c>
      <c r="CD939" s="71"/>
      <c r="CE939" s="71"/>
      <c r="CF939" s="71">
        <f t="shared" si="373"/>
        <v>0</v>
      </c>
      <c r="CH939" s="71"/>
      <c r="CI939" s="71"/>
      <c r="CJ939" s="138">
        <f t="shared" si="374"/>
        <v>0</v>
      </c>
      <c r="CL939" s="71"/>
      <c r="CM939" s="71"/>
      <c r="CN939" s="71">
        <f t="shared" si="375"/>
        <v>0</v>
      </c>
      <c r="CS939" s="102">
        <f t="shared" si="376"/>
        <v>4.5293954747099576</v>
      </c>
      <c r="CT939" s="102">
        <f t="shared" si="377"/>
        <v>18.675175962423801</v>
      </c>
      <c r="CZ939" s="109" t="str">
        <f t="shared" si="378"/>
        <v>Basso</v>
      </c>
    </row>
    <row r="940" spans="9:104" x14ac:dyDescent="0.15">
      <c r="I940" s="64">
        <f t="shared" si="356"/>
        <v>76.99972307006928</v>
      </c>
      <c r="M940" s="64">
        <f t="shared" si="357"/>
        <v>0</v>
      </c>
      <c r="Q940" s="64">
        <f t="shared" si="358"/>
        <v>0</v>
      </c>
      <c r="U940" s="64">
        <f t="shared" si="359"/>
        <v>0</v>
      </c>
      <c r="Y940" s="114">
        <f t="shared" si="360"/>
        <v>0</v>
      </c>
      <c r="AC940" s="64">
        <f t="shared" si="361"/>
        <v>0</v>
      </c>
      <c r="AE940" s="71"/>
      <c r="AF940" s="71"/>
      <c r="AG940" s="71">
        <f t="shared" si="362"/>
        <v>0</v>
      </c>
      <c r="AK940" s="64">
        <f t="shared" si="363"/>
        <v>0</v>
      </c>
      <c r="AM940" s="71"/>
      <c r="AN940" s="71"/>
      <c r="AO940" s="71">
        <f t="shared" si="364"/>
        <v>0</v>
      </c>
      <c r="AQ940" s="71"/>
      <c r="AR940" s="71"/>
      <c r="AS940" s="71">
        <f t="shared" si="365"/>
        <v>0</v>
      </c>
      <c r="AU940" s="71"/>
      <c r="AV940" s="71"/>
      <c r="AW940" s="71">
        <f t="shared" si="366"/>
        <v>0</v>
      </c>
      <c r="AY940" s="71"/>
      <c r="AZ940" s="71"/>
      <c r="BA940" s="71">
        <f t="shared" si="367"/>
        <v>0</v>
      </c>
      <c r="BI940" s="71"/>
      <c r="BJ940" s="71"/>
      <c r="BK940" s="71">
        <f t="shared" si="368"/>
        <v>0</v>
      </c>
      <c r="BM940" s="71"/>
      <c r="BN940" s="71"/>
      <c r="BO940" s="71">
        <f t="shared" si="369"/>
        <v>0</v>
      </c>
      <c r="BQ940" s="71"/>
      <c r="BR940" s="71"/>
      <c r="BS940" s="138">
        <f t="shared" si="370"/>
        <v>0</v>
      </c>
      <c r="BU940" s="71"/>
      <c r="BV940" s="71"/>
      <c r="BW940" s="71">
        <f t="shared" si="371"/>
        <v>0</v>
      </c>
      <c r="BZ940" s="71"/>
      <c r="CA940" s="71"/>
      <c r="CB940" s="71">
        <f t="shared" si="372"/>
        <v>0</v>
      </c>
      <c r="CD940" s="71"/>
      <c r="CE940" s="71"/>
      <c r="CF940" s="71">
        <f t="shared" si="373"/>
        <v>0</v>
      </c>
      <c r="CH940" s="71"/>
      <c r="CI940" s="71"/>
      <c r="CJ940" s="138">
        <f t="shared" si="374"/>
        <v>0</v>
      </c>
      <c r="CL940" s="71"/>
      <c r="CM940" s="71"/>
      <c r="CN940" s="71">
        <f t="shared" si="375"/>
        <v>0</v>
      </c>
      <c r="CS940" s="102">
        <f t="shared" si="376"/>
        <v>4.5293954747099576</v>
      </c>
      <c r="CT940" s="102">
        <f t="shared" si="377"/>
        <v>18.675175962423801</v>
      </c>
      <c r="CZ940" s="109" t="str">
        <f t="shared" si="378"/>
        <v>Basso</v>
      </c>
    </row>
    <row r="941" spans="9:104" x14ac:dyDescent="0.15">
      <c r="I941" s="64">
        <f t="shared" si="356"/>
        <v>76.99972307006928</v>
      </c>
      <c r="M941" s="64">
        <f t="shared" si="357"/>
        <v>0</v>
      </c>
      <c r="Q941" s="64">
        <f t="shared" si="358"/>
        <v>0</v>
      </c>
      <c r="U941" s="64">
        <f t="shared" si="359"/>
        <v>0</v>
      </c>
      <c r="Y941" s="114">
        <f t="shared" si="360"/>
        <v>0</v>
      </c>
      <c r="AC941" s="64">
        <f t="shared" si="361"/>
        <v>0</v>
      </c>
      <c r="AE941" s="71"/>
      <c r="AF941" s="71"/>
      <c r="AG941" s="71">
        <f t="shared" si="362"/>
        <v>0</v>
      </c>
      <c r="AK941" s="64">
        <f t="shared" si="363"/>
        <v>0</v>
      </c>
      <c r="AM941" s="71"/>
      <c r="AN941" s="71"/>
      <c r="AO941" s="71">
        <f t="shared" si="364"/>
        <v>0</v>
      </c>
      <c r="AQ941" s="71"/>
      <c r="AR941" s="71"/>
      <c r="AS941" s="71">
        <f t="shared" si="365"/>
        <v>0</v>
      </c>
      <c r="AU941" s="71"/>
      <c r="AV941" s="71"/>
      <c r="AW941" s="71">
        <f t="shared" si="366"/>
        <v>0</v>
      </c>
      <c r="AY941" s="71"/>
      <c r="AZ941" s="71"/>
      <c r="BA941" s="71">
        <f t="shared" si="367"/>
        <v>0</v>
      </c>
      <c r="BI941" s="71"/>
      <c r="BJ941" s="71"/>
      <c r="BK941" s="71">
        <f t="shared" si="368"/>
        <v>0</v>
      </c>
      <c r="BM941" s="71"/>
      <c r="BN941" s="71"/>
      <c r="BO941" s="71">
        <f t="shared" si="369"/>
        <v>0</v>
      </c>
      <c r="BQ941" s="71"/>
      <c r="BR941" s="71"/>
      <c r="BS941" s="138">
        <f t="shared" si="370"/>
        <v>0</v>
      </c>
      <c r="BU941" s="71"/>
      <c r="BV941" s="71"/>
      <c r="BW941" s="71">
        <f t="shared" si="371"/>
        <v>0</v>
      </c>
      <c r="BZ941" s="71"/>
      <c r="CA941" s="71"/>
      <c r="CB941" s="71">
        <f t="shared" si="372"/>
        <v>0</v>
      </c>
      <c r="CD941" s="71"/>
      <c r="CE941" s="71"/>
      <c r="CF941" s="71">
        <f t="shared" si="373"/>
        <v>0</v>
      </c>
      <c r="CH941" s="71"/>
      <c r="CI941" s="71"/>
      <c r="CJ941" s="138">
        <f t="shared" si="374"/>
        <v>0</v>
      </c>
      <c r="CL941" s="71"/>
      <c r="CM941" s="71"/>
      <c r="CN941" s="71">
        <f t="shared" si="375"/>
        <v>0</v>
      </c>
      <c r="CS941" s="102">
        <f t="shared" si="376"/>
        <v>4.5293954747099576</v>
      </c>
      <c r="CT941" s="102">
        <f t="shared" si="377"/>
        <v>18.675175962423801</v>
      </c>
      <c r="CZ941" s="109" t="str">
        <f t="shared" si="378"/>
        <v>Basso</v>
      </c>
    </row>
    <row r="942" spans="9:104" x14ac:dyDescent="0.15">
      <c r="I942" s="64">
        <f t="shared" si="356"/>
        <v>76.99972307006928</v>
      </c>
      <c r="M942" s="64">
        <f t="shared" si="357"/>
        <v>0</v>
      </c>
      <c r="Q942" s="64">
        <f t="shared" si="358"/>
        <v>0</v>
      </c>
      <c r="U942" s="64">
        <f t="shared" si="359"/>
        <v>0</v>
      </c>
      <c r="Y942" s="114">
        <f t="shared" si="360"/>
        <v>0</v>
      </c>
      <c r="AC942" s="64">
        <f t="shared" si="361"/>
        <v>0</v>
      </c>
      <c r="AE942" s="71"/>
      <c r="AF942" s="71"/>
      <c r="AG942" s="71">
        <f t="shared" si="362"/>
        <v>0</v>
      </c>
      <c r="AK942" s="64">
        <f t="shared" si="363"/>
        <v>0</v>
      </c>
      <c r="AM942" s="71"/>
      <c r="AN942" s="71"/>
      <c r="AO942" s="71">
        <f t="shared" si="364"/>
        <v>0</v>
      </c>
      <c r="AQ942" s="71"/>
      <c r="AR942" s="71"/>
      <c r="AS942" s="71">
        <f t="shared" si="365"/>
        <v>0</v>
      </c>
      <c r="AU942" s="71"/>
      <c r="AV942" s="71"/>
      <c r="AW942" s="71">
        <f t="shared" si="366"/>
        <v>0</v>
      </c>
      <c r="AY942" s="71"/>
      <c r="AZ942" s="71"/>
      <c r="BA942" s="71">
        <f t="shared" si="367"/>
        <v>0</v>
      </c>
      <c r="BI942" s="71"/>
      <c r="BJ942" s="71"/>
      <c r="BK942" s="71">
        <f t="shared" si="368"/>
        <v>0</v>
      </c>
      <c r="BM942" s="71"/>
      <c r="BN942" s="71"/>
      <c r="BO942" s="71">
        <f t="shared" si="369"/>
        <v>0</v>
      </c>
      <c r="BQ942" s="71"/>
      <c r="BR942" s="71"/>
      <c r="BS942" s="138">
        <f t="shared" si="370"/>
        <v>0</v>
      </c>
      <c r="BU942" s="71"/>
      <c r="BV942" s="71"/>
      <c r="BW942" s="71">
        <f t="shared" si="371"/>
        <v>0</v>
      </c>
      <c r="BZ942" s="71"/>
      <c r="CA942" s="71"/>
      <c r="CB942" s="71">
        <f t="shared" si="372"/>
        <v>0</v>
      </c>
      <c r="CD942" s="71"/>
      <c r="CE942" s="71"/>
      <c r="CF942" s="71">
        <f t="shared" si="373"/>
        <v>0</v>
      </c>
      <c r="CH942" s="71"/>
      <c r="CI942" s="71"/>
      <c r="CJ942" s="138">
        <f t="shared" si="374"/>
        <v>0</v>
      </c>
      <c r="CL942" s="71"/>
      <c r="CM942" s="71"/>
      <c r="CN942" s="71">
        <f t="shared" si="375"/>
        <v>0</v>
      </c>
      <c r="CS942" s="102">
        <f t="shared" si="376"/>
        <v>4.5293954747099576</v>
      </c>
      <c r="CT942" s="102">
        <f t="shared" si="377"/>
        <v>18.675175962423801</v>
      </c>
      <c r="CZ942" s="109" t="str">
        <f t="shared" si="378"/>
        <v>Basso</v>
      </c>
    </row>
    <row r="943" spans="9:104" x14ac:dyDescent="0.15">
      <c r="I943" s="64">
        <f t="shared" si="356"/>
        <v>76.99972307006928</v>
      </c>
      <c r="M943" s="64">
        <f t="shared" si="357"/>
        <v>0</v>
      </c>
      <c r="Q943" s="64">
        <f t="shared" si="358"/>
        <v>0</v>
      </c>
      <c r="U943" s="64">
        <f t="shared" si="359"/>
        <v>0</v>
      </c>
      <c r="Y943" s="114">
        <f t="shared" si="360"/>
        <v>0</v>
      </c>
      <c r="AC943" s="64">
        <f t="shared" si="361"/>
        <v>0</v>
      </c>
      <c r="AE943" s="71"/>
      <c r="AF943" s="71"/>
      <c r="AG943" s="71">
        <f t="shared" si="362"/>
        <v>0</v>
      </c>
      <c r="AK943" s="64">
        <f t="shared" si="363"/>
        <v>0</v>
      </c>
      <c r="AM943" s="71"/>
      <c r="AN943" s="71"/>
      <c r="AO943" s="71">
        <f t="shared" si="364"/>
        <v>0</v>
      </c>
      <c r="AQ943" s="71"/>
      <c r="AR943" s="71"/>
      <c r="AS943" s="71">
        <f t="shared" si="365"/>
        <v>0</v>
      </c>
      <c r="AU943" s="71"/>
      <c r="AV943" s="71"/>
      <c r="AW943" s="71">
        <f t="shared" si="366"/>
        <v>0</v>
      </c>
      <c r="AY943" s="71"/>
      <c r="AZ943" s="71"/>
      <c r="BA943" s="71">
        <f t="shared" si="367"/>
        <v>0</v>
      </c>
      <c r="BI943" s="71"/>
      <c r="BJ943" s="71"/>
      <c r="BK943" s="71">
        <f t="shared" si="368"/>
        <v>0</v>
      </c>
      <c r="BM943" s="71"/>
      <c r="BN943" s="71"/>
      <c r="BO943" s="71">
        <f t="shared" si="369"/>
        <v>0</v>
      </c>
      <c r="BQ943" s="71"/>
      <c r="BR943" s="71"/>
      <c r="BS943" s="138">
        <f t="shared" si="370"/>
        <v>0</v>
      </c>
      <c r="BU943" s="71"/>
      <c r="BV943" s="71"/>
      <c r="BW943" s="71">
        <f t="shared" si="371"/>
        <v>0</v>
      </c>
      <c r="BZ943" s="71"/>
      <c r="CA943" s="71"/>
      <c r="CB943" s="71">
        <f t="shared" si="372"/>
        <v>0</v>
      </c>
      <c r="CD943" s="71"/>
      <c r="CE943" s="71"/>
      <c r="CF943" s="71">
        <f t="shared" si="373"/>
        <v>0</v>
      </c>
      <c r="CH943" s="71"/>
      <c r="CI943" s="71"/>
      <c r="CJ943" s="138">
        <f t="shared" si="374"/>
        <v>0</v>
      </c>
      <c r="CL943" s="71"/>
      <c r="CM943" s="71"/>
      <c r="CN943" s="71">
        <f t="shared" si="375"/>
        <v>0</v>
      </c>
      <c r="CS943" s="102">
        <f t="shared" si="376"/>
        <v>4.5293954747099576</v>
      </c>
      <c r="CT943" s="102">
        <f t="shared" si="377"/>
        <v>18.675175962423801</v>
      </c>
      <c r="CZ943" s="109" t="str">
        <f t="shared" si="378"/>
        <v>Basso</v>
      </c>
    </row>
    <row r="944" spans="9:104" x14ac:dyDescent="0.15">
      <c r="I944" s="64">
        <f t="shared" si="356"/>
        <v>76.99972307006928</v>
      </c>
      <c r="M944" s="64">
        <f t="shared" si="357"/>
        <v>0</v>
      </c>
      <c r="Q944" s="64">
        <f t="shared" si="358"/>
        <v>0</v>
      </c>
      <c r="U944" s="64">
        <f t="shared" si="359"/>
        <v>0</v>
      </c>
      <c r="Y944" s="114">
        <f t="shared" si="360"/>
        <v>0</v>
      </c>
      <c r="AC944" s="64">
        <f t="shared" si="361"/>
        <v>0</v>
      </c>
      <c r="AE944" s="71"/>
      <c r="AF944" s="71"/>
      <c r="AG944" s="71">
        <f t="shared" si="362"/>
        <v>0</v>
      </c>
      <c r="AK944" s="64">
        <f t="shared" si="363"/>
        <v>0</v>
      </c>
      <c r="AM944" s="71"/>
      <c r="AN944" s="71"/>
      <c r="AO944" s="71">
        <f t="shared" si="364"/>
        <v>0</v>
      </c>
      <c r="AQ944" s="71"/>
      <c r="AR944" s="71"/>
      <c r="AS944" s="71">
        <f t="shared" si="365"/>
        <v>0</v>
      </c>
      <c r="AU944" s="71"/>
      <c r="AV944" s="71"/>
      <c r="AW944" s="71">
        <f t="shared" si="366"/>
        <v>0</v>
      </c>
      <c r="AY944" s="71"/>
      <c r="AZ944" s="71"/>
      <c r="BA944" s="71">
        <f t="shared" si="367"/>
        <v>0</v>
      </c>
      <c r="BI944" s="71"/>
      <c r="BJ944" s="71"/>
      <c r="BK944" s="71">
        <f t="shared" si="368"/>
        <v>0</v>
      </c>
      <c r="BM944" s="71"/>
      <c r="BN944" s="71"/>
      <c r="BO944" s="71">
        <f t="shared" si="369"/>
        <v>0</v>
      </c>
      <c r="BQ944" s="71"/>
      <c r="BR944" s="71"/>
      <c r="BS944" s="138">
        <f t="shared" si="370"/>
        <v>0</v>
      </c>
      <c r="BU944" s="71"/>
      <c r="BV944" s="71"/>
      <c r="BW944" s="71">
        <f t="shared" si="371"/>
        <v>0</v>
      </c>
      <c r="BZ944" s="71"/>
      <c r="CA944" s="71"/>
      <c r="CB944" s="71">
        <f t="shared" si="372"/>
        <v>0</v>
      </c>
      <c r="CD944" s="71"/>
      <c r="CE944" s="71"/>
      <c r="CF944" s="71">
        <f t="shared" si="373"/>
        <v>0</v>
      </c>
      <c r="CH944" s="71"/>
      <c r="CI944" s="71"/>
      <c r="CJ944" s="138">
        <f t="shared" si="374"/>
        <v>0</v>
      </c>
      <c r="CL944" s="71"/>
      <c r="CM944" s="71"/>
      <c r="CN944" s="71">
        <f t="shared" si="375"/>
        <v>0</v>
      </c>
      <c r="CS944" s="102">
        <f t="shared" si="376"/>
        <v>4.5293954747099576</v>
      </c>
      <c r="CT944" s="102">
        <f t="shared" si="377"/>
        <v>18.675175962423801</v>
      </c>
      <c r="CZ944" s="109" t="str">
        <f t="shared" si="378"/>
        <v>Basso</v>
      </c>
    </row>
    <row r="945" spans="9:104" x14ac:dyDescent="0.15">
      <c r="I945" s="64">
        <f t="shared" si="356"/>
        <v>76.99972307006928</v>
      </c>
      <c r="M945" s="64">
        <f t="shared" si="357"/>
        <v>0</v>
      </c>
      <c r="Q945" s="64">
        <f t="shared" si="358"/>
        <v>0</v>
      </c>
      <c r="U945" s="64">
        <f t="shared" si="359"/>
        <v>0</v>
      </c>
      <c r="Y945" s="114">
        <f t="shared" si="360"/>
        <v>0</v>
      </c>
      <c r="AC945" s="64">
        <f t="shared" si="361"/>
        <v>0</v>
      </c>
      <c r="AE945" s="71"/>
      <c r="AF945" s="71"/>
      <c r="AG945" s="71">
        <f t="shared" si="362"/>
        <v>0</v>
      </c>
      <c r="AK945" s="64">
        <f t="shared" si="363"/>
        <v>0</v>
      </c>
      <c r="AM945" s="71"/>
      <c r="AN945" s="71"/>
      <c r="AO945" s="71">
        <f t="shared" si="364"/>
        <v>0</v>
      </c>
      <c r="AQ945" s="71"/>
      <c r="AR945" s="71"/>
      <c r="AS945" s="71">
        <f t="shared" si="365"/>
        <v>0</v>
      </c>
      <c r="AU945" s="71"/>
      <c r="AV945" s="71"/>
      <c r="AW945" s="71">
        <f t="shared" si="366"/>
        <v>0</v>
      </c>
      <c r="AY945" s="71"/>
      <c r="AZ945" s="71"/>
      <c r="BA945" s="71">
        <f t="shared" si="367"/>
        <v>0</v>
      </c>
      <c r="BI945" s="71"/>
      <c r="BJ945" s="71"/>
      <c r="BK945" s="71">
        <f t="shared" si="368"/>
        <v>0</v>
      </c>
      <c r="BM945" s="71"/>
      <c r="BN945" s="71"/>
      <c r="BO945" s="71">
        <f t="shared" si="369"/>
        <v>0</v>
      </c>
      <c r="BQ945" s="71"/>
      <c r="BR945" s="71"/>
      <c r="BS945" s="138">
        <f t="shared" si="370"/>
        <v>0</v>
      </c>
      <c r="BU945" s="71"/>
      <c r="BV945" s="71"/>
      <c r="BW945" s="71">
        <f t="shared" si="371"/>
        <v>0</v>
      </c>
      <c r="BZ945" s="71"/>
      <c r="CA945" s="71"/>
      <c r="CB945" s="71">
        <f t="shared" si="372"/>
        <v>0</v>
      </c>
      <c r="CD945" s="71"/>
      <c r="CE945" s="71"/>
      <c r="CF945" s="71">
        <f t="shared" si="373"/>
        <v>0</v>
      </c>
      <c r="CH945" s="71"/>
      <c r="CI945" s="71"/>
      <c r="CJ945" s="138">
        <f t="shared" si="374"/>
        <v>0</v>
      </c>
      <c r="CL945" s="71"/>
      <c r="CM945" s="71"/>
      <c r="CN945" s="71">
        <f t="shared" si="375"/>
        <v>0</v>
      </c>
      <c r="CS945" s="102">
        <f t="shared" si="376"/>
        <v>4.5293954747099576</v>
      </c>
      <c r="CT945" s="102">
        <f t="shared" si="377"/>
        <v>18.675175962423801</v>
      </c>
      <c r="CZ945" s="109" t="str">
        <f t="shared" si="378"/>
        <v>Basso</v>
      </c>
    </row>
    <row r="946" spans="9:104" x14ac:dyDescent="0.15">
      <c r="I946" s="64">
        <f t="shared" si="356"/>
        <v>76.99972307006928</v>
      </c>
      <c r="M946" s="64">
        <f t="shared" si="357"/>
        <v>0</v>
      </c>
      <c r="Q946" s="64">
        <f t="shared" si="358"/>
        <v>0</v>
      </c>
      <c r="U946" s="64">
        <f t="shared" si="359"/>
        <v>0</v>
      </c>
      <c r="Y946" s="114">
        <f t="shared" si="360"/>
        <v>0</v>
      </c>
      <c r="AC946" s="64">
        <f t="shared" si="361"/>
        <v>0</v>
      </c>
      <c r="AE946" s="71"/>
      <c r="AF946" s="71"/>
      <c r="AG946" s="71">
        <f t="shared" si="362"/>
        <v>0</v>
      </c>
      <c r="AK946" s="64">
        <f t="shared" si="363"/>
        <v>0</v>
      </c>
      <c r="AM946" s="71"/>
      <c r="AN946" s="71"/>
      <c r="AO946" s="71">
        <f t="shared" si="364"/>
        <v>0</v>
      </c>
      <c r="AQ946" s="71"/>
      <c r="AR946" s="71"/>
      <c r="AS946" s="71">
        <f t="shared" si="365"/>
        <v>0</v>
      </c>
      <c r="AU946" s="71"/>
      <c r="AV946" s="71"/>
      <c r="AW946" s="71">
        <f t="shared" si="366"/>
        <v>0</v>
      </c>
      <c r="AY946" s="71"/>
      <c r="AZ946" s="71"/>
      <c r="BA946" s="71">
        <f t="shared" si="367"/>
        <v>0</v>
      </c>
      <c r="BI946" s="71"/>
      <c r="BJ946" s="71"/>
      <c r="BK946" s="71">
        <f t="shared" si="368"/>
        <v>0</v>
      </c>
      <c r="BM946" s="71"/>
      <c r="BN946" s="71"/>
      <c r="BO946" s="71">
        <f t="shared" si="369"/>
        <v>0</v>
      </c>
      <c r="BQ946" s="71"/>
      <c r="BR946" s="71"/>
      <c r="BS946" s="138">
        <f t="shared" si="370"/>
        <v>0</v>
      </c>
      <c r="BU946" s="71"/>
      <c r="BV946" s="71"/>
      <c r="BW946" s="71">
        <f t="shared" si="371"/>
        <v>0</v>
      </c>
      <c r="BZ946" s="71"/>
      <c r="CA946" s="71"/>
      <c r="CB946" s="71">
        <f t="shared" si="372"/>
        <v>0</v>
      </c>
      <c r="CD946" s="71"/>
      <c r="CE946" s="71"/>
      <c r="CF946" s="71">
        <f t="shared" si="373"/>
        <v>0</v>
      </c>
      <c r="CH946" s="71"/>
      <c r="CI946" s="71"/>
      <c r="CJ946" s="138">
        <f t="shared" si="374"/>
        <v>0</v>
      </c>
      <c r="CL946" s="71"/>
      <c r="CM946" s="71"/>
      <c r="CN946" s="71">
        <f t="shared" si="375"/>
        <v>0</v>
      </c>
      <c r="CS946" s="102">
        <f t="shared" si="376"/>
        <v>4.5293954747099576</v>
      </c>
      <c r="CT946" s="102">
        <f t="shared" si="377"/>
        <v>18.675175962423801</v>
      </c>
      <c r="CZ946" s="109" t="str">
        <f t="shared" si="378"/>
        <v>Basso</v>
      </c>
    </row>
    <row r="947" spans="9:104" x14ac:dyDescent="0.15">
      <c r="I947" s="64">
        <f t="shared" si="356"/>
        <v>76.99972307006928</v>
      </c>
      <c r="M947" s="64">
        <f t="shared" si="357"/>
        <v>0</v>
      </c>
      <c r="Q947" s="64">
        <f t="shared" si="358"/>
        <v>0</v>
      </c>
      <c r="U947" s="64">
        <f t="shared" si="359"/>
        <v>0</v>
      </c>
      <c r="Y947" s="114">
        <f t="shared" si="360"/>
        <v>0</v>
      </c>
      <c r="AC947" s="64">
        <f t="shared" si="361"/>
        <v>0</v>
      </c>
      <c r="AE947" s="71"/>
      <c r="AF947" s="71"/>
      <c r="AG947" s="71">
        <f t="shared" si="362"/>
        <v>0</v>
      </c>
      <c r="AK947" s="64">
        <f t="shared" si="363"/>
        <v>0</v>
      </c>
      <c r="AM947" s="71"/>
      <c r="AN947" s="71"/>
      <c r="AO947" s="71">
        <f t="shared" si="364"/>
        <v>0</v>
      </c>
      <c r="AQ947" s="71"/>
      <c r="AR947" s="71"/>
      <c r="AS947" s="71">
        <f t="shared" si="365"/>
        <v>0</v>
      </c>
      <c r="AU947" s="71"/>
      <c r="AV947" s="71"/>
      <c r="AW947" s="71">
        <f t="shared" si="366"/>
        <v>0</v>
      </c>
      <c r="AY947" s="71"/>
      <c r="AZ947" s="71"/>
      <c r="BA947" s="71">
        <f t="shared" si="367"/>
        <v>0</v>
      </c>
      <c r="BI947" s="71"/>
      <c r="BJ947" s="71"/>
      <c r="BK947" s="71">
        <f t="shared" si="368"/>
        <v>0</v>
      </c>
      <c r="BM947" s="71"/>
      <c r="BN947" s="71"/>
      <c r="BO947" s="71">
        <f t="shared" si="369"/>
        <v>0</v>
      </c>
      <c r="BQ947" s="71"/>
      <c r="BR947" s="71"/>
      <c r="BS947" s="138">
        <f t="shared" si="370"/>
        <v>0</v>
      </c>
      <c r="BU947" s="71"/>
      <c r="BV947" s="71"/>
      <c r="BW947" s="71">
        <f t="shared" si="371"/>
        <v>0</v>
      </c>
      <c r="BZ947" s="71"/>
      <c r="CA947" s="71"/>
      <c r="CB947" s="71">
        <f t="shared" si="372"/>
        <v>0</v>
      </c>
      <c r="CD947" s="71"/>
      <c r="CE947" s="71"/>
      <c r="CF947" s="71">
        <f t="shared" si="373"/>
        <v>0</v>
      </c>
      <c r="CH947" s="71"/>
      <c r="CI947" s="71"/>
      <c r="CJ947" s="138">
        <f t="shared" si="374"/>
        <v>0</v>
      </c>
      <c r="CL947" s="71"/>
      <c r="CM947" s="71"/>
      <c r="CN947" s="71">
        <f t="shared" si="375"/>
        <v>0</v>
      </c>
      <c r="CS947" s="102">
        <f t="shared" si="376"/>
        <v>4.5293954747099576</v>
      </c>
      <c r="CT947" s="102">
        <f t="shared" si="377"/>
        <v>18.675175962423801</v>
      </c>
      <c r="CZ947" s="109" t="str">
        <f t="shared" si="378"/>
        <v>Basso</v>
      </c>
    </row>
    <row r="948" spans="9:104" x14ac:dyDescent="0.15">
      <c r="I948" s="64">
        <f t="shared" si="356"/>
        <v>76.99972307006928</v>
      </c>
      <c r="M948" s="64">
        <f t="shared" si="357"/>
        <v>0</v>
      </c>
      <c r="Q948" s="64">
        <f t="shared" si="358"/>
        <v>0</v>
      </c>
      <c r="U948" s="64">
        <f t="shared" si="359"/>
        <v>0</v>
      </c>
      <c r="Y948" s="114">
        <f t="shared" si="360"/>
        <v>0</v>
      </c>
      <c r="AC948" s="64">
        <f t="shared" si="361"/>
        <v>0</v>
      </c>
      <c r="AE948" s="71"/>
      <c r="AF948" s="71"/>
      <c r="AG948" s="71">
        <f t="shared" si="362"/>
        <v>0</v>
      </c>
      <c r="AK948" s="64">
        <f t="shared" si="363"/>
        <v>0</v>
      </c>
      <c r="AM948" s="71"/>
      <c r="AN948" s="71"/>
      <c r="AO948" s="71">
        <f t="shared" si="364"/>
        <v>0</v>
      </c>
      <c r="AQ948" s="71"/>
      <c r="AR948" s="71"/>
      <c r="AS948" s="71">
        <f t="shared" si="365"/>
        <v>0</v>
      </c>
      <c r="AU948" s="71"/>
      <c r="AV948" s="71"/>
      <c r="AW948" s="71">
        <f t="shared" si="366"/>
        <v>0</v>
      </c>
      <c r="AY948" s="71"/>
      <c r="AZ948" s="71"/>
      <c r="BA948" s="71">
        <f t="shared" si="367"/>
        <v>0</v>
      </c>
      <c r="BI948" s="71"/>
      <c r="BJ948" s="71"/>
      <c r="BK948" s="71">
        <f t="shared" si="368"/>
        <v>0</v>
      </c>
      <c r="BM948" s="71"/>
      <c r="BN948" s="71"/>
      <c r="BO948" s="71">
        <f t="shared" si="369"/>
        <v>0</v>
      </c>
      <c r="BQ948" s="71"/>
      <c r="BR948" s="71"/>
      <c r="BS948" s="138">
        <f t="shared" si="370"/>
        <v>0</v>
      </c>
      <c r="BU948" s="71"/>
      <c r="BV948" s="71"/>
      <c r="BW948" s="71">
        <f t="shared" si="371"/>
        <v>0</v>
      </c>
      <c r="BZ948" s="71"/>
      <c r="CA948" s="71"/>
      <c r="CB948" s="71">
        <f t="shared" si="372"/>
        <v>0</v>
      </c>
      <c r="CD948" s="71"/>
      <c r="CE948" s="71"/>
      <c r="CF948" s="71">
        <f t="shared" si="373"/>
        <v>0</v>
      </c>
      <c r="CH948" s="71"/>
      <c r="CI948" s="71"/>
      <c r="CJ948" s="138">
        <f t="shared" si="374"/>
        <v>0</v>
      </c>
      <c r="CL948" s="71"/>
      <c r="CM948" s="71"/>
      <c r="CN948" s="71">
        <f t="shared" si="375"/>
        <v>0</v>
      </c>
      <c r="CS948" s="102">
        <f t="shared" si="376"/>
        <v>4.5293954747099576</v>
      </c>
      <c r="CT948" s="102">
        <f t="shared" si="377"/>
        <v>18.675175962423801</v>
      </c>
      <c r="CZ948" s="109" t="str">
        <f t="shared" si="378"/>
        <v>Basso</v>
      </c>
    </row>
    <row r="949" spans="9:104" x14ac:dyDescent="0.15">
      <c r="I949" s="64">
        <f t="shared" si="356"/>
        <v>76.99972307006928</v>
      </c>
      <c r="M949" s="64">
        <f t="shared" si="357"/>
        <v>0</v>
      </c>
      <c r="Q949" s="64">
        <f t="shared" si="358"/>
        <v>0</v>
      </c>
      <c r="U949" s="64">
        <f t="shared" si="359"/>
        <v>0</v>
      </c>
      <c r="Y949" s="114">
        <f t="shared" si="360"/>
        <v>0</v>
      </c>
      <c r="AC949" s="64">
        <f t="shared" si="361"/>
        <v>0</v>
      </c>
      <c r="AE949" s="71"/>
      <c r="AF949" s="71"/>
      <c r="AG949" s="71">
        <f t="shared" si="362"/>
        <v>0</v>
      </c>
      <c r="AK949" s="64">
        <f t="shared" si="363"/>
        <v>0</v>
      </c>
      <c r="AM949" s="71"/>
      <c r="AN949" s="71"/>
      <c r="AO949" s="71">
        <f t="shared" si="364"/>
        <v>0</v>
      </c>
      <c r="AQ949" s="71"/>
      <c r="AR949" s="71"/>
      <c r="AS949" s="71">
        <f t="shared" si="365"/>
        <v>0</v>
      </c>
      <c r="AU949" s="71"/>
      <c r="AV949" s="71"/>
      <c r="AW949" s="71">
        <f t="shared" si="366"/>
        <v>0</v>
      </c>
      <c r="AY949" s="71"/>
      <c r="AZ949" s="71"/>
      <c r="BA949" s="71">
        <f t="shared" si="367"/>
        <v>0</v>
      </c>
      <c r="BI949" s="71"/>
      <c r="BJ949" s="71"/>
      <c r="BK949" s="71">
        <f t="shared" si="368"/>
        <v>0</v>
      </c>
      <c r="BM949" s="71"/>
      <c r="BN949" s="71"/>
      <c r="BO949" s="71">
        <f t="shared" si="369"/>
        <v>0</v>
      </c>
      <c r="BQ949" s="71"/>
      <c r="BR949" s="71"/>
      <c r="BS949" s="138">
        <f t="shared" si="370"/>
        <v>0</v>
      </c>
      <c r="BU949" s="71"/>
      <c r="BV949" s="71"/>
      <c r="BW949" s="71">
        <f t="shared" si="371"/>
        <v>0</v>
      </c>
      <c r="BZ949" s="71"/>
      <c r="CA949" s="71"/>
      <c r="CB949" s="71">
        <f t="shared" si="372"/>
        <v>0</v>
      </c>
      <c r="CD949" s="71"/>
      <c r="CE949" s="71"/>
      <c r="CF949" s="71">
        <f t="shared" si="373"/>
        <v>0</v>
      </c>
      <c r="CH949" s="71"/>
      <c r="CI949" s="71"/>
      <c r="CJ949" s="138">
        <f t="shared" si="374"/>
        <v>0</v>
      </c>
      <c r="CL949" s="71"/>
      <c r="CM949" s="71"/>
      <c r="CN949" s="71">
        <f t="shared" si="375"/>
        <v>0</v>
      </c>
      <c r="CS949" s="102">
        <f t="shared" si="376"/>
        <v>4.5293954747099576</v>
      </c>
      <c r="CT949" s="102">
        <f t="shared" si="377"/>
        <v>18.675175962423801</v>
      </c>
      <c r="CZ949" s="109" t="str">
        <f t="shared" si="378"/>
        <v>Basso</v>
      </c>
    </row>
    <row r="950" spans="9:104" x14ac:dyDescent="0.15">
      <c r="I950" s="64">
        <f t="shared" si="356"/>
        <v>76.99972307006928</v>
      </c>
      <c r="M950" s="64">
        <f t="shared" si="357"/>
        <v>0</v>
      </c>
      <c r="Q950" s="64">
        <f t="shared" si="358"/>
        <v>0</v>
      </c>
      <c r="U950" s="64">
        <f t="shared" si="359"/>
        <v>0</v>
      </c>
      <c r="Y950" s="114">
        <f t="shared" si="360"/>
        <v>0</v>
      </c>
      <c r="AC950" s="64">
        <f t="shared" si="361"/>
        <v>0</v>
      </c>
      <c r="AE950" s="71"/>
      <c r="AF950" s="71"/>
      <c r="AG950" s="71">
        <f t="shared" si="362"/>
        <v>0</v>
      </c>
      <c r="AK950" s="64">
        <f t="shared" si="363"/>
        <v>0</v>
      </c>
      <c r="AM950" s="71"/>
      <c r="AN950" s="71"/>
      <c r="AO950" s="71">
        <f t="shared" si="364"/>
        <v>0</v>
      </c>
      <c r="AQ950" s="71"/>
      <c r="AR950" s="71"/>
      <c r="AS950" s="71">
        <f t="shared" si="365"/>
        <v>0</v>
      </c>
      <c r="AU950" s="71"/>
      <c r="AV950" s="71"/>
      <c r="AW950" s="71">
        <f t="shared" si="366"/>
        <v>0</v>
      </c>
      <c r="AY950" s="71"/>
      <c r="AZ950" s="71"/>
      <c r="BA950" s="71">
        <f t="shared" si="367"/>
        <v>0</v>
      </c>
      <c r="BI950" s="71"/>
      <c r="BJ950" s="71"/>
      <c r="BK950" s="71">
        <f t="shared" si="368"/>
        <v>0</v>
      </c>
      <c r="BM950" s="71"/>
      <c r="BN950" s="71"/>
      <c r="BO950" s="71">
        <f t="shared" si="369"/>
        <v>0</v>
      </c>
      <c r="BQ950" s="71"/>
      <c r="BR950" s="71"/>
      <c r="BS950" s="138">
        <f t="shared" si="370"/>
        <v>0</v>
      </c>
      <c r="BU950" s="71"/>
      <c r="BV950" s="71"/>
      <c r="BW950" s="71">
        <f t="shared" si="371"/>
        <v>0</v>
      </c>
      <c r="BZ950" s="71"/>
      <c r="CA950" s="71"/>
      <c r="CB950" s="71">
        <f t="shared" si="372"/>
        <v>0</v>
      </c>
      <c r="CD950" s="71"/>
      <c r="CE950" s="71"/>
      <c r="CF950" s="71">
        <f t="shared" si="373"/>
        <v>0</v>
      </c>
      <c r="CH950" s="71"/>
      <c r="CI950" s="71"/>
      <c r="CJ950" s="138">
        <f t="shared" si="374"/>
        <v>0</v>
      </c>
      <c r="CL950" s="71"/>
      <c r="CM950" s="71"/>
      <c r="CN950" s="71">
        <f t="shared" si="375"/>
        <v>0</v>
      </c>
      <c r="CS950" s="102">
        <f t="shared" si="376"/>
        <v>4.5293954747099576</v>
      </c>
      <c r="CT950" s="102">
        <f t="shared" si="377"/>
        <v>18.675175962423801</v>
      </c>
      <c r="CZ950" s="109" t="str">
        <f t="shared" si="378"/>
        <v>Basso</v>
      </c>
    </row>
    <row r="951" spans="9:104" x14ac:dyDescent="0.15">
      <c r="I951" s="64">
        <f t="shared" si="356"/>
        <v>76.99972307006928</v>
      </c>
      <c r="M951" s="64">
        <f t="shared" si="357"/>
        <v>0</v>
      </c>
      <c r="Q951" s="64">
        <f t="shared" si="358"/>
        <v>0</v>
      </c>
      <c r="U951" s="64">
        <f t="shared" si="359"/>
        <v>0</v>
      </c>
      <c r="Y951" s="114">
        <f t="shared" si="360"/>
        <v>0</v>
      </c>
      <c r="AC951" s="64">
        <f t="shared" si="361"/>
        <v>0</v>
      </c>
      <c r="AE951" s="71"/>
      <c r="AF951" s="71"/>
      <c r="AG951" s="71">
        <f t="shared" si="362"/>
        <v>0</v>
      </c>
      <c r="AK951" s="64">
        <f t="shared" si="363"/>
        <v>0</v>
      </c>
      <c r="AM951" s="71"/>
      <c r="AN951" s="71"/>
      <c r="AO951" s="71">
        <f t="shared" si="364"/>
        <v>0</v>
      </c>
      <c r="AQ951" s="71"/>
      <c r="AR951" s="71"/>
      <c r="AS951" s="71">
        <f t="shared" si="365"/>
        <v>0</v>
      </c>
      <c r="AU951" s="71"/>
      <c r="AV951" s="71"/>
      <c r="AW951" s="71">
        <f t="shared" si="366"/>
        <v>0</v>
      </c>
      <c r="AY951" s="71"/>
      <c r="AZ951" s="71"/>
      <c r="BA951" s="71">
        <f t="shared" si="367"/>
        <v>0</v>
      </c>
      <c r="BI951" s="71"/>
      <c r="BJ951" s="71"/>
      <c r="BK951" s="71">
        <f t="shared" si="368"/>
        <v>0</v>
      </c>
      <c r="BM951" s="71"/>
      <c r="BN951" s="71"/>
      <c r="BO951" s="71">
        <f t="shared" si="369"/>
        <v>0</v>
      </c>
      <c r="BQ951" s="71"/>
      <c r="BR951" s="71"/>
      <c r="BS951" s="138">
        <f t="shared" si="370"/>
        <v>0</v>
      </c>
      <c r="BU951" s="71"/>
      <c r="BV951" s="71"/>
      <c r="BW951" s="71">
        <f t="shared" si="371"/>
        <v>0</v>
      </c>
      <c r="BZ951" s="71"/>
      <c r="CA951" s="71"/>
      <c r="CB951" s="71">
        <f t="shared" si="372"/>
        <v>0</v>
      </c>
      <c r="CD951" s="71"/>
      <c r="CE951" s="71"/>
      <c r="CF951" s="71">
        <f t="shared" si="373"/>
        <v>0</v>
      </c>
      <c r="CH951" s="71"/>
      <c r="CI951" s="71"/>
      <c r="CJ951" s="138">
        <f t="shared" si="374"/>
        <v>0</v>
      </c>
      <c r="CL951" s="71"/>
      <c r="CM951" s="71"/>
      <c r="CN951" s="71">
        <f t="shared" si="375"/>
        <v>0</v>
      </c>
      <c r="CS951" s="102">
        <f t="shared" si="376"/>
        <v>4.5293954747099576</v>
      </c>
      <c r="CT951" s="102">
        <f t="shared" si="377"/>
        <v>18.675175962423801</v>
      </c>
      <c r="CZ951" s="109" t="str">
        <f t="shared" si="378"/>
        <v>Basso</v>
      </c>
    </row>
    <row r="952" spans="9:104" x14ac:dyDescent="0.15">
      <c r="I952" s="64">
        <f t="shared" si="356"/>
        <v>76.99972307006928</v>
      </c>
      <c r="M952" s="64">
        <f t="shared" si="357"/>
        <v>0</v>
      </c>
      <c r="Q952" s="64">
        <f t="shared" si="358"/>
        <v>0</v>
      </c>
      <c r="U952" s="64">
        <f t="shared" si="359"/>
        <v>0</v>
      </c>
      <c r="Y952" s="114">
        <f t="shared" si="360"/>
        <v>0</v>
      </c>
      <c r="AC952" s="64">
        <f t="shared" si="361"/>
        <v>0</v>
      </c>
      <c r="AE952" s="71"/>
      <c r="AF952" s="71"/>
      <c r="AG952" s="71">
        <f t="shared" si="362"/>
        <v>0</v>
      </c>
      <c r="AK952" s="64">
        <f t="shared" si="363"/>
        <v>0</v>
      </c>
      <c r="AM952" s="71"/>
      <c r="AN952" s="71"/>
      <c r="AO952" s="71">
        <f t="shared" si="364"/>
        <v>0</v>
      </c>
      <c r="AQ952" s="71"/>
      <c r="AR952" s="71"/>
      <c r="AS952" s="71">
        <f t="shared" si="365"/>
        <v>0</v>
      </c>
      <c r="AU952" s="71"/>
      <c r="AV952" s="71"/>
      <c r="AW952" s="71">
        <f t="shared" si="366"/>
        <v>0</v>
      </c>
      <c r="AY952" s="71"/>
      <c r="AZ952" s="71"/>
      <c r="BA952" s="71">
        <f t="shared" si="367"/>
        <v>0</v>
      </c>
      <c r="BI952" s="71"/>
      <c r="BJ952" s="71"/>
      <c r="BK952" s="71">
        <f t="shared" si="368"/>
        <v>0</v>
      </c>
      <c r="BM952" s="71"/>
      <c r="BN952" s="71"/>
      <c r="BO952" s="71">
        <f t="shared" si="369"/>
        <v>0</v>
      </c>
      <c r="BQ952" s="71"/>
      <c r="BR952" s="71"/>
      <c r="BS952" s="138">
        <f t="shared" si="370"/>
        <v>0</v>
      </c>
      <c r="BU952" s="71"/>
      <c r="BV952" s="71"/>
      <c r="BW952" s="71">
        <f t="shared" si="371"/>
        <v>0</v>
      </c>
      <c r="BZ952" s="71"/>
      <c r="CA952" s="71"/>
      <c r="CB952" s="71">
        <f t="shared" si="372"/>
        <v>0</v>
      </c>
      <c r="CD952" s="71"/>
      <c r="CE952" s="71"/>
      <c r="CF952" s="71">
        <f t="shared" si="373"/>
        <v>0</v>
      </c>
      <c r="CH952" s="71"/>
      <c r="CI952" s="71"/>
      <c r="CJ952" s="138">
        <f t="shared" si="374"/>
        <v>0</v>
      </c>
      <c r="CL952" s="71"/>
      <c r="CM952" s="71"/>
      <c r="CN952" s="71">
        <f t="shared" si="375"/>
        <v>0</v>
      </c>
      <c r="CS952" s="102">
        <f t="shared" si="376"/>
        <v>4.5293954747099576</v>
      </c>
      <c r="CT952" s="102">
        <f t="shared" si="377"/>
        <v>18.675175962423801</v>
      </c>
      <c r="CZ952" s="109" t="str">
        <f t="shared" si="378"/>
        <v>Basso</v>
      </c>
    </row>
    <row r="953" spans="9:104" x14ac:dyDescent="0.15">
      <c r="I953" s="64">
        <f t="shared" si="356"/>
        <v>76.99972307006928</v>
      </c>
      <c r="M953" s="64">
        <f t="shared" si="357"/>
        <v>0</v>
      </c>
      <c r="Q953" s="64">
        <f t="shared" si="358"/>
        <v>0</v>
      </c>
      <c r="U953" s="64">
        <f t="shared" si="359"/>
        <v>0</v>
      </c>
      <c r="Y953" s="114">
        <f t="shared" si="360"/>
        <v>0</v>
      </c>
      <c r="AC953" s="64">
        <f t="shared" si="361"/>
        <v>0</v>
      </c>
      <c r="AE953" s="71"/>
      <c r="AF953" s="71"/>
      <c r="AG953" s="71">
        <f t="shared" si="362"/>
        <v>0</v>
      </c>
      <c r="AK953" s="64">
        <f t="shared" si="363"/>
        <v>0</v>
      </c>
      <c r="AM953" s="71"/>
      <c r="AN953" s="71"/>
      <c r="AO953" s="71">
        <f t="shared" si="364"/>
        <v>0</v>
      </c>
      <c r="AQ953" s="71"/>
      <c r="AR953" s="71"/>
      <c r="AS953" s="71">
        <f t="shared" si="365"/>
        <v>0</v>
      </c>
      <c r="AU953" s="71"/>
      <c r="AV953" s="71"/>
      <c r="AW953" s="71">
        <f t="shared" si="366"/>
        <v>0</v>
      </c>
      <c r="AY953" s="71"/>
      <c r="AZ953" s="71"/>
      <c r="BA953" s="71">
        <f t="shared" si="367"/>
        <v>0</v>
      </c>
      <c r="BI953" s="71"/>
      <c r="BJ953" s="71"/>
      <c r="BK953" s="71">
        <f t="shared" si="368"/>
        <v>0</v>
      </c>
      <c r="BM953" s="71"/>
      <c r="BN953" s="71"/>
      <c r="BO953" s="71">
        <f t="shared" si="369"/>
        <v>0</v>
      </c>
      <c r="BQ953" s="71"/>
      <c r="BR953" s="71"/>
      <c r="BS953" s="138">
        <f t="shared" si="370"/>
        <v>0</v>
      </c>
      <c r="BU953" s="71"/>
      <c r="BV953" s="71"/>
      <c r="BW953" s="71">
        <f t="shared" si="371"/>
        <v>0</v>
      </c>
      <c r="BZ953" s="71"/>
      <c r="CA953" s="71"/>
      <c r="CB953" s="71">
        <f t="shared" si="372"/>
        <v>0</v>
      </c>
      <c r="CD953" s="71"/>
      <c r="CE953" s="71"/>
      <c r="CF953" s="71">
        <f t="shared" si="373"/>
        <v>0</v>
      </c>
      <c r="CH953" s="71"/>
      <c r="CI953" s="71"/>
      <c r="CJ953" s="138">
        <f t="shared" si="374"/>
        <v>0</v>
      </c>
      <c r="CL953" s="71"/>
      <c r="CM953" s="71"/>
      <c r="CN953" s="71">
        <f t="shared" si="375"/>
        <v>0</v>
      </c>
      <c r="CS953" s="102">
        <f t="shared" si="376"/>
        <v>4.5293954747099576</v>
      </c>
      <c r="CT953" s="102">
        <f t="shared" si="377"/>
        <v>18.675175962423801</v>
      </c>
      <c r="CZ953" s="109" t="str">
        <f t="shared" si="378"/>
        <v>Basso</v>
      </c>
    </row>
    <row r="954" spans="9:104" x14ac:dyDescent="0.15">
      <c r="I954" s="64">
        <f t="shared" si="356"/>
        <v>76.99972307006928</v>
      </c>
      <c r="M954" s="64">
        <f t="shared" si="357"/>
        <v>0</v>
      </c>
      <c r="Q954" s="64">
        <f t="shared" si="358"/>
        <v>0</v>
      </c>
      <c r="U954" s="64">
        <f t="shared" si="359"/>
        <v>0</v>
      </c>
      <c r="Y954" s="114">
        <f t="shared" si="360"/>
        <v>0</v>
      </c>
      <c r="AC954" s="64">
        <f t="shared" si="361"/>
        <v>0</v>
      </c>
      <c r="AE954" s="71"/>
      <c r="AF954" s="71"/>
      <c r="AG954" s="71">
        <f t="shared" si="362"/>
        <v>0</v>
      </c>
      <c r="AK954" s="64">
        <f t="shared" si="363"/>
        <v>0</v>
      </c>
      <c r="AM954" s="71"/>
      <c r="AN954" s="71"/>
      <c r="AO954" s="71">
        <f t="shared" si="364"/>
        <v>0</v>
      </c>
      <c r="AQ954" s="71"/>
      <c r="AR954" s="71"/>
      <c r="AS954" s="71">
        <f t="shared" si="365"/>
        <v>0</v>
      </c>
      <c r="AU954" s="71"/>
      <c r="AV954" s="71"/>
      <c r="AW954" s="71">
        <f t="shared" si="366"/>
        <v>0</v>
      </c>
      <c r="AY954" s="71"/>
      <c r="AZ954" s="71"/>
      <c r="BA954" s="71">
        <f t="shared" si="367"/>
        <v>0</v>
      </c>
      <c r="BI954" s="71"/>
      <c r="BJ954" s="71"/>
      <c r="BK954" s="71">
        <f t="shared" si="368"/>
        <v>0</v>
      </c>
      <c r="BM954" s="71"/>
      <c r="BN954" s="71"/>
      <c r="BO954" s="71">
        <f t="shared" si="369"/>
        <v>0</v>
      </c>
      <c r="BQ954" s="71"/>
      <c r="BR954" s="71"/>
      <c r="BS954" s="138">
        <f t="shared" si="370"/>
        <v>0</v>
      </c>
      <c r="BU954" s="71"/>
      <c r="BV954" s="71"/>
      <c r="BW954" s="71">
        <f t="shared" si="371"/>
        <v>0</v>
      </c>
      <c r="BZ954" s="71"/>
      <c r="CA954" s="71"/>
      <c r="CB954" s="71">
        <f t="shared" si="372"/>
        <v>0</v>
      </c>
      <c r="CD954" s="71"/>
      <c r="CE954" s="71"/>
      <c r="CF954" s="71">
        <f t="shared" si="373"/>
        <v>0</v>
      </c>
      <c r="CH954" s="71"/>
      <c r="CI954" s="71"/>
      <c r="CJ954" s="138">
        <f t="shared" si="374"/>
        <v>0</v>
      </c>
      <c r="CL954" s="71"/>
      <c r="CM954" s="71"/>
      <c r="CN954" s="71">
        <f t="shared" si="375"/>
        <v>0</v>
      </c>
      <c r="CS954" s="102">
        <f t="shared" si="376"/>
        <v>4.5293954747099576</v>
      </c>
      <c r="CT954" s="102">
        <f t="shared" si="377"/>
        <v>18.675175962423801</v>
      </c>
      <c r="CZ954" s="109" t="str">
        <f t="shared" si="378"/>
        <v>Basso</v>
      </c>
    </row>
    <row r="955" spans="9:104" x14ac:dyDescent="0.15">
      <c r="I955" s="64">
        <f t="shared" si="356"/>
        <v>76.99972307006928</v>
      </c>
      <c r="M955" s="64">
        <f t="shared" si="357"/>
        <v>0</v>
      </c>
      <c r="Q955" s="64">
        <f t="shared" si="358"/>
        <v>0</v>
      </c>
      <c r="U955" s="64">
        <f t="shared" si="359"/>
        <v>0</v>
      </c>
      <c r="Y955" s="114">
        <f t="shared" si="360"/>
        <v>0</v>
      </c>
      <c r="AC955" s="64">
        <f t="shared" si="361"/>
        <v>0</v>
      </c>
      <c r="AE955" s="71"/>
      <c r="AF955" s="71"/>
      <c r="AG955" s="71">
        <f t="shared" si="362"/>
        <v>0</v>
      </c>
      <c r="AK955" s="64">
        <f t="shared" si="363"/>
        <v>0</v>
      </c>
      <c r="AM955" s="71"/>
      <c r="AN955" s="71"/>
      <c r="AO955" s="71">
        <f t="shared" si="364"/>
        <v>0</v>
      </c>
      <c r="AQ955" s="71"/>
      <c r="AR955" s="71"/>
      <c r="AS955" s="71">
        <f t="shared" si="365"/>
        <v>0</v>
      </c>
      <c r="AU955" s="71"/>
      <c r="AV955" s="71"/>
      <c r="AW955" s="71">
        <f t="shared" si="366"/>
        <v>0</v>
      </c>
      <c r="AY955" s="71"/>
      <c r="AZ955" s="71"/>
      <c r="BA955" s="71">
        <f t="shared" si="367"/>
        <v>0</v>
      </c>
      <c r="BI955" s="71"/>
      <c r="BJ955" s="71"/>
      <c r="BK955" s="71">
        <f t="shared" si="368"/>
        <v>0</v>
      </c>
      <c r="BM955" s="71"/>
      <c r="BN955" s="71"/>
      <c r="BO955" s="71">
        <f t="shared" si="369"/>
        <v>0</v>
      </c>
      <c r="BQ955" s="71"/>
      <c r="BR955" s="71"/>
      <c r="BS955" s="138">
        <f t="shared" si="370"/>
        <v>0</v>
      </c>
      <c r="BU955" s="71"/>
      <c r="BV955" s="71"/>
      <c r="BW955" s="71">
        <f t="shared" si="371"/>
        <v>0</v>
      </c>
      <c r="BZ955" s="71"/>
      <c r="CA955" s="71"/>
      <c r="CB955" s="71">
        <f t="shared" si="372"/>
        <v>0</v>
      </c>
      <c r="CD955" s="71"/>
      <c r="CE955" s="71"/>
      <c r="CF955" s="71">
        <f t="shared" si="373"/>
        <v>0</v>
      </c>
      <c r="CH955" s="71"/>
      <c r="CI955" s="71"/>
      <c r="CJ955" s="138">
        <f t="shared" si="374"/>
        <v>0</v>
      </c>
      <c r="CL955" s="71"/>
      <c r="CM955" s="71"/>
      <c r="CN955" s="71">
        <f t="shared" si="375"/>
        <v>0</v>
      </c>
      <c r="CS955" s="102">
        <f t="shared" si="376"/>
        <v>4.5293954747099576</v>
      </c>
      <c r="CT955" s="102">
        <f t="shared" si="377"/>
        <v>18.675175962423801</v>
      </c>
      <c r="CZ955" s="109" t="str">
        <f t="shared" si="378"/>
        <v>Basso</v>
      </c>
    </row>
    <row r="956" spans="9:104" x14ac:dyDescent="0.15">
      <c r="I956" s="64">
        <f t="shared" si="356"/>
        <v>76.99972307006928</v>
      </c>
      <c r="M956" s="64">
        <f t="shared" si="357"/>
        <v>0</v>
      </c>
      <c r="Q956" s="64">
        <f t="shared" si="358"/>
        <v>0</v>
      </c>
      <c r="U956" s="64">
        <f t="shared" si="359"/>
        <v>0</v>
      </c>
      <c r="Y956" s="114">
        <f t="shared" si="360"/>
        <v>0</v>
      </c>
      <c r="AC956" s="64">
        <f t="shared" si="361"/>
        <v>0</v>
      </c>
      <c r="AE956" s="71"/>
      <c r="AF956" s="71"/>
      <c r="AG956" s="71">
        <f t="shared" si="362"/>
        <v>0</v>
      </c>
      <c r="AK956" s="64">
        <f t="shared" si="363"/>
        <v>0</v>
      </c>
      <c r="AM956" s="71"/>
      <c r="AN956" s="71"/>
      <c r="AO956" s="71">
        <f t="shared" si="364"/>
        <v>0</v>
      </c>
      <c r="AQ956" s="71"/>
      <c r="AR956" s="71"/>
      <c r="AS956" s="71">
        <f t="shared" si="365"/>
        <v>0</v>
      </c>
      <c r="AU956" s="71"/>
      <c r="AV956" s="71"/>
      <c r="AW956" s="71">
        <f t="shared" si="366"/>
        <v>0</v>
      </c>
      <c r="AY956" s="71"/>
      <c r="AZ956" s="71"/>
      <c r="BA956" s="71">
        <f t="shared" si="367"/>
        <v>0</v>
      </c>
      <c r="BI956" s="71"/>
      <c r="BJ956" s="71"/>
      <c r="BK956" s="71">
        <f t="shared" si="368"/>
        <v>0</v>
      </c>
      <c r="BM956" s="71"/>
      <c r="BN956" s="71"/>
      <c r="BO956" s="71">
        <f t="shared" si="369"/>
        <v>0</v>
      </c>
      <c r="BQ956" s="71"/>
      <c r="BR956" s="71"/>
      <c r="BS956" s="138">
        <f t="shared" si="370"/>
        <v>0</v>
      </c>
      <c r="BU956" s="71"/>
      <c r="BV956" s="71"/>
      <c r="BW956" s="71">
        <f t="shared" si="371"/>
        <v>0</v>
      </c>
      <c r="BZ956" s="71"/>
      <c r="CA956" s="71"/>
      <c r="CB956" s="71">
        <f t="shared" si="372"/>
        <v>0</v>
      </c>
      <c r="CD956" s="71"/>
      <c r="CE956" s="71"/>
      <c r="CF956" s="71">
        <f t="shared" si="373"/>
        <v>0</v>
      </c>
      <c r="CH956" s="71"/>
      <c r="CI956" s="71"/>
      <c r="CJ956" s="138">
        <f t="shared" si="374"/>
        <v>0</v>
      </c>
      <c r="CL956" s="71"/>
      <c r="CM956" s="71"/>
      <c r="CN956" s="71">
        <f t="shared" si="375"/>
        <v>0</v>
      </c>
      <c r="CS956" s="102">
        <f t="shared" si="376"/>
        <v>4.5293954747099576</v>
      </c>
      <c r="CT956" s="102">
        <f t="shared" si="377"/>
        <v>18.675175962423801</v>
      </c>
      <c r="CZ956" s="109" t="str">
        <f t="shared" si="378"/>
        <v>Basso</v>
      </c>
    </row>
    <row r="957" spans="9:104" x14ac:dyDescent="0.15">
      <c r="I957" s="64">
        <f t="shared" si="356"/>
        <v>76.99972307006928</v>
      </c>
      <c r="M957" s="64">
        <f t="shared" si="357"/>
        <v>0</v>
      </c>
      <c r="Q957" s="64">
        <f t="shared" si="358"/>
        <v>0</v>
      </c>
      <c r="U957" s="64">
        <f t="shared" si="359"/>
        <v>0</v>
      </c>
      <c r="Y957" s="114">
        <f t="shared" si="360"/>
        <v>0</v>
      </c>
      <c r="AC957" s="64">
        <f t="shared" si="361"/>
        <v>0</v>
      </c>
      <c r="AE957" s="71"/>
      <c r="AF957" s="71"/>
      <c r="AG957" s="71">
        <f t="shared" si="362"/>
        <v>0</v>
      </c>
      <c r="AK957" s="64">
        <f t="shared" si="363"/>
        <v>0</v>
      </c>
      <c r="AM957" s="71"/>
      <c r="AN957" s="71"/>
      <c r="AO957" s="71">
        <f t="shared" si="364"/>
        <v>0</v>
      </c>
      <c r="AQ957" s="71"/>
      <c r="AR957" s="71"/>
      <c r="AS957" s="71">
        <f t="shared" si="365"/>
        <v>0</v>
      </c>
      <c r="AU957" s="71"/>
      <c r="AV957" s="71"/>
      <c r="AW957" s="71">
        <f t="shared" si="366"/>
        <v>0</v>
      </c>
      <c r="AY957" s="71"/>
      <c r="AZ957" s="71"/>
      <c r="BA957" s="71">
        <f t="shared" si="367"/>
        <v>0</v>
      </c>
      <c r="BI957" s="71"/>
      <c r="BJ957" s="71"/>
      <c r="BK957" s="71">
        <f t="shared" si="368"/>
        <v>0</v>
      </c>
      <c r="BM957" s="71"/>
      <c r="BN957" s="71"/>
      <c r="BO957" s="71">
        <f t="shared" si="369"/>
        <v>0</v>
      </c>
      <c r="BQ957" s="71"/>
      <c r="BR957" s="71"/>
      <c r="BS957" s="138">
        <f t="shared" si="370"/>
        <v>0</v>
      </c>
      <c r="BU957" s="71"/>
      <c r="BV957" s="71"/>
      <c r="BW957" s="71">
        <f t="shared" si="371"/>
        <v>0</v>
      </c>
      <c r="BZ957" s="71"/>
      <c r="CA957" s="71"/>
      <c r="CB957" s="71">
        <f t="shared" si="372"/>
        <v>0</v>
      </c>
      <c r="CD957" s="71"/>
      <c r="CE957" s="71"/>
      <c r="CF957" s="71">
        <f t="shared" si="373"/>
        <v>0</v>
      </c>
      <c r="CH957" s="71"/>
      <c r="CI957" s="71"/>
      <c r="CJ957" s="138">
        <f t="shared" si="374"/>
        <v>0</v>
      </c>
      <c r="CL957" s="71"/>
      <c r="CM957" s="71"/>
      <c r="CN957" s="71">
        <f t="shared" si="375"/>
        <v>0</v>
      </c>
      <c r="CS957" s="102">
        <f t="shared" si="376"/>
        <v>4.5293954747099576</v>
      </c>
      <c r="CT957" s="102">
        <f t="shared" si="377"/>
        <v>18.675175962423801</v>
      </c>
      <c r="CZ957" s="109" t="str">
        <f t="shared" si="378"/>
        <v>Basso</v>
      </c>
    </row>
    <row r="958" spans="9:104" x14ac:dyDescent="0.15">
      <c r="I958" s="64">
        <f t="shared" si="356"/>
        <v>76.99972307006928</v>
      </c>
      <c r="M958" s="64">
        <f t="shared" si="357"/>
        <v>0</v>
      </c>
      <c r="Q958" s="64">
        <f t="shared" si="358"/>
        <v>0</v>
      </c>
      <c r="U958" s="64">
        <f t="shared" si="359"/>
        <v>0</v>
      </c>
      <c r="Y958" s="114">
        <f t="shared" si="360"/>
        <v>0</v>
      </c>
      <c r="AC958" s="64">
        <f t="shared" si="361"/>
        <v>0</v>
      </c>
      <c r="AE958" s="71"/>
      <c r="AF958" s="71"/>
      <c r="AG958" s="71">
        <f t="shared" si="362"/>
        <v>0</v>
      </c>
      <c r="AK958" s="64">
        <f t="shared" si="363"/>
        <v>0</v>
      </c>
      <c r="AM958" s="71"/>
      <c r="AN958" s="71"/>
      <c r="AO958" s="71">
        <f t="shared" si="364"/>
        <v>0</v>
      </c>
      <c r="AQ958" s="71"/>
      <c r="AR958" s="71"/>
      <c r="AS958" s="71">
        <f t="shared" si="365"/>
        <v>0</v>
      </c>
      <c r="AU958" s="71"/>
      <c r="AV958" s="71"/>
      <c r="AW958" s="71">
        <f t="shared" si="366"/>
        <v>0</v>
      </c>
      <c r="AY958" s="71"/>
      <c r="AZ958" s="71"/>
      <c r="BA958" s="71">
        <f t="shared" si="367"/>
        <v>0</v>
      </c>
      <c r="BI958" s="71"/>
      <c r="BJ958" s="71"/>
      <c r="BK958" s="71">
        <f t="shared" si="368"/>
        <v>0</v>
      </c>
      <c r="BM958" s="71"/>
      <c r="BN958" s="71"/>
      <c r="BO958" s="71">
        <f t="shared" si="369"/>
        <v>0</v>
      </c>
      <c r="BQ958" s="71"/>
      <c r="BR958" s="71"/>
      <c r="BS958" s="138">
        <f t="shared" si="370"/>
        <v>0</v>
      </c>
      <c r="BU958" s="71"/>
      <c r="BV958" s="71"/>
      <c r="BW958" s="71">
        <f t="shared" si="371"/>
        <v>0</v>
      </c>
      <c r="BZ958" s="71"/>
      <c r="CA958" s="71"/>
      <c r="CB958" s="71">
        <f t="shared" si="372"/>
        <v>0</v>
      </c>
      <c r="CD958" s="71"/>
      <c r="CE958" s="71"/>
      <c r="CF958" s="71">
        <f t="shared" si="373"/>
        <v>0</v>
      </c>
      <c r="CH958" s="71"/>
      <c r="CI958" s="71"/>
      <c r="CJ958" s="138">
        <f t="shared" si="374"/>
        <v>0</v>
      </c>
      <c r="CL958" s="71"/>
      <c r="CM958" s="71"/>
      <c r="CN958" s="71">
        <f t="shared" si="375"/>
        <v>0</v>
      </c>
      <c r="CS958" s="102">
        <f t="shared" si="376"/>
        <v>4.5293954747099576</v>
      </c>
      <c r="CT958" s="102">
        <f t="shared" si="377"/>
        <v>18.675175962423801</v>
      </c>
      <c r="CZ958" s="109" t="str">
        <f t="shared" si="378"/>
        <v>Basso</v>
      </c>
    </row>
    <row r="959" spans="9:104" x14ac:dyDescent="0.15">
      <c r="I959" s="64">
        <f t="shared" si="356"/>
        <v>76.99972307006928</v>
      </c>
      <c r="M959" s="64">
        <f t="shared" si="357"/>
        <v>0</v>
      </c>
      <c r="Q959" s="64">
        <f t="shared" si="358"/>
        <v>0</v>
      </c>
      <c r="U959" s="64">
        <f t="shared" si="359"/>
        <v>0</v>
      </c>
      <c r="Y959" s="114">
        <f t="shared" si="360"/>
        <v>0</v>
      </c>
      <c r="AC959" s="64">
        <f t="shared" si="361"/>
        <v>0</v>
      </c>
      <c r="AE959" s="71"/>
      <c r="AF959" s="71"/>
      <c r="AG959" s="71">
        <f t="shared" si="362"/>
        <v>0</v>
      </c>
      <c r="AK959" s="64">
        <f t="shared" si="363"/>
        <v>0</v>
      </c>
      <c r="AM959" s="71"/>
      <c r="AN959" s="71"/>
      <c r="AO959" s="71">
        <f t="shared" si="364"/>
        <v>0</v>
      </c>
      <c r="AQ959" s="71"/>
      <c r="AR959" s="71"/>
      <c r="AS959" s="71">
        <f t="shared" si="365"/>
        <v>0</v>
      </c>
      <c r="AU959" s="71"/>
      <c r="AV959" s="71"/>
      <c r="AW959" s="71">
        <f t="shared" si="366"/>
        <v>0</v>
      </c>
      <c r="AY959" s="71"/>
      <c r="AZ959" s="71"/>
      <c r="BA959" s="71">
        <f t="shared" si="367"/>
        <v>0</v>
      </c>
      <c r="BI959" s="71"/>
      <c r="BJ959" s="71"/>
      <c r="BK959" s="71">
        <f t="shared" si="368"/>
        <v>0</v>
      </c>
      <c r="BM959" s="71"/>
      <c r="BN959" s="71"/>
      <c r="BO959" s="71">
        <f t="shared" si="369"/>
        <v>0</v>
      </c>
      <c r="BQ959" s="71"/>
      <c r="BR959" s="71"/>
      <c r="BS959" s="138">
        <f t="shared" si="370"/>
        <v>0</v>
      </c>
      <c r="BU959" s="71"/>
      <c r="BV959" s="71"/>
      <c r="BW959" s="71">
        <f t="shared" si="371"/>
        <v>0</v>
      </c>
      <c r="BZ959" s="71"/>
      <c r="CA959" s="71"/>
      <c r="CB959" s="71">
        <f t="shared" si="372"/>
        <v>0</v>
      </c>
      <c r="CD959" s="71"/>
      <c r="CE959" s="71"/>
      <c r="CF959" s="71">
        <f t="shared" si="373"/>
        <v>0</v>
      </c>
      <c r="CH959" s="71"/>
      <c r="CI959" s="71"/>
      <c r="CJ959" s="138">
        <f t="shared" si="374"/>
        <v>0</v>
      </c>
      <c r="CL959" s="71"/>
      <c r="CM959" s="71"/>
      <c r="CN959" s="71">
        <f t="shared" si="375"/>
        <v>0</v>
      </c>
      <c r="CS959" s="102">
        <f t="shared" si="376"/>
        <v>4.5293954747099576</v>
      </c>
      <c r="CT959" s="102">
        <f t="shared" si="377"/>
        <v>18.675175962423801</v>
      </c>
      <c r="CZ959" s="109" t="str">
        <f t="shared" si="378"/>
        <v>Basso</v>
      </c>
    </row>
    <row r="960" spans="9:104" x14ac:dyDescent="0.15">
      <c r="I960" s="64">
        <f t="shared" si="356"/>
        <v>76.99972307006928</v>
      </c>
      <c r="M960" s="64">
        <f t="shared" si="357"/>
        <v>0</v>
      </c>
      <c r="Q960" s="64">
        <f t="shared" si="358"/>
        <v>0</v>
      </c>
      <c r="U960" s="64">
        <f t="shared" si="359"/>
        <v>0</v>
      </c>
      <c r="Y960" s="114">
        <f t="shared" si="360"/>
        <v>0</v>
      </c>
      <c r="AC960" s="64">
        <f t="shared" si="361"/>
        <v>0</v>
      </c>
      <c r="AE960" s="71"/>
      <c r="AF960" s="71"/>
      <c r="AG960" s="71">
        <f t="shared" si="362"/>
        <v>0</v>
      </c>
      <c r="AK960" s="64">
        <f t="shared" si="363"/>
        <v>0</v>
      </c>
      <c r="AM960" s="71"/>
      <c r="AN960" s="71"/>
      <c r="AO960" s="71">
        <f t="shared" si="364"/>
        <v>0</v>
      </c>
      <c r="AQ960" s="71"/>
      <c r="AR960" s="71"/>
      <c r="AS960" s="71">
        <f t="shared" si="365"/>
        <v>0</v>
      </c>
      <c r="AU960" s="71"/>
      <c r="AV960" s="71"/>
      <c r="AW960" s="71">
        <f t="shared" si="366"/>
        <v>0</v>
      </c>
      <c r="AY960" s="71"/>
      <c r="AZ960" s="71"/>
      <c r="BA960" s="71">
        <f t="shared" si="367"/>
        <v>0</v>
      </c>
      <c r="BI960" s="71"/>
      <c r="BJ960" s="71"/>
      <c r="BK960" s="71">
        <f t="shared" si="368"/>
        <v>0</v>
      </c>
      <c r="BM960" s="71"/>
      <c r="BN960" s="71"/>
      <c r="BO960" s="71">
        <f t="shared" si="369"/>
        <v>0</v>
      </c>
      <c r="BQ960" s="71"/>
      <c r="BR960" s="71"/>
      <c r="BS960" s="138">
        <f t="shared" si="370"/>
        <v>0</v>
      </c>
      <c r="BU960" s="71"/>
      <c r="BV960" s="71"/>
      <c r="BW960" s="71">
        <f t="shared" si="371"/>
        <v>0</v>
      </c>
      <c r="BZ960" s="71"/>
      <c r="CA960" s="71"/>
      <c r="CB960" s="71">
        <f t="shared" si="372"/>
        <v>0</v>
      </c>
      <c r="CD960" s="71"/>
      <c r="CE960" s="71"/>
      <c r="CF960" s="71">
        <f t="shared" si="373"/>
        <v>0</v>
      </c>
      <c r="CH960" s="71"/>
      <c r="CI960" s="71"/>
      <c r="CJ960" s="138">
        <f t="shared" si="374"/>
        <v>0</v>
      </c>
      <c r="CL960" s="71"/>
      <c r="CM960" s="71"/>
      <c r="CN960" s="71">
        <f t="shared" si="375"/>
        <v>0</v>
      </c>
      <c r="CS960" s="102">
        <f t="shared" si="376"/>
        <v>4.5293954747099576</v>
      </c>
      <c r="CT960" s="102">
        <f t="shared" si="377"/>
        <v>18.675175962423801</v>
      </c>
      <c r="CZ960" s="109" t="str">
        <f t="shared" si="378"/>
        <v>Basso</v>
      </c>
    </row>
    <row r="961" spans="9:104" x14ac:dyDescent="0.15">
      <c r="I961" s="64">
        <f t="shared" si="356"/>
        <v>76.99972307006928</v>
      </c>
      <c r="M961" s="64">
        <f t="shared" si="357"/>
        <v>0</v>
      </c>
      <c r="Q961" s="64">
        <f t="shared" si="358"/>
        <v>0</v>
      </c>
      <c r="U961" s="64">
        <f t="shared" si="359"/>
        <v>0</v>
      </c>
      <c r="Y961" s="114">
        <f t="shared" si="360"/>
        <v>0</v>
      </c>
      <c r="AC961" s="64">
        <f t="shared" si="361"/>
        <v>0</v>
      </c>
      <c r="AE961" s="71"/>
      <c r="AF961" s="71"/>
      <c r="AG961" s="71">
        <f t="shared" si="362"/>
        <v>0</v>
      </c>
      <c r="AK961" s="64">
        <f t="shared" si="363"/>
        <v>0</v>
      </c>
      <c r="AM961" s="71"/>
      <c r="AN961" s="71"/>
      <c r="AO961" s="71">
        <f t="shared" si="364"/>
        <v>0</v>
      </c>
      <c r="AQ961" s="71"/>
      <c r="AR961" s="71"/>
      <c r="AS961" s="71">
        <f t="shared" si="365"/>
        <v>0</v>
      </c>
      <c r="AU961" s="71"/>
      <c r="AV961" s="71"/>
      <c r="AW961" s="71">
        <f t="shared" si="366"/>
        <v>0</v>
      </c>
      <c r="AY961" s="71"/>
      <c r="AZ961" s="71"/>
      <c r="BA961" s="71">
        <f t="shared" si="367"/>
        <v>0</v>
      </c>
      <c r="BI961" s="71"/>
      <c r="BJ961" s="71"/>
      <c r="BK961" s="71">
        <f t="shared" si="368"/>
        <v>0</v>
      </c>
      <c r="BM961" s="71"/>
      <c r="BN961" s="71"/>
      <c r="BO961" s="71">
        <f t="shared" si="369"/>
        <v>0</v>
      </c>
      <c r="BQ961" s="71"/>
      <c r="BR961" s="71"/>
      <c r="BS961" s="138">
        <f t="shared" si="370"/>
        <v>0</v>
      </c>
      <c r="BU961" s="71"/>
      <c r="BV961" s="71"/>
      <c r="BW961" s="71">
        <f t="shared" si="371"/>
        <v>0</v>
      </c>
      <c r="BZ961" s="71"/>
      <c r="CA961" s="71"/>
      <c r="CB961" s="71">
        <f t="shared" si="372"/>
        <v>0</v>
      </c>
      <c r="CD961" s="71"/>
      <c r="CE961" s="71"/>
      <c r="CF961" s="71">
        <f t="shared" si="373"/>
        <v>0</v>
      </c>
      <c r="CH961" s="71"/>
      <c r="CI961" s="71"/>
      <c r="CJ961" s="138">
        <f t="shared" si="374"/>
        <v>0</v>
      </c>
      <c r="CL961" s="71"/>
      <c r="CM961" s="71"/>
      <c r="CN961" s="71">
        <f t="shared" si="375"/>
        <v>0</v>
      </c>
      <c r="CS961" s="102">
        <f t="shared" si="376"/>
        <v>4.5293954747099576</v>
      </c>
      <c r="CT961" s="102">
        <f t="shared" si="377"/>
        <v>18.675175962423801</v>
      </c>
      <c r="CZ961" s="109" t="str">
        <f t="shared" si="378"/>
        <v>Basso</v>
      </c>
    </row>
    <row r="962" spans="9:104" x14ac:dyDescent="0.15">
      <c r="I962" s="64">
        <f t="shared" si="356"/>
        <v>76.99972307006928</v>
      </c>
      <c r="M962" s="64">
        <f t="shared" si="357"/>
        <v>0</v>
      </c>
      <c r="Q962" s="64">
        <f t="shared" si="358"/>
        <v>0</v>
      </c>
      <c r="U962" s="64">
        <f t="shared" si="359"/>
        <v>0</v>
      </c>
      <c r="Y962" s="114">
        <f t="shared" si="360"/>
        <v>0</v>
      </c>
      <c r="AC962" s="64">
        <f t="shared" si="361"/>
        <v>0</v>
      </c>
      <c r="AE962" s="71"/>
      <c r="AF962" s="71"/>
      <c r="AG962" s="71">
        <f t="shared" si="362"/>
        <v>0</v>
      </c>
      <c r="AK962" s="64">
        <f t="shared" si="363"/>
        <v>0</v>
      </c>
      <c r="AM962" s="71"/>
      <c r="AN962" s="71"/>
      <c r="AO962" s="71">
        <f t="shared" si="364"/>
        <v>0</v>
      </c>
      <c r="AQ962" s="71"/>
      <c r="AR962" s="71"/>
      <c r="AS962" s="71">
        <f t="shared" si="365"/>
        <v>0</v>
      </c>
      <c r="AU962" s="71"/>
      <c r="AV962" s="71"/>
      <c r="AW962" s="71">
        <f t="shared" si="366"/>
        <v>0</v>
      </c>
      <c r="AY962" s="71"/>
      <c r="AZ962" s="71"/>
      <c r="BA962" s="71">
        <f t="shared" si="367"/>
        <v>0</v>
      </c>
      <c r="BI962" s="71"/>
      <c r="BJ962" s="71"/>
      <c r="BK962" s="71">
        <f t="shared" si="368"/>
        <v>0</v>
      </c>
      <c r="BM962" s="71"/>
      <c r="BN962" s="71"/>
      <c r="BO962" s="71">
        <f t="shared" si="369"/>
        <v>0</v>
      </c>
      <c r="BQ962" s="71"/>
      <c r="BR962" s="71"/>
      <c r="BS962" s="138">
        <f t="shared" si="370"/>
        <v>0</v>
      </c>
      <c r="BU962" s="71"/>
      <c r="BV962" s="71"/>
      <c r="BW962" s="71">
        <f t="shared" si="371"/>
        <v>0</v>
      </c>
      <c r="BZ962" s="71"/>
      <c r="CA962" s="71"/>
      <c r="CB962" s="71">
        <f t="shared" si="372"/>
        <v>0</v>
      </c>
      <c r="CD962" s="71"/>
      <c r="CE962" s="71"/>
      <c r="CF962" s="71">
        <f t="shared" si="373"/>
        <v>0</v>
      </c>
      <c r="CH962" s="71"/>
      <c r="CI962" s="71"/>
      <c r="CJ962" s="138">
        <f t="shared" si="374"/>
        <v>0</v>
      </c>
      <c r="CL962" s="71"/>
      <c r="CM962" s="71"/>
      <c r="CN962" s="71">
        <f t="shared" si="375"/>
        <v>0</v>
      </c>
      <c r="CS962" s="102">
        <f t="shared" si="376"/>
        <v>4.5293954747099576</v>
      </c>
      <c r="CT962" s="102">
        <f t="shared" si="377"/>
        <v>18.675175962423801</v>
      </c>
      <c r="CZ962" s="109" t="str">
        <f t="shared" si="378"/>
        <v>Basso</v>
      </c>
    </row>
    <row r="963" spans="9:104" x14ac:dyDescent="0.15">
      <c r="I963" s="64">
        <f t="shared" ref="I963:I974" si="379">100 + ((F963 - AVERAGE(F:F)) / STDEV(F:F)) * 10</f>
        <v>76.99972307006928</v>
      </c>
      <c r="M963" s="64">
        <f t="shared" ref="M963:M1019" si="380">J963/2</f>
        <v>0</v>
      </c>
      <c r="Q963" s="64">
        <f t="shared" ref="Q963:Q1026" si="381">N963/2</f>
        <v>0</v>
      </c>
      <c r="U963" s="64">
        <f t="shared" ref="U963:U1026" si="382">R963/3</f>
        <v>0</v>
      </c>
      <c r="Y963" s="114">
        <f t="shared" ref="Y963:Y1026" si="383">V963/5</f>
        <v>0</v>
      </c>
      <c r="AC963" s="64">
        <f t="shared" ref="AC963:AC1026" si="384">Z963/3</f>
        <v>0</v>
      </c>
      <c r="AE963" s="71"/>
      <c r="AF963" s="71"/>
      <c r="AG963" s="71">
        <f t="shared" ref="AG963:AG1026" si="385">AD963/3</f>
        <v>0</v>
      </c>
      <c r="AK963" s="64">
        <f t="shared" ref="AK963:AK1026" si="386">AH963/3</f>
        <v>0</v>
      </c>
      <c r="AM963" s="71"/>
      <c r="AN963" s="71"/>
      <c r="AO963" s="71">
        <f t="shared" ref="AO963:AO1026" si="387">AL963/4</f>
        <v>0</v>
      </c>
      <c r="AQ963" s="71"/>
      <c r="AR963" s="71"/>
      <c r="AS963" s="71">
        <f t="shared" ref="AS963:AS1026" si="388">AP963/3</f>
        <v>0</v>
      </c>
      <c r="AU963" s="71"/>
      <c r="AV963" s="71"/>
      <c r="AW963" s="71">
        <f t="shared" ref="AW963:AW1026" si="389">AT963/3</f>
        <v>0</v>
      </c>
      <c r="AY963" s="71"/>
      <c r="AZ963" s="71"/>
      <c r="BA963" s="71">
        <f t="shared" ref="BA963:BA1026" si="390">AX963/2</f>
        <v>0</v>
      </c>
      <c r="BI963" s="71"/>
      <c r="BJ963" s="71"/>
      <c r="BK963" s="71">
        <f t="shared" ref="BK963:BK1026" si="391">BH963/2</f>
        <v>0</v>
      </c>
      <c r="BM963" s="71"/>
      <c r="BN963" s="71"/>
      <c r="BO963" s="71">
        <f t="shared" ref="BO963:BO1026" si="392">BL963/3</f>
        <v>0</v>
      </c>
      <c r="BQ963" s="71"/>
      <c r="BR963" s="71"/>
      <c r="BS963" s="138">
        <f t="shared" ref="BS963:BS1026" si="393">BP963/3</f>
        <v>0</v>
      </c>
      <c r="BU963" s="71"/>
      <c r="BV963" s="71"/>
      <c r="BW963" s="71">
        <f t="shared" ref="BW963:BW1026" si="394">BT963/3</f>
        <v>0</v>
      </c>
      <c r="BZ963" s="71"/>
      <c r="CA963" s="71"/>
      <c r="CB963" s="71">
        <f t="shared" ref="CB963:CB1026" si="395">BY963/3</f>
        <v>0</v>
      </c>
      <c r="CD963" s="71"/>
      <c r="CE963" s="71"/>
      <c r="CF963" s="71">
        <f t="shared" ref="CF963:CF1026" si="396">CC963/3</f>
        <v>0</v>
      </c>
      <c r="CH963" s="71"/>
      <c r="CI963" s="71"/>
      <c r="CJ963" s="138">
        <f t="shared" ref="CJ963:CJ1026" si="397">CG963/2</f>
        <v>0</v>
      </c>
      <c r="CL963" s="71"/>
      <c r="CM963" s="71"/>
      <c r="CN963" s="71">
        <f t="shared" ref="CN963:CN1026" si="398">CK963/3</f>
        <v>0</v>
      </c>
      <c r="CS963" s="102">
        <f t="shared" ref="CS963:CS1026" si="399">AVERAGE(I963, M963, Q963, U963, AC963, AG963, AK963, AO963, AS963, AW963, BA963, BK963, BO963, BW963, CB963, CF963, CN963)</f>
        <v>4.5293954747099576</v>
      </c>
      <c r="CT963" s="102">
        <f t="shared" ref="CT963:CT1026" si="400">STDEV(I963, M963, Q963, U963, AC963, AG963, AK963, AO963, AS963, AW963, BA963, BK963, BO963, BW963, CB963, CF963, CN963)</f>
        <v>18.675175962423801</v>
      </c>
      <c r="CZ963" s="109" t="str">
        <f t="shared" ref="CZ963:CZ1026" si="401">IF(CV963&lt;95.9069994, "Basso", IF(CV963&lt;99.02062343, "Medio-Basso", IF(CV963&lt;103.58108, "Medio-Alto", "Alto")))</f>
        <v>Basso</v>
      </c>
    </row>
    <row r="964" spans="9:104" x14ac:dyDescent="0.15">
      <c r="I964" s="64">
        <f t="shared" si="379"/>
        <v>76.99972307006928</v>
      </c>
      <c r="M964" s="64">
        <f t="shared" si="380"/>
        <v>0</v>
      </c>
      <c r="Q964" s="64">
        <f t="shared" si="381"/>
        <v>0</v>
      </c>
      <c r="U964" s="64">
        <f t="shared" si="382"/>
        <v>0</v>
      </c>
      <c r="Y964" s="114">
        <f t="shared" si="383"/>
        <v>0</v>
      </c>
      <c r="AC964" s="64">
        <f t="shared" si="384"/>
        <v>0</v>
      </c>
      <c r="AE964" s="71"/>
      <c r="AF964" s="71"/>
      <c r="AG964" s="71">
        <f t="shared" si="385"/>
        <v>0</v>
      </c>
      <c r="AK964" s="64">
        <f t="shared" si="386"/>
        <v>0</v>
      </c>
      <c r="AM964" s="71"/>
      <c r="AN964" s="71"/>
      <c r="AO964" s="71">
        <f t="shared" si="387"/>
        <v>0</v>
      </c>
      <c r="AQ964" s="71"/>
      <c r="AR964" s="71"/>
      <c r="AS964" s="71">
        <f t="shared" si="388"/>
        <v>0</v>
      </c>
      <c r="AU964" s="71"/>
      <c r="AV964" s="71"/>
      <c r="AW964" s="71">
        <f t="shared" si="389"/>
        <v>0</v>
      </c>
      <c r="AY964" s="71"/>
      <c r="AZ964" s="71"/>
      <c r="BA964" s="71">
        <f t="shared" si="390"/>
        <v>0</v>
      </c>
      <c r="BI964" s="71"/>
      <c r="BJ964" s="71"/>
      <c r="BK964" s="71">
        <f t="shared" si="391"/>
        <v>0</v>
      </c>
      <c r="BM964" s="71"/>
      <c r="BN964" s="71"/>
      <c r="BO964" s="71">
        <f t="shared" si="392"/>
        <v>0</v>
      </c>
      <c r="BQ964" s="71"/>
      <c r="BR964" s="71"/>
      <c r="BS964" s="138">
        <f t="shared" si="393"/>
        <v>0</v>
      </c>
      <c r="BU964" s="71"/>
      <c r="BV964" s="71"/>
      <c r="BW964" s="71">
        <f t="shared" si="394"/>
        <v>0</v>
      </c>
      <c r="BZ964" s="71"/>
      <c r="CA964" s="71"/>
      <c r="CB964" s="71">
        <f t="shared" si="395"/>
        <v>0</v>
      </c>
      <c r="CD964" s="71"/>
      <c r="CE964" s="71"/>
      <c r="CF964" s="71">
        <f t="shared" si="396"/>
        <v>0</v>
      </c>
      <c r="CH964" s="71"/>
      <c r="CI964" s="71"/>
      <c r="CJ964" s="138">
        <f t="shared" si="397"/>
        <v>0</v>
      </c>
      <c r="CL964" s="71"/>
      <c r="CM964" s="71"/>
      <c r="CN964" s="71">
        <f t="shared" si="398"/>
        <v>0</v>
      </c>
      <c r="CS964" s="102">
        <f t="shared" si="399"/>
        <v>4.5293954747099576</v>
      </c>
      <c r="CT964" s="102">
        <f t="shared" si="400"/>
        <v>18.675175962423801</v>
      </c>
      <c r="CZ964" s="109" t="str">
        <f t="shared" si="401"/>
        <v>Basso</v>
      </c>
    </row>
    <row r="965" spans="9:104" x14ac:dyDescent="0.15">
      <c r="I965" s="64">
        <f t="shared" si="379"/>
        <v>76.99972307006928</v>
      </c>
      <c r="M965" s="64">
        <f t="shared" si="380"/>
        <v>0</v>
      </c>
      <c r="Q965" s="64">
        <f t="shared" si="381"/>
        <v>0</v>
      </c>
      <c r="U965" s="64">
        <f t="shared" si="382"/>
        <v>0</v>
      </c>
      <c r="Y965" s="114">
        <f t="shared" si="383"/>
        <v>0</v>
      </c>
      <c r="AC965" s="64">
        <f t="shared" si="384"/>
        <v>0</v>
      </c>
      <c r="AE965" s="71"/>
      <c r="AF965" s="71"/>
      <c r="AG965" s="71">
        <f t="shared" si="385"/>
        <v>0</v>
      </c>
      <c r="AK965" s="64">
        <f t="shared" si="386"/>
        <v>0</v>
      </c>
      <c r="AM965" s="71"/>
      <c r="AN965" s="71"/>
      <c r="AO965" s="71">
        <f t="shared" si="387"/>
        <v>0</v>
      </c>
      <c r="AQ965" s="71"/>
      <c r="AR965" s="71"/>
      <c r="AS965" s="71">
        <f t="shared" si="388"/>
        <v>0</v>
      </c>
      <c r="AU965" s="71"/>
      <c r="AV965" s="71"/>
      <c r="AW965" s="71">
        <f t="shared" si="389"/>
        <v>0</v>
      </c>
      <c r="AY965" s="71"/>
      <c r="AZ965" s="71"/>
      <c r="BA965" s="71">
        <f t="shared" si="390"/>
        <v>0</v>
      </c>
      <c r="BI965" s="71"/>
      <c r="BJ965" s="71"/>
      <c r="BK965" s="71">
        <f t="shared" si="391"/>
        <v>0</v>
      </c>
      <c r="BM965" s="71"/>
      <c r="BN965" s="71"/>
      <c r="BO965" s="71">
        <f t="shared" si="392"/>
        <v>0</v>
      </c>
      <c r="BQ965" s="71"/>
      <c r="BR965" s="71"/>
      <c r="BS965" s="138">
        <f t="shared" si="393"/>
        <v>0</v>
      </c>
      <c r="BU965" s="71"/>
      <c r="BV965" s="71"/>
      <c r="BW965" s="71">
        <f t="shared" si="394"/>
        <v>0</v>
      </c>
      <c r="BZ965" s="71"/>
      <c r="CA965" s="71"/>
      <c r="CB965" s="71">
        <f t="shared" si="395"/>
        <v>0</v>
      </c>
      <c r="CD965" s="71"/>
      <c r="CE965" s="71"/>
      <c r="CF965" s="71">
        <f t="shared" si="396"/>
        <v>0</v>
      </c>
      <c r="CH965" s="71"/>
      <c r="CI965" s="71"/>
      <c r="CJ965" s="138">
        <f t="shared" si="397"/>
        <v>0</v>
      </c>
      <c r="CL965" s="71"/>
      <c r="CM965" s="71"/>
      <c r="CN965" s="71">
        <f t="shared" si="398"/>
        <v>0</v>
      </c>
      <c r="CS965" s="102">
        <f t="shared" si="399"/>
        <v>4.5293954747099576</v>
      </c>
      <c r="CT965" s="102">
        <f t="shared" si="400"/>
        <v>18.675175962423801</v>
      </c>
      <c r="CZ965" s="109" t="str">
        <f t="shared" si="401"/>
        <v>Basso</v>
      </c>
    </row>
    <row r="966" spans="9:104" x14ac:dyDescent="0.15">
      <c r="I966" s="64">
        <f t="shared" si="379"/>
        <v>76.99972307006928</v>
      </c>
      <c r="M966" s="64">
        <f t="shared" si="380"/>
        <v>0</v>
      </c>
      <c r="Q966" s="64">
        <f t="shared" si="381"/>
        <v>0</v>
      </c>
      <c r="U966" s="64">
        <f t="shared" si="382"/>
        <v>0</v>
      </c>
      <c r="Y966" s="114">
        <f t="shared" si="383"/>
        <v>0</v>
      </c>
      <c r="AC966" s="64">
        <f t="shared" si="384"/>
        <v>0</v>
      </c>
      <c r="AE966" s="71"/>
      <c r="AF966" s="71"/>
      <c r="AG966" s="71">
        <f t="shared" si="385"/>
        <v>0</v>
      </c>
      <c r="AK966" s="64">
        <f t="shared" si="386"/>
        <v>0</v>
      </c>
      <c r="AM966" s="71"/>
      <c r="AN966" s="71"/>
      <c r="AO966" s="71">
        <f t="shared" si="387"/>
        <v>0</v>
      </c>
      <c r="AQ966" s="71"/>
      <c r="AR966" s="71"/>
      <c r="AS966" s="71">
        <f t="shared" si="388"/>
        <v>0</v>
      </c>
      <c r="AU966" s="71"/>
      <c r="AV966" s="71"/>
      <c r="AW966" s="71">
        <f t="shared" si="389"/>
        <v>0</v>
      </c>
      <c r="AY966" s="71"/>
      <c r="AZ966" s="71"/>
      <c r="BA966" s="71">
        <f t="shared" si="390"/>
        <v>0</v>
      </c>
      <c r="BI966" s="71"/>
      <c r="BJ966" s="71"/>
      <c r="BK966" s="71">
        <f t="shared" si="391"/>
        <v>0</v>
      </c>
      <c r="BM966" s="71"/>
      <c r="BN966" s="71"/>
      <c r="BO966" s="71">
        <f t="shared" si="392"/>
        <v>0</v>
      </c>
      <c r="BQ966" s="71"/>
      <c r="BR966" s="71"/>
      <c r="BS966" s="138">
        <f t="shared" si="393"/>
        <v>0</v>
      </c>
      <c r="BU966" s="71"/>
      <c r="BV966" s="71"/>
      <c r="BW966" s="71">
        <f t="shared" si="394"/>
        <v>0</v>
      </c>
      <c r="BZ966" s="71"/>
      <c r="CA966" s="71"/>
      <c r="CB966" s="71">
        <f t="shared" si="395"/>
        <v>0</v>
      </c>
      <c r="CD966" s="71"/>
      <c r="CE966" s="71"/>
      <c r="CF966" s="71">
        <f t="shared" si="396"/>
        <v>0</v>
      </c>
      <c r="CH966" s="71"/>
      <c r="CI966" s="71"/>
      <c r="CJ966" s="138">
        <f t="shared" si="397"/>
        <v>0</v>
      </c>
      <c r="CL966" s="71"/>
      <c r="CM966" s="71"/>
      <c r="CN966" s="71">
        <f t="shared" si="398"/>
        <v>0</v>
      </c>
      <c r="CS966" s="102">
        <f t="shared" si="399"/>
        <v>4.5293954747099576</v>
      </c>
      <c r="CT966" s="102">
        <f t="shared" si="400"/>
        <v>18.675175962423801</v>
      </c>
      <c r="CZ966" s="109" t="str">
        <f t="shared" si="401"/>
        <v>Basso</v>
      </c>
    </row>
    <row r="967" spans="9:104" x14ac:dyDescent="0.15">
      <c r="I967" s="64">
        <f t="shared" si="379"/>
        <v>76.99972307006928</v>
      </c>
      <c r="M967" s="64">
        <f t="shared" si="380"/>
        <v>0</v>
      </c>
      <c r="Q967" s="64">
        <f t="shared" si="381"/>
        <v>0</v>
      </c>
      <c r="U967" s="64">
        <f t="shared" si="382"/>
        <v>0</v>
      </c>
      <c r="Y967" s="114">
        <f t="shared" si="383"/>
        <v>0</v>
      </c>
      <c r="AC967" s="64">
        <f t="shared" si="384"/>
        <v>0</v>
      </c>
      <c r="AE967" s="71"/>
      <c r="AF967" s="71"/>
      <c r="AG967" s="71">
        <f t="shared" si="385"/>
        <v>0</v>
      </c>
      <c r="AK967" s="64">
        <f t="shared" si="386"/>
        <v>0</v>
      </c>
      <c r="AM967" s="71"/>
      <c r="AN967" s="71"/>
      <c r="AO967" s="71">
        <f t="shared" si="387"/>
        <v>0</v>
      </c>
      <c r="AQ967" s="71"/>
      <c r="AR967" s="71"/>
      <c r="AS967" s="71">
        <f t="shared" si="388"/>
        <v>0</v>
      </c>
      <c r="AU967" s="71"/>
      <c r="AV967" s="71"/>
      <c r="AW967" s="71">
        <f t="shared" si="389"/>
        <v>0</v>
      </c>
      <c r="AY967" s="71"/>
      <c r="AZ967" s="71"/>
      <c r="BA967" s="71">
        <f t="shared" si="390"/>
        <v>0</v>
      </c>
      <c r="BI967" s="71"/>
      <c r="BJ967" s="71"/>
      <c r="BK967" s="71">
        <f t="shared" si="391"/>
        <v>0</v>
      </c>
      <c r="BM967" s="71"/>
      <c r="BN967" s="71"/>
      <c r="BO967" s="71">
        <f t="shared" si="392"/>
        <v>0</v>
      </c>
      <c r="BQ967" s="71"/>
      <c r="BR967" s="71"/>
      <c r="BS967" s="138">
        <f t="shared" si="393"/>
        <v>0</v>
      </c>
      <c r="BU967" s="71"/>
      <c r="BV967" s="71"/>
      <c r="BW967" s="71">
        <f t="shared" si="394"/>
        <v>0</v>
      </c>
      <c r="BZ967" s="71"/>
      <c r="CA967" s="71"/>
      <c r="CB967" s="71">
        <f t="shared" si="395"/>
        <v>0</v>
      </c>
      <c r="CD967" s="71"/>
      <c r="CE967" s="71"/>
      <c r="CF967" s="71">
        <f t="shared" si="396"/>
        <v>0</v>
      </c>
      <c r="CH967" s="71"/>
      <c r="CI967" s="71"/>
      <c r="CJ967" s="138">
        <f t="shared" si="397"/>
        <v>0</v>
      </c>
      <c r="CL967" s="71"/>
      <c r="CM967" s="71"/>
      <c r="CN967" s="71">
        <f t="shared" si="398"/>
        <v>0</v>
      </c>
      <c r="CS967" s="102">
        <f t="shared" si="399"/>
        <v>4.5293954747099576</v>
      </c>
      <c r="CT967" s="102">
        <f t="shared" si="400"/>
        <v>18.675175962423801</v>
      </c>
      <c r="CZ967" s="109" t="str">
        <f t="shared" si="401"/>
        <v>Basso</v>
      </c>
    </row>
    <row r="968" spans="9:104" x14ac:dyDescent="0.15">
      <c r="I968" s="64">
        <f t="shared" si="379"/>
        <v>76.99972307006928</v>
      </c>
      <c r="M968" s="64">
        <f t="shared" si="380"/>
        <v>0</v>
      </c>
      <c r="Q968" s="64">
        <f t="shared" si="381"/>
        <v>0</v>
      </c>
      <c r="U968" s="64">
        <f t="shared" si="382"/>
        <v>0</v>
      </c>
      <c r="Y968" s="114">
        <f t="shared" si="383"/>
        <v>0</v>
      </c>
      <c r="AC968" s="64">
        <f t="shared" si="384"/>
        <v>0</v>
      </c>
      <c r="AE968" s="71"/>
      <c r="AF968" s="71"/>
      <c r="AG968" s="71">
        <f t="shared" si="385"/>
        <v>0</v>
      </c>
      <c r="AK968" s="64">
        <f t="shared" si="386"/>
        <v>0</v>
      </c>
      <c r="AM968" s="71"/>
      <c r="AN968" s="71"/>
      <c r="AO968" s="71">
        <f t="shared" si="387"/>
        <v>0</v>
      </c>
      <c r="AQ968" s="71"/>
      <c r="AR968" s="71"/>
      <c r="AS968" s="71">
        <f t="shared" si="388"/>
        <v>0</v>
      </c>
      <c r="AU968" s="71"/>
      <c r="AV968" s="71"/>
      <c r="AW968" s="71">
        <f t="shared" si="389"/>
        <v>0</v>
      </c>
      <c r="AY968" s="71"/>
      <c r="AZ968" s="71"/>
      <c r="BA968" s="71">
        <f t="shared" si="390"/>
        <v>0</v>
      </c>
      <c r="BI968" s="71"/>
      <c r="BJ968" s="71"/>
      <c r="BK968" s="71">
        <f t="shared" si="391"/>
        <v>0</v>
      </c>
      <c r="BM968" s="71"/>
      <c r="BN968" s="71"/>
      <c r="BO968" s="71">
        <f t="shared" si="392"/>
        <v>0</v>
      </c>
      <c r="BQ968" s="71"/>
      <c r="BR968" s="71"/>
      <c r="BS968" s="138">
        <f t="shared" si="393"/>
        <v>0</v>
      </c>
      <c r="BU968" s="71"/>
      <c r="BV968" s="71"/>
      <c r="BW968" s="71">
        <f t="shared" si="394"/>
        <v>0</v>
      </c>
      <c r="BZ968" s="71"/>
      <c r="CA968" s="71"/>
      <c r="CB968" s="71">
        <f t="shared" si="395"/>
        <v>0</v>
      </c>
      <c r="CD968" s="71"/>
      <c r="CE968" s="71"/>
      <c r="CF968" s="71">
        <f t="shared" si="396"/>
        <v>0</v>
      </c>
      <c r="CH968" s="71"/>
      <c r="CI968" s="71"/>
      <c r="CJ968" s="138">
        <f t="shared" si="397"/>
        <v>0</v>
      </c>
      <c r="CL968" s="71"/>
      <c r="CM968" s="71"/>
      <c r="CN968" s="71">
        <f t="shared" si="398"/>
        <v>0</v>
      </c>
      <c r="CS968" s="102">
        <f t="shared" si="399"/>
        <v>4.5293954747099576</v>
      </c>
      <c r="CT968" s="102">
        <f t="shared" si="400"/>
        <v>18.675175962423801</v>
      </c>
      <c r="CZ968" s="109" t="str">
        <f t="shared" si="401"/>
        <v>Basso</v>
      </c>
    </row>
    <row r="969" spans="9:104" x14ac:dyDescent="0.15">
      <c r="I969" s="64">
        <f t="shared" si="379"/>
        <v>76.99972307006928</v>
      </c>
      <c r="M969" s="64">
        <f t="shared" si="380"/>
        <v>0</v>
      </c>
      <c r="Q969" s="64">
        <f t="shared" si="381"/>
        <v>0</v>
      </c>
      <c r="U969" s="64">
        <f t="shared" si="382"/>
        <v>0</v>
      </c>
      <c r="Y969" s="114">
        <f t="shared" si="383"/>
        <v>0</v>
      </c>
      <c r="AC969" s="64">
        <f t="shared" si="384"/>
        <v>0</v>
      </c>
      <c r="AE969" s="71"/>
      <c r="AF969" s="71"/>
      <c r="AG969" s="71">
        <f t="shared" si="385"/>
        <v>0</v>
      </c>
      <c r="AK969" s="64">
        <f t="shared" si="386"/>
        <v>0</v>
      </c>
      <c r="AM969" s="71"/>
      <c r="AN969" s="71"/>
      <c r="AO969" s="71">
        <f t="shared" si="387"/>
        <v>0</v>
      </c>
      <c r="AQ969" s="71"/>
      <c r="AR969" s="71"/>
      <c r="AS969" s="71">
        <f t="shared" si="388"/>
        <v>0</v>
      </c>
      <c r="AU969" s="71"/>
      <c r="AV969" s="71"/>
      <c r="AW969" s="71">
        <f t="shared" si="389"/>
        <v>0</v>
      </c>
      <c r="AY969" s="71"/>
      <c r="AZ969" s="71"/>
      <c r="BA969" s="71">
        <f t="shared" si="390"/>
        <v>0</v>
      </c>
      <c r="BI969" s="71"/>
      <c r="BJ969" s="71"/>
      <c r="BK969" s="71">
        <f t="shared" si="391"/>
        <v>0</v>
      </c>
      <c r="BM969" s="71"/>
      <c r="BN969" s="71"/>
      <c r="BO969" s="71">
        <f t="shared" si="392"/>
        <v>0</v>
      </c>
      <c r="BQ969" s="71"/>
      <c r="BR969" s="71"/>
      <c r="BS969" s="138">
        <f t="shared" si="393"/>
        <v>0</v>
      </c>
      <c r="BU969" s="71"/>
      <c r="BV969" s="71"/>
      <c r="BW969" s="71">
        <f t="shared" si="394"/>
        <v>0</v>
      </c>
      <c r="BZ969" s="71"/>
      <c r="CA969" s="71"/>
      <c r="CB969" s="71">
        <f t="shared" si="395"/>
        <v>0</v>
      </c>
      <c r="CD969" s="71"/>
      <c r="CE969" s="71"/>
      <c r="CF969" s="71">
        <f t="shared" si="396"/>
        <v>0</v>
      </c>
      <c r="CH969" s="71"/>
      <c r="CI969" s="71"/>
      <c r="CJ969" s="138">
        <f t="shared" si="397"/>
        <v>0</v>
      </c>
      <c r="CL969" s="71"/>
      <c r="CM969" s="71"/>
      <c r="CN969" s="71">
        <f t="shared" si="398"/>
        <v>0</v>
      </c>
      <c r="CS969" s="102">
        <f t="shared" si="399"/>
        <v>4.5293954747099576</v>
      </c>
      <c r="CT969" s="102">
        <f t="shared" si="400"/>
        <v>18.675175962423801</v>
      </c>
      <c r="CZ969" s="109" t="str">
        <f t="shared" si="401"/>
        <v>Basso</v>
      </c>
    </row>
    <row r="970" spans="9:104" x14ac:dyDescent="0.15">
      <c r="I970" s="64">
        <f t="shared" si="379"/>
        <v>76.99972307006928</v>
      </c>
      <c r="M970" s="64">
        <f t="shared" si="380"/>
        <v>0</v>
      </c>
      <c r="Q970" s="64">
        <f t="shared" si="381"/>
        <v>0</v>
      </c>
      <c r="U970" s="64">
        <f t="shared" si="382"/>
        <v>0</v>
      </c>
      <c r="Y970" s="114">
        <f t="shared" si="383"/>
        <v>0</v>
      </c>
      <c r="AC970" s="64">
        <f t="shared" si="384"/>
        <v>0</v>
      </c>
      <c r="AE970" s="71"/>
      <c r="AF970" s="71"/>
      <c r="AG970" s="71">
        <f t="shared" si="385"/>
        <v>0</v>
      </c>
      <c r="AK970" s="64">
        <f t="shared" si="386"/>
        <v>0</v>
      </c>
      <c r="AM970" s="71"/>
      <c r="AN970" s="71"/>
      <c r="AO970" s="71">
        <f t="shared" si="387"/>
        <v>0</v>
      </c>
      <c r="AQ970" s="71"/>
      <c r="AR970" s="71"/>
      <c r="AS970" s="71">
        <f t="shared" si="388"/>
        <v>0</v>
      </c>
      <c r="AU970" s="71"/>
      <c r="AV970" s="71"/>
      <c r="AW970" s="71">
        <f t="shared" si="389"/>
        <v>0</v>
      </c>
      <c r="AY970" s="71"/>
      <c r="AZ970" s="71"/>
      <c r="BA970" s="71">
        <f t="shared" si="390"/>
        <v>0</v>
      </c>
      <c r="BI970" s="71"/>
      <c r="BJ970" s="71"/>
      <c r="BK970" s="71">
        <f t="shared" si="391"/>
        <v>0</v>
      </c>
      <c r="BM970" s="71"/>
      <c r="BN970" s="71"/>
      <c r="BO970" s="71">
        <f t="shared" si="392"/>
        <v>0</v>
      </c>
      <c r="BQ970" s="71"/>
      <c r="BR970" s="71"/>
      <c r="BS970" s="138">
        <f t="shared" si="393"/>
        <v>0</v>
      </c>
      <c r="BU970" s="71"/>
      <c r="BV970" s="71"/>
      <c r="BW970" s="71">
        <f t="shared" si="394"/>
        <v>0</v>
      </c>
      <c r="BZ970" s="71"/>
      <c r="CA970" s="71"/>
      <c r="CB970" s="71">
        <f t="shared" si="395"/>
        <v>0</v>
      </c>
      <c r="CD970" s="71"/>
      <c r="CE970" s="71"/>
      <c r="CF970" s="71">
        <f t="shared" si="396"/>
        <v>0</v>
      </c>
      <c r="CH970" s="71"/>
      <c r="CI970" s="71"/>
      <c r="CJ970" s="138">
        <f t="shared" si="397"/>
        <v>0</v>
      </c>
      <c r="CL970" s="71"/>
      <c r="CM970" s="71"/>
      <c r="CN970" s="71">
        <f t="shared" si="398"/>
        <v>0</v>
      </c>
      <c r="CS970" s="102">
        <f t="shared" si="399"/>
        <v>4.5293954747099576</v>
      </c>
      <c r="CT970" s="102">
        <f t="shared" si="400"/>
        <v>18.675175962423801</v>
      </c>
      <c r="CZ970" s="109" t="str">
        <f t="shared" si="401"/>
        <v>Basso</v>
      </c>
    </row>
    <row r="971" spans="9:104" x14ac:dyDescent="0.15">
      <c r="I971" s="64">
        <f t="shared" si="379"/>
        <v>76.99972307006928</v>
      </c>
      <c r="M971" s="64">
        <f t="shared" si="380"/>
        <v>0</v>
      </c>
      <c r="Q971" s="64">
        <f t="shared" si="381"/>
        <v>0</v>
      </c>
      <c r="U971" s="64">
        <f t="shared" si="382"/>
        <v>0</v>
      </c>
      <c r="Y971" s="114">
        <f t="shared" si="383"/>
        <v>0</v>
      </c>
      <c r="AC971" s="64">
        <f t="shared" si="384"/>
        <v>0</v>
      </c>
      <c r="AE971" s="71"/>
      <c r="AF971" s="71"/>
      <c r="AG971" s="71">
        <f t="shared" si="385"/>
        <v>0</v>
      </c>
      <c r="AK971" s="64">
        <f t="shared" si="386"/>
        <v>0</v>
      </c>
      <c r="AM971" s="71"/>
      <c r="AN971" s="71"/>
      <c r="AO971" s="71">
        <f t="shared" si="387"/>
        <v>0</v>
      </c>
      <c r="AQ971" s="71"/>
      <c r="AR971" s="71"/>
      <c r="AS971" s="71">
        <f t="shared" si="388"/>
        <v>0</v>
      </c>
      <c r="AU971" s="71"/>
      <c r="AV971" s="71"/>
      <c r="AW971" s="71">
        <f t="shared" si="389"/>
        <v>0</v>
      </c>
      <c r="AY971" s="71"/>
      <c r="AZ971" s="71"/>
      <c r="BA971" s="71">
        <f t="shared" si="390"/>
        <v>0</v>
      </c>
      <c r="BI971" s="71"/>
      <c r="BJ971" s="71"/>
      <c r="BK971" s="71">
        <f t="shared" si="391"/>
        <v>0</v>
      </c>
      <c r="BM971" s="71"/>
      <c r="BN971" s="71"/>
      <c r="BO971" s="71">
        <f t="shared" si="392"/>
        <v>0</v>
      </c>
      <c r="BQ971" s="71"/>
      <c r="BR971" s="71"/>
      <c r="BS971" s="138">
        <f t="shared" si="393"/>
        <v>0</v>
      </c>
      <c r="BU971" s="71"/>
      <c r="BV971" s="71"/>
      <c r="BW971" s="71">
        <f t="shared" si="394"/>
        <v>0</v>
      </c>
      <c r="BZ971" s="71"/>
      <c r="CA971" s="71"/>
      <c r="CB971" s="71">
        <f t="shared" si="395"/>
        <v>0</v>
      </c>
      <c r="CD971" s="71"/>
      <c r="CE971" s="71"/>
      <c r="CF971" s="71">
        <f t="shared" si="396"/>
        <v>0</v>
      </c>
      <c r="CH971" s="71"/>
      <c r="CI971" s="71"/>
      <c r="CJ971" s="138">
        <f t="shared" si="397"/>
        <v>0</v>
      </c>
      <c r="CL971" s="71"/>
      <c r="CM971" s="71"/>
      <c r="CN971" s="71">
        <f t="shared" si="398"/>
        <v>0</v>
      </c>
      <c r="CS971" s="102">
        <f t="shared" si="399"/>
        <v>4.5293954747099576</v>
      </c>
      <c r="CT971" s="102">
        <f t="shared" si="400"/>
        <v>18.675175962423801</v>
      </c>
      <c r="CZ971" s="109" t="str">
        <f t="shared" si="401"/>
        <v>Basso</v>
      </c>
    </row>
    <row r="972" spans="9:104" x14ac:dyDescent="0.15">
      <c r="I972" s="64">
        <f t="shared" si="379"/>
        <v>76.99972307006928</v>
      </c>
      <c r="M972" s="64">
        <f t="shared" si="380"/>
        <v>0</v>
      </c>
      <c r="Q972" s="64">
        <f t="shared" si="381"/>
        <v>0</v>
      </c>
      <c r="U972" s="64">
        <f t="shared" si="382"/>
        <v>0</v>
      </c>
      <c r="Y972" s="114">
        <f t="shared" si="383"/>
        <v>0</v>
      </c>
      <c r="AC972" s="64">
        <f t="shared" si="384"/>
        <v>0</v>
      </c>
      <c r="AE972" s="71"/>
      <c r="AF972" s="71"/>
      <c r="AG972" s="71">
        <f t="shared" si="385"/>
        <v>0</v>
      </c>
      <c r="AK972" s="64">
        <f t="shared" si="386"/>
        <v>0</v>
      </c>
      <c r="AM972" s="71"/>
      <c r="AN972" s="71"/>
      <c r="AO972" s="71">
        <f t="shared" si="387"/>
        <v>0</v>
      </c>
      <c r="AQ972" s="71"/>
      <c r="AR972" s="71"/>
      <c r="AS972" s="71">
        <f t="shared" si="388"/>
        <v>0</v>
      </c>
      <c r="AU972" s="71"/>
      <c r="AV972" s="71"/>
      <c r="AW972" s="71">
        <f t="shared" si="389"/>
        <v>0</v>
      </c>
      <c r="AY972" s="71"/>
      <c r="AZ972" s="71"/>
      <c r="BA972" s="71">
        <f t="shared" si="390"/>
        <v>0</v>
      </c>
      <c r="BI972" s="71"/>
      <c r="BJ972" s="71"/>
      <c r="BK972" s="71">
        <f t="shared" si="391"/>
        <v>0</v>
      </c>
      <c r="BM972" s="71"/>
      <c r="BN972" s="71"/>
      <c r="BO972" s="71">
        <f t="shared" si="392"/>
        <v>0</v>
      </c>
      <c r="BQ972" s="71"/>
      <c r="BR972" s="71"/>
      <c r="BS972" s="138">
        <f t="shared" si="393"/>
        <v>0</v>
      </c>
      <c r="BU972" s="71"/>
      <c r="BV972" s="71"/>
      <c r="BW972" s="71">
        <f t="shared" si="394"/>
        <v>0</v>
      </c>
      <c r="BZ972" s="71"/>
      <c r="CA972" s="71"/>
      <c r="CB972" s="71">
        <f t="shared" si="395"/>
        <v>0</v>
      </c>
      <c r="CD972" s="71"/>
      <c r="CE972" s="71"/>
      <c r="CF972" s="71">
        <f t="shared" si="396"/>
        <v>0</v>
      </c>
      <c r="CH972" s="71"/>
      <c r="CI972" s="71"/>
      <c r="CJ972" s="138">
        <f t="shared" si="397"/>
        <v>0</v>
      </c>
      <c r="CL972" s="71"/>
      <c r="CM972" s="71"/>
      <c r="CN972" s="71">
        <f t="shared" si="398"/>
        <v>0</v>
      </c>
      <c r="CS972" s="102">
        <f t="shared" si="399"/>
        <v>4.5293954747099576</v>
      </c>
      <c r="CT972" s="102">
        <f t="shared" si="400"/>
        <v>18.675175962423801</v>
      </c>
      <c r="CZ972" s="109" t="str">
        <f t="shared" si="401"/>
        <v>Basso</v>
      </c>
    </row>
    <row r="973" spans="9:104" x14ac:dyDescent="0.15">
      <c r="I973" s="64">
        <f t="shared" si="379"/>
        <v>76.99972307006928</v>
      </c>
      <c r="M973" s="64">
        <f t="shared" si="380"/>
        <v>0</v>
      </c>
      <c r="Q973" s="64">
        <f t="shared" si="381"/>
        <v>0</v>
      </c>
      <c r="U973" s="64">
        <f t="shared" si="382"/>
        <v>0</v>
      </c>
      <c r="Y973" s="114">
        <f t="shared" si="383"/>
        <v>0</v>
      </c>
      <c r="AC973" s="64">
        <f t="shared" si="384"/>
        <v>0</v>
      </c>
      <c r="AE973" s="71"/>
      <c r="AF973" s="71"/>
      <c r="AG973" s="71">
        <f t="shared" si="385"/>
        <v>0</v>
      </c>
      <c r="AK973" s="64">
        <f t="shared" si="386"/>
        <v>0</v>
      </c>
      <c r="AM973" s="71"/>
      <c r="AN973" s="71"/>
      <c r="AO973" s="71">
        <f t="shared" si="387"/>
        <v>0</v>
      </c>
      <c r="AQ973" s="71"/>
      <c r="AR973" s="71"/>
      <c r="AS973" s="71">
        <f t="shared" si="388"/>
        <v>0</v>
      </c>
      <c r="AU973" s="71"/>
      <c r="AV973" s="71"/>
      <c r="AW973" s="71">
        <f t="shared" si="389"/>
        <v>0</v>
      </c>
      <c r="AY973" s="71"/>
      <c r="AZ973" s="71"/>
      <c r="BA973" s="71">
        <f t="shared" si="390"/>
        <v>0</v>
      </c>
      <c r="BI973" s="71"/>
      <c r="BJ973" s="71"/>
      <c r="BK973" s="71">
        <f t="shared" si="391"/>
        <v>0</v>
      </c>
      <c r="BM973" s="71"/>
      <c r="BN973" s="71"/>
      <c r="BO973" s="71">
        <f t="shared" si="392"/>
        <v>0</v>
      </c>
      <c r="BQ973" s="71"/>
      <c r="BR973" s="71"/>
      <c r="BS973" s="138">
        <f t="shared" si="393"/>
        <v>0</v>
      </c>
      <c r="BU973" s="71"/>
      <c r="BV973" s="71"/>
      <c r="BW973" s="71">
        <f t="shared" si="394"/>
        <v>0</v>
      </c>
      <c r="BZ973" s="71"/>
      <c r="CA973" s="71"/>
      <c r="CB973" s="71">
        <f t="shared" si="395"/>
        <v>0</v>
      </c>
      <c r="CD973" s="71"/>
      <c r="CE973" s="71"/>
      <c r="CF973" s="71">
        <f t="shared" si="396"/>
        <v>0</v>
      </c>
      <c r="CH973" s="71"/>
      <c r="CI973" s="71"/>
      <c r="CJ973" s="138">
        <f t="shared" si="397"/>
        <v>0</v>
      </c>
      <c r="CL973" s="71"/>
      <c r="CM973" s="71"/>
      <c r="CN973" s="71">
        <f t="shared" si="398"/>
        <v>0</v>
      </c>
      <c r="CS973" s="102">
        <f t="shared" si="399"/>
        <v>4.5293954747099576</v>
      </c>
      <c r="CT973" s="102">
        <f t="shared" si="400"/>
        <v>18.675175962423801</v>
      </c>
      <c r="CZ973" s="109" t="str">
        <f t="shared" si="401"/>
        <v>Basso</v>
      </c>
    </row>
    <row r="974" spans="9:104" x14ac:dyDescent="0.15">
      <c r="I974" s="64">
        <f t="shared" si="379"/>
        <v>76.99972307006928</v>
      </c>
      <c r="M974" s="64">
        <f t="shared" si="380"/>
        <v>0</v>
      </c>
      <c r="Q974" s="64">
        <f t="shared" si="381"/>
        <v>0</v>
      </c>
      <c r="U974" s="64">
        <f t="shared" si="382"/>
        <v>0</v>
      </c>
      <c r="Y974" s="114">
        <f t="shared" si="383"/>
        <v>0</v>
      </c>
      <c r="AC974" s="64">
        <f t="shared" si="384"/>
        <v>0</v>
      </c>
      <c r="AE974" s="71"/>
      <c r="AF974" s="71"/>
      <c r="AG974" s="71">
        <f t="shared" si="385"/>
        <v>0</v>
      </c>
      <c r="AK974" s="64">
        <f t="shared" si="386"/>
        <v>0</v>
      </c>
      <c r="AM974" s="71"/>
      <c r="AN974" s="71"/>
      <c r="AO974" s="71">
        <f t="shared" si="387"/>
        <v>0</v>
      </c>
      <c r="AQ974" s="71"/>
      <c r="AR974" s="71"/>
      <c r="AS974" s="71">
        <f t="shared" si="388"/>
        <v>0</v>
      </c>
      <c r="AU974" s="71"/>
      <c r="AV974" s="71"/>
      <c r="AW974" s="71">
        <f t="shared" si="389"/>
        <v>0</v>
      </c>
      <c r="AY974" s="71"/>
      <c r="AZ974" s="71"/>
      <c r="BA974" s="71">
        <f t="shared" si="390"/>
        <v>0</v>
      </c>
      <c r="BI974" s="71"/>
      <c r="BJ974" s="71"/>
      <c r="BK974" s="71">
        <f t="shared" si="391"/>
        <v>0</v>
      </c>
      <c r="BM974" s="71"/>
      <c r="BN974" s="71"/>
      <c r="BO974" s="71">
        <f t="shared" si="392"/>
        <v>0</v>
      </c>
      <c r="BQ974" s="71"/>
      <c r="BR974" s="71"/>
      <c r="BS974" s="138">
        <f t="shared" si="393"/>
        <v>0</v>
      </c>
      <c r="BU974" s="71"/>
      <c r="BV974" s="71"/>
      <c r="BW974" s="71">
        <f t="shared" si="394"/>
        <v>0</v>
      </c>
      <c r="BZ974" s="71"/>
      <c r="CA974" s="71"/>
      <c r="CB974" s="71">
        <f t="shared" si="395"/>
        <v>0</v>
      </c>
      <c r="CD974" s="71"/>
      <c r="CE974" s="71"/>
      <c r="CF974" s="71">
        <f t="shared" si="396"/>
        <v>0</v>
      </c>
      <c r="CH974" s="71"/>
      <c r="CI974" s="71"/>
      <c r="CJ974" s="138">
        <f t="shared" si="397"/>
        <v>0</v>
      </c>
      <c r="CL974" s="71"/>
      <c r="CM974" s="71"/>
      <c r="CN974" s="71">
        <f t="shared" si="398"/>
        <v>0</v>
      </c>
      <c r="CS974" s="102">
        <f t="shared" si="399"/>
        <v>4.5293954747099576</v>
      </c>
      <c r="CT974" s="102">
        <f t="shared" si="400"/>
        <v>18.675175962423801</v>
      </c>
      <c r="CZ974" s="109" t="str">
        <f t="shared" si="401"/>
        <v>Basso</v>
      </c>
    </row>
    <row r="975" spans="9:104" x14ac:dyDescent="0.15">
      <c r="I975" s="64">
        <f t="shared" ref="I975:I999" si="402">F976/2</f>
        <v>0</v>
      </c>
      <c r="M975" s="64">
        <f t="shared" si="380"/>
        <v>0</v>
      </c>
      <c r="Q975" s="64">
        <f t="shared" si="381"/>
        <v>0</v>
      </c>
      <c r="U975" s="64">
        <f t="shared" si="382"/>
        <v>0</v>
      </c>
      <c r="Y975" s="114">
        <f t="shared" si="383"/>
        <v>0</v>
      </c>
      <c r="AC975" s="64">
        <f t="shared" si="384"/>
        <v>0</v>
      </c>
      <c r="AE975" s="71"/>
      <c r="AF975" s="71"/>
      <c r="AG975" s="71">
        <f t="shared" si="385"/>
        <v>0</v>
      </c>
      <c r="AK975" s="64">
        <f t="shared" si="386"/>
        <v>0</v>
      </c>
      <c r="AM975" s="71"/>
      <c r="AN975" s="71"/>
      <c r="AO975" s="71">
        <f t="shared" si="387"/>
        <v>0</v>
      </c>
      <c r="AQ975" s="71"/>
      <c r="AR975" s="71"/>
      <c r="AS975" s="71">
        <f t="shared" si="388"/>
        <v>0</v>
      </c>
      <c r="AU975" s="71"/>
      <c r="AV975" s="71"/>
      <c r="AW975" s="71">
        <f t="shared" si="389"/>
        <v>0</v>
      </c>
      <c r="AY975" s="71"/>
      <c r="AZ975" s="71"/>
      <c r="BA975" s="71">
        <f t="shared" si="390"/>
        <v>0</v>
      </c>
      <c r="BI975" s="71"/>
      <c r="BJ975" s="71"/>
      <c r="BK975" s="71">
        <f t="shared" si="391"/>
        <v>0</v>
      </c>
      <c r="BM975" s="71"/>
      <c r="BN975" s="71"/>
      <c r="BO975" s="71">
        <f t="shared" si="392"/>
        <v>0</v>
      </c>
      <c r="BQ975" s="71"/>
      <c r="BR975" s="71"/>
      <c r="BS975" s="138">
        <f t="shared" si="393"/>
        <v>0</v>
      </c>
      <c r="BU975" s="71"/>
      <c r="BV975" s="71"/>
      <c r="BW975" s="71">
        <f t="shared" si="394"/>
        <v>0</v>
      </c>
      <c r="BZ975" s="71"/>
      <c r="CA975" s="71"/>
      <c r="CB975" s="71">
        <f t="shared" si="395"/>
        <v>0</v>
      </c>
      <c r="CD975" s="71"/>
      <c r="CE975" s="71"/>
      <c r="CF975" s="71">
        <f t="shared" si="396"/>
        <v>0</v>
      </c>
      <c r="CH975" s="71"/>
      <c r="CI975" s="71"/>
      <c r="CJ975" s="138">
        <f t="shared" si="397"/>
        <v>0</v>
      </c>
      <c r="CL975" s="71"/>
      <c r="CM975" s="71"/>
      <c r="CN975" s="71">
        <f t="shared" si="398"/>
        <v>0</v>
      </c>
      <c r="CS975" s="102">
        <f t="shared" si="399"/>
        <v>0</v>
      </c>
      <c r="CT975" s="102">
        <f t="shared" si="400"/>
        <v>0</v>
      </c>
      <c r="CZ975" s="109" t="str">
        <f t="shared" si="401"/>
        <v>Basso</v>
      </c>
    </row>
    <row r="976" spans="9:104" x14ac:dyDescent="0.15">
      <c r="I976" s="64">
        <f t="shared" si="402"/>
        <v>0</v>
      </c>
      <c r="M976" s="64">
        <f t="shared" si="380"/>
        <v>0</v>
      </c>
      <c r="Q976" s="64">
        <f t="shared" si="381"/>
        <v>0</v>
      </c>
      <c r="U976" s="64">
        <f t="shared" si="382"/>
        <v>0</v>
      </c>
      <c r="Y976" s="114">
        <f t="shared" si="383"/>
        <v>0</v>
      </c>
      <c r="AC976" s="64">
        <f t="shared" si="384"/>
        <v>0</v>
      </c>
      <c r="AE976" s="71"/>
      <c r="AF976" s="71"/>
      <c r="AG976" s="71">
        <f t="shared" si="385"/>
        <v>0</v>
      </c>
      <c r="AK976" s="64">
        <f t="shared" si="386"/>
        <v>0</v>
      </c>
      <c r="AM976" s="71"/>
      <c r="AN976" s="71"/>
      <c r="AO976" s="71">
        <f t="shared" si="387"/>
        <v>0</v>
      </c>
      <c r="AQ976" s="71"/>
      <c r="AR976" s="71"/>
      <c r="AS976" s="71">
        <f t="shared" si="388"/>
        <v>0</v>
      </c>
      <c r="AU976" s="71"/>
      <c r="AV976" s="71"/>
      <c r="AW976" s="71">
        <f t="shared" si="389"/>
        <v>0</v>
      </c>
      <c r="AY976" s="71"/>
      <c r="AZ976" s="71"/>
      <c r="BA976" s="71">
        <f t="shared" si="390"/>
        <v>0</v>
      </c>
      <c r="BI976" s="71"/>
      <c r="BJ976" s="71"/>
      <c r="BK976" s="71">
        <f t="shared" si="391"/>
        <v>0</v>
      </c>
      <c r="BM976" s="71"/>
      <c r="BN976" s="71"/>
      <c r="BO976" s="71">
        <f t="shared" si="392"/>
        <v>0</v>
      </c>
      <c r="BQ976" s="71"/>
      <c r="BR976" s="71"/>
      <c r="BS976" s="138">
        <f t="shared" si="393"/>
        <v>0</v>
      </c>
      <c r="BU976" s="71"/>
      <c r="BV976" s="71"/>
      <c r="BW976" s="71">
        <f t="shared" si="394"/>
        <v>0</v>
      </c>
      <c r="BZ976" s="71"/>
      <c r="CA976" s="71"/>
      <c r="CB976" s="71">
        <f t="shared" si="395"/>
        <v>0</v>
      </c>
      <c r="CD976" s="71"/>
      <c r="CE976" s="71"/>
      <c r="CF976" s="71">
        <f t="shared" si="396"/>
        <v>0</v>
      </c>
      <c r="CH976" s="71"/>
      <c r="CI976" s="71"/>
      <c r="CJ976" s="138">
        <f t="shared" si="397"/>
        <v>0</v>
      </c>
      <c r="CL976" s="71"/>
      <c r="CM976" s="71"/>
      <c r="CN976" s="71">
        <f t="shared" si="398"/>
        <v>0</v>
      </c>
      <c r="CS976" s="102">
        <f t="shared" si="399"/>
        <v>0</v>
      </c>
      <c r="CT976" s="102">
        <f t="shared" si="400"/>
        <v>0</v>
      </c>
      <c r="CZ976" s="109" t="str">
        <f t="shared" si="401"/>
        <v>Basso</v>
      </c>
    </row>
    <row r="977" spans="9:104" x14ac:dyDescent="0.15">
      <c r="I977" s="64">
        <f t="shared" si="402"/>
        <v>0</v>
      </c>
      <c r="M977" s="64">
        <f t="shared" si="380"/>
        <v>0</v>
      </c>
      <c r="Q977" s="64">
        <f t="shared" si="381"/>
        <v>0</v>
      </c>
      <c r="U977" s="64">
        <f t="shared" si="382"/>
        <v>0</v>
      </c>
      <c r="Y977" s="114">
        <f t="shared" si="383"/>
        <v>0</v>
      </c>
      <c r="AC977" s="64">
        <f t="shared" si="384"/>
        <v>0</v>
      </c>
      <c r="AE977" s="71"/>
      <c r="AF977" s="71"/>
      <c r="AG977" s="71">
        <f t="shared" si="385"/>
        <v>0</v>
      </c>
      <c r="AK977" s="64">
        <f t="shared" si="386"/>
        <v>0</v>
      </c>
      <c r="AM977" s="71"/>
      <c r="AN977" s="71"/>
      <c r="AO977" s="71">
        <f t="shared" si="387"/>
        <v>0</v>
      </c>
      <c r="AQ977" s="71"/>
      <c r="AR977" s="71"/>
      <c r="AS977" s="71">
        <f t="shared" si="388"/>
        <v>0</v>
      </c>
      <c r="AU977" s="71"/>
      <c r="AV977" s="71"/>
      <c r="AW977" s="71">
        <f t="shared" si="389"/>
        <v>0</v>
      </c>
      <c r="AY977" s="71"/>
      <c r="AZ977" s="71"/>
      <c r="BA977" s="71">
        <f t="shared" si="390"/>
        <v>0</v>
      </c>
      <c r="BI977" s="71"/>
      <c r="BJ977" s="71"/>
      <c r="BK977" s="71">
        <f t="shared" si="391"/>
        <v>0</v>
      </c>
      <c r="BM977" s="71"/>
      <c r="BN977" s="71"/>
      <c r="BO977" s="71">
        <f t="shared" si="392"/>
        <v>0</v>
      </c>
      <c r="BQ977" s="71"/>
      <c r="BR977" s="71"/>
      <c r="BS977" s="138">
        <f t="shared" si="393"/>
        <v>0</v>
      </c>
      <c r="BU977" s="71"/>
      <c r="BV977" s="71"/>
      <c r="BW977" s="71">
        <f t="shared" si="394"/>
        <v>0</v>
      </c>
      <c r="BZ977" s="71"/>
      <c r="CA977" s="71"/>
      <c r="CB977" s="71">
        <f t="shared" si="395"/>
        <v>0</v>
      </c>
      <c r="CD977" s="71"/>
      <c r="CE977" s="71"/>
      <c r="CF977" s="71">
        <f t="shared" si="396"/>
        <v>0</v>
      </c>
      <c r="CH977" s="71"/>
      <c r="CI977" s="71"/>
      <c r="CJ977" s="138">
        <f t="shared" si="397"/>
        <v>0</v>
      </c>
      <c r="CL977" s="71"/>
      <c r="CM977" s="71"/>
      <c r="CN977" s="71">
        <f t="shared" si="398"/>
        <v>0</v>
      </c>
      <c r="CS977" s="102">
        <f t="shared" si="399"/>
        <v>0</v>
      </c>
      <c r="CT977" s="102">
        <f t="shared" si="400"/>
        <v>0</v>
      </c>
      <c r="CZ977" s="109" t="str">
        <f t="shared" si="401"/>
        <v>Basso</v>
      </c>
    </row>
    <row r="978" spans="9:104" x14ac:dyDescent="0.15">
      <c r="I978" s="64">
        <f t="shared" si="402"/>
        <v>0</v>
      </c>
      <c r="M978" s="64">
        <f t="shared" si="380"/>
        <v>0</v>
      </c>
      <c r="Q978" s="64">
        <f t="shared" si="381"/>
        <v>0</v>
      </c>
      <c r="U978" s="64">
        <f t="shared" si="382"/>
        <v>0</v>
      </c>
      <c r="Y978" s="114">
        <f t="shared" si="383"/>
        <v>0</v>
      </c>
      <c r="AC978" s="64">
        <f t="shared" si="384"/>
        <v>0</v>
      </c>
      <c r="AE978" s="71"/>
      <c r="AF978" s="71"/>
      <c r="AG978" s="71">
        <f t="shared" si="385"/>
        <v>0</v>
      </c>
      <c r="AK978" s="64">
        <f t="shared" si="386"/>
        <v>0</v>
      </c>
      <c r="AM978" s="71"/>
      <c r="AN978" s="71"/>
      <c r="AO978" s="71">
        <f t="shared" si="387"/>
        <v>0</v>
      </c>
      <c r="AQ978" s="71"/>
      <c r="AR978" s="71"/>
      <c r="AS978" s="71">
        <f t="shared" si="388"/>
        <v>0</v>
      </c>
      <c r="AU978" s="71"/>
      <c r="AV978" s="71"/>
      <c r="AW978" s="71">
        <f t="shared" si="389"/>
        <v>0</v>
      </c>
      <c r="AY978" s="71"/>
      <c r="AZ978" s="71"/>
      <c r="BA978" s="71">
        <f t="shared" si="390"/>
        <v>0</v>
      </c>
      <c r="BI978" s="71"/>
      <c r="BJ978" s="71"/>
      <c r="BK978" s="71">
        <f t="shared" si="391"/>
        <v>0</v>
      </c>
      <c r="BM978" s="71"/>
      <c r="BN978" s="71"/>
      <c r="BO978" s="71">
        <f t="shared" si="392"/>
        <v>0</v>
      </c>
      <c r="BQ978" s="71"/>
      <c r="BR978" s="71"/>
      <c r="BS978" s="138">
        <f t="shared" si="393"/>
        <v>0</v>
      </c>
      <c r="BU978" s="71"/>
      <c r="BV978" s="71"/>
      <c r="BW978" s="71">
        <f t="shared" si="394"/>
        <v>0</v>
      </c>
      <c r="BZ978" s="71"/>
      <c r="CA978" s="71"/>
      <c r="CB978" s="71">
        <f t="shared" si="395"/>
        <v>0</v>
      </c>
      <c r="CD978" s="71"/>
      <c r="CE978" s="71"/>
      <c r="CF978" s="71">
        <f t="shared" si="396"/>
        <v>0</v>
      </c>
      <c r="CH978" s="71"/>
      <c r="CI978" s="71"/>
      <c r="CJ978" s="138">
        <f t="shared" si="397"/>
        <v>0</v>
      </c>
      <c r="CL978" s="71"/>
      <c r="CM978" s="71"/>
      <c r="CN978" s="71">
        <f t="shared" si="398"/>
        <v>0</v>
      </c>
      <c r="CS978" s="102">
        <f t="shared" si="399"/>
        <v>0</v>
      </c>
      <c r="CT978" s="102">
        <f t="shared" si="400"/>
        <v>0</v>
      </c>
      <c r="CZ978" s="109" t="str">
        <f t="shared" si="401"/>
        <v>Basso</v>
      </c>
    </row>
    <row r="979" spans="9:104" x14ac:dyDescent="0.15">
      <c r="I979" s="64">
        <f t="shared" si="402"/>
        <v>0</v>
      </c>
      <c r="M979" s="64">
        <f t="shared" si="380"/>
        <v>0</v>
      </c>
      <c r="Q979" s="64">
        <f t="shared" si="381"/>
        <v>0</v>
      </c>
      <c r="U979" s="64">
        <f t="shared" si="382"/>
        <v>0</v>
      </c>
      <c r="Y979" s="114">
        <f t="shared" si="383"/>
        <v>0</v>
      </c>
      <c r="AC979" s="64">
        <f t="shared" si="384"/>
        <v>0</v>
      </c>
      <c r="AE979" s="71"/>
      <c r="AF979" s="71"/>
      <c r="AG979" s="71">
        <f t="shared" si="385"/>
        <v>0</v>
      </c>
      <c r="AK979" s="64">
        <f t="shared" si="386"/>
        <v>0</v>
      </c>
      <c r="AM979" s="71"/>
      <c r="AN979" s="71"/>
      <c r="AO979" s="71">
        <f t="shared" si="387"/>
        <v>0</v>
      </c>
      <c r="AQ979" s="71"/>
      <c r="AR979" s="71"/>
      <c r="AS979" s="71">
        <f t="shared" si="388"/>
        <v>0</v>
      </c>
      <c r="AU979" s="71"/>
      <c r="AV979" s="71"/>
      <c r="AW979" s="71">
        <f t="shared" si="389"/>
        <v>0</v>
      </c>
      <c r="AY979" s="71"/>
      <c r="AZ979" s="71"/>
      <c r="BA979" s="71">
        <f t="shared" si="390"/>
        <v>0</v>
      </c>
      <c r="BI979" s="71"/>
      <c r="BJ979" s="71"/>
      <c r="BK979" s="71">
        <f t="shared" si="391"/>
        <v>0</v>
      </c>
      <c r="BM979" s="71"/>
      <c r="BN979" s="71"/>
      <c r="BO979" s="71">
        <f t="shared" si="392"/>
        <v>0</v>
      </c>
      <c r="BQ979" s="71"/>
      <c r="BR979" s="71"/>
      <c r="BS979" s="138">
        <f t="shared" si="393"/>
        <v>0</v>
      </c>
      <c r="BU979" s="71"/>
      <c r="BV979" s="71"/>
      <c r="BW979" s="71">
        <f t="shared" si="394"/>
        <v>0</v>
      </c>
      <c r="BZ979" s="71"/>
      <c r="CA979" s="71"/>
      <c r="CB979" s="71">
        <f t="shared" si="395"/>
        <v>0</v>
      </c>
      <c r="CD979" s="71"/>
      <c r="CE979" s="71"/>
      <c r="CF979" s="71">
        <f t="shared" si="396"/>
        <v>0</v>
      </c>
      <c r="CH979" s="71"/>
      <c r="CI979" s="71"/>
      <c r="CJ979" s="138">
        <f t="shared" si="397"/>
        <v>0</v>
      </c>
      <c r="CL979" s="71"/>
      <c r="CM979" s="71"/>
      <c r="CN979" s="71">
        <f t="shared" si="398"/>
        <v>0</v>
      </c>
      <c r="CS979" s="102">
        <f t="shared" si="399"/>
        <v>0</v>
      </c>
      <c r="CT979" s="102">
        <f t="shared" si="400"/>
        <v>0</v>
      </c>
      <c r="CZ979" s="109" t="str">
        <f t="shared" si="401"/>
        <v>Basso</v>
      </c>
    </row>
    <row r="980" spans="9:104" x14ac:dyDescent="0.15">
      <c r="I980" s="64">
        <f t="shared" si="402"/>
        <v>0</v>
      </c>
      <c r="M980" s="64">
        <f t="shared" si="380"/>
        <v>0</v>
      </c>
      <c r="Q980" s="64">
        <f t="shared" si="381"/>
        <v>0</v>
      </c>
      <c r="U980" s="64">
        <f t="shared" si="382"/>
        <v>0</v>
      </c>
      <c r="Y980" s="114">
        <f t="shared" si="383"/>
        <v>0</v>
      </c>
      <c r="AC980" s="64">
        <f t="shared" si="384"/>
        <v>0</v>
      </c>
      <c r="AE980" s="71"/>
      <c r="AF980" s="71"/>
      <c r="AG980" s="71">
        <f t="shared" si="385"/>
        <v>0</v>
      </c>
      <c r="AK980" s="64">
        <f t="shared" si="386"/>
        <v>0</v>
      </c>
      <c r="AM980" s="71"/>
      <c r="AN980" s="71"/>
      <c r="AO980" s="71">
        <f t="shared" si="387"/>
        <v>0</v>
      </c>
      <c r="AQ980" s="71"/>
      <c r="AR980" s="71"/>
      <c r="AS980" s="71">
        <f t="shared" si="388"/>
        <v>0</v>
      </c>
      <c r="AU980" s="71"/>
      <c r="AV980" s="71"/>
      <c r="AW980" s="71">
        <f t="shared" si="389"/>
        <v>0</v>
      </c>
      <c r="AY980" s="71"/>
      <c r="AZ980" s="71"/>
      <c r="BA980" s="71">
        <f t="shared" si="390"/>
        <v>0</v>
      </c>
      <c r="BI980" s="71"/>
      <c r="BJ980" s="71"/>
      <c r="BK980" s="71">
        <f t="shared" si="391"/>
        <v>0</v>
      </c>
      <c r="BM980" s="71"/>
      <c r="BN980" s="71"/>
      <c r="BO980" s="71">
        <f t="shared" si="392"/>
        <v>0</v>
      </c>
      <c r="BQ980" s="71"/>
      <c r="BR980" s="71"/>
      <c r="BS980" s="138">
        <f t="shared" si="393"/>
        <v>0</v>
      </c>
      <c r="BU980" s="71"/>
      <c r="BV980" s="71"/>
      <c r="BW980" s="71">
        <f t="shared" si="394"/>
        <v>0</v>
      </c>
      <c r="BZ980" s="71"/>
      <c r="CA980" s="71"/>
      <c r="CB980" s="71">
        <f t="shared" si="395"/>
        <v>0</v>
      </c>
      <c r="CD980" s="71"/>
      <c r="CE980" s="71"/>
      <c r="CF980" s="71">
        <f t="shared" si="396"/>
        <v>0</v>
      </c>
      <c r="CH980" s="71"/>
      <c r="CI980" s="71"/>
      <c r="CJ980" s="138">
        <f t="shared" si="397"/>
        <v>0</v>
      </c>
      <c r="CL980" s="71"/>
      <c r="CM980" s="71"/>
      <c r="CN980" s="71">
        <f t="shared" si="398"/>
        <v>0</v>
      </c>
      <c r="CS980" s="102">
        <f t="shared" si="399"/>
        <v>0</v>
      </c>
      <c r="CT980" s="102">
        <f t="shared" si="400"/>
        <v>0</v>
      </c>
      <c r="CZ980" s="109" t="str">
        <f t="shared" si="401"/>
        <v>Basso</v>
      </c>
    </row>
    <row r="981" spans="9:104" x14ac:dyDescent="0.15">
      <c r="I981" s="64">
        <f t="shared" si="402"/>
        <v>0</v>
      </c>
      <c r="M981" s="64">
        <f t="shared" si="380"/>
        <v>0</v>
      </c>
      <c r="Q981" s="64">
        <f t="shared" si="381"/>
        <v>0</v>
      </c>
      <c r="U981" s="64">
        <f t="shared" si="382"/>
        <v>0</v>
      </c>
      <c r="Y981" s="114">
        <f t="shared" si="383"/>
        <v>0</v>
      </c>
      <c r="AC981" s="64">
        <f t="shared" si="384"/>
        <v>0</v>
      </c>
      <c r="AE981" s="71"/>
      <c r="AF981" s="71"/>
      <c r="AG981" s="71">
        <f t="shared" si="385"/>
        <v>0</v>
      </c>
      <c r="AK981" s="64">
        <f t="shared" si="386"/>
        <v>0</v>
      </c>
      <c r="AM981" s="71"/>
      <c r="AN981" s="71"/>
      <c r="AO981" s="71">
        <f t="shared" si="387"/>
        <v>0</v>
      </c>
      <c r="AQ981" s="71"/>
      <c r="AR981" s="71"/>
      <c r="AS981" s="71">
        <f t="shared" si="388"/>
        <v>0</v>
      </c>
      <c r="AU981" s="71"/>
      <c r="AV981" s="71"/>
      <c r="AW981" s="71">
        <f t="shared" si="389"/>
        <v>0</v>
      </c>
      <c r="AY981" s="71"/>
      <c r="AZ981" s="71"/>
      <c r="BA981" s="71">
        <f t="shared" si="390"/>
        <v>0</v>
      </c>
      <c r="BI981" s="71"/>
      <c r="BJ981" s="71"/>
      <c r="BK981" s="71">
        <f t="shared" si="391"/>
        <v>0</v>
      </c>
      <c r="BM981" s="71"/>
      <c r="BN981" s="71"/>
      <c r="BO981" s="71">
        <f t="shared" si="392"/>
        <v>0</v>
      </c>
      <c r="BQ981" s="71"/>
      <c r="BR981" s="71"/>
      <c r="BS981" s="138">
        <f t="shared" si="393"/>
        <v>0</v>
      </c>
      <c r="BU981" s="71"/>
      <c r="BV981" s="71"/>
      <c r="BW981" s="71">
        <f t="shared" si="394"/>
        <v>0</v>
      </c>
      <c r="BZ981" s="71"/>
      <c r="CA981" s="71"/>
      <c r="CB981" s="71">
        <f t="shared" si="395"/>
        <v>0</v>
      </c>
      <c r="CD981" s="71"/>
      <c r="CE981" s="71"/>
      <c r="CF981" s="71">
        <f t="shared" si="396"/>
        <v>0</v>
      </c>
      <c r="CH981" s="71"/>
      <c r="CI981" s="71"/>
      <c r="CJ981" s="138">
        <f t="shared" si="397"/>
        <v>0</v>
      </c>
      <c r="CL981" s="71"/>
      <c r="CM981" s="71"/>
      <c r="CN981" s="71">
        <f t="shared" si="398"/>
        <v>0</v>
      </c>
      <c r="CS981" s="102">
        <f t="shared" si="399"/>
        <v>0</v>
      </c>
      <c r="CT981" s="102">
        <f t="shared" si="400"/>
        <v>0</v>
      </c>
      <c r="CZ981" s="109" t="str">
        <f t="shared" si="401"/>
        <v>Basso</v>
      </c>
    </row>
    <row r="982" spans="9:104" x14ac:dyDescent="0.15">
      <c r="I982" s="64">
        <f t="shared" si="402"/>
        <v>0</v>
      </c>
      <c r="M982" s="64">
        <f t="shared" si="380"/>
        <v>0</v>
      </c>
      <c r="Q982" s="64">
        <f t="shared" si="381"/>
        <v>0</v>
      </c>
      <c r="U982" s="64">
        <f t="shared" si="382"/>
        <v>0</v>
      </c>
      <c r="Y982" s="114">
        <f t="shared" si="383"/>
        <v>0</v>
      </c>
      <c r="AC982" s="64">
        <f t="shared" si="384"/>
        <v>0</v>
      </c>
      <c r="AE982" s="71"/>
      <c r="AF982" s="71"/>
      <c r="AG982" s="71">
        <f t="shared" si="385"/>
        <v>0</v>
      </c>
      <c r="AK982" s="64">
        <f t="shared" si="386"/>
        <v>0</v>
      </c>
      <c r="AM982" s="71"/>
      <c r="AN982" s="71"/>
      <c r="AO982" s="71">
        <f t="shared" si="387"/>
        <v>0</v>
      </c>
      <c r="AQ982" s="71"/>
      <c r="AR982" s="71"/>
      <c r="AS982" s="71">
        <f t="shared" si="388"/>
        <v>0</v>
      </c>
      <c r="AU982" s="71"/>
      <c r="AV982" s="71"/>
      <c r="AW982" s="71">
        <f t="shared" si="389"/>
        <v>0</v>
      </c>
      <c r="AY982" s="71"/>
      <c r="AZ982" s="71"/>
      <c r="BA982" s="71">
        <f t="shared" si="390"/>
        <v>0</v>
      </c>
      <c r="BI982" s="71"/>
      <c r="BJ982" s="71"/>
      <c r="BK982" s="71">
        <f t="shared" si="391"/>
        <v>0</v>
      </c>
      <c r="BM982" s="71"/>
      <c r="BN982" s="71"/>
      <c r="BO982" s="71">
        <f t="shared" si="392"/>
        <v>0</v>
      </c>
      <c r="BQ982" s="71"/>
      <c r="BR982" s="71"/>
      <c r="BS982" s="138">
        <f t="shared" si="393"/>
        <v>0</v>
      </c>
      <c r="BU982" s="71"/>
      <c r="BV982" s="71"/>
      <c r="BW982" s="71">
        <f t="shared" si="394"/>
        <v>0</v>
      </c>
      <c r="BZ982" s="71"/>
      <c r="CA982" s="71"/>
      <c r="CB982" s="71">
        <f t="shared" si="395"/>
        <v>0</v>
      </c>
      <c r="CD982" s="71"/>
      <c r="CE982" s="71"/>
      <c r="CF982" s="71">
        <f t="shared" si="396"/>
        <v>0</v>
      </c>
      <c r="CH982" s="71"/>
      <c r="CI982" s="71"/>
      <c r="CJ982" s="138">
        <f t="shared" si="397"/>
        <v>0</v>
      </c>
      <c r="CL982" s="71"/>
      <c r="CM982" s="71"/>
      <c r="CN982" s="71">
        <f t="shared" si="398"/>
        <v>0</v>
      </c>
      <c r="CS982" s="102">
        <f t="shared" si="399"/>
        <v>0</v>
      </c>
      <c r="CT982" s="102">
        <f t="shared" si="400"/>
        <v>0</v>
      </c>
      <c r="CZ982" s="109" t="str">
        <f t="shared" si="401"/>
        <v>Basso</v>
      </c>
    </row>
    <row r="983" spans="9:104" x14ac:dyDescent="0.15">
      <c r="I983" s="64">
        <f t="shared" si="402"/>
        <v>0</v>
      </c>
      <c r="M983" s="64">
        <f t="shared" si="380"/>
        <v>0</v>
      </c>
      <c r="Q983" s="64">
        <f t="shared" si="381"/>
        <v>0</v>
      </c>
      <c r="U983" s="64">
        <f t="shared" si="382"/>
        <v>0</v>
      </c>
      <c r="Y983" s="114">
        <f t="shared" si="383"/>
        <v>0</v>
      </c>
      <c r="AC983" s="64">
        <f t="shared" si="384"/>
        <v>0</v>
      </c>
      <c r="AE983" s="71"/>
      <c r="AF983" s="71"/>
      <c r="AG983" s="71">
        <f t="shared" si="385"/>
        <v>0</v>
      </c>
      <c r="AK983" s="64">
        <f t="shared" si="386"/>
        <v>0</v>
      </c>
      <c r="AM983" s="71"/>
      <c r="AN983" s="71"/>
      <c r="AO983" s="71">
        <f t="shared" si="387"/>
        <v>0</v>
      </c>
      <c r="AQ983" s="71"/>
      <c r="AR983" s="71"/>
      <c r="AS983" s="71">
        <f t="shared" si="388"/>
        <v>0</v>
      </c>
      <c r="AU983" s="71"/>
      <c r="AV983" s="71"/>
      <c r="AW983" s="71">
        <f t="shared" si="389"/>
        <v>0</v>
      </c>
      <c r="AY983" s="71"/>
      <c r="AZ983" s="71"/>
      <c r="BA983" s="71">
        <f t="shared" si="390"/>
        <v>0</v>
      </c>
      <c r="BI983" s="71"/>
      <c r="BJ983" s="71"/>
      <c r="BK983" s="71">
        <f t="shared" si="391"/>
        <v>0</v>
      </c>
      <c r="BM983" s="71"/>
      <c r="BN983" s="71"/>
      <c r="BO983" s="71">
        <f t="shared" si="392"/>
        <v>0</v>
      </c>
      <c r="BQ983" s="71"/>
      <c r="BR983" s="71"/>
      <c r="BS983" s="138">
        <f t="shared" si="393"/>
        <v>0</v>
      </c>
      <c r="BU983" s="71"/>
      <c r="BV983" s="71"/>
      <c r="BW983" s="71">
        <f t="shared" si="394"/>
        <v>0</v>
      </c>
      <c r="BZ983" s="71"/>
      <c r="CA983" s="71"/>
      <c r="CB983" s="71">
        <f t="shared" si="395"/>
        <v>0</v>
      </c>
      <c r="CD983" s="71"/>
      <c r="CE983" s="71"/>
      <c r="CF983" s="71">
        <f t="shared" si="396"/>
        <v>0</v>
      </c>
      <c r="CH983" s="71"/>
      <c r="CI983" s="71"/>
      <c r="CJ983" s="138">
        <f t="shared" si="397"/>
        <v>0</v>
      </c>
      <c r="CL983" s="71"/>
      <c r="CM983" s="71"/>
      <c r="CN983" s="71">
        <f t="shared" si="398"/>
        <v>0</v>
      </c>
      <c r="CS983" s="102">
        <f t="shared" si="399"/>
        <v>0</v>
      </c>
      <c r="CT983" s="102">
        <f t="shared" si="400"/>
        <v>0</v>
      </c>
      <c r="CZ983" s="109" t="str">
        <f t="shared" si="401"/>
        <v>Basso</v>
      </c>
    </row>
    <row r="984" spans="9:104" x14ac:dyDescent="0.15">
      <c r="I984" s="64">
        <f t="shared" si="402"/>
        <v>0</v>
      </c>
      <c r="M984" s="64">
        <f t="shared" si="380"/>
        <v>0</v>
      </c>
      <c r="Q984" s="64">
        <f t="shared" si="381"/>
        <v>0</v>
      </c>
      <c r="U984" s="64">
        <f t="shared" si="382"/>
        <v>0</v>
      </c>
      <c r="Y984" s="114">
        <f t="shared" si="383"/>
        <v>0</v>
      </c>
      <c r="AC984" s="64">
        <f t="shared" si="384"/>
        <v>0</v>
      </c>
      <c r="AE984" s="71"/>
      <c r="AF984" s="71"/>
      <c r="AG984" s="71">
        <f t="shared" si="385"/>
        <v>0</v>
      </c>
      <c r="AK984" s="64">
        <f t="shared" si="386"/>
        <v>0</v>
      </c>
      <c r="AM984" s="71"/>
      <c r="AN984" s="71"/>
      <c r="AO984" s="71">
        <f t="shared" si="387"/>
        <v>0</v>
      </c>
      <c r="AQ984" s="71"/>
      <c r="AR984" s="71"/>
      <c r="AS984" s="71">
        <f t="shared" si="388"/>
        <v>0</v>
      </c>
      <c r="AU984" s="71"/>
      <c r="AV984" s="71"/>
      <c r="AW984" s="71">
        <f t="shared" si="389"/>
        <v>0</v>
      </c>
      <c r="AY984" s="71"/>
      <c r="AZ984" s="71"/>
      <c r="BA984" s="71">
        <f t="shared" si="390"/>
        <v>0</v>
      </c>
      <c r="BI984" s="71"/>
      <c r="BJ984" s="71"/>
      <c r="BK984" s="71">
        <f t="shared" si="391"/>
        <v>0</v>
      </c>
      <c r="BM984" s="71"/>
      <c r="BN984" s="71"/>
      <c r="BO984" s="71">
        <f t="shared" si="392"/>
        <v>0</v>
      </c>
      <c r="BQ984" s="71"/>
      <c r="BR984" s="71"/>
      <c r="BS984" s="138">
        <f t="shared" si="393"/>
        <v>0</v>
      </c>
      <c r="BU984" s="71"/>
      <c r="BV984" s="71"/>
      <c r="BW984" s="71">
        <f t="shared" si="394"/>
        <v>0</v>
      </c>
      <c r="BZ984" s="71"/>
      <c r="CA984" s="71"/>
      <c r="CB984" s="71">
        <f t="shared" si="395"/>
        <v>0</v>
      </c>
      <c r="CD984" s="71"/>
      <c r="CE984" s="71"/>
      <c r="CF984" s="71">
        <f t="shared" si="396"/>
        <v>0</v>
      </c>
      <c r="CH984" s="71"/>
      <c r="CI984" s="71"/>
      <c r="CJ984" s="138">
        <f t="shared" si="397"/>
        <v>0</v>
      </c>
      <c r="CL984" s="71"/>
      <c r="CM984" s="71"/>
      <c r="CN984" s="71">
        <f t="shared" si="398"/>
        <v>0</v>
      </c>
      <c r="CS984" s="102">
        <f t="shared" si="399"/>
        <v>0</v>
      </c>
      <c r="CT984" s="102">
        <f t="shared" si="400"/>
        <v>0</v>
      </c>
      <c r="CZ984" s="109" t="str">
        <f t="shared" si="401"/>
        <v>Basso</v>
      </c>
    </row>
    <row r="985" spans="9:104" x14ac:dyDescent="0.15">
      <c r="I985" s="64">
        <f t="shared" si="402"/>
        <v>0</v>
      </c>
      <c r="M985" s="64">
        <f t="shared" si="380"/>
        <v>0</v>
      </c>
      <c r="Q985" s="64">
        <f t="shared" si="381"/>
        <v>0</v>
      </c>
      <c r="U985" s="64">
        <f t="shared" si="382"/>
        <v>0</v>
      </c>
      <c r="Y985" s="114">
        <f t="shared" si="383"/>
        <v>0</v>
      </c>
      <c r="AC985" s="64">
        <f t="shared" si="384"/>
        <v>0</v>
      </c>
      <c r="AE985" s="71"/>
      <c r="AF985" s="71"/>
      <c r="AG985" s="71">
        <f t="shared" si="385"/>
        <v>0</v>
      </c>
      <c r="AK985" s="64">
        <f t="shared" si="386"/>
        <v>0</v>
      </c>
      <c r="AM985" s="71"/>
      <c r="AN985" s="71"/>
      <c r="AO985" s="71">
        <f t="shared" si="387"/>
        <v>0</v>
      </c>
      <c r="AQ985" s="71"/>
      <c r="AR985" s="71"/>
      <c r="AS985" s="71">
        <f t="shared" si="388"/>
        <v>0</v>
      </c>
      <c r="AU985" s="71"/>
      <c r="AV985" s="71"/>
      <c r="AW985" s="71">
        <f t="shared" si="389"/>
        <v>0</v>
      </c>
      <c r="AY985" s="71"/>
      <c r="AZ985" s="71"/>
      <c r="BA985" s="71">
        <f t="shared" si="390"/>
        <v>0</v>
      </c>
      <c r="BI985" s="71"/>
      <c r="BJ985" s="71"/>
      <c r="BK985" s="71">
        <f t="shared" si="391"/>
        <v>0</v>
      </c>
      <c r="BM985" s="71"/>
      <c r="BN985" s="71"/>
      <c r="BO985" s="71">
        <f t="shared" si="392"/>
        <v>0</v>
      </c>
      <c r="BQ985" s="71"/>
      <c r="BR985" s="71"/>
      <c r="BS985" s="138">
        <f t="shared" si="393"/>
        <v>0</v>
      </c>
      <c r="BU985" s="71"/>
      <c r="BV985" s="71"/>
      <c r="BW985" s="71">
        <f t="shared" si="394"/>
        <v>0</v>
      </c>
      <c r="BZ985" s="71"/>
      <c r="CA985" s="71"/>
      <c r="CB985" s="71">
        <f t="shared" si="395"/>
        <v>0</v>
      </c>
      <c r="CD985" s="71"/>
      <c r="CE985" s="71"/>
      <c r="CF985" s="71">
        <f t="shared" si="396"/>
        <v>0</v>
      </c>
      <c r="CH985" s="71"/>
      <c r="CI985" s="71"/>
      <c r="CJ985" s="138">
        <f t="shared" si="397"/>
        <v>0</v>
      </c>
      <c r="CL985" s="71"/>
      <c r="CM985" s="71"/>
      <c r="CN985" s="71">
        <f t="shared" si="398"/>
        <v>0</v>
      </c>
      <c r="CS985" s="102">
        <f t="shared" si="399"/>
        <v>0</v>
      </c>
      <c r="CT985" s="102">
        <f t="shared" si="400"/>
        <v>0</v>
      </c>
      <c r="CZ985" s="109" t="str">
        <f t="shared" si="401"/>
        <v>Basso</v>
      </c>
    </row>
    <row r="986" spans="9:104" x14ac:dyDescent="0.15">
      <c r="I986" s="64">
        <f t="shared" si="402"/>
        <v>0</v>
      </c>
      <c r="M986" s="64">
        <f t="shared" si="380"/>
        <v>0</v>
      </c>
      <c r="Q986" s="64">
        <f t="shared" si="381"/>
        <v>0</v>
      </c>
      <c r="U986" s="64">
        <f t="shared" si="382"/>
        <v>0</v>
      </c>
      <c r="Y986" s="114">
        <f t="shared" si="383"/>
        <v>0</v>
      </c>
      <c r="AC986" s="64">
        <f t="shared" si="384"/>
        <v>0</v>
      </c>
      <c r="AE986" s="71"/>
      <c r="AF986" s="71"/>
      <c r="AG986" s="71">
        <f t="shared" si="385"/>
        <v>0</v>
      </c>
      <c r="AK986" s="64">
        <f t="shared" si="386"/>
        <v>0</v>
      </c>
      <c r="AM986" s="71"/>
      <c r="AN986" s="71"/>
      <c r="AO986" s="71">
        <f t="shared" si="387"/>
        <v>0</v>
      </c>
      <c r="AQ986" s="71"/>
      <c r="AR986" s="71"/>
      <c r="AS986" s="71">
        <f t="shared" si="388"/>
        <v>0</v>
      </c>
      <c r="AU986" s="71"/>
      <c r="AV986" s="71"/>
      <c r="AW986" s="71">
        <f t="shared" si="389"/>
        <v>0</v>
      </c>
      <c r="AY986" s="71"/>
      <c r="AZ986" s="71"/>
      <c r="BA986" s="71">
        <f t="shared" si="390"/>
        <v>0</v>
      </c>
      <c r="BI986" s="71"/>
      <c r="BJ986" s="71"/>
      <c r="BK986" s="71">
        <f t="shared" si="391"/>
        <v>0</v>
      </c>
      <c r="BM986" s="71"/>
      <c r="BN986" s="71"/>
      <c r="BO986" s="71">
        <f t="shared" si="392"/>
        <v>0</v>
      </c>
      <c r="BQ986" s="71"/>
      <c r="BR986" s="71"/>
      <c r="BS986" s="138">
        <f t="shared" si="393"/>
        <v>0</v>
      </c>
      <c r="BU986" s="71"/>
      <c r="BV986" s="71"/>
      <c r="BW986" s="71">
        <f t="shared" si="394"/>
        <v>0</v>
      </c>
      <c r="BZ986" s="71"/>
      <c r="CA986" s="71"/>
      <c r="CB986" s="71">
        <f t="shared" si="395"/>
        <v>0</v>
      </c>
      <c r="CD986" s="71"/>
      <c r="CE986" s="71"/>
      <c r="CF986" s="71">
        <f t="shared" si="396"/>
        <v>0</v>
      </c>
      <c r="CH986" s="71"/>
      <c r="CI986" s="71"/>
      <c r="CJ986" s="138">
        <f t="shared" si="397"/>
        <v>0</v>
      </c>
      <c r="CL986" s="71"/>
      <c r="CM986" s="71"/>
      <c r="CN986" s="71">
        <f t="shared" si="398"/>
        <v>0</v>
      </c>
      <c r="CS986" s="102">
        <f t="shared" si="399"/>
        <v>0</v>
      </c>
      <c r="CT986" s="102">
        <f t="shared" si="400"/>
        <v>0</v>
      </c>
      <c r="CZ986" s="109" t="str">
        <f t="shared" si="401"/>
        <v>Basso</v>
      </c>
    </row>
    <row r="987" spans="9:104" x14ac:dyDescent="0.15">
      <c r="I987" s="64">
        <f t="shared" si="402"/>
        <v>0</v>
      </c>
      <c r="M987" s="64">
        <f t="shared" si="380"/>
        <v>0</v>
      </c>
      <c r="Q987" s="64">
        <f t="shared" si="381"/>
        <v>0</v>
      </c>
      <c r="U987" s="64">
        <f t="shared" si="382"/>
        <v>0</v>
      </c>
      <c r="Y987" s="114">
        <f t="shared" si="383"/>
        <v>0</v>
      </c>
      <c r="AC987" s="64">
        <f t="shared" si="384"/>
        <v>0</v>
      </c>
      <c r="AE987" s="71"/>
      <c r="AF987" s="71"/>
      <c r="AG987" s="71">
        <f t="shared" si="385"/>
        <v>0</v>
      </c>
      <c r="AK987" s="64">
        <f t="shared" si="386"/>
        <v>0</v>
      </c>
      <c r="AM987" s="71"/>
      <c r="AN987" s="71"/>
      <c r="AO987" s="71">
        <f t="shared" si="387"/>
        <v>0</v>
      </c>
      <c r="AQ987" s="71"/>
      <c r="AR987" s="71"/>
      <c r="AS987" s="71">
        <f t="shared" si="388"/>
        <v>0</v>
      </c>
      <c r="AU987" s="71"/>
      <c r="AV987" s="71"/>
      <c r="AW987" s="71">
        <f t="shared" si="389"/>
        <v>0</v>
      </c>
      <c r="AY987" s="71"/>
      <c r="AZ987" s="71"/>
      <c r="BA987" s="71">
        <f t="shared" si="390"/>
        <v>0</v>
      </c>
      <c r="BI987" s="71"/>
      <c r="BJ987" s="71"/>
      <c r="BK987" s="71">
        <f t="shared" si="391"/>
        <v>0</v>
      </c>
      <c r="BM987" s="71"/>
      <c r="BN987" s="71"/>
      <c r="BO987" s="71">
        <f t="shared" si="392"/>
        <v>0</v>
      </c>
      <c r="BQ987" s="71"/>
      <c r="BR987" s="71"/>
      <c r="BS987" s="138">
        <f t="shared" si="393"/>
        <v>0</v>
      </c>
      <c r="BU987" s="71"/>
      <c r="BV987" s="71"/>
      <c r="BW987" s="71">
        <f t="shared" si="394"/>
        <v>0</v>
      </c>
      <c r="BZ987" s="71"/>
      <c r="CA987" s="71"/>
      <c r="CB987" s="71">
        <f t="shared" si="395"/>
        <v>0</v>
      </c>
      <c r="CD987" s="71"/>
      <c r="CE987" s="71"/>
      <c r="CF987" s="71">
        <f t="shared" si="396"/>
        <v>0</v>
      </c>
      <c r="CH987" s="71"/>
      <c r="CI987" s="71"/>
      <c r="CJ987" s="138">
        <f t="shared" si="397"/>
        <v>0</v>
      </c>
      <c r="CL987" s="71"/>
      <c r="CM987" s="71"/>
      <c r="CN987" s="71">
        <f t="shared" si="398"/>
        <v>0</v>
      </c>
      <c r="CS987" s="102">
        <f t="shared" si="399"/>
        <v>0</v>
      </c>
      <c r="CT987" s="102">
        <f t="shared" si="400"/>
        <v>0</v>
      </c>
      <c r="CZ987" s="109" t="str">
        <f t="shared" si="401"/>
        <v>Basso</v>
      </c>
    </row>
    <row r="988" spans="9:104" x14ac:dyDescent="0.15">
      <c r="I988" s="64">
        <f t="shared" si="402"/>
        <v>0</v>
      </c>
      <c r="M988" s="64">
        <f t="shared" si="380"/>
        <v>0</v>
      </c>
      <c r="Q988" s="64">
        <f t="shared" si="381"/>
        <v>0</v>
      </c>
      <c r="U988" s="64">
        <f t="shared" si="382"/>
        <v>0</v>
      </c>
      <c r="Y988" s="114">
        <f t="shared" si="383"/>
        <v>0</v>
      </c>
      <c r="AC988" s="64">
        <f t="shared" si="384"/>
        <v>0</v>
      </c>
      <c r="AE988" s="71"/>
      <c r="AF988" s="71"/>
      <c r="AG988" s="71">
        <f t="shared" si="385"/>
        <v>0</v>
      </c>
      <c r="AK988" s="64">
        <f t="shared" si="386"/>
        <v>0</v>
      </c>
      <c r="AM988" s="71"/>
      <c r="AN988" s="71"/>
      <c r="AO988" s="71">
        <f t="shared" si="387"/>
        <v>0</v>
      </c>
      <c r="AQ988" s="71"/>
      <c r="AR988" s="71"/>
      <c r="AS988" s="71">
        <f t="shared" si="388"/>
        <v>0</v>
      </c>
      <c r="AU988" s="71"/>
      <c r="AV988" s="71"/>
      <c r="AW988" s="71">
        <f t="shared" si="389"/>
        <v>0</v>
      </c>
      <c r="AY988" s="71"/>
      <c r="AZ988" s="71"/>
      <c r="BA988" s="71">
        <f t="shared" si="390"/>
        <v>0</v>
      </c>
      <c r="BI988" s="71"/>
      <c r="BJ988" s="71"/>
      <c r="BK988" s="71">
        <f t="shared" si="391"/>
        <v>0</v>
      </c>
      <c r="BM988" s="71"/>
      <c r="BN988" s="71"/>
      <c r="BO988" s="71">
        <f t="shared" si="392"/>
        <v>0</v>
      </c>
      <c r="BQ988" s="71"/>
      <c r="BR988" s="71"/>
      <c r="BS988" s="138">
        <f t="shared" si="393"/>
        <v>0</v>
      </c>
      <c r="BU988" s="71"/>
      <c r="BV988" s="71"/>
      <c r="BW988" s="71">
        <f t="shared" si="394"/>
        <v>0</v>
      </c>
      <c r="BZ988" s="71"/>
      <c r="CA988" s="71"/>
      <c r="CB988" s="71">
        <f t="shared" si="395"/>
        <v>0</v>
      </c>
      <c r="CD988" s="71"/>
      <c r="CE988" s="71"/>
      <c r="CF988" s="71">
        <f t="shared" si="396"/>
        <v>0</v>
      </c>
      <c r="CH988" s="71"/>
      <c r="CI988" s="71"/>
      <c r="CJ988" s="138">
        <f t="shared" si="397"/>
        <v>0</v>
      </c>
      <c r="CL988" s="71"/>
      <c r="CM988" s="71"/>
      <c r="CN988" s="71">
        <f t="shared" si="398"/>
        <v>0</v>
      </c>
      <c r="CS988" s="102">
        <f t="shared" si="399"/>
        <v>0</v>
      </c>
      <c r="CT988" s="102">
        <f t="shared" si="400"/>
        <v>0</v>
      </c>
      <c r="CZ988" s="109" t="str">
        <f t="shared" si="401"/>
        <v>Basso</v>
      </c>
    </row>
    <row r="989" spans="9:104" x14ac:dyDescent="0.15">
      <c r="I989" s="64">
        <f t="shared" si="402"/>
        <v>0</v>
      </c>
      <c r="M989" s="64">
        <f t="shared" si="380"/>
        <v>0</v>
      </c>
      <c r="Q989" s="64">
        <f t="shared" si="381"/>
        <v>0</v>
      </c>
      <c r="U989" s="64">
        <f t="shared" si="382"/>
        <v>0</v>
      </c>
      <c r="Y989" s="114">
        <f t="shared" si="383"/>
        <v>0</v>
      </c>
      <c r="AC989" s="64">
        <f t="shared" si="384"/>
        <v>0</v>
      </c>
      <c r="AE989" s="71"/>
      <c r="AF989" s="71"/>
      <c r="AG989" s="71">
        <f t="shared" si="385"/>
        <v>0</v>
      </c>
      <c r="AK989" s="64">
        <f t="shared" si="386"/>
        <v>0</v>
      </c>
      <c r="AM989" s="71"/>
      <c r="AN989" s="71"/>
      <c r="AO989" s="71">
        <f t="shared" si="387"/>
        <v>0</v>
      </c>
      <c r="AQ989" s="71"/>
      <c r="AR989" s="71"/>
      <c r="AS989" s="71">
        <f t="shared" si="388"/>
        <v>0</v>
      </c>
      <c r="AU989" s="71"/>
      <c r="AV989" s="71"/>
      <c r="AW989" s="71">
        <f t="shared" si="389"/>
        <v>0</v>
      </c>
      <c r="AY989" s="71"/>
      <c r="AZ989" s="71"/>
      <c r="BA989" s="71">
        <f t="shared" si="390"/>
        <v>0</v>
      </c>
      <c r="BI989" s="71"/>
      <c r="BJ989" s="71"/>
      <c r="BK989" s="71">
        <f t="shared" si="391"/>
        <v>0</v>
      </c>
      <c r="BM989" s="71"/>
      <c r="BN989" s="71"/>
      <c r="BO989" s="71">
        <f t="shared" si="392"/>
        <v>0</v>
      </c>
      <c r="BQ989" s="71"/>
      <c r="BR989" s="71"/>
      <c r="BS989" s="138">
        <f t="shared" si="393"/>
        <v>0</v>
      </c>
      <c r="BU989" s="71"/>
      <c r="BV989" s="71"/>
      <c r="BW989" s="71">
        <f t="shared" si="394"/>
        <v>0</v>
      </c>
      <c r="BZ989" s="71"/>
      <c r="CA989" s="71"/>
      <c r="CB989" s="71">
        <f t="shared" si="395"/>
        <v>0</v>
      </c>
      <c r="CD989" s="71"/>
      <c r="CE989" s="71"/>
      <c r="CF989" s="71">
        <f t="shared" si="396"/>
        <v>0</v>
      </c>
      <c r="CH989" s="71"/>
      <c r="CI989" s="71"/>
      <c r="CJ989" s="138">
        <f t="shared" si="397"/>
        <v>0</v>
      </c>
      <c r="CL989" s="71"/>
      <c r="CM989" s="71"/>
      <c r="CN989" s="71">
        <f t="shared" si="398"/>
        <v>0</v>
      </c>
      <c r="CS989" s="102">
        <f t="shared" si="399"/>
        <v>0</v>
      </c>
      <c r="CT989" s="102">
        <f t="shared" si="400"/>
        <v>0</v>
      </c>
      <c r="CZ989" s="109" t="str">
        <f t="shared" si="401"/>
        <v>Basso</v>
      </c>
    </row>
    <row r="990" spans="9:104" x14ac:dyDescent="0.15">
      <c r="I990" s="64">
        <f t="shared" si="402"/>
        <v>0</v>
      </c>
      <c r="M990" s="64">
        <f t="shared" si="380"/>
        <v>0</v>
      </c>
      <c r="Q990" s="64">
        <f t="shared" si="381"/>
        <v>0</v>
      </c>
      <c r="U990" s="64">
        <f t="shared" si="382"/>
        <v>0</v>
      </c>
      <c r="Y990" s="114">
        <f t="shared" si="383"/>
        <v>0</v>
      </c>
      <c r="AC990" s="64">
        <f t="shared" si="384"/>
        <v>0</v>
      </c>
      <c r="AE990" s="71"/>
      <c r="AF990" s="71"/>
      <c r="AG990" s="71">
        <f t="shared" si="385"/>
        <v>0</v>
      </c>
      <c r="AK990" s="64">
        <f t="shared" si="386"/>
        <v>0</v>
      </c>
      <c r="AM990" s="71"/>
      <c r="AN990" s="71"/>
      <c r="AO990" s="71">
        <f t="shared" si="387"/>
        <v>0</v>
      </c>
      <c r="AQ990" s="71"/>
      <c r="AR990" s="71"/>
      <c r="AS990" s="71">
        <f t="shared" si="388"/>
        <v>0</v>
      </c>
      <c r="AU990" s="71"/>
      <c r="AV990" s="71"/>
      <c r="AW990" s="71">
        <f t="shared" si="389"/>
        <v>0</v>
      </c>
      <c r="AY990" s="71"/>
      <c r="AZ990" s="71"/>
      <c r="BA990" s="71">
        <f t="shared" si="390"/>
        <v>0</v>
      </c>
      <c r="BI990" s="71"/>
      <c r="BJ990" s="71"/>
      <c r="BK990" s="71">
        <f t="shared" si="391"/>
        <v>0</v>
      </c>
      <c r="BM990" s="71"/>
      <c r="BN990" s="71"/>
      <c r="BO990" s="71">
        <f t="shared" si="392"/>
        <v>0</v>
      </c>
      <c r="BQ990" s="71"/>
      <c r="BR990" s="71"/>
      <c r="BS990" s="138">
        <f t="shared" si="393"/>
        <v>0</v>
      </c>
      <c r="BU990" s="71"/>
      <c r="BV990" s="71"/>
      <c r="BW990" s="71">
        <f t="shared" si="394"/>
        <v>0</v>
      </c>
      <c r="BZ990" s="71"/>
      <c r="CA990" s="71"/>
      <c r="CB990" s="71">
        <f t="shared" si="395"/>
        <v>0</v>
      </c>
      <c r="CD990" s="71"/>
      <c r="CE990" s="71"/>
      <c r="CF990" s="71">
        <f t="shared" si="396"/>
        <v>0</v>
      </c>
      <c r="CH990" s="71"/>
      <c r="CI990" s="71"/>
      <c r="CJ990" s="138">
        <f t="shared" si="397"/>
        <v>0</v>
      </c>
      <c r="CL990" s="71"/>
      <c r="CM990" s="71"/>
      <c r="CN990" s="71">
        <f t="shared" si="398"/>
        <v>0</v>
      </c>
      <c r="CS990" s="102">
        <f t="shared" si="399"/>
        <v>0</v>
      </c>
      <c r="CT990" s="102">
        <f t="shared" si="400"/>
        <v>0</v>
      </c>
      <c r="CZ990" s="109" t="str">
        <f t="shared" si="401"/>
        <v>Basso</v>
      </c>
    </row>
    <row r="991" spans="9:104" x14ac:dyDescent="0.15">
      <c r="I991" s="64">
        <f t="shared" si="402"/>
        <v>0</v>
      </c>
      <c r="M991" s="64">
        <f t="shared" si="380"/>
        <v>0</v>
      </c>
      <c r="Q991" s="64">
        <f t="shared" si="381"/>
        <v>0</v>
      </c>
      <c r="U991" s="64">
        <f t="shared" si="382"/>
        <v>0</v>
      </c>
      <c r="Y991" s="114">
        <f t="shared" si="383"/>
        <v>0</v>
      </c>
      <c r="AC991" s="64">
        <f t="shared" si="384"/>
        <v>0</v>
      </c>
      <c r="AE991" s="71"/>
      <c r="AF991" s="71"/>
      <c r="AG991" s="71">
        <f t="shared" si="385"/>
        <v>0</v>
      </c>
      <c r="AK991" s="64">
        <f t="shared" si="386"/>
        <v>0</v>
      </c>
      <c r="AM991" s="71"/>
      <c r="AN991" s="71"/>
      <c r="AO991" s="71">
        <f t="shared" si="387"/>
        <v>0</v>
      </c>
      <c r="AQ991" s="71"/>
      <c r="AR991" s="71"/>
      <c r="AS991" s="71">
        <f t="shared" si="388"/>
        <v>0</v>
      </c>
      <c r="AU991" s="71"/>
      <c r="AV991" s="71"/>
      <c r="AW991" s="71">
        <f t="shared" si="389"/>
        <v>0</v>
      </c>
      <c r="AY991" s="71"/>
      <c r="AZ991" s="71"/>
      <c r="BA991" s="71">
        <f t="shared" si="390"/>
        <v>0</v>
      </c>
      <c r="BI991" s="71"/>
      <c r="BJ991" s="71"/>
      <c r="BK991" s="71">
        <f t="shared" si="391"/>
        <v>0</v>
      </c>
      <c r="BM991" s="71"/>
      <c r="BN991" s="71"/>
      <c r="BO991" s="71">
        <f t="shared" si="392"/>
        <v>0</v>
      </c>
      <c r="BQ991" s="71"/>
      <c r="BR991" s="71"/>
      <c r="BS991" s="138">
        <f t="shared" si="393"/>
        <v>0</v>
      </c>
      <c r="BU991" s="71"/>
      <c r="BV991" s="71"/>
      <c r="BW991" s="71">
        <f t="shared" si="394"/>
        <v>0</v>
      </c>
      <c r="BZ991" s="71"/>
      <c r="CA991" s="71"/>
      <c r="CB991" s="71">
        <f t="shared" si="395"/>
        <v>0</v>
      </c>
      <c r="CD991" s="71"/>
      <c r="CE991" s="71"/>
      <c r="CF991" s="71">
        <f t="shared" si="396"/>
        <v>0</v>
      </c>
      <c r="CH991" s="71"/>
      <c r="CI991" s="71"/>
      <c r="CJ991" s="138">
        <f t="shared" si="397"/>
        <v>0</v>
      </c>
      <c r="CL991" s="71"/>
      <c r="CM991" s="71"/>
      <c r="CN991" s="71">
        <f t="shared" si="398"/>
        <v>0</v>
      </c>
      <c r="CS991" s="102">
        <f t="shared" si="399"/>
        <v>0</v>
      </c>
      <c r="CT991" s="102">
        <f t="shared" si="400"/>
        <v>0</v>
      </c>
      <c r="CZ991" s="109" t="str">
        <f t="shared" si="401"/>
        <v>Basso</v>
      </c>
    </row>
    <row r="992" spans="9:104" x14ac:dyDescent="0.15">
      <c r="I992" s="64">
        <f t="shared" si="402"/>
        <v>0</v>
      </c>
      <c r="M992" s="64">
        <f t="shared" si="380"/>
        <v>0</v>
      </c>
      <c r="Q992" s="64">
        <f t="shared" si="381"/>
        <v>0</v>
      </c>
      <c r="U992" s="64">
        <f t="shared" si="382"/>
        <v>0</v>
      </c>
      <c r="Y992" s="114">
        <f t="shared" si="383"/>
        <v>0</v>
      </c>
      <c r="AC992" s="64">
        <f t="shared" si="384"/>
        <v>0</v>
      </c>
      <c r="AE992" s="71"/>
      <c r="AF992" s="71"/>
      <c r="AG992" s="71">
        <f t="shared" si="385"/>
        <v>0</v>
      </c>
      <c r="AK992" s="64">
        <f t="shared" si="386"/>
        <v>0</v>
      </c>
      <c r="AM992" s="71"/>
      <c r="AN992" s="71"/>
      <c r="AO992" s="71">
        <f t="shared" si="387"/>
        <v>0</v>
      </c>
      <c r="AQ992" s="71"/>
      <c r="AR992" s="71"/>
      <c r="AS992" s="71">
        <f t="shared" si="388"/>
        <v>0</v>
      </c>
      <c r="AU992" s="71"/>
      <c r="AV992" s="71"/>
      <c r="AW992" s="71">
        <f t="shared" si="389"/>
        <v>0</v>
      </c>
      <c r="AY992" s="71"/>
      <c r="AZ992" s="71"/>
      <c r="BA992" s="71">
        <f t="shared" si="390"/>
        <v>0</v>
      </c>
      <c r="BI992" s="71"/>
      <c r="BJ992" s="71"/>
      <c r="BK992" s="71">
        <f t="shared" si="391"/>
        <v>0</v>
      </c>
      <c r="BM992" s="71"/>
      <c r="BN992" s="71"/>
      <c r="BO992" s="71">
        <f t="shared" si="392"/>
        <v>0</v>
      </c>
      <c r="BQ992" s="71"/>
      <c r="BR992" s="71"/>
      <c r="BS992" s="138">
        <f t="shared" si="393"/>
        <v>0</v>
      </c>
      <c r="BU992" s="71"/>
      <c r="BV992" s="71"/>
      <c r="BW992" s="71">
        <f t="shared" si="394"/>
        <v>0</v>
      </c>
      <c r="BZ992" s="71"/>
      <c r="CA992" s="71"/>
      <c r="CB992" s="71">
        <f t="shared" si="395"/>
        <v>0</v>
      </c>
      <c r="CD992" s="71"/>
      <c r="CE992" s="71"/>
      <c r="CF992" s="71">
        <f t="shared" si="396"/>
        <v>0</v>
      </c>
      <c r="CH992" s="71"/>
      <c r="CI992" s="71"/>
      <c r="CJ992" s="138">
        <f t="shared" si="397"/>
        <v>0</v>
      </c>
      <c r="CL992" s="71"/>
      <c r="CM992" s="71"/>
      <c r="CN992" s="71">
        <f t="shared" si="398"/>
        <v>0</v>
      </c>
      <c r="CS992" s="102">
        <f t="shared" si="399"/>
        <v>0</v>
      </c>
      <c r="CT992" s="102">
        <f t="shared" si="400"/>
        <v>0</v>
      </c>
      <c r="CZ992" s="109" t="str">
        <f t="shared" si="401"/>
        <v>Basso</v>
      </c>
    </row>
    <row r="993" spans="9:104" x14ac:dyDescent="0.15">
      <c r="I993" s="64">
        <f t="shared" si="402"/>
        <v>0</v>
      </c>
      <c r="M993" s="64">
        <f t="shared" si="380"/>
        <v>0</v>
      </c>
      <c r="Q993" s="64">
        <f t="shared" si="381"/>
        <v>0</v>
      </c>
      <c r="U993" s="64">
        <f t="shared" si="382"/>
        <v>0</v>
      </c>
      <c r="Y993" s="114">
        <f t="shared" si="383"/>
        <v>0</v>
      </c>
      <c r="AC993" s="64">
        <f t="shared" si="384"/>
        <v>0</v>
      </c>
      <c r="AE993" s="71"/>
      <c r="AF993" s="71"/>
      <c r="AG993" s="71">
        <f t="shared" si="385"/>
        <v>0</v>
      </c>
      <c r="AK993" s="64">
        <f t="shared" si="386"/>
        <v>0</v>
      </c>
      <c r="AM993" s="71"/>
      <c r="AN993" s="71"/>
      <c r="AO993" s="71">
        <f t="shared" si="387"/>
        <v>0</v>
      </c>
      <c r="AQ993" s="71"/>
      <c r="AR993" s="71"/>
      <c r="AS993" s="71">
        <f t="shared" si="388"/>
        <v>0</v>
      </c>
      <c r="AU993" s="71"/>
      <c r="AV993" s="71"/>
      <c r="AW993" s="71">
        <f t="shared" si="389"/>
        <v>0</v>
      </c>
      <c r="AY993" s="71"/>
      <c r="AZ993" s="71"/>
      <c r="BA993" s="71">
        <f t="shared" si="390"/>
        <v>0</v>
      </c>
      <c r="BI993" s="71"/>
      <c r="BJ993" s="71"/>
      <c r="BK993" s="71">
        <f t="shared" si="391"/>
        <v>0</v>
      </c>
      <c r="BM993" s="71"/>
      <c r="BN993" s="71"/>
      <c r="BO993" s="71">
        <f t="shared" si="392"/>
        <v>0</v>
      </c>
      <c r="BQ993" s="71"/>
      <c r="BR993" s="71"/>
      <c r="BS993" s="138">
        <f t="shared" si="393"/>
        <v>0</v>
      </c>
      <c r="BU993" s="71"/>
      <c r="BV993" s="71"/>
      <c r="BW993" s="71">
        <f t="shared" si="394"/>
        <v>0</v>
      </c>
      <c r="BZ993" s="71"/>
      <c r="CA993" s="71"/>
      <c r="CB993" s="71">
        <f t="shared" si="395"/>
        <v>0</v>
      </c>
      <c r="CD993" s="71"/>
      <c r="CE993" s="71"/>
      <c r="CF993" s="71">
        <f t="shared" si="396"/>
        <v>0</v>
      </c>
      <c r="CH993" s="71"/>
      <c r="CI993" s="71"/>
      <c r="CJ993" s="138">
        <f t="shared" si="397"/>
        <v>0</v>
      </c>
      <c r="CL993" s="71"/>
      <c r="CM993" s="71"/>
      <c r="CN993" s="71">
        <f t="shared" si="398"/>
        <v>0</v>
      </c>
      <c r="CS993" s="102">
        <f t="shared" si="399"/>
        <v>0</v>
      </c>
      <c r="CT993" s="102">
        <f t="shared" si="400"/>
        <v>0</v>
      </c>
      <c r="CZ993" s="109" t="str">
        <f t="shared" si="401"/>
        <v>Basso</v>
      </c>
    </row>
    <row r="994" spans="9:104" x14ac:dyDescent="0.15">
      <c r="I994" s="64">
        <f t="shared" si="402"/>
        <v>0</v>
      </c>
      <c r="M994" s="64">
        <f t="shared" si="380"/>
        <v>0</v>
      </c>
      <c r="Q994" s="64">
        <f t="shared" si="381"/>
        <v>0</v>
      </c>
      <c r="U994" s="64">
        <f t="shared" si="382"/>
        <v>0</v>
      </c>
      <c r="Y994" s="114">
        <f t="shared" si="383"/>
        <v>0</v>
      </c>
      <c r="AC994" s="64">
        <f t="shared" si="384"/>
        <v>0</v>
      </c>
      <c r="AE994" s="71"/>
      <c r="AF994" s="71"/>
      <c r="AG994" s="71">
        <f t="shared" si="385"/>
        <v>0</v>
      </c>
      <c r="AK994" s="64">
        <f t="shared" si="386"/>
        <v>0</v>
      </c>
      <c r="AM994" s="71"/>
      <c r="AN994" s="71"/>
      <c r="AO994" s="71">
        <f t="shared" si="387"/>
        <v>0</v>
      </c>
      <c r="AQ994" s="71"/>
      <c r="AR994" s="71"/>
      <c r="AS994" s="71">
        <f t="shared" si="388"/>
        <v>0</v>
      </c>
      <c r="AU994" s="71"/>
      <c r="AV994" s="71"/>
      <c r="AW994" s="71">
        <f t="shared" si="389"/>
        <v>0</v>
      </c>
      <c r="AY994" s="71"/>
      <c r="AZ994" s="71"/>
      <c r="BA994" s="71">
        <f t="shared" si="390"/>
        <v>0</v>
      </c>
      <c r="BI994" s="71"/>
      <c r="BJ994" s="71"/>
      <c r="BK994" s="71">
        <f t="shared" si="391"/>
        <v>0</v>
      </c>
      <c r="BM994" s="71"/>
      <c r="BN994" s="71"/>
      <c r="BO994" s="71">
        <f t="shared" si="392"/>
        <v>0</v>
      </c>
      <c r="BQ994" s="71"/>
      <c r="BR994" s="71"/>
      <c r="BS994" s="138">
        <f t="shared" si="393"/>
        <v>0</v>
      </c>
      <c r="BU994" s="71"/>
      <c r="BV994" s="71"/>
      <c r="BW994" s="71">
        <f t="shared" si="394"/>
        <v>0</v>
      </c>
      <c r="BZ994" s="71"/>
      <c r="CA994" s="71"/>
      <c r="CB994" s="71">
        <f t="shared" si="395"/>
        <v>0</v>
      </c>
      <c r="CD994" s="71"/>
      <c r="CE994" s="71"/>
      <c r="CF994" s="71">
        <f t="shared" si="396"/>
        <v>0</v>
      </c>
      <c r="CH994" s="71"/>
      <c r="CI994" s="71"/>
      <c r="CJ994" s="138">
        <f t="shared" si="397"/>
        <v>0</v>
      </c>
      <c r="CL994" s="71"/>
      <c r="CM994" s="71"/>
      <c r="CN994" s="71">
        <f t="shared" si="398"/>
        <v>0</v>
      </c>
      <c r="CS994" s="102">
        <f t="shared" si="399"/>
        <v>0</v>
      </c>
      <c r="CT994" s="102">
        <f t="shared" si="400"/>
        <v>0</v>
      </c>
      <c r="CZ994" s="109" t="str">
        <f t="shared" si="401"/>
        <v>Basso</v>
      </c>
    </row>
    <row r="995" spans="9:104" x14ac:dyDescent="0.15">
      <c r="I995" s="64">
        <f t="shared" si="402"/>
        <v>0</v>
      </c>
      <c r="M995" s="64">
        <f t="shared" si="380"/>
        <v>0</v>
      </c>
      <c r="Q995" s="64">
        <f t="shared" si="381"/>
        <v>0</v>
      </c>
      <c r="U995" s="64">
        <f t="shared" si="382"/>
        <v>0</v>
      </c>
      <c r="Y995" s="114">
        <f t="shared" si="383"/>
        <v>0</v>
      </c>
      <c r="AC995" s="64">
        <f t="shared" si="384"/>
        <v>0</v>
      </c>
      <c r="AE995" s="71"/>
      <c r="AF995" s="71"/>
      <c r="AG995" s="71">
        <f t="shared" si="385"/>
        <v>0</v>
      </c>
      <c r="AK995" s="64">
        <f t="shared" si="386"/>
        <v>0</v>
      </c>
      <c r="AM995" s="71"/>
      <c r="AN995" s="71"/>
      <c r="AO995" s="71">
        <f t="shared" si="387"/>
        <v>0</v>
      </c>
      <c r="AQ995" s="71"/>
      <c r="AR995" s="71"/>
      <c r="AS995" s="71">
        <f t="shared" si="388"/>
        <v>0</v>
      </c>
      <c r="AU995" s="71"/>
      <c r="AV995" s="71"/>
      <c r="AW995" s="71">
        <f t="shared" si="389"/>
        <v>0</v>
      </c>
      <c r="AY995" s="71"/>
      <c r="AZ995" s="71"/>
      <c r="BA995" s="71">
        <f t="shared" si="390"/>
        <v>0</v>
      </c>
      <c r="BI995" s="71"/>
      <c r="BJ995" s="71"/>
      <c r="BK995" s="71">
        <f t="shared" si="391"/>
        <v>0</v>
      </c>
      <c r="BM995" s="71"/>
      <c r="BN995" s="71"/>
      <c r="BO995" s="71">
        <f t="shared" si="392"/>
        <v>0</v>
      </c>
      <c r="BQ995" s="71"/>
      <c r="BR995" s="71"/>
      <c r="BS995" s="138">
        <f t="shared" si="393"/>
        <v>0</v>
      </c>
      <c r="BU995" s="71"/>
      <c r="BV995" s="71"/>
      <c r="BW995" s="71">
        <f t="shared" si="394"/>
        <v>0</v>
      </c>
      <c r="BZ995" s="71"/>
      <c r="CA995" s="71"/>
      <c r="CB995" s="71">
        <f t="shared" si="395"/>
        <v>0</v>
      </c>
      <c r="CD995" s="71"/>
      <c r="CE995" s="71"/>
      <c r="CF995" s="71">
        <f t="shared" si="396"/>
        <v>0</v>
      </c>
      <c r="CH995" s="71"/>
      <c r="CI995" s="71"/>
      <c r="CJ995" s="138">
        <f t="shared" si="397"/>
        <v>0</v>
      </c>
      <c r="CL995" s="71"/>
      <c r="CM995" s="71"/>
      <c r="CN995" s="71">
        <f t="shared" si="398"/>
        <v>0</v>
      </c>
      <c r="CS995" s="102">
        <f t="shared" si="399"/>
        <v>0</v>
      </c>
      <c r="CT995" s="102">
        <f t="shared" si="400"/>
        <v>0</v>
      </c>
      <c r="CZ995" s="109" t="str">
        <f t="shared" si="401"/>
        <v>Basso</v>
      </c>
    </row>
    <row r="996" spans="9:104" x14ac:dyDescent="0.15">
      <c r="I996" s="64">
        <f t="shared" si="402"/>
        <v>0</v>
      </c>
      <c r="M996" s="64">
        <f t="shared" si="380"/>
        <v>0</v>
      </c>
      <c r="Q996" s="64">
        <f t="shared" si="381"/>
        <v>0</v>
      </c>
      <c r="U996" s="64">
        <f t="shared" si="382"/>
        <v>0</v>
      </c>
      <c r="Y996" s="114">
        <f t="shared" si="383"/>
        <v>0</v>
      </c>
      <c r="AC996" s="64">
        <f t="shared" si="384"/>
        <v>0</v>
      </c>
      <c r="AE996" s="71"/>
      <c r="AF996" s="71"/>
      <c r="AG996" s="71">
        <f t="shared" si="385"/>
        <v>0</v>
      </c>
      <c r="AK996" s="64">
        <f t="shared" si="386"/>
        <v>0</v>
      </c>
      <c r="AM996" s="71"/>
      <c r="AN996" s="71"/>
      <c r="AO996" s="71">
        <f t="shared" si="387"/>
        <v>0</v>
      </c>
      <c r="AQ996" s="71"/>
      <c r="AR996" s="71"/>
      <c r="AS996" s="71">
        <f t="shared" si="388"/>
        <v>0</v>
      </c>
      <c r="AU996" s="71"/>
      <c r="AV996" s="71"/>
      <c r="AW996" s="71">
        <f t="shared" si="389"/>
        <v>0</v>
      </c>
      <c r="AY996" s="71"/>
      <c r="AZ996" s="71"/>
      <c r="BA996" s="71">
        <f t="shared" si="390"/>
        <v>0</v>
      </c>
      <c r="BI996" s="71"/>
      <c r="BJ996" s="71"/>
      <c r="BK996" s="71">
        <f t="shared" si="391"/>
        <v>0</v>
      </c>
      <c r="BM996" s="71"/>
      <c r="BN996" s="71"/>
      <c r="BO996" s="71">
        <f t="shared" si="392"/>
        <v>0</v>
      </c>
      <c r="BQ996" s="71"/>
      <c r="BR996" s="71"/>
      <c r="BS996" s="138">
        <f t="shared" si="393"/>
        <v>0</v>
      </c>
      <c r="BU996" s="71"/>
      <c r="BV996" s="71"/>
      <c r="BW996" s="71">
        <f t="shared" si="394"/>
        <v>0</v>
      </c>
      <c r="BZ996" s="71"/>
      <c r="CA996" s="71"/>
      <c r="CB996" s="71">
        <f t="shared" si="395"/>
        <v>0</v>
      </c>
      <c r="CD996" s="71"/>
      <c r="CE996" s="71"/>
      <c r="CF996" s="71">
        <f t="shared" si="396"/>
        <v>0</v>
      </c>
      <c r="CH996" s="71"/>
      <c r="CI996" s="71"/>
      <c r="CJ996" s="138">
        <f t="shared" si="397"/>
        <v>0</v>
      </c>
      <c r="CL996" s="71"/>
      <c r="CM996" s="71"/>
      <c r="CN996" s="71">
        <f t="shared" si="398"/>
        <v>0</v>
      </c>
      <c r="CS996" s="102">
        <f t="shared" si="399"/>
        <v>0</v>
      </c>
      <c r="CT996" s="102">
        <f t="shared" si="400"/>
        <v>0</v>
      </c>
      <c r="CZ996" s="109" t="str">
        <f t="shared" si="401"/>
        <v>Basso</v>
      </c>
    </row>
    <row r="997" spans="9:104" x14ac:dyDescent="0.15">
      <c r="I997" s="64">
        <f t="shared" si="402"/>
        <v>0</v>
      </c>
      <c r="M997" s="64">
        <f t="shared" si="380"/>
        <v>0</v>
      </c>
      <c r="Q997" s="64">
        <f t="shared" si="381"/>
        <v>0</v>
      </c>
      <c r="U997" s="64">
        <f t="shared" si="382"/>
        <v>0</v>
      </c>
      <c r="Y997" s="114">
        <f t="shared" si="383"/>
        <v>0</v>
      </c>
      <c r="AC997" s="64">
        <f t="shared" si="384"/>
        <v>0</v>
      </c>
      <c r="AE997" s="71"/>
      <c r="AF997" s="71"/>
      <c r="AG997" s="71">
        <f t="shared" si="385"/>
        <v>0</v>
      </c>
      <c r="AK997" s="64">
        <f t="shared" si="386"/>
        <v>0</v>
      </c>
      <c r="AM997" s="71"/>
      <c r="AN997" s="71"/>
      <c r="AO997" s="71">
        <f t="shared" si="387"/>
        <v>0</v>
      </c>
      <c r="AQ997" s="71"/>
      <c r="AR997" s="71"/>
      <c r="AS997" s="71">
        <f t="shared" si="388"/>
        <v>0</v>
      </c>
      <c r="AU997" s="71"/>
      <c r="AV997" s="71"/>
      <c r="AW997" s="71">
        <f t="shared" si="389"/>
        <v>0</v>
      </c>
      <c r="AY997" s="71"/>
      <c r="AZ997" s="71"/>
      <c r="BA997" s="71">
        <f t="shared" si="390"/>
        <v>0</v>
      </c>
      <c r="BI997" s="71"/>
      <c r="BJ997" s="71"/>
      <c r="BK997" s="71">
        <f t="shared" si="391"/>
        <v>0</v>
      </c>
      <c r="BM997" s="71"/>
      <c r="BN997" s="71"/>
      <c r="BO997" s="71">
        <f t="shared" si="392"/>
        <v>0</v>
      </c>
      <c r="BQ997" s="71"/>
      <c r="BR997" s="71"/>
      <c r="BS997" s="138">
        <f t="shared" si="393"/>
        <v>0</v>
      </c>
      <c r="BU997" s="71"/>
      <c r="BV997" s="71"/>
      <c r="BW997" s="71">
        <f t="shared" si="394"/>
        <v>0</v>
      </c>
      <c r="BZ997" s="71"/>
      <c r="CA997" s="71"/>
      <c r="CB997" s="71">
        <f t="shared" si="395"/>
        <v>0</v>
      </c>
      <c r="CD997" s="71"/>
      <c r="CE997" s="71"/>
      <c r="CF997" s="71">
        <f t="shared" si="396"/>
        <v>0</v>
      </c>
      <c r="CH997" s="71"/>
      <c r="CI997" s="71"/>
      <c r="CJ997" s="138">
        <f t="shared" si="397"/>
        <v>0</v>
      </c>
      <c r="CL997" s="71"/>
      <c r="CM997" s="71"/>
      <c r="CN997" s="71">
        <f t="shared" si="398"/>
        <v>0</v>
      </c>
      <c r="CS997" s="102">
        <f t="shared" si="399"/>
        <v>0</v>
      </c>
      <c r="CT997" s="102">
        <f t="shared" si="400"/>
        <v>0</v>
      </c>
      <c r="CZ997" s="109" t="str">
        <f t="shared" si="401"/>
        <v>Basso</v>
      </c>
    </row>
    <row r="998" spans="9:104" x14ac:dyDescent="0.15">
      <c r="I998" s="64">
        <f t="shared" si="402"/>
        <v>0</v>
      </c>
      <c r="M998" s="64">
        <f t="shared" si="380"/>
        <v>0</v>
      </c>
      <c r="Q998" s="64">
        <f t="shared" si="381"/>
        <v>0</v>
      </c>
      <c r="U998" s="64">
        <f t="shared" si="382"/>
        <v>0</v>
      </c>
      <c r="Y998" s="114">
        <f t="shared" si="383"/>
        <v>0</v>
      </c>
      <c r="AC998" s="64">
        <f t="shared" si="384"/>
        <v>0</v>
      </c>
      <c r="AE998" s="71"/>
      <c r="AF998" s="71"/>
      <c r="AG998" s="71">
        <f t="shared" si="385"/>
        <v>0</v>
      </c>
      <c r="AK998" s="64">
        <f t="shared" si="386"/>
        <v>0</v>
      </c>
      <c r="AM998" s="71"/>
      <c r="AN998" s="71"/>
      <c r="AO998" s="71">
        <f t="shared" si="387"/>
        <v>0</v>
      </c>
      <c r="AQ998" s="71"/>
      <c r="AR998" s="71"/>
      <c r="AS998" s="71">
        <f t="shared" si="388"/>
        <v>0</v>
      </c>
      <c r="AU998" s="71"/>
      <c r="AV998" s="71"/>
      <c r="AW998" s="71">
        <f t="shared" si="389"/>
        <v>0</v>
      </c>
      <c r="AY998" s="71"/>
      <c r="AZ998" s="71"/>
      <c r="BA998" s="71">
        <f t="shared" si="390"/>
        <v>0</v>
      </c>
      <c r="BI998" s="71"/>
      <c r="BJ998" s="71"/>
      <c r="BK998" s="71">
        <f t="shared" si="391"/>
        <v>0</v>
      </c>
      <c r="BM998" s="71"/>
      <c r="BN998" s="71"/>
      <c r="BO998" s="71">
        <f t="shared" si="392"/>
        <v>0</v>
      </c>
      <c r="BQ998" s="71"/>
      <c r="BR998" s="71"/>
      <c r="BS998" s="138">
        <f t="shared" si="393"/>
        <v>0</v>
      </c>
      <c r="BU998" s="71"/>
      <c r="BV998" s="71"/>
      <c r="BW998" s="71">
        <f t="shared" si="394"/>
        <v>0</v>
      </c>
      <c r="BZ998" s="71"/>
      <c r="CA998" s="71"/>
      <c r="CB998" s="71">
        <f t="shared" si="395"/>
        <v>0</v>
      </c>
      <c r="CD998" s="71"/>
      <c r="CE998" s="71"/>
      <c r="CF998" s="71">
        <f t="shared" si="396"/>
        <v>0</v>
      </c>
      <c r="CH998" s="71"/>
      <c r="CI998" s="71"/>
      <c r="CJ998" s="138">
        <f t="shared" si="397"/>
        <v>0</v>
      </c>
      <c r="CL998" s="71"/>
      <c r="CM998" s="71"/>
      <c r="CN998" s="71">
        <f t="shared" si="398"/>
        <v>0</v>
      </c>
      <c r="CS998" s="102">
        <f t="shared" si="399"/>
        <v>0</v>
      </c>
      <c r="CT998" s="102">
        <f t="shared" si="400"/>
        <v>0</v>
      </c>
      <c r="CZ998" s="109" t="str">
        <f t="shared" si="401"/>
        <v>Basso</v>
      </c>
    </row>
    <row r="999" spans="9:104" x14ac:dyDescent="0.15">
      <c r="I999" s="64">
        <f t="shared" si="402"/>
        <v>0</v>
      </c>
      <c r="M999" s="64">
        <f t="shared" si="380"/>
        <v>0</v>
      </c>
      <c r="Q999" s="64">
        <f t="shared" si="381"/>
        <v>0</v>
      </c>
      <c r="U999" s="64">
        <f t="shared" si="382"/>
        <v>0</v>
      </c>
      <c r="Y999" s="114">
        <f t="shared" si="383"/>
        <v>0</v>
      </c>
      <c r="AC999" s="64">
        <f t="shared" si="384"/>
        <v>0</v>
      </c>
      <c r="AE999" s="71"/>
      <c r="AF999" s="71"/>
      <c r="AG999" s="71">
        <f t="shared" si="385"/>
        <v>0</v>
      </c>
      <c r="AK999" s="64">
        <f t="shared" si="386"/>
        <v>0</v>
      </c>
      <c r="AM999" s="71"/>
      <c r="AN999" s="71"/>
      <c r="AO999" s="71">
        <f t="shared" si="387"/>
        <v>0</v>
      </c>
      <c r="AQ999" s="71"/>
      <c r="AR999" s="71"/>
      <c r="AS999" s="71">
        <f t="shared" si="388"/>
        <v>0</v>
      </c>
      <c r="AU999" s="71"/>
      <c r="AV999" s="71"/>
      <c r="AW999" s="71">
        <f t="shared" si="389"/>
        <v>0</v>
      </c>
      <c r="AY999" s="71"/>
      <c r="AZ999" s="71"/>
      <c r="BA999" s="71">
        <f t="shared" si="390"/>
        <v>0</v>
      </c>
      <c r="BI999" s="71"/>
      <c r="BJ999" s="71"/>
      <c r="BK999" s="71">
        <f t="shared" si="391"/>
        <v>0</v>
      </c>
      <c r="BM999" s="71"/>
      <c r="BN999" s="71"/>
      <c r="BO999" s="71">
        <f t="shared" si="392"/>
        <v>0</v>
      </c>
      <c r="BQ999" s="71"/>
      <c r="BR999" s="71"/>
      <c r="BS999" s="138">
        <f t="shared" si="393"/>
        <v>0</v>
      </c>
      <c r="BU999" s="71"/>
      <c r="BV999" s="71"/>
      <c r="BW999" s="71">
        <f t="shared" si="394"/>
        <v>0</v>
      </c>
      <c r="BZ999" s="71"/>
      <c r="CA999" s="71"/>
      <c r="CB999" s="71">
        <f t="shared" si="395"/>
        <v>0</v>
      </c>
      <c r="CD999" s="71"/>
      <c r="CE999" s="71"/>
      <c r="CF999" s="71">
        <f t="shared" si="396"/>
        <v>0</v>
      </c>
      <c r="CH999" s="71"/>
      <c r="CI999" s="71"/>
      <c r="CJ999" s="138">
        <f t="shared" si="397"/>
        <v>0</v>
      </c>
      <c r="CL999" s="71"/>
      <c r="CM999" s="71"/>
      <c r="CN999" s="71">
        <f t="shared" si="398"/>
        <v>0</v>
      </c>
      <c r="CS999" s="102">
        <f t="shared" si="399"/>
        <v>0</v>
      </c>
      <c r="CT999" s="102">
        <f t="shared" si="400"/>
        <v>0</v>
      </c>
      <c r="CZ999" s="109" t="str">
        <f t="shared" si="401"/>
        <v>Basso</v>
      </c>
    </row>
    <row r="1000" spans="9:104" x14ac:dyDescent="0.15">
      <c r="I1000" s="64">
        <f t="shared" ref="I1000:I1063" si="403">F1001/2</f>
        <v>0</v>
      </c>
      <c r="M1000" s="64">
        <f t="shared" si="380"/>
        <v>0</v>
      </c>
      <c r="Q1000" s="64">
        <f t="shared" si="381"/>
        <v>0</v>
      </c>
      <c r="U1000" s="64">
        <f t="shared" si="382"/>
        <v>0</v>
      </c>
      <c r="Y1000" s="114">
        <f t="shared" si="383"/>
        <v>0</v>
      </c>
      <c r="AC1000" s="64">
        <f t="shared" si="384"/>
        <v>0</v>
      </c>
      <c r="AE1000" s="71"/>
      <c r="AF1000" s="71"/>
      <c r="AG1000" s="71">
        <f t="shared" si="385"/>
        <v>0</v>
      </c>
      <c r="AK1000" s="64">
        <f t="shared" si="386"/>
        <v>0</v>
      </c>
      <c r="AM1000" s="71"/>
      <c r="AN1000" s="71"/>
      <c r="AO1000" s="71">
        <f t="shared" si="387"/>
        <v>0</v>
      </c>
      <c r="AQ1000" s="71"/>
      <c r="AR1000" s="71"/>
      <c r="AS1000" s="71">
        <f t="shared" si="388"/>
        <v>0</v>
      </c>
      <c r="AU1000" s="71"/>
      <c r="AV1000" s="71"/>
      <c r="AW1000" s="71">
        <f t="shared" si="389"/>
        <v>0</v>
      </c>
      <c r="AY1000" s="71"/>
      <c r="AZ1000" s="71"/>
      <c r="BA1000" s="71">
        <f t="shared" si="390"/>
        <v>0</v>
      </c>
      <c r="BI1000" s="71"/>
      <c r="BJ1000" s="71"/>
      <c r="BK1000" s="71">
        <f t="shared" si="391"/>
        <v>0</v>
      </c>
      <c r="BM1000" s="71"/>
      <c r="BN1000" s="71"/>
      <c r="BO1000" s="71">
        <f t="shared" si="392"/>
        <v>0</v>
      </c>
      <c r="BQ1000" s="71"/>
      <c r="BR1000" s="71"/>
      <c r="BS1000" s="138">
        <f t="shared" si="393"/>
        <v>0</v>
      </c>
      <c r="BU1000" s="71"/>
      <c r="BV1000" s="71"/>
      <c r="BW1000" s="71">
        <f t="shared" si="394"/>
        <v>0</v>
      </c>
      <c r="BZ1000" s="71"/>
      <c r="CA1000" s="71"/>
      <c r="CB1000" s="71">
        <f t="shared" si="395"/>
        <v>0</v>
      </c>
      <c r="CD1000" s="71"/>
      <c r="CE1000" s="71"/>
      <c r="CF1000" s="71">
        <f t="shared" si="396"/>
        <v>0</v>
      </c>
      <c r="CH1000" s="71"/>
      <c r="CI1000" s="71"/>
      <c r="CJ1000" s="138">
        <f t="shared" si="397"/>
        <v>0</v>
      </c>
      <c r="CL1000" s="71"/>
      <c r="CM1000" s="71"/>
      <c r="CN1000" s="71">
        <f t="shared" si="398"/>
        <v>0</v>
      </c>
      <c r="CS1000" s="102">
        <f t="shared" si="399"/>
        <v>0</v>
      </c>
      <c r="CT1000" s="102">
        <f t="shared" si="400"/>
        <v>0</v>
      </c>
      <c r="CZ1000" s="109" t="str">
        <f t="shared" si="401"/>
        <v>Basso</v>
      </c>
    </row>
    <row r="1001" spans="9:104" x14ac:dyDescent="0.15">
      <c r="I1001" s="64">
        <f t="shared" si="403"/>
        <v>0</v>
      </c>
      <c r="M1001" s="64">
        <f t="shared" si="380"/>
        <v>0</v>
      </c>
      <c r="Q1001" s="64">
        <f t="shared" si="381"/>
        <v>0</v>
      </c>
      <c r="U1001" s="64">
        <f t="shared" si="382"/>
        <v>0</v>
      </c>
      <c r="Y1001" s="114">
        <f t="shared" si="383"/>
        <v>0</v>
      </c>
      <c r="AC1001" s="64">
        <f t="shared" si="384"/>
        <v>0</v>
      </c>
      <c r="AE1001" s="71"/>
      <c r="AF1001" s="71"/>
      <c r="AG1001" s="71">
        <f t="shared" si="385"/>
        <v>0</v>
      </c>
      <c r="AK1001" s="64">
        <f t="shared" si="386"/>
        <v>0</v>
      </c>
      <c r="AM1001" s="71"/>
      <c r="AN1001" s="71"/>
      <c r="AO1001" s="71">
        <f t="shared" si="387"/>
        <v>0</v>
      </c>
      <c r="AQ1001" s="71"/>
      <c r="AR1001" s="71"/>
      <c r="AS1001" s="71">
        <f t="shared" si="388"/>
        <v>0</v>
      </c>
      <c r="AU1001" s="71"/>
      <c r="AV1001" s="71"/>
      <c r="AW1001" s="71">
        <f t="shared" si="389"/>
        <v>0</v>
      </c>
      <c r="AY1001" s="71"/>
      <c r="AZ1001" s="71"/>
      <c r="BA1001" s="71">
        <f t="shared" si="390"/>
        <v>0</v>
      </c>
      <c r="BI1001" s="71"/>
      <c r="BJ1001" s="71"/>
      <c r="BK1001" s="71">
        <f t="shared" si="391"/>
        <v>0</v>
      </c>
      <c r="BM1001" s="71"/>
      <c r="BN1001" s="71"/>
      <c r="BO1001" s="71">
        <f t="shared" si="392"/>
        <v>0</v>
      </c>
      <c r="BQ1001" s="71"/>
      <c r="BR1001" s="71"/>
      <c r="BS1001" s="138">
        <f t="shared" si="393"/>
        <v>0</v>
      </c>
      <c r="BU1001" s="71"/>
      <c r="BV1001" s="71"/>
      <c r="BW1001" s="71">
        <f t="shared" si="394"/>
        <v>0</v>
      </c>
      <c r="BZ1001" s="71"/>
      <c r="CA1001" s="71"/>
      <c r="CB1001" s="71">
        <f t="shared" si="395"/>
        <v>0</v>
      </c>
      <c r="CD1001" s="71"/>
      <c r="CE1001" s="71"/>
      <c r="CF1001" s="71">
        <f t="shared" si="396"/>
        <v>0</v>
      </c>
      <c r="CH1001" s="71"/>
      <c r="CI1001" s="71"/>
      <c r="CJ1001" s="138">
        <f t="shared" si="397"/>
        <v>0</v>
      </c>
      <c r="CL1001" s="71"/>
      <c r="CM1001" s="71"/>
      <c r="CN1001" s="71">
        <f t="shared" si="398"/>
        <v>0</v>
      </c>
      <c r="CS1001" s="102">
        <f t="shared" si="399"/>
        <v>0</v>
      </c>
      <c r="CT1001" s="102">
        <f t="shared" si="400"/>
        <v>0</v>
      </c>
      <c r="CZ1001" s="109" t="str">
        <f t="shared" si="401"/>
        <v>Basso</v>
      </c>
    </row>
    <row r="1002" spans="9:104" x14ac:dyDescent="0.15">
      <c r="I1002" s="64">
        <f t="shared" si="403"/>
        <v>0</v>
      </c>
      <c r="M1002" s="64">
        <f t="shared" si="380"/>
        <v>0</v>
      </c>
      <c r="Q1002" s="64">
        <f t="shared" si="381"/>
        <v>0</v>
      </c>
      <c r="U1002" s="64">
        <f t="shared" si="382"/>
        <v>0</v>
      </c>
      <c r="Y1002" s="114">
        <f t="shared" si="383"/>
        <v>0</v>
      </c>
      <c r="AC1002" s="64">
        <f t="shared" si="384"/>
        <v>0</v>
      </c>
      <c r="AE1002" s="71"/>
      <c r="AF1002" s="71"/>
      <c r="AG1002" s="71">
        <f t="shared" si="385"/>
        <v>0</v>
      </c>
      <c r="AK1002" s="64">
        <f t="shared" si="386"/>
        <v>0</v>
      </c>
      <c r="AM1002" s="71"/>
      <c r="AN1002" s="71"/>
      <c r="AO1002" s="71">
        <f t="shared" si="387"/>
        <v>0</v>
      </c>
      <c r="AQ1002" s="71"/>
      <c r="AR1002" s="71"/>
      <c r="AS1002" s="71">
        <f t="shared" si="388"/>
        <v>0</v>
      </c>
      <c r="AU1002" s="71"/>
      <c r="AV1002" s="71"/>
      <c r="AW1002" s="71">
        <f t="shared" si="389"/>
        <v>0</v>
      </c>
      <c r="AY1002" s="71"/>
      <c r="AZ1002" s="71"/>
      <c r="BA1002" s="71">
        <f t="shared" si="390"/>
        <v>0</v>
      </c>
      <c r="BI1002" s="71"/>
      <c r="BJ1002" s="71"/>
      <c r="BK1002" s="71">
        <f t="shared" si="391"/>
        <v>0</v>
      </c>
      <c r="BM1002" s="71"/>
      <c r="BN1002" s="71"/>
      <c r="BO1002" s="71">
        <f t="shared" si="392"/>
        <v>0</v>
      </c>
      <c r="BQ1002" s="71"/>
      <c r="BR1002" s="71"/>
      <c r="BS1002" s="138">
        <f t="shared" si="393"/>
        <v>0</v>
      </c>
      <c r="BU1002" s="71"/>
      <c r="BV1002" s="71"/>
      <c r="BW1002" s="71">
        <f t="shared" si="394"/>
        <v>0</v>
      </c>
      <c r="BZ1002" s="71"/>
      <c r="CA1002" s="71"/>
      <c r="CB1002" s="71">
        <f t="shared" si="395"/>
        <v>0</v>
      </c>
      <c r="CD1002" s="71"/>
      <c r="CE1002" s="71"/>
      <c r="CF1002" s="71">
        <f t="shared" si="396"/>
        <v>0</v>
      </c>
      <c r="CH1002" s="71"/>
      <c r="CI1002" s="71"/>
      <c r="CJ1002" s="138">
        <f t="shared" si="397"/>
        <v>0</v>
      </c>
      <c r="CL1002" s="71"/>
      <c r="CM1002" s="71"/>
      <c r="CN1002" s="71">
        <f t="shared" si="398"/>
        <v>0</v>
      </c>
      <c r="CS1002" s="102">
        <f t="shared" si="399"/>
        <v>0</v>
      </c>
      <c r="CT1002" s="102">
        <f t="shared" si="400"/>
        <v>0</v>
      </c>
      <c r="CZ1002" s="109" t="str">
        <f t="shared" si="401"/>
        <v>Basso</v>
      </c>
    </row>
    <row r="1003" spans="9:104" x14ac:dyDescent="0.15">
      <c r="I1003" s="64">
        <f t="shared" si="403"/>
        <v>0</v>
      </c>
      <c r="M1003" s="64">
        <f t="shared" si="380"/>
        <v>0</v>
      </c>
      <c r="Q1003" s="64">
        <f t="shared" si="381"/>
        <v>0</v>
      </c>
      <c r="U1003" s="64">
        <f t="shared" si="382"/>
        <v>0</v>
      </c>
      <c r="Y1003" s="114">
        <f t="shared" si="383"/>
        <v>0</v>
      </c>
      <c r="AC1003" s="64">
        <f t="shared" si="384"/>
        <v>0</v>
      </c>
      <c r="AE1003" s="71"/>
      <c r="AF1003" s="71"/>
      <c r="AG1003" s="71">
        <f t="shared" si="385"/>
        <v>0</v>
      </c>
      <c r="AK1003" s="64">
        <f t="shared" si="386"/>
        <v>0</v>
      </c>
      <c r="AM1003" s="71"/>
      <c r="AN1003" s="71"/>
      <c r="AO1003" s="71">
        <f t="shared" si="387"/>
        <v>0</v>
      </c>
      <c r="AQ1003" s="71"/>
      <c r="AR1003" s="71"/>
      <c r="AS1003" s="71">
        <f t="shared" si="388"/>
        <v>0</v>
      </c>
      <c r="AU1003" s="71"/>
      <c r="AV1003" s="71"/>
      <c r="AW1003" s="71">
        <f t="shared" si="389"/>
        <v>0</v>
      </c>
      <c r="AY1003" s="71"/>
      <c r="AZ1003" s="71"/>
      <c r="BA1003" s="71">
        <f t="shared" si="390"/>
        <v>0</v>
      </c>
      <c r="BI1003" s="71"/>
      <c r="BJ1003" s="71"/>
      <c r="BK1003" s="71">
        <f t="shared" si="391"/>
        <v>0</v>
      </c>
      <c r="BM1003" s="71"/>
      <c r="BN1003" s="71"/>
      <c r="BO1003" s="71">
        <f t="shared" si="392"/>
        <v>0</v>
      </c>
      <c r="BQ1003" s="71"/>
      <c r="BR1003" s="71"/>
      <c r="BS1003" s="138">
        <f t="shared" si="393"/>
        <v>0</v>
      </c>
      <c r="BU1003" s="71"/>
      <c r="BV1003" s="71"/>
      <c r="BW1003" s="71">
        <f t="shared" si="394"/>
        <v>0</v>
      </c>
      <c r="BZ1003" s="71"/>
      <c r="CA1003" s="71"/>
      <c r="CB1003" s="71">
        <f t="shared" si="395"/>
        <v>0</v>
      </c>
      <c r="CD1003" s="71"/>
      <c r="CE1003" s="71"/>
      <c r="CF1003" s="71">
        <f t="shared" si="396"/>
        <v>0</v>
      </c>
      <c r="CH1003" s="71"/>
      <c r="CI1003" s="71"/>
      <c r="CJ1003" s="138">
        <f t="shared" si="397"/>
        <v>0</v>
      </c>
      <c r="CL1003" s="71"/>
      <c r="CM1003" s="71"/>
      <c r="CN1003" s="71">
        <f t="shared" si="398"/>
        <v>0</v>
      </c>
      <c r="CS1003" s="102">
        <f t="shared" si="399"/>
        <v>0</v>
      </c>
      <c r="CT1003" s="102">
        <f t="shared" si="400"/>
        <v>0</v>
      </c>
      <c r="CZ1003" s="109" t="str">
        <f t="shared" si="401"/>
        <v>Basso</v>
      </c>
    </row>
    <row r="1004" spans="9:104" x14ac:dyDescent="0.15">
      <c r="I1004" s="64">
        <f t="shared" si="403"/>
        <v>0</v>
      </c>
      <c r="M1004" s="64">
        <f t="shared" si="380"/>
        <v>0</v>
      </c>
      <c r="Q1004" s="64">
        <f t="shared" si="381"/>
        <v>0</v>
      </c>
      <c r="U1004" s="64">
        <f t="shared" si="382"/>
        <v>0</v>
      </c>
      <c r="Y1004" s="114">
        <f t="shared" si="383"/>
        <v>0</v>
      </c>
      <c r="AC1004" s="64">
        <f t="shared" si="384"/>
        <v>0</v>
      </c>
      <c r="AE1004" s="71"/>
      <c r="AF1004" s="71"/>
      <c r="AG1004" s="71">
        <f t="shared" si="385"/>
        <v>0</v>
      </c>
      <c r="AK1004" s="64">
        <f t="shared" si="386"/>
        <v>0</v>
      </c>
      <c r="AM1004" s="71"/>
      <c r="AN1004" s="71"/>
      <c r="AO1004" s="71">
        <f t="shared" si="387"/>
        <v>0</v>
      </c>
      <c r="AQ1004" s="71"/>
      <c r="AR1004" s="71"/>
      <c r="AS1004" s="71">
        <f t="shared" si="388"/>
        <v>0</v>
      </c>
      <c r="AU1004" s="71"/>
      <c r="AV1004" s="71"/>
      <c r="AW1004" s="71">
        <f t="shared" si="389"/>
        <v>0</v>
      </c>
      <c r="AY1004" s="71"/>
      <c r="AZ1004" s="71"/>
      <c r="BA1004" s="71">
        <f t="shared" si="390"/>
        <v>0</v>
      </c>
      <c r="BI1004" s="71"/>
      <c r="BJ1004" s="71"/>
      <c r="BK1004" s="71">
        <f t="shared" si="391"/>
        <v>0</v>
      </c>
      <c r="BM1004" s="71"/>
      <c r="BN1004" s="71"/>
      <c r="BO1004" s="71">
        <f t="shared" si="392"/>
        <v>0</v>
      </c>
      <c r="BQ1004" s="71"/>
      <c r="BR1004" s="71"/>
      <c r="BS1004" s="138">
        <f t="shared" si="393"/>
        <v>0</v>
      </c>
      <c r="BU1004" s="71"/>
      <c r="BV1004" s="71"/>
      <c r="BW1004" s="71">
        <f t="shared" si="394"/>
        <v>0</v>
      </c>
      <c r="BZ1004" s="71"/>
      <c r="CA1004" s="71"/>
      <c r="CB1004" s="71">
        <f t="shared" si="395"/>
        <v>0</v>
      </c>
      <c r="CD1004" s="71"/>
      <c r="CE1004" s="71"/>
      <c r="CF1004" s="71">
        <f t="shared" si="396"/>
        <v>0</v>
      </c>
      <c r="CH1004" s="71"/>
      <c r="CI1004" s="71"/>
      <c r="CJ1004" s="138">
        <f t="shared" si="397"/>
        <v>0</v>
      </c>
      <c r="CL1004" s="71"/>
      <c r="CM1004" s="71"/>
      <c r="CN1004" s="71">
        <f t="shared" si="398"/>
        <v>0</v>
      </c>
      <c r="CS1004" s="102">
        <f t="shared" si="399"/>
        <v>0</v>
      </c>
      <c r="CT1004" s="102">
        <f t="shared" si="400"/>
        <v>0</v>
      </c>
      <c r="CZ1004" s="109" t="str">
        <f t="shared" si="401"/>
        <v>Basso</v>
      </c>
    </row>
    <row r="1005" spans="9:104" x14ac:dyDescent="0.15">
      <c r="I1005" s="64">
        <f t="shared" si="403"/>
        <v>0</v>
      </c>
      <c r="M1005" s="64">
        <f t="shared" si="380"/>
        <v>0</v>
      </c>
      <c r="Q1005" s="64">
        <f t="shared" si="381"/>
        <v>0</v>
      </c>
      <c r="U1005" s="64">
        <f t="shared" si="382"/>
        <v>0</v>
      </c>
      <c r="Y1005" s="114">
        <f t="shared" si="383"/>
        <v>0</v>
      </c>
      <c r="AC1005" s="64">
        <f t="shared" si="384"/>
        <v>0</v>
      </c>
      <c r="AE1005" s="71"/>
      <c r="AF1005" s="71"/>
      <c r="AG1005" s="71">
        <f t="shared" si="385"/>
        <v>0</v>
      </c>
      <c r="AK1005" s="64">
        <f t="shared" si="386"/>
        <v>0</v>
      </c>
      <c r="AM1005" s="71"/>
      <c r="AN1005" s="71"/>
      <c r="AO1005" s="71">
        <f t="shared" si="387"/>
        <v>0</v>
      </c>
      <c r="AQ1005" s="71"/>
      <c r="AR1005" s="71"/>
      <c r="AS1005" s="71">
        <f t="shared" si="388"/>
        <v>0</v>
      </c>
      <c r="AU1005" s="71"/>
      <c r="AV1005" s="71"/>
      <c r="AW1005" s="71">
        <f t="shared" si="389"/>
        <v>0</v>
      </c>
      <c r="AY1005" s="71"/>
      <c r="AZ1005" s="71"/>
      <c r="BA1005" s="71">
        <f t="shared" si="390"/>
        <v>0</v>
      </c>
      <c r="BI1005" s="71"/>
      <c r="BJ1005" s="71"/>
      <c r="BK1005" s="71">
        <f t="shared" si="391"/>
        <v>0</v>
      </c>
      <c r="BM1005" s="71"/>
      <c r="BN1005" s="71"/>
      <c r="BO1005" s="71">
        <f t="shared" si="392"/>
        <v>0</v>
      </c>
      <c r="BQ1005" s="71"/>
      <c r="BR1005" s="71"/>
      <c r="BS1005" s="138">
        <f t="shared" si="393"/>
        <v>0</v>
      </c>
      <c r="BU1005" s="71"/>
      <c r="BV1005" s="71"/>
      <c r="BW1005" s="71">
        <f t="shared" si="394"/>
        <v>0</v>
      </c>
      <c r="BZ1005" s="71"/>
      <c r="CA1005" s="71"/>
      <c r="CB1005" s="71">
        <f t="shared" si="395"/>
        <v>0</v>
      </c>
      <c r="CD1005" s="71"/>
      <c r="CE1005" s="71"/>
      <c r="CF1005" s="71">
        <f t="shared" si="396"/>
        <v>0</v>
      </c>
      <c r="CH1005" s="71"/>
      <c r="CI1005" s="71"/>
      <c r="CJ1005" s="138">
        <f t="shared" si="397"/>
        <v>0</v>
      </c>
      <c r="CL1005" s="71"/>
      <c r="CM1005" s="71"/>
      <c r="CN1005" s="71">
        <f t="shared" si="398"/>
        <v>0</v>
      </c>
      <c r="CS1005" s="102">
        <f t="shared" si="399"/>
        <v>0</v>
      </c>
      <c r="CT1005" s="102">
        <f t="shared" si="400"/>
        <v>0</v>
      </c>
      <c r="CZ1005" s="109" t="str">
        <f t="shared" si="401"/>
        <v>Basso</v>
      </c>
    </row>
    <row r="1006" spans="9:104" x14ac:dyDescent="0.15">
      <c r="I1006" s="64">
        <f t="shared" si="403"/>
        <v>0</v>
      </c>
      <c r="M1006" s="64">
        <f t="shared" si="380"/>
        <v>0</v>
      </c>
      <c r="Q1006" s="64">
        <f t="shared" si="381"/>
        <v>0</v>
      </c>
      <c r="U1006" s="64">
        <f t="shared" si="382"/>
        <v>0</v>
      </c>
      <c r="Y1006" s="114">
        <f t="shared" si="383"/>
        <v>0</v>
      </c>
      <c r="AC1006" s="64">
        <f t="shared" si="384"/>
        <v>0</v>
      </c>
      <c r="AE1006" s="71"/>
      <c r="AF1006" s="71"/>
      <c r="AG1006" s="71">
        <f t="shared" si="385"/>
        <v>0</v>
      </c>
      <c r="AK1006" s="64">
        <f t="shared" si="386"/>
        <v>0</v>
      </c>
      <c r="AM1006" s="71"/>
      <c r="AN1006" s="71"/>
      <c r="AO1006" s="71">
        <f t="shared" si="387"/>
        <v>0</v>
      </c>
      <c r="AQ1006" s="71"/>
      <c r="AR1006" s="71"/>
      <c r="AS1006" s="71">
        <f t="shared" si="388"/>
        <v>0</v>
      </c>
      <c r="AU1006" s="71"/>
      <c r="AV1006" s="71"/>
      <c r="AW1006" s="71">
        <f t="shared" si="389"/>
        <v>0</v>
      </c>
      <c r="AY1006" s="71"/>
      <c r="AZ1006" s="71"/>
      <c r="BA1006" s="71">
        <f t="shared" si="390"/>
        <v>0</v>
      </c>
      <c r="BI1006" s="71"/>
      <c r="BJ1006" s="71"/>
      <c r="BK1006" s="71">
        <f t="shared" si="391"/>
        <v>0</v>
      </c>
      <c r="BM1006" s="71"/>
      <c r="BN1006" s="71"/>
      <c r="BO1006" s="71">
        <f t="shared" si="392"/>
        <v>0</v>
      </c>
      <c r="BQ1006" s="71"/>
      <c r="BR1006" s="71"/>
      <c r="BS1006" s="138">
        <f t="shared" si="393"/>
        <v>0</v>
      </c>
      <c r="BU1006" s="71"/>
      <c r="BV1006" s="71"/>
      <c r="BW1006" s="71">
        <f t="shared" si="394"/>
        <v>0</v>
      </c>
      <c r="BZ1006" s="71"/>
      <c r="CA1006" s="71"/>
      <c r="CB1006" s="71">
        <f t="shared" si="395"/>
        <v>0</v>
      </c>
      <c r="CD1006" s="71"/>
      <c r="CE1006" s="71"/>
      <c r="CF1006" s="71">
        <f t="shared" si="396"/>
        <v>0</v>
      </c>
      <c r="CH1006" s="71"/>
      <c r="CI1006" s="71"/>
      <c r="CJ1006" s="138">
        <f t="shared" si="397"/>
        <v>0</v>
      </c>
      <c r="CL1006" s="71"/>
      <c r="CM1006" s="71"/>
      <c r="CN1006" s="71">
        <f t="shared" si="398"/>
        <v>0</v>
      </c>
      <c r="CS1006" s="102">
        <f t="shared" si="399"/>
        <v>0</v>
      </c>
      <c r="CT1006" s="102">
        <f t="shared" si="400"/>
        <v>0</v>
      </c>
      <c r="CZ1006" s="109" t="str">
        <f t="shared" si="401"/>
        <v>Basso</v>
      </c>
    </row>
    <row r="1007" spans="9:104" x14ac:dyDescent="0.15">
      <c r="I1007" s="64">
        <f t="shared" si="403"/>
        <v>0</v>
      </c>
      <c r="M1007" s="64">
        <f t="shared" si="380"/>
        <v>0</v>
      </c>
      <c r="Q1007" s="64">
        <f t="shared" si="381"/>
        <v>0</v>
      </c>
      <c r="U1007" s="64">
        <f t="shared" si="382"/>
        <v>0</v>
      </c>
      <c r="Y1007" s="114">
        <f t="shared" si="383"/>
        <v>0</v>
      </c>
      <c r="AC1007" s="64">
        <f t="shared" si="384"/>
        <v>0</v>
      </c>
      <c r="AE1007" s="71"/>
      <c r="AF1007" s="71"/>
      <c r="AG1007" s="71">
        <f t="shared" si="385"/>
        <v>0</v>
      </c>
      <c r="AK1007" s="64">
        <f t="shared" si="386"/>
        <v>0</v>
      </c>
      <c r="AM1007" s="71"/>
      <c r="AN1007" s="71"/>
      <c r="AO1007" s="71">
        <f t="shared" si="387"/>
        <v>0</v>
      </c>
      <c r="AQ1007" s="71"/>
      <c r="AR1007" s="71"/>
      <c r="AS1007" s="71">
        <f t="shared" si="388"/>
        <v>0</v>
      </c>
      <c r="AU1007" s="71"/>
      <c r="AV1007" s="71"/>
      <c r="AW1007" s="71">
        <f t="shared" si="389"/>
        <v>0</v>
      </c>
      <c r="AY1007" s="71"/>
      <c r="AZ1007" s="71"/>
      <c r="BA1007" s="71">
        <f t="shared" si="390"/>
        <v>0</v>
      </c>
      <c r="BI1007" s="71"/>
      <c r="BJ1007" s="71"/>
      <c r="BK1007" s="71">
        <f t="shared" si="391"/>
        <v>0</v>
      </c>
      <c r="BM1007" s="71"/>
      <c r="BN1007" s="71"/>
      <c r="BO1007" s="71">
        <f t="shared" si="392"/>
        <v>0</v>
      </c>
      <c r="BQ1007" s="71"/>
      <c r="BR1007" s="71"/>
      <c r="BS1007" s="138">
        <f t="shared" si="393"/>
        <v>0</v>
      </c>
      <c r="BU1007" s="71"/>
      <c r="BV1007" s="71"/>
      <c r="BW1007" s="71">
        <f t="shared" si="394"/>
        <v>0</v>
      </c>
      <c r="BZ1007" s="71"/>
      <c r="CA1007" s="71"/>
      <c r="CB1007" s="71">
        <f t="shared" si="395"/>
        <v>0</v>
      </c>
      <c r="CD1007" s="71"/>
      <c r="CE1007" s="71"/>
      <c r="CF1007" s="71">
        <f t="shared" si="396"/>
        <v>0</v>
      </c>
      <c r="CH1007" s="71"/>
      <c r="CI1007" s="71"/>
      <c r="CJ1007" s="138">
        <f t="shared" si="397"/>
        <v>0</v>
      </c>
      <c r="CL1007" s="71"/>
      <c r="CM1007" s="71"/>
      <c r="CN1007" s="71">
        <f t="shared" si="398"/>
        <v>0</v>
      </c>
      <c r="CS1007" s="102">
        <f t="shared" si="399"/>
        <v>0</v>
      </c>
      <c r="CT1007" s="102">
        <f t="shared" si="400"/>
        <v>0</v>
      </c>
      <c r="CZ1007" s="109" t="str">
        <f t="shared" si="401"/>
        <v>Basso</v>
      </c>
    </row>
    <row r="1008" spans="9:104" x14ac:dyDescent="0.15">
      <c r="I1008" s="64">
        <f t="shared" si="403"/>
        <v>0</v>
      </c>
      <c r="M1008" s="64">
        <f t="shared" si="380"/>
        <v>0</v>
      </c>
      <c r="Q1008" s="64">
        <f t="shared" si="381"/>
        <v>0</v>
      </c>
      <c r="U1008" s="64">
        <f t="shared" si="382"/>
        <v>0</v>
      </c>
      <c r="Y1008" s="114">
        <f t="shared" si="383"/>
        <v>0</v>
      </c>
      <c r="AC1008" s="64">
        <f t="shared" si="384"/>
        <v>0</v>
      </c>
      <c r="AE1008" s="71"/>
      <c r="AF1008" s="71"/>
      <c r="AG1008" s="71">
        <f t="shared" si="385"/>
        <v>0</v>
      </c>
      <c r="AK1008" s="64">
        <f t="shared" si="386"/>
        <v>0</v>
      </c>
      <c r="AM1008" s="71"/>
      <c r="AN1008" s="71"/>
      <c r="AO1008" s="71">
        <f t="shared" si="387"/>
        <v>0</v>
      </c>
      <c r="AQ1008" s="71"/>
      <c r="AR1008" s="71"/>
      <c r="AS1008" s="71">
        <f t="shared" si="388"/>
        <v>0</v>
      </c>
      <c r="AU1008" s="71"/>
      <c r="AV1008" s="71"/>
      <c r="AW1008" s="71">
        <f t="shared" si="389"/>
        <v>0</v>
      </c>
      <c r="AY1008" s="71"/>
      <c r="AZ1008" s="71"/>
      <c r="BA1008" s="71">
        <f t="shared" si="390"/>
        <v>0</v>
      </c>
      <c r="BI1008" s="71"/>
      <c r="BJ1008" s="71"/>
      <c r="BK1008" s="71">
        <f t="shared" si="391"/>
        <v>0</v>
      </c>
      <c r="BM1008" s="71"/>
      <c r="BN1008" s="71"/>
      <c r="BO1008" s="71">
        <f t="shared" si="392"/>
        <v>0</v>
      </c>
      <c r="BQ1008" s="71"/>
      <c r="BR1008" s="71"/>
      <c r="BS1008" s="138">
        <f t="shared" si="393"/>
        <v>0</v>
      </c>
      <c r="BU1008" s="71"/>
      <c r="BV1008" s="71"/>
      <c r="BW1008" s="71">
        <f t="shared" si="394"/>
        <v>0</v>
      </c>
      <c r="BZ1008" s="71"/>
      <c r="CA1008" s="71"/>
      <c r="CB1008" s="71">
        <f t="shared" si="395"/>
        <v>0</v>
      </c>
      <c r="CD1008" s="71"/>
      <c r="CE1008" s="71"/>
      <c r="CF1008" s="71">
        <f t="shared" si="396"/>
        <v>0</v>
      </c>
      <c r="CH1008" s="71"/>
      <c r="CI1008" s="71"/>
      <c r="CJ1008" s="138">
        <f t="shared" si="397"/>
        <v>0</v>
      </c>
      <c r="CL1008" s="71"/>
      <c r="CM1008" s="71"/>
      <c r="CN1008" s="71">
        <f t="shared" si="398"/>
        <v>0</v>
      </c>
      <c r="CS1008" s="102">
        <f t="shared" si="399"/>
        <v>0</v>
      </c>
      <c r="CT1008" s="102">
        <f t="shared" si="400"/>
        <v>0</v>
      </c>
      <c r="CZ1008" s="109" t="str">
        <f t="shared" si="401"/>
        <v>Basso</v>
      </c>
    </row>
    <row r="1009" spans="9:104" x14ac:dyDescent="0.15">
      <c r="I1009" s="64">
        <f t="shared" si="403"/>
        <v>0</v>
      </c>
      <c r="M1009" s="64">
        <f t="shared" si="380"/>
        <v>0</v>
      </c>
      <c r="Q1009" s="64">
        <f t="shared" si="381"/>
        <v>0</v>
      </c>
      <c r="U1009" s="64">
        <f t="shared" si="382"/>
        <v>0</v>
      </c>
      <c r="Y1009" s="114">
        <f t="shared" si="383"/>
        <v>0</v>
      </c>
      <c r="AC1009" s="64">
        <f t="shared" si="384"/>
        <v>0</v>
      </c>
      <c r="AE1009" s="71"/>
      <c r="AF1009" s="71"/>
      <c r="AG1009" s="71">
        <f t="shared" si="385"/>
        <v>0</v>
      </c>
      <c r="AK1009" s="64">
        <f t="shared" si="386"/>
        <v>0</v>
      </c>
      <c r="AM1009" s="71"/>
      <c r="AN1009" s="71"/>
      <c r="AO1009" s="71">
        <f t="shared" si="387"/>
        <v>0</v>
      </c>
      <c r="AQ1009" s="71"/>
      <c r="AR1009" s="71"/>
      <c r="AS1009" s="71">
        <f t="shared" si="388"/>
        <v>0</v>
      </c>
      <c r="AU1009" s="71"/>
      <c r="AV1009" s="71"/>
      <c r="AW1009" s="71">
        <f t="shared" si="389"/>
        <v>0</v>
      </c>
      <c r="AY1009" s="71"/>
      <c r="AZ1009" s="71"/>
      <c r="BA1009" s="71">
        <f t="shared" si="390"/>
        <v>0</v>
      </c>
      <c r="BI1009" s="71"/>
      <c r="BJ1009" s="71"/>
      <c r="BK1009" s="71">
        <f t="shared" si="391"/>
        <v>0</v>
      </c>
      <c r="BM1009" s="71"/>
      <c r="BN1009" s="71"/>
      <c r="BO1009" s="71">
        <f t="shared" si="392"/>
        <v>0</v>
      </c>
      <c r="BQ1009" s="71"/>
      <c r="BR1009" s="71"/>
      <c r="BS1009" s="138">
        <f t="shared" si="393"/>
        <v>0</v>
      </c>
      <c r="BU1009" s="71"/>
      <c r="BV1009" s="71"/>
      <c r="BW1009" s="71">
        <f t="shared" si="394"/>
        <v>0</v>
      </c>
      <c r="BZ1009" s="71"/>
      <c r="CA1009" s="71"/>
      <c r="CB1009" s="71">
        <f t="shared" si="395"/>
        <v>0</v>
      </c>
      <c r="CD1009" s="71"/>
      <c r="CE1009" s="71"/>
      <c r="CF1009" s="71">
        <f t="shared" si="396"/>
        <v>0</v>
      </c>
      <c r="CH1009" s="71"/>
      <c r="CI1009" s="71"/>
      <c r="CJ1009" s="138">
        <f t="shared" si="397"/>
        <v>0</v>
      </c>
      <c r="CL1009" s="71"/>
      <c r="CM1009" s="71"/>
      <c r="CN1009" s="71">
        <f t="shared" si="398"/>
        <v>0</v>
      </c>
      <c r="CS1009" s="102">
        <f t="shared" si="399"/>
        <v>0</v>
      </c>
      <c r="CT1009" s="102">
        <f t="shared" si="400"/>
        <v>0</v>
      </c>
      <c r="CZ1009" s="109" t="str">
        <f t="shared" si="401"/>
        <v>Basso</v>
      </c>
    </row>
    <row r="1010" spans="9:104" x14ac:dyDescent="0.15">
      <c r="I1010" s="64">
        <f t="shared" si="403"/>
        <v>0</v>
      </c>
      <c r="M1010" s="64">
        <f t="shared" si="380"/>
        <v>0</v>
      </c>
      <c r="Q1010" s="64">
        <f t="shared" si="381"/>
        <v>0</v>
      </c>
      <c r="U1010" s="64">
        <f t="shared" si="382"/>
        <v>0</v>
      </c>
      <c r="Y1010" s="114">
        <f t="shared" si="383"/>
        <v>0</v>
      </c>
      <c r="AC1010" s="64">
        <f t="shared" si="384"/>
        <v>0</v>
      </c>
      <c r="AE1010" s="71"/>
      <c r="AF1010" s="71"/>
      <c r="AG1010" s="71">
        <f t="shared" si="385"/>
        <v>0</v>
      </c>
      <c r="AK1010" s="64">
        <f t="shared" si="386"/>
        <v>0</v>
      </c>
      <c r="AM1010" s="71"/>
      <c r="AN1010" s="71"/>
      <c r="AO1010" s="71">
        <f t="shared" si="387"/>
        <v>0</v>
      </c>
      <c r="AQ1010" s="71"/>
      <c r="AR1010" s="71"/>
      <c r="AS1010" s="71">
        <f t="shared" si="388"/>
        <v>0</v>
      </c>
      <c r="AU1010" s="71"/>
      <c r="AV1010" s="71"/>
      <c r="AW1010" s="71">
        <f t="shared" si="389"/>
        <v>0</v>
      </c>
      <c r="AY1010" s="71"/>
      <c r="AZ1010" s="71"/>
      <c r="BA1010" s="71">
        <f t="shared" si="390"/>
        <v>0</v>
      </c>
      <c r="BI1010" s="71"/>
      <c r="BJ1010" s="71"/>
      <c r="BK1010" s="71">
        <f t="shared" si="391"/>
        <v>0</v>
      </c>
      <c r="BM1010" s="71"/>
      <c r="BN1010" s="71"/>
      <c r="BO1010" s="71">
        <f t="shared" si="392"/>
        <v>0</v>
      </c>
      <c r="BQ1010" s="71"/>
      <c r="BR1010" s="71"/>
      <c r="BS1010" s="138">
        <f t="shared" si="393"/>
        <v>0</v>
      </c>
      <c r="BU1010" s="71"/>
      <c r="BV1010" s="71"/>
      <c r="BW1010" s="71">
        <f t="shared" si="394"/>
        <v>0</v>
      </c>
      <c r="BZ1010" s="71"/>
      <c r="CA1010" s="71"/>
      <c r="CB1010" s="71">
        <f t="shared" si="395"/>
        <v>0</v>
      </c>
      <c r="CD1010" s="71"/>
      <c r="CE1010" s="71"/>
      <c r="CF1010" s="71">
        <f t="shared" si="396"/>
        <v>0</v>
      </c>
      <c r="CH1010" s="71"/>
      <c r="CI1010" s="71"/>
      <c r="CJ1010" s="138">
        <f t="shared" si="397"/>
        <v>0</v>
      </c>
      <c r="CL1010" s="71"/>
      <c r="CM1010" s="71"/>
      <c r="CN1010" s="71">
        <f t="shared" si="398"/>
        <v>0</v>
      </c>
      <c r="CS1010" s="102">
        <f t="shared" si="399"/>
        <v>0</v>
      </c>
      <c r="CT1010" s="102">
        <f t="shared" si="400"/>
        <v>0</v>
      </c>
      <c r="CZ1010" s="109" t="str">
        <f t="shared" si="401"/>
        <v>Basso</v>
      </c>
    </row>
    <row r="1011" spans="9:104" x14ac:dyDescent="0.15">
      <c r="I1011" s="64">
        <f t="shared" si="403"/>
        <v>0</v>
      </c>
      <c r="M1011" s="64">
        <f t="shared" si="380"/>
        <v>0</v>
      </c>
      <c r="Q1011" s="64">
        <f t="shared" si="381"/>
        <v>0</v>
      </c>
      <c r="U1011" s="64">
        <f t="shared" si="382"/>
        <v>0</v>
      </c>
      <c r="Y1011" s="114">
        <f t="shared" si="383"/>
        <v>0</v>
      </c>
      <c r="AC1011" s="64">
        <f t="shared" si="384"/>
        <v>0</v>
      </c>
      <c r="AE1011" s="71"/>
      <c r="AF1011" s="71"/>
      <c r="AG1011" s="71">
        <f t="shared" si="385"/>
        <v>0</v>
      </c>
      <c r="AK1011" s="64">
        <f t="shared" si="386"/>
        <v>0</v>
      </c>
      <c r="AM1011" s="71"/>
      <c r="AN1011" s="71"/>
      <c r="AO1011" s="71">
        <f t="shared" si="387"/>
        <v>0</v>
      </c>
      <c r="AQ1011" s="71"/>
      <c r="AR1011" s="71"/>
      <c r="AS1011" s="71">
        <f t="shared" si="388"/>
        <v>0</v>
      </c>
      <c r="AU1011" s="71"/>
      <c r="AV1011" s="71"/>
      <c r="AW1011" s="71">
        <f t="shared" si="389"/>
        <v>0</v>
      </c>
      <c r="AY1011" s="71"/>
      <c r="AZ1011" s="71"/>
      <c r="BA1011" s="71">
        <f t="shared" si="390"/>
        <v>0</v>
      </c>
      <c r="BI1011" s="71"/>
      <c r="BJ1011" s="71"/>
      <c r="BK1011" s="71">
        <f t="shared" si="391"/>
        <v>0</v>
      </c>
      <c r="BM1011" s="71"/>
      <c r="BN1011" s="71"/>
      <c r="BO1011" s="71">
        <f t="shared" si="392"/>
        <v>0</v>
      </c>
      <c r="BQ1011" s="71"/>
      <c r="BR1011" s="71"/>
      <c r="BS1011" s="138">
        <f t="shared" si="393"/>
        <v>0</v>
      </c>
      <c r="BU1011" s="71"/>
      <c r="BV1011" s="71"/>
      <c r="BW1011" s="71">
        <f t="shared" si="394"/>
        <v>0</v>
      </c>
      <c r="BZ1011" s="71"/>
      <c r="CA1011" s="71"/>
      <c r="CB1011" s="71">
        <f t="shared" si="395"/>
        <v>0</v>
      </c>
      <c r="CD1011" s="71"/>
      <c r="CE1011" s="71"/>
      <c r="CF1011" s="71">
        <f t="shared" si="396"/>
        <v>0</v>
      </c>
      <c r="CH1011" s="71"/>
      <c r="CI1011" s="71"/>
      <c r="CJ1011" s="138">
        <f t="shared" si="397"/>
        <v>0</v>
      </c>
      <c r="CL1011" s="71"/>
      <c r="CM1011" s="71"/>
      <c r="CN1011" s="71">
        <f t="shared" si="398"/>
        <v>0</v>
      </c>
      <c r="CS1011" s="102">
        <f t="shared" si="399"/>
        <v>0</v>
      </c>
      <c r="CT1011" s="102">
        <f t="shared" si="400"/>
        <v>0</v>
      </c>
      <c r="CZ1011" s="109" t="str">
        <f t="shared" si="401"/>
        <v>Basso</v>
      </c>
    </row>
    <row r="1012" spans="9:104" x14ac:dyDescent="0.15">
      <c r="I1012" s="64">
        <f t="shared" si="403"/>
        <v>0</v>
      </c>
      <c r="M1012" s="64">
        <f t="shared" si="380"/>
        <v>0</v>
      </c>
      <c r="Q1012" s="64">
        <f t="shared" si="381"/>
        <v>0</v>
      </c>
      <c r="U1012" s="64">
        <f t="shared" si="382"/>
        <v>0</v>
      </c>
      <c r="Y1012" s="114">
        <f t="shared" si="383"/>
        <v>0</v>
      </c>
      <c r="AC1012" s="64">
        <f t="shared" si="384"/>
        <v>0</v>
      </c>
      <c r="AE1012" s="71"/>
      <c r="AF1012" s="71"/>
      <c r="AG1012" s="71">
        <f t="shared" si="385"/>
        <v>0</v>
      </c>
      <c r="AK1012" s="64">
        <f t="shared" si="386"/>
        <v>0</v>
      </c>
      <c r="AM1012" s="71"/>
      <c r="AN1012" s="71"/>
      <c r="AO1012" s="71">
        <f t="shared" si="387"/>
        <v>0</v>
      </c>
      <c r="AQ1012" s="71"/>
      <c r="AR1012" s="71"/>
      <c r="AS1012" s="71">
        <f t="shared" si="388"/>
        <v>0</v>
      </c>
      <c r="AU1012" s="71"/>
      <c r="AV1012" s="71"/>
      <c r="AW1012" s="71">
        <f t="shared" si="389"/>
        <v>0</v>
      </c>
      <c r="AY1012" s="71"/>
      <c r="AZ1012" s="71"/>
      <c r="BA1012" s="71">
        <f t="shared" si="390"/>
        <v>0</v>
      </c>
      <c r="BI1012" s="71"/>
      <c r="BJ1012" s="71"/>
      <c r="BK1012" s="71">
        <f t="shared" si="391"/>
        <v>0</v>
      </c>
      <c r="BM1012" s="71"/>
      <c r="BN1012" s="71"/>
      <c r="BO1012" s="71">
        <f t="shared" si="392"/>
        <v>0</v>
      </c>
      <c r="BQ1012" s="71"/>
      <c r="BR1012" s="71"/>
      <c r="BS1012" s="138">
        <f t="shared" si="393"/>
        <v>0</v>
      </c>
      <c r="BU1012" s="71"/>
      <c r="BV1012" s="71"/>
      <c r="BW1012" s="71">
        <f t="shared" si="394"/>
        <v>0</v>
      </c>
      <c r="BZ1012" s="71"/>
      <c r="CA1012" s="71"/>
      <c r="CB1012" s="71">
        <f t="shared" si="395"/>
        <v>0</v>
      </c>
      <c r="CD1012" s="71"/>
      <c r="CE1012" s="71"/>
      <c r="CF1012" s="71">
        <f t="shared" si="396"/>
        <v>0</v>
      </c>
      <c r="CH1012" s="71"/>
      <c r="CI1012" s="71"/>
      <c r="CJ1012" s="138">
        <f t="shared" si="397"/>
        <v>0</v>
      </c>
      <c r="CL1012" s="71"/>
      <c r="CM1012" s="71"/>
      <c r="CN1012" s="71">
        <f t="shared" si="398"/>
        <v>0</v>
      </c>
      <c r="CS1012" s="102">
        <f t="shared" si="399"/>
        <v>0</v>
      </c>
      <c r="CT1012" s="102">
        <f t="shared" si="400"/>
        <v>0</v>
      </c>
      <c r="CZ1012" s="109" t="str">
        <f t="shared" si="401"/>
        <v>Basso</v>
      </c>
    </row>
    <row r="1013" spans="9:104" x14ac:dyDescent="0.15">
      <c r="I1013" s="64">
        <f t="shared" si="403"/>
        <v>0</v>
      </c>
      <c r="M1013" s="64">
        <f t="shared" si="380"/>
        <v>0</v>
      </c>
      <c r="Q1013" s="64">
        <f t="shared" si="381"/>
        <v>0</v>
      </c>
      <c r="U1013" s="64">
        <f t="shared" si="382"/>
        <v>0</v>
      </c>
      <c r="Y1013" s="114">
        <f t="shared" si="383"/>
        <v>0</v>
      </c>
      <c r="AC1013" s="64">
        <f t="shared" si="384"/>
        <v>0</v>
      </c>
      <c r="AE1013" s="71"/>
      <c r="AF1013" s="71"/>
      <c r="AG1013" s="71">
        <f t="shared" si="385"/>
        <v>0</v>
      </c>
      <c r="AK1013" s="64">
        <f t="shared" si="386"/>
        <v>0</v>
      </c>
      <c r="AM1013" s="71"/>
      <c r="AN1013" s="71"/>
      <c r="AO1013" s="71">
        <f t="shared" si="387"/>
        <v>0</v>
      </c>
      <c r="AQ1013" s="71"/>
      <c r="AR1013" s="71"/>
      <c r="AS1013" s="71">
        <f t="shared" si="388"/>
        <v>0</v>
      </c>
      <c r="AU1013" s="71"/>
      <c r="AV1013" s="71"/>
      <c r="AW1013" s="71">
        <f t="shared" si="389"/>
        <v>0</v>
      </c>
      <c r="AY1013" s="71"/>
      <c r="AZ1013" s="71"/>
      <c r="BA1013" s="71">
        <f t="shared" si="390"/>
        <v>0</v>
      </c>
      <c r="BI1013" s="71"/>
      <c r="BJ1013" s="71"/>
      <c r="BK1013" s="71">
        <f t="shared" si="391"/>
        <v>0</v>
      </c>
      <c r="BM1013" s="71"/>
      <c r="BN1013" s="71"/>
      <c r="BO1013" s="71">
        <f t="shared" si="392"/>
        <v>0</v>
      </c>
      <c r="BQ1013" s="71"/>
      <c r="BR1013" s="71"/>
      <c r="BS1013" s="138">
        <f t="shared" si="393"/>
        <v>0</v>
      </c>
      <c r="BU1013" s="71"/>
      <c r="BV1013" s="71"/>
      <c r="BW1013" s="71">
        <f t="shared" si="394"/>
        <v>0</v>
      </c>
      <c r="BZ1013" s="71"/>
      <c r="CA1013" s="71"/>
      <c r="CB1013" s="71">
        <f t="shared" si="395"/>
        <v>0</v>
      </c>
      <c r="CD1013" s="71"/>
      <c r="CE1013" s="71"/>
      <c r="CF1013" s="71">
        <f t="shared" si="396"/>
        <v>0</v>
      </c>
      <c r="CH1013" s="71"/>
      <c r="CI1013" s="71"/>
      <c r="CJ1013" s="138">
        <f t="shared" si="397"/>
        <v>0</v>
      </c>
      <c r="CL1013" s="71"/>
      <c r="CM1013" s="71"/>
      <c r="CN1013" s="71">
        <f t="shared" si="398"/>
        <v>0</v>
      </c>
      <c r="CS1013" s="102">
        <f t="shared" si="399"/>
        <v>0</v>
      </c>
      <c r="CT1013" s="102">
        <f t="shared" si="400"/>
        <v>0</v>
      </c>
      <c r="CZ1013" s="109" t="str">
        <f t="shared" si="401"/>
        <v>Basso</v>
      </c>
    </row>
    <row r="1014" spans="9:104" x14ac:dyDescent="0.15">
      <c r="I1014" s="64">
        <f t="shared" si="403"/>
        <v>0</v>
      </c>
      <c r="M1014" s="64">
        <f t="shared" si="380"/>
        <v>0</v>
      </c>
      <c r="Q1014" s="64">
        <f t="shared" si="381"/>
        <v>0</v>
      </c>
      <c r="U1014" s="64">
        <f t="shared" si="382"/>
        <v>0</v>
      </c>
      <c r="Y1014" s="114">
        <f t="shared" si="383"/>
        <v>0</v>
      </c>
      <c r="AC1014" s="64">
        <f t="shared" si="384"/>
        <v>0</v>
      </c>
      <c r="AE1014" s="71"/>
      <c r="AF1014" s="71"/>
      <c r="AG1014" s="71">
        <f t="shared" si="385"/>
        <v>0</v>
      </c>
      <c r="AK1014" s="64">
        <f t="shared" si="386"/>
        <v>0</v>
      </c>
      <c r="AM1014" s="71"/>
      <c r="AN1014" s="71"/>
      <c r="AO1014" s="71">
        <f t="shared" si="387"/>
        <v>0</v>
      </c>
      <c r="AQ1014" s="71"/>
      <c r="AR1014" s="71"/>
      <c r="AS1014" s="71">
        <f t="shared" si="388"/>
        <v>0</v>
      </c>
      <c r="AU1014" s="71"/>
      <c r="AV1014" s="71"/>
      <c r="AW1014" s="71">
        <f t="shared" si="389"/>
        <v>0</v>
      </c>
      <c r="AY1014" s="71"/>
      <c r="AZ1014" s="71"/>
      <c r="BA1014" s="71">
        <f t="shared" si="390"/>
        <v>0</v>
      </c>
      <c r="BI1014" s="71"/>
      <c r="BJ1014" s="71"/>
      <c r="BK1014" s="71">
        <f t="shared" si="391"/>
        <v>0</v>
      </c>
      <c r="BM1014" s="71"/>
      <c r="BN1014" s="71"/>
      <c r="BO1014" s="71">
        <f t="shared" si="392"/>
        <v>0</v>
      </c>
      <c r="BQ1014" s="71"/>
      <c r="BR1014" s="71"/>
      <c r="BS1014" s="138">
        <f t="shared" si="393"/>
        <v>0</v>
      </c>
      <c r="BU1014" s="71"/>
      <c r="BV1014" s="71"/>
      <c r="BW1014" s="71">
        <f t="shared" si="394"/>
        <v>0</v>
      </c>
      <c r="BZ1014" s="71"/>
      <c r="CA1014" s="71"/>
      <c r="CB1014" s="71">
        <f t="shared" si="395"/>
        <v>0</v>
      </c>
      <c r="CD1014" s="71"/>
      <c r="CE1014" s="71"/>
      <c r="CF1014" s="71">
        <f t="shared" si="396"/>
        <v>0</v>
      </c>
      <c r="CH1014" s="71"/>
      <c r="CI1014" s="71"/>
      <c r="CJ1014" s="138">
        <f t="shared" si="397"/>
        <v>0</v>
      </c>
      <c r="CL1014" s="71"/>
      <c r="CM1014" s="71"/>
      <c r="CN1014" s="71">
        <f t="shared" si="398"/>
        <v>0</v>
      </c>
      <c r="CS1014" s="102">
        <f t="shared" si="399"/>
        <v>0</v>
      </c>
      <c r="CT1014" s="102">
        <f t="shared" si="400"/>
        <v>0</v>
      </c>
      <c r="CZ1014" s="109" t="str">
        <f t="shared" si="401"/>
        <v>Basso</v>
      </c>
    </row>
    <row r="1015" spans="9:104" x14ac:dyDescent="0.15">
      <c r="I1015" s="64">
        <f t="shared" si="403"/>
        <v>0</v>
      </c>
      <c r="M1015" s="64">
        <f t="shared" si="380"/>
        <v>0</v>
      </c>
      <c r="Q1015" s="64">
        <f t="shared" si="381"/>
        <v>0</v>
      </c>
      <c r="U1015" s="64">
        <f t="shared" si="382"/>
        <v>0</v>
      </c>
      <c r="Y1015" s="114">
        <f t="shared" si="383"/>
        <v>0</v>
      </c>
      <c r="AC1015" s="64">
        <f t="shared" si="384"/>
        <v>0</v>
      </c>
      <c r="AE1015" s="71"/>
      <c r="AF1015" s="71"/>
      <c r="AG1015" s="71">
        <f t="shared" si="385"/>
        <v>0</v>
      </c>
      <c r="AK1015" s="64">
        <f t="shared" si="386"/>
        <v>0</v>
      </c>
      <c r="AM1015" s="71"/>
      <c r="AN1015" s="71"/>
      <c r="AO1015" s="71">
        <f t="shared" si="387"/>
        <v>0</v>
      </c>
      <c r="AQ1015" s="71"/>
      <c r="AR1015" s="71"/>
      <c r="AS1015" s="71">
        <f t="shared" si="388"/>
        <v>0</v>
      </c>
      <c r="AU1015" s="71"/>
      <c r="AV1015" s="71"/>
      <c r="AW1015" s="71">
        <f t="shared" si="389"/>
        <v>0</v>
      </c>
      <c r="AY1015" s="71"/>
      <c r="AZ1015" s="71"/>
      <c r="BA1015" s="71">
        <f t="shared" si="390"/>
        <v>0</v>
      </c>
      <c r="BI1015" s="71"/>
      <c r="BJ1015" s="71"/>
      <c r="BK1015" s="71">
        <f t="shared" si="391"/>
        <v>0</v>
      </c>
      <c r="BM1015" s="71"/>
      <c r="BN1015" s="71"/>
      <c r="BO1015" s="71">
        <f t="shared" si="392"/>
        <v>0</v>
      </c>
      <c r="BQ1015" s="71"/>
      <c r="BR1015" s="71"/>
      <c r="BS1015" s="138">
        <f t="shared" si="393"/>
        <v>0</v>
      </c>
      <c r="BU1015" s="71"/>
      <c r="BV1015" s="71"/>
      <c r="BW1015" s="71">
        <f t="shared" si="394"/>
        <v>0</v>
      </c>
      <c r="BZ1015" s="71"/>
      <c r="CA1015" s="71"/>
      <c r="CB1015" s="71">
        <f t="shared" si="395"/>
        <v>0</v>
      </c>
      <c r="CD1015" s="71"/>
      <c r="CE1015" s="71"/>
      <c r="CF1015" s="71">
        <f t="shared" si="396"/>
        <v>0</v>
      </c>
      <c r="CH1015" s="71"/>
      <c r="CI1015" s="71"/>
      <c r="CJ1015" s="138">
        <f t="shared" si="397"/>
        <v>0</v>
      </c>
      <c r="CL1015" s="71"/>
      <c r="CM1015" s="71"/>
      <c r="CN1015" s="71">
        <f t="shared" si="398"/>
        <v>0</v>
      </c>
      <c r="CS1015" s="102">
        <f t="shared" si="399"/>
        <v>0</v>
      </c>
      <c r="CT1015" s="102">
        <f t="shared" si="400"/>
        <v>0</v>
      </c>
      <c r="CZ1015" s="109" t="str">
        <f t="shared" si="401"/>
        <v>Basso</v>
      </c>
    </row>
    <row r="1016" spans="9:104" x14ac:dyDescent="0.15">
      <c r="I1016" s="64">
        <f t="shared" si="403"/>
        <v>0</v>
      </c>
      <c r="M1016" s="64">
        <f t="shared" si="380"/>
        <v>0</v>
      </c>
      <c r="Q1016" s="64">
        <f t="shared" si="381"/>
        <v>0</v>
      </c>
      <c r="U1016" s="64">
        <f t="shared" si="382"/>
        <v>0</v>
      </c>
      <c r="Y1016" s="114">
        <f t="shared" si="383"/>
        <v>0</v>
      </c>
      <c r="AC1016" s="64">
        <f t="shared" si="384"/>
        <v>0</v>
      </c>
      <c r="AE1016" s="71"/>
      <c r="AF1016" s="71"/>
      <c r="AG1016" s="71">
        <f t="shared" si="385"/>
        <v>0</v>
      </c>
      <c r="AK1016" s="64">
        <f t="shared" si="386"/>
        <v>0</v>
      </c>
      <c r="AM1016" s="71"/>
      <c r="AN1016" s="71"/>
      <c r="AO1016" s="71">
        <f t="shared" si="387"/>
        <v>0</v>
      </c>
      <c r="AQ1016" s="71"/>
      <c r="AR1016" s="71"/>
      <c r="AS1016" s="71">
        <f t="shared" si="388"/>
        <v>0</v>
      </c>
      <c r="AU1016" s="71"/>
      <c r="AV1016" s="71"/>
      <c r="AW1016" s="71">
        <f t="shared" si="389"/>
        <v>0</v>
      </c>
      <c r="AY1016" s="71"/>
      <c r="AZ1016" s="71"/>
      <c r="BA1016" s="71">
        <f t="shared" si="390"/>
        <v>0</v>
      </c>
      <c r="BI1016" s="71"/>
      <c r="BJ1016" s="71"/>
      <c r="BK1016" s="71">
        <f t="shared" si="391"/>
        <v>0</v>
      </c>
      <c r="BM1016" s="71"/>
      <c r="BN1016" s="71"/>
      <c r="BO1016" s="71">
        <f t="shared" si="392"/>
        <v>0</v>
      </c>
      <c r="BQ1016" s="71"/>
      <c r="BR1016" s="71"/>
      <c r="BS1016" s="138">
        <f t="shared" si="393"/>
        <v>0</v>
      </c>
      <c r="BU1016" s="71"/>
      <c r="BV1016" s="71"/>
      <c r="BW1016" s="71">
        <f t="shared" si="394"/>
        <v>0</v>
      </c>
      <c r="BZ1016" s="71"/>
      <c r="CA1016" s="71"/>
      <c r="CB1016" s="71">
        <f t="shared" si="395"/>
        <v>0</v>
      </c>
      <c r="CD1016" s="71"/>
      <c r="CE1016" s="71"/>
      <c r="CF1016" s="71">
        <f t="shared" si="396"/>
        <v>0</v>
      </c>
      <c r="CH1016" s="71"/>
      <c r="CI1016" s="71"/>
      <c r="CJ1016" s="138">
        <f t="shared" si="397"/>
        <v>0</v>
      </c>
      <c r="CL1016" s="71"/>
      <c r="CM1016" s="71"/>
      <c r="CN1016" s="71">
        <f t="shared" si="398"/>
        <v>0</v>
      </c>
      <c r="CS1016" s="102">
        <f t="shared" si="399"/>
        <v>0</v>
      </c>
      <c r="CT1016" s="102">
        <f t="shared" si="400"/>
        <v>0</v>
      </c>
      <c r="CZ1016" s="109" t="str">
        <f t="shared" si="401"/>
        <v>Basso</v>
      </c>
    </row>
    <row r="1017" spans="9:104" x14ac:dyDescent="0.15">
      <c r="I1017" s="64">
        <f t="shared" si="403"/>
        <v>0</v>
      </c>
      <c r="M1017" s="64">
        <f t="shared" si="380"/>
        <v>0</v>
      </c>
      <c r="Q1017" s="64">
        <f t="shared" si="381"/>
        <v>0</v>
      </c>
      <c r="U1017" s="64">
        <f t="shared" si="382"/>
        <v>0</v>
      </c>
      <c r="Y1017" s="114">
        <f t="shared" si="383"/>
        <v>0</v>
      </c>
      <c r="AC1017" s="64">
        <f t="shared" si="384"/>
        <v>0</v>
      </c>
      <c r="AE1017" s="71"/>
      <c r="AF1017" s="71"/>
      <c r="AG1017" s="71">
        <f t="shared" si="385"/>
        <v>0</v>
      </c>
      <c r="AK1017" s="64">
        <f t="shared" si="386"/>
        <v>0</v>
      </c>
      <c r="AM1017" s="71"/>
      <c r="AN1017" s="71"/>
      <c r="AO1017" s="71">
        <f t="shared" si="387"/>
        <v>0</v>
      </c>
      <c r="AQ1017" s="71"/>
      <c r="AR1017" s="71"/>
      <c r="AS1017" s="71">
        <f t="shared" si="388"/>
        <v>0</v>
      </c>
      <c r="AU1017" s="71"/>
      <c r="AV1017" s="71"/>
      <c r="AW1017" s="71">
        <f t="shared" si="389"/>
        <v>0</v>
      </c>
      <c r="AY1017" s="71"/>
      <c r="AZ1017" s="71"/>
      <c r="BA1017" s="71">
        <f t="shared" si="390"/>
        <v>0</v>
      </c>
      <c r="BI1017" s="71"/>
      <c r="BJ1017" s="71"/>
      <c r="BK1017" s="71">
        <f t="shared" si="391"/>
        <v>0</v>
      </c>
      <c r="BM1017" s="71"/>
      <c r="BN1017" s="71"/>
      <c r="BO1017" s="71">
        <f t="shared" si="392"/>
        <v>0</v>
      </c>
      <c r="BQ1017" s="71"/>
      <c r="BR1017" s="71"/>
      <c r="BS1017" s="138">
        <f t="shared" si="393"/>
        <v>0</v>
      </c>
      <c r="BU1017" s="71"/>
      <c r="BV1017" s="71"/>
      <c r="BW1017" s="71">
        <f t="shared" si="394"/>
        <v>0</v>
      </c>
      <c r="BZ1017" s="71"/>
      <c r="CA1017" s="71"/>
      <c r="CB1017" s="71">
        <f t="shared" si="395"/>
        <v>0</v>
      </c>
      <c r="CD1017" s="71"/>
      <c r="CE1017" s="71"/>
      <c r="CF1017" s="71">
        <f t="shared" si="396"/>
        <v>0</v>
      </c>
      <c r="CH1017" s="71"/>
      <c r="CI1017" s="71"/>
      <c r="CJ1017" s="138">
        <f t="shared" si="397"/>
        <v>0</v>
      </c>
      <c r="CL1017" s="71"/>
      <c r="CM1017" s="71"/>
      <c r="CN1017" s="71">
        <f t="shared" si="398"/>
        <v>0</v>
      </c>
      <c r="CS1017" s="102">
        <f t="shared" si="399"/>
        <v>0</v>
      </c>
      <c r="CT1017" s="102">
        <f t="shared" si="400"/>
        <v>0</v>
      </c>
      <c r="CZ1017" s="109" t="str">
        <f t="shared" si="401"/>
        <v>Basso</v>
      </c>
    </row>
    <row r="1018" spans="9:104" x14ac:dyDescent="0.15">
      <c r="I1018" s="64">
        <f t="shared" si="403"/>
        <v>0</v>
      </c>
      <c r="M1018" s="64">
        <f t="shared" si="380"/>
        <v>0</v>
      </c>
      <c r="Q1018" s="64">
        <f t="shared" si="381"/>
        <v>0</v>
      </c>
      <c r="U1018" s="64">
        <f t="shared" si="382"/>
        <v>0</v>
      </c>
      <c r="Y1018" s="114">
        <f t="shared" si="383"/>
        <v>0</v>
      </c>
      <c r="AC1018" s="64">
        <f t="shared" si="384"/>
        <v>0</v>
      </c>
      <c r="AE1018" s="71"/>
      <c r="AF1018" s="71"/>
      <c r="AG1018" s="71">
        <f t="shared" si="385"/>
        <v>0</v>
      </c>
      <c r="AK1018" s="64">
        <f t="shared" si="386"/>
        <v>0</v>
      </c>
      <c r="AM1018" s="71"/>
      <c r="AN1018" s="71"/>
      <c r="AO1018" s="71">
        <f t="shared" si="387"/>
        <v>0</v>
      </c>
      <c r="AQ1018" s="71"/>
      <c r="AR1018" s="71"/>
      <c r="AS1018" s="71">
        <f t="shared" si="388"/>
        <v>0</v>
      </c>
      <c r="AU1018" s="71"/>
      <c r="AV1018" s="71"/>
      <c r="AW1018" s="71">
        <f t="shared" si="389"/>
        <v>0</v>
      </c>
      <c r="AY1018" s="71"/>
      <c r="AZ1018" s="71"/>
      <c r="BA1018" s="71">
        <f t="shared" si="390"/>
        <v>0</v>
      </c>
      <c r="BI1018" s="71"/>
      <c r="BJ1018" s="71"/>
      <c r="BK1018" s="71">
        <f t="shared" si="391"/>
        <v>0</v>
      </c>
      <c r="BM1018" s="71"/>
      <c r="BN1018" s="71"/>
      <c r="BO1018" s="71">
        <f t="shared" si="392"/>
        <v>0</v>
      </c>
      <c r="BQ1018" s="71"/>
      <c r="BR1018" s="71"/>
      <c r="BS1018" s="138">
        <f t="shared" si="393"/>
        <v>0</v>
      </c>
      <c r="BU1018" s="71"/>
      <c r="BV1018" s="71"/>
      <c r="BW1018" s="71">
        <f t="shared" si="394"/>
        <v>0</v>
      </c>
      <c r="BZ1018" s="71"/>
      <c r="CA1018" s="71"/>
      <c r="CB1018" s="71">
        <f t="shared" si="395"/>
        <v>0</v>
      </c>
      <c r="CD1018" s="71"/>
      <c r="CE1018" s="71"/>
      <c r="CF1018" s="71">
        <f t="shared" si="396"/>
        <v>0</v>
      </c>
      <c r="CH1018" s="71"/>
      <c r="CI1018" s="71"/>
      <c r="CJ1018" s="138">
        <f t="shared" si="397"/>
        <v>0</v>
      </c>
      <c r="CL1018" s="71"/>
      <c r="CM1018" s="71"/>
      <c r="CN1018" s="71">
        <f t="shared" si="398"/>
        <v>0</v>
      </c>
      <c r="CS1018" s="102">
        <f t="shared" si="399"/>
        <v>0</v>
      </c>
      <c r="CT1018" s="102">
        <f t="shared" si="400"/>
        <v>0</v>
      </c>
      <c r="CZ1018" s="109" t="str">
        <f t="shared" si="401"/>
        <v>Basso</v>
      </c>
    </row>
    <row r="1019" spans="9:104" x14ac:dyDescent="0.15">
      <c r="I1019" s="64">
        <f t="shared" si="403"/>
        <v>0</v>
      </c>
      <c r="M1019" s="64">
        <f t="shared" si="380"/>
        <v>0</v>
      </c>
      <c r="Q1019" s="64">
        <f t="shared" si="381"/>
        <v>0</v>
      </c>
      <c r="U1019" s="64">
        <f t="shared" si="382"/>
        <v>0</v>
      </c>
      <c r="Y1019" s="114">
        <f t="shared" si="383"/>
        <v>0</v>
      </c>
      <c r="AC1019" s="64">
        <f t="shared" si="384"/>
        <v>0</v>
      </c>
      <c r="AE1019" s="71"/>
      <c r="AF1019" s="71"/>
      <c r="AG1019" s="71">
        <f t="shared" si="385"/>
        <v>0</v>
      </c>
      <c r="AK1019" s="64">
        <f t="shared" si="386"/>
        <v>0</v>
      </c>
      <c r="AM1019" s="71"/>
      <c r="AN1019" s="71"/>
      <c r="AO1019" s="71">
        <f t="shared" si="387"/>
        <v>0</v>
      </c>
      <c r="AQ1019" s="71"/>
      <c r="AR1019" s="71"/>
      <c r="AS1019" s="71">
        <f t="shared" si="388"/>
        <v>0</v>
      </c>
      <c r="AU1019" s="71"/>
      <c r="AV1019" s="71"/>
      <c r="AW1019" s="71">
        <f t="shared" si="389"/>
        <v>0</v>
      </c>
      <c r="AY1019" s="71"/>
      <c r="AZ1019" s="71"/>
      <c r="BA1019" s="71">
        <f t="shared" si="390"/>
        <v>0</v>
      </c>
      <c r="BI1019" s="71"/>
      <c r="BJ1019" s="71"/>
      <c r="BK1019" s="71">
        <f t="shared" si="391"/>
        <v>0</v>
      </c>
      <c r="BM1019" s="71"/>
      <c r="BN1019" s="71"/>
      <c r="BO1019" s="71">
        <f t="shared" si="392"/>
        <v>0</v>
      </c>
      <c r="BQ1019" s="71"/>
      <c r="BR1019" s="71"/>
      <c r="BS1019" s="138">
        <f t="shared" si="393"/>
        <v>0</v>
      </c>
      <c r="BU1019" s="71"/>
      <c r="BV1019" s="71"/>
      <c r="BW1019" s="71">
        <f t="shared" si="394"/>
        <v>0</v>
      </c>
      <c r="BZ1019" s="71"/>
      <c r="CA1019" s="71"/>
      <c r="CB1019" s="71">
        <f t="shared" si="395"/>
        <v>0</v>
      </c>
      <c r="CD1019" s="71"/>
      <c r="CE1019" s="71"/>
      <c r="CF1019" s="71">
        <f t="shared" si="396"/>
        <v>0</v>
      </c>
      <c r="CH1019" s="71"/>
      <c r="CI1019" s="71"/>
      <c r="CJ1019" s="138">
        <f t="shared" si="397"/>
        <v>0</v>
      </c>
      <c r="CL1019" s="71"/>
      <c r="CM1019" s="71"/>
      <c r="CN1019" s="71">
        <f t="shared" si="398"/>
        <v>0</v>
      </c>
      <c r="CS1019" s="102">
        <f t="shared" si="399"/>
        <v>0</v>
      </c>
      <c r="CT1019" s="102">
        <f t="shared" si="400"/>
        <v>0</v>
      </c>
      <c r="CZ1019" s="109" t="str">
        <f t="shared" si="401"/>
        <v>Basso</v>
      </c>
    </row>
    <row r="1020" spans="9:104" x14ac:dyDescent="0.15">
      <c r="I1020" s="64">
        <f t="shared" si="403"/>
        <v>0</v>
      </c>
      <c r="Q1020" s="64">
        <f t="shared" si="381"/>
        <v>0</v>
      </c>
      <c r="U1020" s="64">
        <f t="shared" si="382"/>
        <v>0</v>
      </c>
      <c r="Y1020" s="114">
        <f t="shared" si="383"/>
        <v>0</v>
      </c>
      <c r="AC1020" s="64">
        <f t="shared" si="384"/>
        <v>0</v>
      </c>
      <c r="AE1020" s="71"/>
      <c r="AF1020" s="71"/>
      <c r="AG1020" s="71">
        <f t="shared" si="385"/>
        <v>0</v>
      </c>
      <c r="AK1020" s="64">
        <f t="shared" si="386"/>
        <v>0</v>
      </c>
      <c r="AM1020" s="71"/>
      <c r="AN1020" s="71"/>
      <c r="AO1020" s="71">
        <f t="shared" si="387"/>
        <v>0</v>
      </c>
      <c r="AQ1020" s="71"/>
      <c r="AR1020" s="71"/>
      <c r="AS1020" s="71">
        <f t="shared" si="388"/>
        <v>0</v>
      </c>
      <c r="AU1020" s="71"/>
      <c r="AV1020" s="71"/>
      <c r="AW1020" s="71">
        <f t="shared" si="389"/>
        <v>0</v>
      </c>
      <c r="AY1020" s="71"/>
      <c r="AZ1020" s="71"/>
      <c r="BA1020" s="71">
        <f t="shared" si="390"/>
        <v>0</v>
      </c>
      <c r="BI1020" s="71"/>
      <c r="BJ1020" s="71"/>
      <c r="BK1020" s="71">
        <f t="shared" si="391"/>
        <v>0</v>
      </c>
      <c r="BM1020" s="71"/>
      <c r="BN1020" s="71"/>
      <c r="BO1020" s="71">
        <f t="shared" si="392"/>
        <v>0</v>
      </c>
      <c r="BQ1020" s="71"/>
      <c r="BR1020" s="71"/>
      <c r="BS1020" s="138">
        <f t="shared" si="393"/>
        <v>0</v>
      </c>
      <c r="BU1020" s="71"/>
      <c r="BV1020" s="71"/>
      <c r="BW1020" s="71">
        <f t="shared" si="394"/>
        <v>0</v>
      </c>
      <c r="BZ1020" s="71"/>
      <c r="CA1020" s="71"/>
      <c r="CB1020" s="71">
        <f t="shared" si="395"/>
        <v>0</v>
      </c>
      <c r="CD1020" s="71"/>
      <c r="CE1020" s="71"/>
      <c r="CF1020" s="71">
        <f t="shared" si="396"/>
        <v>0</v>
      </c>
      <c r="CH1020" s="71"/>
      <c r="CI1020" s="71"/>
      <c r="CJ1020" s="138">
        <f t="shared" si="397"/>
        <v>0</v>
      </c>
      <c r="CL1020" s="71"/>
      <c r="CM1020" s="71"/>
      <c r="CN1020" s="71">
        <f t="shared" si="398"/>
        <v>0</v>
      </c>
      <c r="CS1020" s="102">
        <f t="shared" si="399"/>
        <v>0</v>
      </c>
      <c r="CT1020" s="102">
        <f t="shared" si="400"/>
        <v>0</v>
      </c>
      <c r="CZ1020" s="109" t="str">
        <f t="shared" si="401"/>
        <v>Basso</v>
      </c>
    </row>
    <row r="1021" spans="9:104" x14ac:dyDescent="0.15">
      <c r="I1021" s="64">
        <f t="shared" si="403"/>
        <v>0</v>
      </c>
      <c r="Q1021" s="64">
        <f t="shared" si="381"/>
        <v>0</v>
      </c>
      <c r="U1021" s="64">
        <f t="shared" si="382"/>
        <v>0</v>
      </c>
      <c r="Y1021" s="114">
        <f t="shared" si="383"/>
        <v>0</v>
      </c>
      <c r="AC1021" s="64">
        <f t="shared" si="384"/>
        <v>0</v>
      </c>
      <c r="AE1021" s="71"/>
      <c r="AF1021" s="71"/>
      <c r="AG1021" s="71">
        <f t="shared" si="385"/>
        <v>0</v>
      </c>
      <c r="AK1021" s="64">
        <f t="shared" si="386"/>
        <v>0</v>
      </c>
      <c r="AM1021" s="71"/>
      <c r="AN1021" s="71"/>
      <c r="AO1021" s="71">
        <f t="shared" si="387"/>
        <v>0</v>
      </c>
      <c r="AQ1021" s="71"/>
      <c r="AR1021" s="71"/>
      <c r="AS1021" s="71">
        <f t="shared" si="388"/>
        <v>0</v>
      </c>
      <c r="AU1021" s="71"/>
      <c r="AV1021" s="71"/>
      <c r="AW1021" s="71">
        <f t="shared" si="389"/>
        <v>0</v>
      </c>
      <c r="AY1021" s="71"/>
      <c r="AZ1021" s="71"/>
      <c r="BA1021" s="71">
        <f t="shared" si="390"/>
        <v>0</v>
      </c>
      <c r="BI1021" s="71"/>
      <c r="BJ1021" s="71"/>
      <c r="BK1021" s="71">
        <f t="shared" si="391"/>
        <v>0</v>
      </c>
      <c r="BM1021" s="71"/>
      <c r="BN1021" s="71"/>
      <c r="BO1021" s="71">
        <f t="shared" si="392"/>
        <v>0</v>
      </c>
      <c r="BQ1021" s="71"/>
      <c r="BR1021" s="71"/>
      <c r="BS1021" s="138">
        <f t="shared" si="393"/>
        <v>0</v>
      </c>
      <c r="BU1021" s="71"/>
      <c r="BV1021" s="71"/>
      <c r="BW1021" s="71">
        <f t="shared" si="394"/>
        <v>0</v>
      </c>
      <c r="BZ1021" s="71"/>
      <c r="CA1021" s="71"/>
      <c r="CB1021" s="71">
        <f t="shared" si="395"/>
        <v>0</v>
      </c>
      <c r="CD1021" s="71"/>
      <c r="CE1021" s="71"/>
      <c r="CF1021" s="71">
        <f t="shared" si="396"/>
        <v>0</v>
      </c>
      <c r="CH1021" s="71"/>
      <c r="CI1021" s="71"/>
      <c r="CJ1021" s="138">
        <f t="shared" si="397"/>
        <v>0</v>
      </c>
      <c r="CL1021" s="71"/>
      <c r="CM1021" s="71"/>
      <c r="CN1021" s="71">
        <f t="shared" si="398"/>
        <v>0</v>
      </c>
      <c r="CS1021" s="102">
        <f t="shared" si="399"/>
        <v>0</v>
      </c>
      <c r="CT1021" s="102">
        <f t="shared" si="400"/>
        <v>0</v>
      </c>
      <c r="CZ1021" s="109" t="str">
        <f t="shared" si="401"/>
        <v>Basso</v>
      </c>
    </row>
    <row r="1022" spans="9:104" x14ac:dyDescent="0.15">
      <c r="I1022" s="64">
        <f t="shared" si="403"/>
        <v>0</v>
      </c>
      <c r="Q1022" s="64">
        <f t="shared" si="381"/>
        <v>0</v>
      </c>
      <c r="U1022" s="64">
        <f t="shared" si="382"/>
        <v>0</v>
      </c>
      <c r="Y1022" s="114">
        <f t="shared" si="383"/>
        <v>0</v>
      </c>
      <c r="AC1022" s="64">
        <f t="shared" si="384"/>
        <v>0</v>
      </c>
      <c r="AE1022" s="71"/>
      <c r="AF1022" s="71"/>
      <c r="AG1022" s="71">
        <f t="shared" si="385"/>
        <v>0</v>
      </c>
      <c r="AK1022" s="64">
        <f t="shared" si="386"/>
        <v>0</v>
      </c>
      <c r="AM1022" s="71"/>
      <c r="AN1022" s="71"/>
      <c r="AO1022" s="71">
        <f t="shared" si="387"/>
        <v>0</v>
      </c>
      <c r="AQ1022" s="71"/>
      <c r="AR1022" s="71"/>
      <c r="AS1022" s="71">
        <f t="shared" si="388"/>
        <v>0</v>
      </c>
      <c r="AU1022" s="71"/>
      <c r="AV1022" s="71"/>
      <c r="AW1022" s="71">
        <f t="shared" si="389"/>
        <v>0</v>
      </c>
      <c r="AY1022" s="71"/>
      <c r="AZ1022" s="71"/>
      <c r="BA1022" s="71">
        <f t="shared" si="390"/>
        <v>0</v>
      </c>
      <c r="BI1022" s="71"/>
      <c r="BJ1022" s="71"/>
      <c r="BK1022" s="71">
        <f t="shared" si="391"/>
        <v>0</v>
      </c>
      <c r="BM1022" s="71"/>
      <c r="BN1022" s="71"/>
      <c r="BO1022" s="71">
        <f t="shared" si="392"/>
        <v>0</v>
      </c>
      <c r="BQ1022" s="71"/>
      <c r="BR1022" s="71"/>
      <c r="BS1022" s="138">
        <f t="shared" si="393"/>
        <v>0</v>
      </c>
      <c r="BU1022" s="71"/>
      <c r="BV1022" s="71"/>
      <c r="BW1022" s="71">
        <f t="shared" si="394"/>
        <v>0</v>
      </c>
      <c r="BZ1022" s="71"/>
      <c r="CA1022" s="71"/>
      <c r="CB1022" s="71">
        <f t="shared" si="395"/>
        <v>0</v>
      </c>
      <c r="CD1022" s="71"/>
      <c r="CE1022" s="71"/>
      <c r="CF1022" s="71">
        <f t="shared" si="396"/>
        <v>0</v>
      </c>
      <c r="CH1022" s="71"/>
      <c r="CI1022" s="71"/>
      <c r="CJ1022" s="138">
        <f t="shared" si="397"/>
        <v>0</v>
      </c>
      <c r="CL1022" s="71"/>
      <c r="CM1022" s="71"/>
      <c r="CN1022" s="71">
        <f t="shared" si="398"/>
        <v>0</v>
      </c>
      <c r="CS1022" s="102">
        <f t="shared" si="399"/>
        <v>0</v>
      </c>
      <c r="CT1022" s="102">
        <f t="shared" si="400"/>
        <v>0</v>
      </c>
      <c r="CZ1022" s="109" t="str">
        <f t="shared" si="401"/>
        <v>Basso</v>
      </c>
    </row>
    <row r="1023" spans="9:104" x14ac:dyDescent="0.15">
      <c r="I1023" s="64">
        <f t="shared" si="403"/>
        <v>0</v>
      </c>
      <c r="Q1023" s="64">
        <f t="shared" si="381"/>
        <v>0</v>
      </c>
      <c r="U1023" s="64">
        <f t="shared" si="382"/>
        <v>0</v>
      </c>
      <c r="Y1023" s="114">
        <f t="shared" si="383"/>
        <v>0</v>
      </c>
      <c r="AC1023" s="64">
        <f t="shared" si="384"/>
        <v>0</v>
      </c>
      <c r="AE1023" s="71"/>
      <c r="AF1023" s="71"/>
      <c r="AG1023" s="71">
        <f t="shared" si="385"/>
        <v>0</v>
      </c>
      <c r="AK1023" s="64">
        <f t="shared" si="386"/>
        <v>0</v>
      </c>
      <c r="AM1023" s="71"/>
      <c r="AN1023" s="71"/>
      <c r="AO1023" s="71">
        <f t="shared" si="387"/>
        <v>0</v>
      </c>
      <c r="AQ1023" s="71"/>
      <c r="AR1023" s="71"/>
      <c r="AS1023" s="71">
        <f t="shared" si="388"/>
        <v>0</v>
      </c>
      <c r="AU1023" s="71"/>
      <c r="AV1023" s="71"/>
      <c r="AW1023" s="71">
        <f t="shared" si="389"/>
        <v>0</v>
      </c>
      <c r="AY1023" s="71"/>
      <c r="AZ1023" s="71"/>
      <c r="BA1023" s="71">
        <f t="shared" si="390"/>
        <v>0</v>
      </c>
      <c r="BI1023" s="71"/>
      <c r="BJ1023" s="71"/>
      <c r="BK1023" s="71">
        <f t="shared" si="391"/>
        <v>0</v>
      </c>
      <c r="BM1023" s="71"/>
      <c r="BN1023" s="71"/>
      <c r="BO1023" s="71">
        <f t="shared" si="392"/>
        <v>0</v>
      </c>
      <c r="BQ1023" s="71"/>
      <c r="BR1023" s="71"/>
      <c r="BS1023" s="138">
        <f t="shared" si="393"/>
        <v>0</v>
      </c>
      <c r="BU1023" s="71"/>
      <c r="BV1023" s="71"/>
      <c r="BW1023" s="71">
        <f t="shared" si="394"/>
        <v>0</v>
      </c>
      <c r="BZ1023" s="71"/>
      <c r="CA1023" s="71"/>
      <c r="CB1023" s="71">
        <f t="shared" si="395"/>
        <v>0</v>
      </c>
      <c r="CD1023" s="71"/>
      <c r="CE1023" s="71"/>
      <c r="CF1023" s="71">
        <f t="shared" si="396"/>
        <v>0</v>
      </c>
      <c r="CH1023" s="71"/>
      <c r="CI1023" s="71"/>
      <c r="CJ1023" s="138">
        <f t="shared" si="397"/>
        <v>0</v>
      </c>
      <c r="CL1023" s="71"/>
      <c r="CM1023" s="71"/>
      <c r="CN1023" s="71">
        <f t="shared" si="398"/>
        <v>0</v>
      </c>
      <c r="CS1023" s="102">
        <f t="shared" si="399"/>
        <v>0</v>
      </c>
      <c r="CT1023" s="102">
        <f t="shared" si="400"/>
        <v>0</v>
      </c>
      <c r="CZ1023" s="109" t="str">
        <f t="shared" si="401"/>
        <v>Basso</v>
      </c>
    </row>
    <row r="1024" spans="9:104" x14ac:dyDescent="0.15">
      <c r="I1024" s="64">
        <f t="shared" si="403"/>
        <v>0</v>
      </c>
      <c r="Q1024" s="64">
        <f t="shared" si="381"/>
        <v>0</v>
      </c>
      <c r="U1024" s="64">
        <f t="shared" si="382"/>
        <v>0</v>
      </c>
      <c r="Y1024" s="114">
        <f t="shared" si="383"/>
        <v>0</v>
      </c>
      <c r="AC1024" s="64">
        <f t="shared" si="384"/>
        <v>0</v>
      </c>
      <c r="AE1024" s="71"/>
      <c r="AF1024" s="71"/>
      <c r="AG1024" s="71">
        <f t="shared" si="385"/>
        <v>0</v>
      </c>
      <c r="AK1024" s="64">
        <f t="shared" si="386"/>
        <v>0</v>
      </c>
      <c r="AM1024" s="71"/>
      <c r="AN1024" s="71"/>
      <c r="AO1024" s="71">
        <f t="shared" si="387"/>
        <v>0</v>
      </c>
      <c r="AQ1024" s="71"/>
      <c r="AR1024" s="71"/>
      <c r="AS1024" s="71">
        <f t="shared" si="388"/>
        <v>0</v>
      </c>
      <c r="AU1024" s="71"/>
      <c r="AV1024" s="71"/>
      <c r="AW1024" s="71">
        <f t="shared" si="389"/>
        <v>0</v>
      </c>
      <c r="AY1024" s="71"/>
      <c r="AZ1024" s="71"/>
      <c r="BA1024" s="71">
        <f t="shared" si="390"/>
        <v>0</v>
      </c>
      <c r="BI1024" s="71"/>
      <c r="BJ1024" s="71"/>
      <c r="BK1024" s="71">
        <f t="shared" si="391"/>
        <v>0</v>
      </c>
      <c r="BM1024" s="71"/>
      <c r="BN1024" s="71"/>
      <c r="BO1024" s="71">
        <f t="shared" si="392"/>
        <v>0</v>
      </c>
      <c r="BQ1024" s="71"/>
      <c r="BR1024" s="71"/>
      <c r="BS1024" s="138">
        <f t="shared" si="393"/>
        <v>0</v>
      </c>
      <c r="BU1024" s="71"/>
      <c r="BV1024" s="71"/>
      <c r="BW1024" s="71">
        <f t="shared" si="394"/>
        <v>0</v>
      </c>
      <c r="BZ1024" s="71"/>
      <c r="CA1024" s="71"/>
      <c r="CB1024" s="71">
        <f t="shared" si="395"/>
        <v>0</v>
      </c>
      <c r="CD1024" s="71"/>
      <c r="CE1024" s="71"/>
      <c r="CF1024" s="71">
        <f t="shared" si="396"/>
        <v>0</v>
      </c>
      <c r="CH1024" s="71"/>
      <c r="CI1024" s="71"/>
      <c r="CJ1024" s="138">
        <f t="shared" si="397"/>
        <v>0</v>
      </c>
      <c r="CL1024" s="71"/>
      <c r="CM1024" s="71"/>
      <c r="CN1024" s="71">
        <f t="shared" si="398"/>
        <v>0</v>
      </c>
      <c r="CS1024" s="102">
        <f t="shared" si="399"/>
        <v>0</v>
      </c>
      <c r="CT1024" s="102">
        <f t="shared" si="400"/>
        <v>0</v>
      </c>
      <c r="CZ1024" s="109" t="str">
        <f t="shared" si="401"/>
        <v>Basso</v>
      </c>
    </row>
    <row r="1025" spans="9:104" x14ac:dyDescent="0.15">
      <c r="I1025" s="64">
        <f t="shared" si="403"/>
        <v>0</v>
      </c>
      <c r="Q1025" s="64">
        <f t="shared" si="381"/>
        <v>0</v>
      </c>
      <c r="U1025" s="64">
        <f t="shared" si="382"/>
        <v>0</v>
      </c>
      <c r="Y1025" s="114">
        <f t="shared" si="383"/>
        <v>0</v>
      </c>
      <c r="AC1025" s="64">
        <f t="shared" si="384"/>
        <v>0</v>
      </c>
      <c r="AE1025" s="71"/>
      <c r="AF1025" s="71"/>
      <c r="AG1025" s="71">
        <f t="shared" si="385"/>
        <v>0</v>
      </c>
      <c r="AK1025" s="64">
        <f t="shared" si="386"/>
        <v>0</v>
      </c>
      <c r="AM1025" s="71"/>
      <c r="AN1025" s="71"/>
      <c r="AO1025" s="71">
        <f t="shared" si="387"/>
        <v>0</v>
      </c>
      <c r="AQ1025" s="71"/>
      <c r="AR1025" s="71"/>
      <c r="AS1025" s="71">
        <f t="shared" si="388"/>
        <v>0</v>
      </c>
      <c r="AU1025" s="71"/>
      <c r="AV1025" s="71"/>
      <c r="AW1025" s="71">
        <f t="shared" si="389"/>
        <v>0</v>
      </c>
      <c r="AY1025" s="71"/>
      <c r="AZ1025" s="71"/>
      <c r="BA1025" s="71">
        <f t="shared" si="390"/>
        <v>0</v>
      </c>
      <c r="BI1025" s="71"/>
      <c r="BJ1025" s="71"/>
      <c r="BK1025" s="71">
        <f t="shared" si="391"/>
        <v>0</v>
      </c>
      <c r="BM1025" s="71"/>
      <c r="BN1025" s="71"/>
      <c r="BO1025" s="71">
        <f t="shared" si="392"/>
        <v>0</v>
      </c>
      <c r="BQ1025" s="71"/>
      <c r="BR1025" s="71"/>
      <c r="BS1025" s="138">
        <f t="shared" si="393"/>
        <v>0</v>
      </c>
      <c r="BU1025" s="71"/>
      <c r="BV1025" s="71"/>
      <c r="BW1025" s="71">
        <f t="shared" si="394"/>
        <v>0</v>
      </c>
      <c r="BZ1025" s="71"/>
      <c r="CA1025" s="71"/>
      <c r="CB1025" s="71">
        <f t="shared" si="395"/>
        <v>0</v>
      </c>
      <c r="CD1025" s="71"/>
      <c r="CE1025" s="71"/>
      <c r="CF1025" s="71">
        <f t="shared" si="396"/>
        <v>0</v>
      </c>
      <c r="CH1025" s="71"/>
      <c r="CI1025" s="71"/>
      <c r="CJ1025" s="138">
        <f t="shared" si="397"/>
        <v>0</v>
      </c>
      <c r="CL1025" s="71"/>
      <c r="CM1025" s="71"/>
      <c r="CN1025" s="71">
        <f t="shared" si="398"/>
        <v>0</v>
      </c>
      <c r="CS1025" s="102">
        <f t="shared" si="399"/>
        <v>0</v>
      </c>
      <c r="CT1025" s="102">
        <f t="shared" si="400"/>
        <v>0</v>
      </c>
      <c r="CZ1025" s="109" t="str">
        <f t="shared" si="401"/>
        <v>Basso</v>
      </c>
    </row>
    <row r="1026" spans="9:104" x14ac:dyDescent="0.15">
      <c r="I1026" s="64">
        <f t="shared" si="403"/>
        <v>0</v>
      </c>
      <c r="Q1026" s="64">
        <f t="shared" si="381"/>
        <v>0</v>
      </c>
      <c r="U1026" s="64">
        <f t="shared" si="382"/>
        <v>0</v>
      </c>
      <c r="Y1026" s="114">
        <f t="shared" si="383"/>
        <v>0</v>
      </c>
      <c r="AC1026" s="64">
        <f t="shared" si="384"/>
        <v>0</v>
      </c>
      <c r="AE1026" s="71"/>
      <c r="AF1026" s="71"/>
      <c r="AG1026" s="71">
        <f t="shared" si="385"/>
        <v>0</v>
      </c>
      <c r="AK1026" s="64">
        <f t="shared" si="386"/>
        <v>0</v>
      </c>
      <c r="AM1026" s="71"/>
      <c r="AN1026" s="71"/>
      <c r="AO1026" s="71">
        <f t="shared" si="387"/>
        <v>0</v>
      </c>
      <c r="AQ1026" s="71"/>
      <c r="AR1026" s="71"/>
      <c r="AS1026" s="71">
        <f t="shared" si="388"/>
        <v>0</v>
      </c>
      <c r="AU1026" s="71"/>
      <c r="AV1026" s="71"/>
      <c r="AW1026" s="71">
        <f t="shared" si="389"/>
        <v>0</v>
      </c>
      <c r="AY1026" s="71"/>
      <c r="AZ1026" s="71"/>
      <c r="BA1026" s="71">
        <f t="shared" si="390"/>
        <v>0</v>
      </c>
      <c r="BI1026" s="71"/>
      <c r="BJ1026" s="71"/>
      <c r="BK1026" s="71">
        <f t="shared" si="391"/>
        <v>0</v>
      </c>
      <c r="BM1026" s="71"/>
      <c r="BN1026" s="71"/>
      <c r="BO1026" s="71">
        <f t="shared" si="392"/>
        <v>0</v>
      </c>
      <c r="BQ1026" s="71"/>
      <c r="BR1026" s="71"/>
      <c r="BS1026" s="138">
        <f t="shared" si="393"/>
        <v>0</v>
      </c>
      <c r="BU1026" s="71"/>
      <c r="BV1026" s="71"/>
      <c r="BW1026" s="71">
        <f t="shared" si="394"/>
        <v>0</v>
      </c>
      <c r="BZ1026" s="71"/>
      <c r="CA1026" s="71"/>
      <c r="CB1026" s="71">
        <f t="shared" si="395"/>
        <v>0</v>
      </c>
      <c r="CD1026" s="71"/>
      <c r="CE1026" s="71"/>
      <c r="CF1026" s="71">
        <f t="shared" si="396"/>
        <v>0</v>
      </c>
      <c r="CH1026" s="71"/>
      <c r="CI1026" s="71"/>
      <c r="CJ1026" s="138">
        <f t="shared" si="397"/>
        <v>0</v>
      </c>
      <c r="CL1026" s="71"/>
      <c r="CM1026" s="71"/>
      <c r="CN1026" s="71">
        <f t="shared" si="398"/>
        <v>0</v>
      </c>
      <c r="CS1026" s="102">
        <f t="shared" si="399"/>
        <v>0</v>
      </c>
      <c r="CT1026" s="102">
        <f t="shared" si="400"/>
        <v>0</v>
      </c>
      <c r="CZ1026" s="109" t="str">
        <f t="shared" si="401"/>
        <v>Basso</v>
      </c>
    </row>
    <row r="1027" spans="9:104" x14ac:dyDescent="0.15">
      <c r="I1027" s="64">
        <f t="shared" si="403"/>
        <v>0</v>
      </c>
      <c r="Q1027" s="64">
        <f t="shared" ref="Q1027:Q1042" si="404">N1027/2</f>
        <v>0</v>
      </c>
      <c r="U1027" s="64">
        <f t="shared" ref="U1027:U1042" si="405">R1027/3</f>
        <v>0</v>
      </c>
      <c r="Y1027" s="114">
        <f t="shared" ref="Y1027:Y1090" si="406">V1027/5</f>
        <v>0</v>
      </c>
      <c r="AC1027" s="64">
        <f t="shared" ref="AC1027:AC1090" si="407">Z1027/3</f>
        <v>0</v>
      </c>
      <c r="AE1027" s="71"/>
      <c r="AF1027" s="71"/>
      <c r="AG1027" s="71">
        <f t="shared" ref="AG1027:AG1090" si="408">AD1027/3</f>
        <v>0</v>
      </c>
      <c r="AK1027" s="64">
        <f t="shared" ref="AK1027:AK1090" si="409">AH1027/3</f>
        <v>0</v>
      </c>
      <c r="AM1027" s="71"/>
      <c r="AN1027" s="71"/>
      <c r="AO1027" s="71">
        <f t="shared" ref="AO1027:AO1090" si="410">AL1027/4</f>
        <v>0</v>
      </c>
      <c r="AQ1027" s="71"/>
      <c r="AR1027" s="71"/>
      <c r="AS1027" s="71">
        <f t="shared" ref="AS1027:AS1090" si="411">AP1027/3</f>
        <v>0</v>
      </c>
      <c r="AU1027" s="71"/>
      <c r="AV1027" s="71"/>
      <c r="AW1027" s="71">
        <f t="shared" ref="AW1027:AW1090" si="412">AT1027/3</f>
        <v>0</v>
      </c>
      <c r="AY1027" s="71"/>
      <c r="AZ1027" s="71"/>
      <c r="BA1027" s="71">
        <f t="shared" ref="BA1027:BA1090" si="413">AX1027/2</f>
        <v>0</v>
      </c>
      <c r="BI1027" s="71"/>
      <c r="BJ1027" s="71"/>
      <c r="BK1027" s="71">
        <f t="shared" ref="BK1027:BK1090" si="414">BH1027/2</f>
        <v>0</v>
      </c>
      <c r="BM1027" s="71"/>
      <c r="BN1027" s="71"/>
      <c r="BO1027" s="71">
        <f t="shared" ref="BO1027:BO1090" si="415">BL1027/3</f>
        <v>0</v>
      </c>
      <c r="BQ1027" s="71"/>
      <c r="BR1027" s="71"/>
      <c r="BS1027" s="138">
        <f t="shared" ref="BS1027:BS1090" si="416">BP1027/3</f>
        <v>0</v>
      </c>
      <c r="BU1027" s="71"/>
      <c r="BV1027" s="71"/>
      <c r="BW1027" s="71">
        <f t="shared" ref="BW1027:BW1090" si="417">BT1027/3</f>
        <v>0</v>
      </c>
      <c r="BZ1027" s="71"/>
      <c r="CA1027" s="71"/>
      <c r="CB1027" s="71">
        <f t="shared" ref="CB1027:CB1090" si="418">BY1027/3</f>
        <v>0</v>
      </c>
      <c r="CD1027" s="71"/>
      <c r="CE1027" s="71"/>
      <c r="CF1027" s="71">
        <f t="shared" ref="CF1027:CF1090" si="419">CC1027/3</f>
        <v>0</v>
      </c>
      <c r="CH1027" s="71"/>
      <c r="CI1027" s="71"/>
      <c r="CJ1027" s="138">
        <f t="shared" ref="CJ1027:CJ1090" si="420">CG1027/2</f>
        <v>0</v>
      </c>
      <c r="CL1027" s="71"/>
      <c r="CM1027" s="71"/>
      <c r="CN1027" s="71">
        <f t="shared" ref="CN1027:CN1090" si="421">CK1027/3</f>
        <v>0</v>
      </c>
      <c r="CS1027" s="102">
        <f t="shared" ref="CS1027:CS1061" si="422">AVERAGE(I1027, M1027, Q1027, U1027, AC1027, AG1027, AK1027, AO1027, AS1027, AW1027, BA1027, BK1027, BO1027, BW1027, CB1027, CF1027, CN1027)</f>
        <v>0</v>
      </c>
      <c r="CT1027" s="102">
        <f t="shared" ref="CT1027:CT1090" si="423">STDEV(I1027, M1027, Q1027, U1027, AC1027, AG1027, AK1027, AO1027, AS1027, AW1027, BA1027, BK1027, BO1027, BW1027, CB1027, CF1027, CN1027)</f>
        <v>0</v>
      </c>
      <c r="CZ1027" s="109" t="str">
        <f t="shared" ref="CZ1027:CZ1048" si="424">IF(CV1027&lt;95.9069994, "Basso", IF(CV1027&lt;99.02062343, "Medio-Basso", IF(CV1027&lt;103.58108, "Medio-Alto", "Alto")))</f>
        <v>Basso</v>
      </c>
    </row>
    <row r="1028" spans="9:104" x14ac:dyDescent="0.15">
      <c r="I1028" s="64">
        <f t="shared" si="403"/>
        <v>0</v>
      </c>
      <c r="Q1028" s="64">
        <f t="shared" si="404"/>
        <v>0</v>
      </c>
      <c r="U1028" s="64">
        <f t="shared" si="405"/>
        <v>0</v>
      </c>
      <c r="Y1028" s="114">
        <f t="shared" si="406"/>
        <v>0</v>
      </c>
      <c r="AC1028" s="64">
        <f t="shared" si="407"/>
        <v>0</v>
      </c>
      <c r="AE1028" s="71"/>
      <c r="AF1028" s="71"/>
      <c r="AG1028" s="71">
        <f t="shared" si="408"/>
        <v>0</v>
      </c>
      <c r="AK1028" s="64">
        <f t="shared" si="409"/>
        <v>0</v>
      </c>
      <c r="AM1028" s="71"/>
      <c r="AN1028" s="71"/>
      <c r="AO1028" s="71">
        <f t="shared" si="410"/>
        <v>0</v>
      </c>
      <c r="AQ1028" s="71"/>
      <c r="AR1028" s="71"/>
      <c r="AS1028" s="71">
        <f t="shared" si="411"/>
        <v>0</v>
      </c>
      <c r="AU1028" s="71"/>
      <c r="AV1028" s="71"/>
      <c r="AW1028" s="71">
        <f t="shared" si="412"/>
        <v>0</v>
      </c>
      <c r="AY1028" s="71"/>
      <c r="AZ1028" s="71"/>
      <c r="BA1028" s="71">
        <f t="shared" si="413"/>
        <v>0</v>
      </c>
      <c r="BI1028" s="71"/>
      <c r="BJ1028" s="71"/>
      <c r="BK1028" s="71">
        <f t="shared" si="414"/>
        <v>0</v>
      </c>
      <c r="BM1028" s="71"/>
      <c r="BN1028" s="71"/>
      <c r="BO1028" s="71">
        <f t="shared" si="415"/>
        <v>0</v>
      </c>
      <c r="BQ1028" s="71"/>
      <c r="BR1028" s="71"/>
      <c r="BS1028" s="138">
        <f t="shared" si="416"/>
        <v>0</v>
      </c>
      <c r="BU1028" s="71"/>
      <c r="BV1028" s="71"/>
      <c r="BW1028" s="71">
        <f t="shared" si="417"/>
        <v>0</v>
      </c>
      <c r="BZ1028" s="71"/>
      <c r="CA1028" s="71"/>
      <c r="CB1028" s="71">
        <f t="shared" si="418"/>
        <v>0</v>
      </c>
      <c r="CD1028" s="71"/>
      <c r="CE1028" s="71"/>
      <c r="CF1028" s="71">
        <f t="shared" si="419"/>
        <v>0</v>
      </c>
      <c r="CH1028" s="71"/>
      <c r="CI1028" s="71"/>
      <c r="CJ1028" s="138">
        <f t="shared" si="420"/>
        <v>0</v>
      </c>
      <c r="CL1028" s="71"/>
      <c r="CM1028" s="71"/>
      <c r="CN1028" s="71">
        <f t="shared" si="421"/>
        <v>0</v>
      </c>
      <c r="CS1028" s="102">
        <f t="shared" si="422"/>
        <v>0</v>
      </c>
      <c r="CT1028" s="102">
        <f t="shared" si="423"/>
        <v>0</v>
      </c>
      <c r="CZ1028" s="109" t="str">
        <f t="shared" si="424"/>
        <v>Basso</v>
      </c>
    </row>
    <row r="1029" spans="9:104" x14ac:dyDescent="0.15">
      <c r="I1029" s="64">
        <f t="shared" si="403"/>
        <v>0</v>
      </c>
      <c r="Q1029" s="64">
        <f t="shared" si="404"/>
        <v>0</v>
      </c>
      <c r="U1029" s="64">
        <f t="shared" si="405"/>
        <v>0</v>
      </c>
      <c r="Y1029" s="114">
        <f t="shared" si="406"/>
        <v>0</v>
      </c>
      <c r="AC1029" s="64">
        <f t="shared" si="407"/>
        <v>0</v>
      </c>
      <c r="AE1029" s="71"/>
      <c r="AF1029" s="71"/>
      <c r="AG1029" s="71">
        <f t="shared" si="408"/>
        <v>0</v>
      </c>
      <c r="AK1029" s="64">
        <f t="shared" si="409"/>
        <v>0</v>
      </c>
      <c r="AM1029" s="71"/>
      <c r="AN1029" s="71"/>
      <c r="AO1029" s="71">
        <f t="shared" si="410"/>
        <v>0</v>
      </c>
      <c r="AQ1029" s="71"/>
      <c r="AR1029" s="71"/>
      <c r="AS1029" s="71">
        <f t="shared" si="411"/>
        <v>0</v>
      </c>
      <c r="AU1029" s="71"/>
      <c r="AV1029" s="71"/>
      <c r="AW1029" s="71">
        <f t="shared" si="412"/>
        <v>0</v>
      </c>
      <c r="AY1029" s="71"/>
      <c r="AZ1029" s="71"/>
      <c r="BA1029" s="71">
        <f t="shared" si="413"/>
        <v>0</v>
      </c>
      <c r="BI1029" s="71"/>
      <c r="BJ1029" s="71"/>
      <c r="BK1029" s="71">
        <f t="shared" si="414"/>
        <v>0</v>
      </c>
      <c r="BM1029" s="71"/>
      <c r="BN1029" s="71"/>
      <c r="BO1029" s="71">
        <f t="shared" si="415"/>
        <v>0</v>
      </c>
      <c r="BQ1029" s="71"/>
      <c r="BR1029" s="71"/>
      <c r="BS1029" s="138">
        <f t="shared" si="416"/>
        <v>0</v>
      </c>
      <c r="BU1029" s="71"/>
      <c r="BV1029" s="71"/>
      <c r="BW1029" s="71">
        <f t="shared" si="417"/>
        <v>0</v>
      </c>
      <c r="BZ1029" s="71"/>
      <c r="CA1029" s="71"/>
      <c r="CB1029" s="71">
        <f t="shared" si="418"/>
        <v>0</v>
      </c>
      <c r="CD1029" s="71"/>
      <c r="CE1029" s="71"/>
      <c r="CF1029" s="71">
        <f t="shared" si="419"/>
        <v>0</v>
      </c>
      <c r="CH1029" s="71"/>
      <c r="CI1029" s="71"/>
      <c r="CJ1029" s="138">
        <f t="shared" si="420"/>
        <v>0</v>
      </c>
      <c r="CL1029" s="71"/>
      <c r="CM1029" s="71"/>
      <c r="CN1029" s="71">
        <f t="shared" si="421"/>
        <v>0</v>
      </c>
      <c r="CS1029" s="102">
        <f t="shared" si="422"/>
        <v>0</v>
      </c>
      <c r="CT1029" s="102">
        <f t="shared" si="423"/>
        <v>0</v>
      </c>
      <c r="CZ1029" s="109" t="str">
        <f t="shared" si="424"/>
        <v>Basso</v>
      </c>
    </row>
    <row r="1030" spans="9:104" x14ac:dyDescent="0.15">
      <c r="I1030" s="64">
        <f t="shared" si="403"/>
        <v>0</v>
      </c>
      <c r="Q1030" s="64">
        <f t="shared" si="404"/>
        <v>0</v>
      </c>
      <c r="U1030" s="64">
        <f t="shared" si="405"/>
        <v>0</v>
      </c>
      <c r="Y1030" s="114">
        <f t="shared" si="406"/>
        <v>0</v>
      </c>
      <c r="AC1030" s="64">
        <f t="shared" si="407"/>
        <v>0</v>
      </c>
      <c r="AE1030" s="71"/>
      <c r="AF1030" s="71"/>
      <c r="AG1030" s="71">
        <f t="shared" si="408"/>
        <v>0</v>
      </c>
      <c r="AK1030" s="64">
        <f t="shared" si="409"/>
        <v>0</v>
      </c>
      <c r="AM1030" s="71"/>
      <c r="AN1030" s="71"/>
      <c r="AO1030" s="71">
        <f t="shared" si="410"/>
        <v>0</v>
      </c>
      <c r="AQ1030" s="71"/>
      <c r="AR1030" s="71"/>
      <c r="AS1030" s="71">
        <f t="shared" si="411"/>
        <v>0</v>
      </c>
      <c r="AU1030" s="71"/>
      <c r="AV1030" s="71"/>
      <c r="AW1030" s="71">
        <f t="shared" si="412"/>
        <v>0</v>
      </c>
      <c r="AY1030" s="71"/>
      <c r="AZ1030" s="71"/>
      <c r="BA1030" s="71">
        <f t="shared" si="413"/>
        <v>0</v>
      </c>
      <c r="BI1030" s="71"/>
      <c r="BJ1030" s="71"/>
      <c r="BK1030" s="71">
        <f t="shared" si="414"/>
        <v>0</v>
      </c>
      <c r="BM1030" s="71"/>
      <c r="BN1030" s="71"/>
      <c r="BO1030" s="71">
        <f t="shared" si="415"/>
        <v>0</v>
      </c>
      <c r="BQ1030" s="71"/>
      <c r="BR1030" s="71"/>
      <c r="BS1030" s="138">
        <f t="shared" si="416"/>
        <v>0</v>
      </c>
      <c r="BU1030" s="71"/>
      <c r="BV1030" s="71"/>
      <c r="BW1030" s="71">
        <f t="shared" si="417"/>
        <v>0</v>
      </c>
      <c r="BZ1030" s="71"/>
      <c r="CA1030" s="71"/>
      <c r="CB1030" s="71">
        <f t="shared" si="418"/>
        <v>0</v>
      </c>
      <c r="CD1030" s="71"/>
      <c r="CE1030" s="71"/>
      <c r="CF1030" s="71">
        <f t="shared" si="419"/>
        <v>0</v>
      </c>
      <c r="CH1030" s="71"/>
      <c r="CI1030" s="71"/>
      <c r="CJ1030" s="138">
        <f t="shared" si="420"/>
        <v>0</v>
      </c>
      <c r="CL1030" s="71"/>
      <c r="CM1030" s="71"/>
      <c r="CN1030" s="71">
        <f t="shared" si="421"/>
        <v>0</v>
      </c>
      <c r="CS1030" s="102">
        <f t="shared" si="422"/>
        <v>0</v>
      </c>
      <c r="CT1030" s="102">
        <f t="shared" si="423"/>
        <v>0</v>
      </c>
      <c r="CZ1030" s="109" t="str">
        <f t="shared" si="424"/>
        <v>Basso</v>
      </c>
    </row>
    <row r="1031" spans="9:104" x14ac:dyDescent="0.15">
      <c r="I1031" s="64">
        <f t="shared" si="403"/>
        <v>0</v>
      </c>
      <c r="Q1031" s="64">
        <f t="shared" si="404"/>
        <v>0</v>
      </c>
      <c r="U1031" s="64">
        <f t="shared" si="405"/>
        <v>0</v>
      </c>
      <c r="Y1031" s="114">
        <f t="shared" si="406"/>
        <v>0</v>
      </c>
      <c r="AC1031" s="64">
        <f t="shared" si="407"/>
        <v>0</v>
      </c>
      <c r="AE1031" s="71"/>
      <c r="AF1031" s="71"/>
      <c r="AG1031" s="71">
        <f t="shared" si="408"/>
        <v>0</v>
      </c>
      <c r="AK1031" s="64">
        <f t="shared" si="409"/>
        <v>0</v>
      </c>
      <c r="AM1031" s="71"/>
      <c r="AN1031" s="71"/>
      <c r="AO1031" s="71">
        <f t="shared" si="410"/>
        <v>0</v>
      </c>
      <c r="AQ1031" s="71"/>
      <c r="AR1031" s="71"/>
      <c r="AS1031" s="71">
        <f t="shared" si="411"/>
        <v>0</v>
      </c>
      <c r="AU1031" s="71"/>
      <c r="AV1031" s="71"/>
      <c r="AW1031" s="71">
        <f t="shared" si="412"/>
        <v>0</v>
      </c>
      <c r="AY1031" s="71"/>
      <c r="AZ1031" s="71"/>
      <c r="BA1031" s="71">
        <f t="shared" si="413"/>
        <v>0</v>
      </c>
      <c r="BI1031" s="71"/>
      <c r="BJ1031" s="71"/>
      <c r="BK1031" s="71">
        <f t="shared" si="414"/>
        <v>0</v>
      </c>
      <c r="BM1031" s="71"/>
      <c r="BN1031" s="71"/>
      <c r="BO1031" s="71">
        <f t="shared" si="415"/>
        <v>0</v>
      </c>
      <c r="BQ1031" s="71"/>
      <c r="BR1031" s="71"/>
      <c r="BS1031" s="138">
        <f t="shared" si="416"/>
        <v>0</v>
      </c>
      <c r="BU1031" s="71"/>
      <c r="BV1031" s="71"/>
      <c r="BW1031" s="71">
        <f t="shared" si="417"/>
        <v>0</v>
      </c>
      <c r="BZ1031" s="71"/>
      <c r="CA1031" s="71"/>
      <c r="CB1031" s="71">
        <f t="shared" si="418"/>
        <v>0</v>
      </c>
      <c r="CD1031" s="71"/>
      <c r="CE1031" s="71"/>
      <c r="CF1031" s="71">
        <f t="shared" si="419"/>
        <v>0</v>
      </c>
      <c r="CH1031" s="71"/>
      <c r="CI1031" s="71"/>
      <c r="CJ1031" s="138">
        <f t="shared" si="420"/>
        <v>0</v>
      </c>
      <c r="CL1031" s="71"/>
      <c r="CM1031" s="71"/>
      <c r="CN1031" s="71">
        <f t="shared" si="421"/>
        <v>0</v>
      </c>
      <c r="CS1031" s="102">
        <f t="shared" si="422"/>
        <v>0</v>
      </c>
      <c r="CT1031" s="102">
        <f t="shared" si="423"/>
        <v>0</v>
      </c>
      <c r="CZ1031" s="109" t="str">
        <f t="shared" si="424"/>
        <v>Basso</v>
      </c>
    </row>
    <row r="1032" spans="9:104" x14ac:dyDescent="0.15">
      <c r="I1032" s="64">
        <f t="shared" si="403"/>
        <v>0</v>
      </c>
      <c r="Q1032" s="64">
        <f t="shared" si="404"/>
        <v>0</v>
      </c>
      <c r="U1032" s="64">
        <f t="shared" si="405"/>
        <v>0</v>
      </c>
      <c r="Y1032" s="114">
        <f t="shared" si="406"/>
        <v>0</v>
      </c>
      <c r="AC1032" s="64">
        <f t="shared" si="407"/>
        <v>0</v>
      </c>
      <c r="AE1032" s="71"/>
      <c r="AF1032" s="71"/>
      <c r="AG1032" s="71">
        <f t="shared" si="408"/>
        <v>0</v>
      </c>
      <c r="AK1032" s="64">
        <f t="shared" si="409"/>
        <v>0</v>
      </c>
      <c r="AM1032" s="71"/>
      <c r="AN1032" s="71"/>
      <c r="AO1032" s="71">
        <f t="shared" si="410"/>
        <v>0</v>
      </c>
      <c r="AQ1032" s="71"/>
      <c r="AR1032" s="71"/>
      <c r="AS1032" s="71">
        <f t="shared" si="411"/>
        <v>0</v>
      </c>
      <c r="AU1032" s="71"/>
      <c r="AV1032" s="71"/>
      <c r="AW1032" s="71">
        <f t="shared" si="412"/>
        <v>0</v>
      </c>
      <c r="AY1032" s="71"/>
      <c r="AZ1032" s="71"/>
      <c r="BA1032" s="71">
        <f t="shared" si="413"/>
        <v>0</v>
      </c>
      <c r="BI1032" s="71"/>
      <c r="BJ1032" s="71"/>
      <c r="BK1032" s="71">
        <f t="shared" si="414"/>
        <v>0</v>
      </c>
      <c r="BM1032" s="71"/>
      <c r="BN1032" s="71"/>
      <c r="BO1032" s="71">
        <f t="shared" si="415"/>
        <v>0</v>
      </c>
      <c r="BQ1032" s="71"/>
      <c r="BR1032" s="71"/>
      <c r="BS1032" s="138">
        <f t="shared" si="416"/>
        <v>0</v>
      </c>
      <c r="BU1032" s="71"/>
      <c r="BV1032" s="71"/>
      <c r="BW1032" s="71">
        <f t="shared" si="417"/>
        <v>0</v>
      </c>
      <c r="BZ1032" s="71"/>
      <c r="CA1032" s="71"/>
      <c r="CB1032" s="71">
        <f t="shared" si="418"/>
        <v>0</v>
      </c>
      <c r="CD1032" s="71"/>
      <c r="CE1032" s="71"/>
      <c r="CF1032" s="71">
        <f t="shared" si="419"/>
        <v>0</v>
      </c>
      <c r="CH1032" s="71"/>
      <c r="CI1032" s="71"/>
      <c r="CJ1032" s="138">
        <f t="shared" si="420"/>
        <v>0</v>
      </c>
      <c r="CL1032" s="71"/>
      <c r="CM1032" s="71"/>
      <c r="CN1032" s="71">
        <f t="shared" si="421"/>
        <v>0</v>
      </c>
      <c r="CS1032" s="102">
        <f t="shared" si="422"/>
        <v>0</v>
      </c>
      <c r="CT1032" s="102">
        <f t="shared" si="423"/>
        <v>0</v>
      </c>
      <c r="CZ1032" s="109" t="str">
        <f t="shared" si="424"/>
        <v>Basso</v>
      </c>
    </row>
    <row r="1033" spans="9:104" x14ac:dyDescent="0.15">
      <c r="I1033" s="64">
        <f t="shared" si="403"/>
        <v>0</v>
      </c>
      <c r="Q1033" s="64">
        <f t="shared" si="404"/>
        <v>0</v>
      </c>
      <c r="U1033" s="64">
        <f t="shared" si="405"/>
        <v>0</v>
      </c>
      <c r="Y1033" s="114">
        <f t="shared" si="406"/>
        <v>0</v>
      </c>
      <c r="AC1033" s="64">
        <f t="shared" si="407"/>
        <v>0</v>
      </c>
      <c r="AE1033" s="71"/>
      <c r="AF1033" s="71"/>
      <c r="AG1033" s="71">
        <f t="shared" si="408"/>
        <v>0</v>
      </c>
      <c r="AK1033" s="64">
        <f t="shared" si="409"/>
        <v>0</v>
      </c>
      <c r="AM1033" s="71"/>
      <c r="AN1033" s="71"/>
      <c r="AO1033" s="71">
        <f t="shared" si="410"/>
        <v>0</v>
      </c>
      <c r="AQ1033" s="71"/>
      <c r="AR1033" s="71"/>
      <c r="AS1033" s="71">
        <f t="shared" si="411"/>
        <v>0</v>
      </c>
      <c r="AU1033" s="71"/>
      <c r="AV1033" s="71"/>
      <c r="AW1033" s="71">
        <f t="shared" si="412"/>
        <v>0</v>
      </c>
      <c r="AY1033" s="71"/>
      <c r="AZ1033" s="71"/>
      <c r="BA1033" s="71">
        <f t="shared" si="413"/>
        <v>0</v>
      </c>
      <c r="BI1033" s="71"/>
      <c r="BJ1033" s="71"/>
      <c r="BK1033" s="71">
        <f t="shared" si="414"/>
        <v>0</v>
      </c>
      <c r="BM1033" s="71"/>
      <c r="BN1033" s="71"/>
      <c r="BO1033" s="71">
        <f t="shared" si="415"/>
        <v>0</v>
      </c>
      <c r="BQ1033" s="71"/>
      <c r="BR1033" s="71"/>
      <c r="BS1033" s="138">
        <f t="shared" si="416"/>
        <v>0</v>
      </c>
      <c r="BU1033" s="71"/>
      <c r="BV1033" s="71"/>
      <c r="BW1033" s="71">
        <f t="shared" si="417"/>
        <v>0</v>
      </c>
      <c r="BZ1033" s="71"/>
      <c r="CA1033" s="71"/>
      <c r="CB1033" s="71">
        <f t="shared" si="418"/>
        <v>0</v>
      </c>
      <c r="CD1033" s="71"/>
      <c r="CE1033" s="71"/>
      <c r="CF1033" s="71">
        <f t="shared" si="419"/>
        <v>0</v>
      </c>
      <c r="CH1033" s="71"/>
      <c r="CI1033" s="71"/>
      <c r="CJ1033" s="138">
        <f t="shared" si="420"/>
        <v>0</v>
      </c>
      <c r="CL1033" s="71"/>
      <c r="CM1033" s="71"/>
      <c r="CN1033" s="71">
        <f t="shared" si="421"/>
        <v>0</v>
      </c>
      <c r="CS1033" s="102">
        <f t="shared" si="422"/>
        <v>0</v>
      </c>
      <c r="CT1033" s="102">
        <f t="shared" si="423"/>
        <v>0</v>
      </c>
      <c r="CZ1033" s="109" t="str">
        <f t="shared" si="424"/>
        <v>Basso</v>
      </c>
    </row>
    <row r="1034" spans="9:104" x14ac:dyDescent="0.15">
      <c r="I1034" s="64">
        <f t="shared" si="403"/>
        <v>0</v>
      </c>
      <c r="Q1034" s="64">
        <f t="shared" si="404"/>
        <v>0</v>
      </c>
      <c r="U1034" s="64">
        <f t="shared" si="405"/>
        <v>0</v>
      </c>
      <c r="Y1034" s="114">
        <f t="shared" si="406"/>
        <v>0</v>
      </c>
      <c r="AC1034" s="64">
        <f t="shared" si="407"/>
        <v>0</v>
      </c>
      <c r="AE1034" s="71"/>
      <c r="AF1034" s="71"/>
      <c r="AG1034" s="71">
        <f t="shared" si="408"/>
        <v>0</v>
      </c>
      <c r="AK1034" s="64">
        <f t="shared" si="409"/>
        <v>0</v>
      </c>
      <c r="AM1034" s="71"/>
      <c r="AN1034" s="71"/>
      <c r="AO1034" s="71">
        <f t="shared" si="410"/>
        <v>0</v>
      </c>
      <c r="AQ1034" s="71"/>
      <c r="AR1034" s="71"/>
      <c r="AS1034" s="71">
        <f t="shared" si="411"/>
        <v>0</v>
      </c>
      <c r="AU1034" s="71"/>
      <c r="AV1034" s="71"/>
      <c r="AW1034" s="71">
        <f t="shared" si="412"/>
        <v>0</v>
      </c>
      <c r="AY1034" s="71"/>
      <c r="AZ1034" s="71"/>
      <c r="BA1034" s="71">
        <f t="shared" si="413"/>
        <v>0</v>
      </c>
      <c r="BI1034" s="71"/>
      <c r="BJ1034" s="71"/>
      <c r="BK1034" s="71">
        <f t="shared" si="414"/>
        <v>0</v>
      </c>
      <c r="BM1034" s="71"/>
      <c r="BN1034" s="71"/>
      <c r="BO1034" s="71">
        <f t="shared" si="415"/>
        <v>0</v>
      </c>
      <c r="BQ1034" s="71"/>
      <c r="BR1034" s="71"/>
      <c r="BS1034" s="138">
        <f t="shared" si="416"/>
        <v>0</v>
      </c>
      <c r="BU1034" s="71"/>
      <c r="BV1034" s="71"/>
      <c r="BW1034" s="71">
        <f t="shared" si="417"/>
        <v>0</v>
      </c>
      <c r="BZ1034" s="71"/>
      <c r="CA1034" s="71"/>
      <c r="CB1034" s="71">
        <f t="shared" si="418"/>
        <v>0</v>
      </c>
      <c r="CD1034" s="71"/>
      <c r="CE1034" s="71"/>
      <c r="CF1034" s="71">
        <f t="shared" si="419"/>
        <v>0</v>
      </c>
      <c r="CH1034" s="71"/>
      <c r="CI1034" s="71"/>
      <c r="CJ1034" s="138">
        <f t="shared" si="420"/>
        <v>0</v>
      </c>
      <c r="CL1034" s="71"/>
      <c r="CM1034" s="71"/>
      <c r="CN1034" s="71">
        <f t="shared" si="421"/>
        <v>0</v>
      </c>
      <c r="CS1034" s="102">
        <f t="shared" si="422"/>
        <v>0</v>
      </c>
      <c r="CT1034" s="102">
        <f t="shared" si="423"/>
        <v>0</v>
      </c>
      <c r="CZ1034" s="109" t="str">
        <f t="shared" si="424"/>
        <v>Basso</v>
      </c>
    </row>
    <row r="1035" spans="9:104" x14ac:dyDescent="0.15">
      <c r="I1035" s="64">
        <f t="shared" si="403"/>
        <v>0</v>
      </c>
      <c r="Q1035" s="64">
        <f t="shared" si="404"/>
        <v>0</v>
      </c>
      <c r="U1035" s="64">
        <f t="shared" si="405"/>
        <v>0</v>
      </c>
      <c r="Y1035" s="114">
        <f t="shared" si="406"/>
        <v>0</v>
      </c>
      <c r="AC1035" s="64">
        <f t="shared" si="407"/>
        <v>0</v>
      </c>
      <c r="AE1035" s="71"/>
      <c r="AF1035" s="71"/>
      <c r="AG1035" s="71">
        <f t="shared" si="408"/>
        <v>0</v>
      </c>
      <c r="AK1035" s="64">
        <f t="shared" si="409"/>
        <v>0</v>
      </c>
      <c r="AM1035" s="71"/>
      <c r="AN1035" s="71"/>
      <c r="AO1035" s="71">
        <f t="shared" si="410"/>
        <v>0</v>
      </c>
      <c r="AQ1035" s="71"/>
      <c r="AR1035" s="71"/>
      <c r="AS1035" s="71">
        <f t="shared" si="411"/>
        <v>0</v>
      </c>
      <c r="AU1035" s="71"/>
      <c r="AV1035" s="71"/>
      <c r="AW1035" s="71">
        <f t="shared" si="412"/>
        <v>0</v>
      </c>
      <c r="AY1035" s="71"/>
      <c r="AZ1035" s="71"/>
      <c r="BA1035" s="71">
        <f t="shared" si="413"/>
        <v>0</v>
      </c>
      <c r="BI1035" s="71"/>
      <c r="BJ1035" s="71"/>
      <c r="BK1035" s="71">
        <f t="shared" si="414"/>
        <v>0</v>
      </c>
      <c r="BM1035" s="71"/>
      <c r="BN1035" s="71"/>
      <c r="BO1035" s="71">
        <f t="shared" si="415"/>
        <v>0</v>
      </c>
      <c r="BQ1035" s="71"/>
      <c r="BR1035" s="71"/>
      <c r="BS1035" s="138">
        <f t="shared" si="416"/>
        <v>0</v>
      </c>
      <c r="BU1035" s="71"/>
      <c r="BV1035" s="71"/>
      <c r="BW1035" s="71">
        <f t="shared" si="417"/>
        <v>0</v>
      </c>
      <c r="BZ1035" s="71"/>
      <c r="CA1035" s="71"/>
      <c r="CB1035" s="71">
        <f t="shared" si="418"/>
        <v>0</v>
      </c>
      <c r="CD1035" s="71"/>
      <c r="CE1035" s="71"/>
      <c r="CF1035" s="71">
        <f t="shared" si="419"/>
        <v>0</v>
      </c>
      <c r="CH1035" s="71"/>
      <c r="CI1035" s="71"/>
      <c r="CJ1035" s="138">
        <f t="shared" si="420"/>
        <v>0</v>
      </c>
      <c r="CL1035" s="71"/>
      <c r="CM1035" s="71"/>
      <c r="CN1035" s="71">
        <f t="shared" si="421"/>
        <v>0</v>
      </c>
      <c r="CS1035" s="102">
        <f t="shared" si="422"/>
        <v>0</v>
      </c>
      <c r="CT1035" s="102">
        <f t="shared" si="423"/>
        <v>0</v>
      </c>
      <c r="CZ1035" s="109" t="str">
        <f t="shared" si="424"/>
        <v>Basso</v>
      </c>
    </row>
    <row r="1036" spans="9:104" x14ac:dyDescent="0.15">
      <c r="I1036" s="64">
        <f t="shared" si="403"/>
        <v>0</v>
      </c>
      <c r="Q1036" s="64">
        <f t="shared" si="404"/>
        <v>0</v>
      </c>
      <c r="U1036" s="64">
        <f t="shared" si="405"/>
        <v>0</v>
      </c>
      <c r="Y1036" s="114">
        <f t="shared" si="406"/>
        <v>0</v>
      </c>
      <c r="AC1036" s="64">
        <f t="shared" si="407"/>
        <v>0</v>
      </c>
      <c r="AE1036" s="71"/>
      <c r="AF1036" s="71"/>
      <c r="AG1036" s="71">
        <f t="shared" si="408"/>
        <v>0</v>
      </c>
      <c r="AK1036" s="64">
        <f t="shared" si="409"/>
        <v>0</v>
      </c>
      <c r="AM1036" s="71"/>
      <c r="AN1036" s="71"/>
      <c r="AO1036" s="71">
        <f t="shared" si="410"/>
        <v>0</v>
      </c>
      <c r="AQ1036" s="71"/>
      <c r="AR1036" s="71"/>
      <c r="AS1036" s="71">
        <f t="shared" si="411"/>
        <v>0</v>
      </c>
      <c r="AU1036" s="71"/>
      <c r="AV1036" s="71"/>
      <c r="AW1036" s="71">
        <f t="shared" si="412"/>
        <v>0</v>
      </c>
      <c r="AY1036" s="71"/>
      <c r="AZ1036" s="71"/>
      <c r="BA1036" s="71">
        <f t="shared" si="413"/>
        <v>0</v>
      </c>
      <c r="BI1036" s="71"/>
      <c r="BJ1036" s="71"/>
      <c r="BK1036" s="71">
        <f t="shared" si="414"/>
        <v>0</v>
      </c>
      <c r="BM1036" s="71"/>
      <c r="BN1036" s="71"/>
      <c r="BO1036" s="71">
        <f t="shared" si="415"/>
        <v>0</v>
      </c>
      <c r="BQ1036" s="71"/>
      <c r="BR1036" s="71"/>
      <c r="BS1036" s="138">
        <f t="shared" si="416"/>
        <v>0</v>
      </c>
      <c r="BU1036" s="71"/>
      <c r="BV1036" s="71"/>
      <c r="BW1036" s="71">
        <f t="shared" si="417"/>
        <v>0</v>
      </c>
      <c r="BZ1036" s="71"/>
      <c r="CA1036" s="71"/>
      <c r="CB1036" s="71">
        <f t="shared" si="418"/>
        <v>0</v>
      </c>
      <c r="CD1036" s="71"/>
      <c r="CE1036" s="71"/>
      <c r="CF1036" s="71">
        <f t="shared" si="419"/>
        <v>0</v>
      </c>
      <c r="CH1036" s="71"/>
      <c r="CI1036" s="71"/>
      <c r="CJ1036" s="138">
        <f t="shared" si="420"/>
        <v>0</v>
      </c>
      <c r="CL1036" s="71"/>
      <c r="CM1036" s="71"/>
      <c r="CN1036" s="71">
        <f t="shared" si="421"/>
        <v>0</v>
      </c>
      <c r="CS1036" s="102">
        <f t="shared" si="422"/>
        <v>0</v>
      </c>
      <c r="CT1036" s="102">
        <f t="shared" si="423"/>
        <v>0</v>
      </c>
      <c r="CZ1036" s="109" t="str">
        <f t="shared" si="424"/>
        <v>Basso</v>
      </c>
    </row>
    <row r="1037" spans="9:104" x14ac:dyDescent="0.15">
      <c r="I1037" s="64">
        <f t="shared" si="403"/>
        <v>0</v>
      </c>
      <c r="Q1037" s="64">
        <f t="shared" si="404"/>
        <v>0</v>
      </c>
      <c r="U1037" s="64">
        <f t="shared" si="405"/>
        <v>0</v>
      </c>
      <c r="Y1037" s="114">
        <f t="shared" si="406"/>
        <v>0</v>
      </c>
      <c r="AC1037" s="64">
        <f t="shared" si="407"/>
        <v>0</v>
      </c>
      <c r="AE1037" s="71"/>
      <c r="AF1037" s="71"/>
      <c r="AG1037" s="71">
        <f t="shared" si="408"/>
        <v>0</v>
      </c>
      <c r="AK1037" s="64">
        <f t="shared" si="409"/>
        <v>0</v>
      </c>
      <c r="AM1037" s="71"/>
      <c r="AN1037" s="71"/>
      <c r="AO1037" s="71">
        <f t="shared" si="410"/>
        <v>0</v>
      </c>
      <c r="AQ1037" s="71"/>
      <c r="AR1037" s="71"/>
      <c r="AS1037" s="71">
        <f t="shared" si="411"/>
        <v>0</v>
      </c>
      <c r="AU1037" s="71"/>
      <c r="AV1037" s="71"/>
      <c r="AW1037" s="71">
        <f t="shared" si="412"/>
        <v>0</v>
      </c>
      <c r="AY1037" s="71"/>
      <c r="AZ1037" s="71"/>
      <c r="BA1037" s="71">
        <f t="shared" si="413"/>
        <v>0</v>
      </c>
      <c r="BI1037" s="71"/>
      <c r="BJ1037" s="71"/>
      <c r="BK1037" s="71">
        <f t="shared" si="414"/>
        <v>0</v>
      </c>
      <c r="BM1037" s="71"/>
      <c r="BN1037" s="71"/>
      <c r="BO1037" s="71">
        <f t="shared" si="415"/>
        <v>0</v>
      </c>
      <c r="BQ1037" s="71"/>
      <c r="BR1037" s="71"/>
      <c r="BS1037" s="138">
        <f t="shared" si="416"/>
        <v>0</v>
      </c>
      <c r="BU1037" s="71"/>
      <c r="BV1037" s="71"/>
      <c r="BW1037" s="71">
        <f t="shared" si="417"/>
        <v>0</v>
      </c>
      <c r="BZ1037" s="71"/>
      <c r="CA1037" s="71"/>
      <c r="CB1037" s="71">
        <f t="shared" si="418"/>
        <v>0</v>
      </c>
      <c r="CD1037" s="71"/>
      <c r="CE1037" s="71"/>
      <c r="CF1037" s="71">
        <f t="shared" si="419"/>
        <v>0</v>
      </c>
      <c r="CH1037" s="71"/>
      <c r="CI1037" s="71"/>
      <c r="CJ1037" s="138">
        <f t="shared" si="420"/>
        <v>0</v>
      </c>
      <c r="CL1037" s="71"/>
      <c r="CM1037" s="71"/>
      <c r="CN1037" s="71">
        <f t="shared" si="421"/>
        <v>0</v>
      </c>
      <c r="CS1037" s="102">
        <f t="shared" si="422"/>
        <v>0</v>
      </c>
      <c r="CT1037" s="102">
        <f t="shared" si="423"/>
        <v>0</v>
      </c>
      <c r="CZ1037" s="109" t="str">
        <f t="shared" si="424"/>
        <v>Basso</v>
      </c>
    </row>
    <row r="1038" spans="9:104" x14ac:dyDescent="0.15">
      <c r="I1038" s="64">
        <f t="shared" si="403"/>
        <v>0</v>
      </c>
      <c r="Q1038" s="64">
        <f t="shared" si="404"/>
        <v>0</v>
      </c>
      <c r="U1038" s="64">
        <f t="shared" si="405"/>
        <v>0</v>
      </c>
      <c r="Y1038" s="114">
        <f t="shared" si="406"/>
        <v>0</v>
      </c>
      <c r="AC1038" s="64">
        <f t="shared" si="407"/>
        <v>0</v>
      </c>
      <c r="AE1038" s="71"/>
      <c r="AF1038" s="71"/>
      <c r="AG1038" s="71">
        <f t="shared" si="408"/>
        <v>0</v>
      </c>
      <c r="AK1038" s="64">
        <f t="shared" si="409"/>
        <v>0</v>
      </c>
      <c r="AM1038" s="71"/>
      <c r="AN1038" s="71"/>
      <c r="AO1038" s="71">
        <f t="shared" si="410"/>
        <v>0</v>
      </c>
      <c r="AQ1038" s="71"/>
      <c r="AR1038" s="71"/>
      <c r="AS1038" s="71">
        <f t="shared" si="411"/>
        <v>0</v>
      </c>
      <c r="AU1038" s="71"/>
      <c r="AV1038" s="71"/>
      <c r="AW1038" s="71">
        <f t="shared" si="412"/>
        <v>0</v>
      </c>
      <c r="AY1038" s="71"/>
      <c r="AZ1038" s="71"/>
      <c r="BA1038" s="71">
        <f t="shared" si="413"/>
        <v>0</v>
      </c>
      <c r="BI1038" s="71"/>
      <c r="BJ1038" s="71"/>
      <c r="BK1038" s="71">
        <f t="shared" si="414"/>
        <v>0</v>
      </c>
      <c r="BM1038" s="71"/>
      <c r="BN1038" s="71"/>
      <c r="BO1038" s="71">
        <f t="shared" si="415"/>
        <v>0</v>
      </c>
      <c r="BQ1038" s="71"/>
      <c r="BR1038" s="71"/>
      <c r="BS1038" s="138">
        <f t="shared" si="416"/>
        <v>0</v>
      </c>
      <c r="BU1038" s="71"/>
      <c r="BV1038" s="71"/>
      <c r="BW1038" s="71">
        <f t="shared" si="417"/>
        <v>0</v>
      </c>
      <c r="BZ1038" s="71"/>
      <c r="CA1038" s="71"/>
      <c r="CB1038" s="71">
        <f t="shared" si="418"/>
        <v>0</v>
      </c>
      <c r="CD1038" s="71"/>
      <c r="CE1038" s="71"/>
      <c r="CF1038" s="71">
        <f t="shared" si="419"/>
        <v>0</v>
      </c>
      <c r="CH1038" s="71"/>
      <c r="CI1038" s="71"/>
      <c r="CJ1038" s="138">
        <f t="shared" si="420"/>
        <v>0</v>
      </c>
      <c r="CL1038" s="71"/>
      <c r="CM1038" s="71"/>
      <c r="CN1038" s="71">
        <f t="shared" si="421"/>
        <v>0</v>
      </c>
      <c r="CS1038" s="102">
        <f t="shared" si="422"/>
        <v>0</v>
      </c>
      <c r="CT1038" s="102">
        <f t="shared" si="423"/>
        <v>0</v>
      </c>
      <c r="CZ1038" s="109" t="str">
        <f t="shared" si="424"/>
        <v>Basso</v>
      </c>
    </row>
    <row r="1039" spans="9:104" x14ac:dyDescent="0.15">
      <c r="I1039" s="64">
        <f t="shared" si="403"/>
        <v>0</v>
      </c>
      <c r="Q1039" s="64">
        <f t="shared" si="404"/>
        <v>0</v>
      </c>
      <c r="U1039" s="64">
        <f t="shared" si="405"/>
        <v>0</v>
      </c>
      <c r="Y1039" s="114">
        <f t="shared" si="406"/>
        <v>0</v>
      </c>
      <c r="AC1039" s="64">
        <f t="shared" si="407"/>
        <v>0</v>
      </c>
      <c r="AE1039" s="71"/>
      <c r="AF1039" s="71"/>
      <c r="AG1039" s="71">
        <f t="shared" si="408"/>
        <v>0</v>
      </c>
      <c r="AK1039" s="64">
        <f t="shared" si="409"/>
        <v>0</v>
      </c>
      <c r="AM1039" s="71"/>
      <c r="AN1039" s="71"/>
      <c r="AO1039" s="71">
        <f t="shared" si="410"/>
        <v>0</v>
      </c>
      <c r="AQ1039" s="71"/>
      <c r="AR1039" s="71"/>
      <c r="AS1039" s="71">
        <f t="shared" si="411"/>
        <v>0</v>
      </c>
      <c r="AU1039" s="71"/>
      <c r="AV1039" s="71"/>
      <c r="AW1039" s="71">
        <f t="shared" si="412"/>
        <v>0</v>
      </c>
      <c r="AY1039" s="71"/>
      <c r="AZ1039" s="71"/>
      <c r="BA1039" s="71">
        <f t="shared" si="413"/>
        <v>0</v>
      </c>
      <c r="BI1039" s="71"/>
      <c r="BJ1039" s="71"/>
      <c r="BK1039" s="71">
        <f t="shared" si="414"/>
        <v>0</v>
      </c>
      <c r="BM1039" s="71"/>
      <c r="BN1039" s="71"/>
      <c r="BO1039" s="71">
        <f t="shared" si="415"/>
        <v>0</v>
      </c>
      <c r="BQ1039" s="71"/>
      <c r="BR1039" s="71"/>
      <c r="BS1039" s="138">
        <f t="shared" si="416"/>
        <v>0</v>
      </c>
      <c r="BU1039" s="71"/>
      <c r="BV1039" s="71"/>
      <c r="BW1039" s="71">
        <f t="shared" si="417"/>
        <v>0</v>
      </c>
      <c r="BZ1039" s="71"/>
      <c r="CA1039" s="71"/>
      <c r="CB1039" s="71">
        <f t="shared" si="418"/>
        <v>0</v>
      </c>
      <c r="CD1039" s="71"/>
      <c r="CE1039" s="71"/>
      <c r="CF1039" s="71">
        <f t="shared" si="419"/>
        <v>0</v>
      </c>
      <c r="CH1039" s="71"/>
      <c r="CI1039" s="71"/>
      <c r="CJ1039" s="138">
        <f t="shared" si="420"/>
        <v>0</v>
      </c>
      <c r="CL1039" s="71"/>
      <c r="CM1039" s="71"/>
      <c r="CN1039" s="71">
        <f t="shared" si="421"/>
        <v>0</v>
      </c>
      <c r="CS1039" s="102">
        <f t="shared" si="422"/>
        <v>0</v>
      </c>
      <c r="CT1039" s="102">
        <f t="shared" si="423"/>
        <v>0</v>
      </c>
      <c r="CZ1039" s="109" t="str">
        <f t="shared" si="424"/>
        <v>Basso</v>
      </c>
    </row>
    <row r="1040" spans="9:104" x14ac:dyDescent="0.15">
      <c r="I1040" s="64">
        <f t="shared" si="403"/>
        <v>0</v>
      </c>
      <c r="Q1040" s="64">
        <f t="shared" si="404"/>
        <v>0</v>
      </c>
      <c r="U1040" s="64">
        <f t="shared" si="405"/>
        <v>0</v>
      </c>
      <c r="Y1040" s="114">
        <f t="shared" si="406"/>
        <v>0</v>
      </c>
      <c r="AC1040" s="64">
        <f t="shared" si="407"/>
        <v>0</v>
      </c>
      <c r="AE1040" s="71"/>
      <c r="AF1040" s="71"/>
      <c r="AG1040" s="71">
        <f t="shared" si="408"/>
        <v>0</v>
      </c>
      <c r="AK1040" s="64">
        <f t="shared" si="409"/>
        <v>0</v>
      </c>
      <c r="AM1040" s="71"/>
      <c r="AN1040" s="71"/>
      <c r="AO1040" s="71">
        <f t="shared" si="410"/>
        <v>0</v>
      </c>
      <c r="AQ1040" s="71"/>
      <c r="AR1040" s="71"/>
      <c r="AS1040" s="71">
        <f t="shared" si="411"/>
        <v>0</v>
      </c>
      <c r="AU1040" s="71"/>
      <c r="AV1040" s="71"/>
      <c r="AW1040" s="71">
        <f t="shared" si="412"/>
        <v>0</v>
      </c>
      <c r="AY1040" s="71"/>
      <c r="AZ1040" s="71"/>
      <c r="BA1040" s="71">
        <f t="shared" si="413"/>
        <v>0</v>
      </c>
      <c r="BI1040" s="71"/>
      <c r="BJ1040" s="71"/>
      <c r="BK1040" s="71">
        <f t="shared" si="414"/>
        <v>0</v>
      </c>
      <c r="BM1040" s="71"/>
      <c r="BN1040" s="71"/>
      <c r="BO1040" s="71">
        <f t="shared" si="415"/>
        <v>0</v>
      </c>
      <c r="BQ1040" s="71"/>
      <c r="BR1040" s="71"/>
      <c r="BS1040" s="138">
        <f t="shared" si="416"/>
        <v>0</v>
      </c>
      <c r="BU1040" s="71"/>
      <c r="BV1040" s="71"/>
      <c r="BW1040" s="71">
        <f t="shared" si="417"/>
        <v>0</v>
      </c>
      <c r="BZ1040" s="71"/>
      <c r="CA1040" s="71"/>
      <c r="CB1040" s="71">
        <f t="shared" si="418"/>
        <v>0</v>
      </c>
      <c r="CD1040" s="71"/>
      <c r="CE1040" s="71"/>
      <c r="CF1040" s="71">
        <f t="shared" si="419"/>
        <v>0</v>
      </c>
      <c r="CH1040" s="71"/>
      <c r="CI1040" s="71"/>
      <c r="CJ1040" s="138">
        <f t="shared" si="420"/>
        <v>0</v>
      </c>
      <c r="CL1040" s="71"/>
      <c r="CM1040" s="71"/>
      <c r="CN1040" s="71">
        <f t="shared" si="421"/>
        <v>0</v>
      </c>
      <c r="CS1040" s="102">
        <f t="shared" si="422"/>
        <v>0</v>
      </c>
      <c r="CT1040" s="102">
        <f t="shared" si="423"/>
        <v>0</v>
      </c>
      <c r="CZ1040" s="109" t="str">
        <f t="shared" si="424"/>
        <v>Basso</v>
      </c>
    </row>
    <row r="1041" spans="9:104" x14ac:dyDescent="0.15">
      <c r="I1041" s="64">
        <f t="shared" si="403"/>
        <v>0</v>
      </c>
      <c r="Q1041" s="64">
        <f t="shared" si="404"/>
        <v>0</v>
      </c>
      <c r="U1041" s="64">
        <f t="shared" si="405"/>
        <v>0</v>
      </c>
      <c r="Y1041" s="114">
        <f t="shared" si="406"/>
        <v>0</v>
      </c>
      <c r="AC1041" s="64">
        <f t="shared" si="407"/>
        <v>0</v>
      </c>
      <c r="AE1041" s="71"/>
      <c r="AF1041" s="71"/>
      <c r="AG1041" s="71">
        <f t="shared" si="408"/>
        <v>0</v>
      </c>
      <c r="AK1041" s="64">
        <f t="shared" si="409"/>
        <v>0</v>
      </c>
      <c r="AM1041" s="71"/>
      <c r="AN1041" s="71"/>
      <c r="AO1041" s="71">
        <f t="shared" si="410"/>
        <v>0</v>
      </c>
      <c r="AQ1041" s="71"/>
      <c r="AR1041" s="71"/>
      <c r="AS1041" s="71">
        <f t="shared" si="411"/>
        <v>0</v>
      </c>
      <c r="AU1041" s="71"/>
      <c r="AV1041" s="71"/>
      <c r="AW1041" s="71">
        <f t="shared" si="412"/>
        <v>0</v>
      </c>
      <c r="AY1041" s="71"/>
      <c r="AZ1041" s="71"/>
      <c r="BA1041" s="71">
        <f t="shared" si="413"/>
        <v>0</v>
      </c>
      <c r="BI1041" s="71"/>
      <c r="BJ1041" s="71"/>
      <c r="BK1041" s="71">
        <f t="shared" si="414"/>
        <v>0</v>
      </c>
      <c r="BM1041" s="71"/>
      <c r="BN1041" s="71"/>
      <c r="BO1041" s="71">
        <f t="shared" si="415"/>
        <v>0</v>
      </c>
      <c r="BQ1041" s="71"/>
      <c r="BR1041" s="71"/>
      <c r="BS1041" s="138">
        <f t="shared" si="416"/>
        <v>0</v>
      </c>
      <c r="BU1041" s="71"/>
      <c r="BV1041" s="71"/>
      <c r="BW1041" s="71">
        <f t="shared" si="417"/>
        <v>0</v>
      </c>
      <c r="BZ1041" s="71"/>
      <c r="CA1041" s="71"/>
      <c r="CB1041" s="71">
        <f t="shared" si="418"/>
        <v>0</v>
      </c>
      <c r="CD1041" s="71"/>
      <c r="CE1041" s="71"/>
      <c r="CF1041" s="71">
        <f t="shared" si="419"/>
        <v>0</v>
      </c>
      <c r="CH1041" s="71"/>
      <c r="CI1041" s="71"/>
      <c r="CJ1041" s="138">
        <f t="shared" si="420"/>
        <v>0</v>
      </c>
      <c r="CL1041" s="71"/>
      <c r="CM1041" s="71"/>
      <c r="CN1041" s="71">
        <f t="shared" si="421"/>
        <v>0</v>
      </c>
      <c r="CS1041" s="102">
        <f t="shared" si="422"/>
        <v>0</v>
      </c>
      <c r="CT1041" s="102">
        <f t="shared" si="423"/>
        <v>0</v>
      </c>
      <c r="CZ1041" s="109" t="str">
        <f t="shared" si="424"/>
        <v>Basso</v>
      </c>
    </row>
    <row r="1042" spans="9:104" x14ac:dyDescent="0.15">
      <c r="I1042" s="64">
        <f t="shared" si="403"/>
        <v>0</v>
      </c>
      <c r="Q1042" s="64">
        <f t="shared" si="404"/>
        <v>0</v>
      </c>
      <c r="U1042" s="64">
        <f t="shared" si="405"/>
        <v>0</v>
      </c>
      <c r="Y1042" s="114">
        <f t="shared" si="406"/>
        <v>0</v>
      </c>
      <c r="AC1042" s="64">
        <f t="shared" si="407"/>
        <v>0</v>
      </c>
      <c r="AE1042" s="71"/>
      <c r="AF1042" s="71"/>
      <c r="AG1042" s="71">
        <f t="shared" si="408"/>
        <v>0</v>
      </c>
      <c r="AK1042" s="64">
        <f t="shared" si="409"/>
        <v>0</v>
      </c>
      <c r="AM1042" s="71"/>
      <c r="AN1042" s="71"/>
      <c r="AO1042" s="71">
        <f t="shared" si="410"/>
        <v>0</v>
      </c>
      <c r="AQ1042" s="71"/>
      <c r="AR1042" s="71"/>
      <c r="AS1042" s="71">
        <f t="shared" si="411"/>
        <v>0</v>
      </c>
      <c r="AU1042" s="71"/>
      <c r="AV1042" s="71"/>
      <c r="AW1042" s="71">
        <f t="shared" si="412"/>
        <v>0</v>
      </c>
      <c r="AY1042" s="71"/>
      <c r="AZ1042" s="71"/>
      <c r="BA1042" s="71">
        <f t="shared" si="413"/>
        <v>0</v>
      </c>
      <c r="BI1042" s="71"/>
      <c r="BJ1042" s="71"/>
      <c r="BK1042" s="71">
        <f t="shared" si="414"/>
        <v>0</v>
      </c>
      <c r="BM1042" s="71"/>
      <c r="BN1042" s="71"/>
      <c r="BO1042" s="71">
        <f t="shared" si="415"/>
        <v>0</v>
      </c>
      <c r="BQ1042" s="71"/>
      <c r="BR1042" s="71"/>
      <c r="BS1042" s="138">
        <f t="shared" si="416"/>
        <v>0</v>
      </c>
      <c r="BU1042" s="71"/>
      <c r="BV1042" s="71"/>
      <c r="BW1042" s="71">
        <f t="shared" si="417"/>
        <v>0</v>
      </c>
      <c r="BZ1042" s="71"/>
      <c r="CA1042" s="71"/>
      <c r="CB1042" s="71">
        <f t="shared" si="418"/>
        <v>0</v>
      </c>
      <c r="CD1042" s="71"/>
      <c r="CE1042" s="71"/>
      <c r="CF1042" s="71">
        <f t="shared" si="419"/>
        <v>0</v>
      </c>
      <c r="CH1042" s="71"/>
      <c r="CI1042" s="71"/>
      <c r="CJ1042" s="138">
        <f t="shared" si="420"/>
        <v>0</v>
      </c>
      <c r="CL1042" s="71"/>
      <c r="CM1042" s="71"/>
      <c r="CN1042" s="71">
        <f t="shared" si="421"/>
        <v>0</v>
      </c>
      <c r="CS1042" s="102">
        <f t="shared" si="422"/>
        <v>0</v>
      </c>
      <c r="CT1042" s="102">
        <f t="shared" si="423"/>
        <v>0</v>
      </c>
      <c r="CZ1042" s="109" t="str">
        <f t="shared" si="424"/>
        <v>Basso</v>
      </c>
    </row>
    <row r="1043" spans="9:104" x14ac:dyDescent="0.15">
      <c r="I1043" s="64">
        <f t="shared" si="403"/>
        <v>0</v>
      </c>
      <c r="Y1043" s="114">
        <f t="shared" si="406"/>
        <v>0</v>
      </c>
      <c r="AC1043" s="64">
        <f t="shared" si="407"/>
        <v>0</v>
      </c>
      <c r="AE1043" s="71"/>
      <c r="AF1043" s="71"/>
      <c r="AG1043" s="71">
        <f t="shared" si="408"/>
        <v>0</v>
      </c>
      <c r="AK1043" s="64">
        <f t="shared" si="409"/>
        <v>0</v>
      </c>
      <c r="AM1043" s="71"/>
      <c r="AN1043" s="71"/>
      <c r="AO1043" s="71">
        <f t="shared" si="410"/>
        <v>0</v>
      </c>
      <c r="AQ1043" s="71"/>
      <c r="AR1043" s="71"/>
      <c r="AS1043" s="71">
        <f t="shared" si="411"/>
        <v>0</v>
      </c>
      <c r="AU1043" s="71"/>
      <c r="AV1043" s="71"/>
      <c r="AW1043" s="71">
        <f t="shared" si="412"/>
        <v>0</v>
      </c>
      <c r="AY1043" s="71"/>
      <c r="AZ1043" s="71"/>
      <c r="BA1043" s="71">
        <f t="shared" si="413"/>
        <v>0</v>
      </c>
      <c r="BI1043" s="71"/>
      <c r="BJ1043" s="71"/>
      <c r="BK1043" s="71">
        <f t="shared" si="414"/>
        <v>0</v>
      </c>
      <c r="BM1043" s="71"/>
      <c r="BN1043" s="71"/>
      <c r="BO1043" s="71">
        <f t="shared" si="415"/>
        <v>0</v>
      </c>
      <c r="BQ1043" s="71"/>
      <c r="BR1043" s="71"/>
      <c r="BS1043" s="138">
        <f t="shared" si="416"/>
        <v>0</v>
      </c>
      <c r="BU1043" s="71"/>
      <c r="BV1043" s="71"/>
      <c r="BW1043" s="71">
        <f t="shared" si="417"/>
        <v>0</v>
      </c>
      <c r="BZ1043" s="71"/>
      <c r="CA1043" s="71"/>
      <c r="CB1043" s="71">
        <f t="shared" si="418"/>
        <v>0</v>
      </c>
      <c r="CD1043" s="71"/>
      <c r="CE1043" s="71"/>
      <c r="CF1043" s="71">
        <f t="shared" si="419"/>
        <v>0</v>
      </c>
      <c r="CH1043" s="71"/>
      <c r="CI1043" s="71"/>
      <c r="CJ1043" s="138">
        <f t="shared" si="420"/>
        <v>0</v>
      </c>
      <c r="CL1043" s="71"/>
      <c r="CM1043" s="71"/>
      <c r="CN1043" s="71">
        <f t="shared" si="421"/>
        <v>0</v>
      </c>
      <c r="CS1043" s="102">
        <f t="shared" si="422"/>
        <v>0</v>
      </c>
      <c r="CT1043" s="102">
        <f t="shared" si="423"/>
        <v>0</v>
      </c>
      <c r="CZ1043" s="109" t="str">
        <f t="shared" si="424"/>
        <v>Basso</v>
      </c>
    </row>
    <row r="1044" spans="9:104" x14ac:dyDescent="0.15">
      <c r="I1044" s="64">
        <f t="shared" si="403"/>
        <v>0</v>
      </c>
      <c r="Y1044" s="114">
        <f t="shared" si="406"/>
        <v>0</v>
      </c>
      <c r="AC1044" s="64">
        <f t="shared" si="407"/>
        <v>0</v>
      </c>
      <c r="AE1044" s="71"/>
      <c r="AF1044" s="71"/>
      <c r="AG1044" s="71">
        <f t="shared" si="408"/>
        <v>0</v>
      </c>
      <c r="AK1044" s="64">
        <f t="shared" si="409"/>
        <v>0</v>
      </c>
      <c r="AM1044" s="71"/>
      <c r="AN1044" s="71"/>
      <c r="AO1044" s="71">
        <f t="shared" si="410"/>
        <v>0</v>
      </c>
      <c r="AQ1044" s="71"/>
      <c r="AR1044" s="71"/>
      <c r="AS1044" s="71">
        <f t="shared" si="411"/>
        <v>0</v>
      </c>
      <c r="AU1044" s="71"/>
      <c r="AV1044" s="71"/>
      <c r="AW1044" s="71">
        <f t="shared" si="412"/>
        <v>0</v>
      </c>
      <c r="AY1044" s="71"/>
      <c r="AZ1044" s="71"/>
      <c r="BA1044" s="71">
        <f t="shared" si="413"/>
        <v>0</v>
      </c>
      <c r="BI1044" s="71"/>
      <c r="BJ1044" s="71"/>
      <c r="BK1044" s="71">
        <f t="shared" si="414"/>
        <v>0</v>
      </c>
      <c r="BM1044" s="71"/>
      <c r="BN1044" s="71"/>
      <c r="BO1044" s="71">
        <f t="shared" si="415"/>
        <v>0</v>
      </c>
      <c r="BQ1044" s="71"/>
      <c r="BR1044" s="71"/>
      <c r="BS1044" s="138">
        <f t="shared" si="416"/>
        <v>0</v>
      </c>
      <c r="BU1044" s="71"/>
      <c r="BV1044" s="71"/>
      <c r="BW1044" s="71">
        <f t="shared" si="417"/>
        <v>0</v>
      </c>
      <c r="BZ1044" s="71"/>
      <c r="CA1044" s="71"/>
      <c r="CB1044" s="71">
        <f t="shared" si="418"/>
        <v>0</v>
      </c>
      <c r="CD1044" s="71"/>
      <c r="CE1044" s="71"/>
      <c r="CF1044" s="71">
        <f t="shared" si="419"/>
        <v>0</v>
      </c>
      <c r="CH1044" s="71"/>
      <c r="CI1044" s="71"/>
      <c r="CJ1044" s="138">
        <f t="shared" si="420"/>
        <v>0</v>
      </c>
      <c r="CL1044" s="71"/>
      <c r="CM1044" s="71"/>
      <c r="CN1044" s="71">
        <f t="shared" si="421"/>
        <v>0</v>
      </c>
      <c r="CS1044" s="102">
        <f t="shared" si="422"/>
        <v>0</v>
      </c>
      <c r="CT1044" s="102">
        <f t="shared" si="423"/>
        <v>0</v>
      </c>
      <c r="CZ1044" s="109" t="str">
        <f t="shared" si="424"/>
        <v>Basso</v>
      </c>
    </row>
    <row r="1045" spans="9:104" x14ac:dyDescent="0.15">
      <c r="I1045" s="64">
        <f t="shared" si="403"/>
        <v>0</v>
      </c>
      <c r="Y1045" s="114">
        <f t="shared" si="406"/>
        <v>0</v>
      </c>
      <c r="AC1045" s="64">
        <f t="shared" si="407"/>
        <v>0</v>
      </c>
      <c r="AE1045" s="71"/>
      <c r="AF1045" s="71"/>
      <c r="AG1045" s="71">
        <f t="shared" si="408"/>
        <v>0</v>
      </c>
      <c r="AK1045" s="64">
        <f t="shared" si="409"/>
        <v>0</v>
      </c>
      <c r="AM1045" s="71"/>
      <c r="AN1045" s="71"/>
      <c r="AO1045" s="71">
        <f t="shared" si="410"/>
        <v>0</v>
      </c>
      <c r="AQ1045" s="71"/>
      <c r="AR1045" s="71"/>
      <c r="AS1045" s="71">
        <f t="shared" si="411"/>
        <v>0</v>
      </c>
      <c r="AU1045" s="71"/>
      <c r="AV1045" s="71"/>
      <c r="AW1045" s="71">
        <f t="shared" si="412"/>
        <v>0</v>
      </c>
      <c r="AY1045" s="71"/>
      <c r="AZ1045" s="71"/>
      <c r="BA1045" s="71">
        <f t="shared" si="413"/>
        <v>0</v>
      </c>
      <c r="BI1045" s="71"/>
      <c r="BJ1045" s="71"/>
      <c r="BK1045" s="71">
        <f t="shared" si="414"/>
        <v>0</v>
      </c>
      <c r="BM1045" s="71"/>
      <c r="BN1045" s="71"/>
      <c r="BO1045" s="71">
        <f t="shared" si="415"/>
        <v>0</v>
      </c>
      <c r="BQ1045" s="71"/>
      <c r="BR1045" s="71"/>
      <c r="BS1045" s="138">
        <f t="shared" si="416"/>
        <v>0</v>
      </c>
      <c r="BU1045" s="71"/>
      <c r="BV1045" s="71"/>
      <c r="BW1045" s="71">
        <f t="shared" si="417"/>
        <v>0</v>
      </c>
      <c r="BZ1045" s="71"/>
      <c r="CA1045" s="71"/>
      <c r="CB1045" s="71">
        <f t="shared" si="418"/>
        <v>0</v>
      </c>
      <c r="CD1045" s="71"/>
      <c r="CE1045" s="71"/>
      <c r="CF1045" s="71">
        <f t="shared" si="419"/>
        <v>0</v>
      </c>
      <c r="CH1045" s="71"/>
      <c r="CI1045" s="71"/>
      <c r="CJ1045" s="138">
        <f t="shared" si="420"/>
        <v>0</v>
      </c>
      <c r="CL1045" s="71"/>
      <c r="CM1045" s="71"/>
      <c r="CN1045" s="71">
        <f t="shared" si="421"/>
        <v>0</v>
      </c>
      <c r="CS1045" s="102">
        <f t="shared" si="422"/>
        <v>0</v>
      </c>
      <c r="CT1045" s="102">
        <f t="shared" si="423"/>
        <v>0</v>
      </c>
      <c r="CZ1045" s="109" t="str">
        <f t="shared" si="424"/>
        <v>Basso</v>
      </c>
    </row>
    <row r="1046" spans="9:104" x14ac:dyDescent="0.15">
      <c r="I1046" s="64">
        <f t="shared" si="403"/>
        <v>0</v>
      </c>
      <c r="Y1046" s="114">
        <f t="shared" si="406"/>
        <v>0</v>
      </c>
      <c r="AC1046" s="64">
        <f t="shared" si="407"/>
        <v>0</v>
      </c>
      <c r="AE1046" s="71"/>
      <c r="AF1046" s="71"/>
      <c r="AG1046" s="71">
        <f t="shared" si="408"/>
        <v>0</v>
      </c>
      <c r="AK1046" s="64">
        <f t="shared" si="409"/>
        <v>0</v>
      </c>
      <c r="AM1046" s="71"/>
      <c r="AN1046" s="71"/>
      <c r="AO1046" s="71">
        <f t="shared" si="410"/>
        <v>0</v>
      </c>
      <c r="AQ1046" s="71"/>
      <c r="AR1046" s="71"/>
      <c r="AS1046" s="71">
        <f t="shared" si="411"/>
        <v>0</v>
      </c>
      <c r="AU1046" s="71"/>
      <c r="AV1046" s="71"/>
      <c r="AW1046" s="71">
        <f t="shared" si="412"/>
        <v>0</v>
      </c>
      <c r="AY1046" s="71"/>
      <c r="AZ1046" s="71"/>
      <c r="BA1046" s="71">
        <f t="shared" si="413"/>
        <v>0</v>
      </c>
      <c r="BI1046" s="71"/>
      <c r="BJ1046" s="71"/>
      <c r="BK1046" s="71">
        <f t="shared" si="414"/>
        <v>0</v>
      </c>
      <c r="BM1046" s="71"/>
      <c r="BN1046" s="71"/>
      <c r="BO1046" s="71">
        <f t="shared" si="415"/>
        <v>0</v>
      </c>
      <c r="BQ1046" s="71"/>
      <c r="BR1046" s="71"/>
      <c r="BS1046" s="138">
        <f t="shared" si="416"/>
        <v>0</v>
      </c>
      <c r="BU1046" s="71"/>
      <c r="BV1046" s="71"/>
      <c r="BW1046" s="71">
        <f t="shared" si="417"/>
        <v>0</v>
      </c>
      <c r="BZ1046" s="71"/>
      <c r="CA1046" s="71"/>
      <c r="CB1046" s="71">
        <f t="shared" si="418"/>
        <v>0</v>
      </c>
      <c r="CD1046" s="71"/>
      <c r="CE1046" s="71"/>
      <c r="CF1046" s="71">
        <f t="shared" si="419"/>
        <v>0</v>
      </c>
      <c r="CH1046" s="71"/>
      <c r="CI1046" s="71"/>
      <c r="CJ1046" s="138">
        <f t="shared" si="420"/>
        <v>0</v>
      </c>
      <c r="CL1046" s="71"/>
      <c r="CM1046" s="71"/>
      <c r="CN1046" s="71">
        <f t="shared" si="421"/>
        <v>0</v>
      </c>
      <c r="CS1046" s="102">
        <f t="shared" si="422"/>
        <v>0</v>
      </c>
      <c r="CT1046" s="102">
        <f t="shared" si="423"/>
        <v>0</v>
      </c>
      <c r="CZ1046" s="109" t="str">
        <f t="shared" si="424"/>
        <v>Basso</v>
      </c>
    </row>
    <row r="1047" spans="9:104" x14ac:dyDescent="0.15">
      <c r="I1047" s="64">
        <f t="shared" si="403"/>
        <v>0</v>
      </c>
      <c r="Y1047" s="114">
        <f t="shared" si="406"/>
        <v>0</v>
      </c>
      <c r="AC1047" s="64">
        <f t="shared" si="407"/>
        <v>0</v>
      </c>
      <c r="AE1047" s="71"/>
      <c r="AF1047" s="71"/>
      <c r="AG1047" s="71">
        <f t="shared" si="408"/>
        <v>0</v>
      </c>
      <c r="AK1047" s="64">
        <f t="shared" si="409"/>
        <v>0</v>
      </c>
      <c r="AM1047" s="71"/>
      <c r="AN1047" s="71"/>
      <c r="AO1047" s="71">
        <f t="shared" si="410"/>
        <v>0</v>
      </c>
      <c r="AQ1047" s="71"/>
      <c r="AR1047" s="71"/>
      <c r="AS1047" s="71">
        <f t="shared" si="411"/>
        <v>0</v>
      </c>
      <c r="AU1047" s="71"/>
      <c r="AV1047" s="71"/>
      <c r="AW1047" s="71">
        <f t="shared" si="412"/>
        <v>0</v>
      </c>
      <c r="AY1047" s="71"/>
      <c r="AZ1047" s="71"/>
      <c r="BA1047" s="71">
        <f t="shared" si="413"/>
        <v>0</v>
      </c>
      <c r="BI1047" s="71"/>
      <c r="BJ1047" s="71"/>
      <c r="BK1047" s="71">
        <f t="shared" si="414"/>
        <v>0</v>
      </c>
      <c r="BM1047" s="71"/>
      <c r="BN1047" s="71"/>
      <c r="BO1047" s="71">
        <f t="shared" si="415"/>
        <v>0</v>
      </c>
      <c r="BQ1047" s="71"/>
      <c r="BR1047" s="71"/>
      <c r="BS1047" s="138">
        <f t="shared" si="416"/>
        <v>0</v>
      </c>
      <c r="BU1047" s="71"/>
      <c r="BV1047" s="71"/>
      <c r="BW1047" s="71">
        <f t="shared" si="417"/>
        <v>0</v>
      </c>
      <c r="BZ1047" s="71"/>
      <c r="CA1047" s="71"/>
      <c r="CB1047" s="71">
        <f t="shared" si="418"/>
        <v>0</v>
      </c>
      <c r="CD1047" s="71"/>
      <c r="CE1047" s="71"/>
      <c r="CF1047" s="71">
        <f t="shared" si="419"/>
        <v>0</v>
      </c>
      <c r="CH1047" s="71"/>
      <c r="CI1047" s="71"/>
      <c r="CJ1047" s="138">
        <f t="shared" si="420"/>
        <v>0</v>
      </c>
      <c r="CL1047" s="71"/>
      <c r="CM1047" s="71"/>
      <c r="CN1047" s="71">
        <f t="shared" si="421"/>
        <v>0</v>
      </c>
      <c r="CS1047" s="102">
        <f t="shared" si="422"/>
        <v>0</v>
      </c>
      <c r="CT1047" s="102">
        <f t="shared" si="423"/>
        <v>0</v>
      </c>
      <c r="CZ1047" s="109" t="str">
        <f t="shared" si="424"/>
        <v>Basso</v>
      </c>
    </row>
    <row r="1048" spans="9:104" x14ac:dyDescent="0.15">
      <c r="I1048" s="64">
        <f t="shared" si="403"/>
        <v>0</v>
      </c>
      <c r="Y1048" s="114">
        <f t="shared" si="406"/>
        <v>0</v>
      </c>
      <c r="AC1048" s="64">
        <f t="shared" si="407"/>
        <v>0</v>
      </c>
      <c r="AE1048" s="71"/>
      <c r="AF1048" s="71"/>
      <c r="AG1048" s="71">
        <f t="shared" si="408"/>
        <v>0</v>
      </c>
      <c r="AK1048" s="64">
        <f t="shared" si="409"/>
        <v>0</v>
      </c>
      <c r="AM1048" s="71"/>
      <c r="AN1048" s="71"/>
      <c r="AO1048" s="71">
        <f t="shared" si="410"/>
        <v>0</v>
      </c>
      <c r="AQ1048" s="71"/>
      <c r="AR1048" s="71"/>
      <c r="AS1048" s="71">
        <f t="shared" si="411"/>
        <v>0</v>
      </c>
      <c r="AU1048" s="71"/>
      <c r="AV1048" s="71"/>
      <c r="AW1048" s="71">
        <f t="shared" si="412"/>
        <v>0</v>
      </c>
      <c r="AY1048" s="71"/>
      <c r="AZ1048" s="71"/>
      <c r="BA1048" s="71">
        <f t="shared" si="413"/>
        <v>0</v>
      </c>
      <c r="BI1048" s="71"/>
      <c r="BJ1048" s="71"/>
      <c r="BK1048" s="71">
        <f t="shared" si="414"/>
        <v>0</v>
      </c>
      <c r="BM1048" s="71"/>
      <c r="BN1048" s="71"/>
      <c r="BO1048" s="71">
        <f t="shared" si="415"/>
        <v>0</v>
      </c>
      <c r="BQ1048" s="71"/>
      <c r="BR1048" s="71"/>
      <c r="BS1048" s="138">
        <f t="shared" si="416"/>
        <v>0</v>
      </c>
      <c r="BU1048" s="71"/>
      <c r="BV1048" s="71"/>
      <c r="BW1048" s="71">
        <f t="shared" si="417"/>
        <v>0</v>
      </c>
      <c r="BZ1048" s="71"/>
      <c r="CA1048" s="71"/>
      <c r="CB1048" s="71">
        <f t="shared" si="418"/>
        <v>0</v>
      </c>
      <c r="CD1048" s="71"/>
      <c r="CE1048" s="71"/>
      <c r="CF1048" s="71">
        <f t="shared" si="419"/>
        <v>0</v>
      </c>
      <c r="CH1048" s="71"/>
      <c r="CI1048" s="71"/>
      <c r="CJ1048" s="138">
        <f t="shared" si="420"/>
        <v>0</v>
      </c>
      <c r="CL1048" s="71"/>
      <c r="CM1048" s="71"/>
      <c r="CN1048" s="71">
        <f t="shared" si="421"/>
        <v>0</v>
      </c>
      <c r="CS1048" s="102">
        <f t="shared" si="422"/>
        <v>0</v>
      </c>
      <c r="CT1048" s="102">
        <f t="shared" si="423"/>
        <v>0</v>
      </c>
      <c r="CZ1048" s="109" t="str">
        <f t="shared" si="424"/>
        <v>Basso</v>
      </c>
    </row>
    <row r="1049" spans="9:104" x14ac:dyDescent="0.15">
      <c r="I1049" s="64">
        <f t="shared" si="403"/>
        <v>0</v>
      </c>
      <c r="Y1049" s="114">
        <f t="shared" si="406"/>
        <v>0</v>
      </c>
      <c r="AC1049" s="64">
        <f t="shared" si="407"/>
        <v>0</v>
      </c>
      <c r="AE1049" s="71"/>
      <c r="AF1049" s="71"/>
      <c r="AG1049" s="71">
        <f t="shared" si="408"/>
        <v>0</v>
      </c>
      <c r="AK1049" s="64">
        <f t="shared" si="409"/>
        <v>0</v>
      </c>
      <c r="AM1049" s="71"/>
      <c r="AN1049" s="71"/>
      <c r="AO1049" s="71">
        <f t="shared" si="410"/>
        <v>0</v>
      </c>
      <c r="AQ1049" s="71"/>
      <c r="AR1049" s="71"/>
      <c r="AS1049" s="71">
        <f t="shared" si="411"/>
        <v>0</v>
      </c>
      <c r="AU1049" s="71"/>
      <c r="AV1049" s="71"/>
      <c r="AW1049" s="71">
        <f t="shared" si="412"/>
        <v>0</v>
      </c>
      <c r="AY1049" s="71"/>
      <c r="AZ1049" s="71"/>
      <c r="BA1049" s="71">
        <f t="shared" si="413"/>
        <v>0</v>
      </c>
      <c r="BI1049" s="71"/>
      <c r="BJ1049" s="71"/>
      <c r="BK1049" s="71">
        <f t="shared" si="414"/>
        <v>0</v>
      </c>
      <c r="BM1049" s="71"/>
      <c r="BN1049" s="71"/>
      <c r="BO1049" s="71">
        <f t="shared" si="415"/>
        <v>0</v>
      </c>
      <c r="BQ1049" s="71"/>
      <c r="BR1049" s="71"/>
      <c r="BS1049" s="138">
        <f t="shared" si="416"/>
        <v>0</v>
      </c>
      <c r="BU1049" s="71"/>
      <c r="BV1049" s="71"/>
      <c r="BW1049" s="71">
        <f t="shared" si="417"/>
        <v>0</v>
      </c>
      <c r="BZ1049" s="71"/>
      <c r="CA1049" s="71"/>
      <c r="CB1049" s="71">
        <f t="shared" si="418"/>
        <v>0</v>
      </c>
      <c r="CD1049" s="71"/>
      <c r="CE1049" s="71"/>
      <c r="CF1049" s="71">
        <f t="shared" si="419"/>
        <v>0</v>
      </c>
      <c r="CH1049" s="71"/>
      <c r="CI1049" s="71"/>
      <c r="CJ1049" s="138">
        <f t="shared" si="420"/>
        <v>0</v>
      </c>
      <c r="CL1049" s="71"/>
      <c r="CM1049" s="71"/>
      <c r="CN1049" s="71">
        <f t="shared" si="421"/>
        <v>0</v>
      </c>
      <c r="CS1049" s="102">
        <f t="shared" si="422"/>
        <v>0</v>
      </c>
      <c r="CT1049" s="102">
        <f t="shared" si="423"/>
        <v>0</v>
      </c>
    </row>
    <row r="1050" spans="9:104" x14ac:dyDescent="0.15">
      <c r="I1050" s="64">
        <f t="shared" si="403"/>
        <v>0</v>
      </c>
      <c r="Y1050" s="114">
        <f t="shared" si="406"/>
        <v>0</v>
      </c>
      <c r="AC1050" s="64">
        <f t="shared" si="407"/>
        <v>0</v>
      </c>
      <c r="AE1050" s="71"/>
      <c r="AF1050" s="71"/>
      <c r="AG1050" s="71">
        <f t="shared" si="408"/>
        <v>0</v>
      </c>
      <c r="AK1050" s="64">
        <f t="shared" si="409"/>
        <v>0</v>
      </c>
      <c r="AM1050" s="71"/>
      <c r="AN1050" s="71"/>
      <c r="AO1050" s="71">
        <f t="shared" si="410"/>
        <v>0</v>
      </c>
      <c r="AQ1050" s="71"/>
      <c r="AR1050" s="71"/>
      <c r="AS1050" s="71">
        <f t="shared" si="411"/>
        <v>0</v>
      </c>
      <c r="AU1050" s="71"/>
      <c r="AV1050" s="71"/>
      <c r="AW1050" s="71">
        <f t="shared" si="412"/>
        <v>0</v>
      </c>
      <c r="AY1050" s="71"/>
      <c r="AZ1050" s="71"/>
      <c r="BA1050" s="71">
        <f t="shared" si="413"/>
        <v>0</v>
      </c>
      <c r="BI1050" s="71"/>
      <c r="BJ1050" s="71"/>
      <c r="BK1050" s="71">
        <f t="shared" si="414"/>
        <v>0</v>
      </c>
      <c r="BM1050" s="71"/>
      <c r="BN1050" s="71"/>
      <c r="BO1050" s="71">
        <f t="shared" si="415"/>
        <v>0</v>
      </c>
      <c r="BQ1050" s="71"/>
      <c r="BR1050" s="71"/>
      <c r="BS1050" s="138">
        <f t="shared" si="416"/>
        <v>0</v>
      </c>
      <c r="BU1050" s="71"/>
      <c r="BV1050" s="71"/>
      <c r="BW1050" s="71">
        <f t="shared" si="417"/>
        <v>0</v>
      </c>
      <c r="BZ1050" s="71"/>
      <c r="CA1050" s="71"/>
      <c r="CB1050" s="71">
        <f t="shared" si="418"/>
        <v>0</v>
      </c>
      <c r="CD1050" s="71"/>
      <c r="CE1050" s="71"/>
      <c r="CF1050" s="71">
        <f t="shared" si="419"/>
        <v>0</v>
      </c>
      <c r="CH1050" s="71"/>
      <c r="CI1050" s="71"/>
      <c r="CJ1050" s="138">
        <f t="shared" si="420"/>
        <v>0</v>
      </c>
      <c r="CL1050" s="71"/>
      <c r="CM1050" s="71"/>
      <c r="CN1050" s="71">
        <f t="shared" si="421"/>
        <v>0</v>
      </c>
      <c r="CS1050" s="102">
        <f t="shared" si="422"/>
        <v>0</v>
      </c>
      <c r="CT1050" s="102">
        <f t="shared" si="423"/>
        <v>0</v>
      </c>
    </row>
    <row r="1051" spans="9:104" x14ac:dyDescent="0.15">
      <c r="I1051" s="64">
        <f t="shared" si="403"/>
        <v>0</v>
      </c>
      <c r="Y1051" s="114">
        <f t="shared" si="406"/>
        <v>0</v>
      </c>
      <c r="AC1051" s="64">
        <f t="shared" si="407"/>
        <v>0</v>
      </c>
      <c r="AE1051" s="71"/>
      <c r="AF1051" s="71"/>
      <c r="AG1051" s="71">
        <f t="shared" si="408"/>
        <v>0</v>
      </c>
      <c r="AK1051" s="64">
        <f t="shared" si="409"/>
        <v>0</v>
      </c>
      <c r="AM1051" s="71"/>
      <c r="AN1051" s="71"/>
      <c r="AO1051" s="71">
        <f t="shared" si="410"/>
        <v>0</v>
      </c>
      <c r="AQ1051" s="71"/>
      <c r="AR1051" s="71"/>
      <c r="AS1051" s="71">
        <f t="shared" si="411"/>
        <v>0</v>
      </c>
      <c r="AU1051" s="71"/>
      <c r="AV1051" s="71"/>
      <c r="AW1051" s="71">
        <f t="shared" si="412"/>
        <v>0</v>
      </c>
      <c r="AY1051" s="71"/>
      <c r="AZ1051" s="71"/>
      <c r="BA1051" s="71">
        <f t="shared" si="413"/>
        <v>0</v>
      </c>
      <c r="BI1051" s="71"/>
      <c r="BJ1051" s="71"/>
      <c r="BK1051" s="71">
        <f t="shared" si="414"/>
        <v>0</v>
      </c>
      <c r="BM1051" s="71"/>
      <c r="BN1051" s="71"/>
      <c r="BO1051" s="71">
        <f t="shared" si="415"/>
        <v>0</v>
      </c>
      <c r="BQ1051" s="71"/>
      <c r="BR1051" s="71"/>
      <c r="BS1051" s="138">
        <f t="shared" si="416"/>
        <v>0</v>
      </c>
      <c r="BU1051" s="71"/>
      <c r="BV1051" s="71"/>
      <c r="BW1051" s="71">
        <f t="shared" si="417"/>
        <v>0</v>
      </c>
      <c r="BZ1051" s="71"/>
      <c r="CA1051" s="71"/>
      <c r="CB1051" s="71">
        <f t="shared" si="418"/>
        <v>0</v>
      </c>
      <c r="CD1051" s="71"/>
      <c r="CE1051" s="71"/>
      <c r="CF1051" s="71">
        <f t="shared" si="419"/>
        <v>0</v>
      </c>
      <c r="CH1051" s="71"/>
      <c r="CI1051" s="71"/>
      <c r="CJ1051" s="138">
        <f t="shared" si="420"/>
        <v>0</v>
      </c>
      <c r="CL1051" s="71"/>
      <c r="CM1051" s="71"/>
      <c r="CN1051" s="71">
        <f t="shared" si="421"/>
        <v>0</v>
      </c>
      <c r="CS1051" s="102">
        <f t="shared" si="422"/>
        <v>0</v>
      </c>
      <c r="CT1051" s="102">
        <f t="shared" si="423"/>
        <v>0</v>
      </c>
    </row>
    <row r="1052" spans="9:104" x14ac:dyDescent="0.15">
      <c r="I1052" s="64">
        <f t="shared" si="403"/>
        <v>0</v>
      </c>
      <c r="Y1052" s="114">
        <f t="shared" si="406"/>
        <v>0</v>
      </c>
      <c r="AC1052" s="64">
        <f t="shared" si="407"/>
        <v>0</v>
      </c>
      <c r="AE1052" s="71"/>
      <c r="AF1052" s="71"/>
      <c r="AG1052" s="71">
        <f t="shared" si="408"/>
        <v>0</v>
      </c>
      <c r="AK1052" s="64">
        <f t="shared" si="409"/>
        <v>0</v>
      </c>
      <c r="AM1052" s="71"/>
      <c r="AN1052" s="71"/>
      <c r="AO1052" s="71">
        <f t="shared" si="410"/>
        <v>0</v>
      </c>
      <c r="AQ1052" s="71"/>
      <c r="AR1052" s="71"/>
      <c r="AS1052" s="71">
        <f t="shared" si="411"/>
        <v>0</v>
      </c>
      <c r="AU1052" s="71"/>
      <c r="AV1052" s="71"/>
      <c r="AW1052" s="71">
        <f t="shared" si="412"/>
        <v>0</v>
      </c>
      <c r="AY1052" s="71"/>
      <c r="AZ1052" s="71"/>
      <c r="BA1052" s="71">
        <f t="shared" si="413"/>
        <v>0</v>
      </c>
      <c r="BI1052" s="71"/>
      <c r="BJ1052" s="71"/>
      <c r="BK1052" s="71">
        <f t="shared" si="414"/>
        <v>0</v>
      </c>
      <c r="BM1052" s="71"/>
      <c r="BN1052" s="71"/>
      <c r="BO1052" s="71">
        <f t="shared" si="415"/>
        <v>0</v>
      </c>
      <c r="BQ1052" s="71"/>
      <c r="BR1052" s="71"/>
      <c r="BS1052" s="138">
        <f t="shared" si="416"/>
        <v>0</v>
      </c>
      <c r="BU1052" s="71"/>
      <c r="BV1052" s="71"/>
      <c r="BW1052" s="71">
        <f t="shared" si="417"/>
        <v>0</v>
      </c>
      <c r="BZ1052" s="71"/>
      <c r="CA1052" s="71"/>
      <c r="CB1052" s="71">
        <f t="shared" si="418"/>
        <v>0</v>
      </c>
      <c r="CD1052" s="71"/>
      <c r="CE1052" s="71"/>
      <c r="CF1052" s="71">
        <f t="shared" si="419"/>
        <v>0</v>
      </c>
      <c r="CH1052" s="71"/>
      <c r="CI1052" s="71"/>
      <c r="CJ1052" s="138">
        <f t="shared" si="420"/>
        <v>0</v>
      </c>
      <c r="CL1052" s="71"/>
      <c r="CM1052" s="71"/>
      <c r="CN1052" s="71">
        <f t="shared" si="421"/>
        <v>0</v>
      </c>
      <c r="CS1052" s="102">
        <f t="shared" si="422"/>
        <v>0</v>
      </c>
      <c r="CT1052" s="102">
        <f t="shared" si="423"/>
        <v>0</v>
      </c>
    </row>
    <row r="1053" spans="9:104" x14ac:dyDescent="0.15">
      <c r="I1053" s="64">
        <f t="shared" si="403"/>
        <v>0</v>
      </c>
      <c r="Y1053" s="114">
        <f t="shared" si="406"/>
        <v>0</v>
      </c>
      <c r="AC1053" s="64">
        <f t="shared" si="407"/>
        <v>0</v>
      </c>
      <c r="AE1053" s="71"/>
      <c r="AF1053" s="71"/>
      <c r="AG1053" s="71">
        <f t="shared" si="408"/>
        <v>0</v>
      </c>
      <c r="AK1053" s="64">
        <f t="shared" si="409"/>
        <v>0</v>
      </c>
      <c r="AM1053" s="71"/>
      <c r="AN1053" s="71"/>
      <c r="AO1053" s="71">
        <f t="shared" si="410"/>
        <v>0</v>
      </c>
      <c r="AQ1053" s="71"/>
      <c r="AR1053" s="71"/>
      <c r="AS1053" s="71">
        <f t="shared" si="411"/>
        <v>0</v>
      </c>
      <c r="AU1053" s="71"/>
      <c r="AV1053" s="71"/>
      <c r="AW1053" s="71">
        <f t="shared" si="412"/>
        <v>0</v>
      </c>
      <c r="AY1053" s="71"/>
      <c r="AZ1053" s="71"/>
      <c r="BA1053" s="71">
        <f t="shared" si="413"/>
        <v>0</v>
      </c>
      <c r="BI1053" s="71"/>
      <c r="BJ1053" s="71"/>
      <c r="BK1053" s="71">
        <f t="shared" si="414"/>
        <v>0</v>
      </c>
      <c r="BM1053" s="71"/>
      <c r="BN1053" s="71"/>
      <c r="BO1053" s="71">
        <f t="shared" si="415"/>
        <v>0</v>
      </c>
      <c r="BQ1053" s="71"/>
      <c r="BR1053" s="71"/>
      <c r="BS1053" s="138">
        <f t="shared" si="416"/>
        <v>0</v>
      </c>
      <c r="BU1053" s="71"/>
      <c r="BV1053" s="71"/>
      <c r="BW1053" s="71">
        <f t="shared" si="417"/>
        <v>0</v>
      </c>
      <c r="BZ1053" s="71"/>
      <c r="CA1053" s="71"/>
      <c r="CB1053" s="71">
        <f t="shared" si="418"/>
        <v>0</v>
      </c>
      <c r="CD1053" s="71"/>
      <c r="CE1053" s="71"/>
      <c r="CF1053" s="71">
        <f t="shared" si="419"/>
        <v>0</v>
      </c>
      <c r="CH1053" s="71"/>
      <c r="CI1053" s="71"/>
      <c r="CJ1053" s="138">
        <f t="shared" si="420"/>
        <v>0</v>
      </c>
      <c r="CL1053" s="71"/>
      <c r="CM1053" s="71"/>
      <c r="CN1053" s="71">
        <f t="shared" si="421"/>
        <v>0</v>
      </c>
      <c r="CS1053" s="102">
        <f t="shared" si="422"/>
        <v>0</v>
      </c>
      <c r="CT1053" s="102">
        <f t="shared" si="423"/>
        <v>0</v>
      </c>
    </row>
    <row r="1054" spans="9:104" x14ac:dyDescent="0.15">
      <c r="I1054" s="64">
        <f t="shared" si="403"/>
        <v>0</v>
      </c>
      <c r="Y1054" s="114">
        <f t="shared" si="406"/>
        <v>0</v>
      </c>
      <c r="AC1054" s="64">
        <f t="shared" si="407"/>
        <v>0</v>
      </c>
      <c r="AE1054" s="71"/>
      <c r="AF1054" s="71"/>
      <c r="AG1054" s="71">
        <f t="shared" si="408"/>
        <v>0</v>
      </c>
      <c r="AK1054" s="64">
        <f t="shared" si="409"/>
        <v>0</v>
      </c>
      <c r="AM1054" s="71"/>
      <c r="AN1054" s="71"/>
      <c r="AO1054" s="71">
        <f t="shared" si="410"/>
        <v>0</v>
      </c>
      <c r="AQ1054" s="71"/>
      <c r="AR1054" s="71"/>
      <c r="AS1054" s="71">
        <f t="shared" si="411"/>
        <v>0</v>
      </c>
      <c r="AU1054" s="71"/>
      <c r="AV1054" s="71"/>
      <c r="AW1054" s="71">
        <f t="shared" si="412"/>
        <v>0</v>
      </c>
      <c r="AY1054" s="71"/>
      <c r="AZ1054" s="71"/>
      <c r="BA1054" s="71">
        <f t="shared" si="413"/>
        <v>0</v>
      </c>
      <c r="BI1054" s="71"/>
      <c r="BJ1054" s="71"/>
      <c r="BK1054" s="71">
        <f t="shared" si="414"/>
        <v>0</v>
      </c>
      <c r="BM1054" s="71"/>
      <c r="BN1054" s="71"/>
      <c r="BO1054" s="71">
        <f t="shared" si="415"/>
        <v>0</v>
      </c>
      <c r="BQ1054" s="71"/>
      <c r="BR1054" s="71"/>
      <c r="BS1054" s="138">
        <f t="shared" si="416"/>
        <v>0</v>
      </c>
      <c r="BU1054" s="71"/>
      <c r="BV1054" s="71"/>
      <c r="BW1054" s="71">
        <f t="shared" si="417"/>
        <v>0</v>
      </c>
      <c r="BZ1054" s="71"/>
      <c r="CA1054" s="71"/>
      <c r="CB1054" s="71">
        <f t="shared" si="418"/>
        <v>0</v>
      </c>
      <c r="CD1054" s="71"/>
      <c r="CE1054" s="71"/>
      <c r="CF1054" s="71">
        <f t="shared" si="419"/>
        <v>0</v>
      </c>
      <c r="CH1054" s="71"/>
      <c r="CI1054" s="71"/>
      <c r="CJ1054" s="138">
        <f t="shared" si="420"/>
        <v>0</v>
      </c>
      <c r="CL1054" s="71"/>
      <c r="CM1054" s="71"/>
      <c r="CN1054" s="71">
        <f t="shared" si="421"/>
        <v>0</v>
      </c>
      <c r="CS1054" s="102">
        <f t="shared" si="422"/>
        <v>0</v>
      </c>
      <c r="CT1054" s="102">
        <f t="shared" si="423"/>
        <v>0</v>
      </c>
    </row>
    <row r="1055" spans="9:104" x14ac:dyDescent="0.15">
      <c r="I1055" s="64">
        <f t="shared" si="403"/>
        <v>0</v>
      </c>
      <c r="Y1055" s="114">
        <f t="shared" si="406"/>
        <v>0</v>
      </c>
      <c r="AC1055" s="64">
        <f t="shared" si="407"/>
        <v>0</v>
      </c>
      <c r="AE1055" s="71"/>
      <c r="AF1055" s="71"/>
      <c r="AG1055" s="71">
        <f t="shared" si="408"/>
        <v>0</v>
      </c>
      <c r="AK1055" s="64">
        <f t="shared" si="409"/>
        <v>0</v>
      </c>
      <c r="AM1055" s="71"/>
      <c r="AN1055" s="71"/>
      <c r="AO1055" s="71">
        <f t="shared" si="410"/>
        <v>0</v>
      </c>
      <c r="AQ1055" s="71"/>
      <c r="AR1055" s="71"/>
      <c r="AS1055" s="71">
        <f t="shared" si="411"/>
        <v>0</v>
      </c>
      <c r="AU1055" s="71"/>
      <c r="AV1055" s="71"/>
      <c r="AW1055" s="71">
        <f t="shared" si="412"/>
        <v>0</v>
      </c>
      <c r="AY1055" s="71"/>
      <c r="AZ1055" s="71"/>
      <c r="BA1055" s="71">
        <f t="shared" si="413"/>
        <v>0</v>
      </c>
      <c r="BI1055" s="71"/>
      <c r="BJ1055" s="71"/>
      <c r="BK1055" s="71">
        <f t="shared" si="414"/>
        <v>0</v>
      </c>
      <c r="BM1055" s="71"/>
      <c r="BN1055" s="71"/>
      <c r="BO1055" s="71">
        <f t="shared" si="415"/>
        <v>0</v>
      </c>
      <c r="BQ1055" s="71"/>
      <c r="BR1055" s="71"/>
      <c r="BS1055" s="138">
        <f t="shared" si="416"/>
        <v>0</v>
      </c>
      <c r="BU1055" s="71"/>
      <c r="BV1055" s="71"/>
      <c r="BW1055" s="71">
        <f t="shared" si="417"/>
        <v>0</v>
      </c>
      <c r="BZ1055" s="71"/>
      <c r="CA1055" s="71"/>
      <c r="CB1055" s="71">
        <f t="shared" si="418"/>
        <v>0</v>
      </c>
      <c r="CD1055" s="71"/>
      <c r="CE1055" s="71"/>
      <c r="CF1055" s="71">
        <f t="shared" si="419"/>
        <v>0</v>
      </c>
      <c r="CH1055" s="71"/>
      <c r="CI1055" s="71"/>
      <c r="CJ1055" s="138">
        <f t="shared" si="420"/>
        <v>0</v>
      </c>
      <c r="CL1055" s="71"/>
      <c r="CM1055" s="71"/>
      <c r="CN1055" s="71">
        <f t="shared" si="421"/>
        <v>0</v>
      </c>
      <c r="CS1055" s="102">
        <f t="shared" si="422"/>
        <v>0</v>
      </c>
      <c r="CT1055" s="102">
        <f t="shared" si="423"/>
        <v>0</v>
      </c>
    </row>
    <row r="1056" spans="9:104" x14ac:dyDescent="0.15">
      <c r="I1056" s="64">
        <f t="shared" si="403"/>
        <v>0</v>
      </c>
      <c r="Y1056" s="114">
        <f t="shared" si="406"/>
        <v>0</v>
      </c>
      <c r="AC1056" s="64">
        <f t="shared" si="407"/>
        <v>0</v>
      </c>
      <c r="AE1056" s="71"/>
      <c r="AF1056" s="71"/>
      <c r="AG1056" s="71">
        <f t="shared" si="408"/>
        <v>0</v>
      </c>
      <c r="AK1056" s="64">
        <f t="shared" si="409"/>
        <v>0</v>
      </c>
      <c r="AM1056" s="71"/>
      <c r="AN1056" s="71"/>
      <c r="AO1056" s="71">
        <f t="shared" si="410"/>
        <v>0</v>
      </c>
      <c r="AQ1056" s="71"/>
      <c r="AR1056" s="71"/>
      <c r="AS1056" s="71">
        <f t="shared" si="411"/>
        <v>0</v>
      </c>
      <c r="AU1056" s="71"/>
      <c r="AV1056" s="71"/>
      <c r="AW1056" s="71">
        <f t="shared" si="412"/>
        <v>0</v>
      </c>
      <c r="AY1056" s="71"/>
      <c r="AZ1056" s="71"/>
      <c r="BA1056" s="71">
        <f t="shared" si="413"/>
        <v>0</v>
      </c>
      <c r="BI1056" s="71"/>
      <c r="BJ1056" s="71"/>
      <c r="BK1056" s="71">
        <f t="shared" si="414"/>
        <v>0</v>
      </c>
      <c r="BM1056" s="71"/>
      <c r="BN1056" s="71"/>
      <c r="BO1056" s="71">
        <f t="shared" si="415"/>
        <v>0</v>
      </c>
      <c r="BQ1056" s="71"/>
      <c r="BR1056" s="71"/>
      <c r="BS1056" s="138">
        <f t="shared" si="416"/>
        <v>0</v>
      </c>
      <c r="BU1056" s="71"/>
      <c r="BV1056" s="71"/>
      <c r="BW1056" s="71">
        <f t="shared" si="417"/>
        <v>0</v>
      </c>
      <c r="BZ1056" s="71"/>
      <c r="CA1056" s="71"/>
      <c r="CB1056" s="71">
        <f t="shared" si="418"/>
        <v>0</v>
      </c>
      <c r="CD1056" s="71"/>
      <c r="CE1056" s="71"/>
      <c r="CF1056" s="71">
        <f t="shared" si="419"/>
        <v>0</v>
      </c>
      <c r="CH1056" s="71"/>
      <c r="CI1056" s="71"/>
      <c r="CJ1056" s="138">
        <f t="shared" si="420"/>
        <v>0</v>
      </c>
      <c r="CL1056" s="71"/>
      <c r="CM1056" s="71"/>
      <c r="CN1056" s="71">
        <f t="shared" si="421"/>
        <v>0</v>
      </c>
      <c r="CS1056" s="102">
        <f t="shared" si="422"/>
        <v>0</v>
      </c>
      <c r="CT1056" s="102">
        <f t="shared" si="423"/>
        <v>0</v>
      </c>
    </row>
    <row r="1057" spans="9:98" x14ac:dyDescent="0.15">
      <c r="I1057" s="64">
        <f t="shared" si="403"/>
        <v>0</v>
      </c>
      <c r="Y1057" s="114">
        <f t="shared" si="406"/>
        <v>0</v>
      </c>
      <c r="AC1057" s="64">
        <f t="shared" si="407"/>
        <v>0</v>
      </c>
      <c r="AE1057" s="71"/>
      <c r="AF1057" s="71"/>
      <c r="AG1057" s="71">
        <f t="shared" si="408"/>
        <v>0</v>
      </c>
      <c r="AK1057" s="64">
        <f t="shared" si="409"/>
        <v>0</v>
      </c>
      <c r="AM1057" s="71"/>
      <c r="AN1057" s="71"/>
      <c r="AO1057" s="71">
        <f t="shared" si="410"/>
        <v>0</v>
      </c>
      <c r="AQ1057" s="71"/>
      <c r="AR1057" s="71"/>
      <c r="AS1057" s="71">
        <f t="shared" si="411"/>
        <v>0</v>
      </c>
      <c r="AU1057" s="71"/>
      <c r="AV1057" s="71"/>
      <c r="AW1057" s="71">
        <f t="shared" si="412"/>
        <v>0</v>
      </c>
      <c r="AY1057" s="71"/>
      <c r="AZ1057" s="71"/>
      <c r="BA1057" s="71">
        <f t="shared" si="413"/>
        <v>0</v>
      </c>
      <c r="BI1057" s="71"/>
      <c r="BJ1057" s="71"/>
      <c r="BK1057" s="71">
        <f t="shared" si="414"/>
        <v>0</v>
      </c>
      <c r="BM1057" s="71"/>
      <c r="BN1057" s="71"/>
      <c r="BO1057" s="71">
        <f t="shared" si="415"/>
        <v>0</v>
      </c>
      <c r="BQ1057" s="71"/>
      <c r="BR1057" s="71"/>
      <c r="BS1057" s="138">
        <f t="shared" si="416"/>
        <v>0</v>
      </c>
      <c r="BU1057" s="71"/>
      <c r="BV1057" s="71"/>
      <c r="BW1057" s="71">
        <f t="shared" si="417"/>
        <v>0</v>
      </c>
      <c r="BZ1057" s="71"/>
      <c r="CA1057" s="71"/>
      <c r="CB1057" s="71">
        <f t="shared" si="418"/>
        <v>0</v>
      </c>
      <c r="CD1057" s="71"/>
      <c r="CE1057" s="71"/>
      <c r="CF1057" s="71">
        <f t="shared" si="419"/>
        <v>0</v>
      </c>
      <c r="CH1057" s="71"/>
      <c r="CI1057" s="71"/>
      <c r="CJ1057" s="138">
        <f t="shared" si="420"/>
        <v>0</v>
      </c>
      <c r="CL1057" s="71"/>
      <c r="CM1057" s="71"/>
      <c r="CN1057" s="71">
        <f t="shared" si="421"/>
        <v>0</v>
      </c>
      <c r="CS1057" s="102">
        <f t="shared" si="422"/>
        <v>0</v>
      </c>
      <c r="CT1057" s="102">
        <f t="shared" si="423"/>
        <v>0</v>
      </c>
    </row>
    <row r="1058" spans="9:98" x14ac:dyDescent="0.15">
      <c r="I1058" s="64">
        <f t="shared" si="403"/>
        <v>0</v>
      </c>
      <c r="Y1058" s="114">
        <f t="shared" si="406"/>
        <v>0</v>
      </c>
      <c r="AC1058" s="64">
        <f t="shared" si="407"/>
        <v>0</v>
      </c>
      <c r="AE1058" s="71"/>
      <c r="AF1058" s="71"/>
      <c r="AG1058" s="71">
        <f t="shared" si="408"/>
        <v>0</v>
      </c>
      <c r="AK1058" s="64">
        <f t="shared" si="409"/>
        <v>0</v>
      </c>
      <c r="AM1058" s="71"/>
      <c r="AN1058" s="71"/>
      <c r="AO1058" s="71">
        <f t="shared" si="410"/>
        <v>0</v>
      </c>
      <c r="AQ1058" s="71"/>
      <c r="AR1058" s="71"/>
      <c r="AS1058" s="71">
        <f t="shared" si="411"/>
        <v>0</v>
      </c>
      <c r="AU1058" s="71"/>
      <c r="AV1058" s="71"/>
      <c r="AW1058" s="71">
        <f t="shared" si="412"/>
        <v>0</v>
      </c>
      <c r="AY1058" s="71"/>
      <c r="AZ1058" s="71"/>
      <c r="BA1058" s="71">
        <f t="shared" si="413"/>
        <v>0</v>
      </c>
      <c r="BI1058" s="71"/>
      <c r="BJ1058" s="71"/>
      <c r="BK1058" s="71">
        <f t="shared" si="414"/>
        <v>0</v>
      </c>
      <c r="BM1058" s="71"/>
      <c r="BN1058" s="71"/>
      <c r="BO1058" s="71">
        <f t="shared" si="415"/>
        <v>0</v>
      </c>
      <c r="BQ1058" s="71"/>
      <c r="BR1058" s="71"/>
      <c r="BS1058" s="138">
        <f t="shared" si="416"/>
        <v>0</v>
      </c>
      <c r="BU1058" s="71"/>
      <c r="BV1058" s="71"/>
      <c r="BW1058" s="71">
        <f t="shared" si="417"/>
        <v>0</v>
      </c>
      <c r="BZ1058" s="71"/>
      <c r="CA1058" s="71"/>
      <c r="CB1058" s="71">
        <f t="shared" si="418"/>
        <v>0</v>
      </c>
      <c r="CD1058" s="71"/>
      <c r="CE1058" s="71"/>
      <c r="CF1058" s="71">
        <f t="shared" si="419"/>
        <v>0</v>
      </c>
      <c r="CH1058" s="71"/>
      <c r="CI1058" s="71"/>
      <c r="CJ1058" s="138">
        <f t="shared" si="420"/>
        <v>0</v>
      </c>
      <c r="CL1058" s="71"/>
      <c r="CM1058" s="71"/>
      <c r="CN1058" s="71">
        <f t="shared" si="421"/>
        <v>0</v>
      </c>
      <c r="CS1058" s="102">
        <f t="shared" si="422"/>
        <v>0</v>
      </c>
      <c r="CT1058" s="102">
        <f t="shared" si="423"/>
        <v>0</v>
      </c>
    </row>
    <row r="1059" spans="9:98" x14ac:dyDescent="0.15">
      <c r="I1059" s="64">
        <f t="shared" si="403"/>
        <v>0</v>
      </c>
      <c r="Y1059" s="114">
        <f t="shared" si="406"/>
        <v>0</v>
      </c>
      <c r="AC1059" s="64">
        <f t="shared" si="407"/>
        <v>0</v>
      </c>
      <c r="AE1059" s="71"/>
      <c r="AF1059" s="71"/>
      <c r="AG1059" s="71">
        <f t="shared" si="408"/>
        <v>0</v>
      </c>
      <c r="AK1059" s="64">
        <f t="shared" si="409"/>
        <v>0</v>
      </c>
      <c r="AM1059" s="71"/>
      <c r="AN1059" s="71"/>
      <c r="AO1059" s="71">
        <f t="shared" si="410"/>
        <v>0</v>
      </c>
      <c r="AQ1059" s="71"/>
      <c r="AR1059" s="71"/>
      <c r="AS1059" s="71">
        <f t="shared" si="411"/>
        <v>0</v>
      </c>
      <c r="AU1059" s="71"/>
      <c r="AV1059" s="71"/>
      <c r="AW1059" s="71">
        <f t="shared" si="412"/>
        <v>0</v>
      </c>
      <c r="AY1059" s="71"/>
      <c r="AZ1059" s="71"/>
      <c r="BA1059" s="71">
        <f t="shared" si="413"/>
        <v>0</v>
      </c>
      <c r="BI1059" s="71"/>
      <c r="BJ1059" s="71"/>
      <c r="BK1059" s="71">
        <f t="shared" si="414"/>
        <v>0</v>
      </c>
      <c r="BM1059" s="71"/>
      <c r="BN1059" s="71"/>
      <c r="BO1059" s="71">
        <f t="shared" si="415"/>
        <v>0</v>
      </c>
      <c r="BQ1059" s="71"/>
      <c r="BR1059" s="71"/>
      <c r="BS1059" s="138">
        <f t="shared" si="416"/>
        <v>0</v>
      </c>
      <c r="BU1059" s="71"/>
      <c r="BV1059" s="71"/>
      <c r="BW1059" s="71">
        <f t="shared" si="417"/>
        <v>0</v>
      </c>
      <c r="BZ1059" s="71"/>
      <c r="CA1059" s="71"/>
      <c r="CB1059" s="71">
        <f t="shared" si="418"/>
        <v>0</v>
      </c>
      <c r="CD1059" s="71"/>
      <c r="CE1059" s="71"/>
      <c r="CF1059" s="71">
        <f t="shared" si="419"/>
        <v>0</v>
      </c>
      <c r="CH1059" s="71"/>
      <c r="CI1059" s="71"/>
      <c r="CJ1059" s="138">
        <f t="shared" si="420"/>
        <v>0</v>
      </c>
      <c r="CL1059" s="71"/>
      <c r="CM1059" s="71"/>
      <c r="CN1059" s="71">
        <f t="shared" si="421"/>
        <v>0</v>
      </c>
      <c r="CS1059" s="102">
        <f t="shared" si="422"/>
        <v>0</v>
      </c>
      <c r="CT1059" s="102">
        <f t="shared" si="423"/>
        <v>0</v>
      </c>
    </row>
    <row r="1060" spans="9:98" x14ac:dyDescent="0.15">
      <c r="I1060" s="64">
        <f t="shared" si="403"/>
        <v>0</v>
      </c>
      <c r="Y1060" s="114">
        <f t="shared" si="406"/>
        <v>0</v>
      </c>
      <c r="AC1060" s="64">
        <f t="shared" si="407"/>
        <v>0</v>
      </c>
      <c r="AE1060" s="71"/>
      <c r="AF1060" s="71"/>
      <c r="AG1060" s="71">
        <f t="shared" si="408"/>
        <v>0</v>
      </c>
      <c r="AK1060" s="64">
        <f t="shared" si="409"/>
        <v>0</v>
      </c>
      <c r="AM1060" s="71"/>
      <c r="AN1060" s="71"/>
      <c r="AO1060" s="71">
        <f t="shared" si="410"/>
        <v>0</v>
      </c>
      <c r="AQ1060" s="71"/>
      <c r="AR1060" s="71"/>
      <c r="AS1060" s="71">
        <f t="shared" si="411"/>
        <v>0</v>
      </c>
      <c r="AU1060" s="71"/>
      <c r="AV1060" s="71"/>
      <c r="AW1060" s="71">
        <f t="shared" si="412"/>
        <v>0</v>
      </c>
      <c r="AY1060" s="71"/>
      <c r="AZ1060" s="71"/>
      <c r="BA1060" s="71">
        <f t="shared" si="413"/>
        <v>0</v>
      </c>
      <c r="BI1060" s="71"/>
      <c r="BJ1060" s="71"/>
      <c r="BK1060" s="71">
        <f t="shared" si="414"/>
        <v>0</v>
      </c>
      <c r="BM1060" s="71"/>
      <c r="BN1060" s="71"/>
      <c r="BO1060" s="71">
        <f t="shared" si="415"/>
        <v>0</v>
      </c>
      <c r="BQ1060" s="71"/>
      <c r="BR1060" s="71"/>
      <c r="BS1060" s="138">
        <f t="shared" si="416"/>
        <v>0</v>
      </c>
      <c r="BU1060" s="71"/>
      <c r="BV1060" s="71"/>
      <c r="BW1060" s="71">
        <f t="shared" si="417"/>
        <v>0</v>
      </c>
      <c r="BZ1060" s="71"/>
      <c r="CA1060" s="71"/>
      <c r="CB1060" s="71">
        <f t="shared" si="418"/>
        <v>0</v>
      </c>
      <c r="CD1060" s="71"/>
      <c r="CE1060" s="71"/>
      <c r="CF1060" s="71">
        <f t="shared" si="419"/>
        <v>0</v>
      </c>
      <c r="CH1060" s="71"/>
      <c r="CI1060" s="71"/>
      <c r="CJ1060" s="138">
        <f t="shared" si="420"/>
        <v>0</v>
      </c>
      <c r="CL1060" s="71"/>
      <c r="CM1060" s="71"/>
      <c r="CN1060" s="71">
        <f t="shared" si="421"/>
        <v>0</v>
      </c>
      <c r="CS1060" s="102">
        <f t="shared" si="422"/>
        <v>0</v>
      </c>
      <c r="CT1060" s="102">
        <f t="shared" si="423"/>
        <v>0</v>
      </c>
    </row>
    <row r="1061" spans="9:98" x14ac:dyDescent="0.15">
      <c r="I1061" s="64">
        <f t="shared" si="403"/>
        <v>0</v>
      </c>
      <c r="Y1061" s="114">
        <f t="shared" si="406"/>
        <v>0</v>
      </c>
      <c r="AC1061" s="64">
        <f t="shared" si="407"/>
        <v>0</v>
      </c>
      <c r="AE1061" s="71"/>
      <c r="AF1061" s="71"/>
      <c r="AG1061" s="71">
        <f t="shared" si="408"/>
        <v>0</v>
      </c>
      <c r="AK1061" s="64">
        <f t="shared" si="409"/>
        <v>0</v>
      </c>
      <c r="AM1061" s="71"/>
      <c r="AN1061" s="71"/>
      <c r="AO1061" s="71">
        <f t="shared" si="410"/>
        <v>0</v>
      </c>
      <c r="AQ1061" s="71"/>
      <c r="AR1061" s="71"/>
      <c r="AS1061" s="71">
        <f t="shared" si="411"/>
        <v>0</v>
      </c>
      <c r="AU1061" s="71"/>
      <c r="AV1061" s="71"/>
      <c r="AW1061" s="71">
        <f t="shared" si="412"/>
        <v>0</v>
      </c>
      <c r="AY1061" s="71"/>
      <c r="AZ1061" s="71"/>
      <c r="BA1061" s="71">
        <f t="shared" si="413"/>
        <v>0</v>
      </c>
      <c r="BI1061" s="71"/>
      <c r="BJ1061" s="71"/>
      <c r="BK1061" s="71">
        <f t="shared" si="414"/>
        <v>0</v>
      </c>
      <c r="BM1061" s="71"/>
      <c r="BN1061" s="71"/>
      <c r="BO1061" s="71">
        <f t="shared" si="415"/>
        <v>0</v>
      </c>
      <c r="BQ1061" s="71"/>
      <c r="BR1061" s="71"/>
      <c r="BS1061" s="138">
        <f t="shared" si="416"/>
        <v>0</v>
      </c>
      <c r="BU1061" s="71"/>
      <c r="BV1061" s="71"/>
      <c r="BW1061" s="71">
        <f t="shared" si="417"/>
        <v>0</v>
      </c>
      <c r="BZ1061" s="71"/>
      <c r="CA1061" s="71"/>
      <c r="CB1061" s="71">
        <f t="shared" si="418"/>
        <v>0</v>
      </c>
      <c r="CD1061" s="71"/>
      <c r="CE1061" s="71"/>
      <c r="CF1061" s="71">
        <f t="shared" si="419"/>
        <v>0</v>
      </c>
      <c r="CH1061" s="71"/>
      <c r="CI1061" s="71"/>
      <c r="CJ1061" s="138">
        <f t="shared" si="420"/>
        <v>0</v>
      </c>
      <c r="CL1061" s="71"/>
      <c r="CM1061" s="71"/>
      <c r="CN1061" s="71">
        <f t="shared" si="421"/>
        <v>0</v>
      </c>
      <c r="CS1061" s="102">
        <f t="shared" si="422"/>
        <v>0</v>
      </c>
      <c r="CT1061" s="102">
        <f t="shared" si="423"/>
        <v>0</v>
      </c>
    </row>
    <row r="1062" spans="9:98" x14ac:dyDescent="0.15">
      <c r="I1062" s="64">
        <f t="shared" si="403"/>
        <v>0</v>
      </c>
      <c r="Y1062" s="114">
        <f t="shared" si="406"/>
        <v>0</v>
      </c>
      <c r="AC1062" s="64">
        <f t="shared" si="407"/>
        <v>0</v>
      </c>
      <c r="AE1062" s="71"/>
      <c r="AF1062" s="71"/>
      <c r="AG1062" s="71">
        <f t="shared" si="408"/>
        <v>0</v>
      </c>
      <c r="AK1062" s="64">
        <f t="shared" si="409"/>
        <v>0</v>
      </c>
      <c r="AM1062" s="71"/>
      <c r="AN1062" s="71"/>
      <c r="AO1062" s="71">
        <f t="shared" si="410"/>
        <v>0</v>
      </c>
      <c r="AQ1062" s="71"/>
      <c r="AR1062" s="71"/>
      <c r="AS1062" s="71">
        <f t="shared" si="411"/>
        <v>0</v>
      </c>
      <c r="AU1062" s="71"/>
      <c r="AV1062" s="71"/>
      <c r="AW1062" s="71">
        <f t="shared" si="412"/>
        <v>0</v>
      </c>
      <c r="AY1062" s="71"/>
      <c r="AZ1062" s="71"/>
      <c r="BA1062" s="71">
        <f t="shared" si="413"/>
        <v>0</v>
      </c>
      <c r="BI1062" s="71"/>
      <c r="BJ1062" s="71"/>
      <c r="BK1062" s="71">
        <f t="shared" si="414"/>
        <v>0</v>
      </c>
      <c r="BM1062" s="71"/>
      <c r="BN1062" s="71"/>
      <c r="BO1062" s="71">
        <f t="shared" si="415"/>
        <v>0</v>
      </c>
      <c r="BQ1062" s="71"/>
      <c r="BR1062" s="71"/>
      <c r="BS1062" s="138">
        <f t="shared" si="416"/>
        <v>0</v>
      </c>
      <c r="BU1062" s="71"/>
      <c r="BV1062" s="71"/>
      <c r="BW1062" s="71">
        <f t="shared" si="417"/>
        <v>0</v>
      </c>
      <c r="BZ1062" s="71"/>
      <c r="CA1062" s="71"/>
      <c r="CB1062" s="71">
        <f t="shared" si="418"/>
        <v>0</v>
      </c>
      <c r="CD1062" s="71"/>
      <c r="CE1062" s="71"/>
      <c r="CF1062" s="71">
        <f t="shared" si="419"/>
        <v>0</v>
      </c>
      <c r="CH1062" s="71"/>
      <c r="CI1062" s="71"/>
      <c r="CJ1062" s="138">
        <f t="shared" si="420"/>
        <v>0</v>
      </c>
      <c r="CL1062" s="71"/>
      <c r="CM1062" s="71"/>
      <c r="CN1062" s="71">
        <f t="shared" si="421"/>
        <v>0</v>
      </c>
      <c r="CT1062" s="102">
        <f t="shared" si="423"/>
        <v>0</v>
      </c>
    </row>
    <row r="1063" spans="9:98" x14ac:dyDescent="0.15">
      <c r="I1063" s="64">
        <f t="shared" si="403"/>
        <v>0</v>
      </c>
      <c r="Y1063" s="114">
        <f t="shared" si="406"/>
        <v>0</v>
      </c>
      <c r="AC1063" s="64">
        <f t="shared" si="407"/>
        <v>0</v>
      </c>
      <c r="AE1063" s="71"/>
      <c r="AF1063" s="71"/>
      <c r="AG1063" s="71">
        <f t="shared" si="408"/>
        <v>0</v>
      </c>
      <c r="AK1063" s="64">
        <f t="shared" si="409"/>
        <v>0</v>
      </c>
      <c r="AM1063" s="71"/>
      <c r="AN1063" s="71"/>
      <c r="AO1063" s="71">
        <f t="shared" si="410"/>
        <v>0</v>
      </c>
      <c r="AQ1063" s="71"/>
      <c r="AR1063" s="71"/>
      <c r="AS1063" s="71">
        <f t="shared" si="411"/>
        <v>0</v>
      </c>
      <c r="AU1063" s="71"/>
      <c r="AV1063" s="71"/>
      <c r="AW1063" s="71">
        <f t="shared" si="412"/>
        <v>0</v>
      </c>
      <c r="AY1063" s="71"/>
      <c r="AZ1063" s="71"/>
      <c r="BA1063" s="71">
        <f t="shared" si="413"/>
        <v>0</v>
      </c>
      <c r="BI1063" s="71"/>
      <c r="BJ1063" s="71"/>
      <c r="BK1063" s="71">
        <f t="shared" si="414"/>
        <v>0</v>
      </c>
      <c r="BM1063" s="71"/>
      <c r="BN1063" s="71"/>
      <c r="BO1063" s="71">
        <f t="shared" si="415"/>
        <v>0</v>
      </c>
      <c r="BQ1063" s="71"/>
      <c r="BR1063" s="71"/>
      <c r="BS1063" s="138">
        <f t="shared" si="416"/>
        <v>0</v>
      </c>
      <c r="BU1063" s="71"/>
      <c r="BV1063" s="71"/>
      <c r="BW1063" s="71">
        <f t="shared" si="417"/>
        <v>0</v>
      </c>
      <c r="BZ1063" s="71"/>
      <c r="CA1063" s="71"/>
      <c r="CB1063" s="71">
        <f t="shared" si="418"/>
        <v>0</v>
      </c>
      <c r="CD1063" s="71"/>
      <c r="CE1063" s="71"/>
      <c r="CF1063" s="71">
        <f t="shared" si="419"/>
        <v>0</v>
      </c>
      <c r="CH1063" s="71"/>
      <c r="CI1063" s="71"/>
      <c r="CJ1063" s="138">
        <f t="shared" si="420"/>
        <v>0</v>
      </c>
      <c r="CL1063" s="71"/>
      <c r="CM1063" s="71"/>
      <c r="CN1063" s="71">
        <f t="shared" si="421"/>
        <v>0</v>
      </c>
      <c r="CT1063" s="102">
        <f t="shared" si="423"/>
        <v>0</v>
      </c>
    </row>
    <row r="1064" spans="9:98" x14ac:dyDescent="0.15">
      <c r="I1064" s="64">
        <f t="shared" ref="I1064:I1116" si="425">F1065/2</f>
        <v>0</v>
      </c>
      <c r="Y1064" s="114">
        <f t="shared" si="406"/>
        <v>0</v>
      </c>
      <c r="AC1064" s="64">
        <f t="shared" si="407"/>
        <v>0</v>
      </c>
      <c r="AE1064" s="71"/>
      <c r="AF1064" s="71"/>
      <c r="AG1064" s="71">
        <f t="shared" si="408"/>
        <v>0</v>
      </c>
      <c r="AK1064" s="64">
        <f t="shared" si="409"/>
        <v>0</v>
      </c>
      <c r="AM1064" s="71"/>
      <c r="AN1064" s="71"/>
      <c r="AO1064" s="71">
        <f t="shared" si="410"/>
        <v>0</v>
      </c>
      <c r="AQ1064" s="71"/>
      <c r="AR1064" s="71"/>
      <c r="AS1064" s="71">
        <f t="shared" si="411"/>
        <v>0</v>
      </c>
      <c r="AU1064" s="71"/>
      <c r="AV1064" s="71"/>
      <c r="AW1064" s="71">
        <f t="shared" si="412"/>
        <v>0</v>
      </c>
      <c r="AY1064" s="71"/>
      <c r="AZ1064" s="71"/>
      <c r="BA1064" s="71">
        <f t="shared" si="413"/>
        <v>0</v>
      </c>
      <c r="BI1064" s="71"/>
      <c r="BJ1064" s="71"/>
      <c r="BK1064" s="71">
        <f t="shared" si="414"/>
        <v>0</v>
      </c>
      <c r="BM1064" s="71"/>
      <c r="BN1064" s="71"/>
      <c r="BO1064" s="71">
        <f t="shared" si="415"/>
        <v>0</v>
      </c>
      <c r="BQ1064" s="71"/>
      <c r="BR1064" s="71"/>
      <c r="BS1064" s="138">
        <f t="shared" si="416"/>
        <v>0</v>
      </c>
      <c r="BU1064" s="71"/>
      <c r="BV1064" s="71"/>
      <c r="BW1064" s="71">
        <f t="shared" si="417"/>
        <v>0</v>
      </c>
      <c r="BZ1064" s="71"/>
      <c r="CA1064" s="71"/>
      <c r="CB1064" s="71">
        <f t="shared" si="418"/>
        <v>0</v>
      </c>
      <c r="CD1064" s="71"/>
      <c r="CE1064" s="71"/>
      <c r="CF1064" s="71">
        <f t="shared" si="419"/>
        <v>0</v>
      </c>
      <c r="CH1064" s="71"/>
      <c r="CI1064" s="71"/>
      <c r="CJ1064" s="138">
        <f t="shared" si="420"/>
        <v>0</v>
      </c>
      <c r="CL1064" s="71"/>
      <c r="CM1064" s="71"/>
      <c r="CN1064" s="71">
        <f t="shared" si="421"/>
        <v>0</v>
      </c>
      <c r="CT1064" s="102">
        <f t="shared" si="423"/>
        <v>0</v>
      </c>
    </row>
    <row r="1065" spans="9:98" x14ac:dyDescent="0.15">
      <c r="I1065" s="64">
        <f t="shared" si="425"/>
        <v>0</v>
      </c>
      <c r="Y1065" s="114">
        <f t="shared" si="406"/>
        <v>0</v>
      </c>
      <c r="AC1065" s="64">
        <f t="shared" si="407"/>
        <v>0</v>
      </c>
      <c r="AE1065" s="71"/>
      <c r="AF1065" s="71"/>
      <c r="AG1065" s="71">
        <f t="shared" si="408"/>
        <v>0</v>
      </c>
      <c r="AK1065" s="64">
        <f t="shared" si="409"/>
        <v>0</v>
      </c>
      <c r="AM1065" s="71"/>
      <c r="AN1065" s="71"/>
      <c r="AO1065" s="71">
        <f t="shared" si="410"/>
        <v>0</v>
      </c>
      <c r="AQ1065" s="71"/>
      <c r="AR1065" s="71"/>
      <c r="AS1065" s="71">
        <f t="shared" si="411"/>
        <v>0</v>
      </c>
      <c r="AU1065" s="71"/>
      <c r="AV1065" s="71"/>
      <c r="AW1065" s="71">
        <f t="shared" si="412"/>
        <v>0</v>
      </c>
      <c r="AY1065" s="71"/>
      <c r="AZ1065" s="71"/>
      <c r="BA1065" s="71">
        <f t="shared" si="413"/>
        <v>0</v>
      </c>
      <c r="BI1065" s="71"/>
      <c r="BJ1065" s="71"/>
      <c r="BK1065" s="71">
        <f t="shared" si="414"/>
        <v>0</v>
      </c>
      <c r="BM1065" s="71"/>
      <c r="BN1065" s="71"/>
      <c r="BO1065" s="71">
        <f t="shared" si="415"/>
        <v>0</v>
      </c>
      <c r="BQ1065" s="71"/>
      <c r="BR1065" s="71"/>
      <c r="BS1065" s="138">
        <f t="shared" si="416"/>
        <v>0</v>
      </c>
      <c r="BU1065" s="71"/>
      <c r="BV1065" s="71"/>
      <c r="BW1065" s="71">
        <f t="shared" si="417"/>
        <v>0</v>
      </c>
      <c r="BZ1065" s="71"/>
      <c r="CA1065" s="71"/>
      <c r="CB1065" s="71">
        <f t="shared" si="418"/>
        <v>0</v>
      </c>
      <c r="CD1065" s="71"/>
      <c r="CE1065" s="71"/>
      <c r="CF1065" s="71">
        <f t="shared" si="419"/>
        <v>0</v>
      </c>
      <c r="CH1065" s="71"/>
      <c r="CI1065" s="71"/>
      <c r="CJ1065" s="138">
        <f t="shared" si="420"/>
        <v>0</v>
      </c>
      <c r="CL1065" s="71"/>
      <c r="CM1065" s="71"/>
      <c r="CN1065" s="71">
        <f t="shared" si="421"/>
        <v>0</v>
      </c>
      <c r="CT1065" s="102">
        <f t="shared" si="423"/>
        <v>0</v>
      </c>
    </row>
    <row r="1066" spans="9:98" x14ac:dyDescent="0.15">
      <c r="I1066" s="64">
        <f t="shared" si="425"/>
        <v>0</v>
      </c>
      <c r="Y1066" s="114">
        <f t="shared" si="406"/>
        <v>0</v>
      </c>
      <c r="AC1066" s="64">
        <f t="shared" si="407"/>
        <v>0</v>
      </c>
      <c r="AE1066" s="71"/>
      <c r="AF1066" s="71"/>
      <c r="AG1066" s="71">
        <f t="shared" si="408"/>
        <v>0</v>
      </c>
      <c r="AK1066" s="64">
        <f t="shared" si="409"/>
        <v>0</v>
      </c>
      <c r="AM1066" s="71"/>
      <c r="AN1066" s="71"/>
      <c r="AO1066" s="71">
        <f t="shared" si="410"/>
        <v>0</v>
      </c>
      <c r="AQ1066" s="71"/>
      <c r="AR1066" s="71"/>
      <c r="AS1066" s="71">
        <f t="shared" si="411"/>
        <v>0</v>
      </c>
      <c r="AU1066" s="71"/>
      <c r="AV1066" s="71"/>
      <c r="AW1066" s="71">
        <f t="shared" si="412"/>
        <v>0</v>
      </c>
      <c r="AY1066" s="71"/>
      <c r="AZ1066" s="71"/>
      <c r="BA1066" s="71">
        <f t="shared" si="413"/>
        <v>0</v>
      </c>
      <c r="BI1066" s="71"/>
      <c r="BJ1066" s="71"/>
      <c r="BK1066" s="71">
        <f t="shared" si="414"/>
        <v>0</v>
      </c>
      <c r="BM1066" s="71"/>
      <c r="BN1066" s="71"/>
      <c r="BO1066" s="71">
        <f t="shared" si="415"/>
        <v>0</v>
      </c>
      <c r="BQ1066" s="71"/>
      <c r="BR1066" s="71"/>
      <c r="BS1066" s="138">
        <f t="shared" si="416"/>
        <v>0</v>
      </c>
      <c r="BU1066" s="71"/>
      <c r="BV1066" s="71"/>
      <c r="BW1066" s="71">
        <f t="shared" si="417"/>
        <v>0</v>
      </c>
      <c r="BZ1066" s="71"/>
      <c r="CA1066" s="71"/>
      <c r="CB1066" s="71">
        <f t="shared" si="418"/>
        <v>0</v>
      </c>
      <c r="CD1066" s="71"/>
      <c r="CE1066" s="71"/>
      <c r="CF1066" s="71">
        <f t="shared" si="419"/>
        <v>0</v>
      </c>
      <c r="CH1066" s="71"/>
      <c r="CI1066" s="71"/>
      <c r="CJ1066" s="138">
        <f t="shared" si="420"/>
        <v>0</v>
      </c>
      <c r="CL1066" s="71"/>
      <c r="CM1066" s="71"/>
      <c r="CN1066" s="71">
        <f t="shared" si="421"/>
        <v>0</v>
      </c>
      <c r="CT1066" s="102">
        <f t="shared" si="423"/>
        <v>0</v>
      </c>
    </row>
    <row r="1067" spans="9:98" x14ac:dyDescent="0.15">
      <c r="I1067" s="64">
        <f t="shared" si="425"/>
        <v>0</v>
      </c>
      <c r="Y1067" s="114">
        <f t="shared" si="406"/>
        <v>0</v>
      </c>
      <c r="AC1067" s="64">
        <f t="shared" si="407"/>
        <v>0</v>
      </c>
      <c r="AE1067" s="71"/>
      <c r="AF1067" s="71"/>
      <c r="AG1067" s="71">
        <f t="shared" si="408"/>
        <v>0</v>
      </c>
      <c r="AK1067" s="64">
        <f t="shared" si="409"/>
        <v>0</v>
      </c>
      <c r="AM1067" s="71"/>
      <c r="AN1067" s="71"/>
      <c r="AO1067" s="71">
        <f t="shared" si="410"/>
        <v>0</v>
      </c>
      <c r="AQ1067" s="71"/>
      <c r="AR1067" s="71"/>
      <c r="AS1067" s="71">
        <f t="shared" si="411"/>
        <v>0</v>
      </c>
      <c r="AU1067" s="71"/>
      <c r="AV1067" s="71"/>
      <c r="AW1067" s="71">
        <f t="shared" si="412"/>
        <v>0</v>
      </c>
      <c r="AY1067" s="71"/>
      <c r="AZ1067" s="71"/>
      <c r="BA1067" s="71">
        <f t="shared" si="413"/>
        <v>0</v>
      </c>
      <c r="BI1067" s="71"/>
      <c r="BJ1067" s="71"/>
      <c r="BK1067" s="71">
        <f t="shared" si="414"/>
        <v>0</v>
      </c>
      <c r="BM1067" s="71"/>
      <c r="BN1067" s="71"/>
      <c r="BO1067" s="71">
        <f t="shared" si="415"/>
        <v>0</v>
      </c>
      <c r="BQ1067" s="71"/>
      <c r="BR1067" s="71"/>
      <c r="BS1067" s="138">
        <f t="shared" si="416"/>
        <v>0</v>
      </c>
      <c r="BU1067" s="71"/>
      <c r="BV1067" s="71"/>
      <c r="BW1067" s="71">
        <f t="shared" si="417"/>
        <v>0</v>
      </c>
      <c r="BZ1067" s="71"/>
      <c r="CA1067" s="71"/>
      <c r="CB1067" s="71">
        <f t="shared" si="418"/>
        <v>0</v>
      </c>
      <c r="CD1067" s="71"/>
      <c r="CE1067" s="71"/>
      <c r="CF1067" s="71">
        <f t="shared" si="419"/>
        <v>0</v>
      </c>
      <c r="CH1067" s="71"/>
      <c r="CI1067" s="71"/>
      <c r="CJ1067" s="138">
        <f t="shared" si="420"/>
        <v>0</v>
      </c>
      <c r="CL1067" s="71"/>
      <c r="CM1067" s="71"/>
      <c r="CN1067" s="71">
        <f t="shared" si="421"/>
        <v>0</v>
      </c>
      <c r="CT1067" s="102">
        <f t="shared" si="423"/>
        <v>0</v>
      </c>
    </row>
    <row r="1068" spans="9:98" x14ac:dyDescent="0.15">
      <c r="I1068" s="64">
        <f t="shared" si="425"/>
        <v>0</v>
      </c>
      <c r="Y1068" s="114">
        <f t="shared" si="406"/>
        <v>0</v>
      </c>
      <c r="AC1068" s="64">
        <f t="shared" si="407"/>
        <v>0</v>
      </c>
      <c r="AE1068" s="71"/>
      <c r="AF1068" s="71"/>
      <c r="AG1068" s="71">
        <f t="shared" si="408"/>
        <v>0</v>
      </c>
      <c r="AK1068" s="64">
        <f t="shared" si="409"/>
        <v>0</v>
      </c>
      <c r="AM1068" s="71"/>
      <c r="AN1068" s="71"/>
      <c r="AO1068" s="71">
        <f t="shared" si="410"/>
        <v>0</v>
      </c>
      <c r="AQ1068" s="71"/>
      <c r="AR1068" s="71"/>
      <c r="AS1068" s="71">
        <f t="shared" si="411"/>
        <v>0</v>
      </c>
      <c r="AU1068" s="71"/>
      <c r="AV1068" s="71"/>
      <c r="AW1068" s="71">
        <f t="shared" si="412"/>
        <v>0</v>
      </c>
      <c r="AY1068" s="71"/>
      <c r="AZ1068" s="71"/>
      <c r="BA1068" s="71">
        <f t="shared" si="413"/>
        <v>0</v>
      </c>
      <c r="BI1068" s="71"/>
      <c r="BJ1068" s="71"/>
      <c r="BK1068" s="71">
        <f t="shared" si="414"/>
        <v>0</v>
      </c>
      <c r="BM1068" s="71"/>
      <c r="BN1068" s="71"/>
      <c r="BO1068" s="71">
        <f t="shared" si="415"/>
        <v>0</v>
      </c>
      <c r="BQ1068" s="71"/>
      <c r="BR1068" s="71"/>
      <c r="BS1068" s="138">
        <f t="shared" si="416"/>
        <v>0</v>
      </c>
      <c r="BU1068" s="71"/>
      <c r="BV1068" s="71"/>
      <c r="BW1068" s="71">
        <f t="shared" si="417"/>
        <v>0</v>
      </c>
      <c r="BZ1068" s="71"/>
      <c r="CA1068" s="71"/>
      <c r="CB1068" s="71">
        <f t="shared" si="418"/>
        <v>0</v>
      </c>
      <c r="CD1068" s="71"/>
      <c r="CE1068" s="71"/>
      <c r="CF1068" s="71">
        <f t="shared" si="419"/>
        <v>0</v>
      </c>
      <c r="CH1068" s="71"/>
      <c r="CI1068" s="71"/>
      <c r="CJ1068" s="138">
        <f t="shared" si="420"/>
        <v>0</v>
      </c>
      <c r="CL1068" s="71"/>
      <c r="CM1068" s="71"/>
      <c r="CN1068" s="71">
        <f t="shared" si="421"/>
        <v>0</v>
      </c>
      <c r="CT1068" s="102">
        <f t="shared" si="423"/>
        <v>0</v>
      </c>
    </row>
    <row r="1069" spans="9:98" x14ac:dyDescent="0.15">
      <c r="I1069" s="64">
        <f t="shared" si="425"/>
        <v>0</v>
      </c>
      <c r="Y1069" s="114">
        <f t="shared" si="406"/>
        <v>0</v>
      </c>
      <c r="AC1069" s="64">
        <f t="shared" si="407"/>
        <v>0</v>
      </c>
      <c r="AE1069" s="71"/>
      <c r="AF1069" s="71"/>
      <c r="AG1069" s="71">
        <f t="shared" si="408"/>
        <v>0</v>
      </c>
      <c r="AK1069" s="64">
        <f t="shared" si="409"/>
        <v>0</v>
      </c>
      <c r="AM1069" s="71"/>
      <c r="AN1069" s="71"/>
      <c r="AO1069" s="71">
        <f t="shared" si="410"/>
        <v>0</v>
      </c>
      <c r="AQ1069" s="71"/>
      <c r="AR1069" s="71"/>
      <c r="AS1069" s="71">
        <f t="shared" si="411"/>
        <v>0</v>
      </c>
      <c r="AU1069" s="71"/>
      <c r="AV1069" s="71"/>
      <c r="AW1069" s="71">
        <f t="shared" si="412"/>
        <v>0</v>
      </c>
      <c r="AY1069" s="71"/>
      <c r="AZ1069" s="71"/>
      <c r="BA1069" s="71">
        <f t="shared" si="413"/>
        <v>0</v>
      </c>
      <c r="BI1069" s="71"/>
      <c r="BJ1069" s="71"/>
      <c r="BK1069" s="71">
        <f t="shared" si="414"/>
        <v>0</v>
      </c>
      <c r="BM1069" s="71"/>
      <c r="BN1069" s="71"/>
      <c r="BO1069" s="71">
        <f t="shared" si="415"/>
        <v>0</v>
      </c>
      <c r="BQ1069" s="71"/>
      <c r="BR1069" s="71"/>
      <c r="BS1069" s="138">
        <f t="shared" si="416"/>
        <v>0</v>
      </c>
      <c r="BU1069" s="71"/>
      <c r="BV1069" s="71"/>
      <c r="BW1069" s="71">
        <f t="shared" si="417"/>
        <v>0</v>
      </c>
      <c r="BZ1069" s="71"/>
      <c r="CA1069" s="71"/>
      <c r="CB1069" s="71">
        <f t="shared" si="418"/>
        <v>0</v>
      </c>
      <c r="CD1069" s="71"/>
      <c r="CE1069" s="71"/>
      <c r="CF1069" s="71">
        <f t="shared" si="419"/>
        <v>0</v>
      </c>
      <c r="CH1069" s="71"/>
      <c r="CI1069" s="71"/>
      <c r="CJ1069" s="138">
        <f t="shared" si="420"/>
        <v>0</v>
      </c>
      <c r="CL1069" s="71"/>
      <c r="CM1069" s="71"/>
      <c r="CN1069" s="71">
        <f t="shared" si="421"/>
        <v>0</v>
      </c>
      <c r="CT1069" s="102">
        <f t="shared" si="423"/>
        <v>0</v>
      </c>
    </row>
    <row r="1070" spans="9:98" x14ac:dyDescent="0.15">
      <c r="I1070" s="64">
        <f t="shared" si="425"/>
        <v>0</v>
      </c>
      <c r="Y1070" s="114">
        <f t="shared" si="406"/>
        <v>0</v>
      </c>
      <c r="AC1070" s="64">
        <f t="shared" si="407"/>
        <v>0</v>
      </c>
      <c r="AE1070" s="71"/>
      <c r="AF1070" s="71"/>
      <c r="AG1070" s="71">
        <f t="shared" si="408"/>
        <v>0</v>
      </c>
      <c r="AK1070" s="64">
        <f t="shared" si="409"/>
        <v>0</v>
      </c>
      <c r="AM1070" s="71"/>
      <c r="AN1070" s="71"/>
      <c r="AO1070" s="71">
        <f t="shared" si="410"/>
        <v>0</v>
      </c>
      <c r="AQ1070" s="71"/>
      <c r="AR1070" s="71"/>
      <c r="AS1070" s="71">
        <f t="shared" si="411"/>
        <v>0</v>
      </c>
      <c r="AU1070" s="71"/>
      <c r="AV1070" s="71"/>
      <c r="AW1070" s="71">
        <f t="shared" si="412"/>
        <v>0</v>
      </c>
      <c r="AY1070" s="71"/>
      <c r="AZ1070" s="71"/>
      <c r="BA1070" s="71">
        <f t="shared" si="413"/>
        <v>0</v>
      </c>
      <c r="BI1070" s="71"/>
      <c r="BJ1070" s="71"/>
      <c r="BK1070" s="71">
        <f t="shared" si="414"/>
        <v>0</v>
      </c>
      <c r="BM1070" s="71"/>
      <c r="BN1070" s="71"/>
      <c r="BO1070" s="71">
        <f t="shared" si="415"/>
        <v>0</v>
      </c>
      <c r="BQ1070" s="71"/>
      <c r="BR1070" s="71"/>
      <c r="BS1070" s="138">
        <f t="shared" si="416"/>
        <v>0</v>
      </c>
      <c r="BU1070" s="71"/>
      <c r="BV1070" s="71"/>
      <c r="BW1070" s="71">
        <f t="shared" si="417"/>
        <v>0</v>
      </c>
      <c r="BZ1070" s="71"/>
      <c r="CA1070" s="71"/>
      <c r="CB1070" s="71">
        <f t="shared" si="418"/>
        <v>0</v>
      </c>
      <c r="CD1070" s="71"/>
      <c r="CE1070" s="71"/>
      <c r="CF1070" s="71">
        <f t="shared" si="419"/>
        <v>0</v>
      </c>
      <c r="CH1070" s="71"/>
      <c r="CI1070" s="71"/>
      <c r="CJ1070" s="138">
        <f t="shared" si="420"/>
        <v>0</v>
      </c>
      <c r="CL1070" s="71"/>
      <c r="CM1070" s="71"/>
      <c r="CN1070" s="71">
        <f t="shared" si="421"/>
        <v>0</v>
      </c>
      <c r="CT1070" s="102">
        <f t="shared" si="423"/>
        <v>0</v>
      </c>
    </row>
    <row r="1071" spans="9:98" x14ac:dyDescent="0.15">
      <c r="I1071" s="64">
        <f t="shared" si="425"/>
        <v>0</v>
      </c>
      <c r="Y1071" s="114">
        <f t="shared" si="406"/>
        <v>0</v>
      </c>
      <c r="AC1071" s="64">
        <f t="shared" si="407"/>
        <v>0</v>
      </c>
      <c r="AE1071" s="71"/>
      <c r="AF1071" s="71"/>
      <c r="AG1071" s="71">
        <f t="shared" si="408"/>
        <v>0</v>
      </c>
      <c r="AK1071" s="64">
        <f t="shared" si="409"/>
        <v>0</v>
      </c>
      <c r="AM1071" s="71"/>
      <c r="AN1071" s="71"/>
      <c r="AO1071" s="71">
        <f t="shared" si="410"/>
        <v>0</v>
      </c>
      <c r="AQ1071" s="71"/>
      <c r="AR1071" s="71"/>
      <c r="AS1071" s="71">
        <f t="shared" si="411"/>
        <v>0</v>
      </c>
      <c r="AU1071" s="71"/>
      <c r="AV1071" s="71"/>
      <c r="AW1071" s="71">
        <f t="shared" si="412"/>
        <v>0</v>
      </c>
      <c r="AY1071" s="71"/>
      <c r="AZ1071" s="71"/>
      <c r="BA1071" s="71">
        <f t="shared" si="413"/>
        <v>0</v>
      </c>
      <c r="BI1071" s="71"/>
      <c r="BJ1071" s="71"/>
      <c r="BK1071" s="71">
        <f t="shared" si="414"/>
        <v>0</v>
      </c>
      <c r="BM1071" s="71"/>
      <c r="BN1071" s="71"/>
      <c r="BO1071" s="71">
        <f t="shared" si="415"/>
        <v>0</v>
      </c>
      <c r="BQ1071" s="71"/>
      <c r="BR1071" s="71"/>
      <c r="BS1071" s="138">
        <f t="shared" si="416"/>
        <v>0</v>
      </c>
      <c r="BU1071" s="71"/>
      <c r="BV1071" s="71"/>
      <c r="BW1071" s="71">
        <f t="shared" si="417"/>
        <v>0</v>
      </c>
      <c r="BZ1071" s="71"/>
      <c r="CA1071" s="71"/>
      <c r="CB1071" s="71">
        <f t="shared" si="418"/>
        <v>0</v>
      </c>
      <c r="CD1071" s="71"/>
      <c r="CE1071" s="71"/>
      <c r="CF1071" s="71">
        <f t="shared" si="419"/>
        <v>0</v>
      </c>
      <c r="CH1071" s="71"/>
      <c r="CI1071" s="71"/>
      <c r="CJ1071" s="138">
        <f t="shared" si="420"/>
        <v>0</v>
      </c>
      <c r="CL1071" s="71"/>
      <c r="CM1071" s="71"/>
      <c r="CN1071" s="71">
        <f t="shared" si="421"/>
        <v>0</v>
      </c>
      <c r="CT1071" s="102">
        <f t="shared" si="423"/>
        <v>0</v>
      </c>
    </row>
    <row r="1072" spans="9:98" x14ac:dyDescent="0.15">
      <c r="I1072" s="64">
        <f t="shared" si="425"/>
        <v>0</v>
      </c>
      <c r="Y1072" s="114">
        <f t="shared" si="406"/>
        <v>0</v>
      </c>
      <c r="AC1072" s="64">
        <f t="shared" si="407"/>
        <v>0</v>
      </c>
      <c r="AE1072" s="71"/>
      <c r="AF1072" s="71"/>
      <c r="AG1072" s="71">
        <f t="shared" si="408"/>
        <v>0</v>
      </c>
      <c r="AK1072" s="64">
        <f t="shared" si="409"/>
        <v>0</v>
      </c>
      <c r="AM1072" s="71"/>
      <c r="AN1072" s="71"/>
      <c r="AO1072" s="71">
        <f t="shared" si="410"/>
        <v>0</v>
      </c>
      <c r="AQ1072" s="71"/>
      <c r="AR1072" s="71"/>
      <c r="AS1072" s="71">
        <f t="shared" si="411"/>
        <v>0</v>
      </c>
      <c r="AU1072" s="71"/>
      <c r="AV1072" s="71"/>
      <c r="AW1072" s="71">
        <f t="shared" si="412"/>
        <v>0</v>
      </c>
      <c r="AY1072" s="71"/>
      <c r="AZ1072" s="71"/>
      <c r="BA1072" s="71">
        <f t="shared" si="413"/>
        <v>0</v>
      </c>
      <c r="BI1072" s="71"/>
      <c r="BJ1072" s="71"/>
      <c r="BK1072" s="71">
        <f t="shared" si="414"/>
        <v>0</v>
      </c>
      <c r="BM1072" s="71"/>
      <c r="BN1072" s="71"/>
      <c r="BO1072" s="71">
        <f t="shared" si="415"/>
        <v>0</v>
      </c>
      <c r="BQ1072" s="71"/>
      <c r="BR1072" s="71"/>
      <c r="BS1072" s="138">
        <f t="shared" si="416"/>
        <v>0</v>
      </c>
      <c r="BU1072" s="71"/>
      <c r="BV1072" s="71"/>
      <c r="BW1072" s="71">
        <f t="shared" si="417"/>
        <v>0</v>
      </c>
      <c r="BZ1072" s="71"/>
      <c r="CA1072" s="71"/>
      <c r="CB1072" s="71">
        <f t="shared" si="418"/>
        <v>0</v>
      </c>
      <c r="CD1072" s="71"/>
      <c r="CE1072" s="71"/>
      <c r="CF1072" s="71">
        <f t="shared" si="419"/>
        <v>0</v>
      </c>
      <c r="CH1072" s="71"/>
      <c r="CI1072" s="71"/>
      <c r="CJ1072" s="138">
        <f t="shared" si="420"/>
        <v>0</v>
      </c>
      <c r="CL1072" s="71"/>
      <c r="CM1072" s="71"/>
      <c r="CN1072" s="71">
        <f t="shared" si="421"/>
        <v>0</v>
      </c>
      <c r="CT1072" s="102">
        <f t="shared" si="423"/>
        <v>0</v>
      </c>
    </row>
    <row r="1073" spans="9:98" x14ac:dyDescent="0.15">
      <c r="I1073" s="64">
        <f t="shared" si="425"/>
        <v>0</v>
      </c>
      <c r="Y1073" s="114">
        <f t="shared" si="406"/>
        <v>0</v>
      </c>
      <c r="AC1073" s="64">
        <f t="shared" si="407"/>
        <v>0</v>
      </c>
      <c r="AE1073" s="71"/>
      <c r="AF1073" s="71"/>
      <c r="AG1073" s="71">
        <f t="shared" si="408"/>
        <v>0</v>
      </c>
      <c r="AK1073" s="64">
        <f t="shared" si="409"/>
        <v>0</v>
      </c>
      <c r="AM1073" s="71"/>
      <c r="AN1073" s="71"/>
      <c r="AO1073" s="71">
        <f t="shared" si="410"/>
        <v>0</v>
      </c>
      <c r="AQ1073" s="71"/>
      <c r="AR1073" s="71"/>
      <c r="AS1073" s="71">
        <f t="shared" si="411"/>
        <v>0</v>
      </c>
      <c r="AU1073" s="71"/>
      <c r="AV1073" s="71"/>
      <c r="AW1073" s="71">
        <f t="shared" si="412"/>
        <v>0</v>
      </c>
      <c r="AY1073" s="71"/>
      <c r="AZ1073" s="71"/>
      <c r="BA1073" s="71">
        <f t="shared" si="413"/>
        <v>0</v>
      </c>
      <c r="BI1073" s="71"/>
      <c r="BJ1073" s="71"/>
      <c r="BK1073" s="71">
        <f t="shared" si="414"/>
        <v>0</v>
      </c>
      <c r="BM1073" s="71"/>
      <c r="BN1073" s="71"/>
      <c r="BO1073" s="71">
        <f t="shared" si="415"/>
        <v>0</v>
      </c>
      <c r="BQ1073" s="71"/>
      <c r="BR1073" s="71"/>
      <c r="BS1073" s="138">
        <f t="shared" si="416"/>
        <v>0</v>
      </c>
      <c r="BU1073" s="71"/>
      <c r="BV1073" s="71"/>
      <c r="BW1073" s="71">
        <f t="shared" si="417"/>
        <v>0</v>
      </c>
      <c r="BZ1073" s="71"/>
      <c r="CA1073" s="71"/>
      <c r="CB1073" s="71">
        <f t="shared" si="418"/>
        <v>0</v>
      </c>
      <c r="CD1073" s="71"/>
      <c r="CE1073" s="71"/>
      <c r="CF1073" s="71">
        <f t="shared" si="419"/>
        <v>0</v>
      </c>
      <c r="CH1073" s="71"/>
      <c r="CI1073" s="71"/>
      <c r="CJ1073" s="138">
        <f t="shared" si="420"/>
        <v>0</v>
      </c>
      <c r="CL1073" s="71"/>
      <c r="CM1073" s="71"/>
      <c r="CN1073" s="71">
        <f t="shared" si="421"/>
        <v>0</v>
      </c>
      <c r="CT1073" s="102">
        <f t="shared" si="423"/>
        <v>0</v>
      </c>
    </row>
    <row r="1074" spans="9:98" x14ac:dyDescent="0.15">
      <c r="I1074" s="64">
        <f t="shared" si="425"/>
        <v>0</v>
      </c>
      <c r="Y1074" s="114">
        <f t="shared" si="406"/>
        <v>0</v>
      </c>
      <c r="AC1074" s="64">
        <f t="shared" si="407"/>
        <v>0</v>
      </c>
      <c r="AE1074" s="71"/>
      <c r="AF1074" s="71"/>
      <c r="AG1074" s="71">
        <f t="shared" si="408"/>
        <v>0</v>
      </c>
      <c r="AK1074" s="64">
        <f t="shared" si="409"/>
        <v>0</v>
      </c>
      <c r="AM1074" s="71"/>
      <c r="AN1074" s="71"/>
      <c r="AO1074" s="71">
        <f t="shared" si="410"/>
        <v>0</v>
      </c>
      <c r="AQ1074" s="71"/>
      <c r="AR1074" s="71"/>
      <c r="AS1074" s="71">
        <f t="shared" si="411"/>
        <v>0</v>
      </c>
      <c r="AU1074" s="71"/>
      <c r="AV1074" s="71"/>
      <c r="AW1074" s="71">
        <f t="shared" si="412"/>
        <v>0</v>
      </c>
      <c r="AY1074" s="71"/>
      <c r="AZ1074" s="71"/>
      <c r="BA1074" s="71">
        <f t="shared" si="413"/>
        <v>0</v>
      </c>
      <c r="BI1074" s="71"/>
      <c r="BJ1074" s="71"/>
      <c r="BK1074" s="71">
        <f t="shared" si="414"/>
        <v>0</v>
      </c>
      <c r="BM1074" s="71"/>
      <c r="BN1074" s="71"/>
      <c r="BO1074" s="71">
        <f t="shared" si="415"/>
        <v>0</v>
      </c>
      <c r="BQ1074" s="71"/>
      <c r="BR1074" s="71"/>
      <c r="BS1074" s="138">
        <f t="shared" si="416"/>
        <v>0</v>
      </c>
      <c r="BU1074" s="71"/>
      <c r="BV1074" s="71"/>
      <c r="BW1074" s="71">
        <f t="shared" si="417"/>
        <v>0</v>
      </c>
      <c r="BZ1074" s="71"/>
      <c r="CA1074" s="71"/>
      <c r="CB1074" s="71">
        <f t="shared" si="418"/>
        <v>0</v>
      </c>
      <c r="CD1074" s="71"/>
      <c r="CE1074" s="71"/>
      <c r="CF1074" s="71">
        <f t="shared" si="419"/>
        <v>0</v>
      </c>
      <c r="CH1074" s="71"/>
      <c r="CI1074" s="71"/>
      <c r="CJ1074" s="138">
        <f t="shared" si="420"/>
        <v>0</v>
      </c>
      <c r="CL1074" s="71"/>
      <c r="CM1074" s="71"/>
      <c r="CN1074" s="71">
        <f t="shared" si="421"/>
        <v>0</v>
      </c>
      <c r="CT1074" s="102">
        <f t="shared" si="423"/>
        <v>0</v>
      </c>
    </row>
    <row r="1075" spans="9:98" x14ac:dyDescent="0.15">
      <c r="I1075" s="64">
        <f t="shared" si="425"/>
        <v>0</v>
      </c>
      <c r="Y1075" s="114">
        <f t="shared" si="406"/>
        <v>0</v>
      </c>
      <c r="AC1075" s="64">
        <f t="shared" si="407"/>
        <v>0</v>
      </c>
      <c r="AE1075" s="71"/>
      <c r="AF1075" s="71"/>
      <c r="AG1075" s="71">
        <f t="shared" si="408"/>
        <v>0</v>
      </c>
      <c r="AK1075" s="64">
        <f t="shared" si="409"/>
        <v>0</v>
      </c>
      <c r="AM1075" s="71"/>
      <c r="AN1075" s="71"/>
      <c r="AO1075" s="71">
        <f t="shared" si="410"/>
        <v>0</v>
      </c>
      <c r="AQ1075" s="71"/>
      <c r="AR1075" s="71"/>
      <c r="AS1075" s="71">
        <f t="shared" si="411"/>
        <v>0</v>
      </c>
      <c r="AU1075" s="71"/>
      <c r="AV1075" s="71"/>
      <c r="AW1075" s="71">
        <f t="shared" si="412"/>
        <v>0</v>
      </c>
      <c r="AY1075" s="71"/>
      <c r="AZ1075" s="71"/>
      <c r="BA1075" s="71">
        <f t="shared" si="413"/>
        <v>0</v>
      </c>
      <c r="BI1075" s="71"/>
      <c r="BJ1075" s="71"/>
      <c r="BK1075" s="71">
        <f t="shared" si="414"/>
        <v>0</v>
      </c>
      <c r="BM1075" s="71"/>
      <c r="BN1075" s="71"/>
      <c r="BO1075" s="71">
        <f t="shared" si="415"/>
        <v>0</v>
      </c>
      <c r="BQ1075" s="71"/>
      <c r="BR1075" s="71"/>
      <c r="BS1075" s="138">
        <f t="shared" si="416"/>
        <v>0</v>
      </c>
      <c r="BU1075" s="71"/>
      <c r="BV1075" s="71"/>
      <c r="BW1075" s="71">
        <f t="shared" si="417"/>
        <v>0</v>
      </c>
      <c r="BZ1075" s="71"/>
      <c r="CA1075" s="71"/>
      <c r="CB1075" s="71">
        <f t="shared" si="418"/>
        <v>0</v>
      </c>
      <c r="CD1075" s="71"/>
      <c r="CE1075" s="71"/>
      <c r="CF1075" s="71">
        <f t="shared" si="419"/>
        <v>0</v>
      </c>
      <c r="CH1075" s="71"/>
      <c r="CI1075" s="71"/>
      <c r="CJ1075" s="138">
        <f t="shared" si="420"/>
        <v>0</v>
      </c>
      <c r="CL1075" s="71"/>
      <c r="CM1075" s="71"/>
      <c r="CN1075" s="71">
        <f t="shared" si="421"/>
        <v>0</v>
      </c>
      <c r="CT1075" s="102">
        <f t="shared" si="423"/>
        <v>0</v>
      </c>
    </row>
    <row r="1076" spans="9:98" x14ac:dyDescent="0.15">
      <c r="I1076" s="64">
        <f t="shared" si="425"/>
        <v>0</v>
      </c>
      <c r="Y1076" s="114">
        <f t="shared" si="406"/>
        <v>0</v>
      </c>
      <c r="AC1076" s="64">
        <f t="shared" si="407"/>
        <v>0</v>
      </c>
      <c r="AE1076" s="71"/>
      <c r="AF1076" s="71"/>
      <c r="AG1076" s="71">
        <f t="shared" si="408"/>
        <v>0</v>
      </c>
      <c r="AK1076" s="64">
        <f t="shared" si="409"/>
        <v>0</v>
      </c>
      <c r="AM1076" s="71"/>
      <c r="AN1076" s="71"/>
      <c r="AO1076" s="71">
        <f t="shared" si="410"/>
        <v>0</v>
      </c>
      <c r="AQ1076" s="71"/>
      <c r="AR1076" s="71"/>
      <c r="AS1076" s="71">
        <f t="shared" si="411"/>
        <v>0</v>
      </c>
      <c r="AU1076" s="71"/>
      <c r="AV1076" s="71"/>
      <c r="AW1076" s="71">
        <f t="shared" si="412"/>
        <v>0</v>
      </c>
      <c r="AY1076" s="71"/>
      <c r="AZ1076" s="71"/>
      <c r="BA1076" s="71">
        <f t="shared" si="413"/>
        <v>0</v>
      </c>
      <c r="BI1076" s="71"/>
      <c r="BJ1076" s="71"/>
      <c r="BK1076" s="71">
        <f t="shared" si="414"/>
        <v>0</v>
      </c>
      <c r="BM1076" s="71"/>
      <c r="BN1076" s="71"/>
      <c r="BO1076" s="71">
        <f t="shared" si="415"/>
        <v>0</v>
      </c>
      <c r="BQ1076" s="71"/>
      <c r="BR1076" s="71"/>
      <c r="BS1076" s="138">
        <f t="shared" si="416"/>
        <v>0</v>
      </c>
      <c r="BU1076" s="71"/>
      <c r="BV1076" s="71"/>
      <c r="BW1076" s="71">
        <f t="shared" si="417"/>
        <v>0</v>
      </c>
      <c r="BZ1076" s="71"/>
      <c r="CA1076" s="71"/>
      <c r="CB1076" s="71">
        <f t="shared" si="418"/>
        <v>0</v>
      </c>
      <c r="CD1076" s="71"/>
      <c r="CE1076" s="71"/>
      <c r="CF1076" s="71">
        <f t="shared" si="419"/>
        <v>0</v>
      </c>
      <c r="CH1076" s="71"/>
      <c r="CI1076" s="71"/>
      <c r="CJ1076" s="138">
        <f t="shared" si="420"/>
        <v>0</v>
      </c>
      <c r="CL1076" s="71"/>
      <c r="CM1076" s="71"/>
      <c r="CN1076" s="71">
        <f t="shared" si="421"/>
        <v>0</v>
      </c>
      <c r="CT1076" s="102">
        <f t="shared" si="423"/>
        <v>0</v>
      </c>
    </row>
    <row r="1077" spans="9:98" x14ac:dyDescent="0.15">
      <c r="I1077" s="64">
        <f t="shared" si="425"/>
        <v>0</v>
      </c>
      <c r="Y1077" s="114">
        <f t="shared" si="406"/>
        <v>0</v>
      </c>
      <c r="AC1077" s="64">
        <f t="shared" si="407"/>
        <v>0</v>
      </c>
      <c r="AE1077" s="71"/>
      <c r="AF1077" s="71"/>
      <c r="AG1077" s="71">
        <f t="shared" si="408"/>
        <v>0</v>
      </c>
      <c r="AK1077" s="64">
        <f t="shared" si="409"/>
        <v>0</v>
      </c>
      <c r="AM1077" s="71"/>
      <c r="AN1077" s="71"/>
      <c r="AO1077" s="71">
        <f t="shared" si="410"/>
        <v>0</v>
      </c>
      <c r="AQ1077" s="71"/>
      <c r="AR1077" s="71"/>
      <c r="AS1077" s="71">
        <f t="shared" si="411"/>
        <v>0</v>
      </c>
      <c r="AU1077" s="71"/>
      <c r="AV1077" s="71"/>
      <c r="AW1077" s="71">
        <f t="shared" si="412"/>
        <v>0</v>
      </c>
      <c r="AY1077" s="71"/>
      <c r="AZ1077" s="71"/>
      <c r="BA1077" s="71">
        <f t="shared" si="413"/>
        <v>0</v>
      </c>
      <c r="BI1077" s="71"/>
      <c r="BJ1077" s="71"/>
      <c r="BK1077" s="71">
        <f t="shared" si="414"/>
        <v>0</v>
      </c>
      <c r="BM1077" s="71"/>
      <c r="BN1077" s="71"/>
      <c r="BO1077" s="71">
        <f t="shared" si="415"/>
        <v>0</v>
      </c>
      <c r="BQ1077" s="71"/>
      <c r="BR1077" s="71"/>
      <c r="BS1077" s="138">
        <f t="shared" si="416"/>
        <v>0</v>
      </c>
      <c r="BU1077" s="71"/>
      <c r="BV1077" s="71"/>
      <c r="BW1077" s="71">
        <f t="shared" si="417"/>
        <v>0</v>
      </c>
      <c r="BZ1077" s="71"/>
      <c r="CA1077" s="71"/>
      <c r="CB1077" s="71">
        <f t="shared" si="418"/>
        <v>0</v>
      </c>
      <c r="CD1077" s="71"/>
      <c r="CE1077" s="71"/>
      <c r="CF1077" s="71">
        <f t="shared" si="419"/>
        <v>0</v>
      </c>
      <c r="CH1077" s="71"/>
      <c r="CI1077" s="71"/>
      <c r="CJ1077" s="138">
        <f t="shared" si="420"/>
        <v>0</v>
      </c>
      <c r="CL1077" s="71"/>
      <c r="CM1077" s="71"/>
      <c r="CN1077" s="71">
        <f t="shared" si="421"/>
        <v>0</v>
      </c>
      <c r="CT1077" s="102">
        <f t="shared" si="423"/>
        <v>0</v>
      </c>
    </row>
    <row r="1078" spans="9:98" x14ac:dyDescent="0.15">
      <c r="I1078" s="64">
        <f t="shared" si="425"/>
        <v>0</v>
      </c>
      <c r="Y1078" s="114">
        <f t="shared" si="406"/>
        <v>0</v>
      </c>
      <c r="AC1078" s="64">
        <f t="shared" si="407"/>
        <v>0</v>
      </c>
      <c r="AE1078" s="71"/>
      <c r="AF1078" s="71"/>
      <c r="AG1078" s="71">
        <f t="shared" si="408"/>
        <v>0</v>
      </c>
      <c r="AK1078" s="64">
        <f t="shared" si="409"/>
        <v>0</v>
      </c>
      <c r="AM1078" s="71"/>
      <c r="AN1078" s="71"/>
      <c r="AO1078" s="71">
        <f t="shared" si="410"/>
        <v>0</v>
      </c>
      <c r="AQ1078" s="71"/>
      <c r="AR1078" s="71"/>
      <c r="AS1078" s="71">
        <f t="shared" si="411"/>
        <v>0</v>
      </c>
      <c r="AU1078" s="71"/>
      <c r="AV1078" s="71"/>
      <c r="AW1078" s="71">
        <f t="shared" si="412"/>
        <v>0</v>
      </c>
      <c r="AY1078" s="71"/>
      <c r="AZ1078" s="71"/>
      <c r="BA1078" s="71">
        <f t="shared" si="413"/>
        <v>0</v>
      </c>
      <c r="BI1078" s="71"/>
      <c r="BJ1078" s="71"/>
      <c r="BK1078" s="71">
        <f t="shared" si="414"/>
        <v>0</v>
      </c>
      <c r="BM1078" s="71"/>
      <c r="BN1078" s="71"/>
      <c r="BO1078" s="71">
        <f t="shared" si="415"/>
        <v>0</v>
      </c>
      <c r="BQ1078" s="71"/>
      <c r="BR1078" s="71"/>
      <c r="BS1078" s="138">
        <f t="shared" si="416"/>
        <v>0</v>
      </c>
      <c r="BU1078" s="71"/>
      <c r="BV1078" s="71"/>
      <c r="BW1078" s="71">
        <f t="shared" si="417"/>
        <v>0</v>
      </c>
      <c r="BZ1078" s="71"/>
      <c r="CA1078" s="71"/>
      <c r="CB1078" s="71">
        <f t="shared" si="418"/>
        <v>0</v>
      </c>
      <c r="CD1078" s="71"/>
      <c r="CE1078" s="71"/>
      <c r="CF1078" s="71">
        <f t="shared" si="419"/>
        <v>0</v>
      </c>
      <c r="CH1078" s="71"/>
      <c r="CI1078" s="71"/>
      <c r="CJ1078" s="138">
        <f t="shared" si="420"/>
        <v>0</v>
      </c>
      <c r="CL1078" s="71"/>
      <c r="CM1078" s="71"/>
      <c r="CN1078" s="71">
        <f t="shared" si="421"/>
        <v>0</v>
      </c>
      <c r="CT1078" s="102">
        <f t="shared" si="423"/>
        <v>0</v>
      </c>
    </row>
    <row r="1079" spans="9:98" x14ac:dyDescent="0.15">
      <c r="I1079" s="64">
        <f t="shared" si="425"/>
        <v>0</v>
      </c>
      <c r="Y1079" s="114">
        <f t="shared" si="406"/>
        <v>0</v>
      </c>
      <c r="AC1079" s="64">
        <f t="shared" si="407"/>
        <v>0</v>
      </c>
      <c r="AE1079" s="71"/>
      <c r="AF1079" s="71"/>
      <c r="AG1079" s="71">
        <f t="shared" si="408"/>
        <v>0</v>
      </c>
      <c r="AK1079" s="64">
        <f t="shared" si="409"/>
        <v>0</v>
      </c>
      <c r="AM1079" s="71"/>
      <c r="AN1079" s="71"/>
      <c r="AO1079" s="71">
        <f t="shared" si="410"/>
        <v>0</v>
      </c>
      <c r="AQ1079" s="71"/>
      <c r="AR1079" s="71"/>
      <c r="AS1079" s="71">
        <f t="shared" si="411"/>
        <v>0</v>
      </c>
      <c r="AU1079" s="71"/>
      <c r="AV1079" s="71"/>
      <c r="AW1079" s="71">
        <f t="shared" si="412"/>
        <v>0</v>
      </c>
      <c r="AY1079" s="71"/>
      <c r="AZ1079" s="71"/>
      <c r="BA1079" s="71">
        <f t="shared" si="413"/>
        <v>0</v>
      </c>
      <c r="BI1079" s="71"/>
      <c r="BJ1079" s="71"/>
      <c r="BK1079" s="71">
        <f t="shared" si="414"/>
        <v>0</v>
      </c>
      <c r="BM1079" s="71"/>
      <c r="BN1079" s="71"/>
      <c r="BO1079" s="71">
        <f t="shared" si="415"/>
        <v>0</v>
      </c>
      <c r="BQ1079" s="71"/>
      <c r="BR1079" s="71"/>
      <c r="BS1079" s="138">
        <f t="shared" si="416"/>
        <v>0</v>
      </c>
      <c r="BU1079" s="71"/>
      <c r="BV1079" s="71"/>
      <c r="BW1079" s="71">
        <f t="shared" si="417"/>
        <v>0</v>
      </c>
      <c r="BZ1079" s="71"/>
      <c r="CA1079" s="71"/>
      <c r="CB1079" s="71">
        <f t="shared" si="418"/>
        <v>0</v>
      </c>
      <c r="CD1079" s="71"/>
      <c r="CE1079" s="71"/>
      <c r="CF1079" s="71">
        <f t="shared" si="419"/>
        <v>0</v>
      </c>
      <c r="CH1079" s="71"/>
      <c r="CI1079" s="71"/>
      <c r="CJ1079" s="138">
        <f t="shared" si="420"/>
        <v>0</v>
      </c>
      <c r="CL1079" s="71"/>
      <c r="CM1079" s="71"/>
      <c r="CN1079" s="71">
        <f t="shared" si="421"/>
        <v>0</v>
      </c>
      <c r="CT1079" s="102">
        <f t="shared" si="423"/>
        <v>0</v>
      </c>
    </row>
    <row r="1080" spans="9:98" x14ac:dyDescent="0.15">
      <c r="I1080" s="64">
        <f t="shared" si="425"/>
        <v>0</v>
      </c>
      <c r="Y1080" s="114">
        <f t="shared" si="406"/>
        <v>0</v>
      </c>
      <c r="AC1080" s="64">
        <f t="shared" si="407"/>
        <v>0</v>
      </c>
      <c r="AE1080" s="71"/>
      <c r="AF1080" s="71"/>
      <c r="AG1080" s="71">
        <f t="shared" si="408"/>
        <v>0</v>
      </c>
      <c r="AK1080" s="64">
        <f t="shared" si="409"/>
        <v>0</v>
      </c>
      <c r="AM1080" s="71"/>
      <c r="AN1080" s="71"/>
      <c r="AO1080" s="71">
        <f t="shared" si="410"/>
        <v>0</v>
      </c>
      <c r="AQ1080" s="71"/>
      <c r="AR1080" s="71"/>
      <c r="AS1080" s="71">
        <f t="shared" si="411"/>
        <v>0</v>
      </c>
      <c r="AU1080" s="71"/>
      <c r="AV1080" s="71"/>
      <c r="AW1080" s="71">
        <f t="shared" si="412"/>
        <v>0</v>
      </c>
      <c r="AY1080" s="71"/>
      <c r="AZ1080" s="71"/>
      <c r="BA1080" s="71">
        <f t="shared" si="413"/>
        <v>0</v>
      </c>
      <c r="BI1080" s="71"/>
      <c r="BJ1080" s="71"/>
      <c r="BK1080" s="71">
        <f t="shared" si="414"/>
        <v>0</v>
      </c>
      <c r="BM1080" s="71"/>
      <c r="BN1080" s="71"/>
      <c r="BO1080" s="71">
        <f t="shared" si="415"/>
        <v>0</v>
      </c>
      <c r="BQ1080" s="71"/>
      <c r="BR1080" s="71"/>
      <c r="BS1080" s="138">
        <f t="shared" si="416"/>
        <v>0</v>
      </c>
      <c r="BU1080" s="71"/>
      <c r="BV1080" s="71"/>
      <c r="BW1080" s="71">
        <f t="shared" si="417"/>
        <v>0</v>
      </c>
      <c r="BZ1080" s="71"/>
      <c r="CA1080" s="71"/>
      <c r="CB1080" s="71">
        <f t="shared" si="418"/>
        <v>0</v>
      </c>
      <c r="CD1080" s="71"/>
      <c r="CE1080" s="71"/>
      <c r="CF1080" s="71">
        <f t="shared" si="419"/>
        <v>0</v>
      </c>
      <c r="CH1080" s="71"/>
      <c r="CI1080" s="71"/>
      <c r="CJ1080" s="138">
        <f t="shared" si="420"/>
        <v>0</v>
      </c>
      <c r="CL1080" s="71"/>
      <c r="CM1080" s="71"/>
      <c r="CN1080" s="71">
        <f t="shared" si="421"/>
        <v>0</v>
      </c>
      <c r="CT1080" s="102">
        <f t="shared" si="423"/>
        <v>0</v>
      </c>
    </row>
    <row r="1081" spans="9:98" x14ac:dyDescent="0.15">
      <c r="I1081" s="64">
        <f t="shared" si="425"/>
        <v>0</v>
      </c>
      <c r="Y1081" s="114">
        <f t="shared" si="406"/>
        <v>0</v>
      </c>
      <c r="AC1081" s="64">
        <f t="shared" si="407"/>
        <v>0</v>
      </c>
      <c r="AE1081" s="71"/>
      <c r="AF1081" s="71"/>
      <c r="AG1081" s="71">
        <f t="shared" si="408"/>
        <v>0</v>
      </c>
      <c r="AK1081" s="64">
        <f t="shared" si="409"/>
        <v>0</v>
      </c>
      <c r="AM1081" s="71"/>
      <c r="AN1081" s="71"/>
      <c r="AO1081" s="71">
        <f t="shared" si="410"/>
        <v>0</v>
      </c>
      <c r="AQ1081" s="71"/>
      <c r="AR1081" s="71"/>
      <c r="AS1081" s="71">
        <f t="shared" si="411"/>
        <v>0</v>
      </c>
      <c r="AU1081" s="71"/>
      <c r="AV1081" s="71"/>
      <c r="AW1081" s="71">
        <f t="shared" si="412"/>
        <v>0</v>
      </c>
      <c r="AY1081" s="71"/>
      <c r="AZ1081" s="71"/>
      <c r="BA1081" s="71">
        <f t="shared" si="413"/>
        <v>0</v>
      </c>
      <c r="BI1081" s="71"/>
      <c r="BJ1081" s="71"/>
      <c r="BK1081" s="71">
        <f t="shared" si="414"/>
        <v>0</v>
      </c>
      <c r="BM1081" s="71"/>
      <c r="BN1081" s="71"/>
      <c r="BO1081" s="71">
        <f t="shared" si="415"/>
        <v>0</v>
      </c>
      <c r="BQ1081" s="71"/>
      <c r="BR1081" s="71"/>
      <c r="BS1081" s="138">
        <f t="shared" si="416"/>
        <v>0</v>
      </c>
      <c r="BU1081" s="71"/>
      <c r="BV1081" s="71"/>
      <c r="BW1081" s="71">
        <f t="shared" si="417"/>
        <v>0</v>
      </c>
      <c r="BZ1081" s="71"/>
      <c r="CA1081" s="71"/>
      <c r="CB1081" s="71">
        <f t="shared" si="418"/>
        <v>0</v>
      </c>
      <c r="CD1081" s="71"/>
      <c r="CE1081" s="71"/>
      <c r="CF1081" s="71">
        <f t="shared" si="419"/>
        <v>0</v>
      </c>
      <c r="CH1081" s="71"/>
      <c r="CI1081" s="71"/>
      <c r="CJ1081" s="138">
        <f t="shared" si="420"/>
        <v>0</v>
      </c>
      <c r="CL1081" s="71"/>
      <c r="CM1081" s="71"/>
      <c r="CN1081" s="71">
        <f t="shared" si="421"/>
        <v>0</v>
      </c>
      <c r="CT1081" s="102">
        <f t="shared" si="423"/>
        <v>0</v>
      </c>
    </row>
    <row r="1082" spans="9:98" x14ac:dyDescent="0.15">
      <c r="I1082" s="64">
        <f t="shared" si="425"/>
        <v>0</v>
      </c>
      <c r="Y1082" s="114">
        <f t="shared" si="406"/>
        <v>0</v>
      </c>
      <c r="AC1082" s="64">
        <f t="shared" si="407"/>
        <v>0</v>
      </c>
      <c r="AE1082" s="71"/>
      <c r="AF1082" s="71"/>
      <c r="AG1082" s="71">
        <f t="shared" si="408"/>
        <v>0</v>
      </c>
      <c r="AK1082" s="64">
        <f t="shared" si="409"/>
        <v>0</v>
      </c>
      <c r="AM1082" s="71"/>
      <c r="AN1082" s="71"/>
      <c r="AO1082" s="71">
        <f t="shared" si="410"/>
        <v>0</v>
      </c>
      <c r="AQ1082" s="71"/>
      <c r="AR1082" s="71"/>
      <c r="AS1082" s="71">
        <f t="shared" si="411"/>
        <v>0</v>
      </c>
      <c r="AU1082" s="71"/>
      <c r="AV1082" s="71"/>
      <c r="AW1082" s="71">
        <f t="shared" si="412"/>
        <v>0</v>
      </c>
      <c r="AY1082" s="71"/>
      <c r="AZ1082" s="71"/>
      <c r="BA1082" s="71">
        <f t="shared" si="413"/>
        <v>0</v>
      </c>
      <c r="BI1082" s="71"/>
      <c r="BJ1082" s="71"/>
      <c r="BK1082" s="71">
        <f t="shared" si="414"/>
        <v>0</v>
      </c>
      <c r="BM1082" s="71"/>
      <c r="BN1082" s="71"/>
      <c r="BO1082" s="71">
        <f t="shared" si="415"/>
        <v>0</v>
      </c>
      <c r="BQ1082" s="71"/>
      <c r="BR1082" s="71"/>
      <c r="BS1082" s="138">
        <f t="shared" si="416"/>
        <v>0</v>
      </c>
      <c r="BU1082" s="71"/>
      <c r="BV1082" s="71"/>
      <c r="BW1082" s="71">
        <f t="shared" si="417"/>
        <v>0</v>
      </c>
      <c r="BZ1082" s="71"/>
      <c r="CA1082" s="71"/>
      <c r="CB1082" s="71">
        <f t="shared" si="418"/>
        <v>0</v>
      </c>
      <c r="CD1082" s="71"/>
      <c r="CE1082" s="71"/>
      <c r="CF1082" s="71">
        <f t="shared" si="419"/>
        <v>0</v>
      </c>
      <c r="CH1082" s="71"/>
      <c r="CI1082" s="71"/>
      <c r="CJ1082" s="138">
        <f t="shared" si="420"/>
        <v>0</v>
      </c>
      <c r="CL1082" s="71"/>
      <c r="CM1082" s="71"/>
      <c r="CN1082" s="71">
        <f t="shared" si="421"/>
        <v>0</v>
      </c>
      <c r="CT1082" s="102">
        <f t="shared" si="423"/>
        <v>0</v>
      </c>
    </row>
    <row r="1083" spans="9:98" x14ac:dyDescent="0.15">
      <c r="I1083" s="64">
        <f t="shared" si="425"/>
        <v>0</v>
      </c>
      <c r="Y1083" s="114">
        <f t="shared" si="406"/>
        <v>0</v>
      </c>
      <c r="AC1083" s="64">
        <f t="shared" si="407"/>
        <v>0</v>
      </c>
      <c r="AE1083" s="71"/>
      <c r="AF1083" s="71"/>
      <c r="AG1083" s="71">
        <f t="shared" si="408"/>
        <v>0</v>
      </c>
      <c r="AK1083" s="64">
        <f t="shared" si="409"/>
        <v>0</v>
      </c>
      <c r="AM1083" s="71"/>
      <c r="AN1083" s="71"/>
      <c r="AO1083" s="71">
        <f t="shared" si="410"/>
        <v>0</v>
      </c>
      <c r="AQ1083" s="71"/>
      <c r="AR1083" s="71"/>
      <c r="AS1083" s="71">
        <f t="shared" si="411"/>
        <v>0</v>
      </c>
      <c r="AU1083" s="71"/>
      <c r="AV1083" s="71"/>
      <c r="AW1083" s="71">
        <f t="shared" si="412"/>
        <v>0</v>
      </c>
      <c r="AY1083" s="71"/>
      <c r="AZ1083" s="71"/>
      <c r="BA1083" s="71">
        <f t="shared" si="413"/>
        <v>0</v>
      </c>
      <c r="BI1083" s="71"/>
      <c r="BJ1083" s="71"/>
      <c r="BK1083" s="71">
        <f t="shared" si="414"/>
        <v>0</v>
      </c>
      <c r="BM1083" s="71"/>
      <c r="BN1083" s="71"/>
      <c r="BO1083" s="71">
        <f t="shared" si="415"/>
        <v>0</v>
      </c>
      <c r="BQ1083" s="71"/>
      <c r="BR1083" s="71"/>
      <c r="BS1083" s="138">
        <f t="shared" si="416"/>
        <v>0</v>
      </c>
      <c r="BU1083" s="71"/>
      <c r="BV1083" s="71"/>
      <c r="BW1083" s="71">
        <f t="shared" si="417"/>
        <v>0</v>
      </c>
      <c r="BZ1083" s="71"/>
      <c r="CA1083" s="71"/>
      <c r="CB1083" s="71">
        <f t="shared" si="418"/>
        <v>0</v>
      </c>
      <c r="CD1083" s="71"/>
      <c r="CE1083" s="71"/>
      <c r="CF1083" s="71">
        <f t="shared" si="419"/>
        <v>0</v>
      </c>
      <c r="CH1083" s="71"/>
      <c r="CI1083" s="71"/>
      <c r="CJ1083" s="138">
        <f t="shared" si="420"/>
        <v>0</v>
      </c>
      <c r="CL1083" s="71"/>
      <c r="CM1083" s="71"/>
      <c r="CN1083" s="71">
        <f t="shared" si="421"/>
        <v>0</v>
      </c>
      <c r="CT1083" s="102">
        <f t="shared" si="423"/>
        <v>0</v>
      </c>
    </row>
    <row r="1084" spans="9:98" x14ac:dyDescent="0.15">
      <c r="I1084" s="64">
        <f t="shared" si="425"/>
        <v>0</v>
      </c>
      <c r="Y1084" s="114">
        <f t="shared" si="406"/>
        <v>0</v>
      </c>
      <c r="AC1084" s="64">
        <f t="shared" si="407"/>
        <v>0</v>
      </c>
      <c r="AE1084" s="71"/>
      <c r="AF1084" s="71"/>
      <c r="AG1084" s="71">
        <f t="shared" si="408"/>
        <v>0</v>
      </c>
      <c r="AK1084" s="64">
        <f t="shared" si="409"/>
        <v>0</v>
      </c>
      <c r="AM1084" s="71"/>
      <c r="AN1084" s="71"/>
      <c r="AO1084" s="71">
        <f t="shared" si="410"/>
        <v>0</v>
      </c>
      <c r="AQ1084" s="71"/>
      <c r="AR1084" s="71"/>
      <c r="AS1084" s="71">
        <f t="shared" si="411"/>
        <v>0</v>
      </c>
      <c r="AU1084" s="71"/>
      <c r="AV1084" s="71"/>
      <c r="AW1084" s="71">
        <f t="shared" si="412"/>
        <v>0</v>
      </c>
      <c r="AY1084" s="71"/>
      <c r="AZ1084" s="71"/>
      <c r="BA1084" s="71">
        <f t="shared" si="413"/>
        <v>0</v>
      </c>
      <c r="BI1084" s="71"/>
      <c r="BJ1084" s="71"/>
      <c r="BK1084" s="71">
        <f t="shared" si="414"/>
        <v>0</v>
      </c>
      <c r="BM1084" s="71"/>
      <c r="BN1084" s="71"/>
      <c r="BO1084" s="71">
        <f t="shared" si="415"/>
        <v>0</v>
      </c>
      <c r="BQ1084" s="71"/>
      <c r="BR1084" s="71"/>
      <c r="BS1084" s="138">
        <f t="shared" si="416"/>
        <v>0</v>
      </c>
      <c r="BU1084" s="71"/>
      <c r="BV1084" s="71"/>
      <c r="BW1084" s="71">
        <f t="shared" si="417"/>
        <v>0</v>
      </c>
      <c r="BZ1084" s="71"/>
      <c r="CA1084" s="71"/>
      <c r="CB1084" s="71">
        <f t="shared" si="418"/>
        <v>0</v>
      </c>
      <c r="CD1084" s="71"/>
      <c r="CE1084" s="71"/>
      <c r="CF1084" s="71">
        <f t="shared" si="419"/>
        <v>0</v>
      </c>
      <c r="CH1084" s="71"/>
      <c r="CI1084" s="71"/>
      <c r="CJ1084" s="138">
        <f t="shared" si="420"/>
        <v>0</v>
      </c>
      <c r="CL1084" s="71"/>
      <c r="CM1084" s="71"/>
      <c r="CN1084" s="71">
        <f t="shared" si="421"/>
        <v>0</v>
      </c>
      <c r="CT1084" s="102">
        <f t="shared" si="423"/>
        <v>0</v>
      </c>
    </row>
    <row r="1085" spans="9:98" x14ac:dyDescent="0.15">
      <c r="I1085" s="64">
        <f t="shared" si="425"/>
        <v>0</v>
      </c>
      <c r="Y1085" s="114">
        <f t="shared" si="406"/>
        <v>0</v>
      </c>
      <c r="AC1085" s="64">
        <f t="shared" si="407"/>
        <v>0</v>
      </c>
      <c r="AE1085" s="71"/>
      <c r="AF1085" s="71"/>
      <c r="AG1085" s="71">
        <f t="shared" si="408"/>
        <v>0</v>
      </c>
      <c r="AK1085" s="64">
        <f t="shared" si="409"/>
        <v>0</v>
      </c>
      <c r="AM1085" s="71"/>
      <c r="AN1085" s="71"/>
      <c r="AO1085" s="71">
        <f t="shared" si="410"/>
        <v>0</v>
      </c>
      <c r="AQ1085" s="71"/>
      <c r="AR1085" s="71"/>
      <c r="AS1085" s="71">
        <f t="shared" si="411"/>
        <v>0</v>
      </c>
      <c r="AU1085" s="71"/>
      <c r="AV1085" s="71"/>
      <c r="AW1085" s="71">
        <f t="shared" si="412"/>
        <v>0</v>
      </c>
      <c r="AY1085" s="71"/>
      <c r="AZ1085" s="71"/>
      <c r="BA1085" s="71">
        <f t="shared" si="413"/>
        <v>0</v>
      </c>
      <c r="BI1085" s="71"/>
      <c r="BJ1085" s="71"/>
      <c r="BK1085" s="71">
        <f t="shared" si="414"/>
        <v>0</v>
      </c>
      <c r="BM1085" s="71"/>
      <c r="BN1085" s="71"/>
      <c r="BO1085" s="71">
        <f t="shared" si="415"/>
        <v>0</v>
      </c>
      <c r="BQ1085" s="71"/>
      <c r="BR1085" s="71"/>
      <c r="BS1085" s="138">
        <f t="shared" si="416"/>
        <v>0</v>
      </c>
      <c r="BU1085" s="71"/>
      <c r="BV1085" s="71"/>
      <c r="BW1085" s="71">
        <f t="shared" si="417"/>
        <v>0</v>
      </c>
      <c r="BZ1085" s="71"/>
      <c r="CA1085" s="71"/>
      <c r="CB1085" s="71">
        <f t="shared" si="418"/>
        <v>0</v>
      </c>
      <c r="CD1085" s="71"/>
      <c r="CE1085" s="71"/>
      <c r="CF1085" s="71">
        <f t="shared" si="419"/>
        <v>0</v>
      </c>
      <c r="CH1085" s="71"/>
      <c r="CI1085" s="71"/>
      <c r="CJ1085" s="138">
        <f t="shared" si="420"/>
        <v>0</v>
      </c>
      <c r="CL1085" s="71"/>
      <c r="CM1085" s="71"/>
      <c r="CN1085" s="71">
        <f t="shared" si="421"/>
        <v>0</v>
      </c>
      <c r="CT1085" s="102">
        <f t="shared" si="423"/>
        <v>0</v>
      </c>
    </row>
    <row r="1086" spans="9:98" x14ac:dyDescent="0.15">
      <c r="I1086" s="64">
        <f t="shared" si="425"/>
        <v>0</v>
      </c>
      <c r="Y1086" s="114">
        <f t="shared" si="406"/>
        <v>0</v>
      </c>
      <c r="AC1086" s="64">
        <f t="shared" si="407"/>
        <v>0</v>
      </c>
      <c r="AE1086" s="71"/>
      <c r="AF1086" s="71"/>
      <c r="AG1086" s="71">
        <f t="shared" si="408"/>
        <v>0</v>
      </c>
      <c r="AK1086" s="64">
        <f t="shared" si="409"/>
        <v>0</v>
      </c>
      <c r="AM1086" s="71"/>
      <c r="AN1086" s="71"/>
      <c r="AO1086" s="71">
        <f t="shared" si="410"/>
        <v>0</v>
      </c>
      <c r="AQ1086" s="71"/>
      <c r="AR1086" s="71"/>
      <c r="AS1086" s="71">
        <f t="shared" si="411"/>
        <v>0</v>
      </c>
      <c r="AU1086" s="71"/>
      <c r="AV1086" s="71"/>
      <c r="AW1086" s="71">
        <f t="shared" si="412"/>
        <v>0</v>
      </c>
      <c r="AY1086" s="71"/>
      <c r="AZ1086" s="71"/>
      <c r="BA1086" s="71">
        <f t="shared" si="413"/>
        <v>0</v>
      </c>
      <c r="BI1086" s="71"/>
      <c r="BJ1086" s="71"/>
      <c r="BK1086" s="71">
        <f t="shared" si="414"/>
        <v>0</v>
      </c>
      <c r="BM1086" s="71"/>
      <c r="BN1086" s="71"/>
      <c r="BO1086" s="71">
        <f t="shared" si="415"/>
        <v>0</v>
      </c>
      <c r="BQ1086" s="71"/>
      <c r="BR1086" s="71"/>
      <c r="BS1086" s="138">
        <f t="shared" si="416"/>
        <v>0</v>
      </c>
      <c r="BU1086" s="71"/>
      <c r="BV1086" s="71"/>
      <c r="BW1086" s="71">
        <f t="shared" si="417"/>
        <v>0</v>
      </c>
      <c r="BZ1086" s="71"/>
      <c r="CA1086" s="71"/>
      <c r="CB1086" s="71">
        <f t="shared" si="418"/>
        <v>0</v>
      </c>
      <c r="CD1086" s="71"/>
      <c r="CE1086" s="71"/>
      <c r="CF1086" s="71">
        <f t="shared" si="419"/>
        <v>0</v>
      </c>
      <c r="CH1086" s="71"/>
      <c r="CI1086" s="71"/>
      <c r="CJ1086" s="138">
        <f t="shared" si="420"/>
        <v>0</v>
      </c>
      <c r="CL1086" s="71"/>
      <c r="CM1086" s="71"/>
      <c r="CN1086" s="71">
        <f t="shared" si="421"/>
        <v>0</v>
      </c>
      <c r="CT1086" s="102">
        <f t="shared" si="423"/>
        <v>0</v>
      </c>
    </row>
    <row r="1087" spans="9:98" x14ac:dyDescent="0.15">
      <c r="I1087" s="64">
        <f t="shared" si="425"/>
        <v>0</v>
      </c>
      <c r="Y1087" s="114">
        <f t="shared" si="406"/>
        <v>0</v>
      </c>
      <c r="AC1087" s="64">
        <f t="shared" si="407"/>
        <v>0</v>
      </c>
      <c r="AE1087" s="71"/>
      <c r="AF1087" s="71"/>
      <c r="AG1087" s="71">
        <f t="shared" si="408"/>
        <v>0</v>
      </c>
      <c r="AK1087" s="64">
        <f t="shared" si="409"/>
        <v>0</v>
      </c>
      <c r="AM1087" s="71"/>
      <c r="AN1087" s="71"/>
      <c r="AO1087" s="71">
        <f t="shared" si="410"/>
        <v>0</v>
      </c>
      <c r="AQ1087" s="71"/>
      <c r="AR1087" s="71"/>
      <c r="AS1087" s="71">
        <f t="shared" si="411"/>
        <v>0</v>
      </c>
      <c r="AU1087" s="71"/>
      <c r="AV1087" s="71"/>
      <c r="AW1087" s="71">
        <f t="shared" si="412"/>
        <v>0</v>
      </c>
      <c r="AY1087" s="71"/>
      <c r="AZ1087" s="71"/>
      <c r="BA1087" s="71">
        <f t="shared" si="413"/>
        <v>0</v>
      </c>
      <c r="BI1087" s="71"/>
      <c r="BJ1087" s="71"/>
      <c r="BK1087" s="71">
        <f t="shared" si="414"/>
        <v>0</v>
      </c>
      <c r="BM1087" s="71"/>
      <c r="BN1087" s="71"/>
      <c r="BO1087" s="71">
        <f t="shared" si="415"/>
        <v>0</v>
      </c>
      <c r="BQ1087" s="71"/>
      <c r="BR1087" s="71"/>
      <c r="BS1087" s="138">
        <f t="shared" si="416"/>
        <v>0</v>
      </c>
      <c r="BU1087" s="71"/>
      <c r="BV1087" s="71"/>
      <c r="BW1087" s="71">
        <f t="shared" si="417"/>
        <v>0</v>
      </c>
      <c r="BZ1087" s="71"/>
      <c r="CA1087" s="71"/>
      <c r="CB1087" s="71">
        <f t="shared" si="418"/>
        <v>0</v>
      </c>
      <c r="CD1087" s="71"/>
      <c r="CE1087" s="71"/>
      <c r="CF1087" s="71">
        <f t="shared" si="419"/>
        <v>0</v>
      </c>
      <c r="CH1087" s="71"/>
      <c r="CI1087" s="71"/>
      <c r="CJ1087" s="138">
        <f t="shared" si="420"/>
        <v>0</v>
      </c>
      <c r="CL1087" s="71"/>
      <c r="CM1087" s="71"/>
      <c r="CN1087" s="71">
        <f t="shared" si="421"/>
        <v>0</v>
      </c>
      <c r="CT1087" s="102">
        <f t="shared" si="423"/>
        <v>0</v>
      </c>
    </row>
    <row r="1088" spans="9:98" x14ac:dyDescent="0.15">
      <c r="I1088" s="64">
        <f t="shared" si="425"/>
        <v>0</v>
      </c>
      <c r="Y1088" s="114">
        <f t="shared" si="406"/>
        <v>0</v>
      </c>
      <c r="AC1088" s="64">
        <f t="shared" si="407"/>
        <v>0</v>
      </c>
      <c r="AE1088" s="71"/>
      <c r="AF1088" s="71"/>
      <c r="AG1088" s="71">
        <f t="shared" si="408"/>
        <v>0</v>
      </c>
      <c r="AK1088" s="64">
        <f t="shared" si="409"/>
        <v>0</v>
      </c>
      <c r="AM1088" s="71"/>
      <c r="AN1088" s="71"/>
      <c r="AO1088" s="71">
        <f t="shared" si="410"/>
        <v>0</v>
      </c>
      <c r="AQ1088" s="71"/>
      <c r="AR1088" s="71"/>
      <c r="AS1088" s="71">
        <f t="shared" si="411"/>
        <v>0</v>
      </c>
      <c r="AU1088" s="71"/>
      <c r="AV1088" s="71"/>
      <c r="AW1088" s="71">
        <f t="shared" si="412"/>
        <v>0</v>
      </c>
      <c r="AY1088" s="71"/>
      <c r="AZ1088" s="71"/>
      <c r="BA1088" s="71">
        <f t="shared" si="413"/>
        <v>0</v>
      </c>
      <c r="BI1088" s="71"/>
      <c r="BJ1088" s="71"/>
      <c r="BK1088" s="71">
        <f t="shared" si="414"/>
        <v>0</v>
      </c>
      <c r="BM1088" s="71"/>
      <c r="BN1088" s="71"/>
      <c r="BO1088" s="71">
        <f t="shared" si="415"/>
        <v>0</v>
      </c>
      <c r="BQ1088" s="71"/>
      <c r="BR1088" s="71"/>
      <c r="BS1088" s="138">
        <f t="shared" si="416"/>
        <v>0</v>
      </c>
      <c r="BU1088" s="71"/>
      <c r="BV1088" s="71"/>
      <c r="BW1088" s="71">
        <f t="shared" si="417"/>
        <v>0</v>
      </c>
      <c r="BZ1088" s="71"/>
      <c r="CA1088" s="71"/>
      <c r="CB1088" s="71">
        <f t="shared" si="418"/>
        <v>0</v>
      </c>
      <c r="CD1088" s="71"/>
      <c r="CE1088" s="71"/>
      <c r="CF1088" s="71">
        <f t="shared" si="419"/>
        <v>0</v>
      </c>
      <c r="CH1088" s="71"/>
      <c r="CI1088" s="71"/>
      <c r="CJ1088" s="138">
        <f t="shared" si="420"/>
        <v>0</v>
      </c>
      <c r="CL1088" s="71"/>
      <c r="CM1088" s="71"/>
      <c r="CN1088" s="71">
        <f t="shared" si="421"/>
        <v>0</v>
      </c>
      <c r="CT1088" s="102">
        <f t="shared" si="423"/>
        <v>0</v>
      </c>
    </row>
    <row r="1089" spans="9:98" x14ac:dyDescent="0.15">
      <c r="I1089" s="64">
        <f t="shared" si="425"/>
        <v>0</v>
      </c>
      <c r="Y1089" s="114">
        <f t="shared" si="406"/>
        <v>0</v>
      </c>
      <c r="AC1089" s="64">
        <f t="shared" si="407"/>
        <v>0</v>
      </c>
      <c r="AE1089" s="71"/>
      <c r="AF1089" s="71"/>
      <c r="AG1089" s="71">
        <f t="shared" si="408"/>
        <v>0</v>
      </c>
      <c r="AK1089" s="64">
        <f t="shared" si="409"/>
        <v>0</v>
      </c>
      <c r="AM1089" s="71"/>
      <c r="AN1089" s="71"/>
      <c r="AO1089" s="71">
        <f t="shared" si="410"/>
        <v>0</v>
      </c>
      <c r="AQ1089" s="71"/>
      <c r="AR1089" s="71"/>
      <c r="AS1089" s="71">
        <f t="shared" si="411"/>
        <v>0</v>
      </c>
      <c r="AU1089" s="71"/>
      <c r="AV1089" s="71"/>
      <c r="AW1089" s="71">
        <f t="shared" si="412"/>
        <v>0</v>
      </c>
      <c r="AY1089" s="71"/>
      <c r="AZ1089" s="71"/>
      <c r="BA1089" s="71">
        <f t="shared" si="413"/>
        <v>0</v>
      </c>
      <c r="BI1089" s="71"/>
      <c r="BJ1089" s="71"/>
      <c r="BK1089" s="71">
        <f t="shared" si="414"/>
        <v>0</v>
      </c>
      <c r="BM1089" s="71"/>
      <c r="BN1089" s="71"/>
      <c r="BO1089" s="71">
        <f t="shared" si="415"/>
        <v>0</v>
      </c>
      <c r="BQ1089" s="71"/>
      <c r="BR1089" s="71"/>
      <c r="BS1089" s="138">
        <f t="shared" si="416"/>
        <v>0</v>
      </c>
      <c r="BU1089" s="71"/>
      <c r="BV1089" s="71"/>
      <c r="BW1089" s="71">
        <f t="shared" si="417"/>
        <v>0</v>
      </c>
      <c r="BZ1089" s="71"/>
      <c r="CA1089" s="71"/>
      <c r="CB1089" s="71">
        <f t="shared" si="418"/>
        <v>0</v>
      </c>
      <c r="CD1089" s="71"/>
      <c r="CE1089" s="71"/>
      <c r="CF1089" s="71">
        <f t="shared" si="419"/>
        <v>0</v>
      </c>
      <c r="CH1089" s="71"/>
      <c r="CI1089" s="71"/>
      <c r="CJ1089" s="138">
        <f t="shared" si="420"/>
        <v>0</v>
      </c>
      <c r="CL1089" s="71"/>
      <c r="CM1089" s="71"/>
      <c r="CN1089" s="71">
        <f t="shared" si="421"/>
        <v>0</v>
      </c>
      <c r="CT1089" s="102">
        <f t="shared" si="423"/>
        <v>0</v>
      </c>
    </row>
    <row r="1090" spans="9:98" x14ac:dyDescent="0.15">
      <c r="I1090" s="64">
        <f t="shared" si="425"/>
        <v>0</v>
      </c>
      <c r="Y1090" s="114">
        <f t="shared" si="406"/>
        <v>0</v>
      </c>
      <c r="AC1090" s="64">
        <f t="shared" si="407"/>
        <v>0</v>
      </c>
      <c r="AE1090" s="71"/>
      <c r="AF1090" s="71"/>
      <c r="AG1090" s="71">
        <f t="shared" si="408"/>
        <v>0</v>
      </c>
      <c r="AK1090" s="64">
        <f t="shared" si="409"/>
        <v>0</v>
      </c>
      <c r="AM1090" s="71"/>
      <c r="AN1090" s="71"/>
      <c r="AO1090" s="71">
        <f t="shared" si="410"/>
        <v>0</v>
      </c>
      <c r="AQ1090" s="71"/>
      <c r="AR1090" s="71"/>
      <c r="AS1090" s="71">
        <f t="shared" si="411"/>
        <v>0</v>
      </c>
      <c r="AU1090" s="71"/>
      <c r="AV1090" s="71"/>
      <c r="AW1090" s="71">
        <f t="shared" si="412"/>
        <v>0</v>
      </c>
      <c r="AY1090" s="71"/>
      <c r="AZ1090" s="71"/>
      <c r="BA1090" s="71">
        <f t="shared" si="413"/>
        <v>0</v>
      </c>
      <c r="BI1090" s="71"/>
      <c r="BJ1090" s="71"/>
      <c r="BK1090" s="71">
        <f t="shared" si="414"/>
        <v>0</v>
      </c>
      <c r="BM1090" s="71"/>
      <c r="BN1090" s="71"/>
      <c r="BO1090" s="71">
        <f t="shared" si="415"/>
        <v>0</v>
      </c>
      <c r="BQ1090" s="71"/>
      <c r="BR1090" s="71"/>
      <c r="BS1090" s="138">
        <f t="shared" si="416"/>
        <v>0</v>
      </c>
      <c r="BU1090" s="71"/>
      <c r="BV1090" s="71"/>
      <c r="BW1090" s="71">
        <f t="shared" si="417"/>
        <v>0</v>
      </c>
      <c r="BZ1090" s="71"/>
      <c r="CA1090" s="71"/>
      <c r="CB1090" s="71">
        <f t="shared" si="418"/>
        <v>0</v>
      </c>
      <c r="CD1090" s="71"/>
      <c r="CE1090" s="71"/>
      <c r="CF1090" s="71">
        <f t="shared" si="419"/>
        <v>0</v>
      </c>
      <c r="CH1090" s="71"/>
      <c r="CI1090" s="71"/>
      <c r="CJ1090" s="138">
        <f t="shared" si="420"/>
        <v>0</v>
      </c>
      <c r="CL1090" s="71"/>
      <c r="CM1090" s="71"/>
      <c r="CN1090" s="71">
        <f t="shared" si="421"/>
        <v>0</v>
      </c>
      <c r="CT1090" s="102">
        <f t="shared" si="423"/>
        <v>0</v>
      </c>
    </row>
    <row r="1091" spans="9:98" x14ac:dyDescent="0.15">
      <c r="I1091" s="64">
        <f t="shared" si="425"/>
        <v>0</v>
      </c>
      <c r="Y1091" s="114">
        <f t="shared" ref="Y1091:Y1097" si="426">V1091/5</f>
        <v>0</v>
      </c>
      <c r="AC1091" s="64">
        <f t="shared" ref="AC1091:AC1097" si="427">Z1091/3</f>
        <v>0</v>
      </c>
      <c r="AE1091" s="71"/>
      <c r="AF1091" s="71"/>
      <c r="AG1091" s="71">
        <f t="shared" ref="AG1091:AG1097" si="428">AD1091/3</f>
        <v>0</v>
      </c>
      <c r="AK1091" s="64">
        <f t="shared" ref="AK1091:AK1097" si="429">AH1091/3</f>
        <v>0</v>
      </c>
      <c r="AM1091" s="71"/>
      <c r="AN1091" s="71"/>
      <c r="AO1091" s="71">
        <f t="shared" ref="AO1091:AO1097" si="430">AL1091/4</f>
        <v>0</v>
      </c>
      <c r="AQ1091" s="71"/>
      <c r="AR1091" s="71"/>
      <c r="AS1091" s="71">
        <f t="shared" ref="AS1091:AS1097" si="431">AP1091/3</f>
        <v>0</v>
      </c>
      <c r="AU1091" s="71"/>
      <c r="AV1091" s="71"/>
      <c r="AW1091" s="71">
        <f t="shared" ref="AW1091:AW1097" si="432">AT1091/3</f>
        <v>0</v>
      </c>
      <c r="AY1091" s="71"/>
      <c r="AZ1091" s="71"/>
      <c r="BA1091" s="71">
        <f t="shared" ref="BA1091:BA1097" si="433">AX1091/2</f>
        <v>0</v>
      </c>
      <c r="BI1091" s="71"/>
      <c r="BJ1091" s="71"/>
      <c r="BK1091" s="71">
        <f t="shared" ref="BK1091:BK1097" si="434">BH1091/2</f>
        <v>0</v>
      </c>
      <c r="BM1091" s="71"/>
      <c r="BN1091" s="71"/>
      <c r="BO1091" s="71">
        <f t="shared" ref="BO1091:BO1097" si="435">BL1091/3</f>
        <v>0</v>
      </c>
      <c r="BQ1091" s="71"/>
      <c r="BR1091" s="71"/>
      <c r="BS1091" s="138">
        <f t="shared" ref="BS1091:BS1097" si="436">BP1091/3</f>
        <v>0</v>
      </c>
      <c r="BU1091" s="71"/>
      <c r="BV1091" s="71"/>
      <c r="BW1091" s="71">
        <f t="shared" ref="BW1091:BW1097" si="437">BT1091/3</f>
        <v>0</v>
      </c>
      <c r="BZ1091" s="71"/>
      <c r="CA1091" s="71"/>
      <c r="CB1091" s="71">
        <f t="shared" ref="CB1091:CB1097" si="438">BY1091/3</f>
        <v>0</v>
      </c>
      <c r="CD1091" s="71"/>
      <c r="CE1091" s="71"/>
      <c r="CF1091" s="71">
        <f t="shared" ref="CF1091:CF1097" si="439">CC1091/3</f>
        <v>0</v>
      </c>
      <c r="CH1091" s="71"/>
      <c r="CI1091" s="71"/>
      <c r="CJ1091" s="138">
        <f t="shared" ref="CJ1091:CJ1097" si="440">CG1091/2</f>
        <v>0</v>
      </c>
      <c r="CL1091" s="71"/>
      <c r="CM1091" s="71"/>
      <c r="CN1091" s="71">
        <f t="shared" ref="CN1091:CN1097" si="441">CK1091/3</f>
        <v>0</v>
      </c>
      <c r="CT1091" s="102">
        <f t="shared" ref="CT1091:CT1097" si="442">STDEV(I1091, M1091, Q1091, U1091, AC1091, AG1091, AK1091, AO1091, AS1091, AW1091, BA1091, BK1091, BO1091, BW1091, CB1091, CF1091, CN1091)</f>
        <v>0</v>
      </c>
    </row>
    <row r="1092" spans="9:98" x14ac:dyDescent="0.15">
      <c r="I1092" s="64">
        <f t="shared" si="425"/>
        <v>0</v>
      </c>
      <c r="Y1092" s="114">
        <f t="shared" si="426"/>
        <v>0</v>
      </c>
      <c r="AC1092" s="64">
        <f t="shared" si="427"/>
        <v>0</v>
      </c>
      <c r="AE1092" s="71"/>
      <c r="AF1092" s="71"/>
      <c r="AG1092" s="71">
        <f t="shared" si="428"/>
        <v>0</v>
      </c>
      <c r="AK1092" s="64">
        <f t="shared" si="429"/>
        <v>0</v>
      </c>
      <c r="AM1092" s="71"/>
      <c r="AN1092" s="71"/>
      <c r="AO1092" s="71">
        <f t="shared" si="430"/>
        <v>0</v>
      </c>
      <c r="AQ1092" s="71"/>
      <c r="AR1092" s="71"/>
      <c r="AS1092" s="71">
        <f t="shared" si="431"/>
        <v>0</v>
      </c>
      <c r="AU1092" s="71"/>
      <c r="AV1092" s="71"/>
      <c r="AW1092" s="71">
        <f t="shared" si="432"/>
        <v>0</v>
      </c>
      <c r="AY1092" s="71"/>
      <c r="AZ1092" s="71"/>
      <c r="BA1092" s="71">
        <f t="shared" si="433"/>
        <v>0</v>
      </c>
      <c r="BI1092" s="71"/>
      <c r="BJ1092" s="71"/>
      <c r="BK1092" s="71">
        <f t="shared" si="434"/>
        <v>0</v>
      </c>
      <c r="BM1092" s="71"/>
      <c r="BN1092" s="71"/>
      <c r="BO1092" s="71">
        <f t="shared" si="435"/>
        <v>0</v>
      </c>
      <c r="BQ1092" s="71"/>
      <c r="BR1092" s="71"/>
      <c r="BS1092" s="138">
        <f t="shared" si="436"/>
        <v>0</v>
      </c>
      <c r="BU1092" s="71"/>
      <c r="BV1092" s="71"/>
      <c r="BW1092" s="71">
        <f t="shared" si="437"/>
        <v>0</v>
      </c>
      <c r="BZ1092" s="71"/>
      <c r="CA1092" s="71"/>
      <c r="CB1092" s="71">
        <f t="shared" si="438"/>
        <v>0</v>
      </c>
      <c r="CD1092" s="71"/>
      <c r="CE1092" s="71"/>
      <c r="CF1092" s="71">
        <f t="shared" si="439"/>
        <v>0</v>
      </c>
      <c r="CH1092" s="71"/>
      <c r="CI1092" s="71"/>
      <c r="CJ1092" s="138">
        <f t="shared" si="440"/>
        <v>0</v>
      </c>
      <c r="CL1092" s="71"/>
      <c r="CM1092" s="71"/>
      <c r="CN1092" s="71">
        <f t="shared" si="441"/>
        <v>0</v>
      </c>
      <c r="CT1092" s="102">
        <f t="shared" si="442"/>
        <v>0</v>
      </c>
    </row>
    <row r="1093" spans="9:98" x14ac:dyDescent="0.15">
      <c r="I1093" s="64">
        <f t="shared" si="425"/>
        <v>0</v>
      </c>
      <c r="Y1093" s="114">
        <f t="shared" si="426"/>
        <v>0</v>
      </c>
      <c r="AC1093" s="64">
        <f t="shared" si="427"/>
        <v>0</v>
      </c>
      <c r="AE1093" s="71"/>
      <c r="AF1093" s="71"/>
      <c r="AG1093" s="71">
        <f t="shared" si="428"/>
        <v>0</v>
      </c>
      <c r="AK1093" s="64">
        <f t="shared" si="429"/>
        <v>0</v>
      </c>
      <c r="AM1093" s="71"/>
      <c r="AN1093" s="71"/>
      <c r="AO1093" s="71">
        <f t="shared" si="430"/>
        <v>0</v>
      </c>
      <c r="AQ1093" s="71"/>
      <c r="AR1093" s="71"/>
      <c r="AS1093" s="71">
        <f t="shared" si="431"/>
        <v>0</v>
      </c>
      <c r="AU1093" s="71"/>
      <c r="AV1093" s="71"/>
      <c r="AW1093" s="71">
        <f t="shared" si="432"/>
        <v>0</v>
      </c>
      <c r="AY1093" s="71"/>
      <c r="AZ1093" s="71"/>
      <c r="BA1093" s="71">
        <f t="shared" si="433"/>
        <v>0</v>
      </c>
      <c r="BI1093" s="71"/>
      <c r="BJ1093" s="71"/>
      <c r="BK1093" s="71">
        <f t="shared" si="434"/>
        <v>0</v>
      </c>
      <c r="BM1093" s="71"/>
      <c r="BN1093" s="71"/>
      <c r="BO1093" s="71">
        <f t="shared" si="435"/>
        <v>0</v>
      </c>
      <c r="BQ1093" s="71"/>
      <c r="BR1093" s="71"/>
      <c r="BS1093" s="138">
        <f t="shared" si="436"/>
        <v>0</v>
      </c>
      <c r="BU1093" s="71"/>
      <c r="BV1093" s="71"/>
      <c r="BW1093" s="71">
        <f t="shared" si="437"/>
        <v>0</v>
      </c>
      <c r="BZ1093" s="71"/>
      <c r="CA1093" s="71"/>
      <c r="CB1093" s="71">
        <f t="shared" si="438"/>
        <v>0</v>
      </c>
      <c r="CD1093" s="71"/>
      <c r="CE1093" s="71"/>
      <c r="CF1093" s="71">
        <f t="shared" si="439"/>
        <v>0</v>
      </c>
      <c r="CH1093" s="71"/>
      <c r="CI1093" s="71"/>
      <c r="CJ1093" s="138">
        <f t="shared" si="440"/>
        <v>0</v>
      </c>
      <c r="CL1093" s="71"/>
      <c r="CM1093" s="71"/>
      <c r="CN1093" s="71">
        <f t="shared" si="441"/>
        <v>0</v>
      </c>
      <c r="CT1093" s="102">
        <f t="shared" si="442"/>
        <v>0</v>
      </c>
    </row>
    <row r="1094" spans="9:98" x14ac:dyDescent="0.15">
      <c r="I1094" s="64">
        <f t="shared" si="425"/>
        <v>0</v>
      </c>
      <c r="Y1094" s="114">
        <f t="shared" si="426"/>
        <v>0</v>
      </c>
      <c r="AC1094" s="64">
        <f t="shared" si="427"/>
        <v>0</v>
      </c>
      <c r="AE1094" s="71"/>
      <c r="AF1094" s="71"/>
      <c r="AG1094" s="71">
        <f t="shared" si="428"/>
        <v>0</v>
      </c>
      <c r="AK1094" s="64">
        <f t="shared" si="429"/>
        <v>0</v>
      </c>
      <c r="AM1094" s="71"/>
      <c r="AN1094" s="71"/>
      <c r="AO1094" s="71">
        <f t="shared" si="430"/>
        <v>0</v>
      </c>
      <c r="AQ1094" s="71"/>
      <c r="AR1094" s="71"/>
      <c r="AS1094" s="71">
        <f t="shared" si="431"/>
        <v>0</v>
      </c>
      <c r="AU1094" s="71"/>
      <c r="AV1094" s="71"/>
      <c r="AW1094" s="71">
        <f t="shared" si="432"/>
        <v>0</v>
      </c>
      <c r="AY1094" s="71"/>
      <c r="AZ1094" s="71"/>
      <c r="BA1094" s="71">
        <f t="shared" si="433"/>
        <v>0</v>
      </c>
      <c r="BI1094" s="71"/>
      <c r="BJ1094" s="71"/>
      <c r="BK1094" s="71">
        <f t="shared" si="434"/>
        <v>0</v>
      </c>
      <c r="BM1094" s="71"/>
      <c r="BN1094" s="71"/>
      <c r="BO1094" s="71">
        <f t="shared" si="435"/>
        <v>0</v>
      </c>
      <c r="BQ1094" s="71"/>
      <c r="BR1094" s="71"/>
      <c r="BS1094" s="138">
        <f t="shared" si="436"/>
        <v>0</v>
      </c>
      <c r="BU1094" s="71"/>
      <c r="BV1094" s="71"/>
      <c r="BW1094" s="71">
        <f t="shared" si="437"/>
        <v>0</v>
      </c>
      <c r="BZ1094" s="71"/>
      <c r="CA1094" s="71"/>
      <c r="CB1094" s="71">
        <f t="shared" si="438"/>
        <v>0</v>
      </c>
      <c r="CD1094" s="71"/>
      <c r="CE1094" s="71"/>
      <c r="CF1094" s="71">
        <f t="shared" si="439"/>
        <v>0</v>
      </c>
      <c r="CH1094" s="71"/>
      <c r="CI1094" s="71"/>
      <c r="CJ1094" s="138">
        <f t="shared" si="440"/>
        <v>0</v>
      </c>
      <c r="CL1094" s="71"/>
      <c r="CM1094" s="71"/>
      <c r="CN1094" s="71">
        <f t="shared" si="441"/>
        <v>0</v>
      </c>
      <c r="CT1094" s="102">
        <f t="shared" si="442"/>
        <v>0</v>
      </c>
    </row>
    <row r="1095" spans="9:98" x14ac:dyDescent="0.15">
      <c r="I1095" s="64">
        <f t="shared" si="425"/>
        <v>0</v>
      </c>
      <c r="Y1095" s="114">
        <f t="shared" si="426"/>
        <v>0</v>
      </c>
      <c r="AC1095" s="64">
        <f t="shared" si="427"/>
        <v>0</v>
      </c>
      <c r="AE1095" s="71"/>
      <c r="AF1095" s="71"/>
      <c r="AG1095" s="71">
        <f t="shared" si="428"/>
        <v>0</v>
      </c>
      <c r="AK1095" s="64">
        <f t="shared" si="429"/>
        <v>0</v>
      </c>
      <c r="AM1095" s="71"/>
      <c r="AN1095" s="71"/>
      <c r="AO1095" s="71">
        <f t="shared" si="430"/>
        <v>0</v>
      </c>
      <c r="AQ1095" s="71"/>
      <c r="AR1095" s="71"/>
      <c r="AS1095" s="71">
        <f t="shared" si="431"/>
        <v>0</v>
      </c>
      <c r="AU1095" s="71"/>
      <c r="AV1095" s="71"/>
      <c r="AW1095" s="71">
        <f t="shared" si="432"/>
        <v>0</v>
      </c>
      <c r="AY1095" s="71"/>
      <c r="AZ1095" s="71"/>
      <c r="BA1095" s="71">
        <f t="shared" si="433"/>
        <v>0</v>
      </c>
      <c r="BI1095" s="71"/>
      <c r="BJ1095" s="71"/>
      <c r="BK1095" s="71">
        <f t="shared" si="434"/>
        <v>0</v>
      </c>
      <c r="BM1095" s="71"/>
      <c r="BN1095" s="71"/>
      <c r="BO1095" s="71">
        <f t="shared" si="435"/>
        <v>0</v>
      </c>
      <c r="BQ1095" s="71"/>
      <c r="BR1095" s="71"/>
      <c r="BS1095" s="138">
        <f t="shared" si="436"/>
        <v>0</v>
      </c>
      <c r="BU1095" s="71"/>
      <c r="BV1095" s="71"/>
      <c r="BW1095" s="71">
        <f t="shared" si="437"/>
        <v>0</v>
      </c>
      <c r="BZ1095" s="71"/>
      <c r="CA1095" s="71"/>
      <c r="CB1095" s="71">
        <f t="shared" si="438"/>
        <v>0</v>
      </c>
      <c r="CD1095" s="71"/>
      <c r="CE1095" s="71"/>
      <c r="CF1095" s="71">
        <f t="shared" si="439"/>
        <v>0</v>
      </c>
      <c r="CH1095" s="71"/>
      <c r="CI1095" s="71"/>
      <c r="CJ1095" s="138">
        <f t="shared" si="440"/>
        <v>0</v>
      </c>
      <c r="CL1095" s="71"/>
      <c r="CM1095" s="71"/>
      <c r="CN1095" s="71">
        <f t="shared" si="441"/>
        <v>0</v>
      </c>
      <c r="CT1095" s="102">
        <f t="shared" si="442"/>
        <v>0</v>
      </c>
    </row>
    <row r="1096" spans="9:98" x14ac:dyDescent="0.15">
      <c r="I1096" s="64">
        <f t="shared" si="425"/>
        <v>0</v>
      </c>
      <c r="Y1096" s="114">
        <f t="shared" si="426"/>
        <v>0</v>
      </c>
      <c r="AC1096" s="64">
        <f t="shared" si="427"/>
        <v>0</v>
      </c>
      <c r="AE1096" s="71"/>
      <c r="AF1096" s="71"/>
      <c r="AG1096" s="71">
        <f t="shared" si="428"/>
        <v>0</v>
      </c>
      <c r="AK1096" s="64">
        <f t="shared" si="429"/>
        <v>0</v>
      </c>
      <c r="AM1096" s="71"/>
      <c r="AN1096" s="71"/>
      <c r="AO1096" s="71">
        <f t="shared" si="430"/>
        <v>0</v>
      </c>
      <c r="AQ1096" s="71"/>
      <c r="AR1096" s="71"/>
      <c r="AS1096" s="71">
        <f t="shared" si="431"/>
        <v>0</v>
      </c>
      <c r="AU1096" s="71"/>
      <c r="AV1096" s="71"/>
      <c r="AW1096" s="71">
        <f t="shared" si="432"/>
        <v>0</v>
      </c>
      <c r="AY1096" s="71"/>
      <c r="AZ1096" s="71"/>
      <c r="BA1096" s="71">
        <f t="shared" si="433"/>
        <v>0</v>
      </c>
      <c r="BI1096" s="71"/>
      <c r="BJ1096" s="71"/>
      <c r="BK1096" s="71">
        <f t="shared" si="434"/>
        <v>0</v>
      </c>
      <c r="BM1096" s="71"/>
      <c r="BN1096" s="71"/>
      <c r="BO1096" s="71">
        <f t="shared" si="435"/>
        <v>0</v>
      </c>
      <c r="BQ1096" s="71"/>
      <c r="BR1096" s="71"/>
      <c r="BS1096" s="138">
        <f t="shared" si="436"/>
        <v>0</v>
      </c>
      <c r="BU1096" s="71"/>
      <c r="BV1096" s="71"/>
      <c r="BW1096" s="71">
        <f t="shared" si="437"/>
        <v>0</v>
      </c>
      <c r="BZ1096" s="71"/>
      <c r="CA1096" s="71"/>
      <c r="CB1096" s="71">
        <f t="shared" si="438"/>
        <v>0</v>
      </c>
      <c r="CD1096" s="71"/>
      <c r="CE1096" s="71"/>
      <c r="CF1096" s="71">
        <f t="shared" si="439"/>
        <v>0</v>
      </c>
      <c r="CH1096" s="71"/>
      <c r="CI1096" s="71"/>
      <c r="CJ1096" s="138">
        <f t="shared" si="440"/>
        <v>0</v>
      </c>
      <c r="CL1096" s="71"/>
      <c r="CM1096" s="71"/>
      <c r="CN1096" s="71">
        <f t="shared" si="441"/>
        <v>0</v>
      </c>
      <c r="CT1096" s="102">
        <f t="shared" si="442"/>
        <v>0</v>
      </c>
    </row>
    <row r="1097" spans="9:98" x14ac:dyDescent="0.15">
      <c r="I1097" s="64">
        <f t="shared" si="425"/>
        <v>0</v>
      </c>
      <c r="Y1097" s="114">
        <f t="shared" si="426"/>
        <v>0</v>
      </c>
      <c r="AC1097" s="64">
        <f t="shared" si="427"/>
        <v>0</v>
      </c>
      <c r="AE1097" s="71"/>
      <c r="AF1097" s="71"/>
      <c r="AG1097" s="71">
        <f t="shared" si="428"/>
        <v>0</v>
      </c>
      <c r="AK1097" s="64">
        <f t="shared" si="429"/>
        <v>0</v>
      </c>
      <c r="AM1097" s="71"/>
      <c r="AN1097" s="71"/>
      <c r="AO1097" s="71">
        <f t="shared" si="430"/>
        <v>0</v>
      </c>
      <c r="AQ1097" s="71"/>
      <c r="AR1097" s="71"/>
      <c r="AS1097" s="71">
        <f t="shared" si="431"/>
        <v>0</v>
      </c>
      <c r="AU1097" s="71"/>
      <c r="AV1097" s="71"/>
      <c r="AW1097" s="71">
        <f t="shared" si="432"/>
        <v>0</v>
      </c>
      <c r="AY1097" s="71"/>
      <c r="AZ1097" s="71"/>
      <c r="BA1097" s="71">
        <f t="shared" si="433"/>
        <v>0</v>
      </c>
      <c r="BI1097" s="71"/>
      <c r="BJ1097" s="71"/>
      <c r="BK1097" s="71">
        <f t="shared" si="434"/>
        <v>0</v>
      </c>
      <c r="BM1097" s="71"/>
      <c r="BN1097" s="71"/>
      <c r="BO1097" s="71">
        <f t="shared" si="435"/>
        <v>0</v>
      </c>
      <c r="BQ1097" s="71"/>
      <c r="BR1097" s="71"/>
      <c r="BS1097" s="138">
        <f t="shared" si="436"/>
        <v>0</v>
      </c>
      <c r="BU1097" s="71"/>
      <c r="BV1097" s="71"/>
      <c r="BW1097" s="71">
        <f t="shared" si="437"/>
        <v>0</v>
      </c>
      <c r="BZ1097" s="71"/>
      <c r="CA1097" s="71"/>
      <c r="CB1097" s="71">
        <f t="shared" si="438"/>
        <v>0</v>
      </c>
      <c r="CD1097" s="71"/>
      <c r="CE1097" s="71"/>
      <c r="CF1097" s="71">
        <f t="shared" si="439"/>
        <v>0</v>
      </c>
      <c r="CH1097" s="71"/>
      <c r="CI1097" s="71"/>
      <c r="CJ1097" s="138">
        <f t="shared" si="440"/>
        <v>0</v>
      </c>
      <c r="CL1097" s="71"/>
      <c r="CM1097" s="71"/>
      <c r="CN1097" s="71">
        <f t="shared" si="441"/>
        <v>0</v>
      </c>
      <c r="CT1097" s="102">
        <f t="shared" si="442"/>
        <v>0</v>
      </c>
    </row>
    <row r="1098" spans="9:98" x14ac:dyDescent="0.15">
      <c r="I1098" s="64">
        <f t="shared" si="425"/>
        <v>0</v>
      </c>
    </row>
    <row r="1099" spans="9:98" x14ac:dyDescent="0.15">
      <c r="I1099" s="64">
        <f t="shared" si="425"/>
        <v>0</v>
      </c>
    </row>
    <row r="1100" spans="9:98" x14ac:dyDescent="0.15">
      <c r="I1100" s="64">
        <f t="shared" si="425"/>
        <v>0</v>
      </c>
    </row>
    <row r="1101" spans="9:98" x14ac:dyDescent="0.15">
      <c r="I1101" s="64">
        <f t="shared" si="425"/>
        <v>0</v>
      </c>
    </row>
    <row r="1102" spans="9:98" x14ac:dyDescent="0.15">
      <c r="I1102" s="64">
        <f t="shared" si="425"/>
        <v>0</v>
      </c>
    </row>
    <row r="1103" spans="9:98" x14ac:dyDescent="0.15">
      <c r="I1103" s="64">
        <f t="shared" si="425"/>
        <v>0</v>
      </c>
    </row>
    <row r="1104" spans="9:98" x14ac:dyDescent="0.15">
      <c r="I1104" s="64">
        <f t="shared" si="425"/>
        <v>0</v>
      </c>
    </row>
    <row r="1105" spans="9:9" x14ac:dyDescent="0.15">
      <c r="I1105" s="64">
        <f t="shared" si="425"/>
        <v>0</v>
      </c>
    </row>
    <row r="1106" spans="9:9" x14ac:dyDescent="0.15">
      <c r="I1106" s="64">
        <f t="shared" si="425"/>
        <v>0</v>
      </c>
    </row>
    <row r="1107" spans="9:9" x14ac:dyDescent="0.15">
      <c r="I1107" s="64">
        <f t="shared" si="425"/>
        <v>0</v>
      </c>
    </row>
    <row r="1108" spans="9:9" x14ac:dyDescent="0.15">
      <c r="I1108" s="64">
        <f t="shared" si="425"/>
        <v>0</v>
      </c>
    </row>
    <row r="1109" spans="9:9" x14ac:dyDescent="0.15">
      <c r="I1109" s="64">
        <f t="shared" si="425"/>
        <v>0</v>
      </c>
    </row>
    <row r="1110" spans="9:9" x14ac:dyDescent="0.15">
      <c r="I1110" s="64">
        <f t="shared" si="425"/>
        <v>0</v>
      </c>
    </row>
    <row r="1111" spans="9:9" x14ac:dyDescent="0.15">
      <c r="I1111" s="64">
        <f t="shared" si="425"/>
        <v>0</v>
      </c>
    </row>
    <row r="1112" spans="9:9" x14ac:dyDescent="0.15">
      <c r="I1112" s="64">
        <f t="shared" si="425"/>
        <v>0</v>
      </c>
    </row>
    <row r="1113" spans="9:9" x14ac:dyDescent="0.15">
      <c r="I1113" s="64">
        <f t="shared" si="425"/>
        <v>0</v>
      </c>
    </row>
    <row r="1114" spans="9:9" x14ac:dyDescent="0.15">
      <c r="I1114" s="64">
        <f t="shared" si="425"/>
        <v>0</v>
      </c>
    </row>
    <row r="1115" spans="9:9" x14ac:dyDescent="0.15">
      <c r="I1115" s="64">
        <f t="shared" si="425"/>
        <v>0</v>
      </c>
    </row>
    <row r="1116" spans="9:9" x14ac:dyDescent="0.15">
      <c r="I1116" s="64">
        <f t="shared" si="425"/>
        <v>0</v>
      </c>
    </row>
  </sheetData>
  <dataValidations count="9">
    <dataValidation type="list" allowBlank="1" showInputMessage="1" showErrorMessage="1" sqref="A1:A18 A20:A254 A293:A1048576" xr:uid="{C3D0DBE5-F9D9-3142-BD4C-D0D02B010050}">
      <formula1>"0, 1, 2, 3, 4, 5, "</formula1>
    </dataValidation>
    <dataValidation type="list" allowBlank="1" showInputMessage="1" showErrorMessage="1" sqref="B1:B42 B44:B254 AT2:AT341 F1:F255 F258 N1:N254 F293:F1048576 B342:B1048576 J293:J1048576 J1:J254 BH1 B256:B296 N293:N296 N342:N1048576" xr:uid="{C8BB4757-4E2B-C149-AD01-538DF756E1BE}">
      <formula1>"0, 1, 2"</formula1>
    </dataValidation>
    <dataValidation type="list" allowBlank="1" showInputMessage="1" showErrorMessage="1" sqref="C293:C1048576 C1:C254 AH297:AH341 AL1:AL254 CG297:CG341 AL293:AL339 AL342:AL1048576 CK1:CK340 CK342:CK1048576" xr:uid="{35BC11D8-A6EC-684C-AB4B-D159F77A9459}">
      <formula1>"0, 1, 2, 3, 4"</formula1>
    </dataValidation>
    <dataValidation type="list" allowBlank="1" showInputMessage="1" showErrorMessage="1" sqref="D1:D254 D293:D1048576 N297:N341 R1:R224 AH342:AH1048576 V340:V341 R226:R254 AD1:AD254 Z1:Z254 AH1:AH254 Z293:Z1048576 AD293:AD1048576 AX1:AX1048576 BH49:BH292 BH2:BH47 R293:R296 R342:R1048576 V334 V336:V338 AH293:AH296 BH342:BH1048576 BL297:BL341 BP297:BP341" xr:uid="{FBA02576-66CE-6B4D-8D4A-5F16E23E9092}">
      <formula1>"0, 1, 2, 3"</formula1>
    </dataValidation>
    <dataValidation type="list" allowBlank="1" showInputMessage="1" showErrorMessage="1" sqref="E1:E187 E189:E1048576 BB1:BG1048576 CO1:CR1048576 CK341" xr:uid="{DD3067C3-409F-E046-BD0A-6BB434E8F4FC}">
      <formula1>"0, 1"</formula1>
    </dataValidation>
    <dataValidation type="list" allowBlank="1" showInputMessage="1" showErrorMessage="1" sqref="R297:R341 V1:V254 V293:V333 V342:V1048576 V335 V339 BT297:BT341" xr:uid="{9925968D-EE86-154D-BDA6-CA8756E94D3C}">
      <formula1>"0, 1, 2, 3, 4, 5"</formula1>
    </dataValidation>
    <dataValidation type="list" allowBlank="1" showInputMessage="1" showErrorMessage="1" sqref="AL340:AL341 AP1:AP296 AP342:AP1048576" xr:uid="{DC034238-DAC5-9442-A208-7D6DB2B39BDF}">
      <formula1>"0, 1, 2, 3, nan"</formula1>
    </dataValidation>
    <dataValidation type="list" allowBlank="1" showInputMessage="1" showErrorMessage="1" sqref="AP297:AP341 BY297:BY341 AT1 BH297:BH341 AT342:AT1048576 BL1:BL296 BL342:BL1048576 CC1:CC340 CC342:CC1048576" xr:uid="{9D067CFE-CF19-5D4F-AF52-299E2E25463B}">
      <formula1>"0, 1, 2, 3, "</formula1>
    </dataValidation>
    <dataValidation type="list" allowBlank="1" showInputMessage="1" showErrorMessage="1" sqref="CG1:CG241 CC341 CG243:CG296 CG342:CG1048576" xr:uid="{8E5307C5-AB59-564A-B386-A40C5AE836EB}">
      <formula1>"0, 1, 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DATASET</vt:lpstr>
      <vt:lpstr>INDICE COMPENSATIVO</vt:lpstr>
      <vt:lpstr>INDICE NON COMPENSATIVO</vt:lpstr>
      <vt:lpstr>ILI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Chiara Russo</cp:lastModifiedBy>
  <dcterms:created xsi:type="dcterms:W3CDTF">2025-07-28T11:35:41Z</dcterms:created>
  <dcterms:modified xsi:type="dcterms:W3CDTF">2026-02-05T23:10:32Z</dcterms:modified>
</cp:coreProperties>
</file>